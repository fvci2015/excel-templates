
<file path=[Content_Types].xml><?xml version="1.0" encoding="utf-8"?>
<Types xmlns="http://schemas.openxmlformats.org/package/2006/content-types">
  <Default Extension="bin" ContentType="application/vnd.openxmlformats-officedocument.spreadsheetml.printerSettings"/>
  <Default Extension="GIF" ContentType="image/gi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customProperty1.bin" ContentType="application/vnd.openxmlformats-officedocument.spreadsheetml.customProperty"/>
  <Override PartName="/xl/drawings/drawing1.xml" ContentType="application/vnd.openxmlformats-officedocument.drawing+xml"/>
  <Override PartName="/xl/tables/table1.xml" ContentType="application/vnd.openxmlformats-officedocument.spreadsheetml.table+xml"/>
  <Override PartName="/xl/pivotTables/pivotTable1.xml" ContentType="application/vnd.openxmlformats-officedocument.spreadsheetml.pivotTable+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28" codeName="{4470D2CD-2249-CD33-4A35-6F278624656F}"/>
  <workbookPr codeName="ThisWorkbook" hidePivotFieldList="1" defaultThemeVersion="166925"/>
  <mc:AlternateContent xmlns:mc="http://schemas.openxmlformats.org/markup-compatibility/2006">
    <mc:Choice Requires="x15">
      <x15ac:absPath xmlns:x15ac="http://schemas.microsoft.com/office/spreadsheetml/2010/11/ac" url="D:\yash_jain_vesu\Future_Vision\books\advance_excel\NEW-FILES-PROJECTS\100+ Premium Excel Templates\Marketing\"/>
    </mc:Choice>
  </mc:AlternateContent>
  <xr:revisionPtr revIDLastSave="0" documentId="13_ncr:1_{52E7F741-A01E-4A4A-A6BD-C337B87F9666}" xr6:coauthVersionLast="47" xr6:coauthVersionMax="47" xr10:uidLastSave="{00000000-0000-0000-0000-000000000000}"/>
  <bookViews>
    <workbookView xWindow="-120" yWindow="-120" windowWidth="29040" windowHeight="15840" xr2:uid="{73097E03-4C65-4EA6-ABDF-EA362E770085}"/>
  </bookViews>
  <sheets>
    <sheet name="Introduction" sheetId="6" r:id="rId1"/>
    <sheet name="Email Marketing Raw Data" sheetId="11" r:id="rId2"/>
    <sheet name="Dashboard And Emails Automate" sheetId="12" r:id="rId3"/>
    <sheet name="Database" sheetId="7" r:id="rId4"/>
    <sheet name="Sheet2" sheetId="14" state="hidden" r:id="rId5"/>
    <sheet name="Sheet1" sheetId="13" state="hidden" r:id="rId6"/>
  </sheets>
  <definedNames>
    <definedName name="_aaa1" hidden="1">{#N/A,#N/A,FALSE,"Antony Financials";#N/A,#N/A,FALSE,"Cowboy Financials";#N/A,#N/A,FALSE,"Combined";#N/A,#N/A,FALSE,"Valuematrix";#N/A,#N/A,FALSE,"DCFAntony";#N/A,#N/A,FALSE,"DCFCowboy";#N/A,#N/A,FALSE,"DCFCombined"}</definedName>
    <definedName name="_xlnm._FilterDatabase" localSheetId="1" hidden="1">'Email Marketing Raw Data'!$B$3:$O$23</definedName>
    <definedName name="_GSRATES_1" hidden="1">"H2002123120021231CADUSD1000001"</definedName>
    <definedName name="_GSRATES_10" hidden="1">"CF3000012002093020020101"</definedName>
    <definedName name="_GSRATES_11" hidden="1">"CF300001Invalid 20030930"</definedName>
    <definedName name="_GSRATES_12" hidden="1">"CT30000120030930        "</definedName>
    <definedName name="_GSRATES_13" hidden="1">"CT30000120030930        "</definedName>
    <definedName name="_GSRATES_2" hidden="1">"CT30000120030630        "</definedName>
    <definedName name="_GSRATES_3" hidden="1">"CF3000012003063020030101"</definedName>
    <definedName name="_GSRATES_4" hidden="1">"CT3000012003063020030101"</definedName>
    <definedName name="_GSRATES_5" hidden="1">"CF3000012002123120020101"</definedName>
    <definedName name="_GSRATES_6" hidden="1">"CF3000012002063020020101"</definedName>
    <definedName name="_GSRATES_7" hidden="1">"CF3000012003063020030101"</definedName>
    <definedName name="_GSRATES_8" hidden="1">"CF3000012003093020030101"</definedName>
    <definedName name="_GSRATES_9" hidden="1">"CF3000012002123120020101"</definedName>
    <definedName name="_GSRATES_COUNT" hidden="1">7</definedName>
    <definedName name="_GSRATES_COUNT1" hidden="1">13</definedName>
    <definedName name="_GSRATESR_1" hidden="1">#REF!</definedName>
    <definedName name="_GSRATESR_10" hidden="1">#REF!</definedName>
    <definedName name="_GSRATESR_11" hidden="1">#REF!</definedName>
    <definedName name="_GSRATESR_12" hidden="1">#REF!</definedName>
    <definedName name="_GSRATESR_13" hidden="1">#REF!</definedName>
    <definedName name="_GSRATESR_3" hidden="1">#REF!</definedName>
    <definedName name="_GSRATESR_4" hidden="1">#REF!</definedName>
    <definedName name="_GSRATESR_5" hidden="1">#REF!</definedName>
    <definedName name="_GSRATESR_6" hidden="1">#REF!</definedName>
    <definedName name="_GSRATESR_7" hidden="1">#REF!</definedName>
    <definedName name="_GSRATESR_8" hidden="1">#REF!</definedName>
    <definedName name="_GSRATESR_9" hidden="1">#REF!</definedName>
    <definedName name="a" hidden="1">{#N/A,#N/A,TRUE,"10 yr forecast - Balance Sheet";#N/A,#N/A,TRUE,"10 yr forecast - SCFP";#N/A,#N/A,TRUE,"10 yr forecast - P&amp;L&lt;linked&gt; ";#N/A,#N/A,TRUE,"Product Sales Royalty Breakdown";#N/A,#N/A,TRUE,"Collaborative Revenue Breakdown";#N/A,#N/A,TRUE,"Commercial Ops Breakdown";#N/A,#N/A,TRUE,"R&amp;D Breakdown";#N/A,#N/A,TRUE,"SG&amp;A Breakdown";#N/A,#N/A,TRUE,"FTE Summary"}</definedName>
    <definedName name="AAA_DOCTOPS" hidden="1">"AAA_SET"</definedName>
    <definedName name="AAA_duser" hidden="1">"OFF"</definedName>
    <definedName name="AAA_u999998" hidden="1">"nlfoote@970721231427"</definedName>
    <definedName name="AAA_u999999" hidden="1">"nlfoote@970721231348"</definedName>
    <definedName name="AAB_Addin5" hidden="1">"AAB_Description for addin 5,Description for addin 5,Description for addin 5,Description for addin 5,Description for addin 5,Description for addin 5"</definedName>
    <definedName name="AAB_GSPPG" hidden="1">"AAB_Goldman Sachs PPG Chart Utilities 1.0g"</definedName>
    <definedName name="adf" hidden="1">{#N/A,#N/A,FALSE,"CreditStat";#N/A,#N/A,FALSE,"SPbrkup";#N/A,#N/A,FALSE,"MerSPsyn";#N/A,#N/A,FALSE,"MerSPwKCsyn";#N/A,#N/A,FALSE,"MerSPwKCsyn (2)";#N/A,#N/A,FALSE,"CreditStat (2)"}</definedName>
    <definedName name="adfdaf" hidden="1">{"standalone1",#N/A,FALSE,"DCFBase";"standalone2",#N/A,FALSE,"DCFBase"}</definedName>
    <definedName name="asdf" hidden="1">{"mgmt forecast",#N/A,FALSE,"Mgmt Forecast";"dcf table",#N/A,FALSE,"Mgmt Forecast";"sensitivity",#N/A,FALSE,"Mgmt Forecast";"table inputs",#N/A,FALSE,"Mgmt Forecast";"calculations",#N/A,FALSE,"Mgmt Forecast"}</definedName>
    <definedName name="asdfa" hidden="1">{#N/A,#N/A,FALSE,"Antony Financials";#N/A,#N/A,FALSE,"Cowboy Financials";#N/A,#N/A,FALSE,"Combined";#N/A,#N/A,FALSE,"Valuematrix";#N/A,#N/A,FALSE,"DCFAntony";#N/A,#N/A,FALSE,"DCFCowboy";#N/A,#N/A,FALSE,"DCFCombined"}</definedName>
    <definedName name="asdfaa" hidden="1">{#N/A,#N/A,FALSE,"Antony Financials";#N/A,#N/A,FALSE,"Cowboy Financials";#N/A,#N/A,FALSE,"Combined";#N/A,#N/A,FALSE,"Valuematrix";#N/A,#N/A,FALSE,"DCFAntony";#N/A,#N/A,FALSE,"DCFCowboy";#N/A,#N/A,FALSE,"DCFCombined"}</definedName>
    <definedName name="asdfasdf" hidden="1">{#N/A,#N/A,FALSE,"CreditStat";#N/A,#N/A,FALSE,"SPbrkup";#N/A,#N/A,FALSE,"MerSPsyn";#N/A,#N/A,FALSE,"MerSPwKCsyn";#N/A,#N/A,FALSE,"MerSPwKCsyn (2)";#N/A,#N/A,FALSE,"CreditStat (2)"}</definedName>
    <definedName name="asdff" hidden="1">{"standalone1",#N/A,FALSE,"DCFBase";"standalone2",#N/A,FALSE,"DCFBase"}</definedName>
    <definedName name="asdfsad" hidden="1">{#N/A,#N/A,FALSE,"Antony Financials";#N/A,#N/A,FALSE,"Cowboy Financials";#N/A,#N/A,FALSE,"Combined";#N/A,#N/A,FALSE,"Valuematrix";#N/A,#N/A,FALSE,"DCFAntony";#N/A,#N/A,FALSE,"DCFCowboy";#N/A,#N/A,FALSE,"DCFCombined"}</definedName>
    <definedName name="b" hidden="1">{#N/A,#N/A,FALSE,"Antony Financials";#N/A,#N/A,FALSE,"Cowboy Financials";#N/A,#N/A,FALSE,"Combined";#N/A,#N/A,FALSE,"Valuematrix";#N/A,#N/A,FALSE,"DCFAntony";#N/A,#N/A,FALSE,"DCFCowboy";#N/A,#N/A,FALSE,"DCFCombined"}</definedName>
    <definedName name="Camp">OFFSET(Database!$B$5,0,0,COUNTA(Database!$B:$B)-1,1)</definedName>
    <definedName name="Content">OFFSET(Database!$D$5,0,0,COUNTA(Database!$D:$D)-1,1)</definedName>
    <definedName name="CustomerName">OFFSET(Database!$H$5,0,0,COUNTA(Database!$H:$H)-1,1)</definedName>
    <definedName name="CustomerType">OFFSET(Database!$F$5,0,0,COUNTA(Database!$F:$F)-1,1)</definedName>
    <definedName name="d" hidden="1">{#N/A,#N/A,FALSE,"BNSF";#N/A,#N/A,FALSE,"KC";#N/A,#N/A,FALSE,"KCws";#N/A,#N/A,FALSE,"MergKC";#N/A,#N/A,FALSE,"CredStwKC";#N/A,#N/A,FALSE,"SP";#N/A,#N/A,FALSE,"SPws";#N/A,#N/A,FALSE,"MergSP";#N/A,#N/A,FALSE,"CredStwSP";#N/A,#N/A,FALSE,"SPbrkup";#N/A,#N/A,FALSE,"SPwBNSFws";#N/A,#N/A,FALSE,"MergSPwBNSF";#N/A,#N/A,FALSE,"CredStSPwBNSF (2)";#N/A,#N/A,FALSE,"SPwKCws (2)";#N/A,#N/A,FALSE,"MergSPwKC (2)";#N/A,#N/A,FALSE,"CredStKCwSP";#N/A,#N/A,FALSE,"ILL";#N/A,#N/A,FALSE,"SPwILLws";#N/A,#N/A,FALSE,"CredStILLwSP";#N/A,#N/A,FALSE,"MergSPwILL";#N/A,#N/A,FALSE,"CredStILLwSP";#N/A,#N/A,FALSE,"Conrail";#N/A,#N/A,FALSE,"CONws";#N/A,#N/A,FALSE,"MergCON";#N/A,#N/A,FALSE,"CredStwCON";#N/A,#N/A,FALSE,"SPwCONws ";#N/A,#N/A,FALSE,"MergSPwCON";#N/A,#N/A,FALSE,"CredStILLwCON";#N/A,#N/A,FALSE,"SPws (2)";#N/A,#N/A,FALSE,"MergSP (2)";#N/A,#N/A,FALSE,"CredStwSP (2)";#N/A,#N/A,FALSE,"CSX";#N/A,#N/A,FALSE,"CSXws";#N/A,#N/A,FALSE,"MergCSX";#N/A,#N/A,FALSE,"CredStwCSX";#N/A,#N/A,FALSE,"Norfolk";#N/A,#N/A,FALSE,"NORws";#N/A,#N/A,FALSE,"MergNOR";#N/A,#N/A,FALSE,"CredStwNOR";#N/A,#N/A,FALSE,"NORwCONws";#N/A,#N/A,FALSE,"MergNORwCON"}</definedName>
    <definedName name="da" hidden="1">{#N/A,#N/A,FALSE,"A&amp;E";#N/A,#N/A,FALSE,"HighTop";#N/A,#N/A,FALSE,"JG";#N/A,#N/A,FALSE,"RI";#N/A,#N/A,FALSE,"woHT";#N/A,#N/A,FALSE,"woHT&amp;JG"}</definedName>
    <definedName name="df" hidden="1">{"'Summary P&amp;L'!$A$1:$M$70","'Summary P&amp;L'!$A$1:$M$70"}</definedName>
    <definedName name="Email_filter">OFFSET(Sheet2!$B$4,0,0,COUNTA(Sheet2!$B:$B)-1,1)</definedName>
    <definedName name="EMAILID">OFFSET('Email Marketing Raw Data'!$C$3,0,0,COUNTA('Email Marketing Raw Data'!$C:$C)-1,1)</definedName>
    <definedName name="EPMWorkbookOptions_2" hidden="1">"m3FeIocTK7T00g7i155YYzII5xVFTgxBon8IEeL4xiLwgoT687neHX/pG70aRh7dJEB5hTBgSYS4S/wFRhkORAJNCFEijYCzdDW/7jaFj3jStoSLzX9El/54gL4Q7XVoWsi6rEQQeHqMNCnOXt8qRzrJhTnpdjyrYajjmak1fQXrR1cKuC|QKz4CEUZkvQ9clhikMR9lTf/Gcw/A9n9YZnYMuZTheC416kRG507skkOuBwSO7Rg8|xYzXFd2HOH"</definedName>
    <definedName name="EPMWorkbookOptions_3" hidden="1">"jHlyP|GtOQbRSQ7d9K9FzlywTlRW3iBgT/mkPU84ZhmIOeo0tZztdyxIzzUV2WFbWmbCTIuhdRrEldoHVZl|KLzOxh4KGnPvUDoOyprpQr5QmMJsVyxdWKWmnyqVgrAxRlBCXNHVW16khdtpyOykjcQSGzweMDHNwuzEZ8nsqApUWZCeCQOH6DptuExDuRD2Gr2XNaCr9sdDrDxGHz4bsT9UL2FgaK6Hj6tIYW|OR4QbB3KSzlI2yNo9dvcL5YX"</definedName>
    <definedName name="EPMWorkbookOptions_4" hidden="1">"Xq937qUh8ANDfwzvX5pOEZrf7XKslaT5fxiVU5PrBGDaanK8aemHLtOD86JWpLPnKQ4UZVq7czJtk5K1eqZk|2xo6jHzsn7WfeMhtP8alo/9l76VLVc1jQt/9JXOr2lb0Uil|hyg2Y4Z31mlrmHPq2|YwwsPgMY|0u0UlXkWq2aX6Lq6Ul0g8dYpR3j2EV6MCqM1vWxc/F|BqztmFbja3PYMfms2DZ7f/NMVamo6h88VGmnN2y32Uzvh3rmcAdw"</definedName>
    <definedName name="EPMWorkbookOptions_5" hidden="1">"FnJWmXsI2Wl3m2/4|qp8euJdMpgWbElWNNE8/v3RgRmxm/0zIylG/hsc/Ux2cEY6Z0bWjMifRMd0GkfPyftZ7wa99lv|XVM5vfVuyeDOBi0ynkWaVeYeIu02G/bAatpvKNTq6Ql1xWL8|NtvWm3zqn307wMOqNIcoFQ12SBdyjoHkbKu4Dzb7jmRTePu2RLdggmFcGoSMwCSnABI2yKY4QGiy5wmsdEDrM4bbJsj7OoMDZcmi1hcoXcdafzCTW6"</definedName>
    <definedName name="EPMWorkbookOptions_6" hidden="1">"a3g6/IYrRyIMu0Pt1hh37xw/rtMmZnfr/tQEq6O4jAAA="</definedName>
    <definedName name="EPMWorkbookOptions_7" hidden="1">"VkElWzGe4dbysDmw3e4bw0nqBxi31scdUfvlZHPVuLY3NJBpjCzYg+hpH+Go/fu3fdjNPrXaf+7pIr7iNgAA"</definedName>
    <definedName name="f" hidden="1">{"mgmt forecast",#N/A,FALSE,"Mgmt Forecast";"dcf table",#N/A,FALSE,"Mgmt Forecast";"sensitivity",#N/A,FALSE,"Mgmt Forecast";"table inputs",#N/A,FALSE,"Mgmt Forecast";"calculations",#N/A,FALSE,"Mgmt Forecast"}</definedName>
    <definedName name="fafate" hidden="1">{"mgmt forecast",#N/A,FALSE,"Mgmt Forecast";"dcf table",#N/A,FALSE,"Mgmt Forecast";"sensitivity",#N/A,FALSE,"Mgmt Forecast";"table inputs",#N/A,FALSE,"Mgmt Forecast";"calculations",#N/A,FALSE,"Mgmt Forecast"}</definedName>
    <definedName name="fff" hidden="1">{"standalone1",#N/A,FALSE,"DCFBase";"standalone2",#N/A,FALSE,"DCFBase"}</definedName>
    <definedName name="g" hidden="1">{#N/A,#N/A,FALSE,"Antony Financials";#N/A,#N/A,FALSE,"Cowboy Financials";#N/A,#N/A,FALSE,"Combined";#N/A,#N/A,FALSE,"Valuematrix";#N/A,#N/A,FALSE,"DCFAntony";#N/A,#N/A,FALSE,"DCFCowboy";#N/A,#N/A,FALSE,"DCFCombined"}</definedName>
    <definedName name="h" hidden="1">{#N/A,#N/A,FALSE,"CreditStat";#N/A,#N/A,FALSE,"SPbrkup";#N/A,#N/A,FALSE,"MerSPsyn";#N/A,#N/A,FALSE,"MerSPwKCsyn";#N/A,#N/A,FALSE,"MerSPwKCsyn (2)";#N/A,#N/A,FALSE,"CreditStat (2)"}</definedName>
    <definedName name="HTML_CodePage" hidden="1">1252</definedName>
    <definedName name="HTML_Control" hidden="1">{"'Summary P&amp;L'!$A$1:$M$70","'Summary P&amp;L'!$A$1:$M$70"}</definedName>
    <definedName name="HTML_Description" hidden="1">""</definedName>
    <definedName name="HTML_Email" hidden="1">""</definedName>
    <definedName name="HTML_Header" hidden="1">"Summary P&amp;L"</definedName>
    <definedName name="HTML_LastUpdate" hidden="1">"9/03/01"</definedName>
    <definedName name="HTML_LineAfter" hidden="1">FALSE</definedName>
    <definedName name="HTML_LineBefore" hidden="1">FALSE</definedName>
    <definedName name="HTML_Name" hidden="1">"Hans Verheul"</definedName>
    <definedName name="HTML_OBDlg2" hidden="1">TRUE</definedName>
    <definedName name="HTML_OBDlg4" hidden="1">TRUE</definedName>
    <definedName name="HTML_OS" hidden="1">0</definedName>
    <definedName name="HTML_PathFile" hidden="1">"G:\Finlog\html\FINANCE.htm"</definedName>
    <definedName name="HTML_Title" hidden="1">"INCOME STATEMENT FEBRUARY 2001"</definedName>
    <definedName name="iui" hidden="1">{#N/A,#N/A,FALSE,"A&amp;E";#N/A,#N/A,FALSE,"HighTop";#N/A,#N/A,FALSE,"JG";#N/A,#N/A,FALSE,"RI";#N/A,#N/A,FALSE,"woHT";#N/A,#N/A,FALSE,"woHT&amp;JG"}</definedName>
    <definedName name="j" hidden="1">{"standalone1",#N/A,FALSE,"DCFBase";"standalone2",#N/A,FALSE,"DCFBase"}</definedName>
    <definedName name="k" hidden="1">{#N/A,#N/A,FALSE,"Antony Financials";#N/A,#N/A,FALSE,"Cowboy Financials";#N/A,#N/A,FALSE,"Combined";#N/A,#N/A,FALSE,"Valuematrix";#N/A,#N/A,FALSE,"DCFAntony";#N/A,#N/A,FALSE,"DCFCowboy";#N/A,#N/A,FALSE,"DCFCombined"}</definedName>
    <definedName name="kyd.Dim.01." hidden="1">"currency"</definedName>
    <definedName name="kyd.Dim.02." hidden="1">"currency"</definedName>
    <definedName name="kyd.ElementType.01." hidden="1">3</definedName>
    <definedName name="kyd.ElementType.02." hidden="1">3</definedName>
    <definedName name="kyd.MemoSortHide." hidden="1">FALSE</definedName>
    <definedName name="kyd.NumLevels.01." hidden="1">999</definedName>
    <definedName name="kyd.NumLevels.02." hidden="1">999</definedName>
    <definedName name="kyd.ParentName.01." hidden="1">"AUD"</definedName>
    <definedName name="kyd.ParentName.02." hidden="1">"AUD"</definedName>
    <definedName name="kyd.PreScreenData." hidden="1">FALSE</definedName>
    <definedName name="kyd.PrintMemo." hidden="1">FALSE</definedName>
    <definedName name="kyd.PrintParent.01." hidden="1">TRUE</definedName>
    <definedName name="kyd.PrintParent.02." hidden="1">TRUE</definedName>
    <definedName name="kyd.PrintStdWhen." hidden="1">3</definedName>
    <definedName name="kyd.SaveAsFile." hidden="1">FALSE</definedName>
    <definedName name="kyd.SaveMemo." hidden="1">FALSE</definedName>
    <definedName name="kyd.SelectString.01." hidden="1">"*"</definedName>
    <definedName name="kyd.SelectString.02." hidden="1">"*"</definedName>
    <definedName name="kyd.StdSortHide." hidden="1">FALSE</definedName>
    <definedName name="kyd.StopRow." hidden="1">16384</definedName>
    <definedName name="kyd.WriteMemWhenOptn." hidden="1">3</definedName>
    <definedName name="l" hidden="1">{"mgmt forecast",#N/A,FALSE,"Mgmt Forecast";"dcf table",#N/A,FALSE,"Mgmt Forecast";"sensitivity",#N/A,FALSE,"Mgmt Forecast";"table inputs",#N/A,FALSE,"Mgmt Forecast";"calculations",#N/A,FALSE,"Mgmt Forecast"}</definedName>
    <definedName name="m" hidden="1">{"standalone1",#N/A,FALSE,"DCFBase";"standalone2",#N/A,FALSE,"DCFBase"}</definedName>
    <definedName name="MR" hidden="1">{#N/A,#N/A,FALSE,"sales ytd";#N/A,#N/A,FALSE,"investments";#N/A,#N/A,FALSE,"bus. synergies 1997";#N/A,#N/A,FALSE,"synergies outlook"}</definedName>
    <definedName name="n" hidden="1">{#N/A,#N/A,FALSE,"BNSF";#N/A,#N/A,FALSE,"KC";#N/A,#N/A,FALSE,"KCws";#N/A,#N/A,FALSE,"MergKC";#N/A,#N/A,FALSE,"CredStwKC";#N/A,#N/A,FALSE,"SP";#N/A,#N/A,FALSE,"SPws";#N/A,#N/A,FALSE,"MergSP";#N/A,#N/A,FALSE,"CredStwSP";#N/A,#N/A,FALSE,"SPbrkup";#N/A,#N/A,FALSE,"SPwBNSFws";#N/A,#N/A,FALSE,"MergSPwBNSF";#N/A,#N/A,FALSE,"CredStSPwBNSF (2)";#N/A,#N/A,FALSE,"SPwKCws (2)";#N/A,#N/A,FALSE,"MergSPwKC (2)";#N/A,#N/A,FALSE,"CredStKCwSP";#N/A,#N/A,FALSE,"ILL";#N/A,#N/A,FALSE,"SPwILLws";#N/A,#N/A,FALSE,"CredStILLwSP";#N/A,#N/A,FALSE,"MergSPwILL";#N/A,#N/A,FALSE,"CredStILLwSP";#N/A,#N/A,FALSE,"Conrail";#N/A,#N/A,FALSE,"CONws";#N/A,#N/A,FALSE,"MergCON";#N/A,#N/A,FALSE,"CredStwCON";#N/A,#N/A,FALSE,"SPwCONws ";#N/A,#N/A,FALSE,"MergSPwCON";#N/A,#N/A,FALSE,"CredStILLwCON";#N/A,#N/A,FALSE,"SPws (2)";#N/A,#N/A,FALSE,"MergSP (2)";#N/A,#N/A,FALSE,"CredStwSP (2)";#N/A,#N/A,FALSE,"CSX";#N/A,#N/A,FALSE,"CSXws";#N/A,#N/A,FALSE,"MergCSX";#N/A,#N/A,FALSE,"CredStwCSX";#N/A,#N/A,FALSE,"Norfolk";#N/A,#N/A,FALSE,"NORws";#N/A,#N/A,FALSE,"MergNOR";#N/A,#N/A,FALSE,"CredStwNOR";#N/A,#N/A,FALSE,"NORwCONws";#N/A,#N/A,FALSE,"MergNORwCON"}</definedName>
    <definedName name="q" hidden="1">{#N/A,#N/A,FALSE,"Antony Financials";#N/A,#N/A,FALSE,"Cowboy Financials";#N/A,#N/A,FALSE,"Combined";#N/A,#N/A,FALSE,"Valuematrix";#N/A,#N/A,FALSE,"DCFAntony";#N/A,#N/A,FALSE,"DCFCowboy";#N/A,#N/A,FALSE,"DCFCombined"}</definedName>
    <definedName name="rr" hidden="1">{#N/A,#N/A,FALSE,"Antony Financials";#N/A,#N/A,FALSE,"Cowboy Financials";#N/A,#N/A,FALSE,"Combined";#N/A,#N/A,FALSE,"Valuematrix";#N/A,#N/A,FALSE,"DCFAntony";#N/A,#N/A,FALSE,"DCFCowboy";#N/A,#N/A,FALSE,"DCFCombined"}</definedName>
    <definedName name="SAPBEXhrIndnt" hidden="1">"Wide"</definedName>
    <definedName name="SAPsysID" hidden="1">"708C5W7SBKP804JT78WJ0JNKI"</definedName>
    <definedName name="SAPwbID" hidden="1">"ARS"</definedName>
    <definedName name="sd" hidden="1">{#N/A,#N/A,TRUE,"10 yr forecast - Balance Sheet";#N/A,#N/A,TRUE,"10 yr forecast - SCFP";#N/A,#N/A,TRUE,"10 yr forecast - P&amp;L&lt;linked&gt; ";#N/A,#N/A,TRUE,"Product Sales Royalty Breakdown";#N/A,#N/A,TRUE,"Collaborative Revenue Breakdown";#N/A,#N/A,TRUE,"Commercial Ops Breakdown";#N/A,#N/A,TRUE,"R&amp;D Breakdown";#N/A,#N/A,TRUE,"SG&amp;A Breakdown";#N/A,#N/A,TRUE,"FTE Summary"}</definedName>
    <definedName name="sdfasefr" hidden="1">{#N/A,#N/A,FALSE,"Antony Financials";#N/A,#N/A,FALSE,"Cowboy Financials";#N/A,#N/A,FALSE,"Combined";#N/A,#N/A,FALSE,"Valuematrix";#N/A,#N/A,FALSE,"DCFAntony";#N/A,#N/A,FALSE,"DCFCowboy";#N/A,#N/A,FALSE,"DCFCombined"}</definedName>
    <definedName name="Slicer_Campaign_Name">#N/A</definedName>
    <definedName name="Slicer_Content_Topic">#N/A</definedName>
    <definedName name="Slicer_Customer_Name">#N/A</definedName>
    <definedName name="Slicer_Customer_Type">#N/A</definedName>
    <definedName name="Slicer_Status">#N/A</definedName>
    <definedName name="status">OFFSET(Database!$P$5,0,0,COUNTA(Database!$P:$P)-1,1)</definedName>
    <definedName name="t" hidden="1">{#N/A,#N/A,FALSE,"A&amp;E";#N/A,#N/A,FALSE,"HighTop";#N/A,#N/A,FALSE,"JG";#N/A,#N/A,FALSE,"RI";#N/A,#N/A,FALSE,"woHT";#N/A,#N/A,FALSE,"woHT&amp;JG"}</definedName>
    <definedName name="ttt" hidden="1">{#N/A,#N/A,FALSE,"CreditStat";#N/A,#N/A,FALSE,"SPbrkup";#N/A,#N/A,FALSE,"MerSPsyn";#N/A,#N/A,FALSE,"MerSPwKCsyn";#N/A,#N/A,FALSE,"MerSPwKCsyn (2)";#N/A,#N/A,FALSE,"CreditStat (2)"}</definedName>
    <definedName name="v" hidden="1">{"standalone1",#N/A,FALSE,"DCFBase";"standalone2",#N/A,FALSE,"DCFBase"}</definedName>
    <definedName name="vv" hidden="1">{#N/A,#N/A,FALSE,"CreditStat";#N/A,#N/A,FALSE,"SPbrkup";#N/A,#N/A,FALSE,"MerSPsyn";#N/A,#N/A,FALSE,"MerSPwKCsyn";#N/A,#N/A,FALSE,"MerSPwKCsyn (2)";#N/A,#N/A,FALSE,"CreditStat (2)"}</definedName>
    <definedName name="vvv" hidden="1">{#N/A,#N/A,FALSE,"Antony Financials";#N/A,#N/A,FALSE,"Cowboy Financials";#N/A,#N/A,FALSE,"Combined";#N/A,#N/A,FALSE,"Valuematrix";#N/A,#N/A,FALSE,"DCFAntony";#N/A,#N/A,FALSE,"DCFCowboy";#N/A,#N/A,FALSE,"DCFCombined"}</definedName>
    <definedName name="w" hidden="1">{#N/A,#N/A,FALSE,"CreditStat";#N/A,#N/A,FALSE,"SPbrkup";#N/A,#N/A,FALSE,"MerSPsyn";#N/A,#N/A,FALSE,"MerSPwKCsyn";#N/A,#N/A,FALSE,"MerSPwKCsyn (2)";#N/A,#N/A,FALSE,"CreditStat (2)"}</definedName>
    <definedName name="wrn.dcf." hidden="1">{"mgmt forecast",#N/A,FALSE,"Mgmt Forecast";"dcf table",#N/A,FALSE,"Mgmt Forecast";"sensitivity",#N/A,FALSE,"Mgmt Forecast";"table inputs",#N/A,FALSE,"Mgmt Forecast";"calculations",#N/A,FALSE,"Mgmt Forecast"}</definedName>
    <definedName name="wrn.Everything." hidden="1">{#N/A,#N/A,FALSE,"BNSF";#N/A,#N/A,FALSE,"KC";#N/A,#N/A,FALSE,"KCws";#N/A,#N/A,FALSE,"MergKC";#N/A,#N/A,FALSE,"CredStwKC";#N/A,#N/A,FALSE,"SP";#N/A,#N/A,FALSE,"SPws";#N/A,#N/A,FALSE,"MergSP";#N/A,#N/A,FALSE,"CredStwSP";#N/A,#N/A,FALSE,"SPbrkup";#N/A,#N/A,FALSE,"SPwBNSFws";#N/A,#N/A,FALSE,"MergSPwBNSF";#N/A,#N/A,FALSE,"CredStSPwBNSF (2)";#N/A,#N/A,FALSE,"SPwKCws (2)";#N/A,#N/A,FALSE,"MergSPwKC (2)";#N/A,#N/A,FALSE,"CredStKCwSP";#N/A,#N/A,FALSE,"ILL";#N/A,#N/A,FALSE,"SPwILLws";#N/A,#N/A,FALSE,"CredStILLwSP";#N/A,#N/A,FALSE,"MergSPwILL";#N/A,#N/A,FALSE,"CredStILLwSP";#N/A,#N/A,FALSE,"Conrail";#N/A,#N/A,FALSE,"CONws";#N/A,#N/A,FALSE,"MergCON";#N/A,#N/A,FALSE,"CredStwCON";#N/A,#N/A,FALSE,"SPwCONws ";#N/A,#N/A,FALSE,"MergSPwCON";#N/A,#N/A,FALSE,"CredStILLwCON";#N/A,#N/A,FALSE,"SPws (2)";#N/A,#N/A,FALSE,"MergSP (2)";#N/A,#N/A,FALSE,"CredStwSP (2)";#N/A,#N/A,FALSE,"CSX";#N/A,#N/A,FALSE,"CSXws";#N/A,#N/A,FALSE,"MergCSX";#N/A,#N/A,FALSE,"CredStwCSX";#N/A,#N/A,FALSE,"Norfolk";#N/A,#N/A,FALSE,"NORws";#N/A,#N/A,FALSE,"MergNOR";#N/A,#N/A,FALSE,"CredStwNOR";#N/A,#N/A,FALSE,"NORwCONws";#N/A,#N/A,FALSE,"MergNORwCON"}</definedName>
    <definedName name="wrn.print._.standalone." hidden="1">{"standalone1",#N/A,FALSE,"DCFBase";"standalone2",#N/A,FALSE,"DCFBase"}</definedName>
    <definedName name="wrn.SKSCS1." hidden="1">{#N/A,#N/A,FALSE,"Antony Financials";#N/A,#N/A,FALSE,"Cowboy Financials";#N/A,#N/A,FALSE,"Combined";#N/A,#N/A,FALSE,"Valuematrix";#N/A,#N/A,FALSE,"DCFAntony";#N/A,#N/A,FALSE,"DCFCowboy";#N/A,#N/A,FALSE,"DCFCombined"}</definedName>
    <definedName name="wrn.SummaryPgs." hidden="1">{#N/A,#N/A,FALSE,"CreditStat";#N/A,#N/A,FALSE,"SPbrkup";#N/A,#N/A,FALSE,"MerSPsyn";#N/A,#N/A,FALSE,"MerSPwKCsyn";#N/A,#N/A,FALSE,"MerSPwKCsyn (2)";#N/A,#N/A,FALSE,"CreditStat (2)"}</definedName>
    <definedName name="wrn.Top._.Level._.Summaries." hidden="1">{#N/A,#N/A,TRUE,"10 yr forecast - Balance Sheet";#N/A,#N/A,TRUE,"10 yr forecast - SCFP";#N/A,#N/A,TRUE,"10 yr forecast - P&amp;L&lt;linked&gt; ";#N/A,#N/A,TRUE,"Product Sales Royalty Breakdown";#N/A,#N/A,TRUE,"Collaborative Revenue Breakdown";#N/A,#N/A,TRUE,"Commercial Ops Breakdown";#N/A,#N/A,TRUE,"R&amp;D Breakdown";#N/A,#N/A,TRUE,"SG&amp;A Breakdown";#N/A,#N/A,TRUE,"FTE Summary"}</definedName>
    <definedName name="wrn.Tweety." hidden="1">{#N/A,#N/A,FALSE,"A&amp;E";#N/A,#N/A,FALSE,"HighTop";#N/A,#N/A,FALSE,"JG";#N/A,#N/A,FALSE,"RI";#N/A,#N/A,FALSE,"woHT";#N/A,#N/A,FALSE,"woHT&amp;JG"}</definedName>
    <definedName name="wrn.vortrag." hidden="1">{#N/A,#N/A,FALSE,"sales ytd";#N/A,#N/A,FALSE,"investments";#N/A,#N/A,FALSE,"bus. synergies 1997";#N/A,#N/A,FALSE,"synergies outlook"}</definedName>
    <definedName name="zzz" hidden="1">{#N/A,#N/A,TRUE,"10 yr forecast - Balance Sheet";#N/A,#N/A,TRUE,"10 yr forecast - SCFP";#N/A,#N/A,TRUE,"10 yr forecast - P&amp;L&lt;linked&gt; ";#N/A,#N/A,TRUE,"Product Sales Royalty Breakdown";#N/A,#N/A,TRUE,"Collaborative Revenue Breakdown";#N/A,#N/A,TRUE,"Commercial Ops Breakdown";#N/A,#N/A,TRUE,"R&amp;D Breakdown";#N/A,#N/A,TRUE,"SG&amp;A Breakdown";#N/A,#N/A,TRUE,"FTE Summary"}</definedName>
  </definedNames>
  <calcPr calcId="191029"/>
  <pivotCaches>
    <pivotCache cacheId="3" r:id="rId7"/>
  </pivotCaches>
  <extLst>
    <ext xmlns:x14="http://schemas.microsoft.com/office/spreadsheetml/2009/9/main" uri="{BBE1A952-AA13-448e-AADC-164F8A28A991}">
      <x14:slicerCaches>
        <x14:slicerCache r:id="rId8"/>
        <x14:slicerCache r:id="rId9"/>
        <x14:slicerCache r:id="rId10"/>
        <x14:slicerCache r:id="rId11"/>
        <x14:slicerCache r:id="rId12"/>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24" i="11" l="1"/>
  <c r="A25" i="11"/>
  <c r="A26" i="11"/>
  <c r="A27" i="11"/>
  <c r="A28" i="11"/>
  <c r="A29" i="11"/>
  <c r="A30" i="11"/>
  <c r="A31" i="11"/>
  <c r="A32" i="11"/>
  <c r="A33" i="11"/>
  <c r="A34" i="11"/>
  <c r="A35" i="11"/>
  <c r="A36" i="11"/>
  <c r="A37" i="11"/>
  <c r="A38" i="11"/>
  <c r="A39" i="11"/>
  <c r="A40" i="11"/>
  <c r="A41" i="11"/>
  <c r="A42" i="11"/>
  <c r="A43" i="11"/>
  <c r="A44" i="11"/>
  <c r="A45" i="11"/>
  <c r="A46" i="11"/>
  <c r="A47" i="11"/>
  <c r="A48" i="11"/>
  <c r="A49" i="11"/>
  <c r="A50" i="11"/>
  <c r="A51" i="11"/>
  <c r="A52" i="11"/>
  <c r="A53" i="11"/>
  <c r="A54" i="11"/>
  <c r="A55" i="11"/>
  <c r="A56" i="11"/>
  <c r="A57" i="11"/>
  <c r="A58" i="11"/>
  <c r="A59" i="11"/>
  <c r="A60" i="11"/>
  <c r="A61" i="11"/>
  <c r="A62" i="11"/>
  <c r="A63" i="11"/>
  <c r="A64" i="11"/>
  <c r="A65" i="11"/>
  <c r="A66" i="11"/>
  <c r="A67" i="11"/>
  <c r="A68" i="11"/>
  <c r="A69" i="11"/>
  <c r="A70" i="11"/>
  <c r="A71" i="11"/>
  <c r="A72" i="11"/>
  <c r="A73" i="11"/>
  <c r="A74" i="11"/>
  <c r="A75" i="11"/>
  <c r="A76" i="11"/>
  <c r="A77" i="11"/>
  <c r="A78" i="11"/>
  <c r="A79" i="11"/>
  <c r="A80" i="11"/>
  <c r="A81" i="11"/>
  <c r="A82" i="11"/>
  <c r="A83" i="11"/>
  <c r="A84" i="11"/>
  <c r="A85" i="11"/>
  <c r="A86" i="11"/>
  <c r="A87" i="11"/>
  <c r="A88" i="11"/>
  <c r="A89" i="11"/>
  <c r="A90" i="11"/>
  <c r="A91" i="11"/>
  <c r="A92" i="11"/>
  <c r="A93" i="11"/>
  <c r="A94" i="11"/>
  <c r="A95" i="11"/>
  <c r="A96" i="11"/>
  <c r="A97" i="11"/>
  <c r="A98" i="11"/>
  <c r="A99" i="11"/>
  <c r="A100" i="11"/>
  <c r="A101" i="11"/>
  <c r="A102" i="11"/>
  <c r="A103" i="11"/>
  <c r="A104" i="11"/>
  <c r="A105" i="11"/>
  <c r="A106" i="11"/>
  <c r="A107" i="11"/>
  <c r="A108" i="11"/>
  <c r="A109" i="11"/>
  <c r="A110" i="11"/>
  <c r="A111" i="11"/>
  <c r="A112" i="11"/>
  <c r="A113" i="11"/>
  <c r="A114" i="11"/>
  <c r="A115" i="11"/>
  <c r="A116" i="11"/>
  <c r="A117" i="11"/>
  <c r="A118" i="11"/>
  <c r="A119" i="11"/>
  <c r="A120" i="11"/>
  <c r="A121" i="11"/>
  <c r="A122" i="11"/>
  <c r="A123" i="11"/>
  <c r="A124" i="11"/>
  <c r="A125" i="11"/>
  <c r="A126" i="11"/>
  <c r="A127" i="11"/>
  <c r="A128" i="11"/>
  <c r="A129" i="11"/>
  <c r="A130" i="11"/>
  <c r="A131" i="11"/>
  <c r="A132" i="11"/>
  <c r="A133" i="11"/>
  <c r="A134" i="11"/>
  <c r="A135" i="11"/>
  <c r="A136" i="11"/>
  <c r="A137" i="11"/>
  <c r="A138" i="11"/>
  <c r="A139" i="11"/>
  <c r="A140" i="11"/>
  <c r="A141" i="11"/>
  <c r="A142" i="11"/>
  <c r="A143" i="11"/>
  <c r="A144" i="11"/>
  <c r="A145" i="11"/>
  <c r="A146" i="11"/>
  <c r="A147" i="11"/>
  <c r="A148" i="11"/>
  <c r="A149" i="11"/>
  <c r="A150" i="11"/>
  <c r="A151" i="11"/>
  <c r="A152" i="11"/>
  <c r="A153" i="11"/>
  <c r="A154" i="11"/>
  <c r="A155" i="11"/>
  <c r="A156" i="11"/>
  <c r="A157" i="11"/>
  <c r="A158" i="11"/>
  <c r="A159" i="11"/>
  <c r="A160" i="11"/>
  <c r="A161" i="11"/>
  <c r="A162" i="11"/>
  <c r="A163" i="11"/>
  <c r="A164" i="11"/>
  <c r="A165" i="11"/>
  <c r="A166" i="11"/>
  <c r="A167" i="11"/>
  <c r="A168" i="11"/>
  <c r="A169" i="11"/>
  <c r="A170" i="11"/>
  <c r="A171" i="11"/>
  <c r="A172" i="11"/>
  <c r="A173" i="11"/>
  <c r="A174" i="11"/>
  <c r="A175" i="11"/>
  <c r="A176" i="11"/>
  <c r="A177" i="11"/>
  <c r="A178" i="11"/>
  <c r="A179" i="11"/>
  <c r="A180" i="11"/>
  <c r="A181" i="11"/>
  <c r="A182" i="11"/>
  <c r="A183" i="11"/>
  <c r="A184" i="11"/>
  <c r="A185" i="11"/>
  <c r="A186" i="11"/>
  <c r="A187" i="11"/>
  <c r="A188" i="11"/>
  <c r="A189" i="11"/>
  <c r="A190" i="11"/>
  <c r="A191" i="11"/>
  <c r="A192" i="11"/>
  <c r="A193" i="11"/>
  <c r="A194" i="11"/>
  <c r="A195" i="11"/>
  <c r="A196" i="11"/>
  <c r="A197" i="11"/>
  <c r="A198" i="11"/>
  <c r="A199" i="11"/>
  <c r="A200" i="11"/>
  <c r="A201" i="11"/>
  <c r="A202" i="11"/>
  <c r="A203" i="11"/>
  <c r="A204" i="11"/>
  <c r="A205" i="11"/>
  <c r="A206" i="11"/>
  <c r="A207" i="11"/>
  <c r="A208" i="11"/>
  <c r="A209" i="11"/>
  <c r="A210" i="11"/>
  <c r="A211" i="11"/>
  <c r="A212" i="11"/>
  <c r="A213" i="11"/>
  <c r="A214" i="11"/>
  <c r="A215" i="11"/>
  <c r="A216" i="11"/>
  <c r="A217" i="11"/>
  <c r="A218" i="11"/>
  <c r="A219" i="11"/>
  <c r="A220" i="11"/>
  <c r="A221" i="11"/>
  <c r="A222" i="11"/>
  <c r="A223" i="11"/>
  <c r="A224" i="11"/>
  <c r="A225" i="11"/>
  <c r="A226" i="11"/>
  <c r="A227" i="11"/>
  <c r="A228" i="11"/>
  <c r="A229" i="11"/>
  <c r="A230" i="11"/>
  <c r="A231" i="11"/>
  <c r="A232" i="11"/>
  <c r="A233" i="11"/>
  <c r="A234" i="11"/>
  <c r="A235" i="11"/>
  <c r="A236" i="11"/>
  <c r="A237" i="11"/>
  <c r="A238" i="11"/>
  <c r="A239" i="11"/>
  <c r="A240" i="11"/>
  <c r="A241" i="11"/>
  <c r="A242" i="11"/>
  <c r="A243" i="11"/>
  <c r="A244" i="11"/>
  <c r="A245" i="11"/>
  <c r="A246" i="11"/>
  <c r="A247" i="11"/>
  <c r="A248" i="11"/>
  <c r="A249" i="11"/>
  <c r="A250" i="11"/>
  <c r="A251" i="11"/>
  <c r="A252" i="11"/>
  <c r="A253" i="11"/>
  <c r="A254" i="11"/>
  <c r="A255" i="11"/>
  <c r="A256" i="11"/>
  <c r="A257" i="11"/>
  <c r="A258" i="11"/>
  <c r="A259" i="11"/>
  <c r="A260" i="11"/>
  <c r="A261" i="11"/>
  <c r="A262" i="11"/>
  <c r="A263" i="11"/>
  <c r="A264" i="11"/>
  <c r="A265" i="11"/>
  <c r="A266" i="11"/>
  <c r="A267" i="11"/>
  <c r="A268" i="11"/>
  <c r="A269" i="11"/>
  <c r="A270" i="11"/>
  <c r="A271" i="11"/>
  <c r="A272" i="11"/>
  <c r="A273" i="11"/>
  <c r="A274" i="11"/>
  <c r="A275" i="11"/>
  <c r="A276" i="11"/>
  <c r="A277" i="11"/>
  <c r="A278" i="11"/>
  <c r="A279" i="11"/>
  <c r="A280" i="11"/>
  <c r="A281" i="11"/>
  <c r="A282" i="11"/>
  <c r="A283" i="11"/>
  <c r="A284" i="11"/>
  <c r="A285" i="11"/>
  <c r="A286" i="11"/>
  <c r="A287" i="11"/>
  <c r="A288" i="11"/>
  <c r="A289" i="11"/>
  <c r="A290" i="11"/>
  <c r="A291" i="11"/>
  <c r="A292" i="11"/>
  <c r="A293" i="11"/>
  <c r="A294" i="11"/>
  <c r="A295" i="11"/>
  <c r="A296" i="11"/>
  <c r="A297" i="11"/>
  <c r="A298" i="11"/>
  <c r="A299" i="11"/>
  <c r="A300" i="11"/>
  <c r="A301" i="11"/>
  <c r="A302" i="11"/>
  <c r="A303" i="11"/>
  <c r="A304" i="11"/>
  <c r="A305" i="11"/>
  <c r="A306" i="11"/>
  <c r="A307" i="11"/>
  <c r="A308" i="11"/>
  <c r="A309" i="11"/>
  <c r="A310" i="11"/>
  <c r="A311" i="11"/>
  <c r="A312" i="11"/>
  <c r="A313" i="11"/>
  <c r="A314" i="11"/>
  <c r="A315" i="11"/>
  <c r="A316" i="11"/>
  <c r="A317" i="11"/>
  <c r="A318" i="11"/>
  <c r="A319" i="11"/>
  <c r="A320" i="11"/>
  <c r="A321" i="11"/>
  <c r="A322" i="11"/>
  <c r="A323" i="11"/>
  <c r="A324" i="11"/>
  <c r="A325" i="11"/>
  <c r="A326" i="11"/>
  <c r="A327" i="11"/>
  <c r="A328" i="11"/>
  <c r="A329" i="11"/>
  <c r="A330" i="11"/>
  <c r="A331" i="11"/>
  <c r="A332" i="11"/>
  <c r="A333" i="11"/>
  <c r="A334" i="11"/>
  <c r="A335" i="11"/>
  <c r="A336" i="11"/>
  <c r="A337" i="11"/>
  <c r="A338" i="11"/>
  <c r="A339" i="11"/>
  <c r="A340" i="11"/>
  <c r="A341" i="11"/>
  <c r="A342" i="11"/>
  <c r="A343" i="11"/>
  <c r="A344" i="11"/>
  <c r="A345" i="11"/>
  <c r="A346" i="11"/>
  <c r="A347" i="11"/>
  <c r="A348" i="11"/>
  <c r="A349" i="11"/>
  <c r="A350" i="11"/>
  <c r="A351" i="11"/>
  <c r="A352" i="11"/>
  <c r="A353" i="11"/>
  <c r="A354" i="11"/>
  <c r="A355" i="11"/>
  <c r="A356" i="11"/>
  <c r="A357" i="11"/>
  <c r="A358" i="11"/>
  <c r="A359" i="11"/>
  <c r="A360" i="11"/>
  <c r="A361" i="11"/>
  <c r="A362" i="11"/>
  <c r="A363" i="11"/>
  <c r="A364" i="11"/>
  <c r="A365" i="11"/>
  <c r="A366" i="11"/>
  <c r="A367" i="11"/>
  <c r="A368" i="11"/>
  <c r="A369" i="11"/>
  <c r="A370" i="11"/>
  <c r="A371" i="11"/>
  <c r="A372" i="11"/>
  <c r="A373" i="11"/>
  <c r="A374" i="11"/>
  <c r="A375" i="11"/>
  <c r="A376" i="11"/>
  <c r="A377" i="11"/>
  <c r="A378" i="11"/>
  <c r="A379" i="11"/>
  <c r="A380" i="11"/>
  <c r="A381" i="11"/>
  <c r="A382" i="11"/>
  <c r="A383" i="11"/>
  <c r="A384" i="11"/>
  <c r="A385" i="11"/>
  <c r="A386" i="11"/>
  <c r="A387" i="11"/>
  <c r="A388" i="11"/>
  <c r="A389" i="11"/>
  <c r="A390" i="11"/>
  <c r="A391" i="11"/>
  <c r="A392" i="11"/>
  <c r="A393" i="11"/>
  <c r="A394" i="11"/>
  <c r="A395" i="11"/>
  <c r="A396" i="11"/>
  <c r="A397" i="11"/>
  <c r="A398" i="11"/>
  <c r="A399" i="11"/>
  <c r="A400" i="11"/>
  <c r="A401" i="11"/>
  <c r="A402" i="11"/>
  <c r="A403" i="11"/>
  <c r="A404" i="11"/>
  <c r="A405" i="11"/>
  <c r="A406" i="11"/>
  <c r="A407" i="11"/>
  <c r="A408" i="11"/>
  <c r="A409" i="11"/>
  <c r="A410" i="11"/>
  <c r="A411" i="11"/>
  <c r="A412" i="11"/>
  <c r="A413" i="11"/>
  <c r="A414" i="11"/>
  <c r="A415" i="11"/>
  <c r="A416" i="11"/>
  <c r="A417" i="11"/>
  <c r="A418" i="11"/>
  <c r="A419" i="11"/>
  <c r="A420" i="11"/>
  <c r="A421" i="11"/>
  <c r="A422" i="11"/>
  <c r="A423" i="11"/>
  <c r="A424" i="11"/>
  <c r="A425" i="11"/>
  <c r="A426" i="11"/>
  <c r="A427" i="11"/>
  <c r="A428" i="11"/>
  <c r="A429" i="11"/>
  <c r="A430" i="11"/>
  <c r="A431" i="11"/>
  <c r="A432" i="11"/>
  <c r="A433" i="11"/>
  <c r="A434" i="11"/>
  <c r="A435" i="11"/>
  <c r="A436" i="11"/>
  <c r="A437" i="11"/>
  <c r="A438" i="11"/>
  <c r="A439" i="11"/>
  <c r="A440" i="11"/>
  <c r="A441" i="11"/>
  <c r="A442" i="11"/>
  <c r="A443" i="11"/>
  <c r="A444" i="11"/>
  <c r="A445" i="11"/>
  <c r="A446" i="11"/>
  <c r="A447" i="11"/>
  <c r="A448" i="11"/>
  <c r="A449" i="11"/>
  <c r="A450" i="11"/>
  <c r="A451" i="11"/>
  <c r="A452" i="11"/>
  <c r="A453" i="11"/>
  <c r="A454" i="11"/>
  <c r="A455" i="11"/>
  <c r="A456" i="11"/>
  <c r="A457" i="11"/>
  <c r="A458" i="11"/>
  <c r="A459" i="11"/>
  <c r="A460" i="11"/>
  <c r="A461" i="11"/>
  <c r="A462" i="11"/>
  <c r="A463" i="11"/>
  <c r="A464" i="11"/>
  <c r="A465" i="11"/>
  <c r="A466" i="11"/>
  <c r="A467" i="11"/>
  <c r="A468" i="11"/>
  <c r="A469" i="11"/>
  <c r="A470" i="11"/>
  <c r="A471" i="11"/>
  <c r="A472" i="11"/>
  <c r="A473" i="11"/>
  <c r="A474" i="11"/>
  <c r="A475" i="11"/>
  <c r="A476" i="11"/>
  <c r="A477" i="11"/>
  <c r="A478" i="11"/>
  <c r="A479" i="11"/>
  <c r="A480" i="11"/>
  <c r="A481" i="11"/>
  <c r="A482" i="11"/>
  <c r="A483" i="11"/>
  <c r="A484" i="11"/>
  <c r="A485" i="11"/>
  <c r="A486" i="11"/>
  <c r="A487" i="11"/>
  <c r="A488" i="11"/>
  <c r="A489" i="11"/>
  <c r="A490" i="11"/>
  <c r="A491" i="11"/>
  <c r="A492" i="11"/>
  <c r="A493" i="11"/>
  <c r="A494" i="11"/>
  <c r="A495" i="11"/>
  <c r="A496" i="11"/>
  <c r="A497" i="11"/>
  <c r="A498" i="11"/>
  <c r="A499" i="11"/>
  <c r="A500" i="11"/>
  <c r="A501" i="11"/>
  <c r="A502" i="11"/>
  <c r="A503" i="11"/>
  <c r="A504" i="11"/>
  <c r="A505" i="11"/>
  <c r="A506" i="11"/>
  <c r="A507" i="11"/>
  <c r="A508" i="11"/>
  <c r="A509" i="11"/>
  <c r="A510" i="11"/>
  <c r="A511" i="11"/>
  <c r="A512" i="11"/>
  <c r="A513" i="11"/>
  <c r="A514" i="11"/>
  <c r="A515" i="11"/>
  <c r="A516" i="11"/>
  <c r="A517" i="11"/>
  <c r="A518" i="11"/>
  <c r="A519" i="11"/>
  <c r="A520" i="11"/>
  <c r="A521" i="11"/>
  <c r="A522" i="11"/>
  <c r="A523" i="11"/>
  <c r="A524" i="11"/>
  <c r="A525" i="11"/>
  <c r="A526" i="11"/>
  <c r="A527" i="11"/>
  <c r="A528" i="11"/>
  <c r="A529" i="11"/>
  <c r="A530" i="11"/>
  <c r="A531" i="11"/>
  <c r="A532" i="11"/>
  <c r="A533" i="11"/>
  <c r="A534" i="11"/>
  <c r="A535" i="11"/>
  <c r="A536" i="11"/>
  <c r="A537" i="11"/>
  <c r="A538" i="11"/>
  <c r="A539" i="11"/>
  <c r="A540" i="11"/>
  <c r="A541" i="11"/>
  <c r="A542" i="11"/>
  <c r="A543" i="11"/>
  <c r="A544" i="11"/>
  <c r="A545" i="11"/>
  <c r="A546" i="11"/>
  <c r="A547" i="11"/>
  <c r="A548" i="11"/>
  <c r="A549" i="11"/>
  <c r="A550" i="11"/>
  <c r="A551" i="11"/>
  <c r="A552" i="11"/>
  <c r="A553" i="11"/>
  <c r="A554" i="11"/>
  <c r="A555" i="11"/>
  <c r="A556" i="11"/>
  <c r="A557" i="11"/>
  <c r="A558" i="11"/>
  <c r="A559" i="11"/>
  <c r="A560" i="11"/>
  <c r="A561" i="11"/>
  <c r="A562" i="11"/>
  <c r="A563" i="11"/>
  <c r="A564" i="11"/>
  <c r="A565" i="11"/>
  <c r="A566" i="11"/>
  <c r="A567" i="11"/>
  <c r="A568" i="11"/>
  <c r="A569" i="11"/>
  <c r="A570" i="11"/>
  <c r="A571" i="11"/>
  <c r="A572" i="11"/>
  <c r="A573" i="11"/>
  <c r="A574" i="11"/>
  <c r="A575" i="11"/>
  <c r="A576" i="11"/>
  <c r="A577" i="11"/>
  <c r="A578" i="11"/>
  <c r="A579" i="11"/>
  <c r="A580" i="11"/>
  <c r="A581" i="11"/>
  <c r="A582" i="11"/>
  <c r="A583" i="11"/>
  <c r="A584" i="11"/>
  <c r="A585" i="11"/>
  <c r="A586" i="11"/>
  <c r="A587" i="11"/>
  <c r="A588" i="11"/>
  <c r="A589" i="11"/>
  <c r="A590" i="11"/>
  <c r="A591" i="11"/>
  <c r="A592" i="11"/>
  <c r="A593" i="11"/>
  <c r="A594" i="11"/>
  <c r="A595" i="11"/>
  <c r="A596" i="11"/>
  <c r="A597" i="11"/>
  <c r="A598" i="11"/>
  <c r="A599" i="11"/>
  <c r="A600" i="11"/>
  <c r="A601" i="11"/>
  <c r="A602" i="11"/>
  <c r="A603" i="11"/>
  <c r="A604" i="11"/>
  <c r="A605" i="11"/>
  <c r="A606" i="11"/>
  <c r="A607" i="11"/>
  <c r="A608" i="11"/>
  <c r="A609" i="11"/>
  <c r="A610" i="11"/>
  <c r="A611" i="11"/>
  <c r="A612" i="11"/>
  <c r="A613" i="11"/>
  <c r="A614" i="11"/>
  <c r="A615" i="11"/>
  <c r="A616" i="11"/>
  <c r="A617" i="11"/>
  <c r="A618" i="11"/>
  <c r="A619" i="11"/>
  <c r="A620" i="11"/>
  <c r="A621" i="11"/>
  <c r="A622" i="11"/>
  <c r="A623" i="11"/>
  <c r="A624" i="11"/>
  <c r="A625" i="11"/>
  <c r="A626" i="11"/>
  <c r="A627" i="11"/>
  <c r="A628" i="11"/>
  <c r="A629" i="11"/>
  <c r="A630" i="11"/>
  <c r="A631" i="11"/>
  <c r="A632" i="11"/>
  <c r="A633" i="11"/>
  <c r="A634" i="11"/>
  <c r="A635" i="11"/>
  <c r="A636" i="11"/>
  <c r="A637" i="11"/>
  <c r="A638" i="11"/>
  <c r="A639" i="11"/>
  <c r="A640" i="11"/>
  <c r="A641" i="11"/>
  <c r="A642" i="11"/>
  <c r="A643" i="11"/>
  <c r="A644" i="11"/>
  <c r="A645" i="11"/>
  <c r="A646" i="11"/>
  <c r="A647" i="11"/>
  <c r="A648" i="11"/>
  <c r="A649" i="11"/>
  <c r="A650" i="11"/>
  <c r="A651" i="11"/>
  <c r="A652" i="11"/>
  <c r="A653" i="11"/>
  <c r="A654" i="11"/>
  <c r="A655" i="11"/>
  <c r="A656" i="11"/>
  <c r="A657" i="11"/>
  <c r="A658" i="11"/>
  <c r="A659" i="11"/>
  <c r="A660" i="11"/>
  <c r="A661" i="11"/>
  <c r="A662" i="11"/>
  <c r="A663" i="11"/>
  <c r="A664" i="11"/>
  <c r="A665" i="11"/>
  <c r="A666" i="11"/>
  <c r="A667" i="11"/>
  <c r="A668" i="11"/>
  <c r="A669" i="11"/>
  <c r="A670" i="11"/>
  <c r="A671" i="11"/>
  <c r="A672" i="11"/>
  <c r="A673" i="11"/>
  <c r="A674" i="11"/>
  <c r="A675" i="11"/>
  <c r="A676" i="11"/>
  <c r="A677" i="11"/>
  <c r="A678" i="11"/>
  <c r="A679" i="11"/>
  <c r="A680" i="11"/>
  <c r="A681" i="11"/>
  <c r="A682" i="11"/>
  <c r="A683" i="11"/>
  <c r="A684" i="11"/>
  <c r="A685" i="11"/>
  <c r="A686" i="11"/>
  <c r="A687" i="11"/>
  <c r="A688" i="11"/>
  <c r="A689" i="11"/>
  <c r="A690" i="11"/>
  <c r="A691" i="11"/>
  <c r="A692" i="11"/>
  <c r="A693" i="11"/>
  <c r="A694" i="11"/>
  <c r="A695" i="11"/>
  <c r="A696" i="11"/>
  <c r="A697" i="11"/>
  <c r="A698" i="11"/>
  <c r="A699" i="11"/>
  <c r="A700" i="11"/>
  <c r="A701" i="11"/>
  <c r="A702" i="11"/>
  <c r="A703" i="11"/>
  <c r="A704" i="11"/>
  <c r="A705" i="11"/>
  <c r="A706" i="11"/>
  <c r="A707" i="11"/>
  <c r="A708" i="11"/>
  <c r="A709" i="11"/>
  <c r="A710" i="11"/>
  <c r="A711" i="11"/>
  <c r="A712" i="11"/>
  <c r="A713" i="11"/>
  <c r="A714" i="11"/>
  <c r="A715" i="11"/>
  <c r="A716" i="11"/>
  <c r="A717" i="11"/>
  <c r="A718" i="11"/>
  <c r="A719" i="11"/>
  <c r="A720" i="11"/>
  <c r="A721" i="11"/>
  <c r="A722" i="11"/>
  <c r="A723" i="11"/>
  <c r="A724" i="11"/>
  <c r="A725" i="11"/>
  <c r="A726" i="11"/>
  <c r="A727" i="11"/>
  <c r="A728" i="11"/>
  <c r="A729" i="11"/>
  <c r="A730" i="11"/>
  <c r="A731" i="11"/>
  <c r="A732" i="11"/>
  <c r="A733" i="11"/>
  <c r="A734" i="11"/>
  <c r="A735" i="11"/>
  <c r="A736" i="11"/>
  <c r="A737" i="11"/>
  <c r="A738" i="11"/>
  <c r="A739" i="11"/>
  <c r="A740" i="11"/>
  <c r="A741" i="11"/>
  <c r="A742" i="11"/>
  <c r="A743" i="11"/>
  <c r="A744" i="11"/>
  <c r="A745" i="11"/>
  <c r="A746" i="11"/>
  <c r="A747" i="11"/>
  <c r="A748" i="11"/>
  <c r="A749" i="11"/>
  <c r="A750" i="11"/>
  <c r="A751" i="11"/>
  <c r="A752" i="11"/>
  <c r="A753" i="11"/>
  <c r="A754" i="11"/>
  <c r="A755" i="11"/>
  <c r="A756" i="11"/>
  <c r="A757" i="11"/>
  <c r="A758" i="11"/>
  <c r="A759" i="11"/>
  <c r="A760" i="11"/>
  <c r="A761" i="11"/>
  <c r="A762" i="11"/>
  <c r="A763" i="11"/>
  <c r="A764" i="11"/>
  <c r="A765" i="11"/>
  <c r="A766" i="11"/>
  <c r="A767" i="11"/>
  <c r="A768" i="11"/>
  <c r="A769" i="11"/>
  <c r="A770" i="11"/>
  <c r="A771" i="11"/>
  <c r="A772" i="11"/>
  <c r="A773" i="11"/>
  <c r="A774" i="11"/>
  <c r="A775" i="11"/>
  <c r="A776" i="11"/>
  <c r="A777" i="11"/>
  <c r="A778" i="11"/>
  <c r="A779" i="11"/>
  <c r="A780" i="11"/>
  <c r="A781" i="11"/>
  <c r="A782" i="11"/>
  <c r="A783" i="11"/>
  <c r="A784" i="11"/>
  <c r="A785" i="11"/>
  <c r="A786" i="11"/>
  <c r="A787" i="11"/>
  <c r="A788" i="11"/>
  <c r="A789" i="11"/>
  <c r="A790" i="11"/>
  <c r="A791" i="11"/>
  <c r="A792" i="11"/>
  <c r="A793" i="11"/>
  <c r="A794" i="11"/>
  <c r="A795" i="11"/>
  <c r="A796" i="11"/>
  <c r="A797" i="11"/>
  <c r="A798" i="11"/>
  <c r="A799" i="11"/>
  <c r="A800" i="11"/>
  <c r="A801" i="11"/>
  <c r="A802" i="11"/>
  <c r="A803" i="11"/>
  <c r="A804" i="11"/>
  <c r="A805" i="11"/>
  <c r="A806" i="11"/>
  <c r="A807" i="11"/>
  <c r="A808" i="11"/>
  <c r="A809" i="11"/>
  <c r="A810" i="11"/>
  <c r="A811" i="11"/>
  <c r="A812" i="11"/>
  <c r="A813" i="11"/>
  <c r="A814" i="11"/>
  <c r="A815" i="11"/>
  <c r="A816" i="11"/>
  <c r="A817" i="11"/>
  <c r="A818" i="11"/>
  <c r="A819" i="11"/>
  <c r="A820" i="11"/>
  <c r="A821" i="11"/>
  <c r="A822" i="11"/>
  <c r="A823" i="11"/>
  <c r="A824" i="11"/>
  <c r="A825" i="11"/>
  <c r="A826" i="11"/>
  <c r="A827" i="11"/>
  <c r="A828" i="11"/>
  <c r="A829" i="11"/>
  <c r="A830" i="11"/>
  <c r="A831" i="11"/>
  <c r="A832" i="11"/>
  <c r="A833" i="11"/>
  <c r="A834" i="11"/>
  <c r="A835" i="11"/>
  <c r="A836" i="11"/>
  <c r="A837" i="11"/>
  <c r="A838" i="11"/>
  <c r="A839" i="11"/>
  <c r="A840" i="11"/>
  <c r="A841" i="11"/>
  <c r="A842" i="11"/>
  <c r="A843" i="11"/>
  <c r="A844" i="11"/>
  <c r="A845" i="11"/>
  <c r="A846" i="11"/>
  <c r="A847" i="11"/>
  <c r="A848" i="11"/>
  <c r="A849" i="11"/>
  <c r="A850" i="11"/>
  <c r="A851" i="11"/>
  <c r="A852" i="11"/>
  <c r="A853" i="11"/>
  <c r="A854" i="11"/>
  <c r="A855" i="11"/>
  <c r="A856" i="11"/>
  <c r="A857" i="11"/>
  <c r="A858" i="11"/>
  <c r="A859" i="11"/>
  <c r="A860" i="11"/>
  <c r="A861" i="11"/>
  <c r="A862" i="11"/>
  <c r="A863" i="11"/>
  <c r="A864" i="11"/>
  <c r="A865" i="11"/>
  <c r="A866" i="11"/>
  <c r="A867" i="11"/>
  <c r="A868" i="11"/>
  <c r="A869" i="11"/>
  <c r="A870" i="11"/>
  <c r="A871" i="11"/>
  <c r="A872" i="11"/>
  <c r="A873" i="11"/>
  <c r="A874" i="11"/>
  <c r="A875" i="11"/>
  <c r="A876" i="11"/>
  <c r="A877" i="11"/>
  <c r="A878" i="11"/>
  <c r="A879" i="11"/>
  <c r="A880" i="11"/>
  <c r="A881" i="11"/>
  <c r="A882" i="11"/>
  <c r="A883" i="11"/>
  <c r="A884" i="11"/>
  <c r="A885" i="11"/>
  <c r="A886" i="11"/>
  <c r="A887" i="11"/>
  <c r="A888" i="11"/>
  <c r="A889" i="11"/>
  <c r="A890" i="11"/>
  <c r="A891" i="11"/>
  <c r="A892" i="11"/>
  <c r="A893" i="11"/>
  <c r="A894" i="11"/>
  <c r="A895" i="11"/>
  <c r="A896" i="11"/>
  <c r="A897" i="11"/>
  <c r="A898" i="11"/>
  <c r="A899" i="11"/>
  <c r="A900" i="11"/>
  <c r="A901" i="11"/>
  <c r="A902" i="11"/>
  <c r="A903" i="11"/>
  <c r="A904" i="11"/>
  <c r="A905" i="11"/>
  <c r="A906" i="11"/>
  <c r="A907" i="11"/>
  <c r="A908" i="11"/>
  <c r="A909" i="11"/>
  <c r="A910" i="11"/>
  <c r="A911" i="11"/>
  <c r="A912" i="11"/>
  <c r="A913" i="11"/>
  <c r="A914" i="11"/>
  <c r="A915" i="11"/>
  <c r="A916" i="11"/>
  <c r="A917" i="11"/>
  <c r="A918" i="11"/>
  <c r="A919" i="11"/>
  <c r="A920" i="11"/>
  <c r="A921" i="11"/>
  <c r="A922" i="11"/>
  <c r="A923" i="11"/>
  <c r="A924" i="11"/>
  <c r="A925" i="11"/>
  <c r="A926" i="11"/>
  <c r="A927" i="11"/>
  <c r="A928" i="11"/>
  <c r="A929" i="11"/>
  <c r="A930" i="11"/>
  <c r="A931" i="11"/>
  <c r="A932" i="11"/>
  <c r="A933" i="11"/>
  <c r="A934" i="11"/>
  <c r="A935" i="11"/>
  <c r="A936" i="11"/>
  <c r="A937" i="11"/>
  <c r="A938" i="11"/>
  <c r="A939" i="11"/>
  <c r="A940" i="11"/>
  <c r="A941" i="11"/>
  <c r="A942" i="11"/>
  <c r="A943" i="11"/>
  <c r="A944" i="11"/>
  <c r="A945" i="11"/>
  <c r="A946" i="11"/>
  <c r="A947" i="11"/>
  <c r="A948" i="11"/>
  <c r="A949" i="11"/>
  <c r="A950" i="11"/>
  <c r="A951" i="11"/>
  <c r="A952" i="11"/>
  <c r="A953" i="11"/>
  <c r="A954" i="11"/>
  <c r="A955" i="11"/>
  <c r="A956" i="11"/>
  <c r="A957" i="11"/>
  <c r="A958" i="11"/>
  <c r="A959" i="11"/>
  <c r="A960" i="11"/>
  <c r="A961" i="11"/>
  <c r="A962" i="11"/>
  <c r="A963" i="11"/>
  <c r="A964" i="11"/>
  <c r="A965" i="11"/>
  <c r="A966" i="11"/>
  <c r="A967" i="11"/>
  <c r="A968" i="11"/>
  <c r="A969" i="11"/>
  <c r="A970" i="11"/>
  <c r="A971" i="11"/>
  <c r="A972" i="11"/>
  <c r="A973" i="11"/>
  <c r="A974" i="11"/>
  <c r="A975" i="11"/>
  <c r="A976" i="11"/>
  <c r="A977" i="11"/>
  <c r="A978" i="11"/>
  <c r="A979" i="11"/>
  <c r="A980" i="11"/>
  <c r="A981" i="11"/>
  <c r="A982" i="11"/>
  <c r="A983" i="11"/>
  <c r="A984" i="11"/>
  <c r="A985" i="11"/>
  <c r="A986" i="11"/>
  <c r="A987" i="11"/>
  <c r="A988" i="11"/>
  <c r="A989" i="11"/>
  <c r="A990" i="11"/>
  <c r="A991" i="11"/>
  <c r="A992" i="11"/>
  <c r="A993" i="11"/>
  <c r="A994" i="11"/>
  <c r="A995" i="11"/>
  <c r="A996" i="11"/>
  <c r="A997" i="11"/>
  <c r="A998" i="11"/>
  <c r="A999" i="11"/>
  <c r="A1000" i="11"/>
  <c r="A1001" i="11"/>
  <c r="A1002" i="11"/>
  <c r="A1003" i="11"/>
  <c r="A1004" i="11"/>
  <c r="A1005" i="11"/>
  <c r="A1006" i="11"/>
  <c r="A1007" i="11"/>
  <c r="A1008" i="11"/>
  <c r="A1009" i="11"/>
  <c r="A1010" i="11"/>
  <c r="A1011" i="11"/>
  <c r="A1012" i="11"/>
  <c r="A1013" i="11"/>
  <c r="A1014" i="11"/>
  <c r="A1015" i="11"/>
  <c r="A1016" i="11"/>
  <c r="A1017" i="11"/>
  <c r="A1018" i="11"/>
  <c r="A1019" i="11"/>
  <c r="A1020" i="11"/>
  <c r="A1021" i="11"/>
  <c r="A1022" i="11"/>
  <c r="A1023" i="11"/>
  <c r="A1024" i="11"/>
  <c r="A1025" i="11"/>
  <c r="A1026" i="11"/>
  <c r="A1027" i="11"/>
  <c r="A1028" i="11"/>
  <c r="A1029" i="11"/>
  <c r="A1030" i="11"/>
  <c r="A1031" i="11"/>
  <c r="A1032" i="11"/>
  <c r="A1033" i="11"/>
  <c r="A1034" i="11"/>
  <c r="A1035" i="11"/>
  <c r="A1036" i="11"/>
  <c r="A1037" i="11"/>
  <c r="A1038" i="11"/>
  <c r="A1039" i="11"/>
  <c r="A1040" i="11"/>
  <c r="A1041" i="11"/>
  <c r="A1042" i="11"/>
  <c r="A1043" i="11"/>
  <c r="A1044" i="11"/>
  <c r="A1045" i="11"/>
  <c r="A1046" i="11"/>
  <c r="A1047" i="11"/>
  <c r="A1048" i="11"/>
  <c r="A1049" i="11"/>
  <c r="A1050" i="11"/>
  <c r="A1051" i="11"/>
  <c r="A1052" i="11"/>
  <c r="A1053" i="11"/>
  <c r="A1054" i="11"/>
  <c r="A1055" i="11"/>
  <c r="A1056" i="11"/>
  <c r="A1057" i="11"/>
  <c r="A1058" i="11"/>
  <c r="A1059" i="11"/>
  <c r="A1060" i="11"/>
  <c r="A1061" i="11"/>
  <c r="A1062" i="11"/>
  <c r="A1063" i="11"/>
  <c r="A1064" i="11"/>
  <c r="A1065" i="11"/>
  <c r="A1066" i="11"/>
  <c r="A1067" i="11"/>
  <c r="A1068" i="11"/>
  <c r="A1069" i="11"/>
  <c r="A1070" i="11"/>
  <c r="A1071" i="11"/>
  <c r="A1072" i="11"/>
  <c r="A1073" i="11"/>
  <c r="A1074" i="11"/>
  <c r="A1075" i="11"/>
  <c r="A1076" i="11"/>
  <c r="A1077" i="11"/>
  <c r="A1078" i="11"/>
  <c r="A1079" i="11"/>
  <c r="F3004" i="12" l="1"/>
  <c r="D3004" i="12" s="1"/>
  <c r="G3004" i="12"/>
  <c r="L3004" i="12" s="1"/>
  <c r="H3004" i="12"/>
  <c r="N3004" i="12"/>
  <c r="O3004" i="12"/>
  <c r="P3004" i="12"/>
  <c r="Q3004" i="12"/>
  <c r="F3005" i="12"/>
  <c r="D3005" i="12" s="1"/>
  <c r="G3005" i="12"/>
  <c r="I3005" i="12" s="1"/>
  <c r="H3005" i="12"/>
  <c r="N3005" i="12"/>
  <c r="O3005" i="12"/>
  <c r="P3005" i="12"/>
  <c r="Q3005" i="12"/>
  <c r="F3006" i="12"/>
  <c r="D3006" i="12" s="1"/>
  <c r="G3006" i="12"/>
  <c r="H3006" i="12"/>
  <c r="N3006" i="12"/>
  <c r="O3006" i="12"/>
  <c r="P3006" i="12"/>
  <c r="Q3006" i="12"/>
  <c r="F3007" i="12"/>
  <c r="D3007" i="12" s="1"/>
  <c r="G3007" i="12"/>
  <c r="H3007" i="12"/>
  <c r="N3007" i="12"/>
  <c r="O3007" i="12"/>
  <c r="P3007" i="12"/>
  <c r="Q3007" i="12"/>
  <c r="F3008" i="12"/>
  <c r="D3008" i="12" s="1"/>
  <c r="G3008" i="12"/>
  <c r="L3008" i="12" s="1"/>
  <c r="H3008" i="12"/>
  <c r="N3008" i="12"/>
  <c r="O3008" i="12"/>
  <c r="P3008" i="12"/>
  <c r="Q3008" i="12"/>
  <c r="F3009" i="12"/>
  <c r="E3009" i="12" s="1"/>
  <c r="G3009" i="12"/>
  <c r="I3009" i="12" s="1"/>
  <c r="H3009" i="12"/>
  <c r="N3009" i="12"/>
  <c r="O3009" i="12"/>
  <c r="P3009" i="12"/>
  <c r="Q3009" i="12"/>
  <c r="F3010" i="12"/>
  <c r="D3010" i="12" s="1"/>
  <c r="G3010" i="12"/>
  <c r="H3010" i="12"/>
  <c r="N3010" i="12"/>
  <c r="O3010" i="12"/>
  <c r="P3010" i="12"/>
  <c r="Q3010" i="12"/>
  <c r="F3011" i="12"/>
  <c r="D3011" i="12" s="1"/>
  <c r="G3011" i="12"/>
  <c r="J3011" i="12" s="1"/>
  <c r="H3011" i="12"/>
  <c r="N3011" i="12"/>
  <c r="O3011" i="12"/>
  <c r="P3011" i="12"/>
  <c r="Q3011" i="12"/>
  <c r="F3012" i="12"/>
  <c r="D3012" i="12" s="1"/>
  <c r="G3012" i="12"/>
  <c r="L3012" i="12" s="1"/>
  <c r="H3012" i="12"/>
  <c r="N3012" i="12"/>
  <c r="O3012" i="12"/>
  <c r="P3012" i="12"/>
  <c r="Q3012" i="12"/>
  <c r="F3013" i="12"/>
  <c r="D3013" i="12" s="1"/>
  <c r="G3013" i="12"/>
  <c r="I3013" i="12" s="1"/>
  <c r="H3013" i="12"/>
  <c r="N3013" i="12"/>
  <c r="O3013" i="12"/>
  <c r="P3013" i="12"/>
  <c r="Q3013" i="12"/>
  <c r="F3014" i="12"/>
  <c r="E3014" i="12" s="1"/>
  <c r="G3014" i="12"/>
  <c r="H3014" i="12"/>
  <c r="N3014" i="12"/>
  <c r="O3014" i="12"/>
  <c r="P3014" i="12"/>
  <c r="Q3014" i="12"/>
  <c r="F3015" i="12"/>
  <c r="D3015" i="12" s="1"/>
  <c r="G3015" i="12"/>
  <c r="J3015" i="12" s="1"/>
  <c r="H3015" i="12"/>
  <c r="N3015" i="12"/>
  <c r="O3015" i="12"/>
  <c r="P3015" i="12"/>
  <c r="Q3015" i="12"/>
  <c r="F3016" i="12"/>
  <c r="D3016" i="12" s="1"/>
  <c r="G3016" i="12"/>
  <c r="L3016" i="12" s="1"/>
  <c r="H3016" i="12"/>
  <c r="N3016" i="12"/>
  <c r="O3016" i="12"/>
  <c r="P3016" i="12"/>
  <c r="Q3016" i="12"/>
  <c r="F3017" i="12"/>
  <c r="D3017" i="12" s="1"/>
  <c r="G3017" i="12"/>
  <c r="I3017" i="12" s="1"/>
  <c r="H3017" i="12"/>
  <c r="N3017" i="12"/>
  <c r="O3017" i="12"/>
  <c r="P3017" i="12"/>
  <c r="Q3017" i="12"/>
  <c r="F3018" i="12"/>
  <c r="E3018" i="12" s="1"/>
  <c r="G3018" i="12"/>
  <c r="H3018" i="12"/>
  <c r="N3018" i="12"/>
  <c r="O3018" i="12"/>
  <c r="P3018" i="12"/>
  <c r="Q3018" i="12"/>
  <c r="F3019" i="12"/>
  <c r="D3019" i="12" s="1"/>
  <c r="G3019" i="12"/>
  <c r="J3019" i="12" s="1"/>
  <c r="H3019" i="12"/>
  <c r="N3019" i="12"/>
  <c r="O3019" i="12"/>
  <c r="P3019" i="12"/>
  <c r="Q3019" i="12"/>
  <c r="F3020" i="12"/>
  <c r="D3020" i="12" s="1"/>
  <c r="G3020" i="12"/>
  <c r="L3020" i="12" s="1"/>
  <c r="H3020" i="12"/>
  <c r="N3020" i="12"/>
  <c r="O3020" i="12"/>
  <c r="P3020" i="12"/>
  <c r="Q3020" i="12"/>
  <c r="F3021" i="12"/>
  <c r="D3021" i="12" s="1"/>
  <c r="G3021" i="12"/>
  <c r="I3021" i="12" s="1"/>
  <c r="H3021" i="12"/>
  <c r="N3021" i="12"/>
  <c r="O3021" i="12"/>
  <c r="P3021" i="12"/>
  <c r="Q3021" i="12"/>
  <c r="F3022" i="12"/>
  <c r="E3022" i="12" s="1"/>
  <c r="G3022" i="12"/>
  <c r="H3022" i="12"/>
  <c r="N3022" i="12"/>
  <c r="O3022" i="12"/>
  <c r="P3022" i="12"/>
  <c r="Q3022" i="12"/>
  <c r="F3023" i="12"/>
  <c r="D3023" i="12" s="1"/>
  <c r="G3023" i="12"/>
  <c r="J3023" i="12" s="1"/>
  <c r="H3023" i="12"/>
  <c r="N3023" i="12"/>
  <c r="O3023" i="12"/>
  <c r="P3023" i="12"/>
  <c r="Q3023" i="12"/>
  <c r="F3024" i="12"/>
  <c r="D3024" i="12" s="1"/>
  <c r="G3024" i="12"/>
  <c r="L3024" i="12" s="1"/>
  <c r="H3024" i="12"/>
  <c r="N3024" i="12"/>
  <c r="O3024" i="12"/>
  <c r="P3024" i="12"/>
  <c r="Q3024" i="12"/>
  <c r="F3025" i="12"/>
  <c r="D3025" i="12" s="1"/>
  <c r="G3025" i="12"/>
  <c r="I3025" i="12" s="1"/>
  <c r="H3025" i="12"/>
  <c r="N3025" i="12"/>
  <c r="O3025" i="12"/>
  <c r="P3025" i="12"/>
  <c r="Q3025" i="12"/>
  <c r="F3026" i="12"/>
  <c r="E3026" i="12" s="1"/>
  <c r="G3026" i="12"/>
  <c r="H3026" i="12"/>
  <c r="N3026" i="12"/>
  <c r="O3026" i="12"/>
  <c r="P3026" i="12"/>
  <c r="Q3026" i="12"/>
  <c r="F3027" i="12"/>
  <c r="D3027" i="12" s="1"/>
  <c r="G3027" i="12"/>
  <c r="J3027" i="12" s="1"/>
  <c r="H3027" i="12"/>
  <c r="N3027" i="12"/>
  <c r="O3027" i="12"/>
  <c r="P3027" i="12"/>
  <c r="Q3027" i="12"/>
  <c r="F3028" i="12"/>
  <c r="D3028" i="12" s="1"/>
  <c r="G3028" i="12"/>
  <c r="I3028" i="12" s="1"/>
  <c r="H3028" i="12"/>
  <c r="N3028" i="12"/>
  <c r="O3028" i="12"/>
  <c r="P3028" i="12"/>
  <c r="Q3028" i="12"/>
  <c r="F3029" i="12"/>
  <c r="D3029" i="12" s="1"/>
  <c r="G3029" i="12"/>
  <c r="I3029" i="12" s="1"/>
  <c r="H3029" i="12"/>
  <c r="N3029" i="12"/>
  <c r="O3029" i="12"/>
  <c r="P3029" i="12"/>
  <c r="Q3029" i="12"/>
  <c r="F3030" i="12"/>
  <c r="E3030" i="12" s="1"/>
  <c r="G3030" i="12"/>
  <c r="H3030" i="12"/>
  <c r="N3030" i="12"/>
  <c r="O3030" i="12"/>
  <c r="P3030" i="12"/>
  <c r="Q3030" i="12"/>
  <c r="F3031" i="12"/>
  <c r="D3031" i="12" s="1"/>
  <c r="G3031" i="12"/>
  <c r="J3031" i="12" s="1"/>
  <c r="H3031" i="12"/>
  <c r="N3031" i="12"/>
  <c r="O3031" i="12"/>
  <c r="P3031" i="12"/>
  <c r="Q3031" i="12"/>
  <c r="F3032" i="12"/>
  <c r="D3032" i="12" s="1"/>
  <c r="G3032" i="12"/>
  <c r="J3032" i="12" s="1"/>
  <c r="H3032" i="12"/>
  <c r="N3032" i="12"/>
  <c r="O3032" i="12"/>
  <c r="P3032" i="12"/>
  <c r="Q3032" i="12"/>
  <c r="F3033" i="12"/>
  <c r="D3033" i="12" s="1"/>
  <c r="G3033" i="12"/>
  <c r="I3033" i="12" s="1"/>
  <c r="H3033" i="12"/>
  <c r="N3033" i="12"/>
  <c r="O3033" i="12"/>
  <c r="P3033" i="12"/>
  <c r="Q3033" i="12"/>
  <c r="F3034" i="12"/>
  <c r="E3034" i="12" s="1"/>
  <c r="G3034" i="12"/>
  <c r="H3034" i="12"/>
  <c r="N3034" i="12"/>
  <c r="O3034" i="12"/>
  <c r="P3034" i="12"/>
  <c r="Q3034" i="12"/>
  <c r="F3035" i="12"/>
  <c r="D3035" i="12" s="1"/>
  <c r="G3035" i="12"/>
  <c r="J3035" i="12" s="1"/>
  <c r="H3035" i="12"/>
  <c r="N3035" i="12"/>
  <c r="O3035" i="12"/>
  <c r="P3035" i="12"/>
  <c r="Q3035" i="12"/>
  <c r="F3036" i="12"/>
  <c r="D3036" i="12" s="1"/>
  <c r="G3036" i="12"/>
  <c r="H3036" i="12"/>
  <c r="N3036" i="12"/>
  <c r="O3036" i="12"/>
  <c r="P3036" i="12"/>
  <c r="Q3036" i="12"/>
  <c r="F3037" i="12"/>
  <c r="D3037" i="12" s="1"/>
  <c r="G3037" i="12"/>
  <c r="I3037" i="12" s="1"/>
  <c r="H3037" i="12"/>
  <c r="N3037" i="12"/>
  <c r="O3037" i="12"/>
  <c r="P3037" i="12"/>
  <c r="Q3037" i="12"/>
  <c r="F3038" i="12"/>
  <c r="E3038" i="12" s="1"/>
  <c r="G3038" i="12"/>
  <c r="H3038" i="12"/>
  <c r="N3038" i="12"/>
  <c r="O3038" i="12"/>
  <c r="P3038" i="12"/>
  <c r="Q3038" i="12"/>
  <c r="F3039" i="12"/>
  <c r="D3039" i="12" s="1"/>
  <c r="G3039" i="12"/>
  <c r="J3039" i="12" s="1"/>
  <c r="H3039" i="12"/>
  <c r="N3039" i="12"/>
  <c r="O3039" i="12"/>
  <c r="P3039" i="12"/>
  <c r="Q3039" i="12"/>
  <c r="F3040" i="12"/>
  <c r="D3040" i="12" s="1"/>
  <c r="G3040" i="12"/>
  <c r="M3040" i="12" s="1"/>
  <c r="H3040" i="12"/>
  <c r="N3040" i="12"/>
  <c r="O3040" i="12"/>
  <c r="P3040" i="12"/>
  <c r="Q3040" i="12"/>
  <c r="F3041" i="12"/>
  <c r="D3041" i="12" s="1"/>
  <c r="G3041" i="12"/>
  <c r="I3041" i="12" s="1"/>
  <c r="H3041" i="12"/>
  <c r="N3041" i="12"/>
  <c r="O3041" i="12"/>
  <c r="P3041" i="12"/>
  <c r="Q3041" i="12"/>
  <c r="F3042" i="12"/>
  <c r="E3042" i="12" s="1"/>
  <c r="G3042" i="12"/>
  <c r="H3042" i="12"/>
  <c r="N3042" i="12"/>
  <c r="O3042" i="12"/>
  <c r="P3042" i="12"/>
  <c r="Q3042" i="12"/>
  <c r="F3043" i="12"/>
  <c r="D3043" i="12" s="1"/>
  <c r="G3043" i="12"/>
  <c r="J3043" i="12" s="1"/>
  <c r="H3043" i="12"/>
  <c r="N3043" i="12"/>
  <c r="O3043" i="12"/>
  <c r="P3043" i="12"/>
  <c r="Q3043" i="12"/>
  <c r="F3044" i="12"/>
  <c r="D3044" i="12" s="1"/>
  <c r="G3044" i="12"/>
  <c r="L3044" i="12" s="1"/>
  <c r="H3044" i="12"/>
  <c r="N3044" i="12"/>
  <c r="O3044" i="12"/>
  <c r="P3044" i="12"/>
  <c r="Q3044" i="12"/>
  <c r="F3045" i="12"/>
  <c r="D3045" i="12" s="1"/>
  <c r="G3045" i="12"/>
  <c r="I3045" i="12" s="1"/>
  <c r="H3045" i="12"/>
  <c r="N3045" i="12"/>
  <c r="O3045" i="12"/>
  <c r="P3045" i="12"/>
  <c r="Q3045" i="12"/>
  <c r="F3046" i="12"/>
  <c r="E3046" i="12" s="1"/>
  <c r="G3046" i="12"/>
  <c r="H3046" i="12"/>
  <c r="N3046" i="12"/>
  <c r="O3046" i="12"/>
  <c r="P3046" i="12"/>
  <c r="Q3046" i="12"/>
  <c r="F3047" i="12"/>
  <c r="D3047" i="12" s="1"/>
  <c r="G3047" i="12"/>
  <c r="J3047" i="12" s="1"/>
  <c r="H3047" i="12"/>
  <c r="N3047" i="12"/>
  <c r="O3047" i="12"/>
  <c r="P3047" i="12"/>
  <c r="Q3047" i="12"/>
  <c r="F3048" i="12"/>
  <c r="D3048" i="12" s="1"/>
  <c r="G3048" i="12"/>
  <c r="K3048" i="12" s="1"/>
  <c r="H3048" i="12"/>
  <c r="N3048" i="12"/>
  <c r="O3048" i="12"/>
  <c r="P3048" i="12"/>
  <c r="Q3048" i="12"/>
  <c r="F3049" i="12"/>
  <c r="E3049" i="12" s="1"/>
  <c r="G3049" i="12"/>
  <c r="I3049" i="12" s="1"/>
  <c r="H3049" i="12"/>
  <c r="N3049" i="12"/>
  <c r="O3049" i="12"/>
  <c r="P3049" i="12"/>
  <c r="Q3049" i="12"/>
  <c r="F3050" i="12"/>
  <c r="E3050" i="12" s="1"/>
  <c r="G3050" i="12"/>
  <c r="H3050" i="12"/>
  <c r="N3050" i="12"/>
  <c r="O3050" i="12"/>
  <c r="P3050" i="12"/>
  <c r="Q3050" i="12"/>
  <c r="F3051" i="12"/>
  <c r="D3051" i="12" s="1"/>
  <c r="G3051" i="12"/>
  <c r="J3051" i="12" s="1"/>
  <c r="H3051" i="12"/>
  <c r="N3051" i="12"/>
  <c r="O3051" i="12"/>
  <c r="P3051" i="12"/>
  <c r="Q3051" i="12"/>
  <c r="F3052" i="12"/>
  <c r="G3052" i="12"/>
  <c r="J3052" i="12" s="1"/>
  <c r="H3052" i="12"/>
  <c r="N3052" i="12"/>
  <c r="O3052" i="12"/>
  <c r="P3052" i="12"/>
  <c r="Q3052" i="12"/>
  <c r="F3053" i="12"/>
  <c r="D3053" i="12" s="1"/>
  <c r="G3053" i="12"/>
  <c r="I3053" i="12" s="1"/>
  <c r="H3053" i="12"/>
  <c r="N3053" i="12"/>
  <c r="O3053" i="12"/>
  <c r="P3053" i="12"/>
  <c r="Q3053" i="12"/>
  <c r="F3054" i="12"/>
  <c r="E3054" i="12" s="1"/>
  <c r="G3054" i="12"/>
  <c r="H3054" i="12"/>
  <c r="N3054" i="12"/>
  <c r="O3054" i="12"/>
  <c r="P3054" i="12"/>
  <c r="Q3054" i="12"/>
  <c r="F3055" i="12"/>
  <c r="D3055" i="12" s="1"/>
  <c r="G3055" i="12"/>
  <c r="M3055" i="12" s="1"/>
  <c r="H3055" i="12"/>
  <c r="N3055" i="12"/>
  <c r="O3055" i="12"/>
  <c r="P3055" i="12"/>
  <c r="Q3055" i="12"/>
  <c r="F3056" i="12"/>
  <c r="D3056" i="12" s="1"/>
  <c r="G3056" i="12"/>
  <c r="I3056" i="12" s="1"/>
  <c r="H3056" i="12"/>
  <c r="N3056" i="12"/>
  <c r="O3056" i="12"/>
  <c r="P3056" i="12"/>
  <c r="Q3056" i="12"/>
  <c r="F3057" i="12"/>
  <c r="D3057" i="12" s="1"/>
  <c r="G3057" i="12"/>
  <c r="I3057" i="12" s="1"/>
  <c r="H3057" i="12"/>
  <c r="N3057" i="12"/>
  <c r="O3057" i="12"/>
  <c r="P3057" i="12"/>
  <c r="Q3057" i="12"/>
  <c r="F3058" i="12"/>
  <c r="E3058" i="12" s="1"/>
  <c r="G3058" i="12"/>
  <c r="H3058" i="12"/>
  <c r="N3058" i="12"/>
  <c r="O3058" i="12"/>
  <c r="P3058" i="12"/>
  <c r="Q3058" i="12"/>
  <c r="F3059" i="12"/>
  <c r="D3059" i="12" s="1"/>
  <c r="G3059" i="12"/>
  <c r="M3059" i="12" s="1"/>
  <c r="H3059" i="12"/>
  <c r="N3059" i="12"/>
  <c r="O3059" i="12"/>
  <c r="P3059" i="12"/>
  <c r="Q3059" i="12"/>
  <c r="F3060" i="12"/>
  <c r="D3060" i="12" s="1"/>
  <c r="G3060" i="12"/>
  <c r="H3060" i="12"/>
  <c r="N3060" i="12"/>
  <c r="O3060" i="12"/>
  <c r="P3060" i="12"/>
  <c r="Q3060" i="12"/>
  <c r="F3061" i="12"/>
  <c r="D3061" i="12" s="1"/>
  <c r="G3061" i="12"/>
  <c r="I3061" i="12" s="1"/>
  <c r="H3061" i="12"/>
  <c r="N3061" i="12"/>
  <c r="O3061" i="12"/>
  <c r="P3061" i="12"/>
  <c r="Q3061" i="12"/>
  <c r="F3062" i="12"/>
  <c r="E3062" i="12" s="1"/>
  <c r="G3062" i="12"/>
  <c r="H3062" i="12"/>
  <c r="N3062" i="12"/>
  <c r="O3062" i="12"/>
  <c r="P3062" i="12"/>
  <c r="Q3062" i="12"/>
  <c r="F3063" i="12"/>
  <c r="D3063" i="12" s="1"/>
  <c r="G3063" i="12"/>
  <c r="M3063" i="12" s="1"/>
  <c r="H3063" i="12"/>
  <c r="N3063" i="12"/>
  <c r="O3063" i="12"/>
  <c r="P3063" i="12"/>
  <c r="Q3063" i="12"/>
  <c r="F3064" i="12"/>
  <c r="D3064" i="12" s="1"/>
  <c r="G3064" i="12"/>
  <c r="L3064" i="12" s="1"/>
  <c r="H3064" i="12"/>
  <c r="N3064" i="12"/>
  <c r="O3064" i="12"/>
  <c r="P3064" i="12"/>
  <c r="Q3064" i="12"/>
  <c r="F3065" i="12"/>
  <c r="D3065" i="12" s="1"/>
  <c r="G3065" i="12"/>
  <c r="I3065" i="12" s="1"/>
  <c r="H3065" i="12"/>
  <c r="N3065" i="12"/>
  <c r="O3065" i="12"/>
  <c r="P3065" i="12"/>
  <c r="Q3065" i="12"/>
  <c r="F3066" i="12"/>
  <c r="E3066" i="12" s="1"/>
  <c r="G3066" i="12"/>
  <c r="I3066" i="12" s="1"/>
  <c r="H3066" i="12"/>
  <c r="N3066" i="12"/>
  <c r="O3066" i="12"/>
  <c r="P3066" i="12"/>
  <c r="Q3066" i="12"/>
  <c r="F3067" i="12"/>
  <c r="D3067" i="12" s="1"/>
  <c r="G3067" i="12"/>
  <c r="M3067" i="12" s="1"/>
  <c r="H3067" i="12"/>
  <c r="N3067" i="12"/>
  <c r="O3067" i="12"/>
  <c r="P3067" i="12"/>
  <c r="Q3067" i="12"/>
  <c r="F3068" i="12"/>
  <c r="D3068" i="12" s="1"/>
  <c r="G3068" i="12"/>
  <c r="I3068" i="12" s="1"/>
  <c r="H3068" i="12"/>
  <c r="N3068" i="12"/>
  <c r="O3068" i="12"/>
  <c r="P3068" i="12"/>
  <c r="Q3068" i="12"/>
  <c r="F3069" i="12"/>
  <c r="D3069" i="12" s="1"/>
  <c r="G3069" i="12"/>
  <c r="J3069" i="12" s="1"/>
  <c r="H3069" i="12"/>
  <c r="N3069" i="12"/>
  <c r="O3069" i="12"/>
  <c r="P3069" i="12"/>
  <c r="Q3069" i="12"/>
  <c r="F3070" i="12"/>
  <c r="E3070" i="12" s="1"/>
  <c r="G3070" i="12"/>
  <c r="H3070" i="12"/>
  <c r="N3070" i="12"/>
  <c r="O3070" i="12"/>
  <c r="P3070" i="12"/>
  <c r="Q3070" i="12"/>
  <c r="F3071" i="12"/>
  <c r="G3071" i="12"/>
  <c r="M3071" i="12" s="1"/>
  <c r="H3071" i="12"/>
  <c r="N3071" i="12"/>
  <c r="O3071" i="12"/>
  <c r="P3071" i="12"/>
  <c r="Q3071" i="12"/>
  <c r="F3072" i="12"/>
  <c r="D3072" i="12" s="1"/>
  <c r="G3072" i="12"/>
  <c r="L3072" i="12" s="1"/>
  <c r="H3072" i="12"/>
  <c r="N3072" i="12"/>
  <c r="O3072" i="12"/>
  <c r="P3072" i="12"/>
  <c r="Q3072" i="12"/>
  <c r="F3073" i="12"/>
  <c r="D3073" i="12" s="1"/>
  <c r="G3073" i="12"/>
  <c r="J3073" i="12" s="1"/>
  <c r="H3073" i="12"/>
  <c r="N3073" i="12"/>
  <c r="O3073" i="12"/>
  <c r="P3073" i="12"/>
  <c r="Q3073" i="12"/>
  <c r="F3074" i="12"/>
  <c r="E3074" i="12" s="1"/>
  <c r="G3074" i="12"/>
  <c r="I3074" i="12" s="1"/>
  <c r="H3074" i="12"/>
  <c r="N3074" i="12"/>
  <c r="O3074" i="12"/>
  <c r="P3074" i="12"/>
  <c r="Q3074" i="12"/>
  <c r="F3075" i="12"/>
  <c r="G3075" i="12"/>
  <c r="M3075" i="12" s="1"/>
  <c r="H3075" i="12"/>
  <c r="N3075" i="12"/>
  <c r="O3075" i="12"/>
  <c r="P3075" i="12"/>
  <c r="Q3075" i="12"/>
  <c r="F3076" i="12"/>
  <c r="D3076" i="12" s="1"/>
  <c r="G3076" i="12"/>
  <c r="J3076" i="12" s="1"/>
  <c r="H3076" i="12"/>
  <c r="N3076" i="12"/>
  <c r="O3076" i="12"/>
  <c r="P3076" i="12"/>
  <c r="Q3076" i="12"/>
  <c r="F3077" i="12"/>
  <c r="E3077" i="12" s="1"/>
  <c r="G3077" i="12"/>
  <c r="H3077" i="12"/>
  <c r="N3077" i="12"/>
  <c r="O3077" i="12"/>
  <c r="P3077" i="12"/>
  <c r="Q3077" i="12"/>
  <c r="F3078" i="12"/>
  <c r="E3078" i="12" s="1"/>
  <c r="G3078" i="12"/>
  <c r="I3078" i="12" s="1"/>
  <c r="H3078" i="12"/>
  <c r="N3078" i="12"/>
  <c r="O3078" i="12"/>
  <c r="P3078" i="12"/>
  <c r="Q3078" i="12"/>
  <c r="F3079" i="12"/>
  <c r="G3079" i="12"/>
  <c r="M3079" i="12" s="1"/>
  <c r="H3079" i="12"/>
  <c r="N3079" i="12"/>
  <c r="O3079" i="12"/>
  <c r="P3079" i="12"/>
  <c r="Q3079" i="12"/>
  <c r="F3080" i="12"/>
  <c r="E3080" i="12" s="1"/>
  <c r="G3080" i="12"/>
  <c r="M3080" i="12" s="1"/>
  <c r="H3080" i="12"/>
  <c r="N3080" i="12"/>
  <c r="O3080" i="12"/>
  <c r="P3080" i="12"/>
  <c r="Q3080" i="12"/>
  <c r="F3081" i="12"/>
  <c r="D3081" i="12" s="1"/>
  <c r="G3081" i="12"/>
  <c r="H3081" i="12"/>
  <c r="N3081" i="12"/>
  <c r="O3081" i="12"/>
  <c r="P3081" i="12"/>
  <c r="Q3081" i="12"/>
  <c r="F3082" i="12"/>
  <c r="E3082" i="12" s="1"/>
  <c r="G3082" i="12"/>
  <c r="J3082" i="12" s="1"/>
  <c r="H3082" i="12"/>
  <c r="N3082" i="12"/>
  <c r="O3082" i="12"/>
  <c r="P3082" i="12"/>
  <c r="Q3082" i="12"/>
  <c r="F3083" i="12"/>
  <c r="E3083" i="12" s="1"/>
  <c r="G3083" i="12"/>
  <c r="M3083" i="12" s="1"/>
  <c r="H3083" i="12"/>
  <c r="N3083" i="12"/>
  <c r="O3083" i="12"/>
  <c r="P3083" i="12"/>
  <c r="Q3083" i="12"/>
  <c r="F3084" i="12"/>
  <c r="D3084" i="12" s="1"/>
  <c r="G3084" i="12"/>
  <c r="K3084" i="12" s="1"/>
  <c r="H3084" i="12"/>
  <c r="N3084" i="12"/>
  <c r="O3084" i="12"/>
  <c r="P3084" i="12"/>
  <c r="Q3084" i="12"/>
  <c r="F3085" i="12"/>
  <c r="G3085" i="12"/>
  <c r="J3085" i="12" s="1"/>
  <c r="H3085" i="12"/>
  <c r="N3085" i="12"/>
  <c r="O3085" i="12"/>
  <c r="P3085" i="12"/>
  <c r="Q3085" i="12"/>
  <c r="F3086" i="12"/>
  <c r="E3086" i="12" s="1"/>
  <c r="G3086" i="12"/>
  <c r="I3086" i="12" s="1"/>
  <c r="H3086" i="12"/>
  <c r="N3086" i="12"/>
  <c r="O3086" i="12"/>
  <c r="P3086" i="12"/>
  <c r="Q3086" i="12"/>
  <c r="F3087" i="12"/>
  <c r="E3087" i="12" s="1"/>
  <c r="G3087" i="12"/>
  <c r="M3087" i="12" s="1"/>
  <c r="H3087" i="12"/>
  <c r="N3087" i="12"/>
  <c r="O3087" i="12"/>
  <c r="P3087" i="12"/>
  <c r="Q3087" i="12"/>
  <c r="F3088" i="12"/>
  <c r="D3088" i="12" s="1"/>
  <c r="G3088" i="12"/>
  <c r="J3088" i="12" s="1"/>
  <c r="H3088" i="12"/>
  <c r="N3088" i="12"/>
  <c r="O3088" i="12"/>
  <c r="P3088" i="12"/>
  <c r="Q3088" i="12"/>
  <c r="F3089" i="12"/>
  <c r="D3089" i="12" s="1"/>
  <c r="G3089" i="12"/>
  <c r="I3089" i="12" s="1"/>
  <c r="H3089" i="12"/>
  <c r="N3089" i="12"/>
  <c r="O3089" i="12"/>
  <c r="P3089" i="12"/>
  <c r="Q3089" i="12"/>
  <c r="F3090" i="12"/>
  <c r="D3090" i="12" s="1"/>
  <c r="G3090" i="12"/>
  <c r="I3090" i="12" s="1"/>
  <c r="H3090" i="12"/>
  <c r="N3090" i="12"/>
  <c r="O3090" i="12"/>
  <c r="P3090" i="12"/>
  <c r="Q3090" i="12"/>
  <c r="F3091" i="12"/>
  <c r="D3091" i="12" s="1"/>
  <c r="G3091" i="12"/>
  <c r="K3091" i="12" s="1"/>
  <c r="H3091" i="12"/>
  <c r="N3091" i="12"/>
  <c r="O3091" i="12"/>
  <c r="P3091" i="12"/>
  <c r="Q3091" i="12"/>
  <c r="F3092" i="12"/>
  <c r="E3092" i="12" s="1"/>
  <c r="G3092" i="12"/>
  <c r="M3092" i="12" s="1"/>
  <c r="H3092" i="12"/>
  <c r="N3092" i="12"/>
  <c r="O3092" i="12"/>
  <c r="P3092" i="12"/>
  <c r="Q3092" i="12"/>
  <c r="F3093" i="12"/>
  <c r="G3093" i="12"/>
  <c r="J3093" i="12" s="1"/>
  <c r="H3093" i="12"/>
  <c r="N3093" i="12"/>
  <c r="O3093" i="12"/>
  <c r="P3093" i="12"/>
  <c r="Q3093" i="12"/>
  <c r="F3094" i="12"/>
  <c r="D3094" i="12" s="1"/>
  <c r="G3094" i="12"/>
  <c r="I3094" i="12" s="1"/>
  <c r="H3094" i="12"/>
  <c r="N3094" i="12"/>
  <c r="O3094" i="12"/>
  <c r="P3094" i="12"/>
  <c r="Q3094" i="12"/>
  <c r="F3095" i="12"/>
  <c r="D3095" i="12" s="1"/>
  <c r="G3095" i="12"/>
  <c r="K3095" i="12" s="1"/>
  <c r="H3095" i="12"/>
  <c r="N3095" i="12"/>
  <c r="O3095" i="12"/>
  <c r="P3095" i="12"/>
  <c r="Q3095" i="12"/>
  <c r="F3096" i="12"/>
  <c r="E3096" i="12" s="1"/>
  <c r="G3096" i="12"/>
  <c r="M3096" i="12" s="1"/>
  <c r="H3096" i="12"/>
  <c r="N3096" i="12"/>
  <c r="O3096" i="12"/>
  <c r="P3096" i="12"/>
  <c r="Q3096" i="12"/>
  <c r="F3097" i="12"/>
  <c r="G3097" i="12"/>
  <c r="J3097" i="12" s="1"/>
  <c r="H3097" i="12"/>
  <c r="N3097" i="12"/>
  <c r="O3097" i="12"/>
  <c r="P3097" i="12"/>
  <c r="Q3097" i="12"/>
  <c r="F3098" i="12"/>
  <c r="D3098" i="12" s="1"/>
  <c r="G3098" i="12"/>
  <c r="I3098" i="12" s="1"/>
  <c r="H3098" i="12"/>
  <c r="N3098" i="12"/>
  <c r="O3098" i="12"/>
  <c r="P3098" i="12"/>
  <c r="Q3098" i="12"/>
  <c r="F3099" i="12"/>
  <c r="D3099" i="12" s="1"/>
  <c r="G3099" i="12"/>
  <c r="K3099" i="12" s="1"/>
  <c r="H3099" i="12"/>
  <c r="N3099" i="12"/>
  <c r="O3099" i="12"/>
  <c r="P3099" i="12"/>
  <c r="Q3099" i="12"/>
  <c r="F3100" i="12"/>
  <c r="E3100" i="12" s="1"/>
  <c r="G3100" i="12"/>
  <c r="M3100" i="12" s="1"/>
  <c r="H3100" i="12"/>
  <c r="N3100" i="12"/>
  <c r="O3100" i="12"/>
  <c r="P3100" i="12"/>
  <c r="Q3100" i="12"/>
  <c r="F3101" i="12"/>
  <c r="G3101" i="12"/>
  <c r="J3101" i="12" s="1"/>
  <c r="H3101" i="12"/>
  <c r="N3101" i="12"/>
  <c r="O3101" i="12"/>
  <c r="P3101" i="12"/>
  <c r="Q3101" i="12"/>
  <c r="F3102" i="12"/>
  <c r="D3102" i="12" s="1"/>
  <c r="G3102" i="12"/>
  <c r="I3102" i="12" s="1"/>
  <c r="H3102" i="12"/>
  <c r="N3102" i="12"/>
  <c r="O3102" i="12"/>
  <c r="P3102" i="12"/>
  <c r="Q3102" i="12"/>
  <c r="F3103" i="12"/>
  <c r="D3103" i="12" s="1"/>
  <c r="G3103" i="12"/>
  <c r="K3103" i="12" s="1"/>
  <c r="H3103" i="12"/>
  <c r="N3103" i="12"/>
  <c r="O3103" i="12"/>
  <c r="P3103" i="12"/>
  <c r="Q3103" i="12"/>
  <c r="F3104" i="12"/>
  <c r="E3104" i="12" s="1"/>
  <c r="G3104" i="12"/>
  <c r="M3104" i="12" s="1"/>
  <c r="H3104" i="12"/>
  <c r="N3104" i="12"/>
  <c r="O3104" i="12"/>
  <c r="P3104" i="12"/>
  <c r="Q3104" i="12"/>
  <c r="F3105" i="12"/>
  <c r="G3105" i="12"/>
  <c r="J3105" i="12" s="1"/>
  <c r="H3105" i="12"/>
  <c r="N3105" i="12"/>
  <c r="O3105" i="12"/>
  <c r="P3105" i="12"/>
  <c r="Q3105" i="12"/>
  <c r="F3106" i="12"/>
  <c r="D3106" i="12" s="1"/>
  <c r="G3106" i="12"/>
  <c r="I3106" i="12" s="1"/>
  <c r="H3106" i="12"/>
  <c r="N3106" i="12"/>
  <c r="O3106" i="12"/>
  <c r="P3106" i="12"/>
  <c r="Q3106" i="12"/>
  <c r="F3107" i="12"/>
  <c r="D3107" i="12" s="1"/>
  <c r="G3107" i="12"/>
  <c r="K3107" i="12" s="1"/>
  <c r="H3107" i="12"/>
  <c r="N3107" i="12"/>
  <c r="O3107" i="12"/>
  <c r="P3107" i="12"/>
  <c r="Q3107" i="12"/>
  <c r="F3108" i="12"/>
  <c r="E3108" i="12" s="1"/>
  <c r="G3108" i="12"/>
  <c r="M3108" i="12" s="1"/>
  <c r="H3108" i="12"/>
  <c r="N3108" i="12"/>
  <c r="O3108" i="12"/>
  <c r="P3108" i="12"/>
  <c r="Q3108" i="12"/>
  <c r="F3109" i="12"/>
  <c r="G3109" i="12"/>
  <c r="H3109" i="12"/>
  <c r="N3109" i="12"/>
  <c r="O3109" i="12"/>
  <c r="P3109" i="12"/>
  <c r="Q3109" i="12"/>
  <c r="F3110" i="12"/>
  <c r="D3110" i="12" s="1"/>
  <c r="G3110" i="12"/>
  <c r="I3110" i="12" s="1"/>
  <c r="H3110" i="12"/>
  <c r="N3110" i="12"/>
  <c r="O3110" i="12"/>
  <c r="P3110" i="12"/>
  <c r="Q3110" i="12"/>
  <c r="F3111" i="12"/>
  <c r="D3111" i="12" s="1"/>
  <c r="G3111" i="12"/>
  <c r="K3111" i="12" s="1"/>
  <c r="H3111" i="12"/>
  <c r="N3111" i="12"/>
  <c r="O3111" i="12"/>
  <c r="P3111" i="12"/>
  <c r="Q3111" i="12"/>
  <c r="F3112" i="12"/>
  <c r="E3112" i="12" s="1"/>
  <c r="G3112" i="12"/>
  <c r="M3112" i="12" s="1"/>
  <c r="H3112" i="12"/>
  <c r="N3112" i="12"/>
  <c r="O3112" i="12"/>
  <c r="P3112" i="12"/>
  <c r="Q3112" i="12"/>
  <c r="F3113" i="12"/>
  <c r="G3113" i="12"/>
  <c r="J3113" i="12" s="1"/>
  <c r="H3113" i="12"/>
  <c r="N3113" i="12"/>
  <c r="O3113" i="12"/>
  <c r="P3113" i="12"/>
  <c r="Q3113" i="12"/>
  <c r="F3114" i="12"/>
  <c r="G3114" i="12"/>
  <c r="I3114" i="12" s="1"/>
  <c r="H3114" i="12"/>
  <c r="N3114" i="12"/>
  <c r="O3114" i="12"/>
  <c r="P3114" i="12"/>
  <c r="Q3114" i="12"/>
  <c r="F3115" i="12"/>
  <c r="D3115" i="12" s="1"/>
  <c r="G3115" i="12"/>
  <c r="H3115" i="12"/>
  <c r="N3115" i="12"/>
  <c r="O3115" i="12"/>
  <c r="P3115" i="12"/>
  <c r="Q3115" i="12"/>
  <c r="F3116" i="12"/>
  <c r="G3116" i="12"/>
  <c r="M3116" i="12" s="1"/>
  <c r="H3116" i="12"/>
  <c r="N3116" i="12"/>
  <c r="O3116" i="12"/>
  <c r="P3116" i="12"/>
  <c r="Q3116" i="12"/>
  <c r="F3117" i="12"/>
  <c r="G3117" i="12"/>
  <c r="H3117" i="12"/>
  <c r="N3117" i="12"/>
  <c r="O3117" i="12"/>
  <c r="P3117" i="12"/>
  <c r="Q3117" i="12"/>
  <c r="F3118" i="12"/>
  <c r="D3118" i="12" s="1"/>
  <c r="G3118" i="12"/>
  <c r="I3118" i="12" s="1"/>
  <c r="H3118" i="12"/>
  <c r="N3118" i="12"/>
  <c r="O3118" i="12"/>
  <c r="P3118" i="12"/>
  <c r="Q3118" i="12"/>
  <c r="F3119" i="12"/>
  <c r="D3119" i="12" s="1"/>
  <c r="G3119" i="12"/>
  <c r="K3119" i="12" s="1"/>
  <c r="H3119" i="12"/>
  <c r="N3119" i="12"/>
  <c r="O3119" i="12"/>
  <c r="P3119" i="12"/>
  <c r="Q3119" i="12"/>
  <c r="F3120" i="12"/>
  <c r="E3120" i="12" s="1"/>
  <c r="G3120" i="12"/>
  <c r="M3120" i="12" s="1"/>
  <c r="H3120" i="12"/>
  <c r="N3120" i="12"/>
  <c r="O3120" i="12"/>
  <c r="P3120" i="12"/>
  <c r="Q3120" i="12"/>
  <c r="F3121" i="12"/>
  <c r="G3121" i="12"/>
  <c r="J3121" i="12" s="1"/>
  <c r="H3121" i="12"/>
  <c r="N3121" i="12"/>
  <c r="O3121" i="12"/>
  <c r="P3121" i="12"/>
  <c r="Q3121" i="12"/>
  <c r="F3122" i="12"/>
  <c r="D3122" i="12" s="1"/>
  <c r="G3122" i="12"/>
  <c r="I3122" i="12" s="1"/>
  <c r="H3122" i="12"/>
  <c r="N3122" i="12"/>
  <c r="O3122" i="12"/>
  <c r="P3122" i="12"/>
  <c r="Q3122" i="12"/>
  <c r="F3123" i="12"/>
  <c r="D3123" i="12" s="1"/>
  <c r="G3123" i="12"/>
  <c r="J3123" i="12" s="1"/>
  <c r="H3123" i="12"/>
  <c r="N3123" i="12"/>
  <c r="O3123" i="12"/>
  <c r="P3123" i="12"/>
  <c r="Q3123" i="12"/>
  <c r="F3124" i="12"/>
  <c r="E3124" i="12" s="1"/>
  <c r="G3124" i="12"/>
  <c r="M3124" i="12" s="1"/>
  <c r="H3124" i="12"/>
  <c r="N3124" i="12"/>
  <c r="O3124" i="12"/>
  <c r="P3124" i="12"/>
  <c r="Q3124" i="12"/>
  <c r="F3125" i="12"/>
  <c r="G3125" i="12"/>
  <c r="J3125" i="12" s="1"/>
  <c r="H3125" i="12"/>
  <c r="N3125" i="12"/>
  <c r="O3125" i="12"/>
  <c r="P3125" i="12"/>
  <c r="Q3125" i="12"/>
  <c r="F3126" i="12"/>
  <c r="D3126" i="12" s="1"/>
  <c r="G3126" i="12"/>
  <c r="I3126" i="12" s="1"/>
  <c r="H3126" i="12"/>
  <c r="N3126" i="12"/>
  <c r="O3126" i="12"/>
  <c r="P3126" i="12"/>
  <c r="Q3126" i="12"/>
  <c r="F3127" i="12"/>
  <c r="D3127" i="12" s="1"/>
  <c r="G3127" i="12"/>
  <c r="I3127" i="12" s="1"/>
  <c r="H3127" i="12"/>
  <c r="N3127" i="12"/>
  <c r="O3127" i="12"/>
  <c r="P3127" i="12"/>
  <c r="Q3127" i="12"/>
  <c r="F3128" i="12"/>
  <c r="E3128" i="12" s="1"/>
  <c r="G3128" i="12"/>
  <c r="M3128" i="12" s="1"/>
  <c r="H3128" i="12"/>
  <c r="N3128" i="12"/>
  <c r="O3128" i="12"/>
  <c r="P3128" i="12"/>
  <c r="Q3128" i="12"/>
  <c r="F3129" i="12"/>
  <c r="G3129" i="12"/>
  <c r="J3129" i="12" s="1"/>
  <c r="H3129" i="12"/>
  <c r="N3129" i="12"/>
  <c r="O3129" i="12"/>
  <c r="P3129" i="12"/>
  <c r="Q3129" i="12"/>
  <c r="F3130" i="12"/>
  <c r="D3130" i="12" s="1"/>
  <c r="G3130" i="12"/>
  <c r="M3130" i="12" s="1"/>
  <c r="H3130" i="12"/>
  <c r="N3130" i="12"/>
  <c r="O3130" i="12"/>
  <c r="P3130" i="12"/>
  <c r="Q3130" i="12"/>
  <c r="F3131" i="12"/>
  <c r="D3131" i="12" s="1"/>
  <c r="G3131" i="12"/>
  <c r="J3131" i="12" s="1"/>
  <c r="H3131" i="12"/>
  <c r="N3131" i="12"/>
  <c r="O3131" i="12"/>
  <c r="P3131" i="12"/>
  <c r="Q3131" i="12"/>
  <c r="F3132" i="12"/>
  <c r="D3132" i="12" s="1"/>
  <c r="G3132" i="12"/>
  <c r="M3132" i="12" s="1"/>
  <c r="H3132" i="12"/>
  <c r="N3132" i="12"/>
  <c r="O3132" i="12"/>
  <c r="P3132" i="12"/>
  <c r="Q3132" i="12"/>
  <c r="F3133" i="12"/>
  <c r="D3133" i="12" s="1"/>
  <c r="G3133" i="12"/>
  <c r="L3133" i="12" s="1"/>
  <c r="H3133" i="12"/>
  <c r="N3133" i="12"/>
  <c r="O3133" i="12"/>
  <c r="P3133" i="12"/>
  <c r="Q3133" i="12"/>
  <c r="F3134" i="12"/>
  <c r="D3134" i="12" s="1"/>
  <c r="G3134" i="12"/>
  <c r="M3134" i="12" s="1"/>
  <c r="H3134" i="12"/>
  <c r="N3134" i="12"/>
  <c r="O3134" i="12"/>
  <c r="P3134" i="12"/>
  <c r="Q3134" i="12"/>
  <c r="F3135" i="12"/>
  <c r="D3135" i="12" s="1"/>
  <c r="G3135" i="12"/>
  <c r="I3135" i="12" s="1"/>
  <c r="H3135" i="12"/>
  <c r="N3135" i="12"/>
  <c r="O3135" i="12"/>
  <c r="P3135" i="12"/>
  <c r="Q3135" i="12"/>
  <c r="F3136" i="12"/>
  <c r="G3136" i="12"/>
  <c r="M3136" i="12" s="1"/>
  <c r="H3136" i="12"/>
  <c r="N3136" i="12"/>
  <c r="O3136" i="12"/>
  <c r="P3136" i="12"/>
  <c r="Q3136" i="12"/>
  <c r="F3137" i="12"/>
  <c r="D3137" i="12" s="1"/>
  <c r="G3137" i="12"/>
  <c r="L3137" i="12" s="1"/>
  <c r="H3137" i="12"/>
  <c r="N3137" i="12"/>
  <c r="O3137" i="12"/>
  <c r="P3137" i="12"/>
  <c r="Q3137" i="12"/>
  <c r="F3138" i="12"/>
  <c r="D3138" i="12" s="1"/>
  <c r="G3138" i="12"/>
  <c r="M3138" i="12" s="1"/>
  <c r="H3138" i="12"/>
  <c r="N3138" i="12"/>
  <c r="O3138" i="12"/>
  <c r="P3138" i="12"/>
  <c r="Q3138" i="12"/>
  <c r="F3139" i="12"/>
  <c r="D3139" i="12" s="1"/>
  <c r="G3139" i="12"/>
  <c r="I3139" i="12" s="1"/>
  <c r="H3139" i="12"/>
  <c r="N3139" i="12"/>
  <c r="O3139" i="12"/>
  <c r="P3139" i="12"/>
  <c r="Q3139" i="12"/>
  <c r="F3140" i="12"/>
  <c r="D3140" i="12" s="1"/>
  <c r="G3140" i="12"/>
  <c r="M3140" i="12" s="1"/>
  <c r="H3140" i="12"/>
  <c r="N3140" i="12"/>
  <c r="O3140" i="12"/>
  <c r="P3140" i="12"/>
  <c r="Q3140" i="12"/>
  <c r="F3141" i="12"/>
  <c r="D3141" i="12" s="1"/>
  <c r="G3141" i="12"/>
  <c r="L3141" i="12" s="1"/>
  <c r="H3141" i="12"/>
  <c r="N3141" i="12"/>
  <c r="O3141" i="12"/>
  <c r="P3141" i="12"/>
  <c r="Q3141" i="12"/>
  <c r="F3142" i="12"/>
  <c r="E3142" i="12" s="1"/>
  <c r="G3142" i="12"/>
  <c r="H3142" i="12"/>
  <c r="N3142" i="12"/>
  <c r="O3142" i="12"/>
  <c r="P3142" i="12"/>
  <c r="Q3142" i="12"/>
  <c r="F3143" i="12"/>
  <c r="D3143" i="12" s="1"/>
  <c r="G3143" i="12"/>
  <c r="H3143" i="12"/>
  <c r="N3143" i="12"/>
  <c r="O3143" i="12"/>
  <c r="P3143" i="12"/>
  <c r="Q3143" i="12"/>
  <c r="F3144" i="12"/>
  <c r="E3144" i="12" s="1"/>
  <c r="G3144" i="12"/>
  <c r="H3144" i="12"/>
  <c r="N3144" i="12"/>
  <c r="O3144" i="12"/>
  <c r="P3144" i="12"/>
  <c r="Q3144" i="12"/>
  <c r="F3145" i="12"/>
  <c r="D3145" i="12" s="1"/>
  <c r="G3145" i="12"/>
  <c r="L3145" i="12" s="1"/>
  <c r="H3145" i="12"/>
  <c r="N3145" i="12"/>
  <c r="O3145" i="12"/>
  <c r="P3145" i="12"/>
  <c r="Q3145" i="12"/>
  <c r="F3146" i="12"/>
  <c r="D3146" i="12" s="1"/>
  <c r="G3146" i="12"/>
  <c r="M3146" i="12" s="1"/>
  <c r="H3146" i="12"/>
  <c r="N3146" i="12"/>
  <c r="O3146" i="12"/>
  <c r="P3146" i="12"/>
  <c r="Q3146" i="12"/>
  <c r="F3147" i="12"/>
  <c r="D3147" i="12" s="1"/>
  <c r="G3147" i="12"/>
  <c r="J3147" i="12" s="1"/>
  <c r="H3147" i="12"/>
  <c r="N3147" i="12"/>
  <c r="O3147" i="12"/>
  <c r="P3147" i="12"/>
  <c r="Q3147" i="12"/>
  <c r="F3148" i="12"/>
  <c r="E3148" i="12" s="1"/>
  <c r="G3148" i="12"/>
  <c r="M3148" i="12" s="1"/>
  <c r="H3148" i="12"/>
  <c r="N3148" i="12"/>
  <c r="O3148" i="12"/>
  <c r="P3148" i="12"/>
  <c r="Q3148" i="12"/>
  <c r="F3149" i="12"/>
  <c r="G3149" i="12"/>
  <c r="L3149" i="12" s="1"/>
  <c r="H3149" i="12"/>
  <c r="N3149" i="12"/>
  <c r="O3149" i="12"/>
  <c r="P3149" i="12"/>
  <c r="Q3149" i="12"/>
  <c r="F3150" i="12"/>
  <c r="D3150" i="12" s="1"/>
  <c r="G3150" i="12"/>
  <c r="M3150" i="12" s="1"/>
  <c r="H3150" i="12"/>
  <c r="N3150" i="12"/>
  <c r="O3150" i="12"/>
  <c r="P3150" i="12"/>
  <c r="Q3150" i="12"/>
  <c r="F3151" i="12"/>
  <c r="D3151" i="12" s="1"/>
  <c r="G3151" i="12"/>
  <c r="J3151" i="12" s="1"/>
  <c r="H3151" i="12"/>
  <c r="N3151" i="12"/>
  <c r="O3151" i="12"/>
  <c r="P3151" i="12"/>
  <c r="Q3151" i="12"/>
  <c r="F3152" i="12"/>
  <c r="D3152" i="12" s="1"/>
  <c r="G3152" i="12"/>
  <c r="M3152" i="12" s="1"/>
  <c r="H3152" i="12"/>
  <c r="N3152" i="12"/>
  <c r="O3152" i="12"/>
  <c r="P3152" i="12"/>
  <c r="Q3152" i="12"/>
  <c r="F3153" i="12"/>
  <c r="D3153" i="12" s="1"/>
  <c r="G3153" i="12"/>
  <c r="L3153" i="12" s="1"/>
  <c r="H3153" i="12"/>
  <c r="N3153" i="12"/>
  <c r="O3153" i="12"/>
  <c r="P3153" i="12"/>
  <c r="Q3153" i="12"/>
  <c r="F3154" i="12"/>
  <c r="D3154" i="12" s="1"/>
  <c r="G3154" i="12"/>
  <c r="M3154" i="12" s="1"/>
  <c r="H3154" i="12"/>
  <c r="N3154" i="12"/>
  <c r="O3154" i="12"/>
  <c r="P3154" i="12"/>
  <c r="Q3154" i="12"/>
  <c r="F3155" i="12"/>
  <c r="D3155" i="12" s="1"/>
  <c r="G3155" i="12"/>
  <c r="I3155" i="12" s="1"/>
  <c r="H3155" i="12"/>
  <c r="N3155" i="12"/>
  <c r="O3155" i="12"/>
  <c r="P3155" i="12"/>
  <c r="Q3155" i="12"/>
  <c r="F3156" i="12"/>
  <c r="D3156" i="12" s="1"/>
  <c r="G3156" i="12"/>
  <c r="M3156" i="12" s="1"/>
  <c r="H3156" i="12"/>
  <c r="N3156" i="12"/>
  <c r="O3156" i="12"/>
  <c r="P3156" i="12"/>
  <c r="Q3156" i="12"/>
  <c r="F3157" i="12"/>
  <c r="D3157" i="12" s="1"/>
  <c r="G3157" i="12"/>
  <c r="L3157" i="12" s="1"/>
  <c r="H3157" i="12"/>
  <c r="N3157" i="12"/>
  <c r="O3157" i="12"/>
  <c r="P3157" i="12"/>
  <c r="Q3157" i="12"/>
  <c r="F3158" i="12"/>
  <c r="D3158" i="12" s="1"/>
  <c r="G3158" i="12"/>
  <c r="M3158" i="12" s="1"/>
  <c r="H3158" i="12"/>
  <c r="N3158" i="12"/>
  <c r="O3158" i="12"/>
  <c r="P3158" i="12"/>
  <c r="Q3158" i="12"/>
  <c r="F3159" i="12"/>
  <c r="D3159" i="12" s="1"/>
  <c r="G3159" i="12"/>
  <c r="I3159" i="12" s="1"/>
  <c r="H3159" i="12"/>
  <c r="N3159" i="12"/>
  <c r="O3159" i="12"/>
  <c r="P3159" i="12"/>
  <c r="Q3159" i="12"/>
  <c r="F3160" i="12"/>
  <c r="D3160" i="12" s="1"/>
  <c r="G3160" i="12"/>
  <c r="M3160" i="12" s="1"/>
  <c r="H3160" i="12"/>
  <c r="N3160" i="12"/>
  <c r="O3160" i="12"/>
  <c r="P3160" i="12"/>
  <c r="Q3160" i="12"/>
  <c r="F3161" i="12"/>
  <c r="D3161" i="12" s="1"/>
  <c r="G3161" i="12"/>
  <c r="L3161" i="12" s="1"/>
  <c r="H3161" i="12"/>
  <c r="N3161" i="12"/>
  <c r="O3161" i="12"/>
  <c r="P3161" i="12"/>
  <c r="Q3161" i="12"/>
  <c r="F3162" i="12"/>
  <c r="D3162" i="12" s="1"/>
  <c r="G3162" i="12"/>
  <c r="L3162" i="12" s="1"/>
  <c r="H3162" i="12"/>
  <c r="N3162" i="12"/>
  <c r="O3162" i="12"/>
  <c r="P3162" i="12"/>
  <c r="Q3162" i="12"/>
  <c r="F3163" i="12"/>
  <c r="G3163" i="12"/>
  <c r="H3163" i="12"/>
  <c r="N3163" i="12"/>
  <c r="O3163" i="12"/>
  <c r="P3163" i="12"/>
  <c r="Q3163" i="12"/>
  <c r="F3164" i="12"/>
  <c r="G3164" i="12"/>
  <c r="M3164" i="12" s="1"/>
  <c r="H3164" i="12"/>
  <c r="N3164" i="12"/>
  <c r="O3164" i="12"/>
  <c r="P3164" i="12"/>
  <c r="Q3164" i="12"/>
  <c r="F3165" i="12"/>
  <c r="D3165" i="12" s="1"/>
  <c r="G3165" i="12"/>
  <c r="L3165" i="12" s="1"/>
  <c r="H3165" i="12"/>
  <c r="N3165" i="12"/>
  <c r="O3165" i="12"/>
  <c r="P3165" i="12"/>
  <c r="Q3165" i="12"/>
  <c r="F3166" i="12"/>
  <c r="D3166" i="12" s="1"/>
  <c r="G3166" i="12"/>
  <c r="M3166" i="12" s="1"/>
  <c r="H3166" i="12"/>
  <c r="N3166" i="12"/>
  <c r="O3166" i="12"/>
  <c r="P3166" i="12"/>
  <c r="Q3166" i="12"/>
  <c r="F3167" i="12"/>
  <c r="G3167" i="12"/>
  <c r="I3167" i="12" s="1"/>
  <c r="H3167" i="12"/>
  <c r="N3167" i="12"/>
  <c r="O3167" i="12"/>
  <c r="P3167" i="12"/>
  <c r="Q3167" i="12"/>
  <c r="F3168" i="12"/>
  <c r="D3168" i="12" s="1"/>
  <c r="G3168" i="12"/>
  <c r="M3168" i="12" s="1"/>
  <c r="H3168" i="12"/>
  <c r="N3168" i="12"/>
  <c r="O3168" i="12"/>
  <c r="P3168" i="12"/>
  <c r="Q3168" i="12"/>
  <c r="F3169" i="12"/>
  <c r="D3169" i="12" s="1"/>
  <c r="G3169" i="12"/>
  <c r="L3169" i="12" s="1"/>
  <c r="H3169" i="12"/>
  <c r="N3169" i="12"/>
  <c r="O3169" i="12"/>
  <c r="P3169" i="12"/>
  <c r="Q3169" i="12"/>
  <c r="F3170" i="12"/>
  <c r="D3170" i="12" s="1"/>
  <c r="G3170" i="12"/>
  <c r="K3170" i="12" s="1"/>
  <c r="H3170" i="12"/>
  <c r="N3170" i="12"/>
  <c r="O3170" i="12"/>
  <c r="P3170" i="12"/>
  <c r="Q3170" i="12"/>
  <c r="F3171" i="12"/>
  <c r="D3171" i="12" s="1"/>
  <c r="G3171" i="12"/>
  <c r="L3171" i="12" s="1"/>
  <c r="H3171" i="12"/>
  <c r="N3171" i="12"/>
  <c r="O3171" i="12"/>
  <c r="P3171" i="12"/>
  <c r="Q3171" i="12"/>
  <c r="F3172" i="12"/>
  <c r="D3172" i="12" s="1"/>
  <c r="G3172" i="12"/>
  <c r="J3172" i="12" s="1"/>
  <c r="H3172" i="12"/>
  <c r="N3172" i="12"/>
  <c r="O3172" i="12"/>
  <c r="P3172" i="12"/>
  <c r="Q3172" i="12"/>
  <c r="F3173" i="12"/>
  <c r="D3173" i="12" s="1"/>
  <c r="G3173" i="12"/>
  <c r="L3173" i="12" s="1"/>
  <c r="H3173" i="12"/>
  <c r="N3173" i="12"/>
  <c r="O3173" i="12"/>
  <c r="P3173" i="12"/>
  <c r="Q3173" i="12"/>
  <c r="F3174" i="12"/>
  <c r="D3174" i="12" s="1"/>
  <c r="G3174" i="12"/>
  <c r="H3174" i="12"/>
  <c r="N3174" i="12"/>
  <c r="O3174" i="12"/>
  <c r="P3174" i="12"/>
  <c r="Q3174" i="12"/>
  <c r="F3175" i="12"/>
  <c r="D3175" i="12" s="1"/>
  <c r="G3175" i="12"/>
  <c r="L3175" i="12" s="1"/>
  <c r="H3175" i="12"/>
  <c r="N3175" i="12"/>
  <c r="O3175" i="12"/>
  <c r="P3175" i="12"/>
  <c r="Q3175" i="12"/>
  <c r="F3176" i="12"/>
  <c r="D3176" i="12" s="1"/>
  <c r="G3176" i="12"/>
  <c r="J3176" i="12" s="1"/>
  <c r="H3176" i="12"/>
  <c r="N3176" i="12"/>
  <c r="O3176" i="12"/>
  <c r="P3176" i="12"/>
  <c r="Q3176" i="12"/>
  <c r="F3177" i="12"/>
  <c r="D3177" i="12" s="1"/>
  <c r="G3177" i="12"/>
  <c r="M3177" i="12" s="1"/>
  <c r="H3177" i="12"/>
  <c r="N3177" i="12"/>
  <c r="O3177" i="12"/>
  <c r="P3177" i="12"/>
  <c r="Q3177" i="12"/>
  <c r="F3178" i="12"/>
  <c r="D3178" i="12" s="1"/>
  <c r="G3178" i="12"/>
  <c r="J3178" i="12" s="1"/>
  <c r="H3178" i="12"/>
  <c r="N3178" i="12"/>
  <c r="O3178" i="12"/>
  <c r="P3178" i="12"/>
  <c r="Q3178" i="12"/>
  <c r="F3179" i="12"/>
  <c r="D3179" i="12" s="1"/>
  <c r="G3179" i="12"/>
  <c r="H3179" i="12"/>
  <c r="N3179" i="12"/>
  <c r="O3179" i="12"/>
  <c r="P3179" i="12"/>
  <c r="Q3179" i="12"/>
  <c r="F3180" i="12"/>
  <c r="G3180" i="12"/>
  <c r="L3180" i="12" s="1"/>
  <c r="H3180" i="12"/>
  <c r="N3180" i="12"/>
  <c r="O3180" i="12"/>
  <c r="P3180" i="12"/>
  <c r="Q3180" i="12"/>
  <c r="F3181" i="12"/>
  <c r="D3181" i="12" s="1"/>
  <c r="G3181" i="12"/>
  <c r="J3181" i="12" s="1"/>
  <c r="H3181" i="12"/>
  <c r="N3181" i="12"/>
  <c r="O3181" i="12"/>
  <c r="P3181" i="12"/>
  <c r="Q3181" i="12"/>
  <c r="F3182" i="12"/>
  <c r="G3182" i="12"/>
  <c r="J3182" i="12" s="1"/>
  <c r="H3182" i="12"/>
  <c r="N3182" i="12"/>
  <c r="O3182" i="12"/>
  <c r="P3182" i="12"/>
  <c r="Q3182" i="12"/>
  <c r="F3183" i="12"/>
  <c r="D3183" i="12" s="1"/>
  <c r="G3183" i="12"/>
  <c r="L3183" i="12" s="1"/>
  <c r="H3183" i="12"/>
  <c r="N3183" i="12"/>
  <c r="O3183" i="12"/>
  <c r="P3183" i="12"/>
  <c r="Q3183" i="12"/>
  <c r="F3184" i="12"/>
  <c r="G3184" i="12"/>
  <c r="H3184" i="12"/>
  <c r="N3184" i="12"/>
  <c r="O3184" i="12"/>
  <c r="P3184" i="12"/>
  <c r="Q3184" i="12"/>
  <c r="F3185" i="12"/>
  <c r="D3185" i="12" s="1"/>
  <c r="G3185" i="12"/>
  <c r="H3185" i="12"/>
  <c r="N3185" i="12"/>
  <c r="O3185" i="12"/>
  <c r="P3185" i="12"/>
  <c r="Q3185" i="12"/>
  <c r="F3186" i="12"/>
  <c r="D3186" i="12" s="1"/>
  <c r="G3186" i="12"/>
  <c r="J3186" i="12" s="1"/>
  <c r="H3186" i="12"/>
  <c r="N3186" i="12"/>
  <c r="O3186" i="12"/>
  <c r="P3186" i="12"/>
  <c r="Q3186" i="12"/>
  <c r="F3187" i="12"/>
  <c r="D3187" i="12" s="1"/>
  <c r="G3187" i="12"/>
  <c r="L3187" i="12" s="1"/>
  <c r="H3187" i="12"/>
  <c r="N3187" i="12"/>
  <c r="O3187" i="12"/>
  <c r="P3187" i="12"/>
  <c r="Q3187" i="12"/>
  <c r="F3188" i="12"/>
  <c r="G3188" i="12"/>
  <c r="L3188" i="12" s="1"/>
  <c r="H3188" i="12"/>
  <c r="N3188" i="12"/>
  <c r="O3188" i="12"/>
  <c r="P3188" i="12"/>
  <c r="Q3188" i="12"/>
  <c r="F3189" i="12"/>
  <c r="D3189" i="12" s="1"/>
  <c r="G3189" i="12"/>
  <c r="L3189" i="12" s="1"/>
  <c r="H3189" i="12"/>
  <c r="N3189" i="12"/>
  <c r="O3189" i="12"/>
  <c r="P3189" i="12"/>
  <c r="Q3189" i="12"/>
  <c r="F3190" i="12"/>
  <c r="G3190" i="12"/>
  <c r="J3190" i="12" s="1"/>
  <c r="H3190" i="12"/>
  <c r="N3190" i="12"/>
  <c r="O3190" i="12"/>
  <c r="P3190" i="12"/>
  <c r="Q3190" i="12"/>
  <c r="F3191" i="12"/>
  <c r="D3191" i="12" s="1"/>
  <c r="G3191" i="12"/>
  <c r="L3191" i="12" s="1"/>
  <c r="H3191" i="12"/>
  <c r="N3191" i="12"/>
  <c r="O3191" i="12"/>
  <c r="P3191" i="12"/>
  <c r="Q3191" i="12"/>
  <c r="F3192" i="12"/>
  <c r="D3192" i="12" s="1"/>
  <c r="G3192" i="12"/>
  <c r="I3192" i="12" s="1"/>
  <c r="H3192" i="12"/>
  <c r="N3192" i="12"/>
  <c r="O3192" i="12"/>
  <c r="P3192" i="12"/>
  <c r="Q3192" i="12"/>
  <c r="F3193" i="12"/>
  <c r="D3193" i="12" s="1"/>
  <c r="G3193" i="12"/>
  <c r="I3193" i="12" s="1"/>
  <c r="H3193" i="12"/>
  <c r="N3193" i="12"/>
  <c r="O3193" i="12"/>
  <c r="P3193" i="12"/>
  <c r="Q3193" i="12"/>
  <c r="F3194" i="12"/>
  <c r="E3194" i="12" s="1"/>
  <c r="G3194" i="12"/>
  <c r="H3194" i="12"/>
  <c r="N3194" i="12"/>
  <c r="O3194" i="12"/>
  <c r="P3194" i="12"/>
  <c r="Q3194" i="12"/>
  <c r="F3195" i="12"/>
  <c r="D3195" i="12" s="1"/>
  <c r="G3195" i="12"/>
  <c r="L3195" i="12" s="1"/>
  <c r="H3195" i="12"/>
  <c r="N3195" i="12"/>
  <c r="O3195" i="12"/>
  <c r="P3195" i="12"/>
  <c r="Q3195" i="12"/>
  <c r="F3196" i="12"/>
  <c r="G3196" i="12"/>
  <c r="J3196" i="12" s="1"/>
  <c r="H3196" i="12"/>
  <c r="N3196" i="12"/>
  <c r="O3196" i="12"/>
  <c r="P3196" i="12"/>
  <c r="Q3196" i="12"/>
  <c r="F3197" i="12"/>
  <c r="G3197" i="12"/>
  <c r="I3197" i="12" s="1"/>
  <c r="H3197" i="12"/>
  <c r="N3197" i="12"/>
  <c r="O3197" i="12"/>
  <c r="P3197" i="12"/>
  <c r="Q3197" i="12"/>
  <c r="F3198" i="12"/>
  <c r="D3198" i="12" s="1"/>
  <c r="G3198" i="12"/>
  <c r="H3198" i="12"/>
  <c r="N3198" i="12"/>
  <c r="O3198" i="12"/>
  <c r="P3198" i="12"/>
  <c r="Q3198" i="12"/>
  <c r="F3199" i="12"/>
  <c r="G3199" i="12"/>
  <c r="H3199" i="12"/>
  <c r="N3199" i="12"/>
  <c r="O3199" i="12"/>
  <c r="P3199" i="12"/>
  <c r="Q3199" i="12"/>
  <c r="F3200" i="12"/>
  <c r="D3200" i="12" s="1"/>
  <c r="G3200" i="12"/>
  <c r="J3200" i="12" s="1"/>
  <c r="H3200" i="12"/>
  <c r="N3200" i="12"/>
  <c r="O3200" i="12"/>
  <c r="P3200" i="12"/>
  <c r="Q3200" i="12"/>
  <c r="F3201" i="12"/>
  <c r="G3201" i="12"/>
  <c r="I3201" i="12" s="1"/>
  <c r="H3201" i="12"/>
  <c r="N3201" i="12"/>
  <c r="O3201" i="12"/>
  <c r="P3201" i="12"/>
  <c r="Q3201" i="12"/>
  <c r="F3202" i="12"/>
  <c r="G3202" i="12"/>
  <c r="L3202" i="12" s="1"/>
  <c r="H3202" i="12"/>
  <c r="N3202" i="12"/>
  <c r="O3202" i="12"/>
  <c r="P3202" i="12"/>
  <c r="Q3202" i="12"/>
  <c r="F3203" i="12"/>
  <c r="E3203" i="12" s="1"/>
  <c r="G3203" i="12"/>
  <c r="L3203" i="12" s="1"/>
  <c r="H3203" i="12"/>
  <c r="N3203" i="12"/>
  <c r="O3203" i="12"/>
  <c r="P3203" i="12"/>
  <c r="Q3203" i="12"/>
  <c r="F3204" i="12"/>
  <c r="D3204" i="12" s="1"/>
  <c r="G3204" i="12"/>
  <c r="J3204" i="12" s="1"/>
  <c r="H3204" i="12"/>
  <c r="N3204" i="12"/>
  <c r="O3204" i="12"/>
  <c r="P3204" i="12"/>
  <c r="Q3204" i="12"/>
  <c r="F3205" i="12"/>
  <c r="G3205" i="12"/>
  <c r="I3205" i="12" s="1"/>
  <c r="H3205" i="12"/>
  <c r="N3205" i="12"/>
  <c r="O3205" i="12"/>
  <c r="P3205" i="12"/>
  <c r="Q3205" i="12"/>
  <c r="F3206" i="12"/>
  <c r="D3206" i="12" s="1"/>
  <c r="G3206" i="12"/>
  <c r="H3206" i="12"/>
  <c r="N3206" i="12"/>
  <c r="O3206" i="12"/>
  <c r="P3206" i="12"/>
  <c r="Q3206" i="12"/>
  <c r="F3207" i="12"/>
  <c r="D3207" i="12" s="1"/>
  <c r="G3207" i="12"/>
  <c r="L3207" i="12" s="1"/>
  <c r="H3207" i="12"/>
  <c r="N3207" i="12"/>
  <c r="O3207" i="12"/>
  <c r="P3207" i="12"/>
  <c r="Q3207" i="12"/>
  <c r="F3208" i="12"/>
  <c r="D3208" i="12" s="1"/>
  <c r="G3208" i="12"/>
  <c r="H3208" i="12"/>
  <c r="N3208" i="12"/>
  <c r="O3208" i="12"/>
  <c r="P3208" i="12"/>
  <c r="Q3208" i="12"/>
  <c r="F3209" i="12"/>
  <c r="G3209" i="12"/>
  <c r="I3209" i="12" s="1"/>
  <c r="H3209" i="12"/>
  <c r="N3209" i="12"/>
  <c r="O3209" i="12"/>
  <c r="P3209" i="12"/>
  <c r="Q3209" i="12"/>
  <c r="F3210" i="12"/>
  <c r="D3210" i="12" s="1"/>
  <c r="G3210" i="12"/>
  <c r="L3210" i="12" s="1"/>
  <c r="H3210" i="12"/>
  <c r="N3210" i="12"/>
  <c r="O3210" i="12"/>
  <c r="P3210" i="12"/>
  <c r="Q3210" i="12"/>
  <c r="F3211" i="12"/>
  <c r="D3211" i="12" s="1"/>
  <c r="G3211" i="12"/>
  <c r="L3211" i="12" s="1"/>
  <c r="H3211" i="12"/>
  <c r="N3211" i="12"/>
  <c r="O3211" i="12"/>
  <c r="P3211" i="12"/>
  <c r="Q3211" i="12"/>
  <c r="F3212" i="12"/>
  <c r="D3212" i="12" s="1"/>
  <c r="G3212" i="12"/>
  <c r="J3212" i="12" s="1"/>
  <c r="H3212" i="12"/>
  <c r="N3212" i="12"/>
  <c r="O3212" i="12"/>
  <c r="P3212" i="12"/>
  <c r="Q3212" i="12"/>
  <c r="F3213" i="12"/>
  <c r="G3213" i="12"/>
  <c r="I3213" i="12" s="1"/>
  <c r="H3213" i="12"/>
  <c r="N3213" i="12"/>
  <c r="O3213" i="12"/>
  <c r="P3213" i="12"/>
  <c r="Q3213" i="12"/>
  <c r="F3214" i="12"/>
  <c r="D3214" i="12" s="1"/>
  <c r="G3214" i="12"/>
  <c r="L3214" i="12" s="1"/>
  <c r="H3214" i="12"/>
  <c r="N3214" i="12"/>
  <c r="O3214" i="12"/>
  <c r="P3214" i="12"/>
  <c r="Q3214" i="12"/>
  <c r="F3215" i="12"/>
  <c r="G3215" i="12"/>
  <c r="L3215" i="12" s="1"/>
  <c r="H3215" i="12"/>
  <c r="N3215" i="12"/>
  <c r="O3215" i="12"/>
  <c r="P3215" i="12"/>
  <c r="Q3215" i="12"/>
  <c r="F3216" i="12"/>
  <c r="D3216" i="12" s="1"/>
  <c r="G3216" i="12"/>
  <c r="J3216" i="12" s="1"/>
  <c r="H3216" i="12"/>
  <c r="N3216" i="12"/>
  <c r="O3216" i="12"/>
  <c r="P3216" i="12"/>
  <c r="Q3216" i="12"/>
  <c r="F3217" i="12"/>
  <c r="G3217" i="12"/>
  <c r="I3217" i="12" s="1"/>
  <c r="H3217" i="12"/>
  <c r="N3217" i="12"/>
  <c r="O3217" i="12"/>
  <c r="P3217" i="12"/>
  <c r="Q3217" i="12"/>
  <c r="F3218" i="12"/>
  <c r="D3218" i="12" s="1"/>
  <c r="G3218" i="12"/>
  <c r="L3218" i="12" s="1"/>
  <c r="H3218" i="12"/>
  <c r="N3218" i="12"/>
  <c r="O3218" i="12"/>
  <c r="P3218" i="12"/>
  <c r="Q3218" i="12"/>
  <c r="F3219" i="12"/>
  <c r="E3219" i="12" s="1"/>
  <c r="G3219" i="12"/>
  <c r="L3219" i="12" s="1"/>
  <c r="H3219" i="12"/>
  <c r="N3219" i="12"/>
  <c r="O3219" i="12"/>
  <c r="P3219" i="12"/>
  <c r="Q3219" i="12"/>
  <c r="F3220" i="12"/>
  <c r="D3220" i="12" s="1"/>
  <c r="G3220" i="12"/>
  <c r="H3220" i="12"/>
  <c r="N3220" i="12"/>
  <c r="O3220" i="12"/>
  <c r="P3220" i="12"/>
  <c r="Q3220" i="12"/>
  <c r="F3221" i="12"/>
  <c r="G3221" i="12"/>
  <c r="I3221" i="12" s="1"/>
  <c r="H3221" i="12"/>
  <c r="N3221" i="12"/>
  <c r="O3221" i="12"/>
  <c r="P3221" i="12"/>
  <c r="Q3221" i="12"/>
  <c r="F3222" i="12"/>
  <c r="D3222" i="12" s="1"/>
  <c r="G3222" i="12"/>
  <c r="H3222" i="12"/>
  <c r="N3222" i="12"/>
  <c r="O3222" i="12"/>
  <c r="P3222" i="12"/>
  <c r="Q3222" i="12"/>
  <c r="F3223" i="12"/>
  <c r="G3223" i="12"/>
  <c r="L3223" i="12" s="1"/>
  <c r="H3223" i="12"/>
  <c r="N3223" i="12"/>
  <c r="O3223" i="12"/>
  <c r="P3223" i="12"/>
  <c r="Q3223" i="12"/>
  <c r="F3224" i="12"/>
  <c r="D3224" i="12" s="1"/>
  <c r="G3224" i="12"/>
  <c r="H3224" i="12"/>
  <c r="N3224" i="12"/>
  <c r="O3224" i="12"/>
  <c r="P3224" i="12"/>
  <c r="Q3224" i="12"/>
  <c r="F3225" i="12"/>
  <c r="G3225" i="12"/>
  <c r="I3225" i="12" s="1"/>
  <c r="H3225" i="12"/>
  <c r="N3225" i="12"/>
  <c r="O3225" i="12"/>
  <c r="P3225" i="12"/>
  <c r="Q3225" i="12"/>
  <c r="F3226" i="12"/>
  <c r="G3226" i="12"/>
  <c r="L3226" i="12" s="1"/>
  <c r="H3226" i="12"/>
  <c r="N3226" i="12"/>
  <c r="O3226" i="12"/>
  <c r="P3226" i="12"/>
  <c r="Q3226" i="12"/>
  <c r="F3227" i="12"/>
  <c r="E3227" i="12" s="1"/>
  <c r="G3227" i="12"/>
  <c r="L3227" i="12" s="1"/>
  <c r="H3227" i="12"/>
  <c r="N3227" i="12"/>
  <c r="O3227" i="12"/>
  <c r="P3227" i="12"/>
  <c r="Q3227" i="12"/>
  <c r="F3228" i="12"/>
  <c r="D3228" i="12" s="1"/>
  <c r="G3228" i="12"/>
  <c r="J3228" i="12" s="1"/>
  <c r="H3228" i="12"/>
  <c r="N3228" i="12"/>
  <c r="O3228" i="12"/>
  <c r="P3228" i="12"/>
  <c r="Q3228" i="12"/>
  <c r="F3229" i="12"/>
  <c r="G3229" i="12"/>
  <c r="H3229" i="12"/>
  <c r="N3229" i="12"/>
  <c r="O3229" i="12"/>
  <c r="P3229" i="12"/>
  <c r="Q3229" i="12"/>
  <c r="F3230" i="12"/>
  <c r="D3230" i="12" s="1"/>
  <c r="G3230" i="12"/>
  <c r="L3230" i="12" s="1"/>
  <c r="H3230" i="12"/>
  <c r="N3230" i="12"/>
  <c r="O3230" i="12"/>
  <c r="P3230" i="12"/>
  <c r="Q3230" i="12"/>
  <c r="F3231" i="12"/>
  <c r="G3231" i="12"/>
  <c r="L3231" i="12" s="1"/>
  <c r="H3231" i="12"/>
  <c r="N3231" i="12"/>
  <c r="O3231" i="12"/>
  <c r="P3231" i="12"/>
  <c r="Q3231" i="12"/>
  <c r="F3232" i="12"/>
  <c r="G3232" i="12"/>
  <c r="J3232" i="12" s="1"/>
  <c r="H3232" i="12"/>
  <c r="N3232" i="12"/>
  <c r="O3232" i="12"/>
  <c r="P3232" i="12"/>
  <c r="Q3232" i="12"/>
  <c r="F3233" i="12"/>
  <c r="G3233" i="12"/>
  <c r="H3233" i="12"/>
  <c r="N3233" i="12"/>
  <c r="O3233" i="12"/>
  <c r="P3233" i="12"/>
  <c r="Q3233" i="12"/>
  <c r="F3234" i="12"/>
  <c r="D3234" i="12" s="1"/>
  <c r="G3234" i="12"/>
  <c r="L3234" i="12" s="1"/>
  <c r="H3234" i="12"/>
  <c r="N3234" i="12"/>
  <c r="O3234" i="12"/>
  <c r="P3234" i="12"/>
  <c r="Q3234" i="12"/>
  <c r="F3235" i="12"/>
  <c r="G3235" i="12"/>
  <c r="H3235" i="12"/>
  <c r="N3235" i="12"/>
  <c r="O3235" i="12"/>
  <c r="P3235" i="12"/>
  <c r="Q3235" i="12"/>
  <c r="F3236" i="12"/>
  <c r="D3236" i="12" s="1"/>
  <c r="G3236" i="12"/>
  <c r="J3236" i="12" s="1"/>
  <c r="H3236" i="12"/>
  <c r="N3236" i="12"/>
  <c r="O3236" i="12"/>
  <c r="P3236" i="12"/>
  <c r="Q3236" i="12"/>
  <c r="F3237" i="12"/>
  <c r="G3237" i="12"/>
  <c r="H3237" i="12"/>
  <c r="N3237" i="12"/>
  <c r="O3237" i="12"/>
  <c r="P3237" i="12"/>
  <c r="Q3237" i="12"/>
  <c r="F3238" i="12"/>
  <c r="D3238" i="12" s="1"/>
  <c r="G3238" i="12"/>
  <c r="J3238" i="12" s="1"/>
  <c r="H3238" i="12"/>
  <c r="N3238" i="12"/>
  <c r="O3238" i="12"/>
  <c r="P3238" i="12"/>
  <c r="Q3238" i="12"/>
  <c r="F3239" i="12"/>
  <c r="D3239" i="12" s="1"/>
  <c r="G3239" i="12"/>
  <c r="J3239" i="12" s="1"/>
  <c r="H3239" i="12"/>
  <c r="N3239" i="12"/>
  <c r="O3239" i="12"/>
  <c r="P3239" i="12"/>
  <c r="Q3239" i="12"/>
  <c r="F3240" i="12"/>
  <c r="D3240" i="12" s="1"/>
  <c r="G3240" i="12"/>
  <c r="L3240" i="12" s="1"/>
  <c r="H3240" i="12"/>
  <c r="N3240" i="12"/>
  <c r="O3240" i="12"/>
  <c r="P3240" i="12"/>
  <c r="Q3240" i="12"/>
  <c r="F3241" i="12"/>
  <c r="G3241" i="12"/>
  <c r="K3241" i="12" s="1"/>
  <c r="H3241" i="12"/>
  <c r="N3241" i="12"/>
  <c r="O3241" i="12"/>
  <c r="P3241" i="12"/>
  <c r="Q3241" i="12"/>
  <c r="F3242" i="12"/>
  <c r="D3242" i="12" s="1"/>
  <c r="G3242" i="12"/>
  <c r="M3242" i="12" s="1"/>
  <c r="H3242" i="12"/>
  <c r="N3242" i="12"/>
  <c r="O3242" i="12"/>
  <c r="P3242" i="12"/>
  <c r="Q3242" i="12"/>
  <c r="F3243" i="12"/>
  <c r="D3243" i="12" s="1"/>
  <c r="G3243" i="12"/>
  <c r="H3243" i="12"/>
  <c r="N3243" i="12"/>
  <c r="O3243" i="12"/>
  <c r="P3243" i="12"/>
  <c r="Q3243" i="12"/>
  <c r="F3244" i="12"/>
  <c r="D3244" i="12" s="1"/>
  <c r="G3244" i="12"/>
  <c r="M3244" i="12" s="1"/>
  <c r="H3244" i="12"/>
  <c r="N3244" i="12"/>
  <c r="O3244" i="12"/>
  <c r="P3244" i="12"/>
  <c r="Q3244" i="12"/>
  <c r="F3245" i="12"/>
  <c r="G3245" i="12"/>
  <c r="H3245" i="12"/>
  <c r="N3245" i="12"/>
  <c r="O3245" i="12"/>
  <c r="P3245" i="12"/>
  <c r="Q3245" i="12"/>
  <c r="F3246" i="12"/>
  <c r="D3246" i="12" s="1"/>
  <c r="G3246" i="12"/>
  <c r="L3246" i="12" s="1"/>
  <c r="H3246" i="12"/>
  <c r="N3246" i="12"/>
  <c r="O3246" i="12"/>
  <c r="P3246" i="12"/>
  <c r="Q3246" i="12"/>
  <c r="F3247" i="12"/>
  <c r="G3247" i="12"/>
  <c r="J3247" i="12" s="1"/>
  <c r="H3247" i="12"/>
  <c r="N3247" i="12"/>
  <c r="O3247" i="12"/>
  <c r="P3247" i="12"/>
  <c r="Q3247" i="12"/>
  <c r="F3248" i="12"/>
  <c r="D3248" i="12" s="1"/>
  <c r="G3248" i="12"/>
  <c r="J3248" i="12" s="1"/>
  <c r="H3248" i="12"/>
  <c r="N3248" i="12"/>
  <c r="O3248" i="12"/>
  <c r="P3248" i="12"/>
  <c r="Q3248" i="12"/>
  <c r="F3249" i="12"/>
  <c r="G3249" i="12"/>
  <c r="K3249" i="12" s="1"/>
  <c r="H3249" i="12"/>
  <c r="N3249" i="12"/>
  <c r="O3249" i="12"/>
  <c r="P3249" i="12"/>
  <c r="Q3249" i="12"/>
  <c r="F3250" i="12"/>
  <c r="D3250" i="12" s="1"/>
  <c r="G3250" i="12"/>
  <c r="L3250" i="12" s="1"/>
  <c r="H3250" i="12"/>
  <c r="N3250" i="12"/>
  <c r="O3250" i="12"/>
  <c r="P3250" i="12"/>
  <c r="Q3250" i="12"/>
  <c r="F3251" i="12"/>
  <c r="D3251" i="12" s="1"/>
  <c r="G3251" i="12"/>
  <c r="I3251" i="12" s="1"/>
  <c r="H3251" i="12"/>
  <c r="N3251" i="12"/>
  <c r="O3251" i="12"/>
  <c r="P3251" i="12"/>
  <c r="Q3251" i="12"/>
  <c r="F3252" i="12"/>
  <c r="D3252" i="12" s="1"/>
  <c r="G3252" i="12"/>
  <c r="M3252" i="12" s="1"/>
  <c r="H3252" i="12"/>
  <c r="N3252" i="12"/>
  <c r="O3252" i="12"/>
  <c r="P3252" i="12"/>
  <c r="Q3252" i="12"/>
  <c r="F3253" i="12"/>
  <c r="G3253" i="12"/>
  <c r="I3253" i="12" s="1"/>
  <c r="H3253" i="12"/>
  <c r="N3253" i="12"/>
  <c r="O3253" i="12"/>
  <c r="P3253" i="12"/>
  <c r="Q3253" i="12"/>
  <c r="F3254" i="12"/>
  <c r="G3254" i="12"/>
  <c r="L3254" i="12" s="1"/>
  <c r="H3254" i="12"/>
  <c r="N3254" i="12"/>
  <c r="O3254" i="12"/>
  <c r="P3254" i="12"/>
  <c r="Q3254" i="12"/>
  <c r="F3255" i="12"/>
  <c r="E3255" i="12" s="1"/>
  <c r="G3255" i="12"/>
  <c r="H3255" i="12"/>
  <c r="N3255" i="12"/>
  <c r="O3255" i="12"/>
  <c r="P3255" i="12"/>
  <c r="Q3255" i="12"/>
  <c r="F3256" i="12"/>
  <c r="D3256" i="12" s="1"/>
  <c r="G3256" i="12"/>
  <c r="L3256" i="12" s="1"/>
  <c r="H3256" i="12"/>
  <c r="N3256" i="12"/>
  <c r="O3256" i="12"/>
  <c r="P3256" i="12"/>
  <c r="Q3256" i="12"/>
  <c r="F3257" i="12"/>
  <c r="G3257" i="12"/>
  <c r="I3257" i="12" s="1"/>
  <c r="H3257" i="12"/>
  <c r="N3257" i="12"/>
  <c r="O3257" i="12"/>
  <c r="P3257" i="12"/>
  <c r="Q3257" i="12"/>
  <c r="F3258" i="12"/>
  <c r="D3258" i="12" s="1"/>
  <c r="G3258" i="12"/>
  <c r="L3258" i="12" s="1"/>
  <c r="H3258" i="12"/>
  <c r="N3258" i="12"/>
  <c r="O3258" i="12"/>
  <c r="P3258" i="12"/>
  <c r="Q3258" i="12"/>
  <c r="F3259" i="12"/>
  <c r="E3259" i="12" s="1"/>
  <c r="G3259" i="12"/>
  <c r="H3259" i="12"/>
  <c r="N3259" i="12"/>
  <c r="O3259" i="12"/>
  <c r="P3259" i="12"/>
  <c r="Q3259" i="12"/>
  <c r="F3260" i="12"/>
  <c r="E3260" i="12" s="1"/>
  <c r="G3260" i="12"/>
  <c r="H3260" i="12"/>
  <c r="N3260" i="12"/>
  <c r="O3260" i="12"/>
  <c r="P3260" i="12"/>
  <c r="Q3260" i="12"/>
  <c r="F3261" i="12"/>
  <c r="E3261" i="12" s="1"/>
  <c r="G3261" i="12"/>
  <c r="I3261" i="12" s="1"/>
  <c r="H3261" i="12"/>
  <c r="N3261" i="12"/>
  <c r="O3261" i="12"/>
  <c r="P3261" i="12"/>
  <c r="Q3261" i="12"/>
  <c r="F3262" i="12"/>
  <c r="D3262" i="12" s="1"/>
  <c r="G3262" i="12"/>
  <c r="L3262" i="12" s="1"/>
  <c r="H3262" i="12"/>
  <c r="N3262" i="12"/>
  <c r="O3262" i="12"/>
  <c r="P3262" i="12"/>
  <c r="Q3262" i="12"/>
  <c r="F3263" i="12"/>
  <c r="E3263" i="12" s="1"/>
  <c r="G3263" i="12"/>
  <c r="H3263" i="12"/>
  <c r="N3263" i="12"/>
  <c r="O3263" i="12"/>
  <c r="P3263" i="12"/>
  <c r="Q3263" i="12"/>
  <c r="F3264" i="12"/>
  <c r="D3264" i="12" s="1"/>
  <c r="G3264" i="12"/>
  <c r="M3264" i="12" s="1"/>
  <c r="H3264" i="12"/>
  <c r="N3264" i="12"/>
  <c r="O3264" i="12"/>
  <c r="P3264" i="12"/>
  <c r="Q3264" i="12"/>
  <c r="F3265" i="12"/>
  <c r="G3265" i="12"/>
  <c r="J3265" i="12" s="1"/>
  <c r="H3265" i="12"/>
  <c r="N3265" i="12"/>
  <c r="O3265" i="12"/>
  <c r="P3265" i="12"/>
  <c r="Q3265" i="12"/>
  <c r="F3266" i="12"/>
  <c r="D3266" i="12" s="1"/>
  <c r="G3266" i="12"/>
  <c r="H3266" i="12"/>
  <c r="N3266" i="12"/>
  <c r="O3266" i="12"/>
  <c r="P3266" i="12"/>
  <c r="Q3266" i="12"/>
  <c r="F3267" i="12"/>
  <c r="E3267" i="12" s="1"/>
  <c r="G3267" i="12"/>
  <c r="L3267" i="12" s="1"/>
  <c r="H3267" i="12"/>
  <c r="N3267" i="12"/>
  <c r="O3267" i="12"/>
  <c r="P3267" i="12"/>
  <c r="Q3267" i="12"/>
  <c r="F3268" i="12"/>
  <c r="G3268" i="12"/>
  <c r="J3268" i="12" s="1"/>
  <c r="H3268" i="12"/>
  <c r="N3268" i="12"/>
  <c r="O3268" i="12"/>
  <c r="P3268" i="12"/>
  <c r="Q3268" i="12"/>
  <c r="F3269" i="12"/>
  <c r="G3269" i="12"/>
  <c r="I3269" i="12" s="1"/>
  <c r="H3269" i="12"/>
  <c r="N3269" i="12"/>
  <c r="O3269" i="12"/>
  <c r="P3269" i="12"/>
  <c r="Q3269" i="12"/>
  <c r="F3270" i="12"/>
  <c r="D3270" i="12" s="1"/>
  <c r="G3270" i="12"/>
  <c r="L3270" i="12" s="1"/>
  <c r="H3270" i="12"/>
  <c r="N3270" i="12"/>
  <c r="O3270" i="12"/>
  <c r="P3270" i="12"/>
  <c r="Q3270" i="12"/>
  <c r="F3271" i="12"/>
  <c r="E3271" i="12" s="1"/>
  <c r="G3271" i="12"/>
  <c r="H3271" i="12"/>
  <c r="N3271" i="12"/>
  <c r="O3271" i="12"/>
  <c r="P3271" i="12"/>
  <c r="Q3271" i="12"/>
  <c r="F3272" i="12"/>
  <c r="E3272" i="12" s="1"/>
  <c r="G3272" i="12"/>
  <c r="J3272" i="12" s="1"/>
  <c r="H3272" i="12"/>
  <c r="N3272" i="12"/>
  <c r="O3272" i="12"/>
  <c r="P3272" i="12"/>
  <c r="Q3272" i="12"/>
  <c r="F3273" i="12"/>
  <c r="G3273" i="12"/>
  <c r="I3273" i="12" s="1"/>
  <c r="H3273" i="12"/>
  <c r="N3273" i="12"/>
  <c r="O3273" i="12"/>
  <c r="P3273" i="12"/>
  <c r="Q3273" i="12"/>
  <c r="F3274" i="12"/>
  <c r="D3274" i="12" s="1"/>
  <c r="G3274" i="12"/>
  <c r="L3274" i="12" s="1"/>
  <c r="H3274" i="12"/>
  <c r="N3274" i="12"/>
  <c r="O3274" i="12"/>
  <c r="P3274" i="12"/>
  <c r="Q3274" i="12"/>
  <c r="F3275" i="12"/>
  <c r="D3275" i="12" s="1"/>
  <c r="G3275" i="12"/>
  <c r="L3275" i="12" s="1"/>
  <c r="H3275" i="12"/>
  <c r="N3275" i="12"/>
  <c r="O3275" i="12"/>
  <c r="P3275" i="12"/>
  <c r="Q3275" i="12"/>
  <c r="F3276" i="12"/>
  <c r="D3276" i="12" s="1"/>
  <c r="G3276" i="12"/>
  <c r="J3276" i="12" s="1"/>
  <c r="H3276" i="12"/>
  <c r="N3276" i="12"/>
  <c r="O3276" i="12"/>
  <c r="P3276" i="12"/>
  <c r="Q3276" i="12"/>
  <c r="F3277" i="12"/>
  <c r="G3277" i="12"/>
  <c r="I3277" i="12" s="1"/>
  <c r="H3277" i="12"/>
  <c r="N3277" i="12"/>
  <c r="O3277" i="12"/>
  <c r="P3277" i="12"/>
  <c r="Q3277" i="12"/>
  <c r="F3278" i="12"/>
  <c r="D3278" i="12" s="1"/>
  <c r="G3278" i="12"/>
  <c r="H3278" i="12"/>
  <c r="N3278" i="12"/>
  <c r="O3278" i="12"/>
  <c r="P3278" i="12"/>
  <c r="Q3278" i="12"/>
  <c r="F3279" i="12"/>
  <c r="D3279" i="12" s="1"/>
  <c r="G3279" i="12"/>
  <c r="L3279" i="12" s="1"/>
  <c r="H3279" i="12"/>
  <c r="N3279" i="12"/>
  <c r="O3279" i="12"/>
  <c r="P3279" i="12"/>
  <c r="Q3279" i="12"/>
  <c r="F3280" i="12"/>
  <c r="D3280" i="12" s="1"/>
  <c r="G3280" i="12"/>
  <c r="J3280" i="12" s="1"/>
  <c r="H3280" i="12"/>
  <c r="N3280" i="12"/>
  <c r="O3280" i="12"/>
  <c r="P3280" i="12"/>
  <c r="Q3280" i="12"/>
  <c r="F3281" i="12"/>
  <c r="G3281" i="12"/>
  <c r="I3281" i="12" s="1"/>
  <c r="H3281" i="12"/>
  <c r="N3281" i="12"/>
  <c r="O3281" i="12"/>
  <c r="P3281" i="12"/>
  <c r="Q3281" i="12"/>
  <c r="F3282" i="12"/>
  <c r="G3282" i="12"/>
  <c r="L3282" i="12" s="1"/>
  <c r="H3282" i="12"/>
  <c r="N3282" i="12"/>
  <c r="O3282" i="12"/>
  <c r="P3282" i="12"/>
  <c r="Q3282" i="12"/>
  <c r="F3283" i="12"/>
  <c r="G3283" i="12"/>
  <c r="L3283" i="12" s="1"/>
  <c r="H3283" i="12"/>
  <c r="N3283" i="12"/>
  <c r="O3283" i="12"/>
  <c r="P3283" i="12"/>
  <c r="Q3283" i="12"/>
  <c r="F3284" i="12"/>
  <c r="G3284" i="12"/>
  <c r="J3284" i="12" s="1"/>
  <c r="H3284" i="12"/>
  <c r="N3284" i="12"/>
  <c r="O3284" i="12"/>
  <c r="P3284" i="12"/>
  <c r="Q3284" i="12"/>
  <c r="F3285" i="12"/>
  <c r="G3285" i="12"/>
  <c r="I3285" i="12" s="1"/>
  <c r="H3285" i="12"/>
  <c r="N3285" i="12"/>
  <c r="O3285" i="12"/>
  <c r="P3285" i="12"/>
  <c r="Q3285" i="12"/>
  <c r="F3286" i="12"/>
  <c r="D3286" i="12" s="1"/>
  <c r="G3286" i="12"/>
  <c r="L3286" i="12" s="1"/>
  <c r="H3286" i="12"/>
  <c r="N3286" i="12"/>
  <c r="O3286" i="12"/>
  <c r="P3286" i="12"/>
  <c r="Q3286" i="12"/>
  <c r="F3287" i="12"/>
  <c r="E3287" i="12" s="1"/>
  <c r="G3287" i="12"/>
  <c r="H3287" i="12"/>
  <c r="N3287" i="12"/>
  <c r="O3287" i="12"/>
  <c r="P3287" i="12"/>
  <c r="Q3287" i="12"/>
  <c r="F3288" i="12"/>
  <c r="E3288" i="12" s="1"/>
  <c r="G3288" i="12"/>
  <c r="J3288" i="12" s="1"/>
  <c r="H3288" i="12"/>
  <c r="N3288" i="12"/>
  <c r="O3288" i="12"/>
  <c r="P3288" i="12"/>
  <c r="Q3288" i="12"/>
  <c r="F3289" i="12"/>
  <c r="G3289" i="12"/>
  <c r="I3289" i="12" s="1"/>
  <c r="H3289" i="12"/>
  <c r="N3289" i="12"/>
  <c r="O3289" i="12"/>
  <c r="P3289" i="12"/>
  <c r="Q3289" i="12"/>
  <c r="F3290" i="12"/>
  <c r="D3290" i="12" s="1"/>
  <c r="G3290" i="12"/>
  <c r="L3290" i="12" s="1"/>
  <c r="H3290" i="12"/>
  <c r="N3290" i="12"/>
  <c r="O3290" i="12"/>
  <c r="P3290" i="12"/>
  <c r="Q3290" i="12"/>
  <c r="F3291" i="12"/>
  <c r="D3291" i="12" s="1"/>
  <c r="G3291" i="12"/>
  <c r="L3291" i="12" s="1"/>
  <c r="H3291" i="12"/>
  <c r="N3291" i="12"/>
  <c r="O3291" i="12"/>
  <c r="P3291" i="12"/>
  <c r="Q3291" i="12"/>
  <c r="F3292" i="12"/>
  <c r="D3292" i="12" s="1"/>
  <c r="G3292" i="12"/>
  <c r="J3292" i="12" s="1"/>
  <c r="H3292" i="12"/>
  <c r="N3292" i="12"/>
  <c r="O3292" i="12"/>
  <c r="P3292" i="12"/>
  <c r="Q3292" i="12"/>
  <c r="F3293" i="12"/>
  <c r="G3293" i="12"/>
  <c r="I3293" i="12" s="1"/>
  <c r="H3293" i="12"/>
  <c r="N3293" i="12"/>
  <c r="O3293" i="12"/>
  <c r="P3293" i="12"/>
  <c r="Q3293" i="12"/>
  <c r="F3294" i="12"/>
  <c r="D3294" i="12" s="1"/>
  <c r="G3294" i="12"/>
  <c r="L3294" i="12" s="1"/>
  <c r="H3294" i="12"/>
  <c r="N3294" i="12"/>
  <c r="O3294" i="12"/>
  <c r="P3294" i="12"/>
  <c r="Q3294" i="12"/>
  <c r="F3295" i="12"/>
  <c r="G3295" i="12"/>
  <c r="L3295" i="12" s="1"/>
  <c r="H3295" i="12"/>
  <c r="N3295" i="12"/>
  <c r="O3295" i="12"/>
  <c r="P3295" i="12"/>
  <c r="Q3295" i="12"/>
  <c r="F3296" i="12"/>
  <c r="D3296" i="12" s="1"/>
  <c r="G3296" i="12"/>
  <c r="J3296" i="12" s="1"/>
  <c r="H3296" i="12"/>
  <c r="N3296" i="12"/>
  <c r="O3296" i="12"/>
  <c r="P3296" i="12"/>
  <c r="Q3296" i="12"/>
  <c r="F3297" i="12"/>
  <c r="G3297" i="12"/>
  <c r="I3297" i="12" s="1"/>
  <c r="H3297" i="12"/>
  <c r="N3297" i="12"/>
  <c r="O3297" i="12"/>
  <c r="P3297" i="12"/>
  <c r="Q3297" i="12"/>
  <c r="F3298" i="12"/>
  <c r="G3298" i="12"/>
  <c r="L3298" i="12" s="1"/>
  <c r="H3298" i="12"/>
  <c r="N3298" i="12"/>
  <c r="O3298" i="12"/>
  <c r="P3298" i="12"/>
  <c r="Q3298" i="12"/>
  <c r="F3299" i="12"/>
  <c r="D3299" i="12" s="1"/>
  <c r="G3299" i="12"/>
  <c r="L3299" i="12" s="1"/>
  <c r="H3299" i="12"/>
  <c r="N3299" i="12"/>
  <c r="O3299" i="12"/>
  <c r="P3299" i="12"/>
  <c r="Q3299" i="12"/>
  <c r="F3300" i="12"/>
  <c r="G3300" i="12"/>
  <c r="H3300" i="12"/>
  <c r="N3300" i="12"/>
  <c r="O3300" i="12"/>
  <c r="P3300" i="12"/>
  <c r="Q3300" i="12"/>
  <c r="F3301" i="12"/>
  <c r="G3301" i="12"/>
  <c r="I3301" i="12" s="1"/>
  <c r="H3301" i="12"/>
  <c r="N3301" i="12"/>
  <c r="O3301" i="12"/>
  <c r="P3301" i="12"/>
  <c r="Q3301" i="12"/>
  <c r="F3302" i="12"/>
  <c r="D3302" i="12" s="1"/>
  <c r="G3302" i="12"/>
  <c r="H3302" i="12"/>
  <c r="N3302" i="12"/>
  <c r="O3302" i="12"/>
  <c r="P3302" i="12"/>
  <c r="Q3302" i="12"/>
  <c r="F3303" i="12"/>
  <c r="G3303" i="12"/>
  <c r="H3303" i="12"/>
  <c r="N3303" i="12"/>
  <c r="O3303" i="12"/>
  <c r="P3303" i="12"/>
  <c r="Q3303" i="12"/>
  <c r="F3304" i="12"/>
  <c r="G3304" i="12"/>
  <c r="J3304" i="12" s="1"/>
  <c r="H3304" i="12"/>
  <c r="N3304" i="12"/>
  <c r="O3304" i="12"/>
  <c r="P3304" i="12"/>
  <c r="Q3304" i="12"/>
  <c r="F3305" i="12"/>
  <c r="G3305" i="12"/>
  <c r="I3305" i="12" s="1"/>
  <c r="H3305" i="12"/>
  <c r="N3305" i="12"/>
  <c r="O3305" i="12"/>
  <c r="P3305" i="12"/>
  <c r="Q3305" i="12"/>
  <c r="F3306" i="12"/>
  <c r="D3306" i="12" s="1"/>
  <c r="G3306" i="12"/>
  <c r="L3306" i="12" s="1"/>
  <c r="H3306" i="12"/>
  <c r="N3306" i="12"/>
  <c r="O3306" i="12"/>
  <c r="P3306" i="12"/>
  <c r="Q3306" i="12"/>
  <c r="F3307" i="12"/>
  <c r="D3307" i="12" s="1"/>
  <c r="G3307" i="12"/>
  <c r="L3307" i="12" s="1"/>
  <c r="H3307" i="12"/>
  <c r="N3307" i="12"/>
  <c r="O3307" i="12"/>
  <c r="P3307" i="12"/>
  <c r="Q3307" i="12"/>
  <c r="F3308" i="12"/>
  <c r="D3308" i="12" s="1"/>
  <c r="G3308" i="12"/>
  <c r="J3308" i="12" s="1"/>
  <c r="H3308" i="12"/>
  <c r="N3308" i="12"/>
  <c r="O3308" i="12"/>
  <c r="P3308" i="12"/>
  <c r="Q3308" i="12"/>
  <c r="F3309" i="12"/>
  <c r="G3309" i="12"/>
  <c r="I3309" i="12" s="1"/>
  <c r="H3309" i="12"/>
  <c r="N3309" i="12"/>
  <c r="O3309" i="12"/>
  <c r="P3309" i="12"/>
  <c r="Q3309" i="12"/>
  <c r="F3310" i="12"/>
  <c r="D3310" i="12" s="1"/>
  <c r="G3310" i="12"/>
  <c r="L3310" i="12" s="1"/>
  <c r="H3310" i="12"/>
  <c r="N3310" i="12"/>
  <c r="O3310" i="12"/>
  <c r="P3310" i="12"/>
  <c r="Q3310" i="12"/>
  <c r="F3311" i="12"/>
  <c r="D3311" i="12" s="1"/>
  <c r="G3311" i="12"/>
  <c r="L3311" i="12" s="1"/>
  <c r="H3311" i="12"/>
  <c r="N3311" i="12"/>
  <c r="O3311" i="12"/>
  <c r="P3311" i="12"/>
  <c r="Q3311" i="12"/>
  <c r="F3312" i="12"/>
  <c r="D3312" i="12" s="1"/>
  <c r="G3312" i="12"/>
  <c r="H3312" i="12"/>
  <c r="N3312" i="12"/>
  <c r="O3312" i="12"/>
  <c r="P3312" i="12"/>
  <c r="Q3312" i="12"/>
  <c r="F3313" i="12"/>
  <c r="G3313" i="12"/>
  <c r="I3313" i="12" s="1"/>
  <c r="H3313" i="12"/>
  <c r="N3313" i="12"/>
  <c r="O3313" i="12"/>
  <c r="P3313" i="12"/>
  <c r="Q3313" i="12"/>
  <c r="F3314" i="12"/>
  <c r="G3314" i="12"/>
  <c r="L3314" i="12" s="1"/>
  <c r="H3314" i="12"/>
  <c r="N3314" i="12"/>
  <c r="O3314" i="12"/>
  <c r="P3314" i="12"/>
  <c r="Q3314" i="12"/>
  <c r="F3315" i="12"/>
  <c r="E3315" i="12" s="1"/>
  <c r="G3315" i="12"/>
  <c r="L3315" i="12" s="1"/>
  <c r="H3315" i="12"/>
  <c r="N3315" i="12"/>
  <c r="O3315" i="12"/>
  <c r="P3315" i="12"/>
  <c r="Q3315" i="12"/>
  <c r="F3316" i="12"/>
  <c r="G3316" i="12"/>
  <c r="J3316" i="12" s="1"/>
  <c r="H3316" i="12"/>
  <c r="N3316" i="12"/>
  <c r="O3316" i="12"/>
  <c r="P3316" i="12"/>
  <c r="Q3316" i="12"/>
  <c r="F3317" i="12"/>
  <c r="G3317" i="12"/>
  <c r="I3317" i="12" s="1"/>
  <c r="H3317" i="12"/>
  <c r="N3317" i="12"/>
  <c r="O3317" i="12"/>
  <c r="P3317" i="12"/>
  <c r="Q3317" i="12"/>
  <c r="F3318" i="12"/>
  <c r="D3318" i="12" s="1"/>
  <c r="G3318" i="12"/>
  <c r="L3318" i="12" s="1"/>
  <c r="H3318" i="12"/>
  <c r="N3318" i="12"/>
  <c r="O3318" i="12"/>
  <c r="P3318" i="12"/>
  <c r="Q3318" i="12"/>
  <c r="F3319" i="12"/>
  <c r="E3319" i="12" s="1"/>
  <c r="G3319" i="12"/>
  <c r="H3319" i="12"/>
  <c r="N3319" i="12"/>
  <c r="O3319" i="12"/>
  <c r="P3319" i="12"/>
  <c r="Q3319" i="12"/>
  <c r="F3320" i="12"/>
  <c r="E3320" i="12" s="1"/>
  <c r="G3320" i="12"/>
  <c r="J3320" i="12" s="1"/>
  <c r="H3320" i="12"/>
  <c r="N3320" i="12"/>
  <c r="O3320" i="12"/>
  <c r="P3320" i="12"/>
  <c r="Q3320" i="12"/>
  <c r="F3321" i="12"/>
  <c r="G3321" i="12"/>
  <c r="I3321" i="12" s="1"/>
  <c r="H3321" i="12"/>
  <c r="N3321" i="12"/>
  <c r="O3321" i="12"/>
  <c r="P3321" i="12"/>
  <c r="Q3321" i="12"/>
  <c r="F3322" i="12"/>
  <c r="D3322" i="12" s="1"/>
  <c r="G3322" i="12"/>
  <c r="L3322" i="12" s="1"/>
  <c r="H3322" i="12"/>
  <c r="N3322" i="12"/>
  <c r="O3322" i="12"/>
  <c r="P3322" i="12"/>
  <c r="Q3322" i="12"/>
  <c r="F3323" i="12"/>
  <c r="D3323" i="12" s="1"/>
  <c r="G3323" i="12"/>
  <c r="L3323" i="12" s="1"/>
  <c r="H3323" i="12"/>
  <c r="N3323" i="12"/>
  <c r="O3323" i="12"/>
  <c r="P3323" i="12"/>
  <c r="Q3323" i="12"/>
  <c r="F3324" i="12"/>
  <c r="D3324" i="12" s="1"/>
  <c r="G3324" i="12"/>
  <c r="J3324" i="12" s="1"/>
  <c r="H3324" i="12"/>
  <c r="N3324" i="12"/>
  <c r="O3324" i="12"/>
  <c r="P3324" i="12"/>
  <c r="Q3324" i="12"/>
  <c r="F3325" i="12"/>
  <c r="G3325" i="12"/>
  <c r="I3325" i="12" s="1"/>
  <c r="H3325" i="12"/>
  <c r="N3325" i="12"/>
  <c r="O3325" i="12"/>
  <c r="P3325" i="12"/>
  <c r="Q3325" i="12"/>
  <c r="F3326" i="12"/>
  <c r="D3326" i="12" s="1"/>
  <c r="G3326" i="12"/>
  <c r="H3326" i="12"/>
  <c r="N3326" i="12"/>
  <c r="O3326" i="12"/>
  <c r="P3326" i="12"/>
  <c r="Q3326" i="12"/>
  <c r="F3327" i="12"/>
  <c r="D3327" i="12" s="1"/>
  <c r="G3327" i="12"/>
  <c r="L3327" i="12" s="1"/>
  <c r="H3327" i="12"/>
  <c r="N3327" i="12"/>
  <c r="O3327" i="12"/>
  <c r="P3327" i="12"/>
  <c r="Q3327" i="12"/>
  <c r="F3328" i="12"/>
  <c r="D3328" i="12" s="1"/>
  <c r="G3328" i="12"/>
  <c r="H3328" i="12"/>
  <c r="N3328" i="12"/>
  <c r="O3328" i="12"/>
  <c r="P3328" i="12"/>
  <c r="Q3328" i="12"/>
  <c r="F3329" i="12"/>
  <c r="G3329" i="12"/>
  <c r="I3329" i="12" s="1"/>
  <c r="H3329" i="12"/>
  <c r="N3329" i="12"/>
  <c r="O3329" i="12"/>
  <c r="P3329" i="12"/>
  <c r="Q3329" i="12"/>
  <c r="F3330" i="12"/>
  <c r="G3330" i="12"/>
  <c r="H3330" i="12"/>
  <c r="N3330" i="12"/>
  <c r="O3330" i="12"/>
  <c r="P3330" i="12"/>
  <c r="Q3330" i="12"/>
  <c r="F3331" i="12"/>
  <c r="G3331" i="12"/>
  <c r="L3331" i="12" s="1"/>
  <c r="H3331" i="12"/>
  <c r="N3331" i="12"/>
  <c r="O3331" i="12"/>
  <c r="P3331" i="12"/>
  <c r="Q3331" i="12"/>
  <c r="F3332" i="12"/>
  <c r="G3332" i="12"/>
  <c r="J3332" i="12" s="1"/>
  <c r="H3332" i="12"/>
  <c r="N3332" i="12"/>
  <c r="O3332" i="12"/>
  <c r="P3332" i="12"/>
  <c r="Q3332" i="12"/>
  <c r="F3333" i="12"/>
  <c r="G3333" i="12"/>
  <c r="H3333" i="12"/>
  <c r="N3333" i="12"/>
  <c r="O3333" i="12"/>
  <c r="P3333" i="12"/>
  <c r="Q3333" i="12"/>
  <c r="F3334" i="12"/>
  <c r="D3334" i="12" s="1"/>
  <c r="G3334" i="12"/>
  <c r="L3334" i="12" s="1"/>
  <c r="H3334" i="12"/>
  <c r="N3334" i="12"/>
  <c r="O3334" i="12"/>
  <c r="P3334" i="12"/>
  <c r="Q3334" i="12"/>
  <c r="F3335" i="12"/>
  <c r="E3335" i="12" s="1"/>
  <c r="G3335" i="12"/>
  <c r="H3335" i="12"/>
  <c r="N3335" i="12"/>
  <c r="O3335" i="12"/>
  <c r="P3335" i="12"/>
  <c r="Q3335" i="12"/>
  <c r="F3336" i="12"/>
  <c r="E3336" i="12" s="1"/>
  <c r="G3336" i="12"/>
  <c r="J3336" i="12" s="1"/>
  <c r="H3336" i="12"/>
  <c r="N3336" i="12"/>
  <c r="O3336" i="12"/>
  <c r="P3336" i="12"/>
  <c r="Q3336" i="12"/>
  <c r="F3337" i="12"/>
  <c r="G3337" i="12"/>
  <c r="H3337" i="12"/>
  <c r="N3337" i="12"/>
  <c r="O3337" i="12"/>
  <c r="P3337" i="12"/>
  <c r="Q3337" i="12"/>
  <c r="F3338" i="12"/>
  <c r="D3338" i="12" s="1"/>
  <c r="G3338" i="12"/>
  <c r="L3338" i="12" s="1"/>
  <c r="H3338" i="12"/>
  <c r="N3338" i="12"/>
  <c r="O3338" i="12"/>
  <c r="P3338" i="12"/>
  <c r="Q3338" i="12"/>
  <c r="F3339" i="12"/>
  <c r="D3339" i="12" s="1"/>
  <c r="G3339" i="12"/>
  <c r="L3339" i="12" s="1"/>
  <c r="H3339" i="12"/>
  <c r="N3339" i="12"/>
  <c r="O3339" i="12"/>
  <c r="P3339" i="12"/>
  <c r="Q3339" i="12"/>
  <c r="F3340" i="12"/>
  <c r="D3340" i="12" s="1"/>
  <c r="G3340" i="12"/>
  <c r="J3340" i="12" s="1"/>
  <c r="H3340" i="12"/>
  <c r="N3340" i="12"/>
  <c r="O3340" i="12"/>
  <c r="P3340" i="12"/>
  <c r="Q3340" i="12"/>
  <c r="F3341" i="12"/>
  <c r="G3341" i="12"/>
  <c r="K3341" i="12" s="1"/>
  <c r="H3341" i="12"/>
  <c r="N3341" i="12"/>
  <c r="O3341" i="12"/>
  <c r="P3341" i="12"/>
  <c r="Q3341" i="12"/>
  <c r="F3342" i="12"/>
  <c r="D3342" i="12" s="1"/>
  <c r="G3342" i="12"/>
  <c r="L3342" i="12" s="1"/>
  <c r="H3342" i="12"/>
  <c r="N3342" i="12"/>
  <c r="O3342" i="12"/>
  <c r="P3342" i="12"/>
  <c r="Q3342" i="12"/>
  <c r="F3343" i="12"/>
  <c r="D3343" i="12" s="1"/>
  <c r="G3343" i="12"/>
  <c r="K3343" i="12" s="1"/>
  <c r="H3343" i="12"/>
  <c r="N3343" i="12"/>
  <c r="O3343" i="12"/>
  <c r="P3343" i="12"/>
  <c r="Q3343" i="12"/>
  <c r="F3344" i="12"/>
  <c r="E3344" i="12" s="1"/>
  <c r="G3344" i="12"/>
  <c r="J3344" i="12" s="1"/>
  <c r="H3344" i="12"/>
  <c r="N3344" i="12"/>
  <c r="O3344" i="12"/>
  <c r="P3344" i="12"/>
  <c r="Q3344" i="12"/>
  <c r="F3345" i="12"/>
  <c r="G3345" i="12"/>
  <c r="K3345" i="12" s="1"/>
  <c r="H3345" i="12"/>
  <c r="N3345" i="12"/>
  <c r="O3345" i="12"/>
  <c r="P3345" i="12"/>
  <c r="Q3345" i="12"/>
  <c r="F3346" i="12"/>
  <c r="D3346" i="12" s="1"/>
  <c r="G3346" i="12"/>
  <c r="H3346" i="12"/>
  <c r="N3346" i="12"/>
  <c r="O3346" i="12"/>
  <c r="P3346" i="12"/>
  <c r="Q3346" i="12"/>
  <c r="F3347" i="12"/>
  <c r="D3347" i="12" s="1"/>
  <c r="G3347" i="12"/>
  <c r="L3347" i="12" s="1"/>
  <c r="H3347" i="12"/>
  <c r="N3347" i="12"/>
  <c r="O3347" i="12"/>
  <c r="P3347" i="12"/>
  <c r="Q3347" i="12"/>
  <c r="F3348" i="12"/>
  <c r="D3348" i="12" s="1"/>
  <c r="G3348" i="12"/>
  <c r="J3348" i="12" s="1"/>
  <c r="H3348" i="12"/>
  <c r="N3348" i="12"/>
  <c r="O3348" i="12"/>
  <c r="P3348" i="12"/>
  <c r="Q3348" i="12"/>
  <c r="F3349" i="12"/>
  <c r="G3349" i="12"/>
  <c r="K3349" i="12" s="1"/>
  <c r="H3349" i="12"/>
  <c r="N3349" i="12"/>
  <c r="O3349" i="12"/>
  <c r="P3349" i="12"/>
  <c r="Q3349" i="12"/>
  <c r="F3350" i="12"/>
  <c r="G3350" i="12"/>
  <c r="H3350" i="12"/>
  <c r="N3350" i="12"/>
  <c r="O3350" i="12"/>
  <c r="P3350" i="12"/>
  <c r="Q3350" i="12"/>
  <c r="F3351" i="12"/>
  <c r="E3351" i="12" s="1"/>
  <c r="G3351" i="12"/>
  <c r="K3351" i="12" s="1"/>
  <c r="H3351" i="12"/>
  <c r="N3351" i="12"/>
  <c r="O3351" i="12"/>
  <c r="P3351" i="12"/>
  <c r="Q3351" i="12"/>
  <c r="F3352" i="12"/>
  <c r="E3352" i="12" s="1"/>
  <c r="G3352" i="12"/>
  <c r="J3352" i="12" s="1"/>
  <c r="H3352" i="12"/>
  <c r="N3352" i="12"/>
  <c r="O3352" i="12"/>
  <c r="P3352" i="12"/>
  <c r="Q3352" i="12"/>
  <c r="F3353" i="12"/>
  <c r="G3353" i="12"/>
  <c r="K3353" i="12" s="1"/>
  <c r="H3353" i="12"/>
  <c r="N3353" i="12"/>
  <c r="O3353" i="12"/>
  <c r="P3353" i="12"/>
  <c r="Q3353" i="12"/>
  <c r="F3354" i="12"/>
  <c r="D3354" i="12" s="1"/>
  <c r="G3354" i="12"/>
  <c r="L3354" i="12" s="1"/>
  <c r="H3354" i="12"/>
  <c r="N3354" i="12"/>
  <c r="O3354" i="12"/>
  <c r="P3354" i="12"/>
  <c r="Q3354" i="12"/>
  <c r="F3355" i="12"/>
  <c r="E3355" i="12" s="1"/>
  <c r="G3355" i="12"/>
  <c r="H3355" i="12"/>
  <c r="N3355" i="12"/>
  <c r="O3355" i="12"/>
  <c r="P3355" i="12"/>
  <c r="Q3355" i="12"/>
  <c r="F3356" i="12"/>
  <c r="G3356" i="12"/>
  <c r="L3356" i="12" s="1"/>
  <c r="H3356" i="12"/>
  <c r="N3356" i="12"/>
  <c r="O3356" i="12"/>
  <c r="P3356" i="12"/>
  <c r="Q3356" i="12"/>
  <c r="F3357" i="12"/>
  <c r="G3357" i="12"/>
  <c r="I3357" i="12" s="1"/>
  <c r="H3357" i="12"/>
  <c r="N3357" i="12"/>
  <c r="O3357" i="12"/>
  <c r="P3357" i="12"/>
  <c r="Q3357" i="12"/>
  <c r="F3358" i="12"/>
  <c r="D3358" i="12" s="1"/>
  <c r="G3358" i="12"/>
  <c r="H3358" i="12"/>
  <c r="N3358" i="12"/>
  <c r="O3358" i="12"/>
  <c r="P3358" i="12"/>
  <c r="Q3358" i="12"/>
  <c r="F3359" i="12"/>
  <c r="E3359" i="12" s="1"/>
  <c r="G3359" i="12"/>
  <c r="I3359" i="12" s="1"/>
  <c r="H3359" i="12"/>
  <c r="N3359" i="12"/>
  <c r="O3359" i="12"/>
  <c r="P3359" i="12"/>
  <c r="Q3359" i="12"/>
  <c r="F3360" i="12"/>
  <c r="D3360" i="12" s="1"/>
  <c r="G3360" i="12"/>
  <c r="L3360" i="12" s="1"/>
  <c r="H3360" i="12"/>
  <c r="N3360" i="12"/>
  <c r="O3360" i="12"/>
  <c r="P3360" i="12"/>
  <c r="Q3360" i="12"/>
  <c r="F3361" i="12"/>
  <c r="G3361" i="12"/>
  <c r="I3361" i="12" s="1"/>
  <c r="H3361" i="12"/>
  <c r="N3361" i="12"/>
  <c r="O3361" i="12"/>
  <c r="P3361" i="12"/>
  <c r="Q3361" i="12"/>
  <c r="F3362" i="12"/>
  <c r="G3362" i="12"/>
  <c r="L3362" i="12" s="1"/>
  <c r="H3362" i="12"/>
  <c r="N3362" i="12"/>
  <c r="O3362" i="12"/>
  <c r="P3362" i="12"/>
  <c r="Q3362" i="12"/>
  <c r="F3363" i="12"/>
  <c r="E3363" i="12" s="1"/>
  <c r="G3363" i="12"/>
  <c r="H3363" i="12"/>
  <c r="N3363" i="12"/>
  <c r="O3363" i="12"/>
  <c r="P3363" i="12"/>
  <c r="Q3363" i="12"/>
  <c r="F3364" i="12"/>
  <c r="E3364" i="12" s="1"/>
  <c r="G3364" i="12"/>
  <c r="H3364" i="12"/>
  <c r="N3364" i="12"/>
  <c r="O3364" i="12"/>
  <c r="P3364" i="12"/>
  <c r="Q3364" i="12"/>
  <c r="F3365" i="12"/>
  <c r="G3365" i="12"/>
  <c r="K3365" i="12" s="1"/>
  <c r="H3365" i="12"/>
  <c r="N3365" i="12"/>
  <c r="O3365" i="12"/>
  <c r="P3365" i="12"/>
  <c r="Q3365" i="12"/>
  <c r="F3366" i="12"/>
  <c r="D3366" i="12" s="1"/>
  <c r="G3366" i="12"/>
  <c r="H3366" i="12"/>
  <c r="N3366" i="12"/>
  <c r="O3366" i="12"/>
  <c r="P3366" i="12"/>
  <c r="Q3366" i="12"/>
  <c r="F3367" i="12"/>
  <c r="D3367" i="12" s="1"/>
  <c r="G3367" i="12"/>
  <c r="H3367" i="12"/>
  <c r="N3367" i="12"/>
  <c r="O3367" i="12"/>
  <c r="P3367" i="12"/>
  <c r="Q3367" i="12"/>
  <c r="F3368" i="12"/>
  <c r="G3368" i="12"/>
  <c r="M3368" i="12" s="1"/>
  <c r="H3368" i="12"/>
  <c r="N3368" i="12"/>
  <c r="O3368" i="12"/>
  <c r="P3368" i="12"/>
  <c r="Q3368" i="12"/>
  <c r="F3369" i="12"/>
  <c r="G3369" i="12"/>
  <c r="I3369" i="12" s="1"/>
  <c r="H3369" i="12"/>
  <c r="N3369" i="12"/>
  <c r="O3369" i="12"/>
  <c r="P3369" i="12"/>
  <c r="Q3369" i="12"/>
  <c r="F3370" i="12"/>
  <c r="D3370" i="12" s="1"/>
  <c r="G3370" i="12"/>
  <c r="H3370" i="12"/>
  <c r="N3370" i="12"/>
  <c r="O3370" i="12"/>
  <c r="P3370" i="12"/>
  <c r="Q3370" i="12"/>
  <c r="F3371" i="12"/>
  <c r="G3371" i="12"/>
  <c r="H3371" i="12"/>
  <c r="N3371" i="12"/>
  <c r="O3371" i="12"/>
  <c r="P3371" i="12"/>
  <c r="Q3371" i="12"/>
  <c r="F3372" i="12"/>
  <c r="G3372" i="12"/>
  <c r="H3372" i="12"/>
  <c r="N3372" i="12"/>
  <c r="O3372" i="12"/>
  <c r="P3372" i="12"/>
  <c r="Q3372" i="12"/>
  <c r="F3373" i="12"/>
  <c r="E3373" i="12" s="1"/>
  <c r="G3373" i="12"/>
  <c r="H3373" i="12"/>
  <c r="N3373" i="12"/>
  <c r="O3373" i="12"/>
  <c r="P3373" i="12"/>
  <c r="Q3373" i="12"/>
  <c r="F3374" i="12"/>
  <c r="D3374" i="12" s="1"/>
  <c r="G3374" i="12"/>
  <c r="H3374" i="12"/>
  <c r="N3374" i="12"/>
  <c r="O3374" i="12"/>
  <c r="P3374" i="12"/>
  <c r="Q3374" i="12"/>
  <c r="F3375" i="12"/>
  <c r="G3375" i="12"/>
  <c r="H3375" i="12"/>
  <c r="N3375" i="12"/>
  <c r="O3375" i="12"/>
  <c r="P3375" i="12"/>
  <c r="Q3375" i="12"/>
  <c r="F3376" i="12"/>
  <c r="G3376" i="12"/>
  <c r="K3376" i="12" s="1"/>
  <c r="H3376" i="12"/>
  <c r="N3376" i="12"/>
  <c r="O3376" i="12"/>
  <c r="P3376" i="12"/>
  <c r="Q3376" i="12"/>
  <c r="F3377" i="12"/>
  <c r="E3377" i="12" s="1"/>
  <c r="G3377" i="12"/>
  <c r="H3377" i="12"/>
  <c r="N3377" i="12"/>
  <c r="O3377" i="12"/>
  <c r="P3377" i="12"/>
  <c r="Q3377" i="12"/>
  <c r="F3378" i="12"/>
  <c r="D3378" i="12" s="1"/>
  <c r="G3378" i="12"/>
  <c r="L3378" i="12" s="1"/>
  <c r="H3378" i="12"/>
  <c r="N3378" i="12"/>
  <c r="O3378" i="12"/>
  <c r="P3378" i="12"/>
  <c r="Q3378" i="12"/>
  <c r="F3379" i="12"/>
  <c r="E3379" i="12" s="1"/>
  <c r="G3379" i="12"/>
  <c r="I3379" i="12" s="1"/>
  <c r="H3379" i="12"/>
  <c r="N3379" i="12"/>
  <c r="O3379" i="12"/>
  <c r="P3379" i="12"/>
  <c r="Q3379" i="12"/>
  <c r="F3380" i="12"/>
  <c r="D3380" i="12" s="1"/>
  <c r="G3380" i="12"/>
  <c r="K3380" i="12" s="1"/>
  <c r="H3380" i="12"/>
  <c r="N3380" i="12"/>
  <c r="O3380" i="12"/>
  <c r="P3380" i="12"/>
  <c r="Q3380" i="12"/>
  <c r="F3381" i="12"/>
  <c r="E3381" i="12" s="1"/>
  <c r="G3381" i="12"/>
  <c r="K3381" i="12" s="1"/>
  <c r="H3381" i="12"/>
  <c r="N3381" i="12"/>
  <c r="O3381" i="12"/>
  <c r="P3381" i="12"/>
  <c r="Q3381" i="12"/>
  <c r="F3382" i="12"/>
  <c r="G3382" i="12"/>
  <c r="M3382" i="12" s="1"/>
  <c r="H3382" i="12"/>
  <c r="N3382" i="12"/>
  <c r="O3382" i="12"/>
  <c r="P3382" i="12"/>
  <c r="Q3382" i="12"/>
  <c r="F3383" i="12"/>
  <c r="D3383" i="12" s="1"/>
  <c r="G3383" i="12"/>
  <c r="I3383" i="12" s="1"/>
  <c r="H3383" i="12"/>
  <c r="N3383" i="12"/>
  <c r="O3383" i="12"/>
  <c r="P3383" i="12"/>
  <c r="Q3383" i="12"/>
  <c r="F3384" i="12"/>
  <c r="G3384" i="12"/>
  <c r="K3384" i="12" s="1"/>
  <c r="H3384" i="12"/>
  <c r="N3384" i="12"/>
  <c r="O3384" i="12"/>
  <c r="P3384" i="12"/>
  <c r="Q3384" i="12"/>
  <c r="F3385" i="12"/>
  <c r="E3385" i="12" s="1"/>
  <c r="G3385" i="12"/>
  <c r="H3385" i="12"/>
  <c r="N3385" i="12"/>
  <c r="O3385" i="12"/>
  <c r="P3385" i="12"/>
  <c r="Q3385" i="12"/>
  <c r="F3386" i="12"/>
  <c r="G3386" i="12"/>
  <c r="H3386" i="12"/>
  <c r="N3386" i="12"/>
  <c r="O3386" i="12"/>
  <c r="P3386" i="12"/>
  <c r="Q3386" i="12"/>
  <c r="F3387" i="12"/>
  <c r="D3387" i="12" s="1"/>
  <c r="G3387" i="12"/>
  <c r="I3387" i="12" s="1"/>
  <c r="H3387" i="12"/>
  <c r="N3387" i="12"/>
  <c r="O3387" i="12"/>
  <c r="P3387" i="12"/>
  <c r="Q3387" i="12"/>
  <c r="F3388" i="12"/>
  <c r="D3388" i="12" s="1"/>
  <c r="G3388" i="12"/>
  <c r="H3388" i="12"/>
  <c r="N3388" i="12"/>
  <c r="O3388" i="12"/>
  <c r="P3388" i="12"/>
  <c r="Q3388" i="12"/>
  <c r="F3389" i="12"/>
  <c r="E3389" i="12" s="1"/>
  <c r="G3389" i="12"/>
  <c r="M3389" i="12" s="1"/>
  <c r="H3389" i="12"/>
  <c r="N3389" i="12"/>
  <c r="O3389" i="12"/>
  <c r="P3389" i="12"/>
  <c r="Q3389" i="12"/>
  <c r="F3390" i="12"/>
  <c r="G3390" i="12"/>
  <c r="H3390" i="12"/>
  <c r="N3390" i="12"/>
  <c r="O3390" i="12"/>
  <c r="P3390" i="12"/>
  <c r="Q3390" i="12"/>
  <c r="F3391" i="12"/>
  <c r="D3391" i="12" s="1"/>
  <c r="G3391" i="12"/>
  <c r="H3391" i="12"/>
  <c r="N3391" i="12"/>
  <c r="O3391" i="12"/>
  <c r="P3391" i="12"/>
  <c r="Q3391" i="12"/>
  <c r="F3392" i="12"/>
  <c r="G3392" i="12"/>
  <c r="K3392" i="12" s="1"/>
  <c r="H3392" i="12"/>
  <c r="N3392" i="12"/>
  <c r="O3392" i="12"/>
  <c r="P3392" i="12"/>
  <c r="Q3392" i="12"/>
  <c r="F3393" i="12"/>
  <c r="G3393" i="12"/>
  <c r="K3393" i="12" s="1"/>
  <c r="H3393" i="12"/>
  <c r="N3393" i="12"/>
  <c r="O3393" i="12"/>
  <c r="P3393" i="12"/>
  <c r="Q3393" i="12"/>
  <c r="F3394" i="12"/>
  <c r="G3394" i="12"/>
  <c r="I3394" i="12" s="1"/>
  <c r="H3394" i="12"/>
  <c r="N3394" i="12"/>
  <c r="O3394" i="12"/>
  <c r="P3394" i="12"/>
  <c r="Q3394" i="12"/>
  <c r="F3395" i="12"/>
  <c r="D3395" i="12" s="1"/>
  <c r="G3395" i="12"/>
  <c r="I3395" i="12" s="1"/>
  <c r="H3395" i="12"/>
  <c r="N3395" i="12"/>
  <c r="O3395" i="12"/>
  <c r="P3395" i="12"/>
  <c r="Q3395" i="12"/>
  <c r="F3396" i="12"/>
  <c r="D3396" i="12" s="1"/>
  <c r="G3396" i="12"/>
  <c r="K3396" i="12" s="1"/>
  <c r="H3396" i="12"/>
  <c r="N3396" i="12"/>
  <c r="O3396" i="12"/>
  <c r="P3396" i="12"/>
  <c r="Q3396" i="12"/>
  <c r="F3397" i="12"/>
  <c r="E3397" i="12" s="1"/>
  <c r="G3397" i="12"/>
  <c r="K3397" i="12" s="1"/>
  <c r="H3397" i="12"/>
  <c r="N3397" i="12"/>
  <c r="O3397" i="12"/>
  <c r="P3397" i="12"/>
  <c r="Q3397" i="12"/>
  <c r="F3398" i="12"/>
  <c r="G3398" i="12"/>
  <c r="M3398" i="12" s="1"/>
  <c r="H3398" i="12"/>
  <c r="N3398" i="12"/>
  <c r="O3398" i="12"/>
  <c r="P3398" i="12"/>
  <c r="Q3398" i="12"/>
  <c r="F3399" i="12"/>
  <c r="D3399" i="12" s="1"/>
  <c r="G3399" i="12"/>
  <c r="I3399" i="12" s="1"/>
  <c r="H3399" i="12"/>
  <c r="N3399" i="12"/>
  <c r="O3399" i="12"/>
  <c r="P3399" i="12"/>
  <c r="Q3399" i="12"/>
  <c r="F3400" i="12"/>
  <c r="G3400" i="12"/>
  <c r="K3400" i="12" s="1"/>
  <c r="H3400" i="12"/>
  <c r="N3400" i="12"/>
  <c r="O3400" i="12"/>
  <c r="P3400" i="12"/>
  <c r="Q3400" i="12"/>
  <c r="F3401" i="12"/>
  <c r="E3401" i="12" s="1"/>
  <c r="G3401" i="12"/>
  <c r="H3401" i="12"/>
  <c r="N3401" i="12"/>
  <c r="O3401" i="12"/>
  <c r="P3401" i="12"/>
  <c r="Q3401" i="12"/>
  <c r="F3402" i="12"/>
  <c r="G3402" i="12"/>
  <c r="I3402" i="12" s="1"/>
  <c r="H3402" i="12"/>
  <c r="N3402" i="12"/>
  <c r="O3402" i="12"/>
  <c r="P3402" i="12"/>
  <c r="Q3402" i="12"/>
  <c r="F3403" i="12"/>
  <c r="D3403" i="12" s="1"/>
  <c r="G3403" i="12"/>
  <c r="I3403" i="12" s="1"/>
  <c r="H3403" i="12"/>
  <c r="N3403" i="12"/>
  <c r="O3403" i="12"/>
  <c r="P3403" i="12"/>
  <c r="Q3403" i="12"/>
  <c r="F3404" i="12"/>
  <c r="E3404" i="12" s="1"/>
  <c r="G3404" i="12"/>
  <c r="H3404" i="12"/>
  <c r="N3404" i="12"/>
  <c r="O3404" i="12"/>
  <c r="P3404" i="12"/>
  <c r="Q3404" i="12"/>
  <c r="F3405" i="12"/>
  <c r="E3405" i="12" s="1"/>
  <c r="G3405" i="12"/>
  <c r="H3405" i="12"/>
  <c r="N3405" i="12"/>
  <c r="O3405" i="12"/>
  <c r="P3405" i="12"/>
  <c r="Q3405" i="12"/>
  <c r="F3406" i="12"/>
  <c r="G3406" i="12"/>
  <c r="I3406" i="12" s="1"/>
  <c r="H3406" i="12"/>
  <c r="N3406" i="12"/>
  <c r="O3406" i="12"/>
  <c r="P3406" i="12"/>
  <c r="Q3406" i="12"/>
  <c r="F3407" i="12"/>
  <c r="D3407" i="12" s="1"/>
  <c r="G3407" i="12"/>
  <c r="H3407" i="12"/>
  <c r="N3407" i="12"/>
  <c r="O3407" i="12"/>
  <c r="P3407" i="12"/>
  <c r="Q3407" i="12"/>
  <c r="F3408" i="12"/>
  <c r="E3408" i="12" s="1"/>
  <c r="G3408" i="12"/>
  <c r="K3408" i="12" s="1"/>
  <c r="H3408" i="12"/>
  <c r="N3408" i="12"/>
  <c r="O3408" i="12"/>
  <c r="P3408" i="12"/>
  <c r="Q3408" i="12"/>
  <c r="F3409" i="12"/>
  <c r="G3409" i="12"/>
  <c r="I3409" i="12" s="1"/>
  <c r="H3409" i="12"/>
  <c r="N3409" i="12"/>
  <c r="O3409" i="12"/>
  <c r="P3409" i="12"/>
  <c r="Q3409" i="12"/>
  <c r="F3410" i="12"/>
  <c r="G3410" i="12"/>
  <c r="I3410" i="12" s="1"/>
  <c r="H3410" i="12"/>
  <c r="N3410" i="12"/>
  <c r="O3410" i="12"/>
  <c r="P3410" i="12"/>
  <c r="Q3410" i="12"/>
  <c r="F3411" i="12"/>
  <c r="D3411" i="12" s="1"/>
  <c r="G3411" i="12"/>
  <c r="H3411" i="12"/>
  <c r="N3411" i="12"/>
  <c r="O3411" i="12"/>
  <c r="P3411" i="12"/>
  <c r="Q3411" i="12"/>
  <c r="F3412" i="12"/>
  <c r="D3412" i="12" s="1"/>
  <c r="G3412" i="12"/>
  <c r="K3412" i="12" s="1"/>
  <c r="H3412" i="12"/>
  <c r="N3412" i="12"/>
  <c r="O3412" i="12"/>
  <c r="P3412" i="12"/>
  <c r="Q3412" i="12"/>
  <c r="F3413" i="12"/>
  <c r="E3413" i="12" s="1"/>
  <c r="G3413" i="12"/>
  <c r="H3413" i="12"/>
  <c r="N3413" i="12"/>
  <c r="O3413" i="12"/>
  <c r="P3413" i="12"/>
  <c r="Q3413" i="12"/>
  <c r="F3414" i="12"/>
  <c r="G3414" i="12"/>
  <c r="M3414" i="12" s="1"/>
  <c r="H3414" i="12"/>
  <c r="N3414" i="12"/>
  <c r="O3414" i="12"/>
  <c r="P3414" i="12"/>
  <c r="Q3414" i="12"/>
  <c r="F3415" i="12"/>
  <c r="D3415" i="12" s="1"/>
  <c r="G3415" i="12"/>
  <c r="I3415" i="12" s="1"/>
  <c r="H3415" i="12"/>
  <c r="N3415" i="12"/>
  <c r="O3415" i="12"/>
  <c r="P3415" i="12"/>
  <c r="Q3415" i="12"/>
  <c r="F3416" i="12"/>
  <c r="G3416" i="12"/>
  <c r="K3416" i="12" s="1"/>
  <c r="H3416" i="12"/>
  <c r="N3416" i="12"/>
  <c r="O3416" i="12"/>
  <c r="P3416" i="12"/>
  <c r="Q3416" i="12"/>
  <c r="F3417" i="12"/>
  <c r="E3417" i="12" s="1"/>
  <c r="G3417" i="12"/>
  <c r="H3417" i="12"/>
  <c r="N3417" i="12"/>
  <c r="O3417" i="12"/>
  <c r="P3417" i="12"/>
  <c r="Q3417" i="12"/>
  <c r="F3418" i="12"/>
  <c r="G3418" i="12"/>
  <c r="H3418" i="12"/>
  <c r="N3418" i="12"/>
  <c r="O3418" i="12"/>
  <c r="P3418" i="12"/>
  <c r="Q3418" i="12"/>
  <c r="F3419" i="12"/>
  <c r="D3419" i="12" s="1"/>
  <c r="G3419" i="12"/>
  <c r="I3419" i="12" s="1"/>
  <c r="H3419" i="12"/>
  <c r="N3419" i="12"/>
  <c r="O3419" i="12"/>
  <c r="P3419" i="12"/>
  <c r="Q3419" i="12"/>
  <c r="F3420" i="12"/>
  <c r="D3420" i="12" s="1"/>
  <c r="G3420" i="12"/>
  <c r="H3420" i="12"/>
  <c r="N3420" i="12"/>
  <c r="O3420" i="12"/>
  <c r="P3420" i="12"/>
  <c r="Q3420" i="12"/>
  <c r="F3421" i="12"/>
  <c r="E3421" i="12" s="1"/>
  <c r="G3421" i="12"/>
  <c r="H3421" i="12"/>
  <c r="N3421" i="12"/>
  <c r="O3421" i="12"/>
  <c r="P3421" i="12"/>
  <c r="Q3421" i="12"/>
  <c r="F3422" i="12"/>
  <c r="G3422" i="12"/>
  <c r="H3422" i="12"/>
  <c r="N3422" i="12"/>
  <c r="O3422" i="12"/>
  <c r="P3422" i="12"/>
  <c r="Q3422" i="12"/>
  <c r="F3423" i="12"/>
  <c r="D3423" i="12" s="1"/>
  <c r="G3423" i="12"/>
  <c r="H3423" i="12"/>
  <c r="N3423" i="12"/>
  <c r="O3423" i="12"/>
  <c r="P3423" i="12"/>
  <c r="Q3423" i="12"/>
  <c r="F3424" i="12"/>
  <c r="D3424" i="12" s="1"/>
  <c r="G3424" i="12"/>
  <c r="H3424" i="12"/>
  <c r="N3424" i="12"/>
  <c r="O3424" i="12"/>
  <c r="P3424" i="12"/>
  <c r="Q3424" i="12"/>
  <c r="F3425" i="12"/>
  <c r="G3425" i="12"/>
  <c r="K3425" i="12" s="1"/>
  <c r="H3425" i="12"/>
  <c r="N3425" i="12"/>
  <c r="O3425" i="12"/>
  <c r="P3425" i="12"/>
  <c r="Q3425" i="12"/>
  <c r="F3426" i="12"/>
  <c r="G3426" i="12"/>
  <c r="H3426" i="12"/>
  <c r="N3426" i="12"/>
  <c r="O3426" i="12"/>
  <c r="P3426" i="12"/>
  <c r="Q3426" i="12"/>
  <c r="F3427" i="12"/>
  <c r="D3427" i="12" s="1"/>
  <c r="G3427" i="12"/>
  <c r="H3427" i="12"/>
  <c r="N3427" i="12"/>
  <c r="O3427" i="12"/>
  <c r="P3427" i="12"/>
  <c r="Q3427" i="12"/>
  <c r="F3428" i="12"/>
  <c r="D3428" i="12" s="1"/>
  <c r="G3428" i="12"/>
  <c r="K3428" i="12" s="1"/>
  <c r="H3428" i="12"/>
  <c r="N3428" i="12"/>
  <c r="O3428" i="12"/>
  <c r="P3428" i="12"/>
  <c r="Q3428" i="12"/>
  <c r="F3429" i="12"/>
  <c r="E3429" i="12" s="1"/>
  <c r="G3429" i="12"/>
  <c r="K3429" i="12" s="1"/>
  <c r="H3429" i="12"/>
  <c r="N3429" i="12"/>
  <c r="O3429" i="12"/>
  <c r="P3429" i="12"/>
  <c r="Q3429" i="12"/>
  <c r="F3430" i="12"/>
  <c r="G3430" i="12"/>
  <c r="I3430" i="12" s="1"/>
  <c r="H3430" i="12"/>
  <c r="N3430" i="12"/>
  <c r="O3430" i="12"/>
  <c r="P3430" i="12"/>
  <c r="Q3430" i="12"/>
  <c r="F3431" i="12"/>
  <c r="D3431" i="12" s="1"/>
  <c r="G3431" i="12"/>
  <c r="H3431" i="12"/>
  <c r="N3431" i="12"/>
  <c r="O3431" i="12"/>
  <c r="P3431" i="12"/>
  <c r="Q3431" i="12"/>
  <c r="F3432" i="12"/>
  <c r="E3432" i="12" s="1"/>
  <c r="G3432" i="12"/>
  <c r="L3432" i="12" s="1"/>
  <c r="H3432" i="12"/>
  <c r="N3432" i="12"/>
  <c r="O3432" i="12"/>
  <c r="P3432" i="12"/>
  <c r="Q3432" i="12"/>
  <c r="F3433" i="12"/>
  <c r="E3433" i="12" s="1"/>
  <c r="G3433" i="12"/>
  <c r="H3433" i="12"/>
  <c r="N3433" i="12"/>
  <c r="O3433" i="12"/>
  <c r="P3433" i="12"/>
  <c r="Q3433" i="12"/>
  <c r="F3434" i="12"/>
  <c r="G3434" i="12"/>
  <c r="H3434" i="12"/>
  <c r="N3434" i="12"/>
  <c r="O3434" i="12"/>
  <c r="P3434" i="12"/>
  <c r="Q3434" i="12"/>
  <c r="F3435" i="12"/>
  <c r="D3435" i="12" s="1"/>
  <c r="G3435" i="12"/>
  <c r="H3435" i="12"/>
  <c r="N3435" i="12"/>
  <c r="O3435" i="12"/>
  <c r="P3435" i="12"/>
  <c r="Q3435" i="12"/>
  <c r="F3436" i="12"/>
  <c r="E3436" i="12" s="1"/>
  <c r="G3436" i="12"/>
  <c r="K3436" i="12" s="1"/>
  <c r="H3436" i="12"/>
  <c r="N3436" i="12"/>
  <c r="O3436" i="12"/>
  <c r="P3436" i="12"/>
  <c r="Q3436" i="12"/>
  <c r="F3437" i="12"/>
  <c r="E3437" i="12" s="1"/>
  <c r="G3437" i="12"/>
  <c r="L3437" i="12" s="1"/>
  <c r="H3437" i="12"/>
  <c r="N3437" i="12"/>
  <c r="O3437" i="12"/>
  <c r="P3437" i="12"/>
  <c r="Q3437" i="12"/>
  <c r="F3438" i="12"/>
  <c r="G3438" i="12"/>
  <c r="I3438" i="12" s="1"/>
  <c r="H3438" i="12"/>
  <c r="N3438" i="12"/>
  <c r="O3438" i="12"/>
  <c r="P3438" i="12"/>
  <c r="Q3438" i="12"/>
  <c r="F3439" i="12"/>
  <c r="D3439" i="12" s="1"/>
  <c r="G3439" i="12"/>
  <c r="I3439" i="12" s="1"/>
  <c r="H3439" i="12"/>
  <c r="N3439" i="12"/>
  <c r="O3439" i="12"/>
  <c r="P3439" i="12"/>
  <c r="Q3439" i="12"/>
  <c r="F3440" i="12"/>
  <c r="D3440" i="12" s="1"/>
  <c r="G3440" i="12"/>
  <c r="H3440" i="12"/>
  <c r="N3440" i="12"/>
  <c r="O3440" i="12"/>
  <c r="P3440" i="12"/>
  <c r="Q3440" i="12"/>
  <c r="F3441" i="12"/>
  <c r="E3441" i="12" s="1"/>
  <c r="G3441" i="12"/>
  <c r="H3441" i="12"/>
  <c r="N3441" i="12"/>
  <c r="O3441" i="12"/>
  <c r="P3441" i="12"/>
  <c r="Q3441" i="12"/>
  <c r="F3442" i="12"/>
  <c r="G3442" i="12"/>
  <c r="I3442" i="12" s="1"/>
  <c r="H3442" i="12"/>
  <c r="N3442" i="12"/>
  <c r="O3442" i="12"/>
  <c r="P3442" i="12"/>
  <c r="Q3442" i="12"/>
  <c r="F3443" i="12"/>
  <c r="D3443" i="12" s="1"/>
  <c r="G3443" i="12"/>
  <c r="I3443" i="12" s="1"/>
  <c r="H3443" i="12"/>
  <c r="N3443" i="12"/>
  <c r="O3443" i="12"/>
  <c r="P3443" i="12"/>
  <c r="Q3443" i="12"/>
  <c r="F3444" i="12"/>
  <c r="G3444" i="12"/>
  <c r="K3444" i="12" s="1"/>
  <c r="H3444" i="12"/>
  <c r="N3444" i="12"/>
  <c r="O3444" i="12"/>
  <c r="P3444" i="12"/>
  <c r="Q3444" i="12"/>
  <c r="F3445" i="12"/>
  <c r="E3445" i="12" s="1"/>
  <c r="G3445" i="12"/>
  <c r="H3445" i="12"/>
  <c r="N3445" i="12"/>
  <c r="O3445" i="12"/>
  <c r="P3445" i="12"/>
  <c r="Q3445" i="12"/>
  <c r="F3446" i="12"/>
  <c r="G3446" i="12"/>
  <c r="H3446" i="12"/>
  <c r="N3446" i="12"/>
  <c r="O3446" i="12"/>
  <c r="P3446" i="12"/>
  <c r="Q3446" i="12"/>
  <c r="F3447" i="12"/>
  <c r="D3447" i="12" s="1"/>
  <c r="G3447" i="12"/>
  <c r="H3447" i="12"/>
  <c r="N3447" i="12"/>
  <c r="O3447" i="12"/>
  <c r="P3447" i="12"/>
  <c r="Q3447" i="12"/>
  <c r="F3448" i="12"/>
  <c r="G3448" i="12"/>
  <c r="K3448" i="12" s="1"/>
  <c r="H3448" i="12"/>
  <c r="N3448" i="12"/>
  <c r="O3448" i="12"/>
  <c r="P3448" i="12"/>
  <c r="Q3448" i="12"/>
  <c r="F3449" i="12"/>
  <c r="G3449" i="12"/>
  <c r="J3449" i="12" s="1"/>
  <c r="H3449" i="12"/>
  <c r="N3449" i="12"/>
  <c r="O3449" i="12"/>
  <c r="P3449" i="12"/>
  <c r="Q3449" i="12"/>
  <c r="F3450" i="12"/>
  <c r="E3450" i="12" s="1"/>
  <c r="G3450" i="12"/>
  <c r="I3450" i="12" s="1"/>
  <c r="H3450" i="12"/>
  <c r="N3450" i="12"/>
  <c r="O3450" i="12"/>
  <c r="P3450" i="12"/>
  <c r="Q3450" i="12"/>
  <c r="F3451" i="12"/>
  <c r="D3451" i="12" s="1"/>
  <c r="G3451" i="12"/>
  <c r="I3451" i="12" s="1"/>
  <c r="H3451" i="12"/>
  <c r="N3451" i="12"/>
  <c r="O3451" i="12"/>
  <c r="P3451" i="12"/>
  <c r="Q3451" i="12"/>
  <c r="F3452" i="12"/>
  <c r="G3452" i="12"/>
  <c r="H3452" i="12"/>
  <c r="N3452" i="12"/>
  <c r="O3452" i="12"/>
  <c r="P3452" i="12"/>
  <c r="Q3452" i="12"/>
  <c r="F3453" i="12"/>
  <c r="G3453" i="12"/>
  <c r="H3453" i="12"/>
  <c r="N3453" i="12"/>
  <c r="O3453" i="12"/>
  <c r="P3453" i="12"/>
  <c r="Q3453" i="12"/>
  <c r="F3454" i="12"/>
  <c r="G3454" i="12"/>
  <c r="H3454" i="12"/>
  <c r="N3454" i="12"/>
  <c r="O3454" i="12"/>
  <c r="P3454" i="12"/>
  <c r="Q3454" i="12"/>
  <c r="F3455" i="12"/>
  <c r="G3455" i="12"/>
  <c r="J3455" i="12" s="1"/>
  <c r="H3455" i="12"/>
  <c r="N3455" i="12"/>
  <c r="O3455" i="12"/>
  <c r="P3455" i="12"/>
  <c r="Q3455" i="12"/>
  <c r="F3456" i="12"/>
  <c r="E3456" i="12" s="1"/>
  <c r="G3456" i="12"/>
  <c r="I3456" i="12" s="1"/>
  <c r="H3456" i="12"/>
  <c r="N3456" i="12"/>
  <c r="O3456" i="12"/>
  <c r="P3456" i="12"/>
  <c r="Q3456" i="12"/>
  <c r="F3457" i="12"/>
  <c r="E3457" i="12" s="1"/>
  <c r="G3457" i="12"/>
  <c r="H3457" i="12"/>
  <c r="N3457" i="12"/>
  <c r="O3457" i="12"/>
  <c r="P3457" i="12"/>
  <c r="Q3457" i="12"/>
  <c r="F3458" i="12"/>
  <c r="D3458" i="12" s="1"/>
  <c r="G3458" i="12"/>
  <c r="H3458" i="12"/>
  <c r="N3458" i="12"/>
  <c r="O3458" i="12"/>
  <c r="P3458" i="12"/>
  <c r="Q3458" i="12"/>
  <c r="F3459" i="12"/>
  <c r="G3459" i="12"/>
  <c r="J3459" i="12" s="1"/>
  <c r="H3459" i="12"/>
  <c r="N3459" i="12"/>
  <c r="O3459" i="12"/>
  <c r="P3459" i="12"/>
  <c r="Q3459" i="12"/>
  <c r="F3460" i="12"/>
  <c r="G3460" i="12"/>
  <c r="I3460" i="12" s="1"/>
  <c r="H3460" i="12"/>
  <c r="N3460" i="12"/>
  <c r="O3460" i="12"/>
  <c r="P3460" i="12"/>
  <c r="Q3460" i="12"/>
  <c r="F3461" i="12"/>
  <c r="G3461" i="12"/>
  <c r="I3461" i="12" s="1"/>
  <c r="H3461" i="12"/>
  <c r="N3461" i="12"/>
  <c r="O3461" i="12"/>
  <c r="P3461" i="12"/>
  <c r="Q3461" i="12"/>
  <c r="F3462" i="12"/>
  <c r="D3462" i="12" s="1"/>
  <c r="G3462" i="12"/>
  <c r="I3462" i="12" s="1"/>
  <c r="H3462" i="12"/>
  <c r="N3462" i="12"/>
  <c r="O3462" i="12"/>
  <c r="P3462" i="12"/>
  <c r="Q3462" i="12"/>
  <c r="F3463" i="12"/>
  <c r="D3463" i="12" s="1"/>
  <c r="G3463" i="12"/>
  <c r="H3463" i="12"/>
  <c r="N3463" i="12"/>
  <c r="O3463" i="12"/>
  <c r="P3463" i="12"/>
  <c r="Q3463" i="12"/>
  <c r="F3464" i="12"/>
  <c r="E3464" i="12" s="1"/>
  <c r="G3464" i="12"/>
  <c r="H3464" i="12"/>
  <c r="N3464" i="12"/>
  <c r="O3464" i="12"/>
  <c r="P3464" i="12"/>
  <c r="Q3464" i="12"/>
  <c r="F3465" i="12"/>
  <c r="E3465" i="12" s="1"/>
  <c r="G3465" i="12"/>
  <c r="L3465" i="12" s="1"/>
  <c r="H3465" i="12"/>
  <c r="N3465" i="12"/>
  <c r="O3465" i="12"/>
  <c r="P3465" i="12"/>
  <c r="Q3465" i="12"/>
  <c r="F3466" i="12"/>
  <c r="G3466" i="12"/>
  <c r="I3466" i="12" s="1"/>
  <c r="H3466" i="12"/>
  <c r="N3466" i="12"/>
  <c r="O3466" i="12"/>
  <c r="P3466" i="12"/>
  <c r="Q3466" i="12"/>
  <c r="F3467" i="12"/>
  <c r="D3467" i="12" s="1"/>
  <c r="G3467" i="12"/>
  <c r="H3467" i="12"/>
  <c r="N3467" i="12"/>
  <c r="O3467" i="12"/>
  <c r="P3467" i="12"/>
  <c r="Q3467" i="12"/>
  <c r="F3468" i="12"/>
  <c r="D3468" i="12" s="1"/>
  <c r="G3468" i="12"/>
  <c r="H3468" i="12"/>
  <c r="N3468" i="12"/>
  <c r="O3468" i="12"/>
  <c r="P3468" i="12"/>
  <c r="Q3468" i="12"/>
  <c r="F3469" i="12"/>
  <c r="G3469" i="12"/>
  <c r="H3469" i="12"/>
  <c r="N3469" i="12"/>
  <c r="O3469" i="12"/>
  <c r="P3469" i="12"/>
  <c r="Q3469" i="12"/>
  <c r="F3470" i="12"/>
  <c r="D3470" i="12" s="1"/>
  <c r="G3470" i="12"/>
  <c r="H3470" i="12"/>
  <c r="N3470" i="12"/>
  <c r="O3470" i="12"/>
  <c r="P3470" i="12"/>
  <c r="Q3470" i="12"/>
  <c r="F3471" i="12"/>
  <c r="D3471" i="12" s="1"/>
  <c r="G3471" i="12"/>
  <c r="H3471" i="12"/>
  <c r="N3471" i="12"/>
  <c r="O3471" i="12"/>
  <c r="P3471" i="12"/>
  <c r="Q3471" i="12"/>
  <c r="F3472" i="12"/>
  <c r="E3472" i="12" s="1"/>
  <c r="G3472" i="12"/>
  <c r="K3472" i="12" s="1"/>
  <c r="H3472" i="12"/>
  <c r="N3472" i="12"/>
  <c r="O3472" i="12"/>
  <c r="P3472" i="12"/>
  <c r="Q3472" i="12"/>
  <c r="F3473" i="12"/>
  <c r="D3473" i="12" s="1"/>
  <c r="G3473" i="12"/>
  <c r="I3473" i="12" s="1"/>
  <c r="H3473" i="12"/>
  <c r="N3473" i="12"/>
  <c r="O3473" i="12"/>
  <c r="P3473" i="12"/>
  <c r="Q3473" i="12"/>
  <c r="F3474" i="12"/>
  <c r="E3474" i="12" s="1"/>
  <c r="G3474" i="12"/>
  <c r="H3474" i="12"/>
  <c r="N3474" i="12"/>
  <c r="O3474" i="12"/>
  <c r="P3474" i="12"/>
  <c r="Q3474" i="12"/>
  <c r="F3475" i="12"/>
  <c r="D3475" i="12" s="1"/>
  <c r="G3475" i="12"/>
  <c r="I3475" i="12" s="1"/>
  <c r="H3475" i="12"/>
  <c r="N3475" i="12"/>
  <c r="O3475" i="12"/>
  <c r="P3475" i="12"/>
  <c r="Q3475" i="12"/>
  <c r="F3476" i="12"/>
  <c r="G3476" i="12"/>
  <c r="H3476" i="12"/>
  <c r="N3476" i="12"/>
  <c r="O3476" i="12"/>
  <c r="P3476" i="12"/>
  <c r="Q3476" i="12"/>
  <c r="F3477" i="12"/>
  <c r="D3477" i="12" s="1"/>
  <c r="G3477" i="12"/>
  <c r="L3477" i="12" s="1"/>
  <c r="H3477" i="12"/>
  <c r="N3477" i="12"/>
  <c r="O3477" i="12"/>
  <c r="P3477" i="12"/>
  <c r="Q3477" i="12"/>
  <c r="F3478" i="12"/>
  <c r="E3478" i="12" s="1"/>
  <c r="G3478" i="12"/>
  <c r="I3478" i="12" s="1"/>
  <c r="H3478" i="12"/>
  <c r="N3478" i="12"/>
  <c r="O3478" i="12"/>
  <c r="P3478" i="12"/>
  <c r="Q3478" i="12"/>
  <c r="F3479" i="12"/>
  <c r="D3479" i="12" s="1"/>
  <c r="G3479" i="12"/>
  <c r="I3479" i="12" s="1"/>
  <c r="H3479" i="12"/>
  <c r="N3479" i="12"/>
  <c r="O3479" i="12"/>
  <c r="P3479" i="12"/>
  <c r="Q3479" i="12"/>
  <c r="F3480" i="12"/>
  <c r="E3480" i="12" s="1"/>
  <c r="G3480" i="12"/>
  <c r="H3480" i="12"/>
  <c r="N3480" i="12"/>
  <c r="O3480" i="12"/>
  <c r="P3480" i="12"/>
  <c r="Q3480" i="12"/>
  <c r="F3481" i="12"/>
  <c r="D3481" i="12" s="1"/>
  <c r="G3481" i="12"/>
  <c r="J3481" i="12" s="1"/>
  <c r="H3481" i="12"/>
  <c r="N3481" i="12"/>
  <c r="O3481" i="12"/>
  <c r="P3481" i="12"/>
  <c r="Q3481" i="12"/>
  <c r="F3482" i="12"/>
  <c r="E3482" i="12" s="1"/>
  <c r="G3482" i="12"/>
  <c r="I3482" i="12" s="1"/>
  <c r="H3482" i="12"/>
  <c r="N3482" i="12"/>
  <c r="O3482" i="12"/>
  <c r="P3482" i="12"/>
  <c r="Q3482" i="12"/>
  <c r="F3483" i="12"/>
  <c r="D3483" i="12" s="1"/>
  <c r="G3483" i="12"/>
  <c r="H3483" i="12"/>
  <c r="N3483" i="12"/>
  <c r="O3483" i="12"/>
  <c r="P3483" i="12"/>
  <c r="Q3483" i="12"/>
  <c r="F3484" i="12"/>
  <c r="E3484" i="12" s="1"/>
  <c r="G3484" i="12"/>
  <c r="H3484" i="12"/>
  <c r="N3484" i="12"/>
  <c r="O3484" i="12"/>
  <c r="P3484" i="12"/>
  <c r="Q3484" i="12"/>
  <c r="F3485" i="12"/>
  <c r="D3485" i="12" s="1"/>
  <c r="G3485" i="12"/>
  <c r="H3485" i="12"/>
  <c r="N3485" i="12"/>
  <c r="O3485" i="12"/>
  <c r="P3485" i="12"/>
  <c r="Q3485" i="12"/>
  <c r="F3486" i="12"/>
  <c r="G3486" i="12"/>
  <c r="I3486" i="12" s="1"/>
  <c r="H3486" i="12"/>
  <c r="N3486" i="12"/>
  <c r="O3486" i="12"/>
  <c r="P3486" i="12"/>
  <c r="Q3486" i="12"/>
  <c r="F3487" i="12"/>
  <c r="D3487" i="12" s="1"/>
  <c r="G3487" i="12"/>
  <c r="I3487" i="12" s="1"/>
  <c r="H3487" i="12"/>
  <c r="N3487" i="12"/>
  <c r="O3487" i="12"/>
  <c r="P3487" i="12"/>
  <c r="Q3487" i="12"/>
  <c r="F3488" i="12"/>
  <c r="G3488" i="12"/>
  <c r="H3488" i="12"/>
  <c r="N3488" i="12"/>
  <c r="O3488" i="12"/>
  <c r="P3488" i="12"/>
  <c r="Q3488" i="12"/>
  <c r="F3489" i="12"/>
  <c r="D3489" i="12" s="1"/>
  <c r="G3489" i="12"/>
  <c r="H3489" i="12"/>
  <c r="N3489" i="12"/>
  <c r="O3489" i="12"/>
  <c r="P3489" i="12"/>
  <c r="Q3489" i="12"/>
  <c r="F3490" i="12"/>
  <c r="E3490" i="12" s="1"/>
  <c r="G3490" i="12"/>
  <c r="H3490" i="12"/>
  <c r="N3490" i="12"/>
  <c r="O3490" i="12"/>
  <c r="P3490" i="12"/>
  <c r="Q3490" i="12"/>
  <c r="F3491" i="12"/>
  <c r="D3491" i="12" s="1"/>
  <c r="G3491" i="12"/>
  <c r="H3491" i="12"/>
  <c r="N3491" i="12"/>
  <c r="O3491" i="12"/>
  <c r="P3491" i="12"/>
  <c r="Q3491" i="12"/>
  <c r="F3492" i="12"/>
  <c r="E3492" i="12" s="1"/>
  <c r="G3492" i="12"/>
  <c r="H3492" i="12"/>
  <c r="N3492" i="12"/>
  <c r="O3492" i="12"/>
  <c r="P3492" i="12"/>
  <c r="Q3492" i="12"/>
  <c r="F3493" i="12"/>
  <c r="D3493" i="12" s="1"/>
  <c r="G3493" i="12"/>
  <c r="I3493" i="12" s="1"/>
  <c r="H3493" i="12"/>
  <c r="N3493" i="12"/>
  <c r="O3493" i="12"/>
  <c r="P3493" i="12"/>
  <c r="Q3493" i="12"/>
  <c r="F3494" i="12"/>
  <c r="E3494" i="12" s="1"/>
  <c r="G3494" i="12"/>
  <c r="K3494" i="12" s="1"/>
  <c r="H3494" i="12"/>
  <c r="N3494" i="12"/>
  <c r="O3494" i="12"/>
  <c r="P3494" i="12"/>
  <c r="Q3494" i="12"/>
  <c r="F3495" i="12"/>
  <c r="G3495" i="12"/>
  <c r="H3495" i="12"/>
  <c r="N3495" i="12"/>
  <c r="O3495" i="12"/>
  <c r="P3495" i="12"/>
  <c r="Q3495" i="12"/>
  <c r="F3496" i="12"/>
  <c r="E3496" i="12" s="1"/>
  <c r="G3496" i="12"/>
  <c r="H3496" i="12"/>
  <c r="N3496" i="12"/>
  <c r="O3496" i="12"/>
  <c r="P3496" i="12"/>
  <c r="Q3496" i="12"/>
  <c r="F3497" i="12"/>
  <c r="D3497" i="12" s="1"/>
  <c r="G3497" i="12"/>
  <c r="H3497" i="12"/>
  <c r="N3497" i="12"/>
  <c r="O3497" i="12"/>
  <c r="P3497" i="12"/>
  <c r="Q3497" i="12"/>
  <c r="F3498" i="12"/>
  <c r="E3498" i="12" s="1"/>
  <c r="G3498" i="12"/>
  <c r="H3498" i="12"/>
  <c r="N3498" i="12"/>
  <c r="O3498" i="12"/>
  <c r="P3498" i="12"/>
  <c r="Q3498" i="12"/>
  <c r="F3499" i="12"/>
  <c r="D3499" i="12" s="1"/>
  <c r="G3499" i="12"/>
  <c r="I3499" i="12" s="1"/>
  <c r="H3499" i="12"/>
  <c r="N3499" i="12"/>
  <c r="O3499" i="12"/>
  <c r="P3499" i="12"/>
  <c r="Q3499" i="12"/>
  <c r="F3500" i="12"/>
  <c r="E3500" i="12" s="1"/>
  <c r="G3500" i="12"/>
  <c r="H3500" i="12"/>
  <c r="N3500" i="12"/>
  <c r="O3500" i="12"/>
  <c r="P3500" i="12"/>
  <c r="Q3500" i="12"/>
  <c r="F3501" i="12"/>
  <c r="D3501" i="12" s="1"/>
  <c r="G3501" i="12"/>
  <c r="H3501" i="12"/>
  <c r="N3501" i="12"/>
  <c r="O3501" i="12"/>
  <c r="P3501" i="12"/>
  <c r="Q3501" i="12"/>
  <c r="F3502" i="12"/>
  <c r="E3502" i="12" s="1"/>
  <c r="G3502" i="12"/>
  <c r="H3502" i="12"/>
  <c r="N3502" i="12"/>
  <c r="O3502" i="12"/>
  <c r="P3502" i="12"/>
  <c r="Q3502" i="12"/>
  <c r="F3503" i="12"/>
  <c r="D3503" i="12" s="1"/>
  <c r="G3503" i="12"/>
  <c r="H3503" i="12"/>
  <c r="N3503" i="12"/>
  <c r="O3503" i="12"/>
  <c r="P3503" i="12"/>
  <c r="Q3503" i="12"/>
  <c r="F3504" i="12"/>
  <c r="E3504" i="12" s="1"/>
  <c r="G3504" i="12"/>
  <c r="H3504" i="12"/>
  <c r="N3504" i="12"/>
  <c r="O3504" i="12"/>
  <c r="P3504" i="12"/>
  <c r="Q3504" i="12"/>
  <c r="F3505" i="12"/>
  <c r="D3505" i="12" s="1"/>
  <c r="G3505" i="12"/>
  <c r="H3505" i="12"/>
  <c r="N3505" i="12"/>
  <c r="O3505" i="12"/>
  <c r="P3505" i="12"/>
  <c r="Q3505" i="12"/>
  <c r="F3506" i="12"/>
  <c r="G3506" i="12"/>
  <c r="I3506" i="12" s="1"/>
  <c r="H3506" i="12"/>
  <c r="N3506" i="12"/>
  <c r="O3506" i="12"/>
  <c r="P3506" i="12"/>
  <c r="Q3506" i="12"/>
  <c r="F3507" i="12"/>
  <c r="D3507" i="12" s="1"/>
  <c r="G3507" i="12"/>
  <c r="I3507" i="12" s="1"/>
  <c r="H3507" i="12"/>
  <c r="N3507" i="12"/>
  <c r="O3507" i="12"/>
  <c r="P3507" i="12"/>
  <c r="Q3507" i="12"/>
  <c r="F3508" i="12"/>
  <c r="E3508" i="12" s="1"/>
  <c r="G3508" i="12"/>
  <c r="H3508" i="12"/>
  <c r="N3508" i="12"/>
  <c r="O3508" i="12"/>
  <c r="P3508" i="12"/>
  <c r="Q3508" i="12"/>
  <c r="F3509" i="12"/>
  <c r="D3509" i="12" s="1"/>
  <c r="G3509" i="12"/>
  <c r="M3509" i="12" s="1"/>
  <c r="H3509" i="12"/>
  <c r="N3509" i="12"/>
  <c r="O3509" i="12"/>
  <c r="P3509" i="12"/>
  <c r="Q3509" i="12"/>
  <c r="F3510" i="12"/>
  <c r="G3510" i="12"/>
  <c r="I3510" i="12" s="1"/>
  <c r="H3510" i="12"/>
  <c r="N3510" i="12"/>
  <c r="O3510" i="12"/>
  <c r="P3510" i="12"/>
  <c r="Q3510" i="12"/>
  <c r="F3511" i="12"/>
  <c r="D3511" i="12" s="1"/>
  <c r="G3511" i="12"/>
  <c r="H3511" i="12"/>
  <c r="N3511" i="12"/>
  <c r="O3511" i="12"/>
  <c r="P3511" i="12"/>
  <c r="Q3511" i="12"/>
  <c r="F3512" i="12"/>
  <c r="E3512" i="12" s="1"/>
  <c r="G3512" i="12"/>
  <c r="H3512" i="12"/>
  <c r="N3512" i="12"/>
  <c r="O3512" i="12"/>
  <c r="P3512" i="12"/>
  <c r="Q3512" i="12"/>
  <c r="F3513" i="12"/>
  <c r="D3513" i="12" s="1"/>
  <c r="G3513" i="12"/>
  <c r="I3513" i="12" s="1"/>
  <c r="H3513" i="12"/>
  <c r="N3513" i="12"/>
  <c r="O3513" i="12"/>
  <c r="P3513" i="12"/>
  <c r="Q3513" i="12"/>
  <c r="F3514" i="12"/>
  <c r="E3514" i="12" s="1"/>
  <c r="G3514" i="12"/>
  <c r="H3514" i="12"/>
  <c r="N3514" i="12"/>
  <c r="O3514" i="12"/>
  <c r="P3514" i="12"/>
  <c r="Q3514" i="12"/>
  <c r="F3515" i="12"/>
  <c r="D3515" i="12" s="1"/>
  <c r="G3515" i="12"/>
  <c r="H3515" i="12"/>
  <c r="N3515" i="12"/>
  <c r="O3515" i="12"/>
  <c r="P3515" i="12"/>
  <c r="Q3515" i="12"/>
  <c r="F3516" i="12"/>
  <c r="E3516" i="12" s="1"/>
  <c r="G3516" i="12"/>
  <c r="H3516" i="12"/>
  <c r="N3516" i="12"/>
  <c r="O3516" i="12"/>
  <c r="P3516" i="12"/>
  <c r="Q3516" i="12"/>
  <c r="F3517" i="12"/>
  <c r="D3517" i="12" s="1"/>
  <c r="G3517" i="12"/>
  <c r="M3517" i="12" s="1"/>
  <c r="H3517" i="12"/>
  <c r="N3517" i="12"/>
  <c r="O3517" i="12"/>
  <c r="P3517" i="12"/>
  <c r="Q3517" i="12"/>
  <c r="F3518" i="12"/>
  <c r="E3518" i="12" s="1"/>
  <c r="G3518" i="12"/>
  <c r="I3518" i="12" s="1"/>
  <c r="H3518" i="12"/>
  <c r="N3518" i="12"/>
  <c r="O3518" i="12"/>
  <c r="P3518" i="12"/>
  <c r="Q3518" i="12"/>
  <c r="F3519" i="12"/>
  <c r="D3519" i="12" s="1"/>
  <c r="G3519" i="12"/>
  <c r="I3519" i="12" s="1"/>
  <c r="H3519" i="12"/>
  <c r="N3519" i="12"/>
  <c r="O3519" i="12"/>
  <c r="P3519" i="12"/>
  <c r="Q3519" i="12"/>
  <c r="F3520" i="12"/>
  <c r="G3520" i="12"/>
  <c r="H3520" i="12"/>
  <c r="N3520" i="12"/>
  <c r="O3520" i="12"/>
  <c r="P3520" i="12"/>
  <c r="Q3520" i="12"/>
  <c r="F3521" i="12"/>
  <c r="D3521" i="12" s="1"/>
  <c r="G3521" i="12"/>
  <c r="H3521" i="12"/>
  <c r="N3521" i="12"/>
  <c r="O3521" i="12"/>
  <c r="P3521" i="12"/>
  <c r="Q3521" i="12"/>
  <c r="F3522" i="12"/>
  <c r="E3522" i="12" s="1"/>
  <c r="G3522" i="12"/>
  <c r="I3522" i="12" s="1"/>
  <c r="H3522" i="12"/>
  <c r="N3522" i="12"/>
  <c r="O3522" i="12"/>
  <c r="P3522" i="12"/>
  <c r="Q3522" i="12"/>
  <c r="F3523" i="12"/>
  <c r="D3523" i="12" s="1"/>
  <c r="G3523" i="12"/>
  <c r="H3523" i="12"/>
  <c r="N3523" i="12"/>
  <c r="O3523" i="12"/>
  <c r="P3523" i="12"/>
  <c r="Q3523" i="12"/>
  <c r="F3524" i="12"/>
  <c r="E3524" i="12" s="1"/>
  <c r="G3524" i="12"/>
  <c r="H3524" i="12"/>
  <c r="N3524" i="12"/>
  <c r="O3524" i="12"/>
  <c r="P3524" i="12"/>
  <c r="Q3524" i="12"/>
  <c r="F3525" i="12"/>
  <c r="D3525" i="12" s="1"/>
  <c r="G3525" i="12"/>
  <c r="M3525" i="12" s="1"/>
  <c r="H3525" i="12"/>
  <c r="N3525" i="12"/>
  <c r="O3525" i="12"/>
  <c r="P3525" i="12"/>
  <c r="Q3525" i="12"/>
  <c r="F3526" i="12"/>
  <c r="G3526" i="12"/>
  <c r="H3526" i="12"/>
  <c r="N3526" i="12"/>
  <c r="O3526" i="12"/>
  <c r="P3526" i="12"/>
  <c r="Q3526" i="12"/>
  <c r="F3527" i="12"/>
  <c r="G3527" i="12"/>
  <c r="H3527" i="12"/>
  <c r="N3527" i="12"/>
  <c r="O3527" i="12"/>
  <c r="P3527" i="12"/>
  <c r="Q3527" i="12"/>
  <c r="F3528" i="12"/>
  <c r="E3528" i="12" s="1"/>
  <c r="G3528" i="12"/>
  <c r="H3528" i="12"/>
  <c r="N3528" i="12"/>
  <c r="O3528" i="12"/>
  <c r="P3528" i="12"/>
  <c r="Q3528" i="12"/>
  <c r="F3529" i="12"/>
  <c r="D3529" i="12" s="1"/>
  <c r="G3529" i="12"/>
  <c r="H3529" i="12"/>
  <c r="N3529" i="12"/>
  <c r="O3529" i="12"/>
  <c r="P3529" i="12"/>
  <c r="Q3529" i="12"/>
  <c r="F3530" i="12"/>
  <c r="E3530" i="12" s="1"/>
  <c r="G3530" i="12"/>
  <c r="H3530" i="12"/>
  <c r="N3530" i="12"/>
  <c r="O3530" i="12"/>
  <c r="P3530" i="12"/>
  <c r="Q3530" i="12"/>
  <c r="F3531" i="12"/>
  <c r="D3531" i="12" s="1"/>
  <c r="G3531" i="12"/>
  <c r="I3531" i="12" s="1"/>
  <c r="H3531" i="12"/>
  <c r="N3531" i="12"/>
  <c r="O3531" i="12"/>
  <c r="P3531" i="12"/>
  <c r="Q3531" i="12"/>
  <c r="F3532" i="12"/>
  <c r="E3532" i="12" s="1"/>
  <c r="G3532" i="12"/>
  <c r="H3532" i="12"/>
  <c r="N3532" i="12"/>
  <c r="O3532" i="12"/>
  <c r="P3532" i="12"/>
  <c r="Q3532" i="12"/>
  <c r="F3533" i="12"/>
  <c r="D3533" i="12" s="1"/>
  <c r="G3533" i="12"/>
  <c r="I3533" i="12" s="1"/>
  <c r="H3533" i="12"/>
  <c r="N3533" i="12"/>
  <c r="O3533" i="12"/>
  <c r="P3533" i="12"/>
  <c r="Q3533" i="12"/>
  <c r="F3534" i="12"/>
  <c r="E3534" i="12" s="1"/>
  <c r="G3534" i="12"/>
  <c r="H3534" i="12"/>
  <c r="N3534" i="12"/>
  <c r="O3534" i="12"/>
  <c r="P3534" i="12"/>
  <c r="Q3534" i="12"/>
  <c r="F3535" i="12"/>
  <c r="D3535" i="12" s="1"/>
  <c r="G3535" i="12"/>
  <c r="I3535" i="12" s="1"/>
  <c r="H3535" i="12"/>
  <c r="N3535" i="12"/>
  <c r="O3535" i="12"/>
  <c r="P3535" i="12"/>
  <c r="Q3535" i="12"/>
  <c r="F3536" i="12"/>
  <c r="E3536" i="12" s="1"/>
  <c r="G3536" i="12"/>
  <c r="H3536" i="12"/>
  <c r="N3536" i="12"/>
  <c r="O3536" i="12"/>
  <c r="P3536" i="12"/>
  <c r="Q3536" i="12"/>
  <c r="F3537" i="12"/>
  <c r="D3537" i="12" s="1"/>
  <c r="G3537" i="12"/>
  <c r="H3537" i="12"/>
  <c r="N3537" i="12"/>
  <c r="O3537" i="12"/>
  <c r="P3537" i="12"/>
  <c r="Q3537" i="12"/>
  <c r="F3538" i="12"/>
  <c r="G3538" i="12"/>
  <c r="I3538" i="12" s="1"/>
  <c r="H3538" i="12"/>
  <c r="N3538" i="12"/>
  <c r="O3538" i="12"/>
  <c r="P3538" i="12"/>
  <c r="Q3538" i="12"/>
  <c r="F3539" i="12"/>
  <c r="D3539" i="12" s="1"/>
  <c r="G3539" i="12"/>
  <c r="I3539" i="12" s="1"/>
  <c r="H3539" i="12"/>
  <c r="N3539" i="12"/>
  <c r="O3539" i="12"/>
  <c r="P3539" i="12"/>
  <c r="Q3539" i="12"/>
  <c r="F3540" i="12"/>
  <c r="E3540" i="12" s="1"/>
  <c r="G3540" i="12"/>
  <c r="H3540" i="12"/>
  <c r="N3540" i="12"/>
  <c r="O3540" i="12"/>
  <c r="P3540" i="12"/>
  <c r="Q3540" i="12"/>
  <c r="F3541" i="12"/>
  <c r="D3541" i="12" s="1"/>
  <c r="G3541" i="12"/>
  <c r="L3541" i="12" s="1"/>
  <c r="H3541" i="12"/>
  <c r="N3541" i="12"/>
  <c r="O3541" i="12"/>
  <c r="P3541" i="12"/>
  <c r="Q3541" i="12"/>
  <c r="F3542" i="12"/>
  <c r="E3542" i="12" s="1"/>
  <c r="G3542" i="12"/>
  <c r="H3542" i="12"/>
  <c r="N3542" i="12"/>
  <c r="O3542" i="12"/>
  <c r="P3542" i="12"/>
  <c r="Q3542" i="12"/>
  <c r="F3543" i="12"/>
  <c r="D3543" i="12" s="1"/>
  <c r="G3543" i="12"/>
  <c r="M3543" i="12" s="1"/>
  <c r="H3543" i="12"/>
  <c r="N3543" i="12"/>
  <c r="O3543" i="12"/>
  <c r="P3543" i="12"/>
  <c r="Q3543" i="12"/>
  <c r="F3544" i="12"/>
  <c r="E3544" i="12" s="1"/>
  <c r="G3544" i="12"/>
  <c r="H3544" i="12"/>
  <c r="N3544" i="12"/>
  <c r="O3544" i="12"/>
  <c r="P3544" i="12"/>
  <c r="Q3544" i="12"/>
  <c r="F3545" i="12"/>
  <c r="D3545" i="12" s="1"/>
  <c r="G3545" i="12"/>
  <c r="H3545" i="12"/>
  <c r="N3545" i="12"/>
  <c r="O3545" i="12"/>
  <c r="P3545" i="12"/>
  <c r="Q3545" i="12"/>
  <c r="F3546" i="12"/>
  <c r="G3546" i="12"/>
  <c r="H3546" i="12"/>
  <c r="N3546" i="12"/>
  <c r="O3546" i="12"/>
  <c r="P3546" i="12"/>
  <c r="Q3546" i="12"/>
  <c r="F3547" i="12"/>
  <c r="D3547" i="12" s="1"/>
  <c r="G3547" i="12"/>
  <c r="H3547" i="12"/>
  <c r="N3547" i="12"/>
  <c r="O3547" i="12"/>
  <c r="P3547" i="12"/>
  <c r="Q3547" i="12"/>
  <c r="F3548" i="12"/>
  <c r="G3548" i="12"/>
  <c r="H3548" i="12"/>
  <c r="N3548" i="12"/>
  <c r="O3548" i="12"/>
  <c r="P3548" i="12"/>
  <c r="Q3548" i="12"/>
  <c r="F3549" i="12"/>
  <c r="D3549" i="12" s="1"/>
  <c r="G3549" i="12"/>
  <c r="H3549" i="12"/>
  <c r="N3549" i="12"/>
  <c r="O3549" i="12"/>
  <c r="P3549" i="12"/>
  <c r="Q3549" i="12"/>
  <c r="F3550" i="12"/>
  <c r="E3550" i="12" s="1"/>
  <c r="G3550" i="12"/>
  <c r="M3550" i="12" s="1"/>
  <c r="H3550" i="12"/>
  <c r="N3550" i="12"/>
  <c r="O3550" i="12"/>
  <c r="P3550" i="12"/>
  <c r="Q3550" i="12"/>
  <c r="F3551" i="12"/>
  <c r="D3551" i="12" s="1"/>
  <c r="G3551" i="12"/>
  <c r="I3551" i="12" s="1"/>
  <c r="H3551" i="12"/>
  <c r="N3551" i="12"/>
  <c r="O3551" i="12"/>
  <c r="P3551" i="12"/>
  <c r="Q3551" i="12"/>
  <c r="F3552" i="12"/>
  <c r="G3552" i="12"/>
  <c r="H3552" i="12"/>
  <c r="N3552" i="12"/>
  <c r="O3552" i="12"/>
  <c r="P3552" i="12"/>
  <c r="Q3552" i="12"/>
  <c r="F3553" i="12"/>
  <c r="D3553" i="12" s="1"/>
  <c r="G3553" i="12"/>
  <c r="H3553" i="12"/>
  <c r="N3553" i="12"/>
  <c r="O3553" i="12"/>
  <c r="P3553" i="12"/>
  <c r="Q3553" i="12"/>
  <c r="F3554" i="12"/>
  <c r="G3554" i="12"/>
  <c r="I3554" i="12" s="1"/>
  <c r="H3554" i="12"/>
  <c r="N3554" i="12"/>
  <c r="O3554" i="12"/>
  <c r="P3554" i="12"/>
  <c r="Q3554" i="12"/>
  <c r="F3555" i="12"/>
  <c r="D3555" i="12" s="1"/>
  <c r="G3555" i="12"/>
  <c r="J3555" i="12" s="1"/>
  <c r="H3555" i="12"/>
  <c r="N3555" i="12"/>
  <c r="O3555" i="12"/>
  <c r="P3555" i="12"/>
  <c r="Q3555" i="12"/>
  <c r="F3556" i="12"/>
  <c r="E3556" i="12" s="1"/>
  <c r="G3556" i="12"/>
  <c r="H3556" i="12"/>
  <c r="N3556" i="12"/>
  <c r="O3556" i="12"/>
  <c r="P3556" i="12"/>
  <c r="Q3556" i="12"/>
  <c r="F3557" i="12"/>
  <c r="D3557" i="12" s="1"/>
  <c r="G3557" i="12"/>
  <c r="H3557" i="12"/>
  <c r="N3557" i="12"/>
  <c r="O3557" i="12"/>
  <c r="P3557" i="12"/>
  <c r="Q3557" i="12"/>
  <c r="F3558" i="12"/>
  <c r="E3558" i="12" s="1"/>
  <c r="G3558" i="12"/>
  <c r="H3558" i="12"/>
  <c r="N3558" i="12"/>
  <c r="O3558" i="12"/>
  <c r="P3558" i="12"/>
  <c r="Q3558" i="12"/>
  <c r="F3559" i="12"/>
  <c r="G3559" i="12"/>
  <c r="M3559" i="12" s="1"/>
  <c r="H3559" i="12"/>
  <c r="N3559" i="12"/>
  <c r="O3559" i="12"/>
  <c r="P3559" i="12"/>
  <c r="Q3559" i="12"/>
  <c r="F3560" i="12"/>
  <c r="G3560" i="12"/>
  <c r="H3560" i="12"/>
  <c r="N3560" i="12"/>
  <c r="O3560" i="12"/>
  <c r="P3560" i="12"/>
  <c r="Q3560" i="12"/>
  <c r="F3561" i="12"/>
  <c r="D3561" i="12" s="1"/>
  <c r="G3561" i="12"/>
  <c r="I3561" i="12" s="1"/>
  <c r="H3561" i="12"/>
  <c r="N3561" i="12"/>
  <c r="O3561" i="12"/>
  <c r="P3561" i="12"/>
  <c r="Q3561" i="12"/>
  <c r="F3562" i="12"/>
  <c r="E3562" i="12" s="1"/>
  <c r="G3562" i="12"/>
  <c r="I3562" i="12" s="1"/>
  <c r="H3562" i="12"/>
  <c r="N3562" i="12"/>
  <c r="O3562" i="12"/>
  <c r="P3562" i="12"/>
  <c r="Q3562" i="12"/>
  <c r="F3563" i="12"/>
  <c r="G3563" i="12"/>
  <c r="I3563" i="12" s="1"/>
  <c r="H3563" i="12"/>
  <c r="N3563" i="12"/>
  <c r="O3563" i="12"/>
  <c r="P3563" i="12"/>
  <c r="Q3563" i="12"/>
  <c r="F3564" i="12"/>
  <c r="G3564" i="12"/>
  <c r="H3564" i="12"/>
  <c r="N3564" i="12"/>
  <c r="O3564" i="12"/>
  <c r="P3564" i="12"/>
  <c r="Q3564" i="12"/>
  <c r="F3565" i="12"/>
  <c r="D3565" i="12" s="1"/>
  <c r="G3565" i="12"/>
  <c r="I3565" i="12" s="1"/>
  <c r="H3565" i="12"/>
  <c r="N3565" i="12"/>
  <c r="O3565" i="12"/>
  <c r="P3565" i="12"/>
  <c r="Q3565" i="12"/>
  <c r="F3566" i="12"/>
  <c r="E3566" i="12" s="1"/>
  <c r="G3566" i="12"/>
  <c r="I3566" i="12" s="1"/>
  <c r="H3566" i="12"/>
  <c r="N3566" i="12"/>
  <c r="O3566" i="12"/>
  <c r="P3566" i="12"/>
  <c r="Q3566" i="12"/>
  <c r="F3567" i="12"/>
  <c r="D3567" i="12" s="1"/>
  <c r="G3567" i="12"/>
  <c r="J3567" i="12" s="1"/>
  <c r="H3567" i="12"/>
  <c r="N3567" i="12"/>
  <c r="O3567" i="12"/>
  <c r="P3567" i="12"/>
  <c r="Q3567" i="12"/>
  <c r="F3568" i="12"/>
  <c r="E3568" i="12" s="1"/>
  <c r="G3568" i="12"/>
  <c r="L3568" i="12" s="1"/>
  <c r="H3568" i="12"/>
  <c r="N3568" i="12"/>
  <c r="O3568" i="12"/>
  <c r="P3568" i="12"/>
  <c r="Q3568" i="12"/>
  <c r="F3569" i="12"/>
  <c r="G3569" i="12"/>
  <c r="M3569" i="12" s="1"/>
  <c r="H3569" i="12"/>
  <c r="N3569" i="12"/>
  <c r="O3569" i="12"/>
  <c r="P3569" i="12"/>
  <c r="Q3569" i="12"/>
  <c r="F3570" i="12"/>
  <c r="G3570" i="12"/>
  <c r="I3570" i="12" s="1"/>
  <c r="H3570" i="12"/>
  <c r="N3570" i="12"/>
  <c r="O3570" i="12"/>
  <c r="P3570" i="12"/>
  <c r="Q3570" i="12"/>
  <c r="F3571" i="12"/>
  <c r="D3571" i="12" s="1"/>
  <c r="G3571" i="12"/>
  <c r="H3571" i="12"/>
  <c r="N3571" i="12"/>
  <c r="O3571" i="12"/>
  <c r="P3571" i="12"/>
  <c r="Q3571" i="12"/>
  <c r="F3572" i="12"/>
  <c r="E3572" i="12" s="1"/>
  <c r="G3572" i="12"/>
  <c r="L3572" i="12" s="1"/>
  <c r="H3572" i="12"/>
  <c r="N3572" i="12"/>
  <c r="O3572" i="12"/>
  <c r="P3572" i="12"/>
  <c r="Q3572" i="12"/>
  <c r="F3573" i="12"/>
  <c r="G3573" i="12"/>
  <c r="H3573" i="12"/>
  <c r="N3573" i="12"/>
  <c r="O3573" i="12"/>
  <c r="P3573" i="12"/>
  <c r="Q3573" i="12"/>
  <c r="F3574" i="12"/>
  <c r="G3574" i="12"/>
  <c r="I3574" i="12" s="1"/>
  <c r="H3574" i="12"/>
  <c r="N3574" i="12"/>
  <c r="O3574" i="12"/>
  <c r="P3574" i="12"/>
  <c r="Q3574" i="12"/>
  <c r="F3575" i="12"/>
  <c r="D3575" i="12" s="1"/>
  <c r="G3575" i="12"/>
  <c r="I3575" i="12" s="1"/>
  <c r="H3575" i="12"/>
  <c r="N3575" i="12"/>
  <c r="O3575" i="12"/>
  <c r="P3575" i="12"/>
  <c r="Q3575" i="12"/>
  <c r="F3576" i="12"/>
  <c r="E3576" i="12" s="1"/>
  <c r="G3576" i="12"/>
  <c r="H3576" i="12"/>
  <c r="N3576" i="12"/>
  <c r="O3576" i="12"/>
  <c r="P3576" i="12"/>
  <c r="Q3576" i="12"/>
  <c r="F3577" i="12"/>
  <c r="G3577" i="12"/>
  <c r="L3577" i="12" s="1"/>
  <c r="H3577" i="12"/>
  <c r="N3577" i="12"/>
  <c r="O3577" i="12"/>
  <c r="P3577" i="12"/>
  <c r="Q3577" i="12"/>
  <c r="F3578" i="12"/>
  <c r="G3578" i="12"/>
  <c r="I3578" i="12" s="1"/>
  <c r="H3578" i="12"/>
  <c r="N3578" i="12"/>
  <c r="O3578" i="12"/>
  <c r="P3578" i="12"/>
  <c r="Q3578" i="12"/>
  <c r="F3579" i="12"/>
  <c r="D3579" i="12" s="1"/>
  <c r="G3579" i="12"/>
  <c r="J3579" i="12" s="1"/>
  <c r="H3579" i="12"/>
  <c r="N3579" i="12"/>
  <c r="O3579" i="12"/>
  <c r="P3579" i="12"/>
  <c r="Q3579" i="12"/>
  <c r="F3580" i="12"/>
  <c r="E3580" i="12" s="1"/>
  <c r="G3580" i="12"/>
  <c r="L3580" i="12" s="1"/>
  <c r="H3580" i="12"/>
  <c r="N3580" i="12"/>
  <c r="O3580" i="12"/>
  <c r="P3580" i="12"/>
  <c r="Q3580" i="12"/>
  <c r="F3581" i="12"/>
  <c r="G3581" i="12"/>
  <c r="M3581" i="12" s="1"/>
  <c r="H3581" i="12"/>
  <c r="N3581" i="12"/>
  <c r="O3581" i="12"/>
  <c r="P3581" i="12"/>
  <c r="Q3581" i="12"/>
  <c r="F3582" i="12"/>
  <c r="G3582" i="12"/>
  <c r="K3582" i="12" s="1"/>
  <c r="H3582" i="12"/>
  <c r="N3582" i="12"/>
  <c r="O3582" i="12"/>
  <c r="P3582" i="12"/>
  <c r="Q3582" i="12"/>
  <c r="F3583" i="12"/>
  <c r="G3583" i="12"/>
  <c r="I3583" i="12" s="1"/>
  <c r="H3583" i="12"/>
  <c r="N3583" i="12"/>
  <c r="O3583" i="12"/>
  <c r="P3583" i="12"/>
  <c r="Q3583" i="12"/>
  <c r="F3584" i="12"/>
  <c r="G3584" i="12"/>
  <c r="L3584" i="12" s="1"/>
  <c r="H3584" i="12"/>
  <c r="N3584" i="12"/>
  <c r="O3584" i="12"/>
  <c r="P3584" i="12"/>
  <c r="Q3584" i="12"/>
  <c r="F3585" i="12"/>
  <c r="E3585" i="12" s="1"/>
  <c r="G3585" i="12"/>
  <c r="L3585" i="12" s="1"/>
  <c r="H3585" i="12"/>
  <c r="N3585" i="12"/>
  <c r="O3585" i="12"/>
  <c r="P3585" i="12"/>
  <c r="Q3585" i="12"/>
  <c r="F3586" i="12"/>
  <c r="E3586" i="12" s="1"/>
  <c r="G3586" i="12"/>
  <c r="I3586" i="12" s="1"/>
  <c r="H3586" i="12"/>
  <c r="N3586" i="12"/>
  <c r="O3586" i="12"/>
  <c r="P3586" i="12"/>
  <c r="Q3586" i="12"/>
  <c r="F3587" i="12"/>
  <c r="D3587" i="12" s="1"/>
  <c r="G3587" i="12"/>
  <c r="H3587" i="12"/>
  <c r="N3587" i="12"/>
  <c r="O3587" i="12"/>
  <c r="P3587" i="12"/>
  <c r="Q3587" i="12"/>
  <c r="F3588" i="12"/>
  <c r="E3588" i="12" s="1"/>
  <c r="G3588" i="12"/>
  <c r="I3588" i="12" s="1"/>
  <c r="H3588" i="12"/>
  <c r="N3588" i="12"/>
  <c r="O3588" i="12"/>
  <c r="P3588" i="12"/>
  <c r="Q3588" i="12"/>
  <c r="F3589" i="12"/>
  <c r="G3589" i="12"/>
  <c r="J3589" i="12" s="1"/>
  <c r="H3589" i="12"/>
  <c r="N3589" i="12"/>
  <c r="O3589" i="12"/>
  <c r="P3589" i="12"/>
  <c r="Q3589" i="12"/>
  <c r="F3590" i="12"/>
  <c r="D3590" i="12" s="1"/>
  <c r="G3590" i="12"/>
  <c r="K3590" i="12" s="1"/>
  <c r="H3590" i="12"/>
  <c r="N3590" i="12"/>
  <c r="O3590" i="12"/>
  <c r="P3590" i="12"/>
  <c r="Q3590" i="12"/>
  <c r="F3591" i="12"/>
  <c r="D3591" i="12" s="1"/>
  <c r="G3591" i="12"/>
  <c r="H3591" i="12"/>
  <c r="N3591" i="12"/>
  <c r="O3591" i="12"/>
  <c r="P3591" i="12"/>
  <c r="Q3591" i="12"/>
  <c r="F3592" i="12"/>
  <c r="G3592" i="12"/>
  <c r="L3592" i="12" s="1"/>
  <c r="H3592" i="12"/>
  <c r="N3592" i="12"/>
  <c r="O3592" i="12"/>
  <c r="P3592" i="12"/>
  <c r="Q3592" i="12"/>
  <c r="F3593" i="12"/>
  <c r="E3593" i="12" s="1"/>
  <c r="G3593" i="12"/>
  <c r="I3593" i="12" s="1"/>
  <c r="H3593" i="12"/>
  <c r="N3593" i="12"/>
  <c r="O3593" i="12"/>
  <c r="P3593" i="12"/>
  <c r="Q3593" i="12"/>
  <c r="F3594" i="12"/>
  <c r="E3594" i="12" s="1"/>
  <c r="G3594" i="12"/>
  <c r="K3594" i="12" s="1"/>
  <c r="H3594" i="12"/>
  <c r="N3594" i="12"/>
  <c r="O3594" i="12"/>
  <c r="P3594" i="12"/>
  <c r="Q3594" i="12"/>
  <c r="F3595" i="12"/>
  <c r="G3595" i="12"/>
  <c r="J3595" i="12" s="1"/>
  <c r="H3595" i="12"/>
  <c r="N3595" i="12"/>
  <c r="O3595" i="12"/>
  <c r="P3595" i="12"/>
  <c r="Q3595" i="12"/>
  <c r="F3596" i="12"/>
  <c r="G3596" i="12"/>
  <c r="I3596" i="12" s="1"/>
  <c r="H3596" i="12"/>
  <c r="N3596" i="12"/>
  <c r="O3596" i="12"/>
  <c r="P3596" i="12"/>
  <c r="Q3596" i="12"/>
  <c r="F3597" i="12"/>
  <c r="E3597" i="12" s="1"/>
  <c r="G3597" i="12"/>
  <c r="K3597" i="12" s="1"/>
  <c r="H3597" i="12"/>
  <c r="N3597" i="12"/>
  <c r="O3597" i="12"/>
  <c r="P3597" i="12"/>
  <c r="Q3597" i="12"/>
  <c r="F3598" i="12"/>
  <c r="D3598" i="12" s="1"/>
  <c r="G3598" i="12"/>
  <c r="K3598" i="12" s="1"/>
  <c r="H3598" i="12"/>
  <c r="N3598" i="12"/>
  <c r="O3598" i="12"/>
  <c r="P3598" i="12"/>
  <c r="Q3598" i="12"/>
  <c r="F3599" i="12"/>
  <c r="G3599" i="12"/>
  <c r="J3599" i="12" s="1"/>
  <c r="H3599" i="12"/>
  <c r="N3599" i="12"/>
  <c r="O3599" i="12"/>
  <c r="P3599" i="12"/>
  <c r="Q3599" i="12"/>
  <c r="F3600" i="12"/>
  <c r="E3600" i="12" s="1"/>
  <c r="G3600" i="12"/>
  <c r="J3600" i="12" s="1"/>
  <c r="H3600" i="12"/>
  <c r="N3600" i="12"/>
  <c r="O3600" i="12"/>
  <c r="P3600" i="12"/>
  <c r="Q3600" i="12"/>
  <c r="F3601" i="12"/>
  <c r="E3601" i="12" s="1"/>
  <c r="G3601" i="12"/>
  <c r="M3601" i="12" s="1"/>
  <c r="H3601" i="12"/>
  <c r="N3601" i="12"/>
  <c r="O3601" i="12"/>
  <c r="P3601" i="12"/>
  <c r="Q3601" i="12"/>
  <c r="F3602" i="12"/>
  <c r="D3602" i="12" s="1"/>
  <c r="G3602" i="12"/>
  <c r="K3602" i="12" s="1"/>
  <c r="H3602" i="12"/>
  <c r="N3602" i="12"/>
  <c r="O3602" i="12"/>
  <c r="P3602" i="12"/>
  <c r="Q3602" i="12"/>
  <c r="F3603" i="12"/>
  <c r="D3603" i="12" s="1"/>
  <c r="G3603" i="12"/>
  <c r="J3603" i="12" s="1"/>
  <c r="H3603" i="12"/>
  <c r="N3603" i="12"/>
  <c r="O3603" i="12"/>
  <c r="P3603" i="12"/>
  <c r="Q3603" i="12"/>
  <c r="F3604" i="12"/>
  <c r="G3604" i="12"/>
  <c r="M3604" i="12" s="1"/>
  <c r="H3604" i="12"/>
  <c r="N3604" i="12"/>
  <c r="O3604" i="12"/>
  <c r="P3604" i="12"/>
  <c r="Q3604" i="12"/>
  <c r="F3605" i="12"/>
  <c r="D3605" i="12" s="1"/>
  <c r="G3605" i="12"/>
  <c r="I3605" i="12" s="1"/>
  <c r="H3605" i="12"/>
  <c r="N3605" i="12"/>
  <c r="O3605" i="12"/>
  <c r="P3605" i="12"/>
  <c r="Q3605" i="12"/>
  <c r="F3606" i="12"/>
  <c r="G3606" i="12"/>
  <c r="K3606" i="12" s="1"/>
  <c r="H3606" i="12"/>
  <c r="N3606" i="12"/>
  <c r="O3606" i="12"/>
  <c r="P3606" i="12"/>
  <c r="Q3606" i="12"/>
  <c r="F3607" i="12"/>
  <c r="D3607" i="12" s="1"/>
  <c r="G3607" i="12"/>
  <c r="H3607" i="12"/>
  <c r="N3607" i="12"/>
  <c r="O3607" i="12"/>
  <c r="P3607" i="12"/>
  <c r="Q3607" i="12"/>
  <c r="F3608" i="12"/>
  <c r="E3608" i="12" s="1"/>
  <c r="G3608" i="12"/>
  <c r="L3608" i="12" s="1"/>
  <c r="H3608" i="12"/>
  <c r="N3608" i="12"/>
  <c r="O3608" i="12"/>
  <c r="P3608" i="12"/>
  <c r="Q3608" i="12"/>
  <c r="F3609" i="12"/>
  <c r="E3609" i="12" s="1"/>
  <c r="G3609" i="12"/>
  <c r="I3609" i="12" s="1"/>
  <c r="H3609" i="12"/>
  <c r="N3609" i="12"/>
  <c r="O3609" i="12"/>
  <c r="P3609" i="12"/>
  <c r="Q3609" i="12"/>
  <c r="F3610" i="12"/>
  <c r="D3610" i="12" s="1"/>
  <c r="G3610" i="12"/>
  <c r="M3610" i="12" s="1"/>
  <c r="H3610" i="12"/>
  <c r="N3610" i="12"/>
  <c r="O3610" i="12"/>
  <c r="P3610" i="12"/>
  <c r="Q3610" i="12"/>
  <c r="F3611" i="12"/>
  <c r="G3611" i="12"/>
  <c r="I3611" i="12" s="1"/>
  <c r="H3611" i="12"/>
  <c r="N3611" i="12"/>
  <c r="O3611" i="12"/>
  <c r="P3611" i="12"/>
  <c r="Q3611" i="12"/>
  <c r="F3612" i="12"/>
  <c r="E3612" i="12" s="1"/>
  <c r="G3612" i="12"/>
  <c r="M3612" i="12" s="1"/>
  <c r="H3612" i="12"/>
  <c r="N3612" i="12"/>
  <c r="O3612" i="12"/>
  <c r="P3612" i="12"/>
  <c r="Q3612" i="12"/>
  <c r="F3613" i="12"/>
  <c r="G3613" i="12"/>
  <c r="H3613" i="12"/>
  <c r="N3613" i="12"/>
  <c r="O3613" i="12"/>
  <c r="P3613" i="12"/>
  <c r="Q3613" i="12"/>
  <c r="F3614" i="12"/>
  <c r="G3614" i="12"/>
  <c r="L3614" i="12" s="1"/>
  <c r="H3614" i="12"/>
  <c r="N3614" i="12"/>
  <c r="O3614" i="12"/>
  <c r="P3614" i="12"/>
  <c r="Q3614" i="12"/>
  <c r="F3615" i="12"/>
  <c r="G3615" i="12"/>
  <c r="H3615" i="12"/>
  <c r="N3615" i="12"/>
  <c r="O3615" i="12"/>
  <c r="P3615" i="12"/>
  <c r="Q3615" i="12"/>
  <c r="F3616" i="12"/>
  <c r="G3616" i="12"/>
  <c r="H3616" i="12"/>
  <c r="N3616" i="12"/>
  <c r="O3616" i="12"/>
  <c r="P3616" i="12"/>
  <c r="Q3616" i="12"/>
  <c r="F3617" i="12"/>
  <c r="D3617" i="12" s="1"/>
  <c r="G3617" i="12"/>
  <c r="H3617" i="12"/>
  <c r="N3617" i="12"/>
  <c r="O3617" i="12"/>
  <c r="P3617" i="12"/>
  <c r="Q3617" i="12"/>
  <c r="F3618" i="12"/>
  <c r="E3618" i="12" s="1"/>
  <c r="G3618" i="12"/>
  <c r="H3618" i="12"/>
  <c r="N3618" i="12"/>
  <c r="O3618" i="12"/>
  <c r="P3618" i="12"/>
  <c r="Q3618" i="12"/>
  <c r="F3619" i="12"/>
  <c r="D3619" i="12" s="1"/>
  <c r="G3619" i="12"/>
  <c r="M3619" i="12" s="1"/>
  <c r="H3619" i="12"/>
  <c r="N3619" i="12"/>
  <c r="O3619" i="12"/>
  <c r="P3619" i="12"/>
  <c r="Q3619" i="12"/>
  <c r="F3620" i="12"/>
  <c r="G3620" i="12"/>
  <c r="K3620" i="12" s="1"/>
  <c r="H3620" i="12"/>
  <c r="N3620" i="12"/>
  <c r="O3620" i="12"/>
  <c r="P3620" i="12"/>
  <c r="Q3620" i="12"/>
  <c r="F3621" i="12"/>
  <c r="E3621" i="12" s="1"/>
  <c r="G3621" i="12"/>
  <c r="J3621" i="12" s="1"/>
  <c r="H3621" i="12"/>
  <c r="N3621" i="12"/>
  <c r="O3621" i="12"/>
  <c r="P3621" i="12"/>
  <c r="Q3621" i="12"/>
  <c r="F3622" i="12"/>
  <c r="G3622" i="12"/>
  <c r="H3622" i="12"/>
  <c r="N3622" i="12"/>
  <c r="O3622" i="12"/>
  <c r="P3622" i="12"/>
  <c r="Q3622" i="12"/>
  <c r="F3623" i="12"/>
  <c r="D3623" i="12" s="1"/>
  <c r="G3623" i="12"/>
  <c r="H3623" i="12"/>
  <c r="N3623" i="12"/>
  <c r="O3623" i="12"/>
  <c r="P3623" i="12"/>
  <c r="Q3623" i="12"/>
  <c r="F3624" i="12"/>
  <c r="G3624" i="12"/>
  <c r="K3624" i="12" s="1"/>
  <c r="H3624" i="12"/>
  <c r="N3624" i="12"/>
  <c r="O3624" i="12"/>
  <c r="P3624" i="12"/>
  <c r="Q3624" i="12"/>
  <c r="F3625" i="12"/>
  <c r="D3625" i="12" s="1"/>
  <c r="G3625" i="12"/>
  <c r="H3625" i="12"/>
  <c r="N3625" i="12"/>
  <c r="O3625" i="12"/>
  <c r="P3625" i="12"/>
  <c r="Q3625" i="12"/>
  <c r="F3626" i="12"/>
  <c r="E3626" i="12" s="1"/>
  <c r="G3626" i="12"/>
  <c r="I3626" i="12" s="1"/>
  <c r="H3626" i="12"/>
  <c r="N3626" i="12"/>
  <c r="O3626" i="12"/>
  <c r="P3626" i="12"/>
  <c r="Q3626" i="12"/>
  <c r="F3627" i="12"/>
  <c r="G3627" i="12"/>
  <c r="H3627" i="12"/>
  <c r="N3627" i="12"/>
  <c r="O3627" i="12"/>
  <c r="P3627" i="12"/>
  <c r="Q3627" i="12"/>
  <c r="F3628" i="12"/>
  <c r="E3628" i="12" s="1"/>
  <c r="G3628" i="12"/>
  <c r="H3628" i="12"/>
  <c r="N3628" i="12"/>
  <c r="O3628" i="12"/>
  <c r="P3628" i="12"/>
  <c r="Q3628" i="12"/>
  <c r="F3629" i="12"/>
  <c r="G3629" i="12"/>
  <c r="H3629" i="12"/>
  <c r="N3629" i="12"/>
  <c r="O3629" i="12"/>
  <c r="P3629" i="12"/>
  <c r="Q3629" i="12"/>
  <c r="F3630" i="12"/>
  <c r="G3630" i="12"/>
  <c r="I3630" i="12" s="1"/>
  <c r="H3630" i="12"/>
  <c r="N3630" i="12"/>
  <c r="O3630" i="12"/>
  <c r="P3630" i="12"/>
  <c r="Q3630" i="12"/>
  <c r="F3631" i="12"/>
  <c r="D3631" i="12" s="1"/>
  <c r="G3631" i="12"/>
  <c r="I3631" i="12" s="1"/>
  <c r="H3631" i="12"/>
  <c r="N3631" i="12"/>
  <c r="O3631" i="12"/>
  <c r="P3631" i="12"/>
  <c r="Q3631" i="12"/>
  <c r="F3632" i="12"/>
  <c r="G3632" i="12"/>
  <c r="M3632" i="12" s="1"/>
  <c r="H3632" i="12"/>
  <c r="N3632" i="12"/>
  <c r="O3632" i="12"/>
  <c r="P3632" i="12"/>
  <c r="Q3632" i="12"/>
  <c r="F3633" i="12"/>
  <c r="D3633" i="12" s="1"/>
  <c r="G3633" i="12"/>
  <c r="I3633" i="12" s="1"/>
  <c r="H3633" i="12"/>
  <c r="N3633" i="12"/>
  <c r="O3633" i="12"/>
  <c r="P3633" i="12"/>
  <c r="Q3633" i="12"/>
  <c r="F3634" i="12"/>
  <c r="E3634" i="12" s="1"/>
  <c r="G3634" i="12"/>
  <c r="I3634" i="12" s="1"/>
  <c r="H3634" i="12"/>
  <c r="N3634" i="12"/>
  <c r="O3634" i="12"/>
  <c r="P3634" i="12"/>
  <c r="Q3634" i="12"/>
  <c r="F3635" i="12"/>
  <c r="G3635" i="12"/>
  <c r="H3635" i="12"/>
  <c r="N3635" i="12"/>
  <c r="O3635" i="12"/>
  <c r="P3635" i="12"/>
  <c r="Q3635" i="12"/>
  <c r="F3636" i="12"/>
  <c r="E3636" i="12" s="1"/>
  <c r="G3636" i="12"/>
  <c r="K3636" i="12" s="1"/>
  <c r="H3636" i="12"/>
  <c r="N3636" i="12"/>
  <c r="O3636" i="12"/>
  <c r="P3636" i="12"/>
  <c r="Q3636" i="12"/>
  <c r="F3637" i="12"/>
  <c r="E3637" i="12" s="1"/>
  <c r="G3637" i="12"/>
  <c r="M3637" i="12" s="1"/>
  <c r="H3637" i="12"/>
  <c r="N3637" i="12"/>
  <c r="O3637" i="12"/>
  <c r="P3637" i="12"/>
  <c r="Q3637" i="12"/>
  <c r="F3638" i="12"/>
  <c r="G3638" i="12"/>
  <c r="H3638" i="12"/>
  <c r="N3638" i="12"/>
  <c r="O3638" i="12"/>
  <c r="P3638" i="12"/>
  <c r="Q3638" i="12"/>
  <c r="F3639" i="12"/>
  <c r="D3639" i="12" s="1"/>
  <c r="G3639" i="12"/>
  <c r="J3639" i="12" s="1"/>
  <c r="H3639" i="12"/>
  <c r="N3639" i="12"/>
  <c r="O3639" i="12"/>
  <c r="P3639" i="12"/>
  <c r="Q3639" i="12"/>
  <c r="F3640" i="12"/>
  <c r="G3640" i="12"/>
  <c r="K3640" i="12" s="1"/>
  <c r="H3640" i="12"/>
  <c r="N3640" i="12"/>
  <c r="O3640" i="12"/>
  <c r="P3640" i="12"/>
  <c r="Q3640" i="12"/>
  <c r="F3641" i="12"/>
  <c r="E3641" i="12" s="1"/>
  <c r="G3641" i="12"/>
  <c r="I3641" i="12" s="1"/>
  <c r="H3641" i="12"/>
  <c r="N3641" i="12"/>
  <c r="O3641" i="12"/>
  <c r="P3641" i="12"/>
  <c r="Q3641" i="12"/>
  <c r="F3642" i="12"/>
  <c r="G3642" i="12"/>
  <c r="H3642" i="12"/>
  <c r="N3642" i="12"/>
  <c r="O3642" i="12"/>
  <c r="P3642" i="12"/>
  <c r="Q3642" i="12"/>
  <c r="F3643" i="12"/>
  <c r="G3643" i="12"/>
  <c r="I3643" i="12" s="1"/>
  <c r="H3643" i="12"/>
  <c r="N3643" i="12"/>
  <c r="O3643" i="12"/>
  <c r="P3643" i="12"/>
  <c r="Q3643" i="12"/>
  <c r="F3644" i="12"/>
  <c r="E3644" i="12" s="1"/>
  <c r="G3644" i="12"/>
  <c r="K3644" i="12" s="1"/>
  <c r="H3644" i="12"/>
  <c r="N3644" i="12"/>
  <c r="O3644" i="12"/>
  <c r="P3644" i="12"/>
  <c r="Q3644" i="12"/>
  <c r="F3645" i="12"/>
  <c r="G3645" i="12"/>
  <c r="K3645" i="12" s="1"/>
  <c r="H3645" i="12"/>
  <c r="N3645" i="12"/>
  <c r="O3645" i="12"/>
  <c r="P3645" i="12"/>
  <c r="Q3645" i="12"/>
  <c r="F3646" i="12"/>
  <c r="G3646" i="12"/>
  <c r="I3646" i="12" s="1"/>
  <c r="H3646" i="12"/>
  <c r="N3646" i="12"/>
  <c r="O3646" i="12"/>
  <c r="P3646" i="12"/>
  <c r="Q3646" i="12"/>
  <c r="F3647" i="12"/>
  <c r="D3647" i="12" s="1"/>
  <c r="G3647" i="12"/>
  <c r="H3647" i="12"/>
  <c r="N3647" i="12"/>
  <c r="O3647" i="12"/>
  <c r="P3647" i="12"/>
  <c r="Q3647" i="12"/>
  <c r="F3648" i="12"/>
  <c r="G3648" i="12"/>
  <c r="K3648" i="12" s="1"/>
  <c r="H3648" i="12"/>
  <c r="N3648" i="12"/>
  <c r="O3648" i="12"/>
  <c r="P3648" i="12"/>
  <c r="Q3648" i="12"/>
  <c r="F3649" i="12"/>
  <c r="G3649" i="12"/>
  <c r="K3649" i="12" s="1"/>
  <c r="H3649" i="12"/>
  <c r="N3649" i="12"/>
  <c r="O3649" i="12"/>
  <c r="P3649" i="12"/>
  <c r="Q3649" i="12"/>
  <c r="F3650" i="12"/>
  <c r="G3650" i="12"/>
  <c r="I3650" i="12" s="1"/>
  <c r="H3650" i="12"/>
  <c r="N3650" i="12"/>
  <c r="O3650" i="12"/>
  <c r="P3650" i="12"/>
  <c r="Q3650" i="12"/>
  <c r="F3651" i="12"/>
  <c r="G3651" i="12"/>
  <c r="K3651" i="12" s="1"/>
  <c r="H3651" i="12"/>
  <c r="N3651" i="12"/>
  <c r="O3651" i="12"/>
  <c r="P3651" i="12"/>
  <c r="Q3651" i="12"/>
  <c r="F3652" i="12"/>
  <c r="E3652" i="12" s="1"/>
  <c r="G3652" i="12"/>
  <c r="K3652" i="12" s="1"/>
  <c r="H3652" i="12"/>
  <c r="N3652" i="12"/>
  <c r="O3652" i="12"/>
  <c r="P3652" i="12"/>
  <c r="Q3652" i="12"/>
  <c r="F3653" i="12"/>
  <c r="E3653" i="12" s="1"/>
  <c r="G3653" i="12"/>
  <c r="K3653" i="12" s="1"/>
  <c r="H3653" i="12"/>
  <c r="N3653" i="12"/>
  <c r="O3653" i="12"/>
  <c r="P3653" i="12"/>
  <c r="Q3653" i="12"/>
  <c r="F3654" i="12"/>
  <c r="G3654" i="12"/>
  <c r="H3654" i="12"/>
  <c r="N3654" i="12"/>
  <c r="O3654" i="12"/>
  <c r="P3654" i="12"/>
  <c r="Q3654" i="12"/>
  <c r="F3655" i="12"/>
  <c r="D3655" i="12" s="1"/>
  <c r="G3655" i="12"/>
  <c r="H3655" i="12"/>
  <c r="N3655" i="12"/>
  <c r="O3655" i="12"/>
  <c r="P3655" i="12"/>
  <c r="Q3655" i="12"/>
  <c r="F3656" i="12"/>
  <c r="G3656" i="12"/>
  <c r="K3656" i="12" s="1"/>
  <c r="H3656" i="12"/>
  <c r="N3656" i="12"/>
  <c r="O3656" i="12"/>
  <c r="P3656" i="12"/>
  <c r="Q3656" i="12"/>
  <c r="F3657" i="12"/>
  <c r="E3657" i="12" s="1"/>
  <c r="G3657" i="12"/>
  <c r="H3657" i="12"/>
  <c r="N3657" i="12"/>
  <c r="O3657" i="12"/>
  <c r="P3657" i="12"/>
  <c r="Q3657" i="12"/>
  <c r="F3658" i="12"/>
  <c r="G3658" i="12"/>
  <c r="I3658" i="12" s="1"/>
  <c r="H3658" i="12"/>
  <c r="N3658" i="12"/>
  <c r="O3658" i="12"/>
  <c r="P3658" i="12"/>
  <c r="Q3658" i="12"/>
  <c r="F3659" i="12"/>
  <c r="D3659" i="12" s="1"/>
  <c r="G3659" i="12"/>
  <c r="M3659" i="12" s="1"/>
  <c r="H3659" i="12"/>
  <c r="N3659" i="12"/>
  <c r="O3659" i="12"/>
  <c r="P3659" i="12"/>
  <c r="Q3659" i="12"/>
  <c r="F3660" i="12"/>
  <c r="E3660" i="12" s="1"/>
  <c r="G3660" i="12"/>
  <c r="K3660" i="12" s="1"/>
  <c r="H3660" i="12"/>
  <c r="N3660" i="12"/>
  <c r="O3660" i="12"/>
  <c r="P3660" i="12"/>
  <c r="Q3660" i="12"/>
  <c r="F3661" i="12"/>
  <c r="E3661" i="12" s="1"/>
  <c r="G3661" i="12"/>
  <c r="H3661" i="12"/>
  <c r="N3661" i="12"/>
  <c r="O3661" i="12"/>
  <c r="P3661" i="12"/>
  <c r="Q3661" i="12"/>
  <c r="F3662" i="12"/>
  <c r="G3662" i="12"/>
  <c r="K3662" i="12" s="1"/>
  <c r="H3662" i="12"/>
  <c r="N3662" i="12"/>
  <c r="O3662" i="12"/>
  <c r="P3662" i="12"/>
  <c r="Q3662" i="12"/>
  <c r="F3663" i="12"/>
  <c r="D3663" i="12" s="1"/>
  <c r="G3663" i="12"/>
  <c r="M3663" i="12" s="1"/>
  <c r="H3663" i="12"/>
  <c r="N3663" i="12"/>
  <c r="O3663" i="12"/>
  <c r="P3663" i="12"/>
  <c r="Q3663" i="12"/>
  <c r="F3664" i="12"/>
  <c r="E3664" i="12" s="1"/>
  <c r="G3664" i="12"/>
  <c r="K3664" i="12" s="1"/>
  <c r="H3664" i="12"/>
  <c r="N3664" i="12"/>
  <c r="O3664" i="12"/>
  <c r="P3664" i="12"/>
  <c r="Q3664" i="12"/>
  <c r="F3665" i="12"/>
  <c r="E3665" i="12" s="1"/>
  <c r="G3665" i="12"/>
  <c r="I3665" i="12" s="1"/>
  <c r="H3665" i="12"/>
  <c r="N3665" i="12"/>
  <c r="O3665" i="12"/>
  <c r="P3665" i="12"/>
  <c r="Q3665" i="12"/>
  <c r="F3666" i="12"/>
  <c r="G3666" i="12"/>
  <c r="I3666" i="12" s="1"/>
  <c r="H3666" i="12"/>
  <c r="N3666" i="12"/>
  <c r="O3666" i="12"/>
  <c r="P3666" i="12"/>
  <c r="Q3666" i="12"/>
  <c r="F3667" i="12"/>
  <c r="D3667" i="12" s="1"/>
  <c r="G3667" i="12"/>
  <c r="J3667" i="12" s="1"/>
  <c r="H3667" i="12"/>
  <c r="N3667" i="12"/>
  <c r="O3667" i="12"/>
  <c r="P3667" i="12"/>
  <c r="Q3667" i="12"/>
  <c r="F3668" i="12"/>
  <c r="E3668" i="12" s="1"/>
  <c r="G3668" i="12"/>
  <c r="H3668" i="12"/>
  <c r="N3668" i="12"/>
  <c r="O3668" i="12"/>
  <c r="P3668" i="12"/>
  <c r="Q3668" i="12"/>
  <c r="F3669" i="12"/>
  <c r="G3669" i="12"/>
  <c r="K3669" i="12" s="1"/>
  <c r="H3669" i="12"/>
  <c r="N3669" i="12"/>
  <c r="O3669" i="12"/>
  <c r="P3669" i="12"/>
  <c r="Q3669" i="12"/>
  <c r="F3670" i="12"/>
  <c r="G3670" i="12"/>
  <c r="I3670" i="12" s="1"/>
  <c r="H3670" i="12"/>
  <c r="N3670" i="12"/>
  <c r="O3670" i="12"/>
  <c r="P3670" i="12"/>
  <c r="Q3670" i="12"/>
  <c r="F3671" i="12"/>
  <c r="D3671" i="12" s="1"/>
  <c r="G3671" i="12"/>
  <c r="I3671" i="12" s="1"/>
  <c r="H3671" i="12"/>
  <c r="N3671" i="12"/>
  <c r="O3671" i="12"/>
  <c r="P3671" i="12"/>
  <c r="Q3671" i="12"/>
  <c r="F3672" i="12"/>
  <c r="E3672" i="12" s="1"/>
  <c r="G3672" i="12"/>
  <c r="K3672" i="12" s="1"/>
  <c r="H3672" i="12"/>
  <c r="N3672" i="12"/>
  <c r="O3672" i="12"/>
  <c r="P3672" i="12"/>
  <c r="Q3672" i="12"/>
  <c r="F3673" i="12"/>
  <c r="E3673" i="12" s="1"/>
  <c r="G3673" i="12"/>
  <c r="K3673" i="12" s="1"/>
  <c r="H3673" i="12"/>
  <c r="N3673" i="12"/>
  <c r="O3673" i="12"/>
  <c r="P3673" i="12"/>
  <c r="Q3673" i="12"/>
  <c r="F3674" i="12"/>
  <c r="G3674" i="12"/>
  <c r="I3674" i="12" s="1"/>
  <c r="H3674" i="12"/>
  <c r="N3674" i="12"/>
  <c r="O3674" i="12"/>
  <c r="P3674" i="12"/>
  <c r="Q3674" i="12"/>
  <c r="F3675" i="12"/>
  <c r="G3675" i="12"/>
  <c r="I3675" i="12" s="1"/>
  <c r="H3675" i="12"/>
  <c r="N3675" i="12"/>
  <c r="O3675" i="12"/>
  <c r="P3675" i="12"/>
  <c r="Q3675" i="12"/>
  <c r="F3676" i="12"/>
  <c r="E3676" i="12" s="1"/>
  <c r="G3676" i="12"/>
  <c r="K3676" i="12" s="1"/>
  <c r="H3676" i="12"/>
  <c r="N3676" i="12"/>
  <c r="O3676" i="12"/>
  <c r="P3676" i="12"/>
  <c r="Q3676" i="12"/>
  <c r="F3677" i="12"/>
  <c r="G3677" i="12"/>
  <c r="K3677" i="12" s="1"/>
  <c r="H3677" i="12"/>
  <c r="N3677" i="12"/>
  <c r="O3677" i="12"/>
  <c r="P3677" i="12"/>
  <c r="Q3677" i="12"/>
  <c r="F3678" i="12"/>
  <c r="G3678" i="12"/>
  <c r="I3678" i="12" s="1"/>
  <c r="H3678" i="12"/>
  <c r="N3678" i="12"/>
  <c r="O3678" i="12"/>
  <c r="P3678" i="12"/>
  <c r="Q3678" i="12"/>
  <c r="F3679" i="12"/>
  <c r="D3679" i="12" s="1"/>
  <c r="G3679" i="12"/>
  <c r="J3679" i="12" s="1"/>
  <c r="H3679" i="12"/>
  <c r="N3679" i="12"/>
  <c r="O3679" i="12"/>
  <c r="P3679" i="12"/>
  <c r="Q3679" i="12"/>
  <c r="F3680" i="12"/>
  <c r="G3680" i="12"/>
  <c r="J3680" i="12" s="1"/>
  <c r="H3680" i="12"/>
  <c r="N3680" i="12"/>
  <c r="O3680" i="12"/>
  <c r="P3680" i="12"/>
  <c r="Q3680" i="12"/>
  <c r="F3681" i="12"/>
  <c r="G3681" i="12"/>
  <c r="H3681" i="12"/>
  <c r="N3681" i="12"/>
  <c r="O3681" i="12"/>
  <c r="P3681" i="12"/>
  <c r="Q3681" i="12"/>
  <c r="F3682" i="12"/>
  <c r="G3682" i="12"/>
  <c r="I3682" i="12" s="1"/>
  <c r="H3682" i="12"/>
  <c r="N3682" i="12"/>
  <c r="O3682" i="12"/>
  <c r="P3682" i="12"/>
  <c r="Q3682" i="12"/>
  <c r="F3683" i="12"/>
  <c r="D3683" i="12" s="1"/>
  <c r="G3683" i="12"/>
  <c r="I3683" i="12" s="1"/>
  <c r="H3683" i="12"/>
  <c r="N3683" i="12"/>
  <c r="O3683" i="12"/>
  <c r="P3683" i="12"/>
  <c r="Q3683" i="12"/>
  <c r="F3684" i="12"/>
  <c r="E3684" i="12" s="1"/>
  <c r="G3684" i="12"/>
  <c r="L3684" i="12" s="1"/>
  <c r="H3684" i="12"/>
  <c r="N3684" i="12"/>
  <c r="O3684" i="12"/>
  <c r="P3684" i="12"/>
  <c r="Q3684" i="12"/>
  <c r="F3685" i="12"/>
  <c r="G3685" i="12"/>
  <c r="L3685" i="12" s="1"/>
  <c r="H3685" i="12"/>
  <c r="N3685" i="12"/>
  <c r="O3685" i="12"/>
  <c r="P3685" i="12"/>
  <c r="Q3685" i="12"/>
  <c r="F3686" i="12"/>
  <c r="G3686" i="12"/>
  <c r="I3686" i="12" s="1"/>
  <c r="H3686" i="12"/>
  <c r="N3686" i="12"/>
  <c r="O3686" i="12"/>
  <c r="P3686" i="12"/>
  <c r="Q3686" i="12"/>
  <c r="F3687" i="12"/>
  <c r="G3687" i="12"/>
  <c r="I3687" i="12" s="1"/>
  <c r="H3687" i="12"/>
  <c r="N3687" i="12"/>
  <c r="O3687" i="12"/>
  <c r="P3687" i="12"/>
  <c r="Q3687" i="12"/>
  <c r="F3688" i="12"/>
  <c r="E3688" i="12" s="1"/>
  <c r="G3688" i="12"/>
  <c r="H3688" i="12"/>
  <c r="N3688" i="12"/>
  <c r="O3688" i="12"/>
  <c r="P3688" i="12"/>
  <c r="Q3688" i="12"/>
  <c r="F3689" i="12"/>
  <c r="E3689" i="12" s="1"/>
  <c r="G3689" i="12"/>
  <c r="K3689" i="12" s="1"/>
  <c r="H3689" i="12"/>
  <c r="N3689" i="12"/>
  <c r="O3689" i="12"/>
  <c r="P3689" i="12"/>
  <c r="Q3689" i="12"/>
  <c r="F3690" i="12"/>
  <c r="G3690" i="12"/>
  <c r="I3690" i="12" s="1"/>
  <c r="H3690" i="12"/>
  <c r="N3690" i="12"/>
  <c r="O3690" i="12"/>
  <c r="P3690" i="12"/>
  <c r="Q3690" i="12"/>
  <c r="F3691" i="12"/>
  <c r="D3691" i="12" s="1"/>
  <c r="G3691" i="12"/>
  <c r="I3691" i="12" s="1"/>
  <c r="H3691" i="12"/>
  <c r="N3691" i="12"/>
  <c r="O3691" i="12"/>
  <c r="P3691" i="12"/>
  <c r="Q3691" i="12"/>
  <c r="F3692" i="12"/>
  <c r="E3692" i="12" s="1"/>
  <c r="G3692" i="12"/>
  <c r="H3692" i="12"/>
  <c r="N3692" i="12"/>
  <c r="O3692" i="12"/>
  <c r="P3692" i="12"/>
  <c r="Q3692" i="12"/>
  <c r="F3693" i="12"/>
  <c r="E3693" i="12" s="1"/>
  <c r="G3693" i="12"/>
  <c r="K3693" i="12" s="1"/>
  <c r="H3693" i="12"/>
  <c r="N3693" i="12"/>
  <c r="O3693" i="12"/>
  <c r="P3693" i="12"/>
  <c r="Q3693" i="12"/>
  <c r="F3694" i="12"/>
  <c r="E3694" i="12" s="1"/>
  <c r="G3694" i="12"/>
  <c r="H3694" i="12"/>
  <c r="N3694" i="12"/>
  <c r="O3694" i="12"/>
  <c r="P3694" i="12"/>
  <c r="Q3694" i="12"/>
  <c r="F3695" i="12"/>
  <c r="D3695" i="12" s="1"/>
  <c r="G3695" i="12"/>
  <c r="M3695" i="12" s="1"/>
  <c r="H3695" i="12"/>
  <c r="N3695" i="12"/>
  <c r="O3695" i="12"/>
  <c r="P3695" i="12"/>
  <c r="Q3695" i="12"/>
  <c r="F3696" i="12"/>
  <c r="E3696" i="12" s="1"/>
  <c r="G3696" i="12"/>
  <c r="J3696" i="12" s="1"/>
  <c r="H3696" i="12"/>
  <c r="N3696" i="12"/>
  <c r="O3696" i="12"/>
  <c r="P3696" i="12"/>
  <c r="Q3696" i="12"/>
  <c r="F3697" i="12"/>
  <c r="E3697" i="12" s="1"/>
  <c r="G3697" i="12"/>
  <c r="K3697" i="12" s="1"/>
  <c r="H3697" i="12"/>
  <c r="N3697" i="12"/>
  <c r="O3697" i="12"/>
  <c r="P3697" i="12"/>
  <c r="Q3697" i="12"/>
  <c r="F3698" i="12"/>
  <c r="E3698" i="12" s="1"/>
  <c r="G3698" i="12"/>
  <c r="H3698" i="12"/>
  <c r="N3698" i="12"/>
  <c r="O3698" i="12"/>
  <c r="P3698" i="12"/>
  <c r="Q3698" i="12"/>
  <c r="F3699" i="12"/>
  <c r="G3699" i="12"/>
  <c r="I3699" i="12" s="1"/>
  <c r="H3699" i="12"/>
  <c r="N3699" i="12"/>
  <c r="O3699" i="12"/>
  <c r="P3699" i="12"/>
  <c r="Q3699" i="12"/>
  <c r="F3700" i="12"/>
  <c r="E3700" i="12" s="1"/>
  <c r="G3700" i="12"/>
  <c r="J3700" i="12" s="1"/>
  <c r="H3700" i="12"/>
  <c r="N3700" i="12"/>
  <c r="O3700" i="12"/>
  <c r="P3700" i="12"/>
  <c r="Q3700" i="12"/>
  <c r="F3701" i="12"/>
  <c r="G3701" i="12"/>
  <c r="K3701" i="12" s="1"/>
  <c r="H3701" i="12"/>
  <c r="N3701" i="12"/>
  <c r="O3701" i="12"/>
  <c r="P3701" i="12"/>
  <c r="Q3701" i="12"/>
  <c r="F3702" i="12"/>
  <c r="E3702" i="12" s="1"/>
  <c r="G3702" i="12"/>
  <c r="K3702" i="12" s="1"/>
  <c r="H3702" i="12"/>
  <c r="N3702" i="12"/>
  <c r="O3702" i="12"/>
  <c r="P3702" i="12"/>
  <c r="Q3702" i="12"/>
  <c r="F3703" i="12"/>
  <c r="G3703" i="12"/>
  <c r="L3703" i="12" s="1"/>
  <c r="H3703" i="12"/>
  <c r="N3703" i="12"/>
  <c r="O3703" i="12"/>
  <c r="P3703" i="12"/>
  <c r="Q3703" i="12"/>
  <c r="F3704" i="12"/>
  <c r="E3704" i="12" s="1"/>
  <c r="G3704" i="12"/>
  <c r="H3704" i="12"/>
  <c r="N3704" i="12"/>
  <c r="O3704" i="12"/>
  <c r="P3704" i="12"/>
  <c r="Q3704" i="12"/>
  <c r="F3705" i="12"/>
  <c r="E3705" i="12" s="1"/>
  <c r="G3705" i="12"/>
  <c r="I3705" i="12" s="1"/>
  <c r="H3705" i="12"/>
  <c r="N3705" i="12"/>
  <c r="O3705" i="12"/>
  <c r="P3705" i="12"/>
  <c r="Q3705" i="12"/>
  <c r="F3706" i="12"/>
  <c r="E3706" i="12" s="1"/>
  <c r="G3706" i="12"/>
  <c r="J3706" i="12" s="1"/>
  <c r="H3706" i="12"/>
  <c r="N3706" i="12"/>
  <c r="O3706" i="12"/>
  <c r="P3706" i="12"/>
  <c r="Q3706" i="12"/>
  <c r="F3707" i="12"/>
  <c r="E3707" i="12" s="1"/>
  <c r="G3707" i="12"/>
  <c r="H3707" i="12"/>
  <c r="N3707" i="12"/>
  <c r="O3707" i="12"/>
  <c r="P3707" i="12"/>
  <c r="Q3707" i="12"/>
  <c r="F3708" i="12"/>
  <c r="G3708" i="12"/>
  <c r="H3708" i="12"/>
  <c r="N3708" i="12"/>
  <c r="O3708" i="12"/>
  <c r="P3708" i="12"/>
  <c r="Q3708" i="12"/>
  <c r="F3709" i="12"/>
  <c r="D3709" i="12" s="1"/>
  <c r="G3709" i="12"/>
  <c r="K3709" i="12" s="1"/>
  <c r="H3709" i="12"/>
  <c r="N3709" i="12"/>
  <c r="O3709" i="12"/>
  <c r="P3709" i="12"/>
  <c r="Q3709" i="12"/>
  <c r="F3710" i="12"/>
  <c r="E3710" i="12" s="1"/>
  <c r="G3710" i="12"/>
  <c r="H3710" i="12"/>
  <c r="N3710" i="12"/>
  <c r="O3710" i="12"/>
  <c r="P3710" i="12"/>
  <c r="Q3710" i="12"/>
  <c r="F3711" i="12"/>
  <c r="G3711" i="12"/>
  <c r="I3711" i="12" s="1"/>
  <c r="H3711" i="12"/>
  <c r="N3711" i="12"/>
  <c r="O3711" i="12"/>
  <c r="P3711" i="12"/>
  <c r="Q3711" i="12"/>
  <c r="F3712" i="12"/>
  <c r="G3712" i="12"/>
  <c r="J3712" i="12" s="1"/>
  <c r="H3712" i="12"/>
  <c r="N3712" i="12"/>
  <c r="O3712" i="12"/>
  <c r="P3712" i="12"/>
  <c r="Q3712" i="12"/>
  <c r="F3713" i="12"/>
  <c r="E3713" i="12" s="1"/>
  <c r="G3713" i="12"/>
  <c r="H3713" i="12"/>
  <c r="N3713" i="12"/>
  <c r="O3713" i="12"/>
  <c r="P3713" i="12"/>
  <c r="Q3713" i="12"/>
  <c r="F3714" i="12"/>
  <c r="G3714" i="12"/>
  <c r="H3714" i="12"/>
  <c r="N3714" i="12"/>
  <c r="O3714" i="12"/>
  <c r="P3714" i="12"/>
  <c r="Q3714" i="12"/>
  <c r="F3715" i="12"/>
  <c r="G3715" i="12"/>
  <c r="H3715" i="12"/>
  <c r="N3715" i="12"/>
  <c r="O3715" i="12"/>
  <c r="P3715" i="12"/>
  <c r="Q3715" i="12"/>
  <c r="F3716" i="12"/>
  <c r="G3716" i="12"/>
  <c r="J3716" i="12" s="1"/>
  <c r="H3716" i="12"/>
  <c r="N3716" i="12"/>
  <c r="O3716" i="12"/>
  <c r="P3716" i="12"/>
  <c r="Q3716" i="12"/>
  <c r="F3717" i="12"/>
  <c r="D3717" i="12" s="1"/>
  <c r="G3717" i="12"/>
  <c r="K3717" i="12" s="1"/>
  <c r="H3717" i="12"/>
  <c r="N3717" i="12"/>
  <c r="O3717" i="12"/>
  <c r="P3717" i="12"/>
  <c r="Q3717" i="12"/>
  <c r="F3718" i="12"/>
  <c r="E3718" i="12" s="1"/>
  <c r="G3718" i="12"/>
  <c r="J3718" i="12" s="1"/>
  <c r="H3718" i="12"/>
  <c r="N3718" i="12"/>
  <c r="O3718" i="12"/>
  <c r="P3718" i="12"/>
  <c r="Q3718" i="12"/>
  <c r="F3719" i="12"/>
  <c r="D3719" i="12" s="1"/>
  <c r="G3719" i="12"/>
  <c r="K3719" i="12" s="1"/>
  <c r="H3719" i="12"/>
  <c r="N3719" i="12"/>
  <c r="O3719" i="12"/>
  <c r="P3719" i="12"/>
  <c r="Q3719" i="12"/>
  <c r="F3720" i="12"/>
  <c r="E3720" i="12" s="1"/>
  <c r="G3720" i="12"/>
  <c r="I3720" i="12" s="1"/>
  <c r="H3720" i="12"/>
  <c r="N3720" i="12"/>
  <c r="O3720" i="12"/>
  <c r="P3720" i="12"/>
  <c r="Q3720" i="12"/>
  <c r="F3721" i="12"/>
  <c r="E3721" i="12" s="1"/>
  <c r="G3721" i="12"/>
  <c r="H3721" i="12"/>
  <c r="N3721" i="12"/>
  <c r="O3721" i="12"/>
  <c r="P3721" i="12"/>
  <c r="Q3721" i="12"/>
  <c r="F3722" i="12"/>
  <c r="E3722" i="12" s="1"/>
  <c r="G3722" i="12"/>
  <c r="M3722" i="12" s="1"/>
  <c r="H3722" i="12"/>
  <c r="N3722" i="12"/>
  <c r="O3722" i="12"/>
  <c r="P3722" i="12"/>
  <c r="Q3722" i="12"/>
  <c r="F3723" i="12"/>
  <c r="G3723" i="12"/>
  <c r="J3723" i="12" s="1"/>
  <c r="H3723" i="12"/>
  <c r="N3723" i="12"/>
  <c r="O3723" i="12"/>
  <c r="P3723" i="12"/>
  <c r="Q3723" i="12"/>
  <c r="F3724" i="12"/>
  <c r="D3724" i="12" s="1"/>
  <c r="G3724" i="12"/>
  <c r="I3724" i="12" s="1"/>
  <c r="H3724" i="12"/>
  <c r="N3724" i="12"/>
  <c r="O3724" i="12"/>
  <c r="P3724" i="12"/>
  <c r="Q3724" i="12"/>
  <c r="F3725" i="12"/>
  <c r="D3725" i="12" s="1"/>
  <c r="G3725" i="12"/>
  <c r="K3725" i="12" s="1"/>
  <c r="H3725" i="12"/>
  <c r="N3725" i="12"/>
  <c r="O3725" i="12"/>
  <c r="P3725" i="12"/>
  <c r="Q3725" i="12"/>
  <c r="F3726" i="12"/>
  <c r="G3726" i="12"/>
  <c r="H3726" i="12"/>
  <c r="N3726" i="12"/>
  <c r="O3726" i="12"/>
  <c r="P3726" i="12"/>
  <c r="Q3726" i="12"/>
  <c r="F3727" i="12"/>
  <c r="G3727" i="12"/>
  <c r="K3727" i="12" s="1"/>
  <c r="H3727" i="12"/>
  <c r="N3727" i="12"/>
  <c r="O3727" i="12"/>
  <c r="P3727" i="12"/>
  <c r="Q3727" i="12"/>
  <c r="F3728" i="12"/>
  <c r="E3728" i="12" s="1"/>
  <c r="G3728" i="12"/>
  <c r="H3728" i="12"/>
  <c r="N3728" i="12"/>
  <c r="O3728" i="12"/>
  <c r="P3728" i="12"/>
  <c r="Q3728" i="12"/>
  <c r="F3729" i="12"/>
  <c r="E3729" i="12" s="1"/>
  <c r="G3729" i="12"/>
  <c r="H3729" i="12"/>
  <c r="N3729" i="12"/>
  <c r="O3729" i="12"/>
  <c r="P3729" i="12"/>
  <c r="Q3729" i="12"/>
  <c r="F3730" i="12"/>
  <c r="G3730" i="12"/>
  <c r="H3730" i="12"/>
  <c r="N3730" i="12"/>
  <c r="O3730" i="12"/>
  <c r="P3730" i="12"/>
  <c r="Q3730" i="12"/>
  <c r="F3731" i="12"/>
  <c r="G3731" i="12"/>
  <c r="L3731" i="12" s="1"/>
  <c r="H3731" i="12"/>
  <c r="N3731" i="12"/>
  <c r="O3731" i="12"/>
  <c r="P3731" i="12"/>
  <c r="Q3731" i="12"/>
  <c r="F3732" i="12"/>
  <c r="G3732" i="12"/>
  <c r="J3732" i="12" s="1"/>
  <c r="H3732" i="12"/>
  <c r="N3732" i="12"/>
  <c r="O3732" i="12"/>
  <c r="P3732" i="12"/>
  <c r="Q3732" i="12"/>
  <c r="F3733" i="12"/>
  <c r="D3733" i="12" s="1"/>
  <c r="G3733" i="12"/>
  <c r="K3733" i="12" s="1"/>
  <c r="H3733" i="12"/>
  <c r="N3733" i="12"/>
  <c r="O3733" i="12"/>
  <c r="P3733" i="12"/>
  <c r="Q3733" i="12"/>
  <c r="F3734" i="12"/>
  <c r="E3734" i="12" s="1"/>
  <c r="G3734" i="12"/>
  <c r="H3734" i="12"/>
  <c r="N3734" i="12"/>
  <c r="O3734" i="12"/>
  <c r="P3734" i="12"/>
  <c r="Q3734" i="12"/>
  <c r="F3735" i="12"/>
  <c r="E3735" i="12" s="1"/>
  <c r="G3735" i="12"/>
  <c r="H3735" i="12"/>
  <c r="N3735" i="12"/>
  <c r="O3735" i="12"/>
  <c r="P3735" i="12"/>
  <c r="Q3735" i="12"/>
  <c r="F3736" i="12"/>
  <c r="G3736" i="12"/>
  <c r="L3736" i="12" s="1"/>
  <c r="H3736" i="12"/>
  <c r="N3736" i="12"/>
  <c r="O3736" i="12"/>
  <c r="P3736" i="12"/>
  <c r="Q3736" i="12"/>
  <c r="F3737" i="12"/>
  <c r="G3737" i="12"/>
  <c r="H3737" i="12"/>
  <c r="N3737" i="12"/>
  <c r="O3737" i="12"/>
  <c r="P3737" i="12"/>
  <c r="Q3737" i="12"/>
  <c r="F3738" i="12"/>
  <c r="D3738" i="12" s="1"/>
  <c r="G3738" i="12"/>
  <c r="H3738" i="12"/>
  <c r="N3738" i="12"/>
  <c r="O3738" i="12"/>
  <c r="P3738" i="12"/>
  <c r="Q3738" i="12"/>
  <c r="F3739" i="12"/>
  <c r="E3739" i="12" s="1"/>
  <c r="G3739" i="12"/>
  <c r="K3739" i="12" s="1"/>
  <c r="H3739" i="12"/>
  <c r="N3739" i="12"/>
  <c r="O3739" i="12"/>
  <c r="P3739" i="12"/>
  <c r="Q3739" i="12"/>
  <c r="F3740" i="12"/>
  <c r="E3740" i="12" s="1"/>
  <c r="G3740" i="12"/>
  <c r="M3740" i="12" s="1"/>
  <c r="H3740" i="12"/>
  <c r="N3740" i="12"/>
  <c r="O3740" i="12"/>
  <c r="P3740" i="12"/>
  <c r="Q3740" i="12"/>
  <c r="F3741" i="12"/>
  <c r="G3741" i="12"/>
  <c r="H3741" i="12"/>
  <c r="N3741" i="12"/>
  <c r="O3741" i="12"/>
  <c r="P3741" i="12"/>
  <c r="Q3741" i="12"/>
  <c r="F3742" i="12"/>
  <c r="E3742" i="12" s="1"/>
  <c r="G3742" i="12"/>
  <c r="K3742" i="12" s="1"/>
  <c r="H3742" i="12"/>
  <c r="N3742" i="12"/>
  <c r="O3742" i="12"/>
  <c r="P3742" i="12"/>
  <c r="Q3742" i="12"/>
  <c r="F3743" i="12"/>
  <c r="E3743" i="12" s="1"/>
  <c r="G3743" i="12"/>
  <c r="H3743" i="12"/>
  <c r="N3743" i="12"/>
  <c r="O3743" i="12"/>
  <c r="P3743" i="12"/>
  <c r="Q3743" i="12"/>
  <c r="F3744" i="12"/>
  <c r="G3744" i="12"/>
  <c r="L3744" i="12" s="1"/>
  <c r="H3744" i="12"/>
  <c r="N3744" i="12"/>
  <c r="O3744" i="12"/>
  <c r="P3744" i="12"/>
  <c r="Q3744" i="12"/>
  <c r="F3745" i="12"/>
  <c r="G3745" i="12"/>
  <c r="I3745" i="12" s="1"/>
  <c r="H3745" i="12"/>
  <c r="N3745" i="12"/>
  <c r="O3745" i="12"/>
  <c r="P3745" i="12"/>
  <c r="Q3745" i="12"/>
  <c r="F3746" i="12"/>
  <c r="D3746" i="12" s="1"/>
  <c r="G3746" i="12"/>
  <c r="H3746" i="12"/>
  <c r="N3746" i="12"/>
  <c r="O3746" i="12"/>
  <c r="P3746" i="12"/>
  <c r="Q3746" i="12"/>
  <c r="F3747" i="12"/>
  <c r="E3747" i="12" s="1"/>
  <c r="G3747" i="12"/>
  <c r="K3747" i="12" s="1"/>
  <c r="H3747" i="12"/>
  <c r="N3747" i="12"/>
  <c r="O3747" i="12"/>
  <c r="P3747" i="12"/>
  <c r="Q3747" i="12"/>
  <c r="F3748" i="12"/>
  <c r="E3748" i="12" s="1"/>
  <c r="G3748" i="12"/>
  <c r="M3748" i="12" s="1"/>
  <c r="H3748" i="12"/>
  <c r="N3748" i="12"/>
  <c r="O3748" i="12"/>
  <c r="P3748" i="12"/>
  <c r="Q3748" i="12"/>
  <c r="F3749" i="12"/>
  <c r="G3749" i="12"/>
  <c r="H3749" i="12"/>
  <c r="N3749" i="12"/>
  <c r="O3749" i="12"/>
  <c r="P3749" i="12"/>
  <c r="Q3749" i="12"/>
  <c r="F3750" i="12"/>
  <c r="D3750" i="12" s="1"/>
  <c r="G3750" i="12"/>
  <c r="I3750" i="12" s="1"/>
  <c r="H3750" i="12"/>
  <c r="N3750" i="12"/>
  <c r="O3750" i="12"/>
  <c r="P3750" i="12"/>
  <c r="Q3750" i="12"/>
  <c r="F3751" i="12"/>
  <c r="E3751" i="12" s="1"/>
  <c r="G3751" i="12"/>
  <c r="H3751" i="12"/>
  <c r="N3751" i="12"/>
  <c r="O3751" i="12"/>
  <c r="P3751" i="12"/>
  <c r="Q3751" i="12"/>
  <c r="F3752" i="12"/>
  <c r="G3752" i="12"/>
  <c r="L3752" i="12" s="1"/>
  <c r="H3752" i="12"/>
  <c r="N3752" i="12"/>
  <c r="O3752" i="12"/>
  <c r="P3752" i="12"/>
  <c r="Q3752" i="12"/>
  <c r="F3753" i="12"/>
  <c r="G3753" i="12"/>
  <c r="I3753" i="12" s="1"/>
  <c r="H3753" i="12"/>
  <c r="N3753" i="12"/>
  <c r="O3753" i="12"/>
  <c r="P3753" i="12"/>
  <c r="Q3753" i="12"/>
  <c r="F3754" i="12"/>
  <c r="E3754" i="12" s="1"/>
  <c r="G3754" i="12"/>
  <c r="I3754" i="12" s="1"/>
  <c r="H3754" i="12"/>
  <c r="N3754" i="12"/>
  <c r="O3754" i="12"/>
  <c r="P3754" i="12"/>
  <c r="Q3754" i="12"/>
  <c r="F3755" i="12"/>
  <c r="E3755" i="12" s="1"/>
  <c r="G3755" i="12"/>
  <c r="K3755" i="12" s="1"/>
  <c r="H3755" i="12"/>
  <c r="N3755" i="12"/>
  <c r="O3755" i="12"/>
  <c r="P3755" i="12"/>
  <c r="Q3755" i="12"/>
  <c r="F3756" i="12"/>
  <c r="E3756" i="12" s="1"/>
  <c r="G3756" i="12"/>
  <c r="J3756" i="12" s="1"/>
  <c r="H3756" i="12"/>
  <c r="N3756" i="12"/>
  <c r="O3756" i="12"/>
  <c r="P3756" i="12"/>
  <c r="Q3756" i="12"/>
  <c r="F3757" i="12"/>
  <c r="G3757" i="12"/>
  <c r="H3757" i="12"/>
  <c r="N3757" i="12"/>
  <c r="O3757" i="12"/>
  <c r="P3757" i="12"/>
  <c r="Q3757" i="12"/>
  <c r="F3758" i="12"/>
  <c r="E3758" i="12" s="1"/>
  <c r="G3758" i="12"/>
  <c r="H3758" i="12"/>
  <c r="N3758" i="12"/>
  <c r="O3758" i="12"/>
  <c r="P3758" i="12"/>
  <c r="Q3758" i="12"/>
  <c r="F3759" i="12"/>
  <c r="G3759" i="12"/>
  <c r="H3759" i="12"/>
  <c r="N3759" i="12"/>
  <c r="O3759" i="12"/>
  <c r="P3759" i="12"/>
  <c r="Q3759" i="12"/>
  <c r="F3760" i="12"/>
  <c r="G3760" i="12"/>
  <c r="H3760" i="12"/>
  <c r="N3760" i="12"/>
  <c r="O3760" i="12"/>
  <c r="P3760" i="12"/>
  <c r="Q3760" i="12"/>
  <c r="F3761" i="12"/>
  <c r="G3761" i="12"/>
  <c r="I3761" i="12" s="1"/>
  <c r="H3761" i="12"/>
  <c r="N3761" i="12"/>
  <c r="O3761" i="12"/>
  <c r="P3761" i="12"/>
  <c r="Q3761" i="12"/>
  <c r="F3762" i="12"/>
  <c r="D3762" i="12" s="1"/>
  <c r="G3762" i="12"/>
  <c r="L3762" i="12" s="1"/>
  <c r="H3762" i="12"/>
  <c r="N3762" i="12"/>
  <c r="O3762" i="12"/>
  <c r="P3762" i="12"/>
  <c r="Q3762" i="12"/>
  <c r="F3763" i="12"/>
  <c r="E3763" i="12" s="1"/>
  <c r="G3763" i="12"/>
  <c r="K3763" i="12" s="1"/>
  <c r="H3763" i="12"/>
  <c r="N3763" i="12"/>
  <c r="O3763" i="12"/>
  <c r="P3763" i="12"/>
  <c r="Q3763" i="12"/>
  <c r="F3764" i="12"/>
  <c r="G3764" i="12"/>
  <c r="I3764" i="12" s="1"/>
  <c r="H3764" i="12"/>
  <c r="N3764" i="12"/>
  <c r="O3764" i="12"/>
  <c r="P3764" i="12"/>
  <c r="Q3764" i="12"/>
  <c r="F3765" i="12"/>
  <c r="G3765" i="12"/>
  <c r="I3765" i="12" s="1"/>
  <c r="H3765" i="12"/>
  <c r="N3765" i="12"/>
  <c r="O3765" i="12"/>
  <c r="P3765" i="12"/>
  <c r="Q3765" i="12"/>
  <c r="F3766" i="12"/>
  <c r="G3766" i="12"/>
  <c r="K3766" i="12" s="1"/>
  <c r="H3766" i="12"/>
  <c r="N3766" i="12"/>
  <c r="O3766" i="12"/>
  <c r="P3766" i="12"/>
  <c r="Q3766" i="12"/>
  <c r="F3767" i="12"/>
  <c r="E3767" i="12" s="1"/>
  <c r="G3767" i="12"/>
  <c r="H3767" i="12"/>
  <c r="N3767" i="12"/>
  <c r="O3767" i="12"/>
  <c r="P3767" i="12"/>
  <c r="Q3767" i="12"/>
  <c r="F3768" i="12"/>
  <c r="G3768" i="12"/>
  <c r="L3768" i="12" s="1"/>
  <c r="H3768" i="12"/>
  <c r="N3768" i="12"/>
  <c r="O3768" i="12"/>
  <c r="P3768" i="12"/>
  <c r="Q3768" i="12"/>
  <c r="F3769" i="12"/>
  <c r="G3769" i="12"/>
  <c r="J3769" i="12" s="1"/>
  <c r="H3769" i="12"/>
  <c r="N3769" i="12"/>
  <c r="O3769" i="12"/>
  <c r="P3769" i="12"/>
  <c r="Q3769" i="12"/>
  <c r="F3770" i="12"/>
  <c r="E3770" i="12" s="1"/>
  <c r="G3770" i="12"/>
  <c r="K3770" i="12" s="1"/>
  <c r="H3770" i="12"/>
  <c r="N3770" i="12"/>
  <c r="O3770" i="12"/>
  <c r="P3770" i="12"/>
  <c r="Q3770" i="12"/>
  <c r="F3771" i="12"/>
  <c r="E3771" i="12" s="1"/>
  <c r="G3771" i="12"/>
  <c r="K3771" i="12" s="1"/>
  <c r="H3771" i="12"/>
  <c r="N3771" i="12"/>
  <c r="O3771" i="12"/>
  <c r="P3771" i="12"/>
  <c r="Q3771" i="12"/>
  <c r="F3772" i="12"/>
  <c r="G3772" i="12"/>
  <c r="L3772" i="12" s="1"/>
  <c r="H3772" i="12"/>
  <c r="N3772" i="12"/>
  <c r="O3772" i="12"/>
  <c r="P3772" i="12"/>
  <c r="Q3772" i="12"/>
  <c r="F3773" i="12"/>
  <c r="G3773" i="12"/>
  <c r="I3773" i="12" s="1"/>
  <c r="H3773" i="12"/>
  <c r="N3773" i="12"/>
  <c r="O3773" i="12"/>
  <c r="P3773" i="12"/>
  <c r="Q3773" i="12"/>
  <c r="F3774" i="12"/>
  <c r="E3774" i="12" s="1"/>
  <c r="G3774" i="12"/>
  <c r="M3774" i="12" s="1"/>
  <c r="H3774" i="12"/>
  <c r="N3774" i="12"/>
  <c r="O3774" i="12"/>
  <c r="P3774" i="12"/>
  <c r="Q3774" i="12"/>
  <c r="F3775" i="12"/>
  <c r="E3775" i="12" s="1"/>
  <c r="G3775" i="12"/>
  <c r="K3775" i="12" s="1"/>
  <c r="H3775" i="12"/>
  <c r="N3775" i="12"/>
  <c r="O3775" i="12"/>
  <c r="P3775" i="12"/>
  <c r="Q3775" i="12"/>
  <c r="F3776" i="12"/>
  <c r="E3776" i="12" s="1"/>
  <c r="G3776" i="12"/>
  <c r="I3776" i="12" s="1"/>
  <c r="H3776" i="12"/>
  <c r="N3776" i="12"/>
  <c r="O3776" i="12"/>
  <c r="P3776" i="12"/>
  <c r="Q3776" i="12"/>
  <c r="F3777" i="12"/>
  <c r="G3777" i="12"/>
  <c r="L3777" i="12" s="1"/>
  <c r="H3777" i="12"/>
  <c r="N3777" i="12"/>
  <c r="O3777" i="12"/>
  <c r="P3777" i="12"/>
  <c r="Q3777" i="12"/>
  <c r="F3778" i="12"/>
  <c r="D3778" i="12" s="1"/>
  <c r="G3778" i="12"/>
  <c r="I3778" i="12" s="1"/>
  <c r="H3778" i="12"/>
  <c r="N3778" i="12"/>
  <c r="O3778" i="12"/>
  <c r="P3778" i="12"/>
  <c r="Q3778" i="12"/>
  <c r="F3779" i="12"/>
  <c r="E3779" i="12" s="1"/>
  <c r="G3779" i="12"/>
  <c r="H3779" i="12"/>
  <c r="N3779" i="12"/>
  <c r="O3779" i="12"/>
  <c r="P3779" i="12"/>
  <c r="Q3779" i="12"/>
  <c r="F3780" i="12"/>
  <c r="E3780" i="12" s="1"/>
  <c r="G3780" i="12"/>
  <c r="I3780" i="12" s="1"/>
  <c r="H3780" i="12"/>
  <c r="N3780" i="12"/>
  <c r="O3780" i="12"/>
  <c r="P3780" i="12"/>
  <c r="Q3780" i="12"/>
  <c r="F3781" i="12"/>
  <c r="G3781" i="12"/>
  <c r="I3781" i="12" s="1"/>
  <c r="H3781" i="12"/>
  <c r="N3781" i="12"/>
  <c r="O3781" i="12"/>
  <c r="P3781" i="12"/>
  <c r="Q3781" i="12"/>
  <c r="F3782" i="12"/>
  <c r="D3782" i="12" s="1"/>
  <c r="G3782" i="12"/>
  <c r="K3782" i="12" s="1"/>
  <c r="H3782" i="12"/>
  <c r="N3782" i="12"/>
  <c r="O3782" i="12"/>
  <c r="P3782" i="12"/>
  <c r="Q3782" i="12"/>
  <c r="F3783" i="12"/>
  <c r="G3783" i="12"/>
  <c r="K3783" i="12" s="1"/>
  <c r="H3783" i="12"/>
  <c r="N3783" i="12"/>
  <c r="O3783" i="12"/>
  <c r="P3783" i="12"/>
  <c r="Q3783" i="12"/>
  <c r="F3784" i="12"/>
  <c r="E3784" i="12" s="1"/>
  <c r="G3784" i="12"/>
  <c r="I3784" i="12" s="1"/>
  <c r="H3784" i="12"/>
  <c r="N3784" i="12"/>
  <c r="O3784" i="12"/>
  <c r="P3784" i="12"/>
  <c r="Q3784" i="12"/>
  <c r="F3785" i="12"/>
  <c r="G3785" i="12"/>
  <c r="H3785" i="12"/>
  <c r="N3785" i="12"/>
  <c r="O3785" i="12"/>
  <c r="P3785" i="12"/>
  <c r="Q3785" i="12"/>
  <c r="F3786" i="12"/>
  <c r="G3786" i="12"/>
  <c r="I3786" i="12" s="1"/>
  <c r="H3786" i="12"/>
  <c r="N3786" i="12"/>
  <c r="O3786" i="12"/>
  <c r="P3786" i="12"/>
  <c r="Q3786" i="12"/>
  <c r="F3787" i="12"/>
  <c r="G3787" i="12"/>
  <c r="K3787" i="12" s="1"/>
  <c r="H3787" i="12"/>
  <c r="N3787" i="12"/>
  <c r="O3787" i="12"/>
  <c r="P3787" i="12"/>
  <c r="Q3787" i="12"/>
  <c r="F3788" i="12"/>
  <c r="E3788" i="12" s="1"/>
  <c r="G3788" i="12"/>
  <c r="J3788" i="12" s="1"/>
  <c r="H3788" i="12"/>
  <c r="N3788" i="12"/>
  <c r="O3788" i="12"/>
  <c r="P3788" i="12"/>
  <c r="Q3788" i="12"/>
  <c r="F3789" i="12"/>
  <c r="G3789" i="12"/>
  <c r="L3789" i="12" s="1"/>
  <c r="H3789" i="12"/>
  <c r="N3789" i="12"/>
  <c r="O3789" i="12"/>
  <c r="P3789" i="12"/>
  <c r="Q3789" i="12"/>
  <c r="F3790" i="12"/>
  <c r="G3790" i="12"/>
  <c r="L3790" i="12" s="1"/>
  <c r="H3790" i="12"/>
  <c r="N3790" i="12"/>
  <c r="O3790" i="12"/>
  <c r="P3790" i="12"/>
  <c r="Q3790" i="12"/>
  <c r="F3791" i="12"/>
  <c r="G3791" i="12"/>
  <c r="H3791" i="12"/>
  <c r="N3791" i="12"/>
  <c r="O3791" i="12"/>
  <c r="P3791" i="12"/>
  <c r="Q3791" i="12"/>
  <c r="F3792" i="12"/>
  <c r="E3792" i="12" s="1"/>
  <c r="G3792" i="12"/>
  <c r="J3792" i="12" s="1"/>
  <c r="H3792" i="12"/>
  <c r="N3792" i="12"/>
  <c r="O3792" i="12"/>
  <c r="P3792" i="12"/>
  <c r="Q3792" i="12"/>
  <c r="F3793" i="12"/>
  <c r="G3793" i="12"/>
  <c r="H3793" i="12"/>
  <c r="N3793" i="12"/>
  <c r="O3793" i="12"/>
  <c r="P3793" i="12"/>
  <c r="Q3793" i="12"/>
  <c r="F3794" i="12"/>
  <c r="G3794" i="12"/>
  <c r="J3794" i="12" s="1"/>
  <c r="H3794" i="12"/>
  <c r="N3794" i="12"/>
  <c r="O3794" i="12"/>
  <c r="P3794" i="12"/>
  <c r="Q3794" i="12"/>
  <c r="F3795" i="12"/>
  <c r="G3795" i="12"/>
  <c r="K3795" i="12" s="1"/>
  <c r="H3795" i="12"/>
  <c r="N3795" i="12"/>
  <c r="O3795" i="12"/>
  <c r="P3795" i="12"/>
  <c r="Q3795" i="12"/>
  <c r="F3796" i="12"/>
  <c r="E3796" i="12" s="1"/>
  <c r="G3796" i="12"/>
  <c r="J3796" i="12" s="1"/>
  <c r="H3796" i="12"/>
  <c r="N3796" i="12"/>
  <c r="O3796" i="12"/>
  <c r="P3796" i="12"/>
  <c r="Q3796" i="12"/>
  <c r="F3797" i="12"/>
  <c r="G3797" i="12"/>
  <c r="I3797" i="12" s="1"/>
  <c r="H3797" i="12"/>
  <c r="N3797" i="12"/>
  <c r="O3797" i="12"/>
  <c r="P3797" i="12"/>
  <c r="Q3797" i="12"/>
  <c r="F3798" i="12"/>
  <c r="G3798" i="12"/>
  <c r="M3798" i="12" s="1"/>
  <c r="H3798" i="12"/>
  <c r="N3798" i="12"/>
  <c r="O3798" i="12"/>
  <c r="P3798" i="12"/>
  <c r="Q3798" i="12"/>
  <c r="F3799" i="12"/>
  <c r="E3799" i="12" s="1"/>
  <c r="G3799" i="12"/>
  <c r="H3799" i="12"/>
  <c r="N3799" i="12"/>
  <c r="O3799" i="12"/>
  <c r="P3799" i="12"/>
  <c r="Q3799" i="12"/>
  <c r="F3800" i="12"/>
  <c r="G3800" i="12"/>
  <c r="J3800" i="12" s="1"/>
  <c r="H3800" i="12"/>
  <c r="N3800" i="12"/>
  <c r="O3800" i="12"/>
  <c r="P3800" i="12"/>
  <c r="Q3800" i="12"/>
  <c r="F3801" i="12"/>
  <c r="G3801" i="12"/>
  <c r="J3801" i="12" s="1"/>
  <c r="H3801" i="12"/>
  <c r="N3801" i="12"/>
  <c r="O3801" i="12"/>
  <c r="P3801" i="12"/>
  <c r="Q3801" i="12"/>
  <c r="F3802" i="12"/>
  <c r="E3802" i="12" s="1"/>
  <c r="G3802" i="12"/>
  <c r="K3802" i="12" s="1"/>
  <c r="H3802" i="12"/>
  <c r="N3802" i="12"/>
  <c r="O3802" i="12"/>
  <c r="P3802" i="12"/>
  <c r="Q3802" i="12"/>
  <c r="F3803" i="12"/>
  <c r="G3803" i="12"/>
  <c r="H3803" i="12"/>
  <c r="N3803" i="12"/>
  <c r="O3803" i="12"/>
  <c r="P3803" i="12"/>
  <c r="Q3803" i="12"/>
  <c r="F3804" i="12"/>
  <c r="G3804" i="12"/>
  <c r="H3804" i="12"/>
  <c r="N3804" i="12"/>
  <c r="O3804" i="12"/>
  <c r="P3804" i="12"/>
  <c r="Q3804" i="12"/>
  <c r="F3805" i="12"/>
  <c r="G3805" i="12"/>
  <c r="K3805" i="12" s="1"/>
  <c r="H3805" i="12"/>
  <c r="N3805" i="12"/>
  <c r="O3805" i="12"/>
  <c r="P3805" i="12"/>
  <c r="Q3805" i="12"/>
  <c r="F3806" i="12"/>
  <c r="E3806" i="12" s="1"/>
  <c r="G3806" i="12"/>
  <c r="L3806" i="12" s="1"/>
  <c r="H3806" i="12"/>
  <c r="N3806" i="12"/>
  <c r="O3806" i="12"/>
  <c r="P3806" i="12"/>
  <c r="Q3806" i="12"/>
  <c r="F3807" i="12"/>
  <c r="E3807" i="12" s="1"/>
  <c r="G3807" i="12"/>
  <c r="H3807" i="12"/>
  <c r="N3807" i="12"/>
  <c r="O3807" i="12"/>
  <c r="P3807" i="12"/>
  <c r="Q3807" i="12"/>
  <c r="F3808" i="12"/>
  <c r="G3808" i="12"/>
  <c r="I3808" i="12" s="1"/>
  <c r="H3808" i="12"/>
  <c r="N3808" i="12"/>
  <c r="O3808" i="12"/>
  <c r="P3808" i="12"/>
  <c r="Q3808" i="12"/>
  <c r="F3809" i="12"/>
  <c r="G3809" i="12"/>
  <c r="I3809" i="12" s="1"/>
  <c r="H3809" i="12"/>
  <c r="N3809" i="12"/>
  <c r="O3809" i="12"/>
  <c r="P3809" i="12"/>
  <c r="Q3809" i="12"/>
  <c r="F3810" i="12"/>
  <c r="D3810" i="12" s="1"/>
  <c r="G3810" i="12"/>
  <c r="H3810" i="12"/>
  <c r="N3810" i="12"/>
  <c r="O3810" i="12"/>
  <c r="P3810" i="12"/>
  <c r="Q3810" i="12"/>
  <c r="F3811" i="12"/>
  <c r="E3811" i="12" s="1"/>
  <c r="G3811" i="12"/>
  <c r="H3811" i="12"/>
  <c r="N3811" i="12"/>
  <c r="O3811" i="12"/>
  <c r="P3811" i="12"/>
  <c r="Q3811" i="12"/>
  <c r="F3812" i="12"/>
  <c r="E3812" i="12" s="1"/>
  <c r="G3812" i="12"/>
  <c r="H3812" i="12"/>
  <c r="N3812" i="12"/>
  <c r="O3812" i="12"/>
  <c r="P3812" i="12"/>
  <c r="Q3812" i="12"/>
  <c r="F3813" i="12"/>
  <c r="G3813" i="12"/>
  <c r="H3813" i="12"/>
  <c r="N3813" i="12"/>
  <c r="O3813" i="12"/>
  <c r="P3813" i="12"/>
  <c r="Q3813" i="12"/>
  <c r="F3814" i="12"/>
  <c r="D3814" i="12" s="1"/>
  <c r="G3814" i="12"/>
  <c r="H3814" i="12"/>
  <c r="N3814" i="12"/>
  <c r="O3814" i="12"/>
  <c r="P3814" i="12"/>
  <c r="Q3814" i="12"/>
  <c r="F3815" i="12"/>
  <c r="E3815" i="12" s="1"/>
  <c r="G3815" i="12"/>
  <c r="K3815" i="12" s="1"/>
  <c r="H3815" i="12"/>
  <c r="N3815" i="12"/>
  <c r="O3815" i="12"/>
  <c r="P3815" i="12"/>
  <c r="Q3815" i="12"/>
  <c r="F3816" i="12"/>
  <c r="E3816" i="12" s="1"/>
  <c r="G3816" i="12"/>
  <c r="H3816" i="12"/>
  <c r="N3816" i="12"/>
  <c r="O3816" i="12"/>
  <c r="P3816" i="12"/>
  <c r="Q3816" i="12"/>
  <c r="F3817" i="12"/>
  <c r="G3817" i="12"/>
  <c r="J3817" i="12" s="1"/>
  <c r="H3817" i="12"/>
  <c r="N3817" i="12"/>
  <c r="O3817" i="12"/>
  <c r="P3817" i="12"/>
  <c r="Q3817" i="12"/>
  <c r="F3818" i="12"/>
  <c r="D3818" i="12" s="1"/>
  <c r="G3818" i="12"/>
  <c r="I3818" i="12" s="1"/>
  <c r="H3818" i="12"/>
  <c r="N3818" i="12"/>
  <c r="O3818" i="12"/>
  <c r="P3818" i="12"/>
  <c r="Q3818" i="12"/>
  <c r="F3819" i="12"/>
  <c r="G3819" i="12"/>
  <c r="J3819" i="12" s="1"/>
  <c r="H3819" i="12"/>
  <c r="N3819" i="12"/>
  <c r="O3819" i="12"/>
  <c r="P3819" i="12"/>
  <c r="Q3819" i="12"/>
  <c r="F3820" i="12"/>
  <c r="G3820" i="12"/>
  <c r="H3820" i="12"/>
  <c r="N3820" i="12"/>
  <c r="O3820" i="12"/>
  <c r="P3820" i="12"/>
  <c r="Q3820" i="12"/>
  <c r="F3821" i="12"/>
  <c r="G3821" i="12"/>
  <c r="H3821" i="12"/>
  <c r="N3821" i="12"/>
  <c r="O3821" i="12"/>
  <c r="P3821" i="12"/>
  <c r="Q3821" i="12"/>
  <c r="F3822" i="12"/>
  <c r="E3822" i="12" s="1"/>
  <c r="G3822" i="12"/>
  <c r="J3822" i="12" s="1"/>
  <c r="H3822" i="12"/>
  <c r="N3822" i="12"/>
  <c r="O3822" i="12"/>
  <c r="P3822" i="12"/>
  <c r="Q3822" i="12"/>
  <c r="F3823" i="12"/>
  <c r="E3823" i="12" s="1"/>
  <c r="G3823" i="12"/>
  <c r="L3823" i="12" s="1"/>
  <c r="H3823" i="12"/>
  <c r="N3823" i="12"/>
  <c r="O3823" i="12"/>
  <c r="P3823" i="12"/>
  <c r="Q3823" i="12"/>
  <c r="F3824" i="12"/>
  <c r="G3824" i="12"/>
  <c r="K3824" i="12" s="1"/>
  <c r="H3824" i="12"/>
  <c r="N3824" i="12"/>
  <c r="O3824" i="12"/>
  <c r="P3824" i="12"/>
  <c r="Q3824" i="12"/>
  <c r="F3825" i="12"/>
  <c r="G3825" i="12"/>
  <c r="K3825" i="12" s="1"/>
  <c r="H3825" i="12"/>
  <c r="N3825" i="12"/>
  <c r="O3825" i="12"/>
  <c r="P3825" i="12"/>
  <c r="Q3825" i="12"/>
  <c r="F3826" i="12"/>
  <c r="E3826" i="12" s="1"/>
  <c r="G3826" i="12"/>
  <c r="M3826" i="12" s="1"/>
  <c r="H3826" i="12"/>
  <c r="N3826" i="12"/>
  <c r="O3826" i="12"/>
  <c r="P3826" i="12"/>
  <c r="Q3826" i="12"/>
  <c r="F3827" i="12"/>
  <c r="G3827" i="12"/>
  <c r="H3827" i="12"/>
  <c r="N3827" i="12"/>
  <c r="O3827" i="12"/>
  <c r="P3827" i="12"/>
  <c r="Q3827" i="12"/>
  <c r="F3828" i="12"/>
  <c r="E3828" i="12" s="1"/>
  <c r="G3828" i="12"/>
  <c r="K3828" i="12" s="1"/>
  <c r="H3828" i="12"/>
  <c r="N3828" i="12"/>
  <c r="O3828" i="12"/>
  <c r="P3828" i="12"/>
  <c r="Q3828" i="12"/>
  <c r="F3829" i="12"/>
  <c r="G3829" i="12"/>
  <c r="K3829" i="12" s="1"/>
  <c r="H3829" i="12"/>
  <c r="N3829" i="12"/>
  <c r="O3829" i="12"/>
  <c r="P3829" i="12"/>
  <c r="Q3829" i="12"/>
  <c r="F3830" i="12"/>
  <c r="E3830" i="12" s="1"/>
  <c r="G3830" i="12"/>
  <c r="H3830" i="12"/>
  <c r="N3830" i="12"/>
  <c r="O3830" i="12"/>
  <c r="P3830" i="12"/>
  <c r="Q3830" i="12"/>
  <c r="F3831" i="12"/>
  <c r="G3831" i="12"/>
  <c r="H3831" i="12"/>
  <c r="N3831" i="12"/>
  <c r="O3831" i="12"/>
  <c r="P3831" i="12"/>
  <c r="Q3831" i="12"/>
  <c r="F3832" i="12"/>
  <c r="G3832" i="12"/>
  <c r="J3832" i="12" s="1"/>
  <c r="H3832" i="12"/>
  <c r="N3832" i="12"/>
  <c r="O3832" i="12"/>
  <c r="P3832" i="12"/>
  <c r="Q3832" i="12"/>
  <c r="F3833" i="12"/>
  <c r="G3833" i="12"/>
  <c r="L3833" i="12" s="1"/>
  <c r="H3833" i="12"/>
  <c r="N3833" i="12"/>
  <c r="O3833" i="12"/>
  <c r="P3833" i="12"/>
  <c r="Q3833" i="12"/>
  <c r="F3834" i="12"/>
  <c r="E3834" i="12" s="1"/>
  <c r="G3834" i="12"/>
  <c r="J3834" i="12" s="1"/>
  <c r="H3834" i="12"/>
  <c r="N3834" i="12"/>
  <c r="O3834" i="12"/>
  <c r="P3834" i="12"/>
  <c r="Q3834" i="12"/>
  <c r="F3835" i="12"/>
  <c r="G3835" i="12"/>
  <c r="J3835" i="12" s="1"/>
  <c r="H3835" i="12"/>
  <c r="N3835" i="12"/>
  <c r="O3835" i="12"/>
  <c r="P3835" i="12"/>
  <c r="Q3835" i="12"/>
  <c r="F3836" i="12"/>
  <c r="E3836" i="12" s="1"/>
  <c r="G3836" i="12"/>
  <c r="L3836" i="12" s="1"/>
  <c r="H3836" i="12"/>
  <c r="N3836" i="12"/>
  <c r="O3836" i="12"/>
  <c r="P3836" i="12"/>
  <c r="Q3836" i="12"/>
  <c r="F3837" i="12"/>
  <c r="G3837" i="12"/>
  <c r="H3837" i="12"/>
  <c r="N3837" i="12"/>
  <c r="O3837" i="12"/>
  <c r="P3837" i="12"/>
  <c r="Q3837" i="12"/>
  <c r="F3838" i="12"/>
  <c r="D3838" i="12" s="1"/>
  <c r="G3838" i="12"/>
  <c r="I3838" i="12" s="1"/>
  <c r="H3838" i="12"/>
  <c r="N3838" i="12"/>
  <c r="O3838" i="12"/>
  <c r="P3838" i="12"/>
  <c r="Q3838" i="12"/>
  <c r="F3839" i="12"/>
  <c r="E3839" i="12" s="1"/>
  <c r="G3839" i="12"/>
  <c r="J3839" i="12" s="1"/>
  <c r="H3839" i="12"/>
  <c r="N3839" i="12"/>
  <c r="O3839" i="12"/>
  <c r="P3839" i="12"/>
  <c r="Q3839" i="12"/>
  <c r="F3840" i="12"/>
  <c r="G3840" i="12"/>
  <c r="J3840" i="12" s="1"/>
  <c r="H3840" i="12"/>
  <c r="N3840" i="12"/>
  <c r="O3840" i="12"/>
  <c r="P3840" i="12"/>
  <c r="Q3840" i="12"/>
  <c r="F3841" i="12"/>
  <c r="G3841" i="12"/>
  <c r="H3841" i="12"/>
  <c r="N3841" i="12"/>
  <c r="O3841" i="12"/>
  <c r="P3841" i="12"/>
  <c r="Q3841" i="12"/>
  <c r="F3842" i="12"/>
  <c r="E3842" i="12" s="1"/>
  <c r="G3842" i="12"/>
  <c r="H3842" i="12"/>
  <c r="N3842" i="12"/>
  <c r="O3842" i="12"/>
  <c r="P3842" i="12"/>
  <c r="Q3842" i="12"/>
  <c r="F3843" i="12"/>
  <c r="G3843" i="12"/>
  <c r="J3843" i="12" s="1"/>
  <c r="H3843" i="12"/>
  <c r="N3843" i="12"/>
  <c r="O3843" i="12"/>
  <c r="P3843" i="12"/>
  <c r="Q3843" i="12"/>
  <c r="F3844" i="12"/>
  <c r="E3844" i="12" s="1"/>
  <c r="G3844" i="12"/>
  <c r="L3844" i="12" s="1"/>
  <c r="H3844" i="12"/>
  <c r="N3844" i="12"/>
  <c r="O3844" i="12"/>
  <c r="P3844" i="12"/>
  <c r="Q3844" i="12"/>
  <c r="F3845" i="12"/>
  <c r="G3845" i="12"/>
  <c r="I3845" i="12" s="1"/>
  <c r="H3845" i="12"/>
  <c r="N3845" i="12"/>
  <c r="O3845" i="12"/>
  <c r="P3845" i="12"/>
  <c r="Q3845" i="12"/>
  <c r="F3846" i="12"/>
  <c r="G3846" i="12"/>
  <c r="J3846" i="12" s="1"/>
  <c r="H3846" i="12"/>
  <c r="N3846" i="12"/>
  <c r="O3846" i="12"/>
  <c r="P3846" i="12"/>
  <c r="Q3846" i="12"/>
  <c r="F3847" i="12"/>
  <c r="G3847" i="12"/>
  <c r="L3847" i="12" s="1"/>
  <c r="H3847" i="12"/>
  <c r="N3847" i="12"/>
  <c r="O3847" i="12"/>
  <c r="P3847" i="12"/>
  <c r="Q3847" i="12"/>
  <c r="F3848" i="12"/>
  <c r="G3848" i="12"/>
  <c r="H3848" i="12"/>
  <c r="N3848" i="12"/>
  <c r="O3848" i="12"/>
  <c r="P3848" i="12"/>
  <c r="Q3848" i="12"/>
  <c r="F3849" i="12"/>
  <c r="E3849" i="12" s="1"/>
  <c r="G3849" i="12"/>
  <c r="H3849" i="12"/>
  <c r="N3849" i="12"/>
  <c r="O3849" i="12"/>
  <c r="P3849" i="12"/>
  <c r="Q3849" i="12"/>
  <c r="F3850" i="12"/>
  <c r="D3850" i="12" s="1"/>
  <c r="G3850" i="12"/>
  <c r="J3850" i="12" s="1"/>
  <c r="H3850" i="12"/>
  <c r="N3850" i="12"/>
  <c r="O3850" i="12"/>
  <c r="P3850" i="12"/>
  <c r="Q3850" i="12"/>
  <c r="F3851" i="12"/>
  <c r="G3851" i="12"/>
  <c r="H3851" i="12"/>
  <c r="N3851" i="12"/>
  <c r="O3851" i="12"/>
  <c r="P3851" i="12"/>
  <c r="Q3851" i="12"/>
  <c r="F3852" i="12"/>
  <c r="D3852" i="12" s="1"/>
  <c r="G3852" i="12"/>
  <c r="H3852" i="12"/>
  <c r="N3852" i="12"/>
  <c r="O3852" i="12"/>
  <c r="P3852" i="12"/>
  <c r="Q3852" i="12"/>
  <c r="F3853" i="12"/>
  <c r="G3853" i="12"/>
  <c r="J3853" i="12" s="1"/>
  <c r="H3853" i="12"/>
  <c r="N3853" i="12"/>
  <c r="O3853" i="12"/>
  <c r="P3853" i="12"/>
  <c r="Q3853" i="12"/>
  <c r="F3854" i="12"/>
  <c r="D3854" i="12" s="1"/>
  <c r="G3854" i="12"/>
  <c r="H3854" i="12"/>
  <c r="N3854" i="12"/>
  <c r="O3854" i="12"/>
  <c r="P3854" i="12"/>
  <c r="Q3854" i="12"/>
  <c r="F3855" i="12"/>
  <c r="G3855" i="12"/>
  <c r="L3855" i="12" s="1"/>
  <c r="H3855" i="12"/>
  <c r="N3855" i="12"/>
  <c r="O3855" i="12"/>
  <c r="P3855" i="12"/>
  <c r="Q3855" i="12"/>
  <c r="F3856" i="12"/>
  <c r="D3856" i="12" s="1"/>
  <c r="G3856" i="12"/>
  <c r="I3856" i="12" s="1"/>
  <c r="H3856" i="12"/>
  <c r="N3856" i="12"/>
  <c r="O3856" i="12"/>
  <c r="P3856" i="12"/>
  <c r="Q3856" i="12"/>
  <c r="F3857" i="12"/>
  <c r="E3857" i="12" s="1"/>
  <c r="G3857" i="12"/>
  <c r="H3857" i="12"/>
  <c r="N3857" i="12"/>
  <c r="O3857" i="12"/>
  <c r="P3857" i="12"/>
  <c r="Q3857" i="12"/>
  <c r="F3858" i="12"/>
  <c r="G3858" i="12"/>
  <c r="K3858" i="12" s="1"/>
  <c r="H3858" i="12"/>
  <c r="N3858" i="12"/>
  <c r="O3858" i="12"/>
  <c r="P3858" i="12"/>
  <c r="Q3858" i="12"/>
  <c r="F3859" i="12"/>
  <c r="E3859" i="12" s="1"/>
  <c r="G3859" i="12"/>
  <c r="H3859" i="12"/>
  <c r="N3859" i="12"/>
  <c r="O3859" i="12"/>
  <c r="P3859" i="12"/>
  <c r="Q3859" i="12"/>
  <c r="F3860" i="12"/>
  <c r="E3860" i="12" s="1"/>
  <c r="G3860" i="12"/>
  <c r="J3860" i="12" s="1"/>
  <c r="H3860" i="12"/>
  <c r="N3860" i="12"/>
  <c r="O3860" i="12"/>
  <c r="P3860" i="12"/>
  <c r="Q3860" i="12"/>
  <c r="F3861" i="12"/>
  <c r="G3861" i="12"/>
  <c r="J3861" i="12" s="1"/>
  <c r="H3861" i="12"/>
  <c r="N3861" i="12"/>
  <c r="O3861" i="12"/>
  <c r="P3861" i="12"/>
  <c r="Q3861" i="12"/>
  <c r="F3862" i="12"/>
  <c r="G3862" i="12"/>
  <c r="K3862" i="12" s="1"/>
  <c r="H3862" i="12"/>
  <c r="N3862" i="12"/>
  <c r="O3862" i="12"/>
  <c r="P3862" i="12"/>
  <c r="Q3862" i="12"/>
  <c r="F3863" i="12"/>
  <c r="E3863" i="12" s="1"/>
  <c r="G3863" i="12"/>
  <c r="J3863" i="12" s="1"/>
  <c r="H3863" i="12"/>
  <c r="N3863" i="12"/>
  <c r="O3863" i="12"/>
  <c r="P3863" i="12"/>
  <c r="Q3863" i="12"/>
  <c r="F3864" i="12"/>
  <c r="E3864" i="12" s="1"/>
  <c r="G3864" i="12"/>
  <c r="K3864" i="12" s="1"/>
  <c r="H3864" i="12"/>
  <c r="N3864" i="12"/>
  <c r="O3864" i="12"/>
  <c r="P3864" i="12"/>
  <c r="Q3864" i="12"/>
  <c r="F3865" i="12"/>
  <c r="E3865" i="12" s="1"/>
  <c r="G3865" i="12"/>
  <c r="J3865" i="12" s="1"/>
  <c r="H3865" i="12"/>
  <c r="N3865" i="12"/>
  <c r="O3865" i="12"/>
  <c r="P3865" i="12"/>
  <c r="Q3865" i="12"/>
  <c r="F3866" i="12"/>
  <c r="D3866" i="12" s="1"/>
  <c r="G3866" i="12"/>
  <c r="H3866" i="12"/>
  <c r="N3866" i="12"/>
  <c r="O3866" i="12"/>
  <c r="P3866" i="12"/>
  <c r="Q3866" i="12"/>
  <c r="F3867" i="12"/>
  <c r="E3867" i="12" s="1"/>
  <c r="G3867" i="12"/>
  <c r="J3867" i="12" s="1"/>
  <c r="H3867" i="12"/>
  <c r="N3867" i="12"/>
  <c r="O3867" i="12"/>
  <c r="P3867" i="12"/>
  <c r="Q3867" i="12"/>
  <c r="F3868" i="12"/>
  <c r="D3868" i="12" s="1"/>
  <c r="G3868" i="12"/>
  <c r="J3868" i="12" s="1"/>
  <c r="H3868" i="12"/>
  <c r="N3868" i="12"/>
  <c r="O3868" i="12"/>
  <c r="P3868" i="12"/>
  <c r="Q3868" i="12"/>
  <c r="F3869" i="12"/>
  <c r="E3869" i="12" s="1"/>
  <c r="G3869" i="12"/>
  <c r="L3869" i="12" s="1"/>
  <c r="H3869" i="12"/>
  <c r="N3869" i="12"/>
  <c r="O3869" i="12"/>
  <c r="P3869" i="12"/>
  <c r="Q3869" i="12"/>
  <c r="F3870" i="12"/>
  <c r="G3870" i="12"/>
  <c r="H3870" i="12"/>
  <c r="N3870" i="12"/>
  <c r="O3870" i="12"/>
  <c r="P3870" i="12"/>
  <c r="Q3870" i="12"/>
  <c r="F3871" i="12"/>
  <c r="G3871" i="12"/>
  <c r="J3871" i="12" s="1"/>
  <c r="H3871" i="12"/>
  <c r="N3871" i="12"/>
  <c r="O3871" i="12"/>
  <c r="P3871" i="12"/>
  <c r="Q3871" i="12"/>
  <c r="F3872" i="12"/>
  <c r="G3872" i="12"/>
  <c r="J3872" i="12" s="1"/>
  <c r="H3872" i="12"/>
  <c r="N3872" i="12"/>
  <c r="O3872" i="12"/>
  <c r="P3872" i="12"/>
  <c r="Q3872" i="12"/>
  <c r="F3873" i="12"/>
  <c r="G3873" i="12"/>
  <c r="J3873" i="12" s="1"/>
  <c r="H3873" i="12"/>
  <c r="N3873" i="12"/>
  <c r="O3873" i="12"/>
  <c r="P3873" i="12"/>
  <c r="Q3873" i="12"/>
  <c r="F3874" i="12"/>
  <c r="G3874" i="12"/>
  <c r="H3874" i="12"/>
  <c r="N3874" i="12"/>
  <c r="O3874" i="12"/>
  <c r="P3874" i="12"/>
  <c r="Q3874" i="12"/>
  <c r="F3875" i="12"/>
  <c r="E3875" i="12" s="1"/>
  <c r="G3875" i="12"/>
  <c r="J3875" i="12" s="1"/>
  <c r="H3875" i="12"/>
  <c r="N3875" i="12"/>
  <c r="O3875" i="12"/>
  <c r="P3875" i="12"/>
  <c r="Q3875" i="12"/>
  <c r="F3876" i="12"/>
  <c r="D3876" i="12" s="1"/>
  <c r="G3876" i="12"/>
  <c r="K3876" i="12" s="1"/>
  <c r="H3876" i="12"/>
  <c r="N3876" i="12"/>
  <c r="O3876" i="12"/>
  <c r="P3876" i="12"/>
  <c r="Q3876" i="12"/>
  <c r="F3877" i="12"/>
  <c r="E3877" i="12" s="1"/>
  <c r="G3877" i="12"/>
  <c r="J3877" i="12" s="1"/>
  <c r="H3877" i="12"/>
  <c r="N3877" i="12"/>
  <c r="O3877" i="12"/>
  <c r="P3877" i="12"/>
  <c r="Q3877" i="12"/>
  <c r="F3878" i="12"/>
  <c r="D3878" i="12" s="1"/>
  <c r="G3878" i="12"/>
  <c r="K3878" i="12" s="1"/>
  <c r="H3878" i="12"/>
  <c r="N3878" i="12"/>
  <c r="O3878" i="12"/>
  <c r="P3878" i="12"/>
  <c r="Q3878" i="12"/>
  <c r="F3879" i="12"/>
  <c r="E3879" i="12" s="1"/>
  <c r="G3879" i="12"/>
  <c r="M3879" i="12" s="1"/>
  <c r="H3879" i="12"/>
  <c r="N3879" i="12"/>
  <c r="O3879" i="12"/>
  <c r="P3879" i="12"/>
  <c r="Q3879" i="12"/>
  <c r="F3880" i="12"/>
  <c r="D3880" i="12" s="1"/>
  <c r="G3880" i="12"/>
  <c r="H3880" i="12"/>
  <c r="N3880" i="12"/>
  <c r="O3880" i="12"/>
  <c r="P3880" i="12"/>
  <c r="Q3880" i="12"/>
  <c r="F3881" i="12"/>
  <c r="D3881" i="12" s="1"/>
  <c r="G3881" i="12"/>
  <c r="I3881" i="12" s="1"/>
  <c r="H3881" i="12"/>
  <c r="N3881" i="12"/>
  <c r="O3881" i="12"/>
  <c r="P3881" i="12"/>
  <c r="Q3881" i="12"/>
  <c r="F3882" i="12"/>
  <c r="G3882" i="12"/>
  <c r="K3882" i="12" s="1"/>
  <c r="H3882" i="12"/>
  <c r="N3882" i="12"/>
  <c r="O3882" i="12"/>
  <c r="P3882" i="12"/>
  <c r="Q3882" i="12"/>
  <c r="F3883" i="12"/>
  <c r="E3883" i="12" s="1"/>
  <c r="G3883" i="12"/>
  <c r="H3883" i="12"/>
  <c r="N3883" i="12"/>
  <c r="O3883" i="12"/>
  <c r="P3883" i="12"/>
  <c r="Q3883" i="12"/>
  <c r="F3884" i="12"/>
  <c r="G3884" i="12"/>
  <c r="H3884" i="12"/>
  <c r="N3884" i="12"/>
  <c r="O3884" i="12"/>
  <c r="P3884" i="12"/>
  <c r="Q3884" i="12"/>
  <c r="F3885" i="12"/>
  <c r="E3885" i="12" s="1"/>
  <c r="G3885" i="12"/>
  <c r="H3885" i="12"/>
  <c r="N3885" i="12"/>
  <c r="O3885" i="12"/>
  <c r="P3885" i="12"/>
  <c r="Q3885" i="12"/>
  <c r="F3886" i="12"/>
  <c r="D3886" i="12" s="1"/>
  <c r="G3886" i="12"/>
  <c r="L3886" i="12" s="1"/>
  <c r="H3886" i="12"/>
  <c r="N3886" i="12"/>
  <c r="O3886" i="12"/>
  <c r="P3886" i="12"/>
  <c r="Q3886" i="12"/>
  <c r="F3887" i="12"/>
  <c r="D3887" i="12" s="1"/>
  <c r="G3887" i="12"/>
  <c r="H3887" i="12"/>
  <c r="N3887" i="12"/>
  <c r="O3887" i="12"/>
  <c r="P3887" i="12"/>
  <c r="Q3887" i="12"/>
  <c r="F3888" i="12"/>
  <c r="G3888" i="12"/>
  <c r="H3888" i="12"/>
  <c r="N3888" i="12"/>
  <c r="O3888" i="12"/>
  <c r="P3888" i="12"/>
  <c r="Q3888" i="12"/>
  <c r="F3889" i="12"/>
  <c r="E3889" i="12" s="1"/>
  <c r="G3889" i="12"/>
  <c r="H3889" i="12"/>
  <c r="N3889" i="12"/>
  <c r="O3889" i="12"/>
  <c r="P3889" i="12"/>
  <c r="Q3889" i="12"/>
  <c r="F3890" i="12"/>
  <c r="D3890" i="12" s="1"/>
  <c r="G3890" i="12"/>
  <c r="L3890" i="12" s="1"/>
  <c r="H3890" i="12"/>
  <c r="N3890" i="12"/>
  <c r="O3890" i="12"/>
  <c r="P3890" i="12"/>
  <c r="Q3890" i="12"/>
  <c r="F3891" i="12"/>
  <c r="D3891" i="12" s="1"/>
  <c r="G3891" i="12"/>
  <c r="H3891" i="12"/>
  <c r="N3891" i="12"/>
  <c r="O3891" i="12"/>
  <c r="P3891" i="12"/>
  <c r="Q3891" i="12"/>
  <c r="F3892" i="12"/>
  <c r="G3892" i="12"/>
  <c r="H3892" i="12"/>
  <c r="N3892" i="12"/>
  <c r="O3892" i="12"/>
  <c r="P3892" i="12"/>
  <c r="Q3892" i="12"/>
  <c r="F3893" i="12"/>
  <c r="E3893" i="12" s="1"/>
  <c r="G3893" i="12"/>
  <c r="I3893" i="12" s="1"/>
  <c r="H3893" i="12"/>
  <c r="N3893" i="12"/>
  <c r="O3893" i="12"/>
  <c r="P3893" i="12"/>
  <c r="Q3893" i="12"/>
  <c r="F3894" i="12"/>
  <c r="D3894" i="12" s="1"/>
  <c r="G3894" i="12"/>
  <c r="J3894" i="12" s="1"/>
  <c r="H3894" i="12"/>
  <c r="N3894" i="12"/>
  <c r="O3894" i="12"/>
  <c r="P3894" i="12"/>
  <c r="Q3894" i="12"/>
  <c r="F3895" i="12"/>
  <c r="E3895" i="12" s="1"/>
  <c r="G3895" i="12"/>
  <c r="H3895" i="12"/>
  <c r="N3895" i="12"/>
  <c r="O3895" i="12"/>
  <c r="P3895" i="12"/>
  <c r="Q3895" i="12"/>
  <c r="F3896" i="12"/>
  <c r="G3896" i="12"/>
  <c r="J3896" i="12" s="1"/>
  <c r="H3896" i="12"/>
  <c r="N3896" i="12"/>
  <c r="O3896" i="12"/>
  <c r="P3896" i="12"/>
  <c r="Q3896" i="12"/>
  <c r="F3897" i="12"/>
  <c r="E3897" i="12" s="1"/>
  <c r="G3897" i="12"/>
  <c r="K3897" i="12" s="1"/>
  <c r="H3897" i="12"/>
  <c r="N3897" i="12"/>
  <c r="O3897" i="12"/>
  <c r="P3897" i="12"/>
  <c r="Q3897" i="12"/>
  <c r="F3898" i="12"/>
  <c r="D3898" i="12" s="1"/>
  <c r="G3898" i="12"/>
  <c r="L3898" i="12" s="1"/>
  <c r="H3898" i="12"/>
  <c r="N3898" i="12"/>
  <c r="O3898" i="12"/>
  <c r="P3898" i="12"/>
  <c r="Q3898" i="12"/>
  <c r="F3899" i="12"/>
  <c r="D3899" i="12" s="1"/>
  <c r="G3899" i="12"/>
  <c r="M3899" i="12" s="1"/>
  <c r="H3899" i="12"/>
  <c r="N3899" i="12"/>
  <c r="O3899" i="12"/>
  <c r="P3899" i="12"/>
  <c r="Q3899" i="12"/>
  <c r="F3900" i="12"/>
  <c r="G3900" i="12"/>
  <c r="K3900" i="12" s="1"/>
  <c r="H3900" i="12"/>
  <c r="N3900" i="12"/>
  <c r="O3900" i="12"/>
  <c r="P3900" i="12"/>
  <c r="Q3900" i="12"/>
  <c r="F3901" i="12"/>
  <c r="E3901" i="12" s="1"/>
  <c r="G3901" i="12"/>
  <c r="H3901" i="12"/>
  <c r="N3901" i="12"/>
  <c r="O3901" i="12"/>
  <c r="P3901" i="12"/>
  <c r="Q3901" i="12"/>
  <c r="F3902" i="12"/>
  <c r="D3902" i="12" s="1"/>
  <c r="G3902" i="12"/>
  <c r="L3902" i="12" s="1"/>
  <c r="H3902" i="12"/>
  <c r="N3902" i="12"/>
  <c r="O3902" i="12"/>
  <c r="P3902" i="12"/>
  <c r="Q3902" i="12"/>
  <c r="F3903" i="12"/>
  <c r="G3903" i="12"/>
  <c r="M3903" i="12" s="1"/>
  <c r="H3903" i="12"/>
  <c r="N3903" i="12"/>
  <c r="O3903" i="12"/>
  <c r="P3903" i="12"/>
  <c r="Q3903" i="12"/>
  <c r="F3904" i="12"/>
  <c r="G3904" i="12"/>
  <c r="K3904" i="12" s="1"/>
  <c r="H3904" i="12"/>
  <c r="N3904" i="12"/>
  <c r="O3904" i="12"/>
  <c r="P3904" i="12"/>
  <c r="Q3904" i="12"/>
  <c r="F3905" i="12"/>
  <c r="E3905" i="12" s="1"/>
  <c r="G3905" i="12"/>
  <c r="H3905" i="12"/>
  <c r="N3905" i="12"/>
  <c r="O3905" i="12"/>
  <c r="P3905" i="12"/>
  <c r="Q3905" i="12"/>
  <c r="F3906" i="12"/>
  <c r="D3906" i="12" s="1"/>
  <c r="G3906" i="12"/>
  <c r="H3906" i="12"/>
  <c r="N3906" i="12"/>
  <c r="O3906" i="12"/>
  <c r="P3906" i="12"/>
  <c r="Q3906" i="12"/>
  <c r="F3907" i="12"/>
  <c r="E3907" i="12" s="1"/>
  <c r="G3907" i="12"/>
  <c r="M3907" i="12" s="1"/>
  <c r="H3907" i="12"/>
  <c r="N3907" i="12"/>
  <c r="O3907" i="12"/>
  <c r="P3907" i="12"/>
  <c r="Q3907" i="12"/>
  <c r="F3908" i="12"/>
  <c r="G3908" i="12"/>
  <c r="K3908" i="12" s="1"/>
  <c r="H3908" i="12"/>
  <c r="N3908" i="12"/>
  <c r="O3908" i="12"/>
  <c r="P3908" i="12"/>
  <c r="Q3908" i="12"/>
  <c r="F3909" i="12"/>
  <c r="E3909" i="12" s="1"/>
  <c r="G3909" i="12"/>
  <c r="K3909" i="12" s="1"/>
  <c r="H3909" i="12"/>
  <c r="N3909" i="12"/>
  <c r="O3909" i="12"/>
  <c r="P3909" i="12"/>
  <c r="Q3909" i="12"/>
  <c r="F3910" i="12"/>
  <c r="D3910" i="12" s="1"/>
  <c r="G3910" i="12"/>
  <c r="I3910" i="12" s="1"/>
  <c r="H3910" i="12"/>
  <c r="N3910" i="12"/>
  <c r="O3910" i="12"/>
  <c r="P3910" i="12"/>
  <c r="Q3910" i="12"/>
  <c r="F3911" i="12"/>
  <c r="E3911" i="12" s="1"/>
  <c r="G3911" i="12"/>
  <c r="H3911" i="12"/>
  <c r="N3911" i="12"/>
  <c r="O3911" i="12"/>
  <c r="P3911" i="12"/>
  <c r="Q3911" i="12"/>
  <c r="F3912" i="12"/>
  <c r="G3912" i="12"/>
  <c r="H3912" i="12"/>
  <c r="N3912" i="12"/>
  <c r="O3912" i="12"/>
  <c r="P3912" i="12"/>
  <c r="Q3912" i="12"/>
  <c r="F3913" i="12"/>
  <c r="E3913" i="12" s="1"/>
  <c r="G3913" i="12"/>
  <c r="I3913" i="12" s="1"/>
  <c r="H3913" i="12"/>
  <c r="N3913" i="12"/>
  <c r="O3913" i="12"/>
  <c r="P3913" i="12"/>
  <c r="Q3913" i="12"/>
  <c r="F3914" i="12"/>
  <c r="D3914" i="12" s="1"/>
  <c r="G3914" i="12"/>
  <c r="I3914" i="12" s="1"/>
  <c r="H3914" i="12"/>
  <c r="N3914" i="12"/>
  <c r="O3914" i="12"/>
  <c r="P3914" i="12"/>
  <c r="Q3914" i="12"/>
  <c r="F3915" i="12"/>
  <c r="E3915" i="12" s="1"/>
  <c r="G3915" i="12"/>
  <c r="M3915" i="12" s="1"/>
  <c r="H3915" i="12"/>
  <c r="N3915" i="12"/>
  <c r="O3915" i="12"/>
  <c r="P3915" i="12"/>
  <c r="Q3915" i="12"/>
  <c r="F3916" i="12"/>
  <c r="G3916" i="12"/>
  <c r="K3916" i="12" s="1"/>
  <c r="H3916" i="12"/>
  <c r="N3916" i="12"/>
  <c r="O3916" i="12"/>
  <c r="P3916" i="12"/>
  <c r="Q3916" i="12"/>
  <c r="F3917" i="12"/>
  <c r="E3917" i="12" s="1"/>
  <c r="G3917" i="12"/>
  <c r="K3917" i="12" s="1"/>
  <c r="H3917" i="12"/>
  <c r="N3917" i="12"/>
  <c r="O3917" i="12"/>
  <c r="P3917" i="12"/>
  <c r="Q3917" i="12"/>
  <c r="F3918" i="12"/>
  <c r="D3918" i="12" s="1"/>
  <c r="G3918" i="12"/>
  <c r="I3918" i="12" s="1"/>
  <c r="H3918" i="12"/>
  <c r="N3918" i="12"/>
  <c r="O3918" i="12"/>
  <c r="P3918" i="12"/>
  <c r="Q3918" i="12"/>
  <c r="F3919" i="12"/>
  <c r="D3919" i="12" s="1"/>
  <c r="G3919" i="12"/>
  <c r="M3919" i="12" s="1"/>
  <c r="H3919" i="12"/>
  <c r="N3919" i="12"/>
  <c r="O3919" i="12"/>
  <c r="P3919" i="12"/>
  <c r="Q3919" i="12"/>
  <c r="F3920" i="12"/>
  <c r="G3920" i="12"/>
  <c r="K3920" i="12" s="1"/>
  <c r="H3920" i="12"/>
  <c r="N3920" i="12"/>
  <c r="O3920" i="12"/>
  <c r="P3920" i="12"/>
  <c r="Q3920" i="12"/>
  <c r="F3921" i="12"/>
  <c r="E3921" i="12" s="1"/>
  <c r="G3921" i="12"/>
  <c r="H3921" i="12"/>
  <c r="N3921" i="12"/>
  <c r="O3921" i="12"/>
  <c r="P3921" i="12"/>
  <c r="Q3921" i="12"/>
  <c r="F3922" i="12"/>
  <c r="D3922" i="12" s="1"/>
  <c r="G3922" i="12"/>
  <c r="I3922" i="12" s="1"/>
  <c r="H3922" i="12"/>
  <c r="N3922" i="12"/>
  <c r="O3922" i="12"/>
  <c r="P3922" i="12"/>
  <c r="Q3922" i="12"/>
  <c r="F3923" i="12"/>
  <c r="G3923" i="12"/>
  <c r="M3923" i="12" s="1"/>
  <c r="H3923" i="12"/>
  <c r="N3923" i="12"/>
  <c r="O3923" i="12"/>
  <c r="P3923" i="12"/>
  <c r="Q3923" i="12"/>
  <c r="F3924" i="12"/>
  <c r="G3924" i="12"/>
  <c r="K3924" i="12" s="1"/>
  <c r="H3924" i="12"/>
  <c r="N3924" i="12"/>
  <c r="O3924" i="12"/>
  <c r="P3924" i="12"/>
  <c r="Q3924" i="12"/>
  <c r="F3925" i="12"/>
  <c r="E3925" i="12" s="1"/>
  <c r="G3925" i="12"/>
  <c r="M3925" i="12" s="1"/>
  <c r="H3925" i="12"/>
  <c r="N3925" i="12"/>
  <c r="O3925" i="12"/>
  <c r="P3925" i="12"/>
  <c r="Q3925" i="12"/>
  <c r="F3926" i="12"/>
  <c r="D3926" i="12" s="1"/>
  <c r="G3926" i="12"/>
  <c r="I3926" i="12" s="1"/>
  <c r="H3926" i="12"/>
  <c r="N3926" i="12"/>
  <c r="O3926" i="12"/>
  <c r="P3926" i="12"/>
  <c r="Q3926" i="12"/>
  <c r="F3927" i="12"/>
  <c r="E3927" i="12" s="1"/>
  <c r="G3927" i="12"/>
  <c r="M3927" i="12" s="1"/>
  <c r="H3927" i="12"/>
  <c r="N3927" i="12"/>
  <c r="O3927" i="12"/>
  <c r="P3927" i="12"/>
  <c r="Q3927" i="12"/>
  <c r="F3928" i="12"/>
  <c r="G3928" i="12"/>
  <c r="K3928" i="12" s="1"/>
  <c r="H3928" i="12"/>
  <c r="N3928" i="12"/>
  <c r="O3928" i="12"/>
  <c r="P3928" i="12"/>
  <c r="Q3928" i="12"/>
  <c r="F3929" i="12"/>
  <c r="E3929" i="12" s="1"/>
  <c r="G3929" i="12"/>
  <c r="J3929" i="12" s="1"/>
  <c r="H3929" i="12"/>
  <c r="N3929" i="12"/>
  <c r="O3929" i="12"/>
  <c r="P3929" i="12"/>
  <c r="Q3929" i="12"/>
  <c r="F3930" i="12"/>
  <c r="D3930" i="12" s="1"/>
  <c r="G3930" i="12"/>
  <c r="I3930" i="12" s="1"/>
  <c r="H3930" i="12"/>
  <c r="N3930" i="12"/>
  <c r="O3930" i="12"/>
  <c r="P3930" i="12"/>
  <c r="Q3930" i="12"/>
  <c r="F3931" i="12"/>
  <c r="D3931" i="12" s="1"/>
  <c r="G3931" i="12"/>
  <c r="M3931" i="12" s="1"/>
  <c r="H3931" i="12"/>
  <c r="N3931" i="12"/>
  <c r="O3931" i="12"/>
  <c r="P3931" i="12"/>
  <c r="Q3931" i="12"/>
  <c r="F3932" i="12"/>
  <c r="G3932" i="12"/>
  <c r="K3932" i="12" s="1"/>
  <c r="H3932" i="12"/>
  <c r="N3932" i="12"/>
  <c r="O3932" i="12"/>
  <c r="P3932" i="12"/>
  <c r="Q3932" i="12"/>
  <c r="F3933" i="12"/>
  <c r="G3933" i="12"/>
  <c r="I3933" i="12" s="1"/>
  <c r="H3933" i="12"/>
  <c r="N3933" i="12"/>
  <c r="O3933" i="12"/>
  <c r="P3933" i="12"/>
  <c r="Q3933" i="12"/>
  <c r="F3934" i="12"/>
  <c r="D3934" i="12" s="1"/>
  <c r="G3934" i="12"/>
  <c r="I3934" i="12" s="1"/>
  <c r="H3934" i="12"/>
  <c r="N3934" i="12"/>
  <c r="O3934" i="12"/>
  <c r="P3934" i="12"/>
  <c r="Q3934" i="12"/>
  <c r="F3935" i="12"/>
  <c r="D3935" i="12" s="1"/>
  <c r="G3935" i="12"/>
  <c r="M3935" i="12" s="1"/>
  <c r="H3935" i="12"/>
  <c r="N3935" i="12"/>
  <c r="O3935" i="12"/>
  <c r="P3935" i="12"/>
  <c r="Q3935" i="12"/>
  <c r="F3936" i="12"/>
  <c r="G3936" i="12"/>
  <c r="K3936" i="12" s="1"/>
  <c r="H3936" i="12"/>
  <c r="N3936" i="12"/>
  <c r="O3936" i="12"/>
  <c r="P3936" i="12"/>
  <c r="Q3936" i="12"/>
  <c r="F3937" i="12"/>
  <c r="E3937" i="12" s="1"/>
  <c r="G3937" i="12"/>
  <c r="J3937" i="12" s="1"/>
  <c r="H3937" i="12"/>
  <c r="N3937" i="12"/>
  <c r="O3937" i="12"/>
  <c r="P3937" i="12"/>
  <c r="Q3937" i="12"/>
  <c r="F3938" i="12"/>
  <c r="D3938" i="12" s="1"/>
  <c r="G3938" i="12"/>
  <c r="H3938" i="12"/>
  <c r="N3938" i="12"/>
  <c r="O3938" i="12"/>
  <c r="P3938" i="12"/>
  <c r="Q3938" i="12"/>
  <c r="F3939" i="12"/>
  <c r="E3939" i="12" s="1"/>
  <c r="G3939" i="12"/>
  <c r="M3939" i="12" s="1"/>
  <c r="H3939" i="12"/>
  <c r="N3939" i="12"/>
  <c r="O3939" i="12"/>
  <c r="P3939" i="12"/>
  <c r="Q3939" i="12"/>
  <c r="F3940" i="12"/>
  <c r="G3940" i="12"/>
  <c r="K3940" i="12" s="1"/>
  <c r="H3940" i="12"/>
  <c r="N3940" i="12"/>
  <c r="O3940" i="12"/>
  <c r="P3940" i="12"/>
  <c r="Q3940" i="12"/>
  <c r="F3941" i="12"/>
  <c r="E3941" i="12" s="1"/>
  <c r="G3941" i="12"/>
  <c r="H3941" i="12"/>
  <c r="N3941" i="12"/>
  <c r="O3941" i="12"/>
  <c r="P3941" i="12"/>
  <c r="Q3941" i="12"/>
  <c r="F3942" i="12"/>
  <c r="D3942" i="12" s="1"/>
  <c r="G3942" i="12"/>
  <c r="H3942" i="12"/>
  <c r="N3942" i="12"/>
  <c r="O3942" i="12"/>
  <c r="P3942" i="12"/>
  <c r="Q3942" i="12"/>
  <c r="F3943" i="12"/>
  <c r="E3943" i="12" s="1"/>
  <c r="G3943" i="12"/>
  <c r="H3943" i="12"/>
  <c r="N3943" i="12"/>
  <c r="O3943" i="12"/>
  <c r="P3943" i="12"/>
  <c r="Q3943" i="12"/>
  <c r="F3944" i="12"/>
  <c r="G3944" i="12"/>
  <c r="H3944" i="12"/>
  <c r="N3944" i="12"/>
  <c r="O3944" i="12"/>
  <c r="P3944" i="12"/>
  <c r="Q3944" i="12"/>
  <c r="F3945" i="12"/>
  <c r="G3945" i="12"/>
  <c r="I3945" i="12" s="1"/>
  <c r="H3945" i="12"/>
  <c r="N3945" i="12"/>
  <c r="O3945" i="12"/>
  <c r="P3945" i="12"/>
  <c r="Q3945" i="12"/>
  <c r="F3946" i="12"/>
  <c r="G3946" i="12"/>
  <c r="I3946" i="12" s="1"/>
  <c r="H3946" i="12"/>
  <c r="N3946" i="12"/>
  <c r="O3946" i="12"/>
  <c r="P3946" i="12"/>
  <c r="Q3946" i="12"/>
  <c r="F3947" i="12"/>
  <c r="G3947" i="12"/>
  <c r="M3947" i="12" s="1"/>
  <c r="H3947" i="12"/>
  <c r="N3947" i="12"/>
  <c r="O3947" i="12"/>
  <c r="P3947" i="12"/>
  <c r="Q3947" i="12"/>
  <c r="F3948" i="12"/>
  <c r="G3948" i="12"/>
  <c r="K3948" i="12" s="1"/>
  <c r="H3948" i="12"/>
  <c r="N3948" i="12"/>
  <c r="O3948" i="12"/>
  <c r="P3948" i="12"/>
  <c r="Q3948" i="12"/>
  <c r="F3949" i="12"/>
  <c r="E3949" i="12" s="1"/>
  <c r="G3949" i="12"/>
  <c r="K3949" i="12" s="1"/>
  <c r="H3949" i="12"/>
  <c r="N3949" i="12"/>
  <c r="O3949" i="12"/>
  <c r="P3949" i="12"/>
  <c r="Q3949" i="12"/>
  <c r="F3950" i="12"/>
  <c r="G3950" i="12"/>
  <c r="H3950" i="12"/>
  <c r="N3950" i="12"/>
  <c r="O3950" i="12"/>
  <c r="P3950" i="12"/>
  <c r="Q3950" i="12"/>
  <c r="F3951" i="12"/>
  <c r="D3951" i="12" s="1"/>
  <c r="G3951" i="12"/>
  <c r="L3951" i="12" s="1"/>
  <c r="H3951" i="12"/>
  <c r="N3951" i="12"/>
  <c r="O3951" i="12"/>
  <c r="P3951" i="12"/>
  <c r="Q3951" i="12"/>
  <c r="F3952" i="12"/>
  <c r="G3952" i="12"/>
  <c r="H3952" i="12"/>
  <c r="N3952" i="12"/>
  <c r="O3952" i="12"/>
  <c r="P3952" i="12"/>
  <c r="Q3952" i="12"/>
  <c r="F3953" i="12"/>
  <c r="G3953" i="12"/>
  <c r="H3953" i="12"/>
  <c r="N3953" i="12"/>
  <c r="O3953" i="12"/>
  <c r="P3953" i="12"/>
  <c r="Q3953" i="12"/>
  <c r="F3954" i="12"/>
  <c r="D3954" i="12" s="1"/>
  <c r="G3954" i="12"/>
  <c r="H3954" i="12"/>
  <c r="N3954" i="12"/>
  <c r="O3954" i="12"/>
  <c r="P3954" i="12"/>
  <c r="Q3954" i="12"/>
  <c r="F3955" i="12"/>
  <c r="G3955" i="12"/>
  <c r="L3955" i="12" s="1"/>
  <c r="H3955" i="12"/>
  <c r="N3955" i="12"/>
  <c r="O3955" i="12"/>
  <c r="P3955" i="12"/>
  <c r="Q3955" i="12"/>
  <c r="F3956" i="12"/>
  <c r="G3956" i="12"/>
  <c r="H3956" i="12"/>
  <c r="N3956" i="12"/>
  <c r="O3956" i="12"/>
  <c r="P3956" i="12"/>
  <c r="Q3956" i="12"/>
  <c r="F3957" i="12"/>
  <c r="E3957" i="12" s="1"/>
  <c r="G3957" i="12"/>
  <c r="H3957" i="12"/>
  <c r="N3957" i="12"/>
  <c r="O3957" i="12"/>
  <c r="P3957" i="12"/>
  <c r="Q3957" i="12"/>
  <c r="F3958" i="12"/>
  <c r="G3958" i="12"/>
  <c r="I3958" i="12" s="1"/>
  <c r="H3958" i="12"/>
  <c r="N3958" i="12"/>
  <c r="O3958" i="12"/>
  <c r="P3958" i="12"/>
  <c r="Q3958" i="12"/>
  <c r="F3959" i="12"/>
  <c r="G3959" i="12"/>
  <c r="L3959" i="12" s="1"/>
  <c r="H3959" i="12"/>
  <c r="N3959" i="12"/>
  <c r="O3959" i="12"/>
  <c r="P3959" i="12"/>
  <c r="Q3959" i="12"/>
  <c r="F3960" i="12"/>
  <c r="G3960" i="12"/>
  <c r="J3960" i="12" s="1"/>
  <c r="H3960" i="12"/>
  <c r="N3960" i="12"/>
  <c r="O3960" i="12"/>
  <c r="P3960" i="12"/>
  <c r="Q3960" i="12"/>
  <c r="F3961" i="12"/>
  <c r="E3961" i="12" s="1"/>
  <c r="G3961" i="12"/>
  <c r="J3961" i="12" s="1"/>
  <c r="H3961" i="12"/>
  <c r="N3961" i="12"/>
  <c r="O3961" i="12"/>
  <c r="P3961" i="12"/>
  <c r="Q3961" i="12"/>
  <c r="F3962" i="12"/>
  <c r="D3962" i="12" s="1"/>
  <c r="G3962" i="12"/>
  <c r="I3962" i="12" s="1"/>
  <c r="H3962" i="12"/>
  <c r="N3962" i="12"/>
  <c r="O3962" i="12"/>
  <c r="P3962" i="12"/>
  <c r="Q3962" i="12"/>
  <c r="F3963" i="12"/>
  <c r="G3963" i="12"/>
  <c r="L3963" i="12" s="1"/>
  <c r="H3963" i="12"/>
  <c r="N3963" i="12"/>
  <c r="O3963" i="12"/>
  <c r="P3963" i="12"/>
  <c r="Q3963" i="12"/>
  <c r="F3964" i="12"/>
  <c r="G3964" i="12"/>
  <c r="H3964" i="12"/>
  <c r="N3964" i="12"/>
  <c r="O3964" i="12"/>
  <c r="P3964" i="12"/>
  <c r="Q3964" i="12"/>
  <c r="F3965" i="12"/>
  <c r="G3965" i="12"/>
  <c r="H3965" i="12"/>
  <c r="N3965" i="12"/>
  <c r="O3965" i="12"/>
  <c r="P3965" i="12"/>
  <c r="Q3965" i="12"/>
  <c r="F3966" i="12"/>
  <c r="E3966" i="12" s="1"/>
  <c r="G3966" i="12"/>
  <c r="H3966" i="12"/>
  <c r="N3966" i="12"/>
  <c r="O3966" i="12"/>
  <c r="P3966" i="12"/>
  <c r="Q3966" i="12"/>
  <c r="F3967" i="12"/>
  <c r="D3967" i="12" s="1"/>
  <c r="G3967" i="12"/>
  <c r="L3967" i="12" s="1"/>
  <c r="H3967" i="12"/>
  <c r="N3967" i="12"/>
  <c r="O3967" i="12"/>
  <c r="P3967" i="12"/>
  <c r="Q3967" i="12"/>
  <c r="F3968" i="12"/>
  <c r="G3968" i="12"/>
  <c r="I3968" i="12" s="1"/>
  <c r="H3968" i="12"/>
  <c r="N3968" i="12"/>
  <c r="O3968" i="12"/>
  <c r="P3968" i="12"/>
  <c r="Q3968" i="12"/>
  <c r="F3969" i="12"/>
  <c r="E3969" i="12" s="1"/>
  <c r="G3969" i="12"/>
  <c r="K3969" i="12" s="1"/>
  <c r="H3969" i="12"/>
  <c r="N3969" i="12"/>
  <c r="O3969" i="12"/>
  <c r="P3969" i="12"/>
  <c r="Q3969" i="12"/>
  <c r="F3970" i="12"/>
  <c r="E3970" i="12" s="1"/>
  <c r="G3970" i="12"/>
  <c r="H3970" i="12"/>
  <c r="N3970" i="12"/>
  <c r="O3970" i="12"/>
  <c r="P3970" i="12"/>
  <c r="Q3970" i="12"/>
  <c r="F3971" i="12"/>
  <c r="E3971" i="12" s="1"/>
  <c r="G3971" i="12"/>
  <c r="H3971" i="12"/>
  <c r="N3971" i="12"/>
  <c r="O3971" i="12"/>
  <c r="P3971" i="12"/>
  <c r="Q3971" i="12"/>
  <c r="F3972" i="12"/>
  <c r="G3972" i="12"/>
  <c r="I3972" i="12" s="1"/>
  <c r="H3972" i="12"/>
  <c r="N3972" i="12"/>
  <c r="O3972" i="12"/>
  <c r="P3972" i="12"/>
  <c r="Q3972" i="12"/>
  <c r="F3973" i="12"/>
  <c r="E3973" i="12" s="1"/>
  <c r="G3973" i="12"/>
  <c r="J3973" i="12" s="1"/>
  <c r="H3973" i="12"/>
  <c r="N3973" i="12"/>
  <c r="O3973" i="12"/>
  <c r="P3973" i="12"/>
  <c r="Q3973" i="12"/>
  <c r="F3974" i="12"/>
  <c r="G3974" i="12"/>
  <c r="H3974" i="12"/>
  <c r="N3974" i="12"/>
  <c r="O3974" i="12"/>
  <c r="P3974" i="12"/>
  <c r="Q3974" i="12"/>
  <c r="F3975" i="12"/>
  <c r="D3975" i="12" s="1"/>
  <c r="G3975" i="12"/>
  <c r="J3975" i="12" s="1"/>
  <c r="H3975" i="12"/>
  <c r="N3975" i="12"/>
  <c r="O3975" i="12"/>
  <c r="P3975" i="12"/>
  <c r="Q3975" i="12"/>
  <c r="F3976" i="12"/>
  <c r="G3976" i="12"/>
  <c r="M3976" i="12" s="1"/>
  <c r="H3976" i="12"/>
  <c r="N3976" i="12"/>
  <c r="O3976" i="12"/>
  <c r="P3976" i="12"/>
  <c r="Q3976" i="12"/>
  <c r="F3977" i="12"/>
  <c r="D3977" i="12" s="1"/>
  <c r="G3977" i="12"/>
  <c r="H3977" i="12"/>
  <c r="N3977" i="12"/>
  <c r="O3977" i="12"/>
  <c r="P3977" i="12"/>
  <c r="Q3977" i="12"/>
  <c r="F3978" i="12"/>
  <c r="E3978" i="12" s="1"/>
  <c r="G3978" i="12"/>
  <c r="I3978" i="12" s="1"/>
  <c r="H3978" i="12"/>
  <c r="N3978" i="12"/>
  <c r="O3978" i="12"/>
  <c r="P3978" i="12"/>
  <c r="Q3978" i="12"/>
  <c r="F3979" i="12"/>
  <c r="G3979" i="12"/>
  <c r="K3979" i="12" s="1"/>
  <c r="H3979" i="12"/>
  <c r="N3979" i="12"/>
  <c r="O3979" i="12"/>
  <c r="P3979" i="12"/>
  <c r="Q3979" i="12"/>
  <c r="F3980" i="12"/>
  <c r="E3980" i="12" s="1"/>
  <c r="G3980" i="12"/>
  <c r="M3980" i="12" s="1"/>
  <c r="H3980" i="12"/>
  <c r="N3980" i="12"/>
  <c r="O3980" i="12"/>
  <c r="P3980" i="12"/>
  <c r="Q3980" i="12"/>
  <c r="F3981" i="12"/>
  <c r="D3981" i="12" s="1"/>
  <c r="G3981" i="12"/>
  <c r="J3981" i="12" s="1"/>
  <c r="H3981" i="12"/>
  <c r="N3981" i="12"/>
  <c r="O3981" i="12"/>
  <c r="P3981" i="12"/>
  <c r="Q3981" i="12"/>
  <c r="F3982" i="12"/>
  <c r="D3982" i="12" s="1"/>
  <c r="G3982" i="12"/>
  <c r="H3982" i="12"/>
  <c r="N3982" i="12"/>
  <c r="O3982" i="12"/>
  <c r="P3982" i="12"/>
  <c r="Q3982" i="12"/>
  <c r="F3983" i="12"/>
  <c r="D3983" i="12" s="1"/>
  <c r="G3983" i="12"/>
  <c r="K3983" i="12" s="1"/>
  <c r="H3983" i="12"/>
  <c r="N3983" i="12"/>
  <c r="O3983" i="12"/>
  <c r="P3983" i="12"/>
  <c r="Q3983" i="12"/>
  <c r="F3984" i="12"/>
  <c r="G3984" i="12"/>
  <c r="I3984" i="12" s="1"/>
  <c r="H3984" i="12"/>
  <c r="N3984" i="12"/>
  <c r="O3984" i="12"/>
  <c r="P3984" i="12"/>
  <c r="Q3984" i="12"/>
  <c r="F3985" i="12"/>
  <c r="E3985" i="12" s="1"/>
  <c r="G3985" i="12"/>
  <c r="H3985" i="12"/>
  <c r="N3985" i="12"/>
  <c r="O3985" i="12"/>
  <c r="P3985" i="12"/>
  <c r="Q3985" i="12"/>
  <c r="F3986" i="12"/>
  <c r="D3986" i="12" s="1"/>
  <c r="G3986" i="12"/>
  <c r="L3986" i="12" s="1"/>
  <c r="H3986" i="12"/>
  <c r="N3986" i="12"/>
  <c r="O3986" i="12"/>
  <c r="P3986" i="12"/>
  <c r="Q3986" i="12"/>
  <c r="F3987" i="12"/>
  <c r="G3987" i="12"/>
  <c r="K3987" i="12" s="1"/>
  <c r="H3987" i="12"/>
  <c r="N3987" i="12"/>
  <c r="O3987" i="12"/>
  <c r="P3987" i="12"/>
  <c r="Q3987" i="12"/>
  <c r="F3988" i="12"/>
  <c r="G3988" i="12"/>
  <c r="I3988" i="12" s="1"/>
  <c r="H3988" i="12"/>
  <c r="N3988" i="12"/>
  <c r="O3988" i="12"/>
  <c r="P3988" i="12"/>
  <c r="Q3988" i="12"/>
  <c r="F3989" i="12"/>
  <c r="D3989" i="12" s="1"/>
  <c r="G3989" i="12"/>
  <c r="H3989" i="12"/>
  <c r="N3989" i="12"/>
  <c r="O3989" i="12"/>
  <c r="P3989" i="12"/>
  <c r="Q3989" i="12"/>
  <c r="F3990" i="12"/>
  <c r="D3990" i="12" s="1"/>
  <c r="G3990" i="12"/>
  <c r="L3990" i="12" s="1"/>
  <c r="H3990" i="12"/>
  <c r="N3990" i="12"/>
  <c r="O3990" i="12"/>
  <c r="P3990" i="12"/>
  <c r="Q3990" i="12"/>
  <c r="F3991" i="12"/>
  <c r="D3991" i="12" s="1"/>
  <c r="G3991" i="12"/>
  <c r="K3991" i="12" s="1"/>
  <c r="H3991" i="12"/>
  <c r="N3991" i="12"/>
  <c r="O3991" i="12"/>
  <c r="P3991" i="12"/>
  <c r="Q3991" i="12"/>
  <c r="F3992" i="12"/>
  <c r="G3992" i="12"/>
  <c r="I3992" i="12" s="1"/>
  <c r="H3992" i="12"/>
  <c r="N3992" i="12"/>
  <c r="O3992" i="12"/>
  <c r="P3992" i="12"/>
  <c r="Q3992" i="12"/>
  <c r="F3993" i="12"/>
  <c r="D3993" i="12" s="1"/>
  <c r="G3993" i="12"/>
  <c r="K3993" i="12" s="1"/>
  <c r="H3993" i="12"/>
  <c r="N3993" i="12"/>
  <c r="O3993" i="12"/>
  <c r="P3993" i="12"/>
  <c r="Q3993" i="12"/>
  <c r="F3994" i="12"/>
  <c r="D3994" i="12" s="1"/>
  <c r="G3994" i="12"/>
  <c r="H3994" i="12"/>
  <c r="N3994" i="12"/>
  <c r="O3994" i="12"/>
  <c r="P3994" i="12"/>
  <c r="Q3994" i="12"/>
  <c r="F3995" i="12"/>
  <c r="G3995" i="12"/>
  <c r="K3995" i="12" s="1"/>
  <c r="H3995" i="12"/>
  <c r="N3995" i="12"/>
  <c r="O3995" i="12"/>
  <c r="P3995" i="12"/>
  <c r="Q3995" i="12"/>
  <c r="F3996" i="12"/>
  <c r="G3996" i="12"/>
  <c r="I3996" i="12" s="1"/>
  <c r="H3996" i="12"/>
  <c r="N3996" i="12"/>
  <c r="O3996" i="12"/>
  <c r="P3996" i="12"/>
  <c r="Q3996" i="12"/>
  <c r="F3997" i="12"/>
  <c r="D3997" i="12" s="1"/>
  <c r="G3997" i="12"/>
  <c r="J3997" i="12" s="1"/>
  <c r="H3997" i="12"/>
  <c r="N3997" i="12"/>
  <c r="O3997" i="12"/>
  <c r="P3997" i="12"/>
  <c r="Q3997" i="12"/>
  <c r="F3998" i="12"/>
  <c r="D3998" i="12" s="1"/>
  <c r="G3998" i="12"/>
  <c r="L3998" i="12" s="1"/>
  <c r="H3998" i="12"/>
  <c r="N3998" i="12"/>
  <c r="O3998" i="12"/>
  <c r="P3998" i="12"/>
  <c r="Q3998" i="12"/>
  <c r="F3999" i="12"/>
  <c r="E3999" i="12" s="1"/>
  <c r="G3999" i="12"/>
  <c r="K3999" i="12" s="1"/>
  <c r="H3999" i="12"/>
  <c r="N3999" i="12"/>
  <c r="O3999" i="12"/>
  <c r="P3999" i="12"/>
  <c r="Q3999" i="12"/>
  <c r="F4000" i="12"/>
  <c r="G4000" i="12"/>
  <c r="I4000" i="12" s="1"/>
  <c r="H4000" i="12"/>
  <c r="N4000" i="12"/>
  <c r="O4000" i="12"/>
  <c r="P4000" i="12"/>
  <c r="Q4000" i="12"/>
  <c r="F4001" i="12"/>
  <c r="G4001" i="12"/>
  <c r="I4001" i="12" s="1"/>
  <c r="H4001" i="12"/>
  <c r="N4001" i="12"/>
  <c r="O4001" i="12"/>
  <c r="P4001" i="12"/>
  <c r="Q4001" i="12"/>
  <c r="F4002" i="12"/>
  <c r="D4002" i="12" s="1"/>
  <c r="G4002" i="12"/>
  <c r="L4002" i="12" s="1"/>
  <c r="H4002" i="12"/>
  <c r="N4002" i="12"/>
  <c r="O4002" i="12"/>
  <c r="P4002" i="12"/>
  <c r="Q4002" i="12"/>
  <c r="F4003" i="12"/>
  <c r="E4003" i="12" s="1"/>
  <c r="G4003" i="12"/>
  <c r="M4003" i="12" s="1"/>
  <c r="H4003" i="12"/>
  <c r="N4003" i="12"/>
  <c r="O4003" i="12"/>
  <c r="P4003" i="12"/>
  <c r="Q4003" i="12"/>
  <c r="F4004" i="12"/>
  <c r="G4004" i="12"/>
  <c r="I4004" i="12" s="1"/>
  <c r="H4004" i="12"/>
  <c r="N4004" i="12"/>
  <c r="O4004" i="12"/>
  <c r="P4004" i="12"/>
  <c r="Q4004" i="12"/>
  <c r="F4005" i="12"/>
  <c r="E4005" i="12" s="1"/>
  <c r="G4005" i="12"/>
  <c r="J4005" i="12" s="1"/>
  <c r="H4005" i="12"/>
  <c r="N4005" i="12"/>
  <c r="O4005" i="12"/>
  <c r="P4005" i="12"/>
  <c r="Q4005" i="12"/>
  <c r="F4006" i="12"/>
  <c r="D4006" i="12" s="1"/>
  <c r="G4006" i="12"/>
  <c r="H4006" i="12"/>
  <c r="N4006" i="12"/>
  <c r="O4006" i="12"/>
  <c r="P4006" i="12"/>
  <c r="Q4006" i="12"/>
  <c r="F4007" i="12"/>
  <c r="D4007" i="12" s="1"/>
  <c r="G4007" i="12"/>
  <c r="K4007" i="12" s="1"/>
  <c r="H4007" i="12"/>
  <c r="N4007" i="12"/>
  <c r="O4007" i="12"/>
  <c r="P4007" i="12"/>
  <c r="Q4007" i="12"/>
  <c r="F4008" i="12"/>
  <c r="G4008" i="12"/>
  <c r="I4008" i="12" s="1"/>
  <c r="H4008" i="12"/>
  <c r="N4008" i="12"/>
  <c r="O4008" i="12"/>
  <c r="P4008" i="12"/>
  <c r="Q4008" i="12"/>
  <c r="F4009" i="12"/>
  <c r="D4009" i="12" s="1"/>
  <c r="G4009" i="12"/>
  <c r="M4009" i="12" s="1"/>
  <c r="H4009" i="12"/>
  <c r="N4009" i="12"/>
  <c r="O4009" i="12"/>
  <c r="P4009" i="12"/>
  <c r="Q4009" i="12"/>
  <c r="F4010" i="12"/>
  <c r="D4010" i="12" s="1"/>
  <c r="G4010" i="12"/>
  <c r="L4010" i="12" s="1"/>
  <c r="H4010" i="12"/>
  <c r="N4010" i="12"/>
  <c r="O4010" i="12"/>
  <c r="P4010" i="12"/>
  <c r="Q4010" i="12"/>
  <c r="F4011" i="12"/>
  <c r="G4011" i="12"/>
  <c r="K4011" i="12" s="1"/>
  <c r="H4011" i="12"/>
  <c r="N4011" i="12"/>
  <c r="O4011" i="12"/>
  <c r="P4011" i="12"/>
  <c r="Q4011" i="12"/>
  <c r="F4012" i="12"/>
  <c r="G4012" i="12"/>
  <c r="I4012" i="12" s="1"/>
  <c r="H4012" i="12"/>
  <c r="N4012" i="12"/>
  <c r="O4012" i="12"/>
  <c r="P4012" i="12"/>
  <c r="Q4012" i="12"/>
  <c r="F4013" i="12"/>
  <c r="D4013" i="12" s="1"/>
  <c r="G4013" i="12"/>
  <c r="I4013" i="12" s="1"/>
  <c r="H4013" i="12"/>
  <c r="N4013" i="12"/>
  <c r="O4013" i="12"/>
  <c r="P4013" i="12"/>
  <c r="Q4013" i="12"/>
  <c r="F4014" i="12"/>
  <c r="D4014" i="12" s="1"/>
  <c r="G4014" i="12"/>
  <c r="L4014" i="12" s="1"/>
  <c r="H4014" i="12"/>
  <c r="N4014" i="12"/>
  <c r="O4014" i="12"/>
  <c r="P4014" i="12"/>
  <c r="Q4014" i="12"/>
  <c r="F4015" i="12"/>
  <c r="G4015" i="12"/>
  <c r="K4015" i="12" s="1"/>
  <c r="H4015" i="12"/>
  <c r="N4015" i="12"/>
  <c r="O4015" i="12"/>
  <c r="P4015" i="12"/>
  <c r="Q4015" i="12"/>
  <c r="F4016" i="12"/>
  <c r="G4016" i="12"/>
  <c r="I4016" i="12" s="1"/>
  <c r="H4016" i="12"/>
  <c r="N4016" i="12"/>
  <c r="O4016" i="12"/>
  <c r="P4016" i="12"/>
  <c r="Q4016" i="12"/>
  <c r="F4017" i="12"/>
  <c r="E4017" i="12" s="1"/>
  <c r="G4017" i="12"/>
  <c r="J4017" i="12" s="1"/>
  <c r="H4017" i="12"/>
  <c r="N4017" i="12"/>
  <c r="O4017" i="12"/>
  <c r="P4017" i="12"/>
  <c r="Q4017" i="12"/>
  <c r="F4018" i="12"/>
  <c r="D4018" i="12" s="1"/>
  <c r="G4018" i="12"/>
  <c r="L4018" i="12" s="1"/>
  <c r="H4018" i="12"/>
  <c r="N4018" i="12"/>
  <c r="O4018" i="12"/>
  <c r="P4018" i="12"/>
  <c r="Q4018" i="12"/>
  <c r="F4019" i="12"/>
  <c r="G4019" i="12"/>
  <c r="H4019" i="12"/>
  <c r="N4019" i="12"/>
  <c r="O4019" i="12"/>
  <c r="P4019" i="12"/>
  <c r="Q4019" i="12"/>
  <c r="F4020" i="12"/>
  <c r="G4020" i="12"/>
  <c r="I4020" i="12" s="1"/>
  <c r="H4020" i="12"/>
  <c r="N4020" i="12"/>
  <c r="O4020" i="12"/>
  <c r="P4020" i="12"/>
  <c r="Q4020" i="12"/>
  <c r="F4021" i="12"/>
  <c r="D4021" i="12" s="1"/>
  <c r="G4021" i="12"/>
  <c r="H4021" i="12"/>
  <c r="N4021" i="12"/>
  <c r="O4021" i="12"/>
  <c r="P4021" i="12"/>
  <c r="Q4021" i="12"/>
  <c r="F4022" i="12"/>
  <c r="D4022" i="12" s="1"/>
  <c r="G4022" i="12"/>
  <c r="L4022" i="12" s="1"/>
  <c r="H4022" i="12"/>
  <c r="N4022" i="12"/>
  <c r="O4022" i="12"/>
  <c r="P4022" i="12"/>
  <c r="Q4022" i="12"/>
  <c r="F4023" i="12"/>
  <c r="D4023" i="12" s="1"/>
  <c r="G4023" i="12"/>
  <c r="K4023" i="12" s="1"/>
  <c r="H4023" i="12"/>
  <c r="N4023" i="12"/>
  <c r="O4023" i="12"/>
  <c r="P4023" i="12"/>
  <c r="Q4023" i="12"/>
  <c r="F4024" i="12"/>
  <c r="G4024" i="12"/>
  <c r="I4024" i="12" s="1"/>
  <c r="H4024" i="12"/>
  <c r="N4024" i="12"/>
  <c r="O4024" i="12"/>
  <c r="P4024" i="12"/>
  <c r="Q4024" i="12"/>
  <c r="F4025" i="12"/>
  <c r="E4025" i="12" s="1"/>
  <c r="G4025" i="12"/>
  <c r="H4025" i="12"/>
  <c r="N4025" i="12"/>
  <c r="O4025" i="12"/>
  <c r="P4025" i="12"/>
  <c r="Q4025" i="12"/>
  <c r="F4026" i="12"/>
  <c r="D4026" i="12" s="1"/>
  <c r="G4026" i="12"/>
  <c r="H4026" i="12"/>
  <c r="N4026" i="12"/>
  <c r="O4026" i="12"/>
  <c r="P4026" i="12"/>
  <c r="Q4026" i="12"/>
  <c r="F4027" i="12"/>
  <c r="D4027" i="12" s="1"/>
  <c r="G4027" i="12"/>
  <c r="H4027" i="12"/>
  <c r="N4027" i="12"/>
  <c r="O4027" i="12"/>
  <c r="P4027" i="12"/>
  <c r="Q4027" i="12"/>
  <c r="F4028" i="12"/>
  <c r="G4028" i="12"/>
  <c r="I4028" i="12" s="1"/>
  <c r="H4028" i="12"/>
  <c r="N4028" i="12"/>
  <c r="O4028" i="12"/>
  <c r="P4028" i="12"/>
  <c r="Q4028" i="12"/>
  <c r="F4029" i="12"/>
  <c r="G4029" i="12"/>
  <c r="H4029" i="12"/>
  <c r="N4029" i="12"/>
  <c r="O4029" i="12"/>
  <c r="P4029" i="12"/>
  <c r="Q4029" i="12"/>
  <c r="F4030" i="12"/>
  <c r="D4030" i="12" s="1"/>
  <c r="G4030" i="12"/>
  <c r="H4030" i="12"/>
  <c r="N4030" i="12"/>
  <c r="O4030" i="12"/>
  <c r="P4030" i="12"/>
  <c r="Q4030" i="12"/>
  <c r="F4031" i="12"/>
  <c r="G4031" i="12"/>
  <c r="J4031" i="12" s="1"/>
  <c r="H4031" i="12"/>
  <c r="N4031" i="12"/>
  <c r="O4031" i="12"/>
  <c r="P4031" i="12"/>
  <c r="Q4031" i="12"/>
  <c r="F4032" i="12"/>
  <c r="G4032" i="12"/>
  <c r="I4032" i="12" s="1"/>
  <c r="H4032" i="12"/>
  <c r="N4032" i="12"/>
  <c r="O4032" i="12"/>
  <c r="P4032" i="12"/>
  <c r="Q4032" i="12"/>
  <c r="F4033" i="12"/>
  <c r="G4033" i="12"/>
  <c r="H4033" i="12"/>
  <c r="N4033" i="12"/>
  <c r="O4033" i="12"/>
  <c r="P4033" i="12"/>
  <c r="Q4033" i="12"/>
  <c r="F4034" i="12"/>
  <c r="D4034" i="12" s="1"/>
  <c r="G4034" i="12"/>
  <c r="K4034" i="12" s="1"/>
  <c r="H4034" i="12"/>
  <c r="N4034" i="12"/>
  <c r="O4034" i="12"/>
  <c r="P4034" i="12"/>
  <c r="Q4034" i="12"/>
  <c r="F4035" i="12"/>
  <c r="E4035" i="12" s="1"/>
  <c r="G4035" i="12"/>
  <c r="M4035" i="12" s="1"/>
  <c r="H4035" i="12"/>
  <c r="N4035" i="12"/>
  <c r="O4035" i="12"/>
  <c r="P4035" i="12"/>
  <c r="Q4035" i="12"/>
  <c r="F4036" i="12"/>
  <c r="G4036" i="12"/>
  <c r="I4036" i="12" s="1"/>
  <c r="H4036" i="12"/>
  <c r="N4036" i="12"/>
  <c r="O4036" i="12"/>
  <c r="P4036" i="12"/>
  <c r="Q4036" i="12"/>
  <c r="F4037" i="12"/>
  <c r="E4037" i="12" s="1"/>
  <c r="G4037" i="12"/>
  <c r="J4037" i="12" s="1"/>
  <c r="H4037" i="12"/>
  <c r="N4037" i="12"/>
  <c r="O4037" i="12"/>
  <c r="P4037" i="12"/>
  <c r="Q4037" i="12"/>
  <c r="F4038" i="12"/>
  <c r="D4038" i="12" s="1"/>
  <c r="G4038" i="12"/>
  <c r="L4038" i="12" s="1"/>
  <c r="H4038" i="12"/>
  <c r="N4038" i="12"/>
  <c r="O4038" i="12"/>
  <c r="P4038" i="12"/>
  <c r="Q4038" i="12"/>
  <c r="F4039" i="12"/>
  <c r="E4039" i="12" s="1"/>
  <c r="G4039" i="12"/>
  <c r="K4039" i="12" s="1"/>
  <c r="H4039" i="12"/>
  <c r="N4039" i="12"/>
  <c r="O4039" i="12"/>
  <c r="P4039" i="12"/>
  <c r="Q4039" i="12"/>
  <c r="F4040" i="12"/>
  <c r="G4040" i="12"/>
  <c r="I4040" i="12" s="1"/>
  <c r="H4040" i="12"/>
  <c r="N4040" i="12"/>
  <c r="O4040" i="12"/>
  <c r="P4040" i="12"/>
  <c r="Q4040" i="12"/>
  <c r="F4041" i="12"/>
  <c r="D4041" i="12" s="1"/>
  <c r="G4041" i="12"/>
  <c r="L4041" i="12" s="1"/>
  <c r="H4041" i="12"/>
  <c r="N4041" i="12"/>
  <c r="O4041" i="12"/>
  <c r="P4041" i="12"/>
  <c r="Q4041" i="12"/>
  <c r="F4042" i="12"/>
  <c r="D4042" i="12" s="1"/>
  <c r="G4042" i="12"/>
  <c r="L4042" i="12" s="1"/>
  <c r="H4042" i="12"/>
  <c r="N4042" i="12"/>
  <c r="O4042" i="12"/>
  <c r="P4042" i="12"/>
  <c r="Q4042" i="12"/>
  <c r="F4043" i="12"/>
  <c r="D4043" i="12" s="1"/>
  <c r="G4043" i="12"/>
  <c r="H4043" i="12"/>
  <c r="N4043" i="12"/>
  <c r="O4043" i="12"/>
  <c r="P4043" i="12"/>
  <c r="Q4043" i="12"/>
  <c r="F4044" i="12"/>
  <c r="G4044" i="12"/>
  <c r="I4044" i="12" s="1"/>
  <c r="H4044" i="12"/>
  <c r="N4044" i="12"/>
  <c r="O4044" i="12"/>
  <c r="P4044" i="12"/>
  <c r="Q4044" i="12"/>
  <c r="F4045" i="12"/>
  <c r="G4045" i="12"/>
  <c r="K4045" i="12" s="1"/>
  <c r="H4045" i="12"/>
  <c r="N4045" i="12"/>
  <c r="O4045" i="12"/>
  <c r="P4045" i="12"/>
  <c r="Q4045" i="12"/>
  <c r="F4046" i="12"/>
  <c r="D4046" i="12" s="1"/>
  <c r="G4046" i="12"/>
  <c r="H4046" i="12"/>
  <c r="N4046" i="12"/>
  <c r="O4046" i="12"/>
  <c r="P4046" i="12"/>
  <c r="Q4046" i="12"/>
  <c r="F4047" i="12"/>
  <c r="D4047" i="12" s="1"/>
  <c r="G4047" i="12"/>
  <c r="K4047" i="12" s="1"/>
  <c r="H4047" i="12"/>
  <c r="N4047" i="12"/>
  <c r="O4047" i="12"/>
  <c r="P4047" i="12"/>
  <c r="Q4047" i="12"/>
  <c r="F4048" i="12"/>
  <c r="G4048" i="12"/>
  <c r="I4048" i="12" s="1"/>
  <c r="H4048" i="12"/>
  <c r="N4048" i="12"/>
  <c r="O4048" i="12"/>
  <c r="P4048" i="12"/>
  <c r="Q4048" i="12"/>
  <c r="F4049" i="12"/>
  <c r="G4049" i="12"/>
  <c r="J4049" i="12" s="1"/>
  <c r="H4049" i="12"/>
  <c r="N4049" i="12"/>
  <c r="O4049" i="12"/>
  <c r="P4049" i="12"/>
  <c r="Q4049" i="12"/>
  <c r="F4050" i="12"/>
  <c r="D4050" i="12" s="1"/>
  <c r="G4050" i="12"/>
  <c r="L4050" i="12" s="1"/>
  <c r="H4050" i="12"/>
  <c r="N4050" i="12"/>
  <c r="O4050" i="12"/>
  <c r="P4050" i="12"/>
  <c r="Q4050" i="12"/>
  <c r="F4051" i="12"/>
  <c r="E4051" i="12" s="1"/>
  <c r="G4051" i="12"/>
  <c r="J4051" i="12" s="1"/>
  <c r="H4051" i="12"/>
  <c r="N4051" i="12"/>
  <c r="O4051" i="12"/>
  <c r="P4051" i="12"/>
  <c r="Q4051" i="12"/>
  <c r="F4052" i="12"/>
  <c r="G4052" i="12"/>
  <c r="I4052" i="12" s="1"/>
  <c r="H4052" i="12"/>
  <c r="N4052" i="12"/>
  <c r="O4052" i="12"/>
  <c r="P4052" i="12"/>
  <c r="Q4052" i="12"/>
  <c r="F4053" i="12"/>
  <c r="G4053" i="12"/>
  <c r="I4053" i="12" s="1"/>
  <c r="H4053" i="12"/>
  <c r="N4053" i="12"/>
  <c r="O4053" i="12"/>
  <c r="P4053" i="12"/>
  <c r="Q4053" i="12"/>
  <c r="F4054" i="12"/>
  <c r="D4054" i="12" s="1"/>
  <c r="G4054" i="12"/>
  <c r="K4054" i="12" s="1"/>
  <c r="H4054" i="12"/>
  <c r="N4054" i="12"/>
  <c r="O4054" i="12"/>
  <c r="P4054" i="12"/>
  <c r="Q4054" i="12"/>
  <c r="F4055" i="12"/>
  <c r="D4055" i="12" s="1"/>
  <c r="G4055" i="12"/>
  <c r="M4055" i="12" s="1"/>
  <c r="H4055" i="12"/>
  <c r="N4055" i="12"/>
  <c r="O4055" i="12"/>
  <c r="P4055" i="12"/>
  <c r="Q4055" i="12"/>
  <c r="F4056" i="12"/>
  <c r="G4056" i="12"/>
  <c r="I4056" i="12" s="1"/>
  <c r="H4056" i="12"/>
  <c r="N4056" i="12"/>
  <c r="O4056" i="12"/>
  <c r="P4056" i="12"/>
  <c r="Q4056" i="12"/>
  <c r="F4057" i="12"/>
  <c r="D4057" i="12" s="1"/>
  <c r="G4057" i="12"/>
  <c r="J4057" i="12" s="1"/>
  <c r="H4057" i="12"/>
  <c r="N4057" i="12"/>
  <c r="O4057" i="12"/>
  <c r="P4057" i="12"/>
  <c r="Q4057" i="12"/>
  <c r="F4058" i="12"/>
  <c r="D4058" i="12" s="1"/>
  <c r="G4058" i="12"/>
  <c r="H4058" i="12"/>
  <c r="N4058" i="12"/>
  <c r="O4058" i="12"/>
  <c r="P4058" i="12"/>
  <c r="Q4058" i="12"/>
  <c r="F4059" i="12"/>
  <c r="D4059" i="12" s="1"/>
  <c r="G4059" i="12"/>
  <c r="K4059" i="12" s="1"/>
  <c r="H4059" i="12"/>
  <c r="N4059" i="12"/>
  <c r="O4059" i="12"/>
  <c r="P4059" i="12"/>
  <c r="Q4059" i="12"/>
  <c r="F4060" i="12"/>
  <c r="G4060" i="12"/>
  <c r="I4060" i="12" s="1"/>
  <c r="H4060" i="12"/>
  <c r="N4060" i="12"/>
  <c r="O4060" i="12"/>
  <c r="P4060" i="12"/>
  <c r="Q4060" i="12"/>
  <c r="F4061" i="12"/>
  <c r="D4061" i="12" s="1"/>
  <c r="G4061" i="12"/>
  <c r="I4061" i="12" s="1"/>
  <c r="H4061" i="12"/>
  <c r="N4061" i="12"/>
  <c r="O4061" i="12"/>
  <c r="P4061" i="12"/>
  <c r="Q4061" i="12"/>
  <c r="F4062" i="12"/>
  <c r="D4062" i="12" s="1"/>
  <c r="G4062" i="12"/>
  <c r="L4062" i="12" s="1"/>
  <c r="H4062" i="12"/>
  <c r="N4062" i="12"/>
  <c r="O4062" i="12"/>
  <c r="P4062" i="12"/>
  <c r="Q4062" i="12"/>
  <c r="F4063" i="12"/>
  <c r="G4063" i="12"/>
  <c r="K4063" i="12" s="1"/>
  <c r="H4063" i="12"/>
  <c r="N4063" i="12"/>
  <c r="O4063" i="12"/>
  <c r="P4063" i="12"/>
  <c r="Q4063" i="12"/>
  <c r="F4064" i="12"/>
  <c r="G4064" i="12"/>
  <c r="I4064" i="12" s="1"/>
  <c r="H4064" i="12"/>
  <c r="N4064" i="12"/>
  <c r="O4064" i="12"/>
  <c r="P4064" i="12"/>
  <c r="Q4064" i="12"/>
  <c r="F4065" i="12"/>
  <c r="D4065" i="12" s="1"/>
  <c r="G4065" i="12"/>
  <c r="I4065" i="12" s="1"/>
  <c r="H4065" i="12"/>
  <c r="N4065" i="12"/>
  <c r="O4065" i="12"/>
  <c r="P4065" i="12"/>
  <c r="Q4065" i="12"/>
  <c r="F4066" i="12"/>
  <c r="D4066" i="12" s="1"/>
  <c r="G4066" i="12"/>
  <c r="L4066" i="12" s="1"/>
  <c r="H4066" i="12"/>
  <c r="N4066" i="12"/>
  <c r="O4066" i="12"/>
  <c r="P4066" i="12"/>
  <c r="Q4066" i="12"/>
  <c r="F4067" i="12"/>
  <c r="G4067" i="12"/>
  <c r="K4067" i="12" s="1"/>
  <c r="H4067" i="12"/>
  <c r="N4067" i="12"/>
  <c r="O4067" i="12"/>
  <c r="P4067" i="12"/>
  <c r="Q4067" i="12"/>
  <c r="F4068" i="12"/>
  <c r="G4068" i="12"/>
  <c r="J4068" i="12" s="1"/>
  <c r="H4068" i="12"/>
  <c r="N4068" i="12"/>
  <c r="O4068" i="12"/>
  <c r="P4068" i="12"/>
  <c r="Q4068" i="12"/>
  <c r="F4069" i="12"/>
  <c r="E4069" i="12" s="1"/>
  <c r="G4069" i="12"/>
  <c r="J4069" i="12" s="1"/>
  <c r="H4069" i="12"/>
  <c r="N4069" i="12"/>
  <c r="O4069" i="12"/>
  <c r="P4069" i="12"/>
  <c r="Q4069" i="12"/>
  <c r="F4070" i="12"/>
  <c r="G4070" i="12"/>
  <c r="L4070" i="12" s="1"/>
  <c r="H4070" i="12"/>
  <c r="N4070" i="12"/>
  <c r="O4070" i="12"/>
  <c r="P4070" i="12"/>
  <c r="Q4070" i="12"/>
  <c r="F4071" i="12"/>
  <c r="D4071" i="12" s="1"/>
  <c r="G4071" i="12"/>
  <c r="K4071" i="12" s="1"/>
  <c r="H4071" i="12"/>
  <c r="N4071" i="12"/>
  <c r="O4071" i="12"/>
  <c r="P4071" i="12"/>
  <c r="Q4071" i="12"/>
  <c r="F4072" i="12"/>
  <c r="G4072" i="12"/>
  <c r="J4072" i="12" s="1"/>
  <c r="H4072" i="12"/>
  <c r="N4072" i="12"/>
  <c r="O4072" i="12"/>
  <c r="P4072" i="12"/>
  <c r="Q4072" i="12"/>
  <c r="F4073" i="12"/>
  <c r="G4073" i="12"/>
  <c r="I4073" i="12" s="1"/>
  <c r="H4073" i="12"/>
  <c r="N4073" i="12"/>
  <c r="O4073" i="12"/>
  <c r="P4073" i="12"/>
  <c r="Q4073" i="12"/>
  <c r="F4074" i="12"/>
  <c r="G4074" i="12"/>
  <c r="K4074" i="12" s="1"/>
  <c r="H4074" i="12"/>
  <c r="N4074" i="12"/>
  <c r="O4074" i="12"/>
  <c r="P4074" i="12"/>
  <c r="Q4074" i="12"/>
  <c r="F4075" i="12"/>
  <c r="D4075" i="12" s="1"/>
  <c r="G4075" i="12"/>
  <c r="M4075" i="12" s="1"/>
  <c r="H4075" i="12"/>
  <c r="N4075" i="12"/>
  <c r="O4075" i="12"/>
  <c r="P4075" i="12"/>
  <c r="Q4075" i="12"/>
  <c r="F4076" i="12"/>
  <c r="G4076" i="12"/>
  <c r="J4076" i="12" s="1"/>
  <c r="H4076" i="12"/>
  <c r="N4076" i="12"/>
  <c r="O4076" i="12"/>
  <c r="P4076" i="12"/>
  <c r="Q4076" i="12"/>
  <c r="F4077" i="12"/>
  <c r="D4077" i="12" s="1"/>
  <c r="G4077" i="12"/>
  <c r="J4077" i="12" s="1"/>
  <c r="H4077" i="12"/>
  <c r="N4077" i="12"/>
  <c r="O4077" i="12"/>
  <c r="P4077" i="12"/>
  <c r="Q4077" i="12"/>
  <c r="F4078" i="12"/>
  <c r="G4078" i="12"/>
  <c r="H4078" i="12"/>
  <c r="N4078" i="12"/>
  <c r="O4078" i="12"/>
  <c r="P4078" i="12"/>
  <c r="Q4078" i="12"/>
  <c r="F4079" i="12"/>
  <c r="D4079" i="12" s="1"/>
  <c r="G4079" i="12"/>
  <c r="K4079" i="12" s="1"/>
  <c r="H4079" i="12"/>
  <c r="N4079" i="12"/>
  <c r="O4079" i="12"/>
  <c r="P4079" i="12"/>
  <c r="Q4079" i="12"/>
  <c r="F4080" i="12"/>
  <c r="G4080" i="12"/>
  <c r="K4080" i="12" s="1"/>
  <c r="H4080" i="12"/>
  <c r="N4080" i="12"/>
  <c r="O4080" i="12"/>
  <c r="P4080" i="12"/>
  <c r="Q4080" i="12"/>
  <c r="F4081" i="12"/>
  <c r="E4081" i="12" s="1"/>
  <c r="G4081" i="12"/>
  <c r="I4081" i="12" s="1"/>
  <c r="H4081" i="12"/>
  <c r="N4081" i="12"/>
  <c r="O4081" i="12"/>
  <c r="P4081" i="12"/>
  <c r="Q4081" i="12"/>
  <c r="F4082" i="12"/>
  <c r="G4082" i="12"/>
  <c r="J4082" i="12" s="1"/>
  <c r="H4082" i="12"/>
  <c r="N4082" i="12"/>
  <c r="O4082" i="12"/>
  <c r="P4082" i="12"/>
  <c r="Q4082" i="12"/>
  <c r="F4083" i="12"/>
  <c r="D4083" i="12" s="1"/>
  <c r="G4083" i="12"/>
  <c r="H4083" i="12"/>
  <c r="N4083" i="12"/>
  <c r="O4083" i="12"/>
  <c r="P4083" i="12"/>
  <c r="Q4083" i="12"/>
  <c r="F4084" i="12"/>
  <c r="G4084" i="12"/>
  <c r="J4084" i="12" s="1"/>
  <c r="H4084" i="12"/>
  <c r="N4084" i="12"/>
  <c r="O4084" i="12"/>
  <c r="P4084" i="12"/>
  <c r="Q4084" i="12"/>
  <c r="F4085" i="12"/>
  <c r="D4085" i="12" s="1"/>
  <c r="G4085" i="12"/>
  <c r="H4085" i="12"/>
  <c r="N4085" i="12"/>
  <c r="O4085" i="12"/>
  <c r="P4085" i="12"/>
  <c r="Q4085" i="12"/>
  <c r="F4086" i="12"/>
  <c r="G4086" i="12"/>
  <c r="J4086" i="12" s="1"/>
  <c r="H4086" i="12"/>
  <c r="N4086" i="12"/>
  <c r="O4086" i="12"/>
  <c r="P4086" i="12"/>
  <c r="Q4086" i="12"/>
  <c r="F4087" i="12"/>
  <c r="D4087" i="12" s="1"/>
  <c r="G4087" i="12"/>
  <c r="K4087" i="12" s="1"/>
  <c r="H4087" i="12"/>
  <c r="N4087" i="12"/>
  <c r="O4087" i="12"/>
  <c r="P4087" i="12"/>
  <c r="Q4087" i="12"/>
  <c r="F4088" i="12"/>
  <c r="G4088" i="12"/>
  <c r="J4088" i="12" s="1"/>
  <c r="H4088" i="12"/>
  <c r="N4088" i="12"/>
  <c r="O4088" i="12"/>
  <c r="P4088" i="12"/>
  <c r="Q4088" i="12"/>
  <c r="F4089" i="12"/>
  <c r="D4089" i="12" s="1"/>
  <c r="G4089" i="12"/>
  <c r="J4089" i="12" s="1"/>
  <c r="H4089" i="12"/>
  <c r="N4089" i="12"/>
  <c r="O4089" i="12"/>
  <c r="P4089" i="12"/>
  <c r="Q4089" i="12"/>
  <c r="F4090" i="12"/>
  <c r="E4090" i="12" s="1"/>
  <c r="G4090" i="12"/>
  <c r="J4090" i="12" s="1"/>
  <c r="H4090" i="12"/>
  <c r="N4090" i="12"/>
  <c r="O4090" i="12"/>
  <c r="P4090" i="12"/>
  <c r="Q4090" i="12"/>
  <c r="F4091" i="12"/>
  <c r="E4091" i="12" s="1"/>
  <c r="G4091" i="12"/>
  <c r="K4091" i="12" s="1"/>
  <c r="H4091" i="12"/>
  <c r="N4091" i="12"/>
  <c r="O4091" i="12"/>
  <c r="P4091" i="12"/>
  <c r="Q4091" i="12"/>
  <c r="F4092" i="12"/>
  <c r="G4092" i="12"/>
  <c r="J4092" i="12" s="1"/>
  <c r="H4092" i="12"/>
  <c r="N4092" i="12"/>
  <c r="O4092" i="12"/>
  <c r="P4092" i="12"/>
  <c r="Q4092" i="12"/>
  <c r="F4093" i="12"/>
  <c r="G4093" i="12"/>
  <c r="I4093" i="12" s="1"/>
  <c r="H4093" i="12"/>
  <c r="N4093" i="12"/>
  <c r="O4093" i="12"/>
  <c r="P4093" i="12"/>
  <c r="Q4093" i="12"/>
  <c r="F4094" i="12"/>
  <c r="E4094" i="12" s="1"/>
  <c r="G4094" i="12"/>
  <c r="J4094" i="12" s="1"/>
  <c r="H4094" i="12"/>
  <c r="N4094" i="12"/>
  <c r="O4094" i="12"/>
  <c r="P4094" i="12"/>
  <c r="Q4094" i="12"/>
  <c r="F4095" i="12"/>
  <c r="D4095" i="12" s="1"/>
  <c r="G4095" i="12"/>
  <c r="K4095" i="12" s="1"/>
  <c r="H4095" i="12"/>
  <c r="N4095" i="12"/>
  <c r="O4095" i="12"/>
  <c r="P4095" i="12"/>
  <c r="Q4095" i="12"/>
  <c r="F4096" i="12"/>
  <c r="E4096" i="12" s="1"/>
  <c r="G4096" i="12"/>
  <c r="J4096" i="12" s="1"/>
  <c r="H4096" i="12"/>
  <c r="N4096" i="12"/>
  <c r="O4096" i="12"/>
  <c r="P4096" i="12"/>
  <c r="Q4096" i="12"/>
  <c r="F4097" i="12"/>
  <c r="E4097" i="12" s="1"/>
  <c r="G4097" i="12"/>
  <c r="I4097" i="12" s="1"/>
  <c r="H4097" i="12"/>
  <c r="N4097" i="12"/>
  <c r="O4097" i="12"/>
  <c r="P4097" i="12"/>
  <c r="Q4097" i="12"/>
  <c r="F4098" i="12"/>
  <c r="G4098" i="12"/>
  <c r="J4098" i="12" s="1"/>
  <c r="H4098" i="12"/>
  <c r="N4098" i="12"/>
  <c r="O4098" i="12"/>
  <c r="P4098" i="12"/>
  <c r="Q4098" i="12"/>
  <c r="F4099" i="12"/>
  <c r="G4099" i="12"/>
  <c r="H4099" i="12"/>
  <c r="N4099" i="12"/>
  <c r="O4099" i="12"/>
  <c r="P4099" i="12"/>
  <c r="Q4099" i="12"/>
  <c r="F4100" i="12"/>
  <c r="E4100" i="12" s="1"/>
  <c r="G4100" i="12"/>
  <c r="J4100" i="12" s="1"/>
  <c r="H4100" i="12"/>
  <c r="N4100" i="12"/>
  <c r="O4100" i="12"/>
  <c r="P4100" i="12"/>
  <c r="Q4100" i="12"/>
  <c r="F4101" i="12"/>
  <c r="G4101" i="12"/>
  <c r="I4101" i="12" s="1"/>
  <c r="H4101" i="12"/>
  <c r="N4101" i="12"/>
  <c r="O4101" i="12"/>
  <c r="P4101" i="12"/>
  <c r="Q4101" i="12"/>
  <c r="F4102" i="12"/>
  <c r="E4102" i="12" s="1"/>
  <c r="G4102" i="12"/>
  <c r="J4102" i="12" s="1"/>
  <c r="H4102" i="12"/>
  <c r="N4102" i="12"/>
  <c r="O4102" i="12"/>
  <c r="P4102" i="12"/>
  <c r="Q4102" i="12"/>
  <c r="F4103" i="12"/>
  <c r="D4103" i="12" s="1"/>
  <c r="G4103" i="12"/>
  <c r="K4103" i="12" s="1"/>
  <c r="H4103" i="12"/>
  <c r="N4103" i="12"/>
  <c r="O4103" i="12"/>
  <c r="P4103" i="12"/>
  <c r="Q4103" i="12"/>
  <c r="F4104" i="12"/>
  <c r="E4104" i="12" s="1"/>
  <c r="G4104" i="12"/>
  <c r="J4104" i="12" s="1"/>
  <c r="H4104" i="12"/>
  <c r="N4104" i="12"/>
  <c r="O4104" i="12"/>
  <c r="P4104" i="12"/>
  <c r="Q4104" i="12"/>
  <c r="F4105" i="12"/>
  <c r="D4105" i="12" s="1"/>
  <c r="G4105" i="12"/>
  <c r="K4105" i="12" s="1"/>
  <c r="H4105" i="12"/>
  <c r="N4105" i="12"/>
  <c r="O4105" i="12"/>
  <c r="P4105" i="12"/>
  <c r="Q4105" i="12"/>
  <c r="F4106" i="12"/>
  <c r="E4106" i="12" s="1"/>
  <c r="G4106" i="12"/>
  <c r="H4106" i="12"/>
  <c r="N4106" i="12"/>
  <c r="O4106" i="12"/>
  <c r="P4106" i="12"/>
  <c r="Q4106" i="12"/>
  <c r="F4107" i="12"/>
  <c r="G4107" i="12"/>
  <c r="K4107" i="12" s="1"/>
  <c r="H4107" i="12"/>
  <c r="N4107" i="12"/>
  <c r="O4107" i="12"/>
  <c r="P4107" i="12"/>
  <c r="Q4107" i="12"/>
  <c r="F4108" i="12"/>
  <c r="G4108" i="12"/>
  <c r="L4108" i="12" s="1"/>
  <c r="H4108" i="12"/>
  <c r="N4108" i="12"/>
  <c r="O4108" i="12"/>
  <c r="P4108" i="12"/>
  <c r="Q4108" i="12"/>
  <c r="F4109" i="12"/>
  <c r="G4109" i="12"/>
  <c r="L4109" i="12" s="1"/>
  <c r="H4109" i="12"/>
  <c r="N4109" i="12"/>
  <c r="O4109" i="12"/>
  <c r="P4109" i="12"/>
  <c r="Q4109" i="12"/>
  <c r="F4110" i="12"/>
  <c r="E4110" i="12" s="1"/>
  <c r="G4110" i="12"/>
  <c r="J4110" i="12" s="1"/>
  <c r="H4110" i="12"/>
  <c r="N4110" i="12"/>
  <c r="O4110" i="12"/>
  <c r="P4110" i="12"/>
  <c r="Q4110" i="12"/>
  <c r="F4111" i="12"/>
  <c r="D4111" i="12" s="1"/>
  <c r="G4111" i="12"/>
  <c r="H4111" i="12"/>
  <c r="N4111" i="12"/>
  <c r="O4111" i="12"/>
  <c r="P4111" i="12"/>
  <c r="Q4111" i="12"/>
  <c r="F4112" i="12"/>
  <c r="E4112" i="12" s="1"/>
  <c r="G4112" i="12"/>
  <c r="K4112" i="12" s="1"/>
  <c r="H4112" i="12"/>
  <c r="N4112" i="12"/>
  <c r="O4112" i="12"/>
  <c r="P4112" i="12"/>
  <c r="Q4112" i="12"/>
  <c r="F4113" i="12"/>
  <c r="D4113" i="12" s="1"/>
  <c r="G4113" i="12"/>
  <c r="I4113" i="12" s="1"/>
  <c r="H4113" i="12"/>
  <c r="N4113" i="12"/>
  <c r="O4113" i="12"/>
  <c r="P4113" i="12"/>
  <c r="Q4113" i="12"/>
  <c r="F4114" i="12"/>
  <c r="E4114" i="12" s="1"/>
  <c r="G4114" i="12"/>
  <c r="L4114" i="12" s="1"/>
  <c r="H4114" i="12"/>
  <c r="N4114" i="12"/>
  <c r="O4114" i="12"/>
  <c r="P4114" i="12"/>
  <c r="Q4114" i="12"/>
  <c r="F4115" i="12"/>
  <c r="D4115" i="12" s="1"/>
  <c r="G4115" i="12"/>
  <c r="H4115" i="12"/>
  <c r="N4115" i="12"/>
  <c r="O4115" i="12"/>
  <c r="P4115" i="12"/>
  <c r="Q4115" i="12"/>
  <c r="F4116" i="12"/>
  <c r="E4116" i="12" s="1"/>
  <c r="G4116" i="12"/>
  <c r="K4116" i="12" s="1"/>
  <c r="H4116" i="12"/>
  <c r="N4116" i="12"/>
  <c r="O4116" i="12"/>
  <c r="P4116" i="12"/>
  <c r="Q4116" i="12"/>
  <c r="F4117" i="12"/>
  <c r="G4117" i="12"/>
  <c r="L4117" i="12" s="1"/>
  <c r="H4117" i="12"/>
  <c r="N4117" i="12"/>
  <c r="O4117" i="12"/>
  <c r="P4117" i="12"/>
  <c r="Q4117" i="12"/>
  <c r="F4118" i="12"/>
  <c r="E4118" i="12" s="1"/>
  <c r="G4118" i="12"/>
  <c r="H4118" i="12"/>
  <c r="N4118" i="12"/>
  <c r="O4118" i="12"/>
  <c r="P4118" i="12"/>
  <c r="Q4118" i="12"/>
  <c r="F4119" i="12"/>
  <c r="D4119" i="12" s="1"/>
  <c r="G4119" i="12"/>
  <c r="K4119" i="12" s="1"/>
  <c r="H4119" i="12"/>
  <c r="N4119" i="12"/>
  <c r="O4119" i="12"/>
  <c r="P4119" i="12"/>
  <c r="Q4119" i="12"/>
  <c r="F4120" i="12"/>
  <c r="E4120" i="12" s="1"/>
  <c r="G4120" i="12"/>
  <c r="H4120" i="12"/>
  <c r="N4120" i="12"/>
  <c r="O4120" i="12"/>
  <c r="P4120" i="12"/>
  <c r="Q4120" i="12"/>
  <c r="F4121" i="12"/>
  <c r="E4121" i="12" s="1"/>
  <c r="G4121" i="12"/>
  <c r="I4121" i="12" s="1"/>
  <c r="H4121" i="12"/>
  <c r="N4121" i="12"/>
  <c r="O4121" i="12"/>
  <c r="P4121" i="12"/>
  <c r="Q4121" i="12"/>
  <c r="F4122" i="12"/>
  <c r="G4122" i="12"/>
  <c r="J4122" i="12" s="1"/>
  <c r="H4122" i="12"/>
  <c r="N4122" i="12"/>
  <c r="O4122" i="12"/>
  <c r="P4122" i="12"/>
  <c r="Q4122" i="12"/>
  <c r="F4123" i="12"/>
  <c r="D4123" i="12" s="1"/>
  <c r="G4123" i="12"/>
  <c r="I4123" i="12" s="1"/>
  <c r="H4123" i="12"/>
  <c r="N4123" i="12"/>
  <c r="O4123" i="12"/>
  <c r="P4123" i="12"/>
  <c r="Q4123" i="12"/>
  <c r="F4124" i="12"/>
  <c r="G4124" i="12"/>
  <c r="J4124" i="12" s="1"/>
  <c r="H4124" i="12"/>
  <c r="N4124" i="12"/>
  <c r="O4124" i="12"/>
  <c r="P4124" i="12"/>
  <c r="Q4124" i="12"/>
  <c r="F4125" i="12"/>
  <c r="D4125" i="12" s="1"/>
  <c r="G4125" i="12"/>
  <c r="H4125" i="12"/>
  <c r="N4125" i="12"/>
  <c r="O4125" i="12"/>
  <c r="P4125" i="12"/>
  <c r="Q4125" i="12"/>
  <c r="F4126" i="12"/>
  <c r="G4126" i="12"/>
  <c r="J4126" i="12" s="1"/>
  <c r="H4126" i="12"/>
  <c r="N4126" i="12"/>
  <c r="O4126" i="12"/>
  <c r="P4126" i="12"/>
  <c r="Q4126" i="12"/>
  <c r="F4127" i="12"/>
  <c r="D4127" i="12" s="1"/>
  <c r="G4127" i="12"/>
  <c r="I4127" i="12" s="1"/>
  <c r="H4127" i="12"/>
  <c r="N4127" i="12"/>
  <c r="O4127" i="12"/>
  <c r="P4127" i="12"/>
  <c r="Q4127" i="12"/>
  <c r="F4128" i="12"/>
  <c r="E4128" i="12" s="1"/>
  <c r="G4128" i="12"/>
  <c r="J4128" i="12" s="1"/>
  <c r="H4128" i="12"/>
  <c r="N4128" i="12"/>
  <c r="O4128" i="12"/>
  <c r="P4128" i="12"/>
  <c r="Q4128" i="12"/>
  <c r="F4129" i="12"/>
  <c r="D4129" i="12" s="1"/>
  <c r="G4129" i="12"/>
  <c r="K4129" i="12" s="1"/>
  <c r="H4129" i="12"/>
  <c r="N4129" i="12"/>
  <c r="O4129" i="12"/>
  <c r="P4129" i="12"/>
  <c r="Q4129" i="12"/>
  <c r="F4130" i="12"/>
  <c r="E4130" i="12" s="1"/>
  <c r="G4130" i="12"/>
  <c r="M4130" i="12" s="1"/>
  <c r="H4130" i="12"/>
  <c r="N4130" i="12"/>
  <c r="O4130" i="12"/>
  <c r="P4130" i="12"/>
  <c r="Q4130" i="12"/>
  <c r="F4131" i="12"/>
  <c r="G4131" i="12"/>
  <c r="K4131" i="12" s="1"/>
  <c r="H4131" i="12"/>
  <c r="N4131" i="12"/>
  <c r="O4131" i="12"/>
  <c r="P4131" i="12"/>
  <c r="Q4131" i="12"/>
  <c r="F4132" i="12"/>
  <c r="E4132" i="12" s="1"/>
  <c r="G4132" i="12"/>
  <c r="I4132" i="12" s="1"/>
  <c r="H4132" i="12"/>
  <c r="N4132" i="12"/>
  <c r="O4132" i="12"/>
  <c r="P4132" i="12"/>
  <c r="Q4132" i="12"/>
  <c r="F4133" i="12"/>
  <c r="D4133" i="12" s="1"/>
  <c r="G4133" i="12"/>
  <c r="L4133" i="12" s="1"/>
  <c r="H4133" i="12"/>
  <c r="N4133" i="12"/>
  <c r="O4133" i="12"/>
  <c r="P4133" i="12"/>
  <c r="Q4133" i="12"/>
  <c r="F4134" i="12"/>
  <c r="D4134" i="12" s="1"/>
  <c r="G4134" i="12"/>
  <c r="H4134" i="12"/>
  <c r="N4134" i="12"/>
  <c r="O4134" i="12"/>
  <c r="P4134" i="12"/>
  <c r="Q4134" i="12"/>
  <c r="F4135" i="12"/>
  <c r="D4135" i="12" s="1"/>
  <c r="G4135" i="12"/>
  <c r="K4135" i="12" s="1"/>
  <c r="H4135" i="12"/>
  <c r="N4135" i="12"/>
  <c r="O4135" i="12"/>
  <c r="P4135" i="12"/>
  <c r="Q4135" i="12"/>
  <c r="F4136" i="12"/>
  <c r="G4136" i="12"/>
  <c r="M4136" i="12" s="1"/>
  <c r="H4136" i="12"/>
  <c r="N4136" i="12"/>
  <c r="O4136" i="12"/>
  <c r="P4136" i="12"/>
  <c r="Q4136" i="12"/>
  <c r="F4137" i="12"/>
  <c r="D4137" i="12" s="1"/>
  <c r="G4137" i="12"/>
  <c r="J4137" i="12" s="1"/>
  <c r="H4137" i="12"/>
  <c r="N4137" i="12"/>
  <c r="O4137" i="12"/>
  <c r="P4137" i="12"/>
  <c r="Q4137" i="12"/>
  <c r="F4138" i="12"/>
  <c r="E4138" i="12" s="1"/>
  <c r="G4138" i="12"/>
  <c r="M4138" i="12" s="1"/>
  <c r="H4138" i="12"/>
  <c r="N4138" i="12"/>
  <c r="O4138" i="12"/>
  <c r="P4138" i="12"/>
  <c r="Q4138" i="12"/>
  <c r="F4139" i="12"/>
  <c r="G4139" i="12"/>
  <c r="K4139" i="12" s="1"/>
  <c r="H4139" i="12"/>
  <c r="N4139" i="12"/>
  <c r="O4139" i="12"/>
  <c r="P4139" i="12"/>
  <c r="Q4139" i="12"/>
  <c r="F4140" i="12"/>
  <c r="E4140" i="12" s="1"/>
  <c r="G4140" i="12"/>
  <c r="L4140" i="12" s="1"/>
  <c r="H4140" i="12"/>
  <c r="N4140" i="12"/>
  <c r="O4140" i="12"/>
  <c r="P4140" i="12"/>
  <c r="Q4140" i="12"/>
  <c r="F4141" i="12"/>
  <c r="D4141" i="12" s="1"/>
  <c r="G4141" i="12"/>
  <c r="H4141" i="12"/>
  <c r="N4141" i="12"/>
  <c r="O4141" i="12"/>
  <c r="P4141" i="12"/>
  <c r="Q4141" i="12"/>
  <c r="F4142" i="12"/>
  <c r="G4142" i="12"/>
  <c r="I4142" i="12" s="1"/>
  <c r="H4142" i="12"/>
  <c r="N4142" i="12"/>
  <c r="O4142" i="12"/>
  <c r="P4142" i="12"/>
  <c r="Q4142" i="12"/>
  <c r="F4143" i="12"/>
  <c r="D4143" i="12" s="1"/>
  <c r="G4143" i="12"/>
  <c r="H4143" i="12"/>
  <c r="N4143" i="12"/>
  <c r="O4143" i="12"/>
  <c r="P4143" i="12"/>
  <c r="Q4143" i="12"/>
  <c r="F4144" i="12"/>
  <c r="E4144" i="12" s="1"/>
  <c r="G4144" i="12"/>
  <c r="L4144" i="12" s="1"/>
  <c r="H4144" i="12"/>
  <c r="N4144" i="12"/>
  <c r="O4144" i="12"/>
  <c r="P4144" i="12"/>
  <c r="Q4144" i="12"/>
  <c r="F4145" i="12"/>
  <c r="D4145" i="12" s="1"/>
  <c r="G4145" i="12"/>
  <c r="H4145" i="12"/>
  <c r="N4145" i="12"/>
  <c r="O4145" i="12"/>
  <c r="P4145" i="12"/>
  <c r="Q4145" i="12"/>
  <c r="F4146" i="12"/>
  <c r="G4146" i="12"/>
  <c r="I4146" i="12" s="1"/>
  <c r="H4146" i="12"/>
  <c r="N4146" i="12"/>
  <c r="O4146" i="12"/>
  <c r="P4146" i="12"/>
  <c r="Q4146" i="12"/>
  <c r="F4147" i="12"/>
  <c r="D4147" i="12" s="1"/>
  <c r="G4147" i="12"/>
  <c r="H4147" i="12"/>
  <c r="N4147" i="12"/>
  <c r="O4147" i="12"/>
  <c r="P4147" i="12"/>
  <c r="Q4147" i="12"/>
  <c r="F4148" i="12"/>
  <c r="E4148" i="12" s="1"/>
  <c r="G4148" i="12"/>
  <c r="M4148" i="12" s="1"/>
  <c r="H4148" i="12"/>
  <c r="N4148" i="12"/>
  <c r="O4148" i="12"/>
  <c r="P4148" i="12"/>
  <c r="Q4148" i="12"/>
  <c r="F4149" i="12"/>
  <c r="E4149" i="12" s="1"/>
  <c r="G4149" i="12"/>
  <c r="H4149" i="12"/>
  <c r="N4149" i="12"/>
  <c r="O4149" i="12"/>
  <c r="P4149" i="12"/>
  <c r="Q4149" i="12"/>
  <c r="F4150" i="12"/>
  <c r="G4150" i="12"/>
  <c r="I4150" i="12" s="1"/>
  <c r="H4150" i="12"/>
  <c r="N4150" i="12"/>
  <c r="O4150" i="12"/>
  <c r="P4150" i="12"/>
  <c r="Q4150" i="12"/>
  <c r="F4151" i="12"/>
  <c r="D4151" i="12" s="1"/>
  <c r="G4151" i="12"/>
  <c r="H4151" i="12"/>
  <c r="N4151" i="12"/>
  <c r="O4151" i="12"/>
  <c r="P4151" i="12"/>
  <c r="Q4151" i="12"/>
  <c r="F4152" i="12"/>
  <c r="E4152" i="12" s="1"/>
  <c r="G4152" i="12"/>
  <c r="J4152" i="12" s="1"/>
  <c r="H4152" i="12"/>
  <c r="N4152" i="12"/>
  <c r="O4152" i="12"/>
  <c r="P4152" i="12"/>
  <c r="Q4152" i="12"/>
  <c r="F4153" i="12"/>
  <c r="E4153" i="12" s="1"/>
  <c r="G4153" i="12"/>
  <c r="I4153" i="12" s="1"/>
  <c r="H4153" i="12"/>
  <c r="N4153" i="12"/>
  <c r="O4153" i="12"/>
  <c r="P4153" i="12"/>
  <c r="Q4153" i="12"/>
  <c r="F4154" i="12"/>
  <c r="G4154" i="12"/>
  <c r="I4154" i="12" s="1"/>
  <c r="H4154" i="12"/>
  <c r="N4154" i="12"/>
  <c r="O4154" i="12"/>
  <c r="P4154" i="12"/>
  <c r="Q4154" i="12"/>
  <c r="F4155" i="12"/>
  <c r="D4155" i="12" s="1"/>
  <c r="G4155" i="12"/>
  <c r="M4155" i="12" s="1"/>
  <c r="H4155" i="12"/>
  <c r="N4155" i="12"/>
  <c r="O4155" i="12"/>
  <c r="P4155" i="12"/>
  <c r="Q4155" i="12"/>
  <c r="F4156" i="12"/>
  <c r="E4156" i="12" s="1"/>
  <c r="G4156" i="12"/>
  <c r="J4156" i="12" s="1"/>
  <c r="H4156" i="12"/>
  <c r="N4156" i="12"/>
  <c r="O4156" i="12"/>
  <c r="P4156" i="12"/>
  <c r="Q4156" i="12"/>
  <c r="F4157" i="12"/>
  <c r="E4157" i="12" s="1"/>
  <c r="G4157" i="12"/>
  <c r="H4157" i="12"/>
  <c r="N4157" i="12"/>
  <c r="O4157" i="12"/>
  <c r="P4157" i="12"/>
  <c r="Q4157" i="12"/>
  <c r="F4158" i="12"/>
  <c r="G4158" i="12"/>
  <c r="I4158" i="12" s="1"/>
  <c r="H4158" i="12"/>
  <c r="N4158" i="12"/>
  <c r="O4158" i="12"/>
  <c r="P4158" i="12"/>
  <c r="Q4158" i="12"/>
  <c r="F4159" i="12"/>
  <c r="E4159" i="12" s="1"/>
  <c r="G4159" i="12"/>
  <c r="M4159" i="12" s="1"/>
  <c r="H4159" i="12"/>
  <c r="N4159" i="12"/>
  <c r="O4159" i="12"/>
  <c r="P4159" i="12"/>
  <c r="Q4159" i="12"/>
  <c r="F4160" i="12"/>
  <c r="E4160" i="12" s="1"/>
  <c r="G4160" i="12"/>
  <c r="J4160" i="12" s="1"/>
  <c r="H4160" i="12"/>
  <c r="N4160" i="12"/>
  <c r="O4160" i="12"/>
  <c r="P4160" i="12"/>
  <c r="Q4160" i="12"/>
  <c r="F4161" i="12"/>
  <c r="D4161" i="12" s="1"/>
  <c r="G4161" i="12"/>
  <c r="I4161" i="12" s="1"/>
  <c r="H4161" i="12"/>
  <c r="N4161" i="12"/>
  <c r="O4161" i="12"/>
  <c r="P4161" i="12"/>
  <c r="Q4161" i="12"/>
  <c r="F4162" i="12"/>
  <c r="G4162" i="12"/>
  <c r="I4162" i="12" s="1"/>
  <c r="H4162" i="12"/>
  <c r="N4162" i="12"/>
  <c r="O4162" i="12"/>
  <c r="P4162" i="12"/>
  <c r="Q4162" i="12"/>
  <c r="F4163" i="12"/>
  <c r="D4163" i="12" s="1"/>
  <c r="G4163" i="12"/>
  <c r="M4163" i="12" s="1"/>
  <c r="H4163" i="12"/>
  <c r="N4163" i="12"/>
  <c r="O4163" i="12"/>
  <c r="P4163" i="12"/>
  <c r="Q4163" i="12"/>
  <c r="F4164" i="12"/>
  <c r="E4164" i="12" s="1"/>
  <c r="G4164" i="12"/>
  <c r="M4164" i="12" s="1"/>
  <c r="H4164" i="12"/>
  <c r="N4164" i="12"/>
  <c r="O4164" i="12"/>
  <c r="P4164" i="12"/>
  <c r="Q4164" i="12"/>
  <c r="F4165" i="12"/>
  <c r="G4165" i="12"/>
  <c r="H4165" i="12"/>
  <c r="N4165" i="12"/>
  <c r="O4165" i="12"/>
  <c r="P4165" i="12"/>
  <c r="Q4165" i="12"/>
  <c r="F4166" i="12"/>
  <c r="G4166" i="12"/>
  <c r="I4166" i="12" s="1"/>
  <c r="H4166" i="12"/>
  <c r="N4166" i="12"/>
  <c r="O4166" i="12"/>
  <c r="P4166" i="12"/>
  <c r="Q4166" i="12"/>
  <c r="F4167" i="12"/>
  <c r="G4167" i="12"/>
  <c r="M4167" i="12" s="1"/>
  <c r="H4167" i="12"/>
  <c r="N4167" i="12"/>
  <c r="O4167" i="12"/>
  <c r="P4167" i="12"/>
  <c r="Q4167" i="12"/>
  <c r="F4168" i="12"/>
  <c r="E4168" i="12" s="1"/>
  <c r="G4168" i="12"/>
  <c r="J4168" i="12" s="1"/>
  <c r="H4168" i="12"/>
  <c r="N4168" i="12"/>
  <c r="O4168" i="12"/>
  <c r="P4168" i="12"/>
  <c r="Q4168" i="12"/>
  <c r="F4169" i="12"/>
  <c r="E4169" i="12" s="1"/>
  <c r="G4169" i="12"/>
  <c r="I4169" i="12" s="1"/>
  <c r="H4169" i="12"/>
  <c r="N4169" i="12"/>
  <c r="O4169" i="12"/>
  <c r="P4169" i="12"/>
  <c r="Q4169" i="12"/>
  <c r="F4170" i="12"/>
  <c r="G4170" i="12"/>
  <c r="I4170" i="12" s="1"/>
  <c r="H4170" i="12"/>
  <c r="N4170" i="12"/>
  <c r="O4170" i="12"/>
  <c r="P4170" i="12"/>
  <c r="Q4170" i="12"/>
  <c r="F4171" i="12"/>
  <c r="D4171" i="12" s="1"/>
  <c r="G4171" i="12"/>
  <c r="M4171" i="12" s="1"/>
  <c r="H4171" i="12"/>
  <c r="N4171" i="12"/>
  <c r="O4171" i="12"/>
  <c r="P4171" i="12"/>
  <c r="Q4171" i="12"/>
  <c r="F4172" i="12"/>
  <c r="E4172" i="12" s="1"/>
  <c r="G4172" i="12"/>
  <c r="H4172" i="12"/>
  <c r="N4172" i="12"/>
  <c r="O4172" i="12"/>
  <c r="P4172" i="12"/>
  <c r="Q4172" i="12"/>
  <c r="F4173" i="12"/>
  <c r="E4173" i="12" s="1"/>
  <c r="G4173" i="12"/>
  <c r="H4173" i="12"/>
  <c r="N4173" i="12"/>
  <c r="O4173" i="12"/>
  <c r="P4173" i="12"/>
  <c r="Q4173" i="12"/>
  <c r="F4174" i="12"/>
  <c r="G4174" i="12"/>
  <c r="I4174" i="12" s="1"/>
  <c r="H4174" i="12"/>
  <c r="N4174" i="12"/>
  <c r="O4174" i="12"/>
  <c r="P4174" i="12"/>
  <c r="Q4174" i="12"/>
  <c r="F4175" i="12"/>
  <c r="G4175" i="12"/>
  <c r="M4175" i="12" s="1"/>
  <c r="H4175" i="12"/>
  <c r="N4175" i="12"/>
  <c r="O4175" i="12"/>
  <c r="P4175" i="12"/>
  <c r="Q4175" i="12"/>
  <c r="F4176" i="12"/>
  <c r="E4176" i="12" s="1"/>
  <c r="G4176" i="12"/>
  <c r="J4176" i="12" s="1"/>
  <c r="H4176" i="12"/>
  <c r="N4176" i="12"/>
  <c r="O4176" i="12"/>
  <c r="P4176" i="12"/>
  <c r="Q4176" i="12"/>
  <c r="F4177" i="12"/>
  <c r="D4177" i="12" s="1"/>
  <c r="G4177" i="12"/>
  <c r="H4177" i="12"/>
  <c r="N4177" i="12"/>
  <c r="O4177" i="12"/>
  <c r="P4177" i="12"/>
  <c r="Q4177" i="12"/>
  <c r="F4178" i="12"/>
  <c r="G4178" i="12"/>
  <c r="I4178" i="12" s="1"/>
  <c r="H4178" i="12"/>
  <c r="N4178" i="12"/>
  <c r="O4178" i="12"/>
  <c r="P4178" i="12"/>
  <c r="Q4178" i="12"/>
  <c r="F4179" i="12"/>
  <c r="E4179" i="12" s="1"/>
  <c r="G4179" i="12"/>
  <c r="M4179" i="12" s="1"/>
  <c r="H4179" i="12"/>
  <c r="N4179" i="12"/>
  <c r="O4179" i="12"/>
  <c r="P4179" i="12"/>
  <c r="Q4179" i="12"/>
  <c r="F4180" i="12"/>
  <c r="G4180" i="12"/>
  <c r="I4180" i="12" s="1"/>
  <c r="H4180" i="12"/>
  <c r="N4180" i="12"/>
  <c r="O4180" i="12"/>
  <c r="P4180" i="12"/>
  <c r="Q4180" i="12"/>
  <c r="F4181" i="12"/>
  <c r="D4181" i="12" s="1"/>
  <c r="G4181" i="12"/>
  <c r="I4181" i="12" s="1"/>
  <c r="H4181" i="12"/>
  <c r="N4181" i="12"/>
  <c r="O4181" i="12"/>
  <c r="P4181" i="12"/>
  <c r="Q4181" i="12"/>
  <c r="F4182" i="12"/>
  <c r="G4182" i="12"/>
  <c r="I4182" i="12" s="1"/>
  <c r="H4182" i="12"/>
  <c r="N4182" i="12"/>
  <c r="O4182" i="12"/>
  <c r="P4182" i="12"/>
  <c r="Q4182" i="12"/>
  <c r="F4183" i="12"/>
  <c r="E4183" i="12" s="1"/>
  <c r="G4183" i="12"/>
  <c r="H4183" i="12"/>
  <c r="N4183" i="12"/>
  <c r="O4183" i="12"/>
  <c r="P4183" i="12"/>
  <c r="Q4183" i="12"/>
  <c r="F4184" i="12"/>
  <c r="E4184" i="12" s="1"/>
  <c r="G4184" i="12"/>
  <c r="M4184" i="12" s="1"/>
  <c r="H4184" i="12"/>
  <c r="N4184" i="12"/>
  <c r="O4184" i="12"/>
  <c r="P4184" i="12"/>
  <c r="Q4184" i="12"/>
  <c r="F4185" i="12"/>
  <c r="D4185" i="12" s="1"/>
  <c r="G4185" i="12"/>
  <c r="I4185" i="12" s="1"/>
  <c r="H4185" i="12"/>
  <c r="N4185" i="12"/>
  <c r="O4185" i="12"/>
  <c r="P4185" i="12"/>
  <c r="Q4185" i="12"/>
  <c r="F4186" i="12"/>
  <c r="G4186" i="12"/>
  <c r="I4186" i="12" s="1"/>
  <c r="H4186" i="12"/>
  <c r="N4186" i="12"/>
  <c r="O4186" i="12"/>
  <c r="P4186" i="12"/>
  <c r="Q4186" i="12"/>
  <c r="F4187" i="12"/>
  <c r="E4187" i="12" s="1"/>
  <c r="G4187" i="12"/>
  <c r="M4187" i="12" s="1"/>
  <c r="H4187" i="12"/>
  <c r="N4187" i="12"/>
  <c r="O4187" i="12"/>
  <c r="P4187" i="12"/>
  <c r="Q4187" i="12"/>
  <c r="F4188" i="12"/>
  <c r="E4188" i="12" s="1"/>
  <c r="G4188" i="12"/>
  <c r="I4188" i="12" s="1"/>
  <c r="H4188" i="12"/>
  <c r="N4188" i="12"/>
  <c r="O4188" i="12"/>
  <c r="P4188" i="12"/>
  <c r="Q4188" i="12"/>
  <c r="F4189" i="12"/>
  <c r="D4189" i="12" s="1"/>
  <c r="G4189" i="12"/>
  <c r="I4189" i="12" s="1"/>
  <c r="H4189" i="12"/>
  <c r="N4189" i="12"/>
  <c r="O4189" i="12"/>
  <c r="P4189" i="12"/>
  <c r="Q4189" i="12"/>
  <c r="F4190" i="12"/>
  <c r="G4190" i="12"/>
  <c r="I4190" i="12" s="1"/>
  <c r="H4190" i="12"/>
  <c r="N4190" i="12"/>
  <c r="O4190" i="12"/>
  <c r="P4190" i="12"/>
  <c r="Q4190" i="12"/>
  <c r="F4191" i="12"/>
  <c r="E4191" i="12" s="1"/>
  <c r="G4191" i="12"/>
  <c r="M4191" i="12" s="1"/>
  <c r="H4191" i="12"/>
  <c r="N4191" i="12"/>
  <c r="O4191" i="12"/>
  <c r="P4191" i="12"/>
  <c r="Q4191" i="12"/>
  <c r="F4192" i="12"/>
  <c r="E4192" i="12" s="1"/>
  <c r="G4192" i="12"/>
  <c r="K4192" i="12" s="1"/>
  <c r="H4192" i="12"/>
  <c r="N4192" i="12"/>
  <c r="O4192" i="12"/>
  <c r="P4192" i="12"/>
  <c r="Q4192" i="12"/>
  <c r="F4193" i="12"/>
  <c r="E4193" i="12" s="1"/>
  <c r="G4193" i="12"/>
  <c r="H4193" i="12"/>
  <c r="N4193" i="12"/>
  <c r="O4193" i="12"/>
  <c r="P4193" i="12"/>
  <c r="Q4193" i="12"/>
  <c r="F4194" i="12"/>
  <c r="G4194" i="12"/>
  <c r="I4194" i="12" s="1"/>
  <c r="H4194" i="12"/>
  <c r="N4194" i="12"/>
  <c r="O4194" i="12"/>
  <c r="P4194" i="12"/>
  <c r="Q4194" i="12"/>
  <c r="F4195" i="12"/>
  <c r="G4195" i="12"/>
  <c r="M4195" i="12" s="1"/>
  <c r="H4195" i="12"/>
  <c r="N4195" i="12"/>
  <c r="O4195" i="12"/>
  <c r="P4195" i="12"/>
  <c r="Q4195" i="12"/>
  <c r="F4196" i="12"/>
  <c r="E4196" i="12" s="1"/>
  <c r="G4196" i="12"/>
  <c r="K4196" i="12" s="1"/>
  <c r="H4196" i="12"/>
  <c r="N4196" i="12"/>
  <c r="O4196" i="12"/>
  <c r="P4196" i="12"/>
  <c r="Q4196" i="12"/>
  <c r="F4197" i="12"/>
  <c r="E4197" i="12" s="1"/>
  <c r="G4197" i="12"/>
  <c r="I4197" i="12" s="1"/>
  <c r="H4197" i="12"/>
  <c r="N4197" i="12"/>
  <c r="O4197" i="12"/>
  <c r="P4197" i="12"/>
  <c r="Q4197" i="12"/>
  <c r="F4198" i="12"/>
  <c r="G4198" i="12"/>
  <c r="I4198" i="12" s="1"/>
  <c r="H4198" i="12"/>
  <c r="N4198" i="12"/>
  <c r="O4198" i="12"/>
  <c r="P4198" i="12"/>
  <c r="Q4198" i="12"/>
  <c r="F4199" i="12"/>
  <c r="E4199" i="12" s="1"/>
  <c r="G4199" i="12"/>
  <c r="M4199" i="12" s="1"/>
  <c r="H4199" i="12"/>
  <c r="N4199" i="12"/>
  <c r="O4199" i="12"/>
  <c r="P4199" i="12"/>
  <c r="Q4199" i="12"/>
  <c r="F4200" i="12"/>
  <c r="E4200" i="12" s="1"/>
  <c r="G4200" i="12"/>
  <c r="H4200" i="12"/>
  <c r="N4200" i="12"/>
  <c r="O4200" i="12"/>
  <c r="P4200" i="12"/>
  <c r="Q4200" i="12"/>
  <c r="F4201" i="12"/>
  <c r="D4201" i="12" s="1"/>
  <c r="G4201" i="12"/>
  <c r="I4201" i="12" s="1"/>
  <c r="H4201" i="12"/>
  <c r="N4201" i="12"/>
  <c r="O4201" i="12"/>
  <c r="P4201" i="12"/>
  <c r="Q4201" i="12"/>
  <c r="F4202" i="12"/>
  <c r="G4202" i="12"/>
  <c r="I4202" i="12" s="1"/>
  <c r="H4202" i="12"/>
  <c r="N4202" i="12"/>
  <c r="O4202" i="12"/>
  <c r="P4202" i="12"/>
  <c r="Q4202" i="12"/>
  <c r="F4203" i="12"/>
  <c r="G4203" i="12"/>
  <c r="M4203" i="12" s="1"/>
  <c r="H4203" i="12"/>
  <c r="N4203" i="12"/>
  <c r="O4203" i="12"/>
  <c r="P4203" i="12"/>
  <c r="Q4203" i="12"/>
  <c r="F4204" i="12"/>
  <c r="G4204" i="12"/>
  <c r="I4204" i="12" s="1"/>
  <c r="H4204" i="12"/>
  <c r="N4204" i="12"/>
  <c r="O4204" i="12"/>
  <c r="P4204" i="12"/>
  <c r="Q4204" i="12"/>
  <c r="F4205" i="12"/>
  <c r="G4205" i="12"/>
  <c r="I4205" i="12" s="1"/>
  <c r="H4205" i="12"/>
  <c r="N4205" i="12"/>
  <c r="O4205" i="12"/>
  <c r="P4205" i="12"/>
  <c r="Q4205" i="12"/>
  <c r="F4206" i="12"/>
  <c r="G4206" i="12"/>
  <c r="I4206" i="12" s="1"/>
  <c r="H4206" i="12"/>
  <c r="N4206" i="12"/>
  <c r="O4206" i="12"/>
  <c r="P4206" i="12"/>
  <c r="Q4206" i="12"/>
  <c r="F4207" i="12"/>
  <c r="E4207" i="12" s="1"/>
  <c r="G4207" i="12"/>
  <c r="M4207" i="12" s="1"/>
  <c r="H4207" i="12"/>
  <c r="N4207" i="12"/>
  <c r="O4207" i="12"/>
  <c r="P4207" i="12"/>
  <c r="Q4207" i="12"/>
  <c r="F4208" i="12"/>
  <c r="E4208" i="12" s="1"/>
  <c r="G4208" i="12"/>
  <c r="J4208" i="12" s="1"/>
  <c r="H4208" i="12"/>
  <c r="N4208" i="12"/>
  <c r="O4208" i="12"/>
  <c r="P4208" i="12"/>
  <c r="Q4208" i="12"/>
  <c r="F4209" i="12"/>
  <c r="E4209" i="12" s="1"/>
  <c r="G4209" i="12"/>
  <c r="H4209" i="12"/>
  <c r="N4209" i="12"/>
  <c r="O4209" i="12"/>
  <c r="P4209" i="12"/>
  <c r="Q4209" i="12"/>
  <c r="F4210" i="12"/>
  <c r="G4210" i="12"/>
  <c r="I4210" i="12" s="1"/>
  <c r="H4210" i="12"/>
  <c r="N4210" i="12"/>
  <c r="O4210" i="12"/>
  <c r="P4210" i="12"/>
  <c r="Q4210" i="12"/>
  <c r="F4211" i="12"/>
  <c r="E4211" i="12" s="1"/>
  <c r="G4211" i="12"/>
  <c r="H4211" i="12"/>
  <c r="N4211" i="12"/>
  <c r="O4211" i="12"/>
  <c r="P4211" i="12"/>
  <c r="Q4211" i="12"/>
  <c r="F4212" i="12"/>
  <c r="G4212" i="12"/>
  <c r="H4212" i="12"/>
  <c r="N4212" i="12"/>
  <c r="O4212" i="12"/>
  <c r="P4212" i="12"/>
  <c r="Q4212" i="12"/>
  <c r="F4213" i="12"/>
  <c r="D4213" i="12" s="1"/>
  <c r="G4213" i="12"/>
  <c r="I4213" i="12" s="1"/>
  <c r="H4213" i="12"/>
  <c r="N4213" i="12"/>
  <c r="O4213" i="12"/>
  <c r="P4213" i="12"/>
  <c r="Q4213" i="12"/>
  <c r="F4214" i="12"/>
  <c r="G4214" i="12"/>
  <c r="I4214" i="12" s="1"/>
  <c r="H4214" i="12"/>
  <c r="N4214" i="12"/>
  <c r="O4214" i="12"/>
  <c r="P4214" i="12"/>
  <c r="Q4214" i="12"/>
  <c r="F4215" i="12"/>
  <c r="E4215" i="12" s="1"/>
  <c r="G4215" i="12"/>
  <c r="H4215" i="12"/>
  <c r="N4215" i="12"/>
  <c r="O4215" i="12"/>
  <c r="P4215" i="12"/>
  <c r="Q4215" i="12"/>
  <c r="F4216" i="12"/>
  <c r="G4216" i="12"/>
  <c r="M4216" i="12" s="1"/>
  <c r="H4216" i="12"/>
  <c r="N4216" i="12"/>
  <c r="O4216" i="12"/>
  <c r="P4216" i="12"/>
  <c r="Q4216" i="12"/>
  <c r="F4217" i="12"/>
  <c r="G4217" i="12"/>
  <c r="I4217" i="12" s="1"/>
  <c r="H4217" i="12"/>
  <c r="N4217" i="12"/>
  <c r="O4217" i="12"/>
  <c r="P4217" i="12"/>
  <c r="Q4217" i="12"/>
  <c r="F4218" i="12"/>
  <c r="G4218" i="12"/>
  <c r="I4218" i="12" s="1"/>
  <c r="H4218" i="12"/>
  <c r="N4218" i="12"/>
  <c r="O4218" i="12"/>
  <c r="P4218" i="12"/>
  <c r="Q4218" i="12"/>
  <c r="F4219" i="12"/>
  <c r="E4219" i="12" s="1"/>
  <c r="G4219" i="12"/>
  <c r="M4219" i="12" s="1"/>
  <c r="H4219" i="12"/>
  <c r="N4219" i="12"/>
  <c r="O4219" i="12"/>
  <c r="P4219" i="12"/>
  <c r="Q4219" i="12"/>
  <c r="F4220" i="12"/>
  <c r="E4220" i="12" s="1"/>
  <c r="G4220" i="12"/>
  <c r="J4220" i="12" s="1"/>
  <c r="H4220" i="12"/>
  <c r="N4220" i="12"/>
  <c r="O4220" i="12"/>
  <c r="P4220" i="12"/>
  <c r="Q4220" i="12"/>
  <c r="F4221" i="12"/>
  <c r="G4221" i="12"/>
  <c r="I4221" i="12" s="1"/>
  <c r="H4221" i="12"/>
  <c r="N4221" i="12"/>
  <c r="O4221" i="12"/>
  <c r="P4221" i="12"/>
  <c r="Q4221" i="12"/>
  <c r="F4222" i="12"/>
  <c r="G4222" i="12"/>
  <c r="I4222" i="12" s="1"/>
  <c r="H4222" i="12"/>
  <c r="N4222" i="12"/>
  <c r="O4222" i="12"/>
  <c r="P4222" i="12"/>
  <c r="Q4222" i="12"/>
  <c r="F4223" i="12"/>
  <c r="E4223" i="12" s="1"/>
  <c r="G4223" i="12"/>
  <c r="L4223" i="12" s="1"/>
  <c r="H4223" i="12"/>
  <c r="N4223" i="12"/>
  <c r="O4223" i="12"/>
  <c r="P4223" i="12"/>
  <c r="Q4223" i="12"/>
  <c r="F4224" i="12"/>
  <c r="E4224" i="12" s="1"/>
  <c r="G4224" i="12"/>
  <c r="H4224" i="12"/>
  <c r="N4224" i="12"/>
  <c r="O4224" i="12"/>
  <c r="P4224" i="12"/>
  <c r="Q4224" i="12"/>
  <c r="F4225" i="12"/>
  <c r="E4225" i="12" s="1"/>
  <c r="G4225" i="12"/>
  <c r="I4225" i="12" s="1"/>
  <c r="H4225" i="12"/>
  <c r="N4225" i="12"/>
  <c r="O4225" i="12"/>
  <c r="P4225" i="12"/>
  <c r="Q4225" i="12"/>
  <c r="F4226" i="12"/>
  <c r="G4226" i="12"/>
  <c r="H4226" i="12"/>
  <c r="N4226" i="12"/>
  <c r="O4226" i="12"/>
  <c r="P4226" i="12"/>
  <c r="Q4226" i="12"/>
  <c r="F4227" i="12"/>
  <c r="E4227" i="12" s="1"/>
  <c r="G4227" i="12"/>
  <c r="H4227" i="12"/>
  <c r="N4227" i="12"/>
  <c r="O4227" i="12"/>
  <c r="P4227" i="12"/>
  <c r="Q4227" i="12"/>
  <c r="F4228" i="12"/>
  <c r="E4228" i="12" s="1"/>
  <c r="G4228" i="12"/>
  <c r="J4228" i="12" s="1"/>
  <c r="H4228" i="12"/>
  <c r="N4228" i="12"/>
  <c r="O4228" i="12"/>
  <c r="P4228" i="12"/>
  <c r="Q4228" i="12"/>
  <c r="F4229" i="12"/>
  <c r="E4229" i="12" s="1"/>
  <c r="G4229" i="12"/>
  <c r="H4229" i="12"/>
  <c r="N4229" i="12"/>
  <c r="O4229" i="12"/>
  <c r="P4229" i="12"/>
  <c r="Q4229" i="12"/>
  <c r="F4230" i="12"/>
  <c r="G4230" i="12"/>
  <c r="H4230" i="12"/>
  <c r="N4230" i="12"/>
  <c r="O4230" i="12"/>
  <c r="P4230" i="12"/>
  <c r="Q4230" i="12"/>
  <c r="F4231" i="12"/>
  <c r="G4231" i="12"/>
  <c r="L4231" i="12" s="1"/>
  <c r="H4231" i="12"/>
  <c r="N4231" i="12"/>
  <c r="O4231" i="12"/>
  <c r="P4231" i="12"/>
  <c r="Q4231" i="12"/>
  <c r="F4232" i="12"/>
  <c r="E4232" i="12" s="1"/>
  <c r="G4232" i="12"/>
  <c r="K4232" i="12" s="1"/>
  <c r="H4232" i="12"/>
  <c r="N4232" i="12"/>
  <c r="O4232" i="12"/>
  <c r="P4232" i="12"/>
  <c r="Q4232" i="12"/>
  <c r="F4233" i="12"/>
  <c r="D4233" i="12" s="1"/>
  <c r="G4233" i="12"/>
  <c r="I4233" i="12" s="1"/>
  <c r="H4233" i="12"/>
  <c r="N4233" i="12"/>
  <c r="O4233" i="12"/>
  <c r="P4233" i="12"/>
  <c r="Q4233" i="12"/>
  <c r="F4234" i="12"/>
  <c r="G4234" i="12"/>
  <c r="H4234" i="12"/>
  <c r="N4234" i="12"/>
  <c r="O4234" i="12"/>
  <c r="P4234" i="12"/>
  <c r="Q4234" i="12"/>
  <c r="F4235" i="12"/>
  <c r="E4235" i="12" s="1"/>
  <c r="G4235" i="12"/>
  <c r="J4235" i="12" s="1"/>
  <c r="H4235" i="12"/>
  <c r="N4235" i="12"/>
  <c r="O4235" i="12"/>
  <c r="P4235" i="12"/>
  <c r="Q4235" i="12"/>
  <c r="F4236" i="12"/>
  <c r="E4236" i="12" s="1"/>
  <c r="G4236" i="12"/>
  <c r="J4236" i="12" s="1"/>
  <c r="H4236" i="12"/>
  <c r="N4236" i="12"/>
  <c r="O4236" i="12"/>
  <c r="P4236" i="12"/>
  <c r="Q4236" i="12"/>
  <c r="F4237" i="12"/>
  <c r="G4237" i="12"/>
  <c r="I4237" i="12" s="1"/>
  <c r="H4237" i="12"/>
  <c r="N4237" i="12"/>
  <c r="O4237" i="12"/>
  <c r="P4237" i="12"/>
  <c r="Q4237" i="12"/>
  <c r="F4238" i="12"/>
  <c r="G4238" i="12"/>
  <c r="H4238" i="12"/>
  <c r="N4238" i="12"/>
  <c r="O4238" i="12"/>
  <c r="P4238" i="12"/>
  <c r="Q4238" i="12"/>
  <c r="F4239" i="12"/>
  <c r="E4239" i="12" s="1"/>
  <c r="G4239" i="12"/>
  <c r="I4239" i="12" s="1"/>
  <c r="H4239" i="12"/>
  <c r="N4239" i="12"/>
  <c r="O4239" i="12"/>
  <c r="P4239" i="12"/>
  <c r="Q4239" i="12"/>
  <c r="F4240" i="12"/>
  <c r="E4240" i="12" s="1"/>
  <c r="G4240" i="12"/>
  <c r="H4240" i="12"/>
  <c r="N4240" i="12"/>
  <c r="O4240" i="12"/>
  <c r="P4240" i="12"/>
  <c r="Q4240" i="12"/>
  <c r="F4241" i="12"/>
  <c r="E4241" i="12" s="1"/>
  <c r="G4241" i="12"/>
  <c r="H4241" i="12"/>
  <c r="N4241" i="12"/>
  <c r="O4241" i="12"/>
  <c r="P4241" i="12"/>
  <c r="Q4241" i="12"/>
  <c r="F4242" i="12"/>
  <c r="G4242" i="12"/>
  <c r="J4242" i="12" s="1"/>
  <c r="H4242" i="12"/>
  <c r="N4242" i="12"/>
  <c r="O4242" i="12"/>
  <c r="P4242" i="12"/>
  <c r="Q4242" i="12"/>
  <c r="F4243" i="12"/>
  <c r="E4243" i="12" s="1"/>
  <c r="G4243" i="12"/>
  <c r="M4243" i="12" s="1"/>
  <c r="H4243" i="12"/>
  <c r="N4243" i="12"/>
  <c r="O4243" i="12"/>
  <c r="P4243" i="12"/>
  <c r="Q4243" i="12"/>
  <c r="F4244" i="12"/>
  <c r="E4244" i="12" s="1"/>
  <c r="G4244" i="12"/>
  <c r="I4244" i="12" s="1"/>
  <c r="H4244" i="12"/>
  <c r="N4244" i="12"/>
  <c r="O4244" i="12"/>
  <c r="P4244" i="12"/>
  <c r="Q4244" i="12"/>
  <c r="F4245" i="12"/>
  <c r="D4245" i="12" s="1"/>
  <c r="G4245" i="12"/>
  <c r="I4245" i="12" s="1"/>
  <c r="H4245" i="12"/>
  <c r="N4245" i="12"/>
  <c r="O4245" i="12"/>
  <c r="P4245" i="12"/>
  <c r="Q4245" i="12"/>
  <c r="F4246" i="12"/>
  <c r="G4246" i="12"/>
  <c r="J4246" i="12" s="1"/>
  <c r="H4246" i="12"/>
  <c r="N4246" i="12"/>
  <c r="O4246" i="12"/>
  <c r="P4246" i="12"/>
  <c r="Q4246" i="12"/>
  <c r="F4247" i="12"/>
  <c r="E4247" i="12" s="1"/>
  <c r="G4247" i="12"/>
  <c r="H4247" i="12"/>
  <c r="N4247" i="12"/>
  <c r="O4247" i="12"/>
  <c r="P4247" i="12"/>
  <c r="Q4247" i="12"/>
  <c r="F4248" i="12"/>
  <c r="E4248" i="12" s="1"/>
  <c r="G4248" i="12"/>
  <c r="I4248" i="12" s="1"/>
  <c r="H4248" i="12"/>
  <c r="N4248" i="12"/>
  <c r="O4248" i="12"/>
  <c r="P4248" i="12"/>
  <c r="Q4248" i="12"/>
  <c r="F4249" i="12"/>
  <c r="E4249" i="12" s="1"/>
  <c r="G4249" i="12"/>
  <c r="H4249" i="12"/>
  <c r="N4249" i="12"/>
  <c r="O4249" i="12"/>
  <c r="P4249" i="12"/>
  <c r="Q4249" i="12"/>
  <c r="F4250" i="12"/>
  <c r="G4250" i="12"/>
  <c r="J4250" i="12" s="1"/>
  <c r="H4250" i="12"/>
  <c r="N4250" i="12"/>
  <c r="O4250" i="12"/>
  <c r="P4250" i="12"/>
  <c r="Q4250" i="12"/>
  <c r="F4251" i="12"/>
  <c r="G4251" i="12"/>
  <c r="K4251" i="12" s="1"/>
  <c r="H4251" i="12"/>
  <c r="N4251" i="12"/>
  <c r="O4251" i="12"/>
  <c r="P4251" i="12"/>
  <c r="Q4251" i="12"/>
  <c r="F4252" i="12"/>
  <c r="E4252" i="12" s="1"/>
  <c r="G4252" i="12"/>
  <c r="H4252" i="12"/>
  <c r="N4252" i="12"/>
  <c r="O4252" i="12"/>
  <c r="P4252" i="12"/>
  <c r="Q4252" i="12"/>
  <c r="F4253" i="12"/>
  <c r="D4253" i="12" s="1"/>
  <c r="G4253" i="12"/>
  <c r="I4253" i="12" s="1"/>
  <c r="H4253" i="12"/>
  <c r="N4253" i="12"/>
  <c r="O4253" i="12"/>
  <c r="P4253" i="12"/>
  <c r="Q4253" i="12"/>
  <c r="F4254" i="12"/>
  <c r="G4254" i="12"/>
  <c r="I4254" i="12" s="1"/>
  <c r="H4254" i="12"/>
  <c r="N4254" i="12"/>
  <c r="O4254" i="12"/>
  <c r="P4254" i="12"/>
  <c r="Q4254" i="12"/>
  <c r="F4255" i="12"/>
  <c r="E4255" i="12" s="1"/>
  <c r="G4255" i="12"/>
  <c r="M4255" i="12" s="1"/>
  <c r="H4255" i="12"/>
  <c r="N4255" i="12"/>
  <c r="O4255" i="12"/>
  <c r="P4255" i="12"/>
  <c r="Q4255" i="12"/>
  <c r="F4256" i="12"/>
  <c r="E4256" i="12" s="1"/>
  <c r="G4256" i="12"/>
  <c r="H4256" i="12"/>
  <c r="N4256" i="12"/>
  <c r="O4256" i="12"/>
  <c r="P4256" i="12"/>
  <c r="Q4256" i="12"/>
  <c r="F4257" i="12"/>
  <c r="D4257" i="12" s="1"/>
  <c r="G4257" i="12"/>
  <c r="H4257" i="12"/>
  <c r="N4257" i="12"/>
  <c r="O4257" i="12"/>
  <c r="P4257" i="12"/>
  <c r="Q4257" i="12"/>
  <c r="F4258" i="12"/>
  <c r="G4258" i="12"/>
  <c r="I4258" i="12" s="1"/>
  <c r="H4258" i="12"/>
  <c r="N4258" i="12"/>
  <c r="O4258" i="12"/>
  <c r="P4258" i="12"/>
  <c r="Q4258" i="12"/>
  <c r="F4259" i="12"/>
  <c r="E4259" i="12" s="1"/>
  <c r="G4259" i="12"/>
  <c r="M4259" i="12" s="1"/>
  <c r="H4259" i="12"/>
  <c r="N4259" i="12"/>
  <c r="O4259" i="12"/>
  <c r="P4259" i="12"/>
  <c r="Q4259" i="12"/>
  <c r="F4260" i="12"/>
  <c r="D4260" i="12" s="1"/>
  <c r="G4260" i="12"/>
  <c r="H4260" i="12"/>
  <c r="N4260" i="12"/>
  <c r="O4260" i="12"/>
  <c r="P4260" i="12"/>
  <c r="Q4260" i="12"/>
  <c r="F4261" i="12"/>
  <c r="E4261" i="12" s="1"/>
  <c r="G4261" i="12"/>
  <c r="H4261" i="12"/>
  <c r="N4261" i="12"/>
  <c r="O4261" i="12"/>
  <c r="P4261" i="12"/>
  <c r="Q4261" i="12"/>
  <c r="F4262" i="12"/>
  <c r="G4262" i="12"/>
  <c r="I4262" i="12" s="1"/>
  <c r="H4262" i="12"/>
  <c r="N4262" i="12"/>
  <c r="O4262" i="12"/>
  <c r="P4262" i="12"/>
  <c r="Q4262" i="12"/>
  <c r="F4263" i="12"/>
  <c r="E4263" i="12" s="1"/>
  <c r="G4263" i="12"/>
  <c r="M4263" i="12" s="1"/>
  <c r="H4263" i="12"/>
  <c r="N4263" i="12"/>
  <c r="O4263" i="12"/>
  <c r="P4263" i="12"/>
  <c r="Q4263" i="12"/>
  <c r="F4264" i="12"/>
  <c r="E4264" i="12" s="1"/>
  <c r="G4264" i="12"/>
  <c r="I4264" i="12" s="1"/>
  <c r="H4264" i="12"/>
  <c r="N4264" i="12"/>
  <c r="O4264" i="12"/>
  <c r="P4264" i="12"/>
  <c r="Q4264" i="12"/>
  <c r="F4265" i="12"/>
  <c r="G4265" i="12"/>
  <c r="H4265" i="12"/>
  <c r="N4265" i="12"/>
  <c r="O4265" i="12"/>
  <c r="P4265" i="12"/>
  <c r="Q4265" i="12"/>
  <c r="F4266" i="12"/>
  <c r="G4266" i="12"/>
  <c r="I4266" i="12" s="1"/>
  <c r="H4266" i="12"/>
  <c r="N4266" i="12"/>
  <c r="O4266" i="12"/>
  <c r="P4266" i="12"/>
  <c r="Q4266" i="12"/>
  <c r="F4267" i="12"/>
  <c r="G4267" i="12"/>
  <c r="M4267" i="12" s="1"/>
  <c r="H4267" i="12"/>
  <c r="N4267" i="12"/>
  <c r="O4267" i="12"/>
  <c r="P4267" i="12"/>
  <c r="Q4267" i="12"/>
  <c r="F4268" i="12"/>
  <c r="G4268" i="12"/>
  <c r="M4268" i="12" s="1"/>
  <c r="H4268" i="12"/>
  <c r="N4268" i="12"/>
  <c r="O4268" i="12"/>
  <c r="P4268" i="12"/>
  <c r="Q4268" i="12"/>
  <c r="F4269" i="12"/>
  <c r="D4269" i="12" s="1"/>
  <c r="G4269" i="12"/>
  <c r="H4269" i="12"/>
  <c r="N4269" i="12"/>
  <c r="O4269" i="12"/>
  <c r="P4269" i="12"/>
  <c r="Q4269" i="12"/>
  <c r="F4270" i="12"/>
  <c r="D4270" i="12" s="1"/>
  <c r="G4270" i="12"/>
  <c r="M4270" i="12" s="1"/>
  <c r="H4270" i="12"/>
  <c r="N4270" i="12"/>
  <c r="O4270" i="12"/>
  <c r="P4270" i="12"/>
  <c r="Q4270" i="12"/>
  <c r="F4271" i="12"/>
  <c r="E4271" i="12" s="1"/>
  <c r="G4271" i="12"/>
  <c r="J4271" i="12" s="1"/>
  <c r="H4271" i="12"/>
  <c r="N4271" i="12"/>
  <c r="O4271" i="12"/>
  <c r="P4271" i="12"/>
  <c r="Q4271" i="12"/>
  <c r="F4272" i="12"/>
  <c r="D4272" i="12" s="1"/>
  <c r="G4272" i="12"/>
  <c r="J4272" i="12" s="1"/>
  <c r="H4272" i="12"/>
  <c r="N4272" i="12"/>
  <c r="O4272" i="12"/>
  <c r="P4272" i="12"/>
  <c r="Q4272" i="12"/>
  <c r="F4273" i="12"/>
  <c r="E4273" i="12" s="1"/>
  <c r="G4273" i="12"/>
  <c r="H4273" i="12"/>
  <c r="N4273" i="12"/>
  <c r="O4273" i="12"/>
  <c r="P4273" i="12"/>
  <c r="Q4273" i="12"/>
  <c r="F4274" i="12"/>
  <c r="D4274" i="12" s="1"/>
  <c r="G4274" i="12"/>
  <c r="I4274" i="12" s="1"/>
  <c r="H4274" i="12"/>
  <c r="N4274" i="12"/>
  <c r="O4274" i="12"/>
  <c r="P4274" i="12"/>
  <c r="Q4274" i="12"/>
  <c r="F4275" i="12"/>
  <c r="E4275" i="12" s="1"/>
  <c r="G4275" i="12"/>
  <c r="M4275" i="12" s="1"/>
  <c r="H4275" i="12"/>
  <c r="N4275" i="12"/>
  <c r="O4275" i="12"/>
  <c r="P4275" i="12"/>
  <c r="Q4275" i="12"/>
  <c r="F4276" i="12"/>
  <c r="G4276" i="12"/>
  <c r="H4276" i="12"/>
  <c r="N4276" i="12"/>
  <c r="O4276" i="12"/>
  <c r="P4276" i="12"/>
  <c r="Q4276" i="12"/>
  <c r="F4277" i="12"/>
  <c r="G4277" i="12"/>
  <c r="H4277" i="12"/>
  <c r="N4277" i="12"/>
  <c r="O4277" i="12"/>
  <c r="P4277" i="12"/>
  <c r="Q4277" i="12"/>
  <c r="F4278" i="12"/>
  <c r="D4278" i="12" s="1"/>
  <c r="G4278" i="12"/>
  <c r="I4278" i="12" s="1"/>
  <c r="H4278" i="12"/>
  <c r="N4278" i="12"/>
  <c r="O4278" i="12"/>
  <c r="P4278" i="12"/>
  <c r="Q4278" i="12"/>
  <c r="F4279" i="12"/>
  <c r="G4279" i="12"/>
  <c r="M4279" i="12" s="1"/>
  <c r="H4279" i="12"/>
  <c r="N4279" i="12"/>
  <c r="O4279" i="12"/>
  <c r="P4279" i="12"/>
  <c r="Q4279" i="12"/>
  <c r="F4280" i="12"/>
  <c r="G4280" i="12"/>
  <c r="I4280" i="12" s="1"/>
  <c r="H4280" i="12"/>
  <c r="N4280" i="12"/>
  <c r="O4280" i="12"/>
  <c r="P4280" i="12"/>
  <c r="Q4280" i="12"/>
  <c r="F4281" i="12"/>
  <c r="D4281" i="12" s="1"/>
  <c r="G4281" i="12"/>
  <c r="M4281" i="12" s="1"/>
  <c r="H4281" i="12"/>
  <c r="N4281" i="12"/>
  <c r="O4281" i="12"/>
  <c r="P4281" i="12"/>
  <c r="Q4281" i="12"/>
  <c r="F4282" i="12"/>
  <c r="D4282" i="12" s="1"/>
  <c r="G4282" i="12"/>
  <c r="J4282" i="12" s="1"/>
  <c r="H4282" i="12"/>
  <c r="N4282" i="12"/>
  <c r="O4282" i="12"/>
  <c r="P4282" i="12"/>
  <c r="Q4282" i="12"/>
  <c r="F4283" i="12"/>
  <c r="E4283" i="12" s="1"/>
  <c r="G4283" i="12"/>
  <c r="L4283" i="12" s="1"/>
  <c r="H4283" i="12"/>
  <c r="N4283" i="12"/>
  <c r="O4283" i="12"/>
  <c r="P4283" i="12"/>
  <c r="Q4283" i="12"/>
  <c r="F4284" i="12"/>
  <c r="D4284" i="12" s="1"/>
  <c r="G4284" i="12"/>
  <c r="J4284" i="12" s="1"/>
  <c r="H4284" i="12"/>
  <c r="N4284" i="12"/>
  <c r="O4284" i="12"/>
  <c r="P4284" i="12"/>
  <c r="Q4284" i="12"/>
  <c r="F4285" i="12"/>
  <c r="E4285" i="12" s="1"/>
  <c r="G4285" i="12"/>
  <c r="K4285" i="12" s="1"/>
  <c r="H4285" i="12"/>
  <c r="N4285" i="12"/>
  <c r="O4285" i="12"/>
  <c r="P4285" i="12"/>
  <c r="Q4285" i="12"/>
  <c r="F4286" i="12"/>
  <c r="G4286" i="12"/>
  <c r="I4286" i="12" s="1"/>
  <c r="H4286" i="12"/>
  <c r="N4286" i="12"/>
  <c r="O4286" i="12"/>
  <c r="P4286" i="12"/>
  <c r="Q4286" i="12"/>
  <c r="F4287" i="12"/>
  <c r="E4287" i="12" s="1"/>
  <c r="G4287" i="12"/>
  <c r="M4287" i="12" s="1"/>
  <c r="H4287" i="12"/>
  <c r="N4287" i="12"/>
  <c r="O4287" i="12"/>
  <c r="P4287" i="12"/>
  <c r="Q4287" i="12"/>
  <c r="F4288" i="12"/>
  <c r="G4288" i="12"/>
  <c r="I4288" i="12" s="1"/>
  <c r="H4288" i="12"/>
  <c r="N4288" i="12"/>
  <c r="O4288" i="12"/>
  <c r="P4288" i="12"/>
  <c r="Q4288" i="12"/>
  <c r="F4289" i="12"/>
  <c r="D4289" i="12" s="1"/>
  <c r="G4289" i="12"/>
  <c r="I4289" i="12" s="1"/>
  <c r="H4289" i="12"/>
  <c r="N4289" i="12"/>
  <c r="O4289" i="12"/>
  <c r="P4289" i="12"/>
  <c r="Q4289" i="12"/>
  <c r="F4290" i="12"/>
  <c r="G4290" i="12"/>
  <c r="H4290" i="12"/>
  <c r="N4290" i="12"/>
  <c r="O4290" i="12"/>
  <c r="P4290" i="12"/>
  <c r="Q4290" i="12"/>
  <c r="F4291" i="12"/>
  <c r="E4291" i="12" s="1"/>
  <c r="G4291" i="12"/>
  <c r="J4291" i="12" s="1"/>
  <c r="H4291" i="12"/>
  <c r="N4291" i="12"/>
  <c r="O4291" i="12"/>
  <c r="P4291" i="12"/>
  <c r="Q4291" i="12"/>
  <c r="F4292" i="12"/>
  <c r="E4292" i="12" s="1"/>
  <c r="G4292" i="12"/>
  <c r="H4292" i="12"/>
  <c r="N4292" i="12"/>
  <c r="O4292" i="12"/>
  <c r="P4292" i="12"/>
  <c r="Q4292" i="12"/>
  <c r="F4293" i="12"/>
  <c r="G4293" i="12"/>
  <c r="I4293" i="12" s="1"/>
  <c r="H4293" i="12"/>
  <c r="N4293" i="12"/>
  <c r="O4293" i="12"/>
  <c r="P4293" i="12"/>
  <c r="Q4293" i="12"/>
  <c r="F4294" i="12"/>
  <c r="D4294" i="12" s="1"/>
  <c r="G4294" i="12"/>
  <c r="H4294" i="12"/>
  <c r="N4294" i="12"/>
  <c r="O4294" i="12"/>
  <c r="P4294" i="12"/>
  <c r="Q4294" i="12"/>
  <c r="F4295" i="12"/>
  <c r="D4295" i="12" s="1"/>
  <c r="G4295" i="12"/>
  <c r="H4295" i="12"/>
  <c r="N4295" i="12"/>
  <c r="O4295" i="12"/>
  <c r="P4295" i="12"/>
  <c r="Q4295" i="12"/>
  <c r="F4296" i="12"/>
  <c r="E4296" i="12" s="1"/>
  <c r="G4296" i="12"/>
  <c r="M4296" i="12" s="1"/>
  <c r="H4296" i="12"/>
  <c r="N4296" i="12"/>
  <c r="O4296" i="12"/>
  <c r="P4296" i="12"/>
  <c r="Q4296" i="12"/>
  <c r="F4297" i="12"/>
  <c r="G4297" i="12"/>
  <c r="H4297" i="12"/>
  <c r="N4297" i="12"/>
  <c r="O4297" i="12"/>
  <c r="P4297" i="12"/>
  <c r="Q4297" i="12"/>
  <c r="F4298" i="12"/>
  <c r="D4298" i="12" s="1"/>
  <c r="G4298" i="12"/>
  <c r="I4298" i="12" s="1"/>
  <c r="H4298" i="12"/>
  <c r="N4298" i="12"/>
  <c r="O4298" i="12"/>
  <c r="P4298" i="12"/>
  <c r="Q4298" i="12"/>
  <c r="F4299" i="12"/>
  <c r="D4299" i="12" s="1"/>
  <c r="G4299" i="12"/>
  <c r="J4299" i="12" s="1"/>
  <c r="H4299" i="12"/>
  <c r="N4299" i="12"/>
  <c r="O4299" i="12"/>
  <c r="P4299" i="12"/>
  <c r="Q4299" i="12"/>
  <c r="F4300" i="12"/>
  <c r="G4300" i="12"/>
  <c r="J4300" i="12" s="1"/>
  <c r="H4300" i="12"/>
  <c r="N4300" i="12"/>
  <c r="O4300" i="12"/>
  <c r="P4300" i="12"/>
  <c r="Q4300" i="12"/>
  <c r="F4301" i="12"/>
  <c r="G4301" i="12"/>
  <c r="I4301" i="12" s="1"/>
  <c r="H4301" i="12"/>
  <c r="N4301" i="12"/>
  <c r="O4301" i="12"/>
  <c r="P4301" i="12"/>
  <c r="Q4301" i="12"/>
  <c r="F4302" i="12"/>
  <c r="G4302" i="12"/>
  <c r="I4302" i="12" s="1"/>
  <c r="H4302" i="12"/>
  <c r="N4302" i="12"/>
  <c r="O4302" i="12"/>
  <c r="P4302" i="12"/>
  <c r="Q4302" i="12"/>
  <c r="F4303" i="12"/>
  <c r="G4303" i="12"/>
  <c r="H4303" i="12"/>
  <c r="N4303" i="12"/>
  <c r="O4303" i="12"/>
  <c r="P4303" i="12"/>
  <c r="Q4303" i="12"/>
  <c r="F4304" i="12"/>
  <c r="G4304" i="12"/>
  <c r="L4304" i="12" s="1"/>
  <c r="H4304" i="12"/>
  <c r="N4304" i="12"/>
  <c r="O4304" i="12"/>
  <c r="P4304" i="12"/>
  <c r="Q4304" i="12"/>
  <c r="F4305" i="12"/>
  <c r="G4305" i="12"/>
  <c r="I4305" i="12" s="1"/>
  <c r="H4305" i="12"/>
  <c r="N4305" i="12"/>
  <c r="O4305" i="12"/>
  <c r="P4305" i="12"/>
  <c r="Q4305" i="12"/>
  <c r="F4306" i="12"/>
  <c r="E4306" i="12" s="1"/>
  <c r="G4306" i="12"/>
  <c r="I4306" i="12" s="1"/>
  <c r="H4306" i="12"/>
  <c r="N4306" i="12"/>
  <c r="O4306" i="12"/>
  <c r="P4306" i="12"/>
  <c r="Q4306" i="12"/>
  <c r="F4307" i="12"/>
  <c r="G4307" i="12"/>
  <c r="L4307" i="12" s="1"/>
  <c r="H4307" i="12"/>
  <c r="N4307" i="12"/>
  <c r="O4307" i="12"/>
  <c r="P4307" i="12"/>
  <c r="Q4307" i="12"/>
  <c r="F4308" i="12"/>
  <c r="E4308" i="12" s="1"/>
  <c r="G4308" i="12"/>
  <c r="L4308" i="12" s="1"/>
  <c r="H4308" i="12"/>
  <c r="N4308" i="12"/>
  <c r="O4308" i="12"/>
  <c r="P4308" i="12"/>
  <c r="Q4308" i="12"/>
  <c r="F4309" i="12"/>
  <c r="G4309" i="12"/>
  <c r="I4309" i="12" s="1"/>
  <c r="H4309" i="12"/>
  <c r="N4309" i="12"/>
  <c r="O4309" i="12"/>
  <c r="P4309" i="12"/>
  <c r="Q4309" i="12"/>
  <c r="F4310" i="12"/>
  <c r="G4310" i="12"/>
  <c r="I4310" i="12" s="1"/>
  <c r="H4310" i="12"/>
  <c r="N4310" i="12"/>
  <c r="O4310" i="12"/>
  <c r="P4310" i="12"/>
  <c r="Q4310" i="12"/>
  <c r="F4311" i="12"/>
  <c r="E4311" i="12" s="1"/>
  <c r="G4311" i="12"/>
  <c r="J4311" i="12" s="1"/>
  <c r="H4311" i="12"/>
  <c r="N4311" i="12"/>
  <c r="O4311" i="12"/>
  <c r="P4311" i="12"/>
  <c r="Q4311" i="12"/>
  <c r="F4312" i="12"/>
  <c r="G4312" i="12"/>
  <c r="J4312" i="12" s="1"/>
  <c r="H4312" i="12"/>
  <c r="N4312" i="12"/>
  <c r="O4312" i="12"/>
  <c r="P4312" i="12"/>
  <c r="Q4312" i="12"/>
  <c r="F4313" i="12"/>
  <c r="G4313" i="12"/>
  <c r="I4313" i="12" s="1"/>
  <c r="H4313" i="12"/>
  <c r="N4313" i="12"/>
  <c r="O4313" i="12"/>
  <c r="P4313" i="12"/>
  <c r="Q4313" i="12"/>
  <c r="F4314" i="12"/>
  <c r="D4314" i="12" s="1"/>
  <c r="G4314" i="12"/>
  <c r="I4314" i="12" s="1"/>
  <c r="H4314" i="12"/>
  <c r="N4314" i="12"/>
  <c r="O4314" i="12"/>
  <c r="P4314" i="12"/>
  <c r="Q4314" i="12"/>
  <c r="F4315" i="12"/>
  <c r="E4315" i="12" s="1"/>
  <c r="G4315" i="12"/>
  <c r="L4315" i="12" s="1"/>
  <c r="H4315" i="12"/>
  <c r="N4315" i="12"/>
  <c r="O4315" i="12"/>
  <c r="P4315" i="12"/>
  <c r="Q4315" i="12"/>
  <c r="F4316" i="12"/>
  <c r="E4316" i="12" s="1"/>
  <c r="G4316" i="12"/>
  <c r="I4316" i="12" s="1"/>
  <c r="H4316" i="12"/>
  <c r="N4316" i="12"/>
  <c r="O4316" i="12"/>
  <c r="P4316" i="12"/>
  <c r="Q4316" i="12"/>
  <c r="F4317" i="12"/>
  <c r="G4317" i="12"/>
  <c r="I4317" i="12" s="1"/>
  <c r="H4317" i="12"/>
  <c r="N4317" i="12"/>
  <c r="O4317" i="12"/>
  <c r="P4317" i="12"/>
  <c r="Q4317" i="12"/>
  <c r="F4318" i="12"/>
  <c r="E4318" i="12" s="1"/>
  <c r="G4318" i="12"/>
  <c r="I4318" i="12" s="1"/>
  <c r="H4318" i="12"/>
  <c r="N4318" i="12"/>
  <c r="O4318" i="12"/>
  <c r="P4318" i="12"/>
  <c r="Q4318" i="12"/>
  <c r="F4319" i="12"/>
  <c r="G4319" i="12"/>
  <c r="H4319" i="12"/>
  <c r="N4319" i="12"/>
  <c r="O4319" i="12"/>
  <c r="P4319" i="12"/>
  <c r="Q4319" i="12"/>
  <c r="F4320" i="12"/>
  <c r="G4320" i="12"/>
  <c r="J4320" i="12" s="1"/>
  <c r="H4320" i="12"/>
  <c r="N4320" i="12"/>
  <c r="O4320" i="12"/>
  <c r="P4320" i="12"/>
  <c r="Q4320" i="12"/>
  <c r="F4321" i="12"/>
  <c r="G4321" i="12"/>
  <c r="H4321" i="12"/>
  <c r="N4321" i="12"/>
  <c r="O4321" i="12"/>
  <c r="P4321" i="12"/>
  <c r="Q4321" i="12"/>
  <c r="F4322" i="12"/>
  <c r="D4322" i="12" s="1"/>
  <c r="G4322" i="12"/>
  <c r="I4322" i="12" s="1"/>
  <c r="H4322" i="12"/>
  <c r="N4322" i="12"/>
  <c r="O4322" i="12"/>
  <c r="P4322" i="12"/>
  <c r="Q4322" i="12"/>
  <c r="F4323" i="12"/>
  <c r="E4323" i="12" s="1"/>
  <c r="G4323" i="12"/>
  <c r="J4323" i="12" s="1"/>
  <c r="H4323" i="12"/>
  <c r="N4323" i="12"/>
  <c r="O4323" i="12"/>
  <c r="P4323" i="12"/>
  <c r="Q4323" i="12"/>
  <c r="F4324" i="12"/>
  <c r="E4324" i="12" s="1"/>
  <c r="G4324" i="12"/>
  <c r="H4324" i="12"/>
  <c r="N4324" i="12"/>
  <c r="O4324" i="12"/>
  <c r="P4324" i="12"/>
  <c r="Q4324" i="12"/>
  <c r="F4325" i="12"/>
  <c r="G4325" i="12"/>
  <c r="M4325" i="12" s="1"/>
  <c r="H4325" i="12"/>
  <c r="N4325" i="12"/>
  <c r="O4325" i="12"/>
  <c r="P4325" i="12"/>
  <c r="Q4325" i="12"/>
  <c r="F4326" i="12"/>
  <c r="E4326" i="12" s="1"/>
  <c r="G4326" i="12"/>
  <c r="L4326" i="12" s="1"/>
  <c r="H4326" i="12"/>
  <c r="N4326" i="12"/>
  <c r="O4326" i="12"/>
  <c r="P4326" i="12"/>
  <c r="Q4326" i="12"/>
  <c r="F4327" i="12"/>
  <c r="E4327" i="12" s="1"/>
  <c r="G4327" i="12"/>
  <c r="H4327" i="12"/>
  <c r="N4327" i="12"/>
  <c r="O4327" i="12"/>
  <c r="P4327" i="12"/>
  <c r="Q4327" i="12"/>
  <c r="F4328" i="12"/>
  <c r="E4328" i="12" s="1"/>
  <c r="G4328" i="12"/>
  <c r="L4328" i="12" s="1"/>
  <c r="H4328" i="12"/>
  <c r="N4328" i="12"/>
  <c r="O4328" i="12"/>
  <c r="P4328" i="12"/>
  <c r="Q4328" i="12"/>
  <c r="F4329" i="12"/>
  <c r="G4329" i="12"/>
  <c r="I4329" i="12" s="1"/>
  <c r="H4329" i="12"/>
  <c r="N4329" i="12"/>
  <c r="O4329" i="12"/>
  <c r="P4329" i="12"/>
  <c r="Q4329" i="12"/>
  <c r="F4330" i="12"/>
  <c r="D4330" i="12" s="1"/>
  <c r="G4330" i="12"/>
  <c r="L4330" i="12" s="1"/>
  <c r="H4330" i="12"/>
  <c r="N4330" i="12"/>
  <c r="O4330" i="12"/>
  <c r="P4330" i="12"/>
  <c r="Q4330" i="12"/>
  <c r="F4331" i="12"/>
  <c r="G4331" i="12"/>
  <c r="L4331" i="12" s="1"/>
  <c r="H4331" i="12"/>
  <c r="N4331" i="12"/>
  <c r="O4331" i="12"/>
  <c r="P4331" i="12"/>
  <c r="Q4331" i="12"/>
  <c r="F4332" i="12"/>
  <c r="E4332" i="12" s="1"/>
  <c r="G4332" i="12"/>
  <c r="I4332" i="12" s="1"/>
  <c r="H4332" i="12"/>
  <c r="N4332" i="12"/>
  <c r="O4332" i="12"/>
  <c r="P4332" i="12"/>
  <c r="Q4332" i="12"/>
  <c r="F4333" i="12"/>
  <c r="G4333" i="12"/>
  <c r="H4333" i="12"/>
  <c r="N4333" i="12"/>
  <c r="O4333" i="12"/>
  <c r="P4333" i="12"/>
  <c r="Q4333" i="12"/>
  <c r="F4334" i="12"/>
  <c r="E4334" i="12" s="1"/>
  <c r="G4334" i="12"/>
  <c r="H4334" i="12"/>
  <c r="N4334" i="12"/>
  <c r="O4334" i="12"/>
  <c r="P4334" i="12"/>
  <c r="Q4334" i="12"/>
  <c r="F4335" i="12"/>
  <c r="G4335" i="12"/>
  <c r="H4335" i="12"/>
  <c r="N4335" i="12"/>
  <c r="O4335" i="12"/>
  <c r="P4335" i="12"/>
  <c r="Q4335" i="12"/>
  <c r="F4336" i="12"/>
  <c r="G4336" i="12"/>
  <c r="I4336" i="12" s="1"/>
  <c r="H4336" i="12"/>
  <c r="N4336" i="12"/>
  <c r="O4336" i="12"/>
  <c r="P4336" i="12"/>
  <c r="Q4336" i="12"/>
  <c r="F4337" i="12"/>
  <c r="G4337" i="12"/>
  <c r="I4337" i="12" s="1"/>
  <c r="H4337" i="12"/>
  <c r="N4337" i="12"/>
  <c r="O4337" i="12"/>
  <c r="P4337" i="12"/>
  <c r="Q4337" i="12"/>
  <c r="F4338" i="12"/>
  <c r="D4338" i="12" s="1"/>
  <c r="G4338" i="12"/>
  <c r="I4338" i="12" s="1"/>
  <c r="H4338" i="12"/>
  <c r="N4338" i="12"/>
  <c r="O4338" i="12"/>
  <c r="P4338" i="12"/>
  <c r="Q4338" i="12"/>
  <c r="F4339" i="12"/>
  <c r="E4339" i="12" s="1"/>
  <c r="G4339" i="12"/>
  <c r="J4339" i="12" s="1"/>
  <c r="H4339" i="12"/>
  <c r="N4339" i="12"/>
  <c r="O4339" i="12"/>
  <c r="P4339" i="12"/>
  <c r="Q4339" i="12"/>
  <c r="F4340" i="12"/>
  <c r="G4340" i="12"/>
  <c r="M4340" i="12" s="1"/>
  <c r="H4340" i="12"/>
  <c r="N4340" i="12"/>
  <c r="O4340" i="12"/>
  <c r="P4340" i="12"/>
  <c r="Q4340" i="12"/>
  <c r="F4341" i="12"/>
  <c r="G4341" i="12"/>
  <c r="J4341" i="12" s="1"/>
  <c r="H4341" i="12"/>
  <c r="N4341" i="12"/>
  <c r="O4341" i="12"/>
  <c r="P4341" i="12"/>
  <c r="Q4341" i="12"/>
  <c r="F4342" i="12"/>
  <c r="G4342" i="12"/>
  <c r="I4342" i="12" s="1"/>
  <c r="H4342" i="12"/>
  <c r="N4342" i="12"/>
  <c r="O4342" i="12"/>
  <c r="P4342" i="12"/>
  <c r="Q4342" i="12"/>
  <c r="F4343" i="12"/>
  <c r="E4343" i="12" s="1"/>
  <c r="G4343" i="12"/>
  <c r="J4343" i="12" s="1"/>
  <c r="H4343" i="12"/>
  <c r="N4343" i="12"/>
  <c r="O4343" i="12"/>
  <c r="P4343" i="12"/>
  <c r="Q4343" i="12"/>
  <c r="F4344" i="12"/>
  <c r="E4344" i="12" s="1"/>
  <c r="G4344" i="12"/>
  <c r="J4344" i="12" s="1"/>
  <c r="H4344" i="12"/>
  <c r="N4344" i="12"/>
  <c r="O4344" i="12"/>
  <c r="P4344" i="12"/>
  <c r="Q4344" i="12"/>
  <c r="F4345" i="12"/>
  <c r="E4345" i="12" s="1"/>
  <c r="G4345" i="12"/>
  <c r="I4345" i="12" s="1"/>
  <c r="H4345" i="12"/>
  <c r="N4345" i="12"/>
  <c r="O4345" i="12"/>
  <c r="P4345" i="12"/>
  <c r="Q4345" i="12"/>
  <c r="F4346" i="12"/>
  <c r="G4346" i="12"/>
  <c r="I4346" i="12" s="1"/>
  <c r="H4346" i="12"/>
  <c r="N4346" i="12"/>
  <c r="O4346" i="12"/>
  <c r="P4346" i="12"/>
  <c r="Q4346" i="12"/>
  <c r="F4347" i="12"/>
  <c r="G4347" i="12"/>
  <c r="J4347" i="12" s="1"/>
  <c r="H4347" i="12"/>
  <c r="N4347" i="12"/>
  <c r="O4347" i="12"/>
  <c r="P4347" i="12"/>
  <c r="Q4347" i="12"/>
  <c r="F4348" i="12"/>
  <c r="G4348" i="12"/>
  <c r="H4348" i="12"/>
  <c r="N4348" i="12"/>
  <c r="O4348" i="12"/>
  <c r="P4348" i="12"/>
  <c r="Q4348" i="12"/>
  <c r="F4349" i="12"/>
  <c r="G4349" i="12"/>
  <c r="I4349" i="12" s="1"/>
  <c r="H4349" i="12"/>
  <c r="N4349" i="12"/>
  <c r="O4349" i="12"/>
  <c r="P4349" i="12"/>
  <c r="Q4349" i="12"/>
  <c r="F4350" i="12"/>
  <c r="D4350" i="12" s="1"/>
  <c r="G4350" i="12"/>
  <c r="I4350" i="12" s="1"/>
  <c r="H4350" i="12"/>
  <c r="N4350" i="12"/>
  <c r="O4350" i="12"/>
  <c r="P4350" i="12"/>
  <c r="Q4350" i="12"/>
  <c r="F4351" i="12"/>
  <c r="E4351" i="12" s="1"/>
  <c r="G4351" i="12"/>
  <c r="J4351" i="12" s="1"/>
  <c r="H4351" i="12"/>
  <c r="N4351" i="12"/>
  <c r="O4351" i="12"/>
  <c r="P4351" i="12"/>
  <c r="Q4351" i="12"/>
  <c r="F4352" i="12"/>
  <c r="G4352" i="12"/>
  <c r="I4352" i="12" s="1"/>
  <c r="H4352" i="12"/>
  <c r="N4352" i="12"/>
  <c r="O4352" i="12"/>
  <c r="P4352" i="12"/>
  <c r="Q4352" i="12"/>
  <c r="F4353" i="12"/>
  <c r="G4353" i="12"/>
  <c r="I4353" i="12" s="1"/>
  <c r="H4353" i="12"/>
  <c r="N4353" i="12"/>
  <c r="O4353" i="12"/>
  <c r="P4353" i="12"/>
  <c r="Q4353" i="12"/>
  <c r="F4354" i="12"/>
  <c r="D4354" i="12" s="1"/>
  <c r="G4354" i="12"/>
  <c r="H4354" i="12"/>
  <c r="N4354" i="12"/>
  <c r="O4354" i="12"/>
  <c r="P4354" i="12"/>
  <c r="Q4354" i="12"/>
  <c r="F4355" i="12"/>
  <c r="E4355" i="12" s="1"/>
  <c r="G4355" i="12"/>
  <c r="H4355" i="12"/>
  <c r="N4355" i="12"/>
  <c r="O4355" i="12"/>
  <c r="P4355" i="12"/>
  <c r="Q4355" i="12"/>
  <c r="F4356" i="12"/>
  <c r="E4356" i="12" s="1"/>
  <c r="G4356" i="12"/>
  <c r="M4356" i="12" s="1"/>
  <c r="H4356" i="12"/>
  <c r="N4356" i="12"/>
  <c r="O4356" i="12"/>
  <c r="P4356" i="12"/>
  <c r="Q4356" i="12"/>
  <c r="F4357" i="12"/>
  <c r="E4357" i="12" s="1"/>
  <c r="G4357" i="12"/>
  <c r="J4357" i="12" s="1"/>
  <c r="H4357" i="12"/>
  <c r="N4357" i="12"/>
  <c r="O4357" i="12"/>
  <c r="P4357" i="12"/>
  <c r="Q4357" i="12"/>
  <c r="F4358" i="12"/>
  <c r="D4358" i="12" s="1"/>
  <c r="G4358" i="12"/>
  <c r="I4358" i="12" s="1"/>
  <c r="H4358" i="12"/>
  <c r="N4358" i="12"/>
  <c r="O4358" i="12"/>
  <c r="P4358" i="12"/>
  <c r="Q4358" i="12"/>
  <c r="F4359" i="12"/>
  <c r="E4359" i="12" s="1"/>
  <c r="G4359" i="12"/>
  <c r="H4359" i="12"/>
  <c r="N4359" i="12"/>
  <c r="O4359" i="12"/>
  <c r="P4359" i="12"/>
  <c r="Q4359" i="12"/>
  <c r="F4360" i="12"/>
  <c r="G4360" i="12"/>
  <c r="J4360" i="12" s="1"/>
  <c r="H4360" i="12"/>
  <c r="N4360" i="12"/>
  <c r="O4360" i="12"/>
  <c r="P4360" i="12"/>
  <c r="Q4360" i="12"/>
  <c r="F4361" i="12"/>
  <c r="E4361" i="12" s="1"/>
  <c r="G4361" i="12"/>
  <c r="M4361" i="12" s="1"/>
  <c r="H4361" i="12"/>
  <c r="N4361" i="12"/>
  <c r="O4361" i="12"/>
  <c r="P4361" i="12"/>
  <c r="Q4361" i="12"/>
  <c r="F4362" i="12"/>
  <c r="D4362" i="12" s="1"/>
  <c r="G4362" i="12"/>
  <c r="I4362" i="12" s="1"/>
  <c r="H4362" i="12"/>
  <c r="N4362" i="12"/>
  <c r="O4362" i="12"/>
  <c r="P4362" i="12"/>
  <c r="Q4362" i="12"/>
  <c r="F4363" i="12"/>
  <c r="E4363" i="12" s="1"/>
  <c r="G4363" i="12"/>
  <c r="J4363" i="12" s="1"/>
  <c r="H4363" i="12"/>
  <c r="N4363" i="12"/>
  <c r="O4363" i="12"/>
  <c r="P4363" i="12"/>
  <c r="Q4363" i="12"/>
  <c r="F4364" i="12"/>
  <c r="E4364" i="12" s="1"/>
  <c r="G4364" i="12"/>
  <c r="K4364" i="12" s="1"/>
  <c r="H4364" i="12"/>
  <c r="N4364" i="12"/>
  <c r="O4364" i="12"/>
  <c r="P4364" i="12"/>
  <c r="Q4364" i="12"/>
  <c r="F4365" i="12"/>
  <c r="E4365" i="12" s="1"/>
  <c r="G4365" i="12"/>
  <c r="I4365" i="12" s="1"/>
  <c r="H4365" i="12"/>
  <c r="N4365" i="12"/>
  <c r="O4365" i="12"/>
  <c r="P4365" i="12"/>
  <c r="Q4365" i="12"/>
  <c r="F4366" i="12"/>
  <c r="D4366" i="12" s="1"/>
  <c r="G4366" i="12"/>
  <c r="I4366" i="12" s="1"/>
  <c r="H4366" i="12"/>
  <c r="N4366" i="12"/>
  <c r="O4366" i="12"/>
  <c r="P4366" i="12"/>
  <c r="Q4366" i="12"/>
  <c r="F4367" i="12"/>
  <c r="E4367" i="12" s="1"/>
  <c r="G4367" i="12"/>
  <c r="J4367" i="12" s="1"/>
  <c r="H4367" i="12"/>
  <c r="N4367" i="12"/>
  <c r="O4367" i="12"/>
  <c r="P4367" i="12"/>
  <c r="Q4367" i="12"/>
  <c r="F4368" i="12"/>
  <c r="G4368" i="12"/>
  <c r="J4368" i="12" s="1"/>
  <c r="H4368" i="12"/>
  <c r="N4368" i="12"/>
  <c r="O4368" i="12"/>
  <c r="P4368" i="12"/>
  <c r="Q4368" i="12"/>
  <c r="F4369" i="12"/>
  <c r="E4369" i="12" s="1"/>
  <c r="G4369" i="12"/>
  <c r="M4369" i="12" s="1"/>
  <c r="H4369" i="12"/>
  <c r="N4369" i="12"/>
  <c r="O4369" i="12"/>
  <c r="P4369" i="12"/>
  <c r="Q4369" i="12"/>
  <c r="F4370" i="12"/>
  <c r="D4370" i="12" s="1"/>
  <c r="G4370" i="12"/>
  <c r="I4370" i="12" s="1"/>
  <c r="H4370" i="12"/>
  <c r="N4370" i="12"/>
  <c r="O4370" i="12"/>
  <c r="P4370" i="12"/>
  <c r="Q4370" i="12"/>
  <c r="F4371" i="12"/>
  <c r="E4371" i="12" s="1"/>
  <c r="G4371" i="12"/>
  <c r="J4371" i="12" s="1"/>
  <c r="H4371" i="12"/>
  <c r="N4371" i="12"/>
  <c r="O4371" i="12"/>
  <c r="P4371" i="12"/>
  <c r="Q4371" i="12"/>
  <c r="F4372" i="12"/>
  <c r="E4372" i="12" s="1"/>
  <c r="G4372" i="12"/>
  <c r="J4372" i="12" s="1"/>
  <c r="H4372" i="12"/>
  <c r="N4372" i="12"/>
  <c r="O4372" i="12"/>
  <c r="P4372" i="12"/>
  <c r="Q4372" i="12"/>
  <c r="F4373" i="12"/>
  <c r="G4373" i="12"/>
  <c r="I4373" i="12" s="1"/>
  <c r="H4373" i="12"/>
  <c r="N4373" i="12"/>
  <c r="O4373" i="12"/>
  <c r="P4373" i="12"/>
  <c r="Q4373" i="12"/>
  <c r="F4374" i="12"/>
  <c r="D4374" i="12" s="1"/>
  <c r="G4374" i="12"/>
  <c r="H4374" i="12"/>
  <c r="N4374" i="12"/>
  <c r="O4374" i="12"/>
  <c r="P4374" i="12"/>
  <c r="Q4374" i="12"/>
  <c r="F4375" i="12"/>
  <c r="E4375" i="12" s="1"/>
  <c r="G4375" i="12"/>
  <c r="H4375" i="12"/>
  <c r="N4375" i="12"/>
  <c r="O4375" i="12"/>
  <c r="P4375" i="12"/>
  <c r="Q4375" i="12"/>
  <c r="F4376" i="12"/>
  <c r="E4376" i="12" s="1"/>
  <c r="G4376" i="12"/>
  <c r="M4376" i="12" s="1"/>
  <c r="H4376" i="12"/>
  <c r="N4376" i="12"/>
  <c r="O4376" i="12"/>
  <c r="P4376" i="12"/>
  <c r="Q4376" i="12"/>
  <c r="F4377" i="12"/>
  <c r="E4377" i="12" s="1"/>
  <c r="G4377" i="12"/>
  <c r="K4377" i="12" s="1"/>
  <c r="H4377" i="12"/>
  <c r="N4377" i="12"/>
  <c r="O4377" i="12"/>
  <c r="P4377" i="12"/>
  <c r="Q4377" i="12"/>
  <c r="F4378" i="12"/>
  <c r="G4378" i="12"/>
  <c r="J4378" i="12" s="1"/>
  <c r="H4378" i="12"/>
  <c r="N4378" i="12"/>
  <c r="O4378" i="12"/>
  <c r="P4378" i="12"/>
  <c r="Q4378" i="12"/>
  <c r="F4379" i="12"/>
  <c r="E4379" i="12" s="1"/>
  <c r="G4379" i="12"/>
  <c r="I4379" i="12" s="1"/>
  <c r="H4379" i="12"/>
  <c r="N4379" i="12"/>
  <c r="O4379" i="12"/>
  <c r="P4379" i="12"/>
  <c r="Q4379" i="12"/>
  <c r="F4380" i="12"/>
  <c r="E4380" i="12" s="1"/>
  <c r="G4380" i="12"/>
  <c r="K4380" i="12" s="1"/>
  <c r="H4380" i="12"/>
  <c r="N4380" i="12"/>
  <c r="O4380" i="12"/>
  <c r="P4380" i="12"/>
  <c r="Q4380" i="12"/>
  <c r="F4381" i="12"/>
  <c r="G4381" i="12"/>
  <c r="I4381" i="12" s="1"/>
  <c r="H4381" i="12"/>
  <c r="N4381" i="12"/>
  <c r="O4381" i="12"/>
  <c r="P4381" i="12"/>
  <c r="Q4381" i="12"/>
  <c r="F4382" i="12"/>
  <c r="D4382" i="12" s="1"/>
  <c r="G4382" i="12"/>
  <c r="L4382" i="12" s="1"/>
  <c r="H4382" i="12"/>
  <c r="N4382" i="12"/>
  <c r="O4382" i="12"/>
  <c r="P4382" i="12"/>
  <c r="Q4382" i="12"/>
  <c r="F4383" i="12"/>
  <c r="G4383" i="12"/>
  <c r="H4383" i="12"/>
  <c r="N4383" i="12"/>
  <c r="O4383" i="12"/>
  <c r="P4383" i="12"/>
  <c r="Q4383" i="12"/>
  <c r="F4384" i="12"/>
  <c r="E4384" i="12" s="1"/>
  <c r="G4384" i="12"/>
  <c r="I4384" i="12" s="1"/>
  <c r="H4384" i="12"/>
  <c r="N4384" i="12"/>
  <c r="O4384" i="12"/>
  <c r="P4384" i="12"/>
  <c r="Q4384" i="12"/>
  <c r="F4385" i="12"/>
  <c r="D4385" i="12" s="1"/>
  <c r="G4385" i="12"/>
  <c r="H4385" i="12"/>
  <c r="N4385" i="12"/>
  <c r="O4385" i="12"/>
  <c r="P4385" i="12"/>
  <c r="Q4385" i="12"/>
  <c r="F4386" i="12"/>
  <c r="E4386" i="12" s="1"/>
  <c r="G4386" i="12"/>
  <c r="J4386" i="12" s="1"/>
  <c r="H4386" i="12"/>
  <c r="N4386" i="12"/>
  <c r="O4386" i="12"/>
  <c r="P4386" i="12"/>
  <c r="Q4386" i="12"/>
  <c r="F4387" i="12"/>
  <c r="E4387" i="12" s="1"/>
  <c r="G4387" i="12"/>
  <c r="I4387" i="12" s="1"/>
  <c r="H4387" i="12"/>
  <c r="N4387" i="12"/>
  <c r="O4387" i="12"/>
  <c r="P4387" i="12"/>
  <c r="Q4387" i="12"/>
  <c r="F4388" i="12"/>
  <c r="G4388" i="12"/>
  <c r="M4388" i="12" s="1"/>
  <c r="H4388" i="12"/>
  <c r="N4388" i="12"/>
  <c r="O4388" i="12"/>
  <c r="P4388" i="12"/>
  <c r="Q4388" i="12"/>
  <c r="F4389" i="12"/>
  <c r="D4389" i="12" s="1"/>
  <c r="G4389" i="12"/>
  <c r="H4389" i="12"/>
  <c r="N4389" i="12"/>
  <c r="O4389" i="12"/>
  <c r="P4389" i="12"/>
  <c r="Q4389" i="12"/>
  <c r="F4390" i="12"/>
  <c r="G4390" i="12"/>
  <c r="J4390" i="12" s="1"/>
  <c r="H4390" i="12"/>
  <c r="N4390" i="12"/>
  <c r="O4390" i="12"/>
  <c r="P4390" i="12"/>
  <c r="Q4390" i="12"/>
  <c r="F4391" i="12"/>
  <c r="E4391" i="12" s="1"/>
  <c r="G4391" i="12"/>
  <c r="H4391" i="12"/>
  <c r="N4391" i="12"/>
  <c r="O4391" i="12"/>
  <c r="P4391" i="12"/>
  <c r="Q4391" i="12"/>
  <c r="F4392" i="12"/>
  <c r="E4392" i="12" s="1"/>
  <c r="G4392" i="12"/>
  <c r="L4392" i="12" s="1"/>
  <c r="H4392" i="12"/>
  <c r="N4392" i="12"/>
  <c r="O4392" i="12"/>
  <c r="P4392" i="12"/>
  <c r="Q4392" i="12"/>
  <c r="F4393" i="12"/>
  <c r="D4393" i="12" s="1"/>
  <c r="G4393" i="12"/>
  <c r="K4393" i="12" s="1"/>
  <c r="H4393" i="12"/>
  <c r="N4393" i="12"/>
  <c r="O4393" i="12"/>
  <c r="P4393" i="12"/>
  <c r="Q4393" i="12"/>
  <c r="F4394" i="12"/>
  <c r="G4394" i="12"/>
  <c r="J4394" i="12" s="1"/>
  <c r="H4394" i="12"/>
  <c r="N4394" i="12"/>
  <c r="O4394" i="12"/>
  <c r="P4394" i="12"/>
  <c r="Q4394" i="12"/>
  <c r="F4395" i="12"/>
  <c r="E4395" i="12" s="1"/>
  <c r="G4395" i="12"/>
  <c r="H4395" i="12"/>
  <c r="N4395" i="12"/>
  <c r="O4395" i="12"/>
  <c r="P4395" i="12"/>
  <c r="Q4395" i="12"/>
  <c r="F4396" i="12"/>
  <c r="E4396" i="12" s="1"/>
  <c r="G4396" i="12"/>
  <c r="M4396" i="12" s="1"/>
  <c r="H4396" i="12"/>
  <c r="N4396" i="12"/>
  <c r="O4396" i="12"/>
  <c r="P4396" i="12"/>
  <c r="Q4396" i="12"/>
  <c r="F4397" i="12"/>
  <c r="G4397" i="12"/>
  <c r="M4397" i="12" s="1"/>
  <c r="H4397" i="12"/>
  <c r="N4397" i="12"/>
  <c r="O4397" i="12"/>
  <c r="P4397" i="12"/>
  <c r="Q4397" i="12"/>
  <c r="F4398" i="12"/>
  <c r="D4398" i="12" s="1"/>
  <c r="G4398" i="12"/>
  <c r="J4398" i="12" s="1"/>
  <c r="H4398" i="12"/>
  <c r="N4398" i="12"/>
  <c r="O4398" i="12"/>
  <c r="P4398" i="12"/>
  <c r="Q4398" i="12"/>
  <c r="F4399" i="12"/>
  <c r="G4399" i="12"/>
  <c r="H4399" i="12"/>
  <c r="N4399" i="12"/>
  <c r="O4399" i="12"/>
  <c r="P4399" i="12"/>
  <c r="Q4399" i="12"/>
  <c r="F4400" i="12"/>
  <c r="E4400" i="12" s="1"/>
  <c r="G4400" i="12"/>
  <c r="J4400" i="12" s="1"/>
  <c r="H4400" i="12"/>
  <c r="N4400" i="12"/>
  <c r="O4400" i="12"/>
  <c r="P4400" i="12"/>
  <c r="Q4400" i="12"/>
  <c r="F4401" i="12"/>
  <c r="D4401" i="12" s="1"/>
  <c r="G4401" i="12"/>
  <c r="H4401" i="12"/>
  <c r="N4401" i="12"/>
  <c r="O4401" i="12"/>
  <c r="P4401" i="12"/>
  <c r="Q4401" i="12"/>
  <c r="F4402" i="12"/>
  <c r="D4402" i="12" s="1"/>
  <c r="G4402" i="12"/>
  <c r="J4402" i="12" s="1"/>
  <c r="H4402" i="12"/>
  <c r="N4402" i="12"/>
  <c r="O4402" i="12"/>
  <c r="P4402" i="12"/>
  <c r="Q4402" i="12"/>
  <c r="F4403" i="12"/>
  <c r="G4403" i="12"/>
  <c r="J4403" i="12" s="1"/>
  <c r="H4403" i="12"/>
  <c r="N4403" i="12"/>
  <c r="O4403" i="12"/>
  <c r="P4403" i="12"/>
  <c r="Q4403" i="12"/>
  <c r="F4404" i="12"/>
  <c r="G4404" i="12"/>
  <c r="I4404" i="12" s="1"/>
  <c r="H4404" i="12"/>
  <c r="N4404" i="12"/>
  <c r="O4404" i="12"/>
  <c r="P4404" i="12"/>
  <c r="Q4404" i="12"/>
  <c r="F4405" i="12"/>
  <c r="D4405" i="12" s="1"/>
  <c r="G4405" i="12"/>
  <c r="I4405" i="12" s="1"/>
  <c r="H4405" i="12"/>
  <c r="N4405" i="12"/>
  <c r="O4405" i="12"/>
  <c r="P4405" i="12"/>
  <c r="Q4405" i="12"/>
  <c r="F4406" i="12"/>
  <c r="D4406" i="12" s="1"/>
  <c r="G4406" i="12"/>
  <c r="H4406" i="12"/>
  <c r="N4406" i="12"/>
  <c r="O4406" i="12"/>
  <c r="P4406" i="12"/>
  <c r="Q4406" i="12"/>
  <c r="F4407" i="12"/>
  <c r="E4407" i="12" s="1"/>
  <c r="G4407" i="12"/>
  <c r="I4407" i="12" s="1"/>
  <c r="H4407" i="12"/>
  <c r="N4407" i="12"/>
  <c r="O4407" i="12"/>
  <c r="P4407" i="12"/>
  <c r="Q4407" i="12"/>
  <c r="F4408" i="12"/>
  <c r="E4408" i="12" s="1"/>
  <c r="G4408" i="12"/>
  <c r="M4408" i="12" s="1"/>
  <c r="H4408" i="12"/>
  <c r="N4408" i="12"/>
  <c r="O4408" i="12"/>
  <c r="P4408" i="12"/>
  <c r="Q4408" i="12"/>
  <c r="F4409" i="12"/>
  <c r="G4409" i="12"/>
  <c r="I4409" i="12" s="1"/>
  <c r="H4409" i="12"/>
  <c r="N4409" i="12"/>
  <c r="O4409" i="12"/>
  <c r="P4409" i="12"/>
  <c r="Q4409" i="12"/>
  <c r="F4410" i="12"/>
  <c r="G4410" i="12"/>
  <c r="H4410" i="12"/>
  <c r="N4410" i="12"/>
  <c r="O4410" i="12"/>
  <c r="P4410" i="12"/>
  <c r="Q4410" i="12"/>
  <c r="F4411" i="12"/>
  <c r="E4411" i="12" s="1"/>
  <c r="G4411" i="12"/>
  <c r="I4411" i="12" s="1"/>
  <c r="H4411" i="12"/>
  <c r="N4411" i="12"/>
  <c r="O4411" i="12"/>
  <c r="P4411" i="12"/>
  <c r="Q4411" i="12"/>
  <c r="F4412" i="12"/>
  <c r="E4412" i="12" s="1"/>
  <c r="G4412" i="12"/>
  <c r="J4412" i="12" s="1"/>
  <c r="H4412" i="12"/>
  <c r="N4412" i="12"/>
  <c r="O4412" i="12"/>
  <c r="P4412" i="12"/>
  <c r="Q4412" i="12"/>
  <c r="F4413" i="12"/>
  <c r="D4413" i="12" s="1"/>
  <c r="G4413" i="12"/>
  <c r="I4413" i="12" s="1"/>
  <c r="H4413" i="12"/>
  <c r="N4413" i="12"/>
  <c r="O4413" i="12"/>
  <c r="P4413" i="12"/>
  <c r="Q4413" i="12"/>
  <c r="F4414" i="12"/>
  <c r="G4414" i="12"/>
  <c r="L4414" i="12" s="1"/>
  <c r="H4414" i="12"/>
  <c r="N4414" i="12"/>
  <c r="O4414" i="12"/>
  <c r="P4414" i="12"/>
  <c r="Q4414" i="12"/>
  <c r="F4415" i="12"/>
  <c r="E4415" i="12" s="1"/>
  <c r="G4415" i="12"/>
  <c r="H4415" i="12"/>
  <c r="N4415" i="12"/>
  <c r="O4415" i="12"/>
  <c r="P4415" i="12"/>
  <c r="Q4415" i="12"/>
  <c r="F4416" i="12"/>
  <c r="E4416" i="12" s="1"/>
  <c r="G4416" i="12"/>
  <c r="L4416" i="12" s="1"/>
  <c r="H4416" i="12"/>
  <c r="N4416" i="12"/>
  <c r="O4416" i="12"/>
  <c r="P4416" i="12"/>
  <c r="Q4416" i="12"/>
  <c r="F4417" i="12"/>
  <c r="G4417" i="12"/>
  <c r="I4417" i="12" s="1"/>
  <c r="H4417" i="12"/>
  <c r="N4417" i="12"/>
  <c r="O4417" i="12"/>
  <c r="P4417" i="12"/>
  <c r="Q4417" i="12"/>
  <c r="F4418" i="12"/>
  <c r="G4418" i="12"/>
  <c r="J4418" i="12" s="1"/>
  <c r="H4418" i="12"/>
  <c r="N4418" i="12"/>
  <c r="O4418" i="12"/>
  <c r="P4418" i="12"/>
  <c r="Q4418" i="12"/>
  <c r="F4419" i="12"/>
  <c r="E4419" i="12" s="1"/>
  <c r="G4419" i="12"/>
  <c r="J4419" i="12" s="1"/>
  <c r="H4419" i="12"/>
  <c r="N4419" i="12"/>
  <c r="O4419" i="12"/>
  <c r="P4419" i="12"/>
  <c r="Q4419" i="12"/>
  <c r="F4420" i="12"/>
  <c r="G4420" i="12"/>
  <c r="H4420" i="12"/>
  <c r="N4420" i="12"/>
  <c r="O4420" i="12"/>
  <c r="P4420" i="12"/>
  <c r="Q4420" i="12"/>
  <c r="F4421" i="12"/>
  <c r="D4421" i="12" s="1"/>
  <c r="G4421" i="12"/>
  <c r="I4421" i="12" s="1"/>
  <c r="H4421" i="12"/>
  <c r="N4421" i="12"/>
  <c r="O4421" i="12"/>
  <c r="P4421" i="12"/>
  <c r="Q4421" i="12"/>
  <c r="F4422" i="12"/>
  <c r="E4422" i="12" s="1"/>
  <c r="G4422" i="12"/>
  <c r="H4422" i="12"/>
  <c r="N4422" i="12"/>
  <c r="O4422" i="12"/>
  <c r="P4422" i="12"/>
  <c r="Q4422" i="12"/>
  <c r="F4423" i="12"/>
  <c r="E4423" i="12" s="1"/>
  <c r="G4423" i="12"/>
  <c r="I4423" i="12" s="1"/>
  <c r="H4423" i="12"/>
  <c r="N4423" i="12"/>
  <c r="O4423" i="12"/>
  <c r="P4423" i="12"/>
  <c r="Q4423" i="12"/>
  <c r="F4424" i="12"/>
  <c r="E4424" i="12" s="1"/>
  <c r="G4424" i="12"/>
  <c r="I4424" i="12" s="1"/>
  <c r="H4424" i="12"/>
  <c r="N4424" i="12"/>
  <c r="O4424" i="12"/>
  <c r="P4424" i="12"/>
  <c r="Q4424" i="12"/>
  <c r="F4425" i="12"/>
  <c r="D4425" i="12" s="1"/>
  <c r="G4425" i="12"/>
  <c r="H4425" i="12"/>
  <c r="N4425" i="12"/>
  <c r="O4425" i="12"/>
  <c r="P4425" i="12"/>
  <c r="Q4425" i="12"/>
  <c r="F4426" i="12"/>
  <c r="D4426" i="12" s="1"/>
  <c r="G4426" i="12"/>
  <c r="J4426" i="12" s="1"/>
  <c r="H4426" i="12"/>
  <c r="N4426" i="12"/>
  <c r="O4426" i="12"/>
  <c r="P4426" i="12"/>
  <c r="Q4426" i="12"/>
  <c r="F4427" i="12"/>
  <c r="E4427" i="12" s="1"/>
  <c r="G4427" i="12"/>
  <c r="H4427" i="12"/>
  <c r="N4427" i="12"/>
  <c r="O4427" i="12"/>
  <c r="P4427" i="12"/>
  <c r="Q4427" i="12"/>
  <c r="F4428" i="12"/>
  <c r="E4428" i="12" s="1"/>
  <c r="G4428" i="12"/>
  <c r="J4428" i="12" s="1"/>
  <c r="H4428" i="12"/>
  <c r="N4428" i="12"/>
  <c r="O4428" i="12"/>
  <c r="P4428" i="12"/>
  <c r="Q4428" i="12"/>
  <c r="F4429" i="12"/>
  <c r="G4429" i="12"/>
  <c r="K4429" i="12" s="1"/>
  <c r="H4429" i="12"/>
  <c r="N4429" i="12"/>
  <c r="O4429" i="12"/>
  <c r="P4429" i="12"/>
  <c r="Q4429" i="12"/>
  <c r="F4430" i="12"/>
  <c r="E4430" i="12" s="1"/>
  <c r="G4430" i="12"/>
  <c r="H4430" i="12"/>
  <c r="N4430" i="12"/>
  <c r="O4430" i="12"/>
  <c r="P4430" i="12"/>
  <c r="Q4430" i="12"/>
  <c r="F4431" i="12"/>
  <c r="G4431" i="12"/>
  <c r="H4431" i="12"/>
  <c r="N4431" i="12"/>
  <c r="O4431" i="12"/>
  <c r="P4431" i="12"/>
  <c r="Q4431" i="12"/>
  <c r="F4432" i="12"/>
  <c r="E4432" i="12" s="1"/>
  <c r="G4432" i="12"/>
  <c r="H4432" i="12"/>
  <c r="N4432" i="12"/>
  <c r="O4432" i="12"/>
  <c r="P4432" i="12"/>
  <c r="Q4432" i="12"/>
  <c r="F4433" i="12"/>
  <c r="D4433" i="12" s="1"/>
  <c r="G4433" i="12"/>
  <c r="H4433" i="12"/>
  <c r="N4433" i="12"/>
  <c r="O4433" i="12"/>
  <c r="P4433" i="12"/>
  <c r="Q4433" i="12"/>
  <c r="F4434" i="12"/>
  <c r="D4434" i="12" s="1"/>
  <c r="G4434" i="12"/>
  <c r="H4434" i="12"/>
  <c r="N4434" i="12"/>
  <c r="O4434" i="12"/>
  <c r="P4434" i="12"/>
  <c r="Q4434" i="12"/>
  <c r="F4435" i="12"/>
  <c r="G4435" i="12"/>
  <c r="I4435" i="12" s="1"/>
  <c r="H4435" i="12"/>
  <c r="N4435" i="12"/>
  <c r="O4435" i="12"/>
  <c r="P4435" i="12"/>
  <c r="Q4435" i="12"/>
  <c r="F4436" i="12"/>
  <c r="E4436" i="12" s="1"/>
  <c r="G4436" i="12"/>
  <c r="J4436" i="12" s="1"/>
  <c r="H4436" i="12"/>
  <c r="N4436" i="12"/>
  <c r="O4436" i="12"/>
  <c r="P4436" i="12"/>
  <c r="Q4436" i="12"/>
  <c r="F4437" i="12"/>
  <c r="G4437" i="12"/>
  <c r="I4437" i="12" s="1"/>
  <c r="H4437" i="12"/>
  <c r="N4437" i="12"/>
  <c r="O4437" i="12"/>
  <c r="P4437" i="12"/>
  <c r="Q4437" i="12"/>
  <c r="F4438" i="12"/>
  <c r="D4438" i="12" s="1"/>
  <c r="G4438" i="12"/>
  <c r="H4438" i="12"/>
  <c r="N4438" i="12"/>
  <c r="O4438" i="12"/>
  <c r="P4438" i="12"/>
  <c r="Q4438" i="12"/>
  <c r="F4439" i="12"/>
  <c r="E4439" i="12" s="1"/>
  <c r="G4439" i="12"/>
  <c r="I4439" i="12" s="1"/>
  <c r="H4439" i="12"/>
  <c r="N4439" i="12"/>
  <c r="O4439" i="12"/>
  <c r="P4439" i="12"/>
  <c r="Q4439" i="12"/>
  <c r="F4440" i="12"/>
  <c r="E4440" i="12" s="1"/>
  <c r="G4440" i="12"/>
  <c r="L4440" i="12" s="1"/>
  <c r="H4440" i="12"/>
  <c r="N4440" i="12"/>
  <c r="O4440" i="12"/>
  <c r="P4440" i="12"/>
  <c r="Q4440" i="12"/>
  <c r="F4441" i="12"/>
  <c r="E4441" i="12" s="1"/>
  <c r="G4441" i="12"/>
  <c r="K4441" i="12" s="1"/>
  <c r="H4441" i="12"/>
  <c r="N4441" i="12"/>
  <c r="O4441" i="12"/>
  <c r="P4441" i="12"/>
  <c r="Q4441" i="12"/>
  <c r="F4442" i="12"/>
  <c r="G4442" i="12"/>
  <c r="H4442" i="12"/>
  <c r="N4442" i="12"/>
  <c r="O4442" i="12"/>
  <c r="P4442" i="12"/>
  <c r="Q4442" i="12"/>
  <c r="F4443" i="12"/>
  <c r="G4443" i="12"/>
  <c r="L4443" i="12" s="1"/>
  <c r="H4443" i="12"/>
  <c r="N4443" i="12"/>
  <c r="O4443" i="12"/>
  <c r="P4443" i="12"/>
  <c r="Q4443" i="12"/>
  <c r="F4444" i="12"/>
  <c r="G4444" i="12"/>
  <c r="I4444" i="12" s="1"/>
  <c r="H4444" i="12"/>
  <c r="N4444" i="12"/>
  <c r="O4444" i="12"/>
  <c r="P4444" i="12"/>
  <c r="Q4444" i="12"/>
  <c r="F4445" i="12"/>
  <c r="G4445" i="12"/>
  <c r="H4445" i="12"/>
  <c r="N4445" i="12"/>
  <c r="O4445" i="12"/>
  <c r="P4445" i="12"/>
  <c r="Q4445" i="12"/>
  <c r="F4446" i="12"/>
  <c r="D4446" i="12" s="1"/>
  <c r="G4446" i="12"/>
  <c r="J4446" i="12" s="1"/>
  <c r="H4446" i="12"/>
  <c r="N4446" i="12"/>
  <c r="O4446" i="12"/>
  <c r="P4446" i="12"/>
  <c r="Q4446" i="12"/>
  <c r="F4447" i="12"/>
  <c r="G4447" i="12"/>
  <c r="K4447" i="12" s="1"/>
  <c r="H4447" i="12"/>
  <c r="N4447" i="12"/>
  <c r="O4447" i="12"/>
  <c r="P4447" i="12"/>
  <c r="Q4447" i="12"/>
  <c r="F4448" i="12"/>
  <c r="D4448" i="12" s="1"/>
  <c r="G4448" i="12"/>
  <c r="I4448" i="12" s="1"/>
  <c r="H4448" i="12"/>
  <c r="N4448" i="12"/>
  <c r="O4448" i="12"/>
  <c r="P4448" i="12"/>
  <c r="Q4448" i="12"/>
  <c r="F4449" i="12"/>
  <c r="G4449" i="12"/>
  <c r="H4449" i="12"/>
  <c r="N4449" i="12"/>
  <c r="O4449" i="12"/>
  <c r="P4449" i="12"/>
  <c r="Q4449" i="12"/>
  <c r="F4450" i="12"/>
  <c r="D4450" i="12" s="1"/>
  <c r="G4450" i="12"/>
  <c r="H4450" i="12"/>
  <c r="N4450" i="12"/>
  <c r="O4450" i="12"/>
  <c r="P4450" i="12"/>
  <c r="Q4450" i="12"/>
  <c r="F4451" i="12"/>
  <c r="D4451" i="12" s="1"/>
  <c r="G4451" i="12"/>
  <c r="I4451" i="12" s="1"/>
  <c r="H4451" i="12"/>
  <c r="N4451" i="12"/>
  <c r="O4451" i="12"/>
  <c r="P4451" i="12"/>
  <c r="Q4451" i="12"/>
  <c r="F4452" i="12"/>
  <c r="D4452" i="12" s="1"/>
  <c r="G4452" i="12"/>
  <c r="H4452" i="12"/>
  <c r="N4452" i="12"/>
  <c r="O4452" i="12"/>
  <c r="P4452" i="12"/>
  <c r="Q4452" i="12"/>
  <c r="F4453" i="12"/>
  <c r="G4453" i="12"/>
  <c r="H4453" i="12"/>
  <c r="N4453" i="12"/>
  <c r="O4453" i="12"/>
  <c r="P4453" i="12"/>
  <c r="Q4453" i="12"/>
  <c r="F4454" i="12"/>
  <c r="D4454" i="12" s="1"/>
  <c r="G4454" i="12"/>
  <c r="H4454" i="12"/>
  <c r="N4454" i="12"/>
  <c r="O4454" i="12"/>
  <c r="P4454" i="12"/>
  <c r="Q4454" i="12"/>
  <c r="F4455" i="12"/>
  <c r="D4455" i="12" s="1"/>
  <c r="G4455" i="12"/>
  <c r="H4455" i="12"/>
  <c r="N4455" i="12"/>
  <c r="O4455" i="12"/>
  <c r="P4455" i="12"/>
  <c r="Q4455" i="12"/>
  <c r="F4456" i="12"/>
  <c r="G4456" i="12"/>
  <c r="M4456" i="12" s="1"/>
  <c r="H4456" i="12"/>
  <c r="N4456" i="12"/>
  <c r="O4456" i="12"/>
  <c r="P4456" i="12"/>
  <c r="Q4456" i="12"/>
  <c r="F4457" i="12"/>
  <c r="G4457" i="12"/>
  <c r="H4457" i="12"/>
  <c r="N4457" i="12"/>
  <c r="O4457" i="12"/>
  <c r="P4457" i="12"/>
  <c r="Q4457" i="12"/>
  <c r="F4458" i="12"/>
  <c r="D4458" i="12" s="1"/>
  <c r="G4458" i="12"/>
  <c r="J4458" i="12" s="1"/>
  <c r="H4458" i="12"/>
  <c r="N4458" i="12"/>
  <c r="O4458" i="12"/>
  <c r="P4458" i="12"/>
  <c r="Q4458" i="12"/>
  <c r="F4459" i="12"/>
  <c r="D4459" i="12" s="1"/>
  <c r="G4459" i="12"/>
  <c r="M4459" i="12" s="1"/>
  <c r="H4459" i="12"/>
  <c r="N4459" i="12"/>
  <c r="O4459" i="12"/>
  <c r="P4459" i="12"/>
  <c r="Q4459" i="12"/>
  <c r="F4460" i="12"/>
  <c r="D4460" i="12" s="1"/>
  <c r="G4460" i="12"/>
  <c r="I4460" i="12" s="1"/>
  <c r="H4460" i="12"/>
  <c r="N4460" i="12"/>
  <c r="O4460" i="12"/>
  <c r="P4460" i="12"/>
  <c r="Q4460" i="12"/>
  <c r="F4461" i="12"/>
  <c r="G4461" i="12"/>
  <c r="H4461" i="12"/>
  <c r="N4461" i="12"/>
  <c r="O4461" i="12"/>
  <c r="P4461" i="12"/>
  <c r="Q4461" i="12"/>
  <c r="F4462" i="12"/>
  <c r="D4462" i="12" s="1"/>
  <c r="G4462" i="12"/>
  <c r="J4462" i="12" s="1"/>
  <c r="H4462" i="12"/>
  <c r="N4462" i="12"/>
  <c r="O4462" i="12"/>
  <c r="P4462" i="12"/>
  <c r="Q4462" i="12"/>
  <c r="F4463" i="12"/>
  <c r="D4463" i="12" s="1"/>
  <c r="G4463" i="12"/>
  <c r="J4463" i="12" s="1"/>
  <c r="H4463" i="12"/>
  <c r="N4463" i="12"/>
  <c r="O4463" i="12"/>
  <c r="P4463" i="12"/>
  <c r="Q4463" i="12"/>
  <c r="F4464" i="12"/>
  <c r="D4464" i="12" s="1"/>
  <c r="G4464" i="12"/>
  <c r="I4464" i="12" s="1"/>
  <c r="H4464" i="12"/>
  <c r="N4464" i="12"/>
  <c r="O4464" i="12"/>
  <c r="P4464" i="12"/>
  <c r="Q4464" i="12"/>
  <c r="F4465" i="12"/>
  <c r="G4465" i="12"/>
  <c r="H4465" i="12"/>
  <c r="N4465" i="12"/>
  <c r="O4465" i="12"/>
  <c r="P4465" i="12"/>
  <c r="Q4465" i="12"/>
  <c r="F4466" i="12"/>
  <c r="D4466" i="12" s="1"/>
  <c r="G4466" i="12"/>
  <c r="J4466" i="12" s="1"/>
  <c r="H4466" i="12"/>
  <c r="N4466" i="12"/>
  <c r="O4466" i="12"/>
  <c r="P4466" i="12"/>
  <c r="Q4466" i="12"/>
  <c r="F4467" i="12"/>
  <c r="G4467" i="12"/>
  <c r="I4467" i="12" s="1"/>
  <c r="H4467" i="12"/>
  <c r="N4467" i="12"/>
  <c r="O4467" i="12"/>
  <c r="P4467" i="12"/>
  <c r="Q4467" i="12"/>
  <c r="F4468" i="12"/>
  <c r="E4468" i="12" s="1"/>
  <c r="G4468" i="12"/>
  <c r="I4468" i="12" s="1"/>
  <c r="H4468" i="12"/>
  <c r="N4468" i="12"/>
  <c r="O4468" i="12"/>
  <c r="P4468" i="12"/>
  <c r="Q4468" i="12"/>
  <c r="F4469" i="12"/>
  <c r="G4469" i="12"/>
  <c r="H4469" i="12"/>
  <c r="N4469" i="12"/>
  <c r="O4469" i="12"/>
  <c r="P4469" i="12"/>
  <c r="Q4469" i="12"/>
  <c r="F4470" i="12"/>
  <c r="D4470" i="12" s="1"/>
  <c r="G4470" i="12"/>
  <c r="H4470" i="12"/>
  <c r="N4470" i="12"/>
  <c r="O4470" i="12"/>
  <c r="P4470" i="12"/>
  <c r="Q4470" i="12"/>
  <c r="F4471" i="12"/>
  <c r="G4471" i="12"/>
  <c r="J4471" i="12" s="1"/>
  <c r="H4471" i="12"/>
  <c r="N4471" i="12"/>
  <c r="O4471" i="12"/>
  <c r="P4471" i="12"/>
  <c r="Q4471" i="12"/>
  <c r="F4472" i="12"/>
  <c r="G4472" i="12"/>
  <c r="L4472" i="12" s="1"/>
  <c r="H4472" i="12"/>
  <c r="N4472" i="12"/>
  <c r="O4472" i="12"/>
  <c r="P4472" i="12"/>
  <c r="Q4472" i="12"/>
  <c r="F4473" i="12"/>
  <c r="G4473" i="12"/>
  <c r="H4473" i="12"/>
  <c r="N4473" i="12"/>
  <c r="O4473" i="12"/>
  <c r="P4473" i="12"/>
  <c r="Q4473" i="12"/>
  <c r="F4474" i="12"/>
  <c r="D4474" i="12" s="1"/>
  <c r="G4474" i="12"/>
  <c r="J4474" i="12" s="1"/>
  <c r="H4474" i="12"/>
  <c r="N4474" i="12"/>
  <c r="O4474" i="12"/>
  <c r="P4474" i="12"/>
  <c r="Q4474" i="12"/>
  <c r="F4475" i="12"/>
  <c r="D4475" i="12" s="1"/>
  <c r="G4475" i="12"/>
  <c r="M4475" i="12" s="1"/>
  <c r="H4475" i="12"/>
  <c r="N4475" i="12"/>
  <c r="O4475" i="12"/>
  <c r="P4475" i="12"/>
  <c r="Q4475" i="12"/>
  <c r="F4476" i="12"/>
  <c r="G4476" i="12"/>
  <c r="H4476" i="12"/>
  <c r="N4476" i="12"/>
  <c r="O4476" i="12"/>
  <c r="P4476" i="12"/>
  <c r="Q4476" i="12"/>
  <c r="F4477" i="12"/>
  <c r="G4477" i="12"/>
  <c r="H4477" i="12"/>
  <c r="N4477" i="12"/>
  <c r="O4477" i="12"/>
  <c r="P4477" i="12"/>
  <c r="Q4477" i="12"/>
  <c r="F4478" i="12"/>
  <c r="D4478" i="12" s="1"/>
  <c r="G4478" i="12"/>
  <c r="H4478" i="12"/>
  <c r="N4478" i="12"/>
  <c r="O4478" i="12"/>
  <c r="P4478" i="12"/>
  <c r="Q4478" i="12"/>
  <c r="F4479" i="12"/>
  <c r="D4479" i="12" s="1"/>
  <c r="G4479" i="12"/>
  <c r="I4479" i="12" s="1"/>
  <c r="H4479" i="12"/>
  <c r="N4479" i="12"/>
  <c r="O4479" i="12"/>
  <c r="P4479" i="12"/>
  <c r="Q4479" i="12"/>
  <c r="F4480" i="12"/>
  <c r="G4480" i="12"/>
  <c r="H4480" i="12"/>
  <c r="N4480" i="12"/>
  <c r="O4480" i="12"/>
  <c r="P4480" i="12"/>
  <c r="Q4480" i="12"/>
  <c r="F4481" i="12"/>
  <c r="G4481" i="12"/>
  <c r="H4481" i="12"/>
  <c r="N4481" i="12"/>
  <c r="O4481" i="12"/>
  <c r="P4481" i="12"/>
  <c r="Q4481" i="12"/>
  <c r="F4482" i="12"/>
  <c r="D4482" i="12" s="1"/>
  <c r="G4482" i="12"/>
  <c r="J4482" i="12" s="1"/>
  <c r="H4482" i="12"/>
  <c r="N4482" i="12"/>
  <c r="O4482" i="12"/>
  <c r="P4482" i="12"/>
  <c r="Q4482" i="12"/>
  <c r="F4483" i="12"/>
  <c r="D4483" i="12" s="1"/>
  <c r="G4483" i="12"/>
  <c r="K4483" i="12" s="1"/>
  <c r="H4483" i="12"/>
  <c r="N4483" i="12"/>
  <c r="O4483" i="12"/>
  <c r="P4483" i="12"/>
  <c r="Q4483" i="12"/>
  <c r="F4484" i="12"/>
  <c r="D4484" i="12" s="1"/>
  <c r="G4484" i="12"/>
  <c r="I4484" i="12" s="1"/>
  <c r="H4484" i="12"/>
  <c r="N4484" i="12"/>
  <c r="O4484" i="12"/>
  <c r="P4484" i="12"/>
  <c r="Q4484" i="12"/>
  <c r="F4485" i="12"/>
  <c r="G4485" i="12"/>
  <c r="H4485" i="12"/>
  <c r="N4485" i="12"/>
  <c r="O4485" i="12"/>
  <c r="P4485" i="12"/>
  <c r="Q4485" i="12"/>
  <c r="F4486" i="12"/>
  <c r="D4486" i="12" s="1"/>
  <c r="G4486" i="12"/>
  <c r="J4486" i="12" s="1"/>
  <c r="H4486" i="12"/>
  <c r="N4486" i="12"/>
  <c r="O4486" i="12"/>
  <c r="P4486" i="12"/>
  <c r="Q4486" i="12"/>
  <c r="F4487" i="12"/>
  <c r="G4487" i="12"/>
  <c r="I4487" i="12" s="1"/>
  <c r="H4487" i="12"/>
  <c r="N4487" i="12"/>
  <c r="O4487" i="12"/>
  <c r="P4487" i="12"/>
  <c r="Q4487" i="12"/>
  <c r="F4488" i="12"/>
  <c r="G4488" i="12"/>
  <c r="I4488" i="12" s="1"/>
  <c r="H4488" i="12"/>
  <c r="N4488" i="12"/>
  <c r="O4488" i="12"/>
  <c r="P4488" i="12"/>
  <c r="Q4488" i="12"/>
  <c r="F4489" i="12"/>
  <c r="E4489" i="12" s="1"/>
  <c r="G4489" i="12"/>
  <c r="L4489" i="12" s="1"/>
  <c r="H4489" i="12"/>
  <c r="N4489" i="12"/>
  <c r="O4489" i="12"/>
  <c r="P4489" i="12"/>
  <c r="Q4489" i="12"/>
  <c r="F4490" i="12"/>
  <c r="G4490" i="12"/>
  <c r="J4490" i="12" s="1"/>
  <c r="H4490" i="12"/>
  <c r="N4490" i="12"/>
  <c r="O4490" i="12"/>
  <c r="P4490" i="12"/>
  <c r="Q4490" i="12"/>
  <c r="F4491" i="12"/>
  <c r="D4491" i="12" s="1"/>
  <c r="G4491" i="12"/>
  <c r="M4491" i="12" s="1"/>
  <c r="H4491" i="12"/>
  <c r="N4491" i="12"/>
  <c r="O4491" i="12"/>
  <c r="P4491" i="12"/>
  <c r="Q4491" i="12"/>
  <c r="F4492" i="12"/>
  <c r="E4492" i="12" s="1"/>
  <c r="G4492" i="12"/>
  <c r="I4492" i="12" s="1"/>
  <c r="H4492" i="12"/>
  <c r="N4492" i="12"/>
  <c r="O4492" i="12"/>
  <c r="P4492" i="12"/>
  <c r="Q4492" i="12"/>
  <c r="F4493" i="12"/>
  <c r="E4493" i="12" s="1"/>
  <c r="G4493" i="12"/>
  <c r="L4493" i="12" s="1"/>
  <c r="H4493" i="12"/>
  <c r="N4493" i="12"/>
  <c r="O4493" i="12"/>
  <c r="P4493" i="12"/>
  <c r="Q4493" i="12"/>
  <c r="F4494" i="12"/>
  <c r="G4494" i="12"/>
  <c r="J4494" i="12" s="1"/>
  <c r="H4494" i="12"/>
  <c r="N4494" i="12"/>
  <c r="O4494" i="12"/>
  <c r="P4494" i="12"/>
  <c r="Q4494" i="12"/>
  <c r="F4495" i="12"/>
  <c r="D4495" i="12" s="1"/>
  <c r="G4495" i="12"/>
  <c r="L4495" i="12" s="1"/>
  <c r="H4495" i="12"/>
  <c r="N4495" i="12"/>
  <c r="O4495" i="12"/>
  <c r="P4495" i="12"/>
  <c r="Q4495" i="12"/>
  <c r="F4496" i="12"/>
  <c r="D4496" i="12" s="1"/>
  <c r="G4496" i="12"/>
  <c r="H4496" i="12"/>
  <c r="N4496" i="12"/>
  <c r="O4496" i="12"/>
  <c r="P4496" i="12"/>
  <c r="Q4496" i="12"/>
  <c r="F4497" i="12"/>
  <c r="E4497" i="12" s="1"/>
  <c r="G4497" i="12"/>
  <c r="L4497" i="12" s="1"/>
  <c r="H4497" i="12"/>
  <c r="N4497" i="12"/>
  <c r="O4497" i="12"/>
  <c r="P4497" i="12"/>
  <c r="Q4497" i="12"/>
  <c r="F4498" i="12"/>
  <c r="G4498" i="12"/>
  <c r="H4498" i="12"/>
  <c r="N4498" i="12"/>
  <c r="O4498" i="12"/>
  <c r="P4498" i="12"/>
  <c r="Q4498" i="12"/>
  <c r="F4499" i="12"/>
  <c r="G4499" i="12"/>
  <c r="I4499" i="12" s="1"/>
  <c r="H4499" i="12"/>
  <c r="N4499" i="12"/>
  <c r="O4499" i="12"/>
  <c r="P4499" i="12"/>
  <c r="Q4499" i="12"/>
  <c r="F4500" i="12"/>
  <c r="E4500" i="12" s="1"/>
  <c r="G4500" i="12"/>
  <c r="H4500" i="12"/>
  <c r="N4500" i="12"/>
  <c r="O4500" i="12"/>
  <c r="P4500" i="12"/>
  <c r="Q4500" i="12"/>
  <c r="F4501" i="12"/>
  <c r="E4501" i="12" s="1"/>
  <c r="G4501" i="12"/>
  <c r="L4501" i="12" s="1"/>
  <c r="H4501" i="12"/>
  <c r="N4501" i="12"/>
  <c r="O4501" i="12"/>
  <c r="P4501" i="12"/>
  <c r="Q4501" i="12"/>
  <c r="F4502" i="12"/>
  <c r="G4502" i="12"/>
  <c r="J4502" i="12" s="1"/>
  <c r="H4502" i="12"/>
  <c r="N4502" i="12"/>
  <c r="O4502" i="12"/>
  <c r="P4502" i="12"/>
  <c r="Q4502" i="12"/>
  <c r="F4503" i="12"/>
  <c r="D4503" i="12" s="1"/>
  <c r="G4503" i="12"/>
  <c r="I4503" i="12" s="1"/>
  <c r="H4503" i="12"/>
  <c r="N4503" i="12"/>
  <c r="O4503" i="12"/>
  <c r="P4503" i="12"/>
  <c r="Q4503" i="12"/>
  <c r="F4504" i="12"/>
  <c r="E4504" i="12" s="1"/>
  <c r="G4504" i="12"/>
  <c r="I4504" i="12" s="1"/>
  <c r="H4504" i="12"/>
  <c r="N4504" i="12"/>
  <c r="O4504" i="12"/>
  <c r="P4504" i="12"/>
  <c r="Q4504" i="12"/>
  <c r="F4505" i="12"/>
  <c r="E4505" i="12" s="1"/>
  <c r="G4505" i="12"/>
  <c r="L4505" i="12" s="1"/>
  <c r="H4505" i="12"/>
  <c r="N4505" i="12"/>
  <c r="O4505" i="12"/>
  <c r="P4505" i="12"/>
  <c r="Q4505" i="12"/>
  <c r="F4506" i="12"/>
  <c r="G4506" i="12"/>
  <c r="J4506" i="12" s="1"/>
  <c r="H4506" i="12"/>
  <c r="N4506" i="12"/>
  <c r="O4506" i="12"/>
  <c r="P4506" i="12"/>
  <c r="Q4506" i="12"/>
  <c r="F4507" i="12"/>
  <c r="D4507" i="12" s="1"/>
  <c r="G4507" i="12"/>
  <c r="L4507" i="12" s="1"/>
  <c r="H4507" i="12"/>
  <c r="N4507" i="12"/>
  <c r="O4507" i="12"/>
  <c r="P4507" i="12"/>
  <c r="Q4507" i="12"/>
  <c r="F4508" i="12"/>
  <c r="E4508" i="12" s="1"/>
  <c r="G4508" i="12"/>
  <c r="H4508" i="12"/>
  <c r="N4508" i="12"/>
  <c r="O4508" i="12"/>
  <c r="P4508" i="12"/>
  <c r="Q4508" i="12"/>
  <c r="F4509" i="12"/>
  <c r="E4509" i="12" s="1"/>
  <c r="G4509" i="12"/>
  <c r="H4509" i="12"/>
  <c r="N4509" i="12"/>
  <c r="O4509" i="12"/>
  <c r="P4509" i="12"/>
  <c r="Q4509" i="12"/>
  <c r="F4510" i="12"/>
  <c r="G4510" i="12"/>
  <c r="H4510" i="12"/>
  <c r="N4510" i="12"/>
  <c r="O4510" i="12"/>
  <c r="P4510" i="12"/>
  <c r="Q4510" i="12"/>
  <c r="F4511" i="12"/>
  <c r="D4511" i="12" s="1"/>
  <c r="G4511" i="12"/>
  <c r="H4511" i="12"/>
  <c r="N4511" i="12"/>
  <c r="O4511" i="12"/>
  <c r="P4511" i="12"/>
  <c r="Q4511" i="12"/>
  <c r="F4512" i="12"/>
  <c r="E4512" i="12" s="1"/>
  <c r="G4512" i="12"/>
  <c r="I4512" i="12" s="1"/>
  <c r="H4512" i="12"/>
  <c r="N4512" i="12"/>
  <c r="O4512" i="12"/>
  <c r="P4512" i="12"/>
  <c r="Q4512" i="12"/>
  <c r="F4513" i="12"/>
  <c r="G4513" i="12"/>
  <c r="L4513" i="12" s="1"/>
  <c r="H4513" i="12"/>
  <c r="N4513" i="12"/>
  <c r="O4513" i="12"/>
  <c r="P4513" i="12"/>
  <c r="Q4513" i="12"/>
  <c r="F4514" i="12"/>
  <c r="G4514" i="12"/>
  <c r="H4514" i="12"/>
  <c r="N4514" i="12"/>
  <c r="O4514" i="12"/>
  <c r="P4514" i="12"/>
  <c r="Q4514" i="12"/>
  <c r="F4515" i="12"/>
  <c r="D4515" i="12" s="1"/>
  <c r="G4515" i="12"/>
  <c r="I4515" i="12" s="1"/>
  <c r="H4515" i="12"/>
  <c r="N4515" i="12"/>
  <c r="O4515" i="12"/>
  <c r="P4515" i="12"/>
  <c r="Q4515" i="12"/>
  <c r="F4516" i="12"/>
  <c r="G4516" i="12"/>
  <c r="H4516" i="12"/>
  <c r="N4516" i="12"/>
  <c r="O4516" i="12"/>
  <c r="P4516" i="12"/>
  <c r="Q4516" i="12"/>
  <c r="F4517" i="12"/>
  <c r="E4517" i="12" s="1"/>
  <c r="G4517" i="12"/>
  <c r="L4517" i="12" s="1"/>
  <c r="H4517" i="12"/>
  <c r="N4517" i="12"/>
  <c r="O4517" i="12"/>
  <c r="P4517" i="12"/>
  <c r="Q4517" i="12"/>
  <c r="F4518" i="12"/>
  <c r="G4518" i="12"/>
  <c r="J4518" i="12" s="1"/>
  <c r="H4518" i="12"/>
  <c r="N4518" i="12"/>
  <c r="O4518" i="12"/>
  <c r="P4518" i="12"/>
  <c r="Q4518" i="12"/>
  <c r="F4519" i="12"/>
  <c r="D4519" i="12" s="1"/>
  <c r="G4519" i="12"/>
  <c r="K4519" i="12" s="1"/>
  <c r="H4519" i="12"/>
  <c r="N4519" i="12"/>
  <c r="O4519" i="12"/>
  <c r="P4519" i="12"/>
  <c r="Q4519" i="12"/>
  <c r="F4520" i="12"/>
  <c r="D4520" i="12" s="1"/>
  <c r="G4520" i="12"/>
  <c r="I4520" i="12" s="1"/>
  <c r="H4520" i="12"/>
  <c r="N4520" i="12"/>
  <c r="O4520" i="12"/>
  <c r="P4520" i="12"/>
  <c r="Q4520" i="12"/>
  <c r="F4521" i="12"/>
  <c r="E4521" i="12" s="1"/>
  <c r="G4521" i="12"/>
  <c r="L4521" i="12" s="1"/>
  <c r="H4521" i="12"/>
  <c r="N4521" i="12"/>
  <c r="O4521" i="12"/>
  <c r="P4521" i="12"/>
  <c r="Q4521" i="12"/>
  <c r="F4522" i="12"/>
  <c r="G4522" i="12"/>
  <c r="J4522" i="12" s="1"/>
  <c r="H4522" i="12"/>
  <c r="N4522" i="12"/>
  <c r="O4522" i="12"/>
  <c r="P4522" i="12"/>
  <c r="Q4522" i="12"/>
  <c r="F4523" i="12"/>
  <c r="G4523" i="12"/>
  <c r="L4523" i="12" s="1"/>
  <c r="H4523" i="12"/>
  <c r="N4523" i="12"/>
  <c r="O4523" i="12"/>
  <c r="P4523" i="12"/>
  <c r="Q4523" i="12"/>
  <c r="F4524" i="12"/>
  <c r="D4524" i="12" s="1"/>
  <c r="G4524" i="12"/>
  <c r="L4524" i="12" s="1"/>
  <c r="H4524" i="12"/>
  <c r="N4524" i="12"/>
  <c r="O4524" i="12"/>
  <c r="P4524" i="12"/>
  <c r="Q4524" i="12"/>
  <c r="F4525" i="12"/>
  <c r="E4525" i="12" s="1"/>
  <c r="G4525" i="12"/>
  <c r="L4525" i="12" s="1"/>
  <c r="H4525" i="12"/>
  <c r="N4525" i="12"/>
  <c r="O4525" i="12"/>
  <c r="P4525" i="12"/>
  <c r="Q4525" i="12"/>
  <c r="F4526" i="12"/>
  <c r="G4526" i="12"/>
  <c r="J4526" i="12" s="1"/>
  <c r="H4526" i="12"/>
  <c r="N4526" i="12"/>
  <c r="O4526" i="12"/>
  <c r="P4526" i="12"/>
  <c r="Q4526" i="12"/>
  <c r="F4527" i="12"/>
  <c r="G4527" i="12"/>
  <c r="H4527" i="12"/>
  <c r="N4527" i="12"/>
  <c r="O4527" i="12"/>
  <c r="P4527" i="12"/>
  <c r="Q4527" i="12"/>
  <c r="F4528" i="12"/>
  <c r="D4528" i="12" s="1"/>
  <c r="G4528" i="12"/>
  <c r="M4528" i="12" s="1"/>
  <c r="H4528" i="12"/>
  <c r="N4528" i="12"/>
  <c r="O4528" i="12"/>
  <c r="P4528" i="12"/>
  <c r="Q4528" i="12"/>
  <c r="F4529" i="12"/>
  <c r="G4529" i="12"/>
  <c r="L4529" i="12" s="1"/>
  <c r="H4529" i="12"/>
  <c r="N4529" i="12"/>
  <c r="O4529" i="12"/>
  <c r="P4529" i="12"/>
  <c r="Q4529" i="12"/>
  <c r="F4530" i="12"/>
  <c r="G4530" i="12"/>
  <c r="J4530" i="12" s="1"/>
  <c r="H4530" i="12"/>
  <c r="N4530" i="12"/>
  <c r="O4530" i="12"/>
  <c r="P4530" i="12"/>
  <c r="Q4530" i="12"/>
  <c r="F4531" i="12"/>
  <c r="D4531" i="12" s="1"/>
  <c r="G4531" i="12"/>
  <c r="I4531" i="12" s="1"/>
  <c r="H4531" i="12"/>
  <c r="N4531" i="12"/>
  <c r="O4531" i="12"/>
  <c r="P4531" i="12"/>
  <c r="Q4531" i="12"/>
  <c r="F4532" i="12"/>
  <c r="D4532" i="12" s="1"/>
  <c r="G4532" i="12"/>
  <c r="I4532" i="12" s="1"/>
  <c r="H4532" i="12"/>
  <c r="N4532" i="12"/>
  <c r="O4532" i="12"/>
  <c r="P4532" i="12"/>
  <c r="Q4532" i="12"/>
  <c r="F4533" i="12"/>
  <c r="E4533" i="12" s="1"/>
  <c r="G4533" i="12"/>
  <c r="L4533" i="12" s="1"/>
  <c r="H4533" i="12"/>
  <c r="N4533" i="12"/>
  <c r="O4533" i="12"/>
  <c r="P4533" i="12"/>
  <c r="Q4533" i="12"/>
  <c r="F4534" i="12"/>
  <c r="G4534" i="12"/>
  <c r="J4534" i="12" s="1"/>
  <c r="H4534" i="12"/>
  <c r="N4534" i="12"/>
  <c r="O4534" i="12"/>
  <c r="P4534" i="12"/>
  <c r="Q4534" i="12"/>
  <c r="F4535" i="12"/>
  <c r="D4535" i="12" s="1"/>
  <c r="G4535" i="12"/>
  <c r="K4535" i="12" s="1"/>
  <c r="H4535" i="12"/>
  <c r="N4535" i="12"/>
  <c r="O4535" i="12"/>
  <c r="P4535" i="12"/>
  <c r="Q4535" i="12"/>
  <c r="F4536" i="12"/>
  <c r="E4536" i="12" s="1"/>
  <c r="G4536" i="12"/>
  <c r="I4536" i="12" s="1"/>
  <c r="H4536" i="12"/>
  <c r="N4536" i="12"/>
  <c r="O4536" i="12"/>
  <c r="P4536" i="12"/>
  <c r="Q4536" i="12"/>
  <c r="F4537" i="12"/>
  <c r="E4537" i="12" s="1"/>
  <c r="G4537" i="12"/>
  <c r="L4537" i="12" s="1"/>
  <c r="H4537" i="12"/>
  <c r="N4537" i="12"/>
  <c r="O4537" i="12"/>
  <c r="P4537" i="12"/>
  <c r="Q4537" i="12"/>
  <c r="F4538" i="12"/>
  <c r="G4538" i="12"/>
  <c r="J4538" i="12" s="1"/>
  <c r="H4538" i="12"/>
  <c r="N4538" i="12"/>
  <c r="O4538" i="12"/>
  <c r="P4538" i="12"/>
  <c r="Q4538" i="12"/>
  <c r="F4539" i="12"/>
  <c r="G4539" i="12"/>
  <c r="H4539" i="12"/>
  <c r="N4539" i="12"/>
  <c r="O4539" i="12"/>
  <c r="P4539" i="12"/>
  <c r="Q4539" i="12"/>
  <c r="F4540" i="12"/>
  <c r="G4540" i="12"/>
  <c r="J4540" i="12" s="1"/>
  <c r="H4540" i="12"/>
  <c r="N4540" i="12"/>
  <c r="O4540" i="12"/>
  <c r="P4540" i="12"/>
  <c r="Q4540" i="12"/>
  <c r="F4541" i="12"/>
  <c r="E4541" i="12" s="1"/>
  <c r="G4541" i="12"/>
  <c r="H4541" i="12"/>
  <c r="N4541" i="12"/>
  <c r="O4541" i="12"/>
  <c r="P4541" i="12"/>
  <c r="Q4541" i="12"/>
  <c r="F4542" i="12"/>
  <c r="G4542" i="12"/>
  <c r="H4542" i="12"/>
  <c r="N4542" i="12"/>
  <c r="O4542" i="12"/>
  <c r="P4542" i="12"/>
  <c r="Q4542" i="12"/>
  <c r="F4543" i="12"/>
  <c r="D4543" i="12" s="1"/>
  <c r="G4543" i="12"/>
  <c r="I4543" i="12" s="1"/>
  <c r="H4543" i="12"/>
  <c r="N4543" i="12"/>
  <c r="O4543" i="12"/>
  <c r="P4543" i="12"/>
  <c r="Q4543" i="12"/>
  <c r="F4544" i="12"/>
  <c r="D4544" i="12" s="1"/>
  <c r="G4544" i="12"/>
  <c r="H4544" i="12"/>
  <c r="N4544" i="12"/>
  <c r="O4544" i="12"/>
  <c r="P4544" i="12"/>
  <c r="Q4544" i="12"/>
  <c r="F4545" i="12"/>
  <c r="E4545" i="12" s="1"/>
  <c r="G4545" i="12"/>
  <c r="L4545" i="12" s="1"/>
  <c r="H4545" i="12"/>
  <c r="N4545" i="12"/>
  <c r="O4545" i="12"/>
  <c r="P4545" i="12"/>
  <c r="Q4545" i="12"/>
  <c r="F4546" i="12"/>
  <c r="G4546" i="12"/>
  <c r="J4546" i="12" s="1"/>
  <c r="H4546" i="12"/>
  <c r="N4546" i="12"/>
  <c r="O4546" i="12"/>
  <c r="P4546" i="12"/>
  <c r="Q4546" i="12"/>
  <c r="F4547" i="12"/>
  <c r="D4547" i="12" s="1"/>
  <c r="G4547" i="12"/>
  <c r="K4547" i="12" s="1"/>
  <c r="H4547" i="12"/>
  <c r="N4547" i="12"/>
  <c r="O4547" i="12"/>
  <c r="P4547" i="12"/>
  <c r="Q4547" i="12"/>
  <c r="F4548" i="12"/>
  <c r="D4548" i="12" s="1"/>
  <c r="G4548" i="12"/>
  <c r="J4548" i="12" s="1"/>
  <c r="H4548" i="12"/>
  <c r="N4548" i="12"/>
  <c r="O4548" i="12"/>
  <c r="P4548" i="12"/>
  <c r="Q4548" i="12"/>
  <c r="F4549" i="12"/>
  <c r="E4549" i="12" s="1"/>
  <c r="G4549" i="12"/>
  <c r="L4549" i="12" s="1"/>
  <c r="H4549" i="12"/>
  <c r="N4549" i="12"/>
  <c r="O4549" i="12"/>
  <c r="P4549" i="12"/>
  <c r="Q4549" i="12"/>
  <c r="F4550" i="12"/>
  <c r="G4550" i="12"/>
  <c r="J4550" i="12" s="1"/>
  <c r="H4550" i="12"/>
  <c r="N4550" i="12"/>
  <c r="O4550" i="12"/>
  <c r="P4550" i="12"/>
  <c r="Q4550" i="12"/>
  <c r="F4551" i="12"/>
  <c r="G4551" i="12"/>
  <c r="H4551" i="12"/>
  <c r="N4551" i="12"/>
  <c r="O4551" i="12"/>
  <c r="P4551" i="12"/>
  <c r="Q4551" i="12"/>
  <c r="F4552" i="12"/>
  <c r="G4552" i="12"/>
  <c r="J4552" i="12" s="1"/>
  <c r="H4552" i="12"/>
  <c r="N4552" i="12"/>
  <c r="O4552" i="12"/>
  <c r="P4552" i="12"/>
  <c r="Q4552" i="12"/>
  <c r="F4553" i="12"/>
  <c r="E4553" i="12" s="1"/>
  <c r="G4553" i="12"/>
  <c r="L4553" i="12" s="1"/>
  <c r="H4553" i="12"/>
  <c r="N4553" i="12"/>
  <c r="O4553" i="12"/>
  <c r="P4553" i="12"/>
  <c r="Q4553" i="12"/>
  <c r="F4554" i="12"/>
  <c r="G4554" i="12"/>
  <c r="I4554" i="12" s="1"/>
  <c r="H4554" i="12"/>
  <c r="N4554" i="12"/>
  <c r="O4554" i="12"/>
  <c r="P4554" i="12"/>
  <c r="Q4554" i="12"/>
  <c r="F4555" i="12"/>
  <c r="D4555" i="12" s="1"/>
  <c r="G4555" i="12"/>
  <c r="M4555" i="12" s="1"/>
  <c r="H4555" i="12"/>
  <c r="N4555" i="12"/>
  <c r="O4555" i="12"/>
  <c r="P4555" i="12"/>
  <c r="Q4555" i="12"/>
  <c r="F4556" i="12"/>
  <c r="E4556" i="12" s="1"/>
  <c r="G4556" i="12"/>
  <c r="H4556" i="12"/>
  <c r="N4556" i="12"/>
  <c r="O4556" i="12"/>
  <c r="P4556" i="12"/>
  <c r="Q4556" i="12"/>
  <c r="F4557" i="12"/>
  <c r="G4557" i="12"/>
  <c r="I4557" i="12" s="1"/>
  <c r="H4557" i="12"/>
  <c r="N4557" i="12"/>
  <c r="O4557" i="12"/>
  <c r="P4557" i="12"/>
  <c r="Q4557" i="12"/>
  <c r="F4558" i="12"/>
  <c r="G4558" i="12"/>
  <c r="I4558" i="12" s="1"/>
  <c r="H4558" i="12"/>
  <c r="N4558" i="12"/>
  <c r="O4558" i="12"/>
  <c r="P4558" i="12"/>
  <c r="Q4558" i="12"/>
  <c r="F4559" i="12"/>
  <c r="D4559" i="12" s="1"/>
  <c r="G4559" i="12"/>
  <c r="L4559" i="12" s="1"/>
  <c r="H4559" i="12"/>
  <c r="N4559" i="12"/>
  <c r="O4559" i="12"/>
  <c r="P4559" i="12"/>
  <c r="Q4559" i="12"/>
  <c r="F4560" i="12"/>
  <c r="D4560" i="12" s="1"/>
  <c r="G4560" i="12"/>
  <c r="J4560" i="12" s="1"/>
  <c r="H4560" i="12"/>
  <c r="N4560" i="12"/>
  <c r="O4560" i="12"/>
  <c r="P4560" i="12"/>
  <c r="Q4560" i="12"/>
  <c r="F4561" i="12"/>
  <c r="G4561" i="12"/>
  <c r="L4561" i="12" s="1"/>
  <c r="H4561" i="12"/>
  <c r="N4561" i="12"/>
  <c r="O4561" i="12"/>
  <c r="P4561" i="12"/>
  <c r="Q4561" i="12"/>
  <c r="F4562" i="12"/>
  <c r="G4562" i="12"/>
  <c r="J4562" i="12" s="1"/>
  <c r="H4562" i="12"/>
  <c r="N4562" i="12"/>
  <c r="O4562" i="12"/>
  <c r="P4562" i="12"/>
  <c r="Q4562" i="12"/>
  <c r="F4563" i="12"/>
  <c r="G4563" i="12"/>
  <c r="J4563" i="12" s="1"/>
  <c r="H4563" i="12"/>
  <c r="N4563" i="12"/>
  <c r="O4563" i="12"/>
  <c r="P4563" i="12"/>
  <c r="Q4563" i="12"/>
  <c r="F4564" i="12"/>
  <c r="E4564" i="12" s="1"/>
  <c r="G4564" i="12"/>
  <c r="J4564" i="12" s="1"/>
  <c r="H4564" i="12"/>
  <c r="N4564" i="12"/>
  <c r="O4564" i="12"/>
  <c r="P4564" i="12"/>
  <c r="Q4564" i="12"/>
  <c r="F4565" i="12"/>
  <c r="G4565" i="12"/>
  <c r="L4565" i="12" s="1"/>
  <c r="H4565" i="12"/>
  <c r="N4565" i="12"/>
  <c r="O4565" i="12"/>
  <c r="P4565" i="12"/>
  <c r="Q4565" i="12"/>
  <c r="F4566" i="12"/>
  <c r="G4566" i="12"/>
  <c r="H4566" i="12"/>
  <c r="N4566" i="12"/>
  <c r="O4566" i="12"/>
  <c r="P4566" i="12"/>
  <c r="Q4566" i="12"/>
  <c r="F4567" i="12"/>
  <c r="G4567" i="12"/>
  <c r="I4567" i="12" s="1"/>
  <c r="H4567" i="12"/>
  <c r="N4567" i="12"/>
  <c r="O4567" i="12"/>
  <c r="P4567" i="12"/>
  <c r="Q4567" i="12"/>
  <c r="F4568" i="12"/>
  <c r="G4568" i="12"/>
  <c r="J4568" i="12" s="1"/>
  <c r="H4568" i="12"/>
  <c r="N4568" i="12"/>
  <c r="O4568" i="12"/>
  <c r="P4568" i="12"/>
  <c r="Q4568" i="12"/>
  <c r="F4569" i="12"/>
  <c r="E4569" i="12" s="1"/>
  <c r="G4569" i="12"/>
  <c r="H4569" i="12"/>
  <c r="N4569" i="12"/>
  <c r="O4569" i="12"/>
  <c r="P4569" i="12"/>
  <c r="Q4569" i="12"/>
  <c r="F4570" i="12"/>
  <c r="G4570" i="12"/>
  <c r="H4570" i="12"/>
  <c r="N4570" i="12"/>
  <c r="O4570" i="12"/>
  <c r="P4570" i="12"/>
  <c r="Q4570" i="12"/>
  <c r="F4571" i="12"/>
  <c r="G4571" i="12"/>
  <c r="M4571" i="12" s="1"/>
  <c r="H4571" i="12"/>
  <c r="N4571" i="12"/>
  <c r="O4571" i="12"/>
  <c r="P4571" i="12"/>
  <c r="Q4571" i="12"/>
  <c r="F4572" i="12"/>
  <c r="D4572" i="12" s="1"/>
  <c r="G4572" i="12"/>
  <c r="H4572" i="12"/>
  <c r="N4572" i="12"/>
  <c r="O4572" i="12"/>
  <c r="P4572" i="12"/>
  <c r="Q4572" i="12"/>
  <c r="F4573" i="12"/>
  <c r="E4573" i="12" s="1"/>
  <c r="G4573" i="12"/>
  <c r="L4573" i="12" s="1"/>
  <c r="H4573" i="12"/>
  <c r="N4573" i="12"/>
  <c r="O4573" i="12"/>
  <c r="P4573" i="12"/>
  <c r="Q4573" i="12"/>
  <c r="F4574" i="12"/>
  <c r="G4574" i="12"/>
  <c r="H4574" i="12"/>
  <c r="N4574" i="12"/>
  <c r="O4574" i="12"/>
  <c r="P4574" i="12"/>
  <c r="Q4574" i="12"/>
  <c r="F4575" i="12"/>
  <c r="D4575" i="12" s="1"/>
  <c r="G4575" i="12"/>
  <c r="J4575" i="12" s="1"/>
  <c r="H4575" i="12"/>
  <c r="N4575" i="12"/>
  <c r="O4575" i="12"/>
  <c r="P4575" i="12"/>
  <c r="Q4575" i="12"/>
  <c r="F4576" i="12"/>
  <c r="D4576" i="12" s="1"/>
  <c r="G4576" i="12"/>
  <c r="J4576" i="12" s="1"/>
  <c r="H4576" i="12"/>
  <c r="N4576" i="12"/>
  <c r="O4576" i="12"/>
  <c r="P4576" i="12"/>
  <c r="Q4576" i="12"/>
  <c r="F4577" i="12"/>
  <c r="E4577" i="12" s="1"/>
  <c r="G4577" i="12"/>
  <c r="I4577" i="12" s="1"/>
  <c r="H4577" i="12"/>
  <c r="N4577" i="12"/>
  <c r="O4577" i="12"/>
  <c r="P4577" i="12"/>
  <c r="Q4577" i="12"/>
  <c r="F4578" i="12"/>
  <c r="G4578" i="12"/>
  <c r="J4578" i="12" s="1"/>
  <c r="H4578" i="12"/>
  <c r="N4578" i="12"/>
  <c r="O4578" i="12"/>
  <c r="P4578" i="12"/>
  <c r="Q4578" i="12"/>
  <c r="F4579" i="12"/>
  <c r="D4579" i="12" s="1"/>
  <c r="G4579" i="12"/>
  <c r="I4579" i="12" s="1"/>
  <c r="H4579" i="12"/>
  <c r="N4579" i="12"/>
  <c r="O4579" i="12"/>
  <c r="P4579" i="12"/>
  <c r="Q4579" i="12"/>
  <c r="F4580" i="12"/>
  <c r="E4580" i="12" s="1"/>
  <c r="G4580" i="12"/>
  <c r="L4580" i="12" s="1"/>
  <c r="H4580" i="12"/>
  <c r="N4580" i="12"/>
  <c r="O4580" i="12"/>
  <c r="P4580" i="12"/>
  <c r="Q4580" i="12"/>
  <c r="F4581" i="12"/>
  <c r="E4581" i="12" s="1"/>
  <c r="G4581" i="12"/>
  <c r="L4581" i="12" s="1"/>
  <c r="H4581" i="12"/>
  <c r="N4581" i="12"/>
  <c r="O4581" i="12"/>
  <c r="P4581" i="12"/>
  <c r="Q4581" i="12"/>
  <c r="F4582" i="12"/>
  <c r="G4582" i="12"/>
  <c r="H4582" i="12"/>
  <c r="N4582" i="12"/>
  <c r="O4582" i="12"/>
  <c r="P4582" i="12"/>
  <c r="Q4582" i="12"/>
  <c r="F4583" i="12"/>
  <c r="G4583" i="12"/>
  <c r="I4583" i="12" s="1"/>
  <c r="H4583" i="12"/>
  <c r="N4583" i="12"/>
  <c r="O4583" i="12"/>
  <c r="P4583" i="12"/>
  <c r="Q4583" i="12"/>
  <c r="F4584" i="12"/>
  <c r="G4584" i="12"/>
  <c r="J4584" i="12" s="1"/>
  <c r="H4584" i="12"/>
  <c r="N4584" i="12"/>
  <c r="O4584" i="12"/>
  <c r="P4584" i="12"/>
  <c r="Q4584" i="12"/>
  <c r="F4585" i="12"/>
  <c r="E4585" i="12" s="1"/>
  <c r="G4585" i="12"/>
  <c r="H4585" i="12"/>
  <c r="N4585" i="12"/>
  <c r="O4585" i="12"/>
  <c r="P4585" i="12"/>
  <c r="Q4585" i="12"/>
  <c r="F4586" i="12"/>
  <c r="G4586" i="12"/>
  <c r="H4586" i="12"/>
  <c r="N4586" i="12"/>
  <c r="O4586" i="12"/>
  <c r="P4586" i="12"/>
  <c r="Q4586" i="12"/>
  <c r="F4587" i="12"/>
  <c r="G4587" i="12"/>
  <c r="I4587" i="12" s="1"/>
  <c r="H4587" i="12"/>
  <c r="N4587" i="12"/>
  <c r="O4587" i="12"/>
  <c r="P4587" i="12"/>
  <c r="Q4587" i="12"/>
  <c r="F4588" i="12"/>
  <c r="D4588" i="12" s="1"/>
  <c r="G4588" i="12"/>
  <c r="H4588" i="12"/>
  <c r="N4588" i="12"/>
  <c r="O4588" i="12"/>
  <c r="P4588" i="12"/>
  <c r="Q4588" i="12"/>
  <c r="F4589" i="12"/>
  <c r="D4589" i="12" s="1"/>
  <c r="G4589" i="12"/>
  <c r="H4589" i="12"/>
  <c r="N4589" i="12"/>
  <c r="O4589" i="12"/>
  <c r="P4589" i="12"/>
  <c r="Q4589" i="12"/>
  <c r="F4590" i="12"/>
  <c r="G4590" i="12"/>
  <c r="I4590" i="12" s="1"/>
  <c r="H4590" i="12"/>
  <c r="N4590" i="12"/>
  <c r="O4590" i="12"/>
  <c r="P4590" i="12"/>
  <c r="Q4590" i="12"/>
  <c r="F4591" i="12"/>
  <c r="D4591" i="12" s="1"/>
  <c r="G4591" i="12"/>
  <c r="I4591" i="12" s="1"/>
  <c r="H4591" i="12"/>
  <c r="N4591" i="12"/>
  <c r="O4591" i="12"/>
  <c r="P4591" i="12"/>
  <c r="Q4591" i="12"/>
  <c r="F4592" i="12"/>
  <c r="D4592" i="12" s="1"/>
  <c r="G4592" i="12"/>
  <c r="H4592" i="12"/>
  <c r="N4592" i="12"/>
  <c r="O4592" i="12"/>
  <c r="P4592" i="12"/>
  <c r="Q4592" i="12"/>
  <c r="F4593" i="12"/>
  <c r="D4593" i="12" s="1"/>
  <c r="G4593" i="12"/>
  <c r="I4593" i="12" s="1"/>
  <c r="H4593" i="12"/>
  <c r="N4593" i="12"/>
  <c r="O4593" i="12"/>
  <c r="P4593" i="12"/>
  <c r="Q4593" i="12"/>
  <c r="F4594" i="12"/>
  <c r="G4594" i="12"/>
  <c r="I4594" i="12" s="1"/>
  <c r="H4594" i="12"/>
  <c r="N4594" i="12"/>
  <c r="O4594" i="12"/>
  <c r="P4594" i="12"/>
  <c r="Q4594" i="12"/>
  <c r="F4595" i="12"/>
  <c r="D4595" i="12" s="1"/>
  <c r="G4595" i="12"/>
  <c r="I4595" i="12" s="1"/>
  <c r="H4595" i="12"/>
  <c r="N4595" i="12"/>
  <c r="O4595" i="12"/>
  <c r="P4595" i="12"/>
  <c r="Q4595" i="12"/>
  <c r="F4596" i="12"/>
  <c r="E4596" i="12" s="1"/>
  <c r="G4596" i="12"/>
  <c r="I4596" i="12" s="1"/>
  <c r="H4596" i="12"/>
  <c r="N4596" i="12"/>
  <c r="O4596" i="12"/>
  <c r="P4596" i="12"/>
  <c r="Q4596" i="12"/>
  <c r="F4597" i="12"/>
  <c r="D4597" i="12" s="1"/>
  <c r="G4597" i="12"/>
  <c r="H4597" i="12"/>
  <c r="N4597" i="12"/>
  <c r="O4597" i="12"/>
  <c r="P4597" i="12"/>
  <c r="Q4597" i="12"/>
  <c r="F4598" i="12"/>
  <c r="E4598" i="12" s="1"/>
  <c r="G4598" i="12"/>
  <c r="I4598" i="12" s="1"/>
  <c r="H4598" i="12"/>
  <c r="N4598" i="12"/>
  <c r="O4598" i="12"/>
  <c r="P4598" i="12"/>
  <c r="Q4598" i="12"/>
  <c r="F4599" i="12"/>
  <c r="D4599" i="12" s="1"/>
  <c r="G4599" i="12"/>
  <c r="I4599" i="12" s="1"/>
  <c r="H4599" i="12"/>
  <c r="N4599" i="12"/>
  <c r="O4599" i="12"/>
  <c r="P4599" i="12"/>
  <c r="Q4599" i="12"/>
  <c r="F4600" i="12"/>
  <c r="G4600" i="12"/>
  <c r="H4600" i="12"/>
  <c r="N4600" i="12"/>
  <c r="O4600" i="12"/>
  <c r="P4600" i="12"/>
  <c r="Q4600" i="12"/>
  <c r="F4601" i="12"/>
  <c r="D4601" i="12" s="1"/>
  <c r="G4601" i="12"/>
  <c r="K4601" i="12" s="1"/>
  <c r="H4601" i="12"/>
  <c r="N4601" i="12"/>
  <c r="O4601" i="12"/>
  <c r="P4601" i="12"/>
  <c r="Q4601" i="12"/>
  <c r="F4602" i="12"/>
  <c r="E4602" i="12" s="1"/>
  <c r="G4602" i="12"/>
  <c r="L4602" i="12" s="1"/>
  <c r="H4602" i="12"/>
  <c r="N4602" i="12"/>
  <c r="O4602" i="12"/>
  <c r="P4602" i="12"/>
  <c r="Q4602" i="12"/>
  <c r="F4603" i="12"/>
  <c r="G4603" i="12"/>
  <c r="H4603" i="12"/>
  <c r="N4603" i="12"/>
  <c r="O4603" i="12"/>
  <c r="P4603" i="12"/>
  <c r="Q4603" i="12"/>
  <c r="F4604" i="12"/>
  <c r="D4604" i="12" s="1"/>
  <c r="G4604" i="12"/>
  <c r="I4604" i="12" s="1"/>
  <c r="H4604" i="12"/>
  <c r="N4604" i="12"/>
  <c r="O4604" i="12"/>
  <c r="P4604" i="12"/>
  <c r="Q4604" i="12"/>
  <c r="F4605" i="12"/>
  <c r="D4605" i="12" s="1"/>
  <c r="G4605" i="12"/>
  <c r="H4605" i="12"/>
  <c r="N4605" i="12"/>
  <c r="O4605" i="12"/>
  <c r="P4605" i="12"/>
  <c r="Q4605" i="12"/>
  <c r="F4606" i="12"/>
  <c r="E4606" i="12" s="1"/>
  <c r="G4606" i="12"/>
  <c r="H4606" i="12"/>
  <c r="N4606" i="12"/>
  <c r="O4606" i="12"/>
  <c r="P4606" i="12"/>
  <c r="Q4606" i="12"/>
  <c r="F4607" i="12"/>
  <c r="D4607" i="12" s="1"/>
  <c r="G4607" i="12"/>
  <c r="I4607" i="12" s="1"/>
  <c r="H4607" i="12"/>
  <c r="N4607" i="12"/>
  <c r="O4607" i="12"/>
  <c r="P4607" i="12"/>
  <c r="Q4607" i="12"/>
  <c r="F4608" i="12"/>
  <c r="G4608" i="12"/>
  <c r="H4608" i="12"/>
  <c r="N4608" i="12"/>
  <c r="O4608" i="12"/>
  <c r="P4608" i="12"/>
  <c r="Q4608" i="12"/>
  <c r="F4609" i="12"/>
  <c r="E4609" i="12" s="1"/>
  <c r="G4609" i="12"/>
  <c r="K4609" i="12" s="1"/>
  <c r="H4609" i="12"/>
  <c r="N4609" i="12"/>
  <c r="O4609" i="12"/>
  <c r="P4609" i="12"/>
  <c r="Q4609" i="12"/>
  <c r="F4610" i="12"/>
  <c r="E4610" i="12" s="1"/>
  <c r="G4610" i="12"/>
  <c r="H4610" i="12"/>
  <c r="N4610" i="12"/>
  <c r="O4610" i="12"/>
  <c r="P4610" i="12"/>
  <c r="Q4610" i="12"/>
  <c r="F4611" i="12"/>
  <c r="D4611" i="12" s="1"/>
  <c r="G4611" i="12"/>
  <c r="J4611" i="12" s="1"/>
  <c r="H4611" i="12"/>
  <c r="N4611" i="12"/>
  <c r="O4611" i="12"/>
  <c r="P4611" i="12"/>
  <c r="Q4611" i="12"/>
  <c r="F4612" i="12"/>
  <c r="E4612" i="12" s="1"/>
  <c r="G4612" i="12"/>
  <c r="I4612" i="12" s="1"/>
  <c r="H4612" i="12"/>
  <c r="N4612" i="12"/>
  <c r="O4612" i="12"/>
  <c r="P4612" i="12"/>
  <c r="Q4612" i="12"/>
  <c r="F4613" i="12"/>
  <c r="D4613" i="12" s="1"/>
  <c r="G4613" i="12"/>
  <c r="K4613" i="12" s="1"/>
  <c r="H4613" i="12"/>
  <c r="N4613" i="12"/>
  <c r="O4613" i="12"/>
  <c r="P4613" i="12"/>
  <c r="Q4613" i="12"/>
  <c r="F4614" i="12"/>
  <c r="E4614" i="12" s="1"/>
  <c r="G4614" i="12"/>
  <c r="I4614" i="12" s="1"/>
  <c r="H4614" i="12"/>
  <c r="N4614" i="12"/>
  <c r="O4614" i="12"/>
  <c r="P4614" i="12"/>
  <c r="Q4614" i="12"/>
  <c r="F4615" i="12"/>
  <c r="D4615" i="12" s="1"/>
  <c r="G4615" i="12"/>
  <c r="I4615" i="12" s="1"/>
  <c r="H4615" i="12"/>
  <c r="N4615" i="12"/>
  <c r="O4615" i="12"/>
  <c r="P4615" i="12"/>
  <c r="Q4615" i="12"/>
  <c r="F4616" i="12"/>
  <c r="E4616" i="12" s="1"/>
  <c r="G4616" i="12"/>
  <c r="I4616" i="12" s="1"/>
  <c r="H4616" i="12"/>
  <c r="N4616" i="12"/>
  <c r="O4616" i="12"/>
  <c r="P4616" i="12"/>
  <c r="Q4616" i="12"/>
  <c r="F4617" i="12"/>
  <c r="D4617" i="12" s="1"/>
  <c r="G4617" i="12"/>
  <c r="K4617" i="12" s="1"/>
  <c r="H4617" i="12"/>
  <c r="N4617" i="12"/>
  <c r="O4617" i="12"/>
  <c r="P4617" i="12"/>
  <c r="Q4617" i="12"/>
  <c r="F4618" i="12"/>
  <c r="G4618" i="12"/>
  <c r="I4618" i="12" s="1"/>
  <c r="H4618" i="12"/>
  <c r="N4618" i="12"/>
  <c r="O4618" i="12"/>
  <c r="P4618" i="12"/>
  <c r="Q4618" i="12"/>
  <c r="F4619" i="12"/>
  <c r="D4619" i="12" s="1"/>
  <c r="G4619" i="12"/>
  <c r="J4619" i="12" s="1"/>
  <c r="H4619" i="12"/>
  <c r="N4619" i="12"/>
  <c r="O4619" i="12"/>
  <c r="P4619" i="12"/>
  <c r="Q4619" i="12"/>
  <c r="F4620" i="12"/>
  <c r="D4620" i="12" s="1"/>
  <c r="G4620" i="12"/>
  <c r="H4620" i="12"/>
  <c r="N4620" i="12"/>
  <c r="O4620" i="12"/>
  <c r="P4620" i="12"/>
  <c r="Q4620" i="12"/>
  <c r="F4621" i="12"/>
  <c r="D4621" i="12" s="1"/>
  <c r="G4621" i="12"/>
  <c r="K4621" i="12" s="1"/>
  <c r="H4621" i="12"/>
  <c r="N4621" i="12"/>
  <c r="O4621" i="12"/>
  <c r="P4621" i="12"/>
  <c r="Q4621" i="12"/>
  <c r="F4622" i="12"/>
  <c r="E4622" i="12" s="1"/>
  <c r="G4622" i="12"/>
  <c r="I4622" i="12" s="1"/>
  <c r="H4622" i="12"/>
  <c r="N4622" i="12"/>
  <c r="O4622" i="12"/>
  <c r="P4622" i="12"/>
  <c r="Q4622" i="12"/>
  <c r="F4623" i="12"/>
  <c r="D4623" i="12" s="1"/>
  <c r="G4623" i="12"/>
  <c r="H4623" i="12"/>
  <c r="N4623" i="12"/>
  <c r="O4623" i="12"/>
  <c r="P4623" i="12"/>
  <c r="Q4623" i="12"/>
  <c r="F4624" i="12"/>
  <c r="E4624" i="12" s="1"/>
  <c r="G4624" i="12"/>
  <c r="I4624" i="12" s="1"/>
  <c r="H4624" i="12"/>
  <c r="N4624" i="12"/>
  <c r="O4624" i="12"/>
  <c r="P4624" i="12"/>
  <c r="Q4624" i="12"/>
  <c r="F4625" i="12"/>
  <c r="E4625" i="12" s="1"/>
  <c r="G4625" i="12"/>
  <c r="J4625" i="12" s="1"/>
  <c r="H4625" i="12"/>
  <c r="N4625" i="12"/>
  <c r="O4625" i="12"/>
  <c r="P4625" i="12"/>
  <c r="Q4625" i="12"/>
  <c r="F4626" i="12"/>
  <c r="E4626" i="12" s="1"/>
  <c r="G4626" i="12"/>
  <c r="H4626" i="12"/>
  <c r="N4626" i="12"/>
  <c r="O4626" i="12"/>
  <c r="P4626" i="12"/>
  <c r="Q4626" i="12"/>
  <c r="F4627" i="12"/>
  <c r="D4627" i="12" s="1"/>
  <c r="G4627" i="12"/>
  <c r="M4627" i="12" s="1"/>
  <c r="H4627" i="12"/>
  <c r="N4627" i="12"/>
  <c r="O4627" i="12"/>
  <c r="P4627" i="12"/>
  <c r="Q4627" i="12"/>
  <c r="F4628" i="12"/>
  <c r="G4628" i="12"/>
  <c r="I4628" i="12" s="1"/>
  <c r="H4628" i="12"/>
  <c r="N4628" i="12"/>
  <c r="O4628" i="12"/>
  <c r="P4628" i="12"/>
  <c r="Q4628" i="12"/>
  <c r="F4629" i="12"/>
  <c r="D4629" i="12" s="1"/>
  <c r="G4629" i="12"/>
  <c r="J4629" i="12" s="1"/>
  <c r="H4629" i="12"/>
  <c r="N4629" i="12"/>
  <c r="O4629" i="12"/>
  <c r="P4629" i="12"/>
  <c r="Q4629" i="12"/>
  <c r="F4630" i="12"/>
  <c r="G4630" i="12"/>
  <c r="H4630" i="12"/>
  <c r="N4630" i="12"/>
  <c r="O4630" i="12"/>
  <c r="P4630" i="12"/>
  <c r="Q4630" i="12"/>
  <c r="F4631" i="12"/>
  <c r="D4631" i="12" s="1"/>
  <c r="G4631" i="12"/>
  <c r="L4631" i="12" s="1"/>
  <c r="H4631" i="12"/>
  <c r="N4631" i="12"/>
  <c r="O4631" i="12"/>
  <c r="P4631" i="12"/>
  <c r="Q4631" i="12"/>
  <c r="F4632" i="12"/>
  <c r="G4632" i="12"/>
  <c r="H4632" i="12"/>
  <c r="N4632" i="12"/>
  <c r="O4632" i="12"/>
  <c r="P4632" i="12"/>
  <c r="Q4632" i="12"/>
  <c r="F4633" i="12"/>
  <c r="D4633" i="12" s="1"/>
  <c r="G4633" i="12"/>
  <c r="K4633" i="12" s="1"/>
  <c r="H4633" i="12"/>
  <c r="N4633" i="12"/>
  <c r="O4633" i="12"/>
  <c r="P4633" i="12"/>
  <c r="Q4633" i="12"/>
  <c r="F4634" i="12"/>
  <c r="G4634" i="12"/>
  <c r="K4634" i="12" s="1"/>
  <c r="H4634" i="12"/>
  <c r="N4634" i="12"/>
  <c r="O4634" i="12"/>
  <c r="P4634" i="12"/>
  <c r="Q4634" i="12"/>
  <c r="F4635" i="12"/>
  <c r="D4635" i="12" s="1"/>
  <c r="G4635" i="12"/>
  <c r="K4635" i="12" s="1"/>
  <c r="H4635" i="12"/>
  <c r="N4635" i="12"/>
  <c r="O4635" i="12"/>
  <c r="P4635" i="12"/>
  <c r="Q4635" i="12"/>
  <c r="F4636" i="12"/>
  <c r="E4636" i="12" s="1"/>
  <c r="G4636" i="12"/>
  <c r="I4636" i="12" s="1"/>
  <c r="H4636" i="12"/>
  <c r="N4636" i="12"/>
  <c r="O4636" i="12"/>
  <c r="P4636" i="12"/>
  <c r="Q4636" i="12"/>
  <c r="F4637" i="12"/>
  <c r="D4637" i="12" s="1"/>
  <c r="G4637" i="12"/>
  <c r="K4637" i="12" s="1"/>
  <c r="H4637" i="12"/>
  <c r="N4637" i="12"/>
  <c r="O4637" i="12"/>
  <c r="P4637" i="12"/>
  <c r="Q4637" i="12"/>
  <c r="F4638" i="12"/>
  <c r="E4638" i="12" s="1"/>
  <c r="G4638" i="12"/>
  <c r="I4638" i="12" s="1"/>
  <c r="H4638" i="12"/>
  <c r="N4638" i="12"/>
  <c r="O4638" i="12"/>
  <c r="P4638" i="12"/>
  <c r="Q4638" i="12"/>
  <c r="F4639" i="12"/>
  <c r="D4639" i="12" s="1"/>
  <c r="G4639" i="12"/>
  <c r="L4639" i="12" s="1"/>
  <c r="H4639" i="12"/>
  <c r="N4639" i="12"/>
  <c r="O4639" i="12"/>
  <c r="P4639" i="12"/>
  <c r="Q4639" i="12"/>
  <c r="F4640" i="12"/>
  <c r="G4640" i="12"/>
  <c r="I4640" i="12" s="1"/>
  <c r="H4640" i="12"/>
  <c r="N4640" i="12"/>
  <c r="O4640" i="12"/>
  <c r="P4640" i="12"/>
  <c r="Q4640" i="12"/>
  <c r="F4641" i="12"/>
  <c r="D4641" i="12" s="1"/>
  <c r="G4641" i="12"/>
  <c r="M4641" i="12" s="1"/>
  <c r="H4641" i="12"/>
  <c r="N4641" i="12"/>
  <c r="O4641" i="12"/>
  <c r="P4641" i="12"/>
  <c r="Q4641" i="12"/>
  <c r="F4642" i="12"/>
  <c r="E4642" i="12" s="1"/>
  <c r="G4642" i="12"/>
  <c r="H4642" i="12"/>
  <c r="N4642" i="12"/>
  <c r="O4642" i="12"/>
  <c r="P4642" i="12"/>
  <c r="Q4642" i="12"/>
  <c r="F4643" i="12"/>
  <c r="D4643" i="12" s="1"/>
  <c r="G4643" i="12"/>
  <c r="M4643" i="12" s="1"/>
  <c r="H4643" i="12"/>
  <c r="N4643" i="12"/>
  <c r="O4643" i="12"/>
  <c r="P4643" i="12"/>
  <c r="Q4643" i="12"/>
  <c r="F4644" i="12"/>
  <c r="E4644" i="12" s="1"/>
  <c r="G4644" i="12"/>
  <c r="I4644" i="12" s="1"/>
  <c r="H4644" i="12"/>
  <c r="N4644" i="12"/>
  <c r="O4644" i="12"/>
  <c r="P4644" i="12"/>
  <c r="Q4644" i="12"/>
  <c r="F4645" i="12"/>
  <c r="D4645" i="12" s="1"/>
  <c r="G4645" i="12"/>
  <c r="H4645" i="12"/>
  <c r="N4645" i="12"/>
  <c r="O4645" i="12"/>
  <c r="P4645" i="12"/>
  <c r="Q4645" i="12"/>
  <c r="F4646" i="12"/>
  <c r="E4646" i="12" s="1"/>
  <c r="G4646" i="12"/>
  <c r="I4646" i="12" s="1"/>
  <c r="H4646" i="12"/>
  <c r="N4646" i="12"/>
  <c r="O4646" i="12"/>
  <c r="P4646" i="12"/>
  <c r="Q4646" i="12"/>
  <c r="F4647" i="12"/>
  <c r="D4647" i="12" s="1"/>
  <c r="G4647" i="12"/>
  <c r="M4647" i="12" s="1"/>
  <c r="H4647" i="12"/>
  <c r="N4647" i="12"/>
  <c r="O4647" i="12"/>
  <c r="P4647" i="12"/>
  <c r="Q4647" i="12"/>
  <c r="F4648" i="12"/>
  <c r="E4648" i="12" s="1"/>
  <c r="G4648" i="12"/>
  <c r="I4648" i="12" s="1"/>
  <c r="H4648" i="12"/>
  <c r="N4648" i="12"/>
  <c r="O4648" i="12"/>
  <c r="P4648" i="12"/>
  <c r="Q4648" i="12"/>
  <c r="F4649" i="12"/>
  <c r="D4649" i="12" s="1"/>
  <c r="G4649" i="12"/>
  <c r="K4649" i="12" s="1"/>
  <c r="H4649" i="12"/>
  <c r="N4649" i="12"/>
  <c r="O4649" i="12"/>
  <c r="P4649" i="12"/>
  <c r="Q4649" i="12"/>
  <c r="F4650" i="12"/>
  <c r="E4650" i="12" s="1"/>
  <c r="G4650" i="12"/>
  <c r="I4650" i="12" s="1"/>
  <c r="H4650" i="12"/>
  <c r="N4650" i="12"/>
  <c r="O4650" i="12"/>
  <c r="P4650" i="12"/>
  <c r="Q4650" i="12"/>
  <c r="F4651" i="12"/>
  <c r="G4651" i="12"/>
  <c r="H4651" i="12"/>
  <c r="N4651" i="12"/>
  <c r="O4651" i="12"/>
  <c r="P4651" i="12"/>
  <c r="Q4651" i="12"/>
  <c r="F4652" i="12"/>
  <c r="D4652" i="12" s="1"/>
  <c r="G4652" i="12"/>
  <c r="I4652" i="12" s="1"/>
  <c r="H4652" i="12"/>
  <c r="N4652" i="12"/>
  <c r="O4652" i="12"/>
  <c r="P4652" i="12"/>
  <c r="Q4652" i="12"/>
  <c r="F4653" i="12"/>
  <c r="D4653" i="12" s="1"/>
  <c r="G4653" i="12"/>
  <c r="H4653" i="12"/>
  <c r="N4653" i="12"/>
  <c r="O4653" i="12"/>
  <c r="P4653" i="12"/>
  <c r="Q4653" i="12"/>
  <c r="F4654" i="12"/>
  <c r="E4654" i="12" s="1"/>
  <c r="G4654" i="12"/>
  <c r="H4654" i="12"/>
  <c r="N4654" i="12"/>
  <c r="O4654" i="12"/>
  <c r="P4654" i="12"/>
  <c r="Q4654" i="12"/>
  <c r="F4655" i="12"/>
  <c r="D4655" i="12" s="1"/>
  <c r="G4655" i="12"/>
  <c r="I4655" i="12" s="1"/>
  <c r="H4655" i="12"/>
  <c r="N4655" i="12"/>
  <c r="O4655" i="12"/>
  <c r="P4655" i="12"/>
  <c r="Q4655" i="12"/>
  <c r="F4656" i="12"/>
  <c r="G4656" i="12"/>
  <c r="H4656" i="12"/>
  <c r="N4656" i="12"/>
  <c r="O4656" i="12"/>
  <c r="P4656" i="12"/>
  <c r="Q4656" i="12"/>
  <c r="F4657" i="12"/>
  <c r="E4657" i="12" s="1"/>
  <c r="G4657" i="12"/>
  <c r="K4657" i="12" s="1"/>
  <c r="H4657" i="12"/>
  <c r="N4657" i="12"/>
  <c r="O4657" i="12"/>
  <c r="P4657" i="12"/>
  <c r="Q4657" i="12"/>
  <c r="F4658" i="12"/>
  <c r="E4658" i="12" s="1"/>
  <c r="G4658" i="12"/>
  <c r="H4658" i="12"/>
  <c r="N4658" i="12"/>
  <c r="O4658" i="12"/>
  <c r="P4658" i="12"/>
  <c r="Q4658" i="12"/>
  <c r="F4659" i="12"/>
  <c r="D4659" i="12" s="1"/>
  <c r="G4659" i="12"/>
  <c r="L4659" i="12" s="1"/>
  <c r="H4659" i="12"/>
  <c r="N4659" i="12"/>
  <c r="O4659" i="12"/>
  <c r="P4659" i="12"/>
  <c r="Q4659" i="12"/>
  <c r="F4660" i="12"/>
  <c r="D4660" i="12" s="1"/>
  <c r="G4660" i="12"/>
  <c r="I4660" i="12" s="1"/>
  <c r="H4660" i="12"/>
  <c r="N4660" i="12"/>
  <c r="O4660" i="12"/>
  <c r="P4660" i="12"/>
  <c r="Q4660" i="12"/>
  <c r="F4661" i="12"/>
  <c r="D4661" i="12" s="1"/>
  <c r="G4661" i="12"/>
  <c r="K4661" i="12" s="1"/>
  <c r="H4661" i="12"/>
  <c r="N4661" i="12"/>
  <c r="O4661" i="12"/>
  <c r="P4661" i="12"/>
  <c r="Q4661" i="12"/>
  <c r="F4662" i="12"/>
  <c r="E4662" i="12" s="1"/>
  <c r="G4662" i="12"/>
  <c r="I4662" i="12" s="1"/>
  <c r="H4662" i="12"/>
  <c r="N4662" i="12"/>
  <c r="O4662" i="12"/>
  <c r="P4662" i="12"/>
  <c r="Q4662" i="12"/>
  <c r="F4663" i="12"/>
  <c r="D4663" i="12" s="1"/>
  <c r="G4663" i="12"/>
  <c r="L4663" i="12" s="1"/>
  <c r="H4663" i="12"/>
  <c r="N4663" i="12"/>
  <c r="O4663" i="12"/>
  <c r="P4663" i="12"/>
  <c r="Q4663" i="12"/>
  <c r="F4664" i="12"/>
  <c r="D4664" i="12" s="1"/>
  <c r="G4664" i="12"/>
  <c r="K4664" i="12" s="1"/>
  <c r="H4664" i="12"/>
  <c r="N4664" i="12"/>
  <c r="O4664" i="12"/>
  <c r="P4664" i="12"/>
  <c r="Q4664" i="12"/>
  <c r="F4665" i="12"/>
  <c r="D4665" i="12" s="1"/>
  <c r="G4665" i="12"/>
  <c r="K4665" i="12" s="1"/>
  <c r="H4665" i="12"/>
  <c r="N4665" i="12"/>
  <c r="O4665" i="12"/>
  <c r="P4665" i="12"/>
  <c r="Q4665" i="12"/>
  <c r="F4666" i="12"/>
  <c r="E4666" i="12" s="1"/>
  <c r="G4666" i="12"/>
  <c r="I4666" i="12" s="1"/>
  <c r="H4666" i="12"/>
  <c r="N4666" i="12"/>
  <c r="O4666" i="12"/>
  <c r="P4666" i="12"/>
  <c r="Q4666" i="12"/>
  <c r="F4667" i="12"/>
  <c r="G4667" i="12"/>
  <c r="J4667" i="12" s="1"/>
  <c r="H4667" i="12"/>
  <c r="N4667" i="12"/>
  <c r="O4667" i="12"/>
  <c r="P4667" i="12"/>
  <c r="Q4667" i="12"/>
  <c r="F4668" i="12"/>
  <c r="D4668" i="12" s="1"/>
  <c r="G4668" i="12"/>
  <c r="K4668" i="12" s="1"/>
  <c r="H4668" i="12"/>
  <c r="N4668" i="12"/>
  <c r="O4668" i="12"/>
  <c r="P4668" i="12"/>
  <c r="Q4668" i="12"/>
  <c r="F4669" i="12"/>
  <c r="D4669" i="12" s="1"/>
  <c r="G4669" i="12"/>
  <c r="I4669" i="12" s="1"/>
  <c r="H4669" i="12"/>
  <c r="N4669" i="12"/>
  <c r="O4669" i="12"/>
  <c r="P4669" i="12"/>
  <c r="Q4669" i="12"/>
  <c r="F4670" i="12"/>
  <c r="E4670" i="12" s="1"/>
  <c r="G4670" i="12"/>
  <c r="K4670" i="12" s="1"/>
  <c r="H4670" i="12"/>
  <c r="N4670" i="12"/>
  <c r="O4670" i="12"/>
  <c r="P4670" i="12"/>
  <c r="Q4670" i="12"/>
  <c r="F4671" i="12"/>
  <c r="D4671" i="12" s="1"/>
  <c r="G4671" i="12"/>
  <c r="M4671" i="12" s="1"/>
  <c r="H4671" i="12"/>
  <c r="N4671" i="12"/>
  <c r="O4671" i="12"/>
  <c r="P4671" i="12"/>
  <c r="Q4671" i="12"/>
  <c r="F4672" i="12"/>
  <c r="D4672" i="12" s="1"/>
  <c r="G4672" i="12"/>
  <c r="H4672" i="12"/>
  <c r="N4672" i="12"/>
  <c r="O4672" i="12"/>
  <c r="P4672" i="12"/>
  <c r="Q4672" i="12"/>
  <c r="F4673" i="12"/>
  <c r="D4673" i="12" s="1"/>
  <c r="G4673" i="12"/>
  <c r="K4673" i="12" s="1"/>
  <c r="H4673" i="12"/>
  <c r="N4673" i="12"/>
  <c r="O4673" i="12"/>
  <c r="P4673" i="12"/>
  <c r="Q4673" i="12"/>
  <c r="F4674" i="12"/>
  <c r="E4674" i="12" s="1"/>
  <c r="G4674" i="12"/>
  <c r="H4674" i="12"/>
  <c r="N4674" i="12"/>
  <c r="O4674" i="12"/>
  <c r="P4674" i="12"/>
  <c r="Q4674" i="12"/>
  <c r="F4675" i="12"/>
  <c r="G4675" i="12"/>
  <c r="H4675" i="12"/>
  <c r="N4675" i="12"/>
  <c r="O4675" i="12"/>
  <c r="P4675" i="12"/>
  <c r="Q4675" i="12"/>
  <c r="F4676" i="12"/>
  <c r="D4676" i="12" s="1"/>
  <c r="G4676" i="12"/>
  <c r="I4676" i="12" s="1"/>
  <c r="H4676" i="12"/>
  <c r="N4676" i="12"/>
  <c r="O4676" i="12"/>
  <c r="P4676" i="12"/>
  <c r="Q4676" i="12"/>
  <c r="F4677" i="12"/>
  <c r="D4677" i="12" s="1"/>
  <c r="G4677" i="12"/>
  <c r="K4677" i="12" s="1"/>
  <c r="H4677" i="12"/>
  <c r="N4677" i="12"/>
  <c r="O4677" i="12"/>
  <c r="P4677" i="12"/>
  <c r="Q4677" i="12"/>
  <c r="F4678" i="12"/>
  <c r="G4678" i="12"/>
  <c r="I4678" i="12" s="1"/>
  <c r="H4678" i="12"/>
  <c r="N4678" i="12"/>
  <c r="O4678" i="12"/>
  <c r="P4678" i="12"/>
  <c r="Q4678" i="12"/>
  <c r="F4679" i="12"/>
  <c r="D4679" i="12" s="1"/>
  <c r="G4679" i="12"/>
  <c r="I4679" i="12" s="1"/>
  <c r="H4679" i="12"/>
  <c r="N4679" i="12"/>
  <c r="O4679" i="12"/>
  <c r="P4679" i="12"/>
  <c r="Q4679" i="12"/>
  <c r="F4680" i="12"/>
  <c r="D4680" i="12" s="1"/>
  <c r="G4680" i="12"/>
  <c r="I4680" i="12" s="1"/>
  <c r="H4680" i="12"/>
  <c r="N4680" i="12"/>
  <c r="O4680" i="12"/>
  <c r="P4680" i="12"/>
  <c r="Q4680" i="12"/>
  <c r="F4681" i="12"/>
  <c r="D4681" i="12" s="1"/>
  <c r="G4681" i="12"/>
  <c r="K4681" i="12" s="1"/>
  <c r="H4681" i="12"/>
  <c r="N4681" i="12"/>
  <c r="O4681" i="12"/>
  <c r="P4681" i="12"/>
  <c r="Q4681" i="12"/>
  <c r="F4682" i="12"/>
  <c r="E4682" i="12" s="1"/>
  <c r="G4682" i="12"/>
  <c r="L4682" i="12" s="1"/>
  <c r="H4682" i="12"/>
  <c r="N4682" i="12"/>
  <c r="O4682" i="12"/>
  <c r="P4682" i="12"/>
  <c r="Q4682" i="12"/>
  <c r="F4683" i="12"/>
  <c r="D4683" i="12" s="1"/>
  <c r="G4683" i="12"/>
  <c r="I4683" i="12" s="1"/>
  <c r="H4683" i="12"/>
  <c r="N4683" i="12"/>
  <c r="O4683" i="12"/>
  <c r="P4683" i="12"/>
  <c r="Q4683" i="12"/>
  <c r="F4684" i="12"/>
  <c r="D4684" i="12" s="1"/>
  <c r="G4684" i="12"/>
  <c r="K4684" i="12" s="1"/>
  <c r="H4684" i="12"/>
  <c r="N4684" i="12"/>
  <c r="O4684" i="12"/>
  <c r="P4684" i="12"/>
  <c r="Q4684" i="12"/>
  <c r="F4685" i="12"/>
  <c r="D4685" i="12" s="1"/>
  <c r="G4685" i="12"/>
  <c r="M4685" i="12" s="1"/>
  <c r="H4685" i="12"/>
  <c r="N4685" i="12"/>
  <c r="O4685" i="12"/>
  <c r="P4685" i="12"/>
  <c r="Q4685" i="12"/>
  <c r="F4686" i="12"/>
  <c r="E4686" i="12" s="1"/>
  <c r="G4686" i="12"/>
  <c r="L4686" i="12" s="1"/>
  <c r="H4686" i="12"/>
  <c r="N4686" i="12"/>
  <c r="O4686" i="12"/>
  <c r="P4686" i="12"/>
  <c r="Q4686" i="12"/>
  <c r="F4687" i="12"/>
  <c r="D4687" i="12" s="1"/>
  <c r="G4687" i="12"/>
  <c r="I4687" i="12" s="1"/>
  <c r="H4687" i="12"/>
  <c r="N4687" i="12"/>
  <c r="O4687" i="12"/>
  <c r="P4687" i="12"/>
  <c r="Q4687" i="12"/>
  <c r="F4688" i="12"/>
  <c r="G4688" i="12"/>
  <c r="I4688" i="12" s="1"/>
  <c r="H4688" i="12"/>
  <c r="N4688" i="12"/>
  <c r="O4688" i="12"/>
  <c r="P4688" i="12"/>
  <c r="Q4688" i="12"/>
  <c r="F4689" i="12"/>
  <c r="D4689" i="12" s="1"/>
  <c r="G4689" i="12"/>
  <c r="J4689" i="12" s="1"/>
  <c r="H4689" i="12"/>
  <c r="N4689" i="12"/>
  <c r="O4689" i="12"/>
  <c r="P4689" i="12"/>
  <c r="Q4689" i="12"/>
  <c r="F4690" i="12"/>
  <c r="E4690" i="12" s="1"/>
  <c r="G4690" i="12"/>
  <c r="H4690" i="12"/>
  <c r="N4690" i="12"/>
  <c r="O4690" i="12"/>
  <c r="P4690" i="12"/>
  <c r="Q4690" i="12"/>
  <c r="F4691" i="12"/>
  <c r="D4691" i="12" s="1"/>
  <c r="G4691" i="12"/>
  <c r="J4691" i="12" s="1"/>
  <c r="H4691" i="12"/>
  <c r="N4691" i="12"/>
  <c r="O4691" i="12"/>
  <c r="P4691" i="12"/>
  <c r="Q4691" i="12"/>
  <c r="F4692" i="12"/>
  <c r="D4692" i="12" s="1"/>
  <c r="G4692" i="12"/>
  <c r="I4692" i="12" s="1"/>
  <c r="H4692" i="12"/>
  <c r="N4692" i="12"/>
  <c r="O4692" i="12"/>
  <c r="P4692" i="12"/>
  <c r="Q4692" i="12"/>
  <c r="F4693" i="12"/>
  <c r="D4693" i="12" s="1"/>
  <c r="G4693" i="12"/>
  <c r="K4693" i="12" s="1"/>
  <c r="H4693" i="12"/>
  <c r="N4693" i="12"/>
  <c r="O4693" i="12"/>
  <c r="P4693" i="12"/>
  <c r="Q4693" i="12"/>
  <c r="F4694" i="12"/>
  <c r="G4694" i="12"/>
  <c r="H4694" i="12"/>
  <c r="N4694" i="12"/>
  <c r="O4694" i="12"/>
  <c r="P4694" i="12"/>
  <c r="Q4694" i="12"/>
  <c r="F4695" i="12"/>
  <c r="D4695" i="12" s="1"/>
  <c r="G4695" i="12"/>
  <c r="H4695" i="12"/>
  <c r="N4695" i="12"/>
  <c r="O4695" i="12"/>
  <c r="P4695" i="12"/>
  <c r="Q4695" i="12"/>
  <c r="F4696" i="12"/>
  <c r="D4696" i="12" s="1"/>
  <c r="G4696" i="12"/>
  <c r="J4696" i="12" s="1"/>
  <c r="H4696" i="12"/>
  <c r="N4696" i="12"/>
  <c r="O4696" i="12"/>
  <c r="P4696" i="12"/>
  <c r="Q4696" i="12"/>
  <c r="F4697" i="12"/>
  <c r="D4697" i="12" s="1"/>
  <c r="G4697" i="12"/>
  <c r="K4697" i="12" s="1"/>
  <c r="H4697" i="12"/>
  <c r="N4697" i="12"/>
  <c r="O4697" i="12"/>
  <c r="P4697" i="12"/>
  <c r="Q4697" i="12"/>
  <c r="F4698" i="12"/>
  <c r="E4698" i="12" s="1"/>
  <c r="G4698" i="12"/>
  <c r="K4698" i="12" s="1"/>
  <c r="H4698" i="12"/>
  <c r="N4698" i="12"/>
  <c r="O4698" i="12"/>
  <c r="P4698" i="12"/>
  <c r="Q4698" i="12"/>
  <c r="F4699" i="12"/>
  <c r="D4699" i="12" s="1"/>
  <c r="G4699" i="12"/>
  <c r="J4699" i="12" s="1"/>
  <c r="H4699" i="12"/>
  <c r="N4699" i="12"/>
  <c r="O4699" i="12"/>
  <c r="P4699" i="12"/>
  <c r="Q4699" i="12"/>
  <c r="F4700" i="12"/>
  <c r="D4700" i="12" s="1"/>
  <c r="G4700" i="12"/>
  <c r="J4700" i="12" s="1"/>
  <c r="H4700" i="12"/>
  <c r="N4700" i="12"/>
  <c r="O4700" i="12"/>
  <c r="P4700" i="12"/>
  <c r="Q4700" i="12"/>
  <c r="F4701" i="12"/>
  <c r="G4701" i="12"/>
  <c r="K4701" i="12" s="1"/>
  <c r="H4701" i="12"/>
  <c r="N4701" i="12"/>
  <c r="O4701" i="12"/>
  <c r="P4701" i="12"/>
  <c r="Q4701" i="12"/>
  <c r="F4702" i="12"/>
  <c r="E4702" i="12" s="1"/>
  <c r="G4702" i="12"/>
  <c r="K4702" i="12" s="1"/>
  <c r="H4702" i="12"/>
  <c r="N4702" i="12"/>
  <c r="O4702" i="12"/>
  <c r="P4702" i="12"/>
  <c r="Q4702" i="12"/>
  <c r="F4703" i="12"/>
  <c r="D4703" i="12" s="1"/>
  <c r="G4703" i="12"/>
  <c r="I4703" i="12" s="1"/>
  <c r="H4703" i="12"/>
  <c r="N4703" i="12"/>
  <c r="O4703" i="12"/>
  <c r="P4703" i="12"/>
  <c r="Q4703" i="12"/>
  <c r="F4704" i="12"/>
  <c r="D4704" i="12" s="1"/>
  <c r="G4704" i="12"/>
  <c r="I4704" i="12" s="1"/>
  <c r="H4704" i="12"/>
  <c r="N4704" i="12"/>
  <c r="O4704" i="12"/>
  <c r="P4704" i="12"/>
  <c r="Q4704" i="12"/>
  <c r="F4705" i="12"/>
  <c r="G4705" i="12"/>
  <c r="H4705" i="12"/>
  <c r="N4705" i="12"/>
  <c r="O4705" i="12"/>
  <c r="P4705" i="12"/>
  <c r="Q4705" i="12"/>
  <c r="F4706" i="12"/>
  <c r="E4706" i="12" s="1"/>
  <c r="G4706" i="12"/>
  <c r="H4706" i="12"/>
  <c r="N4706" i="12"/>
  <c r="O4706" i="12"/>
  <c r="P4706" i="12"/>
  <c r="Q4706" i="12"/>
  <c r="F4707" i="12"/>
  <c r="G4707" i="12"/>
  <c r="I4707" i="12" s="1"/>
  <c r="H4707" i="12"/>
  <c r="N4707" i="12"/>
  <c r="O4707" i="12"/>
  <c r="P4707" i="12"/>
  <c r="Q4707" i="12"/>
  <c r="F4708" i="12"/>
  <c r="D4708" i="12" s="1"/>
  <c r="G4708" i="12"/>
  <c r="I4708" i="12" s="1"/>
  <c r="H4708" i="12"/>
  <c r="N4708" i="12"/>
  <c r="O4708" i="12"/>
  <c r="P4708" i="12"/>
  <c r="Q4708" i="12"/>
  <c r="F4709" i="12"/>
  <c r="D4709" i="12" s="1"/>
  <c r="G4709" i="12"/>
  <c r="K4709" i="12" s="1"/>
  <c r="H4709" i="12"/>
  <c r="N4709" i="12"/>
  <c r="O4709" i="12"/>
  <c r="P4709" i="12"/>
  <c r="Q4709" i="12"/>
  <c r="F4710" i="12"/>
  <c r="G4710" i="12"/>
  <c r="J4710" i="12" s="1"/>
  <c r="H4710" i="12"/>
  <c r="N4710" i="12"/>
  <c r="O4710" i="12"/>
  <c r="P4710" i="12"/>
  <c r="Q4710" i="12"/>
  <c r="F4711" i="12"/>
  <c r="E4711" i="12" s="1"/>
  <c r="G4711" i="12"/>
  <c r="I4711" i="12" s="1"/>
  <c r="H4711" i="12"/>
  <c r="N4711" i="12"/>
  <c r="O4711" i="12"/>
  <c r="P4711" i="12"/>
  <c r="Q4711" i="12"/>
  <c r="F4712" i="12"/>
  <c r="G4712" i="12"/>
  <c r="J4712" i="12" s="1"/>
  <c r="H4712" i="12"/>
  <c r="N4712" i="12"/>
  <c r="O4712" i="12"/>
  <c r="P4712" i="12"/>
  <c r="Q4712" i="12"/>
  <c r="F4713" i="12"/>
  <c r="D4713" i="12" s="1"/>
  <c r="G4713" i="12"/>
  <c r="K4713" i="12" s="1"/>
  <c r="H4713" i="12"/>
  <c r="N4713" i="12"/>
  <c r="O4713" i="12"/>
  <c r="P4713" i="12"/>
  <c r="Q4713" i="12"/>
  <c r="F4714" i="12"/>
  <c r="E4714" i="12" s="1"/>
  <c r="G4714" i="12"/>
  <c r="K4714" i="12" s="1"/>
  <c r="H4714" i="12"/>
  <c r="N4714" i="12"/>
  <c r="O4714" i="12"/>
  <c r="P4714" i="12"/>
  <c r="Q4714" i="12"/>
  <c r="F4715" i="12"/>
  <c r="G4715" i="12"/>
  <c r="I4715" i="12" s="1"/>
  <c r="H4715" i="12"/>
  <c r="N4715" i="12"/>
  <c r="O4715" i="12"/>
  <c r="P4715" i="12"/>
  <c r="Q4715" i="12"/>
  <c r="F4716" i="12"/>
  <c r="D4716" i="12" s="1"/>
  <c r="G4716" i="12"/>
  <c r="I4716" i="12" s="1"/>
  <c r="H4716" i="12"/>
  <c r="N4716" i="12"/>
  <c r="O4716" i="12"/>
  <c r="P4716" i="12"/>
  <c r="Q4716" i="12"/>
  <c r="F4717" i="12"/>
  <c r="D4717" i="12" s="1"/>
  <c r="G4717" i="12"/>
  <c r="K4717" i="12" s="1"/>
  <c r="H4717" i="12"/>
  <c r="N4717" i="12"/>
  <c r="O4717" i="12"/>
  <c r="P4717" i="12"/>
  <c r="Q4717" i="12"/>
  <c r="F4718" i="12"/>
  <c r="E4718" i="12" s="1"/>
  <c r="G4718" i="12"/>
  <c r="M4718" i="12" s="1"/>
  <c r="H4718" i="12"/>
  <c r="N4718" i="12"/>
  <c r="O4718" i="12"/>
  <c r="P4718" i="12"/>
  <c r="Q4718" i="12"/>
  <c r="F4719" i="12"/>
  <c r="D4719" i="12" s="1"/>
  <c r="G4719" i="12"/>
  <c r="J4719" i="12" s="1"/>
  <c r="H4719" i="12"/>
  <c r="N4719" i="12"/>
  <c r="O4719" i="12"/>
  <c r="P4719" i="12"/>
  <c r="Q4719" i="12"/>
  <c r="F4720" i="12"/>
  <c r="E4720" i="12" s="1"/>
  <c r="G4720" i="12"/>
  <c r="I4720" i="12" s="1"/>
  <c r="H4720" i="12"/>
  <c r="N4720" i="12"/>
  <c r="O4720" i="12"/>
  <c r="P4720" i="12"/>
  <c r="Q4720" i="12"/>
  <c r="F4721" i="12"/>
  <c r="G4721" i="12"/>
  <c r="M4721" i="12" s="1"/>
  <c r="H4721" i="12"/>
  <c r="N4721" i="12"/>
  <c r="O4721" i="12"/>
  <c r="P4721" i="12"/>
  <c r="Q4721" i="12"/>
  <c r="F4722" i="12"/>
  <c r="E4722" i="12" s="1"/>
  <c r="G4722" i="12"/>
  <c r="I4722" i="12" s="1"/>
  <c r="H4722" i="12"/>
  <c r="N4722" i="12"/>
  <c r="O4722" i="12"/>
  <c r="P4722" i="12"/>
  <c r="Q4722" i="12"/>
  <c r="F4723" i="12"/>
  <c r="D4723" i="12" s="1"/>
  <c r="G4723" i="12"/>
  <c r="I4723" i="12" s="1"/>
  <c r="H4723" i="12"/>
  <c r="N4723" i="12"/>
  <c r="O4723" i="12"/>
  <c r="P4723" i="12"/>
  <c r="Q4723" i="12"/>
  <c r="F4724" i="12"/>
  <c r="D4724" i="12" s="1"/>
  <c r="G4724" i="12"/>
  <c r="I4724" i="12" s="1"/>
  <c r="H4724" i="12"/>
  <c r="N4724" i="12"/>
  <c r="O4724" i="12"/>
  <c r="P4724" i="12"/>
  <c r="Q4724" i="12"/>
  <c r="F4725" i="12"/>
  <c r="D4725" i="12" s="1"/>
  <c r="G4725" i="12"/>
  <c r="J4725" i="12" s="1"/>
  <c r="H4725" i="12"/>
  <c r="N4725" i="12"/>
  <c r="O4725" i="12"/>
  <c r="P4725" i="12"/>
  <c r="Q4725" i="12"/>
  <c r="F4726" i="12"/>
  <c r="E4726" i="12" s="1"/>
  <c r="G4726" i="12"/>
  <c r="L4726" i="12" s="1"/>
  <c r="H4726" i="12"/>
  <c r="N4726" i="12"/>
  <c r="O4726" i="12"/>
  <c r="P4726" i="12"/>
  <c r="Q4726" i="12"/>
  <c r="F4727" i="12"/>
  <c r="D4727" i="12" s="1"/>
  <c r="G4727" i="12"/>
  <c r="I4727" i="12" s="1"/>
  <c r="H4727" i="12"/>
  <c r="N4727" i="12"/>
  <c r="O4727" i="12"/>
  <c r="P4727" i="12"/>
  <c r="Q4727" i="12"/>
  <c r="F4728" i="12"/>
  <c r="E4728" i="12" s="1"/>
  <c r="G4728" i="12"/>
  <c r="L4728" i="12" s="1"/>
  <c r="H4728" i="12"/>
  <c r="N4728" i="12"/>
  <c r="O4728" i="12"/>
  <c r="P4728" i="12"/>
  <c r="Q4728" i="12"/>
  <c r="F4729" i="12"/>
  <c r="D4729" i="12" s="1"/>
  <c r="G4729" i="12"/>
  <c r="K4729" i="12" s="1"/>
  <c r="H4729" i="12"/>
  <c r="N4729" i="12"/>
  <c r="O4729" i="12"/>
  <c r="P4729" i="12"/>
  <c r="Q4729" i="12"/>
  <c r="F4730" i="12"/>
  <c r="E4730" i="12" s="1"/>
  <c r="G4730" i="12"/>
  <c r="M4730" i="12" s="1"/>
  <c r="H4730" i="12"/>
  <c r="N4730" i="12"/>
  <c r="O4730" i="12"/>
  <c r="P4730" i="12"/>
  <c r="Q4730" i="12"/>
  <c r="F4731" i="12"/>
  <c r="E4731" i="12" s="1"/>
  <c r="G4731" i="12"/>
  <c r="I4731" i="12" s="1"/>
  <c r="H4731" i="12"/>
  <c r="N4731" i="12"/>
  <c r="O4731" i="12"/>
  <c r="P4731" i="12"/>
  <c r="Q4731" i="12"/>
  <c r="F4732" i="12"/>
  <c r="D4732" i="12" s="1"/>
  <c r="G4732" i="12"/>
  <c r="I4732" i="12" s="1"/>
  <c r="H4732" i="12"/>
  <c r="N4732" i="12"/>
  <c r="O4732" i="12"/>
  <c r="P4732" i="12"/>
  <c r="Q4732" i="12"/>
  <c r="F4733" i="12"/>
  <c r="D4733" i="12" s="1"/>
  <c r="G4733" i="12"/>
  <c r="K4733" i="12" s="1"/>
  <c r="H4733" i="12"/>
  <c r="N4733" i="12"/>
  <c r="O4733" i="12"/>
  <c r="P4733" i="12"/>
  <c r="Q4733" i="12"/>
  <c r="F4734" i="12"/>
  <c r="G4734" i="12"/>
  <c r="M4734" i="12" s="1"/>
  <c r="H4734" i="12"/>
  <c r="N4734" i="12"/>
  <c r="O4734" i="12"/>
  <c r="P4734" i="12"/>
  <c r="Q4734" i="12"/>
  <c r="F4735" i="12"/>
  <c r="E4735" i="12" s="1"/>
  <c r="G4735" i="12"/>
  <c r="I4735" i="12" s="1"/>
  <c r="H4735" i="12"/>
  <c r="N4735" i="12"/>
  <c r="O4735" i="12"/>
  <c r="P4735" i="12"/>
  <c r="Q4735" i="12"/>
  <c r="F4736" i="12"/>
  <c r="E4736" i="12" s="1"/>
  <c r="G4736" i="12"/>
  <c r="K4736" i="12" s="1"/>
  <c r="H4736" i="12"/>
  <c r="N4736" i="12"/>
  <c r="O4736" i="12"/>
  <c r="P4736" i="12"/>
  <c r="Q4736" i="12"/>
  <c r="F4737" i="12"/>
  <c r="D4737" i="12" s="1"/>
  <c r="G4737" i="12"/>
  <c r="H4737" i="12"/>
  <c r="N4737" i="12"/>
  <c r="O4737" i="12"/>
  <c r="P4737" i="12"/>
  <c r="Q4737" i="12"/>
  <c r="F4738" i="12"/>
  <c r="E4738" i="12" s="1"/>
  <c r="G4738" i="12"/>
  <c r="J4738" i="12" s="1"/>
  <c r="H4738" i="12"/>
  <c r="N4738" i="12"/>
  <c r="O4738" i="12"/>
  <c r="P4738" i="12"/>
  <c r="Q4738" i="12"/>
  <c r="F4739" i="12"/>
  <c r="E4739" i="12" s="1"/>
  <c r="G4739" i="12"/>
  <c r="M4739" i="12" s="1"/>
  <c r="H4739" i="12"/>
  <c r="N4739" i="12"/>
  <c r="O4739" i="12"/>
  <c r="P4739" i="12"/>
  <c r="Q4739" i="12"/>
  <c r="F4740" i="12"/>
  <c r="D4740" i="12" s="1"/>
  <c r="G4740" i="12"/>
  <c r="I4740" i="12" s="1"/>
  <c r="H4740" i="12"/>
  <c r="N4740" i="12"/>
  <c r="O4740" i="12"/>
  <c r="P4740" i="12"/>
  <c r="Q4740" i="12"/>
  <c r="F4741" i="12"/>
  <c r="D4741" i="12" s="1"/>
  <c r="G4741" i="12"/>
  <c r="I4741" i="12" s="1"/>
  <c r="H4741" i="12"/>
  <c r="N4741" i="12"/>
  <c r="O4741" i="12"/>
  <c r="P4741" i="12"/>
  <c r="Q4741" i="12"/>
  <c r="F4742" i="12"/>
  <c r="E4742" i="12" s="1"/>
  <c r="G4742" i="12"/>
  <c r="I4742" i="12" s="1"/>
  <c r="H4742" i="12"/>
  <c r="N4742" i="12"/>
  <c r="O4742" i="12"/>
  <c r="P4742" i="12"/>
  <c r="Q4742" i="12"/>
  <c r="F4743" i="12"/>
  <c r="D4743" i="12" s="1"/>
  <c r="G4743" i="12"/>
  <c r="H4743" i="12"/>
  <c r="N4743" i="12"/>
  <c r="O4743" i="12"/>
  <c r="P4743" i="12"/>
  <c r="Q4743" i="12"/>
  <c r="F4744" i="12"/>
  <c r="G4744" i="12"/>
  <c r="I4744" i="12" s="1"/>
  <c r="H4744" i="12"/>
  <c r="N4744" i="12"/>
  <c r="O4744" i="12"/>
  <c r="P4744" i="12"/>
  <c r="Q4744" i="12"/>
  <c r="F4745" i="12"/>
  <c r="D4745" i="12" s="1"/>
  <c r="G4745" i="12"/>
  <c r="H4745" i="12"/>
  <c r="N4745" i="12"/>
  <c r="O4745" i="12"/>
  <c r="P4745" i="12"/>
  <c r="Q4745" i="12"/>
  <c r="F4746" i="12"/>
  <c r="E4746" i="12" s="1"/>
  <c r="G4746" i="12"/>
  <c r="J4746" i="12" s="1"/>
  <c r="H4746" i="12"/>
  <c r="N4746" i="12"/>
  <c r="O4746" i="12"/>
  <c r="P4746" i="12"/>
  <c r="Q4746" i="12"/>
  <c r="F4747" i="12"/>
  <c r="D4747" i="12" s="1"/>
  <c r="G4747" i="12"/>
  <c r="I4747" i="12" s="1"/>
  <c r="H4747" i="12"/>
  <c r="N4747" i="12"/>
  <c r="O4747" i="12"/>
  <c r="P4747" i="12"/>
  <c r="Q4747" i="12"/>
  <c r="F4748" i="12"/>
  <c r="G4748" i="12"/>
  <c r="I4748" i="12" s="1"/>
  <c r="H4748" i="12"/>
  <c r="N4748" i="12"/>
  <c r="O4748" i="12"/>
  <c r="P4748" i="12"/>
  <c r="Q4748" i="12"/>
  <c r="F4749" i="12"/>
  <c r="D4749" i="12" s="1"/>
  <c r="G4749" i="12"/>
  <c r="J4749" i="12" s="1"/>
  <c r="H4749" i="12"/>
  <c r="N4749" i="12"/>
  <c r="O4749" i="12"/>
  <c r="P4749" i="12"/>
  <c r="Q4749" i="12"/>
  <c r="F4750" i="12"/>
  <c r="G4750" i="12"/>
  <c r="K4750" i="12" s="1"/>
  <c r="H4750" i="12"/>
  <c r="N4750" i="12"/>
  <c r="O4750" i="12"/>
  <c r="P4750" i="12"/>
  <c r="Q4750" i="12"/>
  <c r="F4751" i="12"/>
  <c r="G4751" i="12"/>
  <c r="I4751" i="12" s="1"/>
  <c r="H4751" i="12"/>
  <c r="N4751" i="12"/>
  <c r="O4751" i="12"/>
  <c r="P4751" i="12"/>
  <c r="Q4751" i="12"/>
  <c r="F4752" i="12"/>
  <c r="E4752" i="12" s="1"/>
  <c r="G4752" i="12"/>
  <c r="I4752" i="12" s="1"/>
  <c r="H4752" i="12"/>
  <c r="N4752" i="12"/>
  <c r="O4752" i="12"/>
  <c r="P4752" i="12"/>
  <c r="Q4752" i="12"/>
  <c r="F4753" i="12"/>
  <c r="D4753" i="12" s="1"/>
  <c r="G4753" i="12"/>
  <c r="L4753" i="12" s="1"/>
  <c r="H4753" i="12"/>
  <c r="N4753" i="12"/>
  <c r="O4753" i="12"/>
  <c r="P4753" i="12"/>
  <c r="Q4753" i="12"/>
  <c r="F4754" i="12"/>
  <c r="E4754" i="12" s="1"/>
  <c r="G4754" i="12"/>
  <c r="I4754" i="12" s="1"/>
  <c r="H4754" i="12"/>
  <c r="N4754" i="12"/>
  <c r="O4754" i="12"/>
  <c r="P4754" i="12"/>
  <c r="Q4754" i="12"/>
  <c r="F4755" i="12"/>
  <c r="D4755" i="12" s="1"/>
  <c r="G4755" i="12"/>
  <c r="I4755" i="12" s="1"/>
  <c r="H4755" i="12"/>
  <c r="N4755" i="12"/>
  <c r="O4755" i="12"/>
  <c r="P4755" i="12"/>
  <c r="Q4755" i="12"/>
  <c r="F4756" i="12"/>
  <c r="E4756" i="12" s="1"/>
  <c r="G4756" i="12"/>
  <c r="I4756" i="12" s="1"/>
  <c r="H4756" i="12"/>
  <c r="N4756" i="12"/>
  <c r="O4756" i="12"/>
  <c r="P4756" i="12"/>
  <c r="Q4756" i="12"/>
  <c r="F4757" i="12"/>
  <c r="D4757" i="12" s="1"/>
  <c r="G4757" i="12"/>
  <c r="I4757" i="12" s="1"/>
  <c r="H4757" i="12"/>
  <c r="N4757" i="12"/>
  <c r="O4757" i="12"/>
  <c r="P4757" i="12"/>
  <c r="Q4757" i="12"/>
  <c r="F4758" i="12"/>
  <c r="E4758" i="12" s="1"/>
  <c r="G4758" i="12"/>
  <c r="I4758" i="12" s="1"/>
  <c r="H4758" i="12"/>
  <c r="N4758" i="12"/>
  <c r="O4758" i="12"/>
  <c r="P4758" i="12"/>
  <c r="Q4758" i="12"/>
  <c r="F4759" i="12"/>
  <c r="G4759" i="12"/>
  <c r="M4759" i="12" s="1"/>
  <c r="H4759" i="12"/>
  <c r="N4759" i="12"/>
  <c r="O4759" i="12"/>
  <c r="P4759" i="12"/>
  <c r="Q4759" i="12"/>
  <c r="F4760" i="12"/>
  <c r="E4760" i="12" s="1"/>
  <c r="G4760" i="12"/>
  <c r="I4760" i="12" s="1"/>
  <c r="H4760" i="12"/>
  <c r="N4760" i="12"/>
  <c r="O4760" i="12"/>
  <c r="P4760" i="12"/>
  <c r="Q4760" i="12"/>
  <c r="F4761" i="12"/>
  <c r="D4761" i="12" s="1"/>
  <c r="G4761" i="12"/>
  <c r="I4761" i="12" s="1"/>
  <c r="H4761" i="12"/>
  <c r="N4761" i="12"/>
  <c r="O4761" i="12"/>
  <c r="P4761" i="12"/>
  <c r="Q4761" i="12"/>
  <c r="F4762" i="12"/>
  <c r="D4762" i="12" s="1"/>
  <c r="G4762" i="12"/>
  <c r="M4762" i="12" s="1"/>
  <c r="H4762" i="12"/>
  <c r="N4762" i="12"/>
  <c r="O4762" i="12"/>
  <c r="P4762" i="12"/>
  <c r="Q4762" i="12"/>
  <c r="F4763" i="12"/>
  <c r="G4763" i="12"/>
  <c r="I4763" i="12" s="1"/>
  <c r="H4763" i="12"/>
  <c r="N4763" i="12"/>
  <c r="O4763" i="12"/>
  <c r="P4763" i="12"/>
  <c r="Q4763" i="12"/>
  <c r="F4764" i="12"/>
  <c r="G4764" i="12"/>
  <c r="I4764" i="12" s="1"/>
  <c r="H4764" i="12"/>
  <c r="N4764" i="12"/>
  <c r="O4764" i="12"/>
  <c r="P4764" i="12"/>
  <c r="Q4764" i="12"/>
  <c r="F4765" i="12"/>
  <c r="D4765" i="12" s="1"/>
  <c r="G4765" i="12"/>
  <c r="J4765" i="12" s="1"/>
  <c r="H4765" i="12"/>
  <c r="N4765" i="12"/>
  <c r="O4765" i="12"/>
  <c r="P4765" i="12"/>
  <c r="Q4765" i="12"/>
  <c r="F4766" i="12"/>
  <c r="D4766" i="12" s="1"/>
  <c r="G4766" i="12"/>
  <c r="K4766" i="12" s="1"/>
  <c r="H4766" i="12"/>
  <c r="N4766" i="12"/>
  <c r="O4766" i="12"/>
  <c r="P4766" i="12"/>
  <c r="Q4766" i="12"/>
  <c r="F4767" i="12"/>
  <c r="G4767" i="12"/>
  <c r="I4767" i="12" s="1"/>
  <c r="H4767" i="12"/>
  <c r="N4767" i="12"/>
  <c r="O4767" i="12"/>
  <c r="P4767" i="12"/>
  <c r="Q4767" i="12"/>
  <c r="F4768" i="12"/>
  <c r="E4768" i="12" s="1"/>
  <c r="G4768" i="12"/>
  <c r="I4768" i="12" s="1"/>
  <c r="H4768" i="12"/>
  <c r="N4768" i="12"/>
  <c r="O4768" i="12"/>
  <c r="P4768" i="12"/>
  <c r="Q4768" i="12"/>
  <c r="F4769" i="12"/>
  <c r="D4769" i="12" s="1"/>
  <c r="G4769" i="12"/>
  <c r="L4769" i="12" s="1"/>
  <c r="H4769" i="12"/>
  <c r="N4769" i="12"/>
  <c r="O4769" i="12"/>
  <c r="P4769" i="12"/>
  <c r="Q4769" i="12"/>
  <c r="F4770" i="12"/>
  <c r="G4770" i="12"/>
  <c r="I4770" i="12" s="1"/>
  <c r="H4770" i="12"/>
  <c r="N4770" i="12"/>
  <c r="O4770" i="12"/>
  <c r="P4770" i="12"/>
  <c r="Q4770" i="12"/>
  <c r="F4771" i="12"/>
  <c r="D4771" i="12" s="1"/>
  <c r="G4771" i="12"/>
  <c r="I4771" i="12" s="1"/>
  <c r="H4771" i="12"/>
  <c r="N4771" i="12"/>
  <c r="O4771" i="12"/>
  <c r="P4771" i="12"/>
  <c r="Q4771" i="12"/>
  <c r="F4772" i="12"/>
  <c r="E4772" i="12" s="1"/>
  <c r="G4772" i="12"/>
  <c r="I4772" i="12" s="1"/>
  <c r="H4772" i="12"/>
  <c r="N4772" i="12"/>
  <c r="O4772" i="12"/>
  <c r="P4772" i="12"/>
  <c r="Q4772" i="12"/>
  <c r="F4773" i="12"/>
  <c r="D4773" i="12" s="1"/>
  <c r="G4773" i="12"/>
  <c r="K4773" i="12" s="1"/>
  <c r="H4773" i="12"/>
  <c r="N4773" i="12"/>
  <c r="O4773" i="12"/>
  <c r="P4773" i="12"/>
  <c r="Q4773" i="12"/>
  <c r="F4774" i="12"/>
  <c r="E4774" i="12" s="1"/>
  <c r="G4774" i="12"/>
  <c r="I4774" i="12" s="1"/>
  <c r="H4774" i="12"/>
  <c r="N4774" i="12"/>
  <c r="O4774" i="12"/>
  <c r="P4774" i="12"/>
  <c r="Q4774" i="12"/>
  <c r="F4775" i="12"/>
  <c r="D4775" i="12" s="1"/>
  <c r="G4775" i="12"/>
  <c r="M4775" i="12" s="1"/>
  <c r="H4775" i="12"/>
  <c r="N4775" i="12"/>
  <c r="O4775" i="12"/>
  <c r="P4775" i="12"/>
  <c r="Q4775" i="12"/>
  <c r="F4776" i="12"/>
  <c r="E4776" i="12" s="1"/>
  <c r="G4776" i="12"/>
  <c r="I4776" i="12" s="1"/>
  <c r="H4776" i="12"/>
  <c r="N4776" i="12"/>
  <c r="O4776" i="12"/>
  <c r="P4776" i="12"/>
  <c r="Q4776" i="12"/>
  <c r="F4777" i="12"/>
  <c r="D4777" i="12" s="1"/>
  <c r="G4777" i="12"/>
  <c r="I4777" i="12" s="1"/>
  <c r="H4777" i="12"/>
  <c r="N4777" i="12"/>
  <c r="O4777" i="12"/>
  <c r="P4777" i="12"/>
  <c r="Q4777" i="12"/>
  <c r="F4778" i="12"/>
  <c r="D4778" i="12" s="1"/>
  <c r="G4778" i="12"/>
  <c r="L4778" i="12" s="1"/>
  <c r="H4778" i="12"/>
  <c r="N4778" i="12"/>
  <c r="O4778" i="12"/>
  <c r="P4778" i="12"/>
  <c r="Q4778" i="12"/>
  <c r="F4779" i="12"/>
  <c r="G4779" i="12"/>
  <c r="I4779" i="12" s="1"/>
  <c r="H4779" i="12"/>
  <c r="N4779" i="12"/>
  <c r="O4779" i="12"/>
  <c r="P4779" i="12"/>
  <c r="Q4779" i="12"/>
  <c r="F4780" i="12"/>
  <c r="G4780" i="12"/>
  <c r="I4780" i="12" s="1"/>
  <c r="H4780" i="12"/>
  <c r="N4780" i="12"/>
  <c r="O4780" i="12"/>
  <c r="P4780" i="12"/>
  <c r="Q4780" i="12"/>
  <c r="F4781" i="12"/>
  <c r="D4781" i="12" s="1"/>
  <c r="G4781" i="12"/>
  <c r="J4781" i="12" s="1"/>
  <c r="H4781" i="12"/>
  <c r="N4781" i="12"/>
  <c r="O4781" i="12"/>
  <c r="P4781" i="12"/>
  <c r="Q4781" i="12"/>
  <c r="F4782" i="12"/>
  <c r="E4782" i="12" s="1"/>
  <c r="G4782" i="12"/>
  <c r="I4782" i="12" s="1"/>
  <c r="H4782" i="12"/>
  <c r="N4782" i="12"/>
  <c r="O4782" i="12"/>
  <c r="P4782" i="12"/>
  <c r="Q4782" i="12"/>
  <c r="F4783" i="12"/>
  <c r="G4783" i="12"/>
  <c r="I4783" i="12" s="1"/>
  <c r="H4783" i="12"/>
  <c r="N4783" i="12"/>
  <c r="O4783" i="12"/>
  <c r="P4783" i="12"/>
  <c r="Q4783" i="12"/>
  <c r="F4784" i="12"/>
  <c r="E4784" i="12" s="1"/>
  <c r="G4784" i="12"/>
  <c r="I4784" i="12" s="1"/>
  <c r="H4784" i="12"/>
  <c r="N4784" i="12"/>
  <c r="O4784" i="12"/>
  <c r="P4784" i="12"/>
  <c r="Q4784" i="12"/>
  <c r="F4785" i="12"/>
  <c r="D4785" i="12" s="1"/>
  <c r="G4785" i="12"/>
  <c r="L4785" i="12" s="1"/>
  <c r="H4785" i="12"/>
  <c r="N4785" i="12"/>
  <c r="O4785" i="12"/>
  <c r="P4785" i="12"/>
  <c r="Q4785" i="12"/>
  <c r="F4786" i="12"/>
  <c r="D4786" i="12" s="1"/>
  <c r="G4786" i="12"/>
  <c r="K4786" i="12" s="1"/>
  <c r="H4786" i="12"/>
  <c r="N4786" i="12"/>
  <c r="O4786" i="12"/>
  <c r="P4786" i="12"/>
  <c r="Q4786" i="12"/>
  <c r="F4787" i="12"/>
  <c r="D4787" i="12" s="1"/>
  <c r="G4787" i="12"/>
  <c r="J4787" i="12" s="1"/>
  <c r="H4787" i="12"/>
  <c r="N4787" i="12"/>
  <c r="O4787" i="12"/>
  <c r="P4787" i="12"/>
  <c r="Q4787" i="12"/>
  <c r="F4788" i="12"/>
  <c r="E4788" i="12" s="1"/>
  <c r="G4788" i="12"/>
  <c r="I4788" i="12" s="1"/>
  <c r="H4788" i="12"/>
  <c r="N4788" i="12"/>
  <c r="O4788" i="12"/>
  <c r="P4788" i="12"/>
  <c r="Q4788" i="12"/>
  <c r="F4789" i="12"/>
  <c r="D4789" i="12" s="1"/>
  <c r="G4789" i="12"/>
  <c r="I4789" i="12" s="1"/>
  <c r="H4789" i="12"/>
  <c r="N4789" i="12"/>
  <c r="O4789" i="12"/>
  <c r="P4789" i="12"/>
  <c r="Q4789" i="12"/>
  <c r="F4790" i="12"/>
  <c r="D4790" i="12" s="1"/>
  <c r="G4790" i="12"/>
  <c r="I4790" i="12" s="1"/>
  <c r="H4790" i="12"/>
  <c r="N4790" i="12"/>
  <c r="O4790" i="12"/>
  <c r="P4790" i="12"/>
  <c r="Q4790" i="12"/>
  <c r="F4791" i="12"/>
  <c r="D4791" i="12" s="1"/>
  <c r="G4791" i="12"/>
  <c r="M4791" i="12" s="1"/>
  <c r="H4791" i="12"/>
  <c r="N4791" i="12"/>
  <c r="O4791" i="12"/>
  <c r="P4791" i="12"/>
  <c r="Q4791" i="12"/>
  <c r="F4792" i="12"/>
  <c r="G4792" i="12"/>
  <c r="I4792" i="12" s="1"/>
  <c r="H4792" i="12"/>
  <c r="N4792" i="12"/>
  <c r="O4792" i="12"/>
  <c r="P4792" i="12"/>
  <c r="Q4792" i="12"/>
  <c r="F4793" i="12"/>
  <c r="D4793" i="12" s="1"/>
  <c r="G4793" i="12"/>
  <c r="I4793" i="12" s="1"/>
  <c r="H4793" i="12"/>
  <c r="N4793" i="12"/>
  <c r="O4793" i="12"/>
  <c r="P4793" i="12"/>
  <c r="Q4793" i="12"/>
  <c r="F4794" i="12"/>
  <c r="D4794" i="12" s="1"/>
  <c r="G4794" i="12"/>
  <c r="L4794" i="12" s="1"/>
  <c r="H4794" i="12"/>
  <c r="N4794" i="12"/>
  <c r="O4794" i="12"/>
  <c r="P4794" i="12"/>
  <c r="Q4794" i="12"/>
  <c r="F4795" i="12"/>
  <c r="D4795" i="12" s="1"/>
  <c r="G4795" i="12"/>
  <c r="I4795" i="12" s="1"/>
  <c r="H4795" i="12"/>
  <c r="N4795" i="12"/>
  <c r="O4795" i="12"/>
  <c r="P4795" i="12"/>
  <c r="Q4795" i="12"/>
  <c r="F4796" i="12"/>
  <c r="G4796" i="12"/>
  <c r="I4796" i="12" s="1"/>
  <c r="H4796" i="12"/>
  <c r="N4796" i="12"/>
  <c r="O4796" i="12"/>
  <c r="P4796" i="12"/>
  <c r="Q4796" i="12"/>
  <c r="F4797" i="12"/>
  <c r="D4797" i="12" s="1"/>
  <c r="G4797" i="12"/>
  <c r="J4797" i="12" s="1"/>
  <c r="H4797" i="12"/>
  <c r="N4797" i="12"/>
  <c r="O4797" i="12"/>
  <c r="P4797" i="12"/>
  <c r="Q4797" i="12"/>
  <c r="F4798" i="12"/>
  <c r="E4798" i="12" s="1"/>
  <c r="G4798" i="12"/>
  <c r="I4798" i="12" s="1"/>
  <c r="H4798" i="12"/>
  <c r="N4798" i="12"/>
  <c r="O4798" i="12"/>
  <c r="P4798" i="12"/>
  <c r="Q4798" i="12"/>
  <c r="F4799" i="12"/>
  <c r="G4799" i="12"/>
  <c r="H4799" i="12"/>
  <c r="N4799" i="12"/>
  <c r="O4799" i="12"/>
  <c r="P4799" i="12"/>
  <c r="Q4799" i="12"/>
  <c r="F4800" i="12"/>
  <c r="E4800" i="12" s="1"/>
  <c r="G4800" i="12"/>
  <c r="I4800" i="12" s="1"/>
  <c r="H4800" i="12"/>
  <c r="N4800" i="12"/>
  <c r="O4800" i="12"/>
  <c r="P4800" i="12"/>
  <c r="Q4800" i="12"/>
  <c r="F4801" i="12"/>
  <c r="D4801" i="12" s="1"/>
  <c r="G4801" i="12"/>
  <c r="L4801" i="12" s="1"/>
  <c r="H4801" i="12"/>
  <c r="N4801" i="12"/>
  <c r="O4801" i="12"/>
  <c r="P4801" i="12"/>
  <c r="Q4801" i="12"/>
  <c r="F4802" i="12"/>
  <c r="D4802" i="12" s="1"/>
  <c r="G4802" i="12"/>
  <c r="K4802" i="12" s="1"/>
  <c r="H4802" i="12"/>
  <c r="N4802" i="12"/>
  <c r="O4802" i="12"/>
  <c r="P4802" i="12"/>
  <c r="Q4802" i="12"/>
  <c r="F4803" i="12"/>
  <c r="D4803" i="12" s="1"/>
  <c r="G4803" i="12"/>
  <c r="H4803" i="12"/>
  <c r="N4803" i="12"/>
  <c r="O4803" i="12"/>
  <c r="P4803" i="12"/>
  <c r="Q4803" i="12"/>
  <c r="F4804" i="12"/>
  <c r="E4804" i="12" s="1"/>
  <c r="G4804" i="12"/>
  <c r="I4804" i="12" s="1"/>
  <c r="H4804" i="12"/>
  <c r="N4804" i="12"/>
  <c r="O4804" i="12"/>
  <c r="P4804" i="12"/>
  <c r="Q4804" i="12"/>
  <c r="F4805" i="12"/>
  <c r="D4805" i="12" s="1"/>
  <c r="G4805" i="12"/>
  <c r="K4805" i="12" s="1"/>
  <c r="H4805" i="12"/>
  <c r="N4805" i="12"/>
  <c r="O4805" i="12"/>
  <c r="P4805" i="12"/>
  <c r="Q4805" i="12"/>
  <c r="F4806" i="12"/>
  <c r="D4806" i="12" s="1"/>
  <c r="G4806" i="12"/>
  <c r="I4806" i="12" s="1"/>
  <c r="H4806" i="12"/>
  <c r="N4806" i="12"/>
  <c r="O4806" i="12"/>
  <c r="P4806" i="12"/>
  <c r="Q4806" i="12"/>
  <c r="F4807" i="12"/>
  <c r="G4807" i="12"/>
  <c r="H4807" i="12"/>
  <c r="N4807" i="12"/>
  <c r="O4807" i="12"/>
  <c r="P4807" i="12"/>
  <c r="Q4807" i="12"/>
  <c r="F4808" i="12"/>
  <c r="E4808" i="12" s="1"/>
  <c r="G4808" i="12"/>
  <c r="I4808" i="12" s="1"/>
  <c r="H4808" i="12"/>
  <c r="N4808" i="12"/>
  <c r="O4808" i="12"/>
  <c r="P4808" i="12"/>
  <c r="Q4808" i="12"/>
  <c r="F4809" i="12"/>
  <c r="D4809" i="12" s="1"/>
  <c r="G4809" i="12"/>
  <c r="H4809" i="12"/>
  <c r="N4809" i="12"/>
  <c r="O4809" i="12"/>
  <c r="P4809" i="12"/>
  <c r="Q4809" i="12"/>
  <c r="F4810" i="12"/>
  <c r="D4810" i="12" s="1"/>
  <c r="G4810" i="12"/>
  <c r="L4810" i="12" s="1"/>
  <c r="H4810" i="12"/>
  <c r="N4810" i="12"/>
  <c r="O4810" i="12"/>
  <c r="P4810" i="12"/>
  <c r="Q4810" i="12"/>
  <c r="F4811" i="12"/>
  <c r="G4811" i="12"/>
  <c r="I4811" i="12" s="1"/>
  <c r="H4811" i="12"/>
  <c r="N4811" i="12"/>
  <c r="O4811" i="12"/>
  <c r="P4811" i="12"/>
  <c r="Q4811" i="12"/>
  <c r="F4812" i="12"/>
  <c r="G4812" i="12"/>
  <c r="I4812" i="12" s="1"/>
  <c r="H4812" i="12"/>
  <c r="N4812" i="12"/>
  <c r="O4812" i="12"/>
  <c r="P4812" i="12"/>
  <c r="Q4812" i="12"/>
  <c r="F4813" i="12"/>
  <c r="D4813" i="12" s="1"/>
  <c r="G4813" i="12"/>
  <c r="J4813" i="12" s="1"/>
  <c r="H4813" i="12"/>
  <c r="N4813" i="12"/>
  <c r="O4813" i="12"/>
  <c r="P4813" i="12"/>
  <c r="Q4813" i="12"/>
  <c r="F4814" i="12"/>
  <c r="G4814" i="12"/>
  <c r="H4814" i="12"/>
  <c r="N4814" i="12"/>
  <c r="O4814" i="12"/>
  <c r="P4814" i="12"/>
  <c r="Q4814" i="12"/>
  <c r="F4815" i="12"/>
  <c r="G4815" i="12"/>
  <c r="I4815" i="12" s="1"/>
  <c r="H4815" i="12"/>
  <c r="N4815" i="12"/>
  <c r="O4815" i="12"/>
  <c r="P4815" i="12"/>
  <c r="Q4815" i="12"/>
  <c r="F4816" i="12"/>
  <c r="E4816" i="12" s="1"/>
  <c r="G4816" i="12"/>
  <c r="I4816" i="12" s="1"/>
  <c r="H4816" i="12"/>
  <c r="N4816" i="12"/>
  <c r="O4816" i="12"/>
  <c r="P4816" i="12"/>
  <c r="Q4816" i="12"/>
  <c r="F4817" i="12"/>
  <c r="D4817" i="12" s="1"/>
  <c r="G4817" i="12"/>
  <c r="L4817" i="12" s="1"/>
  <c r="H4817" i="12"/>
  <c r="N4817" i="12"/>
  <c r="O4817" i="12"/>
  <c r="P4817" i="12"/>
  <c r="Q4817" i="12"/>
  <c r="F4818" i="12"/>
  <c r="D4818" i="12" s="1"/>
  <c r="G4818" i="12"/>
  <c r="H4818" i="12"/>
  <c r="N4818" i="12"/>
  <c r="O4818" i="12"/>
  <c r="P4818" i="12"/>
  <c r="Q4818" i="12"/>
  <c r="F4819" i="12"/>
  <c r="D4819" i="12" s="1"/>
  <c r="G4819" i="12"/>
  <c r="I4819" i="12" s="1"/>
  <c r="H4819" i="12"/>
  <c r="N4819" i="12"/>
  <c r="O4819" i="12"/>
  <c r="P4819" i="12"/>
  <c r="Q4819" i="12"/>
  <c r="F4820" i="12"/>
  <c r="E4820" i="12" s="1"/>
  <c r="G4820" i="12"/>
  <c r="I4820" i="12" s="1"/>
  <c r="H4820" i="12"/>
  <c r="N4820" i="12"/>
  <c r="O4820" i="12"/>
  <c r="P4820" i="12"/>
  <c r="Q4820" i="12"/>
  <c r="F4821" i="12"/>
  <c r="D4821" i="12" s="1"/>
  <c r="G4821" i="12"/>
  <c r="I4821" i="12" s="1"/>
  <c r="H4821" i="12"/>
  <c r="N4821" i="12"/>
  <c r="O4821" i="12"/>
  <c r="P4821" i="12"/>
  <c r="Q4821" i="12"/>
  <c r="F4822" i="12"/>
  <c r="D4822" i="12" s="1"/>
  <c r="G4822" i="12"/>
  <c r="H4822" i="12"/>
  <c r="N4822" i="12"/>
  <c r="O4822" i="12"/>
  <c r="P4822" i="12"/>
  <c r="Q4822" i="12"/>
  <c r="F4823" i="12"/>
  <c r="D4823" i="12" s="1"/>
  <c r="G4823" i="12"/>
  <c r="M4823" i="12" s="1"/>
  <c r="H4823" i="12"/>
  <c r="N4823" i="12"/>
  <c r="O4823" i="12"/>
  <c r="P4823" i="12"/>
  <c r="Q4823" i="12"/>
  <c r="F4824" i="12"/>
  <c r="E4824" i="12" s="1"/>
  <c r="G4824" i="12"/>
  <c r="I4824" i="12" s="1"/>
  <c r="H4824" i="12"/>
  <c r="N4824" i="12"/>
  <c r="O4824" i="12"/>
  <c r="P4824" i="12"/>
  <c r="Q4824" i="12"/>
  <c r="F4825" i="12"/>
  <c r="D4825" i="12" s="1"/>
  <c r="G4825" i="12"/>
  <c r="I4825" i="12" s="1"/>
  <c r="H4825" i="12"/>
  <c r="N4825" i="12"/>
  <c r="O4825" i="12"/>
  <c r="P4825" i="12"/>
  <c r="Q4825" i="12"/>
  <c r="F4826" i="12"/>
  <c r="D4826" i="12" s="1"/>
  <c r="G4826" i="12"/>
  <c r="L4826" i="12" s="1"/>
  <c r="H4826" i="12"/>
  <c r="N4826" i="12"/>
  <c r="O4826" i="12"/>
  <c r="P4826" i="12"/>
  <c r="Q4826" i="12"/>
  <c r="F4827" i="12"/>
  <c r="D4827" i="12" s="1"/>
  <c r="G4827" i="12"/>
  <c r="I4827" i="12" s="1"/>
  <c r="H4827" i="12"/>
  <c r="N4827" i="12"/>
  <c r="O4827" i="12"/>
  <c r="P4827" i="12"/>
  <c r="Q4827" i="12"/>
  <c r="F4828" i="12"/>
  <c r="G4828" i="12"/>
  <c r="I4828" i="12" s="1"/>
  <c r="H4828" i="12"/>
  <c r="N4828" i="12"/>
  <c r="O4828" i="12"/>
  <c r="P4828" i="12"/>
  <c r="Q4828" i="12"/>
  <c r="F4829" i="12"/>
  <c r="D4829" i="12" s="1"/>
  <c r="G4829" i="12"/>
  <c r="K4829" i="12" s="1"/>
  <c r="H4829" i="12"/>
  <c r="N4829" i="12"/>
  <c r="O4829" i="12"/>
  <c r="P4829" i="12"/>
  <c r="Q4829" i="12"/>
  <c r="F4830" i="12"/>
  <c r="E4830" i="12" s="1"/>
  <c r="G4830" i="12"/>
  <c r="I4830" i="12" s="1"/>
  <c r="H4830" i="12"/>
  <c r="N4830" i="12"/>
  <c r="O4830" i="12"/>
  <c r="P4830" i="12"/>
  <c r="Q4830" i="12"/>
  <c r="F4831" i="12"/>
  <c r="E4831" i="12" s="1"/>
  <c r="G4831" i="12"/>
  <c r="M4831" i="12" s="1"/>
  <c r="H4831" i="12"/>
  <c r="N4831" i="12"/>
  <c r="O4831" i="12"/>
  <c r="P4831" i="12"/>
  <c r="Q4831" i="12"/>
  <c r="F4832" i="12"/>
  <c r="G4832" i="12"/>
  <c r="I4832" i="12" s="1"/>
  <c r="H4832" i="12"/>
  <c r="N4832" i="12"/>
  <c r="O4832" i="12"/>
  <c r="P4832" i="12"/>
  <c r="Q4832" i="12"/>
  <c r="F4833" i="12"/>
  <c r="D4833" i="12" s="1"/>
  <c r="G4833" i="12"/>
  <c r="J4833" i="12" s="1"/>
  <c r="H4833" i="12"/>
  <c r="N4833" i="12"/>
  <c r="O4833" i="12"/>
  <c r="P4833" i="12"/>
  <c r="Q4833" i="12"/>
  <c r="F4834" i="12"/>
  <c r="D4834" i="12" s="1"/>
  <c r="G4834" i="12"/>
  <c r="I4834" i="12" s="1"/>
  <c r="H4834" i="12"/>
  <c r="N4834" i="12"/>
  <c r="O4834" i="12"/>
  <c r="P4834" i="12"/>
  <c r="Q4834" i="12"/>
  <c r="F4835" i="12"/>
  <c r="E4835" i="12" s="1"/>
  <c r="G4835" i="12"/>
  <c r="I4835" i="12" s="1"/>
  <c r="H4835" i="12"/>
  <c r="N4835" i="12"/>
  <c r="O4835" i="12"/>
  <c r="P4835" i="12"/>
  <c r="Q4835" i="12"/>
  <c r="F4836" i="12"/>
  <c r="G4836" i="12"/>
  <c r="I4836" i="12" s="1"/>
  <c r="H4836" i="12"/>
  <c r="N4836" i="12"/>
  <c r="O4836" i="12"/>
  <c r="P4836" i="12"/>
  <c r="Q4836" i="12"/>
  <c r="F4837" i="12"/>
  <c r="D4837" i="12" s="1"/>
  <c r="G4837" i="12"/>
  <c r="I4837" i="12" s="1"/>
  <c r="H4837" i="12"/>
  <c r="N4837" i="12"/>
  <c r="O4837" i="12"/>
  <c r="P4837" i="12"/>
  <c r="Q4837" i="12"/>
  <c r="F4838" i="12"/>
  <c r="D4838" i="12" s="1"/>
  <c r="G4838" i="12"/>
  <c r="I4838" i="12" s="1"/>
  <c r="H4838" i="12"/>
  <c r="N4838" i="12"/>
  <c r="O4838" i="12"/>
  <c r="P4838" i="12"/>
  <c r="Q4838" i="12"/>
  <c r="F4839" i="12"/>
  <c r="E4839" i="12" s="1"/>
  <c r="G4839" i="12"/>
  <c r="I4839" i="12" s="1"/>
  <c r="H4839" i="12"/>
  <c r="N4839" i="12"/>
  <c r="O4839" i="12"/>
  <c r="P4839" i="12"/>
  <c r="Q4839" i="12"/>
  <c r="F4840" i="12"/>
  <c r="E4840" i="12" s="1"/>
  <c r="G4840" i="12"/>
  <c r="I4840" i="12" s="1"/>
  <c r="H4840" i="12"/>
  <c r="N4840" i="12"/>
  <c r="O4840" i="12"/>
  <c r="P4840" i="12"/>
  <c r="Q4840" i="12"/>
  <c r="F4841" i="12"/>
  <c r="D4841" i="12" s="1"/>
  <c r="G4841" i="12"/>
  <c r="I4841" i="12" s="1"/>
  <c r="H4841" i="12"/>
  <c r="N4841" i="12"/>
  <c r="O4841" i="12"/>
  <c r="P4841" i="12"/>
  <c r="Q4841" i="12"/>
  <c r="F4842" i="12"/>
  <c r="D4842" i="12" s="1"/>
  <c r="G4842" i="12"/>
  <c r="I4842" i="12" s="1"/>
  <c r="H4842" i="12"/>
  <c r="N4842" i="12"/>
  <c r="O4842" i="12"/>
  <c r="P4842" i="12"/>
  <c r="Q4842" i="12"/>
  <c r="F4843" i="12"/>
  <c r="E4843" i="12" s="1"/>
  <c r="G4843" i="12"/>
  <c r="I4843" i="12" s="1"/>
  <c r="H4843" i="12"/>
  <c r="N4843" i="12"/>
  <c r="O4843" i="12"/>
  <c r="P4843" i="12"/>
  <c r="Q4843" i="12"/>
  <c r="F4844" i="12"/>
  <c r="E4844" i="12" s="1"/>
  <c r="G4844" i="12"/>
  <c r="I4844" i="12" s="1"/>
  <c r="H4844" i="12"/>
  <c r="N4844" i="12"/>
  <c r="O4844" i="12"/>
  <c r="P4844" i="12"/>
  <c r="Q4844" i="12"/>
  <c r="F4845" i="12"/>
  <c r="D4845" i="12" s="1"/>
  <c r="G4845" i="12"/>
  <c r="H4845" i="12"/>
  <c r="N4845" i="12"/>
  <c r="O4845" i="12"/>
  <c r="P4845" i="12"/>
  <c r="Q4845" i="12"/>
  <c r="F4846" i="12"/>
  <c r="E4846" i="12" s="1"/>
  <c r="G4846" i="12"/>
  <c r="J4846" i="12" s="1"/>
  <c r="H4846" i="12"/>
  <c r="N4846" i="12"/>
  <c r="O4846" i="12"/>
  <c r="P4846" i="12"/>
  <c r="Q4846" i="12"/>
  <c r="F4847" i="12"/>
  <c r="D4847" i="12" s="1"/>
  <c r="G4847" i="12"/>
  <c r="J4847" i="12" s="1"/>
  <c r="H4847" i="12"/>
  <c r="N4847" i="12"/>
  <c r="O4847" i="12"/>
  <c r="P4847" i="12"/>
  <c r="Q4847" i="12"/>
  <c r="F4848" i="12"/>
  <c r="G4848" i="12"/>
  <c r="I4848" i="12" s="1"/>
  <c r="H4848" i="12"/>
  <c r="N4848" i="12"/>
  <c r="O4848" i="12"/>
  <c r="P4848" i="12"/>
  <c r="Q4848" i="12"/>
  <c r="F4849" i="12"/>
  <c r="D4849" i="12" s="1"/>
  <c r="G4849" i="12"/>
  <c r="J4849" i="12" s="1"/>
  <c r="H4849" i="12"/>
  <c r="N4849" i="12"/>
  <c r="O4849" i="12"/>
  <c r="P4849" i="12"/>
  <c r="Q4849" i="12"/>
  <c r="F4850" i="12"/>
  <c r="E4850" i="12" s="1"/>
  <c r="G4850" i="12"/>
  <c r="H4850" i="12"/>
  <c r="N4850" i="12"/>
  <c r="O4850" i="12"/>
  <c r="P4850" i="12"/>
  <c r="Q4850" i="12"/>
  <c r="F4851" i="12"/>
  <c r="D4851" i="12" s="1"/>
  <c r="G4851" i="12"/>
  <c r="L4851" i="12" s="1"/>
  <c r="H4851" i="12"/>
  <c r="N4851" i="12"/>
  <c r="O4851" i="12"/>
  <c r="P4851" i="12"/>
  <c r="Q4851" i="12"/>
  <c r="F4852" i="12"/>
  <c r="E4852" i="12" s="1"/>
  <c r="G4852" i="12"/>
  <c r="I4852" i="12" s="1"/>
  <c r="H4852" i="12"/>
  <c r="N4852" i="12"/>
  <c r="O4852" i="12"/>
  <c r="P4852" i="12"/>
  <c r="Q4852" i="12"/>
  <c r="F4853" i="12"/>
  <c r="D4853" i="12" s="1"/>
  <c r="G4853" i="12"/>
  <c r="L4853" i="12" s="1"/>
  <c r="H4853" i="12"/>
  <c r="N4853" i="12"/>
  <c r="O4853" i="12"/>
  <c r="P4853" i="12"/>
  <c r="Q4853" i="12"/>
  <c r="F4854" i="12"/>
  <c r="D4854" i="12" s="1"/>
  <c r="G4854" i="12"/>
  <c r="H4854" i="12"/>
  <c r="N4854" i="12"/>
  <c r="O4854" i="12"/>
  <c r="P4854" i="12"/>
  <c r="Q4854" i="12"/>
  <c r="F4855" i="12"/>
  <c r="E4855" i="12" s="1"/>
  <c r="G4855" i="12"/>
  <c r="I4855" i="12" s="1"/>
  <c r="H4855" i="12"/>
  <c r="N4855" i="12"/>
  <c r="O4855" i="12"/>
  <c r="P4855" i="12"/>
  <c r="Q4855" i="12"/>
  <c r="F4856" i="12"/>
  <c r="E4856" i="12" s="1"/>
  <c r="G4856" i="12"/>
  <c r="I4856" i="12" s="1"/>
  <c r="H4856" i="12"/>
  <c r="N4856" i="12"/>
  <c r="O4856" i="12"/>
  <c r="P4856" i="12"/>
  <c r="Q4856" i="12"/>
  <c r="F4857" i="12"/>
  <c r="D4857" i="12" s="1"/>
  <c r="G4857" i="12"/>
  <c r="L4857" i="12" s="1"/>
  <c r="H4857" i="12"/>
  <c r="N4857" i="12"/>
  <c r="O4857" i="12"/>
  <c r="P4857" i="12"/>
  <c r="Q4857" i="12"/>
  <c r="F4858" i="12"/>
  <c r="D4858" i="12" s="1"/>
  <c r="G4858" i="12"/>
  <c r="M4858" i="12" s="1"/>
  <c r="H4858" i="12"/>
  <c r="N4858" i="12"/>
  <c r="O4858" i="12"/>
  <c r="P4858" i="12"/>
  <c r="Q4858" i="12"/>
  <c r="F4859" i="12"/>
  <c r="D4859" i="12" s="1"/>
  <c r="G4859" i="12"/>
  <c r="I4859" i="12" s="1"/>
  <c r="H4859" i="12"/>
  <c r="N4859" i="12"/>
  <c r="O4859" i="12"/>
  <c r="P4859" i="12"/>
  <c r="Q4859" i="12"/>
  <c r="F4860" i="12"/>
  <c r="G4860" i="12"/>
  <c r="I4860" i="12" s="1"/>
  <c r="H4860" i="12"/>
  <c r="N4860" i="12"/>
  <c r="O4860" i="12"/>
  <c r="P4860" i="12"/>
  <c r="Q4860" i="12"/>
  <c r="F4861" i="12"/>
  <c r="D4861" i="12" s="1"/>
  <c r="G4861" i="12"/>
  <c r="I4861" i="12" s="1"/>
  <c r="H4861" i="12"/>
  <c r="N4861" i="12"/>
  <c r="O4861" i="12"/>
  <c r="P4861" i="12"/>
  <c r="Q4861" i="12"/>
  <c r="F4862" i="12"/>
  <c r="D4862" i="12" s="1"/>
  <c r="G4862" i="12"/>
  <c r="L4862" i="12" s="1"/>
  <c r="H4862" i="12"/>
  <c r="N4862" i="12"/>
  <c r="O4862" i="12"/>
  <c r="P4862" i="12"/>
  <c r="Q4862" i="12"/>
  <c r="F4863" i="12"/>
  <c r="E4863" i="12" s="1"/>
  <c r="G4863" i="12"/>
  <c r="I4863" i="12" s="1"/>
  <c r="H4863" i="12"/>
  <c r="N4863" i="12"/>
  <c r="O4863" i="12"/>
  <c r="P4863" i="12"/>
  <c r="Q4863" i="12"/>
  <c r="F4864" i="12"/>
  <c r="E4864" i="12" s="1"/>
  <c r="G4864" i="12"/>
  <c r="I4864" i="12" s="1"/>
  <c r="H4864" i="12"/>
  <c r="N4864" i="12"/>
  <c r="O4864" i="12"/>
  <c r="P4864" i="12"/>
  <c r="Q4864" i="12"/>
  <c r="F4865" i="12"/>
  <c r="D4865" i="12" s="1"/>
  <c r="G4865" i="12"/>
  <c r="I4865" i="12" s="1"/>
  <c r="H4865" i="12"/>
  <c r="N4865" i="12"/>
  <c r="O4865" i="12"/>
  <c r="P4865" i="12"/>
  <c r="Q4865" i="12"/>
  <c r="F4866" i="12"/>
  <c r="D4866" i="12" s="1"/>
  <c r="G4866" i="12"/>
  <c r="I4866" i="12" s="1"/>
  <c r="H4866" i="12"/>
  <c r="N4866" i="12"/>
  <c r="O4866" i="12"/>
  <c r="P4866" i="12"/>
  <c r="Q4866" i="12"/>
  <c r="F4867" i="12"/>
  <c r="D4867" i="12" s="1"/>
  <c r="G4867" i="12"/>
  <c r="J4867" i="12" s="1"/>
  <c r="H4867" i="12"/>
  <c r="N4867" i="12"/>
  <c r="O4867" i="12"/>
  <c r="P4867" i="12"/>
  <c r="Q4867" i="12"/>
  <c r="F4868" i="12"/>
  <c r="E4868" i="12" s="1"/>
  <c r="G4868" i="12"/>
  <c r="I4868" i="12" s="1"/>
  <c r="H4868" i="12"/>
  <c r="N4868" i="12"/>
  <c r="O4868" i="12"/>
  <c r="P4868" i="12"/>
  <c r="Q4868" i="12"/>
  <c r="F4869" i="12"/>
  <c r="D4869" i="12" s="1"/>
  <c r="G4869" i="12"/>
  <c r="M4869" i="12" s="1"/>
  <c r="H4869" i="12"/>
  <c r="N4869" i="12"/>
  <c r="O4869" i="12"/>
  <c r="P4869" i="12"/>
  <c r="Q4869" i="12"/>
  <c r="F4870" i="12"/>
  <c r="E4870" i="12" s="1"/>
  <c r="G4870" i="12"/>
  <c r="K4870" i="12" s="1"/>
  <c r="H4870" i="12"/>
  <c r="N4870" i="12"/>
  <c r="O4870" i="12"/>
  <c r="P4870" i="12"/>
  <c r="Q4870" i="12"/>
  <c r="F4871" i="12"/>
  <c r="D4871" i="12" s="1"/>
  <c r="G4871" i="12"/>
  <c r="H4871" i="12"/>
  <c r="N4871" i="12"/>
  <c r="O4871" i="12"/>
  <c r="P4871" i="12"/>
  <c r="Q4871" i="12"/>
  <c r="F4872" i="12"/>
  <c r="E4872" i="12" s="1"/>
  <c r="G4872" i="12"/>
  <c r="I4872" i="12" s="1"/>
  <c r="H4872" i="12"/>
  <c r="N4872" i="12"/>
  <c r="O4872" i="12"/>
  <c r="P4872" i="12"/>
  <c r="Q4872" i="12"/>
  <c r="F4873" i="12"/>
  <c r="D4873" i="12" s="1"/>
  <c r="G4873" i="12"/>
  <c r="L4873" i="12" s="1"/>
  <c r="H4873" i="12"/>
  <c r="N4873" i="12"/>
  <c r="O4873" i="12"/>
  <c r="P4873" i="12"/>
  <c r="Q4873" i="12"/>
  <c r="F4874" i="12"/>
  <c r="D4874" i="12" s="1"/>
  <c r="G4874" i="12"/>
  <c r="H4874" i="12"/>
  <c r="N4874" i="12"/>
  <c r="O4874" i="12"/>
  <c r="P4874" i="12"/>
  <c r="Q4874" i="12"/>
  <c r="F4875" i="12"/>
  <c r="E4875" i="12" s="1"/>
  <c r="G4875" i="12"/>
  <c r="I4875" i="12" s="1"/>
  <c r="H4875" i="12"/>
  <c r="N4875" i="12"/>
  <c r="O4875" i="12"/>
  <c r="P4875" i="12"/>
  <c r="Q4875" i="12"/>
  <c r="F4876" i="12"/>
  <c r="E4876" i="12" s="1"/>
  <c r="G4876" i="12"/>
  <c r="I4876" i="12" s="1"/>
  <c r="H4876" i="12"/>
  <c r="N4876" i="12"/>
  <c r="O4876" i="12"/>
  <c r="P4876" i="12"/>
  <c r="Q4876" i="12"/>
  <c r="F4877" i="12"/>
  <c r="D4877" i="12" s="1"/>
  <c r="G4877" i="12"/>
  <c r="L4877" i="12" s="1"/>
  <c r="H4877" i="12"/>
  <c r="N4877" i="12"/>
  <c r="O4877" i="12"/>
  <c r="P4877" i="12"/>
  <c r="Q4877" i="12"/>
  <c r="F4878" i="12"/>
  <c r="D4878" i="12" s="1"/>
  <c r="G4878" i="12"/>
  <c r="I4878" i="12" s="1"/>
  <c r="H4878" i="12"/>
  <c r="N4878" i="12"/>
  <c r="O4878" i="12"/>
  <c r="P4878" i="12"/>
  <c r="Q4878" i="12"/>
  <c r="F4879" i="12"/>
  <c r="E4879" i="12" s="1"/>
  <c r="G4879" i="12"/>
  <c r="I4879" i="12" s="1"/>
  <c r="H4879" i="12"/>
  <c r="N4879" i="12"/>
  <c r="O4879" i="12"/>
  <c r="P4879" i="12"/>
  <c r="Q4879" i="12"/>
  <c r="F4880" i="12"/>
  <c r="E4880" i="12" s="1"/>
  <c r="G4880" i="12"/>
  <c r="I4880" i="12" s="1"/>
  <c r="H4880" i="12"/>
  <c r="N4880" i="12"/>
  <c r="O4880" i="12"/>
  <c r="P4880" i="12"/>
  <c r="Q4880" i="12"/>
  <c r="F4881" i="12"/>
  <c r="D4881" i="12" s="1"/>
  <c r="G4881" i="12"/>
  <c r="I4881" i="12" s="1"/>
  <c r="H4881" i="12"/>
  <c r="N4881" i="12"/>
  <c r="O4881" i="12"/>
  <c r="P4881" i="12"/>
  <c r="Q4881" i="12"/>
  <c r="F4882" i="12"/>
  <c r="E4882" i="12" s="1"/>
  <c r="G4882" i="12"/>
  <c r="I4882" i="12" s="1"/>
  <c r="H4882" i="12"/>
  <c r="N4882" i="12"/>
  <c r="O4882" i="12"/>
  <c r="P4882" i="12"/>
  <c r="Q4882" i="12"/>
  <c r="F4883" i="12"/>
  <c r="D4883" i="12" s="1"/>
  <c r="G4883" i="12"/>
  <c r="J4883" i="12" s="1"/>
  <c r="H4883" i="12"/>
  <c r="N4883" i="12"/>
  <c r="O4883" i="12"/>
  <c r="P4883" i="12"/>
  <c r="Q4883" i="12"/>
  <c r="F4884" i="12"/>
  <c r="E4884" i="12" s="1"/>
  <c r="G4884" i="12"/>
  <c r="I4884" i="12" s="1"/>
  <c r="H4884" i="12"/>
  <c r="N4884" i="12"/>
  <c r="O4884" i="12"/>
  <c r="P4884" i="12"/>
  <c r="Q4884" i="12"/>
  <c r="F4885" i="12"/>
  <c r="D4885" i="12" s="1"/>
  <c r="G4885" i="12"/>
  <c r="H4885" i="12"/>
  <c r="N4885" i="12"/>
  <c r="O4885" i="12"/>
  <c r="P4885" i="12"/>
  <c r="Q4885" i="12"/>
  <c r="F4886" i="12"/>
  <c r="G4886" i="12"/>
  <c r="J4886" i="12" s="1"/>
  <c r="H4886" i="12"/>
  <c r="N4886" i="12"/>
  <c r="O4886" i="12"/>
  <c r="P4886" i="12"/>
  <c r="Q4886" i="12"/>
  <c r="F4887" i="12"/>
  <c r="E4887" i="12" s="1"/>
  <c r="G4887" i="12"/>
  <c r="I4887" i="12" s="1"/>
  <c r="H4887" i="12"/>
  <c r="N4887" i="12"/>
  <c r="O4887" i="12"/>
  <c r="P4887" i="12"/>
  <c r="Q4887" i="12"/>
  <c r="F4888" i="12"/>
  <c r="E4888" i="12" s="1"/>
  <c r="G4888" i="12"/>
  <c r="I4888" i="12" s="1"/>
  <c r="H4888" i="12"/>
  <c r="N4888" i="12"/>
  <c r="O4888" i="12"/>
  <c r="P4888" i="12"/>
  <c r="Q4888" i="12"/>
  <c r="F4889" i="12"/>
  <c r="D4889" i="12" s="1"/>
  <c r="G4889" i="12"/>
  <c r="M4889" i="12" s="1"/>
  <c r="H4889" i="12"/>
  <c r="N4889" i="12"/>
  <c r="O4889" i="12"/>
  <c r="P4889" i="12"/>
  <c r="Q4889" i="12"/>
  <c r="F4890" i="12"/>
  <c r="D4890" i="12" s="1"/>
  <c r="G4890" i="12"/>
  <c r="I4890" i="12" s="1"/>
  <c r="H4890" i="12"/>
  <c r="N4890" i="12"/>
  <c r="O4890" i="12"/>
  <c r="P4890" i="12"/>
  <c r="Q4890" i="12"/>
  <c r="F4891" i="12"/>
  <c r="D4891" i="12" s="1"/>
  <c r="G4891" i="12"/>
  <c r="I4891" i="12" s="1"/>
  <c r="H4891" i="12"/>
  <c r="N4891" i="12"/>
  <c r="O4891" i="12"/>
  <c r="P4891" i="12"/>
  <c r="Q4891" i="12"/>
  <c r="F4892" i="12"/>
  <c r="E4892" i="12" s="1"/>
  <c r="G4892" i="12"/>
  <c r="I4892" i="12" s="1"/>
  <c r="H4892" i="12"/>
  <c r="N4892" i="12"/>
  <c r="O4892" i="12"/>
  <c r="P4892" i="12"/>
  <c r="Q4892" i="12"/>
  <c r="F4893" i="12"/>
  <c r="D4893" i="12" s="1"/>
  <c r="G4893" i="12"/>
  <c r="I4893" i="12" s="1"/>
  <c r="H4893" i="12"/>
  <c r="N4893" i="12"/>
  <c r="O4893" i="12"/>
  <c r="P4893" i="12"/>
  <c r="Q4893" i="12"/>
  <c r="F4894" i="12"/>
  <c r="D4894" i="12" s="1"/>
  <c r="G4894" i="12"/>
  <c r="I4894" i="12" s="1"/>
  <c r="H4894" i="12"/>
  <c r="N4894" i="12"/>
  <c r="O4894" i="12"/>
  <c r="P4894" i="12"/>
  <c r="Q4894" i="12"/>
  <c r="F4895" i="12"/>
  <c r="D4895" i="12" s="1"/>
  <c r="G4895" i="12"/>
  <c r="H4895" i="12"/>
  <c r="N4895" i="12"/>
  <c r="O4895" i="12"/>
  <c r="P4895" i="12"/>
  <c r="Q4895" i="12"/>
  <c r="F4896" i="12"/>
  <c r="E4896" i="12" s="1"/>
  <c r="G4896" i="12"/>
  <c r="I4896" i="12" s="1"/>
  <c r="H4896" i="12"/>
  <c r="N4896" i="12"/>
  <c r="O4896" i="12"/>
  <c r="P4896" i="12"/>
  <c r="Q4896" i="12"/>
  <c r="F4897" i="12"/>
  <c r="D4897" i="12" s="1"/>
  <c r="G4897" i="12"/>
  <c r="K4897" i="12" s="1"/>
  <c r="H4897" i="12"/>
  <c r="N4897" i="12"/>
  <c r="O4897" i="12"/>
  <c r="P4897" i="12"/>
  <c r="Q4897" i="12"/>
  <c r="F4898" i="12"/>
  <c r="D4898" i="12" s="1"/>
  <c r="G4898" i="12"/>
  <c r="H4898" i="12"/>
  <c r="N4898" i="12"/>
  <c r="O4898" i="12"/>
  <c r="P4898" i="12"/>
  <c r="Q4898" i="12"/>
  <c r="F4899" i="12"/>
  <c r="D4899" i="12" s="1"/>
  <c r="G4899" i="12"/>
  <c r="I4899" i="12" s="1"/>
  <c r="H4899" i="12"/>
  <c r="N4899" i="12"/>
  <c r="O4899" i="12"/>
  <c r="P4899" i="12"/>
  <c r="Q4899" i="12"/>
  <c r="F4900" i="12"/>
  <c r="E4900" i="12" s="1"/>
  <c r="G4900" i="12"/>
  <c r="I4900" i="12" s="1"/>
  <c r="H4900" i="12"/>
  <c r="N4900" i="12"/>
  <c r="O4900" i="12"/>
  <c r="P4900" i="12"/>
  <c r="Q4900" i="12"/>
  <c r="F4901" i="12"/>
  <c r="D4901" i="12" s="1"/>
  <c r="G4901" i="12"/>
  <c r="L4901" i="12" s="1"/>
  <c r="H4901" i="12"/>
  <c r="N4901" i="12"/>
  <c r="O4901" i="12"/>
  <c r="P4901" i="12"/>
  <c r="Q4901" i="12"/>
  <c r="F4902" i="12"/>
  <c r="E4902" i="12" s="1"/>
  <c r="G4902" i="12"/>
  <c r="I4902" i="12" s="1"/>
  <c r="H4902" i="12"/>
  <c r="N4902" i="12"/>
  <c r="O4902" i="12"/>
  <c r="P4902" i="12"/>
  <c r="Q4902" i="12"/>
  <c r="F4903" i="12"/>
  <c r="D4903" i="12" s="1"/>
  <c r="G4903" i="12"/>
  <c r="L4903" i="12" s="1"/>
  <c r="H4903" i="12"/>
  <c r="N4903" i="12"/>
  <c r="O4903" i="12"/>
  <c r="P4903" i="12"/>
  <c r="Q4903" i="12"/>
  <c r="F4904" i="12"/>
  <c r="E4904" i="12" s="1"/>
  <c r="G4904" i="12"/>
  <c r="I4904" i="12" s="1"/>
  <c r="H4904" i="12"/>
  <c r="N4904" i="12"/>
  <c r="O4904" i="12"/>
  <c r="P4904" i="12"/>
  <c r="Q4904" i="12"/>
  <c r="F4905" i="12"/>
  <c r="D4905" i="12" s="1"/>
  <c r="G4905" i="12"/>
  <c r="M4905" i="12" s="1"/>
  <c r="H4905" i="12"/>
  <c r="N4905" i="12"/>
  <c r="O4905" i="12"/>
  <c r="P4905" i="12"/>
  <c r="Q4905" i="12"/>
  <c r="F4906" i="12"/>
  <c r="E4906" i="12" s="1"/>
  <c r="G4906" i="12"/>
  <c r="K4906" i="12" s="1"/>
  <c r="H4906" i="12"/>
  <c r="N4906" i="12"/>
  <c r="O4906" i="12"/>
  <c r="P4906" i="12"/>
  <c r="Q4906" i="12"/>
  <c r="F4907" i="12"/>
  <c r="D4907" i="12" s="1"/>
  <c r="G4907" i="12"/>
  <c r="H4907" i="12"/>
  <c r="N4907" i="12"/>
  <c r="O4907" i="12"/>
  <c r="P4907" i="12"/>
  <c r="Q4907" i="12"/>
  <c r="F4908" i="12"/>
  <c r="E4908" i="12" s="1"/>
  <c r="G4908" i="12"/>
  <c r="I4908" i="12" s="1"/>
  <c r="H4908" i="12"/>
  <c r="N4908" i="12"/>
  <c r="O4908" i="12"/>
  <c r="P4908" i="12"/>
  <c r="Q4908" i="12"/>
  <c r="F4909" i="12"/>
  <c r="D4909" i="12" s="1"/>
  <c r="G4909" i="12"/>
  <c r="I4909" i="12" s="1"/>
  <c r="H4909" i="12"/>
  <c r="N4909" i="12"/>
  <c r="O4909" i="12"/>
  <c r="P4909" i="12"/>
  <c r="Q4909" i="12"/>
  <c r="F4910" i="12"/>
  <c r="D4910" i="12" s="1"/>
  <c r="G4910" i="12"/>
  <c r="H4910" i="12"/>
  <c r="N4910" i="12"/>
  <c r="O4910" i="12"/>
  <c r="P4910" i="12"/>
  <c r="Q4910" i="12"/>
  <c r="F4911" i="12"/>
  <c r="E4911" i="12" s="1"/>
  <c r="G4911" i="12"/>
  <c r="I4911" i="12" s="1"/>
  <c r="H4911" i="12"/>
  <c r="N4911" i="12"/>
  <c r="O4911" i="12"/>
  <c r="P4911" i="12"/>
  <c r="Q4911" i="12"/>
  <c r="F4912" i="12"/>
  <c r="G4912" i="12"/>
  <c r="I4912" i="12" s="1"/>
  <c r="H4912" i="12"/>
  <c r="N4912" i="12"/>
  <c r="O4912" i="12"/>
  <c r="P4912" i="12"/>
  <c r="Q4912" i="12"/>
  <c r="F4913" i="12"/>
  <c r="D4913" i="12" s="1"/>
  <c r="G4913" i="12"/>
  <c r="I4913" i="12" s="1"/>
  <c r="H4913" i="12"/>
  <c r="N4913" i="12"/>
  <c r="O4913" i="12"/>
  <c r="P4913" i="12"/>
  <c r="Q4913" i="12"/>
  <c r="F4914" i="12"/>
  <c r="E4914" i="12" s="1"/>
  <c r="G4914" i="12"/>
  <c r="I4914" i="12" s="1"/>
  <c r="H4914" i="12"/>
  <c r="N4914" i="12"/>
  <c r="O4914" i="12"/>
  <c r="P4914" i="12"/>
  <c r="Q4914" i="12"/>
  <c r="F4915" i="12"/>
  <c r="E4915" i="12" s="1"/>
  <c r="G4915" i="12"/>
  <c r="J4915" i="12" s="1"/>
  <c r="H4915" i="12"/>
  <c r="N4915" i="12"/>
  <c r="O4915" i="12"/>
  <c r="P4915" i="12"/>
  <c r="Q4915" i="12"/>
  <c r="F4916" i="12"/>
  <c r="E4916" i="12" s="1"/>
  <c r="G4916" i="12"/>
  <c r="I4916" i="12" s="1"/>
  <c r="H4916" i="12"/>
  <c r="N4916" i="12"/>
  <c r="O4916" i="12"/>
  <c r="P4916" i="12"/>
  <c r="Q4916" i="12"/>
  <c r="F4917" i="12"/>
  <c r="D4917" i="12" s="1"/>
  <c r="G4917" i="12"/>
  <c r="L4917" i="12" s="1"/>
  <c r="H4917" i="12"/>
  <c r="N4917" i="12"/>
  <c r="O4917" i="12"/>
  <c r="P4917" i="12"/>
  <c r="Q4917" i="12"/>
  <c r="F4918" i="12"/>
  <c r="G4918" i="12"/>
  <c r="J4918" i="12" s="1"/>
  <c r="H4918" i="12"/>
  <c r="N4918" i="12"/>
  <c r="O4918" i="12"/>
  <c r="P4918" i="12"/>
  <c r="Q4918" i="12"/>
  <c r="F4919" i="12"/>
  <c r="D4919" i="12" s="1"/>
  <c r="G4919" i="12"/>
  <c r="I4919" i="12" s="1"/>
  <c r="H4919" i="12"/>
  <c r="N4919" i="12"/>
  <c r="O4919" i="12"/>
  <c r="P4919" i="12"/>
  <c r="Q4919" i="12"/>
  <c r="F4920" i="12"/>
  <c r="E4920" i="12" s="1"/>
  <c r="G4920" i="12"/>
  <c r="I4920" i="12" s="1"/>
  <c r="H4920" i="12"/>
  <c r="N4920" i="12"/>
  <c r="O4920" i="12"/>
  <c r="P4920" i="12"/>
  <c r="Q4920" i="12"/>
  <c r="F4921" i="12"/>
  <c r="D4921" i="12" s="1"/>
  <c r="G4921" i="12"/>
  <c r="M4921" i="12" s="1"/>
  <c r="H4921" i="12"/>
  <c r="N4921" i="12"/>
  <c r="O4921" i="12"/>
  <c r="P4921" i="12"/>
  <c r="Q4921" i="12"/>
  <c r="F4922" i="12"/>
  <c r="D4922" i="12" s="1"/>
  <c r="G4922" i="12"/>
  <c r="I4922" i="12" s="1"/>
  <c r="H4922" i="12"/>
  <c r="N4922" i="12"/>
  <c r="O4922" i="12"/>
  <c r="P4922" i="12"/>
  <c r="Q4922" i="12"/>
  <c r="F4923" i="12"/>
  <c r="E4923" i="12" s="1"/>
  <c r="G4923" i="12"/>
  <c r="I4923" i="12" s="1"/>
  <c r="H4923" i="12"/>
  <c r="N4923" i="12"/>
  <c r="O4923" i="12"/>
  <c r="P4923" i="12"/>
  <c r="Q4923" i="12"/>
  <c r="F4924" i="12"/>
  <c r="E4924" i="12" s="1"/>
  <c r="G4924" i="12"/>
  <c r="I4924" i="12" s="1"/>
  <c r="H4924" i="12"/>
  <c r="N4924" i="12"/>
  <c r="O4924" i="12"/>
  <c r="P4924" i="12"/>
  <c r="Q4924" i="12"/>
  <c r="F4925" i="12"/>
  <c r="D4925" i="12" s="1"/>
  <c r="G4925" i="12"/>
  <c r="I4925" i="12" s="1"/>
  <c r="H4925" i="12"/>
  <c r="N4925" i="12"/>
  <c r="O4925" i="12"/>
  <c r="P4925" i="12"/>
  <c r="Q4925" i="12"/>
  <c r="F4926" i="12"/>
  <c r="D4926" i="12" s="1"/>
  <c r="G4926" i="12"/>
  <c r="I4926" i="12" s="1"/>
  <c r="H4926" i="12"/>
  <c r="N4926" i="12"/>
  <c r="O4926" i="12"/>
  <c r="P4926" i="12"/>
  <c r="Q4926" i="12"/>
  <c r="F4927" i="12"/>
  <c r="D4927" i="12" s="1"/>
  <c r="G4927" i="12"/>
  <c r="H4927" i="12"/>
  <c r="N4927" i="12"/>
  <c r="O4927" i="12"/>
  <c r="P4927" i="12"/>
  <c r="Q4927" i="12"/>
  <c r="F4928" i="12"/>
  <c r="E4928" i="12" s="1"/>
  <c r="G4928" i="12"/>
  <c r="I4928" i="12" s="1"/>
  <c r="H4928" i="12"/>
  <c r="N4928" i="12"/>
  <c r="O4928" i="12"/>
  <c r="P4928" i="12"/>
  <c r="Q4928" i="12"/>
  <c r="F4929" i="12"/>
  <c r="D4929" i="12" s="1"/>
  <c r="G4929" i="12"/>
  <c r="M4929" i="12" s="1"/>
  <c r="H4929" i="12"/>
  <c r="N4929" i="12"/>
  <c r="O4929" i="12"/>
  <c r="P4929" i="12"/>
  <c r="Q4929" i="12"/>
  <c r="F4930" i="12"/>
  <c r="D4930" i="12" s="1"/>
  <c r="G4930" i="12"/>
  <c r="H4930" i="12"/>
  <c r="N4930" i="12"/>
  <c r="O4930" i="12"/>
  <c r="P4930" i="12"/>
  <c r="Q4930" i="12"/>
  <c r="F4931" i="12"/>
  <c r="D4931" i="12" s="1"/>
  <c r="G4931" i="12"/>
  <c r="I4931" i="12" s="1"/>
  <c r="H4931" i="12"/>
  <c r="N4931" i="12"/>
  <c r="O4931" i="12"/>
  <c r="P4931" i="12"/>
  <c r="Q4931" i="12"/>
  <c r="F4932" i="12"/>
  <c r="E4932" i="12" s="1"/>
  <c r="G4932" i="12"/>
  <c r="I4932" i="12" s="1"/>
  <c r="H4932" i="12"/>
  <c r="N4932" i="12"/>
  <c r="O4932" i="12"/>
  <c r="P4932" i="12"/>
  <c r="Q4932" i="12"/>
  <c r="F4933" i="12"/>
  <c r="D4933" i="12" s="1"/>
  <c r="G4933" i="12"/>
  <c r="L4933" i="12" s="1"/>
  <c r="H4933" i="12"/>
  <c r="N4933" i="12"/>
  <c r="O4933" i="12"/>
  <c r="P4933" i="12"/>
  <c r="Q4933" i="12"/>
  <c r="F4934" i="12"/>
  <c r="D4934" i="12" s="1"/>
  <c r="G4934" i="12"/>
  <c r="I4934" i="12" s="1"/>
  <c r="H4934" i="12"/>
  <c r="N4934" i="12"/>
  <c r="O4934" i="12"/>
  <c r="P4934" i="12"/>
  <c r="Q4934" i="12"/>
  <c r="F4935" i="12"/>
  <c r="E4935" i="12" s="1"/>
  <c r="G4935" i="12"/>
  <c r="H4935" i="12"/>
  <c r="N4935" i="12"/>
  <c r="O4935" i="12"/>
  <c r="P4935" i="12"/>
  <c r="Q4935" i="12"/>
  <c r="F4936" i="12"/>
  <c r="E4936" i="12" s="1"/>
  <c r="G4936" i="12"/>
  <c r="I4936" i="12" s="1"/>
  <c r="H4936" i="12"/>
  <c r="N4936" i="12"/>
  <c r="O4936" i="12"/>
  <c r="P4936" i="12"/>
  <c r="Q4936" i="12"/>
  <c r="F4937" i="12"/>
  <c r="D4937" i="12" s="1"/>
  <c r="G4937" i="12"/>
  <c r="J4937" i="12" s="1"/>
  <c r="H4937" i="12"/>
  <c r="N4937" i="12"/>
  <c r="O4937" i="12"/>
  <c r="P4937" i="12"/>
  <c r="Q4937" i="12"/>
  <c r="F4938" i="12"/>
  <c r="E4938" i="12" s="1"/>
  <c r="G4938" i="12"/>
  <c r="J4938" i="12" s="1"/>
  <c r="H4938" i="12"/>
  <c r="N4938" i="12"/>
  <c r="O4938" i="12"/>
  <c r="P4938" i="12"/>
  <c r="Q4938" i="12"/>
  <c r="F4939" i="12"/>
  <c r="E4939" i="12" s="1"/>
  <c r="G4939" i="12"/>
  <c r="J4939" i="12" s="1"/>
  <c r="H4939" i="12"/>
  <c r="N4939" i="12"/>
  <c r="O4939" i="12"/>
  <c r="P4939" i="12"/>
  <c r="Q4939" i="12"/>
  <c r="F4940" i="12"/>
  <c r="G4940" i="12"/>
  <c r="I4940" i="12" s="1"/>
  <c r="H4940" i="12"/>
  <c r="N4940" i="12"/>
  <c r="O4940" i="12"/>
  <c r="P4940" i="12"/>
  <c r="Q4940" i="12"/>
  <c r="F4941" i="12"/>
  <c r="D4941" i="12" s="1"/>
  <c r="G4941" i="12"/>
  <c r="I4941" i="12" s="1"/>
  <c r="H4941" i="12"/>
  <c r="N4941" i="12"/>
  <c r="O4941" i="12"/>
  <c r="P4941" i="12"/>
  <c r="Q4941" i="12"/>
  <c r="F4942" i="12"/>
  <c r="D4942" i="12" s="1"/>
  <c r="G4942" i="12"/>
  <c r="J4942" i="12" s="1"/>
  <c r="H4942" i="12"/>
  <c r="N4942" i="12"/>
  <c r="O4942" i="12"/>
  <c r="P4942" i="12"/>
  <c r="Q4942" i="12"/>
  <c r="F4943" i="12"/>
  <c r="E4943" i="12" s="1"/>
  <c r="G4943" i="12"/>
  <c r="I4943" i="12" s="1"/>
  <c r="H4943" i="12"/>
  <c r="N4943" i="12"/>
  <c r="O4943" i="12"/>
  <c r="P4943" i="12"/>
  <c r="Q4943" i="12"/>
  <c r="F4944" i="12"/>
  <c r="G4944" i="12"/>
  <c r="I4944" i="12" s="1"/>
  <c r="H4944" i="12"/>
  <c r="N4944" i="12"/>
  <c r="O4944" i="12"/>
  <c r="P4944" i="12"/>
  <c r="Q4944" i="12"/>
  <c r="F4945" i="12"/>
  <c r="D4945" i="12" s="1"/>
  <c r="G4945" i="12"/>
  <c r="I4945" i="12" s="1"/>
  <c r="H4945" i="12"/>
  <c r="N4945" i="12"/>
  <c r="O4945" i="12"/>
  <c r="P4945" i="12"/>
  <c r="Q4945" i="12"/>
  <c r="F4946" i="12"/>
  <c r="E4946" i="12" s="1"/>
  <c r="G4946" i="12"/>
  <c r="I4946" i="12" s="1"/>
  <c r="H4946" i="12"/>
  <c r="N4946" i="12"/>
  <c r="O4946" i="12"/>
  <c r="P4946" i="12"/>
  <c r="Q4946" i="12"/>
  <c r="F4947" i="12"/>
  <c r="D4947" i="12" s="1"/>
  <c r="G4947" i="12"/>
  <c r="J4947" i="12" s="1"/>
  <c r="H4947" i="12"/>
  <c r="N4947" i="12"/>
  <c r="O4947" i="12"/>
  <c r="P4947" i="12"/>
  <c r="Q4947" i="12"/>
  <c r="F4948" i="12"/>
  <c r="E4948" i="12" s="1"/>
  <c r="G4948" i="12"/>
  <c r="I4948" i="12" s="1"/>
  <c r="H4948" i="12"/>
  <c r="N4948" i="12"/>
  <c r="O4948" i="12"/>
  <c r="P4948" i="12"/>
  <c r="Q4948" i="12"/>
  <c r="F4949" i="12"/>
  <c r="D4949" i="12" s="1"/>
  <c r="G4949" i="12"/>
  <c r="I4949" i="12" s="1"/>
  <c r="H4949" i="12"/>
  <c r="N4949" i="12"/>
  <c r="O4949" i="12"/>
  <c r="P4949" i="12"/>
  <c r="Q4949" i="12"/>
  <c r="F4950" i="12"/>
  <c r="G4950" i="12"/>
  <c r="L4950" i="12" s="1"/>
  <c r="H4950" i="12"/>
  <c r="N4950" i="12"/>
  <c r="O4950" i="12"/>
  <c r="P4950" i="12"/>
  <c r="Q4950" i="12"/>
  <c r="F4951" i="12"/>
  <c r="D4951" i="12" s="1"/>
  <c r="G4951" i="12"/>
  <c r="I4951" i="12" s="1"/>
  <c r="H4951" i="12"/>
  <c r="N4951" i="12"/>
  <c r="O4951" i="12"/>
  <c r="P4951" i="12"/>
  <c r="Q4951" i="12"/>
  <c r="F4952" i="12"/>
  <c r="G4952" i="12"/>
  <c r="I4952" i="12" s="1"/>
  <c r="H4952" i="12"/>
  <c r="N4952" i="12"/>
  <c r="O4952" i="12"/>
  <c r="P4952" i="12"/>
  <c r="Q4952" i="12"/>
  <c r="F4953" i="12"/>
  <c r="D4953" i="12" s="1"/>
  <c r="G4953" i="12"/>
  <c r="I4953" i="12" s="1"/>
  <c r="H4953" i="12"/>
  <c r="N4953" i="12"/>
  <c r="O4953" i="12"/>
  <c r="P4953" i="12"/>
  <c r="Q4953" i="12"/>
  <c r="F4954" i="12"/>
  <c r="D4954" i="12" s="1"/>
  <c r="G4954" i="12"/>
  <c r="J4954" i="12" s="1"/>
  <c r="H4954" i="12"/>
  <c r="N4954" i="12"/>
  <c r="O4954" i="12"/>
  <c r="P4954" i="12"/>
  <c r="Q4954" i="12"/>
  <c r="F4955" i="12"/>
  <c r="E4955" i="12" s="1"/>
  <c r="G4955" i="12"/>
  <c r="I4955" i="12" s="1"/>
  <c r="H4955" i="12"/>
  <c r="N4955" i="12"/>
  <c r="O4955" i="12"/>
  <c r="P4955" i="12"/>
  <c r="Q4955" i="12"/>
  <c r="F4956" i="12"/>
  <c r="E4956" i="12" s="1"/>
  <c r="G4956" i="12"/>
  <c r="I4956" i="12" s="1"/>
  <c r="H4956" i="12"/>
  <c r="N4956" i="12"/>
  <c r="O4956" i="12"/>
  <c r="P4956" i="12"/>
  <c r="Q4956" i="12"/>
  <c r="F4957" i="12"/>
  <c r="D4957" i="12" s="1"/>
  <c r="G4957" i="12"/>
  <c r="L4957" i="12" s="1"/>
  <c r="H4957" i="12"/>
  <c r="N4957" i="12"/>
  <c r="O4957" i="12"/>
  <c r="P4957" i="12"/>
  <c r="Q4957" i="12"/>
  <c r="F4958" i="12"/>
  <c r="D4958" i="12" s="1"/>
  <c r="G4958" i="12"/>
  <c r="H4958" i="12"/>
  <c r="N4958" i="12"/>
  <c r="O4958" i="12"/>
  <c r="P4958" i="12"/>
  <c r="Q4958" i="12"/>
  <c r="F4959" i="12"/>
  <c r="E4959" i="12" s="1"/>
  <c r="G4959" i="12"/>
  <c r="I4959" i="12" s="1"/>
  <c r="H4959" i="12"/>
  <c r="N4959" i="12"/>
  <c r="O4959" i="12"/>
  <c r="P4959" i="12"/>
  <c r="Q4959" i="12"/>
  <c r="F4960" i="12"/>
  <c r="E4960" i="12" s="1"/>
  <c r="G4960" i="12"/>
  <c r="I4960" i="12" s="1"/>
  <c r="H4960" i="12"/>
  <c r="N4960" i="12"/>
  <c r="O4960" i="12"/>
  <c r="P4960" i="12"/>
  <c r="Q4960" i="12"/>
  <c r="F4961" i="12"/>
  <c r="D4961" i="12" s="1"/>
  <c r="G4961" i="12"/>
  <c r="I4961" i="12" s="1"/>
  <c r="H4961" i="12"/>
  <c r="N4961" i="12"/>
  <c r="O4961" i="12"/>
  <c r="P4961" i="12"/>
  <c r="Q4961" i="12"/>
  <c r="F4962" i="12"/>
  <c r="D4962" i="12" s="1"/>
  <c r="G4962" i="12"/>
  <c r="J4962" i="12" s="1"/>
  <c r="H4962" i="12"/>
  <c r="N4962" i="12"/>
  <c r="O4962" i="12"/>
  <c r="P4962" i="12"/>
  <c r="Q4962" i="12"/>
  <c r="F4963" i="12"/>
  <c r="E4963" i="12" s="1"/>
  <c r="G4963" i="12"/>
  <c r="H4963" i="12"/>
  <c r="N4963" i="12"/>
  <c r="O4963" i="12"/>
  <c r="P4963" i="12"/>
  <c r="Q4963" i="12"/>
  <c r="F4964" i="12"/>
  <c r="E4964" i="12" s="1"/>
  <c r="G4964" i="12"/>
  <c r="I4964" i="12" s="1"/>
  <c r="H4964" i="12"/>
  <c r="N4964" i="12"/>
  <c r="O4964" i="12"/>
  <c r="P4964" i="12"/>
  <c r="Q4964" i="12"/>
  <c r="F4965" i="12"/>
  <c r="D4965" i="12" s="1"/>
  <c r="G4965" i="12"/>
  <c r="J4965" i="12" s="1"/>
  <c r="H4965" i="12"/>
  <c r="N4965" i="12"/>
  <c r="O4965" i="12"/>
  <c r="P4965" i="12"/>
  <c r="Q4965" i="12"/>
  <c r="F4966" i="12"/>
  <c r="D4966" i="12" s="1"/>
  <c r="G4966" i="12"/>
  <c r="L4966" i="12" s="1"/>
  <c r="H4966" i="12"/>
  <c r="N4966" i="12"/>
  <c r="O4966" i="12"/>
  <c r="P4966" i="12"/>
  <c r="Q4966" i="12"/>
  <c r="F4967" i="12"/>
  <c r="D4967" i="12" s="1"/>
  <c r="G4967" i="12"/>
  <c r="I4967" i="12" s="1"/>
  <c r="H4967" i="12"/>
  <c r="N4967" i="12"/>
  <c r="O4967" i="12"/>
  <c r="P4967" i="12"/>
  <c r="Q4967" i="12"/>
  <c r="F4968" i="12"/>
  <c r="G4968" i="12"/>
  <c r="I4968" i="12" s="1"/>
  <c r="H4968" i="12"/>
  <c r="N4968" i="12"/>
  <c r="O4968" i="12"/>
  <c r="P4968" i="12"/>
  <c r="Q4968" i="12"/>
  <c r="F4969" i="12"/>
  <c r="D4969" i="12" s="1"/>
  <c r="G4969" i="12"/>
  <c r="L4969" i="12" s="1"/>
  <c r="H4969" i="12"/>
  <c r="N4969" i="12"/>
  <c r="O4969" i="12"/>
  <c r="P4969" i="12"/>
  <c r="Q4969" i="12"/>
  <c r="F4970" i="12"/>
  <c r="D4970" i="12" s="1"/>
  <c r="G4970" i="12"/>
  <c r="I4970" i="12" s="1"/>
  <c r="H4970" i="12"/>
  <c r="N4970" i="12"/>
  <c r="O4970" i="12"/>
  <c r="P4970" i="12"/>
  <c r="Q4970" i="12"/>
  <c r="F4971" i="12"/>
  <c r="E4971" i="12" s="1"/>
  <c r="G4971" i="12"/>
  <c r="I4971" i="12" s="1"/>
  <c r="H4971" i="12"/>
  <c r="N4971" i="12"/>
  <c r="O4971" i="12"/>
  <c r="P4971" i="12"/>
  <c r="Q4971" i="12"/>
  <c r="F4972" i="12"/>
  <c r="E4972" i="12" s="1"/>
  <c r="G4972" i="12"/>
  <c r="I4972" i="12" s="1"/>
  <c r="H4972" i="12"/>
  <c r="N4972" i="12"/>
  <c r="O4972" i="12"/>
  <c r="P4972" i="12"/>
  <c r="Q4972" i="12"/>
  <c r="F4973" i="12"/>
  <c r="D4973" i="12" s="1"/>
  <c r="G4973" i="12"/>
  <c r="L4973" i="12" s="1"/>
  <c r="H4973" i="12"/>
  <c r="N4973" i="12"/>
  <c r="O4973" i="12"/>
  <c r="P4973" i="12"/>
  <c r="Q4973" i="12"/>
  <c r="F4974" i="12"/>
  <c r="D4974" i="12" s="1"/>
  <c r="G4974" i="12"/>
  <c r="I4974" i="12" s="1"/>
  <c r="H4974" i="12"/>
  <c r="N4974" i="12"/>
  <c r="O4974" i="12"/>
  <c r="P4974" i="12"/>
  <c r="Q4974" i="12"/>
  <c r="F4975" i="12"/>
  <c r="D4975" i="12" s="1"/>
  <c r="G4975" i="12"/>
  <c r="I4975" i="12" s="1"/>
  <c r="H4975" i="12"/>
  <c r="N4975" i="12"/>
  <c r="O4975" i="12"/>
  <c r="P4975" i="12"/>
  <c r="Q4975" i="12"/>
  <c r="F4976" i="12"/>
  <c r="E4976" i="12" s="1"/>
  <c r="G4976" i="12"/>
  <c r="I4976" i="12" s="1"/>
  <c r="H4976" i="12"/>
  <c r="N4976" i="12"/>
  <c r="O4976" i="12"/>
  <c r="P4976" i="12"/>
  <c r="Q4976" i="12"/>
  <c r="F4977" i="12"/>
  <c r="D4977" i="12" s="1"/>
  <c r="G4977" i="12"/>
  <c r="M4977" i="12" s="1"/>
  <c r="H4977" i="12"/>
  <c r="N4977" i="12"/>
  <c r="O4977" i="12"/>
  <c r="P4977" i="12"/>
  <c r="Q4977" i="12"/>
  <c r="F4978" i="12"/>
  <c r="D4978" i="12" s="1"/>
  <c r="G4978" i="12"/>
  <c r="I4978" i="12" s="1"/>
  <c r="H4978" i="12"/>
  <c r="N4978" i="12"/>
  <c r="O4978" i="12"/>
  <c r="P4978" i="12"/>
  <c r="Q4978" i="12"/>
  <c r="F4979" i="12"/>
  <c r="E4979" i="12" s="1"/>
  <c r="G4979" i="12"/>
  <c r="I4979" i="12" s="1"/>
  <c r="H4979" i="12"/>
  <c r="N4979" i="12"/>
  <c r="O4979" i="12"/>
  <c r="P4979" i="12"/>
  <c r="Q4979" i="12"/>
  <c r="F4980" i="12"/>
  <c r="E4980" i="12" s="1"/>
  <c r="G4980" i="12"/>
  <c r="I4980" i="12" s="1"/>
  <c r="H4980" i="12"/>
  <c r="N4980" i="12"/>
  <c r="O4980" i="12"/>
  <c r="P4980" i="12"/>
  <c r="Q4980" i="12"/>
  <c r="F4981" i="12"/>
  <c r="D4981" i="12" s="1"/>
  <c r="G4981" i="12"/>
  <c r="I4981" i="12" s="1"/>
  <c r="H4981" i="12"/>
  <c r="N4981" i="12"/>
  <c r="O4981" i="12"/>
  <c r="P4981" i="12"/>
  <c r="Q4981" i="12"/>
  <c r="F4982" i="12"/>
  <c r="D4982" i="12" s="1"/>
  <c r="G4982" i="12"/>
  <c r="I4982" i="12" s="1"/>
  <c r="H4982" i="12"/>
  <c r="N4982" i="12"/>
  <c r="O4982" i="12"/>
  <c r="P4982" i="12"/>
  <c r="Q4982" i="12"/>
  <c r="F4983" i="12"/>
  <c r="D4983" i="12" s="1"/>
  <c r="G4983" i="12"/>
  <c r="I4983" i="12" s="1"/>
  <c r="H4983" i="12"/>
  <c r="N4983" i="12"/>
  <c r="O4983" i="12"/>
  <c r="P4983" i="12"/>
  <c r="Q4983" i="12"/>
  <c r="F4984" i="12"/>
  <c r="E4984" i="12" s="1"/>
  <c r="G4984" i="12"/>
  <c r="I4984" i="12" s="1"/>
  <c r="H4984" i="12"/>
  <c r="N4984" i="12"/>
  <c r="O4984" i="12"/>
  <c r="P4984" i="12"/>
  <c r="Q4984" i="12"/>
  <c r="F4985" i="12"/>
  <c r="D4985" i="12" s="1"/>
  <c r="G4985" i="12"/>
  <c r="I4985" i="12" s="1"/>
  <c r="H4985" i="12"/>
  <c r="N4985" i="12"/>
  <c r="O4985" i="12"/>
  <c r="P4985" i="12"/>
  <c r="Q4985" i="12"/>
  <c r="F4986" i="12"/>
  <c r="D4986" i="12" s="1"/>
  <c r="G4986" i="12"/>
  <c r="I4986" i="12" s="1"/>
  <c r="H4986" i="12"/>
  <c r="N4986" i="12"/>
  <c r="O4986" i="12"/>
  <c r="P4986" i="12"/>
  <c r="Q4986" i="12"/>
  <c r="F4987" i="12"/>
  <c r="E4987" i="12" s="1"/>
  <c r="G4987" i="12"/>
  <c r="I4987" i="12" s="1"/>
  <c r="H4987" i="12"/>
  <c r="N4987" i="12"/>
  <c r="O4987" i="12"/>
  <c r="P4987" i="12"/>
  <c r="Q4987" i="12"/>
  <c r="F4988" i="12"/>
  <c r="E4988" i="12" s="1"/>
  <c r="G4988" i="12"/>
  <c r="I4988" i="12" s="1"/>
  <c r="H4988" i="12"/>
  <c r="N4988" i="12"/>
  <c r="O4988" i="12"/>
  <c r="P4988" i="12"/>
  <c r="Q4988" i="12"/>
  <c r="F4989" i="12"/>
  <c r="D4989" i="12" s="1"/>
  <c r="G4989" i="12"/>
  <c r="I4989" i="12" s="1"/>
  <c r="H4989" i="12"/>
  <c r="N4989" i="12"/>
  <c r="O4989" i="12"/>
  <c r="P4989" i="12"/>
  <c r="Q4989" i="12"/>
  <c r="F4990" i="12"/>
  <c r="D4990" i="12" s="1"/>
  <c r="G4990" i="12"/>
  <c r="I4990" i="12" s="1"/>
  <c r="H4990" i="12"/>
  <c r="N4990" i="12"/>
  <c r="O4990" i="12"/>
  <c r="P4990" i="12"/>
  <c r="Q4990" i="12"/>
  <c r="F4991" i="12"/>
  <c r="D4991" i="12" s="1"/>
  <c r="G4991" i="12"/>
  <c r="I4991" i="12" s="1"/>
  <c r="H4991" i="12"/>
  <c r="N4991" i="12"/>
  <c r="O4991" i="12"/>
  <c r="P4991" i="12"/>
  <c r="Q4991" i="12"/>
  <c r="F4992" i="12"/>
  <c r="E4992" i="12" s="1"/>
  <c r="G4992" i="12"/>
  <c r="I4992" i="12" s="1"/>
  <c r="H4992" i="12"/>
  <c r="N4992" i="12"/>
  <c r="O4992" i="12"/>
  <c r="P4992" i="12"/>
  <c r="Q4992" i="12"/>
  <c r="F4993" i="12"/>
  <c r="D4993" i="12" s="1"/>
  <c r="G4993" i="12"/>
  <c r="M4993" i="12" s="1"/>
  <c r="H4993" i="12"/>
  <c r="N4993" i="12"/>
  <c r="O4993" i="12"/>
  <c r="P4993" i="12"/>
  <c r="Q4993" i="12"/>
  <c r="F4994" i="12"/>
  <c r="D4994" i="12" s="1"/>
  <c r="G4994" i="12"/>
  <c r="I4994" i="12" s="1"/>
  <c r="H4994" i="12"/>
  <c r="N4994" i="12"/>
  <c r="O4994" i="12"/>
  <c r="P4994" i="12"/>
  <c r="Q4994" i="12"/>
  <c r="F4995" i="12"/>
  <c r="E4995" i="12" s="1"/>
  <c r="G4995" i="12"/>
  <c r="I4995" i="12" s="1"/>
  <c r="H4995" i="12"/>
  <c r="N4995" i="12"/>
  <c r="O4995" i="12"/>
  <c r="P4995" i="12"/>
  <c r="Q4995" i="12"/>
  <c r="F4996" i="12"/>
  <c r="E4996" i="12" s="1"/>
  <c r="G4996" i="12"/>
  <c r="I4996" i="12" s="1"/>
  <c r="H4996" i="12"/>
  <c r="N4996" i="12"/>
  <c r="O4996" i="12"/>
  <c r="P4996" i="12"/>
  <c r="Q4996" i="12"/>
  <c r="F4997" i="12"/>
  <c r="D4997" i="12" s="1"/>
  <c r="G4997" i="12"/>
  <c r="L4997" i="12" s="1"/>
  <c r="H4997" i="12"/>
  <c r="N4997" i="12"/>
  <c r="O4997" i="12"/>
  <c r="P4997" i="12"/>
  <c r="Q4997" i="12"/>
  <c r="F4998" i="12"/>
  <c r="D4998" i="12" s="1"/>
  <c r="G4998" i="12"/>
  <c r="I4998" i="12" s="1"/>
  <c r="H4998" i="12"/>
  <c r="N4998" i="12"/>
  <c r="O4998" i="12"/>
  <c r="P4998" i="12"/>
  <c r="Q4998" i="12"/>
  <c r="F4999" i="12"/>
  <c r="E4999" i="12" s="1"/>
  <c r="G4999" i="12"/>
  <c r="I4999" i="12" s="1"/>
  <c r="H4999" i="12"/>
  <c r="N4999" i="12"/>
  <c r="O4999" i="12"/>
  <c r="P4999" i="12"/>
  <c r="Q4999" i="12"/>
  <c r="F5000" i="12"/>
  <c r="E5000" i="12" s="1"/>
  <c r="G5000" i="12"/>
  <c r="I5000" i="12" s="1"/>
  <c r="H5000" i="12"/>
  <c r="N5000" i="12"/>
  <c r="O5000" i="12"/>
  <c r="P5000" i="12"/>
  <c r="Q5000" i="12"/>
  <c r="L3389" i="12" l="1"/>
  <c r="L4717" i="12"/>
  <c r="M4309" i="12"/>
  <c r="D4564" i="12"/>
  <c r="D4345" i="12"/>
  <c r="K4550" i="12"/>
  <c r="J4259" i="12"/>
  <c r="J4079" i="12"/>
  <c r="I3766" i="12"/>
  <c r="L4855" i="12"/>
  <c r="I4549" i="12"/>
  <c r="J4843" i="12"/>
  <c r="J4842" i="12"/>
  <c r="I3212" i="12"/>
  <c r="J3107" i="12"/>
  <c r="E4775" i="12"/>
  <c r="E4289" i="12"/>
  <c r="D4902" i="12"/>
  <c r="L4219" i="12"/>
  <c r="J3231" i="12"/>
  <c r="M4117" i="12"/>
  <c r="I4011" i="12"/>
  <c r="K4010" i="12"/>
  <c r="K4009" i="12"/>
  <c r="L3709" i="12"/>
  <c r="J4953" i="12"/>
  <c r="J4720" i="12"/>
  <c r="M4719" i="12"/>
  <c r="I4717" i="12"/>
  <c r="L4515" i="12"/>
  <c r="K3748" i="12"/>
  <c r="I3723" i="12"/>
  <c r="K3722" i="12"/>
  <c r="J3720" i="12"/>
  <c r="M3719" i="12"/>
  <c r="M3693" i="12"/>
  <c r="D3597" i="12"/>
  <c r="K3230" i="12"/>
  <c r="L4702" i="12"/>
  <c r="I4677" i="12"/>
  <c r="E4673" i="12"/>
  <c r="E4672" i="12"/>
  <c r="L4460" i="12"/>
  <c r="L4459" i="12"/>
  <c r="E3991" i="12"/>
  <c r="I3768" i="12"/>
  <c r="L3340" i="12"/>
  <c r="J3339" i="12"/>
  <c r="E4818" i="12"/>
  <c r="D3911" i="12"/>
  <c r="D3721" i="12"/>
  <c r="E3590" i="12"/>
  <c r="J4668" i="12"/>
  <c r="L4627" i="12"/>
  <c r="J4175" i="12"/>
  <c r="K4065" i="12"/>
  <c r="L4005" i="12"/>
  <c r="J3672" i="12"/>
  <c r="K3670" i="12"/>
  <c r="M3669" i="12"/>
  <c r="L3284" i="12"/>
  <c r="M4959" i="12"/>
  <c r="J4119" i="12"/>
  <c r="J4117" i="12"/>
  <c r="J4116" i="12"/>
  <c r="D3593" i="12"/>
  <c r="M3538" i="12"/>
  <c r="L3368" i="12"/>
  <c r="I3064" i="12"/>
  <c r="I3015" i="12"/>
  <c r="D4197" i="12"/>
  <c r="L4175" i="12"/>
  <c r="J4112" i="12"/>
  <c r="K3768" i="12"/>
  <c r="J3766" i="12"/>
  <c r="J4903" i="12"/>
  <c r="M4902" i="12"/>
  <c r="M4875" i="12"/>
  <c r="J4857" i="12"/>
  <c r="J4673" i="12"/>
  <c r="L4520" i="12"/>
  <c r="J4219" i="12"/>
  <c r="K4097" i="12"/>
  <c r="M3860" i="12"/>
  <c r="D3755" i="12"/>
  <c r="I3234" i="12"/>
  <c r="J4248" i="12"/>
  <c r="L4073" i="12"/>
  <c r="I4063" i="12"/>
  <c r="L3969" i="12"/>
  <c r="M3679" i="12"/>
  <c r="I3525" i="12"/>
  <c r="J3396" i="12"/>
  <c r="M3395" i="12"/>
  <c r="M3334" i="12"/>
  <c r="K3192" i="12"/>
  <c r="E4970" i="12"/>
  <c r="D3901" i="12"/>
  <c r="M4742" i="12"/>
  <c r="I4897" i="12"/>
  <c r="L4742" i="12"/>
  <c r="I4733" i="12"/>
  <c r="D4247" i="12"/>
  <c r="M4156" i="12"/>
  <c r="L3784" i="12"/>
  <c r="J3645" i="12"/>
  <c r="M3032" i="12"/>
  <c r="M4982" i="12"/>
  <c r="M4795" i="12"/>
  <c r="E4433" i="12"/>
  <c r="M4316" i="12"/>
  <c r="L4187" i="12"/>
  <c r="J4894" i="12"/>
  <c r="K4797" i="12"/>
  <c r="D4533" i="12"/>
  <c r="E4532" i="12"/>
  <c r="L4475" i="12"/>
  <c r="L4404" i="12"/>
  <c r="D4367" i="12"/>
  <c r="L4353" i="12"/>
  <c r="L4316" i="12"/>
  <c r="J4305" i="12"/>
  <c r="M4253" i="12"/>
  <c r="K4216" i="12"/>
  <c r="J4187" i="12"/>
  <c r="L3509" i="12"/>
  <c r="K3322" i="12"/>
  <c r="E4213" i="12"/>
  <c r="D3969" i="12"/>
  <c r="L3659" i="12"/>
  <c r="I3368" i="12"/>
  <c r="M4771" i="12"/>
  <c r="M4770" i="12"/>
  <c r="J4680" i="12"/>
  <c r="I4773" i="12"/>
  <c r="K4770" i="12"/>
  <c r="L4567" i="12"/>
  <c r="L4503" i="12"/>
  <c r="L4451" i="12"/>
  <c r="D4439" i="12"/>
  <c r="E4438" i="12"/>
  <c r="D4306" i="12"/>
  <c r="J4107" i="12"/>
  <c r="K4013" i="12"/>
  <c r="M3590" i="12"/>
  <c r="L3071" i="12"/>
  <c r="L4259" i="12"/>
  <c r="K3723" i="12"/>
  <c r="M3645" i="12"/>
  <c r="K3389" i="12"/>
  <c r="D3359" i="12"/>
  <c r="M3308" i="12"/>
  <c r="D3288" i="12"/>
  <c r="D3287" i="12"/>
  <c r="M3310" i="12"/>
  <c r="L4929" i="12"/>
  <c r="E4680" i="12"/>
  <c r="E4641" i="12"/>
  <c r="L4195" i="12"/>
  <c r="K4175" i="12"/>
  <c r="L4156" i="12"/>
  <c r="D3802" i="12"/>
  <c r="I3597" i="12"/>
  <c r="M3595" i="12"/>
  <c r="D3580" i="12"/>
  <c r="L3525" i="12"/>
  <c r="J3282" i="12"/>
  <c r="I3148" i="12"/>
  <c r="E4962" i="12"/>
  <c r="M4923" i="12"/>
  <c r="J4914" i="12"/>
  <c r="K4602" i="12"/>
  <c r="L4583" i="12"/>
  <c r="M4536" i="12"/>
  <c r="I4535" i="12"/>
  <c r="K4475" i="12"/>
  <c r="D4372" i="12"/>
  <c r="D4209" i="12"/>
  <c r="M4180" i="12"/>
  <c r="J4179" i="12"/>
  <c r="I4175" i="12"/>
  <c r="J4164" i="12"/>
  <c r="M4119" i="12"/>
  <c r="D3612" i="12"/>
  <c r="M3594" i="12"/>
  <c r="J3592" i="12"/>
  <c r="D3532" i="12"/>
  <c r="E3531" i="12"/>
  <c r="L3493" i="12"/>
  <c r="M3455" i="12"/>
  <c r="J3437" i="12"/>
  <c r="D3429" i="12"/>
  <c r="E3428" i="12"/>
  <c r="D3408" i="12"/>
  <c r="I3342" i="12"/>
  <c r="I3113" i="12"/>
  <c r="J4853" i="12"/>
  <c r="E4684" i="12"/>
  <c r="M4673" i="12"/>
  <c r="E4621" i="12"/>
  <c r="E4619" i="12"/>
  <c r="K4523" i="12"/>
  <c r="M4421" i="12"/>
  <c r="L4356" i="12"/>
  <c r="M4301" i="12"/>
  <c r="M4237" i="12"/>
  <c r="L4167" i="12"/>
  <c r="I4164" i="12"/>
  <c r="E4127" i="12"/>
  <c r="M3993" i="12"/>
  <c r="K3937" i="12"/>
  <c r="K3845" i="12"/>
  <c r="I3800" i="12"/>
  <c r="L3733" i="12"/>
  <c r="J3525" i="12"/>
  <c r="K3493" i="12"/>
  <c r="I3437" i="12"/>
  <c r="E3412" i="12"/>
  <c r="M3403" i="12"/>
  <c r="I3353" i="12"/>
  <c r="L3344" i="12"/>
  <c r="D3267" i="12"/>
  <c r="L3244" i="12"/>
  <c r="K3234" i="12"/>
  <c r="J3218" i="12"/>
  <c r="M3216" i="12"/>
  <c r="M3181" i="12"/>
  <c r="K3035" i="12"/>
  <c r="E4890" i="12"/>
  <c r="J4677" i="12"/>
  <c r="L4673" i="12"/>
  <c r="K4301" i="12"/>
  <c r="K4167" i="12"/>
  <c r="J4144" i="12"/>
  <c r="I4119" i="12"/>
  <c r="L4097" i="12"/>
  <c r="L4077" i="12"/>
  <c r="I4007" i="12"/>
  <c r="M4005" i="12"/>
  <c r="M3784" i="12"/>
  <c r="E3310" i="12"/>
  <c r="I3246" i="12"/>
  <c r="M3236" i="12"/>
  <c r="J3234" i="12"/>
  <c r="M3232" i="12"/>
  <c r="K3231" i="12"/>
  <c r="I3228" i="12"/>
  <c r="I3218" i="12"/>
  <c r="I3072" i="12"/>
  <c r="K4929" i="12"/>
  <c r="J4877" i="12"/>
  <c r="J4810" i="12"/>
  <c r="J4762" i="12"/>
  <c r="E4723" i="12"/>
  <c r="J4713" i="12"/>
  <c r="J4704" i="12"/>
  <c r="I4702" i="12"/>
  <c r="M4701" i="12"/>
  <c r="M4616" i="12"/>
  <c r="D4585" i="12"/>
  <c r="E4535" i="12"/>
  <c r="L4373" i="12"/>
  <c r="M4372" i="12"/>
  <c r="L4311" i="12"/>
  <c r="L4309" i="12"/>
  <c r="I4219" i="12"/>
  <c r="J4199" i="12"/>
  <c r="J4196" i="12"/>
  <c r="L4129" i="12"/>
  <c r="L4127" i="12"/>
  <c r="M3806" i="12"/>
  <c r="L3719" i="12"/>
  <c r="M3621" i="12"/>
  <c r="L3533" i="12"/>
  <c r="L3506" i="12"/>
  <c r="D3492" i="12"/>
  <c r="E3491" i="12"/>
  <c r="M3477" i="12"/>
  <c r="D3436" i="12"/>
  <c r="K3430" i="12"/>
  <c r="M3429" i="12"/>
  <c r="J3395" i="12"/>
  <c r="J3384" i="12"/>
  <c r="M3286" i="12"/>
  <c r="I3284" i="12"/>
  <c r="I3282" i="12"/>
  <c r="M3175" i="12"/>
  <c r="I4997" i="12"/>
  <c r="J4929" i="12"/>
  <c r="M4879" i="12"/>
  <c r="K4619" i="12"/>
  <c r="J4616" i="12"/>
  <c r="L4571" i="12"/>
  <c r="D4525" i="12"/>
  <c r="K4416" i="12"/>
  <c r="J4309" i="12"/>
  <c r="J4232" i="12"/>
  <c r="I4199" i="12"/>
  <c r="D4164" i="12"/>
  <c r="K4148" i="12"/>
  <c r="I4129" i="12"/>
  <c r="J4127" i="12"/>
  <c r="J4059" i="12"/>
  <c r="M4057" i="12"/>
  <c r="D4003" i="12"/>
  <c r="J3808" i="12"/>
  <c r="I3719" i="12"/>
  <c r="K3718" i="12"/>
  <c r="M3717" i="12"/>
  <c r="I3667" i="12"/>
  <c r="I3621" i="12"/>
  <c r="M3535" i="12"/>
  <c r="J3533" i="12"/>
  <c r="M3519" i="12"/>
  <c r="M3518" i="12"/>
  <c r="L3517" i="12"/>
  <c r="K3461" i="12"/>
  <c r="K3409" i="12"/>
  <c r="K3298" i="12"/>
  <c r="L3076" i="12"/>
  <c r="J3040" i="12"/>
  <c r="E4958" i="12"/>
  <c r="J4951" i="12"/>
  <c r="J4950" i="12"/>
  <c r="M4949" i="12"/>
  <c r="E4819" i="12"/>
  <c r="I4693" i="12"/>
  <c r="E4676" i="12"/>
  <c r="K4599" i="12"/>
  <c r="E4548" i="12"/>
  <c r="J4492" i="12"/>
  <c r="L4483" i="12"/>
  <c r="E4123" i="12"/>
  <c r="L4091" i="12"/>
  <c r="J4061" i="12"/>
  <c r="I4059" i="12"/>
  <c r="I4057" i="12"/>
  <c r="E4007" i="12"/>
  <c r="J3962" i="12"/>
  <c r="I3961" i="12"/>
  <c r="I3960" i="12"/>
  <c r="M3959" i="12"/>
  <c r="K3674" i="12"/>
  <c r="M3673" i="12"/>
  <c r="I3310" i="12"/>
  <c r="M3437" i="12"/>
  <c r="J4661" i="12"/>
  <c r="I4629" i="12"/>
  <c r="J4613" i="12"/>
  <c r="I4611" i="12"/>
  <c r="J4609" i="12"/>
  <c r="M4507" i="12"/>
  <c r="I4324" i="12"/>
  <c r="J4324" i="12"/>
  <c r="L4324" i="12"/>
  <c r="M4324" i="12"/>
  <c r="I4177" i="12"/>
  <c r="L4177" i="12"/>
  <c r="K3884" i="12"/>
  <c r="I3884" i="12"/>
  <c r="I3537" i="12"/>
  <c r="K3537" i="12"/>
  <c r="M3537" i="12"/>
  <c r="L3453" i="12"/>
  <c r="I3453" i="12"/>
  <c r="J3421" i="12"/>
  <c r="I3421" i="12"/>
  <c r="E4787" i="12"/>
  <c r="D4648" i="12"/>
  <c r="D4569" i="12"/>
  <c r="E4515" i="12"/>
  <c r="I4496" i="12"/>
  <c r="M4496" i="12"/>
  <c r="D4492" i="12"/>
  <c r="M4265" i="12"/>
  <c r="L4265" i="12"/>
  <c r="E3959" i="12"/>
  <c r="D3959" i="12"/>
  <c r="J3885" i="12"/>
  <c r="I3885" i="12"/>
  <c r="I3454" i="12"/>
  <c r="K3454" i="12"/>
  <c r="M3454" i="12"/>
  <c r="L3330" i="12"/>
  <c r="I3330" i="12"/>
  <c r="J3007" i="12"/>
  <c r="I3007" i="12"/>
  <c r="I4380" i="12"/>
  <c r="L4380" i="12"/>
  <c r="J4085" i="12"/>
  <c r="I4085" i="12"/>
  <c r="K4085" i="12"/>
  <c r="M4085" i="12"/>
  <c r="I3965" i="12"/>
  <c r="L3965" i="12"/>
  <c r="K3661" i="12"/>
  <c r="J3661" i="12"/>
  <c r="L3661" i="12"/>
  <c r="M4989" i="12"/>
  <c r="M4987" i="12"/>
  <c r="K4902" i="12"/>
  <c r="M4899" i="12"/>
  <c r="I4857" i="12"/>
  <c r="L4834" i="12"/>
  <c r="K4801" i="12"/>
  <c r="J4795" i="12"/>
  <c r="I4794" i="12"/>
  <c r="E4790" i="12"/>
  <c r="J4779" i="12"/>
  <c r="K4778" i="12"/>
  <c r="J4742" i="12"/>
  <c r="K4741" i="12"/>
  <c r="E4696" i="12"/>
  <c r="E4692" i="12"/>
  <c r="D4666" i="12"/>
  <c r="E4664" i="12"/>
  <c r="D4662" i="12"/>
  <c r="I4602" i="12"/>
  <c r="J4580" i="12"/>
  <c r="M4564" i="12"/>
  <c r="K4534" i="12"/>
  <c r="J4531" i="12"/>
  <c r="M4468" i="12"/>
  <c r="I4455" i="12"/>
  <c r="J4455" i="12"/>
  <c r="L4455" i="12"/>
  <c r="J4437" i="12"/>
  <c r="I4369" i="12"/>
  <c r="K4369" i="12"/>
  <c r="L4369" i="12"/>
  <c r="I4328" i="12"/>
  <c r="J4328" i="12"/>
  <c r="K4043" i="12"/>
  <c r="I4043" i="12"/>
  <c r="K4019" i="12"/>
  <c r="I4019" i="12"/>
  <c r="L4019" i="12"/>
  <c r="I3966" i="12"/>
  <c r="J3966" i="12"/>
  <c r="K3704" i="12"/>
  <c r="J3704" i="12"/>
  <c r="L3573" i="12"/>
  <c r="I3573" i="12"/>
  <c r="K3573" i="12"/>
  <c r="M3573" i="12"/>
  <c r="I3527" i="12"/>
  <c r="J3527" i="12"/>
  <c r="M3527" i="12"/>
  <c r="E3526" i="12"/>
  <c r="D3526" i="12"/>
  <c r="I3503" i="12"/>
  <c r="M3503" i="12"/>
  <c r="I3457" i="12"/>
  <c r="K3457" i="12"/>
  <c r="M3457" i="12"/>
  <c r="K3424" i="12"/>
  <c r="J3424" i="12"/>
  <c r="D3052" i="12"/>
  <c r="E3052" i="12"/>
  <c r="M4969" i="12"/>
  <c r="K4961" i="12"/>
  <c r="J4959" i="12"/>
  <c r="J4995" i="12"/>
  <c r="M4994" i="12"/>
  <c r="M4991" i="12"/>
  <c r="J4989" i="12"/>
  <c r="J4987" i="12"/>
  <c r="J4985" i="12"/>
  <c r="M4974" i="12"/>
  <c r="K4969" i="12"/>
  <c r="K4921" i="12"/>
  <c r="M4909" i="12"/>
  <c r="E4842" i="12"/>
  <c r="K4834" i="12"/>
  <c r="I4833" i="12"/>
  <c r="E4810" i="12"/>
  <c r="I4801" i="12"/>
  <c r="M4783" i="12"/>
  <c r="L4782" i="12"/>
  <c r="I4778" i="12"/>
  <c r="D4752" i="12"/>
  <c r="E4743" i="12"/>
  <c r="E4719" i="12"/>
  <c r="E4699" i="12"/>
  <c r="K4686" i="12"/>
  <c r="E4652" i="12"/>
  <c r="L4643" i="12"/>
  <c r="M4583" i="12"/>
  <c r="K4578" i="12"/>
  <c r="L4564" i="12"/>
  <c r="J4559" i="12"/>
  <c r="L4512" i="12"/>
  <c r="D4487" i="12"/>
  <c r="E4487" i="12"/>
  <c r="L4391" i="12"/>
  <c r="I4391" i="12"/>
  <c r="E4390" i="12"/>
  <c r="D4390" i="12"/>
  <c r="I4330" i="12"/>
  <c r="J4330" i="12"/>
  <c r="M4330" i="12"/>
  <c r="I4260" i="12"/>
  <c r="M4260" i="12"/>
  <c r="L4994" i="12"/>
  <c r="L4974" i="12"/>
  <c r="J4969" i="12"/>
  <c r="M4967" i="12"/>
  <c r="K4909" i="12"/>
  <c r="L4890" i="12"/>
  <c r="L4887" i="12"/>
  <c r="I4785" i="12"/>
  <c r="K4782" i="12"/>
  <c r="J4709" i="12"/>
  <c r="I4686" i="12"/>
  <c r="L4563" i="12"/>
  <c r="E4488" i="12"/>
  <c r="D4488" i="12"/>
  <c r="I4401" i="12"/>
  <c r="M4401" i="12"/>
  <c r="L4261" i="12"/>
  <c r="M4261" i="12"/>
  <c r="I3529" i="12"/>
  <c r="M3529" i="12"/>
  <c r="I3515" i="12"/>
  <c r="J3515" i="12"/>
  <c r="I3184" i="12"/>
  <c r="J3184" i="12"/>
  <c r="J4909" i="12"/>
  <c r="J4890" i="12"/>
  <c r="J4806" i="12"/>
  <c r="I4805" i="12"/>
  <c r="L4733" i="12"/>
  <c r="I4709" i="12"/>
  <c r="I4647" i="12"/>
  <c r="K4646" i="12"/>
  <c r="I4625" i="12"/>
  <c r="M4595" i="12"/>
  <c r="I4563" i="12"/>
  <c r="K4562" i="12"/>
  <c r="J4519" i="12"/>
  <c r="I4518" i="12"/>
  <c r="J4361" i="12"/>
  <c r="L4361" i="12"/>
  <c r="I4333" i="12"/>
  <c r="M4333" i="12"/>
  <c r="K4324" i="12"/>
  <c r="K3866" i="12"/>
  <c r="J3866" i="12"/>
  <c r="I3622" i="12"/>
  <c r="L3622" i="12"/>
  <c r="M3622" i="12"/>
  <c r="I3530" i="12"/>
  <c r="L3530" i="12"/>
  <c r="M3530" i="12"/>
  <c r="J3109" i="12"/>
  <c r="I3109" i="12"/>
  <c r="K4994" i="12"/>
  <c r="J4974" i="12"/>
  <c r="I4969" i="12"/>
  <c r="J4967" i="12"/>
  <c r="J4966" i="12"/>
  <c r="K4873" i="12"/>
  <c r="E4986" i="12"/>
  <c r="K4978" i="12"/>
  <c r="K4953" i="12"/>
  <c r="M4951" i="12"/>
  <c r="K4938" i="12"/>
  <c r="L4926" i="12"/>
  <c r="D4920" i="12"/>
  <c r="K4914" i="12"/>
  <c r="J4879" i="12"/>
  <c r="I4877" i="12"/>
  <c r="L4875" i="12"/>
  <c r="D4870" i="12"/>
  <c r="J4863" i="12"/>
  <c r="D4800" i="12"/>
  <c r="L4735" i="12"/>
  <c r="J4733" i="12"/>
  <c r="L4720" i="12"/>
  <c r="J4714" i="12"/>
  <c r="M4713" i="12"/>
  <c r="L4693" i="12"/>
  <c r="L4664" i="12"/>
  <c r="K4659" i="12"/>
  <c r="M4609" i="12"/>
  <c r="D4580" i="12"/>
  <c r="E4579" i="12"/>
  <c r="J4571" i="12"/>
  <c r="E4531" i="12"/>
  <c r="J4523" i="12"/>
  <c r="K4522" i="12"/>
  <c r="L4496" i="12"/>
  <c r="K4495" i="12"/>
  <c r="I4483" i="12"/>
  <c r="D4468" i="12"/>
  <c r="K4396" i="12"/>
  <c r="M3883" i="12"/>
  <c r="L3883" i="12"/>
  <c r="J3470" i="12"/>
  <c r="I3470" i="12"/>
  <c r="K3470" i="12"/>
  <c r="J3328" i="12"/>
  <c r="I3328" i="12"/>
  <c r="L3328" i="12"/>
  <c r="D4153" i="12"/>
  <c r="L4123" i="12"/>
  <c r="J4121" i="12"/>
  <c r="I4103" i="12"/>
  <c r="L4102" i="12"/>
  <c r="D4096" i="12"/>
  <c r="E4095" i="12"/>
  <c r="M4059" i="12"/>
  <c r="K4053" i="12"/>
  <c r="J4042" i="12"/>
  <c r="M4039" i="12"/>
  <c r="J4022" i="12"/>
  <c r="E3989" i="12"/>
  <c r="D3978" i="12"/>
  <c r="I3969" i="12"/>
  <c r="K3933" i="12"/>
  <c r="J3932" i="12"/>
  <c r="E3876" i="12"/>
  <c r="J3869" i="12"/>
  <c r="I3868" i="12"/>
  <c r="D3849" i="12"/>
  <c r="K3833" i="12"/>
  <c r="L3832" i="12"/>
  <c r="J3755" i="12"/>
  <c r="I3727" i="12"/>
  <c r="J3719" i="12"/>
  <c r="M3667" i="12"/>
  <c r="L3639" i="12"/>
  <c r="L3637" i="12"/>
  <c r="L3621" i="12"/>
  <c r="I3619" i="12"/>
  <c r="I3608" i="12"/>
  <c r="E3567" i="12"/>
  <c r="M3561" i="12"/>
  <c r="K3525" i="12"/>
  <c r="K3522" i="12"/>
  <c r="J3517" i="12"/>
  <c r="M3506" i="12"/>
  <c r="M3493" i="12"/>
  <c r="M3487" i="12"/>
  <c r="M3486" i="12"/>
  <c r="L3473" i="12"/>
  <c r="M3461" i="12"/>
  <c r="D3397" i="12"/>
  <c r="I3332" i="12"/>
  <c r="E3299" i="12"/>
  <c r="E3296" i="12"/>
  <c r="J3267" i="12"/>
  <c r="J3264" i="12"/>
  <c r="E3248" i="12"/>
  <c r="D3194" i="12"/>
  <c r="E3191" i="12"/>
  <c r="I3161" i="12"/>
  <c r="L3160" i="12"/>
  <c r="J3159" i="12"/>
  <c r="K3148" i="12"/>
  <c r="K3113" i="12"/>
  <c r="J3111" i="12"/>
  <c r="D3070" i="12"/>
  <c r="E3069" i="12"/>
  <c r="E3044" i="12"/>
  <c r="E3029" i="12"/>
  <c r="E3028" i="12"/>
  <c r="D3026" i="12"/>
  <c r="M3406" i="12"/>
  <c r="M3044" i="12"/>
  <c r="L4424" i="12"/>
  <c r="L4423" i="12"/>
  <c r="K4388" i="12"/>
  <c r="L4371" i="12"/>
  <c r="D4355" i="12"/>
  <c r="E4354" i="12"/>
  <c r="J4316" i="12"/>
  <c r="J4315" i="12"/>
  <c r="I4208" i="12"/>
  <c r="K4199" i="12"/>
  <c r="I4192" i="12"/>
  <c r="M4189" i="12"/>
  <c r="M4188" i="12"/>
  <c r="J4184" i="12"/>
  <c r="D4173" i="12"/>
  <c r="K4164" i="12"/>
  <c r="K4159" i="12"/>
  <c r="K4156" i="12"/>
  <c r="M4153" i="12"/>
  <c r="I4079" i="12"/>
  <c r="K4077" i="12"/>
  <c r="J4065" i="12"/>
  <c r="E4043" i="12"/>
  <c r="E4041" i="12"/>
  <c r="J4013" i="12"/>
  <c r="K4005" i="12"/>
  <c r="L3993" i="12"/>
  <c r="L3975" i="12"/>
  <c r="I3937" i="12"/>
  <c r="M3926" i="12"/>
  <c r="J3913" i="12"/>
  <c r="J3910" i="12"/>
  <c r="M3909" i="12"/>
  <c r="M3890" i="12"/>
  <c r="D3883" i="12"/>
  <c r="L3877" i="12"/>
  <c r="L3860" i="12"/>
  <c r="L3856" i="12"/>
  <c r="J3845" i="12"/>
  <c r="J3790" i="12"/>
  <c r="L3788" i="12"/>
  <c r="J3787" i="12"/>
  <c r="K3781" i="12"/>
  <c r="L3699" i="12"/>
  <c r="L3679" i="12"/>
  <c r="I3645" i="12"/>
  <c r="J3644" i="12"/>
  <c r="L3643" i="12"/>
  <c r="D3618" i="12"/>
  <c r="K3601" i="12"/>
  <c r="D3572" i="12"/>
  <c r="E3571" i="12"/>
  <c r="D3550" i="12"/>
  <c r="D3494" i="12"/>
  <c r="J3493" i="12"/>
  <c r="J3479" i="12"/>
  <c r="L3438" i="12"/>
  <c r="E3424" i="12"/>
  <c r="D3421" i="12"/>
  <c r="E3420" i="12"/>
  <c r="J3409" i="12"/>
  <c r="L3406" i="12"/>
  <c r="J3380" i="12"/>
  <c r="J3322" i="12"/>
  <c r="L3308" i="12"/>
  <c r="J3307" i="12"/>
  <c r="K3258" i="12"/>
  <c r="L3178" i="12"/>
  <c r="L3177" i="12"/>
  <c r="K3153" i="12"/>
  <c r="K3152" i="12"/>
  <c r="K3133" i="12"/>
  <c r="D3100" i="12"/>
  <c r="M3072" i="12"/>
  <c r="K3044" i="12"/>
  <c r="M4248" i="12"/>
  <c r="M4197" i="12"/>
  <c r="I4191" i="12"/>
  <c r="I4168" i="12"/>
  <c r="M4161" i="12"/>
  <c r="I4155" i="12"/>
  <c r="L4153" i="12"/>
  <c r="I4133" i="12"/>
  <c r="J3993" i="12"/>
  <c r="M3991" i="12"/>
  <c r="M3987" i="12"/>
  <c r="K3926" i="12"/>
  <c r="I3916" i="12"/>
  <c r="L3915" i="12"/>
  <c r="L3909" i="12"/>
  <c r="J3908" i="12"/>
  <c r="J3897" i="12"/>
  <c r="M3893" i="12"/>
  <c r="I3876" i="12"/>
  <c r="K3860" i="12"/>
  <c r="L3858" i="12"/>
  <c r="I3796" i="12"/>
  <c r="J3795" i="12"/>
  <c r="L3794" i="12"/>
  <c r="J3783" i="12"/>
  <c r="J3781" i="12"/>
  <c r="M3780" i="12"/>
  <c r="K3776" i="12"/>
  <c r="K3679" i="12"/>
  <c r="I3601" i="12"/>
  <c r="M3582" i="12"/>
  <c r="I3481" i="12"/>
  <c r="K3449" i="12"/>
  <c r="K3438" i="12"/>
  <c r="M3415" i="12"/>
  <c r="K3406" i="12"/>
  <c r="J3342" i="12"/>
  <c r="M3340" i="12"/>
  <c r="E3311" i="12"/>
  <c r="J3299" i="12"/>
  <c r="I3296" i="12"/>
  <c r="D3255" i="12"/>
  <c r="I3248" i="12"/>
  <c r="M3246" i="12"/>
  <c r="D3227" i="12"/>
  <c r="L3192" i="12"/>
  <c r="D3092" i="12"/>
  <c r="J3086" i="12"/>
  <c r="M3085" i="12"/>
  <c r="M3084" i="12"/>
  <c r="D3080" i="12"/>
  <c r="J3072" i="12"/>
  <c r="L3067" i="12"/>
  <c r="L3048" i="12"/>
  <c r="L3047" i="12"/>
  <c r="I3044" i="12"/>
  <c r="E3037" i="12"/>
  <c r="M3029" i="12"/>
  <c r="K3016" i="12"/>
  <c r="L3015" i="12"/>
  <c r="K4404" i="12"/>
  <c r="I4403" i="12"/>
  <c r="D4386" i="12"/>
  <c r="E4385" i="12"/>
  <c r="D4384" i="12"/>
  <c r="D4364" i="12"/>
  <c r="D4363" i="12"/>
  <c r="E4362" i="12"/>
  <c r="D4318" i="12"/>
  <c r="D4308" i="12"/>
  <c r="M4288" i="12"/>
  <c r="K4248" i="12"/>
  <c r="D4223" i="12"/>
  <c r="D4219" i="12"/>
  <c r="I3993" i="12"/>
  <c r="I3991" i="12"/>
  <c r="L3962" i="12"/>
  <c r="M3918" i="12"/>
  <c r="J3893" i="12"/>
  <c r="K3875" i="12"/>
  <c r="I3860" i="12"/>
  <c r="K3800" i="12"/>
  <c r="L3798" i="12"/>
  <c r="J3776" i="12"/>
  <c r="J3748" i="12"/>
  <c r="J3747" i="12"/>
  <c r="D3743" i="12"/>
  <c r="D3742" i="12"/>
  <c r="I3679" i="12"/>
  <c r="E3667" i="12"/>
  <c r="L3633" i="12"/>
  <c r="J3632" i="12"/>
  <c r="M3630" i="12"/>
  <c r="I3449" i="12"/>
  <c r="J3415" i="12"/>
  <c r="M3161" i="12"/>
  <c r="K3161" i="12"/>
  <c r="L4301" i="12"/>
  <c r="D4192" i="12"/>
  <c r="D4188" i="12"/>
  <c r="D4156" i="12"/>
  <c r="L4103" i="12"/>
  <c r="E4077" i="12"/>
  <c r="D4005" i="12"/>
  <c r="J3969" i="12"/>
  <c r="D3913" i="12"/>
  <c r="E3898" i="12"/>
  <c r="D3895" i="12"/>
  <c r="D3784" i="12"/>
  <c r="J3727" i="12"/>
  <c r="D3556" i="12"/>
  <c r="E3555" i="12"/>
  <c r="K3517" i="12"/>
  <c r="E3380" i="12"/>
  <c r="J3161" i="12"/>
  <c r="D3042" i="12"/>
  <c r="E3013" i="12"/>
  <c r="I4348" i="12"/>
  <c r="M4348" i="12"/>
  <c r="K4277" i="12"/>
  <c r="L4277" i="12"/>
  <c r="L4953" i="12"/>
  <c r="J4943" i="12"/>
  <c r="D4936" i="12"/>
  <c r="E4934" i="12"/>
  <c r="E4926" i="12"/>
  <c r="E4922" i="12"/>
  <c r="I4921" i="12"/>
  <c r="J4897" i="12"/>
  <c r="L4894" i="12"/>
  <c r="J4891" i="12"/>
  <c r="M4890" i="12"/>
  <c r="K4866" i="12"/>
  <c r="M4863" i="12"/>
  <c r="J4859" i="12"/>
  <c r="K4857" i="12"/>
  <c r="K4853" i="12"/>
  <c r="M4834" i="12"/>
  <c r="K4830" i="12"/>
  <c r="J4829" i="12"/>
  <c r="K4821" i="12"/>
  <c r="K4806" i="12"/>
  <c r="J4785" i="12"/>
  <c r="M4779" i="12"/>
  <c r="J4774" i="12"/>
  <c r="K4762" i="12"/>
  <c r="I4753" i="12"/>
  <c r="D4736" i="12"/>
  <c r="D4731" i="12"/>
  <c r="D4726" i="12"/>
  <c r="J4688" i="12"/>
  <c r="K4680" i="12"/>
  <c r="L4677" i="12"/>
  <c r="D4657" i="12"/>
  <c r="J4647" i="12"/>
  <c r="I4643" i="12"/>
  <c r="J4640" i="12"/>
  <c r="M4639" i="12"/>
  <c r="D4625" i="12"/>
  <c r="D4624" i="12"/>
  <c r="L4613" i="12"/>
  <c r="D4609" i="12"/>
  <c r="M4599" i="12"/>
  <c r="J4595" i="12"/>
  <c r="K4531" i="12"/>
  <c r="J4528" i="12"/>
  <c r="K4526" i="12"/>
  <c r="M4523" i="12"/>
  <c r="I4507" i="12"/>
  <c r="J4503" i="12"/>
  <c r="J4483" i="12"/>
  <c r="E4464" i="12"/>
  <c r="L4437" i="12"/>
  <c r="D4428" i="12"/>
  <c r="D4427" i="12"/>
  <c r="M4414" i="12"/>
  <c r="I4361" i="12"/>
  <c r="K4361" i="12"/>
  <c r="D4339" i="12"/>
  <c r="E4304" i="12"/>
  <c r="D4304" i="12"/>
  <c r="I4294" i="12"/>
  <c r="M4294" i="12"/>
  <c r="I4276" i="12"/>
  <c r="M4276" i="12"/>
  <c r="D4167" i="12"/>
  <c r="E4167" i="12"/>
  <c r="J4029" i="12"/>
  <c r="I4029" i="12"/>
  <c r="I3950" i="12"/>
  <c r="M3950" i="12"/>
  <c r="I3942" i="12"/>
  <c r="J3942" i="12"/>
  <c r="L3942" i="12"/>
  <c r="M3942" i="12"/>
  <c r="D4824" i="12"/>
  <c r="E4822" i="12"/>
  <c r="J4801" i="12"/>
  <c r="K4794" i="12"/>
  <c r="E4766" i="12"/>
  <c r="E4668" i="12"/>
  <c r="L4609" i="12"/>
  <c r="D4596" i="12"/>
  <c r="E4593" i="12"/>
  <c r="E4592" i="12"/>
  <c r="E4591" i="12"/>
  <c r="K4571" i="12"/>
  <c r="M4567" i="12"/>
  <c r="K4518" i="12"/>
  <c r="D4508" i="12"/>
  <c r="D4504" i="12"/>
  <c r="D4500" i="12"/>
  <c r="M4460" i="12"/>
  <c r="M4455" i="12"/>
  <c r="E4383" i="12"/>
  <c r="D4383" i="12"/>
  <c r="M4373" i="12"/>
  <c r="D4255" i="12"/>
  <c r="E4221" i="12"/>
  <c r="D4221" i="12"/>
  <c r="E4204" i="12"/>
  <c r="D4204" i="12"/>
  <c r="K4115" i="12"/>
  <c r="I4115" i="12"/>
  <c r="J4115" i="12"/>
  <c r="M4115" i="12"/>
  <c r="D4019" i="12"/>
  <c r="E4019" i="12"/>
  <c r="K3952" i="12"/>
  <c r="I3952" i="12"/>
  <c r="K3870" i="12"/>
  <c r="J3870" i="12"/>
  <c r="E3454" i="12"/>
  <c r="D3454" i="12"/>
  <c r="L3426" i="12"/>
  <c r="M3426" i="12"/>
  <c r="I4383" i="12"/>
  <c r="J4383" i="12"/>
  <c r="L4993" i="12"/>
  <c r="E4954" i="12"/>
  <c r="L4949" i="12"/>
  <c r="M4464" i="12"/>
  <c r="K4458" i="12"/>
  <c r="M4429" i="12"/>
  <c r="I4416" i="12"/>
  <c r="J4416" i="12"/>
  <c r="L4046" i="12"/>
  <c r="J4046" i="12"/>
  <c r="K4046" i="12"/>
  <c r="D4045" i="12"/>
  <c r="E4045" i="12"/>
  <c r="E4031" i="12"/>
  <c r="D4031" i="12"/>
  <c r="I3905" i="12"/>
  <c r="J3905" i="12"/>
  <c r="K3905" i="12"/>
  <c r="L3905" i="12"/>
  <c r="M3905" i="12"/>
  <c r="I4321" i="12"/>
  <c r="M4321" i="12"/>
  <c r="L4030" i="12"/>
  <c r="K4030" i="12"/>
  <c r="J4975" i="12"/>
  <c r="L4934" i="12"/>
  <c r="I4929" i="12"/>
  <c r="J4926" i="12"/>
  <c r="L4923" i="12"/>
  <c r="M4914" i="12"/>
  <c r="L4911" i="12"/>
  <c r="L4909" i="12"/>
  <c r="J4906" i="12"/>
  <c r="L4902" i="12"/>
  <c r="D4896" i="12"/>
  <c r="E4866" i="12"/>
  <c r="D4852" i="12"/>
  <c r="D4804" i="12"/>
  <c r="E4803" i="12"/>
  <c r="E4802" i="12"/>
  <c r="D4784" i="12"/>
  <c r="D4772" i="12"/>
  <c r="M4754" i="12"/>
  <c r="M4747" i="12"/>
  <c r="K4746" i="12"/>
  <c r="K4742" i="12"/>
  <c r="K4720" i="12"/>
  <c r="J4701" i="12"/>
  <c r="D4682" i="12"/>
  <c r="L4671" i="12"/>
  <c r="M4655" i="12"/>
  <c r="D4612" i="12"/>
  <c r="E4604" i="12"/>
  <c r="M4580" i="12"/>
  <c r="I4571" i="12"/>
  <c r="I4553" i="12"/>
  <c r="D4545" i="12"/>
  <c r="E4544" i="12"/>
  <c r="L4536" i="12"/>
  <c r="E4528" i="12"/>
  <c r="E4511" i="12"/>
  <c r="E4507" i="12"/>
  <c r="E4503" i="12"/>
  <c r="M4492" i="12"/>
  <c r="J4464" i="12"/>
  <c r="I4458" i="12"/>
  <c r="K4455" i="12"/>
  <c r="D4437" i="12"/>
  <c r="E4437" i="12"/>
  <c r="I4428" i="12"/>
  <c r="K4408" i="12"/>
  <c r="M4358" i="12"/>
  <c r="L4341" i="12"/>
  <c r="E4335" i="12"/>
  <c r="D4335" i="12"/>
  <c r="D4334" i="12"/>
  <c r="E4279" i="12"/>
  <c r="D4279" i="12"/>
  <c r="D4175" i="12"/>
  <c r="E4175" i="12"/>
  <c r="I4033" i="12"/>
  <c r="K4033" i="12"/>
  <c r="L4033" i="12"/>
  <c r="K4025" i="12"/>
  <c r="L4025" i="12"/>
  <c r="L3994" i="12"/>
  <c r="J3994" i="12"/>
  <c r="K3985" i="12"/>
  <c r="J3985" i="12"/>
  <c r="I3954" i="12"/>
  <c r="J3954" i="12"/>
  <c r="L3954" i="12"/>
  <c r="E3953" i="12"/>
  <c r="D3953" i="12"/>
  <c r="E3945" i="12"/>
  <c r="D3945" i="12"/>
  <c r="E4276" i="12"/>
  <c r="D4276" i="12"/>
  <c r="I3728" i="12"/>
  <c r="L3728" i="12"/>
  <c r="M3728" i="12"/>
  <c r="J3728" i="12"/>
  <c r="E4998" i="12"/>
  <c r="D4996" i="12"/>
  <c r="I4993" i="12"/>
  <c r="J4923" i="12"/>
  <c r="L4921" i="12"/>
  <c r="M4897" i="12"/>
  <c r="M4882" i="12"/>
  <c r="M4846" i="12"/>
  <c r="L4754" i="12"/>
  <c r="L4739" i="12"/>
  <c r="K4730" i="12"/>
  <c r="K4671" i="12"/>
  <c r="L4655" i="12"/>
  <c r="L4652" i="12"/>
  <c r="M4635" i="12"/>
  <c r="L4587" i="12"/>
  <c r="M4483" i="12"/>
  <c r="E4443" i="12"/>
  <c r="D4443" i="12"/>
  <c r="I4364" i="12"/>
  <c r="M4364" i="12"/>
  <c r="L4345" i="12"/>
  <c r="K4340" i="12"/>
  <c r="E4336" i="12"/>
  <c r="D4336" i="12"/>
  <c r="D4280" i="12"/>
  <c r="E4280" i="12"/>
  <c r="M4151" i="12"/>
  <c r="I4151" i="12"/>
  <c r="J4151" i="12"/>
  <c r="K4151" i="12"/>
  <c r="L4026" i="12"/>
  <c r="J4026" i="12"/>
  <c r="K3811" i="12"/>
  <c r="J3811" i="12"/>
  <c r="I3375" i="12"/>
  <c r="K3375" i="12"/>
  <c r="M3375" i="12"/>
  <c r="M4999" i="12"/>
  <c r="L4897" i="12"/>
  <c r="K4882" i="12"/>
  <c r="K4846" i="12"/>
  <c r="L4786" i="12"/>
  <c r="M4763" i="12"/>
  <c r="L4758" i="12"/>
  <c r="K4754" i="12"/>
  <c r="K4739" i="12"/>
  <c r="J4730" i="12"/>
  <c r="L4712" i="12"/>
  <c r="J4671" i="12"/>
  <c r="K4655" i="12"/>
  <c r="K4652" i="12"/>
  <c r="L4647" i="12"/>
  <c r="L4635" i="12"/>
  <c r="K4587" i="12"/>
  <c r="M4531" i="12"/>
  <c r="L4491" i="12"/>
  <c r="L4487" i="12"/>
  <c r="M4479" i="12"/>
  <c r="K4474" i="12"/>
  <c r="M4472" i="12"/>
  <c r="I4429" i="12"/>
  <c r="L4429" i="12"/>
  <c r="K4424" i="12"/>
  <c r="M4424" i="12"/>
  <c r="I4376" i="12"/>
  <c r="K4376" i="12"/>
  <c r="I4372" i="12"/>
  <c r="L4372" i="12"/>
  <c r="D4302" i="12"/>
  <c r="E4302" i="12"/>
  <c r="J4292" i="12"/>
  <c r="K4292" i="12"/>
  <c r="M4292" i="12"/>
  <c r="I4292" i="12"/>
  <c r="E4165" i="12"/>
  <c r="D4165" i="12"/>
  <c r="K4027" i="12"/>
  <c r="J4027" i="12"/>
  <c r="L4027" i="12"/>
  <c r="D3995" i="12"/>
  <c r="E3995" i="12"/>
  <c r="K3977" i="12"/>
  <c r="J3977" i="12"/>
  <c r="D3947" i="12"/>
  <c r="E3947" i="12"/>
  <c r="L3848" i="12"/>
  <c r="I3848" i="12"/>
  <c r="K3848" i="12"/>
  <c r="K3812" i="12"/>
  <c r="M3812" i="12"/>
  <c r="I3629" i="12"/>
  <c r="K3629" i="12"/>
  <c r="L3629" i="12"/>
  <c r="M3629" i="12"/>
  <c r="J3629" i="12"/>
  <c r="E4203" i="12"/>
  <c r="D4203" i="12"/>
  <c r="L4172" i="12"/>
  <c r="J4172" i="12"/>
  <c r="M4172" i="12"/>
  <c r="I3715" i="12"/>
  <c r="K3715" i="12"/>
  <c r="J4999" i="12"/>
  <c r="L4998" i="12"/>
  <c r="D4948" i="12"/>
  <c r="L4941" i="12"/>
  <c r="D4928" i="12"/>
  <c r="J4921" i="12"/>
  <c r="J4901" i="12"/>
  <c r="L4891" i="12"/>
  <c r="J4882" i="12"/>
  <c r="M4859" i="12"/>
  <c r="K4849" i="12"/>
  <c r="I4846" i="12"/>
  <c r="J4827" i="12"/>
  <c r="J4826" i="12"/>
  <c r="J4825" i="12"/>
  <c r="M4819" i="12"/>
  <c r="L4806" i="12"/>
  <c r="I4786" i="12"/>
  <c r="K4785" i="12"/>
  <c r="J4763" i="12"/>
  <c r="J4758" i="12"/>
  <c r="J4754" i="12"/>
  <c r="K4753" i="12"/>
  <c r="I4739" i="12"/>
  <c r="I4730" i="12"/>
  <c r="J4729" i="12"/>
  <c r="I4671" i="12"/>
  <c r="J4655" i="12"/>
  <c r="J4652" i="12"/>
  <c r="K4650" i="12"/>
  <c r="K4647" i="12"/>
  <c r="I4635" i="12"/>
  <c r="K4590" i="12"/>
  <c r="J4587" i="12"/>
  <c r="E4575" i="12"/>
  <c r="E4560" i="12"/>
  <c r="D4556" i="12"/>
  <c r="L4531" i="12"/>
  <c r="M4499" i="12"/>
  <c r="I4491" i="12"/>
  <c r="K4490" i="12"/>
  <c r="J4487" i="12"/>
  <c r="L4479" i="12"/>
  <c r="I4474" i="12"/>
  <c r="L4471" i="12"/>
  <c r="J4439" i="12"/>
  <c r="M4416" i="12"/>
  <c r="L4398" i="12"/>
  <c r="M4382" i="12"/>
  <c r="K4348" i="12"/>
  <c r="I4341" i="12"/>
  <c r="K4341" i="12"/>
  <c r="M4341" i="12"/>
  <c r="K4321" i="12"/>
  <c r="I4320" i="12"/>
  <c r="I4304" i="12"/>
  <c r="M4304" i="12"/>
  <c r="J4304" i="12"/>
  <c r="E4303" i="12"/>
  <c r="D4303" i="12"/>
  <c r="M4252" i="12"/>
  <c r="J4252" i="12"/>
  <c r="K4252" i="12"/>
  <c r="I4252" i="12"/>
  <c r="M4251" i="12"/>
  <c r="L4251" i="12"/>
  <c r="I4220" i="12"/>
  <c r="D3987" i="12"/>
  <c r="E3987" i="12"/>
  <c r="I3957" i="12"/>
  <c r="J3957" i="12"/>
  <c r="K3957" i="12"/>
  <c r="M3957" i="12"/>
  <c r="K3941" i="12"/>
  <c r="L3941" i="12"/>
  <c r="I3813" i="12"/>
  <c r="J3813" i="12"/>
  <c r="K3813" i="12"/>
  <c r="L3813" i="12"/>
  <c r="E3649" i="12"/>
  <c r="D3649" i="12"/>
  <c r="M4404" i="12"/>
  <c r="M4380" i="12"/>
  <c r="D4285" i="12"/>
  <c r="L4248" i="12"/>
  <c r="D4229" i="12"/>
  <c r="L4221" i="12"/>
  <c r="I4207" i="12"/>
  <c r="D4193" i="12"/>
  <c r="J4192" i="12"/>
  <c r="D4187" i="12"/>
  <c r="E4185" i="12"/>
  <c r="L4164" i="12"/>
  <c r="K4140" i="12"/>
  <c r="K4137" i="12"/>
  <c r="I4135" i="12"/>
  <c r="M4129" i="12"/>
  <c r="J4114" i="12"/>
  <c r="L4112" i="12"/>
  <c r="K4110" i="12"/>
  <c r="M4109" i="12"/>
  <c r="K4108" i="12"/>
  <c r="L4107" i="12"/>
  <c r="M4103" i="12"/>
  <c r="M4087" i="12"/>
  <c r="L4085" i="12"/>
  <c r="L4067" i="12"/>
  <c r="J4066" i="12"/>
  <c r="M4065" i="12"/>
  <c r="E4057" i="12"/>
  <c r="L4043" i="12"/>
  <c r="J3983" i="12"/>
  <c r="I3973" i="12"/>
  <c r="M3969" i="12"/>
  <c r="E3931" i="12"/>
  <c r="K3910" i="12"/>
  <c r="J3876" i="12"/>
  <c r="M3872" i="12"/>
  <c r="K3869" i="12"/>
  <c r="L3866" i="12"/>
  <c r="J3864" i="12"/>
  <c r="L3862" i="12"/>
  <c r="I3844" i="12"/>
  <c r="L3843" i="12"/>
  <c r="J3828" i="12"/>
  <c r="J3826" i="12"/>
  <c r="J3824" i="12"/>
  <c r="J3823" i="12"/>
  <c r="L3822" i="12"/>
  <c r="D3816" i="12"/>
  <c r="E3814" i="12"/>
  <c r="K3809" i="12"/>
  <c r="K3808" i="12"/>
  <c r="I3802" i="12"/>
  <c r="M3790" i="12"/>
  <c r="J3613" i="12"/>
  <c r="M3613" i="12"/>
  <c r="D3588" i="12"/>
  <c r="I3541" i="12"/>
  <c r="J3541" i="12"/>
  <c r="I3418" i="12"/>
  <c r="K3418" i="12"/>
  <c r="L3418" i="12"/>
  <c r="K3750" i="12"/>
  <c r="L3750" i="12"/>
  <c r="J3707" i="12"/>
  <c r="I3707" i="12"/>
  <c r="K3703" i="12"/>
  <c r="I3703" i="12"/>
  <c r="J3703" i="12"/>
  <c r="E3486" i="12"/>
  <c r="D3486" i="12"/>
  <c r="E3460" i="12"/>
  <c r="D3460" i="12"/>
  <c r="I3427" i="12"/>
  <c r="J3427" i="12"/>
  <c r="M3427" i="12"/>
  <c r="L3366" i="12"/>
  <c r="I3366" i="12"/>
  <c r="D4172" i="12"/>
  <c r="D4130" i="12"/>
  <c r="E4115" i="12"/>
  <c r="E4113" i="12"/>
  <c r="D4104" i="12"/>
  <c r="M4101" i="12"/>
  <c r="J4091" i="12"/>
  <c r="I4077" i="12"/>
  <c r="K4073" i="12"/>
  <c r="L4071" i="12"/>
  <c r="D3985" i="12"/>
  <c r="E3982" i="12"/>
  <c r="D3971" i="12"/>
  <c r="D3970" i="12"/>
  <c r="D3957" i="12"/>
  <c r="D3842" i="12"/>
  <c r="D3811" i="12"/>
  <c r="E3810" i="12"/>
  <c r="K3798" i="12"/>
  <c r="I3798" i="12"/>
  <c r="J3798" i="12"/>
  <c r="M3796" i="12"/>
  <c r="K3796" i="12"/>
  <c r="L3796" i="12"/>
  <c r="E3786" i="12"/>
  <c r="D3786" i="12"/>
  <c r="K3767" i="12"/>
  <c r="J3767" i="12"/>
  <c r="M3756" i="12"/>
  <c r="K3756" i="12"/>
  <c r="L3756" i="12"/>
  <c r="D3751" i="12"/>
  <c r="J3735" i="12"/>
  <c r="M3735" i="12"/>
  <c r="I3732" i="12"/>
  <c r="K3732" i="12"/>
  <c r="M3732" i="12"/>
  <c r="K3685" i="12"/>
  <c r="I3685" i="12"/>
  <c r="K3623" i="12"/>
  <c r="I3623" i="12"/>
  <c r="D3615" i="12"/>
  <c r="E3615" i="12"/>
  <c r="K3545" i="12"/>
  <c r="M3545" i="12"/>
  <c r="K3509" i="12"/>
  <c r="I3509" i="12"/>
  <c r="J3509" i="12"/>
  <c r="J3464" i="12"/>
  <c r="I3464" i="12"/>
  <c r="E3461" i="12"/>
  <c r="D3461" i="12"/>
  <c r="I3367" i="12"/>
  <c r="J3367" i="12"/>
  <c r="L3367" i="12"/>
  <c r="L3358" i="12"/>
  <c r="I3358" i="12"/>
  <c r="J3358" i="12"/>
  <c r="J4317" i="12"/>
  <c r="M4310" i="12"/>
  <c r="J4301" i="12"/>
  <c r="I4300" i="12"/>
  <c r="J4270" i="12"/>
  <c r="K4268" i="12"/>
  <c r="D4207" i="12"/>
  <c r="I4187" i="12"/>
  <c r="M4185" i="12"/>
  <c r="I4163" i="12"/>
  <c r="L4161" i="12"/>
  <c r="E4135" i="12"/>
  <c r="D4132" i="12"/>
  <c r="K4117" i="12"/>
  <c r="D4106" i="12"/>
  <c r="M4019" i="12"/>
  <c r="I4005" i="12"/>
  <c r="J3991" i="12"/>
  <c r="D3973" i="12"/>
  <c r="K3965" i="12"/>
  <c r="L3937" i="12"/>
  <c r="I3932" i="12"/>
  <c r="L3931" i="12"/>
  <c r="L3918" i="12"/>
  <c r="J3917" i="12"/>
  <c r="J3916" i="12"/>
  <c r="K3913" i="12"/>
  <c r="K3893" i="12"/>
  <c r="J3890" i="12"/>
  <c r="E3886" i="12"/>
  <c r="I3858" i="12"/>
  <c r="I3836" i="12"/>
  <c r="D3830" i="12"/>
  <c r="L3817" i="12"/>
  <c r="E3790" i="12"/>
  <c r="D3790" i="12"/>
  <c r="J3778" i="12"/>
  <c r="L3778" i="12"/>
  <c r="D3771" i="12"/>
  <c r="D3770" i="12"/>
  <c r="J3768" i="12"/>
  <c r="M3768" i="12"/>
  <c r="K3758" i="12"/>
  <c r="M3758" i="12"/>
  <c r="D3747" i="12"/>
  <c r="E3746" i="12"/>
  <c r="E3733" i="12"/>
  <c r="K3637" i="12"/>
  <c r="I3637" i="12"/>
  <c r="J3637" i="12"/>
  <c r="E3582" i="12"/>
  <c r="D3582" i="12"/>
  <c r="I3557" i="12"/>
  <c r="L3557" i="12"/>
  <c r="I3546" i="12"/>
  <c r="L3546" i="12"/>
  <c r="K3477" i="12"/>
  <c r="I3477" i="12"/>
  <c r="J3477" i="12"/>
  <c r="E3476" i="12"/>
  <c r="D3476" i="12"/>
  <c r="K3465" i="12"/>
  <c r="I3465" i="12"/>
  <c r="J3465" i="12"/>
  <c r="M4286" i="12"/>
  <c r="I4270" i="12"/>
  <c r="I4268" i="12"/>
  <c r="M4192" i="12"/>
  <c r="M3973" i="12"/>
  <c r="J3838" i="12"/>
  <c r="J3815" i="12"/>
  <c r="D3794" i="12"/>
  <c r="E3794" i="12"/>
  <c r="K3780" i="12"/>
  <c r="J3780" i="12"/>
  <c r="L3780" i="12"/>
  <c r="E3768" i="12"/>
  <c r="D3768" i="12"/>
  <c r="I3737" i="12"/>
  <c r="K3737" i="12"/>
  <c r="I3625" i="12"/>
  <c r="L3625" i="12"/>
  <c r="M3585" i="12"/>
  <c r="J3585" i="12"/>
  <c r="K3585" i="12"/>
  <c r="I3558" i="12"/>
  <c r="K3558" i="12"/>
  <c r="I3547" i="12"/>
  <c r="J3547" i="12"/>
  <c r="J3405" i="12"/>
  <c r="I3405" i="12"/>
  <c r="M3405" i="12"/>
  <c r="I3371" i="12"/>
  <c r="J3371" i="12"/>
  <c r="K3371" i="12"/>
  <c r="D4264" i="12"/>
  <c r="D4239" i="12"/>
  <c r="L4207" i="12"/>
  <c r="L4192" i="12"/>
  <c r="E4181" i="12"/>
  <c r="E4177" i="12"/>
  <c r="E4145" i="12"/>
  <c r="M4137" i="12"/>
  <c r="E4129" i="12"/>
  <c r="E4125" i="12"/>
  <c r="D4102" i="12"/>
  <c r="D4100" i="12"/>
  <c r="D4094" i="12"/>
  <c r="E4085" i="12"/>
  <c r="E4083" i="12"/>
  <c r="E4075" i="12"/>
  <c r="E4065" i="12"/>
  <c r="E4059" i="12"/>
  <c r="L4047" i="12"/>
  <c r="J4023" i="12"/>
  <c r="E3993" i="12"/>
  <c r="J3990" i="12"/>
  <c r="I3987" i="12"/>
  <c r="L3973" i="12"/>
  <c r="E3967" i="12"/>
  <c r="I3948" i="12"/>
  <c r="L3947" i="12"/>
  <c r="M3910" i="12"/>
  <c r="D3909" i="12"/>
  <c r="D3907" i="12"/>
  <c r="E3906" i="12"/>
  <c r="E3894" i="12"/>
  <c r="M3876" i="12"/>
  <c r="D3860" i="12"/>
  <c r="D3859" i="12"/>
  <c r="M3850" i="12"/>
  <c r="M3844" i="12"/>
  <c r="K3814" i="12"/>
  <c r="I3814" i="12"/>
  <c r="M3802" i="12"/>
  <c r="D3774" i="12"/>
  <c r="M3760" i="12"/>
  <c r="K3760" i="12"/>
  <c r="L3740" i="12"/>
  <c r="I3655" i="12"/>
  <c r="K3655" i="12"/>
  <c r="J3647" i="12"/>
  <c r="I3647" i="12"/>
  <c r="K3647" i="12"/>
  <c r="M3587" i="12"/>
  <c r="J3587" i="12"/>
  <c r="I3559" i="12"/>
  <c r="J3559" i="12"/>
  <c r="D3448" i="12"/>
  <c r="E3448" i="12"/>
  <c r="M3418" i="12"/>
  <c r="M4221" i="12"/>
  <c r="J4207" i="12"/>
  <c r="L4137" i="12"/>
  <c r="J4135" i="12"/>
  <c r="M4043" i="12"/>
  <c r="L3983" i="12"/>
  <c r="K3973" i="12"/>
  <c r="L3910" i="12"/>
  <c r="L3876" i="12"/>
  <c r="M3862" i="12"/>
  <c r="K3844" i="12"/>
  <c r="L3826" i="12"/>
  <c r="L3802" i="12"/>
  <c r="E3760" i="12"/>
  <c r="D3760" i="12"/>
  <c r="K3713" i="12"/>
  <c r="J3713" i="12"/>
  <c r="L3713" i="12"/>
  <c r="M3703" i="12"/>
  <c r="K3681" i="12"/>
  <c r="M3681" i="12"/>
  <c r="I3589" i="12"/>
  <c r="K3589" i="12"/>
  <c r="L3589" i="12"/>
  <c r="M3589" i="12"/>
  <c r="M3549" i="12"/>
  <c r="J3549" i="12"/>
  <c r="K3549" i="12"/>
  <c r="E3548" i="12"/>
  <c r="D3548" i="12"/>
  <c r="E3449" i="12"/>
  <c r="D3449" i="12"/>
  <c r="I3417" i="12"/>
  <c r="L3417" i="12"/>
  <c r="I3373" i="12"/>
  <c r="K3373" i="12"/>
  <c r="J3453" i="12"/>
  <c r="J3451" i="12"/>
  <c r="L3449" i="12"/>
  <c r="J3444" i="12"/>
  <c r="J3443" i="12"/>
  <c r="M3442" i="12"/>
  <c r="K3437" i="12"/>
  <c r="I3425" i="12"/>
  <c r="L3424" i="12"/>
  <c r="I3393" i="12"/>
  <c r="I3389" i="12"/>
  <c r="J3387" i="12"/>
  <c r="D3363" i="12"/>
  <c r="M3354" i="12"/>
  <c r="D3351" i="12"/>
  <c r="K3342" i="12"/>
  <c r="L3332" i="12"/>
  <c r="J3330" i="12"/>
  <c r="M3328" i="12"/>
  <c r="M3322" i="12"/>
  <c r="J3315" i="12"/>
  <c r="J3310" i="12"/>
  <c r="I3298" i="12"/>
  <c r="L3296" i="12"/>
  <c r="L3276" i="12"/>
  <c r="J3275" i="12"/>
  <c r="M3270" i="12"/>
  <c r="I3268" i="12"/>
  <c r="K3267" i="12"/>
  <c r="E3236" i="12"/>
  <c r="K3218" i="12"/>
  <c r="E3210" i="12"/>
  <c r="L3148" i="12"/>
  <c r="I3131" i="12"/>
  <c r="K3129" i="12"/>
  <c r="D3120" i="12"/>
  <c r="M3113" i="12"/>
  <c r="K3109" i="12"/>
  <c r="E3098" i="12"/>
  <c r="I3088" i="12"/>
  <c r="L3087" i="12"/>
  <c r="L3086" i="12"/>
  <c r="I3076" i="12"/>
  <c r="K3072" i="12"/>
  <c r="K3064" i="12"/>
  <c r="I3059" i="12"/>
  <c r="M3053" i="12"/>
  <c r="I3043" i="12"/>
  <c r="M3041" i="12"/>
  <c r="L3040" i="12"/>
  <c r="I3032" i="12"/>
  <c r="I3031" i="12"/>
  <c r="K3027" i="12"/>
  <c r="K3024" i="12"/>
  <c r="J3016" i="12"/>
  <c r="M3352" i="12"/>
  <c r="K3294" i="12"/>
  <c r="M3280" i="12"/>
  <c r="M3274" i="12"/>
  <c r="L3239" i="12"/>
  <c r="K3040" i="12"/>
  <c r="J3024" i="12"/>
  <c r="I3016" i="12"/>
  <c r="M3013" i="12"/>
  <c r="I3661" i="12"/>
  <c r="L3630" i="12"/>
  <c r="I3592" i="12"/>
  <c r="J3575" i="12"/>
  <c r="L3574" i="12"/>
  <c r="L3352" i="12"/>
  <c r="J3294" i="12"/>
  <c r="M3292" i="12"/>
  <c r="L3280" i="12"/>
  <c r="K3274" i="12"/>
  <c r="J3254" i="12"/>
  <c r="K3239" i="12"/>
  <c r="D3219" i="12"/>
  <c r="K3215" i="12"/>
  <c r="L3204" i="12"/>
  <c r="M3190" i="12"/>
  <c r="K3183" i="12"/>
  <c r="K3180" i="12"/>
  <c r="E3166" i="12"/>
  <c r="D3142" i="12"/>
  <c r="E3140" i="12"/>
  <c r="E3138" i="12"/>
  <c r="E3137" i="12"/>
  <c r="E3127" i="12"/>
  <c r="D3124" i="12"/>
  <c r="E3123" i="12"/>
  <c r="E3102" i="12"/>
  <c r="E3090" i="12"/>
  <c r="E3061" i="12"/>
  <c r="I3024" i="12"/>
  <c r="L3023" i="12"/>
  <c r="M3021" i="12"/>
  <c r="M3020" i="12"/>
  <c r="D3009" i="12"/>
  <c r="E3008" i="12"/>
  <c r="D3707" i="12"/>
  <c r="D3706" i="12"/>
  <c r="D3698" i="12"/>
  <c r="D3657" i="12"/>
  <c r="E3655" i="12"/>
  <c r="E3603" i="12"/>
  <c r="L3522" i="12"/>
  <c r="D3502" i="12"/>
  <c r="D3478" i="12"/>
  <c r="L3416" i="12"/>
  <c r="L3412" i="12"/>
  <c r="I3352" i="12"/>
  <c r="I3348" i="12"/>
  <c r="K3347" i="12"/>
  <c r="E3323" i="12"/>
  <c r="J3306" i="12"/>
  <c r="I3294" i="12"/>
  <c r="L3292" i="12"/>
  <c r="J3291" i="12"/>
  <c r="I3280" i="12"/>
  <c r="J3274" i="12"/>
  <c r="E3256" i="12"/>
  <c r="I3254" i="12"/>
  <c r="K3251" i="12"/>
  <c r="L3236" i="12"/>
  <c r="J3215" i="12"/>
  <c r="K3214" i="12"/>
  <c r="J3207" i="12"/>
  <c r="I3204" i="12"/>
  <c r="I3190" i="12"/>
  <c r="K3189" i="12"/>
  <c r="M3186" i="12"/>
  <c r="J3183" i="12"/>
  <c r="J3180" i="12"/>
  <c r="E3172" i="12"/>
  <c r="E3171" i="12"/>
  <c r="E3169" i="12"/>
  <c r="E3150" i="12"/>
  <c r="D3144" i="12"/>
  <c r="D3104" i="12"/>
  <c r="E3065" i="12"/>
  <c r="E3057" i="12"/>
  <c r="D3054" i="12"/>
  <c r="I3023" i="12"/>
  <c r="J3416" i="12"/>
  <c r="J3412" i="12"/>
  <c r="L3400" i="12"/>
  <c r="J3399" i="12"/>
  <c r="D3336" i="12"/>
  <c r="D3335" i="12"/>
  <c r="D3315" i="12"/>
  <c r="E3275" i="12"/>
  <c r="M3258" i="12"/>
  <c r="I3236" i="12"/>
  <c r="I3210" i="12"/>
  <c r="I3188" i="12"/>
  <c r="M3133" i="12"/>
  <c r="D3108" i="12"/>
  <c r="E3106" i="12"/>
  <c r="M3076" i="12"/>
  <c r="E3076" i="12"/>
  <c r="E3056" i="12"/>
  <c r="M3723" i="12"/>
  <c r="K3621" i="12"/>
  <c r="M3597" i="12"/>
  <c r="M3394" i="12"/>
  <c r="M3383" i="12"/>
  <c r="E3339" i="12"/>
  <c r="L3316" i="12"/>
  <c r="E3307" i="12"/>
  <c r="J3258" i="12"/>
  <c r="E3252" i="12"/>
  <c r="E3218" i="12"/>
  <c r="E3212" i="12"/>
  <c r="D3148" i="12"/>
  <c r="J3133" i="12"/>
  <c r="M3088" i="12"/>
  <c r="K3076" i="12"/>
  <c r="L3059" i="12"/>
  <c r="J3048" i="12"/>
  <c r="L3032" i="12"/>
  <c r="L3748" i="12"/>
  <c r="L3723" i="12"/>
  <c r="M3661" i="12"/>
  <c r="J3619" i="12"/>
  <c r="D3609" i="12"/>
  <c r="D3516" i="12"/>
  <c r="K3481" i="12"/>
  <c r="M3479" i="12"/>
  <c r="M3470" i="12"/>
  <c r="K3453" i="12"/>
  <c r="M3449" i="12"/>
  <c r="J3425" i="12"/>
  <c r="L3394" i="12"/>
  <c r="J3393" i="12"/>
  <c r="J3389" i="12"/>
  <c r="M3387" i="12"/>
  <c r="J3383" i="12"/>
  <c r="E3366" i="12"/>
  <c r="D3364" i="12"/>
  <c r="L3324" i="12"/>
  <c r="J3323" i="12"/>
  <c r="M3318" i="12"/>
  <c r="I3316" i="12"/>
  <c r="K3315" i="12"/>
  <c r="K3310" i="12"/>
  <c r="J3298" i="12"/>
  <c r="M3296" i="12"/>
  <c r="E3291" i="12"/>
  <c r="L3268" i="12"/>
  <c r="I3258" i="12"/>
  <c r="K3257" i="12"/>
  <c r="E3239" i="12"/>
  <c r="M3218" i="12"/>
  <c r="E3211" i="12"/>
  <c r="E3207" i="12"/>
  <c r="E3189" i="12"/>
  <c r="I3172" i="12"/>
  <c r="M3169" i="12"/>
  <c r="J3167" i="12"/>
  <c r="M3141" i="12"/>
  <c r="I3133" i="12"/>
  <c r="L3132" i="12"/>
  <c r="M3129" i="12"/>
  <c r="M3126" i="12"/>
  <c r="M3125" i="12"/>
  <c r="E3118" i="12"/>
  <c r="L3088" i="12"/>
  <c r="D3077" i="12"/>
  <c r="K3059" i="12"/>
  <c r="M3057" i="12"/>
  <c r="I3048" i="12"/>
  <c r="K3032" i="12"/>
  <c r="L4981" i="12"/>
  <c r="D4946" i="12"/>
  <c r="K4926" i="12"/>
  <c r="K4890" i="12"/>
  <c r="D4888" i="12"/>
  <c r="L4879" i="12"/>
  <c r="D4868" i="12"/>
  <c r="I4853" i="12"/>
  <c r="M4851" i="12"/>
  <c r="L4846" i="12"/>
  <c r="D4846" i="12"/>
  <c r="M4838" i="12"/>
  <c r="J4834" i="12"/>
  <c r="L4830" i="12"/>
  <c r="D4816" i="12"/>
  <c r="M4794" i="12"/>
  <c r="M4786" i="12"/>
  <c r="M4778" i="12"/>
  <c r="D4774" i="12"/>
  <c r="L4770" i="12"/>
  <c r="M4758" i="12"/>
  <c r="E4755" i="12"/>
  <c r="D4746" i="12"/>
  <c r="J4739" i="12"/>
  <c r="D4735" i="12"/>
  <c r="D4718" i="12"/>
  <c r="M4711" i="12"/>
  <c r="D4711" i="12"/>
  <c r="M4696" i="12"/>
  <c r="E4689" i="12"/>
  <c r="M4659" i="12"/>
  <c r="L4650" i="12"/>
  <c r="J4643" i="12"/>
  <c r="D4636" i="12"/>
  <c r="J4635" i="12"/>
  <c r="K4616" i="12"/>
  <c r="K4595" i="12"/>
  <c r="L4575" i="12"/>
  <c r="D4563" i="12"/>
  <c r="E4563" i="12"/>
  <c r="M4559" i="12"/>
  <c r="I4559" i="12"/>
  <c r="K4559" i="12"/>
  <c r="J4558" i="12"/>
  <c r="K4558" i="12"/>
  <c r="M4547" i="12"/>
  <c r="D4512" i="12"/>
  <c r="M4878" i="12"/>
  <c r="L4838" i="12"/>
  <c r="M4723" i="12"/>
  <c r="L4711" i="12"/>
  <c r="K4696" i="12"/>
  <c r="M4683" i="12"/>
  <c r="M4663" i="12"/>
  <c r="M4648" i="12"/>
  <c r="M4607" i="12"/>
  <c r="M4591" i="12"/>
  <c r="K4575" i="12"/>
  <c r="L4540" i="12"/>
  <c r="K4538" i="12"/>
  <c r="M4933" i="12"/>
  <c r="K4993" i="12"/>
  <c r="L4989" i="12"/>
  <c r="D4984" i="12"/>
  <c r="D4980" i="12"/>
  <c r="E4978" i="12"/>
  <c r="M4973" i="12"/>
  <c r="K4957" i="12"/>
  <c r="L4946" i="12"/>
  <c r="D4938" i="12"/>
  <c r="K4933" i="12"/>
  <c r="M4922" i="12"/>
  <c r="M4919" i="12"/>
  <c r="D4914" i="12"/>
  <c r="E4910" i="12"/>
  <c r="K4894" i="12"/>
  <c r="L4889" i="12"/>
  <c r="D4882" i="12"/>
  <c r="D4880" i="12"/>
  <c r="L4878" i="12"/>
  <c r="L4863" i="12"/>
  <c r="L4859" i="12"/>
  <c r="K4838" i="12"/>
  <c r="M4827" i="12"/>
  <c r="J4819" i="12"/>
  <c r="D4808" i="12"/>
  <c r="J4794" i="12"/>
  <c r="M4790" i="12"/>
  <c r="D4788" i="12"/>
  <c r="J4786" i="12"/>
  <c r="J4778" i="12"/>
  <c r="E4771" i="12"/>
  <c r="J4770" i="12"/>
  <c r="K4769" i="12"/>
  <c r="K4758" i="12"/>
  <c r="J4753" i="12"/>
  <c r="J4747" i="12"/>
  <c r="M4746" i="12"/>
  <c r="M4735" i="12"/>
  <c r="L4723" i="12"/>
  <c r="K4711" i="12"/>
  <c r="E4700" i="12"/>
  <c r="J4693" i="12"/>
  <c r="L4683" i="12"/>
  <c r="K4663" i="12"/>
  <c r="E4660" i="12"/>
  <c r="J4659" i="12"/>
  <c r="L4648" i="12"/>
  <c r="L4636" i="12"/>
  <c r="L4634" i="12"/>
  <c r="J4624" i="12"/>
  <c r="L4622" i="12"/>
  <c r="J4615" i="12"/>
  <c r="E4611" i="12"/>
  <c r="L4607" i="12"/>
  <c r="L4604" i="12"/>
  <c r="D4598" i="12"/>
  <c r="L4591" i="12"/>
  <c r="E4576" i="12"/>
  <c r="I4575" i="12"/>
  <c r="I4573" i="12"/>
  <c r="D4553" i="12"/>
  <c r="D4552" i="12"/>
  <c r="E4552" i="12"/>
  <c r="M4543" i="12"/>
  <c r="I4538" i="12"/>
  <c r="M4946" i="12"/>
  <c r="M4985" i="12"/>
  <c r="K4973" i="12"/>
  <c r="J4957" i="12"/>
  <c r="M4955" i="12"/>
  <c r="K4946" i="12"/>
  <c r="J4933" i="12"/>
  <c r="M4931" i="12"/>
  <c r="L4922" i="12"/>
  <c r="L4919" i="12"/>
  <c r="K4889" i="12"/>
  <c r="K4878" i="12"/>
  <c r="M4842" i="12"/>
  <c r="J4838" i="12"/>
  <c r="K4817" i="12"/>
  <c r="M4811" i="12"/>
  <c r="L4802" i="12"/>
  <c r="L4790" i="12"/>
  <c r="J4769" i="12"/>
  <c r="M4755" i="12"/>
  <c r="M4751" i="12"/>
  <c r="K4723" i="12"/>
  <c r="L4718" i="12"/>
  <c r="J4711" i="12"/>
  <c r="K4683" i="12"/>
  <c r="J4663" i="12"/>
  <c r="I4659" i="12"/>
  <c r="M4657" i="12"/>
  <c r="K4648" i="12"/>
  <c r="K4636" i="12"/>
  <c r="I4634" i="12"/>
  <c r="K4622" i="12"/>
  <c r="K4614" i="12"/>
  <c r="K4607" i="12"/>
  <c r="K4604" i="12"/>
  <c r="K4591" i="12"/>
  <c r="M4587" i="12"/>
  <c r="I4547" i="12"/>
  <c r="J4547" i="12"/>
  <c r="L4547" i="12"/>
  <c r="I4528" i="12"/>
  <c r="L4528" i="12"/>
  <c r="I4524" i="12"/>
  <c r="M4524" i="12"/>
  <c r="M4957" i="12"/>
  <c r="M4997" i="12"/>
  <c r="K4997" i="12"/>
  <c r="E4994" i="12"/>
  <c r="L4985" i="12"/>
  <c r="E4974" i="12"/>
  <c r="I4973" i="12"/>
  <c r="J4971" i="12"/>
  <c r="M4970" i="12"/>
  <c r="I4957" i="12"/>
  <c r="J4955" i="12"/>
  <c r="M4954" i="12"/>
  <c r="J4946" i="12"/>
  <c r="M4943" i="12"/>
  <c r="I4933" i="12"/>
  <c r="L4931" i="12"/>
  <c r="K4922" i="12"/>
  <c r="J4919" i="12"/>
  <c r="L4914" i="12"/>
  <c r="D4906" i="12"/>
  <c r="M4901" i="12"/>
  <c r="M4891" i="12"/>
  <c r="J4889" i="12"/>
  <c r="L4882" i="12"/>
  <c r="J4878" i="12"/>
  <c r="K4877" i="12"/>
  <c r="M4866" i="12"/>
  <c r="D4864" i="12"/>
  <c r="L4842" i="12"/>
  <c r="D4840" i="12"/>
  <c r="J4837" i="12"/>
  <c r="M4835" i="12"/>
  <c r="M4826" i="12"/>
  <c r="J4817" i="12"/>
  <c r="J4811" i="12"/>
  <c r="M4810" i="12"/>
  <c r="E4806" i="12"/>
  <c r="J4802" i="12"/>
  <c r="K4790" i="12"/>
  <c r="D4782" i="12"/>
  <c r="J4777" i="12"/>
  <c r="I4769" i="12"/>
  <c r="M4767" i="12"/>
  <c r="E4762" i="12"/>
  <c r="D4760" i="12"/>
  <c r="K4757" i="12"/>
  <c r="J4755" i="12"/>
  <c r="D4754" i="12"/>
  <c r="J4751" i="12"/>
  <c r="E4729" i="12"/>
  <c r="D4728" i="12"/>
  <c r="E4727" i="12"/>
  <c r="J4723" i="12"/>
  <c r="D4720" i="12"/>
  <c r="J4718" i="12"/>
  <c r="D4698" i="12"/>
  <c r="M4691" i="12"/>
  <c r="L4689" i="12"/>
  <c r="E4685" i="12"/>
  <c r="J4683" i="12"/>
  <c r="I4663" i="12"/>
  <c r="K4662" i="12"/>
  <c r="L4657" i="12"/>
  <c r="J4648" i="12"/>
  <c r="M4621" i="12"/>
  <c r="M4619" i="12"/>
  <c r="J4607" i="12"/>
  <c r="J4604" i="12"/>
  <c r="J4591" i="12"/>
  <c r="J4574" i="12"/>
  <c r="K4574" i="12"/>
  <c r="E4565" i="12"/>
  <c r="D4565" i="12"/>
  <c r="I4540" i="12"/>
  <c r="M4540" i="12"/>
  <c r="I4508" i="12"/>
  <c r="L4508" i="12"/>
  <c r="M4508" i="12"/>
  <c r="J4997" i="12"/>
  <c r="K4985" i="12"/>
  <c r="K4970" i="12"/>
  <c r="J4945" i="12"/>
  <c r="L4943" i="12"/>
  <c r="M4941" i="12"/>
  <c r="M4934" i="12"/>
  <c r="J4922" i="12"/>
  <c r="M4911" i="12"/>
  <c r="K4901" i="12"/>
  <c r="I4889" i="12"/>
  <c r="M4887" i="12"/>
  <c r="M4873" i="12"/>
  <c r="J4870" i="12"/>
  <c r="L4866" i="12"/>
  <c r="M4855" i="12"/>
  <c r="K4842" i="12"/>
  <c r="J4835" i="12"/>
  <c r="K4826" i="12"/>
  <c r="I4817" i="12"/>
  <c r="M4815" i="12"/>
  <c r="K4810" i="12"/>
  <c r="I4802" i="12"/>
  <c r="J4790" i="12"/>
  <c r="J4767" i="12"/>
  <c r="D4739" i="12"/>
  <c r="E4737" i="12"/>
  <c r="L4709" i="12"/>
  <c r="L4680" i="12"/>
  <c r="M4664" i="12"/>
  <c r="L4661" i="12"/>
  <c r="D4650" i="12"/>
  <c r="E4637" i="12"/>
  <c r="E4635" i="12"/>
  <c r="L4619" i="12"/>
  <c r="D4616" i="12"/>
  <c r="L4599" i="12"/>
  <c r="E4595" i="12"/>
  <c r="E4547" i="12"/>
  <c r="D4540" i="12"/>
  <c r="E4540" i="12"/>
  <c r="E4524" i="12"/>
  <c r="E4543" i="12"/>
  <c r="J4510" i="12"/>
  <c r="I4510" i="12"/>
  <c r="K4510" i="12"/>
  <c r="K4982" i="12"/>
  <c r="D4972" i="12"/>
  <c r="J4941" i="12"/>
  <c r="K4934" i="12"/>
  <c r="E4930" i="12"/>
  <c r="J4911" i="12"/>
  <c r="I4901" i="12"/>
  <c r="L4899" i="12"/>
  <c r="E4894" i="12"/>
  <c r="D4892" i="12"/>
  <c r="J4887" i="12"/>
  <c r="J4873" i="12"/>
  <c r="J4866" i="12"/>
  <c r="E4858" i="12"/>
  <c r="J4855" i="12"/>
  <c r="E4827" i="12"/>
  <c r="I4826" i="12"/>
  <c r="I4810" i="12"/>
  <c r="E4794" i="12"/>
  <c r="E4786" i="12"/>
  <c r="J4783" i="12"/>
  <c r="E4778" i="12"/>
  <c r="D4768" i="12"/>
  <c r="D4758" i="12"/>
  <c r="E4704" i="12"/>
  <c r="I4661" i="12"/>
  <c r="E4659" i="12"/>
  <c r="K4643" i="12"/>
  <c r="I4619" i="12"/>
  <c r="L4616" i="12"/>
  <c r="D4614" i="12"/>
  <c r="J4599" i="12"/>
  <c r="L4595" i="12"/>
  <c r="I4578" i="12"/>
  <c r="L4577" i="12"/>
  <c r="M4575" i="12"/>
  <c r="D4571" i="12"/>
  <c r="E4571" i="12"/>
  <c r="K4563" i="12"/>
  <c r="M4563" i="12"/>
  <c r="E4561" i="12"/>
  <c r="D4561" i="12"/>
  <c r="I4550" i="12"/>
  <c r="D4536" i="12"/>
  <c r="L4535" i="12"/>
  <c r="J4535" i="12"/>
  <c r="M4535" i="12"/>
  <c r="D4523" i="12"/>
  <c r="E4523" i="12"/>
  <c r="E4520" i="12"/>
  <c r="M4519" i="12"/>
  <c r="I4519" i="12"/>
  <c r="L4519" i="12"/>
  <c r="I4523" i="12"/>
  <c r="M4520" i="12"/>
  <c r="M4515" i="12"/>
  <c r="M4512" i="12"/>
  <c r="J4507" i="12"/>
  <c r="D4501" i="12"/>
  <c r="D4497" i="12"/>
  <c r="M4495" i="12"/>
  <c r="J4491" i="12"/>
  <c r="M4471" i="12"/>
  <c r="J4460" i="12"/>
  <c r="E4459" i="12"/>
  <c r="M4451" i="12"/>
  <c r="E4451" i="12"/>
  <c r="D4430" i="12"/>
  <c r="J4429" i="12"/>
  <c r="M4428" i="12"/>
  <c r="E4426" i="12"/>
  <c r="E4425" i="12"/>
  <c r="J4424" i="12"/>
  <c r="E4413" i="12"/>
  <c r="L4408" i="12"/>
  <c r="L4401" i="12"/>
  <c r="L4396" i="12"/>
  <c r="D4392" i="12"/>
  <c r="L4388" i="12"/>
  <c r="D4387" i="12"/>
  <c r="L4383" i="12"/>
  <c r="D4375" i="12"/>
  <c r="E4374" i="12"/>
  <c r="K4372" i="12"/>
  <c r="L4364" i="12"/>
  <c r="L4358" i="12"/>
  <c r="L4348" i="12"/>
  <c r="J4346" i="12"/>
  <c r="M4345" i="12"/>
  <c r="L4340" i="12"/>
  <c r="J4329" i="12"/>
  <c r="M4328" i="12"/>
  <c r="D4326" i="12"/>
  <c r="L4323" i="12"/>
  <c r="K4316" i="12"/>
  <c r="K4309" i="12"/>
  <c r="K4304" i="12"/>
  <c r="L4292" i="12"/>
  <c r="D4287" i="12"/>
  <c r="I4284" i="12"/>
  <c r="M4278" i="12"/>
  <c r="M4277" i="12"/>
  <c r="D4271" i="12"/>
  <c r="L4268" i="12"/>
  <c r="I4263" i="12"/>
  <c r="D4259" i="12"/>
  <c r="L4253" i="12"/>
  <c r="L4244" i="12"/>
  <c r="J4239" i="12"/>
  <c r="D4235" i="12"/>
  <c r="D4228" i="12"/>
  <c r="I4209" i="12"/>
  <c r="L4209" i="12"/>
  <c r="M4209" i="12"/>
  <c r="K4244" i="12"/>
  <c r="I4243" i="12"/>
  <c r="I4241" i="12"/>
  <c r="M4241" i="12"/>
  <c r="I4526" i="12"/>
  <c r="J4520" i="12"/>
  <c r="J4512" i="12"/>
  <c r="K4506" i="12"/>
  <c r="M4503" i="12"/>
  <c r="E4496" i="12"/>
  <c r="J4495" i="12"/>
  <c r="I4490" i="12"/>
  <c r="M4487" i="12"/>
  <c r="E4479" i="12"/>
  <c r="E4475" i="12"/>
  <c r="K4471" i="12"/>
  <c r="J4468" i="12"/>
  <c r="K4459" i="12"/>
  <c r="E4452" i="12"/>
  <c r="K4451" i="12"/>
  <c r="L4444" i="12"/>
  <c r="M4437" i="12"/>
  <c r="M4426" i="12"/>
  <c r="L4421" i="12"/>
  <c r="J4414" i="12"/>
  <c r="M4413" i="12"/>
  <c r="J4408" i="12"/>
  <c r="E4398" i="12"/>
  <c r="J4396" i="12"/>
  <c r="J4388" i="12"/>
  <c r="D4369" i="12"/>
  <c r="D4365" i="12"/>
  <c r="J4364" i="12"/>
  <c r="D4361" i="12"/>
  <c r="D4359" i="12"/>
  <c r="K4356" i="12"/>
  <c r="M4353" i="12"/>
  <c r="K4345" i="12"/>
  <c r="I4340" i="12"/>
  <c r="M4338" i="12"/>
  <c r="L4333" i="12"/>
  <c r="E4330" i="12"/>
  <c r="K4328" i="12"/>
  <c r="L4321" i="12"/>
  <c r="M4318" i="12"/>
  <c r="M4313" i="12"/>
  <c r="J4307" i="12"/>
  <c r="M4306" i="12"/>
  <c r="E4294" i="12"/>
  <c r="K4275" i="12"/>
  <c r="M4274" i="12"/>
  <c r="E4270" i="12"/>
  <c r="E4269" i="12"/>
  <c r="J4268" i="12"/>
  <c r="K4259" i="12"/>
  <c r="L4252" i="12"/>
  <c r="E4245" i="12"/>
  <c r="D4240" i="12"/>
  <c r="L4237" i="12"/>
  <c r="I4236" i="12"/>
  <c r="L4235" i="12"/>
  <c r="M4228" i="12"/>
  <c r="M4211" i="12"/>
  <c r="J4211" i="12"/>
  <c r="I4495" i="12"/>
  <c r="I4471" i="12"/>
  <c r="J4467" i="12"/>
  <c r="J4459" i="12"/>
  <c r="J4451" i="12"/>
  <c r="J4448" i="12"/>
  <c r="I4446" i="12"/>
  <c r="J4444" i="12"/>
  <c r="L4426" i="12"/>
  <c r="K4421" i="12"/>
  <c r="I4419" i="12"/>
  <c r="L4413" i="12"/>
  <c r="I4408" i="12"/>
  <c r="J4407" i="12"/>
  <c r="I4396" i="12"/>
  <c r="I4388" i="12"/>
  <c r="J4387" i="12"/>
  <c r="M4352" i="12"/>
  <c r="L4338" i="12"/>
  <c r="M4336" i="12"/>
  <c r="K4333" i="12"/>
  <c r="L4318" i="12"/>
  <c r="L4313" i="12"/>
  <c r="L4306" i="12"/>
  <c r="J4274" i="12"/>
  <c r="L4267" i="12"/>
  <c r="M4264" i="12"/>
  <c r="M4239" i="12"/>
  <c r="L4239" i="12"/>
  <c r="K4235" i="12"/>
  <c r="K4228" i="12"/>
  <c r="M4223" i="12"/>
  <c r="I4223" i="12"/>
  <c r="J4223" i="12"/>
  <c r="K4223" i="12"/>
  <c r="I4212" i="12"/>
  <c r="K4212" i="12"/>
  <c r="L4212" i="12"/>
  <c r="M4212" i="12"/>
  <c r="D4517" i="12"/>
  <c r="K4503" i="12"/>
  <c r="K4494" i="12"/>
  <c r="L4492" i="12"/>
  <c r="K4487" i="12"/>
  <c r="I4466" i="12"/>
  <c r="L4464" i="12"/>
  <c r="E4460" i="12"/>
  <c r="I4459" i="12"/>
  <c r="E4455" i="12"/>
  <c r="D4440" i="12"/>
  <c r="K4437" i="12"/>
  <c r="D4422" i="12"/>
  <c r="J4421" i="12"/>
  <c r="L4418" i="12"/>
  <c r="L4417" i="12"/>
  <c r="D4416" i="12"/>
  <c r="D4415" i="12"/>
  <c r="K4413" i="12"/>
  <c r="M4394" i="12"/>
  <c r="J4381" i="12"/>
  <c r="L4376" i="12"/>
  <c r="E4358" i="12"/>
  <c r="D4357" i="12"/>
  <c r="L4352" i="12"/>
  <c r="L4343" i="12"/>
  <c r="M4342" i="12"/>
  <c r="J4338" i="12"/>
  <c r="L4336" i="12"/>
  <c r="J4333" i="12"/>
  <c r="M4332" i="12"/>
  <c r="J4331" i="12"/>
  <c r="D4323" i="12"/>
  <c r="E4322" i="12"/>
  <c r="J4318" i="12"/>
  <c r="K4313" i="12"/>
  <c r="J4306" i="12"/>
  <c r="L4296" i="12"/>
  <c r="L4288" i="12"/>
  <c r="I4272" i="12"/>
  <c r="K4267" i="12"/>
  <c r="L4264" i="12"/>
  <c r="D4261" i="12"/>
  <c r="I4259" i="12"/>
  <c r="L4255" i="12"/>
  <c r="E4253" i="12"/>
  <c r="L4411" i="12"/>
  <c r="M4390" i="12"/>
  <c r="K4352" i="12"/>
  <c r="K4336" i="12"/>
  <c r="D4315" i="12"/>
  <c r="E4314" i="12"/>
  <c r="J4313" i="12"/>
  <c r="I4312" i="12"/>
  <c r="M4298" i="12"/>
  <c r="K4296" i="12"/>
  <c r="K4288" i="12"/>
  <c r="M4285" i="12"/>
  <c r="K4264" i="12"/>
  <c r="K4255" i="12"/>
  <c r="E4237" i="12"/>
  <c r="D4237" i="12"/>
  <c r="M4231" i="12"/>
  <c r="K4231" i="12"/>
  <c r="K4462" i="12"/>
  <c r="L4435" i="12"/>
  <c r="J4411" i="12"/>
  <c r="M4409" i="12"/>
  <c r="M4402" i="12"/>
  <c r="L4390" i="12"/>
  <c r="M4366" i="12"/>
  <c r="J4352" i="12"/>
  <c r="J4336" i="12"/>
  <c r="J4296" i="12"/>
  <c r="L4285" i="12"/>
  <c r="J4264" i="12"/>
  <c r="J4255" i="12"/>
  <c r="M4235" i="12"/>
  <c r="I4235" i="12"/>
  <c r="L4228" i="12"/>
  <c r="I4228" i="12"/>
  <c r="M4227" i="12"/>
  <c r="I4227" i="12"/>
  <c r="K4507" i="12"/>
  <c r="E4495" i="12"/>
  <c r="K4491" i="12"/>
  <c r="E4484" i="12"/>
  <c r="I4462" i="12"/>
  <c r="E4448" i="12"/>
  <c r="J4435" i="12"/>
  <c r="D4419" i="12"/>
  <c r="L4409" i="12"/>
  <c r="D4407" i="12"/>
  <c r="E4406" i="12"/>
  <c r="E4405" i="12"/>
  <c r="D4396" i="12"/>
  <c r="D4395" i="12"/>
  <c r="E4393" i="12"/>
  <c r="M4384" i="12"/>
  <c r="E4382" i="12"/>
  <c r="D4371" i="12"/>
  <c r="E4370" i="12"/>
  <c r="L4366" i="12"/>
  <c r="I4360" i="12"/>
  <c r="M4350" i="12"/>
  <c r="J4349" i="12"/>
  <c r="D4344" i="12"/>
  <c r="D4328" i="12"/>
  <c r="D4327" i="12"/>
  <c r="I4296" i="12"/>
  <c r="D4292" i="12"/>
  <c r="L4281" i="12"/>
  <c r="M4280" i="12"/>
  <c r="D4273" i="12"/>
  <c r="D4256" i="12"/>
  <c r="I4255" i="12"/>
  <c r="M4244" i="12"/>
  <c r="K4239" i="12"/>
  <c r="E4216" i="12"/>
  <c r="D4216" i="12"/>
  <c r="L4216" i="12"/>
  <c r="M4204" i="12"/>
  <c r="K4180" i="12"/>
  <c r="K4172" i="12"/>
  <c r="D4169" i="12"/>
  <c r="I4167" i="12"/>
  <c r="I4160" i="12"/>
  <c r="L4159" i="12"/>
  <c r="D4159" i="12"/>
  <c r="I4156" i="12"/>
  <c r="L4148" i="12"/>
  <c r="M4140" i="12"/>
  <c r="I4137" i="12"/>
  <c r="M4113" i="12"/>
  <c r="D4039" i="12"/>
  <c r="D4035" i="12"/>
  <c r="M4025" i="12"/>
  <c r="D4025" i="12"/>
  <c r="L4009" i="12"/>
  <c r="D3943" i="12"/>
  <c r="M3941" i="12"/>
  <c r="D3927" i="12"/>
  <c r="L3925" i="12"/>
  <c r="I3909" i="12"/>
  <c r="M3887" i="12"/>
  <c r="L3887" i="12"/>
  <c r="I3837" i="12"/>
  <c r="K3837" i="12"/>
  <c r="L3837" i="12"/>
  <c r="E3800" i="12"/>
  <c r="D3800" i="12"/>
  <c r="L4204" i="12"/>
  <c r="L4113" i="12"/>
  <c r="M4105" i="12"/>
  <c r="M4045" i="12"/>
  <c r="K3925" i="12"/>
  <c r="K3888" i="12"/>
  <c r="I3888" i="12"/>
  <c r="J3852" i="12"/>
  <c r="K3852" i="12"/>
  <c r="L3852" i="12"/>
  <c r="M4225" i="12"/>
  <c r="J4216" i="12"/>
  <c r="K4204" i="12"/>
  <c r="D4199" i="12"/>
  <c r="K4195" i="12"/>
  <c r="L4185" i="12"/>
  <c r="I4176" i="12"/>
  <c r="I4172" i="12"/>
  <c r="M4169" i="12"/>
  <c r="E4161" i="12"/>
  <c r="J4159" i="12"/>
  <c r="E4151" i="12"/>
  <c r="D4149" i="12"/>
  <c r="J4148" i="12"/>
  <c r="E4141" i="12"/>
  <c r="J4140" i="12"/>
  <c r="K4132" i="12"/>
  <c r="K4113" i="12"/>
  <c r="D4112" i="12"/>
  <c r="E4111" i="12"/>
  <c r="L4105" i="12"/>
  <c r="K4101" i="12"/>
  <c r="M4095" i="12"/>
  <c r="D4091" i="12"/>
  <c r="D4090" i="12"/>
  <c r="L4081" i="12"/>
  <c r="E4079" i="12"/>
  <c r="K4062" i="12"/>
  <c r="E4055" i="12"/>
  <c r="D4051" i="12"/>
  <c r="L4045" i="12"/>
  <c r="L4039" i="12"/>
  <c r="E4027" i="12"/>
  <c r="J4025" i="12"/>
  <c r="E4013" i="12"/>
  <c r="J4009" i="12"/>
  <c r="E3962" i="12"/>
  <c r="J3946" i="12"/>
  <c r="M3945" i="12"/>
  <c r="J3941" i="12"/>
  <c r="D3937" i="12"/>
  <c r="E3935" i="12"/>
  <c r="L3930" i="12"/>
  <c r="J3925" i="12"/>
  <c r="M3922" i="12"/>
  <c r="D3915" i="12"/>
  <c r="K3874" i="12"/>
  <c r="L3874" i="12"/>
  <c r="M3874" i="12"/>
  <c r="E3873" i="12"/>
  <c r="D3873" i="12"/>
  <c r="I3872" i="12"/>
  <c r="K3872" i="12"/>
  <c r="E3848" i="12"/>
  <c r="D3848" i="12"/>
  <c r="J3820" i="12"/>
  <c r="L3820" i="12"/>
  <c r="E3819" i="12"/>
  <c r="D3819" i="12"/>
  <c r="D3798" i="12"/>
  <c r="E3798" i="12"/>
  <c r="I4216" i="12"/>
  <c r="J4204" i="12"/>
  <c r="L4199" i="12"/>
  <c r="D4184" i="12"/>
  <c r="I4171" i="12"/>
  <c r="L4169" i="12"/>
  <c r="I4159" i="12"/>
  <c r="I4152" i="12"/>
  <c r="L4151" i="12"/>
  <c r="I4148" i="12"/>
  <c r="D4144" i="12"/>
  <c r="E4143" i="12"/>
  <c r="I4140" i="12"/>
  <c r="J4132" i="12"/>
  <c r="M4121" i="12"/>
  <c r="D4121" i="12"/>
  <c r="L4115" i="12"/>
  <c r="J4113" i="12"/>
  <c r="J4105" i="12"/>
  <c r="J4101" i="12"/>
  <c r="L4095" i="12"/>
  <c r="K4081" i="12"/>
  <c r="E4071" i="12"/>
  <c r="D4069" i="12"/>
  <c r="J4062" i="12"/>
  <c r="M4061" i="12"/>
  <c r="E4061" i="12"/>
  <c r="L4057" i="12"/>
  <c r="E4047" i="12"/>
  <c r="J4045" i="12"/>
  <c r="I4039" i="12"/>
  <c r="I4025" i="12"/>
  <c r="E4023" i="12"/>
  <c r="E4021" i="12"/>
  <c r="M4015" i="12"/>
  <c r="I4009" i="12"/>
  <c r="M4007" i="12"/>
  <c r="K4002" i="12"/>
  <c r="L4001" i="12"/>
  <c r="J3999" i="12"/>
  <c r="L3995" i="12"/>
  <c r="L3991" i="12"/>
  <c r="I3981" i="12"/>
  <c r="K3980" i="12"/>
  <c r="M3978" i="12"/>
  <c r="J3958" i="12"/>
  <c r="K3945" i="12"/>
  <c r="I3941" i="12"/>
  <c r="M3937" i="12"/>
  <c r="K3930" i="12"/>
  <c r="I3929" i="12"/>
  <c r="I3928" i="12"/>
  <c r="L3927" i="12"/>
  <c r="I3925" i="12"/>
  <c r="L3922" i="12"/>
  <c r="K3902" i="12"/>
  <c r="I3900" i="12"/>
  <c r="L3899" i="12"/>
  <c r="M3898" i="12"/>
  <c r="E3890" i="12"/>
  <c r="D3889" i="12"/>
  <c r="K3854" i="12"/>
  <c r="I3854" i="12"/>
  <c r="J3842" i="12"/>
  <c r="L3842" i="12"/>
  <c r="M3842" i="12"/>
  <c r="L3821" i="12"/>
  <c r="K3821" i="12"/>
  <c r="L4201" i="12"/>
  <c r="L4184" i="12"/>
  <c r="M4144" i="12"/>
  <c r="L4121" i="12"/>
  <c r="I4105" i="12"/>
  <c r="L4104" i="12"/>
  <c r="I4095" i="12"/>
  <c r="J4080" i="12"/>
  <c r="M4079" i="12"/>
  <c r="L4061" i="12"/>
  <c r="K4057" i="12"/>
  <c r="I4045" i="12"/>
  <c r="J4036" i="12"/>
  <c r="M4023" i="12"/>
  <c r="L4015" i="12"/>
  <c r="J4014" i="12"/>
  <c r="M4013" i="12"/>
  <c r="J4007" i="12"/>
  <c r="K4001" i="12"/>
  <c r="K3998" i="12"/>
  <c r="I3997" i="12"/>
  <c r="J3995" i="12"/>
  <c r="J3980" i="12"/>
  <c r="L3978" i="12"/>
  <c r="M3962" i="12"/>
  <c r="M3954" i="12"/>
  <c r="J3945" i="12"/>
  <c r="J3940" i="12"/>
  <c r="J3922" i="12"/>
  <c r="I3920" i="12"/>
  <c r="L3919" i="12"/>
  <c r="K3898" i="12"/>
  <c r="I3879" i="12"/>
  <c r="M3878" i="12"/>
  <c r="E3803" i="12"/>
  <c r="D3803" i="12"/>
  <c r="I3785" i="12"/>
  <c r="L3785" i="12"/>
  <c r="J3785" i="12"/>
  <c r="K4184" i="12"/>
  <c r="K4144" i="12"/>
  <c r="K4121" i="12"/>
  <c r="M4071" i="12"/>
  <c r="K4061" i="12"/>
  <c r="L4023" i="12"/>
  <c r="K3994" i="12"/>
  <c r="M3975" i="12"/>
  <c r="M3895" i="12"/>
  <c r="L3895" i="12"/>
  <c r="K3799" i="12"/>
  <c r="J3799" i="12"/>
  <c r="E3787" i="12"/>
  <c r="D3787" i="12"/>
  <c r="K4219" i="12"/>
  <c r="K4207" i="12"/>
  <c r="L4197" i="12"/>
  <c r="K4187" i="12"/>
  <c r="I4184" i="12"/>
  <c r="L4180" i="12"/>
  <c r="M4177" i="12"/>
  <c r="J4167" i="12"/>
  <c r="D4157" i="12"/>
  <c r="D4148" i="12"/>
  <c r="E4147" i="12"/>
  <c r="I4144" i="12"/>
  <c r="D4140" i="12"/>
  <c r="D4138" i="12"/>
  <c r="M4135" i="12"/>
  <c r="J4129" i="12"/>
  <c r="K4114" i="12"/>
  <c r="L4110" i="12"/>
  <c r="J4103" i="12"/>
  <c r="L4087" i="12"/>
  <c r="D4081" i="12"/>
  <c r="M4077" i="12"/>
  <c r="I4071" i="12"/>
  <c r="M4067" i="12"/>
  <c r="L4053" i="12"/>
  <c r="K4050" i="12"/>
  <c r="I4049" i="12"/>
  <c r="J4047" i="12"/>
  <c r="J4043" i="12"/>
  <c r="D4037" i="12"/>
  <c r="K4026" i="12"/>
  <c r="I4023" i="12"/>
  <c r="D4017" i="12"/>
  <c r="J4010" i="12"/>
  <c r="E4009" i="12"/>
  <c r="D3999" i="12"/>
  <c r="L3987" i="12"/>
  <c r="L3950" i="12"/>
  <c r="J3949" i="12"/>
  <c r="J3948" i="12"/>
  <c r="K3942" i="12"/>
  <c r="D3941" i="12"/>
  <c r="D3939" i="12"/>
  <c r="J3936" i="12"/>
  <c r="K3934" i="12"/>
  <c r="L3933" i="12"/>
  <c r="J3926" i="12"/>
  <c r="D3925" i="12"/>
  <c r="D3921" i="12"/>
  <c r="J3914" i="12"/>
  <c r="M3913" i="12"/>
  <c r="J3909" i="12"/>
  <c r="K3896" i="12"/>
  <c r="I3896" i="12"/>
  <c r="L3894" i="12"/>
  <c r="K3894" i="12"/>
  <c r="D3858" i="12"/>
  <c r="E3858" i="12"/>
  <c r="I3849" i="12"/>
  <c r="J3849" i="12"/>
  <c r="K3849" i="12"/>
  <c r="J3847" i="12"/>
  <c r="M3846" i="12"/>
  <c r="J3765" i="12"/>
  <c r="M3764" i="12"/>
  <c r="J3758" i="12"/>
  <c r="D3754" i="12"/>
  <c r="J3740" i="12"/>
  <c r="J3739" i="12"/>
  <c r="K3712" i="12"/>
  <c r="M3711" i="12"/>
  <c r="J3695" i="12"/>
  <c r="M3691" i="12"/>
  <c r="J3684" i="12"/>
  <c r="I3673" i="12"/>
  <c r="J3653" i="12"/>
  <c r="J3652" i="12"/>
  <c r="L3606" i="12"/>
  <c r="D3594" i="12"/>
  <c r="I3577" i="12"/>
  <c r="I3511" i="12"/>
  <c r="M3511" i="12"/>
  <c r="E3510" i="12"/>
  <c r="D3510" i="12"/>
  <c r="I3505" i="12"/>
  <c r="K3505" i="12"/>
  <c r="M3505" i="12"/>
  <c r="J3467" i="12"/>
  <c r="M3467" i="12"/>
  <c r="E3466" i="12"/>
  <c r="D3466" i="12"/>
  <c r="K3440" i="12"/>
  <c r="J3440" i="12"/>
  <c r="M3385" i="12"/>
  <c r="L3385" i="12"/>
  <c r="J3312" i="12"/>
  <c r="I3312" i="12"/>
  <c r="L3312" i="12"/>
  <c r="M3312" i="12"/>
  <c r="D3226" i="12"/>
  <c r="E3226" i="12"/>
  <c r="L3199" i="12"/>
  <c r="J3199" i="12"/>
  <c r="K3199" i="12"/>
  <c r="D3164" i="12"/>
  <c r="E3164" i="12"/>
  <c r="E3079" i="12"/>
  <c r="D3079" i="12"/>
  <c r="I3060" i="12"/>
  <c r="K3060" i="12"/>
  <c r="M3060" i="12"/>
  <c r="M3856" i="12"/>
  <c r="D3812" i="12"/>
  <c r="L3764" i="12"/>
  <c r="D3735" i="12"/>
  <c r="D3734" i="12"/>
  <c r="E3724" i="12"/>
  <c r="L3711" i="12"/>
  <c r="D3697" i="12"/>
  <c r="D3696" i="12"/>
  <c r="L3691" i="12"/>
  <c r="K3682" i="12"/>
  <c r="E3663" i="12"/>
  <c r="M3651" i="12"/>
  <c r="M3633" i="12"/>
  <c r="E3633" i="12"/>
  <c r="M3625" i="12"/>
  <c r="E3625" i="12"/>
  <c r="I3585" i="12"/>
  <c r="J3584" i="12"/>
  <c r="M3583" i="12"/>
  <c r="E3579" i="12"/>
  <c r="M3557" i="12"/>
  <c r="I3514" i="12"/>
  <c r="L3514" i="12"/>
  <c r="L3513" i="12"/>
  <c r="K3513" i="12"/>
  <c r="M3513" i="12"/>
  <c r="I3483" i="12"/>
  <c r="J3483" i="12"/>
  <c r="I3433" i="12"/>
  <c r="J3433" i="12"/>
  <c r="K3433" i="12"/>
  <c r="L3433" i="12"/>
  <c r="M3433" i="12"/>
  <c r="I3386" i="12"/>
  <c r="K3386" i="12"/>
  <c r="L3386" i="12"/>
  <c r="M3386" i="12"/>
  <c r="L3302" i="12"/>
  <c r="M3302" i="12"/>
  <c r="J3220" i="12"/>
  <c r="I3220" i="12"/>
  <c r="L3220" i="12"/>
  <c r="M3220" i="12"/>
  <c r="M3144" i="12"/>
  <c r="I3144" i="12"/>
  <c r="D3136" i="12"/>
  <c r="E3136" i="12"/>
  <c r="I3036" i="12"/>
  <c r="K3036" i="12"/>
  <c r="M3036" i="12"/>
  <c r="K3764" i="12"/>
  <c r="K3711" i="12"/>
  <c r="K3691" i="12"/>
  <c r="L3651" i="12"/>
  <c r="I3543" i="12"/>
  <c r="J3543" i="12"/>
  <c r="I3495" i="12"/>
  <c r="J3495" i="12"/>
  <c r="M3495" i="12"/>
  <c r="I3494" i="12"/>
  <c r="M3494" i="12"/>
  <c r="M3469" i="12"/>
  <c r="I3469" i="12"/>
  <c r="J3469" i="12"/>
  <c r="K3469" i="12"/>
  <c r="L3469" i="12"/>
  <c r="I3445" i="12"/>
  <c r="L3445" i="12"/>
  <c r="D3392" i="12"/>
  <c r="E3392" i="12"/>
  <c r="L3326" i="12"/>
  <c r="I3326" i="12"/>
  <c r="J3326" i="12"/>
  <c r="K3326" i="12"/>
  <c r="M3326" i="12"/>
  <c r="K3856" i="12"/>
  <c r="M3814" i="12"/>
  <c r="L3812" i="12"/>
  <c r="M3782" i="12"/>
  <c r="L3773" i="12"/>
  <c r="M3770" i="12"/>
  <c r="J3764" i="12"/>
  <c r="E3750" i="12"/>
  <c r="M3742" i="12"/>
  <c r="L3735" i="12"/>
  <c r="M3720" i="12"/>
  <c r="L3717" i="12"/>
  <c r="J3711" i="12"/>
  <c r="M3707" i="12"/>
  <c r="D3704" i="12"/>
  <c r="L3702" i="12"/>
  <c r="M3697" i="12"/>
  <c r="D3693" i="12"/>
  <c r="D3692" i="12"/>
  <c r="J3691" i="12"/>
  <c r="M3689" i="12"/>
  <c r="M3677" i="12"/>
  <c r="L3667" i="12"/>
  <c r="K3659" i="12"/>
  <c r="J3651" i="12"/>
  <c r="E3647" i="12"/>
  <c r="E3639" i="12"/>
  <c r="K3633" i="12"/>
  <c r="K3625" i="12"/>
  <c r="L3613" i="12"/>
  <c r="M3609" i="12"/>
  <c r="D3608" i="12"/>
  <c r="E3607" i="12"/>
  <c r="E3605" i="12"/>
  <c r="E3602" i="12"/>
  <c r="L3581" i="12"/>
  <c r="L3570" i="12"/>
  <c r="K3557" i="12"/>
  <c r="E3547" i="12"/>
  <c r="L3545" i="12"/>
  <c r="I3545" i="12"/>
  <c r="D3542" i="12"/>
  <c r="L3538" i="12"/>
  <c r="E3515" i="12"/>
  <c r="M3485" i="12"/>
  <c r="J3485" i="12"/>
  <c r="K3485" i="12"/>
  <c r="L3485" i="12"/>
  <c r="E3483" i="12"/>
  <c r="I3446" i="12"/>
  <c r="L3446" i="12"/>
  <c r="M3446" i="12"/>
  <c r="D3331" i="12"/>
  <c r="E3331" i="12"/>
  <c r="E3303" i="12"/>
  <c r="D3303" i="12"/>
  <c r="L3278" i="12"/>
  <c r="I3278" i="12"/>
  <c r="J3278" i="12"/>
  <c r="K3278" i="12"/>
  <c r="M3278" i="12"/>
  <c r="K3115" i="12"/>
  <c r="J3115" i="12"/>
  <c r="D3114" i="12"/>
  <c r="E3114" i="12"/>
  <c r="E3891" i="12"/>
  <c r="M3886" i="12"/>
  <c r="K3873" i="12"/>
  <c r="D3857" i="12"/>
  <c r="J3856" i="12"/>
  <c r="M3836" i="12"/>
  <c r="E3818" i="12"/>
  <c r="L3814" i="12"/>
  <c r="J3812" i="12"/>
  <c r="M3800" i="12"/>
  <c r="K3797" i="12"/>
  <c r="M3786" i="12"/>
  <c r="J3782" i="12"/>
  <c r="K3773" i="12"/>
  <c r="L3770" i="12"/>
  <c r="M3766" i="12"/>
  <c r="J3763" i="12"/>
  <c r="L3761" i="12"/>
  <c r="D3758" i="12"/>
  <c r="K3745" i="12"/>
  <c r="L3742" i="12"/>
  <c r="D3739" i="12"/>
  <c r="E3738" i="12"/>
  <c r="K3735" i="12"/>
  <c r="D3729" i="12"/>
  <c r="M3727" i="12"/>
  <c r="L3720" i="12"/>
  <c r="J3717" i="12"/>
  <c r="L3707" i="12"/>
  <c r="J3702" i="12"/>
  <c r="M3701" i="12"/>
  <c r="L3697" i="12"/>
  <c r="J3689" i="12"/>
  <c r="L3687" i="12"/>
  <c r="L3686" i="12"/>
  <c r="D3684" i="12"/>
  <c r="J3677" i="12"/>
  <c r="D3673" i="12"/>
  <c r="K3667" i="12"/>
  <c r="J3659" i="12"/>
  <c r="L3658" i="12"/>
  <c r="D3652" i="12"/>
  <c r="I3651" i="12"/>
  <c r="L3650" i="12"/>
  <c r="L3649" i="12"/>
  <c r="M3647" i="12"/>
  <c r="D3634" i="12"/>
  <c r="J3633" i="12"/>
  <c r="D3626" i="12"/>
  <c r="J3625" i="12"/>
  <c r="K3613" i="12"/>
  <c r="K3609" i="12"/>
  <c r="M3586" i="12"/>
  <c r="K3581" i="12"/>
  <c r="K3570" i="12"/>
  <c r="K3569" i="12"/>
  <c r="M3563" i="12"/>
  <c r="D3558" i="12"/>
  <c r="J3557" i="12"/>
  <c r="M3551" i="12"/>
  <c r="K3541" i="12"/>
  <c r="M3541" i="12"/>
  <c r="K3538" i="12"/>
  <c r="I3497" i="12"/>
  <c r="M3497" i="12"/>
  <c r="I3447" i="12"/>
  <c r="J3447" i="12"/>
  <c r="M3447" i="12"/>
  <c r="E3304" i="12"/>
  <c r="D3304" i="12"/>
  <c r="D3295" i="12"/>
  <c r="E3295" i="12"/>
  <c r="D3283" i="12"/>
  <c r="E3283" i="12"/>
  <c r="D3247" i="12"/>
  <c r="E3247" i="12"/>
  <c r="D3202" i="12"/>
  <c r="E3202" i="12"/>
  <c r="D3893" i="12"/>
  <c r="K3886" i="12"/>
  <c r="E3866" i="12"/>
  <c r="M3858" i="12"/>
  <c r="M3848" i="12"/>
  <c r="J3836" i="12"/>
  <c r="L3834" i="12"/>
  <c r="L3828" i="12"/>
  <c r="J3814" i="12"/>
  <c r="I3812" i="12"/>
  <c r="D3806" i="12"/>
  <c r="L3800" i="12"/>
  <c r="J3797" i="12"/>
  <c r="I3782" i="12"/>
  <c r="L3781" i="12"/>
  <c r="I3770" i="12"/>
  <c r="L3766" i="12"/>
  <c r="J3761" i="12"/>
  <c r="K3753" i="12"/>
  <c r="M3750" i="12"/>
  <c r="I3742" i="12"/>
  <c r="I3735" i="12"/>
  <c r="L3727" i="12"/>
  <c r="M3724" i="12"/>
  <c r="D3722" i="12"/>
  <c r="K3720" i="12"/>
  <c r="D3718" i="12"/>
  <c r="I3717" i="12"/>
  <c r="K3716" i="12"/>
  <c r="M3715" i="12"/>
  <c r="M3713" i="12"/>
  <c r="K3707" i="12"/>
  <c r="I3697" i="12"/>
  <c r="I3689" i="12"/>
  <c r="K3686" i="12"/>
  <c r="M3685" i="12"/>
  <c r="I3677" i="12"/>
  <c r="J3676" i="12"/>
  <c r="L3675" i="12"/>
  <c r="L3674" i="12"/>
  <c r="D3672" i="12"/>
  <c r="D3668" i="12"/>
  <c r="D3661" i="12"/>
  <c r="D3660" i="12"/>
  <c r="K3658" i="12"/>
  <c r="J3656" i="12"/>
  <c r="M3655" i="12"/>
  <c r="L3647" i="12"/>
  <c r="I3613" i="12"/>
  <c r="D3600" i="12"/>
  <c r="L3586" i="12"/>
  <c r="J3581" i="12"/>
  <c r="M3566" i="12"/>
  <c r="J3563" i="12"/>
  <c r="M3562" i="12"/>
  <c r="L3554" i="12"/>
  <c r="L3549" i="12"/>
  <c r="D3540" i="12"/>
  <c r="E3539" i="12"/>
  <c r="I3498" i="12"/>
  <c r="L3498" i="12"/>
  <c r="M3498" i="12"/>
  <c r="I3490" i="12"/>
  <c r="K3490" i="12"/>
  <c r="L3490" i="12"/>
  <c r="D3223" i="12"/>
  <c r="E3223" i="12"/>
  <c r="J3117" i="12"/>
  <c r="I3117" i="12"/>
  <c r="K3117" i="12"/>
  <c r="M3117" i="12"/>
  <c r="E3116" i="12"/>
  <c r="D3116" i="12"/>
  <c r="L3695" i="12"/>
  <c r="M3653" i="12"/>
  <c r="L3578" i="12"/>
  <c r="M3577" i="12"/>
  <c r="L3566" i="12"/>
  <c r="L3562" i="12"/>
  <c r="K3554" i="12"/>
  <c r="I3526" i="12"/>
  <c r="K3526" i="12"/>
  <c r="M3526" i="12"/>
  <c r="J3511" i="12"/>
  <c r="I3501" i="12"/>
  <c r="J3501" i="12"/>
  <c r="L3501" i="12"/>
  <c r="I3401" i="12"/>
  <c r="J3401" i="12"/>
  <c r="K3401" i="12"/>
  <c r="L3401" i="12"/>
  <c r="M3401" i="12"/>
  <c r="L3350" i="12"/>
  <c r="I3350" i="12"/>
  <c r="J3350" i="12"/>
  <c r="J3259" i="12"/>
  <c r="L3259" i="12"/>
  <c r="D3196" i="12"/>
  <c r="E3196" i="12"/>
  <c r="M3882" i="12"/>
  <c r="K3881" i="12"/>
  <c r="D3767" i="12"/>
  <c r="K3765" i="12"/>
  <c r="L3758" i="12"/>
  <c r="K3740" i="12"/>
  <c r="D3728" i="12"/>
  <c r="L3712" i="12"/>
  <c r="E3709" i="12"/>
  <c r="K3695" i="12"/>
  <c r="E3679" i="12"/>
  <c r="L3673" i="12"/>
  <c r="L3653" i="12"/>
  <c r="E3617" i="12"/>
  <c r="E3587" i="12"/>
  <c r="K3577" i="12"/>
  <c r="M3575" i="12"/>
  <c r="D3568" i="12"/>
  <c r="M3558" i="12"/>
  <c r="D3500" i="12"/>
  <c r="E3499" i="12"/>
  <c r="I3390" i="12"/>
  <c r="K3390" i="12"/>
  <c r="D3362" i="12"/>
  <c r="E3362" i="12"/>
  <c r="J3300" i="12"/>
  <c r="I3300" i="12"/>
  <c r="L3300" i="12"/>
  <c r="E3235" i="12"/>
  <c r="D3235" i="12"/>
  <c r="L3198" i="12"/>
  <c r="K3198" i="12"/>
  <c r="K3177" i="12"/>
  <c r="L3172" i="12"/>
  <c r="K3157" i="12"/>
  <c r="K3156" i="12"/>
  <c r="I3152" i="12"/>
  <c r="I3151" i="12"/>
  <c r="J3141" i="12"/>
  <c r="K3125" i="12"/>
  <c r="K3105" i="12"/>
  <c r="L3084" i="12"/>
  <c r="J3071" i="12"/>
  <c r="K3020" i="12"/>
  <c r="M3012" i="12"/>
  <c r="E3440" i="12"/>
  <c r="D3433" i="12"/>
  <c r="D3432" i="12"/>
  <c r="D3401" i="12"/>
  <c r="D3355" i="12"/>
  <c r="E3326" i="12"/>
  <c r="E3312" i="12"/>
  <c r="E3278" i="12"/>
  <c r="D3263" i="12"/>
  <c r="E3262" i="12"/>
  <c r="D3261" i="12"/>
  <c r="D3259" i="12"/>
  <c r="M3250" i="12"/>
  <c r="E3220" i="12"/>
  <c r="M3202" i="12"/>
  <c r="E3195" i="12"/>
  <c r="E3187" i="12"/>
  <c r="K3172" i="12"/>
  <c r="I3156" i="12"/>
  <c r="E3146" i="12"/>
  <c r="I3141" i="12"/>
  <c r="L3140" i="12"/>
  <c r="I3125" i="12"/>
  <c r="M3122" i="12"/>
  <c r="M3121" i="12"/>
  <c r="I3105" i="12"/>
  <c r="J3103" i="12"/>
  <c r="K3101" i="12"/>
  <c r="J3084" i="12"/>
  <c r="L3080" i="12"/>
  <c r="L3075" i="12"/>
  <c r="I3071" i="12"/>
  <c r="M3069" i="12"/>
  <c r="E3060" i="12"/>
  <c r="K3055" i="12"/>
  <c r="L3052" i="12"/>
  <c r="E3045" i="12"/>
  <c r="E3036" i="12"/>
  <c r="D3034" i="12"/>
  <c r="J3020" i="12"/>
  <c r="K3012" i="12"/>
  <c r="M3421" i="12"/>
  <c r="M3338" i="12"/>
  <c r="M3290" i="12"/>
  <c r="L3265" i="12"/>
  <c r="K3250" i="12"/>
  <c r="K3202" i="12"/>
  <c r="M3149" i="12"/>
  <c r="I3140" i="12"/>
  <c r="D3128" i="12"/>
  <c r="K3121" i="12"/>
  <c r="D3112" i="12"/>
  <c r="E3110" i="12"/>
  <c r="I3101" i="12"/>
  <c r="J3099" i="12"/>
  <c r="K3097" i="12"/>
  <c r="I3084" i="12"/>
  <c r="L3082" i="12"/>
  <c r="L3079" i="12"/>
  <c r="J3075" i="12"/>
  <c r="L3068" i="12"/>
  <c r="K3052" i="12"/>
  <c r="E3048" i="12"/>
  <c r="L3043" i="12"/>
  <c r="M3025" i="12"/>
  <c r="E3021" i="12"/>
  <c r="I3020" i="12"/>
  <c r="L3019" i="12"/>
  <c r="M3017" i="12"/>
  <c r="J3012" i="12"/>
  <c r="M3009" i="12"/>
  <c r="K3506" i="12"/>
  <c r="E3462" i="12"/>
  <c r="E3451" i="12"/>
  <c r="L3421" i="12"/>
  <c r="L3410" i="12"/>
  <c r="E3396" i="12"/>
  <c r="L3392" i="12"/>
  <c r="D3379" i="12"/>
  <c r="E3378" i="12"/>
  <c r="D3373" i="12"/>
  <c r="E3358" i="12"/>
  <c r="K3338" i="12"/>
  <c r="K3331" i="12"/>
  <c r="D3320" i="12"/>
  <c r="D3319" i="12"/>
  <c r="J3314" i="12"/>
  <c r="K3290" i="12"/>
  <c r="K3283" i="12"/>
  <c r="D3272" i="12"/>
  <c r="D3271" i="12"/>
  <c r="K3265" i="12"/>
  <c r="E3251" i="12"/>
  <c r="J3250" i="12"/>
  <c r="E3246" i="12"/>
  <c r="E3242" i="12"/>
  <c r="M3226" i="12"/>
  <c r="K3223" i="12"/>
  <c r="E3204" i="12"/>
  <c r="J3202" i="12"/>
  <c r="E3192" i="12"/>
  <c r="J3189" i="12"/>
  <c r="E3183" i="12"/>
  <c r="E3175" i="12"/>
  <c r="E3174" i="12"/>
  <c r="L3166" i="12"/>
  <c r="K3164" i="12"/>
  <c r="J3149" i="12"/>
  <c r="L3136" i="12"/>
  <c r="I3121" i="12"/>
  <c r="J3119" i="12"/>
  <c r="I3097" i="12"/>
  <c r="J3095" i="12"/>
  <c r="K3093" i="12"/>
  <c r="K3079" i="12"/>
  <c r="I3075" i="12"/>
  <c r="L3074" i="12"/>
  <c r="M3073" i="12"/>
  <c r="K3068" i="12"/>
  <c r="M3065" i="12"/>
  <c r="I3052" i="12"/>
  <c r="M3048" i="12"/>
  <c r="K3043" i="12"/>
  <c r="M3024" i="12"/>
  <c r="I3019" i="12"/>
  <c r="M3016" i="12"/>
  <c r="I3012" i="12"/>
  <c r="K3011" i="12"/>
  <c r="M3004" i="12"/>
  <c r="D3534" i="12"/>
  <c r="D3524" i="12"/>
  <c r="E3523" i="12"/>
  <c r="D3518" i="12"/>
  <c r="D3508" i="12"/>
  <c r="E3507" i="12"/>
  <c r="M3481" i="12"/>
  <c r="D3472" i="12"/>
  <c r="D3464" i="12"/>
  <c r="M3453" i="12"/>
  <c r="K3421" i="12"/>
  <c r="K3410" i="12"/>
  <c r="M3409" i="12"/>
  <c r="J3392" i="12"/>
  <c r="E3367" i="12"/>
  <c r="I3362" i="12"/>
  <c r="M3358" i="12"/>
  <c r="M3348" i="12"/>
  <c r="E3342" i="12"/>
  <c r="J3338" i="12"/>
  <c r="J3331" i="12"/>
  <c r="E3328" i="12"/>
  <c r="I3314" i="12"/>
  <c r="M3306" i="12"/>
  <c r="E3294" i="12"/>
  <c r="J3290" i="12"/>
  <c r="J3283" i="12"/>
  <c r="E3280" i="12"/>
  <c r="I3265" i="12"/>
  <c r="L3264" i="12"/>
  <c r="M3254" i="12"/>
  <c r="I3250" i="12"/>
  <c r="L3247" i="12"/>
  <c r="E3234" i="12"/>
  <c r="E3228" i="12"/>
  <c r="I3226" i="12"/>
  <c r="J3223" i="12"/>
  <c r="D3203" i="12"/>
  <c r="I3202" i="12"/>
  <c r="M3200" i="12"/>
  <c r="I3196" i="12"/>
  <c r="I3164" i="12"/>
  <c r="I3149" i="12"/>
  <c r="K3136" i="12"/>
  <c r="I3093" i="12"/>
  <c r="J3091" i="12"/>
  <c r="L3089" i="12"/>
  <c r="I3079" i="12"/>
  <c r="J3068" i="12"/>
  <c r="L3481" i="12"/>
  <c r="M3465" i="12"/>
  <c r="D3456" i="12"/>
  <c r="L3444" i="12"/>
  <c r="M3430" i="12"/>
  <c r="L3409" i="12"/>
  <c r="D3405" i="12"/>
  <c r="D3404" i="12"/>
  <c r="D3389" i="12"/>
  <c r="E3388" i="12"/>
  <c r="L3384" i="12"/>
  <c r="L3380" i="12"/>
  <c r="K3358" i="12"/>
  <c r="D3352" i="12"/>
  <c r="L3348" i="12"/>
  <c r="M3344" i="12"/>
  <c r="M3342" i="12"/>
  <c r="E3327" i="12"/>
  <c r="M3324" i="12"/>
  <c r="K3306" i="12"/>
  <c r="K3299" i="12"/>
  <c r="M3294" i="12"/>
  <c r="E3279" i="12"/>
  <c r="M3276" i="12"/>
  <c r="K3264" i="12"/>
  <c r="K3254" i="12"/>
  <c r="M3234" i="12"/>
  <c r="M3210" i="12"/>
  <c r="K3207" i="12"/>
  <c r="M3204" i="12"/>
  <c r="J3188" i="12"/>
  <c r="M3184" i="12"/>
  <c r="D3096" i="12"/>
  <c r="E3094" i="12"/>
  <c r="E3084" i="12"/>
  <c r="D3050" i="12"/>
  <c r="D3049" i="12"/>
  <c r="E3025" i="12"/>
  <c r="E3017" i="12"/>
  <c r="E3005" i="12"/>
  <c r="I4963" i="12"/>
  <c r="J4963" i="12"/>
  <c r="I4935" i="12"/>
  <c r="M4935" i="12"/>
  <c r="D4750" i="12"/>
  <c r="E4750" i="12"/>
  <c r="D4480" i="12"/>
  <c r="E4480" i="12"/>
  <c r="J4478" i="12"/>
  <c r="I4478" i="12"/>
  <c r="K4478" i="12"/>
  <c r="I4452" i="12"/>
  <c r="J4452" i="12"/>
  <c r="L4452" i="12"/>
  <c r="M4452" i="12"/>
  <c r="J4434" i="12"/>
  <c r="M4434" i="12"/>
  <c r="E4212" i="12"/>
  <c r="D4212" i="12"/>
  <c r="I4173" i="12"/>
  <c r="L4173" i="12"/>
  <c r="M4173" i="12"/>
  <c r="I3989" i="12"/>
  <c r="J3989" i="12"/>
  <c r="K3989" i="12"/>
  <c r="L3989" i="12"/>
  <c r="M3989" i="12"/>
  <c r="D3963" i="12"/>
  <c r="E3963" i="12"/>
  <c r="D3955" i="12"/>
  <c r="E3955" i="12"/>
  <c r="J3889" i="12"/>
  <c r="I3889" i="12"/>
  <c r="K3889" i="12"/>
  <c r="L3889" i="12"/>
  <c r="M3889" i="12"/>
  <c r="I4895" i="12"/>
  <c r="J4895" i="12"/>
  <c r="L4895" i="12"/>
  <c r="M4895" i="12"/>
  <c r="I4885" i="12"/>
  <c r="J4885" i="12"/>
  <c r="K4885" i="12"/>
  <c r="I4807" i="12"/>
  <c r="J4807" i="12"/>
  <c r="M4807" i="12"/>
  <c r="J4675" i="12"/>
  <c r="L4675" i="12"/>
  <c r="M4675" i="12"/>
  <c r="K4675" i="12"/>
  <c r="E4634" i="12"/>
  <c r="D4634" i="12"/>
  <c r="E4312" i="12"/>
  <c r="D4312" i="12"/>
  <c r="I4229" i="12"/>
  <c r="L4229" i="12"/>
  <c r="M4229" i="12"/>
  <c r="D4001" i="12"/>
  <c r="E4001" i="12"/>
  <c r="I3964" i="12"/>
  <c r="J3964" i="12"/>
  <c r="K3956" i="12"/>
  <c r="I3956" i="12"/>
  <c r="J3956" i="12"/>
  <c r="I3953" i="12"/>
  <c r="J3953" i="12"/>
  <c r="K3953" i="12"/>
  <c r="L3953" i="12"/>
  <c r="M3953" i="12"/>
  <c r="E3596" i="12"/>
  <c r="D3596" i="12"/>
  <c r="M4998" i="12"/>
  <c r="M4995" i="12"/>
  <c r="J4993" i="12"/>
  <c r="E4990" i="12"/>
  <c r="K4989" i="12"/>
  <c r="M4981" i="12"/>
  <c r="D4976" i="12"/>
  <c r="K4974" i="12"/>
  <c r="L4970" i="12"/>
  <c r="D4964" i="12"/>
  <c r="M4961" i="12"/>
  <c r="L4945" i="12"/>
  <c r="E4942" i="12"/>
  <c r="K4941" i="12"/>
  <c r="M4938" i="12"/>
  <c r="I4918" i="12"/>
  <c r="K4918" i="12"/>
  <c r="L4918" i="12"/>
  <c r="M4918" i="12"/>
  <c r="D4884" i="12"/>
  <c r="E4862" i="12"/>
  <c r="E4854" i="12"/>
  <c r="M4850" i="12"/>
  <c r="I4850" i="12"/>
  <c r="J4850" i="12"/>
  <c r="K4850" i="12"/>
  <c r="L4850" i="12"/>
  <c r="D4844" i="12"/>
  <c r="I4822" i="12"/>
  <c r="J4822" i="12"/>
  <c r="K4822" i="12"/>
  <c r="L4822" i="12"/>
  <c r="M4822" i="12"/>
  <c r="L4809" i="12"/>
  <c r="K4809" i="12"/>
  <c r="I4809" i="12"/>
  <c r="J4809" i="12"/>
  <c r="D4807" i="12"/>
  <c r="E4807" i="12"/>
  <c r="I4799" i="12"/>
  <c r="J4799" i="12"/>
  <c r="M4799" i="12"/>
  <c r="D4751" i="12"/>
  <c r="E4751" i="12"/>
  <c r="L4745" i="12"/>
  <c r="J4745" i="12"/>
  <c r="K4745" i="12"/>
  <c r="I4745" i="12"/>
  <c r="M4745" i="12"/>
  <c r="E4744" i="12"/>
  <c r="D4744" i="12"/>
  <c r="D4656" i="12"/>
  <c r="E4656" i="12"/>
  <c r="I4620" i="12"/>
  <c r="J4620" i="12"/>
  <c r="K4620" i="12"/>
  <c r="L4620" i="12"/>
  <c r="J4603" i="12"/>
  <c r="K4603" i="12"/>
  <c r="L4603" i="12"/>
  <c r="M4603" i="12"/>
  <c r="I4603" i="12"/>
  <c r="D4567" i="12"/>
  <c r="E4567" i="12"/>
  <c r="D4499" i="12"/>
  <c r="E4499" i="12"/>
  <c r="D4886" i="12"/>
  <c r="E4886" i="12"/>
  <c r="I4847" i="12"/>
  <c r="M4847" i="12"/>
  <c r="J4798" i="12"/>
  <c r="M4798" i="12"/>
  <c r="L4798" i="12"/>
  <c r="E4694" i="12"/>
  <c r="D4694" i="12"/>
  <c r="D4667" i="12"/>
  <c r="E4667" i="12"/>
  <c r="D4600" i="12"/>
  <c r="E4600" i="12"/>
  <c r="I4585" i="12"/>
  <c r="L4585" i="12"/>
  <c r="E4529" i="12"/>
  <c r="D4529" i="12"/>
  <c r="E4435" i="12"/>
  <c r="D4435" i="12"/>
  <c r="E4349" i="12"/>
  <c r="D4349" i="12"/>
  <c r="D5000" i="12"/>
  <c r="K4998" i="12"/>
  <c r="J4991" i="12"/>
  <c r="M4990" i="12"/>
  <c r="E4982" i="12"/>
  <c r="K4981" i="12"/>
  <c r="L4977" i="12"/>
  <c r="J4970" i="12"/>
  <c r="E4968" i="12"/>
  <c r="D4968" i="12"/>
  <c r="M4965" i="12"/>
  <c r="E4952" i="12"/>
  <c r="D4952" i="12"/>
  <c r="I4939" i="12"/>
  <c r="L4939" i="12"/>
  <c r="M4939" i="12"/>
  <c r="D4916" i="12"/>
  <c r="I4907" i="12"/>
  <c r="J4907" i="12"/>
  <c r="L4907" i="12"/>
  <c r="M4907" i="12"/>
  <c r="J4893" i="12"/>
  <c r="K4893" i="12"/>
  <c r="L4893" i="12"/>
  <c r="M4893" i="12"/>
  <c r="E4878" i="12"/>
  <c r="I4858" i="12"/>
  <c r="J4858" i="12"/>
  <c r="K4858" i="12"/>
  <c r="L4858" i="12"/>
  <c r="D4850" i="12"/>
  <c r="L4849" i="12"/>
  <c r="I4849" i="12"/>
  <c r="E4848" i="12"/>
  <c r="D4848" i="12"/>
  <c r="E4834" i="12"/>
  <c r="L4833" i="12"/>
  <c r="K4833" i="12"/>
  <c r="E4832" i="12"/>
  <c r="D4832" i="12"/>
  <c r="I4787" i="12"/>
  <c r="M4787" i="12"/>
  <c r="D4763" i="12"/>
  <c r="E4763" i="12"/>
  <c r="E4734" i="12"/>
  <c r="D4734" i="12"/>
  <c r="J4731" i="12"/>
  <c r="K4731" i="12"/>
  <c r="L4731" i="12"/>
  <c r="M4731" i="12"/>
  <c r="J4703" i="12"/>
  <c r="L4703" i="12"/>
  <c r="M4703" i="12"/>
  <c r="K4703" i="12"/>
  <c r="J4651" i="12"/>
  <c r="K4651" i="12"/>
  <c r="L4651" i="12"/>
  <c r="M4651" i="12"/>
  <c r="I4651" i="12"/>
  <c r="D4644" i="12"/>
  <c r="L4556" i="12"/>
  <c r="M4556" i="12"/>
  <c r="J4556" i="12"/>
  <c r="I4527" i="12"/>
  <c r="J4527" i="12"/>
  <c r="K4527" i="12"/>
  <c r="L4527" i="12"/>
  <c r="M4527" i="12"/>
  <c r="D4516" i="12"/>
  <c r="E4516" i="12"/>
  <c r="J4514" i="12"/>
  <c r="I4514" i="12"/>
  <c r="K4514" i="12"/>
  <c r="E4513" i="12"/>
  <c r="D4513" i="12"/>
  <c r="I4958" i="12"/>
  <c r="J4958" i="12"/>
  <c r="L4845" i="12"/>
  <c r="J4845" i="12"/>
  <c r="K4845" i="12"/>
  <c r="L4990" i="12"/>
  <c r="M4986" i="12"/>
  <c r="M4983" i="12"/>
  <c r="J4981" i="12"/>
  <c r="K4977" i="12"/>
  <c r="I4966" i="12"/>
  <c r="K4966" i="12"/>
  <c r="M4966" i="12"/>
  <c r="L4965" i="12"/>
  <c r="M4958" i="12"/>
  <c r="I4950" i="12"/>
  <c r="K4950" i="12"/>
  <c r="M4950" i="12"/>
  <c r="M4947" i="12"/>
  <c r="M4942" i="12"/>
  <c r="E4940" i="12"/>
  <c r="D4940" i="12"/>
  <c r="M4937" i="12"/>
  <c r="J4913" i="12"/>
  <c r="I4906" i="12"/>
  <c r="L4906" i="12"/>
  <c r="M4906" i="12"/>
  <c r="I4898" i="12"/>
  <c r="J4898" i="12"/>
  <c r="K4898" i="12"/>
  <c r="L4898" i="12"/>
  <c r="M4898" i="12"/>
  <c r="L4881" i="12"/>
  <c r="J4881" i="12"/>
  <c r="K4881" i="12"/>
  <c r="M4881" i="12"/>
  <c r="I4874" i="12"/>
  <c r="J4874" i="12"/>
  <c r="K4874" i="12"/>
  <c r="L4874" i="12"/>
  <c r="M4874" i="12"/>
  <c r="L4865" i="12"/>
  <c r="J4865" i="12"/>
  <c r="K4865" i="12"/>
  <c r="M4862" i="12"/>
  <c r="K4818" i="12"/>
  <c r="I4818" i="12"/>
  <c r="J4818" i="12"/>
  <c r="L4818" i="12"/>
  <c r="M4818" i="12"/>
  <c r="I4803" i="12"/>
  <c r="J4803" i="12"/>
  <c r="M4803" i="12"/>
  <c r="J4715" i="12"/>
  <c r="L4715" i="12"/>
  <c r="M4715" i="12"/>
  <c r="K4715" i="12"/>
  <c r="D4583" i="12"/>
  <c r="E4583" i="12"/>
  <c r="I4917" i="12"/>
  <c r="J4917" i="12"/>
  <c r="K4917" i="12"/>
  <c r="D4992" i="12"/>
  <c r="K4990" i="12"/>
  <c r="L4986" i="12"/>
  <c r="K4965" i="12"/>
  <c r="L4958" i="12"/>
  <c r="K4945" i="12"/>
  <c r="M4945" i="12"/>
  <c r="J4925" i="12"/>
  <c r="K4925" i="12"/>
  <c r="L4925" i="12"/>
  <c r="M4925" i="12"/>
  <c r="I4905" i="12"/>
  <c r="J4905" i="12"/>
  <c r="K4905" i="12"/>
  <c r="L4905" i="12"/>
  <c r="D4779" i="12"/>
  <c r="E4779" i="12"/>
  <c r="D4759" i="12"/>
  <c r="E4759" i="12"/>
  <c r="D4707" i="12"/>
  <c r="E4707" i="12"/>
  <c r="I4631" i="12"/>
  <c r="J4631" i="12"/>
  <c r="K4631" i="12"/>
  <c r="M4631" i="12"/>
  <c r="E4630" i="12"/>
  <c r="D4630" i="12"/>
  <c r="E4618" i="12"/>
  <c r="D4618" i="12"/>
  <c r="I4592" i="12"/>
  <c r="K4592" i="12"/>
  <c r="M4592" i="12"/>
  <c r="D4587" i="12"/>
  <c r="E4587" i="12"/>
  <c r="E4557" i="12"/>
  <c r="D4557" i="12"/>
  <c r="I4555" i="12"/>
  <c r="J4555" i="12"/>
  <c r="K4555" i="12"/>
  <c r="L4555" i="12"/>
  <c r="I4910" i="12"/>
  <c r="J4910" i="12"/>
  <c r="K4910" i="12"/>
  <c r="L4910" i="12"/>
  <c r="I4962" i="12"/>
  <c r="M4962" i="12"/>
  <c r="D4918" i="12"/>
  <c r="E4918" i="12"/>
  <c r="L4861" i="12"/>
  <c r="K4861" i="12"/>
  <c r="I4831" i="12"/>
  <c r="J4831" i="12"/>
  <c r="K4705" i="12"/>
  <c r="L4705" i="12"/>
  <c r="J4705" i="12"/>
  <c r="M4705" i="12"/>
  <c r="I4695" i="12"/>
  <c r="K4695" i="12"/>
  <c r="L4695" i="12"/>
  <c r="J4695" i="12"/>
  <c r="M4695" i="12"/>
  <c r="J4983" i="12"/>
  <c r="M4979" i="12"/>
  <c r="J4977" i="12"/>
  <c r="J4961" i="12"/>
  <c r="L4961" i="12"/>
  <c r="D4950" i="12"/>
  <c r="E4950" i="12"/>
  <c r="E4944" i="12"/>
  <c r="D4944" i="12"/>
  <c r="I4938" i="12"/>
  <c r="L4938" i="12"/>
  <c r="L4935" i="12"/>
  <c r="M4885" i="12"/>
  <c r="I4871" i="12"/>
  <c r="J4871" i="12"/>
  <c r="L4871" i="12"/>
  <c r="M4871" i="12"/>
  <c r="M4839" i="12"/>
  <c r="D4988" i="12"/>
  <c r="K4986" i="12"/>
  <c r="L4982" i="12"/>
  <c r="J4979" i="12"/>
  <c r="M4978" i="12"/>
  <c r="I4977" i="12"/>
  <c r="M4975" i="12"/>
  <c r="J4973" i="12"/>
  <c r="E4966" i="12"/>
  <c r="I4965" i="12"/>
  <c r="M4963" i="12"/>
  <c r="L4962" i="12"/>
  <c r="D4960" i="12"/>
  <c r="K4958" i="12"/>
  <c r="I4954" i="12"/>
  <c r="K4954" i="12"/>
  <c r="L4954" i="12"/>
  <c r="M4953" i="12"/>
  <c r="J4949" i="12"/>
  <c r="K4949" i="12"/>
  <c r="J4935" i="12"/>
  <c r="I4930" i="12"/>
  <c r="J4930" i="12"/>
  <c r="K4930" i="12"/>
  <c r="L4930" i="12"/>
  <c r="M4930" i="12"/>
  <c r="D4924" i="12"/>
  <c r="M4910" i="12"/>
  <c r="D4904" i="12"/>
  <c r="I4903" i="12"/>
  <c r="M4903" i="12"/>
  <c r="E4898" i="12"/>
  <c r="L4885" i="12"/>
  <c r="E4874" i="12"/>
  <c r="I4870" i="12"/>
  <c r="L4870" i="12"/>
  <c r="M4870" i="12"/>
  <c r="I4845" i="12"/>
  <c r="M4843" i="12"/>
  <c r="J4839" i="12"/>
  <c r="E4838" i="12"/>
  <c r="L4837" i="12"/>
  <c r="K4837" i="12"/>
  <c r="E4836" i="12"/>
  <c r="D4836" i="12"/>
  <c r="J4814" i="12"/>
  <c r="M4814" i="12"/>
  <c r="I4814" i="12"/>
  <c r="K4814" i="12"/>
  <c r="L4814" i="12"/>
  <c r="I4791" i="12"/>
  <c r="J4791" i="12"/>
  <c r="K4737" i="12"/>
  <c r="J4737" i="12"/>
  <c r="D4721" i="12"/>
  <c r="E4721" i="12"/>
  <c r="K4687" i="12"/>
  <c r="M4687" i="12"/>
  <c r="J4687" i="12"/>
  <c r="L4687" i="12"/>
  <c r="I4675" i="12"/>
  <c r="D4632" i="12"/>
  <c r="E4632" i="12"/>
  <c r="I4883" i="12"/>
  <c r="L4883" i="12"/>
  <c r="M4883" i="12"/>
  <c r="I4927" i="12"/>
  <c r="J4927" i="12"/>
  <c r="L4927" i="12"/>
  <c r="M4927" i="12"/>
  <c r="I4915" i="12"/>
  <c r="L4915" i="12"/>
  <c r="M4915" i="12"/>
  <c r="E4860" i="12"/>
  <c r="D4860" i="12"/>
  <c r="K4645" i="12"/>
  <c r="I4645" i="12"/>
  <c r="J4645" i="12"/>
  <c r="L4645" i="12"/>
  <c r="L4978" i="12"/>
  <c r="M4971" i="12"/>
  <c r="K4962" i="12"/>
  <c r="I4947" i="12"/>
  <c r="L4947" i="12"/>
  <c r="I4942" i="12"/>
  <c r="K4942" i="12"/>
  <c r="L4942" i="12"/>
  <c r="I4937" i="12"/>
  <c r="K4937" i="12"/>
  <c r="L4937" i="12"/>
  <c r="M4917" i="12"/>
  <c r="K4913" i="12"/>
  <c r="L4913" i="12"/>
  <c r="M4913" i="12"/>
  <c r="E4912" i="12"/>
  <c r="D4912" i="12"/>
  <c r="I4886" i="12"/>
  <c r="K4886" i="12"/>
  <c r="L4886" i="12"/>
  <c r="M4886" i="12"/>
  <c r="L4869" i="12"/>
  <c r="I4869" i="12"/>
  <c r="J4869" i="12"/>
  <c r="K4869" i="12"/>
  <c r="I4867" i="12"/>
  <c r="L4867" i="12"/>
  <c r="M4867" i="12"/>
  <c r="I4862" i="12"/>
  <c r="J4862" i="12"/>
  <c r="K4862" i="12"/>
  <c r="J4861" i="12"/>
  <c r="K4854" i="12"/>
  <c r="I4854" i="12"/>
  <c r="J4854" i="12"/>
  <c r="L4854" i="12"/>
  <c r="M4854" i="12"/>
  <c r="E4814" i="12"/>
  <c r="D4814" i="12"/>
  <c r="D4811" i="12"/>
  <c r="E4811" i="12"/>
  <c r="K4798" i="12"/>
  <c r="L4793" i="12"/>
  <c r="K4793" i="12"/>
  <c r="J4793" i="12"/>
  <c r="E4792" i="12"/>
  <c r="D4792" i="12"/>
  <c r="D4770" i="12"/>
  <c r="E4770" i="12"/>
  <c r="L4749" i="12"/>
  <c r="I4749" i="12"/>
  <c r="K4749" i="12"/>
  <c r="M4749" i="12"/>
  <c r="E4748" i="12"/>
  <c r="D4748" i="12"/>
  <c r="I4743" i="12"/>
  <c r="J4743" i="12"/>
  <c r="M4743" i="12"/>
  <c r="I4736" i="12"/>
  <c r="L4736" i="12"/>
  <c r="K4727" i="12"/>
  <c r="M4727" i="12"/>
  <c r="J4727" i="12"/>
  <c r="L4727" i="12"/>
  <c r="I4699" i="12"/>
  <c r="K4699" i="12"/>
  <c r="L4699" i="12"/>
  <c r="M4699" i="12"/>
  <c r="E4688" i="12"/>
  <c r="D4688" i="12"/>
  <c r="E4678" i="12"/>
  <c r="D4678" i="12"/>
  <c r="I4670" i="12"/>
  <c r="L4670" i="12"/>
  <c r="K4669" i="12"/>
  <c r="J4669" i="12"/>
  <c r="M4669" i="12"/>
  <c r="K4623" i="12"/>
  <c r="L4623" i="12"/>
  <c r="M4623" i="12"/>
  <c r="I4623" i="12"/>
  <c r="J4623" i="12"/>
  <c r="D4608" i="12"/>
  <c r="E4608" i="12"/>
  <c r="I4569" i="12"/>
  <c r="L4569" i="12"/>
  <c r="L4841" i="12"/>
  <c r="K4841" i="12"/>
  <c r="L4813" i="12"/>
  <c r="I4813" i="12"/>
  <c r="E4812" i="12"/>
  <c r="D4812" i="12"/>
  <c r="D4799" i="12"/>
  <c r="E4799" i="12"/>
  <c r="L4789" i="12"/>
  <c r="J4789" i="12"/>
  <c r="L4765" i="12"/>
  <c r="I4765" i="12"/>
  <c r="E4764" i="12"/>
  <c r="D4764" i="12"/>
  <c r="M4738" i="12"/>
  <c r="I4738" i="12"/>
  <c r="K4738" i="12"/>
  <c r="M4722" i="12"/>
  <c r="J4722" i="12"/>
  <c r="K4722" i="12"/>
  <c r="K4721" i="12"/>
  <c r="J4721" i="12"/>
  <c r="D4705" i="12"/>
  <c r="E4705" i="12"/>
  <c r="I4656" i="12"/>
  <c r="J4656" i="12"/>
  <c r="D4651" i="12"/>
  <c r="E4651" i="12"/>
  <c r="I4632" i="12"/>
  <c r="K4632" i="12"/>
  <c r="L4632" i="12"/>
  <c r="M4632" i="12"/>
  <c r="I4630" i="12"/>
  <c r="K4630" i="12"/>
  <c r="I4608" i="12"/>
  <c r="J4608" i="12"/>
  <c r="D4603" i="12"/>
  <c r="E4603" i="12"/>
  <c r="I4600" i="12"/>
  <c r="J4600" i="12"/>
  <c r="K4600" i="12"/>
  <c r="L4600" i="12"/>
  <c r="J4586" i="12"/>
  <c r="I4586" i="12"/>
  <c r="K4586" i="12"/>
  <c r="D4584" i="12"/>
  <c r="E4584" i="12"/>
  <c r="J4582" i="12"/>
  <c r="I4582" i="12"/>
  <c r="K4582" i="12"/>
  <c r="J4570" i="12"/>
  <c r="I4570" i="12"/>
  <c r="K4570" i="12"/>
  <c r="D4568" i="12"/>
  <c r="E4568" i="12"/>
  <c r="J4566" i="12"/>
  <c r="I4566" i="12"/>
  <c r="K4566" i="12"/>
  <c r="I4544" i="12"/>
  <c r="J4544" i="12"/>
  <c r="L4544" i="12"/>
  <c r="M4544" i="12"/>
  <c r="I4516" i="12"/>
  <c r="J4516" i="12"/>
  <c r="L4516" i="12"/>
  <c r="M4516" i="12"/>
  <c r="I4389" i="12"/>
  <c r="J4389" i="12"/>
  <c r="K4389" i="12"/>
  <c r="L4389" i="12"/>
  <c r="M4389" i="12"/>
  <c r="D4310" i="12"/>
  <c r="E4310" i="12"/>
  <c r="E4300" i="12"/>
  <c r="D4300" i="12"/>
  <c r="E4251" i="12"/>
  <c r="D4251" i="12"/>
  <c r="M4247" i="12"/>
  <c r="I4247" i="12"/>
  <c r="J4247" i="12"/>
  <c r="K4247" i="12"/>
  <c r="L4247" i="12"/>
  <c r="I4240" i="12"/>
  <c r="J4240" i="12"/>
  <c r="K4240" i="12"/>
  <c r="L4240" i="12"/>
  <c r="M4240" i="12"/>
  <c r="I4149" i="12"/>
  <c r="L4149" i="12"/>
  <c r="M4149" i="12"/>
  <c r="K4111" i="12"/>
  <c r="J4111" i="12"/>
  <c r="L4111" i="12"/>
  <c r="I4111" i="12"/>
  <c r="M4111" i="12"/>
  <c r="E4073" i="12"/>
  <c r="D4073" i="12"/>
  <c r="L4006" i="12"/>
  <c r="J4006" i="12"/>
  <c r="K4006" i="12"/>
  <c r="J4934" i="12"/>
  <c r="J4931" i="12"/>
  <c r="J4902" i="12"/>
  <c r="J4899" i="12"/>
  <c r="J4875" i="12"/>
  <c r="I4873" i="12"/>
  <c r="L4821" i="12"/>
  <c r="J4821" i="12"/>
  <c r="J4815" i="12"/>
  <c r="J4771" i="12"/>
  <c r="D4715" i="12"/>
  <c r="E4715" i="12"/>
  <c r="M4714" i="12"/>
  <c r="I4714" i="12"/>
  <c r="M4707" i="12"/>
  <c r="I4698" i="12"/>
  <c r="L4698" i="12"/>
  <c r="I4682" i="12"/>
  <c r="K4682" i="12"/>
  <c r="D4675" i="12"/>
  <c r="E4675" i="12"/>
  <c r="I4672" i="12"/>
  <c r="J4672" i="12"/>
  <c r="I4664" i="12"/>
  <c r="J4664" i="12"/>
  <c r="K4641" i="12"/>
  <c r="I4641" i="12"/>
  <c r="J4641" i="12"/>
  <c r="L4641" i="12"/>
  <c r="K4629" i="12"/>
  <c r="L4629" i="12"/>
  <c r="D4628" i="12"/>
  <c r="E4628" i="12"/>
  <c r="I4627" i="12"/>
  <c r="J4627" i="12"/>
  <c r="K4627" i="12"/>
  <c r="K4615" i="12"/>
  <c r="L4615" i="12"/>
  <c r="M4615" i="12"/>
  <c r="J4554" i="12"/>
  <c r="K4554" i="12"/>
  <c r="J4542" i="12"/>
  <c r="I4542" i="12"/>
  <c r="K4542" i="12"/>
  <c r="D4527" i="12"/>
  <c r="E4527" i="12"/>
  <c r="I4511" i="12"/>
  <c r="J4511" i="12"/>
  <c r="K4511" i="12"/>
  <c r="L4511" i="12"/>
  <c r="M4511" i="12"/>
  <c r="J4355" i="12"/>
  <c r="L4355" i="12"/>
  <c r="I4354" i="12"/>
  <c r="M4354" i="12"/>
  <c r="J4354" i="12"/>
  <c r="L4354" i="12"/>
  <c r="E4347" i="12"/>
  <c r="D4347" i="12"/>
  <c r="D4346" i="12"/>
  <c r="E4346" i="12"/>
  <c r="D4956" i="12"/>
  <c r="D4932" i="12"/>
  <c r="D4900" i="12"/>
  <c r="D4876" i="12"/>
  <c r="D4856" i="12"/>
  <c r="J4830" i="12"/>
  <c r="M4830" i="12"/>
  <c r="E4826" i="12"/>
  <c r="L4825" i="12"/>
  <c r="K4825" i="12"/>
  <c r="I4823" i="12"/>
  <c r="J4823" i="12"/>
  <c r="D4820" i="12"/>
  <c r="D4798" i="12"/>
  <c r="L4797" i="12"/>
  <c r="I4797" i="12"/>
  <c r="E4796" i="12"/>
  <c r="D4796" i="12"/>
  <c r="E4791" i="12"/>
  <c r="D4783" i="12"/>
  <c r="E4783" i="12"/>
  <c r="K4781" i="12"/>
  <c r="M4774" i="12"/>
  <c r="L4773" i="12"/>
  <c r="J4773" i="12"/>
  <c r="I4762" i="12"/>
  <c r="L4762" i="12"/>
  <c r="M4761" i="12"/>
  <c r="E4747" i="12"/>
  <c r="M4726" i="12"/>
  <c r="J4726" i="12"/>
  <c r="M4710" i="12"/>
  <c r="L4710" i="12"/>
  <c r="L4707" i="12"/>
  <c r="I4691" i="12"/>
  <c r="K4691" i="12"/>
  <c r="L4691" i="12"/>
  <c r="K4685" i="12"/>
  <c r="J4685" i="12"/>
  <c r="E4683" i="12"/>
  <c r="K4679" i="12"/>
  <c r="E4669" i="12"/>
  <c r="I4668" i="12"/>
  <c r="L4668" i="12"/>
  <c r="M4667" i="12"/>
  <c r="K4653" i="12"/>
  <c r="J4653" i="12"/>
  <c r="M4653" i="12"/>
  <c r="M4637" i="12"/>
  <c r="K4625" i="12"/>
  <c r="L4625" i="12"/>
  <c r="M4625" i="12"/>
  <c r="E4620" i="12"/>
  <c r="K4605" i="12"/>
  <c r="J4605" i="12"/>
  <c r="M4605" i="12"/>
  <c r="I4588" i="12"/>
  <c r="J4588" i="12"/>
  <c r="K4588" i="12"/>
  <c r="L4588" i="12"/>
  <c r="M4588" i="12"/>
  <c r="J4579" i="12"/>
  <c r="K4579" i="12"/>
  <c r="L4579" i="12"/>
  <c r="M4579" i="12"/>
  <c r="J4572" i="12"/>
  <c r="L4572" i="12"/>
  <c r="M4572" i="12"/>
  <c r="E4555" i="12"/>
  <c r="I4551" i="12"/>
  <c r="J4551" i="12"/>
  <c r="K4551" i="12"/>
  <c r="L4551" i="12"/>
  <c r="M4551" i="12"/>
  <c r="I4539" i="12"/>
  <c r="J4539" i="12"/>
  <c r="K4539" i="12"/>
  <c r="L4539" i="12"/>
  <c r="M4539" i="12"/>
  <c r="J4470" i="12"/>
  <c r="I4470" i="12"/>
  <c r="K4470" i="12"/>
  <c r="I4851" i="12"/>
  <c r="J4851" i="12"/>
  <c r="J4782" i="12"/>
  <c r="M4782" i="12"/>
  <c r="L4777" i="12"/>
  <c r="K4777" i="12"/>
  <c r="I4775" i="12"/>
  <c r="J4775" i="12"/>
  <c r="L4774" i="12"/>
  <c r="M4765" i="12"/>
  <c r="L4757" i="12"/>
  <c r="J4757" i="12"/>
  <c r="M4757" i="12"/>
  <c r="I4746" i="12"/>
  <c r="L4746" i="12"/>
  <c r="J4735" i="12"/>
  <c r="K4735" i="12"/>
  <c r="J4734" i="12"/>
  <c r="K4725" i="12"/>
  <c r="I4725" i="12"/>
  <c r="L4725" i="12"/>
  <c r="E4710" i="12"/>
  <c r="D4710" i="12"/>
  <c r="I4700" i="12"/>
  <c r="K4700" i="12"/>
  <c r="L4700" i="12"/>
  <c r="I4696" i="12"/>
  <c r="L4696" i="12"/>
  <c r="K4689" i="12"/>
  <c r="M4689" i="12"/>
  <c r="I4684" i="12"/>
  <c r="J4684" i="12"/>
  <c r="L4684" i="12"/>
  <c r="K4678" i="12"/>
  <c r="I4654" i="12"/>
  <c r="K4654" i="12"/>
  <c r="L4654" i="12"/>
  <c r="J4637" i="12"/>
  <c r="E4627" i="12"/>
  <c r="I4606" i="12"/>
  <c r="K4606" i="12"/>
  <c r="L4606" i="12"/>
  <c r="K4597" i="12"/>
  <c r="I4597" i="12"/>
  <c r="J4597" i="12"/>
  <c r="L4597" i="12"/>
  <c r="D4551" i="12"/>
  <c r="E4551" i="12"/>
  <c r="D4539" i="12"/>
  <c r="E4539" i="12"/>
  <c r="I4500" i="12"/>
  <c r="J4500" i="12"/>
  <c r="L4500" i="12"/>
  <c r="M4500" i="12"/>
  <c r="I4420" i="12"/>
  <c r="J4420" i="12"/>
  <c r="K4420" i="12"/>
  <c r="M4420" i="12"/>
  <c r="L4420" i="12"/>
  <c r="D4414" i="12"/>
  <c r="E4414" i="12"/>
  <c r="M4926" i="12"/>
  <c r="D4908" i="12"/>
  <c r="M4894" i="12"/>
  <c r="M4877" i="12"/>
  <c r="D4872" i="12"/>
  <c r="J4841" i="12"/>
  <c r="D4830" i="12"/>
  <c r="L4829" i="12"/>
  <c r="I4829" i="12"/>
  <c r="E4828" i="12"/>
  <c r="D4828" i="12"/>
  <c r="E4823" i="12"/>
  <c r="D4815" i="12"/>
  <c r="E4815" i="12"/>
  <c r="K4813" i="12"/>
  <c r="M4806" i="12"/>
  <c r="L4805" i="12"/>
  <c r="J4805" i="12"/>
  <c r="M4802" i="12"/>
  <c r="E4795" i="12"/>
  <c r="K4789" i="12"/>
  <c r="D4776" i="12"/>
  <c r="K4774" i="12"/>
  <c r="I4766" i="12"/>
  <c r="J4766" i="12"/>
  <c r="L4766" i="12"/>
  <c r="M4766" i="12"/>
  <c r="K4765" i="12"/>
  <c r="D4756" i="12"/>
  <c r="D4742" i="12"/>
  <c r="L4741" i="12"/>
  <c r="J4741" i="12"/>
  <c r="M4741" i="12"/>
  <c r="I4719" i="12"/>
  <c r="K4719" i="12"/>
  <c r="L4719" i="12"/>
  <c r="E4713" i="12"/>
  <c r="I4712" i="12"/>
  <c r="K4712" i="12"/>
  <c r="D4701" i="12"/>
  <c r="E4701" i="12"/>
  <c r="E4691" i="12"/>
  <c r="L4666" i="12"/>
  <c r="E4653" i="12"/>
  <c r="D4640" i="12"/>
  <c r="E4640" i="12"/>
  <c r="I4639" i="12"/>
  <c r="J4639" i="12"/>
  <c r="K4639" i="12"/>
  <c r="K4638" i="12"/>
  <c r="L4638" i="12"/>
  <c r="K4611" i="12"/>
  <c r="L4611" i="12"/>
  <c r="M4611" i="12"/>
  <c r="E4605" i="12"/>
  <c r="E4588" i="12"/>
  <c r="E4572" i="12"/>
  <c r="I4476" i="12"/>
  <c r="M4476" i="12"/>
  <c r="J4476" i="12"/>
  <c r="L4476" i="12"/>
  <c r="D4471" i="12"/>
  <c r="E4471" i="12"/>
  <c r="I4425" i="12"/>
  <c r="J4425" i="12"/>
  <c r="K4425" i="12"/>
  <c r="L4425" i="12"/>
  <c r="M4425" i="12"/>
  <c r="J4375" i="12"/>
  <c r="L4375" i="12"/>
  <c r="I4374" i="12"/>
  <c r="M4374" i="12"/>
  <c r="J4374" i="12"/>
  <c r="L4374" i="12"/>
  <c r="L4781" i="12"/>
  <c r="I4781" i="12"/>
  <c r="E4780" i="12"/>
  <c r="D4780" i="12"/>
  <c r="D4767" i="12"/>
  <c r="E4767" i="12"/>
  <c r="L4761" i="12"/>
  <c r="J4761" i="12"/>
  <c r="K4761" i="12"/>
  <c r="I4759" i="12"/>
  <c r="J4759" i="12"/>
  <c r="I4750" i="12"/>
  <c r="J4750" i="12"/>
  <c r="L4750" i="12"/>
  <c r="M4750" i="12"/>
  <c r="I4728" i="12"/>
  <c r="K4728" i="12"/>
  <c r="E4712" i="12"/>
  <c r="D4712" i="12"/>
  <c r="J4707" i="12"/>
  <c r="K4707" i="12"/>
  <c r="I4694" i="12"/>
  <c r="K4694" i="12"/>
  <c r="J4679" i="12"/>
  <c r="L4679" i="12"/>
  <c r="M4679" i="12"/>
  <c r="I4667" i="12"/>
  <c r="K4667" i="12"/>
  <c r="L4667" i="12"/>
  <c r="K4666" i="12"/>
  <c r="J4632" i="12"/>
  <c r="K4618" i="12"/>
  <c r="L4618" i="12"/>
  <c r="M4600" i="12"/>
  <c r="I4581" i="12"/>
  <c r="I4565" i="12"/>
  <c r="J4498" i="12"/>
  <c r="I4498" i="12"/>
  <c r="K4498" i="12"/>
  <c r="I4480" i="12"/>
  <c r="J4480" i="12"/>
  <c r="L4480" i="12"/>
  <c r="M4480" i="12"/>
  <c r="D4476" i="12"/>
  <c r="E4476" i="12"/>
  <c r="I4433" i="12"/>
  <c r="L4433" i="12"/>
  <c r="M4433" i="12"/>
  <c r="J4433" i="12"/>
  <c r="K4433" i="12"/>
  <c r="I4432" i="12"/>
  <c r="J4432" i="12"/>
  <c r="K4432" i="12"/>
  <c r="M4432" i="12"/>
  <c r="L4432" i="12"/>
  <c r="I4385" i="12"/>
  <c r="L4385" i="12"/>
  <c r="M4385" i="12"/>
  <c r="J4385" i="12"/>
  <c r="K4385" i="12"/>
  <c r="D4381" i="12"/>
  <c r="E4381" i="12"/>
  <c r="J4717" i="12"/>
  <c r="J4657" i="12"/>
  <c r="J4636" i="12"/>
  <c r="J4621" i="12"/>
  <c r="I4613" i="12"/>
  <c r="I4609" i="12"/>
  <c r="K4598" i="12"/>
  <c r="K4583" i="12"/>
  <c r="I4574" i="12"/>
  <c r="K4567" i="12"/>
  <c r="I4562" i="12"/>
  <c r="I4561" i="12"/>
  <c r="M4548" i="12"/>
  <c r="L4543" i="12"/>
  <c r="J4536" i="12"/>
  <c r="I4534" i="12"/>
  <c r="J4524" i="12"/>
  <c r="I4522" i="12"/>
  <c r="K4515" i="12"/>
  <c r="J4508" i="12"/>
  <c r="I4506" i="12"/>
  <c r="M4504" i="12"/>
  <c r="L4499" i="12"/>
  <c r="J4496" i="12"/>
  <c r="I4494" i="12"/>
  <c r="M4488" i="12"/>
  <c r="K4479" i="12"/>
  <c r="J4454" i="12"/>
  <c r="I4454" i="12"/>
  <c r="K4454" i="12"/>
  <c r="E4348" i="12"/>
  <c r="D4348" i="12"/>
  <c r="M4183" i="12"/>
  <c r="I4183" i="12"/>
  <c r="J4183" i="12"/>
  <c r="K4183" i="12"/>
  <c r="L4183" i="12"/>
  <c r="L4078" i="12"/>
  <c r="J4078" i="12"/>
  <c r="K4078" i="12"/>
  <c r="D4033" i="12"/>
  <c r="E4033" i="12"/>
  <c r="D4029" i="12"/>
  <c r="E4029" i="12"/>
  <c r="J4583" i="12"/>
  <c r="J4567" i="12"/>
  <c r="L4557" i="12"/>
  <c r="L4548" i="12"/>
  <c r="K4546" i="12"/>
  <c r="K4543" i="12"/>
  <c r="M4532" i="12"/>
  <c r="J4515" i="12"/>
  <c r="L4504" i="12"/>
  <c r="K4502" i="12"/>
  <c r="K4499" i="12"/>
  <c r="L4488" i="12"/>
  <c r="K4486" i="12"/>
  <c r="M4484" i="12"/>
  <c r="J4479" i="12"/>
  <c r="I4475" i="12"/>
  <c r="J4475" i="12"/>
  <c r="K4467" i="12"/>
  <c r="L4467" i="12"/>
  <c r="M4467" i="12"/>
  <c r="D4418" i="12"/>
  <c r="E4418" i="12"/>
  <c r="D4417" i="12"/>
  <c r="E4417" i="12"/>
  <c r="K4412" i="12"/>
  <c r="L4412" i="12"/>
  <c r="M4412" i="12"/>
  <c r="I4412" i="12"/>
  <c r="K4344" i="12"/>
  <c r="L4344" i="12"/>
  <c r="M4344" i="12"/>
  <c r="I4344" i="12"/>
  <c r="E4340" i="12"/>
  <c r="D4340" i="12"/>
  <c r="J4327" i="12"/>
  <c r="L4327" i="12"/>
  <c r="I4308" i="12"/>
  <c r="J4308" i="12"/>
  <c r="K4308" i="12"/>
  <c r="M4308" i="12"/>
  <c r="E4231" i="12"/>
  <c r="D4231" i="12"/>
  <c r="I4193" i="12"/>
  <c r="L4193" i="12"/>
  <c r="M4193" i="12"/>
  <c r="I4165" i="12"/>
  <c r="L4165" i="12"/>
  <c r="M4165" i="12"/>
  <c r="I4546" i="12"/>
  <c r="J4543" i="12"/>
  <c r="L4532" i="12"/>
  <c r="K4530" i="12"/>
  <c r="J4504" i="12"/>
  <c r="I4502" i="12"/>
  <c r="J4499" i="12"/>
  <c r="J4488" i="12"/>
  <c r="I4486" i="12"/>
  <c r="L4484" i="12"/>
  <c r="K4482" i="12"/>
  <c r="D4467" i="12"/>
  <c r="E4467" i="12"/>
  <c r="K4463" i="12"/>
  <c r="L4441" i="12"/>
  <c r="K4436" i="12"/>
  <c r="I4393" i="12"/>
  <c r="L4393" i="12"/>
  <c r="M4393" i="12"/>
  <c r="J4393" i="12"/>
  <c r="E4373" i="12"/>
  <c r="D4373" i="12"/>
  <c r="K4368" i="12"/>
  <c r="L4368" i="12"/>
  <c r="M4368" i="12"/>
  <c r="I4368" i="12"/>
  <c r="J4359" i="12"/>
  <c r="L4359" i="12"/>
  <c r="E4353" i="12"/>
  <c r="D4353" i="12"/>
  <c r="I4326" i="12"/>
  <c r="M4326" i="12"/>
  <c r="J4326" i="12"/>
  <c r="I4224" i="12"/>
  <c r="J4224" i="12"/>
  <c r="K4224" i="12"/>
  <c r="L4224" i="12"/>
  <c r="M4224" i="12"/>
  <c r="E4217" i="12"/>
  <c r="D4217" i="12"/>
  <c r="D4205" i="12"/>
  <c r="E4205" i="12"/>
  <c r="E4180" i="12"/>
  <c r="D4180" i="12"/>
  <c r="J4125" i="12"/>
  <c r="I4125" i="12"/>
  <c r="K4125" i="12"/>
  <c r="L4125" i="12"/>
  <c r="M4125" i="12"/>
  <c r="M4769" i="12"/>
  <c r="M4753" i="12"/>
  <c r="M4680" i="12"/>
  <c r="D4646" i="12"/>
  <c r="E4643" i="12"/>
  <c r="D4602" i="12"/>
  <c r="D4577" i="12"/>
  <c r="E4559" i="12"/>
  <c r="D4549" i="12"/>
  <c r="J4532" i="12"/>
  <c r="I4530" i="12"/>
  <c r="E4519" i="12"/>
  <c r="E4491" i="12"/>
  <c r="J4484" i="12"/>
  <c r="I4482" i="12"/>
  <c r="I4472" i="12"/>
  <c r="J4472" i="12"/>
  <c r="J4422" i="12"/>
  <c r="L4422" i="12"/>
  <c r="M4422" i="12"/>
  <c r="E4404" i="12"/>
  <c r="D4404" i="12"/>
  <c r="E4403" i="12"/>
  <c r="D4403" i="12"/>
  <c r="D4394" i="12"/>
  <c r="E4394" i="12"/>
  <c r="I4392" i="12"/>
  <c r="J4392" i="12"/>
  <c r="K4392" i="12"/>
  <c r="M4392" i="12"/>
  <c r="D4342" i="12"/>
  <c r="E4342" i="12"/>
  <c r="E4331" i="12"/>
  <c r="D4331" i="12"/>
  <c r="E4319" i="12"/>
  <c r="D4319" i="12"/>
  <c r="E4307" i="12"/>
  <c r="D4307" i="12"/>
  <c r="K4290" i="12"/>
  <c r="J4290" i="12"/>
  <c r="L4290" i="12"/>
  <c r="M4290" i="12"/>
  <c r="I4256" i="12"/>
  <c r="J4256" i="12"/>
  <c r="K4256" i="12"/>
  <c r="L4256" i="12"/>
  <c r="M4256" i="12"/>
  <c r="K4099" i="12"/>
  <c r="J4099" i="12"/>
  <c r="L4099" i="12"/>
  <c r="M4099" i="12"/>
  <c r="I4099" i="12"/>
  <c r="E4098" i="12"/>
  <c r="D4098" i="12"/>
  <c r="D4472" i="12"/>
  <c r="E4472" i="12"/>
  <c r="I4456" i="12"/>
  <c r="J4456" i="12"/>
  <c r="L4456" i="12"/>
  <c r="J4450" i="12"/>
  <c r="I4450" i="12"/>
  <c r="K4450" i="12"/>
  <c r="I4447" i="12"/>
  <c r="J4447" i="12"/>
  <c r="L4447" i="12"/>
  <c r="M4447" i="12"/>
  <c r="I4443" i="12"/>
  <c r="J4443" i="12"/>
  <c r="K4443" i="12"/>
  <c r="M4443" i="12"/>
  <c r="I4415" i="12"/>
  <c r="J4415" i="12"/>
  <c r="L4415" i="12"/>
  <c r="E4409" i="12"/>
  <c r="D4409" i="12"/>
  <c r="K4400" i="12"/>
  <c r="L4400" i="12"/>
  <c r="M4400" i="12"/>
  <c r="I4400" i="12"/>
  <c r="E4360" i="12"/>
  <c r="D4360" i="12"/>
  <c r="I4325" i="12"/>
  <c r="J4325" i="12"/>
  <c r="K4325" i="12"/>
  <c r="L4325" i="12"/>
  <c r="E4320" i="12"/>
  <c r="D4320" i="12"/>
  <c r="I4297" i="12"/>
  <c r="J4297" i="12"/>
  <c r="K4297" i="12"/>
  <c r="L4297" i="12"/>
  <c r="M4297" i="12"/>
  <c r="I4249" i="12"/>
  <c r="L4249" i="12"/>
  <c r="M4249" i="12"/>
  <c r="M4215" i="12"/>
  <c r="I4215" i="12"/>
  <c r="J4215" i="12"/>
  <c r="K4215" i="12"/>
  <c r="L4215" i="12"/>
  <c r="I4200" i="12"/>
  <c r="J4200" i="12"/>
  <c r="K4200" i="12"/>
  <c r="L4200" i="12"/>
  <c r="M4200" i="12"/>
  <c r="E4195" i="12"/>
  <c r="D4195" i="12"/>
  <c r="I4157" i="12"/>
  <c r="L4157" i="12"/>
  <c r="M4157" i="12"/>
  <c r="D4117" i="12"/>
  <c r="E4117" i="12"/>
  <c r="E4483" i="12"/>
  <c r="L4463" i="12"/>
  <c r="M4463" i="12"/>
  <c r="I4463" i="12"/>
  <c r="D4456" i="12"/>
  <c r="E4456" i="12"/>
  <c r="D4447" i="12"/>
  <c r="E4447" i="12"/>
  <c r="D4444" i="12"/>
  <c r="E4444" i="12"/>
  <c r="I4441" i="12"/>
  <c r="M4441" i="12"/>
  <c r="J4441" i="12"/>
  <c r="I4440" i="12"/>
  <c r="J4440" i="12"/>
  <c r="K4440" i="12"/>
  <c r="M4440" i="12"/>
  <c r="L4436" i="12"/>
  <c r="M4436" i="12"/>
  <c r="I4436" i="12"/>
  <c r="J4430" i="12"/>
  <c r="L4430" i="12"/>
  <c r="I4397" i="12"/>
  <c r="J4397" i="12"/>
  <c r="K4397" i="12"/>
  <c r="L4397" i="12"/>
  <c r="I4377" i="12"/>
  <c r="L4377" i="12"/>
  <c r="M4377" i="12"/>
  <c r="J4377" i="12"/>
  <c r="K4357" i="12"/>
  <c r="L4357" i="12"/>
  <c r="M4357" i="12"/>
  <c r="I4357" i="12"/>
  <c r="I4334" i="12"/>
  <c r="J4334" i="12"/>
  <c r="L4334" i="12"/>
  <c r="M4334" i="12"/>
  <c r="E4267" i="12"/>
  <c r="D4267" i="12"/>
  <c r="E4101" i="12"/>
  <c r="D4101" i="12"/>
  <c r="L4468" i="12"/>
  <c r="K4466" i="12"/>
  <c r="L4298" i="12"/>
  <c r="K4281" i="12"/>
  <c r="J4278" i="12"/>
  <c r="I4275" i="12"/>
  <c r="J4262" i="12"/>
  <c r="L4241" i="12"/>
  <c r="I4232" i="12"/>
  <c r="L4225" i="12"/>
  <c r="I4211" i="12"/>
  <c r="I4196" i="12"/>
  <c r="L4189" i="12"/>
  <c r="I4179" i="12"/>
  <c r="M4147" i="12"/>
  <c r="L4147" i="12"/>
  <c r="I4145" i="12"/>
  <c r="M4145" i="12"/>
  <c r="M4143" i="12"/>
  <c r="L4143" i="12"/>
  <c r="I4141" i="12"/>
  <c r="M4141" i="12"/>
  <c r="E4099" i="12"/>
  <c r="D4099" i="12"/>
  <c r="K4083" i="12"/>
  <c r="I4083" i="12"/>
  <c r="J4083" i="12"/>
  <c r="L4083" i="12"/>
  <c r="K4082" i="12"/>
  <c r="I4021" i="12"/>
  <c r="J4021" i="12"/>
  <c r="K4021" i="12"/>
  <c r="M4021" i="12"/>
  <c r="D4011" i="12"/>
  <c r="E4011" i="12"/>
  <c r="I3974" i="12"/>
  <c r="J3974" i="12"/>
  <c r="K3974" i="12"/>
  <c r="L3974" i="12"/>
  <c r="M3974" i="12"/>
  <c r="J3859" i="12"/>
  <c r="K3859" i="12"/>
  <c r="L3859" i="12"/>
  <c r="I3841" i="12"/>
  <c r="J3841" i="12"/>
  <c r="K3841" i="12"/>
  <c r="L3841" i="12"/>
  <c r="K3830" i="12"/>
  <c r="I3830" i="12"/>
  <c r="J3830" i="12"/>
  <c r="L3830" i="12"/>
  <c r="M3830" i="12"/>
  <c r="E3783" i="12"/>
  <c r="D3783" i="12"/>
  <c r="E3772" i="12"/>
  <c r="D3772" i="12"/>
  <c r="L3688" i="12"/>
  <c r="J3688" i="12"/>
  <c r="K3657" i="12"/>
  <c r="I3657" i="12"/>
  <c r="J3657" i="12"/>
  <c r="L3657" i="12"/>
  <c r="M3657" i="12"/>
  <c r="E3629" i="12"/>
  <c r="D3629" i="12"/>
  <c r="M4417" i="12"/>
  <c r="D4249" i="12"/>
  <c r="D4224" i="12"/>
  <c r="D4215" i="12"/>
  <c r="D4200" i="12"/>
  <c r="D4183" i="12"/>
  <c r="J4108" i="12"/>
  <c r="D4097" i="12"/>
  <c r="K4055" i="12"/>
  <c r="I4055" i="12"/>
  <c r="J4055" i="12"/>
  <c r="L4055" i="12"/>
  <c r="E3965" i="12"/>
  <c r="D3965" i="12"/>
  <c r="D3874" i="12"/>
  <c r="E3874" i="12"/>
  <c r="K4123" i="12"/>
  <c r="J4123" i="12"/>
  <c r="I4109" i="12"/>
  <c r="J4109" i="12"/>
  <c r="K4109" i="12"/>
  <c r="K4069" i="12"/>
  <c r="L4069" i="12"/>
  <c r="M4069" i="12"/>
  <c r="I4069" i="12"/>
  <c r="K4037" i="12"/>
  <c r="L4037" i="12"/>
  <c r="M4037" i="12"/>
  <c r="I4037" i="12"/>
  <c r="I3970" i="12"/>
  <c r="J3970" i="12"/>
  <c r="K3970" i="12"/>
  <c r="L3970" i="12"/>
  <c r="M3970" i="12"/>
  <c r="M3911" i="12"/>
  <c r="L3911" i="12"/>
  <c r="I3906" i="12"/>
  <c r="J3906" i="12"/>
  <c r="K3906" i="12"/>
  <c r="L3906" i="12"/>
  <c r="M3906" i="12"/>
  <c r="I3880" i="12"/>
  <c r="J3880" i="12"/>
  <c r="K3880" i="12"/>
  <c r="L3880" i="12"/>
  <c r="M3880" i="12"/>
  <c r="K3810" i="12"/>
  <c r="M3810" i="12"/>
  <c r="I3810" i="12"/>
  <c r="J3810" i="12"/>
  <c r="L3810" i="12"/>
  <c r="L4428" i="12"/>
  <c r="K4417" i="12"/>
  <c r="J4413" i="12"/>
  <c r="K4409" i="12"/>
  <c r="M4405" i="12"/>
  <c r="J4404" i="12"/>
  <c r="K4401" i="12"/>
  <c r="L4394" i="12"/>
  <c r="L4386" i="12"/>
  <c r="L4384" i="12"/>
  <c r="J4382" i="12"/>
  <c r="J4380" i="12"/>
  <c r="J4376" i="12"/>
  <c r="K4373" i="12"/>
  <c r="J4369" i="12"/>
  <c r="J4366" i="12"/>
  <c r="M4365" i="12"/>
  <c r="M4360" i="12"/>
  <c r="J4358" i="12"/>
  <c r="J4356" i="12"/>
  <c r="K4353" i="12"/>
  <c r="L4350" i="12"/>
  <c r="J4348" i="12"/>
  <c r="J4345" i="12"/>
  <c r="L4342" i="12"/>
  <c r="J4340" i="12"/>
  <c r="M4337" i="12"/>
  <c r="L4332" i="12"/>
  <c r="J4321" i="12"/>
  <c r="M4320" i="12"/>
  <c r="M4312" i="12"/>
  <c r="L4310" i="12"/>
  <c r="M4300" i="12"/>
  <c r="M4293" i="12"/>
  <c r="J4288" i="12"/>
  <c r="M4284" i="12"/>
  <c r="D4283" i="12"/>
  <c r="L4280" i="12"/>
  <c r="L4276" i="12"/>
  <c r="M4272" i="12"/>
  <c r="E4272" i="12"/>
  <c r="J4267" i="12"/>
  <c r="D4263" i="12"/>
  <c r="L4260" i="12"/>
  <c r="J4251" i="12"/>
  <c r="J4244" i="12"/>
  <c r="D4243" i="12"/>
  <c r="M4236" i="12"/>
  <c r="D4236" i="12"/>
  <c r="M4233" i="12"/>
  <c r="J4231" i="12"/>
  <c r="D4227" i="12"/>
  <c r="M4220" i="12"/>
  <c r="D4220" i="12"/>
  <c r="M4217" i="12"/>
  <c r="J4212" i="12"/>
  <c r="M4208" i="12"/>
  <c r="D4208" i="12"/>
  <c r="M4205" i="12"/>
  <c r="L4203" i="12"/>
  <c r="E4201" i="12"/>
  <c r="J4195" i="12"/>
  <c r="D4191" i="12"/>
  <c r="L4188" i="12"/>
  <c r="J4180" i="12"/>
  <c r="M4176" i="12"/>
  <c r="D4176" i="12"/>
  <c r="E4171" i="12"/>
  <c r="M4168" i="12"/>
  <c r="D4168" i="12"/>
  <c r="E4163" i="12"/>
  <c r="M4160" i="12"/>
  <c r="D4160" i="12"/>
  <c r="E4155" i="12"/>
  <c r="M4152" i="12"/>
  <c r="D4152" i="12"/>
  <c r="E4133" i="12"/>
  <c r="D4128" i="12"/>
  <c r="J4106" i="12"/>
  <c r="K4106" i="12"/>
  <c r="L4106" i="12"/>
  <c r="K4075" i="12"/>
  <c r="I4075" i="12"/>
  <c r="J4075" i="12"/>
  <c r="L4075" i="12"/>
  <c r="L4054" i="12"/>
  <c r="J4054" i="12"/>
  <c r="K4051" i="12"/>
  <c r="L4051" i="12"/>
  <c r="M4051" i="12"/>
  <c r="I4051" i="12"/>
  <c r="K4035" i="12"/>
  <c r="I4035" i="12"/>
  <c r="J4035" i="12"/>
  <c r="L4035" i="12"/>
  <c r="K4003" i="12"/>
  <c r="I4003" i="12"/>
  <c r="J4003" i="12"/>
  <c r="L4003" i="12"/>
  <c r="E3933" i="12"/>
  <c r="D3933" i="12"/>
  <c r="K3912" i="12"/>
  <c r="I3912" i="12"/>
  <c r="J3912" i="12"/>
  <c r="E3832" i="12"/>
  <c r="D3832" i="12"/>
  <c r="K3803" i="12"/>
  <c r="J3803" i="12"/>
  <c r="E3715" i="12"/>
  <c r="D3715" i="12"/>
  <c r="E4463" i="12"/>
  <c r="M4448" i="12"/>
  <c r="D4441" i="12"/>
  <c r="D4436" i="12"/>
  <c r="K4428" i="12"/>
  <c r="J4417" i="12"/>
  <c r="J4409" i="12"/>
  <c r="L4405" i="12"/>
  <c r="J4401" i="12"/>
  <c r="K4384" i="12"/>
  <c r="M4381" i="12"/>
  <c r="L4379" i="12"/>
  <c r="J4373" i="12"/>
  <c r="M4370" i="12"/>
  <c r="L4365" i="12"/>
  <c r="M4362" i="12"/>
  <c r="L4360" i="12"/>
  <c r="I4356" i="12"/>
  <c r="J4353" i="12"/>
  <c r="J4350" i="12"/>
  <c r="M4349" i="12"/>
  <c r="J4342" i="12"/>
  <c r="L4337" i="12"/>
  <c r="K4332" i="12"/>
  <c r="M4329" i="12"/>
  <c r="M4322" i="12"/>
  <c r="L4320" i="12"/>
  <c r="M4317" i="12"/>
  <c r="M4314" i="12"/>
  <c r="L4312" i="12"/>
  <c r="J4310" i="12"/>
  <c r="M4305" i="12"/>
  <c r="M4302" i="12"/>
  <c r="L4300" i="12"/>
  <c r="E4298" i="12"/>
  <c r="L4293" i="12"/>
  <c r="L4287" i="12"/>
  <c r="L4284" i="12"/>
  <c r="E4281" i="12"/>
  <c r="K4280" i="12"/>
  <c r="E4278" i="12"/>
  <c r="K4276" i="12"/>
  <c r="D4275" i="12"/>
  <c r="L4272" i="12"/>
  <c r="I4267" i="12"/>
  <c r="L4263" i="12"/>
  <c r="K4260" i="12"/>
  <c r="I4251" i="12"/>
  <c r="L4243" i="12"/>
  <c r="D4241" i="12"/>
  <c r="L4236" i="12"/>
  <c r="L4233" i="12"/>
  <c r="M4232" i="12"/>
  <c r="D4232" i="12"/>
  <c r="I4231" i="12"/>
  <c r="L4227" i="12"/>
  <c r="D4225" i="12"/>
  <c r="L4220" i="12"/>
  <c r="L4217" i="12"/>
  <c r="D4211" i="12"/>
  <c r="L4208" i="12"/>
  <c r="L4205" i="12"/>
  <c r="K4203" i="12"/>
  <c r="M4196" i="12"/>
  <c r="D4196" i="12"/>
  <c r="I4195" i="12"/>
  <c r="L4191" i="12"/>
  <c r="E4189" i="12"/>
  <c r="K4188" i="12"/>
  <c r="D4179" i="12"/>
  <c r="L4176" i="12"/>
  <c r="L4171" i="12"/>
  <c r="L4168" i="12"/>
  <c r="L4163" i="12"/>
  <c r="L4160" i="12"/>
  <c r="L4155" i="12"/>
  <c r="L4152" i="12"/>
  <c r="K4147" i="12"/>
  <c r="K4143" i="12"/>
  <c r="E4137" i="12"/>
  <c r="M4133" i="12"/>
  <c r="M4132" i="12"/>
  <c r="L4132" i="12"/>
  <c r="I4130" i="12"/>
  <c r="L4130" i="12"/>
  <c r="K4127" i="12"/>
  <c r="M4127" i="12"/>
  <c r="E4119" i="12"/>
  <c r="I4117" i="12"/>
  <c r="E4108" i="12"/>
  <c r="D4108" i="12"/>
  <c r="J4093" i="12"/>
  <c r="K4093" i="12"/>
  <c r="L4093" i="12"/>
  <c r="M4093" i="12"/>
  <c r="D4067" i="12"/>
  <c r="E4067" i="12"/>
  <c r="K4017" i="12"/>
  <c r="L4017" i="12"/>
  <c r="M4017" i="12"/>
  <c r="I4017" i="12"/>
  <c r="I3901" i="12"/>
  <c r="J3901" i="12"/>
  <c r="K3901" i="12"/>
  <c r="L3901" i="12"/>
  <c r="M3901" i="12"/>
  <c r="M3891" i="12"/>
  <c r="L3891" i="12"/>
  <c r="E3882" i="12"/>
  <c r="D3882" i="12"/>
  <c r="E3871" i="12"/>
  <c r="D3871" i="12"/>
  <c r="J3857" i="12"/>
  <c r="K3857" i="12"/>
  <c r="L3857" i="12"/>
  <c r="I3804" i="12"/>
  <c r="J3804" i="12"/>
  <c r="M3804" i="12"/>
  <c r="K3804" i="12"/>
  <c r="L3804" i="12"/>
  <c r="K3738" i="12"/>
  <c r="I3738" i="12"/>
  <c r="J3738" i="12"/>
  <c r="L3738" i="12"/>
  <c r="M3738" i="12"/>
  <c r="E3727" i="12"/>
  <c r="D3727" i="12"/>
  <c r="L4448" i="12"/>
  <c r="K4446" i="12"/>
  <c r="M4444" i="12"/>
  <c r="D4408" i="12"/>
  <c r="K4405" i="12"/>
  <c r="L4403" i="12"/>
  <c r="J4384" i="12"/>
  <c r="L4381" i="12"/>
  <c r="J4379" i="12"/>
  <c r="L4370" i="12"/>
  <c r="K4365" i="12"/>
  <c r="L4362" i="12"/>
  <c r="K4360" i="12"/>
  <c r="D4351" i="12"/>
  <c r="L4349" i="12"/>
  <c r="M4346" i="12"/>
  <c r="D4343" i="12"/>
  <c r="L4339" i="12"/>
  <c r="E4338" i="12"/>
  <c r="K4337" i="12"/>
  <c r="J4332" i="12"/>
  <c r="L4329" i="12"/>
  <c r="D4324" i="12"/>
  <c r="L4322" i="12"/>
  <c r="K4320" i="12"/>
  <c r="L4317" i="12"/>
  <c r="L4314" i="12"/>
  <c r="K4312" i="12"/>
  <c r="D4311" i="12"/>
  <c r="L4305" i="12"/>
  <c r="L4302" i="12"/>
  <c r="K4300" i="12"/>
  <c r="D4296" i="12"/>
  <c r="K4293" i="12"/>
  <c r="L4289" i="12"/>
  <c r="K4287" i="12"/>
  <c r="K4284" i="12"/>
  <c r="J4280" i="12"/>
  <c r="J4276" i="12"/>
  <c r="K4272" i="12"/>
  <c r="J4266" i="12"/>
  <c r="K4263" i="12"/>
  <c r="J4260" i="12"/>
  <c r="M4245" i="12"/>
  <c r="K4243" i="12"/>
  <c r="K4236" i="12"/>
  <c r="L4232" i="12"/>
  <c r="K4227" i="12"/>
  <c r="K4220" i="12"/>
  <c r="M4213" i="12"/>
  <c r="L4211" i="12"/>
  <c r="K4208" i="12"/>
  <c r="J4203" i="12"/>
  <c r="L4196" i="12"/>
  <c r="K4191" i="12"/>
  <c r="J4188" i="12"/>
  <c r="M4181" i="12"/>
  <c r="L4179" i="12"/>
  <c r="K4176" i="12"/>
  <c r="K4171" i="12"/>
  <c r="K4168" i="12"/>
  <c r="K4163" i="12"/>
  <c r="K4160" i="12"/>
  <c r="K4155" i="12"/>
  <c r="K4152" i="12"/>
  <c r="J4147" i="12"/>
  <c r="J4143" i="12"/>
  <c r="I4138" i="12"/>
  <c r="L4138" i="12"/>
  <c r="K4133" i="12"/>
  <c r="E4126" i="12"/>
  <c r="D4126" i="12"/>
  <c r="L4116" i="12"/>
  <c r="D4093" i="12"/>
  <c r="E4093" i="12"/>
  <c r="K4089" i="12"/>
  <c r="L4089" i="12"/>
  <c r="M4089" i="12"/>
  <c r="I4089" i="12"/>
  <c r="E4086" i="12"/>
  <c r="D4086" i="12"/>
  <c r="L4074" i="12"/>
  <c r="J4074" i="12"/>
  <c r="L4058" i="12"/>
  <c r="J4058" i="12"/>
  <c r="K4058" i="12"/>
  <c r="D4053" i="12"/>
  <c r="E4053" i="12"/>
  <c r="D4049" i="12"/>
  <c r="E4049" i="12"/>
  <c r="L4034" i="12"/>
  <c r="J4034" i="12"/>
  <c r="K4031" i="12"/>
  <c r="L4031" i="12"/>
  <c r="M4031" i="12"/>
  <c r="I4031" i="12"/>
  <c r="M3943" i="12"/>
  <c r="L3943" i="12"/>
  <c r="I3938" i="12"/>
  <c r="J3938" i="12"/>
  <c r="K3938" i="12"/>
  <c r="L3938" i="12"/>
  <c r="M3938" i="12"/>
  <c r="D3923" i="12"/>
  <c r="E3923" i="12"/>
  <c r="I3921" i="12"/>
  <c r="J3921" i="12"/>
  <c r="K3921" i="12"/>
  <c r="L3921" i="12"/>
  <c r="M3921" i="12"/>
  <c r="K3892" i="12"/>
  <c r="I3892" i="12"/>
  <c r="J3892" i="12"/>
  <c r="E3861" i="12"/>
  <c r="D3861" i="12"/>
  <c r="D3846" i="12"/>
  <c r="E3846" i="12"/>
  <c r="E3820" i="12"/>
  <c r="D3820" i="12"/>
  <c r="J4405" i="12"/>
  <c r="K4381" i="12"/>
  <c r="J4370" i="12"/>
  <c r="J4365" i="12"/>
  <c r="J4362" i="12"/>
  <c r="K4349" i="12"/>
  <c r="L4346" i="12"/>
  <c r="J4337" i="12"/>
  <c r="K4329" i="12"/>
  <c r="J4322" i="12"/>
  <c r="K4317" i="12"/>
  <c r="J4314" i="12"/>
  <c r="K4305" i="12"/>
  <c r="J4302" i="12"/>
  <c r="J4293" i="12"/>
  <c r="K4289" i="12"/>
  <c r="J4287" i="12"/>
  <c r="J4263" i="12"/>
  <c r="L4245" i="12"/>
  <c r="J4243" i="12"/>
  <c r="J4227" i="12"/>
  <c r="L4213" i="12"/>
  <c r="K4211" i="12"/>
  <c r="I4203" i="12"/>
  <c r="M4201" i="12"/>
  <c r="J4191" i="12"/>
  <c r="L4181" i="12"/>
  <c r="K4179" i="12"/>
  <c r="J4171" i="12"/>
  <c r="J4163" i="12"/>
  <c r="J4155" i="12"/>
  <c r="I4147" i="12"/>
  <c r="L4145" i="12"/>
  <c r="I4143" i="12"/>
  <c r="L4141" i="12"/>
  <c r="J4133" i="12"/>
  <c r="M4123" i="12"/>
  <c r="M4083" i="12"/>
  <c r="D4063" i="12"/>
  <c r="E4063" i="12"/>
  <c r="I4041" i="12"/>
  <c r="J4041" i="12"/>
  <c r="K4041" i="12"/>
  <c r="M4041" i="12"/>
  <c r="L4021" i="12"/>
  <c r="D4015" i="12"/>
  <c r="E4015" i="12"/>
  <c r="K3944" i="12"/>
  <c r="I3944" i="12"/>
  <c r="J3944" i="12"/>
  <c r="D3903" i="12"/>
  <c r="E3903" i="12"/>
  <c r="E3862" i="12"/>
  <c r="D3862" i="12"/>
  <c r="J3816" i="12"/>
  <c r="I3816" i="12"/>
  <c r="K3816" i="12"/>
  <c r="L3816" i="12"/>
  <c r="M3816" i="12"/>
  <c r="I3793" i="12"/>
  <c r="J3793" i="12"/>
  <c r="K3793" i="12"/>
  <c r="L3793" i="12"/>
  <c r="L4135" i="12"/>
  <c r="L4119" i="12"/>
  <c r="M4107" i="12"/>
  <c r="L4101" i="12"/>
  <c r="M4097" i="12"/>
  <c r="J4095" i="12"/>
  <c r="M4091" i="12"/>
  <c r="M4081" i="12"/>
  <c r="L4079" i="12"/>
  <c r="M4073" i="12"/>
  <c r="J4071" i="12"/>
  <c r="L4065" i="12"/>
  <c r="L4059" i="12"/>
  <c r="M4053" i="12"/>
  <c r="M4047" i="12"/>
  <c r="K4042" i="12"/>
  <c r="J4039" i="12"/>
  <c r="M4033" i="12"/>
  <c r="M4027" i="12"/>
  <c r="K4022" i="12"/>
  <c r="J4019" i="12"/>
  <c r="L4013" i="12"/>
  <c r="L4007" i="12"/>
  <c r="J4002" i="12"/>
  <c r="M4001" i="12"/>
  <c r="I3999" i="12"/>
  <c r="M3995" i="12"/>
  <c r="K3990" i="12"/>
  <c r="J3987" i="12"/>
  <c r="I3985" i="12"/>
  <c r="L3980" i="12"/>
  <c r="I3977" i="12"/>
  <c r="K3976" i="12"/>
  <c r="M3965" i="12"/>
  <c r="K3962" i="12"/>
  <c r="L3957" i="12"/>
  <c r="K3954" i="12"/>
  <c r="I3949" i="12"/>
  <c r="L3945" i="12"/>
  <c r="I3940" i="12"/>
  <c r="L3939" i="12"/>
  <c r="J3934" i="12"/>
  <c r="M3933" i="12"/>
  <c r="M3930" i="12"/>
  <c r="J3928" i="12"/>
  <c r="K3922" i="12"/>
  <c r="I3917" i="12"/>
  <c r="L3913" i="12"/>
  <c r="I3908" i="12"/>
  <c r="L3907" i="12"/>
  <c r="J3902" i="12"/>
  <c r="I3897" i="12"/>
  <c r="L3893" i="12"/>
  <c r="K3890" i="12"/>
  <c r="J3884" i="12"/>
  <c r="J3881" i="12"/>
  <c r="L3872" i="12"/>
  <c r="I3870" i="12"/>
  <c r="L3867" i="12"/>
  <c r="M3866" i="12"/>
  <c r="I3864" i="12"/>
  <c r="J3858" i="12"/>
  <c r="M3852" i="12"/>
  <c r="J3848" i="12"/>
  <c r="J3844" i="12"/>
  <c r="I3824" i="12"/>
  <c r="M3824" i="12"/>
  <c r="J3809" i="12"/>
  <c r="E3804" i="12"/>
  <c r="D3804" i="12"/>
  <c r="K3786" i="12"/>
  <c r="J3786" i="12"/>
  <c r="L3786" i="12"/>
  <c r="K3779" i="12"/>
  <c r="J3779" i="12"/>
  <c r="K3762" i="12"/>
  <c r="I3762" i="12"/>
  <c r="J3762" i="12"/>
  <c r="M3762" i="12"/>
  <c r="K3761" i="12"/>
  <c r="K3746" i="12"/>
  <c r="I3746" i="12"/>
  <c r="J3746" i="12"/>
  <c r="L3746" i="12"/>
  <c r="M3746" i="12"/>
  <c r="M3730" i="12"/>
  <c r="K3730" i="12"/>
  <c r="K3705" i="12"/>
  <c r="J3705" i="12"/>
  <c r="L3705" i="12"/>
  <c r="M3705" i="12"/>
  <c r="D3687" i="12"/>
  <c r="E3687" i="12"/>
  <c r="I3663" i="12"/>
  <c r="J3663" i="12"/>
  <c r="K3663" i="12"/>
  <c r="L3663" i="12"/>
  <c r="D3651" i="12"/>
  <c r="E3651" i="12"/>
  <c r="E3648" i="12"/>
  <c r="D3648" i="12"/>
  <c r="I3840" i="12"/>
  <c r="M3840" i="12"/>
  <c r="E3835" i="12"/>
  <c r="D3835" i="12"/>
  <c r="I3829" i="12"/>
  <c r="J3829" i="12"/>
  <c r="E3824" i="12"/>
  <c r="D3824" i="12"/>
  <c r="K3818" i="12"/>
  <c r="J3818" i="12"/>
  <c r="I3792" i="12"/>
  <c r="L3792" i="12"/>
  <c r="K3791" i="12"/>
  <c r="J3791" i="12"/>
  <c r="E3764" i="12"/>
  <c r="D3764" i="12"/>
  <c r="K3754" i="12"/>
  <c r="J3754" i="12"/>
  <c r="L3754" i="12"/>
  <c r="M3754" i="12"/>
  <c r="K3743" i="12"/>
  <c r="J3743" i="12"/>
  <c r="I3736" i="12"/>
  <c r="J3736" i="12"/>
  <c r="K3736" i="12"/>
  <c r="M3736" i="12"/>
  <c r="I3731" i="12"/>
  <c r="J3731" i="12"/>
  <c r="K3731" i="12"/>
  <c r="M3731" i="12"/>
  <c r="E3730" i="12"/>
  <c r="D3730" i="12"/>
  <c r="E3677" i="12"/>
  <c r="D3677" i="12"/>
  <c r="D3675" i="12"/>
  <c r="E3675" i="12"/>
  <c r="K3665" i="12"/>
  <c r="J3665" i="12"/>
  <c r="L3665" i="12"/>
  <c r="M3665" i="12"/>
  <c r="I3662" i="12"/>
  <c r="L3662" i="12"/>
  <c r="E3656" i="12"/>
  <c r="D3656" i="12"/>
  <c r="I3654" i="12"/>
  <c r="K3654" i="12"/>
  <c r="L3654" i="12"/>
  <c r="K3631" i="12"/>
  <c r="L3631" i="12"/>
  <c r="J3553" i="12"/>
  <c r="L3553" i="12"/>
  <c r="M3553" i="12"/>
  <c r="K3553" i="12"/>
  <c r="I3553" i="12"/>
  <c r="E3552" i="12"/>
  <c r="D3552" i="12"/>
  <c r="D3444" i="12"/>
  <c r="E3444" i="12"/>
  <c r="L3370" i="12"/>
  <c r="M3370" i="12"/>
  <c r="I3370" i="12"/>
  <c r="J3370" i="12"/>
  <c r="K3370" i="12"/>
  <c r="L3853" i="12"/>
  <c r="K3853" i="12"/>
  <c r="E3840" i="12"/>
  <c r="D3840" i="12"/>
  <c r="K3838" i="12"/>
  <c r="M3838" i="12"/>
  <c r="D3836" i="12"/>
  <c r="K3834" i="12"/>
  <c r="I3834" i="12"/>
  <c r="L3827" i="12"/>
  <c r="J3827" i="12"/>
  <c r="K3822" i="12"/>
  <c r="I3822" i="12"/>
  <c r="D3815" i="12"/>
  <c r="D3799" i="12"/>
  <c r="E3791" i="12"/>
  <c r="D3791" i="12"/>
  <c r="D3780" i="12"/>
  <c r="D3779" i="12"/>
  <c r="E3762" i="12"/>
  <c r="K3751" i="12"/>
  <c r="J3751" i="12"/>
  <c r="I3744" i="12"/>
  <c r="J3744" i="12"/>
  <c r="K3744" i="12"/>
  <c r="M3744" i="12"/>
  <c r="E3736" i="12"/>
  <c r="D3736" i="12"/>
  <c r="D3732" i="12"/>
  <c r="E3732" i="12"/>
  <c r="I3638" i="12"/>
  <c r="K3638" i="12"/>
  <c r="L3638" i="12"/>
  <c r="E3632" i="12"/>
  <c r="D3632" i="12"/>
  <c r="J3591" i="12"/>
  <c r="M3591" i="12"/>
  <c r="I4107" i="12"/>
  <c r="J4097" i="12"/>
  <c r="I4091" i="12"/>
  <c r="J4087" i="12"/>
  <c r="J4081" i="12"/>
  <c r="J4073" i="12"/>
  <c r="K4070" i="12"/>
  <c r="J4067" i="12"/>
  <c r="J4053" i="12"/>
  <c r="J4050" i="12"/>
  <c r="M4049" i="12"/>
  <c r="I4047" i="12"/>
  <c r="K4038" i="12"/>
  <c r="J4033" i="12"/>
  <c r="J4030" i="12"/>
  <c r="M4029" i="12"/>
  <c r="I4027" i="12"/>
  <c r="K4018" i="12"/>
  <c r="J4015" i="12"/>
  <c r="J4001" i="12"/>
  <c r="J3998" i="12"/>
  <c r="M3997" i="12"/>
  <c r="E3997" i="12"/>
  <c r="I3995" i="12"/>
  <c r="K3986" i="12"/>
  <c r="M3981" i="12"/>
  <c r="E3981" i="12"/>
  <c r="J3968" i="12"/>
  <c r="D3966" i="12"/>
  <c r="J3965" i="12"/>
  <c r="M3961" i="12"/>
  <c r="D3961" i="12"/>
  <c r="E3951" i="12"/>
  <c r="K3950" i="12"/>
  <c r="I3936" i="12"/>
  <c r="L3935" i="12"/>
  <c r="J3933" i="12"/>
  <c r="J3930" i="12"/>
  <c r="M3929" i="12"/>
  <c r="D3929" i="12"/>
  <c r="J3924" i="12"/>
  <c r="E3919" i="12"/>
  <c r="K3918" i="12"/>
  <c r="J3904" i="12"/>
  <c r="E3899" i="12"/>
  <c r="J3898" i="12"/>
  <c r="E3887" i="12"/>
  <c r="J3886" i="12"/>
  <c r="D3885" i="12"/>
  <c r="L3882" i="12"/>
  <c r="E3878" i="12"/>
  <c r="J3874" i="12"/>
  <c r="L3871" i="12"/>
  <c r="M3868" i="12"/>
  <c r="E3868" i="12"/>
  <c r="I3866" i="12"/>
  <c r="J3862" i="12"/>
  <c r="K3855" i="12"/>
  <c r="E3854" i="12"/>
  <c r="I3852" i="12"/>
  <c r="L3850" i="12"/>
  <c r="L3846" i="12"/>
  <c r="J3837" i="12"/>
  <c r="K3832" i="12"/>
  <c r="M3828" i="12"/>
  <c r="I3828" i="12"/>
  <c r="E3827" i="12"/>
  <c r="D3827" i="12"/>
  <c r="L3825" i="12"/>
  <c r="K3820" i="12"/>
  <c r="K3807" i="12"/>
  <c r="J3807" i="12"/>
  <c r="L3805" i="12"/>
  <c r="D3792" i="12"/>
  <c r="K3790" i="12"/>
  <c r="I3790" i="12"/>
  <c r="K3788" i="12"/>
  <c r="E3782" i="12"/>
  <c r="K3778" i="12"/>
  <c r="M3778" i="12"/>
  <c r="I3777" i="12"/>
  <c r="J3777" i="12"/>
  <c r="K3777" i="12"/>
  <c r="I3769" i="12"/>
  <c r="K3769" i="12"/>
  <c r="L3769" i="12"/>
  <c r="I3752" i="12"/>
  <c r="J3752" i="12"/>
  <c r="K3752" i="12"/>
  <c r="M3752" i="12"/>
  <c r="E3744" i="12"/>
  <c r="D3744" i="12"/>
  <c r="L3725" i="12"/>
  <c r="I3642" i="12"/>
  <c r="K3642" i="12"/>
  <c r="L3642" i="12"/>
  <c r="K3641" i="12"/>
  <c r="M3641" i="12"/>
  <c r="J3641" i="12"/>
  <c r="L3641" i="12"/>
  <c r="E3554" i="12"/>
  <c r="D3554" i="12"/>
  <c r="D4110" i="12"/>
  <c r="E4089" i="12"/>
  <c r="I4087" i="12"/>
  <c r="L4086" i="12"/>
  <c r="J4070" i="12"/>
  <c r="I4067" i="12"/>
  <c r="M4063" i="12"/>
  <c r="L4049" i="12"/>
  <c r="J4038" i="12"/>
  <c r="L4029" i="12"/>
  <c r="J4018" i="12"/>
  <c r="I4015" i="12"/>
  <c r="M4011" i="12"/>
  <c r="L3997" i="12"/>
  <c r="J3986" i="12"/>
  <c r="M3985" i="12"/>
  <c r="L3981" i="12"/>
  <c r="M3977" i="12"/>
  <c r="M3966" i="12"/>
  <c r="L3961" i="12"/>
  <c r="M3958" i="12"/>
  <c r="J3950" i="12"/>
  <c r="M3949" i="12"/>
  <c r="D3949" i="12"/>
  <c r="M3946" i="12"/>
  <c r="L3929" i="12"/>
  <c r="L3926" i="12"/>
  <c r="I3924" i="12"/>
  <c r="L3923" i="12"/>
  <c r="J3918" i="12"/>
  <c r="M3917" i="12"/>
  <c r="D3917" i="12"/>
  <c r="M3914" i="12"/>
  <c r="I3904" i="12"/>
  <c r="L3903" i="12"/>
  <c r="E3902" i="12"/>
  <c r="M3897" i="12"/>
  <c r="D3897" i="12"/>
  <c r="M3894" i="12"/>
  <c r="M3885" i="12"/>
  <c r="I3882" i="12"/>
  <c r="E3881" i="12"/>
  <c r="D3875" i="12"/>
  <c r="I3874" i="12"/>
  <c r="K3871" i="12"/>
  <c r="L3868" i="12"/>
  <c r="L3865" i="12"/>
  <c r="M3864" i="12"/>
  <c r="D3864" i="12"/>
  <c r="D3863" i="12"/>
  <c r="I3862" i="12"/>
  <c r="J3855" i="12"/>
  <c r="M3854" i="12"/>
  <c r="L3845" i="12"/>
  <c r="E3843" i="12"/>
  <c r="D3843" i="12"/>
  <c r="E3838" i="12"/>
  <c r="K3836" i="12"/>
  <c r="D3834" i="12"/>
  <c r="I3833" i="12"/>
  <c r="J3833" i="12"/>
  <c r="K3826" i="12"/>
  <c r="I3826" i="12"/>
  <c r="L3824" i="12"/>
  <c r="D3822" i="12"/>
  <c r="I3821" i="12"/>
  <c r="J3821" i="12"/>
  <c r="I3817" i="12"/>
  <c r="K3817" i="12"/>
  <c r="L3808" i="12"/>
  <c r="M3808" i="12"/>
  <c r="K3806" i="12"/>
  <c r="I3806" i="12"/>
  <c r="J3806" i="12"/>
  <c r="I3801" i="12"/>
  <c r="K3801" i="12"/>
  <c r="L3801" i="12"/>
  <c r="D3796" i="12"/>
  <c r="E3795" i="12"/>
  <c r="D3795" i="12"/>
  <c r="K3794" i="12"/>
  <c r="I3794" i="12"/>
  <c r="M3794" i="12"/>
  <c r="I3789" i="12"/>
  <c r="J3789" i="12"/>
  <c r="K3789" i="12"/>
  <c r="K3774" i="12"/>
  <c r="I3774" i="12"/>
  <c r="J3774" i="12"/>
  <c r="L3774" i="12"/>
  <c r="J3771" i="12"/>
  <c r="D3766" i="12"/>
  <c r="E3766" i="12"/>
  <c r="I3760" i="12"/>
  <c r="J3760" i="12"/>
  <c r="L3760" i="12"/>
  <c r="K3759" i="12"/>
  <c r="J3759" i="12"/>
  <c r="E3752" i="12"/>
  <c r="D3752" i="12"/>
  <c r="K3698" i="12"/>
  <c r="L3698" i="12"/>
  <c r="J3683" i="12"/>
  <c r="K3683" i="12"/>
  <c r="L3683" i="12"/>
  <c r="M3683" i="12"/>
  <c r="E3680" i="12"/>
  <c r="D3680" i="12"/>
  <c r="K3668" i="12"/>
  <c r="J3668" i="12"/>
  <c r="D3559" i="12"/>
  <c r="E3559" i="12"/>
  <c r="L4063" i="12"/>
  <c r="K4049" i="12"/>
  <c r="K4029" i="12"/>
  <c r="L4011" i="12"/>
  <c r="M3999" i="12"/>
  <c r="K3997" i="12"/>
  <c r="L3985" i="12"/>
  <c r="K3981" i="12"/>
  <c r="L3977" i="12"/>
  <c r="L3966" i="12"/>
  <c r="K3961" i="12"/>
  <c r="L3958" i="12"/>
  <c r="L3949" i="12"/>
  <c r="L3946" i="12"/>
  <c r="M3934" i="12"/>
  <c r="K3929" i="12"/>
  <c r="L3917" i="12"/>
  <c r="L3914" i="12"/>
  <c r="L3897" i="12"/>
  <c r="L3885" i="12"/>
  <c r="M3881" i="12"/>
  <c r="L3879" i="12"/>
  <c r="M3870" i="12"/>
  <c r="K3868" i="12"/>
  <c r="L3864" i="12"/>
  <c r="L3854" i="12"/>
  <c r="E3851" i="12"/>
  <c r="D3851" i="12"/>
  <c r="K3842" i="12"/>
  <c r="I3842" i="12"/>
  <c r="L3840" i="12"/>
  <c r="M3818" i="12"/>
  <c r="E3808" i="12"/>
  <c r="D3808" i="12"/>
  <c r="M3792" i="12"/>
  <c r="J3784" i="12"/>
  <c r="K3784" i="12"/>
  <c r="L3776" i="12"/>
  <c r="M3776" i="12"/>
  <c r="E3759" i="12"/>
  <c r="D3759" i="12"/>
  <c r="I3741" i="12"/>
  <c r="J3741" i="12"/>
  <c r="K3741" i="12"/>
  <c r="E3708" i="12"/>
  <c r="D3708" i="12"/>
  <c r="D3703" i="12"/>
  <c r="E3703" i="12"/>
  <c r="K3700" i="12"/>
  <c r="L3700" i="12"/>
  <c r="E3681" i="12"/>
  <c r="D3681" i="12"/>
  <c r="J3671" i="12"/>
  <c r="K3671" i="12"/>
  <c r="L3671" i="12"/>
  <c r="M3671" i="12"/>
  <c r="E3645" i="12"/>
  <c r="D3645" i="12"/>
  <c r="D3643" i="12"/>
  <c r="E3643" i="12"/>
  <c r="M3628" i="12"/>
  <c r="I3628" i="12"/>
  <c r="K3628" i="12"/>
  <c r="D3627" i="12"/>
  <c r="E3627" i="12"/>
  <c r="I3615" i="12"/>
  <c r="J3615" i="12"/>
  <c r="K4066" i="12"/>
  <c r="J4063" i="12"/>
  <c r="K4014" i="12"/>
  <c r="J4011" i="12"/>
  <c r="L3999" i="12"/>
  <c r="K3966" i="12"/>
  <c r="K3958" i="12"/>
  <c r="J3952" i="12"/>
  <c r="K3946" i="12"/>
  <c r="L3934" i="12"/>
  <c r="J3920" i="12"/>
  <c r="K3914" i="12"/>
  <c r="D3905" i="12"/>
  <c r="M3902" i="12"/>
  <c r="J3900" i="12"/>
  <c r="J3888" i="12"/>
  <c r="K3885" i="12"/>
  <c r="L3881" i="12"/>
  <c r="K3879" i="12"/>
  <c r="L3870" i="12"/>
  <c r="D3869" i="12"/>
  <c r="E3856" i="12"/>
  <c r="J3854" i="12"/>
  <c r="K3850" i="12"/>
  <c r="I3850" i="12"/>
  <c r="K3846" i="12"/>
  <c r="I3846" i="12"/>
  <c r="K3840" i="12"/>
  <c r="L3838" i="12"/>
  <c r="M3834" i="12"/>
  <c r="I3832" i="12"/>
  <c r="M3832" i="12"/>
  <c r="E3831" i="12"/>
  <c r="D3831" i="12"/>
  <c r="L3829" i="12"/>
  <c r="D3826" i="12"/>
  <c r="I3825" i="12"/>
  <c r="J3825" i="12"/>
  <c r="M3822" i="12"/>
  <c r="M3820" i="12"/>
  <c r="I3820" i="12"/>
  <c r="L3818" i="12"/>
  <c r="L3809" i="12"/>
  <c r="I3805" i="12"/>
  <c r="J3805" i="12"/>
  <c r="K3792" i="12"/>
  <c r="M3788" i="12"/>
  <c r="I3788" i="12"/>
  <c r="I3772" i="12"/>
  <c r="J3772" i="12"/>
  <c r="K3772" i="12"/>
  <c r="M3772" i="12"/>
  <c r="I3757" i="12"/>
  <c r="J3757" i="12"/>
  <c r="K3757" i="12"/>
  <c r="L3757" i="12"/>
  <c r="I3749" i="12"/>
  <c r="J3749" i="12"/>
  <c r="K3749" i="12"/>
  <c r="E3726" i="12"/>
  <c r="D3726" i="12"/>
  <c r="E3716" i="12"/>
  <c r="D3716" i="12"/>
  <c r="J3714" i="12"/>
  <c r="K3714" i="12"/>
  <c r="L3714" i="12"/>
  <c r="D3711" i="12"/>
  <c r="E3711" i="12"/>
  <c r="D3701" i="12"/>
  <c r="E3701" i="12"/>
  <c r="E3669" i="12"/>
  <c r="D3669" i="12"/>
  <c r="L3617" i="12"/>
  <c r="I3617" i="12"/>
  <c r="J3617" i="12"/>
  <c r="K3617" i="12"/>
  <c r="M3617" i="12"/>
  <c r="M3616" i="12"/>
  <c r="J3616" i="12"/>
  <c r="K3614" i="12"/>
  <c r="M3614" i="12"/>
  <c r="E3604" i="12"/>
  <c r="D3604" i="12"/>
  <c r="E3574" i="12"/>
  <c r="D3574" i="12"/>
  <c r="J3441" i="12"/>
  <c r="K3441" i="12"/>
  <c r="L3441" i="12"/>
  <c r="M3441" i="12"/>
  <c r="I3441" i="12"/>
  <c r="I3431" i="12"/>
  <c r="M3431" i="12"/>
  <c r="J3431" i="12"/>
  <c r="J3802" i="12"/>
  <c r="L3797" i="12"/>
  <c r="K3785" i="12"/>
  <c r="L3782" i="12"/>
  <c r="J3775" i="12"/>
  <c r="J3773" i="12"/>
  <c r="J3770" i="12"/>
  <c r="L3765" i="12"/>
  <c r="I3758" i="12"/>
  <c r="I3756" i="12"/>
  <c r="J3753" i="12"/>
  <c r="J3750" i="12"/>
  <c r="I3748" i="12"/>
  <c r="J3745" i="12"/>
  <c r="J3742" i="12"/>
  <c r="I3740" i="12"/>
  <c r="J3737" i="12"/>
  <c r="K3728" i="12"/>
  <c r="L3715" i="12"/>
  <c r="I3713" i="12"/>
  <c r="M3709" i="12"/>
  <c r="M3699" i="12"/>
  <c r="J3697" i="12"/>
  <c r="I3695" i="12"/>
  <c r="M3687" i="12"/>
  <c r="J3685" i="12"/>
  <c r="L3682" i="12"/>
  <c r="M3675" i="12"/>
  <c r="J3673" i="12"/>
  <c r="L3670" i="12"/>
  <c r="J3664" i="12"/>
  <c r="I3659" i="12"/>
  <c r="L3655" i="12"/>
  <c r="I3653" i="12"/>
  <c r="K3650" i="12"/>
  <c r="M3649" i="12"/>
  <c r="M3643" i="12"/>
  <c r="J3640" i="12"/>
  <c r="M3639" i="12"/>
  <c r="K3634" i="12"/>
  <c r="E3616" i="12"/>
  <c r="D3616" i="12"/>
  <c r="J3609" i="12"/>
  <c r="L3609" i="12"/>
  <c r="L3602" i="12"/>
  <c r="M3602" i="12"/>
  <c r="J3597" i="12"/>
  <c r="L3597" i="12"/>
  <c r="E3589" i="12"/>
  <c r="D3589" i="12"/>
  <c r="E3584" i="12"/>
  <c r="D3584" i="12"/>
  <c r="D3583" i="12"/>
  <c r="E3583" i="12"/>
  <c r="I3582" i="12"/>
  <c r="L3582" i="12"/>
  <c r="I3571" i="12"/>
  <c r="J3571" i="12"/>
  <c r="M3571" i="12"/>
  <c r="J3561" i="12"/>
  <c r="K3561" i="12"/>
  <c r="L3561" i="12"/>
  <c r="E3560" i="12"/>
  <c r="D3560" i="12"/>
  <c r="I3550" i="12"/>
  <c r="K3550" i="12"/>
  <c r="L3550" i="12"/>
  <c r="D3495" i="12"/>
  <c r="E3495" i="12"/>
  <c r="E3469" i="12"/>
  <c r="D3469" i="12"/>
  <c r="L3319" i="12"/>
  <c r="J3319" i="12"/>
  <c r="K3319" i="12"/>
  <c r="L3271" i="12"/>
  <c r="J3271" i="12"/>
  <c r="K3271" i="12"/>
  <c r="K3724" i="12"/>
  <c r="J3715" i="12"/>
  <c r="J3709" i="12"/>
  <c r="K3706" i="12"/>
  <c r="L3701" i="12"/>
  <c r="K3699" i="12"/>
  <c r="K3696" i="12"/>
  <c r="L3693" i="12"/>
  <c r="L3690" i="12"/>
  <c r="K3687" i="12"/>
  <c r="L3681" i="12"/>
  <c r="L3678" i="12"/>
  <c r="K3675" i="12"/>
  <c r="L3669" i="12"/>
  <c r="J3655" i="12"/>
  <c r="J3649" i="12"/>
  <c r="L3646" i="12"/>
  <c r="K3643" i="12"/>
  <c r="K3639" i="12"/>
  <c r="K3635" i="12"/>
  <c r="J3635" i="12"/>
  <c r="M3620" i="12"/>
  <c r="I3620" i="12"/>
  <c r="D3614" i="12"/>
  <c r="E3614" i="12"/>
  <c r="L3612" i="12"/>
  <c r="M3605" i="12"/>
  <c r="L3600" i="12"/>
  <c r="D3595" i="12"/>
  <c r="E3595" i="12"/>
  <c r="I3594" i="12"/>
  <c r="L3594" i="12"/>
  <c r="M3593" i="12"/>
  <c r="E3592" i="12"/>
  <c r="D3592" i="12"/>
  <c r="I3590" i="12"/>
  <c r="L3590" i="12"/>
  <c r="I3534" i="12"/>
  <c r="L3534" i="12"/>
  <c r="M3534" i="12"/>
  <c r="K3534" i="12"/>
  <c r="I3523" i="12"/>
  <c r="M3523" i="12"/>
  <c r="J3523" i="12"/>
  <c r="M3471" i="12"/>
  <c r="J3471" i="12"/>
  <c r="D3452" i="12"/>
  <c r="E3452" i="12"/>
  <c r="E3778" i="12"/>
  <c r="D3776" i="12"/>
  <c r="D3763" i="12"/>
  <c r="E3725" i="12"/>
  <c r="J3724" i="12"/>
  <c r="D3710" i="12"/>
  <c r="I3709" i="12"/>
  <c r="D3705" i="12"/>
  <c r="J3701" i="12"/>
  <c r="D3700" i="12"/>
  <c r="J3699" i="12"/>
  <c r="J3693" i="12"/>
  <c r="K3690" i="12"/>
  <c r="D3688" i="12"/>
  <c r="J3687" i="12"/>
  <c r="E3683" i="12"/>
  <c r="J3681" i="12"/>
  <c r="K3678" i="12"/>
  <c r="D3676" i="12"/>
  <c r="J3675" i="12"/>
  <c r="E3671" i="12"/>
  <c r="J3669" i="12"/>
  <c r="L3666" i="12"/>
  <c r="D3665" i="12"/>
  <c r="J3660" i="12"/>
  <c r="I3649" i="12"/>
  <c r="K3646" i="12"/>
  <c r="D3644" i="12"/>
  <c r="J3643" i="12"/>
  <c r="D3641" i="12"/>
  <c r="E3640" i="12"/>
  <c r="D3640" i="12"/>
  <c r="I3639" i="12"/>
  <c r="M3636" i="12"/>
  <c r="I3636" i="12"/>
  <c r="D3635" i="12"/>
  <c r="E3635" i="12"/>
  <c r="D3621" i="12"/>
  <c r="E3620" i="12"/>
  <c r="D3620" i="12"/>
  <c r="K3612" i="12"/>
  <c r="M3608" i="12"/>
  <c r="J3608" i="12"/>
  <c r="K3605" i="12"/>
  <c r="I3600" i="12"/>
  <c r="M3598" i="12"/>
  <c r="K3593" i="12"/>
  <c r="I3579" i="12"/>
  <c r="M3579" i="12"/>
  <c r="E3570" i="12"/>
  <c r="D3570" i="12"/>
  <c r="I3569" i="12"/>
  <c r="J3569" i="12"/>
  <c r="L3569" i="12"/>
  <c r="I3567" i="12"/>
  <c r="M3567" i="12"/>
  <c r="M3565" i="12"/>
  <c r="J3521" i="12"/>
  <c r="K3521" i="12"/>
  <c r="L3521" i="12"/>
  <c r="M3521" i="12"/>
  <c r="I3521" i="12"/>
  <c r="E3520" i="12"/>
  <c r="D3520" i="12"/>
  <c r="I3474" i="12"/>
  <c r="L3474" i="12"/>
  <c r="M3474" i="12"/>
  <c r="K3474" i="12"/>
  <c r="I3458" i="12"/>
  <c r="L3458" i="12"/>
  <c r="M3458" i="12"/>
  <c r="K3458" i="12"/>
  <c r="E3453" i="12"/>
  <c r="D3453" i="12"/>
  <c r="I3434" i="12"/>
  <c r="L3434" i="12"/>
  <c r="M3434" i="12"/>
  <c r="K3434" i="12"/>
  <c r="L3849" i="12"/>
  <c r="D3807" i="12"/>
  <c r="D3788" i="12"/>
  <c r="D3775" i="12"/>
  <c r="D3756" i="12"/>
  <c r="D3748" i="12"/>
  <c r="D3740" i="12"/>
  <c r="D3713" i="12"/>
  <c r="I3701" i="12"/>
  <c r="E3695" i="12"/>
  <c r="D3694" i="12"/>
  <c r="I3693" i="12"/>
  <c r="L3689" i="12"/>
  <c r="I3681" i="12"/>
  <c r="L3677" i="12"/>
  <c r="I3669" i="12"/>
  <c r="K3666" i="12"/>
  <c r="D3664" i="12"/>
  <c r="E3659" i="12"/>
  <c r="D3653" i="12"/>
  <c r="J3648" i="12"/>
  <c r="L3645" i="12"/>
  <c r="D3637" i="12"/>
  <c r="K3626" i="12"/>
  <c r="M3624" i="12"/>
  <c r="J3624" i="12"/>
  <c r="I3612" i="12"/>
  <c r="K3610" i="12"/>
  <c r="M3603" i="12"/>
  <c r="J3601" i="12"/>
  <c r="L3601" i="12"/>
  <c r="D3586" i="12"/>
  <c r="E3538" i="12"/>
  <c r="D3538" i="12"/>
  <c r="I3502" i="12"/>
  <c r="L3502" i="12"/>
  <c r="M3502" i="12"/>
  <c r="K3502" i="12"/>
  <c r="I3491" i="12"/>
  <c r="M3491" i="12"/>
  <c r="J3491" i="12"/>
  <c r="I3435" i="12"/>
  <c r="M3435" i="12"/>
  <c r="J3435" i="12"/>
  <c r="E3624" i="12"/>
  <c r="D3624" i="12"/>
  <c r="E3606" i="12"/>
  <c r="D3606" i="12"/>
  <c r="I3603" i="12"/>
  <c r="L3588" i="12"/>
  <c r="E3578" i="12"/>
  <c r="D3578" i="12"/>
  <c r="E3546" i="12"/>
  <c r="D3546" i="12"/>
  <c r="I3542" i="12"/>
  <c r="K3542" i="12"/>
  <c r="L3542" i="12"/>
  <c r="M3542" i="12"/>
  <c r="J3489" i="12"/>
  <c r="K3489" i="12"/>
  <c r="L3489" i="12"/>
  <c r="M3489" i="12"/>
  <c r="I3489" i="12"/>
  <c r="E3488" i="12"/>
  <c r="D3488" i="12"/>
  <c r="D3455" i="12"/>
  <c r="E3455" i="12"/>
  <c r="I3411" i="12"/>
  <c r="J3411" i="12"/>
  <c r="M3411" i="12"/>
  <c r="K3627" i="12"/>
  <c r="J3627" i="12"/>
  <c r="J3605" i="12"/>
  <c r="L3605" i="12"/>
  <c r="I3598" i="12"/>
  <c r="L3598" i="12"/>
  <c r="J3593" i="12"/>
  <c r="L3593" i="12"/>
  <c r="J3565" i="12"/>
  <c r="K3565" i="12"/>
  <c r="L3565" i="12"/>
  <c r="E3564" i="12"/>
  <c r="D3564" i="12"/>
  <c r="I3555" i="12"/>
  <c r="M3555" i="12"/>
  <c r="D3527" i="12"/>
  <c r="E3527" i="12"/>
  <c r="E3506" i="12"/>
  <c r="D3506" i="12"/>
  <c r="I3468" i="12"/>
  <c r="J3468" i="12"/>
  <c r="I3422" i="12"/>
  <c r="M3422" i="12"/>
  <c r="L3413" i="12"/>
  <c r="M3413" i="12"/>
  <c r="K3404" i="12"/>
  <c r="J3404" i="12"/>
  <c r="L3404" i="12"/>
  <c r="K3388" i="12"/>
  <c r="J3388" i="12"/>
  <c r="L3388" i="12"/>
  <c r="J3377" i="12"/>
  <c r="I3377" i="12"/>
  <c r="L3377" i="12"/>
  <c r="D3376" i="12"/>
  <c r="E3376" i="12"/>
  <c r="L3374" i="12"/>
  <c r="I3374" i="12"/>
  <c r="J3374" i="12"/>
  <c r="M3374" i="12"/>
  <c r="I3355" i="12"/>
  <c r="J3355" i="12"/>
  <c r="K3355" i="12"/>
  <c r="L3355" i="12"/>
  <c r="M3355" i="12"/>
  <c r="L3346" i="12"/>
  <c r="I3346" i="12"/>
  <c r="J3346" i="12"/>
  <c r="K3346" i="12"/>
  <c r="M3346" i="12"/>
  <c r="D3314" i="12"/>
  <c r="E3314" i="12"/>
  <c r="E3265" i="12"/>
  <c r="D3265" i="12"/>
  <c r="K3260" i="12"/>
  <c r="I3260" i="12"/>
  <c r="M3260" i="12"/>
  <c r="J3208" i="12"/>
  <c r="I3208" i="12"/>
  <c r="L3208" i="12"/>
  <c r="M3208" i="12"/>
  <c r="M3611" i="12"/>
  <c r="J3604" i="12"/>
  <c r="K3586" i="12"/>
  <c r="J3583" i="12"/>
  <c r="I3581" i="12"/>
  <c r="J3577" i="12"/>
  <c r="J3573" i="12"/>
  <c r="K3566" i="12"/>
  <c r="K3562" i="12"/>
  <c r="L3558" i="12"/>
  <c r="M3554" i="12"/>
  <c r="J3551" i="12"/>
  <c r="I3549" i="12"/>
  <c r="M3547" i="12"/>
  <c r="J3545" i="12"/>
  <c r="L3537" i="12"/>
  <c r="E3535" i="12"/>
  <c r="M3533" i="12"/>
  <c r="K3530" i="12"/>
  <c r="D3528" i="12"/>
  <c r="L3526" i="12"/>
  <c r="M3522" i="12"/>
  <c r="J3519" i="12"/>
  <c r="I3517" i="12"/>
  <c r="M3515" i="12"/>
  <c r="D3514" i="12"/>
  <c r="J3513" i="12"/>
  <c r="L3505" i="12"/>
  <c r="E3503" i="12"/>
  <c r="M3501" i="12"/>
  <c r="K3498" i="12"/>
  <c r="D3496" i="12"/>
  <c r="L3494" i="12"/>
  <c r="M3490" i="12"/>
  <c r="J3487" i="12"/>
  <c r="I3485" i="12"/>
  <c r="M3483" i="12"/>
  <c r="D3482" i="12"/>
  <c r="E3475" i="12"/>
  <c r="M3473" i="12"/>
  <c r="L3470" i="12"/>
  <c r="L3461" i="12"/>
  <c r="L3457" i="12"/>
  <c r="L3454" i="12"/>
  <c r="M3451" i="12"/>
  <c r="D3450" i="12"/>
  <c r="K3446" i="12"/>
  <c r="M3445" i="12"/>
  <c r="D3445" i="12"/>
  <c r="M3443" i="12"/>
  <c r="L3440" i="12"/>
  <c r="L3430" i="12"/>
  <c r="D3375" i="12"/>
  <c r="E3375" i="12"/>
  <c r="K3372" i="12"/>
  <c r="L3372" i="12"/>
  <c r="M3372" i="12"/>
  <c r="D3350" i="12"/>
  <c r="E3350" i="12"/>
  <c r="D3300" i="12"/>
  <c r="E3300" i="12"/>
  <c r="M3578" i="12"/>
  <c r="M3574" i="12"/>
  <c r="M3546" i="12"/>
  <c r="M3539" i="12"/>
  <c r="J3537" i="12"/>
  <c r="K3533" i="12"/>
  <c r="L3529" i="12"/>
  <c r="L3518" i="12"/>
  <c r="M3514" i="12"/>
  <c r="M3507" i="12"/>
  <c r="J3505" i="12"/>
  <c r="K3501" i="12"/>
  <c r="L3497" i="12"/>
  <c r="L3486" i="12"/>
  <c r="M3482" i="12"/>
  <c r="K3473" i="12"/>
  <c r="J3461" i="12"/>
  <c r="J3457" i="12"/>
  <c r="M3450" i="12"/>
  <c r="L3448" i="12"/>
  <c r="K3445" i="12"/>
  <c r="L3442" i="12"/>
  <c r="L3429" i="12"/>
  <c r="I3426" i="12"/>
  <c r="K3426" i="12"/>
  <c r="J3417" i="12"/>
  <c r="K3417" i="12"/>
  <c r="E3393" i="12"/>
  <c r="D3393" i="12"/>
  <c r="D3371" i="12"/>
  <c r="E3371" i="12"/>
  <c r="E3368" i="12"/>
  <c r="D3368" i="12"/>
  <c r="D3330" i="12"/>
  <c r="E3330" i="12"/>
  <c r="D3282" i="12"/>
  <c r="E3282" i="12"/>
  <c r="D3254" i="12"/>
  <c r="E3254" i="12"/>
  <c r="J3539" i="12"/>
  <c r="K3529" i="12"/>
  <c r="K3518" i="12"/>
  <c r="M3510" i="12"/>
  <c r="J3507" i="12"/>
  <c r="K3497" i="12"/>
  <c r="K3486" i="12"/>
  <c r="D3484" i="12"/>
  <c r="L3482" i="12"/>
  <c r="M3478" i="12"/>
  <c r="M3475" i="12"/>
  <c r="D3474" i="12"/>
  <c r="J3473" i="12"/>
  <c r="E3468" i="12"/>
  <c r="M3466" i="12"/>
  <c r="M3462" i="12"/>
  <c r="L3456" i="12"/>
  <c r="L3450" i="12"/>
  <c r="J3448" i="12"/>
  <c r="J3445" i="12"/>
  <c r="K3442" i="12"/>
  <c r="D3441" i="12"/>
  <c r="M3439" i="12"/>
  <c r="L3436" i="12"/>
  <c r="K3420" i="12"/>
  <c r="J3420" i="12"/>
  <c r="L3420" i="12"/>
  <c r="M3419" i="12"/>
  <c r="K3413" i="12"/>
  <c r="I3391" i="12"/>
  <c r="J3391" i="12"/>
  <c r="M3391" i="12"/>
  <c r="D3316" i="12"/>
  <c r="E3316" i="12"/>
  <c r="D3268" i="12"/>
  <c r="E3268" i="12"/>
  <c r="J3596" i="12"/>
  <c r="K3578" i="12"/>
  <c r="D3576" i="12"/>
  <c r="K3574" i="12"/>
  <c r="M3570" i="12"/>
  <c r="D3566" i="12"/>
  <c r="D3562" i="12"/>
  <c r="E3551" i="12"/>
  <c r="K3546" i="12"/>
  <c r="D3544" i="12"/>
  <c r="J3535" i="12"/>
  <c r="M3531" i="12"/>
  <c r="D3530" i="12"/>
  <c r="J3529" i="12"/>
  <c r="E3519" i="12"/>
  <c r="K3514" i="12"/>
  <c r="D3512" i="12"/>
  <c r="L3510" i="12"/>
  <c r="J3503" i="12"/>
  <c r="M3499" i="12"/>
  <c r="D3498" i="12"/>
  <c r="J3497" i="12"/>
  <c r="E3487" i="12"/>
  <c r="K3482" i="12"/>
  <c r="D3480" i="12"/>
  <c r="L3478" i="12"/>
  <c r="J3475" i="12"/>
  <c r="L3472" i="12"/>
  <c r="L3466" i="12"/>
  <c r="L3462" i="12"/>
  <c r="L3460" i="12"/>
  <c r="J3456" i="12"/>
  <c r="K3450" i="12"/>
  <c r="J3439" i="12"/>
  <c r="M3438" i="12"/>
  <c r="J3436" i="12"/>
  <c r="L3428" i="12"/>
  <c r="L3425" i="12"/>
  <c r="M3425" i="12"/>
  <c r="L3422" i="12"/>
  <c r="J3419" i="12"/>
  <c r="D3417" i="12"/>
  <c r="J3413" i="12"/>
  <c r="I3407" i="12"/>
  <c r="J3407" i="12"/>
  <c r="M3407" i="12"/>
  <c r="I3398" i="12"/>
  <c r="K3398" i="12"/>
  <c r="L3398" i="12"/>
  <c r="L3397" i="12"/>
  <c r="M3397" i="12"/>
  <c r="I3397" i="12"/>
  <c r="J3397" i="12"/>
  <c r="I3364" i="12"/>
  <c r="L3364" i="12"/>
  <c r="L3335" i="12"/>
  <c r="J3335" i="12"/>
  <c r="K3335" i="12"/>
  <c r="L3287" i="12"/>
  <c r="J3287" i="12"/>
  <c r="K3287" i="12"/>
  <c r="J3531" i="12"/>
  <c r="K3510" i="12"/>
  <c r="J3499" i="12"/>
  <c r="K3478" i="12"/>
  <c r="K3466" i="12"/>
  <c r="K3462" i="12"/>
  <c r="I3429" i="12"/>
  <c r="J3429" i="12"/>
  <c r="J3428" i="12"/>
  <c r="E3425" i="12"/>
  <c r="D3425" i="12"/>
  <c r="K3422" i="12"/>
  <c r="D3416" i="12"/>
  <c r="E3416" i="12"/>
  <c r="I3414" i="12"/>
  <c r="K3414" i="12"/>
  <c r="L3414" i="12"/>
  <c r="I3413" i="12"/>
  <c r="D3400" i="12"/>
  <c r="E3400" i="12"/>
  <c r="D3384" i="12"/>
  <c r="E3384" i="12"/>
  <c r="I3382" i="12"/>
  <c r="K3382" i="12"/>
  <c r="L3382" i="12"/>
  <c r="I3381" i="12"/>
  <c r="J3381" i="12"/>
  <c r="L3381" i="12"/>
  <c r="M3381" i="12"/>
  <c r="K3374" i="12"/>
  <c r="D3298" i="12"/>
  <c r="E3298" i="12"/>
  <c r="E3543" i="12"/>
  <c r="D3536" i="12"/>
  <c r="D3522" i="12"/>
  <c r="E3511" i="12"/>
  <c r="D3504" i="12"/>
  <c r="D3490" i="12"/>
  <c r="E3479" i="12"/>
  <c r="E3470" i="12"/>
  <c r="E3467" i="12"/>
  <c r="D3437" i="12"/>
  <c r="K3432" i="12"/>
  <c r="J3432" i="12"/>
  <c r="I3423" i="12"/>
  <c r="J3423" i="12"/>
  <c r="M3423" i="12"/>
  <c r="M3417" i="12"/>
  <c r="E3409" i="12"/>
  <c r="D3409" i="12"/>
  <c r="D3332" i="12"/>
  <c r="E3332" i="12"/>
  <c r="L3303" i="12"/>
  <c r="J3303" i="12"/>
  <c r="K3303" i="12"/>
  <c r="D3284" i="12"/>
  <c r="E3284" i="12"/>
  <c r="L3405" i="12"/>
  <c r="J3403" i="12"/>
  <c r="M3402" i="12"/>
  <c r="J3400" i="12"/>
  <c r="K3394" i="12"/>
  <c r="M3393" i="12"/>
  <c r="K3385" i="12"/>
  <c r="J3375" i="12"/>
  <c r="M3366" i="12"/>
  <c r="M3362" i="12"/>
  <c r="K3357" i="12"/>
  <c r="K3354" i="12"/>
  <c r="J3347" i="12"/>
  <c r="I3344" i="12"/>
  <c r="I3340" i="12"/>
  <c r="I3338" i="12"/>
  <c r="M3336" i="12"/>
  <c r="K3334" i="12"/>
  <c r="K3327" i="12"/>
  <c r="I3324" i="12"/>
  <c r="I3322" i="12"/>
  <c r="M3320" i="12"/>
  <c r="K3318" i="12"/>
  <c r="K3311" i="12"/>
  <c r="I3308" i="12"/>
  <c r="I3306" i="12"/>
  <c r="M3304" i="12"/>
  <c r="K3302" i="12"/>
  <c r="K3295" i="12"/>
  <c r="I3292" i="12"/>
  <c r="I3290" i="12"/>
  <c r="M3288" i="12"/>
  <c r="K3286" i="12"/>
  <c r="K3279" i="12"/>
  <c r="I3276" i="12"/>
  <c r="I3274" i="12"/>
  <c r="M3272" i="12"/>
  <c r="K3270" i="12"/>
  <c r="I3264" i="12"/>
  <c r="M3262" i="12"/>
  <c r="I3256" i="12"/>
  <c r="M3256" i="12"/>
  <c r="J3243" i="12"/>
  <c r="K3243" i="12"/>
  <c r="L3242" i="12"/>
  <c r="I3242" i="12"/>
  <c r="J3242" i="12"/>
  <c r="K3242" i="12"/>
  <c r="L3206" i="12"/>
  <c r="I3206" i="12"/>
  <c r="J3206" i="12"/>
  <c r="K3206" i="12"/>
  <c r="M3206" i="12"/>
  <c r="D3199" i="12"/>
  <c r="E3199" i="12"/>
  <c r="D3413" i="12"/>
  <c r="L3408" i="12"/>
  <c r="K3405" i="12"/>
  <c r="L3402" i="12"/>
  <c r="L3393" i="12"/>
  <c r="M3390" i="12"/>
  <c r="J3385" i="12"/>
  <c r="D3381" i="12"/>
  <c r="M3379" i="12"/>
  <c r="E3374" i="12"/>
  <c r="M3371" i="12"/>
  <c r="K3369" i="12"/>
  <c r="K3366" i="12"/>
  <c r="K3362" i="12"/>
  <c r="M3356" i="12"/>
  <c r="J3354" i="12"/>
  <c r="M3350" i="12"/>
  <c r="E3346" i="12"/>
  <c r="L3336" i="12"/>
  <c r="J3334" i="12"/>
  <c r="M3330" i="12"/>
  <c r="J3327" i="12"/>
  <c r="L3320" i="12"/>
  <c r="J3318" i="12"/>
  <c r="M3314" i="12"/>
  <c r="J3311" i="12"/>
  <c r="L3304" i="12"/>
  <c r="J3302" i="12"/>
  <c r="M3298" i="12"/>
  <c r="J3295" i="12"/>
  <c r="L3288" i="12"/>
  <c r="J3286" i="12"/>
  <c r="M3282" i="12"/>
  <c r="J3279" i="12"/>
  <c r="L3272" i="12"/>
  <c r="J3270" i="12"/>
  <c r="M3265" i="12"/>
  <c r="I3262" i="12"/>
  <c r="D3260" i="12"/>
  <c r="E3258" i="12"/>
  <c r="J3244" i="12"/>
  <c r="I3244" i="12"/>
  <c r="J3240" i="12"/>
  <c r="I3240" i="12"/>
  <c r="M3240" i="12"/>
  <c r="D3188" i="12"/>
  <c r="E3188" i="12"/>
  <c r="D3184" i="12"/>
  <c r="E3184" i="12"/>
  <c r="M3410" i="12"/>
  <c r="J3408" i="12"/>
  <c r="K3402" i="12"/>
  <c r="M3399" i="12"/>
  <c r="L3396" i="12"/>
  <c r="L3390" i="12"/>
  <c r="I3385" i="12"/>
  <c r="J3379" i="12"/>
  <c r="L3371" i="12"/>
  <c r="J3366" i="12"/>
  <c r="J3362" i="12"/>
  <c r="I3356" i="12"/>
  <c r="I3354" i="12"/>
  <c r="K3350" i="12"/>
  <c r="K3339" i="12"/>
  <c r="I3336" i="12"/>
  <c r="I3334" i="12"/>
  <c r="M3332" i="12"/>
  <c r="K3330" i="12"/>
  <c r="K3323" i="12"/>
  <c r="I3320" i="12"/>
  <c r="I3318" i="12"/>
  <c r="M3316" i="12"/>
  <c r="K3314" i="12"/>
  <c r="K3307" i="12"/>
  <c r="I3304" i="12"/>
  <c r="I3302" i="12"/>
  <c r="M3300" i="12"/>
  <c r="K3291" i="12"/>
  <c r="I3288" i="12"/>
  <c r="I3286" i="12"/>
  <c r="M3284" i="12"/>
  <c r="K3282" i="12"/>
  <c r="K3275" i="12"/>
  <c r="I3272" i="12"/>
  <c r="I3270" i="12"/>
  <c r="M3268" i="12"/>
  <c r="K3261" i="12"/>
  <c r="I3259" i="12"/>
  <c r="K3259" i="12"/>
  <c r="D3232" i="12"/>
  <c r="E3232" i="12"/>
  <c r="D3180" i="12"/>
  <c r="E3180" i="12"/>
  <c r="E3347" i="12"/>
  <c r="D3344" i="12"/>
  <c r="E3340" i="12"/>
  <c r="E3338" i="12"/>
  <c r="E3324" i="12"/>
  <c r="E3322" i="12"/>
  <c r="E3308" i="12"/>
  <c r="E3306" i="12"/>
  <c r="E3292" i="12"/>
  <c r="E3290" i="12"/>
  <c r="E3276" i="12"/>
  <c r="E3274" i="12"/>
  <c r="E3266" i="12"/>
  <c r="L3238" i="12"/>
  <c r="I3238" i="12"/>
  <c r="K3238" i="12"/>
  <c r="M3238" i="12"/>
  <c r="D3231" i="12"/>
  <c r="E3231" i="12"/>
  <c r="E3343" i="12"/>
  <c r="J3261" i="12"/>
  <c r="L3261" i="12"/>
  <c r="J3224" i="12"/>
  <c r="I3224" i="12"/>
  <c r="L3224" i="12"/>
  <c r="M3224" i="12"/>
  <c r="D3190" i="12"/>
  <c r="E3190" i="12"/>
  <c r="D3385" i="12"/>
  <c r="E3354" i="12"/>
  <c r="E3334" i="12"/>
  <c r="E3318" i="12"/>
  <c r="E3302" i="12"/>
  <c r="E3286" i="12"/>
  <c r="E3270" i="12"/>
  <c r="M3259" i="12"/>
  <c r="I3252" i="12"/>
  <c r="L3252" i="12"/>
  <c r="E3250" i="12"/>
  <c r="L3235" i="12"/>
  <c r="J3235" i="12"/>
  <c r="K3235" i="12"/>
  <c r="L3222" i="12"/>
  <c r="I3222" i="12"/>
  <c r="J3222" i="12"/>
  <c r="K3222" i="12"/>
  <c r="M3222" i="12"/>
  <c r="D3215" i="12"/>
  <c r="E3215" i="12"/>
  <c r="L3232" i="12"/>
  <c r="J3230" i="12"/>
  <c r="L3216" i="12"/>
  <c r="J3214" i="12"/>
  <c r="L3200" i="12"/>
  <c r="J3198" i="12"/>
  <c r="M3193" i="12"/>
  <c r="K3191" i="12"/>
  <c r="L3186" i="12"/>
  <c r="L3181" i="12"/>
  <c r="K3178" i="12"/>
  <c r="K3175" i="12"/>
  <c r="K3169" i="12"/>
  <c r="M3162" i="12"/>
  <c r="K3160" i="12"/>
  <c r="E3158" i="12"/>
  <c r="J3157" i="12"/>
  <c r="E3156" i="12"/>
  <c r="E3154" i="12"/>
  <c r="J3153" i="12"/>
  <c r="E3152" i="12"/>
  <c r="I3147" i="12"/>
  <c r="E3141" i="12"/>
  <c r="I3136" i="12"/>
  <c r="K3132" i="12"/>
  <c r="E3131" i="12"/>
  <c r="E3130" i="12"/>
  <c r="I3129" i="12"/>
  <c r="L3128" i="12"/>
  <c r="E3126" i="12"/>
  <c r="L3124" i="12"/>
  <c r="E3122" i="12"/>
  <c r="L3120" i="12"/>
  <c r="E3119" i="12"/>
  <c r="L3116" i="12"/>
  <c r="E3115" i="12"/>
  <c r="L3112" i="12"/>
  <c r="E3111" i="12"/>
  <c r="L3108" i="12"/>
  <c r="E3107" i="12"/>
  <c r="L3104" i="12"/>
  <c r="E3103" i="12"/>
  <c r="L3100" i="12"/>
  <c r="E3099" i="12"/>
  <c r="L3096" i="12"/>
  <c r="E3095" i="12"/>
  <c r="L3092" i="12"/>
  <c r="E3091" i="12"/>
  <c r="K3089" i="12"/>
  <c r="K3087" i="12"/>
  <c r="K3080" i="12"/>
  <c r="L3078" i="12"/>
  <c r="D3074" i="12"/>
  <c r="E3072" i="12"/>
  <c r="K3067" i="12"/>
  <c r="J3064" i="12"/>
  <c r="D3062" i="12"/>
  <c r="L3060" i="12"/>
  <c r="J3055" i="12"/>
  <c r="L3051" i="12"/>
  <c r="J3044" i="12"/>
  <c r="E3041" i="12"/>
  <c r="D3038" i="12"/>
  <c r="L3036" i="12"/>
  <c r="E3032" i="12"/>
  <c r="I3027" i="12"/>
  <c r="K3023" i="12"/>
  <c r="K3019" i="12"/>
  <c r="K3015" i="12"/>
  <c r="I3011" i="12"/>
  <c r="M3005" i="12"/>
  <c r="M3248" i="12"/>
  <c r="K3246" i="12"/>
  <c r="E3243" i="12"/>
  <c r="E3240" i="12"/>
  <c r="E3238" i="12"/>
  <c r="I3232" i="12"/>
  <c r="I3230" i="12"/>
  <c r="M3228" i="12"/>
  <c r="K3226" i="12"/>
  <c r="E3224" i="12"/>
  <c r="E3222" i="12"/>
  <c r="K3219" i="12"/>
  <c r="I3216" i="12"/>
  <c r="I3214" i="12"/>
  <c r="M3212" i="12"/>
  <c r="K3210" i="12"/>
  <c r="E3208" i="12"/>
  <c r="E3206" i="12"/>
  <c r="K3203" i="12"/>
  <c r="I3200" i="12"/>
  <c r="I3198" i="12"/>
  <c r="M3196" i="12"/>
  <c r="J3193" i="12"/>
  <c r="J3191" i="12"/>
  <c r="M3188" i="12"/>
  <c r="K3186" i="12"/>
  <c r="I3181" i="12"/>
  <c r="E3179" i="12"/>
  <c r="I3178" i="12"/>
  <c r="E3176" i="12"/>
  <c r="J3175" i="12"/>
  <c r="E3173" i="12"/>
  <c r="E3170" i="12"/>
  <c r="J3169" i="12"/>
  <c r="E3168" i="12"/>
  <c r="I3160" i="12"/>
  <c r="I3157" i="12"/>
  <c r="I3153" i="12"/>
  <c r="J3139" i="12"/>
  <c r="I3132" i="12"/>
  <c r="K3128" i="12"/>
  <c r="K3124" i="12"/>
  <c r="K3120" i="12"/>
  <c r="K3116" i="12"/>
  <c r="K3112" i="12"/>
  <c r="K3108" i="12"/>
  <c r="K3104" i="12"/>
  <c r="K3100" i="12"/>
  <c r="K3096" i="12"/>
  <c r="K3092" i="12"/>
  <c r="J3089" i="12"/>
  <c r="J3087" i="12"/>
  <c r="J3080" i="12"/>
  <c r="J3078" i="12"/>
  <c r="J3067" i="12"/>
  <c r="M3056" i="12"/>
  <c r="I3055" i="12"/>
  <c r="K3051" i="12"/>
  <c r="M3028" i="12"/>
  <c r="L3248" i="12"/>
  <c r="J3246" i="12"/>
  <c r="L3228" i="12"/>
  <c r="J3226" i="12"/>
  <c r="J3219" i="12"/>
  <c r="L3212" i="12"/>
  <c r="J3210" i="12"/>
  <c r="J3203" i="12"/>
  <c r="L3196" i="12"/>
  <c r="M3192" i="12"/>
  <c r="I3191" i="12"/>
  <c r="K3188" i="12"/>
  <c r="I3186" i="12"/>
  <c r="I3175" i="12"/>
  <c r="J3171" i="12"/>
  <c r="I3169" i="12"/>
  <c r="M3165" i="12"/>
  <c r="E3161" i="12"/>
  <c r="L3156" i="12"/>
  <c r="L3152" i="12"/>
  <c r="K3149" i="12"/>
  <c r="M3145" i="12"/>
  <c r="K3141" i="12"/>
  <c r="M3137" i="12"/>
  <c r="E3133" i="12"/>
  <c r="I3128" i="12"/>
  <c r="I3124" i="12"/>
  <c r="I3120" i="12"/>
  <c r="I3116" i="12"/>
  <c r="I3112" i="12"/>
  <c r="I3108" i="12"/>
  <c r="I3104" i="12"/>
  <c r="I3100" i="12"/>
  <c r="I3096" i="12"/>
  <c r="I3092" i="12"/>
  <c r="I3087" i="12"/>
  <c r="L3083" i="12"/>
  <c r="D3082" i="12"/>
  <c r="I3080" i="12"/>
  <c r="K3075" i="12"/>
  <c r="E3073" i="12"/>
  <c r="M3068" i="12"/>
  <c r="E3068" i="12"/>
  <c r="I3067" i="12"/>
  <c r="L3063" i="12"/>
  <c r="J3060" i="12"/>
  <c r="D3058" i="12"/>
  <c r="L3056" i="12"/>
  <c r="I3051" i="12"/>
  <c r="M3049" i="12"/>
  <c r="K3047" i="12"/>
  <c r="I3040" i="12"/>
  <c r="J3036" i="12"/>
  <c r="E3033" i="12"/>
  <c r="D3030" i="12"/>
  <c r="L3028" i="12"/>
  <c r="E3024" i="12"/>
  <c r="E3020" i="12"/>
  <c r="E3016" i="12"/>
  <c r="E3012" i="12"/>
  <c r="E3006" i="12"/>
  <c r="K3004" i="12"/>
  <c r="M3170" i="12"/>
  <c r="L3168" i="12"/>
  <c r="K3165" i="12"/>
  <c r="K3145" i="12"/>
  <c r="K3137" i="12"/>
  <c r="K3083" i="12"/>
  <c r="K3063" i="12"/>
  <c r="K3056" i="12"/>
  <c r="M3052" i="12"/>
  <c r="I3047" i="12"/>
  <c r="M3045" i="12"/>
  <c r="L3039" i="12"/>
  <c r="K3028" i="12"/>
  <c r="E3010" i="12"/>
  <c r="M3008" i="12"/>
  <c r="M3173" i="12"/>
  <c r="L3170" i="12"/>
  <c r="K3168" i="12"/>
  <c r="J3165" i="12"/>
  <c r="J3145" i="12"/>
  <c r="J3137" i="12"/>
  <c r="J3083" i="12"/>
  <c r="J3063" i="12"/>
  <c r="J3056" i="12"/>
  <c r="K3039" i="12"/>
  <c r="L3035" i="12"/>
  <c r="J3028" i="12"/>
  <c r="D3022" i="12"/>
  <c r="D3018" i="12"/>
  <c r="D3014" i="12"/>
  <c r="K3008" i="12"/>
  <c r="K3247" i="12"/>
  <c r="E3230" i="12"/>
  <c r="K3227" i="12"/>
  <c r="E3216" i="12"/>
  <c r="E3214" i="12"/>
  <c r="K3211" i="12"/>
  <c r="E3200" i="12"/>
  <c r="E3198" i="12"/>
  <c r="K3195" i="12"/>
  <c r="E3193" i="12"/>
  <c r="J3192" i="12"/>
  <c r="E3185" i="12"/>
  <c r="E3181" i="12"/>
  <c r="E3178" i="12"/>
  <c r="J3177" i="12"/>
  <c r="I3173" i="12"/>
  <c r="I3168" i="12"/>
  <c r="I3165" i="12"/>
  <c r="L3164" i="12"/>
  <c r="E3162" i="12"/>
  <c r="E3160" i="12"/>
  <c r="E3157" i="12"/>
  <c r="E3153" i="12"/>
  <c r="I3145" i="12"/>
  <c r="L3144" i="12"/>
  <c r="I3137" i="12"/>
  <c r="E3135" i="12"/>
  <c r="E3134" i="12"/>
  <c r="E3132" i="12"/>
  <c r="M3118" i="12"/>
  <c r="M3114" i="12"/>
  <c r="M3110" i="12"/>
  <c r="M3106" i="12"/>
  <c r="M3102" i="12"/>
  <c r="M3098" i="12"/>
  <c r="M3094" i="12"/>
  <c r="M3090" i="12"/>
  <c r="E3089" i="12"/>
  <c r="K3088" i="12"/>
  <c r="I3083" i="12"/>
  <c r="M3064" i="12"/>
  <c r="E3064" i="12"/>
  <c r="I3063" i="12"/>
  <c r="M3061" i="12"/>
  <c r="E3053" i="12"/>
  <c r="I3039" i="12"/>
  <c r="M3037" i="12"/>
  <c r="L3031" i="12"/>
  <c r="I3008" i="12"/>
  <c r="M3230" i="12"/>
  <c r="J3227" i="12"/>
  <c r="M3214" i="12"/>
  <c r="J3211" i="12"/>
  <c r="M3198" i="12"/>
  <c r="J3195" i="12"/>
  <c r="J3187" i="12"/>
  <c r="M3178" i="12"/>
  <c r="I3177" i="12"/>
  <c r="M3157" i="12"/>
  <c r="M3153" i="12"/>
  <c r="K3144" i="12"/>
  <c r="K3140" i="12"/>
  <c r="M3109" i="12"/>
  <c r="M3105" i="12"/>
  <c r="M3101" i="12"/>
  <c r="M3097" i="12"/>
  <c r="M3093" i="12"/>
  <c r="M3089" i="12"/>
  <c r="D3087" i="12"/>
  <c r="I3082" i="12"/>
  <c r="J3079" i="12"/>
  <c r="D3078" i="12"/>
  <c r="K3071" i="12"/>
  <c r="D3066" i="12"/>
  <c r="J3059" i="12"/>
  <c r="L3055" i="12"/>
  <c r="D3046" i="12"/>
  <c r="E3040" i="12"/>
  <c r="I3035" i="12"/>
  <c r="M3033" i="12"/>
  <c r="K3031" i="12"/>
  <c r="L3027" i="12"/>
  <c r="K3007" i="12"/>
  <c r="E3004" i="12"/>
  <c r="E4983" i="12"/>
  <c r="E4947" i="12"/>
  <c r="E4927" i="12"/>
  <c r="E4895" i="12"/>
  <c r="E4891" i="12"/>
  <c r="E4871" i="12"/>
  <c r="E4867" i="12"/>
  <c r="E4851" i="12"/>
  <c r="E4847" i="12"/>
  <c r="J4706" i="12"/>
  <c r="M4706" i="12"/>
  <c r="J4690" i="12"/>
  <c r="M4690" i="12"/>
  <c r="J4674" i="12"/>
  <c r="M4674" i="12"/>
  <c r="J4658" i="12"/>
  <c r="M4658" i="12"/>
  <c r="J4642" i="12"/>
  <c r="M4642" i="12"/>
  <c r="J4626" i="12"/>
  <c r="M4626" i="12"/>
  <c r="J4610" i="12"/>
  <c r="M4610" i="12"/>
  <c r="D4594" i="12"/>
  <c r="E4594" i="12"/>
  <c r="J4589" i="12"/>
  <c r="K4589" i="12"/>
  <c r="I4541" i="12"/>
  <c r="J4541" i="12"/>
  <c r="K4541" i="12"/>
  <c r="M4541" i="12"/>
  <c r="D4522" i="12"/>
  <c r="E4522" i="12"/>
  <c r="I4509" i="12"/>
  <c r="J4509" i="12"/>
  <c r="K4509" i="12"/>
  <c r="M4509" i="12"/>
  <c r="D4490" i="12"/>
  <c r="E4490" i="12"/>
  <c r="D4461" i="12"/>
  <c r="E4461" i="12"/>
  <c r="I4457" i="12"/>
  <c r="J4457" i="12"/>
  <c r="K4457" i="12"/>
  <c r="L4457" i="12"/>
  <c r="M4457" i="12"/>
  <c r="I4410" i="12"/>
  <c r="K4410" i="12"/>
  <c r="J4410" i="12"/>
  <c r="L4410" i="12"/>
  <c r="M4410" i="12"/>
  <c r="E4399" i="12"/>
  <c r="D4399" i="12"/>
  <c r="D4265" i="12"/>
  <c r="E4265" i="12"/>
  <c r="E4991" i="12"/>
  <c r="E4975" i="12"/>
  <c r="E4967" i="12"/>
  <c r="E4951" i="12"/>
  <c r="E4931" i="12"/>
  <c r="E4919" i="12"/>
  <c r="E4907" i="12"/>
  <c r="E4903" i="12"/>
  <c r="E4899" i="12"/>
  <c r="E4883" i="12"/>
  <c r="E4859" i="12"/>
  <c r="L4995" i="12"/>
  <c r="L4991" i="12"/>
  <c r="J4990" i="12"/>
  <c r="L4983" i="12"/>
  <c r="D4979" i="12"/>
  <c r="L4975" i="12"/>
  <c r="L4971" i="12"/>
  <c r="D4971" i="12"/>
  <c r="L4963" i="12"/>
  <c r="D4963" i="12"/>
  <c r="L4959" i="12"/>
  <c r="D4959" i="12"/>
  <c r="L4951" i="12"/>
  <c r="D4939" i="12"/>
  <c r="D4935" i="12"/>
  <c r="D4923" i="12"/>
  <c r="D4915" i="12"/>
  <c r="D4911" i="12"/>
  <c r="D4887" i="12"/>
  <c r="D4879" i="12"/>
  <c r="D4875" i="12"/>
  <c r="D4863" i="12"/>
  <c r="D4855" i="12"/>
  <c r="L4847" i="12"/>
  <c r="L4843" i="12"/>
  <c r="D4843" i="12"/>
  <c r="L4839" i="12"/>
  <c r="D4839" i="12"/>
  <c r="L4835" i="12"/>
  <c r="D4835" i="12"/>
  <c r="L4831" i="12"/>
  <c r="D4831" i="12"/>
  <c r="L4827" i="12"/>
  <c r="L4823" i="12"/>
  <c r="L4819" i="12"/>
  <c r="L4815" i="12"/>
  <c r="L4811" i="12"/>
  <c r="L4807" i="12"/>
  <c r="L4803" i="12"/>
  <c r="L4799" i="12"/>
  <c r="L4795" i="12"/>
  <c r="L4791" i="12"/>
  <c r="L4787" i="12"/>
  <c r="L4783" i="12"/>
  <c r="L4779" i="12"/>
  <c r="L4775" i="12"/>
  <c r="L4771" i="12"/>
  <c r="L4767" i="12"/>
  <c r="L4763" i="12"/>
  <c r="L4759" i="12"/>
  <c r="L4755" i="12"/>
  <c r="L4751" i="12"/>
  <c r="L4747" i="12"/>
  <c r="L4743" i="12"/>
  <c r="E4740" i="12"/>
  <c r="M4737" i="12"/>
  <c r="J4736" i="12"/>
  <c r="L4734" i="12"/>
  <c r="E4732" i="12"/>
  <c r="M4729" i="12"/>
  <c r="J4728" i="12"/>
  <c r="E4724" i="12"/>
  <c r="E4716" i="12"/>
  <c r="E4708" i="12"/>
  <c r="E4703" i="12"/>
  <c r="E4687" i="12"/>
  <c r="E4671" i="12"/>
  <c r="E4655" i="12"/>
  <c r="E4639" i="12"/>
  <c r="E4623" i="12"/>
  <c r="E4607" i="12"/>
  <c r="J4593" i="12"/>
  <c r="K4593" i="12"/>
  <c r="I4584" i="12"/>
  <c r="K4584" i="12"/>
  <c r="I4576" i="12"/>
  <c r="K4576" i="12"/>
  <c r="I4568" i="12"/>
  <c r="K4568" i="12"/>
  <c r="I4560" i="12"/>
  <c r="K4560" i="12"/>
  <c r="I4552" i="12"/>
  <c r="K4552" i="12"/>
  <c r="D4542" i="12"/>
  <c r="E4542" i="12"/>
  <c r="I4529" i="12"/>
  <c r="J4529" i="12"/>
  <c r="K4529" i="12"/>
  <c r="M4529" i="12"/>
  <c r="D4521" i="12"/>
  <c r="D4510" i="12"/>
  <c r="E4510" i="12"/>
  <c r="I4497" i="12"/>
  <c r="J4497" i="12"/>
  <c r="K4497" i="12"/>
  <c r="M4497" i="12"/>
  <c r="D4489" i="12"/>
  <c r="I4485" i="12"/>
  <c r="J4485" i="12"/>
  <c r="K4485" i="12"/>
  <c r="L4485" i="12"/>
  <c r="M4485" i="12"/>
  <c r="D4457" i="12"/>
  <c r="E4457" i="12"/>
  <c r="I4453" i="12"/>
  <c r="J4453" i="12"/>
  <c r="K4453" i="12"/>
  <c r="L4453" i="12"/>
  <c r="M4453" i="12"/>
  <c r="D4429" i="12"/>
  <c r="E4429" i="12"/>
  <c r="D4410" i="12"/>
  <c r="E4410" i="12"/>
  <c r="I4406" i="12"/>
  <c r="K4406" i="12"/>
  <c r="J4406" i="12"/>
  <c r="L4406" i="12"/>
  <c r="M4406" i="12"/>
  <c r="K4395" i="12"/>
  <c r="M4395" i="12"/>
  <c r="I4395" i="12"/>
  <c r="J4395" i="12"/>
  <c r="L4395" i="12"/>
  <c r="E4368" i="12"/>
  <c r="D4368" i="12"/>
  <c r="K4295" i="12"/>
  <c r="L4295" i="12"/>
  <c r="M4295" i="12"/>
  <c r="I4295" i="12"/>
  <c r="J4295" i="12"/>
  <c r="D4286" i="12"/>
  <c r="E4286" i="12"/>
  <c r="L4999" i="12"/>
  <c r="D4999" i="12"/>
  <c r="J4998" i="12"/>
  <c r="D4995" i="12"/>
  <c r="J4994" i="12"/>
  <c r="L4987" i="12"/>
  <c r="D4987" i="12"/>
  <c r="J4986" i="12"/>
  <c r="J4982" i="12"/>
  <c r="L4979" i="12"/>
  <c r="J4978" i="12"/>
  <c r="L4967" i="12"/>
  <c r="L4955" i="12"/>
  <c r="D4955" i="12"/>
  <c r="D4943" i="12"/>
  <c r="M5000" i="12"/>
  <c r="K4999" i="12"/>
  <c r="M4996" i="12"/>
  <c r="K4995" i="12"/>
  <c r="M4992" i="12"/>
  <c r="K4991" i="12"/>
  <c r="M4988" i="12"/>
  <c r="K4987" i="12"/>
  <c r="M4984" i="12"/>
  <c r="K4983" i="12"/>
  <c r="M4980" i="12"/>
  <c r="K4979" i="12"/>
  <c r="M4976" i="12"/>
  <c r="K4975" i="12"/>
  <c r="M4972" i="12"/>
  <c r="K4971" i="12"/>
  <c r="M4968" i="12"/>
  <c r="K4967" i="12"/>
  <c r="M4964" i="12"/>
  <c r="K4963" i="12"/>
  <c r="M4960" i="12"/>
  <c r="K4959" i="12"/>
  <c r="M4956" i="12"/>
  <c r="K4955" i="12"/>
  <c r="M4952" i="12"/>
  <c r="K4951" i="12"/>
  <c r="M4948" i="12"/>
  <c r="K4947" i="12"/>
  <c r="M4944" i="12"/>
  <c r="K4943" i="12"/>
  <c r="M4940" i="12"/>
  <c r="K4939" i="12"/>
  <c r="M4936" i="12"/>
  <c r="K4935" i="12"/>
  <c r="M4932" i="12"/>
  <c r="K4931" i="12"/>
  <c r="M4928" i="12"/>
  <c r="K4927" i="12"/>
  <c r="M4924" i="12"/>
  <c r="K4923" i="12"/>
  <c r="M4920" i="12"/>
  <c r="K4919" i="12"/>
  <c r="M4916" i="12"/>
  <c r="K4915" i="12"/>
  <c r="M4912" i="12"/>
  <c r="K4911" i="12"/>
  <c r="M4908" i="12"/>
  <c r="K4907" i="12"/>
  <c r="M4904" i="12"/>
  <c r="K4903" i="12"/>
  <c r="M4900" i="12"/>
  <c r="K4899" i="12"/>
  <c r="M4896" i="12"/>
  <c r="K4895" i="12"/>
  <c r="M4892" i="12"/>
  <c r="K4891" i="12"/>
  <c r="M4888" i="12"/>
  <c r="K4887" i="12"/>
  <c r="M4884" i="12"/>
  <c r="K4883" i="12"/>
  <c r="M4880" i="12"/>
  <c r="K4879" i="12"/>
  <c r="M4876" i="12"/>
  <c r="K4875" i="12"/>
  <c r="M4872" i="12"/>
  <c r="K4871" i="12"/>
  <c r="M4868" i="12"/>
  <c r="K4867" i="12"/>
  <c r="M4864" i="12"/>
  <c r="K4863" i="12"/>
  <c r="M4860" i="12"/>
  <c r="K4859" i="12"/>
  <c r="M4856" i="12"/>
  <c r="K4855" i="12"/>
  <c r="M4852" i="12"/>
  <c r="K4851" i="12"/>
  <c r="M4848" i="12"/>
  <c r="K4847" i="12"/>
  <c r="M4844" i="12"/>
  <c r="K4843" i="12"/>
  <c r="M4840" i="12"/>
  <c r="K4839" i="12"/>
  <c r="M4836" i="12"/>
  <c r="K4835" i="12"/>
  <c r="M4832" i="12"/>
  <c r="K4831" i="12"/>
  <c r="M4828" i="12"/>
  <c r="K4827" i="12"/>
  <c r="M4824" i="12"/>
  <c r="K4823" i="12"/>
  <c r="M4820" i="12"/>
  <c r="K4819" i="12"/>
  <c r="M4816" i="12"/>
  <c r="K4815" i="12"/>
  <c r="M4812" i="12"/>
  <c r="K4811" i="12"/>
  <c r="M4808" i="12"/>
  <c r="K4807" i="12"/>
  <c r="M4804" i="12"/>
  <c r="K4803" i="12"/>
  <c r="M4800" i="12"/>
  <c r="K4799" i="12"/>
  <c r="M4796" i="12"/>
  <c r="K4795" i="12"/>
  <c r="M4792" i="12"/>
  <c r="K4791" i="12"/>
  <c r="M4788" i="12"/>
  <c r="K4787" i="12"/>
  <c r="M4784" i="12"/>
  <c r="K4783" i="12"/>
  <c r="M4780" i="12"/>
  <c r="K4779" i="12"/>
  <c r="M4776" i="12"/>
  <c r="K4775" i="12"/>
  <c r="M4772" i="12"/>
  <c r="K4771" i="12"/>
  <c r="M4768" i="12"/>
  <c r="K4767" i="12"/>
  <c r="M4764" i="12"/>
  <c r="K4763" i="12"/>
  <c r="M4760" i="12"/>
  <c r="K4759" i="12"/>
  <c r="M4756" i="12"/>
  <c r="K4755" i="12"/>
  <c r="M4752" i="12"/>
  <c r="K4751" i="12"/>
  <c r="M4748" i="12"/>
  <c r="K4747" i="12"/>
  <c r="M4744" i="12"/>
  <c r="K4743" i="12"/>
  <c r="M4740" i="12"/>
  <c r="L4737" i="12"/>
  <c r="K4734" i="12"/>
  <c r="M4732" i="12"/>
  <c r="L4729" i="12"/>
  <c r="K4726" i="12"/>
  <c r="M4724" i="12"/>
  <c r="L4721" i="12"/>
  <c r="K4718" i="12"/>
  <c r="M4716" i="12"/>
  <c r="L4713" i="12"/>
  <c r="K4710" i="12"/>
  <c r="M4708" i="12"/>
  <c r="D4706" i="12"/>
  <c r="I4705" i="12"/>
  <c r="J4702" i="12"/>
  <c r="M4702" i="12"/>
  <c r="L4701" i="12"/>
  <c r="E4697" i="12"/>
  <c r="L4694" i="12"/>
  <c r="M4692" i="12"/>
  <c r="D4690" i="12"/>
  <c r="I4689" i="12"/>
  <c r="J4686" i="12"/>
  <c r="M4686" i="12"/>
  <c r="L4685" i="12"/>
  <c r="E4681" i="12"/>
  <c r="L4678" i="12"/>
  <c r="M4676" i="12"/>
  <c r="D4674" i="12"/>
  <c r="I4673" i="12"/>
  <c r="J4670" i="12"/>
  <c r="M4670" i="12"/>
  <c r="L4669" i="12"/>
  <c r="E4665" i="12"/>
  <c r="L4662" i="12"/>
  <c r="M4660" i="12"/>
  <c r="D4658" i="12"/>
  <c r="I4657" i="12"/>
  <c r="J4654" i="12"/>
  <c r="M4654" i="12"/>
  <c r="L4653" i="12"/>
  <c r="E4649" i="12"/>
  <c r="L4646" i="12"/>
  <c r="M4644" i="12"/>
  <c r="D4642" i="12"/>
  <c r="J4638" i="12"/>
  <c r="M4638" i="12"/>
  <c r="L4637" i="12"/>
  <c r="E4633" i="12"/>
  <c r="L4630" i="12"/>
  <c r="M4628" i="12"/>
  <c r="D4626" i="12"/>
  <c r="J4622" i="12"/>
  <c r="M4622" i="12"/>
  <c r="L4621" i="12"/>
  <c r="E4617" i="12"/>
  <c r="L4614" i="12"/>
  <c r="M4612" i="12"/>
  <c r="D4610" i="12"/>
  <c r="J4606" i="12"/>
  <c r="M4606" i="12"/>
  <c r="L4605" i="12"/>
  <c r="E4601" i="12"/>
  <c r="L4598" i="12"/>
  <c r="M4596" i="12"/>
  <c r="L4592" i="12"/>
  <c r="E4589" i="12"/>
  <c r="D4582" i="12"/>
  <c r="E4582" i="12"/>
  <c r="J4581" i="12"/>
  <c r="K4581" i="12"/>
  <c r="M4581" i="12"/>
  <c r="D4574" i="12"/>
  <c r="E4574" i="12"/>
  <c r="J4573" i="12"/>
  <c r="K4573" i="12"/>
  <c r="M4573" i="12"/>
  <c r="D4566" i="12"/>
  <c r="E4566" i="12"/>
  <c r="J4565" i="12"/>
  <c r="K4565" i="12"/>
  <c r="M4565" i="12"/>
  <c r="D4558" i="12"/>
  <c r="E4558" i="12"/>
  <c r="J4557" i="12"/>
  <c r="K4557" i="12"/>
  <c r="M4557" i="12"/>
  <c r="D4550" i="12"/>
  <c r="E4550" i="12"/>
  <c r="J4549" i="12"/>
  <c r="K4549" i="12"/>
  <c r="M4549" i="12"/>
  <c r="D4541" i="12"/>
  <c r="D4530" i="12"/>
  <c r="E4530" i="12"/>
  <c r="I4517" i="12"/>
  <c r="J4517" i="12"/>
  <c r="K4517" i="12"/>
  <c r="M4517" i="12"/>
  <c r="D4509" i="12"/>
  <c r="D4498" i="12"/>
  <c r="E4498" i="12"/>
  <c r="D4485" i="12"/>
  <c r="E4485" i="12"/>
  <c r="I4481" i="12"/>
  <c r="J4481" i="12"/>
  <c r="K4481" i="12"/>
  <c r="L4481" i="12"/>
  <c r="M4481" i="12"/>
  <c r="D4453" i="12"/>
  <c r="E4453" i="12"/>
  <c r="I4449" i="12"/>
  <c r="J4449" i="12"/>
  <c r="K4449" i="12"/>
  <c r="L4449" i="12"/>
  <c r="M4449" i="12"/>
  <c r="K4431" i="12"/>
  <c r="M4431" i="12"/>
  <c r="I4431" i="12"/>
  <c r="J4431" i="12"/>
  <c r="L4431" i="12"/>
  <c r="D4424" i="12"/>
  <c r="E4388" i="12"/>
  <c r="D4388" i="12"/>
  <c r="E4352" i="12"/>
  <c r="D4352" i="12"/>
  <c r="K4335" i="12"/>
  <c r="M4335" i="12"/>
  <c r="I4335" i="12"/>
  <c r="J4335" i="12"/>
  <c r="L4335" i="12"/>
  <c r="L4980" i="12"/>
  <c r="L4976" i="12"/>
  <c r="L4972" i="12"/>
  <c r="L4968" i="12"/>
  <c r="L4964" i="12"/>
  <c r="L4960" i="12"/>
  <c r="L4956" i="12"/>
  <c r="L4952" i="12"/>
  <c r="L4948" i="12"/>
  <c r="L4944" i="12"/>
  <c r="L4940" i="12"/>
  <c r="L4936" i="12"/>
  <c r="L4932" i="12"/>
  <c r="L4928" i="12"/>
  <c r="L4924" i="12"/>
  <c r="L4920" i="12"/>
  <c r="L4916" i="12"/>
  <c r="L4912" i="12"/>
  <c r="L4908" i="12"/>
  <c r="L4904" i="12"/>
  <c r="L4900" i="12"/>
  <c r="L4896" i="12"/>
  <c r="L4892" i="12"/>
  <c r="L4888" i="12"/>
  <c r="L4884" i="12"/>
  <c r="L4880" i="12"/>
  <c r="L4876" i="12"/>
  <c r="L4872" i="12"/>
  <c r="L4868" i="12"/>
  <c r="L4864" i="12"/>
  <c r="L4860" i="12"/>
  <c r="L4856" i="12"/>
  <c r="L4852" i="12"/>
  <c r="L4848" i="12"/>
  <c r="L4844" i="12"/>
  <c r="L4840" i="12"/>
  <c r="L4836" i="12"/>
  <c r="L4832" i="12"/>
  <c r="L4828" i="12"/>
  <c r="L4824" i="12"/>
  <c r="L4820" i="12"/>
  <c r="L4816" i="12"/>
  <c r="L4812" i="12"/>
  <c r="L4808" i="12"/>
  <c r="L4804" i="12"/>
  <c r="L4800" i="12"/>
  <c r="L4796" i="12"/>
  <c r="L4792" i="12"/>
  <c r="L4788" i="12"/>
  <c r="L4784" i="12"/>
  <c r="L4780" i="12"/>
  <c r="L4776" i="12"/>
  <c r="L4772" i="12"/>
  <c r="L4768" i="12"/>
  <c r="L4764" i="12"/>
  <c r="L4760" i="12"/>
  <c r="L4756" i="12"/>
  <c r="L4752" i="12"/>
  <c r="L4748" i="12"/>
  <c r="L4744" i="12"/>
  <c r="L4740" i="12"/>
  <c r="L4732" i="12"/>
  <c r="L4724" i="12"/>
  <c r="L4716" i="12"/>
  <c r="L4708" i="12"/>
  <c r="M4697" i="12"/>
  <c r="L4692" i="12"/>
  <c r="M4681" i="12"/>
  <c r="L4676" i="12"/>
  <c r="M4665" i="12"/>
  <c r="L4660" i="12"/>
  <c r="M4649" i="12"/>
  <c r="L4644" i="12"/>
  <c r="M4633" i="12"/>
  <c r="L4628" i="12"/>
  <c r="M4617" i="12"/>
  <c r="L4612" i="12"/>
  <c r="M4601" i="12"/>
  <c r="L4596" i="12"/>
  <c r="I4537" i="12"/>
  <c r="J4537" i="12"/>
  <c r="K4537" i="12"/>
  <c r="M4537" i="12"/>
  <c r="D4518" i="12"/>
  <c r="E4518" i="12"/>
  <c r="I4505" i="12"/>
  <c r="J4505" i="12"/>
  <c r="K4505" i="12"/>
  <c r="M4505" i="12"/>
  <c r="D4481" i="12"/>
  <c r="E4481" i="12"/>
  <c r="I4477" i="12"/>
  <c r="J4477" i="12"/>
  <c r="K4477" i="12"/>
  <c r="L4477" i="12"/>
  <c r="M4477" i="12"/>
  <c r="D4449" i="12"/>
  <c r="E4449" i="12"/>
  <c r="I4445" i="12"/>
  <c r="J4445" i="12"/>
  <c r="K4445" i="12"/>
  <c r="L4445" i="12"/>
  <c r="M4445" i="12"/>
  <c r="K4442" i="12"/>
  <c r="I4442" i="12"/>
  <c r="J4442" i="12"/>
  <c r="L4442" i="12"/>
  <c r="M4442" i="12"/>
  <c r="E4431" i="12"/>
  <c r="D4431" i="12"/>
  <c r="K4303" i="12"/>
  <c r="M4303" i="12"/>
  <c r="I4303" i="12"/>
  <c r="J4303" i="12"/>
  <c r="L4303" i="12"/>
  <c r="L4996" i="12"/>
  <c r="L4992" i="12"/>
  <c r="L4988" i="12"/>
  <c r="L4984" i="12"/>
  <c r="K5000" i="12"/>
  <c r="E4997" i="12"/>
  <c r="K4996" i="12"/>
  <c r="E4993" i="12"/>
  <c r="K4992" i="12"/>
  <c r="E4989" i="12"/>
  <c r="K4988" i="12"/>
  <c r="E4985" i="12"/>
  <c r="K4984" i="12"/>
  <c r="E4981" i="12"/>
  <c r="K4980" i="12"/>
  <c r="E4977" i="12"/>
  <c r="K4976" i="12"/>
  <c r="E4973" i="12"/>
  <c r="K4972" i="12"/>
  <c r="E4969" i="12"/>
  <c r="K4968" i="12"/>
  <c r="E4965" i="12"/>
  <c r="K4964" i="12"/>
  <c r="E4961" i="12"/>
  <c r="K4960" i="12"/>
  <c r="E4957" i="12"/>
  <c r="K4956" i="12"/>
  <c r="E4953" i="12"/>
  <c r="K4952" i="12"/>
  <c r="E4949" i="12"/>
  <c r="K4948" i="12"/>
  <c r="E4945" i="12"/>
  <c r="K4944" i="12"/>
  <c r="E4941" i="12"/>
  <c r="K4940" i="12"/>
  <c r="E4937" i="12"/>
  <c r="K4936" i="12"/>
  <c r="E4933" i="12"/>
  <c r="K4932" i="12"/>
  <c r="E4929" i="12"/>
  <c r="K4928" i="12"/>
  <c r="E4925" i="12"/>
  <c r="K4924" i="12"/>
  <c r="E4921" i="12"/>
  <c r="K4920" i="12"/>
  <c r="E4917" i="12"/>
  <c r="K4916" i="12"/>
  <c r="E4913" i="12"/>
  <c r="K4912" i="12"/>
  <c r="E4909" i="12"/>
  <c r="K4908" i="12"/>
  <c r="E4905" i="12"/>
  <c r="K4904" i="12"/>
  <c r="E4901" i="12"/>
  <c r="K4900" i="12"/>
  <c r="E4897" i="12"/>
  <c r="K4896" i="12"/>
  <c r="E4893" i="12"/>
  <c r="K4892" i="12"/>
  <c r="E4889" i="12"/>
  <c r="K4888" i="12"/>
  <c r="E4885" i="12"/>
  <c r="K4884" i="12"/>
  <c r="E4881" i="12"/>
  <c r="K4880" i="12"/>
  <c r="E4877" i="12"/>
  <c r="K4876" i="12"/>
  <c r="E4873" i="12"/>
  <c r="K4872" i="12"/>
  <c r="E4869" i="12"/>
  <c r="K4868" i="12"/>
  <c r="M4865" i="12"/>
  <c r="E4865" i="12"/>
  <c r="K4864" i="12"/>
  <c r="M4861" i="12"/>
  <c r="E4861" i="12"/>
  <c r="K4860" i="12"/>
  <c r="M4857" i="12"/>
  <c r="E4857" i="12"/>
  <c r="K4856" i="12"/>
  <c r="M4853" i="12"/>
  <c r="E4853" i="12"/>
  <c r="K4852" i="12"/>
  <c r="M4849" i="12"/>
  <c r="E4849" i="12"/>
  <c r="K4848" i="12"/>
  <c r="M4845" i="12"/>
  <c r="E4845" i="12"/>
  <c r="K4844" i="12"/>
  <c r="M4841" i="12"/>
  <c r="E4841" i="12"/>
  <c r="K4840" i="12"/>
  <c r="M4837" i="12"/>
  <c r="E4837" i="12"/>
  <c r="K4836" i="12"/>
  <c r="M4833" i="12"/>
  <c r="E4833" i="12"/>
  <c r="K4832" i="12"/>
  <c r="M4829" i="12"/>
  <c r="E4829" i="12"/>
  <c r="K4828" i="12"/>
  <c r="M4825" i="12"/>
  <c r="E4825" i="12"/>
  <c r="K4824" i="12"/>
  <c r="M4821" i="12"/>
  <c r="E4821" i="12"/>
  <c r="K4820" i="12"/>
  <c r="M4817" i="12"/>
  <c r="E4817" i="12"/>
  <c r="K4816" i="12"/>
  <c r="M4813" i="12"/>
  <c r="E4813" i="12"/>
  <c r="K4812" i="12"/>
  <c r="M4809" i="12"/>
  <c r="E4809" i="12"/>
  <c r="K4808" i="12"/>
  <c r="M4805" i="12"/>
  <c r="E4805" i="12"/>
  <c r="K4804" i="12"/>
  <c r="M4801" i="12"/>
  <c r="E4801" i="12"/>
  <c r="K4800" i="12"/>
  <c r="M4797" i="12"/>
  <c r="E4797" i="12"/>
  <c r="K4796" i="12"/>
  <c r="M4793" i="12"/>
  <c r="E4793" i="12"/>
  <c r="K4792" i="12"/>
  <c r="M4789" i="12"/>
  <c r="E4789" i="12"/>
  <c r="K4788" i="12"/>
  <c r="M4785" i="12"/>
  <c r="E4785" i="12"/>
  <c r="K4784" i="12"/>
  <c r="M4781" i="12"/>
  <c r="E4781" i="12"/>
  <c r="K4780" i="12"/>
  <c r="M4777" i="12"/>
  <c r="E4777" i="12"/>
  <c r="K4776" i="12"/>
  <c r="M4773" i="12"/>
  <c r="E4773" i="12"/>
  <c r="K4772" i="12"/>
  <c r="E4769" i="12"/>
  <c r="K4768" i="12"/>
  <c r="E4765" i="12"/>
  <c r="K4764" i="12"/>
  <c r="E4761" i="12"/>
  <c r="K4760" i="12"/>
  <c r="E4757" i="12"/>
  <c r="K4756" i="12"/>
  <c r="E4753" i="12"/>
  <c r="K4752" i="12"/>
  <c r="E4749" i="12"/>
  <c r="K4748" i="12"/>
  <c r="E4745" i="12"/>
  <c r="K4744" i="12"/>
  <c r="E4741" i="12"/>
  <c r="K4740" i="12"/>
  <c r="D4738" i="12"/>
  <c r="I4737" i="12"/>
  <c r="I4734" i="12"/>
  <c r="E4733" i="12"/>
  <c r="K4732" i="12"/>
  <c r="D4730" i="12"/>
  <c r="I4729" i="12"/>
  <c r="I4726" i="12"/>
  <c r="E4725" i="12"/>
  <c r="K4724" i="12"/>
  <c r="D4722" i="12"/>
  <c r="I4721" i="12"/>
  <c r="I4718" i="12"/>
  <c r="E4717" i="12"/>
  <c r="K4716" i="12"/>
  <c r="D4714" i="12"/>
  <c r="I4713" i="12"/>
  <c r="I4710" i="12"/>
  <c r="E4709" i="12"/>
  <c r="K4708" i="12"/>
  <c r="L4706" i="12"/>
  <c r="M4704" i="12"/>
  <c r="D4702" i="12"/>
  <c r="I4701" i="12"/>
  <c r="J4698" i="12"/>
  <c r="M4698" i="12"/>
  <c r="L4697" i="12"/>
  <c r="E4693" i="12"/>
  <c r="K4692" i="12"/>
  <c r="L4690" i="12"/>
  <c r="M4688" i="12"/>
  <c r="D4686" i="12"/>
  <c r="I4685" i="12"/>
  <c r="J4682" i="12"/>
  <c r="M4682" i="12"/>
  <c r="L4681" i="12"/>
  <c r="E4677" i="12"/>
  <c r="K4676" i="12"/>
  <c r="L4674" i="12"/>
  <c r="M4672" i="12"/>
  <c r="D4670" i="12"/>
  <c r="J4666" i="12"/>
  <c r="M4666" i="12"/>
  <c r="L4665" i="12"/>
  <c r="E4661" i="12"/>
  <c r="K4660" i="12"/>
  <c r="L4658" i="12"/>
  <c r="M4656" i="12"/>
  <c r="D4654" i="12"/>
  <c r="I4653" i="12"/>
  <c r="J4650" i="12"/>
  <c r="M4650" i="12"/>
  <c r="L4649" i="12"/>
  <c r="E4645" i="12"/>
  <c r="K4644" i="12"/>
  <c r="L4642" i="12"/>
  <c r="M4640" i="12"/>
  <c r="D4638" i="12"/>
  <c r="I4637" i="12"/>
  <c r="J4634" i="12"/>
  <c r="M4634" i="12"/>
  <c r="L4633" i="12"/>
  <c r="E4629" i="12"/>
  <c r="K4628" i="12"/>
  <c r="L4626" i="12"/>
  <c r="M4624" i="12"/>
  <c r="D4622" i="12"/>
  <c r="I4621" i="12"/>
  <c r="J4618" i="12"/>
  <c r="M4618" i="12"/>
  <c r="L4617" i="12"/>
  <c r="E4613" i="12"/>
  <c r="K4612" i="12"/>
  <c r="L4610" i="12"/>
  <c r="M4608" i="12"/>
  <c r="D4606" i="12"/>
  <c r="I4605" i="12"/>
  <c r="J4602" i="12"/>
  <c r="M4602" i="12"/>
  <c r="L4601" i="12"/>
  <c r="E4597" i="12"/>
  <c r="K4596" i="12"/>
  <c r="K4594" i="12"/>
  <c r="J4592" i="12"/>
  <c r="M4589" i="12"/>
  <c r="D4581" i="12"/>
  <c r="D4573" i="12"/>
  <c r="D4538" i="12"/>
  <c r="E4538" i="12"/>
  <c r="I4525" i="12"/>
  <c r="J4525" i="12"/>
  <c r="K4525" i="12"/>
  <c r="M4525" i="12"/>
  <c r="D4506" i="12"/>
  <c r="E4506" i="12"/>
  <c r="I4493" i="12"/>
  <c r="J4493" i="12"/>
  <c r="K4493" i="12"/>
  <c r="M4493" i="12"/>
  <c r="D4477" i="12"/>
  <c r="E4477" i="12"/>
  <c r="I4473" i="12"/>
  <c r="J4473" i="12"/>
  <c r="K4473" i="12"/>
  <c r="L4473" i="12"/>
  <c r="M4473" i="12"/>
  <c r="D4445" i="12"/>
  <c r="E4445" i="12"/>
  <c r="D4442" i="12"/>
  <c r="E4442" i="12"/>
  <c r="I4438" i="12"/>
  <c r="K4438" i="12"/>
  <c r="J4438" i="12"/>
  <c r="L4438" i="12"/>
  <c r="M4438" i="12"/>
  <c r="K4427" i="12"/>
  <c r="M4427" i="12"/>
  <c r="I4427" i="12"/>
  <c r="J4427" i="12"/>
  <c r="L4427" i="12"/>
  <c r="L5000" i="12"/>
  <c r="J5000" i="12"/>
  <c r="J4996" i="12"/>
  <c r="J4992" i="12"/>
  <c r="J4988" i="12"/>
  <c r="J4984" i="12"/>
  <c r="J4980" i="12"/>
  <c r="J4976" i="12"/>
  <c r="J4972" i="12"/>
  <c r="J4968" i="12"/>
  <c r="J4964" i="12"/>
  <c r="J4960" i="12"/>
  <c r="J4956" i="12"/>
  <c r="J4952" i="12"/>
  <c r="J4948" i="12"/>
  <c r="J4944" i="12"/>
  <c r="J4940" i="12"/>
  <c r="J4936" i="12"/>
  <c r="J4932" i="12"/>
  <c r="J4928" i="12"/>
  <c r="J4924" i="12"/>
  <c r="J4920" i="12"/>
  <c r="J4916" i="12"/>
  <c r="J4912" i="12"/>
  <c r="J4908" i="12"/>
  <c r="J4904" i="12"/>
  <c r="J4900" i="12"/>
  <c r="J4896" i="12"/>
  <c r="J4892" i="12"/>
  <c r="J4888" i="12"/>
  <c r="J4884" i="12"/>
  <c r="J4880" i="12"/>
  <c r="J4876" i="12"/>
  <c r="J4872" i="12"/>
  <c r="J4868" i="12"/>
  <c r="J4864" i="12"/>
  <c r="J4860" i="12"/>
  <c r="J4856" i="12"/>
  <c r="J4852" i="12"/>
  <c r="J4848" i="12"/>
  <c r="J4844" i="12"/>
  <c r="J4840" i="12"/>
  <c r="J4836" i="12"/>
  <c r="J4832" i="12"/>
  <c r="J4828" i="12"/>
  <c r="J4824" i="12"/>
  <c r="J4820" i="12"/>
  <c r="J4816" i="12"/>
  <c r="J4812" i="12"/>
  <c r="J4808" i="12"/>
  <c r="J4804" i="12"/>
  <c r="J4800" i="12"/>
  <c r="J4796" i="12"/>
  <c r="J4792" i="12"/>
  <c r="J4788" i="12"/>
  <c r="J4784" i="12"/>
  <c r="J4780" i="12"/>
  <c r="J4776" i="12"/>
  <c r="J4772" i="12"/>
  <c r="J4768" i="12"/>
  <c r="J4764" i="12"/>
  <c r="J4760" i="12"/>
  <c r="J4756" i="12"/>
  <c r="J4752" i="12"/>
  <c r="J4748" i="12"/>
  <c r="J4744" i="12"/>
  <c r="J4740" i="12"/>
  <c r="L4738" i="12"/>
  <c r="M4733" i="12"/>
  <c r="J4732" i="12"/>
  <c r="L4730" i="12"/>
  <c r="M4725" i="12"/>
  <c r="J4724" i="12"/>
  <c r="L4722" i="12"/>
  <c r="M4717" i="12"/>
  <c r="J4716" i="12"/>
  <c r="L4714" i="12"/>
  <c r="M4709" i="12"/>
  <c r="J4708" i="12"/>
  <c r="K4706" i="12"/>
  <c r="L4704" i="12"/>
  <c r="J4697" i="12"/>
  <c r="E4695" i="12"/>
  <c r="M4693" i="12"/>
  <c r="J4692" i="12"/>
  <c r="K4690" i="12"/>
  <c r="L4688" i="12"/>
  <c r="J4681" i="12"/>
  <c r="E4679" i="12"/>
  <c r="M4677" i="12"/>
  <c r="J4676" i="12"/>
  <c r="K4674" i="12"/>
  <c r="L4672" i="12"/>
  <c r="J4665" i="12"/>
  <c r="E4663" i="12"/>
  <c r="M4661" i="12"/>
  <c r="J4660" i="12"/>
  <c r="K4658" i="12"/>
  <c r="L4656" i="12"/>
  <c r="J4649" i="12"/>
  <c r="E4647" i="12"/>
  <c r="M4645" i="12"/>
  <c r="J4644" i="12"/>
  <c r="K4642" i="12"/>
  <c r="L4640" i="12"/>
  <c r="J4633" i="12"/>
  <c r="E4631" i="12"/>
  <c r="M4629" i="12"/>
  <c r="J4628" i="12"/>
  <c r="K4626" i="12"/>
  <c r="L4624" i="12"/>
  <c r="J4617" i="12"/>
  <c r="E4615" i="12"/>
  <c r="M4613" i="12"/>
  <c r="J4612" i="12"/>
  <c r="K4610" i="12"/>
  <c r="L4608" i="12"/>
  <c r="J4601" i="12"/>
  <c r="E4599" i="12"/>
  <c r="M4597" i="12"/>
  <c r="J4596" i="12"/>
  <c r="M4593" i="12"/>
  <c r="L4589" i="12"/>
  <c r="M4584" i="12"/>
  <c r="I4580" i="12"/>
  <c r="K4580" i="12"/>
  <c r="M4576" i="12"/>
  <c r="I4572" i="12"/>
  <c r="K4572" i="12"/>
  <c r="M4568" i="12"/>
  <c r="I4564" i="12"/>
  <c r="K4564" i="12"/>
  <c r="M4560" i="12"/>
  <c r="I4556" i="12"/>
  <c r="K4556" i="12"/>
  <c r="M4552" i="12"/>
  <c r="I4548" i="12"/>
  <c r="K4548" i="12"/>
  <c r="I4545" i="12"/>
  <c r="J4545" i="12"/>
  <c r="K4545" i="12"/>
  <c r="M4545" i="12"/>
  <c r="D4537" i="12"/>
  <c r="D4526" i="12"/>
  <c r="E4526" i="12"/>
  <c r="I4513" i="12"/>
  <c r="J4513" i="12"/>
  <c r="K4513" i="12"/>
  <c r="M4513" i="12"/>
  <c r="D4505" i="12"/>
  <c r="D4494" i="12"/>
  <c r="E4494" i="12"/>
  <c r="D4473" i="12"/>
  <c r="E4473" i="12"/>
  <c r="I4469" i="12"/>
  <c r="J4469" i="12"/>
  <c r="K4469" i="12"/>
  <c r="L4469" i="12"/>
  <c r="M4469" i="12"/>
  <c r="E4420" i="12"/>
  <c r="D4420" i="12"/>
  <c r="E4401" i="12"/>
  <c r="M4736" i="12"/>
  <c r="M4728" i="12"/>
  <c r="M4720" i="12"/>
  <c r="M4712" i="12"/>
  <c r="I4706" i="12"/>
  <c r="K4704" i="12"/>
  <c r="M4700" i="12"/>
  <c r="I4697" i="12"/>
  <c r="J4694" i="12"/>
  <c r="M4694" i="12"/>
  <c r="I4690" i="12"/>
  <c r="K4688" i="12"/>
  <c r="M4684" i="12"/>
  <c r="I4681" i="12"/>
  <c r="J4678" i="12"/>
  <c r="M4678" i="12"/>
  <c r="I4674" i="12"/>
  <c r="K4672" i="12"/>
  <c r="M4668" i="12"/>
  <c r="I4665" i="12"/>
  <c r="J4662" i="12"/>
  <c r="M4662" i="12"/>
  <c r="I4658" i="12"/>
  <c r="K4656" i="12"/>
  <c r="M4652" i="12"/>
  <c r="I4649" i="12"/>
  <c r="J4646" i="12"/>
  <c r="M4646" i="12"/>
  <c r="I4642" i="12"/>
  <c r="K4640" i="12"/>
  <c r="M4636" i="12"/>
  <c r="I4633" i="12"/>
  <c r="J4630" i="12"/>
  <c r="M4630" i="12"/>
  <c r="I4626" i="12"/>
  <c r="K4624" i="12"/>
  <c r="M4620" i="12"/>
  <c r="I4617" i="12"/>
  <c r="J4614" i="12"/>
  <c r="M4614" i="12"/>
  <c r="I4610" i="12"/>
  <c r="K4608" i="12"/>
  <c r="M4604" i="12"/>
  <c r="I4601" i="12"/>
  <c r="J4598" i="12"/>
  <c r="M4598" i="12"/>
  <c r="L4593" i="12"/>
  <c r="J4590" i="12"/>
  <c r="L4590" i="12"/>
  <c r="M4590" i="12"/>
  <c r="I4589" i="12"/>
  <c r="D4586" i="12"/>
  <c r="E4586" i="12"/>
  <c r="J4585" i="12"/>
  <c r="K4585" i="12"/>
  <c r="M4585" i="12"/>
  <c r="L4584" i="12"/>
  <c r="D4578" i="12"/>
  <c r="E4578" i="12"/>
  <c r="J4577" i="12"/>
  <c r="K4577" i="12"/>
  <c r="M4577" i="12"/>
  <c r="L4576" i="12"/>
  <c r="D4570" i="12"/>
  <c r="E4570" i="12"/>
  <c r="J4569" i="12"/>
  <c r="K4569" i="12"/>
  <c r="M4569" i="12"/>
  <c r="L4568" i="12"/>
  <c r="D4562" i="12"/>
  <c r="E4562" i="12"/>
  <c r="J4561" i="12"/>
  <c r="K4561" i="12"/>
  <c r="M4561" i="12"/>
  <c r="L4560" i="12"/>
  <c r="D4554" i="12"/>
  <c r="E4554" i="12"/>
  <c r="J4553" i="12"/>
  <c r="K4553" i="12"/>
  <c r="M4553" i="12"/>
  <c r="L4552" i="12"/>
  <c r="D4546" i="12"/>
  <c r="E4546" i="12"/>
  <c r="L4541" i="12"/>
  <c r="I4533" i="12"/>
  <c r="J4533" i="12"/>
  <c r="K4533" i="12"/>
  <c r="M4533" i="12"/>
  <c r="D4514" i="12"/>
  <c r="E4514" i="12"/>
  <c r="L4509" i="12"/>
  <c r="I4501" i="12"/>
  <c r="J4501" i="12"/>
  <c r="K4501" i="12"/>
  <c r="M4501" i="12"/>
  <c r="D4493" i="12"/>
  <c r="D4469" i="12"/>
  <c r="E4469" i="12"/>
  <c r="I4465" i="12"/>
  <c r="J4465" i="12"/>
  <c r="K4465" i="12"/>
  <c r="L4465" i="12"/>
  <c r="M4465" i="12"/>
  <c r="D4397" i="12"/>
  <c r="E4397" i="12"/>
  <c r="D4378" i="12"/>
  <c r="E4378" i="12"/>
  <c r="J4594" i="12"/>
  <c r="L4594" i="12"/>
  <c r="M4594" i="12"/>
  <c r="D4590" i="12"/>
  <c r="E4590" i="12"/>
  <c r="D4534" i="12"/>
  <c r="E4534" i="12"/>
  <c r="I4521" i="12"/>
  <c r="J4521" i="12"/>
  <c r="K4521" i="12"/>
  <c r="M4521" i="12"/>
  <c r="D4502" i="12"/>
  <c r="E4502" i="12"/>
  <c r="I4489" i="12"/>
  <c r="J4489" i="12"/>
  <c r="K4489" i="12"/>
  <c r="M4489" i="12"/>
  <c r="D4465" i="12"/>
  <c r="E4465" i="12"/>
  <c r="I4461" i="12"/>
  <c r="J4461" i="12"/>
  <c r="K4461" i="12"/>
  <c r="L4461" i="12"/>
  <c r="M4461" i="12"/>
  <c r="K4399" i="12"/>
  <c r="M4399" i="12"/>
  <c r="I4399" i="12"/>
  <c r="J4399" i="12"/>
  <c r="L4399" i="12"/>
  <c r="K4319" i="12"/>
  <c r="M4319" i="12"/>
  <c r="I4319" i="12"/>
  <c r="J4319" i="12"/>
  <c r="L4319" i="12"/>
  <c r="K4544" i="12"/>
  <c r="K4540" i="12"/>
  <c r="K4536" i="12"/>
  <c r="K4532" i="12"/>
  <c r="K4528" i="12"/>
  <c r="K4524" i="12"/>
  <c r="K4520" i="12"/>
  <c r="K4516" i="12"/>
  <c r="K4512" i="12"/>
  <c r="K4508" i="12"/>
  <c r="K4504" i="12"/>
  <c r="K4500" i="12"/>
  <c r="K4496" i="12"/>
  <c r="K4492" i="12"/>
  <c r="K4488" i="12"/>
  <c r="K4484" i="12"/>
  <c r="K4480" i="12"/>
  <c r="K4476" i="12"/>
  <c r="K4472" i="12"/>
  <c r="K4468" i="12"/>
  <c r="K4464" i="12"/>
  <c r="K4460" i="12"/>
  <c r="K4456" i="12"/>
  <c r="K4452" i="12"/>
  <c r="K4448" i="12"/>
  <c r="K4444" i="12"/>
  <c r="L4439" i="12"/>
  <c r="I4434" i="12"/>
  <c r="K4434" i="12"/>
  <c r="K4423" i="12"/>
  <c r="M4423" i="12"/>
  <c r="M4418" i="12"/>
  <c r="L4407" i="12"/>
  <c r="I4402" i="12"/>
  <c r="K4402" i="12"/>
  <c r="K4391" i="12"/>
  <c r="M4391" i="12"/>
  <c r="M4386" i="12"/>
  <c r="K4367" i="12"/>
  <c r="M4367" i="12"/>
  <c r="I4367" i="12"/>
  <c r="K4351" i="12"/>
  <c r="M4351" i="12"/>
  <c r="I4351" i="12"/>
  <c r="D4333" i="12"/>
  <c r="E4333" i="12"/>
  <c r="D4317" i="12"/>
  <c r="E4317" i="12"/>
  <c r="D4301" i="12"/>
  <c r="E4301" i="12"/>
  <c r="M4271" i="12"/>
  <c r="K4271" i="12"/>
  <c r="L4271" i="12"/>
  <c r="I4271" i="12"/>
  <c r="I4257" i="12"/>
  <c r="J4257" i="12"/>
  <c r="K4257" i="12"/>
  <c r="M4257" i="12"/>
  <c r="L4257" i="12"/>
  <c r="I4430" i="12"/>
  <c r="K4430" i="12"/>
  <c r="K4419" i="12"/>
  <c r="M4419" i="12"/>
  <c r="I4398" i="12"/>
  <c r="K4398" i="12"/>
  <c r="K4387" i="12"/>
  <c r="M4387" i="12"/>
  <c r="K4371" i="12"/>
  <c r="M4371" i="12"/>
  <c r="I4371" i="12"/>
  <c r="K4339" i="12"/>
  <c r="M4339" i="12"/>
  <c r="I4339" i="12"/>
  <c r="K4323" i="12"/>
  <c r="M4323" i="12"/>
  <c r="I4323" i="12"/>
  <c r="K4307" i="12"/>
  <c r="M4307" i="12"/>
  <c r="I4307" i="12"/>
  <c r="K4291" i="12"/>
  <c r="L4291" i="12"/>
  <c r="M4291" i="12"/>
  <c r="I4291" i="12"/>
  <c r="I4273" i="12"/>
  <c r="J4273" i="12"/>
  <c r="K4273" i="12"/>
  <c r="L4273" i="12"/>
  <c r="M4273" i="12"/>
  <c r="D4268" i="12"/>
  <c r="E4268" i="12"/>
  <c r="D4222" i="12"/>
  <c r="E4222" i="12"/>
  <c r="D4198" i="12"/>
  <c r="E4198" i="12"/>
  <c r="D4109" i="12"/>
  <c r="E4109" i="12"/>
  <c r="D4078" i="12"/>
  <c r="E4078" i="12"/>
  <c r="M4586" i="12"/>
  <c r="M4582" i="12"/>
  <c r="M4578" i="12"/>
  <c r="M4574" i="12"/>
  <c r="M4570" i="12"/>
  <c r="M4566" i="12"/>
  <c r="M4562" i="12"/>
  <c r="M4558" i="12"/>
  <c r="M4554" i="12"/>
  <c r="M4550" i="12"/>
  <c r="M4546" i="12"/>
  <c r="M4542" i="12"/>
  <c r="M4538" i="12"/>
  <c r="M4534" i="12"/>
  <c r="M4530" i="12"/>
  <c r="M4526" i="12"/>
  <c r="M4522" i="12"/>
  <c r="M4518" i="12"/>
  <c r="M4514" i="12"/>
  <c r="M4510" i="12"/>
  <c r="M4506" i="12"/>
  <c r="M4502" i="12"/>
  <c r="M4498" i="12"/>
  <c r="M4494" i="12"/>
  <c r="M4490" i="12"/>
  <c r="M4486" i="12"/>
  <c r="E4486" i="12"/>
  <c r="M4482" i="12"/>
  <c r="E4482" i="12"/>
  <c r="M4478" i="12"/>
  <c r="E4478" i="12"/>
  <c r="M4474" i="12"/>
  <c r="E4474" i="12"/>
  <c r="M4470" i="12"/>
  <c r="E4470" i="12"/>
  <c r="M4466" i="12"/>
  <c r="E4466" i="12"/>
  <c r="M4462" i="12"/>
  <c r="E4462" i="12"/>
  <c r="M4458" i="12"/>
  <c r="E4458" i="12"/>
  <c r="M4454" i="12"/>
  <c r="E4454" i="12"/>
  <c r="M4450" i="12"/>
  <c r="E4450" i="12"/>
  <c r="M4446" i="12"/>
  <c r="E4446" i="12"/>
  <c r="E4434" i="12"/>
  <c r="I4426" i="12"/>
  <c r="K4426" i="12"/>
  <c r="D4423" i="12"/>
  <c r="E4421" i="12"/>
  <c r="K4415" i="12"/>
  <c r="M4415" i="12"/>
  <c r="D4412" i="12"/>
  <c r="E4402" i="12"/>
  <c r="I4394" i="12"/>
  <c r="K4394" i="12"/>
  <c r="D4391" i="12"/>
  <c r="E4389" i="12"/>
  <c r="K4383" i="12"/>
  <c r="M4383" i="12"/>
  <c r="D4380" i="12"/>
  <c r="M4378" i="12"/>
  <c r="D4376" i="12"/>
  <c r="K4375" i="12"/>
  <c r="M4375" i="12"/>
  <c r="I4375" i="12"/>
  <c r="D4356" i="12"/>
  <c r="K4355" i="12"/>
  <c r="M4355" i="12"/>
  <c r="I4355" i="12"/>
  <c r="D4337" i="12"/>
  <c r="E4337" i="12"/>
  <c r="D4321" i="12"/>
  <c r="E4321" i="12"/>
  <c r="D4305" i="12"/>
  <c r="E4305" i="12"/>
  <c r="D4277" i="12"/>
  <c r="E4277" i="12"/>
  <c r="D4258" i="12"/>
  <c r="E4258" i="12"/>
  <c r="L4586" i="12"/>
  <c r="L4582" i="12"/>
  <c r="L4578" i="12"/>
  <c r="L4574" i="12"/>
  <c r="L4570" i="12"/>
  <c r="L4566" i="12"/>
  <c r="L4562" i="12"/>
  <c r="L4558" i="12"/>
  <c r="L4554" i="12"/>
  <c r="L4550" i="12"/>
  <c r="L4546" i="12"/>
  <c r="L4542" i="12"/>
  <c r="L4538" i="12"/>
  <c r="L4534" i="12"/>
  <c r="L4530" i="12"/>
  <c r="L4526" i="12"/>
  <c r="L4522" i="12"/>
  <c r="L4518" i="12"/>
  <c r="L4514" i="12"/>
  <c r="L4510" i="12"/>
  <c r="L4506" i="12"/>
  <c r="L4502" i="12"/>
  <c r="L4498" i="12"/>
  <c r="L4494" i="12"/>
  <c r="L4490" i="12"/>
  <c r="L4486" i="12"/>
  <c r="L4482" i="12"/>
  <c r="L4478" i="12"/>
  <c r="L4474" i="12"/>
  <c r="L4470" i="12"/>
  <c r="L4466" i="12"/>
  <c r="L4462" i="12"/>
  <c r="L4458" i="12"/>
  <c r="L4454" i="12"/>
  <c r="L4450" i="12"/>
  <c r="L4446" i="12"/>
  <c r="I4422" i="12"/>
  <c r="K4422" i="12"/>
  <c r="K4411" i="12"/>
  <c r="M4411" i="12"/>
  <c r="I4390" i="12"/>
  <c r="K4390" i="12"/>
  <c r="K4379" i="12"/>
  <c r="M4379" i="12"/>
  <c r="L4378" i="12"/>
  <c r="L4363" i="12"/>
  <c r="L4347" i="12"/>
  <c r="K4327" i="12"/>
  <c r="M4327" i="12"/>
  <c r="I4327" i="12"/>
  <c r="K4311" i="12"/>
  <c r="M4311" i="12"/>
  <c r="I4311" i="12"/>
  <c r="D4297" i="12"/>
  <c r="E4297" i="12"/>
  <c r="D4288" i="12"/>
  <c r="E4288" i="12"/>
  <c r="D4234" i="12"/>
  <c r="E4234" i="12"/>
  <c r="K4439" i="12"/>
  <c r="M4439" i="12"/>
  <c r="I4418" i="12"/>
  <c r="K4418" i="12"/>
  <c r="K4407" i="12"/>
  <c r="M4407" i="12"/>
  <c r="I4386" i="12"/>
  <c r="K4386" i="12"/>
  <c r="K4359" i="12"/>
  <c r="M4359" i="12"/>
  <c r="I4359" i="12"/>
  <c r="K4343" i="12"/>
  <c r="M4343" i="12"/>
  <c r="I4343" i="12"/>
  <c r="D4325" i="12"/>
  <c r="E4325" i="12"/>
  <c r="D4309" i="12"/>
  <c r="E4309" i="12"/>
  <c r="K4299" i="12"/>
  <c r="L4299" i="12"/>
  <c r="M4299" i="12"/>
  <c r="I4299" i="12"/>
  <c r="D4290" i="12"/>
  <c r="E4290" i="12"/>
  <c r="K4435" i="12"/>
  <c r="M4435" i="12"/>
  <c r="L4434" i="12"/>
  <c r="D4432" i="12"/>
  <c r="M4430" i="12"/>
  <c r="J4423" i="12"/>
  <c r="L4419" i="12"/>
  <c r="I4414" i="12"/>
  <c r="K4414" i="12"/>
  <c r="D4411" i="12"/>
  <c r="K4403" i="12"/>
  <c r="M4403" i="12"/>
  <c r="L4402" i="12"/>
  <c r="D4400" i="12"/>
  <c r="M4398" i="12"/>
  <c r="J4391" i="12"/>
  <c r="L4387" i="12"/>
  <c r="I4382" i="12"/>
  <c r="K4382" i="12"/>
  <c r="D4379" i="12"/>
  <c r="D4377" i="12"/>
  <c r="L4367" i="12"/>
  <c r="E4366" i="12"/>
  <c r="L4351" i="12"/>
  <c r="E4350" i="12"/>
  <c r="D4341" i="12"/>
  <c r="E4341" i="12"/>
  <c r="D4332" i="12"/>
  <c r="K4331" i="12"/>
  <c r="M4331" i="12"/>
  <c r="I4331" i="12"/>
  <c r="D4316" i="12"/>
  <c r="K4315" i="12"/>
  <c r="M4315" i="12"/>
  <c r="I4315" i="12"/>
  <c r="D4293" i="12"/>
  <c r="E4293" i="12"/>
  <c r="M4283" i="12"/>
  <c r="I4283" i="12"/>
  <c r="J4283" i="12"/>
  <c r="K4283" i="12"/>
  <c r="I4378" i="12"/>
  <c r="K4378" i="12"/>
  <c r="K4363" i="12"/>
  <c r="M4363" i="12"/>
  <c r="I4363" i="12"/>
  <c r="K4347" i="12"/>
  <c r="M4347" i="12"/>
  <c r="I4347" i="12"/>
  <c r="D4329" i="12"/>
  <c r="E4329" i="12"/>
  <c r="D4313" i="12"/>
  <c r="E4313" i="12"/>
  <c r="K4282" i="12"/>
  <c r="L4282" i="12"/>
  <c r="M4282" i="12"/>
  <c r="I4282" i="12"/>
  <c r="I4269" i="12"/>
  <c r="J4269" i="12"/>
  <c r="D4254" i="12"/>
  <c r="E4254" i="12"/>
  <c r="D4252" i="12"/>
  <c r="D4246" i="12"/>
  <c r="E4246" i="12"/>
  <c r="D4244" i="12"/>
  <c r="D4226" i="12"/>
  <c r="E4226" i="12"/>
  <c r="D4190" i="12"/>
  <c r="E4190" i="12"/>
  <c r="D4131" i="12"/>
  <c r="E4131" i="12"/>
  <c r="D4107" i="12"/>
  <c r="E4107" i="12"/>
  <c r="D4044" i="12"/>
  <c r="E4044" i="12"/>
  <c r="D4024" i="12"/>
  <c r="E4024" i="12"/>
  <c r="D3992" i="12"/>
  <c r="E3992" i="12"/>
  <c r="D3936" i="12"/>
  <c r="E3936" i="12"/>
  <c r="J4289" i="12"/>
  <c r="K4286" i="12"/>
  <c r="L4286" i="12"/>
  <c r="K4258" i="12"/>
  <c r="L4258" i="12"/>
  <c r="M4258" i="12"/>
  <c r="I4234" i="12"/>
  <c r="J4234" i="12"/>
  <c r="K4234" i="12"/>
  <c r="L4234" i="12"/>
  <c r="M4234" i="12"/>
  <c r="D4210" i="12"/>
  <c r="E4210" i="12"/>
  <c r="D4178" i="12"/>
  <c r="E4178" i="12"/>
  <c r="D4170" i="12"/>
  <c r="E4170" i="12"/>
  <c r="D4162" i="12"/>
  <c r="E4162" i="12"/>
  <c r="D4154" i="12"/>
  <c r="E4154" i="12"/>
  <c r="D4146" i="12"/>
  <c r="E4146" i="12"/>
  <c r="D4070" i="12"/>
  <c r="E4070" i="12"/>
  <c r="L4294" i="12"/>
  <c r="L4279" i="12"/>
  <c r="K4278" i="12"/>
  <c r="L4278" i="12"/>
  <c r="K4262" i="12"/>
  <c r="L4262" i="12"/>
  <c r="M4262" i="12"/>
  <c r="I4250" i="12"/>
  <c r="K4250" i="12"/>
  <c r="L4250" i="12"/>
  <c r="M4250" i="12"/>
  <c r="I4242" i="12"/>
  <c r="K4242" i="12"/>
  <c r="L4242" i="12"/>
  <c r="M4242" i="12"/>
  <c r="D4186" i="12"/>
  <c r="E4186" i="12"/>
  <c r="E4124" i="12"/>
  <c r="D4124" i="12"/>
  <c r="I4120" i="12"/>
  <c r="M4120" i="12"/>
  <c r="J4120" i="12"/>
  <c r="K4120" i="12"/>
  <c r="L4120" i="12"/>
  <c r="K4374" i="12"/>
  <c r="K4370" i="12"/>
  <c r="K4366" i="12"/>
  <c r="K4362" i="12"/>
  <c r="K4358" i="12"/>
  <c r="K4354" i="12"/>
  <c r="K4350" i="12"/>
  <c r="K4346" i="12"/>
  <c r="K4342" i="12"/>
  <c r="K4338" i="12"/>
  <c r="K4334" i="12"/>
  <c r="K4330" i="12"/>
  <c r="K4326" i="12"/>
  <c r="K4322" i="12"/>
  <c r="K4318" i="12"/>
  <c r="K4314" i="12"/>
  <c r="K4310" i="12"/>
  <c r="K4306" i="12"/>
  <c r="K4302" i="12"/>
  <c r="E4299" i="12"/>
  <c r="K4298" i="12"/>
  <c r="E4295" i="12"/>
  <c r="K4294" i="12"/>
  <c r="D4291" i="12"/>
  <c r="I4290" i="12"/>
  <c r="I4287" i="12"/>
  <c r="I4285" i="12"/>
  <c r="J4285" i="12"/>
  <c r="E4284" i="12"/>
  <c r="E4282" i="12"/>
  <c r="K4279" i="12"/>
  <c r="L4275" i="12"/>
  <c r="K4274" i="12"/>
  <c r="L4274" i="12"/>
  <c r="M4269" i="12"/>
  <c r="D4262" i="12"/>
  <c r="E4262" i="12"/>
  <c r="I4261" i="12"/>
  <c r="J4261" i="12"/>
  <c r="K4261" i="12"/>
  <c r="E4260" i="12"/>
  <c r="E4257" i="12"/>
  <c r="J4254" i="12"/>
  <c r="D4250" i="12"/>
  <c r="E4250" i="12"/>
  <c r="D4248" i="12"/>
  <c r="D4242" i="12"/>
  <c r="E4242" i="12"/>
  <c r="E4233" i="12"/>
  <c r="I4230" i="12"/>
  <c r="J4230" i="12"/>
  <c r="K4230" i="12"/>
  <c r="L4230" i="12"/>
  <c r="M4230" i="12"/>
  <c r="D4218" i="12"/>
  <c r="E4218" i="12"/>
  <c r="D4206" i="12"/>
  <c r="E4206" i="12"/>
  <c r="D4139" i="12"/>
  <c r="E4139" i="12"/>
  <c r="E4136" i="12"/>
  <c r="D4136" i="12"/>
  <c r="J4298" i="12"/>
  <c r="J4294" i="12"/>
  <c r="I4281" i="12"/>
  <c r="J4281" i="12"/>
  <c r="J4279" i="12"/>
  <c r="K4270" i="12"/>
  <c r="L4270" i="12"/>
  <c r="L4269" i="12"/>
  <c r="K4266" i="12"/>
  <c r="L4266" i="12"/>
  <c r="M4266" i="12"/>
  <c r="D4230" i="12"/>
  <c r="E4230" i="12"/>
  <c r="D4194" i="12"/>
  <c r="E4194" i="12"/>
  <c r="D4174" i="12"/>
  <c r="E4174" i="12"/>
  <c r="D4166" i="12"/>
  <c r="E4166" i="12"/>
  <c r="D4158" i="12"/>
  <c r="E4158" i="12"/>
  <c r="D4150" i="12"/>
  <c r="E4150" i="12"/>
  <c r="D4142" i="12"/>
  <c r="E4142" i="12"/>
  <c r="M4289" i="12"/>
  <c r="J4286" i="12"/>
  <c r="I4279" i="12"/>
  <c r="I4277" i="12"/>
  <c r="J4277" i="12"/>
  <c r="J4275" i="12"/>
  <c r="E4274" i="12"/>
  <c r="K4269" i="12"/>
  <c r="D4266" i="12"/>
  <c r="E4266" i="12"/>
  <c r="I4265" i="12"/>
  <c r="J4265" i="12"/>
  <c r="K4265" i="12"/>
  <c r="J4258" i="12"/>
  <c r="I4238" i="12"/>
  <c r="J4238" i="12"/>
  <c r="K4238" i="12"/>
  <c r="L4238" i="12"/>
  <c r="M4238" i="12"/>
  <c r="D4214" i="12"/>
  <c r="E4214" i="12"/>
  <c r="D4182" i="12"/>
  <c r="E4182" i="12"/>
  <c r="K4254" i="12"/>
  <c r="L4254" i="12"/>
  <c r="M4254" i="12"/>
  <c r="I4246" i="12"/>
  <c r="K4246" i="12"/>
  <c r="L4246" i="12"/>
  <c r="M4246" i="12"/>
  <c r="D4238" i="12"/>
  <c r="E4238" i="12"/>
  <c r="I4226" i="12"/>
  <c r="J4226" i="12"/>
  <c r="K4226" i="12"/>
  <c r="L4226" i="12"/>
  <c r="M4226" i="12"/>
  <c r="D4202" i="12"/>
  <c r="E4202" i="12"/>
  <c r="I4134" i="12"/>
  <c r="J4134" i="12"/>
  <c r="K4134" i="12"/>
  <c r="L4134" i="12"/>
  <c r="M4134" i="12"/>
  <c r="E4122" i="12"/>
  <c r="D4122" i="12"/>
  <c r="M4118" i="12"/>
  <c r="I4118" i="12"/>
  <c r="J4118" i="12"/>
  <c r="K4118" i="12"/>
  <c r="L4118" i="12"/>
  <c r="D3872" i="12"/>
  <c r="E3872" i="12"/>
  <c r="M3851" i="12"/>
  <c r="I3851" i="12"/>
  <c r="J3851" i="12"/>
  <c r="K3851" i="12"/>
  <c r="L3851" i="12"/>
  <c r="D3793" i="12"/>
  <c r="E3793" i="12"/>
  <c r="D3761" i="12"/>
  <c r="E3761" i="12"/>
  <c r="I3694" i="12"/>
  <c r="J3694" i="12"/>
  <c r="M3694" i="12"/>
  <c r="K3694" i="12"/>
  <c r="L3694" i="12"/>
  <c r="D3662" i="12"/>
  <c r="E3662" i="12"/>
  <c r="D3613" i="12"/>
  <c r="E3613" i="12"/>
  <c r="D3599" i="12"/>
  <c r="E3599" i="12"/>
  <c r="I3552" i="12"/>
  <c r="J3552" i="12"/>
  <c r="K3552" i="12"/>
  <c r="L3552" i="12"/>
  <c r="M3552" i="12"/>
  <c r="I3520" i="12"/>
  <c r="J3520" i="12"/>
  <c r="K3520" i="12"/>
  <c r="L3520" i="12"/>
  <c r="M3520" i="12"/>
  <c r="I3488" i="12"/>
  <c r="J3488" i="12"/>
  <c r="K3488" i="12"/>
  <c r="L3488" i="12"/>
  <c r="M3488" i="12"/>
  <c r="D3459" i="12"/>
  <c r="E3459" i="12"/>
  <c r="K3452" i="12"/>
  <c r="M3452" i="12"/>
  <c r="I3452" i="12"/>
  <c r="J3452" i="12"/>
  <c r="L3452" i="12"/>
  <c r="D3418" i="12"/>
  <c r="E3418" i="12"/>
  <c r="D3386" i="12"/>
  <c r="E3386" i="12"/>
  <c r="D3341" i="12"/>
  <c r="E3341" i="12"/>
  <c r="D3325" i="12"/>
  <c r="E3325" i="12"/>
  <c r="D3309" i="12"/>
  <c r="E3309" i="12"/>
  <c r="D3293" i="12"/>
  <c r="E3293" i="12"/>
  <c r="D3277" i="12"/>
  <c r="E3277" i="12"/>
  <c r="I3263" i="12"/>
  <c r="J3263" i="12"/>
  <c r="K3263" i="12"/>
  <c r="L3263" i="12"/>
  <c r="M3263" i="12"/>
  <c r="I3237" i="12"/>
  <c r="J3237" i="12"/>
  <c r="L3237" i="12"/>
  <c r="M3237" i="12"/>
  <c r="K3237" i="12"/>
  <c r="L3179" i="12"/>
  <c r="I3179" i="12"/>
  <c r="J3179" i="12"/>
  <c r="K3179" i="12"/>
  <c r="M3179" i="12"/>
  <c r="D3149" i="12"/>
  <c r="E3149" i="12"/>
  <c r="D3085" i="12"/>
  <c r="E3085" i="12"/>
  <c r="I3034" i="12"/>
  <c r="J3034" i="12"/>
  <c r="K3034" i="12"/>
  <c r="L3034" i="12"/>
  <c r="M3034" i="12"/>
  <c r="K4253" i="12"/>
  <c r="K4249" i="12"/>
  <c r="K4245" i="12"/>
  <c r="K4241" i="12"/>
  <c r="K4237" i="12"/>
  <c r="K4233" i="12"/>
  <c r="K4229" i="12"/>
  <c r="K4225" i="12"/>
  <c r="M4222" i="12"/>
  <c r="K4221" i="12"/>
  <c r="M4218" i="12"/>
  <c r="K4217" i="12"/>
  <c r="M4214" i="12"/>
  <c r="K4213" i="12"/>
  <c r="M4210" i="12"/>
  <c r="K4209" i="12"/>
  <c r="M4206" i="12"/>
  <c r="K4205" i="12"/>
  <c r="M4202" i="12"/>
  <c r="K4201" i="12"/>
  <c r="M4198" i="12"/>
  <c r="K4197" i="12"/>
  <c r="M4194" i="12"/>
  <c r="K4193" i="12"/>
  <c r="M4190" i="12"/>
  <c r="K4189" i="12"/>
  <c r="M4186" i="12"/>
  <c r="K4185" i="12"/>
  <c r="M4182" i="12"/>
  <c r="K4181" i="12"/>
  <c r="M4178" i="12"/>
  <c r="K4177" i="12"/>
  <c r="M4174" i="12"/>
  <c r="K4173" i="12"/>
  <c r="M4170" i="12"/>
  <c r="K4169" i="12"/>
  <c r="M4166" i="12"/>
  <c r="K4165" i="12"/>
  <c r="M4162" i="12"/>
  <c r="K4161" i="12"/>
  <c r="M4158" i="12"/>
  <c r="K4157" i="12"/>
  <c r="M4154" i="12"/>
  <c r="K4153" i="12"/>
  <c r="M4150" i="12"/>
  <c r="K4149" i="12"/>
  <c r="M4146" i="12"/>
  <c r="K4145" i="12"/>
  <c r="M4142" i="12"/>
  <c r="K4141" i="12"/>
  <c r="K4138" i="12"/>
  <c r="K4130" i="12"/>
  <c r="I4116" i="12"/>
  <c r="M4116" i="12"/>
  <c r="M4114" i="12"/>
  <c r="I4114" i="12"/>
  <c r="K4104" i="12"/>
  <c r="K4102" i="12"/>
  <c r="L4100" i="12"/>
  <c r="L4098" i="12"/>
  <c r="L4090" i="12"/>
  <c r="K4086" i="12"/>
  <c r="K4084" i="12"/>
  <c r="I4080" i="12"/>
  <c r="L4080" i="12"/>
  <c r="M4080" i="12"/>
  <c r="I4072" i="12"/>
  <c r="K4072" i="12"/>
  <c r="L4072" i="12"/>
  <c r="M4072" i="12"/>
  <c r="D4064" i="12"/>
  <c r="E4064" i="12"/>
  <c r="D4012" i="12"/>
  <c r="E4012" i="12"/>
  <c r="D3950" i="12"/>
  <c r="E3950" i="12"/>
  <c r="J4253" i="12"/>
  <c r="J4249" i="12"/>
  <c r="J4245" i="12"/>
  <c r="J4241" i="12"/>
  <c r="J4237" i="12"/>
  <c r="J4233" i="12"/>
  <c r="J4229" i="12"/>
  <c r="J4225" i="12"/>
  <c r="L4222" i="12"/>
  <c r="J4221" i="12"/>
  <c r="L4218" i="12"/>
  <c r="J4217" i="12"/>
  <c r="L4214" i="12"/>
  <c r="J4213" i="12"/>
  <c r="L4210" i="12"/>
  <c r="J4209" i="12"/>
  <c r="L4206" i="12"/>
  <c r="J4205" i="12"/>
  <c r="L4202" i="12"/>
  <c r="J4201" i="12"/>
  <c r="L4198" i="12"/>
  <c r="J4197" i="12"/>
  <c r="L4194" i="12"/>
  <c r="J4193" i="12"/>
  <c r="L4190" i="12"/>
  <c r="J4189" i="12"/>
  <c r="L4186" i="12"/>
  <c r="J4185" i="12"/>
  <c r="L4182" i="12"/>
  <c r="J4181" i="12"/>
  <c r="L4178" i="12"/>
  <c r="J4177" i="12"/>
  <c r="L4174" i="12"/>
  <c r="J4173" i="12"/>
  <c r="L4170" i="12"/>
  <c r="J4169" i="12"/>
  <c r="L4166" i="12"/>
  <c r="J4165" i="12"/>
  <c r="L4162" i="12"/>
  <c r="J4161" i="12"/>
  <c r="L4158" i="12"/>
  <c r="J4157" i="12"/>
  <c r="L4154" i="12"/>
  <c r="J4153" i="12"/>
  <c r="L4150" i="12"/>
  <c r="J4149" i="12"/>
  <c r="L4146" i="12"/>
  <c r="J4145" i="12"/>
  <c r="L4142" i="12"/>
  <c r="J4141" i="12"/>
  <c r="M4139" i="12"/>
  <c r="J4138" i="12"/>
  <c r="L4136" i="12"/>
  <c r="E4134" i="12"/>
  <c r="M4131" i="12"/>
  <c r="J4130" i="12"/>
  <c r="L4128" i="12"/>
  <c r="L4126" i="12"/>
  <c r="D4120" i="12"/>
  <c r="D4118" i="12"/>
  <c r="I4112" i="12"/>
  <c r="M4112" i="12"/>
  <c r="M4110" i="12"/>
  <c r="I4110" i="12"/>
  <c r="E4105" i="12"/>
  <c r="E4103" i="12"/>
  <c r="K4100" i="12"/>
  <c r="K4098" i="12"/>
  <c r="L4096" i="12"/>
  <c r="L4094" i="12"/>
  <c r="K4090" i="12"/>
  <c r="K4088" i="12"/>
  <c r="E4087" i="12"/>
  <c r="L4082" i="12"/>
  <c r="M4082" i="12"/>
  <c r="I4082" i="12"/>
  <c r="D4080" i="12"/>
  <c r="E4080" i="12"/>
  <c r="D4072" i="12"/>
  <c r="E4072" i="12"/>
  <c r="D4052" i="12"/>
  <c r="E4052" i="12"/>
  <c r="D4032" i="12"/>
  <c r="E4032" i="12"/>
  <c r="D4000" i="12"/>
  <c r="E4000" i="12"/>
  <c r="D3974" i="12"/>
  <c r="E3974" i="12"/>
  <c r="K4222" i="12"/>
  <c r="K4218" i="12"/>
  <c r="K4214" i="12"/>
  <c r="K4210" i="12"/>
  <c r="K4206" i="12"/>
  <c r="K4202" i="12"/>
  <c r="K4198" i="12"/>
  <c r="K4194" i="12"/>
  <c r="K4190" i="12"/>
  <c r="K4186" i="12"/>
  <c r="K4182" i="12"/>
  <c r="K4178" i="12"/>
  <c r="K4174" i="12"/>
  <c r="K4170" i="12"/>
  <c r="K4166" i="12"/>
  <c r="K4162" i="12"/>
  <c r="K4158" i="12"/>
  <c r="K4154" i="12"/>
  <c r="K4150" i="12"/>
  <c r="K4146" i="12"/>
  <c r="K4142" i="12"/>
  <c r="L4139" i="12"/>
  <c r="K4136" i="12"/>
  <c r="L4131" i="12"/>
  <c r="K4128" i="12"/>
  <c r="K4126" i="12"/>
  <c r="L4124" i="12"/>
  <c r="L4122" i="12"/>
  <c r="D4116" i="12"/>
  <c r="D4114" i="12"/>
  <c r="I4108" i="12"/>
  <c r="M4108" i="12"/>
  <c r="M4106" i="12"/>
  <c r="I4106" i="12"/>
  <c r="K4096" i="12"/>
  <c r="K4094" i="12"/>
  <c r="K4092" i="12"/>
  <c r="D4082" i="12"/>
  <c r="E4082" i="12"/>
  <c r="D4040" i="12"/>
  <c r="E4040" i="12"/>
  <c r="D4020" i="12"/>
  <c r="E4020" i="12"/>
  <c r="D3988" i="12"/>
  <c r="E3988" i="12"/>
  <c r="J4222" i="12"/>
  <c r="J4218" i="12"/>
  <c r="J4214" i="12"/>
  <c r="J4210" i="12"/>
  <c r="J4206" i="12"/>
  <c r="J4202" i="12"/>
  <c r="J4198" i="12"/>
  <c r="J4194" i="12"/>
  <c r="J4190" i="12"/>
  <c r="J4186" i="12"/>
  <c r="J4182" i="12"/>
  <c r="J4178" i="12"/>
  <c r="J4174" i="12"/>
  <c r="J4170" i="12"/>
  <c r="J4166" i="12"/>
  <c r="J4162" i="12"/>
  <c r="J4158" i="12"/>
  <c r="J4154" i="12"/>
  <c r="J4150" i="12"/>
  <c r="J4146" i="12"/>
  <c r="J4142" i="12"/>
  <c r="J4139" i="12"/>
  <c r="J4136" i="12"/>
  <c r="J4131" i="12"/>
  <c r="K4124" i="12"/>
  <c r="K4122" i="12"/>
  <c r="I4104" i="12"/>
  <c r="M4104" i="12"/>
  <c r="M4102" i="12"/>
  <c r="I4102" i="12"/>
  <c r="M4086" i="12"/>
  <c r="I4086" i="12"/>
  <c r="I4084" i="12"/>
  <c r="L4084" i="12"/>
  <c r="M4084" i="12"/>
  <c r="D4074" i="12"/>
  <c r="E4074" i="12"/>
  <c r="D4060" i="12"/>
  <c r="E4060" i="12"/>
  <c r="D4008" i="12"/>
  <c r="E4008" i="12"/>
  <c r="I3971" i="12"/>
  <c r="J3971" i="12"/>
  <c r="K3971" i="12"/>
  <c r="L3971" i="12"/>
  <c r="M3971" i="12"/>
  <c r="D3958" i="12"/>
  <c r="E3958" i="12"/>
  <c r="I4139" i="12"/>
  <c r="I4136" i="12"/>
  <c r="I4131" i="12"/>
  <c r="I4100" i="12"/>
  <c r="M4100" i="12"/>
  <c r="M4098" i="12"/>
  <c r="I4098" i="12"/>
  <c r="M4090" i="12"/>
  <c r="I4090" i="12"/>
  <c r="I4088" i="12"/>
  <c r="L4088" i="12"/>
  <c r="M4088" i="12"/>
  <c r="D4084" i="12"/>
  <c r="E4084" i="12"/>
  <c r="I4076" i="12"/>
  <c r="K4076" i="12"/>
  <c r="L4076" i="12"/>
  <c r="M4076" i="12"/>
  <c r="I4068" i="12"/>
  <c r="K4068" i="12"/>
  <c r="L4068" i="12"/>
  <c r="M4068" i="12"/>
  <c r="D4048" i="12"/>
  <c r="E4048" i="12"/>
  <c r="D4028" i="12"/>
  <c r="E4028" i="12"/>
  <c r="D3996" i="12"/>
  <c r="E3996" i="12"/>
  <c r="I3982" i="12"/>
  <c r="J3982" i="12"/>
  <c r="K3982" i="12"/>
  <c r="L3982" i="12"/>
  <c r="M3982" i="12"/>
  <c r="E3976" i="12"/>
  <c r="D3976" i="12"/>
  <c r="I4128" i="12"/>
  <c r="M4128" i="12"/>
  <c r="M4126" i="12"/>
  <c r="I4126" i="12"/>
  <c r="I4096" i="12"/>
  <c r="M4096" i="12"/>
  <c r="M4094" i="12"/>
  <c r="I4094" i="12"/>
  <c r="I4092" i="12"/>
  <c r="L4092" i="12"/>
  <c r="M4092" i="12"/>
  <c r="D4088" i="12"/>
  <c r="E4088" i="12"/>
  <c r="D4076" i="12"/>
  <c r="E4076" i="12"/>
  <c r="D4068" i="12"/>
  <c r="E4068" i="12"/>
  <c r="D4016" i="12"/>
  <c r="E4016" i="12"/>
  <c r="E3984" i="12"/>
  <c r="D3984" i="12"/>
  <c r="D3979" i="12"/>
  <c r="E3979" i="12"/>
  <c r="D3972" i="12"/>
  <c r="E3972" i="12"/>
  <c r="I4124" i="12"/>
  <c r="M4124" i="12"/>
  <c r="M4122" i="12"/>
  <c r="I4122" i="12"/>
  <c r="D4092" i="12"/>
  <c r="E4092" i="12"/>
  <c r="D4056" i="12"/>
  <c r="E4056" i="12"/>
  <c r="D4036" i="12"/>
  <c r="E4036" i="12"/>
  <c r="D4004" i="12"/>
  <c r="E4004" i="12"/>
  <c r="I4078" i="12"/>
  <c r="I4074" i="12"/>
  <c r="I4070" i="12"/>
  <c r="I4066" i="12"/>
  <c r="M4064" i="12"/>
  <c r="I4062" i="12"/>
  <c r="M4060" i="12"/>
  <c r="I4058" i="12"/>
  <c r="M4056" i="12"/>
  <c r="I4054" i="12"/>
  <c r="M4052" i="12"/>
  <c r="I4050" i="12"/>
  <c r="M4048" i="12"/>
  <c r="I4046" i="12"/>
  <c r="M4044" i="12"/>
  <c r="I4042" i="12"/>
  <c r="M4040" i="12"/>
  <c r="I4038" i="12"/>
  <c r="M4036" i="12"/>
  <c r="I4034" i="12"/>
  <c r="M4032" i="12"/>
  <c r="I4030" i="12"/>
  <c r="M4028" i="12"/>
  <c r="I4026" i="12"/>
  <c r="M4024" i="12"/>
  <c r="I4022" i="12"/>
  <c r="M4020" i="12"/>
  <c r="I4018" i="12"/>
  <c r="M4016" i="12"/>
  <c r="I4014" i="12"/>
  <c r="M4012" i="12"/>
  <c r="I4010" i="12"/>
  <c r="M4008" i="12"/>
  <c r="I4006" i="12"/>
  <c r="M4004" i="12"/>
  <c r="I4002" i="12"/>
  <c r="M4000" i="12"/>
  <c r="I3998" i="12"/>
  <c r="M3996" i="12"/>
  <c r="I3994" i="12"/>
  <c r="M3992" i="12"/>
  <c r="I3990" i="12"/>
  <c r="M3988" i="12"/>
  <c r="I3986" i="12"/>
  <c r="M3984" i="12"/>
  <c r="I3983" i="12"/>
  <c r="I3980" i="12"/>
  <c r="K3978" i="12"/>
  <c r="M3963" i="12"/>
  <c r="K3960" i="12"/>
  <c r="L3960" i="12"/>
  <c r="M3960" i="12"/>
  <c r="D3924" i="12"/>
  <c r="E3924" i="12"/>
  <c r="D3904" i="12"/>
  <c r="E3904" i="12"/>
  <c r="E3855" i="12"/>
  <c r="D3855" i="12"/>
  <c r="L4064" i="12"/>
  <c r="L4060" i="12"/>
  <c r="L4056" i="12"/>
  <c r="L4052" i="12"/>
  <c r="L4048" i="12"/>
  <c r="L4044" i="12"/>
  <c r="L4040" i="12"/>
  <c r="L4036" i="12"/>
  <c r="L4032" i="12"/>
  <c r="L4028" i="12"/>
  <c r="L4024" i="12"/>
  <c r="L4020" i="12"/>
  <c r="L4016" i="12"/>
  <c r="L4012" i="12"/>
  <c r="L4008" i="12"/>
  <c r="L4004" i="12"/>
  <c r="L4000" i="12"/>
  <c r="L3996" i="12"/>
  <c r="L3992" i="12"/>
  <c r="L3988" i="12"/>
  <c r="L3984" i="12"/>
  <c r="M3979" i="12"/>
  <c r="J3978" i="12"/>
  <c r="L3976" i="12"/>
  <c r="I3975" i="12"/>
  <c r="K3975" i="12"/>
  <c r="D3960" i="12"/>
  <c r="E3960" i="12"/>
  <c r="I3959" i="12"/>
  <c r="J3959" i="12"/>
  <c r="K3959" i="12"/>
  <c r="M3951" i="12"/>
  <c r="I3951" i="12"/>
  <c r="J3951" i="12"/>
  <c r="K3951" i="12"/>
  <c r="D3944" i="12"/>
  <c r="E3944" i="12"/>
  <c r="D3912" i="12"/>
  <c r="E3912" i="12"/>
  <c r="D3892" i="12"/>
  <c r="E3892" i="12"/>
  <c r="K4064" i="12"/>
  <c r="K4060" i="12"/>
  <c r="K4056" i="12"/>
  <c r="K4052" i="12"/>
  <c r="K4048" i="12"/>
  <c r="K4044" i="12"/>
  <c r="K4040" i="12"/>
  <c r="K4036" i="12"/>
  <c r="K4032" i="12"/>
  <c r="K4028" i="12"/>
  <c r="K4024" i="12"/>
  <c r="K4020" i="12"/>
  <c r="K4016" i="12"/>
  <c r="K4012" i="12"/>
  <c r="K4008" i="12"/>
  <c r="K4004" i="12"/>
  <c r="K4000" i="12"/>
  <c r="K3996" i="12"/>
  <c r="K3992" i="12"/>
  <c r="K3988" i="12"/>
  <c r="K3984" i="12"/>
  <c r="L3979" i="12"/>
  <c r="M3967" i="12"/>
  <c r="K3964" i="12"/>
  <c r="L3964" i="12"/>
  <c r="M3964" i="12"/>
  <c r="D3952" i="12"/>
  <c r="E3952" i="12"/>
  <c r="D3932" i="12"/>
  <c r="E3932" i="12"/>
  <c r="J4064" i="12"/>
  <c r="J4060" i="12"/>
  <c r="J4056" i="12"/>
  <c r="J4052" i="12"/>
  <c r="J4048" i="12"/>
  <c r="J4044" i="12"/>
  <c r="J4040" i="12"/>
  <c r="J4032" i="12"/>
  <c r="J4028" i="12"/>
  <c r="J4024" i="12"/>
  <c r="J4020" i="12"/>
  <c r="J4016" i="12"/>
  <c r="J4012" i="12"/>
  <c r="J4008" i="12"/>
  <c r="J4004" i="12"/>
  <c r="J4000" i="12"/>
  <c r="J3996" i="12"/>
  <c r="J3992" i="12"/>
  <c r="J3988" i="12"/>
  <c r="J3984" i="12"/>
  <c r="J3979" i="12"/>
  <c r="E3977" i="12"/>
  <c r="J3976" i="12"/>
  <c r="E3975" i="12"/>
  <c r="J3972" i="12"/>
  <c r="D3964" i="12"/>
  <c r="E3964" i="12"/>
  <c r="I3963" i="12"/>
  <c r="J3963" i="12"/>
  <c r="K3963" i="12"/>
  <c r="D3946" i="12"/>
  <c r="E3946" i="12"/>
  <c r="D3920" i="12"/>
  <c r="E3920" i="12"/>
  <c r="D3900" i="12"/>
  <c r="E3900" i="12"/>
  <c r="D3888" i="12"/>
  <c r="E3888" i="12"/>
  <c r="E3845" i="12"/>
  <c r="D3845" i="12"/>
  <c r="K3831" i="12"/>
  <c r="M3831" i="12"/>
  <c r="I3831" i="12"/>
  <c r="J3831" i="12"/>
  <c r="L3831" i="12"/>
  <c r="M4078" i="12"/>
  <c r="M4074" i="12"/>
  <c r="M4070" i="12"/>
  <c r="M4066" i="12"/>
  <c r="E4066" i="12"/>
  <c r="M4062" i="12"/>
  <c r="E4062" i="12"/>
  <c r="M4058" i="12"/>
  <c r="E4058" i="12"/>
  <c r="M4054" i="12"/>
  <c r="E4054" i="12"/>
  <c r="M4050" i="12"/>
  <c r="E4050" i="12"/>
  <c r="M4046" i="12"/>
  <c r="E4046" i="12"/>
  <c r="M4042" i="12"/>
  <c r="E4042" i="12"/>
  <c r="M4038" i="12"/>
  <c r="E4038" i="12"/>
  <c r="M4034" i="12"/>
  <c r="E4034" i="12"/>
  <c r="M4030" i="12"/>
  <c r="E4030" i="12"/>
  <c r="M4026" i="12"/>
  <c r="E4026" i="12"/>
  <c r="M4022" i="12"/>
  <c r="E4022" i="12"/>
  <c r="M4018" i="12"/>
  <c r="E4018" i="12"/>
  <c r="M4014" i="12"/>
  <c r="E4014" i="12"/>
  <c r="M4010" i="12"/>
  <c r="E4010" i="12"/>
  <c r="M4006" i="12"/>
  <c r="E4006" i="12"/>
  <c r="M4002" i="12"/>
  <c r="E4002" i="12"/>
  <c r="M3998" i="12"/>
  <c r="E3998" i="12"/>
  <c r="M3994" i="12"/>
  <c r="E3994" i="12"/>
  <c r="M3990" i="12"/>
  <c r="E3990" i="12"/>
  <c r="M3986" i="12"/>
  <c r="E3986" i="12"/>
  <c r="E3983" i="12"/>
  <c r="D3980" i="12"/>
  <c r="I3979" i="12"/>
  <c r="I3976" i="12"/>
  <c r="K3968" i="12"/>
  <c r="L3968" i="12"/>
  <c r="M3968" i="12"/>
  <c r="E3954" i="12"/>
  <c r="D3940" i="12"/>
  <c r="E3940" i="12"/>
  <c r="D3908" i="12"/>
  <c r="E3908" i="12"/>
  <c r="D3870" i="12"/>
  <c r="E3870" i="12"/>
  <c r="M3983" i="12"/>
  <c r="D3968" i="12"/>
  <c r="E3968" i="12"/>
  <c r="I3967" i="12"/>
  <c r="J3967" i="12"/>
  <c r="K3967" i="12"/>
  <c r="M3955" i="12"/>
  <c r="I3955" i="12"/>
  <c r="J3955" i="12"/>
  <c r="K3955" i="12"/>
  <c r="D3928" i="12"/>
  <c r="E3928" i="12"/>
  <c r="D3884" i="12"/>
  <c r="E3884" i="12"/>
  <c r="E3853" i="12"/>
  <c r="D3853" i="12"/>
  <c r="E3847" i="12"/>
  <c r="D3847" i="12"/>
  <c r="K3972" i="12"/>
  <c r="L3972" i="12"/>
  <c r="M3972" i="12"/>
  <c r="D3956" i="12"/>
  <c r="E3956" i="12"/>
  <c r="D3948" i="12"/>
  <c r="E3948" i="12"/>
  <c r="D3916" i="12"/>
  <c r="E3916" i="12"/>
  <c r="D3896" i="12"/>
  <c r="E3896" i="12"/>
  <c r="M3956" i="12"/>
  <c r="M3952" i="12"/>
  <c r="M3948" i="12"/>
  <c r="K3947" i="12"/>
  <c r="M3944" i="12"/>
  <c r="K3943" i="12"/>
  <c r="M3940" i="12"/>
  <c r="K3939" i="12"/>
  <c r="M3936" i="12"/>
  <c r="K3935" i="12"/>
  <c r="M3932" i="12"/>
  <c r="K3931" i="12"/>
  <c r="M3928" i="12"/>
  <c r="K3927" i="12"/>
  <c r="M3924" i="12"/>
  <c r="K3923" i="12"/>
  <c r="M3920" i="12"/>
  <c r="K3919" i="12"/>
  <c r="M3916" i="12"/>
  <c r="K3915" i="12"/>
  <c r="M3912" i="12"/>
  <c r="K3911" i="12"/>
  <c r="M3908" i="12"/>
  <c r="K3907" i="12"/>
  <c r="M3904" i="12"/>
  <c r="K3903" i="12"/>
  <c r="I3902" i="12"/>
  <c r="M3900" i="12"/>
  <c r="K3899" i="12"/>
  <c r="I3898" i="12"/>
  <c r="M3896" i="12"/>
  <c r="K3895" i="12"/>
  <c r="I3894" i="12"/>
  <c r="M3892" i="12"/>
  <c r="K3891" i="12"/>
  <c r="I3890" i="12"/>
  <c r="M3888" i="12"/>
  <c r="K3887" i="12"/>
  <c r="I3886" i="12"/>
  <c r="M3884" i="12"/>
  <c r="K3883" i="12"/>
  <c r="L3878" i="12"/>
  <c r="I3877" i="12"/>
  <c r="M3877" i="12"/>
  <c r="K3867" i="12"/>
  <c r="K3865" i="12"/>
  <c r="L3863" i="12"/>
  <c r="L3861" i="12"/>
  <c r="L3839" i="12"/>
  <c r="D3829" i="12"/>
  <c r="E3829" i="12"/>
  <c r="K3819" i="12"/>
  <c r="L3819" i="12"/>
  <c r="M3819" i="12"/>
  <c r="I3819" i="12"/>
  <c r="D3805" i="12"/>
  <c r="E3805" i="12"/>
  <c r="D3773" i="12"/>
  <c r="E3773" i="12"/>
  <c r="D3753" i="12"/>
  <c r="E3753" i="12"/>
  <c r="D3745" i="12"/>
  <c r="E3745" i="12"/>
  <c r="D3737" i="12"/>
  <c r="E3737" i="12"/>
  <c r="M3734" i="12"/>
  <c r="I3734" i="12"/>
  <c r="J3734" i="12"/>
  <c r="K3734" i="12"/>
  <c r="L3734" i="12"/>
  <c r="K3721" i="12"/>
  <c r="I3721" i="12"/>
  <c r="J3721" i="12"/>
  <c r="L3721" i="12"/>
  <c r="M3721" i="12"/>
  <c r="L3956" i="12"/>
  <c r="L3952" i="12"/>
  <c r="L3948" i="12"/>
  <c r="J3947" i="12"/>
  <c r="L3944" i="12"/>
  <c r="J3943" i="12"/>
  <c r="L3940" i="12"/>
  <c r="J3939" i="12"/>
  <c r="L3936" i="12"/>
  <c r="J3935" i="12"/>
  <c r="L3932" i="12"/>
  <c r="J3931" i="12"/>
  <c r="L3928" i="12"/>
  <c r="J3927" i="12"/>
  <c r="L3924" i="12"/>
  <c r="J3923" i="12"/>
  <c r="L3920" i="12"/>
  <c r="J3919" i="12"/>
  <c r="L3916" i="12"/>
  <c r="J3915" i="12"/>
  <c r="L3912" i="12"/>
  <c r="J3911" i="12"/>
  <c r="L3908" i="12"/>
  <c r="J3907" i="12"/>
  <c r="L3904" i="12"/>
  <c r="J3903" i="12"/>
  <c r="L3900" i="12"/>
  <c r="J3899" i="12"/>
  <c r="L3896" i="12"/>
  <c r="J3895" i="12"/>
  <c r="L3892" i="12"/>
  <c r="J3891" i="12"/>
  <c r="L3888" i="12"/>
  <c r="J3887" i="12"/>
  <c r="L3884" i="12"/>
  <c r="J3883" i="12"/>
  <c r="J3878" i="12"/>
  <c r="M3875" i="12"/>
  <c r="I3875" i="12"/>
  <c r="I3873" i="12"/>
  <c r="M3873" i="12"/>
  <c r="K3863" i="12"/>
  <c r="K3861" i="12"/>
  <c r="K3835" i="12"/>
  <c r="M3835" i="12"/>
  <c r="I3835" i="12"/>
  <c r="D3817" i="12"/>
  <c r="E3817" i="12"/>
  <c r="D3785" i="12"/>
  <c r="E3785" i="12"/>
  <c r="D3723" i="12"/>
  <c r="E3723" i="12"/>
  <c r="E3685" i="12"/>
  <c r="D3685" i="12"/>
  <c r="I3947" i="12"/>
  <c r="I3943" i="12"/>
  <c r="I3939" i="12"/>
  <c r="I3935" i="12"/>
  <c r="I3931" i="12"/>
  <c r="I3927" i="12"/>
  <c r="I3923" i="12"/>
  <c r="I3919" i="12"/>
  <c r="I3915" i="12"/>
  <c r="I3911" i="12"/>
  <c r="I3907" i="12"/>
  <c r="I3903" i="12"/>
  <c r="I3899" i="12"/>
  <c r="I3895" i="12"/>
  <c r="I3891" i="12"/>
  <c r="I3887" i="12"/>
  <c r="I3883" i="12"/>
  <c r="D3879" i="12"/>
  <c r="I3878" i="12"/>
  <c r="D3877" i="12"/>
  <c r="M3871" i="12"/>
  <c r="I3871" i="12"/>
  <c r="I3869" i="12"/>
  <c r="M3869" i="12"/>
  <c r="D3833" i="12"/>
  <c r="E3833" i="12"/>
  <c r="D3797" i="12"/>
  <c r="E3797" i="12"/>
  <c r="D3765" i="12"/>
  <c r="E3765" i="12"/>
  <c r="E3712" i="12"/>
  <c r="D3712" i="12"/>
  <c r="M3867" i="12"/>
  <c r="I3867" i="12"/>
  <c r="I3865" i="12"/>
  <c r="M3865" i="12"/>
  <c r="K3839" i="12"/>
  <c r="M3839" i="12"/>
  <c r="I3839" i="12"/>
  <c r="K3823" i="12"/>
  <c r="M3823" i="12"/>
  <c r="I3823" i="12"/>
  <c r="D3809" i="12"/>
  <c r="E3809" i="12"/>
  <c r="D3777" i="12"/>
  <c r="E3777" i="12"/>
  <c r="K3729" i="12"/>
  <c r="I3729" i="12"/>
  <c r="J3729" i="12"/>
  <c r="L3729" i="12"/>
  <c r="M3729" i="12"/>
  <c r="M3708" i="12"/>
  <c r="I3708" i="12"/>
  <c r="J3708" i="12"/>
  <c r="K3708" i="12"/>
  <c r="L3708" i="12"/>
  <c r="E3690" i="12"/>
  <c r="D3690" i="12"/>
  <c r="E3942" i="12"/>
  <c r="E3938" i="12"/>
  <c r="E3934" i="12"/>
  <c r="E3930" i="12"/>
  <c r="E3926" i="12"/>
  <c r="E3922" i="12"/>
  <c r="E3918" i="12"/>
  <c r="E3914" i="12"/>
  <c r="E3910" i="12"/>
  <c r="M3863" i="12"/>
  <c r="I3863" i="12"/>
  <c r="I3861" i="12"/>
  <c r="M3861" i="12"/>
  <c r="D3837" i="12"/>
  <c r="E3837" i="12"/>
  <c r="D3821" i="12"/>
  <c r="E3821" i="12"/>
  <c r="D3789" i="12"/>
  <c r="E3789" i="12"/>
  <c r="D3757" i="12"/>
  <c r="E3757" i="12"/>
  <c r="D3749" i="12"/>
  <c r="E3749" i="12"/>
  <c r="D3741" i="12"/>
  <c r="E3741" i="12"/>
  <c r="D3731" i="12"/>
  <c r="E3731" i="12"/>
  <c r="D3699" i="12"/>
  <c r="E3699" i="12"/>
  <c r="M3692" i="12"/>
  <c r="I3692" i="12"/>
  <c r="J3692" i="12"/>
  <c r="K3692" i="12"/>
  <c r="L3692" i="12"/>
  <c r="J3882" i="12"/>
  <c r="E3880" i="12"/>
  <c r="J3879" i="12"/>
  <c r="K3877" i="12"/>
  <c r="L3875" i="12"/>
  <c r="L3873" i="12"/>
  <c r="D3867" i="12"/>
  <c r="D3865" i="12"/>
  <c r="M3859" i="12"/>
  <c r="I3859" i="12"/>
  <c r="I3857" i="12"/>
  <c r="M3857" i="12"/>
  <c r="E3852" i="12"/>
  <c r="E3850" i="12"/>
  <c r="D3844" i="12"/>
  <c r="K3843" i="12"/>
  <c r="M3843" i="12"/>
  <c r="I3843" i="12"/>
  <c r="D3839" i="12"/>
  <c r="D3828" i="12"/>
  <c r="K3827" i="12"/>
  <c r="M3827" i="12"/>
  <c r="I3827" i="12"/>
  <c r="D3823" i="12"/>
  <c r="D3801" i="12"/>
  <c r="E3801" i="12"/>
  <c r="D3769" i="12"/>
  <c r="E3769" i="12"/>
  <c r="M3726" i="12"/>
  <c r="I3726" i="12"/>
  <c r="J3726" i="12"/>
  <c r="K3726" i="12"/>
  <c r="L3726" i="12"/>
  <c r="E3714" i="12"/>
  <c r="D3714" i="12"/>
  <c r="M3855" i="12"/>
  <c r="I3855" i="12"/>
  <c r="I3853" i="12"/>
  <c r="M3853" i="12"/>
  <c r="K3847" i="12"/>
  <c r="M3847" i="12"/>
  <c r="I3847" i="12"/>
  <c r="D3841" i="12"/>
  <c r="E3841" i="12"/>
  <c r="L3835" i="12"/>
  <c r="D3825" i="12"/>
  <c r="E3825" i="12"/>
  <c r="D3813" i="12"/>
  <c r="E3813" i="12"/>
  <c r="D3781" i="12"/>
  <c r="E3781" i="12"/>
  <c r="I3710" i="12"/>
  <c r="M3710" i="12"/>
  <c r="J3710" i="12"/>
  <c r="K3710" i="12"/>
  <c r="L3710" i="12"/>
  <c r="M3849" i="12"/>
  <c r="M3845" i="12"/>
  <c r="M3841" i="12"/>
  <c r="M3837" i="12"/>
  <c r="M3833" i="12"/>
  <c r="M3829" i="12"/>
  <c r="M3825" i="12"/>
  <c r="M3821" i="12"/>
  <c r="M3817" i="12"/>
  <c r="I3815" i="12"/>
  <c r="M3813" i="12"/>
  <c r="I3811" i="12"/>
  <c r="M3809" i="12"/>
  <c r="I3807" i="12"/>
  <c r="M3805" i="12"/>
  <c r="I3803" i="12"/>
  <c r="M3801" i="12"/>
  <c r="I3799" i="12"/>
  <c r="M3797" i="12"/>
  <c r="I3795" i="12"/>
  <c r="M3793" i="12"/>
  <c r="I3791" i="12"/>
  <c r="M3789" i="12"/>
  <c r="I3787" i="12"/>
  <c r="M3785" i="12"/>
  <c r="I3783" i="12"/>
  <c r="M3781" i="12"/>
  <c r="I3779" i="12"/>
  <c r="M3777" i="12"/>
  <c r="I3775" i="12"/>
  <c r="M3773" i="12"/>
  <c r="I3771" i="12"/>
  <c r="M3769" i="12"/>
  <c r="I3767" i="12"/>
  <c r="M3765" i="12"/>
  <c r="I3763" i="12"/>
  <c r="M3761" i="12"/>
  <c r="I3759" i="12"/>
  <c r="M3757" i="12"/>
  <c r="I3755" i="12"/>
  <c r="M3753" i="12"/>
  <c r="I3751" i="12"/>
  <c r="M3749" i="12"/>
  <c r="I3747" i="12"/>
  <c r="M3745" i="12"/>
  <c r="I3743" i="12"/>
  <c r="M3741" i="12"/>
  <c r="I3739" i="12"/>
  <c r="M3737" i="12"/>
  <c r="J3733" i="12"/>
  <c r="J3730" i="12"/>
  <c r="J3725" i="12"/>
  <c r="J3722" i="12"/>
  <c r="I3706" i="12"/>
  <c r="M3706" i="12"/>
  <c r="M3704" i="12"/>
  <c r="I3704" i="12"/>
  <c r="I3698" i="12"/>
  <c r="J3698" i="12"/>
  <c r="M3698" i="12"/>
  <c r="M3696" i="12"/>
  <c r="I3696" i="12"/>
  <c r="K3684" i="12"/>
  <c r="M3684" i="12"/>
  <c r="I3684" i="12"/>
  <c r="D3682" i="12"/>
  <c r="E3682" i="12"/>
  <c r="D3650" i="12"/>
  <c r="E3650" i="12"/>
  <c r="D3630" i="12"/>
  <c r="E3630" i="12"/>
  <c r="D3622" i="12"/>
  <c r="E3622" i="12"/>
  <c r="D3563" i="12"/>
  <c r="E3563" i="12"/>
  <c r="L3753" i="12"/>
  <c r="L3749" i="12"/>
  <c r="L3745" i="12"/>
  <c r="L3741" i="12"/>
  <c r="L3737" i="12"/>
  <c r="I3733" i="12"/>
  <c r="I3730" i="12"/>
  <c r="I3725" i="12"/>
  <c r="I3722" i="12"/>
  <c r="L3718" i="12"/>
  <c r="L3716" i="12"/>
  <c r="I3702" i="12"/>
  <c r="M3702" i="12"/>
  <c r="M3700" i="12"/>
  <c r="I3700" i="12"/>
  <c r="D3670" i="12"/>
  <c r="E3670" i="12"/>
  <c r="D3638" i="12"/>
  <c r="E3638" i="12"/>
  <c r="I3576" i="12"/>
  <c r="J3576" i="12"/>
  <c r="K3576" i="12"/>
  <c r="M3576" i="12"/>
  <c r="L3576" i="12"/>
  <c r="D3658" i="12"/>
  <c r="E3658" i="12"/>
  <c r="D3611" i="12"/>
  <c r="E3611" i="12"/>
  <c r="K3607" i="12"/>
  <c r="L3607" i="12"/>
  <c r="I3607" i="12"/>
  <c r="J3607" i="12"/>
  <c r="M3607" i="12"/>
  <c r="E3719" i="12"/>
  <c r="E3717" i="12"/>
  <c r="D3702" i="12"/>
  <c r="K3680" i="12"/>
  <c r="L3680" i="12"/>
  <c r="M3680" i="12"/>
  <c r="I3680" i="12"/>
  <c r="D3678" i="12"/>
  <c r="E3678" i="12"/>
  <c r="D3646" i="12"/>
  <c r="E3646" i="12"/>
  <c r="M3815" i="12"/>
  <c r="M3811" i="12"/>
  <c r="M3807" i="12"/>
  <c r="M3803" i="12"/>
  <c r="M3799" i="12"/>
  <c r="M3795" i="12"/>
  <c r="M3791" i="12"/>
  <c r="M3787" i="12"/>
  <c r="M3783" i="12"/>
  <c r="M3779" i="12"/>
  <c r="M3775" i="12"/>
  <c r="M3771" i="12"/>
  <c r="M3767" i="12"/>
  <c r="M3763" i="12"/>
  <c r="M3759" i="12"/>
  <c r="M3755" i="12"/>
  <c r="M3751" i="12"/>
  <c r="M3747" i="12"/>
  <c r="M3743" i="12"/>
  <c r="M3739" i="12"/>
  <c r="L3732" i="12"/>
  <c r="L3724" i="12"/>
  <c r="L3706" i="12"/>
  <c r="L3704" i="12"/>
  <c r="L3696" i="12"/>
  <c r="D3689" i="12"/>
  <c r="K3688" i="12"/>
  <c r="M3688" i="12"/>
  <c r="I3688" i="12"/>
  <c r="D3686" i="12"/>
  <c r="E3686" i="12"/>
  <c r="D3666" i="12"/>
  <c r="E3666" i="12"/>
  <c r="L3815" i="12"/>
  <c r="L3811" i="12"/>
  <c r="L3807" i="12"/>
  <c r="L3803" i="12"/>
  <c r="L3799" i="12"/>
  <c r="L3795" i="12"/>
  <c r="L3791" i="12"/>
  <c r="L3787" i="12"/>
  <c r="L3783" i="12"/>
  <c r="L3779" i="12"/>
  <c r="L3775" i="12"/>
  <c r="L3771" i="12"/>
  <c r="L3767" i="12"/>
  <c r="L3763" i="12"/>
  <c r="L3759" i="12"/>
  <c r="L3755" i="12"/>
  <c r="L3751" i="12"/>
  <c r="L3747" i="12"/>
  <c r="L3743" i="12"/>
  <c r="L3739" i="12"/>
  <c r="I3718" i="12"/>
  <c r="M3718" i="12"/>
  <c r="M3716" i="12"/>
  <c r="I3716" i="12"/>
  <c r="D3654" i="12"/>
  <c r="E3654" i="12"/>
  <c r="M3733" i="12"/>
  <c r="L3730" i="12"/>
  <c r="M3725" i="12"/>
  <c r="L3722" i="12"/>
  <c r="D3720" i="12"/>
  <c r="I3714" i="12"/>
  <c r="M3714" i="12"/>
  <c r="M3712" i="12"/>
  <c r="I3712" i="12"/>
  <c r="E3691" i="12"/>
  <c r="D3674" i="12"/>
  <c r="E3674" i="12"/>
  <c r="D3642" i="12"/>
  <c r="E3642" i="12"/>
  <c r="I3618" i="12"/>
  <c r="J3618" i="12"/>
  <c r="K3618" i="12"/>
  <c r="L3618" i="12"/>
  <c r="M3618" i="12"/>
  <c r="M3690" i="12"/>
  <c r="M3686" i="12"/>
  <c r="M3682" i="12"/>
  <c r="M3678" i="12"/>
  <c r="I3676" i="12"/>
  <c r="M3674" i="12"/>
  <c r="I3672" i="12"/>
  <c r="M3670" i="12"/>
  <c r="I3668" i="12"/>
  <c r="M3666" i="12"/>
  <c r="I3664" i="12"/>
  <c r="M3662" i="12"/>
  <c r="I3660" i="12"/>
  <c r="M3658" i="12"/>
  <c r="I3656" i="12"/>
  <c r="M3654" i="12"/>
  <c r="I3652" i="12"/>
  <c r="M3650" i="12"/>
  <c r="I3648" i="12"/>
  <c r="M3646" i="12"/>
  <c r="I3644" i="12"/>
  <c r="M3642" i="12"/>
  <c r="I3640" i="12"/>
  <c r="M3638" i="12"/>
  <c r="M3635" i="12"/>
  <c r="J3634" i="12"/>
  <c r="L3632" i="12"/>
  <c r="M3627" i="12"/>
  <c r="J3626" i="12"/>
  <c r="L3624" i="12"/>
  <c r="I3616" i="12"/>
  <c r="I3614" i="12"/>
  <c r="J3614" i="12"/>
  <c r="J3612" i="12"/>
  <c r="K3608" i="12"/>
  <c r="L3604" i="12"/>
  <c r="K3603" i="12"/>
  <c r="L3603" i="12"/>
  <c r="K3592" i="12"/>
  <c r="M3592" i="12"/>
  <c r="I3587" i="12"/>
  <c r="K3587" i="12"/>
  <c r="L3587" i="12"/>
  <c r="D3577" i="12"/>
  <c r="E3577" i="12"/>
  <c r="I3548" i="12"/>
  <c r="J3548" i="12"/>
  <c r="K3548" i="12"/>
  <c r="L3548" i="12"/>
  <c r="M3548" i="12"/>
  <c r="I3516" i="12"/>
  <c r="J3516" i="12"/>
  <c r="K3516" i="12"/>
  <c r="L3516" i="12"/>
  <c r="M3516" i="12"/>
  <c r="I3484" i="12"/>
  <c r="J3484" i="12"/>
  <c r="K3484" i="12"/>
  <c r="L3484" i="12"/>
  <c r="M3484" i="12"/>
  <c r="L3635" i="12"/>
  <c r="K3632" i="12"/>
  <c r="L3627" i="12"/>
  <c r="M3615" i="12"/>
  <c r="I3610" i="12"/>
  <c r="J3610" i="12"/>
  <c r="K3604" i="12"/>
  <c r="I3572" i="12"/>
  <c r="J3572" i="12"/>
  <c r="K3572" i="12"/>
  <c r="M3572" i="12"/>
  <c r="I3544" i="12"/>
  <c r="J3544" i="12"/>
  <c r="K3544" i="12"/>
  <c r="L3544" i="12"/>
  <c r="M3544" i="12"/>
  <c r="I3512" i="12"/>
  <c r="J3512" i="12"/>
  <c r="K3512" i="12"/>
  <c r="L3512" i="12"/>
  <c r="M3512" i="12"/>
  <c r="I3480" i="12"/>
  <c r="J3480" i="12"/>
  <c r="K3480" i="12"/>
  <c r="L3480" i="12"/>
  <c r="M3480" i="12"/>
  <c r="I3606" i="12"/>
  <c r="J3606" i="12"/>
  <c r="K3596" i="12"/>
  <c r="M3596" i="12"/>
  <c r="I3591" i="12"/>
  <c r="K3591" i="12"/>
  <c r="L3591" i="12"/>
  <c r="D3573" i="12"/>
  <c r="E3573" i="12"/>
  <c r="I3540" i="12"/>
  <c r="J3540" i="12"/>
  <c r="K3540" i="12"/>
  <c r="L3540" i="12"/>
  <c r="M3540" i="12"/>
  <c r="I3508" i="12"/>
  <c r="J3508" i="12"/>
  <c r="K3508" i="12"/>
  <c r="L3508" i="12"/>
  <c r="M3508" i="12"/>
  <c r="I3476" i="12"/>
  <c r="J3476" i="12"/>
  <c r="K3476" i="12"/>
  <c r="L3476" i="12"/>
  <c r="M3476" i="12"/>
  <c r="J3690" i="12"/>
  <c r="J3686" i="12"/>
  <c r="J3682" i="12"/>
  <c r="J3678" i="12"/>
  <c r="J3674" i="12"/>
  <c r="J3670" i="12"/>
  <c r="J3666" i="12"/>
  <c r="J3662" i="12"/>
  <c r="J3658" i="12"/>
  <c r="J3654" i="12"/>
  <c r="J3650" i="12"/>
  <c r="J3646" i="12"/>
  <c r="J3642" i="12"/>
  <c r="J3638" i="12"/>
  <c r="D3636" i="12"/>
  <c r="I3635" i="12"/>
  <c r="I3632" i="12"/>
  <c r="E3631" i="12"/>
  <c r="K3630" i="12"/>
  <c r="D3628" i="12"/>
  <c r="I3627" i="12"/>
  <c r="I3624" i="12"/>
  <c r="E3623" i="12"/>
  <c r="K3622" i="12"/>
  <c r="J3611" i="12"/>
  <c r="E3610" i="12"/>
  <c r="I3604" i="12"/>
  <c r="I3602" i="12"/>
  <c r="J3602" i="12"/>
  <c r="D3601" i="12"/>
  <c r="M3599" i="12"/>
  <c r="E3598" i="12"/>
  <c r="J3588" i="12"/>
  <c r="D3585" i="12"/>
  <c r="I3584" i="12"/>
  <c r="K3584" i="12"/>
  <c r="M3584" i="12"/>
  <c r="E3575" i="12"/>
  <c r="I3568" i="12"/>
  <c r="J3568" i="12"/>
  <c r="K3568" i="12"/>
  <c r="M3568" i="12"/>
  <c r="I3536" i="12"/>
  <c r="J3536" i="12"/>
  <c r="K3536" i="12"/>
  <c r="L3536" i="12"/>
  <c r="M3536" i="12"/>
  <c r="I3504" i="12"/>
  <c r="J3504" i="12"/>
  <c r="K3504" i="12"/>
  <c r="L3504" i="12"/>
  <c r="M3504" i="12"/>
  <c r="M3676" i="12"/>
  <c r="M3672" i="12"/>
  <c r="M3668" i="12"/>
  <c r="M3664" i="12"/>
  <c r="M3660" i="12"/>
  <c r="M3656" i="12"/>
  <c r="M3652" i="12"/>
  <c r="M3648" i="12"/>
  <c r="M3644" i="12"/>
  <c r="M3640" i="12"/>
  <c r="L3636" i="12"/>
  <c r="M3631" i="12"/>
  <c r="J3630" i="12"/>
  <c r="L3628" i="12"/>
  <c r="M3623" i="12"/>
  <c r="J3622" i="12"/>
  <c r="L3620" i="12"/>
  <c r="K3619" i="12"/>
  <c r="L3619" i="12"/>
  <c r="K3600" i="12"/>
  <c r="M3600" i="12"/>
  <c r="I3595" i="12"/>
  <c r="K3595" i="12"/>
  <c r="L3595" i="12"/>
  <c r="E3591" i="12"/>
  <c r="D3569" i="12"/>
  <c r="E3569" i="12"/>
  <c r="I3564" i="12"/>
  <c r="J3564" i="12"/>
  <c r="K3564" i="12"/>
  <c r="L3564" i="12"/>
  <c r="M3564" i="12"/>
  <c r="I3532" i="12"/>
  <c r="J3532" i="12"/>
  <c r="K3532" i="12"/>
  <c r="L3532" i="12"/>
  <c r="M3532" i="12"/>
  <c r="I3500" i="12"/>
  <c r="J3500" i="12"/>
  <c r="K3500" i="12"/>
  <c r="L3500" i="12"/>
  <c r="M3500" i="12"/>
  <c r="I3463" i="12"/>
  <c r="K3463" i="12"/>
  <c r="L3463" i="12"/>
  <c r="J3463" i="12"/>
  <c r="M3463" i="12"/>
  <c r="L3676" i="12"/>
  <c r="L3672" i="12"/>
  <c r="L3668" i="12"/>
  <c r="L3664" i="12"/>
  <c r="L3660" i="12"/>
  <c r="L3656" i="12"/>
  <c r="L3652" i="12"/>
  <c r="L3648" i="12"/>
  <c r="L3644" i="12"/>
  <c r="L3640" i="12"/>
  <c r="M3634" i="12"/>
  <c r="M3626" i="12"/>
  <c r="L3623" i="12"/>
  <c r="L3616" i="12"/>
  <c r="K3615" i="12"/>
  <c r="L3615" i="12"/>
  <c r="I3580" i="12"/>
  <c r="J3580" i="12"/>
  <c r="K3580" i="12"/>
  <c r="M3580" i="12"/>
  <c r="I3560" i="12"/>
  <c r="J3560" i="12"/>
  <c r="K3560" i="12"/>
  <c r="L3560" i="12"/>
  <c r="M3560" i="12"/>
  <c r="I3528" i="12"/>
  <c r="J3528" i="12"/>
  <c r="K3528" i="12"/>
  <c r="L3528" i="12"/>
  <c r="M3528" i="12"/>
  <c r="I3496" i="12"/>
  <c r="J3496" i="12"/>
  <c r="K3496" i="12"/>
  <c r="L3496" i="12"/>
  <c r="M3496" i="12"/>
  <c r="J3636" i="12"/>
  <c r="L3634" i="12"/>
  <c r="J3631" i="12"/>
  <c r="J3628" i="12"/>
  <c r="L3626" i="12"/>
  <c r="J3623" i="12"/>
  <c r="J3620" i="12"/>
  <c r="E3619" i="12"/>
  <c r="K3616" i="12"/>
  <c r="K3611" i="12"/>
  <c r="L3611" i="12"/>
  <c r="L3610" i="12"/>
  <c r="M3606" i="12"/>
  <c r="I3599" i="12"/>
  <c r="K3599" i="12"/>
  <c r="L3599" i="12"/>
  <c r="L3596" i="12"/>
  <c r="K3588" i="12"/>
  <c r="M3588" i="12"/>
  <c r="D3581" i="12"/>
  <c r="E3581" i="12"/>
  <c r="I3556" i="12"/>
  <c r="J3556" i="12"/>
  <c r="K3556" i="12"/>
  <c r="L3556" i="12"/>
  <c r="M3556" i="12"/>
  <c r="I3524" i="12"/>
  <c r="J3524" i="12"/>
  <c r="K3524" i="12"/>
  <c r="L3524" i="12"/>
  <c r="M3524" i="12"/>
  <c r="I3492" i="12"/>
  <c r="J3492" i="12"/>
  <c r="K3492" i="12"/>
  <c r="L3492" i="12"/>
  <c r="M3492" i="12"/>
  <c r="J3598" i="12"/>
  <c r="J3594" i="12"/>
  <c r="J3590" i="12"/>
  <c r="J3586" i="12"/>
  <c r="L3583" i="12"/>
  <c r="J3582" i="12"/>
  <c r="L3579" i="12"/>
  <c r="J3578" i="12"/>
  <c r="L3575" i="12"/>
  <c r="J3574" i="12"/>
  <c r="L3571" i="12"/>
  <c r="J3570" i="12"/>
  <c r="L3567" i="12"/>
  <c r="J3566" i="12"/>
  <c r="L3563" i="12"/>
  <c r="J3562" i="12"/>
  <c r="L3559" i="12"/>
  <c r="J3558" i="12"/>
  <c r="L3555" i="12"/>
  <c r="J3554" i="12"/>
  <c r="L3551" i="12"/>
  <c r="J3550" i="12"/>
  <c r="L3547" i="12"/>
  <c r="J3546" i="12"/>
  <c r="L3543" i="12"/>
  <c r="J3542" i="12"/>
  <c r="L3539" i="12"/>
  <c r="J3538" i="12"/>
  <c r="L3535" i="12"/>
  <c r="J3534" i="12"/>
  <c r="L3531" i="12"/>
  <c r="J3530" i="12"/>
  <c r="L3527" i="12"/>
  <c r="J3526" i="12"/>
  <c r="L3523" i="12"/>
  <c r="J3522" i="12"/>
  <c r="L3519" i="12"/>
  <c r="J3518" i="12"/>
  <c r="L3515" i="12"/>
  <c r="J3514" i="12"/>
  <c r="L3511" i="12"/>
  <c r="J3510" i="12"/>
  <c r="L3507" i="12"/>
  <c r="J3506" i="12"/>
  <c r="L3503" i="12"/>
  <c r="J3502" i="12"/>
  <c r="L3499" i="12"/>
  <c r="J3498" i="12"/>
  <c r="L3495" i="12"/>
  <c r="J3494" i="12"/>
  <c r="L3491" i="12"/>
  <c r="J3490" i="12"/>
  <c r="L3487" i="12"/>
  <c r="J3486" i="12"/>
  <c r="L3483" i="12"/>
  <c r="J3482" i="12"/>
  <c r="L3479" i="12"/>
  <c r="J3478" i="12"/>
  <c r="L3475" i="12"/>
  <c r="J3474" i="12"/>
  <c r="I3467" i="12"/>
  <c r="K3467" i="12"/>
  <c r="L3467" i="12"/>
  <c r="L3464" i="12"/>
  <c r="J3460" i="12"/>
  <c r="D3438" i="12"/>
  <c r="E3438" i="12"/>
  <c r="D3406" i="12"/>
  <c r="E3406" i="12"/>
  <c r="K3583" i="12"/>
  <c r="K3579" i="12"/>
  <c r="K3575" i="12"/>
  <c r="K3571" i="12"/>
  <c r="K3567" i="12"/>
  <c r="K3563" i="12"/>
  <c r="K3559" i="12"/>
  <c r="K3555" i="12"/>
  <c r="K3551" i="12"/>
  <c r="K3547" i="12"/>
  <c r="K3543" i="12"/>
  <c r="K3539" i="12"/>
  <c r="K3535" i="12"/>
  <c r="K3531" i="12"/>
  <c r="K3527" i="12"/>
  <c r="K3523" i="12"/>
  <c r="K3519" i="12"/>
  <c r="K3515" i="12"/>
  <c r="K3511" i="12"/>
  <c r="K3507" i="12"/>
  <c r="K3503" i="12"/>
  <c r="K3499" i="12"/>
  <c r="K3495" i="12"/>
  <c r="K3491" i="12"/>
  <c r="K3487" i="12"/>
  <c r="K3483" i="12"/>
  <c r="K3479" i="12"/>
  <c r="K3475" i="12"/>
  <c r="M3472" i="12"/>
  <c r="I3471" i="12"/>
  <c r="K3471" i="12"/>
  <c r="L3471" i="12"/>
  <c r="L3468" i="12"/>
  <c r="E3463" i="12"/>
  <c r="D3457" i="12"/>
  <c r="D3426" i="12"/>
  <c r="E3426" i="12"/>
  <c r="D3394" i="12"/>
  <c r="E3394" i="12"/>
  <c r="K3456" i="12"/>
  <c r="M3456" i="12"/>
  <c r="D3446" i="12"/>
  <c r="E3446" i="12"/>
  <c r="D3414" i="12"/>
  <c r="E3414" i="12"/>
  <c r="D3382" i="12"/>
  <c r="E3382" i="12"/>
  <c r="D3372" i="12"/>
  <c r="E3372" i="12"/>
  <c r="E3565" i="12"/>
  <c r="E3561" i="12"/>
  <c r="E3557" i="12"/>
  <c r="E3553" i="12"/>
  <c r="E3549" i="12"/>
  <c r="E3545" i="12"/>
  <c r="E3541" i="12"/>
  <c r="E3537" i="12"/>
  <c r="E3533" i="12"/>
  <c r="E3529" i="12"/>
  <c r="E3525" i="12"/>
  <c r="E3521" i="12"/>
  <c r="E3517" i="12"/>
  <c r="E3513" i="12"/>
  <c r="E3509" i="12"/>
  <c r="E3505" i="12"/>
  <c r="E3501" i="12"/>
  <c r="E3497" i="12"/>
  <c r="E3493" i="12"/>
  <c r="E3489" i="12"/>
  <c r="E3485" i="12"/>
  <c r="E3481" i="12"/>
  <c r="E3477" i="12"/>
  <c r="E3473" i="12"/>
  <c r="J3472" i="12"/>
  <c r="E3471" i="12"/>
  <c r="D3465" i="12"/>
  <c r="K3460" i="12"/>
  <c r="M3460" i="12"/>
  <c r="M3459" i="12"/>
  <c r="E3458" i="12"/>
  <c r="D3434" i="12"/>
  <c r="E3434" i="12"/>
  <c r="D3402" i="12"/>
  <c r="E3402" i="12"/>
  <c r="D3356" i="12"/>
  <c r="E3356" i="12"/>
  <c r="I3472" i="12"/>
  <c r="K3464" i="12"/>
  <c r="M3464" i="12"/>
  <c r="D3422" i="12"/>
  <c r="E3422" i="12"/>
  <c r="D3390" i="12"/>
  <c r="E3390" i="12"/>
  <c r="D3361" i="12"/>
  <c r="E3361" i="12"/>
  <c r="K3468" i="12"/>
  <c r="M3468" i="12"/>
  <c r="I3455" i="12"/>
  <c r="K3455" i="12"/>
  <c r="L3455" i="12"/>
  <c r="D3442" i="12"/>
  <c r="E3442" i="12"/>
  <c r="D3410" i="12"/>
  <c r="E3410" i="12"/>
  <c r="D3349" i="12"/>
  <c r="E3349" i="12"/>
  <c r="I3459" i="12"/>
  <c r="K3459" i="12"/>
  <c r="L3459" i="12"/>
  <c r="D3430" i="12"/>
  <c r="E3430" i="12"/>
  <c r="D3398" i="12"/>
  <c r="E3398" i="12"/>
  <c r="I3363" i="12"/>
  <c r="J3363" i="12"/>
  <c r="K3363" i="12"/>
  <c r="L3363" i="12"/>
  <c r="M3363" i="12"/>
  <c r="I3448" i="12"/>
  <c r="I3444" i="12"/>
  <c r="I3440" i="12"/>
  <c r="I3436" i="12"/>
  <c r="I3432" i="12"/>
  <c r="I3428" i="12"/>
  <c r="I3424" i="12"/>
  <c r="I3420" i="12"/>
  <c r="I3416" i="12"/>
  <c r="I3412" i="12"/>
  <c r="I3408" i="12"/>
  <c r="I3404" i="12"/>
  <c r="I3400" i="12"/>
  <c r="I3396" i="12"/>
  <c r="I3392" i="12"/>
  <c r="I3388" i="12"/>
  <c r="I3384" i="12"/>
  <c r="I3380" i="12"/>
  <c r="M3378" i="12"/>
  <c r="M3376" i="12"/>
  <c r="J3365" i="12"/>
  <c r="L3365" i="12"/>
  <c r="M3365" i="12"/>
  <c r="J3360" i="12"/>
  <c r="K3360" i="12"/>
  <c r="M3359" i="12"/>
  <c r="M3351" i="12"/>
  <c r="I3351" i="12"/>
  <c r="M3343" i="12"/>
  <c r="I3343" i="12"/>
  <c r="I3337" i="12"/>
  <c r="J3337" i="12"/>
  <c r="K3337" i="12"/>
  <c r="L3337" i="12"/>
  <c r="M3337" i="12"/>
  <c r="L3266" i="12"/>
  <c r="I3266" i="12"/>
  <c r="J3266" i="12"/>
  <c r="K3266" i="12"/>
  <c r="M3266" i="12"/>
  <c r="K3378" i="12"/>
  <c r="L3376" i="12"/>
  <c r="D3365" i="12"/>
  <c r="E3365" i="12"/>
  <c r="L3359" i="12"/>
  <c r="D3337" i="12"/>
  <c r="E3337" i="12"/>
  <c r="D3321" i="12"/>
  <c r="E3321" i="12"/>
  <c r="D3305" i="12"/>
  <c r="E3305" i="12"/>
  <c r="D3289" i="12"/>
  <c r="E3289" i="12"/>
  <c r="D3273" i="12"/>
  <c r="E3273" i="12"/>
  <c r="E3447" i="12"/>
  <c r="E3443" i="12"/>
  <c r="E3439" i="12"/>
  <c r="E3435" i="12"/>
  <c r="E3431" i="12"/>
  <c r="E3427" i="12"/>
  <c r="E3423" i="12"/>
  <c r="E3419" i="12"/>
  <c r="E3415" i="12"/>
  <c r="E3411" i="12"/>
  <c r="E3407" i="12"/>
  <c r="E3403" i="12"/>
  <c r="E3399" i="12"/>
  <c r="E3395" i="12"/>
  <c r="E3391" i="12"/>
  <c r="E3387" i="12"/>
  <c r="E3383" i="12"/>
  <c r="J3378" i="12"/>
  <c r="J3376" i="12"/>
  <c r="J3373" i="12"/>
  <c r="M3373" i="12"/>
  <c r="E3370" i="12"/>
  <c r="J3369" i="12"/>
  <c r="L3369" i="12"/>
  <c r="M3369" i="12"/>
  <c r="J3364" i="12"/>
  <c r="K3364" i="12"/>
  <c r="E3360" i="12"/>
  <c r="K3359" i="12"/>
  <c r="J3353" i="12"/>
  <c r="L3353" i="12"/>
  <c r="M3353" i="12"/>
  <c r="E3348" i="12"/>
  <c r="I3345" i="12"/>
  <c r="J3345" i="12"/>
  <c r="L3345" i="12"/>
  <c r="M3345" i="12"/>
  <c r="I3333" i="12"/>
  <c r="J3333" i="12"/>
  <c r="K3333" i="12"/>
  <c r="L3333" i="12"/>
  <c r="M3333" i="12"/>
  <c r="J3466" i="12"/>
  <c r="J3462" i="12"/>
  <c r="J3458" i="12"/>
  <c r="J3454" i="12"/>
  <c r="L3451" i="12"/>
  <c r="J3450" i="12"/>
  <c r="L3447" i="12"/>
  <c r="J3446" i="12"/>
  <c r="L3443" i="12"/>
  <c r="J3442" i="12"/>
  <c r="L3439" i="12"/>
  <c r="J3438" i="12"/>
  <c r="L3435" i="12"/>
  <c r="J3434" i="12"/>
  <c r="L3431" i="12"/>
  <c r="J3430" i="12"/>
  <c r="L3427" i="12"/>
  <c r="J3426" i="12"/>
  <c r="L3423" i="12"/>
  <c r="J3422" i="12"/>
  <c r="L3419" i="12"/>
  <c r="J3418" i="12"/>
  <c r="L3415" i="12"/>
  <c r="J3414" i="12"/>
  <c r="L3411" i="12"/>
  <c r="J3410" i="12"/>
  <c r="L3407" i="12"/>
  <c r="J3406" i="12"/>
  <c r="L3403" i="12"/>
  <c r="J3402" i="12"/>
  <c r="L3399" i="12"/>
  <c r="J3398" i="12"/>
  <c r="L3395" i="12"/>
  <c r="J3394" i="12"/>
  <c r="L3391" i="12"/>
  <c r="J3390" i="12"/>
  <c r="L3387" i="12"/>
  <c r="J3386" i="12"/>
  <c r="L3383" i="12"/>
  <c r="J3382" i="12"/>
  <c r="L3379" i="12"/>
  <c r="I3378" i="12"/>
  <c r="D3377" i="12"/>
  <c r="I3376" i="12"/>
  <c r="J3372" i="12"/>
  <c r="D3369" i="12"/>
  <c r="E3369" i="12"/>
  <c r="K3361" i="12"/>
  <c r="J3359" i="12"/>
  <c r="D3353" i="12"/>
  <c r="E3353" i="12"/>
  <c r="D3345" i="12"/>
  <c r="E3345" i="12"/>
  <c r="D3333" i="12"/>
  <c r="E3333" i="12"/>
  <c r="D3317" i="12"/>
  <c r="E3317" i="12"/>
  <c r="D3301" i="12"/>
  <c r="E3301" i="12"/>
  <c r="D3285" i="12"/>
  <c r="E3285" i="12"/>
  <c r="D3269" i="12"/>
  <c r="E3269" i="12"/>
  <c r="D3253" i="12"/>
  <c r="E3253" i="12"/>
  <c r="K3451" i="12"/>
  <c r="M3448" i="12"/>
  <c r="K3447" i="12"/>
  <c r="M3444" i="12"/>
  <c r="K3443" i="12"/>
  <c r="M3440" i="12"/>
  <c r="K3439" i="12"/>
  <c r="M3436" i="12"/>
  <c r="K3435" i="12"/>
  <c r="M3432" i="12"/>
  <c r="K3431" i="12"/>
  <c r="M3428" i="12"/>
  <c r="K3427" i="12"/>
  <c r="M3424" i="12"/>
  <c r="K3423" i="12"/>
  <c r="M3420" i="12"/>
  <c r="K3419" i="12"/>
  <c r="M3416" i="12"/>
  <c r="K3415" i="12"/>
  <c r="M3412" i="12"/>
  <c r="K3411" i="12"/>
  <c r="M3408" i="12"/>
  <c r="K3407" i="12"/>
  <c r="M3404" i="12"/>
  <c r="K3403" i="12"/>
  <c r="M3400" i="12"/>
  <c r="K3399" i="12"/>
  <c r="M3396" i="12"/>
  <c r="K3395" i="12"/>
  <c r="M3392" i="12"/>
  <c r="K3391" i="12"/>
  <c r="M3388" i="12"/>
  <c r="K3387" i="12"/>
  <c r="M3384" i="12"/>
  <c r="K3383" i="12"/>
  <c r="M3380" i="12"/>
  <c r="K3379" i="12"/>
  <c r="M3377" i="12"/>
  <c r="I3372" i="12"/>
  <c r="J3368" i="12"/>
  <c r="K3368" i="12"/>
  <c r="M3367" i="12"/>
  <c r="M3360" i="12"/>
  <c r="J3357" i="12"/>
  <c r="L3357" i="12"/>
  <c r="M3357" i="12"/>
  <c r="L3351" i="12"/>
  <c r="M3347" i="12"/>
  <c r="I3347" i="12"/>
  <c r="L3343" i="12"/>
  <c r="D3357" i="12"/>
  <c r="E3357" i="12"/>
  <c r="D3329" i="12"/>
  <c r="E3329" i="12"/>
  <c r="D3313" i="12"/>
  <c r="E3313" i="12"/>
  <c r="D3297" i="12"/>
  <c r="E3297" i="12"/>
  <c r="D3281" i="12"/>
  <c r="E3281" i="12"/>
  <c r="I3255" i="12"/>
  <c r="J3255" i="12"/>
  <c r="K3255" i="12"/>
  <c r="L3255" i="12"/>
  <c r="M3255" i="12"/>
  <c r="I3245" i="12"/>
  <c r="J3245" i="12"/>
  <c r="L3245" i="12"/>
  <c r="M3245" i="12"/>
  <c r="K3245" i="12"/>
  <c r="K3377" i="12"/>
  <c r="L3375" i="12"/>
  <c r="L3373" i="12"/>
  <c r="K3367" i="12"/>
  <c r="I3365" i="12"/>
  <c r="M3364" i="12"/>
  <c r="J3361" i="12"/>
  <c r="L3361" i="12"/>
  <c r="M3361" i="12"/>
  <c r="I3360" i="12"/>
  <c r="J3356" i="12"/>
  <c r="K3356" i="12"/>
  <c r="J3351" i="12"/>
  <c r="I3349" i="12"/>
  <c r="J3349" i="12"/>
  <c r="L3349" i="12"/>
  <c r="M3349" i="12"/>
  <c r="J3343" i="12"/>
  <c r="I3341" i="12"/>
  <c r="J3341" i="12"/>
  <c r="L3341" i="12"/>
  <c r="M3341" i="12"/>
  <c r="K3352" i="12"/>
  <c r="K3348" i="12"/>
  <c r="K3344" i="12"/>
  <c r="K3340" i="12"/>
  <c r="I3339" i="12"/>
  <c r="K3336" i="12"/>
  <c r="I3335" i="12"/>
  <c r="K3332" i="12"/>
  <c r="I3331" i="12"/>
  <c r="M3329" i="12"/>
  <c r="K3328" i="12"/>
  <c r="I3327" i="12"/>
  <c r="M3325" i="12"/>
  <c r="K3324" i="12"/>
  <c r="I3323" i="12"/>
  <c r="M3321" i="12"/>
  <c r="K3320" i="12"/>
  <c r="I3319" i="12"/>
  <c r="M3317" i="12"/>
  <c r="K3316" i="12"/>
  <c r="I3315" i="12"/>
  <c r="M3313" i="12"/>
  <c r="K3312" i="12"/>
  <c r="I3311" i="12"/>
  <c r="M3309" i="12"/>
  <c r="K3308" i="12"/>
  <c r="I3307" i="12"/>
  <c r="M3305" i="12"/>
  <c r="K3304" i="12"/>
  <c r="I3303" i="12"/>
  <c r="M3301" i="12"/>
  <c r="K3300" i="12"/>
  <c r="I3299" i="12"/>
  <c r="M3297" i="12"/>
  <c r="K3296" i="12"/>
  <c r="I3295" i="12"/>
  <c r="M3293" i="12"/>
  <c r="K3292" i="12"/>
  <c r="I3291" i="12"/>
  <c r="M3289" i="12"/>
  <c r="K3288" i="12"/>
  <c r="I3287" i="12"/>
  <c r="M3285" i="12"/>
  <c r="K3284" i="12"/>
  <c r="I3283" i="12"/>
  <c r="M3281" i="12"/>
  <c r="K3280" i="12"/>
  <c r="I3279" i="12"/>
  <c r="M3277" i="12"/>
  <c r="K3276" i="12"/>
  <c r="I3275" i="12"/>
  <c r="M3273" i="12"/>
  <c r="K3272" i="12"/>
  <c r="I3271" i="12"/>
  <c r="M3269" i="12"/>
  <c r="K3268" i="12"/>
  <c r="I3267" i="12"/>
  <c r="K3262" i="12"/>
  <c r="L3260" i="12"/>
  <c r="J3257" i="12"/>
  <c r="L3257" i="12"/>
  <c r="M3257" i="12"/>
  <c r="J3252" i="12"/>
  <c r="K3252" i="12"/>
  <c r="M3251" i="12"/>
  <c r="D3245" i="12"/>
  <c r="E3245" i="12"/>
  <c r="D3237" i="12"/>
  <c r="E3237" i="12"/>
  <c r="D3221" i="12"/>
  <c r="E3221" i="12"/>
  <c r="D3205" i="12"/>
  <c r="E3205" i="12"/>
  <c r="L3329" i="12"/>
  <c r="L3325" i="12"/>
  <c r="L3321" i="12"/>
  <c r="L3317" i="12"/>
  <c r="L3313" i="12"/>
  <c r="L3309" i="12"/>
  <c r="L3305" i="12"/>
  <c r="L3301" i="12"/>
  <c r="L3297" i="12"/>
  <c r="L3293" i="12"/>
  <c r="L3289" i="12"/>
  <c r="L3285" i="12"/>
  <c r="L3281" i="12"/>
  <c r="L3277" i="12"/>
  <c r="L3273" i="12"/>
  <c r="L3269" i="12"/>
  <c r="J3262" i="12"/>
  <c r="J3260" i="12"/>
  <c r="D3257" i="12"/>
  <c r="E3257" i="12"/>
  <c r="L3251" i="12"/>
  <c r="M3247" i="12"/>
  <c r="I3247" i="12"/>
  <c r="L3243" i="12"/>
  <c r="M3239" i="12"/>
  <c r="I3239" i="12"/>
  <c r="I3233" i="12"/>
  <c r="J3233" i="12"/>
  <c r="K3233" i="12"/>
  <c r="L3233" i="12"/>
  <c r="M3233" i="12"/>
  <c r="J3194" i="12"/>
  <c r="I3194" i="12"/>
  <c r="K3194" i="12"/>
  <c r="L3194" i="12"/>
  <c r="M3194" i="12"/>
  <c r="I3142" i="12"/>
  <c r="J3142" i="12"/>
  <c r="K3142" i="12"/>
  <c r="L3142" i="12"/>
  <c r="M3142" i="12"/>
  <c r="K3329" i="12"/>
  <c r="K3325" i="12"/>
  <c r="K3321" i="12"/>
  <c r="K3317" i="12"/>
  <c r="K3313" i="12"/>
  <c r="K3309" i="12"/>
  <c r="K3305" i="12"/>
  <c r="K3301" i="12"/>
  <c r="K3297" i="12"/>
  <c r="K3293" i="12"/>
  <c r="K3289" i="12"/>
  <c r="K3285" i="12"/>
  <c r="K3281" i="12"/>
  <c r="K3277" i="12"/>
  <c r="K3273" i="12"/>
  <c r="K3269" i="12"/>
  <c r="J3256" i="12"/>
  <c r="K3256" i="12"/>
  <c r="D3233" i="12"/>
  <c r="E3233" i="12"/>
  <c r="D3217" i="12"/>
  <c r="E3217" i="12"/>
  <c r="D3201" i="12"/>
  <c r="E3201" i="12"/>
  <c r="D3182" i="12"/>
  <c r="E3182" i="12"/>
  <c r="K3163" i="12"/>
  <c r="L3163" i="12"/>
  <c r="M3163" i="12"/>
  <c r="I3163" i="12"/>
  <c r="J3163" i="12"/>
  <c r="K3143" i="12"/>
  <c r="L3143" i="12"/>
  <c r="M3143" i="12"/>
  <c r="I3143" i="12"/>
  <c r="J3143" i="12"/>
  <c r="J3329" i="12"/>
  <c r="J3325" i="12"/>
  <c r="J3321" i="12"/>
  <c r="J3317" i="12"/>
  <c r="J3313" i="12"/>
  <c r="J3309" i="12"/>
  <c r="J3305" i="12"/>
  <c r="J3301" i="12"/>
  <c r="J3297" i="12"/>
  <c r="J3293" i="12"/>
  <c r="J3289" i="12"/>
  <c r="J3285" i="12"/>
  <c r="J3281" i="12"/>
  <c r="J3277" i="12"/>
  <c r="J3273" i="12"/>
  <c r="J3269" i="12"/>
  <c r="E3264" i="12"/>
  <c r="M3261" i="12"/>
  <c r="K3253" i="12"/>
  <c r="J3251" i="12"/>
  <c r="I3249" i="12"/>
  <c r="J3249" i="12"/>
  <c r="L3249" i="12"/>
  <c r="M3249" i="12"/>
  <c r="E3244" i="12"/>
  <c r="I3241" i="12"/>
  <c r="J3241" i="12"/>
  <c r="L3241" i="12"/>
  <c r="M3241" i="12"/>
  <c r="I3229" i="12"/>
  <c r="J3229" i="12"/>
  <c r="K3229" i="12"/>
  <c r="L3229" i="12"/>
  <c r="M3229" i="12"/>
  <c r="I3185" i="12"/>
  <c r="J3185" i="12"/>
  <c r="K3185" i="12"/>
  <c r="L3185" i="12"/>
  <c r="M3185" i="12"/>
  <c r="D3129" i="12"/>
  <c r="E3129" i="12"/>
  <c r="M3339" i="12"/>
  <c r="M3335" i="12"/>
  <c r="M3331" i="12"/>
  <c r="M3327" i="12"/>
  <c r="M3323" i="12"/>
  <c r="M3319" i="12"/>
  <c r="M3315" i="12"/>
  <c r="M3311" i="12"/>
  <c r="M3307" i="12"/>
  <c r="M3303" i="12"/>
  <c r="M3299" i="12"/>
  <c r="M3295" i="12"/>
  <c r="M3291" i="12"/>
  <c r="M3287" i="12"/>
  <c r="M3283" i="12"/>
  <c r="M3279" i="12"/>
  <c r="M3275" i="12"/>
  <c r="M3271" i="12"/>
  <c r="M3267" i="12"/>
  <c r="D3249" i="12"/>
  <c r="E3249" i="12"/>
  <c r="D3241" i="12"/>
  <c r="E3241" i="12"/>
  <c r="D3229" i="12"/>
  <c r="E3229" i="12"/>
  <c r="D3213" i="12"/>
  <c r="E3213" i="12"/>
  <c r="D3197" i="12"/>
  <c r="E3197" i="12"/>
  <c r="J3174" i="12"/>
  <c r="I3174" i="12"/>
  <c r="K3174" i="12"/>
  <c r="L3174" i="12"/>
  <c r="M3174" i="12"/>
  <c r="M3243" i="12"/>
  <c r="I3243" i="12"/>
  <c r="J3253" i="12"/>
  <c r="L3253" i="12"/>
  <c r="M3253" i="12"/>
  <c r="D3225" i="12"/>
  <c r="E3225" i="12"/>
  <c r="D3209" i="12"/>
  <c r="E3209" i="12"/>
  <c r="K3248" i="12"/>
  <c r="K3244" i="12"/>
  <c r="K3240" i="12"/>
  <c r="K3236" i="12"/>
  <c r="I3235" i="12"/>
  <c r="K3232" i="12"/>
  <c r="I3231" i="12"/>
  <c r="K3228" i="12"/>
  <c r="I3227" i="12"/>
  <c r="M3225" i="12"/>
  <c r="K3224" i="12"/>
  <c r="I3223" i="12"/>
  <c r="M3221" i="12"/>
  <c r="K3220" i="12"/>
  <c r="I3219" i="12"/>
  <c r="M3217" i="12"/>
  <c r="K3216" i="12"/>
  <c r="I3215" i="12"/>
  <c r="M3213" i="12"/>
  <c r="K3212" i="12"/>
  <c r="I3211" i="12"/>
  <c r="M3209" i="12"/>
  <c r="K3208" i="12"/>
  <c r="I3207" i="12"/>
  <c r="M3205" i="12"/>
  <c r="K3204" i="12"/>
  <c r="I3203" i="12"/>
  <c r="M3201" i="12"/>
  <c r="K3200" i="12"/>
  <c r="I3199" i="12"/>
  <c r="M3197" i="12"/>
  <c r="K3196" i="12"/>
  <c r="I3195" i="12"/>
  <c r="L3193" i="12"/>
  <c r="L3190" i="12"/>
  <c r="I3189" i="12"/>
  <c r="M3187" i="12"/>
  <c r="L3184" i="12"/>
  <c r="I3183" i="12"/>
  <c r="K3181" i="12"/>
  <c r="I3180" i="12"/>
  <c r="K3173" i="12"/>
  <c r="M3171" i="12"/>
  <c r="I3170" i="12"/>
  <c r="J3170" i="12"/>
  <c r="D3163" i="12"/>
  <c r="E3163" i="12"/>
  <c r="I3162" i="12"/>
  <c r="J3162" i="12"/>
  <c r="K3162" i="12"/>
  <c r="I3081" i="12"/>
  <c r="K3081" i="12"/>
  <c r="J3081" i="12"/>
  <c r="L3081" i="12"/>
  <c r="M3081" i="12"/>
  <c r="L3225" i="12"/>
  <c r="L3221" i="12"/>
  <c r="L3217" i="12"/>
  <c r="L3213" i="12"/>
  <c r="L3209" i="12"/>
  <c r="L3205" i="12"/>
  <c r="L3201" i="12"/>
  <c r="L3197" i="12"/>
  <c r="K3193" i="12"/>
  <c r="K3190" i="12"/>
  <c r="K3187" i="12"/>
  <c r="K3184" i="12"/>
  <c r="M3182" i="12"/>
  <c r="M3176" i="12"/>
  <c r="J3173" i="12"/>
  <c r="K3171" i="12"/>
  <c r="K3151" i="12"/>
  <c r="L3151" i="12"/>
  <c r="M3151" i="12"/>
  <c r="I3150" i="12"/>
  <c r="J3150" i="12"/>
  <c r="K3150" i="12"/>
  <c r="L3150" i="12"/>
  <c r="K3131" i="12"/>
  <c r="L3131" i="12"/>
  <c r="M3131" i="12"/>
  <c r="J3127" i="12"/>
  <c r="K3225" i="12"/>
  <c r="K3221" i="12"/>
  <c r="K3217" i="12"/>
  <c r="K3213" i="12"/>
  <c r="K3209" i="12"/>
  <c r="K3205" i="12"/>
  <c r="K3201" i="12"/>
  <c r="K3197" i="12"/>
  <c r="L3182" i="12"/>
  <c r="L3176" i="12"/>
  <c r="K3139" i="12"/>
  <c r="L3139" i="12"/>
  <c r="M3139" i="12"/>
  <c r="I3138" i="12"/>
  <c r="J3138" i="12"/>
  <c r="K3138" i="12"/>
  <c r="L3138" i="12"/>
  <c r="J3135" i="12"/>
  <c r="I3130" i="12"/>
  <c r="J3130" i="12"/>
  <c r="K3130" i="12"/>
  <c r="L3130" i="12"/>
  <c r="D3125" i="12"/>
  <c r="E3125" i="12"/>
  <c r="J3225" i="12"/>
  <c r="J3221" i="12"/>
  <c r="J3217" i="12"/>
  <c r="J3213" i="12"/>
  <c r="J3209" i="12"/>
  <c r="J3205" i="12"/>
  <c r="J3201" i="12"/>
  <c r="J3197" i="12"/>
  <c r="M3191" i="12"/>
  <c r="I3187" i="12"/>
  <c r="E3186" i="12"/>
  <c r="K3182" i="12"/>
  <c r="E3177" i="12"/>
  <c r="K3176" i="12"/>
  <c r="M3172" i="12"/>
  <c r="I3171" i="12"/>
  <c r="K3167" i="12"/>
  <c r="L3167" i="12"/>
  <c r="M3167" i="12"/>
  <c r="E3165" i="12"/>
  <c r="K3159" i="12"/>
  <c r="L3159" i="12"/>
  <c r="M3159" i="12"/>
  <c r="I3158" i="12"/>
  <c r="J3158" i="12"/>
  <c r="K3158" i="12"/>
  <c r="L3158" i="12"/>
  <c r="J3155" i="12"/>
  <c r="E3145" i="12"/>
  <c r="D3121" i="12"/>
  <c r="E3121" i="12"/>
  <c r="D3117" i="12"/>
  <c r="E3117" i="12"/>
  <c r="D3113" i="12"/>
  <c r="E3113" i="12"/>
  <c r="D3109" i="12"/>
  <c r="E3109" i="12"/>
  <c r="D3105" i="12"/>
  <c r="E3105" i="12"/>
  <c r="D3101" i="12"/>
  <c r="E3101" i="12"/>
  <c r="D3097" i="12"/>
  <c r="E3097" i="12"/>
  <c r="D3093" i="12"/>
  <c r="E3093" i="12"/>
  <c r="M3235" i="12"/>
  <c r="M3231" i="12"/>
  <c r="M3227" i="12"/>
  <c r="M3223" i="12"/>
  <c r="M3219" i="12"/>
  <c r="M3215" i="12"/>
  <c r="M3211" i="12"/>
  <c r="M3207" i="12"/>
  <c r="M3203" i="12"/>
  <c r="M3199" i="12"/>
  <c r="M3195" i="12"/>
  <c r="M3189" i="12"/>
  <c r="I3182" i="12"/>
  <c r="M3180" i="12"/>
  <c r="I3176" i="12"/>
  <c r="D3167" i="12"/>
  <c r="E3167" i="12"/>
  <c r="I3166" i="12"/>
  <c r="J3166" i="12"/>
  <c r="K3166" i="12"/>
  <c r="K3147" i="12"/>
  <c r="L3147" i="12"/>
  <c r="M3147" i="12"/>
  <c r="I3146" i="12"/>
  <c r="J3146" i="12"/>
  <c r="K3146" i="12"/>
  <c r="L3146" i="12"/>
  <c r="K3127" i="12"/>
  <c r="L3127" i="12"/>
  <c r="M3127" i="12"/>
  <c r="M3183" i="12"/>
  <c r="K3135" i="12"/>
  <c r="L3135" i="12"/>
  <c r="M3135" i="12"/>
  <c r="K3123" i="12"/>
  <c r="L3123" i="12"/>
  <c r="M3123" i="12"/>
  <c r="I3123" i="12"/>
  <c r="K3155" i="12"/>
  <c r="L3155" i="12"/>
  <c r="M3155" i="12"/>
  <c r="I3154" i="12"/>
  <c r="J3154" i="12"/>
  <c r="K3154" i="12"/>
  <c r="L3154" i="12"/>
  <c r="I3134" i="12"/>
  <c r="J3134" i="12"/>
  <c r="K3134" i="12"/>
  <c r="L3134" i="12"/>
  <c r="I3119" i="12"/>
  <c r="I3115" i="12"/>
  <c r="I3111" i="12"/>
  <c r="I3107" i="12"/>
  <c r="I3103" i="12"/>
  <c r="I3099" i="12"/>
  <c r="I3095" i="12"/>
  <c r="I3091" i="12"/>
  <c r="I3077" i="12"/>
  <c r="K3077" i="12"/>
  <c r="D3071" i="12"/>
  <c r="E3071" i="12"/>
  <c r="J3070" i="12"/>
  <c r="K3070" i="12"/>
  <c r="M3070" i="12"/>
  <c r="I3058" i="12"/>
  <c r="J3058" i="12"/>
  <c r="K3058" i="12"/>
  <c r="L3058" i="12"/>
  <c r="M3058" i="12"/>
  <c r="I3030" i="12"/>
  <c r="J3030" i="12"/>
  <c r="K3030" i="12"/>
  <c r="L3030" i="12"/>
  <c r="M3030" i="12"/>
  <c r="I3006" i="12"/>
  <c r="J3006" i="12"/>
  <c r="K3006" i="12"/>
  <c r="L3006" i="12"/>
  <c r="M3006" i="12"/>
  <c r="J3168" i="12"/>
  <c r="J3164" i="12"/>
  <c r="J3160" i="12"/>
  <c r="J3156" i="12"/>
  <c r="J3152" i="12"/>
  <c r="J3148" i="12"/>
  <c r="J3144" i="12"/>
  <c r="J3140" i="12"/>
  <c r="J3136" i="12"/>
  <c r="J3132" i="12"/>
  <c r="L3129" i="12"/>
  <c r="J3128" i="12"/>
  <c r="L3125" i="12"/>
  <c r="J3124" i="12"/>
  <c r="L3121" i="12"/>
  <c r="J3120" i="12"/>
  <c r="L3117" i="12"/>
  <c r="J3116" i="12"/>
  <c r="L3113" i="12"/>
  <c r="J3112" i="12"/>
  <c r="L3109" i="12"/>
  <c r="J3108" i="12"/>
  <c r="L3105" i="12"/>
  <c r="J3104" i="12"/>
  <c r="L3101" i="12"/>
  <c r="J3100" i="12"/>
  <c r="L3097" i="12"/>
  <c r="J3096" i="12"/>
  <c r="L3093" i="12"/>
  <c r="J3092" i="12"/>
  <c r="E3081" i="12"/>
  <c r="I3026" i="12"/>
  <c r="J3026" i="12"/>
  <c r="K3026" i="12"/>
  <c r="L3026" i="12"/>
  <c r="M3026" i="12"/>
  <c r="I3010" i="12"/>
  <c r="J3010" i="12"/>
  <c r="K3010" i="12"/>
  <c r="L3010" i="12"/>
  <c r="M3010" i="12"/>
  <c r="I3069" i="12"/>
  <c r="K3069" i="12"/>
  <c r="L3069" i="12"/>
  <c r="I3054" i="12"/>
  <c r="J3054" i="12"/>
  <c r="K3054" i="12"/>
  <c r="L3054" i="12"/>
  <c r="M3054" i="12"/>
  <c r="I3022" i="12"/>
  <c r="J3022" i="12"/>
  <c r="K3022" i="12"/>
  <c r="L3022" i="12"/>
  <c r="M3022" i="12"/>
  <c r="I3018" i="12"/>
  <c r="J3018" i="12"/>
  <c r="K3018" i="12"/>
  <c r="L3018" i="12"/>
  <c r="M3018" i="12"/>
  <c r="I3014" i="12"/>
  <c r="J3014" i="12"/>
  <c r="K3014" i="12"/>
  <c r="L3014" i="12"/>
  <c r="M3014" i="12"/>
  <c r="L3126" i="12"/>
  <c r="L3122" i="12"/>
  <c r="L3118" i="12"/>
  <c r="L3114" i="12"/>
  <c r="L3110" i="12"/>
  <c r="L3106" i="12"/>
  <c r="L3102" i="12"/>
  <c r="L3098" i="12"/>
  <c r="L3094" i="12"/>
  <c r="L3090" i="12"/>
  <c r="K3086" i="12"/>
  <c r="M3086" i="12"/>
  <c r="L3085" i="12"/>
  <c r="D3083" i="12"/>
  <c r="D3075" i="12"/>
  <c r="E3075" i="12"/>
  <c r="J3074" i="12"/>
  <c r="K3074" i="12"/>
  <c r="M3074" i="12"/>
  <c r="I3050" i="12"/>
  <c r="J3050" i="12"/>
  <c r="K3050" i="12"/>
  <c r="L3050" i="12"/>
  <c r="M3050" i="12"/>
  <c r="E3159" i="12"/>
  <c r="E3155" i="12"/>
  <c r="E3151" i="12"/>
  <c r="E3147" i="12"/>
  <c r="E3143" i="12"/>
  <c r="E3139" i="12"/>
  <c r="K3126" i="12"/>
  <c r="K3122" i="12"/>
  <c r="M3119" i="12"/>
  <c r="K3118" i="12"/>
  <c r="M3115" i="12"/>
  <c r="K3114" i="12"/>
  <c r="M3111" i="12"/>
  <c r="K3110" i="12"/>
  <c r="M3107" i="12"/>
  <c r="K3106" i="12"/>
  <c r="M3103" i="12"/>
  <c r="K3102" i="12"/>
  <c r="M3099" i="12"/>
  <c r="K3098" i="12"/>
  <c r="M3095" i="12"/>
  <c r="K3094" i="12"/>
  <c r="M3091" i="12"/>
  <c r="K3090" i="12"/>
  <c r="K3082" i="12"/>
  <c r="M3082" i="12"/>
  <c r="M3077" i="12"/>
  <c r="J3066" i="12"/>
  <c r="K3066" i="12"/>
  <c r="L3066" i="12"/>
  <c r="M3066" i="12"/>
  <c r="I3046" i="12"/>
  <c r="J3046" i="12"/>
  <c r="K3046" i="12"/>
  <c r="L3046" i="12"/>
  <c r="M3046" i="12"/>
  <c r="J3126" i="12"/>
  <c r="J3122" i="12"/>
  <c r="L3119" i="12"/>
  <c r="J3118" i="12"/>
  <c r="L3115" i="12"/>
  <c r="J3114" i="12"/>
  <c r="L3111" i="12"/>
  <c r="J3110" i="12"/>
  <c r="L3107" i="12"/>
  <c r="J3106" i="12"/>
  <c r="L3103" i="12"/>
  <c r="J3102" i="12"/>
  <c r="L3099" i="12"/>
  <c r="J3098" i="12"/>
  <c r="L3095" i="12"/>
  <c r="J3094" i="12"/>
  <c r="L3091" i="12"/>
  <c r="J3090" i="12"/>
  <c r="E3088" i="12"/>
  <c r="D3086" i="12"/>
  <c r="K3078" i="12"/>
  <c r="M3078" i="12"/>
  <c r="L3077" i="12"/>
  <c r="I3073" i="12"/>
  <c r="K3073" i="12"/>
  <c r="L3073" i="12"/>
  <c r="L3070" i="12"/>
  <c r="I3042" i="12"/>
  <c r="J3042" i="12"/>
  <c r="K3042" i="12"/>
  <c r="L3042" i="12"/>
  <c r="M3042" i="12"/>
  <c r="I3085" i="12"/>
  <c r="K3085" i="12"/>
  <c r="J3077" i="12"/>
  <c r="I3070" i="12"/>
  <c r="I3062" i="12"/>
  <c r="J3062" i="12"/>
  <c r="K3062" i="12"/>
  <c r="L3062" i="12"/>
  <c r="M3062" i="12"/>
  <c r="I3038" i="12"/>
  <c r="J3038" i="12"/>
  <c r="K3038" i="12"/>
  <c r="L3038" i="12"/>
  <c r="M3038" i="12"/>
  <c r="L3065" i="12"/>
  <c r="L3061" i="12"/>
  <c r="L3057" i="12"/>
  <c r="L3053" i="12"/>
  <c r="L3049" i="12"/>
  <c r="L3045" i="12"/>
  <c r="L3041" i="12"/>
  <c r="L3037" i="12"/>
  <c r="L3033" i="12"/>
  <c r="L3029" i="12"/>
  <c r="L3025" i="12"/>
  <c r="L3021" i="12"/>
  <c r="L3017" i="12"/>
  <c r="L3013" i="12"/>
  <c r="L3009" i="12"/>
  <c r="J3008" i="12"/>
  <c r="L3005" i="12"/>
  <c r="J3004" i="12"/>
  <c r="K3065" i="12"/>
  <c r="K3061" i="12"/>
  <c r="K3057" i="12"/>
  <c r="K3053" i="12"/>
  <c r="K3049" i="12"/>
  <c r="K3045" i="12"/>
  <c r="K3041" i="12"/>
  <c r="K3037" i="12"/>
  <c r="K3033" i="12"/>
  <c r="K3029" i="12"/>
  <c r="K3025" i="12"/>
  <c r="K3021" i="12"/>
  <c r="K3017" i="12"/>
  <c r="K3013" i="12"/>
  <c r="K3009" i="12"/>
  <c r="K3005" i="12"/>
  <c r="I3004" i="12"/>
  <c r="J3065" i="12"/>
  <c r="J3061" i="12"/>
  <c r="J3057" i="12"/>
  <c r="J3053" i="12"/>
  <c r="J3049" i="12"/>
  <c r="J3045" i="12"/>
  <c r="J3041" i="12"/>
  <c r="J3037" i="12"/>
  <c r="J3033" i="12"/>
  <c r="J3029" i="12"/>
  <c r="J3025" i="12"/>
  <c r="J3021" i="12"/>
  <c r="J3017" i="12"/>
  <c r="J3013" i="12"/>
  <c r="J3009" i="12"/>
  <c r="J3005" i="12"/>
  <c r="E3067" i="12"/>
  <c r="E3063" i="12"/>
  <c r="E3059" i="12"/>
  <c r="E3055" i="12"/>
  <c r="M3051" i="12"/>
  <c r="E3051" i="12"/>
  <c r="M3047" i="12"/>
  <c r="E3047" i="12"/>
  <c r="M3043" i="12"/>
  <c r="E3043" i="12"/>
  <c r="M3039" i="12"/>
  <c r="E3039" i="12"/>
  <c r="M3035" i="12"/>
  <c r="E3035" i="12"/>
  <c r="M3031" i="12"/>
  <c r="E3031" i="12"/>
  <c r="M3027" i="12"/>
  <c r="E3027" i="12"/>
  <c r="M3023" i="12"/>
  <c r="E3023" i="12"/>
  <c r="M3019" i="12"/>
  <c r="E3019" i="12"/>
  <c r="M3015" i="12"/>
  <c r="E3015" i="12"/>
  <c r="M3011" i="12"/>
  <c r="E3011" i="12"/>
  <c r="M3007" i="12"/>
  <c r="E3007" i="12"/>
  <c r="L3011" i="12"/>
  <c r="L3007" i="12"/>
  <c r="P6" i="13"/>
  <c r="Q14" i="12"/>
  <c r="Q15" i="12"/>
  <c r="Q16" i="12"/>
  <c r="Q17" i="12"/>
  <c r="Q18" i="12"/>
  <c r="Q19" i="12"/>
  <c r="Q20" i="12"/>
  <c r="Q21" i="12"/>
  <c r="Q22" i="12"/>
  <c r="Q23" i="12"/>
  <c r="Q24" i="12"/>
  <c r="Q25" i="12"/>
  <c r="Q26" i="12"/>
  <c r="Q27" i="12"/>
  <c r="Q28" i="12"/>
  <c r="Q29" i="12"/>
  <c r="Q30" i="12"/>
  <c r="Q31" i="12"/>
  <c r="Q32" i="12"/>
  <c r="Q33" i="12"/>
  <c r="Q34" i="12"/>
  <c r="Q35" i="12"/>
  <c r="Q36" i="12"/>
  <c r="Q37" i="12"/>
  <c r="Q38" i="12"/>
  <c r="Q39" i="12"/>
  <c r="Q40" i="12"/>
  <c r="Q41" i="12"/>
  <c r="Q42" i="12"/>
  <c r="Q43" i="12"/>
  <c r="Q44" i="12"/>
  <c r="Q45" i="12"/>
  <c r="Q46" i="12"/>
  <c r="Q47" i="12"/>
  <c r="Q48" i="12"/>
  <c r="Q49" i="12"/>
  <c r="Q50" i="12"/>
  <c r="Q51" i="12"/>
  <c r="Q52" i="12"/>
  <c r="Q53" i="12"/>
  <c r="Q54" i="12"/>
  <c r="Q55" i="12"/>
  <c r="Q56" i="12"/>
  <c r="Q57" i="12"/>
  <c r="Q58" i="12"/>
  <c r="Q59" i="12"/>
  <c r="Q60" i="12"/>
  <c r="Q61" i="12"/>
  <c r="Q62" i="12"/>
  <c r="Q63" i="12"/>
  <c r="Q64" i="12"/>
  <c r="Q65" i="12"/>
  <c r="Q66" i="12"/>
  <c r="Q67" i="12"/>
  <c r="Q68" i="12"/>
  <c r="Q69" i="12"/>
  <c r="Q70" i="12"/>
  <c r="Q71" i="12"/>
  <c r="Q72" i="12"/>
  <c r="Q73" i="12"/>
  <c r="Q74" i="12"/>
  <c r="Q75" i="12"/>
  <c r="Q76" i="12"/>
  <c r="Q77" i="12"/>
  <c r="Q78" i="12"/>
  <c r="Q79" i="12"/>
  <c r="Q80" i="12"/>
  <c r="Q81" i="12"/>
  <c r="Q82" i="12"/>
  <c r="Q83" i="12"/>
  <c r="Q84" i="12"/>
  <c r="Q85" i="12"/>
  <c r="Q86" i="12"/>
  <c r="Q87" i="12"/>
  <c r="Q88" i="12"/>
  <c r="Q89" i="12"/>
  <c r="Q90" i="12"/>
  <c r="Q91" i="12"/>
  <c r="Q92" i="12"/>
  <c r="Q93" i="12"/>
  <c r="Q94" i="12"/>
  <c r="Q95" i="12"/>
  <c r="Q96" i="12"/>
  <c r="Q97" i="12"/>
  <c r="Q98" i="12"/>
  <c r="Q99" i="12"/>
  <c r="Q100" i="12"/>
  <c r="Q101" i="12"/>
  <c r="Q102" i="12"/>
  <c r="Q103" i="12"/>
  <c r="Q104" i="12"/>
  <c r="Q105" i="12"/>
  <c r="Q106" i="12"/>
  <c r="Q107" i="12"/>
  <c r="Q108" i="12"/>
  <c r="Q109" i="12"/>
  <c r="Q110" i="12"/>
  <c r="Q111" i="12"/>
  <c r="Q112" i="12"/>
  <c r="Q113" i="12"/>
  <c r="Q114" i="12"/>
  <c r="Q115" i="12"/>
  <c r="Q116" i="12"/>
  <c r="Q117" i="12"/>
  <c r="Q118" i="12"/>
  <c r="Q119" i="12"/>
  <c r="Q120" i="12"/>
  <c r="Q121" i="12"/>
  <c r="Q122" i="12"/>
  <c r="Q123" i="12"/>
  <c r="Q124" i="12"/>
  <c r="Q125" i="12"/>
  <c r="Q126" i="12"/>
  <c r="Q127" i="12"/>
  <c r="Q128" i="12"/>
  <c r="Q129" i="12"/>
  <c r="Q130" i="12"/>
  <c r="Q131" i="12"/>
  <c r="Q132" i="12"/>
  <c r="Q133" i="12"/>
  <c r="Q134" i="12"/>
  <c r="Q135" i="12"/>
  <c r="Q136" i="12"/>
  <c r="Q137" i="12"/>
  <c r="Q138" i="12"/>
  <c r="Q139" i="12"/>
  <c r="Q140" i="12"/>
  <c r="Q141" i="12"/>
  <c r="Q142" i="12"/>
  <c r="Q143" i="12"/>
  <c r="Q144" i="12"/>
  <c r="Q145" i="12"/>
  <c r="Q146" i="12"/>
  <c r="Q147" i="12"/>
  <c r="Q148" i="12"/>
  <c r="Q149" i="12"/>
  <c r="Q150" i="12"/>
  <c r="Q151" i="12"/>
  <c r="Q152" i="12"/>
  <c r="Q153" i="12"/>
  <c r="Q154" i="12"/>
  <c r="Q155" i="12"/>
  <c r="Q156" i="12"/>
  <c r="Q157" i="12"/>
  <c r="Q158" i="12"/>
  <c r="Q159" i="12"/>
  <c r="Q160" i="12"/>
  <c r="Q161" i="12"/>
  <c r="Q162" i="12"/>
  <c r="Q163" i="12"/>
  <c r="Q164" i="12"/>
  <c r="Q165" i="12"/>
  <c r="Q166" i="12"/>
  <c r="Q167" i="12"/>
  <c r="Q168" i="12"/>
  <c r="Q169" i="12"/>
  <c r="Q170" i="12"/>
  <c r="Q171" i="12"/>
  <c r="Q172" i="12"/>
  <c r="Q173" i="12"/>
  <c r="Q174" i="12"/>
  <c r="Q175" i="12"/>
  <c r="Q176" i="12"/>
  <c r="Q177" i="12"/>
  <c r="Q178" i="12"/>
  <c r="Q179" i="12"/>
  <c r="Q180" i="12"/>
  <c r="Q181" i="12"/>
  <c r="Q182" i="12"/>
  <c r="Q183" i="12"/>
  <c r="Q184" i="12"/>
  <c r="Q185" i="12"/>
  <c r="Q186" i="12"/>
  <c r="Q187" i="12"/>
  <c r="Q188" i="12"/>
  <c r="Q189" i="12"/>
  <c r="Q190" i="12"/>
  <c r="Q191" i="12"/>
  <c r="Q192" i="12"/>
  <c r="Q193" i="12"/>
  <c r="Q194" i="12"/>
  <c r="Q195" i="12"/>
  <c r="Q196" i="12"/>
  <c r="Q197" i="12"/>
  <c r="Q198" i="12"/>
  <c r="Q199" i="12"/>
  <c r="Q200" i="12"/>
  <c r="Q201" i="12"/>
  <c r="Q202" i="12"/>
  <c r="Q203" i="12"/>
  <c r="Q204" i="12"/>
  <c r="Q205" i="12"/>
  <c r="Q206" i="12"/>
  <c r="Q207" i="12"/>
  <c r="Q208" i="12"/>
  <c r="Q209" i="12"/>
  <c r="Q210" i="12"/>
  <c r="Q211" i="12"/>
  <c r="Q212" i="12"/>
  <c r="Q213" i="12"/>
  <c r="Q214" i="12"/>
  <c r="Q215" i="12"/>
  <c r="Q216" i="12"/>
  <c r="Q217" i="12"/>
  <c r="Q218" i="12"/>
  <c r="Q219" i="12"/>
  <c r="Q220" i="12"/>
  <c r="Q221" i="12"/>
  <c r="Q222" i="12"/>
  <c r="Q223" i="12"/>
  <c r="Q224" i="12"/>
  <c r="Q225" i="12"/>
  <c r="Q226" i="12"/>
  <c r="Q227" i="12"/>
  <c r="Q228" i="12"/>
  <c r="Q229" i="12"/>
  <c r="Q230" i="12"/>
  <c r="Q231" i="12"/>
  <c r="Q232" i="12"/>
  <c r="Q233" i="12"/>
  <c r="Q234" i="12"/>
  <c r="Q235" i="12"/>
  <c r="Q236" i="12"/>
  <c r="Q237" i="12"/>
  <c r="Q238" i="12"/>
  <c r="Q239" i="12"/>
  <c r="Q240" i="12"/>
  <c r="Q241" i="12"/>
  <c r="Q242" i="12"/>
  <c r="Q243" i="12"/>
  <c r="Q244" i="12"/>
  <c r="Q245" i="12"/>
  <c r="Q246" i="12"/>
  <c r="Q247" i="12"/>
  <c r="Q248" i="12"/>
  <c r="Q249" i="12"/>
  <c r="Q250" i="12"/>
  <c r="Q251" i="12"/>
  <c r="Q252" i="12"/>
  <c r="Q253" i="12"/>
  <c r="Q254" i="12"/>
  <c r="Q255" i="12"/>
  <c r="Q256" i="12"/>
  <c r="Q257" i="12"/>
  <c r="Q258" i="12"/>
  <c r="Q259" i="12"/>
  <c r="Q260" i="12"/>
  <c r="Q261" i="12"/>
  <c r="Q262" i="12"/>
  <c r="Q263" i="12"/>
  <c r="Q264" i="12"/>
  <c r="Q265" i="12"/>
  <c r="Q266" i="12"/>
  <c r="Q267" i="12"/>
  <c r="Q268" i="12"/>
  <c r="Q269" i="12"/>
  <c r="Q270" i="12"/>
  <c r="Q271" i="12"/>
  <c r="Q272" i="12"/>
  <c r="Q273" i="12"/>
  <c r="Q274" i="12"/>
  <c r="Q275" i="12"/>
  <c r="Q276" i="12"/>
  <c r="Q277" i="12"/>
  <c r="Q278" i="12"/>
  <c r="Q279" i="12"/>
  <c r="Q280" i="12"/>
  <c r="Q281" i="12"/>
  <c r="Q282" i="12"/>
  <c r="Q283" i="12"/>
  <c r="Q284" i="12"/>
  <c r="Q285" i="12"/>
  <c r="Q286" i="12"/>
  <c r="Q287" i="12"/>
  <c r="Q288" i="12"/>
  <c r="Q289" i="12"/>
  <c r="Q290" i="12"/>
  <c r="Q291" i="12"/>
  <c r="Q292" i="12"/>
  <c r="Q293" i="12"/>
  <c r="Q294" i="12"/>
  <c r="Q295" i="12"/>
  <c r="Q296" i="12"/>
  <c r="Q297" i="12"/>
  <c r="Q298" i="12"/>
  <c r="Q299" i="12"/>
  <c r="Q300" i="12"/>
  <c r="Q301" i="12"/>
  <c r="Q302" i="12"/>
  <c r="Q303" i="12"/>
  <c r="Q304" i="12"/>
  <c r="Q305" i="12"/>
  <c r="Q306" i="12"/>
  <c r="Q307" i="12"/>
  <c r="Q308" i="12"/>
  <c r="Q309" i="12"/>
  <c r="Q310" i="12"/>
  <c r="Q311" i="12"/>
  <c r="Q312" i="12"/>
  <c r="Q313" i="12"/>
  <c r="Q314" i="12"/>
  <c r="Q315" i="12"/>
  <c r="Q316" i="12"/>
  <c r="Q317" i="12"/>
  <c r="Q318" i="12"/>
  <c r="Q319" i="12"/>
  <c r="Q320" i="12"/>
  <c r="Q321" i="12"/>
  <c r="Q322" i="12"/>
  <c r="Q323" i="12"/>
  <c r="Q324" i="12"/>
  <c r="Q325" i="12"/>
  <c r="Q326" i="12"/>
  <c r="Q327" i="12"/>
  <c r="Q328" i="12"/>
  <c r="Q329" i="12"/>
  <c r="Q330" i="12"/>
  <c r="Q331" i="12"/>
  <c r="Q332" i="12"/>
  <c r="Q333" i="12"/>
  <c r="Q334" i="12"/>
  <c r="Q335" i="12"/>
  <c r="Q336" i="12"/>
  <c r="Q337" i="12"/>
  <c r="Q338" i="12"/>
  <c r="Q339" i="12"/>
  <c r="Q340" i="12"/>
  <c r="Q341" i="12"/>
  <c r="Q342" i="12"/>
  <c r="Q343" i="12"/>
  <c r="Q344" i="12"/>
  <c r="Q345" i="12"/>
  <c r="Q346" i="12"/>
  <c r="Q347" i="12"/>
  <c r="Q348" i="12"/>
  <c r="Q349" i="12"/>
  <c r="Q350" i="12"/>
  <c r="Q351" i="12"/>
  <c r="Q352" i="12"/>
  <c r="Q353" i="12"/>
  <c r="Q354" i="12"/>
  <c r="Q355" i="12"/>
  <c r="Q356" i="12"/>
  <c r="Q357" i="12"/>
  <c r="Q358" i="12"/>
  <c r="Q359" i="12"/>
  <c r="Q360" i="12"/>
  <c r="Q361" i="12"/>
  <c r="Q362" i="12"/>
  <c r="Q363" i="12"/>
  <c r="Q364" i="12"/>
  <c r="Q365" i="12"/>
  <c r="Q366" i="12"/>
  <c r="Q367" i="12"/>
  <c r="Q368" i="12"/>
  <c r="Q369" i="12"/>
  <c r="Q370" i="12"/>
  <c r="Q371" i="12"/>
  <c r="Q372" i="12"/>
  <c r="Q373" i="12"/>
  <c r="Q374" i="12"/>
  <c r="Q375" i="12"/>
  <c r="Q376" i="12"/>
  <c r="Q377" i="12"/>
  <c r="Q378" i="12"/>
  <c r="Q379" i="12"/>
  <c r="Q380" i="12"/>
  <c r="Q381" i="12"/>
  <c r="Q382" i="12"/>
  <c r="Q383" i="12"/>
  <c r="Q384" i="12"/>
  <c r="Q385" i="12"/>
  <c r="Q386" i="12"/>
  <c r="Q387" i="12"/>
  <c r="Q388" i="12"/>
  <c r="Q389" i="12"/>
  <c r="Q390" i="12"/>
  <c r="Q391" i="12"/>
  <c r="Q392" i="12"/>
  <c r="Q393" i="12"/>
  <c r="Q394" i="12"/>
  <c r="Q395" i="12"/>
  <c r="Q396" i="12"/>
  <c r="Q397" i="12"/>
  <c r="Q398" i="12"/>
  <c r="Q399" i="12"/>
  <c r="Q400" i="12"/>
  <c r="Q401" i="12"/>
  <c r="Q402" i="12"/>
  <c r="Q403" i="12"/>
  <c r="Q404" i="12"/>
  <c r="Q405" i="12"/>
  <c r="Q406" i="12"/>
  <c r="Q407" i="12"/>
  <c r="Q408" i="12"/>
  <c r="Q409" i="12"/>
  <c r="Q410" i="12"/>
  <c r="Q411" i="12"/>
  <c r="Q412" i="12"/>
  <c r="Q413" i="12"/>
  <c r="Q414" i="12"/>
  <c r="Q415" i="12"/>
  <c r="Q416" i="12"/>
  <c r="Q417" i="12"/>
  <c r="Q418" i="12"/>
  <c r="Q419" i="12"/>
  <c r="Q420" i="12"/>
  <c r="Q421" i="12"/>
  <c r="Q422" i="12"/>
  <c r="Q423" i="12"/>
  <c r="Q424" i="12"/>
  <c r="Q425" i="12"/>
  <c r="Q426" i="12"/>
  <c r="Q427" i="12"/>
  <c r="Q428" i="12"/>
  <c r="Q429" i="12"/>
  <c r="Q430" i="12"/>
  <c r="Q431" i="12"/>
  <c r="Q432" i="12"/>
  <c r="Q433" i="12"/>
  <c r="Q434" i="12"/>
  <c r="Q435" i="12"/>
  <c r="Q436" i="12"/>
  <c r="Q437" i="12"/>
  <c r="Q438" i="12"/>
  <c r="Q439" i="12"/>
  <c r="Q440" i="12"/>
  <c r="Q441" i="12"/>
  <c r="Q442" i="12"/>
  <c r="Q443" i="12"/>
  <c r="Q444" i="12"/>
  <c r="Q445" i="12"/>
  <c r="Q446" i="12"/>
  <c r="Q447" i="12"/>
  <c r="Q448" i="12"/>
  <c r="Q449" i="12"/>
  <c r="Q450" i="12"/>
  <c r="Q451" i="12"/>
  <c r="Q452" i="12"/>
  <c r="Q453" i="12"/>
  <c r="Q454" i="12"/>
  <c r="Q455" i="12"/>
  <c r="Q456" i="12"/>
  <c r="Q457" i="12"/>
  <c r="Q458" i="12"/>
  <c r="Q459" i="12"/>
  <c r="Q460" i="12"/>
  <c r="Q461" i="12"/>
  <c r="Q462" i="12"/>
  <c r="Q463" i="12"/>
  <c r="Q464" i="12"/>
  <c r="Q465" i="12"/>
  <c r="Q466" i="12"/>
  <c r="Q467" i="12"/>
  <c r="Q468" i="12"/>
  <c r="Q469" i="12"/>
  <c r="Q470" i="12"/>
  <c r="Q471" i="12"/>
  <c r="Q472" i="12"/>
  <c r="Q473" i="12"/>
  <c r="Q474" i="12"/>
  <c r="Q475" i="12"/>
  <c r="Q476" i="12"/>
  <c r="Q477" i="12"/>
  <c r="Q478" i="12"/>
  <c r="Q479" i="12"/>
  <c r="Q480" i="12"/>
  <c r="Q481" i="12"/>
  <c r="Q482" i="12"/>
  <c r="Q483" i="12"/>
  <c r="Q484" i="12"/>
  <c r="Q485" i="12"/>
  <c r="Q486" i="12"/>
  <c r="Q487" i="12"/>
  <c r="Q488" i="12"/>
  <c r="Q489" i="12"/>
  <c r="Q490" i="12"/>
  <c r="Q491" i="12"/>
  <c r="Q492" i="12"/>
  <c r="Q493" i="12"/>
  <c r="Q494" i="12"/>
  <c r="Q495" i="12"/>
  <c r="Q496" i="12"/>
  <c r="Q497" i="12"/>
  <c r="Q498" i="12"/>
  <c r="Q499" i="12"/>
  <c r="Q500" i="12"/>
  <c r="Q501" i="12"/>
  <c r="Q502" i="12"/>
  <c r="Q503" i="12"/>
  <c r="Q504" i="12"/>
  <c r="Q505" i="12"/>
  <c r="Q506" i="12"/>
  <c r="Q507" i="12"/>
  <c r="Q508" i="12"/>
  <c r="Q509" i="12"/>
  <c r="Q510" i="12"/>
  <c r="Q511" i="12"/>
  <c r="Q512" i="12"/>
  <c r="Q513" i="12"/>
  <c r="Q514" i="12"/>
  <c r="Q515" i="12"/>
  <c r="Q516" i="12"/>
  <c r="Q517" i="12"/>
  <c r="Q518" i="12"/>
  <c r="Q519" i="12"/>
  <c r="Q520" i="12"/>
  <c r="Q521" i="12"/>
  <c r="Q522" i="12"/>
  <c r="Q523" i="12"/>
  <c r="Q524" i="12"/>
  <c r="Q525" i="12"/>
  <c r="Q526" i="12"/>
  <c r="Q527" i="12"/>
  <c r="Q528" i="12"/>
  <c r="Q529" i="12"/>
  <c r="Q530" i="12"/>
  <c r="Q531" i="12"/>
  <c r="Q532" i="12"/>
  <c r="Q533" i="12"/>
  <c r="Q534" i="12"/>
  <c r="Q535" i="12"/>
  <c r="Q536" i="12"/>
  <c r="Q537" i="12"/>
  <c r="Q538" i="12"/>
  <c r="Q539" i="12"/>
  <c r="Q540" i="12"/>
  <c r="Q541" i="12"/>
  <c r="Q542" i="12"/>
  <c r="Q543" i="12"/>
  <c r="Q544" i="12"/>
  <c r="Q545" i="12"/>
  <c r="Q546" i="12"/>
  <c r="Q547" i="12"/>
  <c r="Q548" i="12"/>
  <c r="Q549" i="12"/>
  <c r="Q550" i="12"/>
  <c r="Q551" i="12"/>
  <c r="Q552" i="12"/>
  <c r="Q553" i="12"/>
  <c r="Q554" i="12"/>
  <c r="Q555" i="12"/>
  <c r="Q556" i="12"/>
  <c r="Q557" i="12"/>
  <c r="Q558" i="12"/>
  <c r="Q559" i="12"/>
  <c r="Q560" i="12"/>
  <c r="Q561" i="12"/>
  <c r="Q562" i="12"/>
  <c r="Q563" i="12"/>
  <c r="Q564" i="12"/>
  <c r="Q565" i="12"/>
  <c r="Q566" i="12"/>
  <c r="Q567" i="12"/>
  <c r="Q568" i="12"/>
  <c r="Q569" i="12"/>
  <c r="Q570" i="12"/>
  <c r="Q571" i="12"/>
  <c r="Q572" i="12"/>
  <c r="Q573" i="12"/>
  <c r="Q574" i="12"/>
  <c r="Q575" i="12"/>
  <c r="Q576" i="12"/>
  <c r="Q577" i="12"/>
  <c r="Q578" i="12"/>
  <c r="Q579" i="12"/>
  <c r="Q580" i="12"/>
  <c r="Q581" i="12"/>
  <c r="Q582" i="12"/>
  <c r="Q583" i="12"/>
  <c r="Q584" i="12"/>
  <c r="Q585" i="12"/>
  <c r="Q586" i="12"/>
  <c r="Q587" i="12"/>
  <c r="Q588" i="12"/>
  <c r="Q589" i="12"/>
  <c r="Q590" i="12"/>
  <c r="Q591" i="12"/>
  <c r="Q592" i="12"/>
  <c r="Q593" i="12"/>
  <c r="Q594" i="12"/>
  <c r="Q595" i="12"/>
  <c r="Q596" i="12"/>
  <c r="Q597" i="12"/>
  <c r="Q598" i="12"/>
  <c r="Q599" i="12"/>
  <c r="Q600" i="12"/>
  <c r="Q601" i="12"/>
  <c r="Q602" i="12"/>
  <c r="Q603" i="12"/>
  <c r="Q604" i="12"/>
  <c r="Q605" i="12"/>
  <c r="Q606" i="12"/>
  <c r="Q607" i="12"/>
  <c r="Q608" i="12"/>
  <c r="Q609" i="12"/>
  <c r="Q610" i="12"/>
  <c r="Q611" i="12"/>
  <c r="Q612" i="12"/>
  <c r="Q613" i="12"/>
  <c r="Q614" i="12"/>
  <c r="Q615" i="12"/>
  <c r="Q616" i="12"/>
  <c r="Q617" i="12"/>
  <c r="Q618" i="12"/>
  <c r="Q619" i="12"/>
  <c r="Q620" i="12"/>
  <c r="Q621" i="12"/>
  <c r="Q622" i="12"/>
  <c r="Q623" i="12"/>
  <c r="Q624" i="12"/>
  <c r="Q625" i="12"/>
  <c r="Q626" i="12"/>
  <c r="Q627" i="12"/>
  <c r="Q628" i="12"/>
  <c r="Q629" i="12"/>
  <c r="Q630" i="12"/>
  <c r="Q631" i="12"/>
  <c r="Q632" i="12"/>
  <c r="Q633" i="12"/>
  <c r="Q634" i="12"/>
  <c r="Q635" i="12"/>
  <c r="Q636" i="12"/>
  <c r="Q637" i="12"/>
  <c r="Q638" i="12"/>
  <c r="Q639" i="12"/>
  <c r="Q640" i="12"/>
  <c r="Q641" i="12"/>
  <c r="Q642" i="12"/>
  <c r="Q643" i="12"/>
  <c r="Q644" i="12"/>
  <c r="Q645" i="12"/>
  <c r="Q646" i="12"/>
  <c r="Q647" i="12"/>
  <c r="Q648" i="12"/>
  <c r="Q649" i="12"/>
  <c r="Q650" i="12"/>
  <c r="Q651" i="12"/>
  <c r="Q652" i="12"/>
  <c r="Q653" i="12"/>
  <c r="Q654" i="12"/>
  <c r="Q655" i="12"/>
  <c r="Q656" i="12"/>
  <c r="Q657" i="12"/>
  <c r="Q658" i="12"/>
  <c r="Q659" i="12"/>
  <c r="Q660" i="12"/>
  <c r="Q661" i="12"/>
  <c r="Q662" i="12"/>
  <c r="Q663" i="12"/>
  <c r="Q664" i="12"/>
  <c r="Q665" i="12"/>
  <c r="Q666" i="12"/>
  <c r="Q667" i="12"/>
  <c r="Q668" i="12"/>
  <c r="Q669" i="12"/>
  <c r="Q670" i="12"/>
  <c r="Q671" i="12"/>
  <c r="Q672" i="12"/>
  <c r="Q673" i="12"/>
  <c r="Q674" i="12"/>
  <c r="Q675" i="12"/>
  <c r="Q676" i="12"/>
  <c r="Q677" i="12"/>
  <c r="Q678" i="12"/>
  <c r="Q679" i="12"/>
  <c r="Q680" i="12"/>
  <c r="Q681" i="12"/>
  <c r="Q682" i="12"/>
  <c r="Q683" i="12"/>
  <c r="Q684" i="12"/>
  <c r="Q685" i="12"/>
  <c r="Q686" i="12"/>
  <c r="Q687" i="12"/>
  <c r="Q688" i="12"/>
  <c r="Q689" i="12"/>
  <c r="Q690" i="12"/>
  <c r="Q691" i="12"/>
  <c r="Q692" i="12"/>
  <c r="Q693" i="12"/>
  <c r="Q694" i="12"/>
  <c r="Q695" i="12"/>
  <c r="Q696" i="12"/>
  <c r="Q697" i="12"/>
  <c r="Q698" i="12"/>
  <c r="Q699" i="12"/>
  <c r="Q700" i="12"/>
  <c r="Q701" i="12"/>
  <c r="Q702" i="12"/>
  <c r="Q703" i="12"/>
  <c r="Q704" i="12"/>
  <c r="Q705" i="12"/>
  <c r="Q706" i="12"/>
  <c r="Q707" i="12"/>
  <c r="Q708" i="12"/>
  <c r="Q709" i="12"/>
  <c r="Q710" i="12"/>
  <c r="Q711" i="12"/>
  <c r="Q712" i="12"/>
  <c r="Q713" i="12"/>
  <c r="Q714" i="12"/>
  <c r="Q715" i="12"/>
  <c r="Q716" i="12"/>
  <c r="Q717" i="12"/>
  <c r="Q718" i="12"/>
  <c r="Q719" i="12"/>
  <c r="Q720" i="12"/>
  <c r="Q721" i="12"/>
  <c r="Q722" i="12"/>
  <c r="Q723" i="12"/>
  <c r="Q724" i="12"/>
  <c r="Q725" i="12"/>
  <c r="Q726" i="12"/>
  <c r="Q727" i="12"/>
  <c r="Q728" i="12"/>
  <c r="Q729" i="12"/>
  <c r="Q730" i="12"/>
  <c r="Q731" i="12"/>
  <c r="Q732" i="12"/>
  <c r="Q733" i="12"/>
  <c r="Q734" i="12"/>
  <c r="Q735" i="12"/>
  <c r="Q736" i="12"/>
  <c r="Q737" i="12"/>
  <c r="Q738" i="12"/>
  <c r="Q739" i="12"/>
  <c r="Q740" i="12"/>
  <c r="Q741" i="12"/>
  <c r="Q742" i="12"/>
  <c r="Q743" i="12"/>
  <c r="Q744" i="12"/>
  <c r="Q745" i="12"/>
  <c r="Q746" i="12"/>
  <c r="Q747" i="12"/>
  <c r="Q748" i="12"/>
  <c r="Q749" i="12"/>
  <c r="Q750" i="12"/>
  <c r="Q751" i="12"/>
  <c r="Q752" i="12"/>
  <c r="Q753" i="12"/>
  <c r="Q754" i="12"/>
  <c r="Q755" i="12"/>
  <c r="Q756" i="12"/>
  <c r="Q757" i="12"/>
  <c r="Q758" i="12"/>
  <c r="Q759" i="12"/>
  <c r="Q760" i="12"/>
  <c r="Q761" i="12"/>
  <c r="Q762" i="12"/>
  <c r="Q763" i="12"/>
  <c r="Q764" i="12"/>
  <c r="Q765" i="12"/>
  <c r="Q766" i="12"/>
  <c r="Q767" i="12"/>
  <c r="Q768" i="12"/>
  <c r="Q769" i="12"/>
  <c r="Q770" i="12"/>
  <c r="Q771" i="12"/>
  <c r="Q772" i="12"/>
  <c r="Q773" i="12"/>
  <c r="Q774" i="12"/>
  <c r="Q775" i="12"/>
  <c r="Q776" i="12"/>
  <c r="Q777" i="12"/>
  <c r="Q778" i="12"/>
  <c r="Q779" i="12"/>
  <c r="Q780" i="12"/>
  <c r="Q781" i="12"/>
  <c r="Q782" i="12"/>
  <c r="Q783" i="12"/>
  <c r="Q784" i="12"/>
  <c r="Q785" i="12"/>
  <c r="Q786" i="12"/>
  <c r="Q787" i="12"/>
  <c r="Q788" i="12"/>
  <c r="Q789" i="12"/>
  <c r="Q790" i="12"/>
  <c r="Q791" i="12"/>
  <c r="Q792" i="12"/>
  <c r="Q793" i="12"/>
  <c r="Q794" i="12"/>
  <c r="Q795" i="12"/>
  <c r="Q796" i="12"/>
  <c r="Q797" i="12"/>
  <c r="Q798" i="12"/>
  <c r="Q799" i="12"/>
  <c r="Q800" i="12"/>
  <c r="Q801" i="12"/>
  <c r="Q802" i="12"/>
  <c r="Q803" i="12"/>
  <c r="Q804" i="12"/>
  <c r="Q805" i="12"/>
  <c r="Q806" i="12"/>
  <c r="Q807" i="12"/>
  <c r="Q808" i="12"/>
  <c r="Q809" i="12"/>
  <c r="Q810" i="12"/>
  <c r="Q811" i="12"/>
  <c r="Q812" i="12"/>
  <c r="Q813" i="12"/>
  <c r="Q814" i="12"/>
  <c r="Q815" i="12"/>
  <c r="Q816" i="12"/>
  <c r="Q817" i="12"/>
  <c r="Q818" i="12"/>
  <c r="Q819" i="12"/>
  <c r="Q820" i="12"/>
  <c r="Q821" i="12"/>
  <c r="Q822" i="12"/>
  <c r="Q823" i="12"/>
  <c r="Q824" i="12"/>
  <c r="Q825" i="12"/>
  <c r="Q826" i="12"/>
  <c r="Q827" i="12"/>
  <c r="Q828" i="12"/>
  <c r="Q829" i="12"/>
  <c r="Q830" i="12"/>
  <c r="Q831" i="12"/>
  <c r="Q832" i="12"/>
  <c r="Q833" i="12"/>
  <c r="Q834" i="12"/>
  <c r="Q835" i="12"/>
  <c r="Q836" i="12"/>
  <c r="Q837" i="12"/>
  <c r="Q838" i="12"/>
  <c r="Q839" i="12"/>
  <c r="Q840" i="12"/>
  <c r="Q841" i="12"/>
  <c r="Q842" i="12"/>
  <c r="Q843" i="12"/>
  <c r="Q844" i="12"/>
  <c r="Q845" i="12"/>
  <c r="Q846" i="12"/>
  <c r="Q847" i="12"/>
  <c r="Q848" i="12"/>
  <c r="Q849" i="12"/>
  <c r="Q850" i="12"/>
  <c r="Q851" i="12"/>
  <c r="Q852" i="12"/>
  <c r="Q853" i="12"/>
  <c r="Q854" i="12"/>
  <c r="Q855" i="12"/>
  <c r="Q856" i="12"/>
  <c r="Q857" i="12"/>
  <c r="Q858" i="12"/>
  <c r="Q859" i="12"/>
  <c r="Q860" i="12"/>
  <c r="Q861" i="12"/>
  <c r="Q862" i="12"/>
  <c r="Q863" i="12"/>
  <c r="Q864" i="12"/>
  <c r="Q865" i="12"/>
  <c r="Q866" i="12"/>
  <c r="Q867" i="12"/>
  <c r="Q868" i="12"/>
  <c r="Q869" i="12"/>
  <c r="Q870" i="12"/>
  <c r="Q871" i="12"/>
  <c r="Q872" i="12"/>
  <c r="Q873" i="12"/>
  <c r="Q874" i="12"/>
  <c r="Q875" i="12"/>
  <c r="Q876" i="12"/>
  <c r="Q877" i="12"/>
  <c r="Q878" i="12"/>
  <c r="Q879" i="12"/>
  <c r="Q880" i="12"/>
  <c r="Q881" i="12"/>
  <c r="Q882" i="12"/>
  <c r="Q883" i="12"/>
  <c r="Q884" i="12"/>
  <c r="Q885" i="12"/>
  <c r="Q886" i="12"/>
  <c r="Q887" i="12"/>
  <c r="Q888" i="12"/>
  <c r="Q889" i="12"/>
  <c r="Q890" i="12"/>
  <c r="Q891" i="12"/>
  <c r="Q892" i="12"/>
  <c r="Q893" i="12"/>
  <c r="Q894" i="12"/>
  <c r="Q895" i="12"/>
  <c r="Q896" i="12"/>
  <c r="Q897" i="12"/>
  <c r="Q898" i="12"/>
  <c r="Q899" i="12"/>
  <c r="Q900" i="12"/>
  <c r="Q901" i="12"/>
  <c r="Q902" i="12"/>
  <c r="Q903" i="12"/>
  <c r="Q904" i="12"/>
  <c r="Q905" i="12"/>
  <c r="Q906" i="12"/>
  <c r="Q907" i="12"/>
  <c r="Q908" i="12"/>
  <c r="Q909" i="12"/>
  <c r="Q910" i="12"/>
  <c r="Q911" i="12"/>
  <c r="Q912" i="12"/>
  <c r="Q913" i="12"/>
  <c r="Q914" i="12"/>
  <c r="Q915" i="12"/>
  <c r="Q916" i="12"/>
  <c r="Q917" i="12"/>
  <c r="Q918" i="12"/>
  <c r="Q919" i="12"/>
  <c r="Q920" i="12"/>
  <c r="Q921" i="12"/>
  <c r="Q922" i="12"/>
  <c r="Q923" i="12"/>
  <c r="Q924" i="12"/>
  <c r="Q925" i="12"/>
  <c r="Q926" i="12"/>
  <c r="Q927" i="12"/>
  <c r="Q928" i="12"/>
  <c r="Q929" i="12"/>
  <c r="Q930" i="12"/>
  <c r="Q931" i="12"/>
  <c r="Q932" i="12"/>
  <c r="Q933" i="12"/>
  <c r="Q934" i="12"/>
  <c r="Q935" i="12"/>
  <c r="Q936" i="12"/>
  <c r="Q937" i="12"/>
  <c r="Q938" i="12"/>
  <c r="Q939" i="12"/>
  <c r="Q940" i="12"/>
  <c r="Q941" i="12"/>
  <c r="Q942" i="12"/>
  <c r="Q943" i="12"/>
  <c r="Q944" i="12"/>
  <c r="Q945" i="12"/>
  <c r="Q946" i="12"/>
  <c r="Q947" i="12"/>
  <c r="Q948" i="12"/>
  <c r="Q949" i="12"/>
  <c r="Q950" i="12"/>
  <c r="Q951" i="12"/>
  <c r="Q952" i="12"/>
  <c r="Q953" i="12"/>
  <c r="Q954" i="12"/>
  <c r="Q955" i="12"/>
  <c r="Q956" i="12"/>
  <c r="Q957" i="12"/>
  <c r="Q958" i="12"/>
  <c r="Q959" i="12"/>
  <c r="Q960" i="12"/>
  <c r="Q961" i="12"/>
  <c r="Q962" i="12"/>
  <c r="Q963" i="12"/>
  <c r="Q964" i="12"/>
  <c r="Q965" i="12"/>
  <c r="Q966" i="12"/>
  <c r="Q967" i="12"/>
  <c r="Q968" i="12"/>
  <c r="Q969" i="12"/>
  <c r="Q970" i="12"/>
  <c r="Q971" i="12"/>
  <c r="Q972" i="12"/>
  <c r="Q973" i="12"/>
  <c r="Q974" i="12"/>
  <c r="Q975" i="12"/>
  <c r="Q976" i="12"/>
  <c r="Q977" i="12"/>
  <c r="Q978" i="12"/>
  <c r="Q979" i="12"/>
  <c r="Q980" i="12"/>
  <c r="Q981" i="12"/>
  <c r="Q982" i="12"/>
  <c r="Q983" i="12"/>
  <c r="Q984" i="12"/>
  <c r="Q985" i="12"/>
  <c r="Q986" i="12"/>
  <c r="Q987" i="12"/>
  <c r="Q988" i="12"/>
  <c r="Q989" i="12"/>
  <c r="Q990" i="12"/>
  <c r="Q991" i="12"/>
  <c r="Q992" i="12"/>
  <c r="Q993" i="12"/>
  <c r="Q994" i="12"/>
  <c r="Q995" i="12"/>
  <c r="Q996" i="12"/>
  <c r="Q997" i="12"/>
  <c r="Q998" i="12"/>
  <c r="Q999" i="12"/>
  <c r="Q1000" i="12"/>
  <c r="Q1001" i="12"/>
  <c r="Q1002" i="12"/>
  <c r="Q1003" i="12"/>
  <c r="Q1004" i="12"/>
  <c r="Q1005" i="12"/>
  <c r="Q1006" i="12"/>
  <c r="Q1007" i="12"/>
  <c r="Q1008" i="12"/>
  <c r="Q1009" i="12"/>
  <c r="Q1010" i="12"/>
  <c r="Q1011" i="12"/>
  <c r="Q1012" i="12"/>
  <c r="Q1013" i="12"/>
  <c r="Q1014" i="12"/>
  <c r="Q1015" i="12"/>
  <c r="Q1016" i="12"/>
  <c r="Q1017" i="12"/>
  <c r="Q1018" i="12"/>
  <c r="Q1019" i="12"/>
  <c r="Q1020" i="12"/>
  <c r="Q1021" i="12"/>
  <c r="Q1022" i="12"/>
  <c r="Q1023" i="12"/>
  <c r="Q1024" i="12"/>
  <c r="Q1025" i="12"/>
  <c r="Q1026" i="12"/>
  <c r="Q1027" i="12"/>
  <c r="Q1028" i="12"/>
  <c r="Q1029" i="12"/>
  <c r="Q1030" i="12"/>
  <c r="Q1031" i="12"/>
  <c r="Q1032" i="12"/>
  <c r="Q1033" i="12"/>
  <c r="Q1034" i="12"/>
  <c r="Q1035" i="12"/>
  <c r="Q1036" i="12"/>
  <c r="Q1037" i="12"/>
  <c r="Q1038" i="12"/>
  <c r="Q1039" i="12"/>
  <c r="Q1040" i="12"/>
  <c r="Q1041" i="12"/>
  <c r="Q1042" i="12"/>
  <c r="Q1043" i="12"/>
  <c r="Q1044" i="12"/>
  <c r="Q1045" i="12"/>
  <c r="Q1046" i="12"/>
  <c r="Q1047" i="12"/>
  <c r="Q1048" i="12"/>
  <c r="Q1049" i="12"/>
  <c r="Q1050" i="12"/>
  <c r="Q1051" i="12"/>
  <c r="Q1052" i="12"/>
  <c r="Q1053" i="12"/>
  <c r="Q1054" i="12"/>
  <c r="Q1055" i="12"/>
  <c r="Q1056" i="12"/>
  <c r="Q1057" i="12"/>
  <c r="Q1058" i="12"/>
  <c r="Q1059" i="12"/>
  <c r="Q1060" i="12"/>
  <c r="Q1061" i="12"/>
  <c r="Q1062" i="12"/>
  <c r="Q1063" i="12"/>
  <c r="Q1064" i="12"/>
  <c r="Q1065" i="12"/>
  <c r="Q1066" i="12"/>
  <c r="Q1067" i="12"/>
  <c r="Q1068" i="12"/>
  <c r="Q1069" i="12"/>
  <c r="Q1070" i="12"/>
  <c r="Q1071" i="12"/>
  <c r="Q1072" i="12"/>
  <c r="Q1073" i="12"/>
  <c r="Q1074" i="12"/>
  <c r="Q1075" i="12"/>
  <c r="Q1076" i="12"/>
  <c r="Q1077" i="12"/>
  <c r="Q1078" i="12"/>
  <c r="Q1079" i="12"/>
  <c r="Q1080" i="12"/>
  <c r="Q1081" i="12"/>
  <c r="Q1082" i="12"/>
  <c r="Q1083" i="12"/>
  <c r="Q1084" i="12"/>
  <c r="Q1085" i="12"/>
  <c r="Q1086" i="12"/>
  <c r="Q1087" i="12"/>
  <c r="Q1088" i="12"/>
  <c r="Q1089" i="12"/>
  <c r="Q1090" i="12"/>
  <c r="Q1091" i="12"/>
  <c r="Q1092" i="12"/>
  <c r="Q1093" i="12"/>
  <c r="Q1094" i="12"/>
  <c r="Q1095" i="12"/>
  <c r="Q1096" i="12"/>
  <c r="Q1097" i="12"/>
  <c r="Q1098" i="12"/>
  <c r="Q1099" i="12"/>
  <c r="Q1100" i="12"/>
  <c r="Q1101" i="12"/>
  <c r="Q1102" i="12"/>
  <c r="Q1103" i="12"/>
  <c r="Q1104" i="12"/>
  <c r="Q1105" i="12"/>
  <c r="Q1106" i="12"/>
  <c r="Q1107" i="12"/>
  <c r="Q1108" i="12"/>
  <c r="Q1109" i="12"/>
  <c r="Q1110" i="12"/>
  <c r="Q1111" i="12"/>
  <c r="Q1112" i="12"/>
  <c r="Q1113" i="12"/>
  <c r="Q1114" i="12"/>
  <c r="Q1115" i="12"/>
  <c r="Q1116" i="12"/>
  <c r="Q1117" i="12"/>
  <c r="Q1118" i="12"/>
  <c r="Q1119" i="12"/>
  <c r="Q1120" i="12"/>
  <c r="Q1121" i="12"/>
  <c r="Q1122" i="12"/>
  <c r="Q1123" i="12"/>
  <c r="Q1124" i="12"/>
  <c r="Q1125" i="12"/>
  <c r="Q1126" i="12"/>
  <c r="Q1127" i="12"/>
  <c r="Q1128" i="12"/>
  <c r="Q1129" i="12"/>
  <c r="Q1130" i="12"/>
  <c r="Q1131" i="12"/>
  <c r="Q1132" i="12"/>
  <c r="Q1133" i="12"/>
  <c r="Q1134" i="12"/>
  <c r="Q1135" i="12"/>
  <c r="Q1136" i="12"/>
  <c r="Q1137" i="12"/>
  <c r="Q1138" i="12"/>
  <c r="Q1139" i="12"/>
  <c r="Q1140" i="12"/>
  <c r="Q1141" i="12"/>
  <c r="Q1142" i="12"/>
  <c r="Q1143" i="12"/>
  <c r="Q1144" i="12"/>
  <c r="Q1145" i="12"/>
  <c r="Q1146" i="12"/>
  <c r="Q1147" i="12"/>
  <c r="Q1148" i="12"/>
  <c r="Q1149" i="12"/>
  <c r="Q1150" i="12"/>
  <c r="Q1151" i="12"/>
  <c r="Q1152" i="12"/>
  <c r="Q1153" i="12"/>
  <c r="Q1154" i="12"/>
  <c r="Q1155" i="12"/>
  <c r="Q1156" i="12"/>
  <c r="Q1157" i="12"/>
  <c r="Q1158" i="12"/>
  <c r="Q1159" i="12"/>
  <c r="Q1160" i="12"/>
  <c r="Q1161" i="12"/>
  <c r="Q1162" i="12"/>
  <c r="Q1163" i="12"/>
  <c r="Q1164" i="12"/>
  <c r="Q1165" i="12"/>
  <c r="Q1166" i="12"/>
  <c r="Q1167" i="12"/>
  <c r="Q1168" i="12"/>
  <c r="Q1169" i="12"/>
  <c r="Q1170" i="12"/>
  <c r="Q1171" i="12"/>
  <c r="Q1172" i="12"/>
  <c r="Q1173" i="12"/>
  <c r="Q1174" i="12"/>
  <c r="Q1175" i="12"/>
  <c r="Q1176" i="12"/>
  <c r="Q1177" i="12"/>
  <c r="Q1178" i="12"/>
  <c r="Q1179" i="12"/>
  <c r="Q1180" i="12"/>
  <c r="Q1181" i="12"/>
  <c r="Q1182" i="12"/>
  <c r="Q1183" i="12"/>
  <c r="Q1184" i="12"/>
  <c r="Q1185" i="12"/>
  <c r="Q1186" i="12"/>
  <c r="Q1187" i="12"/>
  <c r="Q1188" i="12"/>
  <c r="Q1189" i="12"/>
  <c r="Q1190" i="12"/>
  <c r="Q1191" i="12"/>
  <c r="Q1192" i="12"/>
  <c r="Q1193" i="12"/>
  <c r="Q1194" i="12"/>
  <c r="Q1195" i="12"/>
  <c r="Q1196" i="12"/>
  <c r="Q1197" i="12"/>
  <c r="Q1198" i="12"/>
  <c r="Q1199" i="12"/>
  <c r="Q1200" i="12"/>
  <c r="Q1201" i="12"/>
  <c r="Q1202" i="12"/>
  <c r="Q1203" i="12"/>
  <c r="Q1204" i="12"/>
  <c r="Q1205" i="12"/>
  <c r="Q1206" i="12"/>
  <c r="Q1207" i="12"/>
  <c r="Q1208" i="12"/>
  <c r="Q1209" i="12"/>
  <c r="Q1210" i="12"/>
  <c r="Q1211" i="12"/>
  <c r="Q1212" i="12"/>
  <c r="Q1213" i="12"/>
  <c r="Q1214" i="12"/>
  <c r="Q1215" i="12"/>
  <c r="Q1216" i="12"/>
  <c r="Q1217" i="12"/>
  <c r="Q1218" i="12"/>
  <c r="Q1219" i="12"/>
  <c r="Q1220" i="12"/>
  <c r="Q1221" i="12"/>
  <c r="Q1222" i="12"/>
  <c r="Q1223" i="12"/>
  <c r="Q1224" i="12"/>
  <c r="Q1225" i="12"/>
  <c r="Q1226" i="12"/>
  <c r="Q1227" i="12"/>
  <c r="Q1228" i="12"/>
  <c r="Q1229" i="12"/>
  <c r="Q1230" i="12"/>
  <c r="Q1231" i="12"/>
  <c r="Q1232" i="12"/>
  <c r="Q1233" i="12"/>
  <c r="Q1234" i="12"/>
  <c r="Q1235" i="12"/>
  <c r="Q1236" i="12"/>
  <c r="Q1237" i="12"/>
  <c r="Q1238" i="12"/>
  <c r="Q1239" i="12"/>
  <c r="Q1240" i="12"/>
  <c r="Q1241" i="12"/>
  <c r="Q1242" i="12"/>
  <c r="Q1243" i="12"/>
  <c r="Q1244" i="12"/>
  <c r="Q1245" i="12"/>
  <c r="Q1246" i="12"/>
  <c r="Q1247" i="12"/>
  <c r="Q1248" i="12"/>
  <c r="Q1249" i="12"/>
  <c r="Q1250" i="12"/>
  <c r="Q1251" i="12"/>
  <c r="Q1252" i="12"/>
  <c r="Q1253" i="12"/>
  <c r="Q1254" i="12"/>
  <c r="Q1255" i="12"/>
  <c r="Q1256" i="12"/>
  <c r="Q1257" i="12"/>
  <c r="Q1258" i="12"/>
  <c r="Q1259" i="12"/>
  <c r="Q1260" i="12"/>
  <c r="Q1261" i="12"/>
  <c r="Q1262" i="12"/>
  <c r="Q1263" i="12"/>
  <c r="Q1264" i="12"/>
  <c r="Q1265" i="12"/>
  <c r="Q1266" i="12"/>
  <c r="Q1267" i="12"/>
  <c r="Q1268" i="12"/>
  <c r="Q1269" i="12"/>
  <c r="Q1270" i="12"/>
  <c r="Q1271" i="12"/>
  <c r="Q1272" i="12"/>
  <c r="Q1273" i="12"/>
  <c r="Q1274" i="12"/>
  <c r="Q1275" i="12"/>
  <c r="Q1276" i="12"/>
  <c r="Q1277" i="12"/>
  <c r="Q1278" i="12"/>
  <c r="Q1279" i="12"/>
  <c r="Q1280" i="12"/>
  <c r="Q1281" i="12"/>
  <c r="Q1282" i="12"/>
  <c r="Q1283" i="12"/>
  <c r="Q1284" i="12"/>
  <c r="Q1285" i="12"/>
  <c r="Q1286" i="12"/>
  <c r="Q1287" i="12"/>
  <c r="Q1288" i="12"/>
  <c r="Q1289" i="12"/>
  <c r="Q1290" i="12"/>
  <c r="Q1291" i="12"/>
  <c r="Q1292" i="12"/>
  <c r="Q1293" i="12"/>
  <c r="Q1294" i="12"/>
  <c r="Q1295" i="12"/>
  <c r="Q1296" i="12"/>
  <c r="Q1297" i="12"/>
  <c r="Q1298" i="12"/>
  <c r="Q1299" i="12"/>
  <c r="Q1300" i="12"/>
  <c r="Q1301" i="12"/>
  <c r="Q1302" i="12"/>
  <c r="Q1303" i="12"/>
  <c r="Q1304" i="12"/>
  <c r="Q1305" i="12"/>
  <c r="Q1306" i="12"/>
  <c r="Q1307" i="12"/>
  <c r="Q1308" i="12"/>
  <c r="Q1309" i="12"/>
  <c r="Q1310" i="12"/>
  <c r="Q1311" i="12"/>
  <c r="Q1312" i="12"/>
  <c r="Q1313" i="12"/>
  <c r="Q1314" i="12"/>
  <c r="Q1315" i="12"/>
  <c r="Q1316" i="12"/>
  <c r="Q1317" i="12"/>
  <c r="Q1318" i="12"/>
  <c r="Q1319" i="12"/>
  <c r="Q1320" i="12"/>
  <c r="Q1321" i="12"/>
  <c r="Q1322" i="12"/>
  <c r="Q1323" i="12"/>
  <c r="Q1324" i="12"/>
  <c r="Q1325" i="12"/>
  <c r="Q1326" i="12"/>
  <c r="Q1327" i="12"/>
  <c r="Q1328" i="12"/>
  <c r="Q1329" i="12"/>
  <c r="Q1330" i="12"/>
  <c r="Q1331" i="12"/>
  <c r="Q1332" i="12"/>
  <c r="Q1333" i="12"/>
  <c r="Q1334" i="12"/>
  <c r="Q1335" i="12"/>
  <c r="Q1336" i="12"/>
  <c r="Q1337" i="12"/>
  <c r="Q1338" i="12"/>
  <c r="Q1339" i="12"/>
  <c r="Q1340" i="12"/>
  <c r="Q1341" i="12"/>
  <c r="Q1342" i="12"/>
  <c r="Q1343" i="12"/>
  <c r="Q1344" i="12"/>
  <c r="Q1345" i="12"/>
  <c r="Q1346" i="12"/>
  <c r="Q1347" i="12"/>
  <c r="Q1348" i="12"/>
  <c r="Q1349" i="12"/>
  <c r="Q1350" i="12"/>
  <c r="Q1351" i="12"/>
  <c r="Q1352" i="12"/>
  <c r="Q1353" i="12"/>
  <c r="Q1354" i="12"/>
  <c r="Q1355" i="12"/>
  <c r="Q1356" i="12"/>
  <c r="Q1357" i="12"/>
  <c r="Q1358" i="12"/>
  <c r="Q1359" i="12"/>
  <c r="Q1360" i="12"/>
  <c r="Q1361" i="12"/>
  <c r="Q1362" i="12"/>
  <c r="Q1363" i="12"/>
  <c r="Q1364" i="12"/>
  <c r="Q1365" i="12"/>
  <c r="Q1366" i="12"/>
  <c r="Q1367" i="12"/>
  <c r="Q1368" i="12"/>
  <c r="Q1369" i="12"/>
  <c r="Q1370" i="12"/>
  <c r="Q1371" i="12"/>
  <c r="Q1372" i="12"/>
  <c r="Q1373" i="12"/>
  <c r="Q1374" i="12"/>
  <c r="Q1375" i="12"/>
  <c r="Q1376" i="12"/>
  <c r="Q1377" i="12"/>
  <c r="Q1378" i="12"/>
  <c r="Q1379" i="12"/>
  <c r="Q1380" i="12"/>
  <c r="Q1381" i="12"/>
  <c r="Q1382" i="12"/>
  <c r="Q1383" i="12"/>
  <c r="Q1384" i="12"/>
  <c r="Q1385" i="12"/>
  <c r="Q1386" i="12"/>
  <c r="Q1387" i="12"/>
  <c r="Q1388" i="12"/>
  <c r="Q1389" i="12"/>
  <c r="Q1390" i="12"/>
  <c r="Q1391" i="12"/>
  <c r="Q1392" i="12"/>
  <c r="Q1393" i="12"/>
  <c r="Q1394" i="12"/>
  <c r="Q1395" i="12"/>
  <c r="Q1396" i="12"/>
  <c r="Q1397" i="12"/>
  <c r="Q1398" i="12"/>
  <c r="Q1399" i="12"/>
  <c r="Q1400" i="12"/>
  <c r="Q1401" i="12"/>
  <c r="Q1402" i="12"/>
  <c r="Q1403" i="12"/>
  <c r="Q1404" i="12"/>
  <c r="Q1405" i="12"/>
  <c r="Q1406" i="12"/>
  <c r="Q1407" i="12"/>
  <c r="Q1408" i="12"/>
  <c r="Q1409" i="12"/>
  <c r="Q1410" i="12"/>
  <c r="Q1411" i="12"/>
  <c r="Q1412" i="12"/>
  <c r="Q1413" i="12"/>
  <c r="Q1414" i="12"/>
  <c r="Q1415" i="12"/>
  <c r="Q1416" i="12"/>
  <c r="Q1417" i="12"/>
  <c r="Q1418" i="12"/>
  <c r="Q1419" i="12"/>
  <c r="Q1420" i="12"/>
  <c r="Q1421" i="12"/>
  <c r="Q1422" i="12"/>
  <c r="Q1423" i="12"/>
  <c r="Q1424" i="12"/>
  <c r="Q1425" i="12"/>
  <c r="Q1426" i="12"/>
  <c r="Q1427" i="12"/>
  <c r="Q1428" i="12"/>
  <c r="Q1429" i="12"/>
  <c r="Q1430" i="12"/>
  <c r="Q1431" i="12"/>
  <c r="Q1432" i="12"/>
  <c r="Q1433" i="12"/>
  <c r="Q1434" i="12"/>
  <c r="Q1435" i="12"/>
  <c r="Q1436" i="12"/>
  <c r="Q1437" i="12"/>
  <c r="Q1438" i="12"/>
  <c r="Q1439" i="12"/>
  <c r="Q1440" i="12"/>
  <c r="Q1441" i="12"/>
  <c r="Q1442" i="12"/>
  <c r="Q1443" i="12"/>
  <c r="Q1444" i="12"/>
  <c r="Q1445" i="12"/>
  <c r="Q1446" i="12"/>
  <c r="Q1447" i="12"/>
  <c r="Q1448" i="12"/>
  <c r="Q1449" i="12"/>
  <c r="Q1450" i="12"/>
  <c r="Q1451" i="12"/>
  <c r="Q1452" i="12"/>
  <c r="Q1453" i="12"/>
  <c r="Q1454" i="12"/>
  <c r="Q1455" i="12"/>
  <c r="Q1456" i="12"/>
  <c r="Q1457" i="12"/>
  <c r="Q1458" i="12"/>
  <c r="Q1459" i="12"/>
  <c r="Q1460" i="12"/>
  <c r="Q1461" i="12"/>
  <c r="Q1462" i="12"/>
  <c r="Q1463" i="12"/>
  <c r="Q1464" i="12"/>
  <c r="Q1465" i="12"/>
  <c r="Q1466" i="12"/>
  <c r="Q1467" i="12"/>
  <c r="Q1468" i="12"/>
  <c r="Q1469" i="12"/>
  <c r="Q1470" i="12"/>
  <c r="Q1471" i="12"/>
  <c r="Q1472" i="12"/>
  <c r="Q1473" i="12"/>
  <c r="Q1474" i="12"/>
  <c r="Q1475" i="12"/>
  <c r="Q1476" i="12"/>
  <c r="Q1477" i="12"/>
  <c r="Q1478" i="12"/>
  <c r="Q1479" i="12"/>
  <c r="Q1480" i="12"/>
  <c r="Q1481" i="12"/>
  <c r="Q1482" i="12"/>
  <c r="Q1483" i="12"/>
  <c r="Q1484" i="12"/>
  <c r="Q1485" i="12"/>
  <c r="Q1486" i="12"/>
  <c r="Q1487" i="12"/>
  <c r="Q1488" i="12"/>
  <c r="Q1489" i="12"/>
  <c r="Q1490" i="12"/>
  <c r="Q1491" i="12"/>
  <c r="Q1492" i="12"/>
  <c r="Q1493" i="12"/>
  <c r="Q1494" i="12"/>
  <c r="Q1495" i="12"/>
  <c r="Q1496" i="12"/>
  <c r="Q1497" i="12"/>
  <c r="Q1498" i="12"/>
  <c r="Q1499" i="12"/>
  <c r="Q1500" i="12"/>
  <c r="Q1501" i="12"/>
  <c r="Q1502" i="12"/>
  <c r="Q1503" i="12"/>
  <c r="Q1504" i="12"/>
  <c r="Q1505" i="12"/>
  <c r="Q1506" i="12"/>
  <c r="Q1507" i="12"/>
  <c r="Q1508" i="12"/>
  <c r="Q1509" i="12"/>
  <c r="Q1510" i="12"/>
  <c r="Q1511" i="12"/>
  <c r="Q1512" i="12"/>
  <c r="Q1513" i="12"/>
  <c r="Q1514" i="12"/>
  <c r="Q1515" i="12"/>
  <c r="Q1516" i="12"/>
  <c r="Q1517" i="12"/>
  <c r="Q1518" i="12"/>
  <c r="Q1519" i="12"/>
  <c r="Q1520" i="12"/>
  <c r="Q1521" i="12"/>
  <c r="Q1522" i="12"/>
  <c r="Q1523" i="12"/>
  <c r="Q1524" i="12"/>
  <c r="Q1525" i="12"/>
  <c r="Q1526" i="12"/>
  <c r="Q1527" i="12"/>
  <c r="Q1528" i="12"/>
  <c r="Q1529" i="12"/>
  <c r="Q1530" i="12"/>
  <c r="Q1531" i="12"/>
  <c r="Q1532" i="12"/>
  <c r="Q1533" i="12"/>
  <c r="Q1534" i="12"/>
  <c r="Q1535" i="12"/>
  <c r="Q1536" i="12"/>
  <c r="Q1537" i="12"/>
  <c r="Q1538" i="12"/>
  <c r="Q1539" i="12"/>
  <c r="Q1540" i="12"/>
  <c r="Q1541" i="12"/>
  <c r="Q1542" i="12"/>
  <c r="Q1543" i="12"/>
  <c r="Q1544" i="12"/>
  <c r="Q1545" i="12"/>
  <c r="Q1546" i="12"/>
  <c r="Q1547" i="12"/>
  <c r="Q1548" i="12"/>
  <c r="Q1549" i="12"/>
  <c r="Q1550" i="12"/>
  <c r="Q1551" i="12"/>
  <c r="Q1552" i="12"/>
  <c r="Q1553" i="12"/>
  <c r="Q1554" i="12"/>
  <c r="Q1555" i="12"/>
  <c r="Q1556" i="12"/>
  <c r="Q1557" i="12"/>
  <c r="Q1558" i="12"/>
  <c r="Q1559" i="12"/>
  <c r="Q1560" i="12"/>
  <c r="Q1561" i="12"/>
  <c r="Q1562" i="12"/>
  <c r="Q1563" i="12"/>
  <c r="Q1564" i="12"/>
  <c r="Q1565" i="12"/>
  <c r="Q1566" i="12"/>
  <c r="Q1567" i="12"/>
  <c r="Q1568" i="12"/>
  <c r="Q1569" i="12"/>
  <c r="Q1570" i="12"/>
  <c r="Q1571" i="12"/>
  <c r="Q1572" i="12"/>
  <c r="Q1573" i="12"/>
  <c r="Q1574" i="12"/>
  <c r="Q1575" i="12"/>
  <c r="Q1576" i="12"/>
  <c r="Q1577" i="12"/>
  <c r="Q1578" i="12"/>
  <c r="Q1579" i="12"/>
  <c r="Q1580" i="12"/>
  <c r="Q1581" i="12"/>
  <c r="Q1582" i="12"/>
  <c r="Q1583" i="12"/>
  <c r="Q1584" i="12"/>
  <c r="Q1585" i="12"/>
  <c r="Q1586" i="12"/>
  <c r="Q1587" i="12"/>
  <c r="Q1588" i="12"/>
  <c r="Q1589" i="12"/>
  <c r="Q1590" i="12"/>
  <c r="Q1591" i="12"/>
  <c r="Q1592" i="12"/>
  <c r="Q1593" i="12"/>
  <c r="Q1594" i="12"/>
  <c r="Q1595" i="12"/>
  <c r="Q1596" i="12"/>
  <c r="Q1597" i="12"/>
  <c r="Q1598" i="12"/>
  <c r="Q1599" i="12"/>
  <c r="Q1600" i="12"/>
  <c r="Q1601" i="12"/>
  <c r="Q1602" i="12"/>
  <c r="Q1603" i="12"/>
  <c r="Q1604" i="12"/>
  <c r="Q1605" i="12"/>
  <c r="Q1606" i="12"/>
  <c r="Q1607" i="12"/>
  <c r="Q1608" i="12"/>
  <c r="Q1609" i="12"/>
  <c r="Q1610" i="12"/>
  <c r="Q1611" i="12"/>
  <c r="Q1612" i="12"/>
  <c r="Q1613" i="12"/>
  <c r="Q1614" i="12"/>
  <c r="Q1615" i="12"/>
  <c r="Q1616" i="12"/>
  <c r="Q1617" i="12"/>
  <c r="Q1618" i="12"/>
  <c r="Q1619" i="12"/>
  <c r="Q1620" i="12"/>
  <c r="Q1621" i="12"/>
  <c r="Q1622" i="12"/>
  <c r="Q1623" i="12"/>
  <c r="Q1624" i="12"/>
  <c r="Q1625" i="12"/>
  <c r="Q1626" i="12"/>
  <c r="Q1627" i="12"/>
  <c r="Q1628" i="12"/>
  <c r="Q1629" i="12"/>
  <c r="Q1630" i="12"/>
  <c r="Q1631" i="12"/>
  <c r="Q1632" i="12"/>
  <c r="Q1633" i="12"/>
  <c r="Q1634" i="12"/>
  <c r="Q1635" i="12"/>
  <c r="Q1636" i="12"/>
  <c r="Q1637" i="12"/>
  <c r="Q1638" i="12"/>
  <c r="Q1639" i="12"/>
  <c r="Q1640" i="12"/>
  <c r="Q1641" i="12"/>
  <c r="Q1642" i="12"/>
  <c r="Q1643" i="12"/>
  <c r="Q1644" i="12"/>
  <c r="Q1645" i="12"/>
  <c r="Q1646" i="12"/>
  <c r="Q1647" i="12"/>
  <c r="Q1648" i="12"/>
  <c r="Q1649" i="12"/>
  <c r="Q1650" i="12"/>
  <c r="Q1651" i="12"/>
  <c r="Q1652" i="12"/>
  <c r="Q1653" i="12"/>
  <c r="Q1654" i="12"/>
  <c r="Q1655" i="12"/>
  <c r="Q1656" i="12"/>
  <c r="Q1657" i="12"/>
  <c r="Q1658" i="12"/>
  <c r="Q1659" i="12"/>
  <c r="Q1660" i="12"/>
  <c r="Q1661" i="12"/>
  <c r="Q1662" i="12"/>
  <c r="Q1663" i="12"/>
  <c r="Q1664" i="12"/>
  <c r="Q1665" i="12"/>
  <c r="Q1666" i="12"/>
  <c r="Q1667" i="12"/>
  <c r="Q1668" i="12"/>
  <c r="Q1669" i="12"/>
  <c r="Q1670" i="12"/>
  <c r="Q1671" i="12"/>
  <c r="Q1672" i="12"/>
  <c r="Q1673" i="12"/>
  <c r="Q1674" i="12"/>
  <c r="Q1675" i="12"/>
  <c r="Q1676" i="12"/>
  <c r="Q1677" i="12"/>
  <c r="Q1678" i="12"/>
  <c r="Q1679" i="12"/>
  <c r="Q1680" i="12"/>
  <c r="Q1681" i="12"/>
  <c r="Q1682" i="12"/>
  <c r="Q1683" i="12"/>
  <c r="Q1684" i="12"/>
  <c r="Q1685" i="12"/>
  <c r="Q1686" i="12"/>
  <c r="Q1687" i="12"/>
  <c r="Q1688" i="12"/>
  <c r="Q1689" i="12"/>
  <c r="Q1690" i="12"/>
  <c r="Q1691" i="12"/>
  <c r="Q1692" i="12"/>
  <c r="Q1693" i="12"/>
  <c r="Q1694" i="12"/>
  <c r="Q1695" i="12"/>
  <c r="Q1696" i="12"/>
  <c r="Q1697" i="12"/>
  <c r="Q1698" i="12"/>
  <c r="Q1699" i="12"/>
  <c r="Q1700" i="12"/>
  <c r="Q1701" i="12"/>
  <c r="Q1702" i="12"/>
  <c r="Q1703" i="12"/>
  <c r="Q1704" i="12"/>
  <c r="Q1705" i="12"/>
  <c r="Q1706" i="12"/>
  <c r="Q1707" i="12"/>
  <c r="Q1708" i="12"/>
  <c r="Q1709" i="12"/>
  <c r="Q1710" i="12"/>
  <c r="Q1711" i="12"/>
  <c r="Q1712" i="12"/>
  <c r="Q1713" i="12"/>
  <c r="Q1714" i="12"/>
  <c r="Q1715" i="12"/>
  <c r="Q1716" i="12"/>
  <c r="Q1717" i="12"/>
  <c r="Q1718" i="12"/>
  <c r="Q1719" i="12"/>
  <c r="Q1720" i="12"/>
  <c r="Q1721" i="12"/>
  <c r="Q1722" i="12"/>
  <c r="Q1723" i="12"/>
  <c r="Q1724" i="12"/>
  <c r="Q1725" i="12"/>
  <c r="Q1726" i="12"/>
  <c r="Q1727" i="12"/>
  <c r="Q1728" i="12"/>
  <c r="Q1729" i="12"/>
  <c r="Q1730" i="12"/>
  <c r="Q1731" i="12"/>
  <c r="Q1732" i="12"/>
  <c r="Q1733" i="12"/>
  <c r="Q1734" i="12"/>
  <c r="Q1735" i="12"/>
  <c r="Q1736" i="12"/>
  <c r="Q1737" i="12"/>
  <c r="Q1738" i="12"/>
  <c r="Q1739" i="12"/>
  <c r="Q1740" i="12"/>
  <c r="Q1741" i="12"/>
  <c r="Q1742" i="12"/>
  <c r="Q1743" i="12"/>
  <c r="Q1744" i="12"/>
  <c r="Q1745" i="12"/>
  <c r="Q1746" i="12"/>
  <c r="Q1747" i="12"/>
  <c r="Q1748" i="12"/>
  <c r="Q1749" i="12"/>
  <c r="Q1750" i="12"/>
  <c r="Q1751" i="12"/>
  <c r="Q1752" i="12"/>
  <c r="Q1753" i="12"/>
  <c r="Q1754" i="12"/>
  <c r="Q1755" i="12"/>
  <c r="Q1756" i="12"/>
  <c r="Q1757" i="12"/>
  <c r="Q1758" i="12"/>
  <c r="Q1759" i="12"/>
  <c r="Q1760" i="12"/>
  <c r="Q1761" i="12"/>
  <c r="Q1762" i="12"/>
  <c r="Q1763" i="12"/>
  <c r="Q1764" i="12"/>
  <c r="Q1765" i="12"/>
  <c r="Q1766" i="12"/>
  <c r="Q1767" i="12"/>
  <c r="Q1768" i="12"/>
  <c r="Q1769" i="12"/>
  <c r="Q1770" i="12"/>
  <c r="Q1771" i="12"/>
  <c r="Q1772" i="12"/>
  <c r="Q1773" i="12"/>
  <c r="Q1774" i="12"/>
  <c r="Q1775" i="12"/>
  <c r="Q1776" i="12"/>
  <c r="Q1777" i="12"/>
  <c r="Q1778" i="12"/>
  <c r="Q1779" i="12"/>
  <c r="Q1780" i="12"/>
  <c r="Q1781" i="12"/>
  <c r="Q1782" i="12"/>
  <c r="Q1783" i="12"/>
  <c r="Q1784" i="12"/>
  <c r="Q1785" i="12"/>
  <c r="Q1786" i="12"/>
  <c r="Q1787" i="12"/>
  <c r="Q1788" i="12"/>
  <c r="Q1789" i="12"/>
  <c r="Q1790" i="12"/>
  <c r="Q1791" i="12"/>
  <c r="Q1792" i="12"/>
  <c r="Q1793" i="12"/>
  <c r="Q1794" i="12"/>
  <c r="Q1795" i="12"/>
  <c r="Q1796" i="12"/>
  <c r="Q1797" i="12"/>
  <c r="Q1798" i="12"/>
  <c r="Q1799" i="12"/>
  <c r="Q1800" i="12"/>
  <c r="Q1801" i="12"/>
  <c r="Q1802" i="12"/>
  <c r="Q1803" i="12"/>
  <c r="Q1804" i="12"/>
  <c r="Q1805" i="12"/>
  <c r="Q1806" i="12"/>
  <c r="Q1807" i="12"/>
  <c r="Q1808" i="12"/>
  <c r="Q1809" i="12"/>
  <c r="Q1810" i="12"/>
  <c r="Q1811" i="12"/>
  <c r="Q1812" i="12"/>
  <c r="Q1813" i="12"/>
  <c r="Q1814" i="12"/>
  <c r="Q1815" i="12"/>
  <c r="Q1816" i="12"/>
  <c r="Q1817" i="12"/>
  <c r="Q1818" i="12"/>
  <c r="Q1819" i="12"/>
  <c r="Q1820" i="12"/>
  <c r="Q1821" i="12"/>
  <c r="Q1822" i="12"/>
  <c r="Q1823" i="12"/>
  <c r="Q1824" i="12"/>
  <c r="Q1825" i="12"/>
  <c r="Q1826" i="12"/>
  <c r="Q1827" i="12"/>
  <c r="Q1828" i="12"/>
  <c r="Q1829" i="12"/>
  <c r="Q1830" i="12"/>
  <c r="Q1831" i="12"/>
  <c r="Q1832" i="12"/>
  <c r="Q1833" i="12"/>
  <c r="Q1834" i="12"/>
  <c r="Q1835" i="12"/>
  <c r="Q1836" i="12"/>
  <c r="Q1837" i="12"/>
  <c r="Q1838" i="12"/>
  <c r="Q1839" i="12"/>
  <c r="Q1840" i="12"/>
  <c r="Q1841" i="12"/>
  <c r="Q1842" i="12"/>
  <c r="Q1843" i="12"/>
  <c r="Q1844" i="12"/>
  <c r="Q1845" i="12"/>
  <c r="Q1846" i="12"/>
  <c r="Q1847" i="12"/>
  <c r="Q1848" i="12"/>
  <c r="Q1849" i="12"/>
  <c r="Q1850" i="12"/>
  <c r="Q1851" i="12"/>
  <c r="Q1852" i="12"/>
  <c r="Q1853" i="12"/>
  <c r="Q1854" i="12"/>
  <c r="Q1855" i="12"/>
  <c r="Q1856" i="12"/>
  <c r="Q1857" i="12"/>
  <c r="Q1858" i="12"/>
  <c r="Q1859" i="12"/>
  <c r="Q1860" i="12"/>
  <c r="Q1861" i="12"/>
  <c r="Q1862" i="12"/>
  <c r="Q1863" i="12"/>
  <c r="Q1864" i="12"/>
  <c r="Q1865" i="12"/>
  <c r="Q1866" i="12"/>
  <c r="Q1867" i="12"/>
  <c r="Q1868" i="12"/>
  <c r="Q1869" i="12"/>
  <c r="Q1870" i="12"/>
  <c r="Q1871" i="12"/>
  <c r="Q1872" i="12"/>
  <c r="Q1873" i="12"/>
  <c r="Q1874" i="12"/>
  <c r="Q1875" i="12"/>
  <c r="Q1876" i="12"/>
  <c r="Q1877" i="12"/>
  <c r="Q1878" i="12"/>
  <c r="Q1879" i="12"/>
  <c r="Q1880" i="12"/>
  <c r="Q1881" i="12"/>
  <c r="Q1882" i="12"/>
  <c r="Q1883" i="12"/>
  <c r="Q1884" i="12"/>
  <c r="Q1885" i="12"/>
  <c r="Q1886" i="12"/>
  <c r="Q1887" i="12"/>
  <c r="Q1888" i="12"/>
  <c r="Q1889" i="12"/>
  <c r="Q1890" i="12"/>
  <c r="Q1891" i="12"/>
  <c r="Q1892" i="12"/>
  <c r="Q1893" i="12"/>
  <c r="Q1894" i="12"/>
  <c r="Q1895" i="12"/>
  <c r="Q1896" i="12"/>
  <c r="Q1897" i="12"/>
  <c r="Q1898" i="12"/>
  <c r="Q1899" i="12"/>
  <c r="Q1900" i="12"/>
  <c r="Q1901" i="12"/>
  <c r="Q1902" i="12"/>
  <c r="Q1903" i="12"/>
  <c r="Q1904" i="12"/>
  <c r="Q1905" i="12"/>
  <c r="Q1906" i="12"/>
  <c r="Q1907" i="12"/>
  <c r="Q1908" i="12"/>
  <c r="Q1909" i="12"/>
  <c r="Q1910" i="12"/>
  <c r="Q1911" i="12"/>
  <c r="Q1912" i="12"/>
  <c r="Q1913" i="12"/>
  <c r="Q1914" i="12"/>
  <c r="Q1915" i="12"/>
  <c r="Q1916" i="12"/>
  <c r="Q1917" i="12"/>
  <c r="Q1918" i="12"/>
  <c r="Q1919" i="12"/>
  <c r="Q1920" i="12"/>
  <c r="Q1921" i="12"/>
  <c r="Q1922" i="12"/>
  <c r="Q1923" i="12"/>
  <c r="Q1924" i="12"/>
  <c r="Q1925" i="12"/>
  <c r="Q1926" i="12"/>
  <c r="Q1927" i="12"/>
  <c r="Q1928" i="12"/>
  <c r="Q1929" i="12"/>
  <c r="Q1930" i="12"/>
  <c r="Q1931" i="12"/>
  <c r="Q1932" i="12"/>
  <c r="Q1933" i="12"/>
  <c r="Q1934" i="12"/>
  <c r="Q1935" i="12"/>
  <c r="Q1936" i="12"/>
  <c r="Q1937" i="12"/>
  <c r="Q1938" i="12"/>
  <c r="Q1939" i="12"/>
  <c r="Q1940" i="12"/>
  <c r="Q1941" i="12"/>
  <c r="Q1942" i="12"/>
  <c r="Q1943" i="12"/>
  <c r="Q1944" i="12"/>
  <c r="Q1945" i="12"/>
  <c r="Q1946" i="12"/>
  <c r="Q1947" i="12"/>
  <c r="Q1948" i="12"/>
  <c r="Q1949" i="12"/>
  <c r="Q1950" i="12"/>
  <c r="Q1951" i="12"/>
  <c r="Q1952" i="12"/>
  <c r="Q1953" i="12"/>
  <c r="Q1954" i="12"/>
  <c r="Q1955" i="12"/>
  <c r="Q1956" i="12"/>
  <c r="Q1957" i="12"/>
  <c r="Q1958" i="12"/>
  <c r="Q1959" i="12"/>
  <c r="Q1960" i="12"/>
  <c r="Q1961" i="12"/>
  <c r="Q1962" i="12"/>
  <c r="Q1963" i="12"/>
  <c r="Q1964" i="12"/>
  <c r="Q1965" i="12"/>
  <c r="Q1966" i="12"/>
  <c r="Q1967" i="12"/>
  <c r="Q1968" i="12"/>
  <c r="Q1969" i="12"/>
  <c r="Q1970" i="12"/>
  <c r="Q1971" i="12"/>
  <c r="Q1972" i="12"/>
  <c r="Q1973" i="12"/>
  <c r="Q1974" i="12"/>
  <c r="Q1975" i="12"/>
  <c r="Q1976" i="12"/>
  <c r="Q1977" i="12"/>
  <c r="Q1978" i="12"/>
  <c r="Q1979" i="12"/>
  <c r="Q1980" i="12"/>
  <c r="Q1981" i="12"/>
  <c r="Q1982" i="12"/>
  <c r="Q1983" i="12"/>
  <c r="Q1984" i="12"/>
  <c r="Q1985" i="12"/>
  <c r="Q1986" i="12"/>
  <c r="Q1987" i="12"/>
  <c r="Q1988" i="12"/>
  <c r="Q1989" i="12"/>
  <c r="Q1990" i="12"/>
  <c r="Q1991" i="12"/>
  <c r="Q1992" i="12"/>
  <c r="Q1993" i="12"/>
  <c r="Q1994" i="12"/>
  <c r="Q1995" i="12"/>
  <c r="Q1996" i="12"/>
  <c r="Q1997" i="12"/>
  <c r="Q1998" i="12"/>
  <c r="Q1999" i="12"/>
  <c r="Q2000" i="12"/>
  <c r="Q2001" i="12"/>
  <c r="Q2002" i="12"/>
  <c r="Q2003" i="12"/>
  <c r="Q2004" i="12"/>
  <c r="Q2005" i="12"/>
  <c r="Q2006" i="12"/>
  <c r="Q2007" i="12"/>
  <c r="Q2008" i="12"/>
  <c r="Q2009" i="12"/>
  <c r="Q2010" i="12"/>
  <c r="Q2011" i="12"/>
  <c r="Q2012" i="12"/>
  <c r="Q2013" i="12"/>
  <c r="Q2014" i="12"/>
  <c r="Q2015" i="12"/>
  <c r="Q2016" i="12"/>
  <c r="Q2017" i="12"/>
  <c r="Q2018" i="12"/>
  <c r="Q2019" i="12"/>
  <c r="Q2020" i="12"/>
  <c r="Q2021" i="12"/>
  <c r="Q2022" i="12"/>
  <c r="Q2023" i="12"/>
  <c r="Q2024" i="12"/>
  <c r="Q2025" i="12"/>
  <c r="Q2026" i="12"/>
  <c r="Q2027" i="12"/>
  <c r="Q2028" i="12"/>
  <c r="Q2029" i="12"/>
  <c r="Q2030" i="12"/>
  <c r="Q2031" i="12"/>
  <c r="Q2032" i="12"/>
  <c r="Q2033" i="12"/>
  <c r="Q2034" i="12"/>
  <c r="Q2035" i="12"/>
  <c r="Q2036" i="12"/>
  <c r="Q2037" i="12"/>
  <c r="Q2038" i="12"/>
  <c r="Q2039" i="12"/>
  <c r="Q2040" i="12"/>
  <c r="Q2041" i="12"/>
  <c r="Q2042" i="12"/>
  <c r="Q2043" i="12"/>
  <c r="Q2044" i="12"/>
  <c r="Q2045" i="12"/>
  <c r="Q2046" i="12"/>
  <c r="Q2047" i="12"/>
  <c r="Q2048" i="12"/>
  <c r="Q2049" i="12"/>
  <c r="Q2050" i="12"/>
  <c r="Q2051" i="12"/>
  <c r="Q2052" i="12"/>
  <c r="Q2053" i="12"/>
  <c r="Q2054" i="12"/>
  <c r="Q2055" i="12"/>
  <c r="Q2056" i="12"/>
  <c r="Q2057" i="12"/>
  <c r="Q2058" i="12"/>
  <c r="Q2059" i="12"/>
  <c r="Q2060" i="12"/>
  <c r="Q2061" i="12"/>
  <c r="Q2062" i="12"/>
  <c r="Q2063" i="12"/>
  <c r="Q2064" i="12"/>
  <c r="Q2065" i="12"/>
  <c r="Q2066" i="12"/>
  <c r="Q2067" i="12"/>
  <c r="Q2068" i="12"/>
  <c r="Q2069" i="12"/>
  <c r="Q2070" i="12"/>
  <c r="Q2071" i="12"/>
  <c r="Q2072" i="12"/>
  <c r="Q2073" i="12"/>
  <c r="Q2074" i="12"/>
  <c r="Q2075" i="12"/>
  <c r="Q2076" i="12"/>
  <c r="Q2077" i="12"/>
  <c r="Q2078" i="12"/>
  <c r="Q2079" i="12"/>
  <c r="Q2080" i="12"/>
  <c r="Q2081" i="12"/>
  <c r="Q2082" i="12"/>
  <c r="Q2083" i="12"/>
  <c r="Q2084" i="12"/>
  <c r="Q2085" i="12"/>
  <c r="Q2086" i="12"/>
  <c r="Q2087" i="12"/>
  <c r="Q2088" i="12"/>
  <c r="Q2089" i="12"/>
  <c r="Q2090" i="12"/>
  <c r="Q2091" i="12"/>
  <c r="Q2092" i="12"/>
  <c r="Q2093" i="12"/>
  <c r="Q2094" i="12"/>
  <c r="Q2095" i="12"/>
  <c r="Q2096" i="12"/>
  <c r="Q2097" i="12"/>
  <c r="Q2098" i="12"/>
  <c r="Q2099" i="12"/>
  <c r="Q2100" i="12"/>
  <c r="Q2101" i="12"/>
  <c r="Q2102" i="12"/>
  <c r="Q2103" i="12"/>
  <c r="Q2104" i="12"/>
  <c r="Q2105" i="12"/>
  <c r="Q2106" i="12"/>
  <c r="Q2107" i="12"/>
  <c r="Q2108" i="12"/>
  <c r="Q2109" i="12"/>
  <c r="Q2110" i="12"/>
  <c r="Q2111" i="12"/>
  <c r="Q2112" i="12"/>
  <c r="Q2113" i="12"/>
  <c r="Q2114" i="12"/>
  <c r="Q2115" i="12"/>
  <c r="Q2116" i="12"/>
  <c r="Q2117" i="12"/>
  <c r="Q2118" i="12"/>
  <c r="Q2119" i="12"/>
  <c r="Q2120" i="12"/>
  <c r="Q2121" i="12"/>
  <c r="Q2122" i="12"/>
  <c r="Q2123" i="12"/>
  <c r="Q2124" i="12"/>
  <c r="Q2125" i="12"/>
  <c r="Q2126" i="12"/>
  <c r="Q2127" i="12"/>
  <c r="Q2128" i="12"/>
  <c r="Q2129" i="12"/>
  <c r="Q2130" i="12"/>
  <c r="Q2131" i="12"/>
  <c r="Q2132" i="12"/>
  <c r="Q2133" i="12"/>
  <c r="Q2134" i="12"/>
  <c r="Q2135" i="12"/>
  <c r="Q2136" i="12"/>
  <c r="Q2137" i="12"/>
  <c r="Q2138" i="12"/>
  <c r="Q2139" i="12"/>
  <c r="Q2140" i="12"/>
  <c r="Q2141" i="12"/>
  <c r="Q2142" i="12"/>
  <c r="Q2143" i="12"/>
  <c r="Q2144" i="12"/>
  <c r="Q2145" i="12"/>
  <c r="Q2146" i="12"/>
  <c r="Q2147" i="12"/>
  <c r="Q2148" i="12"/>
  <c r="Q2149" i="12"/>
  <c r="Q2150" i="12"/>
  <c r="Q2151" i="12"/>
  <c r="Q2152" i="12"/>
  <c r="Q2153" i="12"/>
  <c r="Q2154" i="12"/>
  <c r="Q2155" i="12"/>
  <c r="Q2156" i="12"/>
  <c r="Q2157" i="12"/>
  <c r="Q2158" i="12"/>
  <c r="Q2159" i="12"/>
  <c r="Q2160" i="12"/>
  <c r="Q2161" i="12"/>
  <c r="Q2162" i="12"/>
  <c r="Q2163" i="12"/>
  <c r="Q2164" i="12"/>
  <c r="Q2165" i="12"/>
  <c r="Q2166" i="12"/>
  <c r="Q2167" i="12"/>
  <c r="Q2168" i="12"/>
  <c r="Q2169" i="12"/>
  <c r="Q2170" i="12"/>
  <c r="Q2171" i="12"/>
  <c r="Q2172" i="12"/>
  <c r="Q2173" i="12"/>
  <c r="Q2174" i="12"/>
  <c r="Q2175" i="12"/>
  <c r="Q2176" i="12"/>
  <c r="Q2177" i="12"/>
  <c r="Q2178" i="12"/>
  <c r="Q2179" i="12"/>
  <c r="Q2180" i="12"/>
  <c r="Q2181" i="12"/>
  <c r="Q2182" i="12"/>
  <c r="Q2183" i="12"/>
  <c r="Q2184" i="12"/>
  <c r="Q2185" i="12"/>
  <c r="Q2186" i="12"/>
  <c r="Q2187" i="12"/>
  <c r="Q2188" i="12"/>
  <c r="Q2189" i="12"/>
  <c r="Q2190" i="12"/>
  <c r="Q2191" i="12"/>
  <c r="Q2192" i="12"/>
  <c r="Q2193" i="12"/>
  <c r="Q2194" i="12"/>
  <c r="Q2195" i="12"/>
  <c r="Q2196" i="12"/>
  <c r="Q2197" i="12"/>
  <c r="Q2198" i="12"/>
  <c r="Q2199" i="12"/>
  <c r="Q2200" i="12"/>
  <c r="Q2201" i="12"/>
  <c r="Q2202" i="12"/>
  <c r="Q2203" i="12"/>
  <c r="Q2204" i="12"/>
  <c r="Q2205" i="12"/>
  <c r="Q2206" i="12"/>
  <c r="Q2207" i="12"/>
  <c r="Q2208" i="12"/>
  <c r="Q2209" i="12"/>
  <c r="Q2210" i="12"/>
  <c r="Q2211" i="12"/>
  <c r="Q2212" i="12"/>
  <c r="Q2213" i="12"/>
  <c r="Q2214" i="12"/>
  <c r="Q2215" i="12"/>
  <c r="Q2216" i="12"/>
  <c r="Q2217" i="12"/>
  <c r="Q2218" i="12"/>
  <c r="Q2219" i="12"/>
  <c r="Q2220" i="12"/>
  <c r="Q2221" i="12"/>
  <c r="Q2222" i="12"/>
  <c r="Q2223" i="12"/>
  <c r="Q2224" i="12"/>
  <c r="Q2225" i="12"/>
  <c r="Q2226" i="12"/>
  <c r="Q2227" i="12"/>
  <c r="Q2228" i="12"/>
  <c r="Q2229" i="12"/>
  <c r="Q2230" i="12"/>
  <c r="Q2231" i="12"/>
  <c r="Q2232" i="12"/>
  <c r="Q2233" i="12"/>
  <c r="Q2234" i="12"/>
  <c r="Q2235" i="12"/>
  <c r="Q2236" i="12"/>
  <c r="Q2237" i="12"/>
  <c r="Q2238" i="12"/>
  <c r="Q2239" i="12"/>
  <c r="Q2240" i="12"/>
  <c r="Q2241" i="12"/>
  <c r="Q2242" i="12"/>
  <c r="Q2243" i="12"/>
  <c r="Q2244" i="12"/>
  <c r="Q2245" i="12"/>
  <c r="Q2246" i="12"/>
  <c r="Q2247" i="12"/>
  <c r="Q2248" i="12"/>
  <c r="Q2249" i="12"/>
  <c r="Q2250" i="12"/>
  <c r="Q2251" i="12"/>
  <c r="Q2252" i="12"/>
  <c r="Q2253" i="12"/>
  <c r="Q2254" i="12"/>
  <c r="Q2255" i="12"/>
  <c r="Q2256" i="12"/>
  <c r="Q2257" i="12"/>
  <c r="Q2258" i="12"/>
  <c r="Q2259" i="12"/>
  <c r="Q2260" i="12"/>
  <c r="Q2261" i="12"/>
  <c r="Q2262" i="12"/>
  <c r="Q2263" i="12"/>
  <c r="Q2264" i="12"/>
  <c r="Q2265" i="12"/>
  <c r="Q2266" i="12"/>
  <c r="Q2267" i="12"/>
  <c r="Q2268" i="12"/>
  <c r="Q2269" i="12"/>
  <c r="Q2270" i="12"/>
  <c r="Q2271" i="12"/>
  <c r="Q2272" i="12"/>
  <c r="Q2273" i="12"/>
  <c r="Q2274" i="12"/>
  <c r="Q2275" i="12"/>
  <c r="Q2276" i="12"/>
  <c r="Q2277" i="12"/>
  <c r="Q2278" i="12"/>
  <c r="Q2279" i="12"/>
  <c r="Q2280" i="12"/>
  <c r="Q2281" i="12"/>
  <c r="Q2282" i="12"/>
  <c r="Q2283" i="12"/>
  <c r="Q2284" i="12"/>
  <c r="Q2285" i="12"/>
  <c r="Q2286" i="12"/>
  <c r="Q2287" i="12"/>
  <c r="Q2288" i="12"/>
  <c r="Q2289" i="12"/>
  <c r="Q2290" i="12"/>
  <c r="Q2291" i="12"/>
  <c r="Q2292" i="12"/>
  <c r="Q2293" i="12"/>
  <c r="Q2294" i="12"/>
  <c r="Q2295" i="12"/>
  <c r="Q2296" i="12"/>
  <c r="Q2297" i="12"/>
  <c r="Q2298" i="12"/>
  <c r="Q2299" i="12"/>
  <c r="Q2300" i="12"/>
  <c r="Q2301" i="12"/>
  <c r="Q2302" i="12"/>
  <c r="Q2303" i="12"/>
  <c r="Q2304" i="12"/>
  <c r="Q2305" i="12"/>
  <c r="Q2306" i="12"/>
  <c r="Q2307" i="12"/>
  <c r="Q2308" i="12"/>
  <c r="Q2309" i="12"/>
  <c r="Q2310" i="12"/>
  <c r="Q2311" i="12"/>
  <c r="Q2312" i="12"/>
  <c r="Q2313" i="12"/>
  <c r="Q2314" i="12"/>
  <c r="Q2315" i="12"/>
  <c r="Q2316" i="12"/>
  <c r="Q2317" i="12"/>
  <c r="Q2318" i="12"/>
  <c r="Q2319" i="12"/>
  <c r="Q2320" i="12"/>
  <c r="Q2321" i="12"/>
  <c r="Q2322" i="12"/>
  <c r="Q2323" i="12"/>
  <c r="Q2324" i="12"/>
  <c r="Q2325" i="12"/>
  <c r="Q2326" i="12"/>
  <c r="Q2327" i="12"/>
  <c r="Q2328" i="12"/>
  <c r="Q2329" i="12"/>
  <c r="Q2330" i="12"/>
  <c r="Q2331" i="12"/>
  <c r="Q2332" i="12"/>
  <c r="Q2333" i="12"/>
  <c r="Q2334" i="12"/>
  <c r="Q2335" i="12"/>
  <c r="Q2336" i="12"/>
  <c r="Q2337" i="12"/>
  <c r="Q2338" i="12"/>
  <c r="Q2339" i="12"/>
  <c r="Q2340" i="12"/>
  <c r="Q2341" i="12"/>
  <c r="Q2342" i="12"/>
  <c r="Q2343" i="12"/>
  <c r="Q2344" i="12"/>
  <c r="Q2345" i="12"/>
  <c r="Q2346" i="12"/>
  <c r="Q2347" i="12"/>
  <c r="Q2348" i="12"/>
  <c r="Q2349" i="12"/>
  <c r="Q2350" i="12"/>
  <c r="Q2351" i="12"/>
  <c r="Q2352" i="12"/>
  <c r="Q2353" i="12"/>
  <c r="Q2354" i="12"/>
  <c r="Q2355" i="12"/>
  <c r="Q2356" i="12"/>
  <c r="Q2357" i="12"/>
  <c r="Q2358" i="12"/>
  <c r="Q2359" i="12"/>
  <c r="Q2360" i="12"/>
  <c r="Q2361" i="12"/>
  <c r="Q2362" i="12"/>
  <c r="Q2363" i="12"/>
  <c r="Q2364" i="12"/>
  <c r="Q2365" i="12"/>
  <c r="Q2366" i="12"/>
  <c r="Q2367" i="12"/>
  <c r="Q2368" i="12"/>
  <c r="Q2369" i="12"/>
  <c r="Q2370" i="12"/>
  <c r="Q2371" i="12"/>
  <c r="Q2372" i="12"/>
  <c r="Q2373" i="12"/>
  <c r="Q2374" i="12"/>
  <c r="Q2375" i="12"/>
  <c r="Q2376" i="12"/>
  <c r="Q2377" i="12"/>
  <c r="Q2378" i="12"/>
  <c r="Q2379" i="12"/>
  <c r="Q2380" i="12"/>
  <c r="Q2381" i="12"/>
  <c r="Q2382" i="12"/>
  <c r="Q2383" i="12"/>
  <c r="Q2384" i="12"/>
  <c r="Q2385" i="12"/>
  <c r="Q2386" i="12"/>
  <c r="Q2387" i="12"/>
  <c r="Q2388" i="12"/>
  <c r="Q2389" i="12"/>
  <c r="Q2390" i="12"/>
  <c r="Q2391" i="12"/>
  <c r="Q2392" i="12"/>
  <c r="Q2393" i="12"/>
  <c r="Q2394" i="12"/>
  <c r="Q2395" i="12"/>
  <c r="Q2396" i="12"/>
  <c r="Q2397" i="12"/>
  <c r="Q2398" i="12"/>
  <c r="Q2399" i="12"/>
  <c r="Q2400" i="12"/>
  <c r="Q2401" i="12"/>
  <c r="Q2402" i="12"/>
  <c r="Q2403" i="12"/>
  <c r="Q2404" i="12"/>
  <c r="Q2405" i="12"/>
  <c r="Q2406" i="12"/>
  <c r="Q2407" i="12"/>
  <c r="Q2408" i="12"/>
  <c r="Q2409" i="12"/>
  <c r="Q2410" i="12"/>
  <c r="Q2411" i="12"/>
  <c r="Q2412" i="12"/>
  <c r="Q2413" i="12"/>
  <c r="Q2414" i="12"/>
  <c r="Q2415" i="12"/>
  <c r="Q2416" i="12"/>
  <c r="Q2417" i="12"/>
  <c r="Q2418" i="12"/>
  <c r="Q2419" i="12"/>
  <c r="Q2420" i="12"/>
  <c r="Q2421" i="12"/>
  <c r="Q2422" i="12"/>
  <c r="Q2423" i="12"/>
  <c r="Q2424" i="12"/>
  <c r="Q2425" i="12"/>
  <c r="Q2426" i="12"/>
  <c r="Q2427" i="12"/>
  <c r="Q2428" i="12"/>
  <c r="Q2429" i="12"/>
  <c r="Q2430" i="12"/>
  <c r="Q2431" i="12"/>
  <c r="Q2432" i="12"/>
  <c r="Q2433" i="12"/>
  <c r="Q2434" i="12"/>
  <c r="Q2435" i="12"/>
  <c r="Q2436" i="12"/>
  <c r="Q2437" i="12"/>
  <c r="Q2438" i="12"/>
  <c r="Q2439" i="12"/>
  <c r="Q2440" i="12"/>
  <c r="Q2441" i="12"/>
  <c r="Q2442" i="12"/>
  <c r="Q2443" i="12"/>
  <c r="Q2444" i="12"/>
  <c r="Q2445" i="12"/>
  <c r="Q2446" i="12"/>
  <c r="Q2447" i="12"/>
  <c r="Q2448" i="12"/>
  <c r="Q2449" i="12"/>
  <c r="Q2450" i="12"/>
  <c r="Q2451" i="12"/>
  <c r="Q2452" i="12"/>
  <c r="Q2453" i="12"/>
  <c r="Q2454" i="12"/>
  <c r="Q2455" i="12"/>
  <c r="Q2456" i="12"/>
  <c r="Q2457" i="12"/>
  <c r="Q2458" i="12"/>
  <c r="Q2459" i="12"/>
  <c r="Q2460" i="12"/>
  <c r="Q2461" i="12"/>
  <c r="Q2462" i="12"/>
  <c r="Q2463" i="12"/>
  <c r="Q2464" i="12"/>
  <c r="Q2465" i="12"/>
  <c r="Q2466" i="12"/>
  <c r="Q2467" i="12"/>
  <c r="Q2468" i="12"/>
  <c r="Q2469" i="12"/>
  <c r="Q2470" i="12"/>
  <c r="Q2471" i="12"/>
  <c r="Q2472" i="12"/>
  <c r="Q2473" i="12"/>
  <c r="Q2474" i="12"/>
  <c r="Q2475" i="12"/>
  <c r="Q2476" i="12"/>
  <c r="Q2477" i="12"/>
  <c r="Q2478" i="12"/>
  <c r="Q2479" i="12"/>
  <c r="Q2480" i="12"/>
  <c r="Q2481" i="12"/>
  <c r="Q2482" i="12"/>
  <c r="Q2483" i="12"/>
  <c r="Q2484" i="12"/>
  <c r="Q2485" i="12"/>
  <c r="Q2486" i="12"/>
  <c r="Q2487" i="12"/>
  <c r="Q2488" i="12"/>
  <c r="Q2489" i="12"/>
  <c r="Q2490" i="12"/>
  <c r="Q2491" i="12"/>
  <c r="Q2492" i="12"/>
  <c r="Q2493" i="12"/>
  <c r="Q2494" i="12"/>
  <c r="Q2495" i="12"/>
  <c r="Q2496" i="12"/>
  <c r="Q2497" i="12"/>
  <c r="Q2498" i="12"/>
  <c r="Q2499" i="12"/>
  <c r="Q2500" i="12"/>
  <c r="Q2501" i="12"/>
  <c r="Q2502" i="12"/>
  <c r="Q2503" i="12"/>
  <c r="Q2504" i="12"/>
  <c r="Q2505" i="12"/>
  <c r="Q2506" i="12"/>
  <c r="Q2507" i="12"/>
  <c r="Q2508" i="12"/>
  <c r="Q2509" i="12"/>
  <c r="Q2510" i="12"/>
  <c r="Q2511" i="12"/>
  <c r="Q2512" i="12"/>
  <c r="Q2513" i="12"/>
  <c r="Q2514" i="12"/>
  <c r="Q2515" i="12"/>
  <c r="Q2516" i="12"/>
  <c r="Q2517" i="12"/>
  <c r="Q2518" i="12"/>
  <c r="Q2519" i="12"/>
  <c r="Q2520" i="12"/>
  <c r="Q2521" i="12"/>
  <c r="Q2522" i="12"/>
  <c r="Q2523" i="12"/>
  <c r="Q2524" i="12"/>
  <c r="Q2525" i="12"/>
  <c r="Q2526" i="12"/>
  <c r="Q2527" i="12"/>
  <c r="Q2528" i="12"/>
  <c r="Q2529" i="12"/>
  <c r="Q2530" i="12"/>
  <c r="Q2531" i="12"/>
  <c r="Q2532" i="12"/>
  <c r="Q2533" i="12"/>
  <c r="Q2534" i="12"/>
  <c r="Q2535" i="12"/>
  <c r="Q2536" i="12"/>
  <c r="Q2537" i="12"/>
  <c r="Q2538" i="12"/>
  <c r="Q2539" i="12"/>
  <c r="Q2540" i="12"/>
  <c r="Q2541" i="12"/>
  <c r="Q2542" i="12"/>
  <c r="Q2543" i="12"/>
  <c r="Q2544" i="12"/>
  <c r="Q2545" i="12"/>
  <c r="Q2546" i="12"/>
  <c r="Q2547" i="12"/>
  <c r="Q2548" i="12"/>
  <c r="Q2549" i="12"/>
  <c r="Q2550" i="12"/>
  <c r="Q2551" i="12"/>
  <c r="Q2552" i="12"/>
  <c r="Q2553" i="12"/>
  <c r="Q2554" i="12"/>
  <c r="Q2555" i="12"/>
  <c r="Q2556" i="12"/>
  <c r="Q2557" i="12"/>
  <c r="Q2558" i="12"/>
  <c r="Q2559" i="12"/>
  <c r="Q2560" i="12"/>
  <c r="Q2561" i="12"/>
  <c r="Q2562" i="12"/>
  <c r="Q2563" i="12"/>
  <c r="Q2564" i="12"/>
  <c r="Q2565" i="12"/>
  <c r="Q2566" i="12"/>
  <c r="Q2567" i="12"/>
  <c r="Q2568" i="12"/>
  <c r="Q2569" i="12"/>
  <c r="Q2570" i="12"/>
  <c r="Q2571" i="12"/>
  <c r="Q2572" i="12"/>
  <c r="Q2573" i="12"/>
  <c r="Q2574" i="12"/>
  <c r="Q2575" i="12"/>
  <c r="Q2576" i="12"/>
  <c r="Q2577" i="12"/>
  <c r="Q2578" i="12"/>
  <c r="Q2579" i="12"/>
  <c r="Q2580" i="12"/>
  <c r="Q2581" i="12"/>
  <c r="Q2582" i="12"/>
  <c r="Q2583" i="12"/>
  <c r="Q2584" i="12"/>
  <c r="Q2585" i="12"/>
  <c r="Q2586" i="12"/>
  <c r="Q2587" i="12"/>
  <c r="Q2588" i="12"/>
  <c r="Q2589" i="12"/>
  <c r="Q2590" i="12"/>
  <c r="Q2591" i="12"/>
  <c r="Q2592" i="12"/>
  <c r="Q2593" i="12"/>
  <c r="Q2594" i="12"/>
  <c r="Q2595" i="12"/>
  <c r="Q2596" i="12"/>
  <c r="Q2597" i="12"/>
  <c r="Q2598" i="12"/>
  <c r="Q2599" i="12"/>
  <c r="Q2600" i="12"/>
  <c r="Q2601" i="12"/>
  <c r="Q2602" i="12"/>
  <c r="Q2603" i="12"/>
  <c r="Q2604" i="12"/>
  <c r="Q2605" i="12"/>
  <c r="Q2606" i="12"/>
  <c r="Q2607" i="12"/>
  <c r="Q2608" i="12"/>
  <c r="Q2609" i="12"/>
  <c r="Q2610" i="12"/>
  <c r="Q2611" i="12"/>
  <c r="Q2612" i="12"/>
  <c r="Q2613" i="12"/>
  <c r="Q2614" i="12"/>
  <c r="Q2615" i="12"/>
  <c r="Q2616" i="12"/>
  <c r="Q2617" i="12"/>
  <c r="Q2618" i="12"/>
  <c r="Q2619" i="12"/>
  <c r="Q2620" i="12"/>
  <c r="Q2621" i="12"/>
  <c r="Q2622" i="12"/>
  <c r="Q2623" i="12"/>
  <c r="Q2624" i="12"/>
  <c r="Q2625" i="12"/>
  <c r="Q2626" i="12"/>
  <c r="Q2627" i="12"/>
  <c r="Q2628" i="12"/>
  <c r="Q2629" i="12"/>
  <c r="Q2630" i="12"/>
  <c r="Q2631" i="12"/>
  <c r="Q2632" i="12"/>
  <c r="Q2633" i="12"/>
  <c r="Q2634" i="12"/>
  <c r="Q2635" i="12"/>
  <c r="Q2636" i="12"/>
  <c r="Q2637" i="12"/>
  <c r="Q2638" i="12"/>
  <c r="Q2639" i="12"/>
  <c r="Q2640" i="12"/>
  <c r="Q2641" i="12"/>
  <c r="Q2642" i="12"/>
  <c r="Q2643" i="12"/>
  <c r="Q2644" i="12"/>
  <c r="Q2645" i="12"/>
  <c r="Q2646" i="12"/>
  <c r="Q2647" i="12"/>
  <c r="Q2648" i="12"/>
  <c r="Q2649" i="12"/>
  <c r="Q2650" i="12"/>
  <c r="Q2651" i="12"/>
  <c r="Q2652" i="12"/>
  <c r="Q2653" i="12"/>
  <c r="Q2654" i="12"/>
  <c r="Q2655" i="12"/>
  <c r="Q2656" i="12"/>
  <c r="Q2657" i="12"/>
  <c r="Q2658" i="12"/>
  <c r="Q2659" i="12"/>
  <c r="Q2660" i="12"/>
  <c r="Q2661" i="12"/>
  <c r="Q2662" i="12"/>
  <c r="Q2663" i="12"/>
  <c r="Q2664" i="12"/>
  <c r="Q2665" i="12"/>
  <c r="Q2666" i="12"/>
  <c r="Q2667" i="12"/>
  <c r="Q2668" i="12"/>
  <c r="Q2669" i="12"/>
  <c r="Q2670" i="12"/>
  <c r="Q2671" i="12"/>
  <c r="Q2672" i="12"/>
  <c r="Q2673" i="12"/>
  <c r="Q2674" i="12"/>
  <c r="Q2675" i="12"/>
  <c r="Q2676" i="12"/>
  <c r="Q2677" i="12"/>
  <c r="Q2678" i="12"/>
  <c r="Q2679" i="12"/>
  <c r="Q2680" i="12"/>
  <c r="Q2681" i="12"/>
  <c r="Q2682" i="12"/>
  <c r="Q2683" i="12"/>
  <c r="Q2684" i="12"/>
  <c r="Q2685" i="12"/>
  <c r="Q2686" i="12"/>
  <c r="Q2687" i="12"/>
  <c r="Q2688" i="12"/>
  <c r="Q2689" i="12"/>
  <c r="Q2690" i="12"/>
  <c r="Q2691" i="12"/>
  <c r="Q2692" i="12"/>
  <c r="Q2693" i="12"/>
  <c r="Q2694" i="12"/>
  <c r="Q2695" i="12"/>
  <c r="Q2696" i="12"/>
  <c r="Q2697" i="12"/>
  <c r="Q2698" i="12"/>
  <c r="Q2699" i="12"/>
  <c r="Q2700" i="12"/>
  <c r="Q2701" i="12"/>
  <c r="Q2702" i="12"/>
  <c r="Q2703" i="12"/>
  <c r="Q2704" i="12"/>
  <c r="Q2705" i="12"/>
  <c r="Q2706" i="12"/>
  <c r="Q2707" i="12"/>
  <c r="Q2708" i="12"/>
  <c r="Q2709" i="12"/>
  <c r="Q2710" i="12"/>
  <c r="Q2711" i="12"/>
  <c r="Q2712" i="12"/>
  <c r="Q2713" i="12"/>
  <c r="Q2714" i="12"/>
  <c r="Q2715" i="12"/>
  <c r="Q2716" i="12"/>
  <c r="Q2717" i="12"/>
  <c r="Q2718" i="12"/>
  <c r="Q2719" i="12"/>
  <c r="Q2720" i="12"/>
  <c r="Q2721" i="12"/>
  <c r="Q2722" i="12"/>
  <c r="Q2723" i="12"/>
  <c r="Q2724" i="12"/>
  <c r="Q2725" i="12"/>
  <c r="Q2726" i="12"/>
  <c r="Q2727" i="12"/>
  <c r="Q2728" i="12"/>
  <c r="Q2729" i="12"/>
  <c r="Q2730" i="12"/>
  <c r="Q2731" i="12"/>
  <c r="Q2732" i="12"/>
  <c r="Q2733" i="12"/>
  <c r="Q2734" i="12"/>
  <c r="Q2735" i="12"/>
  <c r="Q2736" i="12"/>
  <c r="Q2737" i="12"/>
  <c r="Q2738" i="12"/>
  <c r="Q2739" i="12"/>
  <c r="Q2740" i="12"/>
  <c r="Q2741" i="12"/>
  <c r="Q2742" i="12"/>
  <c r="Q2743" i="12"/>
  <c r="Q2744" i="12"/>
  <c r="Q2745" i="12"/>
  <c r="Q2746" i="12"/>
  <c r="Q2747" i="12"/>
  <c r="Q2748" i="12"/>
  <c r="Q2749" i="12"/>
  <c r="Q2750" i="12"/>
  <c r="Q2751" i="12"/>
  <c r="Q2752" i="12"/>
  <c r="Q2753" i="12"/>
  <c r="Q2754" i="12"/>
  <c r="Q2755" i="12"/>
  <c r="Q2756" i="12"/>
  <c r="Q2757" i="12"/>
  <c r="Q2758" i="12"/>
  <c r="Q2759" i="12"/>
  <c r="Q2760" i="12"/>
  <c r="Q2761" i="12"/>
  <c r="Q2762" i="12"/>
  <c r="Q2763" i="12"/>
  <c r="Q2764" i="12"/>
  <c r="Q2765" i="12"/>
  <c r="Q2766" i="12"/>
  <c r="Q2767" i="12"/>
  <c r="Q2768" i="12"/>
  <c r="Q2769" i="12"/>
  <c r="Q2770" i="12"/>
  <c r="Q2771" i="12"/>
  <c r="Q2772" i="12"/>
  <c r="Q2773" i="12"/>
  <c r="Q2774" i="12"/>
  <c r="Q2775" i="12"/>
  <c r="Q2776" i="12"/>
  <c r="Q2777" i="12"/>
  <c r="Q2778" i="12"/>
  <c r="Q2779" i="12"/>
  <c r="Q2780" i="12"/>
  <c r="Q2781" i="12"/>
  <c r="Q2782" i="12"/>
  <c r="Q2783" i="12"/>
  <c r="Q2784" i="12"/>
  <c r="Q2785" i="12"/>
  <c r="Q2786" i="12"/>
  <c r="Q2787" i="12"/>
  <c r="Q2788" i="12"/>
  <c r="Q2789" i="12"/>
  <c r="Q2790" i="12"/>
  <c r="Q2791" i="12"/>
  <c r="Q2792" i="12"/>
  <c r="Q2793" i="12"/>
  <c r="Q2794" i="12"/>
  <c r="Q2795" i="12"/>
  <c r="Q2796" i="12"/>
  <c r="Q2797" i="12"/>
  <c r="Q2798" i="12"/>
  <c r="Q2799" i="12"/>
  <c r="Q2800" i="12"/>
  <c r="Q2801" i="12"/>
  <c r="Q2802" i="12"/>
  <c r="Q2803" i="12"/>
  <c r="Q2804" i="12"/>
  <c r="Q2805" i="12"/>
  <c r="Q2806" i="12"/>
  <c r="Q2807" i="12"/>
  <c r="Q2808" i="12"/>
  <c r="Q2809" i="12"/>
  <c r="Q2810" i="12"/>
  <c r="Q2811" i="12"/>
  <c r="Q2812" i="12"/>
  <c r="Q2813" i="12"/>
  <c r="Q2814" i="12"/>
  <c r="Q2815" i="12"/>
  <c r="Q2816" i="12"/>
  <c r="Q2817" i="12"/>
  <c r="Q2818" i="12"/>
  <c r="Q2819" i="12"/>
  <c r="Q2820" i="12"/>
  <c r="Q2821" i="12"/>
  <c r="Q2822" i="12"/>
  <c r="Q2823" i="12"/>
  <c r="Q2824" i="12"/>
  <c r="Q2825" i="12"/>
  <c r="Q2826" i="12"/>
  <c r="Q2827" i="12"/>
  <c r="Q2828" i="12"/>
  <c r="Q2829" i="12"/>
  <c r="Q2830" i="12"/>
  <c r="Q2831" i="12"/>
  <c r="Q2832" i="12"/>
  <c r="Q2833" i="12"/>
  <c r="Q2834" i="12"/>
  <c r="Q2835" i="12"/>
  <c r="Q2836" i="12"/>
  <c r="Q2837" i="12"/>
  <c r="Q2838" i="12"/>
  <c r="Q2839" i="12"/>
  <c r="Q2840" i="12"/>
  <c r="Q2841" i="12"/>
  <c r="Q2842" i="12"/>
  <c r="Q2843" i="12"/>
  <c r="Q2844" i="12"/>
  <c r="Q2845" i="12"/>
  <c r="Q2846" i="12"/>
  <c r="Q2847" i="12"/>
  <c r="Q2848" i="12"/>
  <c r="Q2849" i="12"/>
  <c r="Q2850" i="12"/>
  <c r="Q2851" i="12"/>
  <c r="Q2852" i="12"/>
  <c r="Q2853" i="12"/>
  <c r="Q2854" i="12"/>
  <c r="Q2855" i="12"/>
  <c r="Q2856" i="12"/>
  <c r="Q2857" i="12"/>
  <c r="Q2858" i="12"/>
  <c r="Q2859" i="12"/>
  <c r="Q2860" i="12"/>
  <c r="Q2861" i="12"/>
  <c r="Q2862" i="12"/>
  <c r="Q2863" i="12"/>
  <c r="Q2864" i="12"/>
  <c r="Q2865" i="12"/>
  <c r="Q2866" i="12"/>
  <c r="Q2867" i="12"/>
  <c r="Q2868" i="12"/>
  <c r="Q2869" i="12"/>
  <c r="Q2870" i="12"/>
  <c r="Q2871" i="12"/>
  <c r="Q2872" i="12"/>
  <c r="Q2873" i="12"/>
  <c r="Q2874" i="12"/>
  <c r="Q2875" i="12"/>
  <c r="Q2876" i="12"/>
  <c r="Q2877" i="12"/>
  <c r="Q2878" i="12"/>
  <c r="Q2879" i="12"/>
  <c r="Q2880" i="12"/>
  <c r="Q2881" i="12"/>
  <c r="Q2882" i="12"/>
  <c r="Q2883" i="12"/>
  <c r="Q2884" i="12"/>
  <c r="Q2885" i="12"/>
  <c r="Q2886" i="12"/>
  <c r="Q2887" i="12"/>
  <c r="Q2888" i="12"/>
  <c r="Q2889" i="12"/>
  <c r="Q2890" i="12"/>
  <c r="Q2891" i="12"/>
  <c r="Q2892" i="12"/>
  <c r="Q2893" i="12"/>
  <c r="Q2894" i="12"/>
  <c r="Q2895" i="12"/>
  <c r="Q2896" i="12"/>
  <c r="Q2897" i="12"/>
  <c r="Q2898" i="12"/>
  <c r="Q2899" i="12"/>
  <c r="Q2900" i="12"/>
  <c r="Q2901" i="12"/>
  <c r="Q2902" i="12"/>
  <c r="Q2903" i="12"/>
  <c r="Q2904" i="12"/>
  <c r="Q2905" i="12"/>
  <c r="Q2906" i="12"/>
  <c r="Q2907" i="12"/>
  <c r="Q2908" i="12"/>
  <c r="Q2909" i="12"/>
  <c r="Q2910" i="12"/>
  <c r="Q2911" i="12"/>
  <c r="Q2912" i="12"/>
  <c r="Q2913" i="12"/>
  <c r="Q2914" i="12"/>
  <c r="Q2915" i="12"/>
  <c r="Q2916" i="12"/>
  <c r="Q2917" i="12"/>
  <c r="Q2918" i="12"/>
  <c r="Q2919" i="12"/>
  <c r="Q2920" i="12"/>
  <c r="Q2921" i="12"/>
  <c r="Q2922" i="12"/>
  <c r="Q2923" i="12"/>
  <c r="Q2924" i="12"/>
  <c r="Q2925" i="12"/>
  <c r="Q2926" i="12"/>
  <c r="Q2927" i="12"/>
  <c r="Q2928" i="12"/>
  <c r="Q2929" i="12"/>
  <c r="Q2930" i="12"/>
  <c r="Q2931" i="12"/>
  <c r="Q2932" i="12"/>
  <c r="Q2933" i="12"/>
  <c r="Q2934" i="12"/>
  <c r="Q2935" i="12"/>
  <c r="Q2936" i="12"/>
  <c r="Q2937" i="12"/>
  <c r="Q2938" i="12"/>
  <c r="Q2939" i="12"/>
  <c r="Q2940" i="12"/>
  <c r="Q2941" i="12"/>
  <c r="Q2942" i="12"/>
  <c r="Q2943" i="12"/>
  <c r="Q2944" i="12"/>
  <c r="Q2945" i="12"/>
  <c r="Q2946" i="12"/>
  <c r="Q2947" i="12"/>
  <c r="Q2948" i="12"/>
  <c r="Q2949" i="12"/>
  <c r="Q2950" i="12"/>
  <c r="Q2951" i="12"/>
  <c r="Q2952" i="12"/>
  <c r="Q2953" i="12"/>
  <c r="Q2954" i="12"/>
  <c r="Q2955" i="12"/>
  <c r="Q2956" i="12"/>
  <c r="Q2957" i="12"/>
  <c r="Q2958" i="12"/>
  <c r="Q2959" i="12"/>
  <c r="Q2960" i="12"/>
  <c r="Q2961" i="12"/>
  <c r="Q2962" i="12"/>
  <c r="Q2963" i="12"/>
  <c r="Q2964" i="12"/>
  <c r="Q2965" i="12"/>
  <c r="Q2966" i="12"/>
  <c r="Q2967" i="12"/>
  <c r="Q2968" i="12"/>
  <c r="Q2969" i="12"/>
  <c r="Q2970" i="12"/>
  <c r="Q2971" i="12"/>
  <c r="Q2972" i="12"/>
  <c r="Q2973" i="12"/>
  <c r="Q2974" i="12"/>
  <c r="Q2975" i="12"/>
  <c r="Q2976" i="12"/>
  <c r="Q2977" i="12"/>
  <c r="Q2978" i="12"/>
  <c r="Q2979" i="12"/>
  <c r="Q2980" i="12"/>
  <c r="Q2981" i="12"/>
  <c r="Q2982" i="12"/>
  <c r="Q2983" i="12"/>
  <c r="Q2984" i="12"/>
  <c r="Q2985" i="12"/>
  <c r="Q2986" i="12"/>
  <c r="Q2987" i="12"/>
  <c r="Q2988" i="12"/>
  <c r="Q2989" i="12"/>
  <c r="Q2990" i="12"/>
  <c r="Q2991" i="12"/>
  <c r="Q2992" i="12"/>
  <c r="Q2993" i="12"/>
  <c r="Q2994" i="12"/>
  <c r="Q2995" i="12"/>
  <c r="Q2996" i="12"/>
  <c r="Q2997" i="12"/>
  <c r="Q2998" i="12"/>
  <c r="Q2999" i="12"/>
  <c r="Q3000" i="12"/>
  <c r="Q3001" i="12"/>
  <c r="Q3002" i="12"/>
  <c r="Q3003" i="12"/>
  <c r="Q13" i="12"/>
  <c r="P14" i="12"/>
  <c r="P15" i="12"/>
  <c r="P16" i="12"/>
  <c r="P17" i="12"/>
  <c r="P18" i="12"/>
  <c r="P19" i="12"/>
  <c r="P20" i="12"/>
  <c r="P21" i="12"/>
  <c r="P22" i="12"/>
  <c r="P23" i="12"/>
  <c r="P24" i="12"/>
  <c r="P25" i="12"/>
  <c r="P26" i="12"/>
  <c r="P27" i="12"/>
  <c r="P28" i="12"/>
  <c r="P29" i="12"/>
  <c r="P30" i="12"/>
  <c r="P31" i="12"/>
  <c r="P32" i="12"/>
  <c r="P33" i="12"/>
  <c r="P34" i="12"/>
  <c r="P35" i="12"/>
  <c r="P36" i="12"/>
  <c r="P37" i="12"/>
  <c r="P38" i="12"/>
  <c r="P39" i="12"/>
  <c r="P40" i="12"/>
  <c r="P41" i="12"/>
  <c r="P42" i="12"/>
  <c r="P43" i="12"/>
  <c r="P44" i="12"/>
  <c r="P45" i="12"/>
  <c r="P46" i="12"/>
  <c r="P47" i="12"/>
  <c r="P48" i="12"/>
  <c r="P49" i="12"/>
  <c r="P50" i="12"/>
  <c r="P51" i="12"/>
  <c r="P52" i="12"/>
  <c r="P53" i="12"/>
  <c r="P54" i="12"/>
  <c r="P55" i="12"/>
  <c r="P56" i="12"/>
  <c r="P57" i="12"/>
  <c r="P58" i="12"/>
  <c r="P59" i="12"/>
  <c r="P60" i="12"/>
  <c r="P61" i="12"/>
  <c r="P62" i="12"/>
  <c r="P63" i="12"/>
  <c r="P64" i="12"/>
  <c r="P65" i="12"/>
  <c r="P66" i="12"/>
  <c r="P67" i="12"/>
  <c r="P68" i="12"/>
  <c r="P69" i="12"/>
  <c r="P70" i="12"/>
  <c r="P71" i="12"/>
  <c r="P72" i="12"/>
  <c r="P73" i="12"/>
  <c r="P74" i="12"/>
  <c r="P75" i="12"/>
  <c r="P76" i="12"/>
  <c r="P77" i="12"/>
  <c r="P78" i="12"/>
  <c r="P79" i="12"/>
  <c r="P80" i="12"/>
  <c r="P81" i="12"/>
  <c r="P82" i="12"/>
  <c r="P83" i="12"/>
  <c r="P84" i="12"/>
  <c r="P85" i="12"/>
  <c r="P86" i="12"/>
  <c r="P87" i="12"/>
  <c r="P88" i="12"/>
  <c r="P89" i="12"/>
  <c r="P90" i="12"/>
  <c r="P91" i="12"/>
  <c r="P92" i="12"/>
  <c r="P93" i="12"/>
  <c r="P94" i="12"/>
  <c r="P95" i="12"/>
  <c r="P96" i="12"/>
  <c r="P97" i="12"/>
  <c r="P98" i="12"/>
  <c r="P99" i="12"/>
  <c r="P100" i="12"/>
  <c r="P101" i="12"/>
  <c r="P102" i="12"/>
  <c r="P103" i="12"/>
  <c r="P104" i="12"/>
  <c r="P105" i="12"/>
  <c r="P106" i="12"/>
  <c r="P107" i="12"/>
  <c r="P108" i="12"/>
  <c r="P109" i="12"/>
  <c r="P110" i="12"/>
  <c r="P111" i="12"/>
  <c r="P112" i="12"/>
  <c r="P113" i="12"/>
  <c r="P114" i="12"/>
  <c r="P115" i="12"/>
  <c r="P116" i="12"/>
  <c r="P117" i="12"/>
  <c r="P118" i="12"/>
  <c r="P119" i="12"/>
  <c r="P120" i="12"/>
  <c r="P121" i="12"/>
  <c r="P122" i="12"/>
  <c r="P123" i="12"/>
  <c r="P124" i="12"/>
  <c r="P125" i="12"/>
  <c r="P126" i="12"/>
  <c r="P127" i="12"/>
  <c r="P128" i="12"/>
  <c r="P129" i="12"/>
  <c r="P130" i="12"/>
  <c r="P131" i="12"/>
  <c r="P132" i="12"/>
  <c r="P133" i="12"/>
  <c r="P134" i="12"/>
  <c r="P135" i="12"/>
  <c r="P136" i="12"/>
  <c r="P137" i="12"/>
  <c r="P138" i="12"/>
  <c r="P139" i="12"/>
  <c r="P140" i="12"/>
  <c r="P141" i="12"/>
  <c r="P142" i="12"/>
  <c r="P143" i="12"/>
  <c r="P144" i="12"/>
  <c r="P145" i="12"/>
  <c r="P146" i="12"/>
  <c r="P147" i="12"/>
  <c r="P148" i="12"/>
  <c r="P149" i="12"/>
  <c r="P150" i="12"/>
  <c r="P151" i="12"/>
  <c r="P152" i="12"/>
  <c r="P153" i="12"/>
  <c r="P154" i="12"/>
  <c r="P155" i="12"/>
  <c r="P156" i="12"/>
  <c r="P157" i="12"/>
  <c r="P158" i="12"/>
  <c r="P159" i="12"/>
  <c r="P160" i="12"/>
  <c r="P161" i="12"/>
  <c r="P162" i="12"/>
  <c r="P163" i="12"/>
  <c r="P164" i="12"/>
  <c r="P165" i="12"/>
  <c r="P166" i="12"/>
  <c r="P167" i="12"/>
  <c r="P168" i="12"/>
  <c r="P169" i="12"/>
  <c r="P170" i="12"/>
  <c r="P171" i="12"/>
  <c r="P172" i="12"/>
  <c r="P173" i="12"/>
  <c r="P174" i="12"/>
  <c r="P175" i="12"/>
  <c r="P176" i="12"/>
  <c r="P177" i="12"/>
  <c r="P178" i="12"/>
  <c r="P179" i="12"/>
  <c r="P180" i="12"/>
  <c r="P181" i="12"/>
  <c r="P182" i="12"/>
  <c r="P183" i="12"/>
  <c r="P184" i="12"/>
  <c r="P185" i="12"/>
  <c r="P186" i="12"/>
  <c r="P187" i="12"/>
  <c r="P188" i="12"/>
  <c r="P189" i="12"/>
  <c r="P190" i="12"/>
  <c r="P191" i="12"/>
  <c r="P192" i="12"/>
  <c r="P193" i="12"/>
  <c r="P194" i="12"/>
  <c r="P195" i="12"/>
  <c r="P196" i="12"/>
  <c r="P197" i="12"/>
  <c r="P198" i="12"/>
  <c r="P199" i="12"/>
  <c r="P200" i="12"/>
  <c r="P201" i="12"/>
  <c r="P202" i="12"/>
  <c r="P203" i="12"/>
  <c r="P204" i="12"/>
  <c r="P205" i="12"/>
  <c r="P206" i="12"/>
  <c r="P207" i="12"/>
  <c r="P208" i="12"/>
  <c r="P209" i="12"/>
  <c r="P210" i="12"/>
  <c r="P211" i="12"/>
  <c r="P212" i="12"/>
  <c r="P213" i="12"/>
  <c r="P214" i="12"/>
  <c r="P215" i="12"/>
  <c r="P216" i="12"/>
  <c r="P217" i="12"/>
  <c r="P218" i="12"/>
  <c r="P219" i="12"/>
  <c r="P220" i="12"/>
  <c r="P221" i="12"/>
  <c r="P222" i="12"/>
  <c r="P223" i="12"/>
  <c r="P224" i="12"/>
  <c r="P225" i="12"/>
  <c r="P226" i="12"/>
  <c r="P227" i="12"/>
  <c r="P228" i="12"/>
  <c r="P229" i="12"/>
  <c r="P230" i="12"/>
  <c r="P231" i="12"/>
  <c r="P232" i="12"/>
  <c r="P233" i="12"/>
  <c r="P234" i="12"/>
  <c r="P235" i="12"/>
  <c r="P236" i="12"/>
  <c r="P237" i="12"/>
  <c r="P238" i="12"/>
  <c r="P239" i="12"/>
  <c r="P240" i="12"/>
  <c r="P241" i="12"/>
  <c r="P242" i="12"/>
  <c r="P243" i="12"/>
  <c r="P244" i="12"/>
  <c r="P245" i="12"/>
  <c r="P246" i="12"/>
  <c r="P247" i="12"/>
  <c r="P248" i="12"/>
  <c r="P249" i="12"/>
  <c r="P250" i="12"/>
  <c r="P251" i="12"/>
  <c r="P252" i="12"/>
  <c r="P253" i="12"/>
  <c r="P254" i="12"/>
  <c r="P255" i="12"/>
  <c r="P256" i="12"/>
  <c r="P257" i="12"/>
  <c r="P258" i="12"/>
  <c r="P259" i="12"/>
  <c r="P260" i="12"/>
  <c r="P261" i="12"/>
  <c r="P262" i="12"/>
  <c r="P263" i="12"/>
  <c r="P264" i="12"/>
  <c r="P265" i="12"/>
  <c r="P266" i="12"/>
  <c r="P267" i="12"/>
  <c r="P268" i="12"/>
  <c r="P269" i="12"/>
  <c r="P270" i="12"/>
  <c r="P271" i="12"/>
  <c r="P272" i="12"/>
  <c r="P273" i="12"/>
  <c r="P274" i="12"/>
  <c r="P275" i="12"/>
  <c r="P276" i="12"/>
  <c r="P277" i="12"/>
  <c r="P278" i="12"/>
  <c r="P279" i="12"/>
  <c r="P280" i="12"/>
  <c r="P281" i="12"/>
  <c r="P282" i="12"/>
  <c r="P283" i="12"/>
  <c r="P284" i="12"/>
  <c r="P285" i="12"/>
  <c r="P286" i="12"/>
  <c r="P287" i="12"/>
  <c r="P288" i="12"/>
  <c r="P289" i="12"/>
  <c r="P290" i="12"/>
  <c r="P291" i="12"/>
  <c r="P292" i="12"/>
  <c r="P293" i="12"/>
  <c r="P294" i="12"/>
  <c r="P295" i="12"/>
  <c r="P296" i="12"/>
  <c r="P297" i="12"/>
  <c r="P298" i="12"/>
  <c r="P299" i="12"/>
  <c r="P300" i="12"/>
  <c r="P301" i="12"/>
  <c r="P302" i="12"/>
  <c r="P303" i="12"/>
  <c r="P304" i="12"/>
  <c r="P305" i="12"/>
  <c r="P306" i="12"/>
  <c r="P307" i="12"/>
  <c r="P308" i="12"/>
  <c r="P309" i="12"/>
  <c r="P310" i="12"/>
  <c r="P311" i="12"/>
  <c r="P312" i="12"/>
  <c r="P313" i="12"/>
  <c r="P314" i="12"/>
  <c r="P315" i="12"/>
  <c r="P316" i="12"/>
  <c r="P317" i="12"/>
  <c r="P318" i="12"/>
  <c r="P319" i="12"/>
  <c r="P320" i="12"/>
  <c r="P321" i="12"/>
  <c r="P322" i="12"/>
  <c r="P323" i="12"/>
  <c r="P324" i="12"/>
  <c r="P325" i="12"/>
  <c r="P326" i="12"/>
  <c r="P327" i="12"/>
  <c r="P328" i="12"/>
  <c r="P329" i="12"/>
  <c r="P330" i="12"/>
  <c r="P331" i="12"/>
  <c r="P332" i="12"/>
  <c r="P333" i="12"/>
  <c r="P334" i="12"/>
  <c r="P335" i="12"/>
  <c r="P336" i="12"/>
  <c r="P337" i="12"/>
  <c r="P338" i="12"/>
  <c r="P339" i="12"/>
  <c r="P340" i="12"/>
  <c r="P341" i="12"/>
  <c r="P342" i="12"/>
  <c r="P343" i="12"/>
  <c r="P344" i="12"/>
  <c r="P345" i="12"/>
  <c r="P346" i="12"/>
  <c r="P347" i="12"/>
  <c r="P348" i="12"/>
  <c r="P349" i="12"/>
  <c r="P350" i="12"/>
  <c r="P351" i="12"/>
  <c r="P352" i="12"/>
  <c r="P353" i="12"/>
  <c r="P354" i="12"/>
  <c r="P355" i="12"/>
  <c r="P356" i="12"/>
  <c r="P357" i="12"/>
  <c r="P358" i="12"/>
  <c r="P359" i="12"/>
  <c r="P360" i="12"/>
  <c r="P361" i="12"/>
  <c r="P362" i="12"/>
  <c r="P363" i="12"/>
  <c r="P364" i="12"/>
  <c r="P365" i="12"/>
  <c r="P366" i="12"/>
  <c r="P367" i="12"/>
  <c r="P368" i="12"/>
  <c r="P369" i="12"/>
  <c r="P370" i="12"/>
  <c r="P371" i="12"/>
  <c r="P372" i="12"/>
  <c r="P373" i="12"/>
  <c r="P374" i="12"/>
  <c r="P375" i="12"/>
  <c r="P376" i="12"/>
  <c r="P377" i="12"/>
  <c r="P378" i="12"/>
  <c r="P379" i="12"/>
  <c r="P380" i="12"/>
  <c r="P381" i="12"/>
  <c r="P382" i="12"/>
  <c r="P383" i="12"/>
  <c r="P384" i="12"/>
  <c r="P385" i="12"/>
  <c r="P386" i="12"/>
  <c r="P387" i="12"/>
  <c r="P388" i="12"/>
  <c r="P389" i="12"/>
  <c r="P390" i="12"/>
  <c r="P391" i="12"/>
  <c r="P392" i="12"/>
  <c r="P393" i="12"/>
  <c r="P394" i="12"/>
  <c r="P395" i="12"/>
  <c r="P396" i="12"/>
  <c r="P397" i="12"/>
  <c r="P398" i="12"/>
  <c r="P399" i="12"/>
  <c r="P400" i="12"/>
  <c r="P401" i="12"/>
  <c r="P402" i="12"/>
  <c r="P403" i="12"/>
  <c r="P404" i="12"/>
  <c r="P405" i="12"/>
  <c r="P406" i="12"/>
  <c r="P407" i="12"/>
  <c r="P408" i="12"/>
  <c r="P409" i="12"/>
  <c r="P410" i="12"/>
  <c r="P411" i="12"/>
  <c r="P412" i="12"/>
  <c r="P413" i="12"/>
  <c r="P414" i="12"/>
  <c r="P415" i="12"/>
  <c r="P416" i="12"/>
  <c r="P417" i="12"/>
  <c r="P418" i="12"/>
  <c r="P419" i="12"/>
  <c r="P420" i="12"/>
  <c r="P421" i="12"/>
  <c r="P422" i="12"/>
  <c r="P423" i="12"/>
  <c r="P424" i="12"/>
  <c r="P425" i="12"/>
  <c r="P426" i="12"/>
  <c r="P427" i="12"/>
  <c r="P428" i="12"/>
  <c r="P429" i="12"/>
  <c r="P430" i="12"/>
  <c r="P431" i="12"/>
  <c r="P432" i="12"/>
  <c r="P433" i="12"/>
  <c r="P434" i="12"/>
  <c r="P435" i="12"/>
  <c r="P436" i="12"/>
  <c r="P437" i="12"/>
  <c r="P438" i="12"/>
  <c r="P439" i="12"/>
  <c r="P440" i="12"/>
  <c r="P441" i="12"/>
  <c r="P442" i="12"/>
  <c r="P443" i="12"/>
  <c r="P444" i="12"/>
  <c r="P445" i="12"/>
  <c r="P446" i="12"/>
  <c r="P447" i="12"/>
  <c r="P448" i="12"/>
  <c r="P449" i="12"/>
  <c r="P450" i="12"/>
  <c r="P451" i="12"/>
  <c r="P452" i="12"/>
  <c r="P453" i="12"/>
  <c r="P454" i="12"/>
  <c r="P455" i="12"/>
  <c r="P456" i="12"/>
  <c r="P457" i="12"/>
  <c r="P458" i="12"/>
  <c r="P459" i="12"/>
  <c r="P460" i="12"/>
  <c r="P461" i="12"/>
  <c r="P462" i="12"/>
  <c r="P463" i="12"/>
  <c r="P464" i="12"/>
  <c r="P465" i="12"/>
  <c r="P466" i="12"/>
  <c r="P467" i="12"/>
  <c r="P468" i="12"/>
  <c r="P469" i="12"/>
  <c r="P470" i="12"/>
  <c r="P471" i="12"/>
  <c r="P472" i="12"/>
  <c r="P473" i="12"/>
  <c r="P474" i="12"/>
  <c r="P475" i="12"/>
  <c r="P476" i="12"/>
  <c r="P477" i="12"/>
  <c r="P478" i="12"/>
  <c r="P479" i="12"/>
  <c r="P480" i="12"/>
  <c r="P481" i="12"/>
  <c r="P482" i="12"/>
  <c r="P483" i="12"/>
  <c r="P484" i="12"/>
  <c r="P485" i="12"/>
  <c r="P486" i="12"/>
  <c r="P487" i="12"/>
  <c r="P488" i="12"/>
  <c r="P489" i="12"/>
  <c r="P490" i="12"/>
  <c r="P491" i="12"/>
  <c r="P492" i="12"/>
  <c r="P493" i="12"/>
  <c r="P494" i="12"/>
  <c r="P495" i="12"/>
  <c r="P496" i="12"/>
  <c r="P497" i="12"/>
  <c r="P498" i="12"/>
  <c r="P499" i="12"/>
  <c r="P500" i="12"/>
  <c r="P501" i="12"/>
  <c r="P502" i="12"/>
  <c r="P503" i="12"/>
  <c r="P504" i="12"/>
  <c r="P505" i="12"/>
  <c r="P506" i="12"/>
  <c r="P507" i="12"/>
  <c r="P508" i="12"/>
  <c r="P509" i="12"/>
  <c r="P510" i="12"/>
  <c r="P511" i="12"/>
  <c r="P512" i="12"/>
  <c r="P513" i="12"/>
  <c r="P514" i="12"/>
  <c r="P515" i="12"/>
  <c r="P516" i="12"/>
  <c r="P517" i="12"/>
  <c r="P518" i="12"/>
  <c r="P519" i="12"/>
  <c r="P520" i="12"/>
  <c r="P521" i="12"/>
  <c r="P522" i="12"/>
  <c r="P523" i="12"/>
  <c r="P524" i="12"/>
  <c r="P525" i="12"/>
  <c r="P526" i="12"/>
  <c r="P527" i="12"/>
  <c r="P528" i="12"/>
  <c r="P529" i="12"/>
  <c r="P530" i="12"/>
  <c r="P531" i="12"/>
  <c r="P532" i="12"/>
  <c r="P533" i="12"/>
  <c r="P534" i="12"/>
  <c r="P535" i="12"/>
  <c r="P536" i="12"/>
  <c r="P537" i="12"/>
  <c r="P538" i="12"/>
  <c r="P539" i="12"/>
  <c r="P540" i="12"/>
  <c r="P541" i="12"/>
  <c r="P542" i="12"/>
  <c r="P543" i="12"/>
  <c r="P544" i="12"/>
  <c r="P545" i="12"/>
  <c r="P546" i="12"/>
  <c r="P547" i="12"/>
  <c r="P548" i="12"/>
  <c r="P549" i="12"/>
  <c r="P550" i="12"/>
  <c r="P551" i="12"/>
  <c r="P552" i="12"/>
  <c r="P553" i="12"/>
  <c r="P554" i="12"/>
  <c r="P555" i="12"/>
  <c r="P556" i="12"/>
  <c r="P557" i="12"/>
  <c r="P558" i="12"/>
  <c r="P559" i="12"/>
  <c r="P560" i="12"/>
  <c r="P561" i="12"/>
  <c r="P562" i="12"/>
  <c r="P563" i="12"/>
  <c r="P564" i="12"/>
  <c r="P565" i="12"/>
  <c r="P566" i="12"/>
  <c r="P567" i="12"/>
  <c r="P568" i="12"/>
  <c r="P569" i="12"/>
  <c r="P570" i="12"/>
  <c r="P571" i="12"/>
  <c r="P572" i="12"/>
  <c r="P573" i="12"/>
  <c r="P574" i="12"/>
  <c r="P575" i="12"/>
  <c r="P576" i="12"/>
  <c r="P577" i="12"/>
  <c r="P578" i="12"/>
  <c r="P579" i="12"/>
  <c r="P580" i="12"/>
  <c r="P581" i="12"/>
  <c r="P582" i="12"/>
  <c r="P583" i="12"/>
  <c r="P584" i="12"/>
  <c r="P585" i="12"/>
  <c r="P586" i="12"/>
  <c r="P587" i="12"/>
  <c r="P588" i="12"/>
  <c r="P589" i="12"/>
  <c r="P590" i="12"/>
  <c r="P591" i="12"/>
  <c r="P592" i="12"/>
  <c r="P593" i="12"/>
  <c r="P594" i="12"/>
  <c r="P595" i="12"/>
  <c r="P596" i="12"/>
  <c r="P597" i="12"/>
  <c r="P598" i="12"/>
  <c r="P599" i="12"/>
  <c r="P600" i="12"/>
  <c r="P601" i="12"/>
  <c r="P602" i="12"/>
  <c r="P603" i="12"/>
  <c r="P604" i="12"/>
  <c r="P605" i="12"/>
  <c r="P606" i="12"/>
  <c r="P607" i="12"/>
  <c r="P608" i="12"/>
  <c r="P609" i="12"/>
  <c r="P610" i="12"/>
  <c r="P611" i="12"/>
  <c r="P612" i="12"/>
  <c r="P613" i="12"/>
  <c r="P614" i="12"/>
  <c r="P615" i="12"/>
  <c r="P616" i="12"/>
  <c r="P617" i="12"/>
  <c r="P618" i="12"/>
  <c r="P619" i="12"/>
  <c r="P620" i="12"/>
  <c r="P621" i="12"/>
  <c r="P622" i="12"/>
  <c r="P623" i="12"/>
  <c r="P624" i="12"/>
  <c r="P625" i="12"/>
  <c r="P626" i="12"/>
  <c r="P627" i="12"/>
  <c r="P628" i="12"/>
  <c r="P629" i="12"/>
  <c r="P630" i="12"/>
  <c r="P631" i="12"/>
  <c r="P632" i="12"/>
  <c r="P633" i="12"/>
  <c r="P634" i="12"/>
  <c r="P635" i="12"/>
  <c r="P636" i="12"/>
  <c r="P637" i="12"/>
  <c r="P638" i="12"/>
  <c r="P639" i="12"/>
  <c r="P640" i="12"/>
  <c r="P641" i="12"/>
  <c r="P642" i="12"/>
  <c r="P643" i="12"/>
  <c r="P644" i="12"/>
  <c r="P645" i="12"/>
  <c r="P646" i="12"/>
  <c r="P647" i="12"/>
  <c r="P648" i="12"/>
  <c r="P649" i="12"/>
  <c r="P650" i="12"/>
  <c r="P651" i="12"/>
  <c r="P652" i="12"/>
  <c r="P653" i="12"/>
  <c r="P654" i="12"/>
  <c r="P655" i="12"/>
  <c r="P656" i="12"/>
  <c r="P657" i="12"/>
  <c r="P658" i="12"/>
  <c r="P659" i="12"/>
  <c r="P660" i="12"/>
  <c r="P661" i="12"/>
  <c r="P662" i="12"/>
  <c r="P663" i="12"/>
  <c r="P664" i="12"/>
  <c r="P665" i="12"/>
  <c r="P666" i="12"/>
  <c r="P667" i="12"/>
  <c r="P668" i="12"/>
  <c r="P669" i="12"/>
  <c r="P670" i="12"/>
  <c r="P671" i="12"/>
  <c r="P672" i="12"/>
  <c r="P673" i="12"/>
  <c r="P674" i="12"/>
  <c r="P675" i="12"/>
  <c r="P676" i="12"/>
  <c r="P677" i="12"/>
  <c r="P678" i="12"/>
  <c r="P679" i="12"/>
  <c r="P680" i="12"/>
  <c r="P681" i="12"/>
  <c r="P682" i="12"/>
  <c r="P683" i="12"/>
  <c r="P684" i="12"/>
  <c r="P685" i="12"/>
  <c r="P686" i="12"/>
  <c r="P687" i="12"/>
  <c r="P688" i="12"/>
  <c r="P689" i="12"/>
  <c r="P690" i="12"/>
  <c r="P691" i="12"/>
  <c r="P692" i="12"/>
  <c r="P693" i="12"/>
  <c r="P694" i="12"/>
  <c r="P695" i="12"/>
  <c r="P696" i="12"/>
  <c r="P697" i="12"/>
  <c r="P698" i="12"/>
  <c r="P699" i="12"/>
  <c r="P700" i="12"/>
  <c r="P701" i="12"/>
  <c r="P702" i="12"/>
  <c r="P703" i="12"/>
  <c r="P704" i="12"/>
  <c r="P705" i="12"/>
  <c r="P706" i="12"/>
  <c r="P707" i="12"/>
  <c r="P708" i="12"/>
  <c r="P709" i="12"/>
  <c r="P710" i="12"/>
  <c r="P711" i="12"/>
  <c r="P712" i="12"/>
  <c r="P713" i="12"/>
  <c r="P714" i="12"/>
  <c r="P715" i="12"/>
  <c r="P716" i="12"/>
  <c r="P717" i="12"/>
  <c r="P718" i="12"/>
  <c r="P719" i="12"/>
  <c r="P720" i="12"/>
  <c r="P721" i="12"/>
  <c r="P722" i="12"/>
  <c r="P723" i="12"/>
  <c r="P724" i="12"/>
  <c r="P725" i="12"/>
  <c r="P726" i="12"/>
  <c r="P727" i="12"/>
  <c r="P728" i="12"/>
  <c r="P729" i="12"/>
  <c r="P730" i="12"/>
  <c r="P731" i="12"/>
  <c r="P732" i="12"/>
  <c r="P733" i="12"/>
  <c r="P734" i="12"/>
  <c r="P735" i="12"/>
  <c r="P736" i="12"/>
  <c r="P737" i="12"/>
  <c r="P738" i="12"/>
  <c r="P739" i="12"/>
  <c r="P740" i="12"/>
  <c r="P741" i="12"/>
  <c r="P742" i="12"/>
  <c r="P743" i="12"/>
  <c r="P744" i="12"/>
  <c r="P745" i="12"/>
  <c r="P746" i="12"/>
  <c r="P747" i="12"/>
  <c r="P748" i="12"/>
  <c r="P749" i="12"/>
  <c r="P750" i="12"/>
  <c r="P751" i="12"/>
  <c r="P752" i="12"/>
  <c r="P753" i="12"/>
  <c r="P754" i="12"/>
  <c r="P755" i="12"/>
  <c r="P756" i="12"/>
  <c r="P757" i="12"/>
  <c r="P758" i="12"/>
  <c r="P759" i="12"/>
  <c r="P760" i="12"/>
  <c r="P761" i="12"/>
  <c r="P762" i="12"/>
  <c r="P763" i="12"/>
  <c r="P764" i="12"/>
  <c r="P765" i="12"/>
  <c r="P766" i="12"/>
  <c r="P767" i="12"/>
  <c r="P768" i="12"/>
  <c r="P769" i="12"/>
  <c r="P770" i="12"/>
  <c r="P771" i="12"/>
  <c r="P772" i="12"/>
  <c r="P773" i="12"/>
  <c r="P774" i="12"/>
  <c r="P775" i="12"/>
  <c r="P776" i="12"/>
  <c r="P777" i="12"/>
  <c r="P778" i="12"/>
  <c r="P779" i="12"/>
  <c r="P780" i="12"/>
  <c r="P781" i="12"/>
  <c r="P782" i="12"/>
  <c r="P783" i="12"/>
  <c r="P784" i="12"/>
  <c r="P785" i="12"/>
  <c r="P786" i="12"/>
  <c r="P787" i="12"/>
  <c r="P788" i="12"/>
  <c r="P789" i="12"/>
  <c r="P790" i="12"/>
  <c r="P791" i="12"/>
  <c r="P792" i="12"/>
  <c r="P793" i="12"/>
  <c r="P794" i="12"/>
  <c r="P795" i="12"/>
  <c r="P796" i="12"/>
  <c r="P797" i="12"/>
  <c r="P798" i="12"/>
  <c r="P799" i="12"/>
  <c r="P800" i="12"/>
  <c r="P801" i="12"/>
  <c r="P802" i="12"/>
  <c r="P803" i="12"/>
  <c r="P804" i="12"/>
  <c r="P805" i="12"/>
  <c r="P806" i="12"/>
  <c r="P807" i="12"/>
  <c r="P808" i="12"/>
  <c r="P809" i="12"/>
  <c r="P810" i="12"/>
  <c r="P811" i="12"/>
  <c r="P812" i="12"/>
  <c r="P813" i="12"/>
  <c r="P814" i="12"/>
  <c r="P815" i="12"/>
  <c r="P816" i="12"/>
  <c r="P817" i="12"/>
  <c r="P818" i="12"/>
  <c r="P819" i="12"/>
  <c r="P820" i="12"/>
  <c r="P821" i="12"/>
  <c r="P822" i="12"/>
  <c r="P823" i="12"/>
  <c r="P824" i="12"/>
  <c r="P825" i="12"/>
  <c r="P826" i="12"/>
  <c r="P827" i="12"/>
  <c r="P828" i="12"/>
  <c r="P829" i="12"/>
  <c r="P830" i="12"/>
  <c r="P831" i="12"/>
  <c r="P832" i="12"/>
  <c r="P833" i="12"/>
  <c r="P834" i="12"/>
  <c r="P835" i="12"/>
  <c r="P836" i="12"/>
  <c r="P837" i="12"/>
  <c r="P838" i="12"/>
  <c r="P839" i="12"/>
  <c r="P840" i="12"/>
  <c r="P841" i="12"/>
  <c r="P842" i="12"/>
  <c r="P843" i="12"/>
  <c r="P844" i="12"/>
  <c r="P845" i="12"/>
  <c r="P846" i="12"/>
  <c r="P847" i="12"/>
  <c r="P848" i="12"/>
  <c r="P849" i="12"/>
  <c r="P850" i="12"/>
  <c r="P851" i="12"/>
  <c r="P852" i="12"/>
  <c r="P853" i="12"/>
  <c r="P854" i="12"/>
  <c r="P855" i="12"/>
  <c r="P856" i="12"/>
  <c r="P857" i="12"/>
  <c r="P858" i="12"/>
  <c r="P859" i="12"/>
  <c r="P860" i="12"/>
  <c r="P861" i="12"/>
  <c r="P862" i="12"/>
  <c r="P863" i="12"/>
  <c r="P864" i="12"/>
  <c r="P865" i="12"/>
  <c r="P866" i="12"/>
  <c r="P867" i="12"/>
  <c r="P868" i="12"/>
  <c r="P869" i="12"/>
  <c r="P870" i="12"/>
  <c r="P871" i="12"/>
  <c r="P872" i="12"/>
  <c r="P873" i="12"/>
  <c r="P874" i="12"/>
  <c r="P875" i="12"/>
  <c r="P876" i="12"/>
  <c r="P877" i="12"/>
  <c r="P878" i="12"/>
  <c r="P879" i="12"/>
  <c r="P880" i="12"/>
  <c r="P881" i="12"/>
  <c r="P882" i="12"/>
  <c r="P883" i="12"/>
  <c r="P884" i="12"/>
  <c r="P885" i="12"/>
  <c r="P886" i="12"/>
  <c r="P887" i="12"/>
  <c r="P888" i="12"/>
  <c r="P889" i="12"/>
  <c r="P890" i="12"/>
  <c r="P891" i="12"/>
  <c r="P892" i="12"/>
  <c r="P893" i="12"/>
  <c r="P894" i="12"/>
  <c r="P895" i="12"/>
  <c r="P896" i="12"/>
  <c r="P897" i="12"/>
  <c r="P898" i="12"/>
  <c r="P899" i="12"/>
  <c r="P900" i="12"/>
  <c r="P901" i="12"/>
  <c r="P902" i="12"/>
  <c r="P903" i="12"/>
  <c r="P904" i="12"/>
  <c r="P905" i="12"/>
  <c r="P906" i="12"/>
  <c r="P907" i="12"/>
  <c r="P908" i="12"/>
  <c r="P909" i="12"/>
  <c r="P910" i="12"/>
  <c r="P911" i="12"/>
  <c r="P912" i="12"/>
  <c r="P913" i="12"/>
  <c r="P914" i="12"/>
  <c r="P915" i="12"/>
  <c r="P916" i="12"/>
  <c r="P917" i="12"/>
  <c r="P918" i="12"/>
  <c r="P919" i="12"/>
  <c r="P920" i="12"/>
  <c r="P921" i="12"/>
  <c r="P922" i="12"/>
  <c r="P923" i="12"/>
  <c r="P924" i="12"/>
  <c r="P925" i="12"/>
  <c r="P926" i="12"/>
  <c r="P927" i="12"/>
  <c r="P928" i="12"/>
  <c r="P929" i="12"/>
  <c r="P930" i="12"/>
  <c r="P931" i="12"/>
  <c r="P932" i="12"/>
  <c r="P933" i="12"/>
  <c r="P934" i="12"/>
  <c r="P935" i="12"/>
  <c r="P936" i="12"/>
  <c r="P937" i="12"/>
  <c r="P938" i="12"/>
  <c r="P939" i="12"/>
  <c r="P940" i="12"/>
  <c r="P941" i="12"/>
  <c r="P942" i="12"/>
  <c r="P943" i="12"/>
  <c r="P944" i="12"/>
  <c r="P945" i="12"/>
  <c r="P946" i="12"/>
  <c r="P947" i="12"/>
  <c r="P948" i="12"/>
  <c r="P949" i="12"/>
  <c r="P950" i="12"/>
  <c r="P951" i="12"/>
  <c r="P952" i="12"/>
  <c r="P953" i="12"/>
  <c r="P954" i="12"/>
  <c r="P955" i="12"/>
  <c r="P956" i="12"/>
  <c r="P957" i="12"/>
  <c r="P958" i="12"/>
  <c r="P959" i="12"/>
  <c r="P960" i="12"/>
  <c r="P961" i="12"/>
  <c r="P962" i="12"/>
  <c r="P963" i="12"/>
  <c r="P964" i="12"/>
  <c r="P965" i="12"/>
  <c r="P966" i="12"/>
  <c r="P967" i="12"/>
  <c r="P968" i="12"/>
  <c r="P969" i="12"/>
  <c r="P970" i="12"/>
  <c r="P971" i="12"/>
  <c r="P972" i="12"/>
  <c r="P973" i="12"/>
  <c r="P974" i="12"/>
  <c r="P975" i="12"/>
  <c r="P976" i="12"/>
  <c r="P977" i="12"/>
  <c r="P978" i="12"/>
  <c r="P979" i="12"/>
  <c r="P980" i="12"/>
  <c r="P981" i="12"/>
  <c r="P982" i="12"/>
  <c r="P983" i="12"/>
  <c r="P984" i="12"/>
  <c r="P985" i="12"/>
  <c r="P986" i="12"/>
  <c r="P987" i="12"/>
  <c r="P988" i="12"/>
  <c r="P989" i="12"/>
  <c r="P990" i="12"/>
  <c r="P991" i="12"/>
  <c r="P992" i="12"/>
  <c r="P993" i="12"/>
  <c r="P994" i="12"/>
  <c r="P995" i="12"/>
  <c r="P996" i="12"/>
  <c r="P997" i="12"/>
  <c r="P998" i="12"/>
  <c r="P999" i="12"/>
  <c r="P1000" i="12"/>
  <c r="P1001" i="12"/>
  <c r="P1002" i="12"/>
  <c r="P1003" i="12"/>
  <c r="P1004" i="12"/>
  <c r="P1005" i="12"/>
  <c r="P1006" i="12"/>
  <c r="P1007" i="12"/>
  <c r="P1008" i="12"/>
  <c r="P1009" i="12"/>
  <c r="P1010" i="12"/>
  <c r="P1011" i="12"/>
  <c r="P1012" i="12"/>
  <c r="P1013" i="12"/>
  <c r="P1014" i="12"/>
  <c r="P1015" i="12"/>
  <c r="P1016" i="12"/>
  <c r="P1017" i="12"/>
  <c r="P1018" i="12"/>
  <c r="P1019" i="12"/>
  <c r="P1020" i="12"/>
  <c r="P1021" i="12"/>
  <c r="P1022" i="12"/>
  <c r="P1023" i="12"/>
  <c r="P1024" i="12"/>
  <c r="P1025" i="12"/>
  <c r="P1026" i="12"/>
  <c r="P1027" i="12"/>
  <c r="P1028" i="12"/>
  <c r="P1029" i="12"/>
  <c r="P1030" i="12"/>
  <c r="P1031" i="12"/>
  <c r="P1032" i="12"/>
  <c r="P1033" i="12"/>
  <c r="P1034" i="12"/>
  <c r="P1035" i="12"/>
  <c r="P1036" i="12"/>
  <c r="P1037" i="12"/>
  <c r="P1038" i="12"/>
  <c r="P1039" i="12"/>
  <c r="P1040" i="12"/>
  <c r="P1041" i="12"/>
  <c r="P1042" i="12"/>
  <c r="P1043" i="12"/>
  <c r="P1044" i="12"/>
  <c r="P1045" i="12"/>
  <c r="P1046" i="12"/>
  <c r="P1047" i="12"/>
  <c r="P1048" i="12"/>
  <c r="P1049" i="12"/>
  <c r="P1050" i="12"/>
  <c r="P1051" i="12"/>
  <c r="P1052" i="12"/>
  <c r="P1053" i="12"/>
  <c r="P1054" i="12"/>
  <c r="P1055" i="12"/>
  <c r="P1056" i="12"/>
  <c r="P1057" i="12"/>
  <c r="P1058" i="12"/>
  <c r="P1059" i="12"/>
  <c r="P1060" i="12"/>
  <c r="P1061" i="12"/>
  <c r="P1062" i="12"/>
  <c r="P1063" i="12"/>
  <c r="P1064" i="12"/>
  <c r="P1065" i="12"/>
  <c r="P1066" i="12"/>
  <c r="P1067" i="12"/>
  <c r="P1068" i="12"/>
  <c r="P1069" i="12"/>
  <c r="P1070" i="12"/>
  <c r="P1071" i="12"/>
  <c r="P1072" i="12"/>
  <c r="P1073" i="12"/>
  <c r="P1074" i="12"/>
  <c r="P1075" i="12"/>
  <c r="P1076" i="12"/>
  <c r="P1077" i="12"/>
  <c r="P1078" i="12"/>
  <c r="P1079" i="12"/>
  <c r="P1080" i="12"/>
  <c r="P1081" i="12"/>
  <c r="P1082" i="12"/>
  <c r="P1083" i="12"/>
  <c r="P1084" i="12"/>
  <c r="P1085" i="12"/>
  <c r="P1086" i="12"/>
  <c r="P1087" i="12"/>
  <c r="P1088" i="12"/>
  <c r="P1089" i="12"/>
  <c r="P1090" i="12"/>
  <c r="P1091" i="12"/>
  <c r="P1092" i="12"/>
  <c r="P1093" i="12"/>
  <c r="P1094" i="12"/>
  <c r="P1095" i="12"/>
  <c r="P1096" i="12"/>
  <c r="P1097" i="12"/>
  <c r="P1098" i="12"/>
  <c r="P1099" i="12"/>
  <c r="P1100" i="12"/>
  <c r="P1101" i="12"/>
  <c r="P1102" i="12"/>
  <c r="P1103" i="12"/>
  <c r="P1104" i="12"/>
  <c r="P1105" i="12"/>
  <c r="P1106" i="12"/>
  <c r="P1107" i="12"/>
  <c r="P1108" i="12"/>
  <c r="P1109" i="12"/>
  <c r="P1110" i="12"/>
  <c r="P1111" i="12"/>
  <c r="P1112" i="12"/>
  <c r="P1113" i="12"/>
  <c r="P1114" i="12"/>
  <c r="P1115" i="12"/>
  <c r="P1116" i="12"/>
  <c r="P1117" i="12"/>
  <c r="P1118" i="12"/>
  <c r="P1119" i="12"/>
  <c r="P1120" i="12"/>
  <c r="P1121" i="12"/>
  <c r="P1122" i="12"/>
  <c r="P1123" i="12"/>
  <c r="P1124" i="12"/>
  <c r="P1125" i="12"/>
  <c r="P1126" i="12"/>
  <c r="P1127" i="12"/>
  <c r="P1128" i="12"/>
  <c r="P1129" i="12"/>
  <c r="P1130" i="12"/>
  <c r="P1131" i="12"/>
  <c r="P1132" i="12"/>
  <c r="P1133" i="12"/>
  <c r="P1134" i="12"/>
  <c r="P1135" i="12"/>
  <c r="P1136" i="12"/>
  <c r="P1137" i="12"/>
  <c r="P1138" i="12"/>
  <c r="P1139" i="12"/>
  <c r="P1140" i="12"/>
  <c r="P1141" i="12"/>
  <c r="P1142" i="12"/>
  <c r="P1143" i="12"/>
  <c r="P1144" i="12"/>
  <c r="P1145" i="12"/>
  <c r="P1146" i="12"/>
  <c r="P1147" i="12"/>
  <c r="P1148" i="12"/>
  <c r="P1149" i="12"/>
  <c r="P1150" i="12"/>
  <c r="P1151" i="12"/>
  <c r="P1152" i="12"/>
  <c r="P1153" i="12"/>
  <c r="P1154" i="12"/>
  <c r="P1155" i="12"/>
  <c r="P1156" i="12"/>
  <c r="P1157" i="12"/>
  <c r="P1158" i="12"/>
  <c r="P1159" i="12"/>
  <c r="P1160" i="12"/>
  <c r="P1161" i="12"/>
  <c r="P1162" i="12"/>
  <c r="P1163" i="12"/>
  <c r="P1164" i="12"/>
  <c r="P1165" i="12"/>
  <c r="P1166" i="12"/>
  <c r="P1167" i="12"/>
  <c r="P1168" i="12"/>
  <c r="P1169" i="12"/>
  <c r="P1170" i="12"/>
  <c r="P1171" i="12"/>
  <c r="P1172" i="12"/>
  <c r="P1173" i="12"/>
  <c r="P1174" i="12"/>
  <c r="P1175" i="12"/>
  <c r="P1176" i="12"/>
  <c r="P1177" i="12"/>
  <c r="P1178" i="12"/>
  <c r="P1179" i="12"/>
  <c r="P1180" i="12"/>
  <c r="P1181" i="12"/>
  <c r="P1182" i="12"/>
  <c r="P1183" i="12"/>
  <c r="P1184" i="12"/>
  <c r="P1185" i="12"/>
  <c r="P1186" i="12"/>
  <c r="P1187" i="12"/>
  <c r="P1188" i="12"/>
  <c r="P1189" i="12"/>
  <c r="P1190" i="12"/>
  <c r="P1191" i="12"/>
  <c r="P1192" i="12"/>
  <c r="P1193" i="12"/>
  <c r="P1194" i="12"/>
  <c r="P1195" i="12"/>
  <c r="P1196" i="12"/>
  <c r="P1197" i="12"/>
  <c r="P1198" i="12"/>
  <c r="P1199" i="12"/>
  <c r="P1200" i="12"/>
  <c r="P1201" i="12"/>
  <c r="P1202" i="12"/>
  <c r="P1203" i="12"/>
  <c r="P1204" i="12"/>
  <c r="P1205" i="12"/>
  <c r="P1206" i="12"/>
  <c r="P1207" i="12"/>
  <c r="P1208" i="12"/>
  <c r="P1209" i="12"/>
  <c r="P1210" i="12"/>
  <c r="P1211" i="12"/>
  <c r="P1212" i="12"/>
  <c r="P1213" i="12"/>
  <c r="P1214" i="12"/>
  <c r="P1215" i="12"/>
  <c r="P1216" i="12"/>
  <c r="P1217" i="12"/>
  <c r="P1218" i="12"/>
  <c r="P1219" i="12"/>
  <c r="P1220" i="12"/>
  <c r="P1221" i="12"/>
  <c r="P1222" i="12"/>
  <c r="P1223" i="12"/>
  <c r="P1224" i="12"/>
  <c r="P1225" i="12"/>
  <c r="P1226" i="12"/>
  <c r="P1227" i="12"/>
  <c r="P1228" i="12"/>
  <c r="P1229" i="12"/>
  <c r="P1230" i="12"/>
  <c r="P1231" i="12"/>
  <c r="P1232" i="12"/>
  <c r="P1233" i="12"/>
  <c r="P1234" i="12"/>
  <c r="P1235" i="12"/>
  <c r="P1236" i="12"/>
  <c r="P1237" i="12"/>
  <c r="P1238" i="12"/>
  <c r="P1239" i="12"/>
  <c r="P1240" i="12"/>
  <c r="P1241" i="12"/>
  <c r="P1242" i="12"/>
  <c r="P1243" i="12"/>
  <c r="P1244" i="12"/>
  <c r="P1245" i="12"/>
  <c r="P1246" i="12"/>
  <c r="P1247" i="12"/>
  <c r="P1248" i="12"/>
  <c r="P1249" i="12"/>
  <c r="P1250" i="12"/>
  <c r="P1251" i="12"/>
  <c r="P1252" i="12"/>
  <c r="P1253" i="12"/>
  <c r="P1254" i="12"/>
  <c r="P1255" i="12"/>
  <c r="P1256" i="12"/>
  <c r="P1257" i="12"/>
  <c r="P1258" i="12"/>
  <c r="P1259" i="12"/>
  <c r="P1260" i="12"/>
  <c r="P1261" i="12"/>
  <c r="P1262" i="12"/>
  <c r="P1263" i="12"/>
  <c r="P1264" i="12"/>
  <c r="P1265" i="12"/>
  <c r="P1266" i="12"/>
  <c r="P1267" i="12"/>
  <c r="P1268" i="12"/>
  <c r="P1269" i="12"/>
  <c r="P1270" i="12"/>
  <c r="P1271" i="12"/>
  <c r="P1272" i="12"/>
  <c r="P1273" i="12"/>
  <c r="P1274" i="12"/>
  <c r="P1275" i="12"/>
  <c r="P1276" i="12"/>
  <c r="P1277" i="12"/>
  <c r="P1278" i="12"/>
  <c r="P1279" i="12"/>
  <c r="P1280" i="12"/>
  <c r="P1281" i="12"/>
  <c r="P1282" i="12"/>
  <c r="P1283" i="12"/>
  <c r="P1284" i="12"/>
  <c r="P1285" i="12"/>
  <c r="P1286" i="12"/>
  <c r="P1287" i="12"/>
  <c r="P1288" i="12"/>
  <c r="P1289" i="12"/>
  <c r="P1290" i="12"/>
  <c r="P1291" i="12"/>
  <c r="P1292" i="12"/>
  <c r="P1293" i="12"/>
  <c r="P1294" i="12"/>
  <c r="P1295" i="12"/>
  <c r="P1296" i="12"/>
  <c r="P1297" i="12"/>
  <c r="P1298" i="12"/>
  <c r="P1299" i="12"/>
  <c r="P1300" i="12"/>
  <c r="P1301" i="12"/>
  <c r="P1302" i="12"/>
  <c r="P1303" i="12"/>
  <c r="P1304" i="12"/>
  <c r="P1305" i="12"/>
  <c r="P1306" i="12"/>
  <c r="P1307" i="12"/>
  <c r="P1308" i="12"/>
  <c r="P1309" i="12"/>
  <c r="P1310" i="12"/>
  <c r="P1311" i="12"/>
  <c r="P1312" i="12"/>
  <c r="P1313" i="12"/>
  <c r="P1314" i="12"/>
  <c r="P1315" i="12"/>
  <c r="P1316" i="12"/>
  <c r="P1317" i="12"/>
  <c r="P1318" i="12"/>
  <c r="P1319" i="12"/>
  <c r="P1320" i="12"/>
  <c r="P1321" i="12"/>
  <c r="P1322" i="12"/>
  <c r="P1323" i="12"/>
  <c r="P1324" i="12"/>
  <c r="P1325" i="12"/>
  <c r="P1326" i="12"/>
  <c r="P1327" i="12"/>
  <c r="P1328" i="12"/>
  <c r="P1329" i="12"/>
  <c r="P1330" i="12"/>
  <c r="P1331" i="12"/>
  <c r="P1332" i="12"/>
  <c r="P1333" i="12"/>
  <c r="P1334" i="12"/>
  <c r="P1335" i="12"/>
  <c r="P1336" i="12"/>
  <c r="P1337" i="12"/>
  <c r="P1338" i="12"/>
  <c r="P1339" i="12"/>
  <c r="P1340" i="12"/>
  <c r="P1341" i="12"/>
  <c r="P1342" i="12"/>
  <c r="P1343" i="12"/>
  <c r="P1344" i="12"/>
  <c r="P1345" i="12"/>
  <c r="P1346" i="12"/>
  <c r="P1347" i="12"/>
  <c r="P1348" i="12"/>
  <c r="P1349" i="12"/>
  <c r="P1350" i="12"/>
  <c r="P1351" i="12"/>
  <c r="P1352" i="12"/>
  <c r="P1353" i="12"/>
  <c r="P1354" i="12"/>
  <c r="P1355" i="12"/>
  <c r="P1356" i="12"/>
  <c r="P1357" i="12"/>
  <c r="P1358" i="12"/>
  <c r="P1359" i="12"/>
  <c r="P1360" i="12"/>
  <c r="P1361" i="12"/>
  <c r="P1362" i="12"/>
  <c r="P1363" i="12"/>
  <c r="P1364" i="12"/>
  <c r="P1365" i="12"/>
  <c r="P1366" i="12"/>
  <c r="P1367" i="12"/>
  <c r="P1368" i="12"/>
  <c r="P1369" i="12"/>
  <c r="P1370" i="12"/>
  <c r="P1371" i="12"/>
  <c r="P1372" i="12"/>
  <c r="P1373" i="12"/>
  <c r="P1374" i="12"/>
  <c r="P1375" i="12"/>
  <c r="P1376" i="12"/>
  <c r="P1377" i="12"/>
  <c r="P1378" i="12"/>
  <c r="P1379" i="12"/>
  <c r="P1380" i="12"/>
  <c r="P1381" i="12"/>
  <c r="P1382" i="12"/>
  <c r="P1383" i="12"/>
  <c r="P1384" i="12"/>
  <c r="P1385" i="12"/>
  <c r="P1386" i="12"/>
  <c r="P1387" i="12"/>
  <c r="P1388" i="12"/>
  <c r="P1389" i="12"/>
  <c r="P1390" i="12"/>
  <c r="P1391" i="12"/>
  <c r="P1392" i="12"/>
  <c r="P1393" i="12"/>
  <c r="P1394" i="12"/>
  <c r="P1395" i="12"/>
  <c r="P1396" i="12"/>
  <c r="P1397" i="12"/>
  <c r="P1398" i="12"/>
  <c r="P1399" i="12"/>
  <c r="P1400" i="12"/>
  <c r="P1401" i="12"/>
  <c r="P1402" i="12"/>
  <c r="P1403" i="12"/>
  <c r="P1404" i="12"/>
  <c r="P1405" i="12"/>
  <c r="P1406" i="12"/>
  <c r="P1407" i="12"/>
  <c r="P1408" i="12"/>
  <c r="P1409" i="12"/>
  <c r="P1410" i="12"/>
  <c r="P1411" i="12"/>
  <c r="P1412" i="12"/>
  <c r="P1413" i="12"/>
  <c r="P1414" i="12"/>
  <c r="P1415" i="12"/>
  <c r="P1416" i="12"/>
  <c r="P1417" i="12"/>
  <c r="P1418" i="12"/>
  <c r="P1419" i="12"/>
  <c r="P1420" i="12"/>
  <c r="P1421" i="12"/>
  <c r="P1422" i="12"/>
  <c r="P1423" i="12"/>
  <c r="P1424" i="12"/>
  <c r="P1425" i="12"/>
  <c r="P1426" i="12"/>
  <c r="P1427" i="12"/>
  <c r="P1428" i="12"/>
  <c r="P1429" i="12"/>
  <c r="P1430" i="12"/>
  <c r="P1431" i="12"/>
  <c r="P1432" i="12"/>
  <c r="P1433" i="12"/>
  <c r="P1434" i="12"/>
  <c r="P1435" i="12"/>
  <c r="P1436" i="12"/>
  <c r="P1437" i="12"/>
  <c r="P1438" i="12"/>
  <c r="P1439" i="12"/>
  <c r="P1440" i="12"/>
  <c r="P1441" i="12"/>
  <c r="P1442" i="12"/>
  <c r="P1443" i="12"/>
  <c r="P1444" i="12"/>
  <c r="P1445" i="12"/>
  <c r="P1446" i="12"/>
  <c r="P1447" i="12"/>
  <c r="P1448" i="12"/>
  <c r="P1449" i="12"/>
  <c r="P1450" i="12"/>
  <c r="P1451" i="12"/>
  <c r="P1452" i="12"/>
  <c r="P1453" i="12"/>
  <c r="P1454" i="12"/>
  <c r="P1455" i="12"/>
  <c r="P1456" i="12"/>
  <c r="P1457" i="12"/>
  <c r="P1458" i="12"/>
  <c r="P1459" i="12"/>
  <c r="P1460" i="12"/>
  <c r="P1461" i="12"/>
  <c r="P1462" i="12"/>
  <c r="P1463" i="12"/>
  <c r="P1464" i="12"/>
  <c r="P1465" i="12"/>
  <c r="P1466" i="12"/>
  <c r="P1467" i="12"/>
  <c r="P1468" i="12"/>
  <c r="P1469" i="12"/>
  <c r="P1470" i="12"/>
  <c r="P1471" i="12"/>
  <c r="P1472" i="12"/>
  <c r="P1473" i="12"/>
  <c r="P1474" i="12"/>
  <c r="P1475" i="12"/>
  <c r="P1476" i="12"/>
  <c r="P1477" i="12"/>
  <c r="P1478" i="12"/>
  <c r="P1479" i="12"/>
  <c r="P1480" i="12"/>
  <c r="P1481" i="12"/>
  <c r="P1482" i="12"/>
  <c r="P1483" i="12"/>
  <c r="P1484" i="12"/>
  <c r="P1485" i="12"/>
  <c r="P1486" i="12"/>
  <c r="P1487" i="12"/>
  <c r="P1488" i="12"/>
  <c r="P1489" i="12"/>
  <c r="P1490" i="12"/>
  <c r="P1491" i="12"/>
  <c r="P1492" i="12"/>
  <c r="P1493" i="12"/>
  <c r="P1494" i="12"/>
  <c r="P1495" i="12"/>
  <c r="P1496" i="12"/>
  <c r="P1497" i="12"/>
  <c r="P1498" i="12"/>
  <c r="P1499" i="12"/>
  <c r="P1500" i="12"/>
  <c r="P1501" i="12"/>
  <c r="P1502" i="12"/>
  <c r="P1503" i="12"/>
  <c r="P1504" i="12"/>
  <c r="P1505" i="12"/>
  <c r="P1506" i="12"/>
  <c r="P1507" i="12"/>
  <c r="P1508" i="12"/>
  <c r="P1509" i="12"/>
  <c r="P1510" i="12"/>
  <c r="P1511" i="12"/>
  <c r="P1512" i="12"/>
  <c r="P1513" i="12"/>
  <c r="P1514" i="12"/>
  <c r="P1515" i="12"/>
  <c r="P1516" i="12"/>
  <c r="P1517" i="12"/>
  <c r="P1518" i="12"/>
  <c r="P1519" i="12"/>
  <c r="P1520" i="12"/>
  <c r="P1521" i="12"/>
  <c r="P1522" i="12"/>
  <c r="P1523" i="12"/>
  <c r="P1524" i="12"/>
  <c r="P1525" i="12"/>
  <c r="P1526" i="12"/>
  <c r="P1527" i="12"/>
  <c r="P1528" i="12"/>
  <c r="P1529" i="12"/>
  <c r="P1530" i="12"/>
  <c r="P1531" i="12"/>
  <c r="P1532" i="12"/>
  <c r="P1533" i="12"/>
  <c r="P1534" i="12"/>
  <c r="P1535" i="12"/>
  <c r="P1536" i="12"/>
  <c r="P1537" i="12"/>
  <c r="P1538" i="12"/>
  <c r="P1539" i="12"/>
  <c r="P1540" i="12"/>
  <c r="P1541" i="12"/>
  <c r="P1542" i="12"/>
  <c r="P1543" i="12"/>
  <c r="P1544" i="12"/>
  <c r="P1545" i="12"/>
  <c r="P1546" i="12"/>
  <c r="P1547" i="12"/>
  <c r="P1548" i="12"/>
  <c r="P1549" i="12"/>
  <c r="P1550" i="12"/>
  <c r="P1551" i="12"/>
  <c r="P1552" i="12"/>
  <c r="P1553" i="12"/>
  <c r="P1554" i="12"/>
  <c r="P1555" i="12"/>
  <c r="P1556" i="12"/>
  <c r="P1557" i="12"/>
  <c r="P1558" i="12"/>
  <c r="P1559" i="12"/>
  <c r="P1560" i="12"/>
  <c r="P1561" i="12"/>
  <c r="P1562" i="12"/>
  <c r="P1563" i="12"/>
  <c r="P1564" i="12"/>
  <c r="P1565" i="12"/>
  <c r="P1566" i="12"/>
  <c r="P1567" i="12"/>
  <c r="P1568" i="12"/>
  <c r="P1569" i="12"/>
  <c r="P1570" i="12"/>
  <c r="P1571" i="12"/>
  <c r="P1572" i="12"/>
  <c r="P1573" i="12"/>
  <c r="P1574" i="12"/>
  <c r="P1575" i="12"/>
  <c r="P1576" i="12"/>
  <c r="P1577" i="12"/>
  <c r="P1578" i="12"/>
  <c r="P1579" i="12"/>
  <c r="P1580" i="12"/>
  <c r="P1581" i="12"/>
  <c r="P1582" i="12"/>
  <c r="P1583" i="12"/>
  <c r="P1584" i="12"/>
  <c r="P1585" i="12"/>
  <c r="P1586" i="12"/>
  <c r="P1587" i="12"/>
  <c r="P1588" i="12"/>
  <c r="P1589" i="12"/>
  <c r="P1590" i="12"/>
  <c r="P1591" i="12"/>
  <c r="P1592" i="12"/>
  <c r="P1593" i="12"/>
  <c r="P1594" i="12"/>
  <c r="P1595" i="12"/>
  <c r="P1596" i="12"/>
  <c r="P1597" i="12"/>
  <c r="P1598" i="12"/>
  <c r="P1599" i="12"/>
  <c r="P1600" i="12"/>
  <c r="P1601" i="12"/>
  <c r="P1602" i="12"/>
  <c r="P1603" i="12"/>
  <c r="P1604" i="12"/>
  <c r="P1605" i="12"/>
  <c r="P1606" i="12"/>
  <c r="P1607" i="12"/>
  <c r="P1608" i="12"/>
  <c r="P1609" i="12"/>
  <c r="P1610" i="12"/>
  <c r="P1611" i="12"/>
  <c r="P1612" i="12"/>
  <c r="P1613" i="12"/>
  <c r="P1614" i="12"/>
  <c r="P1615" i="12"/>
  <c r="P1616" i="12"/>
  <c r="P1617" i="12"/>
  <c r="P1618" i="12"/>
  <c r="P1619" i="12"/>
  <c r="P1620" i="12"/>
  <c r="P1621" i="12"/>
  <c r="P1622" i="12"/>
  <c r="P1623" i="12"/>
  <c r="P1624" i="12"/>
  <c r="P1625" i="12"/>
  <c r="P1626" i="12"/>
  <c r="P1627" i="12"/>
  <c r="P1628" i="12"/>
  <c r="P1629" i="12"/>
  <c r="P1630" i="12"/>
  <c r="P1631" i="12"/>
  <c r="P1632" i="12"/>
  <c r="P1633" i="12"/>
  <c r="P1634" i="12"/>
  <c r="P1635" i="12"/>
  <c r="P1636" i="12"/>
  <c r="P1637" i="12"/>
  <c r="P1638" i="12"/>
  <c r="P1639" i="12"/>
  <c r="P1640" i="12"/>
  <c r="P1641" i="12"/>
  <c r="P1642" i="12"/>
  <c r="P1643" i="12"/>
  <c r="P1644" i="12"/>
  <c r="P1645" i="12"/>
  <c r="P1646" i="12"/>
  <c r="P1647" i="12"/>
  <c r="P1648" i="12"/>
  <c r="P1649" i="12"/>
  <c r="P1650" i="12"/>
  <c r="P1651" i="12"/>
  <c r="P1652" i="12"/>
  <c r="P1653" i="12"/>
  <c r="P1654" i="12"/>
  <c r="P1655" i="12"/>
  <c r="P1656" i="12"/>
  <c r="P1657" i="12"/>
  <c r="P1658" i="12"/>
  <c r="P1659" i="12"/>
  <c r="P1660" i="12"/>
  <c r="P1661" i="12"/>
  <c r="P1662" i="12"/>
  <c r="P1663" i="12"/>
  <c r="P1664" i="12"/>
  <c r="P1665" i="12"/>
  <c r="P1666" i="12"/>
  <c r="P1667" i="12"/>
  <c r="P1668" i="12"/>
  <c r="P1669" i="12"/>
  <c r="P1670" i="12"/>
  <c r="P1671" i="12"/>
  <c r="P1672" i="12"/>
  <c r="P1673" i="12"/>
  <c r="P1674" i="12"/>
  <c r="P1675" i="12"/>
  <c r="P1676" i="12"/>
  <c r="P1677" i="12"/>
  <c r="P1678" i="12"/>
  <c r="P1679" i="12"/>
  <c r="P1680" i="12"/>
  <c r="P1681" i="12"/>
  <c r="P1682" i="12"/>
  <c r="P1683" i="12"/>
  <c r="P1684" i="12"/>
  <c r="P1685" i="12"/>
  <c r="P1686" i="12"/>
  <c r="P1687" i="12"/>
  <c r="P1688" i="12"/>
  <c r="P1689" i="12"/>
  <c r="P1690" i="12"/>
  <c r="P1691" i="12"/>
  <c r="P1692" i="12"/>
  <c r="P1693" i="12"/>
  <c r="P1694" i="12"/>
  <c r="P1695" i="12"/>
  <c r="P1696" i="12"/>
  <c r="P1697" i="12"/>
  <c r="P1698" i="12"/>
  <c r="P1699" i="12"/>
  <c r="P1700" i="12"/>
  <c r="P1701" i="12"/>
  <c r="P1702" i="12"/>
  <c r="P1703" i="12"/>
  <c r="P1704" i="12"/>
  <c r="P1705" i="12"/>
  <c r="P1706" i="12"/>
  <c r="P1707" i="12"/>
  <c r="P1708" i="12"/>
  <c r="P1709" i="12"/>
  <c r="P1710" i="12"/>
  <c r="P1711" i="12"/>
  <c r="P1712" i="12"/>
  <c r="P1713" i="12"/>
  <c r="P1714" i="12"/>
  <c r="P1715" i="12"/>
  <c r="P1716" i="12"/>
  <c r="P1717" i="12"/>
  <c r="P1718" i="12"/>
  <c r="P1719" i="12"/>
  <c r="P1720" i="12"/>
  <c r="P1721" i="12"/>
  <c r="P1722" i="12"/>
  <c r="P1723" i="12"/>
  <c r="P1724" i="12"/>
  <c r="P1725" i="12"/>
  <c r="P1726" i="12"/>
  <c r="P1727" i="12"/>
  <c r="P1728" i="12"/>
  <c r="P1729" i="12"/>
  <c r="P1730" i="12"/>
  <c r="P1731" i="12"/>
  <c r="P1732" i="12"/>
  <c r="P1733" i="12"/>
  <c r="P1734" i="12"/>
  <c r="P1735" i="12"/>
  <c r="P1736" i="12"/>
  <c r="P1737" i="12"/>
  <c r="P1738" i="12"/>
  <c r="P1739" i="12"/>
  <c r="P1740" i="12"/>
  <c r="P1741" i="12"/>
  <c r="P1742" i="12"/>
  <c r="P1743" i="12"/>
  <c r="P1744" i="12"/>
  <c r="P1745" i="12"/>
  <c r="P1746" i="12"/>
  <c r="P1747" i="12"/>
  <c r="P1748" i="12"/>
  <c r="P1749" i="12"/>
  <c r="P1750" i="12"/>
  <c r="P1751" i="12"/>
  <c r="P1752" i="12"/>
  <c r="P1753" i="12"/>
  <c r="P1754" i="12"/>
  <c r="P1755" i="12"/>
  <c r="P1756" i="12"/>
  <c r="P1757" i="12"/>
  <c r="P1758" i="12"/>
  <c r="P1759" i="12"/>
  <c r="P1760" i="12"/>
  <c r="P1761" i="12"/>
  <c r="P1762" i="12"/>
  <c r="P1763" i="12"/>
  <c r="P1764" i="12"/>
  <c r="P1765" i="12"/>
  <c r="P1766" i="12"/>
  <c r="P1767" i="12"/>
  <c r="P1768" i="12"/>
  <c r="P1769" i="12"/>
  <c r="P1770" i="12"/>
  <c r="P1771" i="12"/>
  <c r="P1772" i="12"/>
  <c r="P1773" i="12"/>
  <c r="P1774" i="12"/>
  <c r="P1775" i="12"/>
  <c r="P1776" i="12"/>
  <c r="P1777" i="12"/>
  <c r="P1778" i="12"/>
  <c r="P1779" i="12"/>
  <c r="P1780" i="12"/>
  <c r="P1781" i="12"/>
  <c r="P1782" i="12"/>
  <c r="P1783" i="12"/>
  <c r="P1784" i="12"/>
  <c r="P1785" i="12"/>
  <c r="P1786" i="12"/>
  <c r="P1787" i="12"/>
  <c r="P1788" i="12"/>
  <c r="P1789" i="12"/>
  <c r="P1790" i="12"/>
  <c r="P1791" i="12"/>
  <c r="P1792" i="12"/>
  <c r="P1793" i="12"/>
  <c r="P1794" i="12"/>
  <c r="P1795" i="12"/>
  <c r="P1796" i="12"/>
  <c r="P1797" i="12"/>
  <c r="P1798" i="12"/>
  <c r="P1799" i="12"/>
  <c r="P1800" i="12"/>
  <c r="P1801" i="12"/>
  <c r="P1802" i="12"/>
  <c r="P1803" i="12"/>
  <c r="P1804" i="12"/>
  <c r="P1805" i="12"/>
  <c r="P1806" i="12"/>
  <c r="P1807" i="12"/>
  <c r="P1808" i="12"/>
  <c r="P1809" i="12"/>
  <c r="P1810" i="12"/>
  <c r="P1811" i="12"/>
  <c r="P1812" i="12"/>
  <c r="P1813" i="12"/>
  <c r="P1814" i="12"/>
  <c r="P1815" i="12"/>
  <c r="P1816" i="12"/>
  <c r="P1817" i="12"/>
  <c r="P1818" i="12"/>
  <c r="P1819" i="12"/>
  <c r="P1820" i="12"/>
  <c r="P1821" i="12"/>
  <c r="P1822" i="12"/>
  <c r="P1823" i="12"/>
  <c r="P1824" i="12"/>
  <c r="P1825" i="12"/>
  <c r="P1826" i="12"/>
  <c r="P1827" i="12"/>
  <c r="P1828" i="12"/>
  <c r="P1829" i="12"/>
  <c r="P1830" i="12"/>
  <c r="P1831" i="12"/>
  <c r="P1832" i="12"/>
  <c r="P1833" i="12"/>
  <c r="P1834" i="12"/>
  <c r="P1835" i="12"/>
  <c r="P1836" i="12"/>
  <c r="P1837" i="12"/>
  <c r="P1838" i="12"/>
  <c r="P1839" i="12"/>
  <c r="P1840" i="12"/>
  <c r="P1841" i="12"/>
  <c r="P1842" i="12"/>
  <c r="P1843" i="12"/>
  <c r="P1844" i="12"/>
  <c r="P1845" i="12"/>
  <c r="P1846" i="12"/>
  <c r="P1847" i="12"/>
  <c r="P1848" i="12"/>
  <c r="P1849" i="12"/>
  <c r="P1850" i="12"/>
  <c r="P1851" i="12"/>
  <c r="P1852" i="12"/>
  <c r="P1853" i="12"/>
  <c r="P1854" i="12"/>
  <c r="P1855" i="12"/>
  <c r="P1856" i="12"/>
  <c r="P1857" i="12"/>
  <c r="P1858" i="12"/>
  <c r="P1859" i="12"/>
  <c r="P1860" i="12"/>
  <c r="P1861" i="12"/>
  <c r="P1862" i="12"/>
  <c r="P1863" i="12"/>
  <c r="P1864" i="12"/>
  <c r="P1865" i="12"/>
  <c r="P1866" i="12"/>
  <c r="P1867" i="12"/>
  <c r="P1868" i="12"/>
  <c r="P1869" i="12"/>
  <c r="P1870" i="12"/>
  <c r="P1871" i="12"/>
  <c r="P1872" i="12"/>
  <c r="P1873" i="12"/>
  <c r="P1874" i="12"/>
  <c r="P1875" i="12"/>
  <c r="P1876" i="12"/>
  <c r="P1877" i="12"/>
  <c r="P1878" i="12"/>
  <c r="P1879" i="12"/>
  <c r="P1880" i="12"/>
  <c r="P1881" i="12"/>
  <c r="P1882" i="12"/>
  <c r="P1883" i="12"/>
  <c r="P1884" i="12"/>
  <c r="P1885" i="12"/>
  <c r="P1886" i="12"/>
  <c r="P1887" i="12"/>
  <c r="P1888" i="12"/>
  <c r="P1889" i="12"/>
  <c r="P1890" i="12"/>
  <c r="P1891" i="12"/>
  <c r="P1892" i="12"/>
  <c r="P1893" i="12"/>
  <c r="P1894" i="12"/>
  <c r="P1895" i="12"/>
  <c r="P1896" i="12"/>
  <c r="P1897" i="12"/>
  <c r="P1898" i="12"/>
  <c r="P1899" i="12"/>
  <c r="P1900" i="12"/>
  <c r="P1901" i="12"/>
  <c r="P1902" i="12"/>
  <c r="P1903" i="12"/>
  <c r="P1904" i="12"/>
  <c r="P1905" i="12"/>
  <c r="P1906" i="12"/>
  <c r="P1907" i="12"/>
  <c r="P1908" i="12"/>
  <c r="P1909" i="12"/>
  <c r="P1910" i="12"/>
  <c r="P1911" i="12"/>
  <c r="P1912" i="12"/>
  <c r="P1913" i="12"/>
  <c r="P1914" i="12"/>
  <c r="P1915" i="12"/>
  <c r="P1916" i="12"/>
  <c r="P1917" i="12"/>
  <c r="P1918" i="12"/>
  <c r="P1919" i="12"/>
  <c r="P1920" i="12"/>
  <c r="P1921" i="12"/>
  <c r="P1922" i="12"/>
  <c r="P1923" i="12"/>
  <c r="P1924" i="12"/>
  <c r="P1925" i="12"/>
  <c r="P1926" i="12"/>
  <c r="P1927" i="12"/>
  <c r="P1928" i="12"/>
  <c r="P1929" i="12"/>
  <c r="P1930" i="12"/>
  <c r="P1931" i="12"/>
  <c r="P1932" i="12"/>
  <c r="P1933" i="12"/>
  <c r="P1934" i="12"/>
  <c r="P1935" i="12"/>
  <c r="P1936" i="12"/>
  <c r="P1937" i="12"/>
  <c r="P1938" i="12"/>
  <c r="P1939" i="12"/>
  <c r="P1940" i="12"/>
  <c r="P1941" i="12"/>
  <c r="P1942" i="12"/>
  <c r="P1943" i="12"/>
  <c r="P1944" i="12"/>
  <c r="P1945" i="12"/>
  <c r="P1946" i="12"/>
  <c r="P1947" i="12"/>
  <c r="P1948" i="12"/>
  <c r="P1949" i="12"/>
  <c r="P1950" i="12"/>
  <c r="P1951" i="12"/>
  <c r="P1952" i="12"/>
  <c r="P1953" i="12"/>
  <c r="P1954" i="12"/>
  <c r="P1955" i="12"/>
  <c r="P1956" i="12"/>
  <c r="P1957" i="12"/>
  <c r="P1958" i="12"/>
  <c r="P1959" i="12"/>
  <c r="P1960" i="12"/>
  <c r="P1961" i="12"/>
  <c r="P1962" i="12"/>
  <c r="P1963" i="12"/>
  <c r="P1964" i="12"/>
  <c r="P1965" i="12"/>
  <c r="P1966" i="12"/>
  <c r="P1967" i="12"/>
  <c r="P1968" i="12"/>
  <c r="P1969" i="12"/>
  <c r="P1970" i="12"/>
  <c r="P1971" i="12"/>
  <c r="P1972" i="12"/>
  <c r="P1973" i="12"/>
  <c r="P1974" i="12"/>
  <c r="P1975" i="12"/>
  <c r="P1976" i="12"/>
  <c r="P1977" i="12"/>
  <c r="P1978" i="12"/>
  <c r="P1979" i="12"/>
  <c r="P1980" i="12"/>
  <c r="P1981" i="12"/>
  <c r="P1982" i="12"/>
  <c r="P1983" i="12"/>
  <c r="P1984" i="12"/>
  <c r="P1985" i="12"/>
  <c r="P1986" i="12"/>
  <c r="P1987" i="12"/>
  <c r="P1988" i="12"/>
  <c r="P1989" i="12"/>
  <c r="P1990" i="12"/>
  <c r="P1991" i="12"/>
  <c r="P1992" i="12"/>
  <c r="P1993" i="12"/>
  <c r="P1994" i="12"/>
  <c r="P1995" i="12"/>
  <c r="P1996" i="12"/>
  <c r="P1997" i="12"/>
  <c r="P1998" i="12"/>
  <c r="P1999" i="12"/>
  <c r="P2000" i="12"/>
  <c r="P2001" i="12"/>
  <c r="P2002" i="12"/>
  <c r="P2003" i="12"/>
  <c r="P2004" i="12"/>
  <c r="P2005" i="12"/>
  <c r="P2006" i="12"/>
  <c r="P2007" i="12"/>
  <c r="P2008" i="12"/>
  <c r="P2009" i="12"/>
  <c r="P2010" i="12"/>
  <c r="P2011" i="12"/>
  <c r="P2012" i="12"/>
  <c r="P2013" i="12"/>
  <c r="P2014" i="12"/>
  <c r="P2015" i="12"/>
  <c r="P2016" i="12"/>
  <c r="P2017" i="12"/>
  <c r="P2018" i="12"/>
  <c r="P2019" i="12"/>
  <c r="P2020" i="12"/>
  <c r="P2021" i="12"/>
  <c r="P2022" i="12"/>
  <c r="P2023" i="12"/>
  <c r="P2024" i="12"/>
  <c r="P2025" i="12"/>
  <c r="P2026" i="12"/>
  <c r="P2027" i="12"/>
  <c r="P2028" i="12"/>
  <c r="P2029" i="12"/>
  <c r="P2030" i="12"/>
  <c r="P2031" i="12"/>
  <c r="P2032" i="12"/>
  <c r="P2033" i="12"/>
  <c r="P2034" i="12"/>
  <c r="P2035" i="12"/>
  <c r="P2036" i="12"/>
  <c r="P2037" i="12"/>
  <c r="P2038" i="12"/>
  <c r="P2039" i="12"/>
  <c r="P2040" i="12"/>
  <c r="P2041" i="12"/>
  <c r="P2042" i="12"/>
  <c r="P2043" i="12"/>
  <c r="P2044" i="12"/>
  <c r="P2045" i="12"/>
  <c r="P2046" i="12"/>
  <c r="P2047" i="12"/>
  <c r="P2048" i="12"/>
  <c r="P2049" i="12"/>
  <c r="P2050" i="12"/>
  <c r="P2051" i="12"/>
  <c r="P2052" i="12"/>
  <c r="P2053" i="12"/>
  <c r="P2054" i="12"/>
  <c r="P2055" i="12"/>
  <c r="P2056" i="12"/>
  <c r="P2057" i="12"/>
  <c r="P2058" i="12"/>
  <c r="P2059" i="12"/>
  <c r="P2060" i="12"/>
  <c r="P2061" i="12"/>
  <c r="P2062" i="12"/>
  <c r="P2063" i="12"/>
  <c r="P2064" i="12"/>
  <c r="P2065" i="12"/>
  <c r="P2066" i="12"/>
  <c r="P2067" i="12"/>
  <c r="P2068" i="12"/>
  <c r="P2069" i="12"/>
  <c r="P2070" i="12"/>
  <c r="P2071" i="12"/>
  <c r="P2072" i="12"/>
  <c r="P2073" i="12"/>
  <c r="P2074" i="12"/>
  <c r="P2075" i="12"/>
  <c r="P2076" i="12"/>
  <c r="P2077" i="12"/>
  <c r="P2078" i="12"/>
  <c r="P2079" i="12"/>
  <c r="P2080" i="12"/>
  <c r="P2081" i="12"/>
  <c r="P2082" i="12"/>
  <c r="P2083" i="12"/>
  <c r="P2084" i="12"/>
  <c r="P2085" i="12"/>
  <c r="P2086" i="12"/>
  <c r="P2087" i="12"/>
  <c r="P2088" i="12"/>
  <c r="P2089" i="12"/>
  <c r="P2090" i="12"/>
  <c r="P2091" i="12"/>
  <c r="P2092" i="12"/>
  <c r="P2093" i="12"/>
  <c r="P2094" i="12"/>
  <c r="P2095" i="12"/>
  <c r="P2096" i="12"/>
  <c r="P2097" i="12"/>
  <c r="P2098" i="12"/>
  <c r="P2099" i="12"/>
  <c r="P2100" i="12"/>
  <c r="P2101" i="12"/>
  <c r="P2102" i="12"/>
  <c r="P2103" i="12"/>
  <c r="P2104" i="12"/>
  <c r="P2105" i="12"/>
  <c r="P2106" i="12"/>
  <c r="P2107" i="12"/>
  <c r="P2108" i="12"/>
  <c r="P2109" i="12"/>
  <c r="P2110" i="12"/>
  <c r="P2111" i="12"/>
  <c r="P2112" i="12"/>
  <c r="P2113" i="12"/>
  <c r="P2114" i="12"/>
  <c r="P2115" i="12"/>
  <c r="P2116" i="12"/>
  <c r="P2117" i="12"/>
  <c r="P2118" i="12"/>
  <c r="P2119" i="12"/>
  <c r="P2120" i="12"/>
  <c r="P2121" i="12"/>
  <c r="P2122" i="12"/>
  <c r="P2123" i="12"/>
  <c r="P2124" i="12"/>
  <c r="P2125" i="12"/>
  <c r="P2126" i="12"/>
  <c r="P2127" i="12"/>
  <c r="P2128" i="12"/>
  <c r="P2129" i="12"/>
  <c r="P2130" i="12"/>
  <c r="P2131" i="12"/>
  <c r="P2132" i="12"/>
  <c r="P2133" i="12"/>
  <c r="P2134" i="12"/>
  <c r="P2135" i="12"/>
  <c r="P2136" i="12"/>
  <c r="P2137" i="12"/>
  <c r="P2138" i="12"/>
  <c r="P2139" i="12"/>
  <c r="P2140" i="12"/>
  <c r="P2141" i="12"/>
  <c r="P2142" i="12"/>
  <c r="P2143" i="12"/>
  <c r="P2144" i="12"/>
  <c r="P2145" i="12"/>
  <c r="P2146" i="12"/>
  <c r="P2147" i="12"/>
  <c r="P2148" i="12"/>
  <c r="P2149" i="12"/>
  <c r="P2150" i="12"/>
  <c r="P2151" i="12"/>
  <c r="P2152" i="12"/>
  <c r="P2153" i="12"/>
  <c r="P2154" i="12"/>
  <c r="P2155" i="12"/>
  <c r="P2156" i="12"/>
  <c r="P2157" i="12"/>
  <c r="P2158" i="12"/>
  <c r="P2159" i="12"/>
  <c r="P2160" i="12"/>
  <c r="P2161" i="12"/>
  <c r="P2162" i="12"/>
  <c r="P2163" i="12"/>
  <c r="P2164" i="12"/>
  <c r="P2165" i="12"/>
  <c r="P2166" i="12"/>
  <c r="P2167" i="12"/>
  <c r="P2168" i="12"/>
  <c r="P2169" i="12"/>
  <c r="P2170" i="12"/>
  <c r="P2171" i="12"/>
  <c r="P2172" i="12"/>
  <c r="P2173" i="12"/>
  <c r="P2174" i="12"/>
  <c r="P2175" i="12"/>
  <c r="P2176" i="12"/>
  <c r="P2177" i="12"/>
  <c r="P2178" i="12"/>
  <c r="P2179" i="12"/>
  <c r="P2180" i="12"/>
  <c r="P2181" i="12"/>
  <c r="P2182" i="12"/>
  <c r="P2183" i="12"/>
  <c r="P2184" i="12"/>
  <c r="P2185" i="12"/>
  <c r="P2186" i="12"/>
  <c r="P2187" i="12"/>
  <c r="P2188" i="12"/>
  <c r="P2189" i="12"/>
  <c r="P2190" i="12"/>
  <c r="P2191" i="12"/>
  <c r="P2192" i="12"/>
  <c r="P2193" i="12"/>
  <c r="P2194" i="12"/>
  <c r="P2195" i="12"/>
  <c r="P2196" i="12"/>
  <c r="P2197" i="12"/>
  <c r="P2198" i="12"/>
  <c r="P2199" i="12"/>
  <c r="P2200" i="12"/>
  <c r="P2201" i="12"/>
  <c r="P2202" i="12"/>
  <c r="P2203" i="12"/>
  <c r="P2204" i="12"/>
  <c r="P2205" i="12"/>
  <c r="P2206" i="12"/>
  <c r="P2207" i="12"/>
  <c r="P2208" i="12"/>
  <c r="P2209" i="12"/>
  <c r="P2210" i="12"/>
  <c r="P2211" i="12"/>
  <c r="P2212" i="12"/>
  <c r="P2213" i="12"/>
  <c r="P2214" i="12"/>
  <c r="P2215" i="12"/>
  <c r="P2216" i="12"/>
  <c r="P2217" i="12"/>
  <c r="P2218" i="12"/>
  <c r="P2219" i="12"/>
  <c r="P2220" i="12"/>
  <c r="P2221" i="12"/>
  <c r="P2222" i="12"/>
  <c r="P2223" i="12"/>
  <c r="P2224" i="12"/>
  <c r="P2225" i="12"/>
  <c r="P2226" i="12"/>
  <c r="P2227" i="12"/>
  <c r="P2228" i="12"/>
  <c r="P2229" i="12"/>
  <c r="P2230" i="12"/>
  <c r="P2231" i="12"/>
  <c r="P2232" i="12"/>
  <c r="P2233" i="12"/>
  <c r="P2234" i="12"/>
  <c r="P2235" i="12"/>
  <c r="P2236" i="12"/>
  <c r="P2237" i="12"/>
  <c r="P2238" i="12"/>
  <c r="P2239" i="12"/>
  <c r="P2240" i="12"/>
  <c r="P2241" i="12"/>
  <c r="P2242" i="12"/>
  <c r="P2243" i="12"/>
  <c r="P2244" i="12"/>
  <c r="P2245" i="12"/>
  <c r="P2246" i="12"/>
  <c r="P2247" i="12"/>
  <c r="P2248" i="12"/>
  <c r="P2249" i="12"/>
  <c r="P2250" i="12"/>
  <c r="P2251" i="12"/>
  <c r="P2252" i="12"/>
  <c r="P2253" i="12"/>
  <c r="P2254" i="12"/>
  <c r="P2255" i="12"/>
  <c r="P2256" i="12"/>
  <c r="P2257" i="12"/>
  <c r="P2258" i="12"/>
  <c r="P2259" i="12"/>
  <c r="P2260" i="12"/>
  <c r="P2261" i="12"/>
  <c r="P2262" i="12"/>
  <c r="P2263" i="12"/>
  <c r="P2264" i="12"/>
  <c r="P2265" i="12"/>
  <c r="P2266" i="12"/>
  <c r="P2267" i="12"/>
  <c r="P2268" i="12"/>
  <c r="P2269" i="12"/>
  <c r="P2270" i="12"/>
  <c r="P2271" i="12"/>
  <c r="P2272" i="12"/>
  <c r="P2273" i="12"/>
  <c r="P2274" i="12"/>
  <c r="P2275" i="12"/>
  <c r="P2276" i="12"/>
  <c r="P2277" i="12"/>
  <c r="P2278" i="12"/>
  <c r="P2279" i="12"/>
  <c r="P2280" i="12"/>
  <c r="P2281" i="12"/>
  <c r="P2282" i="12"/>
  <c r="P2283" i="12"/>
  <c r="P2284" i="12"/>
  <c r="P2285" i="12"/>
  <c r="P2286" i="12"/>
  <c r="P2287" i="12"/>
  <c r="P2288" i="12"/>
  <c r="P2289" i="12"/>
  <c r="P2290" i="12"/>
  <c r="P2291" i="12"/>
  <c r="P2292" i="12"/>
  <c r="P2293" i="12"/>
  <c r="P2294" i="12"/>
  <c r="P2295" i="12"/>
  <c r="P2296" i="12"/>
  <c r="P2297" i="12"/>
  <c r="P2298" i="12"/>
  <c r="P2299" i="12"/>
  <c r="P2300" i="12"/>
  <c r="P2301" i="12"/>
  <c r="P2302" i="12"/>
  <c r="P2303" i="12"/>
  <c r="P2304" i="12"/>
  <c r="P2305" i="12"/>
  <c r="P2306" i="12"/>
  <c r="P2307" i="12"/>
  <c r="P2308" i="12"/>
  <c r="P2309" i="12"/>
  <c r="P2310" i="12"/>
  <c r="P2311" i="12"/>
  <c r="P2312" i="12"/>
  <c r="P2313" i="12"/>
  <c r="P2314" i="12"/>
  <c r="P2315" i="12"/>
  <c r="P2316" i="12"/>
  <c r="P2317" i="12"/>
  <c r="P2318" i="12"/>
  <c r="P2319" i="12"/>
  <c r="P2320" i="12"/>
  <c r="P2321" i="12"/>
  <c r="P2322" i="12"/>
  <c r="P2323" i="12"/>
  <c r="P2324" i="12"/>
  <c r="P2325" i="12"/>
  <c r="P2326" i="12"/>
  <c r="P2327" i="12"/>
  <c r="P2328" i="12"/>
  <c r="P2329" i="12"/>
  <c r="P2330" i="12"/>
  <c r="P2331" i="12"/>
  <c r="P2332" i="12"/>
  <c r="P2333" i="12"/>
  <c r="P2334" i="12"/>
  <c r="P2335" i="12"/>
  <c r="P2336" i="12"/>
  <c r="P2337" i="12"/>
  <c r="P2338" i="12"/>
  <c r="P2339" i="12"/>
  <c r="P2340" i="12"/>
  <c r="P2341" i="12"/>
  <c r="P2342" i="12"/>
  <c r="P2343" i="12"/>
  <c r="P2344" i="12"/>
  <c r="P2345" i="12"/>
  <c r="P2346" i="12"/>
  <c r="P2347" i="12"/>
  <c r="P2348" i="12"/>
  <c r="P2349" i="12"/>
  <c r="P2350" i="12"/>
  <c r="P2351" i="12"/>
  <c r="P2352" i="12"/>
  <c r="P2353" i="12"/>
  <c r="P2354" i="12"/>
  <c r="P2355" i="12"/>
  <c r="P2356" i="12"/>
  <c r="P2357" i="12"/>
  <c r="P2358" i="12"/>
  <c r="P2359" i="12"/>
  <c r="P2360" i="12"/>
  <c r="P2361" i="12"/>
  <c r="P2362" i="12"/>
  <c r="P2363" i="12"/>
  <c r="P2364" i="12"/>
  <c r="P2365" i="12"/>
  <c r="P2366" i="12"/>
  <c r="P2367" i="12"/>
  <c r="P2368" i="12"/>
  <c r="P2369" i="12"/>
  <c r="P2370" i="12"/>
  <c r="P2371" i="12"/>
  <c r="P2372" i="12"/>
  <c r="P2373" i="12"/>
  <c r="P2374" i="12"/>
  <c r="P2375" i="12"/>
  <c r="P2376" i="12"/>
  <c r="P2377" i="12"/>
  <c r="P2378" i="12"/>
  <c r="P2379" i="12"/>
  <c r="P2380" i="12"/>
  <c r="P2381" i="12"/>
  <c r="P2382" i="12"/>
  <c r="P2383" i="12"/>
  <c r="P2384" i="12"/>
  <c r="P2385" i="12"/>
  <c r="P2386" i="12"/>
  <c r="P2387" i="12"/>
  <c r="P2388" i="12"/>
  <c r="P2389" i="12"/>
  <c r="P2390" i="12"/>
  <c r="P2391" i="12"/>
  <c r="P2392" i="12"/>
  <c r="P2393" i="12"/>
  <c r="P2394" i="12"/>
  <c r="P2395" i="12"/>
  <c r="P2396" i="12"/>
  <c r="P2397" i="12"/>
  <c r="P2398" i="12"/>
  <c r="P2399" i="12"/>
  <c r="P2400" i="12"/>
  <c r="P2401" i="12"/>
  <c r="P2402" i="12"/>
  <c r="P2403" i="12"/>
  <c r="P2404" i="12"/>
  <c r="P2405" i="12"/>
  <c r="P2406" i="12"/>
  <c r="P2407" i="12"/>
  <c r="P2408" i="12"/>
  <c r="P2409" i="12"/>
  <c r="P2410" i="12"/>
  <c r="P2411" i="12"/>
  <c r="P2412" i="12"/>
  <c r="P2413" i="12"/>
  <c r="P2414" i="12"/>
  <c r="P2415" i="12"/>
  <c r="P2416" i="12"/>
  <c r="P2417" i="12"/>
  <c r="P2418" i="12"/>
  <c r="P2419" i="12"/>
  <c r="P2420" i="12"/>
  <c r="P2421" i="12"/>
  <c r="P2422" i="12"/>
  <c r="P2423" i="12"/>
  <c r="P2424" i="12"/>
  <c r="P2425" i="12"/>
  <c r="P2426" i="12"/>
  <c r="P2427" i="12"/>
  <c r="P2428" i="12"/>
  <c r="P2429" i="12"/>
  <c r="P2430" i="12"/>
  <c r="P2431" i="12"/>
  <c r="P2432" i="12"/>
  <c r="P2433" i="12"/>
  <c r="P2434" i="12"/>
  <c r="P2435" i="12"/>
  <c r="P2436" i="12"/>
  <c r="P2437" i="12"/>
  <c r="P2438" i="12"/>
  <c r="P2439" i="12"/>
  <c r="P2440" i="12"/>
  <c r="P2441" i="12"/>
  <c r="P2442" i="12"/>
  <c r="P2443" i="12"/>
  <c r="P2444" i="12"/>
  <c r="P2445" i="12"/>
  <c r="P2446" i="12"/>
  <c r="P2447" i="12"/>
  <c r="P2448" i="12"/>
  <c r="P2449" i="12"/>
  <c r="P2450" i="12"/>
  <c r="P2451" i="12"/>
  <c r="P2452" i="12"/>
  <c r="P2453" i="12"/>
  <c r="P2454" i="12"/>
  <c r="P2455" i="12"/>
  <c r="P2456" i="12"/>
  <c r="P2457" i="12"/>
  <c r="P2458" i="12"/>
  <c r="P2459" i="12"/>
  <c r="P2460" i="12"/>
  <c r="P2461" i="12"/>
  <c r="P2462" i="12"/>
  <c r="P2463" i="12"/>
  <c r="P2464" i="12"/>
  <c r="P2465" i="12"/>
  <c r="P2466" i="12"/>
  <c r="P2467" i="12"/>
  <c r="P2468" i="12"/>
  <c r="P2469" i="12"/>
  <c r="P2470" i="12"/>
  <c r="P2471" i="12"/>
  <c r="P2472" i="12"/>
  <c r="P2473" i="12"/>
  <c r="P2474" i="12"/>
  <c r="P2475" i="12"/>
  <c r="P2476" i="12"/>
  <c r="P2477" i="12"/>
  <c r="P2478" i="12"/>
  <c r="P2479" i="12"/>
  <c r="P2480" i="12"/>
  <c r="P2481" i="12"/>
  <c r="P2482" i="12"/>
  <c r="P2483" i="12"/>
  <c r="P2484" i="12"/>
  <c r="P2485" i="12"/>
  <c r="P2486" i="12"/>
  <c r="P2487" i="12"/>
  <c r="P2488" i="12"/>
  <c r="P2489" i="12"/>
  <c r="P2490" i="12"/>
  <c r="P2491" i="12"/>
  <c r="P2492" i="12"/>
  <c r="P2493" i="12"/>
  <c r="P2494" i="12"/>
  <c r="P2495" i="12"/>
  <c r="P2496" i="12"/>
  <c r="P2497" i="12"/>
  <c r="P2498" i="12"/>
  <c r="P2499" i="12"/>
  <c r="P2500" i="12"/>
  <c r="P2501" i="12"/>
  <c r="P2502" i="12"/>
  <c r="P2503" i="12"/>
  <c r="P2504" i="12"/>
  <c r="P2505" i="12"/>
  <c r="P2506" i="12"/>
  <c r="P2507" i="12"/>
  <c r="P2508" i="12"/>
  <c r="P2509" i="12"/>
  <c r="P2510" i="12"/>
  <c r="P2511" i="12"/>
  <c r="P2512" i="12"/>
  <c r="P2513" i="12"/>
  <c r="P2514" i="12"/>
  <c r="P2515" i="12"/>
  <c r="P2516" i="12"/>
  <c r="P2517" i="12"/>
  <c r="P2518" i="12"/>
  <c r="P2519" i="12"/>
  <c r="P2520" i="12"/>
  <c r="P2521" i="12"/>
  <c r="P2522" i="12"/>
  <c r="P2523" i="12"/>
  <c r="P2524" i="12"/>
  <c r="P2525" i="12"/>
  <c r="P2526" i="12"/>
  <c r="P2527" i="12"/>
  <c r="P2528" i="12"/>
  <c r="P2529" i="12"/>
  <c r="P2530" i="12"/>
  <c r="P2531" i="12"/>
  <c r="P2532" i="12"/>
  <c r="P2533" i="12"/>
  <c r="P2534" i="12"/>
  <c r="P2535" i="12"/>
  <c r="P2536" i="12"/>
  <c r="P2537" i="12"/>
  <c r="P2538" i="12"/>
  <c r="P2539" i="12"/>
  <c r="P2540" i="12"/>
  <c r="P2541" i="12"/>
  <c r="P2542" i="12"/>
  <c r="P2543" i="12"/>
  <c r="P2544" i="12"/>
  <c r="P2545" i="12"/>
  <c r="P2546" i="12"/>
  <c r="P2547" i="12"/>
  <c r="P2548" i="12"/>
  <c r="P2549" i="12"/>
  <c r="P2550" i="12"/>
  <c r="P2551" i="12"/>
  <c r="P2552" i="12"/>
  <c r="P2553" i="12"/>
  <c r="P2554" i="12"/>
  <c r="P2555" i="12"/>
  <c r="P2556" i="12"/>
  <c r="P2557" i="12"/>
  <c r="P2558" i="12"/>
  <c r="P2559" i="12"/>
  <c r="P2560" i="12"/>
  <c r="P2561" i="12"/>
  <c r="P2562" i="12"/>
  <c r="P2563" i="12"/>
  <c r="P2564" i="12"/>
  <c r="P2565" i="12"/>
  <c r="P2566" i="12"/>
  <c r="P2567" i="12"/>
  <c r="P2568" i="12"/>
  <c r="P2569" i="12"/>
  <c r="P2570" i="12"/>
  <c r="P2571" i="12"/>
  <c r="P2572" i="12"/>
  <c r="P2573" i="12"/>
  <c r="P2574" i="12"/>
  <c r="P2575" i="12"/>
  <c r="P2576" i="12"/>
  <c r="P2577" i="12"/>
  <c r="P2578" i="12"/>
  <c r="P2579" i="12"/>
  <c r="P2580" i="12"/>
  <c r="P2581" i="12"/>
  <c r="P2582" i="12"/>
  <c r="P2583" i="12"/>
  <c r="P2584" i="12"/>
  <c r="P2585" i="12"/>
  <c r="P2586" i="12"/>
  <c r="P2587" i="12"/>
  <c r="P2588" i="12"/>
  <c r="P2589" i="12"/>
  <c r="P2590" i="12"/>
  <c r="P2591" i="12"/>
  <c r="P2592" i="12"/>
  <c r="P2593" i="12"/>
  <c r="P2594" i="12"/>
  <c r="P2595" i="12"/>
  <c r="P2596" i="12"/>
  <c r="P2597" i="12"/>
  <c r="P2598" i="12"/>
  <c r="P2599" i="12"/>
  <c r="P2600" i="12"/>
  <c r="P2601" i="12"/>
  <c r="P2602" i="12"/>
  <c r="P2603" i="12"/>
  <c r="P2604" i="12"/>
  <c r="P2605" i="12"/>
  <c r="P2606" i="12"/>
  <c r="P2607" i="12"/>
  <c r="P2608" i="12"/>
  <c r="P2609" i="12"/>
  <c r="P2610" i="12"/>
  <c r="P2611" i="12"/>
  <c r="P2612" i="12"/>
  <c r="P2613" i="12"/>
  <c r="P2614" i="12"/>
  <c r="P2615" i="12"/>
  <c r="P2616" i="12"/>
  <c r="P2617" i="12"/>
  <c r="P2618" i="12"/>
  <c r="P2619" i="12"/>
  <c r="P2620" i="12"/>
  <c r="P2621" i="12"/>
  <c r="P2622" i="12"/>
  <c r="P2623" i="12"/>
  <c r="P2624" i="12"/>
  <c r="P2625" i="12"/>
  <c r="P2626" i="12"/>
  <c r="P2627" i="12"/>
  <c r="P2628" i="12"/>
  <c r="P2629" i="12"/>
  <c r="P2630" i="12"/>
  <c r="P2631" i="12"/>
  <c r="P2632" i="12"/>
  <c r="P2633" i="12"/>
  <c r="P2634" i="12"/>
  <c r="P2635" i="12"/>
  <c r="P2636" i="12"/>
  <c r="P2637" i="12"/>
  <c r="P2638" i="12"/>
  <c r="P2639" i="12"/>
  <c r="P2640" i="12"/>
  <c r="P2641" i="12"/>
  <c r="P2642" i="12"/>
  <c r="P2643" i="12"/>
  <c r="P2644" i="12"/>
  <c r="P2645" i="12"/>
  <c r="P2646" i="12"/>
  <c r="P2647" i="12"/>
  <c r="P2648" i="12"/>
  <c r="P2649" i="12"/>
  <c r="P2650" i="12"/>
  <c r="P2651" i="12"/>
  <c r="P2652" i="12"/>
  <c r="P2653" i="12"/>
  <c r="P2654" i="12"/>
  <c r="P2655" i="12"/>
  <c r="P2656" i="12"/>
  <c r="P2657" i="12"/>
  <c r="P2658" i="12"/>
  <c r="P2659" i="12"/>
  <c r="P2660" i="12"/>
  <c r="P2661" i="12"/>
  <c r="P2662" i="12"/>
  <c r="P2663" i="12"/>
  <c r="P2664" i="12"/>
  <c r="P2665" i="12"/>
  <c r="P2666" i="12"/>
  <c r="P2667" i="12"/>
  <c r="P2668" i="12"/>
  <c r="P2669" i="12"/>
  <c r="P2670" i="12"/>
  <c r="P2671" i="12"/>
  <c r="P2672" i="12"/>
  <c r="P2673" i="12"/>
  <c r="P2674" i="12"/>
  <c r="P2675" i="12"/>
  <c r="P2676" i="12"/>
  <c r="P2677" i="12"/>
  <c r="P2678" i="12"/>
  <c r="P2679" i="12"/>
  <c r="P2680" i="12"/>
  <c r="P2681" i="12"/>
  <c r="P2682" i="12"/>
  <c r="P2683" i="12"/>
  <c r="P2684" i="12"/>
  <c r="P2685" i="12"/>
  <c r="P2686" i="12"/>
  <c r="P2687" i="12"/>
  <c r="P2688" i="12"/>
  <c r="P2689" i="12"/>
  <c r="P2690" i="12"/>
  <c r="P2691" i="12"/>
  <c r="P2692" i="12"/>
  <c r="P2693" i="12"/>
  <c r="P2694" i="12"/>
  <c r="P2695" i="12"/>
  <c r="P2696" i="12"/>
  <c r="P2697" i="12"/>
  <c r="P2698" i="12"/>
  <c r="P2699" i="12"/>
  <c r="P2700" i="12"/>
  <c r="P2701" i="12"/>
  <c r="P2702" i="12"/>
  <c r="P2703" i="12"/>
  <c r="P2704" i="12"/>
  <c r="P2705" i="12"/>
  <c r="P2706" i="12"/>
  <c r="P2707" i="12"/>
  <c r="P2708" i="12"/>
  <c r="P2709" i="12"/>
  <c r="P2710" i="12"/>
  <c r="P2711" i="12"/>
  <c r="P2712" i="12"/>
  <c r="P2713" i="12"/>
  <c r="P2714" i="12"/>
  <c r="P2715" i="12"/>
  <c r="P2716" i="12"/>
  <c r="P2717" i="12"/>
  <c r="P2718" i="12"/>
  <c r="P2719" i="12"/>
  <c r="P2720" i="12"/>
  <c r="P2721" i="12"/>
  <c r="P2722" i="12"/>
  <c r="P2723" i="12"/>
  <c r="P2724" i="12"/>
  <c r="P2725" i="12"/>
  <c r="P2726" i="12"/>
  <c r="P2727" i="12"/>
  <c r="P2728" i="12"/>
  <c r="P2729" i="12"/>
  <c r="P2730" i="12"/>
  <c r="P2731" i="12"/>
  <c r="P2732" i="12"/>
  <c r="P2733" i="12"/>
  <c r="P2734" i="12"/>
  <c r="P2735" i="12"/>
  <c r="P2736" i="12"/>
  <c r="P2737" i="12"/>
  <c r="P2738" i="12"/>
  <c r="P2739" i="12"/>
  <c r="P2740" i="12"/>
  <c r="P2741" i="12"/>
  <c r="P2742" i="12"/>
  <c r="P2743" i="12"/>
  <c r="P2744" i="12"/>
  <c r="P2745" i="12"/>
  <c r="P2746" i="12"/>
  <c r="P2747" i="12"/>
  <c r="P2748" i="12"/>
  <c r="P2749" i="12"/>
  <c r="P2750" i="12"/>
  <c r="P2751" i="12"/>
  <c r="P2752" i="12"/>
  <c r="P2753" i="12"/>
  <c r="P2754" i="12"/>
  <c r="P2755" i="12"/>
  <c r="P2756" i="12"/>
  <c r="P2757" i="12"/>
  <c r="P2758" i="12"/>
  <c r="P2759" i="12"/>
  <c r="P2760" i="12"/>
  <c r="P2761" i="12"/>
  <c r="P2762" i="12"/>
  <c r="P2763" i="12"/>
  <c r="P2764" i="12"/>
  <c r="P2765" i="12"/>
  <c r="P2766" i="12"/>
  <c r="P2767" i="12"/>
  <c r="P2768" i="12"/>
  <c r="P2769" i="12"/>
  <c r="P2770" i="12"/>
  <c r="P2771" i="12"/>
  <c r="P2772" i="12"/>
  <c r="P2773" i="12"/>
  <c r="P2774" i="12"/>
  <c r="P2775" i="12"/>
  <c r="P2776" i="12"/>
  <c r="P2777" i="12"/>
  <c r="P2778" i="12"/>
  <c r="P2779" i="12"/>
  <c r="P2780" i="12"/>
  <c r="P2781" i="12"/>
  <c r="P2782" i="12"/>
  <c r="P2783" i="12"/>
  <c r="P2784" i="12"/>
  <c r="P2785" i="12"/>
  <c r="P2786" i="12"/>
  <c r="P2787" i="12"/>
  <c r="P2788" i="12"/>
  <c r="P2789" i="12"/>
  <c r="P2790" i="12"/>
  <c r="P2791" i="12"/>
  <c r="P2792" i="12"/>
  <c r="P2793" i="12"/>
  <c r="P2794" i="12"/>
  <c r="P2795" i="12"/>
  <c r="P2796" i="12"/>
  <c r="P2797" i="12"/>
  <c r="P2798" i="12"/>
  <c r="P2799" i="12"/>
  <c r="P2800" i="12"/>
  <c r="P2801" i="12"/>
  <c r="P2802" i="12"/>
  <c r="P2803" i="12"/>
  <c r="P2804" i="12"/>
  <c r="P2805" i="12"/>
  <c r="P2806" i="12"/>
  <c r="P2807" i="12"/>
  <c r="P2808" i="12"/>
  <c r="P2809" i="12"/>
  <c r="P2810" i="12"/>
  <c r="P2811" i="12"/>
  <c r="P2812" i="12"/>
  <c r="P2813" i="12"/>
  <c r="P2814" i="12"/>
  <c r="P2815" i="12"/>
  <c r="P2816" i="12"/>
  <c r="P2817" i="12"/>
  <c r="P2818" i="12"/>
  <c r="P2819" i="12"/>
  <c r="P2820" i="12"/>
  <c r="P2821" i="12"/>
  <c r="P2822" i="12"/>
  <c r="P2823" i="12"/>
  <c r="P2824" i="12"/>
  <c r="P2825" i="12"/>
  <c r="P2826" i="12"/>
  <c r="P2827" i="12"/>
  <c r="P2828" i="12"/>
  <c r="P2829" i="12"/>
  <c r="P2830" i="12"/>
  <c r="P2831" i="12"/>
  <c r="P2832" i="12"/>
  <c r="P2833" i="12"/>
  <c r="P2834" i="12"/>
  <c r="P2835" i="12"/>
  <c r="P2836" i="12"/>
  <c r="P2837" i="12"/>
  <c r="P2838" i="12"/>
  <c r="P2839" i="12"/>
  <c r="P2840" i="12"/>
  <c r="P2841" i="12"/>
  <c r="P2842" i="12"/>
  <c r="P2843" i="12"/>
  <c r="P2844" i="12"/>
  <c r="P2845" i="12"/>
  <c r="P2846" i="12"/>
  <c r="P2847" i="12"/>
  <c r="P2848" i="12"/>
  <c r="P2849" i="12"/>
  <c r="P2850" i="12"/>
  <c r="P2851" i="12"/>
  <c r="P2852" i="12"/>
  <c r="P2853" i="12"/>
  <c r="P2854" i="12"/>
  <c r="P2855" i="12"/>
  <c r="P2856" i="12"/>
  <c r="P2857" i="12"/>
  <c r="P2858" i="12"/>
  <c r="P2859" i="12"/>
  <c r="P2860" i="12"/>
  <c r="P2861" i="12"/>
  <c r="P2862" i="12"/>
  <c r="P2863" i="12"/>
  <c r="P2864" i="12"/>
  <c r="P2865" i="12"/>
  <c r="P2866" i="12"/>
  <c r="P2867" i="12"/>
  <c r="P2868" i="12"/>
  <c r="P2869" i="12"/>
  <c r="P2870" i="12"/>
  <c r="P2871" i="12"/>
  <c r="P2872" i="12"/>
  <c r="P2873" i="12"/>
  <c r="P2874" i="12"/>
  <c r="P2875" i="12"/>
  <c r="P2876" i="12"/>
  <c r="P2877" i="12"/>
  <c r="P2878" i="12"/>
  <c r="P2879" i="12"/>
  <c r="P2880" i="12"/>
  <c r="P2881" i="12"/>
  <c r="P2882" i="12"/>
  <c r="P2883" i="12"/>
  <c r="P2884" i="12"/>
  <c r="P2885" i="12"/>
  <c r="P2886" i="12"/>
  <c r="P2887" i="12"/>
  <c r="P2888" i="12"/>
  <c r="P2889" i="12"/>
  <c r="P2890" i="12"/>
  <c r="P2891" i="12"/>
  <c r="P2892" i="12"/>
  <c r="P2893" i="12"/>
  <c r="P2894" i="12"/>
  <c r="P2895" i="12"/>
  <c r="P2896" i="12"/>
  <c r="P2897" i="12"/>
  <c r="P2898" i="12"/>
  <c r="P2899" i="12"/>
  <c r="P2900" i="12"/>
  <c r="P2901" i="12"/>
  <c r="P2902" i="12"/>
  <c r="P2903" i="12"/>
  <c r="P2904" i="12"/>
  <c r="P2905" i="12"/>
  <c r="P2906" i="12"/>
  <c r="P2907" i="12"/>
  <c r="P2908" i="12"/>
  <c r="P2909" i="12"/>
  <c r="P2910" i="12"/>
  <c r="P2911" i="12"/>
  <c r="P2912" i="12"/>
  <c r="P2913" i="12"/>
  <c r="P2914" i="12"/>
  <c r="P2915" i="12"/>
  <c r="P2916" i="12"/>
  <c r="P2917" i="12"/>
  <c r="P2918" i="12"/>
  <c r="P2919" i="12"/>
  <c r="P2920" i="12"/>
  <c r="P2921" i="12"/>
  <c r="P2922" i="12"/>
  <c r="P2923" i="12"/>
  <c r="P2924" i="12"/>
  <c r="P2925" i="12"/>
  <c r="P2926" i="12"/>
  <c r="P2927" i="12"/>
  <c r="P2928" i="12"/>
  <c r="P2929" i="12"/>
  <c r="P2930" i="12"/>
  <c r="P2931" i="12"/>
  <c r="P2932" i="12"/>
  <c r="P2933" i="12"/>
  <c r="P2934" i="12"/>
  <c r="P2935" i="12"/>
  <c r="P2936" i="12"/>
  <c r="P2937" i="12"/>
  <c r="P2938" i="12"/>
  <c r="P2939" i="12"/>
  <c r="P2940" i="12"/>
  <c r="P2941" i="12"/>
  <c r="P2942" i="12"/>
  <c r="P2943" i="12"/>
  <c r="P2944" i="12"/>
  <c r="P2945" i="12"/>
  <c r="P2946" i="12"/>
  <c r="P2947" i="12"/>
  <c r="P2948" i="12"/>
  <c r="P2949" i="12"/>
  <c r="P2950" i="12"/>
  <c r="P2951" i="12"/>
  <c r="P2952" i="12"/>
  <c r="P2953" i="12"/>
  <c r="P2954" i="12"/>
  <c r="P2955" i="12"/>
  <c r="P2956" i="12"/>
  <c r="P2957" i="12"/>
  <c r="P2958" i="12"/>
  <c r="P2959" i="12"/>
  <c r="P2960" i="12"/>
  <c r="P2961" i="12"/>
  <c r="P2962" i="12"/>
  <c r="P2963" i="12"/>
  <c r="P2964" i="12"/>
  <c r="P2965" i="12"/>
  <c r="P2966" i="12"/>
  <c r="P2967" i="12"/>
  <c r="P2968" i="12"/>
  <c r="P2969" i="12"/>
  <c r="P2970" i="12"/>
  <c r="P2971" i="12"/>
  <c r="P2972" i="12"/>
  <c r="P2973" i="12"/>
  <c r="P2974" i="12"/>
  <c r="P2975" i="12"/>
  <c r="P2976" i="12"/>
  <c r="P2977" i="12"/>
  <c r="P2978" i="12"/>
  <c r="P2979" i="12"/>
  <c r="P2980" i="12"/>
  <c r="P2981" i="12"/>
  <c r="P2982" i="12"/>
  <c r="P2983" i="12"/>
  <c r="P2984" i="12"/>
  <c r="P2985" i="12"/>
  <c r="P2986" i="12"/>
  <c r="P2987" i="12"/>
  <c r="P2988" i="12"/>
  <c r="P2989" i="12"/>
  <c r="P2990" i="12"/>
  <c r="P2991" i="12"/>
  <c r="P2992" i="12"/>
  <c r="P2993" i="12"/>
  <c r="P2994" i="12"/>
  <c r="P2995" i="12"/>
  <c r="P2996" i="12"/>
  <c r="P2997" i="12"/>
  <c r="P2998" i="12"/>
  <c r="P2999" i="12"/>
  <c r="P3000" i="12"/>
  <c r="P3001" i="12"/>
  <c r="P3002" i="12"/>
  <c r="P3003" i="12"/>
  <c r="P13" i="12"/>
  <c r="O14" i="12"/>
  <c r="O15" i="12"/>
  <c r="O16" i="12"/>
  <c r="O17" i="12"/>
  <c r="O18" i="12"/>
  <c r="O19" i="12"/>
  <c r="O20" i="12"/>
  <c r="O21" i="12"/>
  <c r="O22" i="12"/>
  <c r="O23" i="12"/>
  <c r="O24" i="12"/>
  <c r="O25" i="12"/>
  <c r="O26" i="12"/>
  <c r="O27" i="12"/>
  <c r="O28" i="12"/>
  <c r="O29" i="12"/>
  <c r="O30" i="12"/>
  <c r="O31" i="12"/>
  <c r="O32" i="12"/>
  <c r="O33" i="12"/>
  <c r="O34" i="12"/>
  <c r="O35" i="12"/>
  <c r="O36" i="12"/>
  <c r="O37" i="12"/>
  <c r="O38" i="12"/>
  <c r="O39" i="12"/>
  <c r="O40" i="12"/>
  <c r="O41" i="12"/>
  <c r="O42" i="12"/>
  <c r="O43" i="12"/>
  <c r="O44" i="12"/>
  <c r="O45" i="12"/>
  <c r="O46" i="12"/>
  <c r="O47" i="12"/>
  <c r="O48" i="12"/>
  <c r="O49" i="12"/>
  <c r="O50" i="12"/>
  <c r="O51" i="12"/>
  <c r="O52" i="12"/>
  <c r="O53" i="12"/>
  <c r="O54" i="12"/>
  <c r="O55" i="12"/>
  <c r="O56" i="12"/>
  <c r="O57" i="12"/>
  <c r="O58" i="12"/>
  <c r="O59" i="12"/>
  <c r="O60" i="12"/>
  <c r="O61" i="12"/>
  <c r="O62" i="12"/>
  <c r="O63" i="12"/>
  <c r="O64" i="12"/>
  <c r="O65" i="12"/>
  <c r="O66" i="12"/>
  <c r="O67" i="12"/>
  <c r="O68" i="12"/>
  <c r="O69" i="12"/>
  <c r="O70" i="12"/>
  <c r="O71" i="12"/>
  <c r="O72" i="12"/>
  <c r="O73" i="12"/>
  <c r="O74" i="12"/>
  <c r="O75" i="12"/>
  <c r="O76" i="12"/>
  <c r="O77" i="12"/>
  <c r="O78" i="12"/>
  <c r="O79" i="12"/>
  <c r="O80" i="12"/>
  <c r="O81" i="12"/>
  <c r="O82" i="12"/>
  <c r="O83" i="12"/>
  <c r="O84" i="12"/>
  <c r="O85" i="12"/>
  <c r="O86" i="12"/>
  <c r="O87" i="12"/>
  <c r="O88" i="12"/>
  <c r="O89" i="12"/>
  <c r="O90" i="12"/>
  <c r="O91" i="12"/>
  <c r="O92" i="12"/>
  <c r="O93" i="12"/>
  <c r="O94" i="12"/>
  <c r="O95" i="12"/>
  <c r="O96" i="12"/>
  <c r="O97" i="12"/>
  <c r="O98" i="12"/>
  <c r="O99" i="12"/>
  <c r="O100" i="12"/>
  <c r="O101" i="12"/>
  <c r="O102" i="12"/>
  <c r="O103" i="12"/>
  <c r="O104" i="12"/>
  <c r="O105" i="12"/>
  <c r="O106" i="12"/>
  <c r="O107" i="12"/>
  <c r="O108" i="12"/>
  <c r="O109" i="12"/>
  <c r="O110" i="12"/>
  <c r="O111" i="12"/>
  <c r="O112" i="12"/>
  <c r="O113" i="12"/>
  <c r="O114" i="12"/>
  <c r="O115" i="12"/>
  <c r="O116" i="12"/>
  <c r="O117" i="12"/>
  <c r="O118" i="12"/>
  <c r="O119" i="12"/>
  <c r="O120" i="12"/>
  <c r="O121" i="12"/>
  <c r="O122" i="12"/>
  <c r="O123" i="12"/>
  <c r="O124" i="12"/>
  <c r="O125" i="12"/>
  <c r="O126" i="12"/>
  <c r="O127" i="12"/>
  <c r="O128" i="12"/>
  <c r="O129" i="12"/>
  <c r="O130" i="12"/>
  <c r="O131" i="12"/>
  <c r="O132" i="12"/>
  <c r="O133" i="12"/>
  <c r="O134" i="12"/>
  <c r="O135" i="12"/>
  <c r="O136" i="12"/>
  <c r="O137" i="12"/>
  <c r="O138" i="12"/>
  <c r="O139" i="12"/>
  <c r="O140" i="12"/>
  <c r="O141" i="12"/>
  <c r="O142" i="12"/>
  <c r="O143" i="12"/>
  <c r="O144" i="12"/>
  <c r="O145" i="12"/>
  <c r="O146" i="12"/>
  <c r="O147" i="12"/>
  <c r="O148" i="12"/>
  <c r="O149" i="12"/>
  <c r="O150" i="12"/>
  <c r="O151" i="12"/>
  <c r="O152" i="12"/>
  <c r="O153" i="12"/>
  <c r="O154" i="12"/>
  <c r="O155" i="12"/>
  <c r="O156" i="12"/>
  <c r="O157" i="12"/>
  <c r="O158" i="12"/>
  <c r="O159" i="12"/>
  <c r="O160" i="12"/>
  <c r="O161" i="12"/>
  <c r="O162" i="12"/>
  <c r="O163" i="12"/>
  <c r="O164" i="12"/>
  <c r="O165" i="12"/>
  <c r="O166" i="12"/>
  <c r="O167" i="12"/>
  <c r="O168" i="12"/>
  <c r="O169" i="12"/>
  <c r="O170" i="12"/>
  <c r="O171" i="12"/>
  <c r="O172" i="12"/>
  <c r="O173" i="12"/>
  <c r="O174" i="12"/>
  <c r="O175" i="12"/>
  <c r="O176" i="12"/>
  <c r="O177" i="12"/>
  <c r="O178" i="12"/>
  <c r="O179" i="12"/>
  <c r="O180" i="12"/>
  <c r="O181" i="12"/>
  <c r="O182" i="12"/>
  <c r="O183" i="12"/>
  <c r="O184" i="12"/>
  <c r="O185" i="12"/>
  <c r="O186" i="12"/>
  <c r="O187" i="12"/>
  <c r="O188" i="12"/>
  <c r="O189" i="12"/>
  <c r="O190" i="12"/>
  <c r="O191" i="12"/>
  <c r="O192" i="12"/>
  <c r="O193" i="12"/>
  <c r="O194" i="12"/>
  <c r="O195" i="12"/>
  <c r="O196" i="12"/>
  <c r="O197" i="12"/>
  <c r="O198" i="12"/>
  <c r="O199" i="12"/>
  <c r="O200" i="12"/>
  <c r="O201" i="12"/>
  <c r="O202" i="12"/>
  <c r="O203" i="12"/>
  <c r="O204" i="12"/>
  <c r="O205" i="12"/>
  <c r="O206" i="12"/>
  <c r="O207" i="12"/>
  <c r="O208" i="12"/>
  <c r="O209" i="12"/>
  <c r="O210" i="12"/>
  <c r="O211" i="12"/>
  <c r="O212" i="12"/>
  <c r="O213" i="12"/>
  <c r="O214" i="12"/>
  <c r="O215" i="12"/>
  <c r="O216" i="12"/>
  <c r="O217" i="12"/>
  <c r="O218" i="12"/>
  <c r="O219" i="12"/>
  <c r="O220" i="12"/>
  <c r="O221" i="12"/>
  <c r="O222" i="12"/>
  <c r="O223" i="12"/>
  <c r="O224" i="12"/>
  <c r="O225" i="12"/>
  <c r="O226" i="12"/>
  <c r="O227" i="12"/>
  <c r="O228" i="12"/>
  <c r="O229" i="12"/>
  <c r="O230" i="12"/>
  <c r="O231" i="12"/>
  <c r="O232" i="12"/>
  <c r="O233" i="12"/>
  <c r="O234" i="12"/>
  <c r="O235" i="12"/>
  <c r="O236" i="12"/>
  <c r="O237" i="12"/>
  <c r="O238" i="12"/>
  <c r="O239" i="12"/>
  <c r="O240" i="12"/>
  <c r="O241" i="12"/>
  <c r="O242" i="12"/>
  <c r="O243" i="12"/>
  <c r="O244" i="12"/>
  <c r="O245" i="12"/>
  <c r="O246" i="12"/>
  <c r="O247" i="12"/>
  <c r="O248" i="12"/>
  <c r="O249" i="12"/>
  <c r="O250" i="12"/>
  <c r="O251" i="12"/>
  <c r="O252" i="12"/>
  <c r="O253" i="12"/>
  <c r="O254" i="12"/>
  <c r="O255" i="12"/>
  <c r="O256" i="12"/>
  <c r="O257" i="12"/>
  <c r="O258" i="12"/>
  <c r="O259" i="12"/>
  <c r="O260" i="12"/>
  <c r="O261" i="12"/>
  <c r="O262" i="12"/>
  <c r="O263" i="12"/>
  <c r="O264" i="12"/>
  <c r="O265" i="12"/>
  <c r="O266" i="12"/>
  <c r="O267" i="12"/>
  <c r="O268" i="12"/>
  <c r="O269" i="12"/>
  <c r="O270" i="12"/>
  <c r="O271" i="12"/>
  <c r="O272" i="12"/>
  <c r="O273" i="12"/>
  <c r="O274" i="12"/>
  <c r="O275" i="12"/>
  <c r="O276" i="12"/>
  <c r="O277" i="12"/>
  <c r="O278" i="12"/>
  <c r="O279" i="12"/>
  <c r="O280" i="12"/>
  <c r="O281" i="12"/>
  <c r="O282" i="12"/>
  <c r="O283" i="12"/>
  <c r="O284" i="12"/>
  <c r="O285" i="12"/>
  <c r="O286" i="12"/>
  <c r="O287" i="12"/>
  <c r="O288" i="12"/>
  <c r="O289" i="12"/>
  <c r="O290" i="12"/>
  <c r="O291" i="12"/>
  <c r="O292" i="12"/>
  <c r="O293" i="12"/>
  <c r="O294" i="12"/>
  <c r="O295" i="12"/>
  <c r="O296" i="12"/>
  <c r="O297" i="12"/>
  <c r="O298" i="12"/>
  <c r="O299" i="12"/>
  <c r="O300" i="12"/>
  <c r="O301" i="12"/>
  <c r="O302" i="12"/>
  <c r="O303" i="12"/>
  <c r="O304" i="12"/>
  <c r="O305" i="12"/>
  <c r="O306" i="12"/>
  <c r="O307" i="12"/>
  <c r="O308" i="12"/>
  <c r="O309" i="12"/>
  <c r="O310" i="12"/>
  <c r="O311" i="12"/>
  <c r="O312" i="12"/>
  <c r="O313" i="12"/>
  <c r="O314" i="12"/>
  <c r="O315" i="12"/>
  <c r="O316" i="12"/>
  <c r="O317" i="12"/>
  <c r="O318" i="12"/>
  <c r="O319" i="12"/>
  <c r="O320" i="12"/>
  <c r="O321" i="12"/>
  <c r="O322" i="12"/>
  <c r="O323" i="12"/>
  <c r="O324" i="12"/>
  <c r="O325" i="12"/>
  <c r="O326" i="12"/>
  <c r="O327" i="12"/>
  <c r="O328" i="12"/>
  <c r="O329" i="12"/>
  <c r="O330" i="12"/>
  <c r="O331" i="12"/>
  <c r="O332" i="12"/>
  <c r="O333" i="12"/>
  <c r="O334" i="12"/>
  <c r="O335" i="12"/>
  <c r="O336" i="12"/>
  <c r="O337" i="12"/>
  <c r="O338" i="12"/>
  <c r="O339" i="12"/>
  <c r="O340" i="12"/>
  <c r="O341" i="12"/>
  <c r="O342" i="12"/>
  <c r="O343" i="12"/>
  <c r="O344" i="12"/>
  <c r="O345" i="12"/>
  <c r="O346" i="12"/>
  <c r="O347" i="12"/>
  <c r="O348" i="12"/>
  <c r="O349" i="12"/>
  <c r="O350" i="12"/>
  <c r="O351" i="12"/>
  <c r="O352" i="12"/>
  <c r="O353" i="12"/>
  <c r="O354" i="12"/>
  <c r="O355" i="12"/>
  <c r="O356" i="12"/>
  <c r="O357" i="12"/>
  <c r="O358" i="12"/>
  <c r="O359" i="12"/>
  <c r="O360" i="12"/>
  <c r="O361" i="12"/>
  <c r="O362" i="12"/>
  <c r="O363" i="12"/>
  <c r="O364" i="12"/>
  <c r="O365" i="12"/>
  <c r="O366" i="12"/>
  <c r="O367" i="12"/>
  <c r="O368" i="12"/>
  <c r="O369" i="12"/>
  <c r="O370" i="12"/>
  <c r="O371" i="12"/>
  <c r="O372" i="12"/>
  <c r="O373" i="12"/>
  <c r="O374" i="12"/>
  <c r="O375" i="12"/>
  <c r="O376" i="12"/>
  <c r="O377" i="12"/>
  <c r="O378" i="12"/>
  <c r="O379" i="12"/>
  <c r="O380" i="12"/>
  <c r="O381" i="12"/>
  <c r="O382" i="12"/>
  <c r="O383" i="12"/>
  <c r="O384" i="12"/>
  <c r="O385" i="12"/>
  <c r="O386" i="12"/>
  <c r="O387" i="12"/>
  <c r="O388" i="12"/>
  <c r="O389" i="12"/>
  <c r="O390" i="12"/>
  <c r="O391" i="12"/>
  <c r="O392" i="12"/>
  <c r="O393" i="12"/>
  <c r="O394" i="12"/>
  <c r="O395" i="12"/>
  <c r="O396" i="12"/>
  <c r="O397" i="12"/>
  <c r="O398" i="12"/>
  <c r="O399" i="12"/>
  <c r="O400" i="12"/>
  <c r="O401" i="12"/>
  <c r="O402" i="12"/>
  <c r="O403" i="12"/>
  <c r="O404" i="12"/>
  <c r="O405" i="12"/>
  <c r="O406" i="12"/>
  <c r="O407" i="12"/>
  <c r="O408" i="12"/>
  <c r="O409" i="12"/>
  <c r="O410" i="12"/>
  <c r="O411" i="12"/>
  <c r="O412" i="12"/>
  <c r="O413" i="12"/>
  <c r="O414" i="12"/>
  <c r="O415" i="12"/>
  <c r="O416" i="12"/>
  <c r="O417" i="12"/>
  <c r="O418" i="12"/>
  <c r="O419" i="12"/>
  <c r="O420" i="12"/>
  <c r="O421" i="12"/>
  <c r="O422" i="12"/>
  <c r="O423" i="12"/>
  <c r="O424" i="12"/>
  <c r="O425" i="12"/>
  <c r="O426" i="12"/>
  <c r="O427" i="12"/>
  <c r="O428" i="12"/>
  <c r="O429" i="12"/>
  <c r="O430" i="12"/>
  <c r="O431" i="12"/>
  <c r="O432" i="12"/>
  <c r="O433" i="12"/>
  <c r="O434" i="12"/>
  <c r="O435" i="12"/>
  <c r="O436" i="12"/>
  <c r="O437" i="12"/>
  <c r="O438" i="12"/>
  <c r="O439" i="12"/>
  <c r="O440" i="12"/>
  <c r="O441" i="12"/>
  <c r="O442" i="12"/>
  <c r="O443" i="12"/>
  <c r="O444" i="12"/>
  <c r="O445" i="12"/>
  <c r="O446" i="12"/>
  <c r="O447" i="12"/>
  <c r="O448" i="12"/>
  <c r="O449" i="12"/>
  <c r="O450" i="12"/>
  <c r="O451" i="12"/>
  <c r="O452" i="12"/>
  <c r="O453" i="12"/>
  <c r="O454" i="12"/>
  <c r="O455" i="12"/>
  <c r="O456" i="12"/>
  <c r="O457" i="12"/>
  <c r="O458" i="12"/>
  <c r="O459" i="12"/>
  <c r="O460" i="12"/>
  <c r="O461" i="12"/>
  <c r="O462" i="12"/>
  <c r="O463" i="12"/>
  <c r="O464" i="12"/>
  <c r="O465" i="12"/>
  <c r="O466" i="12"/>
  <c r="O467" i="12"/>
  <c r="O468" i="12"/>
  <c r="O469" i="12"/>
  <c r="O470" i="12"/>
  <c r="O471" i="12"/>
  <c r="O472" i="12"/>
  <c r="O473" i="12"/>
  <c r="O474" i="12"/>
  <c r="O475" i="12"/>
  <c r="O476" i="12"/>
  <c r="O477" i="12"/>
  <c r="O478" i="12"/>
  <c r="O479" i="12"/>
  <c r="O480" i="12"/>
  <c r="O481" i="12"/>
  <c r="O482" i="12"/>
  <c r="O483" i="12"/>
  <c r="O484" i="12"/>
  <c r="O485" i="12"/>
  <c r="O486" i="12"/>
  <c r="O487" i="12"/>
  <c r="O488" i="12"/>
  <c r="O489" i="12"/>
  <c r="O490" i="12"/>
  <c r="O491" i="12"/>
  <c r="O492" i="12"/>
  <c r="O493" i="12"/>
  <c r="O494" i="12"/>
  <c r="O495" i="12"/>
  <c r="O496" i="12"/>
  <c r="O497" i="12"/>
  <c r="O498" i="12"/>
  <c r="O499" i="12"/>
  <c r="O500" i="12"/>
  <c r="O501" i="12"/>
  <c r="O502" i="12"/>
  <c r="O503" i="12"/>
  <c r="O504" i="12"/>
  <c r="O505" i="12"/>
  <c r="O506" i="12"/>
  <c r="O507" i="12"/>
  <c r="O508" i="12"/>
  <c r="O509" i="12"/>
  <c r="O510" i="12"/>
  <c r="O511" i="12"/>
  <c r="O512" i="12"/>
  <c r="O513" i="12"/>
  <c r="O514" i="12"/>
  <c r="O515" i="12"/>
  <c r="O516" i="12"/>
  <c r="O517" i="12"/>
  <c r="O518" i="12"/>
  <c r="O519" i="12"/>
  <c r="O520" i="12"/>
  <c r="O521" i="12"/>
  <c r="O522" i="12"/>
  <c r="O523" i="12"/>
  <c r="O524" i="12"/>
  <c r="O525" i="12"/>
  <c r="O526" i="12"/>
  <c r="O527" i="12"/>
  <c r="O528" i="12"/>
  <c r="O529" i="12"/>
  <c r="O530" i="12"/>
  <c r="O531" i="12"/>
  <c r="O532" i="12"/>
  <c r="O533" i="12"/>
  <c r="O534" i="12"/>
  <c r="O535" i="12"/>
  <c r="O536" i="12"/>
  <c r="O537" i="12"/>
  <c r="O538" i="12"/>
  <c r="O539" i="12"/>
  <c r="O540" i="12"/>
  <c r="O541" i="12"/>
  <c r="O542" i="12"/>
  <c r="O543" i="12"/>
  <c r="O544" i="12"/>
  <c r="O545" i="12"/>
  <c r="O546" i="12"/>
  <c r="O547" i="12"/>
  <c r="O548" i="12"/>
  <c r="O549" i="12"/>
  <c r="O550" i="12"/>
  <c r="O551" i="12"/>
  <c r="O552" i="12"/>
  <c r="O553" i="12"/>
  <c r="O554" i="12"/>
  <c r="O555" i="12"/>
  <c r="O556" i="12"/>
  <c r="O557" i="12"/>
  <c r="O558" i="12"/>
  <c r="O559" i="12"/>
  <c r="O560" i="12"/>
  <c r="O561" i="12"/>
  <c r="O562" i="12"/>
  <c r="O563" i="12"/>
  <c r="O564" i="12"/>
  <c r="O565" i="12"/>
  <c r="O566" i="12"/>
  <c r="O567" i="12"/>
  <c r="O568" i="12"/>
  <c r="O569" i="12"/>
  <c r="O570" i="12"/>
  <c r="O571" i="12"/>
  <c r="O572" i="12"/>
  <c r="O573" i="12"/>
  <c r="O574" i="12"/>
  <c r="O575" i="12"/>
  <c r="O576" i="12"/>
  <c r="O577" i="12"/>
  <c r="O578" i="12"/>
  <c r="O579" i="12"/>
  <c r="O580" i="12"/>
  <c r="O581" i="12"/>
  <c r="O582" i="12"/>
  <c r="O583" i="12"/>
  <c r="O584" i="12"/>
  <c r="O585" i="12"/>
  <c r="O586" i="12"/>
  <c r="O587" i="12"/>
  <c r="O588" i="12"/>
  <c r="O589" i="12"/>
  <c r="O590" i="12"/>
  <c r="O591" i="12"/>
  <c r="O592" i="12"/>
  <c r="O593" i="12"/>
  <c r="O594" i="12"/>
  <c r="O595" i="12"/>
  <c r="O596" i="12"/>
  <c r="O597" i="12"/>
  <c r="O598" i="12"/>
  <c r="O599" i="12"/>
  <c r="O600" i="12"/>
  <c r="O601" i="12"/>
  <c r="O602" i="12"/>
  <c r="O603" i="12"/>
  <c r="O604" i="12"/>
  <c r="O605" i="12"/>
  <c r="O606" i="12"/>
  <c r="O607" i="12"/>
  <c r="O608" i="12"/>
  <c r="O609" i="12"/>
  <c r="O610" i="12"/>
  <c r="O611" i="12"/>
  <c r="O612" i="12"/>
  <c r="O613" i="12"/>
  <c r="O614" i="12"/>
  <c r="O615" i="12"/>
  <c r="O616" i="12"/>
  <c r="O617" i="12"/>
  <c r="O618" i="12"/>
  <c r="O619" i="12"/>
  <c r="O620" i="12"/>
  <c r="O621" i="12"/>
  <c r="O622" i="12"/>
  <c r="O623" i="12"/>
  <c r="O624" i="12"/>
  <c r="O625" i="12"/>
  <c r="O626" i="12"/>
  <c r="O627" i="12"/>
  <c r="O628" i="12"/>
  <c r="O629" i="12"/>
  <c r="O630" i="12"/>
  <c r="O631" i="12"/>
  <c r="O632" i="12"/>
  <c r="O633" i="12"/>
  <c r="O634" i="12"/>
  <c r="O635" i="12"/>
  <c r="O636" i="12"/>
  <c r="O637" i="12"/>
  <c r="O638" i="12"/>
  <c r="O639" i="12"/>
  <c r="O640" i="12"/>
  <c r="O641" i="12"/>
  <c r="O642" i="12"/>
  <c r="O643" i="12"/>
  <c r="O644" i="12"/>
  <c r="O645" i="12"/>
  <c r="O646" i="12"/>
  <c r="O647" i="12"/>
  <c r="O648" i="12"/>
  <c r="O649" i="12"/>
  <c r="O650" i="12"/>
  <c r="O651" i="12"/>
  <c r="O652" i="12"/>
  <c r="O653" i="12"/>
  <c r="O654" i="12"/>
  <c r="O655" i="12"/>
  <c r="O656" i="12"/>
  <c r="O657" i="12"/>
  <c r="O658" i="12"/>
  <c r="O659" i="12"/>
  <c r="O660" i="12"/>
  <c r="O661" i="12"/>
  <c r="O662" i="12"/>
  <c r="O663" i="12"/>
  <c r="O664" i="12"/>
  <c r="O665" i="12"/>
  <c r="O666" i="12"/>
  <c r="O667" i="12"/>
  <c r="O668" i="12"/>
  <c r="O669" i="12"/>
  <c r="O670" i="12"/>
  <c r="O671" i="12"/>
  <c r="O672" i="12"/>
  <c r="O673" i="12"/>
  <c r="O674" i="12"/>
  <c r="O675" i="12"/>
  <c r="O676" i="12"/>
  <c r="O677" i="12"/>
  <c r="O678" i="12"/>
  <c r="O679" i="12"/>
  <c r="O680" i="12"/>
  <c r="O681" i="12"/>
  <c r="O682" i="12"/>
  <c r="O683" i="12"/>
  <c r="O684" i="12"/>
  <c r="O685" i="12"/>
  <c r="O686" i="12"/>
  <c r="O687" i="12"/>
  <c r="O688" i="12"/>
  <c r="O689" i="12"/>
  <c r="O690" i="12"/>
  <c r="O691" i="12"/>
  <c r="O692" i="12"/>
  <c r="O693" i="12"/>
  <c r="O694" i="12"/>
  <c r="O695" i="12"/>
  <c r="O696" i="12"/>
  <c r="O697" i="12"/>
  <c r="O698" i="12"/>
  <c r="O699" i="12"/>
  <c r="O700" i="12"/>
  <c r="O701" i="12"/>
  <c r="O702" i="12"/>
  <c r="O703" i="12"/>
  <c r="O704" i="12"/>
  <c r="O705" i="12"/>
  <c r="O706" i="12"/>
  <c r="O707" i="12"/>
  <c r="O708" i="12"/>
  <c r="O709" i="12"/>
  <c r="O710" i="12"/>
  <c r="O711" i="12"/>
  <c r="O712" i="12"/>
  <c r="O713" i="12"/>
  <c r="O714" i="12"/>
  <c r="O715" i="12"/>
  <c r="O716" i="12"/>
  <c r="O717" i="12"/>
  <c r="O718" i="12"/>
  <c r="O719" i="12"/>
  <c r="O720" i="12"/>
  <c r="O721" i="12"/>
  <c r="O722" i="12"/>
  <c r="O723" i="12"/>
  <c r="O724" i="12"/>
  <c r="O725" i="12"/>
  <c r="O726" i="12"/>
  <c r="O727" i="12"/>
  <c r="O728" i="12"/>
  <c r="O729" i="12"/>
  <c r="O730" i="12"/>
  <c r="O731" i="12"/>
  <c r="O732" i="12"/>
  <c r="O733" i="12"/>
  <c r="O734" i="12"/>
  <c r="O735" i="12"/>
  <c r="O736" i="12"/>
  <c r="O737" i="12"/>
  <c r="O738" i="12"/>
  <c r="O739" i="12"/>
  <c r="O740" i="12"/>
  <c r="O741" i="12"/>
  <c r="O742" i="12"/>
  <c r="O743" i="12"/>
  <c r="O744" i="12"/>
  <c r="O745" i="12"/>
  <c r="O746" i="12"/>
  <c r="O747" i="12"/>
  <c r="O748" i="12"/>
  <c r="O749" i="12"/>
  <c r="O750" i="12"/>
  <c r="O751" i="12"/>
  <c r="O752" i="12"/>
  <c r="O753" i="12"/>
  <c r="O754" i="12"/>
  <c r="O755" i="12"/>
  <c r="O756" i="12"/>
  <c r="O757" i="12"/>
  <c r="O758" i="12"/>
  <c r="O759" i="12"/>
  <c r="O760" i="12"/>
  <c r="O761" i="12"/>
  <c r="O762" i="12"/>
  <c r="O763" i="12"/>
  <c r="O764" i="12"/>
  <c r="O765" i="12"/>
  <c r="O766" i="12"/>
  <c r="O767" i="12"/>
  <c r="O768" i="12"/>
  <c r="O769" i="12"/>
  <c r="O770" i="12"/>
  <c r="O771" i="12"/>
  <c r="O772" i="12"/>
  <c r="O773" i="12"/>
  <c r="O774" i="12"/>
  <c r="O775" i="12"/>
  <c r="O776" i="12"/>
  <c r="O777" i="12"/>
  <c r="O778" i="12"/>
  <c r="O779" i="12"/>
  <c r="O780" i="12"/>
  <c r="O781" i="12"/>
  <c r="O782" i="12"/>
  <c r="O783" i="12"/>
  <c r="O784" i="12"/>
  <c r="O785" i="12"/>
  <c r="O786" i="12"/>
  <c r="O787" i="12"/>
  <c r="O788" i="12"/>
  <c r="O789" i="12"/>
  <c r="O790" i="12"/>
  <c r="O791" i="12"/>
  <c r="O792" i="12"/>
  <c r="O793" i="12"/>
  <c r="O794" i="12"/>
  <c r="O795" i="12"/>
  <c r="O796" i="12"/>
  <c r="O797" i="12"/>
  <c r="O798" i="12"/>
  <c r="O799" i="12"/>
  <c r="O800" i="12"/>
  <c r="O801" i="12"/>
  <c r="O802" i="12"/>
  <c r="O803" i="12"/>
  <c r="O804" i="12"/>
  <c r="O805" i="12"/>
  <c r="O806" i="12"/>
  <c r="O807" i="12"/>
  <c r="O808" i="12"/>
  <c r="O809" i="12"/>
  <c r="O810" i="12"/>
  <c r="O811" i="12"/>
  <c r="O812" i="12"/>
  <c r="O813" i="12"/>
  <c r="O814" i="12"/>
  <c r="O815" i="12"/>
  <c r="O816" i="12"/>
  <c r="O817" i="12"/>
  <c r="O818" i="12"/>
  <c r="O819" i="12"/>
  <c r="O820" i="12"/>
  <c r="O821" i="12"/>
  <c r="O822" i="12"/>
  <c r="O823" i="12"/>
  <c r="O824" i="12"/>
  <c r="O825" i="12"/>
  <c r="O826" i="12"/>
  <c r="O827" i="12"/>
  <c r="O828" i="12"/>
  <c r="O829" i="12"/>
  <c r="O830" i="12"/>
  <c r="O831" i="12"/>
  <c r="O832" i="12"/>
  <c r="O833" i="12"/>
  <c r="O834" i="12"/>
  <c r="O835" i="12"/>
  <c r="O836" i="12"/>
  <c r="O837" i="12"/>
  <c r="O838" i="12"/>
  <c r="O839" i="12"/>
  <c r="O840" i="12"/>
  <c r="O841" i="12"/>
  <c r="O842" i="12"/>
  <c r="O843" i="12"/>
  <c r="O844" i="12"/>
  <c r="O845" i="12"/>
  <c r="O846" i="12"/>
  <c r="O847" i="12"/>
  <c r="O848" i="12"/>
  <c r="O849" i="12"/>
  <c r="O850" i="12"/>
  <c r="O851" i="12"/>
  <c r="O852" i="12"/>
  <c r="O853" i="12"/>
  <c r="O854" i="12"/>
  <c r="O855" i="12"/>
  <c r="O856" i="12"/>
  <c r="O857" i="12"/>
  <c r="O858" i="12"/>
  <c r="O859" i="12"/>
  <c r="O860" i="12"/>
  <c r="O861" i="12"/>
  <c r="O862" i="12"/>
  <c r="O863" i="12"/>
  <c r="O864" i="12"/>
  <c r="O865" i="12"/>
  <c r="O866" i="12"/>
  <c r="O867" i="12"/>
  <c r="O868" i="12"/>
  <c r="O869" i="12"/>
  <c r="O870" i="12"/>
  <c r="O871" i="12"/>
  <c r="O872" i="12"/>
  <c r="O873" i="12"/>
  <c r="O874" i="12"/>
  <c r="O875" i="12"/>
  <c r="O876" i="12"/>
  <c r="O877" i="12"/>
  <c r="O878" i="12"/>
  <c r="O879" i="12"/>
  <c r="O880" i="12"/>
  <c r="O881" i="12"/>
  <c r="O882" i="12"/>
  <c r="O883" i="12"/>
  <c r="O884" i="12"/>
  <c r="O885" i="12"/>
  <c r="O886" i="12"/>
  <c r="O887" i="12"/>
  <c r="O888" i="12"/>
  <c r="O889" i="12"/>
  <c r="O890" i="12"/>
  <c r="O891" i="12"/>
  <c r="O892" i="12"/>
  <c r="O893" i="12"/>
  <c r="O894" i="12"/>
  <c r="O895" i="12"/>
  <c r="O896" i="12"/>
  <c r="O897" i="12"/>
  <c r="O898" i="12"/>
  <c r="O899" i="12"/>
  <c r="O900" i="12"/>
  <c r="O901" i="12"/>
  <c r="O902" i="12"/>
  <c r="O903" i="12"/>
  <c r="O904" i="12"/>
  <c r="O905" i="12"/>
  <c r="O906" i="12"/>
  <c r="O907" i="12"/>
  <c r="O908" i="12"/>
  <c r="O909" i="12"/>
  <c r="O910" i="12"/>
  <c r="O911" i="12"/>
  <c r="O912" i="12"/>
  <c r="O913" i="12"/>
  <c r="O914" i="12"/>
  <c r="O915" i="12"/>
  <c r="O916" i="12"/>
  <c r="O917" i="12"/>
  <c r="O918" i="12"/>
  <c r="O919" i="12"/>
  <c r="O920" i="12"/>
  <c r="O921" i="12"/>
  <c r="O922" i="12"/>
  <c r="O923" i="12"/>
  <c r="O924" i="12"/>
  <c r="O925" i="12"/>
  <c r="O926" i="12"/>
  <c r="O927" i="12"/>
  <c r="O928" i="12"/>
  <c r="O929" i="12"/>
  <c r="O930" i="12"/>
  <c r="O931" i="12"/>
  <c r="O932" i="12"/>
  <c r="O933" i="12"/>
  <c r="O934" i="12"/>
  <c r="O935" i="12"/>
  <c r="O936" i="12"/>
  <c r="O937" i="12"/>
  <c r="O938" i="12"/>
  <c r="O939" i="12"/>
  <c r="O940" i="12"/>
  <c r="O941" i="12"/>
  <c r="O942" i="12"/>
  <c r="O943" i="12"/>
  <c r="O944" i="12"/>
  <c r="O945" i="12"/>
  <c r="O946" i="12"/>
  <c r="O947" i="12"/>
  <c r="O948" i="12"/>
  <c r="O949" i="12"/>
  <c r="O950" i="12"/>
  <c r="O951" i="12"/>
  <c r="O952" i="12"/>
  <c r="O953" i="12"/>
  <c r="O954" i="12"/>
  <c r="O955" i="12"/>
  <c r="O956" i="12"/>
  <c r="O957" i="12"/>
  <c r="O958" i="12"/>
  <c r="O959" i="12"/>
  <c r="O960" i="12"/>
  <c r="O961" i="12"/>
  <c r="O962" i="12"/>
  <c r="O963" i="12"/>
  <c r="O964" i="12"/>
  <c r="O965" i="12"/>
  <c r="O966" i="12"/>
  <c r="O967" i="12"/>
  <c r="O968" i="12"/>
  <c r="O969" i="12"/>
  <c r="O970" i="12"/>
  <c r="O971" i="12"/>
  <c r="O972" i="12"/>
  <c r="O973" i="12"/>
  <c r="O974" i="12"/>
  <c r="O975" i="12"/>
  <c r="O976" i="12"/>
  <c r="O977" i="12"/>
  <c r="O978" i="12"/>
  <c r="O979" i="12"/>
  <c r="O980" i="12"/>
  <c r="O981" i="12"/>
  <c r="O982" i="12"/>
  <c r="O983" i="12"/>
  <c r="O984" i="12"/>
  <c r="O985" i="12"/>
  <c r="O986" i="12"/>
  <c r="O987" i="12"/>
  <c r="O988" i="12"/>
  <c r="O989" i="12"/>
  <c r="O990" i="12"/>
  <c r="O991" i="12"/>
  <c r="O992" i="12"/>
  <c r="O993" i="12"/>
  <c r="O994" i="12"/>
  <c r="O995" i="12"/>
  <c r="O996" i="12"/>
  <c r="O997" i="12"/>
  <c r="O998" i="12"/>
  <c r="O999" i="12"/>
  <c r="O1000" i="12"/>
  <c r="O1001" i="12"/>
  <c r="O1002" i="12"/>
  <c r="O1003" i="12"/>
  <c r="O1004" i="12"/>
  <c r="O1005" i="12"/>
  <c r="O1006" i="12"/>
  <c r="O1007" i="12"/>
  <c r="O1008" i="12"/>
  <c r="O1009" i="12"/>
  <c r="O1010" i="12"/>
  <c r="O1011" i="12"/>
  <c r="O1012" i="12"/>
  <c r="O1013" i="12"/>
  <c r="O1014" i="12"/>
  <c r="O1015" i="12"/>
  <c r="O1016" i="12"/>
  <c r="O1017" i="12"/>
  <c r="O1018" i="12"/>
  <c r="O1019" i="12"/>
  <c r="O1020" i="12"/>
  <c r="O1021" i="12"/>
  <c r="O1022" i="12"/>
  <c r="O1023" i="12"/>
  <c r="O1024" i="12"/>
  <c r="O1025" i="12"/>
  <c r="O1026" i="12"/>
  <c r="O1027" i="12"/>
  <c r="O1028" i="12"/>
  <c r="O1029" i="12"/>
  <c r="O1030" i="12"/>
  <c r="O1031" i="12"/>
  <c r="O1032" i="12"/>
  <c r="O1033" i="12"/>
  <c r="O1034" i="12"/>
  <c r="O1035" i="12"/>
  <c r="O1036" i="12"/>
  <c r="O1037" i="12"/>
  <c r="O1038" i="12"/>
  <c r="O1039" i="12"/>
  <c r="O1040" i="12"/>
  <c r="O1041" i="12"/>
  <c r="O1042" i="12"/>
  <c r="O1043" i="12"/>
  <c r="O1044" i="12"/>
  <c r="O1045" i="12"/>
  <c r="O1046" i="12"/>
  <c r="O1047" i="12"/>
  <c r="O1048" i="12"/>
  <c r="O1049" i="12"/>
  <c r="O1050" i="12"/>
  <c r="O1051" i="12"/>
  <c r="O1052" i="12"/>
  <c r="O1053" i="12"/>
  <c r="O1054" i="12"/>
  <c r="O1055" i="12"/>
  <c r="O1056" i="12"/>
  <c r="O1057" i="12"/>
  <c r="O1058" i="12"/>
  <c r="O1059" i="12"/>
  <c r="O1060" i="12"/>
  <c r="O1061" i="12"/>
  <c r="O1062" i="12"/>
  <c r="O1063" i="12"/>
  <c r="O1064" i="12"/>
  <c r="O1065" i="12"/>
  <c r="O1066" i="12"/>
  <c r="O1067" i="12"/>
  <c r="O1068" i="12"/>
  <c r="O1069" i="12"/>
  <c r="O1070" i="12"/>
  <c r="O1071" i="12"/>
  <c r="O1072" i="12"/>
  <c r="O1073" i="12"/>
  <c r="O1074" i="12"/>
  <c r="O1075" i="12"/>
  <c r="O1076" i="12"/>
  <c r="O1077" i="12"/>
  <c r="O1078" i="12"/>
  <c r="O1079" i="12"/>
  <c r="O1080" i="12"/>
  <c r="O1081" i="12"/>
  <c r="O1082" i="12"/>
  <c r="O1083" i="12"/>
  <c r="O1084" i="12"/>
  <c r="O1085" i="12"/>
  <c r="O1086" i="12"/>
  <c r="O1087" i="12"/>
  <c r="O1088" i="12"/>
  <c r="O1089" i="12"/>
  <c r="O1090" i="12"/>
  <c r="O1091" i="12"/>
  <c r="O1092" i="12"/>
  <c r="O1093" i="12"/>
  <c r="O1094" i="12"/>
  <c r="O1095" i="12"/>
  <c r="O1096" i="12"/>
  <c r="O1097" i="12"/>
  <c r="O1098" i="12"/>
  <c r="O1099" i="12"/>
  <c r="O1100" i="12"/>
  <c r="O1101" i="12"/>
  <c r="O1102" i="12"/>
  <c r="O1103" i="12"/>
  <c r="O1104" i="12"/>
  <c r="O1105" i="12"/>
  <c r="O1106" i="12"/>
  <c r="O1107" i="12"/>
  <c r="O1108" i="12"/>
  <c r="O1109" i="12"/>
  <c r="O1110" i="12"/>
  <c r="O1111" i="12"/>
  <c r="O1112" i="12"/>
  <c r="O1113" i="12"/>
  <c r="O1114" i="12"/>
  <c r="O1115" i="12"/>
  <c r="O1116" i="12"/>
  <c r="O1117" i="12"/>
  <c r="O1118" i="12"/>
  <c r="O1119" i="12"/>
  <c r="O1120" i="12"/>
  <c r="O1121" i="12"/>
  <c r="O1122" i="12"/>
  <c r="O1123" i="12"/>
  <c r="O1124" i="12"/>
  <c r="O1125" i="12"/>
  <c r="O1126" i="12"/>
  <c r="O1127" i="12"/>
  <c r="O1128" i="12"/>
  <c r="O1129" i="12"/>
  <c r="O1130" i="12"/>
  <c r="O1131" i="12"/>
  <c r="O1132" i="12"/>
  <c r="O1133" i="12"/>
  <c r="O1134" i="12"/>
  <c r="O1135" i="12"/>
  <c r="O1136" i="12"/>
  <c r="O1137" i="12"/>
  <c r="O1138" i="12"/>
  <c r="O1139" i="12"/>
  <c r="O1140" i="12"/>
  <c r="O1141" i="12"/>
  <c r="O1142" i="12"/>
  <c r="O1143" i="12"/>
  <c r="O1144" i="12"/>
  <c r="O1145" i="12"/>
  <c r="O1146" i="12"/>
  <c r="O1147" i="12"/>
  <c r="O1148" i="12"/>
  <c r="O1149" i="12"/>
  <c r="O1150" i="12"/>
  <c r="O1151" i="12"/>
  <c r="O1152" i="12"/>
  <c r="O1153" i="12"/>
  <c r="O1154" i="12"/>
  <c r="O1155" i="12"/>
  <c r="O1156" i="12"/>
  <c r="O1157" i="12"/>
  <c r="O1158" i="12"/>
  <c r="O1159" i="12"/>
  <c r="O1160" i="12"/>
  <c r="O1161" i="12"/>
  <c r="O1162" i="12"/>
  <c r="O1163" i="12"/>
  <c r="O1164" i="12"/>
  <c r="O1165" i="12"/>
  <c r="O1166" i="12"/>
  <c r="O1167" i="12"/>
  <c r="O1168" i="12"/>
  <c r="O1169" i="12"/>
  <c r="O1170" i="12"/>
  <c r="O1171" i="12"/>
  <c r="O1172" i="12"/>
  <c r="O1173" i="12"/>
  <c r="O1174" i="12"/>
  <c r="O1175" i="12"/>
  <c r="O1176" i="12"/>
  <c r="O1177" i="12"/>
  <c r="O1178" i="12"/>
  <c r="O1179" i="12"/>
  <c r="O1180" i="12"/>
  <c r="O1181" i="12"/>
  <c r="O1182" i="12"/>
  <c r="O1183" i="12"/>
  <c r="O1184" i="12"/>
  <c r="O1185" i="12"/>
  <c r="O1186" i="12"/>
  <c r="O1187" i="12"/>
  <c r="O1188" i="12"/>
  <c r="O1189" i="12"/>
  <c r="O1190" i="12"/>
  <c r="O1191" i="12"/>
  <c r="O1192" i="12"/>
  <c r="O1193" i="12"/>
  <c r="O1194" i="12"/>
  <c r="O1195" i="12"/>
  <c r="O1196" i="12"/>
  <c r="O1197" i="12"/>
  <c r="O1198" i="12"/>
  <c r="O1199" i="12"/>
  <c r="O1200" i="12"/>
  <c r="O1201" i="12"/>
  <c r="O1202" i="12"/>
  <c r="O1203" i="12"/>
  <c r="O1204" i="12"/>
  <c r="O1205" i="12"/>
  <c r="O1206" i="12"/>
  <c r="O1207" i="12"/>
  <c r="O1208" i="12"/>
  <c r="O1209" i="12"/>
  <c r="O1210" i="12"/>
  <c r="O1211" i="12"/>
  <c r="O1212" i="12"/>
  <c r="O1213" i="12"/>
  <c r="O1214" i="12"/>
  <c r="O1215" i="12"/>
  <c r="O1216" i="12"/>
  <c r="O1217" i="12"/>
  <c r="O1218" i="12"/>
  <c r="O1219" i="12"/>
  <c r="O1220" i="12"/>
  <c r="O1221" i="12"/>
  <c r="O1222" i="12"/>
  <c r="O1223" i="12"/>
  <c r="O1224" i="12"/>
  <c r="O1225" i="12"/>
  <c r="O1226" i="12"/>
  <c r="O1227" i="12"/>
  <c r="O1228" i="12"/>
  <c r="O1229" i="12"/>
  <c r="O1230" i="12"/>
  <c r="O1231" i="12"/>
  <c r="O1232" i="12"/>
  <c r="O1233" i="12"/>
  <c r="O1234" i="12"/>
  <c r="O1235" i="12"/>
  <c r="O1236" i="12"/>
  <c r="O1237" i="12"/>
  <c r="O1238" i="12"/>
  <c r="O1239" i="12"/>
  <c r="O1240" i="12"/>
  <c r="O1241" i="12"/>
  <c r="O1242" i="12"/>
  <c r="O1243" i="12"/>
  <c r="O1244" i="12"/>
  <c r="O1245" i="12"/>
  <c r="O1246" i="12"/>
  <c r="O1247" i="12"/>
  <c r="O1248" i="12"/>
  <c r="O1249" i="12"/>
  <c r="O1250" i="12"/>
  <c r="O1251" i="12"/>
  <c r="O1252" i="12"/>
  <c r="O1253" i="12"/>
  <c r="O1254" i="12"/>
  <c r="O1255" i="12"/>
  <c r="O1256" i="12"/>
  <c r="O1257" i="12"/>
  <c r="O1258" i="12"/>
  <c r="O1259" i="12"/>
  <c r="O1260" i="12"/>
  <c r="O1261" i="12"/>
  <c r="O1262" i="12"/>
  <c r="O1263" i="12"/>
  <c r="O1264" i="12"/>
  <c r="O1265" i="12"/>
  <c r="O1266" i="12"/>
  <c r="O1267" i="12"/>
  <c r="O1268" i="12"/>
  <c r="O1269" i="12"/>
  <c r="O1270" i="12"/>
  <c r="O1271" i="12"/>
  <c r="O1272" i="12"/>
  <c r="O1273" i="12"/>
  <c r="O1274" i="12"/>
  <c r="O1275" i="12"/>
  <c r="O1276" i="12"/>
  <c r="O1277" i="12"/>
  <c r="O1278" i="12"/>
  <c r="O1279" i="12"/>
  <c r="O1280" i="12"/>
  <c r="O1281" i="12"/>
  <c r="O1282" i="12"/>
  <c r="O1283" i="12"/>
  <c r="O1284" i="12"/>
  <c r="O1285" i="12"/>
  <c r="O1286" i="12"/>
  <c r="O1287" i="12"/>
  <c r="O1288" i="12"/>
  <c r="O1289" i="12"/>
  <c r="O1290" i="12"/>
  <c r="O1291" i="12"/>
  <c r="O1292" i="12"/>
  <c r="O1293" i="12"/>
  <c r="O1294" i="12"/>
  <c r="O1295" i="12"/>
  <c r="O1296" i="12"/>
  <c r="O1297" i="12"/>
  <c r="O1298" i="12"/>
  <c r="O1299" i="12"/>
  <c r="O1300" i="12"/>
  <c r="O1301" i="12"/>
  <c r="O1302" i="12"/>
  <c r="O1303" i="12"/>
  <c r="O1304" i="12"/>
  <c r="O1305" i="12"/>
  <c r="O1306" i="12"/>
  <c r="O1307" i="12"/>
  <c r="O1308" i="12"/>
  <c r="O1309" i="12"/>
  <c r="O1310" i="12"/>
  <c r="O1311" i="12"/>
  <c r="O1312" i="12"/>
  <c r="O1313" i="12"/>
  <c r="O1314" i="12"/>
  <c r="O1315" i="12"/>
  <c r="O1316" i="12"/>
  <c r="O1317" i="12"/>
  <c r="O1318" i="12"/>
  <c r="O1319" i="12"/>
  <c r="O1320" i="12"/>
  <c r="O1321" i="12"/>
  <c r="O1322" i="12"/>
  <c r="O1323" i="12"/>
  <c r="O1324" i="12"/>
  <c r="O1325" i="12"/>
  <c r="O1326" i="12"/>
  <c r="O1327" i="12"/>
  <c r="O1328" i="12"/>
  <c r="O1329" i="12"/>
  <c r="O1330" i="12"/>
  <c r="O1331" i="12"/>
  <c r="O1332" i="12"/>
  <c r="O1333" i="12"/>
  <c r="O1334" i="12"/>
  <c r="O1335" i="12"/>
  <c r="O1336" i="12"/>
  <c r="O1337" i="12"/>
  <c r="O1338" i="12"/>
  <c r="O1339" i="12"/>
  <c r="O1340" i="12"/>
  <c r="O1341" i="12"/>
  <c r="O1342" i="12"/>
  <c r="O1343" i="12"/>
  <c r="O1344" i="12"/>
  <c r="O1345" i="12"/>
  <c r="O1346" i="12"/>
  <c r="O1347" i="12"/>
  <c r="O1348" i="12"/>
  <c r="O1349" i="12"/>
  <c r="O1350" i="12"/>
  <c r="O1351" i="12"/>
  <c r="O1352" i="12"/>
  <c r="O1353" i="12"/>
  <c r="O1354" i="12"/>
  <c r="O1355" i="12"/>
  <c r="O1356" i="12"/>
  <c r="O1357" i="12"/>
  <c r="O1358" i="12"/>
  <c r="O1359" i="12"/>
  <c r="O1360" i="12"/>
  <c r="O1361" i="12"/>
  <c r="O1362" i="12"/>
  <c r="O1363" i="12"/>
  <c r="O1364" i="12"/>
  <c r="O1365" i="12"/>
  <c r="O1366" i="12"/>
  <c r="O1367" i="12"/>
  <c r="O1368" i="12"/>
  <c r="O1369" i="12"/>
  <c r="O1370" i="12"/>
  <c r="O1371" i="12"/>
  <c r="O1372" i="12"/>
  <c r="O1373" i="12"/>
  <c r="O1374" i="12"/>
  <c r="O1375" i="12"/>
  <c r="O1376" i="12"/>
  <c r="O1377" i="12"/>
  <c r="O1378" i="12"/>
  <c r="O1379" i="12"/>
  <c r="O1380" i="12"/>
  <c r="O1381" i="12"/>
  <c r="O1382" i="12"/>
  <c r="O1383" i="12"/>
  <c r="O1384" i="12"/>
  <c r="O1385" i="12"/>
  <c r="O1386" i="12"/>
  <c r="O1387" i="12"/>
  <c r="O1388" i="12"/>
  <c r="O1389" i="12"/>
  <c r="O1390" i="12"/>
  <c r="O1391" i="12"/>
  <c r="O1392" i="12"/>
  <c r="O1393" i="12"/>
  <c r="O1394" i="12"/>
  <c r="O1395" i="12"/>
  <c r="O1396" i="12"/>
  <c r="O1397" i="12"/>
  <c r="O1398" i="12"/>
  <c r="O1399" i="12"/>
  <c r="O1400" i="12"/>
  <c r="O1401" i="12"/>
  <c r="O1402" i="12"/>
  <c r="O1403" i="12"/>
  <c r="O1404" i="12"/>
  <c r="O1405" i="12"/>
  <c r="O1406" i="12"/>
  <c r="O1407" i="12"/>
  <c r="O1408" i="12"/>
  <c r="O1409" i="12"/>
  <c r="O1410" i="12"/>
  <c r="O1411" i="12"/>
  <c r="O1412" i="12"/>
  <c r="O1413" i="12"/>
  <c r="O1414" i="12"/>
  <c r="O1415" i="12"/>
  <c r="O1416" i="12"/>
  <c r="O1417" i="12"/>
  <c r="O1418" i="12"/>
  <c r="O1419" i="12"/>
  <c r="O1420" i="12"/>
  <c r="O1421" i="12"/>
  <c r="O1422" i="12"/>
  <c r="O1423" i="12"/>
  <c r="O1424" i="12"/>
  <c r="O1425" i="12"/>
  <c r="O1426" i="12"/>
  <c r="O1427" i="12"/>
  <c r="O1428" i="12"/>
  <c r="O1429" i="12"/>
  <c r="O1430" i="12"/>
  <c r="O1431" i="12"/>
  <c r="O1432" i="12"/>
  <c r="O1433" i="12"/>
  <c r="O1434" i="12"/>
  <c r="O1435" i="12"/>
  <c r="O1436" i="12"/>
  <c r="O1437" i="12"/>
  <c r="O1438" i="12"/>
  <c r="O1439" i="12"/>
  <c r="O1440" i="12"/>
  <c r="O1441" i="12"/>
  <c r="O1442" i="12"/>
  <c r="O1443" i="12"/>
  <c r="O1444" i="12"/>
  <c r="O1445" i="12"/>
  <c r="O1446" i="12"/>
  <c r="O1447" i="12"/>
  <c r="O1448" i="12"/>
  <c r="O1449" i="12"/>
  <c r="O1450" i="12"/>
  <c r="O1451" i="12"/>
  <c r="O1452" i="12"/>
  <c r="O1453" i="12"/>
  <c r="O1454" i="12"/>
  <c r="O1455" i="12"/>
  <c r="O1456" i="12"/>
  <c r="O1457" i="12"/>
  <c r="O1458" i="12"/>
  <c r="O1459" i="12"/>
  <c r="O1460" i="12"/>
  <c r="O1461" i="12"/>
  <c r="O1462" i="12"/>
  <c r="O1463" i="12"/>
  <c r="O1464" i="12"/>
  <c r="O1465" i="12"/>
  <c r="O1466" i="12"/>
  <c r="O1467" i="12"/>
  <c r="O1468" i="12"/>
  <c r="O1469" i="12"/>
  <c r="O1470" i="12"/>
  <c r="O1471" i="12"/>
  <c r="O1472" i="12"/>
  <c r="O1473" i="12"/>
  <c r="O1474" i="12"/>
  <c r="O1475" i="12"/>
  <c r="O1476" i="12"/>
  <c r="O1477" i="12"/>
  <c r="O1478" i="12"/>
  <c r="O1479" i="12"/>
  <c r="O1480" i="12"/>
  <c r="O1481" i="12"/>
  <c r="O1482" i="12"/>
  <c r="O1483" i="12"/>
  <c r="O1484" i="12"/>
  <c r="O1485" i="12"/>
  <c r="O1486" i="12"/>
  <c r="O1487" i="12"/>
  <c r="O1488" i="12"/>
  <c r="O1489" i="12"/>
  <c r="O1490" i="12"/>
  <c r="O1491" i="12"/>
  <c r="O1492" i="12"/>
  <c r="O1493" i="12"/>
  <c r="O1494" i="12"/>
  <c r="O1495" i="12"/>
  <c r="O1496" i="12"/>
  <c r="O1497" i="12"/>
  <c r="O1498" i="12"/>
  <c r="O1499" i="12"/>
  <c r="O1500" i="12"/>
  <c r="O1501" i="12"/>
  <c r="O1502" i="12"/>
  <c r="O1503" i="12"/>
  <c r="O1504" i="12"/>
  <c r="O1505" i="12"/>
  <c r="O1506" i="12"/>
  <c r="O1507" i="12"/>
  <c r="O1508" i="12"/>
  <c r="O1509" i="12"/>
  <c r="O1510" i="12"/>
  <c r="O1511" i="12"/>
  <c r="O1512" i="12"/>
  <c r="O1513" i="12"/>
  <c r="O1514" i="12"/>
  <c r="O1515" i="12"/>
  <c r="O1516" i="12"/>
  <c r="O1517" i="12"/>
  <c r="O1518" i="12"/>
  <c r="O1519" i="12"/>
  <c r="O1520" i="12"/>
  <c r="O1521" i="12"/>
  <c r="O1522" i="12"/>
  <c r="O1523" i="12"/>
  <c r="O1524" i="12"/>
  <c r="O1525" i="12"/>
  <c r="O1526" i="12"/>
  <c r="O1527" i="12"/>
  <c r="O1528" i="12"/>
  <c r="O1529" i="12"/>
  <c r="O1530" i="12"/>
  <c r="O1531" i="12"/>
  <c r="O1532" i="12"/>
  <c r="O1533" i="12"/>
  <c r="O1534" i="12"/>
  <c r="O1535" i="12"/>
  <c r="O1536" i="12"/>
  <c r="O1537" i="12"/>
  <c r="O1538" i="12"/>
  <c r="O1539" i="12"/>
  <c r="O1540" i="12"/>
  <c r="O1541" i="12"/>
  <c r="O1542" i="12"/>
  <c r="O1543" i="12"/>
  <c r="O1544" i="12"/>
  <c r="O1545" i="12"/>
  <c r="O1546" i="12"/>
  <c r="O1547" i="12"/>
  <c r="O1548" i="12"/>
  <c r="O1549" i="12"/>
  <c r="O1550" i="12"/>
  <c r="O1551" i="12"/>
  <c r="O1552" i="12"/>
  <c r="O1553" i="12"/>
  <c r="O1554" i="12"/>
  <c r="O1555" i="12"/>
  <c r="O1556" i="12"/>
  <c r="O1557" i="12"/>
  <c r="O1558" i="12"/>
  <c r="O1559" i="12"/>
  <c r="O1560" i="12"/>
  <c r="O1561" i="12"/>
  <c r="O1562" i="12"/>
  <c r="O1563" i="12"/>
  <c r="O1564" i="12"/>
  <c r="O1565" i="12"/>
  <c r="O1566" i="12"/>
  <c r="O1567" i="12"/>
  <c r="O1568" i="12"/>
  <c r="O1569" i="12"/>
  <c r="O1570" i="12"/>
  <c r="O1571" i="12"/>
  <c r="O1572" i="12"/>
  <c r="O1573" i="12"/>
  <c r="O1574" i="12"/>
  <c r="O1575" i="12"/>
  <c r="O1576" i="12"/>
  <c r="O1577" i="12"/>
  <c r="O1578" i="12"/>
  <c r="O1579" i="12"/>
  <c r="O1580" i="12"/>
  <c r="O1581" i="12"/>
  <c r="O1582" i="12"/>
  <c r="O1583" i="12"/>
  <c r="O1584" i="12"/>
  <c r="O1585" i="12"/>
  <c r="O1586" i="12"/>
  <c r="O1587" i="12"/>
  <c r="O1588" i="12"/>
  <c r="O1589" i="12"/>
  <c r="O1590" i="12"/>
  <c r="O1591" i="12"/>
  <c r="O1592" i="12"/>
  <c r="O1593" i="12"/>
  <c r="O1594" i="12"/>
  <c r="O1595" i="12"/>
  <c r="O1596" i="12"/>
  <c r="O1597" i="12"/>
  <c r="O1598" i="12"/>
  <c r="O1599" i="12"/>
  <c r="O1600" i="12"/>
  <c r="O1601" i="12"/>
  <c r="O1602" i="12"/>
  <c r="O1603" i="12"/>
  <c r="O1604" i="12"/>
  <c r="O1605" i="12"/>
  <c r="O1606" i="12"/>
  <c r="O1607" i="12"/>
  <c r="O1608" i="12"/>
  <c r="O1609" i="12"/>
  <c r="O1610" i="12"/>
  <c r="O1611" i="12"/>
  <c r="O1612" i="12"/>
  <c r="O1613" i="12"/>
  <c r="O1614" i="12"/>
  <c r="O1615" i="12"/>
  <c r="O1616" i="12"/>
  <c r="O1617" i="12"/>
  <c r="O1618" i="12"/>
  <c r="O1619" i="12"/>
  <c r="O1620" i="12"/>
  <c r="O1621" i="12"/>
  <c r="O1622" i="12"/>
  <c r="O1623" i="12"/>
  <c r="O1624" i="12"/>
  <c r="O1625" i="12"/>
  <c r="O1626" i="12"/>
  <c r="O1627" i="12"/>
  <c r="O1628" i="12"/>
  <c r="O1629" i="12"/>
  <c r="O1630" i="12"/>
  <c r="O1631" i="12"/>
  <c r="O1632" i="12"/>
  <c r="O1633" i="12"/>
  <c r="O1634" i="12"/>
  <c r="O1635" i="12"/>
  <c r="O1636" i="12"/>
  <c r="O1637" i="12"/>
  <c r="O1638" i="12"/>
  <c r="O1639" i="12"/>
  <c r="O1640" i="12"/>
  <c r="O1641" i="12"/>
  <c r="O1642" i="12"/>
  <c r="O1643" i="12"/>
  <c r="O1644" i="12"/>
  <c r="O1645" i="12"/>
  <c r="O1646" i="12"/>
  <c r="O1647" i="12"/>
  <c r="O1648" i="12"/>
  <c r="O1649" i="12"/>
  <c r="O1650" i="12"/>
  <c r="O1651" i="12"/>
  <c r="O1652" i="12"/>
  <c r="O1653" i="12"/>
  <c r="O1654" i="12"/>
  <c r="O1655" i="12"/>
  <c r="O1656" i="12"/>
  <c r="O1657" i="12"/>
  <c r="O1658" i="12"/>
  <c r="O1659" i="12"/>
  <c r="O1660" i="12"/>
  <c r="O1661" i="12"/>
  <c r="O1662" i="12"/>
  <c r="O1663" i="12"/>
  <c r="O1664" i="12"/>
  <c r="O1665" i="12"/>
  <c r="O1666" i="12"/>
  <c r="O1667" i="12"/>
  <c r="O1668" i="12"/>
  <c r="O1669" i="12"/>
  <c r="O1670" i="12"/>
  <c r="O1671" i="12"/>
  <c r="O1672" i="12"/>
  <c r="O1673" i="12"/>
  <c r="O1674" i="12"/>
  <c r="O1675" i="12"/>
  <c r="O1676" i="12"/>
  <c r="O1677" i="12"/>
  <c r="O1678" i="12"/>
  <c r="O1679" i="12"/>
  <c r="O1680" i="12"/>
  <c r="O1681" i="12"/>
  <c r="O1682" i="12"/>
  <c r="O1683" i="12"/>
  <c r="O1684" i="12"/>
  <c r="O1685" i="12"/>
  <c r="O1686" i="12"/>
  <c r="O1687" i="12"/>
  <c r="O1688" i="12"/>
  <c r="O1689" i="12"/>
  <c r="O1690" i="12"/>
  <c r="O1691" i="12"/>
  <c r="O1692" i="12"/>
  <c r="O1693" i="12"/>
  <c r="O1694" i="12"/>
  <c r="O1695" i="12"/>
  <c r="O1696" i="12"/>
  <c r="O1697" i="12"/>
  <c r="O1698" i="12"/>
  <c r="O1699" i="12"/>
  <c r="O1700" i="12"/>
  <c r="O1701" i="12"/>
  <c r="O1702" i="12"/>
  <c r="O1703" i="12"/>
  <c r="O1704" i="12"/>
  <c r="O1705" i="12"/>
  <c r="O1706" i="12"/>
  <c r="O1707" i="12"/>
  <c r="O1708" i="12"/>
  <c r="O1709" i="12"/>
  <c r="O1710" i="12"/>
  <c r="O1711" i="12"/>
  <c r="O1712" i="12"/>
  <c r="O1713" i="12"/>
  <c r="O1714" i="12"/>
  <c r="O1715" i="12"/>
  <c r="O1716" i="12"/>
  <c r="O1717" i="12"/>
  <c r="O1718" i="12"/>
  <c r="O1719" i="12"/>
  <c r="O1720" i="12"/>
  <c r="O1721" i="12"/>
  <c r="O1722" i="12"/>
  <c r="O1723" i="12"/>
  <c r="O1724" i="12"/>
  <c r="O1725" i="12"/>
  <c r="O1726" i="12"/>
  <c r="O1727" i="12"/>
  <c r="O1728" i="12"/>
  <c r="O1729" i="12"/>
  <c r="O1730" i="12"/>
  <c r="O1731" i="12"/>
  <c r="O1732" i="12"/>
  <c r="O1733" i="12"/>
  <c r="O1734" i="12"/>
  <c r="O1735" i="12"/>
  <c r="O1736" i="12"/>
  <c r="O1737" i="12"/>
  <c r="O1738" i="12"/>
  <c r="O1739" i="12"/>
  <c r="O1740" i="12"/>
  <c r="O1741" i="12"/>
  <c r="O1742" i="12"/>
  <c r="O1743" i="12"/>
  <c r="O1744" i="12"/>
  <c r="O1745" i="12"/>
  <c r="O1746" i="12"/>
  <c r="O1747" i="12"/>
  <c r="O1748" i="12"/>
  <c r="O1749" i="12"/>
  <c r="O1750" i="12"/>
  <c r="O1751" i="12"/>
  <c r="O1752" i="12"/>
  <c r="O1753" i="12"/>
  <c r="O1754" i="12"/>
  <c r="O1755" i="12"/>
  <c r="O1756" i="12"/>
  <c r="O1757" i="12"/>
  <c r="O1758" i="12"/>
  <c r="O1759" i="12"/>
  <c r="O1760" i="12"/>
  <c r="O1761" i="12"/>
  <c r="O1762" i="12"/>
  <c r="O1763" i="12"/>
  <c r="O1764" i="12"/>
  <c r="O1765" i="12"/>
  <c r="O1766" i="12"/>
  <c r="O1767" i="12"/>
  <c r="O1768" i="12"/>
  <c r="O1769" i="12"/>
  <c r="O1770" i="12"/>
  <c r="O1771" i="12"/>
  <c r="O1772" i="12"/>
  <c r="O1773" i="12"/>
  <c r="O1774" i="12"/>
  <c r="O1775" i="12"/>
  <c r="O1776" i="12"/>
  <c r="O1777" i="12"/>
  <c r="O1778" i="12"/>
  <c r="O1779" i="12"/>
  <c r="O1780" i="12"/>
  <c r="O1781" i="12"/>
  <c r="O1782" i="12"/>
  <c r="O1783" i="12"/>
  <c r="O1784" i="12"/>
  <c r="O1785" i="12"/>
  <c r="O1786" i="12"/>
  <c r="O1787" i="12"/>
  <c r="O1788" i="12"/>
  <c r="O1789" i="12"/>
  <c r="O1790" i="12"/>
  <c r="O1791" i="12"/>
  <c r="O1792" i="12"/>
  <c r="O1793" i="12"/>
  <c r="O1794" i="12"/>
  <c r="O1795" i="12"/>
  <c r="O1796" i="12"/>
  <c r="O1797" i="12"/>
  <c r="O1798" i="12"/>
  <c r="O1799" i="12"/>
  <c r="O1800" i="12"/>
  <c r="O1801" i="12"/>
  <c r="O1802" i="12"/>
  <c r="O1803" i="12"/>
  <c r="O1804" i="12"/>
  <c r="O1805" i="12"/>
  <c r="O1806" i="12"/>
  <c r="O1807" i="12"/>
  <c r="O1808" i="12"/>
  <c r="O1809" i="12"/>
  <c r="O1810" i="12"/>
  <c r="O1811" i="12"/>
  <c r="O1812" i="12"/>
  <c r="O1813" i="12"/>
  <c r="O1814" i="12"/>
  <c r="O1815" i="12"/>
  <c r="O1816" i="12"/>
  <c r="O1817" i="12"/>
  <c r="O1818" i="12"/>
  <c r="O1819" i="12"/>
  <c r="O1820" i="12"/>
  <c r="O1821" i="12"/>
  <c r="O1822" i="12"/>
  <c r="O1823" i="12"/>
  <c r="O1824" i="12"/>
  <c r="O1825" i="12"/>
  <c r="O1826" i="12"/>
  <c r="O1827" i="12"/>
  <c r="O1828" i="12"/>
  <c r="O1829" i="12"/>
  <c r="O1830" i="12"/>
  <c r="O1831" i="12"/>
  <c r="O1832" i="12"/>
  <c r="O1833" i="12"/>
  <c r="O1834" i="12"/>
  <c r="O1835" i="12"/>
  <c r="O1836" i="12"/>
  <c r="O1837" i="12"/>
  <c r="O1838" i="12"/>
  <c r="O1839" i="12"/>
  <c r="O1840" i="12"/>
  <c r="O1841" i="12"/>
  <c r="O1842" i="12"/>
  <c r="O1843" i="12"/>
  <c r="O1844" i="12"/>
  <c r="O1845" i="12"/>
  <c r="O1846" i="12"/>
  <c r="O1847" i="12"/>
  <c r="O1848" i="12"/>
  <c r="O1849" i="12"/>
  <c r="O1850" i="12"/>
  <c r="O1851" i="12"/>
  <c r="O1852" i="12"/>
  <c r="O1853" i="12"/>
  <c r="O1854" i="12"/>
  <c r="O1855" i="12"/>
  <c r="O1856" i="12"/>
  <c r="O1857" i="12"/>
  <c r="O1858" i="12"/>
  <c r="O1859" i="12"/>
  <c r="O1860" i="12"/>
  <c r="O1861" i="12"/>
  <c r="O1862" i="12"/>
  <c r="O1863" i="12"/>
  <c r="O1864" i="12"/>
  <c r="O1865" i="12"/>
  <c r="O1866" i="12"/>
  <c r="O1867" i="12"/>
  <c r="O1868" i="12"/>
  <c r="O1869" i="12"/>
  <c r="O1870" i="12"/>
  <c r="O1871" i="12"/>
  <c r="O1872" i="12"/>
  <c r="O1873" i="12"/>
  <c r="O1874" i="12"/>
  <c r="O1875" i="12"/>
  <c r="O1876" i="12"/>
  <c r="O1877" i="12"/>
  <c r="O1878" i="12"/>
  <c r="O1879" i="12"/>
  <c r="O1880" i="12"/>
  <c r="O1881" i="12"/>
  <c r="O1882" i="12"/>
  <c r="O1883" i="12"/>
  <c r="O1884" i="12"/>
  <c r="O1885" i="12"/>
  <c r="O1886" i="12"/>
  <c r="O1887" i="12"/>
  <c r="O1888" i="12"/>
  <c r="O1889" i="12"/>
  <c r="O1890" i="12"/>
  <c r="O1891" i="12"/>
  <c r="O1892" i="12"/>
  <c r="O1893" i="12"/>
  <c r="O1894" i="12"/>
  <c r="O1895" i="12"/>
  <c r="O1896" i="12"/>
  <c r="O1897" i="12"/>
  <c r="O1898" i="12"/>
  <c r="O1899" i="12"/>
  <c r="O1900" i="12"/>
  <c r="O1901" i="12"/>
  <c r="O1902" i="12"/>
  <c r="O1903" i="12"/>
  <c r="O1904" i="12"/>
  <c r="O1905" i="12"/>
  <c r="O1906" i="12"/>
  <c r="O1907" i="12"/>
  <c r="O1908" i="12"/>
  <c r="O1909" i="12"/>
  <c r="O1910" i="12"/>
  <c r="O1911" i="12"/>
  <c r="O1912" i="12"/>
  <c r="O1913" i="12"/>
  <c r="O1914" i="12"/>
  <c r="O1915" i="12"/>
  <c r="O1916" i="12"/>
  <c r="O1917" i="12"/>
  <c r="O1918" i="12"/>
  <c r="O1919" i="12"/>
  <c r="O1920" i="12"/>
  <c r="O1921" i="12"/>
  <c r="O1922" i="12"/>
  <c r="O1923" i="12"/>
  <c r="O1924" i="12"/>
  <c r="O1925" i="12"/>
  <c r="O1926" i="12"/>
  <c r="O1927" i="12"/>
  <c r="O1928" i="12"/>
  <c r="O1929" i="12"/>
  <c r="O1930" i="12"/>
  <c r="O1931" i="12"/>
  <c r="O1932" i="12"/>
  <c r="O1933" i="12"/>
  <c r="O1934" i="12"/>
  <c r="O1935" i="12"/>
  <c r="O1936" i="12"/>
  <c r="O1937" i="12"/>
  <c r="O1938" i="12"/>
  <c r="O1939" i="12"/>
  <c r="O1940" i="12"/>
  <c r="O1941" i="12"/>
  <c r="O1942" i="12"/>
  <c r="O1943" i="12"/>
  <c r="O1944" i="12"/>
  <c r="O1945" i="12"/>
  <c r="O1946" i="12"/>
  <c r="O1947" i="12"/>
  <c r="O1948" i="12"/>
  <c r="O1949" i="12"/>
  <c r="O1950" i="12"/>
  <c r="O1951" i="12"/>
  <c r="O1952" i="12"/>
  <c r="O1953" i="12"/>
  <c r="O1954" i="12"/>
  <c r="O1955" i="12"/>
  <c r="O1956" i="12"/>
  <c r="O1957" i="12"/>
  <c r="O1958" i="12"/>
  <c r="O1959" i="12"/>
  <c r="O1960" i="12"/>
  <c r="O1961" i="12"/>
  <c r="O1962" i="12"/>
  <c r="O1963" i="12"/>
  <c r="O1964" i="12"/>
  <c r="O1965" i="12"/>
  <c r="O1966" i="12"/>
  <c r="O1967" i="12"/>
  <c r="O1968" i="12"/>
  <c r="O1969" i="12"/>
  <c r="O1970" i="12"/>
  <c r="O1971" i="12"/>
  <c r="O1972" i="12"/>
  <c r="O1973" i="12"/>
  <c r="O1974" i="12"/>
  <c r="O1975" i="12"/>
  <c r="O1976" i="12"/>
  <c r="O1977" i="12"/>
  <c r="O1978" i="12"/>
  <c r="O1979" i="12"/>
  <c r="O1980" i="12"/>
  <c r="O1981" i="12"/>
  <c r="O1982" i="12"/>
  <c r="O1983" i="12"/>
  <c r="O1984" i="12"/>
  <c r="O1985" i="12"/>
  <c r="O1986" i="12"/>
  <c r="O1987" i="12"/>
  <c r="O1988" i="12"/>
  <c r="O1989" i="12"/>
  <c r="O1990" i="12"/>
  <c r="O1991" i="12"/>
  <c r="O1992" i="12"/>
  <c r="O1993" i="12"/>
  <c r="O1994" i="12"/>
  <c r="O1995" i="12"/>
  <c r="O1996" i="12"/>
  <c r="O1997" i="12"/>
  <c r="O1998" i="12"/>
  <c r="O1999" i="12"/>
  <c r="O2000" i="12"/>
  <c r="O2001" i="12"/>
  <c r="O2002" i="12"/>
  <c r="O2003" i="12"/>
  <c r="O2004" i="12"/>
  <c r="O2005" i="12"/>
  <c r="O2006" i="12"/>
  <c r="O2007" i="12"/>
  <c r="O2008" i="12"/>
  <c r="O2009" i="12"/>
  <c r="O2010" i="12"/>
  <c r="O2011" i="12"/>
  <c r="O2012" i="12"/>
  <c r="O2013" i="12"/>
  <c r="O2014" i="12"/>
  <c r="O2015" i="12"/>
  <c r="O2016" i="12"/>
  <c r="O2017" i="12"/>
  <c r="O2018" i="12"/>
  <c r="O2019" i="12"/>
  <c r="O2020" i="12"/>
  <c r="O2021" i="12"/>
  <c r="O2022" i="12"/>
  <c r="O2023" i="12"/>
  <c r="O2024" i="12"/>
  <c r="O2025" i="12"/>
  <c r="O2026" i="12"/>
  <c r="O2027" i="12"/>
  <c r="O2028" i="12"/>
  <c r="O2029" i="12"/>
  <c r="O2030" i="12"/>
  <c r="O2031" i="12"/>
  <c r="O2032" i="12"/>
  <c r="O2033" i="12"/>
  <c r="O2034" i="12"/>
  <c r="O2035" i="12"/>
  <c r="O2036" i="12"/>
  <c r="O2037" i="12"/>
  <c r="O2038" i="12"/>
  <c r="O2039" i="12"/>
  <c r="O2040" i="12"/>
  <c r="O2041" i="12"/>
  <c r="O2042" i="12"/>
  <c r="O2043" i="12"/>
  <c r="O2044" i="12"/>
  <c r="O2045" i="12"/>
  <c r="O2046" i="12"/>
  <c r="O2047" i="12"/>
  <c r="O2048" i="12"/>
  <c r="O2049" i="12"/>
  <c r="O2050" i="12"/>
  <c r="O2051" i="12"/>
  <c r="O2052" i="12"/>
  <c r="O2053" i="12"/>
  <c r="O2054" i="12"/>
  <c r="O2055" i="12"/>
  <c r="O2056" i="12"/>
  <c r="O2057" i="12"/>
  <c r="O2058" i="12"/>
  <c r="O2059" i="12"/>
  <c r="O2060" i="12"/>
  <c r="O2061" i="12"/>
  <c r="O2062" i="12"/>
  <c r="O2063" i="12"/>
  <c r="O2064" i="12"/>
  <c r="O2065" i="12"/>
  <c r="O2066" i="12"/>
  <c r="O2067" i="12"/>
  <c r="O2068" i="12"/>
  <c r="O2069" i="12"/>
  <c r="O2070" i="12"/>
  <c r="O2071" i="12"/>
  <c r="O2072" i="12"/>
  <c r="O2073" i="12"/>
  <c r="O2074" i="12"/>
  <c r="O2075" i="12"/>
  <c r="O2076" i="12"/>
  <c r="O2077" i="12"/>
  <c r="O2078" i="12"/>
  <c r="O2079" i="12"/>
  <c r="O2080" i="12"/>
  <c r="O2081" i="12"/>
  <c r="O2082" i="12"/>
  <c r="O2083" i="12"/>
  <c r="O2084" i="12"/>
  <c r="O2085" i="12"/>
  <c r="O2086" i="12"/>
  <c r="O2087" i="12"/>
  <c r="O2088" i="12"/>
  <c r="O2089" i="12"/>
  <c r="O2090" i="12"/>
  <c r="O2091" i="12"/>
  <c r="O2092" i="12"/>
  <c r="O2093" i="12"/>
  <c r="O2094" i="12"/>
  <c r="O2095" i="12"/>
  <c r="O2096" i="12"/>
  <c r="O2097" i="12"/>
  <c r="O2098" i="12"/>
  <c r="O2099" i="12"/>
  <c r="O2100" i="12"/>
  <c r="O2101" i="12"/>
  <c r="O2102" i="12"/>
  <c r="O2103" i="12"/>
  <c r="O2104" i="12"/>
  <c r="O2105" i="12"/>
  <c r="O2106" i="12"/>
  <c r="O2107" i="12"/>
  <c r="O2108" i="12"/>
  <c r="O2109" i="12"/>
  <c r="O2110" i="12"/>
  <c r="O2111" i="12"/>
  <c r="O2112" i="12"/>
  <c r="O2113" i="12"/>
  <c r="O2114" i="12"/>
  <c r="O2115" i="12"/>
  <c r="O2116" i="12"/>
  <c r="O2117" i="12"/>
  <c r="O2118" i="12"/>
  <c r="O2119" i="12"/>
  <c r="O2120" i="12"/>
  <c r="O2121" i="12"/>
  <c r="O2122" i="12"/>
  <c r="O2123" i="12"/>
  <c r="O2124" i="12"/>
  <c r="O2125" i="12"/>
  <c r="O2126" i="12"/>
  <c r="O2127" i="12"/>
  <c r="O2128" i="12"/>
  <c r="O2129" i="12"/>
  <c r="O2130" i="12"/>
  <c r="O2131" i="12"/>
  <c r="O2132" i="12"/>
  <c r="O2133" i="12"/>
  <c r="O2134" i="12"/>
  <c r="O2135" i="12"/>
  <c r="O2136" i="12"/>
  <c r="O2137" i="12"/>
  <c r="O2138" i="12"/>
  <c r="O2139" i="12"/>
  <c r="O2140" i="12"/>
  <c r="O2141" i="12"/>
  <c r="O2142" i="12"/>
  <c r="O2143" i="12"/>
  <c r="O2144" i="12"/>
  <c r="O2145" i="12"/>
  <c r="O2146" i="12"/>
  <c r="O2147" i="12"/>
  <c r="O2148" i="12"/>
  <c r="O2149" i="12"/>
  <c r="O2150" i="12"/>
  <c r="O2151" i="12"/>
  <c r="O2152" i="12"/>
  <c r="O2153" i="12"/>
  <c r="O2154" i="12"/>
  <c r="O2155" i="12"/>
  <c r="O2156" i="12"/>
  <c r="O2157" i="12"/>
  <c r="O2158" i="12"/>
  <c r="O2159" i="12"/>
  <c r="O2160" i="12"/>
  <c r="O2161" i="12"/>
  <c r="O2162" i="12"/>
  <c r="O2163" i="12"/>
  <c r="O2164" i="12"/>
  <c r="O2165" i="12"/>
  <c r="O2166" i="12"/>
  <c r="O2167" i="12"/>
  <c r="O2168" i="12"/>
  <c r="O2169" i="12"/>
  <c r="O2170" i="12"/>
  <c r="O2171" i="12"/>
  <c r="O2172" i="12"/>
  <c r="O2173" i="12"/>
  <c r="O2174" i="12"/>
  <c r="O2175" i="12"/>
  <c r="O2176" i="12"/>
  <c r="O2177" i="12"/>
  <c r="O2178" i="12"/>
  <c r="O2179" i="12"/>
  <c r="O2180" i="12"/>
  <c r="O2181" i="12"/>
  <c r="O2182" i="12"/>
  <c r="O2183" i="12"/>
  <c r="O2184" i="12"/>
  <c r="O2185" i="12"/>
  <c r="O2186" i="12"/>
  <c r="O2187" i="12"/>
  <c r="O2188" i="12"/>
  <c r="O2189" i="12"/>
  <c r="O2190" i="12"/>
  <c r="O2191" i="12"/>
  <c r="O2192" i="12"/>
  <c r="O2193" i="12"/>
  <c r="O2194" i="12"/>
  <c r="O2195" i="12"/>
  <c r="O2196" i="12"/>
  <c r="O2197" i="12"/>
  <c r="O2198" i="12"/>
  <c r="O2199" i="12"/>
  <c r="O2200" i="12"/>
  <c r="O2201" i="12"/>
  <c r="O2202" i="12"/>
  <c r="O2203" i="12"/>
  <c r="O2204" i="12"/>
  <c r="O2205" i="12"/>
  <c r="O2206" i="12"/>
  <c r="O2207" i="12"/>
  <c r="O2208" i="12"/>
  <c r="O2209" i="12"/>
  <c r="O2210" i="12"/>
  <c r="O2211" i="12"/>
  <c r="O2212" i="12"/>
  <c r="O2213" i="12"/>
  <c r="O2214" i="12"/>
  <c r="O2215" i="12"/>
  <c r="O2216" i="12"/>
  <c r="O2217" i="12"/>
  <c r="O2218" i="12"/>
  <c r="O2219" i="12"/>
  <c r="O2220" i="12"/>
  <c r="O2221" i="12"/>
  <c r="O2222" i="12"/>
  <c r="O2223" i="12"/>
  <c r="O2224" i="12"/>
  <c r="O2225" i="12"/>
  <c r="O2226" i="12"/>
  <c r="O2227" i="12"/>
  <c r="O2228" i="12"/>
  <c r="O2229" i="12"/>
  <c r="O2230" i="12"/>
  <c r="O2231" i="12"/>
  <c r="O2232" i="12"/>
  <c r="O2233" i="12"/>
  <c r="O2234" i="12"/>
  <c r="O2235" i="12"/>
  <c r="O2236" i="12"/>
  <c r="O2237" i="12"/>
  <c r="O2238" i="12"/>
  <c r="O2239" i="12"/>
  <c r="O2240" i="12"/>
  <c r="O2241" i="12"/>
  <c r="O2242" i="12"/>
  <c r="O2243" i="12"/>
  <c r="O2244" i="12"/>
  <c r="O2245" i="12"/>
  <c r="O2246" i="12"/>
  <c r="O2247" i="12"/>
  <c r="O2248" i="12"/>
  <c r="O2249" i="12"/>
  <c r="O2250" i="12"/>
  <c r="O2251" i="12"/>
  <c r="O2252" i="12"/>
  <c r="O2253" i="12"/>
  <c r="O2254" i="12"/>
  <c r="O2255" i="12"/>
  <c r="O2256" i="12"/>
  <c r="O2257" i="12"/>
  <c r="O2258" i="12"/>
  <c r="O2259" i="12"/>
  <c r="O2260" i="12"/>
  <c r="O2261" i="12"/>
  <c r="O2262" i="12"/>
  <c r="O2263" i="12"/>
  <c r="O2264" i="12"/>
  <c r="O2265" i="12"/>
  <c r="O2266" i="12"/>
  <c r="O2267" i="12"/>
  <c r="O2268" i="12"/>
  <c r="O2269" i="12"/>
  <c r="O2270" i="12"/>
  <c r="O2271" i="12"/>
  <c r="O2272" i="12"/>
  <c r="O2273" i="12"/>
  <c r="O2274" i="12"/>
  <c r="O2275" i="12"/>
  <c r="O2276" i="12"/>
  <c r="O2277" i="12"/>
  <c r="O2278" i="12"/>
  <c r="O2279" i="12"/>
  <c r="O2280" i="12"/>
  <c r="O2281" i="12"/>
  <c r="O2282" i="12"/>
  <c r="O2283" i="12"/>
  <c r="O2284" i="12"/>
  <c r="O2285" i="12"/>
  <c r="O2286" i="12"/>
  <c r="O2287" i="12"/>
  <c r="O2288" i="12"/>
  <c r="O2289" i="12"/>
  <c r="O2290" i="12"/>
  <c r="O2291" i="12"/>
  <c r="O2292" i="12"/>
  <c r="O2293" i="12"/>
  <c r="O2294" i="12"/>
  <c r="O2295" i="12"/>
  <c r="O2296" i="12"/>
  <c r="O2297" i="12"/>
  <c r="O2298" i="12"/>
  <c r="O2299" i="12"/>
  <c r="O2300" i="12"/>
  <c r="O2301" i="12"/>
  <c r="O2302" i="12"/>
  <c r="O2303" i="12"/>
  <c r="O2304" i="12"/>
  <c r="O2305" i="12"/>
  <c r="O2306" i="12"/>
  <c r="O2307" i="12"/>
  <c r="O2308" i="12"/>
  <c r="O2309" i="12"/>
  <c r="O2310" i="12"/>
  <c r="O2311" i="12"/>
  <c r="O2312" i="12"/>
  <c r="O2313" i="12"/>
  <c r="O2314" i="12"/>
  <c r="O2315" i="12"/>
  <c r="O2316" i="12"/>
  <c r="O2317" i="12"/>
  <c r="O2318" i="12"/>
  <c r="O2319" i="12"/>
  <c r="O2320" i="12"/>
  <c r="O2321" i="12"/>
  <c r="O2322" i="12"/>
  <c r="O2323" i="12"/>
  <c r="O2324" i="12"/>
  <c r="O2325" i="12"/>
  <c r="O2326" i="12"/>
  <c r="O2327" i="12"/>
  <c r="O2328" i="12"/>
  <c r="O2329" i="12"/>
  <c r="O2330" i="12"/>
  <c r="O2331" i="12"/>
  <c r="O2332" i="12"/>
  <c r="O2333" i="12"/>
  <c r="O2334" i="12"/>
  <c r="O2335" i="12"/>
  <c r="O2336" i="12"/>
  <c r="O2337" i="12"/>
  <c r="O2338" i="12"/>
  <c r="O2339" i="12"/>
  <c r="O2340" i="12"/>
  <c r="O2341" i="12"/>
  <c r="O2342" i="12"/>
  <c r="O2343" i="12"/>
  <c r="O2344" i="12"/>
  <c r="O2345" i="12"/>
  <c r="O2346" i="12"/>
  <c r="O2347" i="12"/>
  <c r="O2348" i="12"/>
  <c r="O2349" i="12"/>
  <c r="O2350" i="12"/>
  <c r="O2351" i="12"/>
  <c r="O2352" i="12"/>
  <c r="O2353" i="12"/>
  <c r="O2354" i="12"/>
  <c r="O2355" i="12"/>
  <c r="O2356" i="12"/>
  <c r="O2357" i="12"/>
  <c r="O2358" i="12"/>
  <c r="O2359" i="12"/>
  <c r="O2360" i="12"/>
  <c r="O2361" i="12"/>
  <c r="O2362" i="12"/>
  <c r="O2363" i="12"/>
  <c r="O2364" i="12"/>
  <c r="O2365" i="12"/>
  <c r="O2366" i="12"/>
  <c r="O2367" i="12"/>
  <c r="O2368" i="12"/>
  <c r="O2369" i="12"/>
  <c r="O2370" i="12"/>
  <c r="O2371" i="12"/>
  <c r="O2372" i="12"/>
  <c r="O2373" i="12"/>
  <c r="O2374" i="12"/>
  <c r="O2375" i="12"/>
  <c r="O2376" i="12"/>
  <c r="O2377" i="12"/>
  <c r="O2378" i="12"/>
  <c r="O2379" i="12"/>
  <c r="O2380" i="12"/>
  <c r="O2381" i="12"/>
  <c r="O2382" i="12"/>
  <c r="O2383" i="12"/>
  <c r="O2384" i="12"/>
  <c r="O2385" i="12"/>
  <c r="O2386" i="12"/>
  <c r="O2387" i="12"/>
  <c r="O2388" i="12"/>
  <c r="O2389" i="12"/>
  <c r="O2390" i="12"/>
  <c r="O2391" i="12"/>
  <c r="O2392" i="12"/>
  <c r="O2393" i="12"/>
  <c r="O2394" i="12"/>
  <c r="O2395" i="12"/>
  <c r="O2396" i="12"/>
  <c r="O2397" i="12"/>
  <c r="O2398" i="12"/>
  <c r="O2399" i="12"/>
  <c r="O2400" i="12"/>
  <c r="O2401" i="12"/>
  <c r="O2402" i="12"/>
  <c r="O2403" i="12"/>
  <c r="O2404" i="12"/>
  <c r="O2405" i="12"/>
  <c r="O2406" i="12"/>
  <c r="O2407" i="12"/>
  <c r="O2408" i="12"/>
  <c r="O2409" i="12"/>
  <c r="O2410" i="12"/>
  <c r="O2411" i="12"/>
  <c r="O2412" i="12"/>
  <c r="O2413" i="12"/>
  <c r="O2414" i="12"/>
  <c r="O2415" i="12"/>
  <c r="O2416" i="12"/>
  <c r="O2417" i="12"/>
  <c r="O2418" i="12"/>
  <c r="O2419" i="12"/>
  <c r="O2420" i="12"/>
  <c r="O2421" i="12"/>
  <c r="O2422" i="12"/>
  <c r="O2423" i="12"/>
  <c r="O2424" i="12"/>
  <c r="O2425" i="12"/>
  <c r="O2426" i="12"/>
  <c r="O2427" i="12"/>
  <c r="O2428" i="12"/>
  <c r="O2429" i="12"/>
  <c r="O2430" i="12"/>
  <c r="O2431" i="12"/>
  <c r="O2432" i="12"/>
  <c r="O2433" i="12"/>
  <c r="O2434" i="12"/>
  <c r="O2435" i="12"/>
  <c r="O2436" i="12"/>
  <c r="O2437" i="12"/>
  <c r="O2438" i="12"/>
  <c r="O2439" i="12"/>
  <c r="O2440" i="12"/>
  <c r="O2441" i="12"/>
  <c r="O2442" i="12"/>
  <c r="O2443" i="12"/>
  <c r="O2444" i="12"/>
  <c r="O2445" i="12"/>
  <c r="O2446" i="12"/>
  <c r="O2447" i="12"/>
  <c r="O2448" i="12"/>
  <c r="O2449" i="12"/>
  <c r="O2450" i="12"/>
  <c r="O2451" i="12"/>
  <c r="O2452" i="12"/>
  <c r="O2453" i="12"/>
  <c r="O2454" i="12"/>
  <c r="O2455" i="12"/>
  <c r="O2456" i="12"/>
  <c r="O2457" i="12"/>
  <c r="O2458" i="12"/>
  <c r="O2459" i="12"/>
  <c r="O2460" i="12"/>
  <c r="O2461" i="12"/>
  <c r="O2462" i="12"/>
  <c r="O2463" i="12"/>
  <c r="O2464" i="12"/>
  <c r="O2465" i="12"/>
  <c r="O2466" i="12"/>
  <c r="O2467" i="12"/>
  <c r="O2468" i="12"/>
  <c r="O2469" i="12"/>
  <c r="O2470" i="12"/>
  <c r="O2471" i="12"/>
  <c r="O2472" i="12"/>
  <c r="O2473" i="12"/>
  <c r="O2474" i="12"/>
  <c r="O2475" i="12"/>
  <c r="O2476" i="12"/>
  <c r="O2477" i="12"/>
  <c r="O2478" i="12"/>
  <c r="O2479" i="12"/>
  <c r="O2480" i="12"/>
  <c r="O2481" i="12"/>
  <c r="O2482" i="12"/>
  <c r="O2483" i="12"/>
  <c r="O2484" i="12"/>
  <c r="O2485" i="12"/>
  <c r="O2486" i="12"/>
  <c r="O2487" i="12"/>
  <c r="O2488" i="12"/>
  <c r="O2489" i="12"/>
  <c r="O2490" i="12"/>
  <c r="O2491" i="12"/>
  <c r="O2492" i="12"/>
  <c r="O2493" i="12"/>
  <c r="O2494" i="12"/>
  <c r="O2495" i="12"/>
  <c r="O2496" i="12"/>
  <c r="O2497" i="12"/>
  <c r="O2498" i="12"/>
  <c r="O2499" i="12"/>
  <c r="O2500" i="12"/>
  <c r="O2501" i="12"/>
  <c r="O2502" i="12"/>
  <c r="O2503" i="12"/>
  <c r="O2504" i="12"/>
  <c r="O2505" i="12"/>
  <c r="O2506" i="12"/>
  <c r="O2507" i="12"/>
  <c r="O2508" i="12"/>
  <c r="O2509" i="12"/>
  <c r="O2510" i="12"/>
  <c r="O2511" i="12"/>
  <c r="O2512" i="12"/>
  <c r="O2513" i="12"/>
  <c r="O2514" i="12"/>
  <c r="O2515" i="12"/>
  <c r="O2516" i="12"/>
  <c r="O2517" i="12"/>
  <c r="O2518" i="12"/>
  <c r="O2519" i="12"/>
  <c r="O2520" i="12"/>
  <c r="O2521" i="12"/>
  <c r="O2522" i="12"/>
  <c r="O2523" i="12"/>
  <c r="O2524" i="12"/>
  <c r="O2525" i="12"/>
  <c r="O2526" i="12"/>
  <c r="O2527" i="12"/>
  <c r="O2528" i="12"/>
  <c r="O2529" i="12"/>
  <c r="O2530" i="12"/>
  <c r="O2531" i="12"/>
  <c r="O2532" i="12"/>
  <c r="O2533" i="12"/>
  <c r="O2534" i="12"/>
  <c r="O2535" i="12"/>
  <c r="O2536" i="12"/>
  <c r="O2537" i="12"/>
  <c r="O2538" i="12"/>
  <c r="O2539" i="12"/>
  <c r="O2540" i="12"/>
  <c r="O2541" i="12"/>
  <c r="O2542" i="12"/>
  <c r="O2543" i="12"/>
  <c r="O2544" i="12"/>
  <c r="O2545" i="12"/>
  <c r="O2546" i="12"/>
  <c r="O2547" i="12"/>
  <c r="O2548" i="12"/>
  <c r="O2549" i="12"/>
  <c r="O2550" i="12"/>
  <c r="O2551" i="12"/>
  <c r="O2552" i="12"/>
  <c r="O2553" i="12"/>
  <c r="O2554" i="12"/>
  <c r="O2555" i="12"/>
  <c r="O2556" i="12"/>
  <c r="O2557" i="12"/>
  <c r="O2558" i="12"/>
  <c r="O2559" i="12"/>
  <c r="O2560" i="12"/>
  <c r="O2561" i="12"/>
  <c r="O2562" i="12"/>
  <c r="O2563" i="12"/>
  <c r="O2564" i="12"/>
  <c r="O2565" i="12"/>
  <c r="O2566" i="12"/>
  <c r="O2567" i="12"/>
  <c r="O2568" i="12"/>
  <c r="O2569" i="12"/>
  <c r="O2570" i="12"/>
  <c r="O2571" i="12"/>
  <c r="O2572" i="12"/>
  <c r="O2573" i="12"/>
  <c r="O2574" i="12"/>
  <c r="O2575" i="12"/>
  <c r="O2576" i="12"/>
  <c r="O2577" i="12"/>
  <c r="O2578" i="12"/>
  <c r="O2579" i="12"/>
  <c r="O2580" i="12"/>
  <c r="O2581" i="12"/>
  <c r="O2582" i="12"/>
  <c r="O2583" i="12"/>
  <c r="O2584" i="12"/>
  <c r="O2585" i="12"/>
  <c r="O2586" i="12"/>
  <c r="O2587" i="12"/>
  <c r="O2588" i="12"/>
  <c r="O2589" i="12"/>
  <c r="O2590" i="12"/>
  <c r="O2591" i="12"/>
  <c r="O2592" i="12"/>
  <c r="O2593" i="12"/>
  <c r="O2594" i="12"/>
  <c r="O2595" i="12"/>
  <c r="O2596" i="12"/>
  <c r="O2597" i="12"/>
  <c r="O2598" i="12"/>
  <c r="O2599" i="12"/>
  <c r="O2600" i="12"/>
  <c r="O2601" i="12"/>
  <c r="O2602" i="12"/>
  <c r="O2603" i="12"/>
  <c r="O2604" i="12"/>
  <c r="O2605" i="12"/>
  <c r="O2606" i="12"/>
  <c r="O2607" i="12"/>
  <c r="O2608" i="12"/>
  <c r="O2609" i="12"/>
  <c r="O2610" i="12"/>
  <c r="O2611" i="12"/>
  <c r="O2612" i="12"/>
  <c r="O2613" i="12"/>
  <c r="O2614" i="12"/>
  <c r="O2615" i="12"/>
  <c r="O2616" i="12"/>
  <c r="O2617" i="12"/>
  <c r="O2618" i="12"/>
  <c r="O2619" i="12"/>
  <c r="O2620" i="12"/>
  <c r="O2621" i="12"/>
  <c r="O2622" i="12"/>
  <c r="O2623" i="12"/>
  <c r="O2624" i="12"/>
  <c r="O2625" i="12"/>
  <c r="O2626" i="12"/>
  <c r="O2627" i="12"/>
  <c r="O2628" i="12"/>
  <c r="O2629" i="12"/>
  <c r="O2630" i="12"/>
  <c r="O2631" i="12"/>
  <c r="O2632" i="12"/>
  <c r="O2633" i="12"/>
  <c r="O2634" i="12"/>
  <c r="O2635" i="12"/>
  <c r="O2636" i="12"/>
  <c r="O2637" i="12"/>
  <c r="O2638" i="12"/>
  <c r="O2639" i="12"/>
  <c r="O2640" i="12"/>
  <c r="O2641" i="12"/>
  <c r="O2642" i="12"/>
  <c r="O2643" i="12"/>
  <c r="O2644" i="12"/>
  <c r="O2645" i="12"/>
  <c r="O2646" i="12"/>
  <c r="O2647" i="12"/>
  <c r="O2648" i="12"/>
  <c r="O2649" i="12"/>
  <c r="O2650" i="12"/>
  <c r="O2651" i="12"/>
  <c r="O2652" i="12"/>
  <c r="O2653" i="12"/>
  <c r="O2654" i="12"/>
  <c r="O2655" i="12"/>
  <c r="O2656" i="12"/>
  <c r="O2657" i="12"/>
  <c r="O2658" i="12"/>
  <c r="O2659" i="12"/>
  <c r="O2660" i="12"/>
  <c r="O2661" i="12"/>
  <c r="O2662" i="12"/>
  <c r="O2663" i="12"/>
  <c r="O2664" i="12"/>
  <c r="O2665" i="12"/>
  <c r="O2666" i="12"/>
  <c r="O2667" i="12"/>
  <c r="O2668" i="12"/>
  <c r="O2669" i="12"/>
  <c r="O2670" i="12"/>
  <c r="O2671" i="12"/>
  <c r="O2672" i="12"/>
  <c r="O2673" i="12"/>
  <c r="O2674" i="12"/>
  <c r="O2675" i="12"/>
  <c r="O2676" i="12"/>
  <c r="O2677" i="12"/>
  <c r="O2678" i="12"/>
  <c r="O2679" i="12"/>
  <c r="O2680" i="12"/>
  <c r="O2681" i="12"/>
  <c r="O2682" i="12"/>
  <c r="O2683" i="12"/>
  <c r="O2684" i="12"/>
  <c r="O2685" i="12"/>
  <c r="O2686" i="12"/>
  <c r="O2687" i="12"/>
  <c r="O2688" i="12"/>
  <c r="O2689" i="12"/>
  <c r="O2690" i="12"/>
  <c r="O2691" i="12"/>
  <c r="O2692" i="12"/>
  <c r="O2693" i="12"/>
  <c r="O2694" i="12"/>
  <c r="O2695" i="12"/>
  <c r="O2696" i="12"/>
  <c r="O2697" i="12"/>
  <c r="O2698" i="12"/>
  <c r="O2699" i="12"/>
  <c r="O2700" i="12"/>
  <c r="O2701" i="12"/>
  <c r="O2702" i="12"/>
  <c r="O2703" i="12"/>
  <c r="O2704" i="12"/>
  <c r="O2705" i="12"/>
  <c r="O2706" i="12"/>
  <c r="O2707" i="12"/>
  <c r="O2708" i="12"/>
  <c r="O2709" i="12"/>
  <c r="O2710" i="12"/>
  <c r="O2711" i="12"/>
  <c r="O2712" i="12"/>
  <c r="O2713" i="12"/>
  <c r="O2714" i="12"/>
  <c r="O2715" i="12"/>
  <c r="O2716" i="12"/>
  <c r="O2717" i="12"/>
  <c r="O2718" i="12"/>
  <c r="O2719" i="12"/>
  <c r="O2720" i="12"/>
  <c r="O2721" i="12"/>
  <c r="O2722" i="12"/>
  <c r="O2723" i="12"/>
  <c r="O2724" i="12"/>
  <c r="O2725" i="12"/>
  <c r="O2726" i="12"/>
  <c r="O2727" i="12"/>
  <c r="O2728" i="12"/>
  <c r="O2729" i="12"/>
  <c r="O2730" i="12"/>
  <c r="O2731" i="12"/>
  <c r="O2732" i="12"/>
  <c r="O2733" i="12"/>
  <c r="O2734" i="12"/>
  <c r="O2735" i="12"/>
  <c r="O2736" i="12"/>
  <c r="O2737" i="12"/>
  <c r="O2738" i="12"/>
  <c r="O2739" i="12"/>
  <c r="O2740" i="12"/>
  <c r="O2741" i="12"/>
  <c r="O2742" i="12"/>
  <c r="O2743" i="12"/>
  <c r="O2744" i="12"/>
  <c r="O2745" i="12"/>
  <c r="O2746" i="12"/>
  <c r="O2747" i="12"/>
  <c r="O2748" i="12"/>
  <c r="O2749" i="12"/>
  <c r="O2750" i="12"/>
  <c r="O2751" i="12"/>
  <c r="O2752" i="12"/>
  <c r="O2753" i="12"/>
  <c r="O2754" i="12"/>
  <c r="O2755" i="12"/>
  <c r="O2756" i="12"/>
  <c r="O2757" i="12"/>
  <c r="O2758" i="12"/>
  <c r="O2759" i="12"/>
  <c r="O2760" i="12"/>
  <c r="O2761" i="12"/>
  <c r="O2762" i="12"/>
  <c r="O2763" i="12"/>
  <c r="O2764" i="12"/>
  <c r="O2765" i="12"/>
  <c r="O2766" i="12"/>
  <c r="O2767" i="12"/>
  <c r="O2768" i="12"/>
  <c r="O2769" i="12"/>
  <c r="O2770" i="12"/>
  <c r="O2771" i="12"/>
  <c r="O2772" i="12"/>
  <c r="O2773" i="12"/>
  <c r="O2774" i="12"/>
  <c r="O2775" i="12"/>
  <c r="O2776" i="12"/>
  <c r="O2777" i="12"/>
  <c r="O2778" i="12"/>
  <c r="O2779" i="12"/>
  <c r="O2780" i="12"/>
  <c r="O2781" i="12"/>
  <c r="O2782" i="12"/>
  <c r="O2783" i="12"/>
  <c r="O2784" i="12"/>
  <c r="O2785" i="12"/>
  <c r="O2786" i="12"/>
  <c r="O2787" i="12"/>
  <c r="O2788" i="12"/>
  <c r="O2789" i="12"/>
  <c r="O2790" i="12"/>
  <c r="O2791" i="12"/>
  <c r="O2792" i="12"/>
  <c r="O2793" i="12"/>
  <c r="O2794" i="12"/>
  <c r="O2795" i="12"/>
  <c r="O2796" i="12"/>
  <c r="O2797" i="12"/>
  <c r="O2798" i="12"/>
  <c r="O2799" i="12"/>
  <c r="O2800" i="12"/>
  <c r="O2801" i="12"/>
  <c r="O2802" i="12"/>
  <c r="O2803" i="12"/>
  <c r="O2804" i="12"/>
  <c r="O2805" i="12"/>
  <c r="O2806" i="12"/>
  <c r="O2807" i="12"/>
  <c r="O2808" i="12"/>
  <c r="O2809" i="12"/>
  <c r="O2810" i="12"/>
  <c r="O2811" i="12"/>
  <c r="O2812" i="12"/>
  <c r="O2813" i="12"/>
  <c r="O2814" i="12"/>
  <c r="O2815" i="12"/>
  <c r="O2816" i="12"/>
  <c r="O2817" i="12"/>
  <c r="O2818" i="12"/>
  <c r="O2819" i="12"/>
  <c r="O2820" i="12"/>
  <c r="O2821" i="12"/>
  <c r="O2822" i="12"/>
  <c r="O2823" i="12"/>
  <c r="O2824" i="12"/>
  <c r="O2825" i="12"/>
  <c r="O2826" i="12"/>
  <c r="O2827" i="12"/>
  <c r="O2828" i="12"/>
  <c r="O2829" i="12"/>
  <c r="O2830" i="12"/>
  <c r="O2831" i="12"/>
  <c r="O2832" i="12"/>
  <c r="O2833" i="12"/>
  <c r="O2834" i="12"/>
  <c r="O2835" i="12"/>
  <c r="O2836" i="12"/>
  <c r="O2837" i="12"/>
  <c r="O2838" i="12"/>
  <c r="O2839" i="12"/>
  <c r="O2840" i="12"/>
  <c r="O2841" i="12"/>
  <c r="O2842" i="12"/>
  <c r="O2843" i="12"/>
  <c r="O2844" i="12"/>
  <c r="O2845" i="12"/>
  <c r="O2846" i="12"/>
  <c r="O2847" i="12"/>
  <c r="O2848" i="12"/>
  <c r="O2849" i="12"/>
  <c r="O2850" i="12"/>
  <c r="O2851" i="12"/>
  <c r="O2852" i="12"/>
  <c r="O2853" i="12"/>
  <c r="O2854" i="12"/>
  <c r="O2855" i="12"/>
  <c r="O2856" i="12"/>
  <c r="O2857" i="12"/>
  <c r="O2858" i="12"/>
  <c r="O2859" i="12"/>
  <c r="O2860" i="12"/>
  <c r="O2861" i="12"/>
  <c r="O2862" i="12"/>
  <c r="O2863" i="12"/>
  <c r="O2864" i="12"/>
  <c r="O2865" i="12"/>
  <c r="O2866" i="12"/>
  <c r="O2867" i="12"/>
  <c r="O2868" i="12"/>
  <c r="O2869" i="12"/>
  <c r="O2870" i="12"/>
  <c r="O2871" i="12"/>
  <c r="O2872" i="12"/>
  <c r="O2873" i="12"/>
  <c r="O2874" i="12"/>
  <c r="O2875" i="12"/>
  <c r="O2876" i="12"/>
  <c r="O2877" i="12"/>
  <c r="O2878" i="12"/>
  <c r="O2879" i="12"/>
  <c r="O2880" i="12"/>
  <c r="O2881" i="12"/>
  <c r="O2882" i="12"/>
  <c r="O2883" i="12"/>
  <c r="O2884" i="12"/>
  <c r="O2885" i="12"/>
  <c r="O2886" i="12"/>
  <c r="O2887" i="12"/>
  <c r="O2888" i="12"/>
  <c r="O2889" i="12"/>
  <c r="O2890" i="12"/>
  <c r="O2891" i="12"/>
  <c r="O2892" i="12"/>
  <c r="O2893" i="12"/>
  <c r="O2894" i="12"/>
  <c r="O2895" i="12"/>
  <c r="O2896" i="12"/>
  <c r="O2897" i="12"/>
  <c r="O2898" i="12"/>
  <c r="O2899" i="12"/>
  <c r="O2900" i="12"/>
  <c r="O2901" i="12"/>
  <c r="O2902" i="12"/>
  <c r="O2903" i="12"/>
  <c r="O2904" i="12"/>
  <c r="O2905" i="12"/>
  <c r="O2906" i="12"/>
  <c r="O2907" i="12"/>
  <c r="O2908" i="12"/>
  <c r="O2909" i="12"/>
  <c r="O2910" i="12"/>
  <c r="O2911" i="12"/>
  <c r="O2912" i="12"/>
  <c r="O2913" i="12"/>
  <c r="O2914" i="12"/>
  <c r="O2915" i="12"/>
  <c r="O2916" i="12"/>
  <c r="O2917" i="12"/>
  <c r="O2918" i="12"/>
  <c r="O2919" i="12"/>
  <c r="O2920" i="12"/>
  <c r="O2921" i="12"/>
  <c r="O2922" i="12"/>
  <c r="O2923" i="12"/>
  <c r="O2924" i="12"/>
  <c r="O2925" i="12"/>
  <c r="O2926" i="12"/>
  <c r="O2927" i="12"/>
  <c r="O2928" i="12"/>
  <c r="O2929" i="12"/>
  <c r="O2930" i="12"/>
  <c r="O2931" i="12"/>
  <c r="O2932" i="12"/>
  <c r="O2933" i="12"/>
  <c r="O2934" i="12"/>
  <c r="O2935" i="12"/>
  <c r="O2936" i="12"/>
  <c r="O2937" i="12"/>
  <c r="O2938" i="12"/>
  <c r="O2939" i="12"/>
  <c r="O2940" i="12"/>
  <c r="O2941" i="12"/>
  <c r="O2942" i="12"/>
  <c r="O2943" i="12"/>
  <c r="O2944" i="12"/>
  <c r="O2945" i="12"/>
  <c r="O2946" i="12"/>
  <c r="O2947" i="12"/>
  <c r="O2948" i="12"/>
  <c r="O2949" i="12"/>
  <c r="O2950" i="12"/>
  <c r="O2951" i="12"/>
  <c r="O2952" i="12"/>
  <c r="O2953" i="12"/>
  <c r="O2954" i="12"/>
  <c r="O2955" i="12"/>
  <c r="O2956" i="12"/>
  <c r="O2957" i="12"/>
  <c r="O2958" i="12"/>
  <c r="O2959" i="12"/>
  <c r="O2960" i="12"/>
  <c r="O2961" i="12"/>
  <c r="O2962" i="12"/>
  <c r="O2963" i="12"/>
  <c r="O2964" i="12"/>
  <c r="O2965" i="12"/>
  <c r="O2966" i="12"/>
  <c r="O2967" i="12"/>
  <c r="O2968" i="12"/>
  <c r="O2969" i="12"/>
  <c r="O2970" i="12"/>
  <c r="O2971" i="12"/>
  <c r="O2972" i="12"/>
  <c r="O2973" i="12"/>
  <c r="O2974" i="12"/>
  <c r="O2975" i="12"/>
  <c r="O2976" i="12"/>
  <c r="O2977" i="12"/>
  <c r="O2978" i="12"/>
  <c r="O2979" i="12"/>
  <c r="O2980" i="12"/>
  <c r="O2981" i="12"/>
  <c r="O2982" i="12"/>
  <c r="O2983" i="12"/>
  <c r="O2984" i="12"/>
  <c r="O2985" i="12"/>
  <c r="O2986" i="12"/>
  <c r="O2987" i="12"/>
  <c r="O2988" i="12"/>
  <c r="O2989" i="12"/>
  <c r="O2990" i="12"/>
  <c r="O2991" i="12"/>
  <c r="O2992" i="12"/>
  <c r="O2993" i="12"/>
  <c r="O2994" i="12"/>
  <c r="O2995" i="12"/>
  <c r="O2996" i="12"/>
  <c r="O2997" i="12"/>
  <c r="O2998" i="12"/>
  <c r="O2999" i="12"/>
  <c r="O3000" i="12"/>
  <c r="O3001" i="12"/>
  <c r="O3002" i="12"/>
  <c r="O3003" i="12"/>
  <c r="O13" i="12"/>
  <c r="N14" i="12"/>
  <c r="N15" i="12"/>
  <c r="N16" i="12"/>
  <c r="N17" i="12"/>
  <c r="N18" i="12"/>
  <c r="N19" i="12"/>
  <c r="N20" i="12"/>
  <c r="N21" i="12"/>
  <c r="N22" i="12"/>
  <c r="N23" i="12"/>
  <c r="N24" i="12"/>
  <c r="N25" i="12"/>
  <c r="N26" i="12"/>
  <c r="N27" i="12"/>
  <c r="N28" i="12"/>
  <c r="N29" i="12"/>
  <c r="N30" i="12"/>
  <c r="N31" i="12"/>
  <c r="N32" i="12"/>
  <c r="N33" i="12"/>
  <c r="N34" i="12"/>
  <c r="N35" i="12"/>
  <c r="N36" i="12"/>
  <c r="N37" i="12"/>
  <c r="N38" i="12"/>
  <c r="N39" i="12"/>
  <c r="N40" i="12"/>
  <c r="N41" i="12"/>
  <c r="N42" i="12"/>
  <c r="N43" i="12"/>
  <c r="N44" i="12"/>
  <c r="N45" i="12"/>
  <c r="N46" i="12"/>
  <c r="N47" i="12"/>
  <c r="N48" i="12"/>
  <c r="N49" i="12"/>
  <c r="N50" i="12"/>
  <c r="N51" i="12"/>
  <c r="N52" i="12"/>
  <c r="N53" i="12"/>
  <c r="N54" i="12"/>
  <c r="N55" i="12"/>
  <c r="N56" i="12"/>
  <c r="N57" i="12"/>
  <c r="N58" i="12"/>
  <c r="N59" i="12"/>
  <c r="N60" i="12"/>
  <c r="N61" i="12"/>
  <c r="N62" i="12"/>
  <c r="N63" i="12"/>
  <c r="N64" i="12"/>
  <c r="N65" i="12"/>
  <c r="N66" i="12"/>
  <c r="N67" i="12"/>
  <c r="N68" i="12"/>
  <c r="N69" i="12"/>
  <c r="N70" i="12"/>
  <c r="N71" i="12"/>
  <c r="N72" i="12"/>
  <c r="N73" i="12"/>
  <c r="N74" i="12"/>
  <c r="N75" i="12"/>
  <c r="N76" i="12"/>
  <c r="N77" i="12"/>
  <c r="N78" i="12"/>
  <c r="N79" i="12"/>
  <c r="N80" i="12"/>
  <c r="N81" i="12"/>
  <c r="N82" i="12"/>
  <c r="N83" i="12"/>
  <c r="N84" i="12"/>
  <c r="N85" i="12"/>
  <c r="N86" i="12"/>
  <c r="N87" i="12"/>
  <c r="N88" i="12"/>
  <c r="N89" i="12"/>
  <c r="N90" i="12"/>
  <c r="N91" i="12"/>
  <c r="N92" i="12"/>
  <c r="N93" i="12"/>
  <c r="N94" i="12"/>
  <c r="N95" i="12"/>
  <c r="N96" i="12"/>
  <c r="N97" i="12"/>
  <c r="N98" i="12"/>
  <c r="N99" i="12"/>
  <c r="N100" i="12"/>
  <c r="N101" i="12"/>
  <c r="N102" i="12"/>
  <c r="N103" i="12"/>
  <c r="N104" i="12"/>
  <c r="N105" i="12"/>
  <c r="N106" i="12"/>
  <c r="N107" i="12"/>
  <c r="N108" i="12"/>
  <c r="N109" i="12"/>
  <c r="N110" i="12"/>
  <c r="N111" i="12"/>
  <c r="N112" i="12"/>
  <c r="N113" i="12"/>
  <c r="N114" i="12"/>
  <c r="N115" i="12"/>
  <c r="N116" i="12"/>
  <c r="N117" i="12"/>
  <c r="N118" i="12"/>
  <c r="N119" i="12"/>
  <c r="N120" i="12"/>
  <c r="N121" i="12"/>
  <c r="N122" i="12"/>
  <c r="N123" i="12"/>
  <c r="N124" i="12"/>
  <c r="N125" i="12"/>
  <c r="N126" i="12"/>
  <c r="N127" i="12"/>
  <c r="N128" i="12"/>
  <c r="N129" i="12"/>
  <c r="N130" i="12"/>
  <c r="N131" i="12"/>
  <c r="N132" i="12"/>
  <c r="N133" i="12"/>
  <c r="N134" i="12"/>
  <c r="N135" i="12"/>
  <c r="N136" i="12"/>
  <c r="N137" i="12"/>
  <c r="N138" i="12"/>
  <c r="N139" i="12"/>
  <c r="N140" i="12"/>
  <c r="N141" i="12"/>
  <c r="N142" i="12"/>
  <c r="N143" i="12"/>
  <c r="N144" i="12"/>
  <c r="N145" i="12"/>
  <c r="N146" i="12"/>
  <c r="N147" i="12"/>
  <c r="N148" i="12"/>
  <c r="N149" i="12"/>
  <c r="N150" i="12"/>
  <c r="N151" i="12"/>
  <c r="N152" i="12"/>
  <c r="N153" i="12"/>
  <c r="N154" i="12"/>
  <c r="N155" i="12"/>
  <c r="N156" i="12"/>
  <c r="N157" i="12"/>
  <c r="N158" i="12"/>
  <c r="N159" i="12"/>
  <c r="N160" i="12"/>
  <c r="N161" i="12"/>
  <c r="N162" i="12"/>
  <c r="N163" i="12"/>
  <c r="N164" i="12"/>
  <c r="N165" i="12"/>
  <c r="N166" i="12"/>
  <c r="N167" i="12"/>
  <c r="N168" i="12"/>
  <c r="N169" i="12"/>
  <c r="N170" i="12"/>
  <c r="N171" i="12"/>
  <c r="N172" i="12"/>
  <c r="N173" i="12"/>
  <c r="N174" i="12"/>
  <c r="N175" i="12"/>
  <c r="N176" i="12"/>
  <c r="N177" i="12"/>
  <c r="N178" i="12"/>
  <c r="N179" i="12"/>
  <c r="N180" i="12"/>
  <c r="N181" i="12"/>
  <c r="N182" i="12"/>
  <c r="N183" i="12"/>
  <c r="N184" i="12"/>
  <c r="N185" i="12"/>
  <c r="N186" i="12"/>
  <c r="N187" i="12"/>
  <c r="N188" i="12"/>
  <c r="N189" i="12"/>
  <c r="N190" i="12"/>
  <c r="N191" i="12"/>
  <c r="N192" i="12"/>
  <c r="N193" i="12"/>
  <c r="N194" i="12"/>
  <c r="N195" i="12"/>
  <c r="N196" i="12"/>
  <c r="N197" i="12"/>
  <c r="N198" i="12"/>
  <c r="N199" i="12"/>
  <c r="N200" i="12"/>
  <c r="N201" i="12"/>
  <c r="N202" i="12"/>
  <c r="N203" i="12"/>
  <c r="N204" i="12"/>
  <c r="N205" i="12"/>
  <c r="N206" i="12"/>
  <c r="N207" i="12"/>
  <c r="N208" i="12"/>
  <c r="N209" i="12"/>
  <c r="N210" i="12"/>
  <c r="N211" i="12"/>
  <c r="N212" i="12"/>
  <c r="N213" i="12"/>
  <c r="N214" i="12"/>
  <c r="N215" i="12"/>
  <c r="N216" i="12"/>
  <c r="N217" i="12"/>
  <c r="N218" i="12"/>
  <c r="N219" i="12"/>
  <c r="N220" i="12"/>
  <c r="N221" i="12"/>
  <c r="N222" i="12"/>
  <c r="N223" i="12"/>
  <c r="N224" i="12"/>
  <c r="N225" i="12"/>
  <c r="N226" i="12"/>
  <c r="N227" i="12"/>
  <c r="N228" i="12"/>
  <c r="N229" i="12"/>
  <c r="N230" i="12"/>
  <c r="N231" i="12"/>
  <c r="N232" i="12"/>
  <c r="N233" i="12"/>
  <c r="N234" i="12"/>
  <c r="N235" i="12"/>
  <c r="N236" i="12"/>
  <c r="N237" i="12"/>
  <c r="N238" i="12"/>
  <c r="N239" i="12"/>
  <c r="N240" i="12"/>
  <c r="N241" i="12"/>
  <c r="N242" i="12"/>
  <c r="N243" i="12"/>
  <c r="N244" i="12"/>
  <c r="N245" i="12"/>
  <c r="N246" i="12"/>
  <c r="N247" i="12"/>
  <c r="N248" i="12"/>
  <c r="N249" i="12"/>
  <c r="N250" i="12"/>
  <c r="N251" i="12"/>
  <c r="N252" i="12"/>
  <c r="N253" i="12"/>
  <c r="N254" i="12"/>
  <c r="N255" i="12"/>
  <c r="N256" i="12"/>
  <c r="N257" i="12"/>
  <c r="N258" i="12"/>
  <c r="N259" i="12"/>
  <c r="N260" i="12"/>
  <c r="N261" i="12"/>
  <c r="N262" i="12"/>
  <c r="N263" i="12"/>
  <c r="N264" i="12"/>
  <c r="N265" i="12"/>
  <c r="N266" i="12"/>
  <c r="N267" i="12"/>
  <c r="N268" i="12"/>
  <c r="N269" i="12"/>
  <c r="N270" i="12"/>
  <c r="N271" i="12"/>
  <c r="N272" i="12"/>
  <c r="N273" i="12"/>
  <c r="N274" i="12"/>
  <c r="N275" i="12"/>
  <c r="N276" i="12"/>
  <c r="N277" i="12"/>
  <c r="N278" i="12"/>
  <c r="N279" i="12"/>
  <c r="N280" i="12"/>
  <c r="N281" i="12"/>
  <c r="N282" i="12"/>
  <c r="N283" i="12"/>
  <c r="N284" i="12"/>
  <c r="N285" i="12"/>
  <c r="N286" i="12"/>
  <c r="N287" i="12"/>
  <c r="N288" i="12"/>
  <c r="N289" i="12"/>
  <c r="N290" i="12"/>
  <c r="N291" i="12"/>
  <c r="N292" i="12"/>
  <c r="N293" i="12"/>
  <c r="N294" i="12"/>
  <c r="N295" i="12"/>
  <c r="N296" i="12"/>
  <c r="N297" i="12"/>
  <c r="N298" i="12"/>
  <c r="N299" i="12"/>
  <c r="N300" i="12"/>
  <c r="N301" i="12"/>
  <c r="N302" i="12"/>
  <c r="N303" i="12"/>
  <c r="N304" i="12"/>
  <c r="N305" i="12"/>
  <c r="N306" i="12"/>
  <c r="N307" i="12"/>
  <c r="N308" i="12"/>
  <c r="N309" i="12"/>
  <c r="N310" i="12"/>
  <c r="N311" i="12"/>
  <c r="N312" i="12"/>
  <c r="N313" i="12"/>
  <c r="N314" i="12"/>
  <c r="N315" i="12"/>
  <c r="N316" i="12"/>
  <c r="N317" i="12"/>
  <c r="N318" i="12"/>
  <c r="N319" i="12"/>
  <c r="N320" i="12"/>
  <c r="N321" i="12"/>
  <c r="N322" i="12"/>
  <c r="N323" i="12"/>
  <c r="N324" i="12"/>
  <c r="N325" i="12"/>
  <c r="N326" i="12"/>
  <c r="N327" i="12"/>
  <c r="N328" i="12"/>
  <c r="N329" i="12"/>
  <c r="N330" i="12"/>
  <c r="N331" i="12"/>
  <c r="N332" i="12"/>
  <c r="N333" i="12"/>
  <c r="N334" i="12"/>
  <c r="N335" i="12"/>
  <c r="N336" i="12"/>
  <c r="N337" i="12"/>
  <c r="N338" i="12"/>
  <c r="N339" i="12"/>
  <c r="N340" i="12"/>
  <c r="N341" i="12"/>
  <c r="N342" i="12"/>
  <c r="N343" i="12"/>
  <c r="N344" i="12"/>
  <c r="N345" i="12"/>
  <c r="N346" i="12"/>
  <c r="N347" i="12"/>
  <c r="N348" i="12"/>
  <c r="N349" i="12"/>
  <c r="N350" i="12"/>
  <c r="N351" i="12"/>
  <c r="N352" i="12"/>
  <c r="N353" i="12"/>
  <c r="N354" i="12"/>
  <c r="N355" i="12"/>
  <c r="N356" i="12"/>
  <c r="N357" i="12"/>
  <c r="N358" i="12"/>
  <c r="N359" i="12"/>
  <c r="N360" i="12"/>
  <c r="N361" i="12"/>
  <c r="N362" i="12"/>
  <c r="N363" i="12"/>
  <c r="N364" i="12"/>
  <c r="N365" i="12"/>
  <c r="N366" i="12"/>
  <c r="N367" i="12"/>
  <c r="N368" i="12"/>
  <c r="N369" i="12"/>
  <c r="N370" i="12"/>
  <c r="N371" i="12"/>
  <c r="N372" i="12"/>
  <c r="N373" i="12"/>
  <c r="N374" i="12"/>
  <c r="N375" i="12"/>
  <c r="N376" i="12"/>
  <c r="N377" i="12"/>
  <c r="N378" i="12"/>
  <c r="N379" i="12"/>
  <c r="N380" i="12"/>
  <c r="N381" i="12"/>
  <c r="N382" i="12"/>
  <c r="N383" i="12"/>
  <c r="N384" i="12"/>
  <c r="N385" i="12"/>
  <c r="N386" i="12"/>
  <c r="N387" i="12"/>
  <c r="N388" i="12"/>
  <c r="N389" i="12"/>
  <c r="N390" i="12"/>
  <c r="N391" i="12"/>
  <c r="N392" i="12"/>
  <c r="N393" i="12"/>
  <c r="N394" i="12"/>
  <c r="N395" i="12"/>
  <c r="N396" i="12"/>
  <c r="N397" i="12"/>
  <c r="N398" i="12"/>
  <c r="N399" i="12"/>
  <c r="N400" i="12"/>
  <c r="N401" i="12"/>
  <c r="N402" i="12"/>
  <c r="N403" i="12"/>
  <c r="N404" i="12"/>
  <c r="N405" i="12"/>
  <c r="N406" i="12"/>
  <c r="N407" i="12"/>
  <c r="N408" i="12"/>
  <c r="N409" i="12"/>
  <c r="N410" i="12"/>
  <c r="N411" i="12"/>
  <c r="N412" i="12"/>
  <c r="N413" i="12"/>
  <c r="N414" i="12"/>
  <c r="N415" i="12"/>
  <c r="N416" i="12"/>
  <c r="N417" i="12"/>
  <c r="N418" i="12"/>
  <c r="N419" i="12"/>
  <c r="N420" i="12"/>
  <c r="N421" i="12"/>
  <c r="N422" i="12"/>
  <c r="N423" i="12"/>
  <c r="N424" i="12"/>
  <c r="N425" i="12"/>
  <c r="N426" i="12"/>
  <c r="N427" i="12"/>
  <c r="N428" i="12"/>
  <c r="N429" i="12"/>
  <c r="N430" i="12"/>
  <c r="N431" i="12"/>
  <c r="N432" i="12"/>
  <c r="N433" i="12"/>
  <c r="N434" i="12"/>
  <c r="N435" i="12"/>
  <c r="N436" i="12"/>
  <c r="N437" i="12"/>
  <c r="N438" i="12"/>
  <c r="N439" i="12"/>
  <c r="N440" i="12"/>
  <c r="N441" i="12"/>
  <c r="N442" i="12"/>
  <c r="N443" i="12"/>
  <c r="N444" i="12"/>
  <c r="N445" i="12"/>
  <c r="N446" i="12"/>
  <c r="N447" i="12"/>
  <c r="N448" i="12"/>
  <c r="N449" i="12"/>
  <c r="N450" i="12"/>
  <c r="N451" i="12"/>
  <c r="N452" i="12"/>
  <c r="N453" i="12"/>
  <c r="N454" i="12"/>
  <c r="N455" i="12"/>
  <c r="N456" i="12"/>
  <c r="N457" i="12"/>
  <c r="N458" i="12"/>
  <c r="N459" i="12"/>
  <c r="N460" i="12"/>
  <c r="N461" i="12"/>
  <c r="N462" i="12"/>
  <c r="N463" i="12"/>
  <c r="N464" i="12"/>
  <c r="N465" i="12"/>
  <c r="N466" i="12"/>
  <c r="N467" i="12"/>
  <c r="N468" i="12"/>
  <c r="N469" i="12"/>
  <c r="N470" i="12"/>
  <c r="N471" i="12"/>
  <c r="N472" i="12"/>
  <c r="N473" i="12"/>
  <c r="N474" i="12"/>
  <c r="N475" i="12"/>
  <c r="N476" i="12"/>
  <c r="N477" i="12"/>
  <c r="N478" i="12"/>
  <c r="N479" i="12"/>
  <c r="N480" i="12"/>
  <c r="N481" i="12"/>
  <c r="N482" i="12"/>
  <c r="N483" i="12"/>
  <c r="N484" i="12"/>
  <c r="N485" i="12"/>
  <c r="N486" i="12"/>
  <c r="N487" i="12"/>
  <c r="N488" i="12"/>
  <c r="N489" i="12"/>
  <c r="N490" i="12"/>
  <c r="N491" i="12"/>
  <c r="N492" i="12"/>
  <c r="N493" i="12"/>
  <c r="N494" i="12"/>
  <c r="N495" i="12"/>
  <c r="N496" i="12"/>
  <c r="N497" i="12"/>
  <c r="N498" i="12"/>
  <c r="N499" i="12"/>
  <c r="N500" i="12"/>
  <c r="N501" i="12"/>
  <c r="N502" i="12"/>
  <c r="N503" i="12"/>
  <c r="N504" i="12"/>
  <c r="N505" i="12"/>
  <c r="N506" i="12"/>
  <c r="N507" i="12"/>
  <c r="N508" i="12"/>
  <c r="N509" i="12"/>
  <c r="N510" i="12"/>
  <c r="N511" i="12"/>
  <c r="N512" i="12"/>
  <c r="N513" i="12"/>
  <c r="N514" i="12"/>
  <c r="N515" i="12"/>
  <c r="N516" i="12"/>
  <c r="N517" i="12"/>
  <c r="N518" i="12"/>
  <c r="N519" i="12"/>
  <c r="N520" i="12"/>
  <c r="N521" i="12"/>
  <c r="N522" i="12"/>
  <c r="N523" i="12"/>
  <c r="N524" i="12"/>
  <c r="N525" i="12"/>
  <c r="N526" i="12"/>
  <c r="N527" i="12"/>
  <c r="N528" i="12"/>
  <c r="N529" i="12"/>
  <c r="N530" i="12"/>
  <c r="N531" i="12"/>
  <c r="N532" i="12"/>
  <c r="N533" i="12"/>
  <c r="N534" i="12"/>
  <c r="N535" i="12"/>
  <c r="N536" i="12"/>
  <c r="N537" i="12"/>
  <c r="N538" i="12"/>
  <c r="N539" i="12"/>
  <c r="N540" i="12"/>
  <c r="N541" i="12"/>
  <c r="N542" i="12"/>
  <c r="N543" i="12"/>
  <c r="N544" i="12"/>
  <c r="N545" i="12"/>
  <c r="N546" i="12"/>
  <c r="N547" i="12"/>
  <c r="N548" i="12"/>
  <c r="N549" i="12"/>
  <c r="N550" i="12"/>
  <c r="N551" i="12"/>
  <c r="N552" i="12"/>
  <c r="N553" i="12"/>
  <c r="N554" i="12"/>
  <c r="N555" i="12"/>
  <c r="N556" i="12"/>
  <c r="N557" i="12"/>
  <c r="N558" i="12"/>
  <c r="N559" i="12"/>
  <c r="N560" i="12"/>
  <c r="N561" i="12"/>
  <c r="N562" i="12"/>
  <c r="N563" i="12"/>
  <c r="N564" i="12"/>
  <c r="N565" i="12"/>
  <c r="N566" i="12"/>
  <c r="N567" i="12"/>
  <c r="N568" i="12"/>
  <c r="N569" i="12"/>
  <c r="N570" i="12"/>
  <c r="N571" i="12"/>
  <c r="N572" i="12"/>
  <c r="N573" i="12"/>
  <c r="N574" i="12"/>
  <c r="N575" i="12"/>
  <c r="N576" i="12"/>
  <c r="N577" i="12"/>
  <c r="N578" i="12"/>
  <c r="N579" i="12"/>
  <c r="N580" i="12"/>
  <c r="N581" i="12"/>
  <c r="N582" i="12"/>
  <c r="N583" i="12"/>
  <c r="N584" i="12"/>
  <c r="N585" i="12"/>
  <c r="N586" i="12"/>
  <c r="N587" i="12"/>
  <c r="N588" i="12"/>
  <c r="N589" i="12"/>
  <c r="N590" i="12"/>
  <c r="N591" i="12"/>
  <c r="N592" i="12"/>
  <c r="N593" i="12"/>
  <c r="N594" i="12"/>
  <c r="N595" i="12"/>
  <c r="N596" i="12"/>
  <c r="N597" i="12"/>
  <c r="N598" i="12"/>
  <c r="N599" i="12"/>
  <c r="N600" i="12"/>
  <c r="N601" i="12"/>
  <c r="N602" i="12"/>
  <c r="N603" i="12"/>
  <c r="N604" i="12"/>
  <c r="N605" i="12"/>
  <c r="N606" i="12"/>
  <c r="N607" i="12"/>
  <c r="N608" i="12"/>
  <c r="N609" i="12"/>
  <c r="N610" i="12"/>
  <c r="N611" i="12"/>
  <c r="N612" i="12"/>
  <c r="N613" i="12"/>
  <c r="N614" i="12"/>
  <c r="N615" i="12"/>
  <c r="N616" i="12"/>
  <c r="N617" i="12"/>
  <c r="N618" i="12"/>
  <c r="N619" i="12"/>
  <c r="N620" i="12"/>
  <c r="N621" i="12"/>
  <c r="N622" i="12"/>
  <c r="N623" i="12"/>
  <c r="N624" i="12"/>
  <c r="N625" i="12"/>
  <c r="N626" i="12"/>
  <c r="N627" i="12"/>
  <c r="N628" i="12"/>
  <c r="N629" i="12"/>
  <c r="N630" i="12"/>
  <c r="N631" i="12"/>
  <c r="N632" i="12"/>
  <c r="N633" i="12"/>
  <c r="N634" i="12"/>
  <c r="N635" i="12"/>
  <c r="N636" i="12"/>
  <c r="N637" i="12"/>
  <c r="N638" i="12"/>
  <c r="N639" i="12"/>
  <c r="N640" i="12"/>
  <c r="N641" i="12"/>
  <c r="N642" i="12"/>
  <c r="N643" i="12"/>
  <c r="N644" i="12"/>
  <c r="N645" i="12"/>
  <c r="N646" i="12"/>
  <c r="N647" i="12"/>
  <c r="N648" i="12"/>
  <c r="N649" i="12"/>
  <c r="N650" i="12"/>
  <c r="N651" i="12"/>
  <c r="N652" i="12"/>
  <c r="N653" i="12"/>
  <c r="N654" i="12"/>
  <c r="N655" i="12"/>
  <c r="N656" i="12"/>
  <c r="N657" i="12"/>
  <c r="N658" i="12"/>
  <c r="N659" i="12"/>
  <c r="N660" i="12"/>
  <c r="N661" i="12"/>
  <c r="N662" i="12"/>
  <c r="N663" i="12"/>
  <c r="N664" i="12"/>
  <c r="N665" i="12"/>
  <c r="N666" i="12"/>
  <c r="N667" i="12"/>
  <c r="N668" i="12"/>
  <c r="N669" i="12"/>
  <c r="N670" i="12"/>
  <c r="N671" i="12"/>
  <c r="N672" i="12"/>
  <c r="N673" i="12"/>
  <c r="N674" i="12"/>
  <c r="N675" i="12"/>
  <c r="N676" i="12"/>
  <c r="N677" i="12"/>
  <c r="N678" i="12"/>
  <c r="N679" i="12"/>
  <c r="N680" i="12"/>
  <c r="N681" i="12"/>
  <c r="N682" i="12"/>
  <c r="N683" i="12"/>
  <c r="N684" i="12"/>
  <c r="N685" i="12"/>
  <c r="N686" i="12"/>
  <c r="N687" i="12"/>
  <c r="N688" i="12"/>
  <c r="N689" i="12"/>
  <c r="N690" i="12"/>
  <c r="N691" i="12"/>
  <c r="N692" i="12"/>
  <c r="N693" i="12"/>
  <c r="N694" i="12"/>
  <c r="N695" i="12"/>
  <c r="N696" i="12"/>
  <c r="N697" i="12"/>
  <c r="N698" i="12"/>
  <c r="N699" i="12"/>
  <c r="N700" i="12"/>
  <c r="N701" i="12"/>
  <c r="N702" i="12"/>
  <c r="N703" i="12"/>
  <c r="N704" i="12"/>
  <c r="N705" i="12"/>
  <c r="N706" i="12"/>
  <c r="N707" i="12"/>
  <c r="N708" i="12"/>
  <c r="N709" i="12"/>
  <c r="N710" i="12"/>
  <c r="N711" i="12"/>
  <c r="N712" i="12"/>
  <c r="N713" i="12"/>
  <c r="N714" i="12"/>
  <c r="N715" i="12"/>
  <c r="N716" i="12"/>
  <c r="N717" i="12"/>
  <c r="N718" i="12"/>
  <c r="N719" i="12"/>
  <c r="N720" i="12"/>
  <c r="N721" i="12"/>
  <c r="N722" i="12"/>
  <c r="N723" i="12"/>
  <c r="N724" i="12"/>
  <c r="N725" i="12"/>
  <c r="N726" i="12"/>
  <c r="N727" i="12"/>
  <c r="N728" i="12"/>
  <c r="N729" i="12"/>
  <c r="N730" i="12"/>
  <c r="N731" i="12"/>
  <c r="N732" i="12"/>
  <c r="N733" i="12"/>
  <c r="N734" i="12"/>
  <c r="N735" i="12"/>
  <c r="N736" i="12"/>
  <c r="N737" i="12"/>
  <c r="N738" i="12"/>
  <c r="N739" i="12"/>
  <c r="N740" i="12"/>
  <c r="N741" i="12"/>
  <c r="N742" i="12"/>
  <c r="N743" i="12"/>
  <c r="N744" i="12"/>
  <c r="N745" i="12"/>
  <c r="N746" i="12"/>
  <c r="N747" i="12"/>
  <c r="N748" i="12"/>
  <c r="N749" i="12"/>
  <c r="N750" i="12"/>
  <c r="N751" i="12"/>
  <c r="N752" i="12"/>
  <c r="N753" i="12"/>
  <c r="N754" i="12"/>
  <c r="N755" i="12"/>
  <c r="N756" i="12"/>
  <c r="N757" i="12"/>
  <c r="N758" i="12"/>
  <c r="N759" i="12"/>
  <c r="N760" i="12"/>
  <c r="N761" i="12"/>
  <c r="N762" i="12"/>
  <c r="N763" i="12"/>
  <c r="N764" i="12"/>
  <c r="N765" i="12"/>
  <c r="N766" i="12"/>
  <c r="N767" i="12"/>
  <c r="N768" i="12"/>
  <c r="N769" i="12"/>
  <c r="N770" i="12"/>
  <c r="N771" i="12"/>
  <c r="N772" i="12"/>
  <c r="N773" i="12"/>
  <c r="N774" i="12"/>
  <c r="N775" i="12"/>
  <c r="N776" i="12"/>
  <c r="N777" i="12"/>
  <c r="N778" i="12"/>
  <c r="N779" i="12"/>
  <c r="N780" i="12"/>
  <c r="N781" i="12"/>
  <c r="N782" i="12"/>
  <c r="N783" i="12"/>
  <c r="N784" i="12"/>
  <c r="N785" i="12"/>
  <c r="N786" i="12"/>
  <c r="N787" i="12"/>
  <c r="N788" i="12"/>
  <c r="N789" i="12"/>
  <c r="N790" i="12"/>
  <c r="N791" i="12"/>
  <c r="N792" i="12"/>
  <c r="N793" i="12"/>
  <c r="N794" i="12"/>
  <c r="N795" i="12"/>
  <c r="N796" i="12"/>
  <c r="N797" i="12"/>
  <c r="N798" i="12"/>
  <c r="N799" i="12"/>
  <c r="N800" i="12"/>
  <c r="N801" i="12"/>
  <c r="N802" i="12"/>
  <c r="N803" i="12"/>
  <c r="N804" i="12"/>
  <c r="N805" i="12"/>
  <c r="N806" i="12"/>
  <c r="N807" i="12"/>
  <c r="N808" i="12"/>
  <c r="N809" i="12"/>
  <c r="N810" i="12"/>
  <c r="N811" i="12"/>
  <c r="N812" i="12"/>
  <c r="N813" i="12"/>
  <c r="N814" i="12"/>
  <c r="N815" i="12"/>
  <c r="N816" i="12"/>
  <c r="N817" i="12"/>
  <c r="N818" i="12"/>
  <c r="N819" i="12"/>
  <c r="N820" i="12"/>
  <c r="N821" i="12"/>
  <c r="N822" i="12"/>
  <c r="N823" i="12"/>
  <c r="N824" i="12"/>
  <c r="N825" i="12"/>
  <c r="N826" i="12"/>
  <c r="N827" i="12"/>
  <c r="N828" i="12"/>
  <c r="N829" i="12"/>
  <c r="N830" i="12"/>
  <c r="N831" i="12"/>
  <c r="N832" i="12"/>
  <c r="N833" i="12"/>
  <c r="N834" i="12"/>
  <c r="N835" i="12"/>
  <c r="N836" i="12"/>
  <c r="N837" i="12"/>
  <c r="N838" i="12"/>
  <c r="N839" i="12"/>
  <c r="N840" i="12"/>
  <c r="N841" i="12"/>
  <c r="N842" i="12"/>
  <c r="N843" i="12"/>
  <c r="N844" i="12"/>
  <c r="N845" i="12"/>
  <c r="N846" i="12"/>
  <c r="N847" i="12"/>
  <c r="N848" i="12"/>
  <c r="N849" i="12"/>
  <c r="N850" i="12"/>
  <c r="N851" i="12"/>
  <c r="N852" i="12"/>
  <c r="N853" i="12"/>
  <c r="N854" i="12"/>
  <c r="N855" i="12"/>
  <c r="N856" i="12"/>
  <c r="N857" i="12"/>
  <c r="N858" i="12"/>
  <c r="N859" i="12"/>
  <c r="N860" i="12"/>
  <c r="N861" i="12"/>
  <c r="N862" i="12"/>
  <c r="N863" i="12"/>
  <c r="N864" i="12"/>
  <c r="N865" i="12"/>
  <c r="N866" i="12"/>
  <c r="N867" i="12"/>
  <c r="N868" i="12"/>
  <c r="N869" i="12"/>
  <c r="N870" i="12"/>
  <c r="N871" i="12"/>
  <c r="N872" i="12"/>
  <c r="N873" i="12"/>
  <c r="N874" i="12"/>
  <c r="N875" i="12"/>
  <c r="N876" i="12"/>
  <c r="N877" i="12"/>
  <c r="N878" i="12"/>
  <c r="N879" i="12"/>
  <c r="N880" i="12"/>
  <c r="N881" i="12"/>
  <c r="N882" i="12"/>
  <c r="N883" i="12"/>
  <c r="N884" i="12"/>
  <c r="N885" i="12"/>
  <c r="N886" i="12"/>
  <c r="N887" i="12"/>
  <c r="N888" i="12"/>
  <c r="N889" i="12"/>
  <c r="N890" i="12"/>
  <c r="N891" i="12"/>
  <c r="N892" i="12"/>
  <c r="N893" i="12"/>
  <c r="N894" i="12"/>
  <c r="N895" i="12"/>
  <c r="N896" i="12"/>
  <c r="N897" i="12"/>
  <c r="N898" i="12"/>
  <c r="N899" i="12"/>
  <c r="N900" i="12"/>
  <c r="N901" i="12"/>
  <c r="N902" i="12"/>
  <c r="N903" i="12"/>
  <c r="N904" i="12"/>
  <c r="N905" i="12"/>
  <c r="N906" i="12"/>
  <c r="N907" i="12"/>
  <c r="N908" i="12"/>
  <c r="N909" i="12"/>
  <c r="N910" i="12"/>
  <c r="N911" i="12"/>
  <c r="N912" i="12"/>
  <c r="N913" i="12"/>
  <c r="N914" i="12"/>
  <c r="N915" i="12"/>
  <c r="N916" i="12"/>
  <c r="N917" i="12"/>
  <c r="N918" i="12"/>
  <c r="N919" i="12"/>
  <c r="N920" i="12"/>
  <c r="N921" i="12"/>
  <c r="N922" i="12"/>
  <c r="N923" i="12"/>
  <c r="N924" i="12"/>
  <c r="N925" i="12"/>
  <c r="N926" i="12"/>
  <c r="N927" i="12"/>
  <c r="N928" i="12"/>
  <c r="N929" i="12"/>
  <c r="N930" i="12"/>
  <c r="N931" i="12"/>
  <c r="N932" i="12"/>
  <c r="N933" i="12"/>
  <c r="N934" i="12"/>
  <c r="N935" i="12"/>
  <c r="N936" i="12"/>
  <c r="N937" i="12"/>
  <c r="N938" i="12"/>
  <c r="N939" i="12"/>
  <c r="N940" i="12"/>
  <c r="N941" i="12"/>
  <c r="N942" i="12"/>
  <c r="N943" i="12"/>
  <c r="N944" i="12"/>
  <c r="N945" i="12"/>
  <c r="N946" i="12"/>
  <c r="N947" i="12"/>
  <c r="N948" i="12"/>
  <c r="N949" i="12"/>
  <c r="N950" i="12"/>
  <c r="N951" i="12"/>
  <c r="N952" i="12"/>
  <c r="N953" i="12"/>
  <c r="N954" i="12"/>
  <c r="N955" i="12"/>
  <c r="N956" i="12"/>
  <c r="N957" i="12"/>
  <c r="N958" i="12"/>
  <c r="N959" i="12"/>
  <c r="N960" i="12"/>
  <c r="N961" i="12"/>
  <c r="N962" i="12"/>
  <c r="N963" i="12"/>
  <c r="N964" i="12"/>
  <c r="N965" i="12"/>
  <c r="N966" i="12"/>
  <c r="N967" i="12"/>
  <c r="N968" i="12"/>
  <c r="N969" i="12"/>
  <c r="N970" i="12"/>
  <c r="N971" i="12"/>
  <c r="N972" i="12"/>
  <c r="N973" i="12"/>
  <c r="N974" i="12"/>
  <c r="N975" i="12"/>
  <c r="N976" i="12"/>
  <c r="N977" i="12"/>
  <c r="N978" i="12"/>
  <c r="N979" i="12"/>
  <c r="N980" i="12"/>
  <c r="N981" i="12"/>
  <c r="N982" i="12"/>
  <c r="N983" i="12"/>
  <c r="N984" i="12"/>
  <c r="N985" i="12"/>
  <c r="N986" i="12"/>
  <c r="N987" i="12"/>
  <c r="N988" i="12"/>
  <c r="N989" i="12"/>
  <c r="N990" i="12"/>
  <c r="N991" i="12"/>
  <c r="N992" i="12"/>
  <c r="N993" i="12"/>
  <c r="N994" i="12"/>
  <c r="N995" i="12"/>
  <c r="N996" i="12"/>
  <c r="N997" i="12"/>
  <c r="N998" i="12"/>
  <c r="N999" i="12"/>
  <c r="N1000" i="12"/>
  <c r="N1001" i="12"/>
  <c r="N1002" i="12"/>
  <c r="N1003" i="12"/>
  <c r="N1004" i="12"/>
  <c r="N1005" i="12"/>
  <c r="N1006" i="12"/>
  <c r="N1007" i="12"/>
  <c r="N1008" i="12"/>
  <c r="N1009" i="12"/>
  <c r="N1010" i="12"/>
  <c r="N1011" i="12"/>
  <c r="N1012" i="12"/>
  <c r="N1013" i="12"/>
  <c r="N1014" i="12"/>
  <c r="N1015" i="12"/>
  <c r="N1016" i="12"/>
  <c r="N1017" i="12"/>
  <c r="N1018" i="12"/>
  <c r="N1019" i="12"/>
  <c r="N1020" i="12"/>
  <c r="N1021" i="12"/>
  <c r="N1022" i="12"/>
  <c r="N1023" i="12"/>
  <c r="N1024" i="12"/>
  <c r="N1025" i="12"/>
  <c r="N1026" i="12"/>
  <c r="N1027" i="12"/>
  <c r="N1028" i="12"/>
  <c r="N1029" i="12"/>
  <c r="N1030" i="12"/>
  <c r="N1031" i="12"/>
  <c r="N1032" i="12"/>
  <c r="N1033" i="12"/>
  <c r="N1034" i="12"/>
  <c r="N1035" i="12"/>
  <c r="N1036" i="12"/>
  <c r="N1037" i="12"/>
  <c r="N1038" i="12"/>
  <c r="N1039" i="12"/>
  <c r="N1040" i="12"/>
  <c r="N1041" i="12"/>
  <c r="N1042" i="12"/>
  <c r="N1043" i="12"/>
  <c r="N1044" i="12"/>
  <c r="N1045" i="12"/>
  <c r="N1046" i="12"/>
  <c r="N1047" i="12"/>
  <c r="N1048" i="12"/>
  <c r="N1049" i="12"/>
  <c r="N1050" i="12"/>
  <c r="N1051" i="12"/>
  <c r="N1052" i="12"/>
  <c r="N1053" i="12"/>
  <c r="N1054" i="12"/>
  <c r="N1055" i="12"/>
  <c r="N1056" i="12"/>
  <c r="N1057" i="12"/>
  <c r="N1058" i="12"/>
  <c r="N1059" i="12"/>
  <c r="N1060" i="12"/>
  <c r="N1061" i="12"/>
  <c r="N1062" i="12"/>
  <c r="N1063" i="12"/>
  <c r="N1064" i="12"/>
  <c r="N1065" i="12"/>
  <c r="N1066" i="12"/>
  <c r="N1067" i="12"/>
  <c r="N1068" i="12"/>
  <c r="N1069" i="12"/>
  <c r="N1070" i="12"/>
  <c r="N1071" i="12"/>
  <c r="N1072" i="12"/>
  <c r="N1073" i="12"/>
  <c r="N1074" i="12"/>
  <c r="N1075" i="12"/>
  <c r="N1076" i="12"/>
  <c r="N1077" i="12"/>
  <c r="N1078" i="12"/>
  <c r="N1079" i="12"/>
  <c r="N1080" i="12"/>
  <c r="N1081" i="12"/>
  <c r="N1082" i="12"/>
  <c r="N1083" i="12"/>
  <c r="N1084" i="12"/>
  <c r="N1085" i="12"/>
  <c r="N1086" i="12"/>
  <c r="N1087" i="12"/>
  <c r="N1088" i="12"/>
  <c r="N1089" i="12"/>
  <c r="N1090" i="12"/>
  <c r="N1091" i="12"/>
  <c r="N1092" i="12"/>
  <c r="N1093" i="12"/>
  <c r="N1094" i="12"/>
  <c r="N1095" i="12"/>
  <c r="N1096" i="12"/>
  <c r="N1097" i="12"/>
  <c r="N1098" i="12"/>
  <c r="N1099" i="12"/>
  <c r="N1100" i="12"/>
  <c r="N1101" i="12"/>
  <c r="N1102" i="12"/>
  <c r="N1103" i="12"/>
  <c r="N1104" i="12"/>
  <c r="N1105" i="12"/>
  <c r="N1106" i="12"/>
  <c r="N1107" i="12"/>
  <c r="N1108" i="12"/>
  <c r="N1109" i="12"/>
  <c r="N1110" i="12"/>
  <c r="N1111" i="12"/>
  <c r="N1112" i="12"/>
  <c r="N1113" i="12"/>
  <c r="N1114" i="12"/>
  <c r="N1115" i="12"/>
  <c r="N1116" i="12"/>
  <c r="N1117" i="12"/>
  <c r="N1118" i="12"/>
  <c r="N1119" i="12"/>
  <c r="N1120" i="12"/>
  <c r="N1121" i="12"/>
  <c r="N1122" i="12"/>
  <c r="N1123" i="12"/>
  <c r="N1124" i="12"/>
  <c r="N1125" i="12"/>
  <c r="N1126" i="12"/>
  <c r="N1127" i="12"/>
  <c r="N1128" i="12"/>
  <c r="N1129" i="12"/>
  <c r="N1130" i="12"/>
  <c r="N1131" i="12"/>
  <c r="N1132" i="12"/>
  <c r="N1133" i="12"/>
  <c r="N1134" i="12"/>
  <c r="N1135" i="12"/>
  <c r="N1136" i="12"/>
  <c r="N1137" i="12"/>
  <c r="N1138" i="12"/>
  <c r="N1139" i="12"/>
  <c r="N1140" i="12"/>
  <c r="N1141" i="12"/>
  <c r="N1142" i="12"/>
  <c r="N1143" i="12"/>
  <c r="N1144" i="12"/>
  <c r="N1145" i="12"/>
  <c r="N1146" i="12"/>
  <c r="N1147" i="12"/>
  <c r="N1148" i="12"/>
  <c r="N1149" i="12"/>
  <c r="N1150" i="12"/>
  <c r="N1151" i="12"/>
  <c r="N1152" i="12"/>
  <c r="N1153" i="12"/>
  <c r="N1154" i="12"/>
  <c r="N1155" i="12"/>
  <c r="N1156" i="12"/>
  <c r="N1157" i="12"/>
  <c r="N1158" i="12"/>
  <c r="N1159" i="12"/>
  <c r="N1160" i="12"/>
  <c r="N1161" i="12"/>
  <c r="N1162" i="12"/>
  <c r="N1163" i="12"/>
  <c r="N1164" i="12"/>
  <c r="N1165" i="12"/>
  <c r="N1166" i="12"/>
  <c r="N1167" i="12"/>
  <c r="N1168" i="12"/>
  <c r="N1169" i="12"/>
  <c r="N1170" i="12"/>
  <c r="N1171" i="12"/>
  <c r="N1172" i="12"/>
  <c r="N1173" i="12"/>
  <c r="N1174" i="12"/>
  <c r="N1175" i="12"/>
  <c r="N1176" i="12"/>
  <c r="N1177" i="12"/>
  <c r="N1178" i="12"/>
  <c r="N1179" i="12"/>
  <c r="N1180" i="12"/>
  <c r="N1181" i="12"/>
  <c r="N1182" i="12"/>
  <c r="N1183" i="12"/>
  <c r="N1184" i="12"/>
  <c r="N1185" i="12"/>
  <c r="N1186" i="12"/>
  <c r="N1187" i="12"/>
  <c r="N1188" i="12"/>
  <c r="N1189" i="12"/>
  <c r="N1190" i="12"/>
  <c r="N1191" i="12"/>
  <c r="N1192" i="12"/>
  <c r="N1193" i="12"/>
  <c r="N1194" i="12"/>
  <c r="N1195" i="12"/>
  <c r="N1196" i="12"/>
  <c r="N1197" i="12"/>
  <c r="N1198" i="12"/>
  <c r="N1199" i="12"/>
  <c r="N1200" i="12"/>
  <c r="N1201" i="12"/>
  <c r="N1202" i="12"/>
  <c r="N1203" i="12"/>
  <c r="N1204" i="12"/>
  <c r="N1205" i="12"/>
  <c r="N1206" i="12"/>
  <c r="N1207" i="12"/>
  <c r="N1208" i="12"/>
  <c r="N1209" i="12"/>
  <c r="N1210" i="12"/>
  <c r="N1211" i="12"/>
  <c r="N1212" i="12"/>
  <c r="N1213" i="12"/>
  <c r="N1214" i="12"/>
  <c r="N1215" i="12"/>
  <c r="N1216" i="12"/>
  <c r="N1217" i="12"/>
  <c r="N1218" i="12"/>
  <c r="N1219" i="12"/>
  <c r="N1220" i="12"/>
  <c r="N1221" i="12"/>
  <c r="N1222" i="12"/>
  <c r="N1223" i="12"/>
  <c r="N1224" i="12"/>
  <c r="N1225" i="12"/>
  <c r="N1226" i="12"/>
  <c r="N1227" i="12"/>
  <c r="N1228" i="12"/>
  <c r="N1229" i="12"/>
  <c r="N1230" i="12"/>
  <c r="N1231" i="12"/>
  <c r="N1232" i="12"/>
  <c r="N1233" i="12"/>
  <c r="N1234" i="12"/>
  <c r="N1235" i="12"/>
  <c r="N1236" i="12"/>
  <c r="N1237" i="12"/>
  <c r="N1238" i="12"/>
  <c r="N1239" i="12"/>
  <c r="N1240" i="12"/>
  <c r="N1241" i="12"/>
  <c r="N1242" i="12"/>
  <c r="N1243" i="12"/>
  <c r="N1244" i="12"/>
  <c r="N1245" i="12"/>
  <c r="N1246" i="12"/>
  <c r="N1247" i="12"/>
  <c r="N1248" i="12"/>
  <c r="N1249" i="12"/>
  <c r="N1250" i="12"/>
  <c r="N1251" i="12"/>
  <c r="N1252" i="12"/>
  <c r="N1253" i="12"/>
  <c r="N1254" i="12"/>
  <c r="N1255" i="12"/>
  <c r="N1256" i="12"/>
  <c r="N1257" i="12"/>
  <c r="N1258" i="12"/>
  <c r="N1259" i="12"/>
  <c r="N1260" i="12"/>
  <c r="N1261" i="12"/>
  <c r="N1262" i="12"/>
  <c r="N1263" i="12"/>
  <c r="N1264" i="12"/>
  <c r="N1265" i="12"/>
  <c r="N1266" i="12"/>
  <c r="N1267" i="12"/>
  <c r="N1268" i="12"/>
  <c r="N1269" i="12"/>
  <c r="N1270" i="12"/>
  <c r="N1271" i="12"/>
  <c r="N1272" i="12"/>
  <c r="N1273" i="12"/>
  <c r="N1274" i="12"/>
  <c r="N1275" i="12"/>
  <c r="N1276" i="12"/>
  <c r="N1277" i="12"/>
  <c r="N1278" i="12"/>
  <c r="N1279" i="12"/>
  <c r="N1280" i="12"/>
  <c r="N1281" i="12"/>
  <c r="N1282" i="12"/>
  <c r="N1283" i="12"/>
  <c r="N1284" i="12"/>
  <c r="N1285" i="12"/>
  <c r="N1286" i="12"/>
  <c r="N1287" i="12"/>
  <c r="N1288" i="12"/>
  <c r="N1289" i="12"/>
  <c r="N1290" i="12"/>
  <c r="N1291" i="12"/>
  <c r="N1292" i="12"/>
  <c r="N1293" i="12"/>
  <c r="N1294" i="12"/>
  <c r="N1295" i="12"/>
  <c r="N1296" i="12"/>
  <c r="N1297" i="12"/>
  <c r="N1298" i="12"/>
  <c r="N1299" i="12"/>
  <c r="N1300" i="12"/>
  <c r="N1301" i="12"/>
  <c r="N1302" i="12"/>
  <c r="N1303" i="12"/>
  <c r="N1304" i="12"/>
  <c r="N1305" i="12"/>
  <c r="N1306" i="12"/>
  <c r="N1307" i="12"/>
  <c r="N1308" i="12"/>
  <c r="N1309" i="12"/>
  <c r="N1310" i="12"/>
  <c r="N1311" i="12"/>
  <c r="N1312" i="12"/>
  <c r="N1313" i="12"/>
  <c r="N1314" i="12"/>
  <c r="N1315" i="12"/>
  <c r="N1316" i="12"/>
  <c r="N1317" i="12"/>
  <c r="N1318" i="12"/>
  <c r="N1319" i="12"/>
  <c r="N1320" i="12"/>
  <c r="N1321" i="12"/>
  <c r="N1322" i="12"/>
  <c r="N1323" i="12"/>
  <c r="N1324" i="12"/>
  <c r="N1325" i="12"/>
  <c r="N1326" i="12"/>
  <c r="N1327" i="12"/>
  <c r="N1328" i="12"/>
  <c r="N1329" i="12"/>
  <c r="N1330" i="12"/>
  <c r="N1331" i="12"/>
  <c r="N1332" i="12"/>
  <c r="N1333" i="12"/>
  <c r="N1334" i="12"/>
  <c r="N1335" i="12"/>
  <c r="N1336" i="12"/>
  <c r="N1337" i="12"/>
  <c r="N1338" i="12"/>
  <c r="N1339" i="12"/>
  <c r="N1340" i="12"/>
  <c r="N1341" i="12"/>
  <c r="N1342" i="12"/>
  <c r="N1343" i="12"/>
  <c r="N1344" i="12"/>
  <c r="N1345" i="12"/>
  <c r="N1346" i="12"/>
  <c r="N1347" i="12"/>
  <c r="N1348" i="12"/>
  <c r="N1349" i="12"/>
  <c r="N1350" i="12"/>
  <c r="N1351" i="12"/>
  <c r="N1352" i="12"/>
  <c r="N1353" i="12"/>
  <c r="N1354" i="12"/>
  <c r="N1355" i="12"/>
  <c r="N1356" i="12"/>
  <c r="N1357" i="12"/>
  <c r="N1358" i="12"/>
  <c r="N1359" i="12"/>
  <c r="N1360" i="12"/>
  <c r="N1361" i="12"/>
  <c r="N1362" i="12"/>
  <c r="N1363" i="12"/>
  <c r="N1364" i="12"/>
  <c r="N1365" i="12"/>
  <c r="N1366" i="12"/>
  <c r="N1367" i="12"/>
  <c r="N1368" i="12"/>
  <c r="N1369" i="12"/>
  <c r="N1370" i="12"/>
  <c r="N1371" i="12"/>
  <c r="N1372" i="12"/>
  <c r="N1373" i="12"/>
  <c r="N1374" i="12"/>
  <c r="N1375" i="12"/>
  <c r="N1376" i="12"/>
  <c r="N1377" i="12"/>
  <c r="N1378" i="12"/>
  <c r="N1379" i="12"/>
  <c r="N1380" i="12"/>
  <c r="N1381" i="12"/>
  <c r="N1382" i="12"/>
  <c r="N1383" i="12"/>
  <c r="N1384" i="12"/>
  <c r="N1385" i="12"/>
  <c r="N1386" i="12"/>
  <c r="N1387" i="12"/>
  <c r="N1388" i="12"/>
  <c r="N1389" i="12"/>
  <c r="N1390" i="12"/>
  <c r="N1391" i="12"/>
  <c r="N1392" i="12"/>
  <c r="N1393" i="12"/>
  <c r="N1394" i="12"/>
  <c r="N1395" i="12"/>
  <c r="N1396" i="12"/>
  <c r="N1397" i="12"/>
  <c r="N1398" i="12"/>
  <c r="N1399" i="12"/>
  <c r="N1400" i="12"/>
  <c r="N1401" i="12"/>
  <c r="N1402" i="12"/>
  <c r="N1403" i="12"/>
  <c r="N1404" i="12"/>
  <c r="N1405" i="12"/>
  <c r="N1406" i="12"/>
  <c r="N1407" i="12"/>
  <c r="N1408" i="12"/>
  <c r="N1409" i="12"/>
  <c r="N1410" i="12"/>
  <c r="N1411" i="12"/>
  <c r="N1412" i="12"/>
  <c r="N1413" i="12"/>
  <c r="N1414" i="12"/>
  <c r="N1415" i="12"/>
  <c r="N1416" i="12"/>
  <c r="N1417" i="12"/>
  <c r="N1418" i="12"/>
  <c r="N1419" i="12"/>
  <c r="N1420" i="12"/>
  <c r="N1421" i="12"/>
  <c r="N1422" i="12"/>
  <c r="N1423" i="12"/>
  <c r="N1424" i="12"/>
  <c r="N1425" i="12"/>
  <c r="N1426" i="12"/>
  <c r="N1427" i="12"/>
  <c r="N1428" i="12"/>
  <c r="N1429" i="12"/>
  <c r="N1430" i="12"/>
  <c r="N1431" i="12"/>
  <c r="N1432" i="12"/>
  <c r="N1433" i="12"/>
  <c r="N1434" i="12"/>
  <c r="N1435" i="12"/>
  <c r="N1436" i="12"/>
  <c r="N1437" i="12"/>
  <c r="N1438" i="12"/>
  <c r="N1439" i="12"/>
  <c r="N1440" i="12"/>
  <c r="N1441" i="12"/>
  <c r="N1442" i="12"/>
  <c r="N1443" i="12"/>
  <c r="N1444" i="12"/>
  <c r="N1445" i="12"/>
  <c r="N1446" i="12"/>
  <c r="N1447" i="12"/>
  <c r="N1448" i="12"/>
  <c r="N1449" i="12"/>
  <c r="N1450" i="12"/>
  <c r="N1451" i="12"/>
  <c r="N1452" i="12"/>
  <c r="N1453" i="12"/>
  <c r="N1454" i="12"/>
  <c r="N1455" i="12"/>
  <c r="N1456" i="12"/>
  <c r="N1457" i="12"/>
  <c r="N1458" i="12"/>
  <c r="N1459" i="12"/>
  <c r="N1460" i="12"/>
  <c r="N1461" i="12"/>
  <c r="N1462" i="12"/>
  <c r="N1463" i="12"/>
  <c r="N1464" i="12"/>
  <c r="N1465" i="12"/>
  <c r="N1466" i="12"/>
  <c r="N1467" i="12"/>
  <c r="N1468" i="12"/>
  <c r="N1469" i="12"/>
  <c r="N1470" i="12"/>
  <c r="N1471" i="12"/>
  <c r="N1472" i="12"/>
  <c r="N1473" i="12"/>
  <c r="N1474" i="12"/>
  <c r="N1475" i="12"/>
  <c r="N1476" i="12"/>
  <c r="N1477" i="12"/>
  <c r="N1478" i="12"/>
  <c r="N1479" i="12"/>
  <c r="N1480" i="12"/>
  <c r="N1481" i="12"/>
  <c r="N1482" i="12"/>
  <c r="N1483" i="12"/>
  <c r="N1484" i="12"/>
  <c r="N1485" i="12"/>
  <c r="N1486" i="12"/>
  <c r="N1487" i="12"/>
  <c r="N1488" i="12"/>
  <c r="N1489" i="12"/>
  <c r="N1490" i="12"/>
  <c r="N1491" i="12"/>
  <c r="N1492" i="12"/>
  <c r="N1493" i="12"/>
  <c r="N1494" i="12"/>
  <c r="N1495" i="12"/>
  <c r="N1496" i="12"/>
  <c r="N1497" i="12"/>
  <c r="N1498" i="12"/>
  <c r="N1499" i="12"/>
  <c r="N1500" i="12"/>
  <c r="N1501" i="12"/>
  <c r="N1502" i="12"/>
  <c r="N1503" i="12"/>
  <c r="N1504" i="12"/>
  <c r="N1505" i="12"/>
  <c r="N1506" i="12"/>
  <c r="N1507" i="12"/>
  <c r="N1508" i="12"/>
  <c r="N1509" i="12"/>
  <c r="N1510" i="12"/>
  <c r="N1511" i="12"/>
  <c r="N1512" i="12"/>
  <c r="N1513" i="12"/>
  <c r="N1514" i="12"/>
  <c r="N1515" i="12"/>
  <c r="N1516" i="12"/>
  <c r="N1517" i="12"/>
  <c r="N1518" i="12"/>
  <c r="N1519" i="12"/>
  <c r="N1520" i="12"/>
  <c r="N1521" i="12"/>
  <c r="N1522" i="12"/>
  <c r="N1523" i="12"/>
  <c r="N1524" i="12"/>
  <c r="N1525" i="12"/>
  <c r="N1526" i="12"/>
  <c r="N1527" i="12"/>
  <c r="N1528" i="12"/>
  <c r="N1529" i="12"/>
  <c r="N1530" i="12"/>
  <c r="N1531" i="12"/>
  <c r="N1532" i="12"/>
  <c r="N1533" i="12"/>
  <c r="N1534" i="12"/>
  <c r="N1535" i="12"/>
  <c r="N1536" i="12"/>
  <c r="N1537" i="12"/>
  <c r="N1538" i="12"/>
  <c r="N1539" i="12"/>
  <c r="N1540" i="12"/>
  <c r="N1541" i="12"/>
  <c r="N1542" i="12"/>
  <c r="N1543" i="12"/>
  <c r="N1544" i="12"/>
  <c r="N1545" i="12"/>
  <c r="N1546" i="12"/>
  <c r="N1547" i="12"/>
  <c r="N1548" i="12"/>
  <c r="N1549" i="12"/>
  <c r="N1550" i="12"/>
  <c r="N1551" i="12"/>
  <c r="N1552" i="12"/>
  <c r="N1553" i="12"/>
  <c r="N1554" i="12"/>
  <c r="N1555" i="12"/>
  <c r="N1556" i="12"/>
  <c r="N1557" i="12"/>
  <c r="N1558" i="12"/>
  <c r="N1559" i="12"/>
  <c r="N1560" i="12"/>
  <c r="N1561" i="12"/>
  <c r="N1562" i="12"/>
  <c r="N1563" i="12"/>
  <c r="N1564" i="12"/>
  <c r="N1565" i="12"/>
  <c r="N1566" i="12"/>
  <c r="N1567" i="12"/>
  <c r="N1568" i="12"/>
  <c r="N1569" i="12"/>
  <c r="N1570" i="12"/>
  <c r="N1571" i="12"/>
  <c r="N1572" i="12"/>
  <c r="N1573" i="12"/>
  <c r="N1574" i="12"/>
  <c r="N1575" i="12"/>
  <c r="N1576" i="12"/>
  <c r="N1577" i="12"/>
  <c r="N1578" i="12"/>
  <c r="N1579" i="12"/>
  <c r="N1580" i="12"/>
  <c r="N1581" i="12"/>
  <c r="N1582" i="12"/>
  <c r="N1583" i="12"/>
  <c r="N1584" i="12"/>
  <c r="N1585" i="12"/>
  <c r="N1586" i="12"/>
  <c r="N1587" i="12"/>
  <c r="N1588" i="12"/>
  <c r="N1589" i="12"/>
  <c r="N1590" i="12"/>
  <c r="N1591" i="12"/>
  <c r="N1592" i="12"/>
  <c r="N1593" i="12"/>
  <c r="N1594" i="12"/>
  <c r="N1595" i="12"/>
  <c r="N1596" i="12"/>
  <c r="N1597" i="12"/>
  <c r="N1598" i="12"/>
  <c r="N1599" i="12"/>
  <c r="N1600" i="12"/>
  <c r="N1601" i="12"/>
  <c r="N1602" i="12"/>
  <c r="N1603" i="12"/>
  <c r="N1604" i="12"/>
  <c r="N1605" i="12"/>
  <c r="N1606" i="12"/>
  <c r="N1607" i="12"/>
  <c r="N1608" i="12"/>
  <c r="N1609" i="12"/>
  <c r="N1610" i="12"/>
  <c r="N1611" i="12"/>
  <c r="N1612" i="12"/>
  <c r="N1613" i="12"/>
  <c r="N1614" i="12"/>
  <c r="N1615" i="12"/>
  <c r="N1616" i="12"/>
  <c r="N1617" i="12"/>
  <c r="N1618" i="12"/>
  <c r="N1619" i="12"/>
  <c r="N1620" i="12"/>
  <c r="N1621" i="12"/>
  <c r="N1622" i="12"/>
  <c r="N1623" i="12"/>
  <c r="N1624" i="12"/>
  <c r="N1625" i="12"/>
  <c r="N1626" i="12"/>
  <c r="N1627" i="12"/>
  <c r="N1628" i="12"/>
  <c r="N1629" i="12"/>
  <c r="N1630" i="12"/>
  <c r="N1631" i="12"/>
  <c r="N1632" i="12"/>
  <c r="N1633" i="12"/>
  <c r="N1634" i="12"/>
  <c r="N1635" i="12"/>
  <c r="N1636" i="12"/>
  <c r="N1637" i="12"/>
  <c r="N1638" i="12"/>
  <c r="N1639" i="12"/>
  <c r="N1640" i="12"/>
  <c r="N1641" i="12"/>
  <c r="N1642" i="12"/>
  <c r="N1643" i="12"/>
  <c r="N1644" i="12"/>
  <c r="N1645" i="12"/>
  <c r="N1646" i="12"/>
  <c r="N1647" i="12"/>
  <c r="N1648" i="12"/>
  <c r="N1649" i="12"/>
  <c r="N1650" i="12"/>
  <c r="N1651" i="12"/>
  <c r="N1652" i="12"/>
  <c r="N1653" i="12"/>
  <c r="N1654" i="12"/>
  <c r="N1655" i="12"/>
  <c r="N1656" i="12"/>
  <c r="N1657" i="12"/>
  <c r="N1658" i="12"/>
  <c r="N1659" i="12"/>
  <c r="N1660" i="12"/>
  <c r="N1661" i="12"/>
  <c r="N1662" i="12"/>
  <c r="N1663" i="12"/>
  <c r="N1664" i="12"/>
  <c r="N1665" i="12"/>
  <c r="N1666" i="12"/>
  <c r="N1667" i="12"/>
  <c r="N1668" i="12"/>
  <c r="N1669" i="12"/>
  <c r="N1670" i="12"/>
  <c r="N1671" i="12"/>
  <c r="N1672" i="12"/>
  <c r="N1673" i="12"/>
  <c r="N1674" i="12"/>
  <c r="N1675" i="12"/>
  <c r="N1676" i="12"/>
  <c r="N1677" i="12"/>
  <c r="N1678" i="12"/>
  <c r="N1679" i="12"/>
  <c r="N1680" i="12"/>
  <c r="N1681" i="12"/>
  <c r="N1682" i="12"/>
  <c r="N1683" i="12"/>
  <c r="N1684" i="12"/>
  <c r="N1685" i="12"/>
  <c r="N1686" i="12"/>
  <c r="N1687" i="12"/>
  <c r="N1688" i="12"/>
  <c r="N1689" i="12"/>
  <c r="N1690" i="12"/>
  <c r="N1691" i="12"/>
  <c r="N1692" i="12"/>
  <c r="N1693" i="12"/>
  <c r="N1694" i="12"/>
  <c r="N1695" i="12"/>
  <c r="N1696" i="12"/>
  <c r="N1697" i="12"/>
  <c r="N1698" i="12"/>
  <c r="N1699" i="12"/>
  <c r="N1700" i="12"/>
  <c r="N1701" i="12"/>
  <c r="N1702" i="12"/>
  <c r="N1703" i="12"/>
  <c r="N1704" i="12"/>
  <c r="N1705" i="12"/>
  <c r="N1706" i="12"/>
  <c r="N1707" i="12"/>
  <c r="N1708" i="12"/>
  <c r="N1709" i="12"/>
  <c r="N1710" i="12"/>
  <c r="N1711" i="12"/>
  <c r="N1712" i="12"/>
  <c r="N1713" i="12"/>
  <c r="N1714" i="12"/>
  <c r="N1715" i="12"/>
  <c r="N1716" i="12"/>
  <c r="N1717" i="12"/>
  <c r="N1718" i="12"/>
  <c r="N1719" i="12"/>
  <c r="N1720" i="12"/>
  <c r="N1721" i="12"/>
  <c r="N1722" i="12"/>
  <c r="N1723" i="12"/>
  <c r="N1724" i="12"/>
  <c r="N1725" i="12"/>
  <c r="N1726" i="12"/>
  <c r="N1727" i="12"/>
  <c r="N1728" i="12"/>
  <c r="N1729" i="12"/>
  <c r="N1730" i="12"/>
  <c r="N1731" i="12"/>
  <c r="N1732" i="12"/>
  <c r="N1733" i="12"/>
  <c r="N1734" i="12"/>
  <c r="N1735" i="12"/>
  <c r="N1736" i="12"/>
  <c r="N1737" i="12"/>
  <c r="N1738" i="12"/>
  <c r="N1739" i="12"/>
  <c r="N1740" i="12"/>
  <c r="N1741" i="12"/>
  <c r="N1742" i="12"/>
  <c r="N1743" i="12"/>
  <c r="N1744" i="12"/>
  <c r="N1745" i="12"/>
  <c r="N1746" i="12"/>
  <c r="N1747" i="12"/>
  <c r="N1748" i="12"/>
  <c r="N1749" i="12"/>
  <c r="N1750" i="12"/>
  <c r="N1751" i="12"/>
  <c r="N1752" i="12"/>
  <c r="N1753" i="12"/>
  <c r="N1754" i="12"/>
  <c r="N1755" i="12"/>
  <c r="N1756" i="12"/>
  <c r="N1757" i="12"/>
  <c r="N1758" i="12"/>
  <c r="N1759" i="12"/>
  <c r="N1760" i="12"/>
  <c r="N1761" i="12"/>
  <c r="N1762" i="12"/>
  <c r="N1763" i="12"/>
  <c r="N1764" i="12"/>
  <c r="N1765" i="12"/>
  <c r="N1766" i="12"/>
  <c r="N1767" i="12"/>
  <c r="N1768" i="12"/>
  <c r="N1769" i="12"/>
  <c r="N1770" i="12"/>
  <c r="N1771" i="12"/>
  <c r="N1772" i="12"/>
  <c r="N1773" i="12"/>
  <c r="N1774" i="12"/>
  <c r="N1775" i="12"/>
  <c r="N1776" i="12"/>
  <c r="N1777" i="12"/>
  <c r="N1778" i="12"/>
  <c r="N1779" i="12"/>
  <c r="N1780" i="12"/>
  <c r="N1781" i="12"/>
  <c r="N1782" i="12"/>
  <c r="N1783" i="12"/>
  <c r="N1784" i="12"/>
  <c r="N1785" i="12"/>
  <c r="N1786" i="12"/>
  <c r="N1787" i="12"/>
  <c r="N1788" i="12"/>
  <c r="N1789" i="12"/>
  <c r="N1790" i="12"/>
  <c r="N1791" i="12"/>
  <c r="N1792" i="12"/>
  <c r="N1793" i="12"/>
  <c r="N1794" i="12"/>
  <c r="N1795" i="12"/>
  <c r="N1796" i="12"/>
  <c r="N1797" i="12"/>
  <c r="N1798" i="12"/>
  <c r="N1799" i="12"/>
  <c r="N1800" i="12"/>
  <c r="N1801" i="12"/>
  <c r="N1802" i="12"/>
  <c r="N1803" i="12"/>
  <c r="N1804" i="12"/>
  <c r="N1805" i="12"/>
  <c r="N1806" i="12"/>
  <c r="N1807" i="12"/>
  <c r="N1808" i="12"/>
  <c r="N1809" i="12"/>
  <c r="N1810" i="12"/>
  <c r="N1811" i="12"/>
  <c r="N1812" i="12"/>
  <c r="N1813" i="12"/>
  <c r="N1814" i="12"/>
  <c r="N1815" i="12"/>
  <c r="N1816" i="12"/>
  <c r="N1817" i="12"/>
  <c r="N1818" i="12"/>
  <c r="N1819" i="12"/>
  <c r="N1820" i="12"/>
  <c r="N1821" i="12"/>
  <c r="N1822" i="12"/>
  <c r="N1823" i="12"/>
  <c r="N1824" i="12"/>
  <c r="N1825" i="12"/>
  <c r="N1826" i="12"/>
  <c r="N1827" i="12"/>
  <c r="N1828" i="12"/>
  <c r="N1829" i="12"/>
  <c r="N1830" i="12"/>
  <c r="N1831" i="12"/>
  <c r="N1832" i="12"/>
  <c r="N1833" i="12"/>
  <c r="N1834" i="12"/>
  <c r="N1835" i="12"/>
  <c r="N1836" i="12"/>
  <c r="N1837" i="12"/>
  <c r="N1838" i="12"/>
  <c r="N1839" i="12"/>
  <c r="N1840" i="12"/>
  <c r="N1841" i="12"/>
  <c r="N1842" i="12"/>
  <c r="N1843" i="12"/>
  <c r="N1844" i="12"/>
  <c r="N1845" i="12"/>
  <c r="N1846" i="12"/>
  <c r="N1847" i="12"/>
  <c r="N1848" i="12"/>
  <c r="N1849" i="12"/>
  <c r="N1850" i="12"/>
  <c r="N1851" i="12"/>
  <c r="N1852" i="12"/>
  <c r="N1853" i="12"/>
  <c r="N1854" i="12"/>
  <c r="N1855" i="12"/>
  <c r="N1856" i="12"/>
  <c r="N1857" i="12"/>
  <c r="N1858" i="12"/>
  <c r="N1859" i="12"/>
  <c r="N1860" i="12"/>
  <c r="N1861" i="12"/>
  <c r="N1862" i="12"/>
  <c r="N1863" i="12"/>
  <c r="N1864" i="12"/>
  <c r="N1865" i="12"/>
  <c r="N1866" i="12"/>
  <c r="N1867" i="12"/>
  <c r="N1868" i="12"/>
  <c r="N1869" i="12"/>
  <c r="N1870" i="12"/>
  <c r="N1871" i="12"/>
  <c r="N1872" i="12"/>
  <c r="N1873" i="12"/>
  <c r="N1874" i="12"/>
  <c r="N1875" i="12"/>
  <c r="N1876" i="12"/>
  <c r="N1877" i="12"/>
  <c r="N1878" i="12"/>
  <c r="N1879" i="12"/>
  <c r="N1880" i="12"/>
  <c r="N1881" i="12"/>
  <c r="N1882" i="12"/>
  <c r="N1883" i="12"/>
  <c r="N1884" i="12"/>
  <c r="N1885" i="12"/>
  <c r="N1886" i="12"/>
  <c r="N1887" i="12"/>
  <c r="N1888" i="12"/>
  <c r="N1889" i="12"/>
  <c r="N1890" i="12"/>
  <c r="N1891" i="12"/>
  <c r="N1892" i="12"/>
  <c r="N1893" i="12"/>
  <c r="N1894" i="12"/>
  <c r="N1895" i="12"/>
  <c r="N1896" i="12"/>
  <c r="N1897" i="12"/>
  <c r="N1898" i="12"/>
  <c r="N1899" i="12"/>
  <c r="N1900" i="12"/>
  <c r="N1901" i="12"/>
  <c r="N1902" i="12"/>
  <c r="N1903" i="12"/>
  <c r="N1904" i="12"/>
  <c r="N1905" i="12"/>
  <c r="N1906" i="12"/>
  <c r="N1907" i="12"/>
  <c r="N1908" i="12"/>
  <c r="N1909" i="12"/>
  <c r="N1910" i="12"/>
  <c r="N1911" i="12"/>
  <c r="N1912" i="12"/>
  <c r="N1913" i="12"/>
  <c r="N1914" i="12"/>
  <c r="N1915" i="12"/>
  <c r="N1916" i="12"/>
  <c r="N1917" i="12"/>
  <c r="N1918" i="12"/>
  <c r="N1919" i="12"/>
  <c r="N1920" i="12"/>
  <c r="N1921" i="12"/>
  <c r="N1922" i="12"/>
  <c r="N1923" i="12"/>
  <c r="N1924" i="12"/>
  <c r="N1925" i="12"/>
  <c r="N1926" i="12"/>
  <c r="N1927" i="12"/>
  <c r="N1928" i="12"/>
  <c r="N1929" i="12"/>
  <c r="N1930" i="12"/>
  <c r="N1931" i="12"/>
  <c r="N1932" i="12"/>
  <c r="N1933" i="12"/>
  <c r="N1934" i="12"/>
  <c r="N1935" i="12"/>
  <c r="N1936" i="12"/>
  <c r="N1937" i="12"/>
  <c r="N1938" i="12"/>
  <c r="N1939" i="12"/>
  <c r="N1940" i="12"/>
  <c r="N1941" i="12"/>
  <c r="N1942" i="12"/>
  <c r="N1943" i="12"/>
  <c r="N1944" i="12"/>
  <c r="N1945" i="12"/>
  <c r="N1946" i="12"/>
  <c r="N1947" i="12"/>
  <c r="N1948" i="12"/>
  <c r="N1949" i="12"/>
  <c r="N1950" i="12"/>
  <c r="N1951" i="12"/>
  <c r="N1952" i="12"/>
  <c r="N1953" i="12"/>
  <c r="N1954" i="12"/>
  <c r="N1955" i="12"/>
  <c r="N1956" i="12"/>
  <c r="N1957" i="12"/>
  <c r="N1958" i="12"/>
  <c r="N1959" i="12"/>
  <c r="N1960" i="12"/>
  <c r="N1961" i="12"/>
  <c r="N1962" i="12"/>
  <c r="N1963" i="12"/>
  <c r="N1964" i="12"/>
  <c r="N1965" i="12"/>
  <c r="N1966" i="12"/>
  <c r="N1967" i="12"/>
  <c r="N1968" i="12"/>
  <c r="N1969" i="12"/>
  <c r="N1970" i="12"/>
  <c r="N1971" i="12"/>
  <c r="N1972" i="12"/>
  <c r="N1973" i="12"/>
  <c r="N1974" i="12"/>
  <c r="N1975" i="12"/>
  <c r="N1976" i="12"/>
  <c r="N1977" i="12"/>
  <c r="N1978" i="12"/>
  <c r="N1979" i="12"/>
  <c r="N1980" i="12"/>
  <c r="N1981" i="12"/>
  <c r="N1982" i="12"/>
  <c r="N1983" i="12"/>
  <c r="N1984" i="12"/>
  <c r="N1985" i="12"/>
  <c r="N1986" i="12"/>
  <c r="N1987" i="12"/>
  <c r="N1988" i="12"/>
  <c r="N1989" i="12"/>
  <c r="N1990" i="12"/>
  <c r="N1991" i="12"/>
  <c r="N1992" i="12"/>
  <c r="N1993" i="12"/>
  <c r="N1994" i="12"/>
  <c r="N1995" i="12"/>
  <c r="N1996" i="12"/>
  <c r="N1997" i="12"/>
  <c r="N1998" i="12"/>
  <c r="N1999" i="12"/>
  <c r="N2000" i="12"/>
  <c r="N2001" i="12"/>
  <c r="N2002" i="12"/>
  <c r="N2003" i="12"/>
  <c r="N2004" i="12"/>
  <c r="N2005" i="12"/>
  <c r="N2006" i="12"/>
  <c r="N2007" i="12"/>
  <c r="N2008" i="12"/>
  <c r="N2009" i="12"/>
  <c r="N2010" i="12"/>
  <c r="N2011" i="12"/>
  <c r="N2012" i="12"/>
  <c r="N2013" i="12"/>
  <c r="N2014" i="12"/>
  <c r="N2015" i="12"/>
  <c r="N2016" i="12"/>
  <c r="N2017" i="12"/>
  <c r="N2018" i="12"/>
  <c r="N2019" i="12"/>
  <c r="N2020" i="12"/>
  <c r="N2021" i="12"/>
  <c r="N2022" i="12"/>
  <c r="N2023" i="12"/>
  <c r="N2024" i="12"/>
  <c r="N2025" i="12"/>
  <c r="N2026" i="12"/>
  <c r="N2027" i="12"/>
  <c r="N2028" i="12"/>
  <c r="N2029" i="12"/>
  <c r="N2030" i="12"/>
  <c r="N2031" i="12"/>
  <c r="N2032" i="12"/>
  <c r="N2033" i="12"/>
  <c r="N2034" i="12"/>
  <c r="N2035" i="12"/>
  <c r="N2036" i="12"/>
  <c r="N2037" i="12"/>
  <c r="N2038" i="12"/>
  <c r="N2039" i="12"/>
  <c r="N2040" i="12"/>
  <c r="N2041" i="12"/>
  <c r="N2042" i="12"/>
  <c r="N2043" i="12"/>
  <c r="N2044" i="12"/>
  <c r="N2045" i="12"/>
  <c r="N2046" i="12"/>
  <c r="N2047" i="12"/>
  <c r="N2048" i="12"/>
  <c r="N2049" i="12"/>
  <c r="N2050" i="12"/>
  <c r="N2051" i="12"/>
  <c r="N2052" i="12"/>
  <c r="N2053" i="12"/>
  <c r="N2054" i="12"/>
  <c r="N2055" i="12"/>
  <c r="N2056" i="12"/>
  <c r="N2057" i="12"/>
  <c r="N2058" i="12"/>
  <c r="N2059" i="12"/>
  <c r="N2060" i="12"/>
  <c r="N2061" i="12"/>
  <c r="N2062" i="12"/>
  <c r="N2063" i="12"/>
  <c r="N2064" i="12"/>
  <c r="N2065" i="12"/>
  <c r="N2066" i="12"/>
  <c r="N2067" i="12"/>
  <c r="N2068" i="12"/>
  <c r="N2069" i="12"/>
  <c r="N2070" i="12"/>
  <c r="N2071" i="12"/>
  <c r="N2072" i="12"/>
  <c r="N2073" i="12"/>
  <c r="N2074" i="12"/>
  <c r="N2075" i="12"/>
  <c r="N2076" i="12"/>
  <c r="N2077" i="12"/>
  <c r="N2078" i="12"/>
  <c r="N2079" i="12"/>
  <c r="N2080" i="12"/>
  <c r="N2081" i="12"/>
  <c r="N2082" i="12"/>
  <c r="N2083" i="12"/>
  <c r="N2084" i="12"/>
  <c r="N2085" i="12"/>
  <c r="N2086" i="12"/>
  <c r="N2087" i="12"/>
  <c r="N2088" i="12"/>
  <c r="N2089" i="12"/>
  <c r="N2090" i="12"/>
  <c r="N2091" i="12"/>
  <c r="N2092" i="12"/>
  <c r="N2093" i="12"/>
  <c r="N2094" i="12"/>
  <c r="N2095" i="12"/>
  <c r="N2096" i="12"/>
  <c r="N2097" i="12"/>
  <c r="N2098" i="12"/>
  <c r="N2099" i="12"/>
  <c r="N2100" i="12"/>
  <c r="N2101" i="12"/>
  <c r="N2102" i="12"/>
  <c r="N2103" i="12"/>
  <c r="N2104" i="12"/>
  <c r="N2105" i="12"/>
  <c r="N2106" i="12"/>
  <c r="N2107" i="12"/>
  <c r="N2108" i="12"/>
  <c r="N2109" i="12"/>
  <c r="N2110" i="12"/>
  <c r="N2111" i="12"/>
  <c r="N2112" i="12"/>
  <c r="N2113" i="12"/>
  <c r="N2114" i="12"/>
  <c r="N2115" i="12"/>
  <c r="N2116" i="12"/>
  <c r="N2117" i="12"/>
  <c r="N2118" i="12"/>
  <c r="N2119" i="12"/>
  <c r="N2120" i="12"/>
  <c r="N2121" i="12"/>
  <c r="N2122" i="12"/>
  <c r="N2123" i="12"/>
  <c r="N2124" i="12"/>
  <c r="N2125" i="12"/>
  <c r="N2126" i="12"/>
  <c r="N2127" i="12"/>
  <c r="N2128" i="12"/>
  <c r="N2129" i="12"/>
  <c r="N2130" i="12"/>
  <c r="N2131" i="12"/>
  <c r="N2132" i="12"/>
  <c r="N2133" i="12"/>
  <c r="N2134" i="12"/>
  <c r="N2135" i="12"/>
  <c r="N2136" i="12"/>
  <c r="N2137" i="12"/>
  <c r="N2138" i="12"/>
  <c r="N2139" i="12"/>
  <c r="N2140" i="12"/>
  <c r="N2141" i="12"/>
  <c r="N2142" i="12"/>
  <c r="N2143" i="12"/>
  <c r="N2144" i="12"/>
  <c r="N2145" i="12"/>
  <c r="N2146" i="12"/>
  <c r="N2147" i="12"/>
  <c r="N2148" i="12"/>
  <c r="N2149" i="12"/>
  <c r="N2150" i="12"/>
  <c r="N2151" i="12"/>
  <c r="N2152" i="12"/>
  <c r="N2153" i="12"/>
  <c r="N2154" i="12"/>
  <c r="N2155" i="12"/>
  <c r="N2156" i="12"/>
  <c r="N2157" i="12"/>
  <c r="N2158" i="12"/>
  <c r="N2159" i="12"/>
  <c r="N2160" i="12"/>
  <c r="N2161" i="12"/>
  <c r="N2162" i="12"/>
  <c r="N2163" i="12"/>
  <c r="N2164" i="12"/>
  <c r="N2165" i="12"/>
  <c r="N2166" i="12"/>
  <c r="N2167" i="12"/>
  <c r="N2168" i="12"/>
  <c r="N2169" i="12"/>
  <c r="N2170" i="12"/>
  <c r="N2171" i="12"/>
  <c r="N2172" i="12"/>
  <c r="N2173" i="12"/>
  <c r="N2174" i="12"/>
  <c r="N2175" i="12"/>
  <c r="N2176" i="12"/>
  <c r="N2177" i="12"/>
  <c r="N2178" i="12"/>
  <c r="N2179" i="12"/>
  <c r="N2180" i="12"/>
  <c r="N2181" i="12"/>
  <c r="N2182" i="12"/>
  <c r="N2183" i="12"/>
  <c r="N2184" i="12"/>
  <c r="N2185" i="12"/>
  <c r="N2186" i="12"/>
  <c r="N2187" i="12"/>
  <c r="N2188" i="12"/>
  <c r="N2189" i="12"/>
  <c r="N2190" i="12"/>
  <c r="N2191" i="12"/>
  <c r="N2192" i="12"/>
  <c r="N2193" i="12"/>
  <c r="N2194" i="12"/>
  <c r="N2195" i="12"/>
  <c r="N2196" i="12"/>
  <c r="N2197" i="12"/>
  <c r="N2198" i="12"/>
  <c r="N2199" i="12"/>
  <c r="N2200" i="12"/>
  <c r="N2201" i="12"/>
  <c r="N2202" i="12"/>
  <c r="N2203" i="12"/>
  <c r="N2204" i="12"/>
  <c r="N2205" i="12"/>
  <c r="N2206" i="12"/>
  <c r="N2207" i="12"/>
  <c r="N2208" i="12"/>
  <c r="N2209" i="12"/>
  <c r="N2210" i="12"/>
  <c r="N2211" i="12"/>
  <c r="N2212" i="12"/>
  <c r="N2213" i="12"/>
  <c r="N2214" i="12"/>
  <c r="N2215" i="12"/>
  <c r="N2216" i="12"/>
  <c r="N2217" i="12"/>
  <c r="N2218" i="12"/>
  <c r="N2219" i="12"/>
  <c r="N2220" i="12"/>
  <c r="N2221" i="12"/>
  <c r="N2222" i="12"/>
  <c r="N2223" i="12"/>
  <c r="N2224" i="12"/>
  <c r="N2225" i="12"/>
  <c r="N2226" i="12"/>
  <c r="N2227" i="12"/>
  <c r="N2228" i="12"/>
  <c r="N2229" i="12"/>
  <c r="N2230" i="12"/>
  <c r="N2231" i="12"/>
  <c r="N2232" i="12"/>
  <c r="N2233" i="12"/>
  <c r="N2234" i="12"/>
  <c r="N2235" i="12"/>
  <c r="N2236" i="12"/>
  <c r="N2237" i="12"/>
  <c r="N2238" i="12"/>
  <c r="N2239" i="12"/>
  <c r="N2240" i="12"/>
  <c r="N2241" i="12"/>
  <c r="N2242" i="12"/>
  <c r="N2243" i="12"/>
  <c r="N2244" i="12"/>
  <c r="N2245" i="12"/>
  <c r="N2246" i="12"/>
  <c r="N2247" i="12"/>
  <c r="N2248" i="12"/>
  <c r="N2249" i="12"/>
  <c r="N2250" i="12"/>
  <c r="N2251" i="12"/>
  <c r="N2252" i="12"/>
  <c r="N2253" i="12"/>
  <c r="N2254" i="12"/>
  <c r="N2255" i="12"/>
  <c r="N2256" i="12"/>
  <c r="N2257" i="12"/>
  <c r="N2258" i="12"/>
  <c r="N2259" i="12"/>
  <c r="N2260" i="12"/>
  <c r="N2261" i="12"/>
  <c r="N2262" i="12"/>
  <c r="N2263" i="12"/>
  <c r="N2264" i="12"/>
  <c r="N2265" i="12"/>
  <c r="N2266" i="12"/>
  <c r="N2267" i="12"/>
  <c r="N2268" i="12"/>
  <c r="N2269" i="12"/>
  <c r="N2270" i="12"/>
  <c r="N2271" i="12"/>
  <c r="N2272" i="12"/>
  <c r="N2273" i="12"/>
  <c r="N2274" i="12"/>
  <c r="N2275" i="12"/>
  <c r="N2276" i="12"/>
  <c r="N2277" i="12"/>
  <c r="N2278" i="12"/>
  <c r="N2279" i="12"/>
  <c r="N2280" i="12"/>
  <c r="N2281" i="12"/>
  <c r="N2282" i="12"/>
  <c r="N2283" i="12"/>
  <c r="N2284" i="12"/>
  <c r="N2285" i="12"/>
  <c r="N2286" i="12"/>
  <c r="N2287" i="12"/>
  <c r="N2288" i="12"/>
  <c r="N2289" i="12"/>
  <c r="N2290" i="12"/>
  <c r="N2291" i="12"/>
  <c r="N2292" i="12"/>
  <c r="N2293" i="12"/>
  <c r="N2294" i="12"/>
  <c r="N2295" i="12"/>
  <c r="N2296" i="12"/>
  <c r="N2297" i="12"/>
  <c r="N2298" i="12"/>
  <c r="N2299" i="12"/>
  <c r="N2300" i="12"/>
  <c r="N2301" i="12"/>
  <c r="N2302" i="12"/>
  <c r="N2303" i="12"/>
  <c r="N2304" i="12"/>
  <c r="N2305" i="12"/>
  <c r="N2306" i="12"/>
  <c r="N2307" i="12"/>
  <c r="N2308" i="12"/>
  <c r="N2309" i="12"/>
  <c r="N2310" i="12"/>
  <c r="N2311" i="12"/>
  <c r="N2312" i="12"/>
  <c r="N2313" i="12"/>
  <c r="N2314" i="12"/>
  <c r="N2315" i="12"/>
  <c r="N2316" i="12"/>
  <c r="N2317" i="12"/>
  <c r="N2318" i="12"/>
  <c r="N2319" i="12"/>
  <c r="N2320" i="12"/>
  <c r="N2321" i="12"/>
  <c r="N2322" i="12"/>
  <c r="N2323" i="12"/>
  <c r="N2324" i="12"/>
  <c r="N2325" i="12"/>
  <c r="N2326" i="12"/>
  <c r="N2327" i="12"/>
  <c r="N2328" i="12"/>
  <c r="N2329" i="12"/>
  <c r="N2330" i="12"/>
  <c r="N2331" i="12"/>
  <c r="N2332" i="12"/>
  <c r="N2333" i="12"/>
  <c r="N2334" i="12"/>
  <c r="N2335" i="12"/>
  <c r="N2336" i="12"/>
  <c r="N2337" i="12"/>
  <c r="N2338" i="12"/>
  <c r="N2339" i="12"/>
  <c r="N2340" i="12"/>
  <c r="N2341" i="12"/>
  <c r="N2342" i="12"/>
  <c r="N2343" i="12"/>
  <c r="N2344" i="12"/>
  <c r="N2345" i="12"/>
  <c r="N2346" i="12"/>
  <c r="N2347" i="12"/>
  <c r="N2348" i="12"/>
  <c r="N2349" i="12"/>
  <c r="N2350" i="12"/>
  <c r="N2351" i="12"/>
  <c r="N2352" i="12"/>
  <c r="N2353" i="12"/>
  <c r="N2354" i="12"/>
  <c r="N2355" i="12"/>
  <c r="N2356" i="12"/>
  <c r="N2357" i="12"/>
  <c r="N2358" i="12"/>
  <c r="N2359" i="12"/>
  <c r="N2360" i="12"/>
  <c r="N2361" i="12"/>
  <c r="N2362" i="12"/>
  <c r="N2363" i="12"/>
  <c r="N2364" i="12"/>
  <c r="N2365" i="12"/>
  <c r="N2366" i="12"/>
  <c r="N2367" i="12"/>
  <c r="N2368" i="12"/>
  <c r="N2369" i="12"/>
  <c r="N2370" i="12"/>
  <c r="N2371" i="12"/>
  <c r="N2372" i="12"/>
  <c r="N2373" i="12"/>
  <c r="N2374" i="12"/>
  <c r="N2375" i="12"/>
  <c r="N2376" i="12"/>
  <c r="N2377" i="12"/>
  <c r="N2378" i="12"/>
  <c r="N2379" i="12"/>
  <c r="N2380" i="12"/>
  <c r="N2381" i="12"/>
  <c r="N2382" i="12"/>
  <c r="N2383" i="12"/>
  <c r="N2384" i="12"/>
  <c r="N2385" i="12"/>
  <c r="N2386" i="12"/>
  <c r="N2387" i="12"/>
  <c r="N2388" i="12"/>
  <c r="N2389" i="12"/>
  <c r="N2390" i="12"/>
  <c r="N2391" i="12"/>
  <c r="N2392" i="12"/>
  <c r="N2393" i="12"/>
  <c r="N2394" i="12"/>
  <c r="N2395" i="12"/>
  <c r="N2396" i="12"/>
  <c r="N2397" i="12"/>
  <c r="N2398" i="12"/>
  <c r="N2399" i="12"/>
  <c r="N2400" i="12"/>
  <c r="N2401" i="12"/>
  <c r="N2402" i="12"/>
  <c r="N2403" i="12"/>
  <c r="N2404" i="12"/>
  <c r="N2405" i="12"/>
  <c r="N2406" i="12"/>
  <c r="N2407" i="12"/>
  <c r="N2408" i="12"/>
  <c r="N2409" i="12"/>
  <c r="N2410" i="12"/>
  <c r="N2411" i="12"/>
  <c r="N2412" i="12"/>
  <c r="N2413" i="12"/>
  <c r="N2414" i="12"/>
  <c r="N2415" i="12"/>
  <c r="N2416" i="12"/>
  <c r="N2417" i="12"/>
  <c r="N2418" i="12"/>
  <c r="N2419" i="12"/>
  <c r="N2420" i="12"/>
  <c r="N2421" i="12"/>
  <c r="N2422" i="12"/>
  <c r="N2423" i="12"/>
  <c r="N2424" i="12"/>
  <c r="N2425" i="12"/>
  <c r="N2426" i="12"/>
  <c r="N2427" i="12"/>
  <c r="N2428" i="12"/>
  <c r="N2429" i="12"/>
  <c r="N2430" i="12"/>
  <c r="N2431" i="12"/>
  <c r="N2432" i="12"/>
  <c r="N2433" i="12"/>
  <c r="N2434" i="12"/>
  <c r="N2435" i="12"/>
  <c r="N2436" i="12"/>
  <c r="N2437" i="12"/>
  <c r="N2438" i="12"/>
  <c r="N2439" i="12"/>
  <c r="N2440" i="12"/>
  <c r="N2441" i="12"/>
  <c r="N2442" i="12"/>
  <c r="N2443" i="12"/>
  <c r="N2444" i="12"/>
  <c r="N2445" i="12"/>
  <c r="N2446" i="12"/>
  <c r="N2447" i="12"/>
  <c r="N2448" i="12"/>
  <c r="N2449" i="12"/>
  <c r="N2450" i="12"/>
  <c r="N2451" i="12"/>
  <c r="N2452" i="12"/>
  <c r="N2453" i="12"/>
  <c r="N2454" i="12"/>
  <c r="N2455" i="12"/>
  <c r="N2456" i="12"/>
  <c r="N2457" i="12"/>
  <c r="N2458" i="12"/>
  <c r="N2459" i="12"/>
  <c r="N2460" i="12"/>
  <c r="N2461" i="12"/>
  <c r="N2462" i="12"/>
  <c r="N2463" i="12"/>
  <c r="N2464" i="12"/>
  <c r="N2465" i="12"/>
  <c r="N2466" i="12"/>
  <c r="N2467" i="12"/>
  <c r="N2468" i="12"/>
  <c r="N2469" i="12"/>
  <c r="N2470" i="12"/>
  <c r="N2471" i="12"/>
  <c r="N2472" i="12"/>
  <c r="N2473" i="12"/>
  <c r="N2474" i="12"/>
  <c r="N2475" i="12"/>
  <c r="N2476" i="12"/>
  <c r="N2477" i="12"/>
  <c r="N2478" i="12"/>
  <c r="N2479" i="12"/>
  <c r="N2480" i="12"/>
  <c r="N2481" i="12"/>
  <c r="N2482" i="12"/>
  <c r="N2483" i="12"/>
  <c r="N2484" i="12"/>
  <c r="N2485" i="12"/>
  <c r="N2486" i="12"/>
  <c r="N2487" i="12"/>
  <c r="N2488" i="12"/>
  <c r="N2489" i="12"/>
  <c r="N2490" i="12"/>
  <c r="N2491" i="12"/>
  <c r="N2492" i="12"/>
  <c r="N2493" i="12"/>
  <c r="N2494" i="12"/>
  <c r="N2495" i="12"/>
  <c r="N2496" i="12"/>
  <c r="N2497" i="12"/>
  <c r="N2498" i="12"/>
  <c r="N2499" i="12"/>
  <c r="N2500" i="12"/>
  <c r="N2501" i="12"/>
  <c r="N2502" i="12"/>
  <c r="N2503" i="12"/>
  <c r="N2504" i="12"/>
  <c r="N2505" i="12"/>
  <c r="N2506" i="12"/>
  <c r="N2507" i="12"/>
  <c r="N2508" i="12"/>
  <c r="N2509" i="12"/>
  <c r="N2510" i="12"/>
  <c r="N2511" i="12"/>
  <c r="N2512" i="12"/>
  <c r="N2513" i="12"/>
  <c r="N2514" i="12"/>
  <c r="N2515" i="12"/>
  <c r="N2516" i="12"/>
  <c r="N2517" i="12"/>
  <c r="N2518" i="12"/>
  <c r="N2519" i="12"/>
  <c r="N2520" i="12"/>
  <c r="N2521" i="12"/>
  <c r="N2522" i="12"/>
  <c r="N2523" i="12"/>
  <c r="N2524" i="12"/>
  <c r="N2525" i="12"/>
  <c r="N2526" i="12"/>
  <c r="N2527" i="12"/>
  <c r="N2528" i="12"/>
  <c r="N2529" i="12"/>
  <c r="N2530" i="12"/>
  <c r="N2531" i="12"/>
  <c r="N2532" i="12"/>
  <c r="N2533" i="12"/>
  <c r="N2534" i="12"/>
  <c r="N2535" i="12"/>
  <c r="N2536" i="12"/>
  <c r="N2537" i="12"/>
  <c r="N2538" i="12"/>
  <c r="N2539" i="12"/>
  <c r="N2540" i="12"/>
  <c r="N2541" i="12"/>
  <c r="N2542" i="12"/>
  <c r="N2543" i="12"/>
  <c r="N2544" i="12"/>
  <c r="N2545" i="12"/>
  <c r="N2546" i="12"/>
  <c r="N2547" i="12"/>
  <c r="N2548" i="12"/>
  <c r="N2549" i="12"/>
  <c r="N2550" i="12"/>
  <c r="N2551" i="12"/>
  <c r="N2552" i="12"/>
  <c r="N2553" i="12"/>
  <c r="N2554" i="12"/>
  <c r="N2555" i="12"/>
  <c r="N2556" i="12"/>
  <c r="N2557" i="12"/>
  <c r="N2558" i="12"/>
  <c r="N2559" i="12"/>
  <c r="N2560" i="12"/>
  <c r="N2561" i="12"/>
  <c r="N2562" i="12"/>
  <c r="N2563" i="12"/>
  <c r="N2564" i="12"/>
  <c r="N2565" i="12"/>
  <c r="N2566" i="12"/>
  <c r="N2567" i="12"/>
  <c r="N2568" i="12"/>
  <c r="N2569" i="12"/>
  <c r="N2570" i="12"/>
  <c r="N2571" i="12"/>
  <c r="N2572" i="12"/>
  <c r="N2573" i="12"/>
  <c r="N2574" i="12"/>
  <c r="N2575" i="12"/>
  <c r="N2576" i="12"/>
  <c r="N2577" i="12"/>
  <c r="N2578" i="12"/>
  <c r="N2579" i="12"/>
  <c r="N2580" i="12"/>
  <c r="N2581" i="12"/>
  <c r="N2582" i="12"/>
  <c r="N2583" i="12"/>
  <c r="N2584" i="12"/>
  <c r="N2585" i="12"/>
  <c r="N2586" i="12"/>
  <c r="N2587" i="12"/>
  <c r="N2588" i="12"/>
  <c r="N2589" i="12"/>
  <c r="N2590" i="12"/>
  <c r="N2591" i="12"/>
  <c r="N2592" i="12"/>
  <c r="N2593" i="12"/>
  <c r="N2594" i="12"/>
  <c r="N2595" i="12"/>
  <c r="N2596" i="12"/>
  <c r="N2597" i="12"/>
  <c r="N2598" i="12"/>
  <c r="N2599" i="12"/>
  <c r="N2600" i="12"/>
  <c r="N2601" i="12"/>
  <c r="N2602" i="12"/>
  <c r="N2603" i="12"/>
  <c r="N2604" i="12"/>
  <c r="N2605" i="12"/>
  <c r="N2606" i="12"/>
  <c r="N2607" i="12"/>
  <c r="N2608" i="12"/>
  <c r="N2609" i="12"/>
  <c r="N2610" i="12"/>
  <c r="N2611" i="12"/>
  <c r="N2612" i="12"/>
  <c r="N2613" i="12"/>
  <c r="N2614" i="12"/>
  <c r="N2615" i="12"/>
  <c r="N2616" i="12"/>
  <c r="N2617" i="12"/>
  <c r="N2618" i="12"/>
  <c r="N2619" i="12"/>
  <c r="N2620" i="12"/>
  <c r="N2621" i="12"/>
  <c r="N2622" i="12"/>
  <c r="N2623" i="12"/>
  <c r="N2624" i="12"/>
  <c r="N2625" i="12"/>
  <c r="N2626" i="12"/>
  <c r="N2627" i="12"/>
  <c r="N2628" i="12"/>
  <c r="N2629" i="12"/>
  <c r="N2630" i="12"/>
  <c r="N2631" i="12"/>
  <c r="N2632" i="12"/>
  <c r="N2633" i="12"/>
  <c r="N2634" i="12"/>
  <c r="N2635" i="12"/>
  <c r="N2636" i="12"/>
  <c r="N2637" i="12"/>
  <c r="N2638" i="12"/>
  <c r="N2639" i="12"/>
  <c r="N2640" i="12"/>
  <c r="N2641" i="12"/>
  <c r="N2642" i="12"/>
  <c r="N2643" i="12"/>
  <c r="N2644" i="12"/>
  <c r="N2645" i="12"/>
  <c r="N2646" i="12"/>
  <c r="N2647" i="12"/>
  <c r="N2648" i="12"/>
  <c r="N2649" i="12"/>
  <c r="N2650" i="12"/>
  <c r="N2651" i="12"/>
  <c r="N2652" i="12"/>
  <c r="N2653" i="12"/>
  <c r="N2654" i="12"/>
  <c r="N2655" i="12"/>
  <c r="N2656" i="12"/>
  <c r="N2657" i="12"/>
  <c r="N2658" i="12"/>
  <c r="N2659" i="12"/>
  <c r="N2660" i="12"/>
  <c r="N2661" i="12"/>
  <c r="N2662" i="12"/>
  <c r="N2663" i="12"/>
  <c r="N2664" i="12"/>
  <c r="N2665" i="12"/>
  <c r="N2666" i="12"/>
  <c r="N2667" i="12"/>
  <c r="N2668" i="12"/>
  <c r="N2669" i="12"/>
  <c r="N2670" i="12"/>
  <c r="N2671" i="12"/>
  <c r="N2672" i="12"/>
  <c r="N2673" i="12"/>
  <c r="N2674" i="12"/>
  <c r="N2675" i="12"/>
  <c r="N2676" i="12"/>
  <c r="N2677" i="12"/>
  <c r="N2678" i="12"/>
  <c r="N2679" i="12"/>
  <c r="N2680" i="12"/>
  <c r="N2681" i="12"/>
  <c r="N2682" i="12"/>
  <c r="N2683" i="12"/>
  <c r="N2684" i="12"/>
  <c r="N2685" i="12"/>
  <c r="N2686" i="12"/>
  <c r="N2687" i="12"/>
  <c r="N2688" i="12"/>
  <c r="N2689" i="12"/>
  <c r="N2690" i="12"/>
  <c r="N2691" i="12"/>
  <c r="N2692" i="12"/>
  <c r="N2693" i="12"/>
  <c r="N2694" i="12"/>
  <c r="N2695" i="12"/>
  <c r="N2696" i="12"/>
  <c r="N2697" i="12"/>
  <c r="N2698" i="12"/>
  <c r="N2699" i="12"/>
  <c r="N2700" i="12"/>
  <c r="N2701" i="12"/>
  <c r="N2702" i="12"/>
  <c r="N2703" i="12"/>
  <c r="N2704" i="12"/>
  <c r="N2705" i="12"/>
  <c r="N2706" i="12"/>
  <c r="N2707" i="12"/>
  <c r="N2708" i="12"/>
  <c r="N2709" i="12"/>
  <c r="N2710" i="12"/>
  <c r="N2711" i="12"/>
  <c r="N2712" i="12"/>
  <c r="N2713" i="12"/>
  <c r="N2714" i="12"/>
  <c r="N2715" i="12"/>
  <c r="N2716" i="12"/>
  <c r="N2717" i="12"/>
  <c r="N2718" i="12"/>
  <c r="N2719" i="12"/>
  <c r="N2720" i="12"/>
  <c r="N2721" i="12"/>
  <c r="N2722" i="12"/>
  <c r="N2723" i="12"/>
  <c r="N2724" i="12"/>
  <c r="N2725" i="12"/>
  <c r="N2726" i="12"/>
  <c r="N2727" i="12"/>
  <c r="N2728" i="12"/>
  <c r="N2729" i="12"/>
  <c r="N2730" i="12"/>
  <c r="N2731" i="12"/>
  <c r="N2732" i="12"/>
  <c r="N2733" i="12"/>
  <c r="N2734" i="12"/>
  <c r="N2735" i="12"/>
  <c r="N2736" i="12"/>
  <c r="N2737" i="12"/>
  <c r="N2738" i="12"/>
  <c r="N2739" i="12"/>
  <c r="N2740" i="12"/>
  <c r="N2741" i="12"/>
  <c r="N2742" i="12"/>
  <c r="N2743" i="12"/>
  <c r="N2744" i="12"/>
  <c r="N2745" i="12"/>
  <c r="N2746" i="12"/>
  <c r="N2747" i="12"/>
  <c r="N2748" i="12"/>
  <c r="N2749" i="12"/>
  <c r="N2750" i="12"/>
  <c r="N2751" i="12"/>
  <c r="N2752" i="12"/>
  <c r="N2753" i="12"/>
  <c r="N2754" i="12"/>
  <c r="N2755" i="12"/>
  <c r="N2756" i="12"/>
  <c r="N2757" i="12"/>
  <c r="N2758" i="12"/>
  <c r="N2759" i="12"/>
  <c r="N2760" i="12"/>
  <c r="N2761" i="12"/>
  <c r="N2762" i="12"/>
  <c r="N2763" i="12"/>
  <c r="N2764" i="12"/>
  <c r="N2765" i="12"/>
  <c r="N2766" i="12"/>
  <c r="N2767" i="12"/>
  <c r="N2768" i="12"/>
  <c r="N2769" i="12"/>
  <c r="N2770" i="12"/>
  <c r="N2771" i="12"/>
  <c r="N2772" i="12"/>
  <c r="N2773" i="12"/>
  <c r="N2774" i="12"/>
  <c r="N2775" i="12"/>
  <c r="N2776" i="12"/>
  <c r="N2777" i="12"/>
  <c r="N2778" i="12"/>
  <c r="N2779" i="12"/>
  <c r="N2780" i="12"/>
  <c r="N2781" i="12"/>
  <c r="N2782" i="12"/>
  <c r="N2783" i="12"/>
  <c r="N2784" i="12"/>
  <c r="N2785" i="12"/>
  <c r="N2786" i="12"/>
  <c r="N2787" i="12"/>
  <c r="N2788" i="12"/>
  <c r="N2789" i="12"/>
  <c r="N2790" i="12"/>
  <c r="N2791" i="12"/>
  <c r="N2792" i="12"/>
  <c r="N2793" i="12"/>
  <c r="N2794" i="12"/>
  <c r="N2795" i="12"/>
  <c r="N2796" i="12"/>
  <c r="N2797" i="12"/>
  <c r="N2798" i="12"/>
  <c r="N2799" i="12"/>
  <c r="N2800" i="12"/>
  <c r="N2801" i="12"/>
  <c r="N2802" i="12"/>
  <c r="N2803" i="12"/>
  <c r="N2804" i="12"/>
  <c r="N2805" i="12"/>
  <c r="N2806" i="12"/>
  <c r="N2807" i="12"/>
  <c r="N2808" i="12"/>
  <c r="N2809" i="12"/>
  <c r="N2810" i="12"/>
  <c r="N2811" i="12"/>
  <c r="N2812" i="12"/>
  <c r="N2813" i="12"/>
  <c r="N2814" i="12"/>
  <c r="N2815" i="12"/>
  <c r="N2816" i="12"/>
  <c r="N2817" i="12"/>
  <c r="N2818" i="12"/>
  <c r="N2819" i="12"/>
  <c r="N2820" i="12"/>
  <c r="N2821" i="12"/>
  <c r="N2822" i="12"/>
  <c r="N2823" i="12"/>
  <c r="N2824" i="12"/>
  <c r="N2825" i="12"/>
  <c r="N2826" i="12"/>
  <c r="N2827" i="12"/>
  <c r="N2828" i="12"/>
  <c r="N2829" i="12"/>
  <c r="N2830" i="12"/>
  <c r="N2831" i="12"/>
  <c r="N2832" i="12"/>
  <c r="N2833" i="12"/>
  <c r="N2834" i="12"/>
  <c r="N2835" i="12"/>
  <c r="N2836" i="12"/>
  <c r="N2837" i="12"/>
  <c r="N2838" i="12"/>
  <c r="N2839" i="12"/>
  <c r="N2840" i="12"/>
  <c r="N2841" i="12"/>
  <c r="N2842" i="12"/>
  <c r="N2843" i="12"/>
  <c r="N2844" i="12"/>
  <c r="N2845" i="12"/>
  <c r="N2846" i="12"/>
  <c r="N2847" i="12"/>
  <c r="N2848" i="12"/>
  <c r="N2849" i="12"/>
  <c r="N2850" i="12"/>
  <c r="N2851" i="12"/>
  <c r="N2852" i="12"/>
  <c r="N2853" i="12"/>
  <c r="N2854" i="12"/>
  <c r="N2855" i="12"/>
  <c r="N2856" i="12"/>
  <c r="N2857" i="12"/>
  <c r="N2858" i="12"/>
  <c r="N2859" i="12"/>
  <c r="N2860" i="12"/>
  <c r="N2861" i="12"/>
  <c r="N2862" i="12"/>
  <c r="N2863" i="12"/>
  <c r="N2864" i="12"/>
  <c r="N2865" i="12"/>
  <c r="N2866" i="12"/>
  <c r="N2867" i="12"/>
  <c r="N2868" i="12"/>
  <c r="N2869" i="12"/>
  <c r="N2870" i="12"/>
  <c r="N2871" i="12"/>
  <c r="N2872" i="12"/>
  <c r="N2873" i="12"/>
  <c r="N2874" i="12"/>
  <c r="N2875" i="12"/>
  <c r="N2876" i="12"/>
  <c r="N2877" i="12"/>
  <c r="N2878" i="12"/>
  <c r="N2879" i="12"/>
  <c r="N2880" i="12"/>
  <c r="N2881" i="12"/>
  <c r="N2882" i="12"/>
  <c r="N2883" i="12"/>
  <c r="N2884" i="12"/>
  <c r="N2885" i="12"/>
  <c r="N2886" i="12"/>
  <c r="N2887" i="12"/>
  <c r="N2888" i="12"/>
  <c r="N2889" i="12"/>
  <c r="N2890" i="12"/>
  <c r="N2891" i="12"/>
  <c r="N2892" i="12"/>
  <c r="N2893" i="12"/>
  <c r="N2894" i="12"/>
  <c r="N2895" i="12"/>
  <c r="N2896" i="12"/>
  <c r="N2897" i="12"/>
  <c r="N2898" i="12"/>
  <c r="N2899" i="12"/>
  <c r="N2900" i="12"/>
  <c r="N2901" i="12"/>
  <c r="N2902" i="12"/>
  <c r="N2903" i="12"/>
  <c r="N2904" i="12"/>
  <c r="N2905" i="12"/>
  <c r="N2906" i="12"/>
  <c r="N2907" i="12"/>
  <c r="N2908" i="12"/>
  <c r="N2909" i="12"/>
  <c r="N2910" i="12"/>
  <c r="N2911" i="12"/>
  <c r="N2912" i="12"/>
  <c r="N2913" i="12"/>
  <c r="N2914" i="12"/>
  <c r="N2915" i="12"/>
  <c r="N2916" i="12"/>
  <c r="N2917" i="12"/>
  <c r="N2918" i="12"/>
  <c r="N2919" i="12"/>
  <c r="N2920" i="12"/>
  <c r="N2921" i="12"/>
  <c r="N2922" i="12"/>
  <c r="N2923" i="12"/>
  <c r="N2924" i="12"/>
  <c r="N2925" i="12"/>
  <c r="N2926" i="12"/>
  <c r="N2927" i="12"/>
  <c r="N2928" i="12"/>
  <c r="N2929" i="12"/>
  <c r="N2930" i="12"/>
  <c r="N2931" i="12"/>
  <c r="N2932" i="12"/>
  <c r="N2933" i="12"/>
  <c r="N2934" i="12"/>
  <c r="N2935" i="12"/>
  <c r="N2936" i="12"/>
  <c r="N2937" i="12"/>
  <c r="N2938" i="12"/>
  <c r="N2939" i="12"/>
  <c r="N2940" i="12"/>
  <c r="N2941" i="12"/>
  <c r="N2942" i="12"/>
  <c r="N2943" i="12"/>
  <c r="N2944" i="12"/>
  <c r="N2945" i="12"/>
  <c r="N2946" i="12"/>
  <c r="N2947" i="12"/>
  <c r="N2948" i="12"/>
  <c r="N2949" i="12"/>
  <c r="N2950" i="12"/>
  <c r="N2951" i="12"/>
  <c r="N2952" i="12"/>
  <c r="N2953" i="12"/>
  <c r="N2954" i="12"/>
  <c r="N2955" i="12"/>
  <c r="N2956" i="12"/>
  <c r="N2957" i="12"/>
  <c r="N2958" i="12"/>
  <c r="N2959" i="12"/>
  <c r="N2960" i="12"/>
  <c r="N2961" i="12"/>
  <c r="N2962" i="12"/>
  <c r="N2963" i="12"/>
  <c r="N2964" i="12"/>
  <c r="N2965" i="12"/>
  <c r="N2966" i="12"/>
  <c r="N2967" i="12"/>
  <c r="N2968" i="12"/>
  <c r="N2969" i="12"/>
  <c r="N2970" i="12"/>
  <c r="N2971" i="12"/>
  <c r="N2972" i="12"/>
  <c r="N2973" i="12"/>
  <c r="N2974" i="12"/>
  <c r="N2975" i="12"/>
  <c r="N2976" i="12"/>
  <c r="N2977" i="12"/>
  <c r="N2978" i="12"/>
  <c r="N2979" i="12"/>
  <c r="N2980" i="12"/>
  <c r="N2981" i="12"/>
  <c r="N2982" i="12"/>
  <c r="N2983" i="12"/>
  <c r="N2984" i="12"/>
  <c r="N2985" i="12"/>
  <c r="N2986" i="12"/>
  <c r="N2987" i="12"/>
  <c r="N2988" i="12"/>
  <c r="N2989" i="12"/>
  <c r="N2990" i="12"/>
  <c r="N2991" i="12"/>
  <c r="N2992" i="12"/>
  <c r="N2993" i="12"/>
  <c r="N2994" i="12"/>
  <c r="N2995" i="12"/>
  <c r="N2996" i="12"/>
  <c r="N2997" i="12"/>
  <c r="N2998" i="12"/>
  <c r="N2999" i="12"/>
  <c r="N3000" i="12"/>
  <c r="N3001" i="12"/>
  <c r="N3002" i="12"/>
  <c r="N3003" i="12"/>
  <c r="N13" i="12"/>
  <c r="G13" i="12"/>
  <c r="Q8" i="13" l="1"/>
  <c r="S7" i="13"/>
  <c r="Q7" i="13" s="1"/>
  <c r="Q10" i="13"/>
  <c r="Q9" i="13"/>
  <c r="H35" i="12"/>
  <c r="H36" i="12"/>
  <c r="H37" i="12"/>
  <c r="H38" i="12"/>
  <c r="H39" i="12"/>
  <c r="H40" i="12"/>
  <c r="H41" i="12"/>
  <c r="H42" i="12"/>
  <c r="H43" i="12"/>
  <c r="H44" i="12"/>
  <c r="H45" i="12"/>
  <c r="H46" i="12"/>
  <c r="H47" i="12"/>
  <c r="H48" i="12"/>
  <c r="H49" i="12"/>
  <c r="H50" i="12"/>
  <c r="H51" i="12"/>
  <c r="H52" i="12"/>
  <c r="H53" i="12"/>
  <c r="H54" i="12"/>
  <c r="H55" i="12"/>
  <c r="H56" i="12"/>
  <c r="H57" i="12"/>
  <c r="H58" i="12"/>
  <c r="H59" i="12"/>
  <c r="H60" i="12"/>
  <c r="H61" i="12"/>
  <c r="H62" i="12"/>
  <c r="H63" i="12"/>
  <c r="H64" i="12"/>
  <c r="H65" i="12"/>
  <c r="H66" i="12"/>
  <c r="H67" i="12"/>
  <c r="H68" i="12"/>
  <c r="H69" i="12"/>
  <c r="H70" i="12"/>
  <c r="H71" i="12"/>
  <c r="H72" i="12"/>
  <c r="H73" i="12"/>
  <c r="H74" i="12"/>
  <c r="H75" i="12"/>
  <c r="H76" i="12"/>
  <c r="H77" i="12"/>
  <c r="H78" i="12"/>
  <c r="H79" i="12"/>
  <c r="H80" i="12"/>
  <c r="H81" i="12"/>
  <c r="H82" i="12"/>
  <c r="H83" i="12"/>
  <c r="H84" i="12"/>
  <c r="H85" i="12"/>
  <c r="H86" i="12"/>
  <c r="H87" i="12"/>
  <c r="H88" i="12"/>
  <c r="H89" i="12"/>
  <c r="H90" i="12"/>
  <c r="H91" i="12"/>
  <c r="H92" i="12"/>
  <c r="H93" i="12"/>
  <c r="H94" i="12"/>
  <c r="H95" i="12"/>
  <c r="H96" i="12"/>
  <c r="H97" i="12"/>
  <c r="H98" i="12"/>
  <c r="H99" i="12"/>
  <c r="H100" i="12"/>
  <c r="H101" i="12"/>
  <c r="H102" i="12"/>
  <c r="H103" i="12"/>
  <c r="H104" i="12"/>
  <c r="H105" i="12"/>
  <c r="H106" i="12"/>
  <c r="H107" i="12"/>
  <c r="H108" i="12"/>
  <c r="H109" i="12"/>
  <c r="H110" i="12"/>
  <c r="H111" i="12"/>
  <c r="H112" i="12"/>
  <c r="H113" i="12"/>
  <c r="H114" i="12"/>
  <c r="H115" i="12"/>
  <c r="H116" i="12"/>
  <c r="H117" i="12"/>
  <c r="H118" i="12"/>
  <c r="H119" i="12"/>
  <c r="H120" i="12"/>
  <c r="H121" i="12"/>
  <c r="H122" i="12"/>
  <c r="H123" i="12"/>
  <c r="H124" i="12"/>
  <c r="H125" i="12"/>
  <c r="H126" i="12"/>
  <c r="H127" i="12"/>
  <c r="H128" i="12"/>
  <c r="H129" i="12"/>
  <c r="H130" i="12"/>
  <c r="H131" i="12"/>
  <c r="H132" i="12"/>
  <c r="H133" i="12"/>
  <c r="H134" i="12"/>
  <c r="H135" i="12"/>
  <c r="H136" i="12"/>
  <c r="H137" i="12"/>
  <c r="H138" i="12"/>
  <c r="H139" i="12"/>
  <c r="H140" i="12"/>
  <c r="H141" i="12"/>
  <c r="H142" i="12"/>
  <c r="H143" i="12"/>
  <c r="H144" i="12"/>
  <c r="H145" i="12"/>
  <c r="H146" i="12"/>
  <c r="H147" i="12"/>
  <c r="H148" i="12"/>
  <c r="H149" i="12"/>
  <c r="H150" i="12"/>
  <c r="H151" i="12"/>
  <c r="H152" i="12"/>
  <c r="H153" i="12"/>
  <c r="H154" i="12"/>
  <c r="H155" i="12"/>
  <c r="H156" i="12"/>
  <c r="H157" i="12"/>
  <c r="H158" i="12"/>
  <c r="H159" i="12"/>
  <c r="H160" i="12"/>
  <c r="H161" i="12"/>
  <c r="H162" i="12"/>
  <c r="H163" i="12"/>
  <c r="H164" i="12"/>
  <c r="H165" i="12"/>
  <c r="H166" i="12"/>
  <c r="H167" i="12"/>
  <c r="H168" i="12"/>
  <c r="H169" i="12"/>
  <c r="H170" i="12"/>
  <c r="H171" i="12"/>
  <c r="H172" i="12"/>
  <c r="H173" i="12"/>
  <c r="H174" i="12"/>
  <c r="H175" i="12"/>
  <c r="H176" i="12"/>
  <c r="H177" i="12"/>
  <c r="H178" i="12"/>
  <c r="H179" i="12"/>
  <c r="H180" i="12"/>
  <c r="H181" i="12"/>
  <c r="H182" i="12"/>
  <c r="H183" i="12"/>
  <c r="H184" i="12"/>
  <c r="H185" i="12"/>
  <c r="H186" i="12"/>
  <c r="H187" i="12"/>
  <c r="H188" i="12"/>
  <c r="H189" i="12"/>
  <c r="H190" i="12"/>
  <c r="H191" i="12"/>
  <c r="H192" i="12"/>
  <c r="H193" i="12"/>
  <c r="H194" i="12"/>
  <c r="H195" i="12"/>
  <c r="H196" i="12"/>
  <c r="H197" i="12"/>
  <c r="H198" i="12"/>
  <c r="H199" i="12"/>
  <c r="H200" i="12"/>
  <c r="H201" i="12"/>
  <c r="H202" i="12"/>
  <c r="H203" i="12"/>
  <c r="H204" i="12"/>
  <c r="H205" i="12"/>
  <c r="H206" i="12"/>
  <c r="H207" i="12"/>
  <c r="H208" i="12"/>
  <c r="H209" i="12"/>
  <c r="H210" i="12"/>
  <c r="H211" i="12"/>
  <c r="H212" i="12"/>
  <c r="H213" i="12"/>
  <c r="H214" i="12"/>
  <c r="H215" i="12"/>
  <c r="H216" i="12"/>
  <c r="H217" i="12"/>
  <c r="H218" i="12"/>
  <c r="H219" i="12"/>
  <c r="H220" i="12"/>
  <c r="H221" i="12"/>
  <c r="H222" i="12"/>
  <c r="H223" i="12"/>
  <c r="H224" i="12"/>
  <c r="H225" i="12"/>
  <c r="H226" i="12"/>
  <c r="H227" i="12"/>
  <c r="H228" i="12"/>
  <c r="H229" i="12"/>
  <c r="H230" i="12"/>
  <c r="H231" i="12"/>
  <c r="H232" i="12"/>
  <c r="H233" i="12"/>
  <c r="H234" i="12"/>
  <c r="H235" i="12"/>
  <c r="H236" i="12"/>
  <c r="H237" i="12"/>
  <c r="H238" i="12"/>
  <c r="H239" i="12"/>
  <c r="H240" i="12"/>
  <c r="H241" i="12"/>
  <c r="H242" i="12"/>
  <c r="H243" i="12"/>
  <c r="H244" i="12"/>
  <c r="H245" i="12"/>
  <c r="H246" i="12"/>
  <c r="H247" i="12"/>
  <c r="H248" i="12"/>
  <c r="H249" i="12"/>
  <c r="H250" i="12"/>
  <c r="H251" i="12"/>
  <c r="H252" i="12"/>
  <c r="H253" i="12"/>
  <c r="H254" i="12"/>
  <c r="H255" i="12"/>
  <c r="H256" i="12"/>
  <c r="H257" i="12"/>
  <c r="H258" i="12"/>
  <c r="H259" i="12"/>
  <c r="H260" i="12"/>
  <c r="H261" i="12"/>
  <c r="H262" i="12"/>
  <c r="H263" i="12"/>
  <c r="H264" i="12"/>
  <c r="H265" i="12"/>
  <c r="H266" i="12"/>
  <c r="H267" i="12"/>
  <c r="H268" i="12"/>
  <c r="H269" i="12"/>
  <c r="H270" i="12"/>
  <c r="H271" i="12"/>
  <c r="H272" i="12"/>
  <c r="H273" i="12"/>
  <c r="H274" i="12"/>
  <c r="H275" i="12"/>
  <c r="H276" i="12"/>
  <c r="H277" i="12"/>
  <c r="H278" i="12"/>
  <c r="H279" i="12"/>
  <c r="H280" i="12"/>
  <c r="H281" i="12"/>
  <c r="H282" i="12"/>
  <c r="H283" i="12"/>
  <c r="H284" i="12"/>
  <c r="H285" i="12"/>
  <c r="H286" i="12"/>
  <c r="H287" i="12"/>
  <c r="H288" i="12"/>
  <c r="H289" i="12"/>
  <c r="H290" i="12"/>
  <c r="H291" i="12"/>
  <c r="H292" i="12"/>
  <c r="H293" i="12"/>
  <c r="H294" i="12"/>
  <c r="H295" i="12"/>
  <c r="H296" i="12"/>
  <c r="H297" i="12"/>
  <c r="H298" i="12"/>
  <c r="H299" i="12"/>
  <c r="H300" i="12"/>
  <c r="H301" i="12"/>
  <c r="H302" i="12"/>
  <c r="H303" i="12"/>
  <c r="H304" i="12"/>
  <c r="H305" i="12"/>
  <c r="H306" i="12"/>
  <c r="H307" i="12"/>
  <c r="H308" i="12"/>
  <c r="H309" i="12"/>
  <c r="H310" i="12"/>
  <c r="H311" i="12"/>
  <c r="H312" i="12"/>
  <c r="H313" i="12"/>
  <c r="H314" i="12"/>
  <c r="H315" i="12"/>
  <c r="H316" i="12"/>
  <c r="H317" i="12"/>
  <c r="H318" i="12"/>
  <c r="H319" i="12"/>
  <c r="H320" i="12"/>
  <c r="H321" i="12"/>
  <c r="H322" i="12"/>
  <c r="H323" i="12"/>
  <c r="H324" i="12"/>
  <c r="H325" i="12"/>
  <c r="H326" i="12"/>
  <c r="H327" i="12"/>
  <c r="H328" i="12"/>
  <c r="H329" i="12"/>
  <c r="H330" i="12"/>
  <c r="H331" i="12"/>
  <c r="H332" i="12"/>
  <c r="H333" i="12"/>
  <c r="H334" i="12"/>
  <c r="H335" i="12"/>
  <c r="H336" i="12"/>
  <c r="H337" i="12"/>
  <c r="H338" i="12"/>
  <c r="H339" i="12"/>
  <c r="H340" i="12"/>
  <c r="H341" i="12"/>
  <c r="H342" i="12"/>
  <c r="H343" i="12"/>
  <c r="H344" i="12"/>
  <c r="H345" i="12"/>
  <c r="H346" i="12"/>
  <c r="H347" i="12"/>
  <c r="H348" i="12"/>
  <c r="H349" i="12"/>
  <c r="H350" i="12"/>
  <c r="H351" i="12"/>
  <c r="H352" i="12"/>
  <c r="H353" i="12"/>
  <c r="H354" i="12"/>
  <c r="H355" i="12"/>
  <c r="H356" i="12"/>
  <c r="H357" i="12"/>
  <c r="H358" i="12"/>
  <c r="H359" i="12"/>
  <c r="H360" i="12"/>
  <c r="H361" i="12"/>
  <c r="H362" i="12"/>
  <c r="H363" i="12"/>
  <c r="H364" i="12"/>
  <c r="H365" i="12"/>
  <c r="H366" i="12"/>
  <c r="H367" i="12"/>
  <c r="H368" i="12"/>
  <c r="H369" i="12"/>
  <c r="H370" i="12"/>
  <c r="H371" i="12"/>
  <c r="H372" i="12"/>
  <c r="H373" i="12"/>
  <c r="H374" i="12"/>
  <c r="H375" i="12"/>
  <c r="H376" i="12"/>
  <c r="H377" i="12"/>
  <c r="H378" i="12"/>
  <c r="H379" i="12"/>
  <c r="H380" i="12"/>
  <c r="H381" i="12"/>
  <c r="H382" i="12"/>
  <c r="H383" i="12"/>
  <c r="H384" i="12"/>
  <c r="H385" i="12"/>
  <c r="H386" i="12"/>
  <c r="H387" i="12"/>
  <c r="H388" i="12"/>
  <c r="H389" i="12"/>
  <c r="H390" i="12"/>
  <c r="H391" i="12"/>
  <c r="H392" i="12"/>
  <c r="H393" i="12"/>
  <c r="H394" i="12"/>
  <c r="H395" i="12"/>
  <c r="H396" i="12"/>
  <c r="H397" i="12"/>
  <c r="H398" i="12"/>
  <c r="H399" i="12"/>
  <c r="H400" i="12"/>
  <c r="H401" i="12"/>
  <c r="H402" i="12"/>
  <c r="H403" i="12"/>
  <c r="H404" i="12"/>
  <c r="H405" i="12"/>
  <c r="H406" i="12"/>
  <c r="H407" i="12"/>
  <c r="H408" i="12"/>
  <c r="H409" i="12"/>
  <c r="H410" i="12"/>
  <c r="H411" i="12"/>
  <c r="H412" i="12"/>
  <c r="H413" i="12"/>
  <c r="H414" i="12"/>
  <c r="H415" i="12"/>
  <c r="H416" i="12"/>
  <c r="H417" i="12"/>
  <c r="H418" i="12"/>
  <c r="H419" i="12"/>
  <c r="H420" i="12"/>
  <c r="H421" i="12"/>
  <c r="H422" i="12"/>
  <c r="H423" i="12"/>
  <c r="H424" i="12"/>
  <c r="H425" i="12"/>
  <c r="H426" i="12"/>
  <c r="H427" i="12"/>
  <c r="H428" i="12"/>
  <c r="H429" i="12"/>
  <c r="H430" i="12"/>
  <c r="H431" i="12"/>
  <c r="H432" i="12"/>
  <c r="H433" i="12"/>
  <c r="H434" i="12"/>
  <c r="H435" i="12"/>
  <c r="H436" i="12"/>
  <c r="H437" i="12"/>
  <c r="H438" i="12"/>
  <c r="H439" i="12"/>
  <c r="H440" i="12"/>
  <c r="H441" i="12"/>
  <c r="H442" i="12"/>
  <c r="H443" i="12"/>
  <c r="H444" i="12"/>
  <c r="H445" i="12"/>
  <c r="H446" i="12"/>
  <c r="H447" i="12"/>
  <c r="H448" i="12"/>
  <c r="H449" i="12"/>
  <c r="H450" i="12"/>
  <c r="H451" i="12"/>
  <c r="H452" i="12"/>
  <c r="H453" i="12"/>
  <c r="H454" i="12"/>
  <c r="H455" i="12"/>
  <c r="H456" i="12"/>
  <c r="H457" i="12"/>
  <c r="H458" i="12"/>
  <c r="H459" i="12"/>
  <c r="H460" i="12"/>
  <c r="H461" i="12"/>
  <c r="H462" i="12"/>
  <c r="H463" i="12"/>
  <c r="H464" i="12"/>
  <c r="H465" i="12"/>
  <c r="H466" i="12"/>
  <c r="H467" i="12"/>
  <c r="H468" i="12"/>
  <c r="H469" i="12"/>
  <c r="H470" i="12"/>
  <c r="H471" i="12"/>
  <c r="H472" i="12"/>
  <c r="H473" i="12"/>
  <c r="H474" i="12"/>
  <c r="H475" i="12"/>
  <c r="H476" i="12"/>
  <c r="H477" i="12"/>
  <c r="H478" i="12"/>
  <c r="H479" i="12"/>
  <c r="H480" i="12"/>
  <c r="H481" i="12"/>
  <c r="H482" i="12"/>
  <c r="H483" i="12"/>
  <c r="H484" i="12"/>
  <c r="H485" i="12"/>
  <c r="H486" i="12"/>
  <c r="H487" i="12"/>
  <c r="H488" i="12"/>
  <c r="H489" i="12"/>
  <c r="H490" i="12"/>
  <c r="H491" i="12"/>
  <c r="H492" i="12"/>
  <c r="H493" i="12"/>
  <c r="H494" i="12"/>
  <c r="H495" i="12"/>
  <c r="H496" i="12"/>
  <c r="H497" i="12"/>
  <c r="H498" i="12"/>
  <c r="H499" i="12"/>
  <c r="H500" i="12"/>
  <c r="H501" i="12"/>
  <c r="H502" i="12"/>
  <c r="H503" i="12"/>
  <c r="H504" i="12"/>
  <c r="H505" i="12"/>
  <c r="H506" i="12"/>
  <c r="H507" i="12"/>
  <c r="H508" i="12"/>
  <c r="H509" i="12"/>
  <c r="H510" i="12"/>
  <c r="H511" i="12"/>
  <c r="H512" i="12"/>
  <c r="H513" i="12"/>
  <c r="H514" i="12"/>
  <c r="H515" i="12"/>
  <c r="H516" i="12"/>
  <c r="H517" i="12"/>
  <c r="H518" i="12"/>
  <c r="H519" i="12"/>
  <c r="H520" i="12"/>
  <c r="H521" i="12"/>
  <c r="H522" i="12"/>
  <c r="H523" i="12"/>
  <c r="H524" i="12"/>
  <c r="H525" i="12"/>
  <c r="H526" i="12"/>
  <c r="H527" i="12"/>
  <c r="H528" i="12"/>
  <c r="H529" i="12"/>
  <c r="H530" i="12"/>
  <c r="H531" i="12"/>
  <c r="H532" i="12"/>
  <c r="H533" i="12"/>
  <c r="H534" i="12"/>
  <c r="H535" i="12"/>
  <c r="H536" i="12"/>
  <c r="H537" i="12"/>
  <c r="H538" i="12"/>
  <c r="H539" i="12"/>
  <c r="H540" i="12"/>
  <c r="H541" i="12"/>
  <c r="H542" i="12"/>
  <c r="H543" i="12"/>
  <c r="H544" i="12"/>
  <c r="H545" i="12"/>
  <c r="H546" i="12"/>
  <c r="H547" i="12"/>
  <c r="H548" i="12"/>
  <c r="H549" i="12"/>
  <c r="H550" i="12"/>
  <c r="H551" i="12"/>
  <c r="H552" i="12"/>
  <c r="H553" i="12"/>
  <c r="H554" i="12"/>
  <c r="H555" i="12"/>
  <c r="H556" i="12"/>
  <c r="H557" i="12"/>
  <c r="H558" i="12"/>
  <c r="H559" i="12"/>
  <c r="H560" i="12"/>
  <c r="H561" i="12"/>
  <c r="H562" i="12"/>
  <c r="H563" i="12"/>
  <c r="H564" i="12"/>
  <c r="H565" i="12"/>
  <c r="H566" i="12"/>
  <c r="H567" i="12"/>
  <c r="H568" i="12"/>
  <c r="H569" i="12"/>
  <c r="H570" i="12"/>
  <c r="H571" i="12"/>
  <c r="H572" i="12"/>
  <c r="H573" i="12"/>
  <c r="H574" i="12"/>
  <c r="H575" i="12"/>
  <c r="H576" i="12"/>
  <c r="H577" i="12"/>
  <c r="H578" i="12"/>
  <c r="H579" i="12"/>
  <c r="H580" i="12"/>
  <c r="H581" i="12"/>
  <c r="H582" i="12"/>
  <c r="H583" i="12"/>
  <c r="H584" i="12"/>
  <c r="H585" i="12"/>
  <c r="H586" i="12"/>
  <c r="H587" i="12"/>
  <c r="H588" i="12"/>
  <c r="H589" i="12"/>
  <c r="H590" i="12"/>
  <c r="H591" i="12"/>
  <c r="H592" i="12"/>
  <c r="H593" i="12"/>
  <c r="H594" i="12"/>
  <c r="H595" i="12"/>
  <c r="H596" i="12"/>
  <c r="H597" i="12"/>
  <c r="H598" i="12"/>
  <c r="H599" i="12"/>
  <c r="H600" i="12"/>
  <c r="H601" i="12"/>
  <c r="H602" i="12"/>
  <c r="H603" i="12"/>
  <c r="H604" i="12"/>
  <c r="H605" i="12"/>
  <c r="H606" i="12"/>
  <c r="H607" i="12"/>
  <c r="H608" i="12"/>
  <c r="H609" i="12"/>
  <c r="H610" i="12"/>
  <c r="H611" i="12"/>
  <c r="H612" i="12"/>
  <c r="H613" i="12"/>
  <c r="H614" i="12"/>
  <c r="H615" i="12"/>
  <c r="H616" i="12"/>
  <c r="H617" i="12"/>
  <c r="H618" i="12"/>
  <c r="H619" i="12"/>
  <c r="H620" i="12"/>
  <c r="H621" i="12"/>
  <c r="H622" i="12"/>
  <c r="H623" i="12"/>
  <c r="H624" i="12"/>
  <c r="H625" i="12"/>
  <c r="H626" i="12"/>
  <c r="H627" i="12"/>
  <c r="H628" i="12"/>
  <c r="H629" i="12"/>
  <c r="H630" i="12"/>
  <c r="H631" i="12"/>
  <c r="H632" i="12"/>
  <c r="H633" i="12"/>
  <c r="H634" i="12"/>
  <c r="H635" i="12"/>
  <c r="H636" i="12"/>
  <c r="H637" i="12"/>
  <c r="H638" i="12"/>
  <c r="H639" i="12"/>
  <c r="H640" i="12"/>
  <c r="H641" i="12"/>
  <c r="H642" i="12"/>
  <c r="H643" i="12"/>
  <c r="H644" i="12"/>
  <c r="H645" i="12"/>
  <c r="H646" i="12"/>
  <c r="H647" i="12"/>
  <c r="H648" i="12"/>
  <c r="H649" i="12"/>
  <c r="H650" i="12"/>
  <c r="H651" i="12"/>
  <c r="H652" i="12"/>
  <c r="H653" i="12"/>
  <c r="H654" i="12"/>
  <c r="H655" i="12"/>
  <c r="H656" i="12"/>
  <c r="H657" i="12"/>
  <c r="H658" i="12"/>
  <c r="H659" i="12"/>
  <c r="H660" i="12"/>
  <c r="H661" i="12"/>
  <c r="H662" i="12"/>
  <c r="H663" i="12"/>
  <c r="H664" i="12"/>
  <c r="H665" i="12"/>
  <c r="H666" i="12"/>
  <c r="H667" i="12"/>
  <c r="H668" i="12"/>
  <c r="H669" i="12"/>
  <c r="H670" i="12"/>
  <c r="H671" i="12"/>
  <c r="H672" i="12"/>
  <c r="H673" i="12"/>
  <c r="H674" i="12"/>
  <c r="H675" i="12"/>
  <c r="H676" i="12"/>
  <c r="H677" i="12"/>
  <c r="H678" i="12"/>
  <c r="H679" i="12"/>
  <c r="H680" i="12"/>
  <c r="H681" i="12"/>
  <c r="H682" i="12"/>
  <c r="H683" i="12"/>
  <c r="H684" i="12"/>
  <c r="H685" i="12"/>
  <c r="H686" i="12"/>
  <c r="H687" i="12"/>
  <c r="H688" i="12"/>
  <c r="H689" i="12"/>
  <c r="H690" i="12"/>
  <c r="H691" i="12"/>
  <c r="H692" i="12"/>
  <c r="H693" i="12"/>
  <c r="H694" i="12"/>
  <c r="H695" i="12"/>
  <c r="H696" i="12"/>
  <c r="H697" i="12"/>
  <c r="H698" i="12"/>
  <c r="H699" i="12"/>
  <c r="H700" i="12"/>
  <c r="H701" i="12"/>
  <c r="H702" i="12"/>
  <c r="H703" i="12"/>
  <c r="H704" i="12"/>
  <c r="H705" i="12"/>
  <c r="H706" i="12"/>
  <c r="H707" i="12"/>
  <c r="H708" i="12"/>
  <c r="H709" i="12"/>
  <c r="H710" i="12"/>
  <c r="H711" i="12"/>
  <c r="H712" i="12"/>
  <c r="H713" i="12"/>
  <c r="H714" i="12"/>
  <c r="H715" i="12"/>
  <c r="H716" i="12"/>
  <c r="H717" i="12"/>
  <c r="H718" i="12"/>
  <c r="H719" i="12"/>
  <c r="H720" i="12"/>
  <c r="H721" i="12"/>
  <c r="H722" i="12"/>
  <c r="H723" i="12"/>
  <c r="H724" i="12"/>
  <c r="H725" i="12"/>
  <c r="H726" i="12"/>
  <c r="H727" i="12"/>
  <c r="H728" i="12"/>
  <c r="H729" i="12"/>
  <c r="H730" i="12"/>
  <c r="H731" i="12"/>
  <c r="H732" i="12"/>
  <c r="H733" i="12"/>
  <c r="H734" i="12"/>
  <c r="H735" i="12"/>
  <c r="H736" i="12"/>
  <c r="H737" i="12"/>
  <c r="H738" i="12"/>
  <c r="H739" i="12"/>
  <c r="H740" i="12"/>
  <c r="H741" i="12"/>
  <c r="H742" i="12"/>
  <c r="H743" i="12"/>
  <c r="H744" i="12"/>
  <c r="H745" i="12"/>
  <c r="H746" i="12"/>
  <c r="H747" i="12"/>
  <c r="H748" i="12"/>
  <c r="H749" i="12"/>
  <c r="H750" i="12"/>
  <c r="H751" i="12"/>
  <c r="H752" i="12"/>
  <c r="H753" i="12"/>
  <c r="H754" i="12"/>
  <c r="H755" i="12"/>
  <c r="H756" i="12"/>
  <c r="H757" i="12"/>
  <c r="H758" i="12"/>
  <c r="H759" i="12"/>
  <c r="H760" i="12"/>
  <c r="H761" i="12"/>
  <c r="H762" i="12"/>
  <c r="H763" i="12"/>
  <c r="H764" i="12"/>
  <c r="H765" i="12"/>
  <c r="H766" i="12"/>
  <c r="H767" i="12"/>
  <c r="H768" i="12"/>
  <c r="H769" i="12"/>
  <c r="H770" i="12"/>
  <c r="H771" i="12"/>
  <c r="H772" i="12"/>
  <c r="H773" i="12"/>
  <c r="H774" i="12"/>
  <c r="H775" i="12"/>
  <c r="H776" i="12"/>
  <c r="H777" i="12"/>
  <c r="H778" i="12"/>
  <c r="H779" i="12"/>
  <c r="H780" i="12"/>
  <c r="H781" i="12"/>
  <c r="H782" i="12"/>
  <c r="H783" i="12"/>
  <c r="H784" i="12"/>
  <c r="H785" i="12"/>
  <c r="H786" i="12"/>
  <c r="H787" i="12"/>
  <c r="H788" i="12"/>
  <c r="H789" i="12"/>
  <c r="H790" i="12"/>
  <c r="H791" i="12"/>
  <c r="H792" i="12"/>
  <c r="H793" i="12"/>
  <c r="H794" i="12"/>
  <c r="H795" i="12"/>
  <c r="H796" i="12"/>
  <c r="H797" i="12"/>
  <c r="H798" i="12"/>
  <c r="H799" i="12"/>
  <c r="H800" i="12"/>
  <c r="H801" i="12"/>
  <c r="H802" i="12"/>
  <c r="H803" i="12"/>
  <c r="H804" i="12"/>
  <c r="H805" i="12"/>
  <c r="H806" i="12"/>
  <c r="H807" i="12"/>
  <c r="H808" i="12"/>
  <c r="H809" i="12"/>
  <c r="H810" i="12"/>
  <c r="H811" i="12"/>
  <c r="H812" i="12"/>
  <c r="H813" i="12"/>
  <c r="H814" i="12"/>
  <c r="H815" i="12"/>
  <c r="H816" i="12"/>
  <c r="H817" i="12"/>
  <c r="H818" i="12"/>
  <c r="H819" i="12"/>
  <c r="H820" i="12"/>
  <c r="H821" i="12"/>
  <c r="H822" i="12"/>
  <c r="H823" i="12"/>
  <c r="H824" i="12"/>
  <c r="H825" i="12"/>
  <c r="H826" i="12"/>
  <c r="H827" i="12"/>
  <c r="H828" i="12"/>
  <c r="H829" i="12"/>
  <c r="H830" i="12"/>
  <c r="H831" i="12"/>
  <c r="H832" i="12"/>
  <c r="H833" i="12"/>
  <c r="H834" i="12"/>
  <c r="H835" i="12"/>
  <c r="H836" i="12"/>
  <c r="H837" i="12"/>
  <c r="H838" i="12"/>
  <c r="H839" i="12"/>
  <c r="H840" i="12"/>
  <c r="H841" i="12"/>
  <c r="H842" i="12"/>
  <c r="H843" i="12"/>
  <c r="H844" i="12"/>
  <c r="H845" i="12"/>
  <c r="H846" i="12"/>
  <c r="H847" i="12"/>
  <c r="H848" i="12"/>
  <c r="H849" i="12"/>
  <c r="H850" i="12"/>
  <c r="H851" i="12"/>
  <c r="H852" i="12"/>
  <c r="H853" i="12"/>
  <c r="H854" i="12"/>
  <c r="H855" i="12"/>
  <c r="H856" i="12"/>
  <c r="H857" i="12"/>
  <c r="H858" i="12"/>
  <c r="H859" i="12"/>
  <c r="H860" i="12"/>
  <c r="H861" i="12"/>
  <c r="H862" i="12"/>
  <c r="H863" i="12"/>
  <c r="H864" i="12"/>
  <c r="H865" i="12"/>
  <c r="H866" i="12"/>
  <c r="H867" i="12"/>
  <c r="H868" i="12"/>
  <c r="H869" i="12"/>
  <c r="H870" i="12"/>
  <c r="H871" i="12"/>
  <c r="H872" i="12"/>
  <c r="H873" i="12"/>
  <c r="H874" i="12"/>
  <c r="H875" i="12"/>
  <c r="H876" i="12"/>
  <c r="H877" i="12"/>
  <c r="H878" i="12"/>
  <c r="H879" i="12"/>
  <c r="H880" i="12"/>
  <c r="H881" i="12"/>
  <c r="H882" i="12"/>
  <c r="H883" i="12"/>
  <c r="H884" i="12"/>
  <c r="H885" i="12"/>
  <c r="H886" i="12"/>
  <c r="H887" i="12"/>
  <c r="H888" i="12"/>
  <c r="H889" i="12"/>
  <c r="H890" i="12"/>
  <c r="H891" i="12"/>
  <c r="H892" i="12"/>
  <c r="H893" i="12"/>
  <c r="H894" i="12"/>
  <c r="H895" i="12"/>
  <c r="H896" i="12"/>
  <c r="H897" i="12"/>
  <c r="H898" i="12"/>
  <c r="H899" i="12"/>
  <c r="H900" i="12"/>
  <c r="H901" i="12"/>
  <c r="H902" i="12"/>
  <c r="H903" i="12"/>
  <c r="H904" i="12"/>
  <c r="H905" i="12"/>
  <c r="H906" i="12"/>
  <c r="H907" i="12"/>
  <c r="H908" i="12"/>
  <c r="H909" i="12"/>
  <c r="H910" i="12"/>
  <c r="H911" i="12"/>
  <c r="H912" i="12"/>
  <c r="H913" i="12"/>
  <c r="H914" i="12"/>
  <c r="H915" i="12"/>
  <c r="H916" i="12"/>
  <c r="H917" i="12"/>
  <c r="H918" i="12"/>
  <c r="H919" i="12"/>
  <c r="H920" i="12"/>
  <c r="H921" i="12"/>
  <c r="H922" i="12"/>
  <c r="H923" i="12"/>
  <c r="H924" i="12"/>
  <c r="H925" i="12"/>
  <c r="H926" i="12"/>
  <c r="H927" i="12"/>
  <c r="H928" i="12"/>
  <c r="H929" i="12"/>
  <c r="H930" i="12"/>
  <c r="H931" i="12"/>
  <c r="H932" i="12"/>
  <c r="H933" i="12"/>
  <c r="H934" i="12"/>
  <c r="H935" i="12"/>
  <c r="H936" i="12"/>
  <c r="H937" i="12"/>
  <c r="H938" i="12"/>
  <c r="H939" i="12"/>
  <c r="H940" i="12"/>
  <c r="H941" i="12"/>
  <c r="H942" i="12"/>
  <c r="H943" i="12"/>
  <c r="H944" i="12"/>
  <c r="H945" i="12"/>
  <c r="H946" i="12"/>
  <c r="H947" i="12"/>
  <c r="H948" i="12"/>
  <c r="H949" i="12"/>
  <c r="H950" i="12"/>
  <c r="H951" i="12"/>
  <c r="H952" i="12"/>
  <c r="H953" i="12"/>
  <c r="H954" i="12"/>
  <c r="H955" i="12"/>
  <c r="H956" i="12"/>
  <c r="H957" i="12"/>
  <c r="H958" i="12"/>
  <c r="H959" i="12"/>
  <c r="H960" i="12"/>
  <c r="H961" i="12"/>
  <c r="H962" i="12"/>
  <c r="H963" i="12"/>
  <c r="H964" i="12"/>
  <c r="H965" i="12"/>
  <c r="H966" i="12"/>
  <c r="H967" i="12"/>
  <c r="H968" i="12"/>
  <c r="H969" i="12"/>
  <c r="H970" i="12"/>
  <c r="H971" i="12"/>
  <c r="H972" i="12"/>
  <c r="H973" i="12"/>
  <c r="H974" i="12"/>
  <c r="H975" i="12"/>
  <c r="H976" i="12"/>
  <c r="H977" i="12"/>
  <c r="H978" i="12"/>
  <c r="H979" i="12"/>
  <c r="H980" i="12"/>
  <c r="H981" i="12"/>
  <c r="H982" i="12"/>
  <c r="H983" i="12"/>
  <c r="H984" i="12"/>
  <c r="H985" i="12"/>
  <c r="H986" i="12"/>
  <c r="H987" i="12"/>
  <c r="H988" i="12"/>
  <c r="H989" i="12"/>
  <c r="H990" i="12"/>
  <c r="H991" i="12"/>
  <c r="H992" i="12"/>
  <c r="H993" i="12"/>
  <c r="H994" i="12"/>
  <c r="H995" i="12"/>
  <c r="H996" i="12"/>
  <c r="H997" i="12"/>
  <c r="H998" i="12"/>
  <c r="H999" i="12"/>
  <c r="H1000" i="12"/>
  <c r="H1001" i="12"/>
  <c r="H1002" i="12"/>
  <c r="H1003" i="12"/>
  <c r="H1004" i="12"/>
  <c r="H1005" i="12"/>
  <c r="H1006" i="12"/>
  <c r="H1007" i="12"/>
  <c r="H1008" i="12"/>
  <c r="H1009" i="12"/>
  <c r="H1010" i="12"/>
  <c r="H1011" i="12"/>
  <c r="H1012" i="12"/>
  <c r="H1013" i="12"/>
  <c r="H1014" i="12"/>
  <c r="H1015" i="12"/>
  <c r="H1016" i="12"/>
  <c r="H1017" i="12"/>
  <c r="H1018" i="12"/>
  <c r="H1019" i="12"/>
  <c r="H1020" i="12"/>
  <c r="H1021" i="12"/>
  <c r="H1022" i="12"/>
  <c r="H1023" i="12"/>
  <c r="H1024" i="12"/>
  <c r="H1025" i="12"/>
  <c r="H1026" i="12"/>
  <c r="H1027" i="12"/>
  <c r="H1028" i="12"/>
  <c r="H1029" i="12"/>
  <c r="H1030" i="12"/>
  <c r="H1031" i="12"/>
  <c r="H1032" i="12"/>
  <c r="H1033" i="12"/>
  <c r="H1034" i="12"/>
  <c r="H1035" i="12"/>
  <c r="H1036" i="12"/>
  <c r="H1037" i="12"/>
  <c r="H1038" i="12"/>
  <c r="H1039" i="12"/>
  <c r="H1040" i="12"/>
  <c r="H1041" i="12"/>
  <c r="H1042" i="12"/>
  <c r="H1043" i="12"/>
  <c r="H1044" i="12"/>
  <c r="H1045" i="12"/>
  <c r="H1046" i="12"/>
  <c r="H1047" i="12"/>
  <c r="H1048" i="12"/>
  <c r="H1049" i="12"/>
  <c r="H1050" i="12"/>
  <c r="H1051" i="12"/>
  <c r="H1052" i="12"/>
  <c r="H1053" i="12"/>
  <c r="H1054" i="12"/>
  <c r="H1055" i="12"/>
  <c r="H1056" i="12"/>
  <c r="H1057" i="12"/>
  <c r="H1058" i="12"/>
  <c r="H1059" i="12"/>
  <c r="H1060" i="12"/>
  <c r="H1061" i="12"/>
  <c r="H1062" i="12"/>
  <c r="H1063" i="12"/>
  <c r="H1064" i="12"/>
  <c r="H1065" i="12"/>
  <c r="H1066" i="12"/>
  <c r="H1067" i="12"/>
  <c r="H1068" i="12"/>
  <c r="H1069" i="12"/>
  <c r="H1070" i="12"/>
  <c r="H1071" i="12"/>
  <c r="H1072" i="12"/>
  <c r="H1073" i="12"/>
  <c r="H1074" i="12"/>
  <c r="H1075" i="12"/>
  <c r="H1076" i="12"/>
  <c r="H1077" i="12"/>
  <c r="H1078" i="12"/>
  <c r="H1079" i="12"/>
  <c r="H1080" i="12"/>
  <c r="H1081" i="12"/>
  <c r="H1082" i="12"/>
  <c r="H1083" i="12"/>
  <c r="H1084" i="12"/>
  <c r="H1085" i="12"/>
  <c r="H1086" i="12"/>
  <c r="H1087" i="12"/>
  <c r="H1088" i="12"/>
  <c r="H1089" i="12"/>
  <c r="H1090" i="12"/>
  <c r="H1091" i="12"/>
  <c r="H1092" i="12"/>
  <c r="H1093" i="12"/>
  <c r="H1094" i="12"/>
  <c r="H1095" i="12"/>
  <c r="H1096" i="12"/>
  <c r="H1097" i="12"/>
  <c r="H1098" i="12"/>
  <c r="H1099" i="12"/>
  <c r="H1100" i="12"/>
  <c r="H1101" i="12"/>
  <c r="H1102" i="12"/>
  <c r="H1103" i="12"/>
  <c r="H1104" i="12"/>
  <c r="H1105" i="12"/>
  <c r="H1106" i="12"/>
  <c r="H1107" i="12"/>
  <c r="H1108" i="12"/>
  <c r="H1109" i="12"/>
  <c r="H1110" i="12"/>
  <c r="H1111" i="12"/>
  <c r="H1112" i="12"/>
  <c r="H1113" i="12"/>
  <c r="H1114" i="12"/>
  <c r="H1115" i="12"/>
  <c r="H1116" i="12"/>
  <c r="H1117" i="12"/>
  <c r="H1118" i="12"/>
  <c r="H1119" i="12"/>
  <c r="H1120" i="12"/>
  <c r="H1121" i="12"/>
  <c r="H1122" i="12"/>
  <c r="H1123" i="12"/>
  <c r="H1124" i="12"/>
  <c r="H1125" i="12"/>
  <c r="H1126" i="12"/>
  <c r="H1127" i="12"/>
  <c r="H1128" i="12"/>
  <c r="H1129" i="12"/>
  <c r="H1130" i="12"/>
  <c r="H1131" i="12"/>
  <c r="H1132" i="12"/>
  <c r="H1133" i="12"/>
  <c r="H1134" i="12"/>
  <c r="H1135" i="12"/>
  <c r="H1136" i="12"/>
  <c r="H1137" i="12"/>
  <c r="H1138" i="12"/>
  <c r="H1139" i="12"/>
  <c r="H1140" i="12"/>
  <c r="H1141" i="12"/>
  <c r="H1142" i="12"/>
  <c r="H1143" i="12"/>
  <c r="H1144" i="12"/>
  <c r="H1145" i="12"/>
  <c r="H1146" i="12"/>
  <c r="H1147" i="12"/>
  <c r="H1148" i="12"/>
  <c r="H1149" i="12"/>
  <c r="H1150" i="12"/>
  <c r="H1151" i="12"/>
  <c r="H1152" i="12"/>
  <c r="H1153" i="12"/>
  <c r="H1154" i="12"/>
  <c r="H1155" i="12"/>
  <c r="H1156" i="12"/>
  <c r="H1157" i="12"/>
  <c r="H1158" i="12"/>
  <c r="H1159" i="12"/>
  <c r="H1160" i="12"/>
  <c r="H1161" i="12"/>
  <c r="H1162" i="12"/>
  <c r="H1163" i="12"/>
  <c r="H1164" i="12"/>
  <c r="H1165" i="12"/>
  <c r="H1166" i="12"/>
  <c r="H1167" i="12"/>
  <c r="H1168" i="12"/>
  <c r="H1169" i="12"/>
  <c r="H1170" i="12"/>
  <c r="H1171" i="12"/>
  <c r="H1172" i="12"/>
  <c r="H1173" i="12"/>
  <c r="H1174" i="12"/>
  <c r="H1175" i="12"/>
  <c r="H1176" i="12"/>
  <c r="H1177" i="12"/>
  <c r="H1178" i="12"/>
  <c r="H1179" i="12"/>
  <c r="H1180" i="12"/>
  <c r="H1181" i="12"/>
  <c r="H1182" i="12"/>
  <c r="H1183" i="12"/>
  <c r="H1184" i="12"/>
  <c r="H1185" i="12"/>
  <c r="H1186" i="12"/>
  <c r="H1187" i="12"/>
  <c r="H1188" i="12"/>
  <c r="H1189" i="12"/>
  <c r="H1190" i="12"/>
  <c r="H1191" i="12"/>
  <c r="H1192" i="12"/>
  <c r="H1193" i="12"/>
  <c r="H1194" i="12"/>
  <c r="H1195" i="12"/>
  <c r="H1196" i="12"/>
  <c r="H1197" i="12"/>
  <c r="H1198" i="12"/>
  <c r="H1199" i="12"/>
  <c r="H1200" i="12"/>
  <c r="H1201" i="12"/>
  <c r="H1202" i="12"/>
  <c r="H1203" i="12"/>
  <c r="H1204" i="12"/>
  <c r="H1205" i="12"/>
  <c r="H1206" i="12"/>
  <c r="H1207" i="12"/>
  <c r="H1208" i="12"/>
  <c r="H1209" i="12"/>
  <c r="H1210" i="12"/>
  <c r="H1211" i="12"/>
  <c r="H1212" i="12"/>
  <c r="H1213" i="12"/>
  <c r="H1214" i="12"/>
  <c r="H1215" i="12"/>
  <c r="H1216" i="12"/>
  <c r="H1217" i="12"/>
  <c r="H1218" i="12"/>
  <c r="H1219" i="12"/>
  <c r="H1220" i="12"/>
  <c r="H1221" i="12"/>
  <c r="H1222" i="12"/>
  <c r="H1223" i="12"/>
  <c r="H1224" i="12"/>
  <c r="H1225" i="12"/>
  <c r="H1226" i="12"/>
  <c r="H1227" i="12"/>
  <c r="H1228" i="12"/>
  <c r="H1229" i="12"/>
  <c r="H1230" i="12"/>
  <c r="H1231" i="12"/>
  <c r="H1232" i="12"/>
  <c r="H1233" i="12"/>
  <c r="H1234" i="12"/>
  <c r="H1235" i="12"/>
  <c r="H1236" i="12"/>
  <c r="H1237" i="12"/>
  <c r="H1238" i="12"/>
  <c r="H1239" i="12"/>
  <c r="H1240" i="12"/>
  <c r="H1241" i="12"/>
  <c r="H1242" i="12"/>
  <c r="H1243" i="12"/>
  <c r="H1244" i="12"/>
  <c r="H1245" i="12"/>
  <c r="H1246" i="12"/>
  <c r="H1247" i="12"/>
  <c r="H1248" i="12"/>
  <c r="H1249" i="12"/>
  <c r="H1250" i="12"/>
  <c r="H1251" i="12"/>
  <c r="H1252" i="12"/>
  <c r="H1253" i="12"/>
  <c r="H1254" i="12"/>
  <c r="H1255" i="12"/>
  <c r="H1256" i="12"/>
  <c r="H1257" i="12"/>
  <c r="H1258" i="12"/>
  <c r="H1259" i="12"/>
  <c r="H1260" i="12"/>
  <c r="H1261" i="12"/>
  <c r="H1262" i="12"/>
  <c r="H1263" i="12"/>
  <c r="H1264" i="12"/>
  <c r="H1265" i="12"/>
  <c r="H1266" i="12"/>
  <c r="H1267" i="12"/>
  <c r="H1268" i="12"/>
  <c r="H1269" i="12"/>
  <c r="H1270" i="12"/>
  <c r="H1271" i="12"/>
  <c r="H1272" i="12"/>
  <c r="H1273" i="12"/>
  <c r="H1274" i="12"/>
  <c r="H1275" i="12"/>
  <c r="H1276" i="12"/>
  <c r="H1277" i="12"/>
  <c r="H1278" i="12"/>
  <c r="H1279" i="12"/>
  <c r="H1280" i="12"/>
  <c r="H1281" i="12"/>
  <c r="H1282" i="12"/>
  <c r="H1283" i="12"/>
  <c r="H1284" i="12"/>
  <c r="H1285" i="12"/>
  <c r="H1286" i="12"/>
  <c r="H1287" i="12"/>
  <c r="H1288" i="12"/>
  <c r="H1289" i="12"/>
  <c r="H1290" i="12"/>
  <c r="H1291" i="12"/>
  <c r="H1292" i="12"/>
  <c r="H1293" i="12"/>
  <c r="H1294" i="12"/>
  <c r="H1295" i="12"/>
  <c r="H1296" i="12"/>
  <c r="H1297" i="12"/>
  <c r="H1298" i="12"/>
  <c r="H1299" i="12"/>
  <c r="H1300" i="12"/>
  <c r="H1301" i="12"/>
  <c r="H1302" i="12"/>
  <c r="H1303" i="12"/>
  <c r="H1304" i="12"/>
  <c r="H1305" i="12"/>
  <c r="H1306" i="12"/>
  <c r="H1307" i="12"/>
  <c r="H1308" i="12"/>
  <c r="H1309" i="12"/>
  <c r="H1310" i="12"/>
  <c r="H1311" i="12"/>
  <c r="H1312" i="12"/>
  <c r="H1313" i="12"/>
  <c r="H1314" i="12"/>
  <c r="H1315" i="12"/>
  <c r="H1316" i="12"/>
  <c r="H1317" i="12"/>
  <c r="H1318" i="12"/>
  <c r="H1319" i="12"/>
  <c r="H1320" i="12"/>
  <c r="H1321" i="12"/>
  <c r="H1322" i="12"/>
  <c r="H1323" i="12"/>
  <c r="H1324" i="12"/>
  <c r="H1325" i="12"/>
  <c r="H1326" i="12"/>
  <c r="H1327" i="12"/>
  <c r="H1328" i="12"/>
  <c r="H1329" i="12"/>
  <c r="H1330" i="12"/>
  <c r="H1331" i="12"/>
  <c r="H1332" i="12"/>
  <c r="H1333" i="12"/>
  <c r="H1334" i="12"/>
  <c r="H1335" i="12"/>
  <c r="H1336" i="12"/>
  <c r="H1337" i="12"/>
  <c r="H1338" i="12"/>
  <c r="H1339" i="12"/>
  <c r="H1340" i="12"/>
  <c r="H1341" i="12"/>
  <c r="H1342" i="12"/>
  <c r="H1343" i="12"/>
  <c r="H1344" i="12"/>
  <c r="H1345" i="12"/>
  <c r="H1346" i="12"/>
  <c r="H1347" i="12"/>
  <c r="H1348" i="12"/>
  <c r="H1349" i="12"/>
  <c r="H1350" i="12"/>
  <c r="H1351" i="12"/>
  <c r="H1352" i="12"/>
  <c r="H1353" i="12"/>
  <c r="H1354" i="12"/>
  <c r="H1355" i="12"/>
  <c r="H1356" i="12"/>
  <c r="H1357" i="12"/>
  <c r="H1358" i="12"/>
  <c r="H1359" i="12"/>
  <c r="H1360" i="12"/>
  <c r="H1361" i="12"/>
  <c r="H1362" i="12"/>
  <c r="H1363" i="12"/>
  <c r="H1364" i="12"/>
  <c r="H1365" i="12"/>
  <c r="H1366" i="12"/>
  <c r="H1367" i="12"/>
  <c r="H1368" i="12"/>
  <c r="H1369" i="12"/>
  <c r="H1370" i="12"/>
  <c r="H1371" i="12"/>
  <c r="H1372" i="12"/>
  <c r="H1373" i="12"/>
  <c r="H1374" i="12"/>
  <c r="H1375" i="12"/>
  <c r="H1376" i="12"/>
  <c r="H1377" i="12"/>
  <c r="H1378" i="12"/>
  <c r="H1379" i="12"/>
  <c r="H1380" i="12"/>
  <c r="H1381" i="12"/>
  <c r="H1382" i="12"/>
  <c r="H1383" i="12"/>
  <c r="H1384" i="12"/>
  <c r="H1385" i="12"/>
  <c r="H1386" i="12"/>
  <c r="H1387" i="12"/>
  <c r="H1388" i="12"/>
  <c r="H1389" i="12"/>
  <c r="H1390" i="12"/>
  <c r="H1391" i="12"/>
  <c r="H1392" i="12"/>
  <c r="H1393" i="12"/>
  <c r="H1394" i="12"/>
  <c r="H1395" i="12"/>
  <c r="H1396" i="12"/>
  <c r="H1397" i="12"/>
  <c r="H1398" i="12"/>
  <c r="H1399" i="12"/>
  <c r="H1400" i="12"/>
  <c r="H1401" i="12"/>
  <c r="H1402" i="12"/>
  <c r="H1403" i="12"/>
  <c r="H1404" i="12"/>
  <c r="H1405" i="12"/>
  <c r="H1406" i="12"/>
  <c r="H1407" i="12"/>
  <c r="H1408" i="12"/>
  <c r="H1409" i="12"/>
  <c r="H1410" i="12"/>
  <c r="H1411" i="12"/>
  <c r="H1412" i="12"/>
  <c r="H1413" i="12"/>
  <c r="H1414" i="12"/>
  <c r="H1415" i="12"/>
  <c r="H1416" i="12"/>
  <c r="H1417" i="12"/>
  <c r="H1418" i="12"/>
  <c r="H1419" i="12"/>
  <c r="H1420" i="12"/>
  <c r="H1421" i="12"/>
  <c r="H1422" i="12"/>
  <c r="H1423" i="12"/>
  <c r="H1424" i="12"/>
  <c r="H1425" i="12"/>
  <c r="H1426" i="12"/>
  <c r="H1427" i="12"/>
  <c r="H1428" i="12"/>
  <c r="H1429" i="12"/>
  <c r="H1430" i="12"/>
  <c r="H1431" i="12"/>
  <c r="H1432" i="12"/>
  <c r="H1433" i="12"/>
  <c r="H1434" i="12"/>
  <c r="H1435" i="12"/>
  <c r="H1436" i="12"/>
  <c r="H1437" i="12"/>
  <c r="H1438" i="12"/>
  <c r="H1439" i="12"/>
  <c r="H1440" i="12"/>
  <c r="H1441" i="12"/>
  <c r="H1442" i="12"/>
  <c r="H1443" i="12"/>
  <c r="H1444" i="12"/>
  <c r="H1445" i="12"/>
  <c r="H1446" i="12"/>
  <c r="H1447" i="12"/>
  <c r="H1448" i="12"/>
  <c r="H1449" i="12"/>
  <c r="H1450" i="12"/>
  <c r="H1451" i="12"/>
  <c r="H1452" i="12"/>
  <c r="H1453" i="12"/>
  <c r="H1454" i="12"/>
  <c r="H1455" i="12"/>
  <c r="H1456" i="12"/>
  <c r="H1457" i="12"/>
  <c r="H1458" i="12"/>
  <c r="H1459" i="12"/>
  <c r="H1460" i="12"/>
  <c r="H1461" i="12"/>
  <c r="H1462" i="12"/>
  <c r="H1463" i="12"/>
  <c r="H1464" i="12"/>
  <c r="H1465" i="12"/>
  <c r="H1466" i="12"/>
  <c r="H1467" i="12"/>
  <c r="H1468" i="12"/>
  <c r="H1469" i="12"/>
  <c r="H1470" i="12"/>
  <c r="H1471" i="12"/>
  <c r="H1472" i="12"/>
  <c r="H1473" i="12"/>
  <c r="H1474" i="12"/>
  <c r="H1475" i="12"/>
  <c r="H1476" i="12"/>
  <c r="H1477" i="12"/>
  <c r="H1478" i="12"/>
  <c r="H1479" i="12"/>
  <c r="H1480" i="12"/>
  <c r="H1481" i="12"/>
  <c r="H1482" i="12"/>
  <c r="H1483" i="12"/>
  <c r="H1484" i="12"/>
  <c r="H1485" i="12"/>
  <c r="H1486" i="12"/>
  <c r="H1487" i="12"/>
  <c r="H1488" i="12"/>
  <c r="H1489" i="12"/>
  <c r="H1490" i="12"/>
  <c r="H1491" i="12"/>
  <c r="H1492" i="12"/>
  <c r="H1493" i="12"/>
  <c r="H1494" i="12"/>
  <c r="H1495" i="12"/>
  <c r="H1496" i="12"/>
  <c r="H1497" i="12"/>
  <c r="H1498" i="12"/>
  <c r="H1499" i="12"/>
  <c r="H1500" i="12"/>
  <c r="H1501" i="12"/>
  <c r="H1502" i="12"/>
  <c r="H1503" i="12"/>
  <c r="H1504" i="12"/>
  <c r="H1505" i="12"/>
  <c r="H1506" i="12"/>
  <c r="H1507" i="12"/>
  <c r="H1508" i="12"/>
  <c r="H1509" i="12"/>
  <c r="H1510" i="12"/>
  <c r="H1511" i="12"/>
  <c r="H1512" i="12"/>
  <c r="H1513" i="12"/>
  <c r="H1514" i="12"/>
  <c r="H1515" i="12"/>
  <c r="H1516" i="12"/>
  <c r="H1517" i="12"/>
  <c r="H1518" i="12"/>
  <c r="H1519" i="12"/>
  <c r="H1520" i="12"/>
  <c r="H1521" i="12"/>
  <c r="H1522" i="12"/>
  <c r="H1523" i="12"/>
  <c r="H1524" i="12"/>
  <c r="H1525" i="12"/>
  <c r="H1526" i="12"/>
  <c r="H1527" i="12"/>
  <c r="H1528" i="12"/>
  <c r="H1529" i="12"/>
  <c r="H1530" i="12"/>
  <c r="H1531" i="12"/>
  <c r="H1532" i="12"/>
  <c r="H1533" i="12"/>
  <c r="H1534" i="12"/>
  <c r="H1535" i="12"/>
  <c r="H1536" i="12"/>
  <c r="H1537" i="12"/>
  <c r="H1538" i="12"/>
  <c r="H1539" i="12"/>
  <c r="H1540" i="12"/>
  <c r="H1541" i="12"/>
  <c r="H1542" i="12"/>
  <c r="H1543" i="12"/>
  <c r="H1544" i="12"/>
  <c r="H1545" i="12"/>
  <c r="H1546" i="12"/>
  <c r="H1547" i="12"/>
  <c r="H1548" i="12"/>
  <c r="H1549" i="12"/>
  <c r="H1550" i="12"/>
  <c r="H1551" i="12"/>
  <c r="H1552" i="12"/>
  <c r="H1553" i="12"/>
  <c r="H1554" i="12"/>
  <c r="H1555" i="12"/>
  <c r="H1556" i="12"/>
  <c r="H1557" i="12"/>
  <c r="H1558" i="12"/>
  <c r="H1559" i="12"/>
  <c r="H1560" i="12"/>
  <c r="H1561" i="12"/>
  <c r="H1562" i="12"/>
  <c r="H1563" i="12"/>
  <c r="H1564" i="12"/>
  <c r="H1565" i="12"/>
  <c r="H1566" i="12"/>
  <c r="H1567" i="12"/>
  <c r="H1568" i="12"/>
  <c r="H1569" i="12"/>
  <c r="H1570" i="12"/>
  <c r="H1571" i="12"/>
  <c r="H1572" i="12"/>
  <c r="H1573" i="12"/>
  <c r="H1574" i="12"/>
  <c r="H1575" i="12"/>
  <c r="H1576" i="12"/>
  <c r="H1577" i="12"/>
  <c r="H1578" i="12"/>
  <c r="H1579" i="12"/>
  <c r="H1580" i="12"/>
  <c r="H1581" i="12"/>
  <c r="H1582" i="12"/>
  <c r="H1583" i="12"/>
  <c r="H1584" i="12"/>
  <c r="H1585" i="12"/>
  <c r="H1586" i="12"/>
  <c r="H1587" i="12"/>
  <c r="H1588" i="12"/>
  <c r="H1589" i="12"/>
  <c r="H1590" i="12"/>
  <c r="H1591" i="12"/>
  <c r="H1592" i="12"/>
  <c r="H1593" i="12"/>
  <c r="H1594" i="12"/>
  <c r="H1595" i="12"/>
  <c r="H1596" i="12"/>
  <c r="H1597" i="12"/>
  <c r="H1598" i="12"/>
  <c r="H1599" i="12"/>
  <c r="H1600" i="12"/>
  <c r="H1601" i="12"/>
  <c r="H1602" i="12"/>
  <c r="H1603" i="12"/>
  <c r="H1604" i="12"/>
  <c r="H1605" i="12"/>
  <c r="H1606" i="12"/>
  <c r="H1607" i="12"/>
  <c r="H1608" i="12"/>
  <c r="H1609" i="12"/>
  <c r="H1610" i="12"/>
  <c r="H1611" i="12"/>
  <c r="H1612" i="12"/>
  <c r="H1613" i="12"/>
  <c r="H1614" i="12"/>
  <c r="H1615" i="12"/>
  <c r="H1616" i="12"/>
  <c r="H1617" i="12"/>
  <c r="H1618" i="12"/>
  <c r="H1619" i="12"/>
  <c r="H1620" i="12"/>
  <c r="H1621" i="12"/>
  <c r="H1622" i="12"/>
  <c r="H1623" i="12"/>
  <c r="H1624" i="12"/>
  <c r="H1625" i="12"/>
  <c r="H1626" i="12"/>
  <c r="H1627" i="12"/>
  <c r="H1628" i="12"/>
  <c r="H1629" i="12"/>
  <c r="H1630" i="12"/>
  <c r="H1631" i="12"/>
  <c r="H1632" i="12"/>
  <c r="H1633" i="12"/>
  <c r="H1634" i="12"/>
  <c r="H1635" i="12"/>
  <c r="H1636" i="12"/>
  <c r="H1637" i="12"/>
  <c r="H1638" i="12"/>
  <c r="H1639" i="12"/>
  <c r="H1640" i="12"/>
  <c r="H1641" i="12"/>
  <c r="H1642" i="12"/>
  <c r="H1643" i="12"/>
  <c r="H1644" i="12"/>
  <c r="H1645" i="12"/>
  <c r="H1646" i="12"/>
  <c r="H1647" i="12"/>
  <c r="H1648" i="12"/>
  <c r="H1649" i="12"/>
  <c r="H1650" i="12"/>
  <c r="H1651" i="12"/>
  <c r="H1652" i="12"/>
  <c r="H1653" i="12"/>
  <c r="H1654" i="12"/>
  <c r="H1655" i="12"/>
  <c r="H1656" i="12"/>
  <c r="H1657" i="12"/>
  <c r="H1658" i="12"/>
  <c r="H1659" i="12"/>
  <c r="H1660" i="12"/>
  <c r="H1661" i="12"/>
  <c r="H1662" i="12"/>
  <c r="H1663" i="12"/>
  <c r="H1664" i="12"/>
  <c r="H1665" i="12"/>
  <c r="H1666" i="12"/>
  <c r="H1667" i="12"/>
  <c r="H1668" i="12"/>
  <c r="H1669" i="12"/>
  <c r="H1670" i="12"/>
  <c r="H1671" i="12"/>
  <c r="H1672" i="12"/>
  <c r="H1673" i="12"/>
  <c r="H1674" i="12"/>
  <c r="H1675" i="12"/>
  <c r="H1676" i="12"/>
  <c r="H1677" i="12"/>
  <c r="H1678" i="12"/>
  <c r="H1679" i="12"/>
  <c r="H1680" i="12"/>
  <c r="H1681" i="12"/>
  <c r="H1682" i="12"/>
  <c r="H1683" i="12"/>
  <c r="H1684" i="12"/>
  <c r="H1685" i="12"/>
  <c r="H1686" i="12"/>
  <c r="H1687" i="12"/>
  <c r="H1688" i="12"/>
  <c r="H1689" i="12"/>
  <c r="H1690" i="12"/>
  <c r="H1691" i="12"/>
  <c r="H1692" i="12"/>
  <c r="H1693" i="12"/>
  <c r="H1694" i="12"/>
  <c r="H1695" i="12"/>
  <c r="H1696" i="12"/>
  <c r="H1697" i="12"/>
  <c r="H1698" i="12"/>
  <c r="H1699" i="12"/>
  <c r="H1700" i="12"/>
  <c r="H1701" i="12"/>
  <c r="H1702" i="12"/>
  <c r="H1703" i="12"/>
  <c r="H1704" i="12"/>
  <c r="H1705" i="12"/>
  <c r="H1706" i="12"/>
  <c r="H1707" i="12"/>
  <c r="H1708" i="12"/>
  <c r="H1709" i="12"/>
  <c r="H1710" i="12"/>
  <c r="H1711" i="12"/>
  <c r="H1712" i="12"/>
  <c r="H1713" i="12"/>
  <c r="H1714" i="12"/>
  <c r="H1715" i="12"/>
  <c r="H1716" i="12"/>
  <c r="H1717" i="12"/>
  <c r="H1718" i="12"/>
  <c r="H1719" i="12"/>
  <c r="H1720" i="12"/>
  <c r="H1721" i="12"/>
  <c r="H1722" i="12"/>
  <c r="H1723" i="12"/>
  <c r="H1724" i="12"/>
  <c r="H1725" i="12"/>
  <c r="H1726" i="12"/>
  <c r="H1727" i="12"/>
  <c r="H1728" i="12"/>
  <c r="H1729" i="12"/>
  <c r="H1730" i="12"/>
  <c r="H1731" i="12"/>
  <c r="H1732" i="12"/>
  <c r="H1733" i="12"/>
  <c r="H1734" i="12"/>
  <c r="H1735" i="12"/>
  <c r="H1736" i="12"/>
  <c r="H1737" i="12"/>
  <c r="H1738" i="12"/>
  <c r="H1739" i="12"/>
  <c r="H1740" i="12"/>
  <c r="H1741" i="12"/>
  <c r="H1742" i="12"/>
  <c r="H1743" i="12"/>
  <c r="H1744" i="12"/>
  <c r="H1745" i="12"/>
  <c r="H1746" i="12"/>
  <c r="H1747" i="12"/>
  <c r="H1748" i="12"/>
  <c r="H1749" i="12"/>
  <c r="H1750" i="12"/>
  <c r="H1751" i="12"/>
  <c r="H1752" i="12"/>
  <c r="H1753" i="12"/>
  <c r="H1754" i="12"/>
  <c r="H1755" i="12"/>
  <c r="H1756" i="12"/>
  <c r="H1757" i="12"/>
  <c r="H1758" i="12"/>
  <c r="H1759" i="12"/>
  <c r="H1760" i="12"/>
  <c r="H1761" i="12"/>
  <c r="H1762" i="12"/>
  <c r="H1763" i="12"/>
  <c r="H1764" i="12"/>
  <c r="H1765" i="12"/>
  <c r="H1766" i="12"/>
  <c r="H1767" i="12"/>
  <c r="H1768" i="12"/>
  <c r="H1769" i="12"/>
  <c r="H1770" i="12"/>
  <c r="H1771" i="12"/>
  <c r="H1772" i="12"/>
  <c r="H1773" i="12"/>
  <c r="H1774" i="12"/>
  <c r="H1775" i="12"/>
  <c r="H1776" i="12"/>
  <c r="H1777" i="12"/>
  <c r="H1778" i="12"/>
  <c r="H1779" i="12"/>
  <c r="H1780" i="12"/>
  <c r="H1781" i="12"/>
  <c r="H1782" i="12"/>
  <c r="H1783" i="12"/>
  <c r="H1784" i="12"/>
  <c r="H1785" i="12"/>
  <c r="H1786" i="12"/>
  <c r="H1787" i="12"/>
  <c r="H1788" i="12"/>
  <c r="H1789" i="12"/>
  <c r="H1790" i="12"/>
  <c r="H1791" i="12"/>
  <c r="H1792" i="12"/>
  <c r="H1793" i="12"/>
  <c r="H1794" i="12"/>
  <c r="H1795" i="12"/>
  <c r="H1796" i="12"/>
  <c r="H1797" i="12"/>
  <c r="H1798" i="12"/>
  <c r="H1799" i="12"/>
  <c r="H1800" i="12"/>
  <c r="H1801" i="12"/>
  <c r="H1802" i="12"/>
  <c r="H1803" i="12"/>
  <c r="H1804" i="12"/>
  <c r="H1805" i="12"/>
  <c r="H1806" i="12"/>
  <c r="H1807" i="12"/>
  <c r="H1808" i="12"/>
  <c r="H1809" i="12"/>
  <c r="H1810" i="12"/>
  <c r="H1811" i="12"/>
  <c r="H1812" i="12"/>
  <c r="H1813" i="12"/>
  <c r="H1814" i="12"/>
  <c r="H1815" i="12"/>
  <c r="H1816" i="12"/>
  <c r="H1817" i="12"/>
  <c r="H1818" i="12"/>
  <c r="H1819" i="12"/>
  <c r="H1820" i="12"/>
  <c r="H1821" i="12"/>
  <c r="H1822" i="12"/>
  <c r="H1823" i="12"/>
  <c r="H1824" i="12"/>
  <c r="H1825" i="12"/>
  <c r="H1826" i="12"/>
  <c r="H1827" i="12"/>
  <c r="H1828" i="12"/>
  <c r="H1829" i="12"/>
  <c r="H1830" i="12"/>
  <c r="H1831" i="12"/>
  <c r="H1832" i="12"/>
  <c r="H1833" i="12"/>
  <c r="H1834" i="12"/>
  <c r="H1835" i="12"/>
  <c r="H1836" i="12"/>
  <c r="H1837" i="12"/>
  <c r="H1838" i="12"/>
  <c r="H1839" i="12"/>
  <c r="H1840" i="12"/>
  <c r="H1841" i="12"/>
  <c r="H1842" i="12"/>
  <c r="H1843" i="12"/>
  <c r="H1844" i="12"/>
  <c r="H1845" i="12"/>
  <c r="H1846" i="12"/>
  <c r="H1847" i="12"/>
  <c r="H1848" i="12"/>
  <c r="H1849" i="12"/>
  <c r="H1850" i="12"/>
  <c r="H1851" i="12"/>
  <c r="H1852" i="12"/>
  <c r="H1853" i="12"/>
  <c r="H1854" i="12"/>
  <c r="H1855" i="12"/>
  <c r="H1856" i="12"/>
  <c r="H1857" i="12"/>
  <c r="H1858" i="12"/>
  <c r="H1859" i="12"/>
  <c r="H1860" i="12"/>
  <c r="H1861" i="12"/>
  <c r="H1862" i="12"/>
  <c r="H1863" i="12"/>
  <c r="H1864" i="12"/>
  <c r="H1865" i="12"/>
  <c r="H1866" i="12"/>
  <c r="H1867" i="12"/>
  <c r="H1868" i="12"/>
  <c r="H1869" i="12"/>
  <c r="H1870" i="12"/>
  <c r="H1871" i="12"/>
  <c r="H1872" i="12"/>
  <c r="H1873" i="12"/>
  <c r="H1874" i="12"/>
  <c r="H1875" i="12"/>
  <c r="H1876" i="12"/>
  <c r="H1877" i="12"/>
  <c r="H1878" i="12"/>
  <c r="H1879" i="12"/>
  <c r="H1880" i="12"/>
  <c r="H1881" i="12"/>
  <c r="H1882" i="12"/>
  <c r="H1883" i="12"/>
  <c r="H1884" i="12"/>
  <c r="H1885" i="12"/>
  <c r="H1886" i="12"/>
  <c r="H1887" i="12"/>
  <c r="H1888" i="12"/>
  <c r="H1889" i="12"/>
  <c r="H1890" i="12"/>
  <c r="H1891" i="12"/>
  <c r="H1892" i="12"/>
  <c r="H1893" i="12"/>
  <c r="H1894" i="12"/>
  <c r="H1895" i="12"/>
  <c r="H1896" i="12"/>
  <c r="H1897" i="12"/>
  <c r="H1898" i="12"/>
  <c r="H1899" i="12"/>
  <c r="H1900" i="12"/>
  <c r="H1901" i="12"/>
  <c r="H1902" i="12"/>
  <c r="H1903" i="12"/>
  <c r="H1904" i="12"/>
  <c r="H1905" i="12"/>
  <c r="H1906" i="12"/>
  <c r="H1907" i="12"/>
  <c r="H1908" i="12"/>
  <c r="H1909" i="12"/>
  <c r="H1910" i="12"/>
  <c r="H1911" i="12"/>
  <c r="H1912" i="12"/>
  <c r="H1913" i="12"/>
  <c r="H1914" i="12"/>
  <c r="H1915" i="12"/>
  <c r="H1916" i="12"/>
  <c r="H1917" i="12"/>
  <c r="H1918" i="12"/>
  <c r="H1919" i="12"/>
  <c r="H1920" i="12"/>
  <c r="H1921" i="12"/>
  <c r="H1922" i="12"/>
  <c r="H1923" i="12"/>
  <c r="H1924" i="12"/>
  <c r="H1925" i="12"/>
  <c r="H1926" i="12"/>
  <c r="H1927" i="12"/>
  <c r="H1928" i="12"/>
  <c r="H1929" i="12"/>
  <c r="H1930" i="12"/>
  <c r="H1931" i="12"/>
  <c r="H1932" i="12"/>
  <c r="H1933" i="12"/>
  <c r="H1934" i="12"/>
  <c r="H1935" i="12"/>
  <c r="H1936" i="12"/>
  <c r="H1937" i="12"/>
  <c r="H1938" i="12"/>
  <c r="H1939" i="12"/>
  <c r="H1940" i="12"/>
  <c r="H1941" i="12"/>
  <c r="H1942" i="12"/>
  <c r="H1943" i="12"/>
  <c r="H1944" i="12"/>
  <c r="H1945" i="12"/>
  <c r="H1946" i="12"/>
  <c r="H1947" i="12"/>
  <c r="H1948" i="12"/>
  <c r="H1949" i="12"/>
  <c r="H1950" i="12"/>
  <c r="H1951" i="12"/>
  <c r="H1952" i="12"/>
  <c r="H1953" i="12"/>
  <c r="H1954" i="12"/>
  <c r="H1955" i="12"/>
  <c r="H1956" i="12"/>
  <c r="H1957" i="12"/>
  <c r="H1958" i="12"/>
  <c r="H1959" i="12"/>
  <c r="H1960" i="12"/>
  <c r="H1961" i="12"/>
  <c r="H1962" i="12"/>
  <c r="H1963" i="12"/>
  <c r="H1964" i="12"/>
  <c r="H1965" i="12"/>
  <c r="H1966" i="12"/>
  <c r="H1967" i="12"/>
  <c r="H1968" i="12"/>
  <c r="H1969" i="12"/>
  <c r="H1970" i="12"/>
  <c r="H1971" i="12"/>
  <c r="H1972" i="12"/>
  <c r="H1973" i="12"/>
  <c r="H1974" i="12"/>
  <c r="H1975" i="12"/>
  <c r="H1976" i="12"/>
  <c r="H1977" i="12"/>
  <c r="H1978" i="12"/>
  <c r="H1979" i="12"/>
  <c r="H1980" i="12"/>
  <c r="H1981" i="12"/>
  <c r="H1982" i="12"/>
  <c r="H1983" i="12"/>
  <c r="H1984" i="12"/>
  <c r="H1985" i="12"/>
  <c r="H1986" i="12"/>
  <c r="H1987" i="12"/>
  <c r="H1988" i="12"/>
  <c r="H1989" i="12"/>
  <c r="H1990" i="12"/>
  <c r="H1991" i="12"/>
  <c r="H1992" i="12"/>
  <c r="H1993" i="12"/>
  <c r="H1994" i="12"/>
  <c r="H1995" i="12"/>
  <c r="H1996" i="12"/>
  <c r="H1997" i="12"/>
  <c r="H1998" i="12"/>
  <c r="H1999" i="12"/>
  <c r="H2000" i="12"/>
  <c r="H2001" i="12"/>
  <c r="H2002" i="12"/>
  <c r="H2003" i="12"/>
  <c r="H2004" i="12"/>
  <c r="H2005" i="12"/>
  <c r="H2006" i="12"/>
  <c r="H2007" i="12"/>
  <c r="H2008" i="12"/>
  <c r="H2009" i="12"/>
  <c r="H2010" i="12"/>
  <c r="H2011" i="12"/>
  <c r="H2012" i="12"/>
  <c r="H2013" i="12"/>
  <c r="H2014" i="12"/>
  <c r="H2015" i="12"/>
  <c r="H2016" i="12"/>
  <c r="H2017" i="12"/>
  <c r="H2018" i="12"/>
  <c r="H2019" i="12"/>
  <c r="H2020" i="12"/>
  <c r="H2021" i="12"/>
  <c r="H2022" i="12"/>
  <c r="H2023" i="12"/>
  <c r="H2024" i="12"/>
  <c r="H2025" i="12"/>
  <c r="H2026" i="12"/>
  <c r="H2027" i="12"/>
  <c r="H2028" i="12"/>
  <c r="H2029" i="12"/>
  <c r="H2030" i="12"/>
  <c r="H2031" i="12"/>
  <c r="H2032" i="12"/>
  <c r="H2033" i="12"/>
  <c r="H2034" i="12"/>
  <c r="H2035" i="12"/>
  <c r="H2036" i="12"/>
  <c r="H2037" i="12"/>
  <c r="H2038" i="12"/>
  <c r="H2039" i="12"/>
  <c r="H2040" i="12"/>
  <c r="H2041" i="12"/>
  <c r="H2042" i="12"/>
  <c r="H2043" i="12"/>
  <c r="H2044" i="12"/>
  <c r="H2045" i="12"/>
  <c r="H2046" i="12"/>
  <c r="H2047" i="12"/>
  <c r="H2048" i="12"/>
  <c r="H2049" i="12"/>
  <c r="H2050" i="12"/>
  <c r="H2051" i="12"/>
  <c r="H2052" i="12"/>
  <c r="H2053" i="12"/>
  <c r="H2054" i="12"/>
  <c r="H2055" i="12"/>
  <c r="H2056" i="12"/>
  <c r="H2057" i="12"/>
  <c r="H2058" i="12"/>
  <c r="H2059" i="12"/>
  <c r="H2060" i="12"/>
  <c r="H2061" i="12"/>
  <c r="H2062" i="12"/>
  <c r="H2063" i="12"/>
  <c r="H2064" i="12"/>
  <c r="H2065" i="12"/>
  <c r="H2066" i="12"/>
  <c r="H2067" i="12"/>
  <c r="H2068" i="12"/>
  <c r="H2069" i="12"/>
  <c r="H2070" i="12"/>
  <c r="H2071" i="12"/>
  <c r="H2072" i="12"/>
  <c r="H2073" i="12"/>
  <c r="H2074" i="12"/>
  <c r="H2075" i="12"/>
  <c r="H2076" i="12"/>
  <c r="H2077" i="12"/>
  <c r="H2078" i="12"/>
  <c r="H2079" i="12"/>
  <c r="H2080" i="12"/>
  <c r="H2081" i="12"/>
  <c r="H2082" i="12"/>
  <c r="H2083" i="12"/>
  <c r="H2084" i="12"/>
  <c r="H2085" i="12"/>
  <c r="H2086" i="12"/>
  <c r="H2087" i="12"/>
  <c r="H2088" i="12"/>
  <c r="H2089" i="12"/>
  <c r="H2090" i="12"/>
  <c r="H2091" i="12"/>
  <c r="H2092" i="12"/>
  <c r="H2093" i="12"/>
  <c r="H2094" i="12"/>
  <c r="H2095" i="12"/>
  <c r="H2096" i="12"/>
  <c r="H2097" i="12"/>
  <c r="H2098" i="12"/>
  <c r="H2099" i="12"/>
  <c r="H2100" i="12"/>
  <c r="H2101" i="12"/>
  <c r="H2102" i="12"/>
  <c r="H2103" i="12"/>
  <c r="H2104" i="12"/>
  <c r="H2105" i="12"/>
  <c r="H2106" i="12"/>
  <c r="H2107" i="12"/>
  <c r="H2108" i="12"/>
  <c r="H2109" i="12"/>
  <c r="H2110" i="12"/>
  <c r="H2111" i="12"/>
  <c r="H2112" i="12"/>
  <c r="H2113" i="12"/>
  <c r="H2114" i="12"/>
  <c r="H2115" i="12"/>
  <c r="H2116" i="12"/>
  <c r="H2117" i="12"/>
  <c r="H2118" i="12"/>
  <c r="H2119" i="12"/>
  <c r="H2120" i="12"/>
  <c r="H2121" i="12"/>
  <c r="H2122" i="12"/>
  <c r="H2123" i="12"/>
  <c r="H2124" i="12"/>
  <c r="H2125" i="12"/>
  <c r="H2126" i="12"/>
  <c r="H2127" i="12"/>
  <c r="H2128" i="12"/>
  <c r="H2129" i="12"/>
  <c r="H2130" i="12"/>
  <c r="H2131" i="12"/>
  <c r="H2132" i="12"/>
  <c r="H2133" i="12"/>
  <c r="H2134" i="12"/>
  <c r="H2135" i="12"/>
  <c r="H2136" i="12"/>
  <c r="H2137" i="12"/>
  <c r="H2138" i="12"/>
  <c r="H2139" i="12"/>
  <c r="H2140" i="12"/>
  <c r="H2141" i="12"/>
  <c r="H2142" i="12"/>
  <c r="H2143" i="12"/>
  <c r="H2144" i="12"/>
  <c r="H2145" i="12"/>
  <c r="H2146" i="12"/>
  <c r="H2147" i="12"/>
  <c r="H2148" i="12"/>
  <c r="H2149" i="12"/>
  <c r="H2150" i="12"/>
  <c r="H2151" i="12"/>
  <c r="H2152" i="12"/>
  <c r="H2153" i="12"/>
  <c r="H2154" i="12"/>
  <c r="H2155" i="12"/>
  <c r="H2156" i="12"/>
  <c r="H2157" i="12"/>
  <c r="H2158" i="12"/>
  <c r="H2159" i="12"/>
  <c r="H2160" i="12"/>
  <c r="H2161" i="12"/>
  <c r="H2162" i="12"/>
  <c r="H2163" i="12"/>
  <c r="H2164" i="12"/>
  <c r="H2165" i="12"/>
  <c r="H2166" i="12"/>
  <c r="H2167" i="12"/>
  <c r="H2168" i="12"/>
  <c r="H2169" i="12"/>
  <c r="H2170" i="12"/>
  <c r="H2171" i="12"/>
  <c r="H2172" i="12"/>
  <c r="H2173" i="12"/>
  <c r="H2174" i="12"/>
  <c r="H2175" i="12"/>
  <c r="H2176" i="12"/>
  <c r="H2177" i="12"/>
  <c r="H2178" i="12"/>
  <c r="H2179" i="12"/>
  <c r="H2180" i="12"/>
  <c r="H2181" i="12"/>
  <c r="H2182" i="12"/>
  <c r="H2183" i="12"/>
  <c r="H2184" i="12"/>
  <c r="H2185" i="12"/>
  <c r="H2186" i="12"/>
  <c r="H2187" i="12"/>
  <c r="H2188" i="12"/>
  <c r="H2189" i="12"/>
  <c r="H2190" i="12"/>
  <c r="H2191" i="12"/>
  <c r="H2192" i="12"/>
  <c r="H2193" i="12"/>
  <c r="H2194" i="12"/>
  <c r="H2195" i="12"/>
  <c r="H2196" i="12"/>
  <c r="H2197" i="12"/>
  <c r="H2198" i="12"/>
  <c r="H2199" i="12"/>
  <c r="H2200" i="12"/>
  <c r="H2201" i="12"/>
  <c r="H2202" i="12"/>
  <c r="H2203" i="12"/>
  <c r="H2204" i="12"/>
  <c r="H2205" i="12"/>
  <c r="H2206" i="12"/>
  <c r="H2207" i="12"/>
  <c r="H2208" i="12"/>
  <c r="H2209" i="12"/>
  <c r="H2210" i="12"/>
  <c r="H2211" i="12"/>
  <c r="H2212" i="12"/>
  <c r="H2213" i="12"/>
  <c r="H2214" i="12"/>
  <c r="H2215" i="12"/>
  <c r="H2216" i="12"/>
  <c r="H2217" i="12"/>
  <c r="H2218" i="12"/>
  <c r="H2219" i="12"/>
  <c r="H2220" i="12"/>
  <c r="H2221" i="12"/>
  <c r="H2222" i="12"/>
  <c r="H2223" i="12"/>
  <c r="H2224" i="12"/>
  <c r="H2225" i="12"/>
  <c r="H2226" i="12"/>
  <c r="H2227" i="12"/>
  <c r="H2228" i="12"/>
  <c r="H2229" i="12"/>
  <c r="H2230" i="12"/>
  <c r="H2231" i="12"/>
  <c r="H2232" i="12"/>
  <c r="H2233" i="12"/>
  <c r="H2234" i="12"/>
  <c r="H2235" i="12"/>
  <c r="H2236" i="12"/>
  <c r="H2237" i="12"/>
  <c r="H2238" i="12"/>
  <c r="H2239" i="12"/>
  <c r="H2240" i="12"/>
  <c r="H2241" i="12"/>
  <c r="H2242" i="12"/>
  <c r="H2243" i="12"/>
  <c r="H2244" i="12"/>
  <c r="H2245" i="12"/>
  <c r="H2246" i="12"/>
  <c r="H2247" i="12"/>
  <c r="H2248" i="12"/>
  <c r="H2249" i="12"/>
  <c r="H2250" i="12"/>
  <c r="H2251" i="12"/>
  <c r="H2252" i="12"/>
  <c r="H2253" i="12"/>
  <c r="H2254" i="12"/>
  <c r="H2255" i="12"/>
  <c r="H2256" i="12"/>
  <c r="H2257" i="12"/>
  <c r="H2258" i="12"/>
  <c r="H2259" i="12"/>
  <c r="H2260" i="12"/>
  <c r="H2261" i="12"/>
  <c r="H2262" i="12"/>
  <c r="H2263" i="12"/>
  <c r="H2264" i="12"/>
  <c r="H2265" i="12"/>
  <c r="H2266" i="12"/>
  <c r="H2267" i="12"/>
  <c r="H2268" i="12"/>
  <c r="H2269" i="12"/>
  <c r="H2270" i="12"/>
  <c r="H2271" i="12"/>
  <c r="H2272" i="12"/>
  <c r="H2273" i="12"/>
  <c r="H2274" i="12"/>
  <c r="H2275" i="12"/>
  <c r="H2276" i="12"/>
  <c r="H2277" i="12"/>
  <c r="H2278" i="12"/>
  <c r="H2279" i="12"/>
  <c r="H2280" i="12"/>
  <c r="H2281" i="12"/>
  <c r="H2282" i="12"/>
  <c r="H2283" i="12"/>
  <c r="H2284" i="12"/>
  <c r="H2285" i="12"/>
  <c r="H2286" i="12"/>
  <c r="H2287" i="12"/>
  <c r="H2288" i="12"/>
  <c r="H2289" i="12"/>
  <c r="H2290" i="12"/>
  <c r="H2291" i="12"/>
  <c r="H2292" i="12"/>
  <c r="H2293" i="12"/>
  <c r="H2294" i="12"/>
  <c r="H2295" i="12"/>
  <c r="H2296" i="12"/>
  <c r="H2297" i="12"/>
  <c r="H2298" i="12"/>
  <c r="H2299" i="12"/>
  <c r="H2300" i="12"/>
  <c r="H2301" i="12"/>
  <c r="H2302" i="12"/>
  <c r="H2303" i="12"/>
  <c r="H2304" i="12"/>
  <c r="H2305" i="12"/>
  <c r="H2306" i="12"/>
  <c r="H2307" i="12"/>
  <c r="H2308" i="12"/>
  <c r="H2309" i="12"/>
  <c r="H2310" i="12"/>
  <c r="H2311" i="12"/>
  <c r="H2312" i="12"/>
  <c r="H2313" i="12"/>
  <c r="H2314" i="12"/>
  <c r="H2315" i="12"/>
  <c r="H2316" i="12"/>
  <c r="H2317" i="12"/>
  <c r="H2318" i="12"/>
  <c r="H2319" i="12"/>
  <c r="H2320" i="12"/>
  <c r="H2321" i="12"/>
  <c r="H2322" i="12"/>
  <c r="H2323" i="12"/>
  <c r="H2324" i="12"/>
  <c r="H2325" i="12"/>
  <c r="H2326" i="12"/>
  <c r="H2327" i="12"/>
  <c r="H2328" i="12"/>
  <c r="H2329" i="12"/>
  <c r="H2330" i="12"/>
  <c r="H2331" i="12"/>
  <c r="H2332" i="12"/>
  <c r="H2333" i="12"/>
  <c r="H2334" i="12"/>
  <c r="H2335" i="12"/>
  <c r="H2336" i="12"/>
  <c r="H2337" i="12"/>
  <c r="H2338" i="12"/>
  <c r="H2339" i="12"/>
  <c r="H2340" i="12"/>
  <c r="H2341" i="12"/>
  <c r="H2342" i="12"/>
  <c r="H2343" i="12"/>
  <c r="H2344" i="12"/>
  <c r="H2345" i="12"/>
  <c r="H2346" i="12"/>
  <c r="H2347" i="12"/>
  <c r="H2348" i="12"/>
  <c r="H2349" i="12"/>
  <c r="H2350" i="12"/>
  <c r="H2351" i="12"/>
  <c r="H2352" i="12"/>
  <c r="H2353" i="12"/>
  <c r="H2354" i="12"/>
  <c r="H2355" i="12"/>
  <c r="H2356" i="12"/>
  <c r="H2357" i="12"/>
  <c r="H2358" i="12"/>
  <c r="H2359" i="12"/>
  <c r="H2360" i="12"/>
  <c r="H2361" i="12"/>
  <c r="H2362" i="12"/>
  <c r="H2363" i="12"/>
  <c r="H2364" i="12"/>
  <c r="H2365" i="12"/>
  <c r="H2366" i="12"/>
  <c r="H2367" i="12"/>
  <c r="H2368" i="12"/>
  <c r="H2369" i="12"/>
  <c r="H2370" i="12"/>
  <c r="H2371" i="12"/>
  <c r="H2372" i="12"/>
  <c r="H2373" i="12"/>
  <c r="H2374" i="12"/>
  <c r="H2375" i="12"/>
  <c r="H2376" i="12"/>
  <c r="H2377" i="12"/>
  <c r="H2378" i="12"/>
  <c r="H2379" i="12"/>
  <c r="H2380" i="12"/>
  <c r="H2381" i="12"/>
  <c r="H2382" i="12"/>
  <c r="H2383" i="12"/>
  <c r="H2384" i="12"/>
  <c r="H2385" i="12"/>
  <c r="H2386" i="12"/>
  <c r="H2387" i="12"/>
  <c r="H2388" i="12"/>
  <c r="H2389" i="12"/>
  <c r="H2390" i="12"/>
  <c r="H2391" i="12"/>
  <c r="H2392" i="12"/>
  <c r="H2393" i="12"/>
  <c r="H2394" i="12"/>
  <c r="H2395" i="12"/>
  <c r="H2396" i="12"/>
  <c r="H2397" i="12"/>
  <c r="H2398" i="12"/>
  <c r="H2399" i="12"/>
  <c r="H2400" i="12"/>
  <c r="H2401" i="12"/>
  <c r="H2402" i="12"/>
  <c r="H2403" i="12"/>
  <c r="H2404" i="12"/>
  <c r="H2405" i="12"/>
  <c r="H2406" i="12"/>
  <c r="H2407" i="12"/>
  <c r="H2408" i="12"/>
  <c r="H2409" i="12"/>
  <c r="H2410" i="12"/>
  <c r="H2411" i="12"/>
  <c r="H2412" i="12"/>
  <c r="H2413" i="12"/>
  <c r="H2414" i="12"/>
  <c r="H2415" i="12"/>
  <c r="H2416" i="12"/>
  <c r="H2417" i="12"/>
  <c r="H2418" i="12"/>
  <c r="H2419" i="12"/>
  <c r="H2420" i="12"/>
  <c r="H2421" i="12"/>
  <c r="H2422" i="12"/>
  <c r="H2423" i="12"/>
  <c r="H2424" i="12"/>
  <c r="H2425" i="12"/>
  <c r="H2426" i="12"/>
  <c r="H2427" i="12"/>
  <c r="H2428" i="12"/>
  <c r="H2429" i="12"/>
  <c r="H2430" i="12"/>
  <c r="H2431" i="12"/>
  <c r="H2432" i="12"/>
  <c r="H2433" i="12"/>
  <c r="H2434" i="12"/>
  <c r="H2435" i="12"/>
  <c r="H2436" i="12"/>
  <c r="H2437" i="12"/>
  <c r="H2438" i="12"/>
  <c r="H2439" i="12"/>
  <c r="H2440" i="12"/>
  <c r="H2441" i="12"/>
  <c r="H2442" i="12"/>
  <c r="H2443" i="12"/>
  <c r="H2444" i="12"/>
  <c r="H2445" i="12"/>
  <c r="H2446" i="12"/>
  <c r="H2447" i="12"/>
  <c r="H2448" i="12"/>
  <c r="H2449" i="12"/>
  <c r="H2450" i="12"/>
  <c r="H2451" i="12"/>
  <c r="H2452" i="12"/>
  <c r="H2453" i="12"/>
  <c r="H2454" i="12"/>
  <c r="H2455" i="12"/>
  <c r="H2456" i="12"/>
  <c r="H2457" i="12"/>
  <c r="H2458" i="12"/>
  <c r="H2459" i="12"/>
  <c r="H2460" i="12"/>
  <c r="H2461" i="12"/>
  <c r="H2462" i="12"/>
  <c r="H2463" i="12"/>
  <c r="H2464" i="12"/>
  <c r="H2465" i="12"/>
  <c r="H2466" i="12"/>
  <c r="H2467" i="12"/>
  <c r="H2468" i="12"/>
  <c r="H2469" i="12"/>
  <c r="H2470" i="12"/>
  <c r="H2471" i="12"/>
  <c r="H2472" i="12"/>
  <c r="H2473" i="12"/>
  <c r="H2474" i="12"/>
  <c r="H2475" i="12"/>
  <c r="H2476" i="12"/>
  <c r="H2477" i="12"/>
  <c r="H2478" i="12"/>
  <c r="H2479" i="12"/>
  <c r="H2480" i="12"/>
  <c r="H2481" i="12"/>
  <c r="H2482" i="12"/>
  <c r="H2483" i="12"/>
  <c r="H2484" i="12"/>
  <c r="H2485" i="12"/>
  <c r="H2486" i="12"/>
  <c r="H2487" i="12"/>
  <c r="H2488" i="12"/>
  <c r="H2489" i="12"/>
  <c r="H2490" i="12"/>
  <c r="H2491" i="12"/>
  <c r="H2492" i="12"/>
  <c r="H2493" i="12"/>
  <c r="H2494" i="12"/>
  <c r="H2495" i="12"/>
  <c r="H2496" i="12"/>
  <c r="H2497" i="12"/>
  <c r="H2498" i="12"/>
  <c r="H2499" i="12"/>
  <c r="H2500" i="12"/>
  <c r="H2501" i="12"/>
  <c r="H2502" i="12"/>
  <c r="H2503" i="12"/>
  <c r="H2504" i="12"/>
  <c r="H2505" i="12"/>
  <c r="H2506" i="12"/>
  <c r="H2507" i="12"/>
  <c r="H2508" i="12"/>
  <c r="H2509" i="12"/>
  <c r="H2510" i="12"/>
  <c r="H2511" i="12"/>
  <c r="H2512" i="12"/>
  <c r="H2513" i="12"/>
  <c r="H2514" i="12"/>
  <c r="H2515" i="12"/>
  <c r="H2516" i="12"/>
  <c r="H2517" i="12"/>
  <c r="H2518" i="12"/>
  <c r="H2519" i="12"/>
  <c r="H2520" i="12"/>
  <c r="H2521" i="12"/>
  <c r="H2522" i="12"/>
  <c r="H2523" i="12"/>
  <c r="H2524" i="12"/>
  <c r="H2525" i="12"/>
  <c r="H2526" i="12"/>
  <c r="H2527" i="12"/>
  <c r="H2528" i="12"/>
  <c r="H2529" i="12"/>
  <c r="H2530" i="12"/>
  <c r="H2531" i="12"/>
  <c r="H2532" i="12"/>
  <c r="H2533" i="12"/>
  <c r="H2534" i="12"/>
  <c r="H2535" i="12"/>
  <c r="H2536" i="12"/>
  <c r="H2537" i="12"/>
  <c r="H2538" i="12"/>
  <c r="H2539" i="12"/>
  <c r="H2540" i="12"/>
  <c r="H2541" i="12"/>
  <c r="H2542" i="12"/>
  <c r="H2543" i="12"/>
  <c r="H2544" i="12"/>
  <c r="H2545" i="12"/>
  <c r="H2546" i="12"/>
  <c r="H2547" i="12"/>
  <c r="H2548" i="12"/>
  <c r="H2549" i="12"/>
  <c r="H2550" i="12"/>
  <c r="H2551" i="12"/>
  <c r="H2552" i="12"/>
  <c r="H2553" i="12"/>
  <c r="H2554" i="12"/>
  <c r="H2555" i="12"/>
  <c r="H2556" i="12"/>
  <c r="H2557" i="12"/>
  <c r="H2558" i="12"/>
  <c r="H2559" i="12"/>
  <c r="H2560" i="12"/>
  <c r="H2561" i="12"/>
  <c r="H2562" i="12"/>
  <c r="H2563" i="12"/>
  <c r="H2564" i="12"/>
  <c r="H2565" i="12"/>
  <c r="H2566" i="12"/>
  <c r="H2567" i="12"/>
  <c r="H2568" i="12"/>
  <c r="H2569" i="12"/>
  <c r="H2570" i="12"/>
  <c r="H2571" i="12"/>
  <c r="H2572" i="12"/>
  <c r="H2573" i="12"/>
  <c r="H2574" i="12"/>
  <c r="H2575" i="12"/>
  <c r="H2576" i="12"/>
  <c r="H2577" i="12"/>
  <c r="H2578" i="12"/>
  <c r="H2579" i="12"/>
  <c r="H2580" i="12"/>
  <c r="H2581" i="12"/>
  <c r="H2582" i="12"/>
  <c r="H2583" i="12"/>
  <c r="H2584" i="12"/>
  <c r="H2585" i="12"/>
  <c r="H2586" i="12"/>
  <c r="H2587" i="12"/>
  <c r="H2588" i="12"/>
  <c r="H2589" i="12"/>
  <c r="H2590" i="12"/>
  <c r="H2591" i="12"/>
  <c r="H2592" i="12"/>
  <c r="H2593" i="12"/>
  <c r="H2594" i="12"/>
  <c r="H2595" i="12"/>
  <c r="H2596" i="12"/>
  <c r="H2597" i="12"/>
  <c r="H2598" i="12"/>
  <c r="H2599" i="12"/>
  <c r="H2600" i="12"/>
  <c r="H2601" i="12"/>
  <c r="H2602" i="12"/>
  <c r="H2603" i="12"/>
  <c r="H2604" i="12"/>
  <c r="H2605" i="12"/>
  <c r="H2606" i="12"/>
  <c r="H2607" i="12"/>
  <c r="H2608" i="12"/>
  <c r="H2609" i="12"/>
  <c r="H2610" i="12"/>
  <c r="H2611" i="12"/>
  <c r="H2612" i="12"/>
  <c r="H2613" i="12"/>
  <c r="H2614" i="12"/>
  <c r="H2615" i="12"/>
  <c r="H2616" i="12"/>
  <c r="H2617" i="12"/>
  <c r="H2618" i="12"/>
  <c r="H2619" i="12"/>
  <c r="H2620" i="12"/>
  <c r="H2621" i="12"/>
  <c r="H2622" i="12"/>
  <c r="H2623" i="12"/>
  <c r="H2624" i="12"/>
  <c r="H2625" i="12"/>
  <c r="H2626" i="12"/>
  <c r="H2627" i="12"/>
  <c r="H2628" i="12"/>
  <c r="H2629" i="12"/>
  <c r="H2630" i="12"/>
  <c r="H2631" i="12"/>
  <c r="H2632" i="12"/>
  <c r="H2633" i="12"/>
  <c r="H2634" i="12"/>
  <c r="H2635" i="12"/>
  <c r="H2636" i="12"/>
  <c r="H2637" i="12"/>
  <c r="H2638" i="12"/>
  <c r="H2639" i="12"/>
  <c r="H2640" i="12"/>
  <c r="H2641" i="12"/>
  <c r="H2642" i="12"/>
  <c r="H2643" i="12"/>
  <c r="H2644" i="12"/>
  <c r="H2645" i="12"/>
  <c r="H2646" i="12"/>
  <c r="H2647" i="12"/>
  <c r="H2648" i="12"/>
  <c r="H2649" i="12"/>
  <c r="H2650" i="12"/>
  <c r="H2651" i="12"/>
  <c r="H2652" i="12"/>
  <c r="H2653" i="12"/>
  <c r="H2654" i="12"/>
  <c r="H2655" i="12"/>
  <c r="H2656" i="12"/>
  <c r="H2657" i="12"/>
  <c r="H2658" i="12"/>
  <c r="H2659" i="12"/>
  <c r="H2660" i="12"/>
  <c r="H2661" i="12"/>
  <c r="H2662" i="12"/>
  <c r="H2663" i="12"/>
  <c r="H2664" i="12"/>
  <c r="H2665" i="12"/>
  <c r="H2666" i="12"/>
  <c r="H2667" i="12"/>
  <c r="H2668" i="12"/>
  <c r="H2669" i="12"/>
  <c r="H2670" i="12"/>
  <c r="H2671" i="12"/>
  <c r="H2672" i="12"/>
  <c r="H2673" i="12"/>
  <c r="H2674" i="12"/>
  <c r="H2675" i="12"/>
  <c r="H2676" i="12"/>
  <c r="H2677" i="12"/>
  <c r="H2678" i="12"/>
  <c r="H2679" i="12"/>
  <c r="H2680" i="12"/>
  <c r="H2681" i="12"/>
  <c r="H2682" i="12"/>
  <c r="H2683" i="12"/>
  <c r="H2684" i="12"/>
  <c r="H2685" i="12"/>
  <c r="H2686" i="12"/>
  <c r="H2687" i="12"/>
  <c r="H2688" i="12"/>
  <c r="H2689" i="12"/>
  <c r="H2690" i="12"/>
  <c r="H2691" i="12"/>
  <c r="H2692" i="12"/>
  <c r="H2693" i="12"/>
  <c r="H2694" i="12"/>
  <c r="H2695" i="12"/>
  <c r="H2696" i="12"/>
  <c r="H2697" i="12"/>
  <c r="H2698" i="12"/>
  <c r="H2699" i="12"/>
  <c r="H2700" i="12"/>
  <c r="H2701" i="12"/>
  <c r="H2702" i="12"/>
  <c r="H2703" i="12"/>
  <c r="H2704" i="12"/>
  <c r="H2705" i="12"/>
  <c r="H2706" i="12"/>
  <c r="H2707" i="12"/>
  <c r="H2708" i="12"/>
  <c r="H2709" i="12"/>
  <c r="H2710" i="12"/>
  <c r="H2711" i="12"/>
  <c r="H2712" i="12"/>
  <c r="H2713" i="12"/>
  <c r="H2714" i="12"/>
  <c r="H2715" i="12"/>
  <c r="H2716" i="12"/>
  <c r="H2717" i="12"/>
  <c r="H2718" i="12"/>
  <c r="H2719" i="12"/>
  <c r="H2720" i="12"/>
  <c r="H2721" i="12"/>
  <c r="H2722" i="12"/>
  <c r="H2723" i="12"/>
  <c r="H2724" i="12"/>
  <c r="H2725" i="12"/>
  <c r="H2726" i="12"/>
  <c r="H2727" i="12"/>
  <c r="H2728" i="12"/>
  <c r="H2729" i="12"/>
  <c r="H2730" i="12"/>
  <c r="H2731" i="12"/>
  <c r="H2732" i="12"/>
  <c r="H2733" i="12"/>
  <c r="H2734" i="12"/>
  <c r="H2735" i="12"/>
  <c r="H2736" i="12"/>
  <c r="H2737" i="12"/>
  <c r="H2738" i="12"/>
  <c r="H2739" i="12"/>
  <c r="H2740" i="12"/>
  <c r="H2741" i="12"/>
  <c r="H2742" i="12"/>
  <c r="H2743" i="12"/>
  <c r="H2744" i="12"/>
  <c r="H2745" i="12"/>
  <c r="H2746" i="12"/>
  <c r="H2747" i="12"/>
  <c r="H2748" i="12"/>
  <c r="H2749" i="12"/>
  <c r="H2750" i="12"/>
  <c r="H2751" i="12"/>
  <c r="H2752" i="12"/>
  <c r="H2753" i="12"/>
  <c r="H2754" i="12"/>
  <c r="H2755" i="12"/>
  <c r="H2756" i="12"/>
  <c r="H2757" i="12"/>
  <c r="H2758" i="12"/>
  <c r="H2759" i="12"/>
  <c r="H2760" i="12"/>
  <c r="H2761" i="12"/>
  <c r="H2762" i="12"/>
  <c r="H2763" i="12"/>
  <c r="H2764" i="12"/>
  <c r="H2765" i="12"/>
  <c r="H2766" i="12"/>
  <c r="H2767" i="12"/>
  <c r="H2768" i="12"/>
  <c r="H2769" i="12"/>
  <c r="H2770" i="12"/>
  <c r="H2771" i="12"/>
  <c r="H2772" i="12"/>
  <c r="H2773" i="12"/>
  <c r="H2774" i="12"/>
  <c r="H2775" i="12"/>
  <c r="H2776" i="12"/>
  <c r="H2777" i="12"/>
  <c r="H2778" i="12"/>
  <c r="H2779" i="12"/>
  <c r="H2780" i="12"/>
  <c r="H2781" i="12"/>
  <c r="H2782" i="12"/>
  <c r="H2783" i="12"/>
  <c r="H2784" i="12"/>
  <c r="H2785" i="12"/>
  <c r="H2786" i="12"/>
  <c r="H2787" i="12"/>
  <c r="H2788" i="12"/>
  <c r="H2789" i="12"/>
  <c r="H2790" i="12"/>
  <c r="H2791" i="12"/>
  <c r="H2792" i="12"/>
  <c r="H2793" i="12"/>
  <c r="H2794" i="12"/>
  <c r="H2795" i="12"/>
  <c r="H2796" i="12"/>
  <c r="H2797" i="12"/>
  <c r="H2798" i="12"/>
  <c r="H2799" i="12"/>
  <c r="H2800" i="12"/>
  <c r="H2801" i="12"/>
  <c r="H2802" i="12"/>
  <c r="H2803" i="12"/>
  <c r="H2804" i="12"/>
  <c r="H2805" i="12"/>
  <c r="H2806" i="12"/>
  <c r="H2807" i="12"/>
  <c r="H2808" i="12"/>
  <c r="H2809" i="12"/>
  <c r="H2810" i="12"/>
  <c r="H2811" i="12"/>
  <c r="H2812" i="12"/>
  <c r="H2813" i="12"/>
  <c r="H2814" i="12"/>
  <c r="H2815" i="12"/>
  <c r="H2816" i="12"/>
  <c r="H2817" i="12"/>
  <c r="H2818" i="12"/>
  <c r="H2819" i="12"/>
  <c r="H2820" i="12"/>
  <c r="H2821" i="12"/>
  <c r="H2822" i="12"/>
  <c r="H2823" i="12"/>
  <c r="H2824" i="12"/>
  <c r="H2825" i="12"/>
  <c r="H2826" i="12"/>
  <c r="H2827" i="12"/>
  <c r="H2828" i="12"/>
  <c r="H2829" i="12"/>
  <c r="H2830" i="12"/>
  <c r="H2831" i="12"/>
  <c r="H2832" i="12"/>
  <c r="H2833" i="12"/>
  <c r="H2834" i="12"/>
  <c r="H2835" i="12"/>
  <c r="H2836" i="12"/>
  <c r="H2837" i="12"/>
  <c r="H2838" i="12"/>
  <c r="H2839" i="12"/>
  <c r="H2840" i="12"/>
  <c r="H2841" i="12"/>
  <c r="H2842" i="12"/>
  <c r="H2843" i="12"/>
  <c r="H2844" i="12"/>
  <c r="H2845" i="12"/>
  <c r="H2846" i="12"/>
  <c r="H2847" i="12"/>
  <c r="H2848" i="12"/>
  <c r="H2849" i="12"/>
  <c r="H2850" i="12"/>
  <c r="H2851" i="12"/>
  <c r="H2852" i="12"/>
  <c r="H2853" i="12"/>
  <c r="H2854" i="12"/>
  <c r="H2855" i="12"/>
  <c r="H2856" i="12"/>
  <c r="H2857" i="12"/>
  <c r="H2858" i="12"/>
  <c r="H2859" i="12"/>
  <c r="H2860" i="12"/>
  <c r="H2861" i="12"/>
  <c r="H2862" i="12"/>
  <c r="H2863" i="12"/>
  <c r="H2864" i="12"/>
  <c r="H2865" i="12"/>
  <c r="H2866" i="12"/>
  <c r="H2867" i="12"/>
  <c r="H2868" i="12"/>
  <c r="H2869" i="12"/>
  <c r="H2870" i="12"/>
  <c r="H2871" i="12"/>
  <c r="H2872" i="12"/>
  <c r="H2873" i="12"/>
  <c r="H2874" i="12"/>
  <c r="H2875" i="12"/>
  <c r="H2876" i="12"/>
  <c r="H2877" i="12"/>
  <c r="H2878" i="12"/>
  <c r="H2879" i="12"/>
  <c r="H2880" i="12"/>
  <c r="H2881" i="12"/>
  <c r="H2882" i="12"/>
  <c r="H2883" i="12"/>
  <c r="H2884" i="12"/>
  <c r="H2885" i="12"/>
  <c r="H2886" i="12"/>
  <c r="H2887" i="12"/>
  <c r="H2888" i="12"/>
  <c r="H2889" i="12"/>
  <c r="H2890" i="12"/>
  <c r="H2891" i="12"/>
  <c r="H2892" i="12"/>
  <c r="H2893" i="12"/>
  <c r="H2894" i="12"/>
  <c r="H2895" i="12"/>
  <c r="H2896" i="12"/>
  <c r="H2897" i="12"/>
  <c r="H2898" i="12"/>
  <c r="H2899" i="12"/>
  <c r="H2900" i="12"/>
  <c r="H2901" i="12"/>
  <c r="H2902" i="12"/>
  <c r="H2903" i="12"/>
  <c r="H2904" i="12"/>
  <c r="H2905" i="12"/>
  <c r="H2906" i="12"/>
  <c r="H2907" i="12"/>
  <c r="H2908" i="12"/>
  <c r="H2909" i="12"/>
  <c r="H2910" i="12"/>
  <c r="H2911" i="12"/>
  <c r="H2912" i="12"/>
  <c r="H2913" i="12"/>
  <c r="H2914" i="12"/>
  <c r="H2915" i="12"/>
  <c r="H2916" i="12"/>
  <c r="H2917" i="12"/>
  <c r="H2918" i="12"/>
  <c r="H2919" i="12"/>
  <c r="H2920" i="12"/>
  <c r="H2921" i="12"/>
  <c r="H2922" i="12"/>
  <c r="H2923" i="12"/>
  <c r="H2924" i="12"/>
  <c r="H2925" i="12"/>
  <c r="H2926" i="12"/>
  <c r="H2927" i="12"/>
  <c r="H2928" i="12"/>
  <c r="H2929" i="12"/>
  <c r="H2930" i="12"/>
  <c r="H2931" i="12"/>
  <c r="H2932" i="12"/>
  <c r="H2933" i="12"/>
  <c r="H2934" i="12"/>
  <c r="H2935" i="12"/>
  <c r="H2936" i="12"/>
  <c r="H2937" i="12"/>
  <c r="H2938" i="12"/>
  <c r="H2939" i="12"/>
  <c r="H2940" i="12"/>
  <c r="H2941" i="12"/>
  <c r="H2942" i="12"/>
  <c r="H2943" i="12"/>
  <c r="H2944" i="12"/>
  <c r="H2945" i="12"/>
  <c r="H2946" i="12"/>
  <c r="H2947" i="12"/>
  <c r="H2948" i="12"/>
  <c r="H2949" i="12"/>
  <c r="H2950" i="12"/>
  <c r="H2951" i="12"/>
  <c r="H2952" i="12"/>
  <c r="H2953" i="12"/>
  <c r="H2954" i="12"/>
  <c r="H2955" i="12"/>
  <c r="H2956" i="12"/>
  <c r="H2957" i="12"/>
  <c r="H2958" i="12"/>
  <c r="H2959" i="12"/>
  <c r="H2960" i="12"/>
  <c r="H2961" i="12"/>
  <c r="H2962" i="12"/>
  <c r="H2963" i="12"/>
  <c r="H2964" i="12"/>
  <c r="H2965" i="12"/>
  <c r="H2966" i="12"/>
  <c r="H2967" i="12"/>
  <c r="H2968" i="12"/>
  <c r="H2969" i="12"/>
  <c r="H2970" i="12"/>
  <c r="H2971" i="12"/>
  <c r="H2972" i="12"/>
  <c r="H2973" i="12"/>
  <c r="H2974" i="12"/>
  <c r="H2975" i="12"/>
  <c r="H2976" i="12"/>
  <c r="H2977" i="12"/>
  <c r="H2978" i="12"/>
  <c r="H2979" i="12"/>
  <c r="H2980" i="12"/>
  <c r="H2981" i="12"/>
  <c r="H2982" i="12"/>
  <c r="H2983" i="12"/>
  <c r="H2984" i="12"/>
  <c r="H2985" i="12"/>
  <c r="H2986" i="12"/>
  <c r="H2987" i="12"/>
  <c r="H2988" i="12"/>
  <c r="H2989" i="12"/>
  <c r="H2990" i="12"/>
  <c r="H2991" i="12"/>
  <c r="H2992" i="12"/>
  <c r="H2993" i="12"/>
  <c r="H2994" i="12"/>
  <c r="H2995" i="12"/>
  <c r="H2996" i="12"/>
  <c r="H2997" i="12"/>
  <c r="H2998" i="12"/>
  <c r="H2999" i="12"/>
  <c r="H3000" i="12"/>
  <c r="H3001" i="12"/>
  <c r="H3002" i="12"/>
  <c r="H3003" i="12"/>
  <c r="G14" i="12"/>
  <c r="M14" i="12" s="1"/>
  <c r="G15" i="12"/>
  <c r="L15" i="12" s="1"/>
  <c r="G16" i="12"/>
  <c r="K16" i="12" s="1"/>
  <c r="G17" i="12"/>
  <c r="J17" i="12" s="1"/>
  <c r="G18" i="12"/>
  <c r="I18" i="12" s="1"/>
  <c r="G19" i="12"/>
  <c r="I19" i="12" s="1"/>
  <c r="G20" i="12"/>
  <c r="I20" i="12" s="1"/>
  <c r="G21" i="12"/>
  <c r="I21" i="12" s="1"/>
  <c r="G22" i="12"/>
  <c r="M22" i="12" s="1"/>
  <c r="G23" i="12"/>
  <c r="L23" i="12" s="1"/>
  <c r="G24" i="12"/>
  <c r="K24" i="12" s="1"/>
  <c r="G25" i="12"/>
  <c r="J25" i="12" s="1"/>
  <c r="G26" i="12"/>
  <c r="I26" i="12" s="1"/>
  <c r="G27" i="12"/>
  <c r="I27" i="12" s="1"/>
  <c r="G28" i="12"/>
  <c r="I28" i="12" s="1"/>
  <c r="G29" i="12"/>
  <c r="I29" i="12" s="1"/>
  <c r="G30" i="12"/>
  <c r="M30" i="12" s="1"/>
  <c r="G31" i="12"/>
  <c r="L31" i="12" s="1"/>
  <c r="G32" i="12"/>
  <c r="K32" i="12" s="1"/>
  <c r="G33" i="12"/>
  <c r="J33" i="12" s="1"/>
  <c r="G34" i="12"/>
  <c r="G35" i="12"/>
  <c r="G36" i="12"/>
  <c r="G37" i="12"/>
  <c r="G38" i="12"/>
  <c r="G39" i="12"/>
  <c r="G40" i="12"/>
  <c r="G41" i="12"/>
  <c r="G42" i="12"/>
  <c r="G43" i="12"/>
  <c r="G44" i="12"/>
  <c r="G45" i="12"/>
  <c r="G46" i="12"/>
  <c r="I46" i="12" s="1"/>
  <c r="G47" i="12"/>
  <c r="G48" i="12"/>
  <c r="G49" i="12"/>
  <c r="G50" i="12"/>
  <c r="G51" i="12"/>
  <c r="G52" i="12"/>
  <c r="G53" i="12"/>
  <c r="G54" i="12"/>
  <c r="G55" i="12"/>
  <c r="G56" i="12"/>
  <c r="G57" i="12"/>
  <c r="G58" i="12"/>
  <c r="G59" i="12"/>
  <c r="G60" i="12"/>
  <c r="G61" i="12"/>
  <c r="G62" i="12"/>
  <c r="G63" i="12"/>
  <c r="G64" i="12"/>
  <c r="G65" i="12"/>
  <c r="G66" i="12"/>
  <c r="G67" i="12"/>
  <c r="G68" i="12"/>
  <c r="G69" i="12"/>
  <c r="G70" i="12"/>
  <c r="G71" i="12"/>
  <c r="G72" i="12"/>
  <c r="G73" i="12"/>
  <c r="G74" i="12"/>
  <c r="G75" i="12"/>
  <c r="G76" i="12"/>
  <c r="G77" i="12"/>
  <c r="G78" i="12"/>
  <c r="I78" i="12" s="1"/>
  <c r="G79" i="12"/>
  <c r="G80" i="12"/>
  <c r="G81" i="12"/>
  <c r="G82" i="12"/>
  <c r="G83" i="12"/>
  <c r="G84" i="12"/>
  <c r="G85" i="12"/>
  <c r="G86" i="12"/>
  <c r="G87" i="12"/>
  <c r="G88" i="12"/>
  <c r="G89" i="12"/>
  <c r="I89" i="12" s="1"/>
  <c r="G90" i="12"/>
  <c r="G91" i="12"/>
  <c r="G92" i="12"/>
  <c r="G93" i="12"/>
  <c r="G94" i="12"/>
  <c r="G95" i="12"/>
  <c r="G96" i="12"/>
  <c r="G97" i="12"/>
  <c r="G98" i="12"/>
  <c r="G99" i="12"/>
  <c r="G100" i="12"/>
  <c r="G101" i="12"/>
  <c r="G102" i="12"/>
  <c r="G103" i="12"/>
  <c r="G104" i="12"/>
  <c r="G105" i="12"/>
  <c r="G106" i="12"/>
  <c r="G107" i="12"/>
  <c r="G108" i="12"/>
  <c r="G109" i="12"/>
  <c r="G110" i="12"/>
  <c r="G111" i="12"/>
  <c r="G112" i="12"/>
  <c r="G113" i="12"/>
  <c r="G114" i="12"/>
  <c r="G115" i="12"/>
  <c r="G116" i="12"/>
  <c r="G117" i="12"/>
  <c r="G118" i="12"/>
  <c r="G119" i="12"/>
  <c r="G120" i="12"/>
  <c r="G121" i="12"/>
  <c r="G122" i="12"/>
  <c r="G123" i="12"/>
  <c r="G124" i="12"/>
  <c r="G125" i="12"/>
  <c r="G126" i="12"/>
  <c r="G127" i="12"/>
  <c r="G128" i="12"/>
  <c r="G129" i="12"/>
  <c r="G130" i="12"/>
  <c r="G131" i="12"/>
  <c r="G132" i="12"/>
  <c r="G133" i="12"/>
  <c r="G134" i="12"/>
  <c r="G135" i="12"/>
  <c r="G136" i="12"/>
  <c r="G137" i="12"/>
  <c r="G138" i="12"/>
  <c r="G139" i="12"/>
  <c r="G140" i="12"/>
  <c r="G141" i="12"/>
  <c r="G142" i="12"/>
  <c r="I142" i="12" s="1"/>
  <c r="G143" i="12"/>
  <c r="G144" i="12"/>
  <c r="G145" i="12"/>
  <c r="G146" i="12"/>
  <c r="G147" i="12"/>
  <c r="G148" i="12"/>
  <c r="G149" i="12"/>
  <c r="G150" i="12"/>
  <c r="G151" i="12"/>
  <c r="G152" i="12"/>
  <c r="G153" i="12"/>
  <c r="G154" i="12"/>
  <c r="G155" i="12"/>
  <c r="G156" i="12"/>
  <c r="G157" i="12"/>
  <c r="G158" i="12"/>
  <c r="G159" i="12"/>
  <c r="G160" i="12"/>
  <c r="G161" i="12"/>
  <c r="G162" i="12"/>
  <c r="G163" i="12"/>
  <c r="I163" i="12" s="1"/>
  <c r="G164" i="12"/>
  <c r="G165" i="12"/>
  <c r="G166" i="12"/>
  <c r="G167" i="12"/>
  <c r="G168" i="12"/>
  <c r="G169" i="12"/>
  <c r="G170" i="12"/>
  <c r="G171" i="12"/>
  <c r="G172" i="12"/>
  <c r="G173" i="12"/>
  <c r="G174" i="12"/>
  <c r="I174" i="12" s="1"/>
  <c r="G175" i="12"/>
  <c r="G176" i="12"/>
  <c r="G177" i="12"/>
  <c r="G178" i="12"/>
  <c r="G179" i="12"/>
  <c r="G180" i="12"/>
  <c r="G181" i="12"/>
  <c r="G182" i="12"/>
  <c r="G183" i="12"/>
  <c r="G184" i="12"/>
  <c r="G185" i="12"/>
  <c r="G186" i="12"/>
  <c r="G187" i="12"/>
  <c r="G188" i="12"/>
  <c r="G189" i="12"/>
  <c r="G190" i="12"/>
  <c r="G191" i="12"/>
  <c r="G192" i="12"/>
  <c r="G193" i="12"/>
  <c r="G194" i="12"/>
  <c r="G195" i="12"/>
  <c r="G196" i="12"/>
  <c r="G197" i="12"/>
  <c r="G198" i="12"/>
  <c r="G199" i="12"/>
  <c r="G200" i="12"/>
  <c r="G201" i="12"/>
  <c r="G202" i="12"/>
  <c r="G203" i="12"/>
  <c r="G204" i="12"/>
  <c r="G205" i="12"/>
  <c r="G206" i="12"/>
  <c r="G207" i="12"/>
  <c r="G208" i="12"/>
  <c r="G209" i="12"/>
  <c r="G210" i="12"/>
  <c r="G211" i="12"/>
  <c r="G212" i="12"/>
  <c r="G213" i="12"/>
  <c r="G214" i="12"/>
  <c r="G215" i="12"/>
  <c r="G216" i="12"/>
  <c r="G217" i="12"/>
  <c r="G218" i="12"/>
  <c r="G219" i="12"/>
  <c r="G220" i="12"/>
  <c r="G221" i="12"/>
  <c r="G222" i="12"/>
  <c r="G223" i="12"/>
  <c r="G224" i="12"/>
  <c r="G225" i="12"/>
  <c r="G226" i="12"/>
  <c r="G227" i="12"/>
  <c r="G228" i="12"/>
  <c r="J228" i="12" s="1"/>
  <c r="G229" i="12"/>
  <c r="G230" i="12"/>
  <c r="G231" i="12"/>
  <c r="G232" i="12"/>
  <c r="G233" i="12"/>
  <c r="G234" i="12"/>
  <c r="G235" i="12"/>
  <c r="G236" i="12"/>
  <c r="G237" i="12"/>
  <c r="G238" i="12"/>
  <c r="I238" i="12" s="1"/>
  <c r="G239" i="12"/>
  <c r="G240" i="12"/>
  <c r="G241" i="12"/>
  <c r="G242" i="12"/>
  <c r="G243" i="12"/>
  <c r="G244" i="12"/>
  <c r="G245" i="12"/>
  <c r="G246" i="12"/>
  <c r="G247" i="12"/>
  <c r="G248" i="12"/>
  <c r="G249" i="12"/>
  <c r="I249" i="12" s="1"/>
  <c r="G250" i="12"/>
  <c r="G251" i="12"/>
  <c r="G252" i="12"/>
  <c r="G253" i="12"/>
  <c r="G254" i="12"/>
  <c r="G255" i="12"/>
  <c r="G256" i="12"/>
  <c r="G257" i="12"/>
  <c r="G258" i="12"/>
  <c r="G259" i="12"/>
  <c r="G260" i="12"/>
  <c r="G261" i="12"/>
  <c r="G262" i="12"/>
  <c r="G263" i="12"/>
  <c r="G264" i="12"/>
  <c r="G265" i="12"/>
  <c r="G266" i="12"/>
  <c r="G267" i="12"/>
  <c r="G268" i="12"/>
  <c r="G269" i="12"/>
  <c r="G270" i="12"/>
  <c r="G271" i="12"/>
  <c r="G272" i="12"/>
  <c r="G273" i="12"/>
  <c r="G274" i="12"/>
  <c r="G275" i="12"/>
  <c r="G276" i="12"/>
  <c r="G277" i="12"/>
  <c r="G278" i="12"/>
  <c r="G279" i="12"/>
  <c r="G280" i="12"/>
  <c r="G281" i="12"/>
  <c r="G282" i="12"/>
  <c r="G283" i="12"/>
  <c r="G284" i="12"/>
  <c r="G285" i="12"/>
  <c r="G286" i="12"/>
  <c r="G287" i="12"/>
  <c r="G288" i="12"/>
  <c r="G289" i="12"/>
  <c r="G290" i="12"/>
  <c r="G291" i="12"/>
  <c r="G292" i="12"/>
  <c r="G293" i="12"/>
  <c r="G294" i="12"/>
  <c r="G295" i="12"/>
  <c r="G296" i="12"/>
  <c r="G297" i="12"/>
  <c r="G298" i="12"/>
  <c r="G299" i="12"/>
  <c r="G300" i="12"/>
  <c r="G301" i="12"/>
  <c r="G302" i="12"/>
  <c r="G303" i="12"/>
  <c r="G304" i="12"/>
  <c r="G305" i="12"/>
  <c r="G306" i="12"/>
  <c r="G307" i="12"/>
  <c r="G308" i="12"/>
  <c r="G309" i="12"/>
  <c r="G310" i="12"/>
  <c r="G311" i="12"/>
  <c r="G312" i="12"/>
  <c r="G313" i="12"/>
  <c r="G314" i="12"/>
  <c r="G315" i="12"/>
  <c r="G316" i="12"/>
  <c r="G317" i="12"/>
  <c r="G318" i="12"/>
  <c r="G319" i="12"/>
  <c r="I319" i="12" s="1"/>
  <c r="G320" i="12"/>
  <c r="G321" i="12"/>
  <c r="G322" i="12"/>
  <c r="G323" i="12"/>
  <c r="G324" i="12"/>
  <c r="G325" i="12"/>
  <c r="G326" i="12"/>
  <c r="G327" i="12"/>
  <c r="G328" i="12"/>
  <c r="G329" i="12"/>
  <c r="G330" i="12"/>
  <c r="G331" i="12"/>
  <c r="G332" i="12"/>
  <c r="G333" i="12"/>
  <c r="G334" i="12"/>
  <c r="G335" i="12"/>
  <c r="G336" i="12"/>
  <c r="G337" i="12"/>
  <c r="G338" i="12"/>
  <c r="G339" i="12"/>
  <c r="G340" i="12"/>
  <c r="G341" i="12"/>
  <c r="G342" i="12"/>
  <c r="G343" i="12"/>
  <c r="G344" i="12"/>
  <c r="G345" i="12"/>
  <c r="G346" i="12"/>
  <c r="G347" i="12"/>
  <c r="G348" i="12"/>
  <c r="G349" i="12"/>
  <c r="G350" i="12"/>
  <c r="G351" i="12"/>
  <c r="G352" i="12"/>
  <c r="G353" i="12"/>
  <c r="G354" i="12"/>
  <c r="G355" i="12"/>
  <c r="G356" i="12"/>
  <c r="G357" i="12"/>
  <c r="G358" i="12"/>
  <c r="G359" i="12"/>
  <c r="G360" i="12"/>
  <c r="G361" i="12"/>
  <c r="G362" i="12"/>
  <c r="G363" i="12"/>
  <c r="G364" i="12"/>
  <c r="G365" i="12"/>
  <c r="G366" i="12"/>
  <c r="G367" i="12"/>
  <c r="G368" i="12"/>
  <c r="G369" i="12"/>
  <c r="G370" i="12"/>
  <c r="G371" i="12"/>
  <c r="G372" i="12"/>
  <c r="G373" i="12"/>
  <c r="G374" i="12"/>
  <c r="G375" i="12"/>
  <c r="G376" i="12"/>
  <c r="G377" i="12"/>
  <c r="G378" i="12"/>
  <c r="G379" i="12"/>
  <c r="G380" i="12"/>
  <c r="G381" i="12"/>
  <c r="G382" i="12"/>
  <c r="G383" i="12"/>
  <c r="G384" i="12"/>
  <c r="G385" i="12"/>
  <c r="G386" i="12"/>
  <c r="G387" i="12"/>
  <c r="G388" i="12"/>
  <c r="G389" i="12"/>
  <c r="G390" i="12"/>
  <c r="G391" i="12"/>
  <c r="G392" i="12"/>
  <c r="G393" i="12"/>
  <c r="G394" i="12"/>
  <c r="G395" i="12"/>
  <c r="G396" i="12"/>
  <c r="G397" i="12"/>
  <c r="J397" i="12" s="1"/>
  <c r="G398" i="12"/>
  <c r="G399" i="12"/>
  <c r="G400" i="12"/>
  <c r="G401" i="12"/>
  <c r="G402" i="12"/>
  <c r="G403" i="12"/>
  <c r="G404" i="12"/>
  <c r="G405" i="12"/>
  <c r="G406" i="12"/>
  <c r="G407" i="12"/>
  <c r="G408" i="12"/>
  <c r="G409" i="12"/>
  <c r="G410" i="12"/>
  <c r="G411" i="12"/>
  <c r="G412" i="12"/>
  <c r="G413" i="12"/>
  <c r="G414" i="12"/>
  <c r="G415" i="12"/>
  <c r="G416" i="12"/>
  <c r="G417" i="12"/>
  <c r="G418" i="12"/>
  <c r="G419" i="12"/>
  <c r="G420" i="12"/>
  <c r="G421" i="12"/>
  <c r="G422" i="12"/>
  <c r="G423" i="12"/>
  <c r="G424" i="12"/>
  <c r="G425" i="12"/>
  <c r="G426" i="12"/>
  <c r="G427" i="12"/>
  <c r="G428" i="12"/>
  <c r="I428" i="12" s="1"/>
  <c r="G429" i="12"/>
  <c r="G430" i="12"/>
  <c r="G431" i="12"/>
  <c r="G432" i="12"/>
  <c r="G433" i="12"/>
  <c r="I433" i="12" s="1"/>
  <c r="G434" i="12"/>
  <c r="G435" i="12"/>
  <c r="G436" i="12"/>
  <c r="I436" i="12" s="1"/>
  <c r="G437" i="12"/>
  <c r="G438" i="12"/>
  <c r="G439" i="12"/>
  <c r="G440" i="12"/>
  <c r="G441" i="12"/>
  <c r="G442" i="12"/>
  <c r="G443" i="12"/>
  <c r="G444" i="12"/>
  <c r="I444" i="12" s="1"/>
  <c r="G445" i="12"/>
  <c r="G446" i="12"/>
  <c r="G447" i="12"/>
  <c r="G448" i="12"/>
  <c r="G449" i="12"/>
  <c r="G450" i="12"/>
  <c r="G451" i="12"/>
  <c r="G452" i="12"/>
  <c r="I452" i="12" s="1"/>
  <c r="G453" i="12"/>
  <c r="G454" i="12"/>
  <c r="G455" i="12"/>
  <c r="G456" i="12"/>
  <c r="G457" i="12"/>
  <c r="I457" i="12" s="1"/>
  <c r="G458" i="12"/>
  <c r="G459" i="12"/>
  <c r="G460" i="12"/>
  <c r="G461" i="12"/>
  <c r="G462" i="12"/>
  <c r="G463" i="12"/>
  <c r="G464" i="12"/>
  <c r="G465" i="12"/>
  <c r="G466" i="12"/>
  <c r="G467" i="12"/>
  <c r="G468" i="12"/>
  <c r="I468" i="12" s="1"/>
  <c r="G469" i="12"/>
  <c r="G470" i="12"/>
  <c r="G471" i="12"/>
  <c r="G472" i="12"/>
  <c r="G473" i="12"/>
  <c r="G474" i="12"/>
  <c r="G475" i="12"/>
  <c r="G476" i="12"/>
  <c r="I476" i="12" s="1"/>
  <c r="G477" i="12"/>
  <c r="G478" i="12"/>
  <c r="G479" i="12"/>
  <c r="G480" i="12"/>
  <c r="G481" i="12"/>
  <c r="G482" i="12"/>
  <c r="G483" i="12"/>
  <c r="G484" i="12"/>
  <c r="I484" i="12" s="1"/>
  <c r="G485" i="12"/>
  <c r="G486" i="12"/>
  <c r="G487" i="12"/>
  <c r="G488" i="12"/>
  <c r="G489" i="12"/>
  <c r="G490" i="12"/>
  <c r="G491" i="12"/>
  <c r="G492" i="12"/>
  <c r="I492" i="12" s="1"/>
  <c r="G493" i="12"/>
  <c r="G494" i="12"/>
  <c r="G495" i="12"/>
  <c r="G496" i="12"/>
  <c r="G497" i="12"/>
  <c r="I497" i="12" s="1"/>
  <c r="G498" i="12"/>
  <c r="G499" i="12"/>
  <c r="G500" i="12"/>
  <c r="I500" i="12" s="1"/>
  <c r="G501" i="12"/>
  <c r="G502" i="12"/>
  <c r="G503" i="12"/>
  <c r="G504" i="12"/>
  <c r="G505" i="12"/>
  <c r="G506" i="12"/>
  <c r="G507" i="12"/>
  <c r="G508" i="12"/>
  <c r="I508" i="12" s="1"/>
  <c r="G509" i="12"/>
  <c r="G510" i="12"/>
  <c r="G511" i="12"/>
  <c r="G512" i="12"/>
  <c r="G513" i="12"/>
  <c r="G514" i="12"/>
  <c r="G515" i="12"/>
  <c r="G516" i="12"/>
  <c r="I516" i="12" s="1"/>
  <c r="G517" i="12"/>
  <c r="G518" i="12"/>
  <c r="G519" i="12"/>
  <c r="I519" i="12" s="1"/>
  <c r="G520" i="12"/>
  <c r="G521" i="12"/>
  <c r="I521" i="12" s="1"/>
  <c r="G522" i="12"/>
  <c r="G523" i="12"/>
  <c r="G524" i="12"/>
  <c r="G525" i="12"/>
  <c r="G526" i="12"/>
  <c r="G527" i="12"/>
  <c r="G528" i="12"/>
  <c r="G529" i="12"/>
  <c r="G530" i="12"/>
  <c r="G531" i="12"/>
  <c r="G532" i="12"/>
  <c r="I532" i="12" s="1"/>
  <c r="G533" i="12"/>
  <c r="G534" i="12"/>
  <c r="G535" i="12"/>
  <c r="G536" i="12"/>
  <c r="G537" i="12"/>
  <c r="G538" i="12"/>
  <c r="G539" i="12"/>
  <c r="G540" i="12"/>
  <c r="I540" i="12" s="1"/>
  <c r="G541" i="12"/>
  <c r="G542" i="12"/>
  <c r="G543" i="12"/>
  <c r="G544" i="12"/>
  <c r="G545" i="12"/>
  <c r="G546" i="12"/>
  <c r="G547" i="12"/>
  <c r="G548" i="12"/>
  <c r="I548" i="12" s="1"/>
  <c r="G549" i="12"/>
  <c r="G550" i="12"/>
  <c r="G551" i="12"/>
  <c r="G552" i="12"/>
  <c r="G553" i="12"/>
  <c r="G554" i="12"/>
  <c r="G555" i="12"/>
  <c r="G556" i="12"/>
  <c r="I556" i="12" s="1"/>
  <c r="G557" i="12"/>
  <c r="G558" i="12"/>
  <c r="G559" i="12"/>
  <c r="G560" i="12"/>
  <c r="G561" i="12"/>
  <c r="I561" i="12" s="1"/>
  <c r="G562" i="12"/>
  <c r="G563" i="12"/>
  <c r="G564" i="12"/>
  <c r="I564" i="12" s="1"/>
  <c r="G565" i="12"/>
  <c r="G566" i="12"/>
  <c r="G567" i="12"/>
  <c r="G568" i="12"/>
  <c r="G569" i="12"/>
  <c r="G570" i="12"/>
  <c r="G571" i="12"/>
  <c r="G572" i="12"/>
  <c r="G573" i="12"/>
  <c r="G574" i="12"/>
  <c r="G575" i="12"/>
  <c r="G576" i="12"/>
  <c r="G577" i="12"/>
  <c r="I577" i="12" s="1"/>
  <c r="G578" i="12"/>
  <c r="G579" i="12"/>
  <c r="G580" i="12"/>
  <c r="G581" i="12"/>
  <c r="G582" i="12"/>
  <c r="G583" i="12"/>
  <c r="G584" i="12"/>
  <c r="G585" i="12"/>
  <c r="G586" i="12"/>
  <c r="G587" i="12"/>
  <c r="G588" i="12"/>
  <c r="G589" i="12"/>
  <c r="G590" i="12"/>
  <c r="G591" i="12"/>
  <c r="G592" i="12"/>
  <c r="G593" i="12"/>
  <c r="I593" i="12" s="1"/>
  <c r="G594" i="12"/>
  <c r="G595" i="12"/>
  <c r="G596" i="12"/>
  <c r="G597" i="12"/>
  <c r="G598" i="12"/>
  <c r="G599" i="12"/>
  <c r="G600" i="12"/>
  <c r="G601" i="12"/>
  <c r="G602" i="12"/>
  <c r="G603" i="12"/>
  <c r="G604" i="12"/>
  <c r="G605" i="12"/>
  <c r="G606" i="12"/>
  <c r="G607" i="12"/>
  <c r="G608" i="12"/>
  <c r="G609" i="12"/>
  <c r="I609" i="12" s="1"/>
  <c r="G610" i="12"/>
  <c r="G611" i="12"/>
  <c r="G612" i="12"/>
  <c r="G613" i="12"/>
  <c r="G614" i="12"/>
  <c r="G615" i="12"/>
  <c r="G616" i="12"/>
  <c r="G617" i="12"/>
  <c r="G618" i="12"/>
  <c r="G619" i="12"/>
  <c r="G620" i="12"/>
  <c r="G621" i="12"/>
  <c r="G622" i="12"/>
  <c r="G623" i="12"/>
  <c r="G624" i="12"/>
  <c r="G625" i="12"/>
  <c r="I625" i="12" s="1"/>
  <c r="G626" i="12"/>
  <c r="G627" i="12"/>
  <c r="G628" i="12"/>
  <c r="G629" i="12"/>
  <c r="G630" i="12"/>
  <c r="G631" i="12"/>
  <c r="G632" i="12"/>
  <c r="G633" i="12"/>
  <c r="G634" i="12"/>
  <c r="G635" i="12"/>
  <c r="G636" i="12"/>
  <c r="G637" i="12"/>
  <c r="G638" i="12"/>
  <c r="G639" i="12"/>
  <c r="G640" i="12"/>
  <c r="G641" i="12"/>
  <c r="G642" i="12"/>
  <c r="G643" i="12"/>
  <c r="G644" i="12"/>
  <c r="G645" i="12"/>
  <c r="G646" i="12"/>
  <c r="G647" i="12"/>
  <c r="G648" i="12"/>
  <c r="G649" i="12"/>
  <c r="G650" i="12"/>
  <c r="G651" i="12"/>
  <c r="G652" i="12"/>
  <c r="G653" i="12"/>
  <c r="G654" i="12"/>
  <c r="G655" i="12"/>
  <c r="G656" i="12"/>
  <c r="G657" i="12"/>
  <c r="G658" i="12"/>
  <c r="G659" i="12"/>
  <c r="G660" i="12"/>
  <c r="G661" i="12"/>
  <c r="G662" i="12"/>
  <c r="G663" i="12"/>
  <c r="G664" i="12"/>
  <c r="G665" i="12"/>
  <c r="G666" i="12"/>
  <c r="G667" i="12"/>
  <c r="G668" i="12"/>
  <c r="G669" i="12"/>
  <c r="G670" i="12"/>
  <c r="G671" i="12"/>
  <c r="I671" i="12" s="1"/>
  <c r="G672" i="12"/>
  <c r="G673" i="12"/>
  <c r="G674" i="12"/>
  <c r="G675" i="12"/>
  <c r="G676" i="12"/>
  <c r="G677" i="12"/>
  <c r="G678" i="12"/>
  <c r="G679" i="12"/>
  <c r="G680" i="12"/>
  <c r="G681" i="12"/>
  <c r="G682" i="12"/>
  <c r="G683" i="12"/>
  <c r="I683" i="12" s="1"/>
  <c r="G684" i="12"/>
  <c r="G685" i="12"/>
  <c r="G686" i="12"/>
  <c r="G687" i="12"/>
  <c r="G688" i="12"/>
  <c r="G689" i="12"/>
  <c r="G690" i="12"/>
  <c r="G691" i="12"/>
  <c r="G692" i="12"/>
  <c r="G693" i="12"/>
  <c r="G694" i="12"/>
  <c r="G695" i="12"/>
  <c r="G696" i="12"/>
  <c r="G697" i="12"/>
  <c r="G698" i="12"/>
  <c r="G699" i="12"/>
  <c r="G700" i="12"/>
  <c r="G701" i="12"/>
  <c r="G702" i="12"/>
  <c r="G703" i="12"/>
  <c r="G704" i="12"/>
  <c r="G705" i="12"/>
  <c r="G706" i="12"/>
  <c r="G707" i="12"/>
  <c r="G708" i="12"/>
  <c r="G709" i="12"/>
  <c r="G710" i="12"/>
  <c r="G711" i="12"/>
  <c r="G712" i="12"/>
  <c r="G713" i="12"/>
  <c r="G714" i="12"/>
  <c r="G715" i="12"/>
  <c r="I715" i="12" s="1"/>
  <c r="G716" i="12"/>
  <c r="G717" i="12"/>
  <c r="G718" i="12"/>
  <c r="G719" i="12"/>
  <c r="G720" i="12"/>
  <c r="G721" i="12"/>
  <c r="G722" i="12"/>
  <c r="G723" i="12"/>
  <c r="G724" i="12"/>
  <c r="G725" i="12"/>
  <c r="I725" i="12" s="1"/>
  <c r="G726" i="12"/>
  <c r="G727" i="12"/>
  <c r="G728" i="12"/>
  <c r="G729" i="12"/>
  <c r="G730" i="12"/>
  <c r="G731" i="12"/>
  <c r="G732" i="12"/>
  <c r="G733" i="12"/>
  <c r="G734" i="12"/>
  <c r="G735" i="12"/>
  <c r="G736" i="12"/>
  <c r="G737" i="12"/>
  <c r="G738" i="12"/>
  <c r="G739" i="12"/>
  <c r="G740" i="12"/>
  <c r="G741" i="12"/>
  <c r="G742" i="12"/>
  <c r="G743" i="12"/>
  <c r="G744" i="12"/>
  <c r="G745" i="12"/>
  <c r="G746" i="12"/>
  <c r="G747" i="12"/>
  <c r="I747" i="12" s="1"/>
  <c r="G748" i="12"/>
  <c r="G749" i="12"/>
  <c r="G750" i="12"/>
  <c r="G751" i="12"/>
  <c r="G752" i="12"/>
  <c r="G753" i="12"/>
  <c r="G754" i="12"/>
  <c r="G755" i="12"/>
  <c r="G756" i="12"/>
  <c r="G757" i="12"/>
  <c r="I757" i="12" s="1"/>
  <c r="G758" i="12"/>
  <c r="G759" i="12"/>
  <c r="G760" i="12"/>
  <c r="G761" i="12"/>
  <c r="G762" i="12"/>
  <c r="G763" i="12"/>
  <c r="G764" i="12"/>
  <c r="G765" i="12"/>
  <c r="G766" i="12"/>
  <c r="G767" i="12"/>
  <c r="I767" i="12" s="1"/>
  <c r="G768" i="12"/>
  <c r="G769" i="12"/>
  <c r="G770" i="12"/>
  <c r="G771" i="12"/>
  <c r="G772" i="12"/>
  <c r="G773" i="12"/>
  <c r="G774" i="12"/>
  <c r="G775" i="12"/>
  <c r="G776" i="12"/>
  <c r="G777" i="12"/>
  <c r="G778" i="12"/>
  <c r="G779" i="12"/>
  <c r="G780" i="12"/>
  <c r="G781" i="12"/>
  <c r="G782" i="12"/>
  <c r="G783" i="12"/>
  <c r="G784" i="12"/>
  <c r="G785" i="12"/>
  <c r="G786" i="12"/>
  <c r="G787" i="12"/>
  <c r="G788" i="12"/>
  <c r="G789" i="12"/>
  <c r="G790" i="12"/>
  <c r="G791" i="12"/>
  <c r="G792" i="12"/>
  <c r="G793" i="12"/>
  <c r="G794" i="12"/>
  <c r="G795" i="12"/>
  <c r="G796" i="12"/>
  <c r="G797" i="12"/>
  <c r="G798" i="12"/>
  <c r="G799" i="12"/>
  <c r="G800" i="12"/>
  <c r="G801" i="12"/>
  <c r="G802" i="12"/>
  <c r="G803" i="12"/>
  <c r="G804" i="12"/>
  <c r="G805" i="12"/>
  <c r="G806" i="12"/>
  <c r="G807" i="12"/>
  <c r="G808" i="12"/>
  <c r="G809" i="12"/>
  <c r="G810" i="12"/>
  <c r="G811" i="12"/>
  <c r="I811" i="12" s="1"/>
  <c r="G812" i="12"/>
  <c r="G813" i="12"/>
  <c r="G814" i="12"/>
  <c r="G815" i="12"/>
  <c r="G816" i="12"/>
  <c r="G817" i="12"/>
  <c r="G818" i="12"/>
  <c r="G819" i="12"/>
  <c r="G820" i="12"/>
  <c r="G821" i="12"/>
  <c r="I821" i="12" s="1"/>
  <c r="G822" i="12"/>
  <c r="G823" i="12"/>
  <c r="G824" i="12"/>
  <c r="G825" i="12"/>
  <c r="G826" i="12"/>
  <c r="G827" i="12"/>
  <c r="G828" i="12"/>
  <c r="G829" i="12"/>
  <c r="G830" i="12"/>
  <c r="G831" i="12"/>
  <c r="I831" i="12" s="1"/>
  <c r="G832" i="12"/>
  <c r="G833" i="12"/>
  <c r="G834" i="12"/>
  <c r="G835" i="12"/>
  <c r="G836" i="12"/>
  <c r="G837" i="12"/>
  <c r="G838" i="12"/>
  <c r="G839" i="12"/>
  <c r="G840" i="12"/>
  <c r="G841" i="12"/>
  <c r="G842" i="12"/>
  <c r="G843" i="12"/>
  <c r="I843" i="12" s="1"/>
  <c r="G844" i="12"/>
  <c r="G845" i="12"/>
  <c r="G846" i="12"/>
  <c r="G847" i="12"/>
  <c r="G848" i="12"/>
  <c r="G849" i="12"/>
  <c r="G850" i="12"/>
  <c r="G851" i="12"/>
  <c r="G852" i="12"/>
  <c r="G853" i="12"/>
  <c r="I853" i="12" s="1"/>
  <c r="G854" i="12"/>
  <c r="G855" i="12"/>
  <c r="G856" i="12"/>
  <c r="G857" i="12"/>
  <c r="G858" i="12"/>
  <c r="G859" i="12"/>
  <c r="G860" i="12"/>
  <c r="G861" i="12"/>
  <c r="G862" i="12"/>
  <c r="G863" i="12"/>
  <c r="G864" i="12"/>
  <c r="G865" i="12"/>
  <c r="G866" i="12"/>
  <c r="G867" i="12"/>
  <c r="G868" i="12"/>
  <c r="G869" i="12"/>
  <c r="G870" i="12"/>
  <c r="G871" i="12"/>
  <c r="G872" i="12"/>
  <c r="G873" i="12"/>
  <c r="G874" i="12"/>
  <c r="G875" i="12"/>
  <c r="G876" i="12"/>
  <c r="G877" i="12"/>
  <c r="G878" i="12"/>
  <c r="G879" i="12"/>
  <c r="G880" i="12"/>
  <c r="G881" i="12"/>
  <c r="G882" i="12"/>
  <c r="G883" i="12"/>
  <c r="G884" i="12"/>
  <c r="G885" i="12"/>
  <c r="G886" i="12"/>
  <c r="G887" i="12"/>
  <c r="G888" i="12"/>
  <c r="G889" i="12"/>
  <c r="G890" i="12"/>
  <c r="G891" i="12"/>
  <c r="G892" i="12"/>
  <c r="G893" i="12"/>
  <c r="G894" i="12"/>
  <c r="G895" i="12"/>
  <c r="G896" i="12"/>
  <c r="G897" i="12"/>
  <c r="G898" i="12"/>
  <c r="G899" i="12"/>
  <c r="G900" i="12"/>
  <c r="G901" i="12"/>
  <c r="G902" i="12"/>
  <c r="G903" i="12"/>
  <c r="I903" i="12" s="1"/>
  <c r="G904" i="12"/>
  <c r="G905" i="12"/>
  <c r="G906" i="12"/>
  <c r="G907" i="12"/>
  <c r="G908" i="12"/>
  <c r="G909" i="12"/>
  <c r="G910" i="12"/>
  <c r="G911" i="12"/>
  <c r="I911" i="12" s="1"/>
  <c r="G912" i="12"/>
  <c r="G913" i="12"/>
  <c r="G914" i="12"/>
  <c r="G915" i="12"/>
  <c r="G916" i="12"/>
  <c r="G917" i="12"/>
  <c r="G918" i="12"/>
  <c r="G919" i="12"/>
  <c r="I919" i="12" s="1"/>
  <c r="G920" i="12"/>
  <c r="G921" i="12"/>
  <c r="G922" i="12"/>
  <c r="G923" i="12"/>
  <c r="G924" i="12"/>
  <c r="G925" i="12"/>
  <c r="G926" i="12"/>
  <c r="G927" i="12"/>
  <c r="G928" i="12"/>
  <c r="G929" i="12"/>
  <c r="G930" i="12"/>
  <c r="G931" i="12"/>
  <c r="G932" i="12"/>
  <c r="G933" i="12"/>
  <c r="G934" i="12"/>
  <c r="G935" i="12"/>
  <c r="G936" i="12"/>
  <c r="G937" i="12"/>
  <c r="G938" i="12"/>
  <c r="G939" i="12"/>
  <c r="G940" i="12"/>
  <c r="G941" i="12"/>
  <c r="G942" i="12"/>
  <c r="G943" i="12"/>
  <c r="G944" i="12"/>
  <c r="G945" i="12"/>
  <c r="G946" i="12"/>
  <c r="G947" i="12"/>
  <c r="G948" i="12"/>
  <c r="G949" i="12"/>
  <c r="G950" i="12"/>
  <c r="G951" i="12"/>
  <c r="G952" i="12"/>
  <c r="G953" i="12"/>
  <c r="G954" i="12"/>
  <c r="G955" i="12"/>
  <c r="G956" i="12"/>
  <c r="G957" i="12"/>
  <c r="G958" i="12"/>
  <c r="G959" i="12"/>
  <c r="G960" i="12"/>
  <c r="G961" i="12"/>
  <c r="G962" i="12"/>
  <c r="G963" i="12"/>
  <c r="G964" i="12"/>
  <c r="G965" i="12"/>
  <c r="G966" i="12"/>
  <c r="G967" i="12"/>
  <c r="I967" i="12" s="1"/>
  <c r="G968" i="12"/>
  <c r="G969" i="12"/>
  <c r="G970" i="12"/>
  <c r="G971" i="12"/>
  <c r="G972" i="12"/>
  <c r="G973" i="12"/>
  <c r="G974" i="12"/>
  <c r="G975" i="12"/>
  <c r="I975" i="12" s="1"/>
  <c r="G976" i="12"/>
  <c r="G977" i="12"/>
  <c r="G978" i="12"/>
  <c r="G979" i="12"/>
  <c r="G980" i="12"/>
  <c r="G981" i="12"/>
  <c r="G982" i="12"/>
  <c r="G983" i="12"/>
  <c r="I983" i="12" s="1"/>
  <c r="G984" i="12"/>
  <c r="G985" i="12"/>
  <c r="G986" i="12"/>
  <c r="G987" i="12"/>
  <c r="G988" i="12"/>
  <c r="G989" i="12"/>
  <c r="G990" i="12"/>
  <c r="G991" i="12"/>
  <c r="G992" i="12"/>
  <c r="G993" i="12"/>
  <c r="G994" i="12"/>
  <c r="G995" i="12"/>
  <c r="G996" i="12"/>
  <c r="G997" i="12"/>
  <c r="G998" i="12"/>
  <c r="G999" i="12"/>
  <c r="G1000" i="12"/>
  <c r="G1001" i="12"/>
  <c r="G1002" i="12"/>
  <c r="G1003" i="12"/>
  <c r="G1004" i="12"/>
  <c r="G1005" i="12"/>
  <c r="G1006" i="12"/>
  <c r="G1007" i="12"/>
  <c r="G1008" i="12"/>
  <c r="G1009" i="12"/>
  <c r="G1010" i="12"/>
  <c r="G1011" i="12"/>
  <c r="G1012" i="12"/>
  <c r="G1013" i="12"/>
  <c r="G1014" i="12"/>
  <c r="G1015" i="12"/>
  <c r="G1016" i="12"/>
  <c r="G1017" i="12"/>
  <c r="G1018" i="12"/>
  <c r="G1019" i="12"/>
  <c r="G1020" i="12"/>
  <c r="G1021" i="12"/>
  <c r="G1022" i="12"/>
  <c r="G1023" i="12"/>
  <c r="G1024" i="12"/>
  <c r="G1025" i="12"/>
  <c r="G1026" i="12"/>
  <c r="G1027" i="12"/>
  <c r="G1028" i="12"/>
  <c r="G1029" i="12"/>
  <c r="G1030" i="12"/>
  <c r="G1031" i="12"/>
  <c r="I1031" i="12" s="1"/>
  <c r="G1032" i="12"/>
  <c r="G1033" i="12"/>
  <c r="G1034" i="12"/>
  <c r="G1035" i="12"/>
  <c r="G1036" i="12"/>
  <c r="G1037" i="12"/>
  <c r="G1038" i="12"/>
  <c r="G1039" i="12"/>
  <c r="I1039" i="12" s="1"/>
  <c r="G1040" i="12"/>
  <c r="G1041" i="12"/>
  <c r="G1042" i="12"/>
  <c r="G1043" i="12"/>
  <c r="G1044" i="12"/>
  <c r="G1045" i="12"/>
  <c r="G1046" i="12"/>
  <c r="G1047" i="12"/>
  <c r="I1047" i="12" s="1"/>
  <c r="G1048" i="12"/>
  <c r="G1049" i="12"/>
  <c r="G1050" i="12"/>
  <c r="G1051" i="12"/>
  <c r="G1052" i="12"/>
  <c r="G1053" i="12"/>
  <c r="G1054" i="12"/>
  <c r="G1055" i="12"/>
  <c r="G1056" i="12"/>
  <c r="G1057" i="12"/>
  <c r="G1058" i="12"/>
  <c r="G1059" i="12"/>
  <c r="G1060" i="12"/>
  <c r="G1061" i="12"/>
  <c r="G1062" i="12"/>
  <c r="G1063" i="12"/>
  <c r="G1064" i="12"/>
  <c r="G1065" i="12"/>
  <c r="G1066" i="12"/>
  <c r="G1067" i="12"/>
  <c r="G1068" i="12"/>
  <c r="G1069" i="12"/>
  <c r="G1070" i="12"/>
  <c r="G1071" i="12"/>
  <c r="G1072" i="12"/>
  <c r="G1073" i="12"/>
  <c r="G1074" i="12"/>
  <c r="G1075" i="12"/>
  <c r="G1076" i="12"/>
  <c r="G1077" i="12"/>
  <c r="G1078" i="12"/>
  <c r="G1079" i="12"/>
  <c r="G1080" i="12"/>
  <c r="G1081" i="12"/>
  <c r="G1082" i="12"/>
  <c r="G1083" i="12"/>
  <c r="G1084" i="12"/>
  <c r="G1085" i="12"/>
  <c r="G1086" i="12"/>
  <c r="G1087" i="12"/>
  <c r="G1088" i="12"/>
  <c r="G1089" i="12"/>
  <c r="G1090" i="12"/>
  <c r="G1091" i="12"/>
  <c r="G1092" i="12"/>
  <c r="G1093" i="12"/>
  <c r="G1094" i="12"/>
  <c r="G1095" i="12"/>
  <c r="I1095" i="12" s="1"/>
  <c r="G1096" i="12"/>
  <c r="G1097" i="12"/>
  <c r="G1098" i="12"/>
  <c r="G1099" i="12"/>
  <c r="G1100" i="12"/>
  <c r="G1101" i="12"/>
  <c r="G1102" i="12"/>
  <c r="G1103" i="12"/>
  <c r="I1103" i="12" s="1"/>
  <c r="G1104" i="12"/>
  <c r="G1105" i="12"/>
  <c r="G1106" i="12"/>
  <c r="G1107" i="12"/>
  <c r="G1108" i="12"/>
  <c r="G1109" i="12"/>
  <c r="G1110" i="12"/>
  <c r="G1111" i="12"/>
  <c r="I1111" i="12" s="1"/>
  <c r="G1112" i="12"/>
  <c r="G1113" i="12"/>
  <c r="G1114" i="12"/>
  <c r="G1115" i="12"/>
  <c r="G1116" i="12"/>
  <c r="G1117" i="12"/>
  <c r="G1118" i="12"/>
  <c r="G1119" i="12"/>
  <c r="G1120" i="12"/>
  <c r="G1121" i="12"/>
  <c r="G1122" i="12"/>
  <c r="G1123" i="12"/>
  <c r="G1124" i="12"/>
  <c r="G1125" i="12"/>
  <c r="G1126" i="12"/>
  <c r="G1127" i="12"/>
  <c r="G1128" i="12"/>
  <c r="G1129" i="12"/>
  <c r="G1130" i="12"/>
  <c r="G1131" i="12"/>
  <c r="G1132" i="12"/>
  <c r="G1133" i="12"/>
  <c r="G1134" i="12"/>
  <c r="G1135" i="12"/>
  <c r="G1136" i="12"/>
  <c r="G1137" i="12"/>
  <c r="G1138" i="12"/>
  <c r="G1139" i="12"/>
  <c r="G1140" i="12"/>
  <c r="G1141" i="12"/>
  <c r="G1142" i="12"/>
  <c r="G1143" i="12"/>
  <c r="G1144" i="12"/>
  <c r="G1145" i="12"/>
  <c r="G1146" i="12"/>
  <c r="G1147" i="12"/>
  <c r="G1148" i="12"/>
  <c r="G1149" i="12"/>
  <c r="G1150" i="12"/>
  <c r="G1151" i="12"/>
  <c r="G1152" i="12"/>
  <c r="G1153" i="12"/>
  <c r="G1154" i="12"/>
  <c r="G1155" i="12"/>
  <c r="G1156" i="12"/>
  <c r="G1157" i="12"/>
  <c r="G1158" i="12"/>
  <c r="G1159" i="12"/>
  <c r="I1159" i="12" s="1"/>
  <c r="G1160" i="12"/>
  <c r="G1161" i="12"/>
  <c r="G1162" i="12"/>
  <c r="G1163" i="12"/>
  <c r="G1164" i="12"/>
  <c r="G1165" i="12"/>
  <c r="G1166" i="12"/>
  <c r="G1167" i="12"/>
  <c r="I1167" i="12" s="1"/>
  <c r="G1168" i="12"/>
  <c r="G1169" i="12"/>
  <c r="G1170" i="12"/>
  <c r="G1171" i="12"/>
  <c r="G1172" i="12"/>
  <c r="G1173" i="12"/>
  <c r="G1174" i="12"/>
  <c r="G1175" i="12"/>
  <c r="I1175" i="12" s="1"/>
  <c r="G1176" i="12"/>
  <c r="G1177" i="12"/>
  <c r="G1178" i="12"/>
  <c r="G1179" i="12"/>
  <c r="G1180" i="12"/>
  <c r="G1181" i="12"/>
  <c r="G1182" i="12"/>
  <c r="G1183" i="12"/>
  <c r="G1184" i="12"/>
  <c r="G1185" i="12"/>
  <c r="G1186" i="12"/>
  <c r="G1187" i="12"/>
  <c r="G1188" i="12"/>
  <c r="G1189" i="12"/>
  <c r="G1190" i="12"/>
  <c r="G1191" i="12"/>
  <c r="G1192" i="12"/>
  <c r="G1193" i="12"/>
  <c r="G1194" i="12"/>
  <c r="G1195" i="12"/>
  <c r="G1196" i="12"/>
  <c r="G1197" i="12"/>
  <c r="G1198" i="12"/>
  <c r="G1199" i="12"/>
  <c r="G1200" i="12"/>
  <c r="G1201" i="12"/>
  <c r="G1202" i="12"/>
  <c r="G1203" i="12"/>
  <c r="G1204" i="12"/>
  <c r="G1205" i="12"/>
  <c r="G1206" i="12"/>
  <c r="G1207" i="12"/>
  <c r="G1208" i="12"/>
  <c r="G1209" i="12"/>
  <c r="G1210" i="12"/>
  <c r="G1211" i="12"/>
  <c r="G1212" i="12"/>
  <c r="G1213" i="12"/>
  <c r="G1214" i="12"/>
  <c r="G1215" i="12"/>
  <c r="G1216" i="12"/>
  <c r="G1217" i="12"/>
  <c r="G1218" i="12"/>
  <c r="G1219" i="12"/>
  <c r="G1220" i="12"/>
  <c r="G1221" i="12"/>
  <c r="G1222" i="12"/>
  <c r="G1223" i="12"/>
  <c r="I1223" i="12" s="1"/>
  <c r="G1224" i="12"/>
  <c r="G1225" i="12"/>
  <c r="G1226" i="12"/>
  <c r="G1227" i="12"/>
  <c r="G1228" i="12"/>
  <c r="G1229" i="12"/>
  <c r="G1230" i="12"/>
  <c r="G1231" i="12"/>
  <c r="I1231" i="12" s="1"/>
  <c r="G1232" i="12"/>
  <c r="G1233" i="12"/>
  <c r="G1234" i="12"/>
  <c r="G1235" i="12"/>
  <c r="G1236" i="12"/>
  <c r="G1237" i="12"/>
  <c r="G1238" i="12"/>
  <c r="G1239" i="12"/>
  <c r="I1239" i="12" s="1"/>
  <c r="G1240" i="12"/>
  <c r="G1241" i="12"/>
  <c r="G1242" i="12"/>
  <c r="G1243" i="12"/>
  <c r="G1244" i="12"/>
  <c r="G1245" i="12"/>
  <c r="G1246" i="12"/>
  <c r="G1247" i="12"/>
  <c r="G1248" i="12"/>
  <c r="G1249" i="12"/>
  <c r="G1250" i="12"/>
  <c r="G1251" i="12"/>
  <c r="G1252" i="12"/>
  <c r="G1253" i="12"/>
  <c r="G1254" i="12"/>
  <c r="G1255" i="12"/>
  <c r="G1256" i="12"/>
  <c r="G1257" i="12"/>
  <c r="G1258" i="12"/>
  <c r="G1259" i="12"/>
  <c r="G1260" i="12"/>
  <c r="G1261" i="12"/>
  <c r="G1262" i="12"/>
  <c r="G1263" i="12"/>
  <c r="G1264" i="12"/>
  <c r="G1265" i="12"/>
  <c r="G1266" i="12"/>
  <c r="G1267" i="12"/>
  <c r="G1268" i="12"/>
  <c r="G1269" i="12"/>
  <c r="G1270" i="12"/>
  <c r="G1271" i="12"/>
  <c r="G1272" i="12"/>
  <c r="G1273" i="12"/>
  <c r="G1274" i="12"/>
  <c r="G1275" i="12"/>
  <c r="G1276" i="12"/>
  <c r="G1277" i="12"/>
  <c r="G1278" i="12"/>
  <c r="G1279" i="12"/>
  <c r="G1280" i="12"/>
  <c r="G1281" i="12"/>
  <c r="G1282" i="12"/>
  <c r="G1283" i="12"/>
  <c r="G1284" i="12"/>
  <c r="G1285" i="12"/>
  <c r="G1286" i="12"/>
  <c r="G1287" i="12"/>
  <c r="I1287" i="12" s="1"/>
  <c r="G1288" i="12"/>
  <c r="G1289" i="12"/>
  <c r="G1290" i="12"/>
  <c r="G1291" i="12"/>
  <c r="G1292" i="12"/>
  <c r="G1293" i="12"/>
  <c r="G1294" i="12"/>
  <c r="G1295" i="12"/>
  <c r="I1295" i="12" s="1"/>
  <c r="G1296" i="12"/>
  <c r="G1297" i="12"/>
  <c r="G1298" i="12"/>
  <c r="G1299" i="12"/>
  <c r="G1300" i="12"/>
  <c r="G1301" i="12"/>
  <c r="G1302" i="12"/>
  <c r="G1303" i="12"/>
  <c r="I1303" i="12" s="1"/>
  <c r="G1304" i="12"/>
  <c r="G1305" i="12"/>
  <c r="G1306" i="12"/>
  <c r="G1307" i="12"/>
  <c r="G1308" i="12"/>
  <c r="G1309" i="12"/>
  <c r="G1310" i="12"/>
  <c r="G1311" i="12"/>
  <c r="G1312" i="12"/>
  <c r="G1313" i="12"/>
  <c r="G1314" i="12"/>
  <c r="G1315" i="12"/>
  <c r="G1316" i="12"/>
  <c r="G1317" i="12"/>
  <c r="G1318" i="12"/>
  <c r="G1319" i="12"/>
  <c r="G1320" i="12"/>
  <c r="G1321" i="12"/>
  <c r="G1322" i="12"/>
  <c r="G1323" i="12"/>
  <c r="G1324" i="12"/>
  <c r="G1325" i="12"/>
  <c r="G1326" i="12"/>
  <c r="G1327" i="12"/>
  <c r="G1328" i="12"/>
  <c r="G1329" i="12"/>
  <c r="G1330" i="12"/>
  <c r="G1331" i="12"/>
  <c r="G1332" i="12"/>
  <c r="G1333" i="12"/>
  <c r="G1334" i="12"/>
  <c r="G1335" i="12"/>
  <c r="G1336" i="12"/>
  <c r="G1337" i="12"/>
  <c r="G1338" i="12"/>
  <c r="G1339" i="12"/>
  <c r="G1340" i="12"/>
  <c r="G1341" i="12"/>
  <c r="G1342" i="12"/>
  <c r="G1343" i="12"/>
  <c r="G1344" i="12"/>
  <c r="G1345" i="12"/>
  <c r="G1346" i="12"/>
  <c r="G1347" i="12"/>
  <c r="G1348" i="12"/>
  <c r="G1349" i="12"/>
  <c r="G1350" i="12"/>
  <c r="G1351" i="12"/>
  <c r="I1351" i="12" s="1"/>
  <c r="G1352" i="12"/>
  <c r="G1353" i="12"/>
  <c r="G1354" i="12"/>
  <c r="G1355" i="12"/>
  <c r="G1356" i="12"/>
  <c r="G1357" i="12"/>
  <c r="G1358" i="12"/>
  <c r="G1359" i="12"/>
  <c r="I1359" i="12" s="1"/>
  <c r="G1360" i="12"/>
  <c r="G1361" i="12"/>
  <c r="G1362" i="12"/>
  <c r="G1363" i="12"/>
  <c r="G1364" i="12"/>
  <c r="G1365" i="12"/>
  <c r="G1366" i="12"/>
  <c r="G1367" i="12"/>
  <c r="I1367" i="12" s="1"/>
  <c r="G1368" i="12"/>
  <c r="G1369" i="12"/>
  <c r="G1370" i="12"/>
  <c r="G1371" i="12"/>
  <c r="G1372" i="12"/>
  <c r="G1373" i="12"/>
  <c r="G1374" i="12"/>
  <c r="G1375" i="12"/>
  <c r="G1376" i="12"/>
  <c r="G1377" i="12"/>
  <c r="G1378" i="12"/>
  <c r="G1379" i="12"/>
  <c r="G1380" i="12"/>
  <c r="G1381" i="12"/>
  <c r="G1382" i="12"/>
  <c r="G1383" i="12"/>
  <c r="G1384" i="12"/>
  <c r="G1385" i="12"/>
  <c r="G1386" i="12"/>
  <c r="G1387" i="12"/>
  <c r="G1388" i="12"/>
  <c r="G1389" i="12"/>
  <c r="G1390" i="12"/>
  <c r="G1391" i="12"/>
  <c r="G1392" i="12"/>
  <c r="G1393" i="12"/>
  <c r="G1394" i="12"/>
  <c r="G1395" i="12"/>
  <c r="G1396" i="12"/>
  <c r="G1397" i="12"/>
  <c r="G1398" i="12"/>
  <c r="G1399" i="12"/>
  <c r="G1400" i="12"/>
  <c r="G1401" i="12"/>
  <c r="G1402" i="12"/>
  <c r="G1403" i="12"/>
  <c r="G1404" i="12"/>
  <c r="G1405" i="12"/>
  <c r="G1406" i="12"/>
  <c r="G1407" i="12"/>
  <c r="G1408" i="12"/>
  <c r="G1409" i="12"/>
  <c r="G1410" i="12"/>
  <c r="G1411" i="12"/>
  <c r="G1412" i="12"/>
  <c r="G1413" i="12"/>
  <c r="G1414" i="12"/>
  <c r="G1415" i="12"/>
  <c r="I1415" i="12" s="1"/>
  <c r="G1416" i="12"/>
  <c r="G1417" i="12"/>
  <c r="G1418" i="12"/>
  <c r="G1419" i="12"/>
  <c r="G1420" i="12"/>
  <c r="G1421" i="12"/>
  <c r="G1422" i="12"/>
  <c r="G1423" i="12"/>
  <c r="I1423" i="12" s="1"/>
  <c r="G1424" i="12"/>
  <c r="G1425" i="12"/>
  <c r="G1426" i="12"/>
  <c r="G1427" i="12"/>
  <c r="G1428" i="12"/>
  <c r="G1429" i="12"/>
  <c r="G1430" i="12"/>
  <c r="G1431" i="12"/>
  <c r="I1431" i="12" s="1"/>
  <c r="G1432" i="12"/>
  <c r="G1433" i="12"/>
  <c r="G1434" i="12"/>
  <c r="G1435" i="12"/>
  <c r="G1436" i="12"/>
  <c r="G1437" i="12"/>
  <c r="G1438" i="12"/>
  <c r="G1439" i="12"/>
  <c r="G1440" i="12"/>
  <c r="G1441" i="12"/>
  <c r="G1442" i="12"/>
  <c r="G1443" i="12"/>
  <c r="G1444" i="12"/>
  <c r="G1445" i="12"/>
  <c r="G1446" i="12"/>
  <c r="G1447" i="12"/>
  <c r="G1448" i="12"/>
  <c r="G1449" i="12"/>
  <c r="G1450" i="12"/>
  <c r="G1451" i="12"/>
  <c r="G1452" i="12"/>
  <c r="G1453" i="12"/>
  <c r="G1454" i="12"/>
  <c r="G1455" i="12"/>
  <c r="G1456" i="12"/>
  <c r="G1457" i="12"/>
  <c r="G1458" i="12"/>
  <c r="G1459" i="12"/>
  <c r="G1460" i="12"/>
  <c r="G1461" i="12"/>
  <c r="G1462" i="12"/>
  <c r="G1463" i="12"/>
  <c r="G1464" i="12"/>
  <c r="G1465" i="12"/>
  <c r="G1466" i="12"/>
  <c r="G1467" i="12"/>
  <c r="J1467" i="12" s="1"/>
  <c r="G1468" i="12"/>
  <c r="G1469" i="12"/>
  <c r="G1470" i="12"/>
  <c r="G1471" i="12"/>
  <c r="G1472" i="12"/>
  <c r="G1473" i="12"/>
  <c r="G1474" i="12"/>
  <c r="G1475" i="12"/>
  <c r="G1476" i="12"/>
  <c r="G1477" i="12"/>
  <c r="G1478" i="12"/>
  <c r="G1479" i="12"/>
  <c r="I1479" i="12" s="1"/>
  <c r="G1480" i="12"/>
  <c r="G1481" i="12"/>
  <c r="G1482" i="12"/>
  <c r="G1483" i="12"/>
  <c r="G1484" i="12"/>
  <c r="G1485" i="12"/>
  <c r="G1486" i="12"/>
  <c r="G1487" i="12"/>
  <c r="I1487" i="12" s="1"/>
  <c r="G1488" i="12"/>
  <c r="G1489" i="12"/>
  <c r="G1490" i="12"/>
  <c r="G1491" i="12"/>
  <c r="G1492" i="12"/>
  <c r="G1493" i="12"/>
  <c r="G1494" i="12"/>
  <c r="G1495" i="12"/>
  <c r="I1495" i="12" s="1"/>
  <c r="G1496" i="12"/>
  <c r="G1497" i="12"/>
  <c r="G1498" i="12"/>
  <c r="G1499" i="12"/>
  <c r="G1500" i="12"/>
  <c r="G1501" i="12"/>
  <c r="G1502" i="12"/>
  <c r="G1503" i="12"/>
  <c r="G1504" i="12"/>
  <c r="G1505" i="12"/>
  <c r="G1506" i="12"/>
  <c r="G1507" i="12"/>
  <c r="G1508" i="12"/>
  <c r="G1509" i="12"/>
  <c r="G1510" i="12"/>
  <c r="G1511" i="12"/>
  <c r="G1512" i="12"/>
  <c r="G1513" i="12"/>
  <c r="G1514" i="12"/>
  <c r="G1515" i="12"/>
  <c r="G1516" i="12"/>
  <c r="G1517" i="12"/>
  <c r="G1518" i="12"/>
  <c r="G1519" i="12"/>
  <c r="G1520" i="12"/>
  <c r="G1521" i="12"/>
  <c r="G1522" i="12"/>
  <c r="G1523" i="12"/>
  <c r="G1524" i="12"/>
  <c r="G1525" i="12"/>
  <c r="G1526" i="12"/>
  <c r="G1527" i="12"/>
  <c r="G1528" i="12"/>
  <c r="G1529" i="12"/>
  <c r="G1530" i="12"/>
  <c r="G1531" i="12"/>
  <c r="G1532" i="12"/>
  <c r="G1533" i="12"/>
  <c r="G1534" i="12"/>
  <c r="G1535" i="12"/>
  <c r="G1536" i="12"/>
  <c r="G1537" i="12"/>
  <c r="G1538" i="12"/>
  <c r="G1539" i="12"/>
  <c r="G1540" i="12"/>
  <c r="G1541" i="12"/>
  <c r="G1542" i="12"/>
  <c r="G1543" i="12"/>
  <c r="I1543" i="12" s="1"/>
  <c r="G1544" i="12"/>
  <c r="G1545" i="12"/>
  <c r="G1546" i="12"/>
  <c r="G1547" i="12"/>
  <c r="G1548" i="12"/>
  <c r="G1549" i="12"/>
  <c r="G1550" i="12"/>
  <c r="G1551" i="12"/>
  <c r="I1551" i="12" s="1"/>
  <c r="G1552" i="12"/>
  <c r="G1553" i="12"/>
  <c r="G1554" i="12"/>
  <c r="G1555" i="12"/>
  <c r="G1556" i="12"/>
  <c r="G1557" i="12"/>
  <c r="G1558" i="12"/>
  <c r="G1559" i="12"/>
  <c r="I1559" i="12" s="1"/>
  <c r="G1560" i="12"/>
  <c r="G1561" i="12"/>
  <c r="G1562" i="12"/>
  <c r="G1563" i="12"/>
  <c r="G1564" i="12"/>
  <c r="G1565" i="12"/>
  <c r="G1566" i="12"/>
  <c r="G1567" i="12"/>
  <c r="G1568" i="12"/>
  <c r="G1569" i="12"/>
  <c r="G1570" i="12"/>
  <c r="G1571" i="12"/>
  <c r="G1572" i="12"/>
  <c r="G1573" i="12"/>
  <c r="G1574" i="12"/>
  <c r="G1575" i="12"/>
  <c r="G1576" i="12"/>
  <c r="G1577" i="12"/>
  <c r="G1578" i="12"/>
  <c r="G1579" i="12"/>
  <c r="G1580" i="12"/>
  <c r="G1581" i="12"/>
  <c r="G1582" i="12"/>
  <c r="G1583" i="12"/>
  <c r="G1584" i="12"/>
  <c r="G1585" i="12"/>
  <c r="G1586" i="12"/>
  <c r="G1587" i="12"/>
  <c r="G1588" i="12"/>
  <c r="G1589" i="12"/>
  <c r="G1590" i="12"/>
  <c r="G1591" i="12"/>
  <c r="G1592" i="12"/>
  <c r="G1593" i="12"/>
  <c r="G1594" i="12"/>
  <c r="G1595" i="12"/>
  <c r="G1596" i="12"/>
  <c r="G1597" i="12"/>
  <c r="G1598" i="12"/>
  <c r="G1599" i="12"/>
  <c r="G1600" i="12"/>
  <c r="G1601" i="12"/>
  <c r="G1602" i="12"/>
  <c r="G1603" i="12"/>
  <c r="G1604" i="12"/>
  <c r="G1605" i="12"/>
  <c r="G1606" i="12"/>
  <c r="G1607" i="12"/>
  <c r="I1607" i="12" s="1"/>
  <c r="G1608" i="12"/>
  <c r="G1609" i="12"/>
  <c r="G1610" i="12"/>
  <c r="G1611" i="12"/>
  <c r="G1612" i="12"/>
  <c r="G1613" i="12"/>
  <c r="G1614" i="12"/>
  <c r="G1615" i="12"/>
  <c r="I1615" i="12" s="1"/>
  <c r="G1616" i="12"/>
  <c r="G1617" i="12"/>
  <c r="G1618" i="12"/>
  <c r="G1619" i="12"/>
  <c r="G1620" i="12"/>
  <c r="G1621" i="12"/>
  <c r="G1622" i="12"/>
  <c r="G1623" i="12"/>
  <c r="I1623" i="12" s="1"/>
  <c r="G1624" i="12"/>
  <c r="G1625" i="12"/>
  <c r="G1626" i="12"/>
  <c r="G1627" i="12"/>
  <c r="G1628" i="12"/>
  <c r="G1629" i="12"/>
  <c r="G1630" i="12"/>
  <c r="G1631" i="12"/>
  <c r="G1632" i="12"/>
  <c r="G1633" i="12"/>
  <c r="G1634" i="12"/>
  <c r="G1635" i="12"/>
  <c r="G1636" i="12"/>
  <c r="G1637" i="12"/>
  <c r="G1638" i="12"/>
  <c r="G1639" i="12"/>
  <c r="G1640" i="12"/>
  <c r="G1641" i="12"/>
  <c r="G1642" i="12"/>
  <c r="G1643" i="12"/>
  <c r="G1644" i="12"/>
  <c r="G1645" i="12"/>
  <c r="G1646" i="12"/>
  <c r="G1647" i="12"/>
  <c r="G1648" i="12"/>
  <c r="G1649" i="12"/>
  <c r="G1650" i="12"/>
  <c r="G1651" i="12"/>
  <c r="G1652" i="12"/>
  <c r="G1653" i="12"/>
  <c r="G1654" i="12"/>
  <c r="G1655" i="12"/>
  <c r="G1656" i="12"/>
  <c r="G1657" i="12"/>
  <c r="G1658" i="12"/>
  <c r="G1659" i="12"/>
  <c r="G1660" i="12"/>
  <c r="G1661" i="12"/>
  <c r="G1662" i="12"/>
  <c r="G1663" i="12"/>
  <c r="G1664" i="12"/>
  <c r="G1665" i="12"/>
  <c r="G1666" i="12"/>
  <c r="G1667" i="12"/>
  <c r="G1668" i="12"/>
  <c r="G1669" i="12"/>
  <c r="G1670" i="12"/>
  <c r="G1671" i="12"/>
  <c r="I1671" i="12" s="1"/>
  <c r="G1672" i="12"/>
  <c r="G1673" i="12"/>
  <c r="G1674" i="12"/>
  <c r="G1675" i="12"/>
  <c r="G1676" i="12"/>
  <c r="G1677" i="12"/>
  <c r="G1678" i="12"/>
  <c r="G1679" i="12"/>
  <c r="I1679" i="12" s="1"/>
  <c r="G1680" i="12"/>
  <c r="G1681" i="12"/>
  <c r="G1682" i="12"/>
  <c r="G1683" i="12"/>
  <c r="G1684" i="12"/>
  <c r="G1685" i="12"/>
  <c r="G1686" i="12"/>
  <c r="G1687" i="12"/>
  <c r="I1687" i="12" s="1"/>
  <c r="G1688" i="12"/>
  <c r="G1689" i="12"/>
  <c r="G1690" i="12"/>
  <c r="G1691" i="12"/>
  <c r="G1692" i="12"/>
  <c r="G1693" i="12"/>
  <c r="G1694" i="12"/>
  <c r="G1695" i="12"/>
  <c r="G1696" i="12"/>
  <c r="G1697" i="12"/>
  <c r="G1698" i="12"/>
  <c r="G1699" i="12"/>
  <c r="G1700" i="12"/>
  <c r="G1701" i="12"/>
  <c r="G1702" i="12"/>
  <c r="G1703" i="12"/>
  <c r="G1704" i="12"/>
  <c r="G1705" i="12"/>
  <c r="G1706" i="12"/>
  <c r="G1707" i="12"/>
  <c r="G1708" i="12"/>
  <c r="G1709" i="12"/>
  <c r="G1710" i="12"/>
  <c r="G1711" i="12"/>
  <c r="G1712" i="12"/>
  <c r="G1713" i="12"/>
  <c r="G1714" i="12"/>
  <c r="G1715" i="12"/>
  <c r="G1716" i="12"/>
  <c r="G1717" i="12"/>
  <c r="G1718" i="12"/>
  <c r="G1719" i="12"/>
  <c r="G1720" i="12"/>
  <c r="G1721" i="12"/>
  <c r="G1722" i="12"/>
  <c r="G1723" i="12"/>
  <c r="G1724" i="12"/>
  <c r="G1725" i="12"/>
  <c r="G1726" i="12"/>
  <c r="G1727" i="12"/>
  <c r="G1728" i="12"/>
  <c r="G1729" i="12"/>
  <c r="G1730" i="12"/>
  <c r="G1731" i="12"/>
  <c r="G1732" i="12"/>
  <c r="G1733" i="12"/>
  <c r="G1734" i="12"/>
  <c r="G1735" i="12"/>
  <c r="I1735" i="12" s="1"/>
  <c r="G1736" i="12"/>
  <c r="G1737" i="12"/>
  <c r="G1738" i="12"/>
  <c r="G1739" i="12"/>
  <c r="G1740" i="12"/>
  <c r="G1741" i="12"/>
  <c r="G1742" i="12"/>
  <c r="G1743" i="12"/>
  <c r="I1743" i="12" s="1"/>
  <c r="G1744" i="12"/>
  <c r="G1745" i="12"/>
  <c r="G1746" i="12"/>
  <c r="G1747" i="12"/>
  <c r="G1748" i="12"/>
  <c r="G1749" i="12"/>
  <c r="G1750" i="12"/>
  <c r="G1751" i="12"/>
  <c r="I1751" i="12" s="1"/>
  <c r="G1752" i="12"/>
  <c r="G1753" i="12"/>
  <c r="G1754" i="12"/>
  <c r="G1755" i="12"/>
  <c r="G1756" i="12"/>
  <c r="G1757" i="12"/>
  <c r="G1758" i="12"/>
  <c r="G1759" i="12"/>
  <c r="G1760" i="12"/>
  <c r="G1761" i="12"/>
  <c r="G1762" i="12"/>
  <c r="G1763" i="12"/>
  <c r="G1764" i="12"/>
  <c r="G1765" i="12"/>
  <c r="G1766" i="12"/>
  <c r="G1767" i="12"/>
  <c r="G1768" i="12"/>
  <c r="G1769" i="12"/>
  <c r="G1770" i="12"/>
  <c r="G1771" i="12"/>
  <c r="G1772" i="12"/>
  <c r="G1773" i="12"/>
  <c r="G1774" i="12"/>
  <c r="G1775" i="12"/>
  <c r="G1776" i="12"/>
  <c r="G1777" i="12"/>
  <c r="G1778" i="12"/>
  <c r="G1779" i="12"/>
  <c r="G1780" i="12"/>
  <c r="G1781" i="12"/>
  <c r="G1782" i="12"/>
  <c r="G1783" i="12"/>
  <c r="G1784" i="12"/>
  <c r="G1785" i="12"/>
  <c r="G1786" i="12"/>
  <c r="G1787" i="12"/>
  <c r="G1788" i="12"/>
  <c r="G1789" i="12"/>
  <c r="G1790" i="12"/>
  <c r="G1791" i="12"/>
  <c r="G1792" i="12"/>
  <c r="G1793" i="12"/>
  <c r="G1794" i="12"/>
  <c r="G1795" i="12"/>
  <c r="G1796" i="12"/>
  <c r="G1797" i="12"/>
  <c r="G1798" i="12"/>
  <c r="G1799" i="12"/>
  <c r="I1799" i="12" s="1"/>
  <c r="G1800" i="12"/>
  <c r="G1801" i="12"/>
  <c r="G1802" i="12"/>
  <c r="G1803" i="12"/>
  <c r="G1804" i="12"/>
  <c r="G1805" i="12"/>
  <c r="G1806" i="12"/>
  <c r="G1807" i="12"/>
  <c r="I1807" i="12" s="1"/>
  <c r="G1808" i="12"/>
  <c r="G1809" i="12"/>
  <c r="G1810" i="12"/>
  <c r="G1811" i="12"/>
  <c r="G1812" i="12"/>
  <c r="G1813" i="12"/>
  <c r="G1814" i="12"/>
  <c r="G1815" i="12"/>
  <c r="I1815" i="12" s="1"/>
  <c r="G1816" i="12"/>
  <c r="G1817" i="12"/>
  <c r="G1818" i="12"/>
  <c r="G1819" i="12"/>
  <c r="G1820" i="12"/>
  <c r="G1821" i="12"/>
  <c r="G1822" i="12"/>
  <c r="G1823" i="12"/>
  <c r="G1824" i="12"/>
  <c r="G1825" i="12"/>
  <c r="G1826" i="12"/>
  <c r="G1827" i="12"/>
  <c r="G1828" i="12"/>
  <c r="G1829" i="12"/>
  <c r="G1830" i="12"/>
  <c r="G1831" i="12"/>
  <c r="G1832" i="12"/>
  <c r="G1833" i="12"/>
  <c r="G1834" i="12"/>
  <c r="G1835" i="12"/>
  <c r="G1836" i="12"/>
  <c r="G1837" i="12"/>
  <c r="G1838" i="12"/>
  <c r="G1839" i="12"/>
  <c r="G1840" i="12"/>
  <c r="G1841" i="12"/>
  <c r="G1842" i="12"/>
  <c r="G1843" i="12"/>
  <c r="G1844" i="12"/>
  <c r="G1845" i="12"/>
  <c r="G1846" i="12"/>
  <c r="G1847" i="12"/>
  <c r="G1848" i="12"/>
  <c r="G1849" i="12"/>
  <c r="G1850" i="12"/>
  <c r="G1851" i="12"/>
  <c r="G1852" i="12"/>
  <c r="G1853" i="12"/>
  <c r="G1854" i="12"/>
  <c r="G1855" i="12"/>
  <c r="G1856" i="12"/>
  <c r="G1857" i="12"/>
  <c r="G1858" i="12"/>
  <c r="G1859" i="12"/>
  <c r="G1860" i="12"/>
  <c r="G1861" i="12"/>
  <c r="G1862" i="12"/>
  <c r="G1863" i="12"/>
  <c r="I1863" i="12" s="1"/>
  <c r="G1864" i="12"/>
  <c r="G1865" i="12"/>
  <c r="G1866" i="12"/>
  <c r="G1867" i="12"/>
  <c r="G1868" i="12"/>
  <c r="G1869" i="12"/>
  <c r="G1870" i="12"/>
  <c r="G1871" i="12"/>
  <c r="I1871" i="12" s="1"/>
  <c r="G1872" i="12"/>
  <c r="G1873" i="12"/>
  <c r="G1874" i="12"/>
  <c r="G1875" i="12"/>
  <c r="G1876" i="12"/>
  <c r="G1877" i="12"/>
  <c r="G1878" i="12"/>
  <c r="G1879" i="12"/>
  <c r="I1879" i="12" s="1"/>
  <c r="G1880" i="12"/>
  <c r="G1881" i="12"/>
  <c r="G1882" i="12"/>
  <c r="G1883" i="12"/>
  <c r="G1884" i="12"/>
  <c r="G1885" i="12"/>
  <c r="G1886" i="12"/>
  <c r="G1887" i="12"/>
  <c r="G1888" i="12"/>
  <c r="G1889" i="12"/>
  <c r="G1890" i="12"/>
  <c r="G1891" i="12"/>
  <c r="G1892" i="12"/>
  <c r="G1893" i="12"/>
  <c r="G1894" i="12"/>
  <c r="G1895" i="12"/>
  <c r="G1896" i="12"/>
  <c r="G1897" i="12"/>
  <c r="G1898" i="12"/>
  <c r="G1899" i="12"/>
  <c r="G1900" i="12"/>
  <c r="G1901" i="12"/>
  <c r="G1902" i="12"/>
  <c r="G1903" i="12"/>
  <c r="G1904" i="12"/>
  <c r="G1905" i="12"/>
  <c r="G1906" i="12"/>
  <c r="G1907" i="12"/>
  <c r="G1908" i="12"/>
  <c r="G1909" i="12"/>
  <c r="G1910" i="12"/>
  <c r="G1911" i="12"/>
  <c r="G1912" i="12"/>
  <c r="G1913" i="12"/>
  <c r="G1914" i="12"/>
  <c r="G1915" i="12"/>
  <c r="G1916" i="12"/>
  <c r="G1917" i="12"/>
  <c r="G1918" i="12"/>
  <c r="G1919" i="12"/>
  <c r="G1920" i="12"/>
  <c r="G1921" i="12"/>
  <c r="G1922" i="12"/>
  <c r="G1923" i="12"/>
  <c r="G1924" i="12"/>
  <c r="G1925" i="12"/>
  <c r="G1926" i="12"/>
  <c r="G1927" i="12"/>
  <c r="I1927" i="12" s="1"/>
  <c r="G1928" i="12"/>
  <c r="G1929" i="12"/>
  <c r="G1930" i="12"/>
  <c r="G1931" i="12"/>
  <c r="G1932" i="12"/>
  <c r="G1933" i="12"/>
  <c r="G1934" i="12"/>
  <c r="G1935" i="12"/>
  <c r="I1935" i="12" s="1"/>
  <c r="G1936" i="12"/>
  <c r="G1937" i="12"/>
  <c r="G1938" i="12"/>
  <c r="G1939" i="12"/>
  <c r="G1940" i="12"/>
  <c r="G1941" i="12"/>
  <c r="G1942" i="12"/>
  <c r="G1943" i="12"/>
  <c r="I1943" i="12" s="1"/>
  <c r="G1944" i="12"/>
  <c r="G1945" i="12"/>
  <c r="G1946" i="12"/>
  <c r="G1947" i="12"/>
  <c r="G1948" i="12"/>
  <c r="G1949" i="12"/>
  <c r="G1950" i="12"/>
  <c r="G1951" i="12"/>
  <c r="G1952" i="12"/>
  <c r="G1953" i="12"/>
  <c r="G1954" i="12"/>
  <c r="G1955" i="12"/>
  <c r="G1956" i="12"/>
  <c r="G1957" i="12"/>
  <c r="G1958" i="12"/>
  <c r="G1959" i="12"/>
  <c r="G1960" i="12"/>
  <c r="G1961" i="12"/>
  <c r="G1962" i="12"/>
  <c r="G1963" i="12"/>
  <c r="G1964" i="12"/>
  <c r="G1965" i="12"/>
  <c r="G1966" i="12"/>
  <c r="G1967" i="12"/>
  <c r="G1968" i="12"/>
  <c r="G1969" i="12"/>
  <c r="G1970" i="12"/>
  <c r="G1971" i="12"/>
  <c r="G1972" i="12"/>
  <c r="G1973" i="12"/>
  <c r="G1974" i="12"/>
  <c r="G1975" i="12"/>
  <c r="G1976" i="12"/>
  <c r="G1977" i="12"/>
  <c r="G1978" i="12"/>
  <c r="G1979" i="12"/>
  <c r="G1980" i="12"/>
  <c r="G1981" i="12"/>
  <c r="G1982" i="12"/>
  <c r="G1983" i="12"/>
  <c r="G1984" i="12"/>
  <c r="G1985" i="12"/>
  <c r="G1986" i="12"/>
  <c r="G1987" i="12"/>
  <c r="G1988" i="12"/>
  <c r="G1989" i="12"/>
  <c r="G1990" i="12"/>
  <c r="G1991" i="12"/>
  <c r="I1991" i="12" s="1"/>
  <c r="G1992" i="12"/>
  <c r="G1993" i="12"/>
  <c r="G1994" i="12"/>
  <c r="G1995" i="12"/>
  <c r="G1996" i="12"/>
  <c r="G1997" i="12"/>
  <c r="G1998" i="12"/>
  <c r="G1999" i="12"/>
  <c r="I1999" i="12" s="1"/>
  <c r="G2000" i="12"/>
  <c r="G2001" i="12"/>
  <c r="G2002" i="12"/>
  <c r="G2003" i="12"/>
  <c r="G2004" i="12"/>
  <c r="G2005" i="12"/>
  <c r="G2006" i="12"/>
  <c r="G2007" i="12"/>
  <c r="I2007" i="12" s="1"/>
  <c r="G2008" i="12"/>
  <c r="G2009" i="12"/>
  <c r="G2010" i="12"/>
  <c r="G2011" i="12"/>
  <c r="G2012" i="12"/>
  <c r="G2013" i="12"/>
  <c r="G2014" i="12"/>
  <c r="G2015" i="12"/>
  <c r="G2016" i="12"/>
  <c r="G2017" i="12"/>
  <c r="G2018" i="12"/>
  <c r="G2019" i="12"/>
  <c r="G2020" i="12"/>
  <c r="G2021" i="12"/>
  <c r="G2022" i="12"/>
  <c r="G2023" i="12"/>
  <c r="G2024" i="12"/>
  <c r="G2025" i="12"/>
  <c r="G2026" i="12"/>
  <c r="G2027" i="12"/>
  <c r="G2028" i="12"/>
  <c r="G2029" i="12"/>
  <c r="G2030" i="12"/>
  <c r="G2031" i="12"/>
  <c r="G2032" i="12"/>
  <c r="G2033" i="12"/>
  <c r="G2034" i="12"/>
  <c r="G2035" i="12"/>
  <c r="G2036" i="12"/>
  <c r="G2037" i="12"/>
  <c r="G2038" i="12"/>
  <c r="G2039" i="12"/>
  <c r="G2040" i="12"/>
  <c r="G2041" i="12"/>
  <c r="G2042" i="12"/>
  <c r="G2043" i="12"/>
  <c r="G2044" i="12"/>
  <c r="G2045" i="12"/>
  <c r="G2046" i="12"/>
  <c r="G2047" i="12"/>
  <c r="G2048" i="12"/>
  <c r="G2049" i="12"/>
  <c r="G2050" i="12"/>
  <c r="G2051" i="12"/>
  <c r="G2052" i="12"/>
  <c r="G2053" i="12"/>
  <c r="G2054" i="12"/>
  <c r="G2055" i="12"/>
  <c r="I2055" i="12" s="1"/>
  <c r="G2056" i="12"/>
  <c r="G2057" i="12"/>
  <c r="G2058" i="12"/>
  <c r="G2059" i="12"/>
  <c r="G2060" i="12"/>
  <c r="G2061" i="12"/>
  <c r="G2062" i="12"/>
  <c r="G2063" i="12"/>
  <c r="I2063" i="12" s="1"/>
  <c r="G2064" i="12"/>
  <c r="G2065" i="12"/>
  <c r="G2066" i="12"/>
  <c r="G2067" i="12"/>
  <c r="G2068" i="12"/>
  <c r="G2069" i="12"/>
  <c r="G2070" i="12"/>
  <c r="G2071" i="12"/>
  <c r="I2071" i="12" s="1"/>
  <c r="G2072" i="12"/>
  <c r="G2073" i="12"/>
  <c r="G2074" i="12"/>
  <c r="G2075" i="12"/>
  <c r="G2076" i="12"/>
  <c r="G2077" i="12"/>
  <c r="G2078" i="12"/>
  <c r="G2079" i="12"/>
  <c r="G2080" i="12"/>
  <c r="G2081" i="12"/>
  <c r="G2082" i="12"/>
  <c r="G2083" i="12"/>
  <c r="G2084" i="12"/>
  <c r="G2085" i="12"/>
  <c r="G2086" i="12"/>
  <c r="G2087" i="12"/>
  <c r="G2088" i="12"/>
  <c r="G2089" i="12"/>
  <c r="G2090" i="12"/>
  <c r="G2091" i="12"/>
  <c r="G2092" i="12"/>
  <c r="G2093" i="12"/>
  <c r="G2094" i="12"/>
  <c r="G2095" i="12"/>
  <c r="G2096" i="12"/>
  <c r="G2097" i="12"/>
  <c r="G2098" i="12"/>
  <c r="G2099" i="12"/>
  <c r="G2100" i="12"/>
  <c r="G2101" i="12"/>
  <c r="G2102" i="12"/>
  <c r="G2103" i="12"/>
  <c r="G2104" i="12"/>
  <c r="G2105" i="12"/>
  <c r="G2106" i="12"/>
  <c r="G2107" i="12"/>
  <c r="G2108" i="12"/>
  <c r="G2109" i="12"/>
  <c r="G2110" i="12"/>
  <c r="G2111" i="12"/>
  <c r="G2112" i="12"/>
  <c r="G2113" i="12"/>
  <c r="G2114" i="12"/>
  <c r="G2115" i="12"/>
  <c r="G2116" i="12"/>
  <c r="G2117" i="12"/>
  <c r="G2118" i="12"/>
  <c r="G2119" i="12"/>
  <c r="I2119" i="12" s="1"/>
  <c r="G2120" i="12"/>
  <c r="G2121" i="12"/>
  <c r="G2122" i="12"/>
  <c r="G2123" i="12"/>
  <c r="G2124" i="12"/>
  <c r="G2125" i="12"/>
  <c r="G2126" i="12"/>
  <c r="G2127" i="12"/>
  <c r="I2127" i="12" s="1"/>
  <c r="G2128" i="12"/>
  <c r="G2129" i="12"/>
  <c r="G2130" i="12"/>
  <c r="G2131" i="12"/>
  <c r="G2132" i="12"/>
  <c r="G2133" i="12"/>
  <c r="G2134" i="12"/>
  <c r="G2135" i="12"/>
  <c r="I2135" i="12" s="1"/>
  <c r="G2136" i="12"/>
  <c r="G2137" i="12"/>
  <c r="G2138" i="12"/>
  <c r="G2139" i="12"/>
  <c r="G2140" i="12"/>
  <c r="G2141" i="12"/>
  <c r="G2142" i="12"/>
  <c r="G2143" i="12"/>
  <c r="G2144" i="12"/>
  <c r="G2145" i="12"/>
  <c r="G2146" i="12"/>
  <c r="G2147" i="12"/>
  <c r="G2148" i="12"/>
  <c r="G2149" i="12"/>
  <c r="G2150" i="12"/>
  <c r="G2151" i="12"/>
  <c r="G2152" i="12"/>
  <c r="G2153" i="12"/>
  <c r="G2154" i="12"/>
  <c r="G2155" i="12"/>
  <c r="G2156" i="12"/>
  <c r="G2157" i="12"/>
  <c r="G2158" i="12"/>
  <c r="G2159" i="12"/>
  <c r="G2160" i="12"/>
  <c r="G2161" i="12"/>
  <c r="G2162" i="12"/>
  <c r="G2163" i="12"/>
  <c r="G2164" i="12"/>
  <c r="G2165" i="12"/>
  <c r="G2166" i="12"/>
  <c r="G2167" i="12"/>
  <c r="G2168" i="12"/>
  <c r="G2169" i="12"/>
  <c r="G2170" i="12"/>
  <c r="G2171" i="12"/>
  <c r="G2172" i="12"/>
  <c r="G2173" i="12"/>
  <c r="G2174" i="12"/>
  <c r="G2175" i="12"/>
  <c r="G2176" i="12"/>
  <c r="G2177" i="12"/>
  <c r="G2178" i="12"/>
  <c r="G2179" i="12"/>
  <c r="G2180" i="12"/>
  <c r="G2181" i="12"/>
  <c r="G2182" i="12"/>
  <c r="G2183" i="12"/>
  <c r="I2183" i="12" s="1"/>
  <c r="G2184" i="12"/>
  <c r="G2185" i="12"/>
  <c r="G2186" i="12"/>
  <c r="G2187" i="12"/>
  <c r="G2188" i="12"/>
  <c r="G2189" i="12"/>
  <c r="G2190" i="12"/>
  <c r="G2191" i="12"/>
  <c r="I2191" i="12" s="1"/>
  <c r="G2192" i="12"/>
  <c r="G2193" i="12"/>
  <c r="G2194" i="12"/>
  <c r="G2195" i="12"/>
  <c r="G2196" i="12"/>
  <c r="G2197" i="12"/>
  <c r="G2198" i="12"/>
  <c r="G2199" i="12"/>
  <c r="I2199" i="12" s="1"/>
  <c r="G2200" i="12"/>
  <c r="G2201" i="12"/>
  <c r="G2202" i="12"/>
  <c r="G2203" i="12"/>
  <c r="G2204" i="12"/>
  <c r="G2205" i="12"/>
  <c r="G2206" i="12"/>
  <c r="G2207" i="12"/>
  <c r="G2208" i="12"/>
  <c r="G2209" i="12"/>
  <c r="G2210" i="12"/>
  <c r="G2211" i="12"/>
  <c r="G2212" i="12"/>
  <c r="G2213" i="12"/>
  <c r="G2214" i="12"/>
  <c r="G2215" i="12"/>
  <c r="G2216" i="12"/>
  <c r="G2217" i="12"/>
  <c r="G2218" i="12"/>
  <c r="G2219" i="12"/>
  <c r="G2220" i="12"/>
  <c r="G2221" i="12"/>
  <c r="G2222" i="12"/>
  <c r="G2223" i="12"/>
  <c r="G2224" i="12"/>
  <c r="G2225" i="12"/>
  <c r="G2226" i="12"/>
  <c r="G2227" i="12"/>
  <c r="G2228" i="12"/>
  <c r="G2229" i="12"/>
  <c r="G2230" i="12"/>
  <c r="G2231" i="12"/>
  <c r="G2232" i="12"/>
  <c r="G2233" i="12"/>
  <c r="G2234" i="12"/>
  <c r="G2235" i="12"/>
  <c r="G2236" i="12"/>
  <c r="G2237" i="12"/>
  <c r="G2238" i="12"/>
  <c r="G2239" i="12"/>
  <c r="G2240" i="12"/>
  <c r="G2241" i="12"/>
  <c r="G2242" i="12"/>
  <c r="G2243" i="12"/>
  <c r="G2244" i="12"/>
  <c r="G2245" i="12"/>
  <c r="G2246" i="12"/>
  <c r="G2247" i="12"/>
  <c r="I2247" i="12" s="1"/>
  <c r="G2248" i="12"/>
  <c r="G2249" i="12"/>
  <c r="G2250" i="12"/>
  <c r="G2251" i="12"/>
  <c r="G2252" i="12"/>
  <c r="G2253" i="12"/>
  <c r="G2254" i="12"/>
  <c r="G2255" i="12"/>
  <c r="I2255" i="12" s="1"/>
  <c r="G2256" i="12"/>
  <c r="G2257" i="12"/>
  <c r="G2258" i="12"/>
  <c r="G2259" i="12"/>
  <c r="G2260" i="12"/>
  <c r="G2261" i="12"/>
  <c r="G2262" i="12"/>
  <c r="G2263" i="12"/>
  <c r="I2263" i="12" s="1"/>
  <c r="G2264" i="12"/>
  <c r="G2265" i="12"/>
  <c r="G2266" i="12"/>
  <c r="G2267" i="12"/>
  <c r="G2268" i="12"/>
  <c r="G2269" i="12"/>
  <c r="G2270" i="12"/>
  <c r="G2271" i="12"/>
  <c r="G2272" i="12"/>
  <c r="G2273" i="12"/>
  <c r="G2274" i="12"/>
  <c r="G2275" i="12"/>
  <c r="G2276" i="12"/>
  <c r="G2277" i="12"/>
  <c r="G2278" i="12"/>
  <c r="G2279" i="12"/>
  <c r="G2280" i="12"/>
  <c r="G2281" i="12"/>
  <c r="G2282" i="12"/>
  <c r="G2283" i="12"/>
  <c r="G2284" i="12"/>
  <c r="G2285" i="12"/>
  <c r="G2286" i="12"/>
  <c r="G2287" i="12"/>
  <c r="G2288" i="12"/>
  <c r="G2289" i="12"/>
  <c r="G2290" i="12"/>
  <c r="G2291" i="12"/>
  <c r="G2292" i="12"/>
  <c r="G2293" i="12"/>
  <c r="G2294" i="12"/>
  <c r="G2295" i="12"/>
  <c r="G2296" i="12"/>
  <c r="G2297" i="12"/>
  <c r="G2298" i="12"/>
  <c r="G2299" i="12"/>
  <c r="G2300" i="12"/>
  <c r="G2301" i="12"/>
  <c r="G2302" i="12"/>
  <c r="G2303" i="12"/>
  <c r="G2304" i="12"/>
  <c r="G2305" i="12"/>
  <c r="G2306" i="12"/>
  <c r="G2307" i="12"/>
  <c r="G2308" i="12"/>
  <c r="G2309" i="12"/>
  <c r="G2310" i="12"/>
  <c r="G2311" i="12"/>
  <c r="I2311" i="12" s="1"/>
  <c r="G2312" i="12"/>
  <c r="G2313" i="12"/>
  <c r="G2314" i="12"/>
  <c r="G2315" i="12"/>
  <c r="G2316" i="12"/>
  <c r="G2317" i="12"/>
  <c r="G2318" i="12"/>
  <c r="G2319" i="12"/>
  <c r="I2319" i="12" s="1"/>
  <c r="G2320" i="12"/>
  <c r="G2321" i="12"/>
  <c r="G2322" i="12"/>
  <c r="G2323" i="12"/>
  <c r="G2324" i="12"/>
  <c r="G2325" i="12"/>
  <c r="G2326" i="12"/>
  <c r="G2327" i="12"/>
  <c r="I2327" i="12" s="1"/>
  <c r="G2328" i="12"/>
  <c r="G2329" i="12"/>
  <c r="G2330" i="12"/>
  <c r="G2331" i="12"/>
  <c r="G2332" i="12"/>
  <c r="G2333" i="12"/>
  <c r="G2334" i="12"/>
  <c r="G2335" i="12"/>
  <c r="G2336" i="12"/>
  <c r="G2337" i="12"/>
  <c r="G2338" i="12"/>
  <c r="G2339" i="12"/>
  <c r="G2340" i="12"/>
  <c r="G2341" i="12"/>
  <c r="G2342" i="12"/>
  <c r="G2343" i="12"/>
  <c r="G2344" i="12"/>
  <c r="G2345" i="12"/>
  <c r="G2346" i="12"/>
  <c r="G2347" i="12"/>
  <c r="G2348" i="12"/>
  <c r="G2349" i="12"/>
  <c r="G2350" i="12"/>
  <c r="G2351" i="12"/>
  <c r="G2352" i="12"/>
  <c r="G2353" i="12"/>
  <c r="G2354" i="12"/>
  <c r="G2355" i="12"/>
  <c r="G2356" i="12"/>
  <c r="G2357" i="12"/>
  <c r="G2358" i="12"/>
  <c r="G2359" i="12"/>
  <c r="G2360" i="12"/>
  <c r="G2361" i="12"/>
  <c r="G2362" i="12"/>
  <c r="G2363" i="12"/>
  <c r="G2364" i="12"/>
  <c r="G2365" i="12"/>
  <c r="G2366" i="12"/>
  <c r="G2367" i="12"/>
  <c r="G2368" i="12"/>
  <c r="G2369" i="12"/>
  <c r="G2370" i="12"/>
  <c r="G2371" i="12"/>
  <c r="G2372" i="12"/>
  <c r="G2373" i="12"/>
  <c r="G2374" i="12"/>
  <c r="G2375" i="12"/>
  <c r="I2375" i="12" s="1"/>
  <c r="G2376" i="12"/>
  <c r="G2377" i="12"/>
  <c r="G2378" i="12"/>
  <c r="G2379" i="12"/>
  <c r="G2380" i="12"/>
  <c r="G2381" i="12"/>
  <c r="G2382" i="12"/>
  <c r="G2383" i="12"/>
  <c r="I2383" i="12" s="1"/>
  <c r="G2384" i="12"/>
  <c r="G2385" i="12"/>
  <c r="G2386" i="12"/>
  <c r="G2387" i="12"/>
  <c r="G2388" i="12"/>
  <c r="G2389" i="12"/>
  <c r="G2390" i="12"/>
  <c r="G2391" i="12"/>
  <c r="I2391" i="12" s="1"/>
  <c r="G2392" i="12"/>
  <c r="G2393" i="12"/>
  <c r="G2394" i="12"/>
  <c r="G2395" i="12"/>
  <c r="G2396" i="12"/>
  <c r="G2397" i="12"/>
  <c r="G2398" i="12"/>
  <c r="G2399" i="12"/>
  <c r="G2400" i="12"/>
  <c r="G2401" i="12"/>
  <c r="G2402" i="12"/>
  <c r="G2403" i="12"/>
  <c r="G2404" i="12"/>
  <c r="G2405" i="12"/>
  <c r="G2406" i="12"/>
  <c r="G2407" i="12"/>
  <c r="G2408" i="12"/>
  <c r="G2409" i="12"/>
  <c r="G2410" i="12"/>
  <c r="G2411" i="12"/>
  <c r="G2412" i="12"/>
  <c r="G2413" i="12"/>
  <c r="G2414" i="12"/>
  <c r="G2415" i="12"/>
  <c r="G2416" i="12"/>
  <c r="G2417" i="12"/>
  <c r="G2418" i="12"/>
  <c r="G2419" i="12"/>
  <c r="G2420" i="12"/>
  <c r="G2421" i="12"/>
  <c r="G2422" i="12"/>
  <c r="G2423" i="12"/>
  <c r="G2424" i="12"/>
  <c r="G2425" i="12"/>
  <c r="G2426" i="12"/>
  <c r="G2427" i="12"/>
  <c r="G2428" i="12"/>
  <c r="G2429" i="12"/>
  <c r="G2430" i="12"/>
  <c r="G2431" i="12"/>
  <c r="G2432" i="12"/>
  <c r="G2433" i="12"/>
  <c r="G2434" i="12"/>
  <c r="G2435" i="12"/>
  <c r="G2436" i="12"/>
  <c r="G2437" i="12"/>
  <c r="G2438" i="12"/>
  <c r="G2439" i="12"/>
  <c r="I2439" i="12" s="1"/>
  <c r="G2440" i="12"/>
  <c r="G2441" i="12"/>
  <c r="G2442" i="12"/>
  <c r="G2443" i="12"/>
  <c r="G2444" i="12"/>
  <c r="G2445" i="12"/>
  <c r="G2446" i="12"/>
  <c r="G2447" i="12"/>
  <c r="I2447" i="12" s="1"/>
  <c r="G2448" i="12"/>
  <c r="G2449" i="12"/>
  <c r="G2450" i="12"/>
  <c r="G2451" i="12"/>
  <c r="J2451" i="12" s="1"/>
  <c r="G2452" i="12"/>
  <c r="G2453" i="12"/>
  <c r="G2454" i="12"/>
  <c r="G2455" i="12"/>
  <c r="I2455" i="12" s="1"/>
  <c r="G2456" i="12"/>
  <c r="G2457" i="12"/>
  <c r="G2458" i="12"/>
  <c r="G2459" i="12"/>
  <c r="G2460" i="12"/>
  <c r="G2461" i="12"/>
  <c r="G2462" i="12"/>
  <c r="G2463" i="12"/>
  <c r="G2464" i="12"/>
  <c r="G2465" i="12"/>
  <c r="G2466" i="12"/>
  <c r="G2467" i="12"/>
  <c r="G2468" i="12"/>
  <c r="G2469" i="12"/>
  <c r="G2470" i="12"/>
  <c r="G2471" i="12"/>
  <c r="G2472" i="12"/>
  <c r="G2473" i="12"/>
  <c r="G2474" i="12"/>
  <c r="G2475" i="12"/>
  <c r="G2476" i="12"/>
  <c r="G2477" i="12"/>
  <c r="G2478" i="12"/>
  <c r="G2479" i="12"/>
  <c r="G2480" i="12"/>
  <c r="G2481" i="12"/>
  <c r="G2482" i="12"/>
  <c r="G2483" i="12"/>
  <c r="G2484" i="12"/>
  <c r="G2485" i="12"/>
  <c r="G2486" i="12"/>
  <c r="G2487" i="12"/>
  <c r="G2488" i="12"/>
  <c r="G2489" i="12"/>
  <c r="G2490" i="12"/>
  <c r="G2491" i="12"/>
  <c r="G2492" i="12"/>
  <c r="G2493" i="12"/>
  <c r="G2494" i="12"/>
  <c r="G2495" i="12"/>
  <c r="G2496" i="12"/>
  <c r="G2497" i="12"/>
  <c r="G2498" i="12"/>
  <c r="G2499" i="12"/>
  <c r="G2500" i="12"/>
  <c r="G2501" i="12"/>
  <c r="G2502" i="12"/>
  <c r="G2503" i="12"/>
  <c r="I2503" i="12" s="1"/>
  <c r="G2504" i="12"/>
  <c r="G2505" i="12"/>
  <c r="G2506" i="12"/>
  <c r="G2507" i="12"/>
  <c r="G2508" i="12"/>
  <c r="G2509" i="12"/>
  <c r="G2510" i="12"/>
  <c r="G2511" i="12"/>
  <c r="I2511" i="12" s="1"/>
  <c r="G2512" i="12"/>
  <c r="G2513" i="12"/>
  <c r="G2514" i="12"/>
  <c r="G2515" i="12"/>
  <c r="G2516" i="12"/>
  <c r="G2517" i="12"/>
  <c r="G2518" i="12"/>
  <c r="G2519" i="12"/>
  <c r="I2519" i="12" s="1"/>
  <c r="G2520" i="12"/>
  <c r="G2521" i="12"/>
  <c r="G2522" i="12"/>
  <c r="G2523" i="12"/>
  <c r="G2524" i="12"/>
  <c r="G2525" i="12"/>
  <c r="G2526" i="12"/>
  <c r="G2527" i="12"/>
  <c r="G2528" i="12"/>
  <c r="G2529" i="12"/>
  <c r="G2530" i="12"/>
  <c r="G2531" i="12"/>
  <c r="G2532" i="12"/>
  <c r="G2533" i="12"/>
  <c r="G2534" i="12"/>
  <c r="G2535" i="12"/>
  <c r="G2536" i="12"/>
  <c r="J2536" i="12" s="1"/>
  <c r="G2537" i="12"/>
  <c r="G2538" i="12"/>
  <c r="G2539" i="12"/>
  <c r="G2540" i="12"/>
  <c r="G2541" i="12"/>
  <c r="G2542" i="12"/>
  <c r="G2543" i="12"/>
  <c r="G2544" i="12"/>
  <c r="G2545" i="12"/>
  <c r="G2546" i="12"/>
  <c r="G2547" i="12"/>
  <c r="G2548" i="12"/>
  <c r="G2549" i="12"/>
  <c r="G2550" i="12"/>
  <c r="G2551" i="12"/>
  <c r="G2552" i="12"/>
  <c r="G2553" i="12"/>
  <c r="G2554" i="12"/>
  <c r="G2555" i="12"/>
  <c r="G2556" i="12"/>
  <c r="G2557" i="12"/>
  <c r="G2558" i="12"/>
  <c r="G2559" i="12"/>
  <c r="G2560" i="12"/>
  <c r="G2561" i="12"/>
  <c r="G2562" i="12"/>
  <c r="G2563" i="12"/>
  <c r="G2564" i="12"/>
  <c r="G2565" i="12"/>
  <c r="G2566" i="12"/>
  <c r="G2567" i="12"/>
  <c r="I2567" i="12" s="1"/>
  <c r="G2568" i="12"/>
  <c r="G2569" i="12"/>
  <c r="G2570" i="12"/>
  <c r="G2571" i="12"/>
  <c r="G2572" i="12"/>
  <c r="G2573" i="12"/>
  <c r="G2574" i="12"/>
  <c r="G2575" i="12"/>
  <c r="I2575" i="12" s="1"/>
  <c r="G2576" i="12"/>
  <c r="G2577" i="12"/>
  <c r="G2578" i="12"/>
  <c r="G2579" i="12"/>
  <c r="G2580" i="12"/>
  <c r="G2581" i="12"/>
  <c r="G2582" i="12"/>
  <c r="G2583" i="12"/>
  <c r="I2583" i="12" s="1"/>
  <c r="G2584" i="12"/>
  <c r="G2585" i="12"/>
  <c r="G2586" i="12"/>
  <c r="G2587" i="12"/>
  <c r="G2588" i="12"/>
  <c r="G2589" i="12"/>
  <c r="G2590" i="12"/>
  <c r="G2591" i="12"/>
  <c r="G2592" i="12"/>
  <c r="G2593" i="12"/>
  <c r="G2594" i="12"/>
  <c r="G2595" i="12"/>
  <c r="G2596" i="12"/>
  <c r="G2597" i="12"/>
  <c r="G2598" i="12"/>
  <c r="G2599" i="12"/>
  <c r="G2600" i="12"/>
  <c r="G2601" i="12"/>
  <c r="G2602" i="12"/>
  <c r="G2603" i="12"/>
  <c r="G2604" i="12"/>
  <c r="G2605" i="12"/>
  <c r="G2606" i="12"/>
  <c r="G2607" i="12"/>
  <c r="G2608" i="12"/>
  <c r="G2609" i="12"/>
  <c r="G2610" i="12"/>
  <c r="G2611" i="12"/>
  <c r="G2612" i="12"/>
  <c r="G2613" i="12"/>
  <c r="G2614" i="12"/>
  <c r="G2615" i="12"/>
  <c r="G2616" i="12"/>
  <c r="G2617" i="12"/>
  <c r="G2618" i="12"/>
  <c r="G2619" i="12"/>
  <c r="G2620" i="12"/>
  <c r="G2621" i="12"/>
  <c r="J2621" i="12" s="1"/>
  <c r="G2622" i="12"/>
  <c r="G2623" i="12"/>
  <c r="G2624" i="12"/>
  <c r="G2625" i="12"/>
  <c r="G2626" i="12"/>
  <c r="G2627" i="12"/>
  <c r="G2628" i="12"/>
  <c r="G2629" i="12"/>
  <c r="G2630" i="12"/>
  <c r="G2631" i="12"/>
  <c r="I2631" i="12" s="1"/>
  <c r="G2632" i="12"/>
  <c r="G2633" i="12"/>
  <c r="G2634" i="12"/>
  <c r="G2635" i="12"/>
  <c r="G2636" i="12"/>
  <c r="G2637" i="12"/>
  <c r="G2638" i="12"/>
  <c r="G2639" i="12"/>
  <c r="I2639" i="12" s="1"/>
  <c r="G2640" i="12"/>
  <c r="G2641" i="12"/>
  <c r="G2642" i="12"/>
  <c r="G2643" i="12"/>
  <c r="G2644" i="12"/>
  <c r="G2645" i="12"/>
  <c r="G2646" i="12"/>
  <c r="G2647" i="12"/>
  <c r="I2647" i="12" s="1"/>
  <c r="G2648" i="12"/>
  <c r="G2649" i="12"/>
  <c r="G2650" i="12"/>
  <c r="G2651" i="12"/>
  <c r="G2652" i="12"/>
  <c r="G2653" i="12"/>
  <c r="G2654" i="12"/>
  <c r="G2655" i="12"/>
  <c r="G2656" i="12"/>
  <c r="G2657" i="12"/>
  <c r="G2658" i="12"/>
  <c r="G2659" i="12"/>
  <c r="G2660" i="12"/>
  <c r="G2661" i="12"/>
  <c r="G2662" i="12"/>
  <c r="G2663" i="12"/>
  <c r="G2664" i="12"/>
  <c r="G2665" i="12"/>
  <c r="G2666" i="12"/>
  <c r="G2667" i="12"/>
  <c r="G2668" i="12"/>
  <c r="G2669" i="12"/>
  <c r="G2670" i="12"/>
  <c r="G2671" i="12"/>
  <c r="G2672" i="12"/>
  <c r="G2673" i="12"/>
  <c r="G2674" i="12"/>
  <c r="G2675" i="12"/>
  <c r="G2676" i="12"/>
  <c r="G2677" i="12"/>
  <c r="G2678" i="12"/>
  <c r="G2679" i="12"/>
  <c r="G2680" i="12"/>
  <c r="G2681" i="12"/>
  <c r="G2682" i="12"/>
  <c r="G2683" i="12"/>
  <c r="G2684" i="12"/>
  <c r="G2685" i="12"/>
  <c r="G2686" i="12"/>
  <c r="G2687" i="12"/>
  <c r="G2688" i="12"/>
  <c r="G2689" i="12"/>
  <c r="G2690" i="12"/>
  <c r="G2691" i="12"/>
  <c r="G2692" i="12"/>
  <c r="G2693" i="12"/>
  <c r="G2694" i="12"/>
  <c r="G2695" i="12"/>
  <c r="I2695" i="12" s="1"/>
  <c r="G2696" i="12"/>
  <c r="G2697" i="12"/>
  <c r="G2698" i="12"/>
  <c r="G2699" i="12"/>
  <c r="G2700" i="12"/>
  <c r="G2701" i="12"/>
  <c r="G2702" i="12"/>
  <c r="G2703" i="12"/>
  <c r="I2703" i="12" s="1"/>
  <c r="G2704" i="12"/>
  <c r="G2705" i="12"/>
  <c r="G2706" i="12"/>
  <c r="G2707" i="12"/>
  <c r="G2708" i="12"/>
  <c r="G2709" i="12"/>
  <c r="G2710" i="12"/>
  <c r="G2711" i="12"/>
  <c r="I2711" i="12" s="1"/>
  <c r="G2712" i="12"/>
  <c r="G2713" i="12"/>
  <c r="G2714" i="12"/>
  <c r="G2715" i="12"/>
  <c r="G2716" i="12"/>
  <c r="G2717" i="12"/>
  <c r="G2718" i="12"/>
  <c r="G2719" i="12"/>
  <c r="G2720" i="12"/>
  <c r="G2721" i="12"/>
  <c r="G2722" i="12"/>
  <c r="G2723" i="12"/>
  <c r="G2724" i="12"/>
  <c r="G2725" i="12"/>
  <c r="G2726" i="12"/>
  <c r="G2727" i="12"/>
  <c r="G2728" i="12"/>
  <c r="G2729" i="12"/>
  <c r="G2730" i="12"/>
  <c r="G2731" i="12"/>
  <c r="G2732" i="12"/>
  <c r="G2733" i="12"/>
  <c r="G2734" i="12"/>
  <c r="G2735" i="12"/>
  <c r="G2736" i="12"/>
  <c r="G2737" i="12"/>
  <c r="G2738" i="12"/>
  <c r="G2739" i="12"/>
  <c r="G2740" i="12"/>
  <c r="G2741" i="12"/>
  <c r="G2742" i="12"/>
  <c r="G2743" i="12"/>
  <c r="G2744" i="12"/>
  <c r="G2745" i="12"/>
  <c r="G2746" i="12"/>
  <c r="G2747" i="12"/>
  <c r="G2748" i="12"/>
  <c r="G2749" i="12"/>
  <c r="G2750" i="12"/>
  <c r="G2751" i="12"/>
  <c r="G2752" i="12"/>
  <c r="G2753" i="12"/>
  <c r="G2754" i="12"/>
  <c r="G2755" i="12"/>
  <c r="G2756" i="12"/>
  <c r="G2757" i="12"/>
  <c r="G2758" i="12"/>
  <c r="G2759" i="12"/>
  <c r="I2759" i="12" s="1"/>
  <c r="G2760" i="12"/>
  <c r="G2761" i="12"/>
  <c r="G2762" i="12"/>
  <c r="G2763" i="12"/>
  <c r="G2764" i="12"/>
  <c r="G2765" i="12"/>
  <c r="G2766" i="12"/>
  <c r="G2767" i="12"/>
  <c r="I2767" i="12" s="1"/>
  <c r="G2768" i="12"/>
  <c r="G2769" i="12"/>
  <c r="G2770" i="12"/>
  <c r="G2771" i="12"/>
  <c r="G2772" i="12"/>
  <c r="G2773" i="12"/>
  <c r="G2774" i="12"/>
  <c r="G2775" i="12"/>
  <c r="I2775" i="12" s="1"/>
  <c r="G2776" i="12"/>
  <c r="G2777" i="12"/>
  <c r="G2778" i="12"/>
  <c r="G2779" i="12"/>
  <c r="G2780" i="12"/>
  <c r="G2781" i="12"/>
  <c r="G2782" i="12"/>
  <c r="G2783" i="12"/>
  <c r="G2784" i="12"/>
  <c r="G2785" i="12"/>
  <c r="G2786" i="12"/>
  <c r="G2787" i="12"/>
  <c r="G2788" i="12"/>
  <c r="G2789" i="12"/>
  <c r="G2790" i="12"/>
  <c r="G2791" i="12"/>
  <c r="G2792" i="12"/>
  <c r="G2793" i="12"/>
  <c r="G2794" i="12"/>
  <c r="G2795" i="12"/>
  <c r="G2796" i="12"/>
  <c r="G2797" i="12"/>
  <c r="G2798" i="12"/>
  <c r="G2799" i="12"/>
  <c r="G2800" i="12"/>
  <c r="G2801" i="12"/>
  <c r="G2802" i="12"/>
  <c r="G2803" i="12"/>
  <c r="G2804" i="12"/>
  <c r="G2805" i="12"/>
  <c r="G2806" i="12"/>
  <c r="G2807" i="12"/>
  <c r="G2808" i="12"/>
  <c r="G2809" i="12"/>
  <c r="G2810" i="12"/>
  <c r="G2811" i="12"/>
  <c r="G2812" i="12"/>
  <c r="G2813" i="12"/>
  <c r="G2814" i="12"/>
  <c r="G2815" i="12"/>
  <c r="G2816" i="12"/>
  <c r="G2817" i="12"/>
  <c r="G2818" i="12"/>
  <c r="G2819" i="12"/>
  <c r="G2820" i="12"/>
  <c r="G2821" i="12"/>
  <c r="G2822" i="12"/>
  <c r="G2823" i="12"/>
  <c r="I2823" i="12" s="1"/>
  <c r="G2824" i="12"/>
  <c r="G2825" i="12"/>
  <c r="G2826" i="12"/>
  <c r="G2827" i="12"/>
  <c r="G2828" i="12"/>
  <c r="G2829" i="12"/>
  <c r="G2830" i="12"/>
  <c r="G2831" i="12"/>
  <c r="I2831" i="12" s="1"/>
  <c r="G2832" i="12"/>
  <c r="G2833" i="12"/>
  <c r="G2834" i="12"/>
  <c r="G2835" i="12"/>
  <c r="G2836" i="12"/>
  <c r="G2837" i="12"/>
  <c r="G2838" i="12"/>
  <c r="G2839" i="12"/>
  <c r="I2839" i="12" s="1"/>
  <c r="G2840" i="12"/>
  <c r="G2841" i="12"/>
  <c r="G2842" i="12"/>
  <c r="G2843" i="12"/>
  <c r="G2844" i="12"/>
  <c r="G2845" i="12"/>
  <c r="G2846" i="12"/>
  <c r="G2847" i="12"/>
  <c r="G2848" i="12"/>
  <c r="G2849" i="12"/>
  <c r="G2850" i="12"/>
  <c r="G2851" i="12"/>
  <c r="G2852" i="12"/>
  <c r="G2853" i="12"/>
  <c r="G2854" i="12"/>
  <c r="G2855" i="12"/>
  <c r="G2856" i="12"/>
  <c r="G2857" i="12"/>
  <c r="G2858" i="12"/>
  <c r="G2859" i="12"/>
  <c r="G2860" i="12"/>
  <c r="G2861" i="12"/>
  <c r="G2862" i="12"/>
  <c r="G2863" i="12"/>
  <c r="G2864" i="12"/>
  <c r="G2865" i="12"/>
  <c r="G2866" i="12"/>
  <c r="G2867" i="12"/>
  <c r="G2868" i="12"/>
  <c r="G2869" i="12"/>
  <c r="G2870" i="12"/>
  <c r="G2871" i="12"/>
  <c r="G2872" i="12"/>
  <c r="G2873" i="12"/>
  <c r="G2874" i="12"/>
  <c r="G2875" i="12"/>
  <c r="G2876" i="12"/>
  <c r="G2877" i="12"/>
  <c r="G2878" i="12"/>
  <c r="G2879" i="12"/>
  <c r="G2880" i="12"/>
  <c r="G2881" i="12"/>
  <c r="G2882" i="12"/>
  <c r="G2883" i="12"/>
  <c r="G2884" i="12"/>
  <c r="G2885" i="12"/>
  <c r="G2886" i="12"/>
  <c r="G2887" i="12"/>
  <c r="I2887" i="12" s="1"/>
  <c r="G2888" i="12"/>
  <c r="G2889" i="12"/>
  <c r="G2890" i="12"/>
  <c r="G2891" i="12"/>
  <c r="G2892" i="12"/>
  <c r="G2893" i="12"/>
  <c r="G2894" i="12"/>
  <c r="G2895" i="12"/>
  <c r="I2895" i="12" s="1"/>
  <c r="G2896" i="12"/>
  <c r="G2897" i="12"/>
  <c r="G2898" i="12"/>
  <c r="G2899" i="12"/>
  <c r="G2900" i="12"/>
  <c r="G2901" i="12"/>
  <c r="G2902" i="12"/>
  <c r="G2903" i="12"/>
  <c r="I2903" i="12" s="1"/>
  <c r="G2904" i="12"/>
  <c r="G2905" i="12"/>
  <c r="G2906" i="12"/>
  <c r="G2907" i="12"/>
  <c r="G2908" i="12"/>
  <c r="G2909" i="12"/>
  <c r="G2910" i="12"/>
  <c r="G2911" i="12"/>
  <c r="G2912" i="12"/>
  <c r="G2913" i="12"/>
  <c r="G2914" i="12"/>
  <c r="G2915" i="12"/>
  <c r="G2916" i="12"/>
  <c r="G2917" i="12"/>
  <c r="G2918" i="12"/>
  <c r="G2919" i="12"/>
  <c r="G2920" i="12"/>
  <c r="G2921" i="12"/>
  <c r="G2922" i="12"/>
  <c r="G2923" i="12"/>
  <c r="G2924" i="12"/>
  <c r="G2925" i="12"/>
  <c r="G2926" i="12"/>
  <c r="G2927" i="12"/>
  <c r="G2928" i="12"/>
  <c r="G2929" i="12"/>
  <c r="G2930" i="12"/>
  <c r="G2931" i="12"/>
  <c r="G2932" i="12"/>
  <c r="G2933" i="12"/>
  <c r="G2934" i="12"/>
  <c r="G2935" i="12"/>
  <c r="G2936" i="12"/>
  <c r="G2937" i="12"/>
  <c r="G2938" i="12"/>
  <c r="G2939" i="12"/>
  <c r="G2940" i="12"/>
  <c r="G2941" i="12"/>
  <c r="G2942" i="12"/>
  <c r="G2943" i="12"/>
  <c r="G2944" i="12"/>
  <c r="G2945" i="12"/>
  <c r="G2946" i="12"/>
  <c r="G2947" i="12"/>
  <c r="G2948" i="12"/>
  <c r="G2949" i="12"/>
  <c r="G2950" i="12"/>
  <c r="G2951" i="12"/>
  <c r="I2951" i="12" s="1"/>
  <c r="G2952" i="12"/>
  <c r="G2953" i="12"/>
  <c r="G2954" i="12"/>
  <c r="G2955" i="12"/>
  <c r="G2956" i="12"/>
  <c r="G2957" i="12"/>
  <c r="G2958" i="12"/>
  <c r="G2959" i="12"/>
  <c r="I2959" i="12" s="1"/>
  <c r="G2960" i="12"/>
  <c r="G2961" i="12"/>
  <c r="G2962" i="12"/>
  <c r="G2963" i="12"/>
  <c r="J2963" i="12" s="1"/>
  <c r="G2964" i="12"/>
  <c r="G2965" i="12"/>
  <c r="G2966" i="12"/>
  <c r="G2967" i="12"/>
  <c r="I2967" i="12" s="1"/>
  <c r="G2968" i="12"/>
  <c r="G2969" i="12"/>
  <c r="G2970" i="12"/>
  <c r="G2971" i="12"/>
  <c r="G2972" i="12"/>
  <c r="G2973" i="12"/>
  <c r="G2974" i="12"/>
  <c r="G2975" i="12"/>
  <c r="G2976" i="12"/>
  <c r="G2977" i="12"/>
  <c r="G2978" i="12"/>
  <c r="G2979" i="12"/>
  <c r="G2980" i="12"/>
  <c r="G2981" i="12"/>
  <c r="G2982" i="12"/>
  <c r="G2983" i="12"/>
  <c r="G2984" i="12"/>
  <c r="G2985" i="12"/>
  <c r="G2986" i="12"/>
  <c r="G2987" i="12"/>
  <c r="G2988" i="12"/>
  <c r="G2989" i="12"/>
  <c r="G2990" i="12"/>
  <c r="G2991" i="12"/>
  <c r="G2992" i="12"/>
  <c r="G2993" i="12"/>
  <c r="G2994" i="12"/>
  <c r="G2995" i="12"/>
  <c r="G2996" i="12"/>
  <c r="G2997" i="12"/>
  <c r="G2998" i="12"/>
  <c r="G2999" i="12"/>
  <c r="G3000" i="12"/>
  <c r="G3001" i="12"/>
  <c r="G3002" i="12"/>
  <c r="G3003" i="12"/>
  <c r="I13" i="12"/>
  <c r="F34" i="12"/>
  <c r="E34" i="12" s="1"/>
  <c r="F35" i="12"/>
  <c r="D35" i="12" s="1"/>
  <c r="F36" i="12"/>
  <c r="F37" i="12"/>
  <c r="F38" i="12"/>
  <c r="E38" i="12" s="1"/>
  <c r="F39" i="12"/>
  <c r="E39" i="12" s="1"/>
  <c r="F40" i="12"/>
  <c r="E40" i="12" s="1"/>
  <c r="F41" i="12"/>
  <c r="F42" i="12"/>
  <c r="D42" i="12" s="1"/>
  <c r="F43" i="12"/>
  <c r="F44" i="12"/>
  <c r="E44" i="12" s="1"/>
  <c r="F45" i="12"/>
  <c r="F46" i="12"/>
  <c r="E46" i="12" s="1"/>
  <c r="F47" i="12"/>
  <c r="F48" i="12"/>
  <c r="F49" i="12"/>
  <c r="F50" i="12"/>
  <c r="E50" i="12" s="1"/>
  <c r="F51" i="12"/>
  <c r="F52" i="12"/>
  <c r="D52" i="12" s="1"/>
  <c r="F53" i="12"/>
  <c r="F54" i="12"/>
  <c r="E54" i="12" s="1"/>
  <c r="F55" i="12"/>
  <c r="F56" i="12"/>
  <c r="F57" i="12"/>
  <c r="E57" i="12" s="1"/>
  <c r="F58" i="12"/>
  <c r="E58" i="12" s="1"/>
  <c r="F59" i="12"/>
  <c r="F60" i="12"/>
  <c r="E60" i="12" s="1"/>
  <c r="F61" i="12"/>
  <c r="F62" i="12"/>
  <c r="E62" i="12" s="1"/>
  <c r="F63" i="12"/>
  <c r="F64" i="12"/>
  <c r="F65" i="12"/>
  <c r="F66" i="12"/>
  <c r="E66" i="12" s="1"/>
  <c r="F67" i="12"/>
  <c r="E67" i="12" s="1"/>
  <c r="F68" i="12"/>
  <c r="F69" i="12"/>
  <c r="F70" i="12"/>
  <c r="E70" i="12" s="1"/>
  <c r="F71" i="12"/>
  <c r="F72" i="12"/>
  <c r="F73" i="12"/>
  <c r="D73" i="12" s="1"/>
  <c r="F74" i="12"/>
  <c r="E74" i="12" s="1"/>
  <c r="F75" i="12"/>
  <c r="D75" i="12" s="1"/>
  <c r="F76" i="12"/>
  <c r="F77" i="12"/>
  <c r="F78" i="12"/>
  <c r="D78" i="12" s="1"/>
  <c r="F79" i="12"/>
  <c r="F80" i="12"/>
  <c r="E80" i="12" s="1"/>
  <c r="F81" i="12"/>
  <c r="E81" i="12" s="1"/>
  <c r="F82" i="12"/>
  <c r="E82" i="12" s="1"/>
  <c r="F83" i="12"/>
  <c r="E83" i="12" s="1"/>
  <c r="F84" i="12"/>
  <c r="D84" i="12" s="1"/>
  <c r="F85" i="12"/>
  <c r="F86" i="12"/>
  <c r="F87" i="12"/>
  <c r="F88" i="12"/>
  <c r="E88" i="12" s="1"/>
  <c r="F89" i="12"/>
  <c r="F90" i="12"/>
  <c r="D90" i="12" s="1"/>
  <c r="F91" i="12"/>
  <c r="F92" i="12"/>
  <c r="E92" i="12" s="1"/>
  <c r="F93" i="12"/>
  <c r="F94" i="12"/>
  <c r="F95" i="12"/>
  <c r="F96" i="12"/>
  <c r="F97" i="12"/>
  <c r="F98" i="12"/>
  <c r="D98" i="12" s="1"/>
  <c r="F99" i="12"/>
  <c r="F100" i="12"/>
  <c r="D100" i="12" s="1"/>
  <c r="F101" i="12"/>
  <c r="F102" i="12"/>
  <c r="F103" i="12"/>
  <c r="D103" i="12" s="1"/>
  <c r="F104" i="12"/>
  <c r="F105" i="12"/>
  <c r="F106" i="12"/>
  <c r="D106" i="12" s="1"/>
  <c r="F107" i="12"/>
  <c r="F108" i="12"/>
  <c r="E108" i="12" s="1"/>
  <c r="F109" i="12"/>
  <c r="F110" i="12"/>
  <c r="F111" i="12"/>
  <c r="F112" i="12"/>
  <c r="F113" i="12"/>
  <c r="F114" i="12"/>
  <c r="E114" i="12" s="1"/>
  <c r="F115" i="12"/>
  <c r="D115" i="12" s="1"/>
  <c r="F116" i="12"/>
  <c r="F117" i="12"/>
  <c r="F118" i="12"/>
  <c r="F119" i="12"/>
  <c r="F120" i="12"/>
  <c r="F121" i="12"/>
  <c r="F122" i="12"/>
  <c r="E122" i="12" s="1"/>
  <c r="F123" i="12"/>
  <c r="E123" i="12" s="1"/>
  <c r="F124" i="12"/>
  <c r="F125" i="12"/>
  <c r="F126" i="12"/>
  <c r="E126" i="12" s="1"/>
  <c r="F127" i="12"/>
  <c r="F128" i="12"/>
  <c r="F129" i="12"/>
  <c r="F130" i="12"/>
  <c r="E130" i="12" s="1"/>
  <c r="F131" i="12"/>
  <c r="E131" i="12" s="1"/>
  <c r="F132" i="12"/>
  <c r="F133" i="12"/>
  <c r="F134" i="12"/>
  <c r="E134" i="12" s="1"/>
  <c r="F135" i="12"/>
  <c r="F136" i="12"/>
  <c r="F137" i="12"/>
  <c r="F138" i="12"/>
  <c r="E138" i="12" s="1"/>
  <c r="F139" i="12"/>
  <c r="F140" i="12"/>
  <c r="F141" i="12"/>
  <c r="F142" i="12"/>
  <c r="E142" i="12" s="1"/>
  <c r="F143" i="12"/>
  <c r="F144" i="12"/>
  <c r="F145" i="12"/>
  <c r="E145" i="12" s="1"/>
  <c r="F146" i="12"/>
  <c r="E146" i="12" s="1"/>
  <c r="F147" i="12"/>
  <c r="E147" i="12" s="1"/>
  <c r="F148" i="12"/>
  <c r="D148" i="12" s="1"/>
  <c r="F149" i="12"/>
  <c r="F150" i="12"/>
  <c r="F151" i="12"/>
  <c r="F152" i="12"/>
  <c r="E152" i="12" s="1"/>
  <c r="F153" i="12"/>
  <c r="F154" i="12"/>
  <c r="E154" i="12" s="1"/>
  <c r="F155" i="12"/>
  <c r="E155" i="12" s="1"/>
  <c r="F156" i="12"/>
  <c r="E156" i="12" s="1"/>
  <c r="F157" i="12"/>
  <c r="F158" i="12"/>
  <c r="E158" i="12" s="1"/>
  <c r="F159" i="12"/>
  <c r="F160" i="12"/>
  <c r="F161" i="12"/>
  <c r="F162" i="12"/>
  <c r="E162" i="12" s="1"/>
  <c r="F163" i="12"/>
  <c r="D163" i="12" s="1"/>
  <c r="F164" i="12"/>
  <c r="E164" i="12" s="1"/>
  <c r="F165" i="12"/>
  <c r="F166" i="12"/>
  <c r="F167" i="12"/>
  <c r="F168" i="12"/>
  <c r="F169" i="12"/>
  <c r="F170" i="12"/>
  <c r="D170" i="12" s="1"/>
  <c r="F171" i="12"/>
  <c r="D171" i="12" s="1"/>
  <c r="F172" i="12"/>
  <c r="E172" i="12" s="1"/>
  <c r="F173" i="12"/>
  <c r="F174" i="12"/>
  <c r="D174" i="12" s="1"/>
  <c r="F175" i="12"/>
  <c r="F176" i="12"/>
  <c r="E176" i="12" s="1"/>
  <c r="F177" i="12"/>
  <c r="F178" i="12"/>
  <c r="E178" i="12" s="1"/>
  <c r="F179" i="12"/>
  <c r="F180" i="12"/>
  <c r="E180" i="12" s="1"/>
  <c r="F181" i="12"/>
  <c r="F182" i="12"/>
  <c r="F183" i="12"/>
  <c r="F184" i="12"/>
  <c r="F185" i="12"/>
  <c r="D185" i="12" s="1"/>
  <c r="F186" i="12"/>
  <c r="E186" i="12" s="1"/>
  <c r="F187" i="12"/>
  <c r="D187" i="12" s="1"/>
  <c r="F188" i="12"/>
  <c r="F189" i="12"/>
  <c r="F190" i="12"/>
  <c r="E190" i="12" s="1"/>
  <c r="F191" i="12"/>
  <c r="F192" i="12"/>
  <c r="F193" i="12"/>
  <c r="F194" i="12"/>
  <c r="E194" i="12" s="1"/>
  <c r="F195" i="12"/>
  <c r="E195" i="12" s="1"/>
  <c r="F196" i="12"/>
  <c r="E196" i="12" s="1"/>
  <c r="F197" i="12"/>
  <c r="F198" i="12"/>
  <c r="F199" i="12"/>
  <c r="F200" i="12"/>
  <c r="F201" i="12"/>
  <c r="D201" i="12" s="1"/>
  <c r="F202" i="12"/>
  <c r="E202" i="12" s="1"/>
  <c r="F203" i="12"/>
  <c r="D203" i="12" s="1"/>
  <c r="F204" i="12"/>
  <c r="F205" i="12"/>
  <c r="F206" i="12"/>
  <c r="F207" i="12"/>
  <c r="F208" i="12"/>
  <c r="F209" i="12"/>
  <c r="F210" i="12"/>
  <c r="E210" i="12" s="1"/>
  <c r="F211" i="12"/>
  <c r="D211" i="12" s="1"/>
  <c r="F212" i="12"/>
  <c r="F213" i="12"/>
  <c r="F214" i="12"/>
  <c r="E214" i="12" s="1"/>
  <c r="F215" i="12"/>
  <c r="F216" i="12"/>
  <c r="F217" i="12"/>
  <c r="F218" i="12"/>
  <c r="D218" i="12" s="1"/>
  <c r="F219" i="12"/>
  <c r="F220" i="12"/>
  <c r="E220" i="12" s="1"/>
  <c r="F221" i="12"/>
  <c r="F222" i="12"/>
  <c r="E222" i="12" s="1"/>
  <c r="F223" i="12"/>
  <c r="F224" i="12"/>
  <c r="F225" i="12"/>
  <c r="F226" i="12"/>
  <c r="D226" i="12" s="1"/>
  <c r="F227" i="12"/>
  <c r="F228" i="12"/>
  <c r="E228" i="12" s="1"/>
  <c r="F229" i="12"/>
  <c r="F230" i="12"/>
  <c r="E230" i="12" s="1"/>
  <c r="F231" i="12"/>
  <c r="F232" i="12"/>
  <c r="D232" i="12" s="1"/>
  <c r="F233" i="12"/>
  <c r="D233" i="12" s="1"/>
  <c r="F234" i="12"/>
  <c r="D234" i="12" s="1"/>
  <c r="F235" i="12"/>
  <c r="F236" i="12"/>
  <c r="D236" i="12" s="1"/>
  <c r="F237" i="12"/>
  <c r="F238" i="12"/>
  <c r="E238" i="12" s="1"/>
  <c r="F239" i="12"/>
  <c r="F240" i="12"/>
  <c r="E240" i="12" s="1"/>
  <c r="F241" i="12"/>
  <c r="F242" i="12"/>
  <c r="E242" i="12" s="1"/>
  <c r="F243" i="12"/>
  <c r="F244" i="12"/>
  <c r="F245" i="12"/>
  <c r="F246" i="12"/>
  <c r="E246" i="12" s="1"/>
  <c r="F247" i="12"/>
  <c r="F248" i="12"/>
  <c r="F249" i="12"/>
  <c r="D249" i="12" s="1"/>
  <c r="F250" i="12"/>
  <c r="E250" i="12" s="1"/>
  <c r="F251" i="12"/>
  <c r="E251" i="12" s="1"/>
  <c r="F252" i="12"/>
  <c r="F253" i="12"/>
  <c r="F254" i="12"/>
  <c r="E254" i="12" s="1"/>
  <c r="F255" i="12"/>
  <c r="F256" i="12"/>
  <c r="E256" i="12" s="1"/>
  <c r="F257" i="12"/>
  <c r="F258" i="12"/>
  <c r="E258" i="12" s="1"/>
  <c r="F259" i="12"/>
  <c r="F260" i="12"/>
  <c r="D260" i="12" s="1"/>
  <c r="F261" i="12"/>
  <c r="F262" i="12"/>
  <c r="D262" i="12" s="1"/>
  <c r="F263" i="12"/>
  <c r="F264" i="12"/>
  <c r="D264" i="12" s="1"/>
  <c r="F265" i="12"/>
  <c r="D265" i="12" s="1"/>
  <c r="F266" i="12"/>
  <c r="E266" i="12" s="1"/>
  <c r="F267" i="12"/>
  <c r="F268" i="12"/>
  <c r="D268" i="12" s="1"/>
  <c r="F269" i="12"/>
  <c r="F270" i="12"/>
  <c r="E270" i="12" s="1"/>
  <c r="F271" i="12"/>
  <c r="F272" i="12"/>
  <c r="E272" i="12" s="1"/>
  <c r="F273" i="12"/>
  <c r="F274" i="12"/>
  <c r="E274" i="12" s="1"/>
  <c r="F275" i="12"/>
  <c r="E275" i="12" s="1"/>
  <c r="F276" i="12"/>
  <c r="F277" i="12"/>
  <c r="F278" i="12"/>
  <c r="E278" i="12" s="1"/>
  <c r="F279" i="12"/>
  <c r="E279" i="12" s="1"/>
  <c r="F280" i="12"/>
  <c r="F281" i="12"/>
  <c r="F282" i="12"/>
  <c r="E282" i="12" s="1"/>
  <c r="F283" i="12"/>
  <c r="F284" i="12"/>
  <c r="F285" i="12"/>
  <c r="F286" i="12"/>
  <c r="D286" i="12" s="1"/>
  <c r="F287" i="12"/>
  <c r="F288" i="12"/>
  <c r="E288" i="12" s="1"/>
  <c r="F289" i="12"/>
  <c r="F290" i="12"/>
  <c r="D290" i="12" s="1"/>
  <c r="F291" i="12"/>
  <c r="F292" i="12"/>
  <c r="F293" i="12"/>
  <c r="F294" i="12"/>
  <c r="E294" i="12" s="1"/>
  <c r="F295" i="12"/>
  <c r="F296" i="12"/>
  <c r="F297" i="12"/>
  <c r="F298" i="12"/>
  <c r="D298" i="12" s="1"/>
  <c r="F299" i="12"/>
  <c r="E299" i="12" s="1"/>
  <c r="F300" i="12"/>
  <c r="D300" i="12" s="1"/>
  <c r="F301" i="12"/>
  <c r="F302" i="12"/>
  <c r="E302" i="12" s="1"/>
  <c r="F303" i="12"/>
  <c r="F304" i="12"/>
  <c r="D304" i="12" s="1"/>
  <c r="F305" i="12"/>
  <c r="F306" i="12"/>
  <c r="E306" i="12" s="1"/>
  <c r="F307" i="12"/>
  <c r="F308" i="12"/>
  <c r="D308" i="12" s="1"/>
  <c r="F309" i="12"/>
  <c r="F310" i="12"/>
  <c r="E310" i="12" s="1"/>
  <c r="F311" i="12"/>
  <c r="F312" i="12"/>
  <c r="F313" i="12"/>
  <c r="F314" i="12"/>
  <c r="E314" i="12" s="1"/>
  <c r="F315" i="12"/>
  <c r="F316" i="12"/>
  <c r="D316" i="12" s="1"/>
  <c r="F317" i="12"/>
  <c r="F318" i="12"/>
  <c r="E318" i="12" s="1"/>
  <c r="F319" i="12"/>
  <c r="F320" i="12"/>
  <c r="E320" i="12" s="1"/>
  <c r="F321" i="12"/>
  <c r="E321" i="12" s="1"/>
  <c r="F322" i="12"/>
  <c r="E322" i="12" s="1"/>
  <c r="F323" i="12"/>
  <c r="F324" i="12"/>
  <c r="F325" i="12"/>
  <c r="F326" i="12"/>
  <c r="E326" i="12" s="1"/>
  <c r="F327" i="12"/>
  <c r="F328" i="12"/>
  <c r="E328" i="12" s="1"/>
  <c r="F329" i="12"/>
  <c r="F330" i="12"/>
  <c r="E330" i="12" s="1"/>
  <c r="F331" i="12"/>
  <c r="F332" i="12"/>
  <c r="E332" i="12" s="1"/>
  <c r="F333" i="12"/>
  <c r="F334" i="12"/>
  <c r="E334" i="12" s="1"/>
  <c r="F335" i="12"/>
  <c r="F336" i="12"/>
  <c r="F337" i="12"/>
  <c r="F338" i="12"/>
  <c r="E338" i="12" s="1"/>
  <c r="F339" i="12"/>
  <c r="F340" i="12"/>
  <c r="F341" i="12"/>
  <c r="F342" i="12"/>
  <c r="E342" i="12" s="1"/>
  <c r="F343" i="12"/>
  <c r="F344" i="12"/>
  <c r="F345" i="12"/>
  <c r="F346" i="12"/>
  <c r="E346" i="12" s="1"/>
  <c r="F347" i="12"/>
  <c r="F348" i="12"/>
  <c r="F349" i="12"/>
  <c r="F350" i="12"/>
  <c r="D350" i="12" s="1"/>
  <c r="F351" i="12"/>
  <c r="F352" i="12"/>
  <c r="E352" i="12" s="1"/>
  <c r="F353" i="12"/>
  <c r="F354" i="12"/>
  <c r="D354" i="12" s="1"/>
  <c r="F355" i="12"/>
  <c r="E355" i="12" s="1"/>
  <c r="F356" i="12"/>
  <c r="D356" i="12" s="1"/>
  <c r="F357" i="12"/>
  <c r="F358" i="12"/>
  <c r="E358" i="12" s="1"/>
  <c r="F359" i="12"/>
  <c r="F360" i="12"/>
  <c r="E360" i="12" s="1"/>
  <c r="F361" i="12"/>
  <c r="F362" i="12"/>
  <c r="D362" i="12" s="1"/>
  <c r="F363" i="12"/>
  <c r="E363" i="12" s="1"/>
  <c r="F364" i="12"/>
  <c r="F365" i="12"/>
  <c r="F366" i="12"/>
  <c r="E366" i="12" s="1"/>
  <c r="F367" i="12"/>
  <c r="F368" i="12"/>
  <c r="F369" i="12"/>
  <c r="F370" i="12"/>
  <c r="E370" i="12" s="1"/>
  <c r="F371" i="12"/>
  <c r="E371" i="12" s="1"/>
  <c r="F372" i="12"/>
  <c r="F373" i="12"/>
  <c r="F374" i="12"/>
  <c r="E374" i="12" s="1"/>
  <c r="F375" i="12"/>
  <c r="E375" i="12" s="1"/>
  <c r="F376" i="12"/>
  <c r="E376" i="12" s="1"/>
  <c r="F377" i="12"/>
  <c r="F378" i="12"/>
  <c r="E378" i="12" s="1"/>
  <c r="F379" i="12"/>
  <c r="D379" i="12" s="1"/>
  <c r="F380" i="12"/>
  <c r="D380" i="12" s="1"/>
  <c r="F381" i="12"/>
  <c r="F382" i="12"/>
  <c r="E382" i="12" s="1"/>
  <c r="F383" i="12"/>
  <c r="F384" i="12"/>
  <c r="F385" i="12"/>
  <c r="E385" i="12" s="1"/>
  <c r="F386" i="12"/>
  <c r="E386" i="12" s="1"/>
  <c r="F387" i="12"/>
  <c r="F388" i="12"/>
  <c r="F389" i="12"/>
  <c r="F390" i="12"/>
  <c r="E390" i="12" s="1"/>
  <c r="F391" i="12"/>
  <c r="F392" i="12"/>
  <c r="E392" i="12" s="1"/>
  <c r="F393" i="12"/>
  <c r="D393" i="12" s="1"/>
  <c r="F394" i="12"/>
  <c r="E394" i="12" s="1"/>
  <c r="F395" i="12"/>
  <c r="F396" i="12"/>
  <c r="E396" i="12" s="1"/>
  <c r="F397" i="12"/>
  <c r="F398" i="12"/>
  <c r="D398" i="12" s="1"/>
  <c r="F399" i="12"/>
  <c r="F400" i="12"/>
  <c r="F401" i="12"/>
  <c r="F402" i="12"/>
  <c r="E402" i="12" s="1"/>
  <c r="F403" i="12"/>
  <c r="F404" i="12"/>
  <c r="F405" i="12"/>
  <c r="F406" i="12"/>
  <c r="E406" i="12" s="1"/>
  <c r="F407" i="12"/>
  <c r="F408" i="12"/>
  <c r="E408" i="12" s="1"/>
  <c r="F409" i="12"/>
  <c r="F410" i="12"/>
  <c r="E410" i="12" s="1"/>
  <c r="F411" i="12"/>
  <c r="E411" i="12" s="1"/>
  <c r="F412" i="12"/>
  <c r="E412" i="12" s="1"/>
  <c r="F413" i="12"/>
  <c r="F414" i="12"/>
  <c r="F415" i="12"/>
  <c r="F416" i="12"/>
  <c r="E416" i="12" s="1"/>
  <c r="F417" i="12"/>
  <c r="F418" i="12"/>
  <c r="D418" i="12" s="1"/>
  <c r="F419" i="12"/>
  <c r="F420" i="12"/>
  <c r="E420" i="12" s="1"/>
  <c r="F421" i="12"/>
  <c r="F422" i="12"/>
  <c r="E422" i="12" s="1"/>
  <c r="F423" i="12"/>
  <c r="F424" i="12"/>
  <c r="F425" i="12"/>
  <c r="F426" i="12"/>
  <c r="D426" i="12" s="1"/>
  <c r="F427" i="12"/>
  <c r="E427" i="12" s="1"/>
  <c r="F428" i="12"/>
  <c r="F429" i="12"/>
  <c r="F430" i="12"/>
  <c r="E430" i="12" s="1"/>
  <c r="F431" i="12"/>
  <c r="E431" i="12" s="1"/>
  <c r="F432" i="12"/>
  <c r="F433" i="12"/>
  <c r="F434" i="12"/>
  <c r="E434" i="12" s="1"/>
  <c r="F435" i="12"/>
  <c r="E435" i="12" s="1"/>
  <c r="F436" i="12"/>
  <c r="F437" i="12"/>
  <c r="F438" i="12"/>
  <c r="E438" i="12" s="1"/>
  <c r="F439" i="12"/>
  <c r="F440" i="12"/>
  <c r="F441" i="12"/>
  <c r="F442" i="12"/>
  <c r="E442" i="12" s="1"/>
  <c r="F443" i="12"/>
  <c r="F444" i="12"/>
  <c r="F445" i="12"/>
  <c r="F446" i="12"/>
  <c r="E446" i="12" s="1"/>
  <c r="F447" i="12"/>
  <c r="F448" i="12"/>
  <c r="F449" i="12"/>
  <c r="F450" i="12"/>
  <c r="E450" i="12" s="1"/>
  <c r="F451" i="12"/>
  <c r="F452" i="12"/>
  <c r="F453" i="12"/>
  <c r="F454" i="12"/>
  <c r="E454" i="12" s="1"/>
  <c r="F455" i="12"/>
  <c r="F456" i="12"/>
  <c r="F457" i="12"/>
  <c r="E457" i="12" s="1"/>
  <c r="F458" i="12"/>
  <c r="E458" i="12" s="1"/>
  <c r="F459" i="12"/>
  <c r="E459" i="12" s="1"/>
  <c r="F460" i="12"/>
  <c r="F461" i="12"/>
  <c r="F462" i="12"/>
  <c r="E462" i="12" s="1"/>
  <c r="F463" i="12"/>
  <c r="F464" i="12"/>
  <c r="F465" i="12"/>
  <c r="F466" i="12"/>
  <c r="E466" i="12" s="1"/>
  <c r="F467" i="12"/>
  <c r="D467" i="12" s="1"/>
  <c r="F468" i="12"/>
  <c r="F469" i="12"/>
  <c r="F470" i="12"/>
  <c r="E470" i="12" s="1"/>
  <c r="F471" i="12"/>
  <c r="F472" i="12"/>
  <c r="F473" i="12"/>
  <c r="F474" i="12"/>
  <c r="E474" i="12" s="1"/>
  <c r="F475" i="12"/>
  <c r="F476" i="12"/>
  <c r="D476" i="12" s="1"/>
  <c r="F477" i="12"/>
  <c r="F478" i="12"/>
  <c r="E478" i="12" s="1"/>
  <c r="F479" i="12"/>
  <c r="F480" i="12"/>
  <c r="F481" i="12"/>
  <c r="E481" i="12" s="1"/>
  <c r="F482" i="12"/>
  <c r="E482" i="12" s="1"/>
  <c r="F483" i="12"/>
  <c r="E483" i="12" s="1"/>
  <c r="F484" i="12"/>
  <c r="F485" i="12"/>
  <c r="F486" i="12"/>
  <c r="E486" i="12" s="1"/>
  <c r="F487" i="12"/>
  <c r="F488" i="12"/>
  <c r="F489" i="12"/>
  <c r="F490" i="12"/>
  <c r="D490" i="12" s="1"/>
  <c r="F491" i="12"/>
  <c r="F492" i="12"/>
  <c r="D492" i="12" s="1"/>
  <c r="F493" i="12"/>
  <c r="F494" i="12"/>
  <c r="E494" i="12" s="1"/>
  <c r="F495" i="12"/>
  <c r="F496" i="12"/>
  <c r="F497" i="12"/>
  <c r="F498" i="12"/>
  <c r="E498" i="12" s="1"/>
  <c r="F499" i="12"/>
  <c r="F500" i="12"/>
  <c r="D500" i="12" s="1"/>
  <c r="F501" i="12"/>
  <c r="F502" i="12"/>
  <c r="E502" i="12" s="1"/>
  <c r="F503" i="12"/>
  <c r="F504" i="12"/>
  <c r="F505" i="12"/>
  <c r="F506" i="12"/>
  <c r="E506" i="12" s="1"/>
  <c r="F507" i="12"/>
  <c r="E507" i="12" s="1"/>
  <c r="F508" i="12"/>
  <c r="F509" i="12"/>
  <c r="F510" i="12"/>
  <c r="E510" i="12" s="1"/>
  <c r="F511" i="12"/>
  <c r="F512" i="12"/>
  <c r="F513" i="12"/>
  <c r="F514" i="12"/>
  <c r="E514" i="12" s="1"/>
  <c r="F515" i="12"/>
  <c r="F516" i="12"/>
  <c r="F517" i="12"/>
  <c r="F518" i="12"/>
  <c r="E518" i="12" s="1"/>
  <c r="F519" i="12"/>
  <c r="F520" i="12"/>
  <c r="F521" i="12"/>
  <c r="F522" i="12"/>
  <c r="E522" i="12" s="1"/>
  <c r="F523" i="12"/>
  <c r="E523" i="12" s="1"/>
  <c r="F524" i="12"/>
  <c r="D524" i="12" s="1"/>
  <c r="F525" i="12"/>
  <c r="F526" i="12"/>
  <c r="D526" i="12" s="1"/>
  <c r="F527" i="12"/>
  <c r="F528" i="12"/>
  <c r="F529" i="12"/>
  <c r="F530" i="12"/>
  <c r="E530" i="12" s="1"/>
  <c r="F531" i="12"/>
  <c r="F532" i="12"/>
  <c r="E532" i="12" s="1"/>
  <c r="F533" i="12"/>
  <c r="F534" i="12"/>
  <c r="E534" i="12" s="1"/>
  <c r="F535" i="12"/>
  <c r="F536" i="12"/>
  <c r="F537" i="12"/>
  <c r="F538" i="12"/>
  <c r="E538" i="12" s="1"/>
  <c r="F539" i="12"/>
  <c r="F540" i="12"/>
  <c r="F541" i="12"/>
  <c r="F542" i="12"/>
  <c r="E542" i="12" s="1"/>
  <c r="F543" i="12"/>
  <c r="F544" i="12"/>
  <c r="E544" i="12" s="1"/>
  <c r="F545" i="12"/>
  <c r="F546" i="12"/>
  <c r="E546" i="12" s="1"/>
  <c r="F547" i="12"/>
  <c r="E547" i="12" s="1"/>
  <c r="F548" i="12"/>
  <c r="F549" i="12"/>
  <c r="F550" i="12"/>
  <c r="D550" i="12" s="1"/>
  <c r="F551" i="12"/>
  <c r="E551" i="12" s="1"/>
  <c r="F552" i="12"/>
  <c r="F553" i="12"/>
  <c r="F554" i="12"/>
  <c r="D554" i="12" s="1"/>
  <c r="F555" i="12"/>
  <c r="D555" i="12" s="1"/>
  <c r="F556" i="12"/>
  <c r="F557" i="12"/>
  <c r="F558" i="12"/>
  <c r="E558" i="12" s="1"/>
  <c r="F559" i="12"/>
  <c r="F560" i="12"/>
  <c r="F561" i="12"/>
  <c r="F562" i="12"/>
  <c r="E562" i="12" s="1"/>
  <c r="F563" i="12"/>
  <c r="F564" i="12"/>
  <c r="D564" i="12" s="1"/>
  <c r="F565" i="12"/>
  <c r="F566" i="12"/>
  <c r="E566" i="12" s="1"/>
  <c r="F567" i="12"/>
  <c r="F568" i="12"/>
  <c r="F569" i="12"/>
  <c r="E569" i="12" s="1"/>
  <c r="F570" i="12"/>
  <c r="E570" i="12" s="1"/>
  <c r="F571" i="12"/>
  <c r="F572" i="12"/>
  <c r="E572" i="12" s="1"/>
  <c r="F573" i="12"/>
  <c r="F574" i="12"/>
  <c r="E574" i="12" s="1"/>
  <c r="F575" i="12"/>
  <c r="F576" i="12"/>
  <c r="F577" i="12"/>
  <c r="F578" i="12"/>
  <c r="E578" i="12" s="1"/>
  <c r="F579" i="12"/>
  <c r="F580" i="12"/>
  <c r="F581" i="12"/>
  <c r="F582" i="12"/>
  <c r="E582" i="12" s="1"/>
  <c r="F583" i="12"/>
  <c r="F584" i="12"/>
  <c r="F585" i="12"/>
  <c r="F586" i="12"/>
  <c r="E586" i="12" s="1"/>
  <c r="F587" i="12"/>
  <c r="E587" i="12" s="1"/>
  <c r="F588" i="12"/>
  <c r="E588" i="12" s="1"/>
  <c r="F589" i="12"/>
  <c r="F590" i="12"/>
  <c r="D590" i="12" s="1"/>
  <c r="F591" i="12"/>
  <c r="F592" i="12"/>
  <c r="F593" i="12"/>
  <c r="E593" i="12" s="1"/>
  <c r="F594" i="12"/>
  <c r="E594" i="12" s="1"/>
  <c r="F595" i="12"/>
  <c r="E595" i="12" s="1"/>
  <c r="F596" i="12"/>
  <c r="F597" i="12"/>
  <c r="F598" i="12"/>
  <c r="D598" i="12" s="1"/>
  <c r="F599" i="12"/>
  <c r="F600" i="12"/>
  <c r="F601" i="12"/>
  <c r="F602" i="12"/>
  <c r="D602" i="12" s="1"/>
  <c r="F603" i="12"/>
  <c r="D603" i="12" s="1"/>
  <c r="F604" i="12"/>
  <c r="F605" i="12"/>
  <c r="F606" i="12"/>
  <c r="E606" i="12" s="1"/>
  <c r="F607" i="12"/>
  <c r="E607" i="12" s="1"/>
  <c r="F608" i="12"/>
  <c r="F609" i="12"/>
  <c r="F610" i="12"/>
  <c r="E610" i="12" s="1"/>
  <c r="F611" i="12"/>
  <c r="F612" i="12"/>
  <c r="F613" i="12"/>
  <c r="F614" i="12"/>
  <c r="E614" i="12" s="1"/>
  <c r="F615" i="12"/>
  <c r="F616" i="12"/>
  <c r="F617" i="12"/>
  <c r="F618" i="12"/>
  <c r="D618" i="12" s="1"/>
  <c r="F619" i="12"/>
  <c r="E619" i="12" s="1"/>
  <c r="F620" i="12"/>
  <c r="F621" i="12"/>
  <c r="F622" i="12"/>
  <c r="E622" i="12" s="1"/>
  <c r="F623" i="12"/>
  <c r="F624" i="12"/>
  <c r="F625" i="12"/>
  <c r="F626" i="12"/>
  <c r="E626" i="12" s="1"/>
  <c r="F627" i="12"/>
  <c r="E627" i="12" s="1"/>
  <c r="F628" i="12"/>
  <c r="D628" i="12" s="1"/>
  <c r="F629" i="12"/>
  <c r="F630" i="12"/>
  <c r="E630" i="12" s="1"/>
  <c r="F631" i="12"/>
  <c r="F632" i="12"/>
  <c r="F633" i="12"/>
  <c r="F634" i="12"/>
  <c r="E634" i="12" s="1"/>
  <c r="F635" i="12"/>
  <c r="E635" i="12" s="1"/>
  <c r="F636" i="12"/>
  <c r="F637" i="12"/>
  <c r="F638" i="12"/>
  <c r="E638" i="12" s="1"/>
  <c r="F639" i="12"/>
  <c r="F640" i="12"/>
  <c r="F641" i="12"/>
  <c r="F642" i="12"/>
  <c r="E642" i="12" s="1"/>
  <c r="F643" i="12"/>
  <c r="D643" i="12" s="1"/>
  <c r="F644" i="12"/>
  <c r="E644" i="12" s="1"/>
  <c r="F645" i="12"/>
  <c r="F646" i="12"/>
  <c r="D646" i="12" s="1"/>
  <c r="F647" i="12"/>
  <c r="F648" i="12"/>
  <c r="F649" i="12"/>
  <c r="F650" i="12"/>
  <c r="E650" i="12" s="1"/>
  <c r="F651" i="12"/>
  <c r="F652" i="12"/>
  <c r="F653" i="12"/>
  <c r="F654" i="12"/>
  <c r="E654" i="12" s="1"/>
  <c r="F655" i="12"/>
  <c r="F656" i="12"/>
  <c r="F657" i="12"/>
  <c r="E657" i="12" s="1"/>
  <c r="F658" i="12"/>
  <c r="E658" i="12" s="1"/>
  <c r="F659" i="12"/>
  <c r="E659" i="12" s="1"/>
  <c r="F660" i="12"/>
  <c r="F661" i="12"/>
  <c r="F662" i="12"/>
  <c r="F663" i="12"/>
  <c r="E663" i="12" s="1"/>
  <c r="F664" i="12"/>
  <c r="F665" i="12"/>
  <c r="F666" i="12"/>
  <c r="D666" i="12" s="1"/>
  <c r="F667" i="12"/>
  <c r="E667" i="12" s="1"/>
  <c r="F668" i="12"/>
  <c r="D668" i="12" s="1"/>
  <c r="F669" i="12"/>
  <c r="F670" i="12"/>
  <c r="F671" i="12"/>
  <c r="F672" i="12"/>
  <c r="F673" i="12"/>
  <c r="F674" i="12"/>
  <c r="D674" i="12" s="1"/>
  <c r="F675" i="12"/>
  <c r="F676" i="12"/>
  <c r="F677" i="12"/>
  <c r="F678" i="12"/>
  <c r="F679" i="12"/>
  <c r="F680" i="12"/>
  <c r="E680" i="12" s="1"/>
  <c r="F681" i="12"/>
  <c r="F682" i="12"/>
  <c r="D682" i="12" s="1"/>
  <c r="F683" i="12"/>
  <c r="F684" i="12"/>
  <c r="E684" i="12" s="1"/>
  <c r="F685" i="12"/>
  <c r="F686" i="12"/>
  <c r="E686" i="12" s="1"/>
  <c r="F687" i="12"/>
  <c r="F688" i="12"/>
  <c r="F689" i="12"/>
  <c r="F690" i="12"/>
  <c r="E690" i="12" s="1"/>
  <c r="F691" i="12"/>
  <c r="F692" i="12"/>
  <c r="D692" i="12" s="1"/>
  <c r="F693" i="12"/>
  <c r="F694" i="12"/>
  <c r="E694" i="12" s="1"/>
  <c r="F695" i="12"/>
  <c r="F696" i="12"/>
  <c r="F697" i="12"/>
  <c r="F698" i="12"/>
  <c r="E698" i="12" s="1"/>
  <c r="F699" i="12"/>
  <c r="D699" i="12" s="1"/>
  <c r="F700" i="12"/>
  <c r="E700" i="12" s="1"/>
  <c r="F701" i="12"/>
  <c r="E701" i="12" s="1"/>
  <c r="F702" i="12"/>
  <c r="D702" i="12" s="1"/>
  <c r="F703" i="12"/>
  <c r="F704" i="12"/>
  <c r="F705" i="12"/>
  <c r="F706" i="12"/>
  <c r="E706" i="12" s="1"/>
  <c r="F707" i="12"/>
  <c r="F708" i="12"/>
  <c r="F709" i="12"/>
  <c r="E709" i="12" s="1"/>
  <c r="F710" i="12"/>
  <c r="E710" i="12" s="1"/>
  <c r="F711" i="12"/>
  <c r="F712" i="12"/>
  <c r="E712" i="12" s="1"/>
  <c r="F713" i="12"/>
  <c r="F714" i="12"/>
  <c r="E714" i="12" s="1"/>
  <c r="F715" i="12"/>
  <c r="E715" i="12" s="1"/>
  <c r="F716" i="12"/>
  <c r="D716" i="12" s="1"/>
  <c r="F717" i="12"/>
  <c r="E717" i="12" s="1"/>
  <c r="F718" i="12"/>
  <c r="E718" i="12" s="1"/>
  <c r="F719" i="12"/>
  <c r="E719" i="12" s="1"/>
  <c r="F720" i="12"/>
  <c r="F721" i="12"/>
  <c r="F722" i="12"/>
  <c r="E722" i="12" s="1"/>
  <c r="F723" i="12"/>
  <c r="E723" i="12" s="1"/>
  <c r="F724" i="12"/>
  <c r="E724" i="12" s="1"/>
  <c r="F725" i="12"/>
  <c r="E725" i="12" s="1"/>
  <c r="F726" i="12"/>
  <c r="F727" i="12"/>
  <c r="F728" i="12"/>
  <c r="F729" i="12"/>
  <c r="F730" i="12"/>
  <c r="D730" i="12" s="1"/>
  <c r="F731" i="12"/>
  <c r="D731" i="12" s="1"/>
  <c r="F732" i="12"/>
  <c r="F733" i="12"/>
  <c r="E733" i="12" s="1"/>
  <c r="F734" i="12"/>
  <c r="F735" i="12"/>
  <c r="F736" i="12"/>
  <c r="F737" i="12"/>
  <c r="F738" i="12"/>
  <c r="E738" i="12" s="1"/>
  <c r="F739" i="12"/>
  <c r="E739" i="12" s="1"/>
  <c r="F740" i="12"/>
  <c r="F741" i="12"/>
  <c r="F742" i="12"/>
  <c r="F743" i="12"/>
  <c r="F744" i="12"/>
  <c r="F745" i="12"/>
  <c r="E745" i="12" s="1"/>
  <c r="F746" i="12"/>
  <c r="D746" i="12" s="1"/>
  <c r="F747" i="12"/>
  <c r="F748" i="12"/>
  <c r="F749" i="12"/>
  <c r="F750" i="12"/>
  <c r="D750" i="12" s="1"/>
  <c r="F751" i="12"/>
  <c r="F752" i="12"/>
  <c r="F753" i="12"/>
  <c r="F754" i="12"/>
  <c r="E754" i="12" s="1"/>
  <c r="F755" i="12"/>
  <c r="F756" i="12"/>
  <c r="E756" i="12" s="1"/>
  <c r="F757" i="12"/>
  <c r="F758" i="12"/>
  <c r="D758" i="12" s="1"/>
  <c r="F759" i="12"/>
  <c r="D759" i="12" s="1"/>
  <c r="F760" i="12"/>
  <c r="F761" i="12"/>
  <c r="F762" i="12"/>
  <c r="E762" i="12" s="1"/>
  <c r="F763" i="12"/>
  <c r="F764" i="12"/>
  <c r="F765" i="12"/>
  <c r="F766" i="12"/>
  <c r="F767" i="12"/>
  <c r="F768" i="12"/>
  <c r="F769" i="12"/>
  <c r="F770" i="12"/>
  <c r="E770" i="12" s="1"/>
  <c r="F771" i="12"/>
  <c r="F772" i="12"/>
  <c r="F773" i="12"/>
  <c r="F774" i="12"/>
  <c r="F775" i="12"/>
  <c r="E775" i="12" s="1"/>
  <c r="F776" i="12"/>
  <c r="F777" i="12"/>
  <c r="F778" i="12"/>
  <c r="E778" i="12" s="1"/>
  <c r="F779" i="12"/>
  <c r="D779" i="12" s="1"/>
  <c r="F780" i="12"/>
  <c r="F781" i="12"/>
  <c r="F782" i="12"/>
  <c r="F783" i="12"/>
  <c r="F784" i="12"/>
  <c r="F785" i="12"/>
  <c r="E785" i="12" s="1"/>
  <c r="F786" i="12"/>
  <c r="E786" i="12" s="1"/>
  <c r="F787" i="12"/>
  <c r="D787" i="12" s="1"/>
  <c r="F788" i="12"/>
  <c r="F789" i="12"/>
  <c r="F790" i="12"/>
  <c r="D790" i="12" s="1"/>
  <c r="F791" i="12"/>
  <c r="F792" i="12"/>
  <c r="F793" i="12"/>
  <c r="F794" i="12"/>
  <c r="D794" i="12" s="1"/>
  <c r="F795" i="12"/>
  <c r="E795" i="12" s="1"/>
  <c r="F796" i="12"/>
  <c r="F797" i="12"/>
  <c r="F798" i="12"/>
  <c r="D798" i="12" s="1"/>
  <c r="F799" i="12"/>
  <c r="F800" i="12"/>
  <c r="F801" i="12"/>
  <c r="F802" i="12"/>
  <c r="D802" i="12" s="1"/>
  <c r="F803" i="12"/>
  <c r="F804" i="12"/>
  <c r="E804" i="12" s="1"/>
  <c r="F805" i="12"/>
  <c r="F806" i="12"/>
  <c r="F807" i="12"/>
  <c r="F808" i="12"/>
  <c r="F809" i="12"/>
  <c r="F810" i="12"/>
  <c r="D810" i="12" s="1"/>
  <c r="F811" i="12"/>
  <c r="F812" i="12"/>
  <c r="E812" i="12" s="1"/>
  <c r="F813" i="12"/>
  <c r="F814" i="12"/>
  <c r="E814" i="12" s="1"/>
  <c r="F815" i="12"/>
  <c r="F816" i="12"/>
  <c r="F817" i="12"/>
  <c r="F818" i="12"/>
  <c r="E818" i="12" s="1"/>
  <c r="F819" i="12"/>
  <c r="F820" i="12"/>
  <c r="E820" i="12" s="1"/>
  <c r="F821" i="12"/>
  <c r="F822" i="12"/>
  <c r="F823" i="12"/>
  <c r="F824" i="12"/>
  <c r="F825" i="12"/>
  <c r="F826" i="12"/>
  <c r="E826" i="12" s="1"/>
  <c r="F827" i="12"/>
  <c r="F828" i="12"/>
  <c r="F829" i="12"/>
  <c r="F830" i="12"/>
  <c r="D830" i="12" s="1"/>
  <c r="F831" i="12"/>
  <c r="E831" i="12" s="1"/>
  <c r="F832" i="12"/>
  <c r="F833" i="12"/>
  <c r="E833" i="12" s="1"/>
  <c r="F834" i="12"/>
  <c r="E834" i="12" s="1"/>
  <c r="F835" i="12"/>
  <c r="F836" i="12"/>
  <c r="E836" i="12" s="1"/>
  <c r="F837" i="12"/>
  <c r="F838" i="12"/>
  <c r="F839" i="12"/>
  <c r="F840" i="12"/>
  <c r="F841" i="12"/>
  <c r="F842" i="12"/>
  <c r="E842" i="12" s="1"/>
  <c r="F843" i="12"/>
  <c r="D843" i="12" s="1"/>
  <c r="F844" i="12"/>
  <c r="F845" i="12"/>
  <c r="F846" i="12"/>
  <c r="E846" i="12" s="1"/>
  <c r="F847" i="12"/>
  <c r="F848" i="12"/>
  <c r="F849" i="12"/>
  <c r="E849" i="12" s="1"/>
  <c r="F850" i="12"/>
  <c r="E850" i="12" s="1"/>
  <c r="F851" i="12"/>
  <c r="F852" i="12"/>
  <c r="F853" i="12"/>
  <c r="F854" i="12"/>
  <c r="F855" i="12"/>
  <c r="F856" i="12"/>
  <c r="F857" i="12"/>
  <c r="F858" i="12"/>
  <c r="D858" i="12" s="1"/>
  <c r="F859" i="12"/>
  <c r="E859" i="12" s="1"/>
  <c r="F860" i="12"/>
  <c r="F861" i="12"/>
  <c r="F862" i="12"/>
  <c r="D862" i="12" s="1"/>
  <c r="F863" i="12"/>
  <c r="F864" i="12"/>
  <c r="F865" i="12"/>
  <c r="F866" i="12"/>
  <c r="E866" i="12" s="1"/>
  <c r="F867" i="12"/>
  <c r="F868" i="12"/>
  <c r="F869" i="12"/>
  <c r="F870" i="12"/>
  <c r="F871" i="12"/>
  <c r="F872" i="12"/>
  <c r="F873" i="12"/>
  <c r="E873" i="12" s="1"/>
  <c r="F874" i="12"/>
  <c r="D874" i="12" s="1"/>
  <c r="F875" i="12"/>
  <c r="E875" i="12" s="1"/>
  <c r="F876" i="12"/>
  <c r="E876" i="12" s="1"/>
  <c r="F877" i="12"/>
  <c r="F878" i="12"/>
  <c r="E878" i="12" s="1"/>
  <c r="F879" i="12"/>
  <c r="F880" i="12"/>
  <c r="F881" i="12"/>
  <c r="F882" i="12"/>
  <c r="E882" i="12" s="1"/>
  <c r="F883" i="12"/>
  <c r="D883" i="12" s="1"/>
  <c r="F884" i="12"/>
  <c r="E884" i="12" s="1"/>
  <c r="F885" i="12"/>
  <c r="F886" i="12"/>
  <c r="E886" i="12" s="1"/>
  <c r="F887" i="12"/>
  <c r="E887" i="12" s="1"/>
  <c r="F888" i="12"/>
  <c r="F889" i="12"/>
  <c r="F890" i="12"/>
  <c r="E890" i="12" s="1"/>
  <c r="F891" i="12"/>
  <c r="E891" i="12" s="1"/>
  <c r="F892" i="12"/>
  <c r="F893" i="12"/>
  <c r="F894" i="12"/>
  <c r="E894" i="12" s="1"/>
  <c r="F895" i="12"/>
  <c r="F896" i="12"/>
  <c r="E896" i="12" s="1"/>
  <c r="F897" i="12"/>
  <c r="E897" i="12" s="1"/>
  <c r="F898" i="12"/>
  <c r="E898" i="12" s="1"/>
  <c r="F899" i="12"/>
  <c r="F900" i="12"/>
  <c r="F901" i="12"/>
  <c r="F902" i="12"/>
  <c r="F903" i="12"/>
  <c r="F904" i="12"/>
  <c r="F905" i="12"/>
  <c r="D905" i="12" s="1"/>
  <c r="F906" i="12"/>
  <c r="E906" i="12" s="1"/>
  <c r="F907" i="12"/>
  <c r="F908" i="12"/>
  <c r="E908" i="12" s="1"/>
  <c r="F909" i="12"/>
  <c r="F910" i="12"/>
  <c r="E910" i="12" s="1"/>
  <c r="F911" i="12"/>
  <c r="F912" i="12"/>
  <c r="F913" i="12"/>
  <c r="F914" i="12"/>
  <c r="E914" i="12" s="1"/>
  <c r="F915" i="12"/>
  <c r="D915" i="12" s="1"/>
  <c r="F916" i="12"/>
  <c r="D916" i="12" s="1"/>
  <c r="F917" i="12"/>
  <c r="F918" i="12"/>
  <c r="F919" i="12"/>
  <c r="F920" i="12"/>
  <c r="F921" i="12"/>
  <c r="D921" i="12" s="1"/>
  <c r="F922" i="12"/>
  <c r="E922" i="12" s="1"/>
  <c r="F923" i="12"/>
  <c r="F924" i="12"/>
  <c r="E924" i="12" s="1"/>
  <c r="F925" i="12"/>
  <c r="F926" i="12"/>
  <c r="E926" i="12" s="1"/>
  <c r="F927" i="12"/>
  <c r="F928" i="12"/>
  <c r="F929" i="12"/>
  <c r="F930" i="12"/>
  <c r="E930" i="12" s="1"/>
  <c r="F931" i="12"/>
  <c r="D931" i="12" s="1"/>
  <c r="F932" i="12"/>
  <c r="E932" i="12" s="1"/>
  <c r="F933" i="12"/>
  <c r="F934" i="12"/>
  <c r="D934" i="12" s="1"/>
  <c r="F935" i="12"/>
  <c r="F936" i="12"/>
  <c r="F937" i="12"/>
  <c r="F938" i="12"/>
  <c r="D938" i="12" s="1"/>
  <c r="F939" i="12"/>
  <c r="E939" i="12" s="1"/>
  <c r="F940" i="12"/>
  <c r="F941" i="12"/>
  <c r="F942" i="12"/>
  <c r="E942" i="12" s="1"/>
  <c r="F943" i="12"/>
  <c r="E943" i="12" s="1"/>
  <c r="F944" i="12"/>
  <c r="F945" i="12"/>
  <c r="F946" i="12"/>
  <c r="E946" i="12" s="1"/>
  <c r="F947" i="12"/>
  <c r="E947" i="12" s="1"/>
  <c r="F948" i="12"/>
  <c r="F949" i="12"/>
  <c r="F950" i="12"/>
  <c r="E950" i="12" s="1"/>
  <c r="F951" i="12"/>
  <c r="F952" i="12"/>
  <c r="F953" i="12"/>
  <c r="F954" i="12"/>
  <c r="E954" i="12" s="1"/>
  <c r="F955" i="12"/>
  <c r="E955" i="12" s="1"/>
  <c r="F956" i="12"/>
  <c r="F957" i="12"/>
  <c r="F958" i="12"/>
  <c r="E958" i="12" s="1"/>
  <c r="F959" i="12"/>
  <c r="F960" i="12"/>
  <c r="F961" i="12"/>
  <c r="E961" i="12" s="1"/>
  <c r="F962" i="12"/>
  <c r="E962" i="12" s="1"/>
  <c r="F963" i="12"/>
  <c r="F964" i="12"/>
  <c r="E964" i="12" s="1"/>
  <c r="F965" i="12"/>
  <c r="F966" i="12"/>
  <c r="E966" i="12" s="1"/>
  <c r="F967" i="12"/>
  <c r="F968" i="12"/>
  <c r="F969" i="12"/>
  <c r="E969" i="12" s="1"/>
  <c r="F970" i="12"/>
  <c r="E970" i="12" s="1"/>
  <c r="F971" i="12"/>
  <c r="D971" i="12" s="1"/>
  <c r="F972" i="12"/>
  <c r="E972" i="12" s="1"/>
  <c r="F973" i="12"/>
  <c r="F974" i="12"/>
  <c r="E974" i="12" s="1"/>
  <c r="F975" i="12"/>
  <c r="F976" i="12"/>
  <c r="F977" i="12"/>
  <c r="F978" i="12"/>
  <c r="E978" i="12" s="1"/>
  <c r="F979" i="12"/>
  <c r="F980" i="12"/>
  <c r="F981" i="12"/>
  <c r="F982" i="12"/>
  <c r="D982" i="12" s="1"/>
  <c r="F983" i="12"/>
  <c r="F984" i="12"/>
  <c r="E984" i="12" s="1"/>
  <c r="F985" i="12"/>
  <c r="F986" i="12"/>
  <c r="D986" i="12" s="1"/>
  <c r="F987" i="12"/>
  <c r="E987" i="12" s="1"/>
  <c r="F988" i="12"/>
  <c r="F989" i="12"/>
  <c r="F990" i="12"/>
  <c r="E990" i="12" s="1"/>
  <c r="F991" i="12"/>
  <c r="F992" i="12"/>
  <c r="F993" i="12"/>
  <c r="E993" i="12" s="1"/>
  <c r="F994" i="12"/>
  <c r="D994" i="12" s="1"/>
  <c r="F995" i="12"/>
  <c r="E995" i="12" s="1"/>
  <c r="F996" i="12"/>
  <c r="F997" i="12"/>
  <c r="F998" i="12"/>
  <c r="E998" i="12" s="1"/>
  <c r="F999" i="12"/>
  <c r="F1000" i="12"/>
  <c r="F1001" i="12"/>
  <c r="F1002" i="12"/>
  <c r="D1002" i="12" s="1"/>
  <c r="F1003" i="12"/>
  <c r="E1003" i="12" s="1"/>
  <c r="F1004" i="12"/>
  <c r="E1004" i="12" s="1"/>
  <c r="F1005" i="12"/>
  <c r="F1006" i="12"/>
  <c r="E1006" i="12" s="1"/>
  <c r="F1007" i="12"/>
  <c r="F1008" i="12"/>
  <c r="E1008" i="12" s="1"/>
  <c r="F1009" i="12"/>
  <c r="F1010" i="12"/>
  <c r="E1010" i="12" s="1"/>
  <c r="F1011" i="12"/>
  <c r="E1011" i="12" s="1"/>
  <c r="F1012" i="12"/>
  <c r="D1012" i="12" s="1"/>
  <c r="F1013" i="12"/>
  <c r="F1014" i="12"/>
  <c r="E1014" i="12" s="1"/>
  <c r="F1015" i="12"/>
  <c r="F1016" i="12"/>
  <c r="F1017" i="12"/>
  <c r="F1018" i="12"/>
  <c r="E1018" i="12" s="1"/>
  <c r="F1019" i="12"/>
  <c r="F1020" i="12"/>
  <c r="E1020" i="12" s="1"/>
  <c r="F1021" i="12"/>
  <c r="F1022" i="12"/>
  <c r="E1022" i="12" s="1"/>
  <c r="F1023" i="12"/>
  <c r="F1024" i="12"/>
  <c r="F1025" i="12"/>
  <c r="F1026" i="12"/>
  <c r="E1026" i="12" s="1"/>
  <c r="F1027" i="12"/>
  <c r="F1028" i="12"/>
  <c r="F1029" i="12"/>
  <c r="F1030" i="12"/>
  <c r="E1030" i="12" s="1"/>
  <c r="F1031" i="12"/>
  <c r="F1032" i="12"/>
  <c r="F1033" i="12"/>
  <c r="F1034" i="12"/>
  <c r="E1034" i="12" s="1"/>
  <c r="F1035" i="12"/>
  <c r="E1035" i="12" s="1"/>
  <c r="F1036" i="12"/>
  <c r="D1036" i="12" s="1"/>
  <c r="F1037" i="12"/>
  <c r="F1038" i="12"/>
  <c r="E1038" i="12" s="1"/>
  <c r="F1039" i="12"/>
  <c r="F1040" i="12"/>
  <c r="F1041" i="12"/>
  <c r="F1042" i="12"/>
  <c r="E1042" i="12" s="1"/>
  <c r="F1043" i="12"/>
  <c r="E1043" i="12" s="1"/>
  <c r="F1044" i="12"/>
  <c r="F1045" i="12"/>
  <c r="F1046" i="12"/>
  <c r="D1046" i="12" s="1"/>
  <c r="F1047" i="12"/>
  <c r="F1048" i="12"/>
  <c r="F1049" i="12"/>
  <c r="F1050" i="12"/>
  <c r="E1050" i="12" s="1"/>
  <c r="F1051" i="12"/>
  <c r="E1051" i="12" s="1"/>
  <c r="F1052" i="12"/>
  <c r="F1053" i="12"/>
  <c r="F1054" i="12"/>
  <c r="E1054" i="12" s="1"/>
  <c r="F1055" i="12"/>
  <c r="F1056" i="12"/>
  <c r="E1056" i="12" s="1"/>
  <c r="F1057" i="12"/>
  <c r="F1058" i="12"/>
  <c r="E1058" i="12" s="1"/>
  <c r="F1059" i="12"/>
  <c r="F1060" i="12"/>
  <c r="E1060" i="12" s="1"/>
  <c r="F1061" i="12"/>
  <c r="F1062" i="12"/>
  <c r="E1062" i="12" s="1"/>
  <c r="F1063" i="12"/>
  <c r="E1063" i="12" s="1"/>
  <c r="F1064" i="12"/>
  <c r="F1065" i="12"/>
  <c r="F1066" i="12"/>
  <c r="D1066" i="12" s="1"/>
  <c r="F1067" i="12"/>
  <c r="D1067" i="12" s="1"/>
  <c r="F1068" i="12"/>
  <c r="E1068" i="12" s="1"/>
  <c r="F1069" i="12"/>
  <c r="F1070" i="12"/>
  <c r="E1070" i="12" s="1"/>
  <c r="F1071" i="12"/>
  <c r="F1072" i="12"/>
  <c r="F1073" i="12"/>
  <c r="E1073" i="12" s="1"/>
  <c r="F1074" i="12"/>
  <c r="E1074" i="12" s="1"/>
  <c r="F1075" i="12"/>
  <c r="F1076" i="12"/>
  <c r="F1077" i="12"/>
  <c r="F1078" i="12"/>
  <c r="E1078" i="12" s="1"/>
  <c r="F1079" i="12"/>
  <c r="F1080" i="12"/>
  <c r="E1080" i="12" s="1"/>
  <c r="F1081" i="12"/>
  <c r="E1081" i="12" s="1"/>
  <c r="F1082" i="12"/>
  <c r="E1082" i="12" s="1"/>
  <c r="F1083" i="12"/>
  <c r="E1083" i="12" s="1"/>
  <c r="F1084" i="12"/>
  <c r="F1085" i="12"/>
  <c r="F1086" i="12"/>
  <c r="E1086" i="12" s="1"/>
  <c r="F1087" i="12"/>
  <c r="F1088" i="12"/>
  <c r="F1089" i="12"/>
  <c r="F1090" i="12"/>
  <c r="E1090" i="12" s="1"/>
  <c r="F1091" i="12"/>
  <c r="E1091" i="12" s="1"/>
  <c r="F1092" i="12"/>
  <c r="F1093" i="12"/>
  <c r="F1094" i="12"/>
  <c r="E1094" i="12" s="1"/>
  <c r="F1095" i="12"/>
  <c r="F1096" i="12"/>
  <c r="F1097" i="12"/>
  <c r="F1098" i="12"/>
  <c r="E1098" i="12" s="1"/>
  <c r="F1099" i="12"/>
  <c r="D1099" i="12" s="1"/>
  <c r="F1100" i="12"/>
  <c r="E1100" i="12" s="1"/>
  <c r="F1101" i="12"/>
  <c r="F1102" i="12"/>
  <c r="E1102" i="12" s="1"/>
  <c r="F1103" i="12"/>
  <c r="F1104" i="12"/>
  <c r="F1105" i="12"/>
  <c r="E1105" i="12" s="1"/>
  <c r="F1106" i="12"/>
  <c r="E1106" i="12" s="1"/>
  <c r="F1107" i="12"/>
  <c r="E1107" i="12" s="1"/>
  <c r="F1108" i="12"/>
  <c r="E1108" i="12" s="1"/>
  <c r="F1109" i="12"/>
  <c r="F1110" i="12"/>
  <c r="E1110" i="12" s="1"/>
  <c r="F1111" i="12"/>
  <c r="F1112" i="12"/>
  <c r="F1113" i="12"/>
  <c r="F1114" i="12"/>
  <c r="E1114" i="12" s="1"/>
  <c r="F1115" i="12"/>
  <c r="F1116" i="12"/>
  <c r="E1116" i="12" s="1"/>
  <c r="F1117" i="12"/>
  <c r="F1118" i="12"/>
  <c r="E1118" i="12" s="1"/>
  <c r="F1119" i="12"/>
  <c r="E1119" i="12" s="1"/>
  <c r="F1120" i="12"/>
  <c r="F1121" i="12"/>
  <c r="E1121" i="12" s="1"/>
  <c r="F1122" i="12"/>
  <c r="D1122" i="12" s="1"/>
  <c r="F1123" i="12"/>
  <c r="E1123" i="12" s="1"/>
  <c r="F1124" i="12"/>
  <c r="E1124" i="12" s="1"/>
  <c r="F1125" i="12"/>
  <c r="F1126" i="12"/>
  <c r="D1126" i="12" s="1"/>
  <c r="F1127" i="12"/>
  <c r="F1128" i="12"/>
  <c r="F1129" i="12"/>
  <c r="F1130" i="12"/>
  <c r="D1130" i="12" s="1"/>
  <c r="F1131" i="12"/>
  <c r="E1131" i="12" s="1"/>
  <c r="F1132" i="12"/>
  <c r="F1133" i="12"/>
  <c r="F1134" i="12"/>
  <c r="E1134" i="12" s="1"/>
  <c r="F1135" i="12"/>
  <c r="F1136" i="12"/>
  <c r="E1136" i="12" s="1"/>
  <c r="F1137" i="12"/>
  <c r="F1138" i="12"/>
  <c r="E1138" i="12" s="1"/>
  <c r="F1139" i="12"/>
  <c r="E1139" i="12" s="1"/>
  <c r="F1140" i="12"/>
  <c r="E1140" i="12" s="1"/>
  <c r="F1141" i="12"/>
  <c r="F1142" i="12"/>
  <c r="F1143" i="12"/>
  <c r="F1144" i="12"/>
  <c r="E1144" i="12" s="1"/>
  <c r="F1145" i="12"/>
  <c r="F1146" i="12"/>
  <c r="E1146" i="12" s="1"/>
  <c r="F1147" i="12"/>
  <c r="E1147" i="12" s="1"/>
  <c r="F1148" i="12"/>
  <c r="E1148" i="12" s="1"/>
  <c r="F1149" i="12"/>
  <c r="F1150" i="12"/>
  <c r="D1150" i="12" s="1"/>
  <c r="F1151" i="12"/>
  <c r="F1152" i="12"/>
  <c r="D1152" i="12" s="1"/>
  <c r="F1153" i="12"/>
  <c r="F1154" i="12"/>
  <c r="E1154" i="12" s="1"/>
  <c r="F1155" i="12"/>
  <c r="D1155" i="12" s="1"/>
  <c r="F1156" i="12"/>
  <c r="D1156" i="12" s="1"/>
  <c r="F1157" i="12"/>
  <c r="F1158" i="12"/>
  <c r="F1159" i="12"/>
  <c r="F1160" i="12"/>
  <c r="E1160" i="12" s="1"/>
  <c r="F1161" i="12"/>
  <c r="F1162" i="12"/>
  <c r="E1162" i="12" s="1"/>
  <c r="F1163" i="12"/>
  <c r="F1164" i="12"/>
  <c r="F1165" i="12"/>
  <c r="F1166" i="12"/>
  <c r="E1166" i="12" s="1"/>
  <c r="F1167" i="12"/>
  <c r="E1167" i="12" s="1"/>
  <c r="F1168" i="12"/>
  <c r="F1169" i="12"/>
  <c r="E1169" i="12" s="1"/>
  <c r="F1170" i="12"/>
  <c r="E1170" i="12" s="1"/>
  <c r="F1171" i="12"/>
  <c r="F1172" i="12"/>
  <c r="F1173" i="12"/>
  <c r="F1174" i="12"/>
  <c r="D1174" i="12" s="1"/>
  <c r="F1175" i="12"/>
  <c r="E1175" i="12" s="1"/>
  <c r="F1176" i="12"/>
  <c r="F1177" i="12"/>
  <c r="F1178" i="12"/>
  <c r="E1178" i="12" s="1"/>
  <c r="F1179" i="12"/>
  <c r="F1180" i="12"/>
  <c r="E1180" i="12" s="1"/>
  <c r="F1181" i="12"/>
  <c r="F1182" i="12"/>
  <c r="E1182" i="12" s="1"/>
  <c r="F1183" i="12"/>
  <c r="F1184" i="12"/>
  <c r="F1185" i="12"/>
  <c r="F1186" i="12"/>
  <c r="E1186" i="12" s="1"/>
  <c r="F1187" i="12"/>
  <c r="F1188" i="12"/>
  <c r="F1189" i="12"/>
  <c r="F1190" i="12"/>
  <c r="E1190" i="12" s="1"/>
  <c r="F1191" i="12"/>
  <c r="F1192" i="12"/>
  <c r="E1192" i="12" s="1"/>
  <c r="F1193" i="12"/>
  <c r="F1194" i="12"/>
  <c r="D1194" i="12" s="1"/>
  <c r="F1195" i="12"/>
  <c r="E1195" i="12" s="1"/>
  <c r="F1196" i="12"/>
  <c r="F1197" i="12"/>
  <c r="F1198" i="12"/>
  <c r="E1198" i="12" s="1"/>
  <c r="F1199" i="12"/>
  <c r="F1200" i="12"/>
  <c r="F1201" i="12"/>
  <c r="F1202" i="12"/>
  <c r="E1202" i="12" s="1"/>
  <c r="F1203" i="12"/>
  <c r="D1203" i="12" s="1"/>
  <c r="F1204" i="12"/>
  <c r="E1204" i="12" s="1"/>
  <c r="F1205" i="12"/>
  <c r="F1206" i="12"/>
  <c r="F1207" i="12"/>
  <c r="F1208" i="12"/>
  <c r="F1209" i="12"/>
  <c r="E1209" i="12" s="1"/>
  <c r="F1210" i="12"/>
  <c r="E1210" i="12" s="1"/>
  <c r="F1211" i="12"/>
  <c r="E1211" i="12" s="1"/>
  <c r="F1212" i="12"/>
  <c r="D1212" i="12" s="1"/>
  <c r="F1213" i="12"/>
  <c r="F1214" i="12"/>
  <c r="E1214" i="12" s="1"/>
  <c r="F1215" i="12"/>
  <c r="F1216" i="12"/>
  <c r="E1216" i="12" s="1"/>
  <c r="F1217" i="12"/>
  <c r="E1217" i="12" s="1"/>
  <c r="F1218" i="12"/>
  <c r="E1218" i="12" s="1"/>
  <c r="F1219" i="12"/>
  <c r="F1220" i="12"/>
  <c r="F1221" i="12"/>
  <c r="F1222" i="12"/>
  <c r="E1222" i="12" s="1"/>
  <c r="F1223" i="12"/>
  <c r="E1223" i="12" s="1"/>
  <c r="F1224" i="12"/>
  <c r="F1225" i="12"/>
  <c r="F1226" i="12"/>
  <c r="E1226" i="12" s="1"/>
  <c r="F1227" i="12"/>
  <c r="F1228" i="12"/>
  <c r="E1228" i="12" s="1"/>
  <c r="F1229" i="12"/>
  <c r="F1230" i="12"/>
  <c r="E1230" i="12" s="1"/>
  <c r="F1231" i="12"/>
  <c r="E1231" i="12" s="1"/>
  <c r="F1232" i="12"/>
  <c r="F1233" i="12"/>
  <c r="F1234" i="12"/>
  <c r="E1234" i="12" s="1"/>
  <c r="F1235" i="12"/>
  <c r="F1236" i="12"/>
  <c r="F1237" i="12"/>
  <c r="F1238" i="12"/>
  <c r="E1238" i="12" s="1"/>
  <c r="F1239" i="12"/>
  <c r="F1240" i="12"/>
  <c r="F1241" i="12"/>
  <c r="E1241" i="12" s="1"/>
  <c r="F1242" i="12"/>
  <c r="E1242" i="12" s="1"/>
  <c r="F1243" i="12"/>
  <c r="D1243" i="12" s="1"/>
  <c r="F1244" i="12"/>
  <c r="F1245" i="12"/>
  <c r="F1246" i="12"/>
  <c r="E1246" i="12" s="1"/>
  <c r="F1247" i="12"/>
  <c r="F1248" i="12"/>
  <c r="E1248" i="12" s="1"/>
  <c r="F1249" i="12"/>
  <c r="E1249" i="12" s="1"/>
  <c r="F1250" i="12"/>
  <c r="E1250" i="12" s="1"/>
  <c r="F1251" i="12"/>
  <c r="E1251" i="12" s="1"/>
  <c r="F1252" i="12"/>
  <c r="F1253" i="12"/>
  <c r="F1254" i="12"/>
  <c r="D1254" i="12" s="1"/>
  <c r="F1255" i="12"/>
  <c r="F1256" i="12"/>
  <c r="F1257" i="12"/>
  <c r="F1258" i="12"/>
  <c r="D1258" i="12" s="1"/>
  <c r="F1259" i="12"/>
  <c r="F1260" i="12"/>
  <c r="E1260" i="12" s="1"/>
  <c r="F1261" i="12"/>
  <c r="F1262" i="12"/>
  <c r="E1262" i="12" s="1"/>
  <c r="F1263" i="12"/>
  <c r="F1264" i="12"/>
  <c r="E1264" i="12" s="1"/>
  <c r="F1265" i="12"/>
  <c r="F1266" i="12"/>
  <c r="E1266" i="12" s="1"/>
  <c r="F1267" i="12"/>
  <c r="F1268" i="12"/>
  <c r="E1268" i="12" s="1"/>
  <c r="F1269" i="12"/>
  <c r="F1270" i="12"/>
  <c r="E1270" i="12" s="1"/>
  <c r="F1271" i="12"/>
  <c r="F1272" i="12"/>
  <c r="E1272" i="12" s="1"/>
  <c r="F1273" i="12"/>
  <c r="F1274" i="12"/>
  <c r="E1274" i="12" s="1"/>
  <c r="F1275" i="12"/>
  <c r="D1275" i="12" s="1"/>
  <c r="F1276" i="12"/>
  <c r="F1277" i="12"/>
  <c r="F1278" i="12"/>
  <c r="E1278" i="12" s="1"/>
  <c r="F1279" i="12"/>
  <c r="E1279" i="12" s="1"/>
  <c r="F1280" i="12"/>
  <c r="F1281" i="12"/>
  <c r="E1281" i="12" s="1"/>
  <c r="F1282" i="12"/>
  <c r="E1282" i="12" s="1"/>
  <c r="F1283" i="12"/>
  <c r="E1283" i="12" s="1"/>
  <c r="F1284" i="12"/>
  <c r="F1285" i="12"/>
  <c r="F1286" i="12"/>
  <c r="D1286" i="12" s="1"/>
  <c r="F1287" i="12"/>
  <c r="E1287" i="12" s="1"/>
  <c r="F1288" i="12"/>
  <c r="F1289" i="12"/>
  <c r="F1290" i="12"/>
  <c r="E1290" i="12" s="1"/>
  <c r="F1291" i="12"/>
  <c r="E1291" i="12" s="1"/>
  <c r="F1292" i="12"/>
  <c r="E1292" i="12" s="1"/>
  <c r="F1293" i="12"/>
  <c r="F1294" i="12"/>
  <c r="E1294" i="12" s="1"/>
  <c r="F1295" i="12"/>
  <c r="F1296" i="12"/>
  <c r="E1296" i="12" s="1"/>
  <c r="F1297" i="12"/>
  <c r="F1298" i="12"/>
  <c r="E1298" i="12" s="1"/>
  <c r="F1299" i="12"/>
  <c r="E1299" i="12" s="1"/>
  <c r="F1300" i="12"/>
  <c r="F1301" i="12"/>
  <c r="F1302" i="12"/>
  <c r="E1302" i="12" s="1"/>
  <c r="F1303" i="12"/>
  <c r="F1304" i="12"/>
  <c r="F1305" i="12"/>
  <c r="F1306" i="12"/>
  <c r="E1306" i="12" s="1"/>
  <c r="F1307" i="12"/>
  <c r="E1307" i="12" s="1"/>
  <c r="F1308" i="12"/>
  <c r="E1308" i="12" s="1"/>
  <c r="F1309" i="12"/>
  <c r="F1310" i="12"/>
  <c r="E1310" i="12" s="1"/>
  <c r="F1311" i="12"/>
  <c r="F1312" i="12"/>
  <c r="F1313" i="12"/>
  <c r="E1313" i="12" s="1"/>
  <c r="F1314" i="12"/>
  <c r="E1314" i="12" s="1"/>
  <c r="F1315" i="12"/>
  <c r="F1316" i="12"/>
  <c r="F1317" i="12"/>
  <c r="F1318" i="12"/>
  <c r="E1318" i="12" s="1"/>
  <c r="F1319" i="12"/>
  <c r="F1320" i="12"/>
  <c r="F1321" i="12"/>
  <c r="F1322" i="12"/>
  <c r="D1322" i="12" s="1"/>
  <c r="F1323" i="12"/>
  <c r="D1323" i="12" s="1"/>
  <c r="F1324" i="12"/>
  <c r="E1324" i="12" s="1"/>
  <c r="F1325" i="12"/>
  <c r="F1326" i="12"/>
  <c r="E1326" i="12" s="1"/>
  <c r="F1327" i="12"/>
  <c r="F1328" i="12"/>
  <c r="F1329" i="12"/>
  <c r="E1329" i="12" s="1"/>
  <c r="F1330" i="12"/>
  <c r="E1330" i="12" s="1"/>
  <c r="F1331" i="12"/>
  <c r="E1331" i="12" s="1"/>
  <c r="F1332" i="12"/>
  <c r="E1332" i="12" s="1"/>
  <c r="F1333" i="12"/>
  <c r="F1334" i="12"/>
  <c r="E1334" i="12" s="1"/>
  <c r="F1335" i="12"/>
  <c r="E1335" i="12" s="1"/>
  <c r="F1336" i="12"/>
  <c r="E1336" i="12" s="1"/>
  <c r="F1337" i="12"/>
  <c r="F1338" i="12"/>
  <c r="E1338" i="12" s="1"/>
  <c r="F1339" i="12"/>
  <c r="F1340" i="12"/>
  <c r="E1340" i="12" s="1"/>
  <c r="F1341" i="12"/>
  <c r="F1342" i="12"/>
  <c r="E1342" i="12" s="1"/>
  <c r="F1343" i="12"/>
  <c r="E1343" i="12" s="1"/>
  <c r="F1344" i="12"/>
  <c r="F1345" i="12"/>
  <c r="E1345" i="12" s="1"/>
  <c r="F1346" i="12"/>
  <c r="E1346" i="12" s="1"/>
  <c r="F1347" i="12"/>
  <c r="D1347" i="12" s="1"/>
  <c r="F1348" i="12"/>
  <c r="F1349" i="12"/>
  <c r="F1350" i="12"/>
  <c r="E1350" i="12" s="1"/>
  <c r="F1351" i="12"/>
  <c r="F1352" i="12"/>
  <c r="F1353" i="12"/>
  <c r="F1354" i="12"/>
  <c r="E1354" i="12" s="1"/>
  <c r="F1355" i="12"/>
  <c r="D1355" i="12" s="1"/>
  <c r="F1356" i="12"/>
  <c r="F1357" i="12"/>
  <c r="F1358" i="12"/>
  <c r="E1358" i="12" s="1"/>
  <c r="F1359" i="12"/>
  <c r="F1360" i="12"/>
  <c r="F1361" i="12"/>
  <c r="F1362" i="12"/>
  <c r="E1362" i="12" s="1"/>
  <c r="F1363" i="12"/>
  <c r="E1363" i="12" s="1"/>
  <c r="F1364" i="12"/>
  <c r="F1365" i="12"/>
  <c r="F1366" i="12"/>
  <c r="E1366" i="12" s="1"/>
  <c r="F1367" i="12"/>
  <c r="F1368" i="12"/>
  <c r="E1368" i="12" s="1"/>
  <c r="F1369" i="12"/>
  <c r="F1370" i="12"/>
  <c r="D1370" i="12" s="1"/>
  <c r="F1371" i="12"/>
  <c r="E1371" i="12" s="1"/>
  <c r="F1372" i="12"/>
  <c r="F1373" i="12"/>
  <c r="F1374" i="12"/>
  <c r="E1374" i="12" s="1"/>
  <c r="F1375" i="12"/>
  <c r="F1376" i="12"/>
  <c r="F1377" i="12"/>
  <c r="E1377" i="12" s="1"/>
  <c r="F1378" i="12"/>
  <c r="D1378" i="12" s="1"/>
  <c r="F1379" i="12"/>
  <c r="E1379" i="12" s="1"/>
  <c r="F1380" i="12"/>
  <c r="E1380" i="12" s="1"/>
  <c r="F1381" i="12"/>
  <c r="F1382" i="12"/>
  <c r="E1382" i="12" s="1"/>
  <c r="F1383" i="12"/>
  <c r="F1384" i="12"/>
  <c r="F1385" i="12"/>
  <c r="F1386" i="12"/>
  <c r="D1386" i="12" s="1"/>
  <c r="F1387" i="12"/>
  <c r="E1387" i="12" s="1"/>
  <c r="F1388" i="12"/>
  <c r="E1388" i="12" s="1"/>
  <c r="F1389" i="12"/>
  <c r="F1390" i="12"/>
  <c r="E1390" i="12" s="1"/>
  <c r="F1391" i="12"/>
  <c r="E1391" i="12" s="1"/>
  <c r="F1392" i="12"/>
  <c r="F1393" i="12"/>
  <c r="E1393" i="12" s="1"/>
  <c r="F1394" i="12"/>
  <c r="E1394" i="12" s="1"/>
  <c r="F1395" i="12"/>
  <c r="F1396" i="12"/>
  <c r="F1397" i="12"/>
  <c r="F1398" i="12"/>
  <c r="E1398" i="12" s="1"/>
  <c r="F1399" i="12"/>
  <c r="E1399" i="12" s="1"/>
  <c r="F1400" i="12"/>
  <c r="E1400" i="12" s="1"/>
  <c r="F1401" i="12"/>
  <c r="E1401" i="12" s="1"/>
  <c r="F1402" i="12"/>
  <c r="E1402" i="12" s="1"/>
  <c r="F1403" i="12"/>
  <c r="E1403" i="12" s="1"/>
  <c r="F1404" i="12"/>
  <c r="E1404" i="12" s="1"/>
  <c r="F1405" i="12"/>
  <c r="F1406" i="12"/>
  <c r="E1406" i="12" s="1"/>
  <c r="F1407" i="12"/>
  <c r="F1408" i="12"/>
  <c r="F1409" i="12"/>
  <c r="F1410" i="12"/>
  <c r="E1410" i="12" s="1"/>
  <c r="F1411" i="12"/>
  <c r="E1411" i="12" s="1"/>
  <c r="F1412" i="12"/>
  <c r="F1413" i="12"/>
  <c r="F1414" i="12"/>
  <c r="E1414" i="12" s="1"/>
  <c r="F1415" i="12"/>
  <c r="F1416" i="12"/>
  <c r="F1417" i="12"/>
  <c r="D1417" i="12" s="1"/>
  <c r="F1418" i="12"/>
  <c r="E1418" i="12" s="1"/>
  <c r="F1419" i="12"/>
  <c r="E1419" i="12" s="1"/>
  <c r="F1420" i="12"/>
  <c r="E1420" i="12" s="1"/>
  <c r="F1421" i="12"/>
  <c r="F1422" i="12"/>
  <c r="E1422" i="12" s="1"/>
  <c r="F1423" i="12"/>
  <c r="F1424" i="12"/>
  <c r="F1425" i="12"/>
  <c r="E1425" i="12" s="1"/>
  <c r="F1426" i="12"/>
  <c r="E1426" i="12" s="1"/>
  <c r="F1427" i="12"/>
  <c r="E1427" i="12" s="1"/>
  <c r="F1428" i="12"/>
  <c r="E1428" i="12" s="1"/>
  <c r="F1429" i="12"/>
  <c r="F1430" i="12"/>
  <c r="E1430" i="12" s="1"/>
  <c r="F1431" i="12"/>
  <c r="F1432" i="12"/>
  <c r="E1432" i="12" s="1"/>
  <c r="F1433" i="12"/>
  <c r="E1433" i="12" s="1"/>
  <c r="F1434" i="12"/>
  <c r="D1434" i="12" s="1"/>
  <c r="F1435" i="12"/>
  <c r="F1436" i="12"/>
  <c r="D1436" i="12" s="1"/>
  <c r="F1437" i="12"/>
  <c r="F1438" i="12"/>
  <c r="E1438" i="12" s="1"/>
  <c r="F1439" i="12"/>
  <c r="F1440" i="12"/>
  <c r="F1441" i="12"/>
  <c r="F1442" i="12"/>
  <c r="E1442" i="12" s="1"/>
  <c r="F1443" i="12"/>
  <c r="F1444" i="12"/>
  <c r="E1444" i="12" s="1"/>
  <c r="F1445" i="12"/>
  <c r="F1446" i="12"/>
  <c r="E1446" i="12" s="1"/>
  <c r="F1447" i="12"/>
  <c r="F1448" i="12"/>
  <c r="F1449" i="12"/>
  <c r="F1450" i="12"/>
  <c r="D1450" i="12" s="1"/>
  <c r="F1451" i="12"/>
  <c r="E1451" i="12" s="1"/>
  <c r="F1452" i="12"/>
  <c r="F1453" i="12"/>
  <c r="F1454" i="12"/>
  <c r="E1454" i="12" s="1"/>
  <c r="F1455" i="12"/>
  <c r="E1455" i="12" s="1"/>
  <c r="F1456" i="12"/>
  <c r="F1457" i="12"/>
  <c r="F1458" i="12"/>
  <c r="E1458" i="12" s="1"/>
  <c r="F1459" i="12"/>
  <c r="D1459" i="12" s="1"/>
  <c r="F1460" i="12"/>
  <c r="E1460" i="12" s="1"/>
  <c r="F1461" i="12"/>
  <c r="F1462" i="12"/>
  <c r="D1462" i="12" s="1"/>
  <c r="F1463" i="12"/>
  <c r="F1464" i="12"/>
  <c r="F1465" i="12"/>
  <c r="E1465" i="12" s="1"/>
  <c r="F1466" i="12"/>
  <c r="E1466" i="12" s="1"/>
  <c r="F1467" i="12"/>
  <c r="F1468" i="12"/>
  <c r="E1468" i="12" s="1"/>
  <c r="F1469" i="12"/>
  <c r="F1470" i="12"/>
  <c r="E1470" i="12" s="1"/>
  <c r="F1471" i="12"/>
  <c r="F1472" i="12"/>
  <c r="F1473" i="12"/>
  <c r="F1474" i="12"/>
  <c r="E1474" i="12" s="1"/>
  <c r="F1475" i="12"/>
  <c r="F1476" i="12"/>
  <c r="F1477" i="12"/>
  <c r="F1478" i="12"/>
  <c r="E1478" i="12" s="1"/>
  <c r="F1479" i="12"/>
  <c r="F1480" i="12"/>
  <c r="E1480" i="12" s="1"/>
  <c r="F1481" i="12"/>
  <c r="F1482" i="12"/>
  <c r="E1482" i="12" s="1"/>
  <c r="F1483" i="12"/>
  <c r="E1483" i="12" s="1"/>
  <c r="F1484" i="12"/>
  <c r="E1484" i="12" s="1"/>
  <c r="F1485" i="12"/>
  <c r="F1486" i="12"/>
  <c r="E1486" i="12" s="1"/>
  <c r="F1487" i="12"/>
  <c r="F1488" i="12"/>
  <c r="E1488" i="12" s="1"/>
  <c r="F1489" i="12"/>
  <c r="F1490" i="12"/>
  <c r="E1490" i="12" s="1"/>
  <c r="F1491" i="12"/>
  <c r="F1492" i="12"/>
  <c r="E1492" i="12" s="1"/>
  <c r="F1493" i="12"/>
  <c r="F1494" i="12"/>
  <c r="E1494" i="12" s="1"/>
  <c r="F1495" i="12"/>
  <c r="F1496" i="12"/>
  <c r="F1497" i="12"/>
  <c r="E1497" i="12" s="1"/>
  <c r="F1498" i="12"/>
  <c r="E1498" i="12" s="1"/>
  <c r="F1499" i="12"/>
  <c r="F1500" i="12"/>
  <c r="F1501" i="12"/>
  <c r="F1502" i="12"/>
  <c r="E1502" i="12" s="1"/>
  <c r="F1503" i="12"/>
  <c r="F1504" i="12"/>
  <c r="F1505" i="12"/>
  <c r="F1506" i="12"/>
  <c r="D1506" i="12" s="1"/>
  <c r="F1507" i="12"/>
  <c r="E1507" i="12" s="1"/>
  <c r="F1508" i="12"/>
  <c r="E1508" i="12" s="1"/>
  <c r="F1509" i="12"/>
  <c r="F1510" i="12"/>
  <c r="D1510" i="12" s="1"/>
  <c r="F1511" i="12"/>
  <c r="E1511" i="12" s="1"/>
  <c r="F1512" i="12"/>
  <c r="F1513" i="12"/>
  <c r="F1514" i="12"/>
  <c r="D1514" i="12" s="1"/>
  <c r="F1515" i="12"/>
  <c r="E1515" i="12" s="1"/>
  <c r="F1516" i="12"/>
  <c r="E1516" i="12" s="1"/>
  <c r="F1517" i="12"/>
  <c r="F1518" i="12"/>
  <c r="E1518" i="12" s="1"/>
  <c r="F1519" i="12"/>
  <c r="F1520" i="12"/>
  <c r="E1520" i="12" s="1"/>
  <c r="F1521" i="12"/>
  <c r="E1521" i="12" s="1"/>
  <c r="F1522" i="12"/>
  <c r="E1522" i="12" s="1"/>
  <c r="F1523" i="12"/>
  <c r="F1524" i="12"/>
  <c r="F1525" i="12"/>
  <c r="F1526" i="12"/>
  <c r="E1526" i="12" s="1"/>
  <c r="F1527" i="12"/>
  <c r="F1528" i="12"/>
  <c r="F1529" i="12"/>
  <c r="F1530" i="12"/>
  <c r="E1530" i="12" s="1"/>
  <c r="F1531" i="12"/>
  <c r="E1531" i="12" s="1"/>
  <c r="F1532" i="12"/>
  <c r="F1533" i="12"/>
  <c r="F1534" i="12"/>
  <c r="E1534" i="12" s="1"/>
  <c r="F1535" i="12"/>
  <c r="F1536" i="12"/>
  <c r="F1537" i="12"/>
  <c r="F1538" i="12"/>
  <c r="E1538" i="12" s="1"/>
  <c r="F1539" i="12"/>
  <c r="E1539" i="12" s="1"/>
  <c r="F1540" i="12"/>
  <c r="E1540" i="12" s="1"/>
  <c r="F1541" i="12"/>
  <c r="F1542" i="12"/>
  <c r="D1542" i="12" s="1"/>
  <c r="F1543" i="12"/>
  <c r="F1544" i="12"/>
  <c r="F1545" i="12"/>
  <c r="E1545" i="12" s="1"/>
  <c r="F1546" i="12"/>
  <c r="E1546" i="12" s="1"/>
  <c r="F1547" i="12"/>
  <c r="F1548" i="12"/>
  <c r="F1549" i="12"/>
  <c r="F1550" i="12"/>
  <c r="E1550" i="12" s="1"/>
  <c r="F1551" i="12"/>
  <c r="F1552" i="12"/>
  <c r="E1552" i="12" s="1"/>
  <c r="F1553" i="12"/>
  <c r="E1553" i="12" s="1"/>
  <c r="F1554" i="12"/>
  <c r="E1554" i="12" s="1"/>
  <c r="F1555" i="12"/>
  <c r="F1556" i="12"/>
  <c r="E1556" i="12" s="1"/>
  <c r="F1557" i="12"/>
  <c r="F1558" i="12"/>
  <c r="D1558" i="12" s="1"/>
  <c r="F1559" i="12"/>
  <c r="F1560" i="12"/>
  <c r="F1561" i="12"/>
  <c r="F1562" i="12"/>
  <c r="D1562" i="12" s="1"/>
  <c r="F1563" i="12"/>
  <c r="F1564" i="12"/>
  <c r="F1565" i="12"/>
  <c r="F1566" i="12"/>
  <c r="E1566" i="12" s="1"/>
  <c r="F1567" i="12"/>
  <c r="E1567" i="12" s="1"/>
  <c r="F1568" i="12"/>
  <c r="F1569" i="12"/>
  <c r="F1570" i="12"/>
  <c r="D1570" i="12" s="1"/>
  <c r="F1571" i="12"/>
  <c r="F1572" i="12"/>
  <c r="E1572" i="12" s="1"/>
  <c r="F1573" i="12"/>
  <c r="F1574" i="12"/>
  <c r="E1574" i="12" s="1"/>
  <c r="F1575" i="12"/>
  <c r="E1575" i="12" s="1"/>
  <c r="F1576" i="12"/>
  <c r="E1576" i="12" s="1"/>
  <c r="F1577" i="12"/>
  <c r="F1578" i="12"/>
  <c r="D1578" i="12" s="1"/>
  <c r="F1579" i="12"/>
  <c r="D1579" i="12" s="1"/>
  <c r="F1580" i="12"/>
  <c r="E1580" i="12" s="1"/>
  <c r="F1581" i="12"/>
  <c r="F1582" i="12"/>
  <c r="E1582" i="12" s="1"/>
  <c r="F1583" i="12"/>
  <c r="F1584" i="12"/>
  <c r="E1584" i="12" s="1"/>
  <c r="F1585" i="12"/>
  <c r="E1585" i="12" s="1"/>
  <c r="F1586" i="12"/>
  <c r="E1586" i="12" s="1"/>
  <c r="F1587" i="12"/>
  <c r="F1588" i="12"/>
  <c r="F1589" i="12"/>
  <c r="F1590" i="12"/>
  <c r="E1590" i="12" s="1"/>
  <c r="F1591" i="12"/>
  <c r="F1592" i="12"/>
  <c r="F1593" i="12"/>
  <c r="F1594" i="12"/>
  <c r="E1594" i="12" s="1"/>
  <c r="F1595" i="12"/>
  <c r="E1595" i="12" s="1"/>
  <c r="F1596" i="12"/>
  <c r="E1596" i="12" s="1"/>
  <c r="F1597" i="12"/>
  <c r="F1598" i="12"/>
  <c r="E1598" i="12" s="1"/>
  <c r="F1599" i="12"/>
  <c r="F1600" i="12"/>
  <c r="F1601" i="12"/>
  <c r="F1602" i="12"/>
  <c r="E1602" i="12" s="1"/>
  <c r="F1603" i="12"/>
  <c r="E1603" i="12" s="1"/>
  <c r="F1604" i="12"/>
  <c r="E1604" i="12" s="1"/>
  <c r="F1605" i="12"/>
  <c r="F1606" i="12"/>
  <c r="E1606" i="12" s="1"/>
  <c r="F1607" i="12"/>
  <c r="F1608" i="12"/>
  <c r="F1609" i="12"/>
  <c r="E1609" i="12" s="1"/>
  <c r="F1610" i="12"/>
  <c r="E1610" i="12" s="1"/>
  <c r="F1611" i="12"/>
  <c r="E1611" i="12" s="1"/>
  <c r="F1612" i="12"/>
  <c r="E1612" i="12" s="1"/>
  <c r="F1613" i="12"/>
  <c r="F1614" i="12"/>
  <c r="E1614" i="12" s="1"/>
  <c r="F1615" i="12"/>
  <c r="F1616" i="12"/>
  <c r="E1616" i="12" s="1"/>
  <c r="F1617" i="12"/>
  <c r="E1617" i="12" s="1"/>
  <c r="F1618" i="12"/>
  <c r="E1618" i="12" s="1"/>
  <c r="F1619" i="12"/>
  <c r="E1619" i="12" s="1"/>
  <c r="F1620" i="12"/>
  <c r="F1621" i="12"/>
  <c r="F1622" i="12"/>
  <c r="E1622" i="12" s="1"/>
  <c r="F1623" i="12"/>
  <c r="E1623" i="12" s="1"/>
  <c r="F1624" i="12"/>
  <c r="F1625" i="12"/>
  <c r="F1626" i="12"/>
  <c r="E1626" i="12" s="1"/>
  <c r="F1627" i="12"/>
  <c r="E1627" i="12" s="1"/>
  <c r="F1628" i="12"/>
  <c r="E1628" i="12" s="1"/>
  <c r="F1629" i="12"/>
  <c r="F1630" i="12"/>
  <c r="D1630" i="12" s="1"/>
  <c r="F1631" i="12"/>
  <c r="E1631" i="12" s="1"/>
  <c r="F1632" i="12"/>
  <c r="F1633" i="12"/>
  <c r="F1634" i="12"/>
  <c r="E1634" i="12" s="1"/>
  <c r="F1635" i="12"/>
  <c r="F1636" i="12"/>
  <c r="E1636" i="12" s="1"/>
  <c r="F1637" i="12"/>
  <c r="F1638" i="12"/>
  <c r="E1638" i="12" s="1"/>
  <c r="F1639" i="12"/>
  <c r="F1640" i="12"/>
  <c r="F1641" i="12"/>
  <c r="E1641" i="12" s="1"/>
  <c r="F1642" i="12"/>
  <c r="D1642" i="12" s="1"/>
  <c r="F1643" i="12"/>
  <c r="D1643" i="12" s="1"/>
  <c r="F1644" i="12"/>
  <c r="E1644" i="12" s="1"/>
  <c r="F1645" i="12"/>
  <c r="F1646" i="12"/>
  <c r="E1646" i="12" s="1"/>
  <c r="F1647" i="12"/>
  <c r="F1648" i="12"/>
  <c r="F1649" i="12"/>
  <c r="E1649" i="12" s="1"/>
  <c r="F1650" i="12"/>
  <c r="E1650" i="12" s="1"/>
  <c r="F1651" i="12"/>
  <c r="E1651" i="12" s="1"/>
  <c r="F1652" i="12"/>
  <c r="D1652" i="12" s="1"/>
  <c r="F1653" i="12"/>
  <c r="F1654" i="12"/>
  <c r="E1654" i="12" s="1"/>
  <c r="F1655" i="12"/>
  <c r="F1656" i="12"/>
  <c r="F1657" i="12"/>
  <c r="F1658" i="12"/>
  <c r="E1658" i="12" s="1"/>
  <c r="F1659" i="12"/>
  <c r="E1659" i="12" s="1"/>
  <c r="F1660" i="12"/>
  <c r="E1660" i="12" s="1"/>
  <c r="F1661" i="12"/>
  <c r="F1662" i="12"/>
  <c r="E1662" i="12" s="1"/>
  <c r="F1663" i="12"/>
  <c r="F1664" i="12"/>
  <c r="E1664" i="12" s="1"/>
  <c r="F1665" i="12"/>
  <c r="F1666" i="12"/>
  <c r="E1666" i="12" s="1"/>
  <c r="F1667" i="12"/>
  <c r="F1668" i="12"/>
  <c r="E1668" i="12" s="1"/>
  <c r="F1669" i="12"/>
  <c r="F1670" i="12"/>
  <c r="E1670" i="12" s="1"/>
  <c r="F1671" i="12"/>
  <c r="F1672" i="12"/>
  <c r="E1672" i="12" s="1"/>
  <c r="F1673" i="12"/>
  <c r="F1674" i="12"/>
  <c r="E1674" i="12" s="1"/>
  <c r="F1675" i="12"/>
  <c r="E1675" i="12" s="1"/>
  <c r="F1676" i="12"/>
  <c r="F1677" i="12"/>
  <c r="F1678" i="12"/>
  <c r="E1678" i="12" s="1"/>
  <c r="F1679" i="12"/>
  <c r="E1679" i="12" s="1"/>
  <c r="F1680" i="12"/>
  <c r="F1681" i="12"/>
  <c r="E1681" i="12" s="1"/>
  <c r="F1682" i="12"/>
  <c r="E1682" i="12" s="1"/>
  <c r="F1683" i="12"/>
  <c r="E1683" i="12" s="1"/>
  <c r="F1684" i="12"/>
  <c r="E1684" i="12" s="1"/>
  <c r="F1685" i="12"/>
  <c r="F1686" i="12"/>
  <c r="E1686" i="12" s="1"/>
  <c r="F1687" i="12"/>
  <c r="E1687" i="12" s="1"/>
  <c r="F1688" i="12"/>
  <c r="F1689" i="12"/>
  <c r="D1689" i="12" s="1"/>
  <c r="F1690" i="12"/>
  <c r="D1690" i="12" s="1"/>
  <c r="F1691" i="12"/>
  <c r="D1691" i="12" s="1"/>
  <c r="F1692" i="12"/>
  <c r="E1692" i="12" s="1"/>
  <c r="F1693" i="12"/>
  <c r="F1694" i="12"/>
  <c r="E1694" i="12" s="1"/>
  <c r="F1695" i="12"/>
  <c r="F1696" i="12"/>
  <c r="E1696" i="12" s="1"/>
  <c r="F1697" i="12"/>
  <c r="F1698" i="12"/>
  <c r="D1698" i="12" s="1"/>
  <c r="F1699" i="12"/>
  <c r="E1699" i="12" s="1"/>
  <c r="F1700" i="12"/>
  <c r="E1700" i="12" s="1"/>
  <c r="F1701" i="12"/>
  <c r="F1702" i="12"/>
  <c r="E1702" i="12" s="1"/>
  <c r="F1703" i="12"/>
  <c r="D1703" i="12" s="1"/>
  <c r="F1704" i="12"/>
  <c r="F1705" i="12"/>
  <c r="F1706" i="12"/>
  <c r="D1706" i="12" s="1"/>
  <c r="F1707" i="12"/>
  <c r="E1707" i="12" s="1"/>
  <c r="F1708" i="12"/>
  <c r="E1708" i="12" s="1"/>
  <c r="F1709" i="12"/>
  <c r="F1710" i="12"/>
  <c r="E1710" i="12" s="1"/>
  <c r="F1711" i="12"/>
  <c r="F1712" i="12"/>
  <c r="F1713" i="12"/>
  <c r="F1714" i="12"/>
  <c r="E1714" i="12" s="1"/>
  <c r="F1715" i="12"/>
  <c r="E1715" i="12" s="1"/>
  <c r="F1716" i="12"/>
  <c r="E1716" i="12" s="1"/>
  <c r="F1717" i="12"/>
  <c r="F1718" i="12"/>
  <c r="E1718" i="12" s="1"/>
  <c r="F1719" i="12"/>
  <c r="F1720" i="12"/>
  <c r="F1721" i="12"/>
  <c r="F1722" i="12"/>
  <c r="E1722" i="12" s="1"/>
  <c r="F1723" i="12"/>
  <c r="E1723" i="12" s="1"/>
  <c r="F1724" i="12"/>
  <c r="E1724" i="12" s="1"/>
  <c r="F1725" i="12"/>
  <c r="F1726" i="12"/>
  <c r="E1726" i="12" s="1"/>
  <c r="F1727" i="12"/>
  <c r="F1728" i="12"/>
  <c r="F1729" i="12"/>
  <c r="E1729" i="12" s="1"/>
  <c r="F1730" i="12"/>
  <c r="E1730" i="12" s="1"/>
  <c r="F1731" i="12"/>
  <c r="F1732" i="12"/>
  <c r="E1732" i="12" s="1"/>
  <c r="F1733" i="12"/>
  <c r="F1734" i="12"/>
  <c r="E1734" i="12" s="1"/>
  <c r="F1735" i="12"/>
  <c r="E1735" i="12" s="1"/>
  <c r="F1736" i="12"/>
  <c r="E1736" i="12" s="1"/>
  <c r="F1737" i="12"/>
  <c r="E1737" i="12" s="1"/>
  <c r="F1738" i="12"/>
  <c r="E1738" i="12" s="1"/>
  <c r="F1739" i="12"/>
  <c r="E1739" i="12" s="1"/>
  <c r="F1740" i="12"/>
  <c r="E1740" i="12" s="1"/>
  <c r="F1741" i="12"/>
  <c r="F1742" i="12"/>
  <c r="E1742" i="12" s="1"/>
  <c r="F1743" i="12"/>
  <c r="E1743" i="12" s="1"/>
  <c r="F1744" i="12"/>
  <c r="F1745" i="12"/>
  <c r="F1746" i="12"/>
  <c r="E1746" i="12" s="1"/>
  <c r="F1747" i="12"/>
  <c r="E1747" i="12" s="1"/>
  <c r="F1748" i="12"/>
  <c r="E1748" i="12" s="1"/>
  <c r="F1749" i="12"/>
  <c r="F1750" i="12"/>
  <c r="E1750" i="12" s="1"/>
  <c r="F1751" i="12"/>
  <c r="D1751" i="12" s="1"/>
  <c r="F1752" i="12"/>
  <c r="F1753" i="12"/>
  <c r="F1754" i="12"/>
  <c r="D1754" i="12" s="1"/>
  <c r="F1755" i="12"/>
  <c r="F1756" i="12"/>
  <c r="E1756" i="12" s="1"/>
  <c r="F1757" i="12"/>
  <c r="F1758" i="12"/>
  <c r="E1758" i="12" s="1"/>
  <c r="F1759" i="12"/>
  <c r="F1760" i="12"/>
  <c r="F1761" i="12"/>
  <c r="E1761" i="12" s="1"/>
  <c r="F1762" i="12"/>
  <c r="E1762" i="12" s="1"/>
  <c r="F1763" i="12"/>
  <c r="E1763" i="12" s="1"/>
  <c r="F1764" i="12"/>
  <c r="E1764" i="12" s="1"/>
  <c r="F1765" i="12"/>
  <c r="F1766" i="12"/>
  <c r="E1766" i="12" s="1"/>
  <c r="F1767" i="12"/>
  <c r="F1768" i="12"/>
  <c r="E1768" i="12" s="1"/>
  <c r="F1769" i="12"/>
  <c r="E1769" i="12" s="1"/>
  <c r="F1770" i="12"/>
  <c r="D1770" i="12" s="1"/>
  <c r="F1771" i="12"/>
  <c r="E1771" i="12" s="1"/>
  <c r="F1772" i="12"/>
  <c r="E1772" i="12" s="1"/>
  <c r="F1773" i="12"/>
  <c r="F1774" i="12"/>
  <c r="E1774" i="12" s="1"/>
  <c r="F1775" i="12"/>
  <c r="F1776" i="12"/>
  <c r="F1777" i="12"/>
  <c r="F1778" i="12"/>
  <c r="E1778" i="12" s="1"/>
  <c r="F1779" i="12"/>
  <c r="F1780" i="12"/>
  <c r="D1780" i="12" s="1"/>
  <c r="F1781" i="12"/>
  <c r="F1782" i="12"/>
  <c r="F1783" i="12"/>
  <c r="F1784" i="12"/>
  <c r="E1784" i="12" s="1"/>
  <c r="F1785" i="12"/>
  <c r="F1786" i="12"/>
  <c r="E1786" i="12" s="1"/>
  <c r="F1787" i="12"/>
  <c r="F1788" i="12"/>
  <c r="E1788" i="12" s="1"/>
  <c r="F1789" i="12"/>
  <c r="F1790" i="12"/>
  <c r="E1790" i="12" s="1"/>
  <c r="F1791" i="12"/>
  <c r="E1791" i="12" s="1"/>
  <c r="F1792" i="12"/>
  <c r="E1792" i="12" s="1"/>
  <c r="F1793" i="12"/>
  <c r="F1794" i="12"/>
  <c r="E1794" i="12" s="1"/>
  <c r="F1795" i="12"/>
  <c r="F1796" i="12"/>
  <c r="E1796" i="12" s="1"/>
  <c r="F1797" i="12"/>
  <c r="F1798" i="12"/>
  <c r="D1798" i="12" s="1"/>
  <c r="F1799" i="12"/>
  <c r="E1799" i="12" s="1"/>
  <c r="F1800" i="12"/>
  <c r="F1801" i="12"/>
  <c r="E1801" i="12" s="1"/>
  <c r="F1802" i="12"/>
  <c r="E1802" i="12" s="1"/>
  <c r="F1803" i="12"/>
  <c r="F1804" i="12"/>
  <c r="F1805" i="12"/>
  <c r="F1806" i="12"/>
  <c r="E1806" i="12" s="1"/>
  <c r="F1807" i="12"/>
  <c r="F1808" i="12"/>
  <c r="F1809" i="12"/>
  <c r="F1810" i="12"/>
  <c r="E1810" i="12" s="1"/>
  <c r="F1811" i="12"/>
  <c r="E1811" i="12" s="1"/>
  <c r="F1812" i="12"/>
  <c r="F1813" i="12"/>
  <c r="F1814" i="12"/>
  <c r="E1814" i="12" s="1"/>
  <c r="F1815" i="12"/>
  <c r="F1816" i="12"/>
  <c r="F1817" i="12"/>
  <c r="F1818" i="12"/>
  <c r="E1818" i="12" s="1"/>
  <c r="F1819" i="12"/>
  <c r="D1819" i="12" s="1"/>
  <c r="F1820" i="12"/>
  <c r="F1821" i="12"/>
  <c r="F1822" i="12"/>
  <c r="E1822" i="12" s="1"/>
  <c r="F1823" i="12"/>
  <c r="F1824" i="12"/>
  <c r="E1824" i="12" s="1"/>
  <c r="F1825" i="12"/>
  <c r="F1826" i="12"/>
  <c r="E1826" i="12" s="1"/>
  <c r="F1827" i="12"/>
  <c r="F1828" i="12"/>
  <c r="E1828" i="12" s="1"/>
  <c r="F1829" i="12"/>
  <c r="F1830" i="12"/>
  <c r="E1830" i="12" s="1"/>
  <c r="F1831" i="12"/>
  <c r="F1832" i="12"/>
  <c r="F1833" i="12"/>
  <c r="E1833" i="12" s="1"/>
  <c r="F1834" i="12"/>
  <c r="D1834" i="12" s="1"/>
  <c r="F1835" i="12"/>
  <c r="F1836" i="12"/>
  <c r="F1837" i="12"/>
  <c r="F1838" i="12"/>
  <c r="D1838" i="12" s="1"/>
  <c r="F1839" i="12"/>
  <c r="F1840" i="12"/>
  <c r="F1841" i="12"/>
  <c r="F1842" i="12"/>
  <c r="E1842" i="12" s="1"/>
  <c r="F1843" i="12"/>
  <c r="E1843" i="12" s="1"/>
  <c r="F1844" i="12"/>
  <c r="E1844" i="12" s="1"/>
  <c r="F1845" i="12"/>
  <c r="F1846" i="12"/>
  <c r="E1846" i="12" s="1"/>
  <c r="F1847" i="12"/>
  <c r="E1847" i="12" s="1"/>
  <c r="F1848" i="12"/>
  <c r="E1848" i="12" s="1"/>
  <c r="F1849" i="12"/>
  <c r="D1849" i="12" s="1"/>
  <c r="F1850" i="12"/>
  <c r="E1850" i="12" s="1"/>
  <c r="F1851" i="12"/>
  <c r="E1851" i="12" s="1"/>
  <c r="F1852" i="12"/>
  <c r="F1853" i="12"/>
  <c r="F1854" i="12"/>
  <c r="E1854" i="12" s="1"/>
  <c r="F1855" i="12"/>
  <c r="E1855" i="12" s="1"/>
  <c r="F1856" i="12"/>
  <c r="E1856" i="12" s="1"/>
  <c r="F1857" i="12"/>
  <c r="F1858" i="12"/>
  <c r="E1858" i="12" s="1"/>
  <c r="F1859" i="12"/>
  <c r="F1860" i="12"/>
  <c r="E1860" i="12" s="1"/>
  <c r="F1861" i="12"/>
  <c r="F1862" i="12"/>
  <c r="E1862" i="12" s="1"/>
  <c r="F1863" i="12"/>
  <c r="F1864" i="12"/>
  <c r="F1865" i="12"/>
  <c r="E1865" i="12" s="1"/>
  <c r="F1866" i="12"/>
  <c r="E1866" i="12" s="1"/>
  <c r="F1867" i="12"/>
  <c r="E1867" i="12" s="1"/>
  <c r="F1868" i="12"/>
  <c r="E1868" i="12" s="1"/>
  <c r="F1869" i="12"/>
  <c r="F1870" i="12"/>
  <c r="E1870" i="12" s="1"/>
  <c r="F1871" i="12"/>
  <c r="F1872" i="12"/>
  <c r="F1873" i="12"/>
  <c r="F1874" i="12"/>
  <c r="E1874" i="12" s="1"/>
  <c r="F1875" i="12"/>
  <c r="E1875" i="12" s="1"/>
  <c r="F1876" i="12"/>
  <c r="E1876" i="12" s="1"/>
  <c r="F1877" i="12"/>
  <c r="F1878" i="12"/>
  <c r="E1878" i="12" s="1"/>
  <c r="F1879" i="12"/>
  <c r="F1880" i="12"/>
  <c r="E1880" i="12" s="1"/>
  <c r="F1881" i="12"/>
  <c r="F1882" i="12"/>
  <c r="D1882" i="12" s="1"/>
  <c r="F1883" i="12"/>
  <c r="F1884" i="12"/>
  <c r="D1884" i="12" s="1"/>
  <c r="F1885" i="12"/>
  <c r="F1886" i="12"/>
  <c r="E1886" i="12" s="1"/>
  <c r="F1887" i="12"/>
  <c r="F1888" i="12"/>
  <c r="E1888" i="12" s="1"/>
  <c r="F1889" i="12"/>
  <c r="F1890" i="12"/>
  <c r="E1890" i="12" s="1"/>
  <c r="F1891" i="12"/>
  <c r="E1891" i="12" s="1"/>
  <c r="F1892" i="12"/>
  <c r="F1893" i="12"/>
  <c r="F1894" i="12"/>
  <c r="E1894" i="12" s="1"/>
  <c r="F1895" i="12"/>
  <c r="F1896" i="12"/>
  <c r="F1897" i="12"/>
  <c r="E1897" i="12" s="1"/>
  <c r="F1898" i="12"/>
  <c r="D1898" i="12" s="1"/>
  <c r="F1899" i="12"/>
  <c r="E1899" i="12" s="1"/>
  <c r="F1900" i="12"/>
  <c r="E1900" i="12" s="1"/>
  <c r="F1901" i="12"/>
  <c r="F1902" i="12"/>
  <c r="E1902" i="12" s="1"/>
  <c r="F1903" i="12"/>
  <c r="E1903" i="12" s="1"/>
  <c r="F1904" i="12"/>
  <c r="F1905" i="12"/>
  <c r="F1906" i="12"/>
  <c r="E1906" i="12" s="1"/>
  <c r="F1907" i="12"/>
  <c r="E1907" i="12" s="1"/>
  <c r="F1908" i="12"/>
  <c r="E1908" i="12" s="1"/>
  <c r="F1909" i="12"/>
  <c r="F1910" i="12"/>
  <c r="E1910" i="12" s="1"/>
  <c r="F1911" i="12"/>
  <c r="E1911" i="12" s="1"/>
  <c r="F1912" i="12"/>
  <c r="F1913" i="12"/>
  <c r="E1913" i="12" s="1"/>
  <c r="F1914" i="12"/>
  <c r="E1914" i="12" s="1"/>
  <c r="F1915" i="12"/>
  <c r="E1915" i="12" s="1"/>
  <c r="F1916" i="12"/>
  <c r="E1916" i="12" s="1"/>
  <c r="F1917" i="12"/>
  <c r="F1918" i="12"/>
  <c r="E1918" i="12" s="1"/>
  <c r="F1919" i="12"/>
  <c r="F1920" i="12"/>
  <c r="E1920" i="12" s="1"/>
  <c r="F1921" i="12"/>
  <c r="E1921" i="12" s="1"/>
  <c r="F1922" i="12"/>
  <c r="E1922" i="12" s="1"/>
  <c r="F1923" i="12"/>
  <c r="E1923" i="12" s="1"/>
  <c r="F1924" i="12"/>
  <c r="D1924" i="12" s="1"/>
  <c r="F1925" i="12"/>
  <c r="F1926" i="12"/>
  <c r="E1926" i="12" s="1"/>
  <c r="F1927" i="12"/>
  <c r="F1928" i="12"/>
  <c r="F1929" i="12"/>
  <c r="F1930" i="12"/>
  <c r="E1930" i="12" s="1"/>
  <c r="F1931" i="12"/>
  <c r="F1932" i="12"/>
  <c r="F1933" i="12"/>
  <c r="F1934" i="12"/>
  <c r="E1934" i="12" s="1"/>
  <c r="F1935" i="12"/>
  <c r="F1936" i="12"/>
  <c r="D1936" i="12" s="1"/>
  <c r="F1937" i="12"/>
  <c r="D1937" i="12" s="1"/>
  <c r="F1938" i="12"/>
  <c r="E1938" i="12" s="1"/>
  <c r="F1939" i="12"/>
  <c r="F1940" i="12"/>
  <c r="E1940" i="12" s="1"/>
  <c r="F1941" i="12"/>
  <c r="F1942" i="12"/>
  <c r="E1942" i="12" s="1"/>
  <c r="F1943" i="12"/>
  <c r="F1944" i="12"/>
  <c r="F1945" i="12"/>
  <c r="E1945" i="12" s="1"/>
  <c r="F1946" i="12"/>
  <c r="D1946" i="12" s="1"/>
  <c r="F1947" i="12"/>
  <c r="F1948" i="12"/>
  <c r="E1948" i="12" s="1"/>
  <c r="F1949" i="12"/>
  <c r="F1950" i="12"/>
  <c r="E1950" i="12" s="1"/>
  <c r="F1951" i="12"/>
  <c r="F1952" i="12"/>
  <c r="E1952" i="12" s="1"/>
  <c r="F1953" i="12"/>
  <c r="D1953" i="12" s="1"/>
  <c r="F1954" i="12"/>
  <c r="D1954" i="12" s="1"/>
  <c r="F1955" i="12"/>
  <c r="E1955" i="12" s="1"/>
  <c r="F1956" i="12"/>
  <c r="F1957" i="12"/>
  <c r="F1958" i="12"/>
  <c r="E1958" i="12" s="1"/>
  <c r="F1959" i="12"/>
  <c r="F1960" i="12"/>
  <c r="F1961" i="12"/>
  <c r="F1962" i="12"/>
  <c r="D1962" i="12" s="1"/>
  <c r="F1963" i="12"/>
  <c r="E1963" i="12" s="1"/>
  <c r="F1964" i="12"/>
  <c r="F1965" i="12"/>
  <c r="F1966" i="12"/>
  <c r="E1966" i="12" s="1"/>
  <c r="F1967" i="12"/>
  <c r="E1967" i="12" s="1"/>
  <c r="F1968" i="12"/>
  <c r="E1968" i="12" s="1"/>
  <c r="F1969" i="12"/>
  <c r="F1970" i="12"/>
  <c r="E1970" i="12" s="1"/>
  <c r="F1971" i="12"/>
  <c r="F1972" i="12"/>
  <c r="E1972" i="12" s="1"/>
  <c r="F1973" i="12"/>
  <c r="F1974" i="12"/>
  <c r="E1974" i="12" s="1"/>
  <c r="F1975" i="12"/>
  <c r="F1976" i="12"/>
  <c r="F1977" i="12"/>
  <c r="F1978" i="12"/>
  <c r="E1978" i="12" s="1"/>
  <c r="F1979" i="12"/>
  <c r="F1980" i="12"/>
  <c r="E1980" i="12" s="1"/>
  <c r="F1981" i="12"/>
  <c r="F1982" i="12"/>
  <c r="E1982" i="12" s="1"/>
  <c r="F1983" i="12"/>
  <c r="F1984" i="12"/>
  <c r="F1985" i="12"/>
  <c r="E1985" i="12" s="1"/>
  <c r="F1986" i="12"/>
  <c r="E1986" i="12" s="1"/>
  <c r="F1987" i="12"/>
  <c r="F1988" i="12"/>
  <c r="E1988" i="12" s="1"/>
  <c r="F1989" i="12"/>
  <c r="F1990" i="12"/>
  <c r="E1990" i="12" s="1"/>
  <c r="F1991" i="12"/>
  <c r="F1992" i="12"/>
  <c r="E1992" i="12" s="1"/>
  <c r="F1993" i="12"/>
  <c r="F1994" i="12"/>
  <c r="E1994" i="12" s="1"/>
  <c r="F1995" i="12"/>
  <c r="D1995" i="12" s="1"/>
  <c r="F1996" i="12"/>
  <c r="F1997" i="12"/>
  <c r="F1998" i="12"/>
  <c r="E1998" i="12" s="1"/>
  <c r="F1999" i="12"/>
  <c r="F2000" i="12"/>
  <c r="E2000" i="12" s="1"/>
  <c r="F2001" i="12"/>
  <c r="F2002" i="12"/>
  <c r="E2002" i="12" s="1"/>
  <c r="F2003" i="12"/>
  <c r="E2003" i="12" s="1"/>
  <c r="F2004" i="12"/>
  <c r="E2004" i="12" s="1"/>
  <c r="F2005" i="12"/>
  <c r="F2006" i="12"/>
  <c r="E2006" i="12" s="1"/>
  <c r="F2007" i="12"/>
  <c r="F2008" i="12"/>
  <c r="E2008" i="12" s="1"/>
  <c r="F2009" i="12"/>
  <c r="F2010" i="12"/>
  <c r="D2010" i="12" s="1"/>
  <c r="F2011" i="12"/>
  <c r="F2012" i="12"/>
  <c r="E2012" i="12" s="1"/>
  <c r="F2013" i="12"/>
  <c r="F2014" i="12"/>
  <c r="E2014" i="12" s="1"/>
  <c r="F2015" i="12"/>
  <c r="F2016" i="12"/>
  <c r="F2017" i="12"/>
  <c r="E2017" i="12" s="1"/>
  <c r="F2018" i="12"/>
  <c r="E2018" i="12" s="1"/>
  <c r="F2019" i="12"/>
  <c r="F2020" i="12"/>
  <c r="E2020" i="12" s="1"/>
  <c r="F2021" i="12"/>
  <c r="F2022" i="12"/>
  <c r="E2022" i="12" s="1"/>
  <c r="F2023" i="12"/>
  <c r="E2023" i="12" s="1"/>
  <c r="F2024" i="12"/>
  <c r="E2024" i="12" s="1"/>
  <c r="F2025" i="12"/>
  <c r="F2026" i="12"/>
  <c r="D2026" i="12" s="1"/>
  <c r="F2027" i="12"/>
  <c r="E2027" i="12" s="1"/>
  <c r="F2028" i="12"/>
  <c r="E2028" i="12" s="1"/>
  <c r="F2029" i="12"/>
  <c r="F2030" i="12"/>
  <c r="E2030" i="12" s="1"/>
  <c r="F2031" i="12"/>
  <c r="F2032" i="12"/>
  <c r="F2033" i="12"/>
  <c r="E2033" i="12" s="1"/>
  <c r="F2034" i="12"/>
  <c r="E2034" i="12" s="1"/>
  <c r="F2035" i="12"/>
  <c r="D2035" i="12" s="1"/>
  <c r="F2036" i="12"/>
  <c r="F2037" i="12"/>
  <c r="F2038" i="12"/>
  <c r="E2038" i="12" s="1"/>
  <c r="F2039" i="12"/>
  <c r="F2040" i="12"/>
  <c r="E2040" i="12" s="1"/>
  <c r="F2041" i="12"/>
  <c r="E2041" i="12" s="1"/>
  <c r="F2042" i="12"/>
  <c r="E2042" i="12" s="1"/>
  <c r="F2043" i="12"/>
  <c r="F2044" i="12"/>
  <c r="E2044" i="12" s="1"/>
  <c r="F2045" i="12"/>
  <c r="F2046" i="12"/>
  <c r="E2046" i="12" s="1"/>
  <c r="F2047" i="12"/>
  <c r="F2048" i="12"/>
  <c r="F2049" i="12"/>
  <c r="F2050" i="12"/>
  <c r="E2050" i="12" s="1"/>
  <c r="F2051" i="12"/>
  <c r="E2051" i="12" s="1"/>
  <c r="F2052" i="12"/>
  <c r="E2052" i="12" s="1"/>
  <c r="F2053" i="12"/>
  <c r="F2054" i="12"/>
  <c r="E2054" i="12" s="1"/>
  <c r="F2055" i="12"/>
  <c r="F2056" i="12"/>
  <c r="F2057" i="12"/>
  <c r="E2057" i="12" s="1"/>
  <c r="F2058" i="12"/>
  <c r="E2058" i="12" s="1"/>
  <c r="F2059" i="12"/>
  <c r="F2060" i="12"/>
  <c r="E2060" i="12" s="1"/>
  <c r="F2061" i="12"/>
  <c r="E2061" i="12" s="1"/>
  <c r="F2062" i="12"/>
  <c r="E2062" i="12" s="1"/>
  <c r="F2063" i="12"/>
  <c r="F2064" i="12"/>
  <c r="F2065" i="12"/>
  <c r="E2065" i="12" s="1"/>
  <c r="F2066" i="12"/>
  <c r="E2066" i="12" s="1"/>
  <c r="F2067" i="12"/>
  <c r="E2067" i="12" s="1"/>
  <c r="F2068" i="12"/>
  <c r="E2068" i="12" s="1"/>
  <c r="F2069" i="12"/>
  <c r="E2069" i="12" s="1"/>
  <c r="F2070" i="12"/>
  <c r="E2070" i="12" s="1"/>
  <c r="F2071" i="12"/>
  <c r="F2072" i="12"/>
  <c r="E2072" i="12" s="1"/>
  <c r="F2073" i="12"/>
  <c r="E2073" i="12" s="1"/>
  <c r="F2074" i="12"/>
  <c r="E2074" i="12" s="1"/>
  <c r="F2075" i="12"/>
  <c r="E2075" i="12" s="1"/>
  <c r="F2076" i="12"/>
  <c r="D2076" i="12" s="1"/>
  <c r="F2077" i="12"/>
  <c r="E2077" i="12" s="1"/>
  <c r="F2078" i="12"/>
  <c r="E2078" i="12" s="1"/>
  <c r="F2079" i="12"/>
  <c r="E2079" i="12" s="1"/>
  <c r="F2080" i="12"/>
  <c r="F2081" i="12"/>
  <c r="F2082" i="12"/>
  <c r="E2082" i="12" s="1"/>
  <c r="F2083" i="12"/>
  <c r="E2083" i="12" s="1"/>
  <c r="F2084" i="12"/>
  <c r="E2084" i="12" s="1"/>
  <c r="F2085" i="12"/>
  <c r="E2085" i="12" s="1"/>
  <c r="F2086" i="12"/>
  <c r="E2086" i="12" s="1"/>
  <c r="F2087" i="12"/>
  <c r="E2087" i="12" s="1"/>
  <c r="F2088" i="12"/>
  <c r="E2088" i="12" s="1"/>
  <c r="F2089" i="12"/>
  <c r="F2090" i="12"/>
  <c r="D2090" i="12" s="1"/>
  <c r="F2091" i="12"/>
  <c r="F2092" i="12"/>
  <c r="E2092" i="12" s="1"/>
  <c r="F2093" i="12"/>
  <c r="E2093" i="12" s="1"/>
  <c r="F2094" i="12"/>
  <c r="E2094" i="12" s="1"/>
  <c r="F2095" i="12"/>
  <c r="F2096" i="12"/>
  <c r="F2097" i="12"/>
  <c r="E2097" i="12" s="1"/>
  <c r="F2098" i="12"/>
  <c r="E2098" i="12" s="1"/>
  <c r="F2099" i="12"/>
  <c r="D2099" i="12" s="1"/>
  <c r="F2100" i="12"/>
  <c r="F2101" i="12"/>
  <c r="E2101" i="12" s="1"/>
  <c r="F2102" i="12"/>
  <c r="E2102" i="12" s="1"/>
  <c r="F2103" i="12"/>
  <c r="F2104" i="12"/>
  <c r="E2104" i="12" s="1"/>
  <c r="F2105" i="12"/>
  <c r="E2105" i="12" s="1"/>
  <c r="F2106" i="12"/>
  <c r="E2106" i="12" s="1"/>
  <c r="F2107" i="12"/>
  <c r="F2108" i="12"/>
  <c r="E2108" i="12" s="1"/>
  <c r="F2109" i="12"/>
  <c r="E2109" i="12" s="1"/>
  <c r="F2110" i="12"/>
  <c r="E2110" i="12" s="1"/>
  <c r="F2111" i="12"/>
  <c r="F2112" i="12"/>
  <c r="F2113" i="12"/>
  <c r="F2114" i="12"/>
  <c r="E2114" i="12" s="1"/>
  <c r="F2115" i="12"/>
  <c r="F2116" i="12"/>
  <c r="E2116" i="12" s="1"/>
  <c r="F2117" i="12"/>
  <c r="E2117" i="12" s="1"/>
  <c r="F2118" i="12"/>
  <c r="D2118" i="12" s="1"/>
  <c r="F2119" i="12"/>
  <c r="F2120" i="12"/>
  <c r="F2121" i="12"/>
  <c r="E2121" i="12" s="1"/>
  <c r="F2122" i="12"/>
  <c r="E2122" i="12" s="1"/>
  <c r="F2123" i="12"/>
  <c r="F2124" i="12"/>
  <c r="E2124" i="12" s="1"/>
  <c r="F2125" i="12"/>
  <c r="E2125" i="12" s="1"/>
  <c r="F2126" i="12"/>
  <c r="E2126" i="12" s="1"/>
  <c r="F2127" i="12"/>
  <c r="F2128" i="12"/>
  <c r="F2129" i="12"/>
  <c r="E2129" i="12" s="1"/>
  <c r="F2130" i="12"/>
  <c r="E2130" i="12" s="1"/>
  <c r="F2131" i="12"/>
  <c r="E2131" i="12" s="1"/>
  <c r="F2132" i="12"/>
  <c r="E2132" i="12" s="1"/>
  <c r="F2133" i="12"/>
  <c r="E2133" i="12" s="1"/>
  <c r="F2134" i="12"/>
  <c r="E2134" i="12" s="1"/>
  <c r="F2135" i="12"/>
  <c r="E2135" i="12" s="1"/>
  <c r="F2136" i="12"/>
  <c r="E2136" i="12" s="1"/>
  <c r="F2137" i="12"/>
  <c r="E2137" i="12" s="1"/>
  <c r="F2138" i="12"/>
  <c r="D2138" i="12" s="1"/>
  <c r="F2139" i="12"/>
  <c r="E2139" i="12" s="1"/>
  <c r="F2140" i="12"/>
  <c r="F2141" i="12"/>
  <c r="E2141" i="12" s="1"/>
  <c r="F2142" i="12"/>
  <c r="D2142" i="12" s="1"/>
  <c r="F2143" i="12"/>
  <c r="E2143" i="12" s="1"/>
  <c r="F2144" i="12"/>
  <c r="F2145" i="12"/>
  <c r="F2146" i="12"/>
  <c r="E2146" i="12" s="1"/>
  <c r="F2147" i="12"/>
  <c r="D2147" i="12" s="1"/>
  <c r="F2148" i="12"/>
  <c r="E2148" i="12" s="1"/>
  <c r="F2149" i="12"/>
  <c r="E2149" i="12" s="1"/>
  <c r="F2150" i="12"/>
  <c r="E2150" i="12" s="1"/>
  <c r="F2151" i="12"/>
  <c r="F2152" i="12"/>
  <c r="F2153" i="12"/>
  <c r="E2153" i="12" s="1"/>
  <c r="F2154" i="12"/>
  <c r="D2154" i="12" s="1"/>
  <c r="F2155" i="12"/>
  <c r="F2156" i="12"/>
  <c r="E2156" i="12" s="1"/>
  <c r="F2157" i="12"/>
  <c r="E2157" i="12" s="1"/>
  <c r="F2158" i="12"/>
  <c r="E2158" i="12" s="1"/>
  <c r="F2159" i="12"/>
  <c r="F2160" i="12"/>
  <c r="F2161" i="12"/>
  <c r="F2162" i="12"/>
  <c r="E2162" i="12" s="1"/>
  <c r="F2163" i="12"/>
  <c r="F2164" i="12"/>
  <c r="F2165" i="12"/>
  <c r="E2165" i="12" s="1"/>
  <c r="F2166" i="12"/>
  <c r="E2166" i="12" s="1"/>
  <c r="F2167" i="12"/>
  <c r="F2168" i="12"/>
  <c r="F2169" i="12"/>
  <c r="E2169" i="12" s="1"/>
  <c r="F2170" i="12"/>
  <c r="E2170" i="12" s="1"/>
  <c r="F2171" i="12"/>
  <c r="E2171" i="12" s="1"/>
  <c r="F2172" i="12"/>
  <c r="E2172" i="12" s="1"/>
  <c r="F2173" i="12"/>
  <c r="E2173" i="12" s="1"/>
  <c r="F2174" i="12"/>
  <c r="E2174" i="12" s="1"/>
  <c r="F2175" i="12"/>
  <c r="F2176" i="12"/>
  <c r="E2176" i="12" s="1"/>
  <c r="F2177" i="12"/>
  <c r="F2178" i="12"/>
  <c r="E2178" i="12" s="1"/>
  <c r="F2179" i="12"/>
  <c r="F2180" i="12"/>
  <c r="E2180" i="12" s="1"/>
  <c r="F2181" i="12"/>
  <c r="E2181" i="12" s="1"/>
  <c r="F2182" i="12"/>
  <c r="E2182" i="12" s="1"/>
  <c r="F2183" i="12"/>
  <c r="F2184" i="12"/>
  <c r="F2185" i="12"/>
  <c r="F2186" i="12"/>
  <c r="E2186" i="12" s="1"/>
  <c r="F2187" i="12"/>
  <c r="F2188" i="12"/>
  <c r="F2189" i="12"/>
  <c r="E2189" i="12" s="1"/>
  <c r="F2190" i="12"/>
  <c r="E2190" i="12" s="1"/>
  <c r="F2191" i="12"/>
  <c r="E2191" i="12" s="1"/>
  <c r="F2192" i="12"/>
  <c r="E2192" i="12" s="1"/>
  <c r="F2193" i="12"/>
  <c r="F2194" i="12"/>
  <c r="E2194" i="12" s="1"/>
  <c r="F2195" i="12"/>
  <c r="E2195" i="12" s="1"/>
  <c r="F2196" i="12"/>
  <c r="E2196" i="12" s="1"/>
  <c r="F2197" i="12"/>
  <c r="E2197" i="12" s="1"/>
  <c r="F2198" i="12"/>
  <c r="E2198" i="12" s="1"/>
  <c r="F2199" i="12"/>
  <c r="E2199" i="12" s="1"/>
  <c r="F2200" i="12"/>
  <c r="F2201" i="12"/>
  <c r="E2201" i="12" s="1"/>
  <c r="F2202" i="12"/>
  <c r="E2202" i="12" s="1"/>
  <c r="F2203" i="12"/>
  <c r="D2203" i="12" s="1"/>
  <c r="F2204" i="12"/>
  <c r="E2204" i="12" s="1"/>
  <c r="F2205" i="12"/>
  <c r="E2205" i="12" s="1"/>
  <c r="F2206" i="12"/>
  <c r="D2206" i="12" s="1"/>
  <c r="F2207" i="12"/>
  <c r="F2208" i="12"/>
  <c r="E2208" i="12" s="1"/>
  <c r="F2209" i="12"/>
  <c r="F2210" i="12"/>
  <c r="E2210" i="12" s="1"/>
  <c r="F2211" i="12"/>
  <c r="E2211" i="12" s="1"/>
  <c r="F2212" i="12"/>
  <c r="F2213" i="12"/>
  <c r="E2213" i="12" s="1"/>
  <c r="F2214" i="12"/>
  <c r="E2214" i="12" s="1"/>
  <c r="F2215" i="12"/>
  <c r="F2216" i="12"/>
  <c r="E2216" i="12" s="1"/>
  <c r="F2217" i="12"/>
  <c r="F2218" i="12"/>
  <c r="D2218" i="12" s="1"/>
  <c r="F2219" i="12"/>
  <c r="E2219" i="12" s="1"/>
  <c r="F2220" i="12"/>
  <c r="E2220" i="12" s="1"/>
  <c r="F2221" i="12"/>
  <c r="E2221" i="12" s="1"/>
  <c r="F2222" i="12"/>
  <c r="E2222" i="12" s="1"/>
  <c r="F2223" i="12"/>
  <c r="F2224" i="12"/>
  <c r="F2225" i="12"/>
  <c r="E2225" i="12" s="1"/>
  <c r="F2226" i="12"/>
  <c r="E2226" i="12" s="1"/>
  <c r="F2227" i="12"/>
  <c r="F2228" i="12"/>
  <c r="D2228" i="12" s="1"/>
  <c r="F2229" i="12"/>
  <c r="E2229" i="12" s="1"/>
  <c r="F2230" i="12"/>
  <c r="E2230" i="12" s="1"/>
  <c r="F2231" i="12"/>
  <c r="F2232" i="12"/>
  <c r="F2233" i="12"/>
  <c r="D2233" i="12" s="1"/>
  <c r="F2234" i="12"/>
  <c r="E2234" i="12" s="1"/>
  <c r="F2235" i="12"/>
  <c r="E2235" i="12" s="1"/>
  <c r="F2236" i="12"/>
  <c r="E2236" i="12" s="1"/>
  <c r="F2237" i="12"/>
  <c r="E2237" i="12" s="1"/>
  <c r="F2238" i="12"/>
  <c r="F2239" i="12"/>
  <c r="F2240" i="12"/>
  <c r="F2241" i="12"/>
  <c r="E2241" i="12" s="1"/>
  <c r="F2242" i="12"/>
  <c r="E2242" i="12" s="1"/>
  <c r="F2243" i="12"/>
  <c r="E2243" i="12" s="1"/>
  <c r="F2244" i="12"/>
  <c r="E2244" i="12" s="1"/>
  <c r="F2245" i="12"/>
  <c r="E2245" i="12" s="1"/>
  <c r="F2246" i="12"/>
  <c r="E2246" i="12" s="1"/>
  <c r="F2247" i="12"/>
  <c r="E2247" i="12" s="1"/>
  <c r="F2248" i="12"/>
  <c r="F2249" i="12"/>
  <c r="E2249" i="12" s="1"/>
  <c r="F2250" i="12"/>
  <c r="E2250" i="12" s="1"/>
  <c r="F2251" i="12"/>
  <c r="E2251" i="12" s="1"/>
  <c r="F2252" i="12"/>
  <c r="E2252" i="12" s="1"/>
  <c r="F2253" i="12"/>
  <c r="E2253" i="12" s="1"/>
  <c r="F2254" i="12"/>
  <c r="F2255" i="12"/>
  <c r="E2255" i="12" s="1"/>
  <c r="F2256" i="12"/>
  <c r="E2256" i="12" s="1"/>
  <c r="F2257" i="12"/>
  <c r="E2257" i="12" s="1"/>
  <c r="F2258" i="12"/>
  <c r="E2258" i="12" s="1"/>
  <c r="F2259" i="12"/>
  <c r="E2259" i="12" s="1"/>
  <c r="F2260" i="12"/>
  <c r="E2260" i="12" s="1"/>
  <c r="F2261" i="12"/>
  <c r="E2261" i="12" s="1"/>
  <c r="F2262" i="12"/>
  <c r="E2262" i="12" s="1"/>
  <c r="F2263" i="12"/>
  <c r="F2264" i="12"/>
  <c r="F2265" i="12"/>
  <c r="F2266" i="12"/>
  <c r="E2266" i="12" s="1"/>
  <c r="F2267" i="12"/>
  <c r="D2267" i="12" s="1"/>
  <c r="F2268" i="12"/>
  <c r="E2268" i="12" s="1"/>
  <c r="F2269" i="12"/>
  <c r="E2269" i="12" s="1"/>
  <c r="F2270" i="12"/>
  <c r="F2271" i="12"/>
  <c r="F2272" i="12"/>
  <c r="F2273" i="12"/>
  <c r="E2273" i="12" s="1"/>
  <c r="F2274" i="12"/>
  <c r="D2274" i="12" s="1"/>
  <c r="F2275" i="12"/>
  <c r="E2275" i="12" s="1"/>
  <c r="F2276" i="12"/>
  <c r="E2276" i="12" s="1"/>
  <c r="F2277" i="12"/>
  <c r="E2277" i="12" s="1"/>
  <c r="F2278" i="12"/>
  <c r="E2278" i="12" s="1"/>
  <c r="F2279" i="12"/>
  <c r="F2280" i="12"/>
  <c r="F2281" i="12"/>
  <c r="E2281" i="12" s="1"/>
  <c r="F2282" i="12"/>
  <c r="D2282" i="12" s="1"/>
  <c r="F2283" i="12"/>
  <c r="E2283" i="12" s="1"/>
  <c r="F2284" i="12"/>
  <c r="E2284" i="12" s="1"/>
  <c r="F2285" i="12"/>
  <c r="E2285" i="12" s="1"/>
  <c r="F2286" i="12"/>
  <c r="F2287" i="12"/>
  <c r="F2288" i="12"/>
  <c r="F2289" i="12"/>
  <c r="E2289" i="12" s="1"/>
  <c r="F2290" i="12"/>
  <c r="E2290" i="12" s="1"/>
  <c r="F2291" i="12"/>
  <c r="E2291" i="12" s="1"/>
  <c r="F2292" i="12"/>
  <c r="E2292" i="12" s="1"/>
  <c r="F2293" i="12"/>
  <c r="E2293" i="12" s="1"/>
  <c r="F2294" i="12"/>
  <c r="F2295" i="12"/>
  <c r="F2296" i="12"/>
  <c r="E2296" i="12" s="1"/>
  <c r="F2297" i="12"/>
  <c r="F2298" i="12"/>
  <c r="E2298" i="12" s="1"/>
  <c r="F2299" i="12"/>
  <c r="E2299" i="12" s="1"/>
  <c r="F2300" i="12"/>
  <c r="E2300" i="12" s="1"/>
  <c r="F2301" i="12"/>
  <c r="E2301" i="12" s="1"/>
  <c r="F2302" i="12"/>
  <c r="F2303" i="12"/>
  <c r="E2303" i="12" s="1"/>
  <c r="F2304" i="12"/>
  <c r="F2305" i="12"/>
  <c r="F2306" i="12"/>
  <c r="E2306" i="12" s="1"/>
  <c r="F2307" i="12"/>
  <c r="E2307" i="12" s="1"/>
  <c r="F2308" i="12"/>
  <c r="E2308" i="12" s="1"/>
  <c r="F2309" i="12"/>
  <c r="E2309" i="12" s="1"/>
  <c r="F2310" i="12"/>
  <c r="E2310" i="12" s="1"/>
  <c r="F2311" i="12"/>
  <c r="E2311" i="12" s="1"/>
  <c r="F2312" i="12"/>
  <c r="E2312" i="12" s="1"/>
  <c r="F2313" i="12"/>
  <c r="F2314" i="12"/>
  <c r="E2314" i="12" s="1"/>
  <c r="F2315" i="12"/>
  <c r="F2316" i="12"/>
  <c r="D2316" i="12" s="1"/>
  <c r="F2317" i="12"/>
  <c r="E2317" i="12" s="1"/>
  <c r="F2318" i="12"/>
  <c r="F2319" i="12"/>
  <c r="D2319" i="12" s="1"/>
  <c r="F2320" i="12"/>
  <c r="F2321" i="12"/>
  <c r="E2321" i="12" s="1"/>
  <c r="F2322" i="12"/>
  <c r="E2322" i="12" s="1"/>
  <c r="F2323" i="12"/>
  <c r="E2323" i="12" s="1"/>
  <c r="F2324" i="12"/>
  <c r="E2324" i="12" s="1"/>
  <c r="F2325" i="12"/>
  <c r="E2325" i="12" s="1"/>
  <c r="F2326" i="12"/>
  <c r="E2326" i="12" s="1"/>
  <c r="F2327" i="12"/>
  <c r="F2328" i="12"/>
  <c r="F2329" i="12"/>
  <c r="F2330" i="12"/>
  <c r="E2330" i="12" s="1"/>
  <c r="F2331" i="12"/>
  <c r="E2331" i="12" s="1"/>
  <c r="F2332" i="12"/>
  <c r="E2332" i="12" s="1"/>
  <c r="F2333" i="12"/>
  <c r="E2333" i="12" s="1"/>
  <c r="F2334" i="12"/>
  <c r="F2335" i="12"/>
  <c r="F2336" i="12"/>
  <c r="E2336" i="12" s="1"/>
  <c r="F2337" i="12"/>
  <c r="D2337" i="12" s="1"/>
  <c r="F2338" i="12"/>
  <c r="D2338" i="12" s="1"/>
  <c r="F2339" i="12"/>
  <c r="D2339" i="12" s="1"/>
  <c r="F2340" i="12"/>
  <c r="F2341" i="12"/>
  <c r="E2341" i="12" s="1"/>
  <c r="F2342" i="12"/>
  <c r="F2343" i="12"/>
  <c r="F2344" i="12"/>
  <c r="E2344" i="12" s="1"/>
  <c r="F2345" i="12"/>
  <c r="F2346" i="12"/>
  <c r="D2346" i="12" s="1"/>
  <c r="F2347" i="12"/>
  <c r="E2347" i="12" s="1"/>
  <c r="F2348" i="12"/>
  <c r="E2348" i="12" s="1"/>
  <c r="F2349" i="12"/>
  <c r="E2349" i="12" s="1"/>
  <c r="F2350" i="12"/>
  <c r="F2351" i="12"/>
  <c r="F2352" i="12"/>
  <c r="F2353" i="12"/>
  <c r="F2354" i="12"/>
  <c r="E2354" i="12" s="1"/>
  <c r="F2355" i="12"/>
  <c r="F2356" i="12"/>
  <c r="E2356" i="12" s="1"/>
  <c r="F2357" i="12"/>
  <c r="E2357" i="12" s="1"/>
  <c r="F2358" i="12"/>
  <c r="E2358" i="12" s="1"/>
  <c r="F2359" i="12"/>
  <c r="E2359" i="12" s="1"/>
  <c r="F2360" i="12"/>
  <c r="E2360" i="12" s="1"/>
  <c r="F2361" i="12"/>
  <c r="F2362" i="12"/>
  <c r="E2362" i="12" s="1"/>
  <c r="F2363" i="12"/>
  <c r="E2363" i="12" s="1"/>
  <c r="F2364" i="12"/>
  <c r="F2365" i="12"/>
  <c r="E2365" i="12" s="1"/>
  <c r="F2366" i="12"/>
  <c r="F2367" i="12"/>
  <c r="E2367" i="12" s="1"/>
  <c r="F2368" i="12"/>
  <c r="E2368" i="12" s="1"/>
  <c r="F2369" i="12"/>
  <c r="F2370" i="12"/>
  <c r="E2370" i="12" s="1"/>
  <c r="F2371" i="12"/>
  <c r="F2372" i="12"/>
  <c r="E2372" i="12" s="1"/>
  <c r="F2373" i="12"/>
  <c r="E2373" i="12" s="1"/>
  <c r="F2374" i="12"/>
  <c r="E2374" i="12" s="1"/>
  <c r="F2375" i="12"/>
  <c r="F2376" i="12"/>
  <c r="E2376" i="12" s="1"/>
  <c r="F2377" i="12"/>
  <c r="F2378" i="12"/>
  <c r="E2378" i="12" s="1"/>
  <c r="F2379" i="12"/>
  <c r="E2379" i="12" s="1"/>
  <c r="F2380" i="12"/>
  <c r="E2380" i="12" s="1"/>
  <c r="F2381" i="12"/>
  <c r="E2381" i="12" s="1"/>
  <c r="F2382" i="12"/>
  <c r="F2383" i="12"/>
  <c r="F2384" i="12"/>
  <c r="F2385" i="12"/>
  <c r="E2385" i="12" s="1"/>
  <c r="F2386" i="12"/>
  <c r="E2386" i="12" s="1"/>
  <c r="F2387" i="12"/>
  <c r="E2387" i="12" s="1"/>
  <c r="F2388" i="12"/>
  <c r="E2388" i="12" s="1"/>
  <c r="F2389" i="12"/>
  <c r="E2389" i="12" s="1"/>
  <c r="F2390" i="12"/>
  <c r="E2390" i="12" s="1"/>
  <c r="F2391" i="12"/>
  <c r="F2392" i="12"/>
  <c r="E2392" i="12" s="1"/>
  <c r="F2393" i="12"/>
  <c r="F2394" i="12"/>
  <c r="E2394" i="12" s="1"/>
  <c r="F2395" i="12"/>
  <c r="E2395" i="12" s="1"/>
  <c r="F2396" i="12"/>
  <c r="E2396" i="12" s="1"/>
  <c r="F2397" i="12"/>
  <c r="E2397" i="12" s="1"/>
  <c r="F2398" i="12"/>
  <c r="F2399" i="12"/>
  <c r="D2399" i="12" s="1"/>
  <c r="F2400" i="12"/>
  <c r="E2400" i="12" s="1"/>
  <c r="F2401" i="12"/>
  <c r="F2402" i="12"/>
  <c r="E2402" i="12" s="1"/>
  <c r="F2403" i="12"/>
  <c r="F2404" i="12"/>
  <c r="E2404" i="12" s="1"/>
  <c r="F2405" i="12"/>
  <c r="E2405" i="12" s="1"/>
  <c r="F2406" i="12"/>
  <c r="E2406" i="12" s="1"/>
  <c r="F2407" i="12"/>
  <c r="F2408" i="12"/>
  <c r="F2409" i="12"/>
  <c r="F2410" i="12"/>
  <c r="D2410" i="12" s="1"/>
  <c r="F2411" i="12"/>
  <c r="E2411" i="12" s="1"/>
  <c r="F2412" i="12"/>
  <c r="E2412" i="12" s="1"/>
  <c r="F2413" i="12"/>
  <c r="E2413" i="12" s="1"/>
  <c r="F2414" i="12"/>
  <c r="F2415" i="12"/>
  <c r="E2415" i="12" s="1"/>
  <c r="F2416" i="12"/>
  <c r="F2417" i="12"/>
  <c r="F2418" i="12"/>
  <c r="E2418" i="12" s="1"/>
  <c r="F2419" i="12"/>
  <c r="F2420" i="12"/>
  <c r="E2420" i="12" s="1"/>
  <c r="F2421" i="12"/>
  <c r="E2421" i="12" s="1"/>
  <c r="F2422" i="12"/>
  <c r="E2422" i="12" s="1"/>
  <c r="F2423" i="12"/>
  <c r="E2423" i="12" s="1"/>
  <c r="F2424" i="12"/>
  <c r="D2424" i="12" s="1"/>
  <c r="F2425" i="12"/>
  <c r="E2425" i="12" s="1"/>
  <c r="F2426" i="12"/>
  <c r="E2426" i="12" s="1"/>
  <c r="F2427" i="12"/>
  <c r="E2427" i="12" s="1"/>
  <c r="F2428" i="12"/>
  <c r="E2428" i="12" s="1"/>
  <c r="F2429" i="12"/>
  <c r="E2429" i="12" s="1"/>
  <c r="F2430" i="12"/>
  <c r="D2430" i="12" s="1"/>
  <c r="F2431" i="12"/>
  <c r="F2432" i="12"/>
  <c r="F2433" i="12"/>
  <c r="E2433" i="12" s="1"/>
  <c r="F2434" i="12"/>
  <c r="E2434" i="12" s="1"/>
  <c r="F2435" i="12"/>
  <c r="E2435" i="12" s="1"/>
  <c r="F2436" i="12"/>
  <c r="E2436" i="12" s="1"/>
  <c r="F2437" i="12"/>
  <c r="E2437" i="12" s="1"/>
  <c r="F2438" i="12"/>
  <c r="F2439" i="12"/>
  <c r="F2440" i="12"/>
  <c r="E2440" i="12" s="1"/>
  <c r="F2441" i="12"/>
  <c r="D2441" i="12" s="1"/>
  <c r="F2442" i="12"/>
  <c r="E2442" i="12" s="1"/>
  <c r="F2443" i="12"/>
  <c r="E2443" i="12" s="1"/>
  <c r="F2444" i="12"/>
  <c r="E2444" i="12" s="1"/>
  <c r="F2445" i="12"/>
  <c r="E2445" i="12" s="1"/>
  <c r="F2446" i="12"/>
  <c r="D2446" i="12" s="1"/>
  <c r="F2447" i="12"/>
  <c r="F2448" i="12"/>
  <c r="F2449" i="12"/>
  <c r="F2450" i="12"/>
  <c r="E2450" i="12" s="1"/>
  <c r="F2451" i="12"/>
  <c r="E2451" i="12" s="1"/>
  <c r="F2452" i="12"/>
  <c r="F2453" i="12"/>
  <c r="E2453" i="12" s="1"/>
  <c r="F2454" i="12"/>
  <c r="F2455" i="12"/>
  <c r="F2456" i="12"/>
  <c r="F2457" i="12"/>
  <c r="E2457" i="12" s="1"/>
  <c r="F2458" i="12"/>
  <c r="E2458" i="12" s="1"/>
  <c r="F2459" i="12"/>
  <c r="E2459" i="12" s="1"/>
  <c r="F2460" i="12"/>
  <c r="F2461" i="12"/>
  <c r="E2461" i="12" s="1"/>
  <c r="F2462" i="12"/>
  <c r="F2463" i="12"/>
  <c r="F2464" i="12"/>
  <c r="F2465" i="12"/>
  <c r="E2465" i="12" s="1"/>
  <c r="F2466" i="12"/>
  <c r="E2466" i="12" s="1"/>
  <c r="F2467" i="12"/>
  <c r="E2467" i="12" s="1"/>
  <c r="F2468" i="12"/>
  <c r="E2468" i="12" s="1"/>
  <c r="F2469" i="12"/>
  <c r="E2469" i="12" s="1"/>
  <c r="F2470" i="12"/>
  <c r="F2471" i="12"/>
  <c r="F2472" i="12"/>
  <c r="E2472" i="12" s="1"/>
  <c r="F2473" i="12"/>
  <c r="E2473" i="12" s="1"/>
  <c r="F2474" i="12"/>
  <c r="D2474" i="12" s="1"/>
  <c r="F2475" i="12"/>
  <c r="E2475" i="12" s="1"/>
  <c r="F2476" i="12"/>
  <c r="D2476" i="12" s="1"/>
  <c r="F2477" i="12"/>
  <c r="E2477" i="12" s="1"/>
  <c r="F2478" i="12"/>
  <c r="F2479" i="12"/>
  <c r="E2479" i="12" s="1"/>
  <c r="F2480" i="12"/>
  <c r="E2480" i="12" s="1"/>
  <c r="F2481" i="12"/>
  <c r="F2482" i="12"/>
  <c r="E2482" i="12" s="1"/>
  <c r="F2483" i="12"/>
  <c r="E2483" i="12" s="1"/>
  <c r="F2484" i="12"/>
  <c r="E2484" i="12" s="1"/>
  <c r="F2485" i="12"/>
  <c r="E2485" i="12" s="1"/>
  <c r="F2486" i="12"/>
  <c r="E2486" i="12" s="1"/>
  <c r="F2487" i="12"/>
  <c r="F2488" i="12"/>
  <c r="E2488" i="12" s="1"/>
  <c r="F2489" i="12"/>
  <c r="F2490" i="12"/>
  <c r="E2490" i="12" s="1"/>
  <c r="F2491" i="12"/>
  <c r="E2491" i="12" s="1"/>
  <c r="F2492" i="12"/>
  <c r="E2492" i="12" s="1"/>
  <c r="F2493" i="12"/>
  <c r="E2493" i="12" s="1"/>
  <c r="F2494" i="12"/>
  <c r="F2495" i="12"/>
  <c r="F2496" i="12"/>
  <c r="E2496" i="12" s="1"/>
  <c r="F2497" i="12"/>
  <c r="F2498" i="12"/>
  <c r="E2498" i="12" s="1"/>
  <c r="F2499" i="12"/>
  <c r="D2499" i="12" s="1"/>
  <c r="F2500" i="12"/>
  <c r="D2500" i="12" s="1"/>
  <c r="F2501" i="12"/>
  <c r="E2501" i="12" s="1"/>
  <c r="F2502" i="12"/>
  <c r="E2502" i="12" s="1"/>
  <c r="F2503" i="12"/>
  <c r="F2504" i="12"/>
  <c r="F2505" i="12"/>
  <c r="D2505" i="12" s="1"/>
  <c r="F2506" i="12"/>
  <c r="E2506" i="12" s="1"/>
  <c r="F2507" i="12"/>
  <c r="F2508" i="12"/>
  <c r="D2508" i="12" s="1"/>
  <c r="F2509" i="12"/>
  <c r="E2509" i="12" s="1"/>
  <c r="F2510" i="12"/>
  <c r="D2510" i="12" s="1"/>
  <c r="F2511" i="12"/>
  <c r="F2512" i="12"/>
  <c r="F2513" i="12"/>
  <c r="F2514" i="12"/>
  <c r="E2514" i="12" s="1"/>
  <c r="F2515" i="12"/>
  <c r="E2515" i="12" s="1"/>
  <c r="F2516" i="12"/>
  <c r="F2517" i="12"/>
  <c r="E2517" i="12" s="1"/>
  <c r="F2518" i="12"/>
  <c r="D2518" i="12" s="1"/>
  <c r="F2519" i="12"/>
  <c r="F2520" i="12"/>
  <c r="E2520" i="12" s="1"/>
  <c r="F2521" i="12"/>
  <c r="D2521" i="12" s="1"/>
  <c r="F2522" i="12"/>
  <c r="E2522" i="12" s="1"/>
  <c r="F2523" i="12"/>
  <c r="E2523" i="12" s="1"/>
  <c r="F2524" i="12"/>
  <c r="E2524" i="12" s="1"/>
  <c r="F2525" i="12"/>
  <c r="E2525" i="12" s="1"/>
  <c r="F2526" i="12"/>
  <c r="F2527" i="12"/>
  <c r="F2528" i="12"/>
  <c r="E2528" i="12" s="1"/>
  <c r="F2529" i="12"/>
  <c r="E2529" i="12" s="1"/>
  <c r="F2530" i="12"/>
  <c r="E2530" i="12" s="1"/>
  <c r="F2531" i="12"/>
  <c r="F2532" i="12"/>
  <c r="E2532" i="12" s="1"/>
  <c r="F2533" i="12"/>
  <c r="E2533" i="12" s="1"/>
  <c r="F2534" i="12"/>
  <c r="E2534" i="12" s="1"/>
  <c r="F2535" i="12"/>
  <c r="E2535" i="12" s="1"/>
  <c r="F2536" i="12"/>
  <c r="F2537" i="12"/>
  <c r="E2537" i="12" s="1"/>
  <c r="F2538" i="12"/>
  <c r="D2538" i="12" s="1"/>
  <c r="F2539" i="12"/>
  <c r="E2539" i="12" s="1"/>
  <c r="F2540" i="12"/>
  <c r="E2540" i="12" s="1"/>
  <c r="F2541" i="12"/>
  <c r="E2541" i="12" s="1"/>
  <c r="F2542" i="12"/>
  <c r="F2543" i="12"/>
  <c r="D2543" i="12" s="1"/>
  <c r="F2544" i="12"/>
  <c r="F2545" i="12"/>
  <c r="E2545" i="12" s="1"/>
  <c r="F2546" i="12"/>
  <c r="F2547" i="12"/>
  <c r="E2547" i="12" s="1"/>
  <c r="F2548" i="12"/>
  <c r="E2548" i="12" s="1"/>
  <c r="F2549" i="12"/>
  <c r="E2549" i="12" s="1"/>
  <c r="F2550" i="12"/>
  <c r="E2550" i="12" s="1"/>
  <c r="F2551" i="12"/>
  <c r="F2552" i="12"/>
  <c r="E2552" i="12" s="1"/>
  <c r="F2553" i="12"/>
  <c r="E2553" i="12" s="1"/>
  <c r="F2554" i="12"/>
  <c r="E2554" i="12" s="1"/>
  <c r="F2555" i="12"/>
  <c r="E2555" i="12" s="1"/>
  <c r="F2556" i="12"/>
  <c r="E2556" i="12" s="1"/>
  <c r="F2557" i="12"/>
  <c r="E2557" i="12" s="1"/>
  <c r="F2558" i="12"/>
  <c r="F2559" i="12"/>
  <c r="F2560" i="12"/>
  <c r="E2560" i="12" s="1"/>
  <c r="F2561" i="12"/>
  <c r="E2561" i="12" s="1"/>
  <c r="F2562" i="12"/>
  <c r="F2563" i="12"/>
  <c r="E2563" i="12" s="1"/>
  <c r="F2564" i="12"/>
  <c r="E2564" i="12" s="1"/>
  <c r="F2565" i="12"/>
  <c r="E2565" i="12" s="1"/>
  <c r="F2566" i="12"/>
  <c r="E2566" i="12" s="1"/>
  <c r="F2567" i="12"/>
  <c r="F2568" i="12"/>
  <c r="F2569" i="12"/>
  <c r="F2570" i="12"/>
  <c r="F2571" i="12"/>
  <c r="D2571" i="12" s="1"/>
  <c r="F2572" i="12"/>
  <c r="E2572" i="12" s="1"/>
  <c r="F2573" i="12"/>
  <c r="E2573" i="12" s="1"/>
  <c r="F2574" i="12"/>
  <c r="F2575" i="12"/>
  <c r="F2576" i="12"/>
  <c r="F2577" i="12"/>
  <c r="E2577" i="12" s="1"/>
  <c r="F2578" i="12"/>
  <c r="E2578" i="12" s="1"/>
  <c r="F2579" i="12"/>
  <c r="F2580" i="12"/>
  <c r="E2580" i="12" s="1"/>
  <c r="F2581" i="12"/>
  <c r="E2581" i="12" s="1"/>
  <c r="F2582" i="12"/>
  <c r="F2583" i="12"/>
  <c r="F2584" i="12"/>
  <c r="E2584" i="12" s="1"/>
  <c r="F2585" i="12"/>
  <c r="E2585" i="12" s="1"/>
  <c r="F2586" i="12"/>
  <c r="E2586" i="12" s="1"/>
  <c r="F2587" i="12"/>
  <c r="F2588" i="12"/>
  <c r="E2588" i="12" s="1"/>
  <c r="F2589" i="12"/>
  <c r="E2589" i="12" s="1"/>
  <c r="F2590" i="12"/>
  <c r="D2590" i="12" s="1"/>
  <c r="F2591" i="12"/>
  <c r="E2591" i="12" s="1"/>
  <c r="F2592" i="12"/>
  <c r="E2592" i="12" s="1"/>
  <c r="F2593" i="12"/>
  <c r="E2593" i="12" s="1"/>
  <c r="F2594" i="12"/>
  <c r="E2594" i="12" s="1"/>
  <c r="F2595" i="12"/>
  <c r="E2595" i="12" s="1"/>
  <c r="F2596" i="12"/>
  <c r="E2596" i="12" s="1"/>
  <c r="F2597" i="12"/>
  <c r="E2597" i="12" s="1"/>
  <c r="F2598" i="12"/>
  <c r="D2598" i="12" s="1"/>
  <c r="F2599" i="12"/>
  <c r="E2599" i="12" s="1"/>
  <c r="F2600" i="12"/>
  <c r="F2601" i="12"/>
  <c r="E2601" i="12" s="1"/>
  <c r="F2602" i="12"/>
  <c r="D2602" i="12" s="1"/>
  <c r="F2603" i="12"/>
  <c r="F2604" i="12"/>
  <c r="E2604" i="12" s="1"/>
  <c r="F2605" i="12"/>
  <c r="E2605" i="12" s="1"/>
  <c r="F2606" i="12"/>
  <c r="F2607" i="12"/>
  <c r="F2608" i="12"/>
  <c r="F2609" i="12"/>
  <c r="E2609" i="12" s="1"/>
  <c r="F2610" i="12"/>
  <c r="E2610" i="12" s="1"/>
  <c r="F2611" i="12"/>
  <c r="D2611" i="12" s="1"/>
  <c r="F2612" i="12"/>
  <c r="E2612" i="12" s="1"/>
  <c r="F2613" i="12"/>
  <c r="E2613" i="12" s="1"/>
  <c r="F2614" i="12"/>
  <c r="E2614" i="12" s="1"/>
  <c r="F2615" i="12"/>
  <c r="F2616" i="12"/>
  <c r="E2616" i="12" s="1"/>
  <c r="F2617" i="12"/>
  <c r="E2617" i="12" s="1"/>
  <c r="F2618" i="12"/>
  <c r="E2618" i="12" s="1"/>
  <c r="F2619" i="12"/>
  <c r="E2619" i="12" s="1"/>
  <c r="F2620" i="12"/>
  <c r="E2620" i="12" s="1"/>
  <c r="F2621" i="12"/>
  <c r="E2621" i="12" s="1"/>
  <c r="F2622" i="12"/>
  <c r="F2623" i="12"/>
  <c r="F2624" i="12"/>
  <c r="E2624" i="12" s="1"/>
  <c r="F2625" i="12"/>
  <c r="E2625" i="12" s="1"/>
  <c r="F2626" i="12"/>
  <c r="F2627" i="12"/>
  <c r="E2627" i="12" s="1"/>
  <c r="F2628" i="12"/>
  <c r="E2628" i="12" s="1"/>
  <c r="F2629" i="12"/>
  <c r="E2629" i="12" s="1"/>
  <c r="F2630" i="12"/>
  <c r="E2630" i="12" s="1"/>
  <c r="F2631" i="12"/>
  <c r="F2632" i="12"/>
  <c r="F2633" i="12"/>
  <c r="D2633" i="12" s="1"/>
  <c r="F2634" i="12"/>
  <c r="F2635" i="12"/>
  <c r="E2635" i="12" s="1"/>
  <c r="F2636" i="12"/>
  <c r="E2636" i="12" s="1"/>
  <c r="F2637" i="12"/>
  <c r="E2637" i="12" s="1"/>
  <c r="F2638" i="12"/>
  <c r="F2639" i="12"/>
  <c r="F2640" i="12"/>
  <c r="F2641" i="12"/>
  <c r="E2641" i="12" s="1"/>
  <c r="F2642" i="12"/>
  <c r="E2642" i="12" s="1"/>
  <c r="F2643" i="12"/>
  <c r="E2643" i="12" s="1"/>
  <c r="F2644" i="12"/>
  <c r="F2645" i="12"/>
  <c r="E2645" i="12" s="1"/>
  <c r="F2646" i="12"/>
  <c r="E2646" i="12" s="1"/>
  <c r="F2647" i="12"/>
  <c r="E2647" i="12" s="1"/>
  <c r="F2648" i="12"/>
  <c r="E2648" i="12" s="1"/>
  <c r="F2649" i="12"/>
  <c r="E2649" i="12" s="1"/>
  <c r="F2650" i="12"/>
  <c r="E2650" i="12" s="1"/>
  <c r="F2651" i="12"/>
  <c r="E2651" i="12" s="1"/>
  <c r="F2652" i="12"/>
  <c r="F2653" i="12"/>
  <c r="E2653" i="12" s="1"/>
  <c r="F2654" i="12"/>
  <c r="F2655" i="12"/>
  <c r="E2655" i="12" s="1"/>
  <c r="F2656" i="12"/>
  <c r="E2656" i="12" s="1"/>
  <c r="F2657" i="12"/>
  <c r="E2657" i="12" s="1"/>
  <c r="F2658" i="12"/>
  <c r="E2658" i="12" s="1"/>
  <c r="F2659" i="12"/>
  <c r="E2659" i="12" s="1"/>
  <c r="F2660" i="12"/>
  <c r="E2660" i="12" s="1"/>
  <c r="F2661" i="12"/>
  <c r="E2661" i="12" s="1"/>
  <c r="F2662" i="12"/>
  <c r="E2662" i="12" s="1"/>
  <c r="F2663" i="12"/>
  <c r="F2664" i="12"/>
  <c r="F2665" i="12"/>
  <c r="F2666" i="12"/>
  <c r="D2666" i="12" s="1"/>
  <c r="F2667" i="12"/>
  <c r="F2668" i="12"/>
  <c r="D2668" i="12" s="1"/>
  <c r="F2669" i="12"/>
  <c r="E2669" i="12" s="1"/>
  <c r="F2670" i="12"/>
  <c r="E2670" i="12" s="1"/>
  <c r="F2671" i="12"/>
  <c r="F2672" i="12"/>
  <c r="F2673" i="12"/>
  <c r="F2674" i="12"/>
  <c r="E2674" i="12" s="1"/>
  <c r="F2675" i="12"/>
  <c r="E2675" i="12" s="1"/>
  <c r="F2676" i="12"/>
  <c r="F2677" i="12"/>
  <c r="E2677" i="12" s="1"/>
  <c r="F2678" i="12"/>
  <c r="E2678" i="12" s="1"/>
  <c r="F2679" i="12"/>
  <c r="F2680" i="12"/>
  <c r="E2680" i="12" s="1"/>
  <c r="F2681" i="12"/>
  <c r="E2681" i="12" s="1"/>
  <c r="F2682" i="12"/>
  <c r="E2682" i="12" s="1"/>
  <c r="F2683" i="12"/>
  <c r="E2683" i="12" s="1"/>
  <c r="F2684" i="12"/>
  <c r="D2684" i="12" s="1"/>
  <c r="F2685" i="12"/>
  <c r="E2685" i="12" s="1"/>
  <c r="F2686" i="12"/>
  <c r="F2687" i="12"/>
  <c r="F2688" i="12"/>
  <c r="F2689" i="12"/>
  <c r="E2689" i="12" s="1"/>
  <c r="F2690" i="12"/>
  <c r="E2690" i="12" s="1"/>
  <c r="F2691" i="12"/>
  <c r="F2692" i="12"/>
  <c r="E2692" i="12" s="1"/>
  <c r="F2693" i="12"/>
  <c r="E2693" i="12" s="1"/>
  <c r="F2694" i="12"/>
  <c r="E2694" i="12" s="1"/>
  <c r="F2695" i="12"/>
  <c r="F2696" i="12"/>
  <c r="F2697" i="12"/>
  <c r="F2698" i="12"/>
  <c r="E2698" i="12" s="1"/>
  <c r="F2699" i="12"/>
  <c r="F2700" i="12"/>
  <c r="E2700" i="12" s="1"/>
  <c r="F2701" i="12"/>
  <c r="D2701" i="12" s="1"/>
  <c r="F2702" i="12"/>
  <c r="E2702" i="12" s="1"/>
  <c r="F2703" i="12"/>
  <c r="E2703" i="12" s="1"/>
  <c r="F2704" i="12"/>
  <c r="E2704" i="12" s="1"/>
  <c r="F2705" i="12"/>
  <c r="F2706" i="12"/>
  <c r="E2706" i="12" s="1"/>
  <c r="F2707" i="12"/>
  <c r="E2707" i="12" s="1"/>
  <c r="F2708" i="12"/>
  <c r="F2709" i="12"/>
  <c r="D2709" i="12" s="1"/>
  <c r="F2710" i="12"/>
  <c r="F2711" i="12"/>
  <c r="E2711" i="12" s="1"/>
  <c r="F2712" i="12"/>
  <c r="E2712" i="12" s="1"/>
  <c r="F2713" i="12"/>
  <c r="E2713" i="12" s="1"/>
  <c r="F2714" i="12"/>
  <c r="E2714" i="12" s="1"/>
  <c r="F2715" i="12"/>
  <c r="E2715" i="12" s="1"/>
  <c r="F2716" i="12"/>
  <c r="F2717" i="12"/>
  <c r="F2718" i="12"/>
  <c r="E2718" i="12" s="1"/>
  <c r="F2719" i="12"/>
  <c r="F2720" i="12"/>
  <c r="F2721" i="12"/>
  <c r="E2721" i="12" s="1"/>
  <c r="F2722" i="12"/>
  <c r="E2722" i="12" s="1"/>
  <c r="F2723" i="12"/>
  <c r="E2723" i="12" s="1"/>
  <c r="F2724" i="12"/>
  <c r="E2724" i="12" s="1"/>
  <c r="F2725" i="12"/>
  <c r="D2725" i="12" s="1"/>
  <c r="F2726" i="12"/>
  <c r="F2727" i="12"/>
  <c r="F2728" i="12"/>
  <c r="E2728" i="12" s="1"/>
  <c r="F2729" i="12"/>
  <c r="D2729" i="12" s="1"/>
  <c r="F2730" i="12"/>
  <c r="E2730" i="12" s="1"/>
  <c r="F2731" i="12"/>
  <c r="E2731" i="12" s="1"/>
  <c r="F2732" i="12"/>
  <c r="F2733" i="12"/>
  <c r="F2734" i="12"/>
  <c r="F2735" i="12"/>
  <c r="F2736" i="12"/>
  <c r="E2736" i="12" s="1"/>
  <c r="F2737" i="12"/>
  <c r="E2737" i="12" s="1"/>
  <c r="F2738" i="12"/>
  <c r="E2738" i="12" s="1"/>
  <c r="F2739" i="12"/>
  <c r="E2739" i="12" s="1"/>
  <c r="F2740" i="12"/>
  <c r="F2741" i="12"/>
  <c r="F2742" i="12"/>
  <c r="E2742" i="12" s="1"/>
  <c r="F2743" i="12"/>
  <c r="F2744" i="12"/>
  <c r="E2744" i="12" s="1"/>
  <c r="F2745" i="12"/>
  <c r="E2745" i="12" s="1"/>
  <c r="F2746" i="12"/>
  <c r="E2746" i="12" s="1"/>
  <c r="F2747" i="12"/>
  <c r="E2747" i="12" s="1"/>
  <c r="F2748" i="12"/>
  <c r="E2748" i="12" s="1"/>
  <c r="F2749" i="12"/>
  <c r="D2749" i="12" s="1"/>
  <c r="F2750" i="12"/>
  <c r="F2751" i="12"/>
  <c r="F2752" i="12"/>
  <c r="F2753" i="12"/>
  <c r="F2754" i="12"/>
  <c r="F2755" i="12"/>
  <c r="E2755" i="12" s="1"/>
  <c r="F2756" i="12"/>
  <c r="E2756" i="12" s="1"/>
  <c r="F2757" i="12"/>
  <c r="F2758" i="12"/>
  <c r="E2758" i="12" s="1"/>
  <c r="F2759" i="12"/>
  <c r="E2759" i="12" s="1"/>
  <c r="F2760" i="12"/>
  <c r="F2761" i="12"/>
  <c r="E2761" i="12" s="1"/>
  <c r="F2762" i="12"/>
  <c r="E2762" i="12" s="1"/>
  <c r="F2763" i="12"/>
  <c r="E2763" i="12" s="1"/>
  <c r="F2764" i="12"/>
  <c r="E2764" i="12" s="1"/>
  <c r="F2765" i="12"/>
  <c r="D2765" i="12" s="1"/>
  <c r="F2766" i="12"/>
  <c r="E2766" i="12" s="1"/>
  <c r="F2767" i="12"/>
  <c r="E2767" i="12" s="1"/>
  <c r="F2768" i="12"/>
  <c r="E2768" i="12" s="1"/>
  <c r="F2769" i="12"/>
  <c r="E2769" i="12" s="1"/>
  <c r="F2770" i="12"/>
  <c r="E2770" i="12" s="1"/>
  <c r="F2771" i="12"/>
  <c r="F2772" i="12"/>
  <c r="E2772" i="12" s="1"/>
  <c r="F2773" i="12"/>
  <c r="D2773" i="12" s="1"/>
  <c r="F2774" i="12"/>
  <c r="F2775" i="12"/>
  <c r="F2776" i="12"/>
  <c r="E2776" i="12" s="1"/>
  <c r="F2777" i="12"/>
  <c r="E2777" i="12" s="1"/>
  <c r="F2778" i="12"/>
  <c r="E2778" i="12" s="1"/>
  <c r="F2779" i="12"/>
  <c r="F2780" i="12"/>
  <c r="E2780" i="12" s="1"/>
  <c r="F2781" i="12"/>
  <c r="F2782" i="12"/>
  <c r="E2782" i="12" s="1"/>
  <c r="F2783" i="12"/>
  <c r="E2783" i="12" s="1"/>
  <c r="F2784" i="12"/>
  <c r="F2785" i="12"/>
  <c r="F2786" i="12"/>
  <c r="E2786" i="12" s="1"/>
  <c r="F2787" i="12"/>
  <c r="E2787" i="12" s="1"/>
  <c r="F2788" i="12"/>
  <c r="E2788" i="12" s="1"/>
  <c r="F2789" i="12"/>
  <c r="D2789" i="12" s="1"/>
  <c r="F2790" i="12"/>
  <c r="F2791" i="12"/>
  <c r="D2791" i="12" s="1"/>
  <c r="F2792" i="12"/>
  <c r="F2793" i="12"/>
  <c r="E2793" i="12" s="1"/>
  <c r="F2794" i="12"/>
  <c r="E2794" i="12" s="1"/>
  <c r="F2795" i="12"/>
  <c r="F2796" i="12"/>
  <c r="E2796" i="12" s="1"/>
  <c r="F2797" i="12"/>
  <c r="F2798" i="12"/>
  <c r="F2799" i="12"/>
  <c r="F2800" i="12"/>
  <c r="E2800" i="12" s="1"/>
  <c r="F2801" i="12"/>
  <c r="E2801" i="12" s="1"/>
  <c r="F2802" i="12"/>
  <c r="E2802" i="12" s="1"/>
  <c r="F2803" i="12"/>
  <c r="D2803" i="12" s="1"/>
  <c r="F2804" i="12"/>
  <c r="E2804" i="12" s="1"/>
  <c r="F2805" i="12"/>
  <c r="F2806" i="12"/>
  <c r="E2806" i="12" s="1"/>
  <c r="F2807" i="12"/>
  <c r="F2808" i="12"/>
  <c r="F2809" i="12"/>
  <c r="E2809" i="12" s="1"/>
  <c r="F2810" i="12"/>
  <c r="E2810" i="12" s="1"/>
  <c r="F2811" i="12"/>
  <c r="E2811" i="12" s="1"/>
  <c r="F2812" i="12"/>
  <c r="E2812" i="12" s="1"/>
  <c r="F2813" i="12"/>
  <c r="D2813" i="12" s="1"/>
  <c r="F2814" i="12"/>
  <c r="D2814" i="12" s="1"/>
  <c r="F2815" i="12"/>
  <c r="E2815" i="12" s="1"/>
  <c r="F2816" i="12"/>
  <c r="E2816" i="12" s="1"/>
  <c r="F2817" i="12"/>
  <c r="F2818" i="12"/>
  <c r="F2819" i="12"/>
  <c r="E2819" i="12" s="1"/>
  <c r="F2820" i="12"/>
  <c r="E2820" i="12" s="1"/>
  <c r="F2821" i="12"/>
  <c r="F2822" i="12"/>
  <c r="E2822" i="12" s="1"/>
  <c r="F2823" i="12"/>
  <c r="E2823" i="12" s="1"/>
  <c r="F2824" i="12"/>
  <c r="E2824" i="12" s="1"/>
  <c r="F2825" i="12"/>
  <c r="F2826" i="12"/>
  <c r="F2827" i="12"/>
  <c r="D2827" i="12" s="1"/>
  <c r="F2828" i="12"/>
  <c r="E2828" i="12" s="1"/>
  <c r="F2829" i="12"/>
  <c r="D2829" i="12" s="1"/>
  <c r="F2830" i="12"/>
  <c r="F2831" i="12"/>
  <c r="F2832" i="12"/>
  <c r="E2832" i="12" s="1"/>
  <c r="F2833" i="12"/>
  <c r="E2833" i="12" s="1"/>
  <c r="F2834" i="12"/>
  <c r="E2834" i="12" s="1"/>
  <c r="F2835" i="12"/>
  <c r="E2835" i="12" s="1"/>
  <c r="F2836" i="12"/>
  <c r="E2836" i="12" s="1"/>
  <c r="F2837" i="12"/>
  <c r="D2837" i="12" s="1"/>
  <c r="F2838" i="12"/>
  <c r="E2838" i="12" s="1"/>
  <c r="F2839" i="12"/>
  <c r="E2839" i="12" s="1"/>
  <c r="F2840" i="12"/>
  <c r="F2841" i="12"/>
  <c r="E2841" i="12" s="1"/>
  <c r="F2842" i="12"/>
  <c r="E2842" i="12" s="1"/>
  <c r="F2843" i="12"/>
  <c r="D2843" i="12" s="1"/>
  <c r="F2844" i="12"/>
  <c r="E2844" i="12" s="1"/>
  <c r="F2845" i="12"/>
  <c r="F2846" i="12"/>
  <c r="F2847" i="12"/>
  <c r="F2848" i="12"/>
  <c r="E2848" i="12" s="1"/>
  <c r="F2849" i="12"/>
  <c r="F2850" i="12"/>
  <c r="E2850" i="12" s="1"/>
  <c r="F2851" i="12"/>
  <c r="E2851" i="12" s="1"/>
  <c r="F2852" i="12"/>
  <c r="E2852" i="12" s="1"/>
  <c r="F2853" i="12"/>
  <c r="D2853" i="12" s="1"/>
  <c r="F2854" i="12"/>
  <c r="E2854" i="12" s="1"/>
  <c r="F2855" i="12"/>
  <c r="F2856" i="12"/>
  <c r="E2856" i="12" s="1"/>
  <c r="F2857" i="12"/>
  <c r="F2858" i="12"/>
  <c r="E2858" i="12" s="1"/>
  <c r="F2859" i="12"/>
  <c r="E2859" i="12" s="1"/>
  <c r="F2860" i="12"/>
  <c r="E2860" i="12" s="1"/>
  <c r="F2861" i="12"/>
  <c r="F2862" i="12"/>
  <c r="E2862" i="12" s="1"/>
  <c r="F2863" i="12"/>
  <c r="F2864" i="12"/>
  <c r="E2864" i="12" s="1"/>
  <c r="F2865" i="12"/>
  <c r="E2865" i="12" s="1"/>
  <c r="F2866" i="12"/>
  <c r="E2866" i="12" s="1"/>
  <c r="F2867" i="12"/>
  <c r="E2867" i="12" s="1"/>
  <c r="F2868" i="12"/>
  <c r="E2868" i="12" s="1"/>
  <c r="F2869" i="12"/>
  <c r="F2870" i="12"/>
  <c r="E2870" i="12" s="1"/>
  <c r="F2871" i="12"/>
  <c r="E2871" i="12" s="1"/>
  <c r="F2872" i="12"/>
  <c r="F2873" i="12"/>
  <c r="F2874" i="12"/>
  <c r="E2874" i="12" s="1"/>
  <c r="F2875" i="12"/>
  <c r="E2875" i="12" s="1"/>
  <c r="F2876" i="12"/>
  <c r="F2877" i="12"/>
  <c r="D2877" i="12" s="1"/>
  <c r="F2878" i="12"/>
  <c r="E2878" i="12" s="1"/>
  <c r="F2879" i="12"/>
  <c r="E2879" i="12" s="1"/>
  <c r="F2880" i="12"/>
  <c r="F2881" i="12"/>
  <c r="E2881" i="12" s="1"/>
  <c r="F2882" i="12"/>
  <c r="E2882" i="12" s="1"/>
  <c r="F2883" i="12"/>
  <c r="E2883" i="12" s="1"/>
  <c r="F2884" i="12"/>
  <c r="E2884" i="12" s="1"/>
  <c r="F2885" i="12"/>
  <c r="F2886" i="12"/>
  <c r="E2886" i="12" s="1"/>
  <c r="F2887" i="12"/>
  <c r="F2888" i="12"/>
  <c r="E2888" i="12" s="1"/>
  <c r="F2889" i="12"/>
  <c r="E2889" i="12" s="1"/>
  <c r="F2890" i="12"/>
  <c r="E2890" i="12" s="1"/>
  <c r="F2891" i="12"/>
  <c r="E2891" i="12" s="1"/>
  <c r="F2892" i="12"/>
  <c r="E2892" i="12" s="1"/>
  <c r="F2893" i="12"/>
  <c r="D2893" i="12" s="1"/>
  <c r="F2894" i="12"/>
  <c r="E2894" i="12" s="1"/>
  <c r="F2895" i="12"/>
  <c r="E2895" i="12" s="1"/>
  <c r="F2896" i="12"/>
  <c r="E2896" i="12" s="1"/>
  <c r="F2897" i="12"/>
  <c r="E2897" i="12" s="1"/>
  <c r="F2898" i="12"/>
  <c r="E2898" i="12" s="1"/>
  <c r="F2899" i="12"/>
  <c r="E2899" i="12" s="1"/>
  <c r="F2900" i="12"/>
  <c r="E2900" i="12" s="1"/>
  <c r="F2901" i="12"/>
  <c r="D2901" i="12" s="1"/>
  <c r="F2902" i="12"/>
  <c r="E2902" i="12" s="1"/>
  <c r="F2903" i="12"/>
  <c r="F2904" i="12"/>
  <c r="F2905" i="12"/>
  <c r="F2906" i="12"/>
  <c r="E2906" i="12" s="1"/>
  <c r="F2907" i="12"/>
  <c r="E2907" i="12" s="1"/>
  <c r="F2908" i="12"/>
  <c r="E2908" i="12" s="1"/>
  <c r="F2909" i="12"/>
  <c r="D2909" i="12" s="1"/>
  <c r="F2910" i="12"/>
  <c r="F2911" i="12"/>
  <c r="F2912" i="12"/>
  <c r="F2913" i="12"/>
  <c r="E2913" i="12" s="1"/>
  <c r="F2914" i="12"/>
  <c r="E2914" i="12" s="1"/>
  <c r="F2915" i="12"/>
  <c r="E2915" i="12" s="1"/>
  <c r="F2916" i="12"/>
  <c r="E2916" i="12" s="1"/>
  <c r="F2917" i="12"/>
  <c r="F2918" i="12"/>
  <c r="E2918" i="12" s="1"/>
  <c r="F2919" i="12"/>
  <c r="F2920" i="12"/>
  <c r="E2920" i="12" s="1"/>
  <c r="F2921" i="12"/>
  <c r="E2921" i="12" s="1"/>
  <c r="F2922" i="12"/>
  <c r="E2922" i="12" s="1"/>
  <c r="F2923" i="12"/>
  <c r="E2923" i="12" s="1"/>
  <c r="F2924" i="12"/>
  <c r="E2924" i="12" s="1"/>
  <c r="F2925" i="12"/>
  <c r="F2926" i="12"/>
  <c r="E2926" i="12" s="1"/>
  <c r="F2927" i="12"/>
  <c r="E2927" i="12" s="1"/>
  <c r="F2928" i="12"/>
  <c r="F2929" i="12"/>
  <c r="E2929" i="12" s="1"/>
  <c r="F2930" i="12"/>
  <c r="E2930" i="12" s="1"/>
  <c r="F2931" i="12"/>
  <c r="E2931" i="12" s="1"/>
  <c r="F2932" i="12"/>
  <c r="E2932" i="12" s="1"/>
  <c r="F2933" i="12"/>
  <c r="D2933" i="12" s="1"/>
  <c r="F2934" i="12"/>
  <c r="E2934" i="12" s="1"/>
  <c r="F2935" i="12"/>
  <c r="E2935" i="12" s="1"/>
  <c r="F2936" i="12"/>
  <c r="E2936" i="12" s="1"/>
  <c r="F2937" i="12"/>
  <c r="F2938" i="12"/>
  <c r="E2938" i="12" s="1"/>
  <c r="F2939" i="12"/>
  <c r="E2939" i="12" s="1"/>
  <c r="F2940" i="12"/>
  <c r="E2940" i="12" s="1"/>
  <c r="F2941" i="12"/>
  <c r="D2941" i="12" s="1"/>
  <c r="F2942" i="12"/>
  <c r="F2943" i="12"/>
  <c r="F2944" i="12"/>
  <c r="E2944" i="12" s="1"/>
  <c r="F2945" i="12"/>
  <c r="F2946" i="12"/>
  <c r="E2946" i="12" s="1"/>
  <c r="F2947" i="12"/>
  <c r="E2947" i="12" s="1"/>
  <c r="F2948" i="12"/>
  <c r="E2948" i="12" s="1"/>
  <c r="F2949" i="12"/>
  <c r="F2950" i="12"/>
  <c r="E2950" i="12" s="1"/>
  <c r="F2951" i="12"/>
  <c r="E2951" i="12" s="1"/>
  <c r="F2952" i="12"/>
  <c r="E2952" i="12" s="1"/>
  <c r="F2953" i="12"/>
  <c r="E2953" i="12" s="1"/>
  <c r="F2954" i="12"/>
  <c r="E2954" i="12" s="1"/>
  <c r="F2955" i="12"/>
  <c r="E2955" i="12" s="1"/>
  <c r="F2956" i="12"/>
  <c r="E2956" i="12" s="1"/>
  <c r="F2957" i="12"/>
  <c r="F2958" i="12"/>
  <c r="F2959" i="12"/>
  <c r="F2960" i="12"/>
  <c r="E2960" i="12" s="1"/>
  <c r="F2961" i="12"/>
  <c r="E2961" i="12" s="1"/>
  <c r="F2962" i="12"/>
  <c r="E2962" i="12" s="1"/>
  <c r="F2963" i="12"/>
  <c r="E2963" i="12" s="1"/>
  <c r="F2964" i="12"/>
  <c r="E2964" i="12" s="1"/>
  <c r="F2965" i="12"/>
  <c r="D2965" i="12" s="1"/>
  <c r="F2966" i="12"/>
  <c r="F2967" i="12"/>
  <c r="F2968" i="12"/>
  <c r="E2968" i="12" s="1"/>
  <c r="F2969" i="12"/>
  <c r="F2970" i="12"/>
  <c r="E2970" i="12" s="1"/>
  <c r="F2971" i="12"/>
  <c r="E2971" i="12" s="1"/>
  <c r="F2972" i="12"/>
  <c r="E2972" i="12" s="1"/>
  <c r="F2973" i="12"/>
  <c r="D2973" i="12" s="1"/>
  <c r="F2974" i="12"/>
  <c r="E2974" i="12" s="1"/>
  <c r="F2975" i="12"/>
  <c r="F2976" i="12"/>
  <c r="E2976" i="12" s="1"/>
  <c r="F2977" i="12"/>
  <c r="F2978" i="12"/>
  <c r="E2978" i="12" s="1"/>
  <c r="F2979" i="12"/>
  <c r="E2979" i="12" s="1"/>
  <c r="F2980" i="12"/>
  <c r="E2980" i="12" s="1"/>
  <c r="F2981" i="12"/>
  <c r="F2982" i="12"/>
  <c r="F2983" i="12"/>
  <c r="F2984" i="12"/>
  <c r="E2984" i="12" s="1"/>
  <c r="F2985" i="12"/>
  <c r="E2985" i="12" s="1"/>
  <c r="F2986" i="12"/>
  <c r="E2986" i="12" s="1"/>
  <c r="F2987" i="12"/>
  <c r="E2987" i="12" s="1"/>
  <c r="F2988" i="12"/>
  <c r="E2988" i="12" s="1"/>
  <c r="F2989" i="12"/>
  <c r="F2990" i="12"/>
  <c r="F2991" i="12"/>
  <c r="E2991" i="12" s="1"/>
  <c r="F2992" i="12"/>
  <c r="E2992" i="12" s="1"/>
  <c r="F2993" i="12"/>
  <c r="E2993" i="12" s="1"/>
  <c r="F2994" i="12"/>
  <c r="E2994" i="12" s="1"/>
  <c r="F2995" i="12"/>
  <c r="E2995" i="12" s="1"/>
  <c r="F2996" i="12"/>
  <c r="E2996" i="12" s="1"/>
  <c r="F2997" i="12"/>
  <c r="D2997" i="12" s="1"/>
  <c r="F2998" i="12"/>
  <c r="E2998" i="12" s="1"/>
  <c r="F2999" i="12"/>
  <c r="F3000" i="12"/>
  <c r="E3000" i="12" s="1"/>
  <c r="F3001" i="12"/>
  <c r="F3002" i="12"/>
  <c r="E3002" i="12" s="1"/>
  <c r="F3003" i="12"/>
  <c r="E3003" i="12" s="1"/>
  <c r="D250" i="12" l="1"/>
  <c r="D162" i="12"/>
  <c r="D538" i="12"/>
  <c r="D282" i="12"/>
  <c r="D46" i="12"/>
  <c r="D314" i="12"/>
  <c r="E218" i="12"/>
  <c r="D906" i="12"/>
  <c r="D474" i="12"/>
  <c r="D130" i="12"/>
  <c r="D450" i="12"/>
  <c r="D410" i="12"/>
  <c r="E226" i="12"/>
  <c r="D321" i="12"/>
  <c r="D910" i="12"/>
  <c r="D158" i="12"/>
  <c r="D1342" i="12"/>
  <c r="D1182" i="12"/>
  <c r="D1038" i="12"/>
  <c r="D454" i="12"/>
  <c r="D294" i="12"/>
  <c r="D74" i="12"/>
  <c r="E98" i="12"/>
  <c r="D778" i="12"/>
  <c r="D402" i="12"/>
  <c r="D246" i="12"/>
  <c r="E858" i="12"/>
  <c r="E1126" i="12"/>
  <c r="D1662" i="12"/>
  <c r="D374" i="12"/>
  <c r="E730" i="12"/>
  <c r="D706" i="12"/>
  <c r="D1498" i="12"/>
  <c r="D586" i="12"/>
  <c r="D370" i="12"/>
  <c r="E354" i="12"/>
  <c r="D1614" i="12"/>
  <c r="D1006" i="12"/>
  <c r="D366" i="12"/>
  <c r="E1630" i="12"/>
  <c r="E286" i="12"/>
  <c r="D1750" i="12"/>
  <c r="D1566" i="12"/>
  <c r="D1278" i="12"/>
  <c r="D1118" i="12"/>
  <c r="D990" i="12"/>
  <c r="D814" i="12"/>
  <c r="D438" i="12"/>
  <c r="D278" i="12"/>
  <c r="D222" i="12"/>
  <c r="E598" i="12"/>
  <c r="E262" i="12"/>
  <c r="D558" i="12"/>
  <c r="E646" i="12"/>
  <c r="D1246" i="12"/>
  <c r="D318" i="12"/>
  <c r="E590" i="12"/>
  <c r="D1294" i="12"/>
  <c r="D134" i="12"/>
  <c r="D270" i="12"/>
  <c r="E1286" i="12"/>
  <c r="D1454" i="12"/>
  <c r="D1102" i="12"/>
  <c r="E1254" i="12"/>
  <c r="E550" i="12"/>
  <c r="D1862" i="12"/>
  <c r="D446" i="12"/>
  <c r="D1734" i="12"/>
  <c r="D1110" i="12"/>
  <c r="D494" i="12"/>
  <c r="E862" i="12"/>
  <c r="D1230" i="12"/>
  <c r="D1702" i="12"/>
  <c r="D470" i="12"/>
  <c r="D70" i="12"/>
  <c r="E174" i="12"/>
  <c r="D230" i="12"/>
  <c r="E934" i="12"/>
  <c r="D974" i="12"/>
  <c r="D430" i="12"/>
  <c r="D126" i="12"/>
  <c r="D1714" i="12"/>
  <c r="D958" i="12"/>
  <c r="D214" i="12"/>
  <c r="D1390" i="12"/>
  <c r="D1214" i="12"/>
  <c r="D1086" i="12"/>
  <c r="D942" i="12"/>
  <c r="D630" i="12"/>
  <c r="D310" i="12"/>
  <c r="D254" i="12"/>
  <c r="E1174" i="12"/>
  <c r="E798" i="12"/>
  <c r="E526" i="12"/>
  <c r="D1678" i="12"/>
  <c r="D1358" i="12"/>
  <c r="D1190" i="12"/>
  <c r="D1070" i="12"/>
  <c r="D926" i="12"/>
  <c r="D622" i="12"/>
  <c r="D462" i="12"/>
  <c r="D382" i="12"/>
  <c r="D302" i="12"/>
  <c r="D54" i="12"/>
  <c r="E1150" i="12"/>
  <c r="E790" i="12"/>
  <c r="E398" i="12"/>
  <c r="D1618" i="12"/>
  <c r="D1326" i="12"/>
  <c r="D1166" i="12"/>
  <c r="D1022" i="12"/>
  <c r="D566" i="12"/>
  <c r="D238" i="12"/>
  <c r="D142" i="12"/>
  <c r="D38" i="12"/>
  <c r="E702" i="12"/>
  <c r="E350" i="12"/>
  <c r="E78" i="12"/>
  <c r="E1203" i="12"/>
  <c r="D995" i="12"/>
  <c r="E211" i="12"/>
  <c r="D275" i="12"/>
  <c r="D131" i="12"/>
  <c r="E2099" i="12"/>
  <c r="E203" i="12"/>
  <c r="D459" i="12"/>
  <c r="D1003" i="12"/>
  <c r="E232" i="12"/>
  <c r="D2363" i="12"/>
  <c r="E643" i="12"/>
  <c r="D2225" i="12"/>
  <c r="D715" i="12"/>
  <c r="D371" i="12"/>
  <c r="E1355" i="12"/>
  <c r="E1579" i="12"/>
  <c r="D1451" i="12"/>
  <c r="D1291" i="12"/>
  <c r="D1051" i="12"/>
  <c r="D2139" i="12"/>
  <c r="D1419" i="12"/>
  <c r="D1139" i="12"/>
  <c r="D67" i="12"/>
  <c r="E787" i="12"/>
  <c r="E555" i="12"/>
  <c r="D1651" i="12"/>
  <c r="D2083" i="12"/>
  <c r="D635" i="12"/>
  <c r="D435" i="12"/>
  <c r="D1371" i="12"/>
  <c r="E1275" i="12"/>
  <c r="E931" i="12"/>
  <c r="E75" i="12"/>
  <c r="E2973" i="12"/>
  <c r="D1891" i="12"/>
  <c r="D1822" i="12"/>
  <c r="D2742" i="12"/>
  <c r="D1766" i="12"/>
  <c r="D1726" i="12"/>
  <c r="D1606" i="12"/>
  <c r="D2017" i="12"/>
  <c r="D2425" i="12"/>
  <c r="D1401" i="12"/>
  <c r="E393" i="12"/>
  <c r="D1913" i="12"/>
  <c r="D1609" i="12"/>
  <c r="D1897" i="12"/>
  <c r="D2121" i="12"/>
  <c r="D1553" i="12"/>
  <c r="D2761" i="12"/>
  <c r="D2057" i="12"/>
  <c r="D81" i="12"/>
  <c r="E2339" i="12"/>
  <c r="D1794" i="12"/>
  <c r="D1074" i="12"/>
  <c r="E994" i="12"/>
  <c r="D1114" i="12"/>
  <c r="D1026" i="12"/>
  <c r="E1754" i="12"/>
  <c r="D2278" i="12"/>
  <c r="D2022" i="12"/>
  <c r="D1682" i="12"/>
  <c r="D1594" i="12"/>
  <c r="E2997" i="12"/>
  <c r="E1570" i="12"/>
  <c r="D2202" i="12"/>
  <c r="D1978" i="12"/>
  <c r="D1554" i="12"/>
  <c r="D2146" i="12"/>
  <c r="D1950" i="12"/>
  <c r="E2138" i="12"/>
  <c r="D2706" i="12"/>
  <c r="D2586" i="12"/>
  <c r="D2246" i="12"/>
  <c r="D2486" i="12"/>
  <c r="D2870" i="12"/>
  <c r="D2358" i="12"/>
  <c r="D2314" i="12"/>
  <c r="E1838" i="12"/>
  <c r="D2714" i="12"/>
  <c r="D2466" i="12"/>
  <c r="D2258" i="12"/>
  <c r="D1974" i="12"/>
  <c r="D1890" i="12"/>
  <c r="D1758" i="12"/>
  <c r="D1710" i="12"/>
  <c r="D1654" i="12"/>
  <c r="D1598" i="12"/>
  <c r="D1490" i="12"/>
  <c r="D1034" i="12"/>
  <c r="D898" i="12"/>
  <c r="D714" i="12"/>
  <c r="D572" i="12"/>
  <c r="E986" i="12"/>
  <c r="D2946" i="12"/>
  <c r="D2702" i="12"/>
  <c r="D2042" i="12"/>
  <c r="D1930" i="12"/>
  <c r="D1850" i="12"/>
  <c r="D1746" i="12"/>
  <c r="D1694" i="12"/>
  <c r="D1646" i="12"/>
  <c r="D1590" i="12"/>
  <c r="D1354" i="12"/>
  <c r="D1250" i="12"/>
  <c r="D954" i="12"/>
  <c r="D842" i="12"/>
  <c r="D642" i="12"/>
  <c r="D44" i="12"/>
  <c r="E1954" i="12"/>
  <c r="E1434" i="12"/>
  <c r="D2894" i="12"/>
  <c r="D2662" i="12"/>
  <c r="D2362" i="12"/>
  <c r="D2210" i="12"/>
  <c r="D2034" i="12"/>
  <c r="D1922" i="12"/>
  <c r="D1842" i="12"/>
  <c r="D1742" i="12"/>
  <c r="D1686" i="12"/>
  <c r="D1582" i="12"/>
  <c r="D1442" i="12"/>
  <c r="D1346" i="12"/>
  <c r="D1162" i="12"/>
  <c r="D1082" i="12"/>
  <c r="D946" i="12"/>
  <c r="D834" i="12"/>
  <c r="D546" i="12"/>
  <c r="E1946" i="12"/>
  <c r="E1378" i="12"/>
  <c r="D2522" i="12"/>
  <c r="E500" i="12"/>
  <c r="E564" i="12"/>
  <c r="D2850" i="12"/>
  <c r="D2514" i="12"/>
  <c r="D2306" i="12"/>
  <c r="D1986" i="12"/>
  <c r="D1894" i="12"/>
  <c r="D1786" i="12"/>
  <c r="D1718" i="12"/>
  <c r="D1670" i="12"/>
  <c r="D1394" i="12"/>
  <c r="D1298" i="12"/>
  <c r="D1210" i="12"/>
  <c r="D770" i="12"/>
  <c r="D594" i="12"/>
  <c r="D482" i="12"/>
  <c r="E602" i="12"/>
  <c r="Q11" i="13"/>
  <c r="D2770" i="12"/>
  <c r="D2658" i="12"/>
  <c r="D2418" i="12"/>
  <c r="D2250" i="12"/>
  <c r="D2098" i="12"/>
  <c r="E2338" i="12"/>
  <c r="D2842" i="12"/>
  <c r="D2762" i="12"/>
  <c r="D2594" i="12"/>
  <c r="D2082" i="12"/>
  <c r="D1778" i="12"/>
  <c r="D1610" i="12"/>
  <c r="D698" i="12"/>
  <c r="D578" i="12"/>
  <c r="D122" i="12"/>
  <c r="E90" i="12"/>
  <c r="D2939" i="12"/>
  <c r="D2834" i="12"/>
  <c r="D2578" i="12"/>
  <c r="D2411" i="12"/>
  <c r="D2299" i="12"/>
  <c r="D1826" i="12"/>
  <c r="D1586" i="12"/>
  <c r="D1483" i="12"/>
  <c r="D1242" i="12"/>
  <c r="D1154" i="12"/>
  <c r="D826" i="12"/>
  <c r="D154" i="12"/>
  <c r="D34" i="12"/>
  <c r="E802" i="12"/>
  <c r="D2987" i="12"/>
  <c r="D2930" i="12"/>
  <c r="D2882" i="12"/>
  <c r="D2811" i="12"/>
  <c r="D2746" i="12"/>
  <c r="D2698" i="12"/>
  <c r="D2643" i="12"/>
  <c r="D2577" i="12"/>
  <c r="D2498" i="12"/>
  <c r="D2450" i="12"/>
  <c r="D2402" i="12"/>
  <c r="D2354" i="12"/>
  <c r="D2298" i="12"/>
  <c r="D2242" i="12"/>
  <c r="D2186" i="12"/>
  <c r="D2130" i="12"/>
  <c r="D2074" i="12"/>
  <c r="D2018" i="12"/>
  <c r="D1970" i="12"/>
  <c r="D1914" i="12"/>
  <c r="D1874" i="12"/>
  <c r="D1771" i="12"/>
  <c r="D1738" i="12"/>
  <c r="D1674" i="12"/>
  <c r="D1538" i="12"/>
  <c r="D1482" i="12"/>
  <c r="D1426" i="12"/>
  <c r="D1338" i="12"/>
  <c r="D1290" i="12"/>
  <c r="D1234" i="12"/>
  <c r="D1146" i="12"/>
  <c r="D1106" i="12"/>
  <c r="D1058" i="12"/>
  <c r="D1018" i="12"/>
  <c r="D978" i="12"/>
  <c r="D930" i="12"/>
  <c r="D882" i="12"/>
  <c r="D818" i="12"/>
  <c r="D754" i="12"/>
  <c r="D690" i="12"/>
  <c r="D522" i="12"/>
  <c r="D466" i="12"/>
  <c r="D386" i="12"/>
  <c r="D346" i="12"/>
  <c r="D306" i="12"/>
  <c r="D274" i="12"/>
  <c r="D242" i="12"/>
  <c r="D202" i="12"/>
  <c r="D146" i="12"/>
  <c r="D114" i="12"/>
  <c r="D66" i="12"/>
  <c r="E2274" i="12"/>
  <c r="E1882" i="12"/>
  <c r="E1691" i="12"/>
  <c r="E1506" i="12"/>
  <c r="E1122" i="12"/>
  <c r="E674" i="12"/>
  <c r="E290" i="12"/>
  <c r="D2891" i="12"/>
  <c r="D2459" i="12"/>
  <c r="D1650" i="12"/>
  <c r="D890" i="12"/>
  <c r="D530" i="12"/>
  <c r="D210" i="12"/>
  <c r="E1698" i="12"/>
  <c r="D2978" i="12"/>
  <c r="D2914" i="12"/>
  <c r="D2874" i="12"/>
  <c r="D2810" i="12"/>
  <c r="D2690" i="12"/>
  <c r="D2642" i="12"/>
  <c r="D2563" i="12"/>
  <c r="D2491" i="12"/>
  <c r="D2442" i="12"/>
  <c r="D2394" i="12"/>
  <c r="D2290" i="12"/>
  <c r="D2235" i="12"/>
  <c r="D2178" i="12"/>
  <c r="D2122" i="12"/>
  <c r="D2066" i="12"/>
  <c r="D1866" i="12"/>
  <c r="D1818" i="12"/>
  <c r="D1634" i="12"/>
  <c r="D1530" i="12"/>
  <c r="D1474" i="12"/>
  <c r="D1330" i="12"/>
  <c r="D1282" i="12"/>
  <c r="D1186" i="12"/>
  <c r="D1010" i="12"/>
  <c r="D866" i="12"/>
  <c r="D738" i="12"/>
  <c r="D626" i="12"/>
  <c r="D570" i="12"/>
  <c r="D514" i="12"/>
  <c r="D338" i="12"/>
  <c r="D194" i="12"/>
  <c r="D58" i="12"/>
  <c r="E1690" i="12"/>
  <c r="E794" i="12"/>
  <c r="E666" i="12"/>
  <c r="E418" i="12"/>
  <c r="D2938" i="12"/>
  <c r="D1915" i="12"/>
  <c r="E1370" i="12"/>
  <c r="D2906" i="12"/>
  <c r="D2802" i="12"/>
  <c r="D2554" i="12"/>
  <c r="D2435" i="12"/>
  <c r="D2171" i="12"/>
  <c r="D2058" i="12"/>
  <c r="D1811" i="12"/>
  <c r="D1730" i="12"/>
  <c r="D1522" i="12"/>
  <c r="D1466" i="12"/>
  <c r="D1418" i="12"/>
  <c r="D1138" i="12"/>
  <c r="D1098" i="12"/>
  <c r="D1050" i="12"/>
  <c r="D970" i="12"/>
  <c r="D922" i="12"/>
  <c r="D506" i="12"/>
  <c r="D434" i="12"/>
  <c r="D378" i="12"/>
  <c r="D330" i="12"/>
  <c r="D266" i="12"/>
  <c r="D186" i="12"/>
  <c r="D138" i="12"/>
  <c r="E2843" i="12"/>
  <c r="E2203" i="12"/>
  <c r="D3002" i="12"/>
  <c r="D2506" i="12"/>
  <c r="D2194" i="12"/>
  <c r="D1226" i="12"/>
  <c r="D2962" i="12"/>
  <c r="D2898" i="12"/>
  <c r="D2867" i="12"/>
  <c r="D2786" i="12"/>
  <c r="D2731" i="12"/>
  <c r="D2675" i="12"/>
  <c r="D2618" i="12"/>
  <c r="D2530" i="12"/>
  <c r="D2434" i="12"/>
  <c r="D2378" i="12"/>
  <c r="D2330" i="12"/>
  <c r="D2226" i="12"/>
  <c r="D2170" i="12"/>
  <c r="D2114" i="12"/>
  <c r="D2002" i="12"/>
  <c r="D1858" i="12"/>
  <c r="D1810" i="12"/>
  <c r="D1626" i="12"/>
  <c r="D1602" i="12"/>
  <c r="D1515" i="12"/>
  <c r="D1458" i="12"/>
  <c r="D1410" i="12"/>
  <c r="D1362" i="12"/>
  <c r="D1314" i="12"/>
  <c r="D1274" i="12"/>
  <c r="D1218" i="12"/>
  <c r="D1178" i="12"/>
  <c r="D1090" i="12"/>
  <c r="D1042" i="12"/>
  <c r="D962" i="12"/>
  <c r="D914" i="12"/>
  <c r="D722" i="12"/>
  <c r="D658" i="12"/>
  <c r="D610" i="12"/>
  <c r="D562" i="12"/>
  <c r="D498" i="12"/>
  <c r="D458" i="12"/>
  <c r="D322" i="12"/>
  <c r="D178" i="12"/>
  <c r="D82" i="12"/>
  <c r="D50" i="12"/>
  <c r="E2611" i="12"/>
  <c r="E2010" i="12"/>
  <c r="E1459" i="12"/>
  <c r="D2890" i="12"/>
  <c r="D2650" i="12"/>
  <c r="D2458" i="12"/>
  <c r="D1675" i="12"/>
  <c r="D1546" i="12"/>
  <c r="D1202" i="12"/>
  <c r="D762" i="12"/>
  <c r="D634" i="12"/>
  <c r="D442" i="12"/>
  <c r="D394" i="12"/>
  <c r="E1562" i="12"/>
  <c r="D2963" i="12"/>
  <c r="D2738" i="12"/>
  <c r="D2682" i="12"/>
  <c r="D2619" i="12"/>
  <c r="D2490" i="12"/>
  <c r="D2386" i="12"/>
  <c r="D2331" i="12"/>
  <c r="D2234" i="12"/>
  <c r="D1906" i="12"/>
  <c r="D1762" i="12"/>
  <c r="D1666" i="12"/>
  <c r="D1603" i="12"/>
  <c r="D2954" i="12"/>
  <c r="D2897" i="12"/>
  <c r="D2866" i="12"/>
  <c r="D2778" i="12"/>
  <c r="D2722" i="12"/>
  <c r="D2674" i="12"/>
  <c r="D2610" i="12"/>
  <c r="D2523" i="12"/>
  <c r="D2482" i="12"/>
  <c r="D2426" i="12"/>
  <c r="D2370" i="12"/>
  <c r="D2322" i="12"/>
  <c r="D2266" i="12"/>
  <c r="D2162" i="12"/>
  <c r="D2106" i="12"/>
  <c r="D2050" i="12"/>
  <c r="D1994" i="12"/>
  <c r="D1938" i="12"/>
  <c r="D1851" i="12"/>
  <c r="D1802" i="12"/>
  <c r="D1722" i="12"/>
  <c r="D1658" i="12"/>
  <c r="D1619" i="12"/>
  <c r="D1402" i="12"/>
  <c r="D1306" i="12"/>
  <c r="D1266" i="12"/>
  <c r="D1170" i="12"/>
  <c r="D850" i="12"/>
  <c r="D786" i="12"/>
  <c r="D650" i="12"/>
  <c r="D258" i="12"/>
  <c r="E2571" i="12"/>
  <c r="E1995" i="12"/>
  <c r="D972" i="12"/>
  <c r="D2940" i="12"/>
  <c r="D684" i="12"/>
  <c r="D2436" i="12"/>
  <c r="D804" i="12"/>
  <c r="D2524" i="12"/>
  <c r="D2332" i="12"/>
  <c r="E1036" i="12"/>
  <c r="E268" i="12"/>
  <c r="D2588" i="12"/>
  <c r="D2172" i="12"/>
  <c r="D1484" i="12"/>
  <c r="D2812" i="12"/>
  <c r="E148" i="12"/>
  <c r="D2116" i="12"/>
  <c r="D1516" i="12"/>
  <c r="D1420" i="12"/>
  <c r="D220" i="12"/>
  <c r="E2732" i="12"/>
  <c r="D2732" i="12"/>
  <c r="D1820" i="12"/>
  <c r="E1820" i="12"/>
  <c r="E1804" i="12"/>
  <c r="D1804" i="12"/>
  <c r="E1620" i="12"/>
  <c r="D1620" i="12"/>
  <c r="E1548" i="12"/>
  <c r="D1548" i="12"/>
  <c r="E1476" i="12"/>
  <c r="D1476" i="12"/>
  <c r="E1452" i="12"/>
  <c r="D1452" i="12"/>
  <c r="E1364" i="12"/>
  <c r="D1364" i="12"/>
  <c r="E1284" i="12"/>
  <c r="D1284" i="12"/>
  <c r="E1196" i="12"/>
  <c r="D1196" i="12"/>
  <c r="E940" i="12"/>
  <c r="D940" i="12"/>
  <c r="E796" i="12"/>
  <c r="D796" i="12"/>
  <c r="E676" i="12"/>
  <c r="D676" i="12"/>
  <c r="E636" i="12"/>
  <c r="D636" i="12"/>
  <c r="E540" i="12"/>
  <c r="D540" i="12"/>
  <c r="E460" i="12"/>
  <c r="D460" i="12"/>
  <c r="E372" i="12"/>
  <c r="D372" i="12"/>
  <c r="E348" i="12"/>
  <c r="D348" i="12"/>
  <c r="E284" i="12"/>
  <c r="D284" i="12"/>
  <c r="E252" i="12"/>
  <c r="D252" i="12"/>
  <c r="D204" i="12"/>
  <c r="E204" i="12"/>
  <c r="E188" i="12"/>
  <c r="D188" i="12"/>
  <c r="E124" i="12"/>
  <c r="D124" i="12"/>
  <c r="E68" i="12"/>
  <c r="D68" i="12"/>
  <c r="D36" i="12"/>
  <c r="E36" i="12"/>
  <c r="D2980" i="12"/>
  <c r="D2836" i="12"/>
  <c r="D2756" i="12"/>
  <c r="D2556" i="12"/>
  <c r="D2028" i="12"/>
  <c r="D1260" i="12"/>
  <c r="D836" i="12"/>
  <c r="D156" i="12"/>
  <c r="E492" i="12"/>
  <c r="E2507" i="12"/>
  <c r="D2507" i="12"/>
  <c r="E2371" i="12"/>
  <c r="D2371" i="12"/>
  <c r="E1971" i="12"/>
  <c r="D1971" i="12"/>
  <c r="E1787" i="12"/>
  <c r="D1787" i="12"/>
  <c r="E1755" i="12"/>
  <c r="D1755" i="12"/>
  <c r="E1635" i="12"/>
  <c r="D1635" i="12"/>
  <c r="E1563" i="12"/>
  <c r="D1563" i="12"/>
  <c r="E1443" i="12"/>
  <c r="D1443" i="12"/>
  <c r="D1219" i="12"/>
  <c r="E1219" i="12"/>
  <c r="E1171" i="12"/>
  <c r="D1171" i="12"/>
  <c r="E1059" i="12"/>
  <c r="D1059" i="12"/>
  <c r="E819" i="12"/>
  <c r="D819" i="12"/>
  <c r="E771" i="12"/>
  <c r="D771" i="12"/>
  <c r="E747" i="12"/>
  <c r="D747" i="12"/>
  <c r="D683" i="12"/>
  <c r="E683" i="12"/>
  <c r="E563" i="12"/>
  <c r="D563" i="12"/>
  <c r="D475" i="12"/>
  <c r="E475" i="12"/>
  <c r="E443" i="12"/>
  <c r="D443" i="12"/>
  <c r="E403" i="12"/>
  <c r="D403" i="12"/>
  <c r="E179" i="12"/>
  <c r="D179" i="12"/>
  <c r="E99" i="12"/>
  <c r="D99" i="12"/>
  <c r="D3003" i="12"/>
  <c r="D2979" i="12"/>
  <c r="D2907" i="12"/>
  <c r="D2859" i="12"/>
  <c r="D2835" i="12"/>
  <c r="D2724" i="12"/>
  <c r="D2700" i="12"/>
  <c r="D2580" i="12"/>
  <c r="D2555" i="12"/>
  <c r="D2292" i="12"/>
  <c r="D2259" i="12"/>
  <c r="D2196" i="12"/>
  <c r="D2108" i="12"/>
  <c r="D2052" i="12"/>
  <c r="D1763" i="12"/>
  <c r="D1715" i="12"/>
  <c r="D1540" i="12"/>
  <c r="D1508" i="12"/>
  <c r="D1363" i="12"/>
  <c r="D1283" i="12"/>
  <c r="D1251" i="12"/>
  <c r="D1195" i="12"/>
  <c r="D1131" i="12"/>
  <c r="D939" i="12"/>
  <c r="D908" i="12"/>
  <c r="D795" i="12"/>
  <c r="D667" i="12"/>
  <c r="D595" i="12"/>
  <c r="D396" i="12"/>
  <c r="D299" i="12"/>
  <c r="D180" i="12"/>
  <c r="D155" i="12"/>
  <c r="E2827" i="12"/>
  <c r="E2076" i="12"/>
  <c r="E1819" i="12"/>
  <c r="E1643" i="12"/>
  <c r="E1347" i="12"/>
  <c r="E1012" i="12"/>
  <c r="E779" i="12"/>
  <c r="E699" i="12"/>
  <c r="E628" i="12"/>
  <c r="E316" i="12"/>
  <c r="E260" i="12"/>
  <c r="E187" i="12"/>
  <c r="E52" i="12"/>
  <c r="E2826" i="12"/>
  <c r="D2826" i="12"/>
  <c r="E2818" i="12"/>
  <c r="D2818" i="12"/>
  <c r="E2754" i="12"/>
  <c r="D2754" i="12"/>
  <c r="E2634" i="12"/>
  <c r="D2634" i="12"/>
  <c r="E2626" i="12"/>
  <c r="D2626" i="12"/>
  <c r="E2570" i="12"/>
  <c r="D2570" i="12"/>
  <c r="E2562" i="12"/>
  <c r="D2562" i="12"/>
  <c r="E2546" i="12"/>
  <c r="D2546" i="12"/>
  <c r="E2740" i="12"/>
  <c r="D2740" i="12"/>
  <c r="E2652" i="12"/>
  <c r="D2652" i="12"/>
  <c r="E2452" i="12"/>
  <c r="D2452" i="12"/>
  <c r="D2364" i="12"/>
  <c r="E2364" i="12"/>
  <c r="E852" i="12"/>
  <c r="D852" i="12"/>
  <c r="D740" i="12"/>
  <c r="E740" i="12"/>
  <c r="D444" i="12"/>
  <c r="E444" i="12"/>
  <c r="D2908" i="12"/>
  <c r="D2004" i="12"/>
  <c r="D1228" i="12"/>
  <c r="D876" i="12"/>
  <c r="D756" i="12"/>
  <c r="D532" i="12"/>
  <c r="E2587" i="12"/>
  <c r="D2587" i="12"/>
  <c r="E1883" i="12"/>
  <c r="D1883" i="12"/>
  <c r="E1779" i="12"/>
  <c r="D1779" i="12"/>
  <c r="E1555" i="12"/>
  <c r="D1555" i="12"/>
  <c r="E1523" i="12"/>
  <c r="D1523" i="12"/>
  <c r="E1467" i="12"/>
  <c r="D1467" i="12"/>
  <c r="D1435" i="12"/>
  <c r="E1435" i="12"/>
  <c r="E1227" i="12"/>
  <c r="D1227" i="12"/>
  <c r="E1179" i="12"/>
  <c r="D1179" i="12"/>
  <c r="D1027" i="12"/>
  <c r="E1027" i="12"/>
  <c r="E963" i="12"/>
  <c r="D963" i="12"/>
  <c r="E811" i="12"/>
  <c r="D811" i="12"/>
  <c r="E579" i="12"/>
  <c r="D579" i="12"/>
  <c r="E539" i="12"/>
  <c r="D539" i="12"/>
  <c r="D491" i="12"/>
  <c r="E491" i="12"/>
  <c r="E331" i="12"/>
  <c r="D331" i="12"/>
  <c r="E291" i="12"/>
  <c r="D291" i="12"/>
  <c r="E243" i="12"/>
  <c r="D243" i="12"/>
  <c r="D91" i="12"/>
  <c r="E91" i="12"/>
  <c r="E51" i="12"/>
  <c r="D51" i="12"/>
  <c r="D2956" i="12"/>
  <c r="D2755" i="12"/>
  <c r="D2612" i="12"/>
  <c r="D2395" i="12"/>
  <c r="D2132" i="12"/>
  <c r="D2075" i="12"/>
  <c r="D2027" i="12"/>
  <c r="D2003" i="12"/>
  <c r="D1739" i="12"/>
  <c r="D1572" i="12"/>
  <c r="D1444" i="12"/>
  <c r="D1307" i="12"/>
  <c r="D1107" i="12"/>
  <c r="D1083" i="12"/>
  <c r="D1020" i="12"/>
  <c r="D964" i="12"/>
  <c r="D875" i="12"/>
  <c r="D2955" i="12"/>
  <c r="D2931" i="12"/>
  <c r="D2883" i="12"/>
  <c r="D2852" i="12"/>
  <c r="D2804" i="12"/>
  <c r="D2772" i="12"/>
  <c r="D2748" i="12"/>
  <c r="D2723" i="12"/>
  <c r="D2636" i="12"/>
  <c r="D2515" i="12"/>
  <c r="D2483" i="12"/>
  <c r="D2451" i="12"/>
  <c r="D2428" i="12"/>
  <c r="D2323" i="12"/>
  <c r="D2291" i="12"/>
  <c r="D2195" i="12"/>
  <c r="D2131" i="12"/>
  <c r="D2051" i="12"/>
  <c r="D1963" i="12"/>
  <c r="D1907" i="12"/>
  <c r="D1875" i="12"/>
  <c r="D1843" i="12"/>
  <c r="D1636" i="12"/>
  <c r="D1539" i="12"/>
  <c r="D1507" i="12"/>
  <c r="D1411" i="12"/>
  <c r="D1388" i="12"/>
  <c r="D1332" i="12"/>
  <c r="D1043" i="12"/>
  <c r="D932" i="12"/>
  <c r="D739" i="12"/>
  <c r="D523" i="12"/>
  <c r="D483" i="12"/>
  <c r="D427" i="12"/>
  <c r="D83" i="12"/>
  <c r="D60" i="12"/>
  <c r="E2803" i="12"/>
  <c r="E2500" i="12"/>
  <c r="E2316" i="12"/>
  <c r="E1924" i="12"/>
  <c r="E1436" i="12"/>
  <c r="E1099" i="12"/>
  <c r="E916" i="12"/>
  <c r="E843" i="12"/>
  <c r="E692" i="12"/>
  <c r="E476" i="12"/>
  <c r="E308" i="12"/>
  <c r="E236" i="12"/>
  <c r="E115" i="12"/>
  <c r="E2340" i="12"/>
  <c r="D2340" i="12"/>
  <c r="E2212" i="12"/>
  <c r="D2212" i="12"/>
  <c r="D1892" i="12"/>
  <c r="E1892" i="12"/>
  <c r="E1852" i="12"/>
  <c r="D1852" i="12"/>
  <c r="D1812" i="12"/>
  <c r="E1812" i="12"/>
  <c r="E1524" i="12"/>
  <c r="D1524" i="12"/>
  <c r="E1500" i="12"/>
  <c r="D1500" i="12"/>
  <c r="D1412" i="12"/>
  <c r="E1412" i="12"/>
  <c r="E1372" i="12"/>
  <c r="D1372" i="12"/>
  <c r="E1300" i="12"/>
  <c r="D1300" i="12"/>
  <c r="E1164" i="12"/>
  <c r="D1164" i="12"/>
  <c r="E980" i="12"/>
  <c r="D980" i="12"/>
  <c r="E900" i="12"/>
  <c r="D900" i="12"/>
  <c r="E860" i="12"/>
  <c r="D860" i="12"/>
  <c r="D828" i="12"/>
  <c r="E828" i="12"/>
  <c r="E780" i="12"/>
  <c r="D780" i="12"/>
  <c r="D732" i="12"/>
  <c r="E732" i="12"/>
  <c r="E596" i="12"/>
  <c r="D596" i="12"/>
  <c r="D556" i="12"/>
  <c r="E556" i="12"/>
  <c r="E516" i="12"/>
  <c r="D516" i="12"/>
  <c r="E428" i="12"/>
  <c r="D428" i="12"/>
  <c r="D364" i="12"/>
  <c r="E364" i="12"/>
  <c r="E244" i="12"/>
  <c r="D244" i="12"/>
  <c r="D1340" i="12"/>
  <c r="E2795" i="12"/>
  <c r="D2795" i="12"/>
  <c r="E2531" i="12"/>
  <c r="D2531" i="12"/>
  <c r="E2227" i="12"/>
  <c r="D2227" i="12"/>
  <c r="E2179" i="12"/>
  <c r="D2179" i="12"/>
  <c r="E2155" i="12"/>
  <c r="D2155" i="12"/>
  <c r="E2115" i="12"/>
  <c r="D2115" i="12"/>
  <c r="E2091" i="12"/>
  <c r="D2091" i="12"/>
  <c r="E2059" i="12"/>
  <c r="D2059" i="12"/>
  <c r="E2019" i="12"/>
  <c r="D2019" i="12"/>
  <c r="D1979" i="12"/>
  <c r="E1979" i="12"/>
  <c r="E1939" i="12"/>
  <c r="D1939" i="12"/>
  <c r="E1803" i="12"/>
  <c r="D1803" i="12"/>
  <c r="D1547" i="12"/>
  <c r="E1547" i="12"/>
  <c r="E1475" i="12"/>
  <c r="D1475" i="12"/>
  <c r="E1315" i="12"/>
  <c r="D1315" i="12"/>
  <c r="E1019" i="12"/>
  <c r="D1019" i="12"/>
  <c r="D979" i="12"/>
  <c r="E979" i="12"/>
  <c r="E899" i="12"/>
  <c r="D899" i="12"/>
  <c r="E867" i="12"/>
  <c r="D867" i="12"/>
  <c r="E827" i="12"/>
  <c r="D827" i="12"/>
  <c r="E691" i="12"/>
  <c r="D691" i="12"/>
  <c r="E611" i="12"/>
  <c r="D611" i="12"/>
  <c r="E339" i="12"/>
  <c r="D339" i="12"/>
  <c r="E307" i="12"/>
  <c r="D307" i="12"/>
  <c r="E267" i="12"/>
  <c r="D267" i="12"/>
  <c r="D227" i="12"/>
  <c r="E227" i="12"/>
  <c r="E139" i="12"/>
  <c r="D139" i="12"/>
  <c r="E59" i="12"/>
  <c r="D59" i="12"/>
  <c r="D2996" i="12"/>
  <c r="D2851" i="12"/>
  <c r="D2660" i="12"/>
  <c r="D2387" i="12"/>
  <c r="D1595" i="12"/>
  <c r="D987" i="12"/>
  <c r="D659" i="12"/>
  <c r="D588" i="12"/>
  <c r="D420" i="12"/>
  <c r="D123" i="12"/>
  <c r="E2499" i="12"/>
  <c r="E1156" i="12"/>
  <c r="E2708" i="12"/>
  <c r="D2708" i="12"/>
  <c r="E2516" i="12"/>
  <c r="D2516" i="12"/>
  <c r="E2164" i="12"/>
  <c r="D2164" i="12"/>
  <c r="E1996" i="12"/>
  <c r="D1996" i="12"/>
  <c r="E1956" i="12"/>
  <c r="D1956" i="12"/>
  <c r="D1588" i="12"/>
  <c r="E1588" i="12"/>
  <c r="E1532" i="12"/>
  <c r="D1532" i="12"/>
  <c r="E1236" i="12"/>
  <c r="D1236" i="12"/>
  <c r="E1076" i="12"/>
  <c r="D1076" i="12"/>
  <c r="E1028" i="12"/>
  <c r="D1028" i="12"/>
  <c r="E988" i="12"/>
  <c r="D988" i="12"/>
  <c r="E948" i="12"/>
  <c r="D948" i="12"/>
  <c r="D892" i="12"/>
  <c r="E892" i="12"/>
  <c r="D764" i="12"/>
  <c r="E764" i="12"/>
  <c r="E708" i="12"/>
  <c r="D708" i="12"/>
  <c r="E652" i="12"/>
  <c r="D652" i="12"/>
  <c r="E604" i="12"/>
  <c r="D604" i="12"/>
  <c r="E468" i="12"/>
  <c r="D468" i="12"/>
  <c r="D404" i="12"/>
  <c r="E404" i="12"/>
  <c r="E212" i="12"/>
  <c r="D212" i="12"/>
  <c r="D132" i="12"/>
  <c r="E132" i="12"/>
  <c r="D1940" i="12"/>
  <c r="E2771" i="12"/>
  <c r="D2771" i="12"/>
  <c r="E2579" i="12"/>
  <c r="D2579" i="12"/>
  <c r="E2419" i="12"/>
  <c r="D2419" i="12"/>
  <c r="E2355" i="12"/>
  <c r="D2355" i="12"/>
  <c r="E2107" i="12"/>
  <c r="D2107" i="12"/>
  <c r="E1947" i="12"/>
  <c r="D1947" i="12"/>
  <c r="E1667" i="12"/>
  <c r="D1667" i="12"/>
  <c r="E1587" i="12"/>
  <c r="D1587" i="12"/>
  <c r="E1491" i="12"/>
  <c r="D1491" i="12"/>
  <c r="E1395" i="12"/>
  <c r="D1395" i="12"/>
  <c r="E1187" i="12"/>
  <c r="D1187" i="12"/>
  <c r="E907" i="12"/>
  <c r="D907" i="12"/>
  <c r="E707" i="12"/>
  <c r="D707" i="12"/>
  <c r="E387" i="12"/>
  <c r="D387" i="12"/>
  <c r="D219" i="12"/>
  <c r="E219" i="12"/>
  <c r="E107" i="12"/>
  <c r="D107" i="12"/>
  <c r="E43" i="12"/>
  <c r="D43" i="12"/>
  <c r="D2020" i="12"/>
  <c r="D1612" i="12"/>
  <c r="D2995" i="12"/>
  <c r="D2596" i="12"/>
  <c r="D2148" i="12"/>
  <c r="D1988" i="12"/>
  <c r="D1707" i="12"/>
  <c r="D1659" i="12"/>
  <c r="D1611" i="12"/>
  <c r="D1531" i="12"/>
  <c r="D1380" i="12"/>
  <c r="D1211" i="12"/>
  <c r="D859" i="12"/>
  <c r="D587" i="12"/>
  <c r="D355" i="12"/>
  <c r="D228" i="12"/>
  <c r="D172" i="12"/>
  <c r="E2684" i="12"/>
  <c r="E1323" i="12"/>
  <c r="E1243" i="12"/>
  <c r="E1155" i="12"/>
  <c r="E731" i="12"/>
  <c r="E668" i="12"/>
  <c r="E467" i="12"/>
  <c r="E379" i="12"/>
  <c r="E163" i="12"/>
  <c r="E2716" i="12"/>
  <c r="D2716" i="12"/>
  <c r="E2644" i="12"/>
  <c r="D2644" i="12"/>
  <c r="E2460" i="12"/>
  <c r="D2460" i="12"/>
  <c r="E2100" i="12"/>
  <c r="D2100" i="12"/>
  <c r="E2036" i="12"/>
  <c r="D2036" i="12"/>
  <c r="D1964" i="12"/>
  <c r="E1964" i="12"/>
  <c r="E1932" i="12"/>
  <c r="D1932" i="12"/>
  <c r="E1836" i="12"/>
  <c r="D1836" i="12"/>
  <c r="D1676" i="12"/>
  <c r="E1676" i="12"/>
  <c r="E1564" i="12"/>
  <c r="D1564" i="12"/>
  <c r="E1396" i="12"/>
  <c r="D1396" i="12"/>
  <c r="E1348" i="12"/>
  <c r="D1348" i="12"/>
  <c r="E1252" i="12"/>
  <c r="D1252" i="12"/>
  <c r="E1132" i="12"/>
  <c r="D1132" i="12"/>
  <c r="E1092" i="12"/>
  <c r="D1092" i="12"/>
  <c r="E1052" i="12"/>
  <c r="D1052" i="12"/>
  <c r="E956" i="12"/>
  <c r="D956" i="12"/>
  <c r="D868" i="12"/>
  <c r="E868" i="12"/>
  <c r="E772" i="12"/>
  <c r="D772" i="12"/>
  <c r="E660" i="12"/>
  <c r="D660" i="12"/>
  <c r="E620" i="12"/>
  <c r="D620" i="12"/>
  <c r="D580" i="12"/>
  <c r="E580" i="12"/>
  <c r="E548" i="12"/>
  <c r="D548" i="12"/>
  <c r="E508" i="12"/>
  <c r="D508" i="12"/>
  <c r="E484" i="12"/>
  <c r="D484" i="12"/>
  <c r="E436" i="12"/>
  <c r="D436" i="12"/>
  <c r="E340" i="12"/>
  <c r="D340" i="12"/>
  <c r="E276" i="12"/>
  <c r="D276" i="12"/>
  <c r="E140" i="12"/>
  <c r="D140" i="12"/>
  <c r="D116" i="12"/>
  <c r="E116" i="12"/>
  <c r="D76" i="12"/>
  <c r="E76" i="12"/>
  <c r="D2780" i="12"/>
  <c r="D1308" i="12"/>
  <c r="D332" i="12"/>
  <c r="D92" i="12"/>
  <c r="E2691" i="12"/>
  <c r="D2691" i="12"/>
  <c r="E2667" i="12"/>
  <c r="D2667" i="12"/>
  <c r="E2603" i="12"/>
  <c r="D2603" i="12"/>
  <c r="E2403" i="12"/>
  <c r="D2403" i="12"/>
  <c r="E2315" i="12"/>
  <c r="D2315" i="12"/>
  <c r="E2187" i="12"/>
  <c r="D2187" i="12"/>
  <c r="E2043" i="12"/>
  <c r="D2043" i="12"/>
  <c r="E2011" i="12"/>
  <c r="D2011" i="12"/>
  <c r="E1835" i="12"/>
  <c r="D1835" i="12"/>
  <c r="E1795" i="12"/>
  <c r="D1795" i="12"/>
  <c r="D1571" i="12"/>
  <c r="E1571" i="12"/>
  <c r="D1499" i="12"/>
  <c r="E1499" i="12"/>
  <c r="D1339" i="12"/>
  <c r="E1339" i="12"/>
  <c r="E1259" i="12"/>
  <c r="D1259" i="12"/>
  <c r="E1235" i="12"/>
  <c r="D1235" i="12"/>
  <c r="E1163" i="12"/>
  <c r="D1163" i="12"/>
  <c r="E923" i="12"/>
  <c r="D923" i="12"/>
  <c r="E835" i="12"/>
  <c r="D835" i="12"/>
  <c r="E803" i="12"/>
  <c r="D803" i="12"/>
  <c r="E763" i="12"/>
  <c r="D763" i="12"/>
  <c r="D675" i="12"/>
  <c r="E675" i="12"/>
  <c r="E651" i="12"/>
  <c r="D651" i="12"/>
  <c r="D515" i="12"/>
  <c r="E515" i="12"/>
  <c r="D395" i="12"/>
  <c r="E395" i="12"/>
  <c r="E347" i="12"/>
  <c r="D347" i="12"/>
  <c r="E315" i="12"/>
  <c r="D315" i="12"/>
  <c r="E283" i="12"/>
  <c r="D283" i="12"/>
  <c r="E235" i="12"/>
  <c r="D235" i="12"/>
  <c r="D2900" i="12"/>
  <c r="D2828" i="12"/>
  <c r="D2747" i="12"/>
  <c r="D2635" i="12"/>
  <c r="D2547" i="12"/>
  <c r="D2427" i="12"/>
  <c r="D2068" i="12"/>
  <c r="D1468" i="12"/>
  <c r="D1387" i="12"/>
  <c r="D1123" i="12"/>
  <c r="D627" i="12"/>
  <c r="D363" i="12"/>
  <c r="E2147" i="12"/>
  <c r="E915" i="12"/>
  <c r="E380" i="12"/>
  <c r="E171" i="12"/>
  <c r="E35" i="12"/>
  <c r="D2971" i="12"/>
  <c r="D2923" i="12"/>
  <c r="D2899" i="12"/>
  <c r="D2875" i="12"/>
  <c r="D2796" i="12"/>
  <c r="D2764" i="12"/>
  <c r="D2715" i="12"/>
  <c r="D2659" i="12"/>
  <c r="D2444" i="12"/>
  <c r="D2124" i="12"/>
  <c r="D2067" i="12"/>
  <c r="D1923" i="12"/>
  <c r="D1899" i="12"/>
  <c r="D1683" i="12"/>
  <c r="D1428" i="12"/>
  <c r="D1404" i="12"/>
  <c r="D1147" i="12"/>
  <c r="D1100" i="12"/>
  <c r="D955" i="12"/>
  <c r="D891" i="12"/>
  <c r="D2994" i="12"/>
  <c r="D2970" i="12"/>
  <c r="D2947" i="12"/>
  <c r="D2916" i="12"/>
  <c r="D2844" i="12"/>
  <c r="D2820" i="12"/>
  <c r="D2788" i="12"/>
  <c r="D2763" i="12"/>
  <c r="D2627" i="12"/>
  <c r="D2595" i="12"/>
  <c r="D2532" i="12"/>
  <c r="D2468" i="12"/>
  <c r="D2443" i="12"/>
  <c r="D2379" i="12"/>
  <c r="D2307" i="12"/>
  <c r="D2219" i="12"/>
  <c r="D2180" i="12"/>
  <c r="D2092" i="12"/>
  <c r="D1628" i="12"/>
  <c r="D1556" i="12"/>
  <c r="D1492" i="12"/>
  <c r="D1460" i="12"/>
  <c r="D1427" i="12"/>
  <c r="D1403" i="12"/>
  <c r="D1379" i="12"/>
  <c r="D1180" i="12"/>
  <c r="D1068" i="12"/>
  <c r="D1035" i="12"/>
  <c r="D924" i="12"/>
  <c r="D724" i="12"/>
  <c r="D547" i="12"/>
  <c r="D507" i="12"/>
  <c r="D412" i="12"/>
  <c r="D196" i="12"/>
  <c r="D164" i="12"/>
  <c r="E2668" i="12"/>
  <c r="E2267" i="12"/>
  <c r="E1884" i="12"/>
  <c r="E971" i="12"/>
  <c r="E524" i="12"/>
  <c r="E356" i="12"/>
  <c r="D2876" i="12"/>
  <c r="E2876" i="12"/>
  <c r="E2676" i="12"/>
  <c r="D2676" i="12"/>
  <c r="D2188" i="12"/>
  <c r="E2188" i="12"/>
  <c r="E2140" i="12"/>
  <c r="D2140" i="12"/>
  <c r="E1356" i="12"/>
  <c r="D1356" i="12"/>
  <c r="E1316" i="12"/>
  <c r="D1316" i="12"/>
  <c r="E1276" i="12"/>
  <c r="D1276" i="12"/>
  <c r="E1244" i="12"/>
  <c r="D1244" i="12"/>
  <c r="E1220" i="12"/>
  <c r="D1220" i="12"/>
  <c r="E1084" i="12"/>
  <c r="D1084" i="12"/>
  <c r="E1044" i="12"/>
  <c r="D1044" i="12"/>
  <c r="E996" i="12"/>
  <c r="D996" i="12"/>
  <c r="E844" i="12"/>
  <c r="D844" i="12"/>
  <c r="E788" i="12"/>
  <c r="D788" i="12"/>
  <c r="E748" i="12"/>
  <c r="D748" i="12"/>
  <c r="E612" i="12"/>
  <c r="D612" i="12"/>
  <c r="D452" i="12"/>
  <c r="E452" i="12"/>
  <c r="E388" i="12"/>
  <c r="D388" i="12"/>
  <c r="E324" i="12"/>
  <c r="D324" i="12"/>
  <c r="E292" i="12"/>
  <c r="D292" i="12"/>
  <c r="E2779" i="12"/>
  <c r="D2779" i="12"/>
  <c r="E2699" i="12"/>
  <c r="D2699" i="12"/>
  <c r="E2163" i="12"/>
  <c r="D2163" i="12"/>
  <c r="E2123" i="12"/>
  <c r="D2123" i="12"/>
  <c r="E1987" i="12"/>
  <c r="D1987" i="12"/>
  <c r="E1931" i="12"/>
  <c r="D1931" i="12"/>
  <c r="E1859" i="12"/>
  <c r="D1859" i="12"/>
  <c r="E1827" i="12"/>
  <c r="D1827" i="12"/>
  <c r="E1731" i="12"/>
  <c r="D1731" i="12"/>
  <c r="E1267" i="12"/>
  <c r="D1267" i="12"/>
  <c r="E1115" i="12"/>
  <c r="D1115" i="12"/>
  <c r="D1075" i="12"/>
  <c r="E1075" i="12"/>
  <c r="E851" i="12"/>
  <c r="D851" i="12"/>
  <c r="E755" i="12"/>
  <c r="D755" i="12"/>
  <c r="E571" i="12"/>
  <c r="D571" i="12"/>
  <c r="E531" i="12"/>
  <c r="D531" i="12"/>
  <c r="E499" i="12"/>
  <c r="D499" i="12"/>
  <c r="E451" i="12"/>
  <c r="D451" i="12"/>
  <c r="E419" i="12"/>
  <c r="D419" i="12"/>
  <c r="D323" i="12"/>
  <c r="E323" i="12"/>
  <c r="D259" i="12"/>
  <c r="E259" i="12"/>
  <c r="D2972" i="12"/>
  <c r="D2692" i="12"/>
  <c r="D2604" i="12"/>
  <c r="D2251" i="12"/>
  <c r="D2156" i="12"/>
  <c r="D1955" i="12"/>
  <c r="D1788" i="12"/>
  <c r="D1331" i="12"/>
  <c r="D1299" i="12"/>
  <c r="D1148" i="12"/>
  <c r="D1011" i="12"/>
  <c r="D820" i="12"/>
  <c r="D700" i="12"/>
  <c r="D147" i="12"/>
  <c r="E2035" i="12"/>
  <c r="E1067" i="12"/>
  <c r="E603" i="12"/>
  <c r="E300" i="12"/>
  <c r="E100" i="12"/>
  <c r="D2948" i="12"/>
  <c r="D2628" i="12"/>
  <c r="D2572" i="12"/>
  <c r="D2539" i="12"/>
  <c r="D2475" i="12"/>
  <c r="D2347" i="12"/>
  <c r="D2283" i="12"/>
  <c r="D2220" i="12"/>
  <c r="D2044" i="12"/>
  <c r="D1867" i="12"/>
  <c r="D2988" i="12"/>
  <c r="D2964" i="12"/>
  <c r="D2915" i="12"/>
  <c r="D2819" i="12"/>
  <c r="D2787" i="12"/>
  <c r="D2739" i="12"/>
  <c r="D2707" i="12"/>
  <c r="D2683" i="12"/>
  <c r="D2651" i="12"/>
  <c r="D2620" i="12"/>
  <c r="D2564" i="12"/>
  <c r="D2467" i="12"/>
  <c r="D2275" i="12"/>
  <c r="D2243" i="12"/>
  <c r="D2211" i="12"/>
  <c r="D2084" i="12"/>
  <c r="D2060" i="12"/>
  <c r="D2012" i="12"/>
  <c r="D1980" i="12"/>
  <c r="D1948" i="12"/>
  <c r="D1916" i="12"/>
  <c r="D1772" i="12"/>
  <c r="D1747" i="12"/>
  <c r="D1723" i="12"/>
  <c r="D1699" i="12"/>
  <c r="D1627" i="12"/>
  <c r="D1324" i="12"/>
  <c r="D1292" i="12"/>
  <c r="D1268" i="12"/>
  <c r="D1204" i="12"/>
  <c r="D1140" i="12"/>
  <c r="D1116" i="12"/>
  <c r="D1091" i="12"/>
  <c r="D1060" i="12"/>
  <c r="D1004" i="12"/>
  <c r="D947" i="12"/>
  <c r="D884" i="12"/>
  <c r="D812" i="12"/>
  <c r="D723" i="12"/>
  <c r="D644" i="12"/>
  <c r="D619" i="12"/>
  <c r="D411" i="12"/>
  <c r="D251" i="12"/>
  <c r="D195" i="12"/>
  <c r="D108" i="12"/>
  <c r="E2228" i="12"/>
  <c r="E1212" i="12"/>
  <c r="E883" i="12"/>
  <c r="E716" i="12"/>
  <c r="E84" i="12"/>
  <c r="D2134" i="12"/>
  <c r="E2206" i="12"/>
  <c r="D2934" i="12"/>
  <c r="D2950" i="12"/>
  <c r="D2886" i="12"/>
  <c r="D2374" i="12"/>
  <c r="D2150" i="12"/>
  <c r="D1966" i="12"/>
  <c r="D1910" i="12"/>
  <c r="D2718" i="12"/>
  <c r="D2326" i="12"/>
  <c r="D2070" i="12"/>
  <c r="D1982" i="12"/>
  <c r="D1886" i="12"/>
  <c r="D2766" i="12"/>
  <c r="D2694" i="12"/>
  <c r="D2550" i="12"/>
  <c r="D2166" i="12"/>
  <c r="D2086" i="12"/>
  <c r="D1998" i="12"/>
  <c r="E2789" i="12"/>
  <c r="E2701" i="12"/>
  <c r="E2598" i="12"/>
  <c r="E2118" i="12"/>
  <c r="D1870" i="12"/>
  <c r="D2566" i="12"/>
  <c r="D2230" i="12"/>
  <c r="D2182" i="12"/>
  <c r="D2030" i="12"/>
  <c r="D1918" i="12"/>
  <c r="D1902" i="12"/>
  <c r="E2909" i="12"/>
  <c r="D2758" i="12"/>
  <c r="D2806" i="12"/>
  <c r="D2390" i="12"/>
  <c r="D2014" i="12"/>
  <c r="D2646" i="12"/>
  <c r="D2310" i="12"/>
  <c r="D2046" i="12"/>
  <c r="D1934" i="12"/>
  <c r="D1878" i="12"/>
  <c r="D1830" i="12"/>
  <c r="E2590" i="12"/>
  <c r="E2328" i="12"/>
  <c r="D2328" i="12"/>
  <c r="E2224" i="12"/>
  <c r="D2224" i="12"/>
  <c r="E2160" i="12"/>
  <c r="D2160" i="12"/>
  <c r="E1704" i="12"/>
  <c r="D1704" i="12"/>
  <c r="E744" i="12"/>
  <c r="D744" i="12"/>
  <c r="E136" i="12"/>
  <c r="D136" i="12"/>
  <c r="D2552" i="12"/>
  <c r="E2672" i="12"/>
  <c r="D2672" i="12"/>
  <c r="E1976" i="12"/>
  <c r="D1976" i="12"/>
  <c r="E1816" i="12"/>
  <c r="D1816" i="12"/>
  <c r="E920" i="12"/>
  <c r="D920" i="12"/>
  <c r="E632" i="12"/>
  <c r="D632" i="12"/>
  <c r="E496" i="12"/>
  <c r="D496" i="12"/>
  <c r="E384" i="12"/>
  <c r="D384" i="12"/>
  <c r="E2982" i="12"/>
  <c r="D2982" i="12"/>
  <c r="D2966" i="12"/>
  <c r="E2966" i="12"/>
  <c r="E2846" i="12"/>
  <c r="D2846" i="12"/>
  <c r="D2790" i="12"/>
  <c r="E2790" i="12"/>
  <c r="D2774" i="12"/>
  <c r="E2774" i="12"/>
  <c r="E2750" i="12"/>
  <c r="D2750" i="12"/>
  <c r="E2638" i="12"/>
  <c r="D2638" i="12"/>
  <c r="E2606" i="12"/>
  <c r="D2606" i="12"/>
  <c r="E2574" i="12"/>
  <c r="D2574" i="12"/>
  <c r="E2494" i="12"/>
  <c r="D2494" i="12"/>
  <c r="E2478" i="12"/>
  <c r="D2478" i="12"/>
  <c r="D2470" i="12"/>
  <c r="E2470" i="12"/>
  <c r="E2462" i="12"/>
  <c r="D2462" i="12"/>
  <c r="E2454" i="12"/>
  <c r="D2454" i="12"/>
  <c r="E2438" i="12"/>
  <c r="D2438" i="12"/>
  <c r="E2414" i="12"/>
  <c r="D2414" i="12"/>
  <c r="E2398" i="12"/>
  <c r="D2398" i="12"/>
  <c r="E2382" i="12"/>
  <c r="D2382" i="12"/>
  <c r="E2366" i="12"/>
  <c r="D2366" i="12"/>
  <c r="E2350" i="12"/>
  <c r="D2350" i="12"/>
  <c r="E2342" i="12"/>
  <c r="D2342" i="12"/>
  <c r="E2318" i="12"/>
  <c r="D2318" i="12"/>
  <c r="E2302" i="12"/>
  <c r="D2302" i="12"/>
  <c r="E2294" i="12"/>
  <c r="D2294" i="12"/>
  <c r="D2286" i="12"/>
  <c r="E2286" i="12"/>
  <c r="E2270" i="12"/>
  <c r="D2270" i="12"/>
  <c r="E2254" i="12"/>
  <c r="D2254" i="12"/>
  <c r="E2238" i="12"/>
  <c r="D2238" i="12"/>
  <c r="E1782" i="12"/>
  <c r="D1782" i="12"/>
  <c r="E1168" i="12"/>
  <c r="D1168" i="12"/>
  <c r="E888" i="12"/>
  <c r="D888" i="12"/>
  <c r="E112" i="12"/>
  <c r="D112" i="12"/>
  <c r="E2990" i="12"/>
  <c r="D2990" i="12"/>
  <c r="E2958" i="12"/>
  <c r="D2958" i="12"/>
  <c r="E2910" i="12"/>
  <c r="D2910" i="12"/>
  <c r="E2830" i="12"/>
  <c r="D2830" i="12"/>
  <c r="E2798" i="12"/>
  <c r="D2798" i="12"/>
  <c r="E2734" i="12"/>
  <c r="D2734" i="12"/>
  <c r="E2726" i="12"/>
  <c r="D2726" i="12"/>
  <c r="D2710" i="12"/>
  <c r="E2710" i="12"/>
  <c r="E2686" i="12"/>
  <c r="D2686" i="12"/>
  <c r="E2654" i="12"/>
  <c r="D2654" i="12"/>
  <c r="E2622" i="12"/>
  <c r="D2622" i="12"/>
  <c r="E2582" i="12"/>
  <c r="D2582" i="12"/>
  <c r="E2558" i="12"/>
  <c r="D2558" i="12"/>
  <c r="E2542" i="12"/>
  <c r="D2542" i="12"/>
  <c r="E2526" i="12"/>
  <c r="D2526" i="12"/>
  <c r="D2334" i="12"/>
  <c r="E2334" i="12"/>
  <c r="D2926" i="12"/>
  <c r="D2678" i="12"/>
  <c r="D2502" i="12"/>
  <c r="D2406" i="12"/>
  <c r="D1856" i="12"/>
  <c r="D1264" i="12"/>
  <c r="E2518" i="12"/>
  <c r="E2696" i="12"/>
  <c r="D2696" i="12"/>
  <c r="E2512" i="12"/>
  <c r="D2512" i="12"/>
  <c r="E2408" i="12"/>
  <c r="D2408" i="12"/>
  <c r="E1360" i="12"/>
  <c r="D1360" i="12"/>
  <c r="E1048" i="12"/>
  <c r="D1048" i="12"/>
  <c r="E720" i="12"/>
  <c r="D720" i="12"/>
  <c r="E296" i="12"/>
  <c r="D296" i="12"/>
  <c r="E2814" i="12"/>
  <c r="E208" i="12"/>
  <c r="D208" i="12"/>
  <c r="E144" i="12"/>
  <c r="D144" i="12"/>
  <c r="E56" i="12"/>
  <c r="D56" i="12"/>
  <c r="D2998" i="12"/>
  <c r="D2974" i="12"/>
  <c r="D2918" i="12"/>
  <c r="D2822" i="12"/>
  <c r="E2510" i="12"/>
  <c r="E2446" i="12"/>
  <c r="E1512" i="12"/>
  <c r="D1512" i="12"/>
  <c r="E808" i="12"/>
  <c r="D808" i="12"/>
  <c r="E568" i="12"/>
  <c r="D568" i="12"/>
  <c r="D1008" i="12"/>
  <c r="D2902" i="12"/>
  <c r="D2862" i="12"/>
  <c r="D2782" i="12"/>
  <c r="D2838" i="12"/>
  <c r="D2534" i="12"/>
  <c r="D408" i="12"/>
  <c r="E2430" i="12"/>
  <c r="E2304" i="12"/>
  <c r="D2304" i="12"/>
  <c r="E1304" i="12"/>
  <c r="D1304" i="12"/>
  <c r="E472" i="12"/>
  <c r="D472" i="12"/>
  <c r="E48" i="12"/>
  <c r="D48" i="12"/>
  <c r="D1552" i="12"/>
  <c r="E2942" i="12"/>
  <c r="D2942" i="12"/>
  <c r="D2960" i="12"/>
  <c r="D2614" i="12"/>
  <c r="D2936" i="12"/>
  <c r="D2878" i="12"/>
  <c r="D2854" i="12"/>
  <c r="D2670" i="12"/>
  <c r="D2630" i="12"/>
  <c r="D2422" i="12"/>
  <c r="D2262" i="12"/>
  <c r="E2184" i="12"/>
  <c r="D2184" i="12"/>
  <c r="E1456" i="12"/>
  <c r="D1456" i="12"/>
  <c r="E936" i="12"/>
  <c r="D936" i="12"/>
  <c r="E656" i="12"/>
  <c r="D656" i="12"/>
  <c r="E200" i="12"/>
  <c r="D200" i="12"/>
  <c r="E168" i="12"/>
  <c r="D168" i="12"/>
  <c r="E120" i="12"/>
  <c r="D120" i="12"/>
  <c r="D2932" i="12"/>
  <c r="D2884" i="12"/>
  <c r="D2868" i="12"/>
  <c r="D2548" i="12"/>
  <c r="D2484" i="12"/>
  <c r="D2420" i="12"/>
  <c r="D2404" i="12"/>
  <c r="D2388" i="12"/>
  <c r="D2372" i="12"/>
  <c r="D2356" i="12"/>
  <c r="D2324" i="12"/>
  <c r="D2308" i="12"/>
  <c r="D2276" i="12"/>
  <c r="D2260" i="12"/>
  <c r="D2244" i="12"/>
  <c r="D2214" i="12"/>
  <c r="D2198" i="12"/>
  <c r="D1900" i="12"/>
  <c r="D1868" i="12"/>
  <c r="D1854" i="12"/>
  <c r="D1806" i="12"/>
  <c r="D1790" i="12"/>
  <c r="D1774" i="12"/>
  <c r="D1756" i="12"/>
  <c r="D1740" i="12"/>
  <c r="D1724" i="12"/>
  <c r="D1708" i="12"/>
  <c r="D1692" i="12"/>
  <c r="D1660" i="12"/>
  <c r="D1644" i="12"/>
  <c r="D1596" i="12"/>
  <c r="D1580" i="12"/>
  <c r="D1550" i="12"/>
  <c r="D1534" i="12"/>
  <c r="D1518" i="12"/>
  <c r="D1502" i="12"/>
  <c r="D1486" i="12"/>
  <c r="D1470" i="12"/>
  <c r="D1438" i="12"/>
  <c r="D1422" i="12"/>
  <c r="D1406" i="12"/>
  <c r="D1374" i="12"/>
  <c r="D1310" i="12"/>
  <c r="D1198" i="12"/>
  <c r="D1054" i="12"/>
  <c r="D894" i="12"/>
  <c r="D878" i="12"/>
  <c r="D718" i="12"/>
  <c r="D686" i="12"/>
  <c r="D614" i="12"/>
  <c r="D582" i="12"/>
  <c r="D534" i="12"/>
  <c r="D518" i="12"/>
  <c r="D502" i="12"/>
  <c r="D486" i="12"/>
  <c r="D422" i="12"/>
  <c r="D406" i="12"/>
  <c r="D390" i="12"/>
  <c r="D358" i="12"/>
  <c r="D342" i="12"/>
  <c r="D326" i="12"/>
  <c r="E2476" i="12"/>
  <c r="E1798" i="12"/>
  <c r="E1558" i="12"/>
  <c r="E1510" i="12"/>
  <c r="E830" i="12"/>
  <c r="E758" i="12"/>
  <c r="E1206" i="12"/>
  <c r="D1206" i="12"/>
  <c r="E1158" i="12"/>
  <c r="D1158" i="12"/>
  <c r="E1142" i="12"/>
  <c r="D1142" i="12"/>
  <c r="E918" i="12"/>
  <c r="D918" i="12"/>
  <c r="E902" i="12"/>
  <c r="D902" i="12"/>
  <c r="E870" i="12"/>
  <c r="D870" i="12"/>
  <c r="E854" i="12"/>
  <c r="D854" i="12"/>
  <c r="E838" i="12"/>
  <c r="D838" i="12"/>
  <c r="E822" i="12"/>
  <c r="D822" i="12"/>
  <c r="E806" i="12"/>
  <c r="D806" i="12"/>
  <c r="E782" i="12"/>
  <c r="D782" i="12"/>
  <c r="E774" i="12"/>
  <c r="D774" i="12"/>
  <c r="E766" i="12"/>
  <c r="D766" i="12"/>
  <c r="E742" i="12"/>
  <c r="D742" i="12"/>
  <c r="D734" i="12"/>
  <c r="E734" i="12"/>
  <c r="E726" i="12"/>
  <c r="D726" i="12"/>
  <c r="E678" i="12"/>
  <c r="D678" i="12"/>
  <c r="E670" i="12"/>
  <c r="D670" i="12"/>
  <c r="E662" i="12"/>
  <c r="D662" i="12"/>
  <c r="D414" i="12"/>
  <c r="E414" i="12"/>
  <c r="E206" i="12"/>
  <c r="D206" i="12"/>
  <c r="E198" i="12"/>
  <c r="D198" i="12"/>
  <c r="D182" i="12"/>
  <c r="E182" i="12"/>
  <c r="E166" i="12"/>
  <c r="D166" i="12"/>
  <c r="E150" i="12"/>
  <c r="D150" i="12"/>
  <c r="E118" i="12"/>
  <c r="D118" i="12"/>
  <c r="D110" i="12"/>
  <c r="E110" i="12"/>
  <c r="E102" i="12"/>
  <c r="D102" i="12"/>
  <c r="D94" i="12"/>
  <c r="E94" i="12"/>
  <c r="E86" i="12"/>
  <c r="D86" i="12"/>
  <c r="D2102" i="12"/>
  <c r="D2054" i="12"/>
  <c r="D2038" i="12"/>
  <c r="D2006" i="12"/>
  <c r="D1990" i="12"/>
  <c r="D1958" i="12"/>
  <c r="D1942" i="12"/>
  <c r="D1926" i="12"/>
  <c r="D1638" i="12"/>
  <c r="D1622" i="12"/>
  <c r="D1574" i="12"/>
  <c r="D1262" i="12"/>
  <c r="E2508" i="12"/>
  <c r="E1780" i="12"/>
  <c r="E1652" i="12"/>
  <c r="E1542" i="12"/>
  <c r="E1462" i="12"/>
  <c r="E982" i="12"/>
  <c r="E750" i="12"/>
  <c r="E1188" i="12"/>
  <c r="D1188" i="12"/>
  <c r="E1172" i="12"/>
  <c r="D1172" i="12"/>
  <c r="D2924" i="12"/>
  <c r="D2892" i="12"/>
  <c r="D2860" i="12"/>
  <c r="D2540" i="12"/>
  <c r="D2492" i="12"/>
  <c r="D2412" i="12"/>
  <c r="D2396" i="12"/>
  <c r="D2380" i="12"/>
  <c r="D2348" i="12"/>
  <c r="D2268" i="12"/>
  <c r="D2252" i="12"/>
  <c r="D2236" i="12"/>
  <c r="D2190" i="12"/>
  <c r="D1972" i="12"/>
  <c r="D1908" i="12"/>
  <c r="D1876" i="12"/>
  <c r="D1860" i="12"/>
  <c r="D1846" i="12"/>
  <c r="D1828" i="12"/>
  <c r="D1814" i="12"/>
  <c r="D1764" i="12"/>
  <c r="D1748" i="12"/>
  <c r="D1732" i="12"/>
  <c r="D1716" i="12"/>
  <c r="D1700" i="12"/>
  <c r="D1684" i="12"/>
  <c r="D1668" i="12"/>
  <c r="D1604" i="12"/>
  <c r="D1526" i="12"/>
  <c r="D1494" i="12"/>
  <c r="D1478" i="12"/>
  <c r="D1446" i="12"/>
  <c r="D1430" i="12"/>
  <c r="D1414" i="12"/>
  <c r="D1382" i="12"/>
  <c r="D1366" i="12"/>
  <c r="D1318" i="12"/>
  <c r="D1134" i="12"/>
  <c r="D1062" i="12"/>
  <c r="D886" i="12"/>
  <c r="D710" i="12"/>
  <c r="D694" i="12"/>
  <c r="D654" i="12"/>
  <c r="D638" i="12"/>
  <c r="D606" i="12"/>
  <c r="D574" i="12"/>
  <c r="D542" i="12"/>
  <c r="D510" i="12"/>
  <c r="D478" i="12"/>
  <c r="D334" i="12"/>
  <c r="D190" i="12"/>
  <c r="E1046" i="12"/>
  <c r="E2142" i="12"/>
  <c r="D2300" i="12"/>
  <c r="D2284" i="12"/>
  <c r="D2222" i="12"/>
  <c r="D2204" i="12"/>
  <c r="D2174" i="12"/>
  <c r="D2126" i="12"/>
  <c r="D2078" i="12"/>
  <c r="D2062" i="12"/>
  <c r="D1844" i="12"/>
  <c r="D1796" i="12"/>
  <c r="D1398" i="12"/>
  <c r="D1350" i="12"/>
  <c r="D1334" i="12"/>
  <c r="D1302" i="12"/>
  <c r="D1270" i="12"/>
  <c r="D1238" i="12"/>
  <c r="D1222" i="12"/>
  <c r="D1094" i="12"/>
  <c r="D1078" i="12"/>
  <c r="D1030" i="12"/>
  <c r="D1014" i="12"/>
  <c r="D998" i="12"/>
  <c r="D966" i="12"/>
  <c r="D950" i="12"/>
  <c r="D846" i="12"/>
  <c r="D2158" i="12"/>
  <c r="D2110" i="12"/>
  <c r="D2094" i="12"/>
  <c r="D1124" i="12"/>
  <c r="D1108" i="12"/>
  <c r="D62" i="12"/>
  <c r="D2991" i="12"/>
  <c r="D2648" i="12"/>
  <c r="D2599" i="12"/>
  <c r="D2368" i="12"/>
  <c r="D2087" i="12"/>
  <c r="D1664" i="12"/>
  <c r="D1400" i="12"/>
  <c r="E2424" i="12"/>
  <c r="D1335" i="12"/>
  <c r="D2896" i="12"/>
  <c r="D2736" i="12"/>
  <c r="D2488" i="12"/>
  <c r="E2829" i="12"/>
  <c r="D2984" i="12"/>
  <c r="D1847" i="12"/>
  <c r="D1575" i="12"/>
  <c r="D2359" i="12"/>
  <c r="E2937" i="12"/>
  <c r="D2937" i="12"/>
  <c r="E2905" i="12"/>
  <c r="D2905" i="12"/>
  <c r="E2753" i="12"/>
  <c r="D2753" i="12"/>
  <c r="E2705" i="12"/>
  <c r="D2705" i="12"/>
  <c r="E2417" i="12"/>
  <c r="D2417" i="12"/>
  <c r="E2361" i="12"/>
  <c r="D2361" i="12"/>
  <c r="E2209" i="12"/>
  <c r="D2209" i="12"/>
  <c r="E2161" i="12"/>
  <c r="D2161" i="12"/>
  <c r="E2089" i="12"/>
  <c r="D2089" i="12"/>
  <c r="E2049" i="12"/>
  <c r="D2049" i="12"/>
  <c r="E2001" i="12"/>
  <c r="D2001" i="12"/>
  <c r="E1969" i="12"/>
  <c r="D1969" i="12"/>
  <c r="D1889" i="12"/>
  <c r="E1889" i="12"/>
  <c r="E1841" i="12"/>
  <c r="D1841" i="12"/>
  <c r="E1793" i="12"/>
  <c r="D1793" i="12"/>
  <c r="D1489" i="12"/>
  <c r="E1489" i="12"/>
  <c r="E1449" i="12"/>
  <c r="D1449" i="12"/>
  <c r="E1353" i="12"/>
  <c r="D1353" i="12"/>
  <c r="E1273" i="12"/>
  <c r="D1273" i="12"/>
  <c r="E1233" i="12"/>
  <c r="D1233" i="12"/>
  <c r="E1129" i="12"/>
  <c r="D1129" i="12"/>
  <c r="E1089" i="12"/>
  <c r="D1089" i="12"/>
  <c r="E1041" i="12"/>
  <c r="D1041" i="12"/>
  <c r="E1001" i="12"/>
  <c r="D1001" i="12"/>
  <c r="E953" i="12"/>
  <c r="D953" i="12"/>
  <c r="E865" i="12"/>
  <c r="D865" i="12"/>
  <c r="E817" i="12"/>
  <c r="D817" i="12"/>
  <c r="E777" i="12"/>
  <c r="D777" i="12"/>
  <c r="E737" i="12"/>
  <c r="D737" i="12"/>
  <c r="D673" i="12"/>
  <c r="E673" i="12"/>
  <c r="E625" i="12"/>
  <c r="D625" i="12"/>
  <c r="E585" i="12"/>
  <c r="D585" i="12"/>
  <c r="E529" i="12"/>
  <c r="D529" i="12"/>
  <c r="E465" i="12"/>
  <c r="D465" i="12"/>
  <c r="E361" i="12"/>
  <c r="D361" i="12"/>
  <c r="E313" i="12"/>
  <c r="D313" i="12"/>
  <c r="E281" i="12"/>
  <c r="D281" i="12"/>
  <c r="E257" i="12"/>
  <c r="D257" i="12"/>
  <c r="E225" i="12"/>
  <c r="D225" i="12"/>
  <c r="E169" i="12"/>
  <c r="D169" i="12"/>
  <c r="E137" i="12"/>
  <c r="D137" i="12"/>
  <c r="E105" i="12"/>
  <c r="D105" i="12"/>
  <c r="E41" i="12"/>
  <c r="D41" i="12"/>
  <c r="D2833" i="12"/>
  <c r="E2904" i="12"/>
  <c r="D2904" i="12"/>
  <c r="E2808" i="12"/>
  <c r="D2808" i="12"/>
  <c r="E2752" i="12"/>
  <c r="D2752" i="12"/>
  <c r="E2720" i="12"/>
  <c r="D2720" i="12"/>
  <c r="D2664" i="12"/>
  <c r="E2664" i="12"/>
  <c r="E2384" i="12"/>
  <c r="D2384" i="12"/>
  <c r="E2272" i="12"/>
  <c r="D2272" i="12"/>
  <c r="D2248" i="12"/>
  <c r="E2248" i="12"/>
  <c r="E2232" i="12"/>
  <c r="D2232" i="12"/>
  <c r="E2144" i="12"/>
  <c r="D2144" i="12"/>
  <c r="E2120" i="12"/>
  <c r="D2120" i="12"/>
  <c r="E2064" i="12"/>
  <c r="D2064" i="12"/>
  <c r="E2048" i="12"/>
  <c r="D2048" i="12"/>
  <c r="E2032" i="12"/>
  <c r="D2032" i="12"/>
  <c r="E1984" i="12"/>
  <c r="D1984" i="12"/>
  <c r="E1904" i="12"/>
  <c r="D1904" i="12"/>
  <c r="E1864" i="12"/>
  <c r="D1864" i="12"/>
  <c r="E1776" i="12"/>
  <c r="D1776" i="12"/>
  <c r="E1720" i="12"/>
  <c r="D1720" i="12"/>
  <c r="E1712" i="12"/>
  <c r="D1712" i="12"/>
  <c r="E1688" i="12"/>
  <c r="D1688" i="12"/>
  <c r="E1640" i="12"/>
  <c r="D1640" i="12"/>
  <c r="E1624" i="12"/>
  <c r="D1624" i="12"/>
  <c r="D1600" i="12"/>
  <c r="E1600" i="12"/>
  <c r="E1592" i="12"/>
  <c r="D1592" i="12"/>
  <c r="E1568" i="12"/>
  <c r="D1568" i="12"/>
  <c r="D1544" i="12"/>
  <c r="E1544" i="12"/>
  <c r="E1464" i="12"/>
  <c r="D1464" i="12"/>
  <c r="D1416" i="12"/>
  <c r="E1416" i="12"/>
  <c r="E1392" i="12"/>
  <c r="D1392" i="12"/>
  <c r="E1344" i="12"/>
  <c r="D1344" i="12"/>
  <c r="E1032" i="12"/>
  <c r="D1032" i="12"/>
  <c r="D2992" i="12"/>
  <c r="D2968" i="12"/>
  <c r="D2920" i="12"/>
  <c r="D2856" i="12"/>
  <c r="D2832" i="12"/>
  <c r="D2769" i="12"/>
  <c r="D2744" i="12"/>
  <c r="D2656" i="12"/>
  <c r="D2609" i="12"/>
  <c r="D2585" i="12"/>
  <c r="D2560" i="12"/>
  <c r="D2472" i="12"/>
  <c r="D2392" i="12"/>
  <c r="D2289" i="12"/>
  <c r="D2249" i="12"/>
  <c r="D2208" i="12"/>
  <c r="D2104" i="12"/>
  <c r="D2040" i="12"/>
  <c r="D2000" i="12"/>
  <c r="D1921" i="12"/>
  <c r="D1880" i="12"/>
  <c r="D1617" i="12"/>
  <c r="D1576" i="12"/>
  <c r="D1248" i="12"/>
  <c r="D1209" i="12"/>
  <c r="D1192" i="12"/>
  <c r="D1080" i="12"/>
  <c r="D833" i="12"/>
  <c r="D712" i="12"/>
  <c r="D680" i="12"/>
  <c r="D457" i="12"/>
  <c r="E1689" i="12"/>
  <c r="E185" i="12"/>
  <c r="D2857" i="12"/>
  <c r="E2857" i="12"/>
  <c r="E2513" i="12"/>
  <c r="D2513" i="12"/>
  <c r="E2401" i="12"/>
  <c r="D2401" i="12"/>
  <c r="E2345" i="12"/>
  <c r="D2345" i="12"/>
  <c r="E2265" i="12"/>
  <c r="D2265" i="12"/>
  <c r="E2217" i="12"/>
  <c r="D2217" i="12"/>
  <c r="E2113" i="12"/>
  <c r="D2113" i="12"/>
  <c r="E2009" i="12"/>
  <c r="D2009" i="12"/>
  <c r="E1905" i="12"/>
  <c r="D1905" i="12"/>
  <c r="E1809" i="12"/>
  <c r="D1809" i="12"/>
  <c r="D1721" i="12"/>
  <c r="E1721" i="12"/>
  <c r="D1673" i="12"/>
  <c r="E1673" i="12"/>
  <c r="E1457" i="12"/>
  <c r="D1457" i="12"/>
  <c r="E1409" i="12"/>
  <c r="D1409" i="12"/>
  <c r="E1305" i="12"/>
  <c r="D1305" i="12"/>
  <c r="E1193" i="12"/>
  <c r="D1193" i="12"/>
  <c r="E1025" i="12"/>
  <c r="D1025" i="12"/>
  <c r="E985" i="12"/>
  <c r="D985" i="12"/>
  <c r="E881" i="12"/>
  <c r="D881" i="12"/>
  <c r="E841" i="12"/>
  <c r="D841" i="12"/>
  <c r="E729" i="12"/>
  <c r="D729" i="12"/>
  <c r="E689" i="12"/>
  <c r="D689" i="12"/>
  <c r="E641" i="12"/>
  <c r="D641" i="12"/>
  <c r="E609" i="12"/>
  <c r="D609" i="12"/>
  <c r="E561" i="12"/>
  <c r="D561" i="12"/>
  <c r="E513" i="12"/>
  <c r="D513" i="12"/>
  <c r="E417" i="12"/>
  <c r="D417" i="12"/>
  <c r="E377" i="12"/>
  <c r="D377" i="12"/>
  <c r="D345" i="12"/>
  <c r="E345" i="12"/>
  <c r="E297" i="12"/>
  <c r="D297" i="12"/>
  <c r="E209" i="12"/>
  <c r="D209" i="12"/>
  <c r="E177" i="12"/>
  <c r="D177" i="12"/>
  <c r="E153" i="12"/>
  <c r="D153" i="12"/>
  <c r="E121" i="12"/>
  <c r="D121" i="12"/>
  <c r="E49" i="12"/>
  <c r="D49" i="12"/>
  <c r="D2657" i="12"/>
  <c r="E2912" i="12"/>
  <c r="D2912" i="12"/>
  <c r="E2632" i="12"/>
  <c r="D2632" i="12"/>
  <c r="E2600" i="12"/>
  <c r="D2600" i="12"/>
  <c r="E2448" i="12"/>
  <c r="D2448" i="12"/>
  <c r="E2240" i="12"/>
  <c r="D2240" i="12"/>
  <c r="E2168" i="12"/>
  <c r="D2168" i="12"/>
  <c r="E2152" i="12"/>
  <c r="D2152" i="12"/>
  <c r="E2128" i="12"/>
  <c r="D2128" i="12"/>
  <c r="E2112" i="12"/>
  <c r="D2112" i="12"/>
  <c r="E2096" i="12"/>
  <c r="D2096" i="12"/>
  <c r="E2056" i="12"/>
  <c r="D2056" i="12"/>
  <c r="E2016" i="12"/>
  <c r="D2016" i="12"/>
  <c r="E1960" i="12"/>
  <c r="D1960" i="12"/>
  <c r="E1944" i="12"/>
  <c r="D1944" i="12"/>
  <c r="E1928" i="12"/>
  <c r="D1928" i="12"/>
  <c r="E1912" i="12"/>
  <c r="D1912" i="12"/>
  <c r="E1896" i="12"/>
  <c r="D1896" i="12"/>
  <c r="E1872" i="12"/>
  <c r="D1872" i="12"/>
  <c r="E1840" i="12"/>
  <c r="D1840" i="12"/>
  <c r="E1760" i="12"/>
  <c r="D1760" i="12"/>
  <c r="E1752" i="12"/>
  <c r="D1752" i="12"/>
  <c r="E1728" i="12"/>
  <c r="D1728" i="12"/>
  <c r="E1648" i="12"/>
  <c r="D1648" i="12"/>
  <c r="E1632" i="12"/>
  <c r="D1632" i="12"/>
  <c r="E1608" i="12"/>
  <c r="D1608" i="12"/>
  <c r="E1560" i="12"/>
  <c r="D1560" i="12"/>
  <c r="E1536" i="12"/>
  <c r="D1536" i="12"/>
  <c r="E1504" i="12"/>
  <c r="D1504" i="12"/>
  <c r="E1496" i="12"/>
  <c r="D1496" i="12"/>
  <c r="E1440" i="12"/>
  <c r="D1440" i="12"/>
  <c r="E1408" i="12"/>
  <c r="D1408" i="12"/>
  <c r="E1384" i="12"/>
  <c r="D1384" i="12"/>
  <c r="E1376" i="12"/>
  <c r="D1376" i="12"/>
  <c r="E1312" i="12"/>
  <c r="D1312" i="12"/>
  <c r="D2944" i="12"/>
  <c r="D2793" i="12"/>
  <c r="D2768" i="12"/>
  <c r="D2681" i="12"/>
  <c r="D2584" i="12"/>
  <c r="D2496" i="12"/>
  <c r="D2433" i="12"/>
  <c r="D2312" i="12"/>
  <c r="D2273" i="12"/>
  <c r="D2169" i="12"/>
  <c r="D2129" i="12"/>
  <c r="D2088" i="12"/>
  <c r="D2065" i="12"/>
  <c r="D2024" i="12"/>
  <c r="D1920" i="12"/>
  <c r="D1865" i="12"/>
  <c r="D1824" i="12"/>
  <c r="D1784" i="12"/>
  <c r="D1769" i="12"/>
  <c r="D1672" i="12"/>
  <c r="D1616" i="12"/>
  <c r="D1521" i="12"/>
  <c r="D1480" i="12"/>
  <c r="D1425" i="12"/>
  <c r="D1368" i="12"/>
  <c r="D1136" i="12"/>
  <c r="D1121" i="12"/>
  <c r="D785" i="12"/>
  <c r="D544" i="12"/>
  <c r="E2729" i="12"/>
  <c r="E2441" i="12"/>
  <c r="E2233" i="12"/>
  <c r="E1937" i="12"/>
  <c r="E905" i="12"/>
  <c r="E233" i="12"/>
  <c r="E201" i="12"/>
  <c r="D2745" i="12"/>
  <c r="D2473" i="12"/>
  <c r="E1849" i="12"/>
  <c r="E2872" i="12"/>
  <c r="D2872" i="12"/>
  <c r="E2320" i="12"/>
  <c r="D2320" i="12"/>
  <c r="E1800" i="12"/>
  <c r="D1800" i="12"/>
  <c r="D2457" i="12"/>
  <c r="D2257" i="12"/>
  <c r="D1729" i="12"/>
  <c r="D1520" i="12"/>
  <c r="D1465" i="12"/>
  <c r="D1329" i="12"/>
  <c r="D1313" i="12"/>
  <c r="D1272" i="12"/>
  <c r="D1217" i="12"/>
  <c r="D1105" i="12"/>
  <c r="D961" i="12"/>
  <c r="D873" i="12"/>
  <c r="D481" i="12"/>
  <c r="D145" i="12"/>
  <c r="E1953" i="12"/>
  <c r="E1936" i="12"/>
  <c r="E1152" i="12"/>
  <c r="E921" i="12"/>
  <c r="E249" i="12"/>
  <c r="E2977" i="12"/>
  <c r="D2977" i="12"/>
  <c r="E2873" i="12"/>
  <c r="D2873" i="12"/>
  <c r="E2697" i="12"/>
  <c r="D2697" i="12"/>
  <c r="E2665" i="12"/>
  <c r="D2665" i="12"/>
  <c r="E2489" i="12"/>
  <c r="D2489" i="12"/>
  <c r="E2393" i="12"/>
  <c r="D2393" i="12"/>
  <c r="E2297" i="12"/>
  <c r="D2297" i="12"/>
  <c r="E2193" i="12"/>
  <c r="D2193" i="12"/>
  <c r="E2025" i="12"/>
  <c r="D2025" i="12"/>
  <c r="E1881" i="12"/>
  <c r="D1881" i="12"/>
  <c r="E1825" i="12"/>
  <c r="D1825" i="12"/>
  <c r="E1777" i="12"/>
  <c r="D1777" i="12"/>
  <c r="E1745" i="12"/>
  <c r="D1745" i="12"/>
  <c r="E1705" i="12"/>
  <c r="D1705" i="12"/>
  <c r="E1593" i="12"/>
  <c r="D1593" i="12"/>
  <c r="E1561" i="12"/>
  <c r="D1561" i="12"/>
  <c r="E1537" i="12"/>
  <c r="D1537" i="12"/>
  <c r="E1505" i="12"/>
  <c r="D1505" i="12"/>
  <c r="E1337" i="12"/>
  <c r="D1337" i="12"/>
  <c r="E1289" i="12"/>
  <c r="D1289" i="12"/>
  <c r="E1257" i="12"/>
  <c r="D1257" i="12"/>
  <c r="E1161" i="12"/>
  <c r="D1161" i="12"/>
  <c r="E1065" i="12"/>
  <c r="D1065" i="12"/>
  <c r="E1017" i="12"/>
  <c r="D1017" i="12"/>
  <c r="E929" i="12"/>
  <c r="D929" i="12"/>
  <c r="D889" i="12"/>
  <c r="E889" i="12"/>
  <c r="D857" i="12"/>
  <c r="E857" i="12"/>
  <c r="E809" i="12"/>
  <c r="D809" i="12"/>
  <c r="E697" i="12"/>
  <c r="D697" i="12"/>
  <c r="E649" i="12"/>
  <c r="D649" i="12"/>
  <c r="D545" i="12"/>
  <c r="E545" i="12"/>
  <c r="E505" i="12"/>
  <c r="D505" i="12"/>
  <c r="E449" i="12"/>
  <c r="D449" i="12"/>
  <c r="E353" i="12"/>
  <c r="D353" i="12"/>
  <c r="E305" i="12"/>
  <c r="D305" i="12"/>
  <c r="E273" i="12"/>
  <c r="D273" i="12"/>
  <c r="E241" i="12"/>
  <c r="D241" i="12"/>
  <c r="E113" i="12"/>
  <c r="D113" i="12"/>
  <c r="D89" i="12"/>
  <c r="E89" i="12"/>
  <c r="D2993" i="12"/>
  <c r="D2105" i="12"/>
  <c r="D2041" i="12"/>
  <c r="D1081" i="12"/>
  <c r="E2633" i="12"/>
  <c r="E73" i="12"/>
  <c r="E2928" i="12"/>
  <c r="D2928" i="12"/>
  <c r="E2576" i="12"/>
  <c r="D2576" i="12"/>
  <c r="E2544" i="12"/>
  <c r="D2544" i="12"/>
  <c r="E2504" i="12"/>
  <c r="D2504" i="12"/>
  <c r="E2456" i="12"/>
  <c r="D2456" i="12"/>
  <c r="D3000" i="12"/>
  <c r="D2816" i="12"/>
  <c r="D2777" i="12"/>
  <c r="D2704" i="12"/>
  <c r="D2520" i="12"/>
  <c r="D2336" i="12"/>
  <c r="D1985" i="12"/>
  <c r="D1945" i="12"/>
  <c r="D2953" i="12"/>
  <c r="D2641" i="12"/>
  <c r="D2616" i="12"/>
  <c r="D2545" i="12"/>
  <c r="D2480" i="12"/>
  <c r="D2400" i="12"/>
  <c r="D2296" i="12"/>
  <c r="D2256" i="12"/>
  <c r="D2216" i="12"/>
  <c r="D2137" i="12"/>
  <c r="D2073" i="12"/>
  <c r="D2008" i="12"/>
  <c r="D1888" i="12"/>
  <c r="D1848" i="12"/>
  <c r="D1696" i="12"/>
  <c r="D1641" i="12"/>
  <c r="D1585" i="12"/>
  <c r="D1433" i="12"/>
  <c r="D1216" i="12"/>
  <c r="D1160" i="12"/>
  <c r="D57" i="12"/>
  <c r="E2505" i="12"/>
  <c r="E265" i="12"/>
  <c r="E2969" i="12"/>
  <c r="D2969" i="12"/>
  <c r="E2409" i="12"/>
  <c r="D2409" i="12"/>
  <c r="E2353" i="12"/>
  <c r="D2353" i="12"/>
  <c r="E2305" i="12"/>
  <c r="D2305" i="12"/>
  <c r="E2177" i="12"/>
  <c r="D2177" i="12"/>
  <c r="E1977" i="12"/>
  <c r="D1977" i="12"/>
  <c r="E1929" i="12"/>
  <c r="D1929" i="12"/>
  <c r="E1657" i="12"/>
  <c r="D1657" i="12"/>
  <c r="E1633" i="12"/>
  <c r="D1633" i="12"/>
  <c r="E1577" i="12"/>
  <c r="D1577" i="12"/>
  <c r="E1529" i="12"/>
  <c r="D1529" i="12"/>
  <c r="E1441" i="12"/>
  <c r="D1441" i="12"/>
  <c r="E1385" i="12"/>
  <c r="D1385" i="12"/>
  <c r="E1265" i="12"/>
  <c r="D1265" i="12"/>
  <c r="E1225" i="12"/>
  <c r="D1225" i="12"/>
  <c r="D1185" i="12"/>
  <c r="E1185" i="12"/>
  <c r="E1153" i="12"/>
  <c r="D1153" i="12"/>
  <c r="E1113" i="12"/>
  <c r="D1113" i="12"/>
  <c r="E1057" i="12"/>
  <c r="D1057" i="12"/>
  <c r="E1009" i="12"/>
  <c r="D1009" i="12"/>
  <c r="D977" i="12"/>
  <c r="E977" i="12"/>
  <c r="E937" i="12"/>
  <c r="D937" i="12"/>
  <c r="D825" i="12"/>
  <c r="E825" i="12"/>
  <c r="E769" i="12"/>
  <c r="D769" i="12"/>
  <c r="E721" i="12"/>
  <c r="D721" i="12"/>
  <c r="E665" i="12"/>
  <c r="D665" i="12"/>
  <c r="E425" i="12"/>
  <c r="D425" i="12"/>
  <c r="E329" i="12"/>
  <c r="D329" i="12"/>
  <c r="D2921" i="12"/>
  <c r="D2721" i="12"/>
  <c r="D2537" i="12"/>
  <c r="D1249" i="12"/>
  <c r="E2792" i="12"/>
  <c r="D2792" i="12"/>
  <c r="E2760" i="12"/>
  <c r="D2760" i="12"/>
  <c r="E2608" i="12"/>
  <c r="D2608" i="12"/>
  <c r="E2568" i="12"/>
  <c r="D2568" i="12"/>
  <c r="E2536" i="12"/>
  <c r="D2536" i="12"/>
  <c r="D2432" i="12"/>
  <c r="E2432" i="12"/>
  <c r="E2352" i="12"/>
  <c r="D2352" i="12"/>
  <c r="E2288" i="12"/>
  <c r="D2288" i="12"/>
  <c r="D2881" i="12"/>
  <c r="D2728" i="12"/>
  <c r="D2153" i="12"/>
  <c r="D2929" i="12"/>
  <c r="D2865" i="12"/>
  <c r="D2776" i="12"/>
  <c r="D2952" i="12"/>
  <c r="D2889" i="12"/>
  <c r="D2864" i="12"/>
  <c r="D2801" i="12"/>
  <c r="D2713" i="12"/>
  <c r="D2689" i="12"/>
  <c r="D2625" i="12"/>
  <c r="D2601" i="12"/>
  <c r="D2529" i="12"/>
  <c r="D2440" i="12"/>
  <c r="D2360" i="12"/>
  <c r="D2321" i="12"/>
  <c r="D2281" i="12"/>
  <c r="D2176" i="12"/>
  <c r="D2136" i="12"/>
  <c r="D2072" i="12"/>
  <c r="D1968" i="12"/>
  <c r="D1833" i="12"/>
  <c r="D1792" i="12"/>
  <c r="D1737" i="12"/>
  <c r="D1681" i="12"/>
  <c r="D1584" i="12"/>
  <c r="D1545" i="12"/>
  <c r="D1488" i="12"/>
  <c r="D1432" i="12"/>
  <c r="D1393" i="12"/>
  <c r="D1377" i="12"/>
  <c r="D1336" i="12"/>
  <c r="D1296" i="12"/>
  <c r="D1144" i="12"/>
  <c r="D984" i="12"/>
  <c r="D897" i="12"/>
  <c r="D569" i="12"/>
  <c r="E2849" i="12"/>
  <c r="D2849" i="12"/>
  <c r="E2817" i="12"/>
  <c r="D2817" i="12"/>
  <c r="E2481" i="12"/>
  <c r="D2481" i="12"/>
  <c r="E2449" i="12"/>
  <c r="D2449" i="12"/>
  <c r="E2329" i="12"/>
  <c r="D2329" i="12"/>
  <c r="E1993" i="12"/>
  <c r="D1993" i="12"/>
  <c r="E1961" i="12"/>
  <c r="D1961" i="12"/>
  <c r="E1857" i="12"/>
  <c r="D1857" i="12"/>
  <c r="E1625" i="12"/>
  <c r="D1625" i="12"/>
  <c r="E1569" i="12"/>
  <c r="D1569" i="12"/>
  <c r="E1513" i="12"/>
  <c r="D1513" i="12"/>
  <c r="E1473" i="12"/>
  <c r="D1473" i="12"/>
  <c r="E1361" i="12"/>
  <c r="D1361" i="12"/>
  <c r="E1201" i="12"/>
  <c r="D1201" i="12"/>
  <c r="E1145" i="12"/>
  <c r="D1145" i="12"/>
  <c r="D1097" i="12"/>
  <c r="E1097" i="12"/>
  <c r="D1049" i="12"/>
  <c r="E1049" i="12"/>
  <c r="E945" i="12"/>
  <c r="D945" i="12"/>
  <c r="E793" i="12"/>
  <c r="D793" i="12"/>
  <c r="E753" i="12"/>
  <c r="D753" i="12"/>
  <c r="E713" i="12"/>
  <c r="D713" i="12"/>
  <c r="E681" i="12"/>
  <c r="D681" i="12"/>
  <c r="E633" i="12"/>
  <c r="D633" i="12"/>
  <c r="E601" i="12"/>
  <c r="D601" i="12"/>
  <c r="E553" i="12"/>
  <c r="D553" i="12"/>
  <c r="E521" i="12"/>
  <c r="D521" i="12"/>
  <c r="E489" i="12"/>
  <c r="D489" i="12"/>
  <c r="E433" i="12"/>
  <c r="D433" i="12"/>
  <c r="E337" i="12"/>
  <c r="D337" i="12"/>
  <c r="D1801" i="12"/>
  <c r="D1761" i="12"/>
  <c r="D1649" i="12"/>
  <c r="D1497" i="12"/>
  <c r="D1345" i="12"/>
  <c r="D993" i="12"/>
  <c r="D849" i="12"/>
  <c r="D593" i="12"/>
  <c r="E2880" i="12"/>
  <c r="D2880" i="12"/>
  <c r="E2840" i="12"/>
  <c r="D2840" i="12"/>
  <c r="E2264" i="12"/>
  <c r="D2264" i="12"/>
  <c r="E1808" i="12"/>
  <c r="D1808" i="12"/>
  <c r="D2841" i="12"/>
  <c r="D2680" i="12"/>
  <c r="D2617" i="12"/>
  <c r="D2593" i="12"/>
  <c r="D2376" i="12"/>
  <c r="D2192" i="12"/>
  <c r="D1768" i="12"/>
  <c r="D2976" i="12"/>
  <c r="D2592" i="12"/>
  <c r="D2985" i="12"/>
  <c r="D2961" i="12"/>
  <c r="D2913" i="12"/>
  <c r="D2888" i="12"/>
  <c r="D2848" i="12"/>
  <c r="D2824" i="12"/>
  <c r="D2800" i="12"/>
  <c r="D2737" i="12"/>
  <c r="D2712" i="12"/>
  <c r="D2649" i="12"/>
  <c r="D2624" i="12"/>
  <c r="D2553" i="12"/>
  <c r="D2528" i="12"/>
  <c r="D2465" i="12"/>
  <c r="D2385" i="12"/>
  <c r="D2344" i="12"/>
  <c r="D2241" i="12"/>
  <c r="D2201" i="12"/>
  <c r="D2097" i="12"/>
  <c r="D2033" i="12"/>
  <c r="D1992" i="12"/>
  <c r="D1952" i="12"/>
  <c r="D1736" i="12"/>
  <c r="D1281" i="12"/>
  <c r="D1241" i="12"/>
  <c r="D1169" i="12"/>
  <c r="D1073" i="12"/>
  <c r="D1056" i="12"/>
  <c r="D969" i="12"/>
  <c r="D896" i="12"/>
  <c r="D745" i="12"/>
  <c r="D657" i="12"/>
  <c r="D385" i="12"/>
  <c r="E2521" i="12"/>
  <c r="E2337" i="12"/>
  <c r="E1417" i="12"/>
  <c r="E3001" i="12"/>
  <c r="D3001" i="12"/>
  <c r="E2945" i="12"/>
  <c r="D2945" i="12"/>
  <c r="D2825" i="12"/>
  <c r="E2825" i="12"/>
  <c r="E2673" i="12"/>
  <c r="D2673" i="12"/>
  <c r="E2569" i="12"/>
  <c r="D2569" i="12"/>
  <c r="E2369" i="12"/>
  <c r="D2369" i="12"/>
  <c r="E2313" i="12"/>
  <c r="D2313" i="12"/>
  <c r="D2185" i="12"/>
  <c r="E2185" i="12"/>
  <c r="E2145" i="12"/>
  <c r="D2145" i="12"/>
  <c r="E2081" i="12"/>
  <c r="D2081" i="12"/>
  <c r="E1697" i="12"/>
  <c r="D1697" i="12"/>
  <c r="E1601" i="12"/>
  <c r="D1601" i="12"/>
  <c r="D473" i="12"/>
  <c r="E473" i="12"/>
  <c r="E401" i="12"/>
  <c r="D401" i="12"/>
  <c r="E217" i="12"/>
  <c r="D217" i="12"/>
  <c r="E193" i="12"/>
  <c r="D193" i="12"/>
  <c r="E161" i="12"/>
  <c r="D161" i="12"/>
  <c r="E129" i="12"/>
  <c r="D129" i="12"/>
  <c r="E97" i="12"/>
  <c r="D97" i="12"/>
  <c r="E65" i="12"/>
  <c r="D65" i="12"/>
  <c r="E2785" i="12"/>
  <c r="D2785" i="12"/>
  <c r="E2497" i="12"/>
  <c r="D2497" i="12"/>
  <c r="D2377" i="12"/>
  <c r="E2377" i="12"/>
  <c r="E1873" i="12"/>
  <c r="D1873" i="12"/>
  <c r="E1817" i="12"/>
  <c r="D1817" i="12"/>
  <c r="E1785" i="12"/>
  <c r="D1785" i="12"/>
  <c r="E1753" i="12"/>
  <c r="D1753" i="12"/>
  <c r="E1713" i="12"/>
  <c r="D1713" i="12"/>
  <c r="E1665" i="12"/>
  <c r="D1665" i="12"/>
  <c r="E1481" i="12"/>
  <c r="D1481" i="12"/>
  <c r="E1369" i="12"/>
  <c r="D1369" i="12"/>
  <c r="E1321" i="12"/>
  <c r="D1321" i="12"/>
  <c r="D1297" i="12"/>
  <c r="E1297" i="12"/>
  <c r="E1177" i="12"/>
  <c r="D1177" i="12"/>
  <c r="E1137" i="12"/>
  <c r="D1137" i="12"/>
  <c r="D1033" i="12"/>
  <c r="E1033" i="12"/>
  <c r="E913" i="12"/>
  <c r="D913" i="12"/>
  <c r="E801" i="12"/>
  <c r="D801" i="12"/>
  <c r="D761" i="12"/>
  <c r="E761" i="12"/>
  <c r="E705" i="12"/>
  <c r="D705" i="12"/>
  <c r="E617" i="12"/>
  <c r="D617" i="12"/>
  <c r="E577" i="12"/>
  <c r="D577" i="12"/>
  <c r="E537" i="12"/>
  <c r="D537" i="12"/>
  <c r="E497" i="12"/>
  <c r="D497" i="12"/>
  <c r="E441" i="12"/>
  <c r="D441" i="12"/>
  <c r="E409" i="12"/>
  <c r="D409" i="12"/>
  <c r="D369" i="12"/>
  <c r="E369" i="12"/>
  <c r="D289" i="12"/>
  <c r="E289" i="12"/>
  <c r="D2809" i="12"/>
  <c r="D2561" i="12"/>
  <c r="E2784" i="12"/>
  <c r="D2784" i="12"/>
  <c r="E2688" i="12"/>
  <c r="D2688" i="12"/>
  <c r="E2640" i="12"/>
  <c r="D2640" i="12"/>
  <c r="E2464" i="12"/>
  <c r="D2464" i="12"/>
  <c r="E2416" i="12"/>
  <c r="D2416" i="12"/>
  <c r="E2280" i="12"/>
  <c r="D2280" i="12"/>
  <c r="E2200" i="12"/>
  <c r="D2200" i="12"/>
  <c r="E2080" i="12"/>
  <c r="D2080" i="12"/>
  <c r="E1832" i="12"/>
  <c r="D1832" i="12"/>
  <c r="E1744" i="12"/>
  <c r="D1744" i="12"/>
  <c r="E1680" i="12"/>
  <c r="D1680" i="12"/>
  <c r="E1656" i="12"/>
  <c r="D1656" i="12"/>
  <c r="E1528" i="12"/>
  <c r="D1528" i="12"/>
  <c r="E1472" i="12"/>
  <c r="D1472" i="12"/>
  <c r="E1448" i="12"/>
  <c r="D1448" i="12"/>
  <c r="E1424" i="12"/>
  <c r="D1424" i="12"/>
  <c r="E1352" i="12"/>
  <c r="D1352" i="12"/>
  <c r="E1328" i="12"/>
  <c r="D1328" i="12"/>
  <c r="E1320" i="12"/>
  <c r="D1320" i="12"/>
  <c r="E1288" i="12"/>
  <c r="D1288" i="12"/>
  <c r="E1280" i="12"/>
  <c r="D1280" i="12"/>
  <c r="E1256" i="12"/>
  <c r="D1256" i="12"/>
  <c r="E1240" i="12"/>
  <c r="D1240" i="12"/>
  <c r="E1232" i="12"/>
  <c r="D1232" i="12"/>
  <c r="E1224" i="12"/>
  <c r="D1224" i="12"/>
  <c r="E1208" i="12"/>
  <c r="D1208" i="12"/>
  <c r="E1200" i="12"/>
  <c r="D1200" i="12"/>
  <c r="E1184" i="12"/>
  <c r="D1184" i="12"/>
  <c r="E1176" i="12"/>
  <c r="D1176" i="12"/>
  <c r="E1128" i="12"/>
  <c r="D1128" i="12"/>
  <c r="D1120" i="12"/>
  <c r="E1120" i="12"/>
  <c r="E1112" i="12"/>
  <c r="D1112" i="12"/>
  <c r="E1104" i="12"/>
  <c r="D1104" i="12"/>
  <c r="E1096" i="12"/>
  <c r="D1096" i="12"/>
  <c r="E1088" i="12"/>
  <c r="D1088" i="12"/>
  <c r="E1072" i="12"/>
  <c r="D1072" i="12"/>
  <c r="E1064" i="12"/>
  <c r="D1064" i="12"/>
  <c r="E1040" i="12"/>
  <c r="D1040" i="12"/>
  <c r="E1024" i="12"/>
  <c r="D1024" i="12"/>
  <c r="E1016" i="12"/>
  <c r="D1016" i="12"/>
  <c r="E1000" i="12"/>
  <c r="D1000" i="12"/>
  <c r="E992" i="12"/>
  <c r="D992" i="12"/>
  <c r="E976" i="12"/>
  <c r="D976" i="12"/>
  <c r="E968" i="12"/>
  <c r="D968" i="12"/>
  <c r="E960" i="12"/>
  <c r="D960" i="12"/>
  <c r="E952" i="12"/>
  <c r="D952" i="12"/>
  <c r="D944" i="12"/>
  <c r="E944" i="12"/>
  <c r="E928" i="12"/>
  <c r="D928" i="12"/>
  <c r="D912" i="12"/>
  <c r="E912" i="12"/>
  <c r="E904" i="12"/>
  <c r="D904" i="12"/>
  <c r="E880" i="12"/>
  <c r="D880" i="12"/>
  <c r="E872" i="12"/>
  <c r="D872" i="12"/>
  <c r="E864" i="12"/>
  <c r="D864" i="12"/>
  <c r="E856" i="12"/>
  <c r="D856" i="12"/>
  <c r="E848" i="12"/>
  <c r="D848" i="12"/>
  <c r="E840" i="12"/>
  <c r="D840" i="12"/>
  <c r="E832" i="12"/>
  <c r="D832" i="12"/>
  <c r="D824" i="12"/>
  <c r="E824" i="12"/>
  <c r="E816" i="12"/>
  <c r="D816" i="12"/>
  <c r="E800" i="12"/>
  <c r="D800" i="12"/>
  <c r="E792" i="12"/>
  <c r="D792" i="12"/>
  <c r="E784" i="12"/>
  <c r="D784" i="12"/>
  <c r="E776" i="12"/>
  <c r="D776" i="12"/>
  <c r="E768" i="12"/>
  <c r="D768" i="12"/>
  <c r="E760" i="12"/>
  <c r="D760" i="12"/>
  <c r="E752" i="12"/>
  <c r="D752" i="12"/>
  <c r="D736" i="12"/>
  <c r="E736" i="12"/>
  <c r="E728" i="12"/>
  <c r="D728" i="12"/>
  <c r="E704" i="12"/>
  <c r="D704" i="12"/>
  <c r="E696" i="12"/>
  <c r="D696" i="12"/>
  <c r="D688" i="12"/>
  <c r="E688" i="12"/>
  <c r="E672" i="12"/>
  <c r="D672" i="12"/>
  <c r="E664" i="12"/>
  <c r="D664" i="12"/>
  <c r="E648" i="12"/>
  <c r="D648" i="12"/>
  <c r="E640" i="12"/>
  <c r="D640" i="12"/>
  <c r="E624" i="12"/>
  <c r="D624" i="12"/>
  <c r="E616" i="12"/>
  <c r="D616" i="12"/>
  <c r="E608" i="12"/>
  <c r="D608" i="12"/>
  <c r="E600" i="12"/>
  <c r="D600" i="12"/>
  <c r="E592" i="12"/>
  <c r="D592" i="12"/>
  <c r="E584" i="12"/>
  <c r="D584" i="12"/>
  <c r="E576" i="12"/>
  <c r="D576" i="12"/>
  <c r="E560" i="12"/>
  <c r="D560" i="12"/>
  <c r="E552" i="12"/>
  <c r="D552" i="12"/>
  <c r="E536" i="12"/>
  <c r="D536" i="12"/>
  <c r="E528" i="12"/>
  <c r="D528" i="12"/>
  <c r="D520" i="12"/>
  <c r="E520" i="12"/>
  <c r="E512" i="12"/>
  <c r="D512" i="12"/>
  <c r="E504" i="12"/>
  <c r="D504" i="12"/>
  <c r="E488" i="12"/>
  <c r="D488" i="12"/>
  <c r="E480" i="12"/>
  <c r="D480" i="12"/>
  <c r="E464" i="12"/>
  <c r="D464" i="12"/>
  <c r="E456" i="12"/>
  <c r="D456" i="12"/>
  <c r="E448" i="12"/>
  <c r="D448" i="12"/>
  <c r="E440" i="12"/>
  <c r="D440" i="12"/>
  <c r="E432" i="12"/>
  <c r="D432" i="12"/>
  <c r="E424" i="12"/>
  <c r="D424" i="12"/>
  <c r="D320" i="12"/>
  <c r="D256" i="12"/>
  <c r="D80" i="12"/>
  <c r="E264" i="12"/>
  <c r="D392" i="12"/>
  <c r="D152" i="12"/>
  <c r="D416" i="12"/>
  <c r="D328" i="12"/>
  <c r="D240" i="12"/>
  <c r="D88" i="12"/>
  <c r="D352" i="12"/>
  <c r="D288" i="12"/>
  <c r="D176" i="12"/>
  <c r="D376" i="12"/>
  <c r="E304" i="12"/>
  <c r="D360" i="12"/>
  <c r="D272" i="12"/>
  <c r="E400" i="12"/>
  <c r="D400" i="12"/>
  <c r="E368" i="12"/>
  <c r="D368" i="12"/>
  <c r="E344" i="12"/>
  <c r="D344" i="12"/>
  <c r="E336" i="12"/>
  <c r="D336" i="12"/>
  <c r="E312" i="12"/>
  <c r="D312" i="12"/>
  <c r="E280" i="12"/>
  <c r="D280" i="12"/>
  <c r="E248" i="12"/>
  <c r="D248" i="12"/>
  <c r="E224" i="12"/>
  <c r="D224" i="12"/>
  <c r="E216" i="12"/>
  <c r="D216" i="12"/>
  <c r="E192" i="12"/>
  <c r="D192" i="12"/>
  <c r="E184" i="12"/>
  <c r="D184" i="12"/>
  <c r="E160" i="12"/>
  <c r="D160" i="12"/>
  <c r="E128" i="12"/>
  <c r="D128" i="12"/>
  <c r="E104" i="12"/>
  <c r="D104" i="12"/>
  <c r="E96" i="12"/>
  <c r="D96" i="12"/>
  <c r="E72" i="12"/>
  <c r="D72" i="12"/>
  <c r="E64" i="12"/>
  <c r="D64" i="12"/>
  <c r="D40" i="12"/>
  <c r="E2967" i="12"/>
  <c r="D2967" i="12"/>
  <c r="E2919" i="12"/>
  <c r="D2919" i="12"/>
  <c r="E2887" i="12"/>
  <c r="D2887" i="12"/>
  <c r="E2855" i="12"/>
  <c r="D2855" i="12"/>
  <c r="E2751" i="12"/>
  <c r="D2751" i="12"/>
  <c r="E2735" i="12"/>
  <c r="D2735" i="12"/>
  <c r="E2687" i="12"/>
  <c r="D2687" i="12"/>
  <c r="E2639" i="12"/>
  <c r="D2639" i="12"/>
  <c r="E2583" i="12"/>
  <c r="D2583" i="12"/>
  <c r="E2383" i="12"/>
  <c r="D2383" i="12"/>
  <c r="D2343" i="12"/>
  <c r="E2343" i="12"/>
  <c r="D2287" i="12"/>
  <c r="E2287" i="12"/>
  <c r="D2207" i="12"/>
  <c r="E2207" i="12"/>
  <c r="E2103" i="12"/>
  <c r="D2103" i="12"/>
  <c r="D2047" i="12"/>
  <c r="E2047" i="12"/>
  <c r="E1919" i="12"/>
  <c r="D1919" i="12"/>
  <c r="E1719" i="12"/>
  <c r="D1719" i="12"/>
  <c r="E1663" i="12"/>
  <c r="D1663" i="12"/>
  <c r="E1615" i="12"/>
  <c r="D1615" i="12"/>
  <c r="E1559" i="12"/>
  <c r="D1559" i="12"/>
  <c r="E1503" i="12"/>
  <c r="D1503" i="12"/>
  <c r="E1463" i="12"/>
  <c r="D1463" i="12"/>
  <c r="E1415" i="12"/>
  <c r="D1415" i="12"/>
  <c r="E1367" i="12"/>
  <c r="D1367" i="12"/>
  <c r="E1303" i="12"/>
  <c r="D1303" i="12"/>
  <c r="E1191" i="12"/>
  <c r="D1191" i="12"/>
  <c r="E1079" i="12"/>
  <c r="D1079" i="12"/>
  <c r="E1015" i="12"/>
  <c r="D1015" i="12"/>
  <c r="E903" i="12"/>
  <c r="D903" i="12"/>
  <c r="E863" i="12"/>
  <c r="D863" i="12"/>
  <c r="E807" i="12"/>
  <c r="D807" i="12"/>
  <c r="E743" i="12"/>
  <c r="D743" i="12"/>
  <c r="E615" i="12"/>
  <c r="D615" i="12"/>
  <c r="E575" i="12"/>
  <c r="D575" i="12"/>
  <c r="E519" i="12"/>
  <c r="D519" i="12"/>
  <c r="E463" i="12"/>
  <c r="D463" i="12"/>
  <c r="E399" i="12"/>
  <c r="D399" i="12"/>
  <c r="E343" i="12"/>
  <c r="D343" i="12"/>
  <c r="E319" i="12"/>
  <c r="D319" i="12"/>
  <c r="E263" i="12"/>
  <c r="D263" i="12"/>
  <c r="E215" i="12"/>
  <c r="D215" i="12"/>
  <c r="E167" i="12"/>
  <c r="D167" i="12"/>
  <c r="E151" i="12"/>
  <c r="D151" i="12"/>
  <c r="E127" i="12"/>
  <c r="D127" i="12"/>
  <c r="E111" i="12"/>
  <c r="D111" i="12"/>
  <c r="D55" i="12"/>
  <c r="E55" i="12"/>
  <c r="D2647" i="12"/>
  <c r="D2655" i="12"/>
  <c r="D2951" i="12"/>
  <c r="D2871" i="12"/>
  <c r="D2839" i="12"/>
  <c r="D2759" i="12"/>
  <c r="D2423" i="12"/>
  <c r="D2247" i="12"/>
  <c r="D1911" i="12"/>
  <c r="D1735" i="12"/>
  <c r="D1399" i="12"/>
  <c r="D1223" i="12"/>
  <c r="D2879" i="12"/>
  <c r="D2767" i="12"/>
  <c r="D2591" i="12"/>
  <c r="D2255" i="12"/>
  <c r="D2079" i="12"/>
  <c r="D1743" i="12"/>
  <c r="D1567" i="12"/>
  <c r="D1231" i="12"/>
  <c r="D1063" i="12"/>
  <c r="D775" i="12"/>
  <c r="D551" i="12"/>
  <c r="E759" i="12"/>
  <c r="D2847" i="12"/>
  <c r="E2847" i="12"/>
  <c r="E2807" i="12"/>
  <c r="D2807" i="12"/>
  <c r="E2775" i="12"/>
  <c r="D2775" i="12"/>
  <c r="E2719" i="12"/>
  <c r="D2719" i="12"/>
  <c r="E2607" i="12"/>
  <c r="D2607" i="12"/>
  <c r="E2551" i="12"/>
  <c r="D2551" i="12"/>
  <c r="E2495" i="12"/>
  <c r="D2495" i="12"/>
  <c r="E2447" i="12"/>
  <c r="D2447" i="12"/>
  <c r="D2407" i="12"/>
  <c r="E2407" i="12"/>
  <c r="D2375" i="12"/>
  <c r="E2375" i="12"/>
  <c r="E2327" i="12"/>
  <c r="D2327" i="12"/>
  <c r="E2271" i="12"/>
  <c r="D2271" i="12"/>
  <c r="E2215" i="12"/>
  <c r="D2215" i="12"/>
  <c r="D2151" i="12"/>
  <c r="E2151" i="12"/>
  <c r="E2031" i="12"/>
  <c r="D2031" i="12"/>
  <c r="E1983" i="12"/>
  <c r="D1983" i="12"/>
  <c r="D1943" i="12"/>
  <c r="E1943" i="12"/>
  <c r="E1895" i="12"/>
  <c r="D1895" i="12"/>
  <c r="E1807" i="12"/>
  <c r="D1807" i="12"/>
  <c r="E1695" i="12"/>
  <c r="D1695" i="12"/>
  <c r="E1639" i="12"/>
  <c r="D1639" i="12"/>
  <c r="E1527" i="12"/>
  <c r="D1527" i="12"/>
  <c r="E1479" i="12"/>
  <c r="D1479" i="12"/>
  <c r="E1423" i="12"/>
  <c r="D1423" i="12"/>
  <c r="E1375" i="12"/>
  <c r="D1375" i="12"/>
  <c r="D1247" i="12"/>
  <c r="E1247" i="12"/>
  <c r="E1215" i="12"/>
  <c r="D1215" i="12"/>
  <c r="E1159" i="12"/>
  <c r="D1159" i="12"/>
  <c r="E1103" i="12"/>
  <c r="D1103" i="12"/>
  <c r="E1055" i="12"/>
  <c r="D1055" i="12"/>
  <c r="E999" i="12"/>
  <c r="D999" i="12"/>
  <c r="E959" i="12"/>
  <c r="D959" i="12"/>
  <c r="D911" i="12"/>
  <c r="E911" i="12"/>
  <c r="E855" i="12"/>
  <c r="D855" i="12"/>
  <c r="E727" i="12"/>
  <c r="D727" i="12"/>
  <c r="D671" i="12"/>
  <c r="E671" i="12"/>
  <c r="E631" i="12"/>
  <c r="D631" i="12"/>
  <c r="E583" i="12"/>
  <c r="D583" i="12"/>
  <c r="E535" i="12"/>
  <c r="D535" i="12"/>
  <c r="E479" i="12"/>
  <c r="D479" i="12"/>
  <c r="E423" i="12"/>
  <c r="D423" i="12"/>
  <c r="E383" i="12"/>
  <c r="D383" i="12"/>
  <c r="D295" i="12"/>
  <c r="E295" i="12"/>
  <c r="D2975" i="12"/>
  <c r="E2975" i="12"/>
  <c r="E2943" i="12"/>
  <c r="D2943" i="12"/>
  <c r="E2903" i="12"/>
  <c r="D2903" i="12"/>
  <c r="E2863" i="12"/>
  <c r="D2863" i="12"/>
  <c r="E2799" i="12"/>
  <c r="D2799" i="12"/>
  <c r="D2743" i="12"/>
  <c r="E2743" i="12"/>
  <c r="E2695" i="12"/>
  <c r="D2695" i="12"/>
  <c r="E2663" i="12"/>
  <c r="D2663" i="12"/>
  <c r="D2559" i="12"/>
  <c r="E2559" i="12"/>
  <c r="E2511" i="12"/>
  <c r="D2511" i="12"/>
  <c r="E2471" i="12"/>
  <c r="D2471" i="12"/>
  <c r="E2223" i="12"/>
  <c r="D2223" i="12"/>
  <c r="D2175" i="12"/>
  <c r="E2175" i="12"/>
  <c r="E2127" i="12"/>
  <c r="D2127" i="12"/>
  <c r="E2055" i="12"/>
  <c r="D2055" i="12"/>
  <c r="E1975" i="12"/>
  <c r="D1975" i="12"/>
  <c r="E1871" i="12"/>
  <c r="D1871" i="12"/>
  <c r="E1839" i="12"/>
  <c r="D1839" i="12"/>
  <c r="E1783" i="12"/>
  <c r="D1783" i="12"/>
  <c r="D1759" i="12"/>
  <c r="E1759" i="12"/>
  <c r="E1711" i="12"/>
  <c r="D1711" i="12"/>
  <c r="D1647" i="12"/>
  <c r="E1647" i="12"/>
  <c r="E1519" i="12"/>
  <c r="D1519" i="12"/>
  <c r="E1471" i="12"/>
  <c r="D1471" i="12"/>
  <c r="E1319" i="12"/>
  <c r="D1319" i="12"/>
  <c r="E1255" i="12"/>
  <c r="D1255" i="12"/>
  <c r="D1127" i="12"/>
  <c r="E1127" i="12"/>
  <c r="E1007" i="12"/>
  <c r="D1007" i="12"/>
  <c r="E975" i="12"/>
  <c r="D975" i="12"/>
  <c r="D919" i="12"/>
  <c r="E919" i="12"/>
  <c r="E871" i="12"/>
  <c r="D871" i="12"/>
  <c r="E815" i="12"/>
  <c r="D815" i="12"/>
  <c r="E767" i="12"/>
  <c r="D767" i="12"/>
  <c r="E711" i="12"/>
  <c r="D711" i="12"/>
  <c r="E655" i="12"/>
  <c r="D655" i="12"/>
  <c r="E599" i="12"/>
  <c r="D599" i="12"/>
  <c r="E543" i="12"/>
  <c r="D543" i="12"/>
  <c r="E495" i="12"/>
  <c r="D495" i="12"/>
  <c r="E455" i="12"/>
  <c r="D455" i="12"/>
  <c r="E415" i="12"/>
  <c r="D415" i="12"/>
  <c r="E359" i="12"/>
  <c r="D359" i="12"/>
  <c r="E303" i="12"/>
  <c r="D303" i="12"/>
  <c r="D231" i="12"/>
  <c r="E231" i="12"/>
  <c r="D2535" i="12"/>
  <c r="D2367" i="12"/>
  <c r="D2191" i="12"/>
  <c r="D2023" i="12"/>
  <c r="D1855" i="12"/>
  <c r="D1679" i="12"/>
  <c r="D1511" i="12"/>
  <c r="D1343" i="12"/>
  <c r="D1167" i="12"/>
  <c r="D943" i="12"/>
  <c r="D719" i="12"/>
  <c r="D431" i="12"/>
  <c r="E103" i="12"/>
  <c r="E2999" i="12"/>
  <c r="D2999" i="12"/>
  <c r="E2959" i="12"/>
  <c r="D2959" i="12"/>
  <c r="D2679" i="12"/>
  <c r="E2679" i="12"/>
  <c r="E2631" i="12"/>
  <c r="D2631" i="12"/>
  <c r="E2615" i="12"/>
  <c r="D2615" i="12"/>
  <c r="E2575" i="12"/>
  <c r="D2575" i="12"/>
  <c r="E2527" i="12"/>
  <c r="D2527" i="12"/>
  <c r="E2487" i="12"/>
  <c r="D2487" i="12"/>
  <c r="E2439" i="12"/>
  <c r="D2439" i="12"/>
  <c r="E2391" i="12"/>
  <c r="D2391" i="12"/>
  <c r="E2159" i="12"/>
  <c r="D2159" i="12"/>
  <c r="E2111" i="12"/>
  <c r="D2111" i="12"/>
  <c r="D2063" i="12"/>
  <c r="E2063" i="12"/>
  <c r="E2015" i="12"/>
  <c r="D2015" i="12"/>
  <c r="E1959" i="12"/>
  <c r="D1959" i="12"/>
  <c r="E1927" i="12"/>
  <c r="D1927" i="12"/>
  <c r="E1887" i="12"/>
  <c r="D1887" i="12"/>
  <c r="E1831" i="12"/>
  <c r="D1831" i="12"/>
  <c r="E1767" i="12"/>
  <c r="D1767" i="12"/>
  <c r="E1591" i="12"/>
  <c r="D1591" i="12"/>
  <c r="E1551" i="12"/>
  <c r="D1551" i="12"/>
  <c r="E1495" i="12"/>
  <c r="D1495" i="12"/>
  <c r="E1447" i="12"/>
  <c r="D1447" i="12"/>
  <c r="E1407" i="12"/>
  <c r="D1407" i="12"/>
  <c r="D1359" i="12"/>
  <c r="E1359" i="12"/>
  <c r="E1295" i="12"/>
  <c r="D1295" i="12"/>
  <c r="E1183" i="12"/>
  <c r="D1183" i="12"/>
  <c r="E1135" i="12"/>
  <c r="D1135" i="12"/>
  <c r="E1071" i="12"/>
  <c r="D1071" i="12"/>
  <c r="D1023" i="12"/>
  <c r="E1023" i="12"/>
  <c r="E983" i="12"/>
  <c r="D983" i="12"/>
  <c r="E927" i="12"/>
  <c r="D927" i="12"/>
  <c r="E879" i="12"/>
  <c r="D879" i="12"/>
  <c r="E823" i="12"/>
  <c r="D823" i="12"/>
  <c r="E791" i="12"/>
  <c r="D791" i="12"/>
  <c r="E751" i="12"/>
  <c r="D751" i="12"/>
  <c r="E687" i="12"/>
  <c r="D687" i="12"/>
  <c r="E567" i="12"/>
  <c r="D567" i="12"/>
  <c r="E527" i="12"/>
  <c r="D527" i="12"/>
  <c r="E471" i="12"/>
  <c r="D471" i="12"/>
  <c r="E407" i="12"/>
  <c r="D407" i="12"/>
  <c r="E351" i="12"/>
  <c r="D351" i="12"/>
  <c r="E311" i="12"/>
  <c r="D311" i="12"/>
  <c r="E247" i="12"/>
  <c r="D247" i="12"/>
  <c r="E207" i="12"/>
  <c r="D207" i="12"/>
  <c r="E175" i="12"/>
  <c r="D175" i="12"/>
  <c r="E143" i="12"/>
  <c r="D143" i="12"/>
  <c r="E119" i="12"/>
  <c r="D119" i="12"/>
  <c r="E95" i="12"/>
  <c r="D95" i="12"/>
  <c r="E87" i="12"/>
  <c r="D87" i="12"/>
  <c r="E71" i="12"/>
  <c r="D71" i="12"/>
  <c r="E47" i="12"/>
  <c r="D47" i="12"/>
  <c r="D2703" i="12"/>
  <c r="D2927" i="12"/>
  <c r="D2895" i="12"/>
  <c r="D2815" i="12"/>
  <c r="D2783" i="12"/>
  <c r="D2711" i="12"/>
  <c r="D2199" i="12"/>
  <c r="D1687" i="12"/>
  <c r="D1175" i="12"/>
  <c r="D279" i="12"/>
  <c r="E2399" i="12"/>
  <c r="E1751" i="12"/>
  <c r="E1703" i="12"/>
  <c r="E2983" i="12"/>
  <c r="D2983" i="12"/>
  <c r="E2831" i="12"/>
  <c r="D2831" i="12"/>
  <c r="E2671" i="12"/>
  <c r="D2671" i="12"/>
  <c r="D2567" i="12"/>
  <c r="E2567" i="12"/>
  <c r="E2519" i="12"/>
  <c r="D2519" i="12"/>
  <c r="E2455" i="12"/>
  <c r="D2455" i="12"/>
  <c r="E2335" i="12"/>
  <c r="D2335" i="12"/>
  <c r="E2279" i="12"/>
  <c r="D2279" i="12"/>
  <c r="D2231" i="12"/>
  <c r="E2231" i="12"/>
  <c r="E2167" i="12"/>
  <c r="D2167" i="12"/>
  <c r="E2119" i="12"/>
  <c r="D2119" i="12"/>
  <c r="E2095" i="12"/>
  <c r="D2095" i="12"/>
  <c r="E2039" i="12"/>
  <c r="D2039" i="12"/>
  <c r="E1991" i="12"/>
  <c r="D1991" i="12"/>
  <c r="E1863" i="12"/>
  <c r="D1863" i="12"/>
  <c r="E1815" i="12"/>
  <c r="D1815" i="12"/>
  <c r="E1655" i="12"/>
  <c r="D1655" i="12"/>
  <c r="E1599" i="12"/>
  <c r="D1599" i="12"/>
  <c r="D1535" i="12"/>
  <c r="E1535" i="12"/>
  <c r="D1351" i="12"/>
  <c r="E1351" i="12"/>
  <c r="E1239" i="12"/>
  <c r="D1239" i="12"/>
  <c r="E1199" i="12"/>
  <c r="D1199" i="12"/>
  <c r="E1143" i="12"/>
  <c r="D1143" i="12"/>
  <c r="E1087" i="12"/>
  <c r="D1087" i="12"/>
  <c r="E1031" i="12"/>
  <c r="D1031" i="12"/>
  <c r="E967" i="12"/>
  <c r="D967" i="12"/>
  <c r="D839" i="12"/>
  <c r="E839" i="12"/>
  <c r="E783" i="12"/>
  <c r="D783" i="12"/>
  <c r="E679" i="12"/>
  <c r="D679" i="12"/>
  <c r="E623" i="12"/>
  <c r="D623" i="12"/>
  <c r="E559" i="12"/>
  <c r="D559" i="12"/>
  <c r="D511" i="12"/>
  <c r="E511" i="12"/>
  <c r="E327" i="12"/>
  <c r="D327" i="12"/>
  <c r="E271" i="12"/>
  <c r="D271" i="12"/>
  <c r="E199" i="12"/>
  <c r="D199" i="12"/>
  <c r="D2935" i="12"/>
  <c r="D2823" i="12"/>
  <c r="D2303" i="12"/>
  <c r="D1791" i="12"/>
  <c r="D1279" i="12"/>
  <c r="D887" i="12"/>
  <c r="D663" i="12"/>
  <c r="D375" i="12"/>
  <c r="D39" i="12"/>
  <c r="E2351" i="12"/>
  <c r="D2351" i="12"/>
  <c r="E2295" i="12"/>
  <c r="D2295" i="12"/>
  <c r="E2239" i="12"/>
  <c r="D2239" i="12"/>
  <c r="E2183" i="12"/>
  <c r="D2183" i="12"/>
  <c r="E2007" i="12"/>
  <c r="D2007" i="12"/>
  <c r="E1951" i="12"/>
  <c r="D1951" i="12"/>
  <c r="E1879" i="12"/>
  <c r="D1879" i="12"/>
  <c r="E1727" i="12"/>
  <c r="D1727" i="12"/>
  <c r="E1671" i="12"/>
  <c r="D1671" i="12"/>
  <c r="E1607" i="12"/>
  <c r="D1607" i="12"/>
  <c r="E1431" i="12"/>
  <c r="D1431" i="12"/>
  <c r="E1271" i="12"/>
  <c r="D1271" i="12"/>
  <c r="E1111" i="12"/>
  <c r="D1111" i="12"/>
  <c r="E1047" i="12"/>
  <c r="D1047" i="12"/>
  <c r="E951" i="12"/>
  <c r="D951" i="12"/>
  <c r="E703" i="12"/>
  <c r="D703" i="12"/>
  <c r="E647" i="12"/>
  <c r="D647" i="12"/>
  <c r="E591" i="12"/>
  <c r="D591" i="12"/>
  <c r="E503" i="12"/>
  <c r="D503" i="12"/>
  <c r="E439" i="12"/>
  <c r="D439" i="12"/>
  <c r="E367" i="12"/>
  <c r="D367" i="12"/>
  <c r="E239" i="12"/>
  <c r="D239" i="12"/>
  <c r="E191" i="12"/>
  <c r="D191" i="12"/>
  <c r="D159" i="12"/>
  <c r="E159" i="12"/>
  <c r="E79" i="12"/>
  <c r="D79" i="12"/>
  <c r="D2479" i="12"/>
  <c r="D1623" i="12"/>
  <c r="D1455" i="12"/>
  <c r="D1287" i="12"/>
  <c r="D2911" i="12"/>
  <c r="E2911" i="12"/>
  <c r="E2727" i="12"/>
  <c r="D2727" i="12"/>
  <c r="D2623" i="12"/>
  <c r="E2623" i="12"/>
  <c r="E2503" i="12"/>
  <c r="D2503" i="12"/>
  <c r="E2463" i="12"/>
  <c r="D2463" i="12"/>
  <c r="E2431" i="12"/>
  <c r="D2431" i="12"/>
  <c r="E2263" i="12"/>
  <c r="D2263" i="12"/>
  <c r="E2071" i="12"/>
  <c r="D2071" i="12"/>
  <c r="E1999" i="12"/>
  <c r="D1999" i="12"/>
  <c r="D1935" i="12"/>
  <c r="E1935" i="12"/>
  <c r="E1823" i="12"/>
  <c r="D1823" i="12"/>
  <c r="E1775" i="12"/>
  <c r="D1775" i="12"/>
  <c r="E1583" i="12"/>
  <c r="D1583" i="12"/>
  <c r="E1543" i="12"/>
  <c r="D1543" i="12"/>
  <c r="E1487" i="12"/>
  <c r="D1487" i="12"/>
  <c r="E1439" i="12"/>
  <c r="D1439" i="12"/>
  <c r="E1383" i="12"/>
  <c r="D1383" i="12"/>
  <c r="E1327" i="12"/>
  <c r="D1327" i="12"/>
  <c r="E1311" i="12"/>
  <c r="D1311" i="12"/>
  <c r="E1263" i="12"/>
  <c r="D1263" i="12"/>
  <c r="E1207" i="12"/>
  <c r="D1207" i="12"/>
  <c r="E1151" i="12"/>
  <c r="D1151" i="12"/>
  <c r="E1095" i="12"/>
  <c r="D1095" i="12"/>
  <c r="D1039" i="12"/>
  <c r="E1039" i="12"/>
  <c r="E991" i="12"/>
  <c r="D991" i="12"/>
  <c r="E935" i="12"/>
  <c r="D935" i="12"/>
  <c r="E895" i="12"/>
  <c r="D895" i="12"/>
  <c r="E847" i="12"/>
  <c r="D847" i="12"/>
  <c r="E799" i="12"/>
  <c r="D799" i="12"/>
  <c r="E735" i="12"/>
  <c r="D735" i="12"/>
  <c r="E695" i="12"/>
  <c r="D695" i="12"/>
  <c r="E639" i="12"/>
  <c r="D639" i="12"/>
  <c r="E487" i="12"/>
  <c r="D487" i="12"/>
  <c r="E447" i="12"/>
  <c r="D447" i="12"/>
  <c r="E391" i="12"/>
  <c r="D391" i="12"/>
  <c r="E335" i="12"/>
  <c r="D335" i="12"/>
  <c r="E287" i="12"/>
  <c r="D287" i="12"/>
  <c r="E255" i="12"/>
  <c r="D255" i="12"/>
  <c r="E223" i="12"/>
  <c r="D223" i="12"/>
  <c r="E183" i="12"/>
  <c r="D183" i="12"/>
  <c r="E135" i="12"/>
  <c r="D135" i="12"/>
  <c r="E63" i="12"/>
  <c r="D63" i="12"/>
  <c r="D2311" i="12"/>
  <c r="D2135" i="12"/>
  <c r="D1967" i="12"/>
  <c r="D1799" i="12"/>
  <c r="D2415" i="12"/>
  <c r="D2143" i="12"/>
  <c r="D1903" i="12"/>
  <c r="D1631" i="12"/>
  <c r="D1391" i="12"/>
  <c r="D1119" i="12"/>
  <c r="D831" i="12"/>
  <c r="D607" i="12"/>
  <c r="E2791" i="12"/>
  <c r="E2543" i="12"/>
  <c r="E2319" i="12"/>
  <c r="E2941" i="12"/>
  <c r="E2853" i="12"/>
  <c r="E2725" i="12"/>
  <c r="E2965" i="12"/>
  <c r="E2837" i="12"/>
  <c r="E2813" i="12"/>
  <c r="E2709" i="12"/>
  <c r="D2989" i="12"/>
  <c r="E2989" i="12"/>
  <c r="D2981" i="12"/>
  <c r="E2981" i="12"/>
  <c r="D2957" i="12"/>
  <c r="E2957" i="12"/>
  <c r="D2949" i="12"/>
  <c r="E2949" i="12"/>
  <c r="D2925" i="12"/>
  <c r="E2925" i="12"/>
  <c r="D2917" i="12"/>
  <c r="E2917" i="12"/>
  <c r="D2885" i="12"/>
  <c r="E2885" i="12"/>
  <c r="D2869" i="12"/>
  <c r="E2869" i="12"/>
  <c r="D2861" i="12"/>
  <c r="E2861" i="12"/>
  <c r="D2845" i="12"/>
  <c r="E2845" i="12"/>
  <c r="D2821" i="12"/>
  <c r="E2821" i="12"/>
  <c r="D2805" i="12"/>
  <c r="E2805" i="12"/>
  <c r="D2797" i="12"/>
  <c r="E2797" i="12"/>
  <c r="D2781" i="12"/>
  <c r="E2781" i="12"/>
  <c r="D2757" i="12"/>
  <c r="E2757" i="12"/>
  <c r="D2741" i="12"/>
  <c r="E2741" i="12"/>
  <c r="D2733" i="12"/>
  <c r="E2733" i="12"/>
  <c r="D2717" i="12"/>
  <c r="E2717" i="12"/>
  <c r="E2933" i="12"/>
  <c r="E2893" i="12"/>
  <c r="E2765" i="12"/>
  <c r="E2901" i="12"/>
  <c r="E2877" i="12"/>
  <c r="E2773" i="12"/>
  <c r="E2749" i="12"/>
  <c r="M3002" i="12"/>
  <c r="L3002" i="12"/>
  <c r="K3002" i="12"/>
  <c r="J3002" i="12"/>
  <c r="I3002" i="12"/>
  <c r="M2994" i="12"/>
  <c r="L2994" i="12"/>
  <c r="K2994" i="12"/>
  <c r="J2994" i="12"/>
  <c r="I2994" i="12"/>
  <c r="M2986" i="12"/>
  <c r="L2986" i="12"/>
  <c r="K2986" i="12"/>
  <c r="J2986" i="12"/>
  <c r="I2986" i="12"/>
  <c r="M2978" i="12"/>
  <c r="L2978" i="12"/>
  <c r="K2978" i="12"/>
  <c r="J2978" i="12"/>
  <c r="I2978" i="12"/>
  <c r="M2970" i="12"/>
  <c r="L2970" i="12"/>
  <c r="K2970" i="12"/>
  <c r="J2970" i="12"/>
  <c r="I2970" i="12"/>
  <c r="M2962" i="12"/>
  <c r="L2962" i="12"/>
  <c r="K2962" i="12"/>
  <c r="J2962" i="12"/>
  <c r="I2962" i="12"/>
  <c r="M2954" i="12"/>
  <c r="L2954" i="12"/>
  <c r="K2954" i="12"/>
  <c r="J2954" i="12"/>
  <c r="I2954" i="12"/>
  <c r="M2946" i="12"/>
  <c r="L2946" i="12"/>
  <c r="K2946" i="12"/>
  <c r="J2946" i="12"/>
  <c r="I2946" i="12"/>
  <c r="M2938" i="12"/>
  <c r="L2938" i="12"/>
  <c r="K2938" i="12"/>
  <c r="J2938" i="12"/>
  <c r="I2938" i="12"/>
  <c r="M2930" i="12"/>
  <c r="L2930" i="12"/>
  <c r="K2930" i="12"/>
  <c r="J2930" i="12"/>
  <c r="I2930" i="12"/>
  <c r="M2922" i="12"/>
  <c r="L2922" i="12"/>
  <c r="K2922" i="12"/>
  <c r="J2922" i="12"/>
  <c r="I2922" i="12"/>
  <c r="M2914" i="12"/>
  <c r="L2914" i="12"/>
  <c r="K2914" i="12"/>
  <c r="J2914" i="12"/>
  <c r="I2914" i="12"/>
  <c r="M2906" i="12"/>
  <c r="L2906" i="12"/>
  <c r="K2906" i="12"/>
  <c r="J2906" i="12"/>
  <c r="I2906" i="12"/>
  <c r="M2898" i="12"/>
  <c r="L2898" i="12"/>
  <c r="K2898" i="12"/>
  <c r="J2898" i="12"/>
  <c r="I2898" i="12"/>
  <c r="M2890" i="12"/>
  <c r="L2890" i="12"/>
  <c r="K2890" i="12"/>
  <c r="J2890" i="12"/>
  <c r="I2890" i="12"/>
  <c r="M2882" i="12"/>
  <c r="L2882" i="12"/>
  <c r="K2882" i="12"/>
  <c r="J2882" i="12"/>
  <c r="I2882" i="12"/>
  <c r="M2874" i="12"/>
  <c r="L2874" i="12"/>
  <c r="K2874" i="12"/>
  <c r="J2874" i="12"/>
  <c r="I2874" i="12"/>
  <c r="M2866" i="12"/>
  <c r="L2866" i="12"/>
  <c r="K2866" i="12"/>
  <c r="J2866" i="12"/>
  <c r="I2866" i="12"/>
  <c r="M2858" i="12"/>
  <c r="L2858" i="12"/>
  <c r="K2858" i="12"/>
  <c r="J2858" i="12"/>
  <c r="I2858" i="12"/>
  <c r="M2850" i="12"/>
  <c r="L2850" i="12"/>
  <c r="K2850" i="12"/>
  <c r="J2850" i="12"/>
  <c r="I2850" i="12"/>
  <c r="M2842" i="12"/>
  <c r="L2842" i="12"/>
  <c r="K2842" i="12"/>
  <c r="J2842" i="12"/>
  <c r="I2842" i="12"/>
  <c r="M2834" i="12"/>
  <c r="L2834" i="12"/>
  <c r="K2834" i="12"/>
  <c r="J2834" i="12"/>
  <c r="I2834" i="12"/>
  <c r="M2826" i="12"/>
  <c r="L2826" i="12"/>
  <c r="K2826" i="12"/>
  <c r="J2826" i="12"/>
  <c r="I2826" i="12"/>
  <c r="M2818" i="12"/>
  <c r="L2818" i="12"/>
  <c r="K2818" i="12"/>
  <c r="J2818" i="12"/>
  <c r="I2818" i="12"/>
  <c r="M2810" i="12"/>
  <c r="L2810" i="12"/>
  <c r="K2810" i="12"/>
  <c r="J2810" i="12"/>
  <c r="I2810" i="12"/>
  <c r="M2802" i="12"/>
  <c r="L2802" i="12"/>
  <c r="K2802" i="12"/>
  <c r="J2802" i="12"/>
  <c r="I2802" i="12"/>
  <c r="M2794" i="12"/>
  <c r="L2794" i="12"/>
  <c r="K2794" i="12"/>
  <c r="J2794" i="12"/>
  <c r="I2794" i="12"/>
  <c r="M2786" i="12"/>
  <c r="L2786" i="12"/>
  <c r="K2786" i="12"/>
  <c r="J2786" i="12"/>
  <c r="I2786" i="12"/>
  <c r="M2778" i="12"/>
  <c r="L2778" i="12"/>
  <c r="K2778" i="12"/>
  <c r="J2778" i="12"/>
  <c r="I2778" i="12"/>
  <c r="M2770" i="12"/>
  <c r="L2770" i="12"/>
  <c r="K2770" i="12"/>
  <c r="J2770" i="12"/>
  <c r="I2770" i="12"/>
  <c r="M2762" i="12"/>
  <c r="L2762" i="12"/>
  <c r="K2762" i="12"/>
  <c r="J2762" i="12"/>
  <c r="I2762" i="12"/>
  <c r="M2754" i="12"/>
  <c r="L2754" i="12"/>
  <c r="K2754" i="12"/>
  <c r="J2754" i="12"/>
  <c r="I2754" i="12"/>
  <c r="M2746" i="12"/>
  <c r="L2746" i="12"/>
  <c r="K2746" i="12"/>
  <c r="J2746" i="12"/>
  <c r="I2746" i="12"/>
  <c r="M2738" i="12"/>
  <c r="L2738" i="12"/>
  <c r="K2738" i="12"/>
  <c r="J2738" i="12"/>
  <c r="I2738" i="12"/>
  <c r="M2730" i="12"/>
  <c r="L2730" i="12"/>
  <c r="K2730" i="12"/>
  <c r="J2730" i="12"/>
  <c r="I2730" i="12"/>
  <c r="M2722" i="12"/>
  <c r="L2722" i="12"/>
  <c r="K2722" i="12"/>
  <c r="J2722" i="12"/>
  <c r="I2722" i="12"/>
  <c r="M2714" i="12"/>
  <c r="L2714" i="12"/>
  <c r="K2714" i="12"/>
  <c r="J2714" i="12"/>
  <c r="I2714" i="12"/>
  <c r="M2706" i="12"/>
  <c r="L2706" i="12"/>
  <c r="K2706" i="12"/>
  <c r="J2706" i="12"/>
  <c r="I2706" i="12"/>
  <c r="M2698" i="12"/>
  <c r="L2698" i="12"/>
  <c r="K2698" i="12"/>
  <c r="J2698" i="12"/>
  <c r="I2698" i="12"/>
  <c r="M2690" i="12"/>
  <c r="L2690" i="12"/>
  <c r="K2690" i="12"/>
  <c r="J2690" i="12"/>
  <c r="I2690" i="12"/>
  <c r="M2682" i="12"/>
  <c r="L2682" i="12"/>
  <c r="K2682" i="12"/>
  <c r="J2682" i="12"/>
  <c r="I2682" i="12"/>
  <c r="M2674" i="12"/>
  <c r="L2674" i="12"/>
  <c r="K2674" i="12"/>
  <c r="J2674" i="12"/>
  <c r="I2674" i="12"/>
  <c r="M2666" i="12"/>
  <c r="L2666" i="12"/>
  <c r="K2666" i="12"/>
  <c r="J2666" i="12"/>
  <c r="I2666" i="12"/>
  <c r="M2658" i="12"/>
  <c r="L2658" i="12"/>
  <c r="K2658" i="12"/>
  <c r="J2658" i="12"/>
  <c r="I2658" i="12"/>
  <c r="M2650" i="12"/>
  <c r="L2650" i="12"/>
  <c r="K2650" i="12"/>
  <c r="J2650" i="12"/>
  <c r="I2650" i="12"/>
  <c r="M2642" i="12"/>
  <c r="L2642" i="12"/>
  <c r="K2642" i="12"/>
  <c r="J2642" i="12"/>
  <c r="I2642" i="12"/>
  <c r="M2634" i="12"/>
  <c r="L2634" i="12"/>
  <c r="K2634" i="12"/>
  <c r="J2634" i="12"/>
  <c r="I2634" i="12"/>
  <c r="M2626" i="12"/>
  <c r="L2626" i="12"/>
  <c r="K2626" i="12"/>
  <c r="J2626" i="12"/>
  <c r="I2626" i="12"/>
  <c r="M2618" i="12"/>
  <c r="L2618" i="12"/>
  <c r="K2618" i="12"/>
  <c r="J2618" i="12"/>
  <c r="I2618" i="12"/>
  <c r="M2610" i="12"/>
  <c r="L2610" i="12"/>
  <c r="K2610" i="12"/>
  <c r="J2610" i="12"/>
  <c r="I2610" i="12"/>
  <c r="M2602" i="12"/>
  <c r="L2602" i="12"/>
  <c r="K2602" i="12"/>
  <c r="J2602" i="12"/>
  <c r="I2602" i="12"/>
  <c r="M2594" i="12"/>
  <c r="L2594" i="12"/>
  <c r="K2594" i="12"/>
  <c r="J2594" i="12"/>
  <c r="I2594" i="12"/>
  <c r="M2586" i="12"/>
  <c r="L2586" i="12"/>
  <c r="K2586" i="12"/>
  <c r="J2586" i="12"/>
  <c r="I2586" i="12"/>
  <c r="M2578" i="12"/>
  <c r="L2578" i="12"/>
  <c r="K2578" i="12"/>
  <c r="J2578" i="12"/>
  <c r="I2578" i="12"/>
  <c r="M2570" i="12"/>
  <c r="L2570" i="12"/>
  <c r="K2570" i="12"/>
  <c r="J2570" i="12"/>
  <c r="I2570" i="12"/>
  <c r="M2562" i="12"/>
  <c r="L2562" i="12"/>
  <c r="K2562" i="12"/>
  <c r="J2562" i="12"/>
  <c r="I2562" i="12"/>
  <c r="M2554" i="12"/>
  <c r="L2554" i="12"/>
  <c r="K2554" i="12"/>
  <c r="J2554" i="12"/>
  <c r="I2554" i="12"/>
  <c r="M2546" i="12"/>
  <c r="L2546" i="12"/>
  <c r="K2546" i="12"/>
  <c r="J2546" i="12"/>
  <c r="I2546" i="12"/>
  <c r="M2538" i="12"/>
  <c r="L2538" i="12"/>
  <c r="K2538" i="12"/>
  <c r="J2538" i="12"/>
  <c r="I2538" i="12"/>
  <c r="M2530" i="12"/>
  <c r="L2530" i="12"/>
  <c r="K2530" i="12"/>
  <c r="J2530" i="12"/>
  <c r="I2530" i="12"/>
  <c r="M2522" i="12"/>
  <c r="L2522" i="12"/>
  <c r="K2522" i="12"/>
  <c r="J2522" i="12"/>
  <c r="I2522" i="12"/>
  <c r="M2514" i="12"/>
  <c r="L2514" i="12"/>
  <c r="K2514" i="12"/>
  <c r="J2514" i="12"/>
  <c r="I2514" i="12"/>
  <c r="M2506" i="12"/>
  <c r="L2506" i="12"/>
  <c r="K2506" i="12"/>
  <c r="J2506" i="12"/>
  <c r="I2506" i="12"/>
  <c r="M2498" i="12"/>
  <c r="L2498" i="12"/>
  <c r="K2498" i="12"/>
  <c r="J2498" i="12"/>
  <c r="I2498" i="12"/>
  <c r="M2490" i="12"/>
  <c r="L2490" i="12"/>
  <c r="K2490" i="12"/>
  <c r="J2490" i="12"/>
  <c r="I2490" i="12"/>
  <c r="M2482" i="12"/>
  <c r="L2482" i="12"/>
  <c r="K2482" i="12"/>
  <c r="J2482" i="12"/>
  <c r="I2482" i="12"/>
  <c r="M2474" i="12"/>
  <c r="L2474" i="12"/>
  <c r="K2474" i="12"/>
  <c r="J2474" i="12"/>
  <c r="I2474" i="12"/>
  <c r="M2466" i="12"/>
  <c r="L2466" i="12"/>
  <c r="K2466" i="12"/>
  <c r="J2466" i="12"/>
  <c r="I2466" i="12"/>
  <c r="M2458" i="12"/>
  <c r="L2458" i="12"/>
  <c r="K2458" i="12"/>
  <c r="J2458" i="12"/>
  <c r="I2458" i="12"/>
  <c r="M2450" i="12"/>
  <c r="L2450" i="12"/>
  <c r="K2450" i="12"/>
  <c r="J2450" i="12"/>
  <c r="I2450" i="12"/>
  <c r="M2442" i="12"/>
  <c r="L2442" i="12"/>
  <c r="K2442" i="12"/>
  <c r="J2442" i="12"/>
  <c r="I2442" i="12"/>
  <c r="M2434" i="12"/>
  <c r="L2434" i="12"/>
  <c r="K2434" i="12"/>
  <c r="J2434" i="12"/>
  <c r="I2434" i="12"/>
  <c r="M2426" i="12"/>
  <c r="L2426" i="12"/>
  <c r="K2426" i="12"/>
  <c r="J2426" i="12"/>
  <c r="I2426" i="12"/>
  <c r="M2418" i="12"/>
  <c r="L2418" i="12"/>
  <c r="K2418" i="12"/>
  <c r="J2418" i="12"/>
  <c r="I2418" i="12"/>
  <c r="M2410" i="12"/>
  <c r="L2410" i="12"/>
  <c r="K2410" i="12"/>
  <c r="J2410" i="12"/>
  <c r="I2410" i="12"/>
  <c r="M2402" i="12"/>
  <c r="L2402" i="12"/>
  <c r="K2402" i="12"/>
  <c r="J2402" i="12"/>
  <c r="I2402" i="12"/>
  <c r="M2394" i="12"/>
  <c r="L2394" i="12"/>
  <c r="K2394" i="12"/>
  <c r="J2394" i="12"/>
  <c r="I2394" i="12"/>
  <c r="M2386" i="12"/>
  <c r="L2386" i="12"/>
  <c r="K2386" i="12"/>
  <c r="J2386" i="12"/>
  <c r="I2386" i="12"/>
  <c r="M2378" i="12"/>
  <c r="L2378" i="12"/>
  <c r="K2378" i="12"/>
  <c r="J2378" i="12"/>
  <c r="I2378" i="12"/>
  <c r="M2370" i="12"/>
  <c r="L2370" i="12"/>
  <c r="K2370" i="12"/>
  <c r="J2370" i="12"/>
  <c r="I2370" i="12"/>
  <c r="M2362" i="12"/>
  <c r="L2362" i="12"/>
  <c r="K2362" i="12"/>
  <c r="J2362" i="12"/>
  <c r="I2362" i="12"/>
  <c r="M2354" i="12"/>
  <c r="L2354" i="12"/>
  <c r="K2354" i="12"/>
  <c r="J2354" i="12"/>
  <c r="I2354" i="12"/>
  <c r="M2346" i="12"/>
  <c r="L2346" i="12"/>
  <c r="K2346" i="12"/>
  <c r="J2346" i="12"/>
  <c r="I2346" i="12"/>
  <c r="M2338" i="12"/>
  <c r="L2338" i="12"/>
  <c r="K2338" i="12"/>
  <c r="J2338" i="12"/>
  <c r="I2338" i="12"/>
  <c r="M2330" i="12"/>
  <c r="L2330" i="12"/>
  <c r="K2330" i="12"/>
  <c r="J2330" i="12"/>
  <c r="I2330" i="12"/>
  <c r="M2322" i="12"/>
  <c r="L2322" i="12"/>
  <c r="K2322" i="12"/>
  <c r="J2322" i="12"/>
  <c r="I2322" i="12"/>
  <c r="M2314" i="12"/>
  <c r="L2314" i="12"/>
  <c r="K2314" i="12"/>
  <c r="J2314" i="12"/>
  <c r="I2314" i="12"/>
  <c r="M2306" i="12"/>
  <c r="L2306" i="12"/>
  <c r="K2306" i="12"/>
  <c r="J2306" i="12"/>
  <c r="I2306" i="12"/>
  <c r="M2298" i="12"/>
  <c r="L2298" i="12"/>
  <c r="K2298" i="12"/>
  <c r="J2298" i="12"/>
  <c r="I2298" i="12"/>
  <c r="M2290" i="12"/>
  <c r="L2290" i="12"/>
  <c r="K2290" i="12"/>
  <c r="J2290" i="12"/>
  <c r="I2290" i="12"/>
  <c r="M2282" i="12"/>
  <c r="L2282" i="12"/>
  <c r="K2282" i="12"/>
  <c r="J2282" i="12"/>
  <c r="I2282" i="12"/>
  <c r="M2274" i="12"/>
  <c r="L2274" i="12"/>
  <c r="K2274" i="12"/>
  <c r="J2274" i="12"/>
  <c r="I2274" i="12"/>
  <c r="M2266" i="12"/>
  <c r="L2266" i="12"/>
  <c r="K2266" i="12"/>
  <c r="J2266" i="12"/>
  <c r="I2266" i="12"/>
  <c r="M2258" i="12"/>
  <c r="L2258" i="12"/>
  <c r="K2258" i="12"/>
  <c r="J2258" i="12"/>
  <c r="I2258" i="12"/>
  <c r="M2250" i="12"/>
  <c r="L2250" i="12"/>
  <c r="K2250" i="12"/>
  <c r="J2250" i="12"/>
  <c r="I2250" i="12"/>
  <c r="M2242" i="12"/>
  <c r="L2242" i="12"/>
  <c r="K2242" i="12"/>
  <c r="J2242" i="12"/>
  <c r="I2242" i="12"/>
  <c r="M2234" i="12"/>
  <c r="L2234" i="12"/>
  <c r="K2234" i="12"/>
  <c r="J2234" i="12"/>
  <c r="I2234" i="12"/>
  <c r="M2226" i="12"/>
  <c r="L2226" i="12"/>
  <c r="K2226" i="12"/>
  <c r="J2226" i="12"/>
  <c r="I2226" i="12"/>
  <c r="M2218" i="12"/>
  <c r="L2218" i="12"/>
  <c r="K2218" i="12"/>
  <c r="J2218" i="12"/>
  <c r="I2218" i="12"/>
  <c r="M2210" i="12"/>
  <c r="L2210" i="12"/>
  <c r="K2210" i="12"/>
  <c r="J2210" i="12"/>
  <c r="I2210" i="12"/>
  <c r="M2202" i="12"/>
  <c r="L2202" i="12"/>
  <c r="K2202" i="12"/>
  <c r="J2202" i="12"/>
  <c r="I2202" i="12"/>
  <c r="M2194" i="12"/>
  <c r="L2194" i="12"/>
  <c r="K2194" i="12"/>
  <c r="J2194" i="12"/>
  <c r="I2194" i="12"/>
  <c r="M2186" i="12"/>
  <c r="L2186" i="12"/>
  <c r="K2186" i="12"/>
  <c r="J2186" i="12"/>
  <c r="I2186" i="12"/>
  <c r="M2178" i="12"/>
  <c r="L2178" i="12"/>
  <c r="K2178" i="12"/>
  <c r="J2178" i="12"/>
  <c r="I2178" i="12"/>
  <c r="M2170" i="12"/>
  <c r="L2170" i="12"/>
  <c r="K2170" i="12"/>
  <c r="J2170" i="12"/>
  <c r="I2170" i="12"/>
  <c r="M2162" i="12"/>
  <c r="L2162" i="12"/>
  <c r="K2162" i="12"/>
  <c r="J2162" i="12"/>
  <c r="I2162" i="12"/>
  <c r="M2154" i="12"/>
  <c r="L2154" i="12"/>
  <c r="K2154" i="12"/>
  <c r="J2154" i="12"/>
  <c r="I2154" i="12"/>
  <c r="M2146" i="12"/>
  <c r="L2146" i="12"/>
  <c r="K2146" i="12"/>
  <c r="J2146" i="12"/>
  <c r="I2146" i="12"/>
  <c r="M2138" i="12"/>
  <c r="L2138" i="12"/>
  <c r="K2138" i="12"/>
  <c r="J2138" i="12"/>
  <c r="I2138" i="12"/>
  <c r="M2130" i="12"/>
  <c r="L2130" i="12"/>
  <c r="K2130" i="12"/>
  <c r="J2130" i="12"/>
  <c r="I2130" i="12"/>
  <c r="M2122" i="12"/>
  <c r="L2122" i="12"/>
  <c r="K2122" i="12"/>
  <c r="J2122" i="12"/>
  <c r="I2122" i="12"/>
  <c r="M2114" i="12"/>
  <c r="L2114" i="12"/>
  <c r="K2114" i="12"/>
  <c r="J2114" i="12"/>
  <c r="I2114" i="12"/>
  <c r="M2106" i="12"/>
  <c r="L2106" i="12"/>
  <c r="K2106" i="12"/>
  <c r="J2106" i="12"/>
  <c r="I2106" i="12"/>
  <c r="M2098" i="12"/>
  <c r="L2098" i="12"/>
  <c r="K2098" i="12"/>
  <c r="J2098" i="12"/>
  <c r="I2098" i="12"/>
  <c r="M2090" i="12"/>
  <c r="L2090" i="12"/>
  <c r="K2090" i="12"/>
  <c r="J2090" i="12"/>
  <c r="I2090" i="12"/>
  <c r="M2082" i="12"/>
  <c r="L2082" i="12"/>
  <c r="K2082" i="12"/>
  <c r="J2082" i="12"/>
  <c r="I2082" i="12"/>
  <c r="M2074" i="12"/>
  <c r="L2074" i="12"/>
  <c r="K2074" i="12"/>
  <c r="J2074" i="12"/>
  <c r="I2074" i="12"/>
  <c r="M2066" i="12"/>
  <c r="L2066" i="12"/>
  <c r="K2066" i="12"/>
  <c r="J2066" i="12"/>
  <c r="I2066" i="12"/>
  <c r="M2058" i="12"/>
  <c r="L2058" i="12"/>
  <c r="K2058" i="12"/>
  <c r="J2058" i="12"/>
  <c r="I2058" i="12"/>
  <c r="M2050" i="12"/>
  <c r="L2050" i="12"/>
  <c r="K2050" i="12"/>
  <c r="J2050" i="12"/>
  <c r="I2050" i="12"/>
  <c r="M2042" i="12"/>
  <c r="L2042" i="12"/>
  <c r="K2042" i="12"/>
  <c r="J2042" i="12"/>
  <c r="I2042" i="12"/>
  <c r="M2034" i="12"/>
  <c r="L2034" i="12"/>
  <c r="K2034" i="12"/>
  <c r="J2034" i="12"/>
  <c r="I2034" i="12"/>
  <c r="M2026" i="12"/>
  <c r="L2026" i="12"/>
  <c r="K2026" i="12"/>
  <c r="J2026" i="12"/>
  <c r="I2026" i="12"/>
  <c r="M2018" i="12"/>
  <c r="L2018" i="12"/>
  <c r="K2018" i="12"/>
  <c r="J2018" i="12"/>
  <c r="I2018" i="12"/>
  <c r="M2010" i="12"/>
  <c r="L2010" i="12"/>
  <c r="K2010" i="12"/>
  <c r="J2010" i="12"/>
  <c r="I2010" i="12"/>
  <c r="M2002" i="12"/>
  <c r="L2002" i="12"/>
  <c r="K2002" i="12"/>
  <c r="J2002" i="12"/>
  <c r="I2002" i="12"/>
  <c r="M1994" i="12"/>
  <c r="L1994" i="12"/>
  <c r="K1994" i="12"/>
  <c r="J1994" i="12"/>
  <c r="I1994" i="12"/>
  <c r="M1986" i="12"/>
  <c r="L1986" i="12"/>
  <c r="K1986" i="12"/>
  <c r="J1986" i="12"/>
  <c r="I1986" i="12"/>
  <c r="M1978" i="12"/>
  <c r="L1978" i="12"/>
  <c r="K1978" i="12"/>
  <c r="J1978" i="12"/>
  <c r="I1978" i="12"/>
  <c r="M1970" i="12"/>
  <c r="L1970" i="12"/>
  <c r="K1970" i="12"/>
  <c r="J1970" i="12"/>
  <c r="I1970" i="12"/>
  <c r="M1962" i="12"/>
  <c r="L1962" i="12"/>
  <c r="K1962" i="12"/>
  <c r="J1962" i="12"/>
  <c r="I1962" i="12"/>
  <c r="M1954" i="12"/>
  <c r="L1954" i="12"/>
  <c r="K1954" i="12"/>
  <c r="J1954" i="12"/>
  <c r="I1954" i="12"/>
  <c r="M1946" i="12"/>
  <c r="L1946" i="12"/>
  <c r="K1946" i="12"/>
  <c r="J1946" i="12"/>
  <c r="I1946" i="12"/>
  <c r="M1938" i="12"/>
  <c r="L1938" i="12"/>
  <c r="K1938" i="12"/>
  <c r="J1938" i="12"/>
  <c r="I1938" i="12"/>
  <c r="M1930" i="12"/>
  <c r="L1930" i="12"/>
  <c r="K1930" i="12"/>
  <c r="J1930" i="12"/>
  <c r="I1930" i="12"/>
  <c r="M1922" i="12"/>
  <c r="L1922" i="12"/>
  <c r="K1922" i="12"/>
  <c r="J1922" i="12"/>
  <c r="I1922" i="12"/>
  <c r="M1914" i="12"/>
  <c r="L1914" i="12"/>
  <c r="K1914" i="12"/>
  <c r="J1914" i="12"/>
  <c r="I1914" i="12"/>
  <c r="M1906" i="12"/>
  <c r="L1906" i="12"/>
  <c r="K1906" i="12"/>
  <c r="J1906" i="12"/>
  <c r="I1906" i="12"/>
  <c r="M1898" i="12"/>
  <c r="L1898" i="12"/>
  <c r="K1898" i="12"/>
  <c r="J1898" i="12"/>
  <c r="I1898" i="12"/>
  <c r="M1890" i="12"/>
  <c r="L1890" i="12"/>
  <c r="K1890" i="12"/>
  <c r="J1890" i="12"/>
  <c r="I1890" i="12"/>
  <c r="M1882" i="12"/>
  <c r="L1882" i="12"/>
  <c r="K1882" i="12"/>
  <c r="J1882" i="12"/>
  <c r="I1882" i="12"/>
  <c r="M1874" i="12"/>
  <c r="L1874" i="12"/>
  <c r="J1874" i="12"/>
  <c r="K1874" i="12"/>
  <c r="I1874" i="12"/>
  <c r="M1866" i="12"/>
  <c r="L1866" i="12"/>
  <c r="K1866" i="12"/>
  <c r="J1866" i="12"/>
  <c r="I1866" i="12"/>
  <c r="M1858" i="12"/>
  <c r="L1858" i="12"/>
  <c r="K1858" i="12"/>
  <c r="J1858" i="12"/>
  <c r="I1858" i="12"/>
  <c r="M1850" i="12"/>
  <c r="L1850" i="12"/>
  <c r="K1850" i="12"/>
  <c r="J1850" i="12"/>
  <c r="I1850" i="12"/>
  <c r="M1842" i="12"/>
  <c r="L1842" i="12"/>
  <c r="K1842" i="12"/>
  <c r="J1842" i="12"/>
  <c r="I1842" i="12"/>
  <c r="M1834" i="12"/>
  <c r="L1834" i="12"/>
  <c r="K1834" i="12"/>
  <c r="J1834" i="12"/>
  <c r="I1834" i="12"/>
  <c r="M1826" i="12"/>
  <c r="L1826" i="12"/>
  <c r="K1826" i="12"/>
  <c r="J1826" i="12"/>
  <c r="I1826" i="12"/>
  <c r="M1818" i="12"/>
  <c r="L1818" i="12"/>
  <c r="K1818" i="12"/>
  <c r="J1818" i="12"/>
  <c r="I1818" i="12"/>
  <c r="M1810" i="12"/>
  <c r="L1810" i="12"/>
  <c r="K1810" i="12"/>
  <c r="J1810" i="12"/>
  <c r="I1810" i="12"/>
  <c r="M1802" i="12"/>
  <c r="L1802" i="12"/>
  <c r="K1802" i="12"/>
  <c r="J1802" i="12"/>
  <c r="I1802" i="12"/>
  <c r="M1794" i="12"/>
  <c r="L1794" i="12"/>
  <c r="K1794" i="12"/>
  <c r="J1794" i="12"/>
  <c r="I1794" i="12"/>
  <c r="M1786" i="12"/>
  <c r="L1786" i="12"/>
  <c r="K1786" i="12"/>
  <c r="J1786" i="12"/>
  <c r="I1786" i="12"/>
  <c r="M1778" i="12"/>
  <c r="L1778" i="12"/>
  <c r="K1778" i="12"/>
  <c r="J1778" i="12"/>
  <c r="I1778" i="12"/>
  <c r="M1770" i="12"/>
  <c r="L1770" i="12"/>
  <c r="K1770" i="12"/>
  <c r="J1770" i="12"/>
  <c r="I1770" i="12"/>
  <c r="M1762" i="12"/>
  <c r="L1762" i="12"/>
  <c r="K1762" i="12"/>
  <c r="J1762" i="12"/>
  <c r="I1762" i="12"/>
  <c r="M1754" i="12"/>
  <c r="L1754" i="12"/>
  <c r="K1754" i="12"/>
  <c r="J1754" i="12"/>
  <c r="I1754" i="12"/>
  <c r="M1746" i="12"/>
  <c r="L1746" i="12"/>
  <c r="K1746" i="12"/>
  <c r="J1746" i="12"/>
  <c r="I1746" i="12"/>
  <c r="M1738" i="12"/>
  <c r="L1738" i="12"/>
  <c r="K1738" i="12"/>
  <c r="J1738" i="12"/>
  <c r="I1738" i="12"/>
  <c r="M1730" i="12"/>
  <c r="L1730" i="12"/>
  <c r="K1730" i="12"/>
  <c r="J1730" i="12"/>
  <c r="I1730" i="12"/>
  <c r="M1722" i="12"/>
  <c r="L1722" i="12"/>
  <c r="K1722" i="12"/>
  <c r="J1722" i="12"/>
  <c r="I1722" i="12"/>
  <c r="M1714" i="12"/>
  <c r="L1714" i="12"/>
  <c r="K1714" i="12"/>
  <c r="J1714" i="12"/>
  <c r="I1714" i="12"/>
  <c r="M1706" i="12"/>
  <c r="L1706" i="12"/>
  <c r="K1706" i="12"/>
  <c r="J1706" i="12"/>
  <c r="I1706" i="12"/>
  <c r="M1698" i="12"/>
  <c r="L1698" i="12"/>
  <c r="K1698" i="12"/>
  <c r="J1698" i="12"/>
  <c r="I1698" i="12"/>
  <c r="M1690" i="12"/>
  <c r="L1690" i="12"/>
  <c r="K1690" i="12"/>
  <c r="J1690" i="12"/>
  <c r="I1690" i="12"/>
  <c r="M1682" i="12"/>
  <c r="L1682" i="12"/>
  <c r="K1682" i="12"/>
  <c r="J1682" i="12"/>
  <c r="I1682" i="12"/>
  <c r="M1674" i="12"/>
  <c r="L1674" i="12"/>
  <c r="K1674" i="12"/>
  <c r="J1674" i="12"/>
  <c r="I1674" i="12"/>
  <c r="M1666" i="12"/>
  <c r="L1666" i="12"/>
  <c r="K1666" i="12"/>
  <c r="J1666" i="12"/>
  <c r="I1666" i="12"/>
  <c r="M1658" i="12"/>
  <c r="L1658" i="12"/>
  <c r="K1658" i="12"/>
  <c r="J1658" i="12"/>
  <c r="I1658" i="12"/>
  <c r="M1650" i="12"/>
  <c r="L1650" i="12"/>
  <c r="K1650" i="12"/>
  <c r="J1650" i="12"/>
  <c r="I1650" i="12"/>
  <c r="M1642" i="12"/>
  <c r="L1642" i="12"/>
  <c r="K1642" i="12"/>
  <c r="J1642" i="12"/>
  <c r="I1642" i="12"/>
  <c r="M1634" i="12"/>
  <c r="L1634" i="12"/>
  <c r="K1634" i="12"/>
  <c r="J1634" i="12"/>
  <c r="I1634" i="12"/>
  <c r="M1626" i="12"/>
  <c r="L1626" i="12"/>
  <c r="K1626" i="12"/>
  <c r="J1626" i="12"/>
  <c r="I1626" i="12"/>
  <c r="M1618" i="12"/>
  <c r="L1618" i="12"/>
  <c r="K1618" i="12"/>
  <c r="J1618" i="12"/>
  <c r="I1618" i="12"/>
  <c r="M1610" i="12"/>
  <c r="L1610" i="12"/>
  <c r="K1610" i="12"/>
  <c r="J1610" i="12"/>
  <c r="I1610" i="12"/>
  <c r="M1602" i="12"/>
  <c r="L1602" i="12"/>
  <c r="K1602" i="12"/>
  <c r="J1602" i="12"/>
  <c r="I1602" i="12"/>
  <c r="M1594" i="12"/>
  <c r="L1594" i="12"/>
  <c r="K1594" i="12"/>
  <c r="J1594" i="12"/>
  <c r="I1594" i="12"/>
  <c r="M1586" i="12"/>
  <c r="L1586" i="12"/>
  <c r="K1586" i="12"/>
  <c r="J1586" i="12"/>
  <c r="I1586" i="12"/>
  <c r="M1578" i="12"/>
  <c r="L1578" i="12"/>
  <c r="K1578" i="12"/>
  <c r="J1578" i="12"/>
  <c r="I1578" i="12"/>
  <c r="M1570" i="12"/>
  <c r="L1570" i="12"/>
  <c r="K1570" i="12"/>
  <c r="J1570" i="12"/>
  <c r="I1570" i="12"/>
  <c r="M1562" i="12"/>
  <c r="L1562" i="12"/>
  <c r="K1562" i="12"/>
  <c r="J1562" i="12"/>
  <c r="I1562" i="12"/>
  <c r="M1554" i="12"/>
  <c r="L1554" i="12"/>
  <c r="K1554" i="12"/>
  <c r="J1554" i="12"/>
  <c r="I1554" i="12"/>
  <c r="M1546" i="12"/>
  <c r="L1546" i="12"/>
  <c r="K1546" i="12"/>
  <c r="J1546" i="12"/>
  <c r="I1546" i="12"/>
  <c r="M1538" i="12"/>
  <c r="L1538" i="12"/>
  <c r="K1538" i="12"/>
  <c r="J1538" i="12"/>
  <c r="I1538" i="12"/>
  <c r="M1530" i="12"/>
  <c r="L1530" i="12"/>
  <c r="K1530" i="12"/>
  <c r="J1530" i="12"/>
  <c r="I1530" i="12"/>
  <c r="M1522" i="12"/>
  <c r="L1522" i="12"/>
  <c r="K1522" i="12"/>
  <c r="J1522" i="12"/>
  <c r="I1522" i="12"/>
  <c r="M1514" i="12"/>
  <c r="L1514" i="12"/>
  <c r="K1514" i="12"/>
  <c r="J1514" i="12"/>
  <c r="I1514" i="12"/>
  <c r="M1506" i="12"/>
  <c r="L1506" i="12"/>
  <c r="K1506" i="12"/>
  <c r="J1506" i="12"/>
  <c r="I1506" i="12"/>
  <c r="M1498" i="12"/>
  <c r="L1498" i="12"/>
  <c r="K1498" i="12"/>
  <c r="J1498" i="12"/>
  <c r="I1498" i="12"/>
  <c r="M1490" i="12"/>
  <c r="L1490" i="12"/>
  <c r="K1490" i="12"/>
  <c r="J1490" i="12"/>
  <c r="I1490" i="12"/>
  <c r="M1482" i="12"/>
  <c r="L1482" i="12"/>
  <c r="K1482" i="12"/>
  <c r="J1482" i="12"/>
  <c r="I1482" i="12"/>
  <c r="M1474" i="12"/>
  <c r="L1474" i="12"/>
  <c r="K1474" i="12"/>
  <c r="J1474" i="12"/>
  <c r="I1474" i="12"/>
  <c r="M1466" i="12"/>
  <c r="L1466" i="12"/>
  <c r="K1466" i="12"/>
  <c r="J1466" i="12"/>
  <c r="I1466" i="12"/>
  <c r="M1458" i="12"/>
  <c r="L1458" i="12"/>
  <c r="K1458" i="12"/>
  <c r="J1458" i="12"/>
  <c r="I1458" i="12"/>
  <c r="M1450" i="12"/>
  <c r="L1450" i="12"/>
  <c r="K1450" i="12"/>
  <c r="J1450" i="12"/>
  <c r="I1450" i="12"/>
  <c r="M1442" i="12"/>
  <c r="L1442" i="12"/>
  <c r="K1442" i="12"/>
  <c r="J1442" i="12"/>
  <c r="I1442" i="12"/>
  <c r="M1434" i="12"/>
  <c r="L1434" i="12"/>
  <c r="K1434" i="12"/>
  <c r="J1434" i="12"/>
  <c r="I1434" i="12"/>
  <c r="M1426" i="12"/>
  <c r="L1426" i="12"/>
  <c r="K1426" i="12"/>
  <c r="J1426" i="12"/>
  <c r="I1426" i="12"/>
  <c r="M1418" i="12"/>
  <c r="L1418" i="12"/>
  <c r="K1418" i="12"/>
  <c r="J1418" i="12"/>
  <c r="I1418" i="12"/>
  <c r="M1410" i="12"/>
  <c r="L1410" i="12"/>
  <c r="K1410" i="12"/>
  <c r="J1410" i="12"/>
  <c r="I1410" i="12"/>
  <c r="M1402" i="12"/>
  <c r="L1402" i="12"/>
  <c r="K1402" i="12"/>
  <c r="J1402" i="12"/>
  <c r="I1402" i="12"/>
  <c r="M1394" i="12"/>
  <c r="L1394" i="12"/>
  <c r="K1394" i="12"/>
  <c r="J1394" i="12"/>
  <c r="I1394" i="12"/>
  <c r="M1386" i="12"/>
  <c r="L1386" i="12"/>
  <c r="K1386" i="12"/>
  <c r="J1386" i="12"/>
  <c r="I1386" i="12"/>
  <c r="M1378" i="12"/>
  <c r="L1378" i="12"/>
  <c r="K1378" i="12"/>
  <c r="J1378" i="12"/>
  <c r="I1378" i="12"/>
  <c r="M1370" i="12"/>
  <c r="L1370" i="12"/>
  <c r="K1370" i="12"/>
  <c r="J1370" i="12"/>
  <c r="I1370" i="12"/>
  <c r="M1362" i="12"/>
  <c r="L1362" i="12"/>
  <c r="K1362" i="12"/>
  <c r="J1362" i="12"/>
  <c r="I1362" i="12"/>
  <c r="M1354" i="12"/>
  <c r="L1354" i="12"/>
  <c r="K1354" i="12"/>
  <c r="J1354" i="12"/>
  <c r="I1354" i="12"/>
  <c r="M1346" i="12"/>
  <c r="L1346" i="12"/>
  <c r="K1346" i="12"/>
  <c r="J1346" i="12"/>
  <c r="I1346" i="12"/>
  <c r="M1338" i="12"/>
  <c r="L1338" i="12"/>
  <c r="K1338" i="12"/>
  <c r="J1338" i="12"/>
  <c r="I1338" i="12"/>
  <c r="M1330" i="12"/>
  <c r="L1330" i="12"/>
  <c r="K1330" i="12"/>
  <c r="J1330" i="12"/>
  <c r="I1330" i="12"/>
  <c r="M1322" i="12"/>
  <c r="L1322" i="12"/>
  <c r="K1322" i="12"/>
  <c r="J1322" i="12"/>
  <c r="I1322" i="12"/>
  <c r="M1314" i="12"/>
  <c r="L1314" i="12"/>
  <c r="K1314" i="12"/>
  <c r="J1314" i="12"/>
  <c r="I1314" i="12"/>
  <c r="M1306" i="12"/>
  <c r="L1306" i="12"/>
  <c r="K1306" i="12"/>
  <c r="J1306" i="12"/>
  <c r="I1306" i="12"/>
  <c r="M1298" i="12"/>
  <c r="L1298" i="12"/>
  <c r="K1298" i="12"/>
  <c r="J1298" i="12"/>
  <c r="I1298" i="12"/>
  <c r="M1290" i="12"/>
  <c r="L1290" i="12"/>
  <c r="K1290" i="12"/>
  <c r="J1290" i="12"/>
  <c r="I1290" i="12"/>
  <c r="M1282" i="12"/>
  <c r="L1282" i="12"/>
  <c r="K1282" i="12"/>
  <c r="J1282" i="12"/>
  <c r="I1282" i="12"/>
  <c r="M1274" i="12"/>
  <c r="L1274" i="12"/>
  <c r="K1274" i="12"/>
  <c r="J1274" i="12"/>
  <c r="I1274" i="12"/>
  <c r="M1266" i="12"/>
  <c r="L1266" i="12"/>
  <c r="K1266" i="12"/>
  <c r="J1266" i="12"/>
  <c r="I1266" i="12"/>
  <c r="M1258" i="12"/>
  <c r="L1258" i="12"/>
  <c r="K1258" i="12"/>
  <c r="J1258" i="12"/>
  <c r="I1258" i="12"/>
  <c r="M1250" i="12"/>
  <c r="L1250" i="12"/>
  <c r="K1250" i="12"/>
  <c r="J1250" i="12"/>
  <c r="I1250" i="12"/>
  <c r="M1242" i="12"/>
  <c r="L1242" i="12"/>
  <c r="K1242" i="12"/>
  <c r="J1242" i="12"/>
  <c r="I1242" i="12"/>
  <c r="M1234" i="12"/>
  <c r="L1234" i="12"/>
  <c r="K1234" i="12"/>
  <c r="J1234" i="12"/>
  <c r="I1234" i="12"/>
  <c r="M1226" i="12"/>
  <c r="L1226" i="12"/>
  <c r="K1226" i="12"/>
  <c r="J1226" i="12"/>
  <c r="I1226" i="12"/>
  <c r="M1218" i="12"/>
  <c r="L1218" i="12"/>
  <c r="K1218" i="12"/>
  <c r="J1218" i="12"/>
  <c r="I1218" i="12"/>
  <c r="M1210" i="12"/>
  <c r="L1210" i="12"/>
  <c r="K1210" i="12"/>
  <c r="J1210" i="12"/>
  <c r="I1210" i="12"/>
  <c r="M1202" i="12"/>
  <c r="L1202" i="12"/>
  <c r="K1202" i="12"/>
  <c r="J1202" i="12"/>
  <c r="I1202" i="12"/>
  <c r="M1194" i="12"/>
  <c r="L1194" i="12"/>
  <c r="K1194" i="12"/>
  <c r="J1194" i="12"/>
  <c r="I1194" i="12"/>
  <c r="M1186" i="12"/>
  <c r="L1186" i="12"/>
  <c r="K1186" i="12"/>
  <c r="J1186" i="12"/>
  <c r="I1186" i="12"/>
  <c r="M1178" i="12"/>
  <c r="L1178" i="12"/>
  <c r="K1178" i="12"/>
  <c r="J1178" i="12"/>
  <c r="I1178" i="12"/>
  <c r="M1170" i="12"/>
  <c r="L1170" i="12"/>
  <c r="K1170" i="12"/>
  <c r="J1170" i="12"/>
  <c r="I1170" i="12"/>
  <c r="M1162" i="12"/>
  <c r="L1162" i="12"/>
  <c r="K1162" i="12"/>
  <c r="J1162" i="12"/>
  <c r="I1162" i="12"/>
  <c r="M1154" i="12"/>
  <c r="L1154" i="12"/>
  <c r="K1154" i="12"/>
  <c r="J1154" i="12"/>
  <c r="I1154" i="12"/>
  <c r="M1146" i="12"/>
  <c r="L1146" i="12"/>
  <c r="K1146" i="12"/>
  <c r="J1146" i="12"/>
  <c r="I1146" i="12"/>
  <c r="M1138" i="12"/>
  <c r="L1138" i="12"/>
  <c r="K1138" i="12"/>
  <c r="J1138" i="12"/>
  <c r="I1138" i="12"/>
  <c r="M1130" i="12"/>
  <c r="L1130" i="12"/>
  <c r="K1130" i="12"/>
  <c r="J1130" i="12"/>
  <c r="I1130" i="12"/>
  <c r="M1122" i="12"/>
  <c r="L1122" i="12"/>
  <c r="K1122" i="12"/>
  <c r="J1122" i="12"/>
  <c r="I1122" i="12"/>
  <c r="M1114" i="12"/>
  <c r="L1114" i="12"/>
  <c r="K1114" i="12"/>
  <c r="J1114" i="12"/>
  <c r="I1114" i="12"/>
  <c r="M1106" i="12"/>
  <c r="L1106" i="12"/>
  <c r="K1106" i="12"/>
  <c r="J1106" i="12"/>
  <c r="I1106" i="12"/>
  <c r="M1098" i="12"/>
  <c r="L1098" i="12"/>
  <c r="K1098" i="12"/>
  <c r="J1098" i="12"/>
  <c r="I1098" i="12"/>
  <c r="M1090" i="12"/>
  <c r="L1090" i="12"/>
  <c r="K1090" i="12"/>
  <c r="J1090" i="12"/>
  <c r="I1090" i="12"/>
  <c r="M1082" i="12"/>
  <c r="L1082" i="12"/>
  <c r="K1082" i="12"/>
  <c r="J1082" i="12"/>
  <c r="I1082" i="12"/>
  <c r="M1074" i="12"/>
  <c r="L1074" i="12"/>
  <c r="K1074" i="12"/>
  <c r="J1074" i="12"/>
  <c r="I1074" i="12"/>
  <c r="M1066" i="12"/>
  <c r="L1066" i="12"/>
  <c r="K1066" i="12"/>
  <c r="J1066" i="12"/>
  <c r="I1066" i="12"/>
  <c r="M1058" i="12"/>
  <c r="L1058" i="12"/>
  <c r="K1058" i="12"/>
  <c r="J1058" i="12"/>
  <c r="I1058" i="12"/>
  <c r="M1050" i="12"/>
  <c r="L1050" i="12"/>
  <c r="K1050" i="12"/>
  <c r="J1050" i="12"/>
  <c r="I1050" i="12"/>
  <c r="M1042" i="12"/>
  <c r="L1042" i="12"/>
  <c r="K1042" i="12"/>
  <c r="J1042" i="12"/>
  <c r="I1042" i="12"/>
  <c r="M1034" i="12"/>
  <c r="L1034" i="12"/>
  <c r="K1034" i="12"/>
  <c r="J1034" i="12"/>
  <c r="I1034" i="12"/>
  <c r="M1026" i="12"/>
  <c r="L1026" i="12"/>
  <c r="K1026" i="12"/>
  <c r="J1026" i="12"/>
  <c r="I1026" i="12"/>
  <c r="M1018" i="12"/>
  <c r="L1018" i="12"/>
  <c r="K1018" i="12"/>
  <c r="J1018" i="12"/>
  <c r="I1018" i="12"/>
  <c r="M1010" i="12"/>
  <c r="L1010" i="12"/>
  <c r="K1010" i="12"/>
  <c r="J1010" i="12"/>
  <c r="I1010" i="12"/>
  <c r="M1002" i="12"/>
  <c r="L1002" i="12"/>
  <c r="K1002" i="12"/>
  <c r="J1002" i="12"/>
  <c r="I1002" i="12"/>
  <c r="M994" i="12"/>
  <c r="L994" i="12"/>
  <c r="K994" i="12"/>
  <c r="J994" i="12"/>
  <c r="I994" i="12"/>
  <c r="M986" i="12"/>
  <c r="L986" i="12"/>
  <c r="K986" i="12"/>
  <c r="J986" i="12"/>
  <c r="I986" i="12"/>
  <c r="M978" i="12"/>
  <c r="L978" i="12"/>
  <c r="K978" i="12"/>
  <c r="J978" i="12"/>
  <c r="I978" i="12"/>
  <c r="M970" i="12"/>
  <c r="L970" i="12"/>
  <c r="K970" i="12"/>
  <c r="J970" i="12"/>
  <c r="I970" i="12"/>
  <c r="M962" i="12"/>
  <c r="L962" i="12"/>
  <c r="K962" i="12"/>
  <c r="J962" i="12"/>
  <c r="I962" i="12"/>
  <c r="M954" i="12"/>
  <c r="L954" i="12"/>
  <c r="K954" i="12"/>
  <c r="I954" i="12"/>
  <c r="M946" i="12"/>
  <c r="L946" i="12"/>
  <c r="K946" i="12"/>
  <c r="J946" i="12"/>
  <c r="I946" i="12"/>
  <c r="M938" i="12"/>
  <c r="L938" i="12"/>
  <c r="K938" i="12"/>
  <c r="J938" i="12"/>
  <c r="I938" i="12"/>
  <c r="M930" i="12"/>
  <c r="L930" i="12"/>
  <c r="K930" i="12"/>
  <c r="J930" i="12"/>
  <c r="I930" i="12"/>
  <c r="M922" i="12"/>
  <c r="L922" i="12"/>
  <c r="K922" i="12"/>
  <c r="J922" i="12"/>
  <c r="I922" i="12"/>
  <c r="M914" i="12"/>
  <c r="L914" i="12"/>
  <c r="K914" i="12"/>
  <c r="J914" i="12"/>
  <c r="I914" i="12"/>
  <c r="M906" i="12"/>
  <c r="L906" i="12"/>
  <c r="K906" i="12"/>
  <c r="J906" i="12"/>
  <c r="I906" i="12"/>
  <c r="M898" i="12"/>
  <c r="L898" i="12"/>
  <c r="K898" i="12"/>
  <c r="J898" i="12"/>
  <c r="I898" i="12"/>
  <c r="M890" i="12"/>
  <c r="L890" i="12"/>
  <c r="K890" i="12"/>
  <c r="J890" i="12"/>
  <c r="I890" i="12"/>
  <c r="M882" i="12"/>
  <c r="L882" i="12"/>
  <c r="K882" i="12"/>
  <c r="J882" i="12"/>
  <c r="I882" i="12"/>
  <c r="M874" i="12"/>
  <c r="L874" i="12"/>
  <c r="K874" i="12"/>
  <c r="J874" i="12"/>
  <c r="I874" i="12"/>
  <c r="M866" i="12"/>
  <c r="L866" i="12"/>
  <c r="K866" i="12"/>
  <c r="J866" i="12"/>
  <c r="I866" i="12"/>
  <c r="M858" i="12"/>
  <c r="L858" i="12"/>
  <c r="K858" i="12"/>
  <c r="J858" i="12"/>
  <c r="I858" i="12"/>
  <c r="M850" i="12"/>
  <c r="L850" i="12"/>
  <c r="K850" i="12"/>
  <c r="I850" i="12"/>
  <c r="J850" i="12"/>
  <c r="M842" i="12"/>
  <c r="L842" i="12"/>
  <c r="K842" i="12"/>
  <c r="J842" i="12"/>
  <c r="I842" i="12"/>
  <c r="M834" i="12"/>
  <c r="L834" i="12"/>
  <c r="K834" i="12"/>
  <c r="J834" i="12"/>
  <c r="I834" i="12"/>
  <c r="M826" i="12"/>
  <c r="L826" i="12"/>
  <c r="K826" i="12"/>
  <c r="J826" i="12"/>
  <c r="I826" i="12"/>
  <c r="M818" i="12"/>
  <c r="L818" i="12"/>
  <c r="K818" i="12"/>
  <c r="J818" i="12"/>
  <c r="I818" i="12"/>
  <c r="M810" i="12"/>
  <c r="L810" i="12"/>
  <c r="K810" i="12"/>
  <c r="J810" i="12"/>
  <c r="I810" i="12"/>
  <c r="M802" i="12"/>
  <c r="L802" i="12"/>
  <c r="K802" i="12"/>
  <c r="J802" i="12"/>
  <c r="I802" i="12"/>
  <c r="M794" i="12"/>
  <c r="L794" i="12"/>
  <c r="K794" i="12"/>
  <c r="J794" i="12"/>
  <c r="I794" i="12"/>
  <c r="M786" i="12"/>
  <c r="L786" i="12"/>
  <c r="K786" i="12"/>
  <c r="J786" i="12"/>
  <c r="I786" i="12"/>
  <c r="M778" i="12"/>
  <c r="L778" i="12"/>
  <c r="K778" i="12"/>
  <c r="J778" i="12"/>
  <c r="I778" i="12"/>
  <c r="M770" i="12"/>
  <c r="L770" i="12"/>
  <c r="K770" i="12"/>
  <c r="J770" i="12"/>
  <c r="I770" i="12"/>
  <c r="M762" i="12"/>
  <c r="L762" i="12"/>
  <c r="K762" i="12"/>
  <c r="J762" i="12"/>
  <c r="I762" i="12"/>
  <c r="M754" i="12"/>
  <c r="L754" i="12"/>
  <c r="K754" i="12"/>
  <c r="J754" i="12"/>
  <c r="I754" i="12"/>
  <c r="M746" i="12"/>
  <c r="L746" i="12"/>
  <c r="K746" i="12"/>
  <c r="J746" i="12"/>
  <c r="I746" i="12"/>
  <c r="M738" i="12"/>
  <c r="L738" i="12"/>
  <c r="K738" i="12"/>
  <c r="J738" i="12"/>
  <c r="I738" i="12"/>
  <c r="M730" i="12"/>
  <c r="L730" i="12"/>
  <c r="K730" i="12"/>
  <c r="J730" i="12"/>
  <c r="I730" i="12"/>
  <c r="M722" i="12"/>
  <c r="L722" i="12"/>
  <c r="K722" i="12"/>
  <c r="J722" i="12"/>
  <c r="I722" i="12"/>
  <c r="M714" i="12"/>
  <c r="L714" i="12"/>
  <c r="K714" i="12"/>
  <c r="J714" i="12"/>
  <c r="I714" i="12"/>
  <c r="M706" i="12"/>
  <c r="L706" i="12"/>
  <c r="K706" i="12"/>
  <c r="J706" i="12"/>
  <c r="I706" i="12"/>
  <c r="M698" i="12"/>
  <c r="L698" i="12"/>
  <c r="K698" i="12"/>
  <c r="J698" i="12"/>
  <c r="I698" i="12"/>
  <c r="M690" i="12"/>
  <c r="L690" i="12"/>
  <c r="K690" i="12"/>
  <c r="J690" i="12"/>
  <c r="I690" i="12"/>
  <c r="M682" i="12"/>
  <c r="L682" i="12"/>
  <c r="K682" i="12"/>
  <c r="J682" i="12"/>
  <c r="I682" i="12"/>
  <c r="M674" i="12"/>
  <c r="L674" i="12"/>
  <c r="K674" i="12"/>
  <c r="J674" i="12"/>
  <c r="I674" i="12"/>
  <c r="M666" i="12"/>
  <c r="L666" i="12"/>
  <c r="K666" i="12"/>
  <c r="J666" i="12"/>
  <c r="I666" i="12"/>
  <c r="M658" i="12"/>
  <c r="L658" i="12"/>
  <c r="K658" i="12"/>
  <c r="J658" i="12"/>
  <c r="I658" i="12"/>
  <c r="M650" i="12"/>
  <c r="L650" i="12"/>
  <c r="K650" i="12"/>
  <c r="J650" i="12"/>
  <c r="I650" i="12"/>
  <c r="M642" i="12"/>
  <c r="L642" i="12"/>
  <c r="K642" i="12"/>
  <c r="J642" i="12"/>
  <c r="I642" i="12"/>
  <c r="M634" i="12"/>
  <c r="L634" i="12"/>
  <c r="K634" i="12"/>
  <c r="J634" i="12"/>
  <c r="I634" i="12"/>
  <c r="M626" i="12"/>
  <c r="L626" i="12"/>
  <c r="K626" i="12"/>
  <c r="J626" i="12"/>
  <c r="I626" i="12"/>
  <c r="M618" i="12"/>
  <c r="L618" i="12"/>
  <c r="K618" i="12"/>
  <c r="J618" i="12"/>
  <c r="I618" i="12"/>
  <c r="M610" i="12"/>
  <c r="L610" i="12"/>
  <c r="K610" i="12"/>
  <c r="J610" i="12"/>
  <c r="I610" i="12"/>
  <c r="M602" i="12"/>
  <c r="L602" i="12"/>
  <c r="K602" i="12"/>
  <c r="J602" i="12"/>
  <c r="I602" i="12"/>
  <c r="M594" i="12"/>
  <c r="L594" i="12"/>
  <c r="K594" i="12"/>
  <c r="J594" i="12"/>
  <c r="I594" i="12"/>
  <c r="M586" i="12"/>
  <c r="L586" i="12"/>
  <c r="K586" i="12"/>
  <c r="J586" i="12"/>
  <c r="I586" i="12"/>
  <c r="M578" i="12"/>
  <c r="L578" i="12"/>
  <c r="K578" i="12"/>
  <c r="J578" i="12"/>
  <c r="I578" i="12"/>
  <c r="M570" i="12"/>
  <c r="L570" i="12"/>
  <c r="K570" i="12"/>
  <c r="J570" i="12"/>
  <c r="I570" i="12"/>
  <c r="M562" i="12"/>
  <c r="L562" i="12"/>
  <c r="K562" i="12"/>
  <c r="J562" i="12"/>
  <c r="I562" i="12"/>
  <c r="M554" i="12"/>
  <c r="L554" i="12"/>
  <c r="K554" i="12"/>
  <c r="J554" i="12"/>
  <c r="I554" i="12"/>
  <c r="M546" i="12"/>
  <c r="L546" i="12"/>
  <c r="K546" i="12"/>
  <c r="J546" i="12"/>
  <c r="I546" i="12"/>
  <c r="M538" i="12"/>
  <c r="L538" i="12"/>
  <c r="K538" i="12"/>
  <c r="J538" i="12"/>
  <c r="I538" i="12"/>
  <c r="M530" i="12"/>
  <c r="L530" i="12"/>
  <c r="K530" i="12"/>
  <c r="J530" i="12"/>
  <c r="I530" i="12"/>
  <c r="M522" i="12"/>
  <c r="L522" i="12"/>
  <c r="K522" i="12"/>
  <c r="J522" i="12"/>
  <c r="I522" i="12"/>
  <c r="M514" i="12"/>
  <c r="L514" i="12"/>
  <c r="K514" i="12"/>
  <c r="J514" i="12"/>
  <c r="I514" i="12"/>
  <c r="M506" i="12"/>
  <c r="L506" i="12"/>
  <c r="K506" i="12"/>
  <c r="J506" i="12"/>
  <c r="I506" i="12"/>
  <c r="M498" i="12"/>
  <c r="L498" i="12"/>
  <c r="K498" i="12"/>
  <c r="J498" i="12"/>
  <c r="I498" i="12"/>
  <c r="M490" i="12"/>
  <c r="L490" i="12"/>
  <c r="K490" i="12"/>
  <c r="J490" i="12"/>
  <c r="I490" i="12"/>
  <c r="M482" i="12"/>
  <c r="L482" i="12"/>
  <c r="K482" i="12"/>
  <c r="J482" i="12"/>
  <c r="I482" i="12"/>
  <c r="M474" i="12"/>
  <c r="L474" i="12"/>
  <c r="K474" i="12"/>
  <c r="J474" i="12"/>
  <c r="I474" i="12"/>
  <c r="M466" i="12"/>
  <c r="L466" i="12"/>
  <c r="K466" i="12"/>
  <c r="J466" i="12"/>
  <c r="I466" i="12"/>
  <c r="M458" i="12"/>
  <c r="L458" i="12"/>
  <c r="K458" i="12"/>
  <c r="J458" i="12"/>
  <c r="I458" i="12"/>
  <c r="M450" i="12"/>
  <c r="L450" i="12"/>
  <c r="K450" i="12"/>
  <c r="J450" i="12"/>
  <c r="I450" i="12"/>
  <c r="M442" i="12"/>
  <c r="L442" i="12"/>
  <c r="K442" i="12"/>
  <c r="J442" i="12"/>
  <c r="I442" i="12"/>
  <c r="M434" i="12"/>
  <c r="L434" i="12"/>
  <c r="K434" i="12"/>
  <c r="J434" i="12"/>
  <c r="I434" i="12"/>
  <c r="M426" i="12"/>
  <c r="L426" i="12"/>
  <c r="K426" i="12"/>
  <c r="J426" i="12"/>
  <c r="I426" i="12"/>
  <c r="M418" i="12"/>
  <c r="L418" i="12"/>
  <c r="K418" i="12"/>
  <c r="J418" i="12"/>
  <c r="I418" i="12"/>
  <c r="M410" i="12"/>
  <c r="L410" i="12"/>
  <c r="K410" i="12"/>
  <c r="J410" i="12"/>
  <c r="I410" i="12"/>
  <c r="M402" i="12"/>
  <c r="L402" i="12"/>
  <c r="K402" i="12"/>
  <c r="J402" i="12"/>
  <c r="I402" i="12"/>
  <c r="M394" i="12"/>
  <c r="L394" i="12"/>
  <c r="K394" i="12"/>
  <c r="J394" i="12"/>
  <c r="I394" i="12"/>
  <c r="M386" i="12"/>
  <c r="L386" i="12"/>
  <c r="K386" i="12"/>
  <c r="J386" i="12"/>
  <c r="I386" i="12"/>
  <c r="M378" i="12"/>
  <c r="L378" i="12"/>
  <c r="K378" i="12"/>
  <c r="J378" i="12"/>
  <c r="I378" i="12"/>
  <c r="M370" i="12"/>
  <c r="L370" i="12"/>
  <c r="K370" i="12"/>
  <c r="J370" i="12"/>
  <c r="I370" i="12"/>
  <c r="M362" i="12"/>
  <c r="L362" i="12"/>
  <c r="K362" i="12"/>
  <c r="J362" i="12"/>
  <c r="I362" i="12"/>
  <c r="M354" i="12"/>
  <c r="L354" i="12"/>
  <c r="K354" i="12"/>
  <c r="J354" i="12"/>
  <c r="I354" i="12"/>
  <c r="M346" i="12"/>
  <c r="L346" i="12"/>
  <c r="K346" i="12"/>
  <c r="J346" i="12"/>
  <c r="I346" i="12"/>
  <c r="M338" i="12"/>
  <c r="L338" i="12"/>
  <c r="K338" i="12"/>
  <c r="J338" i="12"/>
  <c r="I338" i="12"/>
  <c r="M330" i="12"/>
  <c r="L330" i="12"/>
  <c r="K330" i="12"/>
  <c r="J330" i="12"/>
  <c r="I330" i="12"/>
  <c r="M322" i="12"/>
  <c r="L322" i="12"/>
  <c r="K322" i="12"/>
  <c r="J322" i="12"/>
  <c r="I322" i="12"/>
  <c r="M314" i="12"/>
  <c r="L314" i="12"/>
  <c r="K314" i="12"/>
  <c r="J314" i="12"/>
  <c r="I314" i="12"/>
  <c r="M306" i="12"/>
  <c r="L306" i="12"/>
  <c r="K306" i="12"/>
  <c r="J306" i="12"/>
  <c r="I306" i="12"/>
  <c r="M298" i="12"/>
  <c r="L298" i="12"/>
  <c r="K298" i="12"/>
  <c r="J298" i="12"/>
  <c r="I298" i="12"/>
  <c r="M290" i="12"/>
  <c r="L290" i="12"/>
  <c r="K290" i="12"/>
  <c r="J290" i="12"/>
  <c r="I290" i="12"/>
  <c r="M282" i="12"/>
  <c r="L282" i="12"/>
  <c r="K282" i="12"/>
  <c r="J282" i="12"/>
  <c r="I282" i="12"/>
  <c r="M274" i="12"/>
  <c r="L274" i="12"/>
  <c r="K274" i="12"/>
  <c r="J274" i="12"/>
  <c r="I274" i="12"/>
  <c r="M266" i="12"/>
  <c r="L266" i="12"/>
  <c r="K266" i="12"/>
  <c r="J266" i="12"/>
  <c r="I266" i="12"/>
  <c r="M258" i="12"/>
  <c r="L258" i="12"/>
  <c r="K258" i="12"/>
  <c r="J258" i="12"/>
  <c r="I258" i="12"/>
  <c r="M250" i="12"/>
  <c r="L250" i="12"/>
  <c r="K250" i="12"/>
  <c r="J250" i="12"/>
  <c r="I250" i="12"/>
  <c r="M242" i="12"/>
  <c r="L242" i="12"/>
  <c r="K242" i="12"/>
  <c r="J242" i="12"/>
  <c r="I242" i="12"/>
  <c r="M234" i="12"/>
  <c r="L234" i="12"/>
  <c r="K234" i="12"/>
  <c r="J234" i="12"/>
  <c r="I234" i="12"/>
  <c r="M226" i="12"/>
  <c r="L226" i="12"/>
  <c r="K226" i="12"/>
  <c r="J226" i="12"/>
  <c r="I226" i="12"/>
  <c r="M218" i="12"/>
  <c r="L218" i="12"/>
  <c r="K218" i="12"/>
  <c r="J218" i="12"/>
  <c r="I218" i="12"/>
  <c r="M210" i="12"/>
  <c r="L210" i="12"/>
  <c r="K210" i="12"/>
  <c r="J210" i="12"/>
  <c r="I210" i="12"/>
  <c r="M202" i="12"/>
  <c r="L202" i="12"/>
  <c r="K202" i="12"/>
  <c r="J202" i="12"/>
  <c r="I202" i="12"/>
  <c r="M194" i="12"/>
  <c r="L194" i="12"/>
  <c r="K194" i="12"/>
  <c r="J194" i="12"/>
  <c r="I194" i="12"/>
  <c r="M186" i="12"/>
  <c r="L186" i="12"/>
  <c r="K186" i="12"/>
  <c r="J186" i="12"/>
  <c r="I186" i="12"/>
  <c r="M178" i="12"/>
  <c r="L178" i="12"/>
  <c r="K178" i="12"/>
  <c r="J178" i="12"/>
  <c r="I178" i="12"/>
  <c r="M170" i="12"/>
  <c r="L170" i="12"/>
  <c r="K170" i="12"/>
  <c r="J170" i="12"/>
  <c r="I170" i="12"/>
  <c r="M162" i="12"/>
  <c r="L162" i="12"/>
  <c r="K162" i="12"/>
  <c r="J162" i="12"/>
  <c r="I162" i="12"/>
  <c r="M154" i="12"/>
  <c r="L154" i="12"/>
  <c r="K154" i="12"/>
  <c r="J154" i="12"/>
  <c r="I154" i="12"/>
  <c r="M146" i="12"/>
  <c r="L146" i="12"/>
  <c r="K146" i="12"/>
  <c r="J146" i="12"/>
  <c r="I146" i="12"/>
  <c r="M138" i="12"/>
  <c r="L138" i="12"/>
  <c r="K138" i="12"/>
  <c r="J138" i="12"/>
  <c r="I138" i="12"/>
  <c r="M130" i="12"/>
  <c r="L130" i="12"/>
  <c r="K130" i="12"/>
  <c r="J130" i="12"/>
  <c r="I130" i="12"/>
  <c r="M122" i="12"/>
  <c r="L122" i="12"/>
  <c r="K122" i="12"/>
  <c r="J122" i="12"/>
  <c r="I122" i="12"/>
  <c r="M114" i="12"/>
  <c r="L114" i="12"/>
  <c r="K114" i="12"/>
  <c r="J114" i="12"/>
  <c r="I114" i="12"/>
  <c r="M106" i="12"/>
  <c r="L106" i="12"/>
  <c r="K106" i="12"/>
  <c r="J106" i="12"/>
  <c r="I106" i="12"/>
  <c r="M98" i="12"/>
  <c r="L98" i="12"/>
  <c r="K98" i="12"/>
  <c r="J98" i="12"/>
  <c r="I98" i="12"/>
  <c r="M90" i="12"/>
  <c r="L90" i="12"/>
  <c r="K90" i="12"/>
  <c r="J90" i="12"/>
  <c r="I90" i="12"/>
  <c r="M82" i="12"/>
  <c r="L82" i="12"/>
  <c r="K82" i="12"/>
  <c r="J82" i="12"/>
  <c r="I82" i="12"/>
  <c r="M74" i="12"/>
  <c r="L74" i="12"/>
  <c r="K74" i="12"/>
  <c r="J74" i="12"/>
  <c r="I74" i="12"/>
  <c r="M66" i="12"/>
  <c r="L66" i="12"/>
  <c r="K66" i="12"/>
  <c r="J66" i="12"/>
  <c r="I66" i="12"/>
  <c r="M58" i="12"/>
  <c r="L58" i="12"/>
  <c r="K58" i="12"/>
  <c r="J58" i="12"/>
  <c r="I58" i="12"/>
  <c r="M50" i="12"/>
  <c r="L50" i="12"/>
  <c r="K50" i="12"/>
  <c r="J50" i="12"/>
  <c r="I50" i="12"/>
  <c r="M42" i="12"/>
  <c r="L42" i="12"/>
  <c r="K42" i="12"/>
  <c r="J42" i="12"/>
  <c r="I42" i="12"/>
  <c r="M34" i="12"/>
  <c r="L34" i="12"/>
  <c r="K34" i="12"/>
  <c r="J34" i="12"/>
  <c r="I34" i="12"/>
  <c r="M3001" i="12"/>
  <c r="L3001" i="12"/>
  <c r="K3001" i="12"/>
  <c r="J3001" i="12"/>
  <c r="I3001" i="12"/>
  <c r="M2993" i="12"/>
  <c r="L2993" i="12"/>
  <c r="K2993" i="12"/>
  <c r="J2993" i="12"/>
  <c r="I2993" i="12"/>
  <c r="M2985" i="12"/>
  <c r="L2985" i="12"/>
  <c r="K2985" i="12"/>
  <c r="J2985" i="12"/>
  <c r="I2985" i="12"/>
  <c r="M2977" i="12"/>
  <c r="L2977" i="12"/>
  <c r="K2977" i="12"/>
  <c r="J2977" i="12"/>
  <c r="I2977" i="12"/>
  <c r="M2969" i="12"/>
  <c r="L2969" i="12"/>
  <c r="K2969" i="12"/>
  <c r="J2969" i="12"/>
  <c r="I2969" i="12"/>
  <c r="M2961" i="12"/>
  <c r="L2961" i="12"/>
  <c r="K2961" i="12"/>
  <c r="J2961" i="12"/>
  <c r="I2961" i="12"/>
  <c r="M2953" i="12"/>
  <c r="L2953" i="12"/>
  <c r="K2953" i="12"/>
  <c r="J2953" i="12"/>
  <c r="I2953" i="12"/>
  <c r="L2945" i="12"/>
  <c r="M2945" i="12"/>
  <c r="K2945" i="12"/>
  <c r="J2945" i="12"/>
  <c r="I2945" i="12"/>
  <c r="M2937" i="12"/>
  <c r="L2937" i="12"/>
  <c r="K2937" i="12"/>
  <c r="J2937" i="12"/>
  <c r="I2937" i="12"/>
  <c r="M2929" i="12"/>
  <c r="L2929" i="12"/>
  <c r="K2929" i="12"/>
  <c r="J2929" i="12"/>
  <c r="I2929" i="12"/>
  <c r="M2921" i="12"/>
  <c r="L2921" i="12"/>
  <c r="K2921" i="12"/>
  <c r="J2921" i="12"/>
  <c r="I2921" i="12"/>
  <c r="M2913" i="12"/>
  <c r="L2913" i="12"/>
  <c r="K2913" i="12"/>
  <c r="J2913" i="12"/>
  <c r="I2913" i="12"/>
  <c r="M2905" i="12"/>
  <c r="L2905" i="12"/>
  <c r="K2905" i="12"/>
  <c r="J2905" i="12"/>
  <c r="I2905" i="12"/>
  <c r="M2897" i="12"/>
  <c r="L2897" i="12"/>
  <c r="K2897" i="12"/>
  <c r="J2897" i="12"/>
  <c r="I2897" i="12"/>
  <c r="M2889" i="12"/>
  <c r="L2889" i="12"/>
  <c r="K2889" i="12"/>
  <c r="J2889" i="12"/>
  <c r="I2889" i="12"/>
  <c r="M2881" i="12"/>
  <c r="L2881" i="12"/>
  <c r="K2881" i="12"/>
  <c r="J2881" i="12"/>
  <c r="I2881" i="12"/>
  <c r="M2873" i="12"/>
  <c r="L2873" i="12"/>
  <c r="K2873" i="12"/>
  <c r="J2873" i="12"/>
  <c r="I2873" i="12"/>
  <c r="M2865" i="12"/>
  <c r="L2865" i="12"/>
  <c r="K2865" i="12"/>
  <c r="J2865" i="12"/>
  <c r="I2865" i="12"/>
  <c r="M2857" i="12"/>
  <c r="L2857" i="12"/>
  <c r="K2857" i="12"/>
  <c r="J2857" i="12"/>
  <c r="I2857" i="12"/>
  <c r="M2849" i="12"/>
  <c r="L2849" i="12"/>
  <c r="K2849" i="12"/>
  <c r="J2849" i="12"/>
  <c r="I2849" i="12"/>
  <c r="M2841" i="12"/>
  <c r="L2841" i="12"/>
  <c r="K2841" i="12"/>
  <c r="J2841" i="12"/>
  <c r="I2841" i="12"/>
  <c r="M2833" i="12"/>
  <c r="L2833" i="12"/>
  <c r="K2833" i="12"/>
  <c r="J2833" i="12"/>
  <c r="I2833" i="12"/>
  <c r="M2825" i="12"/>
  <c r="L2825" i="12"/>
  <c r="K2825" i="12"/>
  <c r="J2825" i="12"/>
  <c r="I2825" i="12"/>
  <c r="M2817" i="12"/>
  <c r="L2817" i="12"/>
  <c r="K2817" i="12"/>
  <c r="J2817" i="12"/>
  <c r="I2817" i="12"/>
  <c r="M2809" i="12"/>
  <c r="L2809" i="12"/>
  <c r="K2809" i="12"/>
  <c r="J2809" i="12"/>
  <c r="I2809" i="12"/>
  <c r="M2801" i="12"/>
  <c r="L2801" i="12"/>
  <c r="K2801" i="12"/>
  <c r="J2801" i="12"/>
  <c r="I2801" i="12"/>
  <c r="M2793" i="12"/>
  <c r="L2793" i="12"/>
  <c r="K2793" i="12"/>
  <c r="J2793" i="12"/>
  <c r="I2793" i="12"/>
  <c r="M2785" i="12"/>
  <c r="L2785" i="12"/>
  <c r="K2785" i="12"/>
  <c r="J2785" i="12"/>
  <c r="I2785" i="12"/>
  <c r="M2777" i="12"/>
  <c r="L2777" i="12"/>
  <c r="K2777" i="12"/>
  <c r="J2777" i="12"/>
  <c r="I2777" i="12"/>
  <c r="M2769" i="12"/>
  <c r="L2769" i="12"/>
  <c r="K2769" i="12"/>
  <c r="J2769" i="12"/>
  <c r="I2769" i="12"/>
  <c r="M2761" i="12"/>
  <c r="L2761" i="12"/>
  <c r="K2761" i="12"/>
  <c r="J2761" i="12"/>
  <c r="I2761" i="12"/>
  <c r="M2753" i="12"/>
  <c r="L2753" i="12"/>
  <c r="K2753" i="12"/>
  <c r="J2753" i="12"/>
  <c r="I2753" i="12"/>
  <c r="M2745" i="12"/>
  <c r="L2745" i="12"/>
  <c r="K2745" i="12"/>
  <c r="J2745" i="12"/>
  <c r="I2745" i="12"/>
  <c r="M2737" i="12"/>
  <c r="L2737" i="12"/>
  <c r="K2737" i="12"/>
  <c r="J2737" i="12"/>
  <c r="I2737" i="12"/>
  <c r="M2729" i="12"/>
  <c r="L2729" i="12"/>
  <c r="K2729" i="12"/>
  <c r="J2729" i="12"/>
  <c r="I2729" i="12"/>
  <c r="M2721" i="12"/>
  <c r="L2721" i="12"/>
  <c r="K2721" i="12"/>
  <c r="J2721" i="12"/>
  <c r="I2721" i="12"/>
  <c r="M2713" i="12"/>
  <c r="L2713" i="12"/>
  <c r="K2713" i="12"/>
  <c r="J2713" i="12"/>
  <c r="I2713" i="12"/>
  <c r="M2705" i="12"/>
  <c r="L2705" i="12"/>
  <c r="K2705" i="12"/>
  <c r="J2705" i="12"/>
  <c r="I2705" i="12"/>
  <c r="M2697" i="12"/>
  <c r="L2697" i="12"/>
  <c r="K2697" i="12"/>
  <c r="J2697" i="12"/>
  <c r="I2697" i="12"/>
  <c r="M2689" i="12"/>
  <c r="L2689" i="12"/>
  <c r="K2689" i="12"/>
  <c r="J2689" i="12"/>
  <c r="I2689" i="12"/>
  <c r="M2681" i="12"/>
  <c r="L2681" i="12"/>
  <c r="K2681" i="12"/>
  <c r="J2681" i="12"/>
  <c r="I2681" i="12"/>
  <c r="M2673" i="12"/>
  <c r="L2673" i="12"/>
  <c r="K2673" i="12"/>
  <c r="J2673" i="12"/>
  <c r="I2673" i="12"/>
  <c r="M2665" i="12"/>
  <c r="L2665" i="12"/>
  <c r="K2665" i="12"/>
  <c r="J2665" i="12"/>
  <c r="I2665" i="12"/>
  <c r="M2657" i="12"/>
  <c r="L2657" i="12"/>
  <c r="K2657" i="12"/>
  <c r="J2657" i="12"/>
  <c r="I2657" i="12"/>
  <c r="M2649" i="12"/>
  <c r="L2649" i="12"/>
  <c r="K2649" i="12"/>
  <c r="J2649" i="12"/>
  <c r="I2649" i="12"/>
  <c r="M2641" i="12"/>
  <c r="L2641" i="12"/>
  <c r="K2641" i="12"/>
  <c r="J2641" i="12"/>
  <c r="I2641" i="12"/>
  <c r="M2633" i="12"/>
  <c r="L2633" i="12"/>
  <c r="K2633" i="12"/>
  <c r="J2633" i="12"/>
  <c r="I2633" i="12"/>
  <c r="M2625" i="12"/>
  <c r="L2625" i="12"/>
  <c r="K2625" i="12"/>
  <c r="J2625" i="12"/>
  <c r="I2625" i="12"/>
  <c r="M2617" i="12"/>
  <c r="L2617" i="12"/>
  <c r="K2617" i="12"/>
  <c r="J2617" i="12"/>
  <c r="I2617" i="12"/>
  <c r="M2609" i="12"/>
  <c r="L2609" i="12"/>
  <c r="K2609" i="12"/>
  <c r="J2609" i="12"/>
  <c r="I2609" i="12"/>
  <c r="M2601" i="12"/>
  <c r="L2601" i="12"/>
  <c r="K2601" i="12"/>
  <c r="J2601" i="12"/>
  <c r="I2601" i="12"/>
  <c r="M2593" i="12"/>
  <c r="L2593" i="12"/>
  <c r="K2593" i="12"/>
  <c r="J2593" i="12"/>
  <c r="I2593" i="12"/>
  <c r="M2585" i="12"/>
  <c r="L2585" i="12"/>
  <c r="K2585" i="12"/>
  <c r="J2585" i="12"/>
  <c r="I2585" i="12"/>
  <c r="M2577" i="12"/>
  <c r="L2577" i="12"/>
  <c r="K2577" i="12"/>
  <c r="J2577" i="12"/>
  <c r="I2577" i="12"/>
  <c r="M2569" i="12"/>
  <c r="L2569" i="12"/>
  <c r="K2569" i="12"/>
  <c r="J2569" i="12"/>
  <c r="I2569" i="12"/>
  <c r="M2561" i="12"/>
  <c r="L2561" i="12"/>
  <c r="K2561" i="12"/>
  <c r="J2561" i="12"/>
  <c r="I2561" i="12"/>
  <c r="M2553" i="12"/>
  <c r="L2553" i="12"/>
  <c r="K2553" i="12"/>
  <c r="J2553" i="12"/>
  <c r="I2553" i="12"/>
  <c r="M2545" i="12"/>
  <c r="L2545" i="12"/>
  <c r="K2545" i="12"/>
  <c r="J2545" i="12"/>
  <c r="I2545" i="12"/>
  <c r="M2537" i="12"/>
  <c r="L2537" i="12"/>
  <c r="K2537" i="12"/>
  <c r="J2537" i="12"/>
  <c r="I2537" i="12"/>
  <c r="M2529" i="12"/>
  <c r="L2529" i="12"/>
  <c r="K2529" i="12"/>
  <c r="J2529" i="12"/>
  <c r="I2529" i="12"/>
  <c r="M2521" i="12"/>
  <c r="L2521" i="12"/>
  <c r="K2521" i="12"/>
  <c r="J2521" i="12"/>
  <c r="I2521" i="12"/>
  <c r="M2513" i="12"/>
  <c r="L2513" i="12"/>
  <c r="K2513" i="12"/>
  <c r="J2513" i="12"/>
  <c r="I2513" i="12"/>
  <c r="M2505" i="12"/>
  <c r="L2505" i="12"/>
  <c r="K2505" i="12"/>
  <c r="J2505" i="12"/>
  <c r="I2505" i="12"/>
  <c r="M2497" i="12"/>
  <c r="L2497" i="12"/>
  <c r="K2497" i="12"/>
  <c r="J2497" i="12"/>
  <c r="I2497" i="12"/>
  <c r="M2489" i="12"/>
  <c r="L2489" i="12"/>
  <c r="K2489" i="12"/>
  <c r="J2489" i="12"/>
  <c r="I2489" i="12"/>
  <c r="M2481" i="12"/>
  <c r="L2481" i="12"/>
  <c r="K2481" i="12"/>
  <c r="J2481" i="12"/>
  <c r="I2481" i="12"/>
  <c r="M2473" i="12"/>
  <c r="L2473" i="12"/>
  <c r="K2473" i="12"/>
  <c r="J2473" i="12"/>
  <c r="I2473" i="12"/>
  <c r="M2465" i="12"/>
  <c r="L2465" i="12"/>
  <c r="K2465" i="12"/>
  <c r="J2465" i="12"/>
  <c r="I2465" i="12"/>
  <c r="M2457" i="12"/>
  <c r="L2457" i="12"/>
  <c r="K2457" i="12"/>
  <c r="J2457" i="12"/>
  <c r="I2457" i="12"/>
  <c r="M2449" i="12"/>
  <c r="L2449" i="12"/>
  <c r="K2449" i="12"/>
  <c r="J2449" i="12"/>
  <c r="I2449" i="12"/>
  <c r="M2441" i="12"/>
  <c r="L2441" i="12"/>
  <c r="K2441" i="12"/>
  <c r="J2441" i="12"/>
  <c r="I2441" i="12"/>
  <c r="M2433" i="12"/>
  <c r="L2433" i="12"/>
  <c r="K2433" i="12"/>
  <c r="J2433" i="12"/>
  <c r="I2433" i="12"/>
  <c r="M2425" i="12"/>
  <c r="L2425" i="12"/>
  <c r="K2425" i="12"/>
  <c r="I2425" i="12"/>
  <c r="J2425" i="12"/>
  <c r="M2417" i="12"/>
  <c r="L2417" i="12"/>
  <c r="K2417" i="12"/>
  <c r="J2417" i="12"/>
  <c r="I2417" i="12"/>
  <c r="M2409" i="12"/>
  <c r="L2409" i="12"/>
  <c r="K2409" i="12"/>
  <c r="I2409" i="12"/>
  <c r="J2409" i="12"/>
  <c r="M2401" i="12"/>
  <c r="L2401" i="12"/>
  <c r="K2401" i="12"/>
  <c r="J2401" i="12"/>
  <c r="I2401" i="12"/>
  <c r="M2393" i="12"/>
  <c r="L2393" i="12"/>
  <c r="K2393" i="12"/>
  <c r="I2393" i="12"/>
  <c r="J2393" i="12"/>
  <c r="M2385" i="12"/>
  <c r="L2385" i="12"/>
  <c r="K2385" i="12"/>
  <c r="J2385" i="12"/>
  <c r="I2385" i="12"/>
  <c r="M2377" i="12"/>
  <c r="L2377" i="12"/>
  <c r="K2377" i="12"/>
  <c r="I2377" i="12"/>
  <c r="J2377" i="12"/>
  <c r="M2369" i="12"/>
  <c r="L2369" i="12"/>
  <c r="K2369" i="12"/>
  <c r="J2369" i="12"/>
  <c r="I2369" i="12"/>
  <c r="M2361" i="12"/>
  <c r="L2361" i="12"/>
  <c r="K2361" i="12"/>
  <c r="J2361" i="12"/>
  <c r="I2361" i="12"/>
  <c r="M2353" i="12"/>
  <c r="L2353" i="12"/>
  <c r="K2353" i="12"/>
  <c r="J2353" i="12"/>
  <c r="I2353" i="12"/>
  <c r="M2345" i="12"/>
  <c r="L2345" i="12"/>
  <c r="K2345" i="12"/>
  <c r="I2345" i="12"/>
  <c r="J2345" i="12"/>
  <c r="M2337" i="12"/>
  <c r="L2337" i="12"/>
  <c r="K2337" i="12"/>
  <c r="J2337" i="12"/>
  <c r="I2337" i="12"/>
  <c r="M2329" i="12"/>
  <c r="L2329" i="12"/>
  <c r="K2329" i="12"/>
  <c r="I2329" i="12"/>
  <c r="M2321" i="12"/>
  <c r="L2321" i="12"/>
  <c r="K2321" i="12"/>
  <c r="J2321" i="12"/>
  <c r="I2321" i="12"/>
  <c r="M2313" i="12"/>
  <c r="L2313" i="12"/>
  <c r="K2313" i="12"/>
  <c r="I2313" i="12"/>
  <c r="J2313" i="12"/>
  <c r="M2305" i="12"/>
  <c r="L2305" i="12"/>
  <c r="K2305" i="12"/>
  <c r="J2305" i="12"/>
  <c r="I2305" i="12"/>
  <c r="M2297" i="12"/>
  <c r="L2297" i="12"/>
  <c r="K2297" i="12"/>
  <c r="I2297" i="12"/>
  <c r="J2297" i="12"/>
  <c r="M2289" i="12"/>
  <c r="L2289" i="12"/>
  <c r="K2289" i="12"/>
  <c r="J2289" i="12"/>
  <c r="I2289" i="12"/>
  <c r="M2281" i="12"/>
  <c r="L2281" i="12"/>
  <c r="K2281" i="12"/>
  <c r="I2281" i="12"/>
  <c r="J2281" i="12"/>
  <c r="M2273" i="12"/>
  <c r="L2273" i="12"/>
  <c r="K2273" i="12"/>
  <c r="J2273" i="12"/>
  <c r="I2273" i="12"/>
  <c r="M2265" i="12"/>
  <c r="L2265" i="12"/>
  <c r="K2265" i="12"/>
  <c r="I2265" i="12"/>
  <c r="J2265" i="12"/>
  <c r="M2257" i="12"/>
  <c r="L2257" i="12"/>
  <c r="K2257" i="12"/>
  <c r="J2257" i="12"/>
  <c r="I2257" i="12"/>
  <c r="M2249" i="12"/>
  <c r="L2249" i="12"/>
  <c r="K2249" i="12"/>
  <c r="J2249" i="12"/>
  <c r="I2249" i="12"/>
  <c r="M2241" i="12"/>
  <c r="L2241" i="12"/>
  <c r="K2241" i="12"/>
  <c r="J2241" i="12"/>
  <c r="I2241" i="12"/>
  <c r="M2233" i="12"/>
  <c r="L2233" i="12"/>
  <c r="K2233" i="12"/>
  <c r="I2233" i="12"/>
  <c r="J2233" i="12"/>
  <c r="M2225" i="12"/>
  <c r="L2225" i="12"/>
  <c r="K2225" i="12"/>
  <c r="J2225" i="12"/>
  <c r="I2225" i="12"/>
  <c r="M2217" i="12"/>
  <c r="L2217" i="12"/>
  <c r="K2217" i="12"/>
  <c r="J2217" i="12"/>
  <c r="I2217" i="12"/>
  <c r="M2209" i="12"/>
  <c r="L2209" i="12"/>
  <c r="K2209" i="12"/>
  <c r="J2209" i="12"/>
  <c r="I2209" i="12"/>
  <c r="M2201" i="12"/>
  <c r="L2201" i="12"/>
  <c r="K2201" i="12"/>
  <c r="J2201" i="12"/>
  <c r="I2201" i="12"/>
  <c r="M2193" i="12"/>
  <c r="L2193" i="12"/>
  <c r="K2193" i="12"/>
  <c r="J2193" i="12"/>
  <c r="I2193" i="12"/>
  <c r="M2185" i="12"/>
  <c r="L2185" i="12"/>
  <c r="K2185" i="12"/>
  <c r="J2185" i="12"/>
  <c r="I2185" i="12"/>
  <c r="M2177" i="12"/>
  <c r="L2177" i="12"/>
  <c r="K2177" i="12"/>
  <c r="J2177" i="12"/>
  <c r="I2177" i="12"/>
  <c r="M2169" i="12"/>
  <c r="L2169" i="12"/>
  <c r="K2169" i="12"/>
  <c r="I2169" i="12"/>
  <c r="J2169" i="12"/>
  <c r="M2161" i="12"/>
  <c r="L2161" i="12"/>
  <c r="K2161" i="12"/>
  <c r="J2161" i="12"/>
  <c r="I2161" i="12"/>
  <c r="M2153" i="12"/>
  <c r="L2153" i="12"/>
  <c r="K2153" i="12"/>
  <c r="J2153" i="12"/>
  <c r="I2153" i="12"/>
  <c r="M2145" i="12"/>
  <c r="L2145" i="12"/>
  <c r="K2145" i="12"/>
  <c r="J2145" i="12"/>
  <c r="I2145" i="12"/>
  <c r="M2137" i="12"/>
  <c r="L2137" i="12"/>
  <c r="K2137" i="12"/>
  <c r="I2137" i="12"/>
  <c r="M2129" i="12"/>
  <c r="L2129" i="12"/>
  <c r="K2129" i="12"/>
  <c r="J2129" i="12"/>
  <c r="I2129" i="12"/>
  <c r="M2121" i="12"/>
  <c r="L2121" i="12"/>
  <c r="K2121" i="12"/>
  <c r="J2121" i="12"/>
  <c r="I2121" i="12"/>
  <c r="M2113" i="12"/>
  <c r="L2113" i="12"/>
  <c r="K2113" i="12"/>
  <c r="J2113" i="12"/>
  <c r="I2113" i="12"/>
  <c r="M2105" i="12"/>
  <c r="L2105" i="12"/>
  <c r="K2105" i="12"/>
  <c r="I2105" i="12"/>
  <c r="J2105" i="12"/>
  <c r="M2097" i="12"/>
  <c r="L2097" i="12"/>
  <c r="K2097" i="12"/>
  <c r="J2097" i="12"/>
  <c r="I2097" i="12"/>
  <c r="M2089" i="12"/>
  <c r="L2089" i="12"/>
  <c r="K2089" i="12"/>
  <c r="J2089" i="12"/>
  <c r="I2089" i="12"/>
  <c r="M2081" i="12"/>
  <c r="L2081" i="12"/>
  <c r="K2081" i="12"/>
  <c r="J2081" i="12"/>
  <c r="I2081" i="12"/>
  <c r="M2073" i="12"/>
  <c r="L2073" i="12"/>
  <c r="K2073" i="12"/>
  <c r="I2073" i="12"/>
  <c r="J2073" i="12"/>
  <c r="M2065" i="12"/>
  <c r="L2065" i="12"/>
  <c r="K2065" i="12"/>
  <c r="J2065" i="12"/>
  <c r="I2065" i="12"/>
  <c r="M2057" i="12"/>
  <c r="L2057" i="12"/>
  <c r="K2057" i="12"/>
  <c r="J2057" i="12"/>
  <c r="I2057" i="12"/>
  <c r="M2049" i="12"/>
  <c r="L2049" i="12"/>
  <c r="K2049" i="12"/>
  <c r="J2049" i="12"/>
  <c r="I2049" i="12"/>
  <c r="M2041" i="12"/>
  <c r="L2041" i="12"/>
  <c r="K2041" i="12"/>
  <c r="I2041" i="12"/>
  <c r="J2041" i="12"/>
  <c r="M2033" i="12"/>
  <c r="L2033" i="12"/>
  <c r="K2033" i="12"/>
  <c r="J2033" i="12"/>
  <c r="I2033" i="12"/>
  <c r="M2025" i="12"/>
  <c r="L2025" i="12"/>
  <c r="K2025" i="12"/>
  <c r="J2025" i="12"/>
  <c r="I2025" i="12"/>
  <c r="M2017" i="12"/>
  <c r="L2017" i="12"/>
  <c r="K2017" i="12"/>
  <c r="J2017" i="12"/>
  <c r="I2017" i="12"/>
  <c r="M2009" i="12"/>
  <c r="L2009" i="12"/>
  <c r="K2009" i="12"/>
  <c r="I2009" i="12"/>
  <c r="J2009" i="12"/>
  <c r="M2001" i="12"/>
  <c r="L2001" i="12"/>
  <c r="K2001" i="12"/>
  <c r="J2001" i="12"/>
  <c r="I2001" i="12"/>
  <c r="M1993" i="12"/>
  <c r="L1993" i="12"/>
  <c r="K1993" i="12"/>
  <c r="J1993" i="12"/>
  <c r="I1993" i="12"/>
  <c r="M1985" i="12"/>
  <c r="L1985" i="12"/>
  <c r="K1985" i="12"/>
  <c r="J1985" i="12"/>
  <c r="I1985" i="12"/>
  <c r="M1977" i="12"/>
  <c r="L1977" i="12"/>
  <c r="K1977" i="12"/>
  <c r="I1977" i="12"/>
  <c r="J1977" i="12"/>
  <c r="M1969" i="12"/>
  <c r="L1969" i="12"/>
  <c r="K1969" i="12"/>
  <c r="J1969" i="12"/>
  <c r="I1969" i="12"/>
  <c r="M1961" i="12"/>
  <c r="L1961" i="12"/>
  <c r="K1961" i="12"/>
  <c r="J1961" i="12"/>
  <c r="I1961" i="12"/>
  <c r="M1953" i="12"/>
  <c r="L1953" i="12"/>
  <c r="K1953" i="12"/>
  <c r="J1953" i="12"/>
  <c r="I1953" i="12"/>
  <c r="M1945" i="12"/>
  <c r="L1945" i="12"/>
  <c r="K1945" i="12"/>
  <c r="J1945" i="12"/>
  <c r="I1945" i="12"/>
  <c r="M1937" i="12"/>
  <c r="L1937" i="12"/>
  <c r="K1937" i="12"/>
  <c r="J1937" i="12"/>
  <c r="I1937" i="12"/>
  <c r="M1929" i="12"/>
  <c r="L1929" i="12"/>
  <c r="K1929" i="12"/>
  <c r="J1929" i="12"/>
  <c r="I1929" i="12"/>
  <c r="M1921" i="12"/>
  <c r="L1921" i="12"/>
  <c r="K1921" i="12"/>
  <c r="J1921" i="12"/>
  <c r="I1921" i="12"/>
  <c r="M1913" i="12"/>
  <c r="L1913" i="12"/>
  <c r="K1913" i="12"/>
  <c r="I1913" i="12"/>
  <c r="J1913" i="12"/>
  <c r="M1905" i="12"/>
  <c r="L1905" i="12"/>
  <c r="K1905" i="12"/>
  <c r="J1905" i="12"/>
  <c r="I1905" i="12"/>
  <c r="M1897" i="12"/>
  <c r="L1897" i="12"/>
  <c r="K1897" i="12"/>
  <c r="J1897" i="12"/>
  <c r="I1897" i="12"/>
  <c r="M1889" i="12"/>
  <c r="L1889" i="12"/>
  <c r="K1889" i="12"/>
  <c r="J1889" i="12"/>
  <c r="I1889" i="12"/>
  <c r="M1881" i="12"/>
  <c r="L1881" i="12"/>
  <c r="K1881" i="12"/>
  <c r="I1881" i="12"/>
  <c r="M1873" i="12"/>
  <c r="L1873" i="12"/>
  <c r="K1873" i="12"/>
  <c r="J1873" i="12"/>
  <c r="I1873" i="12"/>
  <c r="M1865" i="12"/>
  <c r="L1865" i="12"/>
  <c r="K1865" i="12"/>
  <c r="J1865" i="12"/>
  <c r="I1865" i="12"/>
  <c r="M1857" i="12"/>
  <c r="L1857" i="12"/>
  <c r="K1857" i="12"/>
  <c r="J1857" i="12"/>
  <c r="I1857" i="12"/>
  <c r="M1849" i="12"/>
  <c r="L1849" i="12"/>
  <c r="K1849" i="12"/>
  <c r="I1849" i="12"/>
  <c r="J1849" i="12"/>
  <c r="M1841" i="12"/>
  <c r="L1841" i="12"/>
  <c r="K1841" i="12"/>
  <c r="J1841" i="12"/>
  <c r="I1841" i="12"/>
  <c r="M1833" i="12"/>
  <c r="L1833" i="12"/>
  <c r="K1833" i="12"/>
  <c r="J1833" i="12"/>
  <c r="I1833" i="12"/>
  <c r="M1825" i="12"/>
  <c r="L1825" i="12"/>
  <c r="K1825" i="12"/>
  <c r="J1825" i="12"/>
  <c r="I1825" i="12"/>
  <c r="M1817" i="12"/>
  <c r="L1817" i="12"/>
  <c r="K1817" i="12"/>
  <c r="I1817" i="12"/>
  <c r="J1817" i="12"/>
  <c r="M1809" i="12"/>
  <c r="L1809" i="12"/>
  <c r="K1809" i="12"/>
  <c r="J1809" i="12"/>
  <c r="I1809" i="12"/>
  <c r="M1801" i="12"/>
  <c r="L1801" i="12"/>
  <c r="K1801" i="12"/>
  <c r="J1801" i="12"/>
  <c r="I1801" i="12"/>
  <c r="M1793" i="12"/>
  <c r="L1793" i="12"/>
  <c r="K1793" i="12"/>
  <c r="J1793" i="12"/>
  <c r="I1793" i="12"/>
  <c r="M1785" i="12"/>
  <c r="L1785" i="12"/>
  <c r="K1785" i="12"/>
  <c r="I1785" i="12"/>
  <c r="J1785" i="12"/>
  <c r="M1777" i="12"/>
  <c r="L1777" i="12"/>
  <c r="K1777" i="12"/>
  <c r="J1777" i="12"/>
  <c r="I1777" i="12"/>
  <c r="M1769" i="12"/>
  <c r="L1769" i="12"/>
  <c r="K1769" i="12"/>
  <c r="J1769" i="12"/>
  <c r="I1769" i="12"/>
  <c r="M1761" i="12"/>
  <c r="L1761" i="12"/>
  <c r="K1761" i="12"/>
  <c r="J1761" i="12"/>
  <c r="I1761" i="12"/>
  <c r="M1753" i="12"/>
  <c r="L1753" i="12"/>
  <c r="K1753" i="12"/>
  <c r="J1753" i="12"/>
  <c r="I1753" i="12"/>
  <c r="M1745" i="12"/>
  <c r="L1745" i="12"/>
  <c r="K1745" i="12"/>
  <c r="J1745" i="12"/>
  <c r="I1745" i="12"/>
  <c r="M1737" i="12"/>
  <c r="L1737" i="12"/>
  <c r="K1737" i="12"/>
  <c r="J1737" i="12"/>
  <c r="I1737" i="12"/>
  <c r="M1729" i="12"/>
  <c r="L1729" i="12"/>
  <c r="K1729" i="12"/>
  <c r="J1729" i="12"/>
  <c r="I1729" i="12"/>
  <c r="M1721" i="12"/>
  <c r="L1721" i="12"/>
  <c r="K1721" i="12"/>
  <c r="J1721" i="12"/>
  <c r="I1721" i="12"/>
  <c r="M1713" i="12"/>
  <c r="L1713" i="12"/>
  <c r="K1713" i="12"/>
  <c r="J1713" i="12"/>
  <c r="I1713" i="12"/>
  <c r="M1705" i="12"/>
  <c r="L1705" i="12"/>
  <c r="K1705" i="12"/>
  <c r="J1705" i="12"/>
  <c r="I1705" i="12"/>
  <c r="M1697" i="12"/>
  <c r="L1697" i="12"/>
  <c r="K1697" i="12"/>
  <c r="J1697" i="12"/>
  <c r="I1697" i="12"/>
  <c r="M1689" i="12"/>
  <c r="L1689" i="12"/>
  <c r="K1689" i="12"/>
  <c r="J1689" i="12"/>
  <c r="I1689" i="12"/>
  <c r="M1681" i="12"/>
  <c r="L1681" i="12"/>
  <c r="K1681" i="12"/>
  <c r="J1681" i="12"/>
  <c r="I1681" i="12"/>
  <c r="M1673" i="12"/>
  <c r="L1673" i="12"/>
  <c r="K1673" i="12"/>
  <c r="J1673" i="12"/>
  <c r="I1673" i="12"/>
  <c r="M1665" i="12"/>
  <c r="L1665" i="12"/>
  <c r="K1665" i="12"/>
  <c r="J1665" i="12"/>
  <c r="I1665" i="12"/>
  <c r="M1657" i="12"/>
  <c r="L1657" i="12"/>
  <c r="K1657" i="12"/>
  <c r="J1657" i="12"/>
  <c r="I1657" i="12"/>
  <c r="M1649" i="12"/>
  <c r="L1649" i="12"/>
  <c r="K1649" i="12"/>
  <c r="J1649" i="12"/>
  <c r="I1649" i="12"/>
  <c r="M1641" i="12"/>
  <c r="L1641" i="12"/>
  <c r="K1641" i="12"/>
  <c r="J1641" i="12"/>
  <c r="I1641" i="12"/>
  <c r="M1633" i="12"/>
  <c r="L1633" i="12"/>
  <c r="K1633" i="12"/>
  <c r="J1633" i="12"/>
  <c r="I1633" i="12"/>
  <c r="M1625" i="12"/>
  <c r="L1625" i="12"/>
  <c r="K1625" i="12"/>
  <c r="J1625" i="12"/>
  <c r="I1625" i="12"/>
  <c r="M1617" i="12"/>
  <c r="L1617" i="12"/>
  <c r="K1617" i="12"/>
  <c r="J1617" i="12"/>
  <c r="I1617" i="12"/>
  <c r="M1609" i="12"/>
  <c r="L1609" i="12"/>
  <c r="K1609" i="12"/>
  <c r="J1609" i="12"/>
  <c r="I1609" i="12"/>
  <c r="M1601" i="12"/>
  <c r="L1601" i="12"/>
  <c r="K1601" i="12"/>
  <c r="J1601" i="12"/>
  <c r="I1601" i="12"/>
  <c r="M1593" i="12"/>
  <c r="L1593" i="12"/>
  <c r="K1593" i="12"/>
  <c r="J1593" i="12"/>
  <c r="I1593" i="12"/>
  <c r="M1585" i="12"/>
  <c r="L1585" i="12"/>
  <c r="K1585" i="12"/>
  <c r="J1585" i="12"/>
  <c r="I1585" i="12"/>
  <c r="M1577" i="12"/>
  <c r="L1577" i="12"/>
  <c r="K1577" i="12"/>
  <c r="J1577" i="12"/>
  <c r="I1577" i="12"/>
  <c r="M1569" i="12"/>
  <c r="L1569" i="12"/>
  <c r="K1569" i="12"/>
  <c r="J1569" i="12"/>
  <c r="I1569" i="12"/>
  <c r="M1561" i="12"/>
  <c r="L1561" i="12"/>
  <c r="K1561" i="12"/>
  <c r="J1561" i="12"/>
  <c r="I1561" i="12"/>
  <c r="M1553" i="12"/>
  <c r="L1553" i="12"/>
  <c r="K1553" i="12"/>
  <c r="J1553" i="12"/>
  <c r="I1553" i="12"/>
  <c r="M1545" i="12"/>
  <c r="L1545" i="12"/>
  <c r="K1545" i="12"/>
  <c r="J1545" i="12"/>
  <c r="I1545" i="12"/>
  <c r="M1537" i="12"/>
  <c r="L1537" i="12"/>
  <c r="K1537" i="12"/>
  <c r="J1537" i="12"/>
  <c r="I1537" i="12"/>
  <c r="M1529" i="12"/>
  <c r="L1529" i="12"/>
  <c r="K1529" i="12"/>
  <c r="J1529" i="12"/>
  <c r="I1529" i="12"/>
  <c r="M1521" i="12"/>
  <c r="L1521" i="12"/>
  <c r="K1521" i="12"/>
  <c r="J1521" i="12"/>
  <c r="I1521" i="12"/>
  <c r="M1513" i="12"/>
  <c r="L1513" i="12"/>
  <c r="K1513" i="12"/>
  <c r="J1513" i="12"/>
  <c r="I1513" i="12"/>
  <c r="M1505" i="12"/>
  <c r="L1505" i="12"/>
  <c r="K1505" i="12"/>
  <c r="J1505" i="12"/>
  <c r="I1505" i="12"/>
  <c r="M1497" i="12"/>
  <c r="L1497" i="12"/>
  <c r="K1497" i="12"/>
  <c r="J1497" i="12"/>
  <c r="I1497" i="12"/>
  <c r="M1489" i="12"/>
  <c r="L1489" i="12"/>
  <c r="K1489" i="12"/>
  <c r="J1489" i="12"/>
  <c r="I1489" i="12"/>
  <c r="M1481" i="12"/>
  <c r="L1481" i="12"/>
  <c r="K1481" i="12"/>
  <c r="J1481" i="12"/>
  <c r="I1481" i="12"/>
  <c r="M1473" i="12"/>
  <c r="L1473" i="12"/>
  <c r="K1473" i="12"/>
  <c r="J1473" i="12"/>
  <c r="I1473" i="12"/>
  <c r="M1465" i="12"/>
  <c r="L1465" i="12"/>
  <c r="K1465" i="12"/>
  <c r="J1465" i="12"/>
  <c r="I1465" i="12"/>
  <c r="M1457" i="12"/>
  <c r="L1457" i="12"/>
  <c r="K1457" i="12"/>
  <c r="J1457" i="12"/>
  <c r="I1457" i="12"/>
  <c r="M1449" i="12"/>
  <c r="L1449" i="12"/>
  <c r="K1449" i="12"/>
  <c r="J1449" i="12"/>
  <c r="I1449" i="12"/>
  <c r="M1441" i="12"/>
  <c r="L1441" i="12"/>
  <c r="K1441" i="12"/>
  <c r="J1441" i="12"/>
  <c r="I1441" i="12"/>
  <c r="M1433" i="12"/>
  <c r="L1433" i="12"/>
  <c r="K1433" i="12"/>
  <c r="J1433" i="12"/>
  <c r="I1433" i="12"/>
  <c r="M1425" i="12"/>
  <c r="L1425" i="12"/>
  <c r="K1425" i="12"/>
  <c r="J1425" i="12"/>
  <c r="I1425" i="12"/>
  <c r="M1417" i="12"/>
  <c r="L1417" i="12"/>
  <c r="K1417" i="12"/>
  <c r="J1417" i="12"/>
  <c r="I1417" i="12"/>
  <c r="M1409" i="12"/>
  <c r="L1409" i="12"/>
  <c r="K1409" i="12"/>
  <c r="J1409" i="12"/>
  <c r="I1409" i="12"/>
  <c r="M1401" i="12"/>
  <c r="L1401" i="12"/>
  <c r="K1401" i="12"/>
  <c r="J1401" i="12"/>
  <c r="I1401" i="12"/>
  <c r="M1393" i="12"/>
  <c r="L1393" i="12"/>
  <c r="K1393" i="12"/>
  <c r="J1393" i="12"/>
  <c r="I1393" i="12"/>
  <c r="M1385" i="12"/>
  <c r="L1385" i="12"/>
  <c r="K1385" i="12"/>
  <c r="J1385" i="12"/>
  <c r="I1385" i="12"/>
  <c r="M1377" i="12"/>
  <c r="L1377" i="12"/>
  <c r="K1377" i="12"/>
  <c r="J1377" i="12"/>
  <c r="I1377" i="12"/>
  <c r="M1369" i="12"/>
  <c r="L1369" i="12"/>
  <c r="K1369" i="12"/>
  <c r="J1369" i="12"/>
  <c r="I1369" i="12"/>
  <c r="M1361" i="12"/>
  <c r="L1361" i="12"/>
  <c r="K1361" i="12"/>
  <c r="J1361" i="12"/>
  <c r="I1361" i="12"/>
  <c r="M1353" i="12"/>
  <c r="L1353" i="12"/>
  <c r="K1353" i="12"/>
  <c r="J1353" i="12"/>
  <c r="I1353" i="12"/>
  <c r="M1345" i="12"/>
  <c r="L1345" i="12"/>
  <c r="K1345" i="12"/>
  <c r="J1345" i="12"/>
  <c r="I1345" i="12"/>
  <c r="M1337" i="12"/>
  <c r="L1337" i="12"/>
  <c r="K1337" i="12"/>
  <c r="J1337" i="12"/>
  <c r="I1337" i="12"/>
  <c r="M1329" i="12"/>
  <c r="L1329" i="12"/>
  <c r="K1329" i="12"/>
  <c r="J1329" i="12"/>
  <c r="I1329" i="12"/>
  <c r="M1321" i="12"/>
  <c r="L1321" i="12"/>
  <c r="K1321" i="12"/>
  <c r="J1321" i="12"/>
  <c r="I1321" i="12"/>
  <c r="M1313" i="12"/>
  <c r="L1313" i="12"/>
  <c r="K1313" i="12"/>
  <c r="J1313" i="12"/>
  <c r="I1313" i="12"/>
  <c r="M1305" i="12"/>
  <c r="L1305" i="12"/>
  <c r="K1305" i="12"/>
  <c r="J1305" i="12"/>
  <c r="I1305" i="12"/>
  <c r="M1297" i="12"/>
  <c r="L1297" i="12"/>
  <c r="K1297" i="12"/>
  <c r="J1297" i="12"/>
  <c r="I1297" i="12"/>
  <c r="M1289" i="12"/>
  <c r="L1289" i="12"/>
  <c r="K1289" i="12"/>
  <c r="J1289" i="12"/>
  <c r="I1289" i="12"/>
  <c r="M1281" i="12"/>
  <c r="L1281" i="12"/>
  <c r="K1281" i="12"/>
  <c r="J1281" i="12"/>
  <c r="I1281" i="12"/>
  <c r="M1273" i="12"/>
  <c r="L1273" i="12"/>
  <c r="K1273" i="12"/>
  <c r="J1273" i="12"/>
  <c r="I1273" i="12"/>
  <c r="M1265" i="12"/>
  <c r="L1265" i="12"/>
  <c r="K1265" i="12"/>
  <c r="J1265" i="12"/>
  <c r="I1265" i="12"/>
  <c r="M1257" i="12"/>
  <c r="L1257" i="12"/>
  <c r="K1257" i="12"/>
  <c r="J1257" i="12"/>
  <c r="I1257" i="12"/>
  <c r="M1249" i="12"/>
  <c r="L1249" i="12"/>
  <c r="K1249" i="12"/>
  <c r="J1249" i="12"/>
  <c r="I1249" i="12"/>
  <c r="M1241" i="12"/>
  <c r="L1241" i="12"/>
  <c r="K1241" i="12"/>
  <c r="J1241" i="12"/>
  <c r="I1241" i="12"/>
  <c r="M1233" i="12"/>
  <c r="L1233" i="12"/>
  <c r="K1233" i="12"/>
  <c r="J1233" i="12"/>
  <c r="I1233" i="12"/>
  <c r="M1225" i="12"/>
  <c r="L1225" i="12"/>
  <c r="K1225" i="12"/>
  <c r="J1225" i="12"/>
  <c r="I1225" i="12"/>
  <c r="M1217" i="12"/>
  <c r="L1217" i="12"/>
  <c r="K1217" i="12"/>
  <c r="J1217" i="12"/>
  <c r="I1217" i="12"/>
  <c r="M1209" i="12"/>
  <c r="L1209" i="12"/>
  <c r="K1209" i="12"/>
  <c r="J1209" i="12"/>
  <c r="I1209" i="12"/>
  <c r="M1201" i="12"/>
  <c r="L1201" i="12"/>
  <c r="K1201" i="12"/>
  <c r="J1201" i="12"/>
  <c r="I1201" i="12"/>
  <c r="M1193" i="12"/>
  <c r="L1193" i="12"/>
  <c r="K1193" i="12"/>
  <c r="J1193" i="12"/>
  <c r="I1193" i="12"/>
  <c r="M1185" i="12"/>
  <c r="L1185" i="12"/>
  <c r="K1185" i="12"/>
  <c r="J1185" i="12"/>
  <c r="I1185" i="12"/>
  <c r="M1177" i="12"/>
  <c r="L1177" i="12"/>
  <c r="K1177" i="12"/>
  <c r="J1177" i="12"/>
  <c r="I1177" i="12"/>
  <c r="M1169" i="12"/>
  <c r="L1169" i="12"/>
  <c r="K1169" i="12"/>
  <c r="J1169" i="12"/>
  <c r="I1169" i="12"/>
  <c r="M1161" i="12"/>
  <c r="L1161" i="12"/>
  <c r="K1161" i="12"/>
  <c r="J1161" i="12"/>
  <c r="I1161" i="12"/>
  <c r="M1153" i="12"/>
  <c r="L1153" i="12"/>
  <c r="K1153" i="12"/>
  <c r="J1153" i="12"/>
  <c r="I1153" i="12"/>
  <c r="M1145" i="12"/>
  <c r="L1145" i="12"/>
  <c r="K1145" i="12"/>
  <c r="J1145" i="12"/>
  <c r="I1145" i="12"/>
  <c r="M1137" i="12"/>
  <c r="L1137" i="12"/>
  <c r="K1137" i="12"/>
  <c r="J1137" i="12"/>
  <c r="I1137" i="12"/>
  <c r="M1129" i="12"/>
  <c r="L1129" i="12"/>
  <c r="K1129" i="12"/>
  <c r="J1129" i="12"/>
  <c r="I1129" i="12"/>
  <c r="M1121" i="12"/>
  <c r="L1121" i="12"/>
  <c r="K1121" i="12"/>
  <c r="J1121" i="12"/>
  <c r="I1121" i="12"/>
  <c r="M1113" i="12"/>
  <c r="L1113" i="12"/>
  <c r="K1113" i="12"/>
  <c r="J1113" i="12"/>
  <c r="I1113" i="12"/>
  <c r="M1105" i="12"/>
  <c r="L1105" i="12"/>
  <c r="K1105" i="12"/>
  <c r="J1105" i="12"/>
  <c r="I1105" i="12"/>
  <c r="M1097" i="12"/>
  <c r="L1097" i="12"/>
  <c r="K1097" i="12"/>
  <c r="J1097" i="12"/>
  <c r="I1097" i="12"/>
  <c r="M1089" i="12"/>
  <c r="L1089" i="12"/>
  <c r="K1089" i="12"/>
  <c r="J1089" i="12"/>
  <c r="I1089" i="12"/>
  <c r="M1081" i="12"/>
  <c r="L1081" i="12"/>
  <c r="K1081" i="12"/>
  <c r="J1081" i="12"/>
  <c r="I1081" i="12"/>
  <c r="M1073" i="12"/>
  <c r="L1073" i="12"/>
  <c r="K1073" i="12"/>
  <c r="J1073" i="12"/>
  <c r="I1073" i="12"/>
  <c r="M1065" i="12"/>
  <c r="L1065" i="12"/>
  <c r="K1065" i="12"/>
  <c r="J1065" i="12"/>
  <c r="I1065" i="12"/>
  <c r="M1057" i="12"/>
  <c r="L1057" i="12"/>
  <c r="K1057" i="12"/>
  <c r="J1057" i="12"/>
  <c r="I1057" i="12"/>
  <c r="M1049" i="12"/>
  <c r="L1049" i="12"/>
  <c r="K1049" i="12"/>
  <c r="J1049" i="12"/>
  <c r="I1049" i="12"/>
  <c r="M1041" i="12"/>
  <c r="L1041" i="12"/>
  <c r="K1041" i="12"/>
  <c r="J1041" i="12"/>
  <c r="I1041" i="12"/>
  <c r="M1033" i="12"/>
  <c r="L1033" i="12"/>
  <c r="K1033" i="12"/>
  <c r="J1033" i="12"/>
  <c r="I1033" i="12"/>
  <c r="M1025" i="12"/>
  <c r="L1025" i="12"/>
  <c r="K1025" i="12"/>
  <c r="J1025" i="12"/>
  <c r="I1025" i="12"/>
  <c r="M1017" i="12"/>
  <c r="L1017" i="12"/>
  <c r="K1017" i="12"/>
  <c r="J1017" i="12"/>
  <c r="I1017" i="12"/>
  <c r="M1009" i="12"/>
  <c r="L1009" i="12"/>
  <c r="K1009" i="12"/>
  <c r="J1009" i="12"/>
  <c r="I1009" i="12"/>
  <c r="M1001" i="12"/>
  <c r="L1001" i="12"/>
  <c r="K1001" i="12"/>
  <c r="J1001" i="12"/>
  <c r="I1001" i="12"/>
  <c r="M993" i="12"/>
  <c r="L993" i="12"/>
  <c r="K993" i="12"/>
  <c r="J993" i="12"/>
  <c r="I993" i="12"/>
  <c r="M985" i="12"/>
  <c r="L985" i="12"/>
  <c r="K985" i="12"/>
  <c r="J985" i="12"/>
  <c r="I985" i="12"/>
  <c r="M977" i="12"/>
  <c r="L977" i="12"/>
  <c r="K977" i="12"/>
  <c r="J977" i="12"/>
  <c r="I977" i="12"/>
  <c r="M969" i="12"/>
  <c r="L969" i="12"/>
  <c r="K969" i="12"/>
  <c r="J969" i="12"/>
  <c r="I969" i="12"/>
  <c r="M961" i="12"/>
  <c r="L961" i="12"/>
  <c r="K961" i="12"/>
  <c r="J961" i="12"/>
  <c r="I961" i="12"/>
  <c r="M953" i="12"/>
  <c r="L953" i="12"/>
  <c r="K953" i="12"/>
  <c r="J953" i="12"/>
  <c r="I953" i="12"/>
  <c r="M945" i="12"/>
  <c r="L945" i="12"/>
  <c r="K945" i="12"/>
  <c r="J945" i="12"/>
  <c r="I945" i="12"/>
  <c r="M937" i="12"/>
  <c r="L937" i="12"/>
  <c r="K937" i="12"/>
  <c r="J937" i="12"/>
  <c r="I937" i="12"/>
  <c r="M929" i="12"/>
  <c r="L929" i="12"/>
  <c r="K929" i="12"/>
  <c r="J929" i="12"/>
  <c r="I929" i="12"/>
  <c r="M921" i="12"/>
  <c r="L921" i="12"/>
  <c r="K921" i="12"/>
  <c r="J921" i="12"/>
  <c r="I921" i="12"/>
  <c r="M913" i="12"/>
  <c r="L913" i="12"/>
  <c r="K913" i="12"/>
  <c r="J913" i="12"/>
  <c r="I913" i="12"/>
  <c r="M905" i="12"/>
  <c r="L905" i="12"/>
  <c r="K905" i="12"/>
  <c r="J905" i="12"/>
  <c r="I905" i="12"/>
  <c r="M897" i="12"/>
  <c r="L897" i="12"/>
  <c r="K897" i="12"/>
  <c r="J897" i="12"/>
  <c r="I897" i="12"/>
  <c r="M889" i="12"/>
  <c r="L889" i="12"/>
  <c r="K889" i="12"/>
  <c r="J889" i="12"/>
  <c r="I889" i="12"/>
  <c r="M881" i="12"/>
  <c r="L881" i="12"/>
  <c r="K881" i="12"/>
  <c r="J881" i="12"/>
  <c r="I881" i="12"/>
  <c r="M873" i="12"/>
  <c r="L873" i="12"/>
  <c r="K873" i="12"/>
  <c r="J873" i="12"/>
  <c r="I873" i="12"/>
  <c r="M865" i="12"/>
  <c r="L865" i="12"/>
  <c r="K865" i="12"/>
  <c r="J865" i="12"/>
  <c r="I865" i="12"/>
  <c r="M857" i="12"/>
  <c r="L857" i="12"/>
  <c r="K857" i="12"/>
  <c r="J857" i="12"/>
  <c r="I857" i="12"/>
  <c r="M849" i="12"/>
  <c r="L849" i="12"/>
  <c r="K849" i="12"/>
  <c r="J849" i="12"/>
  <c r="I849" i="12"/>
  <c r="M841" i="12"/>
  <c r="L841" i="12"/>
  <c r="K841" i="12"/>
  <c r="J841" i="12"/>
  <c r="I841" i="12"/>
  <c r="M833" i="12"/>
  <c r="L833" i="12"/>
  <c r="K833" i="12"/>
  <c r="J833" i="12"/>
  <c r="I833" i="12"/>
  <c r="M825" i="12"/>
  <c r="L825" i="12"/>
  <c r="K825" i="12"/>
  <c r="J825" i="12"/>
  <c r="I825" i="12"/>
  <c r="M817" i="12"/>
  <c r="L817" i="12"/>
  <c r="K817" i="12"/>
  <c r="J817" i="12"/>
  <c r="I817" i="12"/>
  <c r="M809" i="12"/>
  <c r="L809" i="12"/>
  <c r="K809" i="12"/>
  <c r="J809" i="12"/>
  <c r="I809" i="12"/>
  <c r="M801" i="12"/>
  <c r="L801" i="12"/>
  <c r="K801" i="12"/>
  <c r="J801" i="12"/>
  <c r="I801" i="12"/>
  <c r="M793" i="12"/>
  <c r="L793" i="12"/>
  <c r="K793" i="12"/>
  <c r="J793" i="12"/>
  <c r="I793" i="12"/>
  <c r="M785" i="12"/>
  <c r="L785" i="12"/>
  <c r="K785" i="12"/>
  <c r="J785" i="12"/>
  <c r="I785" i="12"/>
  <c r="M777" i="12"/>
  <c r="L777" i="12"/>
  <c r="K777" i="12"/>
  <c r="J777" i="12"/>
  <c r="I777" i="12"/>
  <c r="M769" i="12"/>
  <c r="L769" i="12"/>
  <c r="K769" i="12"/>
  <c r="J769" i="12"/>
  <c r="I769" i="12"/>
  <c r="M761" i="12"/>
  <c r="L761" i="12"/>
  <c r="K761" i="12"/>
  <c r="J761" i="12"/>
  <c r="I761" i="12"/>
  <c r="M753" i="12"/>
  <c r="L753" i="12"/>
  <c r="K753" i="12"/>
  <c r="J753" i="12"/>
  <c r="I753" i="12"/>
  <c r="M745" i="12"/>
  <c r="L745" i="12"/>
  <c r="K745" i="12"/>
  <c r="J745" i="12"/>
  <c r="I745" i="12"/>
  <c r="M737" i="12"/>
  <c r="L737" i="12"/>
  <c r="K737" i="12"/>
  <c r="J737" i="12"/>
  <c r="I737" i="12"/>
  <c r="M729" i="12"/>
  <c r="L729" i="12"/>
  <c r="K729" i="12"/>
  <c r="J729" i="12"/>
  <c r="I729" i="12"/>
  <c r="M721" i="12"/>
  <c r="L721" i="12"/>
  <c r="K721" i="12"/>
  <c r="J721" i="12"/>
  <c r="I721" i="12"/>
  <c r="M713" i="12"/>
  <c r="L713" i="12"/>
  <c r="K713" i="12"/>
  <c r="J713" i="12"/>
  <c r="I713" i="12"/>
  <c r="M705" i="12"/>
  <c r="L705" i="12"/>
  <c r="K705" i="12"/>
  <c r="J705" i="12"/>
  <c r="I705" i="12"/>
  <c r="M697" i="12"/>
  <c r="L697" i="12"/>
  <c r="K697" i="12"/>
  <c r="J697" i="12"/>
  <c r="I697" i="12"/>
  <c r="M689" i="12"/>
  <c r="L689" i="12"/>
  <c r="K689" i="12"/>
  <c r="J689" i="12"/>
  <c r="I689" i="12"/>
  <c r="M681" i="12"/>
  <c r="L681" i="12"/>
  <c r="K681" i="12"/>
  <c r="J681" i="12"/>
  <c r="I681" i="12"/>
  <c r="M673" i="12"/>
  <c r="L673" i="12"/>
  <c r="K673" i="12"/>
  <c r="J673" i="12"/>
  <c r="I673" i="12"/>
  <c r="M665" i="12"/>
  <c r="L665" i="12"/>
  <c r="K665" i="12"/>
  <c r="J665" i="12"/>
  <c r="I665" i="12"/>
  <c r="M657" i="12"/>
  <c r="L657" i="12"/>
  <c r="K657" i="12"/>
  <c r="J657" i="12"/>
  <c r="M649" i="12"/>
  <c r="L649" i="12"/>
  <c r="K649" i="12"/>
  <c r="J649" i="12"/>
  <c r="I649" i="12"/>
  <c r="M641" i="12"/>
  <c r="L641" i="12"/>
  <c r="K641" i="12"/>
  <c r="J641" i="12"/>
  <c r="M633" i="12"/>
  <c r="L633" i="12"/>
  <c r="K633" i="12"/>
  <c r="J633" i="12"/>
  <c r="I633" i="12"/>
  <c r="M3000" i="12"/>
  <c r="L3000" i="12"/>
  <c r="K3000" i="12"/>
  <c r="J3000" i="12"/>
  <c r="I3000" i="12"/>
  <c r="M2992" i="12"/>
  <c r="L2992" i="12"/>
  <c r="K2992" i="12"/>
  <c r="J2992" i="12"/>
  <c r="I2992" i="12"/>
  <c r="M2984" i="12"/>
  <c r="L2984" i="12"/>
  <c r="K2984" i="12"/>
  <c r="J2984" i="12"/>
  <c r="I2984" i="12"/>
  <c r="M2976" i="12"/>
  <c r="L2976" i="12"/>
  <c r="K2976" i="12"/>
  <c r="J2976" i="12"/>
  <c r="I2976" i="12"/>
  <c r="M2968" i="12"/>
  <c r="L2968" i="12"/>
  <c r="K2968" i="12"/>
  <c r="J2968" i="12"/>
  <c r="I2968" i="12"/>
  <c r="M2960" i="12"/>
  <c r="L2960" i="12"/>
  <c r="K2960" i="12"/>
  <c r="J2960" i="12"/>
  <c r="I2960" i="12"/>
  <c r="M2952" i="12"/>
  <c r="L2952" i="12"/>
  <c r="K2952" i="12"/>
  <c r="J2952" i="12"/>
  <c r="I2952" i="12"/>
  <c r="M2944" i="12"/>
  <c r="L2944" i="12"/>
  <c r="K2944" i="12"/>
  <c r="J2944" i="12"/>
  <c r="I2944" i="12"/>
  <c r="M2936" i="12"/>
  <c r="L2936" i="12"/>
  <c r="K2936" i="12"/>
  <c r="J2936" i="12"/>
  <c r="I2936" i="12"/>
  <c r="M2928" i="12"/>
  <c r="L2928" i="12"/>
  <c r="K2928" i="12"/>
  <c r="J2928" i="12"/>
  <c r="I2928" i="12"/>
  <c r="M2920" i="12"/>
  <c r="L2920" i="12"/>
  <c r="K2920" i="12"/>
  <c r="J2920" i="12"/>
  <c r="I2920" i="12"/>
  <c r="M2912" i="12"/>
  <c r="L2912" i="12"/>
  <c r="K2912" i="12"/>
  <c r="J2912" i="12"/>
  <c r="I2912" i="12"/>
  <c r="M2904" i="12"/>
  <c r="L2904" i="12"/>
  <c r="K2904" i="12"/>
  <c r="J2904" i="12"/>
  <c r="I2904" i="12"/>
  <c r="M2896" i="12"/>
  <c r="L2896" i="12"/>
  <c r="K2896" i="12"/>
  <c r="J2896" i="12"/>
  <c r="I2896" i="12"/>
  <c r="M2888" i="12"/>
  <c r="L2888" i="12"/>
  <c r="K2888" i="12"/>
  <c r="J2888" i="12"/>
  <c r="I2888" i="12"/>
  <c r="M2880" i="12"/>
  <c r="L2880" i="12"/>
  <c r="K2880" i="12"/>
  <c r="J2880" i="12"/>
  <c r="I2880" i="12"/>
  <c r="M2872" i="12"/>
  <c r="L2872" i="12"/>
  <c r="K2872" i="12"/>
  <c r="J2872" i="12"/>
  <c r="I2872" i="12"/>
  <c r="M2864" i="12"/>
  <c r="L2864" i="12"/>
  <c r="K2864" i="12"/>
  <c r="J2864" i="12"/>
  <c r="I2864" i="12"/>
  <c r="M2856" i="12"/>
  <c r="L2856" i="12"/>
  <c r="K2856" i="12"/>
  <c r="J2856" i="12"/>
  <c r="I2856" i="12"/>
  <c r="M2848" i="12"/>
  <c r="L2848" i="12"/>
  <c r="K2848" i="12"/>
  <c r="J2848" i="12"/>
  <c r="I2848" i="12"/>
  <c r="M2840" i="12"/>
  <c r="L2840" i="12"/>
  <c r="K2840" i="12"/>
  <c r="J2840" i="12"/>
  <c r="I2840" i="12"/>
  <c r="M2832" i="12"/>
  <c r="L2832" i="12"/>
  <c r="K2832" i="12"/>
  <c r="J2832" i="12"/>
  <c r="I2832" i="12"/>
  <c r="M2824" i="12"/>
  <c r="L2824" i="12"/>
  <c r="K2824" i="12"/>
  <c r="J2824" i="12"/>
  <c r="I2824" i="12"/>
  <c r="M2816" i="12"/>
  <c r="L2816" i="12"/>
  <c r="K2816" i="12"/>
  <c r="J2816" i="12"/>
  <c r="I2816" i="12"/>
  <c r="M2808" i="12"/>
  <c r="L2808" i="12"/>
  <c r="K2808" i="12"/>
  <c r="J2808" i="12"/>
  <c r="I2808" i="12"/>
  <c r="M2800" i="12"/>
  <c r="L2800" i="12"/>
  <c r="K2800" i="12"/>
  <c r="J2800" i="12"/>
  <c r="I2800" i="12"/>
  <c r="M2792" i="12"/>
  <c r="L2792" i="12"/>
  <c r="K2792" i="12"/>
  <c r="I2792" i="12"/>
  <c r="M2784" i="12"/>
  <c r="L2784" i="12"/>
  <c r="K2784" i="12"/>
  <c r="J2784" i="12"/>
  <c r="I2784" i="12"/>
  <c r="M2776" i="12"/>
  <c r="L2776" i="12"/>
  <c r="K2776" i="12"/>
  <c r="J2776" i="12"/>
  <c r="I2776" i="12"/>
  <c r="M2768" i="12"/>
  <c r="L2768" i="12"/>
  <c r="K2768" i="12"/>
  <c r="J2768" i="12"/>
  <c r="I2768" i="12"/>
  <c r="M2760" i="12"/>
  <c r="L2760" i="12"/>
  <c r="K2760" i="12"/>
  <c r="J2760" i="12"/>
  <c r="I2760" i="12"/>
  <c r="M2752" i="12"/>
  <c r="L2752" i="12"/>
  <c r="K2752" i="12"/>
  <c r="J2752" i="12"/>
  <c r="I2752" i="12"/>
  <c r="M2744" i="12"/>
  <c r="L2744" i="12"/>
  <c r="K2744" i="12"/>
  <c r="J2744" i="12"/>
  <c r="I2744" i="12"/>
  <c r="M2736" i="12"/>
  <c r="L2736" i="12"/>
  <c r="K2736" i="12"/>
  <c r="J2736" i="12"/>
  <c r="I2736" i="12"/>
  <c r="M2728" i="12"/>
  <c r="L2728" i="12"/>
  <c r="K2728" i="12"/>
  <c r="J2728" i="12"/>
  <c r="I2728" i="12"/>
  <c r="M2720" i="12"/>
  <c r="L2720" i="12"/>
  <c r="K2720" i="12"/>
  <c r="J2720" i="12"/>
  <c r="I2720" i="12"/>
  <c r="M2712" i="12"/>
  <c r="L2712" i="12"/>
  <c r="K2712" i="12"/>
  <c r="J2712" i="12"/>
  <c r="I2712" i="12"/>
  <c r="M2704" i="12"/>
  <c r="L2704" i="12"/>
  <c r="K2704" i="12"/>
  <c r="J2704" i="12"/>
  <c r="I2704" i="12"/>
  <c r="M2696" i="12"/>
  <c r="L2696" i="12"/>
  <c r="K2696" i="12"/>
  <c r="J2696" i="12"/>
  <c r="I2696" i="12"/>
  <c r="M2688" i="12"/>
  <c r="L2688" i="12"/>
  <c r="K2688" i="12"/>
  <c r="J2688" i="12"/>
  <c r="I2688" i="12"/>
  <c r="M2680" i="12"/>
  <c r="L2680" i="12"/>
  <c r="K2680" i="12"/>
  <c r="J2680" i="12"/>
  <c r="I2680" i="12"/>
  <c r="M2672" i="12"/>
  <c r="L2672" i="12"/>
  <c r="K2672" i="12"/>
  <c r="J2672" i="12"/>
  <c r="I2672" i="12"/>
  <c r="M2664" i="12"/>
  <c r="L2664" i="12"/>
  <c r="K2664" i="12"/>
  <c r="J2664" i="12"/>
  <c r="I2664" i="12"/>
  <c r="M2656" i="12"/>
  <c r="L2656" i="12"/>
  <c r="K2656" i="12"/>
  <c r="J2656" i="12"/>
  <c r="I2656" i="12"/>
  <c r="M2648" i="12"/>
  <c r="L2648" i="12"/>
  <c r="K2648" i="12"/>
  <c r="J2648" i="12"/>
  <c r="I2648" i="12"/>
  <c r="M2640" i="12"/>
  <c r="L2640" i="12"/>
  <c r="K2640" i="12"/>
  <c r="J2640" i="12"/>
  <c r="I2640" i="12"/>
  <c r="M2632" i="12"/>
  <c r="L2632" i="12"/>
  <c r="K2632" i="12"/>
  <c r="J2632" i="12"/>
  <c r="I2632" i="12"/>
  <c r="M2624" i="12"/>
  <c r="L2624" i="12"/>
  <c r="K2624" i="12"/>
  <c r="J2624" i="12"/>
  <c r="I2624" i="12"/>
  <c r="M2616" i="12"/>
  <c r="L2616" i="12"/>
  <c r="K2616" i="12"/>
  <c r="J2616" i="12"/>
  <c r="I2616" i="12"/>
  <c r="M2608" i="12"/>
  <c r="L2608" i="12"/>
  <c r="K2608" i="12"/>
  <c r="J2608" i="12"/>
  <c r="I2608" i="12"/>
  <c r="M2600" i="12"/>
  <c r="L2600" i="12"/>
  <c r="K2600" i="12"/>
  <c r="J2600" i="12"/>
  <c r="I2600" i="12"/>
  <c r="M2592" i="12"/>
  <c r="L2592" i="12"/>
  <c r="K2592" i="12"/>
  <c r="J2592" i="12"/>
  <c r="I2592" i="12"/>
  <c r="M2584" i="12"/>
  <c r="L2584" i="12"/>
  <c r="K2584" i="12"/>
  <c r="J2584" i="12"/>
  <c r="I2584" i="12"/>
  <c r="M2576" i="12"/>
  <c r="L2576" i="12"/>
  <c r="K2576" i="12"/>
  <c r="J2576" i="12"/>
  <c r="I2576" i="12"/>
  <c r="M2568" i="12"/>
  <c r="L2568" i="12"/>
  <c r="K2568" i="12"/>
  <c r="J2568" i="12"/>
  <c r="I2568" i="12"/>
  <c r="M2560" i="12"/>
  <c r="L2560" i="12"/>
  <c r="K2560" i="12"/>
  <c r="J2560" i="12"/>
  <c r="I2560" i="12"/>
  <c r="M2552" i="12"/>
  <c r="L2552" i="12"/>
  <c r="K2552" i="12"/>
  <c r="J2552" i="12"/>
  <c r="I2552" i="12"/>
  <c r="M2544" i="12"/>
  <c r="L2544" i="12"/>
  <c r="K2544" i="12"/>
  <c r="J2544" i="12"/>
  <c r="I2544" i="12"/>
  <c r="M2536" i="12"/>
  <c r="L2536" i="12"/>
  <c r="K2536" i="12"/>
  <c r="I2536" i="12"/>
  <c r="M2528" i="12"/>
  <c r="L2528" i="12"/>
  <c r="K2528" i="12"/>
  <c r="J2528" i="12"/>
  <c r="I2528" i="12"/>
  <c r="M2520" i="12"/>
  <c r="L2520" i="12"/>
  <c r="K2520" i="12"/>
  <c r="J2520" i="12"/>
  <c r="I2520" i="12"/>
  <c r="M2512" i="12"/>
  <c r="L2512" i="12"/>
  <c r="K2512" i="12"/>
  <c r="J2512" i="12"/>
  <c r="I2512" i="12"/>
  <c r="M2504" i="12"/>
  <c r="L2504" i="12"/>
  <c r="K2504" i="12"/>
  <c r="J2504" i="12"/>
  <c r="I2504" i="12"/>
  <c r="M2496" i="12"/>
  <c r="L2496" i="12"/>
  <c r="K2496" i="12"/>
  <c r="J2496" i="12"/>
  <c r="I2496" i="12"/>
  <c r="M2488" i="12"/>
  <c r="L2488" i="12"/>
  <c r="K2488" i="12"/>
  <c r="J2488" i="12"/>
  <c r="I2488" i="12"/>
  <c r="M2480" i="12"/>
  <c r="L2480" i="12"/>
  <c r="K2480" i="12"/>
  <c r="J2480" i="12"/>
  <c r="I2480" i="12"/>
  <c r="M2472" i="12"/>
  <c r="L2472" i="12"/>
  <c r="K2472" i="12"/>
  <c r="J2472" i="12"/>
  <c r="I2472" i="12"/>
  <c r="M2464" i="12"/>
  <c r="L2464" i="12"/>
  <c r="K2464" i="12"/>
  <c r="J2464" i="12"/>
  <c r="I2464" i="12"/>
  <c r="M2456" i="12"/>
  <c r="L2456" i="12"/>
  <c r="K2456" i="12"/>
  <c r="J2456" i="12"/>
  <c r="I2456" i="12"/>
  <c r="M2448" i="12"/>
  <c r="L2448" i="12"/>
  <c r="K2448" i="12"/>
  <c r="J2448" i="12"/>
  <c r="I2448" i="12"/>
  <c r="M2440" i="12"/>
  <c r="L2440" i="12"/>
  <c r="K2440" i="12"/>
  <c r="J2440" i="12"/>
  <c r="I2440" i="12"/>
  <c r="M2432" i="12"/>
  <c r="L2432" i="12"/>
  <c r="K2432" i="12"/>
  <c r="J2432" i="12"/>
  <c r="I2432" i="12"/>
  <c r="M2424" i="12"/>
  <c r="L2424" i="12"/>
  <c r="J2424" i="12"/>
  <c r="K2424" i="12"/>
  <c r="I2424" i="12"/>
  <c r="M2416" i="12"/>
  <c r="L2416" i="12"/>
  <c r="K2416" i="12"/>
  <c r="J2416" i="12"/>
  <c r="I2416" i="12"/>
  <c r="M2408" i="12"/>
  <c r="L2408" i="12"/>
  <c r="K2408" i="12"/>
  <c r="J2408" i="12"/>
  <c r="I2408" i="12"/>
  <c r="M2400" i="12"/>
  <c r="L2400" i="12"/>
  <c r="K2400" i="12"/>
  <c r="J2400" i="12"/>
  <c r="I2400" i="12"/>
  <c r="M2392" i="12"/>
  <c r="L2392" i="12"/>
  <c r="K2392" i="12"/>
  <c r="J2392" i="12"/>
  <c r="I2392" i="12"/>
  <c r="M2384" i="12"/>
  <c r="L2384" i="12"/>
  <c r="K2384" i="12"/>
  <c r="J2384" i="12"/>
  <c r="I2384" i="12"/>
  <c r="M2376" i="12"/>
  <c r="L2376" i="12"/>
  <c r="K2376" i="12"/>
  <c r="J2376" i="12"/>
  <c r="I2376" i="12"/>
  <c r="M2368" i="12"/>
  <c r="L2368" i="12"/>
  <c r="K2368" i="12"/>
  <c r="J2368" i="12"/>
  <c r="I2368" i="12"/>
  <c r="M2360" i="12"/>
  <c r="L2360" i="12"/>
  <c r="K2360" i="12"/>
  <c r="J2360" i="12"/>
  <c r="I2360" i="12"/>
  <c r="M2352" i="12"/>
  <c r="L2352" i="12"/>
  <c r="K2352" i="12"/>
  <c r="J2352" i="12"/>
  <c r="I2352" i="12"/>
  <c r="M2344" i="12"/>
  <c r="L2344" i="12"/>
  <c r="K2344" i="12"/>
  <c r="J2344" i="12"/>
  <c r="I2344" i="12"/>
  <c r="M2336" i="12"/>
  <c r="L2336" i="12"/>
  <c r="K2336" i="12"/>
  <c r="J2336" i="12"/>
  <c r="I2336" i="12"/>
  <c r="M2328" i="12"/>
  <c r="L2328" i="12"/>
  <c r="K2328" i="12"/>
  <c r="J2328" i="12"/>
  <c r="I2328" i="12"/>
  <c r="M2320" i="12"/>
  <c r="L2320" i="12"/>
  <c r="K2320" i="12"/>
  <c r="J2320" i="12"/>
  <c r="I2320" i="12"/>
  <c r="M2312" i="12"/>
  <c r="L2312" i="12"/>
  <c r="K2312" i="12"/>
  <c r="J2312" i="12"/>
  <c r="I2312" i="12"/>
  <c r="M2304" i="12"/>
  <c r="L2304" i="12"/>
  <c r="K2304" i="12"/>
  <c r="J2304" i="12"/>
  <c r="I2304" i="12"/>
  <c r="M2296" i="12"/>
  <c r="L2296" i="12"/>
  <c r="J2296" i="12"/>
  <c r="K2296" i="12"/>
  <c r="I2296" i="12"/>
  <c r="M2288" i="12"/>
  <c r="L2288" i="12"/>
  <c r="K2288" i="12"/>
  <c r="J2288" i="12"/>
  <c r="I2288" i="12"/>
  <c r="M2280" i="12"/>
  <c r="L2280" i="12"/>
  <c r="K2280" i="12"/>
  <c r="J2280" i="12"/>
  <c r="I2280" i="12"/>
  <c r="M2272" i="12"/>
  <c r="L2272" i="12"/>
  <c r="K2272" i="12"/>
  <c r="J2272" i="12"/>
  <c r="I2272" i="12"/>
  <c r="M2264" i="12"/>
  <c r="L2264" i="12"/>
  <c r="K2264" i="12"/>
  <c r="J2264" i="12"/>
  <c r="I2264" i="12"/>
  <c r="M2256" i="12"/>
  <c r="L2256" i="12"/>
  <c r="K2256" i="12"/>
  <c r="J2256" i="12"/>
  <c r="I2256" i="12"/>
  <c r="M2248" i="12"/>
  <c r="L2248" i="12"/>
  <c r="K2248" i="12"/>
  <c r="J2248" i="12"/>
  <c r="I2248" i="12"/>
  <c r="M2240" i="12"/>
  <c r="L2240" i="12"/>
  <c r="K2240" i="12"/>
  <c r="J2240" i="12"/>
  <c r="I2240" i="12"/>
  <c r="M2232" i="12"/>
  <c r="L2232" i="12"/>
  <c r="K2232" i="12"/>
  <c r="J2232" i="12"/>
  <c r="I2232" i="12"/>
  <c r="M2224" i="12"/>
  <c r="L2224" i="12"/>
  <c r="K2224" i="12"/>
  <c r="J2224" i="12"/>
  <c r="I2224" i="12"/>
  <c r="M2216" i="12"/>
  <c r="L2216" i="12"/>
  <c r="K2216" i="12"/>
  <c r="J2216" i="12"/>
  <c r="I2216" i="12"/>
  <c r="M2208" i="12"/>
  <c r="L2208" i="12"/>
  <c r="K2208" i="12"/>
  <c r="J2208" i="12"/>
  <c r="I2208" i="12"/>
  <c r="M2200" i="12"/>
  <c r="L2200" i="12"/>
  <c r="K2200" i="12"/>
  <c r="J2200" i="12"/>
  <c r="I2200" i="12"/>
  <c r="M2192" i="12"/>
  <c r="L2192" i="12"/>
  <c r="K2192" i="12"/>
  <c r="J2192" i="12"/>
  <c r="I2192" i="12"/>
  <c r="M2184" i="12"/>
  <c r="L2184" i="12"/>
  <c r="K2184" i="12"/>
  <c r="J2184" i="12"/>
  <c r="I2184" i="12"/>
  <c r="M2176" i="12"/>
  <c r="L2176" i="12"/>
  <c r="K2176" i="12"/>
  <c r="J2176" i="12"/>
  <c r="I2176" i="12"/>
  <c r="M2168" i="12"/>
  <c r="L2168" i="12"/>
  <c r="K2168" i="12"/>
  <c r="J2168" i="12"/>
  <c r="I2168" i="12"/>
  <c r="M2160" i="12"/>
  <c r="L2160" i="12"/>
  <c r="K2160" i="12"/>
  <c r="J2160" i="12"/>
  <c r="I2160" i="12"/>
  <c r="M2152" i="12"/>
  <c r="L2152" i="12"/>
  <c r="K2152" i="12"/>
  <c r="J2152" i="12"/>
  <c r="I2152" i="12"/>
  <c r="M2144" i="12"/>
  <c r="L2144" i="12"/>
  <c r="K2144" i="12"/>
  <c r="J2144" i="12"/>
  <c r="I2144" i="12"/>
  <c r="M2136" i="12"/>
  <c r="L2136" i="12"/>
  <c r="K2136" i="12"/>
  <c r="J2136" i="12"/>
  <c r="I2136" i="12"/>
  <c r="M2128" i="12"/>
  <c r="L2128" i="12"/>
  <c r="K2128" i="12"/>
  <c r="J2128" i="12"/>
  <c r="I2128" i="12"/>
  <c r="M2120" i="12"/>
  <c r="L2120" i="12"/>
  <c r="K2120" i="12"/>
  <c r="J2120" i="12"/>
  <c r="I2120" i="12"/>
  <c r="M2112" i="12"/>
  <c r="L2112" i="12"/>
  <c r="K2112" i="12"/>
  <c r="J2112" i="12"/>
  <c r="I2112" i="12"/>
  <c r="M2104" i="12"/>
  <c r="L2104" i="12"/>
  <c r="K2104" i="12"/>
  <c r="J2104" i="12"/>
  <c r="I2104" i="12"/>
  <c r="M2096" i="12"/>
  <c r="L2096" i="12"/>
  <c r="K2096" i="12"/>
  <c r="J2096" i="12"/>
  <c r="I2096" i="12"/>
  <c r="M2088" i="12"/>
  <c r="L2088" i="12"/>
  <c r="K2088" i="12"/>
  <c r="J2088" i="12"/>
  <c r="I2088" i="12"/>
  <c r="M2080" i="12"/>
  <c r="L2080" i="12"/>
  <c r="K2080" i="12"/>
  <c r="J2080" i="12"/>
  <c r="I2080" i="12"/>
  <c r="M2072" i="12"/>
  <c r="L2072" i="12"/>
  <c r="K2072" i="12"/>
  <c r="J2072" i="12"/>
  <c r="I2072" i="12"/>
  <c r="M2064" i="12"/>
  <c r="L2064" i="12"/>
  <c r="K2064" i="12"/>
  <c r="J2064" i="12"/>
  <c r="I2064" i="12"/>
  <c r="M2056" i="12"/>
  <c r="L2056" i="12"/>
  <c r="K2056" i="12"/>
  <c r="J2056" i="12"/>
  <c r="I2056" i="12"/>
  <c r="M2048" i="12"/>
  <c r="L2048" i="12"/>
  <c r="K2048" i="12"/>
  <c r="J2048" i="12"/>
  <c r="I2048" i="12"/>
  <c r="M2040" i="12"/>
  <c r="L2040" i="12"/>
  <c r="K2040" i="12"/>
  <c r="J2040" i="12"/>
  <c r="I2040" i="12"/>
  <c r="M2032" i="12"/>
  <c r="L2032" i="12"/>
  <c r="K2032" i="12"/>
  <c r="J2032" i="12"/>
  <c r="I2032" i="12"/>
  <c r="M2024" i="12"/>
  <c r="L2024" i="12"/>
  <c r="K2024" i="12"/>
  <c r="J2024" i="12"/>
  <c r="I2024" i="12"/>
  <c r="M2016" i="12"/>
  <c r="L2016" i="12"/>
  <c r="K2016" i="12"/>
  <c r="J2016" i="12"/>
  <c r="I2016" i="12"/>
  <c r="M2008" i="12"/>
  <c r="L2008" i="12"/>
  <c r="K2008" i="12"/>
  <c r="J2008" i="12"/>
  <c r="I2008" i="12"/>
  <c r="M2000" i="12"/>
  <c r="L2000" i="12"/>
  <c r="K2000" i="12"/>
  <c r="J2000" i="12"/>
  <c r="I2000" i="12"/>
  <c r="M1992" i="12"/>
  <c r="L1992" i="12"/>
  <c r="K1992" i="12"/>
  <c r="J1992" i="12"/>
  <c r="I1992" i="12"/>
  <c r="M1984" i="12"/>
  <c r="L1984" i="12"/>
  <c r="K1984" i="12"/>
  <c r="J1984" i="12"/>
  <c r="I1984" i="12"/>
  <c r="M1976" i="12"/>
  <c r="L1976" i="12"/>
  <c r="K1976" i="12"/>
  <c r="J1976" i="12"/>
  <c r="I1976" i="12"/>
  <c r="M1968" i="12"/>
  <c r="L1968" i="12"/>
  <c r="K1968" i="12"/>
  <c r="J1968" i="12"/>
  <c r="I1968" i="12"/>
  <c r="M1960" i="12"/>
  <c r="L1960" i="12"/>
  <c r="K1960" i="12"/>
  <c r="J1960" i="12"/>
  <c r="I1960" i="12"/>
  <c r="M1952" i="12"/>
  <c r="L1952" i="12"/>
  <c r="K1952" i="12"/>
  <c r="J1952" i="12"/>
  <c r="I1952" i="12"/>
  <c r="M1944" i="12"/>
  <c r="L1944" i="12"/>
  <c r="K1944" i="12"/>
  <c r="J1944" i="12"/>
  <c r="I1944" i="12"/>
  <c r="M1936" i="12"/>
  <c r="L1936" i="12"/>
  <c r="K1936" i="12"/>
  <c r="J1936" i="12"/>
  <c r="I1936" i="12"/>
  <c r="M1928" i="12"/>
  <c r="L1928" i="12"/>
  <c r="K1928" i="12"/>
  <c r="J1928" i="12"/>
  <c r="I1928" i="12"/>
  <c r="M1920" i="12"/>
  <c r="L1920" i="12"/>
  <c r="K1920" i="12"/>
  <c r="J1920" i="12"/>
  <c r="I1920" i="12"/>
  <c r="M1912" i="12"/>
  <c r="L1912" i="12"/>
  <c r="K1912" i="12"/>
  <c r="J1912" i="12"/>
  <c r="I1912" i="12"/>
  <c r="M1904" i="12"/>
  <c r="L1904" i="12"/>
  <c r="K1904" i="12"/>
  <c r="J1904" i="12"/>
  <c r="I1904" i="12"/>
  <c r="M1896" i="12"/>
  <c r="L1896" i="12"/>
  <c r="K1896" i="12"/>
  <c r="J1896" i="12"/>
  <c r="I1896" i="12"/>
  <c r="M1888" i="12"/>
  <c r="L1888" i="12"/>
  <c r="K1888" i="12"/>
  <c r="J1888" i="12"/>
  <c r="I1888" i="12"/>
  <c r="M1880" i="12"/>
  <c r="L1880" i="12"/>
  <c r="K1880" i="12"/>
  <c r="J1880" i="12"/>
  <c r="I1880" i="12"/>
  <c r="M1872" i="12"/>
  <c r="L1872" i="12"/>
  <c r="K1872" i="12"/>
  <c r="J1872" i="12"/>
  <c r="I1872" i="12"/>
  <c r="M1864" i="12"/>
  <c r="L1864" i="12"/>
  <c r="K1864" i="12"/>
  <c r="J1864" i="12"/>
  <c r="I1864" i="12"/>
  <c r="M1856" i="12"/>
  <c r="L1856" i="12"/>
  <c r="K1856" i="12"/>
  <c r="J1856" i="12"/>
  <c r="I1856" i="12"/>
  <c r="M1848" i="12"/>
  <c r="L1848" i="12"/>
  <c r="K1848" i="12"/>
  <c r="J1848" i="12"/>
  <c r="I1848" i="12"/>
  <c r="M1840" i="12"/>
  <c r="L1840" i="12"/>
  <c r="K1840" i="12"/>
  <c r="J1840" i="12"/>
  <c r="I1840" i="12"/>
  <c r="M1832" i="12"/>
  <c r="L1832" i="12"/>
  <c r="K1832" i="12"/>
  <c r="J1832" i="12"/>
  <c r="I1832" i="12"/>
  <c r="M1824" i="12"/>
  <c r="L1824" i="12"/>
  <c r="K1824" i="12"/>
  <c r="J1824" i="12"/>
  <c r="I1824" i="12"/>
  <c r="M1816" i="12"/>
  <c r="L1816" i="12"/>
  <c r="K1816" i="12"/>
  <c r="J1816" i="12"/>
  <c r="I1816" i="12"/>
  <c r="M1808" i="12"/>
  <c r="L1808" i="12"/>
  <c r="K1808" i="12"/>
  <c r="J1808" i="12"/>
  <c r="I1808" i="12"/>
  <c r="M1800" i="12"/>
  <c r="L1800" i="12"/>
  <c r="K1800" i="12"/>
  <c r="J1800" i="12"/>
  <c r="I1800" i="12"/>
  <c r="M1792" i="12"/>
  <c r="L1792" i="12"/>
  <c r="K1792" i="12"/>
  <c r="J1792" i="12"/>
  <c r="I1792" i="12"/>
  <c r="M1784" i="12"/>
  <c r="L1784" i="12"/>
  <c r="K1784" i="12"/>
  <c r="J1784" i="12"/>
  <c r="I1784" i="12"/>
  <c r="M1776" i="12"/>
  <c r="L1776" i="12"/>
  <c r="K1776" i="12"/>
  <c r="J1776" i="12"/>
  <c r="I1776" i="12"/>
  <c r="M1768" i="12"/>
  <c r="L1768" i="12"/>
  <c r="K1768" i="12"/>
  <c r="J1768" i="12"/>
  <c r="I1768" i="12"/>
  <c r="M1760" i="12"/>
  <c r="L1760" i="12"/>
  <c r="K1760" i="12"/>
  <c r="J1760" i="12"/>
  <c r="I1760" i="12"/>
  <c r="M1752" i="12"/>
  <c r="L1752" i="12"/>
  <c r="K1752" i="12"/>
  <c r="J1752" i="12"/>
  <c r="I1752" i="12"/>
  <c r="M1744" i="12"/>
  <c r="L1744" i="12"/>
  <c r="K1744" i="12"/>
  <c r="J1744" i="12"/>
  <c r="I1744" i="12"/>
  <c r="M1736" i="12"/>
  <c r="L1736" i="12"/>
  <c r="K1736" i="12"/>
  <c r="J1736" i="12"/>
  <c r="I1736" i="12"/>
  <c r="M1728" i="12"/>
  <c r="L1728" i="12"/>
  <c r="K1728" i="12"/>
  <c r="J1728" i="12"/>
  <c r="I1728" i="12"/>
  <c r="M1720" i="12"/>
  <c r="L1720" i="12"/>
  <c r="K1720" i="12"/>
  <c r="J1720" i="12"/>
  <c r="I1720" i="12"/>
  <c r="M1712" i="12"/>
  <c r="L1712" i="12"/>
  <c r="K1712" i="12"/>
  <c r="J1712" i="12"/>
  <c r="I1712" i="12"/>
  <c r="M1704" i="12"/>
  <c r="L1704" i="12"/>
  <c r="K1704" i="12"/>
  <c r="J1704" i="12"/>
  <c r="I1704" i="12"/>
  <c r="M1696" i="12"/>
  <c r="L1696" i="12"/>
  <c r="K1696" i="12"/>
  <c r="J1696" i="12"/>
  <c r="I1696" i="12"/>
  <c r="M1688" i="12"/>
  <c r="L1688" i="12"/>
  <c r="K1688" i="12"/>
  <c r="J1688" i="12"/>
  <c r="I1688" i="12"/>
  <c r="M1680" i="12"/>
  <c r="L1680" i="12"/>
  <c r="K1680" i="12"/>
  <c r="J1680" i="12"/>
  <c r="I1680" i="12"/>
  <c r="M1672" i="12"/>
  <c r="L1672" i="12"/>
  <c r="K1672" i="12"/>
  <c r="J1672" i="12"/>
  <c r="I1672" i="12"/>
  <c r="M1664" i="12"/>
  <c r="L1664" i="12"/>
  <c r="K1664" i="12"/>
  <c r="J1664" i="12"/>
  <c r="I1664" i="12"/>
  <c r="M1656" i="12"/>
  <c r="L1656" i="12"/>
  <c r="K1656" i="12"/>
  <c r="J1656" i="12"/>
  <c r="I1656" i="12"/>
  <c r="M1648" i="12"/>
  <c r="L1648" i="12"/>
  <c r="K1648" i="12"/>
  <c r="J1648" i="12"/>
  <c r="I1648" i="12"/>
  <c r="M1640" i="12"/>
  <c r="L1640" i="12"/>
  <c r="K1640" i="12"/>
  <c r="J1640" i="12"/>
  <c r="I1640" i="12"/>
  <c r="M1632" i="12"/>
  <c r="L1632" i="12"/>
  <c r="K1632" i="12"/>
  <c r="J1632" i="12"/>
  <c r="I1632" i="12"/>
  <c r="M1624" i="12"/>
  <c r="L1624" i="12"/>
  <c r="K1624" i="12"/>
  <c r="J1624" i="12"/>
  <c r="I1624" i="12"/>
  <c r="M1616" i="12"/>
  <c r="L1616" i="12"/>
  <c r="K1616" i="12"/>
  <c r="J1616" i="12"/>
  <c r="I1616" i="12"/>
  <c r="M1608" i="12"/>
  <c r="K1608" i="12"/>
  <c r="L1608" i="12"/>
  <c r="J1608" i="12"/>
  <c r="I1608" i="12"/>
  <c r="M1600" i="12"/>
  <c r="L1600" i="12"/>
  <c r="K1600" i="12"/>
  <c r="J1600" i="12"/>
  <c r="I1600" i="12"/>
  <c r="M1592" i="12"/>
  <c r="L1592" i="12"/>
  <c r="K1592" i="12"/>
  <c r="J1592" i="12"/>
  <c r="I1592" i="12"/>
  <c r="M1584" i="12"/>
  <c r="L1584" i="12"/>
  <c r="K1584" i="12"/>
  <c r="J1584" i="12"/>
  <c r="I1584" i="12"/>
  <c r="M1576" i="12"/>
  <c r="L1576" i="12"/>
  <c r="K1576" i="12"/>
  <c r="J1576" i="12"/>
  <c r="I1576" i="12"/>
  <c r="M1568" i="12"/>
  <c r="L1568" i="12"/>
  <c r="K1568" i="12"/>
  <c r="J1568" i="12"/>
  <c r="I1568" i="12"/>
  <c r="M1560" i="12"/>
  <c r="L1560" i="12"/>
  <c r="K1560" i="12"/>
  <c r="J1560" i="12"/>
  <c r="I1560" i="12"/>
  <c r="M1552" i="12"/>
  <c r="L1552" i="12"/>
  <c r="K1552" i="12"/>
  <c r="J1552" i="12"/>
  <c r="I1552" i="12"/>
  <c r="M1544" i="12"/>
  <c r="L1544" i="12"/>
  <c r="K1544" i="12"/>
  <c r="J1544" i="12"/>
  <c r="I1544" i="12"/>
  <c r="M1536" i="12"/>
  <c r="L1536" i="12"/>
  <c r="K1536" i="12"/>
  <c r="J1536" i="12"/>
  <c r="I1536" i="12"/>
  <c r="M1528" i="12"/>
  <c r="L1528" i="12"/>
  <c r="K1528" i="12"/>
  <c r="J1528" i="12"/>
  <c r="I1528" i="12"/>
  <c r="M1520" i="12"/>
  <c r="L1520" i="12"/>
  <c r="K1520" i="12"/>
  <c r="J1520" i="12"/>
  <c r="I1520" i="12"/>
  <c r="M1512" i="12"/>
  <c r="L1512" i="12"/>
  <c r="K1512" i="12"/>
  <c r="J1512" i="12"/>
  <c r="I1512" i="12"/>
  <c r="M1504" i="12"/>
  <c r="L1504" i="12"/>
  <c r="K1504" i="12"/>
  <c r="J1504" i="12"/>
  <c r="I1504" i="12"/>
  <c r="M1496" i="12"/>
  <c r="L1496" i="12"/>
  <c r="K1496" i="12"/>
  <c r="J1496" i="12"/>
  <c r="I1496" i="12"/>
  <c r="M1488" i="12"/>
  <c r="L1488" i="12"/>
  <c r="K1488" i="12"/>
  <c r="J1488" i="12"/>
  <c r="I1488" i="12"/>
  <c r="M1480" i="12"/>
  <c r="L1480" i="12"/>
  <c r="K1480" i="12"/>
  <c r="J1480" i="12"/>
  <c r="I1480" i="12"/>
  <c r="M1472" i="12"/>
  <c r="L1472" i="12"/>
  <c r="K1472" i="12"/>
  <c r="J1472" i="12"/>
  <c r="I1472" i="12"/>
  <c r="M1464" i="12"/>
  <c r="L1464" i="12"/>
  <c r="K1464" i="12"/>
  <c r="J1464" i="12"/>
  <c r="I1464" i="12"/>
  <c r="M1456" i="12"/>
  <c r="L1456" i="12"/>
  <c r="K1456" i="12"/>
  <c r="J1456" i="12"/>
  <c r="I1456" i="12"/>
  <c r="M1448" i="12"/>
  <c r="L1448" i="12"/>
  <c r="K1448" i="12"/>
  <c r="J1448" i="12"/>
  <c r="I1448" i="12"/>
  <c r="M1440" i="12"/>
  <c r="L1440" i="12"/>
  <c r="K1440" i="12"/>
  <c r="J1440" i="12"/>
  <c r="I1440" i="12"/>
  <c r="M1432" i="12"/>
  <c r="L1432" i="12"/>
  <c r="K1432" i="12"/>
  <c r="J1432" i="12"/>
  <c r="I1432" i="12"/>
  <c r="M1424" i="12"/>
  <c r="L1424" i="12"/>
  <c r="K1424" i="12"/>
  <c r="J1424" i="12"/>
  <c r="I1424" i="12"/>
  <c r="M1416" i="12"/>
  <c r="L1416" i="12"/>
  <c r="K1416" i="12"/>
  <c r="J1416" i="12"/>
  <c r="I1416" i="12"/>
  <c r="M1408" i="12"/>
  <c r="L1408" i="12"/>
  <c r="K1408" i="12"/>
  <c r="J1408" i="12"/>
  <c r="I1408" i="12"/>
  <c r="M1400" i="12"/>
  <c r="L1400" i="12"/>
  <c r="K1400" i="12"/>
  <c r="J1400" i="12"/>
  <c r="I1400" i="12"/>
  <c r="M1392" i="12"/>
  <c r="L1392" i="12"/>
  <c r="K1392" i="12"/>
  <c r="J1392" i="12"/>
  <c r="I1392" i="12"/>
  <c r="M1384" i="12"/>
  <c r="L1384" i="12"/>
  <c r="K1384" i="12"/>
  <c r="J1384" i="12"/>
  <c r="I1384" i="12"/>
  <c r="M1376" i="12"/>
  <c r="L1376" i="12"/>
  <c r="K1376" i="12"/>
  <c r="J1376" i="12"/>
  <c r="I1376" i="12"/>
  <c r="M1368" i="12"/>
  <c r="L1368" i="12"/>
  <c r="K1368" i="12"/>
  <c r="J1368" i="12"/>
  <c r="I1368" i="12"/>
  <c r="M1360" i="12"/>
  <c r="L1360" i="12"/>
  <c r="K1360" i="12"/>
  <c r="J1360" i="12"/>
  <c r="I1360" i="12"/>
  <c r="M1352" i="12"/>
  <c r="L1352" i="12"/>
  <c r="K1352" i="12"/>
  <c r="J1352" i="12"/>
  <c r="I1352" i="12"/>
  <c r="M1344" i="12"/>
  <c r="L1344" i="12"/>
  <c r="K1344" i="12"/>
  <c r="J1344" i="12"/>
  <c r="I1344" i="12"/>
  <c r="M1336" i="12"/>
  <c r="L1336" i="12"/>
  <c r="K1336" i="12"/>
  <c r="J1336" i="12"/>
  <c r="I1336" i="12"/>
  <c r="M1328" i="12"/>
  <c r="L1328" i="12"/>
  <c r="K1328" i="12"/>
  <c r="J1328" i="12"/>
  <c r="I1328" i="12"/>
  <c r="M1320" i="12"/>
  <c r="L1320" i="12"/>
  <c r="K1320" i="12"/>
  <c r="J1320" i="12"/>
  <c r="I1320" i="12"/>
  <c r="M1312" i="12"/>
  <c r="L1312" i="12"/>
  <c r="K1312" i="12"/>
  <c r="J1312" i="12"/>
  <c r="I1312" i="12"/>
  <c r="M1304" i="12"/>
  <c r="L1304" i="12"/>
  <c r="K1304" i="12"/>
  <c r="J1304" i="12"/>
  <c r="I1304" i="12"/>
  <c r="M1296" i="12"/>
  <c r="L1296" i="12"/>
  <c r="K1296" i="12"/>
  <c r="J1296" i="12"/>
  <c r="I1296" i="12"/>
  <c r="M1288" i="12"/>
  <c r="L1288" i="12"/>
  <c r="K1288" i="12"/>
  <c r="J1288" i="12"/>
  <c r="I1288" i="12"/>
  <c r="M1280" i="12"/>
  <c r="L1280" i="12"/>
  <c r="K1280" i="12"/>
  <c r="J1280" i="12"/>
  <c r="I1280" i="12"/>
  <c r="M1272" i="12"/>
  <c r="L1272" i="12"/>
  <c r="K1272" i="12"/>
  <c r="J1272" i="12"/>
  <c r="I1272" i="12"/>
  <c r="M1264" i="12"/>
  <c r="L1264" i="12"/>
  <c r="K1264" i="12"/>
  <c r="J1264" i="12"/>
  <c r="I1264" i="12"/>
  <c r="M1256" i="12"/>
  <c r="L1256" i="12"/>
  <c r="K1256" i="12"/>
  <c r="J1256" i="12"/>
  <c r="I1256" i="12"/>
  <c r="M1248" i="12"/>
  <c r="L1248" i="12"/>
  <c r="K1248" i="12"/>
  <c r="J1248" i="12"/>
  <c r="I1248" i="12"/>
  <c r="M1240" i="12"/>
  <c r="L1240" i="12"/>
  <c r="K1240" i="12"/>
  <c r="J1240" i="12"/>
  <c r="I1240" i="12"/>
  <c r="M1232" i="12"/>
  <c r="L1232" i="12"/>
  <c r="K1232" i="12"/>
  <c r="J1232" i="12"/>
  <c r="I1232" i="12"/>
  <c r="M1224" i="12"/>
  <c r="L1224" i="12"/>
  <c r="K1224" i="12"/>
  <c r="J1224" i="12"/>
  <c r="I1224" i="12"/>
  <c r="M1216" i="12"/>
  <c r="L1216" i="12"/>
  <c r="K1216" i="12"/>
  <c r="J1216" i="12"/>
  <c r="I1216" i="12"/>
  <c r="M1208" i="12"/>
  <c r="L1208" i="12"/>
  <c r="K1208" i="12"/>
  <c r="J1208" i="12"/>
  <c r="I1208" i="12"/>
  <c r="M1200" i="12"/>
  <c r="L1200" i="12"/>
  <c r="K1200" i="12"/>
  <c r="J1200" i="12"/>
  <c r="I1200" i="12"/>
  <c r="M1192" i="12"/>
  <c r="L1192" i="12"/>
  <c r="K1192" i="12"/>
  <c r="J1192" i="12"/>
  <c r="I1192" i="12"/>
  <c r="M1184" i="12"/>
  <c r="L1184" i="12"/>
  <c r="K1184" i="12"/>
  <c r="J1184" i="12"/>
  <c r="I1184" i="12"/>
  <c r="M1176" i="12"/>
  <c r="L1176" i="12"/>
  <c r="K1176" i="12"/>
  <c r="J1176" i="12"/>
  <c r="I1176" i="12"/>
  <c r="M1168" i="12"/>
  <c r="L1168" i="12"/>
  <c r="K1168" i="12"/>
  <c r="J1168" i="12"/>
  <c r="I1168" i="12"/>
  <c r="M1160" i="12"/>
  <c r="L1160" i="12"/>
  <c r="K1160" i="12"/>
  <c r="J1160" i="12"/>
  <c r="I1160" i="12"/>
  <c r="M1152" i="12"/>
  <c r="L1152" i="12"/>
  <c r="K1152" i="12"/>
  <c r="J1152" i="12"/>
  <c r="I1152" i="12"/>
  <c r="M1144" i="12"/>
  <c r="L1144" i="12"/>
  <c r="K1144" i="12"/>
  <c r="J1144" i="12"/>
  <c r="I1144" i="12"/>
  <c r="M1136" i="12"/>
  <c r="L1136" i="12"/>
  <c r="K1136" i="12"/>
  <c r="J1136" i="12"/>
  <c r="I1136" i="12"/>
  <c r="M1128" i="12"/>
  <c r="L1128" i="12"/>
  <c r="K1128" i="12"/>
  <c r="J1128" i="12"/>
  <c r="I1128" i="12"/>
  <c r="M1120" i="12"/>
  <c r="L1120" i="12"/>
  <c r="K1120" i="12"/>
  <c r="J1120" i="12"/>
  <c r="I1120" i="12"/>
  <c r="M1112" i="12"/>
  <c r="L1112" i="12"/>
  <c r="K1112" i="12"/>
  <c r="J1112" i="12"/>
  <c r="I1112" i="12"/>
  <c r="M1104" i="12"/>
  <c r="L1104" i="12"/>
  <c r="K1104" i="12"/>
  <c r="J1104" i="12"/>
  <c r="I1104" i="12"/>
  <c r="M1096" i="12"/>
  <c r="L1096" i="12"/>
  <c r="K1096" i="12"/>
  <c r="J1096" i="12"/>
  <c r="I1096" i="12"/>
  <c r="M1088" i="12"/>
  <c r="L1088" i="12"/>
  <c r="K1088" i="12"/>
  <c r="J1088" i="12"/>
  <c r="I1088" i="12"/>
  <c r="M1080" i="12"/>
  <c r="L1080" i="12"/>
  <c r="K1080" i="12"/>
  <c r="J1080" i="12"/>
  <c r="I1080" i="12"/>
  <c r="M1072" i="12"/>
  <c r="L1072" i="12"/>
  <c r="K1072" i="12"/>
  <c r="J1072" i="12"/>
  <c r="I1072" i="12"/>
  <c r="M1064" i="12"/>
  <c r="L1064" i="12"/>
  <c r="K1064" i="12"/>
  <c r="J1064" i="12"/>
  <c r="I1064" i="12"/>
  <c r="M1056" i="12"/>
  <c r="L1056" i="12"/>
  <c r="K1056" i="12"/>
  <c r="J1056" i="12"/>
  <c r="I1056" i="12"/>
  <c r="M1048" i="12"/>
  <c r="L1048" i="12"/>
  <c r="K1048" i="12"/>
  <c r="J1048" i="12"/>
  <c r="I1048" i="12"/>
  <c r="M1040" i="12"/>
  <c r="L1040" i="12"/>
  <c r="K1040" i="12"/>
  <c r="J1040" i="12"/>
  <c r="I1040" i="12"/>
  <c r="M1032" i="12"/>
  <c r="L1032" i="12"/>
  <c r="K1032" i="12"/>
  <c r="J1032" i="12"/>
  <c r="I1032" i="12"/>
  <c r="M1024" i="12"/>
  <c r="L1024" i="12"/>
  <c r="K1024" i="12"/>
  <c r="J1024" i="12"/>
  <c r="I1024" i="12"/>
  <c r="M1016" i="12"/>
  <c r="L1016" i="12"/>
  <c r="K1016" i="12"/>
  <c r="J1016" i="12"/>
  <c r="I1016" i="12"/>
  <c r="M1008" i="12"/>
  <c r="L1008" i="12"/>
  <c r="K1008" i="12"/>
  <c r="J1008" i="12"/>
  <c r="I1008" i="12"/>
  <c r="M1000" i="12"/>
  <c r="L1000" i="12"/>
  <c r="K1000" i="12"/>
  <c r="J1000" i="12"/>
  <c r="I1000" i="12"/>
  <c r="M992" i="12"/>
  <c r="L992" i="12"/>
  <c r="K992" i="12"/>
  <c r="J992" i="12"/>
  <c r="I992" i="12"/>
  <c r="M984" i="12"/>
  <c r="L984" i="12"/>
  <c r="K984" i="12"/>
  <c r="J984" i="12"/>
  <c r="I984" i="12"/>
  <c r="M976" i="12"/>
  <c r="L976" i="12"/>
  <c r="K976" i="12"/>
  <c r="J976" i="12"/>
  <c r="I976" i="12"/>
  <c r="M968" i="12"/>
  <c r="L968" i="12"/>
  <c r="K968" i="12"/>
  <c r="J968" i="12"/>
  <c r="I968" i="12"/>
  <c r="M960" i="12"/>
  <c r="L960" i="12"/>
  <c r="K960" i="12"/>
  <c r="J960" i="12"/>
  <c r="I960" i="12"/>
  <c r="M952" i="12"/>
  <c r="L952" i="12"/>
  <c r="K952" i="12"/>
  <c r="J952" i="12"/>
  <c r="I952" i="12"/>
  <c r="M944" i="12"/>
  <c r="L944" i="12"/>
  <c r="K944" i="12"/>
  <c r="J944" i="12"/>
  <c r="I944" i="12"/>
  <c r="M936" i="12"/>
  <c r="L936" i="12"/>
  <c r="K936" i="12"/>
  <c r="J936" i="12"/>
  <c r="I936" i="12"/>
  <c r="M928" i="12"/>
  <c r="L928" i="12"/>
  <c r="K928" i="12"/>
  <c r="J928" i="12"/>
  <c r="I928" i="12"/>
  <c r="M920" i="12"/>
  <c r="L920" i="12"/>
  <c r="K920" i="12"/>
  <c r="J920" i="12"/>
  <c r="I920" i="12"/>
  <c r="M912" i="12"/>
  <c r="L912" i="12"/>
  <c r="K912" i="12"/>
  <c r="J912" i="12"/>
  <c r="I912" i="12"/>
  <c r="M904" i="12"/>
  <c r="L904" i="12"/>
  <c r="K904" i="12"/>
  <c r="J904" i="12"/>
  <c r="I904" i="12"/>
  <c r="M896" i="12"/>
  <c r="L896" i="12"/>
  <c r="K896" i="12"/>
  <c r="J896" i="12"/>
  <c r="I896" i="12"/>
  <c r="M888" i="12"/>
  <c r="L888" i="12"/>
  <c r="K888" i="12"/>
  <c r="J888" i="12"/>
  <c r="I888" i="12"/>
  <c r="M880" i="12"/>
  <c r="L880" i="12"/>
  <c r="K880" i="12"/>
  <c r="J880" i="12"/>
  <c r="I880" i="12"/>
  <c r="M872" i="12"/>
  <c r="L872" i="12"/>
  <c r="K872" i="12"/>
  <c r="J872" i="12"/>
  <c r="I872" i="12"/>
  <c r="M864" i="12"/>
  <c r="L864" i="12"/>
  <c r="K864" i="12"/>
  <c r="J864" i="12"/>
  <c r="I864" i="12"/>
  <c r="M856" i="12"/>
  <c r="L856" i="12"/>
  <c r="K856" i="12"/>
  <c r="J856" i="12"/>
  <c r="I856" i="12"/>
  <c r="M848" i="12"/>
  <c r="L848" i="12"/>
  <c r="K848" i="12"/>
  <c r="J848" i="12"/>
  <c r="I848" i="12"/>
  <c r="M840" i="12"/>
  <c r="L840" i="12"/>
  <c r="K840" i="12"/>
  <c r="J840" i="12"/>
  <c r="I840" i="12"/>
  <c r="M832" i="12"/>
  <c r="L832" i="12"/>
  <c r="K832" i="12"/>
  <c r="J832" i="12"/>
  <c r="I832" i="12"/>
  <c r="M824" i="12"/>
  <c r="L824" i="12"/>
  <c r="K824" i="12"/>
  <c r="J824" i="12"/>
  <c r="I824" i="12"/>
  <c r="M816" i="12"/>
  <c r="L816" i="12"/>
  <c r="K816" i="12"/>
  <c r="J816" i="12"/>
  <c r="I816" i="12"/>
  <c r="M808" i="12"/>
  <c r="L808" i="12"/>
  <c r="K808" i="12"/>
  <c r="J808" i="12"/>
  <c r="I808" i="12"/>
  <c r="M800" i="12"/>
  <c r="L800" i="12"/>
  <c r="K800" i="12"/>
  <c r="J800" i="12"/>
  <c r="I800" i="12"/>
  <c r="M792" i="12"/>
  <c r="L792" i="12"/>
  <c r="K792" i="12"/>
  <c r="J792" i="12"/>
  <c r="I792" i="12"/>
  <c r="M784" i="12"/>
  <c r="L784" i="12"/>
  <c r="K784" i="12"/>
  <c r="J784" i="12"/>
  <c r="I784" i="12"/>
  <c r="M776" i="12"/>
  <c r="L776" i="12"/>
  <c r="K776" i="12"/>
  <c r="J776" i="12"/>
  <c r="I776" i="12"/>
  <c r="M768" i="12"/>
  <c r="L768" i="12"/>
  <c r="K768" i="12"/>
  <c r="J768" i="12"/>
  <c r="I768" i="12"/>
  <c r="M760" i="12"/>
  <c r="L760" i="12"/>
  <c r="K760" i="12"/>
  <c r="J760" i="12"/>
  <c r="I760" i="12"/>
  <c r="M752" i="12"/>
  <c r="L752" i="12"/>
  <c r="K752" i="12"/>
  <c r="J752" i="12"/>
  <c r="I752" i="12"/>
  <c r="M744" i="12"/>
  <c r="L744" i="12"/>
  <c r="K744" i="12"/>
  <c r="J744" i="12"/>
  <c r="I744" i="12"/>
  <c r="M736" i="12"/>
  <c r="L736" i="12"/>
  <c r="K736" i="12"/>
  <c r="J736" i="12"/>
  <c r="I736" i="12"/>
  <c r="M728" i="12"/>
  <c r="L728" i="12"/>
  <c r="K728" i="12"/>
  <c r="J728" i="12"/>
  <c r="I728" i="12"/>
  <c r="M720" i="12"/>
  <c r="L720" i="12"/>
  <c r="K720" i="12"/>
  <c r="J720" i="12"/>
  <c r="I720" i="12"/>
  <c r="M712" i="12"/>
  <c r="L712" i="12"/>
  <c r="K712" i="12"/>
  <c r="J712" i="12"/>
  <c r="I712" i="12"/>
  <c r="M704" i="12"/>
  <c r="L704" i="12"/>
  <c r="K704" i="12"/>
  <c r="J704" i="12"/>
  <c r="I704" i="12"/>
  <c r="M696" i="12"/>
  <c r="L696" i="12"/>
  <c r="K696" i="12"/>
  <c r="J696" i="12"/>
  <c r="I696" i="12"/>
  <c r="M688" i="12"/>
  <c r="L688" i="12"/>
  <c r="K688" i="12"/>
  <c r="J688" i="12"/>
  <c r="I688" i="12"/>
  <c r="M680" i="12"/>
  <c r="L680" i="12"/>
  <c r="K680" i="12"/>
  <c r="J680" i="12"/>
  <c r="I680" i="12"/>
  <c r="M672" i="12"/>
  <c r="L672" i="12"/>
  <c r="K672" i="12"/>
  <c r="J672" i="12"/>
  <c r="I672" i="12"/>
  <c r="M664" i="12"/>
  <c r="L664" i="12"/>
  <c r="K664" i="12"/>
  <c r="J664" i="12"/>
  <c r="I664" i="12"/>
  <c r="M656" i="12"/>
  <c r="L656" i="12"/>
  <c r="K656" i="12"/>
  <c r="J656" i="12"/>
  <c r="I656" i="12"/>
  <c r="M648" i="12"/>
  <c r="L648" i="12"/>
  <c r="K648" i="12"/>
  <c r="J648" i="12"/>
  <c r="I648" i="12"/>
  <c r="M640" i="12"/>
  <c r="L640" i="12"/>
  <c r="K640" i="12"/>
  <c r="J640" i="12"/>
  <c r="I640" i="12"/>
  <c r="M632" i="12"/>
  <c r="L632" i="12"/>
  <c r="K632" i="12"/>
  <c r="J632" i="12"/>
  <c r="I632" i="12"/>
  <c r="M624" i="12"/>
  <c r="L624" i="12"/>
  <c r="K624" i="12"/>
  <c r="J624" i="12"/>
  <c r="I624" i="12"/>
  <c r="M616" i="12"/>
  <c r="L616" i="12"/>
  <c r="K616" i="12"/>
  <c r="J616" i="12"/>
  <c r="I616" i="12"/>
  <c r="M608" i="12"/>
  <c r="L608" i="12"/>
  <c r="K608" i="12"/>
  <c r="J608" i="12"/>
  <c r="I608" i="12"/>
  <c r="M600" i="12"/>
  <c r="L600" i="12"/>
  <c r="K600" i="12"/>
  <c r="J600" i="12"/>
  <c r="I600" i="12"/>
  <c r="M592" i="12"/>
  <c r="L592" i="12"/>
  <c r="K592" i="12"/>
  <c r="J592" i="12"/>
  <c r="I592" i="12"/>
  <c r="M584" i="12"/>
  <c r="L584" i="12"/>
  <c r="K584" i="12"/>
  <c r="J584" i="12"/>
  <c r="I584" i="12"/>
  <c r="M576" i="12"/>
  <c r="L576" i="12"/>
  <c r="K576" i="12"/>
  <c r="J576" i="12"/>
  <c r="I576" i="12"/>
  <c r="M568" i="12"/>
  <c r="L568" i="12"/>
  <c r="K568" i="12"/>
  <c r="I568" i="12"/>
  <c r="J568" i="12"/>
  <c r="M560" i="12"/>
  <c r="L560" i="12"/>
  <c r="K560" i="12"/>
  <c r="J560" i="12"/>
  <c r="I560" i="12"/>
  <c r="M552" i="12"/>
  <c r="L552" i="12"/>
  <c r="K552" i="12"/>
  <c r="J552" i="12"/>
  <c r="I552" i="12"/>
  <c r="M544" i="12"/>
  <c r="L544" i="12"/>
  <c r="K544" i="12"/>
  <c r="J544" i="12"/>
  <c r="I544" i="12"/>
  <c r="M536" i="12"/>
  <c r="L536" i="12"/>
  <c r="K536" i="12"/>
  <c r="J536" i="12"/>
  <c r="I536" i="12"/>
  <c r="M528" i="12"/>
  <c r="L528" i="12"/>
  <c r="K528" i="12"/>
  <c r="J528" i="12"/>
  <c r="I528" i="12"/>
  <c r="M520" i="12"/>
  <c r="L520" i="12"/>
  <c r="K520" i="12"/>
  <c r="J520" i="12"/>
  <c r="I520" i="12"/>
  <c r="M512" i="12"/>
  <c r="L512" i="12"/>
  <c r="K512" i="12"/>
  <c r="J512" i="12"/>
  <c r="I512" i="12"/>
  <c r="M504" i="12"/>
  <c r="L504" i="12"/>
  <c r="K504" i="12"/>
  <c r="J504" i="12"/>
  <c r="I504" i="12"/>
  <c r="M496" i="12"/>
  <c r="L496" i="12"/>
  <c r="K496" i="12"/>
  <c r="J496" i="12"/>
  <c r="I496" i="12"/>
  <c r="M488" i="12"/>
  <c r="L488" i="12"/>
  <c r="K488" i="12"/>
  <c r="J488" i="12"/>
  <c r="I488" i="12"/>
  <c r="M480" i="12"/>
  <c r="L480" i="12"/>
  <c r="K480" i="12"/>
  <c r="J480" i="12"/>
  <c r="I480" i="12"/>
  <c r="M472" i="12"/>
  <c r="L472" i="12"/>
  <c r="K472" i="12"/>
  <c r="J472" i="12"/>
  <c r="I472" i="12"/>
  <c r="M464" i="12"/>
  <c r="L464" i="12"/>
  <c r="K464" i="12"/>
  <c r="J464" i="12"/>
  <c r="I464" i="12"/>
  <c r="M456" i="12"/>
  <c r="L456" i="12"/>
  <c r="K456" i="12"/>
  <c r="J456" i="12"/>
  <c r="I456" i="12"/>
  <c r="M448" i="12"/>
  <c r="L448" i="12"/>
  <c r="K448" i="12"/>
  <c r="J448" i="12"/>
  <c r="I448" i="12"/>
  <c r="M440" i="12"/>
  <c r="L440" i="12"/>
  <c r="K440" i="12"/>
  <c r="J440" i="12"/>
  <c r="I440" i="12"/>
  <c r="M432" i="12"/>
  <c r="L432" i="12"/>
  <c r="K432" i="12"/>
  <c r="J432" i="12"/>
  <c r="I432" i="12"/>
  <c r="M424" i="12"/>
  <c r="L424" i="12"/>
  <c r="K424" i="12"/>
  <c r="J424" i="12"/>
  <c r="I424" i="12"/>
  <c r="M416" i="12"/>
  <c r="L416" i="12"/>
  <c r="K416" i="12"/>
  <c r="J416" i="12"/>
  <c r="I416" i="12"/>
  <c r="M408" i="12"/>
  <c r="L408" i="12"/>
  <c r="K408" i="12"/>
  <c r="J408" i="12"/>
  <c r="I408" i="12"/>
  <c r="M400" i="12"/>
  <c r="L400" i="12"/>
  <c r="K400" i="12"/>
  <c r="J400" i="12"/>
  <c r="I400" i="12"/>
  <c r="M392" i="12"/>
  <c r="L392" i="12"/>
  <c r="K392" i="12"/>
  <c r="J392" i="12"/>
  <c r="I392" i="12"/>
  <c r="M384" i="12"/>
  <c r="L384" i="12"/>
  <c r="K384" i="12"/>
  <c r="J384" i="12"/>
  <c r="I384" i="12"/>
  <c r="M376" i="12"/>
  <c r="L376" i="12"/>
  <c r="K376" i="12"/>
  <c r="J376" i="12"/>
  <c r="I376" i="12"/>
  <c r="M368" i="12"/>
  <c r="L368" i="12"/>
  <c r="K368" i="12"/>
  <c r="J368" i="12"/>
  <c r="I368" i="12"/>
  <c r="M360" i="12"/>
  <c r="L360" i="12"/>
  <c r="K360" i="12"/>
  <c r="J360" i="12"/>
  <c r="I360" i="12"/>
  <c r="M352" i="12"/>
  <c r="L352" i="12"/>
  <c r="K352" i="12"/>
  <c r="J352" i="12"/>
  <c r="I352" i="12"/>
  <c r="M344" i="12"/>
  <c r="L344" i="12"/>
  <c r="K344" i="12"/>
  <c r="J344" i="12"/>
  <c r="I344" i="12"/>
  <c r="M336" i="12"/>
  <c r="L336" i="12"/>
  <c r="K336" i="12"/>
  <c r="J336" i="12"/>
  <c r="I336" i="12"/>
  <c r="M328" i="12"/>
  <c r="L328" i="12"/>
  <c r="K328" i="12"/>
  <c r="J328" i="12"/>
  <c r="I328" i="12"/>
  <c r="M320" i="12"/>
  <c r="L320" i="12"/>
  <c r="K320" i="12"/>
  <c r="J320" i="12"/>
  <c r="I320" i="12"/>
  <c r="M312" i="12"/>
  <c r="L312" i="12"/>
  <c r="K312" i="12"/>
  <c r="J312" i="12"/>
  <c r="I312" i="12"/>
  <c r="M304" i="12"/>
  <c r="L304" i="12"/>
  <c r="K304" i="12"/>
  <c r="J304" i="12"/>
  <c r="I304" i="12"/>
  <c r="M296" i="12"/>
  <c r="L296" i="12"/>
  <c r="K296" i="12"/>
  <c r="J296" i="12"/>
  <c r="I296" i="12"/>
  <c r="M288" i="12"/>
  <c r="L288" i="12"/>
  <c r="K288" i="12"/>
  <c r="J288" i="12"/>
  <c r="I288" i="12"/>
  <c r="M280" i="12"/>
  <c r="L280" i="12"/>
  <c r="K280" i="12"/>
  <c r="J280" i="12"/>
  <c r="I280" i="12"/>
  <c r="M272" i="12"/>
  <c r="L272" i="12"/>
  <c r="K272" i="12"/>
  <c r="J272" i="12"/>
  <c r="I272" i="12"/>
  <c r="M264" i="12"/>
  <c r="L264" i="12"/>
  <c r="K264" i="12"/>
  <c r="J264" i="12"/>
  <c r="I264" i="12"/>
  <c r="M256" i="12"/>
  <c r="L256" i="12"/>
  <c r="K256" i="12"/>
  <c r="J256" i="12"/>
  <c r="I256" i="12"/>
  <c r="M248" i="12"/>
  <c r="L248" i="12"/>
  <c r="K248" i="12"/>
  <c r="I248" i="12"/>
  <c r="J248" i="12"/>
  <c r="M240" i="12"/>
  <c r="L240" i="12"/>
  <c r="K240" i="12"/>
  <c r="J240" i="12"/>
  <c r="I240" i="12"/>
  <c r="M232" i="12"/>
  <c r="L232" i="12"/>
  <c r="K232" i="12"/>
  <c r="J232" i="12"/>
  <c r="I232" i="12"/>
  <c r="M224" i="12"/>
  <c r="L224" i="12"/>
  <c r="K224" i="12"/>
  <c r="J224" i="12"/>
  <c r="I224" i="12"/>
  <c r="M216" i="12"/>
  <c r="L216" i="12"/>
  <c r="K216" i="12"/>
  <c r="J216" i="12"/>
  <c r="I216" i="12"/>
  <c r="M208" i="12"/>
  <c r="L208" i="12"/>
  <c r="K208" i="12"/>
  <c r="J208" i="12"/>
  <c r="I208" i="12"/>
  <c r="M200" i="12"/>
  <c r="L200" i="12"/>
  <c r="K200" i="12"/>
  <c r="J200" i="12"/>
  <c r="I200" i="12"/>
  <c r="M192" i="12"/>
  <c r="L192" i="12"/>
  <c r="K192" i="12"/>
  <c r="J192" i="12"/>
  <c r="I192" i="12"/>
  <c r="M184" i="12"/>
  <c r="L184" i="12"/>
  <c r="K184" i="12"/>
  <c r="I184" i="12"/>
  <c r="J184" i="12"/>
  <c r="M176" i="12"/>
  <c r="L176" i="12"/>
  <c r="K176" i="12"/>
  <c r="J176" i="12"/>
  <c r="I176" i="12"/>
  <c r="M168" i="12"/>
  <c r="L168" i="12"/>
  <c r="K168" i="12"/>
  <c r="J168" i="12"/>
  <c r="I168" i="12"/>
  <c r="M160" i="12"/>
  <c r="L160" i="12"/>
  <c r="K160" i="12"/>
  <c r="J160" i="12"/>
  <c r="I160" i="12"/>
  <c r="M152" i="12"/>
  <c r="L152" i="12"/>
  <c r="K152" i="12"/>
  <c r="J152" i="12"/>
  <c r="I152" i="12"/>
  <c r="M144" i="12"/>
  <c r="L144" i="12"/>
  <c r="K144" i="12"/>
  <c r="J144" i="12"/>
  <c r="I144" i="12"/>
  <c r="M136" i="12"/>
  <c r="L136" i="12"/>
  <c r="K136" i="12"/>
  <c r="J136" i="12"/>
  <c r="I136" i="12"/>
  <c r="M128" i="12"/>
  <c r="L128" i="12"/>
  <c r="K128" i="12"/>
  <c r="J128" i="12"/>
  <c r="I128" i="12"/>
  <c r="M120" i="12"/>
  <c r="L120" i="12"/>
  <c r="K120" i="12"/>
  <c r="I120" i="12"/>
  <c r="J120" i="12"/>
  <c r="M112" i="12"/>
  <c r="L112" i="12"/>
  <c r="K112" i="12"/>
  <c r="J112" i="12"/>
  <c r="I112" i="12"/>
  <c r="M104" i="12"/>
  <c r="L104" i="12"/>
  <c r="K104" i="12"/>
  <c r="J104" i="12"/>
  <c r="I104" i="12"/>
  <c r="M96" i="12"/>
  <c r="L96" i="12"/>
  <c r="K96" i="12"/>
  <c r="J96" i="12"/>
  <c r="I96" i="12"/>
  <c r="M88" i="12"/>
  <c r="L88" i="12"/>
  <c r="K88" i="12"/>
  <c r="J88" i="12"/>
  <c r="I88" i="12"/>
  <c r="M80" i="12"/>
  <c r="L80" i="12"/>
  <c r="K80" i="12"/>
  <c r="J80" i="12"/>
  <c r="I80" i="12"/>
  <c r="M72" i="12"/>
  <c r="L72" i="12"/>
  <c r="K72" i="12"/>
  <c r="J72" i="12"/>
  <c r="I72" i="12"/>
  <c r="M64" i="12"/>
  <c r="L64" i="12"/>
  <c r="K64" i="12"/>
  <c r="J64" i="12"/>
  <c r="I64" i="12"/>
  <c r="M56" i="12"/>
  <c r="L56" i="12"/>
  <c r="K56" i="12"/>
  <c r="J56" i="12"/>
  <c r="I56" i="12"/>
  <c r="M48" i="12"/>
  <c r="L48" i="12"/>
  <c r="K48" i="12"/>
  <c r="J48" i="12"/>
  <c r="I48" i="12"/>
  <c r="M40" i="12"/>
  <c r="L40" i="12"/>
  <c r="K40" i="12"/>
  <c r="J40" i="12"/>
  <c r="I40" i="12"/>
  <c r="I657" i="12"/>
  <c r="E2666" i="12"/>
  <c r="E2602" i="12"/>
  <c r="E2538" i="12"/>
  <c r="E2474" i="12"/>
  <c r="E2410" i="12"/>
  <c r="E2346" i="12"/>
  <c r="E2282" i="12"/>
  <c r="E2218" i="12"/>
  <c r="E2154" i="12"/>
  <c r="E2090" i="12"/>
  <c r="E2026" i="12"/>
  <c r="E1962" i="12"/>
  <c r="E1898" i="12"/>
  <c r="E1834" i="12"/>
  <c r="E1770" i="12"/>
  <c r="E1706" i="12"/>
  <c r="E1642" i="12"/>
  <c r="E1578" i="12"/>
  <c r="E1514" i="12"/>
  <c r="E1450" i="12"/>
  <c r="E1386" i="12"/>
  <c r="E1322" i="12"/>
  <c r="E1258" i="12"/>
  <c r="E1194" i="12"/>
  <c r="E1130" i="12"/>
  <c r="E1066" i="12"/>
  <c r="E1002" i="12"/>
  <c r="E938" i="12"/>
  <c r="E874" i="12"/>
  <c r="E810" i="12"/>
  <c r="E746" i="12"/>
  <c r="E682" i="12"/>
  <c r="E618" i="12"/>
  <c r="E554" i="12"/>
  <c r="E490" i="12"/>
  <c r="E426" i="12"/>
  <c r="E362" i="12"/>
  <c r="E298" i="12"/>
  <c r="E234" i="12"/>
  <c r="E170" i="12"/>
  <c r="E106" i="12"/>
  <c r="E42" i="12"/>
  <c r="M2999" i="12"/>
  <c r="L2999" i="12"/>
  <c r="K2999" i="12"/>
  <c r="J2999" i="12"/>
  <c r="M2991" i="12"/>
  <c r="L2991" i="12"/>
  <c r="K2991" i="12"/>
  <c r="J2991" i="12"/>
  <c r="M2983" i="12"/>
  <c r="L2983" i="12"/>
  <c r="K2983" i="12"/>
  <c r="J2983" i="12"/>
  <c r="M2975" i="12"/>
  <c r="L2975" i="12"/>
  <c r="K2975" i="12"/>
  <c r="J2975" i="12"/>
  <c r="M2967" i="12"/>
  <c r="L2967" i="12"/>
  <c r="J2967" i="12"/>
  <c r="K2967" i="12"/>
  <c r="M2959" i="12"/>
  <c r="L2959" i="12"/>
  <c r="K2959" i="12"/>
  <c r="J2959" i="12"/>
  <c r="M2951" i="12"/>
  <c r="L2951" i="12"/>
  <c r="K2951" i="12"/>
  <c r="J2951" i="12"/>
  <c r="M2943" i="12"/>
  <c r="L2943" i="12"/>
  <c r="K2943" i="12"/>
  <c r="J2943" i="12"/>
  <c r="M2935" i="12"/>
  <c r="L2935" i="12"/>
  <c r="K2935" i="12"/>
  <c r="J2935" i="12"/>
  <c r="M2927" i="12"/>
  <c r="L2927" i="12"/>
  <c r="K2927" i="12"/>
  <c r="J2927" i="12"/>
  <c r="M2919" i="12"/>
  <c r="L2919" i="12"/>
  <c r="K2919" i="12"/>
  <c r="J2919" i="12"/>
  <c r="M2911" i="12"/>
  <c r="L2911" i="12"/>
  <c r="K2911" i="12"/>
  <c r="J2911" i="12"/>
  <c r="M2903" i="12"/>
  <c r="L2903" i="12"/>
  <c r="J2903" i="12"/>
  <c r="K2903" i="12"/>
  <c r="M2895" i="12"/>
  <c r="L2895" i="12"/>
  <c r="K2895" i="12"/>
  <c r="J2895" i="12"/>
  <c r="M2887" i="12"/>
  <c r="L2887" i="12"/>
  <c r="K2887" i="12"/>
  <c r="J2887" i="12"/>
  <c r="M2879" i="12"/>
  <c r="L2879" i="12"/>
  <c r="K2879" i="12"/>
  <c r="J2879" i="12"/>
  <c r="M2871" i="12"/>
  <c r="L2871" i="12"/>
  <c r="K2871" i="12"/>
  <c r="J2871" i="12"/>
  <c r="M2863" i="12"/>
  <c r="L2863" i="12"/>
  <c r="K2863" i="12"/>
  <c r="J2863" i="12"/>
  <c r="M2855" i="12"/>
  <c r="L2855" i="12"/>
  <c r="K2855" i="12"/>
  <c r="J2855" i="12"/>
  <c r="M2847" i="12"/>
  <c r="L2847" i="12"/>
  <c r="K2847" i="12"/>
  <c r="J2847" i="12"/>
  <c r="M2839" i="12"/>
  <c r="L2839" i="12"/>
  <c r="J2839" i="12"/>
  <c r="K2839" i="12"/>
  <c r="M2831" i="12"/>
  <c r="L2831" i="12"/>
  <c r="K2831" i="12"/>
  <c r="J2831" i="12"/>
  <c r="M2823" i="12"/>
  <c r="L2823" i="12"/>
  <c r="K2823" i="12"/>
  <c r="J2823" i="12"/>
  <c r="M2815" i="12"/>
  <c r="L2815" i="12"/>
  <c r="K2815" i="12"/>
  <c r="J2815" i="12"/>
  <c r="M2807" i="12"/>
  <c r="L2807" i="12"/>
  <c r="K2807" i="12"/>
  <c r="J2807" i="12"/>
  <c r="M2799" i="12"/>
  <c r="L2799" i="12"/>
  <c r="K2799" i="12"/>
  <c r="J2799" i="12"/>
  <c r="M2791" i="12"/>
  <c r="L2791" i="12"/>
  <c r="K2791" i="12"/>
  <c r="J2791" i="12"/>
  <c r="M2783" i="12"/>
  <c r="L2783" i="12"/>
  <c r="K2783" i="12"/>
  <c r="J2783" i="12"/>
  <c r="M2775" i="12"/>
  <c r="L2775" i="12"/>
  <c r="K2775" i="12"/>
  <c r="J2775" i="12"/>
  <c r="M2767" i="12"/>
  <c r="L2767" i="12"/>
  <c r="J2767" i="12"/>
  <c r="K2767" i="12"/>
  <c r="M2759" i="12"/>
  <c r="L2759" i="12"/>
  <c r="K2759" i="12"/>
  <c r="J2759" i="12"/>
  <c r="M2751" i="12"/>
  <c r="L2751" i="12"/>
  <c r="K2751" i="12"/>
  <c r="J2751" i="12"/>
  <c r="M2743" i="12"/>
  <c r="L2743" i="12"/>
  <c r="K2743" i="12"/>
  <c r="J2743" i="12"/>
  <c r="M2735" i="12"/>
  <c r="L2735" i="12"/>
  <c r="K2735" i="12"/>
  <c r="J2735" i="12"/>
  <c r="M2727" i="12"/>
  <c r="L2727" i="12"/>
  <c r="K2727" i="12"/>
  <c r="J2727" i="12"/>
  <c r="M2719" i="12"/>
  <c r="L2719" i="12"/>
  <c r="K2719" i="12"/>
  <c r="J2719" i="12"/>
  <c r="M2711" i="12"/>
  <c r="L2711" i="12"/>
  <c r="K2711" i="12"/>
  <c r="J2711" i="12"/>
  <c r="M2703" i="12"/>
  <c r="L2703" i="12"/>
  <c r="K2703" i="12"/>
  <c r="J2703" i="12"/>
  <c r="M2695" i="12"/>
  <c r="L2695" i="12"/>
  <c r="K2695" i="12"/>
  <c r="J2695" i="12"/>
  <c r="M2687" i="12"/>
  <c r="L2687" i="12"/>
  <c r="K2687" i="12"/>
  <c r="J2687" i="12"/>
  <c r="M2679" i="12"/>
  <c r="L2679" i="12"/>
  <c r="K2679" i="12"/>
  <c r="J2679" i="12"/>
  <c r="M2671" i="12"/>
  <c r="L2671" i="12"/>
  <c r="K2671" i="12"/>
  <c r="J2671" i="12"/>
  <c r="M2663" i="12"/>
  <c r="L2663" i="12"/>
  <c r="K2663" i="12"/>
  <c r="J2663" i="12"/>
  <c r="M2655" i="12"/>
  <c r="L2655" i="12"/>
  <c r="K2655" i="12"/>
  <c r="J2655" i="12"/>
  <c r="M2647" i="12"/>
  <c r="L2647" i="12"/>
  <c r="K2647" i="12"/>
  <c r="J2647" i="12"/>
  <c r="M2639" i="12"/>
  <c r="L2639" i="12"/>
  <c r="K2639" i="12"/>
  <c r="J2639" i="12"/>
  <c r="M2631" i="12"/>
  <c r="L2631" i="12"/>
  <c r="K2631" i="12"/>
  <c r="J2631" i="12"/>
  <c r="M2623" i="12"/>
  <c r="L2623" i="12"/>
  <c r="K2623" i="12"/>
  <c r="J2623" i="12"/>
  <c r="M2615" i="12"/>
  <c r="L2615" i="12"/>
  <c r="K2615" i="12"/>
  <c r="J2615" i="12"/>
  <c r="M2607" i="12"/>
  <c r="L2607" i="12"/>
  <c r="K2607" i="12"/>
  <c r="J2607" i="12"/>
  <c r="M2599" i="12"/>
  <c r="L2599" i="12"/>
  <c r="K2599" i="12"/>
  <c r="J2599" i="12"/>
  <c r="M2591" i="12"/>
  <c r="L2591" i="12"/>
  <c r="K2591" i="12"/>
  <c r="J2591" i="12"/>
  <c r="M2583" i="12"/>
  <c r="L2583" i="12"/>
  <c r="K2583" i="12"/>
  <c r="J2583" i="12"/>
  <c r="M2575" i="12"/>
  <c r="L2575" i="12"/>
  <c r="K2575" i="12"/>
  <c r="J2575" i="12"/>
  <c r="M2567" i="12"/>
  <c r="L2567" i="12"/>
  <c r="K2567" i="12"/>
  <c r="J2567" i="12"/>
  <c r="M2559" i="12"/>
  <c r="L2559" i="12"/>
  <c r="K2559" i="12"/>
  <c r="J2559" i="12"/>
  <c r="M2551" i="12"/>
  <c r="L2551" i="12"/>
  <c r="K2551" i="12"/>
  <c r="J2551" i="12"/>
  <c r="M2543" i="12"/>
  <c r="L2543" i="12"/>
  <c r="K2543" i="12"/>
  <c r="J2543" i="12"/>
  <c r="M2535" i="12"/>
  <c r="L2535" i="12"/>
  <c r="K2535" i="12"/>
  <c r="J2535" i="12"/>
  <c r="M2527" i="12"/>
  <c r="L2527" i="12"/>
  <c r="K2527" i="12"/>
  <c r="J2527" i="12"/>
  <c r="M2519" i="12"/>
  <c r="L2519" i="12"/>
  <c r="K2519" i="12"/>
  <c r="J2519" i="12"/>
  <c r="M2511" i="12"/>
  <c r="L2511" i="12"/>
  <c r="K2511" i="12"/>
  <c r="J2511" i="12"/>
  <c r="M2503" i="12"/>
  <c r="L2503" i="12"/>
  <c r="K2503" i="12"/>
  <c r="J2503" i="12"/>
  <c r="M2495" i="12"/>
  <c r="L2495" i="12"/>
  <c r="K2495" i="12"/>
  <c r="J2495" i="12"/>
  <c r="M2487" i="12"/>
  <c r="L2487" i="12"/>
  <c r="K2487" i="12"/>
  <c r="J2487" i="12"/>
  <c r="M2479" i="12"/>
  <c r="L2479" i="12"/>
  <c r="K2479" i="12"/>
  <c r="J2479" i="12"/>
  <c r="M2471" i="12"/>
  <c r="L2471" i="12"/>
  <c r="K2471" i="12"/>
  <c r="J2471" i="12"/>
  <c r="M2463" i="12"/>
  <c r="L2463" i="12"/>
  <c r="K2463" i="12"/>
  <c r="J2463" i="12"/>
  <c r="M2455" i="12"/>
  <c r="L2455" i="12"/>
  <c r="K2455" i="12"/>
  <c r="J2455" i="12"/>
  <c r="M2447" i="12"/>
  <c r="L2447" i="12"/>
  <c r="K2447" i="12"/>
  <c r="J2447" i="12"/>
  <c r="M2439" i="12"/>
  <c r="L2439" i="12"/>
  <c r="K2439" i="12"/>
  <c r="J2439" i="12"/>
  <c r="M2431" i="12"/>
  <c r="L2431" i="12"/>
  <c r="K2431" i="12"/>
  <c r="J2431" i="12"/>
  <c r="M2423" i="12"/>
  <c r="L2423" i="12"/>
  <c r="K2423" i="12"/>
  <c r="J2423" i="12"/>
  <c r="M2415" i="12"/>
  <c r="L2415" i="12"/>
  <c r="K2415" i="12"/>
  <c r="J2415" i="12"/>
  <c r="M2407" i="12"/>
  <c r="L2407" i="12"/>
  <c r="K2407" i="12"/>
  <c r="J2407" i="12"/>
  <c r="M2399" i="12"/>
  <c r="L2399" i="12"/>
  <c r="K2399" i="12"/>
  <c r="J2399" i="12"/>
  <c r="M2391" i="12"/>
  <c r="L2391" i="12"/>
  <c r="K2391" i="12"/>
  <c r="J2391" i="12"/>
  <c r="M2383" i="12"/>
  <c r="L2383" i="12"/>
  <c r="K2383" i="12"/>
  <c r="J2383" i="12"/>
  <c r="M2375" i="12"/>
  <c r="L2375" i="12"/>
  <c r="K2375" i="12"/>
  <c r="J2375" i="12"/>
  <c r="M2367" i="12"/>
  <c r="L2367" i="12"/>
  <c r="K2367" i="12"/>
  <c r="J2367" i="12"/>
  <c r="M2359" i="12"/>
  <c r="L2359" i="12"/>
  <c r="K2359" i="12"/>
  <c r="J2359" i="12"/>
  <c r="M2351" i="12"/>
  <c r="L2351" i="12"/>
  <c r="K2351" i="12"/>
  <c r="J2351" i="12"/>
  <c r="M2343" i="12"/>
  <c r="L2343" i="12"/>
  <c r="K2343" i="12"/>
  <c r="J2343" i="12"/>
  <c r="M2335" i="12"/>
  <c r="L2335" i="12"/>
  <c r="K2335" i="12"/>
  <c r="J2335" i="12"/>
  <c r="M2327" i="12"/>
  <c r="L2327" i="12"/>
  <c r="K2327" i="12"/>
  <c r="J2327" i="12"/>
  <c r="M2319" i="12"/>
  <c r="L2319" i="12"/>
  <c r="K2319" i="12"/>
  <c r="J2319" i="12"/>
  <c r="M2311" i="12"/>
  <c r="L2311" i="12"/>
  <c r="K2311" i="12"/>
  <c r="J2311" i="12"/>
  <c r="M2303" i="12"/>
  <c r="L2303" i="12"/>
  <c r="K2303" i="12"/>
  <c r="J2303" i="12"/>
  <c r="M2295" i="12"/>
  <c r="L2295" i="12"/>
  <c r="K2295" i="12"/>
  <c r="J2295" i="12"/>
  <c r="M2287" i="12"/>
  <c r="L2287" i="12"/>
  <c r="K2287" i="12"/>
  <c r="J2287" i="12"/>
  <c r="M2279" i="12"/>
  <c r="L2279" i="12"/>
  <c r="K2279" i="12"/>
  <c r="J2279" i="12"/>
  <c r="M2271" i="12"/>
  <c r="L2271" i="12"/>
  <c r="K2271" i="12"/>
  <c r="J2271" i="12"/>
  <c r="M2263" i="12"/>
  <c r="L2263" i="12"/>
  <c r="K2263" i="12"/>
  <c r="J2263" i="12"/>
  <c r="M2255" i="12"/>
  <c r="L2255" i="12"/>
  <c r="J2255" i="12"/>
  <c r="K2255" i="12"/>
  <c r="M2247" i="12"/>
  <c r="L2247" i="12"/>
  <c r="K2247" i="12"/>
  <c r="J2247" i="12"/>
  <c r="M2239" i="12"/>
  <c r="L2239" i="12"/>
  <c r="K2239" i="12"/>
  <c r="J2239" i="12"/>
  <c r="M2231" i="12"/>
  <c r="L2231" i="12"/>
  <c r="K2231" i="12"/>
  <c r="J2231" i="12"/>
  <c r="M2223" i="12"/>
  <c r="L2223" i="12"/>
  <c r="K2223" i="12"/>
  <c r="J2223" i="12"/>
  <c r="M2215" i="12"/>
  <c r="L2215" i="12"/>
  <c r="K2215" i="12"/>
  <c r="J2215" i="12"/>
  <c r="M2207" i="12"/>
  <c r="L2207" i="12"/>
  <c r="K2207" i="12"/>
  <c r="J2207" i="12"/>
  <c r="M2199" i="12"/>
  <c r="L2199" i="12"/>
  <c r="K2199" i="12"/>
  <c r="J2199" i="12"/>
  <c r="M2191" i="12"/>
  <c r="L2191" i="12"/>
  <c r="K2191" i="12"/>
  <c r="J2191" i="12"/>
  <c r="M2183" i="12"/>
  <c r="L2183" i="12"/>
  <c r="K2183" i="12"/>
  <c r="J2183" i="12"/>
  <c r="M2175" i="12"/>
  <c r="L2175" i="12"/>
  <c r="K2175" i="12"/>
  <c r="J2175" i="12"/>
  <c r="M2167" i="12"/>
  <c r="L2167" i="12"/>
  <c r="K2167" i="12"/>
  <c r="J2167" i="12"/>
  <c r="M2159" i="12"/>
  <c r="L2159" i="12"/>
  <c r="K2159" i="12"/>
  <c r="J2159" i="12"/>
  <c r="M2151" i="12"/>
  <c r="L2151" i="12"/>
  <c r="K2151" i="12"/>
  <c r="J2151" i="12"/>
  <c r="M2143" i="12"/>
  <c r="L2143" i="12"/>
  <c r="K2143" i="12"/>
  <c r="J2143" i="12"/>
  <c r="M2135" i="12"/>
  <c r="L2135" i="12"/>
  <c r="K2135" i="12"/>
  <c r="J2135" i="12"/>
  <c r="M2127" i="12"/>
  <c r="L2127" i="12"/>
  <c r="K2127" i="12"/>
  <c r="J2127" i="12"/>
  <c r="M2119" i="12"/>
  <c r="L2119" i="12"/>
  <c r="K2119" i="12"/>
  <c r="J2119" i="12"/>
  <c r="M2111" i="12"/>
  <c r="L2111" i="12"/>
  <c r="K2111" i="12"/>
  <c r="J2111" i="12"/>
  <c r="M2103" i="12"/>
  <c r="L2103" i="12"/>
  <c r="K2103" i="12"/>
  <c r="J2103" i="12"/>
  <c r="M2095" i="12"/>
  <c r="L2095" i="12"/>
  <c r="K2095" i="12"/>
  <c r="J2095" i="12"/>
  <c r="M2087" i="12"/>
  <c r="L2087" i="12"/>
  <c r="K2087" i="12"/>
  <c r="J2087" i="12"/>
  <c r="M2079" i="12"/>
  <c r="L2079" i="12"/>
  <c r="K2079" i="12"/>
  <c r="J2079" i="12"/>
  <c r="M2071" i="12"/>
  <c r="L2071" i="12"/>
  <c r="K2071" i="12"/>
  <c r="J2071" i="12"/>
  <c r="M2063" i="12"/>
  <c r="L2063" i="12"/>
  <c r="K2063" i="12"/>
  <c r="J2063" i="12"/>
  <c r="M2055" i="12"/>
  <c r="L2055" i="12"/>
  <c r="K2055" i="12"/>
  <c r="J2055" i="12"/>
  <c r="M2047" i="12"/>
  <c r="L2047" i="12"/>
  <c r="K2047" i="12"/>
  <c r="J2047" i="12"/>
  <c r="M2039" i="12"/>
  <c r="L2039" i="12"/>
  <c r="K2039" i="12"/>
  <c r="J2039" i="12"/>
  <c r="M2031" i="12"/>
  <c r="L2031" i="12"/>
  <c r="K2031" i="12"/>
  <c r="J2031" i="12"/>
  <c r="M2023" i="12"/>
  <c r="L2023" i="12"/>
  <c r="K2023" i="12"/>
  <c r="J2023" i="12"/>
  <c r="M2015" i="12"/>
  <c r="L2015" i="12"/>
  <c r="K2015" i="12"/>
  <c r="J2015" i="12"/>
  <c r="M2007" i="12"/>
  <c r="L2007" i="12"/>
  <c r="K2007" i="12"/>
  <c r="J2007" i="12"/>
  <c r="M1999" i="12"/>
  <c r="L1999" i="12"/>
  <c r="K1999" i="12"/>
  <c r="J1999" i="12"/>
  <c r="M1991" i="12"/>
  <c r="L1991" i="12"/>
  <c r="K1991" i="12"/>
  <c r="J1991" i="12"/>
  <c r="M1983" i="12"/>
  <c r="L1983" i="12"/>
  <c r="K1983" i="12"/>
  <c r="J1983" i="12"/>
  <c r="M1975" i="12"/>
  <c r="L1975" i="12"/>
  <c r="K1975" i="12"/>
  <c r="J1975" i="12"/>
  <c r="M1967" i="12"/>
  <c r="L1967" i="12"/>
  <c r="K1967" i="12"/>
  <c r="J1967" i="12"/>
  <c r="M1959" i="12"/>
  <c r="L1959" i="12"/>
  <c r="K1959" i="12"/>
  <c r="J1959" i="12"/>
  <c r="M1951" i="12"/>
  <c r="L1951" i="12"/>
  <c r="K1951" i="12"/>
  <c r="J1951" i="12"/>
  <c r="M1943" i="12"/>
  <c r="L1943" i="12"/>
  <c r="K1943" i="12"/>
  <c r="J1943" i="12"/>
  <c r="M1935" i="12"/>
  <c r="L1935" i="12"/>
  <c r="K1935" i="12"/>
  <c r="J1935" i="12"/>
  <c r="M1927" i="12"/>
  <c r="L1927" i="12"/>
  <c r="K1927" i="12"/>
  <c r="J1927" i="12"/>
  <c r="M1919" i="12"/>
  <c r="L1919" i="12"/>
  <c r="K1919" i="12"/>
  <c r="J1919" i="12"/>
  <c r="M1911" i="12"/>
  <c r="L1911" i="12"/>
  <c r="K1911" i="12"/>
  <c r="J1911" i="12"/>
  <c r="M1903" i="12"/>
  <c r="L1903" i="12"/>
  <c r="K1903" i="12"/>
  <c r="J1903" i="12"/>
  <c r="M1895" i="12"/>
  <c r="L1895" i="12"/>
  <c r="K1895" i="12"/>
  <c r="J1895" i="12"/>
  <c r="M1887" i="12"/>
  <c r="L1887" i="12"/>
  <c r="K1887" i="12"/>
  <c r="J1887" i="12"/>
  <c r="M1879" i="12"/>
  <c r="L1879" i="12"/>
  <c r="K1879" i="12"/>
  <c r="J1879" i="12"/>
  <c r="M1871" i="12"/>
  <c r="L1871" i="12"/>
  <c r="K1871" i="12"/>
  <c r="J1871" i="12"/>
  <c r="M1863" i="12"/>
  <c r="L1863" i="12"/>
  <c r="K1863" i="12"/>
  <c r="J1863" i="12"/>
  <c r="M1855" i="12"/>
  <c r="L1855" i="12"/>
  <c r="K1855" i="12"/>
  <c r="J1855" i="12"/>
  <c r="M1847" i="12"/>
  <c r="L1847" i="12"/>
  <c r="K1847" i="12"/>
  <c r="J1847" i="12"/>
  <c r="M1839" i="12"/>
  <c r="L1839" i="12"/>
  <c r="K1839" i="12"/>
  <c r="J1839" i="12"/>
  <c r="M1831" i="12"/>
  <c r="L1831" i="12"/>
  <c r="K1831" i="12"/>
  <c r="J1831" i="12"/>
  <c r="M1823" i="12"/>
  <c r="L1823" i="12"/>
  <c r="K1823" i="12"/>
  <c r="J1823" i="12"/>
  <c r="M1815" i="12"/>
  <c r="L1815" i="12"/>
  <c r="K1815" i="12"/>
  <c r="J1815" i="12"/>
  <c r="M1807" i="12"/>
  <c r="L1807" i="12"/>
  <c r="K1807" i="12"/>
  <c r="J1807" i="12"/>
  <c r="M1799" i="12"/>
  <c r="L1799" i="12"/>
  <c r="K1799" i="12"/>
  <c r="J1799" i="12"/>
  <c r="M1791" i="12"/>
  <c r="L1791" i="12"/>
  <c r="K1791" i="12"/>
  <c r="J1791" i="12"/>
  <c r="M1783" i="12"/>
  <c r="L1783" i="12"/>
  <c r="K1783" i="12"/>
  <c r="J1783" i="12"/>
  <c r="M1775" i="12"/>
  <c r="L1775" i="12"/>
  <c r="K1775" i="12"/>
  <c r="J1775" i="12"/>
  <c r="M1767" i="12"/>
  <c r="L1767" i="12"/>
  <c r="K1767" i="12"/>
  <c r="J1767" i="12"/>
  <c r="M1759" i="12"/>
  <c r="L1759" i="12"/>
  <c r="K1759" i="12"/>
  <c r="J1759" i="12"/>
  <c r="M1751" i="12"/>
  <c r="L1751" i="12"/>
  <c r="K1751" i="12"/>
  <c r="J1751" i="12"/>
  <c r="M1743" i="12"/>
  <c r="L1743" i="12"/>
  <c r="K1743" i="12"/>
  <c r="J1743" i="12"/>
  <c r="M1735" i="12"/>
  <c r="L1735" i="12"/>
  <c r="K1735" i="12"/>
  <c r="J1735" i="12"/>
  <c r="M1727" i="12"/>
  <c r="L1727" i="12"/>
  <c r="K1727" i="12"/>
  <c r="J1727" i="12"/>
  <c r="M1719" i="12"/>
  <c r="L1719" i="12"/>
  <c r="K1719" i="12"/>
  <c r="J1719" i="12"/>
  <c r="M1711" i="12"/>
  <c r="L1711" i="12"/>
  <c r="K1711" i="12"/>
  <c r="J1711" i="12"/>
  <c r="M1703" i="12"/>
  <c r="L1703" i="12"/>
  <c r="K1703" i="12"/>
  <c r="J1703" i="12"/>
  <c r="M1695" i="12"/>
  <c r="L1695" i="12"/>
  <c r="K1695" i="12"/>
  <c r="J1695" i="12"/>
  <c r="M1687" i="12"/>
  <c r="L1687" i="12"/>
  <c r="K1687" i="12"/>
  <c r="J1687" i="12"/>
  <c r="M1679" i="12"/>
  <c r="L1679" i="12"/>
  <c r="K1679" i="12"/>
  <c r="J1679" i="12"/>
  <c r="M1671" i="12"/>
  <c r="L1671" i="12"/>
  <c r="K1671" i="12"/>
  <c r="J1671" i="12"/>
  <c r="M1663" i="12"/>
  <c r="L1663" i="12"/>
  <c r="K1663" i="12"/>
  <c r="J1663" i="12"/>
  <c r="M1655" i="12"/>
  <c r="L1655" i="12"/>
  <c r="K1655" i="12"/>
  <c r="J1655" i="12"/>
  <c r="M1647" i="12"/>
  <c r="L1647" i="12"/>
  <c r="K1647" i="12"/>
  <c r="J1647" i="12"/>
  <c r="M1639" i="12"/>
  <c r="L1639" i="12"/>
  <c r="K1639" i="12"/>
  <c r="J1639" i="12"/>
  <c r="M1631" i="12"/>
  <c r="L1631" i="12"/>
  <c r="K1631" i="12"/>
  <c r="J1631" i="12"/>
  <c r="M1623" i="12"/>
  <c r="L1623" i="12"/>
  <c r="K1623" i="12"/>
  <c r="J1623" i="12"/>
  <c r="M1615" i="12"/>
  <c r="L1615" i="12"/>
  <c r="K1615" i="12"/>
  <c r="J1615" i="12"/>
  <c r="M1607" i="12"/>
  <c r="L1607" i="12"/>
  <c r="K1607" i="12"/>
  <c r="J1607" i="12"/>
  <c r="M1599" i="12"/>
  <c r="L1599" i="12"/>
  <c r="K1599" i="12"/>
  <c r="J1599" i="12"/>
  <c r="M1591" i="12"/>
  <c r="L1591" i="12"/>
  <c r="K1591" i="12"/>
  <c r="J1591" i="12"/>
  <c r="M1583" i="12"/>
  <c r="L1583" i="12"/>
  <c r="K1583" i="12"/>
  <c r="J1583" i="12"/>
  <c r="M1575" i="12"/>
  <c r="L1575" i="12"/>
  <c r="K1575" i="12"/>
  <c r="J1575" i="12"/>
  <c r="M1567" i="12"/>
  <c r="L1567" i="12"/>
  <c r="K1567" i="12"/>
  <c r="J1567" i="12"/>
  <c r="M1559" i="12"/>
  <c r="L1559" i="12"/>
  <c r="K1559" i="12"/>
  <c r="J1559" i="12"/>
  <c r="M1551" i="12"/>
  <c r="L1551" i="12"/>
  <c r="K1551" i="12"/>
  <c r="J1551" i="12"/>
  <c r="M1543" i="12"/>
  <c r="L1543" i="12"/>
  <c r="K1543" i="12"/>
  <c r="J1543" i="12"/>
  <c r="M1535" i="12"/>
  <c r="L1535" i="12"/>
  <c r="K1535" i="12"/>
  <c r="J1535" i="12"/>
  <c r="M1527" i="12"/>
  <c r="L1527" i="12"/>
  <c r="K1527" i="12"/>
  <c r="J1527" i="12"/>
  <c r="M1519" i="12"/>
  <c r="L1519" i="12"/>
  <c r="K1519" i="12"/>
  <c r="J1519" i="12"/>
  <c r="M1511" i="12"/>
  <c r="L1511" i="12"/>
  <c r="K1511" i="12"/>
  <c r="J1511" i="12"/>
  <c r="M1503" i="12"/>
  <c r="L1503" i="12"/>
  <c r="K1503" i="12"/>
  <c r="J1503" i="12"/>
  <c r="M1495" i="12"/>
  <c r="L1495" i="12"/>
  <c r="K1495" i="12"/>
  <c r="J1495" i="12"/>
  <c r="M1487" i="12"/>
  <c r="L1487" i="12"/>
  <c r="K1487" i="12"/>
  <c r="J1487" i="12"/>
  <c r="M1479" i="12"/>
  <c r="L1479" i="12"/>
  <c r="K1479" i="12"/>
  <c r="J1479" i="12"/>
  <c r="M1471" i="12"/>
  <c r="L1471" i="12"/>
  <c r="K1471" i="12"/>
  <c r="J1471" i="12"/>
  <c r="M1463" i="12"/>
  <c r="L1463" i="12"/>
  <c r="K1463" i="12"/>
  <c r="J1463" i="12"/>
  <c r="M1455" i="12"/>
  <c r="L1455" i="12"/>
  <c r="K1455" i="12"/>
  <c r="J1455" i="12"/>
  <c r="M1447" i="12"/>
  <c r="L1447" i="12"/>
  <c r="K1447" i="12"/>
  <c r="J1447" i="12"/>
  <c r="M1439" i="12"/>
  <c r="L1439" i="12"/>
  <c r="K1439" i="12"/>
  <c r="J1439" i="12"/>
  <c r="M1431" i="12"/>
  <c r="L1431" i="12"/>
  <c r="K1431" i="12"/>
  <c r="J1431" i="12"/>
  <c r="M1423" i="12"/>
  <c r="L1423" i="12"/>
  <c r="K1423" i="12"/>
  <c r="J1423" i="12"/>
  <c r="M1415" i="12"/>
  <c r="L1415" i="12"/>
  <c r="K1415" i="12"/>
  <c r="J1415" i="12"/>
  <c r="M1407" i="12"/>
  <c r="L1407" i="12"/>
  <c r="K1407" i="12"/>
  <c r="J1407" i="12"/>
  <c r="M1399" i="12"/>
  <c r="L1399" i="12"/>
  <c r="K1399" i="12"/>
  <c r="J1399" i="12"/>
  <c r="M1391" i="12"/>
  <c r="L1391" i="12"/>
  <c r="K1391" i="12"/>
  <c r="J1391" i="12"/>
  <c r="M1383" i="12"/>
  <c r="L1383" i="12"/>
  <c r="K1383" i="12"/>
  <c r="J1383" i="12"/>
  <c r="M1375" i="12"/>
  <c r="L1375" i="12"/>
  <c r="K1375" i="12"/>
  <c r="J1375" i="12"/>
  <c r="M1367" i="12"/>
  <c r="L1367" i="12"/>
  <c r="K1367" i="12"/>
  <c r="J1367" i="12"/>
  <c r="M1359" i="12"/>
  <c r="L1359" i="12"/>
  <c r="K1359" i="12"/>
  <c r="J1359" i="12"/>
  <c r="M1351" i="12"/>
  <c r="L1351" i="12"/>
  <c r="K1351" i="12"/>
  <c r="J1351" i="12"/>
  <c r="M1343" i="12"/>
  <c r="L1343" i="12"/>
  <c r="K1343" i="12"/>
  <c r="J1343" i="12"/>
  <c r="M1335" i="12"/>
  <c r="L1335" i="12"/>
  <c r="K1335" i="12"/>
  <c r="J1335" i="12"/>
  <c r="M1327" i="12"/>
  <c r="L1327" i="12"/>
  <c r="K1327" i="12"/>
  <c r="J1327" i="12"/>
  <c r="M1319" i="12"/>
  <c r="L1319" i="12"/>
  <c r="K1319" i="12"/>
  <c r="J1319" i="12"/>
  <c r="M1311" i="12"/>
  <c r="L1311" i="12"/>
  <c r="K1311" i="12"/>
  <c r="J1311" i="12"/>
  <c r="M1303" i="12"/>
  <c r="L1303" i="12"/>
  <c r="K1303" i="12"/>
  <c r="J1303" i="12"/>
  <c r="M1295" i="12"/>
  <c r="L1295" i="12"/>
  <c r="K1295" i="12"/>
  <c r="J1295" i="12"/>
  <c r="M1287" i="12"/>
  <c r="L1287" i="12"/>
  <c r="K1287" i="12"/>
  <c r="J1287" i="12"/>
  <c r="M1279" i="12"/>
  <c r="L1279" i="12"/>
  <c r="K1279" i="12"/>
  <c r="J1279" i="12"/>
  <c r="M1271" i="12"/>
  <c r="L1271" i="12"/>
  <c r="K1271" i="12"/>
  <c r="J1271" i="12"/>
  <c r="M1263" i="12"/>
  <c r="L1263" i="12"/>
  <c r="K1263" i="12"/>
  <c r="J1263" i="12"/>
  <c r="M1255" i="12"/>
  <c r="L1255" i="12"/>
  <c r="K1255" i="12"/>
  <c r="J1255" i="12"/>
  <c r="M1247" i="12"/>
  <c r="L1247" i="12"/>
  <c r="K1247" i="12"/>
  <c r="J1247" i="12"/>
  <c r="M1239" i="12"/>
  <c r="L1239" i="12"/>
  <c r="K1239" i="12"/>
  <c r="J1239" i="12"/>
  <c r="M1231" i="12"/>
  <c r="L1231" i="12"/>
  <c r="K1231" i="12"/>
  <c r="J1231" i="12"/>
  <c r="M1223" i="12"/>
  <c r="L1223" i="12"/>
  <c r="K1223" i="12"/>
  <c r="J1223" i="12"/>
  <c r="M1215" i="12"/>
  <c r="L1215" i="12"/>
  <c r="K1215" i="12"/>
  <c r="J1215" i="12"/>
  <c r="M1207" i="12"/>
  <c r="L1207" i="12"/>
  <c r="K1207" i="12"/>
  <c r="J1207" i="12"/>
  <c r="M1199" i="12"/>
  <c r="L1199" i="12"/>
  <c r="K1199" i="12"/>
  <c r="J1199" i="12"/>
  <c r="M1191" i="12"/>
  <c r="L1191" i="12"/>
  <c r="K1191" i="12"/>
  <c r="J1191" i="12"/>
  <c r="M1183" i="12"/>
  <c r="L1183" i="12"/>
  <c r="K1183" i="12"/>
  <c r="J1183" i="12"/>
  <c r="M1175" i="12"/>
  <c r="L1175" i="12"/>
  <c r="K1175" i="12"/>
  <c r="J1175" i="12"/>
  <c r="M1167" i="12"/>
  <c r="L1167" i="12"/>
  <c r="K1167" i="12"/>
  <c r="J1167" i="12"/>
  <c r="M1159" i="12"/>
  <c r="L1159" i="12"/>
  <c r="K1159" i="12"/>
  <c r="J1159" i="12"/>
  <c r="M1151" i="12"/>
  <c r="L1151" i="12"/>
  <c r="K1151" i="12"/>
  <c r="J1151" i="12"/>
  <c r="M1143" i="12"/>
  <c r="L1143" i="12"/>
  <c r="K1143" i="12"/>
  <c r="J1143" i="12"/>
  <c r="M1135" i="12"/>
  <c r="L1135" i="12"/>
  <c r="K1135" i="12"/>
  <c r="J1135" i="12"/>
  <c r="M1127" i="12"/>
  <c r="L1127" i="12"/>
  <c r="K1127" i="12"/>
  <c r="J1127" i="12"/>
  <c r="M1119" i="12"/>
  <c r="L1119" i="12"/>
  <c r="K1119" i="12"/>
  <c r="J1119" i="12"/>
  <c r="M1111" i="12"/>
  <c r="L1111" i="12"/>
  <c r="K1111" i="12"/>
  <c r="J1111" i="12"/>
  <c r="M1103" i="12"/>
  <c r="L1103" i="12"/>
  <c r="K1103" i="12"/>
  <c r="J1103" i="12"/>
  <c r="M1095" i="12"/>
  <c r="L1095" i="12"/>
  <c r="K1095" i="12"/>
  <c r="J1095" i="12"/>
  <c r="M1087" i="12"/>
  <c r="L1087" i="12"/>
  <c r="K1087" i="12"/>
  <c r="J1087" i="12"/>
  <c r="M1079" i="12"/>
  <c r="L1079" i="12"/>
  <c r="K1079" i="12"/>
  <c r="J1079" i="12"/>
  <c r="M1071" i="12"/>
  <c r="L1071" i="12"/>
  <c r="K1071" i="12"/>
  <c r="J1071" i="12"/>
  <c r="M1063" i="12"/>
  <c r="L1063" i="12"/>
  <c r="K1063" i="12"/>
  <c r="J1063" i="12"/>
  <c r="M1055" i="12"/>
  <c r="L1055" i="12"/>
  <c r="K1055" i="12"/>
  <c r="J1055" i="12"/>
  <c r="M1047" i="12"/>
  <c r="L1047" i="12"/>
  <c r="K1047" i="12"/>
  <c r="J1047" i="12"/>
  <c r="M1039" i="12"/>
  <c r="L1039" i="12"/>
  <c r="K1039" i="12"/>
  <c r="J1039" i="12"/>
  <c r="M1031" i="12"/>
  <c r="L1031" i="12"/>
  <c r="K1031" i="12"/>
  <c r="J1031" i="12"/>
  <c r="M1023" i="12"/>
  <c r="L1023" i="12"/>
  <c r="K1023" i="12"/>
  <c r="J1023" i="12"/>
  <c r="M1015" i="12"/>
  <c r="L1015" i="12"/>
  <c r="K1015" i="12"/>
  <c r="J1015" i="12"/>
  <c r="M1007" i="12"/>
  <c r="L1007" i="12"/>
  <c r="K1007" i="12"/>
  <c r="J1007" i="12"/>
  <c r="M999" i="12"/>
  <c r="L999" i="12"/>
  <c r="K999" i="12"/>
  <c r="J999" i="12"/>
  <c r="M991" i="12"/>
  <c r="L991" i="12"/>
  <c r="K991" i="12"/>
  <c r="J991" i="12"/>
  <c r="M983" i="12"/>
  <c r="L983" i="12"/>
  <c r="K983" i="12"/>
  <c r="J983" i="12"/>
  <c r="M975" i="12"/>
  <c r="L975" i="12"/>
  <c r="K975" i="12"/>
  <c r="J975" i="12"/>
  <c r="M967" i="12"/>
  <c r="L967" i="12"/>
  <c r="K967" i="12"/>
  <c r="J967" i="12"/>
  <c r="M959" i="12"/>
  <c r="L959" i="12"/>
  <c r="K959" i="12"/>
  <c r="J959" i="12"/>
  <c r="M951" i="12"/>
  <c r="L951" i="12"/>
  <c r="K951" i="12"/>
  <c r="J951" i="12"/>
  <c r="M943" i="12"/>
  <c r="L943" i="12"/>
  <c r="K943" i="12"/>
  <c r="J943" i="12"/>
  <c r="M935" i="12"/>
  <c r="L935" i="12"/>
  <c r="K935" i="12"/>
  <c r="J935" i="12"/>
  <c r="M927" i="12"/>
  <c r="L927" i="12"/>
  <c r="K927" i="12"/>
  <c r="J927" i="12"/>
  <c r="M919" i="12"/>
  <c r="L919" i="12"/>
  <c r="K919" i="12"/>
  <c r="J919" i="12"/>
  <c r="M911" i="12"/>
  <c r="L911" i="12"/>
  <c r="K911" i="12"/>
  <c r="J911" i="12"/>
  <c r="M903" i="12"/>
  <c r="L903" i="12"/>
  <c r="K903" i="12"/>
  <c r="J903" i="12"/>
  <c r="M895" i="12"/>
  <c r="L895" i="12"/>
  <c r="K895" i="12"/>
  <c r="J895" i="12"/>
  <c r="M887" i="12"/>
  <c r="L887" i="12"/>
  <c r="K887" i="12"/>
  <c r="J887" i="12"/>
  <c r="M879" i="12"/>
  <c r="L879" i="12"/>
  <c r="K879" i="12"/>
  <c r="J879" i="12"/>
  <c r="M871" i="12"/>
  <c r="L871" i="12"/>
  <c r="K871" i="12"/>
  <c r="J871" i="12"/>
  <c r="M863" i="12"/>
  <c r="L863" i="12"/>
  <c r="K863" i="12"/>
  <c r="J863" i="12"/>
  <c r="M855" i="12"/>
  <c r="L855" i="12"/>
  <c r="K855" i="12"/>
  <c r="J855" i="12"/>
  <c r="I855" i="12"/>
  <c r="M847" i="12"/>
  <c r="L847" i="12"/>
  <c r="K847" i="12"/>
  <c r="J847" i="12"/>
  <c r="I847" i="12"/>
  <c r="M839" i="12"/>
  <c r="L839" i="12"/>
  <c r="K839" i="12"/>
  <c r="J839" i="12"/>
  <c r="I839" i="12"/>
  <c r="M831" i="12"/>
  <c r="L831" i="12"/>
  <c r="K831" i="12"/>
  <c r="J831" i="12"/>
  <c r="M823" i="12"/>
  <c r="L823" i="12"/>
  <c r="K823" i="12"/>
  <c r="J823" i="12"/>
  <c r="I823" i="12"/>
  <c r="M815" i="12"/>
  <c r="L815" i="12"/>
  <c r="K815" i="12"/>
  <c r="J815" i="12"/>
  <c r="I815" i="12"/>
  <c r="M807" i="12"/>
  <c r="L807" i="12"/>
  <c r="K807" i="12"/>
  <c r="J807" i="12"/>
  <c r="I807" i="12"/>
  <c r="M799" i="12"/>
  <c r="L799" i="12"/>
  <c r="J799" i="12"/>
  <c r="K799" i="12"/>
  <c r="M791" i="12"/>
  <c r="L791" i="12"/>
  <c r="K791" i="12"/>
  <c r="J791" i="12"/>
  <c r="I791" i="12"/>
  <c r="M783" i="12"/>
  <c r="L783" i="12"/>
  <c r="K783" i="12"/>
  <c r="J783" i="12"/>
  <c r="I783" i="12"/>
  <c r="M775" i="12"/>
  <c r="L775" i="12"/>
  <c r="K775" i="12"/>
  <c r="J775" i="12"/>
  <c r="I775" i="12"/>
  <c r="M767" i="12"/>
  <c r="L767" i="12"/>
  <c r="K767" i="12"/>
  <c r="J767" i="12"/>
  <c r="M759" i="12"/>
  <c r="L759" i="12"/>
  <c r="K759" i="12"/>
  <c r="J759" i="12"/>
  <c r="I759" i="12"/>
  <c r="M751" i="12"/>
  <c r="L751" i="12"/>
  <c r="K751" i="12"/>
  <c r="J751" i="12"/>
  <c r="I751" i="12"/>
  <c r="M743" i="12"/>
  <c r="L743" i="12"/>
  <c r="K743" i="12"/>
  <c r="J743" i="12"/>
  <c r="I743" i="12"/>
  <c r="M735" i="12"/>
  <c r="L735" i="12"/>
  <c r="J735" i="12"/>
  <c r="K735" i="12"/>
  <c r="M727" i="12"/>
  <c r="L727" i="12"/>
  <c r="K727" i="12"/>
  <c r="J727" i="12"/>
  <c r="I727" i="12"/>
  <c r="M719" i="12"/>
  <c r="L719" i="12"/>
  <c r="K719" i="12"/>
  <c r="J719" i="12"/>
  <c r="I719" i="12"/>
  <c r="M711" i="12"/>
  <c r="L711" i="12"/>
  <c r="K711" i="12"/>
  <c r="J711" i="12"/>
  <c r="I711" i="12"/>
  <c r="M703" i="12"/>
  <c r="L703" i="12"/>
  <c r="K703" i="12"/>
  <c r="J703" i="12"/>
  <c r="M695" i="12"/>
  <c r="L695" i="12"/>
  <c r="K695" i="12"/>
  <c r="J695" i="12"/>
  <c r="I695" i="12"/>
  <c r="M687" i="12"/>
  <c r="L687" i="12"/>
  <c r="K687" i="12"/>
  <c r="J687" i="12"/>
  <c r="I687" i="12"/>
  <c r="M679" i="12"/>
  <c r="L679" i="12"/>
  <c r="K679" i="12"/>
  <c r="J679" i="12"/>
  <c r="I679" i="12"/>
  <c r="M671" i="12"/>
  <c r="L671" i="12"/>
  <c r="J671" i="12"/>
  <c r="K671" i="12"/>
  <c r="M663" i="12"/>
  <c r="L663" i="12"/>
  <c r="K663" i="12"/>
  <c r="J663" i="12"/>
  <c r="I663" i="12"/>
  <c r="M655" i="12"/>
  <c r="L655" i="12"/>
  <c r="K655" i="12"/>
  <c r="J655" i="12"/>
  <c r="I655" i="12"/>
  <c r="M647" i="12"/>
  <c r="L647" i="12"/>
  <c r="K647" i="12"/>
  <c r="J647" i="12"/>
  <c r="I647" i="12"/>
  <c r="M639" i="12"/>
  <c r="L639" i="12"/>
  <c r="K639" i="12"/>
  <c r="J639" i="12"/>
  <c r="I639" i="12"/>
  <c r="M631" i="12"/>
  <c r="L631" i="12"/>
  <c r="K631" i="12"/>
  <c r="J631" i="12"/>
  <c r="I631" i="12"/>
  <c r="M623" i="12"/>
  <c r="L623" i="12"/>
  <c r="K623" i="12"/>
  <c r="J623" i="12"/>
  <c r="I623" i="12"/>
  <c r="M615" i="12"/>
  <c r="L615" i="12"/>
  <c r="K615" i="12"/>
  <c r="J615" i="12"/>
  <c r="I615" i="12"/>
  <c r="M607" i="12"/>
  <c r="L607" i="12"/>
  <c r="K607" i="12"/>
  <c r="J607" i="12"/>
  <c r="I607" i="12"/>
  <c r="M599" i="12"/>
  <c r="L599" i="12"/>
  <c r="K599" i="12"/>
  <c r="J599" i="12"/>
  <c r="I599" i="12"/>
  <c r="M591" i="12"/>
  <c r="L591" i="12"/>
  <c r="K591" i="12"/>
  <c r="J591" i="12"/>
  <c r="I591" i="12"/>
  <c r="M583" i="12"/>
  <c r="L583" i="12"/>
  <c r="K583" i="12"/>
  <c r="J583" i="12"/>
  <c r="I583" i="12"/>
  <c r="M575" i="12"/>
  <c r="L575" i="12"/>
  <c r="K575" i="12"/>
  <c r="J575" i="12"/>
  <c r="I575" i="12"/>
  <c r="M567" i="12"/>
  <c r="L567" i="12"/>
  <c r="K567" i="12"/>
  <c r="J567" i="12"/>
  <c r="I567" i="12"/>
  <c r="M559" i="12"/>
  <c r="L559" i="12"/>
  <c r="K559" i="12"/>
  <c r="J559" i="12"/>
  <c r="I559" i="12"/>
  <c r="M551" i="12"/>
  <c r="L551" i="12"/>
  <c r="K551" i="12"/>
  <c r="J551" i="12"/>
  <c r="I551" i="12"/>
  <c r="M543" i="12"/>
  <c r="L543" i="12"/>
  <c r="K543" i="12"/>
  <c r="J543" i="12"/>
  <c r="I543" i="12"/>
  <c r="M535" i="12"/>
  <c r="L535" i="12"/>
  <c r="K535" i="12"/>
  <c r="J535" i="12"/>
  <c r="I535" i="12"/>
  <c r="M527" i="12"/>
  <c r="L527" i="12"/>
  <c r="K527" i="12"/>
  <c r="J527" i="12"/>
  <c r="I527" i="12"/>
  <c r="M519" i="12"/>
  <c r="L519" i="12"/>
  <c r="K519" i="12"/>
  <c r="J519" i="12"/>
  <c r="M511" i="12"/>
  <c r="L511" i="12"/>
  <c r="K511" i="12"/>
  <c r="J511" i="12"/>
  <c r="I511" i="12"/>
  <c r="M503" i="12"/>
  <c r="L503" i="12"/>
  <c r="K503" i="12"/>
  <c r="J503" i="12"/>
  <c r="I503" i="12"/>
  <c r="M495" i="12"/>
  <c r="L495" i="12"/>
  <c r="K495" i="12"/>
  <c r="J495" i="12"/>
  <c r="I495" i="12"/>
  <c r="M487" i="12"/>
  <c r="L487" i="12"/>
  <c r="K487" i="12"/>
  <c r="J487" i="12"/>
  <c r="I487" i="12"/>
  <c r="M479" i="12"/>
  <c r="L479" i="12"/>
  <c r="K479" i="12"/>
  <c r="J479" i="12"/>
  <c r="I479" i="12"/>
  <c r="M471" i="12"/>
  <c r="L471" i="12"/>
  <c r="K471" i="12"/>
  <c r="J471" i="12"/>
  <c r="I471" i="12"/>
  <c r="M463" i="12"/>
  <c r="L463" i="12"/>
  <c r="K463" i="12"/>
  <c r="J463" i="12"/>
  <c r="I463" i="12"/>
  <c r="M455" i="12"/>
  <c r="L455" i="12"/>
  <c r="K455" i="12"/>
  <c r="J455" i="12"/>
  <c r="M447" i="12"/>
  <c r="L447" i="12"/>
  <c r="K447" i="12"/>
  <c r="J447" i="12"/>
  <c r="I447" i="12"/>
  <c r="M439" i="12"/>
  <c r="L439" i="12"/>
  <c r="K439" i="12"/>
  <c r="J439" i="12"/>
  <c r="I439" i="12"/>
  <c r="M431" i="12"/>
  <c r="L431" i="12"/>
  <c r="K431" i="12"/>
  <c r="J431" i="12"/>
  <c r="I431" i="12"/>
  <c r="M423" i="12"/>
  <c r="L423" i="12"/>
  <c r="K423" i="12"/>
  <c r="J423" i="12"/>
  <c r="I423" i="12"/>
  <c r="M415" i="12"/>
  <c r="L415" i="12"/>
  <c r="K415" i="12"/>
  <c r="J415" i="12"/>
  <c r="I415" i="12"/>
  <c r="M407" i="12"/>
  <c r="L407" i="12"/>
  <c r="K407" i="12"/>
  <c r="J407" i="12"/>
  <c r="I407" i="12"/>
  <c r="M399" i="12"/>
  <c r="L399" i="12"/>
  <c r="K399" i="12"/>
  <c r="J399" i="12"/>
  <c r="I399" i="12"/>
  <c r="M391" i="12"/>
  <c r="L391" i="12"/>
  <c r="K391" i="12"/>
  <c r="J391" i="12"/>
  <c r="I391" i="12"/>
  <c r="M383" i="12"/>
  <c r="L383" i="12"/>
  <c r="K383" i="12"/>
  <c r="J383" i="12"/>
  <c r="M375" i="12"/>
  <c r="L375" i="12"/>
  <c r="K375" i="12"/>
  <c r="J375" i="12"/>
  <c r="I375" i="12"/>
  <c r="M367" i="12"/>
  <c r="L367" i="12"/>
  <c r="K367" i="12"/>
  <c r="J367" i="12"/>
  <c r="I367" i="12"/>
  <c r="M359" i="12"/>
  <c r="L359" i="12"/>
  <c r="K359" i="12"/>
  <c r="J359" i="12"/>
  <c r="I359" i="12"/>
  <c r="M351" i="12"/>
  <c r="L351" i="12"/>
  <c r="K351" i="12"/>
  <c r="J351" i="12"/>
  <c r="I351" i="12"/>
  <c r="M343" i="12"/>
  <c r="L343" i="12"/>
  <c r="K343" i="12"/>
  <c r="J343" i="12"/>
  <c r="I343" i="12"/>
  <c r="M335" i="12"/>
  <c r="L335" i="12"/>
  <c r="K335" i="12"/>
  <c r="J335" i="12"/>
  <c r="I335" i="12"/>
  <c r="M327" i="12"/>
  <c r="L327" i="12"/>
  <c r="K327" i="12"/>
  <c r="J327" i="12"/>
  <c r="I327" i="12"/>
  <c r="M319" i="12"/>
  <c r="L319" i="12"/>
  <c r="K319" i="12"/>
  <c r="J319" i="12"/>
  <c r="M311" i="12"/>
  <c r="L311" i="12"/>
  <c r="K311" i="12"/>
  <c r="J311" i="12"/>
  <c r="I311" i="12"/>
  <c r="M303" i="12"/>
  <c r="L303" i="12"/>
  <c r="K303" i="12"/>
  <c r="J303" i="12"/>
  <c r="I303" i="12"/>
  <c r="M295" i="12"/>
  <c r="L295" i="12"/>
  <c r="K295" i="12"/>
  <c r="J295" i="12"/>
  <c r="I295" i="12"/>
  <c r="M287" i="12"/>
  <c r="L287" i="12"/>
  <c r="K287" i="12"/>
  <c r="J287" i="12"/>
  <c r="I287" i="12"/>
  <c r="M279" i="12"/>
  <c r="L279" i="12"/>
  <c r="K279" i="12"/>
  <c r="J279" i="12"/>
  <c r="I279" i="12"/>
  <c r="M271" i="12"/>
  <c r="L271" i="12"/>
  <c r="K271" i="12"/>
  <c r="J271" i="12"/>
  <c r="I271" i="12"/>
  <c r="M263" i="12"/>
  <c r="L263" i="12"/>
  <c r="K263" i="12"/>
  <c r="J263" i="12"/>
  <c r="I263" i="12"/>
  <c r="M255" i="12"/>
  <c r="L255" i="12"/>
  <c r="K255" i="12"/>
  <c r="J255" i="12"/>
  <c r="I255" i="12"/>
  <c r="M247" i="12"/>
  <c r="L247" i="12"/>
  <c r="K247" i="12"/>
  <c r="J247" i="12"/>
  <c r="I247" i="12"/>
  <c r="M239" i="12"/>
  <c r="L239" i="12"/>
  <c r="K239" i="12"/>
  <c r="J239" i="12"/>
  <c r="I239" i="12"/>
  <c r="M231" i="12"/>
  <c r="L231" i="12"/>
  <c r="K231" i="12"/>
  <c r="J231" i="12"/>
  <c r="I231" i="12"/>
  <c r="M223" i="12"/>
  <c r="L223" i="12"/>
  <c r="K223" i="12"/>
  <c r="J223" i="12"/>
  <c r="I223" i="12"/>
  <c r="M215" i="12"/>
  <c r="L215" i="12"/>
  <c r="K215" i="12"/>
  <c r="J215" i="12"/>
  <c r="I215" i="12"/>
  <c r="M207" i="12"/>
  <c r="L207" i="12"/>
  <c r="K207" i="12"/>
  <c r="J207" i="12"/>
  <c r="I207" i="12"/>
  <c r="M199" i="12"/>
  <c r="L199" i="12"/>
  <c r="K199" i="12"/>
  <c r="J199" i="12"/>
  <c r="I199" i="12"/>
  <c r="M191" i="12"/>
  <c r="L191" i="12"/>
  <c r="K191" i="12"/>
  <c r="J191" i="12"/>
  <c r="I191" i="12"/>
  <c r="M183" i="12"/>
  <c r="L183" i="12"/>
  <c r="K183" i="12"/>
  <c r="J183" i="12"/>
  <c r="I183" i="12"/>
  <c r="M175" i="12"/>
  <c r="L175" i="12"/>
  <c r="K175" i="12"/>
  <c r="J175" i="12"/>
  <c r="I175" i="12"/>
  <c r="M167" i="12"/>
  <c r="L167" i="12"/>
  <c r="K167" i="12"/>
  <c r="J167" i="12"/>
  <c r="I167" i="12"/>
  <c r="M159" i="12"/>
  <c r="L159" i="12"/>
  <c r="K159" i="12"/>
  <c r="J159" i="12"/>
  <c r="I159" i="12"/>
  <c r="M151" i="12"/>
  <c r="L151" i="12"/>
  <c r="K151" i="12"/>
  <c r="J151" i="12"/>
  <c r="I151" i="12"/>
  <c r="M143" i="12"/>
  <c r="L143" i="12"/>
  <c r="K143" i="12"/>
  <c r="J143" i="12"/>
  <c r="I143" i="12"/>
  <c r="M135" i="12"/>
  <c r="L135" i="12"/>
  <c r="K135" i="12"/>
  <c r="J135" i="12"/>
  <c r="I135" i="12"/>
  <c r="M127" i="12"/>
  <c r="L127" i="12"/>
  <c r="K127" i="12"/>
  <c r="J127" i="12"/>
  <c r="I127" i="12"/>
  <c r="M119" i="12"/>
  <c r="L119" i="12"/>
  <c r="K119" i="12"/>
  <c r="J119" i="12"/>
  <c r="I119" i="12"/>
  <c r="M111" i="12"/>
  <c r="L111" i="12"/>
  <c r="K111" i="12"/>
  <c r="J111" i="12"/>
  <c r="I111" i="12"/>
  <c r="M103" i="12"/>
  <c r="L103" i="12"/>
  <c r="K103" i="12"/>
  <c r="J103" i="12"/>
  <c r="I103" i="12"/>
  <c r="M95" i="12"/>
  <c r="L95" i="12"/>
  <c r="K95" i="12"/>
  <c r="J95" i="12"/>
  <c r="I95" i="12"/>
  <c r="M87" i="12"/>
  <c r="L87" i="12"/>
  <c r="K87" i="12"/>
  <c r="J87" i="12"/>
  <c r="I87" i="12"/>
  <c r="M79" i="12"/>
  <c r="L79" i="12"/>
  <c r="K79" i="12"/>
  <c r="J79" i="12"/>
  <c r="I79" i="12"/>
  <c r="M71" i="12"/>
  <c r="L71" i="12"/>
  <c r="K71" i="12"/>
  <c r="J71" i="12"/>
  <c r="I71" i="12"/>
  <c r="M63" i="12"/>
  <c r="L63" i="12"/>
  <c r="K63" i="12"/>
  <c r="J63" i="12"/>
  <c r="I63" i="12"/>
  <c r="M55" i="12"/>
  <c r="L55" i="12"/>
  <c r="K55" i="12"/>
  <c r="J55" i="12"/>
  <c r="I55" i="12"/>
  <c r="M47" i="12"/>
  <c r="L47" i="12"/>
  <c r="K47" i="12"/>
  <c r="J47" i="12"/>
  <c r="I47" i="12"/>
  <c r="M39" i="12"/>
  <c r="L39" i="12"/>
  <c r="K39" i="12"/>
  <c r="J39" i="12"/>
  <c r="I39" i="12"/>
  <c r="I2943" i="12"/>
  <c r="I2879" i="12"/>
  <c r="I2815" i="12"/>
  <c r="I2751" i="12"/>
  <c r="I2687" i="12"/>
  <c r="I2623" i="12"/>
  <c r="I2559" i="12"/>
  <c r="I2495" i="12"/>
  <c r="I2431" i="12"/>
  <c r="I2367" i="12"/>
  <c r="I2303" i="12"/>
  <c r="I2239" i="12"/>
  <c r="I2175" i="12"/>
  <c r="I2111" i="12"/>
  <c r="I2047" i="12"/>
  <c r="I1983" i="12"/>
  <c r="I1919" i="12"/>
  <c r="I1855" i="12"/>
  <c r="I1791" i="12"/>
  <c r="I1727" i="12"/>
  <c r="I1663" i="12"/>
  <c r="I1599" i="12"/>
  <c r="I1535" i="12"/>
  <c r="I1471" i="12"/>
  <c r="I1407" i="12"/>
  <c r="I1343" i="12"/>
  <c r="I1279" i="12"/>
  <c r="I1215" i="12"/>
  <c r="I1151" i="12"/>
  <c r="I1087" i="12"/>
  <c r="I1023" i="12"/>
  <c r="I959" i="12"/>
  <c r="I895" i="12"/>
  <c r="I735" i="12"/>
  <c r="I641" i="12"/>
  <c r="J2329" i="12"/>
  <c r="M2998" i="12"/>
  <c r="L2998" i="12"/>
  <c r="K2998" i="12"/>
  <c r="J2998" i="12"/>
  <c r="I2998" i="12"/>
  <c r="M2990" i="12"/>
  <c r="L2990" i="12"/>
  <c r="K2990" i="12"/>
  <c r="J2990" i="12"/>
  <c r="I2990" i="12"/>
  <c r="M2982" i="12"/>
  <c r="L2982" i="12"/>
  <c r="K2982" i="12"/>
  <c r="J2982" i="12"/>
  <c r="I2982" i="12"/>
  <c r="M2974" i="12"/>
  <c r="L2974" i="12"/>
  <c r="K2974" i="12"/>
  <c r="J2974" i="12"/>
  <c r="I2974" i="12"/>
  <c r="M2966" i="12"/>
  <c r="L2966" i="12"/>
  <c r="K2966" i="12"/>
  <c r="J2966" i="12"/>
  <c r="I2966" i="12"/>
  <c r="M2958" i="12"/>
  <c r="L2958" i="12"/>
  <c r="K2958" i="12"/>
  <c r="J2958" i="12"/>
  <c r="I2958" i="12"/>
  <c r="M2950" i="12"/>
  <c r="L2950" i="12"/>
  <c r="K2950" i="12"/>
  <c r="J2950" i="12"/>
  <c r="I2950" i="12"/>
  <c r="M2942" i="12"/>
  <c r="L2942" i="12"/>
  <c r="K2942" i="12"/>
  <c r="J2942" i="12"/>
  <c r="I2942" i="12"/>
  <c r="M2934" i="12"/>
  <c r="L2934" i="12"/>
  <c r="K2934" i="12"/>
  <c r="J2934" i="12"/>
  <c r="I2934" i="12"/>
  <c r="M2926" i="12"/>
  <c r="L2926" i="12"/>
  <c r="K2926" i="12"/>
  <c r="J2926" i="12"/>
  <c r="I2926" i="12"/>
  <c r="M2918" i="12"/>
  <c r="L2918" i="12"/>
  <c r="K2918" i="12"/>
  <c r="J2918" i="12"/>
  <c r="I2918" i="12"/>
  <c r="M2910" i="12"/>
  <c r="L2910" i="12"/>
  <c r="K2910" i="12"/>
  <c r="J2910" i="12"/>
  <c r="I2910" i="12"/>
  <c r="M2902" i="12"/>
  <c r="L2902" i="12"/>
  <c r="K2902" i="12"/>
  <c r="J2902" i="12"/>
  <c r="I2902" i="12"/>
  <c r="M2894" i="12"/>
  <c r="L2894" i="12"/>
  <c r="K2894" i="12"/>
  <c r="J2894" i="12"/>
  <c r="I2894" i="12"/>
  <c r="M2886" i="12"/>
  <c r="L2886" i="12"/>
  <c r="K2886" i="12"/>
  <c r="J2886" i="12"/>
  <c r="I2886" i="12"/>
  <c r="M2878" i="12"/>
  <c r="L2878" i="12"/>
  <c r="K2878" i="12"/>
  <c r="J2878" i="12"/>
  <c r="I2878" i="12"/>
  <c r="M2870" i="12"/>
  <c r="L2870" i="12"/>
  <c r="K2870" i="12"/>
  <c r="J2870" i="12"/>
  <c r="I2870" i="12"/>
  <c r="M2862" i="12"/>
  <c r="L2862" i="12"/>
  <c r="K2862" i="12"/>
  <c r="J2862" i="12"/>
  <c r="I2862" i="12"/>
  <c r="M2854" i="12"/>
  <c r="L2854" i="12"/>
  <c r="K2854" i="12"/>
  <c r="J2854" i="12"/>
  <c r="I2854" i="12"/>
  <c r="M2846" i="12"/>
  <c r="L2846" i="12"/>
  <c r="K2846" i="12"/>
  <c r="J2846" i="12"/>
  <c r="I2846" i="12"/>
  <c r="M2838" i="12"/>
  <c r="L2838" i="12"/>
  <c r="K2838" i="12"/>
  <c r="J2838" i="12"/>
  <c r="I2838" i="12"/>
  <c r="M2830" i="12"/>
  <c r="L2830" i="12"/>
  <c r="K2830" i="12"/>
  <c r="J2830" i="12"/>
  <c r="I2830" i="12"/>
  <c r="M2822" i="12"/>
  <c r="L2822" i="12"/>
  <c r="J2822" i="12"/>
  <c r="K2822" i="12"/>
  <c r="I2822" i="12"/>
  <c r="M2814" i="12"/>
  <c r="L2814" i="12"/>
  <c r="K2814" i="12"/>
  <c r="J2814" i="12"/>
  <c r="I2814" i="12"/>
  <c r="M2806" i="12"/>
  <c r="L2806" i="12"/>
  <c r="K2806" i="12"/>
  <c r="J2806" i="12"/>
  <c r="I2806" i="12"/>
  <c r="M2798" i="12"/>
  <c r="L2798" i="12"/>
  <c r="K2798" i="12"/>
  <c r="J2798" i="12"/>
  <c r="I2798" i="12"/>
  <c r="M2790" i="12"/>
  <c r="L2790" i="12"/>
  <c r="K2790" i="12"/>
  <c r="J2790" i="12"/>
  <c r="I2790" i="12"/>
  <c r="M2782" i="12"/>
  <c r="L2782" i="12"/>
  <c r="K2782" i="12"/>
  <c r="J2782" i="12"/>
  <c r="I2782" i="12"/>
  <c r="M2774" i="12"/>
  <c r="L2774" i="12"/>
  <c r="K2774" i="12"/>
  <c r="J2774" i="12"/>
  <c r="I2774" i="12"/>
  <c r="M2766" i="12"/>
  <c r="L2766" i="12"/>
  <c r="K2766" i="12"/>
  <c r="J2766" i="12"/>
  <c r="I2766" i="12"/>
  <c r="M2758" i="12"/>
  <c r="L2758" i="12"/>
  <c r="K2758" i="12"/>
  <c r="J2758" i="12"/>
  <c r="I2758" i="12"/>
  <c r="M2750" i="12"/>
  <c r="L2750" i="12"/>
  <c r="K2750" i="12"/>
  <c r="J2750" i="12"/>
  <c r="I2750" i="12"/>
  <c r="M2742" i="12"/>
  <c r="L2742" i="12"/>
  <c r="K2742" i="12"/>
  <c r="J2742" i="12"/>
  <c r="I2742" i="12"/>
  <c r="M2734" i="12"/>
  <c r="L2734" i="12"/>
  <c r="K2734" i="12"/>
  <c r="J2734" i="12"/>
  <c r="I2734" i="12"/>
  <c r="M2726" i="12"/>
  <c r="L2726" i="12"/>
  <c r="K2726" i="12"/>
  <c r="J2726" i="12"/>
  <c r="I2726" i="12"/>
  <c r="M2718" i="12"/>
  <c r="L2718" i="12"/>
  <c r="K2718" i="12"/>
  <c r="J2718" i="12"/>
  <c r="I2718" i="12"/>
  <c r="M2710" i="12"/>
  <c r="L2710" i="12"/>
  <c r="K2710" i="12"/>
  <c r="J2710" i="12"/>
  <c r="I2710" i="12"/>
  <c r="M2702" i="12"/>
  <c r="L2702" i="12"/>
  <c r="K2702" i="12"/>
  <c r="J2702" i="12"/>
  <c r="I2702" i="12"/>
  <c r="M2694" i="12"/>
  <c r="L2694" i="12"/>
  <c r="K2694" i="12"/>
  <c r="J2694" i="12"/>
  <c r="I2694" i="12"/>
  <c r="M2686" i="12"/>
  <c r="L2686" i="12"/>
  <c r="K2686" i="12"/>
  <c r="J2686" i="12"/>
  <c r="I2686" i="12"/>
  <c r="M2678" i="12"/>
  <c r="L2678" i="12"/>
  <c r="K2678" i="12"/>
  <c r="J2678" i="12"/>
  <c r="I2678" i="12"/>
  <c r="M2670" i="12"/>
  <c r="L2670" i="12"/>
  <c r="K2670" i="12"/>
  <c r="J2670" i="12"/>
  <c r="I2670" i="12"/>
  <c r="M2662" i="12"/>
  <c r="L2662" i="12"/>
  <c r="K2662" i="12"/>
  <c r="J2662" i="12"/>
  <c r="I2662" i="12"/>
  <c r="M2654" i="12"/>
  <c r="L2654" i="12"/>
  <c r="K2654" i="12"/>
  <c r="J2654" i="12"/>
  <c r="I2654" i="12"/>
  <c r="M2646" i="12"/>
  <c r="L2646" i="12"/>
  <c r="K2646" i="12"/>
  <c r="J2646" i="12"/>
  <c r="I2646" i="12"/>
  <c r="M2638" i="12"/>
  <c r="L2638" i="12"/>
  <c r="K2638" i="12"/>
  <c r="J2638" i="12"/>
  <c r="I2638" i="12"/>
  <c r="M2630" i="12"/>
  <c r="L2630" i="12"/>
  <c r="K2630" i="12"/>
  <c r="J2630" i="12"/>
  <c r="I2630" i="12"/>
  <c r="M2622" i="12"/>
  <c r="L2622" i="12"/>
  <c r="K2622" i="12"/>
  <c r="J2622" i="12"/>
  <c r="I2622" i="12"/>
  <c r="M2614" i="12"/>
  <c r="L2614" i="12"/>
  <c r="K2614" i="12"/>
  <c r="J2614" i="12"/>
  <c r="I2614" i="12"/>
  <c r="M2606" i="12"/>
  <c r="L2606" i="12"/>
  <c r="K2606" i="12"/>
  <c r="J2606" i="12"/>
  <c r="I2606" i="12"/>
  <c r="M2598" i="12"/>
  <c r="L2598" i="12"/>
  <c r="K2598" i="12"/>
  <c r="J2598" i="12"/>
  <c r="I2598" i="12"/>
  <c r="M2590" i="12"/>
  <c r="L2590" i="12"/>
  <c r="K2590" i="12"/>
  <c r="J2590" i="12"/>
  <c r="I2590" i="12"/>
  <c r="M2582" i="12"/>
  <c r="L2582" i="12"/>
  <c r="K2582" i="12"/>
  <c r="J2582" i="12"/>
  <c r="I2582" i="12"/>
  <c r="M2574" i="12"/>
  <c r="L2574" i="12"/>
  <c r="K2574" i="12"/>
  <c r="J2574" i="12"/>
  <c r="I2574" i="12"/>
  <c r="M2566" i="12"/>
  <c r="L2566" i="12"/>
  <c r="K2566" i="12"/>
  <c r="J2566" i="12"/>
  <c r="I2566" i="12"/>
  <c r="M2558" i="12"/>
  <c r="L2558" i="12"/>
  <c r="K2558" i="12"/>
  <c r="J2558" i="12"/>
  <c r="I2558" i="12"/>
  <c r="M2550" i="12"/>
  <c r="L2550" i="12"/>
  <c r="K2550" i="12"/>
  <c r="J2550" i="12"/>
  <c r="I2550" i="12"/>
  <c r="M2542" i="12"/>
  <c r="L2542" i="12"/>
  <c r="K2542" i="12"/>
  <c r="J2542" i="12"/>
  <c r="I2542" i="12"/>
  <c r="M2534" i="12"/>
  <c r="L2534" i="12"/>
  <c r="K2534" i="12"/>
  <c r="J2534" i="12"/>
  <c r="I2534" i="12"/>
  <c r="M2526" i="12"/>
  <c r="L2526" i="12"/>
  <c r="K2526" i="12"/>
  <c r="J2526" i="12"/>
  <c r="I2526" i="12"/>
  <c r="M2518" i="12"/>
  <c r="L2518" i="12"/>
  <c r="K2518" i="12"/>
  <c r="J2518" i="12"/>
  <c r="I2518" i="12"/>
  <c r="M2510" i="12"/>
  <c r="L2510" i="12"/>
  <c r="K2510" i="12"/>
  <c r="J2510" i="12"/>
  <c r="I2510" i="12"/>
  <c r="M2502" i="12"/>
  <c r="L2502" i="12"/>
  <c r="K2502" i="12"/>
  <c r="J2502" i="12"/>
  <c r="I2502" i="12"/>
  <c r="M2494" i="12"/>
  <c r="L2494" i="12"/>
  <c r="K2494" i="12"/>
  <c r="J2494" i="12"/>
  <c r="I2494" i="12"/>
  <c r="M2486" i="12"/>
  <c r="L2486" i="12"/>
  <c r="K2486" i="12"/>
  <c r="J2486" i="12"/>
  <c r="I2486" i="12"/>
  <c r="M2478" i="12"/>
  <c r="L2478" i="12"/>
  <c r="K2478" i="12"/>
  <c r="J2478" i="12"/>
  <c r="I2478" i="12"/>
  <c r="M2470" i="12"/>
  <c r="L2470" i="12"/>
  <c r="K2470" i="12"/>
  <c r="J2470" i="12"/>
  <c r="I2470" i="12"/>
  <c r="M2462" i="12"/>
  <c r="L2462" i="12"/>
  <c r="K2462" i="12"/>
  <c r="J2462" i="12"/>
  <c r="I2462" i="12"/>
  <c r="M2454" i="12"/>
  <c r="L2454" i="12"/>
  <c r="K2454" i="12"/>
  <c r="J2454" i="12"/>
  <c r="I2454" i="12"/>
  <c r="M2446" i="12"/>
  <c r="L2446" i="12"/>
  <c r="K2446" i="12"/>
  <c r="J2446" i="12"/>
  <c r="I2446" i="12"/>
  <c r="M2438" i="12"/>
  <c r="L2438" i="12"/>
  <c r="K2438" i="12"/>
  <c r="J2438" i="12"/>
  <c r="I2438" i="12"/>
  <c r="M2430" i="12"/>
  <c r="L2430" i="12"/>
  <c r="K2430" i="12"/>
  <c r="J2430" i="12"/>
  <c r="I2430" i="12"/>
  <c r="M2422" i="12"/>
  <c r="L2422" i="12"/>
  <c r="K2422" i="12"/>
  <c r="J2422" i="12"/>
  <c r="I2422" i="12"/>
  <c r="M2414" i="12"/>
  <c r="L2414" i="12"/>
  <c r="K2414" i="12"/>
  <c r="J2414" i="12"/>
  <c r="I2414" i="12"/>
  <c r="M2406" i="12"/>
  <c r="L2406" i="12"/>
  <c r="K2406" i="12"/>
  <c r="J2406" i="12"/>
  <c r="I2406" i="12"/>
  <c r="M2398" i="12"/>
  <c r="L2398" i="12"/>
  <c r="K2398" i="12"/>
  <c r="J2398" i="12"/>
  <c r="I2398" i="12"/>
  <c r="M2390" i="12"/>
  <c r="L2390" i="12"/>
  <c r="K2390" i="12"/>
  <c r="J2390" i="12"/>
  <c r="I2390" i="12"/>
  <c r="M2382" i="12"/>
  <c r="L2382" i="12"/>
  <c r="K2382" i="12"/>
  <c r="J2382" i="12"/>
  <c r="I2382" i="12"/>
  <c r="M2374" i="12"/>
  <c r="L2374" i="12"/>
  <c r="K2374" i="12"/>
  <c r="J2374" i="12"/>
  <c r="I2374" i="12"/>
  <c r="M2366" i="12"/>
  <c r="L2366" i="12"/>
  <c r="K2366" i="12"/>
  <c r="J2366" i="12"/>
  <c r="I2366" i="12"/>
  <c r="M2358" i="12"/>
  <c r="L2358" i="12"/>
  <c r="K2358" i="12"/>
  <c r="J2358" i="12"/>
  <c r="I2358" i="12"/>
  <c r="M2350" i="12"/>
  <c r="L2350" i="12"/>
  <c r="K2350" i="12"/>
  <c r="J2350" i="12"/>
  <c r="I2350" i="12"/>
  <c r="M2342" i="12"/>
  <c r="L2342" i="12"/>
  <c r="K2342" i="12"/>
  <c r="J2342" i="12"/>
  <c r="I2342" i="12"/>
  <c r="M2334" i="12"/>
  <c r="L2334" i="12"/>
  <c r="K2334" i="12"/>
  <c r="J2334" i="12"/>
  <c r="I2334" i="12"/>
  <c r="M2326" i="12"/>
  <c r="L2326" i="12"/>
  <c r="K2326" i="12"/>
  <c r="J2326" i="12"/>
  <c r="I2326" i="12"/>
  <c r="M2318" i="12"/>
  <c r="L2318" i="12"/>
  <c r="K2318" i="12"/>
  <c r="J2318" i="12"/>
  <c r="I2318" i="12"/>
  <c r="M2310" i="12"/>
  <c r="L2310" i="12"/>
  <c r="K2310" i="12"/>
  <c r="J2310" i="12"/>
  <c r="I2310" i="12"/>
  <c r="M2302" i="12"/>
  <c r="L2302" i="12"/>
  <c r="K2302" i="12"/>
  <c r="J2302" i="12"/>
  <c r="I2302" i="12"/>
  <c r="M2294" i="12"/>
  <c r="L2294" i="12"/>
  <c r="K2294" i="12"/>
  <c r="J2294" i="12"/>
  <c r="I2294" i="12"/>
  <c r="M2286" i="12"/>
  <c r="L2286" i="12"/>
  <c r="K2286" i="12"/>
  <c r="J2286" i="12"/>
  <c r="I2286" i="12"/>
  <c r="M2278" i="12"/>
  <c r="L2278" i="12"/>
  <c r="K2278" i="12"/>
  <c r="J2278" i="12"/>
  <c r="I2278" i="12"/>
  <c r="M2270" i="12"/>
  <c r="L2270" i="12"/>
  <c r="K2270" i="12"/>
  <c r="J2270" i="12"/>
  <c r="I2270" i="12"/>
  <c r="M2262" i="12"/>
  <c r="L2262" i="12"/>
  <c r="K2262" i="12"/>
  <c r="J2262" i="12"/>
  <c r="I2262" i="12"/>
  <c r="M2254" i="12"/>
  <c r="L2254" i="12"/>
  <c r="K2254" i="12"/>
  <c r="J2254" i="12"/>
  <c r="I2254" i="12"/>
  <c r="M2246" i="12"/>
  <c r="L2246" i="12"/>
  <c r="K2246" i="12"/>
  <c r="J2246" i="12"/>
  <c r="I2246" i="12"/>
  <c r="M2238" i="12"/>
  <c r="L2238" i="12"/>
  <c r="K2238" i="12"/>
  <c r="J2238" i="12"/>
  <c r="I2238" i="12"/>
  <c r="M2230" i="12"/>
  <c r="L2230" i="12"/>
  <c r="K2230" i="12"/>
  <c r="J2230" i="12"/>
  <c r="I2230" i="12"/>
  <c r="M2222" i="12"/>
  <c r="L2222" i="12"/>
  <c r="K2222" i="12"/>
  <c r="J2222" i="12"/>
  <c r="I2222" i="12"/>
  <c r="M2214" i="12"/>
  <c r="L2214" i="12"/>
  <c r="K2214" i="12"/>
  <c r="J2214" i="12"/>
  <c r="I2214" i="12"/>
  <c r="M2206" i="12"/>
  <c r="L2206" i="12"/>
  <c r="K2206" i="12"/>
  <c r="J2206" i="12"/>
  <c r="I2206" i="12"/>
  <c r="M2198" i="12"/>
  <c r="L2198" i="12"/>
  <c r="J2198" i="12"/>
  <c r="K2198" i="12"/>
  <c r="I2198" i="12"/>
  <c r="M2190" i="12"/>
  <c r="L2190" i="12"/>
  <c r="K2190" i="12"/>
  <c r="J2190" i="12"/>
  <c r="I2190" i="12"/>
  <c r="M2182" i="12"/>
  <c r="L2182" i="12"/>
  <c r="K2182" i="12"/>
  <c r="J2182" i="12"/>
  <c r="I2182" i="12"/>
  <c r="M2174" i="12"/>
  <c r="L2174" i="12"/>
  <c r="K2174" i="12"/>
  <c r="J2174" i="12"/>
  <c r="I2174" i="12"/>
  <c r="M2166" i="12"/>
  <c r="L2166" i="12"/>
  <c r="K2166" i="12"/>
  <c r="J2166" i="12"/>
  <c r="I2166" i="12"/>
  <c r="M2158" i="12"/>
  <c r="L2158" i="12"/>
  <c r="K2158" i="12"/>
  <c r="J2158" i="12"/>
  <c r="I2158" i="12"/>
  <c r="M2150" i="12"/>
  <c r="L2150" i="12"/>
  <c r="K2150" i="12"/>
  <c r="J2150" i="12"/>
  <c r="I2150" i="12"/>
  <c r="M2142" i="12"/>
  <c r="L2142" i="12"/>
  <c r="K2142" i="12"/>
  <c r="J2142" i="12"/>
  <c r="I2142" i="12"/>
  <c r="M2134" i="12"/>
  <c r="L2134" i="12"/>
  <c r="K2134" i="12"/>
  <c r="J2134" i="12"/>
  <c r="I2134" i="12"/>
  <c r="M2126" i="12"/>
  <c r="L2126" i="12"/>
  <c r="K2126" i="12"/>
  <c r="J2126" i="12"/>
  <c r="I2126" i="12"/>
  <c r="M2118" i="12"/>
  <c r="L2118" i="12"/>
  <c r="K2118" i="12"/>
  <c r="J2118" i="12"/>
  <c r="I2118" i="12"/>
  <c r="M2110" i="12"/>
  <c r="L2110" i="12"/>
  <c r="K2110" i="12"/>
  <c r="J2110" i="12"/>
  <c r="I2110" i="12"/>
  <c r="M2102" i="12"/>
  <c r="L2102" i="12"/>
  <c r="K2102" i="12"/>
  <c r="J2102" i="12"/>
  <c r="I2102" i="12"/>
  <c r="M2094" i="12"/>
  <c r="L2094" i="12"/>
  <c r="K2094" i="12"/>
  <c r="J2094" i="12"/>
  <c r="I2094" i="12"/>
  <c r="M2086" i="12"/>
  <c r="L2086" i="12"/>
  <c r="K2086" i="12"/>
  <c r="J2086" i="12"/>
  <c r="I2086" i="12"/>
  <c r="M2078" i="12"/>
  <c r="L2078" i="12"/>
  <c r="K2078" i="12"/>
  <c r="J2078" i="12"/>
  <c r="I2078" i="12"/>
  <c r="M2070" i="12"/>
  <c r="L2070" i="12"/>
  <c r="K2070" i="12"/>
  <c r="J2070" i="12"/>
  <c r="I2070" i="12"/>
  <c r="M2062" i="12"/>
  <c r="L2062" i="12"/>
  <c r="K2062" i="12"/>
  <c r="J2062" i="12"/>
  <c r="I2062" i="12"/>
  <c r="M2054" i="12"/>
  <c r="L2054" i="12"/>
  <c r="K2054" i="12"/>
  <c r="J2054" i="12"/>
  <c r="I2054" i="12"/>
  <c r="M2046" i="12"/>
  <c r="L2046" i="12"/>
  <c r="K2046" i="12"/>
  <c r="J2046" i="12"/>
  <c r="I2046" i="12"/>
  <c r="M2038" i="12"/>
  <c r="L2038" i="12"/>
  <c r="K2038" i="12"/>
  <c r="J2038" i="12"/>
  <c r="I2038" i="12"/>
  <c r="M2030" i="12"/>
  <c r="L2030" i="12"/>
  <c r="K2030" i="12"/>
  <c r="J2030" i="12"/>
  <c r="I2030" i="12"/>
  <c r="M2022" i="12"/>
  <c r="L2022" i="12"/>
  <c r="K2022" i="12"/>
  <c r="J2022" i="12"/>
  <c r="I2022" i="12"/>
  <c r="M2014" i="12"/>
  <c r="L2014" i="12"/>
  <c r="K2014" i="12"/>
  <c r="J2014" i="12"/>
  <c r="I2014" i="12"/>
  <c r="M2006" i="12"/>
  <c r="L2006" i="12"/>
  <c r="K2006" i="12"/>
  <c r="J2006" i="12"/>
  <c r="I2006" i="12"/>
  <c r="M1998" i="12"/>
  <c r="L1998" i="12"/>
  <c r="K1998" i="12"/>
  <c r="J1998" i="12"/>
  <c r="I1998" i="12"/>
  <c r="M1990" i="12"/>
  <c r="L1990" i="12"/>
  <c r="K1990" i="12"/>
  <c r="J1990" i="12"/>
  <c r="I1990" i="12"/>
  <c r="M1982" i="12"/>
  <c r="L1982" i="12"/>
  <c r="K1982" i="12"/>
  <c r="J1982" i="12"/>
  <c r="I1982" i="12"/>
  <c r="M1974" i="12"/>
  <c r="L1974" i="12"/>
  <c r="K1974" i="12"/>
  <c r="J1974" i="12"/>
  <c r="I1974" i="12"/>
  <c r="M1966" i="12"/>
  <c r="L1966" i="12"/>
  <c r="K1966" i="12"/>
  <c r="J1966" i="12"/>
  <c r="I1966" i="12"/>
  <c r="M1958" i="12"/>
  <c r="L1958" i="12"/>
  <c r="K1958" i="12"/>
  <c r="J1958" i="12"/>
  <c r="I1958" i="12"/>
  <c r="M1950" i="12"/>
  <c r="L1950" i="12"/>
  <c r="K1950" i="12"/>
  <c r="J1950" i="12"/>
  <c r="I1950" i="12"/>
  <c r="M1942" i="12"/>
  <c r="L1942" i="12"/>
  <c r="K1942" i="12"/>
  <c r="J1942" i="12"/>
  <c r="I1942" i="12"/>
  <c r="M1934" i="12"/>
  <c r="L1934" i="12"/>
  <c r="K1934" i="12"/>
  <c r="J1934" i="12"/>
  <c r="I1934" i="12"/>
  <c r="M1926" i="12"/>
  <c r="L1926" i="12"/>
  <c r="K1926" i="12"/>
  <c r="J1926" i="12"/>
  <c r="I1926" i="12"/>
  <c r="M1918" i="12"/>
  <c r="L1918" i="12"/>
  <c r="K1918" i="12"/>
  <c r="J1918" i="12"/>
  <c r="I1918" i="12"/>
  <c r="M1910" i="12"/>
  <c r="L1910" i="12"/>
  <c r="K1910" i="12"/>
  <c r="J1910" i="12"/>
  <c r="I1910" i="12"/>
  <c r="M1902" i="12"/>
  <c r="L1902" i="12"/>
  <c r="K1902" i="12"/>
  <c r="J1902" i="12"/>
  <c r="I1902" i="12"/>
  <c r="M1894" i="12"/>
  <c r="L1894" i="12"/>
  <c r="K1894" i="12"/>
  <c r="J1894" i="12"/>
  <c r="I1894" i="12"/>
  <c r="M1886" i="12"/>
  <c r="L1886" i="12"/>
  <c r="K1886" i="12"/>
  <c r="J1886" i="12"/>
  <c r="I1886" i="12"/>
  <c r="M1878" i="12"/>
  <c r="L1878" i="12"/>
  <c r="K1878" i="12"/>
  <c r="J1878" i="12"/>
  <c r="I1878" i="12"/>
  <c r="M1870" i="12"/>
  <c r="L1870" i="12"/>
  <c r="K1870" i="12"/>
  <c r="J1870" i="12"/>
  <c r="I1870" i="12"/>
  <c r="M1862" i="12"/>
  <c r="L1862" i="12"/>
  <c r="K1862" i="12"/>
  <c r="J1862" i="12"/>
  <c r="I1862" i="12"/>
  <c r="M1854" i="12"/>
  <c r="L1854" i="12"/>
  <c r="K1854" i="12"/>
  <c r="J1854" i="12"/>
  <c r="I1854" i="12"/>
  <c r="M1846" i="12"/>
  <c r="L1846" i="12"/>
  <c r="K1846" i="12"/>
  <c r="J1846" i="12"/>
  <c r="I1846" i="12"/>
  <c r="M1838" i="12"/>
  <c r="L1838" i="12"/>
  <c r="K1838" i="12"/>
  <c r="J1838" i="12"/>
  <c r="I1838" i="12"/>
  <c r="M1830" i="12"/>
  <c r="L1830" i="12"/>
  <c r="K1830" i="12"/>
  <c r="J1830" i="12"/>
  <c r="I1830" i="12"/>
  <c r="M1822" i="12"/>
  <c r="L1822" i="12"/>
  <c r="K1822" i="12"/>
  <c r="J1822" i="12"/>
  <c r="I1822" i="12"/>
  <c r="M1814" i="12"/>
  <c r="L1814" i="12"/>
  <c r="K1814" i="12"/>
  <c r="J1814" i="12"/>
  <c r="I1814" i="12"/>
  <c r="M1806" i="12"/>
  <c r="L1806" i="12"/>
  <c r="K1806" i="12"/>
  <c r="J1806" i="12"/>
  <c r="I1806" i="12"/>
  <c r="M1798" i="12"/>
  <c r="L1798" i="12"/>
  <c r="K1798" i="12"/>
  <c r="J1798" i="12"/>
  <c r="I1798" i="12"/>
  <c r="M1790" i="12"/>
  <c r="L1790" i="12"/>
  <c r="K1790" i="12"/>
  <c r="J1790" i="12"/>
  <c r="I1790" i="12"/>
  <c r="M1782" i="12"/>
  <c r="L1782" i="12"/>
  <c r="K1782" i="12"/>
  <c r="J1782" i="12"/>
  <c r="I1782" i="12"/>
  <c r="M1774" i="12"/>
  <c r="L1774" i="12"/>
  <c r="K1774" i="12"/>
  <c r="J1774" i="12"/>
  <c r="I1774" i="12"/>
  <c r="M1766" i="12"/>
  <c r="L1766" i="12"/>
  <c r="K1766" i="12"/>
  <c r="J1766" i="12"/>
  <c r="I1766" i="12"/>
  <c r="M1758" i="12"/>
  <c r="L1758" i="12"/>
  <c r="K1758" i="12"/>
  <c r="J1758" i="12"/>
  <c r="I1758" i="12"/>
  <c r="M1750" i="12"/>
  <c r="L1750" i="12"/>
  <c r="K1750" i="12"/>
  <c r="J1750" i="12"/>
  <c r="I1750" i="12"/>
  <c r="M1742" i="12"/>
  <c r="L1742" i="12"/>
  <c r="K1742" i="12"/>
  <c r="J1742" i="12"/>
  <c r="I1742" i="12"/>
  <c r="M1734" i="12"/>
  <c r="L1734" i="12"/>
  <c r="K1734" i="12"/>
  <c r="J1734" i="12"/>
  <c r="I1734" i="12"/>
  <c r="M1726" i="12"/>
  <c r="L1726" i="12"/>
  <c r="K1726" i="12"/>
  <c r="J1726" i="12"/>
  <c r="I1726" i="12"/>
  <c r="M1718" i="12"/>
  <c r="L1718" i="12"/>
  <c r="K1718" i="12"/>
  <c r="J1718" i="12"/>
  <c r="I1718" i="12"/>
  <c r="M1710" i="12"/>
  <c r="L1710" i="12"/>
  <c r="K1710" i="12"/>
  <c r="J1710" i="12"/>
  <c r="I1710" i="12"/>
  <c r="M1702" i="12"/>
  <c r="L1702" i="12"/>
  <c r="K1702" i="12"/>
  <c r="J1702" i="12"/>
  <c r="I1702" i="12"/>
  <c r="M1694" i="12"/>
  <c r="L1694" i="12"/>
  <c r="K1694" i="12"/>
  <c r="J1694" i="12"/>
  <c r="I1694" i="12"/>
  <c r="M1686" i="12"/>
  <c r="L1686" i="12"/>
  <c r="K1686" i="12"/>
  <c r="J1686" i="12"/>
  <c r="I1686" i="12"/>
  <c r="M1678" i="12"/>
  <c r="L1678" i="12"/>
  <c r="K1678" i="12"/>
  <c r="J1678" i="12"/>
  <c r="I1678" i="12"/>
  <c r="M1670" i="12"/>
  <c r="L1670" i="12"/>
  <c r="J1670" i="12"/>
  <c r="K1670" i="12"/>
  <c r="I1670" i="12"/>
  <c r="M1662" i="12"/>
  <c r="L1662" i="12"/>
  <c r="K1662" i="12"/>
  <c r="J1662" i="12"/>
  <c r="I1662" i="12"/>
  <c r="M1654" i="12"/>
  <c r="L1654" i="12"/>
  <c r="K1654" i="12"/>
  <c r="J1654" i="12"/>
  <c r="I1654" i="12"/>
  <c r="M1646" i="12"/>
  <c r="L1646" i="12"/>
  <c r="K1646" i="12"/>
  <c r="J1646" i="12"/>
  <c r="I1646" i="12"/>
  <c r="M1638" i="12"/>
  <c r="L1638" i="12"/>
  <c r="K1638" i="12"/>
  <c r="J1638" i="12"/>
  <c r="I1638" i="12"/>
  <c r="M1630" i="12"/>
  <c r="L1630" i="12"/>
  <c r="K1630" i="12"/>
  <c r="J1630" i="12"/>
  <c r="I1630" i="12"/>
  <c r="M1622" i="12"/>
  <c r="L1622" i="12"/>
  <c r="K1622" i="12"/>
  <c r="J1622" i="12"/>
  <c r="I1622" i="12"/>
  <c r="M1614" i="12"/>
  <c r="L1614" i="12"/>
  <c r="K1614" i="12"/>
  <c r="J1614" i="12"/>
  <c r="I1614" i="12"/>
  <c r="M1606" i="12"/>
  <c r="L1606" i="12"/>
  <c r="K1606" i="12"/>
  <c r="J1606" i="12"/>
  <c r="I1606" i="12"/>
  <c r="M1598" i="12"/>
  <c r="L1598" i="12"/>
  <c r="K1598" i="12"/>
  <c r="J1598" i="12"/>
  <c r="I1598" i="12"/>
  <c r="M1590" i="12"/>
  <c r="L1590" i="12"/>
  <c r="K1590" i="12"/>
  <c r="J1590" i="12"/>
  <c r="I1590" i="12"/>
  <c r="M1582" i="12"/>
  <c r="L1582" i="12"/>
  <c r="K1582" i="12"/>
  <c r="J1582" i="12"/>
  <c r="I1582" i="12"/>
  <c r="M1574" i="12"/>
  <c r="L1574" i="12"/>
  <c r="K1574" i="12"/>
  <c r="J1574" i="12"/>
  <c r="I1574" i="12"/>
  <c r="M1566" i="12"/>
  <c r="L1566" i="12"/>
  <c r="K1566" i="12"/>
  <c r="J1566" i="12"/>
  <c r="I1566" i="12"/>
  <c r="M1558" i="12"/>
  <c r="L1558" i="12"/>
  <c r="K1558" i="12"/>
  <c r="J1558" i="12"/>
  <c r="I1558" i="12"/>
  <c r="M1550" i="12"/>
  <c r="L1550" i="12"/>
  <c r="K1550" i="12"/>
  <c r="J1550" i="12"/>
  <c r="I1550" i="12"/>
  <c r="M1542" i="12"/>
  <c r="L1542" i="12"/>
  <c r="K1542" i="12"/>
  <c r="J1542" i="12"/>
  <c r="I1542" i="12"/>
  <c r="M1534" i="12"/>
  <c r="L1534" i="12"/>
  <c r="K1534" i="12"/>
  <c r="J1534" i="12"/>
  <c r="I1534" i="12"/>
  <c r="M1526" i="12"/>
  <c r="L1526" i="12"/>
  <c r="K1526" i="12"/>
  <c r="J1526" i="12"/>
  <c r="I1526" i="12"/>
  <c r="M1518" i="12"/>
  <c r="L1518" i="12"/>
  <c r="J1518" i="12"/>
  <c r="K1518" i="12"/>
  <c r="I1518" i="12"/>
  <c r="M1510" i="12"/>
  <c r="L1510" i="12"/>
  <c r="K1510" i="12"/>
  <c r="J1510" i="12"/>
  <c r="I1510" i="12"/>
  <c r="M1502" i="12"/>
  <c r="L1502" i="12"/>
  <c r="K1502" i="12"/>
  <c r="J1502" i="12"/>
  <c r="I1502" i="12"/>
  <c r="M1494" i="12"/>
  <c r="L1494" i="12"/>
  <c r="K1494" i="12"/>
  <c r="J1494" i="12"/>
  <c r="I1494" i="12"/>
  <c r="M1486" i="12"/>
  <c r="L1486" i="12"/>
  <c r="K1486" i="12"/>
  <c r="J1486" i="12"/>
  <c r="I1486" i="12"/>
  <c r="M1478" i="12"/>
  <c r="L1478" i="12"/>
  <c r="K1478" i="12"/>
  <c r="J1478" i="12"/>
  <c r="I1478" i="12"/>
  <c r="M1470" i="12"/>
  <c r="L1470" i="12"/>
  <c r="K1470" i="12"/>
  <c r="J1470" i="12"/>
  <c r="I1470" i="12"/>
  <c r="M1462" i="12"/>
  <c r="L1462" i="12"/>
  <c r="K1462" i="12"/>
  <c r="J1462" i="12"/>
  <c r="I1462" i="12"/>
  <c r="M1454" i="12"/>
  <c r="L1454" i="12"/>
  <c r="K1454" i="12"/>
  <c r="J1454" i="12"/>
  <c r="I1454" i="12"/>
  <c r="M1446" i="12"/>
  <c r="L1446" i="12"/>
  <c r="K1446" i="12"/>
  <c r="J1446" i="12"/>
  <c r="I1446" i="12"/>
  <c r="M1438" i="12"/>
  <c r="L1438" i="12"/>
  <c r="K1438" i="12"/>
  <c r="J1438" i="12"/>
  <c r="I1438" i="12"/>
  <c r="M1430" i="12"/>
  <c r="L1430" i="12"/>
  <c r="K1430" i="12"/>
  <c r="J1430" i="12"/>
  <c r="I1430" i="12"/>
  <c r="M1422" i="12"/>
  <c r="L1422" i="12"/>
  <c r="K1422" i="12"/>
  <c r="J1422" i="12"/>
  <c r="I1422" i="12"/>
  <c r="M1414" i="12"/>
  <c r="L1414" i="12"/>
  <c r="K1414" i="12"/>
  <c r="J1414" i="12"/>
  <c r="I1414" i="12"/>
  <c r="M1406" i="12"/>
  <c r="L1406" i="12"/>
  <c r="K1406" i="12"/>
  <c r="J1406" i="12"/>
  <c r="I1406" i="12"/>
  <c r="M1398" i="12"/>
  <c r="L1398" i="12"/>
  <c r="K1398" i="12"/>
  <c r="J1398" i="12"/>
  <c r="I1398" i="12"/>
  <c r="M1390" i="12"/>
  <c r="L1390" i="12"/>
  <c r="K1390" i="12"/>
  <c r="J1390" i="12"/>
  <c r="I1390" i="12"/>
  <c r="M1382" i="12"/>
  <c r="L1382" i="12"/>
  <c r="K1382" i="12"/>
  <c r="J1382" i="12"/>
  <c r="I1382" i="12"/>
  <c r="M1374" i="12"/>
  <c r="L1374" i="12"/>
  <c r="K1374" i="12"/>
  <c r="J1374" i="12"/>
  <c r="I1374" i="12"/>
  <c r="M1366" i="12"/>
  <c r="L1366" i="12"/>
  <c r="K1366" i="12"/>
  <c r="J1366" i="12"/>
  <c r="I1366" i="12"/>
  <c r="M1358" i="12"/>
  <c r="L1358" i="12"/>
  <c r="K1358" i="12"/>
  <c r="J1358" i="12"/>
  <c r="I1358" i="12"/>
  <c r="M1350" i="12"/>
  <c r="L1350" i="12"/>
  <c r="K1350" i="12"/>
  <c r="J1350" i="12"/>
  <c r="I1350" i="12"/>
  <c r="M1342" i="12"/>
  <c r="L1342" i="12"/>
  <c r="K1342" i="12"/>
  <c r="J1342" i="12"/>
  <c r="I1342" i="12"/>
  <c r="M1334" i="12"/>
  <c r="L1334" i="12"/>
  <c r="K1334" i="12"/>
  <c r="J1334" i="12"/>
  <c r="I1334" i="12"/>
  <c r="M1326" i="12"/>
  <c r="L1326" i="12"/>
  <c r="K1326" i="12"/>
  <c r="J1326" i="12"/>
  <c r="I1326" i="12"/>
  <c r="M1318" i="12"/>
  <c r="L1318" i="12"/>
  <c r="K1318" i="12"/>
  <c r="J1318" i="12"/>
  <c r="I1318" i="12"/>
  <c r="M1310" i="12"/>
  <c r="L1310" i="12"/>
  <c r="K1310" i="12"/>
  <c r="J1310" i="12"/>
  <c r="I1310" i="12"/>
  <c r="M1302" i="12"/>
  <c r="L1302" i="12"/>
  <c r="K1302" i="12"/>
  <c r="J1302" i="12"/>
  <c r="I1302" i="12"/>
  <c r="M1294" i="12"/>
  <c r="L1294" i="12"/>
  <c r="K1294" i="12"/>
  <c r="J1294" i="12"/>
  <c r="I1294" i="12"/>
  <c r="M1286" i="12"/>
  <c r="L1286" i="12"/>
  <c r="K1286" i="12"/>
  <c r="J1286" i="12"/>
  <c r="I1286" i="12"/>
  <c r="M1278" i="12"/>
  <c r="L1278" i="12"/>
  <c r="K1278" i="12"/>
  <c r="J1278" i="12"/>
  <c r="I1278" i="12"/>
  <c r="M1270" i="12"/>
  <c r="L1270" i="12"/>
  <c r="K1270" i="12"/>
  <c r="J1270" i="12"/>
  <c r="I1270" i="12"/>
  <c r="M1262" i="12"/>
  <c r="L1262" i="12"/>
  <c r="K1262" i="12"/>
  <c r="J1262" i="12"/>
  <c r="I1262" i="12"/>
  <c r="M1254" i="12"/>
  <c r="L1254" i="12"/>
  <c r="K1254" i="12"/>
  <c r="J1254" i="12"/>
  <c r="I1254" i="12"/>
  <c r="M1246" i="12"/>
  <c r="L1246" i="12"/>
  <c r="K1246" i="12"/>
  <c r="J1246" i="12"/>
  <c r="I1246" i="12"/>
  <c r="M1238" i="12"/>
  <c r="L1238" i="12"/>
  <c r="K1238" i="12"/>
  <c r="J1238" i="12"/>
  <c r="I1238" i="12"/>
  <c r="M1230" i="12"/>
  <c r="L1230" i="12"/>
  <c r="K1230" i="12"/>
  <c r="J1230" i="12"/>
  <c r="I1230" i="12"/>
  <c r="M1222" i="12"/>
  <c r="L1222" i="12"/>
  <c r="K1222" i="12"/>
  <c r="J1222" i="12"/>
  <c r="I1222" i="12"/>
  <c r="M1214" i="12"/>
  <c r="L1214" i="12"/>
  <c r="K1214" i="12"/>
  <c r="J1214" i="12"/>
  <c r="I1214" i="12"/>
  <c r="M1206" i="12"/>
  <c r="L1206" i="12"/>
  <c r="K1206" i="12"/>
  <c r="J1206" i="12"/>
  <c r="I1206" i="12"/>
  <c r="M1198" i="12"/>
  <c r="L1198" i="12"/>
  <c r="K1198" i="12"/>
  <c r="J1198" i="12"/>
  <c r="I1198" i="12"/>
  <c r="M1190" i="12"/>
  <c r="L1190" i="12"/>
  <c r="K1190" i="12"/>
  <c r="J1190" i="12"/>
  <c r="I1190" i="12"/>
  <c r="M1182" i="12"/>
  <c r="L1182" i="12"/>
  <c r="K1182" i="12"/>
  <c r="J1182" i="12"/>
  <c r="I1182" i="12"/>
  <c r="M1174" i="12"/>
  <c r="L1174" i="12"/>
  <c r="K1174" i="12"/>
  <c r="J1174" i="12"/>
  <c r="I1174" i="12"/>
  <c r="M1166" i="12"/>
  <c r="L1166" i="12"/>
  <c r="K1166" i="12"/>
  <c r="J1166" i="12"/>
  <c r="I1166" i="12"/>
  <c r="M1158" i="12"/>
  <c r="L1158" i="12"/>
  <c r="K1158" i="12"/>
  <c r="J1158" i="12"/>
  <c r="I1158" i="12"/>
  <c r="M1150" i="12"/>
  <c r="L1150" i="12"/>
  <c r="K1150" i="12"/>
  <c r="J1150" i="12"/>
  <c r="I1150" i="12"/>
  <c r="M1142" i="12"/>
  <c r="L1142" i="12"/>
  <c r="K1142" i="12"/>
  <c r="J1142" i="12"/>
  <c r="I1142" i="12"/>
  <c r="M1134" i="12"/>
  <c r="L1134" i="12"/>
  <c r="K1134" i="12"/>
  <c r="J1134" i="12"/>
  <c r="I1134" i="12"/>
  <c r="M1126" i="12"/>
  <c r="L1126" i="12"/>
  <c r="K1126" i="12"/>
  <c r="J1126" i="12"/>
  <c r="I1126" i="12"/>
  <c r="M1118" i="12"/>
  <c r="L1118" i="12"/>
  <c r="K1118" i="12"/>
  <c r="J1118" i="12"/>
  <c r="I1118" i="12"/>
  <c r="M1110" i="12"/>
  <c r="L1110" i="12"/>
  <c r="K1110" i="12"/>
  <c r="J1110" i="12"/>
  <c r="I1110" i="12"/>
  <c r="M1102" i="12"/>
  <c r="L1102" i="12"/>
  <c r="K1102" i="12"/>
  <c r="J1102" i="12"/>
  <c r="I1102" i="12"/>
  <c r="M1094" i="12"/>
  <c r="L1094" i="12"/>
  <c r="K1094" i="12"/>
  <c r="J1094" i="12"/>
  <c r="I1094" i="12"/>
  <c r="M1086" i="12"/>
  <c r="L1086" i="12"/>
  <c r="K1086" i="12"/>
  <c r="J1086" i="12"/>
  <c r="I1086" i="12"/>
  <c r="M1078" i="12"/>
  <c r="L1078" i="12"/>
  <c r="K1078" i="12"/>
  <c r="J1078" i="12"/>
  <c r="I1078" i="12"/>
  <c r="M1070" i="12"/>
  <c r="L1070" i="12"/>
  <c r="K1070" i="12"/>
  <c r="J1070" i="12"/>
  <c r="I1070" i="12"/>
  <c r="M1062" i="12"/>
  <c r="L1062" i="12"/>
  <c r="K1062" i="12"/>
  <c r="J1062" i="12"/>
  <c r="I1062" i="12"/>
  <c r="M1054" i="12"/>
  <c r="L1054" i="12"/>
  <c r="K1054" i="12"/>
  <c r="J1054" i="12"/>
  <c r="I1054" i="12"/>
  <c r="M1046" i="12"/>
  <c r="L1046" i="12"/>
  <c r="K1046" i="12"/>
  <c r="J1046" i="12"/>
  <c r="I1046" i="12"/>
  <c r="M1038" i="12"/>
  <c r="L1038" i="12"/>
  <c r="K1038" i="12"/>
  <c r="J1038" i="12"/>
  <c r="I1038" i="12"/>
  <c r="M1030" i="12"/>
  <c r="L1030" i="12"/>
  <c r="K1030" i="12"/>
  <c r="J1030" i="12"/>
  <c r="I1030" i="12"/>
  <c r="M1022" i="12"/>
  <c r="L1022" i="12"/>
  <c r="K1022" i="12"/>
  <c r="J1022" i="12"/>
  <c r="I1022" i="12"/>
  <c r="M1014" i="12"/>
  <c r="L1014" i="12"/>
  <c r="K1014" i="12"/>
  <c r="J1014" i="12"/>
  <c r="I1014" i="12"/>
  <c r="M1006" i="12"/>
  <c r="L1006" i="12"/>
  <c r="K1006" i="12"/>
  <c r="J1006" i="12"/>
  <c r="I1006" i="12"/>
  <c r="M998" i="12"/>
  <c r="L998" i="12"/>
  <c r="K998" i="12"/>
  <c r="J998" i="12"/>
  <c r="I998" i="12"/>
  <c r="M990" i="12"/>
  <c r="L990" i="12"/>
  <c r="K990" i="12"/>
  <c r="J990" i="12"/>
  <c r="I990" i="12"/>
  <c r="M982" i="12"/>
  <c r="L982" i="12"/>
  <c r="K982" i="12"/>
  <c r="J982" i="12"/>
  <c r="I982" i="12"/>
  <c r="M974" i="12"/>
  <c r="L974" i="12"/>
  <c r="K974" i="12"/>
  <c r="J974" i="12"/>
  <c r="I974" i="12"/>
  <c r="M966" i="12"/>
  <c r="L966" i="12"/>
  <c r="K966" i="12"/>
  <c r="J966" i="12"/>
  <c r="I966" i="12"/>
  <c r="M958" i="12"/>
  <c r="L958" i="12"/>
  <c r="K958" i="12"/>
  <c r="J958" i="12"/>
  <c r="I958" i="12"/>
  <c r="M950" i="12"/>
  <c r="L950" i="12"/>
  <c r="K950" i="12"/>
  <c r="J950" i="12"/>
  <c r="I950" i="12"/>
  <c r="M942" i="12"/>
  <c r="L942" i="12"/>
  <c r="K942" i="12"/>
  <c r="J942" i="12"/>
  <c r="I942" i="12"/>
  <c r="M934" i="12"/>
  <c r="L934" i="12"/>
  <c r="K934" i="12"/>
  <c r="J934" i="12"/>
  <c r="I934" i="12"/>
  <c r="M926" i="12"/>
  <c r="L926" i="12"/>
  <c r="K926" i="12"/>
  <c r="J926" i="12"/>
  <c r="I926" i="12"/>
  <c r="M918" i="12"/>
  <c r="L918" i="12"/>
  <c r="K918" i="12"/>
  <c r="J918" i="12"/>
  <c r="I918" i="12"/>
  <c r="M910" i="12"/>
  <c r="L910" i="12"/>
  <c r="K910" i="12"/>
  <c r="J910" i="12"/>
  <c r="I910" i="12"/>
  <c r="M902" i="12"/>
  <c r="L902" i="12"/>
  <c r="K902" i="12"/>
  <c r="J902" i="12"/>
  <c r="I902" i="12"/>
  <c r="M894" i="12"/>
  <c r="L894" i="12"/>
  <c r="K894" i="12"/>
  <c r="J894" i="12"/>
  <c r="I894" i="12"/>
  <c r="M886" i="12"/>
  <c r="L886" i="12"/>
  <c r="K886" i="12"/>
  <c r="J886" i="12"/>
  <c r="I886" i="12"/>
  <c r="M878" i="12"/>
  <c r="L878" i="12"/>
  <c r="K878" i="12"/>
  <c r="J878" i="12"/>
  <c r="I878" i="12"/>
  <c r="M870" i="12"/>
  <c r="L870" i="12"/>
  <c r="K870" i="12"/>
  <c r="J870" i="12"/>
  <c r="I870" i="12"/>
  <c r="M862" i="12"/>
  <c r="L862" i="12"/>
  <c r="K862" i="12"/>
  <c r="J862" i="12"/>
  <c r="I862" i="12"/>
  <c r="M854" i="12"/>
  <c r="L854" i="12"/>
  <c r="K854" i="12"/>
  <c r="J854" i="12"/>
  <c r="I854" i="12"/>
  <c r="M846" i="12"/>
  <c r="L846" i="12"/>
  <c r="K846" i="12"/>
  <c r="J846" i="12"/>
  <c r="I846" i="12"/>
  <c r="M838" i="12"/>
  <c r="L838" i="12"/>
  <c r="K838" i="12"/>
  <c r="J838" i="12"/>
  <c r="I838" i="12"/>
  <c r="M830" i="12"/>
  <c r="L830" i="12"/>
  <c r="K830" i="12"/>
  <c r="J830" i="12"/>
  <c r="I830" i="12"/>
  <c r="M822" i="12"/>
  <c r="L822" i="12"/>
  <c r="K822" i="12"/>
  <c r="J822" i="12"/>
  <c r="I822" i="12"/>
  <c r="M814" i="12"/>
  <c r="L814" i="12"/>
  <c r="K814" i="12"/>
  <c r="J814" i="12"/>
  <c r="I814" i="12"/>
  <c r="M806" i="12"/>
  <c r="L806" i="12"/>
  <c r="K806" i="12"/>
  <c r="J806" i="12"/>
  <c r="I806" i="12"/>
  <c r="M798" i="12"/>
  <c r="L798" i="12"/>
  <c r="K798" i="12"/>
  <c r="J798" i="12"/>
  <c r="I798" i="12"/>
  <c r="M790" i="12"/>
  <c r="L790" i="12"/>
  <c r="K790" i="12"/>
  <c r="J790" i="12"/>
  <c r="I790" i="12"/>
  <c r="M782" i="12"/>
  <c r="L782" i="12"/>
  <c r="K782" i="12"/>
  <c r="J782" i="12"/>
  <c r="I782" i="12"/>
  <c r="M774" i="12"/>
  <c r="L774" i="12"/>
  <c r="K774" i="12"/>
  <c r="J774" i="12"/>
  <c r="I774" i="12"/>
  <c r="M766" i="12"/>
  <c r="L766" i="12"/>
  <c r="K766" i="12"/>
  <c r="J766" i="12"/>
  <c r="I766" i="12"/>
  <c r="M758" i="12"/>
  <c r="L758" i="12"/>
  <c r="K758" i="12"/>
  <c r="J758" i="12"/>
  <c r="I758" i="12"/>
  <c r="M750" i="12"/>
  <c r="L750" i="12"/>
  <c r="K750" i="12"/>
  <c r="J750" i="12"/>
  <c r="I750" i="12"/>
  <c r="M742" i="12"/>
  <c r="L742" i="12"/>
  <c r="K742" i="12"/>
  <c r="J742" i="12"/>
  <c r="I742" i="12"/>
  <c r="M734" i="12"/>
  <c r="L734" i="12"/>
  <c r="K734" i="12"/>
  <c r="J734" i="12"/>
  <c r="I734" i="12"/>
  <c r="M726" i="12"/>
  <c r="L726" i="12"/>
  <c r="K726" i="12"/>
  <c r="J726" i="12"/>
  <c r="I726" i="12"/>
  <c r="M718" i="12"/>
  <c r="L718" i="12"/>
  <c r="K718" i="12"/>
  <c r="J718" i="12"/>
  <c r="I718" i="12"/>
  <c r="M710" i="12"/>
  <c r="L710" i="12"/>
  <c r="K710" i="12"/>
  <c r="J710" i="12"/>
  <c r="I710" i="12"/>
  <c r="M702" i="12"/>
  <c r="L702" i="12"/>
  <c r="K702" i="12"/>
  <c r="J702" i="12"/>
  <c r="I702" i="12"/>
  <c r="M694" i="12"/>
  <c r="L694" i="12"/>
  <c r="K694" i="12"/>
  <c r="J694" i="12"/>
  <c r="I694" i="12"/>
  <c r="M686" i="12"/>
  <c r="L686" i="12"/>
  <c r="K686" i="12"/>
  <c r="J686" i="12"/>
  <c r="I686" i="12"/>
  <c r="M678" i="12"/>
  <c r="L678" i="12"/>
  <c r="K678" i="12"/>
  <c r="J678" i="12"/>
  <c r="I678" i="12"/>
  <c r="M670" i="12"/>
  <c r="L670" i="12"/>
  <c r="K670" i="12"/>
  <c r="J670" i="12"/>
  <c r="I670" i="12"/>
  <c r="M662" i="12"/>
  <c r="L662" i="12"/>
  <c r="K662" i="12"/>
  <c r="J662" i="12"/>
  <c r="I662" i="12"/>
  <c r="M654" i="12"/>
  <c r="L654" i="12"/>
  <c r="K654" i="12"/>
  <c r="J654" i="12"/>
  <c r="I654" i="12"/>
  <c r="M646" i="12"/>
  <c r="L646" i="12"/>
  <c r="K646" i="12"/>
  <c r="J646" i="12"/>
  <c r="I646" i="12"/>
  <c r="M638" i="12"/>
  <c r="L638" i="12"/>
  <c r="K638" i="12"/>
  <c r="J638" i="12"/>
  <c r="I638" i="12"/>
  <c r="M630" i="12"/>
  <c r="L630" i="12"/>
  <c r="K630" i="12"/>
  <c r="J630" i="12"/>
  <c r="I630" i="12"/>
  <c r="M622" i="12"/>
  <c r="L622" i="12"/>
  <c r="K622" i="12"/>
  <c r="J622" i="12"/>
  <c r="I622" i="12"/>
  <c r="M614" i="12"/>
  <c r="L614" i="12"/>
  <c r="K614" i="12"/>
  <c r="J614" i="12"/>
  <c r="I614" i="12"/>
  <c r="M606" i="12"/>
  <c r="L606" i="12"/>
  <c r="K606" i="12"/>
  <c r="J606" i="12"/>
  <c r="I606" i="12"/>
  <c r="M598" i="12"/>
  <c r="L598" i="12"/>
  <c r="K598" i="12"/>
  <c r="J598" i="12"/>
  <c r="I598" i="12"/>
  <c r="M590" i="12"/>
  <c r="L590" i="12"/>
  <c r="K590" i="12"/>
  <c r="J590" i="12"/>
  <c r="I590" i="12"/>
  <c r="M582" i="12"/>
  <c r="L582" i="12"/>
  <c r="K582" i="12"/>
  <c r="J582" i="12"/>
  <c r="I582" i="12"/>
  <c r="I2999" i="12"/>
  <c r="I2935" i="12"/>
  <c r="I2871" i="12"/>
  <c r="I2807" i="12"/>
  <c r="I2743" i="12"/>
  <c r="I2679" i="12"/>
  <c r="I2615" i="12"/>
  <c r="I2551" i="12"/>
  <c r="I2487" i="12"/>
  <c r="I2423" i="12"/>
  <c r="I2359" i="12"/>
  <c r="I2295" i="12"/>
  <c r="I2231" i="12"/>
  <c r="I2167" i="12"/>
  <c r="I2103" i="12"/>
  <c r="I2039" i="12"/>
  <c r="I1975" i="12"/>
  <c r="I1911" i="12"/>
  <c r="I1847" i="12"/>
  <c r="I1783" i="12"/>
  <c r="I1719" i="12"/>
  <c r="I1655" i="12"/>
  <c r="I1591" i="12"/>
  <c r="I1527" i="12"/>
  <c r="I1463" i="12"/>
  <c r="I1399" i="12"/>
  <c r="I1335" i="12"/>
  <c r="I1271" i="12"/>
  <c r="I1207" i="12"/>
  <c r="I1143" i="12"/>
  <c r="I1079" i="12"/>
  <c r="I1015" i="12"/>
  <c r="I951" i="12"/>
  <c r="I887" i="12"/>
  <c r="J2137" i="12"/>
  <c r="M2997" i="12"/>
  <c r="L2997" i="12"/>
  <c r="K2997" i="12"/>
  <c r="J2997" i="12"/>
  <c r="I2997" i="12"/>
  <c r="M2989" i="12"/>
  <c r="L2989" i="12"/>
  <c r="K2989" i="12"/>
  <c r="J2989" i="12"/>
  <c r="I2989" i="12"/>
  <c r="M2981" i="12"/>
  <c r="L2981" i="12"/>
  <c r="K2981" i="12"/>
  <c r="J2981" i="12"/>
  <c r="I2981" i="12"/>
  <c r="M2973" i="12"/>
  <c r="L2973" i="12"/>
  <c r="K2973" i="12"/>
  <c r="I2973" i="12"/>
  <c r="J2973" i="12"/>
  <c r="M2965" i="12"/>
  <c r="L2965" i="12"/>
  <c r="K2965" i="12"/>
  <c r="J2965" i="12"/>
  <c r="I2965" i="12"/>
  <c r="M2957" i="12"/>
  <c r="L2957" i="12"/>
  <c r="K2957" i="12"/>
  <c r="J2957" i="12"/>
  <c r="I2957" i="12"/>
  <c r="M2949" i="12"/>
  <c r="L2949" i="12"/>
  <c r="K2949" i="12"/>
  <c r="J2949" i="12"/>
  <c r="I2949" i="12"/>
  <c r="M2941" i="12"/>
  <c r="L2941" i="12"/>
  <c r="K2941" i="12"/>
  <c r="J2941" i="12"/>
  <c r="I2941" i="12"/>
  <c r="M2933" i="12"/>
  <c r="L2933" i="12"/>
  <c r="K2933" i="12"/>
  <c r="J2933" i="12"/>
  <c r="I2933" i="12"/>
  <c r="M2925" i="12"/>
  <c r="L2925" i="12"/>
  <c r="K2925" i="12"/>
  <c r="J2925" i="12"/>
  <c r="I2925" i="12"/>
  <c r="M2917" i="12"/>
  <c r="L2917" i="12"/>
  <c r="K2917" i="12"/>
  <c r="J2917" i="12"/>
  <c r="I2917" i="12"/>
  <c r="M2909" i="12"/>
  <c r="L2909" i="12"/>
  <c r="K2909" i="12"/>
  <c r="J2909" i="12"/>
  <c r="I2909" i="12"/>
  <c r="M2901" i="12"/>
  <c r="L2901" i="12"/>
  <c r="K2901" i="12"/>
  <c r="J2901" i="12"/>
  <c r="I2901" i="12"/>
  <c r="M2893" i="12"/>
  <c r="L2893" i="12"/>
  <c r="K2893" i="12"/>
  <c r="J2893" i="12"/>
  <c r="I2893" i="12"/>
  <c r="M2885" i="12"/>
  <c r="L2885" i="12"/>
  <c r="K2885" i="12"/>
  <c r="J2885" i="12"/>
  <c r="I2885" i="12"/>
  <c r="M2877" i="12"/>
  <c r="L2877" i="12"/>
  <c r="K2877" i="12"/>
  <c r="I2877" i="12"/>
  <c r="M2869" i="12"/>
  <c r="L2869" i="12"/>
  <c r="K2869" i="12"/>
  <c r="J2869" i="12"/>
  <c r="I2869" i="12"/>
  <c r="M2861" i="12"/>
  <c r="L2861" i="12"/>
  <c r="K2861" i="12"/>
  <c r="J2861" i="12"/>
  <c r="I2861" i="12"/>
  <c r="M2853" i="12"/>
  <c r="L2853" i="12"/>
  <c r="K2853" i="12"/>
  <c r="J2853" i="12"/>
  <c r="I2853" i="12"/>
  <c r="M2845" i="12"/>
  <c r="L2845" i="12"/>
  <c r="K2845" i="12"/>
  <c r="J2845" i="12"/>
  <c r="I2845" i="12"/>
  <c r="M2837" i="12"/>
  <c r="L2837" i="12"/>
  <c r="K2837" i="12"/>
  <c r="J2837" i="12"/>
  <c r="I2837" i="12"/>
  <c r="M2829" i="12"/>
  <c r="L2829" i="12"/>
  <c r="K2829" i="12"/>
  <c r="J2829" i="12"/>
  <c r="I2829" i="12"/>
  <c r="M2821" i="12"/>
  <c r="L2821" i="12"/>
  <c r="K2821" i="12"/>
  <c r="J2821" i="12"/>
  <c r="I2821" i="12"/>
  <c r="M2813" i="12"/>
  <c r="L2813" i="12"/>
  <c r="K2813" i="12"/>
  <c r="J2813" i="12"/>
  <c r="I2813" i="12"/>
  <c r="M2805" i="12"/>
  <c r="L2805" i="12"/>
  <c r="K2805" i="12"/>
  <c r="J2805" i="12"/>
  <c r="I2805" i="12"/>
  <c r="M2797" i="12"/>
  <c r="L2797" i="12"/>
  <c r="K2797" i="12"/>
  <c r="J2797" i="12"/>
  <c r="I2797" i="12"/>
  <c r="M2789" i="12"/>
  <c r="L2789" i="12"/>
  <c r="K2789" i="12"/>
  <c r="J2789" i="12"/>
  <c r="I2789" i="12"/>
  <c r="M2781" i="12"/>
  <c r="L2781" i="12"/>
  <c r="K2781" i="12"/>
  <c r="I2781" i="12"/>
  <c r="J2781" i="12"/>
  <c r="M2773" i="12"/>
  <c r="L2773" i="12"/>
  <c r="K2773" i="12"/>
  <c r="J2773" i="12"/>
  <c r="I2773" i="12"/>
  <c r="M2765" i="12"/>
  <c r="L2765" i="12"/>
  <c r="K2765" i="12"/>
  <c r="J2765" i="12"/>
  <c r="I2765" i="12"/>
  <c r="M2757" i="12"/>
  <c r="L2757" i="12"/>
  <c r="K2757" i="12"/>
  <c r="J2757" i="12"/>
  <c r="I2757" i="12"/>
  <c r="M2749" i="12"/>
  <c r="L2749" i="12"/>
  <c r="K2749" i="12"/>
  <c r="J2749" i="12"/>
  <c r="I2749" i="12"/>
  <c r="M2741" i="12"/>
  <c r="L2741" i="12"/>
  <c r="K2741" i="12"/>
  <c r="J2741" i="12"/>
  <c r="I2741" i="12"/>
  <c r="M2733" i="12"/>
  <c r="L2733" i="12"/>
  <c r="K2733" i="12"/>
  <c r="J2733" i="12"/>
  <c r="I2733" i="12"/>
  <c r="M2725" i="12"/>
  <c r="L2725" i="12"/>
  <c r="K2725" i="12"/>
  <c r="J2725" i="12"/>
  <c r="I2725" i="12"/>
  <c r="M2717" i="12"/>
  <c r="L2717" i="12"/>
  <c r="K2717" i="12"/>
  <c r="I2717" i="12"/>
  <c r="J2717" i="12"/>
  <c r="M2709" i="12"/>
  <c r="L2709" i="12"/>
  <c r="K2709" i="12"/>
  <c r="J2709" i="12"/>
  <c r="I2709" i="12"/>
  <c r="M2701" i="12"/>
  <c r="L2701" i="12"/>
  <c r="K2701" i="12"/>
  <c r="J2701" i="12"/>
  <c r="I2701" i="12"/>
  <c r="M2693" i="12"/>
  <c r="L2693" i="12"/>
  <c r="K2693" i="12"/>
  <c r="J2693" i="12"/>
  <c r="I2693" i="12"/>
  <c r="M2685" i="12"/>
  <c r="L2685" i="12"/>
  <c r="K2685" i="12"/>
  <c r="J2685" i="12"/>
  <c r="I2685" i="12"/>
  <c r="M2677" i="12"/>
  <c r="L2677" i="12"/>
  <c r="K2677" i="12"/>
  <c r="J2677" i="12"/>
  <c r="I2677" i="12"/>
  <c r="M2669" i="12"/>
  <c r="L2669" i="12"/>
  <c r="K2669" i="12"/>
  <c r="J2669" i="12"/>
  <c r="I2669" i="12"/>
  <c r="M2661" i="12"/>
  <c r="L2661" i="12"/>
  <c r="K2661" i="12"/>
  <c r="J2661" i="12"/>
  <c r="I2661" i="12"/>
  <c r="M2653" i="12"/>
  <c r="L2653" i="12"/>
  <c r="K2653" i="12"/>
  <c r="J2653" i="12"/>
  <c r="I2653" i="12"/>
  <c r="M2645" i="12"/>
  <c r="L2645" i="12"/>
  <c r="K2645" i="12"/>
  <c r="J2645" i="12"/>
  <c r="I2645" i="12"/>
  <c r="M2637" i="12"/>
  <c r="L2637" i="12"/>
  <c r="K2637" i="12"/>
  <c r="J2637" i="12"/>
  <c r="I2637" i="12"/>
  <c r="M2629" i="12"/>
  <c r="L2629" i="12"/>
  <c r="K2629" i="12"/>
  <c r="J2629" i="12"/>
  <c r="I2629" i="12"/>
  <c r="M2621" i="12"/>
  <c r="L2621" i="12"/>
  <c r="K2621" i="12"/>
  <c r="I2621" i="12"/>
  <c r="M2613" i="12"/>
  <c r="L2613" i="12"/>
  <c r="K2613" i="12"/>
  <c r="J2613" i="12"/>
  <c r="I2613" i="12"/>
  <c r="M2605" i="12"/>
  <c r="L2605" i="12"/>
  <c r="K2605" i="12"/>
  <c r="J2605" i="12"/>
  <c r="I2605" i="12"/>
  <c r="M2597" i="12"/>
  <c r="L2597" i="12"/>
  <c r="K2597" i="12"/>
  <c r="J2597" i="12"/>
  <c r="I2597" i="12"/>
  <c r="M2589" i="12"/>
  <c r="L2589" i="12"/>
  <c r="K2589" i="12"/>
  <c r="J2589" i="12"/>
  <c r="I2589" i="12"/>
  <c r="M2581" i="12"/>
  <c r="L2581" i="12"/>
  <c r="K2581" i="12"/>
  <c r="J2581" i="12"/>
  <c r="I2581" i="12"/>
  <c r="M2573" i="12"/>
  <c r="L2573" i="12"/>
  <c r="K2573" i="12"/>
  <c r="J2573" i="12"/>
  <c r="I2573" i="12"/>
  <c r="M2565" i="12"/>
  <c r="L2565" i="12"/>
  <c r="K2565" i="12"/>
  <c r="J2565" i="12"/>
  <c r="I2565" i="12"/>
  <c r="M2557" i="12"/>
  <c r="L2557" i="12"/>
  <c r="K2557" i="12"/>
  <c r="J2557" i="12"/>
  <c r="I2557" i="12"/>
  <c r="M2549" i="12"/>
  <c r="L2549" i="12"/>
  <c r="K2549" i="12"/>
  <c r="J2549" i="12"/>
  <c r="I2549" i="12"/>
  <c r="M2541" i="12"/>
  <c r="L2541" i="12"/>
  <c r="K2541" i="12"/>
  <c r="J2541" i="12"/>
  <c r="I2541" i="12"/>
  <c r="M2533" i="12"/>
  <c r="L2533" i="12"/>
  <c r="K2533" i="12"/>
  <c r="J2533" i="12"/>
  <c r="I2533" i="12"/>
  <c r="M2525" i="12"/>
  <c r="L2525" i="12"/>
  <c r="K2525" i="12"/>
  <c r="I2525" i="12"/>
  <c r="J2525" i="12"/>
  <c r="M2517" i="12"/>
  <c r="L2517" i="12"/>
  <c r="K2517" i="12"/>
  <c r="J2517" i="12"/>
  <c r="I2517" i="12"/>
  <c r="M2509" i="12"/>
  <c r="L2509" i="12"/>
  <c r="K2509" i="12"/>
  <c r="J2509" i="12"/>
  <c r="I2509" i="12"/>
  <c r="M2501" i="12"/>
  <c r="L2501" i="12"/>
  <c r="K2501" i="12"/>
  <c r="J2501" i="12"/>
  <c r="I2501" i="12"/>
  <c r="M2493" i="12"/>
  <c r="L2493" i="12"/>
  <c r="K2493" i="12"/>
  <c r="J2493" i="12"/>
  <c r="I2493" i="12"/>
  <c r="M2485" i="12"/>
  <c r="L2485" i="12"/>
  <c r="K2485" i="12"/>
  <c r="J2485" i="12"/>
  <c r="I2485" i="12"/>
  <c r="M2477" i="12"/>
  <c r="L2477" i="12"/>
  <c r="K2477" i="12"/>
  <c r="J2477" i="12"/>
  <c r="I2477" i="12"/>
  <c r="M2469" i="12"/>
  <c r="L2469" i="12"/>
  <c r="K2469" i="12"/>
  <c r="J2469" i="12"/>
  <c r="I2469" i="12"/>
  <c r="M2461" i="12"/>
  <c r="L2461" i="12"/>
  <c r="K2461" i="12"/>
  <c r="I2461" i="12"/>
  <c r="J2461" i="12"/>
  <c r="M2453" i="12"/>
  <c r="L2453" i="12"/>
  <c r="K2453" i="12"/>
  <c r="J2453" i="12"/>
  <c r="I2453" i="12"/>
  <c r="M2445" i="12"/>
  <c r="L2445" i="12"/>
  <c r="K2445" i="12"/>
  <c r="J2445" i="12"/>
  <c r="I2445" i="12"/>
  <c r="M2437" i="12"/>
  <c r="L2437" i="12"/>
  <c r="K2437" i="12"/>
  <c r="J2437" i="12"/>
  <c r="I2437" i="12"/>
  <c r="M2429" i="12"/>
  <c r="L2429" i="12"/>
  <c r="K2429" i="12"/>
  <c r="J2429" i="12"/>
  <c r="I2429" i="12"/>
  <c r="M2421" i="12"/>
  <c r="L2421" i="12"/>
  <c r="K2421" i="12"/>
  <c r="J2421" i="12"/>
  <c r="I2421" i="12"/>
  <c r="M2413" i="12"/>
  <c r="L2413" i="12"/>
  <c r="K2413" i="12"/>
  <c r="J2413" i="12"/>
  <c r="I2413" i="12"/>
  <c r="M2405" i="12"/>
  <c r="L2405" i="12"/>
  <c r="K2405" i="12"/>
  <c r="J2405" i="12"/>
  <c r="I2405" i="12"/>
  <c r="M2397" i="12"/>
  <c r="L2397" i="12"/>
  <c r="K2397" i="12"/>
  <c r="J2397" i="12"/>
  <c r="I2397" i="12"/>
  <c r="M2389" i="12"/>
  <c r="L2389" i="12"/>
  <c r="K2389" i="12"/>
  <c r="J2389" i="12"/>
  <c r="I2389" i="12"/>
  <c r="M2381" i="12"/>
  <c r="L2381" i="12"/>
  <c r="K2381" i="12"/>
  <c r="J2381" i="12"/>
  <c r="I2381" i="12"/>
  <c r="M2373" i="12"/>
  <c r="L2373" i="12"/>
  <c r="K2373" i="12"/>
  <c r="J2373" i="12"/>
  <c r="I2373" i="12"/>
  <c r="M2365" i="12"/>
  <c r="L2365" i="12"/>
  <c r="K2365" i="12"/>
  <c r="J2365" i="12"/>
  <c r="I2365" i="12"/>
  <c r="M2357" i="12"/>
  <c r="L2357" i="12"/>
  <c r="K2357" i="12"/>
  <c r="J2357" i="12"/>
  <c r="I2357" i="12"/>
  <c r="M2349" i="12"/>
  <c r="L2349" i="12"/>
  <c r="K2349" i="12"/>
  <c r="J2349" i="12"/>
  <c r="I2349" i="12"/>
  <c r="M2341" i="12"/>
  <c r="L2341" i="12"/>
  <c r="K2341" i="12"/>
  <c r="J2341" i="12"/>
  <c r="I2341" i="12"/>
  <c r="M2333" i="12"/>
  <c r="L2333" i="12"/>
  <c r="K2333" i="12"/>
  <c r="J2333" i="12"/>
  <c r="I2333" i="12"/>
  <c r="M2325" i="12"/>
  <c r="L2325" i="12"/>
  <c r="K2325" i="12"/>
  <c r="J2325" i="12"/>
  <c r="I2325" i="12"/>
  <c r="M2317" i="12"/>
  <c r="L2317" i="12"/>
  <c r="K2317" i="12"/>
  <c r="J2317" i="12"/>
  <c r="I2317" i="12"/>
  <c r="M2309" i="12"/>
  <c r="L2309" i="12"/>
  <c r="K2309" i="12"/>
  <c r="J2309" i="12"/>
  <c r="I2309" i="12"/>
  <c r="M2301" i="12"/>
  <c r="L2301" i="12"/>
  <c r="K2301" i="12"/>
  <c r="J2301" i="12"/>
  <c r="I2301" i="12"/>
  <c r="M2293" i="12"/>
  <c r="L2293" i="12"/>
  <c r="K2293" i="12"/>
  <c r="J2293" i="12"/>
  <c r="I2293" i="12"/>
  <c r="M2285" i="12"/>
  <c r="L2285" i="12"/>
  <c r="K2285" i="12"/>
  <c r="J2285" i="12"/>
  <c r="I2285" i="12"/>
  <c r="M2277" i="12"/>
  <c r="L2277" i="12"/>
  <c r="K2277" i="12"/>
  <c r="J2277" i="12"/>
  <c r="I2277" i="12"/>
  <c r="M2269" i="12"/>
  <c r="L2269" i="12"/>
  <c r="K2269" i="12"/>
  <c r="J2269" i="12"/>
  <c r="I2269" i="12"/>
  <c r="M2261" i="12"/>
  <c r="L2261" i="12"/>
  <c r="K2261" i="12"/>
  <c r="J2261" i="12"/>
  <c r="I2261" i="12"/>
  <c r="M2253" i="12"/>
  <c r="L2253" i="12"/>
  <c r="K2253" i="12"/>
  <c r="J2253" i="12"/>
  <c r="I2253" i="12"/>
  <c r="M2245" i="12"/>
  <c r="L2245" i="12"/>
  <c r="K2245" i="12"/>
  <c r="J2245" i="12"/>
  <c r="I2245" i="12"/>
  <c r="M2237" i="12"/>
  <c r="L2237" i="12"/>
  <c r="K2237" i="12"/>
  <c r="J2237" i="12"/>
  <c r="I2237" i="12"/>
  <c r="M2229" i="12"/>
  <c r="L2229" i="12"/>
  <c r="K2229" i="12"/>
  <c r="J2229" i="12"/>
  <c r="I2229" i="12"/>
  <c r="M2221" i="12"/>
  <c r="L2221" i="12"/>
  <c r="K2221" i="12"/>
  <c r="J2221" i="12"/>
  <c r="I2221" i="12"/>
  <c r="M2213" i="12"/>
  <c r="L2213" i="12"/>
  <c r="K2213" i="12"/>
  <c r="J2213" i="12"/>
  <c r="I2213" i="12"/>
  <c r="M2205" i="12"/>
  <c r="L2205" i="12"/>
  <c r="K2205" i="12"/>
  <c r="J2205" i="12"/>
  <c r="I2205" i="12"/>
  <c r="M2197" i="12"/>
  <c r="L2197" i="12"/>
  <c r="K2197" i="12"/>
  <c r="J2197" i="12"/>
  <c r="I2197" i="12"/>
  <c r="M2189" i="12"/>
  <c r="L2189" i="12"/>
  <c r="K2189" i="12"/>
  <c r="J2189" i="12"/>
  <c r="I2189" i="12"/>
  <c r="M2181" i="12"/>
  <c r="L2181" i="12"/>
  <c r="K2181" i="12"/>
  <c r="J2181" i="12"/>
  <c r="I2181" i="12"/>
  <c r="M2173" i="12"/>
  <c r="L2173" i="12"/>
  <c r="K2173" i="12"/>
  <c r="J2173" i="12"/>
  <c r="I2173" i="12"/>
  <c r="M2165" i="12"/>
  <c r="L2165" i="12"/>
  <c r="K2165" i="12"/>
  <c r="J2165" i="12"/>
  <c r="I2165" i="12"/>
  <c r="M2157" i="12"/>
  <c r="L2157" i="12"/>
  <c r="K2157" i="12"/>
  <c r="J2157" i="12"/>
  <c r="I2157" i="12"/>
  <c r="M2149" i="12"/>
  <c r="L2149" i="12"/>
  <c r="K2149" i="12"/>
  <c r="J2149" i="12"/>
  <c r="I2149" i="12"/>
  <c r="M2141" i="12"/>
  <c r="L2141" i="12"/>
  <c r="K2141" i="12"/>
  <c r="J2141" i="12"/>
  <c r="I2141" i="12"/>
  <c r="M2133" i="12"/>
  <c r="L2133" i="12"/>
  <c r="K2133" i="12"/>
  <c r="J2133" i="12"/>
  <c r="I2133" i="12"/>
  <c r="M2125" i="12"/>
  <c r="L2125" i="12"/>
  <c r="K2125" i="12"/>
  <c r="J2125" i="12"/>
  <c r="I2125" i="12"/>
  <c r="M2117" i="12"/>
  <c r="L2117" i="12"/>
  <c r="K2117" i="12"/>
  <c r="J2117" i="12"/>
  <c r="I2117" i="12"/>
  <c r="M2109" i="12"/>
  <c r="L2109" i="12"/>
  <c r="K2109" i="12"/>
  <c r="J2109" i="12"/>
  <c r="I2109" i="12"/>
  <c r="M2101" i="12"/>
  <c r="L2101" i="12"/>
  <c r="K2101" i="12"/>
  <c r="J2101" i="12"/>
  <c r="I2101" i="12"/>
  <c r="M2093" i="12"/>
  <c r="L2093" i="12"/>
  <c r="K2093" i="12"/>
  <c r="J2093" i="12"/>
  <c r="I2093" i="12"/>
  <c r="M2085" i="12"/>
  <c r="L2085" i="12"/>
  <c r="K2085" i="12"/>
  <c r="J2085" i="12"/>
  <c r="I2085" i="12"/>
  <c r="M2077" i="12"/>
  <c r="L2077" i="12"/>
  <c r="K2077" i="12"/>
  <c r="J2077" i="12"/>
  <c r="I2077" i="12"/>
  <c r="M2069" i="12"/>
  <c r="L2069" i="12"/>
  <c r="K2069" i="12"/>
  <c r="J2069" i="12"/>
  <c r="I2069" i="12"/>
  <c r="M2061" i="12"/>
  <c r="L2061" i="12"/>
  <c r="K2061" i="12"/>
  <c r="J2061" i="12"/>
  <c r="I2061" i="12"/>
  <c r="M2053" i="12"/>
  <c r="L2053" i="12"/>
  <c r="K2053" i="12"/>
  <c r="J2053" i="12"/>
  <c r="I2053" i="12"/>
  <c r="M2045" i="12"/>
  <c r="L2045" i="12"/>
  <c r="K2045" i="12"/>
  <c r="J2045" i="12"/>
  <c r="I2045" i="12"/>
  <c r="M2037" i="12"/>
  <c r="L2037" i="12"/>
  <c r="K2037" i="12"/>
  <c r="J2037" i="12"/>
  <c r="I2037" i="12"/>
  <c r="M2029" i="12"/>
  <c r="L2029" i="12"/>
  <c r="K2029" i="12"/>
  <c r="J2029" i="12"/>
  <c r="I2029" i="12"/>
  <c r="M2021" i="12"/>
  <c r="L2021" i="12"/>
  <c r="K2021" i="12"/>
  <c r="J2021" i="12"/>
  <c r="I2021" i="12"/>
  <c r="M2013" i="12"/>
  <c r="L2013" i="12"/>
  <c r="K2013" i="12"/>
  <c r="J2013" i="12"/>
  <c r="I2013" i="12"/>
  <c r="M2005" i="12"/>
  <c r="L2005" i="12"/>
  <c r="K2005" i="12"/>
  <c r="J2005" i="12"/>
  <c r="I2005" i="12"/>
  <c r="M1997" i="12"/>
  <c r="L1997" i="12"/>
  <c r="K1997" i="12"/>
  <c r="J1997" i="12"/>
  <c r="I1997" i="12"/>
  <c r="M1989" i="12"/>
  <c r="L1989" i="12"/>
  <c r="K1989" i="12"/>
  <c r="J1989" i="12"/>
  <c r="I1989" i="12"/>
  <c r="M1981" i="12"/>
  <c r="L1981" i="12"/>
  <c r="K1981" i="12"/>
  <c r="J1981" i="12"/>
  <c r="I1981" i="12"/>
  <c r="M1973" i="12"/>
  <c r="L1973" i="12"/>
  <c r="K1973" i="12"/>
  <c r="J1973" i="12"/>
  <c r="I1973" i="12"/>
  <c r="M1965" i="12"/>
  <c r="L1965" i="12"/>
  <c r="K1965" i="12"/>
  <c r="J1965" i="12"/>
  <c r="I1965" i="12"/>
  <c r="M1957" i="12"/>
  <c r="L1957" i="12"/>
  <c r="K1957" i="12"/>
  <c r="J1957" i="12"/>
  <c r="I1957" i="12"/>
  <c r="M1949" i="12"/>
  <c r="L1949" i="12"/>
  <c r="K1949" i="12"/>
  <c r="J1949" i="12"/>
  <c r="I1949" i="12"/>
  <c r="M1941" i="12"/>
  <c r="L1941" i="12"/>
  <c r="K1941" i="12"/>
  <c r="J1941" i="12"/>
  <c r="I1941" i="12"/>
  <c r="M1933" i="12"/>
  <c r="L1933" i="12"/>
  <c r="K1933" i="12"/>
  <c r="J1933" i="12"/>
  <c r="I1933" i="12"/>
  <c r="M1925" i="12"/>
  <c r="L1925" i="12"/>
  <c r="K1925" i="12"/>
  <c r="J1925" i="12"/>
  <c r="I1925" i="12"/>
  <c r="M1917" i="12"/>
  <c r="L1917" i="12"/>
  <c r="K1917" i="12"/>
  <c r="J1917" i="12"/>
  <c r="I1917" i="12"/>
  <c r="M1909" i="12"/>
  <c r="L1909" i="12"/>
  <c r="K1909" i="12"/>
  <c r="J1909" i="12"/>
  <c r="I1909" i="12"/>
  <c r="M1901" i="12"/>
  <c r="L1901" i="12"/>
  <c r="K1901" i="12"/>
  <c r="J1901" i="12"/>
  <c r="I1901" i="12"/>
  <c r="M1893" i="12"/>
  <c r="L1893" i="12"/>
  <c r="K1893" i="12"/>
  <c r="J1893" i="12"/>
  <c r="I1893" i="12"/>
  <c r="M1885" i="12"/>
  <c r="L1885" i="12"/>
  <c r="K1885" i="12"/>
  <c r="J1885" i="12"/>
  <c r="I1885" i="12"/>
  <c r="M1877" i="12"/>
  <c r="L1877" i="12"/>
  <c r="K1877" i="12"/>
  <c r="J1877" i="12"/>
  <c r="I1877" i="12"/>
  <c r="M1869" i="12"/>
  <c r="L1869" i="12"/>
  <c r="K1869" i="12"/>
  <c r="J1869" i="12"/>
  <c r="I1869" i="12"/>
  <c r="M1861" i="12"/>
  <c r="L1861" i="12"/>
  <c r="K1861" i="12"/>
  <c r="J1861" i="12"/>
  <c r="I1861" i="12"/>
  <c r="M1853" i="12"/>
  <c r="L1853" i="12"/>
  <c r="K1853" i="12"/>
  <c r="J1853" i="12"/>
  <c r="I1853" i="12"/>
  <c r="M1845" i="12"/>
  <c r="L1845" i="12"/>
  <c r="K1845" i="12"/>
  <c r="J1845" i="12"/>
  <c r="I1845" i="12"/>
  <c r="M1837" i="12"/>
  <c r="L1837" i="12"/>
  <c r="K1837" i="12"/>
  <c r="J1837" i="12"/>
  <c r="I1837" i="12"/>
  <c r="M1829" i="12"/>
  <c r="L1829" i="12"/>
  <c r="K1829" i="12"/>
  <c r="J1829" i="12"/>
  <c r="I1829" i="12"/>
  <c r="M1821" i="12"/>
  <c r="L1821" i="12"/>
  <c r="K1821" i="12"/>
  <c r="J1821" i="12"/>
  <c r="I1821" i="12"/>
  <c r="M1813" i="12"/>
  <c r="L1813" i="12"/>
  <c r="K1813" i="12"/>
  <c r="J1813" i="12"/>
  <c r="I1813" i="12"/>
  <c r="M1805" i="12"/>
  <c r="L1805" i="12"/>
  <c r="K1805" i="12"/>
  <c r="J1805" i="12"/>
  <c r="I1805" i="12"/>
  <c r="M1797" i="12"/>
  <c r="L1797" i="12"/>
  <c r="K1797" i="12"/>
  <c r="J1797" i="12"/>
  <c r="I1797" i="12"/>
  <c r="M1789" i="12"/>
  <c r="L1789" i="12"/>
  <c r="K1789" i="12"/>
  <c r="J1789" i="12"/>
  <c r="I1789" i="12"/>
  <c r="M1781" i="12"/>
  <c r="L1781" i="12"/>
  <c r="K1781" i="12"/>
  <c r="J1781" i="12"/>
  <c r="I1781" i="12"/>
  <c r="M1773" i="12"/>
  <c r="L1773" i="12"/>
  <c r="J1773" i="12"/>
  <c r="K1773" i="12"/>
  <c r="I1773" i="12"/>
  <c r="M1765" i="12"/>
  <c r="L1765" i="12"/>
  <c r="K1765" i="12"/>
  <c r="J1765" i="12"/>
  <c r="I1765" i="12"/>
  <c r="M1757" i="12"/>
  <c r="L1757" i="12"/>
  <c r="K1757" i="12"/>
  <c r="J1757" i="12"/>
  <c r="I1757" i="12"/>
  <c r="M1749" i="12"/>
  <c r="L1749" i="12"/>
  <c r="K1749" i="12"/>
  <c r="J1749" i="12"/>
  <c r="I1749" i="12"/>
  <c r="M1741" i="12"/>
  <c r="L1741" i="12"/>
  <c r="K1741" i="12"/>
  <c r="J1741" i="12"/>
  <c r="I1741" i="12"/>
  <c r="M1733" i="12"/>
  <c r="L1733" i="12"/>
  <c r="K1733" i="12"/>
  <c r="J1733" i="12"/>
  <c r="I1733" i="12"/>
  <c r="M1725" i="12"/>
  <c r="L1725" i="12"/>
  <c r="K1725" i="12"/>
  <c r="J1725" i="12"/>
  <c r="I1725" i="12"/>
  <c r="M1717" i="12"/>
  <c r="L1717" i="12"/>
  <c r="K1717" i="12"/>
  <c r="J1717" i="12"/>
  <c r="I1717" i="12"/>
  <c r="M1709" i="12"/>
  <c r="L1709" i="12"/>
  <c r="K1709" i="12"/>
  <c r="J1709" i="12"/>
  <c r="I1709" i="12"/>
  <c r="M1701" i="12"/>
  <c r="L1701" i="12"/>
  <c r="K1701" i="12"/>
  <c r="J1701" i="12"/>
  <c r="I1701" i="12"/>
  <c r="M1693" i="12"/>
  <c r="L1693" i="12"/>
  <c r="K1693" i="12"/>
  <c r="J1693" i="12"/>
  <c r="I1693" i="12"/>
  <c r="M1685" i="12"/>
  <c r="L1685" i="12"/>
  <c r="K1685" i="12"/>
  <c r="J1685" i="12"/>
  <c r="I1685" i="12"/>
  <c r="M1677" i="12"/>
  <c r="L1677" i="12"/>
  <c r="K1677" i="12"/>
  <c r="J1677" i="12"/>
  <c r="I1677" i="12"/>
  <c r="M1669" i="12"/>
  <c r="L1669" i="12"/>
  <c r="K1669" i="12"/>
  <c r="J1669" i="12"/>
  <c r="I1669" i="12"/>
  <c r="M1661" i="12"/>
  <c r="L1661" i="12"/>
  <c r="K1661" i="12"/>
  <c r="J1661" i="12"/>
  <c r="I1661" i="12"/>
  <c r="M1653" i="12"/>
  <c r="L1653" i="12"/>
  <c r="K1653" i="12"/>
  <c r="J1653" i="12"/>
  <c r="I1653" i="12"/>
  <c r="M1645" i="12"/>
  <c r="L1645" i="12"/>
  <c r="K1645" i="12"/>
  <c r="J1645" i="12"/>
  <c r="I1645" i="12"/>
  <c r="M1637" i="12"/>
  <c r="L1637" i="12"/>
  <c r="K1637" i="12"/>
  <c r="J1637" i="12"/>
  <c r="I1637" i="12"/>
  <c r="M1629" i="12"/>
  <c r="L1629" i="12"/>
  <c r="K1629" i="12"/>
  <c r="J1629" i="12"/>
  <c r="I1629" i="12"/>
  <c r="M1621" i="12"/>
  <c r="L1621" i="12"/>
  <c r="K1621" i="12"/>
  <c r="J1621" i="12"/>
  <c r="I1621" i="12"/>
  <c r="M1613" i="12"/>
  <c r="L1613" i="12"/>
  <c r="K1613" i="12"/>
  <c r="J1613" i="12"/>
  <c r="I1613" i="12"/>
  <c r="M1605" i="12"/>
  <c r="L1605" i="12"/>
  <c r="K1605" i="12"/>
  <c r="J1605" i="12"/>
  <c r="I1605" i="12"/>
  <c r="M1597" i="12"/>
  <c r="L1597" i="12"/>
  <c r="K1597" i="12"/>
  <c r="J1597" i="12"/>
  <c r="I1597" i="12"/>
  <c r="M1589" i="12"/>
  <c r="L1589" i="12"/>
  <c r="K1589" i="12"/>
  <c r="J1589" i="12"/>
  <c r="I1589" i="12"/>
  <c r="M1581" i="12"/>
  <c r="L1581" i="12"/>
  <c r="K1581" i="12"/>
  <c r="J1581" i="12"/>
  <c r="I1581" i="12"/>
  <c r="M1573" i="12"/>
  <c r="L1573" i="12"/>
  <c r="K1573" i="12"/>
  <c r="J1573" i="12"/>
  <c r="I1573" i="12"/>
  <c r="M1565" i="12"/>
  <c r="L1565" i="12"/>
  <c r="K1565" i="12"/>
  <c r="J1565" i="12"/>
  <c r="I1565" i="12"/>
  <c r="M1557" i="12"/>
  <c r="L1557" i="12"/>
  <c r="K1557" i="12"/>
  <c r="J1557" i="12"/>
  <c r="I1557" i="12"/>
  <c r="M1549" i="12"/>
  <c r="L1549" i="12"/>
  <c r="K1549" i="12"/>
  <c r="J1549" i="12"/>
  <c r="I1549" i="12"/>
  <c r="M1541" i="12"/>
  <c r="L1541" i="12"/>
  <c r="K1541" i="12"/>
  <c r="J1541" i="12"/>
  <c r="I1541" i="12"/>
  <c r="M1533" i="12"/>
  <c r="L1533" i="12"/>
  <c r="K1533" i="12"/>
  <c r="J1533" i="12"/>
  <c r="I1533" i="12"/>
  <c r="M1525" i="12"/>
  <c r="L1525" i="12"/>
  <c r="K1525" i="12"/>
  <c r="J1525" i="12"/>
  <c r="I1525" i="12"/>
  <c r="M1517" i="12"/>
  <c r="L1517" i="12"/>
  <c r="K1517" i="12"/>
  <c r="J1517" i="12"/>
  <c r="I1517" i="12"/>
  <c r="M1509" i="12"/>
  <c r="L1509" i="12"/>
  <c r="K1509" i="12"/>
  <c r="J1509" i="12"/>
  <c r="I1509" i="12"/>
  <c r="M1501" i="12"/>
  <c r="L1501" i="12"/>
  <c r="K1501" i="12"/>
  <c r="J1501" i="12"/>
  <c r="I1501" i="12"/>
  <c r="M1493" i="12"/>
  <c r="L1493" i="12"/>
  <c r="K1493" i="12"/>
  <c r="J1493" i="12"/>
  <c r="I1493" i="12"/>
  <c r="M1485" i="12"/>
  <c r="L1485" i="12"/>
  <c r="K1485" i="12"/>
  <c r="J1485" i="12"/>
  <c r="I1485" i="12"/>
  <c r="M1477" i="12"/>
  <c r="L1477" i="12"/>
  <c r="K1477" i="12"/>
  <c r="J1477" i="12"/>
  <c r="I1477" i="12"/>
  <c r="M1469" i="12"/>
  <c r="L1469" i="12"/>
  <c r="K1469" i="12"/>
  <c r="J1469" i="12"/>
  <c r="I1469" i="12"/>
  <c r="M1461" i="12"/>
  <c r="L1461" i="12"/>
  <c r="K1461" i="12"/>
  <c r="J1461" i="12"/>
  <c r="I1461" i="12"/>
  <c r="M1453" i="12"/>
  <c r="L1453" i="12"/>
  <c r="K1453" i="12"/>
  <c r="J1453" i="12"/>
  <c r="I1453" i="12"/>
  <c r="M1445" i="12"/>
  <c r="L1445" i="12"/>
  <c r="K1445" i="12"/>
  <c r="J1445" i="12"/>
  <c r="I1445" i="12"/>
  <c r="M1437" i="12"/>
  <c r="L1437" i="12"/>
  <c r="K1437" i="12"/>
  <c r="J1437" i="12"/>
  <c r="I1437" i="12"/>
  <c r="M1429" i="12"/>
  <c r="L1429" i="12"/>
  <c r="K1429" i="12"/>
  <c r="J1429" i="12"/>
  <c r="I1429" i="12"/>
  <c r="M1421" i="12"/>
  <c r="L1421" i="12"/>
  <c r="K1421" i="12"/>
  <c r="J1421" i="12"/>
  <c r="I1421" i="12"/>
  <c r="M1413" i="12"/>
  <c r="L1413" i="12"/>
  <c r="K1413" i="12"/>
  <c r="J1413" i="12"/>
  <c r="I1413" i="12"/>
  <c r="M1405" i="12"/>
  <c r="L1405" i="12"/>
  <c r="K1405" i="12"/>
  <c r="J1405" i="12"/>
  <c r="I1405" i="12"/>
  <c r="M1397" i="12"/>
  <c r="L1397" i="12"/>
  <c r="K1397" i="12"/>
  <c r="J1397" i="12"/>
  <c r="I1397" i="12"/>
  <c r="M1389" i="12"/>
  <c r="L1389" i="12"/>
  <c r="K1389" i="12"/>
  <c r="J1389" i="12"/>
  <c r="I1389" i="12"/>
  <c r="M1381" i="12"/>
  <c r="L1381" i="12"/>
  <c r="K1381" i="12"/>
  <c r="J1381" i="12"/>
  <c r="I1381" i="12"/>
  <c r="M1373" i="12"/>
  <c r="L1373" i="12"/>
  <c r="K1373" i="12"/>
  <c r="J1373" i="12"/>
  <c r="I1373" i="12"/>
  <c r="M1365" i="12"/>
  <c r="L1365" i="12"/>
  <c r="K1365" i="12"/>
  <c r="J1365" i="12"/>
  <c r="I1365" i="12"/>
  <c r="M1357" i="12"/>
  <c r="L1357" i="12"/>
  <c r="K1357" i="12"/>
  <c r="J1357" i="12"/>
  <c r="I1357" i="12"/>
  <c r="M1349" i="12"/>
  <c r="L1349" i="12"/>
  <c r="K1349" i="12"/>
  <c r="J1349" i="12"/>
  <c r="I1349" i="12"/>
  <c r="M1341" i="12"/>
  <c r="L1341" i="12"/>
  <c r="K1341" i="12"/>
  <c r="J1341" i="12"/>
  <c r="I1341" i="12"/>
  <c r="M1333" i="12"/>
  <c r="L1333" i="12"/>
  <c r="K1333" i="12"/>
  <c r="J1333" i="12"/>
  <c r="I1333" i="12"/>
  <c r="M1325" i="12"/>
  <c r="L1325" i="12"/>
  <c r="K1325" i="12"/>
  <c r="J1325" i="12"/>
  <c r="I1325" i="12"/>
  <c r="M1317" i="12"/>
  <c r="L1317" i="12"/>
  <c r="K1317" i="12"/>
  <c r="J1317" i="12"/>
  <c r="I1317" i="12"/>
  <c r="M1309" i="12"/>
  <c r="L1309" i="12"/>
  <c r="K1309" i="12"/>
  <c r="J1309" i="12"/>
  <c r="I1309" i="12"/>
  <c r="M1301" i="12"/>
  <c r="L1301" i="12"/>
  <c r="K1301" i="12"/>
  <c r="J1301" i="12"/>
  <c r="I1301" i="12"/>
  <c r="M1293" i="12"/>
  <c r="L1293" i="12"/>
  <c r="K1293" i="12"/>
  <c r="J1293" i="12"/>
  <c r="I1293" i="12"/>
  <c r="M1285" i="12"/>
  <c r="L1285" i="12"/>
  <c r="K1285" i="12"/>
  <c r="J1285" i="12"/>
  <c r="I1285" i="12"/>
  <c r="M1277" i="12"/>
  <c r="L1277" i="12"/>
  <c r="K1277" i="12"/>
  <c r="J1277" i="12"/>
  <c r="I1277" i="12"/>
  <c r="M1269" i="12"/>
  <c r="L1269" i="12"/>
  <c r="K1269" i="12"/>
  <c r="J1269" i="12"/>
  <c r="I1269" i="12"/>
  <c r="M1261" i="12"/>
  <c r="L1261" i="12"/>
  <c r="K1261" i="12"/>
  <c r="J1261" i="12"/>
  <c r="I1261" i="12"/>
  <c r="M1253" i="12"/>
  <c r="L1253" i="12"/>
  <c r="K1253" i="12"/>
  <c r="J1253" i="12"/>
  <c r="I1253" i="12"/>
  <c r="M1245" i="12"/>
  <c r="L1245" i="12"/>
  <c r="K1245" i="12"/>
  <c r="J1245" i="12"/>
  <c r="I1245" i="12"/>
  <c r="M1237" i="12"/>
  <c r="L1237" i="12"/>
  <c r="K1237" i="12"/>
  <c r="J1237" i="12"/>
  <c r="I1237" i="12"/>
  <c r="M1229" i="12"/>
  <c r="L1229" i="12"/>
  <c r="K1229" i="12"/>
  <c r="J1229" i="12"/>
  <c r="I1229" i="12"/>
  <c r="M1221" i="12"/>
  <c r="L1221" i="12"/>
  <c r="K1221" i="12"/>
  <c r="J1221" i="12"/>
  <c r="I1221" i="12"/>
  <c r="M1213" i="12"/>
  <c r="L1213" i="12"/>
  <c r="K1213" i="12"/>
  <c r="J1213" i="12"/>
  <c r="I1213" i="12"/>
  <c r="M1205" i="12"/>
  <c r="L1205" i="12"/>
  <c r="K1205" i="12"/>
  <c r="J1205" i="12"/>
  <c r="I1205" i="12"/>
  <c r="M1197" i="12"/>
  <c r="L1197" i="12"/>
  <c r="K1197" i="12"/>
  <c r="J1197" i="12"/>
  <c r="I1197" i="12"/>
  <c r="M1189" i="12"/>
  <c r="L1189" i="12"/>
  <c r="K1189" i="12"/>
  <c r="J1189" i="12"/>
  <c r="I1189" i="12"/>
  <c r="M1181" i="12"/>
  <c r="L1181" i="12"/>
  <c r="K1181" i="12"/>
  <c r="J1181" i="12"/>
  <c r="I1181" i="12"/>
  <c r="M1173" i="12"/>
  <c r="L1173" i="12"/>
  <c r="K1173" i="12"/>
  <c r="J1173" i="12"/>
  <c r="I1173" i="12"/>
  <c r="M1165" i="12"/>
  <c r="L1165" i="12"/>
  <c r="K1165" i="12"/>
  <c r="J1165" i="12"/>
  <c r="I1165" i="12"/>
  <c r="M1157" i="12"/>
  <c r="L1157" i="12"/>
  <c r="K1157" i="12"/>
  <c r="J1157" i="12"/>
  <c r="I1157" i="12"/>
  <c r="M1149" i="12"/>
  <c r="L1149" i="12"/>
  <c r="K1149" i="12"/>
  <c r="J1149" i="12"/>
  <c r="I1149" i="12"/>
  <c r="M1141" i="12"/>
  <c r="L1141" i="12"/>
  <c r="K1141" i="12"/>
  <c r="J1141" i="12"/>
  <c r="I1141" i="12"/>
  <c r="M1133" i="12"/>
  <c r="L1133" i="12"/>
  <c r="K1133" i="12"/>
  <c r="J1133" i="12"/>
  <c r="I1133" i="12"/>
  <c r="M1125" i="12"/>
  <c r="L1125" i="12"/>
  <c r="K1125" i="12"/>
  <c r="J1125" i="12"/>
  <c r="I1125" i="12"/>
  <c r="M1117" i="12"/>
  <c r="L1117" i="12"/>
  <c r="K1117" i="12"/>
  <c r="J1117" i="12"/>
  <c r="I1117" i="12"/>
  <c r="M1109" i="12"/>
  <c r="L1109" i="12"/>
  <c r="K1109" i="12"/>
  <c r="J1109" i="12"/>
  <c r="I1109" i="12"/>
  <c r="M1101" i="12"/>
  <c r="L1101" i="12"/>
  <c r="K1101" i="12"/>
  <c r="J1101" i="12"/>
  <c r="I1101" i="12"/>
  <c r="M1093" i="12"/>
  <c r="L1093" i="12"/>
  <c r="K1093" i="12"/>
  <c r="J1093" i="12"/>
  <c r="I1093" i="12"/>
  <c r="M1085" i="12"/>
  <c r="L1085" i="12"/>
  <c r="K1085" i="12"/>
  <c r="J1085" i="12"/>
  <c r="I1085" i="12"/>
  <c r="M1077" i="12"/>
  <c r="L1077" i="12"/>
  <c r="K1077" i="12"/>
  <c r="J1077" i="12"/>
  <c r="I1077" i="12"/>
  <c r="M1069" i="12"/>
  <c r="L1069" i="12"/>
  <c r="K1069" i="12"/>
  <c r="J1069" i="12"/>
  <c r="I1069" i="12"/>
  <c r="M1061" i="12"/>
  <c r="L1061" i="12"/>
  <c r="K1061" i="12"/>
  <c r="J1061" i="12"/>
  <c r="I1061" i="12"/>
  <c r="M1053" i="12"/>
  <c r="L1053" i="12"/>
  <c r="K1053" i="12"/>
  <c r="J1053" i="12"/>
  <c r="I1053" i="12"/>
  <c r="M1045" i="12"/>
  <c r="L1045" i="12"/>
  <c r="K1045" i="12"/>
  <c r="J1045" i="12"/>
  <c r="I1045" i="12"/>
  <c r="M1037" i="12"/>
  <c r="L1037" i="12"/>
  <c r="K1037" i="12"/>
  <c r="J1037" i="12"/>
  <c r="I1037" i="12"/>
  <c r="M1029" i="12"/>
  <c r="L1029" i="12"/>
  <c r="K1029" i="12"/>
  <c r="J1029" i="12"/>
  <c r="I1029" i="12"/>
  <c r="M1021" i="12"/>
  <c r="L1021" i="12"/>
  <c r="K1021" i="12"/>
  <c r="J1021" i="12"/>
  <c r="I1021" i="12"/>
  <c r="M1013" i="12"/>
  <c r="L1013" i="12"/>
  <c r="K1013" i="12"/>
  <c r="J1013" i="12"/>
  <c r="I1013" i="12"/>
  <c r="M1005" i="12"/>
  <c r="L1005" i="12"/>
  <c r="K1005" i="12"/>
  <c r="J1005" i="12"/>
  <c r="I1005" i="12"/>
  <c r="M997" i="12"/>
  <c r="L997" i="12"/>
  <c r="K997" i="12"/>
  <c r="J997" i="12"/>
  <c r="I997" i="12"/>
  <c r="M989" i="12"/>
  <c r="L989" i="12"/>
  <c r="K989" i="12"/>
  <c r="J989" i="12"/>
  <c r="I989" i="12"/>
  <c r="M981" i="12"/>
  <c r="L981" i="12"/>
  <c r="K981" i="12"/>
  <c r="J981" i="12"/>
  <c r="I981" i="12"/>
  <c r="M973" i="12"/>
  <c r="L973" i="12"/>
  <c r="K973" i="12"/>
  <c r="J973" i="12"/>
  <c r="I973" i="12"/>
  <c r="M965" i="12"/>
  <c r="L965" i="12"/>
  <c r="K965" i="12"/>
  <c r="J965" i="12"/>
  <c r="I965" i="12"/>
  <c r="M957" i="12"/>
  <c r="L957" i="12"/>
  <c r="K957" i="12"/>
  <c r="J957" i="12"/>
  <c r="I957" i="12"/>
  <c r="M949" i="12"/>
  <c r="L949" i="12"/>
  <c r="K949" i="12"/>
  <c r="J949" i="12"/>
  <c r="I949" i="12"/>
  <c r="M941" i="12"/>
  <c r="L941" i="12"/>
  <c r="K941" i="12"/>
  <c r="J941" i="12"/>
  <c r="I941" i="12"/>
  <c r="M933" i="12"/>
  <c r="L933" i="12"/>
  <c r="K933" i="12"/>
  <c r="J933" i="12"/>
  <c r="I933" i="12"/>
  <c r="M925" i="12"/>
  <c r="L925" i="12"/>
  <c r="K925" i="12"/>
  <c r="J925" i="12"/>
  <c r="I925" i="12"/>
  <c r="M917" i="12"/>
  <c r="L917" i="12"/>
  <c r="K917" i="12"/>
  <c r="J917" i="12"/>
  <c r="I917" i="12"/>
  <c r="M909" i="12"/>
  <c r="L909" i="12"/>
  <c r="K909" i="12"/>
  <c r="J909" i="12"/>
  <c r="I909" i="12"/>
  <c r="M901" i="12"/>
  <c r="L901" i="12"/>
  <c r="K901" i="12"/>
  <c r="J901" i="12"/>
  <c r="I901" i="12"/>
  <c r="M893" i="12"/>
  <c r="L893" i="12"/>
  <c r="K893" i="12"/>
  <c r="J893" i="12"/>
  <c r="I893" i="12"/>
  <c r="M885" i="12"/>
  <c r="L885" i="12"/>
  <c r="K885" i="12"/>
  <c r="J885" i="12"/>
  <c r="I885" i="12"/>
  <c r="M877" i="12"/>
  <c r="L877" i="12"/>
  <c r="K877" i="12"/>
  <c r="J877" i="12"/>
  <c r="I877" i="12"/>
  <c r="M869" i="12"/>
  <c r="L869" i="12"/>
  <c r="K869" i="12"/>
  <c r="J869" i="12"/>
  <c r="I869" i="12"/>
  <c r="M861" i="12"/>
  <c r="L861" i="12"/>
  <c r="K861" i="12"/>
  <c r="J861" i="12"/>
  <c r="I861" i="12"/>
  <c r="M853" i="12"/>
  <c r="L853" i="12"/>
  <c r="K853" i="12"/>
  <c r="J853" i="12"/>
  <c r="M845" i="12"/>
  <c r="L845" i="12"/>
  <c r="K845" i="12"/>
  <c r="J845" i="12"/>
  <c r="I845" i="12"/>
  <c r="M837" i="12"/>
  <c r="L837" i="12"/>
  <c r="K837" i="12"/>
  <c r="J837" i="12"/>
  <c r="I837" i="12"/>
  <c r="M829" i="12"/>
  <c r="L829" i="12"/>
  <c r="K829" i="12"/>
  <c r="J829" i="12"/>
  <c r="I829" i="12"/>
  <c r="M821" i="12"/>
  <c r="L821" i="12"/>
  <c r="K821" i="12"/>
  <c r="J821" i="12"/>
  <c r="M813" i="12"/>
  <c r="L813" i="12"/>
  <c r="K813" i="12"/>
  <c r="J813" i="12"/>
  <c r="I813" i="12"/>
  <c r="M805" i="12"/>
  <c r="L805" i="12"/>
  <c r="K805" i="12"/>
  <c r="J805" i="12"/>
  <c r="I805" i="12"/>
  <c r="M797" i="12"/>
  <c r="L797" i="12"/>
  <c r="K797" i="12"/>
  <c r="J797" i="12"/>
  <c r="I797" i="12"/>
  <c r="M789" i="12"/>
  <c r="L789" i="12"/>
  <c r="K789" i="12"/>
  <c r="J789" i="12"/>
  <c r="M781" i="12"/>
  <c r="L781" i="12"/>
  <c r="K781" i="12"/>
  <c r="J781" i="12"/>
  <c r="I781" i="12"/>
  <c r="M773" i="12"/>
  <c r="L773" i="12"/>
  <c r="K773" i="12"/>
  <c r="J773" i="12"/>
  <c r="I773" i="12"/>
  <c r="M765" i="12"/>
  <c r="L765" i="12"/>
  <c r="K765" i="12"/>
  <c r="J765" i="12"/>
  <c r="I765" i="12"/>
  <c r="M757" i="12"/>
  <c r="L757" i="12"/>
  <c r="K757" i="12"/>
  <c r="J757" i="12"/>
  <c r="M749" i="12"/>
  <c r="L749" i="12"/>
  <c r="K749" i="12"/>
  <c r="J749" i="12"/>
  <c r="I749" i="12"/>
  <c r="M741" i="12"/>
  <c r="L741" i="12"/>
  <c r="K741" i="12"/>
  <c r="J741" i="12"/>
  <c r="I741" i="12"/>
  <c r="M733" i="12"/>
  <c r="L733" i="12"/>
  <c r="K733" i="12"/>
  <c r="J733" i="12"/>
  <c r="I733" i="12"/>
  <c r="M725" i="12"/>
  <c r="L725" i="12"/>
  <c r="K725" i="12"/>
  <c r="J725" i="12"/>
  <c r="M717" i="12"/>
  <c r="L717" i="12"/>
  <c r="K717" i="12"/>
  <c r="J717" i="12"/>
  <c r="I717" i="12"/>
  <c r="M709" i="12"/>
  <c r="L709" i="12"/>
  <c r="K709" i="12"/>
  <c r="J709" i="12"/>
  <c r="I709" i="12"/>
  <c r="M701" i="12"/>
  <c r="L701" i="12"/>
  <c r="K701" i="12"/>
  <c r="J701" i="12"/>
  <c r="I701" i="12"/>
  <c r="M693" i="12"/>
  <c r="L693" i="12"/>
  <c r="K693" i="12"/>
  <c r="J693" i="12"/>
  <c r="M685" i="12"/>
  <c r="L685" i="12"/>
  <c r="K685" i="12"/>
  <c r="J685" i="12"/>
  <c r="I685" i="12"/>
  <c r="M677" i="12"/>
  <c r="L677" i="12"/>
  <c r="K677" i="12"/>
  <c r="J677" i="12"/>
  <c r="I677" i="12"/>
  <c r="M669" i="12"/>
  <c r="L669" i="12"/>
  <c r="K669" i="12"/>
  <c r="J669" i="12"/>
  <c r="I669" i="12"/>
  <c r="M661" i="12"/>
  <c r="L661" i="12"/>
  <c r="K661" i="12"/>
  <c r="J661" i="12"/>
  <c r="I661" i="12"/>
  <c r="M653" i="12"/>
  <c r="L653" i="12"/>
  <c r="K653" i="12"/>
  <c r="J653" i="12"/>
  <c r="I653" i="12"/>
  <c r="M645" i="12"/>
  <c r="L645" i="12"/>
  <c r="K645" i="12"/>
  <c r="J645" i="12"/>
  <c r="I645" i="12"/>
  <c r="M637" i="12"/>
  <c r="L637" i="12"/>
  <c r="K637" i="12"/>
  <c r="J637" i="12"/>
  <c r="I637" i="12"/>
  <c r="M629" i="12"/>
  <c r="L629" i="12"/>
  <c r="K629" i="12"/>
  <c r="J629" i="12"/>
  <c r="I629" i="12"/>
  <c r="M621" i="12"/>
  <c r="L621" i="12"/>
  <c r="K621" i="12"/>
  <c r="J621" i="12"/>
  <c r="I621" i="12"/>
  <c r="M613" i="12"/>
  <c r="L613" i="12"/>
  <c r="K613" i="12"/>
  <c r="J613" i="12"/>
  <c r="I613" i="12"/>
  <c r="M605" i="12"/>
  <c r="L605" i="12"/>
  <c r="K605" i="12"/>
  <c r="J605" i="12"/>
  <c r="I605" i="12"/>
  <c r="M597" i="12"/>
  <c r="L597" i="12"/>
  <c r="K597" i="12"/>
  <c r="J597" i="12"/>
  <c r="I597" i="12"/>
  <c r="M589" i="12"/>
  <c r="L589" i="12"/>
  <c r="K589" i="12"/>
  <c r="J589" i="12"/>
  <c r="I589" i="12"/>
  <c r="M581" i="12"/>
  <c r="L581" i="12"/>
  <c r="K581" i="12"/>
  <c r="J581" i="12"/>
  <c r="I581" i="12"/>
  <c r="M573" i="12"/>
  <c r="L573" i="12"/>
  <c r="K573" i="12"/>
  <c r="J573" i="12"/>
  <c r="I573" i="12"/>
  <c r="M565" i="12"/>
  <c r="L565" i="12"/>
  <c r="K565" i="12"/>
  <c r="J565" i="12"/>
  <c r="I565" i="12"/>
  <c r="I2991" i="12"/>
  <c r="I2927" i="12"/>
  <c r="I2863" i="12"/>
  <c r="I2799" i="12"/>
  <c r="I2735" i="12"/>
  <c r="I2671" i="12"/>
  <c r="I2607" i="12"/>
  <c r="I2543" i="12"/>
  <c r="I2479" i="12"/>
  <c r="I2415" i="12"/>
  <c r="I2351" i="12"/>
  <c r="I2287" i="12"/>
  <c r="I2223" i="12"/>
  <c r="I2159" i="12"/>
  <c r="I2095" i="12"/>
  <c r="I2031" i="12"/>
  <c r="I1967" i="12"/>
  <c r="I1903" i="12"/>
  <c r="I1839" i="12"/>
  <c r="I1775" i="12"/>
  <c r="I1711" i="12"/>
  <c r="I1647" i="12"/>
  <c r="I1583" i="12"/>
  <c r="I1519" i="12"/>
  <c r="I1455" i="12"/>
  <c r="I1391" i="12"/>
  <c r="I1327" i="12"/>
  <c r="I1263" i="12"/>
  <c r="I1199" i="12"/>
  <c r="I1135" i="12"/>
  <c r="I1071" i="12"/>
  <c r="I1007" i="12"/>
  <c r="I943" i="12"/>
  <c r="I879" i="12"/>
  <c r="I799" i="12"/>
  <c r="I455" i="12"/>
  <c r="J2877" i="12"/>
  <c r="J1881" i="12"/>
  <c r="M2996" i="12"/>
  <c r="L2996" i="12"/>
  <c r="K2996" i="12"/>
  <c r="J2996" i="12"/>
  <c r="I2996" i="12"/>
  <c r="M2988" i="12"/>
  <c r="L2988" i="12"/>
  <c r="K2988" i="12"/>
  <c r="J2988" i="12"/>
  <c r="I2988" i="12"/>
  <c r="M2980" i="12"/>
  <c r="L2980" i="12"/>
  <c r="K2980" i="12"/>
  <c r="J2980" i="12"/>
  <c r="I2980" i="12"/>
  <c r="M2972" i="12"/>
  <c r="L2972" i="12"/>
  <c r="K2972" i="12"/>
  <c r="J2972" i="12"/>
  <c r="I2972" i="12"/>
  <c r="M2964" i="12"/>
  <c r="L2964" i="12"/>
  <c r="K2964" i="12"/>
  <c r="J2964" i="12"/>
  <c r="I2964" i="12"/>
  <c r="M2956" i="12"/>
  <c r="L2956" i="12"/>
  <c r="K2956" i="12"/>
  <c r="J2956" i="12"/>
  <c r="I2956" i="12"/>
  <c r="M2948" i="12"/>
  <c r="L2948" i="12"/>
  <c r="K2948" i="12"/>
  <c r="J2948" i="12"/>
  <c r="I2948" i="12"/>
  <c r="M2940" i="12"/>
  <c r="L2940" i="12"/>
  <c r="K2940" i="12"/>
  <c r="J2940" i="12"/>
  <c r="I2940" i="12"/>
  <c r="M2932" i="12"/>
  <c r="L2932" i="12"/>
  <c r="K2932" i="12"/>
  <c r="J2932" i="12"/>
  <c r="I2932" i="12"/>
  <c r="M2924" i="12"/>
  <c r="L2924" i="12"/>
  <c r="K2924" i="12"/>
  <c r="J2924" i="12"/>
  <c r="I2924" i="12"/>
  <c r="M2916" i="12"/>
  <c r="L2916" i="12"/>
  <c r="K2916" i="12"/>
  <c r="J2916" i="12"/>
  <c r="I2916" i="12"/>
  <c r="M2908" i="12"/>
  <c r="L2908" i="12"/>
  <c r="K2908" i="12"/>
  <c r="J2908" i="12"/>
  <c r="I2908" i="12"/>
  <c r="M2900" i="12"/>
  <c r="L2900" i="12"/>
  <c r="K2900" i="12"/>
  <c r="J2900" i="12"/>
  <c r="I2900" i="12"/>
  <c r="M2892" i="12"/>
  <c r="L2892" i="12"/>
  <c r="K2892" i="12"/>
  <c r="J2892" i="12"/>
  <c r="I2892" i="12"/>
  <c r="M2884" i="12"/>
  <c r="L2884" i="12"/>
  <c r="K2884" i="12"/>
  <c r="J2884" i="12"/>
  <c r="I2884" i="12"/>
  <c r="M2876" i="12"/>
  <c r="L2876" i="12"/>
  <c r="K2876" i="12"/>
  <c r="J2876" i="12"/>
  <c r="I2876" i="12"/>
  <c r="M2868" i="12"/>
  <c r="L2868" i="12"/>
  <c r="K2868" i="12"/>
  <c r="J2868" i="12"/>
  <c r="I2868" i="12"/>
  <c r="M2860" i="12"/>
  <c r="L2860" i="12"/>
  <c r="K2860" i="12"/>
  <c r="J2860" i="12"/>
  <c r="I2860" i="12"/>
  <c r="M2852" i="12"/>
  <c r="L2852" i="12"/>
  <c r="K2852" i="12"/>
  <c r="J2852" i="12"/>
  <c r="I2852" i="12"/>
  <c r="M2844" i="12"/>
  <c r="L2844" i="12"/>
  <c r="K2844" i="12"/>
  <c r="J2844" i="12"/>
  <c r="I2844" i="12"/>
  <c r="M2836" i="12"/>
  <c r="L2836" i="12"/>
  <c r="K2836" i="12"/>
  <c r="J2836" i="12"/>
  <c r="I2836" i="12"/>
  <c r="M2828" i="12"/>
  <c r="L2828" i="12"/>
  <c r="K2828" i="12"/>
  <c r="J2828" i="12"/>
  <c r="I2828" i="12"/>
  <c r="M2820" i="12"/>
  <c r="L2820" i="12"/>
  <c r="K2820" i="12"/>
  <c r="J2820" i="12"/>
  <c r="I2820" i="12"/>
  <c r="M2812" i="12"/>
  <c r="L2812" i="12"/>
  <c r="K2812" i="12"/>
  <c r="J2812" i="12"/>
  <c r="I2812" i="12"/>
  <c r="M2804" i="12"/>
  <c r="L2804" i="12"/>
  <c r="K2804" i="12"/>
  <c r="J2804" i="12"/>
  <c r="I2804" i="12"/>
  <c r="M2796" i="12"/>
  <c r="L2796" i="12"/>
  <c r="K2796" i="12"/>
  <c r="J2796" i="12"/>
  <c r="I2796" i="12"/>
  <c r="M2788" i="12"/>
  <c r="L2788" i="12"/>
  <c r="K2788" i="12"/>
  <c r="J2788" i="12"/>
  <c r="I2788" i="12"/>
  <c r="M2780" i="12"/>
  <c r="L2780" i="12"/>
  <c r="K2780" i="12"/>
  <c r="J2780" i="12"/>
  <c r="I2780" i="12"/>
  <c r="M2772" i="12"/>
  <c r="L2772" i="12"/>
  <c r="K2772" i="12"/>
  <c r="J2772" i="12"/>
  <c r="I2772" i="12"/>
  <c r="M2764" i="12"/>
  <c r="L2764" i="12"/>
  <c r="K2764" i="12"/>
  <c r="J2764" i="12"/>
  <c r="I2764" i="12"/>
  <c r="M2756" i="12"/>
  <c r="L2756" i="12"/>
  <c r="K2756" i="12"/>
  <c r="J2756" i="12"/>
  <c r="I2756" i="12"/>
  <c r="M2748" i="12"/>
  <c r="L2748" i="12"/>
  <c r="K2748" i="12"/>
  <c r="J2748" i="12"/>
  <c r="I2748" i="12"/>
  <c r="M2740" i="12"/>
  <c r="L2740" i="12"/>
  <c r="K2740" i="12"/>
  <c r="J2740" i="12"/>
  <c r="I2740" i="12"/>
  <c r="M2732" i="12"/>
  <c r="L2732" i="12"/>
  <c r="K2732" i="12"/>
  <c r="J2732" i="12"/>
  <c r="I2732" i="12"/>
  <c r="M2724" i="12"/>
  <c r="L2724" i="12"/>
  <c r="K2724" i="12"/>
  <c r="J2724" i="12"/>
  <c r="I2724" i="12"/>
  <c r="M2716" i="12"/>
  <c r="L2716" i="12"/>
  <c r="K2716" i="12"/>
  <c r="J2716" i="12"/>
  <c r="I2716" i="12"/>
  <c r="M2708" i="12"/>
  <c r="L2708" i="12"/>
  <c r="K2708" i="12"/>
  <c r="J2708" i="12"/>
  <c r="I2708" i="12"/>
  <c r="M2700" i="12"/>
  <c r="L2700" i="12"/>
  <c r="K2700" i="12"/>
  <c r="J2700" i="12"/>
  <c r="I2700" i="12"/>
  <c r="M2692" i="12"/>
  <c r="L2692" i="12"/>
  <c r="K2692" i="12"/>
  <c r="J2692" i="12"/>
  <c r="I2692" i="12"/>
  <c r="M2684" i="12"/>
  <c r="L2684" i="12"/>
  <c r="K2684" i="12"/>
  <c r="J2684" i="12"/>
  <c r="I2684" i="12"/>
  <c r="M2676" i="12"/>
  <c r="L2676" i="12"/>
  <c r="K2676" i="12"/>
  <c r="J2676" i="12"/>
  <c r="I2676" i="12"/>
  <c r="M2668" i="12"/>
  <c r="L2668" i="12"/>
  <c r="K2668" i="12"/>
  <c r="J2668" i="12"/>
  <c r="I2668" i="12"/>
  <c r="M2660" i="12"/>
  <c r="L2660" i="12"/>
  <c r="K2660" i="12"/>
  <c r="J2660" i="12"/>
  <c r="I2660" i="12"/>
  <c r="M2652" i="12"/>
  <c r="L2652" i="12"/>
  <c r="K2652" i="12"/>
  <c r="J2652" i="12"/>
  <c r="I2652" i="12"/>
  <c r="M2644" i="12"/>
  <c r="L2644" i="12"/>
  <c r="K2644" i="12"/>
  <c r="J2644" i="12"/>
  <c r="I2644" i="12"/>
  <c r="M2636" i="12"/>
  <c r="L2636" i="12"/>
  <c r="K2636" i="12"/>
  <c r="J2636" i="12"/>
  <c r="I2636" i="12"/>
  <c r="M2628" i="12"/>
  <c r="L2628" i="12"/>
  <c r="K2628" i="12"/>
  <c r="J2628" i="12"/>
  <c r="I2628" i="12"/>
  <c r="M2620" i="12"/>
  <c r="L2620" i="12"/>
  <c r="K2620" i="12"/>
  <c r="J2620" i="12"/>
  <c r="I2620" i="12"/>
  <c r="M2612" i="12"/>
  <c r="L2612" i="12"/>
  <c r="K2612" i="12"/>
  <c r="J2612" i="12"/>
  <c r="I2612" i="12"/>
  <c r="M2604" i="12"/>
  <c r="L2604" i="12"/>
  <c r="K2604" i="12"/>
  <c r="J2604" i="12"/>
  <c r="I2604" i="12"/>
  <c r="M2596" i="12"/>
  <c r="L2596" i="12"/>
  <c r="K2596" i="12"/>
  <c r="J2596" i="12"/>
  <c r="I2596" i="12"/>
  <c r="M2588" i="12"/>
  <c r="L2588" i="12"/>
  <c r="K2588" i="12"/>
  <c r="J2588" i="12"/>
  <c r="I2588" i="12"/>
  <c r="M2580" i="12"/>
  <c r="L2580" i="12"/>
  <c r="K2580" i="12"/>
  <c r="J2580" i="12"/>
  <c r="I2580" i="12"/>
  <c r="M2572" i="12"/>
  <c r="L2572" i="12"/>
  <c r="K2572" i="12"/>
  <c r="J2572" i="12"/>
  <c r="I2572" i="12"/>
  <c r="M2564" i="12"/>
  <c r="L2564" i="12"/>
  <c r="K2564" i="12"/>
  <c r="J2564" i="12"/>
  <c r="I2564" i="12"/>
  <c r="M2556" i="12"/>
  <c r="L2556" i="12"/>
  <c r="K2556" i="12"/>
  <c r="J2556" i="12"/>
  <c r="I2556" i="12"/>
  <c r="M2548" i="12"/>
  <c r="L2548" i="12"/>
  <c r="K2548" i="12"/>
  <c r="J2548" i="12"/>
  <c r="I2548" i="12"/>
  <c r="M2540" i="12"/>
  <c r="L2540" i="12"/>
  <c r="K2540" i="12"/>
  <c r="J2540" i="12"/>
  <c r="I2540" i="12"/>
  <c r="M2532" i="12"/>
  <c r="L2532" i="12"/>
  <c r="K2532" i="12"/>
  <c r="J2532" i="12"/>
  <c r="I2532" i="12"/>
  <c r="M2524" i="12"/>
  <c r="L2524" i="12"/>
  <c r="K2524" i="12"/>
  <c r="J2524" i="12"/>
  <c r="I2524" i="12"/>
  <c r="M2516" i="12"/>
  <c r="L2516" i="12"/>
  <c r="K2516" i="12"/>
  <c r="J2516" i="12"/>
  <c r="I2516" i="12"/>
  <c r="M2508" i="12"/>
  <c r="L2508" i="12"/>
  <c r="K2508" i="12"/>
  <c r="J2508" i="12"/>
  <c r="I2508" i="12"/>
  <c r="M2500" i="12"/>
  <c r="L2500" i="12"/>
  <c r="K2500" i="12"/>
  <c r="J2500" i="12"/>
  <c r="I2500" i="12"/>
  <c r="M2492" i="12"/>
  <c r="L2492" i="12"/>
  <c r="K2492" i="12"/>
  <c r="J2492" i="12"/>
  <c r="I2492" i="12"/>
  <c r="M2484" i="12"/>
  <c r="L2484" i="12"/>
  <c r="K2484" i="12"/>
  <c r="J2484" i="12"/>
  <c r="I2484" i="12"/>
  <c r="M2476" i="12"/>
  <c r="L2476" i="12"/>
  <c r="K2476" i="12"/>
  <c r="J2476" i="12"/>
  <c r="I2476" i="12"/>
  <c r="M2468" i="12"/>
  <c r="L2468" i="12"/>
  <c r="K2468" i="12"/>
  <c r="J2468" i="12"/>
  <c r="I2468" i="12"/>
  <c r="M2460" i="12"/>
  <c r="L2460" i="12"/>
  <c r="K2460" i="12"/>
  <c r="J2460" i="12"/>
  <c r="I2460" i="12"/>
  <c r="M2452" i="12"/>
  <c r="L2452" i="12"/>
  <c r="K2452" i="12"/>
  <c r="J2452" i="12"/>
  <c r="I2452" i="12"/>
  <c r="M2444" i="12"/>
  <c r="L2444" i="12"/>
  <c r="K2444" i="12"/>
  <c r="J2444" i="12"/>
  <c r="I2444" i="12"/>
  <c r="M2436" i="12"/>
  <c r="L2436" i="12"/>
  <c r="K2436" i="12"/>
  <c r="J2436" i="12"/>
  <c r="I2436" i="12"/>
  <c r="M2428" i="12"/>
  <c r="L2428" i="12"/>
  <c r="K2428" i="12"/>
  <c r="J2428" i="12"/>
  <c r="I2428" i="12"/>
  <c r="M2420" i="12"/>
  <c r="L2420" i="12"/>
  <c r="K2420" i="12"/>
  <c r="J2420" i="12"/>
  <c r="I2420" i="12"/>
  <c r="M2412" i="12"/>
  <c r="L2412" i="12"/>
  <c r="K2412" i="12"/>
  <c r="J2412" i="12"/>
  <c r="I2412" i="12"/>
  <c r="M2404" i="12"/>
  <c r="L2404" i="12"/>
  <c r="J2404" i="12"/>
  <c r="K2404" i="12"/>
  <c r="I2404" i="12"/>
  <c r="M2396" i="12"/>
  <c r="L2396" i="12"/>
  <c r="K2396" i="12"/>
  <c r="J2396" i="12"/>
  <c r="I2396" i="12"/>
  <c r="M2388" i="12"/>
  <c r="L2388" i="12"/>
  <c r="K2388" i="12"/>
  <c r="J2388" i="12"/>
  <c r="I2388" i="12"/>
  <c r="M2380" i="12"/>
  <c r="L2380" i="12"/>
  <c r="K2380" i="12"/>
  <c r="J2380" i="12"/>
  <c r="I2380" i="12"/>
  <c r="M2372" i="12"/>
  <c r="L2372" i="12"/>
  <c r="K2372" i="12"/>
  <c r="J2372" i="12"/>
  <c r="I2372" i="12"/>
  <c r="M2364" i="12"/>
  <c r="L2364" i="12"/>
  <c r="K2364" i="12"/>
  <c r="J2364" i="12"/>
  <c r="I2364" i="12"/>
  <c r="M2356" i="12"/>
  <c r="L2356" i="12"/>
  <c r="K2356" i="12"/>
  <c r="J2356" i="12"/>
  <c r="I2356" i="12"/>
  <c r="M2348" i="12"/>
  <c r="L2348" i="12"/>
  <c r="K2348" i="12"/>
  <c r="J2348" i="12"/>
  <c r="I2348" i="12"/>
  <c r="M2340" i="12"/>
  <c r="L2340" i="12"/>
  <c r="J2340" i="12"/>
  <c r="K2340" i="12"/>
  <c r="I2340" i="12"/>
  <c r="M2332" i="12"/>
  <c r="L2332" i="12"/>
  <c r="K2332" i="12"/>
  <c r="J2332" i="12"/>
  <c r="I2332" i="12"/>
  <c r="M2324" i="12"/>
  <c r="L2324" i="12"/>
  <c r="K2324" i="12"/>
  <c r="J2324" i="12"/>
  <c r="I2324" i="12"/>
  <c r="M2316" i="12"/>
  <c r="L2316" i="12"/>
  <c r="K2316" i="12"/>
  <c r="J2316" i="12"/>
  <c r="I2316" i="12"/>
  <c r="M2308" i="12"/>
  <c r="L2308" i="12"/>
  <c r="K2308" i="12"/>
  <c r="J2308" i="12"/>
  <c r="I2308" i="12"/>
  <c r="M2300" i="12"/>
  <c r="L2300" i="12"/>
  <c r="K2300" i="12"/>
  <c r="J2300" i="12"/>
  <c r="I2300" i="12"/>
  <c r="M2292" i="12"/>
  <c r="L2292" i="12"/>
  <c r="K2292" i="12"/>
  <c r="J2292" i="12"/>
  <c r="I2292" i="12"/>
  <c r="M2284" i="12"/>
  <c r="L2284" i="12"/>
  <c r="K2284" i="12"/>
  <c r="J2284" i="12"/>
  <c r="I2284" i="12"/>
  <c r="M2276" i="12"/>
  <c r="L2276" i="12"/>
  <c r="J2276" i="12"/>
  <c r="K2276" i="12"/>
  <c r="I2276" i="12"/>
  <c r="M2268" i="12"/>
  <c r="L2268" i="12"/>
  <c r="K2268" i="12"/>
  <c r="J2268" i="12"/>
  <c r="I2268" i="12"/>
  <c r="M2260" i="12"/>
  <c r="L2260" i="12"/>
  <c r="K2260" i="12"/>
  <c r="J2260" i="12"/>
  <c r="I2260" i="12"/>
  <c r="M2252" i="12"/>
  <c r="L2252" i="12"/>
  <c r="K2252" i="12"/>
  <c r="J2252" i="12"/>
  <c r="I2252" i="12"/>
  <c r="M2244" i="12"/>
  <c r="L2244" i="12"/>
  <c r="K2244" i="12"/>
  <c r="J2244" i="12"/>
  <c r="I2244" i="12"/>
  <c r="M2236" i="12"/>
  <c r="L2236" i="12"/>
  <c r="K2236" i="12"/>
  <c r="J2236" i="12"/>
  <c r="I2236" i="12"/>
  <c r="M2228" i="12"/>
  <c r="L2228" i="12"/>
  <c r="K2228" i="12"/>
  <c r="J2228" i="12"/>
  <c r="I2228" i="12"/>
  <c r="M2220" i="12"/>
  <c r="L2220" i="12"/>
  <c r="K2220" i="12"/>
  <c r="J2220" i="12"/>
  <c r="I2220" i="12"/>
  <c r="M2212" i="12"/>
  <c r="L2212" i="12"/>
  <c r="K2212" i="12"/>
  <c r="J2212" i="12"/>
  <c r="I2212" i="12"/>
  <c r="M2204" i="12"/>
  <c r="L2204" i="12"/>
  <c r="K2204" i="12"/>
  <c r="J2204" i="12"/>
  <c r="I2204" i="12"/>
  <c r="M2196" i="12"/>
  <c r="L2196" i="12"/>
  <c r="K2196" i="12"/>
  <c r="J2196" i="12"/>
  <c r="I2196" i="12"/>
  <c r="M2188" i="12"/>
  <c r="L2188" i="12"/>
  <c r="K2188" i="12"/>
  <c r="J2188" i="12"/>
  <c r="I2188" i="12"/>
  <c r="M2180" i="12"/>
  <c r="L2180" i="12"/>
  <c r="K2180" i="12"/>
  <c r="J2180" i="12"/>
  <c r="I2180" i="12"/>
  <c r="M2172" i="12"/>
  <c r="L2172" i="12"/>
  <c r="K2172" i="12"/>
  <c r="J2172" i="12"/>
  <c r="I2172" i="12"/>
  <c r="M2164" i="12"/>
  <c r="L2164" i="12"/>
  <c r="K2164" i="12"/>
  <c r="J2164" i="12"/>
  <c r="I2164" i="12"/>
  <c r="M2156" i="12"/>
  <c r="L2156" i="12"/>
  <c r="K2156" i="12"/>
  <c r="J2156" i="12"/>
  <c r="I2156" i="12"/>
  <c r="M2148" i="12"/>
  <c r="L2148" i="12"/>
  <c r="K2148" i="12"/>
  <c r="J2148" i="12"/>
  <c r="I2148" i="12"/>
  <c r="M2140" i="12"/>
  <c r="L2140" i="12"/>
  <c r="K2140" i="12"/>
  <c r="J2140" i="12"/>
  <c r="I2140" i="12"/>
  <c r="M2132" i="12"/>
  <c r="L2132" i="12"/>
  <c r="K2132" i="12"/>
  <c r="J2132" i="12"/>
  <c r="I2132" i="12"/>
  <c r="M2124" i="12"/>
  <c r="L2124" i="12"/>
  <c r="K2124" i="12"/>
  <c r="J2124" i="12"/>
  <c r="I2124" i="12"/>
  <c r="M2116" i="12"/>
  <c r="L2116" i="12"/>
  <c r="K2116" i="12"/>
  <c r="J2116" i="12"/>
  <c r="I2116" i="12"/>
  <c r="M2108" i="12"/>
  <c r="L2108" i="12"/>
  <c r="K2108" i="12"/>
  <c r="J2108" i="12"/>
  <c r="I2108" i="12"/>
  <c r="M2100" i="12"/>
  <c r="L2100" i="12"/>
  <c r="K2100" i="12"/>
  <c r="J2100" i="12"/>
  <c r="I2100" i="12"/>
  <c r="M2092" i="12"/>
  <c r="L2092" i="12"/>
  <c r="K2092" i="12"/>
  <c r="J2092" i="12"/>
  <c r="I2092" i="12"/>
  <c r="M2084" i="12"/>
  <c r="L2084" i="12"/>
  <c r="K2084" i="12"/>
  <c r="J2084" i="12"/>
  <c r="I2084" i="12"/>
  <c r="M2076" i="12"/>
  <c r="L2076" i="12"/>
  <c r="K2076" i="12"/>
  <c r="J2076" i="12"/>
  <c r="I2076" i="12"/>
  <c r="M2068" i="12"/>
  <c r="L2068" i="12"/>
  <c r="K2068" i="12"/>
  <c r="J2068" i="12"/>
  <c r="I2068" i="12"/>
  <c r="M2060" i="12"/>
  <c r="L2060" i="12"/>
  <c r="K2060" i="12"/>
  <c r="J2060" i="12"/>
  <c r="I2060" i="12"/>
  <c r="M2052" i="12"/>
  <c r="L2052" i="12"/>
  <c r="K2052" i="12"/>
  <c r="J2052" i="12"/>
  <c r="I2052" i="12"/>
  <c r="M2044" i="12"/>
  <c r="L2044" i="12"/>
  <c r="K2044" i="12"/>
  <c r="J2044" i="12"/>
  <c r="I2044" i="12"/>
  <c r="M2036" i="12"/>
  <c r="L2036" i="12"/>
  <c r="K2036" i="12"/>
  <c r="J2036" i="12"/>
  <c r="I2036" i="12"/>
  <c r="M2028" i="12"/>
  <c r="L2028" i="12"/>
  <c r="K2028" i="12"/>
  <c r="J2028" i="12"/>
  <c r="I2028" i="12"/>
  <c r="M2020" i="12"/>
  <c r="L2020" i="12"/>
  <c r="K2020" i="12"/>
  <c r="J2020" i="12"/>
  <c r="I2020" i="12"/>
  <c r="M2012" i="12"/>
  <c r="L2012" i="12"/>
  <c r="K2012" i="12"/>
  <c r="J2012" i="12"/>
  <c r="I2012" i="12"/>
  <c r="M2004" i="12"/>
  <c r="L2004" i="12"/>
  <c r="K2004" i="12"/>
  <c r="J2004" i="12"/>
  <c r="I2004" i="12"/>
  <c r="M1996" i="12"/>
  <c r="L1996" i="12"/>
  <c r="K1996" i="12"/>
  <c r="J1996" i="12"/>
  <c r="I1996" i="12"/>
  <c r="M1988" i="12"/>
  <c r="L1988" i="12"/>
  <c r="K1988" i="12"/>
  <c r="J1988" i="12"/>
  <c r="I1988" i="12"/>
  <c r="M1980" i="12"/>
  <c r="L1980" i="12"/>
  <c r="K1980" i="12"/>
  <c r="J1980" i="12"/>
  <c r="I1980" i="12"/>
  <c r="M1972" i="12"/>
  <c r="L1972" i="12"/>
  <c r="K1972" i="12"/>
  <c r="J1972" i="12"/>
  <c r="I1972" i="12"/>
  <c r="M1964" i="12"/>
  <c r="L1964" i="12"/>
  <c r="K1964" i="12"/>
  <c r="J1964" i="12"/>
  <c r="I1964" i="12"/>
  <c r="M1956" i="12"/>
  <c r="L1956" i="12"/>
  <c r="K1956" i="12"/>
  <c r="J1956" i="12"/>
  <c r="I1956" i="12"/>
  <c r="M1948" i="12"/>
  <c r="L1948" i="12"/>
  <c r="K1948" i="12"/>
  <c r="J1948" i="12"/>
  <c r="I1948" i="12"/>
  <c r="M1940" i="12"/>
  <c r="L1940" i="12"/>
  <c r="K1940" i="12"/>
  <c r="J1940" i="12"/>
  <c r="I1940" i="12"/>
  <c r="M1932" i="12"/>
  <c r="L1932" i="12"/>
  <c r="K1932" i="12"/>
  <c r="J1932" i="12"/>
  <c r="I1932" i="12"/>
  <c r="M1924" i="12"/>
  <c r="L1924" i="12"/>
  <c r="K1924" i="12"/>
  <c r="J1924" i="12"/>
  <c r="I1924" i="12"/>
  <c r="M1916" i="12"/>
  <c r="L1916" i="12"/>
  <c r="K1916" i="12"/>
  <c r="J1916" i="12"/>
  <c r="I1916" i="12"/>
  <c r="M1908" i="12"/>
  <c r="L1908" i="12"/>
  <c r="K1908" i="12"/>
  <c r="J1908" i="12"/>
  <c r="I1908" i="12"/>
  <c r="M1900" i="12"/>
  <c r="L1900" i="12"/>
  <c r="K1900" i="12"/>
  <c r="J1900" i="12"/>
  <c r="I1900" i="12"/>
  <c r="M1892" i="12"/>
  <c r="L1892" i="12"/>
  <c r="K1892" i="12"/>
  <c r="J1892" i="12"/>
  <c r="I1892" i="12"/>
  <c r="M1884" i="12"/>
  <c r="L1884" i="12"/>
  <c r="K1884" i="12"/>
  <c r="J1884" i="12"/>
  <c r="I1884" i="12"/>
  <c r="M1876" i="12"/>
  <c r="L1876" i="12"/>
  <c r="K1876" i="12"/>
  <c r="J1876" i="12"/>
  <c r="I1876" i="12"/>
  <c r="M1868" i="12"/>
  <c r="L1868" i="12"/>
  <c r="K1868" i="12"/>
  <c r="J1868" i="12"/>
  <c r="I1868" i="12"/>
  <c r="M1860" i="12"/>
  <c r="L1860" i="12"/>
  <c r="K1860" i="12"/>
  <c r="J1860" i="12"/>
  <c r="I1860" i="12"/>
  <c r="M1852" i="12"/>
  <c r="L1852" i="12"/>
  <c r="K1852" i="12"/>
  <c r="J1852" i="12"/>
  <c r="I1852" i="12"/>
  <c r="M1844" i="12"/>
  <c r="L1844" i="12"/>
  <c r="K1844" i="12"/>
  <c r="J1844" i="12"/>
  <c r="I1844" i="12"/>
  <c r="M1836" i="12"/>
  <c r="L1836" i="12"/>
  <c r="K1836" i="12"/>
  <c r="J1836" i="12"/>
  <c r="I1836" i="12"/>
  <c r="M1828" i="12"/>
  <c r="L1828" i="12"/>
  <c r="K1828" i="12"/>
  <c r="J1828" i="12"/>
  <c r="I1828" i="12"/>
  <c r="M1820" i="12"/>
  <c r="L1820" i="12"/>
  <c r="K1820" i="12"/>
  <c r="J1820" i="12"/>
  <c r="I1820" i="12"/>
  <c r="M1812" i="12"/>
  <c r="K1812" i="12"/>
  <c r="L1812" i="12"/>
  <c r="J1812" i="12"/>
  <c r="I1812" i="12"/>
  <c r="M1804" i="12"/>
  <c r="L1804" i="12"/>
  <c r="K1804" i="12"/>
  <c r="J1804" i="12"/>
  <c r="I1804" i="12"/>
  <c r="M1796" i="12"/>
  <c r="L1796" i="12"/>
  <c r="K1796" i="12"/>
  <c r="J1796" i="12"/>
  <c r="I1796" i="12"/>
  <c r="M1788" i="12"/>
  <c r="L1788" i="12"/>
  <c r="K1788" i="12"/>
  <c r="J1788" i="12"/>
  <c r="I1788" i="12"/>
  <c r="M1780" i="12"/>
  <c r="L1780" i="12"/>
  <c r="K1780" i="12"/>
  <c r="J1780" i="12"/>
  <c r="I1780" i="12"/>
  <c r="M1772" i="12"/>
  <c r="L1772" i="12"/>
  <c r="K1772" i="12"/>
  <c r="J1772" i="12"/>
  <c r="I1772" i="12"/>
  <c r="M1764" i="12"/>
  <c r="L1764" i="12"/>
  <c r="K1764" i="12"/>
  <c r="J1764" i="12"/>
  <c r="I1764" i="12"/>
  <c r="M1756" i="12"/>
  <c r="L1756" i="12"/>
  <c r="K1756" i="12"/>
  <c r="J1756" i="12"/>
  <c r="I1756" i="12"/>
  <c r="M1748" i="12"/>
  <c r="L1748" i="12"/>
  <c r="K1748" i="12"/>
  <c r="J1748" i="12"/>
  <c r="I1748" i="12"/>
  <c r="M1740" i="12"/>
  <c r="L1740" i="12"/>
  <c r="K1740" i="12"/>
  <c r="J1740" i="12"/>
  <c r="I1740" i="12"/>
  <c r="M1732" i="12"/>
  <c r="L1732" i="12"/>
  <c r="K1732" i="12"/>
  <c r="J1732" i="12"/>
  <c r="I1732" i="12"/>
  <c r="M1724" i="12"/>
  <c r="L1724" i="12"/>
  <c r="K1724" i="12"/>
  <c r="J1724" i="12"/>
  <c r="I1724" i="12"/>
  <c r="M1716" i="12"/>
  <c r="L1716" i="12"/>
  <c r="K1716" i="12"/>
  <c r="J1716" i="12"/>
  <c r="I1716" i="12"/>
  <c r="M1708" i="12"/>
  <c r="L1708" i="12"/>
  <c r="K1708" i="12"/>
  <c r="J1708" i="12"/>
  <c r="I1708" i="12"/>
  <c r="M1700" i="12"/>
  <c r="L1700" i="12"/>
  <c r="K1700" i="12"/>
  <c r="J1700" i="12"/>
  <c r="I1700" i="12"/>
  <c r="M1692" i="12"/>
  <c r="L1692" i="12"/>
  <c r="K1692" i="12"/>
  <c r="J1692" i="12"/>
  <c r="I1692" i="12"/>
  <c r="M1684" i="12"/>
  <c r="L1684" i="12"/>
  <c r="K1684" i="12"/>
  <c r="J1684" i="12"/>
  <c r="I1684" i="12"/>
  <c r="M1676" i="12"/>
  <c r="L1676" i="12"/>
  <c r="K1676" i="12"/>
  <c r="J1676" i="12"/>
  <c r="I1676" i="12"/>
  <c r="M1668" i="12"/>
  <c r="L1668" i="12"/>
  <c r="K1668" i="12"/>
  <c r="J1668" i="12"/>
  <c r="I1668" i="12"/>
  <c r="M1660" i="12"/>
  <c r="L1660" i="12"/>
  <c r="K1660" i="12"/>
  <c r="J1660" i="12"/>
  <c r="I1660" i="12"/>
  <c r="M1652" i="12"/>
  <c r="L1652" i="12"/>
  <c r="K1652" i="12"/>
  <c r="J1652" i="12"/>
  <c r="I1652" i="12"/>
  <c r="M1644" i="12"/>
  <c r="L1644" i="12"/>
  <c r="K1644" i="12"/>
  <c r="J1644" i="12"/>
  <c r="I1644" i="12"/>
  <c r="M1636" i="12"/>
  <c r="L1636" i="12"/>
  <c r="K1636" i="12"/>
  <c r="J1636" i="12"/>
  <c r="I1636" i="12"/>
  <c r="M1628" i="12"/>
  <c r="L1628" i="12"/>
  <c r="K1628" i="12"/>
  <c r="J1628" i="12"/>
  <c r="I1628" i="12"/>
  <c r="M1620" i="12"/>
  <c r="L1620" i="12"/>
  <c r="K1620" i="12"/>
  <c r="J1620" i="12"/>
  <c r="I1620" i="12"/>
  <c r="M1612" i="12"/>
  <c r="L1612" i="12"/>
  <c r="K1612" i="12"/>
  <c r="J1612" i="12"/>
  <c r="I1612" i="12"/>
  <c r="M1604" i="12"/>
  <c r="L1604" i="12"/>
  <c r="K1604" i="12"/>
  <c r="J1604" i="12"/>
  <c r="I1604" i="12"/>
  <c r="M1596" i="12"/>
  <c r="L1596" i="12"/>
  <c r="K1596" i="12"/>
  <c r="J1596" i="12"/>
  <c r="I1596" i="12"/>
  <c r="M1588" i="12"/>
  <c r="L1588" i="12"/>
  <c r="K1588" i="12"/>
  <c r="J1588" i="12"/>
  <c r="I1588" i="12"/>
  <c r="M1580" i="12"/>
  <c r="L1580" i="12"/>
  <c r="K1580" i="12"/>
  <c r="J1580" i="12"/>
  <c r="I1580" i="12"/>
  <c r="M1572" i="12"/>
  <c r="L1572" i="12"/>
  <c r="K1572" i="12"/>
  <c r="J1572" i="12"/>
  <c r="I1572" i="12"/>
  <c r="M1564" i="12"/>
  <c r="L1564" i="12"/>
  <c r="K1564" i="12"/>
  <c r="J1564" i="12"/>
  <c r="I1564" i="12"/>
  <c r="M1556" i="12"/>
  <c r="L1556" i="12"/>
  <c r="K1556" i="12"/>
  <c r="J1556" i="12"/>
  <c r="I1556" i="12"/>
  <c r="M1548" i="12"/>
  <c r="L1548" i="12"/>
  <c r="K1548" i="12"/>
  <c r="J1548" i="12"/>
  <c r="I1548" i="12"/>
  <c r="M1540" i="12"/>
  <c r="L1540" i="12"/>
  <c r="K1540" i="12"/>
  <c r="J1540" i="12"/>
  <c r="I1540" i="12"/>
  <c r="M1532" i="12"/>
  <c r="L1532" i="12"/>
  <c r="K1532" i="12"/>
  <c r="J1532" i="12"/>
  <c r="I1532" i="12"/>
  <c r="M1524" i="12"/>
  <c r="L1524" i="12"/>
  <c r="K1524" i="12"/>
  <c r="J1524" i="12"/>
  <c r="I1524" i="12"/>
  <c r="M1516" i="12"/>
  <c r="L1516" i="12"/>
  <c r="K1516" i="12"/>
  <c r="J1516" i="12"/>
  <c r="I1516" i="12"/>
  <c r="M1508" i="12"/>
  <c r="L1508" i="12"/>
  <c r="K1508" i="12"/>
  <c r="J1508" i="12"/>
  <c r="I1508" i="12"/>
  <c r="M1500" i="12"/>
  <c r="L1500" i="12"/>
  <c r="K1500" i="12"/>
  <c r="J1500" i="12"/>
  <c r="I1500" i="12"/>
  <c r="M1492" i="12"/>
  <c r="L1492" i="12"/>
  <c r="K1492" i="12"/>
  <c r="J1492" i="12"/>
  <c r="I1492" i="12"/>
  <c r="M1484" i="12"/>
  <c r="L1484" i="12"/>
  <c r="K1484" i="12"/>
  <c r="J1484" i="12"/>
  <c r="I1484" i="12"/>
  <c r="M1476" i="12"/>
  <c r="L1476" i="12"/>
  <c r="K1476" i="12"/>
  <c r="J1476" i="12"/>
  <c r="I1476" i="12"/>
  <c r="M1468" i="12"/>
  <c r="L1468" i="12"/>
  <c r="K1468" i="12"/>
  <c r="J1468" i="12"/>
  <c r="I1468" i="12"/>
  <c r="M1460" i="12"/>
  <c r="L1460" i="12"/>
  <c r="K1460" i="12"/>
  <c r="J1460" i="12"/>
  <c r="I1460" i="12"/>
  <c r="M1452" i="12"/>
  <c r="L1452" i="12"/>
  <c r="K1452" i="12"/>
  <c r="J1452" i="12"/>
  <c r="I1452" i="12"/>
  <c r="M1444" i="12"/>
  <c r="L1444" i="12"/>
  <c r="K1444" i="12"/>
  <c r="J1444" i="12"/>
  <c r="I1444" i="12"/>
  <c r="M1436" i="12"/>
  <c r="L1436" i="12"/>
  <c r="K1436" i="12"/>
  <c r="J1436" i="12"/>
  <c r="I1436" i="12"/>
  <c r="M1428" i="12"/>
  <c r="L1428" i="12"/>
  <c r="K1428" i="12"/>
  <c r="J1428" i="12"/>
  <c r="I1428" i="12"/>
  <c r="M1420" i="12"/>
  <c r="L1420" i="12"/>
  <c r="K1420" i="12"/>
  <c r="J1420" i="12"/>
  <c r="I1420" i="12"/>
  <c r="M1412" i="12"/>
  <c r="L1412" i="12"/>
  <c r="K1412" i="12"/>
  <c r="J1412" i="12"/>
  <c r="I1412" i="12"/>
  <c r="M1404" i="12"/>
  <c r="L1404" i="12"/>
  <c r="K1404" i="12"/>
  <c r="J1404" i="12"/>
  <c r="I1404" i="12"/>
  <c r="M1396" i="12"/>
  <c r="L1396" i="12"/>
  <c r="K1396" i="12"/>
  <c r="J1396" i="12"/>
  <c r="I1396" i="12"/>
  <c r="M1388" i="12"/>
  <c r="L1388" i="12"/>
  <c r="K1388" i="12"/>
  <c r="J1388" i="12"/>
  <c r="I1388" i="12"/>
  <c r="M1380" i="12"/>
  <c r="L1380" i="12"/>
  <c r="K1380" i="12"/>
  <c r="J1380" i="12"/>
  <c r="I1380" i="12"/>
  <c r="M1372" i="12"/>
  <c r="L1372" i="12"/>
  <c r="K1372" i="12"/>
  <c r="J1372" i="12"/>
  <c r="I1372" i="12"/>
  <c r="M1364" i="12"/>
  <c r="L1364" i="12"/>
  <c r="K1364" i="12"/>
  <c r="J1364" i="12"/>
  <c r="I1364" i="12"/>
  <c r="M1356" i="12"/>
  <c r="L1356" i="12"/>
  <c r="K1356" i="12"/>
  <c r="J1356" i="12"/>
  <c r="I1356" i="12"/>
  <c r="M1348" i="12"/>
  <c r="L1348" i="12"/>
  <c r="K1348" i="12"/>
  <c r="J1348" i="12"/>
  <c r="I1348" i="12"/>
  <c r="M1340" i="12"/>
  <c r="L1340" i="12"/>
  <c r="K1340" i="12"/>
  <c r="J1340" i="12"/>
  <c r="I1340" i="12"/>
  <c r="M1332" i="12"/>
  <c r="L1332" i="12"/>
  <c r="K1332" i="12"/>
  <c r="J1332" i="12"/>
  <c r="I1332" i="12"/>
  <c r="M1324" i="12"/>
  <c r="L1324" i="12"/>
  <c r="K1324" i="12"/>
  <c r="J1324" i="12"/>
  <c r="I1324" i="12"/>
  <c r="M1316" i="12"/>
  <c r="L1316" i="12"/>
  <c r="K1316" i="12"/>
  <c r="J1316" i="12"/>
  <c r="I1316" i="12"/>
  <c r="M1308" i="12"/>
  <c r="L1308" i="12"/>
  <c r="K1308" i="12"/>
  <c r="J1308" i="12"/>
  <c r="I1308" i="12"/>
  <c r="M1300" i="12"/>
  <c r="L1300" i="12"/>
  <c r="K1300" i="12"/>
  <c r="J1300" i="12"/>
  <c r="I1300" i="12"/>
  <c r="M1292" i="12"/>
  <c r="L1292" i="12"/>
  <c r="K1292" i="12"/>
  <c r="J1292" i="12"/>
  <c r="I1292" i="12"/>
  <c r="M1284" i="12"/>
  <c r="L1284" i="12"/>
  <c r="K1284" i="12"/>
  <c r="J1284" i="12"/>
  <c r="I1284" i="12"/>
  <c r="M1276" i="12"/>
  <c r="L1276" i="12"/>
  <c r="K1276" i="12"/>
  <c r="J1276" i="12"/>
  <c r="I1276" i="12"/>
  <c r="M1268" i="12"/>
  <c r="L1268" i="12"/>
  <c r="K1268" i="12"/>
  <c r="J1268" i="12"/>
  <c r="I1268" i="12"/>
  <c r="M1260" i="12"/>
  <c r="L1260" i="12"/>
  <c r="K1260" i="12"/>
  <c r="J1260" i="12"/>
  <c r="I1260" i="12"/>
  <c r="M1252" i="12"/>
  <c r="L1252" i="12"/>
  <c r="K1252" i="12"/>
  <c r="J1252" i="12"/>
  <c r="I1252" i="12"/>
  <c r="M1244" i="12"/>
  <c r="L1244" i="12"/>
  <c r="K1244" i="12"/>
  <c r="J1244" i="12"/>
  <c r="I1244" i="12"/>
  <c r="M1236" i="12"/>
  <c r="L1236" i="12"/>
  <c r="K1236" i="12"/>
  <c r="J1236" i="12"/>
  <c r="I1236" i="12"/>
  <c r="M1228" i="12"/>
  <c r="L1228" i="12"/>
  <c r="K1228" i="12"/>
  <c r="J1228" i="12"/>
  <c r="I1228" i="12"/>
  <c r="M1220" i="12"/>
  <c r="L1220" i="12"/>
  <c r="K1220" i="12"/>
  <c r="J1220" i="12"/>
  <c r="I1220" i="12"/>
  <c r="M1212" i="12"/>
  <c r="L1212" i="12"/>
  <c r="K1212" i="12"/>
  <c r="J1212" i="12"/>
  <c r="I1212" i="12"/>
  <c r="M1204" i="12"/>
  <c r="L1204" i="12"/>
  <c r="K1204" i="12"/>
  <c r="J1204" i="12"/>
  <c r="I1204" i="12"/>
  <c r="M1196" i="12"/>
  <c r="L1196" i="12"/>
  <c r="K1196" i="12"/>
  <c r="J1196" i="12"/>
  <c r="I1196" i="12"/>
  <c r="M1188" i="12"/>
  <c r="L1188" i="12"/>
  <c r="K1188" i="12"/>
  <c r="J1188" i="12"/>
  <c r="I1188" i="12"/>
  <c r="M1180" i="12"/>
  <c r="L1180" i="12"/>
  <c r="K1180" i="12"/>
  <c r="J1180" i="12"/>
  <c r="I1180" i="12"/>
  <c r="M1172" i="12"/>
  <c r="L1172" i="12"/>
  <c r="K1172" i="12"/>
  <c r="J1172" i="12"/>
  <c r="I1172" i="12"/>
  <c r="M1164" i="12"/>
  <c r="L1164" i="12"/>
  <c r="K1164" i="12"/>
  <c r="J1164" i="12"/>
  <c r="I1164" i="12"/>
  <c r="M1156" i="12"/>
  <c r="L1156" i="12"/>
  <c r="K1156" i="12"/>
  <c r="J1156" i="12"/>
  <c r="I1156" i="12"/>
  <c r="M1148" i="12"/>
  <c r="L1148" i="12"/>
  <c r="K1148" i="12"/>
  <c r="J1148" i="12"/>
  <c r="I1148" i="12"/>
  <c r="M1140" i="12"/>
  <c r="L1140" i="12"/>
  <c r="K1140" i="12"/>
  <c r="J1140" i="12"/>
  <c r="I1140" i="12"/>
  <c r="M1132" i="12"/>
  <c r="L1132" i="12"/>
  <c r="K1132" i="12"/>
  <c r="J1132" i="12"/>
  <c r="I1132" i="12"/>
  <c r="M1124" i="12"/>
  <c r="L1124" i="12"/>
  <c r="K1124" i="12"/>
  <c r="J1124" i="12"/>
  <c r="I1124" i="12"/>
  <c r="M1116" i="12"/>
  <c r="L1116" i="12"/>
  <c r="K1116" i="12"/>
  <c r="J1116" i="12"/>
  <c r="I1116" i="12"/>
  <c r="M1108" i="12"/>
  <c r="L1108" i="12"/>
  <c r="K1108" i="12"/>
  <c r="J1108" i="12"/>
  <c r="I1108" i="12"/>
  <c r="M1100" i="12"/>
  <c r="L1100" i="12"/>
  <c r="K1100" i="12"/>
  <c r="J1100" i="12"/>
  <c r="I1100" i="12"/>
  <c r="M1092" i="12"/>
  <c r="L1092" i="12"/>
  <c r="K1092" i="12"/>
  <c r="J1092" i="12"/>
  <c r="I1092" i="12"/>
  <c r="M1084" i="12"/>
  <c r="L1084" i="12"/>
  <c r="K1084" i="12"/>
  <c r="J1084" i="12"/>
  <c r="I1084" i="12"/>
  <c r="M1076" i="12"/>
  <c r="L1076" i="12"/>
  <c r="K1076" i="12"/>
  <c r="J1076" i="12"/>
  <c r="I1076" i="12"/>
  <c r="M1068" i="12"/>
  <c r="L1068" i="12"/>
  <c r="K1068" i="12"/>
  <c r="J1068" i="12"/>
  <c r="I1068" i="12"/>
  <c r="M1060" i="12"/>
  <c r="L1060" i="12"/>
  <c r="K1060" i="12"/>
  <c r="J1060" i="12"/>
  <c r="I1060" i="12"/>
  <c r="M1052" i="12"/>
  <c r="L1052" i="12"/>
  <c r="K1052" i="12"/>
  <c r="J1052" i="12"/>
  <c r="I1052" i="12"/>
  <c r="M1044" i="12"/>
  <c r="L1044" i="12"/>
  <c r="K1044" i="12"/>
  <c r="J1044" i="12"/>
  <c r="I1044" i="12"/>
  <c r="M1036" i="12"/>
  <c r="L1036" i="12"/>
  <c r="K1036" i="12"/>
  <c r="J1036" i="12"/>
  <c r="I1036" i="12"/>
  <c r="M1028" i="12"/>
  <c r="L1028" i="12"/>
  <c r="K1028" i="12"/>
  <c r="J1028" i="12"/>
  <c r="I1028" i="12"/>
  <c r="M1020" i="12"/>
  <c r="L1020" i="12"/>
  <c r="K1020" i="12"/>
  <c r="J1020" i="12"/>
  <c r="I1020" i="12"/>
  <c r="M1012" i="12"/>
  <c r="L1012" i="12"/>
  <c r="K1012" i="12"/>
  <c r="J1012" i="12"/>
  <c r="I1012" i="12"/>
  <c r="M1004" i="12"/>
  <c r="L1004" i="12"/>
  <c r="K1004" i="12"/>
  <c r="J1004" i="12"/>
  <c r="I1004" i="12"/>
  <c r="M996" i="12"/>
  <c r="L996" i="12"/>
  <c r="K996" i="12"/>
  <c r="J996" i="12"/>
  <c r="I996" i="12"/>
  <c r="M988" i="12"/>
  <c r="L988" i="12"/>
  <c r="K988" i="12"/>
  <c r="J988" i="12"/>
  <c r="I988" i="12"/>
  <c r="M980" i="12"/>
  <c r="L980" i="12"/>
  <c r="K980" i="12"/>
  <c r="J980" i="12"/>
  <c r="I980" i="12"/>
  <c r="M972" i="12"/>
  <c r="L972" i="12"/>
  <c r="K972" i="12"/>
  <c r="J972" i="12"/>
  <c r="I972" i="12"/>
  <c r="M964" i="12"/>
  <c r="L964" i="12"/>
  <c r="K964" i="12"/>
  <c r="J964" i="12"/>
  <c r="I964" i="12"/>
  <c r="M956" i="12"/>
  <c r="L956" i="12"/>
  <c r="K956" i="12"/>
  <c r="J956" i="12"/>
  <c r="I956" i="12"/>
  <c r="M948" i="12"/>
  <c r="L948" i="12"/>
  <c r="K948" i="12"/>
  <c r="J948" i="12"/>
  <c r="I948" i="12"/>
  <c r="M940" i="12"/>
  <c r="L940" i="12"/>
  <c r="K940" i="12"/>
  <c r="J940" i="12"/>
  <c r="I940" i="12"/>
  <c r="M932" i="12"/>
  <c r="L932" i="12"/>
  <c r="K932" i="12"/>
  <c r="J932" i="12"/>
  <c r="I932" i="12"/>
  <c r="M924" i="12"/>
  <c r="L924" i="12"/>
  <c r="K924" i="12"/>
  <c r="J924" i="12"/>
  <c r="I924" i="12"/>
  <c r="M916" i="12"/>
  <c r="L916" i="12"/>
  <c r="K916" i="12"/>
  <c r="J916" i="12"/>
  <c r="I916" i="12"/>
  <c r="M908" i="12"/>
  <c r="L908" i="12"/>
  <c r="K908" i="12"/>
  <c r="J908" i="12"/>
  <c r="I908" i="12"/>
  <c r="M900" i="12"/>
  <c r="L900" i="12"/>
  <c r="K900" i="12"/>
  <c r="J900" i="12"/>
  <c r="I900" i="12"/>
  <c r="M892" i="12"/>
  <c r="L892" i="12"/>
  <c r="K892" i="12"/>
  <c r="J892" i="12"/>
  <c r="I892" i="12"/>
  <c r="M884" i="12"/>
  <c r="L884" i="12"/>
  <c r="K884" i="12"/>
  <c r="J884" i="12"/>
  <c r="I884" i="12"/>
  <c r="M876" i="12"/>
  <c r="L876" i="12"/>
  <c r="K876" i="12"/>
  <c r="J876" i="12"/>
  <c r="I876" i="12"/>
  <c r="M868" i="12"/>
  <c r="L868" i="12"/>
  <c r="K868" i="12"/>
  <c r="J868" i="12"/>
  <c r="I868" i="12"/>
  <c r="M860" i="12"/>
  <c r="L860" i="12"/>
  <c r="K860" i="12"/>
  <c r="J860" i="12"/>
  <c r="I860" i="12"/>
  <c r="M852" i="12"/>
  <c r="L852" i="12"/>
  <c r="K852" i="12"/>
  <c r="J852" i="12"/>
  <c r="I852" i="12"/>
  <c r="M844" i="12"/>
  <c r="L844" i="12"/>
  <c r="K844" i="12"/>
  <c r="J844" i="12"/>
  <c r="I844" i="12"/>
  <c r="M836" i="12"/>
  <c r="L836" i="12"/>
  <c r="K836" i="12"/>
  <c r="J836" i="12"/>
  <c r="I836" i="12"/>
  <c r="M828" i="12"/>
  <c r="L828" i="12"/>
  <c r="K828" i="12"/>
  <c r="J828" i="12"/>
  <c r="I828" i="12"/>
  <c r="M820" i="12"/>
  <c r="L820" i="12"/>
  <c r="K820" i="12"/>
  <c r="J820" i="12"/>
  <c r="I820" i="12"/>
  <c r="M812" i="12"/>
  <c r="L812" i="12"/>
  <c r="K812" i="12"/>
  <c r="J812" i="12"/>
  <c r="I812" i="12"/>
  <c r="M804" i="12"/>
  <c r="L804" i="12"/>
  <c r="K804" i="12"/>
  <c r="J804" i="12"/>
  <c r="I804" i="12"/>
  <c r="M796" i="12"/>
  <c r="L796" i="12"/>
  <c r="K796" i="12"/>
  <c r="J796" i="12"/>
  <c r="I796" i="12"/>
  <c r="M788" i="12"/>
  <c r="L788" i="12"/>
  <c r="K788" i="12"/>
  <c r="J788" i="12"/>
  <c r="I788" i="12"/>
  <c r="M780" i="12"/>
  <c r="L780" i="12"/>
  <c r="K780" i="12"/>
  <c r="J780" i="12"/>
  <c r="I780" i="12"/>
  <c r="M772" i="12"/>
  <c r="L772" i="12"/>
  <c r="K772" i="12"/>
  <c r="J772" i="12"/>
  <c r="I772" i="12"/>
  <c r="M764" i="12"/>
  <c r="L764" i="12"/>
  <c r="K764" i="12"/>
  <c r="J764" i="12"/>
  <c r="I764" i="12"/>
  <c r="M756" i="12"/>
  <c r="L756" i="12"/>
  <c r="K756" i="12"/>
  <c r="J756" i="12"/>
  <c r="I756" i="12"/>
  <c r="M748" i="12"/>
  <c r="L748" i="12"/>
  <c r="K748" i="12"/>
  <c r="J748" i="12"/>
  <c r="I748" i="12"/>
  <c r="M740" i="12"/>
  <c r="L740" i="12"/>
  <c r="K740" i="12"/>
  <c r="I740" i="12"/>
  <c r="J740" i="12"/>
  <c r="M732" i="12"/>
  <c r="L732" i="12"/>
  <c r="K732" i="12"/>
  <c r="J732" i="12"/>
  <c r="I732" i="12"/>
  <c r="M724" i="12"/>
  <c r="L724" i="12"/>
  <c r="K724" i="12"/>
  <c r="J724" i="12"/>
  <c r="I724" i="12"/>
  <c r="M716" i="12"/>
  <c r="L716" i="12"/>
  <c r="K716" i="12"/>
  <c r="J716" i="12"/>
  <c r="I716" i="12"/>
  <c r="M708" i="12"/>
  <c r="L708" i="12"/>
  <c r="K708" i="12"/>
  <c r="J708" i="12"/>
  <c r="I708" i="12"/>
  <c r="M700" i="12"/>
  <c r="L700" i="12"/>
  <c r="K700" i="12"/>
  <c r="J700" i="12"/>
  <c r="I700" i="12"/>
  <c r="M692" i="12"/>
  <c r="L692" i="12"/>
  <c r="K692" i="12"/>
  <c r="J692" i="12"/>
  <c r="I692" i="12"/>
  <c r="M684" i="12"/>
  <c r="L684" i="12"/>
  <c r="K684" i="12"/>
  <c r="J684" i="12"/>
  <c r="I684" i="12"/>
  <c r="M676" i="12"/>
  <c r="L676" i="12"/>
  <c r="K676" i="12"/>
  <c r="J676" i="12"/>
  <c r="I676" i="12"/>
  <c r="M668" i="12"/>
  <c r="L668" i="12"/>
  <c r="K668" i="12"/>
  <c r="J668" i="12"/>
  <c r="I668" i="12"/>
  <c r="M660" i="12"/>
  <c r="L660" i="12"/>
  <c r="K660" i="12"/>
  <c r="J660" i="12"/>
  <c r="I660" i="12"/>
  <c r="M652" i="12"/>
  <c r="L652" i="12"/>
  <c r="K652" i="12"/>
  <c r="J652" i="12"/>
  <c r="I652" i="12"/>
  <c r="M644" i="12"/>
  <c r="L644" i="12"/>
  <c r="K644" i="12"/>
  <c r="J644" i="12"/>
  <c r="I644" i="12"/>
  <c r="M636" i="12"/>
  <c r="L636" i="12"/>
  <c r="K636" i="12"/>
  <c r="J636" i="12"/>
  <c r="I636" i="12"/>
  <c r="M628" i="12"/>
  <c r="L628" i="12"/>
  <c r="K628" i="12"/>
  <c r="J628" i="12"/>
  <c r="I628" i="12"/>
  <c r="M620" i="12"/>
  <c r="L620" i="12"/>
  <c r="K620" i="12"/>
  <c r="J620" i="12"/>
  <c r="I620" i="12"/>
  <c r="M612" i="12"/>
  <c r="L612" i="12"/>
  <c r="K612" i="12"/>
  <c r="J612" i="12"/>
  <c r="I612" i="12"/>
  <c r="M604" i="12"/>
  <c r="L604" i="12"/>
  <c r="K604" i="12"/>
  <c r="J604" i="12"/>
  <c r="I604" i="12"/>
  <c r="M596" i="12"/>
  <c r="L596" i="12"/>
  <c r="K596" i="12"/>
  <c r="J596" i="12"/>
  <c r="I596" i="12"/>
  <c r="M588" i="12"/>
  <c r="L588" i="12"/>
  <c r="K588" i="12"/>
  <c r="J588" i="12"/>
  <c r="I588" i="12"/>
  <c r="M580" i="12"/>
  <c r="L580" i="12"/>
  <c r="K580" i="12"/>
  <c r="J580" i="12"/>
  <c r="I580" i="12"/>
  <c r="M572" i="12"/>
  <c r="L572" i="12"/>
  <c r="K572" i="12"/>
  <c r="J572" i="12"/>
  <c r="I572" i="12"/>
  <c r="I2983" i="12"/>
  <c r="I2919" i="12"/>
  <c r="I2855" i="12"/>
  <c r="I2791" i="12"/>
  <c r="I2727" i="12"/>
  <c r="I2663" i="12"/>
  <c r="I2599" i="12"/>
  <c r="I2535" i="12"/>
  <c r="I2471" i="12"/>
  <c r="I2407" i="12"/>
  <c r="I2343" i="12"/>
  <c r="I2279" i="12"/>
  <c r="I2215" i="12"/>
  <c r="I2151" i="12"/>
  <c r="I2087" i="12"/>
  <c r="I2023" i="12"/>
  <c r="I1959" i="12"/>
  <c r="I1895" i="12"/>
  <c r="I1831" i="12"/>
  <c r="I1767" i="12"/>
  <c r="I1703" i="12"/>
  <c r="I1639" i="12"/>
  <c r="I1575" i="12"/>
  <c r="I1511" i="12"/>
  <c r="I1447" i="12"/>
  <c r="I1383" i="12"/>
  <c r="I1319" i="12"/>
  <c r="I1255" i="12"/>
  <c r="I1191" i="12"/>
  <c r="I1127" i="12"/>
  <c r="I1063" i="12"/>
  <c r="I999" i="12"/>
  <c r="I935" i="12"/>
  <c r="I871" i="12"/>
  <c r="I789" i="12"/>
  <c r="I703" i="12"/>
  <c r="J2792" i="12"/>
  <c r="D2986" i="12"/>
  <c r="D2922" i="12"/>
  <c r="D2858" i="12"/>
  <c r="D2794" i="12"/>
  <c r="D2730" i="12"/>
  <c r="M3003" i="12"/>
  <c r="L3003" i="12"/>
  <c r="K3003" i="12"/>
  <c r="J3003" i="12"/>
  <c r="I3003" i="12"/>
  <c r="M2995" i="12"/>
  <c r="L2995" i="12"/>
  <c r="K2995" i="12"/>
  <c r="J2995" i="12"/>
  <c r="I2995" i="12"/>
  <c r="M2987" i="12"/>
  <c r="L2987" i="12"/>
  <c r="K2987" i="12"/>
  <c r="J2987" i="12"/>
  <c r="I2987" i="12"/>
  <c r="M2979" i="12"/>
  <c r="L2979" i="12"/>
  <c r="K2979" i="12"/>
  <c r="J2979" i="12"/>
  <c r="I2979" i="12"/>
  <c r="M2971" i="12"/>
  <c r="L2971" i="12"/>
  <c r="K2971" i="12"/>
  <c r="J2971" i="12"/>
  <c r="I2971" i="12"/>
  <c r="M2963" i="12"/>
  <c r="L2963" i="12"/>
  <c r="K2963" i="12"/>
  <c r="I2963" i="12"/>
  <c r="M2955" i="12"/>
  <c r="L2955" i="12"/>
  <c r="K2955" i="12"/>
  <c r="J2955" i="12"/>
  <c r="I2955" i="12"/>
  <c r="M2947" i="12"/>
  <c r="L2947" i="12"/>
  <c r="K2947" i="12"/>
  <c r="J2947" i="12"/>
  <c r="I2947" i="12"/>
  <c r="M2939" i="12"/>
  <c r="L2939" i="12"/>
  <c r="K2939" i="12"/>
  <c r="J2939" i="12"/>
  <c r="I2939" i="12"/>
  <c r="M2931" i="12"/>
  <c r="L2931" i="12"/>
  <c r="K2931" i="12"/>
  <c r="I2931" i="12"/>
  <c r="J2931" i="12"/>
  <c r="M2923" i="12"/>
  <c r="L2923" i="12"/>
  <c r="K2923" i="12"/>
  <c r="J2923" i="12"/>
  <c r="I2923" i="12"/>
  <c r="M2915" i="12"/>
  <c r="L2915" i="12"/>
  <c r="K2915" i="12"/>
  <c r="J2915" i="12"/>
  <c r="I2915" i="12"/>
  <c r="M2907" i="12"/>
  <c r="L2907" i="12"/>
  <c r="K2907" i="12"/>
  <c r="J2907" i="12"/>
  <c r="I2907" i="12"/>
  <c r="M2899" i="12"/>
  <c r="L2899" i="12"/>
  <c r="K2899" i="12"/>
  <c r="J2899" i="12"/>
  <c r="I2899" i="12"/>
  <c r="M2891" i="12"/>
  <c r="L2891" i="12"/>
  <c r="K2891" i="12"/>
  <c r="J2891" i="12"/>
  <c r="I2891" i="12"/>
  <c r="M2883" i="12"/>
  <c r="L2883" i="12"/>
  <c r="K2883" i="12"/>
  <c r="J2883" i="12"/>
  <c r="I2883" i="12"/>
  <c r="M2875" i="12"/>
  <c r="L2875" i="12"/>
  <c r="K2875" i="12"/>
  <c r="J2875" i="12"/>
  <c r="I2875" i="12"/>
  <c r="M2867" i="12"/>
  <c r="L2867" i="12"/>
  <c r="K2867" i="12"/>
  <c r="I2867" i="12"/>
  <c r="J2867" i="12"/>
  <c r="M2859" i="12"/>
  <c r="L2859" i="12"/>
  <c r="K2859" i="12"/>
  <c r="J2859" i="12"/>
  <c r="I2859" i="12"/>
  <c r="M2851" i="12"/>
  <c r="L2851" i="12"/>
  <c r="K2851" i="12"/>
  <c r="J2851" i="12"/>
  <c r="I2851" i="12"/>
  <c r="M2843" i="12"/>
  <c r="L2843" i="12"/>
  <c r="K2843" i="12"/>
  <c r="J2843" i="12"/>
  <c r="I2843" i="12"/>
  <c r="M2835" i="12"/>
  <c r="L2835" i="12"/>
  <c r="K2835" i="12"/>
  <c r="J2835" i="12"/>
  <c r="I2835" i="12"/>
  <c r="M2827" i="12"/>
  <c r="L2827" i="12"/>
  <c r="K2827" i="12"/>
  <c r="J2827" i="12"/>
  <c r="I2827" i="12"/>
  <c r="M2819" i="12"/>
  <c r="L2819" i="12"/>
  <c r="K2819" i="12"/>
  <c r="J2819" i="12"/>
  <c r="I2819" i="12"/>
  <c r="M2811" i="12"/>
  <c r="L2811" i="12"/>
  <c r="K2811" i="12"/>
  <c r="J2811" i="12"/>
  <c r="I2811" i="12"/>
  <c r="M2803" i="12"/>
  <c r="L2803" i="12"/>
  <c r="K2803" i="12"/>
  <c r="I2803" i="12"/>
  <c r="J2803" i="12"/>
  <c r="M2795" i="12"/>
  <c r="L2795" i="12"/>
  <c r="K2795" i="12"/>
  <c r="J2795" i="12"/>
  <c r="I2795" i="12"/>
  <c r="M2787" i="12"/>
  <c r="L2787" i="12"/>
  <c r="K2787" i="12"/>
  <c r="J2787" i="12"/>
  <c r="I2787" i="12"/>
  <c r="M2779" i="12"/>
  <c r="L2779" i="12"/>
  <c r="K2779" i="12"/>
  <c r="J2779" i="12"/>
  <c r="I2779" i="12"/>
  <c r="M2771" i="12"/>
  <c r="L2771" i="12"/>
  <c r="K2771" i="12"/>
  <c r="I2771" i="12"/>
  <c r="J2771" i="12"/>
  <c r="M2763" i="12"/>
  <c r="L2763" i="12"/>
  <c r="K2763" i="12"/>
  <c r="J2763" i="12"/>
  <c r="I2763" i="12"/>
  <c r="M2755" i="12"/>
  <c r="L2755" i="12"/>
  <c r="K2755" i="12"/>
  <c r="J2755" i="12"/>
  <c r="I2755" i="12"/>
  <c r="M2747" i="12"/>
  <c r="L2747" i="12"/>
  <c r="K2747" i="12"/>
  <c r="J2747" i="12"/>
  <c r="I2747" i="12"/>
  <c r="M2739" i="12"/>
  <c r="L2739" i="12"/>
  <c r="K2739" i="12"/>
  <c r="J2739" i="12"/>
  <c r="I2739" i="12"/>
  <c r="M2731" i="12"/>
  <c r="L2731" i="12"/>
  <c r="K2731" i="12"/>
  <c r="J2731" i="12"/>
  <c r="I2731" i="12"/>
  <c r="M2723" i="12"/>
  <c r="L2723" i="12"/>
  <c r="K2723" i="12"/>
  <c r="J2723" i="12"/>
  <c r="I2723" i="12"/>
  <c r="M2715" i="12"/>
  <c r="L2715" i="12"/>
  <c r="K2715" i="12"/>
  <c r="J2715" i="12"/>
  <c r="I2715" i="12"/>
  <c r="M2707" i="12"/>
  <c r="L2707" i="12"/>
  <c r="K2707" i="12"/>
  <c r="I2707" i="12"/>
  <c r="M2699" i="12"/>
  <c r="L2699" i="12"/>
  <c r="K2699" i="12"/>
  <c r="J2699" i="12"/>
  <c r="I2699" i="12"/>
  <c r="M2691" i="12"/>
  <c r="L2691" i="12"/>
  <c r="K2691" i="12"/>
  <c r="J2691" i="12"/>
  <c r="I2691" i="12"/>
  <c r="M2683" i="12"/>
  <c r="L2683" i="12"/>
  <c r="K2683" i="12"/>
  <c r="J2683" i="12"/>
  <c r="I2683" i="12"/>
  <c r="M2675" i="12"/>
  <c r="L2675" i="12"/>
  <c r="K2675" i="12"/>
  <c r="I2675" i="12"/>
  <c r="J2675" i="12"/>
  <c r="M2667" i="12"/>
  <c r="L2667" i="12"/>
  <c r="K2667" i="12"/>
  <c r="J2667" i="12"/>
  <c r="I2667" i="12"/>
  <c r="M2659" i="12"/>
  <c r="L2659" i="12"/>
  <c r="K2659" i="12"/>
  <c r="J2659" i="12"/>
  <c r="I2659" i="12"/>
  <c r="M2651" i="12"/>
  <c r="L2651" i="12"/>
  <c r="K2651" i="12"/>
  <c r="J2651" i="12"/>
  <c r="I2651" i="12"/>
  <c r="M2643" i="12"/>
  <c r="L2643" i="12"/>
  <c r="K2643" i="12"/>
  <c r="J2643" i="12"/>
  <c r="I2643" i="12"/>
  <c r="M2635" i="12"/>
  <c r="L2635" i="12"/>
  <c r="K2635" i="12"/>
  <c r="J2635" i="12"/>
  <c r="I2635" i="12"/>
  <c r="M2627" i="12"/>
  <c r="L2627" i="12"/>
  <c r="K2627" i="12"/>
  <c r="J2627" i="12"/>
  <c r="I2627" i="12"/>
  <c r="M2619" i="12"/>
  <c r="L2619" i="12"/>
  <c r="K2619" i="12"/>
  <c r="J2619" i="12"/>
  <c r="I2619" i="12"/>
  <c r="M2611" i="12"/>
  <c r="L2611" i="12"/>
  <c r="K2611" i="12"/>
  <c r="I2611" i="12"/>
  <c r="J2611" i="12"/>
  <c r="M2603" i="12"/>
  <c r="L2603" i="12"/>
  <c r="K2603" i="12"/>
  <c r="J2603" i="12"/>
  <c r="I2603" i="12"/>
  <c r="M2595" i="12"/>
  <c r="L2595" i="12"/>
  <c r="K2595" i="12"/>
  <c r="J2595" i="12"/>
  <c r="I2595" i="12"/>
  <c r="M2587" i="12"/>
  <c r="L2587" i="12"/>
  <c r="K2587" i="12"/>
  <c r="J2587" i="12"/>
  <c r="I2587" i="12"/>
  <c r="M2579" i="12"/>
  <c r="L2579" i="12"/>
  <c r="K2579" i="12"/>
  <c r="J2579" i="12"/>
  <c r="I2579" i="12"/>
  <c r="M2571" i="12"/>
  <c r="L2571" i="12"/>
  <c r="K2571" i="12"/>
  <c r="J2571" i="12"/>
  <c r="I2571" i="12"/>
  <c r="M2563" i="12"/>
  <c r="L2563" i="12"/>
  <c r="K2563" i="12"/>
  <c r="J2563" i="12"/>
  <c r="I2563" i="12"/>
  <c r="M2555" i="12"/>
  <c r="L2555" i="12"/>
  <c r="K2555" i="12"/>
  <c r="J2555" i="12"/>
  <c r="I2555" i="12"/>
  <c r="M2547" i="12"/>
  <c r="L2547" i="12"/>
  <c r="K2547" i="12"/>
  <c r="I2547" i="12"/>
  <c r="J2547" i="12"/>
  <c r="M2539" i="12"/>
  <c r="L2539" i="12"/>
  <c r="K2539" i="12"/>
  <c r="J2539" i="12"/>
  <c r="I2539" i="12"/>
  <c r="M2531" i="12"/>
  <c r="L2531" i="12"/>
  <c r="K2531" i="12"/>
  <c r="J2531" i="12"/>
  <c r="I2531" i="12"/>
  <c r="M2523" i="12"/>
  <c r="L2523" i="12"/>
  <c r="K2523" i="12"/>
  <c r="J2523" i="12"/>
  <c r="I2523" i="12"/>
  <c r="M2515" i="12"/>
  <c r="L2515" i="12"/>
  <c r="K2515" i="12"/>
  <c r="I2515" i="12"/>
  <c r="J2515" i="12"/>
  <c r="M2507" i="12"/>
  <c r="L2507" i="12"/>
  <c r="K2507" i="12"/>
  <c r="J2507" i="12"/>
  <c r="I2507" i="12"/>
  <c r="M2499" i="12"/>
  <c r="L2499" i="12"/>
  <c r="K2499" i="12"/>
  <c r="J2499" i="12"/>
  <c r="I2499" i="12"/>
  <c r="M2491" i="12"/>
  <c r="L2491" i="12"/>
  <c r="K2491" i="12"/>
  <c r="J2491" i="12"/>
  <c r="I2491" i="12"/>
  <c r="M2483" i="12"/>
  <c r="L2483" i="12"/>
  <c r="K2483" i="12"/>
  <c r="J2483" i="12"/>
  <c r="I2483" i="12"/>
  <c r="M2475" i="12"/>
  <c r="L2475" i="12"/>
  <c r="K2475" i="12"/>
  <c r="J2475" i="12"/>
  <c r="I2475" i="12"/>
  <c r="M2467" i="12"/>
  <c r="K2467" i="12"/>
  <c r="L2467" i="12"/>
  <c r="J2467" i="12"/>
  <c r="I2467" i="12"/>
  <c r="M2459" i="12"/>
  <c r="L2459" i="12"/>
  <c r="K2459" i="12"/>
  <c r="J2459" i="12"/>
  <c r="I2459" i="12"/>
  <c r="M2451" i="12"/>
  <c r="L2451" i="12"/>
  <c r="K2451" i="12"/>
  <c r="I2451" i="12"/>
  <c r="M2443" i="12"/>
  <c r="L2443" i="12"/>
  <c r="K2443" i="12"/>
  <c r="J2443" i="12"/>
  <c r="I2443" i="12"/>
  <c r="M2435" i="12"/>
  <c r="L2435" i="12"/>
  <c r="K2435" i="12"/>
  <c r="J2435" i="12"/>
  <c r="I2435" i="12"/>
  <c r="M2427" i="12"/>
  <c r="L2427" i="12"/>
  <c r="K2427" i="12"/>
  <c r="J2427" i="12"/>
  <c r="I2427" i="12"/>
  <c r="M2419" i="12"/>
  <c r="L2419" i="12"/>
  <c r="K2419" i="12"/>
  <c r="J2419" i="12"/>
  <c r="I2419" i="12"/>
  <c r="M2411" i="12"/>
  <c r="L2411" i="12"/>
  <c r="K2411" i="12"/>
  <c r="J2411" i="12"/>
  <c r="I2411" i="12"/>
  <c r="M2403" i="12"/>
  <c r="L2403" i="12"/>
  <c r="K2403" i="12"/>
  <c r="J2403" i="12"/>
  <c r="I2403" i="12"/>
  <c r="M2395" i="12"/>
  <c r="L2395" i="12"/>
  <c r="K2395" i="12"/>
  <c r="J2395" i="12"/>
  <c r="I2395" i="12"/>
  <c r="M2387" i="12"/>
  <c r="L2387" i="12"/>
  <c r="K2387" i="12"/>
  <c r="J2387" i="12"/>
  <c r="I2387" i="12"/>
  <c r="M2379" i="12"/>
  <c r="L2379" i="12"/>
  <c r="K2379" i="12"/>
  <c r="J2379" i="12"/>
  <c r="I2379" i="12"/>
  <c r="M2371" i="12"/>
  <c r="L2371" i="12"/>
  <c r="K2371" i="12"/>
  <c r="J2371" i="12"/>
  <c r="I2371" i="12"/>
  <c r="M2363" i="12"/>
  <c r="L2363" i="12"/>
  <c r="K2363" i="12"/>
  <c r="J2363" i="12"/>
  <c r="I2363" i="12"/>
  <c r="M2355" i="12"/>
  <c r="L2355" i="12"/>
  <c r="K2355" i="12"/>
  <c r="J2355" i="12"/>
  <c r="I2355" i="12"/>
  <c r="M2347" i="12"/>
  <c r="L2347" i="12"/>
  <c r="K2347" i="12"/>
  <c r="J2347" i="12"/>
  <c r="I2347" i="12"/>
  <c r="M2339" i="12"/>
  <c r="L2339" i="12"/>
  <c r="K2339" i="12"/>
  <c r="J2339" i="12"/>
  <c r="I2339" i="12"/>
  <c r="M2331" i="12"/>
  <c r="L2331" i="12"/>
  <c r="K2331" i="12"/>
  <c r="J2331" i="12"/>
  <c r="I2331" i="12"/>
  <c r="M2323" i="12"/>
  <c r="L2323" i="12"/>
  <c r="K2323" i="12"/>
  <c r="J2323" i="12"/>
  <c r="I2323" i="12"/>
  <c r="M2315" i="12"/>
  <c r="L2315" i="12"/>
  <c r="K2315" i="12"/>
  <c r="J2315" i="12"/>
  <c r="I2315" i="12"/>
  <c r="M2307" i="12"/>
  <c r="L2307" i="12"/>
  <c r="K2307" i="12"/>
  <c r="J2307" i="12"/>
  <c r="I2307" i="12"/>
  <c r="M2299" i="12"/>
  <c r="L2299" i="12"/>
  <c r="K2299" i="12"/>
  <c r="J2299" i="12"/>
  <c r="I2299" i="12"/>
  <c r="M2291" i="12"/>
  <c r="L2291" i="12"/>
  <c r="K2291" i="12"/>
  <c r="J2291" i="12"/>
  <c r="I2291" i="12"/>
  <c r="M2283" i="12"/>
  <c r="L2283" i="12"/>
  <c r="K2283" i="12"/>
  <c r="J2283" i="12"/>
  <c r="I2283" i="12"/>
  <c r="M2275" i="12"/>
  <c r="L2275" i="12"/>
  <c r="K2275" i="12"/>
  <c r="J2275" i="12"/>
  <c r="I2275" i="12"/>
  <c r="M2267" i="12"/>
  <c r="L2267" i="12"/>
  <c r="K2267" i="12"/>
  <c r="J2267" i="12"/>
  <c r="I2267" i="12"/>
  <c r="M2259" i="12"/>
  <c r="L2259" i="12"/>
  <c r="K2259" i="12"/>
  <c r="J2259" i="12"/>
  <c r="I2259" i="12"/>
  <c r="M2251" i="12"/>
  <c r="L2251" i="12"/>
  <c r="K2251" i="12"/>
  <c r="J2251" i="12"/>
  <c r="I2251" i="12"/>
  <c r="M2243" i="12"/>
  <c r="L2243" i="12"/>
  <c r="K2243" i="12"/>
  <c r="J2243" i="12"/>
  <c r="I2243" i="12"/>
  <c r="M2235" i="12"/>
  <c r="L2235" i="12"/>
  <c r="K2235" i="12"/>
  <c r="J2235" i="12"/>
  <c r="I2235" i="12"/>
  <c r="M2227" i="12"/>
  <c r="L2227" i="12"/>
  <c r="K2227" i="12"/>
  <c r="J2227" i="12"/>
  <c r="I2227" i="12"/>
  <c r="M2219" i="12"/>
  <c r="L2219" i="12"/>
  <c r="K2219" i="12"/>
  <c r="J2219" i="12"/>
  <c r="I2219" i="12"/>
  <c r="M2211" i="12"/>
  <c r="L2211" i="12"/>
  <c r="K2211" i="12"/>
  <c r="J2211" i="12"/>
  <c r="I2211" i="12"/>
  <c r="M2203" i="12"/>
  <c r="L2203" i="12"/>
  <c r="K2203" i="12"/>
  <c r="J2203" i="12"/>
  <c r="I2203" i="12"/>
  <c r="M2195" i="12"/>
  <c r="L2195" i="12"/>
  <c r="K2195" i="12"/>
  <c r="J2195" i="12"/>
  <c r="I2195" i="12"/>
  <c r="M2187" i="12"/>
  <c r="L2187" i="12"/>
  <c r="K2187" i="12"/>
  <c r="J2187" i="12"/>
  <c r="I2187" i="12"/>
  <c r="M2179" i="12"/>
  <c r="L2179" i="12"/>
  <c r="K2179" i="12"/>
  <c r="J2179" i="12"/>
  <c r="I2179" i="12"/>
  <c r="M2171" i="12"/>
  <c r="L2171" i="12"/>
  <c r="K2171" i="12"/>
  <c r="J2171" i="12"/>
  <c r="I2171" i="12"/>
  <c r="M2163" i="12"/>
  <c r="L2163" i="12"/>
  <c r="K2163" i="12"/>
  <c r="J2163" i="12"/>
  <c r="I2163" i="12"/>
  <c r="M2155" i="12"/>
  <c r="K2155" i="12"/>
  <c r="L2155" i="12"/>
  <c r="J2155" i="12"/>
  <c r="I2155" i="12"/>
  <c r="M2147" i="12"/>
  <c r="L2147" i="12"/>
  <c r="K2147" i="12"/>
  <c r="J2147" i="12"/>
  <c r="I2147" i="12"/>
  <c r="M2139" i="12"/>
  <c r="L2139" i="12"/>
  <c r="K2139" i="12"/>
  <c r="J2139" i="12"/>
  <c r="I2139" i="12"/>
  <c r="M2131" i="12"/>
  <c r="L2131" i="12"/>
  <c r="K2131" i="12"/>
  <c r="J2131" i="12"/>
  <c r="I2131" i="12"/>
  <c r="M2123" i="12"/>
  <c r="L2123" i="12"/>
  <c r="K2123" i="12"/>
  <c r="J2123" i="12"/>
  <c r="I2123" i="12"/>
  <c r="M2115" i="12"/>
  <c r="L2115" i="12"/>
  <c r="K2115" i="12"/>
  <c r="J2115" i="12"/>
  <c r="I2115" i="12"/>
  <c r="M2107" i="12"/>
  <c r="L2107" i="12"/>
  <c r="K2107" i="12"/>
  <c r="J2107" i="12"/>
  <c r="I2107" i="12"/>
  <c r="M2099" i="12"/>
  <c r="L2099" i="12"/>
  <c r="K2099" i="12"/>
  <c r="J2099" i="12"/>
  <c r="I2099" i="12"/>
  <c r="M2091" i="12"/>
  <c r="L2091" i="12"/>
  <c r="K2091" i="12"/>
  <c r="J2091" i="12"/>
  <c r="I2091" i="12"/>
  <c r="M2083" i="12"/>
  <c r="L2083" i="12"/>
  <c r="K2083" i="12"/>
  <c r="J2083" i="12"/>
  <c r="I2083" i="12"/>
  <c r="M2075" i="12"/>
  <c r="L2075" i="12"/>
  <c r="K2075" i="12"/>
  <c r="J2075" i="12"/>
  <c r="I2075" i="12"/>
  <c r="M2067" i="12"/>
  <c r="L2067" i="12"/>
  <c r="K2067" i="12"/>
  <c r="J2067" i="12"/>
  <c r="I2067" i="12"/>
  <c r="M2059" i="12"/>
  <c r="L2059" i="12"/>
  <c r="K2059" i="12"/>
  <c r="J2059" i="12"/>
  <c r="I2059" i="12"/>
  <c r="M2051" i="12"/>
  <c r="L2051" i="12"/>
  <c r="K2051" i="12"/>
  <c r="J2051" i="12"/>
  <c r="I2051" i="12"/>
  <c r="M2043" i="12"/>
  <c r="L2043" i="12"/>
  <c r="K2043" i="12"/>
  <c r="J2043" i="12"/>
  <c r="I2043" i="12"/>
  <c r="M2035" i="12"/>
  <c r="L2035" i="12"/>
  <c r="K2035" i="12"/>
  <c r="J2035" i="12"/>
  <c r="I2035" i="12"/>
  <c r="M2027" i="12"/>
  <c r="L2027" i="12"/>
  <c r="K2027" i="12"/>
  <c r="J2027" i="12"/>
  <c r="I2027" i="12"/>
  <c r="M2019" i="12"/>
  <c r="L2019" i="12"/>
  <c r="K2019" i="12"/>
  <c r="J2019" i="12"/>
  <c r="I2019" i="12"/>
  <c r="M2011" i="12"/>
  <c r="L2011" i="12"/>
  <c r="K2011" i="12"/>
  <c r="J2011" i="12"/>
  <c r="I2011" i="12"/>
  <c r="M2003" i="12"/>
  <c r="L2003" i="12"/>
  <c r="K2003" i="12"/>
  <c r="J2003" i="12"/>
  <c r="I2003" i="12"/>
  <c r="M1995" i="12"/>
  <c r="L1995" i="12"/>
  <c r="K1995" i="12"/>
  <c r="J1995" i="12"/>
  <c r="I1995" i="12"/>
  <c r="M1987" i="12"/>
  <c r="L1987" i="12"/>
  <c r="K1987" i="12"/>
  <c r="J1987" i="12"/>
  <c r="I1987" i="12"/>
  <c r="M1979" i="12"/>
  <c r="L1979" i="12"/>
  <c r="K1979" i="12"/>
  <c r="J1979" i="12"/>
  <c r="I1979" i="12"/>
  <c r="M1971" i="12"/>
  <c r="L1971" i="12"/>
  <c r="K1971" i="12"/>
  <c r="J1971" i="12"/>
  <c r="I1971" i="12"/>
  <c r="M1963" i="12"/>
  <c r="L1963" i="12"/>
  <c r="K1963" i="12"/>
  <c r="J1963" i="12"/>
  <c r="I1963" i="12"/>
  <c r="M1955" i="12"/>
  <c r="L1955" i="12"/>
  <c r="K1955" i="12"/>
  <c r="J1955" i="12"/>
  <c r="I1955" i="12"/>
  <c r="M1947" i="12"/>
  <c r="L1947" i="12"/>
  <c r="K1947" i="12"/>
  <c r="J1947" i="12"/>
  <c r="I1947" i="12"/>
  <c r="M1939" i="12"/>
  <c r="L1939" i="12"/>
  <c r="K1939" i="12"/>
  <c r="J1939" i="12"/>
  <c r="I1939" i="12"/>
  <c r="M1931" i="12"/>
  <c r="L1931" i="12"/>
  <c r="K1931" i="12"/>
  <c r="J1931" i="12"/>
  <c r="I1931" i="12"/>
  <c r="M1923" i="12"/>
  <c r="L1923" i="12"/>
  <c r="K1923" i="12"/>
  <c r="J1923" i="12"/>
  <c r="I1923" i="12"/>
  <c r="M1915" i="12"/>
  <c r="K1915" i="12"/>
  <c r="L1915" i="12"/>
  <c r="J1915" i="12"/>
  <c r="I1915" i="12"/>
  <c r="M1907" i="12"/>
  <c r="L1907" i="12"/>
  <c r="K1907" i="12"/>
  <c r="J1907" i="12"/>
  <c r="I1907" i="12"/>
  <c r="M1899" i="12"/>
  <c r="L1899" i="12"/>
  <c r="K1899" i="12"/>
  <c r="J1899" i="12"/>
  <c r="I1899" i="12"/>
  <c r="M1891" i="12"/>
  <c r="L1891" i="12"/>
  <c r="K1891" i="12"/>
  <c r="J1891" i="12"/>
  <c r="I1891" i="12"/>
  <c r="M1883" i="12"/>
  <c r="K1883" i="12"/>
  <c r="L1883" i="12"/>
  <c r="J1883" i="12"/>
  <c r="I1883" i="12"/>
  <c r="M1875" i="12"/>
  <c r="L1875" i="12"/>
  <c r="K1875" i="12"/>
  <c r="J1875" i="12"/>
  <c r="I1875" i="12"/>
  <c r="M1867" i="12"/>
  <c r="L1867" i="12"/>
  <c r="K1867" i="12"/>
  <c r="J1867" i="12"/>
  <c r="I1867" i="12"/>
  <c r="M1859" i="12"/>
  <c r="L1859" i="12"/>
  <c r="K1859" i="12"/>
  <c r="J1859" i="12"/>
  <c r="I1859" i="12"/>
  <c r="M1851" i="12"/>
  <c r="L1851" i="12"/>
  <c r="K1851" i="12"/>
  <c r="J1851" i="12"/>
  <c r="I1851" i="12"/>
  <c r="M1843" i="12"/>
  <c r="L1843" i="12"/>
  <c r="K1843" i="12"/>
  <c r="J1843" i="12"/>
  <c r="I1843" i="12"/>
  <c r="M1835" i="12"/>
  <c r="L1835" i="12"/>
  <c r="K1835" i="12"/>
  <c r="J1835" i="12"/>
  <c r="I1835" i="12"/>
  <c r="M1827" i="12"/>
  <c r="L1827" i="12"/>
  <c r="K1827" i="12"/>
  <c r="J1827" i="12"/>
  <c r="I1827" i="12"/>
  <c r="M1819" i="12"/>
  <c r="L1819" i="12"/>
  <c r="K1819" i="12"/>
  <c r="J1819" i="12"/>
  <c r="I1819" i="12"/>
  <c r="M1811" i="12"/>
  <c r="L1811" i="12"/>
  <c r="K1811" i="12"/>
  <c r="J1811" i="12"/>
  <c r="I1811" i="12"/>
  <c r="M1803" i="12"/>
  <c r="L1803" i="12"/>
  <c r="K1803" i="12"/>
  <c r="J1803" i="12"/>
  <c r="I1803" i="12"/>
  <c r="M1795" i="12"/>
  <c r="L1795" i="12"/>
  <c r="K1795" i="12"/>
  <c r="J1795" i="12"/>
  <c r="I1795" i="12"/>
  <c r="M1787" i="12"/>
  <c r="L1787" i="12"/>
  <c r="K1787" i="12"/>
  <c r="J1787" i="12"/>
  <c r="I1787" i="12"/>
  <c r="M1779" i="12"/>
  <c r="L1779" i="12"/>
  <c r="K1779" i="12"/>
  <c r="J1779" i="12"/>
  <c r="I1779" i="12"/>
  <c r="M1771" i="12"/>
  <c r="L1771" i="12"/>
  <c r="K1771" i="12"/>
  <c r="J1771" i="12"/>
  <c r="I1771" i="12"/>
  <c r="M1763" i="12"/>
  <c r="L1763" i="12"/>
  <c r="K1763" i="12"/>
  <c r="J1763" i="12"/>
  <c r="I1763" i="12"/>
  <c r="M1755" i="12"/>
  <c r="L1755" i="12"/>
  <c r="K1755" i="12"/>
  <c r="J1755" i="12"/>
  <c r="I1755" i="12"/>
  <c r="M1747" i="12"/>
  <c r="L1747" i="12"/>
  <c r="K1747" i="12"/>
  <c r="J1747" i="12"/>
  <c r="I1747" i="12"/>
  <c r="M1739" i="12"/>
  <c r="L1739" i="12"/>
  <c r="K1739" i="12"/>
  <c r="J1739" i="12"/>
  <c r="I1739" i="12"/>
  <c r="M1731" i="12"/>
  <c r="L1731" i="12"/>
  <c r="K1731" i="12"/>
  <c r="J1731" i="12"/>
  <c r="I1731" i="12"/>
  <c r="M1723" i="12"/>
  <c r="L1723" i="12"/>
  <c r="K1723" i="12"/>
  <c r="J1723" i="12"/>
  <c r="I1723" i="12"/>
  <c r="M1715" i="12"/>
  <c r="L1715" i="12"/>
  <c r="K1715" i="12"/>
  <c r="J1715" i="12"/>
  <c r="I1715" i="12"/>
  <c r="M1707" i="12"/>
  <c r="L1707" i="12"/>
  <c r="K1707" i="12"/>
  <c r="J1707" i="12"/>
  <c r="I1707" i="12"/>
  <c r="M1699" i="12"/>
  <c r="L1699" i="12"/>
  <c r="K1699" i="12"/>
  <c r="J1699" i="12"/>
  <c r="I1699" i="12"/>
  <c r="M1691" i="12"/>
  <c r="L1691" i="12"/>
  <c r="K1691" i="12"/>
  <c r="J1691" i="12"/>
  <c r="I1691" i="12"/>
  <c r="M1683" i="12"/>
  <c r="L1683" i="12"/>
  <c r="K1683" i="12"/>
  <c r="J1683" i="12"/>
  <c r="I1683" i="12"/>
  <c r="M1675" i="12"/>
  <c r="L1675" i="12"/>
  <c r="K1675" i="12"/>
  <c r="J1675" i="12"/>
  <c r="I1675" i="12"/>
  <c r="M1667" i="12"/>
  <c r="L1667" i="12"/>
  <c r="K1667" i="12"/>
  <c r="J1667" i="12"/>
  <c r="I1667" i="12"/>
  <c r="M1659" i="12"/>
  <c r="L1659" i="12"/>
  <c r="K1659" i="12"/>
  <c r="J1659" i="12"/>
  <c r="I1659" i="12"/>
  <c r="M1651" i="12"/>
  <c r="L1651" i="12"/>
  <c r="K1651" i="12"/>
  <c r="J1651" i="12"/>
  <c r="I1651" i="12"/>
  <c r="M1643" i="12"/>
  <c r="L1643" i="12"/>
  <c r="K1643" i="12"/>
  <c r="J1643" i="12"/>
  <c r="I1643" i="12"/>
  <c r="M1635" i="12"/>
  <c r="L1635" i="12"/>
  <c r="K1635" i="12"/>
  <c r="J1635" i="12"/>
  <c r="I1635" i="12"/>
  <c r="M1627" i="12"/>
  <c r="L1627" i="12"/>
  <c r="K1627" i="12"/>
  <c r="J1627" i="12"/>
  <c r="I1627" i="12"/>
  <c r="M1619" i="12"/>
  <c r="L1619" i="12"/>
  <c r="K1619" i="12"/>
  <c r="J1619" i="12"/>
  <c r="I1619" i="12"/>
  <c r="M1611" i="12"/>
  <c r="L1611" i="12"/>
  <c r="K1611" i="12"/>
  <c r="J1611" i="12"/>
  <c r="I1611" i="12"/>
  <c r="M1603" i="12"/>
  <c r="L1603" i="12"/>
  <c r="K1603" i="12"/>
  <c r="J1603" i="12"/>
  <c r="I1603" i="12"/>
  <c r="M1595" i="12"/>
  <c r="L1595" i="12"/>
  <c r="K1595" i="12"/>
  <c r="J1595" i="12"/>
  <c r="I1595" i="12"/>
  <c r="M1587" i="12"/>
  <c r="L1587" i="12"/>
  <c r="K1587" i="12"/>
  <c r="J1587" i="12"/>
  <c r="I1587" i="12"/>
  <c r="M1579" i="12"/>
  <c r="L1579" i="12"/>
  <c r="K1579" i="12"/>
  <c r="J1579" i="12"/>
  <c r="I1579" i="12"/>
  <c r="M1571" i="12"/>
  <c r="L1571" i="12"/>
  <c r="K1571" i="12"/>
  <c r="J1571" i="12"/>
  <c r="I1571" i="12"/>
  <c r="M1563" i="12"/>
  <c r="L1563" i="12"/>
  <c r="K1563" i="12"/>
  <c r="J1563" i="12"/>
  <c r="I1563" i="12"/>
  <c r="M1555" i="12"/>
  <c r="L1555" i="12"/>
  <c r="K1555" i="12"/>
  <c r="J1555" i="12"/>
  <c r="I1555" i="12"/>
  <c r="M1547" i="12"/>
  <c r="L1547" i="12"/>
  <c r="K1547" i="12"/>
  <c r="J1547" i="12"/>
  <c r="I1547" i="12"/>
  <c r="M1539" i="12"/>
  <c r="L1539" i="12"/>
  <c r="K1539" i="12"/>
  <c r="J1539" i="12"/>
  <c r="I1539" i="12"/>
  <c r="M1531" i="12"/>
  <c r="L1531" i="12"/>
  <c r="K1531" i="12"/>
  <c r="I1531" i="12"/>
  <c r="J1531" i="12"/>
  <c r="M1523" i="12"/>
  <c r="L1523" i="12"/>
  <c r="K1523" i="12"/>
  <c r="J1523" i="12"/>
  <c r="I1523" i="12"/>
  <c r="M1515" i="12"/>
  <c r="K1515" i="12"/>
  <c r="L1515" i="12"/>
  <c r="J1515" i="12"/>
  <c r="I1515" i="12"/>
  <c r="M1507" i="12"/>
  <c r="L1507" i="12"/>
  <c r="K1507" i="12"/>
  <c r="J1507" i="12"/>
  <c r="I1507" i="12"/>
  <c r="M1499" i="12"/>
  <c r="L1499" i="12"/>
  <c r="K1499" i="12"/>
  <c r="J1499" i="12"/>
  <c r="I1499" i="12"/>
  <c r="M1491" i="12"/>
  <c r="L1491" i="12"/>
  <c r="K1491" i="12"/>
  <c r="J1491" i="12"/>
  <c r="I1491" i="12"/>
  <c r="M1483" i="12"/>
  <c r="L1483" i="12"/>
  <c r="K1483" i="12"/>
  <c r="J1483" i="12"/>
  <c r="I1483" i="12"/>
  <c r="M1475" i="12"/>
  <c r="L1475" i="12"/>
  <c r="K1475" i="12"/>
  <c r="J1475" i="12"/>
  <c r="I1475" i="12"/>
  <c r="M1467" i="12"/>
  <c r="L1467" i="12"/>
  <c r="K1467" i="12"/>
  <c r="I1467" i="12"/>
  <c r="M1459" i="12"/>
  <c r="L1459" i="12"/>
  <c r="K1459" i="12"/>
  <c r="J1459" i="12"/>
  <c r="I1459" i="12"/>
  <c r="M1451" i="12"/>
  <c r="L1451" i="12"/>
  <c r="K1451" i="12"/>
  <c r="J1451" i="12"/>
  <c r="I1451" i="12"/>
  <c r="M1443" i="12"/>
  <c r="L1443" i="12"/>
  <c r="K1443" i="12"/>
  <c r="J1443" i="12"/>
  <c r="I1443" i="12"/>
  <c r="M1435" i="12"/>
  <c r="L1435" i="12"/>
  <c r="K1435" i="12"/>
  <c r="J1435" i="12"/>
  <c r="I1435" i="12"/>
  <c r="M1427" i="12"/>
  <c r="L1427" i="12"/>
  <c r="K1427" i="12"/>
  <c r="J1427" i="12"/>
  <c r="I1427" i="12"/>
  <c r="M1419" i="12"/>
  <c r="L1419" i="12"/>
  <c r="K1419" i="12"/>
  <c r="J1419" i="12"/>
  <c r="I1419" i="12"/>
  <c r="M1411" i="12"/>
  <c r="L1411" i="12"/>
  <c r="K1411" i="12"/>
  <c r="J1411" i="12"/>
  <c r="I1411" i="12"/>
  <c r="M1403" i="12"/>
  <c r="L1403" i="12"/>
  <c r="K1403" i="12"/>
  <c r="I1403" i="12"/>
  <c r="J1403" i="12"/>
  <c r="M1395" i="12"/>
  <c r="L1395" i="12"/>
  <c r="K1395" i="12"/>
  <c r="J1395" i="12"/>
  <c r="I1395" i="12"/>
  <c r="M1387" i="12"/>
  <c r="L1387" i="12"/>
  <c r="K1387" i="12"/>
  <c r="J1387" i="12"/>
  <c r="I1387" i="12"/>
  <c r="M1379" i="12"/>
  <c r="L1379" i="12"/>
  <c r="K1379" i="12"/>
  <c r="J1379" i="12"/>
  <c r="I1379" i="12"/>
  <c r="M1371" i="12"/>
  <c r="L1371" i="12"/>
  <c r="K1371" i="12"/>
  <c r="J1371" i="12"/>
  <c r="I1371" i="12"/>
  <c r="M1363" i="12"/>
  <c r="L1363" i="12"/>
  <c r="K1363" i="12"/>
  <c r="J1363" i="12"/>
  <c r="I1363" i="12"/>
  <c r="M1355" i="12"/>
  <c r="L1355" i="12"/>
  <c r="K1355" i="12"/>
  <c r="J1355" i="12"/>
  <c r="I1355" i="12"/>
  <c r="M1347" i="12"/>
  <c r="L1347" i="12"/>
  <c r="K1347" i="12"/>
  <c r="J1347" i="12"/>
  <c r="I1347" i="12"/>
  <c r="M1339" i="12"/>
  <c r="L1339" i="12"/>
  <c r="K1339" i="12"/>
  <c r="I1339" i="12"/>
  <c r="J1339" i="12"/>
  <c r="M1331" i="12"/>
  <c r="L1331" i="12"/>
  <c r="K1331" i="12"/>
  <c r="J1331" i="12"/>
  <c r="I1331" i="12"/>
  <c r="M1323" i="12"/>
  <c r="L1323" i="12"/>
  <c r="K1323" i="12"/>
  <c r="J1323" i="12"/>
  <c r="I1323" i="12"/>
  <c r="M1315" i="12"/>
  <c r="L1315" i="12"/>
  <c r="K1315" i="12"/>
  <c r="J1315" i="12"/>
  <c r="I1315" i="12"/>
  <c r="M1307" i="12"/>
  <c r="L1307" i="12"/>
  <c r="K1307" i="12"/>
  <c r="J1307" i="12"/>
  <c r="I1307" i="12"/>
  <c r="M1299" i="12"/>
  <c r="L1299" i="12"/>
  <c r="K1299" i="12"/>
  <c r="J1299" i="12"/>
  <c r="I1299" i="12"/>
  <c r="M1291" i="12"/>
  <c r="L1291" i="12"/>
  <c r="K1291" i="12"/>
  <c r="J1291" i="12"/>
  <c r="I1291" i="12"/>
  <c r="M1283" i="12"/>
  <c r="L1283" i="12"/>
  <c r="K1283" i="12"/>
  <c r="J1283" i="12"/>
  <c r="I1283" i="12"/>
  <c r="M1275" i="12"/>
  <c r="L1275" i="12"/>
  <c r="K1275" i="12"/>
  <c r="I1275" i="12"/>
  <c r="J1275" i="12"/>
  <c r="M1267" i="12"/>
  <c r="L1267" i="12"/>
  <c r="K1267" i="12"/>
  <c r="J1267" i="12"/>
  <c r="I1267" i="12"/>
  <c r="M1259" i="12"/>
  <c r="L1259" i="12"/>
  <c r="K1259" i="12"/>
  <c r="J1259" i="12"/>
  <c r="I1259" i="12"/>
  <c r="M1251" i="12"/>
  <c r="L1251" i="12"/>
  <c r="K1251" i="12"/>
  <c r="J1251" i="12"/>
  <c r="I1251" i="12"/>
  <c r="M1243" i="12"/>
  <c r="L1243" i="12"/>
  <c r="K1243" i="12"/>
  <c r="J1243" i="12"/>
  <c r="I1243" i="12"/>
  <c r="M1235" i="12"/>
  <c r="L1235" i="12"/>
  <c r="K1235" i="12"/>
  <c r="J1235" i="12"/>
  <c r="I1235" i="12"/>
  <c r="M1227" i="12"/>
  <c r="L1227" i="12"/>
  <c r="K1227" i="12"/>
  <c r="J1227" i="12"/>
  <c r="I1227" i="12"/>
  <c r="M1219" i="12"/>
  <c r="L1219" i="12"/>
  <c r="K1219" i="12"/>
  <c r="J1219" i="12"/>
  <c r="I1219" i="12"/>
  <c r="M1211" i="12"/>
  <c r="L1211" i="12"/>
  <c r="K1211" i="12"/>
  <c r="J1211" i="12"/>
  <c r="I1211" i="12"/>
  <c r="M1203" i="12"/>
  <c r="L1203" i="12"/>
  <c r="K1203" i="12"/>
  <c r="J1203" i="12"/>
  <c r="I1203" i="12"/>
  <c r="M1195" i="12"/>
  <c r="L1195" i="12"/>
  <c r="K1195" i="12"/>
  <c r="J1195" i="12"/>
  <c r="I1195" i="12"/>
  <c r="M1187" i="12"/>
  <c r="L1187" i="12"/>
  <c r="K1187" i="12"/>
  <c r="J1187" i="12"/>
  <c r="I1187" i="12"/>
  <c r="M1179" i="12"/>
  <c r="L1179" i="12"/>
  <c r="K1179" i="12"/>
  <c r="J1179" i="12"/>
  <c r="I1179" i="12"/>
  <c r="M1171" i="12"/>
  <c r="L1171" i="12"/>
  <c r="K1171" i="12"/>
  <c r="J1171" i="12"/>
  <c r="I1171" i="12"/>
  <c r="M1163" i="12"/>
  <c r="L1163" i="12"/>
  <c r="K1163" i="12"/>
  <c r="J1163" i="12"/>
  <c r="I1163" i="12"/>
  <c r="M1155" i="12"/>
  <c r="L1155" i="12"/>
  <c r="K1155" i="12"/>
  <c r="J1155" i="12"/>
  <c r="I1155" i="12"/>
  <c r="M1147" i="12"/>
  <c r="L1147" i="12"/>
  <c r="K1147" i="12"/>
  <c r="J1147" i="12"/>
  <c r="I1147" i="12"/>
  <c r="M1139" i="12"/>
  <c r="L1139" i="12"/>
  <c r="K1139" i="12"/>
  <c r="J1139" i="12"/>
  <c r="I1139" i="12"/>
  <c r="M1131" i="12"/>
  <c r="L1131" i="12"/>
  <c r="K1131" i="12"/>
  <c r="J1131" i="12"/>
  <c r="I1131" i="12"/>
  <c r="M1123" i="12"/>
  <c r="L1123" i="12"/>
  <c r="K1123" i="12"/>
  <c r="J1123" i="12"/>
  <c r="I1123" i="12"/>
  <c r="M1115" i="12"/>
  <c r="L1115" i="12"/>
  <c r="K1115" i="12"/>
  <c r="J1115" i="12"/>
  <c r="I1115" i="12"/>
  <c r="M1107" i="12"/>
  <c r="L1107" i="12"/>
  <c r="K1107" i="12"/>
  <c r="J1107" i="12"/>
  <c r="I1107" i="12"/>
  <c r="M1099" i="12"/>
  <c r="L1099" i="12"/>
  <c r="K1099" i="12"/>
  <c r="J1099" i="12"/>
  <c r="I1099" i="12"/>
  <c r="M1091" i="12"/>
  <c r="L1091" i="12"/>
  <c r="K1091" i="12"/>
  <c r="J1091" i="12"/>
  <c r="I1091" i="12"/>
  <c r="M1083" i="12"/>
  <c r="L1083" i="12"/>
  <c r="K1083" i="12"/>
  <c r="J1083" i="12"/>
  <c r="I1083" i="12"/>
  <c r="M1075" i="12"/>
  <c r="L1075" i="12"/>
  <c r="K1075" i="12"/>
  <c r="J1075" i="12"/>
  <c r="I1075" i="12"/>
  <c r="M1067" i="12"/>
  <c r="L1067" i="12"/>
  <c r="K1067" i="12"/>
  <c r="J1067" i="12"/>
  <c r="I1067" i="12"/>
  <c r="M1059" i="12"/>
  <c r="L1059" i="12"/>
  <c r="K1059" i="12"/>
  <c r="J1059" i="12"/>
  <c r="I1059" i="12"/>
  <c r="M1051" i="12"/>
  <c r="L1051" i="12"/>
  <c r="K1051" i="12"/>
  <c r="J1051" i="12"/>
  <c r="I1051" i="12"/>
  <c r="M1043" i="12"/>
  <c r="L1043" i="12"/>
  <c r="K1043" i="12"/>
  <c r="J1043" i="12"/>
  <c r="I1043" i="12"/>
  <c r="M1035" i="12"/>
  <c r="L1035" i="12"/>
  <c r="K1035" i="12"/>
  <c r="J1035" i="12"/>
  <c r="I1035" i="12"/>
  <c r="M1027" i="12"/>
  <c r="L1027" i="12"/>
  <c r="K1027" i="12"/>
  <c r="J1027" i="12"/>
  <c r="I1027" i="12"/>
  <c r="M1019" i="12"/>
  <c r="L1019" i="12"/>
  <c r="K1019" i="12"/>
  <c r="I1019" i="12"/>
  <c r="J1019" i="12"/>
  <c r="M1011" i="12"/>
  <c r="L1011" i="12"/>
  <c r="K1011" i="12"/>
  <c r="J1011" i="12"/>
  <c r="I1011" i="12"/>
  <c r="M1003" i="12"/>
  <c r="L1003" i="12"/>
  <c r="K1003" i="12"/>
  <c r="J1003" i="12"/>
  <c r="I1003" i="12"/>
  <c r="M995" i="12"/>
  <c r="L995" i="12"/>
  <c r="K995" i="12"/>
  <c r="J995" i="12"/>
  <c r="I995" i="12"/>
  <c r="M987" i="12"/>
  <c r="L987" i="12"/>
  <c r="K987" i="12"/>
  <c r="J987" i="12"/>
  <c r="I987" i="12"/>
  <c r="M979" i="12"/>
  <c r="L979" i="12"/>
  <c r="K979" i="12"/>
  <c r="J979" i="12"/>
  <c r="I979" i="12"/>
  <c r="M971" i="12"/>
  <c r="L971" i="12"/>
  <c r="K971" i="12"/>
  <c r="J971" i="12"/>
  <c r="I971" i="12"/>
  <c r="M963" i="12"/>
  <c r="L963" i="12"/>
  <c r="K963" i="12"/>
  <c r="J963" i="12"/>
  <c r="I963" i="12"/>
  <c r="M955" i="12"/>
  <c r="L955" i="12"/>
  <c r="K955" i="12"/>
  <c r="J955" i="12"/>
  <c r="I955" i="12"/>
  <c r="M947" i="12"/>
  <c r="L947" i="12"/>
  <c r="K947" i="12"/>
  <c r="J947" i="12"/>
  <c r="I947" i="12"/>
  <c r="M939" i="12"/>
  <c r="L939" i="12"/>
  <c r="K939" i="12"/>
  <c r="J939" i="12"/>
  <c r="I939" i="12"/>
  <c r="M931" i="12"/>
  <c r="L931" i="12"/>
  <c r="K931" i="12"/>
  <c r="J931" i="12"/>
  <c r="I931" i="12"/>
  <c r="M923" i="12"/>
  <c r="L923" i="12"/>
  <c r="K923" i="12"/>
  <c r="J923" i="12"/>
  <c r="I923" i="12"/>
  <c r="M915" i="12"/>
  <c r="L915" i="12"/>
  <c r="K915" i="12"/>
  <c r="J915" i="12"/>
  <c r="I915" i="12"/>
  <c r="M907" i="12"/>
  <c r="L907" i="12"/>
  <c r="K907" i="12"/>
  <c r="J907" i="12"/>
  <c r="I907" i="12"/>
  <c r="M899" i="12"/>
  <c r="L899" i="12"/>
  <c r="K899" i="12"/>
  <c r="J899" i="12"/>
  <c r="I899" i="12"/>
  <c r="M891" i="12"/>
  <c r="L891" i="12"/>
  <c r="K891" i="12"/>
  <c r="J891" i="12"/>
  <c r="I891" i="12"/>
  <c r="M883" i="12"/>
  <c r="L883" i="12"/>
  <c r="K883" i="12"/>
  <c r="J883" i="12"/>
  <c r="I883" i="12"/>
  <c r="M875" i="12"/>
  <c r="L875" i="12"/>
  <c r="K875" i="12"/>
  <c r="J875" i="12"/>
  <c r="I875" i="12"/>
  <c r="M867" i="12"/>
  <c r="L867" i="12"/>
  <c r="K867" i="12"/>
  <c r="J867" i="12"/>
  <c r="I867" i="12"/>
  <c r="M859" i="12"/>
  <c r="L859" i="12"/>
  <c r="K859" i="12"/>
  <c r="J859" i="12"/>
  <c r="I859" i="12"/>
  <c r="M851" i="12"/>
  <c r="L851" i="12"/>
  <c r="K851" i="12"/>
  <c r="J851" i="12"/>
  <c r="I851" i="12"/>
  <c r="M843" i="12"/>
  <c r="L843" i="12"/>
  <c r="K843" i="12"/>
  <c r="J843" i="12"/>
  <c r="M835" i="12"/>
  <c r="L835" i="12"/>
  <c r="K835" i="12"/>
  <c r="J835" i="12"/>
  <c r="I835" i="12"/>
  <c r="M827" i="12"/>
  <c r="L827" i="12"/>
  <c r="K827" i="12"/>
  <c r="J827" i="12"/>
  <c r="I827" i="12"/>
  <c r="M819" i="12"/>
  <c r="L819" i="12"/>
  <c r="K819" i="12"/>
  <c r="J819" i="12"/>
  <c r="I819" i="12"/>
  <c r="M811" i="12"/>
  <c r="L811" i="12"/>
  <c r="K811" i="12"/>
  <c r="J811" i="12"/>
  <c r="M803" i="12"/>
  <c r="L803" i="12"/>
  <c r="K803" i="12"/>
  <c r="J803" i="12"/>
  <c r="I803" i="12"/>
  <c r="M795" i="12"/>
  <c r="L795" i="12"/>
  <c r="K795" i="12"/>
  <c r="J795" i="12"/>
  <c r="I795" i="12"/>
  <c r="M787" i="12"/>
  <c r="L787" i="12"/>
  <c r="K787" i="12"/>
  <c r="J787" i="12"/>
  <c r="I787" i="12"/>
  <c r="M779" i="12"/>
  <c r="L779" i="12"/>
  <c r="K779" i="12"/>
  <c r="J779" i="12"/>
  <c r="M771" i="12"/>
  <c r="L771" i="12"/>
  <c r="K771" i="12"/>
  <c r="J771" i="12"/>
  <c r="I771" i="12"/>
  <c r="M763" i="12"/>
  <c r="L763" i="12"/>
  <c r="K763" i="12"/>
  <c r="J763" i="12"/>
  <c r="I763" i="12"/>
  <c r="M755" i="12"/>
  <c r="L755" i="12"/>
  <c r="K755" i="12"/>
  <c r="J755" i="12"/>
  <c r="I755" i="12"/>
  <c r="M747" i="12"/>
  <c r="L747" i="12"/>
  <c r="K747" i="12"/>
  <c r="J747" i="12"/>
  <c r="M739" i="12"/>
  <c r="L739" i="12"/>
  <c r="K739" i="12"/>
  <c r="J739" i="12"/>
  <c r="I739" i="12"/>
  <c r="M731" i="12"/>
  <c r="L731" i="12"/>
  <c r="K731" i="12"/>
  <c r="J731" i="12"/>
  <c r="I731" i="12"/>
  <c r="M723" i="12"/>
  <c r="L723" i="12"/>
  <c r="K723" i="12"/>
  <c r="J723" i="12"/>
  <c r="I723" i="12"/>
  <c r="M715" i="12"/>
  <c r="L715" i="12"/>
  <c r="K715" i="12"/>
  <c r="J715" i="12"/>
  <c r="M707" i="12"/>
  <c r="L707" i="12"/>
  <c r="K707" i="12"/>
  <c r="J707" i="12"/>
  <c r="I707" i="12"/>
  <c r="M699" i="12"/>
  <c r="L699" i="12"/>
  <c r="K699" i="12"/>
  <c r="J699" i="12"/>
  <c r="I699" i="12"/>
  <c r="M691" i="12"/>
  <c r="L691" i="12"/>
  <c r="K691" i="12"/>
  <c r="J691" i="12"/>
  <c r="I691" i="12"/>
  <c r="M683" i="12"/>
  <c r="L683" i="12"/>
  <c r="K683" i="12"/>
  <c r="J683" i="12"/>
  <c r="M675" i="12"/>
  <c r="L675" i="12"/>
  <c r="K675" i="12"/>
  <c r="J675" i="12"/>
  <c r="I675" i="12"/>
  <c r="M667" i="12"/>
  <c r="L667" i="12"/>
  <c r="K667" i="12"/>
  <c r="J667" i="12"/>
  <c r="I667" i="12"/>
  <c r="M659" i="12"/>
  <c r="L659" i="12"/>
  <c r="K659" i="12"/>
  <c r="J659" i="12"/>
  <c r="I659" i="12"/>
  <c r="M651" i="12"/>
  <c r="L651" i="12"/>
  <c r="K651" i="12"/>
  <c r="J651" i="12"/>
  <c r="I651" i="12"/>
  <c r="M643" i="12"/>
  <c r="L643" i="12"/>
  <c r="K643" i="12"/>
  <c r="J643" i="12"/>
  <c r="I643" i="12"/>
  <c r="M635" i="12"/>
  <c r="L635" i="12"/>
  <c r="K635" i="12"/>
  <c r="J635" i="12"/>
  <c r="I635" i="12"/>
  <c r="M627" i="12"/>
  <c r="L627" i="12"/>
  <c r="K627" i="12"/>
  <c r="J627" i="12"/>
  <c r="I627" i="12"/>
  <c r="M619" i="12"/>
  <c r="L619" i="12"/>
  <c r="K619" i="12"/>
  <c r="J619" i="12"/>
  <c r="I619" i="12"/>
  <c r="M611" i="12"/>
  <c r="L611" i="12"/>
  <c r="K611" i="12"/>
  <c r="J611" i="12"/>
  <c r="I611" i="12"/>
  <c r="M603" i="12"/>
  <c r="L603" i="12"/>
  <c r="K603" i="12"/>
  <c r="J603" i="12"/>
  <c r="I603" i="12"/>
  <c r="M595" i="12"/>
  <c r="L595" i="12"/>
  <c r="K595" i="12"/>
  <c r="J595" i="12"/>
  <c r="I595" i="12"/>
  <c r="M587" i="12"/>
  <c r="L587" i="12"/>
  <c r="K587" i="12"/>
  <c r="J587" i="12"/>
  <c r="I587" i="12"/>
  <c r="M579" i="12"/>
  <c r="L579" i="12"/>
  <c r="K579" i="12"/>
  <c r="J579" i="12"/>
  <c r="I579" i="12"/>
  <c r="M571" i="12"/>
  <c r="L571" i="12"/>
  <c r="K571" i="12"/>
  <c r="J571" i="12"/>
  <c r="I571" i="12"/>
  <c r="M563" i="12"/>
  <c r="L563" i="12"/>
  <c r="K563" i="12"/>
  <c r="J563" i="12"/>
  <c r="I563" i="12"/>
  <c r="M555" i="12"/>
  <c r="L555" i="12"/>
  <c r="K555" i="12"/>
  <c r="J555" i="12"/>
  <c r="I555" i="12"/>
  <c r="M547" i="12"/>
  <c r="L547" i="12"/>
  <c r="K547" i="12"/>
  <c r="J547" i="12"/>
  <c r="I547" i="12"/>
  <c r="M539" i="12"/>
  <c r="L539" i="12"/>
  <c r="K539" i="12"/>
  <c r="J539" i="12"/>
  <c r="I539" i="12"/>
  <c r="M531" i="12"/>
  <c r="L531" i="12"/>
  <c r="K531" i="12"/>
  <c r="J531" i="12"/>
  <c r="I531" i="12"/>
  <c r="M523" i="12"/>
  <c r="L523" i="12"/>
  <c r="K523" i="12"/>
  <c r="J523" i="12"/>
  <c r="I523" i="12"/>
  <c r="M515" i="12"/>
  <c r="L515" i="12"/>
  <c r="K515" i="12"/>
  <c r="J515" i="12"/>
  <c r="I515" i="12"/>
  <c r="M507" i="12"/>
  <c r="L507" i="12"/>
  <c r="K507" i="12"/>
  <c r="J507" i="12"/>
  <c r="I507" i="12"/>
  <c r="M499" i="12"/>
  <c r="L499" i="12"/>
  <c r="K499" i="12"/>
  <c r="J499" i="12"/>
  <c r="I499" i="12"/>
  <c r="M491" i="12"/>
  <c r="L491" i="12"/>
  <c r="K491" i="12"/>
  <c r="J491" i="12"/>
  <c r="I491" i="12"/>
  <c r="M483" i="12"/>
  <c r="L483" i="12"/>
  <c r="K483" i="12"/>
  <c r="J483" i="12"/>
  <c r="I483" i="12"/>
  <c r="M475" i="12"/>
  <c r="L475" i="12"/>
  <c r="K475" i="12"/>
  <c r="J475" i="12"/>
  <c r="I475" i="12"/>
  <c r="M467" i="12"/>
  <c r="L467" i="12"/>
  <c r="K467" i="12"/>
  <c r="J467" i="12"/>
  <c r="I467" i="12"/>
  <c r="M459" i="12"/>
  <c r="L459" i="12"/>
  <c r="K459" i="12"/>
  <c r="J459" i="12"/>
  <c r="I459" i="12"/>
  <c r="M451" i="12"/>
  <c r="L451" i="12"/>
  <c r="K451" i="12"/>
  <c r="J451" i="12"/>
  <c r="I451" i="12"/>
  <c r="M443" i="12"/>
  <c r="L443" i="12"/>
  <c r="K443" i="12"/>
  <c r="J443" i="12"/>
  <c r="I443" i="12"/>
  <c r="M435" i="12"/>
  <c r="L435" i="12"/>
  <c r="K435" i="12"/>
  <c r="J435" i="12"/>
  <c r="I435" i="12"/>
  <c r="M427" i="12"/>
  <c r="L427" i="12"/>
  <c r="K427" i="12"/>
  <c r="J427" i="12"/>
  <c r="I427" i="12"/>
  <c r="M419" i="12"/>
  <c r="L419" i="12"/>
  <c r="K419" i="12"/>
  <c r="J419" i="12"/>
  <c r="I419" i="12"/>
  <c r="M411" i="12"/>
  <c r="L411" i="12"/>
  <c r="K411" i="12"/>
  <c r="J411" i="12"/>
  <c r="I411" i="12"/>
  <c r="M403" i="12"/>
  <c r="L403" i="12"/>
  <c r="K403" i="12"/>
  <c r="J403" i="12"/>
  <c r="I403" i="12"/>
  <c r="M395" i="12"/>
  <c r="L395" i="12"/>
  <c r="K395" i="12"/>
  <c r="J395" i="12"/>
  <c r="I395" i="12"/>
  <c r="M387" i="12"/>
  <c r="L387" i="12"/>
  <c r="K387" i="12"/>
  <c r="J387" i="12"/>
  <c r="I387" i="12"/>
  <c r="M379" i="12"/>
  <c r="L379" i="12"/>
  <c r="K379" i="12"/>
  <c r="J379" i="12"/>
  <c r="I379" i="12"/>
  <c r="M371" i="12"/>
  <c r="L371" i="12"/>
  <c r="K371" i="12"/>
  <c r="J371" i="12"/>
  <c r="I371" i="12"/>
  <c r="M363" i="12"/>
  <c r="L363" i="12"/>
  <c r="K363" i="12"/>
  <c r="J363" i="12"/>
  <c r="I363" i="12"/>
  <c r="M355" i="12"/>
  <c r="L355" i="12"/>
  <c r="K355" i="12"/>
  <c r="J355" i="12"/>
  <c r="I355" i="12"/>
  <c r="M347" i="12"/>
  <c r="L347" i="12"/>
  <c r="K347" i="12"/>
  <c r="J347" i="12"/>
  <c r="I347" i="12"/>
  <c r="M339" i="12"/>
  <c r="L339" i="12"/>
  <c r="K339" i="12"/>
  <c r="J339" i="12"/>
  <c r="I339" i="12"/>
  <c r="M331" i="12"/>
  <c r="L331" i="12"/>
  <c r="K331" i="12"/>
  <c r="J331" i="12"/>
  <c r="I331" i="12"/>
  <c r="M323" i="12"/>
  <c r="L323" i="12"/>
  <c r="K323" i="12"/>
  <c r="J323" i="12"/>
  <c r="I323" i="12"/>
  <c r="M315" i="12"/>
  <c r="L315" i="12"/>
  <c r="K315" i="12"/>
  <c r="J315" i="12"/>
  <c r="I315" i="12"/>
  <c r="M307" i="12"/>
  <c r="L307" i="12"/>
  <c r="K307" i="12"/>
  <c r="J307" i="12"/>
  <c r="I307" i="12"/>
  <c r="M299" i="12"/>
  <c r="L299" i="12"/>
  <c r="K299" i="12"/>
  <c r="J299" i="12"/>
  <c r="I299" i="12"/>
  <c r="M291" i="12"/>
  <c r="L291" i="12"/>
  <c r="K291" i="12"/>
  <c r="J291" i="12"/>
  <c r="I291" i="12"/>
  <c r="M283" i="12"/>
  <c r="L283" i="12"/>
  <c r="K283" i="12"/>
  <c r="J283" i="12"/>
  <c r="I283" i="12"/>
  <c r="M275" i="12"/>
  <c r="L275" i="12"/>
  <c r="K275" i="12"/>
  <c r="J275" i="12"/>
  <c r="I275" i="12"/>
  <c r="M267" i="12"/>
  <c r="L267" i="12"/>
  <c r="K267" i="12"/>
  <c r="J267" i="12"/>
  <c r="I267" i="12"/>
  <c r="M259" i="12"/>
  <c r="L259" i="12"/>
  <c r="K259" i="12"/>
  <c r="J259" i="12"/>
  <c r="I259" i="12"/>
  <c r="M251" i="12"/>
  <c r="L251" i="12"/>
  <c r="K251" i="12"/>
  <c r="J251" i="12"/>
  <c r="I251" i="12"/>
  <c r="M243" i="12"/>
  <c r="L243" i="12"/>
  <c r="K243" i="12"/>
  <c r="J243" i="12"/>
  <c r="I243" i="12"/>
  <c r="M235" i="12"/>
  <c r="L235" i="12"/>
  <c r="K235" i="12"/>
  <c r="J235" i="12"/>
  <c r="I235" i="12"/>
  <c r="M227" i="12"/>
  <c r="L227" i="12"/>
  <c r="K227" i="12"/>
  <c r="J227" i="12"/>
  <c r="I227" i="12"/>
  <c r="M219" i="12"/>
  <c r="L219" i="12"/>
  <c r="K219" i="12"/>
  <c r="J219" i="12"/>
  <c r="I219" i="12"/>
  <c r="M211" i="12"/>
  <c r="L211" i="12"/>
  <c r="K211" i="12"/>
  <c r="J211" i="12"/>
  <c r="I211" i="12"/>
  <c r="M203" i="12"/>
  <c r="L203" i="12"/>
  <c r="K203" i="12"/>
  <c r="J203" i="12"/>
  <c r="I203" i="12"/>
  <c r="M195" i="12"/>
  <c r="L195" i="12"/>
  <c r="K195" i="12"/>
  <c r="J195" i="12"/>
  <c r="I195" i="12"/>
  <c r="M187" i="12"/>
  <c r="L187" i="12"/>
  <c r="K187" i="12"/>
  <c r="J187" i="12"/>
  <c r="I187" i="12"/>
  <c r="M179" i="12"/>
  <c r="L179" i="12"/>
  <c r="K179" i="12"/>
  <c r="J179" i="12"/>
  <c r="I179" i="12"/>
  <c r="M171" i="12"/>
  <c r="L171" i="12"/>
  <c r="K171" i="12"/>
  <c r="J171" i="12"/>
  <c r="I171" i="12"/>
  <c r="M163" i="12"/>
  <c r="L163" i="12"/>
  <c r="K163" i="12"/>
  <c r="J163" i="12"/>
  <c r="M155" i="12"/>
  <c r="L155" i="12"/>
  <c r="K155" i="12"/>
  <c r="J155" i="12"/>
  <c r="I155" i="12"/>
  <c r="M147" i="12"/>
  <c r="L147" i="12"/>
  <c r="K147" i="12"/>
  <c r="J147" i="12"/>
  <c r="I147" i="12"/>
  <c r="M139" i="12"/>
  <c r="L139" i="12"/>
  <c r="K139" i="12"/>
  <c r="J139" i="12"/>
  <c r="I139" i="12"/>
  <c r="M131" i="12"/>
  <c r="L131" i="12"/>
  <c r="K131" i="12"/>
  <c r="J131" i="12"/>
  <c r="I131" i="12"/>
  <c r="M123" i="12"/>
  <c r="L123" i="12"/>
  <c r="K123" i="12"/>
  <c r="J123" i="12"/>
  <c r="I123" i="12"/>
  <c r="M115" i="12"/>
  <c r="L115" i="12"/>
  <c r="K115" i="12"/>
  <c r="J115" i="12"/>
  <c r="I115" i="12"/>
  <c r="M107" i="12"/>
  <c r="L107" i="12"/>
  <c r="K107" i="12"/>
  <c r="J107" i="12"/>
  <c r="I107" i="12"/>
  <c r="M99" i="12"/>
  <c r="L99" i="12"/>
  <c r="K99" i="12"/>
  <c r="J99" i="12"/>
  <c r="I99" i="12"/>
  <c r="M91" i="12"/>
  <c r="L91" i="12"/>
  <c r="K91" i="12"/>
  <c r="J91" i="12"/>
  <c r="I91" i="12"/>
  <c r="M83" i="12"/>
  <c r="L83" i="12"/>
  <c r="K83" i="12"/>
  <c r="J83" i="12"/>
  <c r="I83" i="12"/>
  <c r="M75" i="12"/>
  <c r="L75" i="12"/>
  <c r="K75" i="12"/>
  <c r="J75" i="12"/>
  <c r="I75" i="12"/>
  <c r="M67" i="12"/>
  <c r="L67" i="12"/>
  <c r="K67" i="12"/>
  <c r="J67" i="12"/>
  <c r="I67" i="12"/>
  <c r="M59" i="12"/>
  <c r="L59" i="12"/>
  <c r="K59" i="12"/>
  <c r="J59" i="12"/>
  <c r="I59" i="12"/>
  <c r="M51" i="12"/>
  <c r="L51" i="12"/>
  <c r="K51" i="12"/>
  <c r="J51" i="12"/>
  <c r="I51" i="12"/>
  <c r="M43" i="12"/>
  <c r="L43" i="12"/>
  <c r="K43" i="12"/>
  <c r="J43" i="12"/>
  <c r="I43" i="12"/>
  <c r="M35" i="12"/>
  <c r="L35" i="12"/>
  <c r="K35" i="12"/>
  <c r="J35" i="12"/>
  <c r="I35" i="12"/>
  <c r="I2975" i="12"/>
  <c r="I2911" i="12"/>
  <c r="I2847" i="12"/>
  <c r="I2783" i="12"/>
  <c r="I2719" i="12"/>
  <c r="I2655" i="12"/>
  <c r="I2591" i="12"/>
  <c r="I2527" i="12"/>
  <c r="I2463" i="12"/>
  <c r="I2399" i="12"/>
  <c r="I2335" i="12"/>
  <c r="I2271" i="12"/>
  <c r="I2207" i="12"/>
  <c r="I2143" i="12"/>
  <c r="I2079" i="12"/>
  <c r="I2015" i="12"/>
  <c r="I1951" i="12"/>
  <c r="I1887" i="12"/>
  <c r="I1823" i="12"/>
  <c r="I1759" i="12"/>
  <c r="I1695" i="12"/>
  <c r="I1631" i="12"/>
  <c r="I1567" i="12"/>
  <c r="I1503" i="12"/>
  <c r="I1439" i="12"/>
  <c r="I1375" i="12"/>
  <c r="I1311" i="12"/>
  <c r="I1247" i="12"/>
  <c r="I1183" i="12"/>
  <c r="I1119" i="12"/>
  <c r="I1055" i="12"/>
  <c r="I991" i="12"/>
  <c r="I927" i="12"/>
  <c r="I863" i="12"/>
  <c r="I779" i="12"/>
  <c r="I693" i="12"/>
  <c r="I383" i="12"/>
  <c r="J2707" i="12"/>
  <c r="J954" i="12"/>
  <c r="M625" i="12"/>
  <c r="L625" i="12"/>
  <c r="K625" i="12"/>
  <c r="J625" i="12"/>
  <c r="M617" i="12"/>
  <c r="L617" i="12"/>
  <c r="K617" i="12"/>
  <c r="J617" i="12"/>
  <c r="M609" i="12"/>
  <c r="L609" i="12"/>
  <c r="K609" i="12"/>
  <c r="J609" i="12"/>
  <c r="M601" i="12"/>
  <c r="L601" i="12"/>
  <c r="K601" i="12"/>
  <c r="J601" i="12"/>
  <c r="M593" i="12"/>
  <c r="L593" i="12"/>
  <c r="K593" i="12"/>
  <c r="J593" i="12"/>
  <c r="M585" i="12"/>
  <c r="L585" i="12"/>
  <c r="K585" i="12"/>
  <c r="J585" i="12"/>
  <c r="M577" i="12"/>
  <c r="L577" i="12"/>
  <c r="K577" i="12"/>
  <c r="J577" i="12"/>
  <c r="M569" i="12"/>
  <c r="L569" i="12"/>
  <c r="K569" i="12"/>
  <c r="J569" i="12"/>
  <c r="M561" i="12"/>
  <c r="L561" i="12"/>
  <c r="K561" i="12"/>
  <c r="J561" i="12"/>
  <c r="M553" i="12"/>
  <c r="L553" i="12"/>
  <c r="K553" i="12"/>
  <c r="J553" i="12"/>
  <c r="M545" i="12"/>
  <c r="L545" i="12"/>
  <c r="K545" i="12"/>
  <c r="J545" i="12"/>
  <c r="M537" i="12"/>
  <c r="L537" i="12"/>
  <c r="K537" i="12"/>
  <c r="J537" i="12"/>
  <c r="M529" i="12"/>
  <c r="L529" i="12"/>
  <c r="K529" i="12"/>
  <c r="J529" i="12"/>
  <c r="M521" i="12"/>
  <c r="L521" i="12"/>
  <c r="K521" i="12"/>
  <c r="J521" i="12"/>
  <c r="M513" i="12"/>
  <c r="L513" i="12"/>
  <c r="K513" i="12"/>
  <c r="J513" i="12"/>
  <c r="M505" i="12"/>
  <c r="L505" i="12"/>
  <c r="K505" i="12"/>
  <c r="J505" i="12"/>
  <c r="M497" i="12"/>
  <c r="L497" i="12"/>
  <c r="K497" i="12"/>
  <c r="J497" i="12"/>
  <c r="M489" i="12"/>
  <c r="L489" i="12"/>
  <c r="K489" i="12"/>
  <c r="J489" i="12"/>
  <c r="M481" i="12"/>
  <c r="L481" i="12"/>
  <c r="K481" i="12"/>
  <c r="J481" i="12"/>
  <c r="M473" i="12"/>
  <c r="L473" i="12"/>
  <c r="K473" i="12"/>
  <c r="J473" i="12"/>
  <c r="M465" i="12"/>
  <c r="L465" i="12"/>
  <c r="K465" i="12"/>
  <c r="J465" i="12"/>
  <c r="M457" i="12"/>
  <c r="L457" i="12"/>
  <c r="K457" i="12"/>
  <c r="J457" i="12"/>
  <c r="M449" i="12"/>
  <c r="L449" i="12"/>
  <c r="K449" i="12"/>
  <c r="J449" i="12"/>
  <c r="M441" i="12"/>
  <c r="L441" i="12"/>
  <c r="K441" i="12"/>
  <c r="J441" i="12"/>
  <c r="M433" i="12"/>
  <c r="L433" i="12"/>
  <c r="K433" i="12"/>
  <c r="J433" i="12"/>
  <c r="M425" i="12"/>
  <c r="L425" i="12"/>
  <c r="K425" i="12"/>
  <c r="J425" i="12"/>
  <c r="I425" i="12"/>
  <c r="M417" i="12"/>
  <c r="L417" i="12"/>
  <c r="K417" i="12"/>
  <c r="J417" i="12"/>
  <c r="I417" i="12"/>
  <c r="M409" i="12"/>
  <c r="L409" i="12"/>
  <c r="K409" i="12"/>
  <c r="J409" i="12"/>
  <c r="I409" i="12"/>
  <c r="M401" i="12"/>
  <c r="L401" i="12"/>
  <c r="K401" i="12"/>
  <c r="J401" i="12"/>
  <c r="I401" i="12"/>
  <c r="M393" i="12"/>
  <c r="L393" i="12"/>
  <c r="K393" i="12"/>
  <c r="J393" i="12"/>
  <c r="I393" i="12"/>
  <c r="M385" i="12"/>
  <c r="L385" i="12"/>
  <c r="K385" i="12"/>
  <c r="J385" i="12"/>
  <c r="I385" i="12"/>
  <c r="M377" i="12"/>
  <c r="L377" i="12"/>
  <c r="K377" i="12"/>
  <c r="J377" i="12"/>
  <c r="I377" i="12"/>
  <c r="M369" i="12"/>
  <c r="L369" i="12"/>
  <c r="K369" i="12"/>
  <c r="J369" i="12"/>
  <c r="I369" i="12"/>
  <c r="M361" i="12"/>
  <c r="L361" i="12"/>
  <c r="K361" i="12"/>
  <c r="J361" i="12"/>
  <c r="I361" i="12"/>
  <c r="M353" i="12"/>
  <c r="L353" i="12"/>
  <c r="K353" i="12"/>
  <c r="J353" i="12"/>
  <c r="I353" i="12"/>
  <c r="M345" i="12"/>
  <c r="L345" i="12"/>
  <c r="K345" i="12"/>
  <c r="J345" i="12"/>
  <c r="I345" i="12"/>
  <c r="M337" i="12"/>
  <c r="L337" i="12"/>
  <c r="K337" i="12"/>
  <c r="J337" i="12"/>
  <c r="I337" i="12"/>
  <c r="M329" i="12"/>
  <c r="L329" i="12"/>
  <c r="K329" i="12"/>
  <c r="J329" i="12"/>
  <c r="I329" i="12"/>
  <c r="M321" i="12"/>
  <c r="L321" i="12"/>
  <c r="K321" i="12"/>
  <c r="J321" i="12"/>
  <c r="I321" i="12"/>
  <c r="M313" i="12"/>
  <c r="L313" i="12"/>
  <c r="K313" i="12"/>
  <c r="J313" i="12"/>
  <c r="I313" i="12"/>
  <c r="M305" i="12"/>
  <c r="L305" i="12"/>
  <c r="K305" i="12"/>
  <c r="J305" i="12"/>
  <c r="I305" i="12"/>
  <c r="M297" i="12"/>
  <c r="L297" i="12"/>
  <c r="K297" i="12"/>
  <c r="J297" i="12"/>
  <c r="I297" i="12"/>
  <c r="M289" i="12"/>
  <c r="L289" i="12"/>
  <c r="K289" i="12"/>
  <c r="J289" i="12"/>
  <c r="I289" i="12"/>
  <c r="M281" i="12"/>
  <c r="L281" i="12"/>
  <c r="K281" i="12"/>
  <c r="J281" i="12"/>
  <c r="I281" i="12"/>
  <c r="M273" i="12"/>
  <c r="L273" i="12"/>
  <c r="K273" i="12"/>
  <c r="J273" i="12"/>
  <c r="I273" i="12"/>
  <c r="M265" i="12"/>
  <c r="L265" i="12"/>
  <c r="K265" i="12"/>
  <c r="J265" i="12"/>
  <c r="I265" i="12"/>
  <c r="M257" i="12"/>
  <c r="L257" i="12"/>
  <c r="K257" i="12"/>
  <c r="J257" i="12"/>
  <c r="I257" i="12"/>
  <c r="M249" i="12"/>
  <c r="L249" i="12"/>
  <c r="K249" i="12"/>
  <c r="J249" i="12"/>
  <c r="M241" i="12"/>
  <c r="L241" i="12"/>
  <c r="K241" i="12"/>
  <c r="J241" i="12"/>
  <c r="I241" i="12"/>
  <c r="M233" i="12"/>
  <c r="L233" i="12"/>
  <c r="K233" i="12"/>
  <c r="J233" i="12"/>
  <c r="I233" i="12"/>
  <c r="M225" i="12"/>
  <c r="L225" i="12"/>
  <c r="K225" i="12"/>
  <c r="J225" i="12"/>
  <c r="I225" i="12"/>
  <c r="M217" i="12"/>
  <c r="L217" i="12"/>
  <c r="K217" i="12"/>
  <c r="J217" i="12"/>
  <c r="M209" i="12"/>
  <c r="L209" i="12"/>
  <c r="K209" i="12"/>
  <c r="J209" i="12"/>
  <c r="I209" i="12"/>
  <c r="M201" i="12"/>
  <c r="L201" i="12"/>
  <c r="K201" i="12"/>
  <c r="J201" i="12"/>
  <c r="I201" i="12"/>
  <c r="M193" i="12"/>
  <c r="L193" i="12"/>
  <c r="K193" i="12"/>
  <c r="J193" i="12"/>
  <c r="I193" i="12"/>
  <c r="M185" i="12"/>
  <c r="L185" i="12"/>
  <c r="K185" i="12"/>
  <c r="J185" i="12"/>
  <c r="M177" i="12"/>
  <c r="L177" i="12"/>
  <c r="K177" i="12"/>
  <c r="J177" i="12"/>
  <c r="I177" i="12"/>
  <c r="M169" i="12"/>
  <c r="L169" i="12"/>
  <c r="K169" i="12"/>
  <c r="J169" i="12"/>
  <c r="I169" i="12"/>
  <c r="M161" i="12"/>
  <c r="L161" i="12"/>
  <c r="K161" i="12"/>
  <c r="J161" i="12"/>
  <c r="I161" i="12"/>
  <c r="M153" i="12"/>
  <c r="L153" i="12"/>
  <c r="K153" i="12"/>
  <c r="J153" i="12"/>
  <c r="M145" i="12"/>
  <c r="L145" i="12"/>
  <c r="K145" i="12"/>
  <c r="J145" i="12"/>
  <c r="I145" i="12"/>
  <c r="M137" i="12"/>
  <c r="L137" i="12"/>
  <c r="K137" i="12"/>
  <c r="J137" i="12"/>
  <c r="I137" i="12"/>
  <c r="M129" i="12"/>
  <c r="L129" i="12"/>
  <c r="K129" i="12"/>
  <c r="J129" i="12"/>
  <c r="I129" i="12"/>
  <c r="M121" i="12"/>
  <c r="L121" i="12"/>
  <c r="K121" i="12"/>
  <c r="J121" i="12"/>
  <c r="M113" i="12"/>
  <c r="L113" i="12"/>
  <c r="K113" i="12"/>
  <c r="J113" i="12"/>
  <c r="I113" i="12"/>
  <c r="M105" i="12"/>
  <c r="L105" i="12"/>
  <c r="K105" i="12"/>
  <c r="J105" i="12"/>
  <c r="I105" i="12"/>
  <c r="M97" i="12"/>
  <c r="L97" i="12"/>
  <c r="K97" i="12"/>
  <c r="J97" i="12"/>
  <c r="I97" i="12"/>
  <c r="M89" i="12"/>
  <c r="L89" i="12"/>
  <c r="K89" i="12"/>
  <c r="J89" i="12"/>
  <c r="M81" i="12"/>
  <c r="L81" i="12"/>
  <c r="K81" i="12"/>
  <c r="J81" i="12"/>
  <c r="I81" i="12"/>
  <c r="M73" i="12"/>
  <c r="L73" i="12"/>
  <c r="K73" i="12"/>
  <c r="J73" i="12"/>
  <c r="I73" i="12"/>
  <c r="M65" i="12"/>
  <c r="L65" i="12"/>
  <c r="K65" i="12"/>
  <c r="J65" i="12"/>
  <c r="I65" i="12"/>
  <c r="M57" i="12"/>
  <c r="L57" i="12"/>
  <c r="K57" i="12"/>
  <c r="J57" i="12"/>
  <c r="M49" i="12"/>
  <c r="L49" i="12"/>
  <c r="K49" i="12"/>
  <c r="J49" i="12"/>
  <c r="I49" i="12"/>
  <c r="M41" i="12"/>
  <c r="L41" i="12"/>
  <c r="K41" i="12"/>
  <c r="J41" i="12"/>
  <c r="I41" i="12"/>
  <c r="I537" i="12"/>
  <c r="I473" i="12"/>
  <c r="I153" i="12"/>
  <c r="I513" i="12"/>
  <c r="I449" i="12"/>
  <c r="I57" i="12"/>
  <c r="I553" i="12"/>
  <c r="I489" i="12"/>
  <c r="I217" i="12"/>
  <c r="M574" i="12"/>
  <c r="L574" i="12"/>
  <c r="K574" i="12"/>
  <c r="J574" i="12"/>
  <c r="I574" i="12"/>
  <c r="M566" i="12"/>
  <c r="L566" i="12"/>
  <c r="K566" i="12"/>
  <c r="J566" i="12"/>
  <c r="I566" i="12"/>
  <c r="M558" i="12"/>
  <c r="L558" i="12"/>
  <c r="K558" i="12"/>
  <c r="J558" i="12"/>
  <c r="I558" i="12"/>
  <c r="M550" i="12"/>
  <c r="L550" i="12"/>
  <c r="K550" i="12"/>
  <c r="J550" i="12"/>
  <c r="I550" i="12"/>
  <c r="M542" i="12"/>
  <c r="L542" i="12"/>
  <c r="K542" i="12"/>
  <c r="J542" i="12"/>
  <c r="I542" i="12"/>
  <c r="M534" i="12"/>
  <c r="L534" i="12"/>
  <c r="K534" i="12"/>
  <c r="J534" i="12"/>
  <c r="I534" i="12"/>
  <c r="M526" i="12"/>
  <c r="L526" i="12"/>
  <c r="K526" i="12"/>
  <c r="J526" i="12"/>
  <c r="I526" i="12"/>
  <c r="M518" i="12"/>
  <c r="L518" i="12"/>
  <c r="K518" i="12"/>
  <c r="J518" i="12"/>
  <c r="I518" i="12"/>
  <c r="M510" i="12"/>
  <c r="L510" i="12"/>
  <c r="K510" i="12"/>
  <c r="J510" i="12"/>
  <c r="I510" i="12"/>
  <c r="M502" i="12"/>
  <c r="L502" i="12"/>
  <c r="K502" i="12"/>
  <c r="J502" i="12"/>
  <c r="I502" i="12"/>
  <c r="M494" i="12"/>
  <c r="L494" i="12"/>
  <c r="K494" i="12"/>
  <c r="J494" i="12"/>
  <c r="I494" i="12"/>
  <c r="M486" i="12"/>
  <c r="L486" i="12"/>
  <c r="K486" i="12"/>
  <c r="J486" i="12"/>
  <c r="I486" i="12"/>
  <c r="M478" i="12"/>
  <c r="L478" i="12"/>
  <c r="K478" i="12"/>
  <c r="J478" i="12"/>
  <c r="I478" i="12"/>
  <c r="M470" i="12"/>
  <c r="L470" i="12"/>
  <c r="K470" i="12"/>
  <c r="J470" i="12"/>
  <c r="I470" i="12"/>
  <c r="M462" i="12"/>
  <c r="L462" i="12"/>
  <c r="K462" i="12"/>
  <c r="J462" i="12"/>
  <c r="I462" i="12"/>
  <c r="M454" i="12"/>
  <c r="L454" i="12"/>
  <c r="K454" i="12"/>
  <c r="J454" i="12"/>
  <c r="I454" i="12"/>
  <c r="M446" i="12"/>
  <c r="L446" i="12"/>
  <c r="K446" i="12"/>
  <c r="J446" i="12"/>
  <c r="I446" i="12"/>
  <c r="M438" i="12"/>
  <c r="L438" i="12"/>
  <c r="K438" i="12"/>
  <c r="J438" i="12"/>
  <c r="I438" i="12"/>
  <c r="M430" i="12"/>
  <c r="L430" i="12"/>
  <c r="K430" i="12"/>
  <c r="J430" i="12"/>
  <c r="I430" i="12"/>
  <c r="M422" i="12"/>
  <c r="L422" i="12"/>
  <c r="K422" i="12"/>
  <c r="J422" i="12"/>
  <c r="I422" i="12"/>
  <c r="M414" i="12"/>
  <c r="L414" i="12"/>
  <c r="K414" i="12"/>
  <c r="J414" i="12"/>
  <c r="I414" i="12"/>
  <c r="M406" i="12"/>
  <c r="L406" i="12"/>
  <c r="K406" i="12"/>
  <c r="J406" i="12"/>
  <c r="I406" i="12"/>
  <c r="M398" i="12"/>
  <c r="L398" i="12"/>
  <c r="K398" i="12"/>
  <c r="J398" i="12"/>
  <c r="I398" i="12"/>
  <c r="M390" i="12"/>
  <c r="L390" i="12"/>
  <c r="K390" i="12"/>
  <c r="J390" i="12"/>
  <c r="I390" i="12"/>
  <c r="M382" i="12"/>
  <c r="L382" i="12"/>
  <c r="K382" i="12"/>
  <c r="J382" i="12"/>
  <c r="I382" i="12"/>
  <c r="M374" i="12"/>
  <c r="L374" i="12"/>
  <c r="K374" i="12"/>
  <c r="J374" i="12"/>
  <c r="I374" i="12"/>
  <c r="M366" i="12"/>
  <c r="L366" i="12"/>
  <c r="K366" i="12"/>
  <c r="J366" i="12"/>
  <c r="I366" i="12"/>
  <c r="M358" i="12"/>
  <c r="L358" i="12"/>
  <c r="K358" i="12"/>
  <c r="J358" i="12"/>
  <c r="I358" i="12"/>
  <c r="M350" i="12"/>
  <c r="L350" i="12"/>
  <c r="K350" i="12"/>
  <c r="J350" i="12"/>
  <c r="I350" i="12"/>
  <c r="M342" i="12"/>
  <c r="L342" i="12"/>
  <c r="K342" i="12"/>
  <c r="J342" i="12"/>
  <c r="I342" i="12"/>
  <c r="M334" i="12"/>
  <c r="L334" i="12"/>
  <c r="K334" i="12"/>
  <c r="J334" i="12"/>
  <c r="I334" i="12"/>
  <c r="M326" i="12"/>
  <c r="L326" i="12"/>
  <c r="K326" i="12"/>
  <c r="J326" i="12"/>
  <c r="I326" i="12"/>
  <c r="M318" i="12"/>
  <c r="L318" i="12"/>
  <c r="K318" i="12"/>
  <c r="J318" i="12"/>
  <c r="I318" i="12"/>
  <c r="M310" i="12"/>
  <c r="L310" i="12"/>
  <c r="K310" i="12"/>
  <c r="J310" i="12"/>
  <c r="I310" i="12"/>
  <c r="M302" i="12"/>
  <c r="L302" i="12"/>
  <c r="K302" i="12"/>
  <c r="J302" i="12"/>
  <c r="I302" i="12"/>
  <c r="M294" i="12"/>
  <c r="L294" i="12"/>
  <c r="K294" i="12"/>
  <c r="J294" i="12"/>
  <c r="I294" i="12"/>
  <c r="M286" i="12"/>
  <c r="L286" i="12"/>
  <c r="K286" i="12"/>
  <c r="J286" i="12"/>
  <c r="I286" i="12"/>
  <c r="M278" i="12"/>
  <c r="L278" i="12"/>
  <c r="K278" i="12"/>
  <c r="J278" i="12"/>
  <c r="I278" i="12"/>
  <c r="M270" i="12"/>
  <c r="L270" i="12"/>
  <c r="K270" i="12"/>
  <c r="J270" i="12"/>
  <c r="M262" i="12"/>
  <c r="L262" i="12"/>
  <c r="K262" i="12"/>
  <c r="J262" i="12"/>
  <c r="I262" i="12"/>
  <c r="M254" i="12"/>
  <c r="L254" i="12"/>
  <c r="K254" i="12"/>
  <c r="J254" i="12"/>
  <c r="I254" i="12"/>
  <c r="M246" i="12"/>
  <c r="L246" i="12"/>
  <c r="K246" i="12"/>
  <c r="J246" i="12"/>
  <c r="I246" i="12"/>
  <c r="M238" i="12"/>
  <c r="L238" i="12"/>
  <c r="K238" i="12"/>
  <c r="J238" i="12"/>
  <c r="M230" i="12"/>
  <c r="L230" i="12"/>
  <c r="K230" i="12"/>
  <c r="J230" i="12"/>
  <c r="I230" i="12"/>
  <c r="M222" i="12"/>
  <c r="L222" i="12"/>
  <c r="K222" i="12"/>
  <c r="J222" i="12"/>
  <c r="I222" i="12"/>
  <c r="M214" i="12"/>
  <c r="L214" i="12"/>
  <c r="K214" i="12"/>
  <c r="J214" i="12"/>
  <c r="I214" i="12"/>
  <c r="M206" i="12"/>
  <c r="L206" i="12"/>
  <c r="K206" i="12"/>
  <c r="J206" i="12"/>
  <c r="M198" i="12"/>
  <c r="L198" i="12"/>
  <c r="K198" i="12"/>
  <c r="J198" i="12"/>
  <c r="I198" i="12"/>
  <c r="M190" i="12"/>
  <c r="L190" i="12"/>
  <c r="K190" i="12"/>
  <c r="J190" i="12"/>
  <c r="I190" i="12"/>
  <c r="M182" i="12"/>
  <c r="L182" i="12"/>
  <c r="K182" i="12"/>
  <c r="J182" i="12"/>
  <c r="I182" i="12"/>
  <c r="M174" i="12"/>
  <c r="L174" i="12"/>
  <c r="K174" i="12"/>
  <c r="J174" i="12"/>
  <c r="M166" i="12"/>
  <c r="L166" i="12"/>
  <c r="K166" i="12"/>
  <c r="J166" i="12"/>
  <c r="I166" i="12"/>
  <c r="M158" i="12"/>
  <c r="L158" i="12"/>
  <c r="K158" i="12"/>
  <c r="J158" i="12"/>
  <c r="I158" i="12"/>
  <c r="M150" i="12"/>
  <c r="L150" i="12"/>
  <c r="K150" i="12"/>
  <c r="J150" i="12"/>
  <c r="I150" i="12"/>
  <c r="M142" i="12"/>
  <c r="L142" i="12"/>
  <c r="K142" i="12"/>
  <c r="J142" i="12"/>
  <c r="M134" i="12"/>
  <c r="L134" i="12"/>
  <c r="K134" i="12"/>
  <c r="J134" i="12"/>
  <c r="I134" i="12"/>
  <c r="M126" i="12"/>
  <c r="L126" i="12"/>
  <c r="K126" i="12"/>
  <c r="J126" i="12"/>
  <c r="I126" i="12"/>
  <c r="M118" i="12"/>
  <c r="L118" i="12"/>
  <c r="K118" i="12"/>
  <c r="J118" i="12"/>
  <c r="I118" i="12"/>
  <c r="M110" i="12"/>
  <c r="L110" i="12"/>
  <c r="K110" i="12"/>
  <c r="J110" i="12"/>
  <c r="M102" i="12"/>
  <c r="L102" i="12"/>
  <c r="K102" i="12"/>
  <c r="J102" i="12"/>
  <c r="I102" i="12"/>
  <c r="M94" i="12"/>
  <c r="L94" i="12"/>
  <c r="K94" i="12"/>
  <c r="J94" i="12"/>
  <c r="I94" i="12"/>
  <c r="M86" i="12"/>
  <c r="L86" i="12"/>
  <c r="K86" i="12"/>
  <c r="J86" i="12"/>
  <c r="I86" i="12"/>
  <c r="M78" i="12"/>
  <c r="L78" i="12"/>
  <c r="K78" i="12"/>
  <c r="J78" i="12"/>
  <c r="M70" i="12"/>
  <c r="L70" i="12"/>
  <c r="K70" i="12"/>
  <c r="J70" i="12"/>
  <c r="I70" i="12"/>
  <c r="M62" i="12"/>
  <c r="L62" i="12"/>
  <c r="K62" i="12"/>
  <c r="J62" i="12"/>
  <c r="I62" i="12"/>
  <c r="M54" i="12"/>
  <c r="L54" i="12"/>
  <c r="K54" i="12"/>
  <c r="J54" i="12"/>
  <c r="I54" i="12"/>
  <c r="M46" i="12"/>
  <c r="L46" i="12"/>
  <c r="K46" i="12"/>
  <c r="J46" i="12"/>
  <c r="M38" i="12"/>
  <c r="L38" i="12"/>
  <c r="K38" i="12"/>
  <c r="J38" i="12"/>
  <c r="I38" i="12"/>
  <c r="I617" i="12"/>
  <c r="I601" i="12"/>
  <c r="I585" i="12"/>
  <c r="I569" i="12"/>
  <c r="I529" i="12"/>
  <c r="I465" i="12"/>
  <c r="I206" i="12"/>
  <c r="I121" i="12"/>
  <c r="M557" i="12"/>
  <c r="L557" i="12"/>
  <c r="K557" i="12"/>
  <c r="J557" i="12"/>
  <c r="I557" i="12"/>
  <c r="M549" i="12"/>
  <c r="L549" i="12"/>
  <c r="K549" i="12"/>
  <c r="J549" i="12"/>
  <c r="I549" i="12"/>
  <c r="M541" i="12"/>
  <c r="L541" i="12"/>
  <c r="K541" i="12"/>
  <c r="J541" i="12"/>
  <c r="I541" i="12"/>
  <c r="M533" i="12"/>
  <c r="L533" i="12"/>
  <c r="K533" i="12"/>
  <c r="J533" i="12"/>
  <c r="I533" i="12"/>
  <c r="M525" i="12"/>
  <c r="L525" i="12"/>
  <c r="K525" i="12"/>
  <c r="J525" i="12"/>
  <c r="I525" i="12"/>
  <c r="M517" i="12"/>
  <c r="L517" i="12"/>
  <c r="K517" i="12"/>
  <c r="J517" i="12"/>
  <c r="I517" i="12"/>
  <c r="M509" i="12"/>
  <c r="L509" i="12"/>
  <c r="K509" i="12"/>
  <c r="J509" i="12"/>
  <c r="I509" i="12"/>
  <c r="M501" i="12"/>
  <c r="L501" i="12"/>
  <c r="K501" i="12"/>
  <c r="J501" i="12"/>
  <c r="I501" i="12"/>
  <c r="M493" i="12"/>
  <c r="L493" i="12"/>
  <c r="K493" i="12"/>
  <c r="J493" i="12"/>
  <c r="I493" i="12"/>
  <c r="M485" i="12"/>
  <c r="L485" i="12"/>
  <c r="K485" i="12"/>
  <c r="J485" i="12"/>
  <c r="I485" i="12"/>
  <c r="M477" i="12"/>
  <c r="L477" i="12"/>
  <c r="K477" i="12"/>
  <c r="J477" i="12"/>
  <c r="I477" i="12"/>
  <c r="M469" i="12"/>
  <c r="L469" i="12"/>
  <c r="K469" i="12"/>
  <c r="J469" i="12"/>
  <c r="I469" i="12"/>
  <c r="M461" i="12"/>
  <c r="L461" i="12"/>
  <c r="K461" i="12"/>
  <c r="J461" i="12"/>
  <c r="I461" i="12"/>
  <c r="M453" i="12"/>
  <c r="L453" i="12"/>
  <c r="K453" i="12"/>
  <c r="J453" i="12"/>
  <c r="I453" i="12"/>
  <c r="M445" i="12"/>
  <c r="L445" i="12"/>
  <c r="K445" i="12"/>
  <c r="J445" i="12"/>
  <c r="I445" i="12"/>
  <c r="M437" i="12"/>
  <c r="L437" i="12"/>
  <c r="K437" i="12"/>
  <c r="J437" i="12"/>
  <c r="I437" i="12"/>
  <c r="M429" i="12"/>
  <c r="L429" i="12"/>
  <c r="K429" i="12"/>
  <c r="J429" i="12"/>
  <c r="I429" i="12"/>
  <c r="M421" i="12"/>
  <c r="L421" i="12"/>
  <c r="K421" i="12"/>
  <c r="J421" i="12"/>
  <c r="I421" i="12"/>
  <c r="M413" i="12"/>
  <c r="L413" i="12"/>
  <c r="K413" i="12"/>
  <c r="J413" i="12"/>
  <c r="I413" i="12"/>
  <c r="M405" i="12"/>
  <c r="L405" i="12"/>
  <c r="K405" i="12"/>
  <c r="J405" i="12"/>
  <c r="I405" i="12"/>
  <c r="M397" i="12"/>
  <c r="L397" i="12"/>
  <c r="K397" i="12"/>
  <c r="I397" i="12"/>
  <c r="M389" i="12"/>
  <c r="L389" i="12"/>
  <c r="K389" i="12"/>
  <c r="J389" i="12"/>
  <c r="I389" i="12"/>
  <c r="M381" i="12"/>
  <c r="L381" i="12"/>
  <c r="K381" i="12"/>
  <c r="J381" i="12"/>
  <c r="I381" i="12"/>
  <c r="M373" i="12"/>
  <c r="L373" i="12"/>
  <c r="K373" i="12"/>
  <c r="J373" i="12"/>
  <c r="I373" i="12"/>
  <c r="M365" i="12"/>
  <c r="L365" i="12"/>
  <c r="K365" i="12"/>
  <c r="J365" i="12"/>
  <c r="I365" i="12"/>
  <c r="M357" i="12"/>
  <c r="L357" i="12"/>
  <c r="K357" i="12"/>
  <c r="J357" i="12"/>
  <c r="I357" i="12"/>
  <c r="M349" i="12"/>
  <c r="L349" i="12"/>
  <c r="K349" i="12"/>
  <c r="J349" i="12"/>
  <c r="I349" i="12"/>
  <c r="M341" i="12"/>
  <c r="L341" i="12"/>
  <c r="K341" i="12"/>
  <c r="J341" i="12"/>
  <c r="I341" i="12"/>
  <c r="M333" i="12"/>
  <c r="L333" i="12"/>
  <c r="K333" i="12"/>
  <c r="J333" i="12"/>
  <c r="I333" i="12"/>
  <c r="M325" i="12"/>
  <c r="L325" i="12"/>
  <c r="K325" i="12"/>
  <c r="J325" i="12"/>
  <c r="I325" i="12"/>
  <c r="M317" i="12"/>
  <c r="L317" i="12"/>
  <c r="K317" i="12"/>
  <c r="J317" i="12"/>
  <c r="I317" i="12"/>
  <c r="M309" i="12"/>
  <c r="L309" i="12"/>
  <c r="K309" i="12"/>
  <c r="J309" i="12"/>
  <c r="I309" i="12"/>
  <c r="M301" i="12"/>
  <c r="L301" i="12"/>
  <c r="K301" i="12"/>
  <c r="J301" i="12"/>
  <c r="I301" i="12"/>
  <c r="M293" i="12"/>
  <c r="L293" i="12"/>
  <c r="K293" i="12"/>
  <c r="J293" i="12"/>
  <c r="I293" i="12"/>
  <c r="M285" i="12"/>
  <c r="L285" i="12"/>
  <c r="K285" i="12"/>
  <c r="J285" i="12"/>
  <c r="I285" i="12"/>
  <c r="M277" i="12"/>
  <c r="L277" i="12"/>
  <c r="K277" i="12"/>
  <c r="J277" i="12"/>
  <c r="I277" i="12"/>
  <c r="M269" i="12"/>
  <c r="L269" i="12"/>
  <c r="K269" i="12"/>
  <c r="J269" i="12"/>
  <c r="I269" i="12"/>
  <c r="M261" i="12"/>
  <c r="L261" i="12"/>
  <c r="K261" i="12"/>
  <c r="J261" i="12"/>
  <c r="I261" i="12"/>
  <c r="M253" i="12"/>
  <c r="L253" i="12"/>
  <c r="K253" i="12"/>
  <c r="J253" i="12"/>
  <c r="I253" i="12"/>
  <c r="M245" i="12"/>
  <c r="L245" i="12"/>
  <c r="K245" i="12"/>
  <c r="J245" i="12"/>
  <c r="I245" i="12"/>
  <c r="M237" i="12"/>
  <c r="L237" i="12"/>
  <c r="K237" i="12"/>
  <c r="J237" i="12"/>
  <c r="I237" i="12"/>
  <c r="M229" i="12"/>
  <c r="L229" i="12"/>
  <c r="K229" i="12"/>
  <c r="J229" i="12"/>
  <c r="I229" i="12"/>
  <c r="M221" i="12"/>
  <c r="L221" i="12"/>
  <c r="K221" i="12"/>
  <c r="J221" i="12"/>
  <c r="I221" i="12"/>
  <c r="M213" i="12"/>
  <c r="L213" i="12"/>
  <c r="K213" i="12"/>
  <c r="J213" i="12"/>
  <c r="I213" i="12"/>
  <c r="M205" i="12"/>
  <c r="L205" i="12"/>
  <c r="K205" i="12"/>
  <c r="J205" i="12"/>
  <c r="I205" i="12"/>
  <c r="M197" i="12"/>
  <c r="L197" i="12"/>
  <c r="K197" i="12"/>
  <c r="J197" i="12"/>
  <c r="I197" i="12"/>
  <c r="M189" i="12"/>
  <c r="L189" i="12"/>
  <c r="K189" i="12"/>
  <c r="J189" i="12"/>
  <c r="I189" i="12"/>
  <c r="M181" i="12"/>
  <c r="L181" i="12"/>
  <c r="K181" i="12"/>
  <c r="J181" i="12"/>
  <c r="I181" i="12"/>
  <c r="M173" i="12"/>
  <c r="L173" i="12"/>
  <c r="K173" i="12"/>
  <c r="J173" i="12"/>
  <c r="I173" i="12"/>
  <c r="M165" i="12"/>
  <c r="L165" i="12"/>
  <c r="K165" i="12"/>
  <c r="J165" i="12"/>
  <c r="I165" i="12"/>
  <c r="M157" i="12"/>
  <c r="L157" i="12"/>
  <c r="K157" i="12"/>
  <c r="J157" i="12"/>
  <c r="I157" i="12"/>
  <c r="M149" i="12"/>
  <c r="L149" i="12"/>
  <c r="K149" i="12"/>
  <c r="J149" i="12"/>
  <c r="I149" i="12"/>
  <c r="M141" i="12"/>
  <c r="L141" i="12"/>
  <c r="K141" i="12"/>
  <c r="J141" i="12"/>
  <c r="I141" i="12"/>
  <c r="M133" i="12"/>
  <c r="L133" i="12"/>
  <c r="K133" i="12"/>
  <c r="J133" i="12"/>
  <c r="I133" i="12"/>
  <c r="M125" i="12"/>
  <c r="L125" i="12"/>
  <c r="K125" i="12"/>
  <c r="J125" i="12"/>
  <c r="I125" i="12"/>
  <c r="M117" i="12"/>
  <c r="L117" i="12"/>
  <c r="K117" i="12"/>
  <c r="J117" i="12"/>
  <c r="I117" i="12"/>
  <c r="M109" i="12"/>
  <c r="L109" i="12"/>
  <c r="K109" i="12"/>
  <c r="J109" i="12"/>
  <c r="I109" i="12"/>
  <c r="M101" i="12"/>
  <c r="L101" i="12"/>
  <c r="K101" i="12"/>
  <c r="J101" i="12"/>
  <c r="I101" i="12"/>
  <c r="M93" i="12"/>
  <c r="L93" i="12"/>
  <c r="K93" i="12"/>
  <c r="J93" i="12"/>
  <c r="I93" i="12"/>
  <c r="M85" i="12"/>
  <c r="L85" i="12"/>
  <c r="K85" i="12"/>
  <c r="J85" i="12"/>
  <c r="I85" i="12"/>
  <c r="M77" i="12"/>
  <c r="L77" i="12"/>
  <c r="K77" i="12"/>
  <c r="J77" i="12"/>
  <c r="I77" i="12"/>
  <c r="M69" i="12"/>
  <c r="L69" i="12"/>
  <c r="K69" i="12"/>
  <c r="J69" i="12"/>
  <c r="I69" i="12"/>
  <c r="M61" i="12"/>
  <c r="L61" i="12"/>
  <c r="K61" i="12"/>
  <c r="J61" i="12"/>
  <c r="I61" i="12"/>
  <c r="M53" i="12"/>
  <c r="L53" i="12"/>
  <c r="K53" i="12"/>
  <c r="J53" i="12"/>
  <c r="I53" i="12"/>
  <c r="M45" i="12"/>
  <c r="L45" i="12"/>
  <c r="K45" i="12"/>
  <c r="J45" i="12"/>
  <c r="I45" i="12"/>
  <c r="M37" i="12"/>
  <c r="L37" i="12"/>
  <c r="K37" i="12"/>
  <c r="J37" i="12"/>
  <c r="I37" i="12"/>
  <c r="I505" i="12"/>
  <c r="I441" i="12"/>
  <c r="I110" i="12"/>
  <c r="M564" i="12"/>
  <c r="L564" i="12"/>
  <c r="K564" i="12"/>
  <c r="J564" i="12"/>
  <c r="M556" i="12"/>
  <c r="L556" i="12"/>
  <c r="K556" i="12"/>
  <c r="J556" i="12"/>
  <c r="M548" i="12"/>
  <c r="L548" i="12"/>
  <c r="K548" i="12"/>
  <c r="J548" i="12"/>
  <c r="M540" i="12"/>
  <c r="L540" i="12"/>
  <c r="K540" i="12"/>
  <c r="J540" i="12"/>
  <c r="M532" i="12"/>
  <c r="L532" i="12"/>
  <c r="K532" i="12"/>
  <c r="J532" i="12"/>
  <c r="M524" i="12"/>
  <c r="L524" i="12"/>
  <c r="K524" i="12"/>
  <c r="J524" i="12"/>
  <c r="M516" i="12"/>
  <c r="L516" i="12"/>
  <c r="K516" i="12"/>
  <c r="J516" i="12"/>
  <c r="M508" i="12"/>
  <c r="L508" i="12"/>
  <c r="K508" i="12"/>
  <c r="J508" i="12"/>
  <c r="M500" i="12"/>
  <c r="L500" i="12"/>
  <c r="K500" i="12"/>
  <c r="J500" i="12"/>
  <c r="M492" i="12"/>
  <c r="L492" i="12"/>
  <c r="K492" i="12"/>
  <c r="J492" i="12"/>
  <c r="M484" i="12"/>
  <c r="L484" i="12"/>
  <c r="K484" i="12"/>
  <c r="J484" i="12"/>
  <c r="M476" i="12"/>
  <c r="L476" i="12"/>
  <c r="K476" i="12"/>
  <c r="J476" i="12"/>
  <c r="M468" i="12"/>
  <c r="L468" i="12"/>
  <c r="K468" i="12"/>
  <c r="J468" i="12"/>
  <c r="M460" i="12"/>
  <c r="L460" i="12"/>
  <c r="K460" i="12"/>
  <c r="J460" i="12"/>
  <c r="M452" i="12"/>
  <c r="L452" i="12"/>
  <c r="K452" i="12"/>
  <c r="J452" i="12"/>
  <c r="M444" i="12"/>
  <c r="L444" i="12"/>
  <c r="K444" i="12"/>
  <c r="J444" i="12"/>
  <c r="M436" i="12"/>
  <c r="L436" i="12"/>
  <c r="K436" i="12"/>
  <c r="J436" i="12"/>
  <c r="M428" i="12"/>
  <c r="L428" i="12"/>
  <c r="K428" i="12"/>
  <c r="J428" i="12"/>
  <c r="M420" i="12"/>
  <c r="L420" i="12"/>
  <c r="K420" i="12"/>
  <c r="I420" i="12"/>
  <c r="J420" i="12"/>
  <c r="M412" i="12"/>
  <c r="L412" i="12"/>
  <c r="K412" i="12"/>
  <c r="J412" i="12"/>
  <c r="I412" i="12"/>
  <c r="M404" i="12"/>
  <c r="L404" i="12"/>
  <c r="K404" i="12"/>
  <c r="J404" i="12"/>
  <c r="I404" i="12"/>
  <c r="M396" i="12"/>
  <c r="L396" i="12"/>
  <c r="K396" i="12"/>
  <c r="J396" i="12"/>
  <c r="I396" i="12"/>
  <c r="M388" i="12"/>
  <c r="L388" i="12"/>
  <c r="K388" i="12"/>
  <c r="J388" i="12"/>
  <c r="I388" i="12"/>
  <c r="M380" i="12"/>
  <c r="L380" i="12"/>
  <c r="K380" i="12"/>
  <c r="J380" i="12"/>
  <c r="I380" i="12"/>
  <c r="M372" i="12"/>
  <c r="L372" i="12"/>
  <c r="K372" i="12"/>
  <c r="J372" i="12"/>
  <c r="I372" i="12"/>
  <c r="M364" i="12"/>
  <c r="L364" i="12"/>
  <c r="K364" i="12"/>
  <c r="J364" i="12"/>
  <c r="I364" i="12"/>
  <c r="M356" i="12"/>
  <c r="L356" i="12"/>
  <c r="K356" i="12"/>
  <c r="I356" i="12"/>
  <c r="J356" i="12"/>
  <c r="M348" i="12"/>
  <c r="L348" i="12"/>
  <c r="K348" i="12"/>
  <c r="J348" i="12"/>
  <c r="I348" i="12"/>
  <c r="M340" i="12"/>
  <c r="L340" i="12"/>
  <c r="K340" i="12"/>
  <c r="J340" i="12"/>
  <c r="I340" i="12"/>
  <c r="M332" i="12"/>
  <c r="L332" i="12"/>
  <c r="K332" i="12"/>
  <c r="J332" i="12"/>
  <c r="I332" i="12"/>
  <c r="M324" i="12"/>
  <c r="L324" i="12"/>
  <c r="K324" i="12"/>
  <c r="J324" i="12"/>
  <c r="I324" i="12"/>
  <c r="M316" i="12"/>
  <c r="L316" i="12"/>
  <c r="K316" i="12"/>
  <c r="J316" i="12"/>
  <c r="I316" i="12"/>
  <c r="M308" i="12"/>
  <c r="L308" i="12"/>
  <c r="K308" i="12"/>
  <c r="J308" i="12"/>
  <c r="I308" i="12"/>
  <c r="M300" i="12"/>
  <c r="L300" i="12"/>
  <c r="K300" i="12"/>
  <c r="J300" i="12"/>
  <c r="I300" i="12"/>
  <c r="M292" i="12"/>
  <c r="L292" i="12"/>
  <c r="K292" i="12"/>
  <c r="J292" i="12"/>
  <c r="I292" i="12"/>
  <c r="M284" i="12"/>
  <c r="L284" i="12"/>
  <c r="K284" i="12"/>
  <c r="J284" i="12"/>
  <c r="I284" i="12"/>
  <c r="M276" i="12"/>
  <c r="L276" i="12"/>
  <c r="K276" i="12"/>
  <c r="J276" i="12"/>
  <c r="I276" i="12"/>
  <c r="M268" i="12"/>
  <c r="L268" i="12"/>
  <c r="K268" i="12"/>
  <c r="I268" i="12"/>
  <c r="J268" i="12"/>
  <c r="M260" i="12"/>
  <c r="L260" i="12"/>
  <c r="K260" i="12"/>
  <c r="I260" i="12"/>
  <c r="J260" i="12"/>
  <c r="M252" i="12"/>
  <c r="L252" i="12"/>
  <c r="K252" i="12"/>
  <c r="J252" i="12"/>
  <c r="I252" i="12"/>
  <c r="M244" i="12"/>
  <c r="L244" i="12"/>
  <c r="K244" i="12"/>
  <c r="I244" i="12"/>
  <c r="J244" i="12"/>
  <c r="M236" i="12"/>
  <c r="L236" i="12"/>
  <c r="K236" i="12"/>
  <c r="J236" i="12"/>
  <c r="I236" i="12"/>
  <c r="M228" i="12"/>
  <c r="L228" i="12"/>
  <c r="K228" i="12"/>
  <c r="I228" i="12"/>
  <c r="M220" i="12"/>
  <c r="L220" i="12"/>
  <c r="K220" i="12"/>
  <c r="I220" i="12"/>
  <c r="J220" i="12"/>
  <c r="M212" i="12"/>
  <c r="L212" i="12"/>
  <c r="K212" i="12"/>
  <c r="J212" i="12"/>
  <c r="I212" i="12"/>
  <c r="M204" i="12"/>
  <c r="L204" i="12"/>
  <c r="K204" i="12"/>
  <c r="I204" i="12"/>
  <c r="J204" i="12"/>
  <c r="M196" i="12"/>
  <c r="L196" i="12"/>
  <c r="K196" i="12"/>
  <c r="I196" i="12"/>
  <c r="J196" i="12"/>
  <c r="M188" i="12"/>
  <c r="L188" i="12"/>
  <c r="K188" i="12"/>
  <c r="J188" i="12"/>
  <c r="I188" i="12"/>
  <c r="M180" i="12"/>
  <c r="L180" i="12"/>
  <c r="K180" i="12"/>
  <c r="I180" i="12"/>
  <c r="J180" i="12"/>
  <c r="M172" i="12"/>
  <c r="L172" i="12"/>
  <c r="K172" i="12"/>
  <c r="J172" i="12"/>
  <c r="I172" i="12"/>
  <c r="M164" i="12"/>
  <c r="L164" i="12"/>
  <c r="K164" i="12"/>
  <c r="I164" i="12"/>
  <c r="J164" i="12"/>
  <c r="M156" i="12"/>
  <c r="L156" i="12"/>
  <c r="K156" i="12"/>
  <c r="I156" i="12"/>
  <c r="J156" i="12"/>
  <c r="M148" i="12"/>
  <c r="L148" i="12"/>
  <c r="K148" i="12"/>
  <c r="J148" i="12"/>
  <c r="I148" i="12"/>
  <c r="M140" i="12"/>
  <c r="L140" i="12"/>
  <c r="K140" i="12"/>
  <c r="I140" i="12"/>
  <c r="J140" i="12"/>
  <c r="M132" i="12"/>
  <c r="L132" i="12"/>
  <c r="K132" i="12"/>
  <c r="I132" i="12"/>
  <c r="J132" i="12"/>
  <c r="M124" i="12"/>
  <c r="L124" i="12"/>
  <c r="K124" i="12"/>
  <c r="J124" i="12"/>
  <c r="I124" i="12"/>
  <c r="M116" i="12"/>
  <c r="L116" i="12"/>
  <c r="K116" i="12"/>
  <c r="J116" i="12"/>
  <c r="I116" i="12"/>
  <c r="M108" i="12"/>
  <c r="L108" i="12"/>
  <c r="K108" i="12"/>
  <c r="J108" i="12"/>
  <c r="I108" i="12"/>
  <c r="M100" i="12"/>
  <c r="L100" i="12"/>
  <c r="K100" i="12"/>
  <c r="J100" i="12"/>
  <c r="I100" i="12"/>
  <c r="M92" i="12"/>
  <c r="L92" i="12"/>
  <c r="K92" i="12"/>
  <c r="J92" i="12"/>
  <c r="I92" i="12"/>
  <c r="M84" i="12"/>
  <c r="L84" i="12"/>
  <c r="K84" i="12"/>
  <c r="J84" i="12"/>
  <c r="I84" i="12"/>
  <c r="M76" i="12"/>
  <c r="L76" i="12"/>
  <c r="K76" i="12"/>
  <c r="J76" i="12"/>
  <c r="I76" i="12"/>
  <c r="M68" i="12"/>
  <c r="L68" i="12"/>
  <c r="K68" i="12"/>
  <c r="J68" i="12"/>
  <c r="I68" i="12"/>
  <c r="M60" i="12"/>
  <c r="L60" i="12"/>
  <c r="K60" i="12"/>
  <c r="J60" i="12"/>
  <c r="I60" i="12"/>
  <c r="M52" i="12"/>
  <c r="L52" i="12"/>
  <c r="K52" i="12"/>
  <c r="J52" i="12"/>
  <c r="I52" i="12"/>
  <c r="M44" i="12"/>
  <c r="L44" i="12"/>
  <c r="K44" i="12"/>
  <c r="J44" i="12"/>
  <c r="I44" i="12"/>
  <c r="M36" i="12"/>
  <c r="L36" i="12"/>
  <c r="K36" i="12"/>
  <c r="J36" i="12"/>
  <c r="I36" i="12"/>
  <c r="I545" i="12"/>
  <c r="I524" i="12"/>
  <c r="I481" i="12"/>
  <c r="I460" i="12"/>
  <c r="I270" i="12"/>
  <c r="I185" i="12"/>
  <c r="J32" i="12"/>
  <c r="L30" i="12"/>
  <c r="I33" i="12"/>
  <c r="J24" i="12"/>
  <c r="L22" i="12"/>
  <c r="I30" i="12"/>
  <c r="I25" i="12"/>
  <c r="I22" i="12"/>
  <c r="K31" i="12"/>
  <c r="M29" i="12"/>
  <c r="I17" i="12"/>
  <c r="K23" i="12"/>
  <c r="M21" i="12"/>
  <c r="J16" i="12"/>
  <c r="L14" i="12"/>
  <c r="I14" i="12"/>
  <c r="K15" i="12"/>
  <c r="I32" i="12"/>
  <c r="I24" i="12"/>
  <c r="I16" i="12"/>
  <c r="J31" i="12"/>
  <c r="J23" i="12"/>
  <c r="J15" i="12"/>
  <c r="K30" i="12"/>
  <c r="K22" i="12"/>
  <c r="K14" i="12"/>
  <c r="L29" i="12"/>
  <c r="L21" i="12"/>
  <c r="M13" i="12"/>
  <c r="M28" i="12"/>
  <c r="M20" i="12"/>
  <c r="I31" i="12"/>
  <c r="I23" i="12"/>
  <c r="I15" i="12"/>
  <c r="J30" i="12"/>
  <c r="J22" i="12"/>
  <c r="J14" i="12"/>
  <c r="K29" i="12"/>
  <c r="K21" i="12"/>
  <c r="L13" i="12"/>
  <c r="L28" i="12"/>
  <c r="L20" i="12"/>
  <c r="M27" i="12"/>
  <c r="M19" i="12"/>
  <c r="J29" i="12"/>
  <c r="J21" i="12"/>
  <c r="K13" i="12"/>
  <c r="K28" i="12"/>
  <c r="K20" i="12"/>
  <c r="L27" i="12"/>
  <c r="L19" i="12"/>
  <c r="M26" i="12"/>
  <c r="M18" i="12"/>
  <c r="J13" i="12"/>
  <c r="J28" i="12"/>
  <c r="J20" i="12"/>
  <c r="K27" i="12"/>
  <c r="K19" i="12"/>
  <c r="L26" i="12"/>
  <c r="L18" i="12"/>
  <c r="M33" i="12"/>
  <c r="M25" i="12"/>
  <c r="M17" i="12"/>
  <c r="J27" i="12"/>
  <c r="J19" i="12"/>
  <c r="K26" i="12"/>
  <c r="K18" i="12"/>
  <c r="L33" i="12"/>
  <c r="L25" i="12"/>
  <c r="L17" i="12"/>
  <c r="M32" i="12"/>
  <c r="M24" i="12"/>
  <c r="M16" i="12"/>
  <c r="J26" i="12"/>
  <c r="J18" i="12"/>
  <c r="K33" i="12"/>
  <c r="K25" i="12"/>
  <c r="K17" i="12"/>
  <c r="L32" i="12"/>
  <c r="L24" i="12"/>
  <c r="L16" i="12"/>
  <c r="M31" i="12"/>
  <c r="M23" i="12"/>
  <c r="M15" i="12"/>
  <c r="E2021" i="12"/>
  <c r="D2021" i="12"/>
  <c r="E1989" i="12"/>
  <c r="D1989" i="12"/>
  <c r="E1957" i="12"/>
  <c r="D1957" i="12"/>
  <c r="E1917" i="12"/>
  <c r="D1917" i="12"/>
  <c r="E1893" i="12"/>
  <c r="D1893" i="12"/>
  <c r="E1853" i="12"/>
  <c r="D1853" i="12"/>
  <c r="E1813" i="12"/>
  <c r="D1813" i="12"/>
  <c r="E1757" i="12"/>
  <c r="D1757" i="12"/>
  <c r="E1717" i="12"/>
  <c r="D1717" i="12"/>
  <c r="E1677" i="12"/>
  <c r="D1677" i="12"/>
  <c r="E1597" i="12"/>
  <c r="D1597" i="12"/>
  <c r="E1309" i="12"/>
  <c r="D1309" i="12"/>
  <c r="E909" i="12"/>
  <c r="D909" i="12"/>
  <c r="D2693" i="12"/>
  <c r="D2685" i="12"/>
  <c r="D2677" i="12"/>
  <c r="D2669" i="12"/>
  <c r="D2661" i="12"/>
  <c r="D2653" i="12"/>
  <c r="D2645" i="12"/>
  <c r="D2637" i="12"/>
  <c r="D2629" i="12"/>
  <c r="D2621" i="12"/>
  <c r="D2613" i="12"/>
  <c r="D2605" i="12"/>
  <c r="D2597" i="12"/>
  <c r="D2589" i="12"/>
  <c r="D2581" i="12"/>
  <c r="D2573" i="12"/>
  <c r="D2565" i="12"/>
  <c r="D2557" i="12"/>
  <c r="D2549" i="12"/>
  <c r="D2541" i="12"/>
  <c r="D2533" i="12"/>
  <c r="D2525" i="12"/>
  <c r="D2517" i="12"/>
  <c r="D2509" i="12"/>
  <c r="D2501" i="12"/>
  <c r="D2493" i="12"/>
  <c r="D2485" i="12"/>
  <c r="D2477" i="12"/>
  <c r="D2469" i="12"/>
  <c r="D2461" i="12"/>
  <c r="D2453" i="12"/>
  <c r="D2445" i="12"/>
  <c r="D2437" i="12"/>
  <c r="D2429" i="12"/>
  <c r="D2421" i="12"/>
  <c r="D2413" i="12"/>
  <c r="D2405" i="12"/>
  <c r="D2397" i="12"/>
  <c r="D2389" i="12"/>
  <c r="D2381" i="12"/>
  <c r="D2373" i="12"/>
  <c r="D2365" i="12"/>
  <c r="D2357" i="12"/>
  <c r="D2349" i="12"/>
  <c r="D2341" i="12"/>
  <c r="D2333" i="12"/>
  <c r="D2325" i="12"/>
  <c r="D2317" i="12"/>
  <c r="D2309" i="12"/>
  <c r="D2301" i="12"/>
  <c r="D2293" i="12"/>
  <c r="D2285" i="12"/>
  <c r="D2277" i="12"/>
  <c r="D2269" i="12"/>
  <c r="D2261" i="12"/>
  <c r="D2253" i="12"/>
  <c r="D2245" i="12"/>
  <c r="D2237" i="12"/>
  <c r="D2229" i="12"/>
  <c r="D2221" i="12"/>
  <c r="D2213" i="12"/>
  <c r="D2205" i="12"/>
  <c r="D2197" i="12"/>
  <c r="D2189" i="12"/>
  <c r="D2181" i="12"/>
  <c r="D2173" i="12"/>
  <c r="D2165" i="12"/>
  <c r="D2157" i="12"/>
  <c r="D2149" i="12"/>
  <c r="D2141" i="12"/>
  <c r="D2133" i="12"/>
  <c r="D2125" i="12"/>
  <c r="D2117" i="12"/>
  <c r="D2109" i="12"/>
  <c r="D2101" i="12"/>
  <c r="D2093" i="12"/>
  <c r="D2085" i="12"/>
  <c r="D2077" i="12"/>
  <c r="D2069" i="12"/>
  <c r="D2061" i="12"/>
  <c r="E2037" i="12"/>
  <c r="D2037" i="12"/>
  <c r="E1981" i="12"/>
  <c r="D1981" i="12"/>
  <c r="E1933" i="12"/>
  <c r="D1933" i="12"/>
  <c r="E1869" i="12"/>
  <c r="D1869" i="12"/>
  <c r="E1821" i="12"/>
  <c r="D1821" i="12"/>
  <c r="E1781" i="12"/>
  <c r="D1781" i="12"/>
  <c r="E1709" i="12"/>
  <c r="D1709" i="12"/>
  <c r="E1669" i="12"/>
  <c r="D1669" i="12"/>
  <c r="E1629" i="12"/>
  <c r="D1629" i="12"/>
  <c r="E1573" i="12"/>
  <c r="D1573" i="12"/>
  <c r="E1541" i="12"/>
  <c r="D1541" i="12"/>
  <c r="E1501" i="12"/>
  <c r="D1501" i="12"/>
  <c r="E1461" i="12"/>
  <c r="D1461" i="12"/>
  <c r="E1429" i="12"/>
  <c r="D1429" i="12"/>
  <c r="E1389" i="12"/>
  <c r="D1389" i="12"/>
  <c r="E1341" i="12"/>
  <c r="D1341" i="12"/>
  <c r="E1301" i="12"/>
  <c r="D1301" i="12"/>
  <c r="E1269" i="12"/>
  <c r="D1269" i="12"/>
  <c r="E1237" i="12"/>
  <c r="D1237" i="12"/>
  <c r="E1205" i="12"/>
  <c r="D1205" i="12"/>
  <c r="E1165" i="12"/>
  <c r="D1165" i="12"/>
  <c r="E1133" i="12"/>
  <c r="D1133" i="12"/>
  <c r="E1085" i="12"/>
  <c r="D1085" i="12"/>
  <c r="E1053" i="12"/>
  <c r="D1053" i="12"/>
  <c r="E1021" i="12"/>
  <c r="D1021" i="12"/>
  <c r="E973" i="12"/>
  <c r="D973" i="12"/>
  <c r="E941" i="12"/>
  <c r="D941" i="12"/>
  <c r="E901" i="12"/>
  <c r="D901" i="12"/>
  <c r="E869" i="12"/>
  <c r="D869" i="12"/>
  <c r="E853" i="12"/>
  <c r="D853" i="12"/>
  <c r="E829" i="12"/>
  <c r="D829" i="12"/>
  <c r="E821" i="12"/>
  <c r="D821" i="12"/>
  <c r="E805" i="12"/>
  <c r="D805" i="12"/>
  <c r="E797" i="12"/>
  <c r="D797" i="12"/>
  <c r="E773" i="12"/>
  <c r="D773" i="12"/>
  <c r="E765" i="12"/>
  <c r="D765" i="12"/>
  <c r="E757" i="12"/>
  <c r="D757" i="12"/>
  <c r="E749" i="12"/>
  <c r="D749" i="12"/>
  <c r="E741" i="12"/>
  <c r="D741" i="12"/>
  <c r="E2053" i="12"/>
  <c r="D2053" i="12"/>
  <c r="E2013" i="12"/>
  <c r="D2013" i="12"/>
  <c r="E1973" i="12"/>
  <c r="D1973" i="12"/>
  <c r="E1941" i="12"/>
  <c r="D1941" i="12"/>
  <c r="E1901" i="12"/>
  <c r="D1901" i="12"/>
  <c r="E1861" i="12"/>
  <c r="D1861" i="12"/>
  <c r="E1829" i="12"/>
  <c r="D1829" i="12"/>
  <c r="E1797" i="12"/>
  <c r="D1797" i="12"/>
  <c r="E1773" i="12"/>
  <c r="D1773" i="12"/>
  <c r="E1733" i="12"/>
  <c r="D1733" i="12"/>
  <c r="E1701" i="12"/>
  <c r="D1701" i="12"/>
  <c r="E1661" i="12"/>
  <c r="D1661" i="12"/>
  <c r="E1637" i="12"/>
  <c r="D1637" i="12"/>
  <c r="E1605" i="12"/>
  <c r="D1605" i="12"/>
  <c r="E1565" i="12"/>
  <c r="D1565" i="12"/>
  <c r="E1533" i="12"/>
  <c r="D1533" i="12"/>
  <c r="E1509" i="12"/>
  <c r="D1509" i="12"/>
  <c r="E1485" i="12"/>
  <c r="D1485" i="12"/>
  <c r="E1453" i="12"/>
  <c r="D1453" i="12"/>
  <c r="E1421" i="12"/>
  <c r="D1421" i="12"/>
  <c r="E1397" i="12"/>
  <c r="D1397" i="12"/>
  <c r="E1365" i="12"/>
  <c r="D1365" i="12"/>
  <c r="E1325" i="12"/>
  <c r="D1325" i="12"/>
  <c r="E1277" i="12"/>
  <c r="D1277" i="12"/>
  <c r="E1245" i="12"/>
  <c r="D1245" i="12"/>
  <c r="E1189" i="12"/>
  <c r="D1189" i="12"/>
  <c r="E1141" i="12"/>
  <c r="D1141" i="12"/>
  <c r="E1109" i="12"/>
  <c r="D1109" i="12"/>
  <c r="E1061" i="12"/>
  <c r="D1061" i="12"/>
  <c r="E1029" i="12"/>
  <c r="D1029" i="12"/>
  <c r="E997" i="12"/>
  <c r="D997" i="12"/>
  <c r="E965" i="12"/>
  <c r="D965" i="12"/>
  <c r="E925" i="12"/>
  <c r="D925" i="12"/>
  <c r="E813" i="12"/>
  <c r="D813" i="12"/>
  <c r="E2045" i="12"/>
  <c r="D2045" i="12"/>
  <c r="E1997" i="12"/>
  <c r="D1997" i="12"/>
  <c r="E1949" i="12"/>
  <c r="D1949" i="12"/>
  <c r="E1909" i="12"/>
  <c r="D1909" i="12"/>
  <c r="E1877" i="12"/>
  <c r="D1877" i="12"/>
  <c r="E1845" i="12"/>
  <c r="D1845" i="12"/>
  <c r="E1805" i="12"/>
  <c r="D1805" i="12"/>
  <c r="E1765" i="12"/>
  <c r="D1765" i="12"/>
  <c r="E1741" i="12"/>
  <c r="D1741" i="12"/>
  <c r="E1693" i="12"/>
  <c r="D1693" i="12"/>
  <c r="E1645" i="12"/>
  <c r="D1645" i="12"/>
  <c r="E1613" i="12"/>
  <c r="D1613" i="12"/>
  <c r="E1589" i="12"/>
  <c r="D1589" i="12"/>
  <c r="E1557" i="12"/>
  <c r="D1557" i="12"/>
  <c r="E1525" i="12"/>
  <c r="D1525" i="12"/>
  <c r="E1493" i="12"/>
  <c r="D1493" i="12"/>
  <c r="E1469" i="12"/>
  <c r="D1469" i="12"/>
  <c r="E1437" i="12"/>
  <c r="D1437" i="12"/>
  <c r="E1413" i="12"/>
  <c r="D1413" i="12"/>
  <c r="E1381" i="12"/>
  <c r="D1381" i="12"/>
  <c r="E1357" i="12"/>
  <c r="D1357" i="12"/>
  <c r="E1333" i="12"/>
  <c r="D1333" i="12"/>
  <c r="E1293" i="12"/>
  <c r="D1293" i="12"/>
  <c r="E1261" i="12"/>
  <c r="D1261" i="12"/>
  <c r="E1221" i="12"/>
  <c r="D1221" i="12"/>
  <c r="E1197" i="12"/>
  <c r="D1197" i="12"/>
  <c r="E1173" i="12"/>
  <c r="D1173" i="12"/>
  <c r="E1149" i="12"/>
  <c r="D1149" i="12"/>
  <c r="E1117" i="12"/>
  <c r="D1117" i="12"/>
  <c r="E1093" i="12"/>
  <c r="D1093" i="12"/>
  <c r="E1069" i="12"/>
  <c r="D1069" i="12"/>
  <c r="E1037" i="12"/>
  <c r="D1037" i="12"/>
  <c r="E1005" i="12"/>
  <c r="D1005" i="12"/>
  <c r="E981" i="12"/>
  <c r="D981" i="12"/>
  <c r="E957" i="12"/>
  <c r="D957" i="12"/>
  <c r="E933" i="12"/>
  <c r="D933" i="12"/>
  <c r="E893" i="12"/>
  <c r="D893" i="12"/>
  <c r="E877" i="12"/>
  <c r="D877" i="12"/>
  <c r="E845" i="12"/>
  <c r="D845" i="12"/>
  <c r="E789" i="12"/>
  <c r="D789" i="12"/>
  <c r="E2029" i="12"/>
  <c r="D2029" i="12"/>
  <c r="E2005" i="12"/>
  <c r="D2005" i="12"/>
  <c r="E1965" i="12"/>
  <c r="D1965" i="12"/>
  <c r="E1925" i="12"/>
  <c r="D1925" i="12"/>
  <c r="E1885" i="12"/>
  <c r="D1885" i="12"/>
  <c r="E1837" i="12"/>
  <c r="D1837" i="12"/>
  <c r="E1789" i="12"/>
  <c r="D1789" i="12"/>
  <c r="E1749" i="12"/>
  <c r="D1749" i="12"/>
  <c r="E1725" i="12"/>
  <c r="D1725" i="12"/>
  <c r="E1685" i="12"/>
  <c r="D1685" i="12"/>
  <c r="E1653" i="12"/>
  <c r="D1653" i="12"/>
  <c r="E1621" i="12"/>
  <c r="D1621" i="12"/>
  <c r="E1581" i="12"/>
  <c r="D1581" i="12"/>
  <c r="E1549" i="12"/>
  <c r="D1549" i="12"/>
  <c r="E1517" i="12"/>
  <c r="D1517" i="12"/>
  <c r="E1477" i="12"/>
  <c r="D1477" i="12"/>
  <c r="E1445" i="12"/>
  <c r="D1445" i="12"/>
  <c r="E1405" i="12"/>
  <c r="D1405" i="12"/>
  <c r="E1373" i="12"/>
  <c r="D1373" i="12"/>
  <c r="E1349" i="12"/>
  <c r="D1349" i="12"/>
  <c r="E1317" i="12"/>
  <c r="D1317" i="12"/>
  <c r="E1285" i="12"/>
  <c r="D1285" i="12"/>
  <c r="E1253" i="12"/>
  <c r="D1253" i="12"/>
  <c r="E1229" i="12"/>
  <c r="D1229" i="12"/>
  <c r="E1213" i="12"/>
  <c r="D1213" i="12"/>
  <c r="E1181" i="12"/>
  <c r="D1181" i="12"/>
  <c r="E1157" i="12"/>
  <c r="D1157" i="12"/>
  <c r="E1125" i="12"/>
  <c r="D1125" i="12"/>
  <c r="E1101" i="12"/>
  <c r="D1101" i="12"/>
  <c r="E1077" i="12"/>
  <c r="D1077" i="12"/>
  <c r="E1045" i="12"/>
  <c r="D1045" i="12"/>
  <c r="E1013" i="12"/>
  <c r="D1013" i="12"/>
  <c r="E989" i="12"/>
  <c r="D989" i="12"/>
  <c r="E949" i="12"/>
  <c r="D949" i="12"/>
  <c r="E917" i="12"/>
  <c r="D917" i="12"/>
  <c r="E885" i="12"/>
  <c r="D885" i="12"/>
  <c r="E861" i="12"/>
  <c r="D861" i="12"/>
  <c r="E837" i="12"/>
  <c r="D837" i="12"/>
  <c r="E781" i="12"/>
  <c r="D781" i="12"/>
  <c r="E693" i="12"/>
  <c r="D693" i="12"/>
  <c r="E685" i="12"/>
  <c r="D685" i="12"/>
  <c r="E677" i="12"/>
  <c r="D677" i="12"/>
  <c r="E669" i="12"/>
  <c r="D669" i="12"/>
  <c r="E661" i="12"/>
  <c r="D661" i="12"/>
  <c r="E653" i="12"/>
  <c r="D653" i="12"/>
  <c r="E645" i="12"/>
  <c r="D645" i="12"/>
  <c r="E637" i="12"/>
  <c r="D637" i="12"/>
  <c r="E629" i="12"/>
  <c r="D629" i="12"/>
  <c r="E621" i="12"/>
  <c r="D621" i="12"/>
  <c r="E613" i="12"/>
  <c r="D613" i="12"/>
  <c r="E605" i="12"/>
  <c r="D605" i="12"/>
  <c r="E597" i="12"/>
  <c r="D597" i="12"/>
  <c r="E589" i="12"/>
  <c r="D589" i="12"/>
  <c r="E581" i="12"/>
  <c r="D581" i="12"/>
  <c r="E573" i="12"/>
  <c r="D573" i="12"/>
  <c r="E565" i="12"/>
  <c r="D565" i="12"/>
  <c r="E557" i="12"/>
  <c r="D557" i="12"/>
  <c r="E549" i="12"/>
  <c r="D549" i="12"/>
  <c r="E541" i="12"/>
  <c r="D541" i="12"/>
  <c r="E533" i="12"/>
  <c r="D533" i="12"/>
  <c r="E525" i="12"/>
  <c r="D525" i="12"/>
  <c r="E517" i="12"/>
  <c r="D517" i="12"/>
  <c r="E509" i="12"/>
  <c r="D509" i="12"/>
  <c r="E501" i="12"/>
  <c r="D501" i="12"/>
  <c r="E493" i="12"/>
  <c r="D493" i="12"/>
  <c r="E485" i="12"/>
  <c r="D485" i="12"/>
  <c r="E477" i="12"/>
  <c r="D477" i="12"/>
  <c r="E469" i="12"/>
  <c r="D469" i="12"/>
  <c r="E461" i="12"/>
  <c r="D461" i="12"/>
  <c r="E453" i="12"/>
  <c r="D453" i="12"/>
  <c r="E445" i="12"/>
  <c r="D445" i="12"/>
  <c r="E437" i="12"/>
  <c r="D437" i="12"/>
  <c r="E429" i="12"/>
  <c r="D429" i="12"/>
  <c r="E421" i="12"/>
  <c r="D421" i="12"/>
  <c r="E413" i="12"/>
  <c r="D413" i="12"/>
  <c r="E405" i="12"/>
  <c r="D405" i="12"/>
  <c r="E397" i="12"/>
  <c r="D397" i="12"/>
  <c r="E389" i="12"/>
  <c r="D389" i="12"/>
  <c r="E381" i="12"/>
  <c r="D381" i="12"/>
  <c r="E373" i="12"/>
  <c r="D373" i="12"/>
  <c r="E365" i="12"/>
  <c r="D365" i="12"/>
  <c r="E357" i="12"/>
  <c r="D357" i="12"/>
  <c r="E349" i="12"/>
  <c r="D349" i="12"/>
  <c r="E341" i="12"/>
  <c r="D341" i="12"/>
  <c r="E333" i="12"/>
  <c r="D333" i="12"/>
  <c r="E325" i="12"/>
  <c r="D325" i="12"/>
  <c r="E317" i="12"/>
  <c r="D317" i="12"/>
  <c r="E309" i="12"/>
  <c r="D309" i="12"/>
  <c r="E301" i="12"/>
  <c r="D301" i="12"/>
  <c r="E293" i="12"/>
  <c r="D293" i="12"/>
  <c r="E285" i="12"/>
  <c r="D285" i="12"/>
  <c r="E277" i="12"/>
  <c r="D277" i="12"/>
  <c r="E269" i="12"/>
  <c r="D269" i="12"/>
  <c r="E261" i="12"/>
  <c r="D261" i="12"/>
  <c r="E253" i="12"/>
  <c r="D253" i="12"/>
  <c r="E245" i="12"/>
  <c r="D245" i="12"/>
  <c r="E237" i="12"/>
  <c r="D237" i="12"/>
  <c r="E229" i="12"/>
  <c r="D229" i="12"/>
  <c r="E221" i="12"/>
  <c r="D221" i="12"/>
  <c r="E213" i="12"/>
  <c r="D213" i="12"/>
  <c r="E205" i="12"/>
  <c r="D205" i="12"/>
  <c r="E197" i="12"/>
  <c r="D197" i="12"/>
  <c r="E189" i="12"/>
  <c r="D189" i="12"/>
  <c r="E181" i="12"/>
  <c r="D181" i="12"/>
  <c r="E173" i="12"/>
  <c r="D173" i="12"/>
  <c r="E165" i="12"/>
  <c r="D165" i="12"/>
  <c r="E157" i="12"/>
  <c r="D157" i="12"/>
  <c r="E149" i="12"/>
  <c r="D149" i="12"/>
  <c r="E141" i="12"/>
  <c r="D141" i="12"/>
  <c r="E133" i="12"/>
  <c r="D133" i="12"/>
  <c r="E125" i="12"/>
  <c r="D125" i="12"/>
  <c r="E117" i="12"/>
  <c r="D117" i="12"/>
  <c r="E109" i="12"/>
  <c r="D109" i="12"/>
  <c r="E101" i="12"/>
  <c r="D101" i="12"/>
  <c r="E93" i="12"/>
  <c r="D93" i="12"/>
  <c r="E85" i="12"/>
  <c r="D85" i="12"/>
  <c r="E77" i="12"/>
  <c r="D77" i="12"/>
  <c r="E69" i="12"/>
  <c r="D69" i="12"/>
  <c r="E61" i="12"/>
  <c r="D61" i="12"/>
  <c r="E53" i="12"/>
  <c r="D53" i="12"/>
  <c r="E45" i="12"/>
  <c r="D45" i="12"/>
  <c r="E37" i="12"/>
  <c r="D37" i="12"/>
  <c r="D733" i="12"/>
  <c r="D725" i="12"/>
  <c r="D717" i="12"/>
  <c r="D709" i="12"/>
  <c r="D701" i="12"/>
  <c r="G23" i="11"/>
  <c r="N23" i="11"/>
  <c r="F30" i="12" s="1"/>
  <c r="E30" i="12" s="1"/>
  <c r="D30" i="12" l="1"/>
  <c r="G4" i="11"/>
  <c r="H21" i="12" s="1"/>
  <c r="G5" i="11"/>
  <c r="H19" i="12" s="1"/>
  <c r="G6" i="11"/>
  <c r="G7" i="11"/>
  <c r="H14" i="12" s="1"/>
  <c r="G8" i="11"/>
  <c r="G9" i="11"/>
  <c r="G10" i="11"/>
  <c r="G11" i="11"/>
  <c r="H20" i="12" s="1"/>
  <c r="G12" i="11"/>
  <c r="H15" i="12" s="1"/>
  <c r="G13" i="11"/>
  <c r="H22" i="12" s="1"/>
  <c r="G14" i="11"/>
  <c r="H31" i="12" s="1"/>
  <c r="G15" i="11"/>
  <c r="G16" i="11"/>
  <c r="H25" i="12" s="1"/>
  <c r="G17" i="11"/>
  <c r="H24" i="12" s="1"/>
  <c r="G18" i="11"/>
  <c r="G19" i="11"/>
  <c r="H29" i="12" s="1"/>
  <c r="G20" i="11"/>
  <c r="H13" i="12" s="1"/>
  <c r="G21" i="11"/>
  <c r="H26" i="12" s="1"/>
  <c r="G22" i="11"/>
  <c r="H28" i="12" s="1"/>
  <c r="N4" i="11"/>
  <c r="F21" i="12" s="1"/>
  <c r="N5" i="11"/>
  <c r="F19" i="12" s="1"/>
  <c r="N6" i="11"/>
  <c r="F16" i="12" s="1"/>
  <c r="N7" i="11"/>
  <c r="F14" i="12" s="1"/>
  <c r="N8" i="11"/>
  <c r="F32" i="12" s="1"/>
  <c r="N9" i="11"/>
  <c r="F23" i="12" s="1"/>
  <c r="N10" i="11"/>
  <c r="F18" i="12" s="1"/>
  <c r="N11" i="11"/>
  <c r="F20" i="12" s="1"/>
  <c r="N12" i="11"/>
  <c r="F15" i="12" s="1"/>
  <c r="N13" i="11"/>
  <c r="F22" i="12" s="1"/>
  <c r="N14" i="11"/>
  <c r="F31" i="12" s="1"/>
  <c r="N15" i="11"/>
  <c r="F33" i="12" s="1"/>
  <c r="N16" i="11"/>
  <c r="F25" i="12" s="1"/>
  <c r="N17" i="11"/>
  <c r="F24" i="12" s="1"/>
  <c r="N18" i="11"/>
  <c r="F27" i="12" s="1"/>
  <c r="N19" i="11"/>
  <c r="F29" i="12" s="1"/>
  <c r="N20" i="11"/>
  <c r="F13" i="12" s="1"/>
  <c r="N21" i="11"/>
  <c r="F26" i="12" s="1"/>
  <c r="N22" i="11"/>
  <c r="F28" i="12" s="1"/>
  <c r="H23" i="12" l="1"/>
  <c r="H32" i="12"/>
  <c r="H33" i="12"/>
  <c r="H34" i="12"/>
  <c r="H16" i="12"/>
  <c r="H27" i="12"/>
  <c r="H18" i="12"/>
  <c r="H30" i="12"/>
  <c r="D13" i="12"/>
  <c r="E13" i="12"/>
  <c r="E29" i="12"/>
  <c r="D29" i="12"/>
  <c r="D20" i="12"/>
  <c r="E20" i="12"/>
  <c r="D28" i="12"/>
  <c r="E28" i="12"/>
  <c r="D21" i="12"/>
  <c r="E21" i="12"/>
  <c r="E15" i="12"/>
  <c r="D15" i="12"/>
  <c r="E27" i="12"/>
  <c r="D27" i="12"/>
  <c r="E24" i="12"/>
  <c r="D24" i="12"/>
  <c r="E23" i="12"/>
  <c r="D23" i="12"/>
  <c r="D18" i="12"/>
  <c r="E18" i="12"/>
  <c r="D25" i="12"/>
  <c r="E25" i="12"/>
  <c r="D32" i="12"/>
  <c r="E32" i="12"/>
  <c r="D33" i="12"/>
  <c r="E33" i="12"/>
  <c r="E14" i="12"/>
  <c r="D14" i="12"/>
  <c r="D31" i="12"/>
  <c r="E31" i="12"/>
  <c r="E16" i="12"/>
  <c r="D16" i="12"/>
  <c r="E26" i="12"/>
  <c r="D26" i="12"/>
  <c r="E22" i="12"/>
  <c r="D22" i="12"/>
  <c r="E19" i="12"/>
  <c r="D19" i="12"/>
  <c r="N3" i="11"/>
  <c r="F17" i="12" s="1"/>
  <c r="N7" i="13" s="1"/>
  <c r="G3" i="11"/>
  <c r="H17" i="12" s="1"/>
  <c r="N9" i="13" l="1"/>
  <c r="D17" i="12"/>
  <c r="E17" i="12"/>
  <c r="N10" i="13"/>
  <c r="P8" i="12" s="1"/>
  <c r="N8" i="13"/>
  <c r="N6" i="13"/>
  <c r="A4" i="11"/>
  <c r="A5" i="11"/>
  <c r="A6" i="11"/>
  <c r="A7" i="11"/>
  <c r="A8" i="11"/>
  <c r="A9" i="11"/>
  <c r="A10" i="11"/>
  <c r="A11" i="11"/>
  <c r="A12" i="11"/>
  <c r="A13" i="11"/>
  <c r="A14" i="11"/>
  <c r="A15" i="11"/>
  <c r="A16" i="11"/>
  <c r="A17" i="11"/>
  <c r="A18" i="11"/>
  <c r="A19" i="11"/>
  <c r="A20" i="11"/>
  <c r="A21" i="11"/>
  <c r="A22" i="11"/>
  <c r="A23" i="11"/>
  <c r="N8" i="12" l="1"/>
  <c r="L8" i="12"/>
  <c r="K8" i="12"/>
  <c r="A3" i="11"/>
  <c r="Q8" i="12" l="1"/>
  <c r="O8" i="12"/>
  <c r="M8" i="12"/>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F12429D1-A27C-4465-B25D-1FCAA1482441}" keepAlive="1" name="Query - Audit" description="Connection to the 'Audit' query in the workbook." type="5" refreshedVersion="6" background="1" saveData="1">
    <dbPr connection="Provider=Microsoft.Mashup.OleDb.1;Data Source=$Workbook$;Location=Audit;Extended Properties=&quot;&quot;" command="SELECT * FROM [Audit]"/>
  </connection>
</connections>
</file>

<file path=xl/sharedStrings.xml><?xml version="1.0" encoding="utf-8"?>
<sst xmlns="http://schemas.openxmlformats.org/spreadsheetml/2006/main" count="445" uniqueCount="244">
  <si>
    <t>Title</t>
  </si>
  <si>
    <t>Navigation</t>
  </si>
  <si>
    <t>Content</t>
  </si>
  <si>
    <t>Customization difficulty (1-3)</t>
  </si>
  <si>
    <t>Explanation of sheets</t>
  </si>
  <si>
    <t>How to customize</t>
  </si>
  <si>
    <t>1)</t>
  </si>
  <si>
    <t>2)</t>
  </si>
  <si>
    <t>3)</t>
  </si>
  <si>
    <t>4)</t>
  </si>
  <si>
    <t>5)</t>
  </si>
  <si>
    <t>6)</t>
  </si>
  <si>
    <t>7)</t>
  </si>
  <si>
    <t>8)</t>
  </si>
  <si>
    <t>9)</t>
  </si>
  <si>
    <t>10)</t>
  </si>
  <si>
    <t>11)</t>
  </si>
  <si>
    <t>12)</t>
  </si>
  <si>
    <t>13)</t>
  </si>
  <si>
    <t>14)</t>
  </si>
  <si>
    <t>Database</t>
  </si>
  <si>
    <t>15)</t>
  </si>
  <si>
    <t>16)</t>
  </si>
  <si>
    <t>17)</t>
  </si>
  <si>
    <t>18)</t>
  </si>
  <si>
    <t>19)</t>
  </si>
  <si>
    <t>XXXXXXXXX</t>
  </si>
  <si>
    <t>XXXXXXXX</t>
  </si>
  <si>
    <t>List 6</t>
  </si>
  <si>
    <t>List 7</t>
  </si>
  <si>
    <t>Add Email Schedule</t>
  </si>
  <si>
    <t>Campaign Name</t>
  </si>
  <si>
    <t>Subject Line</t>
  </si>
  <si>
    <t>Email Title</t>
  </si>
  <si>
    <t>Content Topic</t>
  </si>
  <si>
    <t>Email Content</t>
  </si>
  <si>
    <t>Link</t>
  </si>
  <si>
    <t>Status</t>
  </si>
  <si>
    <t>Date Of Creation</t>
  </si>
  <si>
    <t>Target Sending Date</t>
  </si>
  <si>
    <t>Remain Days Until Sending</t>
  </si>
  <si>
    <t>Customer Type</t>
  </si>
  <si>
    <t>Campaign Name List</t>
  </si>
  <si>
    <t>Customers List</t>
  </si>
  <si>
    <t>Customer Name</t>
  </si>
  <si>
    <t>Content Topics</t>
  </si>
  <si>
    <t>Customer Types</t>
  </si>
  <si>
    <t>Email Address</t>
  </si>
  <si>
    <t>Phone Number</t>
  </si>
  <si>
    <t>Country</t>
  </si>
  <si>
    <t>City</t>
  </si>
  <si>
    <t>Address</t>
  </si>
  <si>
    <t>Campaign 1</t>
  </si>
  <si>
    <t>Campaign 2</t>
  </si>
  <si>
    <t>Campaign 3</t>
  </si>
  <si>
    <t>Campaign 4</t>
  </si>
  <si>
    <t>Campaign 5</t>
  </si>
  <si>
    <t>Campaign 6</t>
  </si>
  <si>
    <t>Content Topic 1</t>
  </si>
  <si>
    <t>Content Topic 2</t>
  </si>
  <si>
    <t>Content Topic 3</t>
  </si>
  <si>
    <t>Content Topic 4</t>
  </si>
  <si>
    <t>Content Topic 5</t>
  </si>
  <si>
    <t>Content Topic 6</t>
  </si>
  <si>
    <t>Content Topic 7</t>
  </si>
  <si>
    <t>Customer Name 1</t>
  </si>
  <si>
    <t>Customer Name 2</t>
  </si>
  <si>
    <t>Customer Name 3</t>
  </si>
  <si>
    <t>Customer Name 4</t>
  </si>
  <si>
    <t>Customer Name 5</t>
  </si>
  <si>
    <t>Country 1</t>
  </si>
  <si>
    <t>Country 2</t>
  </si>
  <si>
    <t>City 1</t>
  </si>
  <si>
    <t>City 2</t>
  </si>
  <si>
    <t>City 3</t>
  </si>
  <si>
    <t>City 4</t>
  </si>
  <si>
    <t>City 5</t>
  </si>
  <si>
    <t>Address 1</t>
  </si>
  <si>
    <t>Address 2</t>
  </si>
  <si>
    <t>Address 3</t>
  </si>
  <si>
    <t>Address 4</t>
  </si>
  <si>
    <t>Address 5</t>
  </si>
  <si>
    <t>Sent</t>
  </si>
  <si>
    <t>Delivered</t>
  </si>
  <si>
    <t>Pending</t>
  </si>
  <si>
    <t>Opened</t>
  </si>
  <si>
    <t>Clicked</t>
  </si>
  <si>
    <t>New</t>
  </si>
  <si>
    <t>Prospect</t>
  </si>
  <si>
    <t>Existing</t>
  </si>
  <si>
    <t>Lead</t>
  </si>
  <si>
    <t>Email Title 1</t>
  </si>
  <si>
    <t>Email Title 2</t>
  </si>
  <si>
    <t>Email Title 3</t>
  </si>
  <si>
    <t>Email Title 4</t>
  </si>
  <si>
    <t>Email Title 5</t>
  </si>
  <si>
    <t>Email Title 6</t>
  </si>
  <si>
    <t>Email Title 7</t>
  </si>
  <si>
    <t>Email Title 8</t>
  </si>
  <si>
    <t>Email Title 9</t>
  </si>
  <si>
    <t>Email Title 10</t>
  </si>
  <si>
    <t>Email Title 11</t>
  </si>
  <si>
    <t>Email Title 12</t>
  </si>
  <si>
    <t>Email Title 13</t>
  </si>
  <si>
    <t>Email Title 14</t>
  </si>
  <si>
    <t>Email Title 15</t>
  </si>
  <si>
    <t>Email Title 16</t>
  </si>
  <si>
    <t>Email Title 17</t>
  </si>
  <si>
    <t>Email Title 18</t>
  </si>
  <si>
    <t>Email Title 19</t>
  </si>
  <si>
    <t>Email Title 20</t>
  </si>
  <si>
    <t>Subject Line 1</t>
  </si>
  <si>
    <t>Subject Line 2</t>
  </si>
  <si>
    <t>Subject Line 3</t>
  </si>
  <si>
    <t>Subject Line 4</t>
  </si>
  <si>
    <t>Subject Line 5</t>
  </si>
  <si>
    <t>Subject Line 6</t>
  </si>
  <si>
    <t>Subject Line 7</t>
  </si>
  <si>
    <t>Subject Line 8</t>
  </si>
  <si>
    <t>Subject Line 9</t>
  </si>
  <si>
    <t>Subject Line 10</t>
  </si>
  <si>
    <t>Subject Line 11</t>
  </si>
  <si>
    <t>Subject Line 12</t>
  </si>
  <si>
    <t>Subject Line 13</t>
  </si>
  <si>
    <t>Subject Line 14</t>
  </si>
  <si>
    <t>Subject Line 15</t>
  </si>
  <si>
    <t>Subject Line 16</t>
  </si>
  <si>
    <t>Subject Line 17</t>
  </si>
  <si>
    <t>Subject Line 18</t>
  </si>
  <si>
    <t>Subject Line 19</t>
  </si>
  <si>
    <t>Subject Line 20</t>
  </si>
  <si>
    <t>Here you can write email content #1</t>
  </si>
  <si>
    <t>Here you can write email content #2</t>
  </si>
  <si>
    <t>Here you can write email content #3</t>
  </si>
  <si>
    <t>Here you can write email content #4</t>
  </si>
  <si>
    <t>Here you can write email content #5</t>
  </si>
  <si>
    <t>Here you can write email content #6</t>
  </si>
  <si>
    <t>Here you can write email content #7</t>
  </si>
  <si>
    <t>Here you can write email content #8</t>
  </si>
  <si>
    <t>Here you can write email content #9</t>
  </si>
  <si>
    <t>Here you can write email content #10</t>
  </si>
  <si>
    <t>Here you can write email content #11</t>
  </si>
  <si>
    <t>Here you can write email content #12</t>
  </si>
  <si>
    <t>Here you can write email content #13</t>
  </si>
  <si>
    <t>Here you can write email content #14</t>
  </si>
  <si>
    <t>Here you can write email content #15</t>
  </si>
  <si>
    <t>Here you can write email content #16</t>
  </si>
  <si>
    <t>Here you can write email content #17</t>
  </si>
  <si>
    <t>Here you can write email content #18</t>
  </si>
  <si>
    <t>Here you can write email content #19</t>
  </si>
  <si>
    <t>Here you can write email content #20</t>
  </si>
  <si>
    <t>Row Labels</t>
  </si>
  <si>
    <t>Email ID</t>
  </si>
  <si>
    <t>EMAIL_CODE#1</t>
  </si>
  <si>
    <t>EMAIL_CODE#2</t>
  </si>
  <si>
    <t>EMAIL_CODE#3</t>
  </si>
  <si>
    <t>EMAIL_CODE#4</t>
  </si>
  <si>
    <t>EMAIL_CODE#5</t>
  </si>
  <si>
    <t>EMAIL_CODE#6</t>
  </si>
  <si>
    <t>EMAIL_CODE#7</t>
  </si>
  <si>
    <t>EMAIL_CODE#8</t>
  </si>
  <si>
    <t>EMAIL_CODE#9</t>
  </si>
  <si>
    <t>EMAIL_CODE#10</t>
  </si>
  <si>
    <t>EMAIL_CODE#11</t>
  </si>
  <si>
    <t>EMAIL_CODE#12</t>
  </si>
  <si>
    <t>EMAIL_CODE#13</t>
  </si>
  <si>
    <t>EMAIL_CODE#14</t>
  </si>
  <si>
    <t>EMAIL_CODE#15</t>
  </si>
  <si>
    <t>EMAIL_CODE#16</t>
  </si>
  <si>
    <t>EMAIL_CODE#17</t>
  </si>
  <si>
    <t>EMAIL_CODE#18</t>
  </si>
  <si>
    <t>EMAIL_CODE#19</t>
  </si>
  <si>
    <t>EMAIL_CODE#20</t>
  </si>
  <si>
    <t>Remain Days.</t>
  </si>
  <si>
    <t>Customer.1@domain.com</t>
  </si>
  <si>
    <t>Customer.2@domain.com</t>
  </si>
  <si>
    <t>Customer.3@domain.com</t>
  </si>
  <si>
    <t>Customer.4@domain.com</t>
  </si>
  <si>
    <t>Customer.5@domain.com</t>
  </si>
  <si>
    <t>020xxxxxx12</t>
  </si>
  <si>
    <t>020xxxxxx13</t>
  </si>
  <si>
    <t>020xxxxxx14</t>
  </si>
  <si>
    <t>020xxxxxx15</t>
  </si>
  <si>
    <t>020xxxxxx16</t>
  </si>
  <si>
    <t>Email Title 21</t>
  </si>
  <si>
    <t>Subject Line 21</t>
  </si>
  <si>
    <t>Here you can write email content #21</t>
  </si>
  <si>
    <t>Sending Time</t>
  </si>
  <si>
    <t>Email Marketing Raw Data</t>
  </si>
  <si>
    <t>Dashboard And Emails Automate</t>
  </si>
  <si>
    <t>Grand Total</t>
  </si>
  <si>
    <t>Column Labels</t>
  </si>
  <si>
    <t>Count of Email ID</t>
  </si>
  <si>
    <t>Delivery Rate%</t>
  </si>
  <si>
    <t>Open Rate%</t>
  </si>
  <si>
    <t>Click Rate%</t>
  </si>
  <si>
    <t>Sending Date</t>
  </si>
  <si>
    <t>Email To</t>
  </si>
  <si>
    <t>Email Body</t>
  </si>
  <si>
    <t>https://www.google.com/</t>
  </si>
  <si>
    <t>https://www.simplesheets.co/</t>
  </si>
  <si>
    <t>EMAIL_CODE#21</t>
  </si>
  <si>
    <t>Select Email To Send…</t>
  </si>
  <si>
    <t xml:space="preserve">Email Marketing Planning divided into 2 main parts. First is to manage and record emails schedules with status and second par is to review emails campaign and marketing status </t>
  </si>
  <si>
    <t>Also through this tempalte you can automate pending emails sending and calculate email marketing factors and index that measures your marketing KPI's</t>
  </si>
  <si>
    <t>Through this sheet you can record you emails schedules and status for each campaign and customer and register your emails content that will reflect automatically email sending process</t>
  </si>
  <si>
    <t xml:space="preserve">Here you can review and analyis all email marketing status and KPI's eaisly using the dynamic slicers </t>
  </si>
  <si>
    <r>
      <t xml:space="preserve">Also you manage emails sending schedules automatically using MS Outlook app </t>
    </r>
    <r>
      <rPr>
        <sz val="10"/>
        <color rgb="FFC00000"/>
        <rFont val="Arial"/>
        <family val="2"/>
      </rPr>
      <t xml:space="preserve">"to use this feature please be sure you installed MS Outlook at your PC" </t>
    </r>
  </si>
  <si>
    <t>This sheet is designed to help you to record all Email Marketing database and Customers refernces that will reflect tables and drop down lists</t>
  </si>
  <si>
    <t>Starting from Database sheet to record your references that will reflect your email marketing raw data</t>
  </si>
  <si>
    <t>Start to record your Campaign list then your Content Topics</t>
  </si>
  <si>
    <t>Next, if you have a customers categorization so you can identify this list in customer type list</t>
  </si>
  <si>
    <t>Last you have to record your customers data that will reflect your data analysis and email contacting details</t>
  </si>
  <si>
    <t>Now your database is ready to reflect the email marketing data processing</t>
  </si>
  <si>
    <t>Go to Email Marketing Raw Data to start your emails schedules recording</t>
  </si>
  <si>
    <t>For each email campaign or marketing record the record data according to field header description</t>
  </si>
  <si>
    <t>Some fields will automatically calculated "Fields in gray cell include functions and please don't try to insert and value manually in this gray cell"</t>
  </si>
  <si>
    <t>After recording all required data select the current status for the current marketing email</t>
  </si>
  <si>
    <t>Note that: "Subject Line", "Email Content" and "Link" data will be shared automatically in the email sending process..</t>
  </si>
  <si>
    <t>Now you email marketing data is updatable and will reflect automatically in your data analysis and automation phase</t>
  </si>
  <si>
    <t>Go to Dashboard And Emails Automate sheet</t>
  </si>
  <si>
    <t>To update emails analysis, charts, and dashboard data source reflection, you can just click on "Refresh" button</t>
  </si>
  <si>
    <t>In below table all emails schedule will be sort out  to priority of sending according to remain days to send</t>
  </si>
  <si>
    <t>All email details also will be reflected automatically</t>
  </si>
  <si>
    <t>In above area you can manipullate all email marketing analysis and KPI's using smart dynamic slicers</t>
  </si>
  <si>
    <t>To send emails automatically just select email code from dropdown list beside "Send Email" button then click on "Send Email" button</t>
  </si>
  <si>
    <t>For fast email code accessability in drop down list you can use "Status" slicer to filter it</t>
  </si>
  <si>
    <t>Then MS Outlook will open with all email details filled by email content automatically</t>
  </si>
  <si>
    <t>Code-22123</t>
  </si>
  <si>
    <t>Simplesheets</t>
  </si>
  <si>
    <t>USA</t>
  </si>
  <si>
    <t>Seatle</t>
  </si>
  <si>
    <t>Address 6</t>
  </si>
  <si>
    <t>Simplesheets@sidekickdigitalmedia.com</t>
  </si>
  <si>
    <t>Email Marketing Planning And Sending</t>
  </si>
  <si>
    <t>Related To Online Templates</t>
  </si>
  <si>
    <t>Our templates is compatible with online service but some templates that including macros feature is still not supported with Excel Online</t>
  </si>
  <si>
    <t>Here is some hints that replace our macros in case of using Online Template</t>
  </si>
  <si>
    <t>Referesh / Update Data</t>
  </si>
  <si>
    <r>
      <t xml:space="preserve">Some of our templates include </t>
    </r>
    <r>
      <rPr>
        <b/>
        <sz val="10"/>
        <color theme="1"/>
        <rFont val="Arial"/>
        <family val="2"/>
      </rPr>
      <t xml:space="preserve">Referesh/Update data </t>
    </r>
    <r>
      <rPr>
        <sz val="10"/>
        <color theme="1"/>
        <rFont val="Arial"/>
        <family val="2"/>
      </rPr>
      <t>macro button that can be replaced with Referesh All tool in Excel Online ribbon</t>
    </r>
  </si>
  <si>
    <t>Full Screen</t>
  </si>
  <si>
    <r>
      <t xml:space="preserve">Some of our templates have </t>
    </r>
    <r>
      <rPr>
        <b/>
        <sz val="10"/>
        <color theme="1"/>
        <rFont val="Arial"/>
        <family val="2"/>
      </rPr>
      <t xml:space="preserve">Full Screen </t>
    </r>
    <r>
      <rPr>
        <sz val="10"/>
        <color theme="1"/>
        <rFont val="Arial"/>
        <family val="2"/>
      </rPr>
      <t xml:space="preserve">macro button that can be replaced with the itself web browser full screen tool </t>
    </r>
  </si>
  <si>
    <t>Other Macros</t>
  </si>
  <si>
    <r>
      <t xml:space="preserve">Other macros is applied on less than ~15% of our templats can be overcome by transferring to Desktop App </t>
    </r>
    <r>
      <rPr>
        <b/>
        <sz val="10"/>
        <color theme="1"/>
        <rFont val="Arial"/>
        <family val="2"/>
      </rPr>
      <t>"Open in Desktop App"</t>
    </r>
    <r>
      <rPr>
        <sz val="10"/>
        <color theme="1"/>
        <rFont val="Arial"/>
        <family val="2"/>
      </rPr>
      <t xml:space="preserve"> button</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</si>
</sst>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4">
    <numFmt numFmtId="164" formatCode="_(* #,##0.00_);_(* \(#,##0.00\);_(* &quot;-&quot;??_);_(@_)"/>
    <numFmt numFmtId="165" formatCode="[$-409]d\-mmm\-yy;@"/>
    <numFmt numFmtId="166" formatCode="mmm"/>
    <numFmt numFmtId="167" formatCode="[$-F400]h:mm:ss\ AM/PM"/>
  </numFmts>
  <fonts count="34" x14ac:knownFonts="1">
    <font>
      <sz val="10"/>
      <color theme="1"/>
      <name val="Arial"/>
      <family val="2"/>
    </font>
    <font>
      <sz val="11"/>
      <color theme="1"/>
      <name val="Calibri"/>
      <family val="2"/>
      <scheme val="minor"/>
    </font>
    <font>
      <sz val="11"/>
      <color theme="1"/>
      <name val="Calibri"/>
      <family val="2"/>
      <scheme val="minor"/>
    </font>
    <font>
      <sz val="10"/>
      <color theme="1"/>
      <name val="Arial"/>
      <family val="2"/>
    </font>
    <font>
      <b/>
      <sz val="10"/>
      <color theme="0"/>
      <name val="Arial"/>
      <family val="2"/>
    </font>
    <font>
      <sz val="8"/>
      <name val="Arial"/>
      <family val="2"/>
    </font>
    <font>
      <b/>
      <sz val="10"/>
      <color theme="1"/>
      <name val="Arial"/>
      <family val="2"/>
    </font>
    <font>
      <u/>
      <sz val="10"/>
      <color theme="10"/>
      <name val="Arial"/>
      <family val="2"/>
    </font>
    <font>
      <sz val="12"/>
      <color theme="1"/>
      <name val="Calibri"/>
      <family val="2"/>
      <scheme val="minor"/>
    </font>
    <font>
      <sz val="12"/>
      <color theme="1"/>
      <name val="Arial"/>
      <family val="2"/>
    </font>
    <font>
      <sz val="12"/>
      <color theme="0"/>
      <name val="Arial"/>
      <family val="2"/>
    </font>
    <font>
      <u/>
      <sz val="10"/>
      <color theme="0"/>
      <name val="Arial"/>
      <family val="2"/>
    </font>
    <font>
      <b/>
      <sz val="10"/>
      <color theme="0" tint="-0.34998626667073579"/>
      <name val="Arial"/>
      <family val="2"/>
    </font>
    <font>
      <sz val="10"/>
      <color theme="0" tint="-0.34998626667073579"/>
      <name val="Arial"/>
      <family val="2"/>
    </font>
    <font>
      <sz val="10"/>
      <name val="Arial"/>
      <family val="2"/>
    </font>
    <font>
      <i/>
      <u/>
      <sz val="10"/>
      <color theme="1"/>
      <name val="Arial"/>
      <family val="2"/>
    </font>
    <font>
      <b/>
      <u/>
      <sz val="10"/>
      <color theme="1"/>
      <name val="Arial"/>
      <family val="2"/>
    </font>
    <font>
      <sz val="10"/>
      <color theme="1" tint="0.499984740745262"/>
      <name val="Arial"/>
      <family val="2"/>
    </font>
    <font>
      <sz val="10"/>
      <color theme="0"/>
      <name val="Arial"/>
      <family val="2"/>
    </font>
    <font>
      <b/>
      <u/>
      <sz val="11"/>
      <color theme="1" tint="0.499984740745262"/>
      <name val="Arial"/>
      <family val="2"/>
    </font>
    <font>
      <sz val="10"/>
      <color rgb="FF50B47F"/>
      <name val="Arial"/>
      <family val="2"/>
    </font>
    <font>
      <sz val="11"/>
      <color rgb="FF006100"/>
      <name val="Calibri"/>
      <family val="2"/>
      <scheme val="minor"/>
    </font>
    <font>
      <sz val="11"/>
      <color rgb="FF9C0006"/>
      <name val="Calibri"/>
      <family val="2"/>
      <scheme val="minor"/>
    </font>
    <font>
      <sz val="11"/>
      <color rgb="FF9C5700"/>
      <name val="Calibri"/>
      <family val="2"/>
      <scheme val="minor"/>
    </font>
    <font>
      <sz val="10"/>
      <color rgb="FF000000"/>
      <name val="Arial"/>
      <family val="2"/>
    </font>
    <font>
      <b/>
      <u/>
      <sz val="12"/>
      <color theme="1" tint="0.499984740745262"/>
      <name val="Arial"/>
      <family val="2"/>
    </font>
    <font>
      <sz val="11"/>
      <color theme="0" tint="-0.34998626667073579"/>
      <name val="Arial"/>
      <family val="2"/>
    </font>
    <font>
      <sz val="10"/>
      <color theme="1" tint="0.34998626667073579"/>
      <name val="Arial"/>
      <family val="2"/>
    </font>
    <font>
      <sz val="16"/>
      <color theme="1"/>
      <name val="Arial"/>
      <family val="2"/>
    </font>
    <font>
      <sz val="36"/>
      <color theme="1"/>
      <name val="Arial"/>
      <family val="2"/>
    </font>
    <font>
      <sz val="36"/>
      <color theme="1" tint="0.499984740745262"/>
      <name val="Arial"/>
      <family val="2"/>
    </font>
    <font>
      <b/>
      <sz val="12"/>
      <color theme="0"/>
      <name val="Arial"/>
      <family val="2"/>
    </font>
    <font>
      <b/>
      <sz val="12"/>
      <color theme="7" tint="0.59999389629810485"/>
      <name val="Arial"/>
      <family val="2"/>
    </font>
    <font>
      <sz val="10"/>
      <color rgb="FFC00000"/>
      <name val="Arial"/>
      <family val="2"/>
    </font>
  </fonts>
  <fills count="13">
    <fill>
      <patternFill patternType="none"/>
    </fill>
    <fill>
      <patternFill patternType="gray125"/>
    </fill>
    <fill>
      <patternFill patternType="solid">
        <fgColor rgb="FF50B47F"/>
        <bgColor indexed="64"/>
      </patternFill>
    </fill>
    <fill>
      <patternFill patternType="solid">
        <fgColor theme="0" tint="-4.9989318521683403E-2"/>
        <bgColor indexed="64"/>
      </patternFill>
    </fill>
    <fill>
      <patternFill patternType="solid">
        <fgColor theme="1" tint="0.499984740745262"/>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theme="7" tint="0.79998168889431442"/>
        <bgColor indexed="64"/>
      </patternFill>
    </fill>
    <fill>
      <patternFill patternType="solid">
        <fgColor theme="0" tint="-0.34998626667073579"/>
        <bgColor indexed="64"/>
      </patternFill>
    </fill>
    <fill>
      <patternFill patternType="solid">
        <fgColor theme="9" tint="0.79998168889431442"/>
        <bgColor indexed="64"/>
      </patternFill>
    </fill>
    <fill>
      <patternFill patternType="solid">
        <fgColor rgb="FFFFF6DD"/>
        <bgColor indexed="64"/>
      </patternFill>
    </fill>
    <fill>
      <patternFill patternType="solid">
        <fgColor rgb="FFFFFF00"/>
        <bgColor indexed="64"/>
      </patternFill>
    </fill>
  </fills>
  <borders count="14">
    <border>
      <left/>
      <right/>
      <top/>
      <bottom/>
      <diagonal/>
    </border>
    <border>
      <left/>
      <right/>
      <top/>
      <bottom style="thick">
        <color theme="0" tint="-0.14993743705557422"/>
      </bottom>
      <diagonal/>
    </border>
    <border>
      <left/>
      <right style="thin">
        <color theme="0" tint="-0.14993743705557422"/>
      </right>
      <top/>
      <bottom/>
      <diagonal/>
    </border>
    <border>
      <left style="thin">
        <color theme="0" tint="-0.14990691854609822"/>
      </left>
      <right style="thin">
        <color theme="0" tint="-0.14990691854609822"/>
      </right>
      <top style="thin">
        <color theme="0" tint="-0.14990691854609822"/>
      </top>
      <bottom style="thin">
        <color theme="0" tint="-0.14990691854609822"/>
      </bottom>
      <diagonal/>
    </border>
    <border>
      <left/>
      <right style="thin">
        <color theme="0" tint="-0.14996795556505021"/>
      </right>
      <top/>
      <bottom style="thick">
        <color theme="0" tint="-0.14993743705557422"/>
      </bottom>
      <diagonal/>
    </border>
    <border>
      <left style="thin">
        <color theme="0" tint="-0.14990691854609822"/>
      </left>
      <right style="thin">
        <color theme="0" tint="-0.14990691854609822"/>
      </right>
      <top style="thin">
        <color theme="0" tint="-0.14990691854609822"/>
      </top>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style="thin">
        <color theme="0" tint="-0.14993743705557422"/>
      </left>
      <right style="thin">
        <color theme="0" tint="-0.14993743705557422"/>
      </right>
      <top/>
      <bottom/>
      <diagonal/>
    </border>
    <border>
      <left style="thin">
        <color theme="0" tint="-0.14993743705557422"/>
      </left>
      <right style="thin">
        <color theme="0" tint="-0.14996795556505021"/>
      </right>
      <top style="thin">
        <color theme="0" tint="-0.14996795556505021"/>
      </top>
      <bottom style="thin">
        <color theme="0" tint="-0.14996795556505021"/>
      </bottom>
      <diagonal/>
    </border>
    <border>
      <left style="double">
        <color theme="1" tint="0.499984740745262"/>
      </left>
      <right style="double">
        <color theme="1" tint="0.499984740745262"/>
      </right>
      <top style="double">
        <color theme="1" tint="0.499984740745262"/>
      </top>
      <bottom style="double">
        <color theme="1" tint="0.499984740745262"/>
      </bottom>
      <diagonal/>
    </border>
    <border>
      <left style="thin">
        <color theme="0" tint="-0.14996795556505021"/>
      </left>
      <right style="thin">
        <color theme="0" tint="-0.14996795556505021"/>
      </right>
      <top/>
      <bottom style="thin">
        <color theme="0" tint="-0.14996795556505021"/>
      </bottom>
      <diagonal/>
    </border>
    <border>
      <left style="thick">
        <color theme="0"/>
      </left>
      <right style="thick">
        <color theme="0"/>
      </right>
      <top style="thick">
        <color theme="0"/>
      </top>
      <bottom style="thick">
        <color theme="0"/>
      </bottom>
      <diagonal/>
    </border>
    <border>
      <left style="thin">
        <color indexed="64"/>
      </left>
      <right style="thin">
        <color indexed="64"/>
      </right>
      <top style="thin">
        <color indexed="64"/>
      </top>
      <bottom style="thin">
        <color indexed="64"/>
      </bottom>
      <diagonal/>
    </border>
    <border>
      <left style="thick">
        <color theme="0"/>
      </left>
      <right style="thick">
        <color rgb="FF50B47F"/>
      </right>
      <top style="thick">
        <color theme="0"/>
      </top>
      <bottom style="thick">
        <color theme="0"/>
      </bottom>
      <diagonal/>
    </border>
  </borders>
  <cellStyleXfs count="14">
    <xf numFmtId="0" fontId="0" fillId="0" borderId="0"/>
    <xf numFmtId="0" fontId="7" fillId="0" borderId="0" applyNumberFormat="0" applyFill="0" applyBorder="0" applyAlignment="0" applyProtection="0"/>
    <xf numFmtId="0" fontId="8" fillId="0" borderId="0"/>
    <xf numFmtId="0" fontId="3" fillId="0" borderId="0"/>
    <xf numFmtId="0" fontId="2" fillId="0" borderId="0"/>
    <xf numFmtId="9" fontId="2" fillId="0" borderId="0" applyFont="0" applyFill="0" applyBorder="0" applyAlignment="0" applyProtection="0"/>
    <xf numFmtId="164" fontId="2" fillId="0" borderId="0" applyFont="0" applyFill="0" applyBorder="0" applyAlignment="0" applyProtection="0"/>
    <xf numFmtId="0" fontId="1" fillId="0" borderId="0"/>
    <xf numFmtId="9" fontId="1" fillId="0" borderId="0" applyFont="0" applyFill="0" applyBorder="0" applyAlignment="0" applyProtection="0"/>
    <xf numFmtId="164" fontId="1" fillId="0" borderId="0" applyFont="0" applyFill="0" applyBorder="0" applyAlignment="0" applyProtection="0"/>
    <xf numFmtId="0" fontId="21" fillId="5" borderId="0" applyNumberFormat="0" applyBorder="0" applyAlignment="0" applyProtection="0"/>
    <xf numFmtId="0" fontId="22" fillId="6" borderId="0" applyNumberFormat="0" applyBorder="0" applyAlignment="0" applyProtection="0"/>
    <xf numFmtId="0" fontId="23" fillId="7" borderId="0" applyNumberFormat="0" applyBorder="0" applyAlignment="0" applyProtection="0"/>
    <xf numFmtId="9" fontId="3" fillId="0" borderId="0" applyFont="0" applyFill="0" applyBorder="0" applyAlignment="0" applyProtection="0"/>
  </cellStyleXfs>
  <cellXfs count="85">
    <xf numFmtId="0" fontId="0" fillId="0" borderId="0" xfId="0"/>
    <xf numFmtId="0" fontId="9" fillId="0" borderId="0" xfId="2" applyFont="1"/>
    <xf numFmtId="0" fontId="3" fillId="0" borderId="0" xfId="3"/>
    <xf numFmtId="0" fontId="6" fillId="0" borderId="0" xfId="3" applyFont="1"/>
    <xf numFmtId="0" fontId="6" fillId="0" borderId="0" xfId="3" quotePrefix="1" applyFont="1" applyAlignment="1">
      <alignment horizontal="right"/>
    </xf>
    <xf numFmtId="0" fontId="10" fillId="2" borderId="0" xfId="2" applyFont="1" applyFill="1"/>
    <xf numFmtId="0" fontId="4" fillId="2" borderId="0" xfId="2" applyFont="1" applyFill="1"/>
    <xf numFmtId="0" fontId="11" fillId="2" borderId="0" xfId="1" applyFont="1" applyFill="1"/>
    <xf numFmtId="0" fontId="12" fillId="0" borderId="0" xfId="3" quotePrefix="1" applyFont="1" applyAlignment="1">
      <alignment horizontal="right"/>
    </xf>
    <xf numFmtId="0" fontId="13" fillId="0" borderId="0" xfId="3" applyFont="1"/>
    <xf numFmtId="0" fontId="15" fillId="0" borderId="0" xfId="0" applyFont="1" applyAlignment="1">
      <alignment horizontal="right"/>
    </xf>
    <xf numFmtId="0" fontId="6" fillId="0" borderId="0" xfId="0" applyFont="1"/>
    <xf numFmtId="0" fontId="16" fillId="0" borderId="0" xfId="3" quotePrefix="1" applyFont="1" applyAlignment="1">
      <alignment horizontal="right"/>
    </xf>
    <xf numFmtId="0" fontId="7" fillId="0" borderId="0" xfId="1"/>
    <xf numFmtId="0" fontId="0" fillId="0" borderId="0" xfId="0" applyAlignment="1">
      <alignment horizontal="center" vertical="center" wrapText="1"/>
    </xf>
    <xf numFmtId="0" fontId="17" fillId="3" borderId="0" xfId="0" applyFont="1" applyFill="1"/>
    <xf numFmtId="0" fontId="18" fillId="4" borderId="1" xfId="0" applyFont="1" applyFill="1" applyBorder="1" applyAlignment="1">
      <alignment horizontal="center" vertical="center" wrapText="1"/>
    </xf>
    <xf numFmtId="0" fontId="20" fillId="0" borderId="0" xfId="0" applyFont="1" applyAlignment="1">
      <alignment vertical="center"/>
    </xf>
    <xf numFmtId="0" fontId="14" fillId="0" borderId="0" xfId="1" applyNumberFormat="1" applyFont="1" applyFill="1" applyAlignment="1" applyProtection="1">
      <alignment horizontal="center" vertical="center" wrapText="1"/>
      <protection locked="0"/>
    </xf>
    <xf numFmtId="0" fontId="14" fillId="0" borderId="0" xfId="0" applyFont="1" applyAlignment="1" applyProtection="1">
      <alignment horizontal="center" vertical="center" wrapText="1"/>
      <protection locked="0"/>
    </xf>
    <xf numFmtId="0" fontId="0" fillId="0" borderId="0" xfId="0" applyAlignment="1">
      <alignment vertical="center"/>
    </xf>
    <xf numFmtId="0" fontId="18" fillId="0" borderId="0" xfId="0" applyFont="1" applyAlignment="1">
      <alignment horizontal="center" vertical="center" wrapText="1"/>
    </xf>
    <xf numFmtId="166" fontId="0" fillId="0" borderId="3" xfId="0" applyNumberFormat="1" applyBorder="1" applyAlignment="1">
      <alignment horizontal="center" vertical="center" wrapText="1"/>
    </xf>
    <xf numFmtId="0" fontId="19" fillId="3" borderId="0" xfId="0" applyFont="1" applyFill="1"/>
    <xf numFmtId="165" fontId="0" fillId="0" borderId="3" xfId="0" applyNumberFormat="1" applyBorder="1" applyAlignment="1">
      <alignment horizontal="center" vertical="center" wrapText="1"/>
    </xf>
    <xf numFmtId="0" fontId="0" fillId="0" borderId="3" xfId="0" applyBorder="1" applyAlignment="1">
      <alignment horizontal="center" vertical="center" wrapText="1"/>
    </xf>
    <xf numFmtId="0" fontId="10" fillId="2" borderId="2" xfId="0" applyFont="1" applyFill="1" applyBorder="1" applyAlignment="1">
      <alignment horizontal="center" vertical="center" wrapText="1"/>
    </xf>
    <xf numFmtId="166" fontId="0" fillId="3" borderId="3" xfId="0" applyNumberFormat="1" applyFill="1" applyBorder="1" applyAlignment="1">
      <alignment horizontal="center" vertical="center" wrapText="1"/>
    </xf>
    <xf numFmtId="0" fontId="18" fillId="4" borderId="4" xfId="0" applyFont="1" applyFill="1" applyBorder="1" applyAlignment="1">
      <alignment horizontal="center" vertical="center" wrapText="1"/>
    </xf>
    <xf numFmtId="0" fontId="0" fillId="3" borderId="0" xfId="0" applyFill="1"/>
    <xf numFmtId="0" fontId="0" fillId="3" borderId="0" xfId="0" applyFill="1" applyAlignment="1">
      <alignment horizontal="center" vertical="center" wrapText="1"/>
    </xf>
    <xf numFmtId="0" fontId="0" fillId="0" borderId="0" xfId="0" applyAlignment="1" applyProtection="1">
      <alignment horizontal="center" vertical="center" wrapText="1"/>
      <protection locked="0"/>
    </xf>
    <xf numFmtId="0" fontId="3" fillId="3" borderId="3" xfId="1" applyNumberFormat="1" applyFont="1" applyFill="1" applyBorder="1" applyAlignment="1">
      <alignment horizontal="center" vertical="center" wrapText="1"/>
    </xf>
    <xf numFmtId="0" fontId="0" fillId="3" borderId="3" xfId="0" applyFill="1" applyBorder="1" applyAlignment="1">
      <alignment horizontal="center" vertical="center" wrapText="1"/>
    </xf>
    <xf numFmtId="165" fontId="0" fillId="0" borderId="5" xfId="0" applyNumberFormat="1" applyBorder="1" applyAlignment="1">
      <alignment horizontal="center" vertical="center" wrapText="1"/>
    </xf>
    <xf numFmtId="166" fontId="0" fillId="0" borderId="5" xfId="0" applyNumberFormat="1" applyBorder="1" applyAlignment="1">
      <alignment horizontal="center" vertical="center" wrapText="1"/>
    </xf>
    <xf numFmtId="166" fontId="0" fillId="3" borderId="5" xfId="0" applyNumberFormat="1" applyFill="1" applyBorder="1" applyAlignment="1">
      <alignment horizontal="center" vertical="center" wrapText="1"/>
    </xf>
    <xf numFmtId="0" fontId="0" fillId="0" borderId="5" xfId="0" applyBorder="1" applyAlignment="1">
      <alignment horizontal="center" vertical="center" wrapText="1"/>
    </xf>
    <xf numFmtId="0" fontId="0" fillId="3" borderId="5" xfId="0" applyFill="1" applyBorder="1" applyAlignment="1">
      <alignment horizontal="center" vertical="center" wrapText="1"/>
    </xf>
    <xf numFmtId="0" fontId="26" fillId="3" borderId="0" xfId="10" applyFont="1" applyFill="1" applyAlignment="1" applyProtection="1">
      <alignment horizontal="center" vertical="center" wrapText="1"/>
      <protection locked="0"/>
    </xf>
    <xf numFmtId="0" fontId="26" fillId="3" borderId="0" xfId="12" applyFont="1" applyFill="1" applyAlignment="1" applyProtection="1">
      <alignment horizontal="center" vertical="center" wrapText="1"/>
      <protection locked="0"/>
    </xf>
    <xf numFmtId="0" fontId="26" fillId="3" borderId="0" xfId="11" applyFont="1" applyFill="1" applyAlignment="1" applyProtection="1">
      <alignment horizontal="center" vertical="center" wrapText="1"/>
      <protection locked="0"/>
    </xf>
    <xf numFmtId="0" fontId="13" fillId="3" borderId="0" xfId="0" applyFont="1" applyFill="1" applyAlignment="1" applyProtection="1">
      <alignment horizontal="center" vertical="center" wrapText="1"/>
      <protection locked="0"/>
    </xf>
    <xf numFmtId="0" fontId="7" fillId="0" borderId="0" xfId="1" applyAlignment="1" applyProtection="1">
      <alignment horizontal="center" vertical="center" wrapText="1"/>
      <protection locked="0"/>
    </xf>
    <xf numFmtId="167" fontId="0" fillId="0" borderId="3" xfId="0" applyNumberFormat="1" applyBorder="1" applyAlignment="1">
      <alignment horizontal="center" vertical="center" wrapText="1"/>
    </xf>
    <xf numFmtId="167" fontId="0" fillId="0" borderId="5" xfId="0" applyNumberFormat="1" applyBorder="1" applyAlignment="1">
      <alignment horizontal="center" vertical="center" wrapText="1"/>
    </xf>
    <xf numFmtId="0" fontId="0" fillId="0" borderId="0" xfId="0" pivotButton="1"/>
    <xf numFmtId="0" fontId="0" fillId="0" borderId="0" xfId="0" applyAlignment="1">
      <alignment horizontal="left"/>
    </xf>
    <xf numFmtId="0" fontId="0" fillId="0" borderId="0" xfId="0" applyAlignment="1">
      <alignment horizontal="center"/>
    </xf>
    <xf numFmtId="0" fontId="0" fillId="2" borderId="0" xfId="0" applyFill="1" applyAlignment="1">
      <alignment horizontal="center"/>
    </xf>
    <xf numFmtId="0" fontId="0" fillId="2" borderId="0" xfId="0" applyFill="1"/>
    <xf numFmtId="0" fontId="27" fillId="0" borderId="0" xfId="0" applyFont="1" applyAlignment="1">
      <alignment vertical="center"/>
    </xf>
    <xf numFmtId="0" fontId="10" fillId="0" borderId="11" xfId="0" applyFont="1" applyBorder="1" applyAlignment="1">
      <alignment horizontal="center" vertical="center"/>
    </xf>
    <xf numFmtId="0" fontId="28" fillId="0" borderId="11" xfId="0" applyFont="1" applyBorder="1"/>
    <xf numFmtId="0" fontId="0" fillId="0" borderId="0" xfId="0" applyAlignment="1">
      <alignment horizontal="center" vertical="center"/>
    </xf>
    <xf numFmtId="0" fontId="0" fillId="0" borderId="0" xfId="0" applyAlignment="1">
      <alignment horizontal="left" vertical="center"/>
    </xf>
    <xf numFmtId="0" fontId="0" fillId="12" borderId="12" xfId="0" applyFill="1" applyBorder="1"/>
    <xf numFmtId="0" fontId="0" fillId="2" borderId="0" xfId="0" applyFill="1" applyAlignment="1">
      <alignment horizontal="center" vertical="center"/>
    </xf>
    <xf numFmtId="165" fontId="0" fillId="0" borderId="0" xfId="0" applyNumberFormat="1" applyAlignment="1">
      <alignment horizontal="center" vertical="center"/>
    </xf>
    <xf numFmtId="167" fontId="0" fillId="0" borderId="0" xfId="0" applyNumberFormat="1" applyAlignment="1">
      <alignment horizontal="center" vertical="center"/>
    </xf>
    <xf numFmtId="0" fontId="0" fillId="12" borderId="0" xfId="0" applyFill="1"/>
    <xf numFmtId="0" fontId="7" fillId="0" borderId="3" xfId="1" applyNumberFormat="1" applyFill="1" applyBorder="1" applyAlignment="1">
      <alignment horizontal="center" vertical="center" wrapText="1"/>
    </xf>
    <xf numFmtId="0" fontId="0" fillId="0" borderId="0" xfId="0" applyAlignment="1">
      <alignment horizontal="right" vertical="center"/>
    </xf>
    <xf numFmtId="0" fontId="31" fillId="9" borderId="11" xfId="0" applyFont="1" applyFill="1" applyBorder="1" applyAlignment="1">
      <alignment horizontal="center" vertical="center"/>
    </xf>
    <xf numFmtId="0" fontId="32" fillId="9" borderId="11" xfId="0" applyFont="1" applyFill="1" applyBorder="1" applyAlignment="1">
      <alignment horizontal="center" vertical="center"/>
    </xf>
    <xf numFmtId="0" fontId="32" fillId="9" borderId="13" xfId="0" applyFont="1" applyFill="1" applyBorder="1" applyAlignment="1">
      <alignment horizontal="center" vertical="center"/>
    </xf>
    <xf numFmtId="0" fontId="9" fillId="8" borderId="9" xfId="0" applyFont="1" applyFill="1" applyBorder="1" applyAlignment="1" applyProtection="1">
      <alignment vertical="center"/>
      <protection locked="0"/>
    </xf>
    <xf numFmtId="0" fontId="18" fillId="2" borderId="0" xfId="0" applyFont="1" applyFill="1" applyAlignment="1">
      <alignment vertical="center"/>
    </xf>
    <xf numFmtId="0" fontId="18" fillId="2" borderId="0" xfId="0" applyFont="1" applyFill="1" applyAlignment="1">
      <alignment horizontal="center" vertical="center"/>
    </xf>
    <xf numFmtId="0" fontId="18" fillId="2" borderId="2" xfId="0" applyFont="1" applyFill="1" applyBorder="1" applyAlignment="1">
      <alignment horizontal="center" vertical="center"/>
    </xf>
    <xf numFmtId="0" fontId="18" fillId="2" borderId="7" xfId="0" applyFont="1" applyFill="1" applyBorder="1" applyAlignment="1">
      <alignment horizontal="center" vertical="center"/>
    </xf>
    <xf numFmtId="0" fontId="18" fillId="2" borderId="8" xfId="0" applyFont="1" applyFill="1" applyBorder="1" applyAlignment="1">
      <alignment horizontal="center" vertical="center"/>
    </xf>
    <xf numFmtId="0" fontId="18" fillId="2" borderId="6" xfId="0" applyFont="1" applyFill="1" applyBorder="1" applyAlignment="1">
      <alignment horizontal="center" vertical="center"/>
    </xf>
    <xf numFmtId="0" fontId="18" fillId="2" borderId="10" xfId="0" applyFont="1" applyFill="1" applyBorder="1" applyAlignment="1">
      <alignment horizontal="center" vertical="center"/>
    </xf>
    <xf numFmtId="0" fontId="18" fillId="9" borderId="0" xfId="0" applyFont="1" applyFill="1" applyAlignment="1">
      <alignment horizontal="center" vertical="center"/>
    </xf>
    <xf numFmtId="0" fontId="0" fillId="0" borderId="0" xfId="3" applyFont="1"/>
    <xf numFmtId="0" fontId="3" fillId="0" borderId="0" xfId="0" applyFont="1" applyAlignment="1">
      <alignment horizontal="right"/>
    </xf>
    <xf numFmtId="0" fontId="3" fillId="0" borderId="0" xfId="0" applyFont="1" applyAlignment="1">
      <alignment horizontal="left"/>
    </xf>
    <xf numFmtId="0" fontId="3" fillId="0" borderId="0" xfId="0" applyFont="1"/>
    <xf numFmtId="0" fontId="6" fillId="0" borderId="0" xfId="0" applyFont="1" applyAlignment="1">
      <alignment horizontal="right"/>
    </xf>
    <xf numFmtId="9" fontId="29" fillId="11" borderId="11" xfId="13" applyFont="1" applyFill="1" applyBorder="1" applyAlignment="1">
      <alignment horizontal="center" vertical="center"/>
    </xf>
    <xf numFmtId="0" fontId="30" fillId="10" borderId="11" xfId="0" applyFont="1" applyFill="1" applyBorder="1" applyAlignment="1">
      <alignment horizontal="center" vertical="center"/>
    </xf>
    <xf numFmtId="9" fontId="29" fillId="11" borderId="13" xfId="13" applyFont="1" applyFill="1" applyBorder="1" applyAlignment="1">
      <alignment horizontal="center" vertical="center"/>
    </xf>
    <xf numFmtId="0" fontId="19" fillId="3" borderId="0" xfId="0" applyFont="1" applyFill="1" applyAlignment="1">
      <alignment horizontal="center"/>
    </xf>
    <xf numFmtId="0" fontId="25" fillId="3" borderId="0" xfId="0" applyFont="1" applyFill="1" applyAlignment="1">
      <alignment horizontal="center"/>
    </xf>
  </cellXfs>
  <cellStyles count="14">
    <cellStyle name="Bad" xfId="11" builtinId="27"/>
    <cellStyle name="Comma 2" xfId="6" xr:uid="{70B95B68-42E5-4134-B60C-D53D63EA8C64}"/>
    <cellStyle name="Comma 3" xfId="9" xr:uid="{E6060E65-816D-42A3-BC2B-BC7AE08DF09F}"/>
    <cellStyle name="Good" xfId="10" builtinId="26"/>
    <cellStyle name="Hyperlink" xfId="1" builtinId="8"/>
    <cellStyle name="Neutral" xfId="12" builtinId="28"/>
    <cellStyle name="Normal" xfId="0" builtinId="0"/>
    <cellStyle name="Normal 2" xfId="2" xr:uid="{630AB955-5629-4F25-81F3-D0850CCA2D8B}"/>
    <cellStyle name="Normal 2 2" xfId="3" xr:uid="{BBC0A887-27F1-430C-A62B-8FDD810F3453}"/>
    <cellStyle name="Normal 3" xfId="4" xr:uid="{19553023-A532-4B21-B780-2F68384C80B9}"/>
    <cellStyle name="Normal 4" xfId="7" xr:uid="{9C62A56D-8BFB-43DA-B794-93EBCA984803}"/>
    <cellStyle name="Percent" xfId="13" builtinId="5"/>
    <cellStyle name="Percent 2" xfId="5" xr:uid="{1D541CDC-ACE8-4B54-AB6D-F143BBC82663}"/>
    <cellStyle name="Percent 3" xfId="8" xr:uid="{C04F5020-2218-4635-A7A5-19093E1C865B}"/>
  </cellStyles>
  <dxfs count="62">
    <dxf>
      <fill>
        <patternFill>
          <bgColor rgb="FF50B47F"/>
        </patternFill>
      </fill>
    </dxf>
    <dxf>
      <fill>
        <patternFill>
          <bgColor rgb="FF50B47F"/>
        </patternFill>
      </fill>
    </dxf>
    <dxf>
      <alignment wrapText="0"/>
    </dxf>
    <dxf>
      <alignment wrapText="0"/>
    </dxf>
    <dxf>
      <alignment wrapText="0"/>
    </dxf>
    <dxf>
      <alignment wrapText="0"/>
    </dxf>
    <dxf>
      <alignment wrapText="0"/>
    </dxf>
    <dxf>
      <alignment horizontal="left"/>
    </dxf>
    <dxf>
      <alignment vertical="center"/>
    </dxf>
    <dxf>
      <alignment vertical="center"/>
    </dxf>
    <dxf>
      <alignment horizontal="center"/>
    </dxf>
    <dxf>
      <alignment vertical="center"/>
    </dxf>
    <dxf>
      <alignment vertical="center"/>
    </dxf>
    <dxf>
      <font>
        <color theme="0"/>
      </font>
    </dxf>
    <dxf>
      <font>
        <color theme="0"/>
      </font>
    </dxf>
    <dxf>
      <fill>
        <patternFill patternType="solid">
          <bgColor rgb="FF8FCFAD"/>
        </patternFill>
      </fill>
    </dxf>
    <dxf>
      <fill>
        <patternFill patternType="solid">
          <bgColor rgb="FF8FCFAD"/>
        </patternFill>
      </fill>
    </dxf>
    <dxf>
      <alignment horizontal="center"/>
    </dxf>
    <dxf>
      <fill>
        <patternFill>
          <bgColor theme="7" tint="0.79998168889431442"/>
        </patternFill>
      </fill>
    </dxf>
    <dxf>
      <font>
        <color rgb="FF50B47F"/>
      </font>
    </dxf>
    <dxf>
      <font>
        <color theme="7" tint="-0.24994659260841701"/>
      </font>
    </dxf>
    <dxf>
      <font>
        <color rgb="FF9C0006"/>
      </font>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006100"/>
      </font>
      <fill>
        <patternFill>
          <bgColor rgb="FFC6EFCE"/>
        </patternFill>
      </fill>
    </dxf>
    <dxf>
      <font>
        <color rgb="FF006100"/>
      </font>
      <fill>
        <patternFill>
          <bgColor rgb="FFC6EFCE"/>
        </patternFill>
      </fill>
    </dxf>
    <dxf>
      <border>
        <left style="thin">
          <color theme="0" tint="-0.14996795556505021"/>
        </left>
        <right style="thin">
          <color theme="0" tint="-0.14996795556505021"/>
        </right>
        <top style="thin">
          <color theme="0" tint="-0.14996795556505021"/>
        </top>
        <bottom style="thin">
          <color theme="0" tint="-0.14996795556505021"/>
        </bottom>
        <vertical/>
        <horizontal/>
      </border>
    </dxf>
    <dxf>
      <numFmt numFmtId="0" formatCode="General"/>
      <fill>
        <patternFill patternType="none">
          <fgColor indexed="64"/>
          <bgColor auto="1"/>
        </patternFill>
      </fill>
      <alignment horizontal="center" vertical="center" textRotation="0" wrapText="1" indent="0" justifyLastLine="0" shrinkToFit="0" readingOrder="0"/>
      <border diagonalUp="0" diagonalDown="0" outline="0">
        <left style="thin">
          <color theme="0" tint="-0.14990691854609822"/>
        </left>
        <right style="thin">
          <color theme="0" tint="-0.14990691854609822"/>
        </right>
        <top style="thin">
          <color theme="0" tint="-0.14990691854609822"/>
        </top>
        <bottom style="thin">
          <color theme="0" tint="-0.14990691854609822"/>
        </bottom>
      </border>
    </dxf>
    <dxf>
      <font>
        <strike val="0"/>
        <outline val="0"/>
        <shadow val="0"/>
        <u val="none"/>
        <vertAlign val="baseline"/>
        <sz val="10"/>
        <color theme="1"/>
        <name val="Arial"/>
        <family val="2"/>
        <scheme val="none"/>
      </font>
      <numFmt numFmtId="0" formatCode="General"/>
      <fill>
        <patternFill patternType="solid">
          <fgColor indexed="64"/>
          <bgColor theme="0" tint="-4.9989318521683403E-2"/>
        </patternFill>
      </fill>
      <alignment horizontal="center" vertical="center" textRotation="0" wrapText="1" indent="0" justifyLastLine="0" shrinkToFit="0" readingOrder="0"/>
      <border diagonalUp="0" diagonalDown="0" outline="0">
        <left style="thin">
          <color theme="0" tint="-0.14990691854609822"/>
        </left>
        <right style="thin">
          <color theme="0" tint="-0.14990691854609822"/>
        </right>
        <top style="thin">
          <color theme="0" tint="-0.14990691854609822"/>
        </top>
        <bottom style="thin">
          <color theme="0" tint="-0.14990691854609822"/>
        </bottom>
      </border>
    </dxf>
    <dxf>
      <numFmt numFmtId="167" formatCode="[$-F400]h:mm:ss\ AM/PM"/>
      <fill>
        <patternFill patternType="none">
          <fgColor indexed="64"/>
          <bgColor indexed="65"/>
        </patternFill>
      </fill>
      <alignment horizontal="center" vertical="center" textRotation="0" wrapText="1" indent="0" justifyLastLine="0" shrinkToFit="0" readingOrder="0"/>
      <border diagonalUp="0" diagonalDown="0" outline="0">
        <left style="thin">
          <color theme="0" tint="-0.14990691854609822"/>
        </left>
        <right style="thin">
          <color theme="0" tint="-0.14990691854609822"/>
        </right>
        <top style="thin">
          <color theme="0" tint="-0.14990691854609822"/>
        </top>
        <bottom/>
      </border>
    </dxf>
    <dxf>
      <numFmt numFmtId="165" formatCode="[$-409]d\-mmm\-yy;@"/>
      <fill>
        <patternFill patternType="none">
          <fgColor indexed="64"/>
          <bgColor indexed="65"/>
        </patternFill>
      </fill>
      <alignment horizontal="center" vertical="center" textRotation="0" wrapText="1" indent="0" justifyLastLine="0" shrinkToFit="0" readingOrder="0"/>
      <border diagonalUp="0" diagonalDown="0" outline="0">
        <left style="thin">
          <color theme="0" tint="-0.14990691854609822"/>
        </left>
        <right style="thin">
          <color theme="0" tint="-0.14990691854609822"/>
        </right>
        <top style="thin">
          <color theme="0" tint="-0.14990691854609822"/>
        </top>
        <bottom style="thin">
          <color theme="0" tint="-0.14990691854609822"/>
        </bottom>
      </border>
    </dxf>
    <dxf>
      <numFmt numFmtId="0" formatCode="General"/>
      <fill>
        <patternFill patternType="none">
          <fgColor indexed="64"/>
          <bgColor auto="1"/>
        </patternFill>
      </fill>
      <alignment horizontal="center" vertical="center" textRotation="0" wrapText="1" indent="0" justifyLastLine="0" shrinkToFit="0" readingOrder="0"/>
      <border diagonalUp="0" diagonalDown="0" outline="0">
        <left style="thin">
          <color theme="0" tint="-0.14990691854609822"/>
        </left>
        <right style="thin">
          <color theme="0" tint="-0.14990691854609822"/>
        </right>
        <top style="thin">
          <color theme="0" tint="-0.14990691854609822"/>
        </top>
        <bottom style="thin">
          <color theme="0" tint="-0.14990691854609822"/>
        </bottom>
      </border>
    </dxf>
    <dxf>
      <font>
        <strike val="0"/>
        <outline val="0"/>
        <shadow val="0"/>
        <u val="none"/>
        <vertAlign val="baseline"/>
        <sz val="10"/>
        <color theme="1"/>
        <name val="Arial"/>
        <family val="2"/>
        <scheme val="none"/>
      </font>
      <numFmt numFmtId="0" formatCode="General"/>
      <fill>
        <patternFill patternType="none">
          <fgColor indexed="64"/>
          <bgColor auto="1"/>
        </patternFill>
      </fill>
      <alignment horizontal="center" vertical="center" textRotation="0" wrapText="1" indent="0" justifyLastLine="0" shrinkToFit="0" readingOrder="0"/>
      <border diagonalUp="0" diagonalDown="0" outline="0">
        <left style="thin">
          <color theme="0" tint="-0.14990691854609822"/>
        </left>
        <right style="thin">
          <color theme="0" tint="-0.14990691854609822"/>
        </right>
        <top style="thin">
          <color theme="0" tint="-0.14990691854609822"/>
        </top>
        <bottom style="thin">
          <color theme="0" tint="-0.14990691854609822"/>
        </bottom>
      </border>
    </dxf>
    <dxf>
      <numFmt numFmtId="0" formatCode="General"/>
      <fill>
        <patternFill patternType="none">
          <fgColor indexed="64"/>
          <bgColor auto="1"/>
        </patternFill>
      </fill>
      <alignment horizontal="center" vertical="center" textRotation="0" wrapText="1" indent="0" justifyLastLine="0" shrinkToFit="0" readingOrder="0"/>
      <border diagonalUp="0" diagonalDown="0" outline="0">
        <left style="thin">
          <color theme="0" tint="-0.14990691854609822"/>
        </left>
        <right style="thin">
          <color theme="0" tint="-0.14990691854609822"/>
        </right>
        <top style="thin">
          <color theme="0" tint="-0.14990691854609822"/>
        </top>
        <bottom style="thin">
          <color theme="0" tint="-0.14990691854609822"/>
        </bottom>
      </border>
    </dxf>
    <dxf>
      <numFmt numFmtId="166" formatCode="mmm"/>
      <fill>
        <patternFill patternType="none">
          <fgColor indexed="64"/>
          <bgColor auto="1"/>
        </patternFill>
      </fill>
      <alignment horizontal="center" vertical="center" textRotation="0" wrapText="1" indent="0" justifyLastLine="0" shrinkToFit="0" readingOrder="0"/>
      <border diagonalUp="0" diagonalDown="0" outline="0">
        <left style="thin">
          <color theme="0" tint="-0.14990691854609822"/>
        </left>
        <right style="thin">
          <color theme="0" tint="-0.14990691854609822"/>
        </right>
        <top style="thin">
          <color theme="0" tint="-0.14990691854609822"/>
        </top>
        <bottom style="thin">
          <color theme="0" tint="-0.14990691854609822"/>
        </bottom>
      </border>
    </dxf>
    <dxf>
      <numFmt numFmtId="166" formatCode="mmm"/>
      <fill>
        <patternFill patternType="solid">
          <fgColor indexed="64"/>
          <bgColor theme="0" tint="-4.9989318521683403E-2"/>
        </patternFill>
      </fill>
      <alignment horizontal="center" vertical="center" textRotation="0" wrapText="1" indent="0" justifyLastLine="0" shrinkToFit="0" readingOrder="0"/>
      <border diagonalUp="0" diagonalDown="0" outline="0">
        <left style="thin">
          <color theme="0" tint="-0.14990691854609822"/>
        </left>
        <right style="thin">
          <color theme="0" tint="-0.14990691854609822"/>
        </right>
        <top style="thin">
          <color theme="0" tint="-0.14990691854609822"/>
        </top>
        <bottom style="thin">
          <color theme="0" tint="-0.14990691854609822"/>
        </bottom>
      </border>
    </dxf>
    <dxf>
      <numFmt numFmtId="166" formatCode="mmm"/>
      <fill>
        <patternFill patternType="none">
          <fgColor indexed="64"/>
          <bgColor indexed="65"/>
        </patternFill>
      </fill>
      <alignment horizontal="center" vertical="center" textRotation="0" wrapText="1" indent="0" justifyLastLine="0" shrinkToFit="0" readingOrder="0"/>
      <border diagonalUp="0" diagonalDown="0" outline="0">
        <left style="thin">
          <color theme="0" tint="-0.14990691854609822"/>
        </left>
        <right style="thin">
          <color theme="0" tint="-0.14990691854609822"/>
        </right>
        <top style="thin">
          <color theme="0" tint="-0.14990691854609822"/>
        </top>
        <bottom style="thin">
          <color theme="0" tint="-0.14990691854609822"/>
        </bottom>
      </border>
    </dxf>
    <dxf>
      <numFmt numFmtId="166" formatCode="mmm"/>
      <fill>
        <patternFill patternType="none">
          <fgColor indexed="64"/>
          <bgColor indexed="65"/>
        </patternFill>
      </fill>
      <alignment horizontal="center" vertical="center" textRotation="0" wrapText="1" indent="0" justifyLastLine="0" shrinkToFit="0" readingOrder="0"/>
      <border diagonalUp="0" diagonalDown="0">
        <left style="thin">
          <color theme="0" tint="-0.14990691854609822"/>
        </left>
        <right style="thin">
          <color theme="0" tint="-0.14990691854609822"/>
        </right>
        <top style="thin">
          <color theme="0" tint="-0.14990691854609822"/>
        </top>
        <bottom style="thin">
          <color theme="0" tint="-0.14990691854609822"/>
        </bottom>
        <vertical/>
        <horizontal/>
      </border>
    </dxf>
    <dxf>
      <numFmt numFmtId="166" formatCode="mmm"/>
      <fill>
        <patternFill patternType="none">
          <fgColor indexed="64"/>
          <bgColor auto="1"/>
        </patternFill>
      </fill>
      <alignment horizontal="center" vertical="center" textRotation="0" wrapText="1" indent="0" justifyLastLine="0" shrinkToFit="0" readingOrder="0"/>
      <border diagonalUp="0" diagonalDown="0" outline="0">
        <left style="thin">
          <color theme="0" tint="-0.14990691854609822"/>
        </left>
        <right style="thin">
          <color theme="0" tint="-0.14990691854609822"/>
        </right>
        <top style="thin">
          <color theme="0" tint="-0.14990691854609822"/>
        </top>
        <bottom style="thin">
          <color theme="0" tint="-0.14990691854609822"/>
        </bottom>
      </border>
    </dxf>
    <dxf>
      <numFmt numFmtId="0" formatCode="General"/>
      <fill>
        <patternFill patternType="none">
          <fgColor indexed="64"/>
          <bgColor indexed="65"/>
        </patternFill>
      </fill>
      <alignment horizontal="center" vertical="center" textRotation="0" wrapText="1" indent="0" justifyLastLine="0" shrinkToFit="0" readingOrder="0"/>
      <border diagonalUp="0" diagonalDown="0" outline="0">
        <left style="thin">
          <color theme="0" tint="-0.14990691854609822"/>
        </left>
        <right style="thin">
          <color theme="0" tint="-0.14990691854609822"/>
        </right>
        <top style="thin">
          <color theme="0" tint="-0.14990691854609822"/>
        </top>
        <bottom style="thin">
          <color theme="0" tint="-0.14990691854609822"/>
        </bottom>
      </border>
    </dxf>
    <dxf>
      <numFmt numFmtId="165" formatCode="[$-409]d\-mmm\-yy;@"/>
      <fill>
        <patternFill patternType="none">
          <fgColor indexed="64"/>
          <bgColor auto="1"/>
        </patternFill>
      </fill>
      <alignment horizontal="center" vertical="center" textRotation="0" wrapText="1" indent="0" justifyLastLine="0" shrinkToFit="0" readingOrder="0"/>
      <border diagonalUp="0" diagonalDown="0" outline="0">
        <left style="thin">
          <color theme="0" tint="-0.14990691854609822"/>
        </left>
        <right style="thin">
          <color theme="0" tint="-0.14990691854609822"/>
        </right>
        <top style="thin">
          <color theme="0" tint="-0.14990691854609822"/>
        </top>
        <bottom style="thin">
          <color theme="0" tint="-0.14990691854609822"/>
        </bottom>
      </border>
    </dxf>
    <dxf>
      <border>
        <top style="thin">
          <color theme="0" tint="-0.14993743705557422"/>
        </top>
      </border>
    </dxf>
    <dxf>
      <border diagonalUp="0" diagonalDown="0">
        <left style="thin">
          <color theme="0" tint="-0.14993743705557422"/>
        </left>
        <right style="thin">
          <color theme="0" tint="-0.14993743705557422"/>
        </right>
        <top style="thin">
          <color theme="0" tint="-0.14993743705557422"/>
        </top>
        <bottom style="thin">
          <color theme="0" tint="-0.14993743705557422"/>
        </bottom>
      </border>
    </dxf>
    <dxf>
      <numFmt numFmtId="0" formatCode="General"/>
      <fill>
        <patternFill patternType="none">
          <fgColor indexed="64"/>
          <bgColor auto="1"/>
        </patternFill>
      </fill>
      <alignment horizontal="general" vertical="center" textRotation="0" wrapText="1" indent="0" justifyLastLine="0" shrinkToFit="0" readingOrder="0"/>
    </dxf>
    <dxf>
      <border>
        <bottom style="thin">
          <color theme="0" tint="-0.14993743705557422"/>
        </bottom>
      </border>
    </dxf>
    <dxf>
      <font>
        <b val="0"/>
        <i val="0"/>
        <strike val="0"/>
        <condense val="0"/>
        <extend val="0"/>
        <outline val="0"/>
        <shadow val="0"/>
        <u val="none"/>
        <vertAlign val="baseline"/>
        <sz val="12"/>
        <color theme="0"/>
        <name val="Arial"/>
        <family val="2"/>
        <scheme val="none"/>
      </font>
      <fill>
        <patternFill patternType="solid">
          <fgColor indexed="64"/>
          <bgColor rgb="FF50B47F"/>
        </patternFill>
      </fill>
      <alignment horizontal="center" vertical="center" textRotation="0" wrapText="1" indent="0" justifyLastLine="0" shrinkToFit="0" readingOrder="0"/>
      <border diagonalUp="0" diagonalDown="0" outline="0">
        <left style="thin">
          <color theme="0" tint="-0.14993743705557422"/>
        </left>
        <right style="thin">
          <color theme="0" tint="-0.14993743705557422"/>
        </right>
        <top/>
        <bottom/>
      </border>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006100"/>
      </font>
      <fill>
        <patternFill>
          <bgColor rgb="FFC6EFCE"/>
        </patternFill>
      </fill>
    </dxf>
    <dxf>
      <font>
        <color rgb="FF006100"/>
      </font>
      <fill>
        <patternFill>
          <bgColor rgb="FFC6EFCE"/>
        </patternFill>
      </fill>
    </dxf>
    <dxf>
      <font>
        <b/>
        <sz val="11"/>
        <color theme="1"/>
      </font>
    </dxf>
    <dxf>
      <fill>
        <patternFill patternType="solid">
          <fgColor theme="0"/>
          <bgColor theme="0"/>
        </patternFill>
      </fill>
      <border diagonalUp="0" diagonalDown="0">
        <left style="thin">
          <color theme="0" tint="-0.34998626667073579"/>
        </left>
        <right style="thin">
          <color theme="0" tint="-0.34998626667073579"/>
        </right>
        <top style="thin">
          <color theme="0" tint="-0.34998626667073579"/>
        </top>
        <bottom style="thin">
          <color theme="0" tint="-0.34998626667073579"/>
        </bottom>
        <vertical/>
        <horizontal/>
      </border>
    </dxf>
    <dxf>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dxf>
    <dxf>
      <border diagonalUp="0" diagonalDown="0">
        <left/>
        <right/>
        <top/>
        <bottom/>
        <vertical/>
        <horizontal/>
      </border>
    </dxf>
    <dxf>
      <fill>
        <patternFill>
          <bgColor rgb="FF8FCFAD"/>
        </patternFill>
      </fill>
    </dxf>
    <dxf>
      <fill>
        <patternFill>
          <bgColor rgb="FF8FCFAD"/>
        </patternFill>
      </fill>
    </dxf>
    <dxf>
      <font>
        <color auto="1"/>
      </font>
      <fill>
        <patternFill patternType="none">
          <bgColor auto="1"/>
        </patternFill>
      </fill>
    </dxf>
    <dxf>
      <fill>
        <patternFill>
          <bgColor rgb="FF8FCFAD"/>
        </patternFill>
      </fill>
    </dxf>
    <dxf>
      <fill>
        <patternFill>
          <bgColor rgb="FF8FCFAD"/>
        </patternFill>
      </fill>
    </dxf>
    <dxf>
      <border>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s>
  <tableStyles count="4" defaultTableStyle="TableStyleMedium2" defaultPivotStyle="PivotStyleLight16">
    <tableStyle name="PivotTable Style 1" table="0" count="6" xr9:uid="{3831004B-067D-418F-BD50-A3986E0D4865}">
      <tableStyleElement type="wholeTable" dxfId="61"/>
      <tableStyleElement type="headerRow" dxfId="60"/>
      <tableStyleElement type="totalRow" dxfId="59"/>
      <tableStyleElement type="lastColumn" dxfId="58"/>
      <tableStyleElement type="pageFieldLabels" dxfId="57"/>
      <tableStyleElement type="pageFieldValues" dxfId="56"/>
    </tableStyle>
    <tableStyle name="Slicer Style 1" pivot="0" table="0" count="8" xr9:uid="{6B0103B1-AE5E-4E9B-A35E-CDD51150C899}">
      <tableStyleElement type="wholeTable" dxfId="55"/>
    </tableStyle>
    <tableStyle name="Slicer Style 1 2" pivot="0" table="0" count="8" xr9:uid="{121112F6-CD7D-4975-B100-08E955851BB0}">
      <tableStyleElement type="wholeTable" dxfId="54"/>
    </tableStyle>
    <tableStyle name="Timeline Style 1" pivot="0" table="0" count="8" xr9:uid="{E7FBEFCC-9E91-45D6-9FD4-D3137AAC2CB6}">
      <tableStyleElement type="wholeTable" dxfId="53"/>
      <tableStyleElement type="headerRow" dxfId="52"/>
    </tableStyle>
  </tableStyles>
  <colors>
    <mruColors>
      <color rgb="FF50B47F"/>
      <color rgb="FFFFFF89"/>
      <color rgb="FFFFFF5D"/>
      <color rgb="FF8FCFAD"/>
      <color rgb="FFFFF6DD"/>
      <color rgb="FFF74F4F"/>
      <color rgb="FFFF6565"/>
      <color rgb="FFFF6161"/>
      <color rgb="FF8A0000"/>
      <color rgb="FFFF5353"/>
    </mruColors>
  </colors>
  <extLst>
    <ext xmlns:x14="http://schemas.microsoft.com/office/spreadsheetml/2009/9/main" uri="{46F421CA-312F-682f-3DD2-61675219B42D}">
      <x14:dxfs count="14">
        <dxf>
          <fill>
            <patternFill patternType="none">
              <bgColor auto="1"/>
            </patternFill>
          </fill>
        </dxf>
        <dxf>
          <font>
            <color theme="0"/>
          </font>
          <fill>
            <patternFill>
              <bgColor rgb="FF50B47F"/>
            </patternFill>
          </fill>
        </dxf>
        <dxf>
          <fill>
            <patternFill>
              <bgColor rgb="FF50B47F"/>
            </patternFill>
          </fill>
        </dxf>
        <dxf>
          <fill>
            <patternFill>
              <bgColor theme="0" tint="-0.24994659260841701"/>
            </patternFill>
          </fill>
        </dxf>
        <dxf>
          <fill>
            <patternFill>
              <bgColor rgb="FF8FCFAD"/>
            </patternFill>
          </fill>
        </dxf>
        <dxf>
          <fill>
            <patternFill>
              <bgColor theme="0" tint="-0.24994659260841701"/>
            </patternFill>
          </fill>
        </dxf>
        <dxf>
          <fill>
            <patternFill>
              <bgColor theme="0" tint="-0.14996795556505021"/>
            </patternFill>
          </fill>
        </dxf>
        <dxf>
          <fill>
            <patternFill patternType="none">
              <bgColor auto="1"/>
            </patternFill>
          </fill>
        </dxf>
        <dxf>
          <font>
            <color theme="0"/>
          </font>
          <fill>
            <patternFill>
              <bgColor rgb="FF50B47F"/>
            </patternFill>
          </fill>
        </dxf>
        <dxf>
          <fill>
            <patternFill>
              <bgColor rgb="FF50B47F"/>
            </patternFill>
          </fill>
        </dxf>
        <dxf>
          <fill>
            <patternFill>
              <bgColor theme="0" tint="-0.24994659260841701"/>
            </patternFill>
          </fill>
        </dxf>
        <dxf>
          <fill>
            <patternFill>
              <bgColor rgb="FF8FCFAD"/>
            </patternFill>
          </fill>
        </dxf>
        <dxf>
          <fill>
            <patternFill>
              <bgColor theme="0" tint="-0.24994659260841701"/>
            </patternFill>
          </fill>
        </dxf>
        <dxf>
          <fill>
            <patternFill>
              <bgColor theme="0" tint="-0.14996795556505021"/>
            </patternFill>
          </fill>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13"/>
            <x14:slicerStyleElement type="unselectedItemWithNoData" dxfId="12"/>
            <x14:slicerStyleElement type="selectedItemWithData" dxfId="11"/>
            <x14:slicerStyleElement type="selectedItemWithNoData" dxfId="10"/>
            <x14:slicerStyleElement type="hoveredUnselectedItemWithData" dxfId="9"/>
            <x14:slicerStyleElement type="hoveredSelectedItemWithData" dxfId="8"/>
            <x14:slicerStyleElement type="hoveredSelectedItemWithNoData" dxfId="7"/>
          </x14:slicerStyleElements>
        </x14:slicerStyle>
        <x14:slicerStyle name="Slicer Style 1 2">
          <x14:slicerStyleElements>
            <x14:slicerStyleElement type="unselectedItemWithData" dxfId="6"/>
            <x14:slicerStyleElement type="unselectedItemWithNoData" dxfId="5"/>
            <x14:slicerStyleElement type="selectedItemWithData" dxfId="4"/>
            <x14:slicerStyleElement type="selectedItemWithNoData" dxfId="3"/>
            <x14:slicerStyleElement type="hoveredUnselectedItemWithData" dxfId="2"/>
            <x14:slicerStyleElement type="hoveredSelectedItemWithData" dxfId="1"/>
            <x14:slicerStyleElement type="hoveredSelectedItemWithNoData" dxfId="0"/>
          </x14:slicerStyleElements>
        </x14:slicerStyle>
      </x14:slicerStyles>
    </ext>
    <ext xmlns:x15="http://schemas.microsoft.com/office/spreadsheetml/2010/11/main" uri="{A0A4C193-F2C1-4fcb-8827-314CF55A85BB}">
      <x15:dxfs count="6">
        <dxf>
          <fill>
            <patternFill patternType="solid">
              <fgColor theme="0" tint="-0.14999847407452621"/>
              <bgColor theme="0" tint="-0.14999847407452621"/>
            </patternFill>
          </fill>
        </dxf>
        <dxf>
          <fill>
            <patternFill patternType="solid">
              <fgColor theme="0"/>
              <bgColor rgb="FF8FCFAD"/>
            </patternFill>
          </fill>
        </dxf>
        <dxf>
          <font>
            <sz val="9"/>
            <color theme="1" tint="0.499984740745262"/>
          </font>
        </dxf>
        <dxf>
          <font>
            <sz val="9"/>
            <color theme="1" tint="0.499984740745262"/>
          </font>
        </dxf>
        <dxf>
          <font>
            <sz val="9"/>
            <color theme="1" tint="0.499984740745262"/>
          </font>
        </dxf>
        <dxf>
          <font>
            <sz val="10"/>
            <color theme="1" tint="0.499984740745262"/>
          </font>
        </dxf>
      </x15:dxfs>
    </ext>
    <ext xmlns:x15="http://schemas.microsoft.com/office/spreadsheetml/2010/11/main" uri="{9260A510-F301-46a8-8635-F512D64BE5F5}">
      <x15:timelineStyles defaultTimelineStyle="TimeSlicerStyleLight1">
        <x15:timelineStyle name="Timeline Style 1">
          <x15:timelineStyleElements>
            <x15:timelineStyleElement type="selectionLabel" dxfId="5"/>
            <x15:timelineStyleElement type="timeLevel" dxfId="4"/>
            <x15:timelineStyleElement type="periodLabel1" dxfId="3"/>
            <x15:timelineStyleElement type="periodLabel2" dxfId="2"/>
            <x15:timelineStyleElement type="selectedTimeBlock" dxfId="1"/>
            <x15:timelineStyleElement type="unselectedTimeBlock" dxfId="0"/>
          </x15:timelineStyleElements>
        </x15:timelineStyle>
      </x15:timelineStyles>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1.xml"/><Relationship Id="rId13" Type="http://schemas.openxmlformats.org/officeDocument/2006/relationships/theme" Target="theme/theme1.xml"/><Relationship Id="rId18" Type="http://schemas.openxmlformats.org/officeDocument/2006/relationships/customXml" Target="../customXml/item1.xml"/><Relationship Id="rId3" Type="http://schemas.openxmlformats.org/officeDocument/2006/relationships/worksheet" Target="worksheets/sheet3.xml"/><Relationship Id="rId21" Type="http://schemas.openxmlformats.org/officeDocument/2006/relationships/customXml" Target="../customXml/item4.xml"/><Relationship Id="rId7" Type="http://schemas.openxmlformats.org/officeDocument/2006/relationships/pivotCacheDefinition" Target="pivotCache/pivotCacheDefinition1.xml"/><Relationship Id="rId12" Type="http://schemas.microsoft.com/office/2007/relationships/slicerCache" Target="slicerCaches/slicerCache5.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20"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7/relationships/slicerCache" Target="slicerCaches/slicerCache4.xml"/><Relationship Id="rId5" Type="http://schemas.openxmlformats.org/officeDocument/2006/relationships/worksheet" Target="worksheets/sheet5.xml"/><Relationship Id="rId15" Type="http://schemas.openxmlformats.org/officeDocument/2006/relationships/styles" Target="styles.xml"/><Relationship Id="rId10" Type="http://schemas.microsoft.com/office/2007/relationships/slicerCache" Target="slicerCaches/slicerCache3.xml"/><Relationship Id="rId19" Type="http://schemas.openxmlformats.org/officeDocument/2006/relationships/customXml" Target="../customXml/item2.xml"/><Relationship Id="rId4" Type="http://schemas.openxmlformats.org/officeDocument/2006/relationships/worksheet" Target="worksheets/sheet4.xml"/><Relationship Id="rId9" Type="http://schemas.microsoft.com/office/2007/relationships/slicerCache" Target="slicerCaches/slicerCache2.xml"/><Relationship Id="rId14" Type="http://schemas.openxmlformats.org/officeDocument/2006/relationships/connections" Target="connections.xml"/><Relationship Id="rId22"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[Email Marketing Planning.xlsm]Sheet1!pipeline</c:name>
    <c:fmtId val="3"/>
  </c:pivotSource>
  <c:chart>
    <c:title>
      <c:tx>
        <c:rich>
          <a:bodyPr rot="0" spcFirstLastPara="1" vertOverflow="ellipsis" vert="horz" wrap="square" anchor="ctr" anchorCtr="1"/>
          <a:lstStyle/>
          <a:p>
            <a:pPr>
              <a:defRPr sz="1400" b="1" i="0" u="none" strike="noStrike" kern="1200" cap="none" spc="20" baseline="0">
                <a:solidFill>
                  <a:schemeClr val="tx1">
                    <a:lumMod val="75000"/>
                    <a:lumOff val="25000"/>
                  </a:schemeClr>
                </a:solidFill>
                <a:latin typeface="Arial" panose="020B0604020202020204" pitchFamily="34" charset="0"/>
                <a:ea typeface="+mn-ea"/>
                <a:cs typeface="Arial" panose="020B0604020202020204" pitchFamily="34" charset="0"/>
              </a:defRPr>
            </a:pPr>
            <a:r>
              <a:rPr lang="en-US" sz="1400" b="1">
                <a:solidFill>
                  <a:schemeClr val="tx1">
                    <a:lumMod val="75000"/>
                    <a:lumOff val="25000"/>
                  </a:schemeClr>
                </a:solidFill>
              </a:rPr>
              <a:t>Emails Marketing Pipeline</a:t>
            </a:r>
          </a:p>
        </c:rich>
      </c:tx>
      <c:overlay val="0"/>
      <c:spPr>
        <a:noFill/>
        <a:ln>
          <a:noFill/>
        </a:ln>
        <a:effectLst/>
      </c:spPr>
      <c:txPr>
        <a:bodyPr rot="0" spcFirstLastPara="1" vertOverflow="ellipsis" vert="horz" wrap="square" anchor="ctr" anchorCtr="1"/>
        <a:lstStyle/>
        <a:p>
          <a:pPr>
            <a:defRPr sz="1400" b="1" i="0" u="none" strike="noStrike" kern="1200" cap="none" spc="20" baseline="0">
              <a:solidFill>
                <a:schemeClr val="tx1">
                  <a:lumMod val="75000"/>
                  <a:lumOff val="25000"/>
                </a:schemeClr>
              </a:solidFill>
              <a:latin typeface="Arial" panose="020B0604020202020204" pitchFamily="34" charset="0"/>
              <a:ea typeface="+mn-ea"/>
              <a:cs typeface="Arial" panose="020B0604020202020204" pitchFamily="34" charset="0"/>
            </a:defRPr>
          </a:pPr>
          <a:endParaRPr lang="en-US"/>
        </a:p>
      </c:txPr>
    </c:title>
    <c:autoTitleDeleted val="0"/>
    <c:pivotFmts>
      <c:pivotFmt>
        <c:idx val="0"/>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marker>
          <c:symbol val="circle"/>
          <c:size val="4"/>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marker>
          <c:symbol val="circle"/>
          <c:size val="4"/>
          <c:spPr>
            <a:gradFill rotWithShape="1">
              <a:gsLst>
                <a:gs pos="0">
                  <a:schemeClr val="accent2">
                    <a:lumMod val="110000"/>
                    <a:satMod val="105000"/>
                    <a:tint val="67000"/>
                  </a:schemeClr>
                </a:gs>
                <a:gs pos="50000">
                  <a:schemeClr val="accent2">
                    <a:lumMod val="105000"/>
                    <a:satMod val="103000"/>
                    <a:tint val="73000"/>
                  </a:schemeClr>
                </a:gs>
                <a:gs pos="100000">
                  <a:schemeClr val="accent2">
                    <a:lumMod val="105000"/>
                    <a:satMod val="109000"/>
                    <a:tint val="81000"/>
                  </a:schemeClr>
                </a:gs>
              </a:gsLst>
              <a:lin ang="5400000" scaled="0"/>
            </a:gradFill>
            <a:ln w="9525" cap="flat" cmpd="sng" algn="ctr">
              <a:solidFill>
                <a:schemeClr val="accent2">
                  <a:shade val="95000"/>
                </a:schemeClr>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marker>
          <c:symbol val="circle"/>
          <c:size val="4"/>
          <c:spPr>
            <a:gradFill rotWithShape="1">
              <a:gsLst>
                <a:gs pos="0">
                  <a:schemeClr val="accent3">
                    <a:lumMod val="110000"/>
                    <a:satMod val="105000"/>
                    <a:tint val="67000"/>
                  </a:schemeClr>
                </a:gs>
                <a:gs pos="50000">
                  <a:schemeClr val="accent3">
                    <a:lumMod val="105000"/>
                    <a:satMod val="103000"/>
                    <a:tint val="73000"/>
                  </a:schemeClr>
                </a:gs>
                <a:gs pos="100000">
                  <a:schemeClr val="accent3">
                    <a:lumMod val="105000"/>
                    <a:satMod val="109000"/>
                    <a:tint val="81000"/>
                  </a:schemeClr>
                </a:gs>
              </a:gsLst>
              <a:lin ang="5400000" scaled="0"/>
            </a:gradFill>
            <a:ln w="9525" cap="flat" cmpd="sng" algn="ctr">
              <a:solidFill>
                <a:schemeClr val="accent3">
                  <a:shade val="95000"/>
                </a:schemeClr>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marker>
          <c:symbol val="circle"/>
          <c:size val="4"/>
          <c:spPr>
            <a:gradFill rotWithShape="1">
              <a:gsLst>
                <a:gs pos="0">
                  <a:schemeClr val="accent4">
                    <a:lumMod val="110000"/>
                    <a:satMod val="105000"/>
                    <a:tint val="67000"/>
                  </a:schemeClr>
                </a:gs>
                <a:gs pos="50000">
                  <a:schemeClr val="accent4">
                    <a:lumMod val="105000"/>
                    <a:satMod val="103000"/>
                    <a:tint val="73000"/>
                  </a:schemeClr>
                </a:gs>
                <a:gs pos="100000">
                  <a:schemeClr val="accent4">
                    <a:lumMod val="105000"/>
                    <a:satMod val="109000"/>
                    <a:tint val="81000"/>
                  </a:schemeClr>
                </a:gs>
              </a:gsLst>
              <a:lin ang="5400000" scaled="0"/>
            </a:gradFill>
            <a:ln w="9525" cap="flat" cmpd="sng" algn="ctr">
              <a:solidFill>
                <a:schemeClr val="accent4">
                  <a:shade val="95000"/>
                </a:schemeClr>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marker>
          <c:symbol val="circle"/>
          <c:size val="4"/>
          <c:spPr>
            <a:gradFill rotWithShape="1">
              <a:gsLst>
                <a:gs pos="0">
                  <a:schemeClr val="accent5">
                    <a:lumMod val="110000"/>
                    <a:satMod val="105000"/>
                    <a:tint val="67000"/>
                  </a:schemeClr>
                </a:gs>
                <a:gs pos="50000">
                  <a:schemeClr val="accent5">
                    <a:lumMod val="105000"/>
                    <a:satMod val="103000"/>
                    <a:tint val="73000"/>
                  </a:schemeClr>
                </a:gs>
                <a:gs pos="100000">
                  <a:schemeClr val="accent5">
                    <a:lumMod val="105000"/>
                    <a:satMod val="109000"/>
                    <a:tint val="81000"/>
                  </a:schemeClr>
                </a:gs>
              </a:gsLst>
              <a:lin ang="5400000" scaled="0"/>
            </a:gradFill>
            <a:ln w="9525" cap="flat" cmpd="sng" algn="ctr">
              <a:solidFill>
                <a:schemeClr val="accent5">
                  <a:shade val="95000"/>
                </a:schemeClr>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rgbClr val="C00000"/>
          </a:solidFill>
          <a:ln w="9525" cap="flat" cmpd="sng" algn="ctr">
            <a:solidFill>
              <a:schemeClr val="accent1">
                <a:shade val="95000"/>
              </a:schemeClr>
            </a:solidFill>
            <a:round/>
          </a:ln>
          <a:effectLst/>
        </c:spPr>
        <c:marker>
          <c:symbol val="none"/>
        </c:marker>
        <c:dLbl>
          <c:idx val="0"/>
          <c:spPr>
            <a:noFill/>
            <a:ln>
              <a:noFill/>
            </a:ln>
            <a:effectLst/>
          </c:spPr>
          <c:txPr>
            <a:bodyPr rot="0" spcFirstLastPara="1" vertOverflow="ellipsis" vert="horz" wrap="square" anchor="ctr" anchorCtr="1"/>
            <a:lstStyle/>
            <a:p>
              <a:pPr>
                <a:defRPr sz="1000" b="0" i="0" u="none" strike="noStrike" kern="1200" baseline="0">
                  <a:solidFill>
                    <a:schemeClr val="bg1"/>
                  </a:solidFill>
                  <a:latin typeface="Arial" panose="020B0604020202020204" pitchFamily="34" charset="0"/>
                  <a:ea typeface="+mn-ea"/>
                  <a:cs typeface="Arial" panose="020B0604020202020204" pitchFamily="34" charset="0"/>
                </a:defRPr>
              </a:pPr>
              <a:endParaRPr lang="en-US"/>
            </a:p>
          </c:txPr>
          <c:dLblPos val="ctr"/>
          <c:showLegendKey val="0"/>
          <c:showVal val="1"/>
          <c:showCatName val="0"/>
          <c:showSerName val="1"/>
          <c:showPercent val="0"/>
          <c:showBubbleSize val="0"/>
          <c:separator>
</c:separator>
          <c:extLst>
            <c:ext xmlns:c15="http://schemas.microsoft.com/office/drawing/2012/chart" uri="{CE6537A1-D6FC-4f65-9D91-7224C49458BB}"/>
          </c:extLst>
        </c:dLbl>
      </c:pivotFmt>
      <c:pivotFmt>
        <c:idx val="11"/>
        <c:spPr>
          <a:solidFill>
            <a:schemeClr val="accent4">
              <a:lumMod val="60000"/>
              <a:lumOff val="40000"/>
            </a:schemeClr>
          </a:solidFill>
          <a:ln w="9525" cap="flat" cmpd="sng" algn="ctr">
            <a:solidFill>
              <a:schemeClr val="bg1">
                <a:lumMod val="65000"/>
              </a:schemeClr>
            </a:solidFill>
            <a:round/>
          </a:ln>
          <a:effectLst/>
        </c:spPr>
        <c:marker>
          <c:symbol val="none"/>
        </c:marker>
        <c:dLbl>
          <c:idx val="0"/>
          <c:spPr>
            <a:no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Arial" panose="020B0604020202020204" pitchFamily="34" charset="0"/>
                  <a:ea typeface="+mn-ea"/>
                  <a:cs typeface="Arial" panose="020B0604020202020204" pitchFamily="34" charset="0"/>
                </a:defRPr>
              </a:pPr>
              <a:endParaRPr lang="en-US"/>
            </a:p>
          </c:txPr>
          <c:dLblPos val="ctr"/>
          <c:showLegendKey val="0"/>
          <c:showVal val="1"/>
          <c:showCatName val="0"/>
          <c:showSerName val="1"/>
          <c:showPercent val="0"/>
          <c:showBubbleSize val="0"/>
          <c:separator>
</c:separator>
          <c:extLst>
            <c:ext xmlns:c15="http://schemas.microsoft.com/office/drawing/2012/chart" uri="{CE6537A1-D6FC-4f65-9D91-7224C49458BB}"/>
          </c:extLst>
        </c:dLbl>
      </c:pivotFmt>
      <c:pivotFmt>
        <c:idx val="12"/>
        <c:spPr>
          <a:solidFill>
            <a:srgbClr val="FFFF89"/>
          </a:solidFill>
          <a:ln w="9525" cap="flat" cmpd="sng" algn="ctr">
            <a:solidFill>
              <a:schemeClr val="bg1">
                <a:lumMod val="65000"/>
              </a:schemeClr>
            </a:solidFill>
            <a:round/>
          </a:ln>
          <a:effectLst/>
        </c:spPr>
        <c:marker>
          <c:symbol val="none"/>
        </c:marker>
        <c:dLbl>
          <c:idx val="0"/>
          <c:spPr>
            <a:no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Arial" panose="020B0604020202020204" pitchFamily="34" charset="0"/>
                  <a:ea typeface="+mn-ea"/>
                  <a:cs typeface="Arial" panose="020B0604020202020204" pitchFamily="34" charset="0"/>
                </a:defRPr>
              </a:pPr>
              <a:endParaRPr lang="en-US"/>
            </a:p>
          </c:txPr>
          <c:dLblPos val="ctr"/>
          <c:showLegendKey val="0"/>
          <c:showVal val="1"/>
          <c:showCatName val="0"/>
          <c:showSerName val="1"/>
          <c:showPercent val="0"/>
          <c:showBubbleSize val="0"/>
          <c:separator>
</c:separator>
          <c:extLst>
            <c:ext xmlns:c15="http://schemas.microsoft.com/office/drawing/2012/chart" uri="{CE6537A1-D6FC-4f65-9D91-7224C49458BB}"/>
          </c:extLst>
        </c:dLbl>
      </c:pivotFmt>
      <c:pivotFmt>
        <c:idx val="13"/>
        <c:spPr>
          <a:solidFill>
            <a:srgbClr val="8FCFAD"/>
          </a:solidFill>
          <a:ln w="9525" cap="flat" cmpd="sng" algn="ctr">
            <a:solidFill>
              <a:schemeClr val="bg1">
                <a:lumMod val="65000"/>
              </a:schemeClr>
            </a:solidFill>
            <a:round/>
          </a:ln>
          <a:effectLst/>
        </c:spPr>
        <c:marker>
          <c:symbol val="none"/>
        </c:marker>
        <c:dLbl>
          <c:idx val="0"/>
          <c:spPr>
            <a:no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Arial" panose="020B0604020202020204" pitchFamily="34" charset="0"/>
                  <a:ea typeface="+mn-ea"/>
                  <a:cs typeface="Arial" panose="020B0604020202020204" pitchFamily="34" charset="0"/>
                </a:defRPr>
              </a:pPr>
              <a:endParaRPr lang="en-US"/>
            </a:p>
          </c:txPr>
          <c:dLblPos val="ctr"/>
          <c:showLegendKey val="0"/>
          <c:showVal val="1"/>
          <c:showCatName val="0"/>
          <c:showSerName val="1"/>
          <c:showPercent val="0"/>
          <c:showBubbleSize val="0"/>
          <c:separator>
</c:separator>
          <c:extLst>
            <c:ext xmlns:c15="http://schemas.microsoft.com/office/drawing/2012/chart" uri="{CE6537A1-D6FC-4f65-9D91-7224C49458BB}"/>
          </c:extLst>
        </c:dLbl>
      </c:pivotFmt>
      <c:pivotFmt>
        <c:idx val="14"/>
        <c:spPr>
          <a:solidFill>
            <a:srgbClr val="50B47F"/>
          </a:solidFill>
          <a:ln w="9525" cap="flat" cmpd="sng" algn="ctr">
            <a:solidFill>
              <a:schemeClr val="accent1">
                <a:shade val="95000"/>
              </a:schemeClr>
            </a:solidFill>
            <a:round/>
          </a:ln>
          <a:effectLst/>
        </c:spPr>
        <c:marker>
          <c:symbol val="none"/>
        </c:marker>
        <c:dLbl>
          <c:idx val="0"/>
          <c:spPr>
            <a:noFill/>
            <a:ln>
              <a:noFill/>
            </a:ln>
            <a:effectLst/>
          </c:spPr>
          <c:txPr>
            <a:bodyPr rot="0" spcFirstLastPara="1" vertOverflow="ellipsis" vert="horz" wrap="square" anchor="ctr" anchorCtr="1"/>
            <a:lstStyle/>
            <a:p>
              <a:pPr>
                <a:defRPr sz="1000" b="0" i="0" u="none" strike="noStrike" kern="1200" baseline="0">
                  <a:solidFill>
                    <a:schemeClr val="bg1"/>
                  </a:solidFill>
                  <a:latin typeface="Arial" panose="020B0604020202020204" pitchFamily="34" charset="0"/>
                  <a:ea typeface="+mn-ea"/>
                  <a:cs typeface="Arial" panose="020B0604020202020204" pitchFamily="34" charset="0"/>
                </a:defRPr>
              </a:pPr>
              <a:endParaRPr lang="en-US"/>
            </a:p>
          </c:txPr>
          <c:dLblPos val="ctr"/>
          <c:showLegendKey val="0"/>
          <c:showVal val="1"/>
          <c:showCatName val="0"/>
          <c:showSerName val="1"/>
          <c:showPercent val="0"/>
          <c:showBubbleSize val="0"/>
          <c:separator>
</c:separator>
          <c:extLst>
            <c:ext xmlns:c15="http://schemas.microsoft.com/office/drawing/2012/chart" uri="{CE6537A1-D6FC-4f65-9D91-7224C49458BB}"/>
          </c:extLst>
        </c:dLbl>
      </c:pivotFmt>
      <c:pivotFmt>
        <c:idx val="15"/>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ysClr val="windowText" lastClr="000000"/>
                  </a:solidFill>
                  <a:latin typeface="Arial" panose="020B0604020202020204" pitchFamily="34" charset="0"/>
                  <a:ea typeface="+mn-ea"/>
                  <a:cs typeface="Arial" panose="020B0604020202020204" pitchFamily="34" charset="0"/>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7.8086074192202344E-3"/>
          <c:y val="0.11851851851851852"/>
          <c:w val="0.92535410920922645"/>
          <c:h val="0.77688062247514189"/>
        </c:manualLayout>
      </c:layout>
      <c:barChart>
        <c:barDir val="bar"/>
        <c:grouping val="percentStacked"/>
        <c:varyColors val="0"/>
        <c:ser>
          <c:idx val="0"/>
          <c:order val="0"/>
          <c:tx>
            <c:strRef>
              <c:f>Sheet1!$C$5:$C$6</c:f>
              <c:strCache>
                <c:ptCount val="1"/>
                <c:pt idx="0">
                  <c:v>Pending</c:v>
                </c:pt>
              </c:strCache>
            </c:strRef>
          </c:tx>
          <c:spPr>
            <a:solidFill>
              <a:srgbClr val="C00000"/>
            </a:solidFill>
            <a:ln w="9525" cap="flat" cmpd="sng" algn="ctr">
              <a:solidFill>
                <a:schemeClr val="accent1">
                  <a:shade val="95000"/>
                </a:schemeClr>
              </a:solidFill>
              <a:round/>
            </a:ln>
            <a:effectLst/>
          </c:spPr>
          <c:invertIfNegative val="0"/>
          <c:dLbls>
            <c:spPr>
              <a:noFill/>
              <a:ln>
                <a:noFill/>
              </a:ln>
              <a:effectLst/>
            </c:spPr>
            <c:txPr>
              <a:bodyPr rot="0" spcFirstLastPara="1" vertOverflow="ellipsis" vert="horz" wrap="square" anchor="ctr" anchorCtr="1"/>
              <a:lstStyle/>
              <a:p>
                <a:pPr>
                  <a:defRPr sz="1000" b="0" i="0" u="none" strike="noStrike" kern="1200" baseline="0">
                    <a:solidFill>
                      <a:schemeClr val="bg1"/>
                    </a:solidFill>
                    <a:latin typeface="Arial" panose="020B0604020202020204" pitchFamily="34" charset="0"/>
                    <a:ea typeface="+mn-ea"/>
                    <a:cs typeface="Arial" panose="020B0604020202020204" pitchFamily="34" charset="0"/>
                  </a:defRPr>
                </a:pPr>
                <a:endParaRPr lang="en-US"/>
              </a:p>
            </c:txPr>
            <c:dLblPos val="ctr"/>
            <c:showLegendKey val="0"/>
            <c:showVal val="1"/>
            <c:showCatName val="0"/>
            <c:showSerName val="1"/>
            <c:showPercent val="0"/>
            <c:showBubbleSize val="0"/>
            <c:separator>
</c:separator>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Sheet1!$B$7</c:f>
              <c:strCache>
                <c:ptCount val="1"/>
                <c:pt idx="0">
                  <c:v>Total</c:v>
                </c:pt>
              </c:strCache>
            </c:strRef>
          </c:cat>
          <c:val>
            <c:numRef>
              <c:f>Sheet1!$C$7</c:f>
              <c:numCache>
                <c:formatCode>General</c:formatCode>
                <c:ptCount val="1"/>
                <c:pt idx="0">
                  <c:v>4</c:v>
                </c:pt>
              </c:numCache>
            </c:numRef>
          </c:val>
          <c:extLst>
            <c:ext xmlns:c16="http://schemas.microsoft.com/office/drawing/2014/chart" uri="{C3380CC4-5D6E-409C-BE32-E72D297353CC}">
              <c16:uniqueId val="{00000000-70D9-466E-A293-2B4EA2F0354B}"/>
            </c:ext>
          </c:extLst>
        </c:ser>
        <c:ser>
          <c:idx val="1"/>
          <c:order val="1"/>
          <c:tx>
            <c:strRef>
              <c:f>Sheet1!$D$5:$D$6</c:f>
              <c:strCache>
                <c:ptCount val="1"/>
                <c:pt idx="0">
                  <c:v>Sent</c:v>
                </c:pt>
              </c:strCache>
            </c:strRef>
          </c:tx>
          <c:spPr>
            <a:solidFill>
              <a:schemeClr val="accent4">
                <a:lumMod val="60000"/>
                <a:lumOff val="40000"/>
              </a:schemeClr>
            </a:solidFill>
            <a:ln w="9525" cap="flat" cmpd="sng" algn="ctr">
              <a:solidFill>
                <a:schemeClr val="bg1">
                  <a:lumMod val="65000"/>
                </a:schemeClr>
              </a:solidFill>
              <a:round/>
            </a:ln>
            <a:effectLst/>
          </c:spPr>
          <c:invertIfNegative val="0"/>
          <c:dLbls>
            <c:spPr>
              <a:no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Arial" panose="020B0604020202020204" pitchFamily="34" charset="0"/>
                    <a:ea typeface="+mn-ea"/>
                    <a:cs typeface="Arial" panose="020B0604020202020204" pitchFamily="34" charset="0"/>
                  </a:defRPr>
                </a:pPr>
                <a:endParaRPr lang="en-US"/>
              </a:p>
            </c:txPr>
            <c:dLblPos val="ctr"/>
            <c:showLegendKey val="0"/>
            <c:showVal val="1"/>
            <c:showCatName val="0"/>
            <c:showSerName val="1"/>
            <c:showPercent val="0"/>
            <c:showBubbleSize val="0"/>
            <c:separator>
</c:separator>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Sheet1!$B$7</c:f>
              <c:strCache>
                <c:ptCount val="1"/>
                <c:pt idx="0">
                  <c:v>Total</c:v>
                </c:pt>
              </c:strCache>
            </c:strRef>
          </c:cat>
          <c:val>
            <c:numRef>
              <c:f>Sheet1!$D$7</c:f>
              <c:numCache>
                <c:formatCode>General</c:formatCode>
                <c:ptCount val="1"/>
                <c:pt idx="0">
                  <c:v>3</c:v>
                </c:pt>
              </c:numCache>
            </c:numRef>
          </c:val>
          <c:extLst>
            <c:ext xmlns:c16="http://schemas.microsoft.com/office/drawing/2014/chart" uri="{C3380CC4-5D6E-409C-BE32-E72D297353CC}">
              <c16:uniqueId val="{00000004-E188-46BB-AD7B-A9EA49682CEE}"/>
            </c:ext>
          </c:extLst>
        </c:ser>
        <c:ser>
          <c:idx val="2"/>
          <c:order val="2"/>
          <c:tx>
            <c:strRef>
              <c:f>Sheet1!$E$5:$E$6</c:f>
              <c:strCache>
                <c:ptCount val="1"/>
                <c:pt idx="0">
                  <c:v>Delivered</c:v>
                </c:pt>
              </c:strCache>
            </c:strRef>
          </c:tx>
          <c:spPr>
            <a:solidFill>
              <a:srgbClr val="FFFF89"/>
            </a:solidFill>
            <a:ln w="9525" cap="flat" cmpd="sng" algn="ctr">
              <a:solidFill>
                <a:schemeClr val="bg1">
                  <a:lumMod val="65000"/>
                </a:schemeClr>
              </a:solidFill>
              <a:round/>
            </a:ln>
            <a:effectLst/>
          </c:spPr>
          <c:invertIfNegative val="0"/>
          <c:dLbls>
            <c:spPr>
              <a:no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Arial" panose="020B0604020202020204" pitchFamily="34" charset="0"/>
                    <a:ea typeface="+mn-ea"/>
                    <a:cs typeface="Arial" panose="020B0604020202020204" pitchFamily="34" charset="0"/>
                  </a:defRPr>
                </a:pPr>
                <a:endParaRPr lang="en-US"/>
              </a:p>
            </c:txPr>
            <c:dLblPos val="ctr"/>
            <c:showLegendKey val="0"/>
            <c:showVal val="1"/>
            <c:showCatName val="0"/>
            <c:showSerName val="1"/>
            <c:showPercent val="0"/>
            <c:showBubbleSize val="0"/>
            <c:separator>
</c:separator>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Sheet1!$B$7</c:f>
              <c:strCache>
                <c:ptCount val="1"/>
                <c:pt idx="0">
                  <c:v>Total</c:v>
                </c:pt>
              </c:strCache>
            </c:strRef>
          </c:cat>
          <c:val>
            <c:numRef>
              <c:f>Sheet1!$E$7</c:f>
              <c:numCache>
                <c:formatCode>General</c:formatCode>
                <c:ptCount val="1"/>
                <c:pt idx="0">
                  <c:v>5</c:v>
                </c:pt>
              </c:numCache>
            </c:numRef>
          </c:val>
          <c:extLst>
            <c:ext xmlns:c16="http://schemas.microsoft.com/office/drawing/2014/chart" uri="{C3380CC4-5D6E-409C-BE32-E72D297353CC}">
              <c16:uniqueId val="{00000009-E188-46BB-AD7B-A9EA49682CEE}"/>
            </c:ext>
          </c:extLst>
        </c:ser>
        <c:ser>
          <c:idx val="3"/>
          <c:order val="3"/>
          <c:tx>
            <c:strRef>
              <c:f>Sheet1!$F$5:$F$6</c:f>
              <c:strCache>
                <c:ptCount val="1"/>
                <c:pt idx="0">
                  <c:v>Opened</c:v>
                </c:pt>
              </c:strCache>
            </c:strRef>
          </c:tx>
          <c:spPr>
            <a:solidFill>
              <a:srgbClr val="8FCFAD"/>
            </a:solidFill>
            <a:ln w="9525" cap="flat" cmpd="sng" algn="ctr">
              <a:solidFill>
                <a:schemeClr val="bg1">
                  <a:lumMod val="65000"/>
                </a:schemeClr>
              </a:solidFill>
              <a:round/>
            </a:ln>
            <a:effectLst/>
          </c:spPr>
          <c:invertIfNegative val="0"/>
          <c:dLbls>
            <c:spPr>
              <a:no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Arial" panose="020B0604020202020204" pitchFamily="34" charset="0"/>
                    <a:ea typeface="+mn-ea"/>
                    <a:cs typeface="Arial" panose="020B0604020202020204" pitchFamily="34" charset="0"/>
                  </a:defRPr>
                </a:pPr>
                <a:endParaRPr lang="en-US"/>
              </a:p>
            </c:txPr>
            <c:dLblPos val="ctr"/>
            <c:showLegendKey val="0"/>
            <c:showVal val="1"/>
            <c:showCatName val="0"/>
            <c:showSerName val="1"/>
            <c:showPercent val="0"/>
            <c:showBubbleSize val="0"/>
            <c:separator>
</c:separator>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Sheet1!$B$7</c:f>
              <c:strCache>
                <c:ptCount val="1"/>
                <c:pt idx="0">
                  <c:v>Total</c:v>
                </c:pt>
              </c:strCache>
            </c:strRef>
          </c:cat>
          <c:val>
            <c:numRef>
              <c:f>Sheet1!$F$7</c:f>
              <c:numCache>
                <c:formatCode>General</c:formatCode>
                <c:ptCount val="1"/>
                <c:pt idx="0">
                  <c:v>5</c:v>
                </c:pt>
              </c:numCache>
            </c:numRef>
          </c:val>
          <c:extLst>
            <c:ext xmlns:c16="http://schemas.microsoft.com/office/drawing/2014/chart" uri="{C3380CC4-5D6E-409C-BE32-E72D297353CC}">
              <c16:uniqueId val="{0000000A-E188-46BB-AD7B-A9EA49682CEE}"/>
            </c:ext>
          </c:extLst>
        </c:ser>
        <c:ser>
          <c:idx val="4"/>
          <c:order val="4"/>
          <c:tx>
            <c:strRef>
              <c:f>Sheet1!$G$5:$G$6</c:f>
              <c:strCache>
                <c:ptCount val="1"/>
                <c:pt idx="0">
                  <c:v>Clicked</c:v>
                </c:pt>
              </c:strCache>
            </c:strRef>
          </c:tx>
          <c:spPr>
            <a:solidFill>
              <a:srgbClr val="50B47F"/>
            </a:solidFill>
            <a:ln w="9525" cap="flat" cmpd="sng" algn="ctr">
              <a:solidFill>
                <a:schemeClr val="accent5">
                  <a:shade val="95000"/>
                </a:schemeClr>
              </a:solidFill>
              <a:round/>
            </a:ln>
            <a:effectLst/>
          </c:spPr>
          <c:invertIfNegative val="0"/>
          <c:dLbls>
            <c:spPr>
              <a:noFill/>
              <a:ln>
                <a:noFill/>
              </a:ln>
              <a:effectLst/>
            </c:spPr>
            <c:txPr>
              <a:bodyPr rot="0" spcFirstLastPara="1" vertOverflow="ellipsis" vert="horz" wrap="square" anchor="ctr" anchorCtr="1"/>
              <a:lstStyle/>
              <a:p>
                <a:pPr>
                  <a:defRPr sz="1000" b="0" i="0" u="none" strike="noStrike" kern="1200" baseline="0">
                    <a:solidFill>
                      <a:schemeClr val="bg1"/>
                    </a:solidFill>
                    <a:latin typeface="Arial" panose="020B0604020202020204" pitchFamily="34" charset="0"/>
                    <a:ea typeface="+mn-ea"/>
                    <a:cs typeface="Arial" panose="020B0604020202020204" pitchFamily="34" charset="0"/>
                  </a:defRPr>
                </a:pPr>
                <a:endParaRPr lang="en-US"/>
              </a:p>
            </c:txPr>
            <c:dLblPos val="ctr"/>
            <c:showLegendKey val="0"/>
            <c:showVal val="1"/>
            <c:showCatName val="0"/>
            <c:showSerName val="1"/>
            <c:showPercent val="0"/>
            <c:showBubbleSize val="0"/>
            <c:separator>
</c:separator>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Sheet1!$B$7</c:f>
              <c:strCache>
                <c:ptCount val="1"/>
                <c:pt idx="0">
                  <c:v>Total</c:v>
                </c:pt>
              </c:strCache>
            </c:strRef>
          </c:cat>
          <c:val>
            <c:numRef>
              <c:f>Sheet1!$G$7</c:f>
              <c:numCache>
                <c:formatCode>General</c:formatCode>
                <c:ptCount val="1"/>
                <c:pt idx="0">
                  <c:v>4</c:v>
                </c:pt>
              </c:numCache>
            </c:numRef>
          </c:val>
          <c:extLst>
            <c:ext xmlns:c16="http://schemas.microsoft.com/office/drawing/2014/chart" uri="{C3380CC4-5D6E-409C-BE32-E72D297353CC}">
              <c16:uniqueId val="{0000000B-E188-46BB-AD7B-A9EA49682CEE}"/>
            </c:ext>
          </c:extLst>
        </c:ser>
        <c:dLbls>
          <c:dLblPos val="ctr"/>
          <c:showLegendKey val="0"/>
          <c:showVal val="1"/>
          <c:showCatName val="0"/>
          <c:showSerName val="0"/>
          <c:showPercent val="0"/>
          <c:showBubbleSize val="0"/>
        </c:dLbls>
        <c:gapWidth val="26"/>
        <c:overlap val="67"/>
        <c:axId val="964328672"/>
        <c:axId val="1630603744"/>
      </c:barChart>
      <c:catAx>
        <c:axId val="964328672"/>
        <c:scaling>
          <c:orientation val="minMax"/>
        </c:scaling>
        <c:delete val="1"/>
        <c:axPos val="l"/>
        <c:numFmt formatCode="General" sourceLinked="1"/>
        <c:majorTickMark val="none"/>
        <c:minorTickMark val="none"/>
        <c:tickLblPos val="nextTo"/>
        <c:crossAx val="1630603744"/>
        <c:crosses val="autoZero"/>
        <c:auto val="1"/>
        <c:lblAlgn val="ctr"/>
        <c:lblOffset val="100"/>
        <c:noMultiLvlLbl val="0"/>
      </c:catAx>
      <c:valAx>
        <c:axId val="1630603744"/>
        <c:scaling>
          <c:orientation val="minMax"/>
        </c:scaling>
        <c:delete val="0"/>
        <c:axPos val="b"/>
        <c:majorGridlines>
          <c:spPr>
            <a:ln w="9525" cap="flat" cmpd="sng" algn="ctr">
              <a:solidFill>
                <a:schemeClr val="tx1">
                  <a:lumMod val="15000"/>
                  <a:lumOff val="85000"/>
                </a:schemeClr>
              </a:solidFill>
              <a:round/>
            </a:ln>
            <a:effectLst/>
          </c:spPr>
        </c:majorGridlines>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1000" b="0" i="0" u="none" strike="noStrike" kern="1200" baseline="0">
                <a:solidFill>
                  <a:sysClr val="windowText" lastClr="000000"/>
                </a:solidFill>
                <a:latin typeface="Arial" panose="020B0604020202020204" pitchFamily="34" charset="0"/>
                <a:ea typeface="+mn-ea"/>
                <a:cs typeface="Arial" panose="020B0604020202020204" pitchFamily="34" charset="0"/>
              </a:defRPr>
            </a:pPr>
            <a:endParaRPr lang="en-US"/>
          </a:p>
        </c:txPr>
        <c:crossAx val="96432867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sz="1000">
          <a:solidFill>
            <a:sysClr val="windowText" lastClr="000000"/>
          </a:solidFill>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8"/>
    </mc:Choice>
    <mc:Fallback>
      <c:style val="8"/>
    </mc:Fallback>
  </mc:AlternateContent>
  <c:pivotSource>
    <c:name>[Email Marketing Planning.xlsm]Sheet1!Campaign name</c:name>
    <c:fmtId val="2"/>
  </c:pivotSource>
  <c:chart>
    <c:autoTitleDeleted val="1"/>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pivotFmt>
      <c:pivotFmt>
        <c:idx val="3"/>
      </c:pivotFmt>
      <c:pivotFmt>
        <c:idx val="4"/>
      </c:pivotFmt>
      <c:pivotFmt>
        <c:idx val="5"/>
      </c:pivotFmt>
      <c:pivotFmt>
        <c:idx val="6"/>
        <c:spPr>
          <a:gradFill rotWithShape="1">
            <a:gsLst>
              <a:gs pos="0">
                <a:schemeClr val="accent6">
                  <a:lumMod val="110000"/>
                  <a:satMod val="105000"/>
                  <a:tint val="67000"/>
                </a:schemeClr>
              </a:gs>
              <a:gs pos="50000">
                <a:schemeClr val="accent6">
                  <a:lumMod val="105000"/>
                  <a:satMod val="103000"/>
                  <a:tint val="73000"/>
                </a:schemeClr>
              </a:gs>
              <a:gs pos="100000">
                <a:schemeClr val="accent6">
                  <a:lumMod val="105000"/>
                  <a:satMod val="109000"/>
                  <a:tint val="81000"/>
                </a:schemeClr>
              </a:gs>
            </a:gsLst>
            <a:lin ang="5400000" scaled="0"/>
          </a:gradFill>
          <a:ln w="9525" cap="flat" cmpd="sng" algn="ctr">
            <a:solidFill>
              <a:schemeClr val="accent6">
                <a:shade val="95000"/>
              </a:schemeClr>
            </a:solidFill>
            <a:round/>
          </a:ln>
          <a:effectLst/>
        </c:spPr>
        <c:marker>
          <c:symbol val="none"/>
        </c:marker>
        <c:dLbl>
          <c:idx val="0"/>
          <c:spPr>
            <a:noFill/>
            <a:ln>
              <a:noFill/>
            </a:ln>
            <a:effectLst/>
          </c:spPr>
          <c:txPr>
            <a:bodyPr rot="0" spcFirstLastPara="1" vertOverflow="clip" horzOverflow="clip" vert="horz" wrap="none" lIns="38100" tIns="19050" rIns="38100" bIns="19050" anchor="ctr" anchorCtr="1">
              <a:spAutoFit/>
            </a:bodyPr>
            <a:lstStyle/>
            <a:p>
              <a:pPr>
                <a:defRPr sz="1000" b="0" i="0" u="none" strike="noStrike" kern="1200" baseline="0">
                  <a:solidFill>
                    <a:schemeClr val="dk1">
                      <a:lumMod val="65000"/>
                      <a:lumOff val="35000"/>
                    </a:schemeClr>
                  </a:solidFill>
                  <a:latin typeface="Arial" panose="020B0604020202020204" pitchFamily="34" charset="0"/>
                  <a:ea typeface="+mn-ea"/>
                  <a:cs typeface="Arial" panose="020B0604020202020204" pitchFamily="34" charset="0"/>
                </a:defRPr>
              </a:pPr>
              <a:endParaRPr lang="en-US"/>
            </a:p>
          </c:txPr>
          <c:dLblPos val="inEnd"/>
          <c:showLegendKey val="0"/>
          <c:showVal val="0"/>
          <c:showCatName val="1"/>
          <c:showSerName val="0"/>
          <c:showPercent val="1"/>
          <c:showBubbleSize val="0"/>
          <c:separator>
</c:separator>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7"/>
        <c:spPr>
          <a:gradFill rotWithShape="1">
            <a:gsLst>
              <a:gs pos="0">
                <a:schemeClr val="accent6">
                  <a:shade val="58000"/>
                  <a:lumMod val="110000"/>
                  <a:satMod val="105000"/>
                  <a:tint val="67000"/>
                </a:schemeClr>
              </a:gs>
              <a:gs pos="50000">
                <a:schemeClr val="accent6">
                  <a:shade val="58000"/>
                  <a:lumMod val="105000"/>
                  <a:satMod val="103000"/>
                  <a:tint val="73000"/>
                </a:schemeClr>
              </a:gs>
              <a:gs pos="100000">
                <a:schemeClr val="accent6">
                  <a:shade val="58000"/>
                  <a:lumMod val="105000"/>
                  <a:satMod val="109000"/>
                  <a:tint val="81000"/>
                </a:schemeClr>
              </a:gs>
            </a:gsLst>
            <a:lin ang="5400000" scaled="0"/>
          </a:gradFill>
          <a:ln w="9525" cap="flat" cmpd="sng" algn="ctr">
            <a:solidFill>
              <a:schemeClr val="accent6">
                <a:shade val="58000"/>
                <a:shade val="95000"/>
              </a:schemeClr>
            </a:solidFill>
            <a:round/>
          </a:ln>
          <a:effectLst/>
        </c:spPr>
      </c:pivotFmt>
      <c:pivotFmt>
        <c:idx val="8"/>
        <c:spPr>
          <a:gradFill rotWithShape="1">
            <a:gsLst>
              <a:gs pos="0">
                <a:schemeClr val="accent6">
                  <a:shade val="86000"/>
                  <a:lumMod val="110000"/>
                  <a:satMod val="105000"/>
                  <a:tint val="67000"/>
                </a:schemeClr>
              </a:gs>
              <a:gs pos="50000">
                <a:schemeClr val="accent6">
                  <a:shade val="86000"/>
                  <a:lumMod val="105000"/>
                  <a:satMod val="103000"/>
                  <a:tint val="73000"/>
                </a:schemeClr>
              </a:gs>
              <a:gs pos="100000">
                <a:schemeClr val="accent6">
                  <a:shade val="86000"/>
                  <a:lumMod val="105000"/>
                  <a:satMod val="109000"/>
                  <a:tint val="81000"/>
                </a:schemeClr>
              </a:gs>
            </a:gsLst>
            <a:lin ang="5400000" scaled="0"/>
          </a:gradFill>
          <a:ln w="9525" cap="flat" cmpd="sng" algn="ctr">
            <a:solidFill>
              <a:schemeClr val="accent6">
                <a:shade val="86000"/>
                <a:shade val="95000"/>
              </a:schemeClr>
            </a:solidFill>
            <a:round/>
          </a:ln>
          <a:effectLst/>
        </c:spPr>
      </c:pivotFmt>
      <c:pivotFmt>
        <c:idx val="9"/>
        <c:spPr>
          <a:gradFill rotWithShape="1">
            <a:gsLst>
              <a:gs pos="0">
                <a:schemeClr val="accent6">
                  <a:tint val="86000"/>
                  <a:lumMod val="110000"/>
                  <a:satMod val="105000"/>
                  <a:tint val="67000"/>
                </a:schemeClr>
              </a:gs>
              <a:gs pos="50000">
                <a:schemeClr val="accent6">
                  <a:tint val="86000"/>
                  <a:lumMod val="105000"/>
                  <a:satMod val="103000"/>
                  <a:tint val="73000"/>
                </a:schemeClr>
              </a:gs>
              <a:gs pos="100000">
                <a:schemeClr val="accent6">
                  <a:tint val="86000"/>
                  <a:lumMod val="105000"/>
                  <a:satMod val="109000"/>
                  <a:tint val="81000"/>
                </a:schemeClr>
              </a:gs>
            </a:gsLst>
            <a:lin ang="5400000" scaled="0"/>
          </a:gradFill>
          <a:ln w="9525" cap="flat" cmpd="sng" algn="ctr">
            <a:solidFill>
              <a:schemeClr val="accent6">
                <a:tint val="86000"/>
                <a:shade val="95000"/>
              </a:schemeClr>
            </a:solidFill>
            <a:round/>
          </a:ln>
          <a:effectLst/>
        </c:spPr>
      </c:pivotFmt>
      <c:pivotFmt>
        <c:idx val="10"/>
        <c:spPr>
          <a:gradFill rotWithShape="1">
            <a:gsLst>
              <a:gs pos="0">
                <a:schemeClr val="accent6">
                  <a:tint val="58000"/>
                  <a:lumMod val="110000"/>
                  <a:satMod val="105000"/>
                  <a:tint val="67000"/>
                </a:schemeClr>
              </a:gs>
              <a:gs pos="50000">
                <a:schemeClr val="accent6">
                  <a:tint val="58000"/>
                  <a:lumMod val="105000"/>
                  <a:satMod val="103000"/>
                  <a:tint val="73000"/>
                </a:schemeClr>
              </a:gs>
              <a:gs pos="100000">
                <a:schemeClr val="accent6">
                  <a:tint val="58000"/>
                  <a:lumMod val="105000"/>
                  <a:satMod val="109000"/>
                  <a:tint val="81000"/>
                </a:schemeClr>
              </a:gs>
            </a:gsLst>
            <a:lin ang="5400000" scaled="0"/>
          </a:gradFill>
          <a:ln w="9525" cap="flat" cmpd="sng" algn="ctr">
            <a:solidFill>
              <a:schemeClr val="accent6">
                <a:tint val="58000"/>
                <a:shade val="95000"/>
              </a:schemeClr>
            </a:solidFill>
            <a:round/>
          </a:ln>
          <a:effectLst/>
        </c:spPr>
      </c:pivotFmt>
      <c:pivotFmt>
        <c:idx val="11"/>
        <c:spPr>
          <a:gradFill rotWithShape="1">
            <a:gsLst>
              <a:gs pos="0">
                <a:schemeClr val="accent6">
                  <a:shade val="50000"/>
                  <a:lumMod val="110000"/>
                  <a:satMod val="105000"/>
                  <a:tint val="67000"/>
                </a:schemeClr>
              </a:gs>
              <a:gs pos="50000">
                <a:schemeClr val="accent6">
                  <a:shade val="50000"/>
                  <a:lumMod val="105000"/>
                  <a:satMod val="103000"/>
                  <a:tint val="73000"/>
                </a:schemeClr>
              </a:gs>
              <a:gs pos="100000">
                <a:schemeClr val="accent6">
                  <a:shade val="50000"/>
                  <a:lumMod val="105000"/>
                  <a:satMod val="109000"/>
                  <a:tint val="81000"/>
                </a:schemeClr>
              </a:gs>
            </a:gsLst>
            <a:lin ang="5400000" scaled="0"/>
          </a:gradFill>
          <a:ln w="9525" cap="flat" cmpd="sng" algn="ctr">
            <a:solidFill>
              <a:schemeClr val="accent6">
                <a:shade val="50000"/>
                <a:shade val="95000"/>
              </a:schemeClr>
            </a:solidFill>
            <a:round/>
          </a:ln>
          <a:effectLst/>
        </c:spPr>
      </c:pivotFmt>
      <c:pivotFmt>
        <c:idx val="12"/>
        <c:spPr>
          <a:gradFill rotWithShape="1">
            <a:gsLst>
              <a:gs pos="0">
                <a:schemeClr val="accent6">
                  <a:shade val="70000"/>
                  <a:lumMod val="110000"/>
                  <a:satMod val="105000"/>
                  <a:tint val="67000"/>
                </a:schemeClr>
              </a:gs>
              <a:gs pos="50000">
                <a:schemeClr val="accent6">
                  <a:shade val="70000"/>
                  <a:lumMod val="105000"/>
                  <a:satMod val="103000"/>
                  <a:tint val="73000"/>
                </a:schemeClr>
              </a:gs>
              <a:gs pos="100000">
                <a:schemeClr val="accent6">
                  <a:shade val="70000"/>
                  <a:lumMod val="105000"/>
                  <a:satMod val="109000"/>
                  <a:tint val="81000"/>
                </a:schemeClr>
              </a:gs>
            </a:gsLst>
            <a:lin ang="5400000" scaled="0"/>
          </a:gradFill>
          <a:ln w="9525" cap="flat" cmpd="sng" algn="ctr">
            <a:solidFill>
              <a:schemeClr val="accent6">
                <a:shade val="70000"/>
                <a:shade val="95000"/>
              </a:schemeClr>
            </a:solidFill>
            <a:round/>
          </a:ln>
          <a:effectLst/>
        </c:spPr>
      </c:pivotFmt>
      <c:pivotFmt>
        <c:idx val="13"/>
        <c:spPr>
          <a:gradFill rotWithShape="1">
            <a:gsLst>
              <a:gs pos="0">
                <a:schemeClr val="accent6">
                  <a:shade val="90000"/>
                  <a:lumMod val="110000"/>
                  <a:satMod val="105000"/>
                  <a:tint val="67000"/>
                </a:schemeClr>
              </a:gs>
              <a:gs pos="50000">
                <a:schemeClr val="accent6">
                  <a:shade val="90000"/>
                  <a:lumMod val="105000"/>
                  <a:satMod val="103000"/>
                  <a:tint val="73000"/>
                </a:schemeClr>
              </a:gs>
              <a:gs pos="100000">
                <a:schemeClr val="accent6">
                  <a:shade val="90000"/>
                  <a:lumMod val="105000"/>
                  <a:satMod val="109000"/>
                  <a:tint val="81000"/>
                </a:schemeClr>
              </a:gs>
            </a:gsLst>
            <a:lin ang="5400000" scaled="0"/>
          </a:gradFill>
          <a:ln w="9525" cap="flat" cmpd="sng" algn="ctr">
            <a:solidFill>
              <a:schemeClr val="accent6">
                <a:shade val="90000"/>
                <a:shade val="95000"/>
              </a:schemeClr>
            </a:solidFill>
            <a:round/>
          </a:ln>
          <a:effectLst/>
        </c:spPr>
      </c:pivotFmt>
      <c:pivotFmt>
        <c:idx val="14"/>
        <c:spPr>
          <a:gradFill rotWithShape="1">
            <a:gsLst>
              <a:gs pos="0">
                <a:schemeClr val="accent6">
                  <a:lumMod val="110000"/>
                  <a:satMod val="105000"/>
                  <a:tint val="67000"/>
                </a:schemeClr>
              </a:gs>
              <a:gs pos="50000">
                <a:schemeClr val="accent6">
                  <a:lumMod val="105000"/>
                  <a:satMod val="103000"/>
                  <a:tint val="73000"/>
                </a:schemeClr>
              </a:gs>
              <a:gs pos="100000">
                <a:schemeClr val="accent6">
                  <a:lumMod val="105000"/>
                  <a:satMod val="109000"/>
                  <a:tint val="81000"/>
                </a:schemeClr>
              </a:gs>
            </a:gsLst>
            <a:lin ang="5400000" scaled="0"/>
          </a:gradFill>
          <a:ln w="9525" cap="flat" cmpd="sng" algn="ctr">
            <a:solidFill>
              <a:schemeClr val="accent6">
                <a:shade val="95000"/>
              </a:schemeClr>
            </a:solidFill>
            <a:round/>
          </a:ln>
          <a:effectLst/>
        </c:spPr>
      </c:pivotFmt>
      <c:pivotFmt>
        <c:idx val="15"/>
        <c:spPr>
          <a:gradFill rotWithShape="1">
            <a:gsLst>
              <a:gs pos="0">
                <a:schemeClr val="accent6">
                  <a:tint val="70000"/>
                  <a:lumMod val="110000"/>
                  <a:satMod val="105000"/>
                  <a:tint val="67000"/>
                </a:schemeClr>
              </a:gs>
              <a:gs pos="50000">
                <a:schemeClr val="accent6">
                  <a:tint val="70000"/>
                  <a:lumMod val="105000"/>
                  <a:satMod val="103000"/>
                  <a:tint val="73000"/>
                </a:schemeClr>
              </a:gs>
              <a:gs pos="100000">
                <a:schemeClr val="accent6">
                  <a:tint val="70000"/>
                  <a:lumMod val="105000"/>
                  <a:satMod val="109000"/>
                  <a:tint val="81000"/>
                </a:schemeClr>
              </a:gs>
            </a:gsLst>
            <a:lin ang="5400000" scaled="0"/>
          </a:gradFill>
          <a:ln w="9525" cap="flat" cmpd="sng" algn="ctr">
            <a:solidFill>
              <a:schemeClr val="accent6">
                <a:tint val="70000"/>
                <a:shade val="95000"/>
              </a:schemeClr>
            </a:solidFill>
            <a:round/>
          </a:ln>
          <a:effectLst/>
        </c:spPr>
      </c:pivotFmt>
      <c:pivotFmt>
        <c:idx val="16"/>
        <c:spPr>
          <a:gradFill rotWithShape="1">
            <a:gsLst>
              <a:gs pos="0">
                <a:schemeClr val="accent6">
                  <a:lumMod val="110000"/>
                  <a:satMod val="105000"/>
                  <a:tint val="67000"/>
                </a:schemeClr>
              </a:gs>
              <a:gs pos="50000">
                <a:schemeClr val="accent6">
                  <a:lumMod val="105000"/>
                  <a:satMod val="103000"/>
                  <a:tint val="73000"/>
                </a:schemeClr>
              </a:gs>
              <a:gs pos="100000">
                <a:schemeClr val="accent6">
                  <a:lumMod val="105000"/>
                  <a:satMod val="109000"/>
                  <a:tint val="81000"/>
                </a:schemeClr>
              </a:gs>
            </a:gsLst>
            <a:lin ang="5400000" scaled="0"/>
          </a:gradFill>
          <a:ln w="9525" cap="flat" cmpd="sng" algn="ctr">
            <a:solidFill>
              <a:schemeClr val="accent6">
                <a:shade val="95000"/>
              </a:schemeClr>
            </a:solidFill>
            <a:round/>
          </a:ln>
          <a:effectLst/>
        </c:spPr>
      </c:pivotFmt>
    </c:pivotFmts>
    <c:plotArea>
      <c:layout>
        <c:manualLayout>
          <c:layoutTarget val="inner"/>
          <c:xMode val="edge"/>
          <c:yMode val="edge"/>
          <c:x val="2.4132718550744742E-2"/>
          <c:y val="9.6275887530589792E-3"/>
          <c:w val="0.91958199091127624"/>
          <c:h val="0.96504634430387837"/>
        </c:manualLayout>
      </c:layout>
      <c:pieChart>
        <c:varyColors val="1"/>
        <c:ser>
          <c:idx val="0"/>
          <c:order val="0"/>
          <c:tx>
            <c:strRef>
              <c:f>Sheet1!$K$6</c:f>
              <c:strCache>
                <c:ptCount val="1"/>
                <c:pt idx="0">
                  <c:v>Total</c:v>
                </c:pt>
              </c:strCache>
            </c:strRef>
          </c:tx>
          <c:dPt>
            <c:idx val="0"/>
            <c:bubble3D val="0"/>
            <c:spPr>
              <a:gradFill rotWithShape="1">
                <a:gsLst>
                  <a:gs pos="0">
                    <a:schemeClr val="accent6">
                      <a:shade val="50000"/>
                      <a:lumMod val="110000"/>
                      <a:satMod val="105000"/>
                      <a:tint val="67000"/>
                    </a:schemeClr>
                  </a:gs>
                  <a:gs pos="50000">
                    <a:schemeClr val="accent6">
                      <a:shade val="50000"/>
                      <a:lumMod val="105000"/>
                      <a:satMod val="103000"/>
                      <a:tint val="73000"/>
                    </a:schemeClr>
                  </a:gs>
                  <a:gs pos="100000">
                    <a:schemeClr val="accent6">
                      <a:shade val="50000"/>
                      <a:lumMod val="105000"/>
                      <a:satMod val="109000"/>
                      <a:tint val="81000"/>
                    </a:schemeClr>
                  </a:gs>
                </a:gsLst>
                <a:lin ang="5400000" scaled="0"/>
              </a:gradFill>
              <a:ln w="9525" cap="flat" cmpd="sng" algn="ctr">
                <a:solidFill>
                  <a:schemeClr val="accent6">
                    <a:shade val="50000"/>
                    <a:shade val="95000"/>
                  </a:schemeClr>
                </a:solidFill>
                <a:round/>
              </a:ln>
              <a:effectLst/>
            </c:spPr>
            <c:extLst>
              <c:ext xmlns:c16="http://schemas.microsoft.com/office/drawing/2014/chart" uri="{C3380CC4-5D6E-409C-BE32-E72D297353CC}">
                <c16:uniqueId val="{00000001-D395-4EDF-8472-8D9351FF4ABD}"/>
              </c:ext>
            </c:extLst>
          </c:dPt>
          <c:dPt>
            <c:idx val="1"/>
            <c:bubble3D val="0"/>
            <c:spPr>
              <a:gradFill rotWithShape="1">
                <a:gsLst>
                  <a:gs pos="0">
                    <a:schemeClr val="accent6">
                      <a:shade val="70000"/>
                      <a:lumMod val="110000"/>
                      <a:satMod val="105000"/>
                      <a:tint val="67000"/>
                    </a:schemeClr>
                  </a:gs>
                  <a:gs pos="50000">
                    <a:schemeClr val="accent6">
                      <a:shade val="70000"/>
                      <a:lumMod val="105000"/>
                      <a:satMod val="103000"/>
                      <a:tint val="73000"/>
                    </a:schemeClr>
                  </a:gs>
                  <a:gs pos="100000">
                    <a:schemeClr val="accent6">
                      <a:shade val="70000"/>
                      <a:lumMod val="105000"/>
                      <a:satMod val="109000"/>
                      <a:tint val="81000"/>
                    </a:schemeClr>
                  </a:gs>
                </a:gsLst>
                <a:lin ang="5400000" scaled="0"/>
              </a:gradFill>
              <a:ln w="9525" cap="flat" cmpd="sng" algn="ctr">
                <a:solidFill>
                  <a:schemeClr val="accent6">
                    <a:shade val="70000"/>
                    <a:shade val="95000"/>
                  </a:schemeClr>
                </a:solidFill>
                <a:round/>
              </a:ln>
              <a:effectLst/>
            </c:spPr>
            <c:extLst>
              <c:ext xmlns:c16="http://schemas.microsoft.com/office/drawing/2014/chart" uri="{C3380CC4-5D6E-409C-BE32-E72D297353CC}">
                <c16:uniqueId val="{00000003-D395-4EDF-8472-8D9351FF4ABD}"/>
              </c:ext>
            </c:extLst>
          </c:dPt>
          <c:dPt>
            <c:idx val="2"/>
            <c:bubble3D val="0"/>
            <c:spPr>
              <a:gradFill rotWithShape="1">
                <a:gsLst>
                  <a:gs pos="0">
                    <a:schemeClr val="accent6">
                      <a:shade val="90000"/>
                      <a:lumMod val="110000"/>
                      <a:satMod val="105000"/>
                      <a:tint val="67000"/>
                    </a:schemeClr>
                  </a:gs>
                  <a:gs pos="50000">
                    <a:schemeClr val="accent6">
                      <a:shade val="90000"/>
                      <a:lumMod val="105000"/>
                      <a:satMod val="103000"/>
                      <a:tint val="73000"/>
                    </a:schemeClr>
                  </a:gs>
                  <a:gs pos="100000">
                    <a:schemeClr val="accent6">
                      <a:shade val="90000"/>
                      <a:lumMod val="105000"/>
                      <a:satMod val="109000"/>
                      <a:tint val="81000"/>
                    </a:schemeClr>
                  </a:gs>
                </a:gsLst>
                <a:lin ang="5400000" scaled="0"/>
              </a:gradFill>
              <a:ln w="9525" cap="flat" cmpd="sng" algn="ctr">
                <a:solidFill>
                  <a:schemeClr val="accent6">
                    <a:shade val="90000"/>
                    <a:shade val="95000"/>
                  </a:schemeClr>
                </a:solidFill>
                <a:round/>
              </a:ln>
              <a:effectLst/>
            </c:spPr>
            <c:extLst>
              <c:ext xmlns:c16="http://schemas.microsoft.com/office/drawing/2014/chart" uri="{C3380CC4-5D6E-409C-BE32-E72D297353CC}">
                <c16:uniqueId val="{00000005-D395-4EDF-8472-8D9351FF4ABD}"/>
              </c:ext>
            </c:extLst>
          </c:dPt>
          <c:dPt>
            <c:idx val="3"/>
            <c:bubble3D val="0"/>
            <c:spPr>
              <a:gradFill rotWithShape="1">
                <a:gsLst>
                  <a:gs pos="0">
                    <a:schemeClr val="accent6">
                      <a:tint val="90000"/>
                      <a:lumMod val="110000"/>
                      <a:satMod val="105000"/>
                      <a:tint val="67000"/>
                    </a:schemeClr>
                  </a:gs>
                  <a:gs pos="50000">
                    <a:schemeClr val="accent6">
                      <a:tint val="90000"/>
                      <a:lumMod val="105000"/>
                      <a:satMod val="103000"/>
                      <a:tint val="73000"/>
                    </a:schemeClr>
                  </a:gs>
                  <a:gs pos="100000">
                    <a:schemeClr val="accent6">
                      <a:tint val="90000"/>
                      <a:lumMod val="105000"/>
                      <a:satMod val="109000"/>
                      <a:tint val="81000"/>
                    </a:schemeClr>
                  </a:gs>
                </a:gsLst>
                <a:lin ang="5400000" scaled="0"/>
              </a:gradFill>
              <a:ln w="9525" cap="flat" cmpd="sng" algn="ctr">
                <a:solidFill>
                  <a:schemeClr val="accent6">
                    <a:tint val="90000"/>
                    <a:shade val="95000"/>
                  </a:schemeClr>
                </a:solidFill>
                <a:round/>
              </a:ln>
              <a:effectLst/>
            </c:spPr>
            <c:extLst>
              <c:ext xmlns:c16="http://schemas.microsoft.com/office/drawing/2014/chart" uri="{C3380CC4-5D6E-409C-BE32-E72D297353CC}">
                <c16:uniqueId val="{00000007-D395-4EDF-8472-8D9351FF4ABD}"/>
              </c:ext>
            </c:extLst>
          </c:dPt>
          <c:dPt>
            <c:idx val="4"/>
            <c:bubble3D val="0"/>
            <c:spPr>
              <a:gradFill rotWithShape="1">
                <a:gsLst>
                  <a:gs pos="0">
                    <a:schemeClr val="accent6">
                      <a:tint val="70000"/>
                      <a:lumMod val="110000"/>
                      <a:satMod val="105000"/>
                      <a:tint val="67000"/>
                    </a:schemeClr>
                  </a:gs>
                  <a:gs pos="50000">
                    <a:schemeClr val="accent6">
                      <a:tint val="70000"/>
                      <a:lumMod val="105000"/>
                      <a:satMod val="103000"/>
                      <a:tint val="73000"/>
                    </a:schemeClr>
                  </a:gs>
                  <a:gs pos="100000">
                    <a:schemeClr val="accent6">
                      <a:tint val="70000"/>
                      <a:lumMod val="105000"/>
                      <a:satMod val="109000"/>
                      <a:tint val="81000"/>
                    </a:schemeClr>
                  </a:gs>
                </a:gsLst>
                <a:lin ang="5400000" scaled="0"/>
              </a:gradFill>
              <a:ln w="9525" cap="flat" cmpd="sng" algn="ctr">
                <a:solidFill>
                  <a:schemeClr val="accent6">
                    <a:tint val="70000"/>
                    <a:shade val="95000"/>
                  </a:schemeClr>
                </a:solidFill>
                <a:round/>
              </a:ln>
              <a:effectLst/>
            </c:spPr>
            <c:extLst>
              <c:ext xmlns:c16="http://schemas.microsoft.com/office/drawing/2014/chart" uri="{C3380CC4-5D6E-409C-BE32-E72D297353CC}">
                <c16:uniqueId val="{00000009-B16D-428E-9E1F-015275D1D063}"/>
              </c:ext>
            </c:extLst>
          </c:dPt>
          <c:dPt>
            <c:idx val="5"/>
            <c:bubble3D val="0"/>
            <c:spPr>
              <a:gradFill rotWithShape="1">
                <a:gsLst>
                  <a:gs pos="0">
                    <a:schemeClr val="accent6">
                      <a:tint val="50000"/>
                      <a:lumMod val="110000"/>
                      <a:satMod val="105000"/>
                      <a:tint val="67000"/>
                    </a:schemeClr>
                  </a:gs>
                  <a:gs pos="50000">
                    <a:schemeClr val="accent6">
                      <a:tint val="50000"/>
                      <a:lumMod val="105000"/>
                      <a:satMod val="103000"/>
                      <a:tint val="73000"/>
                    </a:schemeClr>
                  </a:gs>
                  <a:gs pos="100000">
                    <a:schemeClr val="accent6">
                      <a:tint val="50000"/>
                      <a:lumMod val="105000"/>
                      <a:satMod val="109000"/>
                      <a:tint val="81000"/>
                    </a:schemeClr>
                  </a:gs>
                </a:gsLst>
                <a:lin ang="5400000" scaled="0"/>
              </a:gradFill>
              <a:ln w="9525" cap="flat" cmpd="sng" algn="ctr">
                <a:solidFill>
                  <a:schemeClr val="accent6">
                    <a:tint val="50000"/>
                    <a:shade val="95000"/>
                  </a:schemeClr>
                </a:solidFill>
                <a:round/>
              </a:ln>
              <a:effectLst/>
            </c:spPr>
            <c:extLst>
              <c:ext xmlns:c16="http://schemas.microsoft.com/office/drawing/2014/chart" uri="{C3380CC4-5D6E-409C-BE32-E72D297353CC}">
                <c16:uniqueId val="{0000000B-B16D-428E-9E1F-015275D1D063}"/>
              </c:ext>
            </c:extLst>
          </c:dPt>
          <c:dLbls>
            <c:spPr>
              <a:noFill/>
              <a:ln>
                <a:noFill/>
              </a:ln>
              <a:effectLst/>
            </c:spPr>
            <c:txPr>
              <a:bodyPr rot="0" spcFirstLastPara="1" vertOverflow="clip" horzOverflow="clip" vert="horz" wrap="none" lIns="38100" tIns="19050" rIns="38100" bIns="19050" anchor="ctr" anchorCtr="1">
                <a:spAutoFit/>
              </a:bodyPr>
              <a:lstStyle/>
              <a:p>
                <a:pPr>
                  <a:defRPr sz="1000" b="0" i="0" u="none" strike="noStrike" kern="1200" baseline="0">
                    <a:solidFill>
                      <a:schemeClr val="dk1">
                        <a:lumMod val="65000"/>
                        <a:lumOff val="35000"/>
                      </a:schemeClr>
                    </a:solidFill>
                    <a:latin typeface="Arial" panose="020B0604020202020204" pitchFamily="34" charset="0"/>
                    <a:ea typeface="+mn-ea"/>
                    <a:cs typeface="Arial" panose="020B0604020202020204" pitchFamily="34" charset="0"/>
                  </a:defRPr>
                </a:pPr>
                <a:endParaRPr lang="en-US"/>
              </a:p>
            </c:txPr>
            <c:dLblPos val="inEnd"/>
            <c:showLegendKey val="0"/>
            <c:showVal val="0"/>
            <c:showCatName val="1"/>
            <c:showSerName val="0"/>
            <c:showPercent val="1"/>
            <c:showBubbleSize val="0"/>
            <c:separator>
</c:separator>
            <c:showLeaderLines val="1"/>
            <c:leaderLines>
              <c:spPr>
                <a:ln w="9525">
                  <a:solidFill>
                    <a:schemeClr val="tx1">
                      <a:lumMod val="35000"/>
                      <a:lumOff val="65000"/>
                    </a:schemeClr>
                  </a:solidFill>
                </a:ln>
                <a:effectLst/>
              </c:spPr>
            </c:leaderLines>
            <c:extLst>
              <c:ext xmlns:c15="http://schemas.microsoft.com/office/drawing/2012/chart" uri="{CE6537A1-D6FC-4f65-9D91-7224C49458BB}">
                <c15:spPr xmlns:c15="http://schemas.microsoft.com/office/drawing/2012/chart">
                  <a:prstGeom prst="wedgeRectCallout">
                    <a:avLst/>
                  </a:prstGeom>
                  <a:noFill/>
                  <a:ln>
                    <a:noFill/>
                  </a:ln>
                </c15:spPr>
              </c:ext>
            </c:extLst>
          </c:dLbls>
          <c:cat>
            <c:strRef>
              <c:f>Sheet1!$J$7:$J$13</c:f>
              <c:strCache>
                <c:ptCount val="6"/>
                <c:pt idx="0">
                  <c:v>Campaign 1</c:v>
                </c:pt>
                <c:pt idx="1">
                  <c:v>Campaign 2</c:v>
                </c:pt>
                <c:pt idx="2">
                  <c:v>Campaign 3</c:v>
                </c:pt>
                <c:pt idx="3">
                  <c:v>Campaign 4</c:v>
                </c:pt>
                <c:pt idx="4">
                  <c:v>Campaign 5</c:v>
                </c:pt>
                <c:pt idx="5">
                  <c:v>Campaign 6</c:v>
                </c:pt>
              </c:strCache>
            </c:strRef>
          </c:cat>
          <c:val>
            <c:numRef>
              <c:f>Sheet1!$K$7:$K$13</c:f>
              <c:numCache>
                <c:formatCode>General</c:formatCode>
                <c:ptCount val="6"/>
                <c:pt idx="0">
                  <c:v>4</c:v>
                </c:pt>
                <c:pt idx="1">
                  <c:v>3</c:v>
                </c:pt>
                <c:pt idx="2">
                  <c:v>3</c:v>
                </c:pt>
                <c:pt idx="3">
                  <c:v>4</c:v>
                </c:pt>
                <c:pt idx="4">
                  <c:v>2</c:v>
                </c:pt>
                <c:pt idx="5">
                  <c:v>5</c:v>
                </c:pt>
              </c:numCache>
            </c:numRef>
          </c:val>
          <c:extLst>
            <c:ext xmlns:c16="http://schemas.microsoft.com/office/drawing/2014/chart" uri="{C3380CC4-5D6E-409C-BE32-E72D297353CC}">
              <c16:uniqueId val="{00000008-D395-4EDF-8472-8D9351FF4ABD}"/>
            </c:ext>
          </c:extLst>
        </c:ser>
        <c:dLbls>
          <c:showLegendKey val="0"/>
          <c:showVal val="1"/>
          <c:showCatName val="0"/>
          <c:showSerName val="0"/>
          <c:showPercent val="0"/>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withinLinear" id="19">
  <a:schemeClr val="accent6"/>
</cs:colorStyle>
</file>

<file path=xl/charts/style1.xml><?xml version="1.0" encoding="utf-8"?>
<cs:chartStyle xmlns:cs="http://schemas.microsoft.com/office/drawing/2012/chartStyle" xmlns:a="http://schemas.openxmlformats.org/drawingml/2006/main" id="301">
  <cs:axisTitle>
    <cs:lnRef idx="0"/>
    <cs:fillRef idx="0"/>
    <cs:effectRef idx="0"/>
    <cs:fontRef idx="minor">
      <a:schemeClr val="tx1">
        <a:lumMod val="50000"/>
        <a:lumOff val="50000"/>
      </a:schemeClr>
    </cs:fontRef>
    <cs:defRPr sz="900" kern="1200" cap="all"/>
  </cs:axisTitle>
  <cs:categoryAxis>
    <cs:lnRef idx="0"/>
    <cs:fillRef idx="0"/>
    <cs:effectRef idx="0"/>
    <cs:fontRef idx="minor">
      <a:schemeClr val="tx1">
        <a:lumMod val="50000"/>
        <a:lumOff val="50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50000"/>
        <a:lumOff val="50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
  <cs:dataPoint3D>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3D>
  <cs:dataPointLine>
    <cs:lnRef idx="0">
      <cs:styleClr val="auto"/>
    </cs:lnRef>
    <cs:fillRef idx="2">
      <cs:styleClr val="auto"/>
    </cs:fillRef>
    <cs:effectRef idx="1"/>
    <cs:fontRef idx="minor">
      <a:schemeClr val="dk1"/>
    </cs:fontRef>
    <cs:spPr>
      <a:ln w="15875" cap="rnd">
        <a:solidFill>
          <a:schemeClr val="phClr"/>
        </a:solidFill>
        <a:round/>
      </a:ln>
    </cs:spPr>
  </cs:dataPointLine>
  <cs:dataPointMarker>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Marker>
  <cs:dataPointMarkerLayout symbol="circle" size="4"/>
  <cs:dataPointWireframe>
    <cs:lnRef idx="0">
      <cs:styleClr val="auto"/>
    </cs:lnRef>
    <cs:fillRef idx="2"/>
    <cs:effectRef idx="0"/>
    <cs:fontRef idx="minor">
      <a:schemeClr val="dk1"/>
    </cs:fontRef>
    <cs:spPr>
      <a:ln w="9525" cap="rnd">
        <a:solidFill>
          <a:schemeClr val="phClr"/>
        </a:solidFill>
        <a:round/>
      </a:ln>
    </cs:spPr>
  </cs:dataPointWireframe>
  <cs:dataTable>
    <cs:lnRef idx="0"/>
    <cs:fillRef idx="0"/>
    <cs:effectRef idx="0"/>
    <cs:fontRef idx="minor">
      <a:schemeClr val="tx1">
        <a:lumMod val="50000"/>
        <a:lumOff val="50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35000"/>
            <a:lumOff val="65000"/>
          </a:schemeClr>
        </a:solidFill>
        <a:prstDash val="dash"/>
      </a:ln>
    </cs:spPr>
  </cs:dropLine>
  <cs:errorBar>
    <cs:lnRef idx="0"/>
    <cs:fillRef idx="0"/>
    <cs:effectRef idx="0"/>
    <cs:fontRef idx="minor">
      <a:schemeClr val="dk1"/>
    </cs:fontRef>
    <cs:spPr>
      <a:ln w="9525">
        <a:solidFill>
          <a:schemeClr val="tx1">
            <a:lumMod val="50000"/>
            <a:lumOff val="50000"/>
          </a:schemeClr>
        </a:solidFill>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50000"/>
            <a:lumOff val="50000"/>
          </a:schemeClr>
        </a:solidFill>
        <a:prstDash val="dash"/>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50000"/>
        <a:lumOff val="50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50000"/>
        <a:lumOff val="50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prstDash val="dash"/>
      </a:ln>
    </cs:spPr>
  </cs:seriesLine>
  <cs:title>
    <cs:lnRef idx="0"/>
    <cs:fillRef idx="0"/>
    <cs:effectRef idx="0"/>
    <cs:fontRef idx="minor">
      <a:schemeClr val="tx1">
        <a:lumMod val="50000"/>
        <a:lumOff val="50000"/>
      </a:schemeClr>
    </cs:fontRef>
    <cs:defRPr sz="1400" kern="1200" cap="none" spc="20" baseline="0"/>
  </cs:title>
  <cs:trendline>
    <cs:lnRef idx="0">
      <cs:styleClr val="auto"/>
    </cs:lnRef>
    <cs:fillRef idx="2"/>
    <cs:effectRef idx="0"/>
    <cs:fontRef idx="minor">
      <a:schemeClr val="dk1"/>
    </cs:fontRef>
    <cs:spPr>
      <a:ln w="9525" cap="rnd">
        <a:solidFill>
          <a:schemeClr val="phClr"/>
        </a:solidFill>
      </a:ln>
    </cs:spPr>
  </cs:trendline>
  <cs:trendlineLabel>
    <cs:lnRef idx="0"/>
    <cs:fillRef idx="0"/>
    <cs:effectRef idx="0"/>
    <cs:fontRef idx="minor">
      <a:schemeClr val="tx1">
        <a:lumMod val="50000"/>
        <a:lumOff val="50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50000"/>
        <a:lumOff val="50000"/>
      </a:schemeClr>
    </cs:fontRef>
    <cs:defRPr sz="900" kern="120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54">
  <cs:axisTitle>
    <cs:lnRef idx="0"/>
    <cs:fillRef idx="0"/>
    <cs:effectRef idx="0"/>
    <cs:fontRef idx="minor">
      <a:schemeClr val="tx1">
        <a:lumMod val="50000"/>
        <a:lumOff val="50000"/>
      </a:schemeClr>
    </cs:fontRef>
    <cs:defRPr sz="900" kern="1200" cap="all"/>
  </cs:axisTitle>
  <cs:categoryAxis>
    <cs:lnRef idx="0"/>
    <cs:fillRef idx="0"/>
    <cs:effectRef idx="0"/>
    <cs:fontRef idx="minor">
      <a:schemeClr val="tx1">
        <a:lumMod val="50000"/>
        <a:lumOff val="50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65000"/>
        <a:lumOff val="3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
  <cs:dataPoint3D>
    <cs:lnRef idx="0"/>
    <cs:fillRef idx="2">
      <cs:styleClr val="auto"/>
    </cs:fillRef>
    <cs:effectRef idx="1"/>
    <cs:fontRef idx="minor">
      <a:schemeClr val="dk1"/>
    </cs:fontRef>
    <cs:spPr/>
  </cs:dataPoint3D>
  <cs:dataPointLine>
    <cs:lnRef idx="0">
      <cs:styleClr val="auto"/>
    </cs:lnRef>
    <cs:fillRef idx="2">
      <cs:styleClr val="auto"/>
    </cs:fillRef>
    <cs:effectRef idx="1"/>
    <cs:fontRef idx="minor">
      <a:schemeClr val="dk1"/>
    </cs:fontRef>
    <cs:spPr>
      <a:ln w="15875" cap="rnd">
        <a:solidFill>
          <a:schemeClr val="phClr"/>
        </a:solidFill>
        <a:round/>
      </a:ln>
    </cs:spPr>
  </cs:dataPointLine>
  <cs:dataPointMarker>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Marker>
  <cs:dataPointMarkerLayout symbol="circle" size="4"/>
  <cs:dataPointWireframe>
    <cs:lnRef idx="0">
      <cs:styleClr val="auto"/>
    </cs:lnRef>
    <cs:fillRef idx="2"/>
    <cs:effectRef idx="0"/>
    <cs:fontRef idx="minor">
      <a:schemeClr val="dk1"/>
    </cs:fontRef>
    <cs:spPr>
      <a:ln w="9525" cap="rnd">
        <a:solidFill>
          <a:schemeClr val="phClr"/>
        </a:solidFill>
        <a:round/>
      </a:ln>
    </cs:spPr>
  </cs:dataPointWireframe>
  <cs:dataTable>
    <cs:lnRef idx="0"/>
    <cs:fillRef idx="0"/>
    <cs:effectRef idx="0"/>
    <cs:fontRef idx="minor">
      <a:schemeClr val="tx1">
        <a:lumMod val="50000"/>
        <a:lumOff val="50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35000"/>
            <a:lumOff val="65000"/>
          </a:schemeClr>
        </a:solidFill>
        <a:prstDash val="dash"/>
      </a:ln>
    </cs:spPr>
  </cs:dropLine>
  <cs:errorBar>
    <cs:lnRef idx="0"/>
    <cs:fillRef idx="0"/>
    <cs:effectRef idx="0"/>
    <cs:fontRef idx="minor">
      <a:schemeClr val="dk1"/>
    </cs:fontRef>
    <cs:spPr>
      <a:ln w="9525">
        <a:solidFill>
          <a:schemeClr val="tx1">
            <a:lumMod val="50000"/>
            <a:lumOff val="50000"/>
          </a:schemeClr>
        </a:solidFill>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50000"/>
            <a:lumOff val="50000"/>
          </a:schemeClr>
        </a:solidFill>
        <a:prstDash val="dash"/>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50000"/>
        <a:lumOff val="50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50000"/>
        <a:lumOff val="50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prstDash val="dash"/>
      </a:ln>
    </cs:spPr>
  </cs:seriesLine>
  <cs:title>
    <cs:lnRef idx="0"/>
    <cs:fillRef idx="0"/>
    <cs:effectRef idx="0"/>
    <cs:fontRef idx="minor">
      <a:schemeClr val="tx1">
        <a:lumMod val="50000"/>
        <a:lumOff val="50000"/>
      </a:schemeClr>
    </cs:fontRef>
    <cs:defRPr sz="1400" kern="1200" cap="none" spc="20" baseline="0"/>
  </cs:title>
  <cs:trendline>
    <cs:lnRef idx="0">
      <cs:styleClr val="auto"/>
    </cs:lnRef>
    <cs:fillRef idx="2"/>
    <cs:effectRef idx="0"/>
    <cs:fontRef idx="minor">
      <a:schemeClr val="dk1"/>
    </cs:fontRef>
    <cs:spPr>
      <a:ln w="9525" cap="rnd">
        <a:solidFill>
          <a:schemeClr val="phClr"/>
        </a:solidFill>
      </a:ln>
    </cs:spPr>
  </cs:trendline>
  <cs:trendlineLabel>
    <cs:lnRef idx="0"/>
    <cs:fillRef idx="0"/>
    <cs:effectRef idx="0"/>
    <cs:fontRef idx="minor">
      <a:schemeClr val="tx1">
        <a:lumMod val="50000"/>
        <a:lumOff val="50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50000"/>
        <a:lumOff val="50000"/>
      </a:schemeClr>
    </cs:fontRef>
    <cs:defRPr sz="900" kern="1200"/>
  </cs:valueAxis>
  <cs:wall>
    <cs:lnRef idx="0"/>
    <cs:fillRef idx="0"/>
    <cs:effectRef idx="0"/>
    <cs:fontRef idx="minor">
      <a:schemeClr val="dk1"/>
    </cs:fontRef>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GIF"/></Relationships>
</file>

<file path=xl/drawings/_rels/drawing2.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3</xdr:col>
      <xdr:colOff>47623</xdr:colOff>
      <xdr:row>45</xdr:row>
      <xdr:rowOff>19050</xdr:rowOff>
    </xdr:from>
    <xdr:to>
      <xdr:col>12</xdr:col>
      <xdr:colOff>182217</xdr:colOff>
      <xdr:row>49</xdr:row>
      <xdr:rowOff>38100</xdr:rowOff>
    </xdr:to>
    <xdr:grpSp>
      <xdr:nvGrpSpPr>
        <xdr:cNvPr id="3" name="Group 2">
          <a:extLst>
            <a:ext uri="{FF2B5EF4-FFF2-40B4-BE49-F238E27FC236}">
              <a16:creationId xmlns:a16="http://schemas.microsoft.com/office/drawing/2014/main" id="{F1D18EB4-FF14-42C7-9C9C-390ACE1D23CE}"/>
            </a:ext>
          </a:extLst>
        </xdr:cNvPr>
        <xdr:cNvGrpSpPr/>
      </xdr:nvGrpSpPr>
      <xdr:grpSpPr>
        <a:xfrm>
          <a:off x="5213535" y="7325285"/>
          <a:ext cx="6185770" cy="781050"/>
          <a:chOff x="4257674" y="8324850"/>
          <a:chExt cx="7353301" cy="666750"/>
        </a:xfrm>
      </xdr:grpSpPr>
      <xdr:pic>
        <xdr:nvPicPr>
          <xdr:cNvPr id="4" name="Picture 3">
            <a:extLst>
              <a:ext uri="{FF2B5EF4-FFF2-40B4-BE49-F238E27FC236}">
                <a16:creationId xmlns:a16="http://schemas.microsoft.com/office/drawing/2014/main" id="{E5401DFC-BE71-41C4-97FA-F6E06BF851D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257674" y="8324850"/>
            <a:ext cx="7353301" cy="666750"/>
          </a:xfrm>
          <a:prstGeom prst="rect">
            <a:avLst/>
          </a:prstGeom>
        </xdr:spPr>
      </xdr:pic>
      <xdr:sp macro="" textlink="">
        <xdr:nvSpPr>
          <xdr:cNvPr id="5" name="Rectangle 4">
            <a:extLst>
              <a:ext uri="{FF2B5EF4-FFF2-40B4-BE49-F238E27FC236}">
                <a16:creationId xmlns:a16="http://schemas.microsoft.com/office/drawing/2014/main" id="{40A77A64-FF4F-4F44-9B19-D6D572DDC2A4}"/>
              </a:ext>
            </a:extLst>
          </xdr:cNvPr>
          <xdr:cNvSpPr/>
        </xdr:nvSpPr>
        <xdr:spPr>
          <a:xfrm>
            <a:off x="4333875" y="8572500"/>
            <a:ext cx="819150" cy="209550"/>
          </a:xfrm>
          <a:prstGeom prst="rect">
            <a:avLst/>
          </a:prstGeom>
          <a:noFill/>
          <a:ln w="190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6" name="Rectangle 5">
            <a:extLst>
              <a:ext uri="{FF2B5EF4-FFF2-40B4-BE49-F238E27FC236}">
                <a16:creationId xmlns:a16="http://schemas.microsoft.com/office/drawing/2014/main" id="{A372D5E6-5AE2-43B6-8E4B-6F0C70FA91D5}"/>
              </a:ext>
            </a:extLst>
          </xdr:cNvPr>
          <xdr:cNvSpPr/>
        </xdr:nvSpPr>
        <xdr:spPr>
          <a:xfrm>
            <a:off x="7248525" y="8429625"/>
            <a:ext cx="361950" cy="171450"/>
          </a:xfrm>
          <a:prstGeom prst="rect">
            <a:avLst/>
          </a:prstGeom>
          <a:noFill/>
          <a:ln w="190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3</xdr:col>
      <xdr:colOff>66673</xdr:colOff>
      <xdr:row>53</xdr:row>
      <xdr:rowOff>95250</xdr:rowOff>
    </xdr:from>
    <xdr:to>
      <xdr:col>12</xdr:col>
      <xdr:colOff>201267</xdr:colOff>
      <xdr:row>57</xdr:row>
      <xdr:rowOff>114300</xdr:rowOff>
    </xdr:to>
    <xdr:grpSp>
      <xdr:nvGrpSpPr>
        <xdr:cNvPr id="7" name="Group 6">
          <a:extLst>
            <a:ext uri="{FF2B5EF4-FFF2-40B4-BE49-F238E27FC236}">
              <a16:creationId xmlns:a16="http://schemas.microsoft.com/office/drawing/2014/main" id="{72C1EFFC-70BB-4549-BF7E-8872401508D9}"/>
            </a:ext>
          </a:extLst>
        </xdr:cNvPr>
        <xdr:cNvGrpSpPr/>
      </xdr:nvGrpSpPr>
      <xdr:grpSpPr>
        <a:xfrm>
          <a:off x="5232585" y="8925485"/>
          <a:ext cx="6185770" cy="781050"/>
          <a:chOff x="4276724" y="9696450"/>
          <a:chExt cx="7353301" cy="666750"/>
        </a:xfrm>
      </xdr:grpSpPr>
      <xdr:pic>
        <xdr:nvPicPr>
          <xdr:cNvPr id="8" name="Picture 7">
            <a:extLst>
              <a:ext uri="{FF2B5EF4-FFF2-40B4-BE49-F238E27FC236}">
                <a16:creationId xmlns:a16="http://schemas.microsoft.com/office/drawing/2014/main" id="{16E521E6-B90F-421F-BC64-DC99D011604B}"/>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276724" y="9696450"/>
            <a:ext cx="7353301" cy="666750"/>
          </a:xfrm>
          <a:prstGeom prst="rect">
            <a:avLst/>
          </a:prstGeom>
        </xdr:spPr>
      </xdr:pic>
      <xdr:sp macro="" textlink="">
        <xdr:nvSpPr>
          <xdr:cNvPr id="9" name="Rectangle 8">
            <a:extLst>
              <a:ext uri="{FF2B5EF4-FFF2-40B4-BE49-F238E27FC236}">
                <a16:creationId xmlns:a16="http://schemas.microsoft.com/office/drawing/2014/main" id="{6ED8853E-B986-485B-82A9-5AE121ABA507}"/>
              </a:ext>
            </a:extLst>
          </xdr:cNvPr>
          <xdr:cNvSpPr/>
        </xdr:nvSpPr>
        <xdr:spPr>
          <a:xfrm>
            <a:off x="9782174" y="9791700"/>
            <a:ext cx="923926" cy="180975"/>
          </a:xfrm>
          <a:prstGeom prst="rect">
            <a:avLst/>
          </a:prstGeom>
          <a:noFill/>
          <a:ln w="190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wsDr>
</file>

<file path=xl/drawings/drawing2.xml><?xml version="1.0" encoding="utf-8"?>
<xdr:wsDr xmlns:xdr="http://schemas.openxmlformats.org/drawingml/2006/spreadsheetDrawing" xmlns:a="http://schemas.openxmlformats.org/drawingml/2006/main">
  <xdr:twoCellAnchor>
    <xdr:from>
      <xdr:col>1</xdr:col>
      <xdr:colOff>11207</xdr:colOff>
      <xdr:row>1</xdr:row>
      <xdr:rowOff>30270</xdr:rowOff>
    </xdr:from>
    <xdr:to>
      <xdr:col>3</xdr:col>
      <xdr:colOff>11206</xdr:colOff>
      <xdr:row>6</xdr:row>
      <xdr:rowOff>212911</xdr:rowOff>
    </xdr:to>
    <mc:AlternateContent xmlns:mc="http://schemas.openxmlformats.org/markup-compatibility/2006" xmlns:a14="http://schemas.microsoft.com/office/drawing/2010/main">
      <mc:Choice Requires="a14">
        <xdr:graphicFrame macro="">
          <xdr:nvGraphicFramePr>
            <xdr:cNvPr id="2" name="Status">
              <a:extLst>
                <a:ext uri="{FF2B5EF4-FFF2-40B4-BE49-F238E27FC236}">
                  <a16:creationId xmlns:a16="http://schemas.microsoft.com/office/drawing/2014/main" id="{00000000-0008-0000-0200-000002000000}"/>
                </a:ext>
              </a:extLst>
            </xdr:cNvPr>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Status"/>
            </a:graphicData>
          </a:graphic>
        </xdr:graphicFrame>
      </mc:Choice>
      <mc:Fallback xmlns="">
        <xdr:sp macro="" textlink="">
          <xdr:nvSpPr>
            <xdr:cNvPr id="0" name=""/>
            <xdr:cNvSpPr>
              <a:spLocks noTextEdit="1"/>
            </xdr:cNvSpPr>
          </xdr:nvSpPr>
          <xdr:spPr>
            <a:xfrm>
              <a:off x="78442" y="108711"/>
              <a:ext cx="2173940" cy="1135141"/>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13</xdr:col>
      <xdr:colOff>224119</xdr:colOff>
      <xdr:row>1</xdr:row>
      <xdr:rowOff>11906</xdr:rowOff>
    </xdr:from>
    <xdr:to>
      <xdr:col>14</xdr:col>
      <xdr:colOff>976314</xdr:colOff>
      <xdr:row>6</xdr:row>
      <xdr:rowOff>11906</xdr:rowOff>
    </xdr:to>
    <mc:AlternateContent xmlns:mc="http://schemas.openxmlformats.org/markup-compatibility/2006" xmlns:a14="http://schemas.microsoft.com/office/drawing/2010/main">
      <mc:Choice Requires="a14">
        <xdr:graphicFrame macro="">
          <xdr:nvGraphicFramePr>
            <xdr:cNvPr id="3" name="Customer Type">
              <a:extLst>
                <a:ext uri="{FF2B5EF4-FFF2-40B4-BE49-F238E27FC236}">
                  <a16:creationId xmlns:a16="http://schemas.microsoft.com/office/drawing/2014/main" id="{00000000-0008-0000-0200-000003000000}"/>
                </a:ext>
              </a:extLst>
            </xdr:cNvPr>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Customer Type"/>
            </a:graphicData>
          </a:graphic>
        </xdr:graphicFrame>
      </mc:Choice>
      <mc:Fallback xmlns="">
        <xdr:sp macro="" textlink="">
          <xdr:nvSpPr>
            <xdr:cNvPr id="0" name=""/>
            <xdr:cNvSpPr>
              <a:spLocks noTextEdit="1"/>
            </xdr:cNvSpPr>
          </xdr:nvSpPr>
          <xdr:spPr>
            <a:xfrm>
              <a:off x="14678307" y="83344"/>
              <a:ext cx="2264288" cy="976312"/>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14</xdr:col>
      <xdr:colOff>974912</xdr:colOff>
      <xdr:row>1</xdr:row>
      <xdr:rowOff>11906</xdr:rowOff>
    </xdr:from>
    <xdr:to>
      <xdr:col>16</xdr:col>
      <xdr:colOff>1501590</xdr:colOff>
      <xdr:row>5</xdr:row>
      <xdr:rowOff>202406</xdr:rowOff>
    </xdr:to>
    <mc:AlternateContent xmlns:mc="http://schemas.openxmlformats.org/markup-compatibility/2006" xmlns:a14="http://schemas.microsoft.com/office/drawing/2010/main">
      <mc:Choice Requires="a14">
        <xdr:graphicFrame macro="">
          <xdr:nvGraphicFramePr>
            <xdr:cNvPr id="4" name="Content Topic">
              <a:extLst>
                <a:ext uri="{FF2B5EF4-FFF2-40B4-BE49-F238E27FC236}">
                  <a16:creationId xmlns:a16="http://schemas.microsoft.com/office/drawing/2014/main" id="{00000000-0008-0000-0200-000004000000}"/>
                </a:ext>
              </a:extLst>
            </xdr:cNvPr>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Content Topic"/>
            </a:graphicData>
          </a:graphic>
        </xdr:graphicFrame>
      </mc:Choice>
      <mc:Fallback xmlns="">
        <xdr:sp macro="" textlink="">
          <xdr:nvSpPr>
            <xdr:cNvPr id="0" name=""/>
            <xdr:cNvSpPr>
              <a:spLocks noTextEdit="1"/>
            </xdr:cNvSpPr>
          </xdr:nvSpPr>
          <xdr:spPr>
            <a:xfrm>
              <a:off x="16941193" y="83344"/>
              <a:ext cx="3550866" cy="9525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11</xdr:col>
      <xdr:colOff>134470</xdr:colOff>
      <xdr:row>1</xdr:row>
      <xdr:rowOff>11906</xdr:rowOff>
    </xdr:from>
    <xdr:to>
      <xdr:col>13</xdr:col>
      <xdr:colOff>261937</xdr:colOff>
      <xdr:row>6</xdr:row>
      <xdr:rowOff>4347</xdr:rowOff>
    </xdr:to>
    <mc:AlternateContent xmlns:mc="http://schemas.openxmlformats.org/markup-compatibility/2006" xmlns:a14="http://schemas.microsoft.com/office/drawing/2010/main">
      <mc:Choice Requires="a14">
        <xdr:graphicFrame macro="">
          <xdr:nvGraphicFramePr>
            <xdr:cNvPr id="5" name="Customer Name">
              <a:extLst>
                <a:ext uri="{FF2B5EF4-FFF2-40B4-BE49-F238E27FC236}">
                  <a16:creationId xmlns:a16="http://schemas.microsoft.com/office/drawing/2014/main" id="{00000000-0008-0000-0200-000005000000}"/>
                </a:ext>
              </a:extLst>
            </xdr:cNvPr>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Customer Name"/>
            </a:graphicData>
          </a:graphic>
        </xdr:graphicFrame>
      </mc:Choice>
      <mc:Fallback xmlns="">
        <xdr:sp macro="" textlink="">
          <xdr:nvSpPr>
            <xdr:cNvPr id="0" name=""/>
            <xdr:cNvSpPr>
              <a:spLocks noTextEdit="1"/>
            </xdr:cNvSpPr>
          </xdr:nvSpPr>
          <xdr:spPr>
            <a:xfrm>
              <a:off x="11564470" y="83344"/>
              <a:ext cx="3151655" cy="968753"/>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xdr:from>
          <xdr:col>1</xdr:col>
          <xdr:colOff>9525</xdr:colOff>
          <xdr:row>7</xdr:row>
          <xdr:rowOff>0</xdr:rowOff>
        </xdr:from>
        <xdr:to>
          <xdr:col>1</xdr:col>
          <xdr:colOff>1095375</xdr:colOff>
          <xdr:row>7</xdr:row>
          <xdr:rowOff>200025</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200-000001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Full Screen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1104900</xdr:colOff>
          <xdr:row>7</xdr:row>
          <xdr:rowOff>0</xdr:rowOff>
        </xdr:from>
        <xdr:to>
          <xdr:col>3</xdr:col>
          <xdr:colOff>9525</xdr:colOff>
          <xdr:row>7</xdr:row>
          <xdr:rowOff>200025</xdr:rowOff>
        </xdr:to>
        <xdr:sp macro="" textlink="">
          <xdr:nvSpPr>
            <xdr:cNvPr id="4098" name="Button 2" hidden="1">
              <a:extLst>
                <a:ext uri="{63B3BB69-23CF-44E3-9099-C40C66FF867C}">
                  <a14:compatExt spid="_x0000_s4098"/>
                </a:ext>
                <a:ext uri="{FF2B5EF4-FFF2-40B4-BE49-F238E27FC236}">
                  <a16:creationId xmlns:a16="http://schemas.microsoft.com/office/drawing/2014/main" id="{00000000-0008-0000-0200-000002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Refresh</a:t>
              </a:r>
            </a:p>
          </xdr:txBody>
        </xdr:sp>
        <xdr:clientData fPrintsWithSheet="0"/>
      </xdr:twoCellAnchor>
    </mc:Choice>
    <mc:Fallback/>
  </mc:AlternateContent>
  <xdr:twoCellAnchor>
    <xdr:from>
      <xdr:col>2</xdr:col>
      <xdr:colOff>91747</xdr:colOff>
      <xdr:row>8</xdr:row>
      <xdr:rowOff>78442</xdr:rowOff>
    </xdr:from>
    <xdr:to>
      <xdr:col>3</xdr:col>
      <xdr:colOff>9105</xdr:colOff>
      <xdr:row>10</xdr:row>
      <xdr:rowOff>11205</xdr:rowOff>
    </xdr:to>
    <xdr:sp macro="[0]!Send_email_automatically" textlink="">
      <xdr:nvSpPr>
        <xdr:cNvPr id="6" name="Rectangle: Rounded Corners 5">
          <a:extLst>
            <a:ext uri="{FF2B5EF4-FFF2-40B4-BE49-F238E27FC236}">
              <a16:creationId xmlns:a16="http://schemas.microsoft.com/office/drawing/2014/main" id="{00000000-0008-0000-0200-000006000000}"/>
            </a:ext>
          </a:extLst>
        </xdr:cNvPr>
        <xdr:cNvSpPr/>
      </xdr:nvSpPr>
      <xdr:spPr>
        <a:xfrm>
          <a:off x="1508591" y="1554817"/>
          <a:ext cx="750795" cy="468544"/>
        </a:xfrm>
        <a:prstGeom prst="roundRect">
          <a:avLst/>
        </a:prstGeom>
        <a:solidFill>
          <a:schemeClr val="bg1">
            <a:lumMod val="65000"/>
          </a:schemeClr>
        </a:solidFill>
        <a:ln>
          <a:noFill/>
        </a:ln>
        <a:effectLst/>
        <a:scene3d>
          <a:camera prst="orthographicFront">
            <a:rot lat="0" lon="0" rev="0"/>
          </a:camera>
          <a:lightRig rig="balanced" dir="t">
            <a:rot lat="0" lon="0" rev="8700000"/>
          </a:lightRig>
        </a:scene3d>
        <a:sp3d>
          <a:bevelT w="190500" h="38100"/>
        </a:sp3d>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US" sz="1050">
              <a:latin typeface="Arial" panose="020B0604020202020204" pitchFamily="34" charset="0"/>
              <a:cs typeface="Arial" panose="020B0604020202020204" pitchFamily="34" charset="0"/>
            </a:rPr>
            <a:t>Send Email</a:t>
          </a:r>
        </a:p>
      </xdr:txBody>
    </xdr:sp>
    <xdr:clientData/>
  </xdr:twoCellAnchor>
  <xdr:twoCellAnchor>
    <xdr:from>
      <xdr:col>3</xdr:col>
      <xdr:colOff>44823</xdr:colOff>
      <xdr:row>1</xdr:row>
      <xdr:rowOff>11206</xdr:rowOff>
    </xdr:from>
    <xdr:to>
      <xdr:col>8</xdr:col>
      <xdr:colOff>515469</xdr:colOff>
      <xdr:row>10</xdr:row>
      <xdr:rowOff>56029</xdr:rowOff>
    </xdr:to>
    <xdr:graphicFrame macro="">
      <xdr:nvGraphicFramePr>
        <xdr:cNvPr id="9" name="Chart 8">
          <a:extLst>
            <a:ext uri="{FF2B5EF4-FFF2-40B4-BE49-F238E27FC236}">
              <a16:creationId xmlns:a16="http://schemas.microsoft.com/office/drawing/2014/main" id="{00000000-0008-0000-02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470647</xdr:colOff>
      <xdr:row>1</xdr:row>
      <xdr:rowOff>11203</xdr:rowOff>
    </xdr:from>
    <xdr:to>
      <xdr:col>9</xdr:col>
      <xdr:colOff>1511114</xdr:colOff>
      <xdr:row>10</xdr:row>
      <xdr:rowOff>11206</xdr:rowOff>
    </xdr:to>
    <xdr:graphicFrame macro="">
      <xdr:nvGraphicFramePr>
        <xdr:cNvPr id="10" name="Chart 9">
          <a:extLst>
            <a:ext uri="{FF2B5EF4-FFF2-40B4-BE49-F238E27FC236}">
              <a16:creationId xmlns:a16="http://schemas.microsoft.com/office/drawing/2014/main" id="{00000000-0008-0000-02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10</xdr:col>
      <xdr:colOff>23813</xdr:colOff>
      <xdr:row>1</xdr:row>
      <xdr:rowOff>11906</xdr:rowOff>
    </xdr:from>
    <xdr:to>
      <xdr:col>11</xdr:col>
      <xdr:colOff>89647</xdr:colOff>
      <xdr:row>6</xdr:row>
      <xdr:rowOff>11206</xdr:rowOff>
    </xdr:to>
    <mc:AlternateContent xmlns:mc="http://schemas.openxmlformats.org/markup-compatibility/2006" xmlns:a14="http://schemas.microsoft.com/office/drawing/2010/main">
      <mc:Choice Requires="a14">
        <xdr:graphicFrame macro="">
          <xdr:nvGraphicFramePr>
            <xdr:cNvPr id="7" name="Campaign Name">
              <a:extLst>
                <a:ext uri="{FF2B5EF4-FFF2-40B4-BE49-F238E27FC236}">
                  <a16:creationId xmlns:a16="http://schemas.microsoft.com/office/drawing/2014/main" id="{00000000-0008-0000-0200-000007000000}"/>
                </a:ext>
              </a:extLst>
            </xdr:cNvPr>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Campaign Name"/>
            </a:graphicData>
          </a:graphic>
        </xdr:graphicFrame>
      </mc:Choice>
      <mc:Fallback xmlns="">
        <xdr:sp macro="" textlink="">
          <xdr:nvSpPr>
            <xdr:cNvPr id="0" name=""/>
            <xdr:cNvSpPr>
              <a:spLocks noTextEdit="1"/>
            </xdr:cNvSpPr>
          </xdr:nvSpPr>
          <xdr:spPr>
            <a:xfrm>
              <a:off x="9941719" y="83344"/>
              <a:ext cx="1577928" cy="975612"/>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kareem mostafa" refreshedDate="44253.606969328706" createdVersion="6" refreshedVersion="6" minRefreshableVersion="3" recordCount="21" xr:uid="{5B5301D3-65DC-4E32-A9A6-0E96DCD80667}">
  <cacheSource type="worksheet">
    <worksheetSource name="Email"/>
  </cacheSource>
  <cacheFields count="14">
    <cacheField name="Date Of Creation" numFmtId="165">
      <sharedItems containsSemiMixedTypes="0" containsNonDate="0" containsDate="1" containsString="0" minDate="2021-01-03T00:00:00" maxDate="2021-05-01T00:00:00"/>
    </cacheField>
    <cacheField name="Email ID" numFmtId="0">
      <sharedItems count="22">
        <s v="EMAIL_CODE#1"/>
        <s v="EMAIL_CODE#2"/>
        <s v="EMAIL_CODE#3"/>
        <s v="EMAIL_CODE#4"/>
        <s v="EMAIL_CODE#5"/>
        <s v="EMAIL_CODE#6"/>
        <s v="EMAIL_CODE#7"/>
        <s v="EMAIL_CODE#8"/>
        <s v="EMAIL_CODE#9"/>
        <s v="EMAIL_CODE#10"/>
        <s v="EMAIL_CODE#11"/>
        <s v="EMAIL_CODE#12"/>
        <s v="EMAIL_CODE#13"/>
        <s v="EMAIL_CODE#14"/>
        <s v="EMAIL_CODE#15"/>
        <s v="EMAIL_CODE#16"/>
        <s v="EMAIL_CODE#17"/>
        <s v="EMAIL_CODE#18"/>
        <s v="EMAIL_CODE#19"/>
        <s v="EMAIL_CODE#20"/>
        <s v="EMAIL_CODE#21"/>
        <s v="Code-22123" u="1"/>
      </sharedItems>
    </cacheField>
    <cacheField name="Campaign Name" numFmtId="166">
      <sharedItems count="6">
        <s v="Campaign 2"/>
        <s v="Campaign 4"/>
        <s v="Campaign 6"/>
        <s v="Campaign 1"/>
        <s v="Campaign 3"/>
        <s v="Campaign 5"/>
      </sharedItems>
    </cacheField>
    <cacheField name="Content Topic" numFmtId="166">
      <sharedItems count="7">
        <s v="Content Topic 2"/>
        <s v="Content Topic 4"/>
        <s v="Content Topic 6"/>
        <s v="Content Topic 1"/>
        <s v="Content Topic 5"/>
        <s v="Content Topic 3"/>
        <s v="Content Topic 7"/>
      </sharedItems>
    </cacheField>
    <cacheField name="Customer Name" numFmtId="166">
      <sharedItems count="6">
        <s v="Customer Name 1"/>
        <s v="Customer Name 3"/>
        <s v="Customer Name 4"/>
        <s v="Customer Name 5"/>
        <s v="Customer Name 2"/>
        <s v="Simplesheets" u="1"/>
      </sharedItems>
    </cacheField>
    <cacheField name="Customer Type" numFmtId="166">
      <sharedItems count="4">
        <s v="New"/>
        <s v="Existing"/>
        <s v="Prospect"/>
        <s v="Lead"/>
      </sharedItems>
    </cacheField>
    <cacheField name="Email Title" numFmtId="166">
      <sharedItems/>
    </cacheField>
    <cacheField name="Subject Line" numFmtId="0">
      <sharedItems/>
    </cacheField>
    <cacheField name="Email Content" numFmtId="0">
      <sharedItems/>
    </cacheField>
    <cacheField name="Link" numFmtId="0">
      <sharedItems/>
    </cacheField>
    <cacheField name="Target Sending Date" numFmtId="165">
      <sharedItems containsSemiMixedTypes="0" containsNonDate="0" containsDate="1" containsString="0" minDate="2021-02-15T00:00:00" maxDate="2021-04-21T00:00:00"/>
    </cacheField>
    <cacheField name="Sending Time" numFmtId="167">
      <sharedItems containsSemiMixedTypes="0" containsNonDate="0" containsDate="1" containsString="0" minDate="1899-12-30T04:30:00" maxDate="1899-12-30T19:15:00"/>
    </cacheField>
    <cacheField name="Remain Days Until Sending" numFmtId="0">
      <sharedItems containsSemiMixedTypes="0" containsString="0" containsNumber="1" containsInteger="1" minValue="0" maxValue="53"/>
    </cacheField>
    <cacheField name="Status" numFmtId="0">
      <sharedItems count="5">
        <s v="Delivered"/>
        <s v="Clicked"/>
        <s v="Sent"/>
        <s v="Opened"/>
        <s v="Pending"/>
      </sharedItems>
    </cacheField>
  </cacheFields>
  <extLst>
    <ext xmlns:x14="http://schemas.microsoft.com/office/spreadsheetml/2009/9/main" uri="{725AE2AE-9491-48be-B2B4-4EB974FC3084}">
      <x14:pivotCacheDefinition pivotCacheId="1787545555"/>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1">
  <r>
    <d v="2021-03-26T00:00:00"/>
    <x v="0"/>
    <x v="0"/>
    <x v="0"/>
    <x v="0"/>
    <x v="0"/>
    <s v="Email Title 1"/>
    <s v="Subject Line 1"/>
    <s v="Here you can write email content #1"/>
    <s v="https://www.google.com/"/>
    <d v="2021-03-01T00:00:00"/>
    <d v="1899-12-30T10:00:00"/>
    <n v="3"/>
    <x v="0"/>
  </r>
  <r>
    <d v="2021-04-07T00:00:00"/>
    <x v="1"/>
    <x v="1"/>
    <x v="1"/>
    <x v="1"/>
    <x v="1"/>
    <s v="Email Title 2"/>
    <s v="Subject Line 2"/>
    <s v="Here you can write email content #2"/>
    <s v="https://www.simplesheets.co/"/>
    <d v="2021-03-14T00:00:00"/>
    <d v="1899-12-30T08:30:00"/>
    <n v="16"/>
    <x v="0"/>
  </r>
  <r>
    <d v="2021-04-12T00:00:00"/>
    <x v="2"/>
    <x v="1"/>
    <x v="2"/>
    <x v="2"/>
    <x v="1"/>
    <s v="Email Title 3"/>
    <s v="Subject Line 3"/>
    <s v="Here you can write email content #3"/>
    <s v="https://www.simplesheets.co/"/>
    <d v="2021-03-02T00:00:00"/>
    <d v="1899-12-30T09:15:00"/>
    <n v="4"/>
    <x v="1"/>
  </r>
  <r>
    <d v="2021-04-21T00:00:00"/>
    <x v="3"/>
    <x v="2"/>
    <x v="0"/>
    <x v="0"/>
    <x v="0"/>
    <s v="Email Title 4"/>
    <s v="Subject Line 4"/>
    <s v="Here you can write email content #4"/>
    <s v="https://www.simplesheets.co/"/>
    <d v="2021-02-28T00:00:00"/>
    <d v="1899-12-30T15:00:00"/>
    <n v="2"/>
    <x v="2"/>
  </r>
  <r>
    <d v="2021-02-15T00:00:00"/>
    <x v="4"/>
    <x v="3"/>
    <x v="3"/>
    <x v="3"/>
    <x v="2"/>
    <s v="Email Title 5"/>
    <s v="Subject Line 5"/>
    <s v="Here you can write email content #5"/>
    <s v="https://www.simplesheets.co/"/>
    <d v="2021-02-15T00:00:00"/>
    <d v="1899-12-30T17:00:00"/>
    <n v="0"/>
    <x v="3"/>
  </r>
  <r>
    <d v="2021-01-28T00:00:00"/>
    <x v="5"/>
    <x v="4"/>
    <x v="4"/>
    <x v="2"/>
    <x v="1"/>
    <s v="Email Title 6"/>
    <s v="Subject Line 6"/>
    <s v="Here you can write email content #6"/>
    <s v="https://www.simplesheets.co/"/>
    <d v="2021-04-15T00:00:00"/>
    <d v="1899-12-30T08:30:00"/>
    <n v="48"/>
    <x v="4"/>
  </r>
  <r>
    <d v="2021-04-10T00:00:00"/>
    <x v="6"/>
    <x v="1"/>
    <x v="3"/>
    <x v="4"/>
    <x v="3"/>
    <s v="Email Title 7"/>
    <s v="Subject Line 7"/>
    <s v="Here you can write email content #7"/>
    <s v="https://www.simplesheets.co/"/>
    <d v="2021-03-22T00:00:00"/>
    <d v="1899-12-30T11:30:00"/>
    <n v="24"/>
    <x v="4"/>
  </r>
  <r>
    <d v="2021-02-28T00:00:00"/>
    <x v="7"/>
    <x v="2"/>
    <x v="5"/>
    <x v="4"/>
    <x v="3"/>
    <s v="Email Title 8"/>
    <s v="Subject Line 8"/>
    <s v="Here you can write email content #8"/>
    <s v="https://www.simplesheets.co/"/>
    <d v="2021-03-01T00:00:00"/>
    <d v="1899-12-30T14:00:00"/>
    <n v="3"/>
    <x v="0"/>
  </r>
  <r>
    <d v="2021-01-30T00:00:00"/>
    <x v="8"/>
    <x v="2"/>
    <x v="6"/>
    <x v="0"/>
    <x v="0"/>
    <s v="Email Title 9"/>
    <s v="Subject Line 9"/>
    <s v="Here you can write email content #9"/>
    <s v="https://www.simplesheets.co/"/>
    <d v="2021-03-05T00:00:00"/>
    <d v="1899-12-30T13:30:00"/>
    <n v="7"/>
    <x v="3"/>
  </r>
  <r>
    <d v="2021-02-21T00:00:00"/>
    <x v="9"/>
    <x v="3"/>
    <x v="6"/>
    <x v="3"/>
    <x v="2"/>
    <s v="Email Title 10"/>
    <s v="Subject Line 10"/>
    <s v="Here you can write email content #10"/>
    <s v="https://www.simplesheets.co/"/>
    <d v="2021-02-28T00:00:00"/>
    <d v="1899-12-30T19:15:00"/>
    <n v="2"/>
    <x v="0"/>
  </r>
  <r>
    <d v="2021-03-12T00:00:00"/>
    <x v="10"/>
    <x v="2"/>
    <x v="0"/>
    <x v="1"/>
    <x v="1"/>
    <s v="Email Title 11"/>
    <s v="Subject Line 11"/>
    <s v="Here you can write email content #11"/>
    <s v="https://www.simplesheets.co/"/>
    <d v="2021-03-18T00:00:00"/>
    <d v="1899-12-30T15:20:00"/>
    <n v="20"/>
    <x v="2"/>
  </r>
  <r>
    <d v="2021-04-17T00:00:00"/>
    <x v="11"/>
    <x v="4"/>
    <x v="4"/>
    <x v="0"/>
    <x v="0"/>
    <s v="Email Title 12"/>
    <s v="Subject Line 12"/>
    <s v="Here you can write email content #12"/>
    <s v="https://www.simplesheets.co/"/>
    <d v="2021-04-11T00:00:00"/>
    <d v="1899-12-30T17:30:00"/>
    <n v="44"/>
    <x v="1"/>
  </r>
  <r>
    <d v="2021-03-09T00:00:00"/>
    <x v="12"/>
    <x v="5"/>
    <x v="3"/>
    <x v="1"/>
    <x v="1"/>
    <s v="Email Title 13"/>
    <s v="Subject Line 13"/>
    <s v="Here you can write email content #13"/>
    <s v="https://www.simplesheets.co/"/>
    <d v="2021-04-20T00:00:00"/>
    <d v="1899-12-30T14:00:00"/>
    <n v="53"/>
    <x v="1"/>
  </r>
  <r>
    <d v="2021-01-07T00:00:00"/>
    <x v="13"/>
    <x v="3"/>
    <x v="1"/>
    <x v="3"/>
    <x v="2"/>
    <s v="Email Title 14"/>
    <s v="Subject Line 14"/>
    <s v="Here you can write email content #14"/>
    <s v="https://www.simplesheets.co/"/>
    <d v="2021-03-31T00:00:00"/>
    <d v="1899-12-30T06:00:00"/>
    <n v="33"/>
    <x v="3"/>
  </r>
  <r>
    <d v="2021-04-27T00:00:00"/>
    <x v="14"/>
    <x v="3"/>
    <x v="1"/>
    <x v="4"/>
    <x v="3"/>
    <s v="Email Title 15"/>
    <s v="Subject Line 15"/>
    <s v="Here you can write email content #15"/>
    <s v="https://www.simplesheets.co/"/>
    <d v="2021-03-29T00:00:00"/>
    <d v="1899-12-30T04:30:00"/>
    <n v="31"/>
    <x v="4"/>
  </r>
  <r>
    <d v="2021-04-30T00:00:00"/>
    <x v="15"/>
    <x v="1"/>
    <x v="3"/>
    <x v="3"/>
    <x v="2"/>
    <s v="Email Title 16"/>
    <s v="Subject Line 16"/>
    <s v="Here you can write email content #16"/>
    <s v="https://www.simplesheets.co/"/>
    <d v="2021-04-02T00:00:00"/>
    <d v="1899-12-30T09:30:00"/>
    <n v="35"/>
    <x v="0"/>
  </r>
  <r>
    <d v="2021-01-03T00:00:00"/>
    <x v="16"/>
    <x v="5"/>
    <x v="2"/>
    <x v="0"/>
    <x v="0"/>
    <s v="Email Title 17"/>
    <s v="Subject Line 17"/>
    <s v="Here you can write email content #17"/>
    <s v="https://www.simplesheets.co/"/>
    <d v="2021-04-05T00:00:00"/>
    <d v="1899-12-30T10:30:00"/>
    <n v="38"/>
    <x v="1"/>
  </r>
  <r>
    <d v="2021-03-07T00:00:00"/>
    <x v="17"/>
    <x v="0"/>
    <x v="1"/>
    <x v="2"/>
    <x v="1"/>
    <s v="Email Title 18"/>
    <s v="Subject Line 18"/>
    <s v="Here you can write email content #18"/>
    <s v="https://www.simplesheets.co/"/>
    <d v="2021-02-20T00:00:00"/>
    <d v="1899-12-30T12:00:00"/>
    <n v="0"/>
    <x v="3"/>
  </r>
  <r>
    <d v="2021-02-02T00:00:00"/>
    <x v="18"/>
    <x v="0"/>
    <x v="3"/>
    <x v="2"/>
    <x v="1"/>
    <s v="Email Title 19"/>
    <s v="Subject Line 19"/>
    <s v="Here you can write email content #19"/>
    <s v="https://www.simplesheets.co/"/>
    <d v="2021-04-01T00:00:00"/>
    <d v="1899-12-30T16:30:00"/>
    <n v="34"/>
    <x v="3"/>
  </r>
  <r>
    <d v="2021-04-08T00:00:00"/>
    <x v="19"/>
    <x v="2"/>
    <x v="2"/>
    <x v="0"/>
    <x v="0"/>
    <s v="Email Title 20"/>
    <s v="Subject Line 20"/>
    <s v="Here you can write email content #20"/>
    <s v="https://www.simplesheets.co/"/>
    <d v="2021-04-03T00:00:00"/>
    <d v="1899-12-30T18:30:00"/>
    <n v="36"/>
    <x v="2"/>
  </r>
  <r>
    <d v="2021-03-12T00:00:00"/>
    <x v="20"/>
    <x v="4"/>
    <x v="2"/>
    <x v="4"/>
    <x v="3"/>
    <s v="Email Title 21"/>
    <s v="Subject Line 21"/>
    <s v="Here you can write email content #21"/>
    <s v="https://www.simplesheets.co/"/>
    <d v="2021-04-06T00:00:00"/>
    <d v="1899-12-30T08:00:00"/>
    <n v="39"/>
    <x v="4"/>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9C608498-D5B7-4A80-A92A-F7D01B8548AE}" name="Planning" cacheId="3" applyNumberFormats="0" applyBorderFormats="0" applyFontFormats="0" applyPatternFormats="0" applyAlignmentFormats="0" applyWidthHeightFormats="1" dataCaption="Values" updatedVersion="6" minRefreshableVersion="3" rowGrandTotals="0" itemPrintTitles="1" createdVersion="6" indent="0" outline="1" outlineData="1" multipleFieldFilters="0">
  <location ref="B12:C33" firstHeaderRow="1" firstDataRow="1" firstDataCol="1"/>
  <pivotFields count="14">
    <pivotField numFmtId="165" showAll="0"/>
    <pivotField axis="axisRow" showAll="0" sortType="ascending">
      <items count="23">
        <item x="0"/>
        <item x="9"/>
        <item x="10"/>
        <item x="11"/>
        <item x="12"/>
        <item x="13"/>
        <item x="14"/>
        <item x="15"/>
        <item x="16"/>
        <item x="17"/>
        <item x="18"/>
        <item x="1"/>
        <item x="19"/>
        <item x="2"/>
        <item x="3"/>
        <item x="4"/>
        <item x="5"/>
        <item x="6"/>
        <item x="7"/>
        <item x="8"/>
        <item x="20"/>
        <item m="1" x="21"/>
        <item t="default"/>
      </items>
      <autoSortScope>
        <pivotArea dataOnly="0" outline="0" fieldPosition="0">
          <references count="1">
            <reference field="4294967294" count="1" selected="0">
              <x v="0"/>
            </reference>
          </references>
        </pivotArea>
      </autoSortScope>
    </pivotField>
    <pivotField showAll="0">
      <items count="7">
        <item x="3"/>
        <item x="0"/>
        <item x="4"/>
        <item x="1"/>
        <item x="5"/>
        <item x="2"/>
        <item t="default"/>
      </items>
    </pivotField>
    <pivotField showAll="0">
      <items count="8">
        <item x="3"/>
        <item x="0"/>
        <item x="5"/>
        <item x="1"/>
        <item x="4"/>
        <item x="2"/>
        <item x="6"/>
        <item t="default"/>
      </items>
    </pivotField>
    <pivotField showAll="0">
      <items count="7">
        <item x="0"/>
        <item x="4"/>
        <item x="1"/>
        <item x="2"/>
        <item x="3"/>
        <item m="1" x="5"/>
        <item t="default"/>
      </items>
    </pivotField>
    <pivotField showAll="0">
      <items count="5">
        <item x="1"/>
        <item x="3"/>
        <item x="0"/>
        <item x="2"/>
        <item t="default"/>
      </items>
    </pivotField>
    <pivotField showAll="0"/>
    <pivotField showAll="0"/>
    <pivotField showAll="0"/>
    <pivotField showAll="0"/>
    <pivotField numFmtId="16" showAll="0"/>
    <pivotField numFmtId="167" showAll="0"/>
    <pivotField dataField="1" showAll="0"/>
    <pivotField showAll="0">
      <items count="6">
        <item x="1"/>
        <item x="0"/>
        <item x="3"/>
        <item x="4"/>
        <item x="2"/>
        <item t="default"/>
      </items>
    </pivotField>
  </pivotFields>
  <rowFields count="1">
    <field x="1"/>
  </rowFields>
  <rowItems count="21">
    <i>
      <x v="9"/>
    </i>
    <i>
      <x v="15"/>
    </i>
    <i>
      <x v="1"/>
    </i>
    <i>
      <x v="14"/>
    </i>
    <i>
      <x/>
    </i>
    <i>
      <x v="18"/>
    </i>
    <i>
      <x v="13"/>
    </i>
    <i>
      <x v="19"/>
    </i>
    <i>
      <x v="11"/>
    </i>
    <i>
      <x v="2"/>
    </i>
    <i>
      <x v="17"/>
    </i>
    <i>
      <x v="6"/>
    </i>
    <i>
      <x v="5"/>
    </i>
    <i>
      <x v="10"/>
    </i>
    <i>
      <x v="7"/>
    </i>
    <i>
      <x v="12"/>
    </i>
    <i>
      <x v="8"/>
    </i>
    <i>
      <x v="20"/>
    </i>
    <i>
      <x v="3"/>
    </i>
    <i>
      <x v="16"/>
    </i>
    <i>
      <x v="4"/>
    </i>
  </rowItems>
  <colItems count="1">
    <i/>
  </colItems>
  <dataFields count="1">
    <dataField name="Remain Days." fld="12" baseField="0" baseItem="0"/>
  </dataFields>
  <formats count="18">
    <format dxfId="17">
      <pivotArea dataOnly="0" labelOnly="1" outline="0" axis="axisValues" fieldPosition="0"/>
    </format>
    <format dxfId="16">
      <pivotArea field="1" type="button" dataOnly="0" labelOnly="1" outline="0" axis="axisRow" fieldPosition="0"/>
    </format>
    <format dxfId="15">
      <pivotArea dataOnly="0" labelOnly="1" outline="0" axis="axisValues" fieldPosition="0"/>
    </format>
    <format dxfId="14">
      <pivotArea field="1" type="button" dataOnly="0" labelOnly="1" outline="0" axis="axisRow" fieldPosition="0"/>
    </format>
    <format dxfId="13">
      <pivotArea dataOnly="0" labelOnly="1" outline="0" axis="axisValues" fieldPosition="0"/>
    </format>
    <format dxfId="12">
      <pivotArea field="1" type="button" dataOnly="0" labelOnly="1" outline="0" axis="axisRow" fieldPosition="0"/>
    </format>
    <format dxfId="11">
      <pivotArea dataOnly="0" labelOnly="1" outline="0" axis="axisValues" fieldPosition="0"/>
    </format>
    <format dxfId="10">
      <pivotArea outline="0" collapsedLevelsAreSubtotals="1" fieldPosition="0"/>
    </format>
    <format dxfId="9">
      <pivotArea outline="0" collapsedLevelsAreSubtotals="1" fieldPosition="0"/>
    </format>
    <format dxfId="8">
      <pivotArea dataOnly="0" labelOnly="1" fieldPosition="0">
        <references count="1">
          <reference field="1" count="0"/>
        </references>
      </pivotArea>
    </format>
    <format dxfId="7">
      <pivotArea dataOnly="0" labelOnly="1" fieldPosition="0">
        <references count="1">
          <reference field="1" count="0"/>
        </references>
      </pivotArea>
    </format>
    <format dxfId="6">
      <pivotArea type="all" dataOnly="0" outline="0" fieldPosition="0"/>
    </format>
    <format dxfId="5">
      <pivotArea outline="0" collapsedLevelsAreSubtotals="1" fieldPosition="0"/>
    </format>
    <format dxfId="4">
      <pivotArea field="1" type="button" dataOnly="0" labelOnly="1" outline="0" axis="axisRow" fieldPosition="0"/>
    </format>
    <format dxfId="3">
      <pivotArea dataOnly="0" labelOnly="1" fieldPosition="0">
        <references count="1">
          <reference field="1" count="0"/>
        </references>
      </pivotArea>
    </format>
    <format dxfId="2">
      <pivotArea dataOnly="0" labelOnly="1" outline="0" axis="axisValues" fieldPosition="0"/>
    </format>
    <format dxfId="1">
      <pivotArea field="1" type="button" dataOnly="0" labelOnly="1" outline="0" axis="axisRow" fieldPosition="0"/>
    </format>
    <format dxfId="0">
      <pivotArea dataOnly="0" labelOnly="1" outline="0" axis="axisValues" fieldPosition="0"/>
    </format>
  </formats>
  <conditionalFormats count="1">
    <conditionalFormat priority="13">
      <pivotAreas count="1">
        <pivotArea type="data" outline="0" collapsedLevelsAreSubtotals="1" fieldPosition="0">
          <references count="1">
            <reference field="4294967294" count="1" selected="0">
              <x v="0"/>
            </reference>
          </references>
        </pivotArea>
      </pivotAreas>
    </conditionalFormat>
  </conditionalFormats>
  <pivotTableStyleInfo name="PivotTable Style 1" showRowHeaders="1" showColHeaders="1" showRowStripes="0" showColStripes="0" showLastColumn="1"/>
  <filters count="1">
    <filter fld="1" type="captionNotContains" evalOrder="-1" id="2" stringValue1="(blank)">
      <autoFilter ref="A1">
        <filterColumn colId="0">
          <customFilters>
            <customFilter operator="notEqual" val="*(blank)*"/>
          </customFilters>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E2E9F8E5-A37A-46DC-9D10-AB8638C36EBC}" name="filter" cacheId="3" applyNumberFormats="0" applyBorderFormats="0" applyFontFormats="0" applyPatternFormats="0" applyAlignmentFormats="0" applyWidthHeightFormats="1" dataCaption="Values" updatedVersion="6" minRefreshableVersion="3" useAutoFormatting="1" rowGrandTotals="0" itemPrintTitles="1" createdVersion="6" indent="0" outline="1" outlineData="1" multipleFieldFilters="0">
  <location ref="B3:B24" firstHeaderRow="1" firstDataRow="1" firstDataCol="1"/>
  <pivotFields count="14">
    <pivotField numFmtId="165" showAll="0"/>
    <pivotField axis="axisRow" showAll="0">
      <items count="23">
        <item x="0"/>
        <item x="9"/>
        <item x="10"/>
        <item x="11"/>
        <item x="12"/>
        <item x="13"/>
        <item x="14"/>
        <item x="15"/>
        <item x="16"/>
        <item x="17"/>
        <item x="18"/>
        <item x="1"/>
        <item x="19"/>
        <item x="20"/>
        <item x="2"/>
        <item x="3"/>
        <item x="4"/>
        <item x="5"/>
        <item x="6"/>
        <item x="7"/>
        <item x="8"/>
        <item m="1" x="21"/>
        <item t="default"/>
      </items>
    </pivotField>
    <pivotField showAll="0"/>
    <pivotField showAll="0"/>
    <pivotField showAll="0"/>
    <pivotField showAll="0"/>
    <pivotField showAll="0"/>
    <pivotField showAll="0"/>
    <pivotField showAll="0"/>
    <pivotField showAll="0"/>
    <pivotField numFmtId="165" showAll="0"/>
    <pivotField numFmtId="167" showAll="0"/>
    <pivotField showAll="0"/>
    <pivotField showAll="0">
      <items count="6">
        <item x="1"/>
        <item x="0"/>
        <item x="3"/>
        <item x="4"/>
        <item x="2"/>
        <item t="default"/>
      </items>
    </pivotField>
  </pivotFields>
  <rowFields count="1">
    <field x="1"/>
  </rowFields>
  <rowItems count="21">
    <i>
      <x/>
    </i>
    <i>
      <x v="1"/>
    </i>
    <i>
      <x v="2"/>
    </i>
    <i>
      <x v="3"/>
    </i>
    <i>
      <x v="4"/>
    </i>
    <i>
      <x v="5"/>
    </i>
    <i>
      <x v="6"/>
    </i>
    <i>
      <x v="7"/>
    </i>
    <i>
      <x v="8"/>
    </i>
    <i>
      <x v="9"/>
    </i>
    <i>
      <x v="10"/>
    </i>
    <i>
      <x v="11"/>
    </i>
    <i>
      <x v="12"/>
    </i>
    <i>
      <x v="13"/>
    </i>
    <i>
      <x v="14"/>
    </i>
    <i>
      <x v="15"/>
    </i>
    <i>
      <x v="16"/>
    </i>
    <i>
      <x v="17"/>
    </i>
    <i>
      <x v="18"/>
    </i>
    <i>
      <x v="19"/>
    </i>
    <i>
      <x v="20"/>
    </i>
  </rowItems>
  <colItems count="1">
    <i/>
  </colItems>
  <pivotTableStyleInfo name="PivotStyleLight16" showRowHeaders="1" showColHeaders="1" showRowStripes="0" showColStripes="0" showLastColumn="1"/>
  <filters count="1">
    <filter fld="1" type="captionNotContains" evalOrder="-1" id="1" stringValue1="(blank)">
      <autoFilter ref="A1">
        <filterColumn colId="0">
          <customFilters>
            <customFilter operator="notEqual" val="*(blank)*"/>
          </customFilters>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B0A5539D-4429-44E7-8123-CB84DE8CD171}" name="Campaign name" cacheId="3"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3">
  <location ref="J6:K13" firstHeaderRow="1" firstDataRow="1" firstDataCol="1"/>
  <pivotFields count="14">
    <pivotField numFmtId="165" showAll="0"/>
    <pivotField dataField="1" showAll="0"/>
    <pivotField axis="axisRow" showAll="0">
      <items count="7">
        <item x="3"/>
        <item x="0"/>
        <item x="4"/>
        <item x="1"/>
        <item x="5"/>
        <item x="2"/>
        <item t="default"/>
      </items>
    </pivotField>
    <pivotField showAll="0">
      <items count="8">
        <item x="3"/>
        <item x="0"/>
        <item x="5"/>
        <item x="1"/>
        <item x="4"/>
        <item x="2"/>
        <item x="6"/>
        <item t="default"/>
      </items>
    </pivotField>
    <pivotField showAll="0">
      <items count="7">
        <item x="0"/>
        <item x="4"/>
        <item x="1"/>
        <item x="2"/>
        <item x="3"/>
        <item m="1" x="5"/>
        <item t="default"/>
      </items>
    </pivotField>
    <pivotField showAll="0">
      <items count="5">
        <item x="1"/>
        <item x="3"/>
        <item x="0"/>
        <item x="2"/>
        <item t="default"/>
      </items>
    </pivotField>
    <pivotField showAll="0"/>
    <pivotField showAll="0"/>
    <pivotField showAll="0"/>
    <pivotField showAll="0"/>
    <pivotField numFmtId="165" showAll="0"/>
    <pivotField numFmtId="167" showAll="0"/>
    <pivotField showAll="0"/>
    <pivotField showAll="0">
      <items count="6">
        <item x="1"/>
        <item x="0"/>
        <item x="3"/>
        <item x="4"/>
        <item x="2"/>
        <item t="default"/>
      </items>
    </pivotField>
  </pivotFields>
  <rowFields count="1">
    <field x="2"/>
  </rowFields>
  <rowItems count="7">
    <i>
      <x/>
    </i>
    <i>
      <x v="1"/>
    </i>
    <i>
      <x v="2"/>
    </i>
    <i>
      <x v="3"/>
    </i>
    <i>
      <x v="4"/>
    </i>
    <i>
      <x v="5"/>
    </i>
    <i t="grand">
      <x/>
    </i>
  </rowItems>
  <colItems count="1">
    <i/>
  </colItems>
  <dataFields count="1">
    <dataField name="Count of Email ID" fld="1" subtotal="count" baseField="0" baseItem="0"/>
  </dataFields>
  <chartFormats count="9">
    <chartFormat chart="0" format="0" series="1">
      <pivotArea type="data" outline="0" fieldPosition="0">
        <references count="1">
          <reference field="4294967294" count="1" selected="0">
            <x v="0"/>
          </reference>
        </references>
      </pivotArea>
    </chartFormat>
    <chartFormat chart="1" format="1" series="1">
      <pivotArea type="data" outline="0" fieldPosition="0">
        <references count="1">
          <reference field="4294967294" count="1" selected="0">
            <x v="0"/>
          </reference>
        </references>
      </pivotArea>
    </chartFormat>
    <chartFormat chart="2" format="6" series="1">
      <pivotArea type="data" outline="0" fieldPosition="0">
        <references count="1">
          <reference field="4294967294" count="1" selected="0">
            <x v="0"/>
          </reference>
        </references>
      </pivotArea>
    </chartFormat>
    <chartFormat chart="2" format="11">
      <pivotArea type="data" outline="0" fieldPosition="0">
        <references count="2">
          <reference field="4294967294" count="1" selected="0">
            <x v="0"/>
          </reference>
          <reference field="2" count="1" selected="0">
            <x v="0"/>
          </reference>
        </references>
      </pivotArea>
    </chartFormat>
    <chartFormat chart="2" format="12">
      <pivotArea type="data" outline="0" fieldPosition="0">
        <references count="2">
          <reference field="4294967294" count="1" selected="0">
            <x v="0"/>
          </reference>
          <reference field="2" count="1" selected="0">
            <x v="1"/>
          </reference>
        </references>
      </pivotArea>
    </chartFormat>
    <chartFormat chart="2" format="13">
      <pivotArea type="data" outline="0" fieldPosition="0">
        <references count="2">
          <reference field="4294967294" count="1" selected="0">
            <x v="0"/>
          </reference>
          <reference field="2" count="1" selected="0">
            <x v="2"/>
          </reference>
        </references>
      </pivotArea>
    </chartFormat>
    <chartFormat chart="2" format="14">
      <pivotArea type="data" outline="0" fieldPosition="0">
        <references count="2">
          <reference field="4294967294" count="1" selected="0">
            <x v="0"/>
          </reference>
          <reference field="2" count="1" selected="0">
            <x v="3"/>
          </reference>
        </references>
      </pivotArea>
    </chartFormat>
    <chartFormat chart="2" format="15">
      <pivotArea type="data" outline="0" fieldPosition="0">
        <references count="2">
          <reference field="4294967294" count="1" selected="0">
            <x v="0"/>
          </reference>
          <reference field="2" count="1" selected="0">
            <x v="4"/>
          </reference>
        </references>
      </pivotArea>
    </chartFormat>
    <chartFormat chart="2" format="16">
      <pivotArea type="data" outline="0" fieldPosition="0">
        <references count="2">
          <reference field="4294967294" count="1" selected="0">
            <x v="0"/>
          </reference>
          <reference field="2" count="1" selected="0">
            <x v="5"/>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C5983DA8-2304-40D7-8CF6-4402CD0B89F9}" name="pipeline" cacheId="3"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4">
  <location ref="B5:H7" firstHeaderRow="1" firstDataRow="2" firstDataCol="1"/>
  <pivotFields count="14">
    <pivotField numFmtId="165" showAll="0"/>
    <pivotField dataField="1" showAll="0"/>
    <pivotField showAll="0">
      <items count="7">
        <item x="3"/>
        <item x="0"/>
        <item x="4"/>
        <item x="1"/>
        <item x="5"/>
        <item x="2"/>
        <item t="default"/>
      </items>
    </pivotField>
    <pivotField showAll="0">
      <items count="8">
        <item x="3"/>
        <item x="0"/>
        <item x="5"/>
        <item x="1"/>
        <item x="4"/>
        <item x="2"/>
        <item x="6"/>
        <item t="default"/>
      </items>
    </pivotField>
    <pivotField showAll="0">
      <items count="7">
        <item x="0"/>
        <item x="4"/>
        <item x="1"/>
        <item x="2"/>
        <item x="3"/>
        <item m="1" x="5"/>
        <item t="default"/>
      </items>
    </pivotField>
    <pivotField showAll="0">
      <items count="5">
        <item x="1"/>
        <item x="3"/>
        <item x="0"/>
        <item x="2"/>
        <item t="default"/>
      </items>
    </pivotField>
    <pivotField showAll="0"/>
    <pivotField showAll="0"/>
    <pivotField showAll="0"/>
    <pivotField showAll="0"/>
    <pivotField numFmtId="165" showAll="0"/>
    <pivotField numFmtId="167" showAll="0"/>
    <pivotField showAll="0"/>
    <pivotField axis="axisCol" showAll="0">
      <items count="6">
        <item x="4"/>
        <item x="2"/>
        <item x="0"/>
        <item x="3"/>
        <item x="1"/>
        <item t="default"/>
      </items>
    </pivotField>
  </pivotFields>
  <rowItems count="1">
    <i/>
  </rowItems>
  <colFields count="1">
    <field x="13"/>
  </colFields>
  <colItems count="6">
    <i>
      <x/>
    </i>
    <i>
      <x v="1"/>
    </i>
    <i>
      <x v="2"/>
    </i>
    <i>
      <x v="3"/>
    </i>
    <i>
      <x v="4"/>
    </i>
    <i t="grand">
      <x/>
    </i>
  </colItems>
  <dataFields count="1">
    <dataField name="Count of Email ID" fld="1" subtotal="count" baseField="0" baseItem="0"/>
  </dataFields>
  <chartFormats count="6">
    <chartFormat chart="3" format="10" series="1">
      <pivotArea type="data" outline="0" fieldPosition="0">
        <references count="2">
          <reference field="4294967294" count="1" selected="0">
            <x v="0"/>
          </reference>
          <reference field="13" count="1" selected="0">
            <x v="0"/>
          </reference>
        </references>
      </pivotArea>
    </chartFormat>
    <chartFormat chart="3" format="11" series="1">
      <pivotArea type="data" outline="0" fieldPosition="0">
        <references count="2">
          <reference field="4294967294" count="1" selected="0">
            <x v="0"/>
          </reference>
          <reference field="13" count="1" selected="0">
            <x v="1"/>
          </reference>
        </references>
      </pivotArea>
    </chartFormat>
    <chartFormat chart="3" format="12" series="1">
      <pivotArea type="data" outline="0" fieldPosition="0">
        <references count="2">
          <reference field="4294967294" count="1" selected="0">
            <x v="0"/>
          </reference>
          <reference field="13" count="1" selected="0">
            <x v="2"/>
          </reference>
        </references>
      </pivotArea>
    </chartFormat>
    <chartFormat chart="3" format="13" series="1">
      <pivotArea type="data" outline="0" fieldPosition="0">
        <references count="2">
          <reference field="4294967294" count="1" selected="0">
            <x v="0"/>
          </reference>
          <reference field="13" count="1" selected="0">
            <x v="3"/>
          </reference>
        </references>
      </pivotArea>
    </chartFormat>
    <chartFormat chart="3" format="14" series="1">
      <pivotArea type="data" outline="0" fieldPosition="0">
        <references count="2">
          <reference field="4294967294" count="1" selected="0">
            <x v="0"/>
          </reference>
          <reference field="13" count="1" selected="0">
            <x v="4"/>
          </reference>
        </references>
      </pivotArea>
    </chartFormat>
    <chartFormat chart="3" format="15"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tatus" xr10:uid="{E9B9CE79-5B8F-4DC5-9F38-0664C9540006}" sourceName="Status">
  <pivotTables>
    <pivotTable tabId="12" name="Planning"/>
    <pivotTable tabId="13" name="Campaign name"/>
    <pivotTable tabId="14" name="filter"/>
  </pivotTables>
  <data>
    <tabular pivotCacheId="1787545555">
      <items count="5">
        <i x="1" s="1"/>
        <i x="0" s="1"/>
        <i x="3" s="1"/>
        <i x="4" s="1"/>
        <i x="2" s="1"/>
      </items>
    </tabular>
  </data>
  <extLst>
    <x:ext xmlns:x15="http://schemas.microsoft.com/office/spreadsheetml/2010/11/main" uri="{470722E0-AACD-4C17-9CDC-17EF765DBC7E}">
      <x15:slicerCacheHideItemsWithNoData/>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ustomer_Type" xr10:uid="{97DB59AA-F46B-45BA-AFF1-713A7DB02440}" sourceName="Customer Type">
  <pivotTables>
    <pivotTable tabId="12" name="Planning"/>
    <pivotTable tabId="13" name="pipeline"/>
    <pivotTable tabId="13" name="Campaign name"/>
  </pivotTables>
  <data>
    <tabular pivotCacheId="1787545555">
      <items count="4">
        <i x="1" s="1"/>
        <i x="3" s="1"/>
        <i x="0" s="1"/>
        <i x="2" s="1"/>
      </items>
    </tabular>
  </data>
  <extLst>
    <x:ext xmlns:x15="http://schemas.microsoft.com/office/spreadsheetml/2010/11/main" uri="{470722E0-AACD-4C17-9CDC-17EF765DBC7E}">
      <x15:slicerCacheHideItemsWithNoData/>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ontent_Topic" xr10:uid="{2DE188B3-B14E-4572-842C-6CF05D30AEC0}" sourceName="Content Topic">
  <pivotTables>
    <pivotTable tabId="12" name="Planning"/>
    <pivotTable tabId="13" name="Campaign name"/>
    <pivotTable tabId="13" name="pipeline"/>
  </pivotTables>
  <data>
    <tabular pivotCacheId="1787545555">
      <items count="7">
        <i x="3" s="1"/>
        <i x="0" s="1"/>
        <i x="5" s="1"/>
        <i x="1" s="1"/>
        <i x="4" s="1"/>
        <i x="2" s="1"/>
        <i x="6" s="1"/>
      </items>
    </tabular>
  </data>
  <extLst>
    <x:ext xmlns:x15="http://schemas.microsoft.com/office/spreadsheetml/2010/11/main" uri="{470722E0-AACD-4C17-9CDC-17EF765DBC7E}">
      <x15:slicerCacheHideItemsWithNoData/>
    </x:ext>
  </extLst>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ustomer_Name" xr10:uid="{F176B2FF-FA2A-4B35-B1D3-E18FF95D755E}" sourceName="Customer Name">
  <pivotTables>
    <pivotTable tabId="12" name="Planning"/>
    <pivotTable tabId="13" name="pipeline"/>
    <pivotTable tabId="13" name="Campaign name"/>
  </pivotTables>
  <data>
    <tabular pivotCacheId="1787545555">
      <items count="6">
        <i x="0" s="1"/>
        <i x="4" s="1"/>
        <i x="1" s="1"/>
        <i x="2" s="1"/>
        <i x="3" s="1"/>
        <i x="5" s="1" nd="1"/>
      </items>
    </tabular>
  </data>
  <extLst>
    <x:ext xmlns:x15="http://schemas.microsoft.com/office/spreadsheetml/2010/11/main" uri="{470722E0-AACD-4C17-9CDC-17EF765DBC7E}">
      <x15:slicerCacheHideItemsWithNoData/>
    </x:ext>
  </extLst>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mpaign_Name" xr10:uid="{EE80B18E-05E0-4321-BBA0-88751894E5DF}" sourceName="Campaign Name">
  <pivotTables>
    <pivotTable tabId="12" name="Planning"/>
    <pivotTable tabId="13" name="pipeline"/>
  </pivotTables>
  <data>
    <tabular pivotCacheId="1787545555">
      <items count="6">
        <i x="3" s="1"/>
        <i x="0" s="1"/>
        <i x="4" s="1"/>
        <i x="1" s="1"/>
        <i x="5" s="1"/>
        <i x="2" s="1"/>
      </items>
    </tabular>
  </data>
  <extLst>
    <x:ext xmlns:x15="http://schemas.microsoft.com/office/spreadsheetml/2010/11/main" uri="{470722E0-AACD-4C17-9CDC-17EF765DBC7E}">
      <x15:slicerCacheHideItemsWithNoData/>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tatus" xr10:uid="{E93E84AB-BD58-413D-B3FA-FA7E0BFF8347}" cache="Slicer_Status" caption="Status" startItem="2" style="SlicerStyleLight3" lockedPosition="1" rowHeight="225425"/>
  <slicer name="Customer Type" xr10:uid="{84342985-0E69-41DC-9CAA-941B90194929}" cache="Slicer_Customer_Type" caption="Customer Type" columnCount="2" style="Slicer Style 1" lockedPosition="1" rowHeight="225425"/>
  <slicer name="Content Topic" xr10:uid="{4BC9BBE7-55BD-4D4E-8D0F-1601A2D13AA6}" cache="Slicer_Content_Topic" caption="Content Topic" columnCount="2" style="Slicer Style 1" lockedPosition="1" rowHeight="225425"/>
  <slicer name="Customer Name" xr10:uid="{FCCF701C-AD0E-498C-A7CE-FCAB7AFF409E}" cache="Slicer_Customer_Name" caption="Customer Name" columnCount="2" style="Slicer Style 1" lockedPosition="1" rowHeight="225425"/>
  <slicer name="Campaign Name" xr10:uid="{CEDCDE01-F7E4-4E54-BFAC-655AA29E4893}" cache="Slicer_Campaign_Name" caption="Campaign Name" style="Slicer Style 1" lockedPosition="1" rowHeight="225425"/>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BDB1E88E-B14B-4A8C-95F0-23254B5F8A65}" name="Email" displayName="Email" ref="B2:O23" totalsRowShown="0" headerRowDxfId="46" dataDxfId="44" headerRowBorderDxfId="45" tableBorderDxfId="43" totalsRowBorderDxfId="42">
  <tableColumns count="14">
    <tableColumn id="1" xr3:uid="{C1C023B3-B031-4668-B6AF-D42F2252A966}" name="Date Of Creation" dataDxfId="41"/>
    <tableColumn id="3" xr3:uid="{7BDA8E6D-7AF0-4616-87D2-96D243A953DD}" name="Email ID" dataDxfId="40"/>
    <tableColumn id="13" xr3:uid="{B814C527-0611-4BC0-AC85-B239A43AEDF2}" name="Campaign Name" dataDxfId="39"/>
    <tableColumn id="15" xr3:uid="{D202B4D2-473F-46BE-B229-D2C87C9536BB}" name="Content Topic" dataDxfId="38"/>
    <tableColumn id="12" xr3:uid="{7DCEBAAD-0684-4868-AEBE-28C613C78BBC}" name="Customer Name" dataDxfId="37"/>
    <tableColumn id="2" xr3:uid="{0EF9753C-C328-4AA2-A050-640C8CD63EF0}" name="Customer Type" dataDxfId="36">
      <calculatedColumnFormula>IFERROR(IF(Email[[#This Row],[Customer Name]]="","",VLOOKUP(Email[[#This Row],[Customer Name]],Database!H:N,2,0)),"")</calculatedColumnFormula>
    </tableColumn>
    <tableColumn id="14" xr3:uid="{94BCA9B8-8798-491C-8455-D4DF6DF3417E}" name="Email Title" dataDxfId="35"/>
    <tableColumn id="9" xr3:uid="{09988A16-AA51-493D-81F5-A96E1D049E14}" name="Subject Line" dataDxfId="34"/>
    <tableColumn id="11" xr3:uid="{D2909BA1-A962-4AF3-BBE4-EA37095E560F}" name="Email Content" dataDxfId="33"/>
    <tableColumn id="8" xr3:uid="{FCCAFFDA-4473-40C1-8949-46EFA8B9DCA8}" name="Link" dataDxfId="32"/>
    <tableColumn id="7" xr3:uid="{A9CAE794-581B-499A-981E-E52F69996A25}" name="Target Sending Date" dataDxfId="31"/>
    <tableColumn id="4" xr3:uid="{1A9C7D48-7193-467B-BB58-ABBA96D72250}" name="Sending Time" dataDxfId="30"/>
    <tableColumn id="5" xr3:uid="{6045A146-6640-45D2-B32F-2D324E6909A8}" name="Remain Days Until Sending" dataDxfId="29">
      <calculatedColumnFormula>IF(Email[[#This Row],[Target Sending Date]]="","",IF(Email[[#This Row],[Target Sending Date]]&lt;TODAY(),0,Email[[#This Row],[Target Sending Date]]-TODAY()))</calculatedColumnFormula>
    </tableColumn>
    <tableColumn id="10" xr3:uid="{36CE08CE-AFAA-44C2-AC0A-762715F0EAFA}" name="Status" dataDxfId="28"/>
  </tableColumns>
  <tableStyleInfo showFirstColumn="0" showLastColumn="0" showRowStripes="1" showColumnStripes="0"/>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customProperty" Target="../customProperty1.bin"/><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hyperlink" Target="https://www.simplesheets.co/" TargetMode="External"/><Relationship Id="rId2" Type="http://schemas.openxmlformats.org/officeDocument/2006/relationships/hyperlink" Target="https://www.simplesheets.co/" TargetMode="External"/><Relationship Id="rId1" Type="http://schemas.openxmlformats.org/officeDocument/2006/relationships/hyperlink" Target="https://www.google.com/" TargetMode="External"/><Relationship Id="rId5" Type="http://schemas.openxmlformats.org/officeDocument/2006/relationships/table" Target="../tables/table1.xml"/><Relationship Id="rId4"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2.xml"/><Relationship Id="rId7" Type="http://schemas.microsoft.com/office/2007/relationships/slicer" Target="../slicers/slicer1.xml"/><Relationship Id="rId2" Type="http://schemas.openxmlformats.org/officeDocument/2006/relationships/printerSettings" Target="../printerSettings/printerSettings3.bin"/><Relationship Id="rId1" Type="http://schemas.openxmlformats.org/officeDocument/2006/relationships/pivotTable" Target="../pivotTables/pivotTable1.xml"/><Relationship Id="rId6" Type="http://schemas.openxmlformats.org/officeDocument/2006/relationships/ctrlProp" Target="../ctrlProps/ctrlProp2.xm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4.xml.rels><?xml version="1.0" encoding="UTF-8" standalone="yes"?>
<Relationships xmlns="http://schemas.openxmlformats.org/package/2006/relationships"><Relationship Id="rId8" Type="http://schemas.openxmlformats.org/officeDocument/2006/relationships/printerSettings" Target="../printerSettings/printerSettings4.bin"/><Relationship Id="rId3" Type="http://schemas.openxmlformats.org/officeDocument/2006/relationships/hyperlink" Target="mailto:Customer.2@domain.com" TargetMode="External"/><Relationship Id="rId7" Type="http://schemas.openxmlformats.org/officeDocument/2006/relationships/hyperlink" Target="mailto:Simplesheets@sidekickdigitalmedia.com" TargetMode="External"/><Relationship Id="rId2" Type="http://schemas.openxmlformats.org/officeDocument/2006/relationships/hyperlink" Target="mailto:Customer.1@domain.com" TargetMode="External"/><Relationship Id="rId1" Type="http://schemas.openxmlformats.org/officeDocument/2006/relationships/hyperlink" Target="mailto:Customer.1@domain.com" TargetMode="External"/><Relationship Id="rId6" Type="http://schemas.openxmlformats.org/officeDocument/2006/relationships/hyperlink" Target="mailto:Customer.5@domain.com" TargetMode="External"/><Relationship Id="rId5" Type="http://schemas.openxmlformats.org/officeDocument/2006/relationships/hyperlink" Target="mailto:Customer.4@domain.com" TargetMode="External"/><Relationship Id="rId4" Type="http://schemas.openxmlformats.org/officeDocument/2006/relationships/hyperlink" Target="mailto:Customer.3@domain.com" TargetMode="External"/></Relationships>
</file>

<file path=xl/worksheets/_rels/sheet5.xml.rels><?xml version="1.0" encoding="UTF-8" standalone="yes"?>
<Relationships xmlns="http://schemas.openxmlformats.org/package/2006/relationships"><Relationship Id="rId1" Type="http://schemas.openxmlformats.org/officeDocument/2006/relationships/pivotTable" Target="../pivotTables/pivotTable2.xml"/></Relationships>
</file>

<file path=xl/worksheets/_rels/sheet6.xml.rels><?xml version="1.0" encoding="UTF-8" standalone="yes"?>
<Relationships xmlns="http://schemas.openxmlformats.org/package/2006/relationships"><Relationship Id="rId2" Type="http://schemas.openxmlformats.org/officeDocument/2006/relationships/pivotTable" Target="../pivotTables/pivotTable4.xml"/><Relationship Id="rId1" Type="http://schemas.openxmlformats.org/officeDocument/2006/relationships/pivotTable" Target="../pivotTables/pivotTable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6647F2-CBE2-4E30-B5AE-E4E40867A560}">
  <sheetPr codeName="Sheet1">
    <tabColor rgb="FFC00000"/>
  </sheetPr>
  <dimension ref="A1:O64"/>
  <sheetViews>
    <sheetView showGridLines="0" showRowColHeaders="0" tabSelected="1" topLeftCell="A33" zoomScale="85" zoomScaleNormal="85" workbookViewId="0">
      <pane xSplit="3" topLeftCell="D1" activePane="topRight" state="frozen"/>
      <selection pane="topRight" activeCell="C60" sqref="C60:K72"/>
    </sheetView>
  </sheetViews>
  <sheetFormatPr defaultColWidth="10.140625" defaultRowHeight="15" x14ac:dyDescent="0.2"/>
  <cols>
    <col min="1" max="1" width="27.85546875" style="5" customWidth="1"/>
    <col min="2" max="2" width="22.85546875" style="2" customWidth="1"/>
    <col min="3" max="3" width="26.7109375" style="2" customWidth="1"/>
    <col min="4" max="16384" width="10.140625" style="2"/>
  </cols>
  <sheetData>
    <row r="1" spans="1:4" x14ac:dyDescent="0.2">
      <c r="A1" s="1"/>
    </row>
    <row r="2" spans="1:4" x14ac:dyDescent="0.2">
      <c r="A2" s="1"/>
    </row>
    <row r="3" spans="1:4" x14ac:dyDescent="0.2">
      <c r="A3" s="1"/>
    </row>
    <row r="4" spans="1:4" ht="3.6" customHeight="1" x14ac:dyDescent="0.2">
      <c r="A4" s="1"/>
    </row>
    <row r="5" spans="1:4" ht="12.75" x14ac:dyDescent="0.2">
      <c r="A5" s="6" t="s">
        <v>1</v>
      </c>
      <c r="B5" s="3" t="s">
        <v>0</v>
      </c>
      <c r="D5" s="3" t="s">
        <v>234</v>
      </c>
    </row>
    <row r="7" spans="1:4" ht="12.75" x14ac:dyDescent="0.2">
      <c r="A7" s="7"/>
      <c r="B7" s="3" t="s">
        <v>2</v>
      </c>
      <c r="D7" s="2" t="s">
        <v>203</v>
      </c>
    </row>
    <row r="8" spans="1:4" ht="12.75" x14ac:dyDescent="0.2">
      <c r="A8" s="7" t="s">
        <v>188</v>
      </c>
      <c r="D8" s="2" t="s">
        <v>204</v>
      </c>
    </row>
    <row r="9" spans="1:4" ht="12.75" x14ac:dyDescent="0.2">
      <c r="A9" s="7" t="s">
        <v>189</v>
      </c>
    </row>
    <row r="10" spans="1:4" ht="12.75" x14ac:dyDescent="0.2">
      <c r="A10" s="7" t="s">
        <v>20</v>
      </c>
    </row>
    <row r="11" spans="1:4" ht="12.75" x14ac:dyDescent="0.2">
      <c r="A11" s="7"/>
      <c r="B11" s="11"/>
      <c r="C11" s="10"/>
    </row>
    <row r="13" spans="1:4" ht="12.75" x14ac:dyDescent="0.2">
      <c r="A13" s="7"/>
    </row>
    <row r="14" spans="1:4" ht="12.75" x14ac:dyDescent="0.2">
      <c r="A14" s="7"/>
      <c r="B14" s="3" t="s">
        <v>3</v>
      </c>
      <c r="D14" s="3">
        <v>2</v>
      </c>
    </row>
    <row r="15" spans="1:4" ht="12.75" x14ac:dyDescent="0.2">
      <c r="A15" s="7"/>
    </row>
    <row r="16" spans="1:4" x14ac:dyDescent="0.2">
      <c r="B16" s="3" t="s">
        <v>4</v>
      </c>
      <c r="C16" s="8"/>
      <c r="D16" s="9"/>
    </row>
    <row r="17" spans="1:4" ht="12.75" x14ac:dyDescent="0.2">
      <c r="A17" s="7"/>
      <c r="B17" s="3"/>
      <c r="C17" s="12" t="s">
        <v>188</v>
      </c>
      <c r="D17" s="2" t="s">
        <v>205</v>
      </c>
    </row>
    <row r="18" spans="1:4" ht="12.75" x14ac:dyDescent="0.2">
      <c r="A18" s="7"/>
      <c r="B18" s="3"/>
      <c r="C18" s="12" t="s">
        <v>189</v>
      </c>
      <c r="D18" s="75" t="s">
        <v>206</v>
      </c>
    </row>
    <row r="19" spans="1:4" ht="12.75" x14ac:dyDescent="0.2">
      <c r="A19" s="7"/>
      <c r="B19" s="3"/>
      <c r="D19" s="75" t="s">
        <v>207</v>
      </c>
    </row>
    <row r="20" spans="1:4" ht="12.75" customHeight="1" x14ac:dyDescent="0.2">
      <c r="C20" s="12" t="s">
        <v>20</v>
      </c>
      <c r="D20" s="2" t="s">
        <v>208</v>
      </c>
    </row>
    <row r="21" spans="1:4" ht="12.75" customHeight="1" x14ac:dyDescent="0.2">
      <c r="C21" s="12"/>
    </row>
    <row r="22" spans="1:4" ht="12.75" customHeight="1" x14ac:dyDescent="0.2">
      <c r="B22" s="3" t="s">
        <v>5</v>
      </c>
      <c r="C22" s="4" t="s">
        <v>6</v>
      </c>
      <c r="D22" s="2" t="s">
        <v>209</v>
      </c>
    </row>
    <row r="23" spans="1:4" ht="12.75" customHeight="1" x14ac:dyDescent="0.2">
      <c r="C23" s="4" t="s">
        <v>7</v>
      </c>
      <c r="D23" s="2" t="s">
        <v>210</v>
      </c>
    </row>
    <row r="24" spans="1:4" ht="12.75" customHeight="1" x14ac:dyDescent="0.2">
      <c r="C24" s="4" t="s">
        <v>8</v>
      </c>
      <c r="D24" s="2" t="s">
        <v>211</v>
      </c>
    </row>
    <row r="25" spans="1:4" ht="12.75" customHeight="1" x14ac:dyDescent="0.2">
      <c r="C25" s="4" t="s">
        <v>9</v>
      </c>
      <c r="D25" s="2" t="s">
        <v>212</v>
      </c>
    </row>
    <row r="26" spans="1:4" ht="12.75" customHeight="1" x14ac:dyDescent="0.2">
      <c r="C26" s="4" t="s">
        <v>10</v>
      </c>
      <c r="D26" s="2" t="s">
        <v>213</v>
      </c>
    </row>
    <row r="27" spans="1:4" ht="12.75" customHeight="1" x14ac:dyDescent="0.2">
      <c r="C27" s="4" t="s">
        <v>11</v>
      </c>
      <c r="D27" s="2" t="s">
        <v>214</v>
      </c>
    </row>
    <row r="28" spans="1:4" ht="12.75" customHeight="1" x14ac:dyDescent="0.2">
      <c r="C28" s="4" t="s">
        <v>12</v>
      </c>
      <c r="D28" s="2" t="s">
        <v>215</v>
      </c>
    </row>
    <row r="29" spans="1:4" ht="12.75" customHeight="1" x14ac:dyDescent="0.2">
      <c r="C29" s="4" t="s">
        <v>13</v>
      </c>
      <c r="D29" s="2" t="s">
        <v>216</v>
      </c>
    </row>
    <row r="30" spans="1:4" ht="12.75" customHeight="1" x14ac:dyDescent="0.2">
      <c r="C30" s="4" t="s">
        <v>14</v>
      </c>
      <c r="D30" s="2" t="s">
        <v>217</v>
      </c>
    </row>
    <row r="31" spans="1:4" ht="12.75" customHeight="1" x14ac:dyDescent="0.2">
      <c r="C31" s="4" t="s">
        <v>15</v>
      </c>
      <c r="D31" s="2" t="s">
        <v>218</v>
      </c>
    </row>
    <row r="32" spans="1:4" ht="12.75" customHeight="1" x14ac:dyDescent="0.2">
      <c r="C32" s="4" t="s">
        <v>16</v>
      </c>
      <c r="D32" s="2" t="s">
        <v>219</v>
      </c>
    </row>
    <row r="33" spans="2:15" ht="12.75" customHeight="1" x14ac:dyDescent="0.2">
      <c r="C33" s="4" t="s">
        <v>17</v>
      </c>
      <c r="D33" s="2" t="s">
        <v>220</v>
      </c>
    </row>
    <row r="34" spans="2:15" ht="12.75" customHeight="1" x14ac:dyDescent="0.2">
      <c r="C34" s="4" t="s">
        <v>18</v>
      </c>
      <c r="D34" s="2" t="s">
        <v>221</v>
      </c>
    </row>
    <row r="35" spans="2:15" ht="12.75" customHeight="1" x14ac:dyDescent="0.2">
      <c r="C35" s="4" t="s">
        <v>19</v>
      </c>
      <c r="D35" s="2" t="s">
        <v>222</v>
      </c>
    </row>
    <row r="36" spans="2:15" ht="12.75" customHeight="1" x14ac:dyDescent="0.2">
      <c r="C36" s="4" t="s">
        <v>21</v>
      </c>
      <c r="D36" s="2" t="s">
        <v>223</v>
      </c>
    </row>
    <row r="37" spans="2:15" ht="12.75" customHeight="1" x14ac:dyDescent="0.2">
      <c r="C37" s="4" t="s">
        <v>22</v>
      </c>
      <c r="D37" s="2" t="s">
        <v>224</v>
      </c>
    </row>
    <row r="38" spans="2:15" ht="12.75" customHeight="1" x14ac:dyDescent="0.2">
      <c r="C38" s="4" t="s">
        <v>23</v>
      </c>
      <c r="D38" s="2" t="s">
        <v>225</v>
      </c>
    </row>
    <row r="39" spans="2:15" ht="12.75" customHeight="1" x14ac:dyDescent="0.2">
      <c r="C39" s="4" t="s">
        <v>24</v>
      </c>
      <c r="D39" s="2" t="s">
        <v>226</v>
      </c>
    </row>
    <row r="40" spans="2:15" ht="12.75" customHeight="1" x14ac:dyDescent="0.2">
      <c r="C40" s="4" t="s">
        <v>25</v>
      </c>
      <c r="D40" s="2" t="s">
        <v>227</v>
      </c>
    </row>
    <row r="41" spans="2:15" x14ac:dyDescent="0.2">
      <c r="C41" s="4"/>
    </row>
    <row r="42" spans="2:15" x14ac:dyDescent="0.2">
      <c r="B42" s="11" t="s">
        <v>235</v>
      </c>
      <c r="C42" s="76"/>
      <c r="D42" s="77" t="s">
        <v>236</v>
      </c>
      <c r="E42" s="78"/>
      <c r="F42" s="78"/>
      <c r="G42" s="78"/>
      <c r="H42" s="78"/>
      <c r="I42" s="78"/>
      <c r="J42" s="78"/>
      <c r="K42" s="78"/>
      <c r="L42" s="78"/>
      <c r="M42" s="78"/>
      <c r="N42" s="78"/>
      <c r="O42" s="78"/>
    </row>
    <row r="43" spans="2:15" x14ac:dyDescent="0.2">
      <c r="B43" s="78"/>
      <c r="C43" s="78"/>
      <c r="D43" s="77" t="s">
        <v>237</v>
      </c>
      <c r="E43" s="78"/>
      <c r="F43" s="78"/>
      <c r="G43" s="78"/>
      <c r="H43" s="78"/>
      <c r="I43" s="78"/>
      <c r="J43" s="78"/>
      <c r="K43" s="78"/>
      <c r="L43" s="78"/>
      <c r="M43" s="78"/>
      <c r="N43" s="78"/>
      <c r="O43" s="78"/>
    </row>
    <row r="44" spans="2:15" x14ac:dyDescent="0.2">
      <c r="B44" s="78"/>
      <c r="C44" s="78"/>
      <c r="D44" s="78"/>
      <c r="E44" s="78"/>
      <c r="F44" s="78"/>
      <c r="G44" s="78"/>
      <c r="H44" s="78"/>
      <c r="I44" s="78"/>
      <c r="J44" s="78"/>
      <c r="K44" s="78"/>
      <c r="L44" s="78"/>
      <c r="M44" s="78"/>
      <c r="N44" s="78"/>
      <c r="O44" s="78"/>
    </row>
    <row r="45" spans="2:15" x14ac:dyDescent="0.2">
      <c r="B45" s="78"/>
      <c r="C45" s="79" t="s">
        <v>238</v>
      </c>
      <c r="D45" s="78" t="s">
        <v>239</v>
      </c>
      <c r="E45" s="78"/>
      <c r="F45" s="78"/>
      <c r="G45" s="78"/>
      <c r="H45" s="78"/>
      <c r="I45" s="78"/>
      <c r="J45" s="78"/>
      <c r="K45" s="78"/>
      <c r="L45" s="78"/>
      <c r="M45" s="78"/>
      <c r="N45" s="78"/>
      <c r="O45" s="78"/>
    </row>
    <row r="46" spans="2:15" x14ac:dyDescent="0.2">
      <c r="B46" s="78"/>
      <c r="C46" s="78"/>
      <c r="D46" s="76"/>
      <c r="E46" s="78"/>
      <c r="F46" s="78"/>
      <c r="G46" s="78"/>
      <c r="H46" s="78"/>
      <c r="I46" s="78"/>
      <c r="J46" s="78"/>
      <c r="K46" s="78"/>
      <c r="L46" s="78"/>
      <c r="M46" s="78"/>
      <c r="N46" s="78"/>
      <c r="O46" s="78"/>
    </row>
    <row r="47" spans="2:15" x14ac:dyDescent="0.2">
      <c r="B47" s="78"/>
      <c r="C47" s="78"/>
      <c r="D47" s="76"/>
      <c r="E47" s="78"/>
      <c r="F47" s="78"/>
      <c r="G47" s="78"/>
      <c r="H47" s="78"/>
      <c r="I47" s="78"/>
      <c r="J47" s="78"/>
      <c r="K47" s="78"/>
      <c r="L47" s="78"/>
      <c r="M47" s="78"/>
      <c r="N47" s="78"/>
      <c r="O47" s="78"/>
    </row>
    <row r="48" spans="2:15" x14ac:dyDescent="0.2">
      <c r="B48" s="78"/>
      <c r="C48" s="78"/>
      <c r="D48" s="76"/>
      <c r="E48" s="78"/>
      <c r="F48" s="78"/>
      <c r="G48" s="78"/>
      <c r="H48" s="78"/>
      <c r="I48" s="78"/>
      <c r="J48" s="78"/>
      <c r="K48" s="78"/>
      <c r="L48" s="78"/>
      <c r="M48" s="78"/>
      <c r="N48" s="78"/>
      <c r="O48" s="78"/>
    </row>
    <row r="49" spans="2:15" x14ac:dyDescent="0.2">
      <c r="B49" s="78"/>
      <c r="C49" s="78"/>
      <c r="D49" s="76"/>
      <c r="E49" s="78"/>
      <c r="F49" s="78"/>
      <c r="G49" s="78"/>
      <c r="H49" s="78"/>
      <c r="I49" s="78"/>
      <c r="J49" s="78"/>
      <c r="K49" s="78"/>
      <c r="L49" s="78"/>
      <c r="M49" s="78"/>
      <c r="N49" s="78"/>
      <c r="O49" s="78"/>
    </row>
    <row r="50" spans="2:15" x14ac:dyDescent="0.2">
      <c r="B50" s="78"/>
      <c r="C50" s="78"/>
      <c r="D50" s="76"/>
      <c r="E50" s="78"/>
      <c r="F50" s="78"/>
      <c r="G50" s="78"/>
      <c r="H50" s="78"/>
      <c r="I50" s="78"/>
      <c r="J50" s="78"/>
      <c r="K50" s="78"/>
      <c r="L50" s="78"/>
      <c r="M50" s="78"/>
      <c r="N50" s="78"/>
      <c r="O50" s="78"/>
    </row>
    <row r="51" spans="2:15" x14ac:dyDescent="0.2">
      <c r="B51" s="78"/>
      <c r="C51" s="79" t="s">
        <v>240</v>
      </c>
      <c r="D51" s="78" t="s">
        <v>241</v>
      </c>
      <c r="E51" s="78"/>
      <c r="F51" s="78"/>
      <c r="G51" s="78"/>
      <c r="H51" s="78"/>
      <c r="I51" s="78"/>
      <c r="J51" s="78"/>
      <c r="K51" s="78"/>
      <c r="L51" s="78"/>
      <c r="M51" s="78"/>
      <c r="N51" s="78"/>
      <c r="O51" s="78"/>
    </row>
    <row r="52" spans="2:15" x14ac:dyDescent="0.2">
      <c r="B52" s="78"/>
      <c r="C52" s="78"/>
      <c r="D52" s="78"/>
      <c r="E52" s="78"/>
      <c r="F52" s="78"/>
      <c r="G52" s="78"/>
      <c r="H52" s="78"/>
      <c r="I52" s="78"/>
      <c r="J52" s="78"/>
      <c r="K52" s="78"/>
      <c r="L52" s="78"/>
      <c r="M52" s="78"/>
      <c r="N52" s="78"/>
      <c r="O52" s="78"/>
    </row>
    <row r="53" spans="2:15" x14ac:dyDescent="0.2">
      <c r="B53" s="78"/>
      <c r="C53" s="79" t="s">
        <v>242</v>
      </c>
      <c r="D53" s="78" t="s">
        <v>243</v>
      </c>
      <c r="E53" s="78"/>
      <c r="F53" s="78"/>
      <c r="G53" s="78"/>
      <c r="H53" s="78"/>
      <c r="I53" s="78"/>
      <c r="J53" s="78"/>
      <c r="K53" s="78"/>
      <c r="L53" s="78"/>
      <c r="M53" s="78"/>
      <c r="N53" s="78"/>
      <c r="O53" s="78"/>
    </row>
    <row r="54" spans="2:15" x14ac:dyDescent="0.2">
      <c r="B54" s="78"/>
      <c r="C54" s="78"/>
      <c r="D54" s="78"/>
      <c r="E54" s="78"/>
      <c r="F54" s="78"/>
      <c r="G54" s="78"/>
      <c r="H54" s="78"/>
      <c r="I54" s="78"/>
      <c r="J54" s="78"/>
      <c r="K54" s="78"/>
      <c r="L54" s="78"/>
      <c r="M54" s="78"/>
      <c r="N54" s="78"/>
      <c r="O54" s="78"/>
    </row>
    <row r="55" spans="2:15" x14ac:dyDescent="0.2">
      <c r="B55" s="78"/>
      <c r="C55" s="78"/>
      <c r="D55" s="78"/>
      <c r="E55" s="78"/>
      <c r="F55" s="78"/>
      <c r="G55" s="78"/>
      <c r="H55" s="78"/>
      <c r="I55" s="78"/>
      <c r="J55" s="78"/>
      <c r="K55" s="78"/>
      <c r="L55" s="78"/>
      <c r="M55" s="78"/>
      <c r="N55" s="78"/>
      <c r="O55" s="78"/>
    </row>
    <row r="56" spans="2:15" x14ac:dyDescent="0.2">
      <c r="B56" s="78"/>
      <c r="C56" s="78"/>
      <c r="D56" s="78"/>
      <c r="E56" s="78"/>
      <c r="F56" s="78"/>
      <c r="G56" s="78"/>
      <c r="H56" s="78"/>
      <c r="I56" s="78"/>
      <c r="J56" s="78"/>
      <c r="K56" s="78"/>
      <c r="L56" s="78"/>
      <c r="M56" s="78"/>
      <c r="N56" s="78"/>
      <c r="O56" s="78"/>
    </row>
    <row r="57" spans="2:15" x14ac:dyDescent="0.2">
      <c r="B57" s="78"/>
      <c r="C57" s="78"/>
      <c r="D57" s="78"/>
      <c r="E57" s="78"/>
      <c r="F57" s="78"/>
      <c r="G57" s="78"/>
      <c r="H57" s="78"/>
      <c r="I57" s="78"/>
      <c r="J57" s="78"/>
      <c r="K57" s="78"/>
      <c r="L57" s="78"/>
      <c r="M57" s="78"/>
      <c r="N57" s="78"/>
      <c r="O57" s="78"/>
    </row>
    <row r="58" spans="2:15" x14ac:dyDescent="0.2">
      <c r="B58" s="78"/>
      <c r="C58" s="78"/>
      <c r="D58" s="78"/>
      <c r="E58" s="78"/>
      <c r="F58" s="78"/>
      <c r="G58" s="78"/>
      <c r="H58" s="78"/>
      <c r="I58" s="78"/>
      <c r="J58" s="78"/>
      <c r="K58" s="78"/>
      <c r="L58" s="78"/>
      <c r="M58" s="78"/>
      <c r="N58" s="78"/>
      <c r="O58" s="78"/>
    </row>
    <row r="59" spans="2:15" x14ac:dyDescent="0.2">
      <c r="B59" s="78"/>
      <c r="C59" s="78"/>
      <c r="D59" s="77"/>
      <c r="E59" s="78"/>
      <c r="F59" s="78"/>
      <c r="G59" s="78"/>
      <c r="H59" s="78"/>
      <c r="I59" s="78"/>
      <c r="J59" s="78"/>
      <c r="K59" s="78"/>
      <c r="L59" s="78"/>
      <c r="M59" s="78"/>
      <c r="N59" s="78"/>
      <c r="O59" s="78"/>
    </row>
    <row r="60" spans="2:15" x14ac:dyDescent="0.2">
      <c r="B60" s="78"/>
      <c r="C60" s="78"/>
      <c r="E60" s="78"/>
      <c r="F60" s="78"/>
      <c r="G60" s="78"/>
      <c r="H60" s="78"/>
      <c r="I60" s="78"/>
      <c r="J60" s="78"/>
      <c r="K60" s="78"/>
      <c r="L60" s="78"/>
      <c r="M60" s="78"/>
      <c r="N60" s="78"/>
      <c r="O60" s="78"/>
    </row>
    <row r="61" spans="2:15" x14ac:dyDescent="0.2">
      <c r="B61" s="78"/>
      <c r="C61" s="78"/>
      <c r="D61" s="13"/>
      <c r="E61" s="78"/>
      <c r="F61" s="78"/>
      <c r="G61" s="78"/>
      <c r="H61" s="78"/>
      <c r="I61" s="78"/>
      <c r="J61" s="78"/>
      <c r="K61" s="78"/>
      <c r="L61" s="78"/>
      <c r="M61" s="78"/>
      <c r="N61" s="78"/>
      <c r="O61" s="78"/>
    </row>
    <row r="62" spans="2:15" x14ac:dyDescent="0.2">
      <c r="B62" s="78"/>
      <c r="C62" s="78"/>
      <c r="E62" s="78"/>
      <c r="F62" s="78"/>
      <c r="G62" s="78"/>
      <c r="H62" s="78"/>
      <c r="I62" s="78"/>
      <c r="J62" s="78"/>
      <c r="K62" s="78"/>
      <c r="L62" s="78"/>
      <c r="M62" s="78"/>
      <c r="N62" s="78"/>
      <c r="O62" s="78"/>
    </row>
    <row r="63" spans="2:15" x14ac:dyDescent="0.2">
      <c r="B63" s="78"/>
      <c r="C63" s="78"/>
      <c r="E63" s="78"/>
      <c r="F63" s="78"/>
      <c r="G63" s="78"/>
      <c r="H63" s="78"/>
      <c r="I63" s="78"/>
      <c r="J63" s="78"/>
      <c r="K63" s="78"/>
      <c r="L63" s="78"/>
      <c r="M63" s="78"/>
      <c r="N63" s="78"/>
      <c r="O63" s="78"/>
    </row>
    <row r="64" spans="2:15" x14ac:dyDescent="0.2">
      <c r="B64" s="78"/>
      <c r="C64" s="78"/>
      <c r="E64" s="78"/>
      <c r="F64" s="78"/>
      <c r="G64" s="78"/>
      <c r="H64" s="78"/>
      <c r="I64" s="78"/>
      <c r="J64" s="78"/>
      <c r="K64" s="78"/>
      <c r="L64" s="78"/>
      <c r="M64" s="78"/>
      <c r="N64" s="78"/>
      <c r="O64" s="78"/>
    </row>
  </sheetData>
  <conditionalFormatting sqref="D14">
    <cfRule type="iconSet" priority="1">
      <iconSet reverse="1">
        <cfvo type="percent" val="0"/>
        <cfvo type="num" val="1" gte="0"/>
        <cfvo type="num" val="2" gte="0"/>
      </iconSet>
    </cfRule>
  </conditionalFormatting>
  <hyperlinks>
    <hyperlink ref="A8" location="'Email Marketing Raw Data'!A1" display="Email Marketing Raw Data" xr:uid="{20C6A001-D3DB-40DD-8345-6487FB7EC561}"/>
    <hyperlink ref="A9" location="'Emails Automate'!A1" display="Emails Automate" xr:uid="{5C4D5A1C-1B73-4429-8871-BB9B71F5E6D9}"/>
    <hyperlink ref="A10" location="Database!A1" display="Database" xr:uid="{C504C782-2BA7-46A1-ABF4-6DC01CFBFFFB}"/>
  </hyperlinks>
  <pageMargins left="0.7" right="0.7" top="0.75" bottom="0.75" header="0.3" footer="0.3"/>
  <pageSetup paperSize="9" orientation="portrait" horizontalDpi="200" verticalDpi="200" r:id="rId1"/>
  <customProperties>
    <customPr name="EpmWorksheetKeyString_GUID" r:id="rId2"/>
  </customProperties>
  <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F8ECFC-E1AE-44A5-9980-BA0C347C9CC4}">
  <sheetPr codeName="Sheet2">
    <tabColor rgb="FF50B47F"/>
  </sheetPr>
  <dimension ref="A1:V1079"/>
  <sheetViews>
    <sheetView showGridLines="0" showRowColHeaders="0" zoomScale="85" zoomScaleNormal="85" workbookViewId="0">
      <pane xSplit="1" ySplit="2" topLeftCell="B21" activePane="bottomRight" state="frozen"/>
      <selection pane="topRight" activeCell="B1" sqref="B1"/>
      <selection pane="bottomLeft" activeCell="A23" sqref="A23"/>
      <selection pane="bottomRight" activeCell="D22" sqref="D22"/>
    </sheetView>
  </sheetViews>
  <sheetFormatPr defaultColWidth="0" defaultRowHeight="30" customHeight="1" x14ac:dyDescent="0.2"/>
  <cols>
    <col min="1" max="1" width="19.7109375" customWidth="1"/>
    <col min="2" max="7" width="18.7109375" customWidth="1"/>
    <col min="8" max="9" width="30.7109375" customWidth="1"/>
    <col min="10" max="10" width="40.7109375" customWidth="1"/>
    <col min="11" max="11" width="30.7109375" customWidth="1"/>
    <col min="12" max="15" width="18.7109375" customWidth="1"/>
    <col min="16" max="16" width="1.7109375" customWidth="1"/>
    <col min="17" max="22" width="0" hidden="1" customWidth="1"/>
    <col min="23" max="16384" width="9.140625" hidden="1"/>
  </cols>
  <sheetData>
    <row r="1" spans="1:15" ht="12.75" x14ac:dyDescent="0.2"/>
    <row r="2" spans="1:15" s="14" customFormat="1" ht="60" customHeight="1" x14ac:dyDescent="0.2">
      <c r="A2" s="21" t="s">
        <v>30</v>
      </c>
      <c r="B2" s="26" t="s">
        <v>38</v>
      </c>
      <c r="C2" s="26" t="s">
        <v>152</v>
      </c>
      <c r="D2" s="26" t="s">
        <v>31</v>
      </c>
      <c r="E2" s="26" t="s">
        <v>34</v>
      </c>
      <c r="F2" s="26" t="s">
        <v>44</v>
      </c>
      <c r="G2" s="26" t="s">
        <v>41</v>
      </c>
      <c r="H2" s="26" t="s">
        <v>33</v>
      </c>
      <c r="I2" s="26" t="s">
        <v>32</v>
      </c>
      <c r="J2" s="26" t="s">
        <v>35</v>
      </c>
      <c r="K2" s="26" t="s">
        <v>36</v>
      </c>
      <c r="L2" s="26" t="s">
        <v>39</v>
      </c>
      <c r="M2" s="26" t="s">
        <v>187</v>
      </c>
      <c r="N2" s="26" t="s">
        <v>40</v>
      </c>
      <c r="O2" s="26" t="s">
        <v>37</v>
      </c>
    </row>
    <row r="3" spans="1:15" s="20" customFormat="1" ht="30" customHeight="1" x14ac:dyDescent="0.2">
      <c r="A3" s="17" t="str">
        <f>IF(AND(B2&lt;&gt;"",B3=""),$A$2&amp;"---&gt;","")</f>
        <v/>
      </c>
      <c r="B3" s="24">
        <v>44281</v>
      </c>
      <c r="C3" s="25" t="s">
        <v>153</v>
      </c>
      <c r="D3" s="22" t="s">
        <v>53</v>
      </c>
      <c r="E3" s="22" t="s">
        <v>59</v>
      </c>
      <c r="F3" s="22" t="s">
        <v>65</v>
      </c>
      <c r="G3" s="27" t="str">
        <f>IFERROR(IF(Email[[#This Row],[Customer Name]]="","",VLOOKUP(Email[[#This Row],[Customer Name]],Database!H:N,2,0)),"")</f>
        <v>New</v>
      </c>
      <c r="H3" s="22" t="s">
        <v>91</v>
      </c>
      <c r="I3" s="25" t="s">
        <v>111</v>
      </c>
      <c r="J3" s="25" t="s">
        <v>131</v>
      </c>
      <c r="K3" s="61" t="s">
        <v>199</v>
      </c>
      <c r="L3" s="24">
        <v>44256</v>
      </c>
      <c r="M3" s="44">
        <v>0.41666666666666669</v>
      </c>
      <c r="N3" s="32">
        <f ca="1">IF(Email[[#This Row],[Target Sending Date]]="","",IF(Email[[#This Row],[Target Sending Date]]&lt;TODAY(),0,Email[[#This Row],[Target Sending Date]]-TODAY()))</f>
        <v>0</v>
      </c>
      <c r="O3" s="25" t="s">
        <v>83</v>
      </c>
    </row>
    <row r="4" spans="1:15" ht="30" customHeight="1" x14ac:dyDescent="0.2">
      <c r="A4" s="17" t="str">
        <f t="shared" ref="A4:A67" si="0">IF(AND(B3&lt;&gt;"",B4=""),$A$2&amp;"---&gt;","")</f>
        <v/>
      </c>
      <c r="B4" s="24">
        <v>44293</v>
      </c>
      <c r="C4" s="25" t="s">
        <v>154</v>
      </c>
      <c r="D4" s="22" t="s">
        <v>55</v>
      </c>
      <c r="E4" s="22" t="s">
        <v>61</v>
      </c>
      <c r="F4" s="22" t="s">
        <v>67</v>
      </c>
      <c r="G4" s="27" t="str">
        <f>IFERROR(IF(Email[[#This Row],[Customer Name]]="","",VLOOKUP(Email[[#This Row],[Customer Name]],Database!H:N,2,0)),"")</f>
        <v>Existing</v>
      </c>
      <c r="H4" s="22" t="s">
        <v>92</v>
      </c>
      <c r="I4" s="25" t="s">
        <v>112</v>
      </c>
      <c r="J4" s="25" t="s">
        <v>132</v>
      </c>
      <c r="K4" s="61" t="s">
        <v>200</v>
      </c>
      <c r="L4" s="24">
        <v>44269</v>
      </c>
      <c r="M4" s="44">
        <v>0.35416666666666669</v>
      </c>
      <c r="N4" s="33">
        <f ca="1">IF(Email[[#This Row],[Target Sending Date]]="","",IF(Email[[#This Row],[Target Sending Date]]&lt;TODAY(),0,Email[[#This Row],[Target Sending Date]]-TODAY()))</f>
        <v>0</v>
      </c>
      <c r="O4" s="25" t="s">
        <v>83</v>
      </c>
    </row>
    <row r="5" spans="1:15" ht="30" customHeight="1" x14ac:dyDescent="0.2">
      <c r="A5" s="17" t="str">
        <f t="shared" si="0"/>
        <v/>
      </c>
      <c r="B5" s="24">
        <v>44298</v>
      </c>
      <c r="C5" s="25" t="s">
        <v>155</v>
      </c>
      <c r="D5" s="22" t="s">
        <v>55</v>
      </c>
      <c r="E5" s="22" t="s">
        <v>63</v>
      </c>
      <c r="F5" s="22" t="s">
        <v>68</v>
      </c>
      <c r="G5" s="27" t="str">
        <f>IFERROR(IF(Email[[#This Row],[Customer Name]]="","",VLOOKUP(Email[[#This Row],[Customer Name]],Database!H:N,2,0)),"")</f>
        <v>Existing</v>
      </c>
      <c r="H5" s="22" t="s">
        <v>93</v>
      </c>
      <c r="I5" s="25" t="s">
        <v>113</v>
      </c>
      <c r="J5" s="25" t="s">
        <v>133</v>
      </c>
      <c r="K5" s="61" t="s">
        <v>200</v>
      </c>
      <c r="L5" s="24">
        <v>44257</v>
      </c>
      <c r="M5" s="44">
        <v>0.38541666666666669</v>
      </c>
      <c r="N5" s="33">
        <f ca="1">IF(Email[[#This Row],[Target Sending Date]]="","",IF(Email[[#This Row],[Target Sending Date]]&lt;TODAY(),0,Email[[#This Row],[Target Sending Date]]-TODAY()))</f>
        <v>0</v>
      </c>
      <c r="O5" s="25" t="s">
        <v>86</v>
      </c>
    </row>
    <row r="6" spans="1:15" ht="30" customHeight="1" x14ac:dyDescent="0.2">
      <c r="A6" s="17" t="str">
        <f t="shared" si="0"/>
        <v/>
      </c>
      <c r="B6" s="24">
        <v>44307</v>
      </c>
      <c r="C6" s="25" t="s">
        <v>156</v>
      </c>
      <c r="D6" s="22" t="s">
        <v>57</v>
      </c>
      <c r="E6" s="22" t="s">
        <v>59</v>
      </c>
      <c r="F6" s="22" t="s">
        <v>65</v>
      </c>
      <c r="G6" s="27" t="str">
        <f>IFERROR(IF(Email[[#This Row],[Customer Name]]="","",VLOOKUP(Email[[#This Row],[Customer Name]],Database!H:N,2,0)),"")</f>
        <v>New</v>
      </c>
      <c r="H6" s="22" t="s">
        <v>94</v>
      </c>
      <c r="I6" s="25" t="s">
        <v>114</v>
      </c>
      <c r="J6" s="25" t="s">
        <v>134</v>
      </c>
      <c r="K6" s="61" t="s">
        <v>200</v>
      </c>
      <c r="L6" s="24">
        <v>44255</v>
      </c>
      <c r="M6" s="44">
        <v>0.625</v>
      </c>
      <c r="N6" s="33">
        <f ca="1">IF(Email[[#This Row],[Target Sending Date]]="","",IF(Email[[#This Row],[Target Sending Date]]&lt;TODAY(),0,Email[[#This Row],[Target Sending Date]]-TODAY()))</f>
        <v>0</v>
      </c>
      <c r="O6" s="25" t="s">
        <v>82</v>
      </c>
    </row>
    <row r="7" spans="1:15" ht="30" customHeight="1" x14ac:dyDescent="0.2">
      <c r="A7" s="17" t="str">
        <f t="shared" si="0"/>
        <v/>
      </c>
      <c r="B7" s="24">
        <v>44242</v>
      </c>
      <c r="C7" s="25" t="s">
        <v>157</v>
      </c>
      <c r="D7" s="22" t="s">
        <v>52</v>
      </c>
      <c r="E7" s="22" t="s">
        <v>58</v>
      </c>
      <c r="F7" s="22" t="s">
        <v>69</v>
      </c>
      <c r="G7" s="27" t="str">
        <f>IFERROR(IF(Email[[#This Row],[Customer Name]]="","",VLOOKUP(Email[[#This Row],[Customer Name]],Database!H:N,2,0)),"")</f>
        <v>Prospect</v>
      </c>
      <c r="H7" s="22" t="s">
        <v>95</v>
      </c>
      <c r="I7" s="25" t="s">
        <v>115</v>
      </c>
      <c r="J7" s="25" t="s">
        <v>135</v>
      </c>
      <c r="K7" s="61" t="s">
        <v>200</v>
      </c>
      <c r="L7" s="24">
        <v>44242</v>
      </c>
      <c r="M7" s="44">
        <v>0.70833333333333337</v>
      </c>
      <c r="N7" s="33">
        <f ca="1">IF(Email[[#This Row],[Target Sending Date]]="","",IF(Email[[#This Row],[Target Sending Date]]&lt;TODAY(),0,Email[[#This Row],[Target Sending Date]]-TODAY()))</f>
        <v>0</v>
      </c>
      <c r="O7" s="25" t="s">
        <v>85</v>
      </c>
    </row>
    <row r="8" spans="1:15" ht="30" customHeight="1" x14ac:dyDescent="0.2">
      <c r="A8" s="17" t="str">
        <f t="shared" si="0"/>
        <v/>
      </c>
      <c r="B8" s="24">
        <v>44224</v>
      </c>
      <c r="C8" s="25" t="s">
        <v>158</v>
      </c>
      <c r="D8" s="22" t="s">
        <v>54</v>
      </c>
      <c r="E8" s="22" t="s">
        <v>62</v>
      </c>
      <c r="F8" s="22" t="s">
        <v>68</v>
      </c>
      <c r="G8" s="27" t="str">
        <f>IFERROR(IF(Email[[#This Row],[Customer Name]]="","",VLOOKUP(Email[[#This Row],[Customer Name]],Database!H:N,2,0)),"")</f>
        <v>Existing</v>
      </c>
      <c r="H8" s="22" t="s">
        <v>96</v>
      </c>
      <c r="I8" s="25" t="s">
        <v>116</v>
      </c>
      <c r="J8" s="25" t="s">
        <v>136</v>
      </c>
      <c r="K8" s="61" t="s">
        <v>200</v>
      </c>
      <c r="L8" s="24">
        <v>44301</v>
      </c>
      <c r="M8" s="44">
        <v>0.35416666666666669</v>
      </c>
      <c r="N8" s="33">
        <f ca="1">IF(Email[[#This Row],[Target Sending Date]]="","",IF(Email[[#This Row],[Target Sending Date]]&lt;TODAY(),0,Email[[#This Row],[Target Sending Date]]-TODAY()))</f>
        <v>0</v>
      </c>
      <c r="O8" s="25" t="s">
        <v>84</v>
      </c>
    </row>
    <row r="9" spans="1:15" ht="30" customHeight="1" x14ac:dyDescent="0.2">
      <c r="A9" s="17" t="str">
        <f t="shared" si="0"/>
        <v/>
      </c>
      <c r="B9" s="24">
        <v>44296</v>
      </c>
      <c r="C9" s="25" t="s">
        <v>159</v>
      </c>
      <c r="D9" s="22" t="s">
        <v>55</v>
      </c>
      <c r="E9" s="22" t="s">
        <v>58</v>
      </c>
      <c r="F9" s="22" t="s">
        <v>66</v>
      </c>
      <c r="G9" s="27" t="str">
        <f>IFERROR(IF(Email[[#This Row],[Customer Name]]="","",VLOOKUP(Email[[#This Row],[Customer Name]],Database!H:N,2,0)),"")</f>
        <v>Lead</v>
      </c>
      <c r="H9" s="22" t="s">
        <v>97</v>
      </c>
      <c r="I9" s="25" t="s">
        <v>117</v>
      </c>
      <c r="J9" s="25" t="s">
        <v>137</v>
      </c>
      <c r="K9" s="61" t="s">
        <v>200</v>
      </c>
      <c r="L9" s="24">
        <v>44277</v>
      </c>
      <c r="M9" s="44">
        <v>0.47916666666666669</v>
      </c>
      <c r="N9" s="33">
        <f ca="1">IF(Email[[#This Row],[Target Sending Date]]="","",IF(Email[[#This Row],[Target Sending Date]]&lt;TODAY(),0,Email[[#This Row],[Target Sending Date]]-TODAY()))</f>
        <v>0</v>
      </c>
      <c r="O9" s="25" t="s">
        <v>84</v>
      </c>
    </row>
    <row r="10" spans="1:15" ht="30" customHeight="1" x14ac:dyDescent="0.2">
      <c r="A10" s="17" t="str">
        <f t="shared" si="0"/>
        <v/>
      </c>
      <c r="B10" s="24">
        <v>44255</v>
      </c>
      <c r="C10" s="25" t="s">
        <v>160</v>
      </c>
      <c r="D10" s="22" t="s">
        <v>57</v>
      </c>
      <c r="E10" s="22" t="s">
        <v>60</v>
      </c>
      <c r="F10" s="22" t="s">
        <v>66</v>
      </c>
      <c r="G10" s="27" t="str">
        <f>IFERROR(IF(Email[[#This Row],[Customer Name]]="","",VLOOKUP(Email[[#This Row],[Customer Name]],Database!H:N,2,0)),"")</f>
        <v>Lead</v>
      </c>
      <c r="H10" s="22" t="s">
        <v>98</v>
      </c>
      <c r="I10" s="25" t="s">
        <v>118</v>
      </c>
      <c r="J10" s="25" t="s">
        <v>138</v>
      </c>
      <c r="K10" s="61" t="s">
        <v>200</v>
      </c>
      <c r="L10" s="24">
        <v>44256</v>
      </c>
      <c r="M10" s="44">
        <v>0.58333333333333337</v>
      </c>
      <c r="N10" s="33">
        <f ca="1">IF(Email[[#This Row],[Target Sending Date]]="","",IF(Email[[#This Row],[Target Sending Date]]&lt;TODAY(),0,Email[[#This Row],[Target Sending Date]]-TODAY()))</f>
        <v>0</v>
      </c>
      <c r="O10" s="25" t="s">
        <v>83</v>
      </c>
    </row>
    <row r="11" spans="1:15" ht="30" customHeight="1" x14ac:dyDescent="0.2">
      <c r="A11" s="17" t="str">
        <f t="shared" si="0"/>
        <v/>
      </c>
      <c r="B11" s="24">
        <v>44226</v>
      </c>
      <c r="C11" s="25" t="s">
        <v>161</v>
      </c>
      <c r="D11" s="22" t="s">
        <v>57</v>
      </c>
      <c r="E11" s="22" t="s">
        <v>64</v>
      </c>
      <c r="F11" s="22" t="s">
        <v>65</v>
      </c>
      <c r="G11" s="27" t="str">
        <f>IFERROR(IF(Email[[#This Row],[Customer Name]]="","",VLOOKUP(Email[[#This Row],[Customer Name]],Database!H:N,2,0)),"")</f>
        <v>New</v>
      </c>
      <c r="H11" s="22" t="s">
        <v>99</v>
      </c>
      <c r="I11" s="25" t="s">
        <v>119</v>
      </c>
      <c r="J11" s="25" t="s">
        <v>139</v>
      </c>
      <c r="K11" s="61" t="s">
        <v>200</v>
      </c>
      <c r="L11" s="24">
        <v>44260</v>
      </c>
      <c r="M11" s="44">
        <v>0.5625</v>
      </c>
      <c r="N11" s="33">
        <f ca="1">IF(Email[[#This Row],[Target Sending Date]]="","",IF(Email[[#This Row],[Target Sending Date]]&lt;TODAY(),0,Email[[#This Row],[Target Sending Date]]-TODAY()))</f>
        <v>0</v>
      </c>
      <c r="O11" s="25" t="s">
        <v>85</v>
      </c>
    </row>
    <row r="12" spans="1:15" ht="30" customHeight="1" x14ac:dyDescent="0.2">
      <c r="A12" s="17" t="str">
        <f t="shared" si="0"/>
        <v/>
      </c>
      <c r="B12" s="24">
        <v>44248</v>
      </c>
      <c r="C12" s="25" t="s">
        <v>162</v>
      </c>
      <c r="D12" s="22" t="s">
        <v>52</v>
      </c>
      <c r="E12" s="22" t="s">
        <v>64</v>
      </c>
      <c r="F12" s="22" t="s">
        <v>69</v>
      </c>
      <c r="G12" s="27" t="str">
        <f>IFERROR(IF(Email[[#This Row],[Customer Name]]="","",VLOOKUP(Email[[#This Row],[Customer Name]],Database!H:N,2,0)),"")</f>
        <v>Prospect</v>
      </c>
      <c r="H12" s="22" t="s">
        <v>100</v>
      </c>
      <c r="I12" s="25" t="s">
        <v>120</v>
      </c>
      <c r="J12" s="25" t="s">
        <v>140</v>
      </c>
      <c r="K12" s="61" t="s">
        <v>200</v>
      </c>
      <c r="L12" s="24">
        <v>44255</v>
      </c>
      <c r="M12" s="44">
        <v>0.80208333333333337</v>
      </c>
      <c r="N12" s="33">
        <f ca="1">IF(Email[[#This Row],[Target Sending Date]]="","",IF(Email[[#This Row],[Target Sending Date]]&lt;TODAY(),0,Email[[#This Row],[Target Sending Date]]-TODAY()))</f>
        <v>0</v>
      </c>
      <c r="O12" s="25" t="s">
        <v>83</v>
      </c>
    </row>
    <row r="13" spans="1:15" ht="30" customHeight="1" x14ac:dyDescent="0.2">
      <c r="A13" s="17" t="str">
        <f t="shared" si="0"/>
        <v/>
      </c>
      <c r="B13" s="24">
        <v>44267</v>
      </c>
      <c r="C13" s="25" t="s">
        <v>163</v>
      </c>
      <c r="D13" s="22" t="s">
        <v>57</v>
      </c>
      <c r="E13" s="22" t="s">
        <v>59</v>
      </c>
      <c r="F13" s="22" t="s">
        <v>67</v>
      </c>
      <c r="G13" s="27" t="str">
        <f>IFERROR(IF(Email[[#This Row],[Customer Name]]="","",VLOOKUP(Email[[#This Row],[Customer Name]],Database!H:N,2,0)),"")</f>
        <v>Existing</v>
      </c>
      <c r="H13" s="22" t="s">
        <v>101</v>
      </c>
      <c r="I13" s="25" t="s">
        <v>121</v>
      </c>
      <c r="J13" s="25" t="s">
        <v>141</v>
      </c>
      <c r="K13" s="61" t="s">
        <v>200</v>
      </c>
      <c r="L13" s="24">
        <v>44273</v>
      </c>
      <c r="M13" s="44">
        <v>0.63888888888888895</v>
      </c>
      <c r="N13" s="33">
        <f ca="1">IF(Email[[#This Row],[Target Sending Date]]="","",IF(Email[[#This Row],[Target Sending Date]]&lt;TODAY(),0,Email[[#This Row],[Target Sending Date]]-TODAY()))</f>
        <v>0</v>
      </c>
      <c r="O13" s="25" t="s">
        <v>82</v>
      </c>
    </row>
    <row r="14" spans="1:15" ht="30" customHeight="1" x14ac:dyDescent="0.2">
      <c r="A14" s="17" t="str">
        <f t="shared" si="0"/>
        <v/>
      </c>
      <c r="B14" s="24">
        <v>44303</v>
      </c>
      <c r="C14" s="25" t="s">
        <v>164</v>
      </c>
      <c r="D14" s="22" t="s">
        <v>54</v>
      </c>
      <c r="E14" s="22" t="s">
        <v>62</v>
      </c>
      <c r="F14" s="22" t="s">
        <v>65</v>
      </c>
      <c r="G14" s="27" t="str">
        <f>IFERROR(IF(Email[[#This Row],[Customer Name]]="","",VLOOKUP(Email[[#This Row],[Customer Name]],Database!H:N,2,0)),"")</f>
        <v>New</v>
      </c>
      <c r="H14" s="22" t="s">
        <v>102</v>
      </c>
      <c r="I14" s="25" t="s">
        <v>122</v>
      </c>
      <c r="J14" s="25" t="s">
        <v>142</v>
      </c>
      <c r="K14" s="61" t="s">
        <v>200</v>
      </c>
      <c r="L14" s="24">
        <v>44297</v>
      </c>
      <c r="M14" s="44">
        <v>0.72916666666666663</v>
      </c>
      <c r="N14" s="33">
        <f ca="1">IF(Email[[#This Row],[Target Sending Date]]="","",IF(Email[[#This Row],[Target Sending Date]]&lt;TODAY(),0,Email[[#This Row],[Target Sending Date]]-TODAY()))</f>
        <v>0</v>
      </c>
      <c r="O14" s="25" t="s">
        <v>86</v>
      </c>
    </row>
    <row r="15" spans="1:15" ht="30" customHeight="1" x14ac:dyDescent="0.2">
      <c r="A15" s="17" t="str">
        <f t="shared" si="0"/>
        <v/>
      </c>
      <c r="B15" s="24">
        <v>44264</v>
      </c>
      <c r="C15" s="25" t="s">
        <v>165</v>
      </c>
      <c r="D15" s="22" t="s">
        <v>56</v>
      </c>
      <c r="E15" s="22" t="s">
        <v>58</v>
      </c>
      <c r="F15" s="22" t="s">
        <v>67</v>
      </c>
      <c r="G15" s="27" t="str">
        <f>IFERROR(IF(Email[[#This Row],[Customer Name]]="","",VLOOKUP(Email[[#This Row],[Customer Name]],Database!H:N,2,0)),"")</f>
        <v>Existing</v>
      </c>
      <c r="H15" s="22" t="s">
        <v>103</v>
      </c>
      <c r="I15" s="25" t="s">
        <v>123</v>
      </c>
      <c r="J15" s="25" t="s">
        <v>143</v>
      </c>
      <c r="K15" s="61" t="s">
        <v>200</v>
      </c>
      <c r="L15" s="24">
        <v>44306</v>
      </c>
      <c r="M15" s="44">
        <v>0.58333333333333337</v>
      </c>
      <c r="N15" s="33">
        <f ca="1">IF(Email[[#This Row],[Target Sending Date]]="","",IF(Email[[#This Row],[Target Sending Date]]&lt;TODAY(),0,Email[[#This Row],[Target Sending Date]]-TODAY()))</f>
        <v>0</v>
      </c>
      <c r="O15" s="25" t="s">
        <v>86</v>
      </c>
    </row>
    <row r="16" spans="1:15" ht="30" customHeight="1" x14ac:dyDescent="0.2">
      <c r="A16" s="17" t="str">
        <f t="shared" si="0"/>
        <v/>
      </c>
      <c r="B16" s="24">
        <v>44203</v>
      </c>
      <c r="C16" s="25" t="s">
        <v>166</v>
      </c>
      <c r="D16" s="22" t="s">
        <v>52</v>
      </c>
      <c r="E16" s="22" t="s">
        <v>61</v>
      </c>
      <c r="F16" s="22" t="s">
        <v>69</v>
      </c>
      <c r="G16" s="27" t="str">
        <f>IFERROR(IF(Email[[#This Row],[Customer Name]]="","",VLOOKUP(Email[[#This Row],[Customer Name]],Database!H:N,2,0)),"")</f>
        <v>Prospect</v>
      </c>
      <c r="H16" s="22" t="s">
        <v>104</v>
      </c>
      <c r="I16" s="25" t="s">
        <v>124</v>
      </c>
      <c r="J16" s="25" t="s">
        <v>144</v>
      </c>
      <c r="K16" s="61" t="s">
        <v>200</v>
      </c>
      <c r="L16" s="24">
        <v>44286</v>
      </c>
      <c r="M16" s="44">
        <v>0.25</v>
      </c>
      <c r="N16" s="33">
        <f ca="1">IF(Email[[#This Row],[Target Sending Date]]="","",IF(Email[[#This Row],[Target Sending Date]]&lt;TODAY(),0,Email[[#This Row],[Target Sending Date]]-TODAY()))</f>
        <v>0</v>
      </c>
      <c r="O16" s="25" t="s">
        <v>85</v>
      </c>
    </row>
    <row r="17" spans="1:15" ht="30" customHeight="1" x14ac:dyDescent="0.2">
      <c r="A17" s="17" t="str">
        <f t="shared" si="0"/>
        <v/>
      </c>
      <c r="B17" s="24">
        <v>44313</v>
      </c>
      <c r="C17" s="25" t="s">
        <v>167</v>
      </c>
      <c r="D17" s="22" t="s">
        <v>52</v>
      </c>
      <c r="E17" s="22" t="s">
        <v>61</v>
      </c>
      <c r="F17" s="22" t="s">
        <v>66</v>
      </c>
      <c r="G17" s="27" t="str">
        <f>IFERROR(IF(Email[[#This Row],[Customer Name]]="","",VLOOKUP(Email[[#This Row],[Customer Name]],Database!H:N,2,0)),"")</f>
        <v>Lead</v>
      </c>
      <c r="H17" s="22" t="s">
        <v>105</v>
      </c>
      <c r="I17" s="25" t="s">
        <v>125</v>
      </c>
      <c r="J17" s="25" t="s">
        <v>145</v>
      </c>
      <c r="K17" s="61" t="s">
        <v>200</v>
      </c>
      <c r="L17" s="24">
        <v>44284</v>
      </c>
      <c r="M17" s="44">
        <v>0.1875</v>
      </c>
      <c r="N17" s="33">
        <f ca="1">IF(Email[[#This Row],[Target Sending Date]]="","",IF(Email[[#This Row],[Target Sending Date]]&lt;TODAY(),0,Email[[#This Row],[Target Sending Date]]-TODAY()))</f>
        <v>0</v>
      </c>
      <c r="O17" s="25" t="s">
        <v>84</v>
      </c>
    </row>
    <row r="18" spans="1:15" ht="30" customHeight="1" x14ac:dyDescent="0.2">
      <c r="A18" s="17" t="str">
        <f t="shared" si="0"/>
        <v/>
      </c>
      <c r="B18" s="24">
        <v>44316</v>
      </c>
      <c r="C18" s="25" t="s">
        <v>168</v>
      </c>
      <c r="D18" s="22" t="s">
        <v>55</v>
      </c>
      <c r="E18" s="22" t="s">
        <v>58</v>
      </c>
      <c r="F18" s="22" t="s">
        <v>69</v>
      </c>
      <c r="G18" s="27" t="str">
        <f>IFERROR(IF(Email[[#This Row],[Customer Name]]="","",VLOOKUP(Email[[#This Row],[Customer Name]],Database!H:N,2,0)),"")</f>
        <v>Prospect</v>
      </c>
      <c r="H18" s="22" t="s">
        <v>106</v>
      </c>
      <c r="I18" s="25" t="s">
        <v>126</v>
      </c>
      <c r="J18" s="25" t="s">
        <v>146</v>
      </c>
      <c r="K18" s="61" t="s">
        <v>200</v>
      </c>
      <c r="L18" s="24">
        <v>44288</v>
      </c>
      <c r="M18" s="44">
        <v>0.39583333333333331</v>
      </c>
      <c r="N18" s="33">
        <f ca="1">IF(Email[[#This Row],[Target Sending Date]]="","",IF(Email[[#This Row],[Target Sending Date]]&lt;TODAY(),0,Email[[#This Row],[Target Sending Date]]-TODAY()))</f>
        <v>0</v>
      </c>
      <c r="O18" s="25" t="s">
        <v>83</v>
      </c>
    </row>
    <row r="19" spans="1:15" ht="30" customHeight="1" x14ac:dyDescent="0.2">
      <c r="A19" s="17" t="str">
        <f t="shared" si="0"/>
        <v/>
      </c>
      <c r="B19" s="24">
        <v>44199</v>
      </c>
      <c r="C19" s="25" t="s">
        <v>169</v>
      </c>
      <c r="D19" s="22" t="s">
        <v>56</v>
      </c>
      <c r="E19" s="22" t="s">
        <v>63</v>
      </c>
      <c r="F19" s="22" t="s">
        <v>65</v>
      </c>
      <c r="G19" s="27" t="str">
        <f>IFERROR(IF(Email[[#This Row],[Customer Name]]="","",VLOOKUP(Email[[#This Row],[Customer Name]],Database!H:N,2,0)),"")</f>
        <v>New</v>
      </c>
      <c r="H19" s="22" t="s">
        <v>107</v>
      </c>
      <c r="I19" s="25" t="s">
        <v>127</v>
      </c>
      <c r="J19" s="25" t="s">
        <v>147</v>
      </c>
      <c r="K19" s="61" t="s">
        <v>200</v>
      </c>
      <c r="L19" s="24">
        <v>44291</v>
      </c>
      <c r="M19" s="44">
        <v>0.4375</v>
      </c>
      <c r="N19" s="33">
        <f ca="1">IF(Email[[#This Row],[Target Sending Date]]="","",IF(Email[[#This Row],[Target Sending Date]]&lt;TODAY(),0,Email[[#This Row],[Target Sending Date]]-TODAY()))</f>
        <v>0</v>
      </c>
      <c r="O19" s="25" t="s">
        <v>86</v>
      </c>
    </row>
    <row r="20" spans="1:15" ht="30" customHeight="1" x14ac:dyDescent="0.2">
      <c r="A20" s="17" t="str">
        <f t="shared" si="0"/>
        <v/>
      </c>
      <c r="B20" s="24">
        <v>44262</v>
      </c>
      <c r="C20" s="25" t="s">
        <v>170</v>
      </c>
      <c r="D20" s="22" t="s">
        <v>53</v>
      </c>
      <c r="E20" s="22" t="s">
        <v>61</v>
      </c>
      <c r="F20" s="22" t="s">
        <v>68</v>
      </c>
      <c r="G20" s="27" t="str">
        <f>IFERROR(IF(Email[[#This Row],[Customer Name]]="","",VLOOKUP(Email[[#This Row],[Customer Name]],Database!H:N,2,0)),"")</f>
        <v>Existing</v>
      </c>
      <c r="H20" s="22" t="s">
        <v>108</v>
      </c>
      <c r="I20" s="25" t="s">
        <v>128</v>
      </c>
      <c r="J20" s="25" t="s">
        <v>148</v>
      </c>
      <c r="K20" s="61" t="s">
        <v>200</v>
      </c>
      <c r="L20" s="24">
        <v>44247</v>
      </c>
      <c r="M20" s="44">
        <v>0.5</v>
      </c>
      <c r="N20" s="33">
        <f ca="1">IF(Email[[#This Row],[Target Sending Date]]="","",IF(Email[[#This Row],[Target Sending Date]]&lt;TODAY(),0,Email[[#This Row],[Target Sending Date]]-TODAY()))</f>
        <v>0</v>
      </c>
      <c r="O20" s="25" t="s">
        <v>85</v>
      </c>
    </row>
    <row r="21" spans="1:15" ht="30" customHeight="1" x14ac:dyDescent="0.2">
      <c r="A21" s="17" t="str">
        <f t="shared" si="0"/>
        <v/>
      </c>
      <c r="B21" s="24">
        <v>44229</v>
      </c>
      <c r="C21" s="25" t="s">
        <v>171</v>
      </c>
      <c r="D21" s="22" t="s">
        <v>53</v>
      </c>
      <c r="E21" s="22" t="s">
        <v>58</v>
      </c>
      <c r="F21" s="22" t="s">
        <v>68</v>
      </c>
      <c r="G21" s="27" t="str">
        <f>IFERROR(IF(Email[[#This Row],[Customer Name]]="","",VLOOKUP(Email[[#This Row],[Customer Name]],Database!H:N,2,0)),"")</f>
        <v>Existing</v>
      </c>
      <c r="H21" s="22" t="s">
        <v>109</v>
      </c>
      <c r="I21" s="25" t="s">
        <v>129</v>
      </c>
      <c r="J21" s="25" t="s">
        <v>149</v>
      </c>
      <c r="K21" s="61" t="s">
        <v>200</v>
      </c>
      <c r="L21" s="24">
        <v>44287</v>
      </c>
      <c r="M21" s="44">
        <v>0.6875</v>
      </c>
      <c r="N21" s="33">
        <f ca="1">IF(Email[[#This Row],[Target Sending Date]]="","",IF(Email[[#This Row],[Target Sending Date]]&lt;TODAY(),0,Email[[#This Row],[Target Sending Date]]-TODAY()))</f>
        <v>0</v>
      </c>
      <c r="O21" s="25" t="s">
        <v>85</v>
      </c>
    </row>
    <row r="22" spans="1:15" ht="30" customHeight="1" x14ac:dyDescent="0.2">
      <c r="A22" s="17" t="str">
        <f t="shared" si="0"/>
        <v/>
      </c>
      <c r="B22" s="34">
        <v>44294</v>
      </c>
      <c r="C22" s="25" t="s">
        <v>172</v>
      </c>
      <c r="D22" s="35" t="s">
        <v>57</v>
      </c>
      <c r="E22" s="35" t="s">
        <v>63</v>
      </c>
      <c r="F22" s="35" t="s">
        <v>65</v>
      </c>
      <c r="G22" s="36" t="str">
        <f>IFERROR(IF(Email[[#This Row],[Customer Name]]="","",VLOOKUP(Email[[#This Row],[Customer Name]],Database!H:N,2,0)),"")</f>
        <v>New</v>
      </c>
      <c r="H22" s="22" t="s">
        <v>110</v>
      </c>
      <c r="I22" s="25" t="s">
        <v>130</v>
      </c>
      <c r="J22" s="25" t="s">
        <v>150</v>
      </c>
      <c r="K22" s="61" t="s">
        <v>200</v>
      </c>
      <c r="L22" s="34">
        <v>44289</v>
      </c>
      <c r="M22" s="45">
        <v>0.77083333333333337</v>
      </c>
      <c r="N22" s="38">
        <f ca="1">IF(Email[[#This Row],[Target Sending Date]]="","",IF(Email[[#This Row],[Target Sending Date]]&lt;TODAY(),0,Email[[#This Row],[Target Sending Date]]-TODAY()))</f>
        <v>0</v>
      </c>
      <c r="O22" s="37" t="s">
        <v>82</v>
      </c>
    </row>
    <row r="23" spans="1:15" ht="30" customHeight="1" x14ac:dyDescent="0.2">
      <c r="A23" s="17" t="str">
        <f t="shared" si="0"/>
        <v/>
      </c>
      <c r="B23" s="34">
        <v>44267</v>
      </c>
      <c r="C23" s="37" t="s">
        <v>201</v>
      </c>
      <c r="D23" s="35" t="s">
        <v>54</v>
      </c>
      <c r="E23" s="35" t="s">
        <v>63</v>
      </c>
      <c r="F23" s="35" t="s">
        <v>66</v>
      </c>
      <c r="G23" s="36" t="str">
        <f>IFERROR(IF(Email[[#This Row],[Customer Name]]="","",VLOOKUP(Email[[#This Row],[Customer Name]],Database!H:N,2,0)),"")</f>
        <v>Lead</v>
      </c>
      <c r="H23" s="35" t="s">
        <v>184</v>
      </c>
      <c r="I23" s="25" t="s">
        <v>185</v>
      </c>
      <c r="J23" s="25" t="s">
        <v>186</v>
      </c>
      <c r="K23" s="61" t="s">
        <v>200</v>
      </c>
      <c r="L23" s="34">
        <v>44292</v>
      </c>
      <c r="M23" s="45">
        <v>0.33333333333333331</v>
      </c>
      <c r="N23" s="38">
        <f ca="1">IF(Email[[#This Row],[Target Sending Date]]="","",IF(Email[[#This Row],[Target Sending Date]]&lt;TODAY(),0,Email[[#This Row],[Target Sending Date]]-TODAY()))</f>
        <v>0</v>
      </c>
      <c r="O23" s="37" t="s">
        <v>84</v>
      </c>
    </row>
    <row r="24" spans="1:15" ht="30" customHeight="1" x14ac:dyDescent="0.2">
      <c r="A24" s="17" t="str">
        <f t="shared" si="0"/>
        <v>Add Email Schedule---&gt;</v>
      </c>
    </row>
    <row r="25" spans="1:15" ht="30" customHeight="1" x14ac:dyDescent="0.2">
      <c r="A25" s="17" t="str">
        <f t="shared" si="0"/>
        <v/>
      </c>
    </row>
    <row r="26" spans="1:15" ht="30" customHeight="1" x14ac:dyDescent="0.2">
      <c r="A26" s="17" t="str">
        <f t="shared" si="0"/>
        <v/>
      </c>
    </row>
    <row r="27" spans="1:15" ht="30" customHeight="1" x14ac:dyDescent="0.2">
      <c r="A27" s="17" t="str">
        <f t="shared" si="0"/>
        <v/>
      </c>
    </row>
    <row r="28" spans="1:15" ht="30" customHeight="1" x14ac:dyDescent="0.2">
      <c r="A28" s="17" t="str">
        <f t="shared" si="0"/>
        <v/>
      </c>
    </row>
    <row r="29" spans="1:15" ht="30" customHeight="1" x14ac:dyDescent="0.2">
      <c r="A29" s="17" t="str">
        <f t="shared" si="0"/>
        <v/>
      </c>
    </row>
    <row r="30" spans="1:15" ht="30" customHeight="1" x14ac:dyDescent="0.2">
      <c r="A30" s="17" t="str">
        <f t="shared" si="0"/>
        <v/>
      </c>
    </row>
    <row r="31" spans="1:15" ht="30" customHeight="1" x14ac:dyDescent="0.2">
      <c r="A31" s="17" t="str">
        <f t="shared" si="0"/>
        <v/>
      </c>
    </row>
    <row r="32" spans="1:15" ht="30" customHeight="1" x14ac:dyDescent="0.2">
      <c r="A32" s="17" t="str">
        <f t="shared" si="0"/>
        <v/>
      </c>
    </row>
    <row r="33" spans="1:1" ht="30" customHeight="1" x14ac:dyDescent="0.2">
      <c r="A33" s="17" t="str">
        <f t="shared" si="0"/>
        <v/>
      </c>
    </row>
    <row r="34" spans="1:1" ht="30" customHeight="1" x14ac:dyDescent="0.2">
      <c r="A34" s="17" t="str">
        <f t="shared" si="0"/>
        <v/>
      </c>
    </row>
    <row r="35" spans="1:1" ht="30" customHeight="1" x14ac:dyDescent="0.2">
      <c r="A35" s="17" t="str">
        <f t="shared" si="0"/>
        <v/>
      </c>
    </row>
    <row r="36" spans="1:1" ht="30" customHeight="1" x14ac:dyDescent="0.2">
      <c r="A36" s="17" t="str">
        <f t="shared" si="0"/>
        <v/>
      </c>
    </row>
    <row r="37" spans="1:1" ht="30" customHeight="1" x14ac:dyDescent="0.2">
      <c r="A37" s="17" t="str">
        <f t="shared" si="0"/>
        <v/>
      </c>
    </row>
    <row r="38" spans="1:1" ht="30" customHeight="1" x14ac:dyDescent="0.2">
      <c r="A38" s="17" t="str">
        <f t="shared" si="0"/>
        <v/>
      </c>
    </row>
    <row r="39" spans="1:1" ht="30" customHeight="1" x14ac:dyDescent="0.2">
      <c r="A39" s="17" t="str">
        <f t="shared" si="0"/>
        <v/>
      </c>
    </row>
    <row r="40" spans="1:1" ht="30" customHeight="1" x14ac:dyDescent="0.2">
      <c r="A40" s="17" t="str">
        <f t="shared" si="0"/>
        <v/>
      </c>
    </row>
    <row r="41" spans="1:1" ht="30" customHeight="1" x14ac:dyDescent="0.2">
      <c r="A41" s="17" t="str">
        <f t="shared" si="0"/>
        <v/>
      </c>
    </row>
    <row r="42" spans="1:1" ht="30" customHeight="1" x14ac:dyDescent="0.2">
      <c r="A42" s="17" t="str">
        <f t="shared" si="0"/>
        <v/>
      </c>
    </row>
    <row r="43" spans="1:1" ht="30" customHeight="1" x14ac:dyDescent="0.2">
      <c r="A43" s="17" t="str">
        <f t="shared" si="0"/>
        <v/>
      </c>
    </row>
    <row r="44" spans="1:1" ht="30" customHeight="1" x14ac:dyDescent="0.2">
      <c r="A44" s="17" t="str">
        <f t="shared" si="0"/>
        <v/>
      </c>
    </row>
    <row r="45" spans="1:1" ht="30" customHeight="1" x14ac:dyDescent="0.2">
      <c r="A45" s="17" t="str">
        <f t="shared" si="0"/>
        <v/>
      </c>
    </row>
    <row r="46" spans="1:1" ht="30" customHeight="1" x14ac:dyDescent="0.2">
      <c r="A46" s="17" t="str">
        <f t="shared" si="0"/>
        <v/>
      </c>
    </row>
    <row r="47" spans="1:1" ht="30" customHeight="1" x14ac:dyDescent="0.2">
      <c r="A47" s="17" t="str">
        <f t="shared" si="0"/>
        <v/>
      </c>
    </row>
    <row r="48" spans="1:1" ht="30" customHeight="1" x14ac:dyDescent="0.2">
      <c r="A48" s="17" t="str">
        <f t="shared" si="0"/>
        <v/>
      </c>
    </row>
    <row r="49" spans="1:1" ht="30" customHeight="1" x14ac:dyDescent="0.2">
      <c r="A49" s="17" t="str">
        <f t="shared" si="0"/>
        <v/>
      </c>
    </row>
    <row r="50" spans="1:1" ht="30" customHeight="1" x14ac:dyDescent="0.2">
      <c r="A50" s="17" t="str">
        <f t="shared" si="0"/>
        <v/>
      </c>
    </row>
    <row r="51" spans="1:1" ht="30" customHeight="1" x14ac:dyDescent="0.2">
      <c r="A51" s="17" t="str">
        <f t="shared" si="0"/>
        <v/>
      </c>
    </row>
    <row r="52" spans="1:1" ht="30" customHeight="1" x14ac:dyDescent="0.2">
      <c r="A52" s="17" t="str">
        <f t="shared" si="0"/>
        <v/>
      </c>
    </row>
    <row r="53" spans="1:1" ht="30" customHeight="1" x14ac:dyDescent="0.2">
      <c r="A53" s="17" t="str">
        <f t="shared" si="0"/>
        <v/>
      </c>
    </row>
    <row r="54" spans="1:1" ht="30" customHeight="1" x14ac:dyDescent="0.2">
      <c r="A54" s="17" t="str">
        <f t="shared" si="0"/>
        <v/>
      </c>
    </row>
    <row r="55" spans="1:1" ht="30" customHeight="1" x14ac:dyDescent="0.2">
      <c r="A55" s="17" t="str">
        <f t="shared" si="0"/>
        <v/>
      </c>
    </row>
    <row r="56" spans="1:1" ht="30" customHeight="1" x14ac:dyDescent="0.2">
      <c r="A56" s="17" t="str">
        <f t="shared" si="0"/>
        <v/>
      </c>
    </row>
    <row r="57" spans="1:1" ht="30" customHeight="1" x14ac:dyDescent="0.2">
      <c r="A57" s="17" t="str">
        <f t="shared" si="0"/>
        <v/>
      </c>
    </row>
    <row r="58" spans="1:1" ht="30" customHeight="1" x14ac:dyDescent="0.2">
      <c r="A58" s="17" t="str">
        <f t="shared" si="0"/>
        <v/>
      </c>
    </row>
    <row r="59" spans="1:1" ht="30" customHeight="1" x14ac:dyDescent="0.2">
      <c r="A59" s="17" t="str">
        <f t="shared" si="0"/>
        <v/>
      </c>
    </row>
    <row r="60" spans="1:1" ht="30" customHeight="1" x14ac:dyDescent="0.2">
      <c r="A60" s="17" t="str">
        <f t="shared" si="0"/>
        <v/>
      </c>
    </row>
    <row r="61" spans="1:1" ht="30" customHeight="1" x14ac:dyDescent="0.2">
      <c r="A61" s="17" t="str">
        <f t="shared" si="0"/>
        <v/>
      </c>
    </row>
    <row r="62" spans="1:1" ht="30" customHeight="1" x14ac:dyDescent="0.2">
      <c r="A62" s="17" t="str">
        <f t="shared" si="0"/>
        <v/>
      </c>
    </row>
    <row r="63" spans="1:1" ht="30" customHeight="1" x14ac:dyDescent="0.2">
      <c r="A63" s="17" t="str">
        <f t="shared" si="0"/>
        <v/>
      </c>
    </row>
    <row r="64" spans="1:1" ht="30" customHeight="1" x14ac:dyDescent="0.2">
      <c r="A64" s="17" t="str">
        <f t="shared" si="0"/>
        <v/>
      </c>
    </row>
    <row r="65" spans="1:1" ht="30" customHeight="1" x14ac:dyDescent="0.2">
      <c r="A65" s="17" t="str">
        <f t="shared" si="0"/>
        <v/>
      </c>
    </row>
    <row r="66" spans="1:1" ht="30" customHeight="1" x14ac:dyDescent="0.2">
      <c r="A66" s="17" t="str">
        <f t="shared" si="0"/>
        <v/>
      </c>
    </row>
    <row r="67" spans="1:1" ht="30" customHeight="1" x14ac:dyDescent="0.2">
      <c r="A67" s="17" t="str">
        <f t="shared" si="0"/>
        <v/>
      </c>
    </row>
    <row r="68" spans="1:1" ht="30" customHeight="1" x14ac:dyDescent="0.2">
      <c r="A68" s="17" t="str">
        <f t="shared" ref="A68:A131" si="1">IF(AND(B67&lt;&gt;"",B68=""),$A$2&amp;"---&gt;","")</f>
        <v/>
      </c>
    </row>
    <row r="69" spans="1:1" ht="30" customHeight="1" x14ac:dyDescent="0.2">
      <c r="A69" s="17" t="str">
        <f t="shared" si="1"/>
        <v/>
      </c>
    </row>
    <row r="70" spans="1:1" ht="30" customHeight="1" x14ac:dyDescent="0.2">
      <c r="A70" s="17" t="str">
        <f t="shared" si="1"/>
        <v/>
      </c>
    </row>
    <row r="71" spans="1:1" ht="30" customHeight="1" x14ac:dyDescent="0.2">
      <c r="A71" s="17" t="str">
        <f t="shared" si="1"/>
        <v/>
      </c>
    </row>
    <row r="72" spans="1:1" ht="30" customHeight="1" x14ac:dyDescent="0.2">
      <c r="A72" s="17" t="str">
        <f t="shared" si="1"/>
        <v/>
      </c>
    </row>
    <row r="73" spans="1:1" ht="30" customHeight="1" x14ac:dyDescent="0.2">
      <c r="A73" s="17" t="str">
        <f t="shared" si="1"/>
        <v/>
      </c>
    </row>
    <row r="74" spans="1:1" ht="30" customHeight="1" x14ac:dyDescent="0.2">
      <c r="A74" s="17" t="str">
        <f t="shared" si="1"/>
        <v/>
      </c>
    </row>
    <row r="75" spans="1:1" ht="30" customHeight="1" x14ac:dyDescent="0.2">
      <c r="A75" s="17" t="str">
        <f t="shared" si="1"/>
        <v/>
      </c>
    </row>
    <row r="76" spans="1:1" ht="30" customHeight="1" x14ac:dyDescent="0.2">
      <c r="A76" s="17" t="str">
        <f t="shared" si="1"/>
        <v/>
      </c>
    </row>
    <row r="77" spans="1:1" ht="30" customHeight="1" x14ac:dyDescent="0.2">
      <c r="A77" s="17" t="str">
        <f t="shared" si="1"/>
        <v/>
      </c>
    </row>
    <row r="78" spans="1:1" ht="30" customHeight="1" x14ac:dyDescent="0.2">
      <c r="A78" s="17" t="str">
        <f t="shared" si="1"/>
        <v/>
      </c>
    </row>
    <row r="79" spans="1:1" ht="30" customHeight="1" x14ac:dyDescent="0.2">
      <c r="A79" s="17" t="str">
        <f t="shared" si="1"/>
        <v/>
      </c>
    </row>
    <row r="80" spans="1:1" ht="30" customHeight="1" x14ac:dyDescent="0.2">
      <c r="A80" s="17" t="str">
        <f t="shared" si="1"/>
        <v/>
      </c>
    </row>
    <row r="81" spans="1:1" ht="30" customHeight="1" x14ac:dyDescent="0.2">
      <c r="A81" s="17" t="str">
        <f t="shared" si="1"/>
        <v/>
      </c>
    </row>
    <row r="82" spans="1:1" ht="30" customHeight="1" x14ac:dyDescent="0.2">
      <c r="A82" s="17" t="str">
        <f t="shared" si="1"/>
        <v/>
      </c>
    </row>
    <row r="83" spans="1:1" ht="30" customHeight="1" x14ac:dyDescent="0.2">
      <c r="A83" s="17" t="str">
        <f t="shared" si="1"/>
        <v/>
      </c>
    </row>
    <row r="84" spans="1:1" ht="30" customHeight="1" x14ac:dyDescent="0.2">
      <c r="A84" s="17" t="str">
        <f t="shared" si="1"/>
        <v/>
      </c>
    </row>
    <row r="85" spans="1:1" ht="30" customHeight="1" x14ac:dyDescent="0.2">
      <c r="A85" s="17" t="str">
        <f t="shared" si="1"/>
        <v/>
      </c>
    </row>
    <row r="86" spans="1:1" ht="30" customHeight="1" x14ac:dyDescent="0.2">
      <c r="A86" s="17" t="str">
        <f t="shared" si="1"/>
        <v/>
      </c>
    </row>
    <row r="87" spans="1:1" ht="30" customHeight="1" x14ac:dyDescent="0.2">
      <c r="A87" s="17" t="str">
        <f t="shared" si="1"/>
        <v/>
      </c>
    </row>
    <row r="88" spans="1:1" ht="30" customHeight="1" x14ac:dyDescent="0.2">
      <c r="A88" s="17" t="str">
        <f t="shared" si="1"/>
        <v/>
      </c>
    </row>
    <row r="89" spans="1:1" ht="30" customHeight="1" x14ac:dyDescent="0.2">
      <c r="A89" s="17" t="str">
        <f t="shared" si="1"/>
        <v/>
      </c>
    </row>
    <row r="90" spans="1:1" ht="30" customHeight="1" x14ac:dyDescent="0.2">
      <c r="A90" s="17" t="str">
        <f t="shared" si="1"/>
        <v/>
      </c>
    </row>
    <row r="91" spans="1:1" ht="30" customHeight="1" x14ac:dyDescent="0.2">
      <c r="A91" s="17" t="str">
        <f t="shared" si="1"/>
        <v/>
      </c>
    </row>
    <row r="92" spans="1:1" ht="30" customHeight="1" x14ac:dyDescent="0.2">
      <c r="A92" s="17" t="str">
        <f t="shared" si="1"/>
        <v/>
      </c>
    </row>
    <row r="93" spans="1:1" ht="30" customHeight="1" x14ac:dyDescent="0.2">
      <c r="A93" s="17" t="str">
        <f t="shared" si="1"/>
        <v/>
      </c>
    </row>
    <row r="94" spans="1:1" ht="30" customHeight="1" x14ac:dyDescent="0.2">
      <c r="A94" s="17" t="str">
        <f t="shared" si="1"/>
        <v/>
      </c>
    </row>
    <row r="95" spans="1:1" ht="30" customHeight="1" x14ac:dyDescent="0.2">
      <c r="A95" s="17" t="str">
        <f t="shared" si="1"/>
        <v/>
      </c>
    </row>
    <row r="96" spans="1:1" ht="30" customHeight="1" x14ac:dyDescent="0.2">
      <c r="A96" s="17" t="str">
        <f t="shared" si="1"/>
        <v/>
      </c>
    </row>
    <row r="97" spans="1:1" ht="30" customHeight="1" x14ac:dyDescent="0.2">
      <c r="A97" s="17" t="str">
        <f t="shared" si="1"/>
        <v/>
      </c>
    </row>
    <row r="98" spans="1:1" ht="30" customHeight="1" x14ac:dyDescent="0.2">
      <c r="A98" s="17" t="str">
        <f t="shared" si="1"/>
        <v/>
      </c>
    </row>
    <row r="99" spans="1:1" ht="30" customHeight="1" x14ac:dyDescent="0.2">
      <c r="A99" s="17" t="str">
        <f t="shared" si="1"/>
        <v/>
      </c>
    </row>
    <row r="100" spans="1:1" ht="30" customHeight="1" x14ac:dyDescent="0.2">
      <c r="A100" s="17" t="str">
        <f t="shared" si="1"/>
        <v/>
      </c>
    </row>
    <row r="101" spans="1:1" ht="30" customHeight="1" x14ac:dyDescent="0.2">
      <c r="A101" s="17" t="str">
        <f t="shared" si="1"/>
        <v/>
      </c>
    </row>
    <row r="102" spans="1:1" ht="30" customHeight="1" x14ac:dyDescent="0.2">
      <c r="A102" s="17" t="str">
        <f t="shared" si="1"/>
        <v/>
      </c>
    </row>
    <row r="103" spans="1:1" ht="30" customHeight="1" x14ac:dyDescent="0.2">
      <c r="A103" s="17" t="str">
        <f t="shared" si="1"/>
        <v/>
      </c>
    </row>
    <row r="104" spans="1:1" ht="30" customHeight="1" x14ac:dyDescent="0.2">
      <c r="A104" s="17" t="str">
        <f t="shared" si="1"/>
        <v/>
      </c>
    </row>
    <row r="105" spans="1:1" ht="30" customHeight="1" x14ac:dyDescent="0.2">
      <c r="A105" s="17" t="str">
        <f t="shared" si="1"/>
        <v/>
      </c>
    </row>
    <row r="106" spans="1:1" ht="30" customHeight="1" x14ac:dyDescent="0.2">
      <c r="A106" s="17" t="str">
        <f t="shared" si="1"/>
        <v/>
      </c>
    </row>
    <row r="107" spans="1:1" ht="30" customHeight="1" x14ac:dyDescent="0.2">
      <c r="A107" s="17" t="str">
        <f t="shared" si="1"/>
        <v/>
      </c>
    </row>
    <row r="108" spans="1:1" ht="30" customHeight="1" x14ac:dyDescent="0.2">
      <c r="A108" s="17" t="str">
        <f t="shared" si="1"/>
        <v/>
      </c>
    </row>
    <row r="109" spans="1:1" ht="30" customHeight="1" x14ac:dyDescent="0.2">
      <c r="A109" s="17" t="str">
        <f t="shared" si="1"/>
        <v/>
      </c>
    </row>
    <row r="110" spans="1:1" ht="30" customHeight="1" x14ac:dyDescent="0.2">
      <c r="A110" s="17" t="str">
        <f t="shared" si="1"/>
        <v/>
      </c>
    </row>
    <row r="111" spans="1:1" ht="30" customHeight="1" x14ac:dyDescent="0.2">
      <c r="A111" s="17" t="str">
        <f t="shared" si="1"/>
        <v/>
      </c>
    </row>
    <row r="112" spans="1:1" ht="30" customHeight="1" x14ac:dyDescent="0.2">
      <c r="A112" s="17" t="str">
        <f t="shared" si="1"/>
        <v/>
      </c>
    </row>
    <row r="113" spans="1:1" ht="30" customHeight="1" x14ac:dyDescent="0.2">
      <c r="A113" s="17" t="str">
        <f t="shared" si="1"/>
        <v/>
      </c>
    </row>
    <row r="114" spans="1:1" ht="30" customHeight="1" x14ac:dyDescent="0.2">
      <c r="A114" s="17" t="str">
        <f t="shared" si="1"/>
        <v/>
      </c>
    </row>
    <row r="115" spans="1:1" ht="30" customHeight="1" x14ac:dyDescent="0.2">
      <c r="A115" s="17" t="str">
        <f t="shared" si="1"/>
        <v/>
      </c>
    </row>
    <row r="116" spans="1:1" ht="30" customHeight="1" x14ac:dyDescent="0.2">
      <c r="A116" s="17" t="str">
        <f t="shared" si="1"/>
        <v/>
      </c>
    </row>
    <row r="117" spans="1:1" ht="30" customHeight="1" x14ac:dyDescent="0.2">
      <c r="A117" s="17" t="str">
        <f t="shared" si="1"/>
        <v/>
      </c>
    </row>
    <row r="118" spans="1:1" ht="30" customHeight="1" x14ac:dyDescent="0.2">
      <c r="A118" s="17" t="str">
        <f t="shared" si="1"/>
        <v/>
      </c>
    </row>
    <row r="119" spans="1:1" ht="30" customHeight="1" x14ac:dyDescent="0.2">
      <c r="A119" s="17" t="str">
        <f t="shared" si="1"/>
        <v/>
      </c>
    </row>
    <row r="120" spans="1:1" ht="30" customHeight="1" x14ac:dyDescent="0.2">
      <c r="A120" s="17" t="str">
        <f t="shared" si="1"/>
        <v/>
      </c>
    </row>
    <row r="121" spans="1:1" ht="30" customHeight="1" x14ac:dyDescent="0.2">
      <c r="A121" s="17" t="str">
        <f t="shared" si="1"/>
        <v/>
      </c>
    </row>
    <row r="122" spans="1:1" ht="30" customHeight="1" x14ac:dyDescent="0.2">
      <c r="A122" s="17" t="str">
        <f t="shared" si="1"/>
        <v/>
      </c>
    </row>
    <row r="123" spans="1:1" ht="30" customHeight="1" x14ac:dyDescent="0.2">
      <c r="A123" s="17" t="str">
        <f t="shared" si="1"/>
        <v/>
      </c>
    </row>
    <row r="124" spans="1:1" ht="30" customHeight="1" x14ac:dyDescent="0.2">
      <c r="A124" s="17" t="str">
        <f t="shared" si="1"/>
        <v/>
      </c>
    </row>
    <row r="125" spans="1:1" ht="30" customHeight="1" x14ac:dyDescent="0.2">
      <c r="A125" s="17" t="str">
        <f t="shared" si="1"/>
        <v/>
      </c>
    </row>
    <row r="126" spans="1:1" ht="30" customHeight="1" x14ac:dyDescent="0.2">
      <c r="A126" s="17" t="str">
        <f t="shared" si="1"/>
        <v/>
      </c>
    </row>
    <row r="127" spans="1:1" ht="30" customHeight="1" x14ac:dyDescent="0.2">
      <c r="A127" s="17" t="str">
        <f t="shared" si="1"/>
        <v/>
      </c>
    </row>
    <row r="128" spans="1:1" ht="30" customHeight="1" x14ac:dyDescent="0.2">
      <c r="A128" s="17" t="str">
        <f t="shared" si="1"/>
        <v/>
      </c>
    </row>
    <row r="129" spans="1:1" ht="30" customHeight="1" x14ac:dyDescent="0.2">
      <c r="A129" s="17" t="str">
        <f t="shared" si="1"/>
        <v/>
      </c>
    </row>
    <row r="130" spans="1:1" ht="30" customHeight="1" x14ac:dyDescent="0.2">
      <c r="A130" s="17" t="str">
        <f t="shared" si="1"/>
        <v/>
      </c>
    </row>
    <row r="131" spans="1:1" ht="30" customHeight="1" x14ac:dyDescent="0.2">
      <c r="A131" s="17" t="str">
        <f t="shared" si="1"/>
        <v/>
      </c>
    </row>
    <row r="132" spans="1:1" ht="30" customHeight="1" x14ac:dyDescent="0.2">
      <c r="A132" s="17" t="str">
        <f t="shared" ref="A132:A195" si="2">IF(AND(B131&lt;&gt;"",B132=""),$A$2&amp;"---&gt;","")</f>
        <v/>
      </c>
    </row>
    <row r="133" spans="1:1" ht="30" customHeight="1" x14ac:dyDescent="0.2">
      <c r="A133" s="17" t="str">
        <f t="shared" si="2"/>
        <v/>
      </c>
    </row>
    <row r="134" spans="1:1" ht="30" customHeight="1" x14ac:dyDescent="0.2">
      <c r="A134" s="17" t="str">
        <f t="shared" si="2"/>
        <v/>
      </c>
    </row>
    <row r="135" spans="1:1" ht="30" customHeight="1" x14ac:dyDescent="0.2">
      <c r="A135" s="17" t="str">
        <f t="shared" si="2"/>
        <v/>
      </c>
    </row>
    <row r="136" spans="1:1" ht="30" customHeight="1" x14ac:dyDescent="0.2">
      <c r="A136" s="17" t="str">
        <f t="shared" si="2"/>
        <v/>
      </c>
    </row>
    <row r="137" spans="1:1" ht="30" customHeight="1" x14ac:dyDescent="0.2">
      <c r="A137" s="17" t="str">
        <f t="shared" si="2"/>
        <v/>
      </c>
    </row>
    <row r="138" spans="1:1" ht="30" customHeight="1" x14ac:dyDescent="0.2">
      <c r="A138" s="17" t="str">
        <f t="shared" si="2"/>
        <v/>
      </c>
    </row>
    <row r="139" spans="1:1" ht="30" customHeight="1" x14ac:dyDescent="0.2">
      <c r="A139" s="17" t="str">
        <f t="shared" si="2"/>
        <v/>
      </c>
    </row>
    <row r="140" spans="1:1" ht="30" customHeight="1" x14ac:dyDescent="0.2">
      <c r="A140" s="17" t="str">
        <f t="shared" si="2"/>
        <v/>
      </c>
    </row>
    <row r="141" spans="1:1" ht="30" customHeight="1" x14ac:dyDescent="0.2">
      <c r="A141" s="17" t="str">
        <f t="shared" si="2"/>
        <v/>
      </c>
    </row>
    <row r="142" spans="1:1" ht="30" customHeight="1" x14ac:dyDescent="0.2">
      <c r="A142" s="17" t="str">
        <f t="shared" si="2"/>
        <v/>
      </c>
    </row>
    <row r="143" spans="1:1" ht="30" customHeight="1" x14ac:dyDescent="0.2">
      <c r="A143" s="17" t="str">
        <f t="shared" si="2"/>
        <v/>
      </c>
    </row>
    <row r="144" spans="1:1" ht="30" customHeight="1" x14ac:dyDescent="0.2">
      <c r="A144" s="17" t="str">
        <f t="shared" si="2"/>
        <v/>
      </c>
    </row>
    <row r="145" spans="1:1" ht="30" customHeight="1" x14ac:dyDescent="0.2">
      <c r="A145" s="17" t="str">
        <f t="shared" si="2"/>
        <v/>
      </c>
    </row>
    <row r="146" spans="1:1" ht="30" customHeight="1" x14ac:dyDescent="0.2">
      <c r="A146" s="17" t="str">
        <f t="shared" si="2"/>
        <v/>
      </c>
    </row>
    <row r="147" spans="1:1" ht="30" customHeight="1" x14ac:dyDescent="0.2">
      <c r="A147" s="17" t="str">
        <f t="shared" si="2"/>
        <v/>
      </c>
    </row>
    <row r="148" spans="1:1" ht="30" customHeight="1" x14ac:dyDescent="0.2">
      <c r="A148" s="17" t="str">
        <f t="shared" si="2"/>
        <v/>
      </c>
    </row>
    <row r="149" spans="1:1" ht="30" customHeight="1" x14ac:dyDescent="0.2">
      <c r="A149" s="17" t="str">
        <f t="shared" si="2"/>
        <v/>
      </c>
    </row>
    <row r="150" spans="1:1" ht="30" customHeight="1" x14ac:dyDescent="0.2">
      <c r="A150" s="17" t="str">
        <f t="shared" si="2"/>
        <v/>
      </c>
    </row>
    <row r="151" spans="1:1" ht="30" customHeight="1" x14ac:dyDescent="0.2">
      <c r="A151" s="17" t="str">
        <f t="shared" si="2"/>
        <v/>
      </c>
    </row>
    <row r="152" spans="1:1" ht="30" customHeight="1" x14ac:dyDescent="0.2">
      <c r="A152" s="17" t="str">
        <f t="shared" si="2"/>
        <v/>
      </c>
    </row>
    <row r="153" spans="1:1" ht="30" customHeight="1" x14ac:dyDescent="0.2">
      <c r="A153" s="17" t="str">
        <f t="shared" si="2"/>
        <v/>
      </c>
    </row>
    <row r="154" spans="1:1" ht="30" customHeight="1" x14ac:dyDescent="0.2">
      <c r="A154" s="17" t="str">
        <f t="shared" si="2"/>
        <v/>
      </c>
    </row>
    <row r="155" spans="1:1" ht="30" customHeight="1" x14ac:dyDescent="0.2">
      <c r="A155" s="17" t="str">
        <f t="shared" si="2"/>
        <v/>
      </c>
    </row>
    <row r="156" spans="1:1" ht="30" customHeight="1" x14ac:dyDescent="0.2">
      <c r="A156" s="17" t="str">
        <f t="shared" si="2"/>
        <v/>
      </c>
    </row>
    <row r="157" spans="1:1" ht="30" customHeight="1" x14ac:dyDescent="0.2">
      <c r="A157" s="17" t="str">
        <f t="shared" si="2"/>
        <v/>
      </c>
    </row>
    <row r="158" spans="1:1" ht="30" customHeight="1" x14ac:dyDescent="0.2">
      <c r="A158" s="17" t="str">
        <f t="shared" si="2"/>
        <v/>
      </c>
    </row>
    <row r="159" spans="1:1" ht="30" customHeight="1" x14ac:dyDescent="0.2">
      <c r="A159" s="17" t="str">
        <f t="shared" si="2"/>
        <v/>
      </c>
    </row>
    <row r="160" spans="1:1" ht="30" customHeight="1" x14ac:dyDescent="0.2">
      <c r="A160" s="17" t="str">
        <f t="shared" si="2"/>
        <v/>
      </c>
    </row>
    <row r="161" spans="1:1" ht="30" customHeight="1" x14ac:dyDescent="0.2">
      <c r="A161" s="17" t="str">
        <f t="shared" si="2"/>
        <v/>
      </c>
    </row>
    <row r="162" spans="1:1" ht="30" customHeight="1" x14ac:dyDescent="0.2">
      <c r="A162" s="17" t="str">
        <f t="shared" si="2"/>
        <v/>
      </c>
    </row>
    <row r="163" spans="1:1" ht="30" customHeight="1" x14ac:dyDescent="0.2">
      <c r="A163" s="17" t="str">
        <f t="shared" si="2"/>
        <v/>
      </c>
    </row>
    <row r="164" spans="1:1" ht="30" customHeight="1" x14ac:dyDescent="0.2">
      <c r="A164" s="17" t="str">
        <f t="shared" si="2"/>
        <v/>
      </c>
    </row>
    <row r="165" spans="1:1" ht="30" customHeight="1" x14ac:dyDescent="0.2">
      <c r="A165" s="17" t="str">
        <f t="shared" si="2"/>
        <v/>
      </c>
    </row>
    <row r="166" spans="1:1" ht="30" customHeight="1" x14ac:dyDescent="0.2">
      <c r="A166" s="17" t="str">
        <f t="shared" si="2"/>
        <v/>
      </c>
    </row>
    <row r="167" spans="1:1" ht="30" customHeight="1" x14ac:dyDescent="0.2">
      <c r="A167" s="17" t="str">
        <f t="shared" si="2"/>
        <v/>
      </c>
    </row>
    <row r="168" spans="1:1" ht="30" customHeight="1" x14ac:dyDescent="0.2">
      <c r="A168" s="17" t="str">
        <f t="shared" si="2"/>
        <v/>
      </c>
    </row>
    <row r="169" spans="1:1" ht="30" customHeight="1" x14ac:dyDescent="0.2">
      <c r="A169" s="17" t="str">
        <f t="shared" si="2"/>
        <v/>
      </c>
    </row>
    <row r="170" spans="1:1" ht="30" customHeight="1" x14ac:dyDescent="0.2">
      <c r="A170" s="17" t="str">
        <f t="shared" si="2"/>
        <v/>
      </c>
    </row>
    <row r="171" spans="1:1" ht="30" customHeight="1" x14ac:dyDescent="0.2">
      <c r="A171" s="17" t="str">
        <f t="shared" si="2"/>
        <v/>
      </c>
    </row>
    <row r="172" spans="1:1" ht="30" customHeight="1" x14ac:dyDescent="0.2">
      <c r="A172" s="17" t="str">
        <f t="shared" si="2"/>
        <v/>
      </c>
    </row>
    <row r="173" spans="1:1" ht="30" customHeight="1" x14ac:dyDescent="0.2">
      <c r="A173" s="17" t="str">
        <f t="shared" si="2"/>
        <v/>
      </c>
    </row>
    <row r="174" spans="1:1" ht="30" customHeight="1" x14ac:dyDescent="0.2">
      <c r="A174" s="17" t="str">
        <f t="shared" si="2"/>
        <v/>
      </c>
    </row>
    <row r="175" spans="1:1" ht="30" customHeight="1" x14ac:dyDescent="0.2">
      <c r="A175" s="17" t="str">
        <f t="shared" si="2"/>
        <v/>
      </c>
    </row>
    <row r="176" spans="1:1" ht="30" customHeight="1" x14ac:dyDescent="0.2">
      <c r="A176" s="17" t="str">
        <f t="shared" si="2"/>
        <v/>
      </c>
    </row>
    <row r="177" spans="1:1" ht="30" customHeight="1" x14ac:dyDescent="0.2">
      <c r="A177" s="17" t="str">
        <f t="shared" si="2"/>
        <v/>
      </c>
    </row>
    <row r="178" spans="1:1" ht="30" customHeight="1" x14ac:dyDescent="0.2">
      <c r="A178" s="17" t="str">
        <f t="shared" si="2"/>
        <v/>
      </c>
    </row>
    <row r="179" spans="1:1" ht="30" customHeight="1" x14ac:dyDescent="0.2">
      <c r="A179" s="17" t="str">
        <f t="shared" si="2"/>
        <v/>
      </c>
    </row>
    <row r="180" spans="1:1" ht="30" customHeight="1" x14ac:dyDescent="0.2">
      <c r="A180" s="17" t="str">
        <f t="shared" si="2"/>
        <v/>
      </c>
    </row>
    <row r="181" spans="1:1" ht="30" customHeight="1" x14ac:dyDescent="0.2">
      <c r="A181" s="17" t="str">
        <f t="shared" si="2"/>
        <v/>
      </c>
    </row>
    <row r="182" spans="1:1" ht="30" customHeight="1" x14ac:dyDescent="0.2">
      <c r="A182" s="17" t="str">
        <f t="shared" si="2"/>
        <v/>
      </c>
    </row>
    <row r="183" spans="1:1" ht="30" customHeight="1" x14ac:dyDescent="0.2">
      <c r="A183" s="17" t="str">
        <f t="shared" si="2"/>
        <v/>
      </c>
    </row>
    <row r="184" spans="1:1" ht="30" customHeight="1" x14ac:dyDescent="0.2">
      <c r="A184" s="17" t="str">
        <f t="shared" si="2"/>
        <v/>
      </c>
    </row>
    <row r="185" spans="1:1" ht="30" customHeight="1" x14ac:dyDescent="0.2">
      <c r="A185" s="17" t="str">
        <f t="shared" si="2"/>
        <v/>
      </c>
    </row>
    <row r="186" spans="1:1" ht="30" customHeight="1" x14ac:dyDescent="0.2">
      <c r="A186" s="17" t="str">
        <f t="shared" si="2"/>
        <v/>
      </c>
    </row>
    <row r="187" spans="1:1" ht="30" customHeight="1" x14ac:dyDescent="0.2">
      <c r="A187" s="17" t="str">
        <f t="shared" si="2"/>
        <v/>
      </c>
    </row>
    <row r="188" spans="1:1" ht="30" customHeight="1" x14ac:dyDescent="0.2">
      <c r="A188" s="17" t="str">
        <f t="shared" si="2"/>
        <v/>
      </c>
    </row>
    <row r="189" spans="1:1" ht="30" customHeight="1" x14ac:dyDescent="0.2">
      <c r="A189" s="17" t="str">
        <f t="shared" si="2"/>
        <v/>
      </c>
    </row>
    <row r="190" spans="1:1" ht="30" customHeight="1" x14ac:dyDescent="0.2">
      <c r="A190" s="17" t="str">
        <f t="shared" si="2"/>
        <v/>
      </c>
    </row>
    <row r="191" spans="1:1" ht="30" customHeight="1" x14ac:dyDescent="0.2">
      <c r="A191" s="17" t="str">
        <f t="shared" si="2"/>
        <v/>
      </c>
    </row>
    <row r="192" spans="1:1" ht="30" customHeight="1" x14ac:dyDescent="0.2">
      <c r="A192" s="17" t="str">
        <f t="shared" si="2"/>
        <v/>
      </c>
    </row>
    <row r="193" spans="1:1" ht="30" customHeight="1" x14ac:dyDescent="0.2">
      <c r="A193" s="17" t="str">
        <f t="shared" si="2"/>
        <v/>
      </c>
    </row>
    <row r="194" spans="1:1" ht="30" customHeight="1" x14ac:dyDescent="0.2">
      <c r="A194" s="17" t="str">
        <f t="shared" si="2"/>
        <v/>
      </c>
    </row>
    <row r="195" spans="1:1" ht="30" customHeight="1" x14ac:dyDescent="0.2">
      <c r="A195" s="17" t="str">
        <f t="shared" si="2"/>
        <v/>
      </c>
    </row>
    <row r="196" spans="1:1" ht="30" customHeight="1" x14ac:dyDescent="0.2">
      <c r="A196" s="17" t="str">
        <f t="shared" ref="A196:A259" si="3">IF(AND(B195&lt;&gt;"",B196=""),$A$2&amp;"---&gt;","")</f>
        <v/>
      </c>
    </row>
    <row r="197" spans="1:1" ht="30" customHeight="1" x14ac:dyDescent="0.2">
      <c r="A197" s="17" t="str">
        <f t="shared" si="3"/>
        <v/>
      </c>
    </row>
    <row r="198" spans="1:1" ht="30" customHeight="1" x14ac:dyDescent="0.2">
      <c r="A198" s="17" t="str">
        <f t="shared" si="3"/>
        <v/>
      </c>
    </row>
    <row r="199" spans="1:1" ht="30" customHeight="1" x14ac:dyDescent="0.2">
      <c r="A199" s="17" t="str">
        <f t="shared" si="3"/>
        <v/>
      </c>
    </row>
    <row r="200" spans="1:1" ht="30" customHeight="1" x14ac:dyDescent="0.2">
      <c r="A200" s="17" t="str">
        <f t="shared" si="3"/>
        <v/>
      </c>
    </row>
    <row r="201" spans="1:1" ht="30" customHeight="1" x14ac:dyDescent="0.2">
      <c r="A201" s="17" t="str">
        <f t="shared" si="3"/>
        <v/>
      </c>
    </row>
    <row r="202" spans="1:1" ht="30" customHeight="1" x14ac:dyDescent="0.2">
      <c r="A202" s="17" t="str">
        <f t="shared" si="3"/>
        <v/>
      </c>
    </row>
    <row r="203" spans="1:1" ht="30" customHeight="1" x14ac:dyDescent="0.2">
      <c r="A203" s="17" t="str">
        <f t="shared" si="3"/>
        <v/>
      </c>
    </row>
    <row r="204" spans="1:1" ht="30" customHeight="1" x14ac:dyDescent="0.2">
      <c r="A204" s="17" t="str">
        <f t="shared" si="3"/>
        <v/>
      </c>
    </row>
    <row r="205" spans="1:1" ht="30" customHeight="1" x14ac:dyDescent="0.2">
      <c r="A205" s="17" t="str">
        <f t="shared" si="3"/>
        <v/>
      </c>
    </row>
    <row r="206" spans="1:1" ht="30" customHeight="1" x14ac:dyDescent="0.2">
      <c r="A206" s="17" t="str">
        <f t="shared" si="3"/>
        <v/>
      </c>
    </row>
    <row r="207" spans="1:1" ht="30" customHeight="1" x14ac:dyDescent="0.2">
      <c r="A207" s="17" t="str">
        <f t="shared" si="3"/>
        <v/>
      </c>
    </row>
    <row r="208" spans="1:1" ht="30" customHeight="1" x14ac:dyDescent="0.2">
      <c r="A208" s="17" t="str">
        <f t="shared" si="3"/>
        <v/>
      </c>
    </row>
    <row r="209" spans="1:1" ht="30" customHeight="1" x14ac:dyDescent="0.2">
      <c r="A209" s="17" t="str">
        <f t="shared" si="3"/>
        <v/>
      </c>
    </row>
    <row r="210" spans="1:1" ht="30" customHeight="1" x14ac:dyDescent="0.2">
      <c r="A210" s="17" t="str">
        <f t="shared" si="3"/>
        <v/>
      </c>
    </row>
    <row r="211" spans="1:1" ht="30" customHeight="1" x14ac:dyDescent="0.2">
      <c r="A211" s="17" t="str">
        <f t="shared" si="3"/>
        <v/>
      </c>
    </row>
    <row r="212" spans="1:1" ht="30" customHeight="1" x14ac:dyDescent="0.2">
      <c r="A212" s="17" t="str">
        <f t="shared" si="3"/>
        <v/>
      </c>
    </row>
    <row r="213" spans="1:1" ht="30" customHeight="1" x14ac:dyDescent="0.2">
      <c r="A213" s="17" t="str">
        <f t="shared" si="3"/>
        <v/>
      </c>
    </row>
    <row r="214" spans="1:1" ht="30" customHeight="1" x14ac:dyDescent="0.2">
      <c r="A214" s="17" t="str">
        <f t="shared" si="3"/>
        <v/>
      </c>
    </row>
    <row r="215" spans="1:1" ht="30" customHeight="1" x14ac:dyDescent="0.2">
      <c r="A215" s="17" t="str">
        <f t="shared" si="3"/>
        <v/>
      </c>
    </row>
    <row r="216" spans="1:1" ht="30" customHeight="1" x14ac:dyDescent="0.2">
      <c r="A216" s="17" t="str">
        <f t="shared" si="3"/>
        <v/>
      </c>
    </row>
    <row r="217" spans="1:1" ht="30" customHeight="1" x14ac:dyDescent="0.2">
      <c r="A217" s="17" t="str">
        <f t="shared" si="3"/>
        <v/>
      </c>
    </row>
    <row r="218" spans="1:1" ht="30" customHeight="1" x14ac:dyDescent="0.2">
      <c r="A218" s="17" t="str">
        <f t="shared" si="3"/>
        <v/>
      </c>
    </row>
    <row r="219" spans="1:1" ht="30" customHeight="1" x14ac:dyDescent="0.2">
      <c r="A219" s="17" t="str">
        <f t="shared" si="3"/>
        <v/>
      </c>
    </row>
    <row r="220" spans="1:1" ht="30" customHeight="1" x14ac:dyDescent="0.2">
      <c r="A220" s="17" t="str">
        <f t="shared" si="3"/>
        <v/>
      </c>
    </row>
    <row r="221" spans="1:1" ht="30" customHeight="1" x14ac:dyDescent="0.2">
      <c r="A221" s="17" t="str">
        <f t="shared" si="3"/>
        <v/>
      </c>
    </row>
    <row r="222" spans="1:1" ht="30" customHeight="1" x14ac:dyDescent="0.2">
      <c r="A222" s="17" t="str">
        <f t="shared" si="3"/>
        <v/>
      </c>
    </row>
    <row r="223" spans="1:1" ht="30" customHeight="1" x14ac:dyDescent="0.2">
      <c r="A223" s="17" t="str">
        <f t="shared" si="3"/>
        <v/>
      </c>
    </row>
    <row r="224" spans="1:1" ht="30" customHeight="1" x14ac:dyDescent="0.2">
      <c r="A224" s="17" t="str">
        <f t="shared" si="3"/>
        <v/>
      </c>
    </row>
    <row r="225" spans="1:1" ht="30" customHeight="1" x14ac:dyDescent="0.2">
      <c r="A225" s="17" t="str">
        <f t="shared" si="3"/>
        <v/>
      </c>
    </row>
    <row r="226" spans="1:1" ht="30" customHeight="1" x14ac:dyDescent="0.2">
      <c r="A226" s="17" t="str">
        <f t="shared" si="3"/>
        <v/>
      </c>
    </row>
    <row r="227" spans="1:1" ht="30" customHeight="1" x14ac:dyDescent="0.2">
      <c r="A227" s="17" t="str">
        <f t="shared" si="3"/>
        <v/>
      </c>
    </row>
    <row r="228" spans="1:1" ht="30" customHeight="1" x14ac:dyDescent="0.2">
      <c r="A228" s="17" t="str">
        <f t="shared" si="3"/>
        <v/>
      </c>
    </row>
    <row r="229" spans="1:1" ht="30" customHeight="1" x14ac:dyDescent="0.2">
      <c r="A229" s="17" t="str">
        <f t="shared" si="3"/>
        <v/>
      </c>
    </row>
    <row r="230" spans="1:1" ht="30" customHeight="1" x14ac:dyDescent="0.2">
      <c r="A230" s="17" t="str">
        <f t="shared" si="3"/>
        <v/>
      </c>
    </row>
    <row r="231" spans="1:1" ht="30" customHeight="1" x14ac:dyDescent="0.2">
      <c r="A231" s="17" t="str">
        <f t="shared" si="3"/>
        <v/>
      </c>
    </row>
    <row r="232" spans="1:1" ht="30" customHeight="1" x14ac:dyDescent="0.2">
      <c r="A232" s="17" t="str">
        <f t="shared" si="3"/>
        <v/>
      </c>
    </row>
    <row r="233" spans="1:1" ht="30" customHeight="1" x14ac:dyDescent="0.2">
      <c r="A233" s="17" t="str">
        <f t="shared" si="3"/>
        <v/>
      </c>
    </row>
    <row r="234" spans="1:1" ht="30" customHeight="1" x14ac:dyDescent="0.2">
      <c r="A234" s="17" t="str">
        <f t="shared" si="3"/>
        <v/>
      </c>
    </row>
    <row r="235" spans="1:1" ht="30" customHeight="1" x14ac:dyDescent="0.2">
      <c r="A235" s="17" t="str">
        <f t="shared" si="3"/>
        <v/>
      </c>
    </row>
    <row r="236" spans="1:1" ht="30" customHeight="1" x14ac:dyDescent="0.2">
      <c r="A236" s="17" t="str">
        <f t="shared" si="3"/>
        <v/>
      </c>
    </row>
    <row r="237" spans="1:1" ht="30" customHeight="1" x14ac:dyDescent="0.2">
      <c r="A237" s="17" t="str">
        <f t="shared" si="3"/>
        <v/>
      </c>
    </row>
    <row r="238" spans="1:1" ht="30" customHeight="1" x14ac:dyDescent="0.2">
      <c r="A238" s="17" t="str">
        <f t="shared" si="3"/>
        <v/>
      </c>
    </row>
    <row r="239" spans="1:1" ht="30" customHeight="1" x14ac:dyDescent="0.2">
      <c r="A239" s="17" t="str">
        <f t="shared" si="3"/>
        <v/>
      </c>
    </row>
    <row r="240" spans="1:1" ht="30" customHeight="1" x14ac:dyDescent="0.2">
      <c r="A240" s="17" t="str">
        <f t="shared" si="3"/>
        <v/>
      </c>
    </row>
    <row r="241" spans="1:1" ht="30" customHeight="1" x14ac:dyDescent="0.2">
      <c r="A241" s="17" t="str">
        <f t="shared" si="3"/>
        <v/>
      </c>
    </row>
    <row r="242" spans="1:1" ht="30" customHeight="1" x14ac:dyDescent="0.2">
      <c r="A242" s="17" t="str">
        <f t="shared" si="3"/>
        <v/>
      </c>
    </row>
    <row r="243" spans="1:1" ht="30" customHeight="1" x14ac:dyDescent="0.2">
      <c r="A243" s="17" t="str">
        <f t="shared" si="3"/>
        <v/>
      </c>
    </row>
    <row r="244" spans="1:1" ht="30" customHeight="1" x14ac:dyDescent="0.2">
      <c r="A244" s="17" t="str">
        <f t="shared" si="3"/>
        <v/>
      </c>
    </row>
    <row r="245" spans="1:1" ht="30" customHeight="1" x14ac:dyDescent="0.2">
      <c r="A245" s="17" t="str">
        <f t="shared" si="3"/>
        <v/>
      </c>
    </row>
    <row r="246" spans="1:1" ht="30" customHeight="1" x14ac:dyDescent="0.2">
      <c r="A246" s="17" t="str">
        <f t="shared" si="3"/>
        <v/>
      </c>
    </row>
    <row r="247" spans="1:1" ht="30" customHeight="1" x14ac:dyDescent="0.2">
      <c r="A247" s="17" t="str">
        <f t="shared" si="3"/>
        <v/>
      </c>
    </row>
    <row r="248" spans="1:1" ht="30" customHeight="1" x14ac:dyDescent="0.2">
      <c r="A248" s="17" t="str">
        <f t="shared" si="3"/>
        <v/>
      </c>
    </row>
    <row r="249" spans="1:1" ht="30" customHeight="1" x14ac:dyDescent="0.2">
      <c r="A249" s="17" t="str">
        <f t="shared" si="3"/>
        <v/>
      </c>
    </row>
    <row r="250" spans="1:1" ht="30" customHeight="1" x14ac:dyDescent="0.2">
      <c r="A250" s="17" t="str">
        <f t="shared" si="3"/>
        <v/>
      </c>
    </row>
    <row r="251" spans="1:1" ht="30" customHeight="1" x14ac:dyDescent="0.2">
      <c r="A251" s="17" t="str">
        <f t="shared" si="3"/>
        <v/>
      </c>
    </row>
    <row r="252" spans="1:1" ht="30" customHeight="1" x14ac:dyDescent="0.2">
      <c r="A252" s="17" t="str">
        <f t="shared" si="3"/>
        <v/>
      </c>
    </row>
    <row r="253" spans="1:1" ht="30" customHeight="1" x14ac:dyDescent="0.2">
      <c r="A253" s="17" t="str">
        <f t="shared" si="3"/>
        <v/>
      </c>
    </row>
    <row r="254" spans="1:1" ht="30" customHeight="1" x14ac:dyDescent="0.2">
      <c r="A254" s="17" t="str">
        <f t="shared" si="3"/>
        <v/>
      </c>
    </row>
    <row r="255" spans="1:1" ht="30" customHeight="1" x14ac:dyDescent="0.2">
      <c r="A255" s="17" t="str">
        <f t="shared" si="3"/>
        <v/>
      </c>
    </row>
    <row r="256" spans="1:1" ht="30" customHeight="1" x14ac:dyDescent="0.2">
      <c r="A256" s="17" t="str">
        <f t="shared" si="3"/>
        <v/>
      </c>
    </row>
    <row r="257" spans="1:1" ht="30" customHeight="1" x14ac:dyDescent="0.2">
      <c r="A257" s="17" t="str">
        <f t="shared" si="3"/>
        <v/>
      </c>
    </row>
    <row r="258" spans="1:1" ht="30" customHeight="1" x14ac:dyDescent="0.2">
      <c r="A258" s="17" t="str">
        <f t="shared" si="3"/>
        <v/>
      </c>
    </row>
    <row r="259" spans="1:1" ht="30" customHeight="1" x14ac:dyDescent="0.2">
      <c r="A259" s="17" t="str">
        <f t="shared" si="3"/>
        <v/>
      </c>
    </row>
    <row r="260" spans="1:1" ht="30" customHeight="1" x14ac:dyDescent="0.2">
      <c r="A260" s="17" t="str">
        <f t="shared" ref="A260:A323" si="4">IF(AND(B259&lt;&gt;"",B260=""),$A$2&amp;"---&gt;","")</f>
        <v/>
      </c>
    </row>
    <row r="261" spans="1:1" ht="30" customHeight="1" x14ac:dyDescent="0.2">
      <c r="A261" s="17" t="str">
        <f t="shared" si="4"/>
        <v/>
      </c>
    </row>
    <row r="262" spans="1:1" ht="30" customHeight="1" x14ac:dyDescent="0.2">
      <c r="A262" s="17" t="str">
        <f t="shared" si="4"/>
        <v/>
      </c>
    </row>
    <row r="263" spans="1:1" ht="30" customHeight="1" x14ac:dyDescent="0.2">
      <c r="A263" s="17" t="str">
        <f t="shared" si="4"/>
        <v/>
      </c>
    </row>
    <row r="264" spans="1:1" ht="30" customHeight="1" x14ac:dyDescent="0.2">
      <c r="A264" s="17" t="str">
        <f t="shared" si="4"/>
        <v/>
      </c>
    </row>
    <row r="265" spans="1:1" ht="30" customHeight="1" x14ac:dyDescent="0.2">
      <c r="A265" s="17" t="str">
        <f t="shared" si="4"/>
        <v/>
      </c>
    </row>
    <row r="266" spans="1:1" ht="30" customHeight="1" x14ac:dyDescent="0.2">
      <c r="A266" s="17" t="str">
        <f t="shared" si="4"/>
        <v/>
      </c>
    </row>
    <row r="267" spans="1:1" ht="30" customHeight="1" x14ac:dyDescent="0.2">
      <c r="A267" s="17" t="str">
        <f t="shared" si="4"/>
        <v/>
      </c>
    </row>
    <row r="268" spans="1:1" ht="30" customHeight="1" x14ac:dyDescent="0.2">
      <c r="A268" s="17" t="str">
        <f t="shared" si="4"/>
        <v/>
      </c>
    </row>
    <row r="269" spans="1:1" ht="30" customHeight="1" x14ac:dyDescent="0.2">
      <c r="A269" s="17" t="str">
        <f t="shared" si="4"/>
        <v/>
      </c>
    </row>
    <row r="270" spans="1:1" ht="30" customHeight="1" x14ac:dyDescent="0.2">
      <c r="A270" s="17" t="str">
        <f t="shared" si="4"/>
        <v/>
      </c>
    </row>
    <row r="271" spans="1:1" ht="30" customHeight="1" x14ac:dyDescent="0.2">
      <c r="A271" s="17" t="str">
        <f t="shared" si="4"/>
        <v/>
      </c>
    </row>
    <row r="272" spans="1:1" ht="30" customHeight="1" x14ac:dyDescent="0.2">
      <c r="A272" s="17" t="str">
        <f t="shared" si="4"/>
        <v/>
      </c>
    </row>
    <row r="273" spans="1:1" ht="30" customHeight="1" x14ac:dyDescent="0.2">
      <c r="A273" s="17" t="str">
        <f t="shared" si="4"/>
        <v/>
      </c>
    </row>
    <row r="274" spans="1:1" ht="30" customHeight="1" x14ac:dyDescent="0.2">
      <c r="A274" s="17" t="str">
        <f t="shared" si="4"/>
        <v/>
      </c>
    </row>
    <row r="275" spans="1:1" ht="30" customHeight="1" x14ac:dyDescent="0.2">
      <c r="A275" s="17" t="str">
        <f t="shared" si="4"/>
        <v/>
      </c>
    </row>
    <row r="276" spans="1:1" ht="30" customHeight="1" x14ac:dyDescent="0.2">
      <c r="A276" s="17" t="str">
        <f t="shared" si="4"/>
        <v/>
      </c>
    </row>
    <row r="277" spans="1:1" ht="30" customHeight="1" x14ac:dyDescent="0.2">
      <c r="A277" s="17" t="str">
        <f t="shared" si="4"/>
        <v/>
      </c>
    </row>
    <row r="278" spans="1:1" ht="30" customHeight="1" x14ac:dyDescent="0.2">
      <c r="A278" s="17" t="str">
        <f t="shared" si="4"/>
        <v/>
      </c>
    </row>
    <row r="279" spans="1:1" ht="30" customHeight="1" x14ac:dyDescent="0.2">
      <c r="A279" s="17" t="str">
        <f t="shared" si="4"/>
        <v/>
      </c>
    </row>
    <row r="280" spans="1:1" ht="30" customHeight="1" x14ac:dyDescent="0.2">
      <c r="A280" s="17" t="str">
        <f t="shared" si="4"/>
        <v/>
      </c>
    </row>
    <row r="281" spans="1:1" ht="30" customHeight="1" x14ac:dyDescent="0.2">
      <c r="A281" s="17" t="str">
        <f t="shared" si="4"/>
        <v/>
      </c>
    </row>
    <row r="282" spans="1:1" ht="30" customHeight="1" x14ac:dyDescent="0.2">
      <c r="A282" s="17" t="str">
        <f t="shared" si="4"/>
        <v/>
      </c>
    </row>
    <row r="283" spans="1:1" ht="30" customHeight="1" x14ac:dyDescent="0.2">
      <c r="A283" s="17" t="str">
        <f t="shared" si="4"/>
        <v/>
      </c>
    </row>
    <row r="284" spans="1:1" ht="30" customHeight="1" x14ac:dyDescent="0.2">
      <c r="A284" s="17" t="str">
        <f t="shared" si="4"/>
        <v/>
      </c>
    </row>
    <row r="285" spans="1:1" ht="30" customHeight="1" x14ac:dyDescent="0.2">
      <c r="A285" s="17" t="str">
        <f t="shared" si="4"/>
        <v/>
      </c>
    </row>
    <row r="286" spans="1:1" ht="30" customHeight="1" x14ac:dyDescent="0.2">
      <c r="A286" s="17" t="str">
        <f t="shared" si="4"/>
        <v/>
      </c>
    </row>
    <row r="287" spans="1:1" ht="30" customHeight="1" x14ac:dyDescent="0.2">
      <c r="A287" s="17" t="str">
        <f t="shared" si="4"/>
        <v/>
      </c>
    </row>
    <row r="288" spans="1:1" ht="30" customHeight="1" x14ac:dyDescent="0.2">
      <c r="A288" s="17" t="str">
        <f t="shared" si="4"/>
        <v/>
      </c>
    </row>
    <row r="289" spans="1:1" ht="30" customHeight="1" x14ac:dyDescent="0.2">
      <c r="A289" s="17" t="str">
        <f t="shared" si="4"/>
        <v/>
      </c>
    </row>
    <row r="290" spans="1:1" ht="30" customHeight="1" x14ac:dyDescent="0.2">
      <c r="A290" s="17" t="str">
        <f t="shared" si="4"/>
        <v/>
      </c>
    </row>
    <row r="291" spans="1:1" ht="30" customHeight="1" x14ac:dyDescent="0.2">
      <c r="A291" s="17" t="str">
        <f t="shared" si="4"/>
        <v/>
      </c>
    </row>
    <row r="292" spans="1:1" ht="30" customHeight="1" x14ac:dyDescent="0.2">
      <c r="A292" s="17" t="str">
        <f t="shared" si="4"/>
        <v/>
      </c>
    </row>
    <row r="293" spans="1:1" ht="30" customHeight="1" x14ac:dyDescent="0.2">
      <c r="A293" s="17" t="str">
        <f t="shared" si="4"/>
        <v/>
      </c>
    </row>
    <row r="294" spans="1:1" ht="30" customHeight="1" x14ac:dyDescent="0.2">
      <c r="A294" s="17" t="str">
        <f t="shared" si="4"/>
        <v/>
      </c>
    </row>
    <row r="295" spans="1:1" ht="30" customHeight="1" x14ac:dyDescent="0.2">
      <c r="A295" s="17" t="str">
        <f t="shared" si="4"/>
        <v/>
      </c>
    </row>
    <row r="296" spans="1:1" ht="30" customHeight="1" x14ac:dyDescent="0.2">
      <c r="A296" s="17" t="str">
        <f t="shared" si="4"/>
        <v/>
      </c>
    </row>
    <row r="297" spans="1:1" ht="30" customHeight="1" x14ac:dyDescent="0.2">
      <c r="A297" s="17" t="str">
        <f t="shared" si="4"/>
        <v/>
      </c>
    </row>
    <row r="298" spans="1:1" ht="30" customHeight="1" x14ac:dyDescent="0.2">
      <c r="A298" s="17" t="str">
        <f t="shared" si="4"/>
        <v/>
      </c>
    </row>
    <row r="299" spans="1:1" ht="30" customHeight="1" x14ac:dyDescent="0.2">
      <c r="A299" s="17" t="str">
        <f t="shared" si="4"/>
        <v/>
      </c>
    </row>
    <row r="300" spans="1:1" ht="30" customHeight="1" x14ac:dyDescent="0.2">
      <c r="A300" s="17" t="str">
        <f t="shared" si="4"/>
        <v/>
      </c>
    </row>
    <row r="301" spans="1:1" ht="30" customHeight="1" x14ac:dyDescent="0.2">
      <c r="A301" s="17" t="str">
        <f t="shared" si="4"/>
        <v/>
      </c>
    </row>
    <row r="302" spans="1:1" ht="30" customHeight="1" x14ac:dyDescent="0.2">
      <c r="A302" s="17" t="str">
        <f t="shared" si="4"/>
        <v/>
      </c>
    </row>
    <row r="303" spans="1:1" ht="30" customHeight="1" x14ac:dyDescent="0.2">
      <c r="A303" s="17" t="str">
        <f t="shared" si="4"/>
        <v/>
      </c>
    </row>
    <row r="304" spans="1:1" ht="30" customHeight="1" x14ac:dyDescent="0.2">
      <c r="A304" s="17" t="str">
        <f t="shared" si="4"/>
        <v/>
      </c>
    </row>
    <row r="305" spans="1:1" ht="30" customHeight="1" x14ac:dyDescent="0.2">
      <c r="A305" s="17" t="str">
        <f t="shared" si="4"/>
        <v/>
      </c>
    </row>
    <row r="306" spans="1:1" ht="30" customHeight="1" x14ac:dyDescent="0.2">
      <c r="A306" s="17" t="str">
        <f t="shared" si="4"/>
        <v/>
      </c>
    </row>
    <row r="307" spans="1:1" ht="30" customHeight="1" x14ac:dyDescent="0.2">
      <c r="A307" s="17" t="str">
        <f t="shared" si="4"/>
        <v/>
      </c>
    </row>
    <row r="308" spans="1:1" ht="30" customHeight="1" x14ac:dyDescent="0.2">
      <c r="A308" s="17" t="str">
        <f t="shared" si="4"/>
        <v/>
      </c>
    </row>
    <row r="309" spans="1:1" ht="30" customHeight="1" x14ac:dyDescent="0.2">
      <c r="A309" s="17" t="str">
        <f t="shared" si="4"/>
        <v/>
      </c>
    </row>
    <row r="310" spans="1:1" ht="30" customHeight="1" x14ac:dyDescent="0.2">
      <c r="A310" s="17" t="str">
        <f t="shared" si="4"/>
        <v/>
      </c>
    </row>
    <row r="311" spans="1:1" ht="30" customHeight="1" x14ac:dyDescent="0.2">
      <c r="A311" s="17" t="str">
        <f t="shared" si="4"/>
        <v/>
      </c>
    </row>
    <row r="312" spans="1:1" ht="30" customHeight="1" x14ac:dyDescent="0.2">
      <c r="A312" s="17" t="str">
        <f t="shared" si="4"/>
        <v/>
      </c>
    </row>
    <row r="313" spans="1:1" ht="30" customHeight="1" x14ac:dyDescent="0.2">
      <c r="A313" s="17" t="str">
        <f t="shared" si="4"/>
        <v/>
      </c>
    </row>
    <row r="314" spans="1:1" ht="30" customHeight="1" x14ac:dyDescent="0.2">
      <c r="A314" s="17" t="str">
        <f t="shared" si="4"/>
        <v/>
      </c>
    </row>
    <row r="315" spans="1:1" ht="30" customHeight="1" x14ac:dyDescent="0.2">
      <c r="A315" s="17" t="str">
        <f t="shared" si="4"/>
        <v/>
      </c>
    </row>
    <row r="316" spans="1:1" ht="30" customHeight="1" x14ac:dyDescent="0.2">
      <c r="A316" s="17" t="str">
        <f t="shared" si="4"/>
        <v/>
      </c>
    </row>
    <row r="317" spans="1:1" ht="30" customHeight="1" x14ac:dyDescent="0.2">
      <c r="A317" s="17" t="str">
        <f t="shared" si="4"/>
        <v/>
      </c>
    </row>
    <row r="318" spans="1:1" ht="30" customHeight="1" x14ac:dyDescent="0.2">
      <c r="A318" s="17" t="str">
        <f t="shared" si="4"/>
        <v/>
      </c>
    </row>
    <row r="319" spans="1:1" ht="30" customHeight="1" x14ac:dyDescent="0.2">
      <c r="A319" s="17" t="str">
        <f t="shared" si="4"/>
        <v/>
      </c>
    </row>
    <row r="320" spans="1:1" ht="30" customHeight="1" x14ac:dyDescent="0.2">
      <c r="A320" s="17" t="str">
        <f t="shared" si="4"/>
        <v/>
      </c>
    </row>
    <row r="321" spans="1:1" ht="30" customHeight="1" x14ac:dyDescent="0.2">
      <c r="A321" s="17" t="str">
        <f t="shared" si="4"/>
        <v/>
      </c>
    </row>
    <row r="322" spans="1:1" ht="30" customHeight="1" x14ac:dyDescent="0.2">
      <c r="A322" s="17" t="str">
        <f t="shared" si="4"/>
        <v/>
      </c>
    </row>
    <row r="323" spans="1:1" ht="30" customHeight="1" x14ac:dyDescent="0.2">
      <c r="A323" s="17" t="str">
        <f t="shared" si="4"/>
        <v/>
      </c>
    </row>
    <row r="324" spans="1:1" ht="30" customHeight="1" x14ac:dyDescent="0.2">
      <c r="A324" s="17" t="str">
        <f t="shared" ref="A324:A387" si="5">IF(AND(B323&lt;&gt;"",B324=""),$A$2&amp;"---&gt;","")</f>
        <v/>
      </c>
    </row>
    <row r="325" spans="1:1" ht="30" customHeight="1" x14ac:dyDescent="0.2">
      <c r="A325" s="17" t="str">
        <f t="shared" si="5"/>
        <v/>
      </c>
    </row>
    <row r="326" spans="1:1" ht="30" customHeight="1" x14ac:dyDescent="0.2">
      <c r="A326" s="17" t="str">
        <f t="shared" si="5"/>
        <v/>
      </c>
    </row>
    <row r="327" spans="1:1" ht="30" customHeight="1" x14ac:dyDescent="0.2">
      <c r="A327" s="17" t="str">
        <f t="shared" si="5"/>
        <v/>
      </c>
    </row>
    <row r="328" spans="1:1" ht="30" customHeight="1" x14ac:dyDescent="0.2">
      <c r="A328" s="17" t="str">
        <f t="shared" si="5"/>
        <v/>
      </c>
    </row>
    <row r="329" spans="1:1" ht="30" customHeight="1" x14ac:dyDescent="0.2">
      <c r="A329" s="17" t="str">
        <f t="shared" si="5"/>
        <v/>
      </c>
    </row>
    <row r="330" spans="1:1" ht="30" customHeight="1" x14ac:dyDescent="0.2">
      <c r="A330" s="17" t="str">
        <f t="shared" si="5"/>
        <v/>
      </c>
    </row>
    <row r="331" spans="1:1" ht="30" customHeight="1" x14ac:dyDescent="0.2">
      <c r="A331" s="17" t="str">
        <f t="shared" si="5"/>
        <v/>
      </c>
    </row>
    <row r="332" spans="1:1" ht="30" customHeight="1" x14ac:dyDescent="0.2">
      <c r="A332" s="17" t="str">
        <f t="shared" si="5"/>
        <v/>
      </c>
    </row>
    <row r="333" spans="1:1" ht="30" customHeight="1" x14ac:dyDescent="0.2">
      <c r="A333" s="17" t="str">
        <f t="shared" si="5"/>
        <v/>
      </c>
    </row>
    <row r="334" spans="1:1" ht="30" customHeight="1" x14ac:dyDescent="0.2">
      <c r="A334" s="17" t="str">
        <f t="shared" si="5"/>
        <v/>
      </c>
    </row>
    <row r="335" spans="1:1" ht="30" customHeight="1" x14ac:dyDescent="0.2">
      <c r="A335" s="17" t="str">
        <f t="shared" si="5"/>
        <v/>
      </c>
    </row>
    <row r="336" spans="1:1" ht="30" customHeight="1" x14ac:dyDescent="0.2">
      <c r="A336" s="17" t="str">
        <f t="shared" si="5"/>
        <v/>
      </c>
    </row>
    <row r="337" spans="1:1" ht="30" customHeight="1" x14ac:dyDescent="0.2">
      <c r="A337" s="17" t="str">
        <f t="shared" si="5"/>
        <v/>
      </c>
    </row>
    <row r="338" spans="1:1" ht="30" customHeight="1" x14ac:dyDescent="0.2">
      <c r="A338" s="17" t="str">
        <f t="shared" si="5"/>
        <v/>
      </c>
    </row>
    <row r="339" spans="1:1" ht="30" customHeight="1" x14ac:dyDescent="0.2">
      <c r="A339" s="17" t="str">
        <f t="shared" si="5"/>
        <v/>
      </c>
    </row>
    <row r="340" spans="1:1" ht="30" customHeight="1" x14ac:dyDescent="0.2">
      <c r="A340" s="17" t="str">
        <f t="shared" si="5"/>
        <v/>
      </c>
    </row>
    <row r="341" spans="1:1" ht="30" customHeight="1" x14ac:dyDescent="0.2">
      <c r="A341" s="17" t="str">
        <f t="shared" si="5"/>
        <v/>
      </c>
    </row>
    <row r="342" spans="1:1" ht="30" customHeight="1" x14ac:dyDescent="0.2">
      <c r="A342" s="17" t="str">
        <f t="shared" si="5"/>
        <v/>
      </c>
    </row>
    <row r="343" spans="1:1" ht="30" customHeight="1" x14ac:dyDescent="0.2">
      <c r="A343" s="17" t="str">
        <f t="shared" si="5"/>
        <v/>
      </c>
    </row>
    <row r="344" spans="1:1" ht="30" customHeight="1" x14ac:dyDescent="0.2">
      <c r="A344" s="17" t="str">
        <f t="shared" si="5"/>
        <v/>
      </c>
    </row>
    <row r="345" spans="1:1" ht="30" customHeight="1" x14ac:dyDescent="0.2">
      <c r="A345" s="17" t="str">
        <f t="shared" si="5"/>
        <v/>
      </c>
    </row>
    <row r="346" spans="1:1" ht="30" customHeight="1" x14ac:dyDescent="0.2">
      <c r="A346" s="17" t="str">
        <f t="shared" si="5"/>
        <v/>
      </c>
    </row>
    <row r="347" spans="1:1" ht="30" customHeight="1" x14ac:dyDescent="0.2">
      <c r="A347" s="17" t="str">
        <f t="shared" si="5"/>
        <v/>
      </c>
    </row>
    <row r="348" spans="1:1" ht="30" customHeight="1" x14ac:dyDescent="0.2">
      <c r="A348" s="17" t="str">
        <f t="shared" si="5"/>
        <v/>
      </c>
    </row>
    <row r="349" spans="1:1" ht="30" customHeight="1" x14ac:dyDescent="0.2">
      <c r="A349" s="17" t="str">
        <f t="shared" si="5"/>
        <v/>
      </c>
    </row>
    <row r="350" spans="1:1" ht="30" customHeight="1" x14ac:dyDescent="0.2">
      <c r="A350" s="17" t="str">
        <f t="shared" si="5"/>
        <v/>
      </c>
    </row>
    <row r="351" spans="1:1" ht="30" customHeight="1" x14ac:dyDescent="0.2">
      <c r="A351" s="17" t="str">
        <f t="shared" si="5"/>
        <v/>
      </c>
    </row>
    <row r="352" spans="1:1" ht="30" customHeight="1" x14ac:dyDescent="0.2">
      <c r="A352" s="17" t="str">
        <f t="shared" si="5"/>
        <v/>
      </c>
    </row>
    <row r="353" spans="1:1" ht="30" customHeight="1" x14ac:dyDescent="0.2">
      <c r="A353" s="17" t="str">
        <f t="shared" si="5"/>
        <v/>
      </c>
    </row>
    <row r="354" spans="1:1" ht="30" customHeight="1" x14ac:dyDescent="0.2">
      <c r="A354" s="17" t="str">
        <f t="shared" si="5"/>
        <v/>
      </c>
    </row>
    <row r="355" spans="1:1" ht="30" customHeight="1" x14ac:dyDescent="0.2">
      <c r="A355" s="17" t="str">
        <f t="shared" si="5"/>
        <v/>
      </c>
    </row>
    <row r="356" spans="1:1" ht="30" customHeight="1" x14ac:dyDescent="0.2">
      <c r="A356" s="17" t="str">
        <f t="shared" si="5"/>
        <v/>
      </c>
    </row>
    <row r="357" spans="1:1" ht="30" customHeight="1" x14ac:dyDescent="0.2">
      <c r="A357" s="17" t="str">
        <f t="shared" si="5"/>
        <v/>
      </c>
    </row>
    <row r="358" spans="1:1" ht="30" customHeight="1" x14ac:dyDescent="0.2">
      <c r="A358" s="17" t="str">
        <f t="shared" si="5"/>
        <v/>
      </c>
    </row>
    <row r="359" spans="1:1" ht="30" customHeight="1" x14ac:dyDescent="0.2">
      <c r="A359" s="17" t="str">
        <f t="shared" si="5"/>
        <v/>
      </c>
    </row>
    <row r="360" spans="1:1" ht="30" customHeight="1" x14ac:dyDescent="0.2">
      <c r="A360" s="17" t="str">
        <f t="shared" si="5"/>
        <v/>
      </c>
    </row>
    <row r="361" spans="1:1" ht="30" customHeight="1" x14ac:dyDescent="0.2">
      <c r="A361" s="17" t="str">
        <f t="shared" si="5"/>
        <v/>
      </c>
    </row>
    <row r="362" spans="1:1" ht="30" customHeight="1" x14ac:dyDescent="0.2">
      <c r="A362" s="17" t="str">
        <f t="shared" si="5"/>
        <v/>
      </c>
    </row>
    <row r="363" spans="1:1" ht="30" customHeight="1" x14ac:dyDescent="0.2">
      <c r="A363" s="17" t="str">
        <f t="shared" si="5"/>
        <v/>
      </c>
    </row>
    <row r="364" spans="1:1" ht="30" customHeight="1" x14ac:dyDescent="0.2">
      <c r="A364" s="17" t="str">
        <f t="shared" si="5"/>
        <v/>
      </c>
    </row>
    <row r="365" spans="1:1" ht="30" customHeight="1" x14ac:dyDescent="0.2">
      <c r="A365" s="17" t="str">
        <f t="shared" si="5"/>
        <v/>
      </c>
    </row>
    <row r="366" spans="1:1" ht="30" customHeight="1" x14ac:dyDescent="0.2">
      <c r="A366" s="17" t="str">
        <f t="shared" si="5"/>
        <v/>
      </c>
    </row>
    <row r="367" spans="1:1" ht="30" customHeight="1" x14ac:dyDescent="0.2">
      <c r="A367" s="17" t="str">
        <f t="shared" si="5"/>
        <v/>
      </c>
    </row>
    <row r="368" spans="1:1" ht="30" customHeight="1" x14ac:dyDescent="0.2">
      <c r="A368" s="17" t="str">
        <f t="shared" si="5"/>
        <v/>
      </c>
    </row>
    <row r="369" spans="1:1" ht="30" customHeight="1" x14ac:dyDescent="0.2">
      <c r="A369" s="17" t="str">
        <f t="shared" si="5"/>
        <v/>
      </c>
    </row>
    <row r="370" spans="1:1" ht="30" customHeight="1" x14ac:dyDescent="0.2">
      <c r="A370" s="17" t="str">
        <f t="shared" si="5"/>
        <v/>
      </c>
    </row>
    <row r="371" spans="1:1" ht="30" customHeight="1" x14ac:dyDescent="0.2">
      <c r="A371" s="17" t="str">
        <f t="shared" si="5"/>
        <v/>
      </c>
    </row>
    <row r="372" spans="1:1" ht="30" customHeight="1" x14ac:dyDescent="0.2">
      <c r="A372" s="17" t="str">
        <f t="shared" si="5"/>
        <v/>
      </c>
    </row>
    <row r="373" spans="1:1" ht="30" customHeight="1" x14ac:dyDescent="0.2">
      <c r="A373" s="17" t="str">
        <f t="shared" si="5"/>
        <v/>
      </c>
    </row>
    <row r="374" spans="1:1" ht="30" customHeight="1" x14ac:dyDescent="0.2">
      <c r="A374" s="17" t="str">
        <f t="shared" si="5"/>
        <v/>
      </c>
    </row>
    <row r="375" spans="1:1" ht="30" customHeight="1" x14ac:dyDescent="0.2">
      <c r="A375" s="17" t="str">
        <f t="shared" si="5"/>
        <v/>
      </c>
    </row>
    <row r="376" spans="1:1" ht="30" customHeight="1" x14ac:dyDescent="0.2">
      <c r="A376" s="17" t="str">
        <f t="shared" si="5"/>
        <v/>
      </c>
    </row>
    <row r="377" spans="1:1" ht="30" customHeight="1" x14ac:dyDescent="0.2">
      <c r="A377" s="17" t="str">
        <f t="shared" si="5"/>
        <v/>
      </c>
    </row>
    <row r="378" spans="1:1" ht="30" customHeight="1" x14ac:dyDescent="0.2">
      <c r="A378" s="17" t="str">
        <f t="shared" si="5"/>
        <v/>
      </c>
    </row>
    <row r="379" spans="1:1" ht="30" customHeight="1" x14ac:dyDescent="0.2">
      <c r="A379" s="17" t="str">
        <f t="shared" si="5"/>
        <v/>
      </c>
    </row>
    <row r="380" spans="1:1" ht="30" customHeight="1" x14ac:dyDescent="0.2">
      <c r="A380" s="17" t="str">
        <f t="shared" si="5"/>
        <v/>
      </c>
    </row>
    <row r="381" spans="1:1" ht="30" customHeight="1" x14ac:dyDescent="0.2">
      <c r="A381" s="17" t="str">
        <f t="shared" si="5"/>
        <v/>
      </c>
    </row>
    <row r="382" spans="1:1" ht="30" customHeight="1" x14ac:dyDescent="0.2">
      <c r="A382" s="17" t="str">
        <f t="shared" si="5"/>
        <v/>
      </c>
    </row>
    <row r="383" spans="1:1" ht="30" customHeight="1" x14ac:dyDescent="0.2">
      <c r="A383" s="17" t="str">
        <f t="shared" si="5"/>
        <v/>
      </c>
    </row>
    <row r="384" spans="1:1" ht="30" customHeight="1" x14ac:dyDescent="0.2">
      <c r="A384" s="17" t="str">
        <f t="shared" si="5"/>
        <v/>
      </c>
    </row>
    <row r="385" spans="1:1" ht="30" customHeight="1" x14ac:dyDescent="0.2">
      <c r="A385" s="17" t="str">
        <f t="shared" si="5"/>
        <v/>
      </c>
    </row>
    <row r="386" spans="1:1" ht="30" customHeight="1" x14ac:dyDescent="0.2">
      <c r="A386" s="17" t="str">
        <f t="shared" si="5"/>
        <v/>
      </c>
    </row>
    <row r="387" spans="1:1" ht="30" customHeight="1" x14ac:dyDescent="0.2">
      <c r="A387" s="17" t="str">
        <f t="shared" si="5"/>
        <v/>
      </c>
    </row>
    <row r="388" spans="1:1" ht="30" customHeight="1" x14ac:dyDescent="0.2">
      <c r="A388" s="17" t="str">
        <f t="shared" ref="A388:A451" si="6">IF(AND(B387&lt;&gt;"",B388=""),$A$2&amp;"---&gt;","")</f>
        <v/>
      </c>
    </row>
    <row r="389" spans="1:1" ht="30" customHeight="1" x14ac:dyDescent="0.2">
      <c r="A389" s="17" t="str">
        <f t="shared" si="6"/>
        <v/>
      </c>
    </row>
    <row r="390" spans="1:1" ht="30" customHeight="1" x14ac:dyDescent="0.2">
      <c r="A390" s="17" t="str">
        <f t="shared" si="6"/>
        <v/>
      </c>
    </row>
    <row r="391" spans="1:1" ht="30" customHeight="1" x14ac:dyDescent="0.2">
      <c r="A391" s="17" t="str">
        <f t="shared" si="6"/>
        <v/>
      </c>
    </row>
    <row r="392" spans="1:1" ht="30" customHeight="1" x14ac:dyDescent="0.2">
      <c r="A392" s="17" t="str">
        <f t="shared" si="6"/>
        <v/>
      </c>
    </row>
    <row r="393" spans="1:1" ht="30" customHeight="1" x14ac:dyDescent="0.2">
      <c r="A393" s="17" t="str">
        <f t="shared" si="6"/>
        <v/>
      </c>
    </row>
    <row r="394" spans="1:1" ht="30" customHeight="1" x14ac:dyDescent="0.2">
      <c r="A394" s="17" t="str">
        <f t="shared" si="6"/>
        <v/>
      </c>
    </row>
    <row r="395" spans="1:1" ht="30" customHeight="1" x14ac:dyDescent="0.2">
      <c r="A395" s="17" t="str">
        <f t="shared" si="6"/>
        <v/>
      </c>
    </row>
    <row r="396" spans="1:1" ht="30" customHeight="1" x14ac:dyDescent="0.2">
      <c r="A396" s="17" t="str">
        <f t="shared" si="6"/>
        <v/>
      </c>
    </row>
    <row r="397" spans="1:1" ht="30" customHeight="1" x14ac:dyDescent="0.2">
      <c r="A397" s="17" t="str">
        <f t="shared" si="6"/>
        <v/>
      </c>
    </row>
    <row r="398" spans="1:1" ht="30" customHeight="1" x14ac:dyDescent="0.2">
      <c r="A398" s="17" t="str">
        <f t="shared" si="6"/>
        <v/>
      </c>
    </row>
    <row r="399" spans="1:1" ht="30" customHeight="1" x14ac:dyDescent="0.2">
      <c r="A399" s="17" t="str">
        <f t="shared" si="6"/>
        <v/>
      </c>
    </row>
    <row r="400" spans="1:1" ht="30" customHeight="1" x14ac:dyDescent="0.2">
      <c r="A400" s="17" t="str">
        <f t="shared" si="6"/>
        <v/>
      </c>
    </row>
    <row r="401" spans="1:1" ht="30" customHeight="1" x14ac:dyDescent="0.2">
      <c r="A401" s="17" t="str">
        <f t="shared" si="6"/>
        <v/>
      </c>
    </row>
    <row r="402" spans="1:1" ht="30" customHeight="1" x14ac:dyDescent="0.2">
      <c r="A402" s="17" t="str">
        <f t="shared" si="6"/>
        <v/>
      </c>
    </row>
    <row r="403" spans="1:1" ht="30" customHeight="1" x14ac:dyDescent="0.2">
      <c r="A403" s="17" t="str">
        <f t="shared" si="6"/>
        <v/>
      </c>
    </row>
    <row r="404" spans="1:1" ht="30" customHeight="1" x14ac:dyDescent="0.2">
      <c r="A404" s="17" t="str">
        <f t="shared" si="6"/>
        <v/>
      </c>
    </row>
    <row r="405" spans="1:1" ht="30" customHeight="1" x14ac:dyDescent="0.2">
      <c r="A405" s="17" t="str">
        <f t="shared" si="6"/>
        <v/>
      </c>
    </row>
    <row r="406" spans="1:1" ht="30" customHeight="1" x14ac:dyDescent="0.2">
      <c r="A406" s="17" t="str">
        <f t="shared" si="6"/>
        <v/>
      </c>
    </row>
    <row r="407" spans="1:1" ht="30" customHeight="1" x14ac:dyDescent="0.2">
      <c r="A407" s="17" t="str">
        <f t="shared" si="6"/>
        <v/>
      </c>
    </row>
    <row r="408" spans="1:1" ht="30" customHeight="1" x14ac:dyDescent="0.2">
      <c r="A408" s="17" t="str">
        <f t="shared" si="6"/>
        <v/>
      </c>
    </row>
    <row r="409" spans="1:1" ht="30" customHeight="1" x14ac:dyDescent="0.2">
      <c r="A409" s="17" t="str">
        <f t="shared" si="6"/>
        <v/>
      </c>
    </row>
    <row r="410" spans="1:1" ht="30" customHeight="1" x14ac:dyDescent="0.2">
      <c r="A410" s="17" t="str">
        <f t="shared" si="6"/>
        <v/>
      </c>
    </row>
    <row r="411" spans="1:1" ht="30" customHeight="1" x14ac:dyDescent="0.2">
      <c r="A411" s="17" t="str">
        <f t="shared" si="6"/>
        <v/>
      </c>
    </row>
    <row r="412" spans="1:1" ht="30" customHeight="1" x14ac:dyDescent="0.2">
      <c r="A412" s="17" t="str">
        <f t="shared" si="6"/>
        <v/>
      </c>
    </row>
    <row r="413" spans="1:1" ht="30" customHeight="1" x14ac:dyDescent="0.2">
      <c r="A413" s="17" t="str">
        <f t="shared" si="6"/>
        <v/>
      </c>
    </row>
    <row r="414" spans="1:1" ht="30" customHeight="1" x14ac:dyDescent="0.2">
      <c r="A414" s="17" t="str">
        <f t="shared" si="6"/>
        <v/>
      </c>
    </row>
    <row r="415" spans="1:1" ht="30" customHeight="1" x14ac:dyDescent="0.2">
      <c r="A415" s="17" t="str">
        <f t="shared" si="6"/>
        <v/>
      </c>
    </row>
    <row r="416" spans="1:1" ht="30" customHeight="1" x14ac:dyDescent="0.2">
      <c r="A416" s="17" t="str">
        <f t="shared" si="6"/>
        <v/>
      </c>
    </row>
    <row r="417" spans="1:1" ht="30" customHeight="1" x14ac:dyDescent="0.2">
      <c r="A417" s="17" t="str">
        <f t="shared" si="6"/>
        <v/>
      </c>
    </row>
    <row r="418" spans="1:1" ht="30" customHeight="1" x14ac:dyDescent="0.2">
      <c r="A418" s="17" t="str">
        <f t="shared" si="6"/>
        <v/>
      </c>
    </row>
    <row r="419" spans="1:1" ht="30" customHeight="1" x14ac:dyDescent="0.2">
      <c r="A419" s="17" t="str">
        <f t="shared" si="6"/>
        <v/>
      </c>
    </row>
    <row r="420" spans="1:1" ht="30" customHeight="1" x14ac:dyDescent="0.2">
      <c r="A420" s="17" t="str">
        <f t="shared" si="6"/>
        <v/>
      </c>
    </row>
    <row r="421" spans="1:1" ht="30" customHeight="1" x14ac:dyDescent="0.2">
      <c r="A421" s="17" t="str">
        <f t="shared" si="6"/>
        <v/>
      </c>
    </row>
    <row r="422" spans="1:1" ht="30" customHeight="1" x14ac:dyDescent="0.2">
      <c r="A422" s="17" t="str">
        <f t="shared" si="6"/>
        <v/>
      </c>
    </row>
    <row r="423" spans="1:1" ht="30" customHeight="1" x14ac:dyDescent="0.2">
      <c r="A423" s="17" t="str">
        <f t="shared" si="6"/>
        <v/>
      </c>
    </row>
    <row r="424" spans="1:1" ht="30" customHeight="1" x14ac:dyDescent="0.2">
      <c r="A424" s="17" t="str">
        <f t="shared" si="6"/>
        <v/>
      </c>
    </row>
    <row r="425" spans="1:1" ht="30" customHeight="1" x14ac:dyDescent="0.2">
      <c r="A425" s="17" t="str">
        <f t="shared" si="6"/>
        <v/>
      </c>
    </row>
    <row r="426" spans="1:1" ht="30" customHeight="1" x14ac:dyDescent="0.2">
      <c r="A426" s="17" t="str">
        <f t="shared" si="6"/>
        <v/>
      </c>
    </row>
    <row r="427" spans="1:1" ht="30" customHeight="1" x14ac:dyDescent="0.2">
      <c r="A427" s="17" t="str">
        <f t="shared" si="6"/>
        <v/>
      </c>
    </row>
    <row r="428" spans="1:1" ht="30" customHeight="1" x14ac:dyDescent="0.2">
      <c r="A428" s="17" t="str">
        <f t="shared" si="6"/>
        <v/>
      </c>
    </row>
    <row r="429" spans="1:1" ht="30" customHeight="1" x14ac:dyDescent="0.2">
      <c r="A429" s="17" t="str">
        <f t="shared" si="6"/>
        <v/>
      </c>
    </row>
    <row r="430" spans="1:1" ht="30" customHeight="1" x14ac:dyDescent="0.2">
      <c r="A430" s="17" t="str">
        <f t="shared" si="6"/>
        <v/>
      </c>
    </row>
    <row r="431" spans="1:1" ht="30" customHeight="1" x14ac:dyDescent="0.2">
      <c r="A431" s="17" t="str">
        <f t="shared" si="6"/>
        <v/>
      </c>
    </row>
    <row r="432" spans="1:1" ht="30" customHeight="1" x14ac:dyDescent="0.2">
      <c r="A432" s="17" t="str">
        <f t="shared" si="6"/>
        <v/>
      </c>
    </row>
    <row r="433" spans="1:1" ht="30" customHeight="1" x14ac:dyDescent="0.2">
      <c r="A433" s="17" t="str">
        <f t="shared" si="6"/>
        <v/>
      </c>
    </row>
    <row r="434" spans="1:1" ht="30" customHeight="1" x14ac:dyDescent="0.2">
      <c r="A434" s="17" t="str">
        <f t="shared" si="6"/>
        <v/>
      </c>
    </row>
    <row r="435" spans="1:1" ht="30" customHeight="1" x14ac:dyDescent="0.2">
      <c r="A435" s="17" t="str">
        <f t="shared" si="6"/>
        <v/>
      </c>
    </row>
    <row r="436" spans="1:1" ht="30" customHeight="1" x14ac:dyDescent="0.2">
      <c r="A436" s="17" t="str">
        <f t="shared" si="6"/>
        <v/>
      </c>
    </row>
    <row r="437" spans="1:1" ht="30" customHeight="1" x14ac:dyDescent="0.2">
      <c r="A437" s="17" t="str">
        <f t="shared" si="6"/>
        <v/>
      </c>
    </row>
    <row r="438" spans="1:1" ht="30" customHeight="1" x14ac:dyDescent="0.2">
      <c r="A438" s="17" t="str">
        <f t="shared" si="6"/>
        <v/>
      </c>
    </row>
    <row r="439" spans="1:1" ht="30" customHeight="1" x14ac:dyDescent="0.2">
      <c r="A439" s="17" t="str">
        <f t="shared" si="6"/>
        <v/>
      </c>
    </row>
    <row r="440" spans="1:1" ht="30" customHeight="1" x14ac:dyDescent="0.2">
      <c r="A440" s="17" t="str">
        <f t="shared" si="6"/>
        <v/>
      </c>
    </row>
    <row r="441" spans="1:1" ht="30" customHeight="1" x14ac:dyDescent="0.2">
      <c r="A441" s="17" t="str">
        <f t="shared" si="6"/>
        <v/>
      </c>
    </row>
    <row r="442" spans="1:1" ht="30" customHeight="1" x14ac:dyDescent="0.2">
      <c r="A442" s="17" t="str">
        <f t="shared" si="6"/>
        <v/>
      </c>
    </row>
    <row r="443" spans="1:1" ht="30" customHeight="1" x14ac:dyDescent="0.2">
      <c r="A443" s="17" t="str">
        <f t="shared" si="6"/>
        <v/>
      </c>
    </row>
    <row r="444" spans="1:1" ht="30" customHeight="1" x14ac:dyDescent="0.2">
      <c r="A444" s="17" t="str">
        <f t="shared" si="6"/>
        <v/>
      </c>
    </row>
    <row r="445" spans="1:1" ht="30" customHeight="1" x14ac:dyDescent="0.2">
      <c r="A445" s="17" t="str">
        <f t="shared" si="6"/>
        <v/>
      </c>
    </row>
    <row r="446" spans="1:1" ht="30" customHeight="1" x14ac:dyDescent="0.2">
      <c r="A446" s="17" t="str">
        <f t="shared" si="6"/>
        <v/>
      </c>
    </row>
    <row r="447" spans="1:1" ht="30" customHeight="1" x14ac:dyDescent="0.2">
      <c r="A447" s="17" t="str">
        <f t="shared" si="6"/>
        <v/>
      </c>
    </row>
    <row r="448" spans="1:1" ht="30" customHeight="1" x14ac:dyDescent="0.2">
      <c r="A448" s="17" t="str">
        <f t="shared" si="6"/>
        <v/>
      </c>
    </row>
    <row r="449" spans="1:1" ht="30" customHeight="1" x14ac:dyDescent="0.2">
      <c r="A449" s="17" t="str">
        <f t="shared" si="6"/>
        <v/>
      </c>
    </row>
    <row r="450" spans="1:1" ht="30" customHeight="1" x14ac:dyDescent="0.2">
      <c r="A450" s="17" t="str">
        <f t="shared" si="6"/>
        <v/>
      </c>
    </row>
    <row r="451" spans="1:1" ht="30" customHeight="1" x14ac:dyDescent="0.2">
      <c r="A451" s="17" t="str">
        <f t="shared" si="6"/>
        <v/>
      </c>
    </row>
    <row r="452" spans="1:1" ht="30" customHeight="1" x14ac:dyDescent="0.2">
      <c r="A452" s="17" t="str">
        <f t="shared" ref="A452:A515" si="7">IF(AND(B451&lt;&gt;"",B452=""),$A$2&amp;"---&gt;","")</f>
        <v/>
      </c>
    </row>
    <row r="453" spans="1:1" ht="30" customHeight="1" x14ac:dyDescent="0.2">
      <c r="A453" s="17" t="str">
        <f t="shared" si="7"/>
        <v/>
      </c>
    </row>
    <row r="454" spans="1:1" ht="30" customHeight="1" x14ac:dyDescent="0.2">
      <c r="A454" s="17" t="str">
        <f t="shared" si="7"/>
        <v/>
      </c>
    </row>
    <row r="455" spans="1:1" ht="30" customHeight="1" x14ac:dyDescent="0.2">
      <c r="A455" s="17" t="str">
        <f t="shared" si="7"/>
        <v/>
      </c>
    </row>
    <row r="456" spans="1:1" ht="30" customHeight="1" x14ac:dyDescent="0.2">
      <c r="A456" s="17" t="str">
        <f t="shared" si="7"/>
        <v/>
      </c>
    </row>
    <row r="457" spans="1:1" ht="30" customHeight="1" x14ac:dyDescent="0.2">
      <c r="A457" s="17" t="str">
        <f t="shared" si="7"/>
        <v/>
      </c>
    </row>
    <row r="458" spans="1:1" ht="30" customHeight="1" x14ac:dyDescent="0.2">
      <c r="A458" s="17" t="str">
        <f t="shared" si="7"/>
        <v/>
      </c>
    </row>
    <row r="459" spans="1:1" ht="30" customHeight="1" x14ac:dyDescent="0.2">
      <c r="A459" s="17" t="str">
        <f t="shared" si="7"/>
        <v/>
      </c>
    </row>
    <row r="460" spans="1:1" ht="30" customHeight="1" x14ac:dyDescent="0.2">
      <c r="A460" s="17" t="str">
        <f t="shared" si="7"/>
        <v/>
      </c>
    </row>
    <row r="461" spans="1:1" ht="30" customHeight="1" x14ac:dyDescent="0.2">
      <c r="A461" s="17" t="str">
        <f t="shared" si="7"/>
        <v/>
      </c>
    </row>
    <row r="462" spans="1:1" ht="30" customHeight="1" x14ac:dyDescent="0.2">
      <c r="A462" s="17" t="str">
        <f t="shared" si="7"/>
        <v/>
      </c>
    </row>
    <row r="463" spans="1:1" ht="30" customHeight="1" x14ac:dyDescent="0.2">
      <c r="A463" s="17" t="str">
        <f t="shared" si="7"/>
        <v/>
      </c>
    </row>
    <row r="464" spans="1:1" ht="30" customHeight="1" x14ac:dyDescent="0.2">
      <c r="A464" s="17" t="str">
        <f t="shared" si="7"/>
        <v/>
      </c>
    </row>
    <row r="465" spans="1:1" ht="30" customHeight="1" x14ac:dyDescent="0.2">
      <c r="A465" s="17" t="str">
        <f t="shared" si="7"/>
        <v/>
      </c>
    </row>
    <row r="466" spans="1:1" ht="30" customHeight="1" x14ac:dyDescent="0.2">
      <c r="A466" s="17" t="str">
        <f t="shared" si="7"/>
        <v/>
      </c>
    </row>
    <row r="467" spans="1:1" ht="30" customHeight="1" x14ac:dyDescent="0.2">
      <c r="A467" s="17" t="str">
        <f t="shared" si="7"/>
        <v/>
      </c>
    </row>
    <row r="468" spans="1:1" ht="30" customHeight="1" x14ac:dyDescent="0.2">
      <c r="A468" s="17" t="str">
        <f t="shared" si="7"/>
        <v/>
      </c>
    </row>
    <row r="469" spans="1:1" ht="30" customHeight="1" x14ac:dyDescent="0.2">
      <c r="A469" s="17" t="str">
        <f t="shared" si="7"/>
        <v/>
      </c>
    </row>
    <row r="470" spans="1:1" ht="30" customHeight="1" x14ac:dyDescent="0.2">
      <c r="A470" s="17" t="str">
        <f t="shared" si="7"/>
        <v/>
      </c>
    </row>
    <row r="471" spans="1:1" ht="30" customHeight="1" x14ac:dyDescent="0.2">
      <c r="A471" s="17" t="str">
        <f t="shared" si="7"/>
        <v/>
      </c>
    </row>
    <row r="472" spans="1:1" ht="30" customHeight="1" x14ac:dyDescent="0.2">
      <c r="A472" s="17" t="str">
        <f t="shared" si="7"/>
        <v/>
      </c>
    </row>
    <row r="473" spans="1:1" ht="30" customHeight="1" x14ac:dyDescent="0.2">
      <c r="A473" s="17" t="str">
        <f t="shared" si="7"/>
        <v/>
      </c>
    </row>
    <row r="474" spans="1:1" ht="30" customHeight="1" x14ac:dyDescent="0.2">
      <c r="A474" s="17" t="str">
        <f t="shared" si="7"/>
        <v/>
      </c>
    </row>
    <row r="475" spans="1:1" ht="30" customHeight="1" x14ac:dyDescent="0.2">
      <c r="A475" s="17" t="str">
        <f t="shared" si="7"/>
        <v/>
      </c>
    </row>
    <row r="476" spans="1:1" ht="30" customHeight="1" x14ac:dyDescent="0.2">
      <c r="A476" s="17" t="str">
        <f t="shared" si="7"/>
        <v/>
      </c>
    </row>
    <row r="477" spans="1:1" ht="30" customHeight="1" x14ac:dyDescent="0.2">
      <c r="A477" s="17" t="str">
        <f t="shared" si="7"/>
        <v/>
      </c>
    </row>
    <row r="478" spans="1:1" ht="30" customHeight="1" x14ac:dyDescent="0.2">
      <c r="A478" s="17" t="str">
        <f t="shared" si="7"/>
        <v/>
      </c>
    </row>
    <row r="479" spans="1:1" ht="30" customHeight="1" x14ac:dyDescent="0.2">
      <c r="A479" s="17" t="str">
        <f t="shared" si="7"/>
        <v/>
      </c>
    </row>
    <row r="480" spans="1:1" ht="30" customHeight="1" x14ac:dyDescent="0.2">
      <c r="A480" s="17" t="str">
        <f t="shared" si="7"/>
        <v/>
      </c>
    </row>
    <row r="481" spans="1:1" ht="30" customHeight="1" x14ac:dyDescent="0.2">
      <c r="A481" s="17" t="str">
        <f t="shared" si="7"/>
        <v/>
      </c>
    </row>
    <row r="482" spans="1:1" ht="30" customHeight="1" x14ac:dyDescent="0.2">
      <c r="A482" s="17" t="str">
        <f t="shared" si="7"/>
        <v/>
      </c>
    </row>
    <row r="483" spans="1:1" ht="30" customHeight="1" x14ac:dyDescent="0.2">
      <c r="A483" s="17" t="str">
        <f t="shared" si="7"/>
        <v/>
      </c>
    </row>
    <row r="484" spans="1:1" ht="30" customHeight="1" x14ac:dyDescent="0.2">
      <c r="A484" s="17" t="str">
        <f t="shared" si="7"/>
        <v/>
      </c>
    </row>
    <row r="485" spans="1:1" ht="30" customHeight="1" x14ac:dyDescent="0.2">
      <c r="A485" s="17" t="str">
        <f t="shared" si="7"/>
        <v/>
      </c>
    </row>
    <row r="486" spans="1:1" ht="30" customHeight="1" x14ac:dyDescent="0.2">
      <c r="A486" s="17" t="str">
        <f t="shared" si="7"/>
        <v/>
      </c>
    </row>
    <row r="487" spans="1:1" ht="30" customHeight="1" x14ac:dyDescent="0.2">
      <c r="A487" s="17" t="str">
        <f t="shared" si="7"/>
        <v/>
      </c>
    </row>
    <row r="488" spans="1:1" ht="30" customHeight="1" x14ac:dyDescent="0.2">
      <c r="A488" s="17" t="str">
        <f t="shared" si="7"/>
        <v/>
      </c>
    </row>
    <row r="489" spans="1:1" ht="30" customHeight="1" x14ac:dyDescent="0.2">
      <c r="A489" s="17" t="str">
        <f t="shared" si="7"/>
        <v/>
      </c>
    </row>
    <row r="490" spans="1:1" ht="30" customHeight="1" x14ac:dyDescent="0.2">
      <c r="A490" s="17" t="str">
        <f t="shared" si="7"/>
        <v/>
      </c>
    </row>
    <row r="491" spans="1:1" ht="30" customHeight="1" x14ac:dyDescent="0.2">
      <c r="A491" s="17" t="str">
        <f t="shared" si="7"/>
        <v/>
      </c>
    </row>
    <row r="492" spans="1:1" ht="30" customHeight="1" x14ac:dyDescent="0.2">
      <c r="A492" s="17" t="str">
        <f t="shared" si="7"/>
        <v/>
      </c>
    </row>
    <row r="493" spans="1:1" ht="30" customHeight="1" x14ac:dyDescent="0.2">
      <c r="A493" s="17" t="str">
        <f t="shared" si="7"/>
        <v/>
      </c>
    </row>
    <row r="494" spans="1:1" ht="30" customHeight="1" x14ac:dyDescent="0.2">
      <c r="A494" s="17" t="str">
        <f t="shared" si="7"/>
        <v/>
      </c>
    </row>
    <row r="495" spans="1:1" ht="30" customHeight="1" x14ac:dyDescent="0.2">
      <c r="A495" s="17" t="str">
        <f t="shared" si="7"/>
        <v/>
      </c>
    </row>
    <row r="496" spans="1:1" ht="30" customHeight="1" x14ac:dyDescent="0.2">
      <c r="A496" s="17" t="str">
        <f t="shared" si="7"/>
        <v/>
      </c>
    </row>
    <row r="497" spans="1:1" ht="30" customHeight="1" x14ac:dyDescent="0.2">
      <c r="A497" s="17" t="str">
        <f t="shared" si="7"/>
        <v/>
      </c>
    </row>
    <row r="498" spans="1:1" ht="30" customHeight="1" x14ac:dyDescent="0.2">
      <c r="A498" s="17" t="str">
        <f t="shared" si="7"/>
        <v/>
      </c>
    </row>
    <row r="499" spans="1:1" ht="30" customHeight="1" x14ac:dyDescent="0.2">
      <c r="A499" s="17" t="str">
        <f t="shared" si="7"/>
        <v/>
      </c>
    </row>
    <row r="500" spans="1:1" ht="30" customHeight="1" x14ac:dyDescent="0.2">
      <c r="A500" s="17" t="str">
        <f t="shared" si="7"/>
        <v/>
      </c>
    </row>
    <row r="501" spans="1:1" ht="30" customHeight="1" x14ac:dyDescent="0.2">
      <c r="A501" s="17" t="str">
        <f t="shared" si="7"/>
        <v/>
      </c>
    </row>
    <row r="502" spans="1:1" ht="30" customHeight="1" x14ac:dyDescent="0.2">
      <c r="A502" s="17" t="str">
        <f t="shared" si="7"/>
        <v/>
      </c>
    </row>
    <row r="503" spans="1:1" ht="30" customHeight="1" x14ac:dyDescent="0.2">
      <c r="A503" s="17" t="str">
        <f t="shared" si="7"/>
        <v/>
      </c>
    </row>
    <row r="504" spans="1:1" ht="30" customHeight="1" x14ac:dyDescent="0.2">
      <c r="A504" s="17" t="str">
        <f t="shared" si="7"/>
        <v/>
      </c>
    </row>
    <row r="505" spans="1:1" ht="30" customHeight="1" x14ac:dyDescent="0.2">
      <c r="A505" s="17" t="str">
        <f t="shared" si="7"/>
        <v/>
      </c>
    </row>
    <row r="506" spans="1:1" ht="30" customHeight="1" x14ac:dyDescent="0.2">
      <c r="A506" s="17" t="str">
        <f t="shared" si="7"/>
        <v/>
      </c>
    </row>
    <row r="507" spans="1:1" ht="30" customHeight="1" x14ac:dyDescent="0.2">
      <c r="A507" s="17" t="str">
        <f t="shared" si="7"/>
        <v/>
      </c>
    </row>
    <row r="508" spans="1:1" ht="30" customHeight="1" x14ac:dyDescent="0.2">
      <c r="A508" s="17" t="str">
        <f t="shared" si="7"/>
        <v/>
      </c>
    </row>
    <row r="509" spans="1:1" ht="30" customHeight="1" x14ac:dyDescent="0.2">
      <c r="A509" s="17" t="str">
        <f t="shared" si="7"/>
        <v/>
      </c>
    </row>
    <row r="510" spans="1:1" ht="30" customHeight="1" x14ac:dyDescent="0.2">
      <c r="A510" s="17" t="str">
        <f t="shared" si="7"/>
        <v/>
      </c>
    </row>
    <row r="511" spans="1:1" ht="30" customHeight="1" x14ac:dyDescent="0.2">
      <c r="A511" s="17" t="str">
        <f t="shared" si="7"/>
        <v/>
      </c>
    </row>
    <row r="512" spans="1:1" ht="30" customHeight="1" x14ac:dyDescent="0.2">
      <c r="A512" s="17" t="str">
        <f t="shared" si="7"/>
        <v/>
      </c>
    </row>
    <row r="513" spans="1:1" ht="30" customHeight="1" x14ac:dyDescent="0.2">
      <c r="A513" s="17" t="str">
        <f t="shared" si="7"/>
        <v/>
      </c>
    </row>
    <row r="514" spans="1:1" ht="30" customHeight="1" x14ac:dyDescent="0.2">
      <c r="A514" s="17" t="str">
        <f t="shared" si="7"/>
        <v/>
      </c>
    </row>
    <row r="515" spans="1:1" ht="30" customHeight="1" x14ac:dyDescent="0.2">
      <c r="A515" s="17" t="str">
        <f t="shared" si="7"/>
        <v/>
      </c>
    </row>
    <row r="516" spans="1:1" ht="30" customHeight="1" x14ac:dyDescent="0.2">
      <c r="A516" s="17" t="str">
        <f t="shared" ref="A516:A579" si="8">IF(AND(B515&lt;&gt;"",B516=""),$A$2&amp;"---&gt;","")</f>
        <v/>
      </c>
    </row>
    <row r="517" spans="1:1" ht="30" customHeight="1" x14ac:dyDescent="0.2">
      <c r="A517" s="17" t="str">
        <f t="shared" si="8"/>
        <v/>
      </c>
    </row>
    <row r="518" spans="1:1" ht="30" customHeight="1" x14ac:dyDescent="0.2">
      <c r="A518" s="17" t="str">
        <f t="shared" si="8"/>
        <v/>
      </c>
    </row>
    <row r="519" spans="1:1" ht="30" customHeight="1" x14ac:dyDescent="0.2">
      <c r="A519" s="17" t="str">
        <f t="shared" si="8"/>
        <v/>
      </c>
    </row>
    <row r="520" spans="1:1" ht="30" customHeight="1" x14ac:dyDescent="0.2">
      <c r="A520" s="17" t="str">
        <f t="shared" si="8"/>
        <v/>
      </c>
    </row>
    <row r="521" spans="1:1" ht="30" customHeight="1" x14ac:dyDescent="0.2">
      <c r="A521" s="17" t="str">
        <f t="shared" si="8"/>
        <v/>
      </c>
    </row>
    <row r="522" spans="1:1" ht="30" customHeight="1" x14ac:dyDescent="0.2">
      <c r="A522" s="17" t="str">
        <f t="shared" si="8"/>
        <v/>
      </c>
    </row>
    <row r="523" spans="1:1" ht="30" customHeight="1" x14ac:dyDescent="0.2">
      <c r="A523" s="17" t="str">
        <f t="shared" si="8"/>
        <v/>
      </c>
    </row>
    <row r="524" spans="1:1" ht="30" customHeight="1" x14ac:dyDescent="0.2">
      <c r="A524" s="17" t="str">
        <f t="shared" si="8"/>
        <v/>
      </c>
    </row>
    <row r="525" spans="1:1" ht="30" customHeight="1" x14ac:dyDescent="0.2">
      <c r="A525" s="17" t="str">
        <f t="shared" si="8"/>
        <v/>
      </c>
    </row>
    <row r="526" spans="1:1" ht="30" customHeight="1" x14ac:dyDescent="0.2">
      <c r="A526" s="17" t="str">
        <f t="shared" si="8"/>
        <v/>
      </c>
    </row>
    <row r="527" spans="1:1" ht="30" customHeight="1" x14ac:dyDescent="0.2">
      <c r="A527" s="17" t="str">
        <f t="shared" si="8"/>
        <v/>
      </c>
    </row>
    <row r="528" spans="1:1" ht="30" customHeight="1" x14ac:dyDescent="0.2">
      <c r="A528" s="17" t="str">
        <f t="shared" si="8"/>
        <v/>
      </c>
    </row>
    <row r="529" spans="1:1" ht="30" customHeight="1" x14ac:dyDescent="0.2">
      <c r="A529" s="17" t="str">
        <f t="shared" si="8"/>
        <v/>
      </c>
    </row>
    <row r="530" spans="1:1" ht="30" customHeight="1" x14ac:dyDescent="0.2">
      <c r="A530" s="17" t="str">
        <f t="shared" si="8"/>
        <v/>
      </c>
    </row>
    <row r="531" spans="1:1" ht="30" customHeight="1" x14ac:dyDescent="0.2">
      <c r="A531" s="17" t="str">
        <f t="shared" si="8"/>
        <v/>
      </c>
    </row>
    <row r="532" spans="1:1" ht="30" customHeight="1" x14ac:dyDescent="0.2">
      <c r="A532" s="17" t="str">
        <f t="shared" si="8"/>
        <v/>
      </c>
    </row>
    <row r="533" spans="1:1" ht="30" customHeight="1" x14ac:dyDescent="0.2">
      <c r="A533" s="17" t="str">
        <f t="shared" si="8"/>
        <v/>
      </c>
    </row>
    <row r="534" spans="1:1" ht="30" customHeight="1" x14ac:dyDescent="0.2">
      <c r="A534" s="17" t="str">
        <f t="shared" si="8"/>
        <v/>
      </c>
    </row>
    <row r="535" spans="1:1" ht="30" customHeight="1" x14ac:dyDescent="0.2">
      <c r="A535" s="17" t="str">
        <f t="shared" si="8"/>
        <v/>
      </c>
    </row>
    <row r="536" spans="1:1" ht="30" customHeight="1" x14ac:dyDescent="0.2">
      <c r="A536" s="17" t="str">
        <f t="shared" si="8"/>
        <v/>
      </c>
    </row>
    <row r="537" spans="1:1" ht="30" customHeight="1" x14ac:dyDescent="0.2">
      <c r="A537" s="17" t="str">
        <f t="shared" si="8"/>
        <v/>
      </c>
    </row>
    <row r="538" spans="1:1" ht="30" customHeight="1" x14ac:dyDescent="0.2">
      <c r="A538" s="17" t="str">
        <f t="shared" si="8"/>
        <v/>
      </c>
    </row>
    <row r="539" spans="1:1" ht="30" customHeight="1" x14ac:dyDescent="0.2">
      <c r="A539" s="17" t="str">
        <f t="shared" si="8"/>
        <v/>
      </c>
    </row>
    <row r="540" spans="1:1" ht="30" customHeight="1" x14ac:dyDescent="0.2">
      <c r="A540" s="17" t="str">
        <f t="shared" si="8"/>
        <v/>
      </c>
    </row>
    <row r="541" spans="1:1" ht="30" customHeight="1" x14ac:dyDescent="0.2">
      <c r="A541" s="17" t="str">
        <f t="shared" si="8"/>
        <v/>
      </c>
    </row>
    <row r="542" spans="1:1" ht="30" customHeight="1" x14ac:dyDescent="0.2">
      <c r="A542" s="17" t="str">
        <f t="shared" si="8"/>
        <v/>
      </c>
    </row>
    <row r="543" spans="1:1" ht="30" customHeight="1" x14ac:dyDescent="0.2">
      <c r="A543" s="17" t="str">
        <f t="shared" si="8"/>
        <v/>
      </c>
    </row>
    <row r="544" spans="1:1" ht="30" customHeight="1" x14ac:dyDescent="0.2">
      <c r="A544" s="17" t="str">
        <f t="shared" si="8"/>
        <v/>
      </c>
    </row>
    <row r="545" spans="1:1" ht="30" customHeight="1" x14ac:dyDescent="0.2">
      <c r="A545" s="17" t="str">
        <f t="shared" si="8"/>
        <v/>
      </c>
    </row>
    <row r="546" spans="1:1" ht="30" customHeight="1" x14ac:dyDescent="0.2">
      <c r="A546" s="17" t="str">
        <f t="shared" si="8"/>
        <v/>
      </c>
    </row>
    <row r="547" spans="1:1" ht="30" customHeight="1" x14ac:dyDescent="0.2">
      <c r="A547" s="17" t="str">
        <f t="shared" si="8"/>
        <v/>
      </c>
    </row>
    <row r="548" spans="1:1" ht="30" customHeight="1" x14ac:dyDescent="0.2">
      <c r="A548" s="17" t="str">
        <f t="shared" si="8"/>
        <v/>
      </c>
    </row>
    <row r="549" spans="1:1" ht="30" customHeight="1" x14ac:dyDescent="0.2">
      <c r="A549" s="17" t="str">
        <f t="shared" si="8"/>
        <v/>
      </c>
    </row>
    <row r="550" spans="1:1" ht="30" customHeight="1" x14ac:dyDescent="0.2">
      <c r="A550" s="17" t="str">
        <f t="shared" si="8"/>
        <v/>
      </c>
    </row>
    <row r="551" spans="1:1" ht="30" customHeight="1" x14ac:dyDescent="0.2">
      <c r="A551" s="17" t="str">
        <f t="shared" si="8"/>
        <v/>
      </c>
    </row>
    <row r="552" spans="1:1" ht="30" customHeight="1" x14ac:dyDescent="0.2">
      <c r="A552" s="17" t="str">
        <f t="shared" si="8"/>
        <v/>
      </c>
    </row>
    <row r="553" spans="1:1" ht="30" customHeight="1" x14ac:dyDescent="0.2">
      <c r="A553" s="17" t="str">
        <f t="shared" si="8"/>
        <v/>
      </c>
    </row>
    <row r="554" spans="1:1" ht="30" customHeight="1" x14ac:dyDescent="0.2">
      <c r="A554" s="17" t="str">
        <f t="shared" si="8"/>
        <v/>
      </c>
    </row>
    <row r="555" spans="1:1" ht="30" customHeight="1" x14ac:dyDescent="0.2">
      <c r="A555" s="17" t="str">
        <f t="shared" si="8"/>
        <v/>
      </c>
    </row>
    <row r="556" spans="1:1" ht="30" customHeight="1" x14ac:dyDescent="0.2">
      <c r="A556" s="17" t="str">
        <f t="shared" si="8"/>
        <v/>
      </c>
    </row>
    <row r="557" spans="1:1" ht="30" customHeight="1" x14ac:dyDescent="0.2">
      <c r="A557" s="17" t="str">
        <f t="shared" si="8"/>
        <v/>
      </c>
    </row>
    <row r="558" spans="1:1" ht="30" customHeight="1" x14ac:dyDescent="0.2">
      <c r="A558" s="17" t="str">
        <f t="shared" si="8"/>
        <v/>
      </c>
    </row>
    <row r="559" spans="1:1" ht="30" customHeight="1" x14ac:dyDescent="0.2">
      <c r="A559" s="17" t="str">
        <f t="shared" si="8"/>
        <v/>
      </c>
    </row>
    <row r="560" spans="1:1" ht="30" customHeight="1" x14ac:dyDescent="0.2">
      <c r="A560" s="17" t="str">
        <f t="shared" si="8"/>
        <v/>
      </c>
    </row>
    <row r="561" spans="1:1" ht="30" customHeight="1" x14ac:dyDescent="0.2">
      <c r="A561" s="17" t="str">
        <f t="shared" si="8"/>
        <v/>
      </c>
    </row>
    <row r="562" spans="1:1" ht="30" customHeight="1" x14ac:dyDescent="0.2">
      <c r="A562" s="17" t="str">
        <f t="shared" si="8"/>
        <v/>
      </c>
    </row>
    <row r="563" spans="1:1" ht="30" customHeight="1" x14ac:dyDescent="0.2">
      <c r="A563" s="17" t="str">
        <f t="shared" si="8"/>
        <v/>
      </c>
    </row>
    <row r="564" spans="1:1" ht="30" customHeight="1" x14ac:dyDescent="0.2">
      <c r="A564" s="17" t="str">
        <f t="shared" si="8"/>
        <v/>
      </c>
    </row>
    <row r="565" spans="1:1" ht="30" customHeight="1" x14ac:dyDescent="0.2">
      <c r="A565" s="17" t="str">
        <f t="shared" si="8"/>
        <v/>
      </c>
    </row>
    <row r="566" spans="1:1" ht="30" customHeight="1" x14ac:dyDescent="0.2">
      <c r="A566" s="17" t="str">
        <f t="shared" si="8"/>
        <v/>
      </c>
    </row>
    <row r="567" spans="1:1" ht="30" customHeight="1" x14ac:dyDescent="0.2">
      <c r="A567" s="17" t="str">
        <f t="shared" si="8"/>
        <v/>
      </c>
    </row>
    <row r="568" spans="1:1" ht="30" customHeight="1" x14ac:dyDescent="0.2">
      <c r="A568" s="17" t="str">
        <f t="shared" si="8"/>
        <v/>
      </c>
    </row>
    <row r="569" spans="1:1" ht="30" customHeight="1" x14ac:dyDescent="0.2">
      <c r="A569" s="17" t="str">
        <f t="shared" si="8"/>
        <v/>
      </c>
    </row>
    <row r="570" spans="1:1" ht="30" customHeight="1" x14ac:dyDescent="0.2">
      <c r="A570" s="17" t="str">
        <f t="shared" si="8"/>
        <v/>
      </c>
    </row>
    <row r="571" spans="1:1" ht="30" customHeight="1" x14ac:dyDescent="0.2">
      <c r="A571" s="17" t="str">
        <f t="shared" si="8"/>
        <v/>
      </c>
    </row>
    <row r="572" spans="1:1" ht="30" customHeight="1" x14ac:dyDescent="0.2">
      <c r="A572" s="17" t="str">
        <f t="shared" si="8"/>
        <v/>
      </c>
    </row>
    <row r="573" spans="1:1" ht="30" customHeight="1" x14ac:dyDescent="0.2">
      <c r="A573" s="17" t="str">
        <f t="shared" si="8"/>
        <v/>
      </c>
    </row>
    <row r="574" spans="1:1" ht="30" customHeight="1" x14ac:dyDescent="0.2">
      <c r="A574" s="17" t="str">
        <f t="shared" si="8"/>
        <v/>
      </c>
    </row>
    <row r="575" spans="1:1" ht="30" customHeight="1" x14ac:dyDescent="0.2">
      <c r="A575" s="17" t="str">
        <f t="shared" si="8"/>
        <v/>
      </c>
    </row>
    <row r="576" spans="1:1" ht="30" customHeight="1" x14ac:dyDescent="0.2">
      <c r="A576" s="17" t="str">
        <f t="shared" si="8"/>
        <v/>
      </c>
    </row>
    <row r="577" spans="1:1" ht="30" customHeight="1" x14ac:dyDescent="0.2">
      <c r="A577" s="17" t="str">
        <f t="shared" si="8"/>
        <v/>
      </c>
    </row>
    <row r="578" spans="1:1" ht="30" customHeight="1" x14ac:dyDescent="0.2">
      <c r="A578" s="17" t="str">
        <f t="shared" si="8"/>
        <v/>
      </c>
    </row>
    <row r="579" spans="1:1" ht="30" customHeight="1" x14ac:dyDescent="0.2">
      <c r="A579" s="17" t="str">
        <f t="shared" si="8"/>
        <v/>
      </c>
    </row>
    <row r="580" spans="1:1" ht="30" customHeight="1" x14ac:dyDescent="0.2">
      <c r="A580" s="17" t="str">
        <f t="shared" ref="A580:A643" si="9">IF(AND(B579&lt;&gt;"",B580=""),$A$2&amp;"---&gt;","")</f>
        <v/>
      </c>
    </row>
    <row r="581" spans="1:1" ht="30" customHeight="1" x14ac:dyDescent="0.2">
      <c r="A581" s="17" t="str">
        <f t="shared" si="9"/>
        <v/>
      </c>
    </row>
    <row r="582" spans="1:1" ht="30" customHeight="1" x14ac:dyDescent="0.2">
      <c r="A582" s="17" t="str">
        <f t="shared" si="9"/>
        <v/>
      </c>
    </row>
    <row r="583" spans="1:1" ht="30" customHeight="1" x14ac:dyDescent="0.2">
      <c r="A583" s="17" t="str">
        <f t="shared" si="9"/>
        <v/>
      </c>
    </row>
    <row r="584" spans="1:1" ht="30" customHeight="1" x14ac:dyDescent="0.2">
      <c r="A584" s="17" t="str">
        <f t="shared" si="9"/>
        <v/>
      </c>
    </row>
    <row r="585" spans="1:1" ht="30" customHeight="1" x14ac:dyDescent="0.2">
      <c r="A585" s="17" t="str">
        <f t="shared" si="9"/>
        <v/>
      </c>
    </row>
    <row r="586" spans="1:1" ht="30" customHeight="1" x14ac:dyDescent="0.2">
      <c r="A586" s="17" t="str">
        <f t="shared" si="9"/>
        <v/>
      </c>
    </row>
    <row r="587" spans="1:1" ht="30" customHeight="1" x14ac:dyDescent="0.2">
      <c r="A587" s="17" t="str">
        <f t="shared" si="9"/>
        <v/>
      </c>
    </row>
    <row r="588" spans="1:1" ht="30" customHeight="1" x14ac:dyDescent="0.2">
      <c r="A588" s="17" t="str">
        <f t="shared" si="9"/>
        <v/>
      </c>
    </row>
    <row r="589" spans="1:1" ht="30" customHeight="1" x14ac:dyDescent="0.2">
      <c r="A589" s="17" t="str">
        <f t="shared" si="9"/>
        <v/>
      </c>
    </row>
    <row r="590" spans="1:1" ht="30" customHeight="1" x14ac:dyDescent="0.2">
      <c r="A590" s="17" t="str">
        <f t="shared" si="9"/>
        <v/>
      </c>
    </row>
    <row r="591" spans="1:1" ht="30" customHeight="1" x14ac:dyDescent="0.2">
      <c r="A591" s="17" t="str">
        <f t="shared" si="9"/>
        <v/>
      </c>
    </row>
    <row r="592" spans="1:1" ht="30" customHeight="1" x14ac:dyDescent="0.2">
      <c r="A592" s="17" t="str">
        <f t="shared" si="9"/>
        <v/>
      </c>
    </row>
    <row r="593" spans="1:1" ht="30" customHeight="1" x14ac:dyDescent="0.2">
      <c r="A593" s="17" t="str">
        <f t="shared" si="9"/>
        <v/>
      </c>
    </row>
    <row r="594" spans="1:1" ht="30" customHeight="1" x14ac:dyDescent="0.2">
      <c r="A594" s="17" t="str">
        <f t="shared" si="9"/>
        <v/>
      </c>
    </row>
    <row r="595" spans="1:1" ht="30" customHeight="1" x14ac:dyDescent="0.2">
      <c r="A595" s="17" t="str">
        <f t="shared" si="9"/>
        <v/>
      </c>
    </row>
    <row r="596" spans="1:1" ht="30" customHeight="1" x14ac:dyDescent="0.2">
      <c r="A596" s="17" t="str">
        <f t="shared" si="9"/>
        <v/>
      </c>
    </row>
    <row r="597" spans="1:1" ht="30" customHeight="1" x14ac:dyDescent="0.2">
      <c r="A597" s="17" t="str">
        <f t="shared" si="9"/>
        <v/>
      </c>
    </row>
    <row r="598" spans="1:1" ht="30" customHeight="1" x14ac:dyDescent="0.2">
      <c r="A598" s="17" t="str">
        <f t="shared" si="9"/>
        <v/>
      </c>
    </row>
    <row r="599" spans="1:1" ht="30" customHeight="1" x14ac:dyDescent="0.2">
      <c r="A599" s="17" t="str">
        <f t="shared" si="9"/>
        <v/>
      </c>
    </row>
    <row r="600" spans="1:1" ht="30" customHeight="1" x14ac:dyDescent="0.2">
      <c r="A600" s="17" t="str">
        <f t="shared" si="9"/>
        <v/>
      </c>
    </row>
    <row r="601" spans="1:1" ht="30" customHeight="1" x14ac:dyDescent="0.2">
      <c r="A601" s="17" t="str">
        <f t="shared" si="9"/>
        <v/>
      </c>
    </row>
    <row r="602" spans="1:1" ht="30" customHeight="1" x14ac:dyDescent="0.2">
      <c r="A602" s="17" t="str">
        <f t="shared" si="9"/>
        <v/>
      </c>
    </row>
    <row r="603" spans="1:1" ht="30" customHeight="1" x14ac:dyDescent="0.2">
      <c r="A603" s="17" t="str">
        <f t="shared" si="9"/>
        <v/>
      </c>
    </row>
    <row r="604" spans="1:1" ht="30" customHeight="1" x14ac:dyDescent="0.2">
      <c r="A604" s="17" t="str">
        <f t="shared" si="9"/>
        <v/>
      </c>
    </row>
    <row r="605" spans="1:1" ht="30" customHeight="1" x14ac:dyDescent="0.2">
      <c r="A605" s="17" t="str">
        <f t="shared" si="9"/>
        <v/>
      </c>
    </row>
    <row r="606" spans="1:1" ht="30" customHeight="1" x14ac:dyDescent="0.2">
      <c r="A606" s="17" t="str">
        <f t="shared" si="9"/>
        <v/>
      </c>
    </row>
    <row r="607" spans="1:1" ht="30" customHeight="1" x14ac:dyDescent="0.2">
      <c r="A607" s="17" t="str">
        <f t="shared" si="9"/>
        <v/>
      </c>
    </row>
    <row r="608" spans="1:1" ht="30" customHeight="1" x14ac:dyDescent="0.2">
      <c r="A608" s="17" t="str">
        <f t="shared" si="9"/>
        <v/>
      </c>
    </row>
    <row r="609" spans="1:1" ht="30" customHeight="1" x14ac:dyDescent="0.2">
      <c r="A609" s="17" t="str">
        <f t="shared" si="9"/>
        <v/>
      </c>
    </row>
    <row r="610" spans="1:1" ht="30" customHeight="1" x14ac:dyDescent="0.2">
      <c r="A610" s="17" t="str">
        <f t="shared" si="9"/>
        <v/>
      </c>
    </row>
    <row r="611" spans="1:1" ht="30" customHeight="1" x14ac:dyDescent="0.2">
      <c r="A611" s="17" t="str">
        <f t="shared" si="9"/>
        <v/>
      </c>
    </row>
    <row r="612" spans="1:1" ht="30" customHeight="1" x14ac:dyDescent="0.2">
      <c r="A612" s="17" t="str">
        <f t="shared" si="9"/>
        <v/>
      </c>
    </row>
    <row r="613" spans="1:1" ht="30" customHeight="1" x14ac:dyDescent="0.2">
      <c r="A613" s="17" t="str">
        <f t="shared" si="9"/>
        <v/>
      </c>
    </row>
    <row r="614" spans="1:1" ht="30" customHeight="1" x14ac:dyDescent="0.2">
      <c r="A614" s="17" t="str">
        <f t="shared" si="9"/>
        <v/>
      </c>
    </row>
    <row r="615" spans="1:1" ht="30" customHeight="1" x14ac:dyDescent="0.2">
      <c r="A615" s="17" t="str">
        <f t="shared" si="9"/>
        <v/>
      </c>
    </row>
    <row r="616" spans="1:1" ht="30" customHeight="1" x14ac:dyDescent="0.2">
      <c r="A616" s="17" t="str">
        <f t="shared" si="9"/>
        <v/>
      </c>
    </row>
    <row r="617" spans="1:1" ht="30" customHeight="1" x14ac:dyDescent="0.2">
      <c r="A617" s="17" t="str">
        <f t="shared" si="9"/>
        <v/>
      </c>
    </row>
    <row r="618" spans="1:1" ht="30" customHeight="1" x14ac:dyDescent="0.2">
      <c r="A618" s="17" t="str">
        <f t="shared" si="9"/>
        <v/>
      </c>
    </row>
    <row r="619" spans="1:1" ht="30" customHeight="1" x14ac:dyDescent="0.2">
      <c r="A619" s="17" t="str">
        <f t="shared" si="9"/>
        <v/>
      </c>
    </row>
    <row r="620" spans="1:1" ht="30" customHeight="1" x14ac:dyDescent="0.2">
      <c r="A620" s="17" t="str">
        <f t="shared" si="9"/>
        <v/>
      </c>
    </row>
    <row r="621" spans="1:1" ht="30" customHeight="1" x14ac:dyDescent="0.2">
      <c r="A621" s="17" t="str">
        <f t="shared" si="9"/>
        <v/>
      </c>
    </row>
    <row r="622" spans="1:1" ht="30" customHeight="1" x14ac:dyDescent="0.2">
      <c r="A622" s="17" t="str">
        <f t="shared" si="9"/>
        <v/>
      </c>
    </row>
    <row r="623" spans="1:1" ht="30" customHeight="1" x14ac:dyDescent="0.2">
      <c r="A623" s="17" t="str">
        <f t="shared" si="9"/>
        <v/>
      </c>
    </row>
    <row r="624" spans="1:1" ht="30" customHeight="1" x14ac:dyDescent="0.2">
      <c r="A624" s="17" t="str">
        <f t="shared" si="9"/>
        <v/>
      </c>
    </row>
    <row r="625" spans="1:1" ht="30" customHeight="1" x14ac:dyDescent="0.2">
      <c r="A625" s="17" t="str">
        <f t="shared" si="9"/>
        <v/>
      </c>
    </row>
    <row r="626" spans="1:1" ht="30" customHeight="1" x14ac:dyDescent="0.2">
      <c r="A626" s="17" t="str">
        <f t="shared" si="9"/>
        <v/>
      </c>
    </row>
    <row r="627" spans="1:1" ht="30" customHeight="1" x14ac:dyDescent="0.2">
      <c r="A627" s="17" t="str">
        <f t="shared" si="9"/>
        <v/>
      </c>
    </row>
    <row r="628" spans="1:1" ht="30" customHeight="1" x14ac:dyDescent="0.2">
      <c r="A628" s="17" t="str">
        <f t="shared" si="9"/>
        <v/>
      </c>
    </row>
    <row r="629" spans="1:1" ht="30" customHeight="1" x14ac:dyDescent="0.2">
      <c r="A629" s="17" t="str">
        <f t="shared" si="9"/>
        <v/>
      </c>
    </row>
    <row r="630" spans="1:1" ht="30" customHeight="1" x14ac:dyDescent="0.2">
      <c r="A630" s="17" t="str">
        <f t="shared" si="9"/>
        <v/>
      </c>
    </row>
    <row r="631" spans="1:1" ht="30" customHeight="1" x14ac:dyDescent="0.2">
      <c r="A631" s="17" t="str">
        <f t="shared" si="9"/>
        <v/>
      </c>
    </row>
    <row r="632" spans="1:1" ht="30" customHeight="1" x14ac:dyDescent="0.2">
      <c r="A632" s="17" t="str">
        <f t="shared" si="9"/>
        <v/>
      </c>
    </row>
    <row r="633" spans="1:1" ht="30" customHeight="1" x14ac:dyDescent="0.2">
      <c r="A633" s="17" t="str">
        <f t="shared" si="9"/>
        <v/>
      </c>
    </row>
    <row r="634" spans="1:1" ht="30" customHeight="1" x14ac:dyDescent="0.2">
      <c r="A634" s="17" t="str">
        <f t="shared" si="9"/>
        <v/>
      </c>
    </row>
    <row r="635" spans="1:1" ht="30" customHeight="1" x14ac:dyDescent="0.2">
      <c r="A635" s="17" t="str">
        <f t="shared" si="9"/>
        <v/>
      </c>
    </row>
    <row r="636" spans="1:1" ht="30" customHeight="1" x14ac:dyDescent="0.2">
      <c r="A636" s="17" t="str">
        <f t="shared" si="9"/>
        <v/>
      </c>
    </row>
    <row r="637" spans="1:1" ht="30" customHeight="1" x14ac:dyDescent="0.2">
      <c r="A637" s="17" t="str">
        <f t="shared" si="9"/>
        <v/>
      </c>
    </row>
    <row r="638" spans="1:1" ht="30" customHeight="1" x14ac:dyDescent="0.2">
      <c r="A638" s="17" t="str">
        <f t="shared" si="9"/>
        <v/>
      </c>
    </row>
    <row r="639" spans="1:1" ht="30" customHeight="1" x14ac:dyDescent="0.2">
      <c r="A639" s="17" t="str">
        <f t="shared" si="9"/>
        <v/>
      </c>
    </row>
    <row r="640" spans="1:1" ht="30" customHeight="1" x14ac:dyDescent="0.2">
      <c r="A640" s="17" t="str">
        <f t="shared" si="9"/>
        <v/>
      </c>
    </row>
    <row r="641" spans="1:1" ht="30" customHeight="1" x14ac:dyDescent="0.2">
      <c r="A641" s="17" t="str">
        <f t="shared" si="9"/>
        <v/>
      </c>
    </row>
    <row r="642" spans="1:1" ht="30" customHeight="1" x14ac:dyDescent="0.2">
      <c r="A642" s="17" t="str">
        <f t="shared" si="9"/>
        <v/>
      </c>
    </row>
    <row r="643" spans="1:1" ht="30" customHeight="1" x14ac:dyDescent="0.2">
      <c r="A643" s="17" t="str">
        <f t="shared" si="9"/>
        <v/>
      </c>
    </row>
    <row r="644" spans="1:1" ht="30" customHeight="1" x14ac:dyDescent="0.2">
      <c r="A644" s="17" t="str">
        <f t="shared" ref="A644:A707" si="10">IF(AND(B643&lt;&gt;"",B644=""),$A$2&amp;"---&gt;","")</f>
        <v/>
      </c>
    </row>
    <row r="645" spans="1:1" ht="30" customHeight="1" x14ac:dyDescent="0.2">
      <c r="A645" s="17" t="str">
        <f t="shared" si="10"/>
        <v/>
      </c>
    </row>
    <row r="646" spans="1:1" ht="30" customHeight="1" x14ac:dyDescent="0.2">
      <c r="A646" s="17" t="str">
        <f t="shared" si="10"/>
        <v/>
      </c>
    </row>
    <row r="647" spans="1:1" ht="30" customHeight="1" x14ac:dyDescent="0.2">
      <c r="A647" s="17" t="str">
        <f t="shared" si="10"/>
        <v/>
      </c>
    </row>
    <row r="648" spans="1:1" ht="30" customHeight="1" x14ac:dyDescent="0.2">
      <c r="A648" s="17" t="str">
        <f t="shared" si="10"/>
        <v/>
      </c>
    </row>
    <row r="649" spans="1:1" ht="30" customHeight="1" x14ac:dyDescent="0.2">
      <c r="A649" s="17" t="str">
        <f t="shared" si="10"/>
        <v/>
      </c>
    </row>
    <row r="650" spans="1:1" ht="30" customHeight="1" x14ac:dyDescent="0.2">
      <c r="A650" s="17" t="str">
        <f t="shared" si="10"/>
        <v/>
      </c>
    </row>
    <row r="651" spans="1:1" ht="30" customHeight="1" x14ac:dyDescent="0.2">
      <c r="A651" s="17" t="str">
        <f t="shared" si="10"/>
        <v/>
      </c>
    </row>
    <row r="652" spans="1:1" ht="30" customHeight="1" x14ac:dyDescent="0.2">
      <c r="A652" s="17" t="str">
        <f t="shared" si="10"/>
        <v/>
      </c>
    </row>
    <row r="653" spans="1:1" ht="30" customHeight="1" x14ac:dyDescent="0.2">
      <c r="A653" s="17" t="str">
        <f t="shared" si="10"/>
        <v/>
      </c>
    </row>
    <row r="654" spans="1:1" ht="30" customHeight="1" x14ac:dyDescent="0.2">
      <c r="A654" s="17" t="str">
        <f t="shared" si="10"/>
        <v/>
      </c>
    </row>
    <row r="655" spans="1:1" ht="30" customHeight="1" x14ac:dyDescent="0.2">
      <c r="A655" s="17" t="str">
        <f t="shared" si="10"/>
        <v/>
      </c>
    </row>
    <row r="656" spans="1:1" ht="30" customHeight="1" x14ac:dyDescent="0.2">
      <c r="A656" s="17" t="str">
        <f t="shared" si="10"/>
        <v/>
      </c>
    </row>
    <row r="657" spans="1:1" ht="30" customHeight="1" x14ac:dyDescent="0.2">
      <c r="A657" s="17" t="str">
        <f t="shared" si="10"/>
        <v/>
      </c>
    </row>
    <row r="658" spans="1:1" ht="30" customHeight="1" x14ac:dyDescent="0.2">
      <c r="A658" s="17" t="str">
        <f t="shared" si="10"/>
        <v/>
      </c>
    </row>
    <row r="659" spans="1:1" ht="30" customHeight="1" x14ac:dyDescent="0.2">
      <c r="A659" s="17" t="str">
        <f t="shared" si="10"/>
        <v/>
      </c>
    </row>
    <row r="660" spans="1:1" ht="30" customHeight="1" x14ac:dyDescent="0.2">
      <c r="A660" s="17" t="str">
        <f t="shared" si="10"/>
        <v/>
      </c>
    </row>
    <row r="661" spans="1:1" ht="30" customHeight="1" x14ac:dyDescent="0.2">
      <c r="A661" s="17" t="str">
        <f t="shared" si="10"/>
        <v/>
      </c>
    </row>
    <row r="662" spans="1:1" ht="30" customHeight="1" x14ac:dyDescent="0.2">
      <c r="A662" s="17" t="str">
        <f t="shared" si="10"/>
        <v/>
      </c>
    </row>
    <row r="663" spans="1:1" ht="30" customHeight="1" x14ac:dyDescent="0.2">
      <c r="A663" s="17" t="str">
        <f t="shared" si="10"/>
        <v/>
      </c>
    </row>
    <row r="664" spans="1:1" ht="30" customHeight="1" x14ac:dyDescent="0.2">
      <c r="A664" s="17" t="str">
        <f t="shared" si="10"/>
        <v/>
      </c>
    </row>
    <row r="665" spans="1:1" ht="30" customHeight="1" x14ac:dyDescent="0.2">
      <c r="A665" s="17" t="str">
        <f t="shared" si="10"/>
        <v/>
      </c>
    </row>
    <row r="666" spans="1:1" ht="30" customHeight="1" x14ac:dyDescent="0.2">
      <c r="A666" s="17" t="str">
        <f t="shared" si="10"/>
        <v/>
      </c>
    </row>
    <row r="667" spans="1:1" ht="30" customHeight="1" x14ac:dyDescent="0.2">
      <c r="A667" s="17" t="str">
        <f t="shared" si="10"/>
        <v/>
      </c>
    </row>
    <row r="668" spans="1:1" ht="30" customHeight="1" x14ac:dyDescent="0.2">
      <c r="A668" s="17" t="str">
        <f t="shared" si="10"/>
        <v/>
      </c>
    </row>
    <row r="669" spans="1:1" ht="30" customHeight="1" x14ac:dyDescent="0.2">
      <c r="A669" s="17" t="str">
        <f t="shared" si="10"/>
        <v/>
      </c>
    </row>
    <row r="670" spans="1:1" ht="30" customHeight="1" x14ac:dyDescent="0.2">
      <c r="A670" s="17" t="str">
        <f t="shared" si="10"/>
        <v/>
      </c>
    </row>
    <row r="671" spans="1:1" ht="30" customHeight="1" x14ac:dyDescent="0.2">
      <c r="A671" s="17" t="str">
        <f t="shared" si="10"/>
        <v/>
      </c>
    </row>
    <row r="672" spans="1:1" ht="30" customHeight="1" x14ac:dyDescent="0.2">
      <c r="A672" s="17" t="str">
        <f t="shared" si="10"/>
        <v/>
      </c>
    </row>
    <row r="673" spans="1:1" ht="30" customHeight="1" x14ac:dyDescent="0.2">
      <c r="A673" s="17" t="str">
        <f t="shared" si="10"/>
        <v/>
      </c>
    </row>
    <row r="674" spans="1:1" ht="30" customHeight="1" x14ac:dyDescent="0.2">
      <c r="A674" s="17" t="str">
        <f t="shared" si="10"/>
        <v/>
      </c>
    </row>
    <row r="675" spans="1:1" ht="30" customHeight="1" x14ac:dyDescent="0.2">
      <c r="A675" s="17" t="str">
        <f t="shared" si="10"/>
        <v/>
      </c>
    </row>
    <row r="676" spans="1:1" ht="30" customHeight="1" x14ac:dyDescent="0.2">
      <c r="A676" s="17" t="str">
        <f t="shared" si="10"/>
        <v/>
      </c>
    </row>
    <row r="677" spans="1:1" ht="30" customHeight="1" x14ac:dyDescent="0.2">
      <c r="A677" s="17" t="str">
        <f t="shared" si="10"/>
        <v/>
      </c>
    </row>
    <row r="678" spans="1:1" ht="30" customHeight="1" x14ac:dyDescent="0.2">
      <c r="A678" s="17" t="str">
        <f t="shared" si="10"/>
        <v/>
      </c>
    </row>
    <row r="679" spans="1:1" ht="30" customHeight="1" x14ac:dyDescent="0.2">
      <c r="A679" s="17" t="str">
        <f t="shared" si="10"/>
        <v/>
      </c>
    </row>
    <row r="680" spans="1:1" ht="30" customHeight="1" x14ac:dyDescent="0.2">
      <c r="A680" s="17" t="str">
        <f t="shared" si="10"/>
        <v/>
      </c>
    </row>
    <row r="681" spans="1:1" ht="30" customHeight="1" x14ac:dyDescent="0.2">
      <c r="A681" s="17" t="str">
        <f t="shared" si="10"/>
        <v/>
      </c>
    </row>
    <row r="682" spans="1:1" ht="30" customHeight="1" x14ac:dyDescent="0.2">
      <c r="A682" s="17" t="str">
        <f t="shared" si="10"/>
        <v/>
      </c>
    </row>
    <row r="683" spans="1:1" ht="30" customHeight="1" x14ac:dyDescent="0.2">
      <c r="A683" s="17" t="str">
        <f t="shared" si="10"/>
        <v/>
      </c>
    </row>
    <row r="684" spans="1:1" ht="30" customHeight="1" x14ac:dyDescent="0.2">
      <c r="A684" s="17" t="str">
        <f t="shared" si="10"/>
        <v/>
      </c>
    </row>
    <row r="685" spans="1:1" ht="30" customHeight="1" x14ac:dyDescent="0.2">
      <c r="A685" s="17" t="str">
        <f t="shared" si="10"/>
        <v/>
      </c>
    </row>
    <row r="686" spans="1:1" ht="30" customHeight="1" x14ac:dyDescent="0.2">
      <c r="A686" s="17" t="str">
        <f t="shared" si="10"/>
        <v/>
      </c>
    </row>
    <row r="687" spans="1:1" ht="30" customHeight="1" x14ac:dyDescent="0.2">
      <c r="A687" s="17" t="str">
        <f t="shared" si="10"/>
        <v/>
      </c>
    </row>
    <row r="688" spans="1:1" ht="30" customHeight="1" x14ac:dyDescent="0.2">
      <c r="A688" s="17" t="str">
        <f t="shared" si="10"/>
        <v/>
      </c>
    </row>
    <row r="689" spans="1:1" ht="30" customHeight="1" x14ac:dyDescent="0.2">
      <c r="A689" s="17" t="str">
        <f t="shared" si="10"/>
        <v/>
      </c>
    </row>
    <row r="690" spans="1:1" ht="30" customHeight="1" x14ac:dyDescent="0.2">
      <c r="A690" s="17" t="str">
        <f t="shared" si="10"/>
        <v/>
      </c>
    </row>
    <row r="691" spans="1:1" ht="30" customHeight="1" x14ac:dyDescent="0.2">
      <c r="A691" s="17" t="str">
        <f t="shared" si="10"/>
        <v/>
      </c>
    </row>
    <row r="692" spans="1:1" ht="30" customHeight="1" x14ac:dyDescent="0.2">
      <c r="A692" s="17" t="str">
        <f t="shared" si="10"/>
        <v/>
      </c>
    </row>
    <row r="693" spans="1:1" ht="30" customHeight="1" x14ac:dyDescent="0.2">
      <c r="A693" s="17" t="str">
        <f t="shared" si="10"/>
        <v/>
      </c>
    </row>
    <row r="694" spans="1:1" ht="30" customHeight="1" x14ac:dyDescent="0.2">
      <c r="A694" s="17" t="str">
        <f t="shared" si="10"/>
        <v/>
      </c>
    </row>
    <row r="695" spans="1:1" ht="30" customHeight="1" x14ac:dyDescent="0.2">
      <c r="A695" s="17" t="str">
        <f t="shared" si="10"/>
        <v/>
      </c>
    </row>
    <row r="696" spans="1:1" ht="30" customHeight="1" x14ac:dyDescent="0.2">
      <c r="A696" s="17" t="str">
        <f t="shared" si="10"/>
        <v/>
      </c>
    </row>
    <row r="697" spans="1:1" ht="30" customHeight="1" x14ac:dyDescent="0.2">
      <c r="A697" s="17" t="str">
        <f t="shared" si="10"/>
        <v/>
      </c>
    </row>
    <row r="698" spans="1:1" ht="30" customHeight="1" x14ac:dyDescent="0.2">
      <c r="A698" s="17" t="str">
        <f t="shared" si="10"/>
        <v/>
      </c>
    </row>
    <row r="699" spans="1:1" ht="30" customHeight="1" x14ac:dyDescent="0.2">
      <c r="A699" s="17" t="str">
        <f t="shared" si="10"/>
        <v/>
      </c>
    </row>
    <row r="700" spans="1:1" ht="30" customHeight="1" x14ac:dyDescent="0.2">
      <c r="A700" s="17" t="str">
        <f t="shared" si="10"/>
        <v/>
      </c>
    </row>
    <row r="701" spans="1:1" ht="30" customHeight="1" x14ac:dyDescent="0.2">
      <c r="A701" s="17" t="str">
        <f t="shared" si="10"/>
        <v/>
      </c>
    </row>
    <row r="702" spans="1:1" ht="30" customHeight="1" x14ac:dyDescent="0.2">
      <c r="A702" s="17" t="str">
        <f t="shared" si="10"/>
        <v/>
      </c>
    </row>
    <row r="703" spans="1:1" ht="30" customHeight="1" x14ac:dyDescent="0.2">
      <c r="A703" s="17" t="str">
        <f t="shared" si="10"/>
        <v/>
      </c>
    </row>
    <row r="704" spans="1:1" ht="30" customHeight="1" x14ac:dyDescent="0.2">
      <c r="A704" s="17" t="str">
        <f t="shared" si="10"/>
        <v/>
      </c>
    </row>
    <row r="705" spans="1:1" ht="30" customHeight="1" x14ac:dyDescent="0.2">
      <c r="A705" s="17" t="str">
        <f t="shared" si="10"/>
        <v/>
      </c>
    </row>
    <row r="706" spans="1:1" ht="30" customHeight="1" x14ac:dyDescent="0.2">
      <c r="A706" s="17" t="str">
        <f t="shared" si="10"/>
        <v/>
      </c>
    </row>
    <row r="707" spans="1:1" ht="30" customHeight="1" x14ac:dyDescent="0.2">
      <c r="A707" s="17" t="str">
        <f t="shared" si="10"/>
        <v/>
      </c>
    </row>
    <row r="708" spans="1:1" ht="30" customHeight="1" x14ac:dyDescent="0.2">
      <c r="A708" s="17" t="str">
        <f t="shared" ref="A708:A771" si="11">IF(AND(B707&lt;&gt;"",B708=""),$A$2&amp;"---&gt;","")</f>
        <v/>
      </c>
    </row>
    <row r="709" spans="1:1" ht="30" customHeight="1" x14ac:dyDescent="0.2">
      <c r="A709" s="17" t="str">
        <f t="shared" si="11"/>
        <v/>
      </c>
    </row>
    <row r="710" spans="1:1" ht="30" customHeight="1" x14ac:dyDescent="0.2">
      <c r="A710" s="17" t="str">
        <f t="shared" si="11"/>
        <v/>
      </c>
    </row>
    <row r="711" spans="1:1" ht="30" customHeight="1" x14ac:dyDescent="0.2">
      <c r="A711" s="17" t="str">
        <f t="shared" si="11"/>
        <v/>
      </c>
    </row>
    <row r="712" spans="1:1" ht="30" customHeight="1" x14ac:dyDescent="0.2">
      <c r="A712" s="17" t="str">
        <f t="shared" si="11"/>
        <v/>
      </c>
    </row>
    <row r="713" spans="1:1" ht="30" customHeight="1" x14ac:dyDescent="0.2">
      <c r="A713" s="17" t="str">
        <f t="shared" si="11"/>
        <v/>
      </c>
    </row>
    <row r="714" spans="1:1" ht="30" customHeight="1" x14ac:dyDescent="0.2">
      <c r="A714" s="17" t="str">
        <f t="shared" si="11"/>
        <v/>
      </c>
    </row>
    <row r="715" spans="1:1" ht="30" customHeight="1" x14ac:dyDescent="0.2">
      <c r="A715" s="17" t="str">
        <f t="shared" si="11"/>
        <v/>
      </c>
    </row>
    <row r="716" spans="1:1" ht="30" customHeight="1" x14ac:dyDescent="0.2">
      <c r="A716" s="17" t="str">
        <f t="shared" si="11"/>
        <v/>
      </c>
    </row>
    <row r="717" spans="1:1" ht="30" customHeight="1" x14ac:dyDescent="0.2">
      <c r="A717" s="17" t="str">
        <f t="shared" si="11"/>
        <v/>
      </c>
    </row>
    <row r="718" spans="1:1" ht="30" customHeight="1" x14ac:dyDescent="0.2">
      <c r="A718" s="17" t="str">
        <f t="shared" si="11"/>
        <v/>
      </c>
    </row>
    <row r="719" spans="1:1" ht="30" customHeight="1" x14ac:dyDescent="0.2">
      <c r="A719" s="17" t="str">
        <f t="shared" si="11"/>
        <v/>
      </c>
    </row>
    <row r="720" spans="1:1" ht="30" customHeight="1" x14ac:dyDescent="0.2">
      <c r="A720" s="17" t="str">
        <f t="shared" si="11"/>
        <v/>
      </c>
    </row>
    <row r="721" spans="1:1" ht="30" customHeight="1" x14ac:dyDescent="0.2">
      <c r="A721" s="17" t="str">
        <f t="shared" si="11"/>
        <v/>
      </c>
    </row>
    <row r="722" spans="1:1" ht="30" customHeight="1" x14ac:dyDescent="0.2">
      <c r="A722" s="17" t="str">
        <f t="shared" si="11"/>
        <v/>
      </c>
    </row>
    <row r="723" spans="1:1" ht="30" customHeight="1" x14ac:dyDescent="0.2">
      <c r="A723" s="17" t="str">
        <f t="shared" si="11"/>
        <v/>
      </c>
    </row>
    <row r="724" spans="1:1" ht="30" customHeight="1" x14ac:dyDescent="0.2">
      <c r="A724" s="17" t="str">
        <f t="shared" si="11"/>
        <v/>
      </c>
    </row>
    <row r="725" spans="1:1" ht="30" customHeight="1" x14ac:dyDescent="0.2">
      <c r="A725" s="17" t="str">
        <f t="shared" si="11"/>
        <v/>
      </c>
    </row>
    <row r="726" spans="1:1" ht="30" customHeight="1" x14ac:dyDescent="0.2">
      <c r="A726" s="17" t="str">
        <f t="shared" si="11"/>
        <v/>
      </c>
    </row>
    <row r="727" spans="1:1" ht="30" customHeight="1" x14ac:dyDescent="0.2">
      <c r="A727" s="17" t="str">
        <f t="shared" si="11"/>
        <v/>
      </c>
    </row>
    <row r="728" spans="1:1" ht="30" customHeight="1" x14ac:dyDescent="0.2">
      <c r="A728" s="17" t="str">
        <f t="shared" si="11"/>
        <v/>
      </c>
    </row>
    <row r="729" spans="1:1" ht="30" customHeight="1" x14ac:dyDescent="0.2">
      <c r="A729" s="17" t="str">
        <f t="shared" si="11"/>
        <v/>
      </c>
    </row>
    <row r="730" spans="1:1" ht="30" customHeight="1" x14ac:dyDescent="0.2">
      <c r="A730" s="17" t="str">
        <f t="shared" si="11"/>
        <v/>
      </c>
    </row>
    <row r="731" spans="1:1" ht="30" customHeight="1" x14ac:dyDescent="0.2">
      <c r="A731" s="17" t="str">
        <f t="shared" si="11"/>
        <v/>
      </c>
    </row>
    <row r="732" spans="1:1" ht="30" customHeight="1" x14ac:dyDescent="0.2">
      <c r="A732" s="17" t="str">
        <f t="shared" si="11"/>
        <v/>
      </c>
    </row>
    <row r="733" spans="1:1" ht="30" customHeight="1" x14ac:dyDescent="0.2">
      <c r="A733" s="17" t="str">
        <f t="shared" si="11"/>
        <v/>
      </c>
    </row>
    <row r="734" spans="1:1" ht="30" customHeight="1" x14ac:dyDescent="0.2">
      <c r="A734" s="17" t="str">
        <f t="shared" si="11"/>
        <v/>
      </c>
    </row>
    <row r="735" spans="1:1" ht="30" customHeight="1" x14ac:dyDescent="0.2">
      <c r="A735" s="17" t="str">
        <f t="shared" si="11"/>
        <v/>
      </c>
    </row>
    <row r="736" spans="1:1" ht="30" customHeight="1" x14ac:dyDescent="0.2">
      <c r="A736" s="17" t="str">
        <f t="shared" si="11"/>
        <v/>
      </c>
    </row>
    <row r="737" spans="1:1" ht="30" customHeight="1" x14ac:dyDescent="0.2">
      <c r="A737" s="17" t="str">
        <f t="shared" si="11"/>
        <v/>
      </c>
    </row>
    <row r="738" spans="1:1" ht="30" customHeight="1" x14ac:dyDescent="0.2">
      <c r="A738" s="17" t="str">
        <f t="shared" si="11"/>
        <v/>
      </c>
    </row>
    <row r="739" spans="1:1" ht="30" customHeight="1" x14ac:dyDescent="0.2">
      <c r="A739" s="17" t="str">
        <f t="shared" si="11"/>
        <v/>
      </c>
    </row>
    <row r="740" spans="1:1" ht="30" customHeight="1" x14ac:dyDescent="0.2">
      <c r="A740" s="17" t="str">
        <f t="shared" si="11"/>
        <v/>
      </c>
    </row>
    <row r="741" spans="1:1" ht="30" customHeight="1" x14ac:dyDescent="0.2">
      <c r="A741" s="17" t="str">
        <f t="shared" si="11"/>
        <v/>
      </c>
    </row>
    <row r="742" spans="1:1" ht="30" customHeight="1" x14ac:dyDescent="0.2">
      <c r="A742" s="17" t="str">
        <f t="shared" si="11"/>
        <v/>
      </c>
    </row>
    <row r="743" spans="1:1" ht="30" customHeight="1" x14ac:dyDescent="0.2">
      <c r="A743" s="17" t="str">
        <f t="shared" si="11"/>
        <v/>
      </c>
    </row>
    <row r="744" spans="1:1" ht="30" customHeight="1" x14ac:dyDescent="0.2">
      <c r="A744" s="17" t="str">
        <f t="shared" si="11"/>
        <v/>
      </c>
    </row>
    <row r="745" spans="1:1" ht="30" customHeight="1" x14ac:dyDescent="0.2">
      <c r="A745" s="17" t="str">
        <f t="shared" si="11"/>
        <v/>
      </c>
    </row>
    <row r="746" spans="1:1" ht="30" customHeight="1" x14ac:dyDescent="0.2">
      <c r="A746" s="17" t="str">
        <f t="shared" si="11"/>
        <v/>
      </c>
    </row>
    <row r="747" spans="1:1" ht="30" customHeight="1" x14ac:dyDescent="0.2">
      <c r="A747" s="17" t="str">
        <f t="shared" si="11"/>
        <v/>
      </c>
    </row>
    <row r="748" spans="1:1" ht="30" customHeight="1" x14ac:dyDescent="0.2">
      <c r="A748" s="17" t="str">
        <f t="shared" si="11"/>
        <v/>
      </c>
    </row>
    <row r="749" spans="1:1" ht="30" customHeight="1" x14ac:dyDescent="0.2">
      <c r="A749" s="17" t="str">
        <f t="shared" si="11"/>
        <v/>
      </c>
    </row>
    <row r="750" spans="1:1" ht="30" customHeight="1" x14ac:dyDescent="0.2">
      <c r="A750" s="17" t="str">
        <f t="shared" si="11"/>
        <v/>
      </c>
    </row>
    <row r="751" spans="1:1" ht="30" customHeight="1" x14ac:dyDescent="0.2">
      <c r="A751" s="17" t="str">
        <f t="shared" si="11"/>
        <v/>
      </c>
    </row>
    <row r="752" spans="1:1" ht="30" customHeight="1" x14ac:dyDescent="0.2">
      <c r="A752" s="17" t="str">
        <f t="shared" si="11"/>
        <v/>
      </c>
    </row>
    <row r="753" spans="1:1" ht="30" customHeight="1" x14ac:dyDescent="0.2">
      <c r="A753" s="17" t="str">
        <f t="shared" si="11"/>
        <v/>
      </c>
    </row>
    <row r="754" spans="1:1" ht="30" customHeight="1" x14ac:dyDescent="0.2">
      <c r="A754" s="17" t="str">
        <f t="shared" si="11"/>
        <v/>
      </c>
    </row>
    <row r="755" spans="1:1" ht="30" customHeight="1" x14ac:dyDescent="0.2">
      <c r="A755" s="17" t="str">
        <f t="shared" si="11"/>
        <v/>
      </c>
    </row>
    <row r="756" spans="1:1" ht="30" customHeight="1" x14ac:dyDescent="0.2">
      <c r="A756" s="17" t="str">
        <f t="shared" si="11"/>
        <v/>
      </c>
    </row>
    <row r="757" spans="1:1" ht="30" customHeight="1" x14ac:dyDescent="0.2">
      <c r="A757" s="17" t="str">
        <f t="shared" si="11"/>
        <v/>
      </c>
    </row>
    <row r="758" spans="1:1" ht="30" customHeight="1" x14ac:dyDescent="0.2">
      <c r="A758" s="17" t="str">
        <f t="shared" si="11"/>
        <v/>
      </c>
    </row>
    <row r="759" spans="1:1" ht="30" customHeight="1" x14ac:dyDescent="0.2">
      <c r="A759" s="17" t="str">
        <f t="shared" si="11"/>
        <v/>
      </c>
    </row>
    <row r="760" spans="1:1" ht="30" customHeight="1" x14ac:dyDescent="0.2">
      <c r="A760" s="17" t="str">
        <f t="shared" si="11"/>
        <v/>
      </c>
    </row>
    <row r="761" spans="1:1" ht="30" customHeight="1" x14ac:dyDescent="0.2">
      <c r="A761" s="17" t="str">
        <f t="shared" si="11"/>
        <v/>
      </c>
    </row>
    <row r="762" spans="1:1" ht="30" customHeight="1" x14ac:dyDescent="0.2">
      <c r="A762" s="17" t="str">
        <f t="shared" si="11"/>
        <v/>
      </c>
    </row>
    <row r="763" spans="1:1" ht="30" customHeight="1" x14ac:dyDescent="0.2">
      <c r="A763" s="17" t="str">
        <f t="shared" si="11"/>
        <v/>
      </c>
    </row>
    <row r="764" spans="1:1" ht="30" customHeight="1" x14ac:dyDescent="0.2">
      <c r="A764" s="17" t="str">
        <f t="shared" si="11"/>
        <v/>
      </c>
    </row>
    <row r="765" spans="1:1" ht="30" customHeight="1" x14ac:dyDescent="0.2">
      <c r="A765" s="17" t="str">
        <f t="shared" si="11"/>
        <v/>
      </c>
    </row>
    <row r="766" spans="1:1" ht="30" customHeight="1" x14ac:dyDescent="0.2">
      <c r="A766" s="17" t="str">
        <f t="shared" si="11"/>
        <v/>
      </c>
    </row>
    <row r="767" spans="1:1" ht="30" customHeight="1" x14ac:dyDescent="0.2">
      <c r="A767" s="17" t="str">
        <f t="shared" si="11"/>
        <v/>
      </c>
    </row>
    <row r="768" spans="1:1" ht="30" customHeight="1" x14ac:dyDescent="0.2">
      <c r="A768" s="17" t="str">
        <f t="shared" si="11"/>
        <v/>
      </c>
    </row>
    <row r="769" spans="1:1" ht="30" customHeight="1" x14ac:dyDescent="0.2">
      <c r="A769" s="17" t="str">
        <f t="shared" si="11"/>
        <v/>
      </c>
    </row>
    <row r="770" spans="1:1" ht="30" customHeight="1" x14ac:dyDescent="0.2">
      <c r="A770" s="17" t="str">
        <f t="shared" si="11"/>
        <v/>
      </c>
    </row>
    <row r="771" spans="1:1" ht="30" customHeight="1" x14ac:dyDescent="0.2">
      <c r="A771" s="17" t="str">
        <f t="shared" si="11"/>
        <v/>
      </c>
    </row>
    <row r="772" spans="1:1" ht="30" customHeight="1" x14ac:dyDescent="0.2">
      <c r="A772" s="17" t="str">
        <f t="shared" ref="A772:A835" si="12">IF(AND(B771&lt;&gt;"",B772=""),$A$2&amp;"---&gt;","")</f>
        <v/>
      </c>
    </row>
    <row r="773" spans="1:1" ht="30" customHeight="1" x14ac:dyDescent="0.2">
      <c r="A773" s="17" t="str">
        <f t="shared" si="12"/>
        <v/>
      </c>
    </row>
    <row r="774" spans="1:1" ht="30" customHeight="1" x14ac:dyDescent="0.2">
      <c r="A774" s="17" t="str">
        <f t="shared" si="12"/>
        <v/>
      </c>
    </row>
    <row r="775" spans="1:1" ht="30" customHeight="1" x14ac:dyDescent="0.2">
      <c r="A775" s="17" t="str">
        <f t="shared" si="12"/>
        <v/>
      </c>
    </row>
    <row r="776" spans="1:1" ht="30" customHeight="1" x14ac:dyDescent="0.2">
      <c r="A776" s="17" t="str">
        <f t="shared" si="12"/>
        <v/>
      </c>
    </row>
    <row r="777" spans="1:1" ht="30" customHeight="1" x14ac:dyDescent="0.2">
      <c r="A777" s="17" t="str">
        <f t="shared" si="12"/>
        <v/>
      </c>
    </row>
    <row r="778" spans="1:1" ht="30" customHeight="1" x14ac:dyDescent="0.2">
      <c r="A778" s="17" t="str">
        <f t="shared" si="12"/>
        <v/>
      </c>
    </row>
    <row r="779" spans="1:1" ht="30" customHeight="1" x14ac:dyDescent="0.2">
      <c r="A779" s="17" t="str">
        <f t="shared" si="12"/>
        <v/>
      </c>
    </row>
    <row r="780" spans="1:1" ht="30" customHeight="1" x14ac:dyDescent="0.2">
      <c r="A780" s="17" t="str">
        <f t="shared" si="12"/>
        <v/>
      </c>
    </row>
    <row r="781" spans="1:1" ht="30" customHeight="1" x14ac:dyDescent="0.2">
      <c r="A781" s="17" t="str">
        <f t="shared" si="12"/>
        <v/>
      </c>
    </row>
    <row r="782" spans="1:1" ht="30" customHeight="1" x14ac:dyDescent="0.2">
      <c r="A782" s="17" t="str">
        <f t="shared" si="12"/>
        <v/>
      </c>
    </row>
    <row r="783" spans="1:1" ht="30" customHeight="1" x14ac:dyDescent="0.2">
      <c r="A783" s="17" t="str">
        <f t="shared" si="12"/>
        <v/>
      </c>
    </row>
    <row r="784" spans="1:1" ht="30" customHeight="1" x14ac:dyDescent="0.2">
      <c r="A784" s="17" t="str">
        <f t="shared" si="12"/>
        <v/>
      </c>
    </row>
    <row r="785" spans="1:1" ht="30" customHeight="1" x14ac:dyDescent="0.2">
      <c r="A785" s="17" t="str">
        <f t="shared" si="12"/>
        <v/>
      </c>
    </row>
    <row r="786" spans="1:1" ht="30" customHeight="1" x14ac:dyDescent="0.2">
      <c r="A786" s="17" t="str">
        <f t="shared" si="12"/>
        <v/>
      </c>
    </row>
    <row r="787" spans="1:1" ht="30" customHeight="1" x14ac:dyDescent="0.2">
      <c r="A787" s="17" t="str">
        <f t="shared" si="12"/>
        <v/>
      </c>
    </row>
    <row r="788" spans="1:1" ht="30" customHeight="1" x14ac:dyDescent="0.2">
      <c r="A788" s="17" t="str">
        <f t="shared" si="12"/>
        <v/>
      </c>
    </row>
    <row r="789" spans="1:1" ht="30" customHeight="1" x14ac:dyDescent="0.2">
      <c r="A789" s="17" t="str">
        <f t="shared" si="12"/>
        <v/>
      </c>
    </row>
    <row r="790" spans="1:1" ht="30" customHeight="1" x14ac:dyDescent="0.2">
      <c r="A790" s="17" t="str">
        <f t="shared" si="12"/>
        <v/>
      </c>
    </row>
    <row r="791" spans="1:1" ht="30" customHeight="1" x14ac:dyDescent="0.2">
      <c r="A791" s="17" t="str">
        <f t="shared" si="12"/>
        <v/>
      </c>
    </row>
    <row r="792" spans="1:1" ht="30" customHeight="1" x14ac:dyDescent="0.2">
      <c r="A792" s="17" t="str">
        <f t="shared" si="12"/>
        <v/>
      </c>
    </row>
    <row r="793" spans="1:1" ht="30" customHeight="1" x14ac:dyDescent="0.2">
      <c r="A793" s="17" t="str">
        <f t="shared" si="12"/>
        <v/>
      </c>
    </row>
    <row r="794" spans="1:1" ht="30" customHeight="1" x14ac:dyDescent="0.2">
      <c r="A794" s="17" t="str">
        <f t="shared" si="12"/>
        <v/>
      </c>
    </row>
    <row r="795" spans="1:1" ht="30" customHeight="1" x14ac:dyDescent="0.2">
      <c r="A795" s="17" t="str">
        <f t="shared" si="12"/>
        <v/>
      </c>
    </row>
    <row r="796" spans="1:1" ht="30" customHeight="1" x14ac:dyDescent="0.2">
      <c r="A796" s="17" t="str">
        <f t="shared" si="12"/>
        <v/>
      </c>
    </row>
    <row r="797" spans="1:1" ht="30" customHeight="1" x14ac:dyDescent="0.2">
      <c r="A797" s="17" t="str">
        <f t="shared" si="12"/>
        <v/>
      </c>
    </row>
    <row r="798" spans="1:1" ht="30" customHeight="1" x14ac:dyDescent="0.2">
      <c r="A798" s="17" t="str">
        <f t="shared" si="12"/>
        <v/>
      </c>
    </row>
    <row r="799" spans="1:1" ht="30" customHeight="1" x14ac:dyDescent="0.2">
      <c r="A799" s="17" t="str">
        <f t="shared" si="12"/>
        <v/>
      </c>
    </row>
    <row r="800" spans="1:1" ht="30" customHeight="1" x14ac:dyDescent="0.2">
      <c r="A800" s="17" t="str">
        <f t="shared" si="12"/>
        <v/>
      </c>
    </row>
    <row r="801" spans="1:1" ht="30" customHeight="1" x14ac:dyDescent="0.2">
      <c r="A801" s="17" t="str">
        <f t="shared" si="12"/>
        <v/>
      </c>
    </row>
    <row r="802" spans="1:1" ht="30" customHeight="1" x14ac:dyDescent="0.2">
      <c r="A802" s="17" t="str">
        <f t="shared" si="12"/>
        <v/>
      </c>
    </row>
    <row r="803" spans="1:1" ht="30" customHeight="1" x14ac:dyDescent="0.2">
      <c r="A803" s="17" t="str">
        <f t="shared" si="12"/>
        <v/>
      </c>
    </row>
    <row r="804" spans="1:1" ht="30" customHeight="1" x14ac:dyDescent="0.2">
      <c r="A804" s="17" t="str">
        <f t="shared" si="12"/>
        <v/>
      </c>
    </row>
    <row r="805" spans="1:1" ht="30" customHeight="1" x14ac:dyDescent="0.2">
      <c r="A805" s="17" t="str">
        <f t="shared" si="12"/>
        <v/>
      </c>
    </row>
    <row r="806" spans="1:1" ht="30" customHeight="1" x14ac:dyDescent="0.2">
      <c r="A806" s="17" t="str">
        <f t="shared" si="12"/>
        <v/>
      </c>
    </row>
    <row r="807" spans="1:1" ht="30" customHeight="1" x14ac:dyDescent="0.2">
      <c r="A807" s="17" t="str">
        <f t="shared" si="12"/>
        <v/>
      </c>
    </row>
    <row r="808" spans="1:1" ht="30" customHeight="1" x14ac:dyDescent="0.2">
      <c r="A808" s="17" t="str">
        <f t="shared" si="12"/>
        <v/>
      </c>
    </row>
    <row r="809" spans="1:1" ht="30" customHeight="1" x14ac:dyDescent="0.2">
      <c r="A809" s="17" t="str">
        <f t="shared" si="12"/>
        <v/>
      </c>
    </row>
    <row r="810" spans="1:1" ht="30" customHeight="1" x14ac:dyDescent="0.2">
      <c r="A810" s="17" t="str">
        <f t="shared" si="12"/>
        <v/>
      </c>
    </row>
    <row r="811" spans="1:1" ht="30" customHeight="1" x14ac:dyDescent="0.2">
      <c r="A811" s="17" t="str">
        <f t="shared" si="12"/>
        <v/>
      </c>
    </row>
    <row r="812" spans="1:1" ht="30" customHeight="1" x14ac:dyDescent="0.2">
      <c r="A812" s="17" t="str">
        <f t="shared" si="12"/>
        <v/>
      </c>
    </row>
    <row r="813" spans="1:1" ht="30" customHeight="1" x14ac:dyDescent="0.2">
      <c r="A813" s="17" t="str">
        <f t="shared" si="12"/>
        <v/>
      </c>
    </row>
    <row r="814" spans="1:1" ht="30" customHeight="1" x14ac:dyDescent="0.2">
      <c r="A814" s="17" t="str">
        <f t="shared" si="12"/>
        <v/>
      </c>
    </row>
    <row r="815" spans="1:1" ht="30" customHeight="1" x14ac:dyDescent="0.2">
      <c r="A815" s="17" t="str">
        <f t="shared" si="12"/>
        <v/>
      </c>
    </row>
    <row r="816" spans="1:1" ht="30" customHeight="1" x14ac:dyDescent="0.2">
      <c r="A816" s="17" t="str">
        <f t="shared" si="12"/>
        <v/>
      </c>
    </row>
    <row r="817" spans="1:1" ht="30" customHeight="1" x14ac:dyDescent="0.2">
      <c r="A817" s="17" t="str">
        <f t="shared" si="12"/>
        <v/>
      </c>
    </row>
    <row r="818" spans="1:1" ht="30" customHeight="1" x14ac:dyDescent="0.2">
      <c r="A818" s="17" t="str">
        <f t="shared" si="12"/>
        <v/>
      </c>
    </row>
    <row r="819" spans="1:1" ht="30" customHeight="1" x14ac:dyDescent="0.2">
      <c r="A819" s="17" t="str">
        <f t="shared" si="12"/>
        <v/>
      </c>
    </row>
    <row r="820" spans="1:1" ht="30" customHeight="1" x14ac:dyDescent="0.2">
      <c r="A820" s="17" t="str">
        <f t="shared" si="12"/>
        <v/>
      </c>
    </row>
    <row r="821" spans="1:1" ht="30" customHeight="1" x14ac:dyDescent="0.2">
      <c r="A821" s="17" t="str">
        <f t="shared" si="12"/>
        <v/>
      </c>
    </row>
    <row r="822" spans="1:1" ht="30" customHeight="1" x14ac:dyDescent="0.2">
      <c r="A822" s="17" t="str">
        <f t="shared" si="12"/>
        <v/>
      </c>
    </row>
    <row r="823" spans="1:1" ht="30" customHeight="1" x14ac:dyDescent="0.2">
      <c r="A823" s="17" t="str">
        <f t="shared" si="12"/>
        <v/>
      </c>
    </row>
    <row r="824" spans="1:1" ht="30" customHeight="1" x14ac:dyDescent="0.2">
      <c r="A824" s="17" t="str">
        <f t="shared" si="12"/>
        <v/>
      </c>
    </row>
    <row r="825" spans="1:1" ht="30" customHeight="1" x14ac:dyDescent="0.2">
      <c r="A825" s="17" t="str">
        <f t="shared" si="12"/>
        <v/>
      </c>
    </row>
    <row r="826" spans="1:1" ht="30" customHeight="1" x14ac:dyDescent="0.2">
      <c r="A826" s="17" t="str">
        <f t="shared" si="12"/>
        <v/>
      </c>
    </row>
    <row r="827" spans="1:1" ht="30" customHeight="1" x14ac:dyDescent="0.2">
      <c r="A827" s="17" t="str">
        <f t="shared" si="12"/>
        <v/>
      </c>
    </row>
    <row r="828" spans="1:1" ht="30" customHeight="1" x14ac:dyDescent="0.2">
      <c r="A828" s="17" t="str">
        <f t="shared" si="12"/>
        <v/>
      </c>
    </row>
    <row r="829" spans="1:1" ht="30" customHeight="1" x14ac:dyDescent="0.2">
      <c r="A829" s="17" t="str">
        <f t="shared" si="12"/>
        <v/>
      </c>
    </row>
    <row r="830" spans="1:1" ht="30" customHeight="1" x14ac:dyDescent="0.2">
      <c r="A830" s="17" t="str">
        <f t="shared" si="12"/>
        <v/>
      </c>
    </row>
    <row r="831" spans="1:1" ht="30" customHeight="1" x14ac:dyDescent="0.2">
      <c r="A831" s="17" t="str">
        <f t="shared" si="12"/>
        <v/>
      </c>
    </row>
    <row r="832" spans="1:1" ht="30" customHeight="1" x14ac:dyDescent="0.2">
      <c r="A832" s="17" t="str">
        <f t="shared" si="12"/>
        <v/>
      </c>
    </row>
    <row r="833" spans="1:1" ht="30" customHeight="1" x14ac:dyDescent="0.2">
      <c r="A833" s="17" t="str">
        <f t="shared" si="12"/>
        <v/>
      </c>
    </row>
    <row r="834" spans="1:1" ht="30" customHeight="1" x14ac:dyDescent="0.2">
      <c r="A834" s="17" t="str">
        <f t="shared" si="12"/>
        <v/>
      </c>
    </row>
    <row r="835" spans="1:1" ht="30" customHeight="1" x14ac:dyDescent="0.2">
      <c r="A835" s="17" t="str">
        <f t="shared" si="12"/>
        <v/>
      </c>
    </row>
    <row r="836" spans="1:1" ht="30" customHeight="1" x14ac:dyDescent="0.2">
      <c r="A836" s="17" t="str">
        <f t="shared" ref="A836:A899" si="13">IF(AND(B835&lt;&gt;"",B836=""),$A$2&amp;"---&gt;","")</f>
        <v/>
      </c>
    </row>
    <row r="837" spans="1:1" ht="30" customHeight="1" x14ac:dyDescent="0.2">
      <c r="A837" s="17" t="str">
        <f t="shared" si="13"/>
        <v/>
      </c>
    </row>
    <row r="838" spans="1:1" ht="30" customHeight="1" x14ac:dyDescent="0.2">
      <c r="A838" s="17" t="str">
        <f t="shared" si="13"/>
        <v/>
      </c>
    </row>
    <row r="839" spans="1:1" ht="30" customHeight="1" x14ac:dyDescent="0.2">
      <c r="A839" s="17" t="str">
        <f t="shared" si="13"/>
        <v/>
      </c>
    </row>
    <row r="840" spans="1:1" ht="30" customHeight="1" x14ac:dyDescent="0.2">
      <c r="A840" s="17" t="str">
        <f t="shared" si="13"/>
        <v/>
      </c>
    </row>
    <row r="841" spans="1:1" ht="30" customHeight="1" x14ac:dyDescent="0.2">
      <c r="A841" s="17" t="str">
        <f t="shared" si="13"/>
        <v/>
      </c>
    </row>
    <row r="842" spans="1:1" ht="30" customHeight="1" x14ac:dyDescent="0.2">
      <c r="A842" s="17" t="str">
        <f t="shared" si="13"/>
        <v/>
      </c>
    </row>
    <row r="843" spans="1:1" ht="30" customHeight="1" x14ac:dyDescent="0.2">
      <c r="A843" s="17" t="str">
        <f t="shared" si="13"/>
        <v/>
      </c>
    </row>
    <row r="844" spans="1:1" ht="30" customHeight="1" x14ac:dyDescent="0.2">
      <c r="A844" s="17" t="str">
        <f t="shared" si="13"/>
        <v/>
      </c>
    </row>
    <row r="845" spans="1:1" ht="30" customHeight="1" x14ac:dyDescent="0.2">
      <c r="A845" s="17" t="str">
        <f t="shared" si="13"/>
        <v/>
      </c>
    </row>
    <row r="846" spans="1:1" ht="30" customHeight="1" x14ac:dyDescent="0.2">
      <c r="A846" s="17" t="str">
        <f t="shared" si="13"/>
        <v/>
      </c>
    </row>
    <row r="847" spans="1:1" ht="30" customHeight="1" x14ac:dyDescent="0.2">
      <c r="A847" s="17" t="str">
        <f t="shared" si="13"/>
        <v/>
      </c>
    </row>
    <row r="848" spans="1:1" ht="30" customHeight="1" x14ac:dyDescent="0.2">
      <c r="A848" s="17" t="str">
        <f t="shared" si="13"/>
        <v/>
      </c>
    </row>
    <row r="849" spans="1:1" ht="30" customHeight="1" x14ac:dyDescent="0.2">
      <c r="A849" s="17" t="str">
        <f t="shared" si="13"/>
        <v/>
      </c>
    </row>
    <row r="850" spans="1:1" ht="30" customHeight="1" x14ac:dyDescent="0.2">
      <c r="A850" s="17" t="str">
        <f t="shared" si="13"/>
        <v/>
      </c>
    </row>
    <row r="851" spans="1:1" ht="30" customHeight="1" x14ac:dyDescent="0.2">
      <c r="A851" s="17" t="str">
        <f t="shared" si="13"/>
        <v/>
      </c>
    </row>
    <row r="852" spans="1:1" ht="30" customHeight="1" x14ac:dyDescent="0.2">
      <c r="A852" s="17" t="str">
        <f t="shared" si="13"/>
        <v/>
      </c>
    </row>
    <row r="853" spans="1:1" ht="30" customHeight="1" x14ac:dyDescent="0.2">
      <c r="A853" s="17" t="str">
        <f t="shared" si="13"/>
        <v/>
      </c>
    </row>
    <row r="854" spans="1:1" ht="30" customHeight="1" x14ac:dyDescent="0.2">
      <c r="A854" s="17" t="str">
        <f t="shared" si="13"/>
        <v/>
      </c>
    </row>
    <row r="855" spans="1:1" ht="30" customHeight="1" x14ac:dyDescent="0.2">
      <c r="A855" s="17" t="str">
        <f t="shared" si="13"/>
        <v/>
      </c>
    </row>
    <row r="856" spans="1:1" ht="30" customHeight="1" x14ac:dyDescent="0.2">
      <c r="A856" s="17" t="str">
        <f t="shared" si="13"/>
        <v/>
      </c>
    </row>
    <row r="857" spans="1:1" ht="30" customHeight="1" x14ac:dyDescent="0.2">
      <c r="A857" s="17" t="str">
        <f t="shared" si="13"/>
        <v/>
      </c>
    </row>
    <row r="858" spans="1:1" ht="30" customHeight="1" x14ac:dyDescent="0.2">
      <c r="A858" s="17" t="str">
        <f t="shared" si="13"/>
        <v/>
      </c>
    </row>
    <row r="859" spans="1:1" ht="30" customHeight="1" x14ac:dyDescent="0.2">
      <c r="A859" s="17" t="str">
        <f t="shared" si="13"/>
        <v/>
      </c>
    </row>
    <row r="860" spans="1:1" ht="30" customHeight="1" x14ac:dyDescent="0.2">
      <c r="A860" s="17" t="str">
        <f t="shared" si="13"/>
        <v/>
      </c>
    </row>
    <row r="861" spans="1:1" ht="30" customHeight="1" x14ac:dyDescent="0.2">
      <c r="A861" s="17" t="str">
        <f t="shared" si="13"/>
        <v/>
      </c>
    </row>
    <row r="862" spans="1:1" ht="30" customHeight="1" x14ac:dyDescent="0.2">
      <c r="A862" s="17" t="str">
        <f t="shared" si="13"/>
        <v/>
      </c>
    </row>
    <row r="863" spans="1:1" ht="30" customHeight="1" x14ac:dyDescent="0.2">
      <c r="A863" s="17" t="str">
        <f t="shared" si="13"/>
        <v/>
      </c>
    </row>
    <row r="864" spans="1:1" ht="30" customHeight="1" x14ac:dyDescent="0.2">
      <c r="A864" s="17" t="str">
        <f t="shared" si="13"/>
        <v/>
      </c>
    </row>
    <row r="865" spans="1:1" ht="30" customHeight="1" x14ac:dyDescent="0.2">
      <c r="A865" s="17" t="str">
        <f t="shared" si="13"/>
        <v/>
      </c>
    </row>
    <row r="866" spans="1:1" ht="30" customHeight="1" x14ac:dyDescent="0.2">
      <c r="A866" s="17" t="str">
        <f t="shared" si="13"/>
        <v/>
      </c>
    </row>
    <row r="867" spans="1:1" ht="30" customHeight="1" x14ac:dyDescent="0.2">
      <c r="A867" s="17" t="str">
        <f t="shared" si="13"/>
        <v/>
      </c>
    </row>
    <row r="868" spans="1:1" ht="30" customHeight="1" x14ac:dyDescent="0.2">
      <c r="A868" s="17" t="str">
        <f t="shared" si="13"/>
        <v/>
      </c>
    </row>
    <row r="869" spans="1:1" ht="30" customHeight="1" x14ac:dyDescent="0.2">
      <c r="A869" s="17" t="str">
        <f t="shared" si="13"/>
        <v/>
      </c>
    </row>
    <row r="870" spans="1:1" ht="30" customHeight="1" x14ac:dyDescent="0.2">
      <c r="A870" s="17" t="str">
        <f t="shared" si="13"/>
        <v/>
      </c>
    </row>
    <row r="871" spans="1:1" ht="30" customHeight="1" x14ac:dyDescent="0.2">
      <c r="A871" s="17" t="str">
        <f t="shared" si="13"/>
        <v/>
      </c>
    </row>
    <row r="872" spans="1:1" ht="30" customHeight="1" x14ac:dyDescent="0.2">
      <c r="A872" s="17" t="str">
        <f t="shared" si="13"/>
        <v/>
      </c>
    </row>
    <row r="873" spans="1:1" ht="30" customHeight="1" x14ac:dyDescent="0.2">
      <c r="A873" s="17" t="str">
        <f t="shared" si="13"/>
        <v/>
      </c>
    </row>
    <row r="874" spans="1:1" ht="30" customHeight="1" x14ac:dyDescent="0.2">
      <c r="A874" s="17" t="str">
        <f t="shared" si="13"/>
        <v/>
      </c>
    </row>
    <row r="875" spans="1:1" ht="30" customHeight="1" x14ac:dyDescent="0.2">
      <c r="A875" s="17" t="str">
        <f t="shared" si="13"/>
        <v/>
      </c>
    </row>
    <row r="876" spans="1:1" ht="30" customHeight="1" x14ac:dyDescent="0.2">
      <c r="A876" s="17" t="str">
        <f t="shared" si="13"/>
        <v/>
      </c>
    </row>
    <row r="877" spans="1:1" ht="30" customHeight="1" x14ac:dyDescent="0.2">
      <c r="A877" s="17" t="str">
        <f t="shared" si="13"/>
        <v/>
      </c>
    </row>
    <row r="878" spans="1:1" ht="30" customHeight="1" x14ac:dyDescent="0.2">
      <c r="A878" s="17" t="str">
        <f t="shared" si="13"/>
        <v/>
      </c>
    </row>
    <row r="879" spans="1:1" ht="30" customHeight="1" x14ac:dyDescent="0.2">
      <c r="A879" s="17" t="str">
        <f t="shared" si="13"/>
        <v/>
      </c>
    </row>
    <row r="880" spans="1:1" ht="30" customHeight="1" x14ac:dyDescent="0.2">
      <c r="A880" s="17" t="str">
        <f t="shared" si="13"/>
        <v/>
      </c>
    </row>
    <row r="881" spans="1:1" ht="30" customHeight="1" x14ac:dyDescent="0.2">
      <c r="A881" s="17" t="str">
        <f t="shared" si="13"/>
        <v/>
      </c>
    </row>
    <row r="882" spans="1:1" ht="30" customHeight="1" x14ac:dyDescent="0.2">
      <c r="A882" s="17" t="str">
        <f t="shared" si="13"/>
        <v/>
      </c>
    </row>
    <row r="883" spans="1:1" ht="30" customHeight="1" x14ac:dyDescent="0.2">
      <c r="A883" s="17" t="str">
        <f t="shared" si="13"/>
        <v/>
      </c>
    </row>
    <row r="884" spans="1:1" ht="30" customHeight="1" x14ac:dyDescent="0.2">
      <c r="A884" s="17" t="str">
        <f t="shared" si="13"/>
        <v/>
      </c>
    </row>
    <row r="885" spans="1:1" ht="30" customHeight="1" x14ac:dyDescent="0.2">
      <c r="A885" s="17" t="str">
        <f t="shared" si="13"/>
        <v/>
      </c>
    </row>
    <row r="886" spans="1:1" ht="30" customHeight="1" x14ac:dyDescent="0.2">
      <c r="A886" s="17" t="str">
        <f t="shared" si="13"/>
        <v/>
      </c>
    </row>
    <row r="887" spans="1:1" ht="30" customHeight="1" x14ac:dyDescent="0.2">
      <c r="A887" s="17" t="str">
        <f t="shared" si="13"/>
        <v/>
      </c>
    </row>
    <row r="888" spans="1:1" ht="30" customHeight="1" x14ac:dyDescent="0.2">
      <c r="A888" s="17" t="str">
        <f t="shared" si="13"/>
        <v/>
      </c>
    </row>
    <row r="889" spans="1:1" ht="30" customHeight="1" x14ac:dyDescent="0.2">
      <c r="A889" s="17" t="str">
        <f t="shared" si="13"/>
        <v/>
      </c>
    </row>
    <row r="890" spans="1:1" ht="30" customHeight="1" x14ac:dyDescent="0.2">
      <c r="A890" s="17" t="str">
        <f t="shared" si="13"/>
        <v/>
      </c>
    </row>
    <row r="891" spans="1:1" ht="30" customHeight="1" x14ac:dyDescent="0.2">
      <c r="A891" s="17" t="str">
        <f t="shared" si="13"/>
        <v/>
      </c>
    </row>
    <row r="892" spans="1:1" ht="30" customHeight="1" x14ac:dyDescent="0.2">
      <c r="A892" s="17" t="str">
        <f t="shared" si="13"/>
        <v/>
      </c>
    </row>
    <row r="893" spans="1:1" ht="30" customHeight="1" x14ac:dyDescent="0.2">
      <c r="A893" s="17" t="str">
        <f t="shared" si="13"/>
        <v/>
      </c>
    </row>
    <row r="894" spans="1:1" ht="30" customHeight="1" x14ac:dyDescent="0.2">
      <c r="A894" s="17" t="str">
        <f t="shared" si="13"/>
        <v/>
      </c>
    </row>
    <row r="895" spans="1:1" ht="30" customHeight="1" x14ac:dyDescent="0.2">
      <c r="A895" s="17" t="str">
        <f t="shared" si="13"/>
        <v/>
      </c>
    </row>
    <row r="896" spans="1:1" ht="30" customHeight="1" x14ac:dyDescent="0.2">
      <c r="A896" s="17" t="str">
        <f t="shared" si="13"/>
        <v/>
      </c>
    </row>
    <row r="897" spans="1:1" ht="30" customHeight="1" x14ac:dyDescent="0.2">
      <c r="A897" s="17" t="str">
        <f t="shared" si="13"/>
        <v/>
      </c>
    </row>
    <row r="898" spans="1:1" ht="30" customHeight="1" x14ac:dyDescent="0.2">
      <c r="A898" s="17" t="str">
        <f t="shared" si="13"/>
        <v/>
      </c>
    </row>
    <row r="899" spans="1:1" ht="30" customHeight="1" x14ac:dyDescent="0.2">
      <c r="A899" s="17" t="str">
        <f t="shared" si="13"/>
        <v/>
      </c>
    </row>
    <row r="900" spans="1:1" ht="30" customHeight="1" x14ac:dyDescent="0.2">
      <c r="A900" s="17" t="str">
        <f t="shared" ref="A900:A963" si="14">IF(AND(B899&lt;&gt;"",B900=""),$A$2&amp;"---&gt;","")</f>
        <v/>
      </c>
    </row>
    <row r="901" spans="1:1" ht="30" customHeight="1" x14ac:dyDescent="0.2">
      <c r="A901" s="17" t="str">
        <f t="shared" si="14"/>
        <v/>
      </c>
    </row>
    <row r="902" spans="1:1" ht="30" customHeight="1" x14ac:dyDescent="0.2">
      <c r="A902" s="17" t="str">
        <f t="shared" si="14"/>
        <v/>
      </c>
    </row>
    <row r="903" spans="1:1" ht="30" customHeight="1" x14ac:dyDescent="0.2">
      <c r="A903" s="17" t="str">
        <f t="shared" si="14"/>
        <v/>
      </c>
    </row>
    <row r="904" spans="1:1" ht="30" customHeight="1" x14ac:dyDescent="0.2">
      <c r="A904" s="17" t="str">
        <f t="shared" si="14"/>
        <v/>
      </c>
    </row>
    <row r="905" spans="1:1" ht="30" customHeight="1" x14ac:dyDescent="0.2">
      <c r="A905" s="17" t="str">
        <f t="shared" si="14"/>
        <v/>
      </c>
    </row>
    <row r="906" spans="1:1" ht="30" customHeight="1" x14ac:dyDescent="0.2">
      <c r="A906" s="17" t="str">
        <f t="shared" si="14"/>
        <v/>
      </c>
    </row>
    <row r="907" spans="1:1" ht="30" customHeight="1" x14ac:dyDescent="0.2">
      <c r="A907" s="17" t="str">
        <f t="shared" si="14"/>
        <v/>
      </c>
    </row>
    <row r="908" spans="1:1" ht="30" customHeight="1" x14ac:dyDescent="0.2">
      <c r="A908" s="17" t="str">
        <f t="shared" si="14"/>
        <v/>
      </c>
    </row>
    <row r="909" spans="1:1" ht="30" customHeight="1" x14ac:dyDescent="0.2">
      <c r="A909" s="17" t="str">
        <f t="shared" si="14"/>
        <v/>
      </c>
    </row>
    <row r="910" spans="1:1" ht="30" customHeight="1" x14ac:dyDescent="0.2">
      <c r="A910" s="17" t="str">
        <f t="shared" si="14"/>
        <v/>
      </c>
    </row>
    <row r="911" spans="1:1" ht="30" customHeight="1" x14ac:dyDescent="0.2">
      <c r="A911" s="17" t="str">
        <f t="shared" si="14"/>
        <v/>
      </c>
    </row>
    <row r="912" spans="1:1" ht="30" customHeight="1" x14ac:dyDescent="0.2">
      <c r="A912" s="17" t="str">
        <f t="shared" si="14"/>
        <v/>
      </c>
    </row>
    <row r="913" spans="1:1" ht="30" customHeight="1" x14ac:dyDescent="0.2">
      <c r="A913" s="17" t="str">
        <f t="shared" si="14"/>
        <v/>
      </c>
    </row>
    <row r="914" spans="1:1" ht="30" customHeight="1" x14ac:dyDescent="0.2">
      <c r="A914" s="17" t="str">
        <f t="shared" si="14"/>
        <v/>
      </c>
    </row>
    <row r="915" spans="1:1" ht="30" customHeight="1" x14ac:dyDescent="0.2">
      <c r="A915" s="17" t="str">
        <f t="shared" si="14"/>
        <v/>
      </c>
    </row>
    <row r="916" spans="1:1" ht="30" customHeight="1" x14ac:dyDescent="0.2">
      <c r="A916" s="17" t="str">
        <f t="shared" si="14"/>
        <v/>
      </c>
    </row>
    <row r="917" spans="1:1" ht="30" customHeight="1" x14ac:dyDescent="0.2">
      <c r="A917" s="17" t="str">
        <f t="shared" si="14"/>
        <v/>
      </c>
    </row>
    <row r="918" spans="1:1" ht="30" customHeight="1" x14ac:dyDescent="0.2">
      <c r="A918" s="17" t="str">
        <f t="shared" si="14"/>
        <v/>
      </c>
    </row>
    <row r="919" spans="1:1" ht="30" customHeight="1" x14ac:dyDescent="0.2">
      <c r="A919" s="17" t="str">
        <f t="shared" si="14"/>
        <v/>
      </c>
    </row>
    <row r="920" spans="1:1" ht="30" customHeight="1" x14ac:dyDescent="0.2">
      <c r="A920" s="17" t="str">
        <f t="shared" si="14"/>
        <v/>
      </c>
    </row>
    <row r="921" spans="1:1" ht="30" customHeight="1" x14ac:dyDescent="0.2">
      <c r="A921" s="17" t="str">
        <f t="shared" si="14"/>
        <v/>
      </c>
    </row>
    <row r="922" spans="1:1" ht="30" customHeight="1" x14ac:dyDescent="0.2">
      <c r="A922" s="17" t="str">
        <f t="shared" si="14"/>
        <v/>
      </c>
    </row>
    <row r="923" spans="1:1" ht="30" customHeight="1" x14ac:dyDescent="0.2">
      <c r="A923" s="17" t="str">
        <f t="shared" si="14"/>
        <v/>
      </c>
    </row>
    <row r="924" spans="1:1" ht="30" customHeight="1" x14ac:dyDescent="0.2">
      <c r="A924" s="17" t="str">
        <f t="shared" si="14"/>
        <v/>
      </c>
    </row>
    <row r="925" spans="1:1" ht="30" customHeight="1" x14ac:dyDescent="0.2">
      <c r="A925" s="17" t="str">
        <f t="shared" si="14"/>
        <v/>
      </c>
    </row>
    <row r="926" spans="1:1" ht="30" customHeight="1" x14ac:dyDescent="0.2">
      <c r="A926" s="17" t="str">
        <f t="shared" si="14"/>
        <v/>
      </c>
    </row>
    <row r="927" spans="1:1" ht="30" customHeight="1" x14ac:dyDescent="0.2">
      <c r="A927" s="17" t="str">
        <f t="shared" si="14"/>
        <v/>
      </c>
    </row>
    <row r="928" spans="1:1" ht="30" customHeight="1" x14ac:dyDescent="0.2">
      <c r="A928" s="17" t="str">
        <f t="shared" si="14"/>
        <v/>
      </c>
    </row>
    <row r="929" spans="1:1" ht="30" customHeight="1" x14ac:dyDescent="0.2">
      <c r="A929" s="17" t="str">
        <f t="shared" si="14"/>
        <v/>
      </c>
    </row>
    <row r="930" spans="1:1" ht="30" customHeight="1" x14ac:dyDescent="0.2">
      <c r="A930" s="17" t="str">
        <f t="shared" si="14"/>
        <v/>
      </c>
    </row>
    <row r="931" spans="1:1" ht="30" customHeight="1" x14ac:dyDescent="0.2">
      <c r="A931" s="17" t="str">
        <f t="shared" si="14"/>
        <v/>
      </c>
    </row>
    <row r="932" spans="1:1" ht="30" customHeight="1" x14ac:dyDescent="0.2">
      <c r="A932" s="17" t="str">
        <f t="shared" si="14"/>
        <v/>
      </c>
    </row>
    <row r="933" spans="1:1" ht="30" customHeight="1" x14ac:dyDescent="0.2">
      <c r="A933" s="17" t="str">
        <f t="shared" si="14"/>
        <v/>
      </c>
    </row>
    <row r="934" spans="1:1" ht="30" customHeight="1" x14ac:dyDescent="0.2">
      <c r="A934" s="17" t="str">
        <f t="shared" si="14"/>
        <v/>
      </c>
    </row>
    <row r="935" spans="1:1" ht="30" customHeight="1" x14ac:dyDescent="0.2">
      <c r="A935" s="17" t="str">
        <f t="shared" si="14"/>
        <v/>
      </c>
    </row>
    <row r="936" spans="1:1" ht="30" customHeight="1" x14ac:dyDescent="0.2">
      <c r="A936" s="17" t="str">
        <f t="shared" si="14"/>
        <v/>
      </c>
    </row>
    <row r="937" spans="1:1" ht="30" customHeight="1" x14ac:dyDescent="0.2">
      <c r="A937" s="17" t="str">
        <f t="shared" si="14"/>
        <v/>
      </c>
    </row>
    <row r="938" spans="1:1" ht="30" customHeight="1" x14ac:dyDescent="0.2">
      <c r="A938" s="17" t="str">
        <f t="shared" si="14"/>
        <v/>
      </c>
    </row>
    <row r="939" spans="1:1" ht="30" customHeight="1" x14ac:dyDescent="0.2">
      <c r="A939" s="17" t="str">
        <f t="shared" si="14"/>
        <v/>
      </c>
    </row>
    <row r="940" spans="1:1" ht="30" customHeight="1" x14ac:dyDescent="0.2">
      <c r="A940" s="17" t="str">
        <f t="shared" si="14"/>
        <v/>
      </c>
    </row>
    <row r="941" spans="1:1" ht="30" customHeight="1" x14ac:dyDescent="0.2">
      <c r="A941" s="17" t="str">
        <f t="shared" si="14"/>
        <v/>
      </c>
    </row>
    <row r="942" spans="1:1" ht="30" customHeight="1" x14ac:dyDescent="0.2">
      <c r="A942" s="17" t="str">
        <f t="shared" si="14"/>
        <v/>
      </c>
    </row>
    <row r="943" spans="1:1" ht="30" customHeight="1" x14ac:dyDescent="0.2">
      <c r="A943" s="17" t="str">
        <f t="shared" si="14"/>
        <v/>
      </c>
    </row>
    <row r="944" spans="1:1" ht="30" customHeight="1" x14ac:dyDescent="0.2">
      <c r="A944" s="17" t="str">
        <f t="shared" si="14"/>
        <v/>
      </c>
    </row>
    <row r="945" spans="1:1" ht="30" customHeight="1" x14ac:dyDescent="0.2">
      <c r="A945" s="17" t="str">
        <f t="shared" si="14"/>
        <v/>
      </c>
    </row>
    <row r="946" spans="1:1" ht="30" customHeight="1" x14ac:dyDescent="0.2">
      <c r="A946" s="17" t="str">
        <f t="shared" si="14"/>
        <v/>
      </c>
    </row>
    <row r="947" spans="1:1" ht="30" customHeight="1" x14ac:dyDescent="0.2">
      <c r="A947" s="17" t="str">
        <f t="shared" si="14"/>
        <v/>
      </c>
    </row>
    <row r="948" spans="1:1" ht="30" customHeight="1" x14ac:dyDescent="0.2">
      <c r="A948" s="17" t="str">
        <f t="shared" si="14"/>
        <v/>
      </c>
    </row>
    <row r="949" spans="1:1" ht="30" customHeight="1" x14ac:dyDescent="0.2">
      <c r="A949" s="17" t="str">
        <f t="shared" si="14"/>
        <v/>
      </c>
    </row>
    <row r="950" spans="1:1" ht="30" customHeight="1" x14ac:dyDescent="0.2">
      <c r="A950" s="17" t="str">
        <f t="shared" si="14"/>
        <v/>
      </c>
    </row>
    <row r="951" spans="1:1" ht="30" customHeight="1" x14ac:dyDescent="0.2">
      <c r="A951" s="17" t="str">
        <f t="shared" si="14"/>
        <v/>
      </c>
    </row>
    <row r="952" spans="1:1" ht="30" customHeight="1" x14ac:dyDescent="0.2">
      <c r="A952" s="17" t="str">
        <f t="shared" si="14"/>
        <v/>
      </c>
    </row>
    <row r="953" spans="1:1" ht="30" customHeight="1" x14ac:dyDescent="0.2">
      <c r="A953" s="17" t="str">
        <f t="shared" si="14"/>
        <v/>
      </c>
    </row>
    <row r="954" spans="1:1" ht="30" customHeight="1" x14ac:dyDescent="0.2">
      <c r="A954" s="17" t="str">
        <f t="shared" si="14"/>
        <v/>
      </c>
    </row>
    <row r="955" spans="1:1" ht="30" customHeight="1" x14ac:dyDescent="0.2">
      <c r="A955" s="17" t="str">
        <f t="shared" si="14"/>
        <v/>
      </c>
    </row>
    <row r="956" spans="1:1" ht="30" customHeight="1" x14ac:dyDescent="0.2">
      <c r="A956" s="17" t="str">
        <f t="shared" si="14"/>
        <v/>
      </c>
    </row>
    <row r="957" spans="1:1" ht="30" customHeight="1" x14ac:dyDescent="0.2">
      <c r="A957" s="17" t="str">
        <f t="shared" si="14"/>
        <v/>
      </c>
    </row>
    <row r="958" spans="1:1" ht="30" customHeight="1" x14ac:dyDescent="0.2">
      <c r="A958" s="17" t="str">
        <f t="shared" si="14"/>
        <v/>
      </c>
    </row>
    <row r="959" spans="1:1" ht="30" customHeight="1" x14ac:dyDescent="0.2">
      <c r="A959" s="17" t="str">
        <f t="shared" si="14"/>
        <v/>
      </c>
    </row>
    <row r="960" spans="1:1" ht="30" customHeight="1" x14ac:dyDescent="0.2">
      <c r="A960" s="17" t="str">
        <f t="shared" si="14"/>
        <v/>
      </c>
    </row>
    <row r="961" spans="1:1" ht="30" customHeight="1" x14ac:dyDescent="0.2">
      <c r="A961" s="17" t="str">
        <f t="shared" si="14"/>
        <v/>
      </c>
    </row>
    <row r="962" spans="1:1" ht="30" customHeight="1" x14ac:dyDescent="0.2">
      <c r="A962" s="17" t="str">
        <f t="shared" si="14"/>
        <v/>
      </c>
    </row>
    <row r="963" spans="1:1" ht="30" customHeight="1" x14ac:dyDescent="0.2">
      <c r="A963" s="17" t="str">
        <f t="shared" si="14"/>
        <v/>
      </c>
    </row>
    <row r="964" spans="1:1" ht="30" customHeight="1" x14ac:dyDescent="0.2">
      <c r="A964" s="17" t="str">
        <f t="shared" ref="A964:A1027" si="15">IF(AND(B963&lt;&gt;"",B964=""),$A$2&amp;"---&gt;","")</f>
        <v/>
      </c>
    </row>
    <row r="965" spans="1:1" ht="30" customHeight="1" x14ac:dyDescent="0.2">
      <c r="A965" s="17" t="str">
        <f t="shared" si="15"/>
        <v/>
      </c>
    </row>
    <row r="966" spans="1:1" ht="30" customHeight="1" x14ac:dyDescent="0.2">
      <c r="A966" s="17" t="str">
        <f t="shared" si="15"/>
        <v/>
      </c>
    </row>
    <row r="967" spans="1:1" ht="30" customHeight="1" x14ac:dyDescent="0.2">
      <c r="A967" s="17" t="str">
        <f t="shared" si="15"/>
        <v/>
      </c>
    </row>
    <row r="968" spans="1:1" ht="30" customHeight="1" x14ac:dyDescent="0.2">
      <c r="A968" s="17" t="str">
        <f t="shared" si="15"/>
        <v/>
      </c>
    </row>
    <row r="969" spans="1:1" ht="30" customHeight="1" x14ac:dyDescent="0.2">
      <c r="A969" s="17" t="str">
        <f t="shared" si="15"/>
        <v/>
      </c>
    </row>
    <row r="970" spans="1:1" ht="30" customHeight="1" x14ac:dyDescent="0.2">
      <c r="A970" s="17" t="str">
        <f t="shared" si="15"/>
        <v/>
      </c>
    </row>
    <row r="971" spans="1:1" ht="30" customHeight="1" x14ac:dyDescent="0.2">
      <c r="A971" s="17" t="str">
        <f t="shared" si="15"/>
        <v/>
      </c>
    </row>
    <row r="972" spans="1:1" ht="30" customHeight="1" x14ac:dyDescent="0.2">
      <c r="A972" s="17" t="str">
        <f t="shared" si="15"/>
        <v/>
      </c>
    </row>
    <row r="973" spans="1:1" ht="30" customHeight="1" x14ac:dyDescent="0.2">
      <c r="A973" s="17" t="str">
        <f t="shared" si="15"/>
        <v/>
      </c>
    </row>
    <row r="974" spans="1:1" ht="30" customHeight="1" x14ac:dyDescent="0.2">
      <c r="A974" s="17" t="str">
        <f t="shared" si="15"/>
        <v/>
      </c>
    </row>
    <row r="975" spans="1:1" ht="30" customHeight="1" x14ac:dyDescent="0.2">
      <c r="A975" s="17" t="str">
        <f t="shared" si="15"/>
        <v/>
      </c>
    </row>
    <row r="976" spans="1:1" ht="30" customHeight="1" x14ac:dyDescent="0.2">
      <c r="A976" s="17" t="str">
        <f t="shared" si="15"/>
        <v/>
      </c>
    </row>
    <row r="977" spans="1:1" ht="30" customHeight="1" x14ac:dyDescent="0.2">
      <c r="A977" s="17" t="str">
        <f t="shared" si="15"/>
        <v/>
      </c>
    </row>
    <row r="978" spans="1:1" ht="30" customHeight="1" x14ac:dyDescent="0.2">
      <c r="A978" s="17" t="str">
        <f t="shared" si="15"/>
        <v/>
      </c>
    </row>
    <row r="979" spans="1:1" ht="30" customHeight="1" x14ac:dyDescent="0.2">
      <c r="A979" s="17" t="str">
        <f t="shared" si="15"/>
        <v/>
      </c>
    </row>
    <row r="980" spans="1:1" ht="30" customHeight="1" x14ac:dyDescent="0.2">
      <c r="A980" s="17" t="str">
        <f t="shared" si="15"/>
        <v/>
      </c>
    </row>
    <row r="981" spans="1:1" ht="30" customHeight="1" x14ac:dyDescent="0.2">
      <c r="A981" s="17" t="str">
        <f t="shared" si="15"/>
        <v/>
      </c>
    </row>
    <row r="982" spans="1:1" ht="30" customHeight="1" x14ac:dyDescent="0.2">
      <c r="A982" s="17" t="str">
        <f t="shared" si="15"/>
        <v/>
      </c>
    </row>
    <row r="983" spans="1:1" ht="30" customHeight="1" x14ac:dyDescent="0.2">
      <c r="A983" s="17" t="str">
        <f t="shared" si="15"/>
        <v/>
      </c>
    </row>
    <row r="984" spans="1:1" ht="30" customHeight="1" x14ac:dyDescent="0.2">
      <c r="A984" s="17" t="str">
        <f t="shared" si="15"/>
        <v/>
      </c>
    </row>
    <row r="985" spans="1:1" ht="30" customHeight="1" x14ac:dyDescent="0.2">
      <c r="A985" s="17" t="str">
        <f t="shared" si="15"/>
        <v/>
      </c>
    </row>
    <row r="986" spans="1:1" ht="30" customHeight="1" x14ac:dyDescent="0.2">
      <c r="A986" s="17" t="str">
        <f t="shared" si="15"/>
        <v/>
      </c>
    </row>
    <row r="987" spans="1:1" ht="30" customHeight="1" x14ac:dyDescent="0.2">
      <c r="A987" s="17" t="str">
        <f t="shared" si="15"/>
        <v/>
      </c>
    </row>
    <row r="988" spans="1:1" ht="30" customHeight="1" x14ac:dyDescent="0.2">
      <c r="A988" s="17" t="str">
        <f t="shared" si="15"/>
        <v/>
      </c>
    </row>
    <row r="989" spans="1:1" ht="30" customHeight="1" x14ac:dyDescent="0.2">
      <c r="A989" s="17" t="str">
        <f t="shared" si="15"/>
        <v/>
      </c>
    </row>
    <row r="990" spans="1:1" ht="30" customHeight="1" x14ac:dyDescent="0.2">
      <c r="A990" s="17" t="str">
        <f t="shared" si="15"/>
        <v/>
      </c>
    </row>
    <row r="991" spans="1:1" ht="30" customHeight="1" x14ac:dyDescent="0.2">
      <c r="A991" s="17" t="str">
        <f t="shared" si="15"/>
        <v/>
      </c>
    </row>
    <row r="992" spans="1:1" ht="30" customHeight="1" x14ac:dyDescent="0.2">
      <c r="A992" s="17" t="str">
        <f t="shared" si="15"/>
        <v/>
      </c>
    </row>
    <row r="993" spans="1:1" ht="30" customHeight="1" x14ac:dyDescent="0.2">
      <c r="A993" s="17" t="str">
        <f t="shared" si="15"/>
        <v/>
      </c>
    </row>
    <row r="994" spans="1:1" ht="30" customHeight="1" x14ac:dyDescent="0.2">
      <c r="A994" s="17" t="str">
        <f t="shared" si="15"/>
        <v/>
      </c>
    </row>
    <row r="995" spans="1:1" ht="30" customHeight="1" x14ac:dyDescent="0.2">
      <c r="A995" s="17" t="str">
        <f t="shared" si="15"/>
        <v/>
      </c>
    </row>
    <row r="996" spans="1:1" ht="30" customHeight="1" x14ac:dyDescent="0.2">
      <c r="A996" s="17" t="str">
        <f t="shared" si="15"/>
        <v/>
      </c>
    </row>
    <row r="997" spans="1:1" ht="30" customHeight="1" x14ac:dyDescent="0.2">
      <c r="A997" s="17" t="str">
        <f t="shared" si="15"/>
        <v/>
      </c>
    </row>
    <row r="998" spans="1:1" ht="30" customHeight="1" x14ac:dyDescent="0.2">
      <c r="A998" s="17" t="str">
        <f t="shared" si="15"/>
        <v/>
      </c>
    </row>
    <row r="999" spans="1:1" ht="30" customHeight="1" x14ac:dyDescent="0.2">
      <c r="A999" s="17" t="str">
        <f t="shared" si="15"/>
        <v/>
      </c>
    </row>
    <row r="1000" spans="1:1" ht="30" customHeight="1" x14ac:dyDescent="0.2">
      <c r="A1000" s="17" t="str">
        <f t="shared" si="15"/>
        <v/>
      </c>
    </row>
    <row r="1001" spans="1:1" ht="30" customHeight="1" x14ac:dyDescent="0.2">
      <c r="A1001" s="17" t="str">
        <f t="shared" si="15"/>
        <v/>
      </c>
    </row>
    <row r="1002" spans="1:1" ht="30" customHeight="1" x14ac:dyDescent="0.2">
      <c r="A1002" s="17" t="str">
        <f t="shared" si="15"/>
        <v/>
      </c>
    </row>
    <row r="1003" spans="1:1" ht="30" customHeight="1" x14ac:dyDescent="0.2">
      <c r="A1003" s="17" t="str">
        <f t="shared" si="15"/>
        <v/>
      </c>
    </row>
    <row r="1004" spans="1:1" ht="30" customHeight="1" x14ac:dyDescent="0.2">
      <c r="A1004" s="17" t="str">
        <f t="shared" si="15"/>
        <v/>
      </c>
    </row>
    <row r="1005" spans="1:1" ht="30" customHeight="1" x14ac:dyDescent="0.2">
      <c r="A1005" s="17" t="str">
        <f t="shared" si="15"/>
        <v/>
      </c>
    </row>
    <row r="1006" spans="1:1" ht="30" customHeight="1" x14ac:dyDescent="0.2">
      <c r="A1006" s="17" t="str">
        <f t="shared" si="15"/>
        <v/>
      </c>
    </row>
    <row r="1007" spans="1:1" ht="30" customHeight="1" x14ac:dyDescent="0.2">
      <c r="A1007" s="17" t="str">
        <f t="shared" si="15"/>
        <v/>
      </c>
    </row>
    <row r="1008" spans="1:1" ht="30" customHeight="1" x14ac:dyDescent="0.2">
      <c r="A1008" s="17" t="str">
        <f t="shared" si="15"/>
        <v/>
      </c>
    </row>
    <row r="1009" spans="1:1" ht="30" customHeight="1" x14ac:dyDescent="0.2">
      <c r="A1009" s="17" t="str">
        <f t="shared" si="15"/>
        <v/>
      </c>
    </row>
    <row r="1010" spans="1:1" ht="30" customHeight="1" x14ac:dyDescent="0.2">
      <c r="A1010" s="17" t="str">
        <f t="shared" si="15"/>
        <v/>
      </c>
    </row>
    <row r="1011" spans="1:1" ht="30" customHeight="1" x14ac:dyDescent="0.2">
      <c r="A1011" s="17" t="str">
        <f t="shared" si="15"/>
        <v/>
      </c>
    </row>
    <row r="1012" spans="1:1" ht="30" customHeight="1" x14ac:dyDescent="0.2">
      <c r="A1012" s="17" t="str">
        <f t="shared" si="15"/>
        <v/>
      </c>
    </row>
    <row r="1013" spans="1:1" ht="30" customHeight="1" x14ac:dyDescent="0.2">
      <c r="A1013" s="17" t="str">
        <f t="shared" si="15"/>
        <v/>
      </c>
    </row>
    <row r="1014" spans="1:1" ht="30" customHeight="1" x14ac:dyDescent="0.2">
      <c r="A1014" s="17" t="str">
        <f t="shared" si="15"/>
        <v/>
      </c>
    </row>
    <row r="1015" spans="1:1" ht="30" customHeight="1" x14ac:dyDescent="0.2">
      <c r="A1015" s="17" t="str">
        <f t="shared" si="15"/>
        <v/>
      </c>
    </row>
    <row r="1016" spans="1:1" ht="30" customHeight="1" x14ac:dyDescent="0.2">
      <c r="A1016" s="17" t="str">
        <f t="shared" si="15"/>
        <v/>
      </c>
    </row>
    <row r="1017" spans="1:1" ht="30" customHeight="1" x14ac:dyDescent="0.2">
      <c r="A1017" s="17" t="str">
        <f t="shared" si="15"/>
        <v/>
      </c>
    </row>
    <row r="1018" spans="1:1" ht="30" customHeight="1" x14ac:dyDescent="0.2">
      <c r="A1018" s="17" t="str">
        <f t="shared" si="15"/>
        <v/>
      </c>
    </row>
    <row r="1019" spans="1:1" ht="30" customHeight="1" x14ac:dyDescent="0.2">
      <c r="A1019" s="17" t="str">
        <f t="shared" si="15"/>
        <v/>
      </c>
    </row>
    <row r="1020" spans="1:1" ht="30" customHeight="1" x14ac:dyDescent="0.2">
      <c r="A1020" s="17" t="str">
        <f t="shared" si="15"/>
        <v/>
      </c>
    </row>
    <row r="1021" spans="1:1" ht="30" customHeight="1" x14ac:dyDescent="0.2">
      <c r="A1021" s="17" t="str">
        <f t="shared" si="15"/>
        <v/>
      </c>
    </row>
    <row r="1022" spans="1:1" ht="30" customHeight="1" x14ac:dyDescent="0.2">
      <c r="A1022" s="17" t="str">
        <f t="shared" si="15"/>
        <v/>
      </c>
    </row>
    <row r="1023" spans="1:1" ht="30" customHeight="1" x14ac:dyDescent="0.2">
      <c r="A1023" s="17" t="str">
        <f t="shared" si="15"/>
        <v/>
      </c>
    </row>
    <row r="1024" spans="1:1" ht="30" customHeight="1" x14ac:dyDescent="0.2">
      <c r="A1024" s="17" t="str">
        <f t="shared" si="15"/>
        <v/>
      </c>
    </row>
    <row r="1025" spans="1:1" ht="30" customHeight="1" x14ac:dyDescent="0.2">
      <c r="A1025" s="17" t="str">
        <f t="shared" si="15"/>
        <v/>
      </c>
    </row>
    <row r="1026" spans="1:1" ht="30" customHeight="1" x14ac:dyDescent="0.2">
      <c r="A1026" s="17" t="str">
        <f t="shared" si="15"/>
        <v/>
      </c>
    </row>
    <row r="1027" spans="1:1" ht="30" customHeight="1" x14ac:dyDescent="0.2">
      <c r="A1027" s="17" t="str">
        <f t="shared" si="15"/>
        <v/>
      </c>
    </row>
    <row r="1028" spans="1:1" ht="30" customHeight="1" x14ac:dyDescent="0.2">
      <c r="A1028" s="17" t="str">
        <f t="shared" ref="A1028:A1079" si="16">IF(AND(B1027&lt;&gt;"",B1028=""),$A$2&amp;"---&gt;","")</f>
        <v/>
      </c>
    </row>
    <row r="1029" spans="1:1" ht="30" customHeight="1" x14ac:dyDescent="0.2">
      <c r="A1029" s="17" t="str">
        <f t="shared" si="16"/>
        <v/>
      </c>
    </row>
    <row r="1030" spans="1:1" ht="30" customHeight="1" x14ac:dyDescent="0.2">
      <c r="A1030" s="17" t="str">
        <f t="shared" si="16"/>
        <v/>
      </c>
    </row>
    <row r="1031" spans="1:1" ht="30" customHeight="1" x14ac:dyDescent="0.2">
      <c r="A1031" s="17" t="str">
        <f t="shared" si="16"/>
        <v/>
      </c>
    </row>
    <row r="1032" spans="1:1" ht="30" customHeight="1" x14ac:dyDescent="0.2">
      <c r="A1032" s="17" t="str">
        <f t="shared" si="16"/>
        <v/>
      </c>
    </row>
    <row r="1033" spans="1:1" ht="30" customHeight="1" x14ac:dyDescent="0.2">
      <c r="A1033" s="17" t="str">
        <f t="shared" si="16"/>
        <v/>
      </c>
    </row>
    <row r="1034" spans="1:1" ht="30" customHeight="1" x14ac:dyDescent="0.2">
      <c r="A1034" s="17" t="str">
        <f t="shared" si="16"/>
        <v/>
      </c>
    </row>
    <row r="1035" spans="1:1" ht="30" customHeight="1" x14ac:dyDescent="0.2">
      <c r="A1035" s="17" t="str">
        <f t="shared" si="16"/>
        <v/>
      </c>
    </row>
    <row r="1036" spans="1:1" ht="30" customHeight="1" x14ac:dyDescent="0.2">
      <c r="A1036" s="17" t="str">
        <f t="shared" si="16"/>
        <v/>
      </c>
    </row>
    <row r="1037" spans="1:1" ht="30" customHeight="1" x14ac:dyDescent="0.2">
      <c r="A1037" s="17" t="str">
        <f t="shared" si="16"/>
        <v/>
      </c>
    </row>
    <row r="1038" spans="1:1" ht="30" customHeight="1" x14ac:dyDescent="0.2">
      <c r="A1038" s="17" t="str">
        <f t="shared" si="16"/>
        <v/>
      </c>
    </row>
    <row r="1039" spans="1:1" ht="30" customHeight="1" x14ac:dyDescent="0.2">
      <c r="A1039" s="17" t="str">
        <f t="shared" si="16"/>
        <v/>
      </c>
    </row>
    <row r="1040" spans="1:1" ht="30" customHeight="1" x14ac:dyDescent="0.2">
      <c r="A1040" s="17" t="str">
        <f t="shared" si="16"/>
        <v/>
      </c>
    </row>
    <row r="1041" spans="1:1" ht="30" customHeight="1" x14ac:dyDescent="0.2">
      <c r="A1041" s="17" t="str">
        <f t="shared" si="16"/>
        <v/>
      </c>
    </row>
    <row r="1042" spans="1:1" ht="30" customHeight="1" x14ac:dyDescent="0.2">
      <c r="A1042" s="17" t="str">
        <f t="shared" si="16"/>
        <v/>
      </c>
    </row>
    <row r="1043" spans="1:1" ht="30" customHeight="1" x14ac:dyDescent="0.2">
      <c r="A1043" s="17" t="str">
        <f t="shared" si="16"/>
        <v/>
      </c>
    </row>
    <row r="1044" spans="1:1" ht="30" customHeight="1" x14ac:dyDescent="0.2">
      <c r="A1044" s="17" t="str">
        <f t="shared" si="16"/>
        <v/>
      </c>
    </row>
    <row r="1045" spans="1:1" ht="30" customHeight="1" x14ac:dyDescent="0.2">
      <c r="A1045" s="17" t="str">
        <f t="shared" si="16"/>
        <v/>
      </c>
    </row>
    <row r="1046" spans="1:1" ht="30" customHeight="1" x14ac:dyDescent="0.2">
      <c r="A1046" s="17" t="str">
        <f t="shared" si="16"/>
        <v/>
      </c>
    </row>
    <row r="1047" spans="1:1" ht="30" customHeight="1" x14ac:dyDescent="0.2">
      <c r="A1047" s="17" t="str">
        <f t="shared" si="16"/>
        <v/>
      </c>
    </row>
    <row r="1048" spans="1:1" ht="30" customHeight="1" x14ac:dyDescent="0.2">
      <c r="A1048" s="17" t="str">
        <f t="shared" si="16"/>
        <v/>
      </c>
    </row>
    <row r="1049" spans="1:1" ht="30" customHeight="1" x14ac:dyDescent="0.2">
      <c r="A1049" s="17" t="str">
        <f t="shared" si="16"/>
        <v/>
      </c>
    </row>
    <row r="1050" spans="1:1" ht="30" customHeight="1" x14ac:dyDescent="0.2">
      <c r="A1050" s="17" t="str">
        <f t="shared" si="16"/>
        <v/>
      </c>
    </row>
    <row r="1051" spans="1:1" ht="30" customHeight="1" x14ac:dyDescent="0.2">
      <c r="A1051" s="17" t="str">
        <f t="shared" si="16"/>
        <v/>
      </c>
    </row>
    <row r="1052" spans="1:1" ht="30" customHeight="1" x14ac:dyDescent="0.2">
      <c r="A1052" s="17" t="str">
        <f t="shared" si="16"/>
        <v/>
      </c>
    </row>
    <row r="1053" spans="1:1" ht="30" customHeight="1" x14ac:dyDescent="0.2">
      <c r="A1053" s="17" t="str">
        <f t="shared" si="16"/>
        <v/>
      </c>
    </row>
    <row r="1054" spans="1:1" ht="30" customHeight="1" x14ac:dyDescent="0.2">
      <c r="A1054" s="17" t="str">
        <f t="shared" si="16"/>
        <v/>
      </c>
    </row>
    <row r="1055" spans="1:1" ht="30" customHeight="1" x14ac:dyDescent="0.2">
      <c r="A1055" s="17" t="str">
        <f t="shared" si="16"/>
        <v/>
      </c>
    </row>
    <row r="1056" spans="1:1" ht="30" customHeight="1" x14ac:dyDescent="0.2">
      <c r="A1056" s="17" t="str">
        <f t="shared" si="16"/>
        <v/>
      </c>
    </row>
    <row r="1057" spans="1:1" ht="30" customHeight="1" x14ac:dyDescent="0.2">
      <c r="A1057" s="17" t="str">
        <f t="shared" si="16"/>
        <v/>
      </c>
    </row>
    <row r="1058" spans="1:1" ht="30" customHeight="1" x14ac:dyDescent="0.2">
      <c r="A1058" s="17" t="str">
        <f t="shared" si="16"/>
        <v/>
      </c>
    </row>
    <row r="1059" spans="1:1" ht="30" customHeight="1" x14ac:dyDescent="0.2">
      <c r="A1059" s="17" t="str">
        <f t="shared" si="16"/>
        <v/>
      </c>
    </row>
    <row r="1060" spans="1:1" ht="30" customHeight="1" x14ac:dyDescent="0.2">
      <c r="A1060" s="17" t="str">
        <f t="shared" si="16"/>
        <v/>
      </c>
    </row>
    <row r="1061" spans="1:1" ht="30" customHeight="1" x14ac:dyDescent="0.2">
      <c r="A1061" s="17" t="str">
        <f t="shared" si="16"/>
        <v/>
      </c>
    </row>
    <row r="1062" spans="1:1" ht="30" customHeight="1" x14ac:dyDescent="0.2">
      <c r="A1062" s="17" t="str">
        <f t="shared" si="16"/>
        <v/>
      </c>
    </row>
    <row r="1063" spans="1:1" ht="30" customHeight="1" x14ac:dyDescent="0.2">
      <c r="A1063" s="17" t="str">
        <f t="shared" si="16"/>
        <v/>
      </c>
    </row>
    <row r="1064" spans="1:1" ht="30" customHeight="1" x14ac:dyDescent="0.2">
      <c r="A1064" s="17" t="str">
        <f t="shared" si="16"/>
        <v/>
      </c>
    </row>
    <row r="1065" spans="1:1" ht="30" customHeight="1" x14ac:dyDescent="0.2">
      <c r="A1065" s="17" t="str">
        <f t="shared" si="16"/>
        <v/>
      </c>
    </row>
    <row r="1066" spans="1:1" ht="30" customHeight="1" x14ac:dyDescent="0.2">
      <c r="A1066" s="17" t="str">
        <f t="shared" si="16"/>
        <v/>
      </c>
    </row>
    <row r="1067" spans="1:1" ht="30" customHeight="1" x14ac:dyDescent="0.2">
      <c r="A1067" s="17" t="str">
        <f t="shared" si="16"/>
        <v/>
      </c>
    </row>
    <row r="1068" spans="1:1" ht="30" customHeight="1" x14ac:dyDescent="0.2">
      <c r="A1068" s="17" t="str">
        <f t="shared" si="16"/>
        <v/>
      </c>
    </row>
    <row r="1069" spans="1:1" ht="30" customHeight="1" x14ac:dyDescent="0.2">
      <c r="A1069" s="17" t="str">
        <f t="shared" si="16"/>
        <v/>
      </c>
    </row>
    <row r="1070" spans="1:1" ht="30" customHeight="1" x14ac:dyDescent="0.2">
      <c r="A1070" s="17" t="str">
        <f t="shared" si="16"/>
        <v/>
      </c>
    </row>
    <row r="1071" spans="1:1" ht="30" customHeight="1" x14ac:dyDescent="0.2">
      <c r="A1071" s="17" t="str">
        <f t="shared" si="16"/>
        <v/>
      </c>
    </row>
    <row r="1072" spans="1:1" ht="30" customHeight="1" x14ac:dyDescent="0.2">
      <c r="A1072" s="17" t="str">
        <f t="shared" si="16"/>
        <v/>
      </c>
    </row>
    <row r="1073" spans="1:1" ht="30" customHeight="1" x14ac:dyDescent="0.2">
      <c r="A1073" s="17" t="str">
        <f t="shared" si="16"/>
        <v/>
      </c>
    </row>
    <row r="1074" spans="1:1" ht="30" customHeight="1" x14ac:dyDescent="0.2">
      <c r="A1074" s="17" t="str">
        <f t="shared" si="16"/>
        <v/>
      </c>
    </row>
    <row r="1075" spans="1:1" ht="30" customHeight="1" x14ac:dyDescent="0.2">
      <c r="A1075" s="17" t="str">
        <f t="shared" si="16"/>
        <v/>
      </c>
    </row>
    <row r="1076" spans="1:1" ht="30" customHeight="1" x14ac:dyDescent="0.2">
      <c r="A1076" s="17" t="str">
        <f t="shared" si="16"/>
        <v/>
      </c>
    </row>
    <row r="1077" spans="1:1" ht="30" customHeight="1" x14ac:dyDescent="0.2">
      <c r="A1077" s="17" t="str">
        <f t="shared" si="16"/>
        <v/>
      </c>
    </row>
    <row r="1078" spans="1:1" ht="30" customHeight="1" x14ac:dyDescent="0.2">
      <c r="A1078" s="17" t="str">
        <f t="shared" si="16"/>
        <v/>
      </c>
    </row>
    <row r="1079" spans="1:1" ht="30" customHeight="1" x14ac:dyDescent="0.2">
      <c r="A1079" s="17" t="str">
        <f t="shared" si="16"/>
        <v/>
      </c>
    </row>
  </sheetData>
  <phoneticPr fontId="5" type="noConversion"/>
  <conditionalFormatting sqref="O3:O23">
    <cfRule type="containsText" dxfId="51" priority="1" operator="containsText" text="clicked">
      <formula>NOT(ISERROR(SEARCH("clicked",O3)))</formula>
    </cfRule>
    <cfRule type="containsText" dxfId="50" priority="3" operator="containsText" text="Opened">
      <formula>NOT(ISERROR(SEARCH("Opened",O3)))</formula>
    </cfRule>
    <cfRule type="containsText" dxfId="49" priority="4" operator="containsText" text="Delivered">
      <formula>NOT(ISERROR(SEARCH("Delivered",O3)))</formula>
    </cfRule>
    <cfRule type="containsText" dxfId="48" priority="5" operator="containsText" text="sent">
      <formula>NOT(ISERROR(SEARCH("sent",O3)))</formula>
    </cfRule>
    <cfRule type="containsText" dxfId="47" priority="6" operator="containsText" text="Pending">
      <formula>NOT(ISERROR(SEARCH("Pending",O3)))</formula>
    </cfRule>
  </conditionalFormatting>
  <dataValidations count="5">
    <dataValidation type="date" allowBlank="1" showInputMessage="1" showErrorMessage="1" sqref="B3:B23 L3:L23" xr:uid="{6D258C0F-1390-4A8B-83D8-D8254C2C1797}">
      <formula1>1</formula1>
      <formula2>109575</formula2>
    </dataValidation>
    <dataValidation type="list" allowBlank="1" showInputMessage="1" showErrorMessage="1" sqref="D3:D23" xr:uid="{7D931EE0-C07B-4E12-96CD-FA6EE9A6ABCD}">
      <formula1>Camp</formula1>
    </dataValidation>
    <dataValidation type="list" allowBlank="1" showInputMessage="1" showErrorMessage="1" sqref="E3:E23" xr:uid="{175C60F8-B206-46DD-8BE4-75423E7434CA}">
      <formula1>Content</formula1>
    </dataValidation>
    <dataValidation type="list" allowBlank="1" showInputMessage="1" showErrorMessage="1" sqref="F3:F23" xr:uid="{4E4D60E0-ACB6-427F-8E6F-6515AA27B252}">
      <formula1>CustomerName</formula1>
    </dataValidation>
    <dataValidation type="list" allowBlank="1" showInputMessage="1" showErrorMessage="1" sqref="O3:O23" xr:uid="{996A217B-DC2A-40E9-B7CE-672A4AC2FD36}">
      <formula1>status</formula1>
    </dataValidation>
  </dataValidations>
  <hyperlinks>
    <hyperlink ref="K3" r:id="rId1" xr:uid="{A7986A02-C934-4049-8CD5-92C91F1DC3A6}"/>
    <hyperlink ref="K4" r:id="rId2" xr:uid="{FC8FC4F4-9E83-46EE-9C52-73BC715945E3}"/>
    <hyperlink ref="K5:K23" r:id="rId3" display="https://www.simplesheets.co/" xr:uid="{F7FE5672-9BB4-4BFD-A296-90DAD9544681}"/>
  </hyperlinks>
  <pageMargins left="0.7" right="0.7" top="0.75" bottom="0.75" header="0.3" footer="0.3"/>
  <pageSetup orientation="portrait" r:id="rId4"/>
  <tableParts count="1">
    <tablePart r:id="rId5"/>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0B9CD5-6D29-493B-A3E3-DB292C6A4468}">
  <sheetPr codeName="Sheet3">
    <tabColor rgb="FF8FCFAD"/>
  </sheetPr>
  <dimension ref="A1:XFC5000"/>
  <sheetViews>
    <sheetView showGridLines="0" showRowColHeaders="0" zoomScale="80" zoomScaleNormal="80" workbookViewId="0">
      <pane ySplit="12" topLeftCell="A13" activePane="bottomLeft" state="frozen"/>
      <selection pane="bottomLeft" activeCell="D20" sqref="D20"/>
    </sheetView>
  </sheetViews>
  <sheetFormatPr defaultColWidth="0" defaultRowHeight="12.75" customHeight="1" outlineLevelRow="1" x14ac:dyDescent="0.2"/>
  <cols>
    <col min="1" max="1" width="1" style="57" customWidth="1"/>
    <col min="2" max="2" width="20.140625" style="54" customWidth="1"/>
    <col min="3" max="3" width="12.42578125" style="54" customWidth="1"/>
    <col min="4" max="6" width="12.7109375" style="54" customWidth="1"/>
    <col min="7" max="7" width="19.85546875" style="54" customWidth="1"/>
    <col min="8" max="8" width="15.7109375" style="54" customWidth="1"/>
    <col min="9" max="9" width="18.7109375" style="54" customWidth="1"/>
    <col min="10" max="17" width="22.7109375" style="54" customWidth="1"/>
    <col min="18" max="18" width="1.42578125" style="57" customWidth="1"/>
    <col min="19" max="16382" width="9.140625" style="54" hidden="1"/>
    <col min="16383" max="16383" width="0.5703125" style="54" hidden="1"/>
    <col min="16384" max="16384" width="0.28515625" style="54" hidden="1"/>
  </cols>
  <sheetData>
    <row r="1" spans="1:18" s="50" customFormat="1" ht="6" customHeight="1" x14ac:dyDescent="0.2">
      <c r="C1" s="49"/>
      <c r="D1" s="49"/>
      <c r="E1" s="49"/>
      <c r="F1" s="49"/>
      <c r="G1" s="49"/>
      <c r="H1" s="49"/>
      <c r="I1" s="49"/>
      <c r="K1" s="49"/>
      <c r="L1" s="49"/>
      <c r="M1" s="49"/>
      <c r="N1" s="49"/>
      <c r="O1" s="49"/>
      <c r="P1" s="49"/>
      <c r="Q1" s="49"/>
    </row>
    <row r="2" spans="1:18" customFormat="1" outlineLevel="1" x14ac:dyDescent="0.2">
      <c r="A2" s="50"/>
      <c r="C2" s="48"/>
      <c r="D2" s="48"/>
      <c r="E2" s="48"/>
      <c r="F2" s="48"/>
      <c r="G2" s="48"/>
      <c r="H2" s="48"/>
      <c r="I2" s="48"/>
      <c r="K2" s="48"/>
      <c r="L2" s="48"/>
      <c r="M2" s="48"/>
      <c r="N2" s="48"/>
      <c r="O2" s="48"/>
      <c r="P2" s="48"/>
      <c r="Q2" s="48"/>
      <c r="R2" s="50"/>
    </row>
    <row r="3" spans="1:18" customFormat="1" outlineLevel="1" x14ac:dyDescent="0.2">
      <c r="A3" s="50"/>
      <c r="C3" s="48"/>
      <c r="D3" s="48"/>
      <c r="E3" s="48"/>
      <c r="F3" s="48"/>
      <c r="G3" s="48"/>
      <c r="H3" s="48"/>
      <c r="I3" s="48"/>
      <c r="J3" s="48"/>
      <c r="K3" s="48"/>
      <c r="L3" s="48"/>
      <c r="M3" s="48"/>
      <c r="N3" s="48"/>
      <c r="O3" s="48"/>
      <c r="P3" s="48"/>
      <c r="Q3" s="48"/>
      <c r="R3" s="50"/>
    </row>
    <row r="4" spans="1:18" customFormat="1" ht="16.5" customHeight="1" outlineLevel="1" x14ac:dyDescent="0.2">
      <c r="A4" s="50"/>
      <c r="C4" s="48"/>
      <c r="D4" s="48"/>
      <c r="E4" s="48"/>
      <c r="F4" s="48"/>
      <c r="G4" s="48"/>
      <c r="H4" s="48"/>
      <c r="I4" s="48"/>
      <c r="J4" s="48"/>
      <c r="K4" s="48"/>
      <c r="L4" s="48"/>
      <c r="M4" s="48"/>
      <c r="N4" s="48"/>
      <c r="O4" s="48"/>
      <c r="P4" s="48"/>
      <c r="Q4" s="48"/>
      <c r="R4" s="50"/>
    </row>
    <row r="5" spans="1:18" customFormat="1" ht="16.5" customHeight="1" outlineLevel="1" x14ac:dyDescent="0.2">
      <c r="A5" s="50"/>
      <c r="C5" s="48"/>
      <c r="D5" s="48"/>
      <c r="E5" s="48"/>
      <c r="F5" s="48"/>
      <c r="G5" s="48"/>
      <c r="H5" s="48"/>
      <c r="I5" s="48"/>
      <c r="J5" s="48"/>
      <c r="K5" s="48"/>
      <c r="L5" s="48"/>
      <c r="M5" s="48"/>
      <c r="N5" s="48"/>
      <c r="O5" s="48"/>
      <c r="P5" s="48"/>
      <c r="Q5" s="48"/>
      <c r="R5" s="50"/>
    </row>
    <row r="6" spans="1:18" customFormat="1" ht="16.5" customHeight="1" outlineLevel="1" thickBot="1" x14ac:dyDescent="0.25">
      <c r="A6" s="50"/>
      <c r="C6" s="48"/>
      <c r="D6" s="48"/>
      <c r="E6" s="48"/>
      <c r="F6" s="48"/>
      <c r="G6" s="48"/>
      <c r="H6" s="48"/>
      <c r="I6" s="48"/>
      <c r="J6" s="48"/>
      <c r="K6" s="48"/>
      <c r="L6" s="48"/>
      <c r="M6" s="48"/>
      <c r="N6" s="48"/>
      <c r="O6" s="48"/>
      <c r="P6" s="48"/>
      <c r="Q6" s="48"/>
      <c r="R6" s="50"/>
    </row>
    <row r="7" spans="1:18" customFormat="1" ht="16.5" customHeight="1" outlineLevel="1" thickTop="1" thickBot="1" x14ac:dyDescent="0.25">
      <c r="A7" s="50"/>
      <c r="C7" s="48"/>
      <c r="D7" s="48"/>
      <c r="E7" s="48"/>
      <c r="F7" s="48"/>
      <c r="G7" s="48"/>
      <c r="H7" s="48"/>
      <c r="I7" s="48"/>
      <c r="J7" s="52" t="s">
        <v>82</v>
      </c>
      <c r="K7" s="63" t="s">
        <v>82</v>
      </c>
      <c r="L7" s="63" t="s">
        <v>83</v>
      </c>
      <c r="M7" s="64" t="s">
        <v>193</v>
      </c>
      <c r="N7" s="63" t="s">
        <v>85</v>
      </c>
      <c r="O7" s="64" t="s">
        <v>194</v>
      </c>
      <c r="P7" s="63" t="s">
        <v>86</v>
      </c>
      <c r="Q7" s="65" t="s">
        <v>195</v>
      </c>
      <c r="R7" s="50"/>
    </row>
    <row r="8" spans="1:18" customFormat="1" ht="16.5" customHeight="1" outlineLevel="1" thickTop="1" thickBot="1" x14ac:dyDescent="0.35">
      <c r="A8" s="50"/>
      <c r="C8" s="48"/>
      <c r="D8" s="48"/>
      <c r="E8" s="48"/>
      <c r="F8" s="48"/>
      <c r="G8" s="48"/>
      <c r="H8" s="48"/>
      <c r="I8" s="48"/>
      <c r="J8" s="53"/>
      <c r="K8" s="81">
        <f>IFERROR(Sheet1!N7+Sheet1!N8+Sheet1!N9+Sheet1!N10,"")</f>
        <v>17</v>
      </c>
      <c r="L8" s="81">
        <f>IFERROR(Sheet1!N8+Sheet1!N9+Sheet1!N10,"")</f>
        <v>14</v>
      </c>
      <c r="M8" s="80">
        <f>IFERROR(IF(OR(K8="",L8=""),"",L8/K8),"")</f>
        <v>0.82352941176470584</v>
      </c>
      <c r="N8" s="81">
        <f>IFERROR(Sheet1!N9+Sheet1!N10,"")</f>
        <v>9</v>
      </c>
      <c r="O8" s="80">
        <f>IFERROR(IF(OR(K8="",N8=""),"",N8/K8),"")</f>
        <v>0.52941176470588236</v>
      </c>
      <c r="P8" s="81">
        <f>IFERROR(Sheet1!N10,"")</f>
        <v>4</v>
      </c>
      <c r="Q8" s="82">
        <f>IFERROR(IF(OR(K8="",P8=""),"",P8/K8),"")</f>
        <v>0.23529411764705882</v>
      </c>
      <c r="R8" s="50"/>
    </row>
    <row r="9" spans="1:18" customFormat="1" ht="16.5" customHeight="1" outlineLevel="1" thickTop="1" thickBot="1" x14ac:dyDescent="0.35">
      <c r="A9" s="50"/>
      <c r="B9" s="51" t="s">
        <v>202</v>
      </c>
      <c r="C9" s="48"/>
      <c r="D9" s="48"/>
      <c r="E9" s="48"/>
      <c r="F9" s="48"/>
      <c r="G9" s="48"/>
      <c r="H9" s="48"/>
      <c r="I9" s="48"/>
      <c r="J9" s="53"/>
      <c r="K9" s="81"/>
      <c r="L9" s="81"/>
      <c r="M9" s="80"/>
      <c r="N9" s="81"/>
      <c r="O9" s="80"/>
      <c r="P9" s="81"/>
      <c r="Q9" s="82"/>
      <c r="R9" s="50"/>
    </row>
    <row r="10" spans="1:18" customFormat="1" ht="25.5" customHeight="1" outlineLevel="1" thickTop="1" thickBot="1" x14ac:dyDescent="0.35">
      <c r="A10" s="50"/>
      <c r="B10" s="66" t="s">
        <v>228</v>
      </c>
      <c r="C10" s="48"/>
      <c r="D10" s="48"/>
      <c r="E10" s="48"/>
      <c r="F10" s="48"/>
      <c r="G10" s="48"/>
      <c r="H10" s="48"/>
      <c r="I10" s="48"/>
      <c r="J10" s="53"/>
      <c r="K10" s="81"/>
      <c r="L10" s="81"/>
      <c r="M10" s="80"/>
      <c r="N10" s="81"/>
      <c r="O10" s="80"/>
      <c r="P10" s="81"/>
      <c r="Q10" s="82"/>
      <c r="R10" s="50"/>
    </row>
    <row r="11" spans="1:18" customFormat="1" ht="6" customHeight="1" outlineLevel="1" thickTop="1" x14ac:dyDescent="0.2">
      <c r="A11" s="50"/>
      <c r="C11" s="48"/>
      <c r="D11" s="48"/>
      <c r="E11" s="48"/>
      <c r="F11" s="48"/>
      <c r="G11" s="48"/>
      <c r="H11" s="48"/>
      <c r="I11" s="48"/>
      <c r="J11" s="48"/>
      <c r="K11" s="48"/>
      <c r="L11" s="48"/>
      <c r="M11" s="48"/>
      <c r="N11" s="48"/>
      <c r="O11" s="48"/>
      <c r="P11" s="48"/>
      <c r="Q11" s="48"/>
      <c r="R11" s="50"/>
    </row>
    <row r="12" spans="1:18" customFormat="1" x14ac:dyDescent="0.2">
      <c r="A12" s="50"/>
      <c r="B12" s="67" t="s">
        <v>151</v>
      </c>
      <c r="C12" s="68" t="s">
        <v>173</v>
      </c>
      <c r="D12" s="68" t="s">
        <v>196</v>
      </c>
      <c r="E12" s="69" t="s">
        <v>187</v>
      </c>
      <c r="F12" s="70" t="s">
        <v>37</v>
      </c>
      <c r="G12" s="71" t="s">
        <v>44</v>
      </c>
      <c r="H12" s="72" t="s">
        <v>41</v>
      </c>
      <c r="I12" s="72" t="s">
        <v>49</v>
      </c>
      <c r="J12" s="72" t="s">
        <v>50</v>
      </c>
      <c r="K12" s="73" t="s">
        <v>51</v>
      </c>
      <c r="L12" s="73" t="s">
        <v>47</v>
      </c>
      <c r="M12" s="73" t="s">
        <v>48</v>
      </c>
      <c r="N12" s="74" t="s">
        <v>33</v>
      </c>
      <c r="O12" s="74" t="s">
        <v>32</v>
      </c>
      <c r="P12" s="74" t="s">
        <v>35</v>
      </c>
      <c r="Q12" s="74" t="s">
        <v>36</v>
      </c>
      <c r="R12" s="50"/>
    </row>
    <row r="13" spans="1:18" x14ac:dyDescent="0.2">
      <c r="B13" s="55" t="s">
        <v>170</v>
      </c>
      <c r="C13" s="54">
        <v>0</v>
      </c>
      <c r="D13" s="58" t="str">
        <f>IFERROR(IF(F13&lt;&gt;"pending","",IF(OR($B13="",$B13="(blank)"),"",VLOOKUP($B13,'Email Marketing Raw Data'!$C:$O,10,0))),"")</f>
        <v/>
      </c>
      <c r="E13" s="59" t="str">
        <f>IFERROR(IF(F13&lt;&gt;"pending","",IF(OR($B13="",$B13="(blank)"),"",VLOOKUP($B13,'Email Marketing Raw Data'!$C:$O,11,0))),"")</f>
        <v/>
      </c>
      <c r="F13" s="54" t="str">
        <f>IFERROR(IF(OR($B13="",$B13="(blank)"),"",VLOOKUP($B13,'Email Marketing Raw Data'!$C:$O,13,0)),"")</f>
        <v>Opened</v>
      </c>
      <c r="G13" s="55" t="str">
        <f>IFERROR(IF(OR($B13="",$B13="(blank)"),"",VLOOKUP($B13,'Email Marketing Raw Data'!$C:$O,4,0)),"")</f>
        <v>Customer Name 4</v>
      </c>
      <c r="H13" s="55" t="str">
        <f>IFERROR(IF(OR($B13="",$B13="(blank)"),"",VLOOKUP($B13,'Email Marketing Raw Data'!$C:$O,5,0)),"")</f>
        <v>Existing</v>
      </c>
      <c r="I13" s="55" t="str">
        <f>IFERROR(IF($G13="","",VLOOKUP('Dashboard And Emails Automate'!$G13,Database!$H:$N,3,0)),"")</f>
        <v>Country 2</v>
      </c>
      <c r="J13" s="55" t="str">
        <f>IFERROR(IF($G13="","",VLOOKUP('Dashboard And Emails Automate'!$G13,Database!$H:$N,4,0)),"")</f>
        <v>City 4</v>
      </c>
      <c r="K13" s="55" t="str">
        <f>IFERROR(IF($G13="","",VLOOKUP('Dashboard And Emails Automate'!$G13,Database!$H:$N,5,0)),"")</f>
        <v>Address 4</v>
      </c>
      <c r="L13" s="55" t="str">
        <f>IFERROR(IF($G13="","",VLOOKUP('Dashboard And Emails Automate'!$G13,Database!$H:$N,6,0)),"")</f>
        <v>Customer.4@domain.com</v>
      </c>
      <c r="M13" s="55" t="str">
        <f>IFERROR(IF($G13="","",VLOOKUP('Dashboard And Emails Automate'!$G13,Database!$H:$N,7,0)),"")</f>
        <v>020xxxxxx15</v>
      </c>
      <c r="N13" s="55" t="str">
        <f>IFERROR(IF(OR($B13="",$B13="(blank)"),"",VLOOKUP($B13,'Email Marketing Raw Data'!$C:$O,6,0)),"")</f>
        <v>Email Title 18</v>
      </c>
      <c r="O13" s="55" t="str">
        <f>IFERROR(IF(OR($B13="",$B13="(blank)"),"",VLOOKUP($B13,'Email Marketing Raw Data'!$C:$O,7,0)),"")</f>
        <v>Subject Line 18</v>
      </c>
      <c r="P13" s="55" t="str">
        <f>IFERROR(IF(OR($B13="",$B13="(blank)"),"",VLOOKUP($B13,'Email Marketing Raw Data'!$C:$O,8,0)),"")</f>
        <v>Here you can write email content #18</v>
      </c>
      <c r="Q13" s="62" t="str">
        <f>IFERROR(IF(OR($B13="",$B13="(blank)"),"",VLOOKUP($B13,'Email Marketing Raw Data'!$C:$O,9,0)),"")</f>
        <v>https://www.simplesheets.co/</v>
      </c>
    </row>
    <row r="14" spans="1:18" x14ac:dyDescent="0.2">
      <c r="B14" s="55" t="s">
        <v>157</v>
      </c>
      <c r="C14" s="54">
        <v>0</v>
      </c>
      <c r="D14" s="58" t="str">
        <f>IFERROR(IF(F14&lt;&gt;"pending","",IF(OR($B14="",$B14="(blank)"),"",VLOOKUP($B14,'Email Marketing Raw Data'!$C:$O,10,0))),"")</f>
        <v/>
      </c>
      <c r="E14" s="59" t="str">
        <f>IFERROR(IF(F14&lt;&gt;"pending","",IF(OR($B14="",$B14="(blank)"),"",VLOOKUP($B14,'Email Marketing Raw Data'!$C:$O,11,0))),"")</f>
        <v/>
      </c>
      <c r="F14" s="54" t="str">
        <f>IFERROR(IF(OR($B14="",$B14="(blank)"),"",VLOOKUP($B14,'Email Marketing Raw Data'!$C:$O,13,0)),"")</f>
        <v>Opened</v>
      </c>
      <c r="G14" s="55" t="str">
        <f>IFERROR(IF(OR($B14="",$B14="(blank)"),"",VLOOKUP($B14,'Email Marketing Raw Data'!$C:$O,4,0)),"")</f>
        <v>Customer Name 5</v>
      </c>
      <c r="H14" s="55" t="str">
        <f>IFERROR(IF(OR($B14="",$B14="(blank)"),"",VLOOKUP($B14,'Email Marketing Raw Data'!$C:$O,5,0)),"")</f>
        <v>Prospect</v>
      </c>
      <c r="I14" s="55" t="str">
        <f>IFERROR(IF($G14="","",VLOOKUP('Dashboard And Emails Automate'!$G14,Database!$H:$N,3,0)),"")</f>
        <v>Country 2</v>
      </c>
      <c r="J14" s="55" t="str">
        <f>IFERROR(IF($G14="","",VLOOKUP('Dashboard And Emails Automate'!$G14,Database!$H:$N,4,0)),"")</f>
        <v>City 5</v>
      </c>
      <c r="K14" s="55" t="str">
        <f>IFERROR(IF($G14="","",VLOOKUP('Dashboard And Emails Automate'!$G14,Database!$H:$N,5,0)),"")</f>
        <v>Address 5</v>
      </c>
      <c r="L14" s="55" t="str">
        <f>IFERROR(IF($G14="","",VLOOKUP('Dashboard And Emails Automate'!$G14,Database!$H:$N,6,0)),"")</f>
        <v>Customer.5@domain.com</v>
      </c>
      <c r="M14" s="55" t="str">
        <f>IFERROR(IF($G14="","",VLOOKUP('Dashboard And Emails Automate'!$G14,Database!$H:$N,7,0)),"")</f>
        <v>020xxxxxx16</v>
      </c>
      <c r="N14" s="55" t="str">
        <f>IFERROR(IF(OR($B14="",$B14="(blank)"),"",VLOOKUP($B14,'Email Marketing Raw Data'!$C:$O,6,0)),"")</f>
        <v>Email Title 5</v>
      </c>
      <c r="O14" s="55" t="str">
        <f>IFERROR(IF(OR($B14="",$B14="(blank)"),"",VLOOKUP($B14,'Email Marketing Raw Data'!$C:$O,7,0)),"")</f>
        <v>Subject Line 5</v>
      </c>
      <c r="P14" s="55" t="str">
        <f>IFERROR(IF(OR($B14="",$B14="(blank)"),"",VLOOKUP($B14,'Email Marketing Raw Data'!$C:$O,8,0)),"")</f>
        <v>Here you can write email content #5</v>
      </c>
      <c r="Q14" s="62" t="str">
        <f>IFERROR(IF(OR($B14="",$B14="(blank)"),"",VLOOKUP($B14,'Email Marketing Raw Data'!$C:$O,9,0)),"")</f>
        <v>https://www.simplesheets.co/</v>
      </c>
    </row>
    <row r="15" spans="1:18" x14ac:dyDescent="0.2">
      <c r="B15" s="55" t="s">
        <v>162</v>
      </c>
      <c r="C15" s="54">
        <v>2</v>
      </c>
      <c r="D15" s="58" t="str">
        <f>IFERROR(IF(F15&lt;&gt;"pending","",IF(OR($B15="",$B15="(blank)"),"",VLOOKUP($B15,'Email Marketing Raw Data'!$C:$O,10,0))),"")</f>
        <v/>
      </c>
      <c r="E15" s="59" t="str">
        <f>IFERROR(IF(F15&lt;&gt;"pending","",IF(OR($B15="",$B15="(blank)"),"",VLOOKUP($B15,'Email Marketing Raw Data'!$C:$O,11,0))),"")</f>
        <v/>
      </c>
      <c r="F15" s="54" t="str">
        <f>IFERROR(IF(OR($B15="",$B15="(blank)"),"",VLOOKUP($B15,'Email Marketing Raw Data'!$C:$O,13,0)),"")</f>
        <v>Delivered</v>
      </c>
      <c r="G15" s="55" t="str">
        <f>IFERROR(IF(OR($B15="",$B15="(blank)"),"",VLOOKUP($B15,'Email Marketing Raw Data'!$C:$O,4,0)),"")</f>
        <v>Customer Name 5</v>
      </c>
      <c r="H15" s="55" t="str">
        <f>IFERROR(IF(OR($B15="",$B15="(blank)"),"",VLOOKUP($B15,'Email Marketing Raw Data'!$C:$O,5,0)),"")</f>
        <v>Prospect</v>
      </c>
      <c r="I15" s="55" t="str">
        <f>IFERROR(IF($G15="","",VLOOKUP('Dashboard And Emails Automate'!$G15,Database!$H:$N,3,0)),"")</f>
        <v>Country 2</v>
      </c>
      <c r="J15" s="55" t="str">
        <f>IFERROR(IF($G15="","",VLOOKUP('Dashboard And Emails Automate'!$G15,Database!$H:$N,4,0)),"")</f>
        <v>City 5</v>
      </c>
      <c r="K15" s="55" t="str">
        <f>IFERROR(IF($G15="","",VLOOKUP('Dashboard And Emails Automate'!$G15,Database!$H:$N,5,0)),"")</f>
        <v>Address 5</v>
      </c>
      <c r="L15" s="55" t="str">
        <f>IFERROR(IF($G15="","",VLOOKUP('Dashboard And Emails Automate'!$G15,Database!$H:$N,6,0)),"")</f>
        <v>Customer.5@domain.com</v>
      </c>
      <c r="M15" s="55" t="str">
        <f>IFERROR(IF($G15="","",VLOOKUP('Dashboard And Emails Automate'!$G15,Database!$H:$N,7,0)),"")</f>
        <v>020xxxxxx16</v>
      </c>
      <c r="N15" s="55" t="str">
        <f>IFERROR(IF(OR($B15="",$B15="(blank)"),"",VLOOKUP($B15,'Email Marketing Raw Data'!$C:$O,6,0)),"")</f>
        <v>Email Title 10</v>
      </c>
      <c r="O15" s="55" t="str">
        <f>IFERROR(IF(OR($B15="",$B15="(blank)"),"",VLOOKUP($B15,'Email Marketing Raw Data'!$C:$O,7,0)),"")</f>
        <v>Subject Line 10</v>
      </c>
      <c r="P15" s="55" t="str">
        <f>IFERROR(IF(OR($B15="",$B15="(blank)"),"",VLOOKUP($B15,'Email Marketing Raw Data'!$C:$O,8,0)),"")</f>
        <v>Here you can write email content #10</v>
      </c>
      <c r="Q15" s="62" t="str">
        <f>IFERROR(IF(OR($B15="",$B15="(blank)"),"",VLOOKUP($B15,'Email Marketing Raw Data'!$C:$O,9,0)),"")</f>
        <v>https://www.simplesheets.co/</v>
      </c>
    </row>
    <row r="16" spans="1:18" x14ac:dyDescent="0.2">
      <c r="B16" s="55" t="s">
        <v>156</v>
      </c>
      <c r="C16" s="54">
        <v>2</v>
      </c>
      <c r="D16" s="58" t="str">
        <f>IFERROR(IF(F16&lt;&gt;"pending","",IF(OR($B16="",$B16="(blank)"),"",VLOOKUP($B16,'Email Marketing Raw Data'!$C:$O,10,0))),"")</f>
        <v/>
      </c>
      <c r="E16" s="59" t="str">
        <f>IFERROR(IF(F16&lt;&gt;"pending","",IF(OR($B16="",$B16="(blank)"),"",VLOOKUP($B16,'Email Marketing Raw Data'!$C:$O,11,0))),"")</f>
        <v/>
      </c>
      <c r="F16" s="54" t="str">
        <f>IFERROR(IF(OR($B16="",$B16="(blank)"),"",VLOOKUP($B16,'Email Marketing Raw Data'!$C:$O,13,0)),"")</f>
        <v>Sent</v>
      </c>
      <c r="G16" s="55" t="str">
        <f>IFERROR(IF(OR($B16="",$B16="(blank)"),"",VLOOKUP($B16,'Email Marketing Raw Data'!$C:$O,4,0)),"")</f>
        <v>Customer Name 1</v>
      </c>
      <c r="H16" s="55" t="str">
        <f>IFERROR(IF(OR($B16="",$B16="(blank)"),"",VLOOKUP($B16,'Email Marketing Raw Data'!$C:$O,5,0)),"")</f>
        <v>New</v>
      </c>
      <c r="I16" s="55" t="str">
        <f>IFERROR(IF($G16="","",VLOOKUP('Dashboard And Emails Automate'!$G16,Database!$H:$N,3,0)),"")</f>
        <v>Country 1</v>
      </c>
      <c r="J16" s="55" t="str">
        <f>IFERROR(IF($G16="","",VLOOKUP('Dashboard And Emails Automate'!$G16,Database!$H:$N,4,0)),"")</f>
        <v>City 1</v>
      </c>
      <c r="K16" s="55" t="str">
        <f>IFERROR(IF($G16="","",VLOOKUP('Dashboard And Emails Automate'!$G16,Database!$H:$N,5,0)),"")</f>
        <v>Address 1</v>
      </c>
      <c r="L16" s="55" t="str">
        <f>IFERROR(IF($G16="","",VLOOKUP('Dashboard And Emails Automate'!$G16,Database!$H:$N,6,0)),"")</f>
        <v>Customer.1@domain.com</v>
      </c>
      <c r="M16" s="55" t="str">
        <f>IFERROR(IF($G16="","",VLOOKUP('Dashboard And Emails Automate'!$G16,Database!$H:$N,7,0)),"")</f>
        <v>020xxxxxx12</v>
      </c>
      <c r="N16" s="55" t="str">
        <f>IFERROR(IF(OR($B16="",$B16="(blank)"),"",VLOOKUP($B16,'Email Marketing Raw Data'!$C:$O,6,0)),"")</f>
        <v>Email Title 4</v>
      </c>
      <c r="O16" s="55" t="str">
        <f>IFERROR(IF(OR($B16="",$B16="(blank)"),"",VLOOKUP($B16,'Email Marketing Raw Data'!$C:$O,7,0)),"")</f>
        <v>Subject Line 4</v>
      </c>
      <c r="P16" s="55" t="str">
        <f>IFERROR(IF(OR($B16="",$B16="(blank)"),"",VLOOKUP($B16,'Email Marketing Raw Data'!$C:$O,8,0)),"")</f>
        <v>Here you can write email content #4</v>
      </c>
      <c r="Q16" s="62" t="str">
        <f>IFERROR(IF(OR($B16="",$B16="(blank)"),"",VLOOKUP($B16,'Email Marketing Raw Data'!$C:$O,9,0)),"")</f>
        <v>https://www.simplesheets.co/</v>
      </c>
    </row>
    <row r="17" spans="2:17" x14ac:dyDescent="0.2">
      <c r="B17" s="55" t="s">
        <v>153</v>
      </c>
      <c r="C17" s="54">
        <v>3</v>
      </c>
      <c r="D17" s="58" t="str">
        <f>IFERROR(IF(F17&lt;&gt;"pending","",IF(OR($B17="",$B17="(blank)"),"",VLOOKUP($B17,'Email Marketing Raw Data'!$C:$O,10,0))),"")</f>
        <v/>
      </c>
      <c r="E17" s="59" t="str">
        <f>IFERROR(IF(F17&lt;&gt;"pending","",IF(OR($B17="",$B17="(blank)"),"",VLOOKUP($B17,'Email Marketing Raw Data'!$C:$O,11,0))),"")</f>
        <v/>
      </c>
      <c r="F17" s="54" t="str">
        <f>IFERROR(IF(OR($B17="",$B17="(blank)"),"",VLOOKUP($B17,'Email Marketing Raw Data'!$C:$O,13,0)),"")</f>
        <v>Delivered</v>
      </c>
      <c r="G17" s="55" t="str">
        <f>IFERROR(IF(OR($B17="",$B17="(blank)"),"",VLOOKUP($B17,'Email Marketing Raw Data'!$C:$O,4,0)),"")</f>
        <v>Customer Name 1</v>
      </c>
      <c r="H17" s="55" t="str">
        <f>IFERROR(IF(OR($B17="",$B17="(blank)"),"",VLOOKUP($B17,'Email Marketing Raw Data'!$C:$O,5,0)),"")</f>
        <v>New</v>
      </c>
      <c r="I17" s="55" t="str">
        <f>IFERROR(IF($G17="","",VLOOKUP('Dashboard And Emails Automate'!$G17,Database!$H:$N,3,0)),"")</f>
        <v>Country 1</v>
      </c>
      <c r="J17" s="55" t="str">
        <f>IFERROR(IF($G17="","",VLOOKUP('Dashboard And Emails Automate'!$G17,Database!$H:$N,4,0)),"")</f>
        <v>City 1</v>
      </c>
      <c r="K17" s="55" t="str">
        <f>IFERROR(IF($G17="","",VLOOKUP('Dashboard And Emails Automate'!$G17,Database!$H:$N,5,0)),"")</f>
        <v>Address 1</v>
      </c>
      <c r="L17" s="55" t="str">
        <f>IFERROR(IF($G17="","",VLOOKUP('Dashboard And Emails Automate'!$G17,Database!$H:$N,6,0)),"")</f>
        <v>Customer.1@domain.com</v>
      </c>
      <c r="M17" s="55" t="str">
        <f>IFERROR(IF($G17="","",VLOOKUP('Dashboard And Emails Automate'!$G17,Database!$H:$N,7,0)),"")</f>
        <v>020xxxxxx12</v>
      </c>
      <c r="N17" s="55" t="str">
        <f>IFERROR(IF(OR($B17="",$B17="(blank)"),"",VLOOKUP($B17,'Email Marketing Raw Data'!$C:$O,6,0)),"")</f>
        <v>Email Title 1</v>
      </c>
      <c r="O17" s="55" t="str">
        <f>IFERROR(IF(OR($B17="",$B17="(blank)"),"",VLOOKUP($B17,'Email Marketing Raw Data'!$C:$O,7,0)),"")</f>
        <v>Subject Line 1</v>
      </c>
      <c r="P17" s="55" t="str">
        <f>IFERROR(IF(OR($B17="",$B17="(blank)"),"",VLOOKUP($B17,'Email Marketing Raw Data'!$C:$O,8,0)),"")</f>
        <v>Here you can write email content #1</v>
      </c>
      <c r="Q17" s="62" t="str">
        <f>IFERROR(IF(OR($B17="",$B17="(blank)"),"",VLOOKUP($B17,'Email Marketing Raw Data'!$C:$O,9,0)),"")</f>
        <v>https://www.google.com/</v>
      </c>
    </row>
    <row r="18" spans="2:17" x14ac:dyDescent="0.2">
      <c r="B18" s="55" t="s">
        <v>160</v>
      </c>
      <c r="C18" s="54">
        <v>3</v>
      </c>
      <c r="D18" s="58" t="str">
        <f>IFERROR(IF(F18&lt;&gt;"pending","",IF(OR($B18="",$B18="(blank)"),"",VLOOKUP($B18,'Email Marketing Raw Data'!$C:$O,10,0))),"")</f>
        <v/>
      </c>
      <c r="E18" s="59" t="str">
        <f>IFERROR(IF(F18&lt;&gt;"pending","",IF(OR($B18="",$B18="(blank)"),"",VLOOKUP($B18,'Email Marketing Raw Data'!$C:$O,11,0))),"")</f>
        <v/>
      </c>
      <c r="F18" s="54" t="str">
        <f>IFERROR(IF(OR($B18="",$B18="(blank)"),"",VLOOKUP($B18,'Email Marketing Raw Data'!$C:$O,13,0)),"")</f>
        <v>Delivered</v>
      </c>
      <c r="G18" s="55" t="str">
        <f>IFERROR(IF(OR($B18="",$B18="(blank)"),"",VLOOKUP($B18,'Email Marketing Raw Data'!$C:$O,4,0)),"")</f>
        <v>Customer Name 2</v>
      </c>
      <c r="H18" s="55" t="str">
        <f>IFERROR(IF(OR($B18="",$B18="(blank)"),"",VLOOKUP($B18,'Email Marketing Raw Data'!$C:$O,5,0)),"")</f>
        <v>Lead</v>
      </c>
      <c r="I18" s="55" t="str">
        <f>IFERROR(IF($G18="","",VLOOKUP('Dashboard And Emails Automate'!$G18,Database!$H:$N,3,0)),"")</f>
        <v>Country 1</v>
      </c>
      <c r="J18" s="55" t="str">
        <f>IFERROR(IF($G18="","",VLOOKUP('Dashboard And Emails Automate'!$G18,Database!$H:$N,4,0)),"")</f>
        <v>City 2</v>
      </c>
      <c r="K18" s="55" t="str">
        <f>IFERROR(IF($G18="","",VLOOKUP('Dashboard And Emails Automate'!$G18,Database!$H:$N,5,0)),"")</f>
        <v>Address 2</v>
      </c>
      <c r="L18" s="55" t="str">
        <f>IFERROR(IF($G18="","",VLOOKUP('Dashboard And Emails Automate'!$G18,Database!$H:$N,6,0)),"")</f>
        <v>Customer.2@domain.com</v>
      </c>
      <c r="M18" s="55" t="str">
        <f>IFERROR(IF($G18="","",VLOOKUP('Dashboard And Emails Automate'!$G18,Database!$H:$N,7,0)),"")</f>
        <v>020xxxxxx13</v>
      </c>
      <c r="N18" s="55" t="str">
        <f>IFERROR(IF(OR($B18="",$B18="(blank)"),"",VLOOKUP($B18,'Email Marketing Raw Data'!$C:$O,6,0)),"")</f>
        <v>Email Title 8</v>
      </c>
      <c r="O18" s="55" t="str">
        <f>IFERROR(IF(OR($B18="",$B18="(blank)"),"",VLOOKUP($B18,'Email Marketing Raw Data'!$C:$O,7,0)),"")</f>
        <v>Subject Line 8</v>
      </c>
      <c r="P18" s="55" t="str">
        <f>IFERROR(IF(OR($B18="",$B18="(blank)"),"",VLOOKUP($B18,'Email Marketing Raw Data'!$C:$O,8,0)),"")</f>
        <v>Here you can write email content #8</v>
      </c>
      <c r="Q18" s="62" t="str">
        <f>IFERROR(IF(OR($B18="",$B18="(blank)"),"",VLOOKUP($B18,'Email Marketing Raw Data'!$C:$O,9,0)),"")</f>
        <v>https://www.simplesheets.co/</v>
      </c>
    </row>
    <row r="19" spans="2:17" x14ac:dyDescent="0.2">
      <c r="B19" s="55" t="s">
        <v>155</v>
      </c>
      <c r="C19" s="54">
        <v>4</v>
      </c>
      <c r="D19" s="58" t="str">
        <f>IFERROR(IF(F19&lt;&gt;"pending","",IF(OR($B19="",$B19="(blank)"),"",VLOOKUP($B19,'Email Marketing Raw Data'!$C:$O,10,0))),"")</f>
        <v/>
      </c>
      <c r="E19" s="59" t="str">
        <f>IFERROR(IF(F19&lt;&gt;"pending","",IF(OR($B19="",$B19="(blank)"),"",VLOOKUP($B19,'Email Marketing Raw Data'!$C:$O,11,0))),"")</f>
        <v/>
      </c>
      <c r="F19" s="54" t="str">
        <f>IFERROR(IF(OR($B19="",$B19="(blank)"),"",VLOOKUP($B19,'Email Marketing Raw Data'!$C:$O,13,0)),"")</f>
        <v>Clicked</v>
      </c>
      <c r="G19" s="55" t="str">
        <f>IFERROR(IF(OR($B19="",$B19="(blank)"),"",VLOOKUP($B19,'Email Marketing Raw Data'!$C:$O,4,0)),"")</f>
        <v>Customer Name 4</v>
      </c>
      <c r="H19" s="55" t="str">
        <f>IFERROR(IF(OR($B19="",$B19="(blank)"),"",VLOOKUP($B19,'Email Marketing Raw Data'!$C:$O,5,0)),"")</f>
        <v>Existing</v>
      </c>
      <c r="I19" s="55" t="str">
        <f>IFERROR(IF($G19="","",VLOOKUP('Dashboard And Emails Automate'!$G19,Database!$H:$N,3,0)),"")</f>
        <v>Country 2</v>
      </c>
      <c r="J19" s="55" t="str">
        <f>IFERROR(IF($G19="","",VLOOKUP('Dashboard And Emails Automate'!$G19,Database!$H:$N,4,0)),"")</f>
        <v>City 4</v>
      </c>
      <c r="K19" s="55" t="str">
        <f>IFERROR(IF($G19="","",VLOOKUP('Dashboard And Emails Automate'!$G19,Database!$H:$N,5,0)),"")</f>
        <v>Address 4</v>
      </c>
      <c r="L19" s="55" t="str">
        <f>IFERROR(IF($G19="","",VLOOKUP('Dashboard And Emails Automate'!$G19,Database!$H:$N,6,0)),"")</f>
        <v>Customer.4@domain.com</v>
      </c>
      <c r="M19" s="55" t="str">
        <f>IFERROR(IF($G19="","",VLOOKUP('Dashboard And Emails Automate'!$G19,Database!$H:$N,7,0)),"")</f>
        <v>020xxxxxx15</v>
      </c>
      <c r="N19" s="55" t="str">
        <f>IFERROR(IF(OR($B19="",$B19="(blank)"),"",VLOOKUP($B19,'Email Marketing Raw Data'!$C:$O,6,0)),"")</f>
        <v>Email Title 3</v>
      </c>
      <c r="O19" s="55" t="str">
        <f>IFERROR(IF(OR($B19="",$B19="(blank)"),"",VLOOKUP($B19,'Email Marketing Raw Data'!$C:$O,7,0)),"")</f>
        <v>Subject Line 3</v>
      </c>
      <c r="P19" s="55" t="str">
        <f>IFERROR(IF(OR($B19="",$B19="(blank)"),"",VLOOKUP($B19,'Email Marketing Raw Data'!$C:$O,8,0)),"")</f>
        <v>Here you can write email content #3</v>
      </c>
      <c r="Q19" s="62" t="str">
        <f>IFERROR(IF(OR($B19="",$B19="(blank)"),"",VLOOKUP($B19,'Email Marketing Raw Data'!$C:$O,9,0)),"")</f>
        <v>https://www.simplesheets.co/</v>
      </c>
    </row>
    <row r="20" spans="2:17" x14ac:dyDescent="0.2">
      <c r="B20" s="55" t="s">
        <v>161</v>
      </c>
      <c r="C20" s="54">
        <v>7</v>
      </c>
      <c r="D20" s="58" t="str">
        <f>IFERROR(IF(F20&lt;&gt;"pending","",IF(OR($B20="",$B20="(blank)"),"",VLOOKUP($B20,'Email Marketing Raw Data'!$C:$O,10,0))),"")</f>
        <v/>
      </c>
      <c r="E20" s="59" t="str">
        <f>IFERROR(IF(F20&lt;&gt;"pending","",IF(OR($B20="",$B20="(blank)"),"",VLOOKUP($B20,'Email Marketing Raw Data'!$C:$O,11,0))),"")</f>
        <v/>
      </c>
      <c r="F20" s="54" t="str">
        <f>IFERROR(IF(OR($B20="",$B20="(blank)"),"",VLOOKUP($B20,'Email Marketing Raw Data'!$C:$O,13,0)),"")</f>
        <v>Opened</v>
      </c>
      <c r="G20" s="55" t="str">
        <f>IFERROR(IF(OR($B20="",$B20="(blank)"),"",VLOOKUP($B20,'Email Marketing Raw Data'!$C:$O,4,0)),"")</f>
        <v>Customer Name 1</v>
      </c>
      <c r="H20" s="55" t="str">
        <f>IFERROR(IF(OR($B20="",$B20="(blank)"),"",VLOOKUP($B20,'Email Marketing Raw Data'!$C:$O,5,0)),"")</f>
        <v>New</v>
      </c>
      <c r="I20" s="55" t="str">
        <f>IFERROR(IF($G20="","",VLOOKUP('Dashboard And Emails Automate'!$G20,Database!$H:$N,3,0)),"")</f>
        <v>Country 1</v>
      </c>
      <c r="J20" s="55" t="str">
        <f>IFERROR(IF($G20="","",VLOOKUP('Dashboard And Emails Automate'!$G20,Database!$H:$N,4,0)),"")</f>
        <v>City 1</v>
      </c>
      <c r="K20" s="55" t="str">
        <f>IFERROR(IF($G20="","",VLOOKUP('Dashboard And Emails Automate'!$G20,Database!$H:$N,5,0)),"")</f>
        <v>Address 1</v>
      </c>
      <c r="L20" s="55" t="str">
        <f>IFERROR(IF($G20="","",VLOOKUP('Dashboard And Emails Automate'!$G20,Database!$H:$N,6,0)),"")</f>
        <v>Customer.1@domain.com</v>
      </c>
      <c r="M20" s="55" t="str">
        <f>IFERROR(IF($G20="","",VLOOKUP('Dashboard And Emails Automate'!$G20,Database!$H:$N,7,0)),"")</f>
        <v>020xxxxxx12</v>
      </c>
      <c r="N20" s="55" t="str">
        <f>IFERROR(IF(OR($B20="",$B20="(blank)"),"",VLOOKUP($B20,'Email Marketing Raw Data'!$C:$O,6,0)),"")</f>
        <v>Email Title 9</v>
      </c>
      <c r="O20" s="55" t="str">
        <f>IFERROR(IF(OR($B20="",$B20="(blank)"),"",VLOOKUP($B20,'Email Marketing Raw Data'!$C:$O,7,0)),"")</f>
        <v>Subject Line 9</v>
      </c>
      <c r="P20" s="55" t="str">
        <f>IFERROR(IF(OR($B20="",$B20="(blank)"),"",VLOOKUP($B20,'Email Marketing Raw Data'!$C:$O,8,0)),"")</f>
        <v>Here you can write email content #9</v>
      </c>
      <c r="Q20" s="62" t="str">
        <f>IFERROR(IF(OR($B20="",$B20="(blank)"),"",VLOOKUP($B20,'Email Marketing Raw Data'!$C:$O,9,0)),"")</f>
        <v>https://www.simplesheets.co/</v>
      </c>
    </row>
    <row r="21" spans="2:17" x14ac:dyDescent="0.2">
      <c r="B21" s="55" t="s">
        <v>154</v>
      </c>
      <c r="C21" s="54">
        <v>16</v>
      </c>
      <c r="D21" s="58" t="str">
        <f>IFERROR(IF(F21&lt;&gt;"pending","",IF(OR($B21="",$B21="(blank)"),"",VLOOKUP($B21,'Email Marketing Raw Data'!$C:$O,10,0))),"")</f>
        <v/>
      </c>
      <c r="E21" s="59" t="str">
        <f>IFERROR(IF(F21&lt;&gt;"pending","",IF(OR($B21="",$B21="(blank)"),"",VLOOKUP($B21,'Email Marketing Raw Data'!$C:$O,11,0))),"")</f>
        <v/>
      </c>
      <c r="F21" s="54" t="str">
        <f>IFERROR(IF(OR($B21="",$B21="(blank)"),"",VLOOKUP($B21,'Email Marketing Raw Data'!$C:$O,13,0)),"")</f>
        <v>Delivered</v>
      </c>
      <c r="G21" s="55" t="str">
        <f>IFERROR(IF(OR($B21="",$B21="(blank)"),"",VLOOKUP($B21,'Email Marketing Raw Data'!$C:$O,4,0)),"")</f>
        <v>Customer Name 3</v>
      </c>
      <c r="H21" s="55" t="str">
        <f>IFERROR(IF(OR($B21="",$B21="(blank)"),"",VLOOKUP($B21,'Email Marketing Raw Data'!$C:$O,5,0)),"")</f>
        <v>Existing</v>
      </c>
      <c r="I21" s="55" t="str">
        <f>IFERROR(IF($G21="","",VLOOKUP('Dashboard And Emails Automate'!$G21,Database!$H:$N,3,0)),"")</f>
        <v>Country 1</v>
      </c>
      <c r="J21" s="55" t="str">
        <f>IFERROR(IF($G21="","",VLOOKUP('Dashboard And Emails Automate'!$G21,Database!$H:$N,4,0)),"")</f>
        <v>City 3</v>
      </c>
      <c r="K21" s="55" t="str">
        <f>IFERROR(IF($G21="","",VLOOKUP('Dashboard And Emails Automate'!$G21,Database!$H:$N,5,0)),"")</f>
        <v>Address 3</v>
      </c>
      <c r="L21" s="55" t="str">
        <f>IFERROR(IF($G21="","",VLOOKUP('Dashboard And Emails Automate'!$G21,Database!$H:$N,6,0)),"")</f>
        <v>Customer.3@domain.com</v>
      </c>
      <c r="M21" s="55" t="str">
        <f>IFERROR(IF($G21="","",VLOOKUP('Dashboard And Emails Automate'!$G21,Database!$H:$N,7,0)),"")</f>
        <v>020xxxxxx14</v>
      </c>
      <c r="N21" s="55" t="str">
        <f>IFERROR(IF(OR($B21="",$B21="(blank)"),"",VLOOKUP($B21,'Email Marketing Raw Data'!$C:$O,6,0)),"")</f>
        <v>Email Title 2</v>
      </c>
      <c r="O21" s="55" t="str">
        <f>IFERROR(IF(OR($B21="",$B21="(blank)"),"",VLOOKUP($B21,'Email Marketing Raw Data'!$C:$O,7,0)),"")</f>
        <v>Subject Line 2</v>
      </c>
      <c r="P21" s="55" t="str">
        <f>IFERROR(IF(OR($B21="",$B21="(blank)"),"",VLOOKUP($B21,'Email Marketing Raw Data'!$C:$O,8,0)),"")</f>
        <v>Here you can write email content #2</v>
      </c>
      <c r="Q21" s="62" t="str">
        <f>IFERROR(IF(OR($B21="",$B21="(blank)"),"",VLOOKUP($B21,'Email Marketing Raw Data'!$C:$O,9,0)),"")</f>
        <v>https://www.simplesheets.co/</v>
      </c>
    </row>
    <row r="22" spans="2:17" x14ac:dyDescent="0.2">
      <c r="B22" s="55" t="s">
        <v>163</v>
      </c>
      <c r="C22" s="54">
        <v>20</v>
      </c>
      <c r="D22" s="58" t="str">
        <f>IFERROR(IF(F22&lt;&gt;"pending","",IF(OR($B22="",$B22="(blank)"),"",VLOOKUP($B22,'Email Marketing Raw Data'!$C:$O,10,0))),"")</f>
        <v/>
      </c>
      <c r="E22" s="59" t="str">
        <f>IFERROR(IF(F22&lt;&gt;"pending","",IF(OR($B22="",$B22="(blank)"),"",VLOOKUP($B22,'Email Marketing Raw Data'!$C:$O,11,0))),"")</f>
        <v/>
      </c>
      <c r="F22" s="54" t="str">
        <f>IFERROR(IF(OR($B22="",$B22="(blank)"),"",VLOOKUP($B22,'Email Marketing Raw Data'!$C:$O,13,0)),"")</f>
        <v>Sent</v>
      </c>
      <c r="G22" s="55" t="str">
        <f>IFERROR(IF(OR($B22="",$B22="(blank)"),"",VLOOKUP($B22,'Email Marketing Raw Data'!$C:$O,4,0)),"")</f>
        <v>Customer Name 3</v>
      </c>
      <c r="H22" s="55" t="str">
        <f>IFERROR(IF(OR($B22="",$B22="(blank)"),"",VLOOKUP($B22,'Email Marketing Raw Data'!$C:$O,5,0)),"")</f>
        <v>Existing</v>
      </c>
      <c r="I22" s="55" t="str">
        <f>IFERROR(IF($G22="","",VLOOKUP('Dashboard And Emails Automate'!$G22,Database!$H:$N,3,0)),"")</f>
        <v>Country 1</v>
      </c>
      <c r="J22" s="55" t="str">
        <f>IFERROR(IF($G22="","",VLOOKUP('Dashboard And Emails Automate'!$G22,Database!$H:$N,4,0)),"")</f>
        <v>City 3</v>
      </c>
      <c r="K22" s="55" t="str">
        <f>IFERROR(IF($G22="","",VLOOKUP('Dashboard And Emails Automate'!$G22,Database!$H:$N,5,0)),"")</f>
        <v>Address 3</v>
      </c>
      <c r="L22" s="55" t="str">
        <f>IFERROR(IF($G22="","",VLOOKUP('Dashboard And Emails Automate'!$G22,Database!$H:$N,6,0)),"")</f>
        <v>Customer.3@domain.com</v>
      </c>
      <c r="M22" s="55" t="str">
        <f>IFERROR(IF($G22="","",VLOOKUP('Dashboard And Emails Automate'!$G22,Database!$H:$N,7,0)),"")</f>
        <v>020xxxxxx14</v>
      </c>
      <c r="N22" s="55" t="str">
        <f>IFERROR(IF(OR($B22="",$B22="(blank)"),"",VLOOKUP($B22,'Email Marketing Raw Data'!$C:$O,6,0)),"")</f>
        <v>Email Title 11</v>
      </c>
      <c r="O22" s="55" t="str">
        <f>IFERROR(IF(OR($B22="",$B22="(blank)"),"",VLOOKUP($B22,'Email Marketing Raw Data'!$C:$O,7,0)),"")</f>
        <v>Subject Line 11</v>
      </c>
      <c r="P22" s="55" t="str">
        <f>IFERROR(IF(OR($B22="",$B22="(blank)"),"",VLOOKUP($B22,'Email Marketing Raw Data'!$C:$O,8,0)),"")</f>
        <v>Here you can write email content #11</v>
      </c>
      <c r="Q22" s="62" t="str">
        <f>IFERROR(IF(OR($B22="",$B22="(blank)"),"",VLOOKUP($B22,'Email Marketing Raw Data'!$C:$O,9,0)),"")</f>
        <v>https://www.simplesheets.co/</v>
      </c>
    </row>
    <row r="23" spans="2:17" x14ac:dyDescent="0.2">
      <c r="B23" s="55" t="s">
        <v>159</v>
      </c>
      <c r="C23" s="54">
        <v>24</v>
      </c>
      <c r="D23" s="58">
        <f>IFERROR(IF(F23&lt;&gt;"pending","",IF(OR($B23="",$B23="(blank)"),"",VLOOKUP($B23,'Email Marketing Raw Data'!$C:$O,10,0))),"")</f>
        <v>44277</v>
      </c>
      <c r="E23" s="59">
        <f>IFERROR(IF(F23&lt;&gt;"pending","",IF(OR($B23="",$B23="(blank)"),"",VLOOKUP($B23,'Email Marketing Raw Data'!$C:$O,11,0))),"")</f>
        <v>0.47916666666666669</v>
      </c>
      <c r="F23" s="54" t="str">
        <f>IFERROR(IF(OR($B23="",$B23="(blank)"),"",VLOOKUP($B23,'Email Marketing Raw Data'!$C:$O,13,0)),"")</f>
        <v>Pending</v>
      </c>
      <c r="G23" s="55" t="str">
        <f>IFERROR(IF(OR($B23="",$B23="(blank)"),"",VLOOKUP($B23,'Email Marketing Raw Data'!$C:$O,4,0)),"")</f>
        <v>Customer Name 2</v>
      </c>
      <c r="H23" s="55" t="str">
        <f>IFERROR(IF(OR($B23="",$B23="(blank)"),"",VLOOKUP($B23,'Email Marketing Raw Data'!$C:$O,5,0)),"")</f>
        <v>Lead</v>
      </c>
      <c r="I23" s="55" t="str">
        <f>IFERROR(IF($G23="","",VLOOKUP('Dashboard And Emails Automate'!$G23,Database!$H:$N,3,0)),"")</f>
        <v>Country 1</v>
      </c>
      <c r="J23" s="55" t="str">
        <f>IFERROR(IF($G23="","",VLOOKUP('Dashboard And Emails Automate'!$G23,Database!$H:$N,4,0)),"")</f>
        <v>City 2</v>
      </c>
      <c r="K23" s="55" t="str">
        <f>IFERROR(IF($G23="","",VLOOKUP('Dashboard And Emails Automate'!$G23,Database!$H:$N,5,0)),"")</f>
        <v>Address 2</v>
      </c>
      <c r="L23" s="55" t="str">
        <f>IFERROR(IF($G23="","",VLOOKUP('Dashboard And Emails Automate'!$G23,Database!$H:$N,6,0)),"")</f>
        <v>Customer.2@domain.com</v>
      </c>
      <c r="M23" s="55" t="str">
        <f>IFERROR(IF($G23="","",VLOOKUP('Dashboard And Emails Automate'!$G23,Database!$H:$N,7,0)),"")</f>
        <v>020xxxxxx13</v>
      </c>
      <c r="N23" s="55" t="str">
        <f>IFERROR(IF(OR($B23="",$B23="(blank)"),"",VLOOKUP($B23,'Email Marketing Raw Data'!$C:$O,6,0)),"")</f>
        <v>Email Title 7</v>
      </c>
      <c r="O23" s="55" t="str">
        <f>IFERROR(IF(OR($B23="",$B23="(blank)"),"",VLOOKUP($B23,'Email Marketing Raw Data'!$C:$O,7,0)),"")</f>
        <v>Subject Line 7</v>
      </c>
      <c r="P23" s="55" t="str">
        <f>IFERROR(IF(OR($B23="",$B23="(blank)"),"",VLOOKUP($B23,'Email Marketing Raw Data'!$C:$O,8,0)),"")</f>
        <v>Here you can write email content #7</v>
      </c>
      <c r="Q23" s="62" t="str">
        <f>IFERROR(IF(OR($B23="",$B23="(blank)"),"",VLOOKUP($B23,'Email Marketing Raw Data'!$C:$O,9,0)),"")</f>
        <v>https://www.simplesheets.co/</v>
      </c>
    </row>
    <row r="24" spans="2:17" x14ac:dyDescent="0.2">
      <c r="B24" s="55" t="s">
        <v>167</v>
      </c>
      <c r="C24" s="54">
        <v>31</v>
      </c>
      <c r="D24" s="58">
        <f>IFERROR(IF(F24&lt;&gt;"pending","",IF(OR($B24="",$B24="(blank)"),"",VLOOKUP($B24,'Email Marketing Raw Data'!$C:$O,10,0))),"")</f>
        <v>44284</v>
      </c>
      <c r="E24" s="59">
        <f>IFERROR(IF(F24&lt;&gt;"pending","",IF(OR($B24="",$B24="(blank)"),"",VLOOKUP($B24,'Email Marketing Raw Data'!$C:$O,11,0))),"")</f>
        <v>0.1875</v>
      </c>
      <c r="F24" s="54" t="str">
        <f>IFERROR(IF(OR($B24="",$B24="(blank)"),"",VLOOKUP($B24,'Email Marketing Raw Data'!$C:$O,13,0)),"")</f>
        <v>Pending</v>
      </c>
      <c r="G24" s="55" t="str">
        <f>IFERROR(IF(OR($B24="",$B24="(blank)"),"",VLOOKUP($B24,'Email Marketing Raw Data'!$C:$O,4,0)),"")</f>
        <v>Customer Name 2</v>
      </c>
      <c r="H24" s="55" t="str">
        <f>IFERROR(IF(OR($B24="",$B24="(blank)"),"",VLOOKUP($B24,'Email Marketing Raw Data'!$C:$O,5,0)),"")</f>
        <v>Lead</v>
      </c>
      <c r="I24" s="55" t="str">
        <f>IFERROR(IF($G24="","",VLOOKUP('Dashboard And Emails Automate'!$G24,Database!$H:$N,3,0)),"")</f>
        <v>Country 1</v>
      </c>
      <c r="J24" s="55" t="str">
        <f>IFERROR(IF($G24="","",VLOOKUP('Dashboard And Emails Automate'!$G24,Database!$H:$N,4,0)),"")</f>
        <v>City 2</v>
      </c>
      <c r="K24" s="55" t="str">
        <f>IFERROR(IF($G24="","",VLOOKUP('Dashboard And Emails Automate'!$G24,Database!$H:$N,5,0)),"")</f>
        <v>Address 2</v>
      </c>
      <c r="L24" s="55" t="str">
        <f>IFERROR(IF($G24="","",VLOOKUP('Dashboard And Emails Automate'!$G24,Database!$H:$N,6,0)),"")</f>
        <v>Customer.2@domain.com</v>
      </c>
      <c r="M24" s="55" t="str">
        <f>IFERROR(IF($G24="","",VLOOKUP('Dashboard And Emails Automate'!$G24,Database!$H:$N,7,0)),"")</f>
        <v>020xxxxxx13</v>
      </c>
      <c r="N24" s="55" t="str">
        <f>IFERROR(IF(OR($B24="",$B24="(blank)"),"",VLOOKUP($B24,'Email Marketing Raw Data'!$C:$O,6,0)),"")</f>
        <v>Email Title 15</v>
      </c>
      <c r="O24" s="55" t="str">
        <f>IFERROR(IF(OR($B24="",$B24="(blank)"),"",VLOOKUP($B24,'Email Marketing Raw Data'!$C:$O,7,0)),"")</f>
        <v>Subject Line 15</v>
      </c>
      <c r="P24" s="55" t="str">
        <f>IFERROR(IF(OR($B24="",$B24="(blank)"),"",VLOOKUP($B24,'Email Marketing Raw Data'!$C:$O,8,0)),"")</f>
        <v>Here you can write email content #15</v>
      </c>
      <c r="Q24" s="62" t="str">
        <f>IFERROR(IF(OR($B24="",$B24="(blank)"),"",VLOOKUP($B24,'Email Marketing Raw Data'!$C:$O,9,0)),"")</f>
        <v>https://www.simplesheets.co/</v>
      </c>
    </row>
    <row r="25" spans="2:17" x14ac:dyDescent="0.2">
      <c r="B25" s="55" t="s">
        <v>166</v>
      </c>
      <c r="C25" s="54">
        <v>33</v>
      </c>
      <c r="D25" s="58" t="str">
        <f>IFERROR(IF(F25&lt;&gt;"pending","",IF(OR($B25="",$B25="(blank)"),"",VLOOKUP($B25,'Email Marketing Raw Data'!$C:$O,10,0))),"")</f>
        <v/>
      </c>
      <c r="E25" s="59" t="str">
        <f>IFERROR(IF(F25&lt;&gt;"pending","",IF(OR($B25="",$B25="(blank)"),"",VLOOKUP($B25,'Email Marketing Raw Data'!$C:$O,11,0))),"")</f>
        <v/>
      </c>
      <c r="F25" s="54" t="str">
        <f>IFERROR(IF(OR($B25="",$B25="(blank)"),"",VLOOKUP($B25,'Email Marketing Raw Data'!$C:$O,13,0)),"")</f>
        <v>Opened</v>
      </c>
      <c r="G25" s="55" t="str">
        <f>IFERROR(IF(OR($B25="",$B25="(blank)"),"",VLOOKUP($B25,'Email Marketing Raw Data'!$C:$O,4,0)),"")</f>
        <v>Customer Name 5</v>
      </c>
      <c r="H25" s="55" t="str">
        <f>IFERROR(IF(OR($B25="",$B25="(blank)"),"",VLOOKUP($B25,'Email Marketing Raw Data'!$C:$O,5,0)),"")</f>
        <v>Prospect</v>
      </c>
      <c r="I25" s="55" t="str">
        <f>IFERROR(IF($G25="","",VLOOKUP('Dashboard And Emails Automate'!$G25,Database!$H:$N,3,0)),"")</f>
        <v>Country 2</v>
      </c>
      <c r="J25" s="55" t="str">
        <f>IFERROR(IF($G25="","",VLOOKUP('Dashboard And Emails Automate'!$G25,Database!$H:$N,4,0)),"")</f>
        <v>City 5</v>
      </c>
      <c r="K25" s="55" t="str">
        <f>IFERROR(IF($G25="","",VLOOKUP('Dashboard And Emails Automate'!$G25,Database!$H:$N,5,0)),"")</f>
        <v>Address 5</v>
      </c>
      <c r="L25" s="55" t="str">
        <f>IFERROR(IF($G25="","",VLOOKUP('Dashboard And Emails Automate'!$G25,Database!$H:$N,6,0)),"")</f>
        <v>Customer.5@domain.com</v>
      </c>
      <c r="M25" s="55" t="str">
        <f>IFERROR(IF($G25="","",VLOOKUP('Dashboard And Emails Automate'!$G25,Database!$H:$N,7,0)),"")</f>
        <v>020xxxxxx16</v>
      </c>
      <c r="N25" s="55" t="str">
        <f>IFERROR(IF(OR($B25="",$B25="(blank)"),"",VLOOKUP($B25,'Email Marketing Raw Data'!$C:$O,6,0)),"")</f>
        <v>Email Title 14</v>
      </c>
      <c r="O25" s="55" t="str">
        <f>IFERROR(IF(OR($B25="",$B25="(blank)"),"",VLOOKUP($B25,'Email Marketing Raw Data'!$C:$O,7,0)),"")</f>
        <v>Subject Line 14</v>
      </c>
      <c r="P25" s="55" t="str">
        <f>IFERROR(IF(OR($B25="",$B25="(blank)"),"",VLOOKUP($B25,'Email Marketing Raw Data'!$C:$O,8,0)),"")</f>
        <v>Here you can write email content #14</v>
      </c>
      <c r="Q25" s="62" t="str">
        <f>IFERROR(IF(OR($B25="",$B25="(blank)"),"",VLOOKUP($B25,'Email Marketing Raw Data'!$C:$O,9,0)),"")</f>
        <v>https://www.simplesheets.co/</v>
      </c>
    </row>
    <row r="26" spans="2:17" x14ac:dyDescent="0.2">
      <c r="B26" s="55" t="s">
        <v>171</v>
      </c>
      <c r="C26" s="54">
        <v>34</v>
      </c>
      <c r="D26" s="58" t="str">
        <f>IFERROR(IF(F26&lt;&gt;"pending","",IF(OR($B26="",$B26="(blank)"),"",VLOOKUP($B26,'Email Marketing Raw Data'!$C:$O,10,0))),"")</f>
        <v/>
      </c>
      <c r="E26" s="59" t="str">
        <f>IFERROR(IF(F26&lt;&gt;"pending","",IF(OR($B26="",$B26="(blank)"),"",VLOOKUP($B26,'Email Marketing Raw Data'!$C:$O,11,0))),"")</f>
        <v/>
      </c>
      <c r="F26" s="54" t="str">
        <f>IFERROR(IF(OR($B26="",$B26="(blank)"),"",VLOOKUP($B26,'Email Marketing Raw Data'!$C:$O,13,0)),"")</f>
        <v>Opened</v>
      </c>
      <c r="G26" s="55" t="str">
        <f>IFERROR(IF(OR($B26="",$B26="(blank)"),"",VLOOKUP($B26,'Email Marketing Raw Data'!$C:$O,4,0)),"")</f>
        <v>Customer Name 4</v>
      </c>
      <c r="H26" s="55" t="str">
        <f>IFERROR(IF(OR($B26="",$B26="(blank)"),"",VLOOKUP($B26,'Email Marketing Raw Data'!$C:$O,5,0)),"")</f>
        <v>Existing</v>
      </c>
      <c r="I26" s="55" t="str">
        <f>IFERROR(IF($G26="","",VLOOKUP('Dashboard And Emails Automate'!$G26,Database!$H:$N,3,0)),"")</f>
        <v>Country 2</v>
      </c>
      <c r="J26" s="55" t="str">
        <f>IFERROR(IF($G26="","",VLOOKUP('Dashboard And Emails Automate'!$G26,Database!$H:$N,4,0)),"")</f>
        <v>City 4</v>
      </c>
      <c r="K26" s="55" t="str">
        <f>IFERROR(IF($G26="","",VLOOKUP('Dashboard And Emails Automate'!$G26,Database!$H:$N,5,0)),"")</f>
        <v>Address 4</v>
      </c>
      <c r="L26" s="55" t="str">
        <f>IFERROR(IF($G26="","",VLOOKUP('Dashboard And Emails Automate'!$G26,Database!$H:$N,6,0)),"")</f>
        <v>Customer.4@domain.com</v>
      </c>
      <c r="M26" s="55" t="str">
        <f>IFERROR(IF($G26="","",VLOOKUP('Dashboard And Emails Automate'!$G26,Database!$H:$N,7,0)),"")</f>
        <v>020xxxxxx15</v>
      </c>
      <c r="N26" s="55" t="str">
        <f>IFERROR(IF(OR($B26="",$B26="(blank)"),"",VLOOKUP($B26,'Email Marketing Raw Data'!$C:$O,6,0)),"")</f>
        <v>Email Title 19</v>
      </c>
      <c r="O26" s="55" t="str">
        <f>IFERROR(IF(OR($B26="",$B26="(blank)"),"",VLOOKUP($B26,'Email Marketing Raw Data'!$C:$O,7,0)),"")</f>
        <v>Subject Line 19</v>
      </c>
      <c r="P26" s="55" t="str">
        <f>IFERROR(IF(OR($B26="",$B26="(blank)"),"",VLOOKUP($B26,'Email Marketing Raw Data'!$C:$O,8,0)),"")</f>
        <v>Here you can write email content #19</v>
      </c>
      <c r="Q26" s="62" t="str">
        <f>IFERROR(IF(OR($B26="",$B26="(blank)"),"",VLOOKUP($B26,'Email Marketing Raw Data'!$C:$O,9,0)),"")</f>
        <v>https://www.simplesheets.co/</v>
      </c>
    </row>
    <row r="27" spans="2:17" x14ac:dyDescent="0.2">
      <c r="B27" s="55" t="s">
        <v>168</v>
      </c>
      <c r="C27" s="54">
        <v>35</v>
      </c>
      <c r="D27" s="58" t="str">
        <f>IFERROR(IF(F27&lt;&gt;"pending","",IF(OR($B27="",$B27="(blank)"),"",VLOOKUP($B27,'Email Marketing Raw Data'!$C:$O,10,0))),"")</f>
        <v/>
      </c>
      <c r="E27" s="59" t="str">
        <f>IFERROR(IF(F27&lt;&gt;"pending","",IF(OR($B27="",$B27="(blank)"),"",VLOOKUP($B27,'Email Marketing Raw Data'!$C:$O,11,0))),"")</f>
        <v/>
      </c>
      <c r="F27" s="54" t="str">
        <f>IFERROR(IF(OR($B27="",$B27="(blank)"),"",VLOOKUP($B27,'Email Marketing Raw Data'!$C:$O,13,0)),"")</f>
        <v>Delivered</v>
      </c>
      <c r="G27" s="55" t="str">
        <f>IFERROR(IF(OR($B27="",$B27="(blank)"),"",VLOOKUP($B27,'Email Marketing Raw Data'!$C:$O,4,0)),"")</f>
        <v>Customer Name 5</v>
      </c>
      <c r="H27" s="55" t="str">
        <f>IFERROR(IF(OR($B27="",$B27="(blank)"),"",VLOOKUP($B27,'Email Marketing Raw Data'!$C:$O,5,0)),"")</f>
        <v>Prospect</v>
      </c>
      <c r="I27" s="55" t="str">
        <f>IFERROR(IF($G27="","",VLOOKUP('Dashboard And Emails Automate'!$G27,Database!$H:$N,3,0)),"")</f>
        <v>Country 2</v>
      </c>
      <c r="J27" s="55" t="str">
        <f>IFERROR(IF($G27="","",VLOOKUP('Dashboard And Emails Automate'!$G27,Database!$H:$N,4,0)),"")</f>
        <v>City 5</v>
      </c>
      <c r="K27" s="55" t="str">
        <f>IFERROR(IF($G27="","",VLOOKUP('Dashboard And Emails Automate'!$G27,Database!$H:$N,5,0)),"")</f>
        <v>Address 5</v>
      </c>
      <c r="L27" s="55" t="str">
        <f>IFERROR(IF($G27="","",VLOOKUP('Dashboard And Emails Automate'!$G27,Database!$H:$N,6,0)),"")</f>
        <v>Customer.5@domain.com</v>
      </c>
      <c r="M27" s="55" t="str">
        <f>IFERROR(IF($G27="","",VLOOKUP('Dashboard And Emails Automate'!$G27,Database!$H:$N,7,0)),"")</f>
        <v>020xxxxxx16</v>
      </c>
      <c r="N27" s="55" t="str">
        <f>IFERROR(IF(OR($B27="",$B27="(blank)"),"",VLOOKUP($B27,'Email Marketing Raw Data'!$C:$O,6,0)),"")</f>
        <v>Email Title 16</v>
      </c>
      <c r="O27" s="55" t="str">
        <f>IFERROR(IF(OR($B27="",$B27="(blank)"),"",VLOOKUP($B27,'Email Marketing Raw Data'!$C:$O,7,0)),"")</f>
        <v>Subject Line 16</v>
      </c>
      <c r="P27" s="55" t="str">
        <f>IFERROR(IF(OR($B27="",$B27="(blank)"),"",VLOOKUP($B27,'Email Marketing Raw Data'!$C:$O,8,0)),"")</f>
        <v>Here you can write email content #16</v>
      </c>
      <c r="Q27" s="62" t="str">
        <f>IFERROR(IF(OR($B27="",$B27="(blank)"),"",VLOOKUP($B27,'Email Marketing Raw Data'!$C:$O,9,0)),"")</f>
        <v>https://www.simplesheets.co/</v>
      </c>
    </row>
    <row r="28" spans="2:17" x14ac:dyDescent="0.2">
      <c r="B28" s="55" t="s">
        <v>172</v>
      </c>
      <c r="C28" s="54">
        <v>36</v>
      </c>
      <c r="D28" s="58" t="str">
        <f>IFERROR(IF(F28&lt;&gt;"pending","",IF(OR($B28="",$B28="(blank)"),"",VLOOKUP($B28,'Email Marketing Raw Data'!$C:$O,10,0))),"")</f>
        <v/>
      </c>
      <c r="E28" s="59" t="str">
        <f>IFERROR(IF(F28&lt;&gt;"pending","",IF(OR($B28="",$B28="(blank)"),"",VLOOKUP($B28,'Email Marketing Raw Data'!$C:$O,11,0))),"")</f>
        <v/>
      </c>
      <c r="F28" s="54" t="str">
        <f>IFERROR(IF(OR($B28="",$B28="(blank)"),"",VLOOKUP($B28,'Email Marketing Raw Data'!$C:$O,13,0)),"")</f>
        <v>Sent</v>
      </c>
      <c r="G28" s="55" t="str">
        <f>IFERROR(IF(OR($B28="",$B28="(blank)"),"",VLOOKUP($B28,'Email Marketing Raw Data'!$C:$O,4,0)),"")</f>
        <v>Customer Name 1</v>
      </c>
      <c r="H28" s="55" t="str">
        <f>IFERROR(IF(OR($B28="",$B28="(blank)"),"",VLOOKUP($B28,'Email Marketing Raw Data'!$C:$O,5,0)),"")</f>
        <v>New</v>
      </c>
      <c r="I28" s="55" t="str">
        <f>IFERROR(IF($G28="","",VLOOKUP('Dashboard And Emails Automate'!$G28,Database!$H:$N,3,0)),"")</f>
        <v>Country 1</v>
      </c>
      <c r="J28" s="55" t="str">
        <f>IFERROR(IF($G28="","",VLOOKUP('Dashboard And Emails Automate'!$G28,Database!$H:$N,4,0)),"")</f>
        <v>City 1</v>
      </c>
      <c r="K28" s="55" t="str">
        <f>IFERROR(IF($G28="","",VLOOKUP('Dashboard And Emails Automate'!$G28,Database!$H:$N,5,0)),"")</f>
        <v>Address 1</v>
      </c>
      <c r="L28" s="55" t="str">
        <f>IFERROR(IF($G28="","",VLOOKUP('Dashboard And Emails Automate'!$G28,Database!$H:$N,6,0)),"")</f>
        <v>Customer.1@domain.com</v>
      </c>
      <c r="M28" s="55" t="str">
        <f>IFERROR(IF($G28="","",VLOOKUP('Dashboard And Emails Automate'!$G28,Database!$H:$N,7,0)),"")</f>
        <v>020xxxxxx12</v>
      </c>
      <c r="N28" s="55" t="str">
        <f>IFERROR(IF(OR($B28="",$B28="(blank)"),"",VLOOKUP($B28,'Email Marketing Raw Data'!$C:$O,6,0)),"")</f>
        <v>Email Title 20</v>
      </c>
      <c r="O28" s="55" t="str">
        <f>IFERROR(IF(OR($B28="",$B28="(blank)"),"",VLOOKUP($B28,'Email Marketing Raw Data'!$C:$O,7,0)),"")</f>
        <v>Subject Line 20</v>
      </c>
      <c r="P28" s="55" t="str">
        <f>IFERROR(IF(OR($B28="",$B28="(blank)"),"",VLOOKUP($B28,'Email Marketing Raw Data'!$C:$O,8,0)),"")</f>
        <v>Here you can write email content #20</v>
      </c>
      <c r="Q28" s="62" t="str">
        <f>IFERROR(IF(OR($B28="",$B28="(blank)"),"",VLOOKUP($B28,'Email Marketing Raw Data'!$C:$O,9,0)),"")</f>
        <v>https://www.simplesheets.co/</v>
      </c>
    </row>
    <row r="29" spans="2:17" x14ac:dyDescent="0.2">
      <c r="B29" s="55" t="s">
        <v>169</v>
      </c>
      <c r="C29" s="54">
        <v>38</v>
      </c>
      <c r="D29" s="58" t="str">
        <f>IFERROR(IF(F29&lt;&gt;"pending","",IF(OR($B29="",$B29="(blank)"),"",VLOOKUP($B29,'Email Marketing Raw Data'!$C:$O,10,0))),"")</f>
        <v/>
      </c>
      <c r="E29" s="59" t="str">
        <f>IFERROR(IF(F29&lt;&gt;"pending","",IF(OR($B29="",$B29="(blank)"),"",VLOOKUP($B29,'Email Marketing Raw Data'!$C:$O,11,0))),"")</f>
        <v/>
      </c>
      <c r="F29" s="54" t="str">
        <f>IFERROR(IF(OR($B29="",$B29="(blank)"),"",VLOOKUP($B29,'Email Marketing Raw Data'!$C:$O,13,0)),"")</f>
        <v>Clicked</v>
      </c>
      <c r="G29" s="55" t="str">
        <f>IFERROR(IF(OR($B29="",$B29="(blank)"),"",VLOOKUP($B29,'Email Marketing Raw Data'!$C:$O,4,0)),"")</f>
        <v>Customer Name 1</v>
      </c>
      <c r="H29" s="55" t="str">
        <f>IFERROR(IF(OR($B29="",$B29="(blank)"),"",VLOOKUP($B29,'Email Marketing Raw Data'!$C:$O,5,0)),"")</f>
        <v>New</v>
      </c>
      <c r="I29" s="55" t="str">
        <f>IFERROR(IF($G29="","",VLOOKUP('Dashboard And Emails Automate'!$G29,Database!$H:$N,3,0)),"")</f>
        <v>Country 1</v>
      </c>
      <c r="J29" s="55" t="str">
        <f>IFERROR(IF($G29="","",VLOOKUP('Dashboard And Emails Automate'!$G29,Database!$H:$N,4,0)),"")</f>
        <v>City 1</v>
      </c>
      <c r="K29" s="55" t="str">
        <f>IFERROR(IF($G29="","",VLOOKUP('Dashboard And Emails Automate'!$G29,Database!$H:$N,5,0)),"")</f>
        <v>Address 1</v>
      </c>
      <c r="L29" s="55" t="str">
        <f>IFERROR(IF($G29="","",VLOOKUP('Dashboard And Emails Automate'!$G29,Database!$H:$N,6,0)),"")</f>
        <v>Customer.1@domain.com</v>
      </c>
      <c r="M29" s="55" t="str">
        <f>IFERROR(IF($G29="","",VLOOKUP('Dashboard And Emails Automate'!$G29,Database!$H:$N,7,0)),"")</f>
        <v>020xxxxxx12</v>
      </c>
      <c r="N29" s="55" t="str">
        <f>IFERROR(IF(OR($B29="",$B29="(blank)"),"",VLOOKUP($B29,'Email Marketing Raw Data'!$C:$O,6,0)),"")</f>
        <v>Email Title 17</v>
      </c>
      <c r="O29" s="55" t="str">
        <f>IFERROR(IF(OR($B29="",$B29="(blank)"),"",VLOOKUP($B29,'Email Marketing Raw Data'!$C:$O,7,0)),"")</f>
        <v>Subject Line 17</v>
      </c>
      <c r="P29" s="55" t="str">
        <f>IFERROR(IF(OR($B29="",$B29="(blank)"),"",VLOOKUP($B29,'Email Marketing Raw Data'!$C:$O,8,0)),"")</f>
        <v>Here you can write email content #17</v>
      </c>
      <c r="Q29" s="62" t="str">
        <f>IFERROR(IF(OR($B29="",$B29="(blank)"),"",VLOOKUP($B29,'Email Marketing Raw Data'!$C:$O,9,0)),"")</f>
        <v>https://www.simplesheets.co/</v>
      </c>
    </row>
    <row r="30" spans="2:17" x14ac:dyDescent="0.2">
      <c r="B30" s="55" t="s">
        <v>201</v>
      </c>
      <c r="C30" s="54">
        <v>39</v>
      </c>
      <c r="D30" s="58">
        <f>IFERROR(IF(F30&lt;&gt;"pending","",IF(OR($B30="",$B30="(blank)"),"",VLOOKUP($B30,'Email Marketing Raw Data'!$C:$O,10,0))),"")</f>
        <v>44292</v>
      </c>
      <c r="E30" s="59">
        <f>IFERROR(IF(F30&lt;&gt;"pending","",IF(OR($B30="",$B30="(blank)"),"",VLOOKUP($B30,'Email Marketing Raw Data'!$C:$O,11,0))),"")</f>
        <v>0.33333333333333331</v>
      </c>
      <c r="F30" s="54" t="str">
        <f>IFERROR(IF(OR($B30="",$B30="(blank)"),"",VLOOKUP($B30,'Email Marketing Raw Data'!$C:$O,13,0)),"")</f>
        <v>Pending</v>
      </c>
      <c r="G30" s="55" t="str">
        <f>IFERROR(IF(OR($B30="",$B30="(blank)"),"",VLOOKUP($B30,'Email Marketing Raw Data'!$C:$O,4,0)),"")</f>
        <v>Customer Name 2</v>
      </c>
      <c r="H30" s="55" t="str">
        <f>IFERROR(IF(OR($B30="",$B30="(blank)"),"",VLOOKUP($B30,'Email Marketing Raw Data'!$C:$O,5,0)),"")</f>
        <v>Lead</v>
      </c>
      <c r="I30" s="55" t="str">
        <f>IFERROR(IF($G30="","",VLOOKUP('Dashboard And Emails Automate'!$G30,Database!$H:$N,3,0)),"")</f>
        <v>Country 1</v>
      </c>
      <c r="J30" s="55" t="str">
        <f>IFERROR(IF($G30="","",VLOOKUP('Dashboard And Emails Automate'!$G30,Database!$H:$N,4,0)),"")</f>
        <v>City 2</v>
      </c>
      <c r="K30" s="55" t="str">
        <f>IFERROR(IF($G30="","",VLOOKUP('Dashboard And Emails Automate'!$G30,Database!$H:$N,5,0)),"")</f>
        <v>Address 2</v>
      </c>
      <c r="L30" s="55" t="str">
        <f>IFERROR(IF($G30="","",VLOOKUP('Dashboard And Emails Automate'!$G30,Database!$H:$N,6,0)),"")</f>
        <v>Customer.2@domain.com</v>
      </c>
      <c r="M30" s="55" t="str">
        <f>IFERROR(IF($G30="","",VLOOKUP('Dashboard And Emails Automate'!$G30,Database!$H:$N,7,0)),"")</f>
        <v>020xxxxxx13</v>
      </c>
      <c r="N30" s="55" t="str">
        <f>IFERROR(IF(OR($B30="",$B30="(blank)"),"",VLOOKUP($B30,'Email Marketing Raw Data'!$C:$O,6,0)),"")</f>
        <v>Email Title 21</v>
      </c>
      <c r="O30" s="55" t="str">
        <f>IFERROR(IF(OR($B30="",$B30="(blank)"),"",VLOOKUP($B30,'Email Marketing Raw Data'!$C:$O,7,0)),"")</f>
        <v>Subject Line 21</v>
      </c>
      <c r="P30" s="55" t="str">
        <f>IFERROR(IF(OR($B30="",$B30="(blank)"),"",VLOOKUP($B30,'Email Marketing Raw Data'!$C:$O,8,0)),"")</f>
        <v>Here you can write email content #21</v>
      </c>
      <c r="Q30" s="62" t="str">
        <f>IFERROR(IF(OR($B30="",$B30="(blank)"),"",VLOOKUP($B30,'Email Marketing Raw Data'!$C:$O,9,0)),"")</f>
        <v>https://www.simplesheets.co/</v>
      </c>
    </row>
    <row r="31" spans="2:17" x14ac:dyDescent="0.2">
      <c r="B31" s="55" t="s">
        <v>164</v>
      </c>
      <c r="C31" s="54">
        <v>44</v>
      </c>
      <c r="D31" s="58" t="str">
        <f>IFERROR(IF(F31&lt;&gt;"pending","",IF(OR($B31="",$B31="(blank)"),"",VLOOKUP($B31,'Email Marketing Raw Data'!$C:$O,10,0))),"")</f>
        <v/>
      </c>
      <c r="E31" s="59" t="str">
        <f>IFERROR(IF(F31&lt;&gt;"pending","",IF(OR($B31="",$B31="(blank)"),"",VLOOKUP($B31,'Email Marketing Raw Data'!$C:$O,11,0))),"")</f>
        <v/>
      </c>
      <c r="F31" s="54" t="str">
        <f>IFERROR(IF(OR($B31="",$B31="(blank)"),"",VLOOKUP($B31,'Email Marketing Raw Data'!$C:$O,13,0)),"")</f>
        <v>Clicked</v>
      </c>
      <c r="G31" s="55" t="str">
        <f>IFERROR(IF(OR($B31="",$B31="(blank)"),"",VLOOKUP($B31,'Email Marketing Raw Data'!$C:$O,4,0)),"")</f>
        <v>Customer Name 1</v>
      </c>
      <c r="H31" s="55" t="str">
        <f>IFERROR(IF(OR($B31="",$B31="(blank)"),"",VLOOKUP($B31,'Email Marketing Raw Data'!$C:$O,5,0)),"")</f>
        <v>New</v>
      </c>
      <c r="I31" s="55" t="str">
        <f>IFERROR(IF($G31="","",VLOOKUP('Dashboard And Emails Automate'!$G31,Database!$H:$N,3,0)),"")</f>
        <v>Country 1</v>
      </c>
      <c r="J31" s="55" t="str">
        <f>IFERROR(IF($G31="","",VLOOKUP('Dashboard And Emails Automate'!$G31,Database!$H:$N,4,0)),"")</f>
        <v>City 1</v>
      </c>
      <c r="K31" s="55" t="str">
        <f>IFERROR(IF($G31="","",VLOOKUP('Dashboard And Emails Automate'!$G31,Database!$H:$N,5,0)),"")</f>
        <v>Address 1</v>
      </c>
      <c r="L31" s="55" t="str">
        <f>IFERROR(IF($G31="","",VLOOKUP('Dashboard And Emails Automate'!$G31,Database!$H:$N,6,0)),"")</f>
        <v>Customer.1@domain.com</v>
      </c>
      <c r="M31" s="55" t="str">
        <f>IFERROR(IF($G31="","",VLOOKUP('Dashboard And Emails Automate'!$G31,Database!$H:$N,7,0)),"")</f>
        <v>020xxxxxx12</v>
      </c>
      <c r="N31" s="55" t="str">
        <f>IFERROR(IF(OR($B31="",$B31="(blank)"),"",VLOOKUP($B31,'Email Marketing Raw Data'!$C:$O,6,0)),"")</f>
        <v>Email Title 12</v>
      </c>
      <c r="O31" s="55" t="str">
        <f>IFERROR(IF(OR($B31="",$B31="(blank)"),"",VLOOKUP($B31,'Email Marketing Raw Data'!$C:$O,7,0)),"")</f>
        <v>Subject Line 12</v>
      </c>
      <c r="P31" s="55" t="str">
        <f>IFERROR(IF(OR($B31="",$B31="(blank)"),"",VLOOKUP($B31,'Email Marketing Raw Data'!$C:$O,8,0)),"")</f>
        <v>Here you can write email content #12</v>
      </c>
      <c r="Q31" s="62" t="str">
        <f>IFERROR(IF(OR($B31="",$B31="(blank)"),"",VLOOKUP($B31,'Email Marketing Raw Data'!$C:$O,9,0)),"")</f>
        <v>https://www.simplesheets.co/</v>
      </c>
    </row>
    <row r="32" spans="2:17" x14ac:dyDescent="0.2">
      <c r="B32" s="55" t="s">
        <v>158</v>
      </c>
      <c r="C32" s="54">
        <v>48</v>
      </c>
      <c r="D32" s="58">
        <f>IFERROR(IF(F32&lt;&gt;"pending","",IF(OR($B32="",$B32="(blank)"),"",VLOOKUP($B32,'Email Marketing Raw Data'!$C:$O,10,0))),"")</f>
        <v>44301</v>
      </c>
      <c r="E32" s="59">
        <f>IFERROR(IF(F32&lt;&gt;"pending","",IF(OR($B32="",$B32="(blank)"),"",VLOOKUP($B32,'Email Marketing Raw Data'!$C:$O,11,0))),"")</f>
        <v>0.35416666666666669</v>
      </c>
      <c r="F32" s="54" t="str">
        <f>IFERROR(IF(OR($B32="",$B32="(blank)"),"",VLOOKUP($B32,'Email Marketing Raw Data'!$C:$O,13,0)),"")</f>
        <v>Pending</v>
      </c>
      <c r="G32" s="55" t="str">
        <f>IFERROR(IF(OR($B32="",$B32="(blank)"),"",VLOOKUP($B32,'Email Marketing Raw Data'!$C:$O,4,0)),"")</f>
        <v>Customer Name 4</v>
      </c>
      <c r="H32" s="55" t="str">
        <f>IFERROR(IF(OR($B32="",$B32="(blank)"),"",VLOOKUP($B32,'Email Marketing Raw Data'!$C:$O,5,0)),"")</f>
        <v>Existing</v>
      </c>
      <c r="I32" s="55" t="str">
        <f>IFERROR(IF($G32="","",VLOOKUP('Dashboard And Emails Automate'!$G32,Database!$H:$N,3,0)),"")</f>
        <v>Country 2</v>
      </c>
      <c r="J32" s="55" t="str">
        <f>IFERROR(IF($G32="","",VLOOKUP('Dashboard And Emails Automate'!$G32,Database!$H:$N,4,0)),"")</f>
        <v>City 4</v>
      </c>
      <c r="K32" s="55" t="str">
        <f>IFERROR(IF($G32="","",VLOOKUP('Dashboard And Emails Automate'!$G32,Database!$H:$N,5,0)),"")</f>
        <v>Address 4</v>
      </c>
      <c r="L32" s="55" t="str">
        <f>IFERROR(IF($G32="","",VLOOKUP('Dashboard And Emails Automate'!$G32,Database!$H:$N,6,0)),"")</f>
        <v>Customer.4@domain.com</v>
      </c>
      <c r="M32" s="55" t="str">
        <f>IFERROR(IF($G32="","",VLOOKUP('Dashboard And Emails Automate'!$G32,Database!$H:$N,7,0)),"")</f>
        <v>020xxxxxx15</v>
      </c>
      <c r="N32" s="55" t="str">
        <f>IFERROR(IF(OR($B32="",$B32="(blank)"),"",VLOOKUP($B32,'Email Marketing Raw Data'!$C:$O,6,0)),"")</f>
        <v>Email Title 6</v>
      </c>
      <c r="O32" s="55" t="str">
        <f>IFERROR(IF(OR($B32="",$B32="(blank)"),"",VLOOKUP($B32,'Email Marketing Raw Data'!$C:$O,7,0)),"")</f>
        <v>Subject Line 6</v>
      </c>
      <c r="P32" s="55" t="str">
        <f>IFERROR(IF(OR($B32="",$B32="(blank)"),"",VLOOKUP($B32,'Email Marketing Raw Data'!$C:$O,8,0)),"")</f>
        <v>Here you can write email content #6</v>
      </c>
      <c r="Q32" s="62" t="str">
        <f>IFERROR(IF(OR($B32="",$B32="(blank)"),"",VLOOKUP($B32,'Email Marketing Raw Data'!$C:$O,9,0)),"")</f>
        <v>https://www.simplesheets.co/</v>
      </c>
    </row>
    <row r="33" spans="2:17" x14ac:dyDescent="0.2">
      <c r="B33" s="55" t="s">
        <v>165</v>
      </c>
      <c r="C33" s="54">
        <v>53</v>
      </c>
      <c r="D33" s="58" t="str">
        <f>IFERROR(IF(F33&lt;&gt;"pending","",IF(OR($B33="",$B33="(blank)"),"",VLOOKUP($B33,'Email Marketing Raw Data'!$C:$O,10,0))),"")</f>
        <v/>
      </c>
      <c r="E33" s="59" t="str">
        <f>IFERROR(IF(F33&lt;&gt;"pending","",IF(OR($B33="",$B33="(blank)"),"",VLOOKUP($B33,'Email Marketing Raw Data'!$C:$O,11,0))),"")</f>
        <v/>
      </c>
      <c r="F33" s="54" t="str">
        <f>IFERROR(IF(OR($B33="",$B33="(blank)"),"",VLOOKUP($B33,'Email Marketing Raw Data'!$C:$O,13,0)),"")</f>
        <v>Clicked</v>
      </c>
      <c r="G33" s="55" t="str">
        <f>IFERROR(IF(OR($B33="",$B33="(blank)"),"",VLOOKUP($B33,'Email Marketing Raw Data'!$C:$O,4,0)),"")</f>
        <v>Customer Name 3</v>
      </c>
      <c r="H33" s="55" t="str">
        <f>IFERROR(IF(OR($B33="",$B33="(blank)"),"",VLOOKUP($B33,'Email Marketing Raw Data'!$C:$O,5,0)),"")</f>
        <v>Existing</v>
      </c>
      <c r="I33" s="55" t="str">
        <f>IFERROR(IF($G33="","",VLOOKUP('Dashboard And Emails Automate'!$G33,Database!$H:$N,3,0)),"")</f>
        <v>Country 1</v>
      </c>
      <c r="J33" s="55" t="str">
        <f>IFERROR(IF($G33="","",VLOOKUP('Dashboard And Emails Automate'!$G33,Database!$H:$N,4,0)),"")</f>
        <v>City 3</v>
      </c>
      <c r="K33" s="55" t="str">
        <f>IFERROR(IF($G33="","",VLOOKUP('Dashboard And Emails Automate'!$G33,Database!$H:$N,5,0)),"")</f>
        <v>Address 3</v>
      </c>
      <c r="L33" s="55" t="str">
        <f>IFERROR(IF($G33="","",VLOOKUP('Dashboard And Emails Automate'!$G33,Database!$H:$N,6,0)),"")</f>
        <v>Customer.3@domain.com</v>
      </c>
      <c r="M33" s="55" t="str">
        <f>IFERROR(IF($G33="","",VLOOKUP('Dashboard And Emails Automate'!$G33,Database!$H:$N,7,0)),"")</f>
        <v>020xxxxxx14</v>
      </c>
      <c r="N33" s="55" t="str">
        <f>IFERROR(IF(OR($B33="",$B33="(blank)"),"",VLOOKUP($B33,'Email Marketing Raw Data'!$C:$O,6,0)),"")</f>
        <v>Email Title 13</v>
      </c>
      <c r="O33" s="55" t="str">
        <f>IFERROR(IF(OR($B33="",$B33="(blank)"),"",VLOOKUP($B33,'Email Marketing Raw Data'!$C:$O,7,0)),"")</f>
        <v>Subject Line 13</v>
      </c>
      <c r="P33" s="55" t="str">
        <f>IFERROR(IF(OR($B33="",$B33="(blank)"),"",VLOOKUP($B33,'Email Marketing Raw Data'!$C:$O,8,0)),"")</f>
        <v>Here you can write email content #13</v>
      </c>
      <c r="Q33" s="62" t="str">
        <f>IFERROR(IF(OR($B33="",$B33="(blank)"),"",VLOOKUP($B33,'Email Marketing Raw Data'!$C:$O,9,0)),"")</f>
        <v>https://www.simplesheets.co/</v>
      </c>
    </row>
    <row r="34" spans="2:17" ht="12.75" customHeight="1" x14ac:dyDescent="0.2">
      <c r="B34"/>
      <c r="C34"/>
      <c r="D34" s="58" t="str">
        <f>IFERROR(IF(F34&lt;&gt;"pending","",IF(OR($B34="",$B34="(blank)"),"",VLOOKUP($B34,'Email Marketing Raw Data'!$C:$O,10,0))),"")</f>
        <v/>
      </c>
      <c r="E34" s="59" t="str">
        <f>IFERROR(IF(F34&lt;&gt;"pending","",IF(OR($B34="",$B34="(blank)"),"",VLOOKUP($B34,'Email Marketing Raw Data'!$C:$O,11,0))),"")</f>
        <v/>
      </c>
      <c r="F34" s="54" t="str">
        <f>IFERROR(IF(OR($B34="",$B34="(blank)"),"",VLOOKUP($B34,'Email Marketing Raw Data'!$C:$O,13,0)),"")</f>
        <v/>
      </c>
      <c r="G34" s="55" t="str">
        <f>IFERROR(IF(OR($B34="",$B34="(blank)"),"",VLOOKUP($B34,'Email Marketing Raw Data'!$C:$O,4,0)),"")</f>
        <v/>
      </c>
      <c r="H34" s="55" t="str">
        <f>IFERROR(IF(OR($B34="",$B34="(blank)"),"",VLOOKUP($B34,'Email Marketing Raw Data'!$C:$O,5,0)),"")</f>
        <v/>
      </c>
      <c r="I34" s="55" t="str">
        <f>IFERROR(IF($G34="","",VLOOKUP('Dashboard And Emails Automate'!$G34,Database!$H:$N,3,0)),"")</f>
        <v/>
      </c>
      <c r="J34" s="55" t="str">
        <f>IFERROR(IF($G34="","",VLOOKUP('Dashboard And Emails Automate'!$G34,Database!$H:$N,4,0)),"")</f>
        <v/>
      </c>
      <c r="K34" s="55" t="str">
        <f>IFERROR(IF($G34="","",VLOOKUP('Dashboard And Emails Automate'!$G34,Database!$H:$N,5,0)),"")</f>
        <v/>
      </c>
      <c r="L34" s="55" t="str">
        <f>IFERROR(IF($G34="","",VLOOKUP('Dashboard And Emails Automate'!$G34,Database!$H:$N,6,0)),"")</f>
        <v/>
      </c>
      <c r="M34" s="55" t="str">
        <f>IFERROR(IF($G34="","",VLOOKUP('Dashboard And Emails Automate'!$G34,Database!$H:$N,7,0)),"")</f>
        <v/>
      </c>
      <c r="N34" s="55" t="str">
        <f>IFERROR(IF(OR($B34="",$B34="(blank)"),"",VLOOKUP($B34,'Email Marketing Raw Data'!$C:$O,6,0)),"")</f>
        <v/>
      </c>
      <c r="O34" s="55" t="str">
        <f>IFERROR(IF(OR($B34="",$B34="(blank)"),"",VLOOKUP($B34,'Email Marketing Raw Data'!$C:$O,7,0)),"")</f>
        <v/>
      </c>
      <c r="P34" s="55" t="str">
        <f>IFERROR(IF(OR($B34="",$B34="(blank)"),"",VLOOKUP($B34,'Email Marketing Raw Data'!$C:$O,8,0)),"")</f>
        <v/>
      </c>
      <c r="Q34" s="62" t="str">
        <f>IFERROR(IF(OR($B34="",$B34="(blank)"),"",VLOOKUP($B34,'Email Marketing Raw Data'!$C:$O,9,0)),"")</f>
        <v/>
      </c>
    </row>
    <row r="35" spans="2:17" ht="12.75" customHeight="1" x14ac:dyDescent="0.2">
      <c r="D35" s="58" t="str">
        <f>IFERROR(IF(F35&lt;&gt;"pending","",IF(OR($B35="",$B35="(blank)"),"",VLOOKUP($B35,'Email Marketing Raw Data'!$C:$O,10,0))),"")</f>
        <v/>
      </c>
      <c r="E35" s="59" t="str">
        <f>IFERROR(IF(F35&lt;&gt;"pending","",IF(OR($B35="",$B35="(blank)"),"",VLOOKUP($B35,'Email Marketing Raw Data'!$C:$O,11,0))),"")</f>
        <v/>
      </c>
      <c r="F35" s="54" t="str">
        <f>IFERROR(IF(OR($B35="",$B35="(blank)"),"",VLOOKUP($B35,'Email Marketing Raw Data'!$C:$O,13,0)),"")</f>
        <v/>
      </c>
      <c r="G35" s="55" t="str">
        <f>IFERROR(IF(OR($B35="",$B35="(blank)"),"",VLOOKUP($B35,'Email Marketing Raw Data'!$C:$O,4,0)),"")</f>
        <v/>
      </c>
      <c r="H35" s="55" t="str">
        <f>IFERROR(IF(OR($B35="",$B35="(blank)"),"",VLOOKUP($B35,'Email Marketing Raw Data'!$C:$O,5,0)),"")</f>
        <v/>
      </c>
      <c r="I35" s="55" t="str">
        <f>IFERROR(IF($G35="","",VLOOKUP('Dashboard And Emails Automate'!$G35,Database!$H:$N,3,0)),"")</f>
        <v/>
      </c>
      <c r="J35" s="55" t="str">
        <f>IFERROR(IF($G35="","",VLOOKUP('Dashboard And Emails Automate'!$G35,Database!$H:$N,4,0)),"")</f>
        <v/>
      </c>
      <c r="K35" s="55" t="str">
        <f>IFERROR(IF($G35="","",VLOOKUP('Dashboard And Emails Automate'!$G35,Database!$H:$N,5,0)),"")</f>
        <v/>
      </c>
      <c r="L35" s="55" t="str">
        <f>IFERROR(IF($G35="","",VLOOKUP('Dashboard And Emails Automate'!$G35,Database!$H:$N,6,0)),"")</f>
        <v/>
      </c>
      <c r="M35" s="55" t="str">
        <f>IFERROR(IF($G35="","",VLOOKUP('Dashboard And Emails Automate'!$G35,Database!$H:$N,7,0)),"")</f>
        <v/>
      </c>
      <c r="N35" s="55" t="str">
        <f>IFERROR(IF(OR($B35="",$B35="(blank)"),"",VLOOKUP($B35,'Email Marketing Raw Data'!$C:$O,6,0)),"")</f>
        <v/>
      </c>
      <c r="O35" s="55" t="str">
        <f>IFERROR(IF(OR($B35="",$B35="(blank)"),"",VLOOKUP($B35,'Email Marketing Raw Data'!$C:$O,7,0)),"")</f>
        <v/>
      </c>
      <c r="P35" s="55" t="str">
        <f>IFERROR(IF(OR($B35="",$B35="(blank)"),"",VLOOKUP($B35,'Email Marketing Raw Data'!$C:$O,8,0)),"")</f>
        <v/>
      </c>
      <c r="Q35" s="62" t="str">
        <f>IFERROR(IF(OR($B35="",$B35="(blank)"),"",VLOOKUP($B35,'Email Marketing Raw Data'!$C:$O,9,0)),"")</f>
        <v/>
      </c>
    </row>
    <row r="36" spans="2:17" ht="12.75" customHeight="1" x14ac:dyDescent="0.2">
      <c r="D36" s="58" t="str">
        <f>IFERROR(IF(F36&lt;&gt;"pending","",IF(OR($B36="",$B36="(blank)"),"",VLOOKUP($B36,'Email Marketing Raw Data'!$C:$O,10,0))),"")</f>
        <v/>
      </c>
      <c r="E36" s="59" t="str">
        <f>IFERROR(IF(F36&lt;&gt;"pending","",IF(OR($B36="",$B36="(blank)"),"",VLOOKUP($B36,'Email Marketing Raw Data'!$C:$O,11,0))),"")</f>
        <v/>
      </c>
      <c r="F36" s="54" t="str">
        <f>IFERROR(IF(OR($B36="",$B36="(blank)"),"",VLOOKUP($B36,'Email Marketing Raw Data'!$C:$O,13,0)),"")</f>
        <v/>
      </c>
      <c r="G36" s="55" t="str">
        <f>IFERROR(IF(OR($B36="",$B36="(blank)"),"",VLOOKUP($B36,'Email Marketing Raw Data'!$C:$O,4,0)),"")</f>
        <v/>
      </c>
      <c r="H36" s="55" t="str">
        <f>IFERROR(IF(OR($B36="",$B36="(blank)"),"",VLOOKUP($B36,'Email Marketing Raw Data'!$C:$O,5,0)),"")</f>
        <v/>
      </c>
      <c r="I36" s="55" t="str">
        <f>IFERROR(IF($G36="","",VLOOKUP('Dashboard And Emails Automate'!$G36,Database!$H:$N,3,0)),"")</f>
        <v/>
      </c>
      <c r="J36" s="55" t="str">
        <f>IFERROR(IF($G36="","",VLOOKUP('Dashboard And Emails Automate'!$G36,Database!$H:$N,4,0)),"")</f>
        <v/>
      </c>
      <c r="K36" s="55" t="str">
        <f>IFERROR(IF($G36="","",VLOOKUP('Dashboard And Emails Automate'!$G36,Database!$H:$N,5,0)),"")</f>
        <v/>
      </c>
      <c r="L36" s="55" t="str">
        <f>IFERROR(IF($G36="","",VLOOKUP('Dashboard And Emails Automate'!$G36,Database!$H:$N,6,0)),"")</f>
        <v/>
      </c>
      <c r="M36" s="55" t="str">
        <f>IFERROR(IF($G36="","",VLOOKUP('Dashboard And Emails Automate'!$G36,Database!$H:$N,7,0)),"")</f>
        <v/>
      </c>
      <c r="N36" s="55" t="str">
        <f>IFERROR(IF(OR($B36="",$B36="(blank)"),"",VLOOKUP($B36,'Email Marketing Raw Data'!$C:$O,6,0)),"")</f>
        <v/>
      </c>
      <c r="O36" s="55" t="str">
        <f>IFERROR(IF(OR($B36="",$B36="(blank)"),"",VLOOKUP($B36,'Email Marketing Raw Data'!$C:$O,7,0)),"")</f>
        <v/>
      </c>
      <c r="P36" s="55" t="str">
        <f>IFERROR(IF(OR($B36="",$B36="(blank)"),"",VLOOKUP($B36,'Email Marketing Raw Data'!$C:$O,8,0)),"")</f>
        <v/>
      </c>
      <c r="Q36" s="62" t="str">
        <f>IFERROR(IF(OR($B36="",$B36="(blank)"),"",VLOOKUP($B36,'Email Marketing Raw Data'!$C:$O,9,0)),"")</f>
        <v/>
      </c>
    </row>
    <row r="37" spans="2:17" ht="12.75" customHeight="1" x14ac:dyDescent="0.2">
      <c r="D37" s="58" t="str">
        <f>IFERROR(IF(F37&lt;&gt;"pending","",IF(OR($B37="",$B37="(blank)"),"",VLOOKUP($B37,'Email Marketing Raw Data'!$C:$O,10,0))),"")</f>
        <v/>
      </c>
      <c r="E37" s="59" t="str">
        <f>IFERROR(IF(F37&lt;&gt;"pending","",IF(OR($B37="",$B37="(blank)"),"",VLOOKUP($B37,'Email Marketing Raw Data'!$C:$O,11,0))),"")</f>
        <v/>
      </c>
      <c r="F37" s="54" t="str">
        <f>IFERROR(IF(OR($B37="",$B37="(blank)"),"",VLOOKUP($B37,'Email Marketing Raw Data'!$C:$O,13,0)),"")</f>
        <v/>
      </c>
      <c r="G37" s="55" t="str">
        <f>IFERROR(IF(OR($B37="",$B37="(blank)"),"",VLOOKUP($B37,'Email Marketing Raw Data'!$C:$O,4,0)),"")</f>
        <v/>
      </c>
      <c r="H37" s="55" t="str">
        <f>IFERROR(IF(OR($B37="",$B37="(blank)"),"",VLOOKUP($B37,'Email Marketing Raw Data'!$C:$O,5,0)),"")</f>
        <v/>
      </c>
      <c r="I37" s="55" t="str">
        <f>IFERROR(IF($G37="","",VLOOKUP('Dashboard And Emails Automate'!$G37,Database!$H:$N,3,0)),"")</f>
        <v/>
      </c>
      <c r="J37" s="55" t="str">
        <f>IFERROR(IF($G37="","",VLOOKUP('Dashboard And Emails Automate'!$G37,Database!$H:$N,4,0)),"")</f>
        <v/>
      </c>
      <c r="K37" s="55" t="str">
        <f>IFERROR(IF($G37="","",VLOOKUP('Dashboard And Emails Automate'!$G37,Database!$H:$N,5,0)),"")</f>
        <v/>
      </c>
      <c r="L37" s="55" t="str">
        <f>IFERROR(IF($G37="","",VLOOKUP('Dashboard And Emails Automate'!$G37,Database!$H:$N,6,0)),"")</f>
        <v/>
      </c>
      <c r="M37" s="55" t="str">
        <f>IFERROR(IF($G37="","",VLOOKUP('Dashboard And Emails Automate'!$G37,Database!$H:$N,7,0)),"")</f>
        <v/>
      </c>
      <c r="N37" s="55" t="str">
        <f>IFERROR(IF(OR($B37="",$B37="(blank)"),"",VLOOKUP($B37,'Email Marketing Raw Data'!$C:$O,6,0)),"")</f>
        <v/>
      </c>
      <c r="O37" s="55" t="str">
        <f>IFERROR(IF(OR($B37="",$B37="(blank)"),"",VLOOKUP($B37,'Email Marketing Raw Data'!$C:$O,7,0)),"")</f>
        <v/>
      </c>
      <c r="P37" s="55" t="str">
        <f>IFERROR(IF(OR($B37="",$B37="(blank)"),"",VLOOKUP($B37,'Email Marketing Raw Data'!$C:$O,8,0)),"")</f>
        <v/>
      </c>
      <c r="Q37" s="62" t="str">
        <f>IFERROR(IF(OR($B37="",$B37="(blank)"),"",VLOOKUP($B37,'Email Marketing Raw Data'!$C:$O,9,0)),"")</f>
        <v/>
      </c>
    </row>
    <row r="38" spans="2:17" ht="12.75" customHeight="1" x14ac:dyDescent="0.2">
      <c r="D38" s="58" t="str">
        <f>IFERROR(IF(F38&lt;&gt;"pending","",IF(OR($B38="",$B38="(blank)"),"",VLOOKUP($B38,'Email Marketing Raw Data'!$C:$O,10,0))),"")</f>
        <v/>
      </c>
      <c r="E38" s="59" t="str">
        <f>IFERROR(IF(F38&lt;&gt;"pending","",IF(OR($B38="",$B38="(blank)"),"",VLOOKUP($B38,'Email Marketing Raw Data'!$C:$O,11,0))),"")</f>
        <v/>
      </c>
      <c r="F38" s="54" t="str">
        <f>IFERROR(IF(OR($B38="",$B38="(blank)"),"",VLOOKUP($B38,'Email Marketing Raw Data'!$C:$O,13,0)),"")</f>
        <v/>
      </c>
      <c r="G38" s="55" t="str">
        <f>IFERROR(IF(OR($B38="",$B38="(blank)"),"",VLOOKUP($B38,'Email Marketing Raw Data'!$C:$O,4,0)),"")</f>
        <v/>
      </c>
      <c r="H38" s="55" t="str">
        <f>IFERROR(IF(OR($B38="",$B38="(blank)"),"",VLOOKUP($B38,'Email Marketing Raw Data'!$C:$O,5,0)),"")</f>
        <v/>
      </c>
      <c r="I38" s="55" t="str">
        <f>IFERROR(IF($G38="","",VLOOKUP('Dashboard And Emails Automate'!$G38,Database!$H:$N,3,0)),"")</f>
        <v/>
      </c>
      <c r="J38" s="55" t="str">
        <f>IFERROR(IF($G38="","",VLOOKUP('Dashboard And Emails Automate'!$G38,Database!$H:$N,4,0)),"")</f>
        <v/>
      </c>
      <c r="K38" s="55" t="str">
        <f>IFERROR(IF($G38="","",VLOOKUP('Dashboard And Emails Automate'!$G38,Database!$H:$N,5,0)),"")</f>
        <v/>
      </c>
      <c r="L38" s="55" t="str">
        <f>IFERROR(IF($G38="","",VLOOKUP('Dashboard And Emails Automate'!$G38,Database!$H:$N,6,0)),"")</f>
        <v/>
      </c>
      <c r="M38" s="55" t="str">
        <f>IFERROR(IF($G38="","",VLOOKUP('Dashboard And Emails Automate'!$G38,Database!$H:$N,7,0)),"")</f>
        <v/>
      </c>
      <c r="N38" s="55" t="str">
        <f>IFERROR(IF(OR($B38="",$B38="(blank)"),"",VLOOKUP($B38,'Email Marketing Raw Data'!$C:$O,6,0)),"")</f>
        <v/>
      </c>
      <c r="O38" s="55" t="str">
        <f>IFERROR(IF(OR($B38="",$B38="(blank)"),"",VLOOKUP($B38,'Email Marketing Raw Data'!$C:$O,7,0)),"")</f>
        <v/>
      </c>
      <c r="P38" s="55" t="str">
        <f>IFERROR(IF(OR($B38="",$B38="(blank)"),"",VLOOKUP($B38,'Email Marketing Raw Data'!$C:$O,8,0)),"")</f>
        <v/>
      </c>
      <c r="Q38" s="62" t="str">
        <f>IFERROR(IF(OR($B38="",$B38="(blank)"),"",VLOOKUP($B38,'Email Marketing Raw Data'!$C:$O,9,0)),"")</f>
        <v/>
      </c>
    </row>
    <row r="39" spans="2:17" ht="12.75" customHeight="1" x14ac:dyDescent="0.2">
      <c r="D39" s="58" t="str">
        <f>IFERROR(IF(F39&lt;&gt;"pending","",IF(OR($B39="",$B39="(blank)"),"",VLOOKUP($B39,'Email Marketing Raw Data'!$C:$O,10,0))),"")</f>
        <v/>
      </c>
      <c r="E39" s="59" t="str">
        <f>IFERROR(IF(F39&lt;&gt;"pending","",IF(OR($B39="",$B39="(blank)"),"",VLOOKUP($B39,'Email Marketing Raw Data'!$C:$O,11,0))),"")</f>
        <v/>
      </c>
      <c r="F39" s="54" t="str">
        <f>IFERROR(IF(OR($B39="",$B39="(blank)"),"",VLOOKUP($B39,'Email Marketing Raw Data'!$C:$O,13,0)),"")</f>
        <v/>
      </c>
      <c r="G39" s="55" t="str">
        <f>IFERROR(IF(OR($B39="",$B39="(blank)"),"",VLOOKUP($B39,'Email Marketing Raw Data'!$C:$O,4,0)),"")</f>
        <v/>
      </c>
      <c r="H39" s="55" t="str">
        <f>IFERROR(IF(OR($B39="",$B39="(blank)"),"",VLOOKUP($B39,'Email Marketing Raw Data'!$C:$O,5,0)),"")</f>
        <v/>
      </c>
      <c r="I39" s="55" t="str">
        <f>IFERROR(IF($G39="","",VLOOKUP('Dashboard And Emails Automate'!$G39,Database!$H:$N,3,0)),"")</f>
        <v/>
      </c>
      <c r="J39" s="55" t="str">
        <f>IFERROR(IF($G39="","",VLOOKUP('Dashboard And Emails Automate'!$G39,Database!$H:$N,4,0)),"")</f>
        <v/>
      </c>
      <c r="K39" s="55" t="str">
        <f>IFERROR(IF($G39="","",VLOOKUP('Dashboard And Emails Automate'!$G39,Database!$H:$N,5,0)),"")</f>
        <v/>
      </c>
      <c r="L39" s="55" t="str">
        <f>IFERROR(IF($G39="","",VLOOKUP('Dashboard And Emails Automate'!$G39,Database!$H:$N,6,0)),"")</f>
        <v/>
      </c>
      <c r="M39" s="55" t="str">
        <f>IFERROR(IF($G39="","",VLOOKUP('Dashboard And Emails Automate'!$G39,Database!$H:$N,7,0)),"")</f>
        <v/>
      </c>
      <c r="N39" s="55" t="str">
        <f>IFERROR(IF(OR($B39="",$B39="(blank)"),"",VLOOKUP($B39,'Email Marketing Raw Data'!$C:$O,6,0)),"")</f>
        <v/>
      </c>
      <c r="O39" s="55" t="str">
        <f>IFERROR(IF(OR($B39="",$B39="(blank)"),"",VLOOKUP($B39,'Email Marketing Raw Data'!$C:$O,7,0)),"")</f>
        <v/>
      </c>
      <c r="P39" s="55" t="str">
        <f>IFERROR(IF(OR($B39="",$B39="(blank)"),"",VLOOKUP($B39,'Email Marketing Raw Data'!$C:$O,8,0)),"")</f>
        <v/>
      </c>
      <c r="Q39" s="62" t="str">
        <f>IFERROR(IF(OR($B39="",$B39="(blank)"),"",VLOOKUP($B39,'Email Marketing Raw Data'!$C:$O,9,0)),"")</f>
        <v/>
      </c>
    </row>
    <row r="40" spans="2:17" ht="12.75" customHeight="1" x14ac:dyDescent="0.2">
      <c r="D40" s="58" t="str">
        <f>IFERROR(IF(F40&lt;&gt;"pending","",IF(OR($B40="",$B40="(blank)"),"",VLOOKUP($B40,'Email Marketing Raw Data'!$C:$O,10,0))),"")</f>
        <v/>
      </c>
      <c r="E40" s="59" t="str">
        <f>IFERROR(IF(F40&lt;&gt;"pending","",IF(OR($B40="",$B40="(blank)"),"",VLOOKUP($B40,'Email Marketing Raw Data'!$C:$O,11,0))),"")</f>
        <v/>
      </c>
      <c r="F40" s="54" t="str">
        <f>IFERROR(IF(OR($B40="",$B40="(blank)"),"",VLOOKUP($B40,'Email Marketing Raw Data'!$C:$O,13,0)),"")</f>
        <v/>
      </c>
      <c r="G40" s="55" t="str">
        <f>IFERROR(IF(OR($B40="",$B40="(blank)"),"",VLOOKUP($B40,'Email Marketing Raw Data'!$C:$O,4,0)),"")</f>
        <v/>
      </c>
      <c r="H40" s="55" t="str">
        <f>IFERROR(IF(OR($B40="",$B40="(blank)"),"",VLOOKUP($B40,'Email Marketing Raw Data'!$C:$O,5,0)),"")</f>
        <v/>
      </c>
      <c r="I40" s="55" t="str">
        <f>IFERROR(IF($G40="","",VLOOKUP('Dashboard And Emails Automate'!$G40,Database!$H:$N,3,0)),"")</f>
        <v/>
      </c>
      <c r="J40" s="55" t="str">
        <f>IFERROR(IF($G40="","",VLOOKUP('Dashboard And Emails Automate'!$G40,Database!$H:$N,4,0)),"")</f>
        <v/>
      </c>
      <c r="K40" s="55" t="str">
        <f>IFERROR(IF($G40="","",VLOOKUP('Dashboard And Emails Automate'!$G40,Database!$H:$N,5,0)),"")</f>
        <v/>
      </c>
      <c r="L40" s="55" t="str">
        <f>IFERROR(IF($G40="","",VLOOKUP('Dashboard And Emails Automate'!$G40,Database!$H:$N,6,0)),"")</f>
        <v/>
      </c>
      <c r="M40" s="55" t="str">
        <f>IFERROR(IF($G40="","",VLOOKUP('Dashboard And Emails Automate'!$G40,Database!$H:$N,7,0)),"")</f>
        <v/>
      </c>
      <c r="N40" s="55" t="str">
        <f>IFERROR(IF(OR($B40="",$B40="(blank)"),"",VLOOKUP($B40,'Email Marketing Raw Data'!$C:$O,6,0)),"")</f>
        <v/>
      </c>
      <c r="O40" s="55" t="str">
        <f>IFERROR(IF(OR($B40="",$B40="(blank)"),"",VLOOKUP($B40,'Email Marketing Raw Data'!$C:$O,7,0)),"")</f>
        <v/>
      </c>
      <c r="P40" s="55" t="str">
        <f>IFERROR(IF(OR($B40="",$B40="(blank)"),"",VLOOKUP($B40,'Email Marketing Raw Data'!$C:$O,8,0)),"")</f>
        <v/>
      </c>
      <c r="Q40" s="62" t="str">
        <f>IFERROR(IF(OR($B40="",$B40="(blank)"),"",VLOOKUP($B40,'Email Marketing Raw Data'!$C:$O,9,0)),"")</f>
        <v/>
      </c>
    </row>
    <row r="41" spans="2:17" ht="12.75" customHeight="1" x14ac:dyDescent="0.2">
      <c r="D41" s="58" t="str">
        <f>IFERROR(IF(F41&lt;&gt;"pending","",IF(OR($B41="",$B41="(blank)"),"",VLOOKUP($B41,'Email Marketing Raw Data'!$C:$O,10,0))),"")</f>
        <v/>
      </c>
      <c r="E41" s="59" t="str">
        <f>IFERROR(IF(F41&lt;&gt;"pending","",IF(OR($B41="",$B41="(blank)"),"",VLOOKUP($B41,'Email Marketing Raw Data'!$C:$O,11,0))),"")</f>
        <v/>
      </c>
      <c r="F41" s="54" t="str">
        <f>IFERROR(IF(OR($B41="",$B41="(blank)"),"",VLOOKUP($B41,'Email Marketing Raw Data'!$C:$O,13,0)),"")</f>
        <v/>
      </c>
      <c r="G41" s="55" t="str">
        <f>IFERROR(IF(OR($B41="",$B41="(blank)"),"",VLOOKUP($B41,'Email Marketing Raw Data'!$C:$O,4,0)),"")</f>
        <v/>
      </c>
      <c r="H41" s="55" t="str">
        <f>IFERROR(IF(OR($B41="",$B41="(blank)"),"",VLOOKUP($B41,'Email Marketing Raw Data'!$C:$O,5,0)),"")</f>
        <v/>
      </c>
      <c r="I41" s="55" t="str">
        <f>IFERROR(IF($G41="","",VLOOKUP('Dashboard And Emails Automate'!$G41,Database!$H:$N,3,0)),"")</f>
        <v/>
      </c>
      <c r="J41" s="55" t="str">
        <f>IFERROR(IF($G41="","",VLOOKUP('Dashboard And Emails Automate'!$G41,Database!$H:$N,4,0)),"")</f>
        <v/>
      </c>
      <c r="K41" s="55" t="str">
        <f>IFERROR(IF($G41="","",VLOOKUP('Dashboard And Emails Automate'!$G41,Database!$H:$N,5,0)),"")</f>
        <v/>
      </c>
      <c r="L41" s="55" t="str">
        <f>IFERROR(IF($G41="","",VLOOKUP('Dashboard And Emails Automate'!$G41,Database!$H:$N,6,0)),"")</f>
        <v/>
      </c>
      <c r="M41" s="55" t="str">
        <f>IFERROR(IF($G41="","",VLOOKUP('Dashboard And Emails Automate'!$G41,Database!$H:$N,7,0)),"")</f>
        <v/>
      </c>
      <c r="N41" s="55" t="str">
        <f>IFERROR(IF(OR($B41="",$B41="(blank)"),"",VLOOKUP($B41,'Email Marketing Raw Data'!$C:$O,6,0)),"")</f>
        <v/>
      </c>
      <c r="O41" s="55" t="str">
        <f>IFERROR(IF(OR($B41="",$B41="(blank)"),"",VLOOKUP($B41,'Email Marketing Raw Data'!$C:$O,7,0)),"")</f>
        <v/>
      </c>
      <c r="P41" s="55" t="str">
        <f>IFERROR(IF(OR($B41="",$B41="(blank)"),"",VLOOKUP($B41,'Email Marketing Raw Data'!$C:$O,8,0)),"")</f>
        <v/>
      </c>
      <c r="Q41" s="62" t="str">
        <f>IFERROR(IF(OR($B41="",$B41="(blank)"),"",VLOOKUP($B41,'Email Marketing Raw Data'!$C:$O,9,0)),"")</f>
        <v/>
      </c>
    </row>
    <row r="42" spans="2:17" ht="12.75" customHeight="1" x14ac:dyDescent="0.2">
      <c r="D42" s="58" t="str">
        <f>IFERROR(IF(F42&lt;&gt;"pending","",IF(OR($B42="",$B42="(blank)"),"",VLOOKUP($B42,'Email Marketing Raw Data'!$C:$O,10,0))),"")</f>
        <v/>
      </c>
      <c r="E42" s="59" t="str">
        <f>IFERROR(IF(F42&lt;&gt;"pending","",IF(OR($B42="",$B42="(blank)"),"",VLOOKUP($B42,'Email Marketing Raw Data'!$C:$O,11,0))),"")</f>
        <v/>
      </c>
      <c r="F42" s="54" t="str">
        <f>IFERROR(IF(OR($B42="",$B42="(blank)"),"",VLOOKUP($B42,'Email Marketing Raw Data'!$C:$O,13,0)),"")</f>
        <v/>
      </c>
      <c r="G42" s="55" t="str">
        <f>IFERROR(IF(OR($B42="",$B42="(blank)"),"",VLOOKUP($B42,'Email Marketing Raw Data'!$C:$O,4,0)),"")</f>
        <v/>
      </c>
      <c r="H42" s="55" t="str">
        <f>IFERROR(IF(OR($B42="",$B42="(blank)"),"",VLOOKUP($B42,'Email Marketing Raw Data'!$C:$O,5,0)),"")</f>
        <v/>
      </c>
      <c r="I42" s="55" t="str">
        <f>IFERROR(IF($G42="","",VLOOKUP('Dashboard And Emails Automate'!$G42,Database!$H:$N,3,0)),"")</f>
        <v/>
      </c>
      <c r="J42" s="55" t="str">
        <f>IFERROR(IF($G42="","",VLOOKUP('Dashboard And Emails Automate'!$G42,Database!$H:$N,4,0)),"")</f>
        <v/>
      </c>
      <c r="K42" s="55" t="str">
        <f>IFERROR(IF($G42="","",VLOOKUP('Dashboard And Emails Automate'!$G42,Database!$H:$N,5,0)),"")</f>
        <v/>
      </c>
      <c r="L42" s="55" t="str">
        <f>IFERROR(IF($G42="","",VLOOKUP('Dashboard And Emails Automate'!$G42,Database!$H:$N,6,0)),"")</f>
        <v/>
      </c>
      <c r="M42" s="55" t="str">
        <f>IFERROR(IF($G42="","",VLOOKUP('Dashboard And Emails Automate'!$G42,Database!$H:$N,7,0)),"")</f>
        <v/>
      </c>
      <c r="N42" s="55" t="str">
        <f>IFERROR(IF(OR($B42="",$B42="(blank)"),"",VLOOKUP($B42,'Email Marketing Raw Data'!$C:$O,6,0)),"")</f>
        <v/>
      </c>
      <c r="O42" s="55" t="str">
        <f>IFERROR(IF(OR($B42="",$B42="(blank)"),"",VLOOKUP($B42,'Email Marketing Raw Data'!$C:$O,7,0)),"")</f>
        <v/>
      </c>
      <c r="P42" s="55" t="str">
        <f>IFERROR(IF(OR($B42="",$B42="(blank)"),"",VLOOKUP($B42,'Email Marketing Raw Data'!$C:$O,8,0)),"")</f>
        <v/>
      </c>
      <c r="Q42" s="62" t="str">
        <f>IFERROR(IF(OR($B42="",$B42="(blank)"),"",VLOOKUP($B42,'Email Marketing Raw Data'!$C:$O,9,0)),"")</f>
        <v/>
      </c>
    </row>
    <row r="43" spans="2:17" ht="12.75" customHeight="1" x14ac:dyDescent="0.2">
      <c r="D43" s="58" t="str">
        <f>IFERROR(IF(F43&lt;&gt;"pending","",IF(OR($B43="",$B43="(blank)"),"",VLOOKUP($B43,'Email Marketing Raw Data'!$C:$O,10,0))),"")</f>
        <v/>
      </c>
      <c r="E43" s="59" t="str">
        <f>IFERROR(IF(F43&lt;&gt;"pending","",IF(OR($B43="",$B43="(blank)"),"",VLOOKUP($B43,'Email Marketing Raw Data'!$C:$O,11,0))),"")</f>
        <v/>
      </c>
      <c r="F43" s="54" t="str">
        <f>IFERROR(IF(OR($B43="",$B43="(blank)"),"",VLOOKUP($B43,'Email Marketing Raw Data'!$C:$O,13,0)),"")</f>
        <v/>
      </c>
      <c r="G43" s="55" t="str">
        <f>IFERROR(IF(OR($B43="",$B43="(blank)"),"",VLOOKUP($B43,'Email Marketing Raw Data'!$C:$O,4,0)),"")</f>
        <v/>
      </c>
      <c r="H43" s="55" t="str">
        <f>IFERROR(IF(OR($B43="",$B43="(blank)"),"",VLOOKUP($B43,'Email Marketing Raw Data'!$C:$O,5,0)),"")</f>
        <v/>
      </c>
      <c r="I43" s="55" t="str">
        <f>IFERROR(IF($G43="","",VLOOKUP('Dashboard And Emails Automate'!$G43,Database!$H:$N,3,0)),"")</f>
        <v/>
      </c>
      <c r="J43" s="55" t="str">
        <f>IFERROR(IF($G43="","",VLOOKUP('Dashboard And Emails Automate'!$G43,Database!$H:$N,4,0)),"")</f>
        <v/>
      </c>
      <c r="K43" s="55" t="str">
        <f>IFERROR(IF($G43="","",VLOOKUP('Dashboard And Emails Automate'!$G43,Database!$H:$N,5,0)),"")</f>
        <v/>
      </c>
      <c r="L43" s="55" t="str">
        <f>IFERROR(IF($G43="","",VLOOKUP('Dashboard And Emails Automate'!$G43,Database!$H:$N,6,0)),"")</f>
        <v/>
      </c>
      <c r="M43" s="55" t="str">
        <f>IFERROR(IF($G43="","",VLOOKUP('Dashboard And Emails Automate'!$G43,Database!$H:$N,7,0)),"")</f>
        <v/>
      </c>
      <c r="N43" s="55" t="str">
        <f>IFERROR(IF(OR($B43="",$B43="(blank)"),"",VLOOKUP($B43,'Email Marketing Raw Data'!$C:$O,6,0)),"")</f>
        <v/>
      </c>
      <c r="O43" s="55" t="str">
        <f>IFERROR(IF(OR($B43="",$B43="(blank)"),"",VLOOKUP($B43,'Email Marketing Raw Data'!$C:$O,7,0)),"")</f>
        <v/>
      </c>
      <c r="P43" s="55" t="str">
        <f>IFERROR(IF(OR($B43="",$B43="(blank)"),"",VLOOKUP($B43,'Email Marketing Raw Data'!$C:$O,8,0)),"")</f>
        <v/>
      </c>
      <c r="Q43" s="62" t="str">
        <f>IFERROR(IF(OR($B43="",$B43="(blank)"),"",VLOOKUP($B43,'Email Marketing Raw Data'!$C:$O,9,0)),"")</f>
        <v/>
      </c>
    </row>
    <row r="44" spans="2:17" ht="12.75" customHeight="1" x14ac:dyDescent="0.2">
      <c r="D44" s="58" t="str">
        <f>IFERROR(IF(F44&lt;&gt;"pending","",IF(OR($B44="",$B44="(blank)"),"",VLOOKUP($B44,'Email Marketing Raw Data'!$C:$O,10,0))),"")</f>
        <v/>
      </c>
      <c r="E44" s="59" t="str">
        <f>IFERROR(IF(F44&lt;&gt;"pending","",IF(OR($B44="",$B44="(blank)"),"",VLOOKUP($B44,'Email Marketing Raw Data'!$C:$O,11,0))),"")</f>
        <v/>
      </c>
      <c r="F44" s="54" t="str">
        <f>IFERROR(IF(OR($B44="",$B44="(blank)"),"",VLOOKUP($B44,'Email Marketing Raw Data'!$C:$O,13,0)),"")</f>
        <v/>
      </c>
      <c r="G44" s="55" t="str">
        <f>IFERROR(IF(OR($B44="",$B44="(blank)"),"",VLOOKUP($B44,'Email Marketing Raw Data'!$C:$O,4,0)),"")</f>
        <v/>
      </c>
      <c r="H44" s="55" t="str">
        <f>IFERROR(IF(OR($B44="",$B44="(blank)"),"",VLOOKUP($B44,'Email Marketing Raw Data'!$C:$O,5,0)),"")</f>
        <v/>
      </c>
      <c r="I44" s="55" t="str">
        <f>IFERROR(IF($G44="","",VLOOKUP('Dashboard And Emails Automate'!$G44,Database!$H:$N,3,0)),"")</f>
        <v/>
      </c>
      <c r="J44" s="55" t="str">
        <f>IFERROR(IF($G44="","",VLOOKUP('Dashboard And Emails Automate'!$G44,Database!$H:$N,4,0)),"")</f>
        <v/>
      </c>
      <c r="K44" s="55" t="str">
        <f>IFERROR(IF($G44="","",VLOOKUP('Dashboard And Emails Automate'!$G44,Database!$H:$N,5,0)),"")</f>
        <v/>
      </c>
      <c r="L44" s="55" t="str">
        <f>IFERROR(IF($G44="","",VLOOKUP('Dashboard And Emails Automate'!$G44,Database!$H:$N,6,0)),"")</f>
        <v/>
      </c>
      <c r="M44" s="55" t="str">
        <f>IFERROR(IF($G44="","",VLOOKUP('Dashboard And Emails Automate'!$G44,Database!$H:$N,7,0)),"")</f>
        <v/>
      </c>
      <c r="N44" s="55" t="str">
        <f>IFERROR(IF(OR($B44="",$B44="(blank)"),"",VLOOKUP($B44,'Email Marketing Raw Data'!$C:$O,6,0)),"")</f>
        <v/>
      </c>
      <c r="O44" s="55" t="str">
        <f>IFERROR(IF(OR($B44="",$B44="(blank)"),"",VLOOKUP($B44,'Email Marketing Raw Data'!$C:$O,7,0)),"")</f>
        <v/>
      </c>
      <c r="P44" s="55" t="str">
        <f>IFERROR(IF(OR($B44="",$B44="(blank)"),"",VLOOKUP($B44,'Email Marketing Raw Data'!$C:$O,8,0)),"")</f>
        <v/>
      </c>
      <c r="Q44" s="62" t="str">
        <f>IFERROR(IF(OR($B44="",$B44="(blank)"),"",VLOOKUP($B44,'Email Marketing Raw Data'!$C:$O,9,0)),"")</f>
        <v/>
      </c>
    </row>
    <row r="45" spans="2:17" ht="12.75" customHeight="1" x14ac:dyDescent="0.2">
      <c r="D45" s="58" t="str">
        <f>IFERROR(IF(F45&lt;&gt;"pending","",IF(OR($B45="",$B45="(blank)"),"",VLOOKUP($B45,'Email Marketing Raw Data'!$C:$O,10,0))),"")</f>
        <v/>
      </c>
      <c r="E45" s="59" t="str">
        <f>IFERROR(IF(F45&lt;&gt;"pending","",IF(OR($B45="",$B45="(blank)"),"",VLOOKUP($B45,'Email Marketing Raw Data'!$C:$O,11,0))),"")</f>
        <v/>
      </c>
      <c r="F45" s="54" t="str">
        <f>IFERROR(IF(OR($B45="",$B45="(blank)"),"",VLOOKUP($B45,'Email Marketing Raw Data'!$C:$O,13,0)),"")</f>
        <v/>
      </c>
      <c r="G45" s="55" t="str">
        <f>IFERROR(IF(OR($B45="",$B45="(blank)"),"",VLOOKUP($B45,'Email Marketing Raw Data'!$C:$O,4,0)),"")</f>
        <v/>
      </c>
      <c r="H45" s="55" t="str">
        <f>IFERROR(IF(OR($B45="",$B45="(blank)"),"",VLOOKUP($B45,'Email Marketing Raw Data'!$C:$O,5,0)),"")</f>
        <v/>
      </c>
      <c r="I45" s="55" t="str">
        <f>IFERROR(IF($G45="","",VLOOKUP('Dashboard And Emails Automate'!$G45,Database!$H:$N,3,0)),"")</f>
        <v/>
      </c>
      <c r="J45" s="55" t="str">
        <f>IFERROR(IF($G45="","",VLOOKUP('Dashboard And Emails Automate'!$G45,Database!$H:$N,4,0)),"")</f>
        <v/>
      </c>
      <c r="K45" s="55" t="str">
        <f>IFERROR(IF($G45="","",VLOOKUP('Dashboard And Emails Automate'!$G45,Database!$H:$N,5,0)),"")</f>
        <v/>
      </c>
      <c r="L45" s="55" t="str">
        <f>IFERROR(IF($G45="","",VLOOKUP('Dashboard And Emails Automate'!$G45,Database!$H:$N,6,0)),"")</f>
        <v/>
      </c>
      <c r="M45" s="55" t="str">
        <f>IFERROR(IF($G45="","",VLOOKUP('Dashboard And Emails Automate'!$G45,Database!$H:$N,7,0)),"")</f>
        <v/>
      </c>
      <c r="N45" s="55" t="str">
        <f>IFERROR(IF(OR($B45="",$B45="(blank)"),"",VLOOKUP($B45,'Email Marketing Raw Data'!$C:$O,6,0)),"")</f>
        <v/>
      </c>
      <c r="O45" s="55" t="str">
        <f>IFERROR(IF(OR($B45="",$B45="(blank)"),"",VLOOKUP($B45,'Email Marketing Raw Data'!$C:$O,7,0)),"")</f>
        <v/>
      </c>
      <c r="P45" s="55" t="str">
        <f>IFERROR(IF(OR($B45="",$B45="(blank)"),"",VLOOKUP($B45,'Email Marketing Raw Data'!$C:$O,8,0)),"")</f>
        <v/>
      </c>
      <c r="Q45" s="62" t="str">
        <f>IFERROR(IF(OR($B45="",$B45="(blank)"),"",VLOOKUP($B45,'Email Marketing Raw Data'!$C:$O,9,0)),"")</f>
        <v/>
      </c>
    </row>
    <row r="46" spans="2:17" ht="12.75" customHeight="1" x14ac:dyDescent="0.2">
      <c r="D46" s="58" t="str">
        <f>IFERROR(IF(F46&lt;&gt;"pending","",IF(OR($B46="",$B46="(blank)"),"",VLOOKUP($B46,'Email Marketing Raw Data'!$C:$O,10,0))),"")</f>
        <v/>
      </c>
      <c r="E46" s="59" t="str">
        <f>IFERROR(IF(F46&lt;&gt;"pending","",IF(OR($B46="",$B46="(blank)"),"",VLOOKUP($B46,'Email Marketing Raw Data'!$C:$O,11,0))),"")</f>
        <v/>
      </c>
      <c r="F46" s="54" t="str">
        <f>IFERROR(IF(OR($B46="",$B46="(blank)"),"",VLOOKUP($B46,'Email Marketing Raw Data'!$C:$O,13,0)),"")</f>
        <v/>
      </c>
      <c r="G46" s="55" t="str">
        <f>IFERROR(IF(OR($B46="",$B46="(blank)"),"",VLOOKUP($B46,'Email Marketing Raw Data'!$C:$O,4,0)),"")</f>
        <v/>
      </c>
      <c r="H46" s="55" t="str">
        <f>IFERROR(IF(OR($B46="",$B46="(blank)"),"",VLOOKUP($B46,'Email Marketing Raw Data'!$C:$O,5,0)),"")</f>
        <v/>
      </c>
      <c r="I46" s="55" t="str">
        <f>IFERROR(IF($G46="","",VLOOKUP('Dashboard And Emails Automate'!$G46,Database!$H:$N,3,0)),"")</f>
        <v/>
      </c>
      <c r="J46" s="55" t="str">
        <f>IFERROR(IF($G46="","",VLOOKUP('Dashboard And Emails Automate'!$G46,Database!$H:$N,4,0)),"")</f>
        <v/>
      </c>
      <c r="K46" s="55" t="str">
        <f>IFERROR(IF($G46="","",VLOOKUP('Dashboard And Emails Automate'!$G46,Database!$H:$N,5,0)),"")</f>
        <v/>
      </c>
      <c r="L46" s="55" t="str">
        <f>IFERROR(IF($G46="","",VLOOKUP('Dashboard And Emails Automate'!$G46,Database!$H:$N,6,0)),"")</f>
        <v/>
      </c>
      <c r="M46" s="55" t="str">
        <f>IFERROR(IF($G46="","",VLOOKUP('Dashboard And Emails Automate'!$G46,Database!$H:$N,7,0)),"")</f>
        <v/>
      </c>
      <c r="N46" s="55" t="str">
        <f>IFERROR(IF(OR($B46="",$B46="(blank)"),"",VLOOKUP($B46,'Email Marketing Raw Data'!$C:$O,6,0)),"")</f>
        <v/>
      </c>
      <c r="O46" s="55" t="str">
        <f>IFERROR(IF(OR($B46="",$B46="(blank)"),"",VLOOKUP($B46,'Email Marketing Raw Data'!$C:$O,7,0)),"")</f>
        <v/>
      </c>
      <c r="P46" s="55" t="str">
        <f>IFERROR(IF(OR($B46="",$B46="(blank)"),"",VLOOKUP($B46,'Email Marketing Raw Data'!$C:$O,8,0)),"")</f>
        <v/>
      </c>
      <c r="Q46" s="62" t="str">
        <f>IFERROR(IF(OR($B46="",$B46="(blank)"),"",VLOOKUP($B46,'Email Marketing Raw Data'!$C:$O,9,0)),"")</f>
        <v/>
      </c>
    </row>
    <row r="47" spans="2:17" ht="12.75" customHeight="1" x14ac:dyDescent="0.2">
      <c r="D47" s="58" t="str">
        <f>IFERROR(IF(F47&lt;&gt;"pending","",IF(OR($B47="",$B47="(blank)"),"",VLOOKUP($B47,'Email Marketing Raw Data'!$C:$O,10,0))),"")</f>
        <v/>
      </c>
      <c r="E47" s="59" t="str">
        <f>IFERROR(IF(F47&lt;&gt;"pending","",IF(OR($B47="",$B47="(blank)"),"",VLOOKUP($B47,'Email Marketing Raw Data'!$C:$O,11,0))),"")</f>
        <v/>
      </c>
      <c r="F47" s="54" t="str">
        <f>IFERROR(IF(OR($B47="",$B47="(blank)"),"",VLOOKUP($B47,'Email Marketing Raw Data'!$C:$O,13,0)),"")</f>
        <v/>
      </c>
      <c r="G47" s="55" t="str">
        <f>IFERROR(IF(OR($B47="",$B47="(blank)"),"",VLOOKUP($B47,'Email Marketing Raw Data'!$C:$O,4,0)),"")</f>
        <v/>
      </c>
      <c r="H47" s="55" t="str">
        <f>IFERROR(IF(OR($B47="",$B47="(blank)"),"",VLOOKUP($B47,'Email Marketing Raw Data'!$C:$O,5,0)),"")</f>
        <v/>
      </c>
      <c r="I47" s="55" t="str">
        <f>IFERROR(IF($G47="","",VLOOKUP('Dashboard And Emails Automate'!$G47,Database!$H:$N,3,0)),"")</f>
        <v/>
      </c>
      <c r="J47" s="55" t="str">
        <f>IFERROR(IF($G47="","",VLOOKUP('Dashboard And Emails Automate'!$G47,Database!$H:$N,4,0)),"")</f>
        <v/>
      </c>
      <c r="K47" s="55" t="str">
        <f>IFERROR(IF($G47="","",VLOOKUP('Dashboard And Emails Automate'!$G47,Database!$H:$N,5,0)),"")</f>
        <v/>
      </c>
      <c r="L47" s="55" t="str">
        <f>IFERROR(IF($G47="","",VLOOKUP('Dashboard And Emails Automate'!$G47,Database!$H:$N,6,0)),"")</f>
        <v/>
      </c>
      <c r="M47" s="55" t="str">
        <f>IFERROR(IF($G47="","",VLOOKUP('Dashboard And Emails Automate'!$G47,Database!$H:$N,7,0)),"")</f>
        <v/>
      </c>
      <c r="N47" s="55" t="str">
        <f>IFERROR(IF(OR($B47="",$B47="(blank)"),"",VLOOKUP($B47,'Email Marketing Raw Data'!$C:$O,6,0)),"")</f>
        <v/>
      </c>
      <c r="O47" s="55" t="str">
        <f>IFERROR(IF(OR($B47="",$B47="(blank)"),"",VLOOKUP($B47,'Email Marketing Raw Data'!$C:$O,7,0)),"")</f>
        <v/>
      </c>
      <c r="P47" s="55" t="str">
        <f>IFERROR(IF(OR($B47="",$B47="(blank)"),"",VLOOKUP($B47,'Email Marketing Raw Data'!$C:$O,8,0)),"")</f>
        <v/>
      </c>
      <c r="Q47" s="62" t="str">
        <f>IFERROR(IF(OR($B47="",$B47="(blank)"),"",VLOOKUP($B47,'Email Marketing Raw Data'!$C:$O,9,0)),"")</f>
        <v/>
      </c>
    </row>
    <row r="48" spans="2:17" ht="12.75" customHeight="1" x14ac:dyDescent="0.2">
      <c r="D48" s="58" t="str">
        <f>IFERROR(IF(F48&lt;&gt;"pending","",IF(OR($B48="",$B48="(blank)"),"",VLOOKUP($B48,'Email Marketing Raw Data'!$C:$O,10,0))),"")</f>
        <v/>
      </c>
      <c r="E48" s="59" t="str">
        <f>IFERROR(IF(F48&lt;&gt;"pending","",IF(OR($B48="",$B48="(blank)"),"",VLOOKUP($B48,'Email Marketing Raw Data'!$C:$O,11,0))),"")</f>
        <v/>
      </c>
      <c r="F48" s="54" t="str">
        <f>IFERROR(IF(OR($B48="",$B48="(blank)"),"",VLOOKUP($B48,'Email Marketing Raw Data'!$C:$O,13,0)),"")</f>
        <v/>
      </c>
      <c r="G48" s="55" t="str">
        <f>IFERROR(IF(OR($B48="",$B48="(blank)"),"",VLOOKUP($B48,'Email Marketing Raw Data'!$C:$O,4,0)),"")</f>
        <v/>
      </c>
      <c r="H48" s="55" t="str">
        <f>IFERROR(IF(OR($B48="",$B48="(blank)"),"",VLOOKUP($B48,'Email Marketing Raw Data'!$C:$O,5,0)),"")</f>
        <v/>
      </c>
      <c r="I48" s="55" t="str">
        <f>IFERROR(IF($G48="","",VLOOKUP('Dashboard And Emails Automate'!$G48,Database!$H:$N,3,0)),"")</f>
        <v/>
      </c>
      <c r="J48" s="55" t="str">
        <f>IFERROR(IF($G48="","",VLOOKUP('Dashboard And Emails Automate'!$G48,Database!$H:$N,4,0)),"")</f>
        <v/>
      </c>
      <c r="K48" s="55" t="str">
        <f>IFERROR(IF($G48="","",VLOOKUP('Dashboard And Emails Automate'!$G48,Database!$H:$N,5,0)),"")</f>
        <v/>
      </c>
      <c r="L48" s="55" t="str">
        <f>IFERROR(IF($G48="","",VLOOKUP('Dashboard And Emails Automate'!$G48,Database!$H:$N,6,0)),"")</f>
        <v/>
      </c>
      <c r="M48" s="55" t="str">
        <f>IFERROR(IF($G48="","",VLOOKUP('Dashboard And Emails Automate'!$G48,Database!$H:$N,7,0)),"")</f>
        <v/>
      </c>
      <c r="N48" s="55" t="str">
        <f>IFERROR(IF(OR($B48="",$B48="(blank)"),"",VLOOKUP($B48,'Email Marketing Raw Data'!$C:$O,6,0)),"")</f>
        <v/>
      </c>
      <c r="O48" s="55" t="str">
        <f>IFERROR(IF(OR($B48="",$B48="(blank)"),"",VLOOKUP($B48,'Email Marketing Raw Data'!$C:$O,7,0)),"")</f>
        <v/>
      </c>
      <c r="P48" s="55" t="str">
        <f>IFERROR(IF(OR($B48="",$B48="(blank)"),"",VLOOKUP($B48,'Email Marketing Raw Data'!$C:$O,8,0)),"")</f>
        <v/>
      </c>
      <c r="Q48" s="62" t="str">
        <f>IFERROR(IF(OR($B48="",$B48="(blank)"),"",VLOOKUP($B48,'Email Marketing Raw Data'!$C:$O,9,0)),"")</f>
        <v/>
      </c>
    </row>
    <row r="49" spans="4:17" ht="12.75" customHeight="1" x14ac:dyDescent="0.2">
      <c r="D49" s="58" t="str">
        <f>IFERROR(IF(F49&lt;&gt;"pending","",IF(OR($B49="",$B49="(blank)"),"",VLOOKUP($B49,'Email Marketing Raw Data'!$C:$O,10,0))),"")</f>
        <v/>
      </c>
      <c r="E49" s="59" t="str">
        <f>IFERROR(IF(F49&lt;&gt;"pending","",IF(OR($B49="",$B49="(blank)"),"",VLOOKUP($B49,'Email Marketing Raw Data'!$C:$O,11,0))),"")</f>
        <v/>
      </c>
      <c r="F49" s="54" t="str">
        <f>IFERROR(IF(OR($B49="",$B49="(blank)"),"",VLOOKUP($B49,'Email Marketing Raw Data'!$C:$O,13,0)),"")</f>
        <v/>
      </c>
      <c r="G49" s="55" t="str">
        <f>IFERROR(IF(OR($B49="",$B49="(blank)"),"",VLOOKUP($B49,'Email Marketing Raw Data'!$C:$O,4,0)),"")</f>
        <v/>
      </c>
      <c r="H49" s="55" t="str">
        <f>IFERROR(IF(OR($B49="",$B49="(blank)"),"",VLOOKUP($B49,'Email Marketing Raw Data'!$C:$O,5,0)),"")</f>
        <v/>
      </c>
      <c r="I49" s="55" t="str">
        <f>IFERROR(IF($G49="","",VLOOKUP('Dashboard And Emails Automate'!$G49,Database!$H:$N,3,0)),"")</f>
        <v/>
      </c>
      <c r="J49" s="55" t="str">
        <f>IFERROR(IF($G49="","",VLOOKUP('Dashboard And Emails Automate'!$G49,Database!$H:$N,4,0)),"")</f>
        <v/>
      </c>
      <c r="K49" s="55" t="str">
        <f>IFERROR(IF($G49="","",VLOOKUP('Dashboard And Emails Automate'!$G49,Database!$H:$N,5,0)),"")</f>
        <v/>
      </c>
      <c r="L49" s="55" t="str">
        <f>IFERROR(IF($G49="","",VLOOKUP('Dashboard And Emails Automate'!$G49,Database!$H:$N,6,0)),"")</f>
        <v/>
      </c>
      <c r="M49" s="55" t="str">
        <f>IFERROR(IF($G49="","",VLOOKUP('Dashboard And Emails Automate'!$G49,Database!$H:$N,7,0)),"")</f>
        <v/>
      </c>
      <c r="N49" s="55" t="str">
        <f>IFERROR(IF(OR($B49="",$B49="(blank)"),"",VLOOKUP($B49,'Email Marketing Raw Data'!$C:$O,6,0)),"")</f>
        <v/>
      </c>
      <c r="O49" s="55" t="str">
        <f>IFERROR(IF(OR($B49="",$B49="(blank)"),"",VLOOKUP($B49,'Email Marketing Raw Data'!$C:$O,7,0)),"")</f>
        <v/>
      </c>
      <c r="P49" s="55" t="str">
        <f>IFERROR(IF(OR($B49="",$B49="(blank)"),"",VLOOKUP($B49,'Email Marketing Raw Data'!$C:$O,8,0)),"")</f>
        <v/>
      </c>
      <c r="Q49" s="62" t="str">
        <f>IFERROR(IF(OR($B49="",$B49="(blank)"),"",VLOOKUP($B49,'Email Marketing Raw Data'!$C:$O,9,0)),"")</f>
        <v/>
      </c>
    </row>
    <row r="50" spans="4:17" ht="12.75" customHeight="1" x14ac:dyDescent="0.2">
      <c r="D50" s="58" t="str">
        <f>IFERROR(IF(F50&lt;&gt;"pending","",IF(OR($B50="",$B50="(blank)"),"",VLOOKUP($B50,'Email Marketing Raw Data'!$C:$O,10,0))),"")</f>
        <v/>
      </c>
      <c r="E50" s="59" t="str">
        <f>IFERROR(IF(F50&lt;&gt;"pending","",IF(OR($B50="",$B50="(blank)"),"",VLOOKUP($B50,'Email Marketing Raw Data'!$C:$O,11,0))),"")</f>
        <v/>
      </c>
      <c r="F50" s="54" t="str">
        <f>IFERROR(IF(OR($B50="",$B50="(blank)"),"",VLOOKUP($B50,'Email Marketing Raw Data'!$C:$O,13,0)),"")</f>
        <v/>
      </c>
      <c r="G50" s="55" t="str">
        <f>IFERROR(IF(OR($B50="",$B50="(blank)"),"",VLOOKUP($B50,'Email Marketing Raw Data'!$C:$O,4,0)),"")</f>
        <v/>
      </c>
      <c r="H50" s="55" t="str">
        <f>IFERROR(IF(OR($B50="",$B50="(blank)"),"",VLOOKUP($B50,'Email Marketing Raw Data'!$C:$O,5,0)),"")</f>
        <v/>
      </c>
      <c r="I50" s="55" t="str">
        <f>IFERROR(IF($G50="","",VLOOKUP('Dashboard And Emails Automate'!$G50,Database!$H:$N,3,0)),"")</f>
        <v/>
      </c>
      <c r="J50" s="55" t="str">
        <f>IFERROR(IF($G50="","",VLOOKUP('Dashboard And Emails Automate'!$G50,Database!$H:$N,4,0)),"")</f>
        <v/>
      </c>
      <c r="K50" s="55" t="str">
        <f>IFERROR(IF($G50="","",VLOOKUP('Dashboard And Emails Automate'!$G50,Database!$H:$N,5,0)),"")</f>
        <v/>
      </c>
      <c r="L50" s="55" t="str">
        <f>IFERROR(IF($G50="","",VLOOKUP('Dashboard And Emails Automate'!$G50,Database!$H:$N,6,0)),"")</f>
        <v/>
      </c>
      <c r="M50" s="55" t="str">
        <f>IFERROR(IF($G50="","",VLOOKUP('Dashboard And Emails Automate'!$G50,Database!$H:$N,7,0)),"")</f>
        <v/>
      </c>
      <c r="N50" s="55" t="str">
        <f>IFERROR(IF(OR($B50="",$B50="(blank)"),"",VLOOKUP($B50,'Email Marketing Raw Data'!$C:$O,6,0)),"")</f>
        <v/>
      </c>
      <c r="O50" s="55" t="str">
        <f>IFERROR(IF(OR($B50="",$B50="(blank)"),"",VLOOKUP($B50,'Email Marketing Raw Data'!$C:$O,7,0)),"")</f>
        <v/>
      </c>
      <c r="P50" s="55" t="str">
        <f>IFERROR(IF(OR($B50="",$B50="(blank)"),"",VLOOKUP($B50,'Email Marketing Raw Data'!$C:$O,8,0)),"")</f>
        <v/>
      </c>
      <c r="Q50" s="62" t="str">
        <f>IFERROR(IF(OR($B50="",$B50="(blank)"),"",VLOOKUP($B50,'Email Marketing Raw Data'!$C:$O,9,0)),"")</f>
        <v/>
      </c>
    </row>
    <row r="51" spans="4:17" ht="12.75" customHeight="1" x14ac:dyDescent="0.2">
      <c r="D51" s="58" t="str">
        <f>IFERROR(IF(F51&lt;&gt;"pending","",IF(OR($B51="",$B51="(blank)"),"",VLOOKUP($B51,'Email Marketing Raw Data'!$C:$O,10,0))),"")</f>
        <v/>
      </c>
      <c r="E51" s="59" t="str">
        <f>IFERROR(IF(F51&lt;&gt;"pending","",IF(OR($B51="",$B51="(blank)"),"",VLOOKUP($B51,'Email Marketing Raw Data'!$C:$O,11,0))),"")</f>
        <v/>
      </c>
      <c r="F51" s="54" t="str">
        <f>IFERROR(IF(OR($B51="",$B51="(blank)"),"",VLOOKUP($B51,'Email Marketing Raw Data'!$C:$O,13,0)),"")</f>
        <v/>
      </c>
      <c r="G51" s="55" t="str">
        <f>IFERROR(IF(OR($B51="",$B51="(blank)"),"",VLOOKUP($B51,'Email Marketing Raw Data'!$C:$O,4,0)),"")</f>
        <v/>
      </c>
      <c r="H51" s="55" t="str">
        <f>IFERROR(IF(OR($B51="",$B51="(blank)"),"",VLOOKUP($B51,'Email Marketing Raw Data'!$C:$O,5,0)),"")</f>
        <v/>
      </c>
      <c r="I51" s="55" t="str">
        <f>IFERROR(IF($G51="","",VLOOKUP('Dashboard And Emails Automate'!$G51,Database!$H:$N,3,0)),"")</f>
        <v/>
      </c>
      <c r="J51" s="55" t="str">
        <f>IFERROR(IF($G51="","",VLOOKUP('Dashboard And Emails Automate'!$G51,Database!$H:$N,4,0)),"")</f>
        <v/>
      </c>
      <c r="K51" s="55" t="str">
        <f>IFERROR(IF($G51="","",VLOOKUP('Dashboard And Emails Automate'!$G51,Database!$H:$N,5,0)),"")</f>
        <v/>
      </c>
      <c r="L51" s="55" t="str">
        <f>IFERROR(IF($G51="","",VLOOKUP('Dashboard And Emails Automate'!$G51,Database!$H:$N,6,0)),"")</f>
        <v/>
      </c>
      <c r="M51" s="55" t="str">
        <f>IFERROR(IF($G51="","",VLOOKUP('Dashboard And Emails Automate'!$G51,Database!$H:$N,7,0)),"")</f>
        <v/>
      </c>
      <c r="N51" s="55" t="str">
        <f>IFERROR(IF(OR($B51="",$B51="(blank)"),"",VLOOKUP($B51,'Email Marketing Raw Data'!$C:$O,6,0)),"")</f>
        <v/>
      </c>
      <c r="O51" s="55" t="str">
        <f>IFERROR(IF(OR($B51="",$B51="(blank)"),"",VLOOKUP($B51,'Email Marketing Raw Data'!$C:$O,7,0)),"")</f>
        <v/>
      </c>
      <c r="P51" s="55" t="str">
        <f>IFERROR(IF(OR($B51="",$B51="(blank)"),"",VLOOKUP($B51,'Email Marketing Raw Data'!$C:$O,8,0)),"")</f>
        <v/>
      </c>
      <c r="Q51" s="62" t="str">
        <f>IFERROR(IF(OR($B51="",$B51="(blank)"),"",VLOOKUP($B51,'Email Marketing Raw Data'!$C:$O,9,0)),"")</f>
        <v/>
      </c>
    </row>
    <row r="52" spans="4:17" ht="12.75" customHeight="1" x14ac:dyDescent="0.2">
      <c r="D52" s="58" t="str">
        <f>IFERROR(IF(F52&lt;&gt;"pending","",IF(OR($B52="",$B52="(blank)"),"",VLOOKUP($B52,'Email Marketing Raw Data'!$C:$O,10,0))),"")</f>
        <v/>
      </c>
      <c r="E52" s="59" t="str">
        <f>IFERROR(IF(F52&lt;&gt;"pending","",IF(OR($B52="",$B52="(blank)"),"",VLOOKUP($B52,'Email Marketing Raw Data'!$C:$O,11,0))),"")</f>
        <v/>
      </c>
      <c r="F52" s="54" t="str">
        <f>IFERROR(IF(OR($B52="",$B52="(blank)"),"",VLOOKUP($B52,'Email Marketing Raw Data'!$C:$O,13,0)),"")</f>
        <v/>
      </c>
      <c r="G52" s="55" t="str">
        <f>IFERROR(IF(OR($B52="",$B52="(blank)"),"",VLOOKUP($B52,'Email Marketing Raw Data'!$C:$O,4,0)),"")</f>
        <v/>
      </c>
      <c r="H52" s="55" t="str">
        <f>IFERROR(IF(OR($B52="",$B52="(blank)"),"",VLOOKUP($B52,'Email Marketing Raw Data'!$C:$O,5,0)),"")</f>
        <v/>
      </c>
      <c r="I52" s="55" t="str">
        <f>IFERROR(IF($G52="","",VLOOKUP('Dashboard And Emails Automate'!$G52,Database!$H:$N,3,0)),"")</f>
        <v/>
      </c>
      <c r="J52" s="55" t="str">
        <f>IFERROR(IF($G52="","",VLOOKUP('Dashboard And Emails Automate'!$G52,Database!$H:$N,4,0)),"")</f>
        <v/>
      </c>
      <c r="K52" s="55" t="str">
        <f>IFERROR(IF($G52="","",VLOOKUP('Dashboard And Emails Automate'!$G52,Database!$H:$N,5,0)),"")</f>
        <v/>
      </c>
      <c r="L52" s="55" t="str">
        <f>IFERROR(IF($G52="","",VLOOKUP('Dashboard And Emails Automate'!$G52,Database!$H:$N,6,0)),"")</f>
        <v/>
      </c>
      <c r="M52" s="55" t="str">
        <f>IFERROR(IF($G52="","",VLOOKUP('Dashboard And Emails Automate'!$G52,Database!$H:$N,7,0)),"")</f>
        <v/>
      </c>
      <c r="N52" s="55" t="str">
        <f>IFERROR(IF(OR($B52="",$B52="(blank)"),"",VLOOKUP($B52,'Email Marketing Raw Data'!$C:$O,6,0)),"")</f>
        <v/>
      </c>
      <c r="O52" s="55" t="str">
        <f>IFERROR(IF(OR($B52="",$B52="(blank)"),"",VLOOKUP($B52,'Email Marketing Raw Data'!$C:$O,7,0)),"")</f>
        <v/>
      </c>
      <c r="P52" s="55" t="str">
        <f>IFERROR(IF(OR($B52="",$B52="(blank)"),"",VLOOKUP($B52,'Email Marketing Raw Data'!$C:$O,8,0)),"")</f>
        <v/>
      </c>
      <c r="Q52" s="62" t="str">
        <f>IFERROR(IF(OR($B52="",$B52="(blank)"),"",VLOOKUP($B52,'Email Marketing Raw Data'!$C:$O,9,0)),"")</f>
        <v/>
      </c>
    </row>
    <row r="53" spans="4:17" ht="12.75" customHeight="1" x14ac:dyDescent="0.2">
      <c r="D53" s="58" t="str">
        <f>IFERROR(IF(F53&lt;&gt;"pending","",IF(OR($B53="",$B53="(blank)"),"",VLOOKUP($B53,'Email Marketing Raw Data'!$C:$O,10,0))),"")</f>
        <v/>
      </c>
      <c r="E53" s="59" t="str">
        <f>IFERROR(IF(F53&lt;&gt;"pending","",IF(OR($B53="",$B53="(blank)"),"",VLOOKUP($B53,'Email Marketing Raw Data'!$C:$O,11,0))),"")</f>
        <v/>
      </c>
      <c r="F53" s="54" t="str">
        <f>IFERROR(IF(OR($B53="",$B53="(blank)"),"",VLOOKUP($B53,'Email Marketing Raw Data'!$C:$O,13,0)),"")</f>
        <v/>
      </c>
      <c r="G53" s="55" t="str">
        <f>IFERROR(IF(OR($B53="",$B53="(blank)"),"",VLOOKUP($B53,'Email Marketing Raw Data'!$C:$O,4,0)),"")</f>
        <v/>
      </c>
      <c r="H53" s="55" t="str">
        <f>IFERROR(IF(OR($B53="",$B53="(blank)"),"",VLOOKUP($B53,'Email Marketing Raw Data'!$C:$O,5,0)),"")</f>
        <v/>
      </c>
      <c r="I53" s="55" t="str">
        <f>IFERROR(IF($G53="","",VLOOKUP('Dashboard And Emails Automate'!$G53,Database!$H:$N,3,0)),"")</f>
        <v/>
      </c>
      <c r="J53" s="55" t="str">
        <f>IFERROR(IF($G53="","",VLOOKUP('Dashboard And Emails Automate'!$G53,Database!$H:$N,4,0)),"")</f>
        <v/>
      </c>
      <c r="K53" s="55" t="str">
        <f>IFERROR(IF($G53="","",VLOOKUP('Dashboard And Emails Automate'!$G53,Database!$H:$N,5,0)),"")</f>
        <v/>
      </c>
      <c r="L53" s="55" t="str">
        <f>IFERROR(IF($G53="","",VLOOKUP('Dashboard And Emails Automate'!$G53,Database!$H:$N,6,0)),"")</f>
        <v/>
      </c>
      <c r="M53" s="55" t="str">
        <f>IFERROR(IF($G53="","",VLOOKUP('Dashboard And Emails Automate'!$G53,Database!$H:$N,7,0)),"")</f>
        <v/>
      </c>
      <c r="N53" s="55" t="str">
        <f>IFERROR(IF(OR($B53="",$B53="(blank)"),"",VLOOKUP($B53,'Email Marketing Raw Data'!$C:$O,6,0)),"")</f>
        <v/>
      </c>
      <c r="O53" s="55" t="str">
        <f>IFERROR(IF(OR($B53="",$B53="(blank)"),"",VLOOKUP($B53,'Email Marketing Raw Data'!$C:$O,7,0)),"")</f>
        <v/>
      </c>
      <c r="P53" s="55" t="str">
        <f>IFERROR(IF(OR($B53="",$B53="(blank)"),"",VLOOKUP($B53,'Email Marketing Raw Data'!$C:$O,8,0)),"")</f>
        <v/>
      </c>
      <c r="Q53" s="62" t="str">
        <f>IFERROR(IF(OR($B53="",$B53="(blank)"),"",VLOOKUP($B53,'Email Marketing Raw Data'!$C:$O,9,0)),"")</f>
        <v/>
      </c>
    </row>
    <row r="54" spans="4:17" ht="12.75" customHeight="1" x14ac:dyDescent="0.2">
      <c r="D54" s="58" t="str">
        <f>IFERROR(IF(F54&lt;&gt;"pending","",IF(OR($B54="",$B54="(blank)"),"",VLOOKUP($B54,'Email Marketing Raw Data'!$C:$O,10,0))),"")</f>
        <v/>
      </c>
      <c r="E54" s="59" t="str">
        <f>IFERROR(IF(F54&lt;&gt;"pending","",IF(OR($B54="",$B54="(blank)"),"",VLOOKUP($B54,'Email Marketing Raw Data'!$C:$O,11,0))),"")</f>
        <v/>
      </c>
      <c r="F54" s="54" t="str">
        <f>IFERROR(IF(OR($B54="",$B54="(blank)"),"",VLOOKUP($B54,'Email Marketing Raw Data'!$C:$O,13,0)),"")</f>
        <v/>
      </c>
      <c r="G54" s="55" t="str">
        <f>IFERROR(IF(OR($B54="",$B54="(blank)"),"",VLOOKUP($B54,'Email Marketing Raw Data'!$C:$O,4,0)),"")</f>
        <v/>
      </c>
      <c r="H54" s="55" t="str">
        <f>IFERROR(IF(OR($B54="",$B54="(blank)"),"",VLOOKUP($B54,'Email Marketing Raw Data'!$C:$O,5,0)),"")</f>
        <v/>
      </c>
      <c r="I54" s="55" t="str">
        <f>IFERROR(IF($G54="","",VLOOKUP('Dashboard And Emails Automate'!$G54,Database!$H:$N,3,0)),"")</f>
        <v/>
      </c>
      <c r="J54" s="55" t="str">
        <f>IFERROR(IF($G54="","",VLOOKUP('Dashboard And Emails Automate'!$G54,Database!$H:$N,4,0)),"")</f>
        <v/>
      </c>
      <c r="K54" s="55" t="str">
        <f>IFERROR(IF($G54="","",VLOOKUP('Dashboard And Emails Automate'!$G54,Database!$H:$N,5,0)),"")</f>
        <v/>
      </c>
      <c r="L54" s="55" t="str">
        <f>IFERROR(IF($G54="","",VLOOKUP('Dashboard And Emails Automate'!$G54,Database!$H:$N,6,0)),"")</f>
        <v/>
      </c>
      <c r="M54" s="55" t="str">
        <f>IFERROR(IF($G54="","",VLOOKUP('Dashboard And Emails Automate'!$G54,Database!$H:$N,7,0)),"")</f>
        <v/>
      </c>
      <c r="N54" s="55" t="str">
        <f>IFERROR(IF(OR($B54="",$B54="(blank)"),"",VLOOKUP($B54,'Email Marketing Raw Data'!$C:$O,6,0)),"")</f>
        <v/>
      </c>
      <c r="O54" s="55" t="str">
        <f>IFERROR(IF(OR($B54="",$B54="(blank)"),"",VLOOKUP($B54,'Email Marketing Raw Data'!$C:$O,7,0)),"")</f>
        <v/>
      </c>
      <c r="P54" s="55" t="str">
        <f>IFERROR(IF(OR($B54="",$B54="(blank)"),"",VLOOKUP($B54,'Email Marketing Raw Data'!$C:$O,8,0)),"")</f>
        <v/>
      </c>
      <c r="Q54" s="62" t="str">
        <f>IFERROR(IF(OR($B54="",$B54="(blank)"),"",VLOOKUP($B54,'Email Marketing Raw Data'!$C:$O,9,0)),"")</f>
        <v/>
      </c>
    </row>
    <row r="55" spans="4:17" ht="12.75" customHeight="1" x14ac:dyDescent="0.2">
      <c r="D55" s="58" t="str">
        <f>IFERROR(IF(F55&lt;&gt;"pending","",IF(OR($B55="",$B55="(blank)"),"",VLOOKUP($B55,'Email Marketing Raw Data'!$C:$O,10,0))),"")</f>
        <v/>
      </c>
      <c r="E55" s="59" t="str">
        <f>IFERROR(IF(F55&lt;&gt;"pending","",IF(OR($B55="",$B55="(blank)"),"",VLOOKUP($B55,'Email Marketing Raw Data'!$C:$O,11,0))),"")</f>
        <v/>
      </c>
      <c r="F55" s="54" t="str">
        <f>IFERROR(IF(OR($B55="",$B55="(blank)"),"",VLOOKUP($B55,'Email Marketing Raw Data'!$C:$O,13,0)),"")</f>
        <v/>
      </c>
      <c r="G55" s="55" t="str">
        <f>IFERROR(IF(OR($B55="",$B55="(blank)"),"",VLOOKUP($B55,'Email Marketing Raw Data'!$C:$O,4,0)),"")</f>
        <v/>
      </c>
      <c r="H55" s="55" t="str">
        <f>IFERROR(IF(OR($B55="",$B55="(blank)"),"",VLOOKUP($B55,'Email Marketing Raw Data'!$C:$O,5,0)),"")</f>
        <v/>
      </c>
      <c r="I55" s="55" t="str">
        <f>IFERROR(IF($G55="","",VLOOKUP('Dashboard And Emails Automate'!$G55,Database!$H:$N,3,0)),"")</f>
        <v/>
      </c>
      <c r="J55" s="55" t="str">
        <f>IFERROR(IF($G55="","",VLOOKUP('Dashboard And Emails Automate'!$G55,Database!$H:$N,4,0)),"")</f>
        <v/>
      </c>
      <c r="K55" s="55" t="str">
        <f>IFERROR(IF($G55="","",VLOOKUP('Dashboard And Emails Automate'!$G55,Database!$H:$N,5,0)),"")</f>
        <v/>
      </c>
      <c r="L55" s="55" t="str">
        <f>IFERROR(IF($G55="","",VLOOKUP('Dashboard And Emails Automate'!$G55,Database!$H:$N,6,0)),"")</f>
        <v/>
      </c>
      <c r="M55" s="55" t="str">
        <f>IFERROR(IF($G55="","",VLOOKUP('Dashboard And Emails Automate'!$G55,Database!$H:$N,7,0)),"")</f>
        <v/>
      </c>
      <c r="N55" s="55" t="str">
        <f>IFERROR(IF(OR($B55="",$B55="(blank)"),"",VLOOKUP($B55,'Email Marketing Raw Data'!$C:$O,6,0)),"")</f>
        <v/>
      </c>
      <c r="O55" s="55" t="str">
        <f>IFERROR(IF(OR($B55="",$B55="(blank)"),"",VLOOKUP($B55,'Email Marketing Raw Data'!$C:$O,7,0)),"")</f>
        <v/>
      </c>
      <c r="P55" s="55" t="str">
        <f>IFERROR(IF(OR($B55="",$B55="(blank)"),"",VLOOKUP($B55,'Email Marketing Raw Data'!$C:$O,8,0)),"")</f>
        <v/>
      </c>
      <c r="Q55" s="62" t="str">
        <f>IFERROR(IF(OR($B55="",$B55="(blank)"),"",VLOOKUP($B55,'Email Marketing Raw Data'!$C:$O,9,0)),"")</f>
        <v/>
      </c>
    </row>
    <row r="56" spans="4:17" ht="12.75" customHeight="1" x14ac:dyDescent="0.2">
      <c r="D56" s="58" t="str">
        <f>IFERROR(IF(F56&lt;&gt;"pending","",IF(OR($B56="",$B56="(blank)"),"",VLOOKUP($B56,'Email Marketing Raw Data'!$C:$O,10,0))),"")</f>
        <v/>
      </c>
      <c r="E56" s="59" t="str">
        <f>IFERROR(IF(F56&lt;&gt;"pending","",IF(OR($B56="",$B56="(blank)"),"",VLOOKUP($B56,'Email Marketing Raw Data'!$C:$O,11,0))),"")</f>
        <v/>
      </c>
      <c r="F56" s="54" t="str">
        <f>IFERROR(IF(OR($B56="",$B56="(blank)"),"",VLOOKUP($B56,'Email Marketing Raw Data'!$C:$O,13,0)),"")</f>
        <v/>
      </c>
      <c r="G56" s="55" t="str">
        <f>IFERROR(IF(OR($B56="",$B56="(blank)"),"",VLOOKUP($B56,'Email Marketing Raw Data'!$C:$O,4,0)),"")</f>
        <v/>
      </c>
      <c r="H56" s="55" t="str">
        <f>IFERROR(IF(OR($B56="",$B56="(blank)"),"",VLOOKUP($B56,'Email Marketing Raw Data'!$C:$O,5,0)),"")</f>
        <v/>
      </c>
      <c r="I56" s="55" t="str">
        <f>IFERROR(IF($G56="","",VLOOKUP('Dashboard And Emails Automate'!$G56,Database!$H:$N,3,0)),"")</f>
        <v/>
      </c>
      <c r="J56" s="55" t="str">
        <f>IFERROR(IF($G56="","",VLOOKUP('Dashboard And Emails Automate'!$G56,Database!$H:$N,4,0)),"")</f>
        <v/>
      </c>
      <c r="K56" s="55" t="str">
        <f>IFERROR(IF($G56="","",VLOOKUP('Dashboard And Emails Automate'!$G56,Database!$H:$N,5,0)),"")</f>
        <v/>
      </c>
      <c r="L56" s="55" t="str">
        <f>IFERROR(IF($G56="","",VLOOKUP('Dashboard And Emails Automate'!$G56,Database!$H:$N,6,0)),"")</f>
        <v/>
      </c>
      <c r="M56" s="55" t="str">
        <f>IFERROR(IF($G56="","",VLOOKUP('Dashboard And Emails Automate'!$G56,Database!$H:$N,7,0)),"")</f>
        <v/>
      </c>
      <c r="N56" s="55" t="str">
        <f>IFERROR(IF(OR($B56="",$B56="(blank)"),"",VLOOKUP($B56,'Email Marketing Raw Data'!$C:$O,6,0)),"")</f>
        <v/>
      </c>
      <c r="O56" s="55" t="str">
        <f>IFERROR(IF(OR($B56="",$B56="(blank)"),"",VLOOKUP($B56,'Email Marketing Raw Data'!$C:$O,7,0)),"")</f>
        <v/>
      </c>
      <c r="P56" s="55" t="str">
        <f>IFERROR(IF(OR($B56="",$B56="(blank)"),"",VLOOKUP($B56,'Email Marketing Raw Data'!$C:$O,8,0)),"")</f>
        <v/>
      </c>
      <c r="Q56" s="62" t="str">
        <f>IFERROR(IF(OR($B56="",$B56="(blank)"),"",VLOOKUP($B56,'Email Marketing Raw Data'!$C:$O,9,0)),"")</f>
        <v/>
      </c>
    </row>
    <row r="57" spans="4:17" ht="12.75" customHeight="1" x14ac:dyDescent="0.2">
      <c r="D57" s="58" t="str">
        <f>IFERROR(IF(F57&lt;&gt;"pending","",IF(OR($B57="",$B57="(blank)"),"",VLOOKUP($B57,'Email Marketing Raw Data'!$C:$O,10,0))),"")</f>
        <v/>
      </c>
      <c r="E57" s="59" t="str">
        <f>IFERROR(IF(F57&lt;&gt;"pending","",IF(OR($B57="",$B57="(blank)"),"",VLOOKUP($B57,'Email Marketing Raw Data'!$C:$O,11,0))),"")</f>
        <v/>
      </c>
      <c r="F57" s="54" t="str">
        <f>IFERROR(IF(OR($B57="",$B57="(blank)"),"",VLOOKUP($B57,'Email Marketing Raw Data'!$C:$O,13,0)),"")</f>
        <v/>
      </c>
      <c r="G57" s="55" t="str">
        <f>IFERROR(IF(OR($B57="",$B57="(blank)"),"",VLOOKUP($B57,'Email Marketing Raw Data'!$C:$O,4,0)),"")</f>
        <v/>
      </c>
      <c r="H57" s="55" t="str">
        <f>IFERROR(IF(OR($B57="",$B57="(blank)"),"",VLOOKUP($B57,'Email Marketing Raw Data'!$C:$O,5,0)),"")</f>
        <v/>
      </c>
      <c r="I57" s="55" t="str">
        <f>IFERROR(IF($G57="","",VLOOKUP('Dashboard And Emails Automate'!$G57,Database!$H:$N,3,0)),"")</f>
        <v/>
      </c>
      <c r="J57" s="55" t="str">
        <f>IFERROR(IF($G57="","",VLOOKUP('Dashboard And Emails Automate'!$G57,Database!$H:$N,4,0)),"")</f>
        <v/>
      </c>
      <c r="K57" s="55" t="str">
        <f>IFERROR(IF($G57="","",VLOOKUP('Dashboard And Emails Automate'!$G57,Database!$H:$N,5,0)),"")</f>
        <v/>
      </c>
      <c r="L57" s="55" t="str">
        <f>IFERROR(IF($G57="","",VLOOKUP('Dashboard And Emails Automate'!$G57,Database!$H:$N,6,0)),"")</f>
        <v/>
      </c>
      <c r="M57" s="55" t="str">
        <f>IFERROR(IF($G57="","",VLOOKUP('Dashboard And Emails Automate'!$G57,Database!$H:$N,7,0)),"")</f>
        <v/>
      </c>
      <c r="N57" s="55" t="str">
        <f>IFERROR(IF(OR($B57="",$B57="(blank)"),"",VLOOKUP($B57,'Email Marketing Raw Data'!$C:$O,6,0)),"")</f>
        <v/>
      </c>
      <c r="O57" s="55" t="str">
        <f>IFERROR(IF(OR($B57="",$B57="(blank)"),"",VLOOKUP($B57,'Email Marketing Raw Data'!$C:$O,7,0)),"")</f>
        <v/>
      </c>
      <c r="P57" s="55" t="str">
        <f>IFERROR(IF(OR($B57="",$B57="(blank)"),"",VLOOKUP($B57,'Email Marketing Raw Data'!$C:$O,8,0)),"")</f>
        <v/>
      </c>
      <c r="Q57" s="62" t="str">
        <f>IFERROR(IF(OR($B57="",$B57="(blank)"),"",VLOOKUP($B57,'Email Marketing Raw Data'!$C:$O,9,0)),"")</f>
        <v/>
      </c>
    </row>
    <row r="58" spans="4:17" ht="12.75" customHeight="1" x14ac:dyDescent="0.2">
      <c r="D58" s="58" t="str">
        <f>IFERROR(IF(F58&lt;&gt;"pending","",IF(OR($B58="",$B58="(blank)"),"",VLOOKUP($B58,'Email Marketing Raw Data'!$C:$O,10,0))),"")</f>
        <v/>
      </c>
      <c r="E58" s="59" t="str">
        <f>IFERROR(IF(F58&lt;&gt;"pending","",IF(OR($B58="",$B58="(blank)"),"",VLOOKUP($B58,'Email Marketing Raw Data'!$C:$O,11,0))),"")</f>
        <v/>
      </c>
      <c r="F58" s="54" t="str">
        <f>IFERROR(IF(OR($B58="",$B58="(blank)"),"",VLOOKUP($B58,'Email Marketing Raw Data'!$C:$O,13,0)),"")</f>
        <v/>
      </c>
      <c r="G58" s="55" t="str">
        <f>IFERROR(IF(OR($B58="",$B58="(blank)"),"",VLOOKUP($B58,'Email Marketing Raw Data'!$C:$O,4,0)),"")</f>
        <v/>
      </c>
      <c r="H58" s="55" t="str">
        <f>IFERROR(IF(OR($B58="",$B58="(blank)"),"",VLOOKUP($B58,'Email Marketing Raw Data'!$C:$O,5,0)),"")</f>
        <v/>
      </c>
      <c r="I58" s="55" t="str">
        <f>IFERROR(IF($G58="","",VLOOKUP('Dashboard And Emails Automate'!$G58,Database!$H:$N,3,0)),"")</f>
        <v/>
      </c>
      <c r="J58" s="55" t="str">
        <f>IFERROR(IF($G58="","",VLOOKUP('Dashboard And Emails Automate'!$G58,Database!$H:$N,4,0)),"")</f>
        <v/>
      </c>
      <c r="K58" s="55" t="str">
        <f>IFERROR(IF($G58="","",VLOOKUP('Dashboard And Emails Automate'!$G58,Database!$H:$N,5,0)),"")</f>
        <v/>
      </c>
      <c r="L58" s="55" t="str">
        <f>IFERROR(IF($G58="","",VLOOKUP('Dashboard And Emails Automate'!$G58,Database!$H:$N,6,0)),"")</f>
        <v/>
      </c>
      <c r="M58" s="55" t="str">
        <f>IFERROR(IF($G58="","",VLOOKUP('Dashboard And Emails Automate'!$G58,Database!$H:$N,7,0)),"")</f>
        <v/>
      </c>
      <c r="N58" s="55" t="str">
        <f>IFERROR(IF(OR($B58="",$B58="(blank)"),"",VLOOKUP($B58,'Email Marketing Raw Data'!$C:$O,6,0)),"")</f>
        <v/>
      </c>
      <c r="O58" s="55" t="str">
        <f>IFERROR(IF(OR($B58="",$B58="(blank)"),"",VLOOKUP($B58,'Email Marketing Raw Data'!$C:$O,7,0)),"")</f>
        <v/>
      </c>
      <c r="P58" s="55" t="str">
        <f>IFERROR(IF(OR($B58="",$B58="(blank)"),"",VLOOKUP($B58,'Email Marketing Raw Data'!$C:$O,8,0)),"")</f>
        <v/>
      </c>
      <c r="Q58" s="62" t="str">
        <f>IFERROR(IF(OR($B58="",$B58="(blank)"),"",VLOOKUP($B58,'Email Marketing Raw Data'!$C:$O,9,0)),"")</f>
        <v/>
      </c>
    </row>
    <row r="59" spans="4:17" ht="12.75" customHeight="1" x14ac:dyDescent="0.2">
      <c r="D59" s="58" t="str">
        <f>IFERROR(IF(F59&lt;&gt;"pending","",IF(OR($B59="",$B59="(blank)"),"",VLOOKUP($B59,'Email Marketing Raw Data'!$C:$O,10,0))),"")</f>
        <v/>
      </c>
      <c r="E59" s="59" t="str">
        <f>IFERROR(IF(F59&lt;&gt;"pending","",IF(OR($B59="",$B59="(blank)"),"",VLOOKUP($B59,'Email Marketing Raw Data'!$C:$O,11,0))),"")</f>
        <v/>
      </c>
      <c r="F59" s="54" t="str">
        <f>IFERROR(IF(OR($B59="",$B59="(blank)"),"",VLOOKUP($B59,'Email Marketing Raw Data'!$C:$O,13,0)),"")</f>
        <v/>
      </c>
      <c r="G59" s="55" t="str">
        <f>IFERROR(IF(OR($B59="",$B59="(blank)"),"",VLOOKUP($B59,'Email Marketing Raw Data'!$C:$O,4,0)),"")</f>
        <v/>
      </c>
      <c r="H59" s="55" t="str">
        <f>IFERROR(IF(OR($B59="",$B59="(blank)"),"",VLOOKUP($B59,'Email Marketing Raw Data'!$C:$O,5,0)),"")</f>
        <v/>
      </c>
      <c r="I59" s="55" t="str">
        <f>IFERROR(IF($G59="","",VLOOKUP('Dashboard And Emails Automate'!$G59,Database!$H:$N,3,0)),"")</f>
        <v/>
      </c>
      <c r="J59" s="55" t="str">
        <f>IFERROR(IF($G59="","",VLOOKUP('Dashboard And Emails Automate'!$G59,Database!$H:$N,4,0)),"")</f>
        <v/>
      </c>
      <c r="K59" s="55" t="str">
        <f>IFERROR(IF($G59="","",VLOOKUP('Dashboard And Emails Automate'!$G59,Database!$H:$N,5,0)),"")</f>
        <v/>
      </c>
      <c r="L59" s="55" t="str">
        <f>IFERROR(IF($G59="","",VLOOKUP('Dashboard And Emails Automate'!$G59,Database!$H:$N,6,0)),"")</f>
        <v/>
      </c>
      <c r="M59" s="55" t="str">
        <f>IFERROR(IF($G59="","",VLOOKUP('Dashboard And Emails Automate'!$G59,Database!$H:$N,7,0)),"")</f>
        <v/>
      </c>
      <c r="N59" s="55" t="str">
        <f>IFERROR(IF(OR($B59="",$B59="(blank)"),"",VLOOKUP($B59,'Email Marketing Raw Data'!$C:$O,6,0)),"")</f>
        <v/>
      </c>
      <c r="O59" s="55" t="str">
        <f>IFERROR(IF(OR($B59="",$B59="(blank)"),"",VLOOKUP($B59,'Email Marketing Raw Data'!$C:$O,7,0)),"")</f>
        <v/>
      </c>
      <c r="P59" s="55" t="str">
        <f>IFERROR(IF(OR($B59="",$B59="(blank)"),"",VLOOKUP($B59,'Email Marketing Raw Data'!$C:$O,8,0)),"")</f>
        <v/>
      </c>
      <c r="Q59" s="62" t="str">
        <f>IFERROR(IF(OR($B59="",$B59="(blank)"),"",VLOOKUP($B59,'Email Marketing Raw Data'!$C:$O,9,0)),"")</f>
        <v/>
      </c>
    </row>
    <row r="60" spans="4:17" ht="12.75" customHeight="1" x14ac:dyDescent="0.2">
      <c r="D60" s="58" t="str">
        <f>IFERROR(IF(F60&lt;&gt;"pending","",IF(OR($B60="",$B60="(blank)"),"",VLOOKUP($B60,'Email Marketing Raw Data'!$C:$O,10,0))),"")</f>
        <v/>
      </c>
      <c r="E60" s="59" t="str">
        <f>IFERROR(IF(F60&lt;&gt;"pending","",IF(OR($B60="",$B60="(blank)"),"",VLOOKUP($B60,'Email Marketing Raw Data'!$C:$O,11,0))),"")</f>
        <v/>
      </c>
      <c r="F60" s="54" t="str">
        <f>IFERROR(IF(OR($B60="",$B60="(blank)"),"",VLOOKUP($B60,'Email Marketing Raw Data'!$C:$O,13,0)),"")</f>
        <v/>
      </c>
      <c r="G60" s="55" t="str">
        <f>IFERROR(IF(OR($B60="",$B60="(blank)"),"",VLOOKUP($B60,'Email Marketing Raw Data'!$C:$O,4,0)),"")</f>
        <v/>
      </c>
      <c r="H60" s="55" t="str">
        <f>IFERROR(IF(OR($B60="",$B60="(blank)"),"",VLOOKUP($B60,'Email Marketing Raw Data'!$C:$O,5,0)),"")</f>
        <v/>
      </c>
      <c r="I60" s="55" t="str">
        <f>IFERROR(IF($G60="","",VLOOKUP('Dashboard And Emails Automate'!$G60,Database!$H:$N,3,0)),"")</f>
        <v/>
      </c>
      <c r="J60" s="55" t="str">
        <f>IFERROR(IF($G60="","",VLOOKUP('Dashboard And Emails Automate'!$G60,Database!$H:$N,4,0)),"")</f>
        <v/>
      </c>
      <c r="K60" s="55" t="str">
        <f>IFERROR(IF($G60="","",VLOOKUP('Dashboard And Emails Automate'!$G60,Database!$H:$N,5,0)),"")</f>
        <v/>
      </c>
      <c r="L60" s="55" t="str">
        <f>IFERROR(IF($G60="","",VLOOKUP('Dashboard And Emails Automate'!$G60,Database!$H:$N,6,0)),"")</f>
        <v/>
      </c>
      <c r="M60" s="55" t="str">
        <f>IFERROR(IF($G60="","",VLOOKUP('Dashboard And Emails Automate'!$G60,Database!$H:$N,7,0)),"")</f>
        <v/>
      </c>
      <c r="N60" s="55" t="str">
        <f>IFERROR(IF(OR($B60="",$B60="(blank)"),"",VLOOKUP($B60,'Email Marketing Raw Data'!$C:$O,6,0)),"")</f>
        <v/>
      </c>
      <c r="O60" s="55" t="str">
        <f>IFERROR(IF(OR($B60="",$B60="(blank)"),"",VLOOKUP($B60,'Email Marketing Raw Data'!$C:$O,7,0)),"")</f>
        <v/>
      </c>
      <c r="P60" s="55" t="str">
        <f>IFERROR(IF(OR($B60="",$B60="(blank)"),"",VLOOKUP($B60,'Email Marketing Raw Data'!$C:$O,8,0)),"")</f>
        <v/>
      </c>
      <c r="Q60" s="62" t="str">
        <f>IFERROR(IF(OR($B60="",$B60="(blank)"),"",VLOOKUP($B60,'Email Marketing Raw Data'!$C:$O,9,0)),"")</f>
        <v/>
      </c>
    </row>
    <row r="61" spans="4:17" ht="12.75" customHeight="1" x14ac:dyDescent="0.2">
      <c r="D61" s="58" t="str">
        <f>IFERROR(IF(F61&lt;&gt;"pending","",IF(OR($B61="",$B61="(blank)"),"",VLOOKUP($B61,'Email Marketing Raw Data'!$C:$O,10,0))),"")</f>
        <v/>
      </c>
      <c r="E61" s="59" t="str">
        <f>IFERROR(IF(F61&lt;&gt;"pending","",IF(OR($B61="",$B61="(blank)"),"",VLOOKUP($B61,'Email Marketing Raw Data'!$C:$O,11,0))),"")</f>
        <v/>
      </c>
      <c r="F61" s="54" t="str">
        <f>IFERROR(IF(OR($B61="",$B61="(blank)"),"",VLOOKUP($B61,'Email Marketing Raw Data'!$C:$O,13,0)),"")</f>
        <v/>
      </c>
      <c r="G61" s="55" t="str">
        <f>IFERROR(IF(OR($B61="",$B61="(blank)"),"",VLOOKUP($B61,'Email Marketing Raw Data'!$C:$O,4,0)),"")</f>
        <v/>
      </c>
      <c r="H61" s="55" t="str">
        <f>IFERROR(IF(OR($B61="",$B61="(blank)"),"",VLOOKUP($B61,'Email Marketing Raw Data'!$C:$O,5,0)),"")</f>
        <v/>
      </c>
      <c r="I61" s="55" t="str">
        <f>IFERROR(IF($G61="","",VLOOKUP('Dashboard And Emails Automate'!$G61,Database!$H:$N,3,0)),"")</f>
        <v/>
      </c>
      <c r="J61" s="55" t="str">
        <f>IFERROR(IF($G61="","",VLOOKUP('Dashboard And Emails Automate'!$G61,Database!$H:$N,4,0)),"")</f>
        <v/>
      </c>
      <c r="K61" s="55" t="str">
        <f>IFERROR(IF($G61="","",VLOOKUP('Dashboard And Emails Automate'!$G61,Database!$H:$N,5,0)),"")</f>
        <v/>
      </c>
      <c r="L61" s="55" t="str">
        <f>IFERROR(IF($G61="","",VLOOKUP('Dashboard And Emails Automate'!$G61,Database!$H:$N,6,0)),"")</f>
        <v/>
      </c>
      <c r="M61" s="55" t="str">
        <f>IFERROR(IF($G61="","",VLOOKUP('Dashboard And Emails Automate'!$G61,Database!$H:$N,7,0)),"")</f>
        <v/>
      </c>
      <c r="N61" s="55" t="str">
        <f>IFERROR(IF(OR($B61="",$B61="(blank)"),"",VLOOKUP($B61,'Email Marketing Raw Data'!$C:$O,6,0)),"")</f>
        <v/>
      </c>
      <c r="O61" s="55" t="str">
        <f>IFERROR(IF(OR($B61="",$B61="(blank)"),"",VLOOKUP($B61,'Email Marketing Raw Data'!$C:$O,7,0)),"")</f>
        <v/>
      </c>
      <c r="P61" s="55" t="str">
        <f>IFERROR(IF(OR($B61="",$B61="(blank)"),"",VLOOKUP($B61,'Email Marketing Raw Data'!$C:$O,8,0)),"")</f>
        <v/>
      </c>
      <c r="Q61" s="62" t="str">
        <f>IFERROR(IF(OR($B61="",$B61="(blank)"),"",VLOOKUP($B61,'Email Marketing Raw Data'!$C:$O,9,0)),"")</f>
        <v/>
      </c>
    </row>
    <row r="62" spans="4:17" ht="12.75" customHeight="1" x14ac:dyDescent="0.2">
      <c r="D62" s="58" t="str">
        <f>IFERROR(IF(F62&lt;&gt;"pending","",IF(OR($B62="",$B62="(blank)"),"",VLOOKUP($B62,'Email Marketing Raw Data'!$C:$O,10,0))),"")</f>
        <v/>
      </c>
      <c r="E62" s="59" t="str">
        <f>IFERROR(IF(F62&lt;&gt;"pending","",IF(OR($B62="",$B62="(blank)"),"",VLOOKUP($B62,'Email Marketing Raw Data'!$C:$O,11,0))),"")</f>
        <v/>
      </c>
      <c r="F62" s="54" t="str">
        <f>IFERROR(IF(OR($B62="",$B62="(blank)"),"",VLOOKUP($B62,'Email Marketing Raw Data'!$C:$O,13,0)),"")</f>
        <v/>
      </c>
      <c r="G62" s="55" t="str">
        <f>IFERROR(IF(OR($B62="",$B62="(blank)"),"",VLOOKUP($B62,'Email Marketing Raw Data'!$C:$O,4,0)),"")</f>
        <v/>
      </c>
      <c r="H62" s="55" t="str">
        <f>IFERROR(IF(OR($B62="",$B62="(blank)"),"",VLOOKUP($B62,'Email Marketing Raw Data'!$C:$O,5,0)),"")</f>
        <v/>
      </c>
      <c r="I62" s="55" t="str">
        <f>IFERROR(IF($G62="","",VLOOKUP('Dashboard And Emails Automate'!$G62,Database!$H:$N,3,0)),"")</f>
        <v/>
      </c>
      <c r="J62" s="55" t="str">
        <f>IFERROR(IF($G62="","",VLOOKUP('Dashboard And Emails Automate'!$G62,Database!$H:$N,4,0)),"")</f>
        <v/>
      </c>
      <c r="K62" s="55" t="str">
        <f>IFERROR(IF($G62="","",VLOOKUP('Dashboard And Emails Automate'!$G62,Database!$H:$N,5,0)),"")</f>
        <v/>
      </c>
      <c r="L62" s="55" t="str">
        <f>IFERROR(IF($G62="","",VLOOKUP('Dashboard And Emails Automate'!$G62,Database!$H:$N,6,0)),"")</f>
        <v/>
      </c>
      <c r="M62" s="55" t="str">
        <f>IFERROR(IF($G62="","",VLOOKUP('Dashboard And Emails Automate'!$G62,Database!$H:$N,7,0)),"")</f>
        <v/>
      </c>
      <c r="N62" s="55" t="str">
        <f>IFERROR(IF(OR($B62="",$B62="(blank)"),"",VLOOKUP($B62,'Email Marketing Raw Data'!$C:$O,6,0)),"")</f>
        <v/>
      </c>
      <c r="O62" s="55" t="str">
        <f>IFERROR(IF(OR($B62="",$B62="(blank)"),"",VLOOKUP($B62,'Email Marketing Raw Data'!$C:$O,7,0)),"")</f>
        <v/>
      </c>
      <c r="P62" s="55" t="str">
        <f>IFERROR(IF(OR($B62="",$B62="(blank)"),"",VLOOKUP($B62,'Email Marketing Raw Data'!$C:$O,8,0)),"")</f>
        <v/>
      </c>
      <c r="Q62" s="62" t="str">
        <f>IFERROR(IF(OR($B62="",$B62="(blank)"),"",VLOOKUP($B62,'Email Marketing Raw Data'!$C:$O,9,0)),"")</f>
        <v/>
      </c>
    </row>
    <row r="63" spans="4:17" ht="12.75" customHeight="1" x14ac:dyDescent="0.2">
      <c r="D63" s="58" t="str">
        <f>IFERROR(IF(F63&lt;&gt;"pending","",IF(OR($B63="",$B63="(blank)"),"",VLOOKUP($B63,'Email Marketing Raw Data'!$C:$O,10,0))),"")</f>
        <v/>
      </c>
      <c r="E63" s="59" t="str">
        <f>IFERROR(IF(F63&lt;&gt;"pending","",IF(OR($B63="",$B63="(blank)"),"",VLOOKUP($B63,'Email Marketing Raw Data'!$C:$O,11,0))),"")</f>
        <v/>
      </c>
      <c r="F63" s="54" t="str">
        <f>IFERROR(IF(OR($B63="",$B63="(blank)"),"",VLOOKUP($B63,'Email Marketing Raw Data'!$C:$O,13,0)),"")</f>
        <v/>
      </c>
      <c r="G63" s="55" t="str">
        <f>IFERROR(IF(OR($B63="",$B63="(blank)"),"",VLOOKUP($B63,'Email Marketing Raw Data'!$C:$O,4,0)),"")</f>
        <v/>
      </c>
      <c r="H63" s="55" t="str">
        <f>IFERROR(IF(OR($B63="",$B63="(blank)"),"",VLOOKUP($B63,'Email Marketing Raw Data'!$C:$O,5,0)),"")</f>
        <v/>
      </c>
      <c r="I63" s="55" t="str">
        <f>IFERROR(IF($G63="","",VLOOKUP('Dashboard And Emails Automate'!$G63,Database!$H:$N,3,0)),"")</f>
        <v/>
      </c>
      <c r="J63" s="55" t="str">
        <f>IFERROR(IF($G63="","",VLOOKUP('Dashboard And Emails Automate'!$G63,Database!$H:$N,4,0)),"")</f>
        <v/>
      </c>
      <c r="K63" s="55" t="str">
        <f>IFERROR(IF($G63="","",VLOOKUP('Dashboard And Emails Automate'!$G63,Database!$H:$N,5,0)),"")</f>
        <v/>
      </c>
      <c r="L63" s="55" t="str">
        <f>IFERROR(IF($G63="","",VLOOKUP('Dashboard And Emails Automate'!$G63,Database!$H:$N,6,0)),"")</f>
        <v/>
      </c>
      <c r="M63" s="55" t="str">
        <f>IFERROR(IF($G63="","",VLOOKUP('Dashboard And Emails Automate'!$G63,Database!$H:$N,7,0)),"")</f>
        <v/>
      </c>
      <c r="N63" s="55" t="str">
        <f>IFERROR(IF(OR($B63="",$B63="(blank)"),"",VLOOKUP($B63,'Email Marketing Raw Data'!$C:$O,6,0)),"")</f>
        <v/>
      </c>
      <c r="O63" s="55" t="str">
        <f>IFERROR(IF(OR($B63="",$B63="(blank)"),"",VLOOKUP($B63,'Email Marketing Raw Data'!$C:$O,7,0)),"")</f>
        <v/>
      </c>
      <c r="P63" s="55" t="str">
        <f>IFERROR(IF(OR($B63="",$B63="(blank)"),"",VLOOKUP($B63,'Email Marketing Raw Data'!$C:$O,8,0)),"")</f>
        <v/>
      </c>
      <c r="Q63" s="62" t="str">
        <f>IFERROR(IF(OR($B63="",$B63="(blank)"),"",VLOOKUP($B63,'Email Marketing Raw Data'!$C:$O,9,0)),"")</f>
        <v/>
      </c>
    </row>
    <row r="64" spans="4:17" ht="12.75" customHeight="1" x14ac:dyDescent="0.2">
      <c r="D64" s="58" t="str">
        <f>IFERROR(IF(F64&lt;&gt;"pending","",IF(OR($B64="",$B64="(blank)"),"",VLOOKUP($B64,'Email Marketing Raw Data'!$C:$O,10,0))),"")</f>
        <v/>
      </c>
      <c r="E64" s="59" t="str">
        <f>IFERROR(IF(F64&lt;&gt;"pending","",IF(OR($B64="",$B64="(blank)"),"",VLOOKUP($B64,'Email Marketing Raw Data'!$C:$O,11,0))),"")</f>
        <v/>
      </c>
      <c r="F64" s="54" t="str">
        <f>IFERROR(IF(OR($B64="",$B64="(blank)"),"",VLOOKUP($B64,'Email Marketing Raw Data'!$C:$O,13,0)),"")</f>
        <v/>
      </c>
      <c r="G64" s="55" t="str">
        <f>IFERROR(IF(OR($B64="",$B64="(blank)"),"",VLOOKUP($B64,'Email Marketing Raw Data'!$C:$O,4,0)),"")</f>
        <v/>
      </c>
      <c r="H64" s="55" t="str">
        <f>IFERROR(IF(OR($B64="",$B64="(blank)"),"",VLOOKUP($B64,'Email Marketing Raw Data'!$C:$O,5,0)),"")</f>
        <v/>
      </c>
      <c r="I64" s="55" t="str">
        <f>IFERROR(IF($G64="","",VLOOKUP('Dashboard And Emails Automate'!$G64,Database!$H:$N,3,0)),"")</f>
        <v/>
      </c>
      <c r="J64" s="55" t="str">
        <f>IFERROR(IF($G64="","",VLOOKUP('Dashboard And Emails Automate'!$G64,Database!$H:$N,4,0)),"")</f>
        <v/>
      </c>
      <c r="K64" s="55" t="str">
        <f>IFERROR(IF($G64="","",VLOOKUP('Dashboard And Emails Automate'!$G64,Database!$H:$N,5,0)),"")</f>
        <v/>
      </c>
      <c r="L64" s="55" t="str">
        <f>IFERROR(IF($G64="","",VLOOKUP('Dashboard And Emails Automate'!$G64,Database!$H:$N,6,0)),"")</f>
        <v/>
      </c>
      <c r="M64" s="55" t="str">
        <f>IFERROR(IF($G64="","",VLOOKUP('Dashboard And Emails Automate'!$G64,Database!$H:$N,7,0)),"")</f>
        <v/>
      </c>
      <c r="N64" s="55" t="str">
        <f>IFERROR(IF(OR($B64="",$B64="(blank)"),"",VLOOKUP($B64,'Email Marketing Raw Data'!$C:$O,6,0)),"")</f>
        <v/>
      </c>
      <c r="O64" s="55" t="str">
        <f>IFERROR(IF(OR($B64="",$B64="(blank)"),"",VLOOKUP($B64,'Email Marketing Raw Data'!$C:$O,7,0)),"")</f>
        <v/>
      </c>
      <c r="P64" s="55" t="str">
        <f>IFERROR(IF(OR($B64="",$B64="(blank)"),"",VLOOKUP($B64,'Email Marketing Raw Data'!$C:$O,8,0)),"")</f>
        <v/>
      </c>
      <c r="Q64" s="62" t="str">
        <f>IFERROR(IF(OR($B64="",$B64="(blank)"),"",VLOOKUP($B64,'Email Marketing Raw Data'!$C:$O,9,0)),"")</f>
        <v/>
      </c>
    </row>
    <row r="65" spans="4:17" ht="12.75" customHeight="1" x14ac:dyDescent="0.2">
      <c r="D65" s="58" t="str">
        <f>IFERROR(IF(F65&lt;&gt;"pending","",IF(OR($B65="",$B65="(blank)"),"",VLOOKUP($B65,'Email Marketing Raw Data'!$C:$O,10,0))),"")</f>
        <v/>
      </c>
      <c r="E65" s="59" t="str">
        <f>IFERROR(IF(F65&lt;&gt;"pending","",IF(OR($B65="",$B65="(blank)"),"",VLOOKUP($B65,'Email Marketing Raw Data'!$C:$O,11,0))),"")</f>
        <v/>
      </c>
      <c r="F65" s="54" t="str">
        <f>IFERROR(IF(OR($B65="",$B65="(blank)"),"",VLOOKUP($B65,'Email Marketing Raw Data'!$C:$O,13,0)),"")</f>
        <v/>
      </c>
      <c r="G65" s="55" t="str">
        <f>IFERROR(IF(OR($B65="",$B65="(blank)"),"",VLOOKUP($B65,'Email Marketing Raw Data'!$C:$O,4,0)),"")</f>
        <v/>
      </c>
      <c r="H65" s="55" t="str">
        <f>IFERROR(IF(OR($B65="",$B65="(blank)"),"",VLOOKUP($B65,'Email Marketing Raw Data'!$C:$O,5,0)),"")</f>
        <v/>
      </c>
      <c r="I65" s="55" t="str">
        <f>IFERROR(IF($G65="","",VLOOKUP('Dashboard And Emails Automate'!$G65,Database!$H:$N,3,0)),"")</f>
        <v/>
      </c>
      <c r="J65" s="55" t="str">
        <f>IFERROR(IF($G65="","",VLOOKUP('Dashboard And Emails Automate'!$G65,Database!$H:$N,4,0)),"")</f>
        <v/>
      </c>
      <c r="K65" s="55" t="str">
        <f>IFERROR(IF($G65="","",VLOOKUP('Dashboard And Emails Automate'!$G65,Database!$H:$N,5,0)),"")</f>
        <v/>
      </c>
      <c r="L65" s="55" t="str">
        <f>IFERROR(IF($G65="","",VLOOKUP('Dashboard And Emails Automate'!$G65,Database!$H:$N,6,0)),"")</f>
        <v/>
      </c>
      <c r="M65" s="55" t="str">
        <f>IFERROR(IF($G65="","",VLOOKUP('Dashboard And Emails Automate'!$G65,Database!$H:$N,7,0)),"")</f>
        <v/>
      </c>
      <c r="N65" s="55" t="str">
        <f>IFERROR(IF(OR($B65="",$B65="(blank)"),"",VLOOKUP($B65,'Email Marketing Raw Data'!$C:$O,6,0)),"")</f>
        <v/>
      </c>
      <c r="O65" s="55" t="str">
        <f>IFERROR(IF(OR($B65="",$B65="(blank)"),"",VLOOKUP($B65,'Email Marketing Raw Data'!$C:$O,7,0)),"")</f>
        <v/>
      </c>
      <c r="P65" s="55" t="str">
        <f>IFERROR(IF(OR($B65="",$B65="(blank)"),"",VLOOKUP($B65,'Email Marketing Raw Data'!$C:$O,8,0)),"")</f>
        <v/>
      </c>
      <c r="Q65" s="62" t="str">
        <f>IFERROR(IF(OR($B65="",$B65="(blank)"),"",VLOOKUP($B65,'Email Marketing Raw Data'!$C:$O,9,0)),"")</f>
        <v/>
      </c>
    </row>
    <row r="66" spans="4:17" ht="12.75" customHeight="1" x14ac:dyDescent="0.2">
      <c r="D66" s="58" t="str">
        <f>IFERROR(IF(F66&lt;&gt;"pending","",IF(OR($B66="",$B66="(blank)"),"",VLOOKUP($B66,'Email Marketing Raw Data'!$C:$O,10,0))),"")</f>
        <v/>
      </c>
      <c r="E66" s="59" t="str">
        <f>IFERROR(IF(F66&lt;&gt;"pending","",IF(OR($B66="",$B66="(blank)"),"",VLOOKUP($B66,'Email Marketing Raw Data'!$C:$O,11,0))),"")</f>
        <v/>
      </c>
      <c r="F66" s="54" t="str">
        <f>IFERROR(IF(OR($B66="",$B66="(blank)"),"",VLOOKUP($B66,'Email Marketing Raw Data'!$C:$O,13,0)),"")</f>
        <v/>
      </c>
      <c r="G66" s="55" t="str">
        <f>IFERROR(IF(OR($B66="",$B66="(blank)"),"",VLOOKUP($B66,'Email Marketing Raw Data'!$C:$O,4,0)),"")</f>
        <v/>
      </c>
      <c r="H66" s="55" t="str">
        <f>IFERROR(IF(OR($B66="",$B66="(blank)"),"",VLOOKUP($B66,'Email Marketing Raw Data'!$C:$O,5,0)),"")</f>
        <v/>
      </c>
      <c r="I66" s="55" t="str">
        <f>IFERROR(IF($G66="","",VLOOKUP('Dashboard And Emails Automate'!$G66,Database!$H:$N,3,0)),"")</f>
        <v/>
      </c>
      <c r="J66" s="55" t="str">
        <f>IFERROR(IF($G66="","",VLOOKUP('Dashboard And Emails Automate'!$G66,Database!$H:$N,4,0)),"")</f>
        <v/>
      </c>
      <c r="K66" s="55" t="str">
        <f>IFERROR(IF($G66="","",VLOOKUP('Dashboard And Emails Automate'!$G66,Database!$H:$N,5,0)),"")</f>
        <v/>
      </c>
      <c r="L66" s="55" t="str">
        <f>IFERROR(IF($G66="","",VLOOKUP('Dashboard And Emails Automate'!$G66,Database!$H:$N,6,0)),"")</f>
        <v/>
      </c>
      <c r="M66" s="55" t="str">
        <f>IFERROR(IF($G66="","",VLOOKUP('Dashboard And Emails Automate'!$G66,Database!$H:$N,7,0)),"")</f>
        <v/>
      </c>
      <c r="N66" s="55" t="str">
        <f>IFERROR(IF(OR($B66="",$B66="(blank)"),"",VLOOKUP($B66,'Email Marketing Raw Data'!$C:$O,6,0)),"")</f>
        <v/>
      </c>
      <c r="O66" s="55" t="str">
        <f>IFERROR(IF(OR($B66="",$B66="(blank)"),"",VLOOKUP($B66,'Email Marketing Raw Data'!$C:$O,7,0)),"")</f>
        <v/>
      </c>
      <c r="P66" s="55" t="str">
        <f>IFERROR(IF(OR($B66="",$B66="(blank)"),"",VLOOKUP($B66,'Email Marketing Raw Data'!$C:$O,8,0)),"")</f>
        <v/>
      </c>
      <c r="Q66" s="62" t="str">
        <f>IFERROR(IF(OR($B66="",$B66="(blank)"),"",VLOOKUP($B66,'Email Marketing Raw Data'!$C:$O,9,0)),"")</f>
        <v/>
      </c>
    </row>
    <row r="67" spans="4:17" ht="12.75" customHeight="1" x14ac:dyDescent="0.2">
      <c r="D67" s="58" t="str">
        <f>IFERROR(IF(F67&lt;&gt;"pending","",IF(OR($B67="",$B67="(blank)"),"",VLOOKUP($B67,'Email Marketing Raw Data'!$C:$O,10,0))),"")</f>
        <v/>
      </c>
      <c r="E67" s="59" t="str">
        <f>IFERROR(IF(F67&lt;&gt;"pending","",IF(OR($B67="",$B67="(blank)"),"",VLOOKUP($B67,'Email Marketing Raw Data'!$C:$O,11,0))),"")</f>
        <v/>
      </c>
      <c r="F67" s="54" t="str">
        <f>IFERROR(IF(OR($B67="",$B67="(blank)"),"",VLOOKUP($B67,'Email Marketing Raw Data'!$C:$O,13,0)),"")</f>
        <v/>
      </c>
      <c r="G67" s="55" t="str">
        <f>IFERROR(IF(OR($B67="",$B67="(blank)"),"",VLOOKUP($B67,'Email Marketing Raw Data'!$C:$O,4,0)),"")</f>
        <v/>
      </c>
      <c r="H67" s="55" t="str">
        <f>IFERROR(IF(OR($B67="",$B67="(blank)"),"",VLOOKUP($B67,'Email Marketing Raw Data'!$C:$O,5,0)),"")</f>
        <v/>
      </c>
      <c r="I67" s="55" t="str">
        <f>IFERROR(IF($G67="","",VLOOKUP('Dashboard And Emails Automate'!$G67,Database!$H:$N,3,0)),"")</f>
        <v/>
      </c>
      <c r="J67" s="55" t="str">
        <f>IFERROR(IF($G67="","",VLOOKUP('Dashboard And Emails Automate'!$G67,Database!$H:$N,4,0)),"")</f>
        <v/>
      </c>
      <c r="K67" s="55" t="str">
        <f>IFERROR(IF($G67="","",VLOOKUP('Dashboard And Emails Automate'!$G67,Database!$H:$N,5,0)),"")</f>
        <v/>
      </c>
      <c r="L67" s="55" t="str">
        <f>IFERROR(IF($G67="","",VLOOKUP('Dashboard And Emails Automate'!$G67,Database!$H:$N,6,0)),"")</f>
        <v/>
      </c>
      <c r="M67" s="55" t="str">
        <f>IFERROR(IF($G67="","",VLOOKUP('Dashboard And Emails Automate'!$G67,Database!$H:$N,7,0)),"")</f>
        <v/>
      </c>
      <c r="N67" s="55" t="str">
        <f>IFERROR(IF(OR($B67="",$B67="(blank)"),"",VLOOKUP($B67,'Email Marketing Raw Data'!$C:$O,6,0)),"")</f>
        <v/>
      </c>
      <c r="O67" s="55" t="str">
        <f>IFERROR(IF(OR($B67="",$B67="(blank)"),"",VLOOKUP($B67,'Email Marketing Raw Data'!$C:$O,7,0)),"")</f>
        <v/>
      </c>
      <c r="P67" s="55" t="str">
        <f>IFERROR(IF(OR($B67="",$B67="(blank)"),"",VLOOKUP($B67,'Email Marketing Raw Data'!$C:$O,8,0)),"")</f>
        <v/>
      </c>
      <c r="Q67" s="62" t="str">
        <f>IFERROR(IF(OR($B67="",$B67="(blank)"),"",VLOOKUP($B67,'Email Marketing Raw Data'!$C:$O,9,0)),"")</f>
        <v/>
      </c>
    </row>
    <row r="68" spans="4:17" ht="12.75" customHeight="1" x14ac:dyDescent="0.2">
      <c r="D68" s="58" t="str">
        <f>IFERROR(IF(F68&lt;&gt;"pending","",IF(OR($B68="",$B68="(blank)"),"",VLOOKUP($B68,'Email Marketing Raw Data'!$C:$O,10,0))),"")</f>
        <v/>
      </c>
      <c r="E68" s="59" t="str">
        <f>IFERROR(IF(F68&lt;&gt;"pending","",IF(OR($B68="",$B68="(blank)"),"",VLOOKUP($B68,'Email Marketing Raw Data'!$C:$O,11,0))),"")</f>
        <v/>
      </c>
      <c r="F68" s="54" t="str">
        <f>IFERROR(IF(OR($B68="",$B68="(blank)"),"",VLOOKUP($B68,'Email Marketing Raw Data'!$C:$O,13,0)),"")</f>
        <v/>
      </c>
      <c r="G68" s="55" t="str">
        <f>IFERROR(IF(OR($B68="",$B68="(blank)"),"",VLOOKUP($B68,'Email Marketing Raw Data'!$C:$O,4,0)),"")</f>
        <v/>
      </c>
      <c r="H68" s="55" t="str">
        <f>IFERROR(IF(OR($B68="",$B68="(blank)"),"",VLOOKUP($B68,'Email Marketing Raw Data'!$C:$O,5,0)),"")</f>
        <v/>
      </c>
      <c r="I68" s="55" t="str">
        <f>IFERROR(IF($G68="","",VLOOKUP('Dashboard And Emails Automate'!$G68,Database!$H:$N,3,0)),"")</f>
        <v/>
      </c>
      <c r="J68" s="55" t="str">
        <f>IFERROR(IF($G68="","",VLOOKUP('Dashboard And Emails Automate'!$G68,Database!$H:$N,4,0)),"")</f>
        <v/>
      </c>
      <c r="K68" s="55" t="str">
        <f>IFERROR(IF($G68="","",VLOOKUP('Dashboard And Emails Automate'!$G68,Database!$H:$N,5,0)),"")</f>
        <v/>
      </c>
      <c r="L68" s="55" t="str">
        <f>IFERROR(IF($G68="","",VLOOKUP('Dashboard And Emails Automate'!$G68,Database!$H:$N,6,0)),"")</f>
        <v/>
      </c>
      <c r="M68" s="55" t="str">
        <f>IFERROR(IF($G68="","",VLOOKUP('Dashboard And Emails Automate'!$G68,Database!$H:$N,7,0)),"")</f>
        <v/>
      </c>
      <c r="N68" s="55" t="str">
        <f>IFERROR(IF(OR($B68="",$B68="(blank)"),"",VLOOKUP($B68,'Email Marketing Raw Data'!$C:$O,6,0)),"")</f>
        <v/>
      </c>
      <c r="O68" s="55" t="str">
        <f>IFERROR(IF(OR($B68="",$B68="(blank)"),"",VLOOKUP($B68,'Email Marketing Raw Data'!$C:$O,7,0)),"")</f>
        <v/>
      </c>
      <c r="P68" s="55" t="str">
        <f>IFERROR(IF(OR($B68="",$B68="(blank)"),"",VLOOKUP($B68,'Email Marketing Raw Data'!$C:$O,8,0)),"")</f>
        <v/>
      </c>
      <c r="Q68" s="62" t="str">
        <f>IFERROR(IF(OR($B68="",$B68="(blank)"),"",VLOOKUP($B68,'Email Marketing Raw Data'!$C:$O,9,0)),"")</f>
        <v/>
      </c>
    </row>
    <row r="69" spans="4:17" ht="12.75" customHeight="1" x14ac:dyDescent="0.2">
      <c r="D69" s="58" t="str">
        <f>IFERROR(IF(F69&lt;&gt;"pending","",IF(OR($B69="",$B69="(blank)"),"",VLOOKUP($B69,'Email Marketing Raw Data'!$C:$O,10,0))),"")</f>
        <v/>
      </c>
      <c r="E69" s="59" t="str">
        <f>IFERROR(IF(F69&lt;&gt;"pending","",IF(OR($B69="",$B69="(blank)"),"",VLOOKUP($B69,'Email Marketing Raw Data'!$C:$O,11,0))),"")</f>
        <v/>
      </c>
      <c r="F69" s="54" t="str">
        <f>IFERROR(IF(OR($B69="",$B69="(blank)"),"",VLOOKUP($B69,'Email Marketing Raw Data'!$C:$O,13,0)),"")</f>
        <v/>
      </c>
      <c r="G69" s="55" t="str">
        <f>IFERROR(IF(OR($B69="",$B69="(blank)"),"",VLOOKUP($B69,'Email Marketing Raw Data'!$C:$O,4,0)),"")</f>
        <v/>
      </c>
      <c r="H69" s="55" t="str">
        <f>IFERROR(IF(OR($B69="",$B69="(blank)"),"",VLOOKUP($B69,'Email Marketing Raw Data'!$C:$O,5,0)),"")</f>
        <v/>
      </c>
      <c r="I69" s="55" t="str">
        <f>IFERROR(IF($G69="","",VLOOKUP('Dashboard And Emails Automate'!$G69,Database!$H:$N,3,0)),"")</f>
        <v/>
      </c>
      <c r="J69" s="55" t="str">
        <f>IFERROR(IF($G69="","",VLOOKUP('Dashboard And Emails Automate'!$G69,Database!$H:$N,4,0)),"")</f>
        <v/>
      </c>
      <c r="K69" s="55" t="str">
        <f>IFERROR(IF($G69="","",VLOOKUP('Dashboard And Emails Automate'!$G69,Database!$H:$N,5,0)),"")</f>
        <v/>
      </c>
      <c r="L69" s="55" t="str">
        <f>IFERROR(IF($G69="","",VLOOKUP('Dashboard And Emails Automate'!$G69,Database!$H:$N,6,0)),"")</f>
        <v/>
      </c>
      <c r="M69" s="55" t="str">
        <f>IFERROR(IF($G69="","",VLOOKUP('Dashboard And Emails Automate'!$G69,Database!$H:$N,7,0)),"")</f>
        <v/>
      </c>
      <c r="N69" s="55" t="str">
        <f>IFERROR(IF(OR($B69="",$B69="(blank)"),"",VLOOKUP($B69,'Email Marketing Raw Data'!$C:$O,6,0)),"")</f>
        <v/>
      </c>
      <c r="O69" s="55" t="str">
        <f>IFERROR(IF(OR($B69="",$B69="(blank)"),"",VLOOKUP($B69,'Email Marketing Raw Data'!$C:$O,7,0)),"")</f>
        <v/>
      </c>
      <c r="P69" s="55" t="str">
        <f>IFERROR(IF(OR($B69="",$B69="(blank)"),"",VLOOKUP($B69,'Email Marketing Raw Data'!$C:$O,8,0)),"")</f>
        <v/>
      </c>
      <c r="Q69" s="62" t="str">
        <f>IFERROR(IF(OR($B69="",$B69="(blank)"),"",VLOOKUP($B69,'Email Marketing Raw Data'!$C:$O,9,0)),"")</f>
        <v/>
      </c>
    </row>
    <row r="70" spans="4:17" ht="12.75" customHeight="1" x14ac:dyDescent="0.2">
      <c r="D70" s="58" t="str">
        <f>IFERROR(IF(F70&lt;&gt;"pending","",IF(OR($B70="",$B70="(blank)"),"",VLOOKUP($B70,'Email Marketing Raw Data'!$C:$O,10,0))),"")</f>
        <v/>
      </c>
      <c r="E70" s="59" t="str">
        <f>IFERROR(IF(F70&lt;&gt;"pending","",IF(OR($B70="",$B70="(blank)"),"",VLOOKUP($B70,'Email Marketing Raw Data'!$C:$O,11,0))),"")</f>
        <v/>
      </c>
      <c r="F70" s="54" t="str">
        <f>IFERROR(IF(OR($B70="",$B70="(blank)"),"",VLOOKUP($B70,'Email Marketing Raw Data'!$C:$O,13,0)),"")</f>
        <v/>
      </c>
      <c r="G70" s="55" t="str">
        <f>IFERROR(IF(OR($B70="",$B70="(blank)"),"",VLOOKUP($B70,'Email Marketing Raw Data'!$C:$O,4,0)),"")</f>
        <v/>
      </c>
      <c r="H70" s="55" t="str">
        <f>IFERROR(IF(OR($B70="",$B70="(blank)"),"",VLOOKUP($B70,'Email Marketing Raw Data'!$C:$O,5,0)),"")</f>
        <v/>
      </c>
      <c r="I70" s="55" t="str">
        <f>IFERROR(IF($G70="","",VLOOKUP('Dashboard And Emails Automate'!$G70,Database!$H:$N,3,0)),"")</f>
        <v/>
      </c>
      <c r="J70" s="55" t="str">
        <f>IFERROR(IF($G70="","",VLOOKUP('Dashboard And Emails Automate'!$G70,Database!$H:$N,4,0)),"")</f>
        <v/>
      </c>
      <c r="K70" s="55" t="str">
        <f>IFERROR(IF($G70="","",VLOOKUP('Dashboard And Emails Automate'!$G70,Database!$H:$N,5,0)),"")</f>
        <v/>
      </c>
      <c r="L70" s="55" t="str">
        <f>IFERROR(IF($G70="","",VLOOKUP('Dashboard And Emails Automate'!$G70,Database!$H:$N,6,0)),"")</f>
        <v/>
      </c>
      <c r="M70" s="55" t="str">
        <f>IFERROR(IF($G70="","",VLOOKUP('Dashboard And Emails Automate'!$G70,Database!$H:$N,7,0)),"")</f>
        <v/>
      </c>
      <c r="N70" s="55" t="str">
        <f>IFERROR(IF(OR($B70="",$B70="(blank)"),"",VLOOKUP($B70,'Email Marketing Raw Data'!$C:$O,6,0)),"")</f>
        <v/>
      </c>
      <c r="O70" s="55" t="str">
        <f>IFERROR(IF(OR($B70="",$B70="(blank)"),"",VLOOKUP($B70,'Email Marketing Raw Data'!$C:$O,7,0)),"")</f>
        <v/>
      </c>
      <c r="P70" s="55" t="str">
        <f>IFERROR(IF(OR($B70="",$B70="(blank)"),"",VLOOKUP($B70,'Email Marketing Raw Data'!$C:$O,8,0)),"")</f>
        <v/>
      </c>
      <c r="Q70" s="62" t="str">
        <f>IFERROR(IF(OR($B70="",$B70="(blank)"),"",VLOOKUP($B70,'Email Marketing Raw Data'!$C:$O,9,0)),"")</f>
        <v/>
      </c>
    </row>
    <row r="71" spans="4:17" ht="12.75" customHeight="1" x14ac:dyDescent="0.2">
      <c r="D71" s="58" t="str">
        <f>IFERROR(IF(F71&lt;&gt;"pending","",IF(OR($B71="",$B71="(blank)"),"",VLOOKUP($B71,'Email Marketing Raw Data'!$C:$O,10,0))),"")</f>
        <v/>
      </c>
      <c r="E71" s="59" t="str">
        <f>IFERROR(IF(F71&lt;&gt;"pending","",IF(OR($B71="",$B71="(blank)"),"",VLOOKUP($B71,'Email Marketing Raw Data'!$C:$O,11,0))),"")</f>
        <v/>
      </c>
      <c r="F71" s="54" t="str">
        <f>IFERROR(IF(OR($B71="",$B71="(blank)"),"",VLOOKUP($B71,'Email Marketing Raw Data'!$C:$O,13,0)),"")</f>
        <v/>
      </c>
      <c r="G71" s="55" t="str">
        <f>IFERROR(IF(OR($B71="",$B71="(blank)"),"",VLOOKUP($B71,'Email Marketing Raw Data'!$C:$O,4,0)),"")</f>
        <v/>
      </c>
      <c r="H71" s="55" t="str">
        <f>IFERROR(IF(OR($B71="",$B71="(blank)"),"",VLOOKUP($B71,'Email Marketing Raw Data'!$C:$O,5,0)),"")</f>
        <v/>
      </c>
      <c r="I71" s="55" t="str">
        <f>IFERROR(IF($G71="","",VLOOKUP('Dashboard And Emails Automate'!$G71,Database!$H:$N,3,0)),"")</f>
        <v/>
      </c>
      <c r="J71" s="55" t="str">
        <f>IFERROR(IF($G71="","",VLOOKUP('Dashboard And Emails Automate'!$G71,Database!$H:$N,4,0)),"")</f>
        <v/>
      </c>
      <c r="K71" s="55" t="str">
        <f>IFERROR(IF($G71="","",VLOOKUP('Dashboard And Emails Automate'!$G71,Database!$H:$N,5,0)),"")</f>
        <v/>
      </c>
      <c r="L71" s="55" t="str">
        <f>IFERROR(IF($G71="","",VLOOKUP('Dashboard And Emails Automate'!$G71,Database!$H:$N,6,0)),"")</f>
        <v/>
      </c>
      <c r="M71" s="55" t="str">
        <f>IFERROR(IF($G71="","",VLOOKUP('Dashboard And Emails Automate'!$G71,Database!$H:$N,7,0)),"")</f>
        <v/>
      </c>
      <c r="N71" s="55" t="str">
        <f>IFERROR(IF(OR($B71="",$B71="(blank)"),"",VLOOKUP($B71,'Email Marketing Raw Data'!$C:$O,6,0)),"")</f>
        <v/>
      </c>
      <c r="O71" s="55" t="str">
        <f>IFERROR(IF(OR($B71="",$B71="(blank)"),"",VLOOKUP($B71,'Email Marketing Raw Data'!$C:$O,7,0)),"")</f>
        <v/>
      </c>
      <c r="P71" s="55" t="str">
        <f>IFERROR(IF(OR($B71="",$B71="(blank)"),"",VLOOKUP($B71,'Email Marketing Raw Data'!$C:$O,8,0)),"")</f>
        <v/>
      </c>
      <c r="Q71" s="62" t="str">
        <f>IFERROR(IF(OR($B71="",$B71="(blank)"),"",VLOOKUP($B71,'Email Marketing Raw Data'!$C:$O,9,0)),"")</f>
        <v/>
      </c>
    </row>
    <row r="72" spans="4:17" ht="12.75" customHeight="1" x14ac:dyDescent="0.2">
      <c r="D72" s="58" t="str">
        <f>IFERROR(IF(F72&lt;&gt;"pending","",IF(OR($B72="",$B72="(blank)"),"",VLOOKUP($B72,'Email Marketing Raw Data'!$C:$O,10,0))),"")</f>
        <v/>
      </c>
      <c r="E72" s="59" t="str">
        <f>IFERROR(IF(F72&lt;&gt;"pending","",IF(OR($B72="",$B72="(blank)"),"",VLOOKUP($B72,'Email Marketing Raw Data'!$C:$O,11,0))),"")</f>
        <v/>
      </c>
      <c r="F72" s="54" t="str">
        <f>IFERROR(IF(OR($B72="",$B72="(blank)"),"",VLOOKUP($B72,'Email Marketing Raw Data'!$C:$O,13,0)),"")</f>
        <v/>
      </c>
      <c r="G72" s="55" t="str">
        <f>IFERROR(IF(OR($B72="",$B72="(blank)"),"",VLOOKUP($B72,'Email Marketing Raw Data'!$C:$O,4,0)),"")</f>
        <v/>
      </c>
      <c r="H72" s="55" t="str">
        <f>IFERROR(IF(OR($B72="",$B72="(blank)"),"",VLOOKUP($B72,'Email Marketing Raw Data'!$C:$O,5,0)),"")</f>
        <v/>
      </c>
      <c r="I72" s="55" t="str">
        <f>IFERROR(IF($G72="","",VLOOKUP('Dashboard And Emails Automate'!$G72,Database!$H:$N,3,0)),"")</f>
        <v/>
      </c>
      <c r="J72" s="55" t="str">
        <f>IFERROR(IF($G72="","",VLOOKUP('Dashboard And Emails Automate'!$G72,Database!$H:$N,4,0)),"")</f>
        <v/>
      </c>
      <c r="K72" s="55" t="str">
        <f>IFERROR(IF($G72="","",VLOOKUP('Dashboard And Emails Automate'!$G72,Database!$H:$N,5,0)),"")</f>
        <v/>
      </c>
      <c r="L72" s="55" t="str">
        <f>IFERROR(IF($G72="","",VLOOKUP('Dashboard And Emails Automate'!$G72,Database!$H:$N,6,0)),"")</f>
        <v/>
      </c>
      <c r="M72" s="55" t="str">
        <f>IFERROR(IF($G72="","",VLOOKUP('Dashboard And Emails Automate'!$G72,Database!$H:$N,7,0)),"")</f>
        <v/>
      </c>
      <c r="N72" s="55" t="str">
        <f>IFERROR(IF(OR($B72="",$B72="(blank)"),"",VLOOKUP($B72,'Email Marketing Raw Data'!$C:$O,6,0)),"")</f>
        <v/>
      </c>
      <c r="O72" s="55" t="str">
        <f>IFERROR(IF(OR($B72="",$B72="(blank)"),"",VLOOKUP($B72,'Email Marketing Raw Data'!$C:$O,7,0)),"")</f>
        <v/>
      </c>
      <c r="P72" s="55" t="str">
        <f>IFERROR(IF(OR($B72="",$B72="(blank)"),"",VLOOKUP($B72,'Email Marketing Raw Data'!$C:$O,8,0)),"")</f>
        <v/>
      </c>
      <c r="Q72" s="62" t="str">
        <f>IFERROR(IF(OR($B72="",$B72="(blank)"),"",VLOOKUP($B72,'Email Marketing Raw Data'!$C:$O,9,0)),"")</f>
        <v/>
      </c>
    </row>
    <row r="73" spans="4:17" ht="12.75" customHeight="1" x14ac:dyDescent="0.2">
      <c r="D73" s="58" t="str">
        <f>IFERROR(IF(F73&lt;&gt;"pending","",IF(OR($B73="",$B73="(blank)"),"",VLOOKUP($B73,'Email Marketing Raw Data'!$C:$O,10,0))),"")</f>
        <v/>
      </c>
      <c r="E73" s="59" t="str">
        <f>IFERROR(IF(F73&lt;&gt;"pending","",IF(OR($B73="",$B73="(blank)"),"",VLOOKUP($B73,'Email Marketing Raw Data'!$C:$O,11,0))),"")</f>
        <v/>
      </c>
      <c r="F73" s="54" t="str">
        <f>IFERROR(IF(OR($B73="",$B73="(blank)"),"",VLOOKUP($B73,'Email Marketing Raw Data'!$C:$O,13,0)),"")</f>
        <v/>
      </c>
      <c r="G73" s="55" t="str">
        <f>IFERROR(IF(OR($B73="",$B73="(blank)"),"",VLOOKUP($B73,'Email Marketing Raw Data'!$C:$O,4,0)),"")</f>
        <v/>
      </c>
      <c r="H73" s="55" t="str">
        <f>IFERROR(IF(OR($B73="",$B73="(blank)"),"",VLOOKUP($B73,'Email Marketing Raw Data'!$C:$O,5,0)),"")</f>
        <v/>
      </c>
      <c r="I73" s="55" t="str">
        <f>IFERROR(IF($G73="","",VLOOKUP('Dashboard And Emails Automate'!$G73,Database!$H:$N,3,0)),"")</f>
        <v/>
      </c>
      <c r="J73" s="55" t="str">
        <f>IFERROR(IF($G73="","",VLOOKUP('Dashboard And Emails Automate'!$G73,Database!$H:$N,4,0)),"")</f>
        <v/>
      </c>
      <c r="K73" s="55" t="str">
        <f>IFERROR(IF($G73="","",VLOOKUP('Dashboard And Emails Automate'!$G73,Database!$H:$N,5,0)),"")</f>
        <v/>
      </c>
      <c r="L73" s="55" t="str">
        <f>IFERROR(IF($G73="","",VLOOKUP('Dashboard And Emails Automate'!$G73,Database!$H:$N,6,0)),"")</f>
        <v/>
      </c>
      <c r="M73" s="55" t="str">
        <f>IFERROR(IF($G73="","",VLOOKUP('Dashboard And Emails Automate'!$G73,Database!$H:$N,7,0)),"")</f>
        <v/>
      </c>
      <c r="N73" s="55" t="str">
        <f>IFERROR(IF(OR($B73="",$B73="(blank)"),"",VLOOKUP($B73,'Email Marketing Raw Data'!$C:$O,6,0)),"")</f>
        <v/>
      </c>
      <c r="O73" s="55" t="str">
        <f>IFERROR(IF(OR($B73="",$B73="(blank)"),"",VLOOKUP($B73,'Email Marketing Raw Data'!$C:$O,7,0)),"")</f>
        <v/>
      </c>
      <c r="P73" s="55" t="str">
        <f>IFERROR(IF(OR($B73="",$B73="(blank)"),"",VLOOKUP($B73,'Email Marketing Raw Data'!$C:$O,8,0)),"")</f>
        <v/>
      </c>
      <c r="Q73" s="62" t="str">
        <f>IFERROR(IF(OR($B73="",$B73="(blank)"),"",VLOOKUP($B73,'Email Marketing Raw Data'!$C:$O,9,0)),"")</f>
        <v/>
      </c>
    </row>
    <row r="74" spans="4:17" ht="12.75" customHeight="1" x14ac:dyDescent="0.2">
      <c r="D74" s="58" t="str">
        <f>IFERROR(IF(F74&lt;&gt;"pending","",IF(OR($B74="",$B74="(blank)"),"",VLOOKUP($B74,'Email Marketing Raw Data'!$C:$O,10,0))),"")</f>
        <v/>
      </c>
      <c r="E74" s="59" t="str">
        <f>IFERROR(IF(F74&lt;&gt;"pending","",IF(OR($B74="",$B74="(blank)"),"",VLOOKUP($B74,'Email Marketing Raw Data'!$C:$O,11,0))),"")</f>
        <v/>
      </c>
      <c r="F74" s="54" t="str">
        <f>IFERROR(IF(OR($B74="",$B74="(blank)"),"",VLOOKUP($B74,'Email Marketing Raw Data'!$C:$O,13,0)),"")</f>
        <v/>
      </c>
      <c r="G74" s="55" t="str">
        <f>IFERROR(IF(OR($B74="",$B74="(blank)"),"",VLOOKUP($B74,'Email Marketing Raw Data'!$C:$O,4,0)),"")</f>
        <v/>
      </c>
      <c r="H74" s="55" t="str">
        <f>IFERROR(IF(OR($B74="",$B74="(blank)"),"",VLOOKUP($B74,'Email Marketing Raw Data'!$C:$O,5,0)),"")</f>
        <v/>
      </c>
      <c r="I74" s="55" t="str">
        <f>IFERROR(IF($G74="","",VLOOKUP('Dashboard And Emails Automate'!$G74,Database!$H:$N,3,0)),"")</f>
        <v/>
      </c>
      <c r="J74" s="55" t="str">
        <f>IFERROR(IF($G74="","",VLOOKUP('Dashboard And Emails Automate'!$G74,Database!$H:$N,4,0)),"")</f>
        <v/>
      </c>
      <c r="K74" s="55" t="str">
        <f>IFERROR(IF($G74="","",VLOOKUP('Dashboard And Emails Automate'!$G74,Database!$H:$N,5,0)),"")</f>
        <v/>
      </c>
      <c r="L74" s="55" t="str">
        <f>IFERROR(IF($G74="","",VLOOKUP('Dashboard And Emails Automate'!$G74,Database!$H:$N,6,0)),"")</f>
        <v/>
      </c>
      <c r="M74" s="55" t="str">
        <f>IFERROR(IF($G74="","",VLOOKUP('Dashboard And Emails Automate'!$G74,Database!$H:$N,7,0)),"")</f>
        <v/>
      </c>
      <c r="N74" s="55" t="str">
        <f>IFERROR(IF(OR($B74="",$B74="(blank)"),"",VLOOKUP($B74,'Email Marketing Raw Data'!$C:$O,6,0)),"")</f>
        <v/>
      </c>
      <c r="O74" s="55" t="str">
        <f>IFERROR(IF(OR($B74="",$B74="(blank)"),"",VLOOKUP($B74,'Email Marketing Raw Data'!$C:$O,7,0)),"")</f>
        <v/>
      </c>
      <c r="P74" s="55" t="str">
        <f>IFERROR(IF(OR($B74="",$B74="(blank)"),"",VLOOKUP($B74,'Email Marketing Raw Data'!$C:$O,8,0)),"")</f>
        <v/>
      </c>
      <c r="Q74" s="62" t="str">
        <f>IFERROR(IF(OR($B74="",$B74="(blank)"),"",VLOOKUP($B74,'Email Marketing Raw Data'!$C:$O,9,0)),"")</f>
        <v/>
      </c>
    </row>
    <row r="75" spans="4:17" ht="12.75" customHeight="1" x14ac:dyDescent="0.2">
      <c r="D75" s="58" t="str">
        <f>IFERROR(IF(F75&lt;&gt;"pending","",IF(OR($B75="",$B75="(blank)"),"",VLOOKUP($B75,'Email Marketing Raw Data'!$C:$O,10,0))),"")</f>
        <v/>
      </c>
      <c r="E75" s="59" t="str">
        <f>IFERROR(IF(F75&lt;&gt;"pending","",IF(OR($B75="",$B75="(blank)"),"",VLOOKUP($B75,'Email Marketing Raw Data'!$C:$O,11,0))),"")</f>
        <v/>
      </c>
      <c r="F75" s="54" t="str">
        <f>IFERROR(IF(OR($B75="",$B75="(blank)"),"",VLOOKUP($B75,'Email Marketing Raw Data'!$C:$O,13,0)),"")</f>
        <v/>
      </c>
      <c r="G75" s="55" t="str">
        <f>IFERROR(IF(OR($B75="",$B75="(blank)"),"",VLOOKUP($B75,'Email Marketing Raw Data'!$C:$O,4,0)),"")</f>
        <v/>
      </c>
      <c r="H75" s="55" t="str">
        <f>IFERROR(IF(OR($B75="",$B75="(blank)"),"",VLOOKUP($B75,'Email Marketing Raw Data'!$C:$O,5,0)),"")</f>
        <v/>
      </c>
      <c r="I75" s="55" t="str">
        <f>IFERROR(IF($G75="","",VLOOKUP('Dashboard And Emails Automate'!$G75,Database!$H:$N,3,0)),"")</f>
        <v/>
      </c>
      <c r="J75" s="55" t="str">
        <f>IFERROR(IF($G75="","",VLOOKUP('Dashboard And Emails Automate'!$G75,Database!$H:$N,4,0)),"")</f>
        <v/>
      </c>
      <c r="K75" s="55" t="str">
        <f>IFERROR(IF($G75="","",VLOOKUP('Dashboard And Emails Automate'!$G75,Database!$H:$N,5,0)),"")</f>
        <v/>
      </c>
      <c r="L75" s="55" t="str">
        <f>IFERROR(IF($G75="","",VLOOKUP('Dashboard And Emails Automate'!$G75,Database!$H:$N,6,0)),"")</f>
        <v/>
      </c>
      <c r="M75" s="55" t="str">
        <f>IFERROR(IF($G75="","",VLOOKUP('Dashboard And Emails Automate'!$G75,Database!$H:$N,7,0)),"")</f>
        <v/>
      </c>
      <c r="N75" s="55" t="str">
        <f>IFERROR(IF(OR($B75="",$B75="(blank)"),"",VLOOKUP($B75,'Email Marketing Raw Data'!$C:$O,6,0)),"")</f>
        <v/>
      </c>
      <c r="O75" s="55" t="str">
        <f>IFERROR(IF(OR($B75="",$B75="(blank)"),"",VLOOKUP($B75,'Email Marketing Raw Data'!$C:$O,7,0)),"")</f>
        <v/>
      </c>
      <c r="P75" s="55" t="str">
        <f>IFERROR(IF(OR($B75="",$B75="(blank)"),"",VLOOKUP($B75,'Email Marketing Raw Data'!$C:$O,8,0)),"")</f>
        <v/>
      </c>
      <c r="Q75" s="62" t="str">
        <f>IFERROR(IF(OR($B75="",$B75="(blank)"),"",VLOOKUP($B75,'Email Marketing Raw Data'!$C:$O,9,0)),"")</f>
        <v/>
      </c>
    </row>
    <row r="76" spans="4:17" ht="12.75" customHeight="1" x14ac:dyDescent="0.2">
      <c r="D76" s="58" t="str">
        <f>IFERROR(IF(F76&lt;&gt;"pending","",IF(OR($B76="",$B76="(blank)"),"",VLOOKUP($B76,'Email Marketing Raw Data'!$C:$O,10,0))),"")</f>
        <v/>
      </c>
      <c r="E76" s="59" t="str">
        <f>IFERROR(IF(F76&lt;&gt;"pending","",IF(OR($B76="",$B76="(blank)"),"",VLOOKUP($B76,'Email Marketing Raw Data'!$C:$O,11,0))),"")</f>
        <v/>
      </c>
      <c r="F76" s="54" t="str">
        <f>IFERROR(IF(OR($B76="",$B76="(blank)"),"",VLOOKUP($B76,'Email Marketing Raw Data'!$C:$O,13,0)),"")</f>
        <v/>
      </c>
      <c r="G76" s="55" t="str">
        <f>IFERROR(IF(OR($B76="",$B76="(blank)"),"",VLOOKUP($B76,'Email Marketing Raw Data'!$C:$O,4,0)),"")</f>
        <v/>
      </c>
      <c r="H76" s="55" t="str">
        <f>IFERROR(IF(OR($B76="",$B76="(blank)"),"",VLOOKUP($B76,'Email Marketing Raw Data'!$C:$O,5,0)),"")</f>
        <v/>
      </c>
      <c r="I76" s="55" t="str">
        <f>IFERROR(IF($G76="","",VLOOKUP('Dashboard And Emails Automate'!$G76,Database!$H:$N,3,0)),"")</f>
        <v/>
      </c>
      <c r="J76" s="55" t="str">
        <f>IFERROR(IF($G76="","",VLOOKUP('Dashboard And Emails Automate'!$G76,Database!$H:$N,4,0)),"")</f>
        <v/>
      </c>
      <c r="K76" s="55" t="str">
        <f>IFERROR(IF($G76="","",VLOOKUP('Dashboard And Emails Automate'!$G76,Database!$H:$N,5,0)),"")</f>
        <v/>
      </c>
      <c r="L76" s="55" t="str">
        <f>IFERROR(IF($G76="","",VLOOKUP('Dashboard And Emails Automate'!$G76,Database!$H:$N,6,0)),"")</f>
        <v/>
      </c>
      <c r="M76" s="55" t="str">
        <f>IFERROR(IF($G76="","",VLOOKUP('Dashboard And Emails Automate'!$G76,Database!$H:$N,7,0)),"")</f>
        <v/>
      </c>
      <c r="N76" s="55" t="str">
        <f>IFERROR(IF(OR($B76="",$B76="(blank)"),"",VLOOKUP($B76,'Email Marketing Raw Data'!$C:$O,6,0)),"")</f>
        <v/>
      </c>
      <c r="O76" s="55" t="str">
        <f>IFERROR(IF(OR($B76="",$B76="(blank)"),"",VLOOKUP($B76,'Email Marketing Raw Data'!$C:$O,7,0)),"")</f>
        <v/>
      </c>
      <c r="P76" s="55" t="str">
        <f>IFERROR(IF(OR($B76="",$B76="(blank)"),"",VLOOKUP($B76,'Email Marketing Raw Data'!$C:$O,8,0)),"")</f>
        <v/>
      </c>
      <c r="Q76" s="62" t="str">
        <f>IFERROR(IF(OR($B76="",$B76="(blank)"),"",VLOOKUP($B76,'Email Marketing Raw Data'!$C:$O,9,0)),"")</f>
        <v/>
      </c>
    </row>
    <row r="77" spans="4:17" ht="12.75" customHeight="1" x14ac:dyDescent="0.2">
      <c r="D77" s="58" t="str">
        <f>IFERROR(IF(F77&lt;&gt;"pending","",IF(OR($B77="",$B77="(blank)"),"",VLOOKUP($B77,'Email Marketing Raw Data'!$C:$O,10,0))),"")</f>
        <v/>
      </c>
      <c r="E77" s="59" t="str">
        <f>IFERROR(IF(F77&lt;&gt;"pending","",IF(OR($B77="",$B77="(blank)"),"",VLOOKUP($B77,'Email Marketing Raw Data'!$C:$O,11,0))),"")</f>
        <v/>
      </c>
      <c r="F77" s="54" t="str">
        <f>IFERROR(IF(OR($B77="",$B77="(blank)"),"",VLOOKUP($B77,'Email Marketing Raw Data'!$C:$O,13,0)),"")</f>
        <v/>
      </c>
      <c r="G77" s="55" t="str">
        <f>IFERROR(IF(OR($B77="",$B77="(blank)"),"",VLOOKUP($B77,'Email Marketing Raw Data'!$C:$O,4,0)),"")</f>
        <v/>
      </c>
      <c r="H77" s="55" t="str">
        <f>IFERROR(IF(OR($B77="",$B77="(blank)"),"",VLOOKUP($B77,'Email Marketing Raw Data'!$C:$O,5,0)),"")</f>
        <v/>
      </c>
      <c r="I77" s="55" t="str">
        <f>IFERROR(IF($G77="","",VLOOKUP('Dashboard And Emails Automate'!$G77,Database!$H:$N,3,0)),"")</f>
        <v/>
      </c>
      <c r="J77" s="55" t="str">
        <f>IFERROR(IF($G77="","",VLOOKUP('Dashboard And Emails Automate'!$G77,Database!$H:$N,4,0)),"")</f>
        <v/>
      </c>
      <c r="K77" s="55" t="str">
        <f>IFERROR(IF($G77="","",VLOOKUP('Dashboard And Emails Automate'!$G77,Database!$H:$N,5,0)),"")</f>
        <v/>
      </c>
      <c r="L77" s="55" t="str">
        <f>IFERROR(IF($G77="","",VLOOKUP('Dashboard And Emails Automate'!$G77,Database!$H:$N,6,0)),"")</f>
        <v/>
      </c>
      <c r="M77" s="55" t="str">
        <f>IFERROR(IF($G77="","",VLOOKUP('Dashboard And Emails Automate'!$G77,Database!$H:$N,7,0)),"")</f>
        <v/>
      </c>
      <c r="N77" s="55" t="str">
        <f>IFERROR(IF(OR($B77="",$B77="(blank)"),"",VLOOKUP($B77,'Email Marketing Raw Data'!$C:$O,6,0)),"")</f>
        <v/>
      </c>
      <c r="O77" s="55" t="str">
        <f>IFERROR(IF(OR($B77="",$B77="(blank)"),"",VLOOKUP($B77,'Email Marketing Raw Data'!$C:$O,7,0)),"")</f>
        <v/>
      </c>
      <c r="P77" s="55" t="str">
        <f>IFERROR(IF(OR($B77="",$B77="(blank)"),"",VLOOKUP($B77,'Email Marketing Raw Data'!$C:$O,8,0)),"")</f>
        <v/>
      </c>
      <c r="Q77" s="62" t="str">
        <f>IFERROR(IF(OR($B77="",$B77="(blank)"),"",VLOOKUP($B77,'Email Marketing Raw Data'!$C:$O,9,0)),"")</f>
        <v/>
      </c>
    </row>
    <row r="78" spans="4:17" ht="12.75" customHeight="1" x14ac:dyDescent="0.2">
      <c r="D78" s="58" t="str">
        <f>IFERROR(IF(F78&lt;&gt;"pending","",IF(OR($B78="",$B78="(blank)"),"",VLOOKUP($B78,'Email Marketing Raw Data'!$C:$O,10,0))),"")</f>
        <v/>
      </c>
      <c r="E78" s="59" t="str">
        <f>IFERROR(IF(F78&lt;&gt;"pending","",IF(OR($B78="",$B78="(blank)"),"",VLOOKUP($B78,'Email Marketing Raw Data'!$C:$O,11,0))),"")</f>
        <v/>
      </c>
      <c r="F78" s="54" t="str">
        <f>IFERROR(IF(OR($B78="",$B78="(blank)"),"",VLOOKUP($B78,'Email Marketing Raw Data'!$C:$O,13,0)),"")</f>
        <v/>
      </c>
      <c r="G78" s="55" t="str">
        <f>IFERROR(IF(OR($B78="",$B78="(blank)"),"",VLOOKUP($B78,'Email Marketing Raw Data'!$C:$O,4,0)),"")</f>
        <v/>
      </c>
      <c r="H78" s="55" t="str">
        <f>IFERROR(IF(OR($B78="",$B78="(blank)"),"",VLOOKUP($B78,'Email Marketing Raw Data'!$C:$O,5,0)),"")</f>
        <v/>
      </c>
      <c r="I78" s="55" t="str">
        <f>IFERROR(IF($G78="","",VLOOKUP('Dashboard And Emails Automate'!$G78,Database!$H:$N,3,0)),"")</f>
        <v/>
      </c>
      <c r="J78" s="55" t="str">
        <f>IFERROR(IF($G78="","",VLOOKUP('Dashboard And Emails Automate'!$G78,Database!$H:$N,4,0)),"")</f>
        <v/>
      </c>
      <c r="K78" s="55" t="str">
        <f>IFERROR(IF($G78="","",VLOOKUP('Dashboard And Emails Automate'!$G78,Database!$H:$N,5,0)),"")</f>
        <v/>
      </c>
      <c r="L78" s="55" t="str">
        <f>IFERROR(IF($G78="","",VLOOKUP('Dashboard And Emails Automate'!$G78,Database!$H:$N,6,0)),"")</f>
        <v/>
      </c>
      <c r="M78" s="55" t="str">
        <f>IFERROR(IF($G78="","",VLOOKUP('Dashboard And Emails Automate'!$G78,Database!$H:$N,7,0)),"")</f>
        <v/>
      </c>
      <c r="N78" s="55" t="str">
        <f>IFERROR(IF(OR($B78="",$B78="(blank)"),"",VLOOKUP($B78,'Email Marketing Raw Data'!$C:$O,6,0)),"")</f>
        <v/>
      </c>
      <c r="O78" s="55" t="str">
        <f>IFERROR(IF(OR($B78="",$B78="(blank)"),"",VLOOKUP($B78,'Email Marketing Raw Data'!$C:$O,7,0)),"")</f>
        <v/>
      </c>
      <c r="P78" s="55" t="str">
        <f>IFERROR(IF(OR($B78="",$B78="(blank)"),"",VLOOKUP($B78,'Email Marketing Raw Data'!$C:$O,8,0)),"")</f>
        <v/>
      </c>
      <c r="Q78" s="62" t="str">
        <f>IFERROR(IF(OR($B78="",$B78="(blank)"),"",VLOOKUP($B78,'Email Marketing Raw Data'!$C:$O,9,0)),"")</f>
        <v/>
      </c>
    </row>
    <row r="79" spans="4:17" ht="12.75" customHeight="1" x14ac:dyDescent="0.2">
      <c r="D79" s="58" t="str">
        <f>IFERROR(IF(F79&lt;&gt;"pending","",IF(OR($B79="",$B79="(blank)"),"",VLOOKUP($B79,'Email Marketing Raw Data'!$C:$O,10,0))),"")</f>
        <v/>
      </c>
      <c r="E79" s="59" t="str">
        <f>IFERROR(IF(F79&lt;&gt;"pending","",IF(OR($B79="",$B79="(blank)"),"",VLOOKUP($B79,'Email Marketing Raw Data'!$C:$O,11,0))),"")</f>
        <v/>
      </c>
      <c r="F79" s="54" t="str">
        <f>IFERROR(IF(OR($B79="",$B79="(blank)"),"",VLOOKUP($B79,'Email Marketing Raw Data'!$C:$O,13,0)),"")</f>
        <v/>
      </c>
      <c r="G79" s="55" t="str">
        <f>IFERROR(IF(OR($B79="",$B79="(blank)"),"",VLOOKUP($B79,'Email Marketing Raw Data'!$C:$O,4,0)),"")</f>
        <v/>
      </c>
      <c r="H79" s="55" t="str">
        <f>IFERROR(IF(OR($B79="",$B79="(blank)"),"",VLOOKUP($B79,'Email Marketing Raw Data'!$C:$O,5,0)),"")</f>
        <v/>
      </c>
      <c r="I79" s="55" t="str">
        <f>IFERROR(IF($G79="","",VLOOKUP('Dashboard And Emails Automate'!$G79,Database!$H:$N,3,0)),"")</f>
        <v/>
      </c>
      <c r="J79" s="55" t="str">
        <f>IFERROR(IF($G79="","",VLOOKUP('Dashboard And Emails Automate'!$G79,Database!$H:$N,4,0)),"")</f>
        <v/>
      </c>
      <c r="K79" s="55" t="str">
        <f>IFERROR(IF($G79="","",VLOOKUP('Dashboard And Emails Automate'!$G79,Database!$H:$N,5,0)),"")</f>
        <v/>
      </c>
      <c r="L79" s="55" t="str">
        <f>IFERROR(IF($G79="","",VLOOKUP('Dashboard And Emails Automate'!$G79,Database!$H:$N,6,0)),"")</f>
        <v/>
      </c>
      <c r="M79" s="55" t="str">
        <f>IFERROR(IF($G79="","",VLOOKUP('Dashboard And Emails Automate'!$G79,Database!$H:$N,7,0)),"")</f>
        <v/>
      </c>
      <c r="N79" s="55" t="str">
        <f>IFERROR(IF(OR($B79="",$B79="(blank)"),"",VLOOKUP($B79,'Email Marketing Raw Data'!$C:$O,6,0)),"")</f>
        <v/>
      </c>
      <c r="O79" s="55" t="str">
        <f>IFERROR(IF(OR($B79="",$B79="(blank)"),"",VLOOKUP($B79,'Email Marketing Raw Data'!$C:$O,7,0)),"")</f>
        <v/>
      </c>
      <c r="P79" s="55" t="str">
        <f>IFERROR(IF(OR($B79="",$B79="(blank)"),"",VLOOKUP($B79,'Email Marketing Raw Data'!$C:$O,8,0)),"")</f>
        <v/>
      </c>
      <c r="Q79" s="62" t="str">
        <f>IFERROR(IF(OR($B79="",$B79="(blank)"),"",VLOOKUP($B79,'Email Marketing Raw Data'!$C:$O,9,0)),"")</f>
        <v/>
      </c>
    </row>
    <row r="80" spans="4:17" ht="12.75" customHeight="1" x14ac:dyDescent="0.2">
      <c r="D80" s="58" t="str">
        <f>IFERROR(IF(F80&lt;&gt;"pending","",IF(OR($B80="",$B80="(blank)"),"",VLOOKUP($B80,'Email Marketing Raw Data'!$C:$O,10,0))),"")</f>
        <v/>
      </c>
      <c r="E80" s="59" t="str">
        <f>IFERROR(IF(F80&lt;&gt;"pending","",IF(OR($B80="",$B80="(blank)"),"",VLOOKUP($B80,'Email Marketing Raw Data'!$C:$O,11,0))),"")</f>
        <v/>
      </c>
      <c r="F80" s="54" t="str">
        <f>IFERROR(IF(OR($B80="",$B80="(blank)"),"",VLOOKUP($B80,'Email Marketing Raw Data'!$C:$O,13,0)),"")</f>
        <v/>
      </c>
      <c r="G80" s="55" t="str">
        <f>IFERROR(IF(OR($B80="",$B80="(blank)"),"",VLOOKUP($B80,'Email Marketing Raw Data'!$C:$O,4,0)),"")</f>
        <v/>
      </c>
      <c r="H80" s="55" t="str">
        <f>IFERROR(IF(OR($B80="",$B80="(blank)"),"",VLOOKUP($B80,'Email Marketing Raw Data'!$C:$O,5,0)),"")</f>
        <v/>
      </c>
      <c r="I80" s="55" t="str">
        <f>IFERROR(IF($G80="","",VLOOKUP('Dashboard And Emails Automate'!$G80,Database!$H:$N,3,0)),"")</f>
        <v/>
      </c>
      <c r="J80" s="55" t="str">
        <f>IFERROR(IF($G80="","",VLOOKUP('Dashboard And Emails Automate'!$G80,Database!$H:$N,4,0)),"")</f>
        <v/>
      </c>
      <c r="K80" s="55" t="str">
        <f>IFERROR(IF($G80="","",VLOOKUP('Dashboard And Emails Automate'!$G80,Database!$H:$N,5,0)),"")</f>
        <v/>
      </c>
      <c r="L80" s="55" t="str">
        <f>IFERROR(IF($G80="","",VLOOKUP('Dashboard And Emails Automate'!$G80,Database!$H:$N,6,0)),"")</f>
        <v/>
      </c>
      <c r="M80" s="55" t="str">
        <f>IFERROR(IF($G80="","",VLOOKUP('Dashboard And Emails Automate'!$G80,Database!$H:$N,7,0)),"")</f>
        <v/>
      </c>
      <c r="N80" s="55" t="str">
        <f>IFERROR(IF(OR($B80="",$B80="(blank)"),"",VLOOKUP($B80,'Email Marketing Raw Data'!$C:$O,6,0)),"")</f>
        <v/>
      </c>
      <c r="O80" s="55" t="str">
        <f>IFERROR(IF(OR($B80="",$B80="(blank)"),"",VLOOKUP($B80,'Email Marketing Raw Data'!$C:$O,7,0)),"")</f>
        <v/>
      </c>
      <c r="P80" s="55" t="str">
        <f>IFERROR(IF(OR($B80="",$B80="(blank)"),"",VLOOKUP($B80,'Email Marketing Raw Data'!$C:$O,8,0)),"")</f>
        <v/>
      </c>
      <c r="Q80" s="62" t="str">
        <f>IFERROR(IF(OR($B80="",$B80="(blank)"),"",VLOOKUP($B80,'Email Marketing Raw Data'!$C:$O,9,0)),"")</f>
        <v/>
      </c>
    </row>
    <row r="81" spans="4:17" ht="12.75" customHeight="1" x14ac:dyDescent="0.2">
      <c r="D81" s="58" t="str">
        <f>IFERROR(IF(F81&lt;&gt;"pending","",IF(OR($B81="",$B81="(blank)"),"",VLOOKUP($B81,'Email Marketing Raw Data'!$C:$O,10,0))),"")</f>
        <v/>
      </c>
      <c r="E81" s="59" t="str">
        <f>IFERROR(IF(F81&lt;&gt;"pending","",IF(OR($B81="",$B81="(blank)"),"",VLOOKUP($B81,'Email Marketing Raw Data'!$C:$O,11,0))),"")</f>
        <v/>
      </c>
      <c r="F81" s="54" t="str">
        <f>IFERROR(IF(OR($B81="",$B81="(blank)"),"",VLOOKUP($B81,'Email Marketing Raw Data'!$C:$O,13,0)),"")</f>
        <v/>
      </c>
      <c r="G81" s="55" t="str">
        <f>IFERROR(IF(OR($B81="",$B81="(blank)"),"",VLOOKUP($B81,'Email Marketing Raw Data'!$C:$O,4,0)),"")</f>
        <v/>
      </c>
      <c r="H81" s="55" t="str">
        <f>IFERROR(IF(OR($B81="",$B81="(blank)"),"",VLOOKUP($B81,'Email Marketing Raw Data'!$C:$O,5,0)),"")</f>
        <v/>
      </c>
      <c r="I81" s="55" t="str">
        <f>IFERROR(IF($G81="","",VLOOKUP('Dashboard And Emails Automate'!$G81,Database!$H:$N,3,0)),"")</f>
        <v/>
      </c>
      <c r="J81" s="55" t="str">
        <f>IFERROR(IF($G81="","",VLOOKUP('Dashboard And Emails Automate'!$G81,Database!$H:$N,4,0)),"")</f>
        <v/>
      </c>
      <c r="K81" s="55" t="str">
        <f>IFERROR(IF($G81="","",VLOOKUP('Dashboard And Emails Automate'!$G81,Database!$H:$N,5,0)),"")</f>
        <v/>
      </c>
      <c r="L81" s="55" t="str">
        <f>IFERROR(IF($G81="","",VLOOKUP('Dashboard And Emails Automate'!$G81,Database!$H:$N,6,0)),"")</f>
        <v/>
      </c>
      <c r="M81" s="55" t="str">
        <f>IFERROR(IF($G81="","",VLOOKUP('Dashboard And Emails Automate'!$G81,Database!$H:$N,7,0)),"")</f>
        <v/>
      </c>
      <c r="N81" s="55" t="str">
        <f>IFERROR(IF(OR($B81="",$B81="(blank)"),"",VLOOKUP($B81,'Email Marketing Raw Data'!$C:$O,6,0)),"")</f>
        <v/>
      </c>
      <c r="O81" s="55" t="str">
        <f>IFERROR(IF(OR($B81="",$B81="(blank)"),"",VLOOKUP($B81,'Email Marketing Raw Data'!$C:$O,7,0)),"")</f>
        <v/>
      </c>
      <c r="P81" s="55" t="str">
        <f>IFERROR(IF(OR($B81="",$B81="(blank)"),"",VLOOKUP($B81,'Email Marketing Raw Data'!$C:$O,8,0)),"")</f>
        <v/>
      </c>
      <c r="Q81" s="62" t="str">
        <f>IFERROR(IF(OR($B81="",$B81="(blank)"),"",VLOOKUP($B81,'Email Marketing Raw Data'!$C:$O,9,0)),"")</f>
        <v/>
      </c>
    </row>
    <row r="82" spans="4:17" ht="12.75" customHeight="1" x14ac:dyDescent="0.2">
      <c r="D82" s="58" t="str">
        <f>IFERROR(IF(F82&lt;&gt;"pending","",IF(OR($B82="",$B82="(blank)"),"",VLOOKUP($B82,'Email Marketing Raw Data'!$C:$O,10,0))),"")</f>
        <v/>
      </c>
      <c r="E82" s="59" t="str">
        <f>IFERROR(IF(F82&lt;&gt;"pending","",IF(OR($B82="",$B82="(blank)"),"",VLOOKUP($B82,'Email Marketing Raw Data'!$C:$O,11,0))),"")</f>
        <v/>
      </c>
      <c r="F82" s="54" t="str">
        <f>IFERROR(IF(OR($B82="",$B82="(blank)"),"",VLOOKUP($B82,'Email Marketing Raw Data'!$C:$O,13,0)),"")</f>
        <v/>
      </c>
      <c r="G82" s="55" t="str">
        <f>IFERROR(IF(OR($B82="",$B82="(blank)"),"",VLOOKUP($B82,'Email Marketing Raw Data'!$C:$O,4,0)),"")</f>
        <v/>
      </c>
      <c r="H82" s="55" t="str">
        <f>IFERROR(IF(OR($B82="",$B82="(blank)"),"",VLOOKUP($B82,'Email Marketing Raw Data'!$C:$O,5,0)),"")</f>
        <v/>
      </c>
      <c r="I82" s="55" t="str">
        <f>IFERROR(IF($G82="","",VLOOKUP('Dashboard And Emails Automate'!$G82,Database!$H:$N,3,0)),"")</f>
        <v/>
      </c>
      <c r="J82" s="55" t="str">
        <f>IFERROR(IF($G82="","",VLOOKUP('Dashboard And Emails Automate'!$G82,Database!$H:$N,4,0)),"")</f>
        <v/>
      </c>
      <c r="K82" s="55" t="str">
        <f>IFERROR(IF($G82="","",VLOOKUP('Dashboard And Emails Automate'!$G82,Database!$H:$N,5,0)),"")</f>
        <v/>
      </c>
      <c r="L82" s="55" t="str">
        <f>IFERROR(IF($G82="","",VLOOKUP('Dashboard And Emails Automate'!$G82,Database!$H:$N,6,0)),"")</f>
        <v/>
      </c>
      <c r="M82" s="55" t="str">
        <f>IFERROR(IF($G82="","",VLOOKUP('Dashboard And Emails Automate'!$G82,Database!$H:$N,7,0)),"")</f>
        <v/>
      </c>
      <c r="N82" s="55" t="str">
        <f>IFERROR(IF(OR($B82="",$B82="(blank)"),"",VLOOKUP($B82,'Email Marketing Raw Data'!$C:$O,6,0)),"")</f>
        <v/>
      </c>
      <c r="O82" s="55" t="str">
        <f>IFERROR(IF(OR($B82="",$B82="(blank)"),"",VLOOKUP($B82,'Email Marketing Raw Data'!$C:$O,7,0)),"")</f>
        <v/>
      </c>
      <c r="P82" s="55" t="str">
        <f>IFERROR(IF(OR($B82="",$B82="(blank)"),"",VLOOKUP($B82,'Email Marketing Raw Data'!$C:$O,8,0)),"")</f>
        <v/>
      </c>
      <c r="Q82" s="62" t="str">
        <f>IFERROR(IF(OR($B82="",$B82="(blank)"),"",VLOOKUP($B82,'Email Marketing Raw Data'!$C:$O,9,0)),"")</f>
        <v/>
      </c>
    </row>
    <row r="83" spans="4:17" ht="12.75" customHeight="1" x14ac:dyDescent="0.2">
      <c r="D83" s="58" t="str">
        <f>IFERROR(IF(F83&lt;&gt;"pending","",IF(OR($B83="",$B83="(blank)"),"",VLOOKUP($B83,'Email Marketing Raw Data'!$C:$O,10,0))),"")</f>
        <v/>
      </c>
      <c r="E83" s="59" t="str">
        <f>IFERROR(IF(F83&lt;&gt;"pending","",IF(OR($B83="",$B83="(blank)"),"",VLOOKUP($B83,'Email Marketing Raw Data'!$C:$O,11,0))),"")</f>
        <v/>
      </c>
      <c r="F83" s="54" t="str">
        <f>IFERROR(IF(OR($B83="",$B83="(blank)"),"",VLOOKUP($B83,'Email Marketing Raw Data'!$C:$O,13,0)),"")</f>
        <v/>
      </c>
      <c r="G83" s="55" t="str">
        <f>IFERROR(IF(OR($B83="",$B83="(blank)"),"",VLOOKUP($B83,'Email Marketing Raw Data'!$C:$O,4,0)),"")</f>
        <v/>
      </c>
      <c r="H83" s="55" t="str">
        <f>IFERROR(IF(OR($B83="",$B83="(blank)"),"",VLOOKUP($B83,'Email Marketing Raw Data'!$C:$O,5,0)),"")</f>
        <v/>
      </c>
      <c r="I83" s="55" t="str">
        <f>IFERROR(IF($G83="","",VLOOKUP('Dashboard And Emails Automate'!$G83,Database!$H:$N,3,0)),"")</f>
        <v/>
      </c>
      <c r="J83" s="55" t="str">
        <f>IFERROR(IF($G83="","",VLOOKUP('Dashboard And Emails Automate'!$G83,Database!$H:$N,4,0)),"")</f>
        <v/>
      </c>
      <c r="K83" s="55" t="str">
        <f>IFERROR(IF($G83="","",VLOOKUP('Dashboard And Emails Automate'!$G83,Database!$H:$N,5,0)),"")</f>
        <v/>
      </c>
      <c r="L83" s="55" t="str">
        <f>IFERROR(IF($G83="","",VLOOKUP('Dashboard And Emails Automate'!$G83,Database!$H:$N,6,0)),"")</f>
        <v/>
      </c>
      <c r="M83" s="55" t="str">
        <f>IFERROR(IF($G83="","",VLOOKUP('Dashboard And Emails Automate'!$G83,Database!$H:$N,7,0)),"")</f>
        <v/>
      </c>
      <c r="N83" s="55" t="str">
        <f>IFERROR(IF(OR($B83="",$B83="(blank)"),"",VLOOKUP($B83,'Email Marketing Raw Data'!$C:$O,6,0)),"")</f>
        <v/>
      </c>
      <c r="O83" s="55" t="str">
        <f>IFERROR(IF(OR($B83="",$B83="(blank)"),"",VLOOKUP($B83,'Email Marketing Raw Data'!$C:$O,7,0)),"")</f>
        <v/>
      </c>
      <c r="P83" s="55" t="str">
        <f>IFERROR(IF(OR($B83="",$B83="(blank)"),"",VLOOKUP($B83,'Email Marketing Raw Data'!$C:$O,8,0)),"")</f>
        <v/>
      </c>
      <c r="Q83" s="62" t="str">
        <f>IFERROR(IF(OR($B83="",$B83="(blank)"),"",VLOOKUP($B83,'Email Marketing Raw Data'!$C:$O,9,0)),"")</f>
        <v/>
      </c>
    </row>
    <row r="84" spans="4:17" ht="12.75" customHeight="1" x14ac:dyDescent="0.2">
      <c r="D84" s="58" t="str">
        <f>IFERROR(IF(F84&lt;&gt;"pending","",IF(OR($B84="",$B84="(blank)"),"",VLOOKUP($B84,'Email Marketing Raw Data'!$C:$O,10,0))),"")</f>
        <v/>
      </c>
      <c r="E84" s="59" t="str">
        <f>IFERROR(IF(F84&lt;&gt;"pending","",IF(OR($B84="",$B84="(blank)"),"",VLOOKUP($B84,'Email Marketing Raw Data'!$C:$O,11,0))),"")</f>
        <v/>
      </c>
      <c r="F84" s="54" t="str">
        <f>IFERROR(IF(OR($B84="",$B84="(blank)"),"",VLOOKUP($B84,'Email Marketing Raw Data'!$C:$O,13,0)),"")</f>
        <v/>
      </c>
      <c r="G84" s="55" t="str">
        <f>IFERROR(IF(OR($B84="",$B84="(blank)"),"",VLOOKUP($B84,'Email Marketing Raw Data'!$C:$O,4,0)),"")</f>
        <v/>
      </c>
      <c r="H84" s="55" t="str">
        <f>IFERROR(IF(OR($B84="",$B84="(blank)"),"",VLOOKUP($B84,'Email Marketing Raw Data'!$C:$O,5,0)),"")</f>
        <v/>
      </c>
      <c r="I84" s="55" t="str">
        <f>IFERROR(IF($G84="","",VLOOKUP('Dashboard And Emails Automate'!$G84,Database!$H:$N,3,0)),"")</f>
        <v/>
      </c>
      <c r="J84" s="55" t="str">
        <f>IFERROR(IF($G84="","",VLOOKUP('Dashboard And Emails Automate'!$G84,Database!$H:$N,4,0)),"")</f>
        <v/>
      </c>
      <c r="K84" s="55" t="str">
        <f>IFERROR(IF($G84="","",VLOOKUP('Dashboard And Emails Automate'!$G84,Database!$H:$N,5,0)),"")</f>
        <v/>
      </c>
      <c r="L84" s="55" t="str">
        <f>IFERROR(IF($G84="","",VLOOKUP('Dashboard And Emails Automate'!$G84,Database!$H:$N,6,0)),"")</f>
        <v/>
      </c>
      <c r="M84" s="55" t="str">
        <f>IFERROR(IF($G84="","",VLOOKUP('Dashboard And Emails Automate'!$G84,Database!$H:$N,7,0)),"")</f>
        <v/>
      </c>
      <c r="N84" s="55" t="str">
        <f>IFERROR(IF(OR($B84="",$B84="(blank)"),"",VLOOKUP($B84,'Email Marketing Raw Data'!$C:$O,6,0)),"")</f>
        <v/>
      </c>
      <c r="O84" s="55" t="str">
        <f>IFERROR(IF(OR($B84="",$B84="(blank)"),"",VLOOKUP($B84,'Email Marketing Raw Data'!$C:$O,7,0)),"")</f>
        <v/>
      </c>
      <c r="P84" s="55" t="str">
        <f>IFERROR(IF(OR($B84="",$B84="(blank)"),"",VLOOKUP($B84,'Email Marketing Raw Data'!$C:$O,8,0)),"")</f>
        <v/>
      </c>
      <c r="Q84" s="62" t="str">
        <f>IFERROR(IF(OR($B84="",$B84="(blank)"),"",VLOOKUP($B84,'Email Marketing Raw Data'!$C:$O,9,0)),"")</f>
        <v/>
      </c>
    </row>
    <row r="85" spans="4:17" ht="12.75" customHeight="1" x14ac:dyDescent="0.2">
      <c r="D85" s="58" t="str">
        <f>IFERROR(IF(F85&lt;&gt;"pending","",IF(OR($B85="",$B85="(blank)"),"",VLOOKUP($B85,'Email Marketing Raw Data'!$C:$O,10,0))),"")</f>
        <v/>
      </c>
      <c r="E85" s="59" t="str">
        <f>IFERROR(IF(F85&lt;&gt;"pending","",IF(OR($B85="",$B85="(blank)"),"",VLOOKUP($B85,'Email Marketing Raw Data'!$C:$O,11,0))),"")</f>
        <v/>
      </c>
      <c r="F85" s="54" t="str">
        <f>IFERROR(IF(OR($B85="",$B85="(blank)"),"",VLOOKUP($B85,'Email Marketing Raw Data'!$C:$O,13,0)),"")</f>
        <v/>
      </c>
      <c r="G85" s="55" t="str">
        <f>IFERROR(IF(OR($B85="",$B85="(blank)"),"",VLOOKUP($B85,'Email Marketing Raw Data'!$C:$O,4,0)),"")</f>
        <v/>
      </c>
      <c r="H85" s="55" t="str">
        <f>IFERROR(IF(OR($B85="",$B85="(blank)"),"",VLOOKUP($B85,'Email Marketing Raw Data'!$C:$O,5,0)),"")</f>
        <v/>
      </c>
      <c r="I85" s="55" t="str">
        <f>IFERROR(IF($G85="","",VLOOKUP('Dashboard And Emails Automate'!$G85,Database!$H:$N,3,0)),"")</f>
        <v/>
      </c>
      <c r="J85" s="55" t="str">
        <f>IFERROR(IF($G85="","",VLOOKUP('Dashboard And Emails Automate'!$G85,Database!$H:$N,4,0)),"")</f>
        <v/>
      </c>
      <c r="K85" s="55" t="str">
        <f>IFERROR(IF($G85="","",VLOOKUP('Dashboard And Emails Automate'!$G85,Database!$H:$N,5,0)),"")</f>
        <v/>
      </c>
      <c r="L85" s="55" t="str">
        <f>IFERROR(IF($G85="","",VLOOKUP('Dashboard And Emails Automate'!$G85,Database!$H:$N,6,0)),"")</f>
        <v/>
      </c>
      <c r="M85" s="55" t="str">
        <f>IFERROR(IF($G85="","",VLOOKUP('Dashboard And Emails Automate'!$G85,Database!$H:$N,7,0)),"")</f>
        <v/>
      </c>
      <c r="N85" s="55" t="str">
        <f>IFERROR(IF(OR($B85="",$B85="(blank)"),"",VLOOKUP($B85,'Email Marketing Raw Data'!$C:$O,6,0)),"")</f>
        <v/>
      </c>
      <c r="O85" s="55" t="str">
        <f>IFERROR(IF(OR($B85="",$B85="(blank)"),"",VLOOKUP($B85,'Email Marketing Raw Data'!$C:$O,7,0)),"")</f>
        <v/>
      </c>
      <c r="P85" s="55" t="str">
        <f>IFERROR(IF(OR($B85="",$B85="(blank)"),"",VLOOKUP($B85,'Email Marketing Raw Data'!$C:$O,8,0)),"")</f>
        <v/>
      </c>
      <c r="Q85" s="62" t="str">
        <f>IFERROR(IF(OR($B85="",$B85="(blank)"),"",VLOOKUP($B85,'Email Marketing Raw Data'!$C:$O,9,0)),"")</f>
        <v/>
      </c>
    </row>
    <row r="86" spans="4:17" ht="12.75" customHeight="1" x14ac:dyDescent="0.2">
      <c r="D86" s="58" t="str">
        <f>IFERROR(IF(F86&lt;&gt;"pending","",IF(OR($B86="",$B86="(blank)"),"",VLOOKUP($B86,'Email Marketing Raw Data'!$C:$O,10,0))),"")</f>
        <v/>
      </c>
      <c r="E86" s="59" t="str">
        <f>IFERROR(IF(F86&lt;&gt;"pending","",IF(OR($B86="",$B86="(blank)"),"",VLOOKUP($B86,'Email Marketing Raw Data'!$C:$O,11,0))),"")</f>
        <v/>
      </c>
      <c r="F86" s="54" t="str">
        <f>IFERROR(IF(OR($B86="",$B86="(blank)"),"",VLOOKUP($B86,'Email Marketing Raw Data'!$C:$O,13,0)),"")</f>
        <v/>
      </c>
      <c r="G86" s="55" t="str">
        <f>IFERROR(IF(OR($B86="",$B86="(blank)"),"",VLOOKUP($B86,'Email Marketing Raw Data'!$C:$O,4,0)),"")</f>
        <v/>
      </c>
      <c r="H86" s="55" t="str">
        <f>IFERROR(IF(OR($B86="",$B86="(blank)"),"",VLOOKUP($B86,'Email Marketing Raw Data'!$C:$O,5,0)),"")</f>
        <v/>
      </c>
      <c r="I86" s="55" t="str">
        <f>IFERROR(IF($G86="","",VLOOKUP('Dashboard And Emails Automate'!$G86,Database!$H:$N,3,0)),"")</f>
        <v/>
      </c>
      <c r="J86" s="55" t="str">
        <f>IFERROR(IF($G86="","",VLOOKUP('Dashboard And Emails Automate'!$G86,Database!$H:$N,4,0)),"")</f>
        <v/>
      </c>
      <c r="K86" s="55" t="str">
        <f>IFERROR(IF($G86="","",VLOOKUP('Dashboard And Emails Automate'!$G86,Database!$H:$N,5,0)),"")</f>
        <v/>
      </c>
      <c r="L86" s="55" t="str">
        <f>IFERROR(IF($G86="","",VLOOKUP('Dashboard And Emails Automate'!$G86,Database!$H:$N,6,0)),"")</f>
        <v/>
      </c>
      <c r="M86" s="55" t="str">
        <f>IFERROR(IF($G86="","",VLOOKUP('Dashboard And Emails Automate'!$G86,Database!$H:$N,7,0)),"")</f>
        <v/>
      </c>
      <c r="N86" s="55" t="str">
        <f>IFERROR(IF(OR($B86="",$B86="(blank)"),"",VLOOKUP($B86,'Email Marketing Raw Data'!$C:$O,6,0)),"")</f>
        <v/>
      </c>
      <c r="O86" s="55" t="str">
        <f>IFERROR(IF(OR($B86="",$B86="(blank)"),"",VLOOKUP($B86,'Email Marketing Raw Data'!$C:$O,7,0)),"")</f>
        <v/>
      </c>
      <c r="P86" s="55" t="str">
        <f>IFERROR(IF(OR($B86="",$B86="(blank)"),"",VLOOKUP($B86,'Email Marketing Raw Data'!$C:$O,8,0)),"")</f>
        <v/>
      </c>
      <c r="Q86" s="62" t="str">
        <f>IFERROR(IF(OR($B86="",$B86="(blank)"),"",VLOOKUP($B86,'Email Marketing Raw Data'!$C:$O,9,0)),"")</f>
        <v/>
      </c>
    </row>
    <row r="87" spans="4:17" ht="12.75" customHeight="1" x14ac:dyDescent="0.2">
      <c r="D87" s="58" t="str">
        <f>IFERROR(IF(F87&lt;&gt;"pending","",IF(OR($B87="",$B87="(blank)"),"",VLOOKUP($B87,'Email Marketing Raw Data'!$C:$O,10,0))),"")</f>
        <v/>
      </c>
      <c r="E87" s="59" t="str">
        <f>IFERROR(IF(F87&lt;&gt;"pending","",IF(OR($B87="",$B87="(blank)"),"",VLOOKUP($B87,'Email Marketing Raw Data'!$C:$O,11,0))),"")</f>
        <v/>
      </c>
      <c r="F87" s="54" t="str">
        <f>IFERROR(IF(OR($B87="",$B87="(blank)"),"",VLOOKUP($B87,'Email Marketing Raw Data'!$C:$O,13,0)),"")</f>
        <v/>
      </c>
      <c r="G87" s="55" t="str">
        <f>IFERROR(IF(OR($B87="",$B87="(blank)"),"",VLOOKUP($B87,'Email Marketing Raw Data'!$C:$O,4,0)),"")</f>
        <v/>
      </c>
      <c r="H87" s="55" t="str">
        <f>IFERROR(IF(OR($B87="",$B87="(blank)"),"",VLOOKUP($B87,'Email Marketing Raw Data'!$C:$O,5,0)),"")</f>
        <v/>
      </c>
      <c r="I87" s="55" t="str">
        <f>IFERROR(IF($G87="","",VLOOKUP('Dashboard And Emails Automate'!$G87,Database!$H:$N,3,0)),"")</f>
        <v/>
      </c>
      <c r="J87" s="55" t="str">
        <f>IFERROR(IF($G87="","",VLOOKUP('Dashboard And Emails Automate'!$G87,Database!$H:$N,4,0)),"")</f>
        <v/>
      </c>
      <c r="K87" s="55" t="str">
        <f>IFERROR(IF($G87="","",VLOOKUP('Dashboard And Emails Automate'!$G87,Database!$H:$N,5,0)),"")</f>
        <v/>
      </c>
      <c r="L87" s="55" t="str">
        <f>IFERROR(IF($G87="","",VLOOKUP('Dashboard And Emails Automate'!$G87,Database!$H:$N,6,0)),"")</f>
        <v/>
      </c>
      <c r="M87" s="55" t="str">
        <f>IFERROR(IF($G87="","",VLOOKUP('Dashboard And Emails Automate'!$G87,Database!$H:$N,7,0)),"")</f>
        <v/>
      </c>
      <c r="N87" s="55" t="str">
        <f>IFERROR(IF(OR($B87="",$B87="(blank)"),"",VLOOKUP($B87,'Email Marketing Raw Data'!$C:$O,6,0)),"")</f>
        <v/>
      </c>
      <c r="O87" s="55" t="str">
        <f>IFERROR(IF(OR($B87="",$B87="(blank)"),"",VLOOKUP($B87,'Email Marketing Raw Data'!$C:$O,7,0)),"")</f>
        <v/>
      </c>
      <c r="P87" s="55" t="str">
        <f>IFERROR(IF(OR($B87="",$B87="(blank)"),"",VLOOKUP($B87,'Email Marketing Raw Data'!$C:$O,8,0)),"")</f>
        <v/>
      </c>
      <c r="Q87" s="62" t="str">
        <f>IFERROR(IF(OR($B87="",$B87="(blank)"),"",VLOOKUP($B87,'Email Marketing Raw Data'!$C:$O,9,0)),"")</f>
        <v/>
      </c>
    </row>
    <row r="88" spans="4:17" ht="12.75" customHeight="1" x14ac:dyDescent="0.2">
      <c r="D88" s="58" t="str">
        <f>IFERROR(IF(F88&lt;&gt;"pending","",IF(OR($B88="",$B88="(blank)"),"",VLOOKUP($B88,'Email Marketing Raw Data'!$C:$O,10,0))),"")</f>
        <v/>
      </c>
      <c r="E88" s="59" t="str">
        <f>IFERROR(IF(F88&lt;&gt;"pending","",IF(OR($B88="",$B88="(blank)"),"",VLOOKUP($B88,'Email Marketing Raw Data'!$C:$O,11,0))),"")</f>
        <v/>
      </c>
      <c r="F88" s="54" t="str">
        <f>IFERROR(IF(OR($B88="",$B88="(blank)"),"",VLOOKUP($B88,'Email Marketing Raw Data'!$C:$O,13,0)),"")</f>
        <v/>
      </c>
      <c r="G88" s="55" t="str">
        <f>IFERROR(IF(OR($B88="",$B88="(blank)"),"",VLOOKUP($B88,'Email Marketing Raw Data'!$C:$O,4,0)),"")</f>
        <v/>
      </c>
      <c r="H88" s="55" t="str">
        <f>IFERROR(IF(OR($B88="",$B88="(blank)"),"",VLOOKUP($B88,'Email Marketing Raw Data'!$C:$O,5,0)),"")</f>
        <v/>
      </c>
      <c r="I88" s="55" t="str">
        <f>IFERROR(IF($G88="","",VLOOKUP('Dashboard And Emails Automate'!$G88,Database!$H:$N,3,0)),"")</f>
        <v/>
      </c>
      <c r="J88" s="55" t="str">
        <f>IFERROR(IF($G88="","",VLOOKUP('Dashboard And Emails Automate'!$G88,Database!$H:$N,4,0)),"")</f>
        <v/>
      </c>
      <c r="K88" s="55" t="str">
        <f>IFERROR(IF($G88="","",VLOOKUP('Dashboard And Emails Automate'!$G88,Database!$H:$N,5,0)),"")</f>
        <v/>
      </c>
      <c r="L88" s="55" t="str">
        <f>IFERROR(IF($G88="","",VLOOKUP('Dashboard And Emails Automate'!$G88,Database!$H:$N,6,0)),"")</f>
        <v/>
      </c>
      <c r="M88" s="55" t="str">
        <f>IFERROR(IF($G88="","",VLOOKUP('Dashboard And Emails Automate'!$G88,Database!$H:$N,7,0)),"")</f>
        <v/>
      </c>
      <c r="N88" s="55" t="str">
        <f>IFERROR(IF(OR($B88="",$B88="(blank)"),"",VLOOKUP($B88,'Email Marketing Raw Data'!$C:$O,6,0)),"")</f>
        <v/>
      </c>
      <c r="O88" s="55" t="str">
        <f>IFERROR(IF(OR($B88="",$B88="(blank)"),"",VLOOKUP($B88,'Email Marketing Raw Data'!$C:$O,7,0)),"")</f>
        <v/>
      </c>
      <c r="P88" s="55" t="str">
        <f>IFERROR(IF(OR($B88="",$B88="(blank)"),"",VLOOKUP($B88,'Email Marketing Raw Data'!$C:$O,8,0)),"")</f>
        <v/>
      </c>
      <c r="Q88" s="62" t="str">
        <f>IFERROR(IF(OR($B88="",$B88="(blank)"),"",VLOOKUP($B88,'Email Marketing Raw Data'!$C:$O,9,0)),"")</f>
        <v/>
      </c>
    </row>
    <row r="89" spans="4:17" ht="12.75" customHeight="1" x14ac:dyDescent="0.2">
      <c r="D89" s="58" t="str">
        <f>IFERROR(IF(F89&lt;&gt;"pending","",IF(OR($B89="",$B89="(blank)"),"",VLOOKUP($B89,'Email Marketing Raw Data'!$C:$O,10,0))),"")</f>
        <v/>
      </c>
      <c r="E89" s="59" t="str">
        <f>IFERROR(IF(F89&lt;&gt;"pending","",IF(OR($B89="",$B89="(blank)"),"",VLOOKUP($B89,'Email Marketing Raw Data'!$C:$O,11,0))),"")</f>
        <v/>
      </c>
      <c r="F89" s="54" t="str">
        <f>IFERROR(IF(OR($B89="",$B89="(blank)"),"",VLOOKUP($B89,'Email Marketing Raw Data'!$C:$O,13,0)),"")</f>
        <v/>
      </c>
      <c r="G89" s="55" t="str">
        <f>IFERROR(IF(OR($B89="",$B89="(blank)"),"",VLOOKUP($B89,'Email Marketing Raw Data'!$C:$O,4,0)),"")</f>
        <v/>
      </c>
      <c r="H89" s="55" t="str">
        <f>IFERROR(IF(OR($B89="",$B89="(blank)"),"",VLOOKUP($B89,'Email Marketing Raw Data'!$C:$O,5,0)),"")</f>
        <v/>
      </c>
      <c r="I89" s="55" t="str">
        <f>IFERROR(IF($G89="","",VLOOKUP('Dashboard And Emails Automate'!$G89,Database!$H:$N,3,0)),"")</f>
        <v/>
      </c>
      <c r="J89" s="55" t="str">
        <f>IFERROR(IF($G89="","",VLOOKUP('Dashboard And Emails Automate'!$G89,Database!$H:$N,4,0)),"")</f>
        <v/>
      </c>
      <c r="K89" s="55" t="str">
        <f>IFERROR(IF($G89="","",VLOOKUP('Dashboard And Emails Automate'!$G89,Database!$H:$N,5,0)),"")</f>
        <v/>
      </c>
      <c r="L89" s="55" t="str">
        <f>IFERROR(IF($G89="","",VLOOKUP('Dashboard And Emails Automate'!$G89,Database!$H:$N,6,0)),"")</f>
        <v/>
      </c>
      <c r="M89" s="55" t="str">
        <f>IFERROR(IF($G89="","",VLOOKUP('Dashboard And Emails Automate'!$G89,Database!$H:$N,7,0)),"")</f>
        <v/>
      </c>
      <c r="N89" s="55" t="str">
        <f>IFERROR(IF(OR($B89="",$B89="(blank)"),"",VLOOKUP($B89,'Email Marketing Raw Data'!$C:$O,6,0)),"")</f>
        <v/>
      </c>
      <c r="O89" s="55" t="str">
        <f>IFERROR(IF(OR($B89="",$B89="(blank)"),"",VLOOKUP($B89,'Email Marketing Raw Data'!$C:$O,7,0)),"")</f>
        <v/>
      </c>
      <c r="P89" s="55" t="str">
        <f>IFERROR(IF(OR($B89="",$B89="(blank)"),"",VLOOKUP($B89,'Email Marketing Raw Data'!$C:$O,8,0)),"")</f>
        <v/>
      </c>
      <c r="Q89" s="62" t="str">
        <f>IFERROR(IF(OR($B89="",$B89="(blank)"),"",VLOOKUP($B89,'Email Marketing Raw Data'!$C:$O,9,0)),"")</f>
        <v/>
      </c>
    </row>
    <row r="90" spans="4:17" ht="12.75" customHeight="1" x14ac:dyDescent="0.2">
      <c r="D90" s="58" t="str">
        <f>IFERROR(IF(F90&lt;&gt;"pending","",IF(OR($B90="",$B90="(blank)"),"",VLOOKUP($B90,'Email Marketing Raw Data'!$C:$O,10,0))),"")</f>
        <v/>
      </c>
      <c r="E90" s="59" t="str">
        <f>IFERROR(IF(F90&lt;&gt;"pending","",IF(OR($B90="",$B90="(blank)"),"",VLOOKUP($B90,'Email Marketing Raw Data'!$C:$O,11,0))),"")</f>
        <v/>
      </c>
      <c r="F90" s="54" t="str">
        <f>IFERROR(IF(OR($B90="",$B90="(blank)"),"",VLOOKUP($B90,'Email Marketing Raw Data'!$C:$O,13,0)),"")</f>
        <v/>
      </c>
      <c r="G90" s="55" t="str">
        <f>IFERROR(IF(OR($B90="",$B90="(blank)"),"",VLOOKUP($B90,'Email Marketing Raw Data'!$C:$O,4,0)),"")</f>
        <v/>
      </c>
      <c r="H90" s="55" t="str">
        <f>IFERROR(IF(OR($B90="",$B90="(blank)"),"",VLOOKUP($B90,'Email Marketing Raw Data'!$C:$O,5,0)),"")</f>
        <v/>
      </c>
      <c r="I90" s="55" t="str">
        <f>IFERROR(IF($G90="","",VLOOKUP('Dashboard And Emails Automate'!$G90,Database!$H:$N,3,0)),"")</f>
        <v/>
      </c>
      <c r="J90" s="55" t="str">
        <f>IFERROR(IF($G90="","",VLOOKUP('Dashboard And Emails Automate'!$G90,Database!$H:$N,4,0)),"")</f>
        <v/>
      </c>
      <c r="K90" s="55" t="str">
        <f>IFERROR(IF($G90="","",VLOOKUP('Dashboard And Emails Automate'!$G90,Database!$H:$N,5,0)),"")</f>
        <v/>
      </c>
      <c r="L90" s="55" t="str">
        <f>IFERROR(IF($G90="","",VLOOKUP('Dashboard And Emails Automate'!$G90,Database!$H:$N,6,0)),"")</f>
        <v/>
      </c>
      <c r="M90" s="55" t="str">
        <f>IFERROR(IF($G90="","",VLOOKUP('Dashboard And Emails Automate'!$G90,Database!$H:$N,7,0)),"")</f>
        <v/>
      </c>
      <c r="N90" s="55" t="str">
        <f>IFERROR(IF(OR($B90="",$B90="(blank)"),"",VLOOKUP($B90,'Email Marketing Raw Data'!$C:$O,6,0)),"")</f>
        <v/>
      </c>
      <c r="O90" s="55" t="str">
        <f>IFERROR(IF(OR($B90="",$B90="(blank)"),"",VLOOKUP($B90,'Email Marketing Raw Data'!$C:$O,7,0)),"")</f>
        <v/>
      </c>
      <c r="P90" s="55" t="str">
        <f>IFERROR(IF(OR($B90="",$B90="(blank)"),"",VLOOKUP($B90,'Email Marketing Raw Data'!$C:$O,8,0)),"")</f>
        <v/>
      </c>
      <c r="Q90" s="62" t="str">
        <f>IFERROR(IF(OR($B90="",$B90="(blank)"),"",VLOOKUP($B90,'Email Marketing Raw Data'!$C:$O,9,0)),"")</f>
        <v/>
      </c>
    </row>
    <row r="91" spans="4:17" ht="12.75" customHeight="1" x14ac:dyDescent="0.2">
      <c r="D91" s="58" t="str">
        <f>IFERROR(IF(F91&lt;&gt;"pending","",IF(OR($B91="",$B91="(blank)"),"",VLOOKUP($B91,'Email Marketing Raw Data'!$C:$O,10,0))),"")</f>
        <v/>
      </c>
      <c r="E91" s="59" t="str">
        <f>IFERROR(IF(F91&lt;&gt;"pending","",IF(OR($B91="",$B91="(blank)"),"",VLOOKUP($B91,'Email Marketing Raw Data'!$C:$O,11,0))),"")</f>
        <v/>
      </c>
      <c r="F91" s="54" t="str">
        <f>IFERROR(IF(OR($B91="",$B91="(blank)"),"",VLOOKUP($B91,'Email Marketing Raw Data'!$C:$O,13,0)),"")</f>
        <v/>
      </c>
      <c r="G91" s="55" t="str">
        <f>IFERROR(IF(OR($B91="",$B91="(blank)"),"",VLOOKUP($B91,'Email Marketing Raw Data'!$C:$O,4,0)),"")</f>
        <v/>
      </c>
      <c r="H91" s="55" t="str">
        <f>IFERROR(IF(OR($B91="",$B91="(blank)"),"",VLOOKUP($B91,'Email Marketing Raw Data'!$C:$O,5,0)),"")</f>
        <v/>
      </c>
      <c r="I91" s="55" t="str">
        <f>IFERROR(IF($G91="","",VLOOKUP('Dashboard And Emails Automate'!$G91,Database!$H:$N,3,0)),"")</f>
        <v/>
      </c>
      <c r="J91" s="55" t="str">
        <f>IFERROR(IF($G91="","",VLOOKUP('Dashboard And Emails Automate'!$G91,Database!$H:$N,4,0)),"")</f>
        <v/>
      </c>
      <c r="K91" s="55" t="str">
        <f>IFERROR(IF($G91="","",VLOOKUP('Dashboard And Emails Automate'!$G91,Database!$H:$N,5,0)),"")</f>
        <v/>
      </c>
      <c r="L91" s="55" t="str">
        <f>IFERROR(IF($G91="","",VLOOKUP('Dashboard And Emails Automate'!$G91,Database!$H:$N,6,0)),"")</f>
        <v/>
      </c>
      <c r="M91" s="55" t="str">
        <f>IFERROR(IF($G91="","",VLOOKUP('Dashboard And Emails Automate'!$G91,Database!$H:$N,7,0)),"")</f>
        <v/>
      </c>
      <c r="N91" s="55" t="str">
        <f>IFERROR(IF(OR($B91="",$B91="(blank)"),"",VLOOKUP($B91,'Email Marketing Raw Data'!$C:$O,6,0)),"")</f>
        <v/>
      </c>
      <c r="O91" s="55" t="str">
        <f>IFERROR(IF(OR($B91="",$B91="(blank)"),"",VLOOKUP($B91,'Email Marketing Raw Data'!$C:$O,7,0)),"")</f>
        <v/>
      </c>
      <c r="P91" s="55" t="str">
        <f>IFERROR(IF(OR($B91="",$B91="(blank)"),"",VLOOKUP($B91,'Email Marketing Raw Data'!$C:$O,8,0)),"")</f>
        <v/>
      </c>
      <c r="Q91" s="62" t="str">
        <f>IFERROR(IF(OR($B91="",$B91="(blank)"),"",VLOOKUP($B91,'Email Marketing Raw Data'!$C:$O,9,0)),"")</f>
        <v/>
      </c>
    </row>
    <row r="92" spans="4:17" ht="12.75" customHeight="1" x14ac:dyDescent="0.2">
      <c r="D92" s="58" t="str">
        <f>IFERROR(IF(F92&lt;&gt;"pending","",IF(OR($B92="",$B92="(blank)"),"",VLOOKUP($B92,'Email Marketing Raw Data'!$C:$O,10,0))),"")</f>
        <v/>
      </c>
      <c r="E92" s="59" t="str">
        <f>IFERROR(IF(F92&lt;&gt;"pending","",IF(OR($B92="",$B92="(blank)"),"",VLOOKUP($B92,'Email Marketing Raw Data'!$C:$O,11,0))),"")</f>
        <v/>
      </c>
      <c r="F92" s="54" t="str">
        <f>IFERROR(IF(OR($B92="",$B92="(blank)"),"",VLOOKUP($B92,'Email Marketing Raw Data'!$C:$O,13,0)),"")</f>
        <v/>
      </c>
      <c r="G92" s="55" t="str">
        <f>IFERROR(IF(OR($B92="",$B92="(blank)"),"",VLOOKUP($B92,'Email Marketing Raw Data'!$C:$O,4,0)),"")</f>
        <v/>
      </c>
      <c r="H92" s="55" t="str">
        <f>IFERROR(IF(OR($B92="",$B92="(blank)"),"",VLOOKUP($B92,'Email Marketing Raw Data'!$C:$O,5,0)),"")</f>
        <v/>
      </c>
      <c r="I92" s="55" t="str">
        <f>IFERROR(IF($G92="","",VLOOKUP('Dashboard And Emails Automate'!$G92,Database!$H:$N,3,0)),"")</f>
        <v/>
      </c>
      <c r="J92" s="55" t="str">
        <f>IFERROR(IF($G92="","",VLOOKUP('Dashboard And Emails Automate'!$G92,Database!$H:$N,4,0)),"")</f>
        <v/>
      </c>
      <c r="K92" s="55" t="str">
        <f>IFERROR(IF($G92="","",VLOOKUP('Dashboard And Emails Automate'!$G92,Database!$H:$N,5,0)),"")</f>
        <v/>
      </c>
      <c r="L92" s="55" t="str">
        <f>IFERROR(IF($G92="","",VLOOKUP('Dashboard And Emails Automate'!$G92,Database!$H:$N,6,0)),"")</f>
        <v/>
      </c>
      <c r="M92" s="55" t="str">
        <f>IFERROR(IF($G92="","",VLOOKUP('Dashboard And Emails Automate'!$G92,Database!$H:$N,7,0)),"")</f>
        <v/>
      </c>
      <c r="N92" s="55" t="str">
        <f>IFERROR(IF(OR($B92="",$B92="(blank)"),"",VLOOKUP($B92,'Email Marketing Raw Data'!$C:$O,6,0)),"")</f>
        <v/>
      </c>
      <c r="O92" s="55" t="str">
        <f>IFERROR(IF(OR($B92="",$B92="(blank)"),"",VLOOKUP($B92,'Email Marketing Raw Data'!$C:$O,7,0)),"")</f>
        <v/>
      </c>
      <c r="P92" s="55" t="str">
        <f>IFERROR(IF(OR($B92="",$B92="(blank)"),"",VLOOKUP($B92,'Email Marketing Raw Data'!$C:$O,8,0)),"")</f>
        <v/>
      </c>
      <c r="Q92" s="62" t="str">
        <f>IFERROR(IF(OR($B92="",$B92="(blank)"),"",VLOOKUP($B92,'Email Marketing Raw Data'!$C:$O,9,0)),"")</f>
        <v/>
      </c>
    </row>
    <row r="93" spans="4:17" ht="12.75" customHeight="1" x14ac:dyDescent="0.2">
      <c r="D93" s="58" t="str">
        <f>IFERROR(IF(F93&lt;&gt;"pending","",IF(OR($B93="",$B93="(blank)"),"",VLOOKUP($B93,'Email Marketing Raw Data'!$C:$O,10,0))),"")</f>
        <v/>
      </c>
      <c r="E93" s="59" t="str">
        <f>IFERROR(IF(F93&lt;&gt;"pending","",IF(OR($B93="",$B93="(blank)"),"",VLOOKUP($B93,'Email Marketing Raw Data'!$C:$O,11,0))),"")</f>
        <v/>
      </c>
      <c r="F93" s="54" t="str">
        <f>IFERROR(IF(OR($B93="",$B93="(blank)"),"",VLOOKUP($B93,'Email Marketing Raw Data'!$C:$O,13,0)),"")</f>
        <v/>
      </c>
      <c r="G93" s="55" t="str">
        <f>IFERROR(IF(OR($B93="",$B93="(blank)"),"",VLOOKUP($B93,'Email Marketing Raw Data'!$C:$O,4,0)),"")</f>
        <v/>
      </c>
      <c r="H93" s="55" t="str">
        <f>IFERROR(IF(OR($B93="",$B93="(blank)"),"",VLOOKUP($B93,'Email Marketing Raw Data'!$C:$O,5,0)),"")</f>
        <v/>
      </c>
      <c r="I93" s="55" t="str">
        <f>IFERROR(IF($G93="","",VLOOKUP('Dashboard And Emails Automate'!$G93,Database!$H:$N,3,0)),"")</f>
        <v/>
      </c>
      <c r="J93" s="55" t="str">
        <f>IFERROR(IF($G93="","",VLOOKUP('Dashboard And Emails Automate'!$G93,Database!$H:$N,4,0)),"")</f>
        <v/>
      </c>
      <c r="K93" s="55" t="str">
        <f>IFERROR(IF($G93="","",VLOOKUP('Dashboard And Emails Automate'!$G93,Database!$H:$N,5,0)),"")</f>
        <v/>
      </c>
      <c r="L93" s="55" t="str">
        <f>IFERROR(IF($G93="","",VLOOKUP('Dashboard And Emails Automate'!$G93,Database!$H:$N,6,0)),"")</f>
        <v/>
      </c>
      <c r="M93" s="55" t="str">
        <f>IFERROR(IF($G93="","",VLOOKUP('Dashboard And Emails Automate'!$G93,Database!$H:$N,7,0)),"")</f>
        <v/>
      </c>
      <c r="N93" s="55" t="str">
        <f>IFERROR(IF(OR($B93="",$B93="(blank)"),"",VLOOKUP($B93,'Email Marketing Raw Data'!$C:$O,6,0)),"")</f>
        <v/>
      </c>
      <c r="O93" s="55" t="str">
        <f>IFERROR(IF(OR($B93="",$B93="(blank)"),"",VLOOKUP($B93,'Email Marketing Raw Data'!$C:$O,7,0)),"")</f>
        <v/>
      </c>
      <c r="P93" s="55" t="str">
        <f>IFERROR(IF(OR($B93="",$B93="(blank)"),"",VLOOKUP($B93,'Email Marketing Raw Data'!$C:$O,8,0)),"")</f>
        <v/>
      </c>
      <c r="Q93" s="62" t="str">
        <f>IFERROR(IF(OR($B93="",$B93="(blank)"),"",VLOOKUP($B93,'Email Marketing Raw Data'!$C:$O,9,0)),"")</f>
        <v/>
      </c>
    </row>
    <row r="94" spans="4:17" ht="12.75" customHeight="1" x14ac:dyDescent="0.2">
      <c r="D94" s="58" t="str">
        <f>IFERROR(IF(F94&lt;&gt;"pending","",IF(OR($B94="",$B94="(blank)"),"",VLOOKUP($B94,'Email Marketing Raw Data'!$C:$O,10,0))),"")</f>
        <v/>
      </c>
      <c r="E94" s="59" t="str">
        <f>IFERROR(IF(F94&lt;&gt;"pending","",IF(OR($B94="",$B94="(blank)"),"",VLOOKUP($B94,'Email Marketing Raw Data'!$C:$O,11,0))),"")</f>
        <v/>
      </c>
      <c r="F94" s="54" t="str">
        <f>IFERROR(IF(OR($B94="",$B94="(blank)"),"",VLOOKUP($B94,'Email Marketing Raw Data'!$C:$O,13,0)),"")</f>
        <v/>
      </c>
      <c r="G94" s="55" t="str">
        <f>IFERROR(IF(OR($B94="",$B94="(blank)"),"",VLOOKUP($B94,'Email Marketing Raw Data'!$C:$O,4,0)),"")</f>
        <v/>
      </c>
      <c r="H94" s="55" t="str">
        <f>IFERROR(IF(OR($B94="",$B94="(blank)"),"",VLOOKUP($B94,'Email Marketing Raw Data'!$C:$O,5,0)),"")</f>
        <v/>
      </c>
      <c r="I94" s="55" t="str">
        <f>IFERROR(IF($G94="","",VLOOKUP('Dashboard And Emails Automate'!$G94,Database!$H:$N,3,0)),"")</f>
        <v/>
      </c>
      <c r="J94" s="55" t="str">
        <f>IFERROR(IF($G94="","",VLOOKUP('Dashboard And Emails Automate'!$G94,Database!$H:$N,4,0)),"")</f>
        <v/>
      </c>
      <c r="K94" s="55" t="str">
        <f>IFERROR(IF($G94="","",VLOOKUP('Dashboard And Emails Automate'!$G94,Database!$H:$N,5,0)),"")</f>
        <v/>
      </c>
      <c r="L94" s="55" t="str">
        <f>IFERROR(IF($G94="","",VLOOKUP('Dashboard And Emails Automate'!$G94,Database!$H:$N,6,0)),"")</f>
        <v/>
      </c>
      <c r="M94" s="55" t="str">
        <f>IFERROR(IF($G94="","",VLOOKUP('Dashboard And Emails Automate'!$G94,Database!$H:$N,7,0)),"")</f>
        <v/>
      </c>
      <c r="N94" s="55" t="str">
        <f>IFERROR(IF(OR($B94="",$B94="(blank)"),"",VLOOKUP($B94,'Email Marketing Raw Data'!$C:$O,6,0)),"")</f>
        <v/>
      </c>
      <c r="O94" s="55" t="str">
        <f>IFERROR(IF(OR($B94="",$B94="(blank)"),"",VLOOKUP($B94,'Email Marketing Raw Data'!$C:$O,7,0)),"")</f>
        <v/>
      </c>
      <c r="P94" s="55" t="str">
        <f>IFERROR(IF(OR($B94="",$B94="(blank)"),"",VLOOKUP($B94,'Email Marketing Raw Data'!$C:$O,8,0)),"")</f>
        <v/>
      </c>
      <c r="Q94" s="62" t="str">
        <f>IFERROR(IF(OR($B94="",$B94="(blank)"),"",VLOOKUP($B94,'Email Marketing Raw Data'!$C:$O,9,0)),"")</f>
        <v/>
      </c>
    </row>
    <row r="95" spans="4:17" ht="12.75" customHeight="1" x14ac:dyDescent="0.2">
      <c r="D95" s="58" t="str">
        <f>IFERROR(IF(F95&lt;&gt;"pending","",IF(OR($B95="",$B95="(blank)"),"",VLOOKUP($B95,'Email Marketing Raw Data'!$C:$O,10,0))),"")</f>
        <v/>
      </c>
      <c r="E95" s="59" t="str">
        <f>IFERROR(IF(F95&lt;&gt;"pending","",IF(OR($B95="",$B95="(blank)"),"",VLOOKUP($B95,'Email Marketing Raw Data'!$C:$O,11,0))),"")</f>
        <v/>
      </c>
      <c r="F95" s="54" t="str">
        <f>IFERROR(IF(OR($B95="",$B95="(blank)"),"",VLOOKUP($B95,'Email Marketing Raw Data'!$C:$O,13,0)),"")</f>
        <v/>
      </c>
      <c r="G95" s="55" t="str">
        <f>IFERROR(IF(OR($B95="",$B95="(blank)"),"",VLOOKUP($B95,'Email Marketing Raw Data'!$C:$O,4,0)),"")</f>
        <v/>
      </c>
      <c r="H95" s="55" t="str">
        <f>IFERROR(IF(OR($B95="",$B95="(blank)"),"",VLOOKUP($B95,'Email Marketing Raw Data'!$C:$O,5,0)),"")</f>
        <v/>
      </c>
      <c r="I95" s="55" t="str">
        <f>IFERROR(IF($G95="","",VLOOKUP('Dashboard And Emails Automate'!$G95,Database!$H:$N,3,0)),"")</f>
        <v/>
      </c>
      <c r="J95" s="55" t="str">
        <f>IFERROR(IF($G95="","",VLOOKUP('Dashboard And Emails Automate'!$G95,Database!$H:$N,4,0)),"")</f>
        <v/>
      </c>
      <c r="K95" s="55" t="str">
        <f>IFERROR(IF($G95="","",VLOOKUP('Dashboard And Emails Automate'!$G95,Database!$H:$N,5,0)),"")</f>
        <v/>
      </c>
      <c r="L95" s="55" t="str">
        <f>IFERROR(IF($G95="","",VLOOKUP('Dashboard And Emails Automate'!$G95,Database!$H:$N,6,0)),"")</f>
        <v/>
      </c>
      <c r="M95" s="55" t="str">
        <f>IFERROR(IF($G95="","",VLOOKUP('Dashboard And Emails Automate'!$G95,Database!$H:$N,7,0)),"")</f>
        <v/>
      </c>
      <c r="N95" s="55" t="str">
        <f>IFERROR(IF(OR($B95="",$B95="(blank)"),"",VLOOKUP($B95,'Email Marketing Raw Data'!$C:$O,6,0)),"")</f>
        <v/>
      </c>
      <c r="O95" s="55" t="str">
        <f>IFERROR(IF(OR($B95="",$B95="(blank)"),"",VLOOKUP($B95,'Email Marketing Raw Data'!$C:$O,7,0)),"")</f>
        <v/>
      </c>
      <c r="P95" s="55" t="str">
        <f>IFERROR(IF(OR($B95="",$B95="(blank)"),"",VLOOKUP($B95,'Email Marketing Raw Data'!$C:$O,8,0)),"")</f>
        <v/>
      </c>
      <c r="Q95" s="62" t="str">
        <f>IFERROR(IF(OR($B95="",$B95="(blank)"),"",VLOOKUP($B95,'Email Marketing Raw Data'!$C:$O,9,0)),"")</f>
        <v/>
      </c>
    </row>
    <row r="96" spans="4:17" ht="12.75" customHeight="1" x14ac:dyDescent="0.2">
      <c r="D96" s="58" t="str">
        <f>IFERROR(IF(F96&lt;&gt;"pending","",IF(OR($B96="",$B96="(blank)"),"",VLOOKUP($B96,'Email Marketing Raw Data'!$C:$O,10,0))),"")</f>
        <v/>
      </c>
      <c r="E96" s="59" t="str">
        <f>IFERROR(IF(F96&lt;&gt;"pending","",IF(OR($B96="",$B96="(blank)"),"",VLOOKUP($B96,'Email Marketing Raw Data'!$C:$O,11,0))),"")</f>
        <v/>
      </c>
      <c r="F96" s="54" t="str">
        <f>IFERROR(IF(OR($B96="",$B96="(blank)"),"",VLOOKUP($B96,'Email Marketing Raw Data'!$C:$O,13,0)),"")</f>
        <v/>
      </c>
      <c r="G96" s="55" t="str">
        <f>IFERROR(IF(OR($B96="",$B96="(blank)"),"",VLOOKUP($B96,'Email Marketing Raw Data'!$C:$O,4,0)),"")</f>
        <v/>
      </c>
      <c r="H96" s="55" t="str">
        <f>IFERROR(IF(OR($B96="",$B96="(blank)"),"",VLOOKUP($B96,'Email Marketing Raw Data'!$C:$O,5,0)),"")</f>
        <v/>
      </c>
      <c r="I96" s="55" t="str">
        <f>IFERROR(IF($G96="","",VLOOKUP('Dashboard And Emails Automate'!$G96,Database!$H:$N,3,0)),"")</f>
        <v/>
      </c>
      <c r="J96" s="55" t="str">
        <f>IFERROR(IF($G96="","",VLOOKUP('Dashboard And Emails Automate'!$G96,Database!$H:$N,4,0)),"")</f>
        <v/>
      </c>
      <c r="K96" s="55" t="str">
        <f>IFERROR(IF($G96="","",VLOOKUP('Dashboard And Emails Automate'!$G96,Database!$H:$N,5,0)),"")</f>
        <v/>
      </c>
      <c r="L96" s="55" t="str">
        <f>IFERROR(IF($G96="","",VLOOKUP('Dashboard And Emails Automate'!$G96,Database!$H:$N,6,0)),"")</f>
        <v/>
      </c>
      <c r="M96" s="55" t="str">
        <f>IFERROR(IF($G96="","",VLOOKUP('Dashboard And Emails Automate'!$G96,Database!$H:$N,7,0)),"")</f>
        <v/>
      </c>
      <c r="N96" s="55" t="str">
        <f>IFERROR(IF(OR($B96="",$B96="(blank)"),"",VLOOKUP($B96,'Email Marketing Raw Data'!$C:$O,6,0)),"")</f>
        <v/>
      </c>
      <c r="O96" s="55" t="str">
        <f>IFERROR(IF(OR($B96="",$B96="(blank)"),"",VLOOKUP($B96,'Email Marketing Raw Data'!$C:$O,7,0)),"")</f>
        <v/>
      </c>
      <c r="P96" s="55" t="str">
        <f>IFERROR(IF(OR($B96="",$B96="(blank)"),"",VLOOKUP($B96,'Email Marketing Raw Data'!$C:$O,8,0)),"")</f>
        <v/>
      </c>
      <c r="Q96" s="62" t="str">
        <f>IFERROR(IF(OR($B96="",$B96="(blank)"),"",VLOOKUP($B96,'Email Marketing Raw Data'!$C:$O,9,0)),"")</f>
        <v/>
      </c>
    </row>
    <row r="97" spans="4:17" ht="12.75" customHeight="1" x14ac:dyDescent="0.2">
      <c r="D97" s="58" t="str">
        <f>IFERROR(IF(F97&lt;&gt;"pending","",IF(OR($B97="",$B97="(blank)"),"",VLOOKUP($B97,'Email Marketing Raw Data'!$C:$O,10,0))),"")</f>
        <v/>
      </c>
      <c r="E97" s="59" t="str">
        <f>IFERROR(IF(F97&lt;&gt;"pending","",IF(OR($B97="",$B97="(blank)"),"",VLOOKUP($B97,'Email Marketing Raw Data'!$C:$O,11,0))),"")</f>
        <v/>
      </c>
      <c r="F97" s="54" t="str">
        <f>IFERROR(IF(OR($B97="",$B97="(blank)"),"",VLOOKUP($B97,'Email Marketing Raw Data'!$C:$O,13,0)),"")</f>
        <v/>
      </c>
      <c r="G97" s="55" t="str">
        <f>IFERROR(IF(OR($B97="",$B97="(blank)"),"",VLOOKUP($B97,'Email Marketing Raw Data'!$C:$O,4,0)),"")</f>
        <v/>
      </c>
      <c r="H97" s="55" t="str">
        <f>IFERROR(IF(OR($B97="",$B97="(blank)"),"",VLOOKUP($B97,'Email Marketing Raw Data'!$C:$O,5,0)),"")</f>
        <v/>
      </c>
      <c r="I97" s="55" t="str">
        <f>IFERROR(IF($G97="","",VLOOKUP('Dashboard And Emails Automate'!$G97,Database!$H:$N,3,0)),"")</f>
        <v/>
      </c>
      <c r="J97" s="55" t="str">
        <f>IFERROR(IF($G97="","",VLOOKUP('Dashboard And Emails Automate'!$G97,Database!$H:$N,4,0)),"")</f>
        <v/>
      </c>
      <c r="K97" s="55" t="str">
        <f>IFERROR(IF($G97="","",VLOOKUP('Dashboard And Emails Automate'!$G97,Database!$H:$N,5,0)),"")</f>
        <v/>
      </c>
      <c r="L97" s="55" t="str">
        <f>IFERROR(IF($G97="","",VLOOKUP('Dashboard And Emails Automate'!$G97,Database!$H:$N,6,0)),"")</f>
        <v/>
      </c>
      <c r="M97" s="55" t="str">
        <f>IFERROR(IF($G97="","",VLOOKUP('Dashboard And Emails Automate'!$G97,Database!$H:$N,7,0)),"")</f>
        <v/>
      </c>
      <c r="N97" s="55" t="str">
        <f>IFERROR(IF(OR($B97="",$B97="(blank)"),"",VLOOKUP($B97,'Email Marketing Raw Data'!$C:$O,6,0)),"")</f>
        <v/>
      </c>
      <c r="O97" s="55" t="str">
        <f>IFERROR(IF(OR($B97="",$B97="(blank)"),"",VLOOKUP($B97,'Email Marketing Raw Data'!$C:$O,7,0)),"")</f>
        <v/>
      </c>
      <c r="P97" s="55" t="str">
        <f>IFERROR(IF(OR($B97="",$B97="(blank)"),"",VLOOKUP($B97,'Email Marketing Raw Data'!$C:$O,8,0)),"")</f>
        <v/>
      </c>
      <c r="Q97" s="62" t="str">
        <f>IFERROR(IF(OR($B97="",$B97="(blank)"),"",VLOOKUP($B97,'Email Marketing Raw Data'!$C:$O,9,0)),"")</f>
        <v/>
      </c>
    </row>
    <row r="98" spans="4:17" ht="12.75" customHeight="1" x14ac:dyDescent="0.2">
      <c r="D98" s="58" t="str">
        <f>IFERROR(IF(F98&lt;&gt;"pending","",IF(OR($B98="",$B98="(blank)"),"",VLOOKUP($B98,'Email Marketing Raw Data'!$C:$O,10,0))),"")</f>
        <v/>
      </c>
      <c r="E98" s="59" t="str">
        <f>IFERROR(IF(F98&lt;&gt;"pending","",IF(OR($B98="",$B98="(blank)"),"",VLOOKUP($B98,'Email Marketing Raw Data'!$C:$O,11,0))),"")</f>
        <v/>
      </c>
      <c r="F98" s="54" t="str">
        <f>IFERROR(IF(OR($B98="",$B98="(blank)"),"",VLOOKUP($B98,'Email Marketing Raw Data'!$C:$O,13,0)),"")</f>
        <v/>
      </c>
      <c r="G98" s="55" t="str">
        <f>IFERROR(IF(OR($B98="",$B98="(blank)"),"",VLOOKUP($B98,'Email Marketing Raw Data'!$C:$O,4,0)),"")</f>
        <v/>
      </c>
      <c r="H98" s="55" t="str">
        <f>IFERROR(IF(OR($B98="",$B98="(blank)"),"",VLOOKUP($B98,'Email Marketing Raw Data'!$C:$O,5,0)),"")</f>
        <v/>
      </c>
      <c r="I98" s="55" t="str">
        <f>IFERROR(IF($G98="","",VLOOKUP('Dashboard And Emails Automate'!$G98,Database!$H:$N,3,0)),"")</f>
        <v/>
      </c>
      <c r="J98" s="55" t="str">
        <f>IFERROR(IF($G98="","",VLOOKUP('Dashboard And Emails Automate'!$G98,Database!$H:$N,4,0)),"")</f>
        <v/>
      </c>
      <c r="K98" s="55" t="str">
        <f>IFERROR(IF($G98="","",VLOOKUP('Dashboard And Emails Automate'!$G98,Database!$H:$N,5,0)),"")</f>
        <v/>
      </c>
      <c r="L98" s="55" t="str">
        <f>IFERROR(IF($G98="","",VLOOKUP('Dashboard And Emails Automate'!$G98,Database!$H:$N,6,0)),"")</f>
        <v/>
      </c>
      <c r="M98" s="55" t="str">
        <f>IFERROR(IF($G98="","",VLOOKUP('Dashboard And Emails Automate'!$G98,Database!$H:$N,7,0)),"")</f>
        <v/>
      </c>
      <c r="N98" s="55" t="str">
        <f>IFERROR(IF(OR($B98="",$B98="(blank)"),"",VLOOKUP($B98,'Email Marketing Raw Data'!$C:$O,6,0)),"")</f>
        <v/>
      </c>
      <c r="O98" s="55" t="str">
        <f>IFERROR(IF(OR($B98="",$B98="(blank)"),"",VLOOKUP($B98,'Email Marketing Raw Data'!$C:$O,7,0)),"")</f>
        <v/>
      </c>
      <c r="P98" s="55" t="str">
        <f>IFERROR(IF(OR($B98="",$B98="(blank)"),"",VLOOKUP($B98,'Email Marketing Raw Data'!$C:$O,8,0)),"")</f>
        <v/>
      </c>
      <c r="Q98" s="62" t="str">
        <f>IFERROR(IF(OR($B98="",$B98="(blank)"),"",VLOOKUP($B98,'Email Marketing Raw Data'!$C:$O,9,0)),"")</f>
        <v/>
      </c>
    </row>
    <row r="99" spans="4:17" ht="12.75" customHeight="1" x14ac:dyDescent="0.2">
      <c r="D99" s="58" t="str">
        <f>IFERROR(IF(F99&lt;&gt;"pending","",IF(OR($B99="",$B99="(blank)"),"",VLOOKUP($B99,'Email Marketing Raw Data'!$C:$O,10,0))),"")</f>
        <v/>
      </c>
      <c r="E99" s="59" t="str">
        <f>IFERROR(IF(F99&lt;&gt;"pending","",IF(OR($B99="",$B99="(blank)"),"",VLOOKUP($B99,'Email Marketing Raw Data'!$C:$O,11,0))),"")</f>
        <v/>
      </c>
      <c r="F99" s="54" t="str">
        <f>IFERROR(IF(OR($B99="",$B99="(blank)"),"",VLOOKUP($B99,'Email Marketing Raw Data'!$C:$O,13,0)),"")</f>
        <v/>
      </c>
      <c r="G99" s="55" t="str">
        <f>IFERROR(IF(OR($B99="",$B99="(blank)"),"",VLOOKUP($B99,'Email Marketing Raw Data'!$C:$O,4,0)),"")</f>
        <v/>
      </c>
      <c r="H99" s="55" t="str">
        <f>IFERROR(IF(OR($B99="",$B99="(blank)"),"",VLOOKUP($B99,'Email Marketing Raw Data'!$C:$O,5,0)),"")</f>
        <v/>
      </c>
      <c r="I99" s="55" t="str">
        <f>IFERROR(IF($G99="","",VLOOKUP('Dashboard And Emails Automate'!$G99,Database!$H:$N,3,0)),"")</f>
        <v/>
      </c>
      <c r="J99" s="55" t="str">
        <f>IFERROR(IF($G99="","",VLOOKUP('Dashboard And Emails Automate'!$G99,Database!$H:$N,4,0)),"")</f>
        <v/>
      </c>
      <c r="K99" s="55" t="str">
        <f>IFERROR(IF($G99="","",VLOOKUP('Dashboard And Emails Automate'!$G99,Database!$H:$N,5,0)),"")</f>
        <v/>
      </c>
      <c r="L99" s="55" t="str">
        <f>IFERROR(IF($G99="","",VLOOKUP('Dashboard And Emails Automate'!$G99,Database!$H:$N,6,0)),"")</f>
        <v/>
      </c>
      <c r="M99" s="55" t="str">
        <f>IFERROR(IF($G99="","",VLOOKUP('Dashboard And Emails Automate'!$G99,Database!$H:$N,7,0)),"")</f>
        <v/>
      </c>
      <c r="N99" s="55" t="str">
        <f>IFERROR(IF(OR($B99="",$B99="(blank)"),"",VLOOKUP($B99,'Email Marketing Raw Data'!$C:$O,6,0)),"")</f>
        <v/>
      </c>
      <c r="O99" s="55" t="str">
        <f>IFERROR(IF(OR($B99="",$B99="(blank)"),"",VLOOKUP($B99,'Email Marketing Raw Data'!$C:$O,7,0)),"")</f>
        <v/>
      </c>
      <c r="P99" s="55" t="str">
        <f>IFERROR(IF(OR($B99="",$B99="(blank)"),"",VLOOKUP($B99,'Email Marketing Raw Data'!$C:$O,8,0)),"")</f>
        <v/>
      </c>
      <c r="Q99" s="62" t="str">
        <f>IFERROR(IF(OR($B99="",$B99="(blank)"),"",VLOOKUP($B99,'Email Marketing Raw Data'!$C:$O,9,0)),"")</f>
        <v/>
      </c>
    </row>
    <row r="100" spans="4:17" ht="12.75" customHeight="1" x14ac:dyDescent="0.2">
      <c r="D100" s="58" t="str">
        <f>IFERROR(IF(F100&lt;&gt;"pending","",IF(OR($B100="",$B100="(blank)"),"",VLOOKUP($B100,'Email Marketing Raw Data'!$C:$O,10,0))),"")</f>
        <v/>
      </c>
      <c r="E100" s="59" t="str">
        <f>IFERROR(IF(F100&lt;&gt;"pending","",IF(OR($B100="",$B100="(blank)"),"",VLOOKUP($B100,'Email Marketing Raw Data'!$C:$O,11,0))),"")</f>
        <v/>
      </c>
      <c r="F100" s="54" t="str">
        <f>IFERROR(IF(OR($B100="",$B100="(blank)"),"",VLOOKUP($B100,'Email Marketing Raw Data'!$C:$O,13,0)),"")</f>
        <v/>
      </c>
      <c r="G100" s="55" t="str">
        <f>IFERROR(IF(OR($B100="",$B100="(blank)"),"",VLOOKUP($B100,'Email Marketing Raw Data'!$C:$O,4,0)),"")</f>
        <v/>
      </c>
      <c r="H100" s="55" t="str">
        <f>IFERROR(IF(OR($B100="",$B100="(blank)"),"",VLOOKUP($B100,'Email Marketing Raw Data'!$C:$O,5,0)),"")</f>
        <v/>
      </c>
      <c r="I100" s="55" t="str">
        <f>IFERROR(IF($G100="","",VLOOKUP('Dashboard And Emails Automate'!$G100,Database!$H:$N,3,0)),"")</f>
        <v/>
      </c>
      <c r="J100" s="55" t="str">
        <f>IFERROR(IF($G100="","",VLOOKUP('Dashboard And Emails Automate'!$G100,Database!$H:$N,4,0)),"")</f>
        <v/>
      </c>
      <c r="K100" s="55" t="str">
        <f>IFERROR(IF($G100="","",VLOOKUP('Dashboard And Emails Automate'!$G100,Database!$H:$N,5,0)),"")</f>
        <v/>
      </c>
      <c r="L100" s="55" t="str">
        <f>IFERROR(IF($G100="","",VLOOKUP('Dashboard And Emails Automate'!$G100,Database!$H:$N,6,0)),"")</f>
        <v/>
      </c>
      <c r="M100" s="55" t="str">
        <f>IFERROR(IF($G100="","",VLOOKUP('Dashboard And Emails Automate'!$G100,Database!$H:$N,7,0)),"")</f>
        <v/>
      </c>
      <c r="N100" s="55" t="str">
        <f>IFERROR(IF(OR($B100="",$B100="(blank)"),"",VLOOKUP($B100,'Email Marketing Raw Data'!$C:$O,6,0)),"")</f>
        <v/>
      </c>
      <c r="O100" s="55" t="str">
        <f>IFERROR(IF(OR($B100="",$B100="(blank)"),"",VLOOKUP($B100,'Email Marketing Raw Data'!$C:$O,7,0)),"")</f>
        <v/>
      </c>
      <c r="P100" s="55" t="str">
        <f>IFERROR(IF(OR($B100="",$B100="(blank)"),"",VLOOKUP($B100,'Email Marketing Raw Data'!$C:$O,8,0)),"")</f>
        <v/>
      </c>
      <c r="Q100" s="62" t="str">
        <f>IFERROR(IF(OR($B100="",$B100="(blank)"),"",VLOOKUP($B100,'Email Marketing Raw Data'!$C:$O,9,0)),"")</f>
        <v/>
      </c>
    </row>
    <row r="101" spans="4:17" ht="12.75" customHeight="1" x14ac:dyDescent="0.2">
      <c r="D101" s="58" t="str">
        <f>IFERROR(IF(F101&lt;&gt;"pending","",IF(OR($B101="",$B101="(blank)"),"",VLOOKUP($B101,'Email Marketing Raw Data'!$C:$O,10,0))),"")</f>
        <v/>
      </c>
      <c r="E101" s="59" t="str">
        <f>IFERROR(IF(F101&lt;&gt;"pending","",IF(OR($B101="",$B101="(blank)"),"",VLOOKUP($B101,'Email Marketing Raw Data'!$C:$O,11,0))),"")</f>
        <v/>
      </c>
      <c r="F101" s="54" t="str">
        <f>IFERROR(IF(OR($B101="",$B101="(blank)"),"",VLOOKUP($B101,'Email Marketing Raw Data'!$C:$O,13,0)),"")</f>
        <v/>
      </c>
      <c r="G101" s="55" t="str">
        <f>IFERROR(IF(OR($B101="",$B101="(blank)"),"",VLOOKUP($B101,'Email Marketing Raw Data'!$C:$O,4,0)),"")</f>
        <v/>
      </c>
      <c r="H101" s="55" t="str">
        <f>IFERROR(IF(OR($B101="",$B101="(blank)"),"",VLOOKUP($B101,'Email Marketing Raw Data'!$C:$O,5,0)),"")</f>
        <v/>
      </c>
      <c r="I101" s="55" t="str">
        <f>IFERROR(IF($G101="","",VLOOKUP('Dashboard And Emails Automate'!$G101,Database!$H:$N,3,0)),"")</f>
        <v/>
      </c>
      <c r="J101" s="55" t="str">
        <f>IFERROR(IF($G101="","",VLOOKUP('Dashboard And Emails Automate'!$G101,Database!$H:$N,4,0)),"")</f>
        <v/>
      </c>
      <c r="K101" s="55" t="str">
        <f>IFERROR(IF($G101="","",VLOOKUP('Dashboard And Emails Automate'!$G101,Database!$H:$N,5,0)),"")</f>
        <v/>
      </c>
      <c r="L101" s="55" t="str">
        <f>IFERROR(IF($G101="","",VLOOKUP('Dashboard And Emails Automate'!$G101,Database!$H:$N,6,0)),"")</f>
        <v/>
      </c>
      <c r="M101" s="55" t="str">
        <f>IFERROR(IF($G101="","",VLOOKUP('Dashboard And Emails Automate'!$G101,Database!$H:$N,7,0)),"")</f>
        <v/>
      </c>
      <c r="N101" s="55" t="str">
        <f>IFERROR(IF(OR($B101="",$B101="(blank)"),"",VLOOKUP($B101,'Email Marketing Raw Data'!$C:$O,6,0)),"")</f>
        <v/>
      </c>
      <c r="O101" s="55" t="str">
        <f>IFERROR(IF(OR($B101="",$B101="(blank)"),"",VLOOKUP($B101,'Email Marketing Raw Data'!$C:$O,7,0)),"")</f>
        <v/>
      </c>
      <c r="P101" s="55" t="str">
        <f>IFERROR(IF(OR($B101="",$B101="(blank)"),"",VLOOKUP($B101,'Email Marketing Raw Data'!$C:$O,8,0)),"")</f>
        <v/>
      </c>
      <c r="Q101" s="62" t="str">
        <f>IFERROR(IF(OR($B101="",$B101="(blank)"),"",VLOOKUP($B101,'Email Marketing Raw Data'!$C:$O,9,0)),"")</f>
        <v/>
      </c>
    </row>
    <row r="102" spans="4:17" ht="12.75" customHeight="1" x14ac:dyDescent="0.2">
      <c r="D102" s="58" t="str">
        <f>IFERROR(IF(F102&lt;&gt;"pending","",IF(OR($B102="",$B102="(blank)"),"",VLOOKUP($B102,'Email Marketing Raw Data'!$C:$O,10,0))),"")</f>
        <v/>
      </c>
      <c r="E102" s="59" t="str">
        <f>IFERROR(IF(F102&lt;&gt;"pending","",IF(OR($B102="",$B102="(blank)"),"",VLOOKUP($B102,'Email Marketing Raw Data'!$C:$O,11,0))),"")</f>
        <v/>
      </c>
      <c r="F102" s="54" t="str">
        <f>IFERROR(IF(OR($B102="",$B102="(blank)"),"",VLOOKUP($B102,'Email Marketing Raw Data'!$C:$O,13,0)),"")</f>
        <v/>
      </c>
      <c r="G102" s="55" t="str">
        <f>IFERROR(IF(OR($B102="",$B102="(blank)"),"",VLOOKUP($B102,'Email Marketing Raw Data'!$C:$O,4,0)),"")</f>
        <v/>
      </c>
      <c r="H102" s="55" t="str">
        <f>IFERROR(IF(OR($B102="",$B102="(blank)"),"",VLOOKUP($B102,'Email Marketing Raw Data'!$C:$O,5,0)),"")</f>
        <v/>
      </c>
      <c r="I102" s="55" t="str">
        <f>IFERROR(IF($G102="","",VLOOKUP('Dashboard And Emails Automate'!$G102,Database!$H:$N,3,0)),"")</f>
        <v/>
      </c>
      <c r="J102" s="55" t="str">
        <f>IFERROR(IF($G102="","",VLOOKUP('Dashboard And Emails Automate'!$G102,Database!$H:$N,4,0)),"")</f>
        <v/>
      </c>
      <c r="K102" s="55" t="str">
        <f>IFERROR(IF($G102="","",VLOOKUP('Dashboard And Emails Automate'!$G102,Database!$H:$N,5,0)),"")</f>
        <v/>
      </c>
      <c r="L102" s="55" t="str">
        <f>IFERROR(IF($G102="","",VLOOKUP('Dashboard And Emails Automate'!$G102,Database!$H:$N,6,0)),"")</f>
        <v/>
      </c>
      <c r="M102" s="55" t="str">
        <f>IFERROR(IF($G102="","",VLOOKUP('Dashboard And Emails Automate'!$G102,Database!$H:$N,7,0)),"")</f>
        <v/>
      </c>
      <c r="N102" s="55" t="str">
        <f>IFERROR(IF(OR($B102="",$B102="(blank)"),"",VLOOKUP($B102,'Email Marketing Raw Data'!$C:$O,6,0)),"")</f>
        <v/>
      </c>
      <c r="O102" s="55" t="str">
        <f>IFERROR(IF(OR($B102="",$B102="(blank)"),"",VLOOKUP($B102,'Email Marketing Raw Data'!$C:$O,7,0)),"")</f>
        <v/>
      </c>
      <c r="P102" s="55" t="str">
        <f>IFERROR(IF(OR($B102="",$B102="(blank)"),"",VLOOKUP($B102,'Email Marketing Raw Data'!$C:$O,8,0)),"")</f>
        <v/>
      </c>
      <c r="Q102" s="62" t="str">
        <f>IFERROR(IF(OR($B102="",$B102="(blank)"),"",VLOOKUP($B102,'Email Marketing Raw Data'!$C:$O,9,0)),"")</f>
        <v/>
      </c>
    </row>
    <row r="103" spans="4:17" ht="12.75" customHeight="1" x14ac:dyDescent="0.2">
      <c r="D103" s="58" t="str">
        <f>IFERROR(IF(F103&lt;&gt;"pending","",IF(OR($B103="",$B103="(blank)"),"",VLOOKUP($B103,'Email Marketing Raw Data'!$C:$O,10,0))),"")</f>
        <v/>
      </c>
      <c r="E103" s="59" t="str">
        <f>IFERROR(IF(F103&lt;&gt;"pending","",IF(OR($B103="",$B103="(blank)"),"",VLOOKUP($B103,'Email Marketing Raw Data'!$C:$O,11,0))),"")</f>
        <v/>
      </c>
      <c r="F103" s="54" t="str">
        <f>IFERROR(IF(OR($B103="",$B103="(blank)"),"",VLOOKUP($B103,'Email Marketing Raw Data'!$C:$O,13,0)),"")</f>
        <v/>
      </c>
      <c r="G103" s="55" t="str">
        <f>IFERROR(IF(OR($B103="",$B103="(blank)"),"",VLOOKUP($B103,'Email Marketing Raw Data'!$C:$O,4,0)),"")</f>
        <v/>
      </c>
      <c r="H103" s="55" t="str">
        <f>IFERROR(IF(OR($B103="",$B103="(blank)"),"",VLOOKUP($B103,'Email Marketing Raw Data'!$C:$O,5,0)),"")</f>
        <v/>
      </c>
      <c r="I103" s="55" t="str">
        <f>IFERROR(IF($G103="","",VLOOKUP('Dashboard And Emails Automate'!$G103,Database!$H:$N,3,0)),"")</f>
        <v/>
      </c>
      <c r="J103" s="55" t="str">
        <f>IFERROR(IF($G103="","",VLOOKUP('Dashboard And Emails Automate'!$G103,Database!$H:$N,4,0)),"")</f>
        <v/>
      </c>
      <c r="K103" s="55" t="str">
        <f>IFERROR(IF($G103="","",VLOOKUP('Dashboard And Emails Automate'!$G103,Database!$H:$N,5,0)),"")</f>
        <v/>
      </c>
      <c r="L103" s="55" t="str">
        <f>IFERROR(IF($G103="","",VLOOKUP('Dashboard And Emails Automate'!$G103,Database!$H:$N,6,0)),"")</f>
        <v/>
      </c>
      <c r="M103" s="55" t="str">
        <f>IFERROR(IF($G103="","",VLOOKUP('Dashboard And Emails Automate'!$G103,Database!$H:$N,7,0)),"")</f>
        <v/>
      </c>
      <c r="N103" s="55" t="str">
        <f>IFERROR(IF(OR($B103="",$B103="(blank)"),"",VLOOKUP($B103,'Email Marketing Raw Data'!$C:$O,6,0)),"")</f>
        <v/>
      </c>
      <c r="O103" s="55" t="str">
        <f>IFERROR(IF(OR($B103="",$B103="(blank)"),"",VLOOKUP($B103,'Email Marketing Raw Data'!$C:$O,7,0)),"")</f>
        <v/>
      </c>
      <c r="P103" s="55" t="str">
        <f>IFERROR(IF(OR($B103="",$B103="(blank)"),"",VLOOKUP($B103,'Email Marketing Raw Data'!$C:$O,8,0)),"")</f>
        <v/>
      </c>
      <c r="Q103" s="62" t="str">
        <f>IFERROR(IF(OR($B103="",$B103="(blank)"),"",VLOOKUP($B103,'Email Marketing Raw Data'!$C:$O,9,0)),"")</f>
        <v/>
      </c>
    </row>
    <row r="104" spans="4:17" ht="12.75" customHeight="1" x14ac:dyDescent="0.2">
      <c r="D104" s="58" t="str">
        <f>IFERROR(IF(F104&lt;&gt;"pending","",IF(OR($B104="",$B104="(blank)"),"",VLOOKUP($B104,'Email Marketing Raw Data'!$C:$O,10,0))),"")</f>
        <v/>
      </c>
      <c r="E104" s="59" t="str">
        <f>IFERROR(IF(F104&lt;&gt;"pending","",IF(OR($B104="",$B104="(blank)"),"",VLOOKUP($B104,'Email Marketing Raw Data'!$C:$O,11,0))),"")</f>
        <v/>
      </c>
      <c r="F104" s="54" t="str">
        <f>IFERROR(IF(OR($B104="",$B104="(blank)"),"",VLOOKUP($B104,'Email Marketing Raw Data'!$C:$O,13,0)),"")</f>
        <v/>
      </c>
      <c r="G104" s="55" t="str">
        <f>IFERROR(IF(OR($B104="",$B104="(blank)"),"",VLOOKUP($B104,'Email Marketing Raw Data'!$C:$O,4,0)),"")</f>
        <v/>
      </c>
      <c r="H104" s="55" t="str">
        <f>IFERROR(IF(OR($B104="",$B104="(blank)"),"",VLOOKUP($B104,'Email Marketing Raw Data'!$C:$O,5,0)),"")</f>
        <v/>
      </c>
      <c r="I104" s="55" t="str">
        <f>IFERROR(IF($G104="","",VLOOKUP('Dashboard And Emails Automate'!$G104,Database!$H:$N,3,0)),"")</f>
        <v/>
      </c>
      <c r="J104" s="55" t="str">
        <f>IFERROR(IF($G104="","",VLOOKUP('Dashboard And Emails Automate'!$G104,Database!$H:$N,4,0)),"")</f>
        <v/>
      </c>
      <c r="K104" s="55" t="str">
        <f>IFERROR(IF($G104="","",VLOOKUP('Dashboard And Emails Automate'!$G104,Database!$H:$N,5,0)),"")</f>
        <v/>
      </c>
      <c r="L104" s="55" t="str">
        <f>IFERROR(IF($G104="","",VLOOKUP('Dashboard And Emails Automate'!$G104,Database!$H:$N,6,0)),"")</f>
        <v/>
      </c>
      <c r="M104" s="55" t="str">
        <f>IFERROR(IF($G104="","",VLOOKUP('Dashboard And Emails Automate'!$G104,Database!$H:$N,7,0)),"")</f>
        <v/>
      </c>
      <c r="N104" s="55" t="str">
        <f>IFERROR(IF(OR($B104="",$B104="(blank)"),"",VLOOKUP($B104,'Email Marketing Raw Data'!$C:$O,6,0)),"")</f>
        <v/>
      </c>
      <c r="O104" s="55" t="str">
        <f>IFERROR(IF(OR($B104="",$B104="(blank)"),"",VLOOKUP($B104,'Email Marketing Raw Data'!$C:$O,7,0)),"")</f>
        <v/>
      </c>
      <c r="P104" s="55" t="str">
        <f>IFERROR(IF(OR($B104="",$B104="(blank)"),"",VLOOKUP($B104,'Email Marketing Raw Data'!$C:$O,8,0)),"")</f>
        <v/>
      </c>
      <c r="Q104" s="62" t="str">
        <f>IFERROR(IF(OR($B104="",$B104="(blank)"),"",VLOOKUP($B104,'Email Marketing Raw Data'!$C:$O,9,0)),"")</f>
        <v/>
      </c>
    </row>
    <row r="105" spans="4:17" ht="12.75" customHeight="1" x14ac:dyDescent="0.2">
      <c r="D105" s="58" t="str">
        <f>IFERROR(IF(F105&lt;&gt;"pending","",IF(OR($B105="",$B105="(blank)"),"",VLOOKUP($B105,'Email Marketing Raw Data'!$C:$O,10,0))),"")</f>
        <v/>
      </c>
      <c r="E105" s="59" t="str">
        <f>IFERROR(IF(F105&lt;&gt;"pending","",IF(OR($B105="",$B105="(blank)"),"",VLOOKUP($B105,'Email Marketing Raw Data'!$C:$O,11,0))),"")</f>
        <v/>
      </c>
      <c r="F105" s="54" t="str">
        <f>IFERROR(IF(OR($B105="",$B105="(blank)"),"",VLOOKUP($B105,'Email Marketing Raw Data'!$C:$O,13,0)),"")</f>
        <v/>
      </c>
      <c r="G105" s="55" t="str">
        <f>IFERROR(IF(OR($B105="",$B105="(blank)"),"",VLOOKUP($B105,'Email Marketing Raw Data'!$C:$O,4,0)),"")</f>
        <v/>
      </c>
      <c r="H105" s="55" t="str">
        <f>IFERROR(IF(OR($B105="",$B105="(blank)"),"",VLOOKUP($B105,'Email Marketing Raw Data'!$C:$O,5,0)),"")</f>
        <v/>
      </c>
      <c r="I105" s="55" t="str">
        <f>IFERROR(IF($G105="","",VLOOKUP('Dashboard And Emails Automate'!$G105,Database!$H:$N,3,0)),"")</f>
        <v/>
      </c>
      <c r="J105" s="55" t="str">
        <f>IFERROR(IF($G105="","",VLOOKUP('Dashboard And Emails Automate'!$G105,Database!$H:$N,4,0)),"")</f>
        <v/>
      </c>
      <c r="K105" s="55" t="str">
        <f>IFERROR(IF($G105="","",VLOOKUP('Dashboard And Emails Automate'!$G105,Database!$H:$N,5,0)),"")</f>
        <v/>
      </c>
      <c r="L105" s="55" t="str">
        <f>IFERROR(IF($G105="","",VLOOKUP('Dashboard And Emails Automate'!$G105,Database!$H:$N,6,0)),"")</f>
        <v/>
      </c>
      <c r="M105" s="55" t="str">
        <f>IFERROR(IF($G105="","",VLOOKUP('Dashboard And Emails Automate'!$G105,Database!$H:$N,7,0)),"")</f>
        <v/>
      </c>
      <c r="N105" s="55" t="str">
        <f>IFERROR(IF(OR($B105="",$B105="(blank)"),"",VLOOKUP($B105,'Email Marketing Raw Data'!$C:$O,6,0)),"")</f>
        <v/>
      </c>
      <c r="O105" s="55" t="str">
        <f>IFERROR(IF(OR($B105="",$B105="(blank)"),"",VLOOKUP($B105,'Email Marketing Raw Data'!$C:$O,7,0)),"")</f>
        <v/>
      </c>
      <c r="P105" s="55" t="str">
        <f>IFERROR(IF(OR($B105="",$B105="(blank)"),"",VLOOKUP($B105,'Email Marketing Raw Data'!$C:$O,8,0)),"")</f>
        <v/>
      </c>
      <c r="Q105" s="62" t="str">
        <f>IFERROR(IF(OR($B105="",$B105="(blank)"),"",VLOOKUP($B105,'Email Marketing Raw Data'!$C:$O,9,0)),"")</f>
        <v/>
      </c>
    </row>
    <row r="106" spans="4:17" ht="12.75" customHeight="1" x14ac:dyDescent="0.2">
      <c r="D106" s="58" t="str">
        <f>IFERROR(IF(F106&lt;&gt;"pending","",IF(OR($B106="",$B106="(blank)"),"",VLOOKUP($B106,'Email Marketing Raw Data'!$C:$O,10,0))),"")</f>
        <v/>
      </c>
      <c r="E106" s="59" t="str">
        <f>IFERROR(IF(F106&lt;&gt;"pending","",IF(OR($B106="",$B106="(blank)"),"",VLOOKUP($B106,'Email Marketing Raw Data'!$C:$O,11,0))),"")</f>
        <v/>
      </c>
      <c r="F106" s="54" t="str">
        <f>IFERROR(IF(OR($B106="",$B106="(blank)"),"",VLOOKUP($B106,'Email Marketing Raw Data'!$C:$O,13,0)),"")</f>
        <v/>
      </c>
      <c r="G106" s="55" t="str">
        <f>IFERROR(IF(OR($B106="",$B106="(blank)"),"",VLOOKUP($B106,'Email Marketing Raw Data'!$C:$O,4,0)),"")</f>
        <v/>
      </c>
      <c r="H106" s="55" t="str">
        <f>IFERROR(IF(OR($B106="",$B106="(blank)"),"",VLOOKUP($B106,'Email Marketing Raw Data'!$C:$O,5,0)),"")</f>
        <v/>
      </c>
      <c r="I106" s="55" t="str">
        <f>IFERROR(IF($G106="","",VLOOKUP('Dashboard And Emails Automate'!$G106,Database!$H:$N,3,0)),"")</f>
        <v/>
      </c>
      <c r="J106" s="55" t="str">
        <f>IFERROR(IF($G106="","",VLOOKUP('Dashboard And Emails Automate'!$G106,Database!$H:$N,4,0)),"")</f>
        <v/>
      </c>
      <c r="K106" s="55" t="str">
        <f>IFERROR(IF($G106="","",VLOOKUP('Dashboard And Emails Automate'!$G106,Database!$H:$N,5,0)),"")</f>
        <v/>
      </c>
      <c r="L106" s="55" t="str">
        <f>IFERROR(IF($G106="","",VLOOKUP('Dashboard And Emails Automate'!$G106,Database!$H:$N,6,0)),"")</f>
        <v/>
      </c>
      <c r="M106" s="55" t="str">
        <f>IFERROR(IF($G106="","",VLOOKUP('Dashboard And Emails Automate'!$G106,Database!$H:$N,7,0)),"")</f>
        <v/>
      </c>
      <c r="N106" s="55" t="str">
        <f>IFERROR(IF(OR($B106="",$B106="(blank)"),"",VLOOKUP($B106,'Email Marketing Raw Data'!$C:$O,6,0)),"")</f>
        <v/>
      </c>
      <c r="O106" s="55" t="str">
        <f>IFERROR(IF(OR($B106="",$B106="(blank)"),"",VLOOKUP($B106,'Email Marketing Raw Data'!$C:$O,7,0)),"")</f>
        <v/>
      </c>
      <c r="P106" s="55" t="str">
        <f>IFERROR(IF(OR($B106="",$B106="(blank)"),"",VLOOKUP($B106,'Email Marketing Raw Data'!$C:$O,8,0)),"")</f>
        <v/>
      </c>
      <c r="Q106" s="62" t="str">
        <f>IFERROR(IF(OR($B106="",$B106="(blank)"),"",VLOOKUP($B106,'Email Marketing Raw Data'!$C:$O,9,0)),"")</f>
        <v/>
      </c>
    </row>
    <row r="107" spans="4:17" ht="12.75" customHeight="1" x14ac:dyDescent="0.2">
      <c r="D107" s="58" t="str">
        <f>IFERROR(IF(F107&lt;&gt;"pending","",IF(OR($B107="",$B107="(blank)"),"",VLOOKUP($B107,'Email Marketing Raw Data'!$C:$O,10,0))),"")</f>
        <v/>
      </c>
      <c r="E107" s="59" t="str">
        <f>IFERROR(IF(F107&lt;&gt;"pending","",IF(OR($B107="",$B107="(blank)"),"",VLOOKUP($B107,'Email Marketing Raw Data'!$C:$O,11,0))),"")</f>
        <v/>
      </c>
      <c r="F107" s="54" t="str">
        <f>IFERROR(IF(OR($B107="",$B107="(blank)"),"",VLOOKUP($B107,'Email Marketing Raw Data'!$C:$O,13,0)),"")</f>
        <v/>
      </c>
      <c r="G107" s="55" t="str">
        <f>IFERROR(IF(OR($B107="",$B107="(blank)"),"",VLOOKUP($B107,'Email Marketing Raw Data'!$C:$O,4,0)),"")</f>
        <v/>
      </c>
      <c r="H107" s="55" t="str">
        <f>IFERROR(IF(OR($B107="",$B107="(blank)"),"",VLOOKUP($B107,'Email Marketing Raw Data'!$C:$O,5,0)),"")</f>
        <v/>
      </c>
      <c r="I107" s="55" t="str">
        <f>IFERROR(IF($G107="","",VLOOKUP('Dashboard And Emails Automate'!$G107,Database!$H:$N,3,0)),"")</f>
        <v/>
      </c>
      <c r="J107" s="55" t="str">
        <f>IFERROR(IF($G107="","",VLOOKUP('Dashboard And Emails Automate'!$G107,Database!$H:$N,4,0)),"")</f>
        <v/>
      </c>
      <c r="K107" s="55" t="str">
        <f>IFERROR(IF($G107="","",VLOOKUP('Dashboard And Emails Automate'!$G107,Database!$H:$N,5,0)),"")</f>
        <v/>
      </c>
      <c r="L107" s="55" t="str">
        <f>IFERROR(IF($G107="","",VLOOKUP('Dashboard And Emails Automate'!$G107,Database!$H:$N,6,0)),"")</f>
        <v/>
      </c>
      <c r="M107" s="55" t="str">
        <f>IFERROR(IF($G107="","",VLOOKUP('Dashboard And Emails Automate'!$G107,Database!$H:$N,7,0)),"")</f>
        <v/>
      </c>
      <c r="N107" s="55" t="str">
        <f>IFERROR(IF(OR($B107="",$B107="(blank)"),"",VLOOKUP($B107,'Email Marketing Raw Data'!$C:$O,6,0)),"")</f>
        <v/>
      </c>
      <c r="O107" s="55" t="str">
        <f>IFERROR(IF(OR($B107="",$B107="(blank)"),"",VLOOKUP($B107,'Email Marketing Raw Data'!$C:$O,7,0)),"")</f>
        <v/>
      </c>
      <c r="P107" s="55" t="str">
        <f>IFERROR(IF(OR($B107="",$B107="(blank)"),"",VLOOKUP($B107,'Email Marketing Raw Data'!$C:$O,8,0)),"")</f>
        <v/>
      </c>
      <c r="Q107" s="62" t="str">
        <f>IFERROR(IF(OR($B107="",$B107="(blank)"),"",VLOOKUP($B107,'Email Marketing Raw Data'!$C:$O,9,0)),"")</f>
        <v/>
      </c>
    </row>
    <row r="108" spans="4:17" ht="12.75" customHeight="1" x14ac:dyDescent="0.2">
      <c r="D108" s="58" t="str">
        <f>IFERROR(IF(F108&lt;&gt;"pending","",IF(OR($B108="",$B108="(blank)"),"",VLOOKUP($B108,'Email Marketing Raw Data'!$C:$O,10,0))),"")</f>
        <v/>
      </c>
      <c r="E108" s="59" t="str">
        <f>IFERROR(IF(F108&lt;&gt;"pending","",IF(OR($B108="",$B108="(blank)"),"",VLOOKUP($B108,'Email Marketing Raw Data'!$C:$O,11,0))),"")</f>
        <v/>
      </c>
      <c r="F108" s="54" t="str">
        <f>IFERROR(IF(OR($B108="",$B108="(blank)"),"",VLOOKUP($B108,'Email Marketing Raw Data'!$C:$O,13,0)),"")</f>
        <v/>
      </c>
      <c r="G108" s="55" t="str">
        <f>IFERROR(IF(OR($B108="",$B108="(blank)"),"",VLOOKUP($B108,'Email Marketing Raw Data'!$C:$O,4,0)),"")</f>
        <v/>
      </c>
      <c r="H108" s="55" t="str">
        <f>IFERROR(IF(OR($B108="",$B108="(blank)"),"",VLOOKUP($B108,'Email Marketing Raw Data'!$C:$O,5,0)),"")</f>
        <v/>
      </c>
      <c r="I108" s="55" t="str">
        <f>IFERROR(IF($G108="","",VLOOKUP('Dashboard And Emails Automate'!$G108,Database!$H:$N,3,0)),"")</f>
        <v/>
      </c>
      <c r="J108" s="55" t="str">
        <f>IFERROR(IF($G108="","",VLOOKUP('Dashboard And Emails Automate'!$G108,Database!$H:$N,4,0)),"")</f>
        <v/>
      </c>
      <c r="K108" s="55" t="str">
        <f>IFERROR(IF($G108="","",VLOOKUP('Dashboard And Emails Automate'!$G108,Database!$H:$N,5,0)),"")</f>
        <v/>
      </c>
      <c r="L108" s="55" t="str">
        <f>IFERROR(IF($G108="","",VLOOKUP('Dashboard And Emails Automate'!$G108,Database!$H:$N,6,0)),"")</f>
        <v/>
      </c>
      <c r="M108" s="55" t="str">
        <f>IFERROR(IF($G108="","",VLOOKUP('Dashboard And Emails Automate'!$G108,Database!$H:$N,7,0)),"")</f>
        <v/>
      </c>
      <c r="N108" s="55" t="str">
        <f>IFERROR(IF(OR($B108="",$B108="(blank)"),"",VLOOKUP($B108,'Email Marketing Raw Data'!$C:$O,6,0)),"")</f>
        <v/>
      </c>
      <c r="O108" s="55" t="str">
        <f>IFERROR(IF(OR($B108="",$B108="(blank)"),"",VLOOKUP($B108,'Email Marketing Raw Data'!$C:$O,7,0)),"")</f>
        <v/>
      </c>
      <c r="P108" s="55" t="str">
        <f>IFERROR(IF(OR($B108="",$B108="(blank)"),"",VLOOKUP($B108,'Email Marketing Raw Data'!$C:$O,8,0)),"")</f>
        <v/>
      </c>
      <c r="Q108" s="62" t="str">
        <f>IFERROR(IF(OR($B108="",$B108="(blank)"),"",VLOOKUP($B108,'Email Marketing Raw Data'!$C:$O,9,0)),"")</f>
        <v/>
      </c>
    </row>
    <row r="109" spans="4:17" ht="12.75" customHeight="1" x14ac:dyDescent="0.2">
      <c r="D109" s="58" t="str">
        <f>IFERROR(IF(F109&lt;&gt;"pending","",IF(OR($B109="",$B109="(blank)"),"",VLOOKUP($B109,'Email Marketing Raw Data'!$C:$O,10,0))),"")</f>
        <v/>
      </c>
      <c r="E109" s="59" t="str">
        <f>IFERROR(IF(F109&lt;&gt;"pending","",IF(OR($B109="",$B109="(blank)"),"",VLOOKUP($B109,'Email Marketing Raw Data'!$C:$O,11,0))),"")</f>
        <v/>
      </c>
      <c r="F109" s="54" t="str">
        <f>IFERROR(IF(OR($B109="",$B109="(blank)"),"",VLOOKUP($B109,'Email Marketing Raw Data'!$C:$O,13,0)),"")</f>
        <v/>
      </c>
      <c r="G109" s="55" t="str">
        <f>IFERROR(IF(OR($B109="",$B109="(blank)"),"",VLOOKUP($B109,'Email Marketing Raw Data'!$C:$O,4,0)),"")</f>
        <v/>
      </c>
      <c r="H109" s="55" t="str">
        <f>IFERROR(IF(OR($B109="",$B109="(blank)"),"",VLOOKUP($B109,'Email Marketing Raw Data'!$C:$O,5,0)),"")</f>
        <v/>
      </c>
      <c r="I109" s="55" t="str">
        <f>IFERROR(IF($G109="","",VLOOKUP('Dashboard And Emails Automate'!$G109,Database!$H:$N,3,0)),"")</f>
        <v/>
      </c>
      <c r="J109" s="55" t="str">
        <f>IFERROR(IF($G109="","",VLOOKUP('Dashboard And Emails Automate'!$G109,Database!$H:$N,4,0)),"")</f>
        <v/>
      </c>
      <c r="K109" s="55" t="str">
        <f>IFERROR(IF($G109="","",VLOOKUP('Dashboard And Emails Automate'!$G109,Database!$H:$N,5,0)),"")</f>
        <v/>
      </c>
      <c r="L109" s="55" t="str">
        <f>IFERROR(IF($G109="","",VLOOKUP('Dashboard And Emails Automate'!$G109,Database!$H:$N,6,0)),"")</f>
        <v/>
      </c>
      <c r="M109" s="55" t="str">
        <f>IFERROR(IF($G109="","",VLOOKUP('Dashboard And Emails Automate'!$G109,Database!$H:$N,7,0)),"")</f>
        <v/>
      </c>
      <c r="N109" s="55" t="str">
        <f>IFERROR(IF(OR($B109="",$B109="(blank)"),"",VLOOKUP($B109,'Email Marketing Raw Data'!$C:$O,6,0)),"")</f>
        <v/>
      </c>
      <c r="O109" s="55" t="str">
        <f>IFERROR(IF(OR($B109="",$B109="(blank)"),"",VLOOKUP($B109,'Email Marketing Raw Data'!$C:$O,7,0)),"")</f>
        <v/>
      </c>
      <c r="P109" s="55" t="str">
        <f>IFERROR(IF(OR($B109="",$B109="(blank)"),"",VLOOKUP($B109,'Email Marketing Raw Data'!$C:$O,8,0)),"")</f>
        <v/>
      </c>
      <c r="Q109" s="62" t="str">
        <f>IFERROR(IF(OR($B109="",$B109="(blank)"),"",VLOOKUP($B109,'Email Marketing Raw Data'!$C:$O,9,0)),"")</f>
        <v/>
      </c>
    </row>
    <row r="110" spans="4:17" ht="12.75" customHeight="1" x14ac:dyDescent="0.2">
      <c r="D110" s="58" t="str">
        <f>IFERROR(IF(F110&lt;&gt;"pending","",IF(OR($B110="",$B110="(blank)"),"",VLOOKUP($B110,'Email Marketing Raw Data'!$C:$O,10,0))),"")</f>
        <v/>
      </c>
      <c r="E110" s="59" t="str">
        <f>IFERROR(IF(F110&lt;&gt;"pending","",IF(OR($B110="",$B110="(blank)"),"",VLOOKUP($B110,'Email Marketing Raw Data'!$C:$O,11,0))),"")</f>
        <v/>
      </c>
      <c r="F110" s="54" t="str">
        <f>IFERROR(IF(OR($B110="",$B110="(blank)"),"",VLOOKUP($B110,'Email Marketing Raw Data'!$C:$O,13,0)),"")</f>
        <v/>
      </c>
      <c r="G110" s="55" t="str">
        <f>IFERROR(IF(OR($B110="",$B110="(blank)"),"",VLOOKUP($B110,'Email Marketing Raw Data'!$C:$O,4,0)),"")</f>
        <v/>
      </c>
      <c r="H110" s="55" t="str">
        <f>IFERROR(IF(OR($B110="",$B110="(blank)"),"",VLOOKUP($B110,'Email Marketing Raw Data'!$C:$O,5,0)),"")</f>
        <v/>
      </c>
      <c r="I110" s="55" t="str">
        <f>IFERROR(IF($G110="","",VLOOKUP('Dashboard And Emails Automate'!$G110,Database!$H:$N,3,0)),"")</f>
        <v/>
      </c>
      <c r="J110" s="55" t="str">
        <f>IFERROR(IF($G110="","",VLOOKUP('Dashboard And Emails Automate'!$G110,Database!$H:$N,4,0)),"")</f>
        <v/>
      </c>
      <c r="K110" s="55" t="str">
        <f>IFERROR(IF($G110="","",VLOOKUP('Dashboard And Emails Automate'!$G110,Database!$H:$N,5,0)),"")</f>
        <v/>
      </c>
      <c r="L110" s="55" t="str">
        <f>IFERROR(IF($G110="","",VLOOKUP('Dashboard And Emails Automate'!$G110,Database!$H:$N,6,0)),"")</f>
        <v/>
      </c>
      <c r="M110" s="55" t="str">
        <f>IFERROR(IF($G110="","",VLOOKUP('Dashboard And Emails Automate'!$G110,Database!$H:$N,7,0)),"")</f>
        <v/>
      </c>
      <c r="N110" s="55" t="str">
        <f>IFERROR(IF(OR($B110="",$B110="(blank)"),"",VLOOKUP($B110,'Email Marketing Raw Data'!$C:$O,6,0)),"")</f>
        <v/>
      </c>
      <c r="O110" s="55" t="str">
        <f>IFERROR(IF(OR($B110="",$B110="(blank)"),"",VLOOKUP($B110,'Email Marketing Raw Data'!$C:$O,7,0)),"")</f>
        <v/>
      </c>
      <c r="P110" s="55" t="str">
        <f>IFERROR(IF(OR($B110="",$B110="(blank)"),"",VLOOKUP($B110,'Email Marketing Raw Data'!$C:$O,8,0)),"")</f>
        <v/>
      </c>
      <c r="Q110" s="62" t="str">
        <f>IFERROR(IF(OR($B110="",$B110="(blank)"),"",VLOOKUP($B110,'Email Marketing Raw Data'!$C:$O,9,0)),"")</f>
        <v/>
      </c>
    </row>
    <row r="111" spans="4:17" ht="12.75" customHeight="1" x14ac:dyDescent="0.2">
      <c r="D111" s="58" t="str">
        <f>IFERROR(IF(F111&lt;&gt;"pending","",IF(OR($B111="",$B111="(blank)"),"",VLOOKUP($B111,'Email Marketing Raw Data'!$C:$O,10,0))),"")</f>
        <v/>
      </c>
      <c r="E111" s="59" t="str">
        <f>IFERROR(IF(F111&lt;&gt;"pending","",IF(OR($B111="",$B111="(blank)"),"",VLOOKUP($B111,'Email Marketing Raw Data'!$C:$O,11,0))),"")</f>
        <v/>
      </c>
      <c r="F111" s="54" t="str">
        <f>IFERROR(IF(OR($B111="",$B111="(blank)"),"",VLOOKUP($B111,'Email Marketing Raw Data'!$C:$O,13,0)),"")</f>
        <v/>
      </c>
      <c r="G111" s="55" t="str">
        <f>IFERROR(IF(OR($B111="",$B111="(blank)"),"",VLOOKUP($B111,'Email Marketing Raw Data'!$C:$O,4,0)),"")</f>
        <v/>
      </c>
      <c r="H111" s="55" t="str">
        <f>IFERROR(IF(OR($B111="",$B111="(blank)"),"",VLOOKUP($B111,'Email Marketing Raw Data'!$C:$O,5,0)),"")</f>
        <v/>
      </c>
      <c r="I111" s="55" t="str">
        <f>IFERROR(IF($G111="","",VLOOKUP('Dashboard And Emails Automate'!$G111,Database!$H:$N,3,0)),"")</f>
        <v/>
      </c>
      <c r="J111" s="55" t="str">
        <f>IFERROR(IF($G111="","",VLOOKUP('Dashboard And Emails Automate'!$G111,Database!$H:$N,4,0)),"")</f>
        <v/>
      </c>
      <c r="K111" s="55" t="str">
        <f>IFERROR(IF($G111="","",VLOOKUP('Dashboard And Emails Automate'!$G111,Database!$H:$N,5,0)),"")</f>
        <v/>
      </c>
      <c r="L111" s="55" t="str">
        <f>IFERROR(IF($G111="","",VLOOKUP('Dashboard And Emails Automate'!$G111,Database!$H:$N,6,0)),"")</f>
        <v/>
      </c>
      <c r="M111" s="55" t="str">
        <f>IFERROR(IF($G111="","",VLOOKUP('Dashboard And Emails Automate'!$G111,Database!$H:$N,7,0)),"")</f>
        <v/>
      </c>
      <c r="N111" s="55" t="str">
        <f>IFERROR(IF(OR($B111="",$B111="(blank)"),"",VLOOKUP($B111,'Email Marketing Raw Data'!$C:$O,6,0)),"")</f>
        <v/>
      </c>
      <c r="O111" s="55" t="str">
        <f>IFERROR(IF(OR($B111="",$B111="(blank)"),"",VLOOKUP($B111,'Email Marketing Raw Data'!$C:$O,7,0)),"")</f>
        <v/>
      </c>
      <c r="P111" s="55" t="str">
        <f>IFERROR(IF(OR($B111="",$B111="(blank)"),"",VLOOKUP($B111,'Email Marketing Raw Data'!$C:$O,8,0)),"")</f>
        <v/>
      </c>
      <c r="Q111" s="62" t="str">
        <f>IFERROR(IF(OR($B111="",$B111="(blank)"),"",VLOOKUP($B111,'Email Marketing Raw Data'!$C:$O,9,0)),"")</f>
        <v/>
      </c>
    </row>
    <row r="112" spans="4:17" ht="12.75" customHeight="1" x14ac:dyDescent="0.2">
      <c r="D112" s="58" t="str">
        <f>IFERROR(IF(F112&lt;&gt;"pending","",IF(OR($B112="",$B112="(blank)"),"",VLOOKUP($B112,'Email Marketing Raw Data'!$C:$O,10,0))),"")</f>
        <v/>
      </c>
      <c r="E112" s="59" t="str">
        <f>IFERROR(IF(F112&lt;&gt;"pending","",IF(OR($B112="",$B112="(blank)"),"",VLOOKUP($B112,'Email Marketing Raw Data'!$C:$O,11,0))),"")</f>
        <v/>
      </c>
      <c r="F112" s="54" t="str">
        <f>IFERROR(IF(OR($B112="",$B112="(blank)"),"",VLOOKUP($B112,'Email Marketing Raw Data'!$C:$O,13,0)),"")</f>
        <v/>
      </c>
      <c r="G112" s="55" t="str">
        <f>IFERROR(IF(OR($B112="",$B112="(blank)"),"",VLOOKUP($B112,'Email Marketing Raw Data'!$C:$O,4,0)),"")</f>
        <v/>
      </c>
      <c r="H112" s="55" t="str">
        <f>IFERROR(IF(OR($B112="",$B112="(blank)"),"",VLOOKUP($B112,'Email Marketing Raw Data'!$C:$O,5,0)),"")</f>
        <v/>
      </c>
      <c r="I112" s="55" t="str">
        <f>IFERROR(IF($G112="","",VLOOKUP('Dashboard And Emails Automate'!$G112,Database!$H:$N,3,0)),"")</f>
        <v/>
      </c>
      <c r="J112" s="55" t="str">
        <f>IFERROR(IF($G112="","",VLOOKUP('Dashboard And Emails Automate'!$G112,Database!$H:$N,4,0)),"")</f>
        <v/>
      </c>
      <c r="K112" s="55" t="str">
        <f>IFERROR(IF($G112="","",VLOOKUP('Dashboard And Emails Automate'!$G112,Database!$H:$N,5,0)),"")</f>
        <v/>
      </c>
      <c r="L112" s="55" t="str">
        <f>IFERROR(IF($G112="","",VLOOKUP('Dashboard And Emails Automate'!$G112,Database!$H:$N,6,0)),"")</f>
        <v/>
      </c>
      <c r="M112" s="55" t="str">
        <f>IFERROR(IF($G112="","",VLOOKUP('Dashboard And Emails Automate'!$G112,Database!$H:$N,7,0)),"")</f>
        <v/>
      </c>
      <c r="N112" s="55" t="str">
        <f>IFERROR(IF(OR($B112="",$B112="(blank)"),"",VLOOKUP($B112,'Email Marketing Raw Data'!$C:$O,6,0)),"")</f>
        <v/>
      </c>
      <c r="O112" s="55" t="str">
        <f>IFERROR(IF(OR($B112="",$B112="(blank)"),"",VLOOKUP($B112,'Email Marketing Raw Data'!$C:$O,7,0)),"")</f>
        <v/>
      </c>
      <c r="P112" s="55" t="str">
        <f>IFERROR(IF(OR($B112="",$B112="(blank)"),"",VLOOKUP($B112,'Email Marketing Raw Data'!$C:$O,8,0)),"")</f>
        <v/>
      </c>
      <c r="Q112" s="62" t="str">
        <f>IFERROR(IF(OR($B112="",$B112="(blank)"),"",VLOOKUP($B112,'Email Marketing Raw Data'!$C:$O,9,0)),"")</f>
        <v/>
      </c>
    </row>
    <row r="113" spans="4:17" ht="12.75" customHeight="1" x14ac:dyDescent="0.2">
      <c r="D113" s="58" t="str">
        <f>IFERROR(IF(F113&lt;&gt;"pending","",IF(OR($B113="",$B113="(blank)"),"",VLOOKUP($B113,'Email Marketing Raw Data'!$C:$O,10,0))),"")</f>
        <v/>
      </c>
      <c r="E113" s="59" t="str">
        <f>IFERROR(IF(F113&lt;&gt;"pending","",IF(OR($B113="",$B113="(blank)"),"",VLOOKUP($B113,'Email Marketing Raw Data'!$C:$O,11,0))),"")</f>
        <v/>
      </c>
      <c r="F113" s="54" t="str">
        <f>IFERROR(IF(OR($B113="",$B113="(blank)"),"",VLOOKUP($B113,'Email Marketing Raw Data'!$C:$O,13,0)),"")</f>
        <v/>
      </c>
      <c r="G113" s="55" t="str">
        <f>IFERROR(IF(OR($B113="",$B113="(blank)"),"",VLOOKUP($B113,'Email Marketing Raw Data'!$C:$O,4,0)),"")</f>
        <v/>
      </c>
      <c r="H113" s="55" t="str">
        <f>IFERROR(IF(OR($B113="",$B113="(blank)"),"",VLOOKUP($B113,'Email Marketing Raw Data'!$C:$O,5,0)),"")</f>
        <v/>
      </c>
      <c r="I113" s="55" t="str">
        <f>IFERROR(IF($G113="","",VLOOKUP('Dashboard And Emails Automate'!$G113,Database!$H:$N,3,0)),"")</f>
        <v/>
      </c>
      <c r="J113" s="55" t="str">
        <f>IFERROR(IF($G113="","",VLOOKUP('Dashboard And Emails Automate'!$G113,Database!$H:$N,4,0)),"")</f>
        <v/>
      </c>
      <c r="K113" s="55" t="str">
        <f>IFERROR(IF($G113="","",VLOOKUP('Dashboard And Emails Automate'!$G113,Database!$H:$N,5,0)),"")</f>
        <v/>
      </c>
      <c r="L113" s="55" t="str">
        <f>IFERROR(IF($G113="","",VLOOKUP('Dashboard And Emails Automate'!$G113,Database!$H:$N,6,0)),"")</f>
        <v/>
      </c>
      <c r="M113" s="55" t="str">
        <f>IFERROR(IF($G113="","",VLOOKUP('Dashboard And Emails Automate'!$G113,Database!$H:$N,7,0)),"")</f>
        <v/>
      </c>
      <c r="N113" s="55" t="str">
        <f>IFERROR(IF(OR($B113="",$B113="(blank)"),"",VLOOKUP($B113,'Email Marketing Raw Data'!$C:$O,6,0)),"")</f>
        <v/>
      </c>
      <c r="O113" s="55" t="str">
        <f>IFERROR(IF(OR($B113="",$B113="(blank)"),"",VLOOKUP($B113,'Email Marketing Raw Data'!$C:$O,7,0)),"")</f>
        <v/>
      </c>
      <c r="P113" s="55" t="str">
        <f>IFERROR(IF(OR($B113="",$B113="(blank)"),"",VLOOKUP($B113,'Email Marketing Raw Data'!$C:$O,8,0)),"")</f>
        <v/>
      </c>
      <c r="Q113" s="62" t="str">
        <f>IFERROR(IF(OR($B113="",$B113="(blank)"),"",VLOOKUP($B113,'Email Marketing Raw Data'!$C:$O,9,0)),"")</f>
        <v/>
      </c>
    </row>
    <row r="114" spans="4:17" ht="12.75" customHeight="1" x14ac:dyDescent="0.2">
      <c r="D114" s="58" t="str">
        <f>IFERROR(IF(F114&lt;&gt;"pending","",IF(OR($B114="",$B114="(blank)"),"",VLOOKUP($B114,'Email Marketing Raw Data'!$C:$O,10,0))),"")</f>
        <v/>
      </c>
      <c r="E114" s="59" t="str">
        <f>IFERROR(IF(F114&lt;&gt;"pending","",IF(OR($B114="",$B114="(blank)"),"",VLOOKUP($B114,'Email Marketing Raw Data'!$C:$O,11,0))),"")</f>
        <v/>
      </c>
      <c r="F114" s="54" t="str">
        <f>IFERROR(IF(OR($B114="",$B114="(blank)"),"",VLOOKUP($B114,'Email Marketing Raw Data'!$C:$O,13,0)),"")</f>
        <v/>
      </c>
      <c r="G114" s="55" t="str">
        <f>IFERROR(IF(OR($B114="",$B114="(blank)"),"",VLOOKUP($B114,'Email Marketing Raw Data'!$C:$O,4,0)),"")</f>
        <v/>
      </c>
      <c r="H114" s="55" t="str">
        <f>IFERROR(IF(OR($B114="",$B114="(blank)"),"",VLOOKUP($B114,'Email Marketing Raw Data'!$C:$O,5,0)),"")</f>
        <v/>
      </c>
      <c r="I114" s="55" t="str">
        <f>IFERROR(IF($G114="","",VLOOKUP('Dashboard And Emails Automate'!$G114,Database!$H:$N,3,0)),"")</f>
        <v/>
      </c>
      <c r="J114" s="55" t="str">
        <f>IFERROR(IF($G114="","",VLOOKUP('Dashboard And Emails Automate'!$G114,Database!$H:$N,4,0)),"")</f>
        <v/>
      </c>
      <c r="K114" s="55" t="str">
        <f>IFERROR(IF($G114="","",VLOOKUP('Dashboard And Emails Automate'!$G114,Database!$H:$N,5,0)),"")</f>
        <v/>
      </c>
      <c r="L114" s="55" t="str">
        <f>IFERROR(IF($G114="","",VLOOKUP('Dashboard And Emails Automate'!$G114,Database!$H:$N,6,0)),"")</f>
        <v/>
      </c>
      <c r="M114" s="55" t="str">
        <f>IFERROR(IF($G114="","",VLOOKUP('Dashboard And Emails Automate'!$G114,Database!$H:$N,7,0)),"")</f>
        <v/>
      </c>
      <c r="N114" s="55" t="str">
        <f>IFERROR(IF(OR($B114="",$B114="(blank)"),"",VLOOKUP($B114,'Email Marketing Raw Data'!$C:$O,6,0)),"")</f>
        <v/>
      </c>
      <c r="O114" s="55" t="str">
        <f>IFERROR(IF(OR($B114="",$B114="(blank)"),"",VLOOKUP($B114,'Email Marketing Raw Data'!$C:$O,7,0)),"")</f>
        <v/>
      </c>
      <c r="P114" s="55" t="str">
        <f>IFERROR(IF(OR($B114="",$B114="(blank)"),"",VLOOKUP($B114,'Email Marketing Raw Data'!$C:$O,8,0)),"")</f>
        <v/>
      </c>
      <c r="Q114" s="62" t="str">
        <f>IFERROR(IF(OR($B114="",$B114="(blank)"),"",VLOOKUP($B114,'Email Marketing Raw Data'!$C:$O,9,0)),"")</f>
        <v/>
      </c>
    </row>
    <row r="115" spans="4:17" ht="12.75" customHeight="1" x14ac:dyDescent="0.2">
      <c r="D115" s="58" t="str">
        <f>IFERROR(IF(F115&lt;&gt;"pending","",IF(OR($B115="",$B115="(blank)"),"",VLOOKUP($B115,'Email Marketing Raw Data'!$C:$O,10,0))),"")</f>
        <v/>
      </c>
      <c r="E115" s="59" t="str">
        <f>IFERROR(IF(F115&lt;&gt;"pending","",IF(OR($B115="",$B115="(blank)"),"",VLOOKUP($B115,'Email Marketing Raw Data'!$C:$O,11,0))),"")</f>
        <v/>
      </c>
      <c r="F115" s="54" t="str">
        <f>IFERROR(IF(OR($B115="",$B115="(blank)"),"",VLOOKUP($B115,'Email Marketing Raw Data'!$C:$O,13,0)),"")</f>
        <v/>
      </c>
      <c r="G115" s="55" t="str">
        <f>IFERROR(IF(OR($B115="",$B115="(blank)"),"",VLOOKUP($B115,'Email Marketing Raw Data'!$C:$O,4,0)),"")</f>
        <v/>
      </c>
      <c r="H115" s="55" t="str">
        <f>IFERROR(IF(OR($B115="",$B115="(blank)"),"",VLOOKUP($B115,'Email Marketing Raw Data'!$C:$O,5,0)),"")</f>
        <v/>
      </c>
      <c r="I115" s="55" t="str">
        <f>IFERROR(IF($G115="","",VLOOKUP('Dashboard And Emails Automate'!$G115,Database!$H:$N,3,0)),"")</f>
        <v/>
      </c>
      <c r="J115" s="55" t="str">
        <f>IFERROR(IF($G115="","",VLOOKUP('Dashboard And Emails Automate'!$G115,Database!$H:$N,4,0)),"")</f>
        <v/>
      </c>
      <c r="K115" s="55" t="str">
        <f>IFERROR(IF($G115="","",VLOOKUP('Dashboard And Emails Automate'!$G115,Database!$H:$N,5,0)),"")</f>
        <v/>
      </c>
      <c r="L115" s="55" t="str">
        <f>IFERROR(IF($G115="","",VLOOKUP('Dashboard And Emails Automate'!$G115,Database!$H:$N,6,0)),"")</f>
        <v/>
      </c>
      <c r="M115" s="55" t="str">
        <f>IFERROR(IF($G115="","",VLOOKUP('Dashboard And Emails Automate'!$G115,Database!$H:$N,7,0)),"")</f>
        <v/>
      </c>
      <c r="N115" s="55" t="str">
        <f>IFERROR(IF(OR($B115="",$B115="(blank)"),"",VLOOKUP($B115,'Email Marketing Raw Data'!$C:$O,6,0)),"")</f>
        <v/>
      </c>
      <c r="O115" s="55" t="str">
        <f>IFERROR(IF(OR($B115="",$B115="(blank)"),"",VLOOKUP($B115,'Email Marketing Raw Data'!$C:$O,7,0)),"")</f>
        <v/>
      </c>
      <c r="P115" s="55" t="str">
        <f>IFERROR(IF(OR($B115="",$B115="(blank)"),"",VLOOKUP($B115,'Email Marketing Raw Data'!$C:$O,8,0)),"")</f>
        <v/>
      </c>
      <c r="Q115" s="62" t="str">
        <f>IFERROR(IF(OR($B115="",$B115="(blank)"),"",VLOOKUP($B115,'Email Marketing Raw Data'!$C:$O,9,0)),"")</f>
        <v/>
      </c>
    </row>
    <row r="116" spans="4:17" ht="12.75" customHeight="1" x14ac:dyDescent="0.2">
      <c r="D116" s="58" t="str">
        <f>IFERROR(IF(F116&lt;&gt;"pending","",IF(OR($B116="",$B116="(blank)"),"",VLOOKUP($B116,'Email Marketing Raw Data'!$C:$O,10,0))),"")</f>
        <v/>
      </c>
      <c r="E116" s="59" t="str">
        <f>IFERROR(IF(F116&lt;&gt;"pending","",IF(OR($B116="",$B116="(blank)"),"",VLOOKUP($B116,'Email Marketing Raw Data'!$C:$O,11,0))),"")</f>
        <v/>
      </c>
      <c r="F116" s="54" t="str">
        <f>IFERROR(IF(OR($B116="",$B116="(blank)"),"",VLOOKUP($B116,'Email Marketing Raw Data'!$C:$O,13,0)),"")</f>
        <v/>
      </c>
      <c r="G116" s="55" t="str">
        <f>IFERROR(IF(OR($B116="",$B116="(blank)"),"",VLOOKUP($B116,'Email Marketing Raw Data'!$C:$O,4,0)),"")</f>
        <v/>
      </c>
      <c r="H116" s="55" t="str">
        <f>IFERROR(IF(OR($B116="",$B116="(blank)"),"",VLOOKUP($B116,'Email Marketing Raw Data'!$C:$O,5,0)),"")</f>
        <v/>
      </c>
      <c r="I116" s="55" t="str">
        <f>IFERROR(IF($G116="","",VLOOKUP('Dashboard And Emails Automate'!$G116,Database!$H:$N,3,0)),"")</f>
        <v/>
      </c>
      <c r="J116" s="55" t="str">
        <f>IFERROR(IF($G116="","",VLOOKUP('Dashboard And Emails Automate'!$G116,Database!$H:$N,4,0)),"")</f>
        <v/>
      </c>
      <c r="K116" s="55" t="str">
        <f>IFERROR(IF($G116="","",VLOOKUP('Dashboard And Emails Automate'!$G116,Database!$H:$N,5,0)),"")</f>
        <v/>
      </c>
      <c r="L116" s="55" t="str">
        <f>IFERROR(IF($G116="","",VLOOKUP('Dashboard And Emails Automate'!$G116,Database!$H:$N,6,0)),"")</f>
        <v/>
      </c>
      <c r="M116" s="55" t="str">
        <f>IFERROR(IF($G116="","",VLOOKUP('Dashboard And Emails Automate'!$G116,Database!$H:$N,7,0)),"")</f>
        <v/>
      </c>
      <c r="N116" s="55" t="str">
        <f>IFERROR(IF(OR($B116="",$B116="(blank)"),"",VLOOKUP($B116,'Email Marketing Raw Data'!$C:$O,6,0)),"")</f>
        <v/>
      </c>
      <c r="O116" s="55" t="str">
        <f>IFERROR(IF(OR($B116="",$B116="(blank)"),"",VLOOKUP($B116,'Email Marketing Raw Data'!$C:$O,7,0)),"")</f>
        <v/>
      </c>
      <c r="P116" s="55" t="str">
        <f>IFERROR(IF(OR($B116="",$B116="(blank)"),"",VLOOKUP($B116,'Email Marketing Raw Data'!$C:$O,8,0)),"")</f>
        <v/>
      </c>
      <c r="Q116" s="62" t="str">
        <f>IFERROR(IF(OR($B116="",$B116="(blank)"),"",VLOOKUP($B116,'Email Marketing Raw Data'!$C:$O,9,0)),"")</f>
        <v/>
      </c>
    </row>
    <row r="117" spans="4:17" ht="12.75" customHeight="1" x14ac:dyDescent="0.2">
      <c r="D117" s="58" t="str">
        <f>IFERROR(IF(F117&lt;&gt;"pending","",IF(OR($B117="",$B117="(blank)"),"",VLOOKUP($B117,'Email Marketing Raw Data'!$C:$O,10,0))),"")</f>
        <v/>
      </c>
      <c r="E117" s="59" t="str">
        <f>IFERROR(IF(F117&lt;&gt;"pending","",IF(OR($B117="",$B117="(blank)"),"",VLOOKUP($B117,'Email Marketing Raw Data'!$C:$O,11,0))),"")</f>
        <v/>
      </c>
      <c r="F117" s="54" t="str">
        <f>IFERROR(IF(OR($B117="",$B117="(blank)"),"",VLOOKUP($B117,'Email Marketing Raw Data'!$C:$O,13,0)),"")</f>
        <v/>
      </c>
      <c r="G117" s="55" t="str">
        <f>IFERROR(IF(OR($B117="",$B117="(blank)"),"",VLOOKUP($B117,'Email Marketing Raw Data'!$C:$O,4,0)),"")</f>
        <v/>
      </c>
      <c r="H117" s="55" t="str">
        <f>IFERROR(IF(OR($B117="",$B117="(blank)"),"",VLOOKUP($B117,'Email Marketing Raw Data'!$C:$O,5,0)),"")</f>
        <v/>
      </c>
      <c r="I117" s="55" t="str">
        <f>IFERROR(IF($G117="","",VLOOKUP('Dashboard And Emails Automate'!$G117,Database!$H:$N,3,0)),"")</f>
        <v/>
      </c>
      <c r="J117" s="55" t="str">
        <f>IFERROR(IF($G117="","",VLOOKUP('Dashboard And Emails Automate'!$G117,Database!$H:$N,4,0)),"")</f>
        <v/>
      </c>
      <c r="K117" s="55" t="str">
        <f>IFERROR(IF($G117="","",VLOOKUP('Dashboard And Emails Automate'!$G117,Database!$H:$N,5,0)),"")</f>
        <v/>
      </c>
      <c r="L117" s="55" t="str">
        <f>IFERROR(IF($G117="","",VLOOKUP('Dashboard And Emails Automate'!$G117,Database!$H:$N,6,0)),"")</f>
        <v/>
      </c>
      <c r="M117" s="55" t="str">
        <f>IFERROR(IF($G117="","",VLOOKUP('Dashboard And Emails Automate'!$G117,Database!$H:$N,7,0)),"")</f>
        <v/>
      </c>
      <c r="N117" s="55" t="str">
        <f>IFERROR(IF(OR($B117="",$B117="(blank)"),"",VLOOKUP($B117,'Email Marketing Raw Data'!$C:$O,6,0)),"")</f>
        <v/>
      </c>
      <c r="O117" s="55" t="str">
        <f>IFERROR(IF(OR($B117="",$B117="(blank)"),"",VLOOKUP($B117,'Email Marketing Raw Data'!$C:$O,7,0)),"")</f>
        <v/>
      </c>
      <c r="P117" s="55" t="str">
        <f>IFERROR(IF(OR($B117="",$B117="(blank)"),"",VLOOKUP($B117,'Email Marketing Raw Data'!$C:$O,8,0)),"")</f>
        <v/>
      </c>
      <c r="Q117" s="62" t="str">
        <f>IFERROR(IF(OR($B117="",$B117="(blank)"),"",VLOOKUP($B117,'Email Marketing Raw Data'!$C:$O,9,0)),"")</f>
        <v/>
      </c>
    </row>
    <row r="118" spans="4:17" ht="12.75" customHeight="1" x14ac:dyDescent="0.2">
      <c r="D118" s="58" t="str">
        <f>IFERROR(IF(F118&lt;&gt;"pending","",IF(OR($B118="",$B118="(blank)"),"",VLOOKUP($B118,'Email Marketing Raw Data'!$C:$O,10,0))),"")</f>
        <v/>
      </c>
      <c r="E118" s="59" t="str">
        <f>IFERROR(IF(F118&lt;&gt;"pending","",IF(OR($B118="",$B118="(blank)"),"",VLOOKUP($B118,'Email Marketing Raw Data'!$C:$O,11,0))),"")</f>
        <v/>
      </c>
      <c r="F118" s="54" t="str">
        <f>IFERROR(IF(OR($B118="",$B118="(blank)"),"",VLOOKUP($B118,'Email Marketing Raw Data'!$C:$O,13,0)),"")</f>
        <v/>
      </c>
      <c r="G118" s="55" t="str">
        <f>IFERROR(IF(OR($B118="",$B118="(blank)"),"",VLOOKUP($B118,'Email Marketing Raw Data'!$C:$O,4,0)),"")</f>
        <v/>
      </c>
      <c r="H118" s="55" t="str">
        <f>IFERROR(IF(OR($B118="",$B118="(blank)"),"",VLOOKUP($B118,'Email Marketing Raw Data'!$C:$O,5,0)),"")</f>
        <v/>
      </c>
      <c r="I118" s="55" t="str">
        <f>IFERROR(IF($G118="","",VLOOKUP('Dashboard And Emails Automate'!$G118,Database!$H:$N,3,0)),"")</f>
        <v/>
      </c>
      <c r="J118" s="55" t="str">
        <f>IFERROR(IF($G118="","",VLOOKUP('Dashboard And Emails Automate'!$G118,Database!$H:$N,4,0)),"")</f>
        <v/>
      </c>
      <c r="K118" s="55" t="str">
        <f>IFERROR(IF($G118="","",VLOOKUP('Dashboard And Emails Automate'!$G118,Database!$H:$N,5,0)),"")</f>
        <v/>
      </c>
      <c r="L118" s="55" t="str">
        <f>IFERROR(IF($G118="","",VLOOKUP('Dashboard And Emails Automate'!$G118,Database!$H:$N,6,0)),"")</f>
        <v/>
      </c>
      <c r="M118" s="55" t="str">
        <f>IFERROR(IF($G118="","",VLOOKUP('Dashboard And Emails Automate'!$G118,Database!$H:$N,7,0)),"")</f>
        <v/>
      </c>
      <c r="N118" s="55" t="str">
        <f>IFERROR(IF(OR($B118="",$B118="(blank)"),"",VLOOKUP($B118,'Email Marketing Raw Data'!$C:$O,6,0)),"")</f>
        <v/>
      </c>
      <c r="O118" s="55" t="str">
        <f>IFERROR(IF(OR($B118="",$B118="(blank)"),"",VLOOKUP($B118,'Email Marketing Raw Data'!$C:$O,7,0)),"")</f>
        <v/>
      </c>
      <c r="P118" s="55" t="str">
        <f>IFERROR(IF(OR($B118="",$B118="(blank)"),"",VLOOKUP($B118,'Email Marketing Raw Data'!$C:$O,8,0)),"")</f>
        <v/>
      </c>
      <c r="Q118" s="62" t="str">
        <f>IFERROR(IF(OR($B118="",$B118="(blank)"),"",VLOOKUP($B118,'Email Marketing Raw Data'!$C:$O,9,0)),"")</f>
        <v/>
      </c>
    </row>
    <row r="119" spans="4:17" ht="12.75" customHeight="1" x14ac:dyDescent="0.2">
      <c r="D119" s="58" t="str">
        <f>IFERROR(IF(F119&lt;&gt;"pending","",IF(OR($B119="",$B119="(blank)"),"",VLOOKUP($B119,'Email Marketing Raw Data'!$C:$O,10,0))),"")</f>
        <v/>
      </c>
      <c r="E119" s="59" t="str">
        <f>IFERROR(IF(F119&lt;&gt;"pending","",IF(OR($B119="",$B119="(blank)"),"",VLOOKUP($B119,'Email Marketing Raw Data'!$C:$O,11,0))),"")</f>
        <v/>
      </c>
      <c r="F119" s="54" t="str">
        <f>IFERROR(IF(OR($B119="",$B119="(blank)"),"",VLOOKUP($B119,'Email Marketing Raw Data'!$C:$O,13,0)),"")</f>
        <v/>
      </c>
      <c r="G119" s="55" t="str">
        <f>IFERROR(IF(OR($B119="",$B119="(blank)"),"",VLOOKUP($B119,'Email Marketing Raw Data'!$C:$O,4,0)),"")</f>
        <v/>
      </c>
      <c r="H119" s="55" t="str">
        <f>IFERROR(IF(OR($B119="",$B119="(blank)"),"",VLOOKUP($B119,'Email Marketing Raw Data'!$C:$O,5,0)),"")</f>
        <v/>
      </c>
      <c r="I119" s="55" t="str">
        <f>IFERROR(IF($G119="","",VLOOKUP('Dashboard And Emails Automate'!$G119,Database!$H:$N,3,0)),"")</f>
        <v/>
      </c>
      <c r="J119" s="55" t="str">
        <f>IFERROR(IF($G119="","",VLOOKUP('Dashboard And Emails Automate'!$G119,Database!$H:$N,4,0)),"")</f>
        <v/>
      </c>
      <c r="K119" s="55" t="str">
        <f>IFERROR(IF($G119="","",VLOOKUP('Dashboard And Emails Automate'!$G119,Database!$H:$N,5,0)),"")</f>
        <v/>
      </c>
      <c r="L119" s="55" t="str">
        <f>IFERROR(IF($G119="","",VLOOKUP('Dashboard And Emails Automate'!$G119,Database!$H:$N,6,0)),"")</f>
        <v/>
      </c>
      <c r="M119" s="55" t="str">
        <f>IFERROR(IF($G119="","",VLOOKUP('Dashboard And Emails Automate'!$G119,Database!$H:$N,7,0)),"")</f>
        <v/>
      </c>
      <c r="N119" s="55" t="str">
        <f>IFERROR(IF(OR($B119="",$B119="(blank)"),"",VLOOKUP($B119,'Email Marketing Raw Data'!$C:$O,6,0)),"")</f>
        <v/>
      </c>
      <c r="O119" s="55" t="str">
        <f>IFERROR(IF(OR($B119="",$B119="(blank)"),"",VLOOKUP($B119,'Email Marketing Raw Data'!$C:$O,7,0)),"")</f>
        <v/>
      </c>
      <c r="P119" s="55" t="str">
        <f>IFERROR(IF(OR($B119="",$B119="(blank)"),"",VLOOKUP($B119,'Email Marketing Raw Data'!$C:$O,8,0)),"")</f>
        <v/>
      </c>
      <c r="Q119" s="62" t="str">
        <f>IFERROR(IF(OR($B119="",$B119="(blank)"),"",VLOOKUP($B119,'Email Marketing Raw Data'!$C:$O,9,0)),"")</f>
        <v/>
      </c>
    </row>
    <row r="120" spans="4:17" ht="12.75" customHeight="1" x14ac:dyDescent="0.2">
      <c r="D120" s="58" t="str">
        <f>IFERROR(IF(F120&lt;&gt;"pending","",IF(OR($B120="",$B120="(blank)"),"",VLOOKUP($B120,'Email Marketing Raw Data'!$C:$O,10,0))),"")</f>
        <v/>
      </c>
      <c r="E120" s="59" t="str">
        <f>IFERROR(IF(F120&lt;&gt;"pending","",IF(OR($B120="",$B120="(blank)"),"",VLOOKUP($B120,'Email Marketing Raw Data'!$C:$O,11,0))),"")</f>
        <v/>
      </c>
      <c r="F120" s="54" t="str">
        <f>IFERROR(IF(OR($B120="",$B120="(blank)"),"",VLOOKUP($B120,'Email Marketing Raw Data'!$C:$O,13,0)),"")</f>
        <v/>
      </c>
      <c r="G120" s="55" t="str">
        <f>IFERROR(IF(OR($B120="",$B120="(blank)"),"",VLOOKUP($B120,'Email Marketing Raw Data'!$C:$O,4,0)),"")</f>
        <v/>
      </c>
      <c r="H120" s="55" t="str">
        <f>IFERROR(IF(OR($B120="",$B120="(blank)"),"",VLOOKUP($B120,'Email Marketing Raw Data'!$C:$O,5,0)),"")</f>
        <v/>
      </c>
      <c r="I120" s="55" t="str">
        <f>IFERROR(IF($G120="","",VLOOKUP('Dashboard And Emails Automate'!$G120,Database!$H:$N,3,0)),"")</f>
        <v/>
      </c>
      <c r="J120" s="55" t="str">
        <f>IFERROR(IF($G120="","",VLOOKUP('Dashboard And Emails Automate'!$G120,Database!$H:$N,4,0)),"")</f>
        <v/>
      </c>
      <c r="K120" s="55" t="str">
        <f>IFERROR(IF($G120="","",VLOOKUP('Dashboard And Emails Automate'!$G120,Database!$H:$N,5,0)),"")</f>
        <v/>
      </c>
      <c r="L120" s="55" t="str">
        <f>IFERROR(IF($G120="","",VLOOKUP('Dashboard And Emails Automate'!$G120,Database!$H:$N,6,0)),"")</f>
        <v/>
      </c>
      <c r="M120" s="55" t="str">
        <f>IFERROR(IF($G120="","",VLOOKUP('Dashboard And Emails Automate'!$G120,Database!$H:$N,7,0)),"")</f>
        <v/>
      </c>
      <c r="N120" s="55" t="str">
        <f>IFERROR(IF(OR($B120="",$B120="(blank)"),"",VLOOKUP($B120,'Email Marketing Raw Data'!$C:$O,6,0)),"")</f>
        <v/>
      </c>
      <c r="O120" s="55" t="str">
        <f>IFERROR(IF(OR($B120="",$B120="(blank)"),"",VLOOKUP($B120,'Email Marketing Raw Data'!$C:$O,7,0)),"")</f>
        <v/>
      </c>
      <c r="P120" s="55" t="str">
        <f>IFERROR(IF(OR($B120="",$B120="(blank)"),"",VLOOKUP($B120,'Email Marketing Raw Data'!$C:$O,8,0)),"")</f>
        <v/>
      </c>
      <c r="Q120" s="62" t="str">
        <f>IFERROR(IF(OR($B120="",$B120="(blank)"),"",VLOOKUP($B120,'Email Marketing Raw Data'!$C:$O,9,0)),"")</f>
        <v/>
      </c>
    </row>
    <row r="121" spans="4:17" ht="12.75" customHeight="1" x14ac:dyDescent="0.2">
      <c r="D121" s="58" t="str">
        <f>IFERROR(IF(F121&lt;&gt;"pending","",IF(OR($B121="",$B121="(blank)"),"",VLOOKUP($B121,'Email Marketing Raw Data'!$C:$O,10,0))),"")</f>
        <v/>
      </c>
      <c r="E121" s="59" t="str">
        <f>IFERROR(IF(F121&lt;&gt;"pending","",IF(OR($B121="",$B121="(blank)"),"",VLOOKUP($B121,'Email Marketing Raw Data'!$C:$O,11,0))),"")</f>
        <v/>
      </c>
      <c r="F121" s="54" t="str">
        <f>IFERROR(IF(OR($B121="",$B121="(blank)"),"",VLOOKUP($B121,'Email Marketing Raw Data'!$C:$O,13,0)),"")</f>
        <v/>
      </c>
      <c r="G121" s="55" t="str">
        <f>IFERROR(IF(OR($B121="",$B121="(blank)"),"",VLOOKUP($B121,'Email Marketing Raw Data'!$C:$O,4,0)),"")</f>
        <v/>
      </c>
      <c r="H121" s="55" t="str">
        <f>IFERROR(IF(OR($B121="",$B121="(blank)"),"",VLOOKUP($B121,'Email Marketing Raw Data'!$C:$O,5,0)),"")</f>
        <v/>
      </c>
      <c r="I121" s="55" t="str">
        <f>IFERROR(IF($G121="","",VLOOKUP('Dashboard And Emails Automate'!$G121,Database!$H:$N,3,0)),"")</f>
        <v/>
      </c>
      <c r="J121" s="55" t="str">
        <f>IFERROR(IF($G121="","",VLOOKUP('Dashboard And Emails Automate'!$G121,Database!$H:$N,4,0)),"")</f>
        <v/>
      </c>
      <c r="K121" s="55" t="str">
        <f>IFERROR(IF($G121="","",VLOOKUP('Dashboard And Emails Automate'!$G121,Database!$H:$N,5,0)),"")</f>
        <v/>
      </c>
      <c r="L121" s="55" t="str">
        <f>IFERROR(IF($G121="","",VLOOKUP('Dashboard And Emails Automate'!$G121,Database!$H:$N,6,0)),"")</f>
        <v/>
      </c>
      <c r="M121" s="55" t="str">
        <f>IFERROR(IF($G121="","",VLOOKUP('Dashboard And Emails Automate'!$G121,Database!$H:$N,7,0)),"")</f>
        <v/>
      </c>
      <c r="N121" s="55" t="str">
        <f>IFERROR(IF(OR($B121="",$B121="(blank)"),"",VLOOKUP($B121,'Email Marketing Raw Data'!$C:$O,6,0)),"")</f>
        <v/>
      </c>
      <c r="O121" s="55" t="str">
        <f>IFERROR(IF(OR($B121="",$B121="(blank)"),"",VLOOKUP($B121,'Email Marketing Raw Data'!$C:$O,7,0)),"")</f>
        <v/>
      </c>
      <c r="P121" s="55" t="str">
        <f>IFERROR(IF(OR($B121="",$B121="(blank)"),"",VLOOKUP($B121,'Email Marketing Raw Data'!$C:$O,8,0)),"")</f>
        <v/>
      </c>
      <c r="Q121" s="62" t="str">
        <f>IFERROR(IF(OR($B121="",$B121="(blank)"),"",VLOOKUP($B121,'Email Marketing Raw Data'!$C:$O,9,0)),"")</f>
        <v/>
      </c>
    </row>
    <row r="122" spans="4:17" ht="12.75" customHeight="1" x14ac:dyDescent="0.2">
      <c r="D122" s="58" t="str">
        <f>IFERROR(IF(F122&lt;&gt;"pending","",IF(OR($B122="",$B122="(blank)"),"",VLOOKUP($B122,'Email Marketing Raw Data'!$C:$O,10,0))),"")</f>
        <v/>
      </c>
      <c r="E122" s="59" t="str">
        <f>IFERROR(IF(F122&lt;&gt;"pending","",IF(OR($B122="",$B122="(blank)"),"",VLOOKUP($B122,'Email Marketing Raw Data'!$C:$O,11,0))),"")</f>
        <v/>
      </c>
      <c r="F122" s="54" t="str">
        <f>IFERROR(IF(OR($B122="",$B122="(blank)"),"",VLOOKUP($B122,'Email Marketing Raw Data'!$C:$O,13,0)),"")</f>
        <v/>
      </c>
      <c r="G122" s="55" t="str">
        <f>IFERROR(IF(OR($B122="",$B122="(blank)"),"",VLOOKUP($B122,'Email Marketing Raw Data'!$C:$O,4,0)),"")</f>
        <v/>
      </c>
      <c r="H122" s="55" t="str">
        <f>IFERROR(IF(OR($B122="",$B122="(blank)"),"",VLOOKUP($B122,'Email Marketing Raw Data'!$C:$O,5,0)),"")</f>
        <v/>
      </c>
      <c r="I122" s="55" t="str">
        <f>IFERROR(IF($G122="","",VLOOKUP('Dashboard And Emails Automate'!$G122,Database!$H:$N,3,0)),"")</f>
        <v/>
      </c>
      <c r="J122" s="55" t="str">
        <f>IFERROR(IF($G122="","",VLOOKUP('Dashboard And Emails Automate'!$G122,Database!$H:$N,4,0)),"")</f>
        <v/>
      </c>
      <c r="K122" s="55" t="str">
        <f>IFERROR(IF($G122="","",VLOOKUP('Dashboard And Emails Automate'!$G122,Database!$H:$N,5,0)),"")</f>
        <v/>
      </c>
      <c r="L122" s="55" t="str">
        <f>IFERROR(IF($G122="","",VLOOKUP('Dashboard And Emails Automate'!$G122,Database!$H:$N,6,0)),"")</f>
        <v/>
      </c>
      <c r="M122" s="55" t="str">
        <f>IFERROR(IF($G122="","",VLOOKUP('Dashboard And Emails Automate'!$G122,Database!$H:$N,7,0)),"")</f>
        <v/>
      </c>
      <c r="N122" s="55" t="str">
        <f>IFERROR(IF(OR($B122="",$B122="(blank)"),"",VLOOKUP($B122,'Email Marketing Raw Data'!$C:$O,6,0)),"")</f>
        <v/>
      </c>
      <c r="O122" s="55" t="str">
        <f>IFERROR(IF(OR($B122="",$B122="(blank)"),"",VLOOKUP($B122,'Email Marketing Raw Data'!$C:$O,7,0)),"")</f>
        <v/>
      </c>
      <c r="P122" s="55" t="str">
        <f>IFERROR(IF(OR($B122="",$B122="(blank)"),"",VLOOKUP($B122,'Email Marketing Raw Data'!$C:$O,8,0)),"")</f>
        <v/>
      </c>
      <c r="Q122" s="62" t="str">
        <f>IFERROR(IF(OR($B122="",$B122="(blank)"),"",VLOOKUP($B122,'Email Marketing Raw Data'!$C:$O,9,0)),"")</f>
        <v/>
      </c>
    </row>
    <row r="123" spans="4:17" ht="12.75" customHeight="1" x14ac:dyDescent="0.2">
      <c r="D123" s="58" t="str">
        <f>IFERROR(IF(F123&lt;&gt;"pending","",IF(OR($B123="",$B123="(blank)"),"",VLOOKUP($B123,'Email Marketing Raw Data'!$C:$O,10,0))),"")</f>
        <v/>
      </c>
      <c r="E123" s="59" t="str">
        <f>IFERROR(IF(F123&lt;&gt;"pending","",IF(OR($B123="",$B123="(blank)"),"",VLOOKUP($B123,'Email Marketing Raw Data'!$C:$O,11,0))),"")</f>
        <v/>
      </c>
      <c r="F123" s="54" t="str">
        <f>IFERROR(IF(OR($B123="",$B123="(blank)"),"",VLOOKUP($B123,'Email Marketing Raw Data'!$C:$O,13,0)),"")</f>
        <v/>
      </c>
      <c r="G123" s="55" t="str">
        <f>IFERROR(IF(OR($B123="",$B123="(blank)"),"",VLOOKUP($B123,'Email Marketing Raw Data'!$C:$O,4,0)),"")</f>
        <v/>
      </c>
      <c r="H123" s="55" t="str">
        <f>IFERROR(IF(OR($B123="",$B123="(blank)"),"",VLOOKUP($B123,'Email Marketing Raw Data'!$C:$O,5,0)),"")</f>
        <v/>
      </c>
      <c r="I123" s="55" t="str">
        <f>IFERROR(IF($G123="","",VLOOKUP('Dashboard And Emails Automate'!$G123,Database!$H:$N,3,0)),"")</f>
        <v/>
      </c>
      <c r="J123" s="55" t="str">
        <f>IFERROR(IF($G123="","",VLOOKUP('Dashboard And Emails Automate'!$G123,Database!$H:$N,4,0)),"")</f>
        <v/>
      </c>
      <c r="K123" s="55" t="str">
        <f>IFERROR(IF($G123="","",VLOOKUP('Dashboard And Emails Automate'!$G123,Database!$H:$N,5,0)),"")</f>
        <v/>
      </c>
      <c r="L123" s="55" t="str">
        <f>IFERROR(IF($G123="","",VLOOKUP('Dashboard And Emails Automate'!$G123,Database!$H:$N,6,0)),"")</f>
        <v/>
      </c>
      <c r="M123" s="55" t="str">
        <f>IFERROR(IF($G123="","",VLOOKUP('Dashboard And Emails Automate'!$G123,Database!$H:$N,7,0)),"")</f>
        <v/>
      </c>
      <c r="N123" s="55" t="str">
        <f>IFERROR(IF(OR($B123="",$B123="(blank)"),"",VLOOKUP($B123,'Email Marketing Raw Data'!$C:$O,6,0)),"")</f>
        <v/>
      </c>
      <c r="O123" s="55" t="str">
        <f>IFERROR(IF(OR($B123="",$B123="(blank)"),"",VLOOKUP($B123,'Email Marketing Raw Data'!$C:$O,7,0)),"")</f>
        <v/>
      </c>
      <c r="P123" s="55" t="str">
        <f>IFERROR(IF(OR($B123="",$B123="(blank)"),"",VLOOKUP($B123,'Email Marketing Raw Data'!$C:$O,8,0)),"")</f>
        <v/>
      </c>
      <c r="Q123" s="62" t="str">
        <f>IFERROR(IF(OR($B123="",$B123="(blank)"),"",VLOOKUP($B123,'Email Marketing Raw Data'!$C:$O,9,0)),"")</f>
        <v/>
      </c>
    </row>
    <row r="124" spans="4:17" ht="12.75" customHeight="1" x14ac:dyDescent="0.2">
      <c r="D124" s="58" t="str">
        <f>IFERROR(IF(F124&lt;&gt;"pending","",IF(OR($B124="",$B124="(blank)"),"",VLOOKUP($B124,'Email Marketing Raw Data'!$C:$O,10,0))),"")</f>
        <v/>
      </c>
      <c r="E124" s="59" t="str">
        <f>IFERROR(IF(F124&lt;&gt;"pending","",IF(OR($B124="",$B124="(blank)"),"",VLOOKUP($B124,'Email Marketing Raw Data'!$C:$O,11,0))),"")</f>
        <v/>
      </c>
      <c r="F124" s="54" t="str">
        <f>IFERROR(IF(OR($B124="",$B124="(blank)"),"",VLOOKUP($B124,'Email Marketing Raw Data'!$C:$O,13,0)),"")</f>
        <v/>
      </c>
      <c r="G124" s="55" t="str">
        <f>IFERROR(IF(OR($B124="",$B124="(blank)"),"",VLOOKUP($B124,'Email Marketing Raw Data'!$C:$O,4,0)),"")</f>
        <v/>
      </c>
      <c r="H124" s="55" t="str">
        <f>IFERROR(IF(OR($B124="",$B124="(blank)"),"",VLOOKUP($B124,'Email Marketing Raw Data'!$C:$O,5,0)),"")</f>
        <v/>
      </c>
      <c r="I124" s="55" t="str">
        <f>IFERROR(IF($G124="","",VLOOKUP('Dashboard And Emails Automate'!$G124,Database!$H:$N,3,0)),"")</f>
        <v/>
      </c>
      <c r="J124" s="55" t="str">
        <f>IFERROR(IF($G124="","",VLOOKUP('Dashboard And Emails Automate'!$G124,Database!$H:$N,4,0)),"")</f>
        <v/>
      </c>
      <c r="K124" s="55" t="str">
        <f>IFERROR(IF($G124="","",VLOOKUP('Dashboard And Emails Automate'!$G124,Database!$H:$N,5,0)),"")</f>
        <v/>
      </c>
      <c r="L124" s="55" t="str">
        <f>IFERROR(IF($G124="","",VLOOKUP('Dashboard And Emails Automate'!$G124,Database!$H:$N,6,0)),"")</f>
        <v/>
      </c>
      <c r="M124" s="55" t="str">
        <f>IFERROR(IF($G124="","",VLOOKUP('Dashboard And Emails Automate'!$G124,Database!$H:$N,7,0)),"")</f>
        <v/>
      </c>
      <c r="N124" s="55" t="str">
        <f>IFERROR(IF(OR($B124="",$B124="(blank)"),"",VLOOKUP($B124,'Email Marketing Raw Data'!$C:$O,6,0)),"")</f>
        <v/>
      </c>
      <c r="O124" s="55" t="str">
        <f>IFERROR(IF(OR($B124="",$B124="(blank)"),"",VLOOKUP($B124,'Email Marketing Raw Data'!$C:$O,7,0)),"")</f>
        <v/>
      </c>
      <c r="P124" s="55" t="str">
        <f>IFERROR(IF(OR($B124="",$B124="(blank)"),"",VLOOKUP($B124,'Email Marketing Raw Data'!$C:$O,8,0)),"")</f>
        <v/>
      </c>
      <c r="Q124" s="62" t="str">
        <f>IFERROR(IF(OR($B124="",$B124="(blank)"),"",VLOOKUP($B124,'Email Marketing Raw Data'!$C:$O,9,0)),"")</f>
        <v/>
      </c>
    </row>
    <row r="125" spans="4:17" ht="12.75" customHeight="1" x14ac:dyDescent="0.2">
      <c r="D125" s="58" t="str">
        <f>IFERROR(IF(F125&lt;&gt;"pending","",IF(OR($B125="",$B125="(blank)"),"",VLOOKUP($B125,'Email Marketing Raw Data'!$C:$O,10,0))),"")</f>
        <v/>
      </c>
      <c r="E125" s="59" t="str">
        <f>IFERROR(IF(F125&lt;&gt;"pending","",IF(OR($B125="",$B125="(blank)"),"",VLOOKUP($B125,'Email Marketing Raw Data'!$C:$O,11,0))),"")</f>
        <v/>
      </c>
      <c r="F125" s="54" t="str">
        <f>IFERROR(IF(OR($B125="",$B125="(blank)"),"",VLOOKUP($B125,'Email Marketing Raw Data'!$C:$O,13,0)),"")</f>
        <v/>
      </c>
      <c r="G125" s="55" t="str">
        <f>IFERROR(IF(OR($B125="",$B125="(blank)"),"",VLOOKUP($B125,'Email Marketing Raw Data'!$C:$O,4,0)),"")</f>
        <v/>
      </c>
      <c r="H125" s="55" t="str">
        <f>IFERROR(IF(OR($B125="",$B125="(blank)"),"",VLOOKUP($B125,'Email Marketing Raw Data'!$C:$O,5,0)),"")</f>
        <v/>
      </c>
      <c r="I125" s="55" t="str">
        <f>IFERROR(IF($G125="","",VLOOKUP('Dashboard And Emails Automate'!$G125,Database!$H:$N,3,0)),"")</f>
        <v/>
      </c>
      <c r="J125" s="55" t="str">
        <f>IFERROR(IF($G125="","",VLOOKUP('Dashboard And Emails Automate'!$G125,Database!$H:$N,4,0)),"")</f>
        <v/>
      </c>
      <c r="K125" s="55" t="str">
        <f>IFERROR(IF($G125="","",VLOOKUP('Dashboard And Emails Automate'!$G125,Database!$H:$N,5,0)),"")</f>
        <v/>
      </c>
      <c r="L125" s="55" t="str">
        <f>IFERROR(IF($G125="","",VLOOKUP('Dashboard And Emails Automate'!$G125,Database!$H:$N,6,0)),"")</f>
        <v/>
      </c>
      <c r="M125" s="55" t="str">
        <f>IFERROR(IF($G125="","",VLOOKUP('Dashboard And Emails Automate'!$G125,Database!$H:$N,7,0)),"")</f>
        <v/>
      </c>
      <c r="N125" s="55" t="str">
        <f>IFERROR(IF(OR($B125="",$B125="(blank)"),"",VLOOKUP($B125,'Email Marketing Raw Data'!$C:$O,6,0)),"")</f>
        <v/>
      </c>
      <c r="O125" s="55" t="str">
        <f>IFERROR(IF(OR($B125="",$B125="(blank)"),"",VLOOKUP($B125,'Email Marketing Raw Data'!$C:$O,7,0)),"")</f>
        <v/>
      </c>
      <c r="P125" s="55" t="str">
        <f>IFERROR(IF(OR($B125="",$B125="(blank)"),"",VLOOKUP($B125,'Email Marketing Raw Data'!$C:$O,8,0)),"")</f>
        <v/>
      </c>
      <c r="Q125" s="62" t="str">
        <f>IFERROR(IF(OR($B125="",$B125="(blank)"),"",VLOOKUP($B125,'Email Marketing Raw Data'!$C:$O,9,0)),"")</f>
        <v/>
      </c>
    </row>
    <row r="126" spans="4:17" ht="12.75" customHeight="1" x14ac:dyDescent="0.2">
      <c r="D126" s="58" t="str">
        <f>IFERROR(IF(F126&lt;&gt;"pending","",IF(OR($B126="",$B126="(blank)"),"",VLOOKUP($B126,'Email Marketing Raw Data'!$C:$O,10,0))),"")</f>
        <v/>
      </c>
      <c r="E126" s="59" t="str">
        <f>IFERROR(IF(F126&lt;&gt;"pending","",IF(OR($B126="",$B126="(blank)"),"",VLOOKUP($B126,'Email Marketing Raw Data'!$C:$O,11,0))),"")</f>
        <v/>
      </c>
      <c r="F126" s="54" t="str">
        <f>IFERROR(IF(OR($B126="",$B126="(blank)"),"",VLOOKUP($B126,'Email Marketing Raw Data'!$C:$O,13,0)),"")</f>
        <v/>
      </c>
      <c r="G126" s="55" t="str">
        <f>IFERROR(IF(OR($B126="",$B126="(blank)"),"",VLOOKUP($B126,'Email Marketing Raw Data'!$C:$O,4,0)),"")</f>
        <v/>
      </c>
      <c r="H126" s="55" t="str">
        <f>IFERROR(IF(OR($B126="",$B126="(blank)"),"",VLOOKUP($B126,'Email Marketing Raw Data'!$C:$O,5,0)),"")</f>
        <v/>
      </c>
      <c r="I126" s="55" t="str">
        <f>IFERROR(IF($G126="","",VLOOKUP('Dashboard And Emails Automate'!$G126,Database!$H:$N,3,0)),"")</f>
        <v/>
      </c>
      <c r="J126" s="55" t="str">
        <f>IFERROR(IF($G126="","",VLOOKUP('Dashboard And Emails Automate'!$G126,Database!$H:$N,4,0)),"")</f>
        <v/>
      </c>
      <c r="K126" s="55" t="str">
        <f>IFERROR(IF($G126="","",VLOOKUP('Dashboard And Emails Automate'!$G126,Database!$H:$N,5,0)),"")</f>
        <v/>
      </c>
      <c r="L126" s="55" t="str">
        <f>IFERROR(IF($G126="","",VLOOKUP('Dashboard And Emails Automate'!$G126,Database!$H:$N,6,0)),"")</f>
        <v/>
      </c>
      <c r="M126" s="55" t="str">
        <f>IFERROR(IF($G126="","",VLOOKUP('Dashboard And Emails Automate'!$G126,Database!$H:$N,7,0)),"")</f>
        <v/>
      </c>
      <c r="N126" s="55" t="str">
        <f>IFERROR(IF(OR($B126="",$B126="(blank)"),"",VLOOKUP($B126,'Email Marketing Raw Data'!$C:$O,6,0)),"")</f>
        <v/>
      </c>
      <c r="O126" s="55" t="str">
        <f>IFERROR(IF(OR($B126="",$B126="(blank)"),"",VLOOKUP($B126,'Email Marketing Raw Data'!$C:$O,7,0)),"")</f>
        <v/>
      </c>
      <c r="P126" s="55" t="str">
        <f>IFERROR(IF(OR($B126="",$B126="(blank)"),"",VLOOKUP($B126,'Email Marketing Raw Data'!$C:$O,8,0)),"")</f>
        <v/>
      </c>
      <c r="Q126" s="62" t="str">
        <f>IFERROR(IF(OR($B126="",$B126="(blank)"),"",VLOOKUP($B126,'Email Marketing Raw Data'!$C:$O,9,0)),"")</f>
        <v/>
      </c>
    </row>
    <row r="127" spans="4:17" ht="12.75" customHeight="1" x14ac:dyDescent="0.2">
      <c r="D127" s="58" t="str">
        <f>IFERROR(IF(F127&lt;&gt;"pending","",IF(OR($B127="",$B127="(blank)"),"",VLOOKUP($B127,'Email Marketing Raw Data'!$C:$O,10,0))),"")</f>
        <v/>
      </c>
      <c r="E127" s="59" t="str">
        <f>IFERROR(IF(F127&lt;&gt;"pending","",IF(OR($B127="",$B127="(blank)"),"",VLOOKUP($B127,'Email Marketing Raw Data'!$C:$O,11,0))),"")</f>
        <v/>
      </c>
      <c r="F127" s="54" t="str">
        <f>IFERROR(IF(OR($B127="",$B127="(blank)"),"",VLOOKUP($B127,'Email Marketing Raw Data'!$C:$O,13,0)),"")</f>
        <v/>
      </c>
      <c r="G127" s="55" t="str">
        <f>IFERROR(IF(OR($B127="",$B127="(blank)"),"",VLOOKUP($B127,'Email Marketing Raw Data'!$C:$O,4,0)),"")</f>
        <v/>
      </c>
      <c r="H127" s="55" t="str">
        <f>IFERROR(IF(OR($B127="",$B127="(blank)"),"",VLOOKUP($B127,'Email Marketing Raw Data'!$C:$O,5,0)),"")</f>
        <v/>
      </c>
      <c r="I127" s="55" t="str">
        <f>IFERROR(IF($G127="","",VLOOKUP('Dashboard And Emails Automate'!$G127,Database!$H:$N,3,0)),"")</f>
        <v/>
      </c>
      <c r="J127" s="55" t="str">
        <f>IFERROR(IF($G127="","",VLOOKUP('Dashboard And Emails Automate'!$G127,Database!$H:$N,4,0)),"")</f>
        <v/>
      </c>
      <c r="K127" s="55" t="str">
        <f>IFERROR(IF($G127="","",VLOOKUP('Dashboard And Emails Automate'!$G127,Database!$H:$N,5,0)),"")</f>
        <v/>
      </c>
      <c r="L127" s="55" t="str">
        <f>IFERROR(IF($G127="","",VLOOKUP('Dashboard And Emails Automate'!$G127,Database!$H:$N,6,0)),"")</f>
        <v/>
      </c>
      <c r="M127" s="55" t="str">
        <f>IFERROR(IF($G127="","",VLOOKUP('Dashboard And Emails Automate'!$G127,Database!$H:$N,7,0)),"")</f>
        <v/>
      </c>
      <c r="N127" s="55" t="str">
        <f>IFERROR(IF(OR($B127="",$B127="(blank)"),"",VLOOKUP($B127,'Email Marketing Raw Data'!$C:$O,6,0)),"")</f>
        <v/>
      </c>
      <c r="O127" s="55" t="str">
        <f>IFERROR(IF(OR($B127="",$B127="(blank)"),"",VLOOKUP($B127,'Email Marketing Raw Data'!$C:$O,7,0)),"")</f>
        <v/>
      </c>
      <c r="P127" s="55" t="str">
        <f>IFERROR(IF(OR($B127="",$B127="(blank)"),"",VLOOKUP($B127,'Email Marketing Raw Data'!$C:$O,8,0)),"")</f>
        <v/>
      </c>
      <c r="Q127" s="62" t="str">
        <f>IFERROR(IF(OR($B127="",$B127="(blank)"),"",VLOOKUP($B127,'Email Marketing Raw Data'!$C:$O,9,0)),"")</f>
        <v/>
      </c>
    </row>
    <row r="128" spans="4:17" ht="12.75" customHeight="1" x14ac:dyDescent="0.2">
      <c r="D128" s="58" t="str">
        <f>IFERROR(IF(F128&lt;&gt;"pending","",IF(OR($B128="",$B128="(blank)"),"",VLOOKUP($B128,'Email Marketing Raw Data'!$C:$O,10,0))),"")</f>
        <v/>
      </c>
      <c r="E128" s="59" t="str">
        <f>IFERROR(IF(F128&lt;&gt;"pending","",IF(OR($B128="",$B128="(blank)"),"",VLOOKUP($B128,'Email Marketing Raw Data'!$C:$O,11,0))),"")</f>
        <v/>
      </c>
      <c r="F128" s="54" t="str">
        <f>IFERROR(IF(OR($B128="",$B128="(blank)"),"",VLOOKUP($B128,'Email Marketing Raw Data'!$C:$O,13,0)),"")</f>
        <v/>
      </c>
      <c r="G128" s="55" t="str">
        <f>IFERROR(IF(OR($B128="",$B128="(blank)"),"",VLOOKUP($B128,'Email Marketing Raw Data'!$C:$O,4,0)),"")</f>
        <v/>
      </c>
      <c r="H128" s="55" t="str">
        <f>IFERROR(IF(OR($B128="",$B128="(blank)"),"",VLOOKUP($B128,'Email Marketing Raw Data'!$C:$O,5,0)),"")</f>
        <v/>
      </c>
      <c r="I128" s="55" t="str">
        <f>IFERROR(IF($G128="","",VLOOKUP('Dashboard And Emails Automate'!$G128,Database!$H:$N,3,0)),"")</f>
        <v/>
      </c>
      <c r="J128" s="55" t="str">
        <f>IFERROR(IF($G128="","",VLOOKUP('Dashboard And Emails Automate'!$G128,Database!$H:$N,4,0)),"")</f>
        <v/>
      </c>
      <c r="K128" s="55" t="str">
        <f>IFERROR(IF($G128="","",VLOOKUP('Dashboard And Emails Automate'!$G128,Database!$H:$N,5,0)),"")</f>
        <v/>
      </c>
      <c r="L128" s="55" t="str">
        <f>IFERROR(IF($G128="","",VLOOKUP('Dashboard And Emails Automate'!$G128,Database!$H:$N,6,0)),"")</f>
        <v/>
      </c>
      <c r="M128" s="55" t="str">
        <f>IFERROR(IF($G128="","",VLOOKUP('Dashboard And Emails Automate'!$G128,Database!$H:$N,7,0)),"")</f>
        <v/>
      </c>
      <c r="N128" s="55" t="str">
        <f>IFERROR(IF(OR($B128="",$B128="(blank)"),"",VLOOKUP($B128,'Email Marketing Raw Data'!$C:$O,6,0)),"")</f>
        <v/>
      </c>
      <c r="O128" s="55" t="str">
        <f>IFERROR(IF(OR($B128="",$B128="(blank)"),"",VLOOKUP($B128,'Email Marketing Raw Data'!$C:$O,7,0)),"")</f>
        <v/>
      </c>
      <c r="P128" s="55" t="str">
        <f>IFERROR(IF(OR($B128="",$B128="(blank)"),"",VLOOKUP($B128,'Email Marketing Raw Data'!$C:$O,8,0)),"")</f>
        <v/>
      </c>
      <c r="Q128" s="62" t="str">
        <f>IFERROR(IF(OR($B128="",$B128="(blank)"),"",VLOOKUP($B128,'Email Marketing Raw Data'!$C:$O,9,0)),"")</f>
        <v/>
      </c>
    </row>
    <row r="129" spans="4:17" ht="12.75" customHeight="1" x14ac:dyDescent="0.2">
      <c r="D129" s="58" t="str">
        <f>IFERROR(IF(F129&lt;&gt;"pending","",IF(OR($B129="",$B129="(blank)"),"",VLOOKUP($B129,'Email Marketing Raw Data'!$C:$O,10,0))),"")</f>
        <v/>
      </c>
      <c r="E129" s="59" t="str">
        <f>IFERROR(IF(F129&lt;&gt;"pending","",IF(OR($B129="",$B129="(blank)"),"",VLOOKUP($B129,'Email Marketing Raw Data'!$C:$O,11,0))),"")</f>
        <v/>
      </c>
      <c r="F129" s="54" t="str">
        <f>IFERROR(IF(OR($B129="",$B129="(blank)"),"",VLOOKUP($B129,'Email Marketing Raw Data'!$C:$O,13,0)),"")</f>
        <v/>
      </c>
      <c r="G129" s="55" t="str">
        <f>IFERROR(IF(OR($B129="",$B129="(blank)"),"",VLOOKUP($B129,'Email Marketing Raw Data'!$C:$O,4,0)),"")</f>
        <v/>
      </c>
      <c r="H129" s="55" t="str">
        <f>IFERROR(IF(OR($B129="",$B129="(blank)"),"",VLOOKUP($B129,'Email Marketing Raw Data'!$C:$O,5,0)),"")</f>
        <v/>
      </c>
      <c r="I129" s="55" t="str">
        <f>IFERROR(IF($G129="","",VLOOKUP('Dashboard And Emails Automate'!$G129,Database!$H:$N,3,0)),"")</f>
        <v/>
      </c>
      <c r="J129" s="55" t="str">
        <f>IFERROR(IF($G129="","",VLOOKUP('Dashboard And Emails Automate'!$G129,Database!$H:$N,4,0)),"")</f>
        <v/>
      </c>
      <c r="K129" s="55" t="str">
        <f>IFERROR(IF($G129="","",VLOOKUP('Dashboard And Emails Automate'!$G129,Database!$H:$N,5,0)),"")</f>
        <v/>
      </c>
      <c r="L129" s="55" t="str">
        <f>IFERROR(IF($G129="","",VLOOKUP('Dashboard And Emails Automate'!$G129,Database!$H:$N,6,0)),"")</f>
        <v/>
      </c>
      <c r="M129" s="55" t="str">
        <f>IFERROR(IF($G129="","",VLOOKUP('Dashboard And Emails Automate'!$G129,Database!$H:$N,7,0)),"")</f>
        <v/>
      </c>
      <c r="N129" s="55" t="str">
        <f>IFERROR(IF(OR($B129="",$B129="(blank)"),"",VLOOKUP($B129,'Email Marketing Raw Data'!$C:$O,6,0)),"")</f>
        <v/>
      </c>
      <c r="O129" s="55" t="str">
        <f>IFERROR(IF(OR($B129="",$B129="(blank)"),"",VLOOKUP($B129,'Email Marketing Raw Data'!$C:$O,7,0)),"")</f>
        <v/>
      </c>
      <c r="P129" s="55" t="str">
        <f>IFERROR(IF(OR($B129="",$B129="(blank)"),"",VLOOKUP($B129,'Email Marketing Raw Data'!$C:$O,8,0)),"")</f>
        <v/>
      </c>
      <c r="Q129" s="62" t="str">
        <f>IFERROR(IF(OR($B129="",$B129="(blank)"),"",VLOOKUP($B129,'Email Marketing Raw Data'!$C:$O,9,0)),"")</f>
        <v/>
      </c>
    </row>
    <row r="130" spans="4:17" ht="12.75" customHeight="1" x14ac:dyDescent="0.2">
      <c r="D130" s="58" t="str">
        <f>IFERROR(IF(F130&lt;&gt;"pending","",IF(OR($B130="",$B130="(blank)"),"",VLOOKUP($B130,'Email Marketing Raw Data'!$C:$O,10,0))),"")</f>
        <v/>
      </c>
      <c r="E130" s="59" t="str">
        <f>IFERROR(IF(F130&lt;&gt;"pending","",IF(OR($B130="",$B130="(blank)"),"",VLOOKUP($B130,'Email Marketing Raw Data'!$C:$O,11,0))),"")</f>
        <v/>
      </c>
      <c r="F130" s="54" t="str">
        <f>IFERROR(IF(OR($B130="",$B130="(blank)"),"",VLOOKUP($B130,'Email Marketing Raw Data'!$C:$O,13,0)),"")</f>
        <v/>
      </c>
      <c r="G130" s="55" t="str">
        <f>IFERROR(IF(OR($B130="",$B130="(blank)"),"",VLOOKUP($B130,'Email Marketing Raw Data'!$C:$O,4,0)),"")</f>
        <v/>
      </c>
      <c r="H130" s="55" t="str">
        <f>IFERROR(IF(OR($B130="",$B130="(blank)"),"",VLOOKUP($B130,'Email Marketing Raw Data'!$C:$O,5,0)),"")</f>
        <v/>
      </c>
      <c r="I130" s="55" t="str">
        <f>IFERROR(IF($G130="","",VLOOKUP('Dashboard And Emails Automate'!$G130,Database!$H:$N,3,0)),"")</f>
        <v/>
      </c>
      <c r="J130" s="55" t="str">
        <f>IFERROR(IF($G130="","",VLOOKUP('Dashboard And Emails Automate'!$G130,Database!$H:$N,4,0)),"")</f>
        <v/>
      </c>
      <c r="K130" s="55" t="str">
        <f>IFERROR(IF($G130="","",VLOOKUP('Dashboard And Emails Automate'!$G130,Database!$H:$N,5,0)),"")</f>
        <v/>
      </c>
      <c r="L130" s="55" t="str">
        <f>IFERROR(IF($G130="","",VLOOKUP('Dashboard And Emails Automate'!$G130,Database!$H:$N,6,0)),"")</f>
        <v/>
      </c>
      <c r="M130" s="55" t="str">
        <f>IFERROR(IF($G130="","",VLOOKUP('Dashboard And Emails Automate'!$G130,Database!$H:$N,7,0)),"")</f>
        <v/>
      </c>
      <c r="N130" s="55" t="str">
        <f>IFERROR(IF(OR($B130="",$B130="(blank)"),"",VLOOKUP($B130,'Email Marketing Raw Data'!$C:$O,6,0)),"")</f>
        <v/>
      </c>
      <c r="O130" s="55" t="str">
        <f>IFERROR(IF(OR($B130="",$B130="(blank)"),"",VLOOKUP($B130,'Email Marketing Raw Data'!$C:$O,7,0)),"")</f>
        <v/>
      </c>
      <c r="P130" s="55" t="str">
        <f>IFERROR(IF(OR($B130="",$B130="(blank)"),"",VLOOKUP($B130,'Email Marketing Raw Data'!$C:$O,8,0)),"")</f>
        <v/>
      </c>
      <c r="Q130" s="62" t="str">
        <f>IFERROR(IF(OR($B130="",$B130="(blank)"),"",VLOOKUP($B130,'Email Marketing Raw Data'!$C:$O,9,0)),"")</f>
        <v/>
      </c>
    </row>
    <row r="131" spans="4:17" ht="12.75" customHeight="1" x14ac:dyDescent="0.2">
      <c r="D131" s="58" t="str">
        <f>IFERROR(IF(F131&lt;&gt;"pending","",IF(OR($B131="",$B131="(blank)"),"",VLOOKUP($B131,'Email Marketing Raw Data'!$C:$O,10,0))),"")</f>
        <v/>
      </c>
      <c r="E131" s="59" t="str">
        <f>IFERROR(IF(F131&lt;&gt;"pending","",IF(OR($B131="",$B131="(blank)"),"",VLOOKUP($B131,'Email Marketing Raw Data'!$C:$O,11,0))),"")</f>
        <v/>
      </c>
      <c r="F131" s="54" t="str">
        <f>IFERROR(IF(OR($B131="",$B131="(blank)"),"",VLOOKUP($B131,'Email Marketing Raw Data'!$C:$O,13,0)),"")</f>
        <v/>
      </c>
      <c r="G131" s="55" t="str">
        <f>IFERROR(IF(OR($B131="",$B131="(blank)"),"",VLOOKUP($B131,'Email Marketing Raw Data'!$C:$O,4,0)),"")</f>
        <v/>
      </c>
      <c r="H131" s="55" t="str">
        <f>IFERROR(IF(OR($B131="",$B131="(blank)"),"",VLOOKUP($B131,'Email Marketing Raw Data'!$C:$O,5,0)),"")</f>
        <v/>
      </c>
      <c r="I131" s="55" t="str">
        <f>IFERROR(IF($G131="","",VLOOKUP('Dashboard And Emails Automate'!$G131,Database!$H:$N,3,0)),"")</f>
        <v/>
      </c>
      <c r="J131" s="55" t="str">
        <f>IFERROR(IF($G131="","",VLOOKUP('Dashboard And Emails Automate'!$G131,Database!$H:$N,4,0)),"")</f>
        <v/>
      </c>
      <c r="K131" s="55" t="str">
        <f>IFERROR(IF($G131="","",VLOOKUP('Dashboard And Emails Automate'!$G131,Database!$H:$N,5,0)),"")</f>
        <v/>
      </c>
      <c r="L131" s="55" t="str">
        <f>IFERROR(IF($G131="","",VLOOKUP('Dashboard And Emails Automate'!$G131,Database!$H:$N,6,0)),"")</f>
        <v/>
      </c>
      <c r="M131" s="55" t="str">
        <f>IFERROR(IF($G131="","",VLOOKUP('Dashboard And Emails Automate'!$G131,Database!$H:$N,7,0)),"")</f>
        <v/>
      </c>
      <c r="N131" s="55" t="str">
        <f>IFERROR(IF(OR($B131="",$B131="(blank)"),"",VLOOKUP($B131,'Email Marketing Raw Data'!$C:$O,6,0)),"")</f>
        <v/>
      </c>
      <c r="O131" s="55" t="str">
        <f>IFERROR(IF(OR($B131="",$B131="(blank)"),"",VLOOKUP($B131,'Email Marketing Raw Data'!$C:$O,7,0)),"")</f>
        <v/>
      </c>
      <c r="P131" s="55" t="str">
        <f>IFERROR(IF(OR($B131="",$B131="(blank)"),"",VLOOKUP($B131,'Email Marketing Raw Data'!$C:$O,8,0)),"")</f>
        <v/>
      </c>
      <c r="Q131" s="62" t="str">
        <f>IFERROR(IF(OR($B131="",$B131="(blank)"),"",VLOOKUP($B131,'Email Marketing Raw Data'!$C:$O,9,0)),"")</f>
        <v/>
      </c>
    </row>
    <row r="132" spans="4:17" ht="12.75" customHeight="1" x14ac:dyDescent="0.2">
      <c r="D132" s="58" t="str">
        <f>IFERROR(IF(F132&lt;&gt;"pending","",IF(OR($B132="",$B132="(blank)"),"",VLOOKUP($B132,'Email Marketing Raw Data'!$C:$O,10,0))),"")</f>
        <v/>
      </c>
      <c r="E132" s="59" t="str">
        <f>IFERROR(IF(F132&lt;&gt;"pending","",IF(OR($B132="",$B132="(blank)"),"",VLOOKUP($B132,'Email Marketing Raw Data'!$C:$O,11,0))),"")</f>
        <v/>
      </c>
      <c r="F132" s="54" t="str">
        <f>IFERROR(IF(OR($B132="",$B132="(blank)"),"",VLOOKUP($B132,'Email Marketing Raw Data'!$C:$O,13,0)),"")</f>
        <v/>
      </c>
      <c r="G132" s="55" t="str">
        <f>IFERROR(IF(OR($B132="",$B132="(blank)"),"",VLOOKUP($B132,'Email Marketing Raw Data'!$C:$O,4,0)),"")</f>
        <v/>
      </c>
      <c r="H132" s="55" t="str">
        <f>IFERROR(IF(OR($B132="",$B132="(blank)"),"",VLOOKUP($B132,'Email Marketing Raw Data'!$C:$O,5,0)),"")</f>
        <v/>
      </c>
      <c r="I132" s="55" t="str">
        <f>IFERROR(IF($G132="","",VLOOKUP('Dashboard And Emails Automate'!$G132,Database!$H:$N,3,0)),"")</f>
        <v/>
      </c>
      <c r="J132" s="55" t="str">
        <f>IFERROR(IF($G132="","",VLOOKUP('Dashboard And Emails Automate'!$G132,Database!$H:$N,4,0)),"")</f>
        <v/>
      </c>
      <c r="K132" s="55" t="str">
        <f>IFERROR(IF($G132="","",VLOOKUP('Dashboard And Emails Automate'!$G132,Database!$H:$N,5,0)),"")</f>
        <v/>
      </c>
      <c r="L132" s="55" t="str">
        <f>IFERROR(IF($G132="","",VLOOKUP('Dashboard And Emails Automate'!$G132,Database!$H:$N,6,0)),"")</f>
        <v/>
      </c>
      <c r="M132" s="55" t="str">
        <f>IFERROR(IF($G132="","",VLOOKUP('Dashboard And Emails Automate'!$G132,Database!$H:$N,7,0)),"")</f>
        <v/>
      </c>
      <c r="N132" s="55" t="str">
        <f>IFERROR(IF(OR($B132="",$B132="(blank)"),"",VLOOKUP($B132,'Email Marketing Raw Data'!$C:$O,6,0)),"")</f>
        <v/>
      </c>
      <c r="O132" s="55" t="str">
        <f>IFERROR(IF(OR($B132="",$B132="(blank)"),"",VLOOKUP($B132,'Email Marketing Raw Data'!$C:$O,7,0)),"")</f>
        <v/>
      </c>
      <c r="P132" s="55" t="str">
        <f>IFERROR(IF(OR($B132="",$B132="(blank)"),"",VLOOKUP($B132,'Email Marketing Raw Data'!$C:$O,8,0)),"")</f>
        <v/>
      </c>
      <c r="Q132" s="62" t="str">
        <f>IFERROR(IF(OR($B132="",$B132="(blank)"),"",VLOOKUP($B132,'Email Marketing Raw Data'!$C:$O,9,0)),"")</f>
        <v/>
      </c>
    </row>
    <row r="133" spans="4:17" ht="12.75" customHeight="1" x14ac:dyDescent="0.2">
      <c r="D133" s="58" t="str">
        <f>IFERROR(IF(F133&lt;&gt;"pending","",IF(OR($B133="",$B133="(blank)"),"",VLOOKUP($B133,'Email Marketing Raw Data'!$C:$O,10,0))),"")</f>
        <v/>
      </c>
      <c r="E133" s="59" t="str">
        <f>IFERROR(IF(F133&lt;&gt;"pending","",IF(OR($B133="",$B133="(blank)"),"",VLOOKUP($B133,'Email Marketing Raw Data'!$C:$O,11,0))),"")</f>
        <v/>
      </c>
      <c r="F133" s="54" t="str">
        <f>IFERROR(IF(OR($B133="",$B133="(blank)"),"",VLOOKUP($B133,'Email Marketing Raw Data'!$C:$O,13,0)),"")</f>
        <v/>
      </c>
      <c r="G133" s="55" t="str">
        <f>IFERROR(IF(OR($B133="",$B133="(blank)"),"",VLOOKUP($B133,'Email Marketing Raw Data'!$C:$O,4,0)),"")</f>
        <v/>
      </c>
      <c r="H133" s="55" t="str">
        <f>IFERROR(IF(OR($B133="",$B133="(blank)"),"",VLOOKUP($B133,'Email Marketing Raw Data'!$C:$O,5,0)),"")</f>
        <v/>
      </c>
      <c r="I133" s="55" t="str">
        <f>IFERROR(IF($G133="","",VLOOKUP('Dashboard And Emails Automate'!$G133,Database!$H:$N,3,0)),"")</f>
        <v/>
      </c>
      <c r="J133" s="55" t="str">
        <f>IFERROR(IF($G133="","",VLOOKUP('Dashboard And Emails Automate'!$G133,Database!$H:$N,4,0)),"")</f>
        <v/>
      </c>
      <c r="K133" s="55" t="str">
        <f>IFERROR(IF($G133="","",VLOOKUP('Dashboard And Emails Automate'!$G133,Database!$H:$N,5,0)),"")</f>
        <v/>
      </c>
      <c r="L133" s="55" t="str">
        <f>IFERROR(IF($G133="","",VLOOKUP('Dashboard And Emails Automate'!$G133,Database!$H:$N,6,0)),"")</f>
        <v/>
      </c>
      <c r="M133" s="55" t="str">
        <f>IFERROR(IF($G133="","",VLOOKUP('Dashboard And Emails Automate'!$G133,Database!$H:$N,7,0)),"")</f>
        <v/>
      </c>
      <c r="N133" s="55" t="str">
        <f>IFERROR(IF(OR($B133="",$B133="(blank)"),"",VLOOKUP($B133,'Email Marketing Raw Data'!$C:$O,6,0)),"")</f>
        <v/>
      </c>
      <c r="O133" s="55" t="str">
        <f>IFERROR(IF(OR($B133="",$B133="(blank)"),"",VLOOKUP($B133,'Email Marketing Raw Data'!$C:$O,7,0)),"")</f>
        <v/>
      </c>
      <c r="P133" s="55" t="str">
        <f>IFERROR(IF(OR($B133="",$B133="(blank)"),"",VLOOKUP($B133,'Email Marketing Raw Data'!$C:$O,8,0)),"")</f>
        <v/>
      </c>
      <c r="Q133" s="62" t="str">
        <f>IFERROR(IF(OR($B133="",$B133="(blank)"),"",VLOOKUP($B133,'Email Marketing Raw Data'!$C:$O,9,0)),"")</f>
        <v/>
      </c>
    </row>
    <row r="134" spans="4:17" ht="12.75" customHeight="1" x14ac:dyDescent="0.2">
      <c r="D134" s="58" t="str">
        <f>IFERROR(IF(F134&lt;&gt;"pending","",IF(OR($B134="",$B134="(blank)"),"",VLOOKUP($B134,'Email Marketing Raw Data'!$C:$O,10,0))),"")</f>
        <v/>
      </c>
      <c r="E134" s="59" t="str">
        <f>IFERROR(IF(F134&lt;&gt;"pending","",IF(OR($B134="",$B134="(blank)"),"",VLOOKUP($B134,'Email Marketing Raw Data'!$C:$O,11,0))),"")</f>
        <v/>
      </c>
      <c r="F134" s="54" t="str">
        <f>IFERROR(IF(OR($B134="",$B134="(blank)"),"",VLOOKUP($B134,'Email Marketing Raw Data'!$C:$O,13,0)),"")</f>
        <v/>
      </c>
      <c r="G134" s="55" t="str">
        <f>IFERROR(IF(OR($B134="",$B134="(blank)"),"",VLOOKUP($B134,'Email Marketing Raw Data'!$C:$O,4,0)),"")</f>
        <v/>
      </c>
      <c r="H134" s="55" t="str">
        <f>IFERROR(IF(OR($B134="",$B134="(blank)"),"",VLOOKUP($B134,'Email Marketing Raw Data'!$C:$O,5,0)),"")</f>
        <v/>
      </c>
      <c r="I134" s="55" t="str">
        <f>IFERROR(IF($G134="","",VLOOKUP('Dashboard And Emails Automate'!$G134,Database!$H:$N,3,0)),"")</f>
        <v/>
      </c>
      <c r="J134" s="55" t="str">
        <f>IFERROR(IF($G134="","",VLOOKUP('Dashboard And Emails Automate'!$G134,Database!$H:$N,4,0)),"")</f>
        <v/>
      </c>
      <c r="K134" s="55" t="str">
        <f>IFERROR(IF($G134="","",VLOOKUP('Dashboard And Emails Automate'!$G134,Database!$H:$N,5,0)),"")</f>
        <v/>
      </c>
      <c r="L134" s="55" t="str">
        <f>IFERROR(IF($G134="","",VLOOKUP('Dashboard And Emails Automate'!$G134,Database!$H:$N,6,0)),"")</f>
        <v/>
      </c>
      <c r="M134" s="55" t="str">
        <f>IFERROR(IF($G134="","",VLOOKUP('Dashboard And Emails Automate'!$G134,Database!$H:$N,7,0)),"")</f>
        <v/>
      </c>
      <c r="N134" s="55" t="str">
        <f>IFERROR(IF(OR($B134="",$B134="(blank)"),"",VLOOKUP($B134,'Email Marketing Raw Data'!$C:$O,6,0)),"")</f>
        <v/>
      </c>
      <c r="O134" s="55" t="str">
        <f>IFERROR(IF(OR($B134="",$B134="(blank)"),"",VLOOKUP($B134,'Email Marketing Raw Data'!$C:$O,7,0)),"")</f>
        <v/>
      </c>
      <c r="P134" s="55" t="str">
        <f>IFERROR(IF(OR($B134="",$B134="(blank)"),"",VLOOKUP($B134,'Email Marketing Raw Data'!$C:$O,8,0)),"")</f>
        <v/>
      </c>
      <c r="Q134" s="62" t="str">
        <f>IFERROR(IF(OR($B134="",$B134="(blank)"),"",VLOOKUP($B134,'Email Marketing Raw Data'!$C:$O,9,0)),"")</f>
        <v/>
      </c>
    </row>
    <row r="135" spans="4:17" ht="12.75" customHeight="1" x14ac:dyDescent="0.2">
      <c r="D135" s="58" t="str">
        <f>IFERROR(IF(F135&lt;&gt;"pending","",IF(OR($B135="",$B135="(blank)"),"",VLOOKUP($B135,'Email Marketing Raw Data'!$C:$O,10,0))),"")</f>
        <v/>
      </c>
      <c r="E135" s="59" t="str">
        <f>IFERROR(IF(F135&lt;&gt;"pending","",IF(OR($B135="",$B135="(blank)"),"",VLOOKUP($B135,'Email Marketing Raw Data'!$C:$O,11,0))),"")</f>
        <v/>
      </c>
      <c r="F135" s="54" t="str">
        <f>IFERROR(IF(OR($B135="",$B135="(blank)"),"",VLOOKUP($B135,'Email Marketing Raw Data'!$C:$O,13,0)),"")</f>
        <v/>
      </c>
      <c r="G135" s="55" t="str">
        <f>IFERROR(IF(OR($B135="",$B135="(blank)"),"",VLOOKUP($B135,'Email Marketing Raw Data'!$C:$O,4,0)),"")</f>
        <v/>
      </c>
      <c r="H135" s="55" t="str">
        <f>IFERROR(IF(OR($B135="",$B135="(blank)"),"",VLOOKUP($B135,'Email Marketing Raw Data'!$C:$O,5,0)),"")</f>
        <v/>
      </c>
      <c r="I135" s="55" t="str">
        <f>IFERROR(IF($G135="","",VLOOKUP('Dashboard And Emails Automate'!$G135,Database!$H:$N,3,0)),"")</f>
        <v/>
      </c>
      <c r="J135" s="55" t="str">
        <f>IFERROR(IF($G135="","",VLOOKUP('Dashboard And Emails Automate'!$G135,Database!$H:$N,4,0)),"")</f>
        <v/>
      </c>
      <c r="K135" s="55" t="str">
        <f>IFERROR(IF($G135="","",VLOOKUP('Dashboard And Emails Automate'!$G135,Database!$H:$N,5,0)),"")</f>
        <v/>
      </c>
      <c r="L135" s="55" t="str">
        <f>IFERROR(IF($G135="","",VLOOKUP('Dashboard And Emails Automate'!$G135,Database!$H:$N,6,0)),"")</f>
        <v/>
      </c>
      <c r="M135" s="55" t="str">
        <f>IFERROR(IF($G135="","",VLOOKUP('Dashboard And Emails Automate'!$G135,Database!$H:$N,7,0)),"")</f>
        <v/>
      </c>
      <c r="N135" s="55" t="str">
        <f>IFERROR(IF(OR($B135="",$B135="(blank)"),"",VLOOKUP($B135,'Email Marketing Raw Data'!$C:$O,6,0)),"")</f>
        <v/>
      </c>
      <c r="O135" s="55" t="str">
        <f>IFERROR(IF(OR($B135="",$B135="(blank)"),"",VLOOKUP($B135,'Email Marketing Raw Data'!$C:$O,7,0)),"")</f>
        <v/>
      </c>
      <c r="P135" s="55" t="str">
        <f>IFERROR(IF(OR($B135="",$B135="(blank)"),"",VLOOKUP($B135,'Email Marketing Raw Data'!$C:$O,8,0)),"")</f>
        <v/>
      </c>
      <c r="Q135" s="62" t="str">
        <f>IFERROR(IF(OR($B135="",$B135="(blank)"),"",VLOOKUP($B135,'Email Marketing Raw Data'!$C:$O,9,0)),"")</f>
        <v/>
      </c>
    </row>
    <row r="136" spans="4:17" ht="12.75" customHeight="1" x14ac:dyDescent="0.2">
      <c r="D136" s="58" t="str">
        <f>IFERROR(IF(F136&lt;&gt;"pending","",IF(OR($B136="",$B136="(blank)"),"",VLOOKUP($B136,'Email Marketing Raw Data'!$C:$O,10,0))),"")</f>
        <v/>
      </c>
      <c r="E136" s="59" t="str">
        <f>IFERROR(IF(F136&lt;&gt;"pending","",IF(OR($B136="",$B136="(blank)"),"",VLOOKUP($B136,'Email Marketing Raw Data'!$C:$O,11,0))),"")</f>
        <v/>
      </c>
      <c r="F136" s="54" t="str">
        <f>IFERROR(IF(OR($B136="",$B136="(blank)"),"",VLOOKUP($B136,'Email Marketing Raw Data'!$C:$O,13,0)),"")</f>
        <v/>
      </c>
      <c r="G136" s="55" t="str">
        <f>IFERROR(IF(OR($B136="",$B136="(blank)"),"",VLOOKUP($B136,'Email Marketing Raw Data'!$C:$O,4,0)),"")</f>
        <v/>
      </c>
      <c r="H136" s="55" t="str">
        <f>IFERROR(IF(OR($B136="",$B136="(blank)"),"",VLOOKUP($B136,'Email Marketing Raw Data'!$C:$O,5,0)),"")</f>
        <v/>
      </c>
      <c r="I136" s="55" t="str">
        <f>IFERROR(IF($G136="","",VLOOKUP('Dashboard And Emails Automate'!$G136,Database!$H:$N,3,0)),"")</f>
        <v/>
      </c>
      <c r="J136" s="55" t="str">
        <f>IFERROR(IF($G136="","",VLOOKUP('Dashboard And Emails Automate'!$G136,Database!$H:$N,4,0)),"")</f>
        <v/>
      </c>
      <c r="K136" s="55" t="str">
        <f>IFERROR(IF($G136="","",VLOOKUP('Dashboard And Emails Automate'!$G136,Database!$H:$N,5,0)),"")</f>
        <v/>
      </c>
      <c r="L136" s="55" t="str">
        <f>IFERROR(IF($G136="","",VLOOKUP('Dashboard And Emails Automate'!$G136,Database!$H:$N,6,0)),"")</f>
        <v/>
      </c>
      <c r="M136" s="55" t="str">
        <f>IFERROR(IF($G136="","",VLOOKUP('Dashboard And Emails Automate'!$G136,Database!$H:$N,7,0)),"")</f>
        <v/>
      </c>
      <c r="N136" s="55" t="str">
        <f>IFERROR(IF(OR($B136="",$B136="(blank)"),"",VLOOKUP($B136,'Email Marketing Raw Data'!$C:$O,6,0)),"")</f>
        <v/>
      </c>
      <c r="O136" s="55" t="str">
        <f>IFERROR(IF(OR($B136="",$B136="(blank)"),"",VLOOKUP($B136,'Email Marketing Raw Data'!$C:$O,7,0)),"")</f>
        <v/>
      </c>
      <c r="P136" s="55" t="str">
        <f>IFERROR(IF(OR($B136="",$B136="(blank)"),"",VLOOKUP($B136,'Email Marketing Raw Data'!$C:$O,8,0)),"")</f>
        <v/>
      </c>
      <c r="Q136" s="62" t="str">
        <f>IFERROR(IF(OR($B136="",$B136="(blank)"),"",VLOOKUP($B136,'Email Marketing Raw Data'!$C:$O,9,0)),"")</f>
        <v/>
      </c>
    </row>
    <row r="137" spans="4:17" ht="12.75" customHeight="1" x14ac:dyDescent="0.2">
      <c r="D137" s="58" t="str">
        <f>IFERROR(IF(F137&lt;&gt;"pending","",IF(OR($B137="",$B137="(blank)"),"",VLOOKUP($B137,'Email Marketing Raw Data'!$C:$O,10,0))),"")</f>
        <v/>
      </c>
      <c r="E137" s="59" t="str">
        <f>IFERROR(IF(F137&lt;&gt;"pending","",IF(OR($B137="",$B137="(blank)"),"",VLOOKUP($B137,'Email Marketing Raw Data'!$C:$O,11,0))),"")</f>
        <v/>
      </c>
      <c r="F137" s="54" t="str">
        <f>IFERROR(IF(OR($B137="",$B137="(blank)"),"",VLOOKUP($B137,'Email Marketing Raw Data'!$C:$O,13,0)),"")</f>
        <v/>
      </c>
      <c r="G137" s="55" t="str">
        <f>IFERROR(IF(OR($B137="",$B137="(blank)"),"",VLOOKUP($B137,'Email Marketing Raw Data'!$C:$O,4,0)),"")</f>
        <v/>
      </c>
      <c r="H137" s="55" t="str">
        <f>IFERROR(IF(OR($B137="",$B137="(blank)"),"",VLOOKUP($B137,'Email Marketing Raw Data'!$C:$O,5,0)),"")</f>
        <v/>
      </c>
      <c r="I137" s="55" t="str">
        <f>IFERROR(IF($G137="","",VLOOKUP('Dashboard And Emails Automate'!$G137,Database!$H:$N,3,0)),"")</f>
        <v/>
      </c>
      <c r="J137" s="55" t="str">
        <f>IFERROR(IF($G137="","",VLOOKUP('Dashboard And Emails Automate'!$G137,Database!$H:$N,4,0)),"")</f>
        <v/>
      </c>
      <c r="K137" s="55" t="str">
        <f>IFERROR(IF($G137="","",VLOOKUP('Dashboard And Emails Automate'!$G137,Database!$H:$N,5,0)),"")</f>
        <v/>
      </c>
      <c r="L137" s="55" t="str">
        <f>IFERROR(IF($G137="","",VLOOKUP('Dashboard And Emails Automate'!$G137,Database!$H:$N,6,0)),"")</f>
        <v/>
      </c>
      <c r="M137" s="55" t="str">
        <f>IFERROR(IF($G137="","",VLOOKUP('Dashboard And Emails Automate'!$G137,Database!$H:$N,7,0)),"")</f>
        <v/>
      </c>
      <c r="N137" s="55" t="str">
        <f>IFERROR(IF(OR($B137="",$B137="(blank)"),"",VLOOKUP($B137,'Email Marketing Raw Data'!$C:$O,6,0)),"")</f>
        <v/>
      </c>
      <c r="O137" s="55" t="str">
        <f>IFERROR(IF(OR($B137="",$B137="(blank)"),"",VLOOKUP($B137,'Email Marketing Raw Data'!$C:$O,7,0)),"")</f>
        <v/>
      </c>
      <c r="P137" s="55" t="str">
        <f>IFERROR(IF(OR($B137="",$B137="(blank)"),"",VLOOKUP($B137,'Email Marketing Raw Data'!$C:$O,8,0)),"")</f>
        <v/>
      </c>
      <c r="Q137" s="62" t="str">
        <f>IFERROR(IF(OR($B137="",$B137="(blank)"),"",VLOOKUP($B137,'Email Marketing Raw Data'!$C:$O,9,0)),"")</f>
        <v/>
      </c>
    </row>
    <row r="138" spans="4:17" ht="12.75" customHeight="1" x14ac:dyDescent="0.2">
      <c r="D138" s="58" t="str">
        <f>IFERROR(IF(F138&lt;&gt;"pending","",IF(OR($B138="",$B138="(blank)"),"",VLOOKUP($B138,'Email Marketing Raw Data'!$C:$O,10,0))),"")</f>
        <v/>
      </c>
      <c r="E138" s="59" t="str">
        <f>IFERROR(IF(F138&lt;&gt;"pending","",IF(OR($B138="",$B138="(blank)"),"",VLOOKUP($B138,'Email Marketing Raw Data'!$C:$O,11,0))),"")</f>
        <v/>
      </c>
      <c r="F138" s="54" t="str">
        <f>IFERROR(IF(OR($B138="",$B138="(blank)"),"",VLOOKUP($B138,'Email Marketing Raw Data'!$C:$O,13,0)),"")</f>
        <v/>
      </c>
      <c r="G138" s="55" t="str">
        <f>IFERROR(IF(OR($B138="",$B138="(blank)"),"",VLOOKUP($B138,'Email Marketing Raw Data'!$C:$O,4,0)),"")</f>
        <v/>
      </c>
      <c r="H138" s="55" t="str">
        <f>IFERROR(IF(OR($B138="",$B138="(blank)"),"",VLOOKUP($B138,'Email Marketing Raw Data'!$C:$O,5,0)),"")</f>
        <v/>
      </c>
      <c r="I138" s="55" t="str">
        <f>IFERROR(IF($G138="","",VLOOKUP('Dashboard And Emails Automate'!$G138,Database!$H:$N,3,0)),"")</f>
        <v/>
      </c>
      <c r="J138" s="55" t="str">
        <f>IFERROR(IF($G138="","",VLOOKUP('Dashboard And Emails Automate'!$G138,Database!$H:$N,4,0)),"")</f>
        <v/>
      </c>
      <c r="K138" s="55" t="str">
        <f>IFERROR(IF($G138="","",VLOOKUP('Dashboard And Emails Automate'!$G138,Database!$H:$N,5,0)),"")</f>
        <v/>
      </c>
      <c r="L138" s="55" t="str">
        <f>IFERROR(IF($G138="","",VLOOKUP('Dashboard And Emails Automate'!$G138,Database!$H:$N,6,0)),"")</f>
        <v/>
      </c>
      <c r="M138" s="55" t="str">
        <f>IFERROR(IF($G138="","",VLOOKUP('Dashboard And Emails Automate'!$G138,Database!$H:$N,7,0)),"")</f>
        <v/>
      </c>
      <c r="N138" s="55" t="str">
        <f>IFERROR(IF(OR($B138="",$B138="(blank)"),"",VLOOKUP($B138,'Email Marketing Raw Data'!$C:$O,6,0)),"")</f>
        <v/>
      </c>
      <c r="O138" s="55" t="str">
        <f>IFERROR(IF(OR($B138="",$B138="(blank)"),"",VLOOKUP($B138,'Email Marketing Raw Data'!$C:$O,7,0)),"")</f>
        <v/>
      </c>
      <c r="P138" s="55" t="str">
        <f>IFERROR(IF(OR($B138="",$B138="(blank)"),"",VLOOKUP($B138,'Email Marketing Raw Data'!$C:$O,8,0)),"")</f>
        <v/>
      </c>
      <c r="Q138" s="62" t="str">
        <f>IFERROR(IF(OR($B138="",$B138="(blank)"),"",VLOOKUP($B138,'Email Marketing Raw Data'!$C:$O,9,0)),"")</f>
        <v/>
      </c>
    </row>
    <row r="139" spans="4:17" ht="12.75" customHeight="1" x14ac:dyDescent="0.2">
      <c r="D139" s="58" t="str">
        <f>IFERROR(IF(F139&lt;&gt;"pending","",IF(OR($B139="",$B139="(blank)"),"",VLOOKUP($B139,'Email Marketing Raw Data'!$C:$O,10,0))),"")</f>
        <v/>
      </c>
      <c r="E139" s="59" t="str">
        <f>IFERROR(IF(F139&lt;&gt;"pending","",IF(OR($B139="",$B139="(blank)"),"",VLOOKUP($B139,'Email Marketing Raw Data'!$C:$O,11,0))),"")</f>
        <v/>
      </c>
      <c r="F139" s="54" t="str">
        <f>IFERROR(IF(OR($B139="",$B139="(blank)"),"",VLOOKUP($B139,'Email Marketing Raw Data'!$C:$O,13,0)),"")</f>
        <v/>
      </c>
      <c r="G139" s="55" t="str">
        <f>IFERROR(IF(OR($B139="",$B139="(blank)"),"",VLOOKUP($B139,'Email Marketing Raw Data'!$C:$O,4,0)),"")</f>
        <v/>
      </c>
      <c r="H139" s="55" t="str">
        <f>IFERROR(IF(OR($B139="",$B139="(blank)"),"",VLOOKUP($B139,'Email Marketing Raw Data'!$C:$O,5,0)),"")</f>
        <v/>
      </c>
      <c r="I139" s="55" t="str">
        <f>IFERROR(IF($G139="","",VLOOKUP('Dashboard And Emails Automate'!$G139,Database!$H:$N,3,0)),"")</f>
        <v/>
      </c>
      <c r="J139" s="55" t="str">
        <f>IFERROR(IF($G139="","",VLOOKUP('Dashboard And Emails Automate'!$G139,Database!$H:$N,4,0)),"")</f>
        <v/>
      </c>
      <c r="K139" s="55" t="str">
        <f>IFERROR(IF($G139="","",VLOOKUP('Dashboard And Emails Automate'!$G139,Database!$H:$N,5,0)),"")</f>
        <v/>
      </c>
      <c r="L139" s="55" t="str">
        <f>IFERROR(IF($G139="","",VLOOKUP('Dashboard And Emails Automate'!$G139,Database!$H:$N,6,0)),"")</f>
        <v/>
      </c>
      <c r="M139" s="55" t="str">
        <f>IFERROR(IF($G139="","",VLOOKUP('Dashboard And Emails Automate'!$G139,Database!$H:$N,7,0)),"")</f>
        <v/>
      </c>
      <c r="N139" s="55" t="str">
        <f>IFERROR(IF(OR($B139="",$B139="(blank)"),"",VLOOKUP($B139,'Email Marketing Raw Data'!$C:$O,6,0)),"")</f>
        <v/>
      </c>
      <c r="O139" s="55" t="str">
        <f>IFERROR(IF(OR($B139="",$B139="(blank)"),"",VLOOKUP($B139,'Email Marketing Raw Data'!$C:$O,7,0)),"")</f>
        <v/>
      </c>
      <c r="P139" s="55" t="str">
        <f>IFERROR(IF(OR($B139="",$B139="(blank)"),"",VLOOKUP($B139,'Email Marketing Raw Data'!$C:$O,8,0)),"")</f>
        <v/>
      </c>
      <c r="Q139" s="62" t="str">
        <f>IFERROR(IF(OR($B139="",$B139="(blank)"),"",VLOOKUP($B139,'Email Marketing Raw Data'!$C:$O,9,0)),"")</f>
        <v/>
      </c>
    </row>
    <row r="140" spans="4:17" ht="12.75" customHeight="1" x14ac:dyDescent="0.2">
      <c r="D140" s="58" t="str">
        <f>IFERROR(IF(F140&lt;&gt;"pending","",IF(OR($B140="",$B140="(blank)"),"",VLOOKUP($B140,'Email Marketing Raw Data'!$C:$O,10,0))),"")</f>
        <v/>
      </c>
      <c r="E140" s="59" t="str">
        <f>IFERROR(IF(F140&lt;&gt;"pending","",IF(OR($B140="",$B140="(blank)"),"",VLOOKUP($B140,'Email Marketing Raw Data'!$C:$O,11,0))),"")</f>
        <v/>
      </c>
      <c r="F140" s="54" t="str">
        <f>IFERROR(IF(OR($B140="",$B140="(blank)"),"",VLOOKUP($B140,'Email Marketing Raw Data'!$C:$O,13,0)),"")</f>
        <v/>
      </c>
      <c r="G140" s="55" t="str">
        <f>IFERROR(IF(OR($B140="",$B140="(blank)"),"",VLOOKUP($B140,'Email Marketing Raw Data'!$C:$O,4,0)),"")</f>
        <v/>
      </c>
      <c r="H140" s="55" t="str">
        <f>IFERROR(IF(OR($B140="",$B140="(blank)"),"",VLOOKUP($B140,'Email Marketing Raw Data'!$C:$O,5,0)),"")</f>
        <v/>
      </c>
      <c r="I140" s="55" t="str">
        <f>IFERROR(IF($G140="","",VLOOKUP('Dashboard And Emails Automate'!$G140,Database!$H:$N,3,0)),"")</f>
        <v/>
      </c>
      <c r="J140" s="55" t="str">
        <f>IFERROR(IF($G140="","",VLOOKUP('Dashboard And Emails Automate'!$G140,Database!$H:$N,4,0)),"")</f>
        <v/>
      </c>
      <c r="K140" s="55" t="str">
        <f>IFERROR(IF($G140="","",VLOOKUP('Dashboard And Emails Automate'!$G140,Database!$H:$N,5,0)),"")</f>
        <v/>
      </c>
      <c r="L140" s="55" t="str">
        <f>IFERROR(IF($G140="","",VLOOKUP('Dashboard And Emails Automate'!$G140,Database!$H:$N,6,0)),"")</f>
        <v/>
      </c>
      <c r="M140" s="55" t="str">
        <f>IFERROR(IF($G140="","",VLOOKUP('Dashboard And Emails Automate'!$G140,Database!$H:$N,7,0)),"")</f>
        <v/>
      </c>
      <c r="N140" s="55" t="str">
        <f>IFERROR(IF(OR($B140="",$B140="(blank)"),"",VLOOKUP($B140,'Email Marketing Raw Data'!$C:$O,6,0)),"")</f>
        <v/>
      </c>
      <c r="O140" s="55" t="str">
        <f>IFERROR(IF(OR($B140="",$B140="(blank)"),"",VLOOKUP($B140,'Email Marketing Raw Data'!$C:$O,7,0)),"")</f>
        <v/>
      </c>
      <c r="P140" s="55" t="str">
        <f>IFERROR(IF(OR($B140="",$B140="(blank)"),"",VLOOKUP($B140,'Email Marketing Raw Data'!$C:$O,8,0)),"")</f>
        <v/>
      </c>
      <c r="Q140" s="62" t="str">
        <f>IFERROR(IF(OR($B140="",$B140="(blank)"),"",VLOOKUP($B140,'Email Marketing Raw Data'!$C:$O,9,0)),"")</f>
        <v/>
      </c>
    </row>
    <row r="141" spans="4:17" ht="12.75" customHeight="1" x14ac:dyDescent="0.2">
      <c r="D141" s="58" t="str">
        <f>IFERROR(IF(F141&lt;&gt;"pending","",IF(OR($B141="",$B141="(blank)"),"",VLOOKUP($B141,'Email Marketing Raw Data'!$C:$O,10,0))),"")</f>
        <v/>
      </c>
      <c r="E141" s="59" t="str">
        <f>IFERROR(IF(F141&lt;&gt;"pending","",IF(OR($B141="",$B141="(blank)"),"",VLOOKUP($B141,'Email Marketing Raw Data'!$C:$O,11,0))),"")</f>
        <v/>
      </c>
      <c r="F141" s="54" t="str">
        <f>IFERROR(IF(OR($B141="",$B141="(blank)"),"",VLOOKUP($B141,'Email Marketing Raw Data'!$C:$O,13,0)),"")</f>
        <v/>
      </c>
      <c r="G141" s="55" t="str">
        <f>IFERROR(IF(OR($B141="",$B141="(blank)"),"",VLOOKUP($B141,'Email Marketing Raw Data'!$C:$O,4,0)),"")</f>
        <v/>
      </c>
      <c r="H141" s="55" t="str">
        <f>IFERROR(IF(OR($B141="",$B141="(blank)"),"",VLOOKUP($B141,'Email Marketing Raw Data'!$C:$O,5,0)),"")</f>
        <v/>
      </c>
      <c r="I141" s="55" t="str">
        <f>IFERROR(IF($G141="","",VLOOKUP('Dashboard And Emails Automate'!$G141,Database!$H:$N,3,0)),"")</f>
        <v/>
      </c>
      <c r="J141" s="55" t="str">
        <f>IFERROR(IF($G141="","",VLOOKUP('Dashboard And Emails Automate'!$G141,Database!$H:$N,4,0)),"")</f>
        <v/>
      </c>
      <c r="K141" s="55" t="str">
        <f>IFERROR(IF($G141="","",VLOOKUP('Dashboard And Emails Automate'!$G141,Database!$H:$N,5,0)),"")</f>
        <v/>
      </c>
      <c r="L141" s="55" t="str">
        <f>IFERROR(IF($G141="","",VLOOKUP('Dashboard And Emails Automate'!$G141,Database!$H:$N,6,0)),"")</f>
        <v/>
      </c>
      <c r="M141" s="55" t="str">
        <f>IFERROR(IF($G141="","",VLOOKUP('Dashboard And Emails Automate'!$G141,Database!$H:$N,7,0)),"")</f>
        <v/>
      </c>
      <c r="N141" s="55" t="str">
        <f>IFERROR(IF(OR($B141="",$B141="(blank)"),"",VLOOKUP($B141,'Email Marketing Raw Data'!$C:$O,6,0)),"")</f>
        <v/>
      </c>
      <c r="O141" s="55" t="str">
        <f>IFERROR(IF(OR($B141="",$B141="(blank)"),"",VLOOKUP($B141,'Email Marketing Raw Data'!$C:$O,7,0)),"")</f>
        <v/>
      </c>
      <c r="P141" s="55" t="str">
        <f>IFERROR(IF(OR($B141="",$B141="(blank)"),"",VLOOKUP($B141,'Email Marketing Raw Data'!$C:$O,8,0)),"")</f>
        <v/>
      </c>
      <c r="Q141" s="62" t="str">
        <f>IFERROR(IF(OR($B141="",$B141="(blank)"),"",VLOOKUP($B141,'Email Marketing Raw Data'!$C:$O,9,0)),"")</f>
        <v/>
      </c>
    </row>
    <row r="142" spans="4:17" ht="12.75" customHeight="1" x14ac:dyDescent="0.2">
      <c r="D142" s="58" t="str">
        <f>IFERROR(IF(F142&lt;&gt;"pending","",IF(OR($B142="",$B142="(blank)"),"",VLOOKUP($B142,'Email Marketing Raw Data'!$C:$O,10,0))),"")</f>
        <v/>
      </c>
      <c r="E142" s="59" t="str">
        <f>IFERROR(IF(F142&lt;&gt;"pending","",IF(OR($B142="",$B142="(blank)"),"",VLOOKUP($B142,'Email Marketing Raw Data'!$C:$O,11,0))),"")</f>
        <v/>
      </c>
      <c r="F142" s="54" t="str">
        <f>IFERROR(IF(OR($B142="",$B142="(blank)"),"",VLOOKUP($B142,'Email Marketing Raw Data'!$C:$O,13,0)),"")</f>
        <v/>
      </c>
      <c r="G142" s="55" t="str">
        <f>IFERROR(IF(OR($B142="",$B142="(blank)"),"",VLOOKUP($B142,'Email Marketing Raw Data'!$C:$O,4,0)),"")</f>
        <v/>
      </c>
      <c r="H142" s="55" t="str">
        <f>IFERROR(IF(OR($B142="",$B142="(blank)"),"",VLOOKUP($B142,'Email Marketing Raw Data'!$C:$O,5,0)),"")</f>
        <v/>
      </c>
      <c r="I142" s="55" t="str">
        <f>IFERROR(IF($G142="","",VLOOKUP('Dashboard And Emails Automate'!$G142,Database!$H:$N,3,0)),"")</f>
        <v/>
      </c>
      <c r="J142" s="55" t="str">
        <f>IFERROR(IF($G142="","",VLOOKUP('Dashboard And Emails Automate'!$G142,Database!$H:$N,4,0)),"")</f>
        <v/>
      </c>
      <c r="K142" s="55" t="str">
        <f>IFERROR(IF($G142="","",VLOOKUP('Dashboard And Emails Automate'!$G142,Database!$H:$N,5,0)),"")</f>
        <v/>
      </c>
      <c r="L142" s="55" t="str">
        <f>IFERROR(IF($G142="","",VLOOKUP('Dashboard And Emails Automate'!$G142,Database!$H:$N,6,0)),"")</f>
        <v/>
      </c>
      <c r="M142" s="55" t="str">
        <f>IFERROR(IF($G142="","",VLOOKUP('Dashboard And Emails Automate'!$G142,Database!$H:$N,7,0)),"")</f>
        <v/>
      </c>
      <c r="N142" s="55" t="str">
        <f>IFERROR(IF(OR($B142="",$B142="(blank)"),"",VLOOKUP($B142,'Email Marketing Raw Data'!$C:$O,6,0)),"")</f>
        <v/>
      </c>
      <c r="O142" s="55" t="str">
        <f>IFERROR(IF(OR($B142="",$B142="(blank)"),"",VLOOKUP($B142,'Email Marketing Raw Data'!$C:$O,7,0)),"")</f>
        <v/>
      </c>
      <c r="P142" s="55" t="str">
        <f>IFERROR(IF(OR($B142="",$B142="(blank)"),"",VLOOKUP($B142,'Email Marketing Raw Data'!$C:$O,8,0)),"")</f>
        <v/>
      </c>
      <c r="Q142" s="62" t="str">
        <f>IFERROR(IF(OR($B142="",$B142="(blank)"),"",VLOOKUP($B142,'Email Marketing Raw Data'!$C:$O,9,0)),"")</f>
        <v/>
      </c>
    </row>
    <row r="143" spans="4:17" ht="12.75" customHeight="1" x14ac:dyDescent="0.2">
      <c r="D143" s="58" t="str">
        <f>IFERROR(IF(F143&lt;&gt;"pending","",IF(OR($B143="",$B143="(blank)"),"",VLOOKUP($B143,'Email Marketing Raw Data'!$C:$O,10,0))),"")</f>
        <v/>
      </c>
      <c r="E143" s="59" t="str">
        <f>IFERROR(IF(F143&lt;&gt;"pending","",IF(OR($B143="",$B143="(blank)"),"",VLOOKUP($B143,'Email Marketing Raw Data'!$C:$O,11,0))),"")</f>
        <v/>
      </c>
      <c r="F143" s="54" t="str">
        <f>IFERROR(IF(OR($B143="",$B143="(blank)"),"",VLOOKUP($B143,'Email Marketing Raw Data'!$C:$O,13,0)),"")</f>
        <v/>
      </c>
      <c r="G143" s="55" t="str">
        <f>IFERROR(IF(OR($B143="",$B143="(blank)"),"",VLOOKUP($B143,'Email Marketing Raw Data'!$C:$O,4,0)),"")</f>
        <v/>
      </c>
      <c r="H143" s="55" t="str">
        <f>IFERROR(IF(OR($B143="",$B143="(blank)"),"",VLOOKUP($B143,'Email Marketing Raw Data'!$C:$O,5,0)),"")</f>
        <v/>
      </c>
      <c r="I143" s="55" t="str">
        <f>IFERROR(IF($G143="","",VLOOKUP('Dashboard And Emails Automate'!$G143,Database!$H:$N,3,0)),"")</f>
        <v/>
      </c>
      <c r="J143" s="55" t="str">
        <f>IFERROR(IF($G143="","",VLOOKUP('Dashboard And Emails Automate'!$G143,Database!$H:$N,4,0)),"")</f>
        <v/>
      </c>
      <c r="K143" s="55" t="str">
        <f>IFERROR(IF($G143="","",VLOOKUP('Dashboard And Emails Automate'!$G143,Database!$H:$N,5,0)),"")</f>
        <v/>
      </c>
      <c r="L143" s="55" t="str">
        <f>IFERROR(IF($G143="","",VLOOKUP('Dashboard And Emails Automate'!$G143,Database!$H:$N,6,0)),"")</f>
        <v/>
      </c>
      <c r="M143" s="55" t="str">
        <f>IFERROR(IF($G143="","",VLOOKUP('Dashboard And Emails Automate'!$G143,Database!$H:$N,7,0)),"")</f>
        <v/>
      </c>
      <c r="N143" s="55" t="str">
        <f>IFERROR(IF(OR($B143="",$B143="(blank)"),"",VLOOKUP($B143,'Email Marketing Raw Data'!$C:$O,6,0)),"")</f>
        <v/>
      </c>
      <c r="O143" s="55" t="str">
        <f>IFERROR(IF(OR($B143="",$B143="(blank)"),"",VLOOKUP($B143,'Email Marketing Raw Data'!$C:$O,7,0)),"")</f>
        <v/>
      </c>
      <c r="P143" s="55" t="str">
        <f>IFERROR(IF(OR($B143="",$B143="(blank)"),"",VLOOKUP($B143,'Email Marketing Raw Data'!$C:$O,8,0)),"")</f>
        <v/>
      </c>
      <c r="Q143" s="62" t="str">
        <f>IFERROR(IF(OR($B143="",$B143="(blank)"),"",VLOOKUP($B143,'Email Marketing Raw Data'!$C:$O,9,0)),"")</f>
        <v/>
      </c>
    </row>
    <row r="144" spans="4:17" ht="12.75" customHeight="1" x14ac:dyDescent="0.2">
      <c r="D144" s="58" t="str">
        <f>IFERROR(IF(F144&lt;&gt;"pending","",IF(OR($B144="",$B144="(blank)"),"",VLOOKUP($B144,'Email Marketing Raw Data'!$C:$O,10,0))),"")</f>
        <v/>
      </c>
      <c r="E144" s="59" t="str">
        <f>IFERROR(IF(F144&lt;&gt;"pending","",IF(OR($B144="",$B144="(blank)"),"",VLOOKUP($B144,'Email Marketing Raw Data'!$C:$O,11,0))),"")</f>
        <v/>
      </c>
      <c r="F144" s="54" t="str">
        <f>IFERROR(IF(OR($B144="",$B144="(blank)"),"",VLOOKUP($B144,'Email Marketing Raw Data'!$C:$O,13,0)),"")</f>
        <v/>
      </c>
      <c r="G144" s="55" t="str">
        <f>IFERROR(IF(OR($B144="",$B144="(blank)"),"",VLOOKUP($B144,'Email Marketing Raw Data'!$C:$O,4,0)),"")</f>
        <v/>
      </c>
      <c r="H144" s="55" t="str">
        <f>IFERROR(IF(OR($B144="",$B144="(blank)"),"",VLOOKUP($B144,'Email Marketing Raw Data'!$C:$O,5,0)),"")</f>
        <v/>
      </c>
      <c r="I144" s="55" t="str">
        <f>IFERROR(IF($G144="","",VLOOKUP('Dashboard And Emails Automate'!$G144,Database!$H:$N,3,0)),"")</f>
        <v/>
      </c>
      <c r="J144" s="55" t="str">
        <f>IFERROR(IF($G144="","",VLOOKUP('Dashboard And Emails Automate'!$G144,Database!$H:$N,4,0)),"")</f>
        <v/>
      </c>
      <c r="K144" s="55" t="str">
        <f>IFERROR(IF($G144="","",VLOOKUP('Dashboard And Emails Automate'!$G144,Database!$H:$N,5,0)),"")</f>
        <v/>
      </c>
      <c r="L144" s="55" t="str">
        <f>IFERROR(IF($G144="","",VLOOKUP('Dashboard And Emails Automate'!$G144,Database!$H:$N,6,0)),"")</f>
        <v/>
      </c>
      <c r="M144" s="55" t="str">
        <f>IFERROR(IF($G144="","",VLOOKUP('Dashboard And Emails Automate'!$G144,Database!$H:$N,7,0)),"")</f>
        <v/>
      </c>
      <c r="N144" s="55" t="str">
        <f>IFERROR(IF(OR($B144="",$B144="(blank)"),"",VLOOKUP($B144,'Email Marketing Raw Data'!$C:$O,6,0)),"")</f>
        <v/>
      </c>
      <c r="O144" s="55" t="str">
        <f>IFERROR(IF(OR($B144="",$B144="(blank)"),"",VLOOKUP($B144,'Email Marketing Raw Data'!$C:$O,7,0)),"")</f>
        <v/>
      </c>
      <c r="P144" s="55" t="str">
        <f>IFERROR(IF(OR($B144="",$B144="(blank)"),"",VLOOKUP($B144,'Email Marketing Raw Data'!$C:$O,8,0)),"")</f>
        <v/>
      </c>
      <c r="Q144" s="62" t="str">
        <f>IFERROR(IF(OR($B144="",$B144="(blank)"),"",VLOOKUP($B144,'Email Marketing Raw Data'!$C:$O,9,0)),"")</f>
        <v/>
      </c>
    </row>
    <row r="145" spans="4:17" ht="12.75" customHeight="1" x14ac:dyDescent="0.2">
      <c r="D145" s="58" t="str">
        <f>IFERROR(IF(F145&lt;&gt;"pending","",IF(OR($B145="",$B145="(blank)"),"",VLOOKUP($B145,'Email Marketing Raw Data'!$C:$O,10,0))),"")</f>
        <v/>
      </c>
      <c r="E145" s="59" t="str">
        <f>IFERROR(IF(F145&lt;&gt;"pending","",IF(OR($B145="",$B145="(blank)"),"",VLOOKUP($B145,'Email Marketing Raw Data'!$C:$O,11,0))),"")</f>
        <v/>
      </c>
      <c r="F145" s="54" t="str">
        <f>IFERROR(IF(OR($B145="",$B145="(blank)"),"",VLOOKUP($B145,'Email Marketing Raw Data'!$C:$O,13,0)),"")</f>
        <v/>
      </c>
      <c r="G145" s="55" t="str">
        <f>IFERROR(IF(OR($B145="",$B145="(blank)"),"",VLOOKUP($B145,'Email Marketing Raw Data'!$C:$O,4,0)),"")</f>
        <v/>
      </c>
      <c r="H145" s="55" t="str">
        <f>IFERROR(IF(OR($B145="",$B145="(blank)"),"",VLOOKUP($B145,'Email Marketing Raw Data'!$C:$O,5,0)),"")</f>
        <v/>
      </c>
      <c r="I145" s="55" t="str">
        <f>IFERROR(IF($G145="","",VLOOKUP('Dashboard And Emails Automate'!$G145,Database!$H:$N,3,0)),"")</f>
        <v/>
      </c>
      <c r="J145" s="55" t="str">
        <f>IFERROR(IF($G145="","",VLOOKUP('Dashboard And Emails Automate'!$G145,Database!$H:$N,4,0)),"")</f>
        <v/>
      </c>
      <c r="K145" s="55" t="str">
        <f>IFERROR(IF($G145="","",VLOOKUP('Dashboard And Emails Automate'!$G145,Database!$H:$N,5,0)),"")</f>
        <v/>
      </c>
      <c r="L145" s="55" t="str">
        <f>IFERROR(IF($G145="","",VLOOKUP('Dashboard And Emails Automate'!$G145,Database!$H:$N,6,0)),"")</f>
        <v/>
      </c>
      <c r="M145" s="55" t="str">
        <f>IFERROR(IF($G145="","",VLOOKUP('Dashboard And Emails Automate'!$G145,Database!$H:$N,7,0)),"")</f>
        <v/>
      </c>
      <c r="N145" s="55" t="str">
        <f>IFERROR(IF(OR($B145="",$B145="(blank)"),"",VLOOKUP($B145,'Email Marketing Raw Data'!$C:$O,6,0)),"")</f>
        <v/>
      </c>
      <c r="O145" s="55" t="str">
        <f>IFERROR(IF(OR($B145="",$B145="(blank)"),"",VLOOKUP($B145,'Email Marketing Raw Data'!$C:$O,7,0)),"")</f>
        <v/>
      </c>
      <c r="P145" s="55" t="str">
        <f>IFERROR(IF(OR($B145="",$B145="(blank)"),"",VLOOKUP($B145,'Email Marketing Raw Data'!$C:$O,8,0)),"")</f>
        <v/>
      </c>
      <c r="Q145" s="62" t="str">
        <f>IFERROR(IF(OR($B145="",$B145="(blank)"),"",VLOOKUP($B145,'Email Marketing Raw Data'!$C:$O,9,0)),"")</f>
        <v/>
      </c>
    </row>
    <row r="146" spans="4:17" ht="12.75" customHeight="1" x14ac:dyDescent="0.2">
      <c r="D146" s="58" t="str">
        <f>IFERROR(IF(F146&lt;&gt;"pending","",IF(OR($B146="",$B146="(blank)"),"",VLOOKUP($B146,'Email Marketing Raw Data'!$C:$O,10,0))),"")</f>
        <v/>
      </c>
      <c r="E146" s="59" t="str">
        <f>IFERROR(IF(F146&lt;&gt;"pending","",IF(OR($B146="",$B146="(blank)"),"",VLOOKUP($B146,'Email Marketing Raw Data'!$C:$O,11,0))),"")</f>
        <v/>
      </c>
      <c r="F146" s="54" t="str">
        <f>IFERROR(IF(OR($B146="",$B146="(blank)"),"",VLOOKUP($B146,'Email Marketing Raw Data'!$C:$O,13,0)),"")</f>
        <v/>
      </c>
      <c r="G146" s="55" t="str">
        <f>IFERROR(IF(OR($B146="",$B146="(blank)"),"",VLOOKUP($B146,'Email Marketing Raw Data'!$C:$O,4,0)),"")</f>
        <v/>
      </c>
      <c r="H146" s="55" t="str">
        <f>IFERROR(IF(OR($B146="",$B146="(blank)"),"",VLOOKUP($B146,'Email Marketing Raw Data'!$C:$O,5,0)),"")</f>
        <v/>
      </c>
      <c r="I146" s="55" t="str">
        <f>IFERROR(IF($G146="","",VLOOKUP('Dashboard And Emails Automate'!$G146,Database!$H:$N,3,0)),"")</f>
        <v/>
      </c>
      <c r="J146" s="55" t="str">
        <f>IFERROR(IF($G146="","",VLOOKUP('Dashboard And Emails Automate'!$G146,Database!$H:$N,4,0)),"")</f>
        <v/>
      </c>
      <c r="K146" s="55" t="str">
        <f>IFERROR(IF($G146="","",VLOOKUP('Dashboard And Emails Automate'!$G146,Database!$H:$N,5,0)),"")</f>
        <v/>
      </c>
      <c r="L146" s="55" t="str">
        <f>IFERROR(IF($G146="","",VLOOKUP('Dashboard And Emails Automate'!$G146,Database!$H:$N,6,0)),"")</f>
        <v/>
      </c>
      <c r="M146" s="55" t="str">
        <f>IFERROR(IF($G146="","",VLOOKUP('Dashboard And Emails Automate'!$G146,Database!$H:$N,7,0)),"")</f>
        <v/>
      </c>
      <c r="N146" s="55" t="str">
        <f>IFERROR(IF(OR($B146="",$B146="(blank)"),"",VLOOKUP($B146,'Email Marketing Raw Data'!$C:$O,6,0)),"")</f>
        <v/>
      </c>
      <c r="O146" s="55" t="str">
        <f>IFERROR(IF(OR($B146="",$B146="(blank)"),"",VLOOKUP($B146,'Email Marketing Raw Data'!$C:$O,7,0)),"")</f>
        <v/>
      </c>
      <c r="P146" s="55" t="str">
        <f>IFERROR(IF(OR($B146="",$B146="(blank)"),"",VLOOKUP($B146,'Email Marketing Raw Data'!$C:$O,8,0)),"")</f>
        <v/>
      </c>
      <c r="Q146" s="62" t="str">
        <f>IFERROR(IF(OR($B146="",$B146="(blank)"),"",VLOOKUP($B146,'Email Marketing Raw Data'!$C:$O,9,0)),"")</f>
        <v/>
      </c>
    </row>
    <row r="147" spans="4:17" ht="12.75" customHeight="1" x14ac:dyDescent="0.2">
      <c r="D147" s="58" t="str">
        <f>IFERROR(IF(F147&lt;&gt;"pending","",IF(OR($B147="",$B147="(blank)"),"",VLOOKUP($B147,'Email Marketing Raw Data'!$C:$O,10,0))),"")</f>
        <v/>
      </c>
      <c r="E147" s="59" t="str">
        <f>IFERROR(IF(F147&lt;&gt;"pending","",IF(OR($B147="",$B147="(blank)"),"",VLOOKUP($B147,'Email Marketing Raw Data'!$C:$O,11,0))),"")</f>
        <v/>
      </c>
      <c r="F147" s="54" t="str">
        <f>IFERROR(IF(OR($B147="",$B147="(blank)"),"",VLOOKUP($B147,'Email Marketing Raw Data'!$C:$O,13,0)),"")</f>
        <v/>
      </c>
      <c r="G147" s="55" t="str">
        <f>IFERROR(IF(OR($B147="",$B147="(blank)"),"",VLOOKUP($B147,'Email Marketing Raw Data'!$C:$O,4,0)),"")</f>
        <v/>
      </c>
      <c r="H147" s="55" t="str">
        <f>IFERROR(IF(OR($B147="",$B147="(blank)"),"",VLOOKUP($B147,'Email Marketing Raw Data'!$C:$O,5,0)),"")</f>
        <v/>
      </c>
      <c r="I147" s="55" t="str">
        <f>IFERROR(IF($G147="","",VLOOKUP('Dashboard And Emails Automate'!$G147,Database!$H:$N,3,0)),"")</f>
        <v/>
      </c>
      <c r="J147" s="55" t="str">
        <f>IFERROR(IF($G147="","",VLOOKUP('Dashboard And Emails Automate'!$G147,Database!$H:$N,4,0)),"")</f>
        <v/>
      </c>
      <c r="K147" s="55" t="str">
        <f>IFERROR(IF($G147="","",VLOOKUP('Dashboard And Emails Automate'!$G147,Database!$H:$N,5,0)),"")</f>
        <v/>
      </c>
      <c r="L147" s="55" t="str">
        <f>IFERROR(IF($G147="","",VLOOKUP('Dashboard And Emails Automate'!$G147,Database!$H:$N,6,0)),"")</f>
        <v/>
      </c>
      <c r="M147" s="55" t="str">
        <f>IFERROR(IF($G147="","",VLOOKUP('Dashboard And Emails Automate'!$G147,Database!$H:$N,7,0)),"")</f>
        <v/>
      </c>
      <c r="N147" s="55" t="str">
        <f>IFERROR(IF(OR($B147="",$B147="(blank)"),"",VLOOKUP($B147,'Email Marketing Raw Data'!$C:$O,6,0)),"")</f>
        <v/>
      </c>
      <c r="O147" s="55" t="str">
        <f>IFERROR(IF(OR($B147="",$B147="(blank)"),"",VLOOKUP($B147,'Email Marketing Raw Data'!$C:$O,7,0)),"")</f>
        <v/>
      </c>
      <c r="P147" s="55" t="str">
        <f>IFERROR(IF(OR($B147="",$B147="(blank)"),"",VLOOKUP($B147,'Email Marketing Raw Data'!$C:$O,8,0)),"")</f>
        <v/>
      </c>
      <c r="Q147" s="62" t="str">
        <f>IFERROR(IF(OR($B147="",$B147="(blank)"),"",VLOOKUP($B147,'Email Marketing Raw Data'!$C:$O,9,0)),"")</f>
        <v/>
      </c>
    </row>
    <row r="148" spans="4:17" ht="12.75" customHeight="1" x14ac:dyDescent="0.2">
      <c r="D148" s="58" t="str">
        <f>IFERROR(IF(F148&lt;&gt;"pending","",IF(OR($B148="",$B148="(blank)"),"",VLOOKUP($B148,'Email Marketing Raw Data'!$C:$O,10,0))),"")</f>
        <v/>
      </c>
      <c r="E148" s="59" t="str">
        <f>IFERROR(IF(F148&lt;&gt;"pending","",IF(OR($B148="",$B148="(blank)"),"",VLOOKUP($B148,'Email Marketing Raw Data'!$C:$O,11,0))),"")</f>
        <v/>
      </c>
      <c r="F148" s="54" t="str">
        <f>IFERROR(IF(OR($B148="",$B148="(blank)"),"",VLOOKUP($B148,'Email Marketing Raw Data'!$C:$O,13,0)),"")</f>
        <v/>
      </c>
      <c r="G148" s="55" t="str">
        <f>IFERROR(IF(OR($B148="",$B148="(blank)"),"",VLOOKUP($B148,'Email Marketing Raw Data'!$C:$O,4,0)),"")</f>
        <v/>
      </c>
      <c r="H148" s="55" t="str">
        <f>IFERROR(IF(OR($B148="",$B148="(blank)"),"",VLOOKUP($B148,'Email Marketing Raw Data'!$C:$O,5,0)),"")</f>
        <v/>
      </c>
      <c r="I148" s="55" t="str">
        <f>IFERROR(IF($G148="","",VLOOKUP('Dashboard And Emails Automate'!$G148,Database!$H:$N,3,0)),"")</f>
        <v/>
      </c>
      <c r="J148" s="55" t="str">
        <f>IFERROR(IF($G148="","",VLOOKUP('Dashboard And Emails Automate'!$G148,Database!$H:$N,4,0)),"")</f>
        <v/>
      </c>
      <c r="K148" s="55" t="str">
        <f>IFERROR(IF($G148="","",VLOOKUP('Dashboard And Emails Automate'!$G148,Database!$H:$N,5,0)),"")</f>
        <v/>
      </c>
      <c r="L148" s="55" t="str">
        <f>IFERROR(IF($G148="","",VLOOKUP('Dashboard And Emails Automate'!$G148,Database!$H:$N,6,0)),"")</f>
        <v/>
      </c>
      <c r="M148" s="55" t="str">
        <f>IFERROR(IF($G148="","",VLOOKUP('Dashboard And Emails Automate'!$G148,Database!$H:$N,7,0)),"")</f>
        <v/>
      </c>
      <c r="N148" s="55" t="str">
        <f>IFERROR(IF(OR($B148="",$B148="(blank)"),"",VLOOKUP($B148,'Email Marketing Raw Data'!$C:$O,6,0)),"")</f>
        <v/>
      </c>
      <c r="O148" s="55" t="str">
        <f>IFERROR(IF(OR($B148="",$B148="(blank)"),"",VLOOKUP($B148,'Email Marketing Raw Data'!$C:$O,7,0)),"")</f>
        <v/>
      </c>
      <c r="P148" s="55" t="str">
        <f>IFERROR(IF(OR($B148="",$B148="(blank)"),"",VLOOKUP($B148,'Email Marketing Raw Data'!$C:$O,8,0)),"")</f>
        <v/>
      </c>
      <c r="Q148" s="62" t="str">
        <f>IFERROR(IF(OR($B148="",$B148="(blank)"),"",VLOOKUP($B148,'Email Marketing Raw Data'!$C:$O,9,0)),"")</f>
        <v/>
      </c>
    </row>
    <row r="149" spans="4:17" ht="12.75" customHeight="1" x14ac:dyDescent="0.2">
      <c r="D149" s="58" t="str">
        <f>IFERROR(IF(F149&lt;&gt;"pending","",IF(OR($B149="",$B149="(blank)"),"",VLOOKUP($B149,'Email Marketing Raw Data'!$C:$O,10,0))),"")</f>
        <v/>
      </c>
      <c r="E149" s="59" t="str">
        <f>IFERROR(IF(F149&lt;&gt;"pending","",IF(OR($B149="",$B149="(blank)"),"",VLOOKUP($B149,'Email Marketing Raw Data'!$C:$O,11,0))),"")</f>
        <v/>
      </c>
      <c r="F149" s="54" t="str">
        <f>IFERROR(IF(OR($B149="",$B149="(blank)"),"",VLOOKUP($B149,'Email Marketing Raw Data'!$C:$O,13,0)),"")</f>
        <v/>
      </c>
      <c r="G149" s="55" t="str">
        <f>IFERROR(IF(OR($B149="",$B149="(blank)"),"",VLOOKUP($B149,'Email Marketing Raw Data'!$C:$O,4,0)),"")</f>
        <v/>
      </c>
      <c r="H149" s="55" t="str">
        <f>IFERROR(IF(OR($B149="",$B149="(blank)"),"",VLOOKUP($B149,'Email Marketing Raw Data'!$C:$O,5,0)),"")</f>
        <v/>
      </c>
      <c r="I149" s="55" t="str">
        <f>IFERROR(IF($G149="","",VLOOKUP('Dashboard And Emails Automate'!$G149,Database!$H:$N,3,0)),"")</f>
        <v/>
      </c>
      <c r="J149" s="55" t="str">
        <f>IFERROR(IF($G149="","",VLOOKUP('Dashboard And Emails Automate'!$G149,Database!$H:$N,4,0)),"")</f>
        <v/>
      </c>
      <c r="K149" s="55" t="str">
        <f>IFERROR(IF($G149="","",VLOOKUP('Dashboard And Emails Automate'!$G149,Database!$H:$N,5,0)),"")</f>
        <v/>
      </c>
      <c r="L149" s="55" t="str">
        <f>IFERROR(IF($G149="","",VLOOKUP('Dashboard And Emails Automate'!$G149,Database!$H:$N,6,0)),"")</f>
        <v/>
      </c>
      <c r="M149" s="55" t="str">
        <f>IFERROR(IF($G149="","",VLOOKUP('Dashboard And Emails Automate'!$G149,Database!$H:$N,7,0)),"")</f>
        <v/>
      </c>
      <c r="N149" s="55" t="str">
        <f>IFERROR(IF(OR($B149="",$B149="(blank)"),"",VLOOKUP($B149,'Email Marketing Raw Data'!$C:$O,6,0)),"")</f>
        <v/>
      </c>
      <c r="O149" s="55" t="str">
        <f>IFERROR(IF(OR($B149="",$B149="(blank)"),"",VLOOKUP($B149,'Email Marketing Raw Data'!$C:$O,7,0)),"")</f>
        <v/>
      </c>
      <c r="P149" s="55" t="str">
        <f>IFERROR(IF(OR($B149="",$B149="(blank)"),"",VLOOKUP($B149,'Email Marketing Raw Data'!$C:$O,8,0)),"")</f>
        <v/>
      </c>
      <c r="Q149" s="62" t="str">
        <f>IFERROR(IF(OR($B149="",$B149="(blank)"),"",VLOOKUP($B149,'Email Marketing Raw Data'!$C:$O,9,0)),"")</f>
        <v/>
      </c>
    </row>
    <row r="150" spans="4:17" ht="12.75" customHeight="1" x14ac:dyDescent="0.2">
      <c r="D150" s="58" t="str">
        <f>IFERROR(IF(F150&lt;&gt;"pending","",IF(OR($B150="",$B150="(blank)"),"",VLOOKUP($B150,'Email Marketing Raw Data'!$C:$O,10,0))),"")</f>
        <v/>
      </c>
      <c r="E150" s="59" t="str">
        <f>IFERROR(IF(F150&lt;&gt;"pending","",IF(OR($B150="",$B150="(blank)"),"",VLOOKUP($B150,'Email Marketing Raw Data'!$C:$O,11,0))),"")</f>
        <v/>
      </c>
      <c r="F150" s="54" t="str">
        <f>IFERROR(IF(OR($B150="",$B150="(blank)"),"",VLOOKUP($B150,'Email Marketing Raw Data'!$C:$O,13,0)),"")</f>
        <v/>
      </c>
      <c r="G150" s="55" t="str">
        <f>IFERROR(IF(OR($B150="",$B150="(blank)"),"",VLOOKUP($B150,'Email Marketing Raw Data'!$C:$O,4,0)),"")</f>
        <v/>
      </c>
      <c r="H150" s="55" t="str">
        <f>IFERROR(IF(OR($B150="",$B150="(blank)"),"",VLOOKUP($B150,'Email Marketing Raw Data'!$C:$O,5,0)),"")</f>
        <v/>
      </c>
      <c r="I150" s="55" t="str">
        <f>IFERROR(IF($G150="","",VLOOKUP('Dashboard And Emails Automate'!$G150,Database!$H:$N,3,0)),"")</f>
        <v/>
      </c>
      <c r="J150" s="55" t="str">
        <f>IFERROR(IF($G150="","",VLOOKUP('Dashboard And Emails Automate'!$G150,Database!$H:$N,4,0)),"")</f>
        <v/>
      </c>
      <c r="K150" s="55" t="str">
        <f>IFERROR(IF($G150="","",VLOOKUP('Dashboard And Emails Automate'!$G150,Database!$H:$N,5,0)),"")</f>
        <v/>
      </c>
      <c r="L150" s="55" t="str">
        <f>IFERROR(IF($G150="","",VLOOKUP('Dashboard And Emails Automate'!$G150,Database!$H:$N,6,0)),"")</f>
        <v/>
      </c>
      <c r="M150" s="55" t="str">
        <f>IFERROR(IF($G150="","",VLOOKUP('Dashboard And Emails Automate'!$G150,Database!$H:$N,7,0)),"")</f>
        <v/>
      </c>
      <c r="N150" s="55" t="str">
        <f>IFERROR(IF(OR($B150="",$B150="(blank)"),"",VLOOKUP($B150,'Email Marketing Raw Data'!$C:$O,6,0)),"")</f>
        <v/>
      </c>
      <c r="O150" s="55" t="str">
        <f>IFERROR(IF(OR($B150="",$B150="(blank)"),"",VLOOKUP($B150,'Email Marketing Raw Data'!$C:$O,7,0)),"")</f>
        <v/>
      </c>
      <c r="P150" s="55" t="str">
        <f>IFERROR(IF(OR($B150="",$B150="(blank)"),"",VLOOKUP($B150,'Email Marketing Raw Data'!$C:$O,8,0)),"")</f>
        <v/>
      </c>
      <c r="Q150" s="62" t="str">
        <f>IFERROR(IF(OR($B150="",$B150="(blank)"),"",VLOOKUP($B150,'Email Marketing Raw Data'!$C:$O,9,0)),"")</f>
        <v/>
      </c>
    </row>
    <row r="151" spans="4:17" ht="12.75" customHeight="1" x14ac:dyDescent="0.2">
      <c r="D151" s="58" t="str">
        <f>IFERROR(IF(F151&lt;&gt;"pending","",IF(OR($B151="",$B151="(blank)"),"",VLOOKUP($B151,'Email Marketing Raw Data'!$C:$O,10,0))),"")</f>
        <v/>
      </c>
      <c r="E151" s="59" t="str">
        <f>IFERROR(IF(F151&lt;&gt;"pending","",IF(OR($B151="",$B151="(blank)"),"",VLOOKUP($B151,'Email Marketing Raw Data'!$C:$O,11,0))),"")</f>
        <v/>
      </c>
      <c r="F151" s="54" t="str">
        <f>IFERROR(IF(OR($B151="",$B151="(blank)"),"",VLOOKUP($B151,'Email Marketing Raw Data'!$C:$O,13,0)),"")</f>
        <v/>
      </c>
      <c r="G151" s="55" t="str">
        <f>IFERROR(IF(OR($B151="",$B151="(blank)"),"",VLOOKUP($B151,'Email Marketing Raw Data'!$C:$O,4,0)),"")</f>
        <v/>
      </c>
      <c r="H151" s="55" t="str">
        <f>IFERROR(IF(OR($B151="",$B151="(blank)"),"",VLOOKUP($B151,'Email Marketing Raw Data'!$C:$O,5,0)),"")</f>
        <v/>
      </c>
      <c r="I151" s="55" t="str">
        <f>IFERROR(IF($G151="","",VLOOKUP('Dashboard And Emails Automate'!$G151,Database!$H:$N,3,0)),"")</f>
        <v/>
      </c>
      <c r="J151" s="55" t="str">
        <f>IFERROR(IF($G151="","",VLOOKUP('Dashboard And Emails Automate'!$G151,Database!$H:$N,4,0)),"")</f>
        <v/>
      </c>
      <c r="K151" s="55" t="str">
        <f>IFERROR(IF($G151="","",VLOOKUP('Dashboard And Emails Automate'!$G151,Database!$H:$N,5,0)),"")</f>
        <v/>
      </c>
      <c r="L151" s="55" t="str">
        <f>IFERROR(IF($G151="","",VLOOKUP('Dashboard And Emails Automate'!$G151,Database!$H:$N,6,0)),"")</f>
        <v/>
      </c>
      <c r="M151" s="55" t="str">
        <f>IFERROR(IF($G151="","",VLOOKUP('Dashboard And Emails Automate'!$G151,Database!$H:$N,7,0)),"")</f>
        <v/>
      </c>
      <c r="N151" s="55" t="str">
        <f>IFERROR(IF(OR($B151="",$B151="(blank)"),"",VLOOKUP($B151,'Email Marketing Raw Data'!$C:$O,6,0)),"")</f>
        <v/>
      </c>
      <c r="O151" s="55" t="str">
        <f>IFERROR(IF(OR($B151="",$B151="(blank)"),"",VLOOKUP($B151,'Email Marketing Raw Data'!$C:$O,7,0)),"")</f>
        <v/>
      </c>
      <c r="P151" s="55" t="str">
        <f>IFERROR(IF(OR($B151="",$B151="(blank)"),"",VLOOKUP($B151,'Email Marketing Raw Data'!$C:$O,8,0)),"")</f>
        <v/>
      </c>
      <c r="Q151" s="62" t="str">
        <f>IFERROR(IF(OR($B151="",$B151="(blank)"),"",VLOOKUP($B151,'Email Marketing Raw Data'!$C:$O,9,0)),"")</f>
        <v/>
      </c>
    </row>
    <row r="152" spans="4:17" ht="12.75" customHeight="1" x14ac:dyDescent="0.2">
      <c r="D152" s="58" t="str">
        <f>IFERROR(IF(F152&lt;&gt;"pending","",IF(OR($B152="",$B152="(blank)"),"",VLOOKUP($B152,'Email Marketing Raw Data'!$C:$O,10,0))),"")</f>
        <v/>
      </c>
      <c r="E152" s="59" t="str">
        <f>IFERROR(IF(F152&lt;&gt;"pending","",IF(OR($B152="",$B152="(blank)"),"",VLOOKUP($B152,'Email Marketing Raw Data'!$C:$O,11,0))),"")</f>
        <v/>
      </c>
      <c r="F152" s="54" t="str">
        <f>IFERROR(IF(OR($B152="",$B152="(blank)"),"",VLOOKUP($B152,'Email Marketing Raw Data'!$C:$O,13,0)),"")</f>
        <v/>
      </c>
      <c r="G152" s="55" t="str">
        <f>IFERROR(IF(OR($B152="",$B152="(blank)"),"",VLOOKUP($B152,'Email Marketing Raw Data'!$C:$O,4,0)),"")</f>
        <v/>
      </c>
      <c r="H152" s="55" t="str">
        <f>IFERROR(IF(OR($B152="",$B152="(blank)"),"",VLOOKUP($B152,'Email Marketing Raw Data'!$C:$O,5,0)),"")</f>
        <v/>
      </c>
      <c r="I152" s="55" t="str">
        <f>IFERROR(IF($G152="","",VLOOKUP('Dashboard And Emails Automate'!$G152,Database!$H:$N,3,0)),"")</f>
        <v/>
      </c>
      <c r="J152" s="55" t="str">
        <f>IFERROR(IF($G152="","",VLOOKUP('Dashboard And Emails Automate'!$G152,Database!$H:$N,4,0)),"")</f>
        <v/>
      </c>
      <c r="K152" s="55" t="str">
        <f>IFERROR(IF($G152="","",VLOOKUP('Dashboard And Emails Automate'!$G152,Database!$H:$N,5,0)),"")</f>
        <v/>
      </c>
      <c r="L152" s="55" t="str">
        <f>IFERROR(IF($G152="","",VLOOKUP('Dashboard And Emails Automate'!$G152,Database!$H:$N,6,0)),"")</f>
        <v/>
      </c>
      <c r="M152" s="55" t="str">
        <f>IFERROR(IF($G152="","",VLOOKUP('Dashboard And Emails Automate'!$G152,Database!$H:$N,7,0)),"")</f>
        <v/>
      </c>
      <c r="N152" s="55" t="str">
        <f>IFERROR(IF(OR($B152="",$B152="(blank)"),"",VLOOKUP($B152,'Email Marketing Raw Data'!$C:$O,6,0)),"")</f>
        <v/>
      </c>
      <c r="O152" s="55" t="str">
        <f>IFERROR(IF(OR($B152="",$B152="(blank)"),"",VLOOKUP($B152,'Email Marketing Raw Data'!$C:$O,7,0)),"")</f>
        <v/>
      </c>
      <c r="P152" s="55" t="str">
        <f>IFERROR(IF(OR($B152="",$B152="(blank)"),"",VLOOKUP($B152,'Email Marketing Raw Data'!$C:$O,8,0)),"")</f>
        <v/>
      </c>
      <c r="Q152" s="62" t="str">
        <f>IFERROR(IF(OR($B152="",$B152="(blank)"),"",VLOOKUP($B152,'Email Marketing Raw Data'!$C:$O,9,0)),"")</f>
        <v/>
      </c>
    </row>
    <row r="153" spans="4:17" ht="12.75" customHeight="1" x14ac:dyDescent="0.2">
      <c r="D153" s="58" t="str">
        <f>IFERROR(IF(F153&lt;&gt;"pending","",IF(OR($B153="",$B153="(blank)"),"",VLOOKUP($B153,'Email Marketing Raw Data'!$C:$O,10,0))),"")</f>
        <v/>
      </c>
      <c r="E153" s="59" t="str">
        <f>IFERROR(IF(F153&lt;&gt;"pending","",IF(OR($B153="",$B153="(blank)"),"",VLOOKUP($B153,'Email Marketing Raw Data'!$C:$O,11,0))),"")</f>
        <v/>
      </c>
      <c r="F153" s="54" t="str">
        <f>IFERROR(IF(OR($B153="",$B153="(blank)"),"",VLOOKUP($B153,'Email Marketing Raw Data'!$C:$O,13,0)),"")</f>
        <v/>
      </c>
      <c r="G153" s="55" t="str">
        <f>IFERROR(IF(OR($B153="",$B153="(blank)"),"",VLOOKUP($B153,'Email Marketing Raw Data'!$C:$O,4,0)),"")</f>
        <v/>
      </c>
      <c r="H153" s="55" t="str">
        <f>IFERROR(IF(OR($B153="",$B153="(blank)"),"",VLOOKUP($B153,'Email Marketing Raw Data'!$C:$O,5,0)),"")</f>
        <v/>
      </c>
      <c r="I153" s="55" t="str">
        <f>IFERROR(IF($G153="","",VLOOKUP('Dashboard And Emails Automate'!$G153,Database!$H:$N,3,0)),"")</f>
        <v/>
      </c>
      <c r="J153" s="55" t="str">
        <f>IFERROR(IF($G153="","",VLOOKUP('Dashboard And Emails Automate'!$G153,Database!$H:$N,4,0)),"")</f>
        <v/>
      </c>
      <c r="K153" s="55" t="str">
        <f>IFERROR(IF($G153="","",VLOOKUP('Dashboard And Emails Automate'!$G153,Database!$H:$N,5,0)),"")</f>
        <v/>
      </c>
      <c r="L153" s="55" t="str">
        <f>IFERROR(IF($G153="","",VLOOKUP('Dashboard And Emails Automate'!$G153,Database!$H:$N,6,0)),"")</f>
        <v/>
      </c>
      <c r="M153" s="55" t="str">
        <f>IFERROR(IF($G153="","",VLOOKUP('Dashboard And Emails Automate'!$G153,Database!$H:$N,7,0)),"")</f>
        <v/>
      </c>
      <c r="N153" s="55" t="str">
        <f>IFERROR(IF(OR($B153="",$B153="(blank)"),"",VLOOKUP($B153,'Email Marketing Raw Data'!$C:$O,6,0)),"")</f>
        <v/>
      </c>
      <c r="O153" s="55" t="str">
        <f>IFERROR(IF(OR($B153="",$B153="(blank)"),"",VLOOKUP($B153,'Email Marketing Raw Data'!$C:$O,7,0)),"")</f>
        <v/>
      </c>
      <c r="P153" s="55" t="str">
        <f>IFERROR(IF(OR($B153="",$B153="(blank)"),"",VLOOKUP($B153,'Email Marketing Raw Data'!$C:$O,8,0)),"")</f>
        <v/>
      </c>
      <c r="Q153" s="62" t="str">
        <f>IFERROR(IF(OR($B153="",$B153="(blank)"),"",VLOOKUP($B153,'Email Marketing Raw Data'!$C:$O,9,0)),"")</f>
        <v/>
      </c>
    </row>
    <row r="154" spans="4:17" ht="12.75" customHeight="1" x14ac:dyDescent="0.2">
      <c r="D154" s="58" t="str">
        <f>IFERROR(IF(F154&lt;&gt;"pending","",IF(OR($B154="",$B154="(blank)"),"",VLOOKUP($B154,'Email Marketing Raw Data'!$C:$O,10,0))),"")</f>
        <v/>
      </c>
      <c r="E154" s="59" t="str">
        <f>IFERROR(IF(F154&lt;&gt;"pending","",IF(OR($B154="",$B154="(blank)"),"",VLOOKUP($B154,'Email Marketing Raw Data'!$C:$O,11,0))),"")</f>
        <v/>
      </c>
      <c r="F154" s="54" t="str">
        <f>IFERROR(IF(OR($B154="",$B154="(blank)"),"",VLOOKUP($B154,'Email Marketing Raw Data'!$C:$O,13,0)),"")</f>
        <v/>
      </c>
      <c r="G154" s="55" t="str">
        <f>IFERROR(IF(OR($B154="",$B154="(blank)"),"",VLOOKUP($B154,'Email Marketing Raw Data'!$C:$O,4,0)),"")</f>
        <v/>
      </c>
      <c r="H154" s="55" t="str">
        <f>IFERROR(IF(OR($B154="",$B154="(blank)"),"",VLOOKUP($B154,'Email Marketing Raw Data'!$C:$O,5,0)),"")</f>
        <v/>
      </c>
      <c r="I154" s="55" t="str">
        <f>IFERROR(IF($G154="","",VLOOKUP('Dashboard And Emails Automate'!$G154,Database!$H:$N,3,0)),"")</f>
        <v/>
      </c>
      <c r="J154" s="55" t="str">
        <f>IFERROR(IF($G154="","",VLOOKUP('Dashboard And Emails Automate'!$G154,Database!$H:$N,4,0)),"")</f>
        <v/>
      </c>
      <c r="K154" s="55" t="str">
        <f>IFERROR(IF($G154="","",VLOOKUP('Dashboard And Emails Automate'!$G154,Database!$H:$N,5,0)),"")</f>
        <v/>
      </c>
      <c r="L154" s="55" t="str">
        <f>IFERROR(IF($G154="","",VLOOKUP('Dashboard And Emails Automate'!$G154,Database!$H:$N,6,0)),"")</f>
        <v/>
      </c>
      <c r="M154" s="55" t="str">
        <f>IFERROR(IF($G154="","",VLOOKUP('Dashboard And Emails Automate'!$G154,Database!$H:$N,7,0)),"")</f>
        <v/>
      </c>
      <c r="N154" s="55" t="str">
        <f>IFERROR(IF(OR($B154="",$B154="(blank)"),"",VLOOKUP($B154,'Email Marketing Raw Data'!$C:$O,6,0)),"")</f>
        <v/>
      </c>
      <c r="O154" s="55" t="str">
        <f>IFERROR(IF(OR($B154="",$B154="(blank)"),"",VLOOKUP($B154,'Email Marketing Raw Data'!$C:$O,7,0)),"")</f>
        <v/>
      </c>
      <c r="P154" s="55" t="str">
        <f>IFERROR(IF(OR($B154="",$B154="(blank)"),"",VLOOKUP($B154,'Email Marketing Raw Data'!$C:$O,8,0)),"")</f>
        <v/>
      </c>
      <c r="Q154" s="62" t="str">
        <f>IFERROR(IF(OR($B154="",$B154="(blank)"),"",VLOOKUP($B154,'Email Marketing Raw Data'!$C:$O,9,0)),"")</f>
        <v/>
      </c>
    </row>
    <row r="155" spans="4:17" ht="12.75" customHeight="1" x14ac:dyDescent="0.2">
      <c r="D155" s="58" t="str">
        <f>IFERROR(IF(F155&lt;&gt;"pending","",IF(OR($B155="",$B155="(blank)"),"",VLOOKUP($B155,'Email Marketing Raw Data'!$C:$O,10,0))),"")</f>
        <v/>
      </c>
      <c r="E155" s="59" t="str">
        <f>IFERROR(IF(F155&lt;&gt;"pending","",IF(OR($B155="",$B155="(blank)"),"",VLOOKUP($B155,'Email Marketing Raw Data'!$C:$O,11,0))),"")</f>
        <v/>
      </c>
      <c r="F155" s="54" t="str">
        <f>IFERROR(IF(OR($B155="",$B155="(blank)"),"",VLOOKUP($B155,'Email Marketing Raw Data'!$C:$O,13,0)),"")</f>
        <v/>
      </c>
      <c r="G155" s="55" t="str">
        <f>IFERROR(IF(OR($B155="",$B155="(blank)"),"",VLOOKUP($B155,'Email Marketing Raw Data'!$C:$O,4,0)),"")</f>
        <v/>
      </c>
      <c r="H155" s="55" t="str">
        <f>IFERROR(IF(OR($B155="",$B155="(blank)"),"",VLOOKUP($B155,'Email Marketing Raw Data'!$C:$O,5,0)),"")</f>
        <v/>
      </c>
      <c r="I155" s="55" t="str">
        <f>IFERROR(IF($G155="","",VLOOKUP('Dashboard And Emails Automate'!$G155,Database!$H:$N,3,0)),"")</f>
        <v/>
      </c>
      <c r="J155" s="55" t="str">
        <f>IFERROR(IF($G155="","",VLOOKUP('Dashboard And Emails Automate'!$G155,Database!$H:$N,4,0)),"")</f>
        <v/>
      </c>
      <c r="K155" s="55" t="str">
        <f>IFERROR(IF($G155="","",VLOOKUP('Dashboard And Emails Automate'!$G155,Database!$H:$N,5,0)),"")</f>
        <v/>
      </c>
      <c r="L155" s="55" t="str">
        <f>IFERROR(IF($G155="","",VLOOKUP('Dashboard And Emails Automate'!$G155,Database!$H:$N,6,0)),"")</f>
        <v/>
      </c>
      <c r="M155" s="55" t="str">
        <f>IFERROR(IF($G155="","",VLOOKUP('Dashboard And Emails Automate'!$G155,Database!$H:$N,7,0)),"")</f>
        <v/>
      </c>
      <c r="N155" s="55" t="str">
        <f>IFERROR(IF(OR($B155="",$B155="(blank)"),"",VLOOKUP($B155,'Email Marketing Raw Data'!$C:$O,6,0)),"")</f>
        <v/>
      </c>
      <c r="O155" s="55" t="str">
        <f>IFERROR(IF(OR($B155="",$B155="(blank)"),"",VLOOKUP($B155,'Email Marketing Raw Data'!$C:$O,7,0)),"")</f>
        <v/>
      </c>
      <c r="P155" s="55" t="str">
        <f>IFERROR(IF(OR($B155="",$B155="(blank)"),"",VLOOKUP($B155,'Email Marketing Raw Data'!$C:$O,8,0)),"")</f>
        <v/>
      </c>
      <c r="Q155" s="62" t="str">
        <f>IFERROR(IF(OR($B155="",$B155="(blank)"),"",VLOOKUP($B155,'Email Marketing Raw Data'!$C:$O,9,0)),"")</f>
        <v/>
      </c>
    </row>
    <row r="156" spans="4:17" ht="12.75" customHeight="1" x14ac:dyDescent="0.2">
      <c r="D156" s="58" t="str">
        <f>IFERROR(IF(F156&lt;&gt;"pending","",IF(OR($B156="",$B156="(blank)"),"",VLOOKUP($B156,'Email Marketing Raw Data'!$C:$O,10,0))),"")</f>
        <v/>
      </c>
      <c r="E156" s="59" t="str">
        <f>IFERROR(IF(F156&lt;&gt;"pending","",IF(OR($B156="",$B156="(blank)"),"",VLOOKUP($B156,'Email Marketing Raw Data'!$C:$O,11,0))),"")</f>
        <v/>
      </c>
      <c r="F156" s="54" t="str">
        <f>IFERROR(IF(OR($B156="",$B156="(blank)"),"",VLOOKUP($B156,'Email Marketing Raw Data'!$C:$O,13,0)),"")</f>
        <v/>
      </c>
      <c r="G156" s="55" t="str">
        <f>IFERROR(IF(OR($B156="",$B156="(blank)"),"",VLOOKUP($B156,'Email Marketing Raw Data'!$C:$O,4,0)),"")</f>
        <v/>
      </c>
      <c r="H156" s="55" t="str">
        <f>IFERROR(IF(OR($B156="",$B156="(blank)"),"",VLOOKUP($B156,'Email Marketing Raw Data'!$C:$O,5,0)),"")</f>
        <v/>
      </c>
      <c r="I156" s="55" t="str">
        <f>IFERROR(IF($G156="","",VLOOKUP('Dashboard And Emails Automate'!$G156,Database!$H:$N,3,0)),"")</f>
        <v/>
      </c>
      <c r="J156" s="55" t="str">
        <f>IFERROR(IF($G156="","",VLOOKUP('Dashboard And Emails Automate'!$G156,Database!$H:$N,4,0)),"")</f>
        <v/>
      </c>
      <c r="K156" s="55" t="str">
        <f>IFERROR(IF($G156="","",VLOOKUP('Dashboard And Emails Automate'!$G156,Database!$H:$N,5,0)),"")</f>
        <v/>
      </c>
      <c r="L156" s="55" t="str">
        <f>IFERROR(IF($G156="","",VLOOKUP('Dashboard And Emails Automate'!$G156,Database!$H:$N,6,0)),"")</f>
        <v/>
      </c>
      <c r="M156" s="55" t="str">
        <f>IFERROR(IF($G156="","",VLOOKUP('Dashboard And Emails Automate'!$G156,Database!$H:$N,7,0)),"")</f>
        <v/>
      </c>
      <c r="N156" s="55" t="str">
        <f>IFERROR(IF(OR($B156="",$B156="(blank)"),"",VLOOKUP($B156,'Email Marketing Raw Data'!$C:$O,6,0)),"")</f>
        <v/>
      </c>
      <c r="O156" s="55" t="str">
        <f>IFERROR(IF(OR($B156="",$B156="(blank)"),"",VLOOKUP($B156,'Email Marketing Raw Data'!$C:$O,7,0)),"")</f>
        <v/>
      </c>
      <c r="P156" s="55" t="str">
        <f>IFERROR(IF(OR($B156="",$B156="(blank)"),"",VLOOKUP($B156,'Email Marketing Raw Data'!$C:$O,8,0)),"")</f>
        <v/>
      </c>
      <c r="Q156" s="62" t="str">
        <f>IFERROR(IF(OR($B156="",$B156="(blank)"),"",VLOOKUP($B156,'Email Marketing Raw Data'!$C:$O,9,0)),"")</f>
        <v/>
      </c>
    </row>
    <row r="157" spans="4:17" ht="12.75" customHeight="1" x14ac:dyDescent="0.2">
      <c r="D157" s="58" t="str">
        <f>IFERROR(IF(F157&lt;&gt;"pending","",IF(OR($B157="",$B157="(blank)"),"",VLOOKUP($B157,'Email Marketing Raw Data'!$C:$O,10,0))),"")</f>
        <v/>
      </c>
      <c r="E157" s="59" t="str">
        <f>IFERROR(IF(F157&lt;&gt;"pending","",IF(OR($B157="",$B157="(blank)"),"",VLOOKUP($B157,'Email Marketing Raw Data'!$C:$O,11,0))),"")</f>
        <v/>
      </c>
      <c r="F157" s="54" t="str">
        <f>IFERROR(IF(OR($B157="",$B157="(blank)"),"",VLOOKUP($B157,'Email Marketing Raw Data'!$C:$O,13,0)),"")</f>
        <v/>
      </c>
      <c r="G157" s="55" t="str">
        <f>IFERROR(IF(OR($B157="",$B157="(blank)"),"",VLOOKUP($B157,'Email Marketing Raw Data'!$C:$O,4,0)),"")</f>
        <v/>
      </c>
      <c r="H157" s="55" t="str">
        <f>IFERROR(IF(OR($B157="",$B157="(blank)"),"",VLOOKUP($B157,'Email Marketing Raw Data'!$C:$O,5,0)),"")</f>
        <v/>
      </c>
      <c r="I157" s="55" t="str">
        <f>IFERROR(IF($G157="","",VLOOKUP('Dashboard And Emails Automate'!$G157,Database!$H:$N,3,0)),"")</f>
        <v/>
      </c>
      <c r="J157" s="55" t="str">
        <f>IFERROR(IF($G157="","",VLOOKUP('Dashboard And Emails Automate'!$G157,Database!$H:$N,4,0)),"")</f>
        <v/>
      </c>
      <c r="K157" s="55" t="str">
        <f>IFERROR(IF($G157="","",VLOOKUP('Dashboard And Emails Automate'!$G157,Database!$H:$N,5,0)),"")</f>
        <v/>
      </c>
      <c r="L157" s="55" t="str">
        <f>IFERROR(IF($G157="","",VLOOKUP('Dashboard And Emails Automate'!$G157,Database!$H:$N,6,0)),"")</f>
        <v/>
      </c>
      <c r="M157" s="55" t="str">
        <f>IFERROR(IF($G157="","",VLOOKUP('Dashboard And Emails Automate'!$G157,Database!$H:$N,7,0)),"")</f>
        <v/>
      </c>
      <c r="N157" s="55" t="str">
        <f>IFERROR(IF(OR($B157="",$B157="(blank)"),"",VLOOKUP($B157,'Email Marketing Raw Data'!$C:$O,6,0)),"")</f>
        <v/>
      </c>
      <c r="O157" s="55" t="str">
        <f>IFERROR(IF(OR($B157="",$B157="(blank)"),"",VLOOKUP($B157,'Email Marketing Raw Data'!$C:$O,7,0)),"")</f>
        <v/>
      </c>
      <c r="P157" s="55" t="str">
        <f>IFERROR(IF(OR($B157="",$B157="(blank)"),"",VLOOKUP($B157,'Email Marketing Raw Data'!$C:$O,8,0)),"")</f>
        <v/>
      </c>
      <c r="Q157" s="62" t="str">
        <f>IFERROR(IF(OR($B157="",$B157="(blank)"),"",VLOOKUP($B157,'Email Marketing Raw Data'!$C:$O,9,0)),"")</f>
        <v/>
      </c>
    </row>
    <row r="158" spans="4:17" ht="12.75" customHeight="1" x14ac:dyDescent="0.2">
      <c r="D158" s="58" t="str">
        <f>IFERROR(IF(F158&lt;&gt;"pending","",IF(OR($B158="",$B158="(blank)"),"",VLOOKUP($B158,'Email Marketing Raw Data'!$C:$O,10,0))),"")</f>
        <v/>
      </c>
      <c r="E158" s="59" t="str">
        <f>IFERROR(IF(F158&lt;&gt;"pending","",IF(OR($B158="",$B158="(blank)"),"",VLOOKUP($B158,'Email Marketing Raw Data'!$C:$O,11,0))),"")</f>
        <v/>
      </c>
      <c r="F158" s="54" t="str">
        <f>IFERROR(IF(OR($B158="",$B158="(blank)"),"",VLOOKUP($B158,'Email Marketing Raw Data'!$C:$O,13,0)),"")</f>
        <v/>
      </c>
      <c r="G158" s="55" t="str">
        <f>IFERROR(IF(OR($B158="",$B158="(blank)"),"",VLOOKUP($B158,'Email Marketing Raw Data'!$C:$O,4,0)),"")</f>
        <v/>
      </c>
      <c r="H158" s="55" t="str">
        <f>IFERROR(IF(OR($B158="",$B158="(blank)"),"",VLOOKUP($B158,'Email Marketing Raw Data'!$C:$O,5,0)),"")</f>
        <v/>
      </c>
      <c r="I158" s="55" t="str">
        <f>IFERROR(IF($G158="","",VLOOKUP('Dashboard And Emails Automate'!$G158,Database!$H:$N,3,0)),"")</f>
        <v/>
      </c>
      <c r="J158" s="55" t="str">
        <f>IFERROR(IF($G158="","",VLOOKUP('Dashboard And Emails Automate'!$G158,Database!$H:$N,4,0)),"")</f>
        <v/>
      </c>
      <c r="K158" s="55" t="str">
        <f>IFERROR(IF($G158="","",VLOOKUP('Dashboard And Emails Automate'!$G158,Database!$H:$N,5,0)),"")</f>
        <v/>
      </c>
      <c r="L158" s="55" t="str">
        <f>IFERROR(IF($G158="","",VLOOKUP('Dashboard And Emails Automate'!$G158,Database!$H:$N,6,0)),"")</f>
        <v/>
      </c>
      <c r="M158" s="55" t="str">
        <f>IFERROR(IF($G158="","",VLOOKUP('Dashboard And Emails Automate'!$G158,Database!$H:$N,7,0)),"")</f>
        <v/>
      </c>
      <c r="N158" s="55" t="str">
        <f>IFERROR(IF(OR($B158="",$B158="(blank)"),"",VLOOKUP($B158,'Email Marketing Raw Data'!$C:$O,6,0)),"")</f>
        <v/>
      </c>
      <c r="O158" s="55" t="str">
        <f>IFERROR(IF(OR($B158="",$B158="(blank)"),"",VLOOKUP($B158,'Email Marketing Raw Data'!$C:$O,7,0)),"")</f>
        <v/>
      </c>
      <c r="P158" s="55" t="str">
        <f>IFERROR(IF(OR($B158="",$B158="(blank)"),"",VLOOKUP($B158,'Email Marketing Raw Data'!$C:$O,8,0)),"")</f>
        <v/>
      </c>
      <c r="Q158" s="62" t="str">
        <f>IFERROR(IF(OR($B158="",$B158="(blank)"),"",VLOOKUP($B158,'Email Marketing Raw Data'!$C:$O,9,0)),"")</f>
        <v/>
      </c>
    </row>
    <row r="159" spans="4:17" ht="12.75" customHeight="1" x14ac:dyDescent="0.2">
      <c r="D159" s="58" t="str">
        <f>IFERROR(IF(F159&lt;&gt;"pending","",IF(OR($B159="",$B159="(blank)"),"",VLOOKUP($B159,'Email Marketing Raw Data'!$C:$O,10,0))),"")</f>
        <v/>
      </c>
      <c r="E159" s="59" t="str">
        <f>IFERROR(IF(F159&lt;&gt;"pending","",IF(OR($B159="",$B159="(blank)"),"",VLOOKUP($B159,'Email Marketing Raw Data'!$C:$O,11,0))),"")</f>
        <v/>
      </c>
      <c r="F159" s="54" t="str">
        <f>IFERROR(IF(OR($B159="",$B159="(blank)"),"",VLOOKUP($B159,'Email Marketing Raw Data'!$C:$O,13,0)),"")</f>
        <v/>
      </c>
      <c r="G159" s="55" t="str">
        <f>IFERROR(IF(OR($B159="",$B159="(blank)"),"",VLOOKUP($B159,'Email Marketing Raw Data'!$C:$O,4,0)),"")</f>
        <v/>
      </c>
      <c r="H159" s="55" t="str">
        <f>IFERROR(IF(OR($B159="",$B159="(blank)"),"",VLOOKUP($B159,'Email Marketing Raw Data'!$C:$O,5,0)),"")</f>
        <v/>
      </c>
      <c r="I159" s="55" t="str">
        <f>IFERROR(IF($G159="","",VLOOKUP('Dashboard And Emails Automate'!$G159,Database!$H:$N,3,0)),"")</f>
        <v/>
      </c>
      <c r="J159" s="55" t="str">
        <f>IFERROR(IF($G159="","",VLOOKUP('Dashboard And Emails Automate'!$G159,Database!$H:$N,4,0)),"")</f>
        <v/>
      </c>
      <c r="K159" s="55" t="str">
        <f>IFERROR(IF($G159="","",VLOOKUP('Dashboard And Emails Automate'!$G159,Database!$H:$N,5,0)),"")</f>
        <v/>
      </c>
      <c r="L159" s="55" t="str">
        <f>IFERROR(IF($G159="","",VLOOKUP('Dashboard And Emails Automate'!$G159,Database!$H:$N,6,0)),"")</f>
        <v/>
      </c>
      <c r="M159" s="55" t="str">
        <f>IFERROR(IF($G159="","",VLOOKUP('Dashboard And Emails Automate'!$G159,Database!$H:$N,7,0)),"")</f>
        <v/>
      </c>
      <c r="N159" s="55" t="str">
        <f>IFERROR(IF(OR($B159="",$B159="(blank)"),"",VLOOKUP($B159,'Email Marketing Raw Data'!$C:$O,6,0)),"")</f>
        <v/>
      </c>
      <c r="O159" s="55" t="str">
        <f>IFERROR(IF(OR($B159="",$B159="(blank)"),"",VLOOKUP($B159,'Email Marketing Raw Data'!$C:$O,7,0)),"")</f>
        <v/>
      </c>
      <c r="P159" s="55" t="str">
        <f>IFERROR(IF(OR($B159="",$B159="(blank)"),"",VLOOKUP($B159,'Email Marketing Raw Data'!$C:$O,8,0)),"")</f>
        <v/>
      </c>
      <c r="Q159" s="62" t="str">
        <f>IFERROR(IF(OR($B159="",$B159="(blank)"),"",VLOOKUP($B159,'Email Marketing Raw Data'!$C:$O,9,0)),"")</f>
        <v/>
      </c>
    </row>
    <row r="160" spans="4:17" ht="12.75" customHeight="1" x14ac:dyDescent="0.2">
      <c r="D160" s="58" t="str">
        <f>IFERROR(IF(F160&lt;&gt;"pending","",IF(OR($B160="",$B160="(blank)"),"",VLOOKUP($B160,'Email Marketing Raw Data'!$C:$O,10,0))),"")</f>
        <v/>
      </c>
      <c r="E160" s="59" t="str">
        <f>IFERROR(IF(F160&lt;&gt;"pending","",IF(OR($B160="",$B160="(blank)"),"",VLOOKUP($B160,'Email Marketing Raw Data'!$C:$O,11,0))),"")</f>
        <v/>
      </c>
      <c r="F160" s="54" t="str">
        <f>IFERROR(IF(OR($B160="",$B160="(blank)"),"",VLOOKUP($B160,'Email Marketing Raw Data'!$C:$O,13,0)),"")</f>
        <v/>
      </c>
      <c r="G160" s="55" t="str">
        <f>IFERROR(IF(OR($B160="",$B160="(blank)"),"",VLOOKUP($B160,'Email Marketing Raw Data'!$C:$O,4,0)),"")</f>
        <v/>
      </c>
      <c r="H160" s="55" t="str">
        <f>IFERROR(IF(OR($B160="",$B160="(blank)"),"",VLOOKUP($B160,'Email Marketing Raw Data'!$C:$O,5,0)),"")</f>
        <v/>
      </c>
      <c r="I160" s="55" t="str">
        <f>IFERROR(IF($G160="","",VLOOKUP('Dashboard And Emails Automate'!$G160,Database!$H:$N,3,0)),"")</f>
        <v/>
      </c>
      <c r="J160" s="55" t="str">
        <f>IFERROR(IF($G160="","",VLOOKUP('Dashboard And Emails Automate'!$G160,Database!$H:$N,4,0)),"")</f>
        <v/>
      </c>
      <c r="K160" s="55" t="str">
        <f>IFERROR(IF($G160="","",VLOOKUP('Dashboard And Emails Automate'!$G160,Database!$H:$N,5,0)),"")</f>
        <v/>
      </c>
      <c r="L160" s="55" t="str">
        <f>IFERROR(IF($G160="","",VLOOKUP('Dashboard And Emails Automate'!$G160,Database!$H:$N,6,0)),"")</f>
        <v/>
      </c>
      <c r="M160" s="55" t="str">
        <f>IFERROR(IF($G160="","",VLOOKUP('Dashboard And Emails Automate'!$G160,Database!$H:$N,7,0)),"")</f>
        <v/>
      </c>
      <c r="N160" s="55" t="str">
        <f>IFERROR(IF(OR($B160="",$B160="(blank)"),"",VLOOKUP($B160,'Email Marketing Raw Data'!$C:$O,6,0)),"")</f>
        <v/>
      </c>
      <c r="O160" s="55" t="str">
        <f>IFERROR(IF(OR($B160="",$B160="(blank)"),"",VLOOKUP($B160,'Email Marketing Raw Data'!$C:$O,7,0)),"")</f>
        <v/>
      </c>
      <c r="P160" s="55" t="str">
        <f>IFERROR(IF(OR($B160="",$B160="(blank)"),"",VLOOKUP($B160,'Email Marketing Raw Data'!$C:$O,8,0)),"")</f>
        <v/>
      </c>
      <c r="Q160" s="62" t="str">
        <f>IFERROR(IF(OR($B160="",$B160="(blank)"),"",VLOOKUP($B160,'Email Marketing Raw Data'!$C:$O,9,0)),"")</f>
        <v/>
      </c>
    </row>
    <row r="161" spans="4:17" ht="12.75" customHeight="1" x14ac:dyDescent="0.2">
      <c r="D161" s="58" t="str">
        <f>IFERROR(IF(F161&lt;&gt;"pending","",IF(OR($B161="",$B161="(blank)"),"",VLOOKUP($B161,'Email Marketing Raw Data'!$C:$O,10,0))),"")</f>
        <v/>
      </c>
      <c r="E161" s="59" t="str">
        <f>IFERROR(IF(F161&lt;&gt;"pending","",IF(OR($B161="",$B161="(blank)"),"",VLOOKUP($B161,'Email Marketing Raw Data'!$C:$O,11,0))),"")</f>
        <v/>
      </c>
      <c r="F161" s="54" t="str">
        <f>IFERROR(IF(OR($B161="",$B161="(blank)"),"",VLOOKUP($B161,'Email Marketing Raw Data'!$C:$O,13,0)),"")</f>
        <v/>
      </c>
      <c r="G161" s="55" t="str">
        <f>IFERROR(IF(OR($B161="",$B161="(blank)"),"",VLOOKUP($B161,'Email Marketing Raw Data'!$C:$O,4,0)),"")</f>
        <v/>
      </c>
      <c r="H161" s="55" t="str">
        <f>IFERROR(IF(OR($B161="",$B161="(blank)"),"",VLOOKUP($B161,'Email Marketing Raw Data'!$C:$O,5,0)),"")</f>
        <v/>
      </c>
      <c r="I161" s="55" t="str">
        <f>IFERROR(IF($G161="","",VLOOKUP('Dashboard And Emails Automate'!$G161,Database!$H:$N,3,0)),"")</f>
        <v/>
      </c>
      <c r="J161" s="55" t="str">
        <f>IFERROR(IF($G161="","",VLOOKUP('Dashboard And Emails Automate'!$G161,Database!$H:$N,4,0)),"")</f>
        <v/>
      </c>
      <c r="K161" s="55" t="str">
        <f>IFERROR(IF($G161="","",VLOOKUP('Dashboard And Emails Automate'!$G161,Database!$H:$N,5,0)),"")</f>
        <v/>
      </c>
      <c r="L161" s="55" t="str">
        <f>IFERROR(IF($G161="","",VLOOKUP('Dashboard And Emails Automate'!$G161,Database!$H:$N,6,0)),"")</f>
        <v/>
      </c>
      <c r="M161" s="55" t="str">
        <f>IFERROR(IF($G161="","",VLOOKUP('Dashboard And Emails Automate'!$G161,Database!$H:$N,7,0)),"")</f>
        <v/>
      </c>
      <c r="N161" s="55" t="str">
        <f>IFERROR(IF(OR($B161="",$B161="(blank)"),"",VLOOKUP($B161,'Email Marketing Raw Data'!$C:$O,6,0)),"")</f>
        <v/>
      </c>
      <c r="O161" s="55" t="str">
        <f>IFERROR(IF(OR($B161="",$B161="(blank)"),"",VLOOKUP($B161,'Email Marketing Raw Data'!$C:$O,7,0)),"")</f>
        <v/>
      </c>
      <c r="P161" s="55" t="str">
        <f>IFERROR(IF(OR($B161="",$B161="(blank)"),"",VLOOKUP($B161,'Email Marketing Raw Data'!$C:$O,8,0)),"")</f>
        <v/>
      </c>
      <c r="Q161" s="62" t="str">
        <f>IFERROR(IF(OR($B161="",$B161="(blank)"),"",VLOOKUP($B161,'Email Marketing Raw Data'!$C:$O,9,0)),"")</f>
        <v/>
      </c>
    </row>
    <row r="162" spans="4:17" ht="12.75" customHeight="1" x14ac:dyDescent="0.2">
      <c r="D162" s="58" t="str">
        <f>IFERROR(IF(F162&lt;&gt;"pending","",IF(OR($B162="",$B162="(blank)"),"",VLOOKUP($B162,'Email Marketing Raw Data'!$C:$O,10,0))),"")</f>
        <v/>
      </c>
      <c r="E162" s="59" t="str">
        <f>IFERROR(IF(F162&lt;&gt;"pending","",IF(OR($B162="",$B162="(blank)"),"",VLOOKUP($B162,'Email Marketing Raw Data'!$C:$O,11,0))),"")</f>
        <v/>
      </c>
      <c r="F162" s="54" t="str">
        <f>IFERROR(IF(OR($B162="",$B162="(blank)"),"",VLOOKUP($B162,'Email Marketing Raw Data'!$C:$O,13,0)),"")</f>
        <v/>
      </c>
      <c r="G162" s="55" t="str">
        <f>IFERROR(IF(OR($B162="",$B162="(blank)"),"",VLOOKUP($B162,'Email Marketing Raw Data'!$C:$O,4,0)),"")</f>
        <v/>
      </c>
      <c r="H162" s="55" t="str">
        <f>IFERROR(IF(OR($B162="",$B162="(blank)"),"",VLOOKUP($B162,'Email Marketing Raw Data'!$C:$O,5,0)),"")</f>
        <v/>
      </c>
      <c r="I162" s="55" t="str">
        <f>IFERROR(IF($G162="","",VLOOKUP('Dashboard And Emails Automate'!$G162,Database!$H:$N,3,0)),"")</f>
        <v/>
      </c>
      <c r="J162" s="55" t="str">
        <f>IFERROR(IF($G162="","",VLOOKUP('Dashboard And Emails Automate'!$G162,Database!$H:$N,4,0)),"")</f>
        <v/>
      </c>
      <c r="K162" s="55" t="str">
        <f>IFERROR(IF($G162="","",VLOOKUP('Dashboard And Emails Automate'!$G162,Database!$H:$N,5,0)),"")</f>
        <v/>
      </c>
      <c r="L162" s="55" t="str">
        <f>IFERROR(IF($G162="","",VLOOKUP('Dashboard And Emails Automate'!$G162,Database!$H:$N,6,0)),"")</f>
        <v/>
      </c>
      <c r="M162" s="55" t="str">
        <f>IFERROR(IF($G162="","",VLOOKUP('Dashboard And Emails Automate'!$G162,Database!$H:$N,7,0)),"")</f>
        <v/>
      </c>
      <c r="N162" s="55" t="str">
        <f>IFERROR(IF(OR($B162="",$B162="(blank)"),"",VLOOKUP($B162,'Email Marketing Raw Data'!$C:$O,6,0)),"")</f>
        <v/>
      </c>
      <c r="O162" s="55" t="str">
        <f>IFERROR(IF(OR($B162="",$B162="(blank)"),"",VLOOKUP($B162,'Email Marketing Raw Data'!$C:$O,7,0)),"")</f>
        <v/>
      </c>
      <c r="P162" s="55" t="str">
        <f>IFERROR(IF(OR($B162="",$B162="(blank)"),"",VLOOKUP($B162,'Email Marketing Raw Data'!$C:$O,8,0)),"")</f>
        <v/>
      </c>
      <c r="Q162" s="62" t="str">
        <f>IFERROR(IF(OR($B162="",$B162="(blank)"),"",VLOOKUP($B162,'Email Marketing Raw Data'!$C:$O,9,0)),"")</f>
        <v/>
      </c>
    </row>
    <row r="163" spans="4:17" ht="12.75" customHeight="1" x14ac:dyDescent="0.2">
      <c r="D163" s="58" t="str">
        <f>IFERROR(IF(F163&lt;&gt;"pending","",IF(OR($B163="",$B163="(blank)"),"",VLOOKUP($B163,'Email Marketing Raw Data'!$C:$O,10,0))),"")</f>
        <v/>
      </c>
      <c r="E163" s="59" t="str">
        <f>IFERROR(IF(F163&lt;&gt;"pending","",IF(OR($B163="",$B163="(blank)"),"",VLOOKUP($B163,'Email Marketing Raw Data'!$C:$O,11,0))),"")</f>
        <v/>
      </c>
      <c r="F163" s="54" t="str">
        <f>IFERROR(IF(OR($B163="",$B163="(blank)"),"",VLOOKUP($B163,'Email Marketing Raw Data'!$C:$O,13,0)),"")</f>
        <v/>
      </c>
      <c r="G163" s="55" t="str">
        <f>IFERROR(IF(OR($B163="",$B163="(blank)"),"",VLOOKUP($B163,'Email Marketing Raw Data'!$C:$O,4,0)),"")</f>
        <v/>
      </c>
      <c r="H163" s="55" t="str">
        <f>IFERROR(IF(OR($B163="",$B163="(blank)"),"",VLOOKUP($B163,'Email Marketing Raw Data'!$C:$O,5,0)),"")</f>
        <v/>
      </c>
      <c r="I163" s="55" t="str">
        <f>IFERROR(IF($G163="","",VLOOKUP('Dashboard And Emails Automate'!$G163,Database!$H:$N,3,0)),"")</f>
        <v/>
      </c>
      <c r="J163" s="55" t="str">
        <f>IFERROR(IF($G163="","",VLOOKUP('Dashboard And Emails Automate'!$G163,Database!$H:$N,4,0)),"")</f>
        <v/>
      </c>
      <c r="K163" s="55" t="str">
        <f>IFERROR(IF($G163="","",VLOOKUP('Dashboard And Emails Automate'!$G163,Database!$H:$N,5,0)),"")</f>
        <v/>
      </c>
      <c r="L163" s="55" t="str">
        <f>IFERROR(IF($G163="","",VLOOKUP('Dashboard And Emails Automate'!$G163,Database!$H:$N,6,0)),"")</f>
        <v/>
      </c>
      <c r="M163" s="55" t="str">
        <f>IFERROR(IF($G163="","",VLOOKUP('Dashboard And Emails Automate'!$G163,Database!$H:$N,7,0)),"")</f>
        <v/>
      </c>
      <c r="N163" s="55" t="str">
        <f>IFERROR(IF(OR($B163="",$B163="(blank)"),"",VLOOKUP($B163,'Email Marketing Raw Data'!$C:$O,6,0)),"")</f>
        <v/>
      </c>
      <c r="O163" s="55" t="str">
        <f>IFERROR(IF(OR($B163="",$B163="(blank)"),"",VLOOKUP($B163,'Email Marketing Raw Data'!$C:$O,7,0)),"")</f>
        <v/>
      </c>
      <c r="P163" s="55" t="str">
        <f>IFERROR(IF(OR($B163="",$B163="(blank)"),"",VLOOKUP($B163,'Email Marketing Raw Data'!$C:$O,8,0)),"")</f>
        <v/>
      </c>
      <c r="Q163" s="62" t="str">
        <f>IFERROR(IF(OR($B163="",$B163="(blank)"),"",VLOOKUP($B163,'Email Marketing Raw Data'!$C:$O,9,0)),"")</f>
        <v/>
      </c>
    </row>
    <row r="164" spans="4:17" ht="12.75" customHeight="1" x14ac:dyDescent="0.2">
      <c r="D164" s="58" t="str">
        <f>IFERROR(IF(F164&lt;&gt;"pending","",IF(OR($B164="",$B164="(blank)"),"",VLOOKUP($B164,'Email Marketing Raw Data'!$C:$O,10,0))),"")</f>
        <v/>
      </c>
      <c r="E164" s="59" t="str">
        <f>IFERROR(IF(F164&lt;&gt;"pending","",IF(OR($B164="",$B164="(blank)"),"",VLOOKUP($B164,'Email Marketing Raw Data'!$C:$O,11,0))),"")</f>
        <v/>
      </c>
      <c r="F164" s="54" t="str">
        <f>IFERROR(IF(OR($B164="",$B164="(blank)"),"",VLOOKUP($B164,'Email Marketing Raw Data'!$C:$O,13,0)),"")</f>
        <v/>
      </c>
      <c r="G164" s="55" t="str">
        <f>IFERROR(IF(OR($B164="",$B164="(blank)"),"",VLOOKUP($B164,'Email Marketing Raw Data'!$C:$O,4,0)),"")</f>
        <v/>
      </c>
      <c r="H164" s="55" t="str">
        <f>IFERROR(IF(OR($B164="",$B164="(blank)"),"",VLOOKUP($B164,'Email Marketing Raw Data'!$C:$O,5,0)),"")</f>
        <v/>
      </c>
      <c r="I164" s="55" t="str">
        <f>IFERROR(IF($G164="","",VLOOKUP('Dashboard And Emails Automate'!$G164,Database!$H:$N,3,0)),"")</f>
        <v/>
      </c>
      <c r="J164" s="55" t="str">
        <f>IFERROR(IF($G164="","",VLOOKUP('Dashboard And Emails Automate'!$G164,Database!$H:$N,4,0)),"")</f>
        <v/>
      </c>
      <c r="K164" s="55" t="str">
        <f>IFERROR(IF($G164="","",VLOOKUP('Dashboard And Emails Automate'!$G164,Database!$H:$N,5,0)),"")</f>
        <v/>
      </c>
      <c r="L164" s="55" t="str">
        <f>IFERROR(IF($G164="","",VLOOKUP('Dashboard And Emails Automate'!$G164,Database!$H:$N,6,0)),"")</f>
        <v/>
      </c>
      <c r="M164" s="55" t="str">
        <f>IFERROR(IF($G164="","",VLOOKUP('Dashboard And Emails Automate'!$G164,Database!$H:$N,7,0)),"")</f>
        <v/>
      </c>
      <c r="N164" s="55" t="str">
        <f>IFERROR(IF(OR($B164="",$B164="(blank)"),"",VLOOKUP($B164,'Email Marketing Raw Data'!$C:$O,6,0)),"")</f>
        <v/>
      </c>
      <c r="O164" s="55" t="str">
        <f>IFERROR(IF(OR($B164="",$B164="(blank)"),"",VLOOKUP($B164,'Email Marketing Raw Data'!$C:$O,7,0)),"")</f>
        <v/>
      </c>
      <c r="P164" s="55" t="str">
        <f>IFERROR(IF(OR($B164="",$B164="(blank)"),"",VLOOKUP($B164,'Email Marketing Raw Data'!$C:$O,8,0)),"")</f>
        <v/>
      </c>
      <c r="Q164" s="62" t="str">
        <f>IFERROR(IF(OR($B164="",$B164="(blank)"),"",VLOOKUP($B164,'Email Marketing Raw Data'!$C:$O,9,0)),"")</f>
        <v/>
      </c>
    </row>
    <row r="165" spans="4:17" ht="12.75" customHeight="1" x14ac:dyDescent="0.2">
      <c r="D165" s="58" t="str">
        <f>IFERROR(IF(F165&lt;&gt;"pending","",IF(OR($B165="",$B165="(blank)"),"",VLOOKUP($B165,'Email Marketing Raw Data'!$C:$O,10,0))),"")</f>
        <v/>
      </c>
      <c r="E165" s="59" t="str">
        <f>IFERROR(IF(F165&lt;&gt;"pending","",IF(OR($B165="",$B165="(blank)"),"",VLOOKUP($B165,'Email Marketing Raw Data'!$C:$O,11,0))),"")</f>
        <v/>
      </c>
      <c r="F165" s="54" t="str">
        <f>IFERROR(IF(OR($B165="",$B165="(blank)"),"",VLOOKUP($B165,'Email Marketing Raw Data'!$C:$O,13,0)),"")</f>
        <v/>
      </c>
      <c r="G165" s="55" t="str">
        <f>IFERROR(IF(OR($B165="",$B165="(blank)"),"",VLOOKUP($B165,'Email Marketing Raw Data'!$C:$O,4,0)),"")</f>
        <v/>
      </c>
      <c r="H165" s="55" t="str">
        <f>IFERROR(IF(OR($B165="",$B165="(blank)"),"",VLOOKUP($B165,'Email Marketing Raw Data'!$C:$O,5,0)),"")</f>
        <v/>
      </c>
      <c r="I165" s="55" t="str">
        <f>IFERROR(IF($G165="","",VLOOKUP('Dashboard And Emails Automate'!$G165,Database!$H:$N,3,0)),"")</f>
        <v/>
      </c>
      <c r="J165" s="55" t="str">
        <f>IFERROR(IF($G165="","",VLOOKUP('Dashboard And Emails Automate'!$G165,Database!$H:$N,4,0)),"")</f>
        <v/>
      </c>
      <c r="K165" s="55" t="str">
        <f>IFERROR(IF($G165="","",VLOOKUP('Dashboard And Emails Automate'!$G165,Database!$H:$N,5,0)),"")</f>
        <v/>
      </c>
      <c r="L165" s="55" t="str">
        <f>IFERROR(IF($G165="","",VLOOKUP('Dashboard And Emails Automate'!$G165,Database!$H:$N,6,0)),"")</f>
        <v/>
      </c>
      <c r="M165" s="55" t="str">
        <f>IFERROR(IF($G165="","",VLOOKUP('Dashboard And Emails Automate'!$G165,Database!$H:$N,7,0)),"")</f>
        <v/>
      </c>
      <c r="N165" s="55" t="str">
        <f>IFERROR(IF(OR($B165="",$B165="(blank)"),"",VLOOKUP($B165,'Email Marketing Raw Data'!$C:$O,6,0)),"")</f>
        <v/>
      </c>
      <c r="O165" s="55" t="str">
        <f>IFERROR(IF(OR($B165="",$B165="(blank)"),"",VLOOKUP($B165,'Email Marketing Raw Data'!$C:$O,7,0)),"")</f>
        <v/>
      </c>
      <c r="P165" s="55" t="str">
        <f>IFERROR(IF(OR($B165="",$B165="(blank)"),"",VLOOKUP($B165,'Email Marketing Raw Data'!$C:$O,8,0)),"")</f>
        <v/>
      </c>
      <c r="Q165" s="62" t="str">
        <f>IFERROR(IF(OR($B165="",$B165="(blank)"),"",VLOOKUP($B165,'Email Marketing Raw Data'!$C:$O,9,0)),"")</f>
        <v/>
      </c>
    </row>
    <row r="166" spans="4:17" ht="12.75" customHeight="1" x14ac:dyDescent="0.2">
      <c r="D166" s="58" t="str">
        <f>IFERROR(IF(F166&lt;&gt;"pending","",IF(OR($B166="",$B166="(blank)"),"",VLOOKUP($B166,'Email Marketing Raw Data'!$C:$O,10,0))),"")</f>
        <v/>
      </c>
      <c r="E166" s="59" t="str">
        <f>IFERROR(IF(F166&lt;&gt;"pending","",IF(OR($B166="",$B166="(blank)"),"",VLOOKUP($B166,'Email Marketing Raw Data'!$C:$O,11,0))),"")</f>
        <v/>
      </c>
      <c r="F166" s="54" t="str">
        <f>IFERROR(IF(OR($B166="",$B166="(blank)"),"",VLOOKUP($B166,'Email Marketing Raw Data'!$C:$O,13,0)),"")</f>
        <v/>
      </c>
      <c r="G166" s="55" t="str">
        <f>IFERROR(IF(OR($B166="",$B166="(blank)"),"",VLOOKUP($B166,'Email Marketing Raw Data'!$C:$O,4,0)),"")</f>
        <v/>
      </c>
      <c r="H166" s="55" t="str">
        <f>IFERROR(IF(OR($B166="",$B166="(blank)"),"",VLOOKUP($B166,'Email Marketing Raw Data'!$C:$O,5,0)),"")</f>
        <v/>
      </c>
      <c r="I166" s="55" t="str">
        <f>IFERROR(IF($G166="","",VLOOKUP('Dashboard And Emails Automate'!$G166,Database!$H:$N,3,0)),"")</f>
        <v/>
      </c>
      <c r="J166" s="55" t="str">
        <f>IFERROR(IF($G166="","",VLOOKUP('Dashboard And Emails Automate'!$G166,Database!$H:$N,4,0)),"")</f>
        <v/>
      </c>
      <c r="K166" s="55" t="str">
        <f>IFERROR(IF($G166="","",VLOOKUP('Dashboard And Emails Automate'!$G166,Database!$H:$N,5,0)),"")</f>
        <v/>
      </c>
      <c r="L166" s="55" t="str">
        <f>IFERROR(IF($G166="","",VLOOKUP('Dashboard And Emails Automate'!$G166,Database!$H:$N,6,0)),"")</f>
        <v/>
      </c>
      <c r="M166" s="55" t="str">
        <f>IFERROR(IF($G166="","",VLOOKUP('Dashboard And Emails Automate'!$G166,Database!$H:$N,7,0)),"")</f>
        <v/>
      </c>
      <c r="N166" s="55" t="str">
        <f>IFERROR(IF(OR($B166="",$B166="(blank)"),"",VLOOKUP($B166,'Email Marketing Raw Data'!$C:$O,6,0)),"")</f>
        <v/>
      </c>
      <c r="O166" s="55" t="str">
        <f>IFERROR(IF(OR($B166="",$B166="(blank)"),"",VLOOKUP($B166,'Email Marketing Raw Data'!$C:$O,7,0)),"")</f>
        <v/>
      </c>
      <c r="P166" s="55" t="str">
        <f>IFERROR(IF(OR($B166="",$B166="(blank)"),"",VLOOKUP($B166,'Email Marketing Raw Data'!$C:$O,8,0)),"")</f>
        <v/>
      </c>
      <c r="Q166" s="62" t="str">
        <f>IFERROR(IF(OR($B166="",$B166="(blank)"),"",VLOOKUP($B166,'Email Marketing Raw Data'!$C:$O,9,0)),"")</f>
        <v/>
      </c>
    </row>
    <row r="167" spans="4:17" ht="12.75" customHeight="1" x14ac:dyDescent="0.2">
      <c r="D167" s="58" t="str">
        <f>IFERROR(IF(F167&lt;&gt;"pending","",IF(OR($B167="",$B167="(blank)"),"",VLOOKUP($B167,'Email Marketing Raw Data'!$C:$O,10,0))),"")</f>
        <v/>
      </c>
      <c r="E167" s="59" t="str">
        <f>IFERROR(IF(F167&lt;&gt;"pending","",IF(OR($B167="",$B167="(blank)"),"",VLOOKUP($B167,'Email Marketing Raw Data'!$C:$O,11,0))),"")</f>
        <v/>
      </c>
      <c r="F167" s="54" t="str">
        <f>IFERROR(IF(OR($B167="",$B167="(blank)"),"",VLOOKUP($B167,'Email Marketing Raw Data'!$C:$O,13,0)),"")</f>
        <v/>
      </c>
      <c r="G167" s="55" t="str">
        <f>IFERROR(IF(OR($B167="",$B167="(blank)"),"",VLOOKUP($B167,'Email Marketing Raw Data'!$C:$O,4,0)),"")</f>
        <v/>
      </c>
      <c r="H167" s="55" t="str">
        <f>IFERROR(IF(OR($B167="",$B167="(blank)"),"",VLOOKUP($B167,'Email Marketing Raw Data'!$C:$O,5,0)),"")</f>
        <v/>
      </c>
      <c r="I167" s="55" t="str">
        <f>IFERROR(IF($G167="","",VLOOKUP('Dashboard And Emails Automate'!$G167,Database!$H:$N,3,0)),"")</f>
        <v/>
      </c>
      <c r="J167" s="55" t="str">
        <f>IFERROR(IF($G167="","",VLOOKUP('Dashboard And Emails Automate'!$G167,Database!$H:$N,4,0)),"")</f>
        <v/>
      </c>
      <c r="K167" s="55" t="str">
        <f>IFERROR(IF($G167="","",VLOOKUP('Dashboard And Emails Automate'!$G167,Database!$H:$N,5,0)),"")</f>
        <v/>
      </c>
      <c r="L167" s="55" t="str">
        <f>IFERROR(IF($G167="","",VLOOKUP('Dashboard And Emails Automate'!$G167,Database!$H:$N,6,0)),"")</f>
        <v/>
      </c>
      <c r="M167" s="55" t="str">
        <f>IFERROR(IF($G167="","",VLOOKUP('Dashboard And Emails Automate'!$G167,Database!$H:$N,7,0)),"")</f>
        <v/>
      </c>
      <c r="N167" s="55" t="str">
        <f>IFERROR(IF(OR($B167="",$B167="(blank)"),"",VLOOKUP($B167,'Email Marketing Raw Data'!$C:$O,6,0)),"")</f>
        <v/>
      </c>
      <c r="O167" s="55" t="str">
        <f>IFERROR(IF(OR($B167="",$B167="(blank)"),"",VLOOKUP($B167,'Email Marketing Raw Data'!$C:$O,7,0)),"")</f>
        <v/>
      </c>
      <c r="P167" s="55" t="str">
        <f>IFERROR(IF(OR($B167="",$B167="(blank)"),"",VLOOKUP($B167,'Email Marketing Raw Data'!$C:$O,8,0)),"")</f>
        <v/>
      </c>
      <c r="Q167" s="62" t="str">
        <f>IFERROR(IF(OR($B167="",$B167="(blank)"),"",VLOOKUP($B167,'Email Marketing Raw Data'!$C:$O,9,0)),"")</f>
        <v/>
      </c>
    </row>
    <row r="168" spans="4:17" ht="12.75" customHeight="1" x14ac:dyDescent="0.2">
      <c r="D168" s="58" t="str">
        <f>IFERROR(IF(F168&lt;&gt;"pending","",IF(OR($B168="",$B168="(blank)"),"",VLOOKUP($B168,'Email Marketing Raw Data'!$C:$O,10,0))),"")</f>
        <v/>
      </c>
      <c r="E168" s="59" t="str">
        <f>IFERROR(IF(F168&lt;&gt;"pending","",IF(OR($B168="",$B168="(blank)"),"",VLOOKUP($B168,'Email Marketing Raw Data'!$C:$O,11,0))),"")</f>
        <v/>
      </c>
      <c r="F168" s="54" t="str">
        <f>IFERROR(IF(OR($B168="",$B168="(blank)"),"",VLOOKUP($B168,'Email Marketing Raw Data'!$C:$O,13,0)),"")</f>
        <v/>
      </c>
      <c r="G168" s="55" t="str">
        <f>IFERROR(IF(OR($B168="",$B168="(blank)"),"",VLOOKUP($B168,'Email Marketing Raw Data'!$C:$O,4,0)),"")</f>
        <v/>
      </c>
      <c r="H168" s="55" t="str">
        <f>IFERROR(IF(OR($B168="",$B168="(blank)"),"",VLOOKUP($B168,'Email Marketing Raw Data'!$C:$O,5,0)),"")</f>
        <v/>
      </c>
      <c r="I168" s="55" t="str">
        <f>IFERROR(IF($G168="","",VLOOKUP('Dashboard And Emails Automate'!$G168,Database!$H:$N,3,0)),"")</f>
        <v/>
      </c>
      <c r="J168" s="55" t="str">
        <f>IFERROR(IF($G168="","",VLOOKUP('Dashboard And Emails Automate'!$G168,Database!$H:$N,4,0)),"")</f>
        <v/>
      </c>
      <c r="K168" s="55" t="str">
        <f>IFERROR(IF($G168="","",VLOOKUP('Dashboard And Emails Automate'!$G168,Database!$H:$N,5,0)),"")</f>
        <v/>
      </c>
      <c r="L168" s="55" t="str">
        <f>IFERROR(IF($G168="","",VLOOKUP('Dashboard And Emails Automate'!$G168,Database!$H:$N,6,0)),"")</f>
        <v/>
      </c>
      <c r="M168" s="55" t="str">
        <f>IFERROR(IF($G168="","",VLOOKUP('Dashboard And Emails Automate'!$G168,Database!$H:$N,7,0)),"")</f>
        <v/>
      </c>
      <c r="N168" s="55" t="str">
        <f>IFERROR(IF(OR($B168="",$B168="(blank)"),"",VLOOKUP($B168,'Email Marketing Raw Data'!$C:$O,6,0)),"")</f>
        <v/>
      </c>
      <c r="O168" s="55" t="str">
        <f>IFERROR(IF(OR($B168="",$B168="(blank)"),"",VLOOKUP($B168,'Email Marketing Raw Data'!$C:$O,7,0)),"")</f>
        <v/>
      </c>
      <c r="P168" s="55" t="str">
        <f>IFERROR(IF(OR($B168="",$B168="(blank)"),"",VLOOKUP($B168,'Email Marketing Raw Data'!$C:$O,8,0)),"")</f>
        <v/>
      </c>
      <c r="Q168" s="62" t="str">
        <f>IFERROR(IF(OR($B168="",$B168="(blank)"),"",VLOOKUP($B168,'Email Marketing Raw Data'!$C:$O,9,0)),"")</f>
        <v/>
      </c>
    </row>
    <row r="169" spans="4:17" ht="12.75" customHeight="1" x14ac:dyDescent="0.2">
      <c r="D169" s="58" t="str">
        <f>IFERROR(IF(F169&lt;&gt;"pending","",IF(OR($B169="",$B169="(blank)"),"",VLOOKUP($B169,'Email Marketing Raw Data'!$C:$O,10,0))),"")</f>
        <v/>
      </c>
      <c r="E169" s="59" t="str">
        <f>IFERROR(IF(F169&lt;&gt;"pending","",IF(OR($B169="",$B169="(blank)"),"",VLOOKUP($B169,'Email Marketing Raw Data'!$C:$O,11,0))),"")</f>
        <v/>
      </c>
      <c r="F169" s="54" t="str">
        <f>IFERROR(IF(OR($B169="",$B169="(blank)"),"",VLOOKUP($B169,'Email Marketing Raw Data'!$C:$O,13,0)),"")</f>
        <v/>
      </c>
      <c r="G169" s="55" t="str">
        <f>IFERROR(IF(OR($B169="",$B169="(blank)"),"",VLOOKUP($B169,'Email Marketing Raw Data'!$C:$O,4,0)),"")</f>
        <v/>
      </c>
      <c r="H169" s="55" t="str">
        <f>IFERROR(IF(OR($B169="",$B169="(blank)"),"",VLOOKUP($B169,'Email Marketing Raw Data'!$C:$O,5,0)),"")</f>
        <v/>
      </c>
      <c r="I169" s="55" t="str">
        <f>IFERROR(IF($G169="","",VLOOKUP('Dashboard And Emails Automate'!$G169,Database!$H:$N,3,0)),"")</f>
        <v/>
      </c>
      <c r="J169" s="55" t="str">
        <f>IFERROR(IF($G169="","",VLOOKUP('Dashboard And Emails Automate'!$G169,Database!$H:$N,4,0)),"")</f>
        <v/>
      </c>
      <c r="K169" s="55" t="str">
        <f>IFERROR(IF($G169="","",VLOOKUP('Dashboard And Emails Automate'!$G169,Database!$H:$N,5,0)),"")</f>
        <v/>
      </c>
      <c r="L169" s="55" t="str">
        <f>IFERROR(IF($G169="","",VLOOKUP('Dashboard And Emails Automate'!$G169,Database!$H:$N,6,0)),"")</f>
        <v/>
      </c>
      <c r="M169" s="55" t="str">
        <f>IFERROR(IF($G169="","",VLOOKUP('Dashboard And Emails Automate'!$G169,Database!$H:$N,7,0)),"")</f>
        <v/>
      </c>
      <c r="N169" s="55" t="str">
        <f>IFERROR(IF(OR($B169="",$B169="(blank)"),"",VLOOKUP($B169,'Email Marketing Raw Data'!$C:$O,6,0)),"")</f>
        <v/>
      </c>
      <c r="O169" s="55" t="str">
        <f>IFERROR(IF(OR($B169="",$B169="(blank)"),"",VLOOKUP($B169,'Email Marketing Raw Data'!$C:$O,7,0)),"")</f>
        <v/>
      </c>
      <c r="P169" s="55" t="str">
        <f>IFERROR(IF(OR($B169="",$B169="(blank)"),"",VLOOKUP($B169,'Email Marketing Raw Data'!$C:$O,8,0)),"")</f>
        <v/>
      </c>
      <c r="Q169" s="62" t="str">
        <f>IFERROR(IF(OR($B169="",$B169="(blank)"),"",VLOOKUP($B169,'Email Marketing Raw Data'!$C:$O,9,0)),"")</f>
        <v/>
      </c>
    </row>
    <row r="170" spans="4:17" ht="12.75" customHeight="1" x14ac:dyDescent="0.2">
      <c r="D170" s="58" t="str">
        <f>IFERROR(IF(F170&lt;&gt;"pending","",IF(OR($B170="",$B170="(blank)"),"",VLOOKUP($B170,'Email Marketing Raw Data'!$C:$O,10,0))),"")</f>
        <v/>
      </c>
      <c r="E170" s="59" t="str">
        <f>IFERROR(IF(F170&lt;&gt;"pending","",IF(OR($B170="",$B170="(blank)"),"",VLOOKUP($B170,'Email Marketing Raw Data'!$C:$O,11,0))),"")</f>
        <v/>
      </c>
      <c r="F170" s="54" t="str">
        <f>IFERROR(IF(OR($B170="",$B170="(blank)"),"",VLOOKUP($B170,'Email Marketing Raw Data'!$C:$O,13,0)),"")</f>
        <v/>
      </c>
      <c r="G170" s="55" t="str">
        <f>IFERROR(IF(OR($B170="",$B170="(blank)"),"",VLOOKUP($B170,'Email Marketing Raw Data'!$C:$O,4,0)),"")</f>
        <v/>
      </c>
      <c r="H170" s="55" t="str">
        <f>IFERROR(IF(OR($B170="",$B170="(blank)"),"",VLOOKUP($B170,'Email Marketing Raw Data'!$C:$O,5,0)),"")</f>
        <v/>
      </c>
      <c r="I170" s="55" t="str">
        <f>IFERROR(IF($G170="","",VLOOKUP('Dashboard And Emails Automate'!$G170,Database!$H:$N,3,0)),"")</f>
        <v/>
      </c>
      <c r="J170" s="55" t="str">
        <f>IFERROR(IF($G170="","",VLOOKUP('Dashboard And Emails Automate'!$G170,Database!$H:$N,4,0)),"")</f>
        <v/>
      </c>
      <c r="K170" s="55" t="str">
        <f>IFERROR(IF($G170="","",VLOOKUP('Dashboard And Emails Automate'!$G170,Database!$H:$N,5,0)),"")</f>
        <v/>
      </c>
      <c r="L170" s="55" t="str">
        <f>IFERROR(IF($G170="","",VLOOKUP('Dashboard And Emails Automate'!$G170,Database!$H:$N,6,0)),"")</f>
        <v/>
      </c>
      <c r="M170" s="55" t="str">
        <f>IFERROR(IF($G170="","",VLOOKUP('Dashboard And Emails Automate'!$G170,Database!$H:$N,7,0)),"")</f>
        <v/>
      </c>
      <c r="N170" s="55" t="str">
        <f>IFERROR(IF(OR($B170="",$B170="(blank)"),"",VLOOKUP($B170,'Email Marketing Raw Data'!$C:$O,6,0)),"")</f>
        <v/>
      </c>
      <c r="O170" s="55" t="str">
        <f>IFERROR(IF(OR($B170="",$B170="(blank)"),"",VLOOKUP($B170,'Email Marketing Raw Data'!$C:$O,7,0)),"")</f>
        <v/>
      </c>
      <c r="P170" s="55" t="str">
        <f>IFERROR(IF(OR($B170="",$B170="(blank)"),"",VLOOKUP($B170,'Email Marketing Raw Data'!$C:$O,8,0)),"")</f>
        <v/>
      </c>
      <c r="Q170" s="62" t="str">
        <f>IFERROR(IF(OR($B170="",$B170="(blank)"),"",VLOOKUP($B170,'Email Marketing Raw Data'!$C:$O,9,0)),"")</f>
        <v/>
      </c>
    </row>
    <row r="171" spans="4:17" ht="12.75" customHeight="1" x14ac:dyDescent="0.2">
      <c r="D171" s="58" t="str">
        <f>IFERROR(IF(F171&lt;&gt;"pending","",IF(OR($B171="",$B171="(blank)"),"",VLOOKUP($B171,'Email Marketing Raw Data'!$C:$O,10,0))),"")</f>
        <v/>
      </c>
      <c r="E171" s="59" t="str">
        <f>IFERROR(IF(F171&lt;&gt;"pending","",IF(OR($B171="",$B171="(blank)"),"",VLOOKUP($B171,'Email Marketing Raw Data'!$C:$O,11,0))),"")</f>
        <v/>
      </c>
      <c r="F171" s="54" t="str">
        <f>IFERROR(IF(OR($B171="",$B171="(blank)"),"",VLOOKUP($B171,'Email Marketing Raw Data'!$C:$O,13,0)),"")</f>
        <v/>
      </c>
      <c r="G171" s="55" t="str">
        <f>IFERROR(IF(OR($B171="",$B171="(blank)"),"",VLOOKUP($B171,'Email Marketing Raw Data'!$C:$O,4,0)),"")</f>
        <v/>
      </c>
      <c r="H171" s="55" t="str">
        <f>IFERROR(IF(OR($B171="",$B171="(blank)"),"",VLOOKUP($B171,'Email Marketing Raw Data'!$C:$O,5,0)),"")</f>
        <v/>
      </c>
      <c r="I171" s="55" t="str">
        <f>IFERROR(IF($G171="","",VLOOKUP('Dashboard And Emails Automate'!$G171,Database!$H:$N,3,0)),"")</f>
        <v/>
      </c>
      <c r="J171" s="55" t="str">
        <f>IFERROR(IF($G171="","",VLOOKUP('Dashboard And Emails Automate'!$G171,Database!$H:$N,4,0)),"")</f>
        <v/>
      </c>
      <c r="K171" s="55" t="str">
        <f>IFERROR(IF($G171="","",VLOOKUP('Dashboard And Emails Automate'!$G171,Database!$H:$N,5,0)),"")</f>
        <v/>
      </c>
      <c r="L171" s="55" t="str">
        <f>IFERROR(IF($G171="","",VLOOKUP('Dashboard And Emails Automate'!$G171,Database!$H:$N,6,0)),"")</f>
        <v/>
      </c>
      <c r="M171" s="55" t="str">
        <f>IFERROR(IF($G171="","",VLOOKUP('Dashboard And Emails Automate'!$G171,Database!$H:$N,7,0)),"")</f>
        <v/>
      </c>
      <c r="N171" s="55" t="str">
        <f>IFERROR(IF(OR($B171="",$B171="(blank)"),"",VLOOKUP($B171,'Email Marketing Raw Data'!$C:$O,6,0)),"")</f>
        <v/>
      </c>
      <c r="O171" s="55" t="str">
        <f>IFERROR(IF(OR($B171="",$B171="(blank)"),"",VLOOKUP($B171,'Email Marketing Raw Data'!$C:$O,7,0)),"")</f>
        <v/>
      </c>
      <c r="P171" s="55" t="str">
        <f>IFERROR(IF(OR($B171="",$B171="(blank)"),"",VLOOKUP($B171,'Email Marketing Raw Data'!$C:$O,8,0)),"")</f>
        <v/>
      </c>
      <c r="Q171" s="62" t="str">
        <f>IFERROR(IF(OR($B171="",$B171="(blank)"),"",VLOOKUP($B171,'Email Marketing Raw Data'!$C:$O,9,0)),"")</f>
        <v/>
      </c>
    </row>
    <row r="172" spans="4:17" ht="12.75" customHeight="1" x14ac:dyDescent="0.2">
      <c r="D172" s="58" t="str">
        <f>IFERROR(IF(F172&lt;&gt;"pending","",IF(OR($B172="",$B172="(blank)"),"",VLOOKUP($B172,'Email Marketing Raw Data'!$C:$O,10,0))),"")</f>
        <v/>
      </c>
      <c r="E172" s="59" t="str">
        <f>IFERROR(IF(F172&lt;&gt;"pending","",IF(OR($B172="",$B172="(blank)"),"",VLOOKUP($B172,'Email Marketing Raw Data'!$C:$O,11,0))),"")</f>
        <v/>
      </c>
      <c r="F172" s="54" t="str">
        <f>IFERROR(IF(OR($B172="",$B172="(blank)"),"",VLOOKUP($B172,'Email Marketing Raw Data'!$C:$O,13,0)),"")</f>
        <v/>
      </c>
      <c r="G172" s="55" t="str">
        <f>IFERROR(IF(OR($B172="",$B172="(blank)"),"",VLOOKUP($B172,'Email Marketing Raw Data'!$C:$O,4,0)),"")</f>
        <v/>
      </c>
      <c r="H172" s="55" t="str">
        <f>IFERROR(IF(OR($B172="",$B172="(blank)"),"",VLOOKUP($B172,'Email Marketing Raw Data'!$C:$O,5,0)),"")</f>
        <v/>
      </c>
      <c r="I172" s="55" t="str">
        <f>IFERROR(IF($G172="","",VLOOKUP('Dashboard And Emails Automate'!$G172,Database!$H:$N,3,0)),"")</f>
        <v/>
      </c>
      <c r="J172" s="55" t="str">
        <f>IFERROR(IF($G172="","",VLOOKUP('Dashboard And Emails Automate'!$G172,Database!$H:$N,4,0)),"")</f>
        <v/>
      </c>
      <c r="K172" s="55" t="str">
        <f>IFERROR(IF($G172="","",VLOOKUP('Dashboard And Emails Automate'!$G172,Database!$H:$N,5,0)),"")</f>
        <v/>
      </c>
      <c r="L172" s="55" t="str">
        <f>IFERROR(IF($G172="","",VLOOKUP('Dashboard And Emails Automate'!$G172,Database!$H:$N,6,0)),"")</f>
        <v/>
      </c>
      <c r="M172" s="55" t="str">
        <f>IFERROR(IF($G172="","",VLOOKUP('Dashboard And Emails Automate'!$G172,Database!$H:$N,7,0)),"")</f>
        <v/>
      </c>
      <c r="N172" s="55" t="str">
        <f>IFERROR(IF(OR($B172="",$B172="(blank)"),"",VLOOKUP($B172,'Email Marketing Raw Data'!$C:$O,6,0)),"")</f>
        <v/>
      </c>
      <c r="O172" s="55" t="str">
        <f>IFERROR(IF(OR($B172="",$B172="(blank)"),"",VLOOKUP($B172,'Email Marketing Raw Data'!$C:$O,7,0)),"")</f>
        <v/>
      </c>
      <c r="P172" s="55" t="str">
        <f>IFERROR(IF(OR($B172="",$B172="(blank)"),"",VLOOKUP($B172,'Email Marketing Raw Data'!$C:$O,8,0)),"")</f>
        <v/>
      </c>
      <c r="Q172" s="62" t="str">
        <f>IFERROR(IF(OR($B172="",$B172="(blank)"),"",VLOOKUP($B172,'Email Marketing Raw Data'!$C:$O,9,0)),"")</f>
        <v/>
      </c>
    </row>
    <row r="173" spans="4:17" ht="12.75" customHeight="1" x14ac:dyDescent="0.2">
      <c r="D173" s="58" t="str">
        <f>IFERROR(IF(F173&lt;&gt;"pending","",IF(OR($B173="",$B173="(blank)"),"",VLOOKUP($B173,'Email Marketing Raw Data'!$C:$O,10,0))),"")</f>
        <v/>
      </c>
      <c r="E173" s="59" t="str">
        <f>IFERROR(IF(F173&lt;&gt;"pending","",IF(OR($B173="",$B173="(blank)"),"",VLOOKUP($B173,'Email Marketing Raw Data'!$C:$O,11,0))),"")</f>
        <v/>
      </c>
      <c r="F173" s="54" t="str">
        <f>IFERROR(IF(OR($B173="",$B173="(blank)"),"",VLOOKUP($B173,'Email Marketing Raw Data'!$C:$O,13,0)),"")</f>
        <v/>
      </c>
      <c r="G173" s="55" t="str">
        <f>IFERROR(IF(OR($B173="",$B173="(blank)"),"",VLOOKUP($B173,'Email Marketing Raw Data'!$C:$O,4,0)),"")</f>
        <v/>
      </c>
      <c r="H173" s="55" t="str">
        <f>IFERROR(IF(OR($B173="",$B173="(blank)"),"",VLOOKUP($B173,'Email Marketing Raw Data'!$C:$O,5,0)),"")</f>
        <v/>
      </c>
      <c r="I173" s="55" t="str">
        <f>IFERROR(IF($G173="","",VLOOKUP('Dashboard And Emails Automate'!$G173,Database!$H:$N,3,0)),"")</f>
        <v/>
      </c>
      <c r="J173" s="55" t="str">
        <f>IFERROR(IF($G173="","",VLOOKUP('Dashboard And Emails Automate'!$G173,Database!$H:$N,4,0)),"")</f>
        <v/>
      </c>
      <c r="K173" s="55" t="str">
        <f>IFERROR(IF($G173="","",VLOOKUP('Dashboard And Emails Automate'!$G173,Database!$H:$N,5,0)),"")</f>
        <v/>
      </c>
      <c r="L173" s="55" t="str">
        <f>IFERROR(IF($G173="","",VLOOKUP('Dashboard And Emails Automate'!$G173,Database!$H:$N,6,0)),"")</f>
        <v/>
      </c>
      <c r="M173" s="55" t="str">
        <f>IFERROR(IF($G173="","",VLOOKUP('Dashboard And Emails Automate'!$G173,Database!$H:$N,7,0)),"")</f>
        <v/>
      </c>
      <c r="N173" s="55" t="str">
        <f>IFERROR(IF(OR($B173="",$B173="(blank)"),"",VLOOKUP($B173,'Email Marketing Raw Data'!$C:$O,6,0)),"")</f>
        <v/>
      </c>
      <c r="O173" s="55" t="str">
        <f>IFERROR(IF(OR($B173="",$B173="(blank)"),"",VLOOKUP($B173,'Email Marketing Raw Data'!$C:$O,7,0)),"")</f>
        <v/>
      </c>
      <c r="P173" s="55" t="str">
        <f>IFERROR(IF(OR($B173="",$B173="(blank)"),"",VLOOKUP($B173,'Email Marketing Raw Data'!$C:$O,8,0)),"")</f>
        <v/>
      </c>
      <c r="Q173" s="62" t="str">
        <f>IFERROR(IF(OR($B173="",$B173="(blank)"),"",VLOOKUP($B173,'Email Marketing Raw Data'!$C:$O,9,0)),"")</f>
        <v/>
      </c>
    </row>
    <row r="174" spans="4:17" ht="12.75" customHeight="1" x14ac:dyDescent="0.2">
      <c r="D174" s="58" t="str">
        <f>IFERROR(IF(F174&lt;&gt;"pending","",IF(OR($B174="",$B174="(blank)"),"",VLOOKUP($B174,'Email Marketing Raw Data'!$C:$O,10,0))),"")</f>
        <v/>
      </c>
      <c r="E174" s="59" t="str">
        <f>IFERROR(IF(F174&lt;&gt;"pending","",IF(OR($B174="",$B174="(blank)"),"",VLOOKUP($B174,'Email Marketing Raw Data'!$C:$O,11,0))),"")</f>
        <v/>
      </c>
      <c r="F174" s="54" t="str">
        <f>IFERROR(IF(OR($B174="",$B174="(blank)"),"",VLOOKUP($B174,'Email Marketing Raw Data'!$C:$O,13,0)),"")</f>
        <v/>
      </c>
      <c r="G174" s="55" t="str">
        <f>IFERROR(IF(OR($B174="",$B174="(blank)"),"",VLOOKUP($B174,'Email Marketing Raw Data'!$C:$O,4,0)),"")</f>
        <v/>
      </c>
      <c r="H174" s="55" t="str">
        <f>IFERROR(IF(OR($B174="",$B174="(blank)"),"",VLOOKUP($B174,'Email Marketing Raw Data'!$C:$O,5,0)),"")</f>
        <v/>
      </c>
      <c r="I174" s="55" t="str">
        <f>IFERROR(IF($G174="","",VLOOKUP('Dashboard And Emails Automate'!$G174,Database!$H:$N,3,0)),"")</f>
        <v/>
      </c>
      <c r="J174" s="55" t="str">
        <f>IFERROR(IF($G174="","",VLOOKUP('Dashboard And Emails Automate'!$G174,Database!$H:$N,4,0)),"")</f>
        <v/>
      </c>
      <c r="K174" s="55" t="str">
        <f>IFERROR(IF($G174="","",VLOOKUP('Dashboard And Emails Automate'!$G174,Database!$H:$N,5,0)),"")</f>
        <v/>
      </c>
      <c r="L174" s="55" t="str">
        <f>IFERROR(IF($G174="","",VLOOKUP('Dashboard And Emails Automate'!$G174,Database!$H:$N,6,0)),"")</f>
        <v/>
      </c>
      <c r="M174" s="55" t="str">
        <f>IFERROR(IF($G174="","",VLOOKUP('Dashboard And Emails Automate'!$G174,Database!$H:$N,7,0)),"")</f>
        <v/>
      </c>
      <c r="N174" s="55" t="str">
        <f>IFERROR(IF(OR($B174="",$B174="(blank)"),"",VLOOKUP($B174,'Email Marketing Raw Data'!$C:$O,6,0)),"")</f>
        <v/>
      </c>
      <c r="O174" s="55" t="str">
        <f>IFERROR(IF(OR($B174="",$B174="(blank)"),"",VLOOKUP($B174,'Email Marketing Raw Data'!$C:$O,7,0)),"")</f>
        <v/>
      </c>
      <c r="P174" s="55" t="str">
        <f>IFERROR(IF(OR($B174="",$B174="(blank)"),"",VLOOKUP($B174,'Email Marketing Raw Data'!$C:$O,8,0)),"")</f>
        <v/>
      </c>
      <c r="Q174" s="62" t="str">
        <f>IFERROR(IF(OR($B174="",$B174="(blank)"),"",VLOOKUP($B174,'Email Marketing Raw Data'!$C:$O,9,0)),"")</f>
        <v/>
      </c>
    </row>
    <row r="175" spans="4:17" ht="12.75" customHeight="1" x14ac:dyDescent="0.2">
      <c r="D175" s="58" t="str">
        <f>IFERROR(IF(F175&lt;&gt;"pending","",IF(OR($B175="",$B175="(blank)"),"",VLOOKUP($B175,'Email Marketing Raw Data'!$C:$O,10,0))),"")</f>
        <v/>
      </c>
      <c r="E175" s="59" t="str">
        <f>IFERROR(IF(F175&lt;&gt;"pending","",IF(OR($B175="",$B175="(blank)"),"",VLOOKUP($B175,'Email Marketing Raw Data'!$C:$O,11,0))),"")</f>
        <v/>
      </c>
      <c r="F175" s="54" t="str">
        <f>IFERROR(IF(OR($B175="",$B175="(blank)"),"",VLOOKUP($B175,'Email Marketing Raw Data'!$C:$O,13,0)),"")</f>
        <v/>
      </c>
      <c r="G175" s="55" t="str">
        <f>IFERROR(IF(OR($B175="",$B175="(blank)"),"",VLOOKUP($B175,'Email Marketing Raw Data'!$C:$O,4,0)),"")</f>
        <v/>
      </c>
      <c r="H175" s="55" t="str">
        <f>IFERROR(IF(OR($B175="",$B175="(blank)"),"",VLOOKUP($B175,'Email Marketing Raw Data'!$C:$O,5,0)),"")</f>
        <v/>
      </c>
      <c r="I175" s="55" t="str">
        <f>IFERROR(IF($G175="","",VLOOKUP('Dashboard And Emails Automate'!$G175,Database!$H:$N,3,0)),"")</f>
        <v/>
      </c>
      <c r="J175" s="55" t="str">
        <f>IFERROR(IF($G175="","",VLOOKUP('Dashboard And Emails Automate'!$G175,Database!$H:$N,4,0)),"")</f>
        <v/>
      </c>
      <c r="K175" s="55" t="str">
        <f>IFERROR(IF($G175="","",VLOOKUP('Dashboard And Emails Automate'!$G175,Database!$H:$N,5,0)),"")</f>
        <v/>
      </c>
      <c r="L175" s="55" t="str">
        <f>IFERROR(IF($G175="","",VLOOKUP('Dashboard And Emails Automate'!$G175,Database!$H:$N,6,0)),"")</f>
        <v/>
      </c>
      <c r="M175" s="55" t="str">
        <f>IFERROR(IF($G175="","",VLOOKUP('Dashboard And Emails Automate'!$G175,Database!$H:$N,7,0)),"")</f>
        <v/>
      </c>
      <c r="N175" s="55" t="str">
        <f>IFERROR(IF(OR($B175="",$B175="(blank)"),"",VLOOKUP($B175,'Email Marketing Raw Data'!$C:$O,6,0)),"")</f>
        <v/>
      </c>
      <c r="O175" s="55" t="str">
        <f>IFERROR(IF(OR($B175="",$B175="(blank)"),"",VLOOKUP($B175,'Email Marketing Raw Data'!$C:$O,7,0)),"")</f>
        <v/>
      </c>
      <c r="P175" s="55" t="str">
        <f>IFERROR(IF(OR($B175="",$B175="(blank)"),"",VLOOKUP($B175,'Email Marketing Raw Data'!$C:$O,8,0)),"")</f>
        <v/>
      </c>
      <c r="Q175" s="62" t="str">
        <f>IFERROR(IF(OR($B175="",$B175="(blank)"),"",VLOOKUP($B175,'Email Marketing Raw Data'!$C:$O,9,0)),"")</f>
        <v/>
      </c>
    </row>
    <row r="176" spans="4:17" ht="12.75" customHeight="1" x14ac:dyDescent="0.2">
      <c r="D176" s="58" t="str">
        <f>IFERROR(IF(F176&lt;&gt;"pending","",IF(OR($B176="",$B176="(blank)"),"",VLOOKUP($B176,'Email Marketing Raw Data'!$C:$O,10,0))),"")</f>
        <v/>
      </c>
      <c r="E176" s="59" t="str">
        <f>IFERROR(IF(F176&lt;&gt;"pending","",IF(OR($B176="",$B176="(blank)"),"",VLOOKUP($B176,'Email Marketing Raw Data'!$C:$O,11,0))),"")</f>
        <v/>
      </c>
      <c r="F176" s="54" t="str">
        <f>IFERROR(IF(OR($B176="",$B176="(blank)"),"",VLOOKUP($B176,'Email Marketing Raw Data'!$C:$O,13,0)),"")</f>
        <v/>
      </c>
      <c r="G176" s="55" t="str">
        <f>IFERROR(IF(OR($B176="",$B176="(blank)"),"",VLOOKUP($B176,'Email Marketing Raw Data'!$C:$O,4,0)),"")</f>
        <v/>
      </c>
      <c r="H176" s="55" t="str">
        <f>IFERROR(IF(OR($B176="",$B176="(blank)"),"",VLOOKUP($B176,'Email Marketing Raw Data'!$C:$O,5,0)),"")</f>
        <v/>
      </c>
      <c r="I176" s="55" t="str">
        <f>IFERROR(IF($G176="","",VLOOKUP('Dashboard And Emails Automate'!$G176,Database!$H:$N,3,0)),"")</f>
        <v/>
      </c>
      <c r="J176" s="55" t="str">
        <f>IFERROR(IF($G176="","",VLOOKUP('Dashboard And Emails Automate'!$G176,Database!$H:$N,4,0)),"")</f>
        <v/>
      </c>
      <c r="K176" s="55" t="str">
        <f>IFERROR(IF($G176="","",VLOOKUP('Dashboard And Emails Automate'!$G176,Database!$H:$N,5,0)),"")</f>
        <v/>
      </c>
      <c r="L176" s="55" t="str">
        <f>IFERROR(IF($G176="","",VLOOKUP('Dashboard And Emails Automate'!$G176,Database!$H:$N,6,0)),"")</f>
        <v/>
      </c>
      <c r="M176" s="55" t="str">
        <f>IFERROR(IF($G176="","",VLOOKUP('Dashboard And Emails Automate'!$G176,Database!$H:$N,7,0)),"")</f>
        <v/>
      </c>
      <c r="N176" s="55" t="str">
        <f>IFERROR(IF(OR($B176="",$B176="(blank)"),"",VLOOKUP($B176,'Email Marketing Raw Data'!$C:$O,6,0)),"")</f>
        <v/>
      </c>
      <c r="O176" s="55" t="str">
        <f>IFERROR(IF(OR($B176="",$B176="(blank)"),"",VLOOKUP($B176,'Email Marketing Raw Data'!$C:$O,7,0)),"")</f>
        <v/>
      </c>
      <c r="P176" s="55" t="str">
        <f>IFERROR(IF(OR($B176="",$B176="(blank)"),"",VLOOKUP($B176,'Email Marketing Raw Data'!$C:$O,8,0)),"")</f>
        <v/>
      </c>
      <c r="Q176" s="62" t="str">
        <f>IFERROR(IF(OR($B176="",$B176="(blank)"),"",VLOOKUP($B176,'Email Marketing Raw Data'!$C:$O,9,0)),"")</f>
        <v/>
      </c>
    </row>
    <row r="177" spans="4:17" ht="12.75" customHeight="1" x14ac:dyDescent="0.2">
      <c r="D177" s="58" t="str">
        <f>IFERROR(IF(F177&lt;&gt;"pending","",IF(OR($B177="",$B177="(blank)"),"",VLOOKUP($B177,'Email Marketing Raw Data'!$C:$O,10,0))),"")</f>
        <v/>
      </c>
      <c r="E177" s="59" t="str">
        <f>IFERROR(IF(F177&lt;&gt;"pending","",IF(OR($B177="",$B177="(blank)"),"",VLOOKUP($B177,'Email Marketing Raw Data'!$C:$O,11,0))),"")</f>
        <v/>
      </c>
      <c r="F177" s="54" t="str">
        <f>IFERROR(IF(OR($B177="",$B177="(blank)"),"",VLOOKUP($B177,'Email Marketing Raw Data'!$C:$O,13,0)),"")</f>
        <v/>
      </c>
      <c r="G177" s="55" t="str">
        <f>IFERROR(IF(OR($B177="",$B177="(blank)"),"",VLOOKUP($B177,'Email Marketing Raw Data'!$C:$O,4,0)),"")</f>
        <v/>
      </c>
      <c r="H177" s="55" t="str">
        <f>IFERROR(IF(OR($B177="",$B177="(blank)"),"",VLOOKUP($B177,'Email Marketing Raw Data'!$C:$O,5,0)),"")</f>
        <v/>
      </c>
      <c r="I177" s="55" t="str">
        <f>IFERROR(IF($G177="","",VLOOKUP('Dashboard And Emails Automate'!$G177,Database!$H:$N,3,0)),"")</f>
        <v/>
      </c>
      <c r="J177" s="55" t="str">
        <f>IFERROR(IF($G177="","",VLOOKUP('Dashboard And Emails Automate'!$G177,Database!$H:$N,4,0)),"")</f>
        <v/>
      </c>
      <c r="K177" s="55" t="str">
        <f>IFERROR(IF($G177="","",VLOOKUP('Dashboard And Emails Automate'!$G177,Database!$H:$N,5,0)),"")</f>
        <v/>
      </c>
      <c r="L177" s="55" t="str">
        <f>IFERROR(IF($G177="","",VLOOKUP('Dashboard And Emails Automate'!$G177,Database!$H:$N,6,0)),"")</f>
        <v/>
      </c>
      <c r="M177" s="55" t="str">
        <f>IFERROR(IF($G177="","",VLOOKUP('Dashboard And Emails Automate'!$G177,Database!$H:$N,7,0)),"")</f>
        <v/>
      </c>
      <c r="N177" s="55" t="str">
        <f>IFERROR(IF(OR($B177="",$B177="(blank)"),"",VLOOKUP($B177,'Email Marketing Raw Data'!$C:$O,6,0)),"")</f>
        <v/>
      </c>
      <c r="O177" s="55" t="str">
        <f>IFERROR(IF(OR($B177="",$B177="(blank)"),"",VLOOKUP($B177,'Email Marketing Raw Data'!$C:$O,7,0)),"")</f>
        <v/>
      </c>
      <c r="P177" s="55" t="str">
        <f>IFERROR(IF(OR($B177="",$B177="(blank)"),"",VLOOKUP($B177,'Email Marketing Raw Data'!$C:$O,8,0)),"")</f>
        <v/>
      </c>
      <c r="Q177" s="62" t="str">
        <f>IFERROR(IF(OR($B177="",$B177="(blank)"),"",VLOOKUP($B177,'Email Marketing Raw Data'!$C:$O,9,0)),"")</f>
        <v/>
      </c>
    </row>
    <row r="178" spans="4:17" ht="12.75" customHeight="1" x14ac:dyDescent="0.2">
      <c r="D178" s="58" t="str">
        <f>IFERROR(IF(F178&lt;&gt;"pending","",IF(OR($B178="",$B178="(blank)"),"",VLOOKUP($B178,'Email Marketing Raw Data'!$C:$O,10,0))),"")</f>
        <v/>
      </c>
      <c r="E178" s="59" t="str">
        <f>IFERROR(IF(F178&lt;&gt;"pending","",IF(OR($B178="",$B178="(blank)"),"",VLOOKUP($B178,'Email Marketing Raw Data'!$C:$O,11,0))),"")</f>
        <v/>
      </c>
      <c r="F178" s="54" t="str">
        <f>IFERROR(IF(OR($B178="",$B178="(blank)"),"",VLOOKUP($B178,'Email Marketing Raw Data'!$C:$O,13,0)),"")</f>
        <v/>
      </c>
      <c r="G178" s="55" t="str">
        <f>IFERROR(IF(OR($B178="",$B178="(blank)"),"",VLOOKUP($B178,'Email Marketing Raw Data'!$C:$O,4,0)),"")</f>
        <v/>
      </c>
      <c r="H178" s="55" t="str">
        <f>IFERROR(IF(OR($B178="",$B178="(blank)"),"",VLOOKUP($B178,'Email Marketing Raw Data'!$C:$O,5,0)),"")</f>
        <v/>
      </c>
      <c r="I178" s="55" t="str">
        <f>IFERROR(IF($G178="","",VLOOKUP('Dashboard And Emails Automate'!$G178,Database!$H:$N,3,0)),"")</f>
        <v/>
      </c>
      <c r="J178" s="55" t="str">
        <f>IFERROR(IF($G178="","",VLOOKUP('Dashboard And Emails Automate'!$G178,Database!$H:$N,4,0)),"")</f>
        <v/>
      </c>
      <c r="K178" s="55" t="str">
        <f>IFERROR(IF($G178="","",VLOOKUP('Dashboard And Emails Automate'!$G178,Database!$H:$N,5,0)),"")</f>
        <v/>
      </c>
      <c r="L178" s="55" t="str">
        <f>IFERROR(IF($G178="","",VLOOKUP('Dashboard And Emails Automate'!$G178,Database!$H:$N,6,0)),"")</f>
        <v/>
      </c>
      <c r="M178" s="55" t="str">
        <f>IFERROR(IF($G178="","",VLOOKUP('Dashboard And Emails Automate'!$G178,Database!$H:$N,7,0)),"")</f>
        <v/>
      </c>
      <c r="N178" s="55" t="str">
        <f>IFERROR(IF(OR($B178="",$B178="(blank)"),"",VLOOKUP($B178,'Email Marketing Raw Data'!$C:$O,6,0)),"")</f>
        <v/>
      </c>
      <c r="O178" s="55" t="str">
        <f>IFERROR(IF(OR($B178="",$B178="(blank)"),"",VLOOKUP($B178,'Email Marketing Raw Data'!$C:$O,7,0)),"")</f>
        <v/>
      </c>
      <c r="P178" s="55" t="str">
        <f>IFERROR(IF(OR($B178="",$B178="(blank)"),"",VLOOKUP($B178,'Email Marketing Raw Data'!$C:$O,8,0)),"")</f>
        <v/>
      </c>
      <c r="Q178" s="62" t="str">
        <f>IFERROR(IF(OR($B178="",$B178="(blank)"),"",VLOOKUP($B178,'Email Marketing Raw Data'!$C:$O,9,0)),"")</f>
        <v/>
      </c>
    </row>
    <row r="179" spans="4:17" ht="12.75" customHeight="1" x14ac:dyDescent="0.2">
      <c r="D179" s="58" t="str">
        <f>IFERROR(IF(F179&lt;&gt;"pending","",IF(OR($B179="",$B179="(blank)"),"",VLOOKUP($B179,'Email Marketing Raw Data'!$C:$O,10,0))),"")</f>
        <v/>
      </c>
      <c r="E179" s="59" t="str">
        <f>IFERROR(IF(F179&lt;&gt;"pending","",IF(OR($B179="",$B179="(blank)"),"",VLOOKUP($B179,'Email Marketing Raw Data'!$C:$O,11,0))),"")</f>
        <v/>
      </c>
      <c r="F179" s="54" t="str">
        <f>IFERROR(IF(OR($B179="",$B179="(blank)"),"",VLOOKUP($B179,'Email Marketing Raw Data'!$C:$O,13,0)),"")</f>
        <v/>
      </c>
      <c r="G179" s="55" t="str">
        <f>IFERROR(IF(OR($B179="",$B179="(blank)"),"",VLOOKUP($B179,'Email Marketing Raw Data'!$C:$O,4,0)),"")</f>
        <v/>
      </c>
      <c r="H179" s="55" t="str">
        <f>IFERROR(IF(OR($B179="",$B179="(blank)"),"",VLOOKUP($B179,'Email Marketing Raw Data'!$C:$O,5,0)),"")</f>
        <v/>
      </c>
      <c r="I179" s="55" t="str">
        <f>IFERROR(IF($G179="","",VLOOKUP('Dashboard And Emails Automate'!$G179,Database!$H:$N,3,0)),"")</f>
        <v/>
      </c>
      <c r="J179" s="55" t="str">
        <f>IFERROR(IF($G179="","",VLOOKUP('Dashboard And Emails Automate'!$G179,Database!$H:$N,4,0)),"")</f>
        <v/>
      </c>
      <c r="K179" s="55" t="str">
        <f>IFERROR(IF($G179="","",VLOOKUP('Dashboard And Emails Automate'!$G179,Database!$H:$N,5,0)),"")</f>
        <v/>
      </c>
      <c r="L179" s="55" t="str">
        <f>IFERROR(IF($G179="","",VLOOKUP('Dashboard And Emails Automate'!$G179,Database!$H:$N,6,0)),"")</f>
        <v/>
      </c>
      <c r="M179" s="55" t="str">
        <f>IFERROR(IF($G179="","",VLOOKUP('Dashboard And Emails Automate'!$G179,Database!$H:$N,7,0)),"")</f>
        <v/>
      </c>
      <c r="N179" s="55" t="str">
        <f>IFERROR(IF(OR($B179="",$B179="(blank)"),"",VLOOKUP($B179,'Email Marketing Raw Data'!$C:$O,6,0)),"")</f>
        <v/>
      </c>
      <c r="O179" s="55" t="str">
        <f>IFERROR(IF(OR($B179="",$B179="(blank)"),"",VLOOKUP($B179,'Email Marketing Raw Data'!$C:$O,7,0)),"")</f>
        <v/>
      </c>
      <c r="P179" s="55" t="str">
        <f>IFERROR(IF(OR($B179="",$B179="(blank)"),"",VLOOKUP($B179,'Email Marketing Raw Data'!$C:$O,8,0)),"")</f>
        <v/>
      </c>
      <c r="Q179" s="62" t="str">
        <f>IFERROR(IF(OR($B179="",$B179="(blank)"),"",VLOOKUP($B179,'Email Marketing Raw Data'!$C:$O,9,0)),"")</f>
        <v/>
      </c>
    </row>
    <row r="180" spans="4:17" ht="12.75" customHeight="1" x14ac:dyDescent="0.2">
      <c r="D180" s="58" t="str">
        <f>IFERROR(IF(F180&lt;&gt;"pending","",IF(OR($B180="",$B180="(blank)"),"",VLOOKUP($B180,'Email Marketing Raw Data'!$C:$O,10,0))),"")</f>
        <v/>
      </c>
      <c r="E180" s="59" t="str">
        <f>IFERROR(IF(F180&lt;&gt;"pending","",IF(OR($B180="",$B180="(blank)"),"",VLOOKUP($B180,'Email Marketing Raw Data'!$C:$O,11,0))),"")</f>
        <v/>
      </c>
      <c r="F180" s="54" t="str">
        <f>IFERROR(IF(OR($B180="",$B180="(blank)"),"",VLOOKUP($B180,'Email Marketing Raw Data'!$C:$O,13,0)),"")</f>
        <v/>
      </c>
      <c r="G180" s="55" t="str">
        <f>IFERROR(IF(OR($B180="",$B180="(blank)"),"",VLOOKUP($B180,'Email Marketing Raw Data'!$C:$O,4,0)),"")</f>
        <v/>
      </c>
      <c r="H180" s="55" t="str">
        <f>IFERROR(IF(OR($B180="",$B180="(blank)"),"",VLOOKUP($B180,'Email Marketing Raw Data'!$C:$O,5,0)),"")</f>
        <v/>
      </c>
      <c r="I180" s="55" t="str">
        <f>IFERROR(IF($G180="","",VLOOKUP('Dashboard And Emails Automate'!$G180,Database!$H:$N,3,0)),"")</f>
        <v/>
      </c>
      <c r="J180" s="55" t="str">
        <f>IFERROR(IF($G180="","",VLOOKUP('Dashboard And Emails Automate'!$G180,Database!$H:$N,4,0)),"")</f>
        <v/>
      </c>
      <c r="K180" s="55" t="str">
        <f>IFERROR(IF($G180="","",VLOOKUP('Dashboard And Emails Automate'!$G180,Database!$H:$N,5,0)),"")</f>
        <v/>
      </c>
      <c r="L180" s="55" t="str">
        <f>IFERROR(IF($G180="","",VLOOKUP('Dashboard And Emails Automate'!$G180,Database!$H:$N,6,0)),"")</f>
        <v/>
      </c>
      <c r="M180" s="55" t="str">
        <f>IFERROR(IF($G180="","",VLOOKUP('Dashboard And Emails Automate'!$G180,Database!$H:$N,7,0)),"")</f>
        <v/>
      </c>
      <c r="N180" s="55" t="str">
        <f>IFERROR(IF(OR($B180="",$B180="(blank)"),"",VLOOKUP($B180,'Email Marketing Raw Data'!$C:$O,6,0)),"")</f>
        <v/>
      </c>
      <c r="O180" s="55" t="str">
        <f>IFERROR(IF(OR($B180="",$B180="(blank)"),"",VLOOKUP($B180,'Email Marketing Raw Data'!$C:$O,7,0)),"")</f>
        <v/>
      </c>
      <c r="P180" s="55" t="str">
        <f>IFERROR(IF(OR($B180="",$B180="(blank)"),"",VLOOKUP($B180,'Email Marketing Raw Data'!$C:$O,8,0)),"")</f>
        <v/>
      </c>
      <c r="Q180" s="62" t="str">
        <f>IFERROR(IF(OR($B180="",$B180="(blank)"),"",VLOOKUP($B180,'Email Marketing Raw Data'!$C:$O,9,0)),"")</f>
        <v/>
      </c>
    </row>
    <row r="181" spans="4:17" ht="12.75" customHeight="1" x14ac:dyDescent="0.2">
      <c r="D181" s="58" t="str">
        <f>IFERROR(IF(F181&lt;&gt;"pending","",IF(OR($B181="",$B181="(blank)"),"",VLOOKUP($B181,'Email Marketing Raw Data'!$C:$O,10,0))),"")</f>
        <v/>
      </c>
      <c r="E181" s="59" t="str">
        <f>IFERROR(IF(F181&lt;&gt;"pending","",IF(OR($B181="",$B181="(blank)"),"",VLOOKUP($B181,'Email Marketing Raw Data'!$C:$O,11,0))),"")</f>
        <v/>
      </c>
      <c r="F181" s="54" t="str">
        <f>IFERROR(IF(OR($B181="",$B181="(blank)"),"",VLOOKUP($B181,'Email Marketing Raw Data'!$C:$O,13,0)),"")</f>
        <v/>
      </c>
      <c r="G181" s="55" t="str">
        <f>IFERROR(IF(OR($B181="",$B181="(blank)"),"",VLOOKUP($B181,'Email Marketing Raw Data'!$C:$O,4,0)),"")</f>
        <v/>
      </c>
      <c r="H181" s="55" t="str">
        <f>IFERROR(IF(OR($B181="",$B181="(blank)"),"",VLOOKUP($B181,'Email Marketing Raw Data'!$C:$O,5,0)),"")</f>
        <v/>
      </c>
      <c r="I181" s="55" t="str">
        <f>IFERROR(IF($G181="","",VLOOKUP('Dashboard And Emails Automate'!$G181,Database!$H:$N,3,0)),"")</f>
        <v/>
      </c>
      <c r="J181" s="55" t="str">
        <f>IFERROR(IF($G181="","",VLOOKUP('Dashboard And Emails Automate'!$G181,Database!$H:$N,4,0)),"")</f>
        <v/>
      </c>
      <c r="K181" s="55" t="str">
        <f>IFERROR(IF($G181="","",VLOOKUP('Dashboard And Emails Automate'!$G181,Database!$H:$N,5,0)),"")</f>
        <v/>
      </c>
      <c r="L181" s="55" t="str">
        <f>IFERROR(IF($G181="","",VLOOKUP('Dashboard And Emails Automate'!$G181,Database!$H:$N,6,0)),"")</f>
        <v/>
      </c>
      <c r="M181" s="55" t="str">
        <f>IFERROR(IF($G181="","",VLOOKUP('Dashboard And Emails Automate'!$G181,Database!$H:$N,7,0)),"")</f>
        <v/>
      </c>
      <c r="N181" s="55" t="str">
        <f>IFERROR(IF(OR($B181="",$B181="(blank)"),"",VLOOKUP($B181,'Email Marketing Raw Data'!$C:$O,6,0)),"")</f>
        <v/>
      </c>
      <c r="O181" s="55" t="str">
        <f>IFERROR(IF(OR($B181="",$B181="(blank)"),"",VLOOKUP($B181,'Email Marketing Raw Data'!$C:$O,7,0)),"")</f>
        <v/>
      </c>
      <c r="P181" s="55" t="str">
        <f>IFERROR(IF(OR($B181="",$B181="(blank)"),"",VLOOKUP($B181,'Email Marketing Raw Data'!$C:$O,8,0)),"")</f>
        <v/>
      </c>
      <c r="Q181" s="62" t="str">
        <f>IFERROR(IF(OR($B181="",$B181="(blank)"),"",VLOOKUP($B181,'Email Marketing Raw Data'!$C:$O,9,0)),"")</f>
        <v/>
      </c>
    </row>
    <row r="182" spans="4:17" ht="12.75" customHeight="1" x14ac:dyDescent="0.2">
      <c r="D182" s="58" t="str">
        <f>IFERROR(IF(F182&lt;&gt;"pending","",IF(OR($B182="",$B182="(blank)"),"",VLOOKUP($B182,'Email Marketing Raw Data'!$C:$O,10,0))),"")</f>
        <v/>
      </c>
      <c r="E182" s="59" t="str">
        <f>IFERROR(IF(F182&lt;&gt;"pending","",IF(OR($B182="",$B182="(blank)"),"",VLOOKUP($B182,'Email Marketing Raw Data'!$C:$O,11,0))),"")</f>
        <v/>
      </c>
      <c r="F182" s="54" t="str">
        <f>IFERROR(IF(OR($B182="",$B182="(blank)"),"",VLOOKUP($B182,'Email Marketing Raw Data'!$C:$O,13,0)),"")</f>
        <v/>
      </c>
      <c r="G182" s="55" t="str">
        <f>IFERROR(IF(OR($B182="",$B182="(blank)"),"",VLOOKUP($B182,'Email Marketing Raw Data'!$C:$O,4,0)),"")</f>
        <v/>
      </c>
      <c r="H182" s="55" t="str">
        <f>IFERROR(IF(OR($B182="",$B182="(blank)"),"",VLOOKUP($B182,'Email Marketing Raw Data'!$C:$O,5,0)),"")</f>
        <v/>
      </c>
      <c r="I182" s="55" t="str">
        <f>IFERROR(IF($G182="","",VLOOKUP('Dashboard And Emails Automate'!$G182,Database!$H:$N,3,0)),"")</f>
        <v/>
      </c>
      <c r="J182" s="55" t="str">
        <f>IFERROR(IF($G182="","",VLOOKUP('Dashboard And Emails Automate'!$G182,Database!$H:$N,4,0)),"")</f>
        <v/>
      </c>
      <c r="K182" s="55" t="str">
        <f>IFERROR(IF($G182="","",VLOOKUP('Dashboard And Emails Automate'!$G182,Database!$H:$N,5,0)),"")</f>
        <v/>
      </c>
      <c r="L182" s="55" t="str">
        <f>IFERROR(IF($G182="","",VLOOKUP('Dashboard And Emails Automate'!$G182,Database!$H:$N,6,0)),"")</f>
        <v/>
      </c>
      <c r="M182" s="55" t="str">
        <f>IFERROR(IF($G182="","",VLOOKUP('Dashboard And Emails Automate'!$G182,Database!$H:$N,7,0)),"")</f>
        <v/>
      </c>
      <c r="N182" s="55" t="str">
        <f>IFERROR(IF(OR($B182="",$B182="(blank)"),"",VLOOKUP($B182,'Email Marketing Raw Data'!$C:$O,6,0)),"")</f>
        <v/>
      </c>
      <c r="O182" s="55" t="str">
        <f>IFERROR(IF(OR($B182="",$B182="(blank)"),"",VLOOKUP($B182,'Email Marketing Raw Data'!$C:$O,7,0)),"")</f>
        <v/>
      </c>
      <c r="P182" s="55" t="str">
        <f>IFERROR(IF(OR($B182="",$B182="(blank)"),"",VLOOKUP($B182,'Email Marketing Raw Data'!$C:$O,8,0)),"")</f>
        <v/>
      </c>
      <c r="Q182" s="62" t="str">
        <f>IFERROR(IF(OR($B182="",$B182="(blank)"),"",VLOOKUP($B182,'Email Marketing Raw Data'!$C:$O,9,0)),"")</f>
        <v/>
      </c>
    </row>
    <row r="183" spans="4:17" ht="12.75" customHeight="1" x14ac:dyDescent="0.2">
      <c r="D183" s="58" t="str">
        <f>IFERROR(IF(F183&lt;&gt;"pending","",IF(OR($B183="",$B183="(blank)"),"",VLOOKUP($B183,'Email Marketing Raw Data'!$C:$O,10,0))),"")</f>
        <v/>
      </c>
      <c r="E183" s="59" t="str">
        <f>IFERROR(IF(F183&lt;&gt;"pending","",IF(OR($B183="",$B183="(blank)"),"",VLOOKUP($B183,'Email Marketing Raw Data'!$C:$O,11,0))),"")</f>
        <v/>
      </c>
      <c r="F183" s="54" t="str">
        <f>IFERROR(IF(OR($B183="",$B183="(blank)"),"",VLOOKUP($B183,'Email Marketing Raw Data'!$C:$O,13,0)),"")</f>
        <v/>
      </c>
      <c r="G183" s="55" t="str">
        <f>IFERROR(IF(OR($B183="",$B183="(blank)"),"",VLOOKUP($B183,'Email Marketing Raw Data'!$C:$O,4,0)),"")</f>
        <v/>
      </c>
      <c r="H183" s="55" t="str">
        <f>IFERROR(IF(OR($B183="",$B183="(blank)"),"",VLOOKUP($B183,'Email Marketing Raw Data'!$C:$O,5,0)),"")</f>
        <v/>
      </c>
      <c r="I183" s="55" t="str">
        <f>IFERROR(IF($G183="","",VLOOKUP('Dashboard And Emails Automate'!$G183,Database!$H:$N,3,0)),"")</f>
        <v/>
      </c>
      <c r="J183" s="55" t="str">
        <f>IFERROR(IF($G183="","",VLOOKUP('Dashboard And Emails Automate'!$G183,Database!$H:$N,4,0)),"")</f>
        <v/>
      </c>
      <c r="K183" s="55" t="str">
        <f>IFERROR(IF($G183="","",VLOOKUP('Dashboard And Emails Automate'!$G183,Database!$H:$N,5,0)),"")</f>
        <v/>
      </c>
      <c r="L183" s="55" t="str">
        <f>IFERROR(IF($G183="","",VLOOKUP('Dashboard And Emails Automate'!$G183,Database!$H:$N,6,0)),"")</f>
        <v/>
      </c>
      <c r="M183" s="55" t="str">
        <f>IFERROR(IF($G183="","",VLOOKUP('Dashboard And Emails Automate'!$G183,Database!$H:$N,7,0)),"")</f>
        <v/>
      </c>
      <c r="N183" s="55" t="str">
        <f>IFERROR(IF(OR($B183="",$B183="(blank)"),"",VLOOKUP($B183,'Email Marketing Raw Data'!$C:$O,6,0)),"")</f>
        <v/>
      </c>
      <c r="O183" s="55" t="str">
        <f>IFERROR(IF(OR($B183="",$B183="(blank)"),"",VLOOKUP($B183,'Email Marketing Raw Data'!$C:$O,7,0)),"")</f>
        <v/>
      </c>
      <c r="P183" s="55" t="str">
        <f>IFERROR(IF(OR($B183="",$B183="(blank)"),"",VLOOKUP($B183,'Email Marketing Raw Data'!$C:$O,8,0)),"")</f>
        <v/>
      </c>
      <c r="Q183" s="62" t="str">
        <f>IFERROR(IF(OR($B183="",$B183="(blank)"),"",VLOOKUP($B183,'Email Marketing Raw Data'!$C:$O,9,0)),"")</f>
        <v/>
      </c>
    </row>
    <row r="184" spans="4:17" ht="12.75" customHeight="1" x14ac:dyDescent="0.2">
      <c r="D184" s="58" t="str">
        <f>IFERROR(IF(F184&lt;&gt;"pending","",IF(OR($B184="",$B184="(blank)"),"",VLOOKUP($B184,'Email Marketing Raw Data'!$C:$O,10,0))),"")</f>
        <v/>
      </c>
      <c r="E184" s="59" t="str">
        <f>IFERROR(IF(F184&lt;&gt;"pending","",IF(OR($B184="",$B184="(blank)"),"",VLOOKUP($B184,'Email Marketing Raw Data'!$C:$O,11,0))),"")</f>
        <v/>
      </c>
      <c r="F184" s="54" t="str">
        <f>IFERROR(IF(OR($B184="",$B184="(blank)"),"",VLOOKUP($B184,'Email Marketing Raw Data'!$C:$O,13,0)),"")</f>
        <v/>
      </c>
      <c r="G184" s="55" t="str">
        <f>IFERROR(IF(OR($B184="",$B184="(blank)"),"",VLOOKUP($B184,'Email Marketing Raw Data'!$C:$O,4,0)),"")</f>
        <v/>
      </c>
      <c r="H184" s="55" t="str">
        <f>IFERROR(IF(OR($B184="",$B184="(blank)"),"",VLOOKUP($B184,'Email Marketing Raw Data'!$C:$O,5,0)),"")</f>
        <v/>
      </c>
      <c r="I184" s="55" t="str">
        <f>IFERROR(IF($G184="","",VLOOKUP('Dashboard And Emails Automate'!$G184,Database!$H:$N,3,0)),"")</f>
        <v/>
      </c>
      <c r="J184" s="55" t="str">
        <f>IFERROR(IF($G184="","",VLOOKUP('Dashboard And Emails Automate'!$G184,Database!$H:$N,4,0)),"")</f>
        <v/>
      </c>
      <c r="K184" s="55" t="str">
        <f>IFERROR(IF($G184="","",VLOOKUP('Dashboard And Emails Automate'!$G184,Database!$H:$N,5,0)),"")</f>
        <v/>
      </c>
      <c r="L184" s="55" t="str">
        <f>IFERROR(IF($G184="","",VLOOKUP('Dashboard And Emails Automate'!$G184,Database!$H:$N,6,0)),"")</f>
        <v/>
      </c>
      <c r="M184" s="55" t="str">
        <f>IFERROR(IF($G184="","",VLOOKUP('Dashboard And Emails Automate'!$G184,Database!$H:$N,7,0)),"")</f>
        <v/>
      </c>
      <c r="N184" s="55" t="str">
        <f>IFERROR(IF(OR($B184="",$B184="(blank)"),"",VLOOKUP($B184,'Email Marketing Raw Data'!$C:$O,6,0)),"")</f>
        <v/>
      </c>
      <c r="O184" s="55" t="str">
        <f>IFERROR(IF(OR($B184="",$B184="(blank)"),"",VLOOKUP($B184,'Email Marketing Raw Data'!$C:$O,7,0)),"")</f>
        <v/>
      </c>
      <c r="P184" s="55" t="str">
        <f>IFERROR(IF(OR($B184="",$B184="(blank)"),"",VLOOKUP($B184,'Email Marketing Raw Data'!$C:$O,8,0)),"")</f>
        <v/>
      </c>
      <c r="Q184" s="62" t="str">
        <f>IFERROR(IF(OR($B184="",$B184="(blank)"),"",VLOOKUP($B184,'Email Marketing Raw Data'!$C:$O,9,0)),"")</f>
        <v/>
      </c>
    </row>
    <row r="185" spans="4:17" ht="12.75" customHeight="1" x14ac:dyDescent="0.2">
      <c r="D185" s="58" t="str">
        <f>IFERROR(IF(F185&lt;&gt;"pending","",IF(OR($B185="",$B185="(blank)"),"",VLOOKUP($B185,'Email Marketing Raw Data'!$C:$O,10,0))),"")</f>
        <v/>
      </c>
      <c r="E185" s="59" t="str">
        <f>IFERROR(IF(F185&lt;&gt;"pending","",IF(OR($B185="",$B185="(blank)"),"",VLOOKUP($B185,'Email Marketing Raw Data'!$C:$O,11,0))),"")</f>
        <v/>
      </c>
      <c r="F185" s="54" t="str">
        <f>IFERROR(IF(OR($B185="",$B185="(blank)"),"",VLOOKUP($B185,'Email Marketing Raw Data'!$C:$O,13,0)),"")</f>
        <v/>
      </c>
      <c r="G185" s="55" t="str">
        <f>IFERROR(IF(OR($B185="",$B185="(blank)"),"",VLOOKUP($B185,'Email Marketing Raw Data'!$C:$O,4,0)),"")</f>
        <v/>
      </c>
      <c r="H185" s="55" t="str">
        <f>IFERROR(IF(OR($B185="",$B185="(blank)"),"",VLOOKUP($B185,'Email Marketing Raw Data'!$C:$O,5,0)),"")</f>
        <v/>
      </c>
      <c r="I185" s="55" t="str">
        <f>IFERROR(IF($G185="","",VLOOKUP('Dashboard And Emails Automate'!$G185,Database!$H:$N,3,0)),"")</f>
        <v/>
      </c>
      <c r="J185" s="55" t="str">
        <f>IFERROR(IF($G185="","",VLOOKUP('Dashboard And Emails Automate'!$G185,Database!$H:$N,4,0)),"")</f>
        <v/>
      </c>
      <c r="K185" s="55" t="str">
        <f>IFERROR(IF($G185="","",VLOOKUP('Dashboard And Emails Automate'!$G185,Database!$H:$N,5,0)),"")</f>
        <v/>
      </c>
      <c r="L185" s="55" t="str">
        <f>IFERROR(IF($G185="","",VLOOKUP('Dashboard And Emails Automate'!$G185,Database!$H:$N,6,0)),"")</f>
        <v/>
      </c>
      <c r="M185" s="55" t="str">
        <f>IFERROR(IF($G185="","",VLOOKUP('Dashboard And Emails Automate'!$G185,Database!$H:$N,7,0)),"")</f>
        <v/>
      </c>
      <c r="N185" s="55" t="str">
        <f>IFERROR(IF(OR($B185="",$B185="(blank)"),"",VLOOKUP($B185,'Email Marketing Raw Data'!$C:$O,6,0)),"")</f>
        <v/>
      </c>
      <c r="O185" s="55" t="str">
        <f>IFERROR(IF(OR($B185="",$B185="(blank)"),"",VLOOKUP($B185,'Email Marketing Raw Data'!$C:$O,7,0)),"")</f>
        <v/>
      </c>
      <c r="P185" s="55" t="str">
        <f>IFERROR(IF(OR($B185="",$B185="(blank)"),"",VLOOKUP($B185,'Email Marketing Raw Data'!$C:$O,8,0)),"")</f>
        <v/>
      </c>
      <c r="Q185" s="62" t="str">
        <f>IFERROR(IF(OR($B185="",$B185="(blank)"),"",VLOOKUP($B185,'Email Marketing Raw Data'!$C:$O,9,0)),"")</f>
        <v/>
      </c>
    </row>
    <row r="186" spans="4:17" ht="12.75" customHeight="1" x14ac:dyDescent="0.2">
      <c r="D186" s="58" t="str">
        <f>IFERROR(IF(F186&lt;&gt;"pending","",IF(OR($B186="",$B186="(blank)"),"",VLOOKUP($B186,'Email Marketing Raw Data'!$C:$O,10,0))),"")</f>
        <v/>
      </c>
      <c r="E186" s="59" t="str">
        <f>IFERROR(IF(F186&lt;&gt;"pending","",IF(OR($B186="",$B186="(blank)"),"",VLOOKUP($B186,'Email Marketing Raw Data'!$C:$O,11,0))),"")</f>
        <v/>
      </c>
      <c r="F186" s="54" t="str">
        <f>IFERROR(IF(OR($B186="",$B186="(blank)"),"",VLOOKUP($B186,'Email Marketing Raw Data'!$C:$O,13,0)),"")</f>
        <v/>
      </c>
      <c r="G186" s="55" t="str">
        <f>IFERROR(IF(OR($B186="",$B186="(blank)"),"",VLOOKUP($B186,'Email Marketing Raw Data'!$C:$O,4,0)),"")</f>
        <v/>
      </c>
      <c r="H186" s="55" t="str">
        <f>IFERROR(IF(OR($B186="",$B186="(blank)"),"",VLOOKUP($B186,'Email Marketing Raw Data'!$C:$O,5,0)),"")</f>
        <v/>
      </c>
      <c r="I186" s="55" t="str">
        <f>IFERROR(IF($G186="","",VLOOKUP('Dashboard And Emails Automate'!$G186,Database!$H:$N,3,0)),"")</f>
        <v/>
      </c>
      <c r="J186" s="55" t="str">
        <f>IFERROR(IF($G186="","",VLOOKUP('Dashboard And Emails Automate'!$G186,Database!$H:$N,4,0)),"")</f>
        <v/>
      </c>
      <c r="K186" s="55" t="str">
        <f>IFERROR(IF($G186="","",VLOOKUP('Dashboard And Emails Automate'!$G186,Database!$H:$N,5,0)),"")</f>
        <v/>
      </c>
      <c r="L186" s="55" t="str">
        <f>IFERROR(IF($G186="","",VLOOKUP('Dashboard And Emails Automate'!$G186,Database!$H:$N,6,0)),"")</f>
        <v/>
      </c>
      <c r="M186" s="55" t="str">
        <f>IFERROR(IF($G186="","",VLOOKUP('Dashboard And Emails Automate'!$G186,Database!$H:$N,7,0)),"")</f>
        <v/>
      </c>
      <c r="N186" s="55" t="str">
        <f>IFERROR(IF(OR($B186="",$B186="(blank)"),"",VLOOKUP($B186,'Email Marketing Raw Data'!$C:$O,6,0)),"")</f>
        <v/>
      </c>
      <c r="O186" s="55" t="str">
        <f>IFERROR(IF(OR($B186="",$B186="(blank)"),"",VLOOKUP($B186,'Email Marketing Raw Data'!$C:$O,7,0)),"")</f>
        <v/>
      </c>
      <c r="P186" s="55" t="str">
        <f>IFERROR(IF(OR($B186="",$B186="(blank)"),"",VLOOKUP($B186,'Email Marketing Raw Data'!$C:$O,8,0)),"")</f>
        <v/>
      </c>
      <c r="Q186" s="62" t="str">
        <f>IFERROR(IF(OR($B186="",$B186="(blank)"),"",VLOOKUP($B186,'Email Marketing Raw Data'!$C:$O,9,0)),"")</f>
        <v/>
      </c>
    </row>
    <row r="187" spans="4:17" ht="12.75" customHeight="1" x14ac:dyDescent="0.2">
      <c r="D187" s="58" t="str">
        <f>IFERROR(IF(F187&lt;&gt;"pending","",IF(OR($B187="",$B187="(blank)"),"",VLOOKUP($B187,'Email Marketing Raw Data'!$C:$O,10,0))),"")</f>
        <v/>
      </c>
      <c r="E187" s="59" t="str">
        <f>IFERROR(IF(F187&lt;&gt;"pending","",IF(OR($B187="",$B187="(blank)"),"",VLOOKUP($B187,'Email Marketing Raw Data'!$C:$O,11,0))),"")</f>
        <v/>
      </c>
      <c r="F187" s="54" t="str">
        <f>IFERROR(IF(OR($B187="",$B187="(blank)"),"",VLOOKUP($B187,'Email Marketing Raw Data'!$C:$O,13,0)),"")</f>
        <v/>
      </c>
      <c r="G187" s="55" t="str">
        <f>IFERROR(IF(OR($B187="",$B187="(blank)"),"",VLOOKUP($B187,'Email Marketing Raw Data'!$C:$O,4,0)),"")</f>
        <v/>
      </c>
      <c r="H187" s="55" t="str">
        <f>IFERROR(IF(OR($B187="",$B187="(blank)"),"",VLOOKUP($B187,'Email Marketing Raw Data'!$C:$O,5,0)),"")</f>
        <v/>
      </c>
      <c r="I187" s="55" t="str">
        <f>IFERROR(IF($G187="","",VLOOKUP('Dashboard And Emails Automate'!$G187,Database!$H:$N,3,0)),"")</f>
        <v/>
      </c>
      <c r="J187" s="55" t="str">
        <f>IFERROR(IF($G187="","",VLOOKUP('Dashboard And Emails Automate'!$G187,Database!$H:$N,4,0)),"")</f>
        <v/>
      </c>
      <c r="K187" s="55" t="str">
        <f>IFERROR(IF($G187="","",VLOOKUP('Dashboard And Emails Automate'!$G187,Database!$H:$N,5,0)),"")</f>
        <v/>
      </c>
      <c r="L187" s="55" t="str">
        <f>IFERROR(IF($G187="","",VLOOKUP('Dashboard And Emails Automate'!$G187,Database!$H:$N,6,0)),"")</f>
        <v/>
      </c>
      <c r="M187" s="55" t="str">
        <f>IFERROR(IF($G187="","",VLOOKUP('Dashboard And Emails Automate'!$G187,Database!$H:$N,7,0)),"")</f>
        <v/>
      </c>
      <c r="N187" s="55" t="str">
        <f>IFERROR(IF(OR($B187="",$B187="(blank)"),"",VLOOKUP($B187,'Email Marketing Raw Data'!$C:$O,6,0)),"")</f>
        <v/>
      </c>
      <c r="O187" s="55" t="str">
        <f>IFERROR(IF(OR($B187="",$B187="(blank)"),"",VLOOKUP($B187,'Email Marketing Raw Data'!$C:$O,7,0)),"")</f>
        <v/>
      </c>
      <c r="P187" s="55" t="str">
        <f>IFERROR(IF(OR($B187="",$B187="(blank)"),"",VLOOKUP($B187,'Email Marketing Raw Data'!$C:$O,8,0)),"")</f>
        <v/>
      </c>
      <c r="Q187" s="62" t="str">
        <f>IFERROR(IF(OR($B187="",$B187="(blank)"),"",VLOOKUP($B187,'Email Marketing Raw Data'!$C:$O,9,0)),"")</f>
        <v/>
      </c>
    </row>
    <row r="188" spans="4:17" ht="12.75" customHeight="1" x14ac:dyDescent="0.2">
      <c r="D188" s="58" t="str">
        <f>IFERROR(IF(F188&lt;&gt;"pending","",IF(OR($B188="",$B188="(blank)"),"",VLOOKUP($B188,'Email Marketing Raw Data'!$C:$O,10,0))),"")</f>
        <v/>
      </c>
      <c r="E188" s="59" t="str">
        <f>IFERROR(IF(F188&lt;&gt;"pending","",IF(OR($B188="",$B188="(blank)"),"",VLOOKUP($B188,'Email Marketing Raw Data'!$C:$O,11,0))),"")</f>
        <v/>
      </c>
      <c r="F188" s="54" t="str">
        <f>IFERROR(IF(OR($B188="",$B188="(blank)"),"",VLOOKUP($B188,'Email Marketing Raw Data'!$C:$O,13,0)),"")</f>
        <v/>
      </c>
      <c r="G188" s="55" t="str">
        <f>IFERROR(IF(OR($B188="",$B188="(blank)"),"",VLOOKUP($B188,'Email Marketing Raw Data'!$C:$O,4,0)),"")</f>
        <v/>
      </c>
      <c r="H188" s="55" t="str">
        <f>IFERROR(IF(OR($B188="",$B188="(blank)"),"",VLOOKUP($B188,'Email Marketing Raw Data'!$C:$O,5,0)),"")</f>
        <v/>
      </c>
      <c r="I188" s="55" t="str">
        <f>IFERROR(IF($G188="","",VLOOKUP('Dashboard And Emails Automate'!$G188,Database!$H:$N,3,0)),"")</f>
        <v/>
      </c>
      <c r="J188" s="55" t="str">
        <f>IFERROR(IF($G188="","",VLOOKUP('Dashboard And Emails Automate'!$G188,Database!$H:$N,4,0)),"")</f>
        <v/>
      </c>
      <c r="K188" s="55" t="str">
        <f>IFERROR(IF($G188="","",VLOOKUP('Dashboard And Emails Automate'!$G188,Database!$H:$N,5,0)),"")</f>
        <v/>
      </c>
      <c r="L188" s="55" t="str">
        <f>IFERROR(IF($G188="","",VLOOKUP('Dashboard And Emails Automate'!$G188,Database!$H:$N,6,0)),"")</f>
        <v/>
      </c>
      <c r="M188" s="55" t="str">
        <f>IFERROR(IF($G188="","",VLOOKUP('Dashboard And Emails Automate'!$G188,Database!$H:$N,7,0)),"")</f>
        <v/>
      </c>
      <c r="N188" s="55" t="str">
        <f>IFERROR(IF(OR($B188="",$B188="(blank)"),"",VLOOKUP($B188,'Email Marketing Raw Data'!$C:$O,6,0)),"")</f>
        <v/>
      </c>
      <c r="O188" s="55" t="str">
        <f>IFERROR(IF(OR($B188="",$B188="(blank)"),"",VLOOKUP($B188,'Email Marketing Raw Data'!$C:$O,7,0)),"")</f>
        <v/>
      </c>
      <c r="P188" s="55" t="str">
        <f>IFERROR(IF(OR($B188="",$B188="(blank)"),"",VLOOKUP($B188,'Email Marketing Raw Data'!$C:$O,8,0)),"")</f>
        <v/>
      </c>
      <c r="Q188" s="62" t="str">
        <f>IFERROR(IF(OR($B188="",$B188="(blank)"),"",VLOOKUP($B188,'Email Marketing Raw Data'!$C:$O,9,0)),"")</f>
        <v/>
      </c>
    </row>
    <row r="189" spans="4:17" ht="12.75" customHeight="1" x14ac:dyDescent="0.2">
      <c r="D189" s="58" t="str">
        <f>IFERROR(IF(F189&lt;&gt;"pending","",IF(OR($B189="",$B189="(blank)"),"",VLOOKUP($B189,'Email Marketing Raw Data'!$C:$O,10,0))),"")</f>
        <v/>
      </c>
      <c r="E189" s="59" t="str">
        <f>IFERROR(IF(F189&lt;&gt;"pending","",IF(OR($B189="",$B189="(blank)"),"",VLOOKUP($B189,'Email Marketing Raw Data'!$C:$O,11,0))),"")</f>
        <v/>
      </c>
      <c r="F189" s="54" t="str">
        <f>IFERROR(IF(OR($B189="",$B189="(blank)"),"",VLOOKUP($B189,'Email Marketing Raw Data'!$C:$O,13,0)),"")</f>
        <v/>
      </c>
      <c r="G189" s="55" t="str">
        <f>IFERROR(IF(OR($B189="",$B189="(blank)"),"",VLOOKUP($B189,'Email Marketing Raw Data'!$C:$O,4,0)),"")</f>
        <v/>
      </c>
      <c r="H189" s="55" t="str">
        <f>IFERROR(IF(OR($B189="",$B189="(blank)"),"",VLOOKUP($B189,'Email Marketing Raw Data'!$C:$O,5,0)),"")</f>
        <v/>
      </c>
      <c r="I189" s="55" t="str">
        <f>IFERROR(IF($G189="","",VLOOKUP('Dashboard And Emails Automate'!$G189,Database!$H:$N,3,0)),"")</f>
        <v/>
      </c>
      <c r="J189" s="55" t="str">
        <f>IFERROR(IF($G189="","",VLOOKUP('Dashboard And Emails Automate'!$G189,Database!$H:$N,4,0)),"")</f>
        <v/>
      </c>
      <c r="K189" s="55" t="str">
        <f>IFERROR(IF($G189="","",VLOOKUP('Dashboard And Emails Automate'!$G189,Database!$H:$N,5,0)),"")</f>
        <v/>
      </c>
      <c r="L189" s="55" t="str">
        <f>IFERROR(IF($G189="","",VLOOKUP('Dashboard And Emails Automate'!$G189,Database!$H:$N,6,0)),"")</f>
        <v/>
      </c>
      <c r="M189" s="55" t="str">
        <f>IFERROR(IF($G189="","",VLOOKUP('Dashboard And Emails Automate'!$G189,Database!$H:$N,7,0)),"")</f>
        <v/>
      </c>
      <c r="N189" s="55" t="str">
        <f>IFERROR(IF(OR($B189="",$B189="(blank)"),"",VLOOKUP($B189,'Email Marketing Raw Data'!$C:$O,6,0)),"")</f>
        <v/>
      </c>
      <c r="O189" s="55" t="str">
        <f>IFERROR(IF(OR($B189="",$B189="(blank)"),"",VLOOKUP($B189,'Email Marketing Raw Data'!$C:$O,7,0)),"")</f>
        <v/>
      </c>
      <c r="P189" s="55" t="str">
        <f>IFERROR(IF(OR($B189="",$B189="(blank)"),"",VLOOKUP($B189,'Email Marketing Raw Data'!$C:$O,8,0)),"")</f>
        <v/>
      </c>
      <c r="Q189" s="62" t="str">
        <f>IFERROR(IF(OR($B189="",$B189="(blank)"),"",VLOOKUP($B189,'Email Marketing Raw Data'!$C:$O,9,0)),"")</f>
        <v/>
      </c>
    </row>
    <row r="190" spans="4:17" ht="12.75" customHeight="1" x14ac:dyDescent="0.2">
      <c r="D190" s="58" t="str">
        <f>IFERROR(IF(F190&lt;&gt;"pending","",IF(OR($B190="",$B190="(blank)"),"",VLOOKUP($B190,'Email Marketing Raw Data'!$C:$O,10,0))),"")</f>
        <v/>
      </c>
      <c r="E190" s="59" t="str">
        <f>IFERROR(IF(F190&lt;&gt;"pending","",IF(OR($B190="",$B190="(blank)"),"",VLOOKUP($B190,'Email Marketing Raw Data'!$C:$O,11,0))),"")</f>
        <v/>
      </c>
      <c r="F190" s="54" t="str">
        <f>IFERROR(IF(OR($B190="",$B190="(blank)"),"",VLOOKUP($B190,'Email Marketing Raw Data'!$C:$O,13,0)),"")</f>
        <v/>
      </c>
      <c r="G190" s="55" t="str">
        <f>IFERROR(IF(OR($B190="",$B190="(blank)"),"",VLOOKUP($B190,'Email Marketing Raw Data'!$C:$O,4,0)),"")</f>
        <v/>
      </c>
      <c r="H190" s="55" t="str">
        <f>IFERROR(IF(OR($B190="",$B190="(blank)"),"",VLOOKUP($B190,'Email Marketing Raw Data'!$C:$O,5,0)),"")</f>
        <v/>
      </c>
      <c r="I190" s="55" t="str">
        <f>IFERROR(IF($G190="","",VLOOKUP('Dashboard And Emails Automate'!$G190,Database!$H:$N,3,0)),"")</f>
        <v/>
      </c>
      <c r="J190" s="55" t="str">
        <f>IFERROR(IF($G190="","",VLOOKUP('Dashboard And Emails Automate'!$G190,Database!$H:$N,4,0)),"")</f>
        <v/>
      </c>
      <c r="K190" s="55" t="str">
        <f>IFERROR(IF($G190="","",VLOOKUP('Dashboard And Emails Automate'!$G190,Database!$H:$N,5,0)),"")</f>
        <v/>
      </c>
      <c r="L190" s="55" t="str">
        <f>IFERROR(IF($G190="","",VLOOKUP('Dashboard And Emails Automate'!$G190,Database!$H:$N,6,0)),"")</f>
        <v/>
      </c>
      <c r="M190" s="55" t="str">
        <f>IFERROR(IF($G190="","",VLOOKUP('Dashboard And Emails Automate'!$G190,Database!$H:$N,7,0)),"")</f>
        <v/>
      </c>
      <c r="N190" s="55" t="str">
        <f>IFERROR(IF(OR($B190="",$B190="(blank)"),"",VLOOKUP($B190,'Email Marketing Raw Data'!$C:$O,6,0)),"")</f>
        <v/>
      </c>
      <c r="O190" s="55" t="str">
        <f>IFERROR(IF(OR($B190="",$B190="(blank)"),"",VLOOKUP($B190,'Email Marketing Raw Data'!$C:$O,7,0)),"")</f>
        <v/>
      </c>
      <c r="P190" s="55" t="str">
        <f>IFERROR(IF(OR($B190="",$B190="(blank)"),"",VLOOKUP($B190,'Email Marketing Raw Data'!$C:$O,8,0)),"")</f>
        <v/>
      </c>
      <c r="Q190" s="62" t="str">
        <f>IFERROR(IF(OR($B190="",$B190="(blank)"),"",VLOOKUP($B190,'Email Marketing Raw Data'!$C:$O,9,0)),"")</f>
        <v/>
      </c>
    </row>
    <row r="191" spans="4:17" ht="12.75" customHeight="1" x14ac:dyDescent="0.2">
      <c r="D191" s="58" t="str">
        <f>IFERROR(IF(F191&lt;&gt;"pending","",IF(OR($B191="",$B191="(blank)"),"",VLOOKUP($B191,'Email Marketing Raw Data'!$C:$O,10,0))),"")</f>
        <v/>
      </c>
      <c r="E191" s="59" t="str">
        <f>IFERROR(IF(F191&lt;&gt;"pending","",IF(OR($B191="",$B191="(blank)"),"",VLOOKUP($B191,'Email Marketing Raw Data'!$C:$O,11,0))),"")</f>
        <v/>
      </c>
      <c r="F191" s="54" t="str">
        <f>IFERROR(IF(OR($B191="",$B191="(blank)"),"",VLOOKUP($B191,'Email Marketing Raw Data'!$C:$O,13,0)),"")</f>
        <v/>
      </c>
      <c r="G191" s="55" t="str">
        <f>IFERROR(IF(OR($B191="",$B191="(blank)"),"",VLOOKUP($B191,'Email Marketing Raw Data'!$C:$O,4,0)),"")</f>
        <v/>
      </c>
      <c r="H191" s="55" t="str">
        <f>IFERROR(IF(OR($B191="",$B191="(blank)"),"",VLOOKUP($B191,'Email Marketing Raw Data'!$C:$O,5,0)),"")</f>
        <v/>
      </c>
      <c r="I191" s="55" t="str">
        <f>IFERROR(IF($G191="","",VLOOKUP('Dashboard And Emails Automate'!$G191,Database!$H:$N,3,0)),"")</f>
        <v/>
      </c>
      <c r="J191" s="55" t="str">
        <f>IFERROR(IF($G191="","",VLOOKUP('Dashboard And Emails Automate'!$G191,Database!$H:$N,4,0)),"")</f>
        <v/>
      </c>
      <c r="K191" s="55" t="str">
        <f>IFERROR(IF($G191="","",VLOOKUP('Dashboard And Emails Automate'!$G191,Database!$H:$N,5,0)),"")</f>
        <v/>
      </c>
      <c r="L191" s="55" t="str">
        <f>IFERROR(IF($G191="","",VLOOKUP('Dashboard And Emails Automate'!$G191,Database!$H:$N,6,0)),"")</f>
        <v/>
      </c>
      <c r="M191" s="55" t="str">
        <f>IFERROR(IF($G191="","",VLOOKUP('Dashboard And Emails Automate'!$G191,Database!$H:$N,7,0)),"")</f>
        <v/>
      </c>
      <c r="N191" s="55" t="str">
        <f>IFERROR(IF(OR($B191="",$B191="(blank)"),"",VLOOKUP($B191,'Email Marketing Raw Data'!$C:$O,6,0)),"")</f>
        <v/>
      </c>
      <c r="O191" s="55" t="str">
        <f>IFERROR(IF(OR($B191="",$B191="(blank)"),"",VLOOKUP($B191,'Email Marketing Raw Data'!$C:$O,7,0)),"")</f>
        <v/>
      </c>
      <c r="P191" s="55" t="str">
        <f>IFERROR(IF(OR($B191="",$B191="(blank)"),"",VLOOKUP($B191,'Email Marketing Raw Data'!$C:$O,8,0)),"")</f>
        <v/>
      </c>
      <c r="Q191" s="62" t="str">
        <f>IFERROR(IF(OR($B191="",$B191="(blank)"),"",VLOOKUP($B191,'Email Marketing Raw Data'!$C:$O,9,0)),"")</f>
        <v/>
      </c>
    </row>
    <row r="192" spans="4:17" ht="12.75" customHeight="1" x14ac:dyDescent="0.2">
      <c r="D192" s="58" t="str">
        <f>IFERROR(IF(F192&lt;&gt;"pending","",IF(OR($B192="",$B192="(blank)"),"",VLOOKUP($B192,'Email Marketing Raw Data'!$C:$O,10,0))),"")</f>
        <v/>
      </c>
      <c r="E192" s="59" t="str">
        <f>IFERROR(IF(F192&lt;&gt;"pending","",IF(OR($B192="",$B192="(blank)"),"",VLOOKUP($B192,'Email Marketing Raw Data'!$C:$O,11,0))),"")</f>
        <v/>
      </c>
      <c r="F192" s="54" t="str">
        <f>IFERROR(IF(OR($B192="",$B192="(blank)"),"",VLOOKUP($B192,'Email Marketing Raw Data'!$C:$O,13,0)),"")</f>
        <v/>
      </c>
      <c r="G192" s="55" t="str">
        <f>IFERROR(IF(OR($B192="",$B192="(blank)"),"",VLOOKUP($B192,'Email Marketing Raw Data'!$C:$O,4,0)),"")</f>
        <v/>
      </c>
      <c r="H192" s="55" t="str">
        <f>IFERROR(IF(OR($B192="",$B192="(blank)"),"",VLOOKUP($B192,'Email Marketing Raw Data'!$C:$O,5,0)),"")</f>
        <v/>
      </c>
      <c r="I192" s="55" t="str">
        <f>IFERROR(IF($G192="","",VLOOKUP('Dashboard And Emails Automate'!$G192,Database!$H:$N,3,0)),"")</f>
        <v/>
      </c>
      <c r="J192" s="55" t="str">
        <f>IFERROR(IF($G192="","",VLOOKUP('Dashboard And Emails Automate'!$G192,Database!$H:$N,4,0)),"")</f>
        <v/>
      </c>
      <c r="K192" s="55" t="str">
        <f>IFERROR(IF($G192="","",VLOOKUP('Dashboard And Emails Automate'!$G192,Database!$H:$N,5,0)),"")</f>
        <v/>
      </c>
      <c r="L192" s="55" t="str">
        <f>IFERROR(IF($G192="","",VLOOKUP('Dashboard And Emails Automate'!$G192,Database!$H:$N,6,0)),"")</f>
        <v/>
      </c>
      <c r="M192" s="55" t="str">
        <f>IFERROR(IF($G192="","",VLOOKUP('Dashboard And Emails Automate'!$G192,Database!$H:$N,7,0)),"")</f>
        <v/>
      </c>
      <c r="N192" s="55" t="str">
        <f>IFERROR(IF(OR($B192="",$B192="(blank)"),"",VLOOKUP($B192,'Email Marketing Raw Data'!$C:$O,6,0)),"")</f>
        <v/>
      </c>
      <c r="O192" s="55" t="str">
        <f>IFERROR(IF(OR($B192="",$B192="(blank)"),"",VLOOKUP($B192,'Email Marketing Raw Data'!$C:$O,7,0)),"")</f>
        <v/>
      </c>
      <c r="P192" s="55" t="str">
        <f>IFERROR(IF(OR($B192="",$B192="(blank)"),"",VLOOKUP($B192,'Email Marketing Raw Data'!$C:$O,8,0)),"")</f>
        <v/>
      </c>
      <c r="Q192" s="62" t="str">
        <f>IFERROR(IF(OR($B192="",$B192="(blank)"),"",VLOOKUP($B192,'Email Marketing Raw Data'!$C:$O,9,0)),"")</f>
        <v/>
      </c>
    </row>
    <row r="193" spans="4:17" ht="12.75" customHeight="1" x14ac:dyDescent="0.2">
      <c r="D193" s="58" t="str">
        <f>IFERROR(IF(F193&lt;&gt;"pending","",IF(OR($B193="",$B193="(blank)"),"",VLOOKUP($B193,'Email Marketing Raw Data'!$C:$O,10,0))),"")</f>
        <v/>
      </c>
      <c r="E193" s="59" t="str">
        <f>IFERROR(IF(F193&lt;&gt;"pending","",IF(OR($B193="",$B193="(blank)"),"",VLOOKUP($B193,'Email Marketing Raw Data'!$C:$O,11,0))),"")</f>
        <v/>
      </c>
      <c r="F193" s="54" t="str">
        <f>IFERROR(IF(OR($B193="",$B193="(blank)"),"",VLOOKUP($B193,'Email Marketing Raw Data'!$C:$O,13,0)),"")</f>
        <v/>
      </c>
      <c r="G193" s="55" t="str">
        <f>IFERROR(IF(OR($B193="",$B193="(blank)"),"",VLOOKUP($B193,'Email Marketing Raw Data'!$C:$O,4,0)),"")</f>
        <v/>
      </c>
      <c r="H193" s="55" t="str">
        <f>IFERROR(IF(OR($B193="",$B193="(blank)"),"",VLOOKUP($B193,'Email Marketing Raw Data'!$C:$O,5,0)),"")</f>
        <v/>
      </c>
      <c r="I193" s="55" t="str">
        <f>IFERROR(IF($G193="","",VLOOKUP('Dashboard And Emails Automate'!$G193,Database!$H:$N,3,0)),"")</f>
        <v/>
      </c>
      <c r="J193" s="55" t="str">
        <f>IFERROR(IF($G193="","",VLOOKUP('Dashboard And Emails Automate'!$G193,Database!$H:$N,4,0)),"")</f>
        <v/>
      </c>
      <c r="K193" s="55" t="str">
        <f>IFERROR(IF($G193="","",VLOOKUP('Dashboard And Emails Automate'!$G193,Database!$H:$N,5,0)),"")</f>
        <v/>
      </c>
      <c r="L193" s="55" t="str">
        <f>IFERROR(IF($G193="","",VLOOKUP('Dashboard And Emails Automate'!$G193,Database!$H:$N,6,0)),"")</f>
        <v/>
      </c>
      <c r="M193" s="55" t="str">
        <f>IFERROR(IF($G193="","",VLOOKUP('Dashboard And Emails Automate'!$G193,Database!$H:$N,7,0)),"")</f>
        <v/>
      </c>
      <c r="N193" s="55" t="str">
        <f>IFERROR(IF(OR($B193="",$B193="(blank)"),"",VLOOKUP($B193,'Email Marketing Raw Data'!$C:$O,6,0)),"")</f>
        <v/>
      </c>
      <c r="O193" s="55" t="str">
        <f>IFERROR(IF(OR($B193="",$B193="(blank)"),"",VLOOKUP($B193,'Email Marketing Raw Data'!$C:$O,7,0)),"")</f>
        <v/>
      </c>
      <c r="P193" s="55" t="str">
        <f>IFERROR(IF(OR($B193="",$B193="(blank)"),"",VLOOKUP($B193,'Email Marketing Raw Data'!$C:$O,8,0)),"")</f>
        <v/>
      </c>
      <c r="Q193" s="62" t="str">
        <f>IFERROR(IF(OR($B193="",$B193="(blank)"),"",VLOOKUP($B193,'Email Marketing Raw Data'!$C:$O,9,0)),"")</f>
        <v/>
      </c>
    </row>
    <row r="194" spans="4:17" ht="12.75" customHeight="1" x14ac:dyDescent="0.2">
      <c r="D194" s="58" t="str">
        <f>IFERROR(IF(F194&lt;&gt;"pending","",IF(OR($B194="",$B194="(blank)"),"",VLOOKUP($B194,'Email Marketing Raw Data'!$C:$O,10,0))),"")</f>
        <v/>
      </c>
      <c r="E194" s="59" t="str">
        <f>IFERROR(IF(F194&lt;&gt;"pending","",IF(OR($B194="",$B194="(blank)"),"",VLOOKUP($B194,'Email Marketing Raw Data'!$C:$O,11,0))),"")</f>
        <v/>
      </c>
      <c r="F194" s="54" t="str">
        <f>IFERROR(IF(OR($B194="",$B194="(blank)"),"",VLOOKUP($B194,'Email Marketing Raw Data'!$C:$O,13,0)),"")</f>
        <v/>
      </c>
      <c r="G194" s="55" t="str">
        <f>IFERROR(IF(OR($B194="",$B194="(blank)"),"",VLOOKUP($B194,'Email Marketing Raw Data'!$C:$O,4,0)),"")</f>
        <v/>
      </c>
      <c r="H194" s="55" t="str">
        <f>IFERROR(IF(OR($B194="",$B194="(blank)"),"",VLOOKUP($B194,'Email Marketing Raw Data'!$C:$O,5,0)),"")</f>
        <v/>
      </c>
      <c r="I194" s="55" t="str">
        <f>IFERROR(IF($G194="","",VLOOKUP('Dashboard And Emails Automate'!$G194,Database!$H:$N,3,0)),"")</f>
        <v/>
      </c>
      <c r="J194" s="55" t="str">
        <f>IFERROR(IF($G194="","",VLOOKUP('Dashboard And Emails Automate'!$G194,Database!$H:$N,4,0)),"")</f>
        <v/>
      </c>
      <c r="K194" s="55" t="str">
        <f>IFERROR(IF($G194="","",VLOOKUP('Dashboard And Emails Automate'!$G194,Database!$H:$N,5,0)),"")</f>
        <v/>
      </c>
      <c r="L194" s="55" t="str">
        <f>IFERROR(IF($G194="","",VLOOKUP('Dashboard And Emails Automate'!$G194,Database!$H:$N,6,0)),"")</f>
        <v/>
      </c>
      <c r="M194" s="55" t="str">
        <f>IFERROR(IF($G194="","",VLOOKUP('Dashboard And Emails Automate'!$G194,Database!$H:$N,7,0)),"")</f>
        <v/>
      </c>
      <c r="N194" s="55" t="str">
        <f>IFERROR(IF(OR($B194="",$B194="(blank)"),"",VLOOKUP($B194,'Email Marketing Raw Data'!$C:$O,6,0)),"")</f>
        <v/>
      </c>
      <c r="O194" s="55" t="str">
        <f>IFERROR(IF(OR($B194="",$B194="(blank)"),"",VLOOKUP($B194,'Email Marketing Raw Data'!$C:$O,7,0)),"")</f>
        <v/>
      </c>
      <c r="P194" s="55" t="str">
        <f>IFERROR(IF(OR($B194="",$B194="(blank)"),"",VLOOKUP($B194,'Email Marketing Raw Data'!$C:$O,8,0)),"")</f>
        <v/>
      </c>
      <c r="Q194" s="62" t="str">
        <f>IFERROR(IF(OR($B194="",$B194="(blank)"),"",VLOOKUP($B194,'Email Marketing Raw Data'!$C:$O,9,0)),"")</f>
        <v/>
      </c>
    </row>
    <row r="195" spans="4:17" ht="12.75" customHeight="1" x14ac:dyDescent="0.2">
      <c r="D195" s="58" t="str">
        <f>IFERROR(IF(F195&lt;&gt;"pending","",IF(OR($B195="",$B195="(blank)"),"",VLOOKUP($B195,'Email Marketing Raw Data'!$C:$O,10,0))),"")</f>
        <v/>
      </c>
      <c r="E195" s="59" t="str">
        <f>IFERROR(IF(F195&lt;&gt;"pending","",IF(OR($B195="",$B195="(blank)"),"",VLOOKUP($B195,'Email Marketing Raw Data'!$C:$O,11,0))),"")</f>
        <v/>
      </c>
      <c r="F195" s="54" t="str">
        <f>IFERROR(IF(OR($B195="",$B195="(blank)"),"",VLOOKUP($B195,'Email Marketing Raw Data'!$C:$O,13,0)),"")</f>
        <v/>
      </c>
      <c r="G195" s="55" t="str">
        <f>IFERROR(IF(OR($B195="",$B195="(blank)"),"",VLOOKUP($B195,'Email Marketing Raw Data'!$C:$O,4,0)),"")</f>
        <v/>
      </c>
      <c r="H195" s="55" t="str">
        <f>IFERROR(IF(OR($B195="",$B195="(blank)"),"",VLOOKUP($B195,'Email Marketing Raw Data'!$C:$O,5,0)),"")</f>
        <v/>
      </c>
      <c r="I195" s="55" t="str">
        <f>IFERROR(IF($G195="","",VLOOKUP('Dashboard And Emails Automate'!$G195,Database!$H:$N,3,0)),"")</f>
        <v/>
      </c>
      <c r="J195" s="55" t="str">
        <f>IFERROR(IF($G195="","",VLOOKUP('Dashboard And Emails Automate'!$G195,Database!$H:$N,4,0)),"")</f>
        <v/>
      </c>
      <c r="K195" s="55" t="str">
        <f>IFERROR(IF($G195="","",VLOOKUP('Dashboard And Emails Automate'!$G195,Database!$H:$N,5,0)),"")</f>
        <v/>
      </c>
      <c r="L195" s="55" t="str">
        <f>IFERROR(IF($G195="","",VLOOKUP('Dashboard And Emails Automate'!$G195,Database!$H:$N,6,0)),"")</f>
        <v/>
      </c>
      <c r="M195" s="55" t="str">
        <f>IFERROR(IF($G195="","",VLOOKUP('Dashboard And Emails Automate'!$G195,Database!$H:$N,7,0)),"")</f>
        <v/>
      </c>
      <c r="N195" s="55" t="str">
        <f>IFERROR(IF(OR($B195="",$B195="(blank)"),"",VLOOKUP($B195,'Email Marketing Raw Data'!$C:$O,6,0)),"")</f>
        <v/>
      </c>
      <c r="O195" s="55" t="str">
        <f>IFERROR(IF(OR($B195="",$B195="(blank)"),"",VLOOKUP($B195,'Email Marketing Raw Data'!$C:$O,7,0)),"")</f>
        <v/>
      </c>
      <c r="P195" s="55" t="str">
        <f>IFERROR(IF(OR($B195="",$B195="(blank)"),"",VLOOKUP($B195,'Email Marketing Raw Data'!$C:$O,8,0)),"")</f>
        <v/>
      </c>
      <c r="Q195" s="62" t="str">
        <f>IFERROR(IF(OR($B195="",$B195="(blank)"),"",VLOOKUP($B195,'Email Marketing Raw Data'!$C:$O,9,0)),"")</f>
        <v/>
      </c>
    </row>
    <row r="196" spans="4:17" ht="12.75" customHeight="1" x14ac:dyDescent="0.2">
      <c r="D196" s="58" t="str">
        <f>IFERROR(IF(F196&lt;&gt;"pending","",IF(OR($B196="",$B196="(blank)"),"",VLOOKUP($B196,'Email Marketing Raw Data'!$C:$O,10,0))),"")</f>
        <v/>
      </c>
      <c r="E196" s="59" t="str">
        <f>IFERROR(IF(F196&lt;&gt;"pending","",IF(OR($B196="",$B196="(blank)"),"",VLOOKUP($B196,'Email Marketing Raw Data'!$C:$O,11,0))),"")</f>
        <v/>
      </c>
      <c r="F196" s="54" t="str">
        <f>IFERROR(IF(OR($B196="",$B196="(blank)"),"",VLOOKUP($B196,'Email Marketing Raw Data'!$C:$O,13,0)),"")</f>
        <v/>
      </c>
      <c r="G196" s="55" t="str">
        <f>IFERROR(IF(OR($B196="",$B196="(blank)"),"",VLOOKUP($B196,'Email Marketing Raw Data'!$C:$O,4,0)),"")</f>
        <v/>
      </c>
      <c r="H196" s="55" t="str">
        <f>IFERROR(IF(OR($B196="",$B196="(blank)"),"",VLOOKUP($B196,'Email Marketing Raw Data'!$C:$O,5,0)),"")</f>
        <v/>
      </c>
      <c r="I196" s="55" t="str">
        <f>IFERROR(IF($G196="","",VLOOKUP('Dashboard And Emails Automate'!$G196,Database!$H:$N,3,0)),"")</f>
        <v/>
      </c>
      <c r="J196" s="55" t="str">
        <f>IFERROR(IF($G196="","",VLOOKUP('Dashboard And Emails Automate'!$G196,Database!$H:$N,4,0)),"")</f>
        <v/>
      </c>
      <c r="K196" s="55" t="str">
        <f>IFERROR(IF($G196="","",VLOOKUP('Dashboard And Emails Automate'!$G196,Database!$H:$N,5,0)),"")</f>
        <v/>
      </c>
      <c r="L196" s="55" t="str">
        <f>IFERROR(IF($G196="","",VLOOKUP('Dashboard And Emails Automate'!$G196,Database!$H:$N,6,0)),"")</f>
        <v/>
      </c>
      <c r="M196" s="55" t="str">
        <f>IFERROR(IF($G196="","",VLOOKUP('Dashboard And Emails Automate'!$G196,Database!$H:$N,7,0)),"")</f>
        <v/>
      </c>
      <c r="N196" s="55" t="str">
        <f>IFERROR(IF(OR($B196="",$B196="(blank)"),"",VLOOKUP($B196,'Email Marketing Raw Data'!$C:$O,6,0)),"")</f>
        <v/>
      </c>
      <c r="O196" s="55" t="str">
        <f>IFERROR(IF(OR($B196="",$B196="(blank)"),"",VLOOKUP($B196,'Email Marketing Raw Data'!$C:$O,7,0)),"")</f>
        <v/>
      </c>
      <c r="P196" s="55" t="str">
        <f>IFERROR(IF(OR($B196="",$B196="(blank)"),"",VLOOKUP($B196,'Email Marketing Raw Data'!$C:$O,8,0)),"")</f>
        <v/>
      </c>
      <c r="Q196" s="62" t="str">
        <f>IFERROR(IF(OR($B196="",$B196="(blank)"),"",VLOOKUP($B196,'Email Marketing Raw Data'!$C:$O,9,0)),"")</f>
        <v/>
      </c>
    </row>
    <row r="197" spans="4:17" ht="12.75" customHeight="1" x14ac:dyDescent="0.2">
      <c r="D197" s="58" t="str">
        <f>IFERROR(IF(F197&lt;&gt;"pending","",IF(OR($B197="",$B197="(blank)"),"",VLOOKUP($B197,'Email Marketing Raw Data'!$C:$O,10,0))),"")</f>
        <v/>
      </c>
      <c r="E197" s="59" t="str">
        <f>IFERROR(IF(F197&lt;&gt;"pending","",IF(OR($B197="",$B197="(blank)"),"",VLOOKUP($B197,'Email Marketing Raw Data'!$C:$O,11,0))),"")</f>
        <v/>
      </c>
      <c r="F197" s="54" t="str">
        <f>IFERROR(IF(OR($B197="",$B197="(blank)"),"",VLOOKUP($B197,'Email Marketing Raw Data'!$C:$O,13,0)),"")</f>
        <v/>
      </c>
      <c r="G197" s="55" t="str">
        <f>IFERROR(IF(OR($B197="",$B197="(blank)"),"",VLOOKUP($B197,'Email Marketing Raw Data'!$C:$O,4,0)),"")</f>
        <v/>
      </c>
      <c r="H197" s="55" t="str">
        <f>IFERROR(IF(OR($B197="",$B197="(blank)"),"",VLOOKUP($B197,'Email Marketing Raw Data'!$C:$O,5,0)),"")</f>
        <v/>
      </c>
      <c r="I197" s="55" t="str">
        <f>IFERROR(IF($G197="","",VLOOKUP('Dashboard And Emails Automate'!$G197,Database!$H:$N,3,0)),"")</f>
        <v/>
      </c>
      <c r="J197" s="55" t="str">
        <f>IFERROR(IF($G197="","",VLOOKUP('Dashboard And Emails Automate'!$G197,Database!$H:$N,4,0)),"")</f>
        <v/>
      </c>
      <c r="K197" s="55" t="str">
        <f>IFERROR(IF($G197="","",VLOOKUP('Dashboard And Emails Automate'!$G197,Database!$H:$N,5,0)),"")</f>
        <v/>
      </c>
      <c r="L197" s="55" t="str">
        <f>IFERROR(IF($G197="","",VLOOKUP('Dashboard And Emails Automate'!$G197,Database!$H:$N,6,0)),"")</f>
        <v/>
      </c>
      <c r="M197" s="55" t="str">
        <f>IFERROR(IF($G197="","",VLOOKUP('Dashboard And Emails Automate'!$G197,Database!$H:$N,7,0)),"")</f>
        <v/>
      </c>
      <c r="N197" s="55" t="str">
        <f>IFERROR(IF(OR($B197="",$B197="(blank)"),"",VLOOKUP($B197,'Email Marketing Raw Data'!$C:$O,6,0)),"")</f>
        <v/>
      </c>
      <c r="O197" s="55" t="str">
        <f>IFERROR(IF(OR($B197="",$B197="(blank)"),"",VLOOKUP($B197,'Email Marketing Raw Data'!$C:$O,7,0)),"")</f>
        <v/>
      </c>
      <c r="P197" s="55" t="str">
        <f>IFERROR(IF(OR($B197="",$B197="(blank)"),"",VLOOKUP($B197,'Email Marketing Raw Data'!$C:$O,8,0)),"")</f>
        <v/>
      </c>
      <c r="Q197" s="62" t="str">
        <f>IFERROR(IF(OR($B197="",$B197="(blank)"),"",VLOOKUP($B197,'Email Marketing Raw Data'!$C:$O,9,0)),"")</f>
        <v/>
      </c>
    </row>
    <row r="198" spans="4:17" ht="12.75" customHeight="1" x14ac:dyDescent="0.2">
      <c r="D198" s="58" t="str">
        <f>IFERROR(IF(F198&lt;&gt;"pending","",IF(OR($B198="",$B198="(blank)"),"",VLOOKUP($B198,'Email Marketing Raw Data'!$C:$O,10,0))),"")</f>
        <v/>
      </c>
      <c r="E198" s="59" t="str">
        <f>IFERROR(IF(F198&lt;&gt;"pending","",IF(OR($B198="",$B198="(blank)"),"",VLOOKUP($B198,'Email Marketing Raw Data'!$C:$O,11,0))),"")</f>
        <v/>
      </c>
      <c r="F198" s="54" t="str">
        <f>IFERROR(IF(OR($B198="",$B198="(blank)"),"",VLOOKUP($B198,'Email Marketing Raw Data'!$C:$O,13,0)),"")</f>
        <v/>
      </c>
      <c r="G198" s="55" t="str">
        <f>IFERROR(IF(OR($B198="",$B198="(blank)"),"",VLOOKUP($B198,'Email Marketing Raw Data'!$C:$O,4,0)),"")</f>
        <v/>
      </c>
      <c r="H198" s="55" t="str">
        <f>IFERROR(IF(OR($B198="",$B198="(blank)"),"",VLOOKUP($B198,'Email Marketing Raw Data'!$C:$O,5,0)),"")</f>
        <v/>
      </c>
      <c r="I198" s="55" t="str">
        <f>IFERROR(IF($G198="","",VLOOKUP('Dashboard And Emails Automate'!$G198,Database!$H:$N,3,0)),"")</f>
        <v/>
      </c>
      <c r="J198" s="55" t="str">
        <f>IFERROR(IF($G198="","",VLOOKUP('Dashboard And Emails Automate'!$G198,Database!$H:$N,4,0)),"")</f>
        <v/>
      </c>
      <c r="K198" s="55" t="str">
        <f>IFERROR(IF($G198="","",VLOOKUP('Dashboard And Emails Automate'!$G198,Database!$H:$N,5,0)),"")</f>
        <v/>
      </c>
      <c r="L198" s="55" t="str">
        <f>IFERROR(IF($G198="","",VLOOKUP('Dashboard And Emails Automate'!$G198,Database!$H:$N,6,0)),"")</f>
        <v/>
      </c>
      <c r="M198" s="55" t="str">
        <f>IFERROR(IF($G198="","",VLOOKUP('Dashboard And Emails Automate'!$G198,Database!$H:$N,7,0)),"")</f>
        <v/>
      </c>
      <c r="N198" s="55" t="str">
        <f>IFERROR(IF(OR($B198="",$B198="(blank)"),"",VLOOKUP($B198,'Email Marketing Raw Data'!$C:$O,6,0)),"")</f>
        <v/>
      </c>
      <c r="O198" s="55" t="str">
        <f>IFERROR(IF(OR($B198="",$B198="(blank)"),"",VLOOKUP($B198,'Email Marketing Raw Data'!$C:$O,7,0)),"")</f>
        <v/>
      </c>
      <c r="P198" s="55" t="str">
        <f>IFERROR(IF(OR($B198="",$B198="(blank)"),"",VLOOKUP($B198,'Email Marketing Raw Data'!$C:$O,8,0)),"")</f>
        <v/>
      </c>
      <c r="Q198" s="62" t="str">
        <f>IFERROR(IF(OR($B198="",$B198="(blank)"),"",VLOOKUP($B198,'Email Marketing Raw Data'!$C:$O,9,0)),"")</f>
        <v/>
      </c>
    </row>
    <row r="199" spans="4:17" ht="12.75" customHeight="1" x14ac:dyDescent="0.2">
      <c r="D199" s="58" t="str">
        <f>IFERROR(IF(F199&lt;&gt;"pending","",IF(OR($B199="",$B199="(blank)"),"",VLOOKUP($B199,'Email Marketing Raw Data'!$C:$O,10,0))),"")</f>
        <v/>
      </c>
      <c r="E199" s="59" t="str">
        <f>IFERROR(IF(F199&lt;&gt;"pending","",IF(OR($B199="",$B199="(blank)"),"",VLOOKUP($B199,'Email Marketing Raw Data'!$C:$O,11,0))),"")</f>
        <v/>
      </c>
      <c r="F199" s="54" t="str">
        <f>IFERROR(IF(OR($B199="",$B199="(blank)"),"",VLOOKUP($B199,'Email Marketing Raw Data'!$C:$O,13,0)),"")</f>
        <v/>
      </c>
      <c r="G199" s="55" t="str">
        <f>IFERROR(IF(OR($B199="",$B199="(blank)"),"",VLOOKUP($B199,'Email Marketing Raw Data'!$C:$O,4,0)),"")</f>
        <v/>
      </c>
      <c r="H199" s="55" t="str">
        <f>IFERROR(IF(OR($B199="",$B199="(blank)"),"",VLOOKUP($B199,'Email Marketing Raw Data'!$C:$O,5,0)),"")</f>
        <v/>
      </c>
      <c r="I199" s="55" t="str">
        <f>IFERROR(IF($G199="","",VLOOKUP('Dashboard And Emails Automate'!$G199,Database!$H:$N,3,0)),"")</f>
        <v/>
      </c>
      <c r="J199" s="55" t="str">
        <f>IFERROR(IF($G199="","",VLOOKUP('Dashboard And Emails Automate'!$G199,Database!$H:$N,4,0)),"")</f>
        <v/>
      </c>
      <c r="K199" s="55" t="str">
        <f>IFERROR(IF($G199="","",VLOOKUP('Dashboard And Emails Automate'!$G199,Database!$H:$N,5,0)),"")</f>
        <v/>
      </c>
      <c r="L199" s="55" t="str">
        <f>IFERROR(IF($G199="","",VLOOKUP('Dashboard And Emails Automate'!$G199,Database!$H:$N,6,0)),"")</f>
        <v/>
      </c>
      <c r="M199" s="55" t="str">
        <f>IFERROR(IF($G199="","",VLOOKUP('Dashboard And Emails Automate'!$G199,Database!$H:$N,7,0)),"")</f>
        <v/>
      </c>
      <c r="N199" s="55" t="str">
        <f>IFERROR(IF(OR($B199="",$B199="(blank)"),"",VLOOKUP($B199,'Email Marketing Raw Data'!$C:$O,6,0)),"")</f>
        <v/>
      </c>
      <c r="O199" s="55" t="str">
        <f>IFERROR(IF(OR($B199="",$B199="(blank)"),"",VLOOKUP($B199,'Email Marketing Raw Data'!$C:$O,7,0)),"")</f>
        <v/>
      </c>
      <c r="P199" s="55" t="str">
        <f>IFERROR(IF(OR($B199="",$B199="(blank)"),"",VLOOKUP($B199,'Email Marketing Raw Data'!$C:$O,8,0)),"")</f>
        <v/>
      </c>
      <c r="Q199" s="62" t="str">
        <f>IFERROR(IF(OR($B199="",$B199="(blank)"),"",VLOOKUP($B199,'Email Marketing Raw Data'!$C:$O,9,0)),"")</f>
        <v/>
      </c>
    </row>
    <row r="200" spans="4:17" ht="12.75" customHeight="1" x14ac:dyDescent="0.2">
      <c r="D200" s="58" t="str">
        <f>IFERROR(IF(F200&lt;&gt;"pending","",IF(OR($B200="",$B200="(blank)"),"",VLOOKUP($B200,'Email Marketing Raw Data'!$C:$O,10,0))),"")</f>
        <v/>
      </c>
      <c r="E200" s="59" t="str">
        <f>IFERROR(IF(F200&lt;&gt;"pending","",IF(OR($B200="",$B200="(blank)"),"",VLOOKUP($B200,'Email Marketing Raw Data'!$C:$O,11,0))),"")</f>
        <v/>
      </c>
      <c r="F200" s="54" t="str">
        <f>IFERROR(IF(OR($B200="",$B200="(blank)"),"",VLOOKUP($B200,'Email Marketing Raw Data'!$C:$O,13,0)),"")</f>
        <v/>
      </c>
      <c r="G200" s="55" t="str">
        <f>IFERROR(IF(OR($B200="",$B200="(blank)"),"",VLOOKUP($B200,'Email Marketing Raw Data'!$C:$O,4,0)),"")</f>
        <v/>
      </c>
      <c r="H200" s="55" t="str">
        <f>IFERROR(IF(OR($B200="",$B200="(blank)"),"",VLOOKUP($B200,'Email Marketing Raw Data'!$C:$O,5,0)),"")</f>
        <v/>
      </c>
      <c r="I200" s="55" t="str">
        <f>IFERROR(IF($G200="","",VLOOKUP('Dashboard And Emails Automate'!$G200,Database!$H:$N,3,0)),"")</f>
        <v/>
      </c>
      <c r="J200" s="55" t="str">
        <f>IFERROR(IF($G200="","",VLOOKUP('Dashboard And Emails Automate'!$G200,Database!$H:$N,4,0)),"")</f>
        <v/>
      </c>
      <c r="K200" s="55" t="str">
        <f>IFERROR(IF($G200="","",VLOOKUP('Dashboard And Emails Automate'!$G200,Database!$H:$N,5,0)),"")</f>
        <v/>
      </c>
      <c r="L200" s="55" t="str">
        <f>IFERROR(IF($G200="","",VLOOKUP('Dashboard And Emails Automate'!$G200,Database!$H:$N,6,0)),"")</f>
        <v/>
      </c>
      <c r="M200" s="55" t="str">
        <f>IFERROR(IF($G200="","",VLOOKUP('Dashboard And Emails Automate'!$G200,Database!$H:$N,7,0)),"")</f>
        <v/>
      </c>
      <c r="N200" s="55" t="str">
        <f>IFERROR(IF(OR($B200="",$B200="(blank)"),"",VLOOKUP($B200,'Email Marketing Raw Data'!$C:$O,6,0)),"")</f>
        <v/>
      </c>
      <c r="O200" s="55" t="str">
        <f>IFERROR(IF(OR($B200="",$B200="(blank)"),"",VLOOKUP($B200,'Email Marketing Raw Data'!$C:$O,7,0)),"")</f>
        <v/>
      </c>
      <c r="P200" s="55" t="str">
        <f>IFERROR(IF(OR($B200="",$B200="(blank)"),"",VLOOKUP($B200,'Email Marketing Raw Data'!$C:$O,8,0)),"")</f>
        <v/>
      </c>
      <c r="Q200" s="62" t="str">
        <f>IFERROR(IF(OR($B200="",$B200="(blank)"),"",VLOOKUP($B200,'Email Marketing Raw Data'!$C:$O,9,0)),"")</f>
        <v/>
      </c>
    </row>
    <row r="201" spans="4:17" ht="12.75" customHeight="1" x14ac:dyDescent="0.2">
      <c r="D201" s="58" t="str">
        <f>IFERROR(IF(F201&lt;&gt;"pending","",IF(OR($B201="",$B201="(blank)"),"",VLOOKUP($B201,'Email Marketing Raw Data'!$C:$O,10,0))),"")</f>
        <v/>
      </c>
      <c r="E201" s="59" t="str">
        <f>IFERROR(IF(F201&lt;&gt;"pending","",IF(OR($B201="",$B201="(blank)"),"",VLOOKUP($B201,'Email Marketing Raw Data'!$C:$O,11,0))),"")</f>
        <v/>
      </c>
      <c r="F201" s="54" t="str">
        <f>IFERROR(IF(OR($B201="",$B201="(blank)"),"",VLOOKUP($B201,'Email Marketing Raw Data'!$C:$O,13,0)),"")</f>
        <v/>
      </c>
      <c r="G201" s="55" t="str">
        <f>IFERROR(IF(OR($B201="",$B201="(blank)"),"",VLOOKUP($B201,'Email Marketing Raw Data'!$C:$O,4,0)),"")</f>
        <v/>
      </c>
      <c r="H201" s="55" t="str">
        <f>IFERROR(IF(OR($B201="",$B201="(blank)"),"",VLOOKUP($B201,'Email Marketing Raw Data'!$C:$O,5,0)),"")</f>
        <v/>
      </c>
      <c r="I201" s="55" t="str">
        <f>IFERROR(IF($G201="","",VLOOKUP('Dashboard And Emails Automate'!$G201,Database!$H:$N,3,0)),"")</f>
        <v/>
      </c>
      <c r="J201" s="55" t="str">
        <f>IFERROR(IF($G201="","",VLOOKUP('Dashboard And Emails Automate'!$G201,Database!$H:$N,4,0)),"")</f>
        <v/>
      </c>
      <c r="K201" s="55" t="str">
        <f>IFERROR(IF($G201="","",VLOOKUP('Dashboard And Emails Automate'!$G201,Database!$H:$N,5,0)),"")</f>
        <v/>
      </c>
      <c r="L201" s="55" t="str">
        <f>IFERROR(IF($G201="","",VLOOKUP('Dashboard And Emails Automate'!$G201,Database!$H:$N,6,0)),"")</f>
        <v/>
      </c>
      <c r="M201" s="55" t="str">
        <f>IFERROR(IF($G201="","",VLOOKUP('Dashboard And Emails Automate'!$G201,Database!$H:$N,7,0)),"")</f>
        <v/>
      </c>
      <c r="N201" s="55" t="str">
        <f>IFERROR(IF(OR($B201="",$B201="(blank)"),"",VLOOKUP($B201,'Email Marketing Raw Data'!$C:$O,6,0)),"")</f>
        <v/>
      </c>
      <c r="O201" s="55" t="str">
        <f>IFERROR(IF(OR($B201="",$B201="(blank)"),"",VLOOKUP($B201,'Email Marketing Raw Data'!$C:$O,7,0)),"")</f>
        <v/>
      </c>
      <c r="P201" s="55" t="str">
        <f>IFERROR(IF(OR($B201="",$B201="(blank)"),"",VLOOKUP($B201,'Email Marketing Raw Data'!$C:$O,8,0)),"")</f>
        <v/>
      </c>
      <c r="Q201" s="62" t="str">
        <f>IFERROR(IF(OR($B201="",$B201="(blank)"),"",VLOOKUP($B201,'Email Marketing Raw Data'!$C:$O,9,0)),"")</f>
        <v/>
      </c>
    </row>
    <row r="202" spans="4:17" ht="12.75" customHeight="1" x14ac:dyDescent="0.2">
      <c r="D202" s="58" t="str">
        <f>IFERROR(IF(F202&lt;&gt;"pending","",IF(OR($B202="",$B202="(blank)"),"",VLOOKUP($B202,'Email Marketing Raw Data'!$C:$O,10,0))),"")</f>
        <v/>
      </c>
      <c r="E202" s="59" t="str">
        <f>IFERROR(IF(F202&lt;&gt;"pending","",IF(OR($B202="",$B202="(blank)"),"",VLOOKUP($B202,'Email Marketing Raw Data'!$C:$O,11,0))),"")</f>
        <v/>
      </c>
      <c r="F202" s="54" t="str">
        <f>IFERROR(IF(OR($B202="",$B202="(blank)"),"",VLOOKUP($B202,'Email Marketing Raw Data'!$C:$O,13,0)),"")</f>
        <v/>
      </c>
      <c r="G202" s="55" t="str">
        <f>IFERROR(IF(OR($B202="",$B202="(blank)"),"",VLOOKUP($B202,'Email Marketing Raw Data'!$C:$O,4,0)),"")</f>
        <v/>
      </c>
      <c r="H202" s="55" t="str">
        <f>IFERROR(IF(OR($B202="",$B202="(blank)"),"",VLOOKUP($B202,'Email Marketing Raw Data'!$C:$O,5,0)),"")</f>
        <v/>
      </c>
      <c r="I202" s="55" t="str">
        <f>IFERROR(IF($G202="","",VLOOKUP('Dashboard And Emails Automate'!$G202,Database!$H:$N,3,0)),"")</f>
        <v/>
      </c>
      <c r="J202" s="55" t="str">
        <f>IFERROR(IF($G202="","",VLOOKUP('Dashboard And Emails Automate'!$G202,Database!$H:$N,4,0)),"")</f>
        <v/>
      </c>
      <c r="K202" s="55" t="str">
        <f>IFERROR(IF($G202="","",VLOOKUP('Dashboard And Emails Automate'!$G202,Database!$H:$N,5,0)),"")</f>
        <v/>
      </c>
      <c r="L202" s="55" t="str">
        <f>IFERROR(IF($G202="","",VLOOKUP('Dashboard And Emails Automate'!$G202,Database!$H:$N,6,0)),"")</f>
        <v/>
      </c>
      <c r="M202" s="55" t="str">
        <f>IFERROR(IF($G202="","",VLOOKUP('Dashboard And Emails Automate'!$G202,Database!$H:$N,7,0)),"")</f>
        <v/>
      </c>
      <c r="N202" s="55" t="str">
        <f>IFERROR(IF(OR($B202="",$B202="(blank)"),"",VLOOKUP($B202,'Email Marketing Raw Data'!$C:$O,6,0)),"")</f>
        <v/>
      </c>
      <c r="O202" s="55" t="str">
        <f>IFERROR(IF(OR($B202="",$B202="(blank)"),"",VLOOKUP($B202,'Email Marketing Raw Data'!$C:$O,7,0)),"")</f>
        <v/>
      </c>
      <c r="P202" s="55" t="str">
        <f>IFERROR(IF(OR($B202="",$B202="(blank)"),"",VLOOKUP($B202,'Email Marketing Raw Data'!$C:$O,8,0)),"")</f>
        <v/>
      </c>
      <c r="Q202" s="62" t="str">
        <f>IFERROR(IF(OR($B202="",$B202="(blank)"),"",VLOOKUP($B202,'Email Marketing Raw Data'!$C:$O,9,0)),"")</f>
        <v/>
      </c>
    </row>
    <row r="203" spans="4:17" ht="12.75" customHeight="1" x14ac:dyDescent="0.2">
      <c r="D203" s="58" t="str">
        <f>IFERROR(IF(F203&lt;&gt;"pending","",IF(OR($B203="",$B203="(blank)"),"",VLOOKUP($B203,'Email Marketing Raw Data'!$C:$O,10,0))),"")</f>
        <v/>
      </c>
      <c r="E203" s="59" t="str">
        <f>IFERROR(IF(F203&lt;&gt;"pending","",IF(OR($B203="",$B203="(blank)"),"",VLOOKUP($B203,'Email Marketing Raw Data'!$C:$O,11,0))),"")</f>
        <v/>
      </c>
      <c r="F203" s="54" t="str">
        <f>IFERROR(IF(OR($B203="",$B203="(blank)"),"",VLOOKUP($B203,'Email Marketing Raw Data'!$C:$O,13,0)),"")</f>
        <v/>
      </c>
      <c r="G203" s="55" t="str">
        <f>IFERROR(IF(OR($B203="",$B203="(blank)"),"",VLOOKUP($B203,'Email Marketing Raw Data'!$C:$O,4,0)),"")</f>
        <v/>
      </c>
      <c r="H203" s="55" t="str">
        <f>IFERROR(IF(OR($B203="",$B203="(blank)"),"",VLOOKUP($B203,'Email Marketing Raw Data'!$C:$O,5,0)),"")</f>
        <v/>
      </c>
      <c r="I203" s="55" t="str">
        <f>IFERROR(IF($G203="","",VLOOKUP('Dashboard And Emails Automate'!$G203,Database!$H:$N,3,0)),"")</f>
        <v/>
      </c>
      <c r="J203" s="55" t="str">
        <f>IFERROR(IF($G203="","",VLOOKUP('Dashboard And Emails Automate'!$G203,Database!$H:$N,4,0)),"")</f>
        <v/>
      </c>
      <c r="K203" s="55" t="str">
        <f>IFERROR(IF($G203="","",VLOOKUP('Dashboard And Emails Automate'!$G203,Database!$H:$N,5,0)),"")</f>
        <v/>
      </c>
      <c r="L203" s="55" t="str">
        <f>IFERROR(IF($G203="","",VLOOKUP('Dashboard And Emails Automate'!$G203,Database!$H:$N,6,0)),"")</f>
        <v/>
      </c>
      <c r="M203" s="55" t="str">
        <f>IFERROR(IF($G203="","",VLOOKUP('Dashboard And Emails Automate'!$G203,Database!$H:$N,7,0)),"")</f>
        <v/>
      </c>
      <c r="N203" s="55" t="str">
        <f>IFERROR(IF(OR($B203="",$B203="(blank)"),"",VLOOKUP($B203,'Email Marketing Raw Data'!$C:$O,6,0)),"")</f>
        <v/>
      </c>
      <c r="O203" s="55" t="str">
        <f>IFERROR(IF(OR($B203="",$B203="(blank)"),"",VLOOKUP($B203,'Email Marketing Raw Data'!$C:$O,7,0)),"")</f>
        <v/>
      </c>
      <c r="P203" s="55" t="str">
        <f>IFERROR(IF(OR($B203="",$B203="(blank)"),"",VLOOKUP($B203,'Email Marketing Raw Data'!$C:$O,8,0)),"")</f>
        <v/>
      </c>
      <c r="Q203" s="62" t="str">
        <f>IFERROR(IF(OR($B203="",$B203="(blank)"),"",VLOOKUP($B203,'Email Marketing Raw Data'!$C:$O,9,0)),"")</f>
        <v/>
      </c>
    </row>
    <row r="204" spans="4:17" ht="12.75" customHeight="1" x14ac:dyDescent="0.2">
      <c r="D204" s="58" t="str">
        <f>IFERROR(IF(F204&lt;&gt;"pending","",IF(OR($B204="",$B204="(blank)"),"",VLOOKUP($B204,'Email Marketing Raw Data'!$C:$O,10,0))),"")</f>
        <v/>
      </c>
      <c r="E204" s="59" t="str">
        <f>IFERROR(IF(F204&lt;&gt;"pending","",IF(OR($B204="",$B204="(blank)"),"",VLOOKUP($B204,'Email Marketing Raw Data'!$C:$O,11,0))),"")</f>
        <v/>
      </c>
      <c r="F204" s="54" t="str">
        <f>IFERROR(IF(OR($B204="",$B204="(blank)"),"",VLOOKUP($B204,'Email Marketing Raw Data'!$C:$O,13,0)),"")</f>
        <v/>
      </c>
      <c r="G204" s="55" t="str">
        <f>IFERROR(IF(OR($B204="",$B204="(blank)"),"",VLOOKUP($B204,'Email Marketing Raw Data'!$C:$O,4,0)),"")</f>
        <v/>
      </c>
      <c r="H204" s="55" t="str">
        <f>IFERROR(IF(OR($B204="",$B204="(blank)"),"",VLOOKUP($B204,'Email Marketing Raw Data'!$C:$O,5,0)),"")</f>
        <v/>
      </c>
      <c r="I204" s="55" t="str">
        <f>IFERROR(IF($G204="","",VLOOKUP('Dashboard And Emails Automate'!$G204,Database!$H:$N,3,0)),"")</f>
        <v/>
      </c>
      <c r="J204" s="55" t="str">
        <f>IFERROR(IF($G204="","",VLOOKUP('Dashboard And Emails Automate'!$G204,Database!$H:$N,4,0)),"")</f>
        <v/>
      </c>
      <c r="K204" s="55" t="str">
        <f>IFERROR(IF($G204="","",VLOOKUP('Dashboard And Emails Automate'!$G204,Database!$H:$N,5,0)),"")</f>
        <v/>
      </c>
      <c r="L204" s="55" t="str">
        <f>IFERROR(IF($G204="","",VLOOKUP('Dashboard And Emails Automate'!$G204,Database!$H:$N,6,0)),"")</f>
        <v/>
      </c>
      <c r="M204" s="55" t="str">
        <f>IFERROR(IF($G204="","",VLOOKUP('Dashboard And Emails Automate'!$G204,Database!$H:$N,7,0)),"")</f>
        <v/>
      </c>
      <c r="N204" s="55" t="str">
        <f>IFERROR(IF(OR($B204="",$B204="(blank)"),"",VLOOKUP($B204,'Email Marketing Raw Data'!$C:$O,6,0)),"")</f>
        <v/>
      </c>
      <c r="O204" s="55" t="str">
        <f>IFERROR(IF(OR($B204="",$B204="(blank)"),"",VLOOKUP($B204,'Email Marketing Raw Data'!$C:$O,7,0)),"")</f>
        <v/>
      </c>
      <c r="P204" s="55" t="str">
        <f>IFERROR(IF(OR($B204="",$B204="(blank)"),"",VLOOKUP($B204,'Email Marketing Raw Data'!$C:$O,8,0)),"")</f>
        <v/>
      </c>
      <c r="Q204" s="62" t="str">
        <f>IFERROR(IF(OR($B204="",$B204="(blank)"),"",VLOOKUP($B204,'Email Marketing Raw Data'!$C:$O,9,0)),"")</f>
        <v/>
      </c>
    </row>
    <row r="205" spans="4:17" ht="12.75" customHeight="1" x14ac:dyDescent="0.2">
      <c r="D205" s="58" t="str">
        <f>IFERROR(IF(F205&lt;&gt;"pending","",IF(OR($B205="",$B205="(blank)"),"",VLOOKUP($B205,'Email Marketing Raw Data'!$C:$O,10,0))),"")</f>
        <v/>
      </c>
      <c r="E205" s="59" t="str">
        <f>IFERROR(IF(F205&lt;&gt;"pending","",IF(OR($B205="",$B205="(blank)"),"",VLOOKUP($B205,'Email Marketing Raw Data'!$C:$O,11,0))),"")</f>
        <v/>
      </c>
      <c r="F205" s="54" t="str">
        <f>IFERROR(IF(OR($B205="",$B205="(blank)"),"",VLOOKUP($B205,'Email Marketing Raw Data'!$C:$O,13,0)),"")</f>
        <v/>
      </c>
      <c r="G205" s="55" t="str">
        <f>IFERROR(IF(OR($B205="",$B205="(blank)"),"",VLOOKUP($B205,'Email Marketing Raw Data'!$C:$O,4,0)),"")</f>
        <v/>
      </c>
      <c r="H205" s="55" t="str">
        <f>IFERROR(IF(OR($B205="",$B205="(blank)"),"",VLOOKUP($B205,'Email Marketing Raw Data'!$C:$O,5,0)),"")</f>
        <v/>
      </c>
      <c r="I205" s="55" t="str">
        <f>IFERROR(IF($G205="","",VLOOKUP('Dashboard And Emails Automate'!$G205,Database!$H:$N,3,0)),"")</f>
        <v/>
      </c>
      <c r="J205" s="55" t="str">
        <f>IFERROR(IF($G205="","",VLOOKUP('Dashboard And Emails Automate'!$G205,Database!$H:$N,4,0)),"")</f>
        <v/>
      </c>
      <c r="K205" s="55" t="str">
        <f>IFERROR(IF($G205="","",VLOOKUP('Dashboard And Emails Automate'!$G205,Database!$H:$N,5,0)),"")</f>
        <v/>
      </c>
      <c r="L205" s="55" t="str">
        <f>IFERROR(IF($G205="","",VLOOKUP('Dashboard And Emails Automate'!$G205,Database!$H:$N,6,0)),"")</f>
        <v/>
      </c>
      <c r="M205" s="55" t="str">
        <f>IFERROR(IF($G205="","",VLOOKUP('Dashboard And Emails Automate'!$G205,Database!$H:$N,7,0)),"")</f>
        <v/>
      </c>
      <c r="N205" s="55" t="str">
        <f>IFERROR(IF(OR($B205="",$B205="(blank)"),"",VLOOKUP($B205,'Email Marketing Raw Data'!$C:$O,6,0)),"")</f>
        <v/>
      </c>
      <c r="O205" s="55" t="str">
        <f>IFERROR(IF(OR($B205="",$B205="(blank)"),"",VLOOKUP($B205,'Email Marketing Raw Data'!$C:$O,7,0)),"")</f>
        <v/>
      </c>
      <c r="P205" s="55" t="str">
        <f>IFERROR(IF(OR($B205="",$B205="(blank)"),"",VLOOKUP($B205,'Email Marketing Raw Data'!$C:$O,8,0)),"")</f>
        <v/>
      </c>
      <c r="Q205" s="62" t="str">
        <f>IFERROR(IF(OR($B205="",$B205="(blank)"),"",VLOOKUP($B205,'Email Marketing Raw Data'!$C:$O,9,0)),"")</f>
        <v/>
      </c>
    </row>
    <row r="206" spans="4:17" ht="12.75" customHeight="1" x14ac:dyDescent="0.2">
      <c r="D206" s="58" t="str">
        <f>IFERROR(IF(F206&lt;&gt;"pending","",IF(OR($B206="",$B206="(blank)"),"",VLOOKUP($B206,'Email Marketing Raw Data'!$C:$O,10,0))),"")</f>
        <v/>
      </c>
      <c r="E206" s="59" t="str">
        <f>IFERROR(IF(F206&lt;&gt;"pending","",IF(OR($B206="",$B206="(blank)"),"",VLOOKUP($B206,'Email Marketing Raw Data'!$C:$O,11,0))),"")</f>
        <v/>
      </c>
      <c r="F206" s="54" t="str">
        <f>IFERROR(IF(OR($B206="",$B206="(blank)"),"",VLOOKUP($B206,'Email Marketing Raw Data'!$C:$O,13,0)),"")</f>
        <v/>
      </c>
      <c r="G206" s="55" t="str">
        <f>IFERROR(IF(OR($B206="",$B206="(blank)"),"",VLOOKUP($B206,'Email Marketing Raw Data'!$C:$O,4,0)),"")</f>
        <v/>
      </c>
      <c r="H206" s="55" t="str">
        <f>IFERROR(IF(OR($B206="",$B206="(blank)"),"",VLOOKUP($B206,'Email Marketing Raw Data'!$C:$O,5,0)),"")</f>
        <v/>
      </c>
      <c r="I206" s="55" t="str">
        <f>IFERROR(IF($G206="","",VLOOKUP('Dashboard And Emails Automate'!$G206,Database!$H:$N,3,0)),"")</f>
        <v/>
      </c>
      <c r="J206" s="55" t="str">
        <f>IFERROR(IF($G206="","",VLOOKUP('Dashboard And Emails Automate'!$G206,Database!$H:$N,4,0)),"")</f>
        <v/>
      </c>
      <c r="K206" s="55" t="str">
        <f>IFERROR(IF($G206="","",VLOOKUP('Dashboard And Emails Automate'!$G206,Database!$H:$N,5,0)),"")</f>
        <v/>
      </c>
      <c r="L206" s="55" t="str">
        <f>IFERROR(IF($G206="","",VLOOKUP('Dashboard And Emails Automate'!$G206,Database!$H:$N,6,0)),"")</f>
        <v/>
      </c>
      <c r="M206" s="55" t="str">
        <f>IFERROR(IF($G206="","",VLOOKUP('Dashboard And Emails Automate'!$G206,Database!$H:$N,7,0)),"")</f>
        <v/>
      </c>
      <c r="N206" s="55" t="str">
        <f>IFERROR(IF(OR($B206="",$B206="(blank)"),"",VLOOKUP($B206,'Email Marketing Raw Data'!$C:$O,6,0)),"")</f>
        <v/>
      </c>
      <c r="O206" s="55" t="str">
        <f>IFERROR(IF(OR($B206="",$B206="(blank)"),"",VLOOKUP($B206,'Email Marketing Raw Data'!$C:$O,7,0)),"")</f>
        <v/>
      </c>
      <c r="P206" s="55" t="str">
        <f>IFERROR(IF(OR($B206="",$B206="(blank)"),"",VLOOKUP($B206,'Email Marketing Raw Data'!$C:$O,8,0)),"")</f>
        <v/>
      </c>
      <c r="Q206" s="62" t="str">
        <f>IFERROR(IF(OR($B206="",$B206="(blank)"),"",VLOOKUP($B206,'Email Marketing Raw Data'!$C:$O,9,0)),"")</f>
        <v/>
      </c>
    </row>
    <row r="207" spans="4:17" ht="12.75" customHeight="1" x14ac:dyDescent="0.2">
      <c r="D207" s="58" t="str">
        <f>IFERROR(IF(F207&lt;&gt;"pending","",IF(OR($B207="",$B207="(blank)"),"",VLOOKUP($B207,'Email Marketing Raw Data'!$C:$O,10,0))),"")</f>
        <v/>
      </c>
      <c r="E207" s="59" t="str">
        <f>IFERROR(IF(F207&lt;&gt;"pending","",IF(OR($B207="",$B207="(blank)"),"",VLOOKUP($B207,'Email Marketing Raw Data'!$C:$O,11,0))),"")</f>
        <v/>
      </c>
      <c r="F207" s="54" t="str">
        <f>IFERROR(IF(OR($B207="",$B207="(blank)"),"",VLOOKUP($B207,'Email Marketing Raw Data'!$C:$O,13,0)),"")</f>
        <v/>
      </c>
      <c r="G207" s="55" t="str">
        <f>IFERROR(IF(OR($B207="",$B207="(blank)"),"",VLOOKUP($B207,'Email Marketing Raw Data'!$C:$O,4,0)),"")</f>
        <v/>
      </c>
      <c r="H207" s="55" t="str">
        <f>IFERROR(IF(OR($B207="",$B207="(blank)"),"",VLOOKUP($B207,'Email Marketing Raw Data'!$C:$O,5,0)),"")</f>
        <v/>
      </c>
      <c r="I207" s="55" t="str">
        <f>IFERROR(IF($G207="","",VLOOKUP('Dashboard And Emails Automate'!$G207,Database!$H:$N,3,0)),"")</f>
        <v/>
      </c>
      <c r="J207" s="55" t="str">
        <f>IFERROR(IF($G207="","",VLOOKUP('Dashboard And Emails Automate'!$G207,Database!$H:$N,4,0)),"")</f>
        <v/>
      </c>
      <c r="K207" s="55" t="str">
        <f>IFERROR(IF($G207="","",VLOOKUP('Dashboard And Emails Automate'!$G207,Database!$H:$N,5,0)),"")</f>
        <v/>
      </c>
      <c r="L207" s="55" t="str">
        <f>IFERROR(IF($G207="","",VLOOKUP('Dashboard And Emails Automate'!$G207,Database!$H:$N,6,0)),"")</f>
        <v/>
      </c>
      <c r="M207" s="55" t="str">
        <f>IFERROR(IF($G207="","",VLOOKUP('Dashboard And Emails Automate'!$G207,Database!$H:$N,7,0)),"")</f>
        <v/>
      </c>
      <c r="N207" s="55" t="str">
        <f>IFERROR(IF(OR($B207="",$B207="(blank)"),"",VLOOKUP($B207,'Email Marketing Raw Data'!$C:$O,6,0)),"")</f>
        <v/>
      </c>
      <c r="O207" s="55" t="str">
        <f>IFERROR(IF(OR($B207="",$B207="(blank)"),"",VLOOKUP($B207,'Email Marketing Raw Data'!$C:$O,7,0)),"")</f>
        <v/>
      </c>
      <c r="P207" s="55" t="str">
        <f>IFERROR(IF(OR($B207="",$B207="(blank)"),"",VLOOKUP($B207,'Email Marketing Raw Data'!$C:$O,8,0)),"")</f>
        <v/>
      </c>
      <c r="Q207" s="62" t="str">
        <f>IFERROR(IF(OR($B207="",$B207="(blank)"),"",VLOOKUP($B207,'Email Marketing Raw Data'!$C:$O,9,0)),"")</f>
        <v/>
      </c>
    </row>
    <row r="208" spans="4:17" ht="12.75" customHeight="1" x14ac:dyDescent="0.2">
      <c r="D208" s="58" t="str">
        <f>IFERROR(IF(F208&lt;&gt;"pending","",IF(OR($B208="",$B208="(blank)"),"",VLOOKUP($B208,'Email Marketing Raw Data'!$C:$O,10,0))),"")</f>
        <v/>
      </c>
      <c r="E208" s="59" t="str">
        <f>IFERROR(IF(F208&lt;&gt;"pending","",IF(OR($B208="",$B208="(blank)"),"",VLOOKUP($B208,'Email Marketing Raw Data'!$C:$O,11,0))),"")</f>
        <v/>
      </c>
      <c r="F208" s="54" t="str">
        <f>IFERROR(IF(OR($B208="",$B208="(blank)"),"",VLOOKUP($B208,'Email Marketing Raw Data'!$C:$O,13,0)),"")</f>
        <v/>
      </c>
      <c r="G208" s="55" t="str">
        <f>IFERROR(IF(OR($B208="",$B208="(blank)"),"",VLOOKUP($B208,'Email Marketing Raw Data'!$C:$O,4,0)),"")</f>
        <v/>
      </c>
      <c r="H208" s="55" t="str">
        <f>IFERROR(IF(OR($B208="",$B208="(blank)"),"",VLOOKUP($B208,'Email Marketing Raw Data'!$C:$O,5,0)),"")</f>
        <v/>
      </c>
      <c r="I208" s="55" t="str">
        <f>IFERROR(IF($G208="","",VLOOKUP('Dashboard And Emails Automate'!$G208,Database!$H:$N,3,0)),"")</f>
        <v/>
      </c>
      <c r="J208" s="55" t="str">
        <f>IFERROR(IF($G208="","",VLOOKUP('Dashboard And Emails Automate'!$G208,Database!$H:$N,4,0)),"")</f>
        <v/>
      </c>
      <c r="K208" s="55" t="str">
        <f>IFERROR(IF($G208="","",VLOOKUP('Dashboard And Emails Automate'!$G208,Database!$H:$N,5,0)),"")</f>
        <v/>
      </c>
      <c r="L208" s="55" t="str">
        <f>IFERROR(IF($G208="","",VLOOKUP('Dashboard And Emails Automate'!$G208,Database!$H:$N,6,0)),"")</f>
        <v/>
      </c>
      <c r="M208" s="55" t="str">
        <f>IFERROR(IF($G208="","",VLOOKUP('Dashboard And Emails Automate'!$G208,Database!$H:$N,7,0)),"")</f>
        <v/>
      </c>
      <c r="N208" s="55" t="str">
        <f>IFERROR(IF(OR($B208="",$B208="(blank)"),"",VLOOKUP($B208,'Email Marketing Raw Data'!$C:$O,6,0)),"")</f>
        <v/>
      </c>
      <c r="O208" s="55" t="str">
        <f>IFERROR(IF(OR($B208="",$B208="(blank)"),"",VLOOKUP($B208,'Email Marketing Raw Data'!$C:$O,7,0)),"")</f>
        <v/>
      </c>
      <c r="P208" s="55" t="str">
        <f>IFERROR(IF(OR($B208="",$B208="(blank)"),"",VLOOKUP($B208,'Email Marketing Raw Data'!$C:$O,8,0)),"")</f>
        <v/>
      </c>
      <c r="Q208" s="62" t="str">
        <f>IFERROR(IF(OR($B208="",$B208="(blank)"),"",VLOOKUP($B208,'Email Marketing Raw Data'!$C:$O,9,0)),"")</f>
        <v/>
      </c>
    </row>
    <row r="209" spans="4:17" ht="12.75" customHeight="1" x14ac:dyDescent="0.2">
      <c r="D209" s="58" t="str">
        <f>IFERROR(IF(F209&lt;&gt;"pending","",IF(OR($B209="",$B209="(blank)"),"",VLOOKUP($B209,'Email Marketing Raw Data'!$C:$O,10,0))),"")</f>
        <v/>
      </c>
      <c r="E209" s="59" t="str">
        <f>IFERROR(IF(F209&lt;&gt;"pending","",IF(OR($B209="",$B209="(blank)"),"",VLOOKUP($B209,'Email Marketing Raw Data'!$C:$O,11,0))),"")</f>
        <v/>
      </c>
      <c r="F209" s="54" t="str">
        <f>IFERROR(IF(OR($B209="",$B209="(blank)"),"",VLOOKUP($B209,'Email Marketing Raw Data'!$C:$O,13,0)),"")</f>
        <v/>
      </c>
      <c r="G209" s="55" t="str">
        <f>IFERROR(IF(OR($B209="",$B209="(blank)"),"",VLOOKUP($B209,'Email Marketing Raw Data'!$C:$O,4,0)),"")</f>
        <v/>
      </c>
      <c r="H209" s="55" t="str">
        <f>IFERROR(IF(OR($B209="",$B209="(blank)"),"",VLOOKUP($B209,'Email Marketing Raw Data'!$C:$O,5,0)),"")</f>
        <v/>
      </c>
      <c r="I209" s="55" t="str">
        <f>IFERROR(IF($G209="","",VLOOKUP('Dashboard And Emails Automate'!$G209,Database!$H:$N,3,0)),"")</f>
        <v/>
      </c>
      <c r="J209" s="55" t="str">
        <f>IFERROR(IF($G209="","",VLOOKUP('Dashboard And Emails Automate'!$G209,Database!$H:$N,4,0)),"")</f>
        <v/>
      </c>
      <c r="K209" s="55" t="str">
        <f>IFERROR(IF($G209="","",VLOOKUP('Dashboard And Emails Automate'!$G209,Database!$H:$N,5,0)),"")</f>
        <v/>
      </c>
      <c r="L209" s="55" t="str">
        <f>IFERROR(IF($G209="","",VLOOKUP('Dashboard And Emails Automate'!$G209,Database!$H:$N,6,0)),"")</f>
        <v/>
      </c>
      <c r="M209" s="55" t="str">
        <f>IFERROR(IF($G209="","",VLOOKUP('Dashboard And Emails Automate'!$G209,Database!$H:$N,7,0)),"")</f>
        <v/>
      </c>
      <c r="N209" s="55" t="str">
        <f>IFERROR(IF(OR($B209="",$B209="(blank)"),"",VLOOKUP($B209,'Email Marketing Raw Data'!$C:$O,6,0)),"")</f>
        <v/>
      </c>
      <c r="O209" s="55" t="str">
        <f>IFERROR(IF(OR($B209="",$B209="(blank)"),"",VLOOKUP($B209,'Email Marketing Raw Data'!$C:$O,7,0)),"")</f>
        <v/>
      </c>
      <c r="P209" s="55" t="str">
        <f>IFERROR(IF(OR($B209="",$B209="(blank)"),"",VLOOKUP($B209,'Email Marketing Raw Data'!$C:$O,8,0)),"")</f>
        <v/>
      </c>
      <c r="Q209" s="62" t="str">
        <f>IFERROR(IF(OR($B209="",$B209="(blank)"),"",VLOOKUP($B209,'Email Marketing Raw Data'!$C:$O,9,0)),"")</f>
        <v/>
      </c>
    </row>
    <row r="210" spans="4:17" ht="12.75" customHeight="1" x14ac:dyDescent="0.2">
      <c r="D210" s="58" t="str">
        <f>IFERROR(IF(F210&lt;&gt;"pending","",IF(OR($B210="",$B210="(blank)"),"",VLOOKUP($B210,'Email Marketing Raw Data'!$C:$O,10,0))),"")</f>
        <v/>
      </c>
      <c r="E210" s="59" t="str">
        <f>IFERROR(IF(F210&lt;&gt;"pending","",IF(OR($B210="",$B210="(blank)"),"",VLOOKUP($B210,'Email Marketing Raw Data'!$C:$O,11,0))),"")</f>
        <v/>
      </c>
      <c r="F210" s="54" t="str">
        <f>IFERROR(IF(OR($B210="",$B210="(blank)"),"",VLOOKUP($B210,'Email Marketing Raw Data'!$C:$O,13,0)),"")</f>
        <v/>
      </c>
      <c r="G210" s="55" t="str">
        <f>IFERROR(IF(OR($B210="",$B210="(blank)"),"",VLOOKUP($B210,'Email Marketing Raw Data'!$C:$O,4,0)),"")</f>
        <v/>
      </c>
      <c r="H210" s="55" t="str">
        <f>IFERROR(IF(OR($B210="",$B210="(blank)"),"",VLOOKUP($B210,'Email Marketing Raw Data'!$C:$O,5,0)),"")</f>
        <v/>
      </c>
      <c r="I210" s="55" t="str">
        <f>IFERROR(IF($G210="","",VLOOKUP('Dashboard And Emails Automate'!$G210,Database!$H:$N,3,0)),"")</f>
        <v/>
      </c>
      <c r="J210" s="55" t="str">
        <f>IFERROR(IF($G210="","",VLOOKUP('Dashboard And Emails Automate'!$G210,Database!$H:$N,4,0)),"")</f>
        <v/>
      </c>
      <c r="K210" s="55" t="str">
        <f>IFERROR(IF($G210="","",VLOOKUP('Dashboard And Emails Automate'!$G210,Database!$H:$N,5,0)),"")</f>
        <v/>
      </c>
      <c r="L210" s="55" t="str">
        <f>IFERROR(IF($G210="","",VLOOKUP('Dashboard And Emails Automate'!$G210,Database!$H:$N,6,0)),"")</f>
        <v/>
      </c>
      <c r="M210" s="55" t="str">
        <f>IFERROR(IF($G210="","",VLOOKUP('Dashboard And Emails Automate'!$G210,Database!$H:$N,7,0)),"")</f>
        <v/>
      </c>
      <c r="N210" s="55" t="str">
        <f>IFERROR(IF(OR($B210="",$B210="(blank)"),"",VLOOKUP($B210,'Email Marketing Raw Data'!$C:$O,6,0)),"")</f>
        <v/>
      </c>
      <c r="O210" s="55" t="str">
        <f>IFERROR(IF(OR($B210="",$B210="(blank)"),"",VLOOKUP($B210,'Email Marketing Raw Data'!$C:$O,7,0)),"")</f>
        <v/>
      </c>
      <c r="P210" s="55" t="str">
        <f>IFERROR(IF(OR($B210="",$B210="(blank)"),"",VLOOKUP($B210,'Email Marketing Raw Data'!$C:$O,8,0)),"")</f>
        <v/>
      </c>
      <c r="Q210" s="62" t="str">
        <f>IFERROR(IF(OR($B210="",$B210="(blank)"),"",VLOOKUP($B210,'Email Marketing Raw Data'!$C:$O,9,0)),"")</f>
        <v/>
      </c>
    </row>
    <row r="211" spans="4:17" ht="12.75" customHeight="1" x14ac:dyDescent="0.2">
      <c r="D211" s="58" t="str">
        <f>IFERROR(IF(F211&lt;&gt;"pending","",IF(OR($B211="",$B211="(blank)"),"",VLOOKUP($B211,'Email Marketing Raw Data'!$C:$O,10,0))),"")</f>
        <v/>
      </c>
      <c r="E211" s="59" t="str">
        <f>IFERROR(IF(F211&lt;&gt;"pending","",IF(OR($B211="",$B211="(blank)"),"",VLOOKUP($B211,'Email Marketing Raw Data'!$C:$O,11,0))),"")</f>
        <v/>
      </c>
      <c r="F211" s="54" t="str">
        <f>IFERROR(IF(OR($B211="",$B211="(blank)"),"",VLOOKUP($B211,'Email Marketing Raw Data'!$C:$O,13,0)),"")</f>
        <v/>
      </c>
      <c r="G211" s="55" t="str">
        <f>IFERROR(IF(OR($B211="",$B211="(blank)"),"",VLOOKUP($B211,'Email Marketing Raw Data'!$C:$O,4,0)),"")</f>
        <v/>
      </c>
      <c r="H211" s="55" t="str">
        <f>IFERROR(IF(OR($B211="",$B211="(blank)"),"",VLOOKUP($B211,'Email Marketing Raw Data'!$C:$O,5,0)),"")</f>
        <v/>
      </c>
      <c r="I211" s="55" t="str">
        <f>IFERROR(IF($G211="","",VLOOKUP('Dashboard And Emails Automate'!$G211,Database!$H:$N,3,0)),"")</f>
        <v/>
      </c>
      <c r="J211" s="55" t="str">
        <f>IFERROR(IF($G211="","",VLOOKUP('Dashboard And Emails Automate'!$G211,Database!$H:$N,4,0)),"")</f>
        <v/>
      </c>
      <c r="K211" s="55" t="str">
        <f>IFERROR(IF($G211="","",VLOOKUP('Dashboard And Emails Automate'!$G211,Database!$H:$N,5,0)),"")</f>
        <v/>
      </c>
      <c r="L211" s="55" t="str">
        <f>IFERROR(IF($G211="","",VLOOKUP('Dashboard And Emails Automate'!$G211,Database!$H:$N,6,0)),"")</f>
        <v/>
      </c>
      <c r="M211" s="55" t="str">
        <f>IFERROR(IF($G211="","",VLOOKUP('Dashboard And Emails Automate'!$G211,Database!$H:$N,7,0)),"")</f>
        <v/>
      </c>
      <c r="N211" s="55" t="str">
        <f>IFERROR(IF(OR($B211="",$B211="(blank)"),"",VLOOKUP($B211,'Email Marketing Raw Data'!$C:$O,6,0)),"")</f>
        <v/>
      </c>
      <c r="O211" s="55" t="str">
        <f>IFERROR(IF(OR($B211="",$B211="(blank)"),"",VLOOKUP($B211,'Email Marketing Raw Data'!$C:$O,7,0)),"")</f>
        <v/>
      </c>
      <c r="P211" s="55" t="str">
        <f>IFERROR(IF(OR($B211="",$B211="(blank)"),"",VLOOKUP($B211,'Email Marketing Raw Data'!$C:$O,8,0)),"")</f>
        <v/>
      </c>
      <c r="Q211" s="62" t="str">
        <f>IFERROR(IF(OR($B211="",$B211="(blank)"),"",VLOOKUP($B211,'Email Marketing Raw Data'!$C:$O,9,0)),"")</f>
        <v/>
      </c>
    </row>
    <row r="212" spans="4:17" ht="12.75" customHeight="1" x14ac:dyDescent="0.2">
      <c r="D212" s="58" t="str">
        <f>IFERROR(IF(F212&lt;&gt;"pending","",IF(OR($B212="",$B212="(blank)"),"",VLOOKUP($B212,'Email Marketing Raw Data'!$C:$O,10,0))),"")</f>
        <v/>
      </c>
      <c r="E212" s="59" t="str">
        <f>IFERROR(IF(F212&lt;&gt;"pending","",IF(OR($B212="",$B212="(blank)"),"",VLOOKUP($B212,'Email Marketing Raw Data'!$C:$O,11,0))),"")</f>
        <v/>
      </c>
      <c r="F212" s="54" t="str">
        <f>IFERROR(IF(OR($B212="",$B212="(blank)"),"",VLOOKUP($B212,'Email Marketing Raw Data'!$C:$O,13,0)),"")</f>
        <v/>
      </c>
      <c r="G212" s="55" t="str">
        <f>IFERROR(IF(OR($B212="",$B212="(blank)"),"",VLOOKUP($B212,'Email Marketing Raw Data'!$C:$O,4,0)),"")</f>
        <v/>
      </c>
      <c r="H212" s="55" t="str">
        <f>IFERROR(IF(OR($B212="",$B212="(blank)"),"",VLOOKUP($B212,'Email Marketing Raw Data'!$C:$O,5,0)),"")</f>
        <v/>
      </c>
      <c r="I212" s="55" t="str">
        <f>IFERROR(IF($G212="","",VLOOKUP('Dashboard And Emails Automate'!$G212,Database!$H:$N,3,0)),"")</f>
        <v/>
      </c>
      <c r="J212" s="55" t="str">
        <f>IFERROR(IF($G212="","",VLOOKUP('Dashboard And Emails Automate'!$G212,Database!$H:$N,4,0)),"")</f>
        <v/>
      </c>
      <c r="K212" s="55" t="str">
        <f>IFERROR(IF($G212="","",VLOOKUP('Dashboard And Emails Automate'!$G212,Database!$H:$N,5,0)),"")</f>
        <v/>
      </c>
      <c r="L212" s="55" t="str">
        <f>IFERROR(IF($G212="","",VLOOKUP('Dashboard And Emails Automate'!$G212,Database!$H:$N,6,0)),"")</f>
        <v/>
      </c>
      <c r="M212" s="55" t="str">
        <f>IFERROR(IF($G212="","",VLOOKUP('Dashboard And Emails Automate'!$G212,Database!$H:$N,7,0)),"")</f>
        <v/>
      </c>
      <c r="N212" s="55" t="str">
        <f>IFERROR(IF(OR($B212="",$B212="(blank)"),"",VLOOKUP($B212,'Email Marketing Raw Data'!$C:$O,6,0)),"")</f>
        <v/>
      </c>
      <c r="O212" s="55" t="str">
        <f>IFERROR(IF(OR($B212="",$B212="(blank)"),"",VLOOKUP($B212,'Email Marketing Raw Data'!$C:$O,7,0)),"")</f>
        <v/>
      </c>
      <c r="P212" s="55" t="str">
        <f>IFERROR(IF(OR($B212="",$B212="(blank)"),"",VLOOKUP($B212,'Email Marketing Raw Data'!$C:$O,8,0)),"")</f>
        <v/>
      </c>
      <c r="Q212" s="62" t="str">
        <f>IFERROR(IF(OR($B212="",$B212="(blank)"),"",VLOOKUP($B212,'Email Marketing Raw Data'!$C:$O,9,0)),"")</f>
        <v/>
      </c>
    </row>
    <row r="213" spans="4:17" ht="12.75" customHeight="1" x14ac:dyDescent="0.2">
      <c r="D213" s="58" t="str">
        <f>IFERROR(IF(F213&lt;&gt;"pending","",IF(OR($B213="",$B213="(blank)"),"",VLOOKUP($B213,'Email Marketing Raw Data'!$C:$O,10,0))),"")</f>
        <v/>
      </c>
      <c r="E213" s="59" t="str">
        <f>IFERROR(IF(F213&lt;&gt;"pending","",IF(OR($B213="",$B213="(blank)"),"",VLOOKUP($B213,'Email Marketing Raw Data'!$C:$O,11,0))),"")</f>
        <v/>
      </c>
      <c r="F213" s="54" t="str">
        <f>IFERROR(IF(OR($B213="",$B213="(blank)"),"",VLOOKUP($B213,'Email Marketing Raw Data'!$C:$O,13,0)),"")</f>
        <v/>
      </c>
      <c r="G213" s="55" t="str">
        <f>IFERROR(IF(OR($B213="",$B213="(blank)"),"",VLOOKUP($B213,'Email Marketing Raw Data'!$C:$O,4,0)),"")</f>
        <v/>
      </c>
      <c r="H213" s="55" t="str">
        <f>IFERROR(IF(OR($B213="",$B213="(blank)"),"",VLOOKUP($B213,'Email Marketing Raw Data'!$C:$O,5,0)),"")</f>
        <v/>
      </c>
      <c r="I213" s="55" t="str">
        <f>IFERROR(IF($G213="","",VLOOKUP('Dashboard And Emails Automate'!$G213,Database!$H:$N,3,0)),"")</f>
        <v/>
      </c>
      <c r="J213" s="55" t="str">
        <f>IFERROR(IF($G213="","",VLOOKUP('Dashboard And Emails Automate'!$G213,Database!$H:$N,4,0)),"")</f>
        <v/>
      </c>
      <c r="K213" s="55" t="str">
        <f>IFERROR(IF($G213="","",VLOOKUP('Dashboard And Emails Automate'!$G213,Database!$H:$N,5,0)),"")</f>
        <v/>
      </c>
      <c r="L213" s="55" t="str">
        <f>IFERROR(IF($G213="","",VLOOKUP('Dashboard And Emails Automate'!$G213,Database!$H:$N,6,0)),"")</f>
        <v/>
      </c>
      <c r="M213" s="55" t="str">
        <f>IFERROR(IF($G213="","",VLOOKUP('Dashboard And Emails Automate'!$G213,Database!$H:$N,7,0)),"")</f>
        <v/>
      </c>
      <c r="N213" s="55" t="str">
        <f>IFERROR(IF(OR($B213="",$B213="(blank)"),"",VLOOKUP($B213,'Email Marketing Raw Data'!$C:$O,6,0)),"")</f>
        <v/>
      </c>
      <c r="O213" s="55" t="str">
        <f>IFERROR(IF(OR($B213="",$B213="(blank)"),"",VLOOKUP($B213,'Email Marketing Raw Data'!$C:$O,7,0)),"")</f>
        <v/>
      </c>
      <c r="P213" s="55" t="str">
        <f>IFERROR(IF(OR($B213="",$B213="(blank)"),"",VLOOKUP($B213,'Email Marketing Raw Data'!$C:$O,8,0)),"")</f>
        <v/>
      </c>
      <c r="Q213" s="62" t="str">
        <f>IFERROR(IF(OR($B213="",$B213="(blank)"),"",VLOOKUP($B213,'Email Marketing Raw Data'!$C:$O,9,0)),"")</f>
        <v/>
      </c>
    </row>
    <row r="214" spans="4:17" ht="12.75" customHeight="1" x14ac:dyDescent="0.2">
      <c r="D214" s="58" t="str">
        <f>IFERROR(IF(F214&lt;&gt;"pending","",IF(OR($B214="",$B214="(blank)"),"",VLOOKUP($B214,'Email Marketing Raw Data'!$C:$O,10,0))),"")</f>
        <v/>
      </c>
      <c r="E214" s="59" t="str">
        <f>IFERROR(IF(F214&lt;&gt;"pending","",IF(OR($B214="",$B214="(blank)"),"",VLOOKUP($B214,'Email Marketing Raw Data'!$C:$O,11,0))),"")</f>
        <v/>
      </c>
      <c r="F214" s="54" t="str">
        <f>IFERROR(IF(OR($B214="",$B214="(blank)"),"",VLOOKUP($B214,'Email Marketing Raw Data'!$C:$O,13,0)),"")</f>
        <v/>
      </c>
      <c r="G214" s="55" t="str">
        <f>IFERROR(IF(OR($B214="",$B214="(blank)"),"",VLOOKUP($B214,'Email Marketing Raw Data'!$C:$O,4,0)),"")</f>
        <v/>
      </c>
      <c r="H214" s="55" t="str">
        <f>IFERROR(IF(OR($B214="",$B214="(blank)"),"",VLOOKUP($B214,'Email Marketing Raw Data'!$C:$O,5,0)),"")</f>
        <v/>
      </c>
      <c r="I214" s="55" t="str">
        <f>IFERROR(IF($G214="","",VLOOKUP('Dashboard And Emails Automate'!$G214,Database!$H:$N,3,0)),"")</f>
        <v/>
      </c>
      <c r="J214" s="55" t="str">
        <f>IFERROR(IF($G214="","",VLOOKUP('Dashboard And Emails Automate'!$G214,Database!$H:$N,4,0)),"")</f>
        <v/>
      </c>
      <c r="K214" s="55" t="str">
        <f>IFERROR(IF($G214="","",VLOOKUP('Dashboard And Emails Automate'!$G214,Database!$H:$N,5,0)),"")</f>
        <v/>
      </c>
      <c r="L214" s="55" t="str">
        <f>IFERROR(IF($G214="","",VLOOKUP('Dashboard And Emails Automate'!$G214,Database!$H:$N,6,0)),"")</f>
        <v/>
      </c>
      <c r="M214" s="55" t="str">
        <f>IFERROR(IF($G214="","",VLOOKUP('Dashboard And Emails Automate'!$G214,Database!$H:$N,7,0)),"")</f>
        <v/>
      </c>
      <c r="N214" s="55" t="str">
        <f>IFERROR(IF(OR($B214="",$B214="(blank)"),"",VLOOKUP($B214,'Email Marketing Raw Data'!$C:$O,6,0)),"")</f>
        <v/>
      </c>
      <c r="O214" s="55" t="str">
        <f>IFERROR(IF(OR($B214="",$B214="(blank)"),"",VLOOKUP($B214,'Email Marketing Raw Data'!$C:$O,7,0)),"")</f>
        <v/>
      </c>
      <c r="P214" s="55" t="str">
        <f>IFERROR(IF(OR($B214="",$B214="(blank)"),"",VLOOKUP($B214,'Email Marketing Raw Data'!$C:$O,8,0)),"")</f>
        <v/>
      </c>
      <c r="Q214" s="62" t="str">
        <f>IFERROR(IF(OR($B214="",$B214="(blank)"),"",VLOOKUP($B214,'Email Marketing Raw Data'!$C:$O,9,0)),"")</f>
        <v/>
      </c>
    </row>
    <row r="215" spans="4:17" ht="12.75" customHeight="1" x14ac:dyDescent="0.2">
      <c r="D215" s="58" t="str">
        <f>IFERROR(IF(F215&lt;&gt;"pending","",IF(OR($B215="",$B215="(blank)"),"",VLOOKUP($B215,'Email Marketing Raw Data'!$C:$O,10,0))),"")</f>
        <v/>
      </c>
      <c r="E215" s="59" t="str">
        <f>IFERROR(IF(F215&lt;&gt;"pending","",IF(OR($B215="",$B215="(blank)"),"",VLOOKUP($B215,'Email Marketing Raw Data'!$C:$O,11,0))),"")</f>
        <v/>
      </c>
      <c r="F215" s="54" t="str">
        <f>IFERROR(IF(OR($B215="",$B215="(blank)"),"",VLOOKUP($B215,'Email Marketing Raw Data'!$C:$O,13,0)),"")</f>
        <v/>
      </c>
      <c r="G215" s="55" t="str">
        <f>IFERROR(IF(OR($B215="",$B215="(blank)"),"",VLOOKUP($B215,'Email Marketing Raw Data'!$C:$O,4,0)),"")</f>
        <v/>
      </c>
      <c r="H215" s="55" t="str">
        <f>IFERROR(IF(OR($B215="",$B215="(blank)"),"",VLOOKUP($B215,'Email Marketing Raw Data'!$C:$O,5,0)),"")</f>
        <v/>
      </c>
      <c r="I215" s="55" t="str">
        <f>IFERROR(IF($G215="","",VLOOKUP('Dashboard And Emails Automate'!$G215,Database!$H:$N,3,0)),"")</f>
        <v/>
      </c>
      <c r="J215" s="55" t="str">
        <f>IFERROR(IF($G215="","",VLOOKUP('Dashboard And Emails Automate'!$G215,Database!$H:$N,4,0)),"")</f>
        <v/>
      </c>
      <c r="K215" s="55" t="str">
        <f>IFERROR(IF($G215="","",VLOOKUP('Dashboard And Emails Automate'!$G215,Database!$H:$N,5,0)),"")</f>
        <v/>
      </c>
      <c r="L215" s="55" t="str">
        <f>IFERROR(IF($G215="","",VLOOKUP('Dashboard And Emails Automate'!$G215,Database!$H:$N,6,0)),"")</f>
        <v/>
      </c>
      <c r="M215" s="55" t="str">
        <f>IFERROR(IF($G215="","",VLOOKUP('Dashboard And Emails Automate'!$G215,Database!$H:$N,7,0)),"")</f>
        <v/>
      </c>
      <c r="N215" s="55" t="str">
        <f>IFERROR(IF(OR($B215="",$B215="(blank)"),"",VLOOKUP($B215,'Email Marketing Raw Data'!$C:$O,6,0)),"")</f>
        <v/>
      </c>
      <c r="O215" s="55" t="str">
        <f>IFERROR(IF(OR($B215="",$B215="(blank)"),"",VLOOKUP($B215,'Email Marketing Raw Data'!$C:$O,7,0)),"")</f>
        <v/>
      </c>
      <c r="P215" s="55" t="str">
        <f>IFERROR(IF(OR($B215="",$B215="(blank)"),"",VLOOKUP($B215,'Email Marketing Raw Data'!$C:$O,8,0)),"")</f>
        <v/>
      </c>
      <c r="Q215" s="62" t="str">
        <f>IFERROR(IF(OR($B215="",$B215="(blank)"),"",VLOOKUP($B215,'Email Marketing Raw Data'!$C:$O,9,0)),"")</f>
        <v/>
      </c>
    </row>
    <row r="216" spans="4:17" ht="12.75" customHeight="1" x14ac:dyDescent="0.2">
      <c r="D216" s="58" t="str">
        <f>IFERROR(IF(F216&lt;&gt;"pending","",IF(OR($B216="",$B216="(blank)"),"",VLOOKUP($B216,'Email Marketing Raw Data'!$C:$O,10,0))),"")</f>
        <v/>
      </c>
      <c r="E216" s="59" t="str">
        <f>IFERROR(IF(F216&lt;&gt;"pending","",IF(OR($B216="",$B216="(blank)"),"",VLOOKUP($B216,'Email Marketing Raw Data'!$C:$O,11,0))),"")</f>
        <v/>
      </c>
      <c r="F216" s="54" t="str">
        <f>IFERROR(IF(OR($B216="",$B216="(blank)"),"",VLOOKUP($B216,'Email Marketing Raw Data'!$C:$O,13,0)),"")</f>
        <v/>
      </c>
      <c r="G216" s="55" t="str">
        <f>IFERROR(IF(OR($B216="",$B216="(blank)"),"",VLOOKUP($B216,'Email Marketing Raw Data'!$C:$O,4,0)),"")</f>
        <v/>
      </c>
      <c r="H216" s="55" t="str">
        <f>IFERROR(IF(OR($B216="",$B216="(blank)"),"",VLOOKUP($B216,'Email Marketing Raw Data'!$C:$O,5,0)),"")</f>
        <v/>
      </c>
      <c r="I216" s="55" t="str">
        <f>IFERROR(IF($G216="","",VLOOKUP('Dashboard And Emails Automate'!$G216,Database!$H:$N,3,0)),"")</f>
        <v/>
      </c>
      <c r="J216" s="55" t="str">
        <f>IFERROR(IF($G216="","",VLOOKUP('Dashboard And Emails Automate'!$G216,Database!$H:$N,4,0)),"")</f>
        <v/>
      </c>
      <c r="K216" s="55" t="str">
        <f>IFERROR(IF($G216="","",VLOOKUP('Dashboard And Emails Automate'!$G216,Database!$H:$N,5,0)),"")</f>
        <v/>
      </c>
      <c r="L216" s="55" t="str">
        <f>IFERROR(IF($G216="","",VLOOKUP('Dashboard And Emails Automate'!$G216,Database!$H:$N,6,0)),"")</f>
        <v/>
      </c>
      <c r="M216" s="55" t="str">
        <f>IFERROR(IF($G216="","",VLOOKUP('Dashboard And Emails Automate'!$G216,Database!$H:$N,7,0)),"")</f>
        <v/>
      </c>
      <c r="N216" s="55" t="str">
        <f>IFERROR(IF(OR($B216="",$B216="(blank)"),"",VLOOKUP($B216,'Email Marketing Raw Data'!$C:$O,6,0)),"")</f>
        <v/>
      </c>
      <c r="O216" s="55" t="str">
        <f>IFERROR(IF(OR($B216="",$B216="(blank)"),"",VLOOKUP($B216,'Email Marketing Raw Data'!$C:$O,7,0)),"")</f>
        <v/>
      </c>
      <c r="P216" s="55" t="str">
        <f>IFERROR(IF(OR($B216="",$B216="(blank)"),"",VLOOKUP($B216,'Email Marketing Raw Data'!$C:$O,8,0)),"")</f>
        <v/>
      </c>
      <c r="Q216" s="62" t="str">
        <f>IFERROR(IF(OR($B216="",$B216="(blank)"),"",VLOOKUP($B216,'Email Marketing Raw Data'!$C:$O,9,0)),"")</f>
        <v/>
      </c>
    </row>
    <row r="217" spans="4:17" ht="12.75" customHeight="1" x14ac:dyDescent="0.2">
      <c r="D217" s="58" t="str">
        <f>IFERROR(IF(F217&lt;&gt;"pending","",IF(OR($B217="",$B217="(blank)"),"",VLOOKUP($B217,'Email Marketing Raw Data'!$C:$O,10,0))),"")</f>
        <v/>
      </c>
      <c r="E217" s="59" t="str">
        <f>IFERROR(IF(F217&lt;&gt;"pending","",IF(OR($B217="",$B217="(blank)"),"",VLOOKUP($B217,'Email Marketing Raw Data'!$C:$O,11,0))),"")</f>
        <v/>
      </c>
      <c r="F217" s="54" t="str">
        <f>IFERROR(IF(OR($B217="",$B217="(blank)"),"",VLOOKUP($B217,'Email Marketing Raw Data'!$C:$O,13,0)),"")</f>
        <v/>
      </c>
      <c r="G217" s="55" t="str">
        <f>IFERROR(IF(OR($B217="",$B217="(blank)"),"",VLOOKUP($B217,'Email Marketing Raw Data'!$C:$O,4,0)),"")</f>
        <v/>
      </c>
      <c r="H217" s="55" t="str">
        <f>IFERROR(IF(OR($B217="",$B217="(blank)"),"",VLOOKUP($B217,'Email Marketing Raw Data'!$C:$O,5,0)),"")</f>
        <v/>
      </c>
      <c r="I217" s="55" t="str">
        <f>IFERROR(IF($G217="","",VLOOKUP('Dashboard And Emails Automate'!$G217,Database!$H:$N,3,0)),"")</f>
        <v/>
      </c>
      <c r="J217" s="55" t="str">
        <f>IFERROR(IF($G217="","",VLOOKUP('Dashboard And Emails Automate'!$G217,Database!$H:$N,4,0)),"")</f>
        <v/>
      </c>
      <c r="K217" s="55" t="str">
        <f>IFERROR(IF($G217="","",VLOOKUP('Dashboard And Emails Automate'!$G217,Database!$H:$N,5,0)),"")</f>
        <v/>
      </c>
      <c r="L217" s="55" t="str">
        <f>IFERROR(IF($G217="","",VLOOKUP('Dashboard And Emails Automate'!$G217,Database!$H:$N,6,0)),"")</f>
        <v/>
      </c>
      <c r="M217" s="55" t="str">
        <f>IFERROR(IF($G217="","",VLOOKUP('Dashboard And Emails Automate'!$G217,Database!$H:$N,7,0)),"")</f>
        <v/>
      </c>
      <c r="N217" s="55" t="str">
        <f>IFERROR(IF(OR($B217="",$B217="(blank)"),"",VLOOKUP($B217,'Email Marketing Raw Data'!$C:$O,6,0)),"")</f>
        <v/>
      </c>
      <c r="O217" s="55" t="str">
        <f>IFERROR(IF(OR($B217="",$B217="(blank)"),"",VLOOKUP($B217,'Email Marketing Raw Data'!$C:$O,7,0)),"")</f>
        <v/>
      </c>
      <c r="P217" s="55" t="str">
        <f>IFERROR(IF(OR($B217="",$B217="(blank)"),"",VLOOKUP($B217,'Email Marketing Raw Data'!$C:$O,8,0)),"")</f>
        <v/>
      </c>
      <c r="Q217" s="62" t="str">
        <f>IFERROR(IF(OR($B217="",$B217="(blank)"),"",VLOOKUP($B217,'Email Marketing Raw Data'!$C:$O,9,0)),"")</f>
        <v/>
      </c>
    </row>
    <row r="218" spans="4:17" ht="12.75" customHeight="1" x14ac:dyDescent="0.2">
      <c r="D218" s="58" t="str">
        <f>IFERROR(IF(F218&lt;&gt;"pending","",IF(OR($B218="",$B218="(blank)"),"",VLOOKUP($B218,'Email Marketing Raw Data'!$C:$O,10,0))),"")</f>
        <v/>
      </c>
      <c r="E218" s="59" t="str">
        <f>IFERROR(IF(F218&lt;&gt;"pending","",IF(OR($B218="",$B218="(blank)"),"",VLOOKUP($B218,'Email Marketing Raw Data'!$C:$O,11,0))),"")</f>
        <v/>
      </c>
      <c r="F218" s="54" t="str">
        <f>IFERROR(IF(OR($B218="",$B218="(blank)"),"",VLOOKUP($B218,'Email Marketing Raw Data'!$C:$O,13,0)),"")</f>
        <v/>
      </c>
      <c r="G218" s="55" t="str">
        <f>IFERROR(IF(OR($B218="",$B218="(blank)"),"",VLOOKUP($B218,'Email Marketing Raw Data'!$C:$O,4,0)),"")</f>
        <v/>
      </c>
      <c r="H218" s="55" t="str">
        <f>IFERROR(IF(OR($B218="",$B218="(blank)"),"",VLOOKUP($B218,'Email Marketing Raw Data'!$C:$O,5,0)),"")</f>
        <v/>
      </c>
      <c r="I218" s="55" t="str">
        <f>IFERROR(IF($G218="","",VLOOKUP('Dashboard And Emails Automate'!$G218,Database!$H:$N,3,0)),"")</f>
        <v/>
      </c>
      <c r="J218" s="55" t="str">
        <f>IFERROR(IF($G218="","",VLOOKUP('Dashboard And Emails Automate'!$G218,Database!$H:$N,4,0)),"")</f>
        <v/>
      </c>
      <c r="K218" s="55" t="str">
        <f>IFERROR(IF($G218="","",VLOOKUP('Dashboard And Emails Automate'!$G218,Database!$H:$N,5,0)),"")</f>
        <v/>
      </c>
      <c r="L218" s="55" t="str">
        <f>IFERROR(IF($G218="","",VLOOKUP('Dashboard And Emails Automate'!$G218,Database!$H:$N,6,0)),"")</f>
        <v/>
      </c>
      <c r="M218" s="55" t="str">
        <f>IFERROR(IF($G218="","",VLOOKUP('Dashboard And Emails Automate'!$G218,Database!$H:$N,7,0)),"")</f>
        <v/>
      </c>
      <c r="N218" s="55" t="str">
        <f>IFERROR(IF(OR($B218="",$B218="(blank)"),"",VLOOKUP($B218,'Email Marketing Raw Data'!$C:$O,6,0)),"")</f>
        <v/>
      </c>
      <c r="O218" s="55" t="str">
        <f>IFERROR(IF(OR($B218="",$B218="(blank)"),"",VLOOKUP($B218,'Email Marketing Raw Data'!$C:$O,7,0)),"")</f>
        <v/>
      </c>
      <c r="P218" s="55" t="str">
        <f>IFERROR(IF(OR($B218="",$B218="(blank)"),"",VLOOKUP($B218,'Email Marketing Raw Data'!$C:$O,8,0)),"")</f>
        <v/>
      </c>
      <c r="Q218" s="62" t="str">
        <f>IFERROR(IF(OR($B218="",$B218="(blank)"),"",VLOOKUP($B218,'Email Marketing Raw Data'!$C:$O,9,0)),"")</f>
        <v/>
      </c>
    </row>
    <row r="219" spans="4:17" ht="12.75" customHeight="1" x14ac:dyDescent="0.2">
      <c r="D219" s="58" t="str">
        <f>IFERROR(IF(F219&lt;&gt;"pending","",IF(OR($B219="",$B219="(blank)"),"",VLOOKUP($B219,'Email Marketing Raw Data'!$C:$O,10,0))),"")</f>
        <v/>
      </c>
      <c r="E219" s="59" t="str">
        <f>IFERROR(IF(F219&lt;&gt;"pending","",IF(OR($B219="",$B219="(blank)"),"",VLOOKUP($B219,'Email Marketing Raw Data'!$C:$O,11,0))),"")</f>
        <v/>
      </c>
      <c r="F219" s="54" t="str">
        <f>IFERROR(IF(OR($B219="",$B219="(blank)"),"",VLOOKUP($B219,'Email Marketing Raw Data'!$C:$O,13,0)),"")</f>
        <v/>
      </c>
      <c r="G219" s="55" t="str">
        <f>IFERROR(IF(OR($B219="",$B219="(blank)"),"",VLOOKUP($B219,'Email Marketing Raw Data'!$C:$O,4,0)),"")</f>
        <v/>
      </c>
      <c r="H219" s="55" t="str">
        <f>IFERROR(IF(OR($B219="",$B219="(blank)"),"",VLOOKUP($B219,'Email Marketing Raw Data'!$C:$O,5,0)),"")</f>
        <v/>
      </c>
      <c r="I219" s="55" t="str">
        <f>IFERROR(IF($G219="","",VLOOKUP('Dashboard And Emails Automate'!$G219,Database!$H:$N,3,0)),"")</f>
        <v/>
      </c>
      <c r="J219" s="55" t="str">
        <f>IFERROR(IF($G219="","",VLOOKUP('Dashboard And Emails Automate'!$G219,Database!$H:$N,4,0)),"")</f>
        <v/>
      </c>
      <c r="K219" s="55" t="str">
        <f>IFERROR(IF($G219="","",VLOOKUP('Dashboard And Emails Automate'!$G219,Database!$H:$N,5,0)),"")</f>
        <v/>
      </c>
      <c r="L219" s="55" t="str">
        <f>IFERROR(IF($G219="","",VLOOKUP('Dashboard And Emails Automate'!$G219,Database!$H:$N,6,0)),"")</f>
        <v/>
      </c>
      <c r="M219" s="55" t="str">
        <f>IFERROR(IF($G219="","",VLOOKUP('Dashboard And Emails Automate'!$G219,Database!$H:$N,7,0)),"")</f>
        <v/>
      </c>
      <c r="N219" s="55" t="str">
        <f>IFERROR(IF(OR($B219="",$B219="(blank)"),"",VLOOKUP($B219,'Email Marketing Raw Data'!$C:$O,6,0)),"")</f>
        <v/>
      </c>
      <c r="O219" s="55" t="str">
        <f>IFERROR(IF(OR($B219="",$B219="(blank)"),"",VLOOKUP($B219,'Email Marketing Raw Data'!$C:$O,7,0)),"")</f>
        <v/>
      </c>
      <c r="P219" s="55" t="str">
        <f>IFERROR(IF(OR($B219="",$B219="(blank)"),"",VLOOKUP($B219,'Email Marketing Raw Data'!$C:$O,8,0)),"")</f>
        <v/>
      </c>
      <c r="Q219" s="62" t="str">
        <f>IFERROR(IF(OR($B219="",$B219="(blank)"),"",VLOOKUP($B219,'Email Marketing Raw Data'!$C:$O,9,0)),"")</f>
        <v/>
      </c>
    </row>
    <row r="220" spans="4:17" ht="12.75" customHeight="1" x14ac:dyDescent="0.2">
      <c r="D220" s="58" t="str">
        <f>IFERROR(IF(F220&lt;&gt;"pending","",IF(OR($B220="",$B220="(blank)"),"",VLOOKUP($B220,'Email Marketing Raw Data'!$C:$O,10,0))),"")</f>
        <v/>
      </c>
      <c r="E220" s="59" t="str">
        <f>IFERROR(IF(F220&lt;&gt;"pending","",IF(OR($B220="",$B220="(blank)"),"",VLOOKUP($B220,'Email Marketing Raw Data'!$C:$O,11,0))),"")</f>
        <v/>
      </c>
      <c r="F220" s="54" t="str">
        <f>IFERROR(IF(OR($B220="",$B220="(blank)"),"",VLOOKUP($B220,'Email Marketing Raw Data'!$C:$O,13,0)),"")</f>
        <v/>
      </c>
      <c r="G220" s="55" t="str">
        <f>IFERROR(IF(OR($B220="",$B220="(blank)"),"",VLOOKUP($B220,'Email Marketing Raw Data'!$C:$O,4,0)),"")</f>
        <v/>
      </c>
      <c r="H220" s="55" t="str">
        <f>IFERROR(IF(OR($B220="",$B220="(blank)"),"",VLOOKUP($B220,'Email Marketing Raw Data'!$C:$O,5,0)),"")</f>
        <v/>
      </c>
      <c r="I220" s="55" t="str">
        <f>IFERROR(IF($G220="","",VLOOKUP('Dashboard And Emails Automate'!$G220,Database!$H:$N,3,0)),"")</f>
        <v/>
      </c>
      <c r="J220" s="55" t="str">
        <f>IFERROR(IF($G220="","",VLOOKUP('Dashboard And Emails Automate'!$G220,Database!$H:$N,4,0)),"")</f>
        <v/>
      </c>
      <c r="K220" s="55" t="str">
        <f>IFERROR(IF($G220="","",VLOOKUP('Dashboard And Emails Automate'!$G220,Database!$H:$N,5,0)),"")</f>
        <v/>
      </c>
      <c r="L220" s="55" t="str">
        <f>IFERROR(IF($G220="","",VLOOKUP('Dashboard And Emails Automate'!$G220,Database!$H:$N,6,0)),"")</f>
        <v/>
      </c>
      <c r="M220" s="55" t="str">
        <f>IFERROR(IF($G220="","",VLOOKUP('Dashboard And Emails Automate'!$G220,Database!$H:$N,7,0)),"")</f>
        <v/>
      </c>
      <c r="N220" s="55" t="str">
        <f>IFERROR(IF(OR($B220="",$B220="(blank)"),"",VLOOKUP($B220,'Email Marketing Raw Data'!$C:$O,6,0)),"")</f>
        <v/>
      </c>
      <c r="O220" s="55" t="str">
        <f>IFERROR(IF(OR($B220="",$B220="(blank)"),"",VLOOKUP($B220,'Email Marketing Raw Data'!$C:$O,7,0)),"")</f>
        <v/>
      </c>
      <c r="P220" s="55" t="str">
        <f>IFERROR(IF(OR($B220="",$B220="(blank)"),"",VLOOKUP($B220,'Email Marketing Raw Data'!$C:$O,8,0)),"")</f>
        <v/>
      </c>
      <c r="Q220" s="62" t="str">
        <f>IFERROR(IF(OR($B220="",$B220="(blank)"),"",VLOOKUP($B220,'Email Marketing Raw Data'!$C:$O,9,0)),"")</f>
        <v/>
      </c>
    </row>
    <row r="221" spans="4:17" ht="12.75" customHeight="1" x14ac:dyDescent="0.2">
      <c r="D221" s="58" t="str">
        <f>IFERROR(IF(F221&lt;&gt;"pending","",IF(OR($B221="",$B221="(blank)"),"",VLOOKUP($B221,'Email Marketing Raw Data'!$C:$O,10,0))),"")</f>
        <v/>
      </c>
      <c r="E221" s="59" t="str">
        <f>IFERROR(IF(F221&lt;&gt;"pending","",IF(OR($B221="",$B221="(blank)"),"",VLOOKUP($B221,'Email Marketing Raw Data'!$C:$O,11,0))),"")</f>
        <v/>
      </c>
      <c r="F221" s="54" t="str">
        <f>IFERROR(IF(OR($B221="",$B221="(blank)"),"",VLOOKUP($B221,'Email Marketing Raw Data'!$C:$O,13,0)),"")</f>
        <v/>
      </c>
      <c r="G221" s="55" t="str">
        <f>IFERROR(IF(OR($B221="",$B221="(blank)"),"",VLOOKUP($B221,'Email Marketing Raw Data'!$C:$O,4,0)),"")</f>
        <v/>
      </c>
      <c r="H221" s="55" t="str">
        <f>IFERROR(IF(OR($B221="",$B221="(blank)"),"",VLOOKUP($B221,'Email Marketing Raw Data'!$C:$O,5,0)),"")</f>
        <v/>
      </c>
      <c r="I221" s="55" t="str">
        <f>IFERROR(IF($G221="","",VLOOKUP('Dashboard And Emails Automate'!$G221,Database!$H:$N,3,0)),"")</f>
        <v/>
      </c>
      <c r="J221" s="55" t="str">
        <f>IFERROR(IF($G221="","",VLOOKUP('Dashboard And Emails Automate'!$G221,Database!$H:$N,4,0)),"")</f>
        <v/>
      </c>
      <c r="K221" s="55" t="str">
        <f>IFERROR(IF($G221="","",VLOOKUP('Dashboard And Emails Automate'!$G221,Database!$H:$N,5,0)),"")</f>
        <v/>
      </c>
      <c r="L221" s="55" t="str">
        <f>IFERROR(IF($G221="","",VLOOKUP('Dashboard And Emails Automate'!$G221,Database!$H:$N,6,0)),"")</f>
        <v/>
      </c>
      <c r="M221" s="55" t="str">
        <f>IFERROR(IF($G221="","",VLOOKUP('Dashboard And Emails Automate'!$G221,Database!$H:$N,7,0)),"")</f>
        <v/>
      </c>
      <c r="N221" s="55" t="str">
        <f>IFERROR(IF(OR($B221="",$B221="(blank)"),"",VLOOKUP($B221,'Email Marketing Raw Data'!$C:$O,6,0)),"")</f>
        <v/>
      </c>
      <c r="O221" s="55" t="str">
        <f>IFERROR(IF(OR($B221="",$B221="(blank)"),"",VLOOKUP($B221,'Email Marketing Raw Data'!$C:$O,7,0)),"")</f>
        <v/>
      </c>
      <c r="P221" s="55" t="str">
        <f>IFERROR(IF(OR($B221="",$B221="(blank)"),"",VLOOKUP($B221,'Email Marketing Raw Data'!$C:$O,8,0)),"")</f>
        <v/>
      </c>
      <c r="Q221" s="62" t="str">
        <f>IFERROR(IF(OR($B221="",$B221="(blank)"),"",VLOOKUP($B221,'Email Marketing Raw Data'!$C:$O,9,0)),"")</f>
        <v/>
      </c>
    </row>
    <row r="222" spans="4:17" ht="12.75" customHeight="1" x14ac:dyDescent="0.2">
      <c r="D222" s="58" t="str">
        <f>IFERROR(IF(F222&lt;&gt;"pending","",IF(OR($B222="",$B222="(blank)"),"",VLOOKUP($B222,'Email Marketing Raw Data'!$C:$O,10,0))),"")</f>
        <v/>
      </c>
      <c r="E222" s="59" t="str">
        <f>IFERROR(IF(F222&lt;&gt;"pending","",IF(OR($B222="",$B222="(blank)"),"",VLOOKUP($B222,'Email Marketing Raw Data'!$C:$O,11,0))),"")</f>
        <v/>
      </c>
      <c r="F222" s="54" t="str">
        <f>IFERROR(IF(OR($B222="",$B222="(blank)"),"",VLOOKUP($B222,'Email Marketing Raw Data'!$C:$O,13,0)),"")</f>
        <v/>
      </c>
      <c r="G222" s="55" t="str">
        <f>IFERROR(IF(OR($B222="",$B222="(blank)"),"",VLOOKUP($B222,'Email Marketing Raw Data'!$C:$O,4,0)),"")</f>
        <v/>
      </c>
      <c r="H222" s="55" t="str">
        <f>IFERROR(IF(OR($B222="",$B222="(blank)"),"",VLOOKUP($B222,'Email Marketing Raw Data'!$C:$O,5,0)),"")</f>
        <v/>
      </c>
      <c r="I222" s="55" t="str">
        <f>IFERROR(IF($G222="","",VLOOKUP('Dashboard And Emails Automate'!$G222,Database!$H:$N,3,0)),"")</f>
        <v/>
      </c>
      <c r="J222" s="55" t="str">
        <f>IFERROR(IF($G222="","",VLOOKUP('Dashboard And Emails Automate'!$G222,Database!$H:$N,4,0)),"")</f>
        <v/>
      </c>
      <c r="K222" s="55" t="str">
        <f>IFERROR(IF($G222="","",VLOOKUP('Dashboard And Emails Automate'!$G222,Database!$H:$N,5,0)),"")</f>
        <v/>
      </c>
      <c r="L222" s="55" t="str">
        <f>IFERROR(IF($G222="","",VLOOKUP('Dashboard And Emails Automate'!$G222,Database!$H:$N,6,0)),"")</f>
        <v/>
      </c>
      <c r="M222" s="55" t="str">
        <f>IFERROR(IF($G222="","",VLOOKUP('Dashboard And Emails Automate'!$G222,Database!$H:$N,7,0)),"")</f>
        <v/>
      </c>
      <c r="N222" s="55" t="str">
        <f>IFERROR(IF(OR($B222="",$B222="(blank)"),"",VLOOKUP($B222,'Email Marketing Raw Data'!$C:$O,6,0)),"")</f>
        <v/>
      </c>
      <c r="O222" s="55" t="str">
        <f>IFERROR(IF(OR($B222="",$B222="(blank)"),"",VLOOKUP($B222,'Email Marketing Raw Data'!$C:$O,7,0)),"")</f>
        <v/>
      </c>
      <c r="P222" s="55" t="str">
        <f>IFERROR(IF(OR($B222="",$B222="(blank)"),"",VLOOKUP($B222,'Email Marketing Raw Data'!$C:$O,8,0)),"")</f>
        <v/>
      </c>
      <c r="Q222" s="62" t="str">
        <f>IFERROR(IF(OR($B222="",$B222="(blank)"),"",VLOOKUP($B222,'Email Marketing Raw Data'!$C:$O,9,0)),"")</f>
        <v/>
      </c>
    </row>
    <row r="223" spans="4:17" ht="12.75" customHeight="1" x14ac:dyDescent="0.2">
      <c r="D223" s="58" t="str">
        <f>IFERROR(IF(F223&lt;&gt;"pending","",IF(OR($B223="",$B223="(blank)"),"",VLOOKUP($B223,'Email Marketing Raw Data'!$C:$O,10,0))),"")</f>
        <v/>
      </c>
      <c r="E223" s="59" t="str">
        <f>IFERROR(IF(F223&lt;&gt;"pending","",IF(OR($B223="",$B223="(blank)"),"",VLOOKUP($B223,'Email Marketing Raw Data'!$C:$O,11,0))),"")</f>
        <v/>
      </c>
      <c r="F223" s="54" t="str">
        <f>IFERROR(IF(OR($B223="",$B223="(blank)"),"",VLOOKUP($B223,'Email Marketing Raw Data'!$C:$O,13,0)),"")</f>
        <v/>
      </c>
      <c r="G223" s="55" t="str">
        <f>IFERROR(IF(OR($B223="",$B223="(blank)"),"",VLOOKUP($B223,'Email Marketing Raw Data'!$C:$O,4,0)),"")</f>
        <v/>
      </c>
      <c r="H223" s="55" t="str">
        <f>IFERROR(IF(OR($B223="",$B223="(blank)"),"",VLOOKUP($B223,'Email Marketing Raw Data'!$C:$O,5,0)),"")</f>
        <v/>
      </c>
      <c r="I223" s="55" t="str">
        <f>IFERROR(IF($G223="","",VLOOKUP('Dashboard And Emails Automate'!$G223,Database!$H:$N,3,0)),"")</f>
        <v/>
      </c>
      <c r="J223" s="55" t="str">
        <f>IFERROR(IF($G223="","",VLOOKUP('Dashboard And Emails Automate'!$G223,Database!$H:$N,4,0)),"")</f>
        <v/>
      </c>
      <c r="K223" s="55" t="str">
        <f>IFERROR(IF($G223="","",VLOOKUP('Dashboard And Emails Automate'!$G223,Database!$H:$N,5,0)),"")</f>
        <v/>
      </c>
      <c r="L223" s="55" t="str">
        <f>IFERROR(IF($G223="","",VLOOKUP('Dashboard And Emails Automate'!$G223,Database!$H:$N,6,0)),"")</f>
        <v/>
      </c>
      <c r="M223" s="55" t="str">
        <f>IFERROR(IF($G223="","",VLOOKUP('Dashboard And Emails Automate'!$G223,Database!$H:$N,7,0)),"")</f>
        <v/>
      </c>
      <c r="N223" s="55" t="str">
        <f>IFERROR(IF(OR($B223="",$B223="(blank)"),"",VLOOKUP($B223,'Email Marketing Raw Data'!$C:$O,6,0)),"")</f>
        <v/>
      </c>
      <c r="O223" s="55" t="str">
        <f>IFERROR(IF(OR($B223="",$B223="(blank)"),"",VLOOKUP($B223,'Email Marketing Raw Data'!$C:$O,7,0)),"")</f>
        <v/>
      </c>
      <c r="P223" s="55" t="str">
        <f>IFERROR(IF(OR($B223="",$B223="(blank)"),"",VLOOKUP($B223,'Email Marketing Raw Data'!$C:$O,8,0)),"")</f>
        <v/>
      </c>
      <c r="Q223" s="62" t="str">
        <f>IFERROR(IF(OR($B223="",$B223="(blank)"),"",VLOOKUP($B223,'Email Marketing Raw Data'!$C:$O,9,0)),"")</f>
        <v/>
      </c>
    </row>
    <row r="224" spans="4:17" ht="12.75" customHeight="1" x14ac:dyDescent="0.2">
      <c r="D224" s="58" t="str">
        <f>IFERROR(IF(F224&lt;&gt;"pending","",IF(OR($B224="",$B224="(blank)"),"",VLOOKUP($B224,'Email Marketing Raw Data'!$C:$O,10,0))),"")</f>
        <v/>
      </c>
      <c r="E224" s="59" t="str">
        <f>IFERROR(IF(F224&lt;&gt;"pending","",IF(OR($B224="",$B224="(blank)"),"",VLOOKUP($B224,'Email Marketing Raw Data'!$C:$O,11,0))),"")</f>
        <v/>
      </c>
      <c r="F224" s="54" t="str">
        <f>IFERROR(IF(OR($B224="",$B224="(blank)"),"",VLOOKUP($B224,'Email Marketing Raw Data'!$C:$O,13,0)),"")</f>
        <v/>
      </c>
      <c r="G224" s="55" t="str">
        <f>IFERROR(IF(OR($B224="",$B224="(blank)"),"",VLOOKUP($B224,'Email Marketing Raw Data'!$C:$O,4,0)),"")</f>
        <v/>
      </c>
      <c r="H224" s="55" t="str">
        <f>IFERROR(IF(OR($B224="",$B224="(blank)"),"",VLOOKUP($B224,'Email Marketing Raw Data'!$C:$O,5,0)),"")</f>
        <v/>
      </c>
      <c r="I224" s="55" t="str">
        <f>IFERROR(IF($G224="","",VLOOKUP('Dashboard And Emails Automate'!$G224,Database!$H:$N,3,0)),"")</f>
        <v/>
      </c>
      <c r="J224" s="55" t="str">
        <f>IFERROR(IF($G224="","",VLOOKUP('Dashboard And Emails Automate'!$G224,Database!$H:$N,4,0)),"")</f>
        <v/>
      </c>
      <c r="K224" s="55" t="str">
        <f>IFERROR(IF($G224="","",VLOOKUP('Dashboard And Emails Automate'!$G224,Database!$H:$N,5,0)),"")</f>
        <v/>
      </c>
      <c r="L224" s="55" t="str">
        <f>IFERROR(IF($G224="","",VLOOKUP('Dashboard And Emails Automate'!$G224,Database!$H:$N,6,0)),"")</f>
        <v/>
      </c>
      <c r="M224" s="55" t="str">
        <f>IFERROR(IF($G224="","",VLOOKUP('Dashboard And Emails Automate'!$G224,Database!$H:$N,7,0)),"")</f>
        <v/>
      </c>
      <c r="N224" s="55" t="str">
        <f>IFERROR(IF(OR($B224="",$B224="(blank)"),"",VLOOKUP($B224,'Email Marketing Raw Data'!$C:$O,6,0)),"")</f>
        <v/>
      </c>
      <c r="O224" s="55" t="str">
        <f>IFERROR(IF(OR($B224="",$B224="(blank)"),"",VLOOKUP($B224,'Email Marketing Raw Data'!$C:$O,7,0)),"")</f>
        <v/>
      </c>
      <c r="P224" s="55" t="str">
        <f>IFERROR(IF(OR($B224="",$B224="(blank)"),"",VLOOKUP($B224,'Email Marketing Raw Data'!$C:$O,8,0)),"")</f>
        <v/>
      </c>
      <c r="Q224" s="62" t="str">
        <f>IFERROR(IF(OR($B224="",$B224="(blank)"),"",VLOOKUP($B224,'Email Marketing Raw Data'!$C:$O,9,0)),"")</f>
        <v/>
      </c>
    </row>
    <row r="225" spans="4:17" ht="12.75" customHeight="1" x14ac:dyDescent="0.2">
      <c r="D225" s="58" t="str">
        <f>IFERROR(IF(F225&lt;&gt;"pending","",IF(OR($B225="",$B225="(blank)"),"",VLOOKUP($B225,'Email Marketing Raw Data'!$C:$O,10,0))),"")</f>
        <v/>
      </c>
      <c r="E225" s="59" t="str">
        <f>IFERROR(IF(F225&lt;&gt;"pending","",IF(OR($B225="",$B225="(blank)"),"",VLOOKUP($B225,'Email Marketing Raw Data'!$C:$O,11,0))),"")</f>
        <v/>
      </c>
      <c r="F225" s="54" t="str">
        <f>IFERROR(IF(OR($B225="",$B225="(blank)"),"",VLOOKUP($B225,'Email Marketing Raw Data'!$C:$O,13,0)),"")</f>
        <v/>
      </c>
      <c r="G225" s="55" t="str">
        <f>IFERROR(IF(OR($B225="",$B225="(blank)"),"",VLOOKUP($B225,'Email Marketing Raw Data'!$C:$O,4,0)),"")</f>
        <v/>
      </c>
      <c r="H225" s="55" t="str">
        <f>IFERROR(IF(OR($B225="",$B225="(blank)"),"",VLOOKUP($B225,'Email Marketing Raw Data'!$C:$O,5,0)),"")</f>
        <v/>
      </c>
      <c r="I225" s="55" t="str">
        <f>IFERROR(IF($G225="","",VLOOKUP('Dashboard And Emails Automate'!$G225,Database!$H:$N,3,0)),"")</f>
        <v/>
      </c>
      <c r="J225" s="55" t="str">
        <f>IFERROR(IF($G225="","",VLOOKUP('Dashboard And Emails Automate'!$G225,Database!$H:$N,4,0)),"")</f>
        <v/>
      </c>
      <c r="K225" s="55" t="str">
        <f>IFERROR(IF($G225="","",VLOOKUP('Dashboard And Emails Automate'!$G225,Database!$H:$N,5,0)),"")</f>
        <v/>
      </c>
      <c r="L225" s="55" t="str">
        <f>IFERROR(IF($G225="","",VLOOKUP('Dashboard And Emails Automate'!$G225,Database!$H:$N,6,0)),"")</f>
        <v/>
      </c>
      <c r="M225" s="55" t="str">
        <f>IFERROR(IF($G225="","",VLOOKUP('Dashboard And Emails Automate'!$G225,Database!$H:$N,7,0)),"")</f>
        <v/>
      </c>
      <c r="N225" s="55" t="str">
        <f>IFERROR(IF(OR($B225="",$B225="(blank)"),"",VLOOKUP($B225,'Email Marketing Raw Data'!$C:$O,6,0)),"")</f>
        <v/>
      </c>
      <c r="O225" s="55" t="str">
        <f>IFERROR(IF(OR($B225="",$B225="(blank)"),"",VLOOKUP($B225,'Email Marketing Raw Data'!$C:$O,7,0)),"")</f>
        <v/>
      </c>
      <c r="P225" s="55" t="str">
        <f>IFERROR(IF(OR($B225="",$B225="(blank)"),"",VLOOKUP($B225,'Email Marketing Raw Data'!$C:$O,8,0)),"")</f>
        <v/>
      </c>
      <c r="Q225" s="62" t="str">
        <f>IFERROR(IF(OR($B225="",$B225="(blank)"),"",VLOOKUP($B225,'Email Marketing Raw Data'!$C:$O,9,0)),"")</f>
        <v/>
      </c>
    </row>
    <row r="226" spans="4:17" ht="12.75" customHeight="1" x14ac:dyDescent="0.2">
      <c r="D226" s="58" t="str">
        <f>IFERROR(IF(F226&lt;&gt;"pending","",IF(OR($B226="",$B226="(blank)"),"",VLOOKUP($B226,'Email Marketing Raw Data'!$C:$O,10,0))),"")</f>
        <v/>
      </c>
      <c r="E226" s="59" t="str">
        <f>IFERROR(IF(F226&lt;&gt;"pending","",IF(OR($B226="",$B226="(blank)"),"",VLOOKUP($B226,'Email Marketing Raw Data'!$C:$O,11,0))),"")</f>
        <v/>
      </c>
      <c r="F226" s="54" t="str">
        <f>IFERROR(IF(OR($B226="",$B226="(blank)"),"",VLOOKUP($B226,'Email Marketing Raw Data'!$C:$O,13,0)),"")</f>
        <v/>
      </c>
      <c r="G226" s="55" t="str">
        <f>IFERROR(IF(OR($B226="",$B226="(blank)"),"",VLOOKUP($B226,'Email Marketing Raw Data'!$C:$O,4,0)),"")</f>
        <v/>
      </c>
      <c r="H226" s="55" t="str">
        <f>IFERROR(IF(OR($B226="",$B226="(blank)"),"",VLOOKUP($B226,'Email Marketing Raw Data'!$C:$O,5,0)),"")</f>
        <v/>
      </c>
      <c r="I226" s="55" t="str">
        <f>IFERROR(IF($G226="","",VLOOKUP('Dashboard And Emails Automate'!$G226,Database!$H:$N,3,0)),"")</f>
        <v/>
      </c>
      <c r="J226" s="55" t="str">
        <f>IFERROR(IF($G226="","",VLOOKUP('Dashboard And Emails Automate'!$G226,Database!$H:$N,4,0)),"")</f>
        <v/>
      </c>
      <c r="K226" s="55" t="str">
        <f>IFERROR(IF($G226="","",VLOOKUP('Dashboard And Emails Automate'!$G226,Database!$H:$N,5,0)),"")</f>
        <v/>
      </c>
      <c r="L226" s="55" t="str">
        <f>IFERROR(IF($G226="","",VLOOKUP('Dashboard And Emails Automate'!$G226,Database!$H:$N,6,0)),"")</f>
        <v/>
      </c>
      <c r="M226" s="55" t="str">
        <f>IFERROR(IF($G226="","",VLOOKUP('Dashboard And Emails Automate'!$G226,Database!$H:$N,7,0)),"")</f>
        <v/>
      </c>
      <c r="N226" s="55" t="str">
        <f>IFERROR(IF(OR($B226="",$B226="(blank)"),"",VLOOKUP($B226,'Email Marketing Raw Data'!$C:$O,6,0)),"")</f>
        <v/>
      </c>
      <c r="O226" s="55" t="str">
        <f>IFERROR(IF(OR($B226="",$B226="(blank)"),"",VLOOKUP($B226,'Email Marketing Raw Data'!$C:$O,7,0)),"")</f>
        <v/>
      </c>
      <c r="P226" s="55" t="str">
        <f>IFERROR(IF(OR($B226="",$B226="(blank)"),"",VLOOKUP($B226,'Email Marketing Raw Data'!$C:$O,8,0)),"")</f>
        <v/>
      </c>
      <c r="Q226" s="62" t="str">
        <f>IFERROR(IF(OR($B226="",$B226="(blank)"),"",VLOOKUP($B226,'Email Marketing Raw Data'!$C:$O,9,0)),"")</f>
        <v/>
      </c>
    </row>
    <row r="227" spans="4:17" ht="12.75" customHeight="1" x14ac:dyDescent="0.2">
      <c r="D227" s="58" t="str">
        <f>IFERROR(IF(F227&lt;&gt;"pending","",IF(OR($B227="",$B227="(blank)"),"",VLOOKUP($B227,'Email Marketing Raw Data'!$C:$O,10,0))),"")</f>
        <v/>
      </c>
      <c r="E227" s="59" t="str">
        <f>IFERROR(IF(F227&lt;&gt;"pending","",IF(OR($B227="",$B227="(blank)"),"",VLOOKUP($B227,'Email Marketing Raw Data'!$C:$O,11,0))),"")</f>
        <v/>
      </c>
      <c r="F227" s="54" t="str">
        <f>IFERROR(IF(OR($B227="",$B227="(blank)"),"",VLOOKUP($B227,'Email Marketing Raw Data'!$C:$O,13,0)),"")</f>
        <v/>
      </c>
      <c r="G227" s="55" t="str">
        <f>IFERROR(IF(OR($B227="",$B227="(blank)"),"",VLOOKUP($B227,'Email Marketing Raw Data'!$C:$O,4,0)),"")</f>
        <v/>
      </c>
      <c r="H227" s="55" t="str">
        <f>IFERROR(IF(OR($B227="",$B227="(blank)"),"",VLOOKUP($B227,'Email Marketing Raw Data'!$C:$O,5,0)),"")</f>
        <v/>
      </c>
      <c r="I227" s="55" t="str">
        <f>IFERROR(IF($G227="","",VLOOKUP('Dashboard And Emails Automate'!$G227,Database!$H:$N,3,0)),"")</f>
        <v/>
      </c>
      <c r="J227" s="55" t="str">
        <f>IFERROR(IF($G227="","",VLOOKUP('Dashboard And Emails Automate'!$G227,Database!$H:$N,4,0)),"")</f>
        <v/>
      </c>
      <c r="K227" s="55" t="str">
        <f>IFERROR(IF($G227="","",VLOOKUP('Dashboard And Emails Automate'!$G227,Database!$H:$N,5,0)),"")</f>
        <v/>
      </c>
      <c r="L227" s="55" t="str">
        <f>IFERROR(IF($G227="","",VLOOKUP('Dashboard And Emails Automate'!$G227,Database!$H:$N,6,0)),"")</f>
        <v/>
      </c>
      <c r="M227" s="55" t="str">
        <f>IFERROR(IF($G227="","",VLOOKUP('Dashboard And Emails Automate'!$G227,Database!$H:$N,7,0)),"")</f>
        <v/>
      </c>
      <c r="N227" s="55" t="str">
        <f>IFERROR(IF(OR($B227="",$B227="(blank)"),"",VLOOKUP($B227,'Email Marketing Raw Data'!$C:$O,6,0)),"")</f>
        <v/>
      </c>
      <c r="O227" s="55" t="str">
        <f>IFERROR(IF(OR($B227="",$B227="(blank)"),"",VLOOKUP($B227,'Email Marketing Raw Data'!$C:$O,7,0)),"")</f>
        <v/>
      </c>
      <c r="P227" s="55" t="str">
        <f>IFERROR(IF(OR($B227="",$B227="(blank)"),"",VLOOKUP($B227,'Email Marketing Raw Data'!$C:$O,8,0)),"")</f>
        <v/>
      </c>
      <c r="Q227" s="62" t="str">
        <f>IFERROR(IF(OR($B227="",$B227="(blank)"),"",VLOOKUP($B227,'Email Marketing Raw Data'!$C:$O,9,0)),"")</f>
        <v/>
      </c>
    </row>
    <row r="228" spans="4:17" ht="12.75" customHeight="1" x14ac:dyDescent="0.2">
      <c r="D228" s="58" t="str">
        <f>IFERROR(IF(F228&lt;&gt;"pending","",IF(OR($B228="",$B228="(blank)"),"",VLOOKUP($B228,'Email Marketing Raw Data'!$C:$O,10,0))),"")</f>
        <v/>
      </c>
      <c r="E228" s="59" t="str">
        <f>IFERROR(IF(F228&lt;&gt;"pending","",IF(OR($B228="",$B228="(blank)"),"",VLOOKUP($B228,'Email Marketing Raw Data'!$C:$O,11,0))),"")</f>
        <v/>
      </c>
      <c r="F228" s="54" t="str">
        <f>IFERROR(IF(OR($B228="",$B228="(blank)"),"",VLOOKUP($B228,'Email Marketing Raw Data'!$C:$O,13,0)),"")</f>
        <v/>
      </c>
      <c r="G228" s="55" t="str">
        <f>IFERROR(IF(OR($B228="",$B228="(blank)"),"",VLOOKUP($B228,'Email Marketing Raw Data'!$C:$O,4,0)),"")</f>
        <v/>
      </c>
      <c r="H228" s="55" t="str">
        <f>IFERROR(IF(OR($B228="",$B228="(blank)"),"",VLOOKUP($B228,'Email Marketing Raw Data'!$C:$O,5,0)),"")</f>
        <v/>
      </c>
      <c r="I228" s="55" t="str">
        <f>IFERROR(IF($G228="","",VLOOKUP('Dashboard And Emails Automate'!$G228,Database!$H:$N,3,0)),"")</f>
        <v/>
      </c>
      <c r="J228" s="55" t="str">
        <f>IFERROR(IF($G228="","",VLOOKUP('Dashboard And Emails Automate'!$G228,Database!$H:$N,4,0)),"")</f>
        <v/>
      </c>
      <c r="K228" s="55" t="str">
        <f>IFERROR(IF($G228="","",VLOOKUP('Dashboard And Emails Automate'!$G228,Database!$H:$N,5,0)),"")</f>
        <v/>
      </c>
      <c r="L228" s="55" t="str">
        <f>IFERROR(IF($G228="","",VLOOKUP('Dashboard And Emails Automate'!$G228,Database!$H:$N,6,0)),"")</f>
        <v/>
      </c>
      <c r="M228" s="55" t="str">
        <f>IFERROR(IF($G228="","",VLOOKUP('Dashboard And Emails Automate'!$G228,Database!$H:$N,7,0)),"")</f>
        <v/>
      </c>
      <c r="N228" s="55" t="str">
        <f>IFERROR(IF(OR($B228="",$B228="(blank)"),"",VLOOKUP($B228,'Email Marketing Raw Data'!$C:$O,6,0)),"")</f>
        <v/>
      </c>
      <c r="O228" s="55" t="str">
        <f>IFERROR(IF(OR($B228="",$B228="(blank)"),"",VLOOKUP($B228,'Email Marketing Raw Data'!$C:$O,7,0)),"")</f>
        <v/>
      </c>
      <c r="P228" s="55" t="str">
        <f>IFERROR(IF(OR($B228="",$B228="(blank)"),"",VLOOKUP($B228,'Email Marketing Raw Data'!$C:$O,8,0)),"")</f>
        <v/>
      </c>
      <c r="Q228" s="62" t="str">
        <f>IFERROR(IF(OR($B228="",$B228="(blank)"),"",VLOOKUP($B228,'Email Marketing Raw Data'!$C:$O,9,0)),"")</f>
        <v/>
      </c>
    </row>
    <row r="229" spans="4:17" ht="12.75" customHeight="1" x14ac:dyDescent="0.2">
      <c r="D229" s="58" t="str">
        <f>IFERROR(IF(F229&lt;&gt;"pending","",IF(OR($B229="",$B229="(blank)"),"",VLOOKUP($B229,'Email Marketing Raw Data'!$C:$O,10,0))),"")</f>
        <v/>
      </c>
      <c r="E229" s="59" t="str">
        <f>IFERROR(IF(F229&lt;&gt;"pending","",IF(OR($B229="",$B229="(blank)"),"",VLOOKUP($B229,'Email Marketing Raw Data'!$C:$O,11,0))),"")</f>
        <v/>
      </c>
      <c r="F229" s="54" t="str">
        <f>IFERROR(IF(OR($B229="",$B229="(blank)"),"",VLOOKUP($B229,'Email Marketing Raw Data'!$C:$O,13,0)),"")</f>
        <v/>
      </c>
      <c r="G229" s="55" t="str">
        <f>IFERROR(IF(OR($B229="",$B229="(blank)"),"",VLOOKUP($B229,'Email Marketing Raw Data'!$C:$O,4,0)),"")</f>
        <v/>
      </c>
      <c r="H229" s="55" t="str">
        <f>IFERROR(IF(OR($B229="",$B229="(blank)"),"",VLOOKUP($B229,'Email Marketing Raw Data'!$C:$O,5,0)),"")</f>
        <v/>
      </c>
      <c r="I229" s="55" t="str">
        <f>IFERROR(IF($G229="","",VLOOKUP('Dashboard And Emails Automate'!$G229,Database!$H:$N,3,0)),"")</f>
        <v/>
      </c>
      <c r="J229" s="55" t="str">
        <f>IFERROR(IF($G229="","",VLOOKUP('Dashboard And Emails Automate'!$G229,Database!$H:$N,4,0)),"")</f>
        <v/>
      </c>
      <c r="K229" s="55" t="str">
        <f>IFERROR(IF($G229="","",VLOOKUP('Dashboard And Emails Automate'!$G229,Database!$H:$N,5,0)),"")</f>
        <v/>
      </c>
      <c r="L229" s="55" t="str">
        <f>IFERROR(IF($G229="","",VLOOKUP('Dashboard And Emails Automate'!$G229,Database!$H:$N,6,0)),"")</f>
        <v/>
      </c>
      <c r="M229" s="55" t="str">
        <f>IFERROR(IF($G229="","",VLOOKUP('Dashboard And Emails Automate'!$G229,Database!$H:$N,7,0)),"")</f>
        <v/>
      </c>
      <c r="N229" s="55" t="str">
        <f>IFERROR(IF(OR($B229="",$B229="(blank)"),"",VLOOKUP($B229,'Email Marketing Raw Data'!$C:$O,6,0)),"")</f>
        <v/>
      </c>
      <c r="O229" s="55" t="str">
        <f>IFERROR(IF(OR($B229="",$B229="(blank)"),"",VLOOKUP($B229,'Email Marketing Raw Data'!$C:$O,7,0)),"")</f>
        <v/>
      </c>
      <c r="P229" s="55" t="str">
        <f>IFERROR(IF(OR($B229="",$B229="(blank)"),"",VLOOKUP($B229,'Email Marketing Raw Data'!$C:$O,8,0)),"")</f>
        <v/>
      </c>
      <c r="Q229" s="62" t="str">
        <f>IFERROR(IF(OR($B229="",$B229="(blank)"),"",VLOOKUP($B229,'Email Marketing Raw Data'!$C:$O,9,0)),"")</f>
        <v/>
      </c>
    </row>
    <row r="230" spans="4:17" ht="12.75" customHeight="1" x14ac:dyDescent="0.2">
      <c r="D230" s="58" t="str">
        <f>IFERROR(IF(F230&lt;&gt;"pending","",IF(OR($B230="",$B230="(blank)"),"",VLOOKUP($B230,'Email Marketing Raw Data'!$C:$O,10,0))),"")</f>
        <v/>
      </c>
      <c r="E230" s="59" t="str">
        <f>IFERROR(IF(F230&lt;&gt;"pending","",IF(OR($B230="",$B230="(blank)"),"",VLOOKUP($B230,'Email Marketing Raw Data'!$C:$O,11,0))),"")</f>
        <v/>
      </c>
      <c r="F230" s="54" t="str">
        <f>IFERROR(IF(OR($B230="",$B230="(blank)"),"",VLOOKUP($B230,'Email Marketing Raw Data'!$C:$O,13,0)),"")</f>
        <v/>
      </c>
      <c r="G230" s="55" t="str">
        <f>IFERROR(IF(OR($B230="",$B230="(blank)"),"",VLOOKUP($B230,'Email Marketing Raw Data'!$C:$O,4,0)),"")</f>
        <v/>
      </c>
      <c r="H230" s="55" t="str">
        <f>IFERROR(IF(OR($B230="",$B230="(blank)"),"",VLOOKUP($B230,'Email Marketing Raw Data'!$C:$O,5,0)),"")</f>
        <v/>
      </c>
      <c r="I230" s="55" t="str">
        <f>IFERROR(IF($G230="","",VLOOKUP('Dashboard And Emails Automate'!$G230,Database!$H:$N,3,0)),"")</f>
        <v/>
      </c>
      <c r="J230" s="55" t="str">
        <f>IFERROR(IF($G230="","",VLOOKUP('Dashboard And Emails Automate'!$G230,Database!$H:$N,4,0)),"")</f>
        <v/>
      </c>
      <c r="K230" s="55" t="str">
        <f>IFERROR(IF($G230="","",VLOOKUP('Dashboard And Emails Automate'!$G230,Database!$H:$N,5,0)),"")</f>
        <v/>
      </c>
      <c r="L230" s="55" t="str">
        <f>IFERROR(IF($G230="","",VLOOKUP('Dashboard And Emails Automate'!$G230,Database!$H:$N,6,0)),"")</f>
        <v/>
      </c>
      <c r="M230" s="55" t="str">
        <f>IFERROR(IF($G230="","",VLOOKUP('Dashboard And Emails Automate'!$G230,Database!$H:$N,7,0)),"")</f>
        <v/>
      </c>
      <c r="N230" s="55" t="str">
        <f>IFERROR(IF(OR($B230="",$B230="(blank)"),"",VLOOKUP($B230,'Email Marketing Raw Data'!$C:$O,6,0)),"")</f>
        <v/>
      </c>
      <c r="O230" s="55" t="str">
        <f>IFERROR(IF(OR($B230="",$B230="(blank)"),"",VLOOKUP($B230,'Email Marketing Raw Data'!$C:$O,7,0)),"")</f>
        <v/>
      </c>
      <c r="P230" s="55" t="str">
        <f>IFERROR(IF(OR($B230="",$B230="(blank)"),"",VLOOKUP($B230,'Email Marketing Raw Data'!$C:$O,8,0)),"")</f>
        <v/>
      </c>
      <c r="Q230" s="62" t="str">
        <f>IFERROR(IF(OR($B230="",$B230="(blank)"),"",VLOOKUP($B230,'Email Marketing Raw Data'!$C:$O,9,0)),"")</f>
        <v/>
      </c>
    </row>
    <row r="231" spans="4:17" ht="12.75" customHeight="1" x14ac:dyDescent="0.2">
      <c r="D231" s="58" t="str">
        <f>IFERROR(IF(F231&lt;&gt;"pending","",IF(OR($B231="",$B231="(blank)"),"",VLOOKUP($B231,'Email Marketing Raw Data'!$C:$O,10,0))),"")</f>
        <v/>
      </c>
      <c r="E231" s="59" t="str">
        <f>IFERROR(IF(F231&lt;&gt;"pending","",IF(OR($B231="",$B231="(blank)"),"",VLOOKUP($B231,'Email Marketing Raw Data'!$C:$O,11,0))),"")</f>
        <v/>
      </c>
      <c r="F231" s="54" t="str">
        <f>IFERROR(IF(OR($B231="",$B231="(blank)"),"",VLOOKUP($B231,'Email Marketing Raw Data'!$C:$O,13,0)),"")</f>
        <v/>
      </c>
      <c r="G231" s="55" t="str">
        <f>IFERROR(IF(OR($B231="",$B231="(blank)"),"",VLOOKUP($B231,'Email Marketing Raw Data'!$C:$O,4,0)),"")</f>
        <v/>
      </c>
      <c r="H231" s="55" t="str">
        <f>IFERROR(IF(OR($B231="",$B231="(blank)"),"",VLOOKUP($B231,'Email Marketing Raw Data'!$C:$O,5,0)),"")</f>
        <v/>
      </c>
      <c r="I231" s="55" t="str">
        <f>IFERROR(IF($G231="","",VLOOKUP('Dashboard And Emails Automate'!$G231,Database!$H:$N,3,0)),"")</f>
        <v/>
      </c>
      <c r="J231" s="55" t="str">
        <f>IFERROR(IF($G231="","",VLOOKUP('Dashboard And Emails Automate'!$G231,Database!$H:$N,4,0)),"")</f>
        <v/>
      </c>
      <c r="K231" s="55" t="str">
        <f>IFERROR(IF($G231="","",VLOOKUP('Dashboard And Emails Automate'!$G231,Database!$H:$N,5,0)),"")</f>
        <v/>
      </c>
      <c r="L231" s="55" t="str">
        <f>IFERROR(IF($G231="","",VLOOKUP('Dashboard And Emails Automate'!$G231,Database!$H:$N,6,0)),"")</f>
        <v/>
      </c>
      <c r="M231" s="55" t="str">
        <f>IFERROR(IF($G231="","",VLOOKUP('Dashboard And Emails Automate'!$G231,Database!$H:$N,7,0)),"")</f>
        <v/>
      </c>
      <c r="N231" s="55" t="str">
        <f>IFERROR(IF(OR($B231="",$B231="(blank)"),"",VLOOKUP($B231,'Email Marketing Raw Data'!$C:$O,6,0)),"")</f>
        <v/>
      </c>
      <c r="O231" s="55" t="str">
        <f>IFERROR(IF(OR($B231="",$B231="(blank)"),"",VLOOKUP($B231,'Email Marketing Raw Data'!$C:$O,7,0)),"")</f>
        <v/>
      </c>
      <c r="P231" s="55" t="str">
        <f>IFERROR(IF(OR($B231="",$B231="(blank)"),"",VLOOKUP($B231,'Email Marketing Raw Data'!$C:$O,8,0)),"")</f>
        <v/>
      </c>
      <c r="Q231" s="62" t="str">
        <f>IFERROR(IF(OR($B231="",$B231="(blank)"),"",VLOOKUP($B231,'Email Marketing Raw Data'!$C:$O,9,0)),"")</f>
        <v/>
      </c>
    </row>
    <row r="232" spans="4:17" ht="12.75" customHeight="1" x14ac:dyDescent="0.2">
      <c r="D232" s="58" t="str">
        <f>IFERROR(IF(F232&lt;&gt;"pending","",IF(OR($B232="",$B232="(blank)"),"",VLOOKUP($B232,'Email Marketing Raw Data'!$C:$O,10,0))),"")</f>
        <v/>
      </c>
      <c r="E232" s="59" t="str">
        <f>IFERROR(IF(F232&lt;&gt;"pending","",IF(OR($B232="",$B232="(blank)"),"",VLOOKUP($B232,'Email Marketing Raw Data'!$C:$O,11,0))),"")</f>
        <v/>
      </c>
      <c r="F232" s="54" t="str">
        <f>IFERROR(IF(OR($B232="",$B232="(blank)"),"",VLOOKUP($B232,'Email Marketing Raw Data'!$C:$O,13,0)),"")</f>
        <v/>
      </c>
      <c r="G232" s="55" t="str">
        <f>IFERROR(IF(OR($B232="",$B232="(blank)"),"",VLOOKUP($B232,'Email Marketing Raw Data'!$C:$O,4,0)),"")</f>
        <v/>
      </c>
      <c r="H232" s="55" t="str">
        <f>IFERROR(IF(OR($B232="",$B232="(blank)"),"",VLOOKUP($B232,'Email Marketing Raw Data'!$C:$O,5,0)),"")</f>
        <v/>
      </c>
      <c r="I232" s="55" t="str">
        <f>IFERROR(IF($G232="","",VLOOKUP('Dashboard And Emails Automate'!$G232,Database!$H:$N,3,0)),"")</f>
        <v/>
      </c>
      <c r="J232" s="55" t="str">
        <f>IFERROR(IF($G232="","",VLOOKUP('Dashboard And Emails Automate'!$G232,Database!$H:$N,4,0)),"")</f>
        <v/>
      </c>
      <c r="K232" s="55" t="str">
        <f>IFERROR(IF($G232="","",VLOOKUP('Dashboard And Emails Automate'!$G232,Database!$H:$N,5,0)),"")</f>
        <v/>
      </c>
      <c r="L232" s="55" t="str">
        <f>IFERROR(IF($G232="","",VLOOKUP('Dashboard And Emails Automate'!$G232,Database!$H:$N,6,0)),"")</f>
        <v/>
      </c>
      <c r="M232" s="55" t="str">
        <f>IFERROR(IF($G232="","",VLOOKUP('Dashboard And Emails Automate'!$G232,Database!$H:$N,7,0)),"")</f>
        <v/>
      </c>
      <c r="N232" s="55" t="str">
        <f>IFERROR(IF(OR($B232="",$B232="(blank)"),"",VLOOKUP($B232,'Email Marketing Raw Data'!$C:$O,6,0)),"")</f>
        <v/>
      </c>
      <c r="O232" s="55" t="str">
        <f>IFERROR(IF(OR($B232="",$B232="(blank)"),"",VLOOKUP($B232,'Email Marketing Raw Data'!$C:$O,7,0)),"")</f>
        <v/>
      </c>
      <c r="P232" s="55" t="str">
        <f>IFERROR(IF(OR($B232="",$B232="(blank)"),"",VLOOKUP($B232,'Email Marketing Raw Data'!$C:$O,8,0)),"")</f>
        <v/>
      </c>
      <c r="Q232" s="62" t="str">
        <f>IFERROR(IF(OR($B232="",$B232="(blank)"),"",VLOOKUP($B232,'Email Marketing Raw Data'!$C:$O,9,0)),"")</f>
        <v/>
      </c>
    </row>
    <row r="233" spans="4:17" ht="12.75" customHeight="1" x14ac:dyDescent="0.2">
      <c r="D233" s="58" t="str">
        <f>IFERROR(IF(F233&lt;&gt;"pending","",IF(OR($B233="",$B233="(blank)"),"",VLOOKUP($B233,'Email Marketing Raw Data'!$C:$O,10,0))),"")</f>
        <v/>
      </c>
      <c r="E233" s="59" t="str">
        <f>IFERROR(IF(F233&lt;&gt;"pending","",IF(OR($B233="",$B233="(blank)"),"",VLOOKUP($B233,'Email Marketing Raw Data'!$C:$O,11,0))),"")</f>
        <v/>
      </c>
      <c r="F233" s="54" t="str">
        <f>IFERROR(IF(OR($B233="",$B233="(blank)"),"",VLOOKUP($B233,'Email Marketing Raw Data'!$C:$O,13,0)),"")</f>
        <v/>
      </c>
      <c r="G233" s="55" t="str">
        <f>IFERROR(IF(OR($B233="",$B233="(blank)"),"",VLOOKUP($B233,'Email Marketing Raw Data'!$C:$O,4,0)),"")</f>
        <v/>
      </c>
      <c r="H233" s="55" t="str">
        <f>IFERROR(IF(OR($B233="",$B233="(blank)"),"",VLOOKUP($B233,'Email Marketing Raw Data'!$C:$O,5,0)),"")</f>
        <v/>
      </c>
      <c r="I233" s="55" t="str">
        <f>IFERROR(IF($G233="","",VLOOKUP('Dashboard And Emails Automate'!$G233,Database!$H:$N,3,0)),"")</f>
        <v/>
      </c>
      <c r="J233" s="55" t="str">
        <f>IFERROR(IF($G233="","",VLOOKUP('Dashboard And Emails Automate'!$G233,Database!$H:$N,4,0)),"")</f>
        <v/>
      </c>
      <c r="K233" s="55" t="str">
        <f>IFERROR(IF($G233="","",VLOOKUP('Dashboard And Emails Automate'!$G233,Database!$H:$N,5,0)),"")</f>
        <v/>
      </c>
      <c r="L233" s="55" t="str">
        <f>IFERROR(IF($G233="","",VLOOKUP('Dashboard And Emails Automate'!$G233,Database!$H:$N,6,0)),"")</f>
        <v/>
      </c>
      <c r="M233" s="55" t="str">
        <f>IFERROR(IF($G233="","",VLOOKUP('Dashboard And Emails Automate'!$G233,Database!$H:$N,7,0)),"")</f>
        <v/>
      </c>
      <c r="N233" s="55" t="str">
        <f>IFERROR(IF(OR($B233="",$B233="(blank)"),"",VLOOKUP($B233,'Email Marketing Raw Data'!$C:$O,6,0)),"")</f>
        <v/>
      </c>
      <c r="O233" s="55" t="str">
        <f>IFERROR(IF(OR($B233="",$B233="(blank)"),"",VLOOKUP($B233,'Email Marketing Raw Data'!$C:$O,7,0)),"")</f>
        <v/>
      </c>
      <c r="P233" s="55" t="str">
        <f>IFERROR(IF(OR($B233="",$B233="(blank)"),"",VLOOKUP($B233,'Email Marketing Raw Data'!$C:$O,8,0)),"")</f>
        <v/>
      </c>
      <c r="Q233" s="62" t="str">
        <f>IFERROR(IF(OR($B233="",$B233="(blank)"),"",VLOOKUP($B233,'Email Marketing Raw Data'!$C:$O,9,0)),"")</f>
        <v/>
      </c>
    </row>
    <row r="234" spans="4:17" ht="12.75" customHeight="1" x14ac:dyDescent="0.2">
      <c r="D234" s="58" t="str">
        <f>IFERROR(IF(F234&lt;&gt;"pending","",IF(OR($B234="",$B234="(blank)"),"",VLOOKUP($B234,'Email Marketing Raw Data'!$C:$O,10,0))),"")</f>
        <v/>
      </c>
      <c r="E234" s="59" t="str">
        <f>IFERROR(IF(F234&lt;&gt;"pending","",IF(OR($B234="",$B234="(blank)"),"",VLOOKUP($B234,'Email Marketing Raw Data'!$C:$O,11,0))),"")</f>
        <v/>
      </c>
      <c r="F234" s="54" t="str">
        <f>IFERROR(IF(OR($B234="",$B234="(blank)"),"",VLOOKUP($B234,'Email Marketing Raw Data'!$C:$O,13,0)),"")</f>
        <v/>
      </c>
      <c r="G234" s="55" t="str">
        <f>IFERROR(IF(OR($B234="",$B234="(blank)"),"",VLOOKUP($B234,'Email Marketing Raw Data'!$C:$O,4,0)),"")</f>
        <v/>
      </c>
      <c r="H234" s="55" t="str">
        <f>IFERROR(IF(OR($B234="",$B234="(blank)"),"",VLOOKUP($B234,'Email Marketing Raw Data'!$C:$O,5,0)),"")</f>
        <v/>
      </c>
      <c r="I234" s="55" t="str">
        <f>IFERROR(IF($G234="","",VLOOKUP('Dashboard And Emails Automate'!$G234,Database!$H:$N,3,0)),"")</f>
        <v/>
      </c>
      <c r="J234" s="55" t="str">
        <f>IFERROR(IF($G234="","",VLOOKUP('Dashboard And Emails Automate'!$G234,Database!$H:$N,4,0)),"")</f>
        <v/>
      </c>
      <c r="K234" s="55" t="str">
        <f>IFERROR(IF($G234="","",VLOOKUP('Dashboard And Emails Automate'!$G234,Database!$H:$N,5,0)),"")</f>
        <v/>
      </c>
      <c r="L234" s="55" t="str">
        <f>IFERROR(IF($G234="","",VLOOKUP('Dashboard And Emails Automate'!$G234,Database!$H:$N,6,0)),"")</f>
        <v/>
      </c>
      <c r="M234" s="55" t="str">
        <f>IFERROR(IF($G234="","",VLOOKUP('Dashboard And Emails Automate'!$G234,Database!$H:$N,7,0)),"")</f>
        <v/>
      </c>
      <c r="N234" s="55" t="str">
        <f>IFERROR(IF(OR($B234="",$B234="(blank)"),"",VLOOKUP($B234,'Email Marketing Raw Data'!$C:$O,6,0)),"")</f>
        <v/>
      </c>
      <c r="O234" s="55" t="str">
        <f>IFERROR(IF(OR($B234="",$B234="(blank)"),"",VLOOKUP($B234,'Email Marketing Raw Data'!$C:$O,7,0)),"")</f>
        <v/>
      </c>
      <c r="P234" s="55" t="str">
        <f>IFERROR(IF(OR($B234="",$B234="(blank)"),"",VLOOKUP($B234,'Email Marketing Raw Data'!$C:$O,8,0)),"")</f>
        <v/>
      </c>
      <c r="Q234" s="62" t="str">
        <f>IFERROR(IF(OR($B234="",$B234="(blank)"),"",VLOOKUP($B234,'Email Marketing Raw Data'!$C:$O,9,0)),"")</f>
        <v/>
      </c>
    </row>
    <row r="235" spans="4:17" ht="12.75" customHeight="1" x14ac:dyDescent="0.2">
      <c r="D235" s="58" t="str">
        <f>IFERROR(IF(F235&lt;&gt;"pending","",IF(OR($B235="",$B235="(blank)"),"",VLOOKUP($B235,'Email Marketing Raw Data'!$C:$O,10,0))),"")</f>
        <v/>
      </c>
      <c r="E235" s="59" t="str">
        <f>IFERROR(IF(F235&lt;&gt;"pending","",IF(OR($B235="",$B235="(blank)"),"",VLOOKUP($B235,'Email Marketing Raw Data'!$C:$O,11,0))),"")</f>
        <v/>
      </c>
      <c r="F235" s="54" t="str">
        <f>IFERROR(IF(OR($B235="",$B235="(blank)"),"",VLOOKUP($B235,'Email Marketing Raw Data'!$C:$O,13,0)),"")</f>
        <v/>
      </c>
      <c r="G235" s="55" t="str">
        <f>IFERROR(IF(OR($B235="",$B235="(blank)"),"",VLOOKUP($B235,'Email Marketing Raw Data'!$C:$O,4,0)),"")</f>
        <v/>
      </c>
      <c r="H235" s="55" t="str">
        <f>IFERROR(IF(OR($B235="",$B235="(blank)"),"",VLOOKUP($B235,'Email Marketing Raw Data'!$C:$O,5,0)),"")</f>
        <v/>
      </c>
      <c r="I235" s="55" t="str">
        <f>IFERROR(IF($G235="","",VLOOKUP('Dashboard And Emails Automate'!$G235,Database!$H:$N,3,0)),"")</f>
        <v/>
      </c>
      <c r="J235" s="55" t="str">
        <f>IFERROR(IF($G235="","",VLOOKUP('Dashboard And Emails Automate'!$G235,Database!$H:$N,4,0)),"")</f>
        <v/>
      </c>
      <c r="K235" s="55" t="str">
        <f>IFERROR(IF($G235="","",VLOOKUP('Dashboard And Emails Automate'!$G235,Database!$H:$N,5,0)),"")</f>
        <v/>
      </c>
      <c r="L235" s="55" t="str">
        <f>IFERROR(IF($G235="","",VLOOKUP('Dashboard And Emails Automate'!$G235,Database!$H:$N,6,0)),"")</f>
        <v/>
      </c>
      <c r="M235" s="55" t="str">
        <f>IFERROR(IF($G235="","",VLOOKUP('Dashboard And Emails Automate'!$G235,Database!$H:$N,7,0)),"")</f>
        <v/>
      </c>
      <c r="N235" s="55" t="str">
        <f>IFERROR(IF(OR($B235="",$B235="(blank)"),"",VLOOKUP($B235,'Email Marketing Raw Data'!$C:$O,6,0)),"")</f>
        <v/>
      </c>
      <c r="O235" s="55" t="str">
        <f>IFERROR(IF(OR($B235="",$B235="(blank)"),"",VLOOKUP($B235,'Email Marketing Raw Data'!$C:$O,7,0)),"")</f>
        <v/>
      </c>
      <c r="P235" s="55" t="str">
        <f>IFERROR(IF(OR($B235="",$B235="(blank)"),"",VLOOKUP($B235,'Email Marketing Raw Data'!$C:$O,8,0)),"")</f>
        <v/>
      </c>
      <c r="Q235" s="62" t="str">
        <f>IFERROR(IF(OR($B235="",$B235="(blank)"),"",VLOOKUP($B235,'Email Marketing Raw Data'!$C:$O,9,0)),"")</f>
        <v/>
      </c>
    </row>
    <row r="236" spans="4:17" ht="12.75" customHeight="1" x14ac:dyDescent="0.2">
      <c r="D236" s="58" t="str">
        <f>IFERROR(IF(F236&lt;&gt;"pending","",IF(OR($B236="",$B236="(blank)"),"",VLOOKUP($B236,'Email Marketing Raw Data'!$C:$O,10,0))),"")</f>
        <v/>
      </c>
      <c r="E236" s="59" t="str">
        <f>IFERROR(IF(F236&lt;&gt;"pending","",IF(OR($B236="",$B236="(blank)"),"",VLOOKUP($B236,'Email Marketing Raw Data'!$C:$O,11,0))),"")</f>
        <v/>
      </c>
      <c r="F236" s="54" t="str">
        <f>IFERROR(IF(OR($B236="",$B236="(blank)"),"",VLOOKUP($B236,'Email Marketing Raw Data'!$C:$O,13,0)),"")</f>
        <v/>
      </c>
      <c r="G236" s="55" t="str">
        <f>IFERROR(IF(OR($B236="",$B236="(blank)"),"",VLOOKUP($B236,'Email Marketing Raw Data'!$C:$O,4,0)),"")</f>
        <v/>
      </c>
      <c r="H236" s="55" t="str">
        <f>IFERROR(IF(OR($B236="",$B236="(blank)"),"",VLOOKUP($B236,'Email Marketing Raw Data'!$C:$O,5,0)),"")</f>
        <v/>
      </c>
      <c r="I236" s="55" t="str">
        <f>IFERROR(IF($G236="","",VLOOKUP('Dashboard And Emails Automate'!$G236,Database!$H:$N,3,0)),"")</f>
        <v/>
      </c>
      <c r="J236" s="55" t="str">
        <f>IFERROR(IF($G236="","",VLOOKUP('Dashboard And Emails Automate'!$G236,Database!$H:$N,4,0)),"")</f>
        <v/>
      </c>
      <c r="K236" s="55" t="str">
        <f>IFERROR(IF($G236="","",VLOOKUP('Dashboard And Emails Automate'!$G236,Database!$H:$N,5,0)),"")</f>
        <v/>
      </c>
      <c r="L236" s="55" t="str">
        <f>IFERROR(IF($G236="","",VLOOKUP('Dashboard And Emails Automate'!$G236,Database!$H:$N,6,0)),"")</f>
        <v/>
      </c>
      <c r="M236" s="55" t="str">
        <f>IFERROR(IF($G236="","",VLOOKUP('Dashboard And Emails Automate'!$G236,Database!$H:$N,7,0)),"")</f>
        <v/>
      </c>
      <c r="N236" s="55" t="str">
        <f>IFERROR(IF(OR($B236="",$B236="(blank)"),"",VLOOKUP($B236,'Email Marketing Raw Data'!$C:$O,6,0)),"")</f>
        <v/>
      </c>
      <c r="O236" s="55" t="str">
        <f>IFERROR(IF(OR($B236="",$B236="(blank)"),"",VLOOKUP($B236,'Email Marketing Raw Data'!$C:$O,7,0)),"")</f>
        <v/>
      </c>
      <c r="P236" s="55" t="str">
        <f>IFERROR(IF(OR($B236="",$B236="(blank)"),"",VLOOKUP($B236,'Email Marketing Raw Data'!$C:$O,8,0)),"")</f>
        <v/>
      </c>
      <c r="Q236" s="62" t="str">
        <f>IFERROR(IF(OR($B236="",$B236="(blank)"),"",VLOOKUP($B236,'Email Marketing Raw Data'!$C:$O,9,0)),"")</f>
        <v/>
      </c>
    </row>
    <row r="237" spans="4:17" ht="12.75" customHeight="1" x14ac:dyDescent="0.2">
      <c r="D237" s="58" t="str">
        <f>IFERROR(IF(F237&lt;&gt;"pending","",IF(OR($B237="",$B237="(blank)"),"",VLOOKUP($B237,'Email Marketing Raw Data'!$C:$O,10,0))),"")</f>
        <v/>
      </c>
      <c r="E237" s="59" t="str">
        <f>IFERROR(IF(F237&lt;&gt;"pending","",IF(OR($B237="",$B237="(blank)"),"",VLOOKUP($B237,'Email Marketing Raw Data'!$C:$O,11,0))),"")</f>
        <v/>
      </c>
      <c r="F237" s="54" t="str">
        <f>IFERROR(IF(OR($B237="",$B237="(blank)"),"",VLOOKUP($B237,'Email Marketing Raw Data'!$C:$O,13,0)),"")</f>
        <v/>
      </c>
      <c r="G237" s="55" t="str">
        <f>IFERROR(IF(OR($B237="",$B237="(blank)"),"",VLOOKUP($B237,'Email Marketing Raw Data'!$C:$O,4,0)),"")</f>
        <v/>
      </c>
      <c r="H237" s="55" t="str">
        <f>IFERROR(IF(OR($B237="",$B237="(blank)"),"",VLOOKUP($B237,'Email Marketing Raw Data'!$C:$O,5,0)),"")</f>
        <v/>
      </c>
      <c r="I237" s="55" t="str">
        <f>IFERROR(IF($G237="","",VLOOKUP('Dashboard And Emails Automate'!$G237,Database!$H:$N,3,0)),"")</f>
        <v/>
      </c>
      <c r="J237" s="55" t="str">
        <f>IFERROR(IF($G237="","",VLOOKUP('Dashboard And Emails Automate'!$G237,Database!$H:$N,4,0)),"")</f>
        <v/>
      </c>
      <c r="K237" s="55" t="str">
        <f>IFERROR(IF($G237="","",VLOOKUP('Dashboard And Emails Automate'!$G237,Database!$H:$N,5,0)),"")</f>
        <v/>
      </c>
      <c r="L237" s="55" t="str">
        <f>IFERROR(IF($G237="","",VLOOKUP('Dashboard And Emails Automate'!$G237,Database!$H:$N,6,0)),"")</f>
        <v/>
      </c>
      <c r="M237" s="55" t="str">
        <f>IFERROR(IF($G237="","",VLOOKUP('Dashboard And Emails Automate'!$G237,Database!$H:$N,7,0)),"")</f>
        <v/>
      </c>
      <c r="N237" s="55" t="str">
        <f>IFERROR(IF(OR($B237="",$B237="(blank)"),"",VLOOKUP($B237,'Email Marketing Raw Data'!$C:$O,6,0)),"")</f>
        <v/>
      </c>
      <c r="O237" s="55" t="str">
        <f>IFERROR(IF(OR($B237="",$B237="(blank)"),"",VLOOKUP($B237,'Email Marketing Raw Data'!$C:$O,7,0)),"")</f>
        <v/>
      </c>
      <c r="P237" s="55" t="str">
        <f>IFERROR(IF(OR($B237="",$B237="(blank)"),"",VLOOKUP($B237,'Email Marketing Raw Data'!$C:$O,8,0)),"")</f>
        <v/>
      </c>
      <c r="Q237" s="62" t="str">
        <f>IFERROR(IF(OR($B237="",$B237="(blank)"),"",VLOOKUP($B237,'Email Marketing Raw Data'!$C:$O,9,0)),"")</f>
        <v/>
      </c>
    </row>
    <row r="238" spans="4:17" ht="12.75" customHeight="1" x14ac:dyDescent="0.2">
      <c r="D238" s="58" t="str">
        <f>IFERROR(IF(F238&lt;&gt;"pending","",IF(OR($B238="",$B238="(blank)"),"",VLOOKUP($B238,'Email Marketing Raw Data'!$C:$O,10,0))),"")</f>
        <v/>
      </c>
      <c r="E238" s="59" t="str">
        <f>IFERROR(IF(F238&lt;&gt;"pending","",IF(OR($B238="",$B238="(blank)"),"",VLOOKUP($B238,'Email Marketing Raw Data'!$C:$O,11,0))),"")</f>
        <v/>
      </c>
      <c r="F238" s="54" t="str">
        <f>IFERROR(IF(OR($B238="",$B238="(blank)"),"",VLOOKUP($B238,'Email Marketing Raw Data'!$C:$O,13,0)),"")</f>
        <v/>
      </c>
      <c r="G238" s="55" t="str">
        <f>IFERROR(IF(OR($B238="",$B238="(blank)"),"",VLOOKUP($B238,'Email Marketing Raw Data'!$C:$O,4,0)),"")</f>
        <v/>
      </c>
      <c r="H238" s="55" t="str">
        <f>IFERROR(IF(OR($B238="",$B238="(blank)"),"",VLOOKUP($B238,'Email Marketing Raw Data'!$C:$O,5,0)),"")</f>
        <v/>
      </c>
      <c r="I238" s="55" t="str">
        <f>IFERROR(IF($G238="","",VLOOKUP('Dashboard And Emails Automate'!$G238,Database!$H:$N,3,0)),"")</f>
        <v/>
      </c>
      <c r="J238" s="55" t="str">
        <f>IFERROR(IF($G238="","",VLOOKUP('Dashboard And Emails Automate'!$G238,Database!$H:$N,4,0)),"")</f>
        <v/>
      </c>
      <c r="K238" s="55" t="str">
        <f>IFERROR(IF($G238="","",VLOOKUP('Dashboard And Emails Automate'!$G238,Database!$H:$N,5,0)),"")</f>
        <v/>
      </c>
      <c r="L238" s="55" t="str">
        <f>IFERROR(IF($G238="","",VLOOKUP('Dashboard And Emails Automate'!$G238,Database!$H:$N,6,0)),"")</f>
        <v/>
      </c>
      <c r="M238" s="55" t="str">
        <f>IFERROR(IF($G238="","",VLOOKUP('Dashboard And Emails Automate'!$G238,Database!$H:$N,7,0)),"")</f>
        <v/>
      </c>
      <c r="N238" s="55" t="str">
        <f>IFERROR(IF(OR($B238="",$B238="(blank)"),"",VLOOKUP($B238,'Email Marketing Raw Data'!$C:$O,6,0)),"")</f>
        <v/>
      </c>
      <c r="O238" s="55" t="str">
        <f>IFERROR(IF(OR($B238="",$B238="(blank)"),"",VLOOKUP($B238,'Email Marketing Raw Data'!$C:$O,7,0)),"")</f>
        <v/>
      </c>
      <c r="P238" s="55" t="str">
        <f>IFERROR(IF(OR($B238="",$B238="(blank)"),"",VLOOKUP($B238,'Email Marketing Raw Data'!$C:$O,8,0)),"")</f>
        <v/>
      </c>
      <c r="Q238" s="62" t="str">
        <f>IFERROR(IF(OR($B238="",$B238="(blank)"),"",VLOOKUP($B238,'Email Marketing Raw Data'!$C:$O,9,0)),"")</f>
        <v/>
      </c>
    </row>
    <row r="239" spans="4:17" ht="12.75" customHeight="1" x14ac:dyDescent="0.2">
      <c r="D239" s="58" t="str">
        <f>IFERROR(IF(F239&lt;&gt;"pending","",IF(OR($B239="",$B239="(blank)"),"",VLOOKUP($B239,'Email Marketing Raw Data'!$C:$O,10,0))),"")</f>
        <v/>
      </c>
      <c r="E239" s="59" t="str">
        <f>IFERROR(IF(F239&lt;&gt;"pending","",IF(OR($B239="",$B239="(blank)"),"",VLOOKUP($B239,'Email Marketing Raw Data'!$C:$O,11,0))),"")</f>
        <v/>
      </c>
      <c r="F239" s="54" t="str">
        <f>IFERROR(IF(OR($B239="",$B239="(blank)"),"",VLOOKUP($B239,'Email Marketing Raw Data'!$C:$O,13,0)),"")</f>
        <v/>
      </c>
      <c r="G239" s="55" t="str">
        <f>IFERROR(IF(OR($B239="",$B239="(blank)"),"",VLOOKUP($B239,'Email Marketing Raw Data'!$C:$O,4,0)),"")</f>
        <v/>
      </c>
      <c r="H239" s="55" t="str">
        <f>IFERROR(IF(OR($B239="",$B239="(blank)"),"",VLOOKUP($B239,'Email Marketing Raw Data'!$C:$O,5,0)),"")</f>
        <v/>
      </c>
      <c r="I239" s="55" t="str">
        <f>IFERROR(IF($G239="","",VLOOKUP('Dashboard And Emails Automate'!$G239,Database!$H:$N,3,0)),"")</f>
        <v/>
      </c>
      <c r="J239" s="55" t="str">
        <f>IFERROR(IF($G239="","",VLOOKUP('Dashboard And Emails Automate'!$G239,Database!$H:$N,4,0)),"")</f>
        <v/>
      </c>
      <c r="K239" s="55" t="str">
        <f>IFERROR(IF($G239="","",VLOOKUP('Dashboard And Emails Automate'!$G239,Database!$H:$N,5,0)),"")</f>
        <v/>
      </c>
      <c r="L239" s="55" t="str">
        <f>IFERROR(IF($G239="","",VLOOKUP('Dashboard And Emails Automate'!$G239,Database!$H:$N,6,0)),"")</f>
        <v/>
      </c>
      <c r="M239" s="55" t="str">
        <f>IFERROR(IF($G239="","",VLOOKUP('Dashboard And Emails Automate'!$G239,Database!$H:$N,7,0)),"")</f>
        <v/>
      </c>
      <c r="N239" s="55" t="str">
        <f>IFERROR(IF(OR($B239="",$B239="(blank)"),"",VLOOKUP($B239,'Email Marketing Raw Data'!$C:$O,6,0)),"")</f>
        <v/>
      </c>
      <c r="O239" s="55" t="str">
        <f>IFERROR(IF(OR($B239="",$B239="(blank)"),"",VLOOKUP($B239,'Email Marketing Raw Data'!$C:$O,7,0)),"")</f>
        <v/>
      </c>
      <c r="P239" s="55" t="str">
        <f>IFERROR(IF(OR($B239="",$B239="(blank)"),"",VLOOKUP($B239,'Email Marketing Raw Data'!$C:$O,8,0)),"")</f>
        <v/>
      </c>
      <c r="Q239" s="62" t="str">
        <f>IFERROR(IF(OR($B239="",$B239="(blank)"),"",VLOOKUP($B239,'Email Marketing Raw Data'!$C:$O,9,0)),"")</f>
        <v/>
      </c>
    </row>
    <row r="240" spans="4:17" ht="12.75" customHeight="1" x14ac:dyDescent="0.2">
      <c r="D240" s="58" t="str">
        <f>IFERROR(IF(F240&lt;&gt;"pending","",IF(OR($B240="",$B240="(blank)"),"",VLOOKUP($B240,'Email Marketing Raw Data'!$C:$O,10,0))),"")</f>
        <v/>
      </c>
      <c r="E240" s="59" t="str">
        <f>IFERROR(IF(F240&lt;&gt;"pending","",IF(OR($B240="",$B240="(blank)"),"",VLOOKUP($B240,'Email Marketing Raw Data'!$C:$O,11,0))),"")</f>
        <v/>
      </c>
      <c r="F240" s="54" t="str">
        <f>IFERROR(IF(OR($B240="",$B240="(blank)"),"",VLOOKUP($B240,'Email Marketing Raw Data'!$C:$O,13,0)),"")</f>
        <v/>
      </c>
      <c r="G240" s="55" t="str">
        <f>IFERROR(IF(OR($B240="",$B240="(blank)"),"",VLOOKUP($B240,'Email Marketing Raw Data'!$C:$O,4,0)),"")</f>
        <v/>
      </c>
      <c r="H240" s="55" t="str">
        <f>IFERROR(IF(OR($B240="",$B240="(blank)"),"",VLOOKUP($B240,'Email Marketing Raw Data'!$C:$O,5,0)),"")</f>
        <v/>
      </c>
      <c r="I240" s="55" t="str">
        <f>IFERROR(IF($G240="","",VLOOKUP('Dashboard And Emails Automate'!$G240,Database!$H:$N,3,0)),"")</f>
        <v/>
      </c>
      <c r="J240" s="55" t="str">
        <f>IFERROR(IF($G240="","",VLOOKUP('Dashboard And Emails Automate'!$G240,Database!$H:$N,4,0)),"")</f>
        <v/>
      </c>
      <c r="K240" s="55" t="str">
        <f>IFERROR(IF($G240="","",VLOOKUP('Dashboard And Emails Automate'!$G240,Database!$H:$N,5,0)),"")</f>
        <v/>
      </c>
      <c r="L240" s="55" t="str">
        <f>IFERROR(IF($G240="","",VLOOKUP('Dashboard And Emails Automate'!$G240,Database!$H:$N,6,0)),"")</f>
        <v/>
      </c>
      <c r="M240" s="55" t="str">
        <f>IFERROR(IF($G240="","",VLOOKUP('Dashboard And Emails Automate'!$G240,Database!$H:$N,7,0)),"")</f>
        <v/>
      </c>
      <c r="N240" s="55" t="str">
        <f>IFERROR(IF(OR($B240="",$B240="(blank)"),"",VLOOKUP($B240,'Email Marketing Raw Data'!$C:$O,6,0)),"")</f>
        <v/>
      </c>
      <c r="O240" s="55" t="str">
        <f>IFERROR(IF(OR($B240="",$B240="(blank)"),"",VLOOKUP($B240,'Email Marketing Raw Data'!$C:$O,7,0)),"")</f>
        <v/>
      </c>
      <c r="P240" s="55" t="str">
        <f>IFERROR(IF(OR($B240="",$B240="(blank)"),"",VLOOKUP($B240,'Email Marketing Raw Data'!$C:$O,8,0)),"")</f>
        <v/>
      </c>
      <c r="Q240" s="62" t="str">
        <f>IFERROR(IF(OR($B240="",$B240="(blank)"),"",VLOOKUP($B240,'Email Marketing Raw Data'!$C:$O,9,0)),"")</f>
        <v/>
      </c>
    </row>
    <row r="241" spans="4:17" ht="12.75" customHeight="1" x14ac:dyDescent="0.2">
      <c r="D241" s="58" t="str">
        <f>IFERROR(IF(F241&lt;&gt;"pending","",IF(OR($B241="",$B241="(blank)"),"",VLOOKUP($B241,'Email Marketing Raw Data'!$C:$O,10,0))),"")</f>
        <v/>
      </c>
      <c r="E241" s="59" t="str">
        <f>IFERROR(IF(F241&lt;&gt;"pending","",IF(OR($B241="",$B241="(blank)"),"",VLOOKUP($B241,'Email Marketing Raw Data'!$C:$O,11,0))),"")</f>
        <v/>
      </c>
      <c r="F241" s="54" t="str">
        <f>IFERROR(IF(OR($B241="",$B241="(blank)"),"",VLOOKUP($B241,'Email Marketing Raw Data'!$C:$O,13,0)),"")</f>
        <v/>
      </c>
      <c r="G241" s="55" t="str">
        <f>IFERROR(IF(OR($B241="",$B241="(blank)"),"",VLOOKUP($B241,'Email Marketing Raw Data'!$C:$O,4,0)),"")</f>
        <v/>
      </c>
      <c r="H241" s="55" t="str">
        <f>IFERROR(IF(OR($B241="",$B241="(blank)"),"",VLOOKUP($B241,'Email Marketing Raw Data'!$C:$O,5,0)),"")</f>
        <v/>
      </c>
      <c r="I241" s="55" t="str">
        <f>IFERROR(IF($G241="","",VLOOKUP('Dashboard And Emails Automate'!$G241,Database!$H:$N,3,0)),"")</f>
        <v/>
      </c>
      <c r="J241" s="55" t="str">
        <f>IFERROR(IF($G241="","",VLOOKUP('Dashboard And Emails Automate'!$G241,Database!$H:$N,4,0)),"")</f>
        <v/>
      </c>
      <c r="K241" s="55" t="str">
        <f>IFERROR(IF($G241="","",VLOOKUP('Dashboard And Emails Automate'!$G241,Database!$H:$N,5,0)),"")</f>
        <v/>
      </c>
      <c r="L241" s="55" t="str">
        <f>IFERROR(IF($G241="","",VLOOKUP('Dashboard And Emails Automate'!$G241,Database!$H:$N,6,0)),"")</f>
        <v/>
      </c>
      <c r="M241" s="55" t="str">
        <f>IFERROR(IF($G241="","",VLOOKUP('Dashboard And Emails Automate'!$G241,Database!$H:$N,7,0)),"")</f>
        <v/>
      </c>
      <c r="N241" s="55" t="str">
        <f>IFERROR(IF(OR($B241="",$B241="(blank)"),"",VLOOKUP($B241,'Email Marketing Raw Data'!$C:$O,6,0)),"")</f>
        <v/>
      </c>
      <c r="O241" s="55" t="str">
        <f>IFERROR(IF(OR($B241="",$B241="(blank)"),"",VLOOKUP($B241,'Email Marketing Raw Data'!$C:$O,7,0)),"")</f>
        <v/>
      </c>
      <c r="P241" s="55" t="str">
        <f>IFERROR(IF(OR($B241="",$B241="(blank)"),"",VLOOKUP($B241,'Email Marketing Raw Data'!$C:$O,8,0)),"")</f>
        <v/>
      </c>
      <c r="Q241" s="62" t="str">
        <f>IFERROR(IF(OR($B241="",$B241="(blank)"),"",VLOOKUP($B241,'Email Marketing Raw Data'!$C:$O,9,0)),"")</f>
        <v/>
      </c>
    </row>
    <row r="242" spans="4:17" ht="12.75" customHeight="1" x14ac:dyDescent="0.2">
      <c r="D242" s="58" t="str">
        <f>IFERROR(IF(F242&lt;&gt;"pending","",IF(OR($B242="",$B242="(blank)"),"",VLOOKUP($B242,'Email Marketing Raw Data'!$C:$O,10,0))),"")</f>
        <v/>
      </c>
      <c r="E242" s="59" t="str">
        <f>IFERROR(IF(F242&lt;&gt;"pending","",IF(OR($B242="",$B242="(blank)"),"",VLOOKUP($B242,'Email Marketing Raw Data'!$C:$O,11,0))),"")</f>
        <v/>
      </c>
      <c r="F242" s="54" t="str">
        <f>IFERROR(IF(OR($B242="",$B242="(blank)"),"",VLOOKUP($B242,'Email Marketing Raw Data'!$C:$O,13,0)),"")</f>
        <v/>
      </c>
      <c r="G242" s="55" t="str">
        <f>IFERROR(IF(OR($B242="",$B242="(blank)"),"",VLOOKUP($B242,'Email Marketing Raw Data'!$C:$O,4,0)),"")</f>
        <v/>
      </c>
      <c r="H242" s="55" t="str">
        <f>IFERROR(IF(OR($B242="",$B242="(blank)"),"",VLOOKUP($B242,'Email Marketing Raw Data'!$C:$O,5,0)),"")</f>
        <v/>
      </c>
      <c r="I242" s="55" t="str">
        <f>IFERROR(IF($G242="","",VLOOKUP('Dashboard And Emails Automate'!$G242,Database!$H:$N,3,0)),"")</f>
        <v/>
      </c>
      <c r="J242" s="55" t="str">
        <f>IFERROR(IF($G242="","",VLOOKUP('Dashboard And Emails Automate'!$G242,Database!$H:$N,4,0)),"")</f>
        <v/>
      </c>
      <c r="K242" s="55" t="str">
        <f>IFERROR(IF($G242="","",VLOOKUP('Dashboard And Emails Automate'!$G242,Database!$H:$N,5,0)),"")</f>
        <v/>
      </c>
      <c r="L242" s="55" t="str">
        <f>IFERROR(IF($G242="","",VLOOKUP('Dashboard And Emails Automate'!$G242,Database!$H:$N,6,0)),"")</f>
        <v/>
      </c>
      <c r="M242" s="55" t="str">
        <f>IFERROR(IF($G242="","",VLOOKUP('Dashboard And Emails Automate'!$G242,Database!$H:$N,7,0)),"")</f>
        <v/>
      </c>
      <c r="N242" s="55" t="str">
        <f>IFERROR(IF(OR($B242="",$B242="(blank)"),"",VLOOKUP($B242,'Email Marketing Raw Data'!$C:$O,6,0)),"")</f>
        <v/>
      </c>
      <c r="O242" s="55" t="str">
        <f>IFERROR(IF(OR($B242="",$B242="(blank)"),"",VLOOKUP($B242,'Email Marketing Raw Data'!$C:$O,7,0)),"")</f>
        <v/>
      </c>
      <c r="P242" s="55" t="str">
        <f>IFERROR(IF(OR($B242="",$B242="(blank)"),"",VLOOKUP($B242,'Email Marketing Raw Data'!$C:$O,8,0)),"")</f>
        <v/>
      </c>
      <c r="Q242" s="62" t="str">
        <f>IFERROR(IF(OR($B242="",$B242="(blank)"),"",VLOOKUP($B242,'Email Marketing Raw Data'!$C:$O,9,0)),"")</f>
        <v/>
      </c>
    </row>
    <row r="243" spans="4:17" ht="12.75" customHeight="1" x14ac:dyDescent="0.2">
      <c r="D243" s="58" t="str">
        <f>IFERROR(IF(F243&lt;&gt;"pending","",IF(OR($B243="",$B243="(blank)"),"",VLOOKUP($B243,'Email Marketing Raw Data'!$C:$O,10,0))),"")</f>
        <v/>
      </c>
      <c r="E243" s="59" t="str">
        <f>IFERROR(IF(F243&lt;&gt;"pending","",IF(OR($B243="",$B243="(blank)"),"",VLOOKUP($B243,'Email Marketing Raw Data'!$C:$O,11,0))),"")</f>
        <v/>
      </c>
      <c r="F243" s="54" t="str">
        <f>IFERROR(IF(OR($B243="",$B243="(blank)"),"",VLOOKUP($B243,'Email Marketing Raw Data'!$C:$O,13,0)),"")</f>
        <v/>
      </c>
      <c r="G243" s="55" t="str">
        <f>IFERROR(IF(OR($B243="",$B243="(blank)"),"",VLOOKUP($B243,'Email Marketing Raw Data'!$C:$O,4,0)),"")</f>
        <v/>
      </c>
      <c r="H243" s="55" t="str">
        <f>IFERROR(IF(OR($B243="",$B243="(blank)"),"",VLOOKUP($B243,'Email Marketing Raw Data'!$C:$O,5,0)),"")</f>
        <v/>
      </c>
      <c r="I243" s="55" t="str">
        <f>IFERROR(IF($G243="","",VLOOKUP('Dashboard And Emails Automate'!$G243,Database!$H:$N,3,0)),"")</f>
        <v/>
      </c>
      <c r="J243" s="55" t="str">
        <f>IFERROR(IF($G243="","",VLOOKUP('Dashboard And Emails Automate'!$G243,Database!$H:$N,4,0)),"")</f>
        <v/>
      </c>
      <c r="K243" s="55" t="str">
        <f>IFERROR(IF($G243="","",VLOOKUP('Dashboard And Emails Automate'!$G243,Database!$H:$N,5,0)),"")</f>
        <v/>
      </c>
      <c r="L243" s="55" t="str">
        <f>IFERROR(IF($G243="","",VLOOKUP('Dashboard And Emails Automate'!$G243,Database!$H:$N,6,0)),"")</f>
        <v/>
      </c>
      <c r="M243" s="55" t="str">
        <f>IFERROR(IF($G243="","",VLOOKUP('Dashboard And Emails Automate'!$G243,Database!$H:$N,7,0)),"")</f>
        <v/>
      </c>
      <c r="N243" s="55" t="str">
        <f>IFERROR(IF(OR($B243="",$B243="(blank)"),"",VLOOKUP($B243,'Email Marketing Raw Data'!$C:$O,6,0)),"")</f>
        <v/>
      </c>
      <c r="O243" s="55" t="str">
        <f>IFERROR(IF(OR($B243="",$B243="(blank)"),"",VLOOKUP($B243,'Email Marketing Raw Data'!$C:$O,7,0)),"")</f>
        <v/>
      </c>
      <c r="P243" s="55" t="str">
        <f>IFERROR(IF(OR($B243="",$B243="(blank)"),"",VLOOKUP($B243,'Email Marketing Raw Data'!$C:$O,8,0)),"")</f>
        <v/>
      </c>
      <c r="Q243" s="62" t="str">
        <f>IFERROR(IF(OR($B243="",$B243="(blank)"),"",VLOOKUP($B243,'Email Marketing Raw Data'!$C:$O,9,0)),"")</f>
        <v/>
      </c>
    </row>
    <row r="244" spans="4:17" ht="12.75" customHeight="1" x14ac:dyDescent="0.2">
      <c r="D244" s="58" t="str">
        <f>IFERROR(IF(F244&lt;&gt;"pending","",IF(OR($B244="",$B244="(blank)"),"",VLOOKUP($B244,'Email Marketing Raw Data'!$C:$O,10,0))),"")</f>
        <v/>
      </c>
      <c r="E244" s="59" t="str">
        <f>IFERROR(IF(F244&lt;&gt;"pending","",IF(OR($B244="",$B244="(blank)"),"",VLOOKUP($B244,'Email Marketing Raw Data'!$C:$O,11,0))),"")</f>
        <v/>
      </c>
      <c r="F244" s="54" t="str">
        <f>IFERROR(IF(OR($B244="",$B244="(blank)"),"",VLOOKUP($B244,'Email Marketing Raw Data'!$C:$O,13,0)),"")</f>
        <v/>
      </c>
      <c r="G244" s="55" t="str">
        <f>IFERROR(IF(OR($B244="",$B244="(blank)"),"",VLOOKUP($B244,'Email Marketing Raw Data'!$C:$O,4,0)),"")</f>
        <v/>
      </c>
      <c r="H244" s="55" t="str">
        <f>IFERROR(IF(OR($B244="",$B244="(blank)"),"",VLOOKUP($B244,'Email Marketing Raw Data'!$C:$O,5,0)),"")</f>
        <v/>
      </c>
      <c r="I244" s="55" t="str">
        <f>IFERROR(IF($G244="","",VLOOKUP('Dashboard And Emails Automate'!$G244,Database!$H:$N,3,0)),"")</f>
        <v/>
      </c>
      <c r="J244" s="55" t="str">
        <f>IFERROR(IF($G244="","",VLOOKUP('Dashboard And Emails Automate'!$G244,Database!$H:$N,4,0)),"")</f>
        <v/>
      </c>
      <c r="K244" s="55" t="str">
        <f>IFERROR(IF($G244="","",VLOOKUP('Dashboard And Emails Automate'!$G244,Database!$H:$N,5,0)),"")</f>
        <v/>
      </c>
      <c r="L244" s="55" t="str">
        <f>IFERROR(IF($G244="","",VLOOKUP('Dashboard And Emails Automate'!$G244,Database!$H:$N,6,0)),"")</f>
        <v/>
      </c>
      <c r="M244" s="55" t="str">
        <f>IFERROR(IF($G244="","",VLOOKUP('Dashboard And Emails Automate'!$G244,Database!$H:$N,7,0)),"")</f>
        <v/>
      </c>
      <c r="N244" s="55" t="str">
        <f>IFERROR(IF(OR($B244="",$B244="(blank)"),"",VLOOKUP($B244,'Email Marketing Raw Data'!$C:$O,6,0)),"")</f>
        <v/>
      </c>
      <c r="O244" s="55" t="str">
        <f>IFERROR(IF(OR($B244="",$B244="(blank)"),"",VLOOKUP($B244,'Email Marketing Raw Data'!$C:$O,7,0)),"")</f>
        <v/>
      </c>
      <c r="P244" s="55" t="str">
        <f>IFERROR(IF(OR($B244="",$B244="(blank)"),"",VLOOKUP($B244,'Email Marketing Raw Data'!$C:$O,8,0)),"")</f>
        <v/>
      </c>
      <c r="Q244" s="62" t="str">
        <f>IFERROR(IF(OR($B244="",$B244="(blank)"),"",VLOOKUP($B244,'Email Marketing Raw Data'!$C:$O,9,0)),"")</f>
        <v/>
      </c>
    </row>
    <row r="245" spans="4:17" ht="12.75" customHeight="1" x14ac:dyDescent="0.2">
      <c r="D245" s="58" t="str">
        <f>IFERROR(IF(F245&lt;&gt;"pending","",IF(OR($B245="",$B245="(blank)"),"",VLOOKUP($B245,'Email Marketing Raw Data'!$C:$O,10,0))),"")</f>
        <v/>
      </c>
      <c r="E245" s="59" t="str">
        <f>IFERROR(IF(F245&lt;&gt;"pending","",IF(OR($B245="",$B245="(blank)"),"",VLOOKUP($B245,'Email Marketing Raw Data'!$C:$O,11,0))),"")</f>
        <v/>
      </c>
      <c r="F245" s="54" t="str">
        <f>IFERROR(IF(OR($B245="",$B245="(blank)"),"",VLOOKUP($B245,'Email Marketing Raw Data'!$C:$O,13,0)),"")</f>
        <v/>
      </c>
      <c r="G245" s="55" t="str">
        <f>IFERROR(IF(OR($B245="",$B245="(blank)"),"",VLOOKUP($B245,'Email Marketing Raw Data'!$C:$O,4,0)),"")</f>
        <v/>
      </c>
      <c r="H245" s="55" t="str">
        <f>IFERROR(IF(OR($B245="",$B245="(blank)"),"",VLOOKUP($B245,'Email Marketing Raw Data'!$C:$O,5,0)),"")</f>
        <v/>
      </c>
      <c r="I245" s="55" t="str">
        <f>IFERROR(IF($G245="","",VLOOKUP('Dashboard And Emails Automate'!$G245,Database!$H:$N,3,0)),"")</f>
        <v/>
      </c>
      <c r="J245" s="55" t="str">
        <f>IFERROR(IF($G245="","",VLOOKUP('Dashboard And Emails Automate'!$G245,Database!$H:$N,4,0)),"")</f>
        <v/>
      </c>
      <c r="K245" s="55" t="str">
        <f>IFERROR(IF($G245="","",VLOOKUP('Dashboard And Emails Automate'!$G245,Database!$H:$N,5,0)),"")</f>
        <v/>
      </c>
      <c r="L245" s="55" t="str">
        <f>IFERROR(IF($G245="","",VLOOKUP('Dashboard And Emails Automate'!$G245,Database!$H:$N,6,0)),"")</f>
        <v/>
      </c>
      <c r="M245" s="55" t="str">
        <f>IFERROR(IF($G245="","",VLOOKUP('Dashboard And Emails Automate'!$G245,Database!$H:$N,7,0)),"")</f>
        <v/>
      </c>
      <c r="N245" s="55" t="str">
        <f>IFERROR(IF(OR($B245="",$B245="(blank)"),"",VLOOKUP($B245,'Email Marketing Raw Data'!$C:$O,6,0)),"")</f>
        <v/>
      </c>
      <c r="O245" s="55" t="str">
        <f>IFERROR(IF(OR($B245="",$B245="(blank)"),"",VLOOKUP($B245,'Email Marketing Raw Data'!$C:$O,7,0)),"")</f>
        <v/>
      </c>
      <c r="P245" s="55" t="str">
        <f>IFERROR(IF(OR($B245="",$B245="(blank)"),"",VLOOKUP($B245,'Email Marketing Raw Data'!$C:$O,8,0)),"")</f>
        <v/>
      </c>
      <c r="Q245" s="62" t="str">
        <f>IFERROR(IF(OR($B245="",$B245="(blank)"),"",VLOOKUP($B245,'Email Marketing Raw Data'!$C:$O,9,0)),"")</f>
        <v/>
      </c>
    </row>
    <row r="246" spans="4:17" ht="12.75" customHeight="1" x14ac:dyDescent="0.2">
      <c r="D246" s="58" t="str">
        <f>IFERROR(IF(F246&lt;&gt;"pending","",IF(OR($B246="",$B246="(blank)"),"",VLOOKUP($B246,'Email Marketing Raw Data'!$C:$O,10,0))),"")</f>
        <v/>
      </c>
      <c r="E246" s="59" t="str">
        <f>IFERROR(IF(F246&lt;&gt;"pending","",IF(OR($B246="",$B246="(blank)"),"",VLOOKUP($B246,'Email Marketing Raw Data'!$C:$O,11,0))),"")</f>
        <v/>
      </c>
      <c r="F246" s="54" t="str">
        <f>IFERROR(IF(OR($B246="",$B246="(blank)"),"",VLOOKUP($B246,'Email Marketing Raw Data'!$C:$O,13,0)),"")</f>
        <v/>
      </c>
      <c r="G246" s="55" t="str">
        <f>IFERROR(IF(OR($B246="",$B246="(blank)"),"",VLOOKUP($B246,'Email Marketing Raw Data'!$C:$O,4,0)),"")</f>
        <v/>
      </c>
      <c r="H246" s="55" t="str">
        <f>IFERROR(IF(OR($B246="",$B246="(blank)"),"",VLOOKUP($B246,'Email Marketing Raw Data'!$C:$O,5,0)),"")</f>
        <v/>
      </c>
      <c r="I246" s="55" t="str">
        <f>IFERROR(IF($G246="","",VLOOKUP('Dashboard And Emails Automate'!$G246,Database!$H:$N,3,0)),"")</f>
        <v/>
      </c>
      <c r="J246" s="55" t="str">
        <f>IFERROR(IF($G246="","",VLOOKUP('Dashboard And Emails Automate'!$G246,Database!$H:$N,4,0)),"")</f>
        <v/>
      </c>
      <c r="K246" s="55" t="str">
        <f>IFERROR(IF($G246="","",VLOOKUP('Dashboard And Emails Automate'!$G246,Database!$H:$N,5,0)),"")</f>
        <v/>
      </c>
      <c r="L246" s="55" t="str">
        <f>IFERROR(IF($G246="","",VLOOKUP('Dashboard And Emails Automate'!$G246,Database!$H:$N,6,0)),"")</f>
        <v/>
      </c>
      <c r="M246" s="55" t="str">
        <f>IFERROR(IF($G246="","",VLOOKUP('Dashboard And Emails Automate'!$G246,Database!$H:$N,7,0)),"")</f>
        <v/>
      </c>
      <c r="N246" s="55" t="str">
        <f>IFERROR(IF(OR($B246="",$B246="(blank)"),"",VLOOKUP($B246,'Email Marketing Raw Data'!$C:$O,6,0)),"")</f>
        <v/>
      </c>
      <c r="O246" s="55" t="str">
        <f>IFERROR(IF(OR($B246="",$B246="(blank)"),"",VLOOKUP($B246,'Email Marketing Raw Data'!$C:$O,7,0)),"")</f>
        <v/>
      </c>
      <c r="P246" s="55" t="str">
        <f>IFERROR(IF(OR($B246="",$B246="(blank)"),"",VLOOKUP($B246,'Email Marketing Raw Data'!$C:$O,8,0)),"")</f>
        <v/>
      </c>
      <c r="Q246" s="62" t="str">
        <f>IFERROR(IF(OR($B246="",$B246="(blank)"),"",VLOOKUP($B246,'Email Marketing Raw Data'!$C:$O,9,0)),"")</f>
        <v/>
      </c>
    </row>
    <row r="247" spans="4:17" ht="12.75" customHeight="1" x14ac:dyDescent="0.2">
      <c r="D247" s="58" t="str">
        <f>IFERROR(IF(F247&lt;&gt;"pending","",IF(OR($B247="",$B247="(blank)"),"",VLOOKUP($B247,'Email Marketing Raw Data'!$C:$O,10,0))),"")</f>
        <v/>
      </c>
      <c r="E247" s="59" t="str">
        <f>IFERROR(IF(F247&lt;&gt;"pending","",IF(OR($B247="",$B247="(blank)"),"",VLOOKUP($B247,'Email Marketing Raw Data'!$C:$O,11,0))),"")</f>
        <v/>
      </c>
      <c r="F247" s="54" t="str">
        <f>IFERROR(IF(OR($B247="",$B247="(blank)"),"",VLOOKUP($B247,'Email Marketing Raw Data'!$C:$O,13,0)),"")</f>
        <v/>
      </c>
      <c r="G247" s="55" t="str">
        <f>IFERROR(IF(OR($B247="",$B247="(blank)"),"",VLOOKUP($B247,'Email Marketing Raw Data'!$C:$O,4,0)),"")</f>
        <v/>
      </c>
      <c r="H247" s="55" t="str">
        <f>IFERROR(IF(OR($B247="",$B247="(blank)"),"",VLOOKUP($B247,'Email Marketing Raw Data'!$C:$O,5,0)),"")</f>
        <v/>
      </c>
      <c r="I247" s="55" t="str">
        <f>IFERROR(IF($G247="","",VLOOKUP('Dashboard And Emails Automate'!$G247,Database!$H:$N,3,0)),"")</f>
        <v/>
      </c>
      <c r="J247" s="55" t="str">
        <f>IFERROR(IF($G247="","",VLOOKUP('Dashboard And Emails Automate'!$G247,Database!$H:$N,4,0)),"")</f>
        <v/>
      </c>
      <c r="K247" s="55" t="str">
        <f>IFERROR(IF($G247="","",VLOOKUP('Dashboard And Emails Automate'!$G247,Database!$H:$N,5,0)),"")</f>
        <v/>
      </c>
      <c r="L247" s="55" t="str">
        <f>IFERROR(IF($G247="","",VLOOKUP('Dashboard And Emails Automate'!$G247,Database!$H:$N,6,0)),"")</f>
        <v/>
      </c>
      <c r="M247" s="55" t="str">
        <f>IFERROR(IF($G247="","",VLOOKUP('Dashboard And Emails Automate'!$G247,Database!$H:$N,7,0)),"")</f>
        <v/>
      </c>
      <c r="N247" s="55" t="str">
        <f>IFERROR(IF(OR($B247="",$B247="(blank)"),"",VLOOKUP($B247,'Email Marketing Raw Data'!$C:$O,6,0)),"")</f>
        <v/>
      </c>
      <c r="O247" s="55" t="str">
        <f>IFERROR(IF(OR($B247="",$B247="(blank)"),"",VLOOKUP($B247,'Email Marketing Raw Data'!$C:$O,7,0)),"")</f>
        <v/>
      </c>
      <c r="P247" s="55" t="str">
        <f>IFERROR(IF(OR($B247="",$B247="(blank)"),"",VLOOKUP($B247,'Email Marketing Raw Data'!$C:$O,8,0)),"")</f>
        <v/>
      </c>
      <c r="Q247" s="62" t="str">
        <f>IFERROR(IF(OR($B247="",$B247="(blank)"),"",VLOOKUP($B247,'Email Marketing Raw Data'!$C:$O,9,0)),"")</f>
        <v/>
      </c>
    </row>
    <row r="248" spans="4:17" ht="12.75" customHeight="1" x14ac:dyDescent="0.2">
      <c r="D248" s="58" t="str">
        <f>IFERROR(IF(F248&lt;&gt;"pending","",IF(OR($B248="",$B248="(blank)"),"",VLOOKUP($B248,'Email Marketing Raw Data'!$C:$O,10,0))),"")</f>
        <v/>
      </c>
      <c r="E248" s="59" t="str">
        <f>IFERROR(IF(F248&lt;&gt;"pending","",IF(OR($B248="",$B248="(blank)"),"",VLOOKUP($B248,'Email Marketing Raw Data'!$C:$O,11,0))),"")</f>
        <v/>
      </c>
      <c r="F248" s="54" t="str">
        <f>IFERROR(IF(OR($B248="",$B248="(blank)"),"",VLOOKUP($B248,'Email Marketing Raw Data'!$C:$O,13,0)),"")</f>
        <v/>
      </c>
      <c r="G248" s="55" t="str">
        <f>IFERROR(IF(OR($B248="",$B248="(blank)"),"",VLOOKUP($B248,'Email Marketing Raw Data'!$C:$O,4,0)),"")</f>
        <v/>
      </c>
      <c r="H248" s="55" t="str">
        <f>IFERROR(IF(OR($B248="",$B248="(blank)"),"",VLOOKUP($B248,'Email Marketing Raw Data'!$C:$O,5,0)),"")</f>
        <v/>
      </c>
      <c r="I248" s="55" t="str">
        <f>IFERROR(IF($G248="","",VLOOKUP('Dashboard And Emails Automate'!$G248,Database!$H:$N,3,0)),"")</f>
        <v/>
      </c>
      <c r="J248" s="55" t="str">
        <f>IFERROR(IF($G248="","",VLOOKUP('Dashboard And Emails Automate'!$G248,Database!$H:$N,4,0)),"")</f>
        <v/>
      </c>
      <c r="K248" s="55" t="str">
        <f>IFERROR(IF($G248="","",VLOOKUP('Dashboard And Emails Automate'!$G248,Database!$H:$N,5,0)),"")</f>
        <v/>
      </c>
      <c r="L248" s="55" t="str">
        <f>IFERROR(IF($G248="","",VLOOKUP('Dashboard And Emails Automate'!$G248,Database!$H:$N,6,0)),"")</f>
        <v/>
      </c>
      <c r="M248" s="55" t="str">
        <f>IFERROR(IF($G248="","",VLOOKUP('Dashboard And Emails Automate'!$G248,Database!$H:$N,7,0)),"")</f>
        <v/>
      </c>
      <c r="N248" s="55" t="str">
        <f>IFERROR(IF(OR($B248="",$B248="(blank)"),"",VLOOKUP($B248,'Email Marketing Raw Data'!$C:$O,6,0)),"")</f>
        <v/>
      </c>
      <c r="O248" s="55" t="str">
        <f>IFERROR(IF(OR($B248="",$B248="(blank)"),"",VLOOKUP($B248,'Email Marketing Raw Data'!$C:$O,7,0)),"")</f>
        <v/>
      </c>
      <c r="P248" s="55" t="str">
        <f>IFERROR(IF(OR($B248="",$B248="(blank)"),"",VLOOKUP($B248,'Email Marketing Raw Data'!$C:$O,8,0)),"")</f>
        <v/>
      </c>
      <c r="Q248" s="62" t="str">
        <f>IFERROR(IF(OR($B248="",$B248="(blank)"),"",VLOOKUP($B248,'Email Marketing Raw Data'!$C:$O,9,0)),"")</f>
        <v/>
      </c>
    </row>
    <row r="249" spans="4:17" ht="12.75" customHeight="1" x14ac:dyDescent="0.2">
      <c r="D249" s="58" t="str">
        <f>IFERROR(IF(F249&lt;&gt;"pending","",IF(OR($B249="",$B249="(blank)"),"",VLOOKUP($B249,'Email Marketing Raw Data'!$C:$O,10,0))),"")</f>
        <v/>
      </c>
      <c r="E249" s="59" t="str">
        <f>IFERROR(IF(F249&lt;&gt;"pending","",IF(OR($B249="",$B249="(blank)"),"",VLOOKUP($B249,'Email Marketing Raw Data'!$C:$O,11,0))),"")</f>
        <v/>
      </c>
      <c r="F249" s="54" t="str">
        <f>IFERROR(IF(OR($B249="",$B249="(blank)"),"",VLOOKUP($B249,'Email Marketing Raw Data'!$C:$O,13,0)),"")</f>
        <v/>
      </c>
      <c r="G249" s="55" t="str">
        <f>IFERROR(IF(OR($B249="",$B249="(blank)"),"",VLOOKUP($B249,'Email Marketing Raw Data'!$C:$O,4,0)),"")</f>
        <v/>
      </c>
      <c r="H249" s="55" t="str">
        <f>IFERROR(IF(OR($B249="",$B249="(blank)"),"",VLOOKUP($B249,'Email Marketing Raw Data'!$C:$O,5,0)),"")</f>
        <v/>
      </c>
      <c r="I249" s="55" t="str">
        <f>IFERROR(IF($G249="","",VLOOKUP('Dashboard And Emails Automate'!$G249,Database!$H:$N,3,0)),"")</f>
        <v/>
      </c>
      <c r="J249" s="55" t="str">
        <f>IFERROR(IF($G249="","",VLOOKUP('Dashboard And Emails Automate'!$G249,Database!$H:$N,4,0)),"")</f>
        <v/>
      </c>
      <c r="K249" s="55" t="str">
        <f>IFERROR(IF($G249="","",VLOOKUP('Dashboard And Emails Automate'!$G249,Database!$H:$N,5,0)),"")</f>
        <v/>
      </c>
      <c r="L249" s="55" t="str">
        <f>IFERROR(IF($G249="","",VLOOKUP('Dashboard And Emails Automate'!$G249,Database!$H:$N,6,0)),"")</f>
        <v/>
      </c>
      <c r="M249" s="55" t="str">
        <f>IFERROR(IF($G249="","",VLOOKUP('Dashboard And Emails Automate'!$G249,Database!$H:$N,7,0)),"")</f>
        <v/>
      </c>
      <c r="N249" s="55" t="str">
        <f>IFERROR(IF(OR($B249="",$B249="(blank)"),"",VLOOKUP($B249,'Email Marketing Raw Data'!$C:$O,6,0)),"")</f>
        <v/>
      </c>
      <c r="O249" s="55" t="str">
        <f>IFERROR(IF(OR($B249="",$B249="(blank)"),"",VLOOKUP($B249,'Email Marketing Raw Data'!$C:$O,7,0)),"")</f>
        <v/>
      </c>
      <c r="P249" s="55" t="str">
        <f>IFERROR(IF(OR($B249="",$B249="(blank)"),"",VLOOKUP($B249,'Email Marketing Raw Data'!$C:$O,8,0)),"")</f>
        <v/>
      </c>
      <c r="Q249" s="62" t="str">
        <f>IFERROR(IF(OR($B249="",$B249="(blank)"),"",VLOOKUP($B249,'Email Marketing Raw Data'!$C:$O,9,0)),"")</f>
        <v/>
      </c>
    </row>
    <row r="250" spans="4:17" ht="12.75" customHeight="1" x14ac:dyDescent="0.2">
      <c r="D250" s="58" t="str">
        <f>IFERROR(IF(F250&lt;&gt;"pending","",IF(OR($B250="",$B250="(blank)"),"",VLOOKUP($B250,'Email Marketing Raw Data'!$C:$O,10,0))),"")</f>
        <v/>
      </c>
      <c r="E250" s="59" t="str">
        <f>IFERROR(IF(F250&lt;&gt;"pending","",IF(OR($B250="",$B250="(blank)"),"",VLOOKUP($B250,'Email Marketing Raw Data'!$C:$O,11,0))),"")</f>
        <v/>
      </c>
      <c r="F250" s="54" t="str">
        <f>IFERROR(IF(OR($B250="",$B250="(blank)"),"",VLOOKUP($B250,'Email Marketing Raw Data'!$C:$O,13,0)),"")</f>
        <v/>
      </c>
      <c r="G250" s="55" t="str">
        <f>IFERROR(IF(OR($B250="",$B250="(blank)"),"",VLOOKUP($B250,'Email Marketing Raw Data'!$C:$O,4,0)),"")</f>
        <v/>
      </c>
      <c r="H250" s="55" t="str">
        <f>IFERROR(IF(OR($B250="",$B250="(blank)"),"",VLOOKUP($B250,'Email Marketing Raw Data'!$C:$O,5,0)),"")</f>
        <v/>
      </c>
      <c r="I250" s="55" t="str">
        <f>IFERROR(IF($G250="","",VLOOKUP('Dashboard And Emails Automate'!$G250,Database!$H:$N,3,0)),"")</f>
        <v/>
      </c>
      <c r="J250" s="55" t="str">
        <f>IFERROR(IF($G250="","",VLOOKUP('Dashboard And Emails Automate'!$G250,Database!$H:$N,4,0)),"")</f>
        <v/>
      </c>
      <c r="K250" s="55" t="str">
        <f>IFERROR(IF($G250="","",VLOOKUP('Dashboard And Emails Automate'!$G250,Database!$H:$N,5,0)),"")</f>
        <v/>
      </c>
      <c r="L250" s="55" t="str">
        <f>IFERROR(IF($G250="","",VLOOKUP('Dashboard And Emails Automate'!$G250,Database!$H:$N,6,0)),"")</f>
        <v/>
      </c>
      <c r="M250" s="55" t="str">
        <f>IFERROR(IF($G250="","",VLOOKUP('Dashboard And Emails Automate'!$G250,Database!$H:$N,7,0)),"")</f>
        <v/>
      </c>
      <c r="N250" s="55" t="str">
        <f>IFERROR(IF(OR($B250="",$B250="(blank)"),"",VLOOKUP($B250,'Email Marketing Raw Data'!$C:$O,6,0)),"")</f>
        <v/>
      </c>
      <c r="O250" s="55" t="str">
        <f>IFERROR(IF(OR($B250="",$B250="(blank)"),"",VLOOKUP($B250,'Email Marketing Raw Data'!$C:$O,7,0)),"")</f>
        <v/>
      </c>
      <c r="P250" s="55" t="str">
        <f>IFERROR(IF(OR($B250="",$B250="(blank)"),"",VLOOKUP($B250,'Email Marketing Raw Data'!$C:$O,8,0)),"")</f>
        <v/>
      </c>
      <c r="Q250" s="62" t="str">
        <f>IFERROR(IF(OR($B250="",$B250="(blank)"),"",VLOOKUP($B250,'Email Marketing Raw Data'!$C:$O,9,0)),"")</f>
        <v/>
      </c>
    </row>
    <row r="251" spans="4:17" ht="12.75" customHeight="1" x14ac:dyDescent="0.2">
      <c r="D251" s="58" t="str">
        <f>IFERROR(IF(F251&lt;&gt;"pending","",IF(OR($B251="",$B251="(blank)"),"",VLOOKUP($B251,'Email Marketing Raw Data'!$C:$O,10,0))),"")</f>
        <v/>
      </c>
      <c r="E251" s="59" t="str">
        <f>IFERROR(IF(F251&lt;&gt;"pending","",IF(OR($B251="",$B251="(blank)"),"",VLOOKUP($B251,'Email Marketing Raw Data'!$C:$O,11,0))),"")</f>
        <v/>
      </c>
      <c r="F251" s="54" t="str">
        <f>IFERROR(IF(OR($B251="",$B251="(blank)"),"",VLOOKUP($B251,'Email Marketing Raw Data'!$C:$O,13,0)),"")</f>
        <v/>
      </c>
      <c r="G251" s="55" t="str">
        <f>IFERROR(IF(OR($B251="",$B251="(blank)"),"",VLOOKUP($B251,'Email Marketing Raw Data'!$C:$O,4,0)),"")</f>
        <v/>
      </c>
      <c r="H251" s="55" t="str">
        <f>IFERROR(IF(OR($B251="",$B251="(blank)"),"",VLOOKUP($B251,'Email Marketing Raw Data'!$C:$O,5,0)),"")</f>
        <v/>
      </c>
      <c r="I251" s="55" t="str">
        <f>IFERROR(IF($G251="","",VLOOKUP('Dashboard And Emails Automate'!$G251,Database!$H:$N,3,0)),"")</f>
        <v/>
      </c>
      <c r="J251" s="55" t="str">
        <f>IFERROR(IF($G251="","",VLOOKUP('Dashboard And Emails Automate'!$G251,Database!$H:$N,4,0)),"")</f>
        <v/>
      </c>
      <c r="K251" s="55" t="str">
        <f>IFERROR(IF($G251="","",VLOOKUP('Dashboard And Emails Automate'!$G251,Database!$H:$N,5,0)),"")</f>
        <v/>
      </c>
      <c r="L251" s="55" t="str">
        <f>IFERROR(IF($G251="","",VLOOKUP('Dashboard And Emails Automate'!$G251,Database!$H:$N,6,0)),"")</f>
        <v/>
      </c>
      <c r="M251" s="55" t="str">
        <f>IFERROR(IF($G251="","",VLOOKUP('Dashboard And Emails Automate'!$G251,Database!$H:$N,7,0)),"")</f>
        <v/>
      </c>
      <c r="N251" s="55" t="str">
        <f>IFERROR(IF(OR($B251="",$B251="(blank)"),"",VLOOKUP($B251,'Email Marketing Raw Data'!$C:$O,6,0)),"")</f>
        <v/>
      </c>
      <c r="O251" s="55" t="str">
        <f>IFERROR(IF(OR($B251="",$B251="(blank)"),"",VLOOKUP($B251,'Email Marketing Raw Data'!$C:$O,7,0)),"")</f>
        <v/>
      </c>
      <c r="P251" s="55" t="str">
        <f>IFERROR(IF(OR($B251="",$B251="(blank)"),"",VLOOKUP($B251,'Email Marketing Raw Data'!$C:$O,8,0)),"")</f>
        <v/>
      </c>
      <c r="Q251" s="62" t="str">
        <f>IFERROR(IF(OR($B251="",$B251="(blank)"),"",VLOOKUP($B251,'Email Marketing Raw Data'!$C:$O,9,0)),"")</f>
        <v/>
      </c>
    </row>
    <row r="252" spans="4:17" ht="12.75" customHeight="1" x14ac:dyDescent="0.2">
      <c r="D252" s="58" t="str">
        <f>IFERROR(IF(F252&lt;&gt;"pending","",IF(OR($B252="",$B252="(blank)"),"",VLOOKUP($B252,'Email Marketing Raw Data'!$C:$O,10,0))),"")</f>
        <v/>
      </c>
      <c r="E252" s="59" t="str">
        <f>IFERROR(IF(F252&lt;&gt;"pending","",IF(OR($B252="",$B252="(blank)"),"",VLOOKUP($B252,'Email Marketing Raw Data'!$C:$O,11,0))),"")</f>
        <v/>
      </c>
      <c r="F252" s="54" t="str">
        <f>IFERROR(IF(OR($B252="",$B252="(blank)"),"",VLOOKUP($B252,'Email Marketing Raw Data'!$C:$O,13,0)),"")</f>
        <v/>
      </c>
      <c r="G252" s="55" t="str">
        <f>IFERROR(IF(OR($B252="",$B252="(blank)"),"",VLOOKUP($B252,'Email Marketing Raw Data'!$C:$O,4,0)),"")</f>
        <v/>
      </c>
      <c r="H252" s="55" t="str">
        <f>IFERROR(IF(OR($B252="",$B252="(blank)"),"",VLOOKUP($B252,'Email Marketing Raw Data'!$C:$O,5,0)),"")</f>
        <v/>
      </c>
      <c r="I252" s="55" t="str">
        <f>IFERROR(IF($G252="","",VLOOKUP('Dashboard And Emails Automate'!$G252,Database!$H:$N,3,0)),"")</f>
        <v/>
      </c>
      <c r="J252" s="55" t="str">
        <f>IFERROR(IF($G252="","",VLOOKUP('Dashboard And Emails Automate'!$G252,Database!$H:$N,4,0)),"")</f>
        <v/>
      </c>
      <c r="K252" s="55" t="str">
        <f>IFERROR(IF($G252="","",VLOOKUP('Dashboard And Emails Automate'!$G252,Database!$H:$N,5,0)),"")</f>
        <v/>
      </c>
      <c r="L252" s="55" t="str">
        <f>IFERROR(IF($G252="","",VLOOKUP('Dashboard And Emails Automate'!$G252,Database!$H:$N,6,0)),"")</f>
        <v/>
      </c>
      <c r="M252" s="55" t="str">
        <f>IFERROR(IF($G252="","",VLOOKUP('Dashboard And Emails Automate'!$G252,Database!$H:$N,7,0)),"")</f>
        <v/>
      </c>
      <c r="N252" s="55" t="str">
        <f>IFERROR(IF(OR($B252="",$B252="(blank)"),"",VLOOKUP($B252,'Email Marketing Raw Data'!$C:$O,6,0)),"")</f>
        <v/>
      </c>
      <c r="O252" s="55" t="str">
        <f>IFERROR(IF(OR($B252="",$B252="(blank)"),"",VLOOKUP($B252,'Email Marketing Raw Data'!$C:$O,7,0)),"")</f>
        <v/>
      </c>
      <c r="P252" s="55" t="str">
        <f>IFERROR(IF(OR($B252="",$B252="(blank)"),"",VLOOKUP($B252,'Email Marketing Raw Data'!$C:$O,8,0)),"")</f>
        <v/>
      </c>
      <c r="Q252" s="62" t="str">
        <f>IFERROR(IF(OR($B252="",$B252="(blank)"),"",VLOOKUP($B252,'Email Marketing Raw Data'!$C:$O,9,0)),"")</f>
        <v/>
      </c>
    </row>
    <row r="253" spans="4:17" ht="12.75" customHeight="1" x14ac:dyDescent="0.2">
      <c r="D253" s="58" t="str">
        <f>IFERROR(IF(F253&lt;&gt;"pending","",IF(OR($B253="",$B253="(blank)"),"",VLOOKUP($B253,'Email Marketing Raw Data'!$C:$O,10,0))),"")</f>
        <v/>
      </c>
      <c r="E253" s="59" t="str">
        <f>IFERROR(IF(F253&lt;&gt;"pending","",IF(OR($B253="",$B253="(blank)"),"",VLOOKUP($B253,'Email Marketing Raw Data'!$C:$O,11,0))),"")</f>
        <v/>
      </c>
      <c r="F253" s="54" t="str">
        <f>IFERROR(IF(OR($B253="",$B253="(blank)"),"",VLOOKUP($B253,'Email Marketing Raw Data'!$C:$O,13,0)),"")</f>
        <v/>
      </c>
      <c r="G253" s="55" t="str">
        <f>IFERROR(IF(OR($B253="",$B253="(blank)"),"",VLOOKUP($B253,'Email Marketing Raw Data'!$C:$O,4,0)),"")</f>
        <v/>
      </c>
      <c r="H253" s="55" t="str">
        <f>IFERROR(IF(OR($B253="",$B253="(blank)"),"",VLOOKUP($B253,'Email Marketing Raw Data'!$C:$O,5,0)),"")</f>
        <v/>
      </c>
      <c r="I253" s="55" t="str">
        <f>IFERROR(IF($G253="","",VLOOKUP('Dashboard And Emails Automate'!$G253,Database!$H:$N,3,0)),"")</f>
        <v/>
      </c>
      <c r="J253" s="55" t="str">
        <f>IFERROR(IF($G253="","",VLOOKUP('Dashboard And Emails Automate'!$G253,Database!$H:$N,4,0)),"")</f>
        <v/>
      </c>
      <c r="K253" s="55" t="str">
        <f>IFERROR(IF($G253="","",VLOOKUP('Dashboard And Emails Automate'!$G253,Database!$H:$N,5,0)),"")</f>
        <v/>
      </c>
      <c r="L253" s="55" t="str">
        <f>IFERROR(IF($G253="","",VLOOKUP('Dashboard And Emails Automate'!$G253,Database!$H:$N,6,0)),"")</f>
        <v/>
      </c>
      <c r="M253" s="55" t="str">
        <f>IFERROR(IF($G253="","",VLOOKUP('Dashboard And Emails Automate'!$G253,Database!$H:$N,7,0)),"")</f>
        <v/>
      </c>
      <c r="N253" s="55" t="str">
        <f>IFERROR(IF(OR($B253="",$B253="(blank)"),"",VLOOKUP($B253,'Email Marketing Raw Data'!$C:$O,6,0)),"")</f>
        <v/>
      </c>
      <c r="O253" s="55" t="str">
        <f>IFERROR(IF(OR($B253="",$B253="(blank)"),"",VLOOKUP($B253,'Email Marketing Raw Data'!$C:$O,7,0)),"")</f>
        <v/>
      </c>
      <c r="P253" s="55" t="str">
        <f>IFERROR(IF(OR($B253="",$B253="(blank)"),"",VLOOKUP($B253,'Email Marketing Raw Data'!$C:$O,8,0)),"")</f>
        <v/>
      </c>
      <c r="Q253" s="62" t="str">
        <f>IFERROR(IF(OR($B253="",$B253="(blank)"),"",VLOOKUP($B253,'Email Marketing Raw Data'!$C:$O,9,0)),"")</f>
        <v/>
      </c>
    </row>
    <row r="254" spans="4:17" ht="12.75" customHeight="1" x14ac:dyDescent="0.2">
      <c r="D254" s="58" t="str">
        <f>IFERROR(IF(F254&lt;&gt;"pending","",IF(OR($B254="",$B254="(blank)"),"",VLOOKUP($B254,'Email Marketing Raw Data'!$C:$O,10,0))),"")</f>
        <v/>
      </c>
      <c r="E254" s="59" t="str">
        <f>IFERROR(IF(F254&lt;&gt;"pending","",IF(OR($B254="",$B254="(blank)"),"",VLOOKUP($B254,'Email Marketing Raw Data'!$C:$O,11,0))),"")</f>
        <v/>
      </c>
      <c r="F254" s="54" t="str">
        <f>IFERROR(IF(OR($B254="",$B254="(blank)"),"",VLOOKUP($B254,'Email Marketing Raw Data'!$C:$O,13,0)),"")</f>
        <v/>
      </c>
      <c r="G254" s="55" t="str">
        <f>IFERROR(IF(OR($B254="",$B254="(blank)"),"",VLOOKUP($B254,'Email Marketing Raw Data'!$C:$O,4,0)),"")</f>
        <v/>
      </c>
      <c r="H254" s="55" t="str">
        <f>IFERROR(IF(OR($B254="",$B254="(blank)"),"",VLOOKUP($B254,'Email Marketing Raw Data'!$C:$O,5,0)),"")</f>
        <v/>
      </c>
      <c r="I254" s="55" t="str">
        <f>IFERROR(IF($G254="","",VLOOKUP('Dashboard And Emails Automate'!$G254,Database!$H:$N,3,0)),"")</f>
        <v/>
      </c>
      <c r="J254" s="55" t="str">
        <f>IFERROR(IF($G254="","",VLOOKUP('Dashboard And Emails Automate'!$G254,Database!$H:$N,4,0)),"")</f>
        <v/>
      </c>
      <c r="K254" s="55" t="str">
        <f>IFERROR(IF($G254="","",VLOOKUP('Dashboard And Emails Automate'!$G254,Database!$H:$N,5,0)),"")</f>
        <v/>
      </c>
      <c r="L254" s="55" t="str">
        <f>IFERROR(IF($G254="","",VLOOKUP('Dashboard And Emails Automate'!$G254,Database!$H:$N,6,0)),"")</f>
        <v/>
      </c>
      <c r="M254" s="55" t="str">
        <f>IFERROR(IF($G254="","",VLOOKUP('Dashboard And Emails Automate'!$G254,Database!$H:$N,7,0)),"")</f>
        <v/>
      </c>
      <c r="N254" s="55" t="str">
        <f>IFERROR(IF(OR($B254="",$B254="(blank)"),"",VLOOKUP($B254,'Email Marketing Raw Data'!$C:$O,6,0)),"")</f>
        <v/>
      </c>
      <c r="O254" s="55" t="str">
        <f>IFERROR(IF(OR($B254="",$B254="(blank)"),"",VLOOKUP($B254,'Email Marketing Raw Data'!$C:$O,7,0)),"")</f>
        <v/>
      </c>
      <c r="P254" s="55" t="str">
        <f>IFERROR(IF(OR($B254="",$B254="(blank)"),"",VLOOKUP($B254,'Email Marketing Raw Data'!$C:$O,8,0)),"")</f>
        <v/>
      </c>
      <c r="Q254" s="62" t="str">
        <f>IFERROR(IF(OR($B254="",$B254="(blank)"),"",VLOOKUP($B254,'Email Marketing Raw Data'!$C:$O,9,0)),"")</f>
        <v/>
      </c>
    </row>
    <row r="255" spans="4:17" ht="12.75" customHeight="1" x14ac:dyDescent="0.2">
      <c r="D255" s="58" t="str">
        <f>IFERROR(IF(F255&lt;&gt;"pending","",IF(OR($B255="",$B255="(blank)"),"",VLOOKUP($B255,'Email Marketing Raw Data'!$C:$O,10,0))),"")</f>
        <v/>
      </c>
      <c r="E255" s="59" t="str">
        <f>IFERROR(IF(F255&lt;&gt;"pending","",IF(OR($B255="",$B255="(blank)"),"",VLOOKUP($B255,'Email Marketing Raw Data'!$C:$O,11,0))),"")</f>
        <v/>
      </c>
      <c r="F255" s="54" t="str">
        <f>IFERROR(IF(OR($B255="",$B255="(blank)"),"",VLOOKUP($B255,'Email Marketing Raw Data'!$C:$O,13,0)),"")</f>
        <v/>
      </c>
      <c r="G255" s="55" t="str">
        <f>IFERROR(IF(OR($B255="",$B255="(blank)"),"",VLOOKUP($B255,'Email Marketing Raw Data'!$C:$O,4,0)),"")</f>
        <v/>
      </c>
      <c r="H255" s="55" t="str">
        <f>IFERROR(IF(OR($B255="",$B255="(blank)"),"",VLOOKUP($B255,'Email Marketing Raw Data'!$C:$O,5,0)),"")</f>
        <v/>
      </c>
      <c r="I255" s="55" t="str">
        <f>IFERROR(IF($G255="","",VLOOKUP('Dashboard And Emails Automate'!$G255,Database!$H:$N,3,0)),"")</f>
        <v/>
      </c>
      <c r="J255" s="55" t="str">
        <f>IFERROR(IF($G255="","",VLOOKUP('Dashboard And Emails Automate'!$G255,Database!$H:$N,4,0)),"")</f>
        <v/>
      </c>
      <c r="K255" s="55" t="str">
        <f>IFERROR(IF($G255="","",VLOOKUP('Dashboard And Emails Automate'!$G255,Database!$H:$N,5,0)),"")</f>
        <v/>
      </c>
      <c r="L255" s="55" t="str">
        <f>IFERROR(IF($G255="","",VLOOKUP('Dashboard And Emails Automate'!$G255,Database!$H:$N,6,0)),"")</f>
        <v/>
      </c>
      <c r="M255" s="55" t="str">
        <f>IFERROR(IF($G255="","",VLOOKUP('Dashboard And Emails Automate'!$G255,Database!$H:$N,7,0)),"")</f>
        <v/>
      </c>
      <c r="N255" s="55" t="str">
        <f>IFERROR(IF(OR($B255="",$B255="(blank)"),"",VLOOKUP($B255,'Email Marketing Raw Data'!$C:$O,6,0)),"")</f>
        <v/>
      </c>
      <c r="O255" s="55" t="str">
        <f>IFERROR(IF(OR($B255="",$B255="(blank)"),"",VLOOKUP($B255,'Email Marketing Raw Data'!$C:$O,7,0)),"")</f>
        <v/>
      </c>
      <c r="P255" s="55" t="str">
        <f>IFERROR(IF(OR($B255="",$B255="(blank)"),"",VLOOKUP($B255,'Email Marketing Raw Data'!$C:$O,8,0)),"")</f>
        <v/>
      </c>
      <c r="Q255" s="62" t="str">
        <f>IFERROR(IF(OR($B255="",$B255="(blank)"),"",VLOOKUP($B255,'Email Marketing Raw Data'!$C:$O,9,0)),"")</f>
        <v/>
      </c>
    </row>
    <row r="256" spans="4:17" ht="12.75" customHeight="1" x14ac:dyDescent="0.2">
      <c r="D256" s="58" t="str">
        <f>IFERROR(IF(F256&lt;&gt;"pending","",IF(OR($B256="",$B256="(blank)"),"",VLOOKUP($B256,'Email Marketing Raw Data'!$C:$O,10,0))),"")</f>
        <v/>
      </c>
      <c r="E256" s="59" t="str">
        <f>IFERROR(IF(F256&lt;&gt;"pending","",IF(OR($B256="",$B256="(blank)"),"",VLOOKUP($B256,'Email Marketing Raw Data'!$C:$O,11,0))),"")</f>
        <v/>
      </c>
      <c r="F256" s="54" t="str">
        <f>IFERROR(IF(OR($B256="",$B256="(blank)"),"",VLOOKUP($B256,'Email Marketing Raw Data'!$C:$O,13,0)),"")</f>
        <v/>
      </c>
      <c r="G256" s="55" t="str">
        <f>IFERROR(IF(OR($B256="",$B256="(blank)"),"",VLOOKUP($B256,'Email Marketing Raw Data'!$C:$O,4,0)),"")</f>
        <v/>
      </c>
      <c r="H256" s="55" t="str">
        <f>IFERROR(IF(OR($B256="",$B256="(blank)"),"",VLOOKUP($B256,'Email Marketing Raw Data'!$C:$O,5,0)),"")</f>
        <v/>
      </c>
      <c r="I256" s="55" t="str">
        <f>IFERROR(IF($G256="","",VLOOKUP('Dashboard And Emails Automate'!$G256,Database!$H:$N,3,0)),"")</f>
        <v/>
      </c>
      <c r="J256" s="55" t="str">
        <f>IFERROR(IF($G256="","",VLOOKUP('Dashboard And Emails Automate'!$G256,Database!$H:$N,4,0)),"")</f>
        <v/>
      </c>
      <c r="K256" s="55" t="str">
        <f>IFERROR(IF($G256="","",VLOOKUP('Dashboard And Emails Automate'!$G256,Database!$H:$N,5,0)),"")</f>
        <v/>
      </c>
      <c r="L256" s="55" t="str">
        <f>IFERROR(IF($G256="","",VLOOKUP('Dashboard And Emails Automate'!$G256,Database!$H:$N,6,0)),"")</f>
        <v/>
      </c>
      <c r="M256" s="55" t="str">
        <f>IFERROR(IF($G256="","",VLOOKUP('Dashboard And Emails Automate'!$G256,Database!$H:$N,7,0)),"")</f>
        <v/>
      </c>
      <c r="N256" s="55" t="str">
        <f>IFERROR(IF(OR($B256="",$B256="(blank)"),"",VLOOKUP($B256,'Email Marketing Raw Data'!$C:$O,6,0)),"")</f>
        <v/>
      </c>
      <c r="O256" s="55" t="str">
        <f>IFERROR(IF(OR($B256="",$B256="(blank)"),"",VLOOKUP($B256,'Email Marketing Raw Data'!$C:$O,7,0)),"")</f>
        <v/>
      </c>
      <c r="P256" s="55" t="str">
        <f>IFERROR(IF(OR($B256="",$B256="(blank)"),"",VLOOKUP($B256,'Email Marketing Raw Data'!$C:$O,8,0)),"")</f>
        <v/>
      </c>
      <c r="Q256" s="62" t="str">
        <f>IFERROR(IF(OR($B256="",$B256="(blank)"),"",VLOOKUP($B256,'Email Marketing Raw Data'!$C:$O,9,0)),"")</f>
        <v/>
      </c>
    </row>
    <row r="257" spans="4:17" ht="12.75" customHeight="1" x14ac:dyDescent="0.2">
      <c r="D257" s="58" t="str">
        <f>IFERROR(IF(F257&lt;&gt;"pending","",IF(OR($B257="",$B257="(blank)"),"",VLOOKUP($B257,'Email Marketing Raw Data'!$C:$O,10,0))),"")</f>
        <v/>
      </c>
      <c r="E257" s="59" t="str">
        <f>IFERROR(IF(F257&lt;&gt;"pending","",IF(OR($B257="",$B257="(blank)"),"",VLOOKUP($B257,'Email Marketing Raw Data'!$C:$O,11,0))),"")</f>
        <v/>
      </c>
      <c r="F257" s="54" t="str">
        <f>IFERROR(IF(OR($B257="",$B257="(blank)"),"",VLOOKUP($B257,'Email Marketing Raw Data'!$C:$O,13,0)),"")</f>
        <v/>
      </c>
      <c r="G257" s="55" t="str">
        <f>IFERROR(IF(OR($B257="",$B257="(blank)"),"",VLOOKUP($B257,'Email Marketing Raw Data'!$C:$O,4,0)),"")</f>
        <v/>
      </c>
      <c r="H257" s="55" t="str">
        <f>IFERROR(IF(OR($B257="",$B257="(blank)"),"",VLOOKUP($B257,'Email Marketing Raw Data'!$C:$O,5,0)),"")</f>
        <v/>
      </c>
      <c r="I257" s="55" t="str">
        <f>IFERROR(IF($G257="","",VLOOKUP('Dashboard And Emails Automate'!$G257,Database!$H:$N,3,0)),"")</f>
        <v/>
      </c>
      <c r="J257" s="55" t="str">
        <f>IFERROR(IF($G257="","",VLOOKUP('Dashboard And Emails Automate'!$G257,Database!$H:$N,4,0)),"")</f>
        <v/>
      </c>
      <c r="K257" s="55" t="str">
        <f>IFERROR(IF($G257="","",VLOOKUP('Dashboard And Emails Automate'!$G257,Database!$H:$N,5,0)),"")</f>
        <v/>
      </c>
      <c r="L257" s="55" t="str">
        <f>IFERROR(IF($G257="","",VLOOKUP('Dashboard And Emails Automate'!$G257,Database!$H:$N,6,0)),"")</f>
        <v/>
      </c>
      <c r="M257" s="55" t="str">
        <f>IFERROR(IF($G257="","",VLOOKUP('Dashboard And Emails Automate'!$G257,Database!$H:$N,7,0)),"")</f>
        <v/>
      </c>
      <c r="N257" s="55" t="str">
        <f>IFERROR(IF(OR($B257="",$B257="(blank)"),"",VLOOKUP($B257,'Email Marketing Raw Data'!$C:$O,6,0)),"")</f>
        <v/>
      </c>
      <c r="O257" s="55" t="str">
        <f>IFERROR(IF(OR($B257="",$B257="(blank)"),"",VLOOKUP($B257,'Email Marketing Raw Data'!$C:$O,7,0)),"")</f>
        <v/>
      </c>
      <c r="P257" s="55" t="str">
        <f>IFERROR(IF(OR($B257="",$B257="(blank)"),"",VLOOKUP($B257,'Email Marketing Raw Data'!$C:$O,8,0)),"")</f>
        <v/>
      </c>
      <c r="Q257" s="62" t="str">
        <f>IFERROR(IF(OR($B257="",$B257="(blank)"),"",VLOOKUP($B257,'Email Marketing Raw Data'!$C:$O,9,0)),"")</f>
        <v/>
      </c>
    </row>
    <row r="258" spans="4:17" ht="12.75" customHeight="1" x14ac:dyDescent="0.2">
      <c r="D258" s="58" t="str">
        <f>IFERROR(IF(F258&lt;&gt;"pending","",IF(OR($B258="",$B258="(blank)"),"",VLOOKUP($B258,'Email Marketing Raw Data'!$C:$O,10,0))),"")</f>
        <v/>
      </c>
      <c r="E258" s="59" t="str">
        <f>IFERROR(IF(F258&lt;&gt;"pending","",IF(OR($B258="",$B258="(blank)"),"",VLOOKUP($B258,'Email Marketing Raw Data'!$C:$O,11,0))),"")</f>
        <v/>
      </c>
      <c r="F258" s="54" t="str">
        <f>IFERROR(IF(OR($B258="",$B258="(blank)"),"",VLOOKUP($B258,'Email Marketing Raw Data'!$C:$O,13,0)),"")</f>
        <v/>
      </c>
      <c r="G258" s="55" t="str">
        <f>IFERROR(IF(OR($B258="",$B258="(blank)"),"",VLOOKUP($B258,'Email Marketing Raw Data'!$C:$O,4,0)),"")</f>
        <v/>
      </c>
      <c r="H258" s="55" t="str">
        <f>IFERROR(IF(OR($B258="",$B258="(blank)"),"",VLOOKUP($B258,'Email Marketing Raw Data'!$C:$O,5,0)),"")</f>
        <v/>
      </c>
      <c r="I258" s="55" t="str">
        <f>IFERROR(IF($G258="","",VLOOKUP('Dashboard And Emails Automate'!$G258,Database!$H:$N,3,0)),"")</f>
        <v/>
      </c>
      <c r="J258" s="55" t="str">
        <f>IFERROR(IF($G258="","",VLOOKUP('Dashboard And Emails Automate'!$G258,Database!$H:$N,4,0)),"")</f>
        <v/>
      </c>
      <c r="K258" s="55" t="str">
        <f>IFERROR(IF($G258="","",VLOOKUP('Dashboard And Emails Automate'!$G258,Database!$H:$N,5,0)),"")</f>
        <v/>
      </c>
      <c r="L258" s="55" t="str">
        <f>IFERROR(IF($G258="","",VLOOKUP('Dashboard And Emails Automate'!$G258,Database!$H:$N,6,0)),"")</f>
        <v/>
      </c>
      <c r="M258" s="55" t="str">
        <f>IFERROR(IF($G258="","",VLOOKUP('Dashboard And Emails Automate'!$G258,Database!$H:$N,7,0)),"")</f>
        <v/>
      </c>
      <c r="N258" s="55" t="str">
        <f>IFERROR(IF(OR($B258="",$B258="(blank)"),"",VLOOKUP($B258,'Email Marketing Raw Data'!$C:$O,6,0)),"")</f>
        <v/>
      </c>
      <c r="O258" s="55" t="str">
        <f>IFERROR(IF(OR($B258="",$B258="(blank)"),"",VLOOKUP($B258,'Email Marketing Raw Data'!$C:$O,7,0)),"")</f>
        <v/>
      </c>
      <c r="P258" s="55" t="str">
        <f>IFERROR(IF(OR($B258="",$B258="(blank)"),"",VLOOKUP($B258,'Email Marketing Raw Data'!$C:$O,8,0)),"")</f>
        <v/>
      </c>
      <c r="Q258" s="62" t="str">
        <f>IFERROR(IF(OR($B258="",$B258="(blank)"),"",VLOOKUP($B258,'Email Marketing Raw Data'!$C:$O,9,0)),"")</f>
        <v/>
      </c>
    </row>
    <row r="259" spans="4:17" ht="12.75" customHeight="1" x14ac:dyDescent="0.2">
      <c r="D259" s="58" t="str">
        <f>IFERROR(IF(F259&lt;&gt;"pending","",IF(OR($B259="",$B259="(blank)"),"",VLOOKUP($B259,'Email Marketing Raw Data'!$C:$O,10,0))),"")</f>
        <v/>
      </c>
      <c r="E259" s="59" t="str">
        <f>IFERROR(IF(F259&lt;&gt;"pending","",IF(OR($B259="",$B259="(blank)"),"",VLOOKUP($B259,'Email Marketing Raw Data'!$C:$O,11,0))),"")</f>
        <v/>
      </c>
      <c r="F259" s="54" t="str">
        <f>IFERROR(IF(OR($B259="",$B259="(blank)"),"",VLOOKUP($B259,'Email Marketing Raw Data'!$C:$O,13,0)),"")</f>
        <v/>
      </c>
      <c r="G259" s="55" t="str">
        <f>IFERROR(IF(OR($B259="",$B259="(blank)"),"",VLOOKUP($B259,'Email Marketing Raw Data'!$C:$O,4,0)),"")</f>
        <v/>
      </c>
      <c r="H259" s="55" t="str">
        <f>IFERROR(IF(OR($B259="",$B259="(blank)"),"",VLOOKUP($B259,'Email Marketing Raw Data'!$C:$O,5,0)),"")</f>
        <v/>
      </c>
      <c r="I259" s="55" t="str">
        <f>IFERROR(IF($G259="","",VLOOKUP('Dashboard And Emails Automate'!$G259,Database!$H:$N,3,0)),"")</f>
        <v/>
      </c>
      <c r="J259" s="55" t="str">
        <f>IFERROR(IF($G259="","",VLOOKUP('Dashboard And Emails Automate'!$G259,Database!$H:$N,4,0)),"")</f>
        <v/>
      </c>
      <c r="K259" s="55" t="str">
        <f>IFERROR(IF($G259="","",VLOOKUP('Dashboard And Emails Automate'!$G259,Database!$H:$N,5,0)),"")</f>
        <v/>
      </c>
      <c r="L259" s="55" t="str">
        <f>IFERROR(IF($G259="","",VLOOKUP('Dashboard And Emails Automate'!$G259,Database!$H:$N,6,0)),"")</f>
        <v/>
      </c>
      <c r="M259" s="55" t="str">
        <f>IFERROR(IF($G259="","",VLOOKUP('Dashboard And Emails Automate'!$G259,Database!$H:$N,7,0)),"")</f>
        <v/>
      </c>
      <c r="N259" s="55" t="str">
        <f>IFERROR(IF(OR($B259="",$B259="(blank)"),"",VLOOKUP($B259,'Email Marketing Raw Data'!$C:$O,6,0)),"")</f>
        <v/>
      </c>
      <c r="O259" s="55" t="str">
        <f>IFERROR(IF(OR($B259="",$B259="(blank)"),"",VLOOKUP($B259,'Email Marketing Raw Data'!$C:$O,7,0)),"")</f>
        <v/>
      </c>
      <c r="P259" s="55" t="str">
        <f>IFERROR(IF(OR($B259="",$B259="(blank)"),"",VLOOKUP($B259,'Email Marketing Raw Data'!$C:$O,8,0)),"")</f>
        <v/>
      </c>
      <c r="Q259" s="62" t="str">
        <f>IFERROR(IF(OR($B259="",$B259="(blank)"),"",VLOOKUP($B259,'Email Marketing Raw Data'!$C:$O,9,0)),"")</f>
        <v/>
      </c>
    </row>
    <row r="260" spans="4:17" ht="12.75" customHeight="1" x14ac:dyDescent="0.2">
      <c r="D260" s="58" t="str">
        <f>IFERROR(IF(F260&lt;&gt;"pending","",IF(OR($B260="",$B260="(blank)"),"",VLOOKUP($B260,'Email Marketing Raw Data'!$C:$O,10,0))),"")</f>
        <v/>
      </c>
      <c r="E260" s="59" t="str">
        <f>IFERROR(IF(F260&lt;&gt;"pending","",IF(OR($B260="",$B260="(blank)"),"",VLOOKUP($B260,'Email Marketing Raw Data'!$C:$O,11,0))),"")</f>
        <v/>
      </c>
      <c r="F260" s="54" t="str">
        <f>IFERROR(IF(OR($B260="",$B260="(blank)"),"",VLOOKUP($B260,'Email Marketing Raw Data'!$C:$O,13,0)),"")</f>
        <v/>
      </c>
      <c r="G260" s="55" t="str">
        <f>IFERROR(IF(OR($B260="",$B260="(blank)"),"",VLOOKUP($B260,'Email Marketing Raw Data'!$C:$O,4,0)),"")</f>
        <v/>
      </c>
      <c r="H260" s="55" t="str">
        <f>IFERROR(IF(OR($B260="",$B260="(blank)"),"",VLOOKUP($B260,'Email Marketing Raw Data'!$C:$O,5,0)),"")</f>
        <v/>
      </c>
      <c r="I260" s="55" t="str">
        <f>IFERROR(IF($G260="","",VLOOKUP('Dashboard And Emails Automate'!$G260,Database!$H:$N,3,0)),"")</f>
        <v/>
      </c>
      <c r="J260" s="55" t="str">
        <f>IFERROR(IF($G260="","",VLOOKUP('Dashboard And Emails Automate'!$G260,Database!$H:$N,4,0)),"")</f>
        <v/>
      </c>
      <c r="K260" s="55" t="str">
        <f>IFERROR(IF($G260="","",VLOOKUP('Dashboard And Emails Automate'!$G260,Database!$H:$N,5,0)),"")</f>
        <v/>
      </c>
      <c r="L260" s="55" t="str">
        <f>IFERROR(IF($G260="","",VLOOKUP('Dashboard And Emails Automate'!$G260,Database!$H:$N,6,0)),"")</f>
        <v/>
      </c>
      <c r="M260" s="55" t="str">
        <f>IFERROR(IF($G260="","",VLOOKUP('Dashboard And Emails Automate'!$G260,Database!$H:$N,7,0)),"")</f>
        <v/>
      </c>
      <c r="N260" s="55" t="str">
        <f>IFERROR(IF(OR($B260="",$B260="(blank)"),"",VLOOKUP($B260,'Email Marketing Raw Data'!$C:$O,6,0)),"")</f>
        <v/>
      </c>
      <c r="O260" s="55" t="str">
        <f>IFERROR(IF(OR($B260="",$B260="(blank)"),"",VLOOKUP($B260,'Email Marketing Raw Data'!$C:$O,7,0)),"")</f>
        <v/>
      </c>
      <c r="P260" s="55" t="str">
        <f>IFERROR(IF(OR($B260="",$B260="(blank)"),"",VLOOKUP($B260,'Email Marketing Raw Data'!$C:$O,8,0)),"")</f>
        <v/>
      </c>
      <c r="Q260" s="62" t="str">
        <f>IFERROR(IF(OR($B260="",$B260="(blank)"),"",VLOOKUP($B260,'Email Marketing Raw Data'!$C:$O,9,0)),"")</f>
        <v/>
      </c>
    </row>
    <row r="261" spans="4:17" ht="12.75" customHeight="1" x14ac:dyDescent="0.2">
      <c r="D261" s="58" t="str">
        <f>IFERROR(IF(F261&lt;&gt;"pending","",IF(OR($B261="",$B261="(blank)"),"",VLOOKUP($B261,'Email Marketing Raw Data'!$C:$O,10,0))),"")</f>
        <v/>
      </c>
      <c r="E261" s="59" t="str">
        <f>IFERROR(IF(F261&lt;&gt;"pending","",IF(OR($B261="",$B261="(blank)"),"",VLOOKUP($B261,'Email Marketing Raw Data'!$C:$O,11,0))),"")</f>
        <v/>
      </c>
      <c r="F261" s="54" t="str">
        <f>IFERROR(IF(OR($B261="",$B261="(blank)"),"",VLOOKUP($B261,'Email Marketing Raw Data'!$C:$O,13,0)),"")</f>
        <v/>
      </c>
      <c r="G261" s="55" t="str">
        <f>IFERROR(IF(OR($B261="",$B261="(blank)"),"",VLOOKUP($B261,'Email Marketing Raw Data'!$C:$O,4,0)),"")</f>
        <v/>
      </c>
      <c r="H261" s="55" t="str">
        <f>IFERROR(IF(OR($B261="",$B261="(blank)"),"",VLOOKUP($B261,'Email Marketing Raw Data'!$C:$O,5,0)),"")</f>
        <v/>
      </c>
      <c r="I261" s="55" t="str">
        <f>IFERROR(IF($G261="","",VLOOKUP('Dashboard And Emails Automate'!$G261,Database!$H:$N,3,0)),"")</f>
        <v/>
      </c>
      <c r="J261" s="55" t="str">
        <f>IFERROR(IF($G261="","",VLOOKUP('Dashboard And Emails Automate'!$G261,Database!$H:$N,4,0)),"")</f>
        <v/>
      </c>
      <c r="K261" s="55" t="str">
        <f>IFERROR(IF($G261="","",VLOOKUP('Dashboard And Emails Automate'!$G261,Database!$H:$N,5,0)),"")</f>
        <v/>
      </c>
      <c r="L261" s="55" t="str">
        <f>IFERROR(IF($G261="","",VLOOKUP('Dashboard And Emails Automate'!$G261,Database!$H:$N,6,0)),"")</f>
        <v/>
      </c>
      <c r="M261" s="55" t="str">
        <f>IFERROR(IF($G261="","",VLOOKUP('Dashboard And Emails Automate'!$G261,Database!$H:$N,7,0)),"")</f>
        <v/>
      </c>
      <c r="N261" s="55" t="str">
        <f>IFERROR(IF(OR($B261="",$B261="(blank)"),"",VLOOKUP($B261,'Email Marketing Raw Data'!$C:$O,6,0)),"")</f>
        <v/>
      </c>
      <c r="O261" s="55" t="str">
        <f>IFERROR(IF(OR($B261="",$B261="(blank)"),"",VLOOKUP($B261,'Email Marketing Raw Data'!$C:$O,7,0)),"")</f>
        <v/>
      </c>
      <c r="P261" s="55" t="str">
        <f>IFERROR(IF(OR($B261="",$B261="(blank)"),"",VLOOKUP($B261,'Email Marketing Raw Data'!$C:$O,8,0)),"")</f>
        <v/>
      </c>
      <c r="Q261" s="62" t="str">
        <f>IFERROR(IF(OR($B261="",$B261="(blank)"),"",VLOOKUP($B261,'Email Marketing Raw Data'!$C:$O,9,0)),"")</f>
        <v/>
      </c>
    </row>
    <row r="262" spans="4:17" ht="12.75" customHeight="1" x14ac:dyDescent="0.2">
      <c r="D262" s="58" t="str">
        <f>IFERROR(IF(F262&lt;&gt;"pending","",IF(OR($B262="",$B262="(blank)"),"",VLOOKUP($B262,'Email Marketing Raw Data'!$C:$O,10,0))),"")</f>
        <v/>
      </c>
      <c r="E262" s="59" t="str">
        <f>IFERROR(IF(F262&lt;&gt;"pending","",IF(OR($B262="",$B262="(blank)"),"",VLOOKUP($B262,'Email Marketing Raw Data'!$C:$O,11,0))),"")</f>
        <v/>
      </c>
      <c r="F262" s="54" t="str">
        <f>IFERROR(IF(OR($B262="",$B262="(blank)"),"",VLOOKUP($B262,'Email Marketing Raw Data'!$C:$O,13,0)),"")</f>
        <v/>
      </c>
      <c r="G262" s="55" t="str">
        <f>IFERROR(IF(OR($B262="",$B262="(blank)"),"",VLOOKUP($B262,'Email Marketing Raw Data'!$C:$O,4,0)),"")</f>
        <v/>
      </c>
      <c r="H262" s="55" t="str">
        <f>IFERROR(IF(OR($B262="",$B262="(blank)"),"",VLOOKUP($B262,'Email Marketing Raw Data'!$C:$O,5,0)),"")</f>
        <v/>
      </c>
      <c r="I262" s="55" t="str">
        <f>IFERROR(IF($G262="","",VLOOKUP('Dashboard And Emails Automate'!$G262,Database!$H:$N,3,0)),"")</f>
        <v/>
      </c>
      <c r="J262" s="55" t="str">
        <f>IFERROR(IF($G262="","",VLOOKUP('Dashboard And Emails Automate'!$G262,Database!$H:$N,4,0)),"")</f>
        <v/>
      </c>
      <c r="K262" s="55" t="str">
        <f>IFERROR(IF($G262="","",VLOOKUP('Dashboard And Emails Automate'!$G262,Database!$H:$N,5,0)),"")</f>
        <v/>
      </c>
      <c r="L262" s="55" t="str">
        <f>IFERROR(IF($G262="","",VLOOKUP('Dashboard And Emails Automate'!$G262,Database!$H:$N,6,0)),"")</f>
        <v/>
      </c>
      <c r="M262" s="55" t="str">
        <f>IFERROR(IF($G262="","",VLOOKUP('Dashboard And Emails Automate'!$G262,Database!$H:$N,7,0)),"")</f>
        <v/>
      </c>
      <c r="N262" s="55" t="str">
        <f>IFERROR(IF(OR($B262="",$B262="(blank)"),"",VLOOKUP($B262,'Email Marketing Raw Data'!$C:$O,6,0)),"")</f>
        <v/>
      </c>
      <c r="O262" s="55" t="str">
        <f>IFERROR(IF(OR($B262="",$B262="(blank)"),"",VLOOKUP($B262,'Email Marketing Raw Data'!$C:$O,7,0)),"")</f>
        <v/>
      </c>
      <c r="P262" s="55" t="str">
        <f>IFERROR(IF(OR($B262="",$B262="(blank)"),"",VLOOKUP($B262,'Email Marketing Raw Data'!$C:$O,8,0)),"")</f>
        <v/>
      </c>
      <c r="Q262" s="62" t="str">
        <f>IFERROR(IF(OR($B262="",$B262="(blank)"),"",VLOOKUP($B262,'Email Marketing Raw Data'!$C:$O,9,0)),"")</f>
        <v/>
      </c>
    </row>
    <row r="263" spans="4:17" ht="12.75" customHeight="1" x14ac:dyDescent="0.2">
      <c r="D263" s="58" t="str">
        <f>IFERROR(IF(F263&lt;&gt;"pending","",IF(OR($B263="",$B263="(blank)"),"",VLOOKUP($B263,'Email Marketing Raw Data'!$C:$O,10,0))),"")</f>
        <v/>
      </c>
      <c r="E263" s="59" t="str">
        <f>IFERROR(IF(F263&lt;&gt;"pending","",IF(OR($B263="",$B263="(blank)"),"",VLOOKUP($B263,'Email Marketing Raw Data'!$C:$O,11,0))),"")</f>
        <v/>
      </c>
      <c r="F263" s="54" t="str">
        <f>IFERROR(IF(OR($B263="",$B263="(blank)"),"",VLOOKUP($B263,'Email Marketing Raw Data'!$C:$O,13,0)),"")</f>
        <v/>
      </c>
      <c r="G263" s="55" t="str">
        <f>IFERROR(IF(OR($B263="",$B263="(blank)"),"",VLOOKUP($B263,'Email Marketing Raw Data'!$C:$O,4,0)),"")</f>
        <v/>
      </c>
      <c r="H263" s="55" t="str">
        <f>IFERROR(IF(OR($B263="",$B263="(blank)"),"",VLOOKUP($B263,'Email Marketing Raw Data'!$C:$O,5,0)),"")</f>
        <v/>
      </c>
      <c r="I263" s="55" t="str">
        <f>IFERROR(IF($G263="","",VLOOKUP('Dashboard And Emails Automate'!$G263,Database!$H:$N,3,0)),"")</f>
        <v/>
      </c>
      <c r="J263" s="55" t="str">
        <f>IFERROR(IF($G263="","",VLOOKUP('Dashboard And Emails Automate'!$G263,Database!$H:$N,4,0)),"")</f>
        <v/>
      </c>
      <c r="K263" s="55" t="str">
        <f>IFERROR(IF($G263="","",VLOOKUP('Dashboard And Emails Automate'!$G263,Database!$H:$N,5,0)),"")</f>
        <v/>
      </c>
      <c r="L263" s="55" t="str">
        <f>IFERROR(IF($G263="","",VLOOKUP('Dashboard And Emails Automate'!$G263,Database!$H:$N,6,0)),"")</f>
        <v/>
      </c>
      <c r="M263" s="55" t="str">
        <f>IFERROR(IF($G263="","",VLOOKUP('Dashboard And Emails Automate'!$G263,Database!$H:$N,7,0)),"")</f>
        <v/>
      </c>
      <c r="N263" s="55" t="str">
        <f>IFERROR(IF(OR($B263="",$B263="(blank)"),"",VLOOKUP($B263,'Email Marketing Raw Data'!$C:$O,6,0)),"")</f>
        <v/>
      </c>
      <c r="O263" s="55" t="str">
        <f>IFERROR(IF(OR($B263="",$B263="(blank)"),"",VLOOKUP($B263,'Email Marketing Raw Data'!$C:$O,7,0)),"")</f>
        <v/>
      </c>
      <c r="P263" s="55" t="str">
        <f>IFERROR(IF(OR($B263="",$B263="(blank)"),"",VLOOKUP($B263,'Email Marketing Raw Data'!$C:$O,8,0)),"")</f>
        <v/>
      </c>
      <c r="Q263" s="62" t="str">
        <f>IFERROR(IF(OR($B263="",$B263="(blank)"),"",VLOOKUP($B263,'Email Marketing Raw Data'!$C:$O,9,0)),"")</f>
        <v/>
      </c>
    </row>
    <row r="264" spans="4:17" ht="12.75" customHeight="1" x14ac:dyDescent="0.2">
      <c r="D264" s="58" t="str">
        <f>IFERROR(IF(F264&lt;&gt;"pending","",IF(OR($B264="",$B264="(blank)"),"",VLOOKUP($B264,'Email Marketing Raw Data'!$C:$O,10,0))),"")</f>
        <v/>
      </c>
      <c r="E264" s="59" t="str">
        <f>IFERROR(IF(F264&lt;&gt;"pending","",IF(OR($B264="",$B264="(blank)"),"",VLOOKUP($B264,'Email Marketing Raw Data'!$C:$O,11,0))),"")</f>
        <v/>
      </c>
      <c r="F264" s="54" t="str">
        <f>IFERROR(IF(OR($B264="",$B264="(blank)"),"",VLOOKUP($B264,'Email Marketing Raw Data'!$C:$O,13,0)),"")</f>
        <v/>
      </c>
      <c r="G264" s="55" t="str">
        <f>IFERROR(IF(OR($B264="",$B264="(blank)"),"",VLOOKUP($B264,'Email Marketing Raw Data'!$C:$O,4,0)),"")</f>
        <v/>
      </c>
      <c r="H264" s="55" t="str">
        <f>IFERROR(IF(OR($B264="",$B264="(blank)"),"",VLOOKUP($B264,'Email Marketing Raw Data'!$C:$O,5,0)),"")</f>
        <v/>
      </c>
      <c r="I264" s="55" t="str">
        <f>IFERROR(IF($G264="","",VLOOKUP('Dashboard And Emails Automate'!$G264,Database!$H:$N,3,0)),"")</f>
        <v/>
      </c>
      <c r="J264" s="55" t="str">
        <f>IFERROR(IF($G264="","",VLOOKUP('Dashboard And Emails Automate'!$G264,Database!$H:$N,4,0)),"")</f>
        <v/>
      </c>
      <c r="K264" s="55" t="str">
        <f>IFERROR(IF($G264="","",VLOOKUP('Dashboard And Emails Automate'!$G264,Database!$H:$N,5,0)),"")</f>
        <v/>
      </c>
      <c r="L264" s="55" t="str">
        <f>IFERROR(IF($G264="","",VLOOKUP('Dashboard And Emails Automate'!$G264,Database!$H:$N,6,0)),"")</f>
        <v/>
      </c>
      <c r="M264" s="55" t="str">
        <f>IFERROR(IF($G264="","",VLOOKUP('Dashboard And Emails Automate'!$G264,Database!$H:$N,7,0)),"")</f>
        <v/>
      </c>
      <c r="N264" s="55" t="str">
        <f>IFERROR(IF(OR($B264="",$B264="(blank)"),"",VLOOKUP($B264,'Email Marketing Raw Data'!$C:$O,6,0)),"")</f>
        <v/>
      </c>
      <c r="O264" s="55" t="str">
        <f>IFERROR(IF(OR($B264="",$B264="(blank)"),"",VLOOKUP($B264,'Email Marketing Raw Data'!$C:$O,7,0)),"")</f>
        <v/>
      </c>
      <c r="P264" s="55" t="str">
        <f>IFERROR(IF(OR($B264="",$B264="(blank)"),"",VLOOKUP($B264,'Email Marketing Raw Data'!$C:$O,8,0)),"")</f>
        <v/>
      </c>
      <c r="Q264" s="62" t="str">
        <f>IFERROR(IF(OR($B264="",$B264="(blank)"),"",VLOOKUP($B264,'Email Marketing Raw Data'!$C:$O,9,0)),"")</f>
        <v/>
      </c>
    </row>
    <row r="265" spans="4:17" ht="12.75" customHeight="1" x14ac:dyDescent="0.2">
      <c r="D265" s="58" t="str">
        <f>IFERROR(IF(F265&lt;&gt;"pending","",IF(OR($B265="",$B265="(blank)"),"",VLOOKUP($B265,'Email Marketing Raw Data'!$C:$O,10,0))),"")</f>
        <v/>
      </c>
      <c r="E265" s="59" t="str">
        <f>IFERROR(IF(F265&lt;&gt;"pending","",IF(OR($B265="",$B265="(blank)"),"",VLOOKUP($B265,'Email Marketing Raw Data'!$C:$O,11,0))),"")</f>
        <v/>
      </c>
      <c r="F265" s="54" t="str">
        <f>IFERROR(IF(OR($B265="",$B265="(blank)"),"",VLOOKUP($B265,'Email Marketing Raw Data'!$C:$O,13,0)),"")</f>
        <v/>
      </c>
      <c r="G265" s="55" t="str">
        <f>IFERROR(IF(OR($B265="",$B265="(blank)"),"",VLOOKUP($B265,'Email Marketing Raw Data'!$C:$O,4,0)),"")</f>
        <v/>
      </c>
      <c r="H265" s="55" t="str">
        <f>IFERROR(IF(OR($B265="",$B265="(blank)"),"",VLOOKUP($B265,'Email Marketing Raw Data'!$C:$O,5,0)),"")</f>
        <v/>
      </c>
      <c r="I265" s="55" t="str">
        <f>IFERROR(IF($G265="","",VLOOKUP('Dashboard And Emails Automate'!$G265,Database!$H:$N,3,0)),"")</f>
        <v/>
      </c>
      <c r="J265" s="55" t="str">
        <f>IFERROR(IF($G265="","",VLOOKUP('Dashboard And Emails Automate'!$G265,Database!$H:$N,4,0)),"")</f>
        <v/>
      </c>
      <c r="K265" s="55" t="str">
        <f>IFERROR(IF($G265="","",VLOOKUP('Dashboard And Emails Automate'!$G265,Database!$H:$N,5,0)),"")</f>
        <v/>
      </c>
      <c r="L265" s="55" t="str">
        <f>IFERROR(IF($G265="","",VLOOKUP('Dashboard And Emails Automate'!$G265,Database!$H:$N,6,0)),"")</f>
        <v/>
      </c>
      <c r="M265" s="55" t="str">
        <f>IFERROR(IF($G265="","",VLOOKUP('Dashboard And Emails Automate'!$G265,Database!$H:$N,7,0)),"")</f>
        <v/>
      </c>
      <c r="N265" s="55" t="str">
        <f>IFERROR(IF(OR($B265="",$B265="(blank)"),"",VLOOKUP($B265,'Email Marketing Raw Data'!$C:$O,6,0)),"")</f>
        <v/>
      </c>
      <c r="O265" s="55" t="str">
        <f>IFERROR(IF(OR($B265="",$B265="(blank)"),"",VLOOKUP($B265,'Email Marketing Raw Data'!$C:$O,7,0)),"")</f>
        <v/>
      </c>
      <c r="P265" s="55" t="str">
        <f>IFERROR(IF(OR($B265="",$B265="(blank)"),"",VLOOKUP($B265,'Email Marketing Raw Data'!$C:$O,8,0)),"")</f>
        <v/>
      </c>
      <c r="Q265" s="62" t="str">
        <f>IFERROR(IF(OR($B265="",$B265="(blank)"),"",VLOOKUP($B265,'Email Marketing Raw Data'!$C:$O,9,0)),"")</f>
        <v/>
      </c>
    </row>
    <row r="266" spans="4:17" ht="12.75" customHeight="1" x14ac:dyDescent="0.2">
      <c r="D266" s="58" t="str">
        <f>IFERROR(IF(F266&lt;&gt;"pending","",IF(OR($B266="",$B266="(blank)"),"",VLOOKUP($B266,'Email Marketing Raw Data'!$C:$O,10,0))),"")</f>
        <v/>
      </c>
      <c r="E266" s="59" t="str">
        <f>IFERROR(IF(F266&lt;&gt;"pending","",IF(OR($B266="",$B266="(blank)"),"",VLOOKUP($B266,'Email Marketing Raw Data'!$C:$O,11,0))),"")</f>
        <v/>
      </c>
      <c r="F266" s="54" t="str">
        <f>IFERROR(IF(OR($B266="",$B266="(blank)"),"",VLOOKUP($B266,'Email Marketing Raw Data'!$C:$O,13,0)),"")</f>
        <v/>
      </c>
      <c r="G266" s="55" t="str">
        <f>IFERROR(IF(OR($B266="",$B266="(blank)"),"",VLOOKUP($B266,'Email Marketing Raw Data'!$C:$O,4,0)),"")</f>
        <v/>
      </c>
      <c r="H266" s="55" t="str">
        <f>IFERROR(IF(OR($B266="",$B266="(blank)"),"",VLOOKUP($B266,'Email Marketing Raw Data'!$C:$O,5,0)),"")</f>
        <v/>
      </c>
      <c r="I266" s="55" t="str">
        <f>IFERROR(IF($G266="","",VLOOKUP('Dashboard And Emails Automate'!$G266,Database!$H:$N,3,0)),"")</f>
        <v/>
      </c>
      <c r="J266" s="55" t="str">
        <f>IFERROR(IF($G266="","",VLOOKUP('Dashboard And Emails Automate'!$G266,Database!$H:$N,4,0)),"")</f>
        <v/>
      </c>
      <c r="K266" s="55" t="str">
        <f>IFERROR(IF($G266="","",VLOOKUP('Dashboard And Emails Automate'!$G266,Database!$H:$N,5,0)),"")</f>
        <v/>
      </c>
      <c r="L266" s="55" t="str">
        <f>IFERROR(IF($G266="","",VLOOKUP('Dashboard And Emails Automate'!$G266,Database!$H:$N,6,0)),"")</f>
        <v/>
      </c>
      <c r="M266" s="55" t="str">
        <f>IFERROR(IF($G266="","",VLOOKUP('Dashboard And Emails Automate'!$G266,Database!$H:$N,7,0)),"")</f>
        <v/>
      </c>
      <c r="N266" s="55" t="str">
        <f>IFERROR(IF(OR($B266="",$B266="(blank)"),"",VLOOKUP($B266,'Email Marketing Raw Data'!$C:$O,6,0)),"")</f>
        <v/>
      </c>
      <c r="O266" s="55" t="str">
        <f>IFERROR(IF(OR($B266="",$B266="(blank)"),"",VLOOKUP($B266,'Email Marketing Raw Data'!$C:$O,7,0)),"")</f>
        <v/>
      </c>
      <c r="P266" s="55" t="str">
        <f>IFERROR(IF(OR($B266="",$B266="(blank)"),"",VLOOKUP($B266,'Email Marketing Raw Data'!$C:$O,8,0)),"")</f>
        <v/>
      </c>
      <c r="Q266" s="62" t="str">
        <f>IFERROR(IF(OR($B266="",$B266="(blank)"),"",VLOOKUP($B266,'Email Marketing Raw Data'!$C:$O,9,0)),"")</f>
        <v/>
      </c>
    </row>
    <row r="267" spans="4:17" ht="12.75" customHeight="1" x14ac:dyDescent="0.2">
      <c r="D267" s="58" t="str">
        <f>IFERROR(IF(F267&lt;&gt;"pending","",IF(OR($B267="",$B267="(blank)"),"",VLOOKUP($B267,'Email Marketing Raw Data'!$C:$O,10,0))),"")</f>
        <v/>
      </c>
      <c r="E267" s="59" t="str">
        <f>IFERROR(IF(F267&lt;&gt;"pending","",IF(OR($B267="",$B267="(blank)"),"",VLOOKUP($B267,'Email Marketing Raw Data'!$C:$O,11,0))),"")</f>
        <v/>
      </c>
      <c r="F267" s="54" t="str">
        <f>IFERROR(IF(OR($B267="",$B267="(blank)"),"",VLOOKUP($B267,'Email Marketing Raw Data'!$C:$O,13,0)),"")</f>
        <v/>
      </c>
      <c r="G267" s="55" t="str">
        <f>IFERROR(IF(OR($B267="",$B267="(blank)"),"",VLOOKUP($B267,'Email Marketing Raw Data'!$C:$O,4,0)),"")</f>
        <v/>
      </c>
      <c r="H267" s="55" t="str">
        <f>IFERROR(IF(OR($B267="",$B267="(blank)"),"",VLOOKUP($B267,'Email Marketing Raw Data'!$C:$O,5,0)),"")</f>
        <v/>
      </c>
      <c r="I267" s="55" t="str">
        <f>IFERROR(IF($G267="","",VLOOKUP('Dashboard And Emails Automate'!$G267,Database!$H:$N,3,0)),"")</f>
        <v/>
      </c>
      <c r="J267" s="55" t="str">
        <f>IFERROR(IF($G267="","",VLOOKUP('Dashboard And Emails Automate'!$G267,Database!$H:$N,4,0)),"")</f>
        <v/>
      </c>
      <c r="K267" s="55" t="str">
        <f>IFERROR(IF($G267="","",VLOOKUP('Dashboard And Emails Automate'!$G267,Database!$H:$N,5,0)),"")</f>
        <v/>
      </c>
      <c r="L267" s="55" t="str">
        <f>IFERROR(IF($G267="","",VLOOKUP('Dashboard And Emails Automate'!$G267,Database!$H:$N,6,0)),"")</f>
        <v/>
      </c>
      <c r="M267" s="55" t="str">
        <f>IFERROR(IF($G267="","",VLOOKUP('Dashboard And Emails Automate'!$G267,Database!$H:$N,7,0)),"")</f>
        <v/>
      </c>
      <c r="N267" s="55" t="str">
        <f>IFERROR(IF(OR($B267="",$B267="(blank)"),"",VLOOKUP($B267,'Email Marketing Raw Data'!$C:$O,6,0)),"")</f>
        <v/>
      </c>
      <c r="O267" s="55" t="str">
        <f>IFERROR(IF(OR($B267="",$B267="(blank)"),"",VLOOKUP($B267,'Email Marketing Raw Data'!$C:$O,7,0)),"")</f>
        <v/>
      </c>
      <c r="P267" s="55" t="str">
        <f>IFERROR(IF(OR($B267="",$B267="(blank)"),"",VLOOKUP($B267,'Email Marketing Raw Data'!$C:$O,8,0)),"")</f>
        <v/>
      </c>
      <c r="Q267" s="62" t="str">
        <f>IFERROR(IF(OR($B267="",$B267="(blank)"),"",VLOOKUP($B267,'Email Marketing Raw Data'!$C:$O,9,0)),"")</f>
        <v/>
      </c>
    </row>
    <row r="268" spans="4:17" ht="12.75" customHeight="1" x14ac:dyDescent="0.2">
      <c r="D268" s="58" t="str">
        <f>IFERROR(IF(F268&lt;&gt;"pending","",IF(OR($B268="",$B268="(blank)"),"",VLOOKUP($B268,'Email Marketing Raw Data'!$C:$O,10,0))),"")</f>
        <v/>
      </c>
      <c r="E268" s="59" t="str">
        <f>IFERROR(IF(F268&lt;&gt;"pending","",IF(OR($B268="",$B268="(blank)"),"",VLOOKUP($B268,'Email Marketing Raw Data'!$C:$O,11,0))),"")</f>
        <v/>
      </c>
      <c r="F268" s="54" t="str">
        <f>IFERROR(IF(OR($B268="",$B268="(blank)"),"",VLOOKUP($B268,'Email Marketing Raw Data'!$C:$O,13,0)),"")</f>
        <v/>
      </c>
      <c r="G268" s="55" t="str">
        <f>IFERROR(IF(OR($B268="",$B268="(blank)"),"",VLOOKUP($B268,'Email Marketing Raw Data'!$C:$O,4,0)),"")</f>
        <v/>
      </c>
      <c r="H268" s="55" t="str">
        <f>IFERROR(IF(OR($B268="",$B268="(blank)"),"",VLOOKUP($B268,'Email Marketing Raw Data'!$C:$O,5,0)),"")</f>
        <v/>
      </c>
      <c r="I268" s="55" t="str">
        <f>IFERROR(IF($G268="","",VLOOKUP('Dashboard And Emails Automate'!$G268,Database!$H:$N,3,0)),"")</f>
        <v/>
      </c>
      <c r="J268" s="55" t="str">
        <f>IFERROR(IF($G268="","",VLOOKUP('Dashboard And Emails Automate'!$G268,Database!$H:$N,4,0)),"")</f>
        <v/>
      </c>
      <c r="K268" s="55" t="str">
        <f>IFERROR(IF($G268="","",VLOOKUP('Dashboard And Emails Automate'!$G268,Database!$H:$N,5,0)),"")</f>
        <v/>
      </c>
      <c r="L268" s="55" t="str">
        <f>IFERROR(IF($G268="","",VLOOKUP('Dashboard And Emails Automate'!$G268,Database!$H:$N,6,0)),"")</f>
        <v/>
      </c>
      <c r="M268" s="55" t="str">
        <f>IFERROR(IF($G268="","",VLOOKUP('Dashboard And Emails Automate'!$G268,Database!$H:$N,7,0)),"")</f>
        <v/>
      </c>
      <c r="N268" s="55" t="str">
        <f>IFERROR(IF(OR($B268="",$B268="(blank)"),"",VLOOKUP($B268,'Email Marketing Raw Data'!$C:$O,6,0)),"")</f>
        <v/>
      </c>
      <c r="O268" s="55" t="str">
        <f>IFERROR(IF(OR($B268="",$B268="(blank)"),"",VLOOKUP($B268,'Email Marketing Raw Data'!$C:$O,7,0)),"")</f>
        <v/>
      </c>
      <c r="P268" s="55" t="str">
        <f>IFERROR(IF(OR($B268="",$B268="(blank)"),"",VLOOKUP($B268,'Email Marketing Raw Data'!$C:$O,8,0)),"")</f>
        <v/>
      </c>
      <c r="Q268" s="62" t="str">
        <f>IFERROR(IF(OR($B268="",$B268="(blank)"),"",VLOOKUP($B268,'Email Marketing Raw Data'!$C:$O,9,0)),"")</f>
        <v/>
      </c>
    </row>
    <row r="269" spans="4:17" ht="12.75" customHeight="1" x14ac:dyDescent="0.2">
      <c r="D269" s="58" t="str">
        <f>IFERROR(IF(F269&lt;&gt;"pending","",IF(OR($B269="",$B269="(blank)"),"",VLOOKUP($B269,'Email Marketing Raw Data'!$C:$O,10,0))),"")</f>
        <v/>
      </c>
      <c r="E269" s="59" t="str">
        <f>IFERROR(IF(F269&lt;&gt;"pending","",IF(OR($B269="",$B269="(blank)"),"",VLOOKUP($B269,'Email Marketing Raw Data'!$C:$O,11,0))),"")</f>
        <v/>
      </c>
      <c r="F269" s="54" t="str">
        <f>IFERROR(IF(OR($B269="",$B269="(blank)"),"",VLOOKUP($B269,'Email Marketing Raw Data'!$C:$O,13,0)),"")</f>
        <v/>
      </c>
      <c r="G269" s="55" t="str">
        <f>IFERROR(IF(OR($B269="",$B269="(blank)"),"",VLOOKUP($B269,'Email Marketing Raw Data'!$C:$O,4,0)),"")</f>
        <v/>
      </c>
      <c r="H269" s="55" t="str">
        <f>IFERROR(IF(OR($B269="",$B269="(blank)"),"",VLOOKUP($B269,'Email Marketing Raw Data'!$C:$O,5,0)),"")</f>
        <v/>
      </c>
      <c r="I269" s="55" t="str">
        <f>IFERROR(IF($G269="","",VLOOKUP('Dashboard And Emails Automate'!$G269,Database!$H:$N,3,0)),"")</f>
        <v/>
      </c>
      <c r="J269" s="55" t="str">
        <f>IFERROR(IF($G269="","",VLOOKUP('Dashboard And Emails Automate'!$G269,Database!$H:$N,4,0)),"")</f>
        <v/>
      </c>
      <c r="K269" s="55" t="str">
        <f>IFERROR(IF($G269="","",VLOOKUP('Dashboard And Emails Automate'!$G269,Database!$H:$N,5,0)),"")</f>
        <v/>
      </c>
      <c r="L269" s="55" t="str">
        <f>IFERROR(IF($G269="","",VLOOKUP('Dashboard And Emails Automate'!$G269,Database!$H:$N,6,0)),"")</f>
        <v/>
      </c>
      <c r="M269" s="55" t="str">
        <f>IFERROR(IF($G269="","",VLOOKUP('Dashboard And Emails Automate'!$G269,Database!$H:$N,7,0)),"")</f>
        <v/>
      </c>
      <c r="N269" s="55" t="str">
        <f>IFERROR(IF(OR($B269="",$B269="(blank)"),"",VLOOKUP($B269,'Email Marketing Raw Data'!$C:$O,6,0)),"")</f>
        <v/>
      </c>
      <c r="O269" s="55" t="str">
        <f>IFERROR(IF(OR($B269="",$B269="(blank)"),"",VLOOKUP($B269,'Email Marketing Raw Data'!$C:$O,7,0)),"")</f>
        <v/>
      </c>
      <c r="P269" s="55" t="str">
        <f>IFERROR(IF(OR($B269="",$B269="(blank)"),"",VLOOKUP($B269,'Email Marketing Raw Data'!$C:$O,8,0)),"")</f>
        <v/>
      </c>
      <c r="Q269" s="62" t="str">
        <f>IFERROR(IF(OR($B269="",$B269="(blank)"),"",VLOOKUP($B269,'Email Marketing Raw Data'!$C:$O,9,0)),"")</f>
        <v/>
      </c>
    </row>
    <row r="270" spans="4:17" ht="12.75" customHeight="1" x14ac:dyDescent="0.2">
      <c r="D270" s="58" t="str">
        <f>IFERROR(IF(F270&lt;&gt;"pending","",IF(OR($B270="",$B270="(blank)"),"",VLOOKUP($B270,'Email Marketing Raw Data'!$C:$O,10,0))),"")</f>
        <v/>
      </c>
      <c r="E270" s="59" t="str">
        <f>IFERROR(IF(F270&lt;&gt;"pending","",IF(OR($B270="",$B270="(blank)"),"",VLOOKUP($B270,'Email Marketing Raw Data'!$C:$O,11,0))),"")</f>
        <v/>
      </c>
      <c r="F270" s="54" t="str">
        <f>IFERROR(IF(OR($B270="",$B270="(blank)"),"",VLOOKUP($B270,'Email Marketing Raw Data'!$C:$O,13,0)),"")</f>
        <v/>
      </c>
      <c r="G270" s="55" t="str">
        <f>IFERROR(IF(OR($B270="",$B270="(blank)"),"",VLOOKUP($B270,'Email Marketing Raw Data'!$C:$O,4,0)),"")</f>
        <v/>
      </c>
      <c r="H270" s="55" t="str">
        <f>IFERROR(IF(OR($B270="",$B270="(blank)"),"",VLOOKUP($B270,'Email Marketing Raw Data'!$C:$O,5,0)),"")</f>
        <v/>
      </c>
      <c r="I270" s="55" t="str">
        <f>IFERROR(IF($G270="","",VLOOKUP('Dashboard And Emails Automate'!$G270,Database!$H:$N,3,0)),"")</f>
        <v/>
      </c>
      <c r="J270" s="55" t="str">
        <f>IFERROR(IF($G270="","",VLOOKUP('Dashboard And Emails Automate'!$G270,Database!$H:$N,4,0)),"")</f>
        <v/>
      </c>
      <c r="K270" s="55" t="str">
        <f>IFERROR(IF($G270="","",VLOOKUP('Dashboard And Emails Automate'!$G270,Database!$H:$N,5,0)),"")</f>
        <v/>
      </c>
      <c r="L270" s="55" t="str">
        <f>IFERROR(IF($G270="","",VLOOKUP('Dashboard And Emails Automate'!$G270,Database!$H:$N,6,0)),"")</f>
        <v/>
      </c>
      <c r="M270" s="55" t="str">
        <f>IFERROR(IF($G270="","",VLOOKUP('Dashboard And Emails Automate'!$G270,Database!$H:$N,7,0)),"")</f>
        <v/>
      </c>
      <c r="N270" s="55" t="str">
        <f>IFERROR(IF(OR($B270="",$B270="(blank)"),"",VLOOKUP($B270,'Email Marketing Raw Data'!$C:$O,6,0)),"")</f>
        <v/>
      </c>
      <c r="O270" s="55" t="str">
        <f>IFERROR(IF(OR($B270="",$B270="(blank)"),"",VLOOKUP($B270,'Email Marketing Raw Data'!$C:$O,7,0)),"")</f>
        <v/>
      </c>
      <c r="P270" s="55" t="str">
        <f>IFERROR(IF(OR($B270="",$B270="(blank)"),"",VLOOKUP($B270,'Email Marketing Raw Data'!$C:$O,8,0)),"")</f>
        <v/>
      </c>
      <c r="Q270" s="62" t="str">
        <f>IFERROR(IF(OR($B270="",$B270="(blank)"),"",VLOOKUP($B270,'Email Marketing Raw Data'!$C:$O,9,0)),"")</f>
        <v/>
      </c>
    </row>
    <row r="271" spans="4:17" ht="12.75" customHeight="1" x14ac:dyDescent="0.2">
      <c r="D271" s="58" t="str">
        <f>IFERROR(IF(F271&lt;&gt;"pending","",IF(OR($B271="",$B271="(blank)"),"",VLOOKUP($B271,'Email Marketing Raw Data'!$C:$O,10,0))),"")</f>
        <v/>
      </c>
      <c r="E271" s="59" t="str">
        <f>IFERROR(IF(F271&lt;&gt;"pending","",IF(OR($B271="",$B271="(blank)"),"",VLOOKUP($B271,'Email Marketing Raw Data'!$C:$O,11,0))),"")</f>
        <v/>
      </c>
      <c r="F271" s="54" t="str">
        <f>IFERROR(IF(OR($B271="",$B271="(blank)"),"",VLOOKUP($B271,'Email Marketing Raw Data'!$C:$O,13,0)),"")</f>
        <v/>
      </c>
      <c r="G271" s="55" t="str">
        <f>IFERROR(IF(OR($B271="",$B271="(blank)"),"",VLOOKUP($B271,'Email Marketing Raw Data'!$C:$O,4,0)),"")</f>
        <v/>
      </c>
      <c r="H271" s="55" t="str">
        <f>IFERROR(IF(OR($B271="",$B271="(blank)"),"",VLOOKUP($B271,'Email Marketing Raw Data'!$C:$O,5,0)),"")</f>
        <v/>
      </c>
      <c r="I271" s="55" t="str">
        <f>IFERROR(IF($G271="","",VLOOKUP('Dashboard And Emails Automate'!$G271,Database!$H:$N,3,0)),"")</f>
        <v/>
      </c>
      <c r="J271" s="55" t="str">
        <f>IFERROR(IF($G271="","",VLOOKUP('Dashboard And Emails Automate'!$G271,Database!$H:$N,4,0)),"")</f>
        <v/>
      </c>
      <c r="K271" s="55" t="str">
        <f>IFERROR(IF($G271="","",VLOOKUP('Dashboard And Emails Automate'!$G271,Database!$H:$N,5,0)),"")</f>
        <v/>
      </c>
      <c r="L271" s="55" t="str">
        <f>IFERROR(IF($G271="","",VLOOKUP('Dashboard And Emails Automate'!$G271,Database!$H:$N,6,0)),"")</f>
        <v/>
      </c>
      <c r="M271" s="55" t="str">
        <f>IFERROR(IF($G271="","",VLOOKUP('Dashboard And Emails Automate'!$G271,Database!$H:$N,7,0)),"")</f>
        <v/>
      </c>
      <c r="N271" s="55" t="str">
        <f>IFERROR(IF(OR($B271="",$B271="(blank)"),"",VLOOKUP($B271,'Email Marketing Raw Data'!$C:$O,6,0)),"")</f>
        <v/>
      </c>
      <c r="O271" s="55" t="str">
        <f>IFERROR(IF(OR($B271="",$B271="(blank)"),"",VLOOKUP($B271,'Email Marketing Raw Data'!$C:$O,7,0)),"")</f>
        <v/>
      </c>
      <c r="P271" s="55" t="str">
        <f>IFERROR(IF(OR($B271="",$B271="(blank)"),"",VLOOKUP($B271,'Email Marketing Raw Data'!$C:$O,8,0)),"")</f>
        <v/>
      </c>
      <c r="Q271" s="62" t="str">
        <f>IFERROR(IF(OR($B271="",$B271="(blank)"),"",VLOOKUP($B271,'Email Marketing Raw Data'!$C:$O,9,0)),"")</f>
        <v/>
      </c>
    </row>
    <row r="272" spans="4:17" ht="12.75" customHeight="1" x14ac:dyDescent="0.2">
      <c r="D272" s="58" t="str">
        <f>IFERROR(IF(F272&lt;&gt;"pending","",IF(OR($B272="",$B272="(blank)"),"",VLOOKUP($B272,'Email Marketing Raw Data'!$C:$O,10,0))),"")</f>
        <v/>
      </c>
      <c r="E272" s="59" t="str">
        <f>IFERROR(IF(F272&lt;&gt;"pending","",IF(OR($B272="",$B272="(blank)"),"",VLOOKUP($B272,'Email Marketing Raw Data'!$C:$O,11,0))),"")</f>
        <v/>
      </c>
      <c r="F272" s="54" t="str">
        <f>IFERROR(IF(OR($B272="",$B272="(blank)"),"",VLOOKUP($B272,'Email Marketing Raw Data'!$C:$O,13,0)),"")</f>
        <v/>
      </c>
      <c r="G272" s="55" t="str">
        <f>IFERROR(IF(OR($B272="",$B272="(blank)"),"",VLOOKUP($B272,'Email Marketing Raw Data'!$C:$O,4,0)),"")</f>
        <v/>
      </c>
      <c r="H272" s="55" t="str">
        <f>IFERROR(IF(OR($B272="",$B272="(blank)"),"",VLOOKUP($B272,'Email Marketing Raw Data'!$C:$O,5,0)),"")</f>
        <v/>
      </c>
      <c r="I272" s="55" t="str">
        <f>IFERROR(IF($G272="","",VLOOKUP('Dashboard And Emails Automate'!$G272,Database!$H:$N,3,0)),"")</f>
        <v/>
      </c>
      <c r="J272" s="55" t="str">
        <f>IFERROR(IF($G272="","",VLOOKUP('Dashboard And Emails Automate'!$G272,Database!$H:$N,4,0)),"")</f>
        <v/>
      </c>
      <c r="K272" s="55" t="str">
        <f>IFERROR(IF($G272="","",VLOOKUP('Dashboard And Emails Automate'!$G272,Database!$H:$N,5,0)),"")</f>
        <v/>
      </c>
      <c r="L272" s="55" t="str">
        <f>IFERROR(IF($G272="","",VLOOKUP('Dashboard And Emails Automate'!$G272,Database!$H:$N,6,0)),"")</f>
        <v/>
      </c>
      <c r="M272" s="55" t="str">
        <f>IFERROR(IF($G272="","",VLOOKUP('Dashboard And Emails Automate'!$G272,Database!$H:$N,7,0)),"")</f>
        <v/>
      </c>
      <c r="N272" s="55" t="str">
        <f>IFERROR(IF(OR($B272="",$B272="(blank)"),"",VLOOKUP($B272,'Email Marketing Raw Data'!$C:$O,6,0)),"")</f>
        <v/>
      </c>
      <c r="O272" s="55" t="str">
        <f>IFERROR(IF(OR($B272="",$B272="(blank)"),"",VLOOKUP($B272,'Email Marketing Raw Data'!$C:$O,7,0)),"")</f>
        <v/>
      </c>
      <c r="P272" s="55" t="str">
        <f>IFERROR(IF(OR($B272="",$B272="(blank)"),"",VLOOKUP($B272,'Email Marketing Raw Data'!$C:$O,8,0)),"")</f>
        <v/>
      </c>
      <c r="Q272" s="62" t="str">
        <f>IFERROR(IF(OR($B272="",$B272="(blank)"),"",VLOOKUP($B272,'Email Marketing Raw Data'!$C:$O,9,0)),"")</f>
        <v/>
      </c>
    </row>
    <row r="273" spans="4:17" ht="12.75" customHeight="1" x14ac:dyDescent="0.2">
      <c r="D273" s="58" t="str">
        <f>IFERROR(IF(F273&lt;&gt;"pending","",IF(OR($B273="",$B273="(blank)"),"",VLOOKUP($B273,'Email Marketing Raw Data'!$C:$O,10,0))),"")</f>
        <v/>
      </c>
      <c r="E273" s="59" t="str">
        <f>IFERROR(IF(F273&lt;&gt;"pending","",IF(OR($B273="",$B273="(blank)"),"",VLOOKUP($B273,'Email Marketing Raw Data'!$C:$O,11,0))),"")</f>
        <v/>
      </c>
      <c r="F273" s="54" t="str">
        <f>IFERROR(IF(OR($B273="",$B273="(blank)"),"",VLOOKUP($B273,'Email Marketing Raw Data'!$C:$O,13,0)),"")</f>
        <v/>
      </c>
      <c r="G273" s="55" t="str">
        <f>IFERROR(IF(OR($B273="",$B273="(blank)"),"",VLOOKUP($B273,'Email Marketing Raw Data'!$C:$O,4,0)),"")</f>
        <v/>
      </c>
      <c r="H273" s="55" t="str">
        <f>IFERROR(IF(OR($B273="",$B273="(blank)"),"",VLOOKUP($B273,'Email Marketing Raw Data'!$C:$O,5,0)),"")</f>
        <v/>
      </c>
      <c r="I273" s="55" t="str">
        <f>IFERROR(IF($G273="","",VLOOKUP('Dashboard And Emails Automate'!$G273,Database!$H:$N,3,0)),"")</f>
        <v/>
      </c>
      <c r="J273" s="55" t="str">
        <f>IFERROR(IF($G273="","",VLOOKUP('Dashboard And Emails Automate'!$G273,Database!$H:$N,4,0)),"")</f>
        <v/>
      </c>
      <c r="K273" s="55" t="str">
        <f>IFERROR(IF($G273="","",VLOOKUP('Dashboard And Emails Automate'!$G273,Database!$H:$N,5,0)),"")</f>
        <v/>
      </c>
      <c r="L273" s="55" t="str">
        <f>IFERROR(IF($G273="","",VLOOKUP('Dashboard And Emails Automate'!$G273,Database!$H:$N,6,0)),"")</f>
        <v/>
      </c>
      <c r="M273" s="55" t="str">
        <f>IFERROR(IF($G273="","",VLOOKUP('Dashboard And Emails Automate'!$G273,Database!$H:$N,7,0)),"")</f>
        <v/>
      </c>
      <c r="N273" s="55" t="str">
        <f>IFERROR(IF(OR($B273="",$B273="(blank)"),"",VLOOKUP($B273,'Email Marketing Raw Data'!$C:$O,6,0)),"")</f>
        <v/>
      </c>
      <c r="O273" s="55" t="str">
        <f>IFERROR(IF(OR($B273="",$B273="(blank)"),"",VLOOKUP($B273,'Email Marketing Raw Data'!$C:$O,7,0)),"")</f>
        <v/>
      </c>
      <c r="P273" s="55" t="str">
        <f>IFERROR(IF(OR($B273="",$B273="(blank)"),"",VLOOKUP($B273,'Email Marketing Raw Data'!$C:$O,8,0)),"")</f>
        <v/>
      </c>
      <c r="Q273" s="62" t="str">
        <f>IFERROR(IF(OR($B273="",$B273="(blank)"),"",VLOOKUP($B273,'Email Marketing Raw Data'!$C:$O,9,0)),"")</f>
        <v/>
      </c>
    </row>
    <row r="274" spans="4:17" ht="12.75" customHeight="1" x14ac:dyDescent="0.2">
      <c r="D274" s="58" t="str">
        <f>IFERROR(IF(F274&lt;&gt;"pending","",IF(OR($B274="",$B274="(blank)"),"",VLOOKUP($B274,'Email Marketing Raw Data'!$C:$O,10,0))),"")</f>
        <v/>
      </c>
      <c r="E274" s="59" t="str">
        <f>IFERROR(IF(F274&lt;&gt;"pending","",IF(OR($B274="",$B274="(blank)"),"",VLOOKUP($B274,'Email Marketing Raw Data'!$C:$O,11,0))),"")</f>
        <v/>
      </c>
      <c r="F274" s="54" t="str">
        <f>IFERROR(IF(OR($B274="",$B274="(blank)"),"",VLOOKUP($B274,'Email Marketing Raw Data'!$C:$O,13,0)),"")</f>
        <v/>
      </c>
      <c r="G274" s="55" t="str">
        <f>IFERROR(IF(OR($B274="",$B274="(blank)"),"",VLOOKUP($B274,'Email Marketing Raw Data'!$C:$O,4,0)),"")</f>
        <v/>
      </c>
      <c r="H274" s="55" t="str">
        <f>IFERROR(IF(OR($B274="",$B274="(blank)"),"",VLOOKUP($B274,'Email Marketing Raw Data'!$C:$O,5,0)),"")</f>
        <v/>
      </c>
      <c r="I274" s="55" t="str">
        <f>IFERROR(IF($G274="","",VLOOKUP('Dashboard And Emails Automate'!$G274,Database!$H:$N,3,0)),"")</f>
        <v/>
      </c>
      <c r="J274" s="55" t="str">
        <f>IFERROR(IF($G274="","",VLOOKUP('Dashboard And Emails Automate'!$G274,Database!$H:$N,4,0)),"")</f>
        <v/>
      </c>
      <c r="K274" s="55" t="str">
        <f>IFERROR(IF($G274="","",VLOOKUP('Dashboard And Emails Automate'!$G274,Database!$H:$N,5,0)),"")</f>
        <v/>
      </c>
      <c r="L274" s="55" t="str">
        <f>IFERROR(IF($G274="","",VLOOKUP('Dashboard And Emails Automate'!$G274,Database!$H:$N,6,0)),"")</f>
        <v/>
      </c>
      <c r="M274" s="55" t="str">
        <f>IFERROR(IF($G274="","",VLOOKUP('Dashboard And Emails Automate'!$G274,Database!$H:$N,7,0)),"")</f>
        <v/>
      </c>
      <c r="N274" s="55" t="str">
        <f>IFERROR(IF(OR($B274="",$B274="(blank)"),"",VLOOKUP($B274,'Email Marketing Raw Data'!$C:$O,6,0)),"")</f>
        <v/>
      </c>
      <c r="O274" s="55" t="str">
        <f>IFERROR(IF(OR($B274="",$B274="(blank)"),"",VLOOKUP($B274,'Email Marketing Raw Data'!$C:$O,7,0)),"")</f>
        <v/>
      </c>
      <c r="P274" s="55" t="str">
        <f>IFERROR(IF(OR($B274="",$B274="(blank)"),"",VLOOKUP($B274,'Email Marketing Raw Data'!$C:$O,8,0)),"")</f>
        <v/>
      </c>
      <c r="Q274" s="62" t="str">
        <f>IFERROR(IF(OR($B274="",$B274="(blank)"),"",VLOOKUP($B274,'Email Marketing Raw Data'!$C:$O,9,0)),"")</f>
        <v/>
      </c>
    </row>
    <row r="275" spans="4:17" ht="12.75" customHeight="1" x14ac:dyDescent="0.2">
      <c r="D275" s="58" t="str">
        <f>IFERROR(IF(F275&lt;&gt;"pending","",IF(OR($B275="",$B275="(blank)"),"",VLOOKUP($B275,'Email Marketing Raw Data'!$C:$O,10,0))),"")</f>
        <v/>
      </c>
      <c r="E275" s="59" t="str">
        <f>IFERROR(IF(F275&lt;&gt;"pending","",IF(OR($B275="",$B275="(blank)"),"",VLOOKUP($B275,'Email Marketing Raw Data'!$C:$O,11,0))),"")</f>
        <v/>
      </c>
      <c r="F275" s="54" t="str">
        <f>IFERROR(IF(OR($B275="",$B275="(blank)"),"",VLOOKUP($B275,'Email Marketing Raw Data'!$C:$O,13,0)),"")</f>
        <v/>
      </c>
      <c r="G275" s="55" t="str">
        <f>IFERROR(IF(OR($B275="",$B275="(blank)"),"",VLOOKUP($B275,'Email Marketing Raw Data'!$C:$O,4,0)),"")</f>
        <v/>
      </c>
      <c r="H275" s="55" t="str">
        <f>IFERROR(IF(OR($B275="",$B275="(blank)"),"",VLOOKUP($B275,'Email Marketing Raw Data'!$C:$O,5,0)),"")</f>
        <v/>
      </c>
      <c r="I275" s="55" t="str">
        <f>IFERROR(IF($G275="","",VLOOKUP('Dashboard And Emails Automate'!$G275,Database!$H:$N,3,0)),"")</f>
        <v/>
      </c>
      <c r="J275" s="55" t="str">
        <f>IFERROR(IF($G275="","",VLOOKUP('Dashboard And Emails Automate'!$G275,Database!$H:$N,4,0)),"")</f>
        <v/>
      </c>
      <c r="K275" s="55" t="str">
        <f>IFERROR(IF($G275="","",VLOOKUP('Dashboard And Emails Automate'!$G275,Database!$H:$N,5,0)),"")</f>
        <v/>
      </c>
      <c r="L275" s="55" t="str">
        <f>IFERROR(IF($G275="","",VLOOKUP('Dashboard And Emails Automate'!$G275,Database!$H:$N,6,0)),"")</f>
        <v/>
      </c>
      <c r="M275" s="55" t="str">
        <f>IFERROR(IF($G275="","",VLOOKUP('Dashboard And Emails Automate'!$G275,Database!$H:$N,7,0)),"")</f>
        <v/>
      </c>
      <c r="N275" s="55" t="str">
        <f>IFERROR(IF(OR($B275="",$B275="(blank)"),"",VLOOKUP($B275,'Email Marketing Raw Data'!$C:$O,6,0)),"")</f>
        <v/>
      </c>
      <c r="O275" s="55" t="str">
        <f>IFERROR(IF(OR($B275="",$B275="(blank)"),"",VLOOKUP($B275,'Email Marketing Raw Data'!$C:$O,7,0)),"")</f>
        <v/>
      </c>
      <c r="P275" s="55" t="str">
        <f>IFERROR(IF(OR($B275="",$B275="(blank)"),"",VLOOKUP($B275,'Email Marketing Raw Data'!$C:$O,8,0)),"")</f>
        <v/>
      </c>
      <c r="Q275" s="62" t="str">
        <f>IFERROR(IF(OR($B275="",$B275="(blank)"),"",VLOOKUP($B275,'Email Marketing Raw Data'!$C:$O,9,0)),"")</f>
        <v/>
      </c>
    </row>
    <row r="276" spans="4:17" ht="12.75" customHeight="1" x14ac:dyDescent="0.2">
      <c r="D276" s="58" t="str">
        <f>IFERROR(IF(F276&lt;&gt;"pending","",IF(OR($B276="",$B276="(blank)"),"",VLOOKUP($B276,'Email Marketing Raw Data'!$C:$O,10,0))),"")</f>
        <v/>
      </c>
      <c r="E276" s="59" t="str">
        <f>IFERROR(IF(F276&lt;&gt;"pending","",IF(OR($B276="",$B276="(blank)"),"",VLOOKUP($B276,'Email Marketing Raw Data'!$C:$O,11,0))),"")</f>
        <v/>
      </c>
      <c r="F276" s="54" t="str">
        <f>IFERROR(IF(OR($B276="",$B276="(blank)"),"",VLOOKUP($B276,'Email Marketing Raw Data'!$C:$O,13,0)),"")</f>
        <v/>
      </c>
      <c r="G276" s="55" t="str">
        <f>IFERROR(IF(OR($B276="",$B276="(blank)"),"",VLOOKUP($B276,'Email Marketing Raw Data'!$C:$O,4,0)),"")</f>
        <v/>
      </c>
      <c r="H276" s="55" t="str">
        <f>IFERROR(IF(OR($B276="",$B276="(blank)"),"",VLOOKUP($B276,'Email Marketing Raw Data'!$C:$O,5,0)),"")</f>
        <v/>
      </c>
      <c r="I276" s="55" t="str">
        <f>IFERROR(IF($G276="","",VLOOKUP('Dashboard And Emails Automate'!$G276,Database!$H:$N,3,0)),"")</f>
        <v/>
      </c>
      <c r="J276" s="55" t="str">
        <f>IFERROR(IF($G276="","",VLOOKUP('Dashboard And Emails Automate'!$G276,Database!$H:$N,4,0)),"")</f>
        <v/>
      </c>
      <c r="K276" s="55" t="str">
        <f>IFERROR(IF($G276="","",VLOOKUP('Dashboard And Emails Automate'!$G276,Database!$H:$N,5,0)),"")</f>
        <v/>
      </c>
      <c r="L276" s="55" t="str">
        <f>IFERROR(IF($G276="","",VLOOKUP('Dashboard And Emails Automate'!$G276,Database!$H:$N,6,0)),"")</f>
        <v/>
      </c>
      <c r="M276" s="55" t="str">
        <f>IFERROR(IF($G276="","",VLOOKUP('Dashboard And Emails Automate'!$G276,Database!$H:$N,7,0)),"")</f>
        <v/>
      </c>
      <c r="N276" s="55" t="str">
        <f>IFERROR(IF(OR($B276="",$B276="(blank)"),"",VLOOKUP($B276,'Email Marketing Raw Data'!$C:$O,6,0)),"")</f>
        <v/>
      </c>
      <c r="O276" s="55" t="str">
        <f>IFERROR(IF(OR($B276="",$B276="(blank)"),"",VLOOKUP($B276,'Email Marketing Raw Data'!$C:$O,7,0)),"")</f>
        <v/>
      </c>
      <c r="P276" s="55" t="str">
        <f>IFERROR(IF(OR($B276="",$B276="(blank)"),"",VLOOKUP($B276,'Email Marketing Raw Data'!$C:$O,8,0)),"")</f>
        <v/>
      </c>
      <c r="Q276" s="62" t="str">
        <f>IFERROR(IF(OR($B276="",$B276="(blank)"),"",VLOOKUP($B276,'Email Marketing Raw Data'!$C:$O,9,0)),"")</f>
        <v/>
      </c>
    </row>
    <row r="277" spans="4:17" ht="12.75" customHeight="1" x14ac:dyDescent="0.2">
      <c r="D277" s="58" t="str">
        <f>IFERROR(IF(F277&lt;&gt;"pending","",IF(OR($B277="",$B277="(blank)"),"",VLOOKUP($B277,'Email Marketing Raw Data'!$C:$O,10,0))),"")</f>
        <v/>
      </c>
      <c r="E277" s="59" t="str">
        <f>IFERROR(IF(F277&lt;&gt;"pending","",IF(OR($B277="",$B277="(blank)"),"",VLOOKUP($B277,'Email Marketing Raw Data'!$C:$O,11,0))),"")</f>
        <v/>
      </c>
      <c r="F277" s="54" t="str">
        <f>IFERROR(IF(OR($B277="",$B277="(blank)"),"",VLOOKUP($B277,'Email Marketing Raw Data'!$C:$O,13,0)),"")</f>
        <v/>
      </c>
      <c r="G277" s="55" t="str">
        <f>IFERROR(IF(OR($B277="",$B277="(blank)"),"",VLOOKUP($B277,'Email Marketing Raw Data'!$C:$O,4,0)),"")</f>
        <v/>
      </c>
      <c r="H277" s="55" t="str">
        <f>IFERROR(IF(OR($B277="",$B277="(blank)"),"",VLOOKUP($B277,'Email Marketing Raw Data'!$C:$O,5,0)),"")</f>
        <v/>
      </c>
      <c r="I277" s="55" t="str">
        <f>IFERROR(IF($G277="","",VLOOKUP('Dashboard And Emails Automate'!$G277,Database!$H:$N,3,0)),"")</f>
        <v/>
      </c>
      <c r="J277" s="55" t="str">
        <f>IFERROR(IF($G277="","",VLOOKUP('Dashboard And Emails Automate'!$G277,Database!$H:$N,4,0)),"")</f>
        <v/>
      </c>
      <c r="K277" s="55" t="str">
        <f>IFERROR(IF($G277="","",VLOOKUP('Dashboard And Emails Automate'!$G277,Database!$H:$N,5,0)),"")</f>
        <v/>
      </c>
      <c r="L277" s="55" t="str">
        <f>IFERROR(IF($G277="","",VLOOKUP('Dashboard And Emails Automate'!$G277,Database!$H:$N,6,0)),"")</f>
        <v/>
      </c>
      <c r="M277" s="55" t="str">
        <f>IFERROR(IF($G277="","",VLOOKUP('Dashboard And Emails Automate'!$G277,Database!$H:$N,7,0)),"")</f>
        <v/>
      </c>
      <c r="N277" s="55" t="str">
        <f>IFERROR(IF(OR($B277="",$B277="(blank)"),"",VLOOKUP($B277,'Email Marketing Raw Data'!$C:$O,6,0)),"")</f>
        <v/>
      </c>
      <c r="O277" s="55" t="str">
        <f>IFERROR(IF(OR($B277="",$B277="(blank)"),"",VLOOKUP($B277,'Email Marketing Raw Data'!$C:$O,7,0)),"")</f>
        <v/>
      </c>
      <c r="P277" s="55" t="str">
        <f>IFERROR(IF(OR($B277="",$B277="(blank)"),"",VLOOKUP($B277,'Email Marketing Raw Data'!$C:$O,8,0)),"")</f>
        <v/>
      </c>
      <c r="Q277" s="62" t="str">
        <f>IFERROR(IF(OR($B277="",$B277="(blank)"),"",VLOOKUP($B277,'Email Marketing Raw Data'!$C:$O,9,0)),"")</f>
        <v/>
      </c>
    </row>
    <row r="278" spans="4:17" ht="12.75" customHeight="1" x14ac:dyDescent="0.2">
      <c r="D278" s="58" t="str">
        <f>IFERROR(IF(F278&lt;&gt;"pending","",IF(OR($B278="",$B278="(blank)"),"",VLOOKUP($B278,'Email Marketing Raw Data'!$C:$O,10,0))),"")</f>
        <v/>
      </c>
      <c r="E278" s="59" t="str">
        <f>IFERROR(IF(F278&lt;&gt;"pending","",IF(OR($B278="",$B278="(blank)"),"",VLOOKUP($B278,'Email Marketing Raw Data'!$C:$O,11,0))),"")</f>
        <v/>
      </c>
      <c r="F278" s="54" t="str">
        <f>IFERROR(IF(OR($B278="",$B278="(blank)"),"",VLOOKUP($B278,'Email Marketing Raw Data'!$C:$O,13,0)),"")</f>
        <v/>
      </c>
      <c r="G278" s="55" t="str">
        <f>IFERROR(IF(OR($B278="",$B278="(blank)"),"",VLOOKUP($B278,'Email Marketing Raw Data'!$C:$O,4,0)),"")</f>
        <v/>
      </c>
      <c r="H278" s="55" t="str">
        <f>IFERROR(IF(OR($B278="",$B278="(blank)"),"",VLOOKUP($B278,'Email Marketing Raw Data'!$C:$O,5,0)),"")</f>
        <v/>
      </c>
      <c r="I278" s="55" t="str">
        <f>IFERROR(IF($G278="","",VLOOKUP('Dashboard And Emails Automate'!$G278,Database!$H:$N,3,0)),"")</f>
        <v/>
      </c>
      <c r="J278" s="55" t="str">
        <f>IFERROR(IF($G278="","",VLOOKUP('Dashboard And Emails Automate'!$G278,Database!$H:$N,4,0)),"")</f>
        <v/>
      </c>
      <c r="K278" s="55" t="str">
        <f>IFERROR(IF($G278="","",VLOOKUP('Dashboard And Emails Automate'!$G278,Database!$H:$N,5,0)),"")</f>
        <v/>
      </c>
      <c r="L278" s="55" t="str">
        <f>IFERROR(IF($G278="","",VLOOKUP('Dashboard And Emails Automate'!$G278,Database!$H:$N,6,0)),"")</f>
        <v/>
      </c>
      <c r="M278" s="55" t="str">
        <f>IFERROR(IF($G278="","",VLOOKUP('Dashboard And Emails Automate'!$G278,Database!$H:$N,7,0)),"")</f>
        <v/>
      </c>
      <c r="N278" s="55" t="str">
        <f>IFERROR(IF(OR($B278="",$B278="(blank)"),"",VLOOKUP($B278,'Email Marketing Raw Data'!$C:$O,6,0)),"")</f>
        <v/>
      </c>
      <c r="O278" s="55" t="str">
        <f>IFERROR(IF(OR($B278="",$B278="(blank)"),"",VLOOKUP($B278,'Email Marketing Raw Data'!$C:$O,7,0)),"")</f>
        <v/>
      </c>
      <c r="P278" s="55" t="str">
        <f>IFERROR(IF(OR($B278="",$B278="(blank)"),"",VLOOKUP($B278,'Email Marketing Raw Data'!$C:$O,8,0)),"")</f>
        <v/>
      </c>
      <c r="Q278" s="62" t="str">
        <f>IFERROR(IF(OR($B278="",$B278="(blank)"),"",VLOOKUP($B278,'Email Marketing Raw Data'!$C:$O,9,0)),"")</f>
        <v/>
      </c>
    </row>
    <row r="279" spans="4:17" ht="12.75" customHeight="1" x14ac:dyDescent="0.2">
      <c r="D279" s="58" t="str">
        <f>IFERROR(IF(F279&lt;&gt;"pending","",IF(OR($B279="",$B279="(blank)"),"",VLOOKUP($B279,'Email Marketing Raw Data'!$C:$O,10,0))),"")</f>
        <v/>
      </c>
      <c r="E279" s="59" t="str">
        <f>IFERROR(IF(F279&lt;&gt;"pending","",IF(OR($B279="",$B279="(blank)"),"",VLOOKUP($B279,'Email Marketing Raw Data'!$C:$O,11,0))),"")</f>
        <v/>
      </c>
      <c r="F279" s="54" t="str">
        <f>IFERROR(IF(OR($B279="",$B279="(blank)"),"",VLOOKUP($B279,'Email Marketing Raw Data'!$C:$O,13,0)),"")</f>
        <v/>
      </c>
      <c r="G279" s="55" t="str">
        <f>IFERROR(IF(OR($B279="",$B279="(blank)"),"",VLOOKUP($B279,'Email Marketing Raw Data'!$C:$O,4,0)),"")</f>
        <v/>
      </c>
      <c r="H279" s="55" t="str">
        <f>IFERROR(IF(OR($B279="",$B279="(blank)"),"",VLOOKUP($B279,'Email Marketing Raw Data'!$C:$O,5,0)),"")</f>
        <v/>
      </c>
      <c r="I279" s="55" t="str">
        <f>IFERROR(IF($G279="","",VLOOKUP('Dashboard And Emails Automate'!$G279,Database!$H:$N,3,0)),"")</f>
        <v/>
      </c>
      <c r="J279" s="55" t="str">
        <f>IFERROR(IF($G279="","",VLOOKUP('Dashboard And Emails Automate'!$G279,Database!$H:$N,4,0)),"")</f>
        <v/>
      </c>
      <c r="K279" s="55" t="str">
        <f>IFERROR(IF($G279="","",VLOOKUP('Dashboard And Emails Automate'!$G279,Database!$H:$N,5,0)),"")</f>
        <v/>
      </c>
      <c r="L279" s="55" t="str">
        <f>IFERROR(IF($G279="","",VLOOKUP('Dashboard And Emails Automate'!$G279,Database!$H:$N,6,0)),"")</f>
        <v/>
      </c>
      <c r="M279" s="55" t="str">
        <f>IFERROR(IF($G279="","",VLOOKUP('Dashboard And Emails Automate'!$G279,Database!$H:$N,7,0)),"")</f>
        <v/>
      </c>
      <c r="N279" s="55" t="str">
        <f>IFERROR(IF(OR($B279="",$B279="(blank)"),"",VLOOKUP($B279,'Email Marketing Raw Data'!$C:$O,6,0)),"")</f>
        <v/>
      </c>
      <c r="O279" s="55" t="str">
        <f>IFERROR(IF(OR($B279="",$B279="(blank)"),"",VLOOKUP($B279,'Email Marketing Raw Data'!$C:$O,7,0)),"")</f>
        <v/>
      </c>
      <c r="P279" s="55" t="str">
        <f>IFERROR(IF(OR($B279="",$B279="(blank)"),"",VLOOKUP($B279,'Email Marketing Raw Data'!$C:$O,8,0)),"")</f>
        <v/>
      </c>
      <c r="Q279" s="62" t="str">
        <f>IFERROR(IF(OR($B279="",$B279="(blank)"),"",VLOOKUP($B279,'Email Marketing Raw Data'!$C:$O,9,0)),"")</f>
        <v/>
      </c>
    </row>
    <row r="280" spans="4:17" ht="12.75" customHeight="1" x14ac:dyDescent="0.2">
      <c r="D280" s="58" t="str">
        <f>IFERROR(IF(F280&lt;&gt;"pending","",IF(OR($B280="",$B280="(blank)"),"",VLOOKUP($B280,'Email Marketing Raw Data'!$C:$O,10,0))),"")</f>
        <v/>
      </c>
      <c r="E280" s="59" t="str">
        <f>IFERROR(IF(F280&lt;&gt;"pending","",IF(OR($B280="",$B280="(blank)"),"",VLOOKUP($B280,'Email Marketing Raw Data'!$C:$O,11,0))),"")</f>
        <v/>
      </c>
      <c r="F280" s="54" t="str">
        <f>IFERROR(IF(OR($B280="",$B280="(blank)"),"",VLOOKUP($B280,'Email Marketing Raw Data'!$C:$O,13,0)),"")</f>
        <v/>
      </c>
      <c r="G280" s="55" t="str">
        <f>IFERROR(IF(OR($B280="",$B280="(blank)"),"",VLOOKUP($B280,'Email Marketing Raw Data'!$C:$O,4,0)),"")</f>
        <v/>
      </c>
      <c r="H280" s="55" t="str">
        <f>IFERROR(IF(OR($B280="",$B280="(blank)"),"",VLOOKUP($B280,'Email Marketing Raw Data'!$C:$O,5,0)),"")</f>
        <v/>
      </c>
      <c r="I280" s="55" t="str">
        <f>IFERROR(IF($G280="","",VLOOKUP('Dashboard And Emails Automate'!$G280,Database!$H:$N,3,0)),"")</f>
        <v/>
      </c>
      <c r="J280" s="55" t="str">
        <f>IFERROR(IF($G280="","",VLOOKUP('Dashboard And Emails Automate'!$G280,Database!$H:$N,4,0)),"")</f>
        <v/>
      </c>
      <c r="K280" s="55" t="str">
        <f>IFERROR(IF($G280="","",VLOOKUP('Dashboard And Emails Automate'!$G280,Database!$H:$N,5,0)),"")</f>
        <v/>
      </c>
      <c r="L280" s="55" t="str">
        <f>IFERROR(IF($G280="","",VLOOKUP('Dashboard And Emails Automate'!$G280,Database!$H:$N,6,0)),"")</f>
        <v/>
      </c>
      <c r="M280" s="55" t="str">
        <f>IFERROR(IF($G280="","",VLOOKUP('Dashboard And Emails Automate'!$G280,Database!$H:$N,7,0)),"")</f>
        <v/>
      </c>
      <c r="N280" s="55" t="str">
        <f>IFERROR(IF(OR($B280="",$B280="(blank)"),"",VLOOKUP($B280,'Email Marketing Raw Data'!$C:$O,6,0)),"")</f>
        <v/>
      </c>
      <c r="O280" s="55" t="str">
        <f>IFERROR(IF(OR($B280="",$B280="(blank)"),"",VLOOKUP($B280,'Email Marketing Raw Data'!$C:$O,7,0)),"")</f>
        <v/>
      </c>
      <c r="P280" s="55" t="str">
        <f>IFERROR(IF(OR($B280="",$B280="(blank)"),"",VLOOKUP($B280,'Email Marketing Raw Data'!$C:$O,8,0)),"")</f>
        <v/>
      </c>
      <c r="Q280" s="62" t="str">
        <f>IFERROR(IF(OR($B280="",$B280="(blank)"),"",VLOOKUP($B280,'Email Marketing Raw Data'!$C:$O,9,0)),"")</f>
        <v/>
      </c>
    </row>
    <row r="281" spans="4:17" ht="12.75" customHeight="1" x14ac:dyDescent="0.2">
      <c r="D281" s="58" t="str">
        <f>IFERROR(IF(F281&lt;&gt;"pending","",IF(OR($B281="",$B281="(blank)"),"",VLOOKUP($B281,'Email Marketing Raw Data'!$C:$O,10,0))),"")</f>
        <v/>
      </c>
      <c r="E281" s="59" t="str">
        <f>IFERROR(IF(F281&lt;&gt;"pending","",IF(OR($B281="",$B281="(blank)"),"",VLOOKUP($B281,'Email Marketing Raw Data'!$C:$O,11,0))),"")</f>
        <v/>
      </c>
      <c r="F281" s="54" t="str">
        <f>IFERROR(IF(OR($B281="",$B281="(blank)"),"",VLOOKUP($B281,'Email Marketing Raw Data'!$C:$O,13,0)),"")</f>
        <v/>
      </c>
      <c r="G281" s="55" t="str">
        <f>IFERROR(IF(OR($B281="",$B281="(blank)"),"",VLOOKUP($B281,'Email Marketing Raw Data'!$C:$O,4,0)),"")</f>
        <v/>
      </c>
      <c r="H281" s="55" t="str">
        <f>IFERROR(IF(OR($B281="",$B281="(blank)"),"",VLOOKUP($B281,'Email Marketing Raw Data'!$C:$O,5,0)),"")</f>
        <v/>
      </c>
      <c r="I281" s="55" t="str">
        <f>IFERROR(IF($G281="","",VLOOKUP('Dashboard And Emails Automate'!$G281,Database!$H:$N,3,0)),"")</f>
        <v/>
      </c>
      <c r="J281" s="55" t="str">
        <f>IFERROR(IF($G281="","",VLOOKUP('Dashboard And Emails Automate'!$G281,Database!$H:$N,4,0)),"")</f>
        <v/>
      </c>
      <c r="K281" s="55" t="str">
        <f>IFERROR(IF($G281="","",VLOOKUP('Dashboard And Emails Automate'!$G281,Database!$H:$N,5,0)),"")</f>
        <v/>
      </c>
      <c r="L281" s="55" t="str">
        <f>IFERROR(IF($G281="","",VLOOKUP('Dashboard And Emails Automate'!$G281,Database!$H:$N,6,0)),"")</f>
        <v/>
      </c>
      <c r="M281" s="55" t="str">
        <f>IFERROR(IF($G281="","",VLOOKUP('Dashboard And Emails Automate'!$G281,Database!$H:$N,7,0)),"")</f>
        <v/>
      </c>
      <c r="N281" s="55" t="str">
        <f>IFERROR(IF(OR($B281="",$B281="(blank)"),"",VLOOKUP($B281,'Email Marketing Raw Data'!$C:$O,6,0)),"")</f>
        <v/>
      </c>
      <c r="O281" s="55" t="str">
        <f>IFERROR(IF(OR($B281="",$B281="(blank)"),"",VLOOKUP($B281,'Email Marketing Raw Data'!$C:$O,7,0)),"")</f>
        <v/>
      </c>
      <c r="P281" s="55" t="str">
        <f>IFERROR(IF(OR($B281="",$B281="(blank)"),"",VLOOKUP($B281,'Email Marketing Raw Data'!$C:$O,8,0)),"")</f>
        <v/>
      </c>
      <c r="Q281" s="62" t="str">
        <f>IFERROR(IF(OR($B281="",$B281="(blank)"),"",VLOOKUP($B281,'Email Marketing Raw Data'!$C:$O,9,0)),"")</f>
        <v/>
      </c>
    </row>
    <row r="282" spans="4:17" ht="12.75" customHeight="1" x14ac:dyDescent="0.2">
      <c r="D282" s="58" t="str">
        <f>IFERROR(IF(F282&lt;&gt;"pending","",IF(OR($B282="",$B282="(blank)"),"",VLOOKUP($B282,'Email Marketing Raw Data'!$C:$O,10,0))),"")</f>
        <v/>
      </c>
      <c r="E282" s="59" t="str">
        <f>IFERROR(IF(F282&lt;&gt;"pending","",IF(OR($B282="",$B282="(blank)"),"",VLOOKUP($B282,'Email Marketing Raw Data'!$C:$O,11,0))),"")</f>
        <v/>
      </c>
      <c r="F282" s="54" t="str">
        <f>IFERROR(IF(OR($B282="",$B282="(blank)"),"",VLOOKUP($B282,'Email Marketing Raw Data'!$C:$O,13,0)),"")</f>
        <v/>
      </c>
      <c r="G282" s="55" t="str">
        <f>IFERROR(IF(OR($B282="",$B282="(blank)"),"",VLOOKUP($B282,'Email Marketing Raw Data'!$C:$O,4,0)),"")</f>
        <v/>
      </c>
      <c r="H282" s="55" t="str">
        <f>IFERROR(IF(OR($B282="",$B282="(blank)"),"",VLOOKUP($B282,'Email Marketing Raw Data'!$C:$O,5,0)),"")</f>
        <v/>
      </c>
      <c r="I282" s="55" t="str">
        <f>IFERROR(IF($G282="","",VLOOKUP('Dashboard And Emails Automate'!$G282,Database!$H:$N,3,0)),"")</f>
        <v/>
      </c>
      <c r="J282" s="55" t="str">
        <f>IFERROR(IF($G282="","",VLOOKUP('Dashboard And Emails Automate'!$G282,Database!$H:$N,4,0)),"")</f>
        <v/>
      </c>
      <c r="K282" s="55" t="str">
        <f>IFERROR(IF($G282="","",VLOOKUP('Dashboard And Emails Automate'!$G282,Database!$H:$N,5,0)),"")</f>
        <v/>
      </c>
      <c r="L282" s="55" t="str">
        <f>IFERROR(IF($G282="","",VLOOKUP('Dashboard And Emails Automate'!$G282,Database!$H:$N,6,0)),"")</f>
        <v/>
      </c>
      <c r="M282" s="55" t="str">
        <f>IFERROR(IF($G282="","",VLOOKUP('Dashboard And Emails Automate'!$G282,Database!$H:$N,7,0)),"")</f>
        <v/>
      </c>
      <c r="N282" s="55" t="str">
        <f>IFERROR(IF(OR($B282="",$B282="(blank)"),"",VLOOKUP($B282,'Email Marketing Raw Data'!$C:$O,6,0)),"")</f>
        <v/>
      </c>
      <c r="O282" s="55" t="str">
        <f>IFERROR(IF(OR($B282="",$B282="(blank)"),"",VLOOKUP($B282,'Email Marketing Raw Data'!$C:$O,7,0)),"")</f>
        <v/>
      </c>
      <c r="P282" s="55" t="str">
        <f>IFERROR(IF(OR($B282="",$B282="(blank)"),"",VLOOKUP($B282,'Email Marketing Raw Data'!$C:$O,8,0)),"")</f>
        <v/>
      </c>
      <c r="Q282" s="62" t="str">
        <f>IFERROR(IF(OR($B282="",$B282="(blank)"),"",VLOOKUP($B282,'Email Marketing Raw Data'!$C:$O,9,0)),"")</f>
        <v/>
      </c>
    </row>
    <row r="283" spans="4:17" ht="12.75" customHeight="1" x14ac:dyDescent="0.2">
      <c r="D283" s="58" t="str">
        <f>IFERROR(IF(F283&lt;&gt;"pending","",IF(OR($B283="",$B283="(blank)"),"",VLOOKUP($B283,'Email Marketing Raw Data'!$C:$O,10,0))),"")</f>
        <v/>
      </c>
      <c r="E283" s="59" t="str">
        <f>IFERROR(IF(F283&lt;&gt;"pending","",IF(OR($B283="",$B283="(blank)"),"",VLOOKUP($B283,'Email Marketing Raw Data'!$C:$O,11,0))),"")</f>
        <v/>
      </c>
      <c r="F283" s="54" t="str">
        <f>IFERROR(IF(OR($B283="",$B283="(blank)"),"",VLOOKUP($B283,'Email Marketing Raw Data'!$C:$O,13,0)),"")</f>
        <v/>
      </c>
      <c r="G283" s="55" t="str">
        <f>IFERROR(IF(OR($B283="",$B283="(blank)"),"",VLOOKUP($B283,'Email Marketing Raw Data'!$C:$O,4,0)),"")</f>
        <v/>
      </c>
      <c r="H283" s="55" t="str">
        <f>IFERROR(IF(OR($B283="",$B283="(blank)"),"",VLOOKUP($B283,'Email Marketing Raw Data'!$C:$O,5,0)),"")</f>
        <v/>
      </c>
      <c r="I283" s="55" t="str">
        <f>IFERROR(IF($G283="","",VLOOKUP('Dashboard And Emails Automate'!$G283,Database!$H:$N,3,0)),"")</f>
        <v/>
      </c>
      <c r="J283" s="55" t="str">
        <f>IFERROR(IF($G283="","",VLOOKUP('Dashboard And Emails Automate'!$G283,Database!$H:$N,4,0)),"")</f>
        <v/>
      </c>
      <c r="K283" s="55" t="str">
        <f>IFERROR(IF($G283="","",VLOOKUP('Dashboard And Emails Automate'!$G283,Database!$H:$N,5,0)),"")</f>
        <v/>
      </c>
      <c r="L283" s="55" t="str">
        <f>IFERROR(IF($G283="","",VLOOKUP('Dashboard And Emails Automate'!$G283,Database!$H:$N,6,0)),"")</f>
        <v/>
      </c>
      <c r="M283" s="55" t="str">
        <f>IFERROR(IF($G283="","",VLOOKUP('Dashboard And Emails Automate'!$G283,Database!$H:$N,7,0)),"")</f>
        <v/>
      </c>
      <c r="N283" s="55" t="str">
        <f>IFERROR(IF(OR($B283="",$B283="(blank)"),"",VLOOKUP($B283,'Email Marketing Raw Data'!$C:$O,6,0)),"")</f>
        <v/>
      </c>
      <c r="O283" s="55" t="str">
        <f>IFERROR(IF(OR($B283="",$B283="(blank)"),"",VLOOKUP($B283,'Email Marketing Raw Data'!$C:$O,7,0)),"")</f>
        <v/>
      </c>
      <c r="P283" s="55" t="str">
        <f>IFERROR(IF(OR($B283="",$B283="(blank)"),"",VLOOKUP($B283,'Email Marketing Raw Data'!$C:$O,8,0)),"")</f>
        <v/>
      </c>
      <c r="Q283" s="62" t="str">
        <f>IFERROR(IF(OR($B283="",$B283="(blank)"),"",VLOOKUP($B283,'Email Marketing Raw Data'!$C:$O,9,0)),"")</f>
        <v/>
      </c>
    </row>
    <row r="284" spans="4:17" ht="12.75" customHeight="1" x14ac:dyDescent="0.2">
      <c r="D284" s="58" t="str">
        <f>IFERROR(IF(F284&lt;&gt;"pending","",IF(OR($B284="",$B284="(blank)"),"",VLOOKUP($B284,'Email Marketing Raw Data'!$C:$O,10,0))),"")</f>
        <v/>
      </c>
      <c r="E284" s="59" t="str">
        <f>IFERROR(IF(F284&lt;&gt;"pending","",IF(OR($B284="",$B284="(blank)"),"",VLOOKUP($B284,'Email Marketing Raw Data'!$C:$O,11,0))),"")</f>
        <v/>
      </c>
      <c r="F284" s="54" t="str">
        <f>IFERROR(IF(OR($B284="",$B284="(blank)"),"",VLOOKUP($B284,'Email Marketing Raw Data'!$C:$O,13,0)),"")</f>
        <v/>
      </c>
      <c r="G284" s="55" t="str">
        <f>IFERROR(IF(OR($B284="",$B284="(blank)"),"",VLOOKUP($B284,'Email Marketing Raw Data'!$C:$O,4,0)),"")</f>
        <v/>
      </c>
      <c r="H284" s="55" t="str">
        <f>IFERROR(IF(OR($B284="",$B284="(blank)"),"",VLOOKUP($B284,'Email Marketing Raw Data'!$C:$O,5,0)),"")</f>
        <v/>
      </c>
      <c r="I284" s="55" t="str">
        <f>IFERROR(IF($G284="","",VLOOKUP('Dashboard And Emails Automate'!$G284,Database!$H:$N,3,0)),"")</f>
        <v/>
      </c>
      <c r="J284" s="55" t="str">
        <f>IFERROR(IF($G284="","",VLOOKUP('Dashboard And Emails Automate'!$G284,Database!$H:$N,4,0)),"")</f>
        <v/>
      </c>
      <c r="K284" s="55" t="str">
        <f>IFERROR(IF($G284="","",VLOOKUP('Dashboard And Emails Automate'!$G284,Database!$H:$N,5,0)),"")</f>
        <v/>
      </c>
      <c r="L284" s="55" t="str">
        <f>IFERROR(IF($G284="","",VLOOKUP('Dashboard And Emails Automate'!$G284,Database!$H:$N,6,0)),"")</f>
        <v/>
      </c>
      <c r="M284" s="55" t="str">
        <f>IFERROR(IF($G284="","",VLOOKUP('Dashboard And Emails Automate'!$G284,Database!$H:$N,7,0)),"")</f>
        <v/>
      </c>
      <c r="N284" s="55" t="str">
        <f>IFERROR(IF(OR($B284="",$B284="(blank)"),"",VLOOKUP($B284,'Email Marketing Raw Data'!$C:$O,6,0)),"")</f>
        <v/>
      </c>
      <c r="O284" s="55" t="str">
        <f>IFERROR(IF(OR($B284="",$B284="(blank)"),"",VLOOKUP($B284,'Email Marketing Raw Data'!$C:$O,7,0)),"")</f>
        <v/>
      </c>
      <c r="P284" s="55" t="str">
        <f>IFERROR(IF(OR($B284="",$B284="(blank)"),"",VLOOKUP($B284,'Email Marketing Raw Data'!$C:$O,8,0)),"")</f>
        <v/>
      </c>
      <c r="Q284" s="62" t="str">
        <f>IFERROR(IF(OR($B284="",$B284="(blank)"),"",VLOOKUP($B284,'Email Marketing Raw Data'!$C:$O,9,0)),"")</f>
        <v/>
      </c>
    </row>
    <row r="285" spans="4:17" ht="12.75" customHeight="1" x14ac:dyDescent="0.2">
      <c r="D285" s="58" t="str">
        <f>IFERROR(IF(F285&lt;&gt;"pending","",IF(OR($B285="",$B285="(blank)"),"",VLOOKUP($B285,'Email Marketing Raw Data'!$C:$O,10,0))),"")</f>
        <v/>
      </c>
      <c r="E285" s="59" t="str">
        <f>IFERROR(IF(F285&lt;&gt;"pending","",IF(OR($B285="",$B285="(blank)"),"",VLOOKUP($B285,'Email Marketing Raw Data'!$C:$O,11,0))),"")</f>
        <v/>
      </c>
      <c r="F285" s="54" t="str">
        <f>IFERROR(IF(OR($B285="",$B285="(blank)"),"",VLOOKUP($B285,'Email Marketing Raw Data'!$C:$O,13,0)),"")</f>
        <v/>
      </c>
      <c r="G285" s="55" t="str">
        <f>IFERROR(IF(OR($B285="",$B285="(blank)"),"",VLOOKUP($B285,'Email Marketing Raw Data'!$C:$O,4,0)),"")</f>
        <v/>
      </c>
      <c r="H285" s="55" t="str">
        <f>IFERROR(IF(OR($B285="",$B285="(blank)"),"",VLOOKUP($B285,'Email Marketing Raw Data'!$C:$O,5,0)),"")</f>
        <v/>
      </c>
      <c r="I285" s="55" t="str">
        <f>IFERROR(IF($G285="","",VLOOKUP('Dashboard And Emails Automate'!$G285,Database!$H:$N,3,0)),"")</f>
        <v/>
      </c>
      <c r="J285" s="55" t="str">
        <f>IFERROR(IF($G285="","",VLOOKUP('Dashboard And Emails Automate'!$G285,Database!$H:$N,4,0)),"")</f>
        <v/>
      </c>
      <c r="K285" s="55" t="str">
        <f>IFERROR(IF($G285="","",VLOOKUP('Dashboard And Emails Automate'!$G285,Database!$H:$N,5,0)),"")</f>
        <v/>
      </c>
      <c r="L285" s="55" t="str">
        <f>IFERROR(IF($G285="","",VLOOKUP('Dashboard And Emails Automate'!$G285,Database!$H:$N,6,0)),"")</f>
        <v/>
      </c>
      <c r="M285" s="55" t="str">
        <f>IFERROR(IF($G285="","",VLOOKUP('Dashboard And Emails Automate'!$G285,Database!$H:$N,7,0)),"")</f>
        <v/>
      </c>
      <c r="N285" s="55" t="str">
        <f>IFERROR(IF(OR($B285="",$B285="(blank)"),"",VLOOKUP($B285,'Email Marketing Raw Data'!$C:$O,6,0)),"")</f>
        <v/>
      </c>
      <c r="O285" s="55" t="str">
        <f>IFERROR(IF(OR($B285="",$B285="(blank)"),"",VLOOKUP($B285,'Email Marketing Raw Data'!$C:$O,7,0)),"")</f>
        <v/>
      </c>
      <c r="P285" s="55" t="str">
        <f>IFERROR(IF(OR($B285="",$B285="(blank)"),"",VLOOKUP($B285,'Email Marketing Raw Data'!$C:$O,8,0)),"")</f>
        <v/>
      </c>
      <c r="Q285" s="62" t="str">
        <f>IFERROR(IF(OR($B285="",$B285="(blank)"),"",VLOOKUP($B285,'Email Marketing Raw Data'!$C:$O,9,0)),"")</f>
        <v/>
      </c>
    </row>
    <row r="286" spans="4:17" ht="12.75" customHeight="1" x14ac:dyDescent="0.2">
      <c r="D286" s="58" t="str">
        <f>IFERROR(IF(F286&lt;&gt;"pending","",IF(OR($B286="",$B286="(blank)"),"",VLOOKUP($B286,'Email Marketing Raw Data'!$C:$O,10,0))),"")</f>
        <v/>
      </c>
      <c r="E286" s="59" t="str">
        <f>IFERROR(IF(F286&lt;&gt;"pending","",IF(OR($B286="",$B286="(blank)"),"",VLOOKUP($B286,'Email Marketing Raw Data'!$C:$O,11,0))),"")</f>
        <v/>
      </c>
      <c r="F286" s="54" t="str">
        <f>IFERROR(IF(OR($B286="",$B286="(blank)"),"",VLOOKUP($B286,'Email Marketing Raw Data'!$C:$O,13,0)),"")</f>
        <v/>
      </c>
      <c r="G286" s="55" t="str">
        <f>IFERROR(IF(OR($B286="",$B286="(blank)"),"",VLOOKUP($B286,'Email Marketing Raw Data'!$C:$O,4,0)),"")</f>
        <v/>
      </c>
      <c r="H286" s="55" t="str">
        <f>IFERROR(IF(OR($B286="",$B286="(blank)"),"",VLOOKUP($B286,'Email Marketing Raw Data'!$C:$O,5,0)),"")</f>
        <v/>
      </c>
      <c r="I286" s="55" t="str">
        <f>IFERROR(IF($G286="","",VLOOKUP('Dashboard And Emails Automate'!$G286,Database!$H:$N,3,0)),"")</f>
        <v/>
      </c>
      <c r="J286" s="55" t="str">
        <f>IFERROR(IF($G286="","",VLOOKUP('Dashboard And Emails Automate'!$G286,Database!$H:$N,4,0)),"")</f>
        <v/>
      </c>
      <c r="K286" s="55" t="str">
        <f>IFERROR(IF($G286="","",VLOOKUP('Dashboard And Emails Automate'!$G286,Database!$H:$N,5,0)),"")</f>
        <v/>
      </c>
      <c r="L286" s="55" t="str">
        <f>IFERROR(IF($G286="","",VLOOKUP('Dashboard And Emails Automate'!$G286,Database!$H:$N,6,0)),"")</f>
        <v/>
      </c>
      <c r="M286" s="55" t="str">
        <f>IFERROR(IF($G286="","",VLOOKUP('Dashboard And Emails Automate'!$G286,Database!$H:$N,7,0)),"")</f>
        <v/>
      </c>
      <c r="N286" s="55" t="str">
        <f>IFERROR(IF(OR($B286="",$B286="(blank)"),"",VLOOKUP($B286,'Email Marketing Raw Data'!$C:$O,6,0)),"")</f>
        <v/>
      </c>
      <c r="O286" s="55" t="str">
        <f>IFERROR(IF(OR($B286="",$B286="(blank)"),"",VLOOKUP($B286,'Email Marketing Raw Data'!$C:$O,7,0)),"")</f>
        <v/>
      </c>
      <c r="P286" s="55" t="str">
        <f>IFERROR(IF(OR($B286="",$B286="(blank)"),"",VLOOKUP($B286,'Email Marketing Raw Data'!$C:$O,8,0)),"")</f>
        <v/>
      </c>
      <c r="Q286" s="62" t="str">
        <f>IFERROR(IF(OR($B286="",$B286="(blank)"),"",VLOOKUP($B286,'Email Marketing Raw Data'!$C:$O,9,0)),"")</f>
        <v/>
      </c>
    </row>
    <row r="287" spans="4:17" ht="12.75" customHeight="1" x14ac:dyDescent="0.2">
      <c r="D287" s="58" t="str">
        <f>IFERROR(IF(F287&lt;&gt;"pending","",IF(OR($B287="",$B287="(blank)"),"",VLOOKUP($B287,'Email Marketing Raw Data'!$C:$O,10,0))),"")</f>
        <v/>
      </c>
      <c r="E287" s="59" t="str">
        <f>IFERROR(IF(F287&lt;&gt;"pending","",IF(OR($B287="",$B287="(blank)"),"",VLOOKUP($B287,'Email Marketing Raw Data'!$C:$O,11,0))),"")</f>
        <v/>
      </c>
      <c r="F287" s="54" t="str">
        <f>IFERROR(IF(OR($B287="",$B287="(blank)"),"",VLOOKUP($B287,'Email Marketing Raw Data'!$C:$O,13,0)),"")</f>
        <v/>
      </c>
      <c r="G287" s="55" t="str">
        <f>IFERROR(IF(OR($B287="",$B287="(blank)"),"",VLOOKUP($B287,'Email Marketing Raw Data'!$C:$O,4,0)),"")</f>
        <v/>
      </c>
      <c r="H287" s="55" t="str">
        <f>IFERROR(IF(OR($B287="",$B287="(blank)"),"",VLOOKUP($B287,'Email Marketing Raw Data'!$C:$O,5,0)),"")</f>
        <v/>
      </c>
      <c r="I287" s="55" t="str">
        <f>IFERROR(IF($G287="","",VLOOKUP('Dashboard And Emails Automate'!$G287,Database!$H:$N,3,0)),"")</f>
        <v/>
      </c>
      <c r="J287" s="55" t="str">
        <f>IFERROR(IF($G287="","",VLOOKUP('Dashboard And Emails Automate'!$G287,Database!$H:$N,4,0)),"")</f>
        <v/>
      </c>
      <c r="K287" s="55" t="str">
        <f>IFERROR(IF($G287="","",VLOOKUP('Dashboard And Emails Automate'!$G287,Database!$H:$N,5,0)),"")</f>
        <v/>
      </c>
      <c r="L287" s="55" t="str">
        <f>IFERROR(IF($G287="","",VLOOKUP('Dashboard And Emails Automate'!$G287,Database!$H:$N,6,0)),"")</f>
        <v/>
      </c>
      <c r="M287" s="55" t="str">
        <f>IFERROR(IF($G287="","",VLOOKUP('Dashboard And Emails Automate'!$G287,Database!$H:$N,7,0)),"")</f>
        <v/>
      </c>
      <c r="N287" s="55" t="str">
        <f>IFERROR(IF(OR($B287="",$B287="(blank)"),"",VLOOKUP($B287,'Email Marketing Raw Data'!$C:$O,6,0)),"")</f>
        <v/>
      </c>
      <c r="O287" s="55" t="str">
        <f>IFERROR(IF(OR($B287="",$B287="(blank)"),"",VLOOKUP($B287,'Email Marketing Raw Data'!$C:$O,7,0)),"")</f>
        <v/>
      </c>
      <c r="P287" s="55" t="str">
        <f>IFERROR(IF(OR($B287="",$B287="(blank)"),"",VLOOKUP($B287,'Email Marketing Raw Data'!$C:$O,8,0)),"")</f>
        <v/>
      </c>
      <c r="Q287" s="62" t="str">
        <f>IFERROR(IF(OR($B287="",$B287="(blank)"),"",VLOOKUP($B287,'Email Marketing Raw Data'!$C:$O,9,0)),"")</f>
        <v/>
      </c>
    </row>
    <row r="288" spans="4:17" ht="12.75" customHeight="1" x14ac:dyDescent="0.2">
      <c r="D288" s="58" t="str">
        <f>IFERROR(IF(F288&lt;&gt;"pending","",IF(OR($B288="",$B288="(blank)"),"",VLOOKUP($B288,'Email Marketing Raw Data'!$C:$O,10,0))),"")</f>
        <v/>
      </c>
      <c r="E288" s="59" t="str">
        <f>IFERROR(IF(F288&lt;&gt;"pending","",IF(OR($B288="",$B288="(blank)"),"",VLOOKUP($B288,'Email Marketing Raw Data'!$C:$O,11,0))),"")</f>
        <v/>
      </c>
      <c r="F288" s="54" t="str">
        <f>IFERROR(IF(OR($B288="",$B288="(blank)"),"",VLOOKUP($B288,'Email Marketing Raw Data'!$C:$O,13,0)),"")</f>
        <v/>
      </c>
      <c r="G288" s="55" t="str">
        <f>IFERROR(IF(OR($B288="",$B288="(blank)"),"",VLOOKUP($B288,'Email Marketing Raw Data'!$C:$O,4,0)),"")</f>
        <v/>
      </c>
      <c r="H288" s="55" t="str">
        <f>IFERROR(IF(OR($B288="",$B288="(blank)"),"",VLOOKUP($B288,'Email Marketing Raw Data'!$C:$O,5,0)),"")</f>
        <v/>
      </c>
      <c r="I288" s="55" t="str">
        <f>IFERROR(IF($G288="","",VLOOKUP('Dashboard And Emails Automate'!$G288,Database!$H:$N,3,0)),"")</f>
        <v/>
      </c>
      <c r="J288" s="55" t="str">
        <f>IFERROR(IF($G288="","",VLOOKUP('Dashboard And Emails Automate'!$G288,Database!$H:$N,4,0)),"")</f>
        <v/>
      </c>
      <c r="K288" s="55" t="str">
        <f>IFERROR(IF($G288="","",VLOOKUP('Dashboard And Emails Automate'!$G288,Database!$H:$N,5,0)),"")</f>
        <v/>
      </c>
      <c r="L288" s="55" t="str">
        <f>IFERROR(IF($G288="","",VLOOKUP('Dashboard And Emails Automate'!$G288,Database!$H:$N,6,0)),"")</f>
        <v/>
      </c>
      <c r="M288" s="55" t="str">
        <f>IFERROR(IF($G288="","",VLOOKUP('Dashboard And Emails Automate'!$G288,Database!$H:$N,7,0)),"")</f>
        <v/>
      </c>
      <c r="N288" s="55" t="str">
        <f>IFERROR(IF(OR($B288="",$B288="(blank)"),"",VLOOKUP($B288,'Email Marketing Raw Data'!$C:$O,6,0)),"")</f>
        <v/>
      </c>
      <c r="O288" s="55" t="str">
        <f>IFERROR(IF(OR($B288="",$B288="(blank)"),"",VLOOKUP($B288,'Email Marketing Raw Data'!$C:$O,7,0)),"")</f>
        <v/>
      </c>
      <c r="P288" s="55" t="str">
        <f>IFERROR(IF(OR($B288="",$B288="(blank)"),"",VLOOKUP($B288,'Email Marketing Raw Data'!$C:$O,8,0)),"")</f>
        <v/>
      </c>
      <c r="Q288" s="62" t="str">
        <f>IFERROR(IF(OR($B288="",$B288="(blank)"),"",VLOOKUP($B288,'Email Marketing Raw Data'!$C:$O,9,0)),"")</f>
        <v/>
      </c>
    </row>
    <row r="289" spans="4:17" ht="12.75" customHeight="1" x14ac:dyDescent="0.2">
      <c r="D289" s="58" t="str">
        <f>IFERROR(IF(F289&lt;&gt;"pending","",IF(OR($B289="",$B289="(blank)"),"",VLOOKUP($B289,'Email Marketing Raw Data'!$C:$O,10,0))),"")</f>
        <v/>
      </c>
      <c r="E289" s="59" t="str">
        <f>IFERROR(IF(F289&lt;&gt;"pending","",IF(OR($B289="",$B289="(blank)"),"",VLOOKUP($B289,'Email Marketing Raw Data'!$C:$O,11,0))),"")</f>
        <v/>
      </c>
      <c r="F289" s="54" t="str">
        <f>IFERROR(IF(OR($B289="",$B289="(blank)"),"",VLOOKUP($B289,'Email Marketing Raw Data'!$C:$O,13,0)),"")</f>
        <v/>
      </c>
      <c r="G289" s="55" t="str">
        <f>IFERROR(IF(OR($B289="",$B289="(blank)"),"",VLOOKUP($B289,'Email Marketing Raw Data'!$C:$O,4,0)),"")</f>
        <v/>
      </c>
      <c r="H289" s="55" t="str">
        <f>IFERROR(IF(OR($B289="",$B289="(blank)"),"",VLOOKUP($B289,'Email Marketing Raw Data'!$C:$O,5,0)),"")</f>
        <v/>
      </c>
      <c r="I289" s="55" t="str">
        <f>IFERROR(IF($G289="","",VLOOKUP('Dashboard And Emails Automate'!$G289,Database!$H:$N,3,0)),"")</f>
        <v/>
      </c>
      <c r="J289" s="55" t="str">
        <f>IFERROR(IF($G289="","",VLOOKUP('Dashboard And Emails Automate'!$G289,Database!$H:$N,4,0)),"")</f>
        <v/>
      </c>
      <c r="K289" s="55" t="str">
        <f>IFERROR(IF($G289="","",VLOOKUP('Dashboard And Emails Automate'!$G289,Database!$H:$N,5,0)),"")</f>
        <v/>
      </c>
      <c r="L289" s="55" t="str">
        <f>IFERROR(IF($G289="","",VLOOKUP('Dashboard And Emails Automate'!$G289,Database!$H:$N,6,0)),"")</f>
        <v/>
      </c>
      <c r="M289" s="55" t="str">
        <f>IFERROR(IF($G289="","",VLOOKUP('Dashboard And Emails Automate'!$G289,Database!$H:$N,7,0)),"")</f>
        <v/>
      </c>
      <c r="N289" s="55" t="str">
        <f>IFERROR(IF(OR($B289="",$B289="(blank)"),"",VLOOKUP($B289,'Email Marketing Raw Data'!$C:$O,6,0)),"")</f>
        <v/>
      </c>
      <c r="O289" s="55" t="str">
        <f>IFERROR(IF(OR($B289="",$B289="(blank)"),"",VLOOKUP($B289,'Email Marketing Raw Data'!$C:$O,7,0)),"")</f>
        <v/>
      </c>
      <c r="P289" s="55" t="str">
        <f>IFERROR(IF(OR($B289="",$B289="(blank)"),"",VLOOKUP($B289,'Email Marketing Raw Data'!$C:$O,8,0)),"")</f>
        <v/>
      </c>
      <c r="Q289" s="62" t="str">
        <f>IFERROR(IF(OR($B289="",$B289="(blank)"),"",VLOOKUP($B289,'Email Marketing Raw Data'!$C:$O,9,0)),"")</f>
        <v/>
      </c>
    </row>
    <row r="290" spans="4:17" ht="12.75" customHeight="1" x14ac:dyDescent="0.2">
      <c r="D290" s="58" t="str">
        <f>IFERROR(IF(F290&lt;&gt;"pending","",IF(OR($B290="",$B290="(blank)"),"",VLOOKUP($B290,'Email Marketing Raw Data'!$C:$O,10,0))),"")</f>
        <v/>
      </c>
      <c r="E290" s="59" t="str">
        <f>IFERROR(IF(F290&lt;&gt;"pending","",IF(OR($B290="",$B290="(blank)"),"",VLOOKUP($B290,'Email Marketing Raw Data'!$C:$O,11,0))),"")</f>
        <v/>
      </c>
      <c r="F290" s="54" t="str">
        <f>IFERROR(IF(OR($B290="",$B290="(blank)"),"",VLOOKUP($B290,'Email Marketing Raw Data'!$C:$O,13,0)),"")</f>
        <v/>
      </c>
      <c r="G290" s="55" t="str">
        <f>IFERROR(IF(OR($B290="",$B290="(blank)"),"",VLOOKUP($B290,'Email Marketing Raw Data'!$C:$O,4,0)),"")</f>
        <v/>
      </c>
      <c r="H290" s="55" t="str">
        <f>IFERROR(IF(OR($B290="",$B290="(blank)"),"",VLOOKUP($B290,'Email Marketing Raw Data'!$C:$O,5,0)),"")</f>
        <v/>
      </c>
      <c r="I290" s="55" t="str">
        <f>IFERROR(IF($G290="","",VLOOKUP('Dashboard And Emails Automate'!$G290,Database!$H:$N,3,0)),"")</f>
        <v/>
      </c>
      <c r="J290" s="55" t="str">
        <f>IFERROR(IF($G290="","",VLOOKUP('Dashboard And Emails Automate'!$G290,Database!$H:$N,4,0)),"")</f>
        <v/>
      </c>
      <c r="K290" s="55" t="str">
        <f>IFERROR(IF($G290="","",VLOOKUP('Dashboard And Emails Automate'!$G290,Database!$H:$N,5,0)),"")</f>
        <v/>
      </c>
      <c r="L290" s="55" t="str">
        <f>IFERROR(IF($G290="","",VLOOKUP('Dashboard And Emails Automate'!$G290,Database!$H:$N,6,0)),"")</f>
        <v/>
      </c>
      <c r="M290" s="55" t="str">
        <f>IFERROR(IF($G290="","",VLOOKUP('Dashboard And Emails Automate'!$G290,Database!$H:$N,7,0)),"")</f>
        <v/>
      </c>
      <c r="N290" s="55" t="str">
        <f>IFERROR(IF(OR($B290="",$B290="(blank)"),"",VLOOKUP($B290,'Email Marketing Raw Data'!$C:$O,6,0)),"")</f>
        <v/>
      </c>
      <c r="O290" s="55" t="str">
        <f>IFERROR(IF(OR($B290="",$B290="(blank)"),"",VLOOKUP($B290,'Email Marketing Raw Data'!$C:$O,7,0)),"")</f>
        <v/>
      </c>
      <c r="P290" s="55" t="str">
        <f>IFERROR(IF(OR($B290="",$B290="(blank)"),"",VLOOKUP($B290,'Email Marketing Raw Data'!$C:$O,8,0)),"")</f>
        <v/>
      </c>
      <c r="Q290" s="62" t="str">
        <f>IFERROR(IF(OR($B290="",$B290="(blank)"),"",VLOOKUP($B290,'Email Marketing Raw Data'!$C:$O,9,0)),"")</f>
        <v/>
      </c>
    </row>
    <row r="291" spans="4:17" ht="12.75" customHeight="1" x14ac:dyDescent="0.2">
      <c r="D291" s="58" t="str">
        <f>IFERROR(IF(F291&lt;&gt;"pending","",IF(OR($B291="",$B291="(blank)"),"",VLOOKUP($B291,'Email Marketing Raw Data'!$C:$O,10,0))),"")</f>
        <v/>
      </c>
      <c r="E291" s="59" t="str">
        <f>IFERROR(IF(F291&lt;&gt;"pending","",IF(OR($B291="",$B291="(blank)"),"",VLOOKUP($B291,'Email Marketing Raw Data'!$C:$O,11,0))),"")</f>
        <v/>
      </c>
      <c r="F291" s="54" t="str">
        <f>IFERROR(IF(OR($B291="",$B291="(blank)"),"",VLOOKUP($B291,'Email Marketing Raw Data'!$C:$O,13,0)),"")</f>
        <v/>
      </c>
      <c r="G291" s="55" t="str">
        <f>IFERROR(IF(OR($B291="",$B291="(blank)"),"",VLOOKUP($B291,'Email Marketing Raw Data'!$C:$O,4,0)),"")</f>
        <v/>
      </c>
      <c r="H291" s="55" t="str">
        <f>IFERROR(IF(OR($B291="",$B291="(blank)"),"",VLOOKUP($B291,'Email Marketing Raw Data'!$C:$O,5,0)),"")</f>
        <v/>
      </c>
      <c r="I291" s="55" t="str">
        <f>IFERROR(IF($G291="","",VLOOKUP('Dashboard And Emails Automate'!$G291,Database!$H:$N,3,0)),"")</f>
        <v/>
      </c>
      <c r="J291" s="55" t="str">
        <f>IFERROR(IF($G291="","",VLOOKUP('Dashboard And Emails Automate'!$G291,Database!$H:$N,4,0)),"")</f>
        <v/>
      </c>
      <c r="K291" s="55" t="str">
        <f>IFERROR(IF($G291="","",VLOOKUP('Dashboard And Emails Automate'!$G291,Database!$H:$N,5,0)),"")</f>
        <v/>
      </c>
      <c r="L291" s="55" t="str">
        <f>IFERROR(IF($G291="","",VLOOKUP('Dashboard And Emails Automate'!$G291,Database!$H:$N,6,0)),"")</f>
        <v/>
      </c>
      <c r="M291" s="55" t="str">
        <f>IFERROR(IF($G291="","",VLOOKUP('Dashboard And Emails Automate'!$G291,Database!$H:$N,7,0)),"")</f>
        <v/>
      </c>
      <c r="N291" s="55" t="str">
        <f>IFERROR(IF(OR($B291="",$B291="(blank)"),"",VLOOKUP($B291,'Email Marketing Raw Data'!$C:$O,6,0)),"")</f>
        <v/>
      </c>
      <c r="O291" s="55" t="str">
        <f>IFERROR(IF(OR($B291="",$B291="(blank)"),"",VLOOKUP($B291,'Email Marketing Raw Data'!$C:$O,7,0)),"")</f>
        <v/>
      </c>
      <c r="P291" s="55" t="str">
        <f>IFERROR(IF(OR($B291="",$B291="(blank)"),"",VLOOKUP($B291,'Email Marketing Raw Data'!$C:$O,8,0)),"")</f>
        <v/>
      </c>
      <c r="Q291" s="62" t="str">
        <f>IFERROR(IF(OR($B291="",$B291="(blank)"),"",VLOOKUP($B291,'Email Marketing Raw Data'!$C:$O,9,0)),"")</f>
        <v/>
      </c>
    </row>
    <row r="292" spans="4:17" ht="12.75" customHeight="1" x14ac:dyDescent="0.2">
      <c r="D292" s="58" t="str">
        <f>IFERROR(IF(F292&lt;&gt;"pending","",IF(OR($B292="",$B292="(blank)"),"",VLOOKUP($B292,'Email Marketing Raw Data'!$C:$O,10,0))),"")</f>
        <v/>
      </c>
      <c r="E292" s="59" t="str">
        <f>IFERROR(IF(F292&lt;&gt;"pending","",IF(OR($B292="",$B292="(blank)"),"",VLOOKUP($B292,'Email Marketing Raw Data'!$C:$O,11,0))),"")</f>
        <v/>
      </c>
      <c r="F292" s="54" t="str">
        <f>IFERROR(IF(OR($B292="",$B292="(blank)"),"",VLOOKUP($B292,'Email Marketing Raw Data'!$C:$O,13,0)),"")</f>
        <v/>
      </c>
      <c r="G292" s="55" t="str">
        <f>IFERROR(IF(OR($B292="",$B292="(blank)"),"",VLOOKUP($B292,'Email Marketing Raw Data'!$C:$O,4,0)),"")</f>
        <v/>
      </c>
      <c r="H292" s="55" t="str">
        <f>IFERROR(IF(OR($B292="",$B292="(blank)"),"",VLOOKUP($B292,'Email Marketing Raw Data'!$C:$O,5,0)),"")</f>
        <v/>
      </c>
      <c r="I292" s="55" t="str">
        <f>IFERROR(IF($G292="","",VLOOKUP('Dashboard And Emails Automate'!$G292,Database!$H:$N,3,0)),"")</f>
        <v/>
      </c>
      <c r="J292" s="55" t="str">
        <f>IFERROR(IF($G292="","",VLOOKUP('Dashboard And Emails Automate'!$G292,Database!$H:$N,4,0)),"")</f>
        <v/>
      </c>
      <c r="K292" s="55" t="str">
        <f>IFERROR(IF($G292="","",VLOOKUP('Dashboard And Emails Automate'!$G292,Database!$H:$N,5,0)),"")</f>
        <v/>
      </c>
      <c r="L292" s="55" t="str">
        <f>IFERROR(IF($G292="","",VLOOKUP('Dashboard And Emails Automate'!$G292,Database!$H:$N,6,0)),"")</f>
        <v/>
      </c>
      <c r="M292" s="55" t="str">
        <f>IFERROR(IF($G292="","",VLOOKUP('Dashboard And Emails Automate'!$G292,Database!$H:$N,7,0)),"")</f>
        <v/>
      </c>
      <c r="N292" s="55" t="str">
        <f>IFERROR(IF(OR($B292="",$B292="(blank)"),"",VLOOKUP($B292,'Email Marketing Raw Data'!$C:$O,6,0)),"")</f>
        <v/>
      </c>
      <c r="O292" s="55" t="str">
        <f>IFERROR(IF(OR($B292="",$B292="(blank)"),"",VLOOKUP($B292,'Email Marketing Raw Data'!$C:$O,7,0)),"")</f>
        <v/>
      </c>
      <c r="P292" s="55" t="str">
        <f>IFERROR(IF(OR($B292="",$B292="(blank)"),"",VLOOKUP($B292,'Email Marketing Raw Data'!$C:$O,8,0)),"")</f>
        <v/>
      </c>
      <c r="Q292" s="62" t="str">
        <f>IFERROR(IF(OR($B292="",$B292="(blank)"),"",VLOOKUP($B292,'Email Marketing Raw Data'!$C:$O,9,0)),"")</f>
        <v/>
      </c>
    </row>
    <row r="293" spans="4:17" ht="12.75" customHeight="1" x14ac:dyDescent="0.2">
      <c r="D293" s="58" t="str">
        <f>IFERROR(IF(F293&lt;&gt;"pending","",IF(OR($B293="",$B293="(blank)"),"",VLOOKUP($B293,'Email Marketing Raw Data'!$C:$O,10,0))),"")</f>
        <v/>
      </c>
      <c r="E293" s="59" t="str">
        <f>IFERROR(IF(F293&lt;&gt;"pending","",IF(OR($B293="",$B293="(blank)"),"",VLOOKUP($B293,'Email Marketing Raw Data'!$C:$O,11,0))),"")</f>
        <v/>
      </c>
      <c r="F293" s="54" t="str">
        <f>IFERROR(IF(OR($B293="",$B293="(blank)"),"",VLOOKUP($B293,'Email Marketing Raw Data'!$C:$O,13,0)),"")</f>
        <v/>
      </c>
      <c r="G293" s="55" t="str">
        <f>IFERROR(IF(OR($B293="",$B293="(blank)"),"",VLOOKUP($B293,'Email Marketing Raw Data'!$C:$O,4,0)),"")</f>
        <v/>
      </c>
      <c r="H293" s="55" t="str">
        <f>IFERROR(IF(OR($B293="",$B293="(blank)"),"",VLOOKUP($B293,'Email Marketing Raw Data'!$C:$O,5,0)),"")</f>
        <v/>
      </c>
      <c r="I293" s="55" t="str">
        <f>IFERROR(IF($G293="","",VLOOKUP('Dashboard And Emails Automate'!$G293,Database!$H:$N,3,0)),"")</f>
        <v/>
      </c>
      <c r="J293" s="55" t="str">
        <f>IFERROR(IF($G293="","",VLOOKUP('Dashboard And Emails Automate'!$G293,Database!$H:$N,4,0)),"")</f>
        <v/>
      </c>
      <c r="K293" s="55" t="str">
        <f>IFERROR(IF($G293="","",VLOOKUP('Dashboard And Emails Automate'!$G293,Database!$H:$N,5,0)),"")</f>
        <v/>
      </c>
      <c r="L293" s="55" t="str">
        <f>IFERROR(IF($G293="","",VLOOKUP('Dashboard And Emails Automate'!$G293,Database!$H:$N,6,0)),"")</f>
        <v/>
      </c>
      <c r="M293" s="55" t="str">
        <f>IFERROR(IF($G293="","",VLOOKUP('Dashboard And Emails Automate'!$G293,Database!$H:$N,7,0)),"")</f>
        <v/>
      </c>
      <c r="N293" s="55" t="str">
        <f>IFERROR(IF(OR($B293="",$B293="(blank)"),"",VLOOKUP($B293,'Email Marketing Raw Data'!$C:$O,6,0)),"")</f>
        <v/>
      </c>
      <c r="O293" s="55" t="str">
        <f>IFERROR(IF(OR($B293="",$B293="(blank)"),"",VLOOKUP($B293,'Email Marketing Raw Data'!$C:$O,7,0)),"")</f>
        <v/>
      </c>
      <c r="P293" s="55" t="str">
        <f>IFERROR(IF(OR($B293="",$B293="(blank)"),"",VLOOKUP($B293,'Email Marketing Raw Data'!$C:$O,8,0)),"")</f>
        <v/>
      </c>
      <c r="Q293" s="62" t="str">
        <f>IFERROR(IF(OR($B293="",$B293="(blank)"),"",VLOOKUP($B293,'Email Marketing Raw Data'!$C:$O,9,0)),"")</f>
        <v/>
      </c>
    </row>
    <row r="294" spans="4:17" ht="12.75" customHeight="1" x14ac:dyDescent="0.2">
      <c r="D294" s="58" t="str">
        <f>IFERROR(IF(F294&lt;&gt;"pending","",IF(OR($B294="",$B294="(blank)"),"",VLOOKUP($B294,'Email Marketing Raw Data'!$C:$O,10,0))),"")</f>
        <v/>
      </c>
      <c r="E294" s="59" t="str">
        <f>IFERROR(IF(F294&lt;&gt;"pending","",IF(OR($B294="",$B294="(blank)"),"",VLOOKUP($B294,'Email Marketing Raw Data'!$C:$O,11,0))),"")</f>
        <v/>
      </c>
      <c r="F294" s="54" t="str">
        <f>IFERROR(IF(OR($B294="",$B294="(blank)"),"",VLOOKUP($B294,'Email Marketing Raw Data'!$C:$O,13,0)),"")</f>
        <v/>
      </c>
      <c r="G294" s="55" t="str">
        <f>IFERROR(IF(OR($B294="",$B294="(blank)"),"",VLOOKUP($B294,'Email Marketing Raw Data'!$C:$O,4,0)),"")</f>
        <v/>
      </c>
      <c r="H294" s="55" t="str">
        <f>IFERROR(IF(OR($B294="",$B294="(blank)"),"",VLOOKUP($B294,'Email Marketing Raw Data'!$C:$O,5,0)),"")</f>
        <v/>
      </c>
      <c r="I294" s="55" t="str">
        <f>IFERROR(IF($G294="","",VLOOKUP('Dashboard And Emails Automate'!$G294,Database!$H:$N,3,0)),"")</f>
        <v/>
      </c>
      <c r="J294" s="55" t="str">
        <f>IFERROR(IF($G294="","",VLOOKUP('Dashboard And Emails Automate'!$G294,Database!$H:$N,4,0)),"")</f>
        <v/>
      </c>
      <c r="K294" s="55" t="str">
        <f>IFERROR(IF($G294="","",VLOOKUP('Dashboard And Emails Automate'!$G294,Database!$H:$N,5,0)),"")</f>
        <v/>
      </c>
      <c r="L294" s="55" t="str">
        <f>IFERROR(IF($G294="","",VLOOKUP('Dashboard And Emails Automate'!$G294,Database!$H:$N,6,0)),"")</f>
        <v/>
      </c>
      <c r="M294" s="55" t="str">
        <f>IFERROR(IF($G294="","",VLOOKUP('Dashboard And Emails Automate'!$G294,Database!$H:$N,7,0)),"")</f>
        <v/>
      </c>
      <c r="N294" s="55" t="str">
        <f>IFERROR(IF(OR($B294="",$B294="(blank)"),"",VLOOKUP($B294,'Email Marketing Raw Data'!$C:$O,6,0)),"")</f>
        <v/>
      </c>
      <c r="O294" s="55" t="str">
        <f>IFERROR(IF(OR($B294="",$B294="(blank)"),"",VLOOKUP($B294,'Email Marketing Raw Data'!$C:$O,7,0)),"")</f>
        <v/>
      </c>
      <c r="P294" s="55" t="str">
        <f>IFERROR(IF(OR($B294="",$B294="(blank)"),"",VLOOKUP($B294,'Email Marketing Raw Data'!$C:$O,8,0)),"")</f>
        <v/>
      </c>
      <c r="Q294" s="62" t="str">
        <f>IFERROR(IF(OR($B294="",$B294="(blank)"),"",VLOOKUP($B294,'Email Marketing Raw Data'!$C:$O,9,0)),"")</f>
        <v/>
      </c>
    </row>
    <row r="295" spans="4:17" ht="12.75" customHeight="1" x14ac:dyDescent="0.2">
      <c r="D295" s="58" t="str">
        <f>IFERROR(IF(F295&lt;&gt;"pending","",IF(OR($B295="",$B295="(blank)"),"",VLOOKUP($B295,'Email Marketing Raw Data'!$C:$O,10,0))),"")</f>
        <v/>
      </c>
      <c r="E295" s="59" t="str">
        <f>IFERROR(IF(F295&lt;&gt;"pending","",IF(OR($B295="",$B295="(blank)"),"",VLOOKUP($B295,'Email Marketing Raw Data'!$C:$O,11,0))),"")</f>
        <v/>
      </c>
      <c r="F295" s="54" t="str">
        <f>IFERROR(IF(OR($B295="",$B295="(blank)"),"",VLOOKUP($B295,'Email Marketing Raw Data'!$C:$O,13,0)),"")</f>
        <v/>
      </c>
      <c r="G295" s="55" t="str">
        <f>IFERROR(IF(OR($B295="",$B295="(blank)"),"",VLOOKUP($B295,'Email Marketing Raw Data'!$C:$O,4,0)),"")</f>
        <v/>
      </c>
      <c r="H295" s="55" t="str">
        <f>IFERROR(IF(OR($B295="",$B295="(blank)"),"",VLOOKUP($B295,'Email Marketing Raw Data'!$C:$O,5,0)),"")</f>
        <v/>
      </c>
      <c r="I295" s="55" t="str">
        <f>IFERROR(IF($G295="","",VLOOKUP('Dashboard And Emails Automate'!$G295,Database!$H:$N,3,0)),"")</f>
        <v/>
      </c>
      <c r="J295" s="55" t="str">
        <f>IFERROR(IF($G295="","",VLOOKUP('Dashboard And Emails Automate'!$G295,Database!$H:$N,4,0)),"")</f>
        <v/>
      </c>
      <c r="K295" s="55" t="str">
        <f>IFERROR(IF($G295="","",VLOOKUP('Dashboard And Emails Automate'!$G295,Database!$H:$N,5,0)),"")</f>
        <v/>
      </c>
      <c r="L295" s="55" t="str">
        <f>IFERROR(IF($G295="","",VLOOKUP('Dashboard And Emails Automate'!$G295,Database!$H:$N,6,0)),"")</f>
        <v/>
      </c>
      <c r="M295" s="55" t="str">
        <f>IFERROR(IF($G295="","",VLOOKUP('Dashboard And Emails Automate'!$G295,Database!$H:$N,7,0)),"")</f>
        <v/>
      </c>
      <c r="N295" s="55" t="str">
        <f>IFERROR(IF(OR($B295="",$B295="(blank)"),"",VLOOKUP($B295,'Email Marketing Raw Data'!$C:$O,6,0)),"")</f>
        <v/>
      </c>
      <c r="O295" s="55" t="str">
        <f>IFERROR(IF(OR($B295="",$B295="(blank)"),"",VLOOKUP($B295,'Email Marketing Raw Data'!$C:$O,7,0)),"")</f>
        <v/>
      </c>
      <c r="P295" s="55" t="str">
        <f>IFERROR(IF(OR($B295="",$B295="(blank)"),"",VLOOKUP($B295,'Email Marketing Raw Data'!$C:$O,8,0)),"")</f>
        <v/>
      </c>
      <c r="Q295" s="62" t="str">
        <f>IFERROR(IF(OR($B295="",$B295="(blank)"),"",VLOOKUP($B295,'Email Marketing Raw Data'!$C:$O,9,0)),"")</f>
        <v/>
      </c>
    </row>
    <row r="296" spans="4:17" ht="12.75" customHeight="1" x14ac:dyDescent="0.2">
      <c r="D296" s="58" t="str">
        <f>IFERROR(IF(F296&lt;&gt;"pending","",IF(OR($B296="",$B296="(blank)"),"",VLOOKUP($B296,'Email Marketing Raw Data'!$C:$O,10,0))),"")</f>
        <v/>
      </c>
      <c r="E296" s="59" t="str">
        <f>IFERROR(IF(F296&lt;&gt;"pending","",IF(OR($B296="",$B296="(blank)"),"",VLOOKUP($B296,'Email Marketing Raw Data'!$C:$O,11,0))),"")</f>
        <v/>
      </c>
      <c r="F296" s="54" t="str">
        <f>IFERROR(IF(OR($B296="",$B296="(blank)"),"",VLOOKUP($B296,'Email Marketing Raw Data'!$C:$O,13,0)),"")</f>
        <v/>
      </c>
      <c r="G296" s="55" t="str">
        <f>IFERROR(IF(OR($B296="",$B296="(blank)"),"",VLOOKUP($B296,'Email Marketing Raw Data'!$C:$O,4,0)),"")</f>
        <v/>
      </c>
      <c r="H296" s="55" t="str">
        <f>IFERROR(IF(OR($B296="",$B296="(blank)"),"",VLOOKUP($B296,'Email Marketing Raw Data'!$C:$O,5,0)),"")</f>
        <v/>
      </c>
      <c r="I296" s="55" t="str">
        <f>IFERROR(IF($G296="","",VLOOKUP('Dashboard And Emails Automate'!$G296,Database!$H:$N,3,0)),"")</f>
        <v/>
      </c>
      <c r="J296" s="55" t="str">
        <f>IFERROR(IF($G296="","",VLOOKUP('Dashboard And Emails Automate'!$G296,Database!$H:$N,4,0)),"")</f>
        <v/>
      </c>
      <c r="K296" s="55" t="str">
        <f>IFERROR(IF($G296="","",VLOOKUP('Dashboard And Emails Automate'!$G296,Database!$H:$N,5,0)),"")</f>
        <v/>
      </c>
      <c r="L296" s="55" t="str">
        <f>IFERROR(IF($G296="","",VLOOKUP('Dashboard And Emails Automate'!$G296,Database!$H:$N,6,0)),"")</f>
        <v/>
      </c>
      <c r="M296" s="55" t="str">
        <f>IFERROR(IF($G296="","",VLOOKUP('Dashboard And Emails Automate'!$G296,Database!$H:$N,7,0)),"")</f>
        <v/>
      </c>
      <c r="N296" s="55" t="str">
        <f>IFERROR(IF(OR($B296="",$B296="(blank)"),"",VLOOKUP($B296,'Email Marketing Raw Data'!$C:$O,6,0)),"")</f>
        <v/>
      </c>
      <c r="O296" s="55" t="str">
        <f>IFERROR(IF(OR($B296="",$B296="(blank)"),"",VLOOKUP($B296,'Email Marketing Raw Data'!$C:$O,7,0)),"")</f>
        <v/>
      </c>
      <c r="P296" s="55" t="str">
        <f>IFERROR(IF(OR($B296="",$B296="(blank)"),"",VLOOKUP($B296,'Email Marketing Raw Data'!$C:$O,8,0)),"")</f>
        <v/>
      </c>
      <c r="Q296" s="62" t="str">
        <f>IFERROR(IF(OR($B296="",$B296="(blank)"),"",VLOOKUP($B296,'Email Marketing Raw Data'!$C:$O,9,0)),"")</f>
        <v/>
      </c>
    </row>
    <row r="297" spans="4:17" ht="12.75" customHeight="1" x14ac:dyDescent="0.2">
      <c r="D297" s="58" t="str">
        <f>IFERROR(IF(F297&lt;&gt;"pending","",IF(OR($B297="",$B297="(blank)"),"",VLOOKUP($B297,'Email Marketing Raw Data'!$C:$O,10,0))),"")</f>
        <v/>
      </c>
      <c r="E297" s="59" t="str">
        <f>IFERROR(IF(F297&lt;&gt;"pending","",IF(OR($B297="",$B297="(blank)"),"",VLOOKUP($B297,'Email Marketing Raw Data'!$C:$O,11,0))),"")</f>
        <v/>
      </c>
      <c r="F297" s="54" t="str">
        <f>IFERROR(IF(OR($B297="",$B297="(blank)"),"",VLOOKUP($B297,'Email Marketing Raw Data'!$C:$O,13,0)),"")</f>
        <v/>
      </c>
      <c r="G297" s="55" t="str">
        <f>IFERROR(IF(OR($B297="",$B297="(blank)"),"",VLOOKUP($B297,'Email Marketing Raw Data'!$C:$O,4,0)),"")</f>
        <v/>
      </c>
      <c r="H297" s="55" t="str">
        <f>IFERROR(IF(OR($B297="",$B297="(blank)"),"",VLOOKUP($B297,'Email Marketing Raw Data'!$C:$O,5,0)),"")</f>
        <v/>
      </c>
      <c r="I297" s="55" t="str">
        <f>IFERROR(IF($G297="","",VLOOKUP('Dashboard And Emails Automate'!$G297,Database!$H:$N,3,0)),"")</f>
        <v/>
      </c>
      <c r="J297" s="55" t="str">
        <f>IFERROR(IF($G297="","",VLOOKUP('Dashboard And Emails Automate'!$G297,Database!$H:$N,4,0)),"")</f>
        <v/>
      </c>
      <c r="K297" s="55" t="str">
        <f>IFERROR(IF($G297="","",VLOOKUP('Dashboard And Emails Automate'!$G297,Database!$H:$N,5,0)),"")</f>
        <v/>
      </c>
      <c r="L297" s="55" t="str">
        <f>IFERROR(IF($G297="","",VLOOKUP('Dashboard And Emails Automate'!$G297,Database!$H:$N,6,0)),"")</f>
        <v/>
      </c>
      <c r="M297" s="55" t="str">
        <f>IFERROR(IF($G297="","",VLOOKUP('Dashboard And Emails Automate'!$G297,Database!$H:$N,7,0)),"")</f>
        <v/>
      </c>
      <c r="N297" s="55" t="str">
        <f>IFERROR(IF(OR($B297="",$B297="(blank)"),"",VLOOKUP($B297,'Email Marketing Raw Data'!$C:$O,6,0)),"")</f>
        <v/>
      </c>
      <c r="O297" s="55" t="str">
        <f>IFERROR(IF(OR($B297="",$B297="(blank)"),"",VLOOKUP($B297,'Email Marketing Raw Data'!$C:$O,7,0)),"")</f>
        <v/>
      </c>
      <c r="P297" s="55" t="str">
        <f>IFERROR(IF(OR($B297="",$B297="(blank)"),"",VLOOKUP($B297,'Email Marketing Raw Data'!$C:$O,8,0)),"")</f>
        <v/>
      </c>
      <c r="Q297" s="62" t="str">
        <f>IFERROR(IF(OR($B297="",$B297="(blank)"),"",VLOOKUP($B297,'Email Marketing Raw Data'!$C:$O,9,0)),"")</f>
        <v/>
      </c>
    </row>
    <row r="298" spans="4:17" ht="12.75" customHeight="1" x14ac:dyDescent="0.2">
      <c r="D298" s="58" t="str">
        <f>IFERROR(IF(F298&lt;&gt;"pending","",IF(OR($B298="",$B298="(blank)"),"",VLOOKUP($B298,'Email Marketing Raw Data'!$C:$O,10,0))),"")</f>
        <v/>
      </c>
      <c r="E298" s="59" t="str">
        <f>IFERROR(IF(F298&lt;&gt;"pending","",IF(OR($B298="",$B298="(blank)"),"",VLOOKUP($B298,'Email Marketing Raw Data'!$C:$O,11,0))),"")</f>
        <v/>
      </c>
      <c r="F298" s="54" t="str">
        <f>IFERROR(IF(OR($B298="",$B298="(blank)"),"",VLOOKUP($B298,'Email Marketing Raw Data'!$C:$O,13,0)),"")</f>
        <v/>
      </c>
      <c r="G298" s="55" t="str">
        <f>IFERROR(IF(OR($B298="",$B298="(blank)"),"",VLOOKUP($B298,'Email Marketing Raw Data'!$C:$O,4,0)),"")</f>
        <v/>
      </c>
      <c r="H298" s="55" t="str">
        <f>IFERROR(IF(OR($B298="",$B298="(blank)"),"",VLOOKUP($B298,'Email Marketing Raw Data'!$C:$O,5,0)),"")</f>
        <v/>
      </c>
      <c r="I298" s="55" t="str">
        <f>IFERROR(IF($G298="","",VLOOKUP('Dashboard And Emails Automate'!$G298,Database!$H:$N,3,0)),"")</f>
        <v/>
      </c>
      <c r="J298" s="55" t="str">
        <f>IFERROR(IF($G298="","",VLOOKUP('Dashboard And Emails Automate'!$G298,Database!$H:$N,4,0)),"")</f>
        <v/>
      </c>
      <c r="K298" s="55" t="str">
        <f>IFERROR(IF($G298="","",VLOOKUP('Dashboard And Emails Automate'!$G298,Database!$H:$N,5,0)),"")</f>
        <v/>
      </c>
      <c r="L298" s="55" t="str">
        <f>IFERROR(IF($G298="","",VLOOKUP('Dashboard And Emails Automate'!$G298,Database!$H:$N,6,0)),"")</f>
        <v/>
      </c>
      <c r="M298" s="55" t="str">
        <f>IFERROR(IF($G298="","",VLOOKUP('Dashboard And Emails Automate'!$G298,Database!$H:$N,7,0)),"")</f>
        <v/>
      </c>
      <c r="N298" s="55" t="str">
        <f>IFERROR(IF(OR($B298="",$B298="(blank)"),"",VLOOKUP($B298,'Email Marketing Raw Data'!$C:$O,6,0)),"")</f>
        <v/>
      </c>
      <c r="O298" s="55" t="str">
        <f>IFERROR(IF(OR($B298="",$B298="(blank)"),"",VLOOKUP($B298,'Email Marketing Raw Data'!$C:$O,7,0)),"")</f>
        <v/>
      </c>
      <c r="P298" s="55" t="str">
        <f>IFERROR(IF(OR($B298="",$B298="(blank)"),"",VLOOKUP($B298,'Email Marketing Raw Data'!$C:$O,8,0)),"")</f>
        <v/>
      </c>
      <c r="Q298" s="62" t="str">
        <f>IFERROR(IF(OR($B298="",$B298="(blank)"),"",VLOOKUP($B298,'Email Marketing Raw Data'!$C:$O,9,0)),"")</f>
        <v/>
      </c>
    </row>
    <row r="299" spans="4:17" ht="12.75" customHeight="1" x14ac:dyDescent="0.2">
      <c r="D299" s="58" t="str">
        <f>IFERROR(IF(F299&lt;&gt;"pending","",IF(OR($B299="",$B299="(blank)"),"",VLOOKUP($B299,'Email Marketing Raw Data'!$C:$O,10,0))),"")</f>
        <v/>
      </c>
      <c r="E299" s="59" t="str">
        <f>IFERROR(IF(F299&lt;&gt;"pending","",IF(OR($B299="",$B299="(blank)"),"",VLOOKUP($B299,'Email Marketing Raw Data'!$C:$O,11,0))),"")</f>
        <v/>
      </c>
      <c r="F299" s="54" t="str">
        <f>IFERROR(IF(OR($B299="",$B299="(blank)"),"",VLOOKUP($B299,'Email Marketing Raw Data'!$C:$O,13,0)),"")</f>
        <v/>
      </c>
      <c r="G299" s="55" t="str">
        <f>IFERROR(IF(OR($B299="",$B299="(blank)"),"",VLOOKUP($B299,'Email Marketing Raw Data'!$C:$O,4,0)),"")</f>
        <v/>
      </c>
      <c r="H299" s="55" t="str">
        <f>IFERROR(IF(OR($B299="",$B299="(blank)"),"",VLOOKUP($B299,'Email Marketing Raw Data'!$C:$O,5,0)),"")</f>
        <v/>
      </c>
      <c r="I299" s="55" t="str">
        <f>IFERROR(IF($G299="","",VLOOKUP('Dashboard And Emails Automate'!$G299,Database!$H:$N,3,0)),"")</f>
        <v/>
      </c>
      <c r="J299" s="55" t="str">
        <f>IFERROR(IF($G299="","",VLOOKUP('Dashboard And Emails Automate'!$G299,Database!$H:$N,4,0)),"")</f>
        <v/>
      </c>
      <c r="K299" s="55" t="str">
        <f>IFERROR(IF($G299="","",VLOOKUP('Dashboard And Emails Automate'!$G299,Database!$H:$N,5,0)),"")</f>
        <v/>
      </c>
      <c r="L299" s="55" t="str">
        <f>IFERROR(IF($G299="","",VLOOKUP('Dashboard And Emails Automate'!$G299,Database!$H:$N,6,0)),"")</f>
        <v/>
      </c>
      <c r="M299" s="55" t="str">
        <f>IFERROR(IF($G299="","",VLOOKUP('Dashboard And Emails Automate'!$G299,Database!$H:$N,7,0)),"")</f>
        <v/>
      </c>
      <c r="N299" s="55" t="str">
        <f>IFERROR(IF(OR($B299="",$B299="(blank)"),"",VLOOKUP($B299,'Email Marketing Raw Data'!$C:$O,6,0)),"")</f>
        <v/>
      </c>
      <c r="O299" s="55" t="str">
        <f>IFERROR(IF(OR($B299="",$B299="(blank)"),"",VLOOKUP($B299,'Email Marketing Raw Data'!$C:$O,7,0)),"")</f>
        <v/>
      </c>
      <c r="P299" s="55" t="str">
        <f>IFERROR(IF(OR($B299="",$B299="(blank)"),"",VLOOKUP($B299,'Email Marketing Raw Data'!$C:$O,8,0)),"")</f>
        <v/>
      </c>
      <c r="Q299" s="62" t="str">
        <f>IFERROR(IF(OR($B299="",$B299="(blank)"),"",VLOOKUP($B299,'Email Marketing Raw Data'!$C:$O,9,0)),"")</f>
        <v/>
      </c>
    </row>
    <row r="300" spans="4:17" ht="12.75" customHeight="1" x14ac:dyDescent="0.2">
      <c r="D300" s="58" t="str">
        <f>IFERROR(IF(F300&lt;&gt;"pending","",IF(OR($B300="",$B300="(blank)"),"",VLOOKUP($B300,'Email Marketing Raw Data'!$C:$O,10,0))),"")</f>
        <v/>
      </c>
      <c r="E300" s="59" t="str">
        <f>IFERROR(IF(F300&lt;&gt;"pending","",IF(OR($B300="",$B300="(blank)"),"",VLOOKUP($B300,'Email Marketing Raw Data'!$C:$O,11,0))),"")</f>
        <v/>
      </c>
      <c r="F300" s="54" t="str">
        <f>IFERROR(IF(OR($B300="",$B300="(blank)"),"",VLOOKUP($B300,'Email Marketing Raw Data'!$C:$O,13,0)),"")</f>
        <v/>
      </c>
      <c r="G300" s="55" t="str">
        <f>IFERROR(IF(OR($B300="",$B300="(blank)"),"",VLOOKUP($B300,'Email Marketing Raw Data'!$C:$O,4,0)),"")</f>
        <v/>
      </c>
      <c r="H300" s="55" t="str">
        <f>IFERROR(IF(OR($B300="",$B300="(blank)"),"",VLOOKUP($B300,'Email Marketing Raw Data'!$C:$O,5,0)),"")</f>
        <v/>
      </c>
      <c r="I300" s="55" t="str">
        <f>IFERROR(IF($G300="","",VLOOKUP('Dashboard And Emails Automate'!$G300,Database!$H:$N,3,0)),"")</f>
        <v/>
      </c>
      <c r="J300" s="55" t="str">
        <f>IFERROR(IF($G300="","",VLOOKUP('Dashboard And Emails Automate'!$G300,Database!$H:$N,4,0)),"")</f>
        <v/>
      </c>
      <c r="K300" s="55" t="str">
        <f>IFERROR(IF($G300="","",VLOOKUP('Dashboard And Emails Automate'!$G300,Database!$H:$N,5,0)),"")</f>
        <v/>
      </c>
      <c r="L300" s="55" t="str">
        <f>IFERROR(IF($G300="","",VLOOKUP('Dashboard And Emails Automate'!$G300,Database!$H:$N,6,0)),"")</f>
        <v/>
      </c>
      <c r="M300" s="55" t="str">
        <f>IFERROR(IF($G300="","",VLOOKUP('Dashboard And Emails Automate'!$G300,Database!$H:$N,7,0)),"")</f>
        <v/>
      </c>
      <c r="N300" s="55" t="str">
        <f>IFERROR(IF(OR($B300="",$B300="(blank)"),"",VLOOKUP($B300,'Email Marketing Raw Data'!$C:$O,6,0)),"")</f>
        <v/>
      </c>
      <c r="O300" s="55" t="str">
        <f>IFERROR(IF(OR($B300="",$B300="(blank)"),"",VLOOKUP($B300,'Email Marketing Raw Data'!$C:$O,7,0)),"")</f>
        <v/>
      </c>
      <c r="P300" s="55" t="str">
        <f>IFERROR(IF(OR($B300="",$B300="(blank)"),"",VLOOKUP($B300,'Email Marketing Raw Data'!$C:$O,8,0)),"")</f>
        <v/>
      </c>
      <c r="Q300" s="62" t="str">
        <f>IFERROR(IF(OR($B300="",$B300="(blank)"),"",VLOOKUP($B300,'Email Marketing Raw Data'!$C:$O,9,0)),"")</f>
        <v/>
      </c>
    </row>
    <row r="301" spans="4:17" ht="12.75" customHeight="1" x14ac:dyDescent="0.2">
      <c r="D301" s="58" t="str">
        <f>IFERROR(IF(F301&lt;&gt;"pending","",IF(OR($B301="",$B301="(blank)"),"",VLOOKUP($B301,'Email Marketing Raw Data'!$C:$O,10,0))),"")</f>
        <v/>
      </c>
      <c r="E301" s="59" t="str">
        <f>IFERROR(IF(F301&lt;&gt;"pending","",IF(OR($B301="",$B301="(blank)"),"",VLOOKUP($B301,'Email Marketing Raw Data'!$C:$O,11,0))),"")</f>
        <v/>
      </c>
      <c r="F301" s="54" t="str">
        <f>IFERROR(IF(OR($B301="",$B301="(blank)"),"",VLOOKUP($B301,'Email Marketing Raw Data'!$C:$O,13,0)),"")</f>
        <v/>
      </c>
      <c r="G301" s="55" t="str">
        <f>IFERROR(IF(OR($B301="",$B301="(blank)"),"",VLOOKUP($B301,'Email Marketing Raw Data'!$C:$O,4,0)),"")</f>
        <v/>
      </c>
      <c r="H301" s="55" t="str">
        <f>IFERROR(IF(OR($B301="",$B301="(blank)"),"",VLOOKUP($B301,'Email Marketing Raw Data'!$C:$O,5,0)),"")</f>
        <v/>
      </c>
      <c r="I301" s="55" t="str">
        <f>IFERROR(IF($G301="","",VLOOKUP('Dashboard And Emails Automate'!$G301,Database!$H:$N,3,0)),"")</f>
        <v/>
      </c>
      <c r="J301" s="55" t="str">
        <f>IFERROR(IF($G301="","",VLOOKUP('Dashboard And Emails Automate'!$G301,Database!$H:$N,4,0)),"")</f>
        <v/>
      </c>
      <c r="K301" s="55" t="str">
        <f>IFERROR(IF($G301="","",VLOOKUP('Dashboard And Emails Automate'!$G301,Database!$H:$N,5,0)),"")</f>
        <v/>
      </c>
      <c r="L301" s="55" t="str">
        <f>IFERROR(IF($G301="","",VLOOKUP('Dashboard And Emails Automate'!$G301,Database!$H:$N,6,0)),"")</f>
        <v/>
      </c>
      <c r="M301" s="55" t="str">
        <f>IFERROR(IF($G301="","",VLOOKUP('Dashboard And Emails Automate'!$G301,Database!$H:$N,7,0)),"")</f>
        <v/>
      </c>
      <c r="N301" s="55" t="str">
        <f>IFERROR(IF(OR($B301="",$B301="(blank)"),"",VLOOKUP($B301,'Email Marketing Raw Data'!$C:$O,6,0)),"")</f>
        <v/>
      </c>
      <c r="O301" s="55" t="str">
        <f>IFERROR(IF(OR($B301="",$B301="(blank)"),"",VLOOKUP($B301,'Email Marketing Raw Data'!$C:$O,7,0)),"")</f>
        <v/>
      </c>
      <c r="P301" s="55" t="str">
        <f>IFERROR(IF(OR($B301="",$B301="(blank)"),"",VLOOKUP($B301,'Email Marketing Raw Data'!$C:$O,8,0)),"")</f>
        <v/>
      </c>
      <c r="Q301" s="62" t="str">
        <f>IFERROR(IF(OR($B301="",$B301="(blank)"),"",VLOOKUP($B301,'Email Marketing Raw Data'!$C:$O,9,0)),"")</f>
        <v/>
      </c>
    </row>
    <row r="302" spans="4:17" ht="12.75" customHeight="1" x14ac:dyDescent="0.2">
      <c r="D302" s="58" t="str">
        <f>IFERROR(IF(F302&lt;&gt;"pending","",IF(OR($B302="",$B302="(blank)"),"",VLOOKUP($B302,'Email Marketing Raw Data'!$C:$O,10,0))),"")</f>
        <v/>
      </c>
      <c r="E302" s="59" t="str">
        <f>IFERROR(IF(F302&lt;&gt;"pending","",IF(OR($B302="",$B302="(blank)"),"",VLOOKUP($B302,'Email Marketing Raw Data'!$C:$O,11,0))),"")</f>
        <v/>
      </c>
      <c r="F302" s="54" t="str">
        <f>IFERROR(IF(OR($B302="",$B302="(blank)"),"",VLOOKUP($B302,'Email Marketing Raw Data'!$C:$O,13,0)),"")</f>
        <v/>
      </c>
      <c r="G302" s="55" t="str">
        <f>IFERROR(IF(OR($B302="",$B302="(blank)"),"",VLOOKUP($B302,'Email Marketing Raw Data'!$C:$O,4,0)),"")</f>
        <v/>
      </c>
      <c r="H302" s="55" t="str">
        <f>IFERROR(IF(OR($B302="",$B302="(blank)"),"",VLOOKUP($B302,'Email Marketing Raw Data'!$C:$O,5,0)),"")</f>
        <v/>
      </c>
      <c r="I302" s="55" t="str">
        <f>IFERROR(IF($G302="","",VLOOKUP('Dashboard And Emails Automate'!$G302,Database!$H:$N,3,0)),"")</f>
        <v/>
      </c>
      <c r="J302" s="55" t="str">
        <f>IFERROR(IF($G302="","",VLOOKUP('Dashboard And Emails Automate'!$G302,Database!$H:$N,4,0)),"")</f>
        <v/>
      </c>
      <c r="K302" s="55" t="str">
        <f>IFERROR(IF($G302="","",VLOOKUP('Dashboard And Emails Automate'!$G302,Database!$H:$N,5,0)),"")</f>
        <v/>
      </c>
      <c r="L302" s="55" t="str">
        <f>IFERROR(IF($G302="","",VLOOKUP('Dashboard And Emails Automate'!$G302,Database!$H:$N,6,0)),"")</f>
        <v/>
      </c>
      <c r="M302" s="55" t="str">
        <f>IFERROR(IF($G302="","",VLOOKUP('Dashboard And Emails Automate'!$G302,Database!$H:$N,7,0)),"")</f>
        <v/>
      </c>
      <c r="N302" s="55" t="str">
        <f>IFERROR(IF(OR($B302="",$B302="(blank)"),"",VLOOKUP($B302,'Email Marketing Raw Data'!$C:$O,6,0)),"")</f>
        <v/>
      </c>
      <c r="O302" s="55" t="str">
        <f>IFERROR(IF(OR($B302="",$B302="(blank)"),"",VLOOKUP($B302,'Email Marketing Raw Data'!$C:$O,7,0)),"")</f>
        <v/>
      </c>
      <c r="P302" s="55" t="str">
        <f>IFERROR(IF(OR($B302="",$B302="(blank)"),"",VLOOKUP($B302,'Email Marketing Raw Data'!$C:$O,8,0)),"")</f>
        <v/>
      </c>
      <c r="Q302" s="62" t="str">
        <f>IFERROR(IF(OR($B302="",$B302="(blank)"),"",VLOOKUP($B302,'Email Marketing Raw Data'!$C:$O,9,0)),"")</f>
        <v/>
      </c>
    </row>
    <row r="303" spans="4:17" ht="12.75" customHeight="1" x14ac:dyDescent="0.2">
      <c r="D303" s="58" t="str">
        <f>IFERROR(IF(F303&lt;&gt;"pending","",IF(OR($B303="",$B303="(blank)"),"",VLOOKUP($B303,'Email Marketing Raw Data'!$C:$O,10,0))),"")</f>
        <v/>
      </c>
      <c r="E303" s="59" t="str">
        <f>IFERROR(IF(F303&lt;&gt;"pending","",IF(OR($B303="",$B303="(blank)"),"",VLOOKUP($B303,'Email Marketing Raw Data'!$C:$O,11,0))),"")</f>
        <v/>
      </c>
      <c r="F303" s="54" t="str">
        <f>IFERROR(IF(OR($B303="",$B303="(blank)"),"",VLOOKUP($B303,'Email Marketing Raw Data'!$C:$O,13,0)),"")</f>
        <v/>
      </c>
      <c r="G303" s="55" t="str">
        <f>IFERROR(IF(OR($B303="",$B303="(blank)"),"",VLOOKUP($B303,'Email Marketing Raw Data'!$C:$O,4,0)),"")</f>
        <v/>
      </c>
      <c r="H303" s="55" t="str">
        <f>IFERROR(IF(OR($B303="",$B303="(blank)"),"",VLOOKUP($B303,'Email Marketing Raw Data'!$C:$O,5,0)),"")</f>
        <v/>
      </c>
      <c r="I303" s="55" t="str">
        <f>IFERROR(IF($G303="","",VLOOKUP('Dashboard And Emails Automate'!$G303,Database!$H:$N,3,0)),"")</f>
        <v/>
      </c>
      <c r="J303" s="55" t="str">
        <f>IFERROR(IF($G303="","",VLOOKUP('Dashboard And Emails Automate'!$G303,Database!$H:$N,4,0)),"")</f>
        <v/>
      </c>
      <c r="K303" s="55" t="str">
        <f>IFERROR(IF($G303="","",VLOOKUP('Dashboard And Emails Automate'!$G303,Database!$H:$N,5,0)),"")</f>
        <v/>
      </c>
      <c r="L303" s="55" t="str">
        <f>IFERROR(IF($G303="","",VLOOKUP('Dashboard And Emails Automate'!$G303,Database!$H:$N,6,0)),"")</f>
        <v/>
      </c>
      <c r="M303" s="55" t="str">
        <f>IFERROR(IF($G303="","",VLOOKUP('Dashboard And Emails Automate'!$G303,Database!$H:$N,7,0)),"")</f>
        <v/>
      </c>
      <c r="N303" s="55" t="str">
        <f>IFERROR(IF(OR($B303="",$B303="(blank)"),"",VLOOKUP($B303,'Email Marketing Raw Data'!$C:$O,6,0)),"")</f>
        <v/>
      </c>
      <c r="O303" s="55" t="str">
        <f>IFERROR(IF(OR($B303="",$B303="(blank)"),"",VLOOKUP($B303,'Email Marketing Raw Data'!$C:$O,7,0)),"")</f>
        <v/>
      </c>
      <c r="P303" s="55" t="str">
        <f>IFERROR(IF(OR($B303="",$B303="(blank)"),"",VLOOKUP($B303,'Email Marketing Raw Data'!$C:$O,8,0)),"")</f>
        <v/>
      </c>
      <c r="Q303" s="62" t="str">
        <f>IFERROR(IF(OR($B303="",$B303="(blank)"),"",VLOOKUP($B303,'Email Marketing Raw Data'!$C:$O,9,0)),"")</f>
        <v/>
      </c>
    </row>
    <row r="304" spans="4:17" ht="12.75" customHeight="1" x14ac:dyDescent="0.2">
      <c r="D304" s="58" t="str">
        <f>IFERROR(IF(F304&lt;&gt;"pending","",IF(OR($B304="",$B304="(blank)"),"",VLOOKUP($B304,'Email Marketing Raw Data'!$C:$O,10,0))),"")</f>
        <v/>
      </c>
      <c r="E304" s="59" t="str">
        <f>IFERROR(IF(F304&lt;&gt;"pending","",IF(OR($B304="",$B304="(blank)"),"",VLOOKUP($B304,'Email Marketing Raw Data'!$C:$O,11,0))),"")</f>
        <v/>
      </c>
      <c r="F304" s="54" t="str">
        <f>IFERROR(IF(OR($B304="",$B304="(blank)"),"",VLOOKUP($B304,'Email Marketing Raw Data'!$C:$O,13,0)),"")</f>
        <v/>
      </c>
      <c r="G304" s="55" t="str">
        <f>IFERROR(IF(OR($B304="",$B304="(blank)"),"",VLOOKUP($B304,'Email Marketing Raw Data'!$C:$O,4,0)),"")</f>
        <v/>
      </c>
      <c r="H304" s="55" t="str">
        <f>IFERROR(IF(OR($B304="",$B304="(blank)"),"",VLOOKUP($B304,'Email Marketing Raw Data'!$C:$O,5,0)),"")</f>
        <v/>
      </c>
      <c r="I304" s="55" t="str">
        <f>IFERROR(IF($G304="","",VLOOKUP('Dashboard And Emails Automate'!$G304,Database!$H:$N,3,0)),"")</f>
        <v/>
      </c>
      <c r="J304" s="55" t="str">
        <f>IFERROR(IF($G304="","",VLOOKUP('Dashboard And Emails Automate'!$G304,Database!$H:$N,4,0)),"")</f>
        <v/>
      </c>
      <c r="K304" s="55" t="str">
        <f>IFERROR(IF($G304="","",VLOOKUP('Dashboard And Emails Automate'!$G304,Database!$H:$N,5,0)),"")</f>
        <v/>
      </c>
      <c r="L304" s="55" t="str">
        <f>IFERROR(IF($G304="","",VLOOKUP('Dashboard And Emails Automate'!$G304,Database!$H:$N,6,0)),"")</f>
        <v/>
      </c>
      <c r="M304" s="55" t="str">
        <f>IFERROR(IF($G304="","",VLOOKUP('Dashboard And Emails Automate'!$G304,Database!$H:$N,7,0)),"")</f>
        <v/>
      </c>
      <c r="N304" s="55" t="str">
        <f>IFERROR(IF(OR($B304="",$B304="(blank)"),"",VLOOKUP($B304,'Email Marketing Raw Data'!$C:$O,6,0)),"")</f>
        <v/>
      </c>
      <c r="O304" s="55" t="str">
        <f>IFERROR(IF(OR($B304="",$B304="(blank)"),"",VLOOKUP($B304,'Email Marketing Raw Data'!$C:$O,7,0)),"")</f>
        <v/>
      </c>
      <c r="P304" s="55" t="str">
        <f>IFERROR(IF(OR($B304="",$B304="(blank)"),"",VLOOKUP($B304,'Email Marketing Raw Data'!$C:$O,8,0)),"")</f>
        <v/>
      </c>
      <c r="Q304" s="62" t="str">
        <f>IFERROR(IF(OR($B304="",$B304="(blank)"),"",VLOOKUP($B304,'Email Marketing Raw Data'!$C:$O,9,0)),"")</f>
        <v/>
      </c>
    </row>
    <row r="305" spans="4:17" ht="12.75" customHeight="1" x14ac:dyDescent="0.2">
      <c r="D305" s="58" t="str">
        <f>IFERROR(IF(F305&lt;&gt;"pending","",IF(OR($B305="",$B305="(blank)"),"",VLOOKUP($B305,'Email Marketing Raw Data'!$C:$O,10,0))),"")</f>
        <v/>
      </c>
      <c r="E305" s="59" t="str">
        <f>IFERROR(IF(F305&lt;&gt;"pending","",IF(OR($B305="",$B305="(blank)"),"",VLOOKUP($B305,'Email Marketing Raw Data'!$C:$O,11,0))),"")</f>
        <v/>
      </c>
      <c r="F305" s="54" t="str">
        <f>IFERROR(IF(OR($B305="",$B305="(blank)"),"",VLOOKUP($B305,'Email Marketing Raw Data'!$C:$O,13,0)),"")</f>
        <v/>
      </c>
      <c r="G305" s="55" t="str">
        <f>IFERROR(IF(OR($B305="",$B305="(blank)"),"",VLOOKUP($B305,'Email Marketing Raw Data'!$C:$O,4,0)),"")</f>
        <v/>
      </c>
      <c r="H305" s="55" t="str">
        <f>IFERROR(IF(OR($B305="",$B305="(blank)"),"",VLOOKUP($B305,'Email Marketing Raw Data'!$C:$O,5,0)),"")</f>
        <v/>
      </c>
      <c r="I305" s="55" t="str">
        <f>IFERROR(IF($G305="","",VLOOKUP('Dashboard And Emails Automate'!$G305,Database!$H:$N,3,0)),"")</f>
        <v/>
      </c>
      <c r="J305" s="55" t="str">
        <f>IFERROR(IF($G305="","",VLOOKUP('Dashboard And Emails Automate'!$G305,Database!$H:$N,4,0)),"")</f>
        <v/>
      </c>
      <c r="K305" s="55" t="str">
        <f>IFERROR(IF($G305="","",VLOOKUP('Dashboard And Emails Automate'!$G305,Database!$H:$N,5,0)),"")</f>
        <v/>
      </c>
      <c r="L305" s="55" t="str">
        <f>IFERROR(IF($G305="","",VLOOKUP('Dashboard And Emails Automate'!$G305,Database!$H:$N,6,0)),"")</f>
        <v/>
      </c>
      <c r="M305" s="55" t="str">
        <f>IFERROR(IF($G305="","",VLOOKUP('Dashboard And Emails Automate'!$G305,Database!$H:$N,7,0)),"")</f>
        <v/>
      </c>
      <c r="N305" s="55" t="str">
        <f>IFERROR(IF(OR($B305="",$B305="(blank)"),"",VLOOKUP($B305,'Email Marketing Raw Data'!$C:$O,6,0)),"")</f>
        <v/>
      </c>
      <c r="O305" s="55" t="str">
        <f>IFERROR(IF(OR($B305="",$B305="(blank)"),"",VLOOKUP($B305,'Email Marketing Raw Data'!$C:$O,7,0)),"")</f>
        <v/>
      </c>
      <c r="P305" s="55" t="str">
        <f>IFERROR(IF(OR($B305="",$B305="(blank)"),"",VLOOKUP($B305,'Email Marketing Raw Data'!$C:$O,8,0)),"")</f>
        <v/>
      </c>
      <c r="Q305" s="62" t="str">
        <f>IFERROR(IF(OR($B305="",$B305="(blank)"),"",VLOOKUP($B305,'Email Marketing Raw Data'!$C:$O,9,0)),"")</f>
        <v/>
      </c>
    </row>
    <row r="306" spans="4:17" ht="12.75" customHeight="1" x14ac:dyDescent="0.2">
      <c r="D306" s="58" t="str">
        <f>IFERROR(IF(F306&lt;&gt;"pending","",IF(OR($B306="",$B306="(blank)"),"",VLOOKUP($B306,'Email Marketing Raw Data'!$C:$O,10,0))),"")</f>
        <v/>
      </c>
      <c r="E306" s="59" t="str">
        <f>IFERROR(IF(F306&lt;&gt;"pending","",IF(OR($B306="",$B306="(blank)"),"",VLOOKUP($B306,'Email Marketing Raw Data'!$C:$O,11,0))),"")</f>
        <v/>
      </c>
      <c r="F306" s="54" t="str">
        <f>IFERROR(IF(OR($B306="",$B306="(blank)"),"",VLOOKUP($B306,'Email Marketing Raw Data'!$C:$O,13,0)),"")</f>
        <v/>
      </c>
      <c r="G306" s="55" t="str">
        <f>IFERROR(IF(OR($B306="",$B306="(blank)"),"",VLOOKUP($B306,'Email Marketing Raw Data'!$C:$O,4,0)),"")</f>
        <v/>
      </c>
      <c r="H306" s="55" t="str">
        <f>IFERROR(IF(OR($B306="",$B306="(blank)"),"",VLOOKUP($B306,'Email Marketing Raw Data'!$C:$O,5,0)),"")</f>
        <v/>
      </c>
      <c r="I306" s="55" t="str">
        <f>IFERROR(IF($G306="","",VLOOKUP('Dashboard And Emails Automate'!$G306,Database!$H:$N,3,0)),"")</f>
        <v/>
      </c>
      <c r="J306" s="55" t="str">
        <f>IFERROR(IF($G306="","",VLOOKUP('Dashboard And Emails Automate'!$G306,Database!$H:$N,4,0)),"")</f>
        <v/>
      </c>
      <c r="K306" s="55" t="str">
        <f>IFERROR(IF($G306="","",VLOOKUP('Dashboard And Emails Automate'!$G306,Database!$H:$N,5,0)),"")</f>
        <v/>
      </c>
      <c r="L306" s="55" t="str">
        <f>IFERROR(IF($G306="","",VLOOKUP('Dashboard And Emails Automate'!$G306,Database!$H:$N,6,0)),"")</f>
        <v/>
      </c>
      <c r="M306" s="55" t="str">
        <f>IFERROR(IF($G306="","",VLOOKUP('Dashboard And Emails Automate'!$G306,Database!$H:$N,7,0)),"")</f>
        <v/>
      </c>
      <c r="N306" s="55" t="str">
        <f>IFERROR(IF(OR($B306="",$B306="(blank)"),"",VLOOKUP($B306,'Email Marketing Raw Data'!$C:$O,6,0)),"")</f>
        <v/>
      </c>
      <c r="O306" s="55" t="str">
        <f>IFERROR(IF(OR($B306="",$B306="(blank)"),"",VLOOKUP($B306,'Email Marketing Raw Data'!$C:$O,7,0)),"")</f>
        <v/>
      </c>
      <c r="P306" s="55" t="str">
        <f>IFERROR(IF(OR($B306="",$B306="(blank)"),"",VLOOKUP($B306,'Email Marketing Raw Data'!$C:$O,8,0)),"")</f>
        <v/>
      </c>
      <c r="Q306" s="62" t="str">
        <f>IFERROR(IF(OR($B306="",$B306="(blank)"),"",VLOOKUP($B306,'Email Marketing Raw Data'!$C:$O,9,0)),"")</f>
        <v/>
      </c>
    </row>
    <row r="307" spans="4:17" ht="12.75" customHeight="1" x14ac:dyDescent="0.2">
      <c r="D307" s="58" t="str">
        <f>IFERROR(IF(F307&lt;&gt;"pending","",IF(OR($B307="",$B307="(blank)"),"",VLOOKUP($B307,'Email Marketing Raw Data'!$C:$O,10,0))),"")</f>
        <v/>
      </c>
      <c r="E307" s="59" t="str">
        <f>IFERROR(IF(F307&lt;&gt;"pending","",IF(OR($B307="",$B307="(blank)"),"",VLOOKUP($B307,'Email Marketing Raw Data'!$C:$O,11,0))),"")</f>
        <v/>
      </c>
      <c r="F307" s="54" t="str">
        <f>IFERROR(IF(OR($B307="",$B307="(blank)"),"",VLOOKUP($B307,'Email Marketing Raw Data'!$C:$O,13,0)),"")</f>
        <v/>
      </c>
      <c r="G307" s="55" t="str">
        <f>IFERROR(IF(OR($B307="",$B307="(blank)"),"",VLOOKUP($B307,'Email Marketing Raw Data'!$C:$O,4,0)),"")</f>
        <v/>
      </c>
      <c r="H307" s="55" t="str">
        <f>IFERROR(IF(OR($B307="",$B307="(blank)"),"",VLOOKUP($B307,'Email Marketing Raw Data'!$C:$O,5,0)),"")</f>
        <v/>
      </c>
      <c r="I307" s="55" t="str">
        <f>IFERROR(IF($G307="","",VLOOKUP('Dashboard And Emails Automate'!$G307,Database!$H:$N,3,0)),"")</f>
        <v/>
      </c>
      <c r="J307" s="55" t="str">
        <f>IFERROR(IF($G307="","",VLOOKUP('Dashboard And Emails Automate'!$G307,Database!$H:$N,4,0)),"")</f>
        <v/>
      </c>
      <c r="K307" s="55" t="str">
        <f>IFERROR(IF($G307="","",VLOOKUP('Dashboard And Emails Automate'!$G307,Database!$H:$N,5,0)),"")</f>
        <v/>
      </c>
      <c r="L307" s="55" t="str">
        <f>IFERROR(IF($G307="","",VLOOKUP('Dashboard And Emails Automate'!$G307,Database!$H:$N,6,0)),"")</f>
        <v/>
      </c>
      <c r="M307" s="55" t="str">
        <f>IFERROR(IF($G307="","",VLOOKUP('Dashboard And Emails Automate'!$G307,Database!$H:$N,7,0)),"")</f>
        <v/>
      </c>
      <c r="N307" s="55" t="str">
        <f>IFERROR(IF(OR($B307="",$B307="(blank)"),"",VLOOKUP($B307,'Email Marketing Raw Data'!$C:$O,6,0)),"")</f>
        <v/>
      </c>
      <c r="O307" s="55" t="str">
        <f>IFERROR(IF(OR($B307="",$B307="(blank)"),"",VLOOKUP($B307,'Email Marketing Raw Data'!$C:$O,7,0)),"")</f>
        <v/>
      </c>
      <c r="P307" s="55" t="str">
        <f>IFERROR(IF(OR($B307="",$B307="(blank)"),"",VLOOKUP($B307,'Email Marketing Raw Data'!$C:$O,8,0)),"")</f>
        <v/>
      </c>
      <c r="Q307" s="62" t="str">
        <f>IFERROR(IF(OR($B307="",$B307="(blank)"),"",VLOOKUP($B307,'Email Marketing Raw Data'!$C:$O,9,0)),"")</f>
        <v/>
      </c>
    </row>
    <row r="308" spans="4:17" ht="12.75" customHeight="1" x14ac:dyDescent="0.2">
      <c r="D308" s="58" t="str">
        <f>IFERROR(IF(F308&lt;&gt;"pending","",IF(OR($B308="",$B308="(blank)"),"",VLOOKUP($B308,'Email Marketing Raw Data'!$C:$O,10,0))),"")</f>
        <v/>
      </c>
      <c r="E308" s="59" t="str">
        <f>IFERROR(IF(F308&lt;&gt;"pending","",IF(OR($B308="",$B308="(blank)"),"",VLOOKUP($B308,'Email Marketing Raw Data'!$C:$O,11,0))),"")</f>
        <v/>
      </c>
      <c r="F308" s="54" t="str">
        <f>IFERROR(IF(OR($B308="",$B308="(blank)"),"",VLOOKUP($B308,'Email Marketing Raw Data'!$C:$O,13,0)),"")</f>
        <v/>
      </c>
      <c r="G308" s="55" t="str">
        <f>IFERROR(IF(OR($B308="",$B308="(blank)"),"",VLOOKUP($B308,'Email Marketing Raw Data'!$C:$O,4,0)),"")</f>
        <v/>
      </c>
      <c r="H308" s="55" t="str">
        <f>IFERROR(IF(OR($B308="",$B308="(blank)"),"",VLOOKUP($B308,'Email Marketing Raw Data'!$C:$O,5,0)),"")</f>
        <v/>
      </c>
      <c r="I308" s="55" t="str">
        <f>IFERROR(IF($G308="","",VLOOKUP('Dashboard And Emails Automate'!$G308,Database!$H:$N,3,0)),"")</f>
        <v/>
      </c>
      <c r="J308" s="55" t="str">
        <f>IFERROR(IF($G308="","",VLOOKUP('Dashboard And Emails Automate'!$G308,Database!$H:$N,4,0)),"")</f>
        <v/>
      </c>
      <c r="K308" s="55" t="str">
        <f>IFERROR(IF($G308="","",VLOOKUP('Dashboard And Emails Automate'!$G308,Database!$H:$N,5,0)),"")</f>
        <v/>
      </c>
      <c r="L308" s="55" t="str">
        <f>IFERROR(IF($G308="","",VLOOKUP('Dashboard And Emails Automate'!$G308,Database!$H:$N,6,0)),"")</f>
        <v/>
      </c>
      <c r="M308" s="55" t="str">
        <f>IFERROR(IF($G308="","",VLOOKUP('Dashboard And Emails Automate'!$G308,Database!$H:$N,7,0)),"")</f>
        <v/>
      </c>
      <c r="N308" s="55" t="str">
        <f>IFERROR(IF(OR($B308="",$B308="(blank)"),"",VLOOKUP($B308,'Email Marketing Raw Data'!$C:$O,6,0)),"")</f>
        <v/>
      </c>
      <c r="O308" s="55" t="str">
        <f>IFERROR(IF(OR($B308="",$B308="(blank)"),"",VLOOKUP($B308,'Email Marketing Raw Data'!$C:$O,7,0)),"")</f>
        <v/>
      </c>
      <c r="P308" s="55" t="str">
        <f>IFERROR(IF(OR($B308="",$B308="(blank)"),"",VLOOKUP($B308,'Email Marketing Raw Data'!$C:$O,8,0)),"")</f>
        <v/>
      </c>
      <c r="Q308" s="62" t="str">
        <f>IFERROR(IF(OR($B308="",$B308="(blank)"),"",VLOOKUP($B308,'Email Marketing Raw Data'!$C:$O,9,0)),"")</f>
        <v/>
      </c>
    </row>
    <row r="309" spans="4:17" ht="12.75" customHeight="1" x14ac:dyDescent="0.2">
      <c r="D309" s="58" t="str">
        <f>IFERROR(IF(F309&lt;&gt;"pending","",IF(OR($B309="",$B309="(blank)"),"",VLOOKUP($B309,'Email Marketing Raw Data'!$C:$O,10,0))),"")</f>
        <v/>
      </c>
      <c r="E309" s="59" t="str">
        <f>IFERROR(IF(F309&lt;&gt;"pending","",IF(OR($B309="",$B309="(blank)"),"",VLOOKUP($B309,'Email Marketing Raw Data'!$C:$O,11,0))),"")</f>
        <v/>
      </c>
      <c r="F309" s="54" t="str">
        <f>IFERROR(IF(OR($B309="",$B309="(blank)"),"",VLOOKUP($B309,'Email Marketing Raw Data'!$C:$O,13,0)),"")</f>
        <v/>
      </c>
      <c r="G309" s="55" t="str">
        <f>IFERROR(IF(OR($B309="",$B309="(blank)"),"",VLOOKUP($B309,'Email Marketing Raw Data'!$C:$O,4,0)),"")</f>
        <v/>
      </c>
      <c r="H309" s="55" t="str">
        <f>IFERROR(IF(OR($B309="",$B309="(blank)"),"",VLOOKUP($B309,'Email Marketing Raw Data'!$C:$O,5,0)),"")</f>
        <v/>
      </c>
      <c r="I309" s="55" t="str">
        <f>IFERROR(IF($G309="","",VLOOKUP('Dashboard And Emails Automate'!$G309,Database!$H:$N,3,0)),"")</f>
        <v/>
      </c>
      <c r="J309" s="55" t="str">
        <f>IFERROR(IF($G309="","",VLOOKUP('Dashboard And Emails Automate'!$G309,Database!$H:$N,4,0)),"")</f>
        <v/>
      </c>
      <c r="K309" s="55" t="str">
        <f>IFERROR(IF($G309="","",VLOOKUP('Dashboard And Emails Automate'!$G309,Database!$H:$N,5,0)),"")</f>
        <v/>
      </c>
      <c r="L309" s="55" t="str">
        <f>IFERROR(IF($G309="","",VLOOKUP('Dashboard And Emails Automate'!$G309,Database!$H:$N,6,0)),"")</f>
        <v/>
      </c>
      <c r="M309" s="55" t="str">
        <f>IFERROR(IF($G309="","",VLOOKUP('Dashboard And Emails Automate'!$G309,Database!$H:$N,7,0)),"")</f>
        <v/>
      </c>
      <c r="N309" s="55" t="str">
        <f>IFERROR(IF(OR($B309="",$B309="(blank)"),"",VLOOKUP($B309,'Email Marketing Raw Data'!$C:$O,6,0)),"")</f>
        <v/>
      </c>
      <c r="O309" s="55" t="str">
        <f>IFERROR(IF(OR($B309="",$B309="(blank)"),"",VLOOKUP($B309,'Email Marketing Raw Data'!$C:$O,7,0)),"")</f>
        <v/>
      </c>
      <c r="P309" s="55" t="str">
        <f>IFERROR(IF(OR($B309="",$B309="(blank)"),"",VLOOKUP($B309,'Email Marketing Raw Data'!$C:$O,8,0)),"")</f>
        <v/>
      </c>
      <c r="Q309" s="62" t="str">
        <f>IFERROR(IF(OR($B309="",$B309="(blank)"),"",VLOOKUP($B309,'Email Marketing Raw Data'!$C:$O,9,0)),"")</f>
        <v/>
      </c>
    </row>
    <row r="310" spans="4:17" ht="12.75" customHeight="1" x14ac:dyDescent="0.2">
      <c r="D310" s="58" t="str">
        <f>IFERROR(IF(F310&lt;&gt;"pending","",IF(OR($B310="",$B310="(blank)"),"",VLOOKUP($B310,'Email Marketing Raw Data'!$C:$O,10,0))),"")</f>
        <v/>
      </c>
      <c r="E310" s="59" t="str">
        <f>IFERROR(IF(F310&lt;&gt;"pending","",IF(OR($B310="",$B310="(blank)"),"",VLOOKUP($B310,'Email Marketing Raw Data'!$C:$O,11,0))),"")</f>
        <v/>
      </c>
      <c r="F310" s="54" t="str">
        <f>IFERROR(IF(OR($B310="",$B310="(blank)"),"",VLOOKUP($B310,'Email Marketing Raw Data'!$C:$O,13,0)),"")</f>
        <v/>
      </c>
      <c r="G310" s="55" t="str">
        <f>IFERROR(IF(OR($B310="",$B310="(blank)"),"",VLOOKUP($B310,'Email Marketing Raw Data'!$C:$O,4,0)),"")</f>
        <v/>
      </c>
      <c r="H310" s="55" t="str">
        <f>IFERROR(IF(OR($B310="",$B310="(blank)"),"",VLOOKUP($B310,'Email Marketing Raw Data'!$C:$O,5,0)),"")</f>
        <v/>
      </c>
      <c r="I310" s="55" t="str">
        <f>IFERROR(IF($G310="","",VLOOKUP('Dashboard And Emails Automate'!$G310,Database!$H:$N,3,0)),"")</f>
        <v/>
      </c>
      <c r="J310" s="55" t="str">
        <f>IFERROR(IF($G310="","",VLOOKUP('Dashboard And Emails Automate'!$G310,Database!$H:$N,4,0)),"")</f>
        <v/>
      </c>
      <c r="K310" s="55" t="str">
        <f>IFERROR(IF($G310="","",VLOOKUP('Dashboard And Emails Automate'!$G310,Database!$H:$N,5,0)),"")</f>
        <v/>
      </c>
      <c r="L310" s="55" t="str">
        <f>IFERROR(IF($G310="","",VLOOKUP('Dashboard And Emails Automate'!$G310,Database!$H:$N,6,0)),"")</f>
        <v/>
      </c>
      <c r="M310" s="55" t="str">
        <f>IFERROR(IF($G310="","",VLOOKUP('Dashboard And Emails Automate'!$G310,Database!$H:$N,7,0)),"")</f>
        <v/>
      </c>
      <c r="N310" s="55" t="str">
        <f>IFERROR(IF(OR($B310="",$B310="(blank)"),"",VLOOKUP($B310,'Email Marketing Raw Data'!$C:$O,6,0)),"")</f>
        <v/>
      </c>
      <c r="O310" s="55" t="str">
        <f>IFERROR(IF(OR($B310="",$B310="(blank)"),"",VLOOKUP($B310,'Email Marketing Raw Data'!$C:$O,7,0)),"")</f>
        <v/>
      </c>
      <c r="P310" s="55" t="str">
        <f>IFERROR(IF(OR($B310="",$B310="(blank)"),"",VLOOKUP($B310,'Email Marketing Raw Data'!$C:$O,8,0)),"")</f>
        <v/>
      </c>
      <c r="Q310" s="62" t="str">
        <f>IFERROR(IF(OR($B310="",$B310="(blank)"),"",VLOOKUP($B310,'Email Marketing Raw Data'!$C:$O,9,0)),"")</f>
        <v/>
      </c>
    </row>
    <row r="311" spans="4:17" ht="12.75" customHeight="1" x14ac:dyDescent="0.2">
      <c r="D311" s="58" t="str">
        <f>IFERROR(IF(F311&lt;&gt;"pending","",IF(OR($B311="",$B311="(blank)"),"",VLOOKUP($B311,'Email Marketing Raw Data'!$C:$O,10,0))),"")</f>
        <v/>
      </c>
      <c r="E311" s="59" t="str">
        <f>IFERROR(IF(F311&lt;&gt;"pending","",IF(OR($B311="",$B311="(blank)"),"",VLOOKUP($B311,'Email Marketing Raw Data'!$C:$O,11,0))),"")</f>
        <v/>
      </c>
      <c r="F311" s="54" t="str">
        <f>IFERROR(IF(OR($B311="",$B311="(blank)"),"",VLOOKUP($B311,'Email Marketing Raw Data'!$C:$O,13,0)),"")</f>
        <v/>
      </c>
      <c r="G311" s="55" t="str">
        <f>IFERROR(IF(OR($B311="",$B311="(blank)"),"",VLOOKUP($B311,'Email Marketing Raw Data'!$C:$O,4,0)),"")</f>
        <v/>
      </c>
      <c r="H311" s="55" t="str">
        <f>IFERROR(IF(OR($B311="",$B311="(blank)"),"",VLOOKUP($B311,'Email Marketing Raw Data'!$C:$O,5,0)),"")</f>
        <v/>
      </c>
      <c r="I311" s="55" t="str">
        <f>IFERROR(IF($G311="","",VLOOKUP('Dashboard And Emails Automate'!$G311,Database!$H:$N,3,0)),"")</f>
        <v/>
      </c>
      <c r="J311" s="55" t="str">
        <f>IFERROR(IF($G311="","",VLOOKUP('Dashboard And Emails Automate'!$G311,Database!$H:$N,4,0)),"")</f>
        <v/>
      </c>
      <c r="K311" s="55" t="str">
        <f>IFERROR(IF($G311="","",VLOOKUP('Dashboard And Emails Automate'!$G311,Database!$H:$N,5,0)),"")</f>
        <v/>
      </c>
      <c r="L311" s="55" t="str">
        <f>IFERROR(IF($G311="","",VLOOKUP('Dashboard And Emails Automate'!$G311,Database!$H:$N,6,0)),"")</f>
        <v/>
      </c>
      <c r="M311" s="55" t="str">
        <f>IFERROR(IF($G311="","",VLOOKUP('Dashboard And Emails Automate'!$G311,Database!$H:$N,7,0)),"")</f>
        <v/>
      </c>
      <c r="N311" s="55" t="str">
        <f>IFERROR(IF(OR($B311="",$B311="(blank)"),"",VLOOKUP($B311,'Email Marketing Raw Data'!$C:$O,6,0)),"")</f>
        <v/>
      </c>
      <c r="O311" s="55" t="str">
        <f>IFERROR(IF(OR($B311="",$B311="(blank)"),"",VLOOKUP($B311,'Email Marketing Raw Data'!$C:$O,7,0)),"")</f>
        <v/>
      </c>
      <c r="P311" s="55" t="str">
        <f>IFERROR(IF(OR($B311="",$B311="(blank)"),"",VLOOKUP($B311,'Email Marketing Raw Data'!$C:$O,8,0)),"")</f>
        <v/>
      </c>
      <c r="Q311" s="62" t="str">
        <f>IFERROR(IF(OR($B311="",$B311="(blank)"),"",VLOOKUP($B311,'Email Marketing Raw Data'!$C:$O,9,0)),"")</f>
        <v/>
      </c>
    </row>
    <row r="312" spans="4:17" ht="12.75" customHeight="1" x14ac:dyDescent="0.2">
      <c r="D312" s="58" t="str">
        <f>IFERROR(IF(F312&lt;&gt;"pending","",IF(OR($B312="",$B312="(blank)"),"",VLOOKUP($B312,'Email Marketing Raw Data'!$C:$O,10,0))),"")</f>
        <v/>
      </c>
      <c r="E312" s="59" t="str">
        <f>IFERROR(IF(F312&lt;&gt;"pending","",IF(OR($B312="",$B312="(blank)"),"",VLOOKUP($B312,'Email Marketing Raw Data'!$C:$O,11,0))),"")</f>
        <v/>
      </c>
      <c r="F312" s="54" t="str">
        <f>IFERROR(IF(OR($B312="",$B312="(blank)"),"",VLOOKUP($B312,'Email Marketing Raw Data'!$C:$O,13,0)),"")</f>
        <v/>
      </c>
      <c r="G312" s="55" t="str">
        <f>IFERROR(IF(OR($B312="",$B312="(blank)"),"",VLOOKUP($B312,'Email Marketing Raw Data'!$C:$O,4,0)),"")</f>
        <v/>
      </c>
      <c r="H312" s="55" t="str">
        <f>IFERROR(IF(OR($B312="",$B312="(blank)"),"",VLOOKUP($B312,'Email Marketing Raw Data'!$C:$O,5,0)),"")</f>
        <v/>
      </c>
      <c r="I312" s="55" t="str">
        <f>IFERROR(IF($G312="","",VLOOKUP('Dashboard And Emails Automate'!$G312,Database!$H:$N,3,0)),"")</f>
        <v/>
      </c>
      <c r="J312" s="55" t="str">
        <f>IFERROR(IF($G312="","",VLOOKUP('Dashboard And Emails Automate'!$G312,Database!$H:$N,4,0)),"")</f>
        <v/>
      </c>
      <c r="K312" s="55" t="str">
        <f>IFERROR(IF($G312="","",VLOOKUP('Dashboard And Emails Automate'!$G312,Database!$H:$N,5,0)),"")</f>
        <v/>
      </c>
      <c r="L312" s="55" t="str">
        <f>IFERROR(IF($G312="","",VLOOKUP('Dashboard And Emails Automate'!$G312,Database!$H:$N,6,0)),"")</f>
        <v/>
      </c>
      <c r="M312" s="55" t="str">
        <f>IFERROR(IF($G312="","",VLOOKUP('Dashboard And Emails Automate'!$G312,Database!$H:$N,7,0)),"")</f>
        <v/>
      </c>
      <c r="N312" s="55" t="str">
        <f>IFERROR(IF(OR($B312="",$B312="(blank)"),"",VLOOKUP($B312,'Email Marketing Raw Data'!$C:$O,6,0)),"")</f>
        <v/>
      </c>
      <c r="O312" s="55" t="str">
        <f>IFERROR(IF(OR($B312="",$B312="(blank)"),"",VLOOKUP($B312,'Email Marketing Raw Data'!$C:$O,7,0)),"")</f>
        <v/>
      </c>
      <c r="P312" s="55" t="str">
        <f>IFERROR(IF(OR($B312="",$B312="(blank)"),"",VLOOKUP($B312,'Email Marketing Raw Data'!$C:$O,8,0)),"")</f>
        <v/>
      </c>
      <c r="Q312" s="62" t="str">
        <f>IFERROR(IF(OR($B312="",$B312="(blank)"),"",VLOOKUP($B312,'Email Marketing Raw Data'!$C:$O,9,0)),"")</f>
        <v/>
      </c>
    </row>
    <row r="313" spans="4:17" ht="12.75" customHeight="1" x14ac:dyDescent="0.2">
      <c r="D313" s="58" t="str">
        <f>IFERROR(IF(F313&lt;&gt;"pending","",IF(OR($B313="",$B313="(blank)"),"",VLOOKUP($B313,'Email Marketing Raw Data'!$C:$O,10,0))),"")</f>
        <v/>
      </c>
      <c r="E313" s="59" t="str">
        <f>IFERROR(IF(F313&lt;&gt;"pending","",IF(OR($B313="",$B313="(blank)"),"",VLOOKUP($B313,'Email Marketing Raw Data'!$C:$O,11,0))),"")</f>
        <v/>
      </c>
      <c r="F313" s="54" t="str">
        <f>IFERROR(IF(OR($B313="",$B313="(blank)"),"",VLOOKUP($B313,'Email Marketing Raw Data'!$C:$O,13,0)),"")</f>
        <v/>
      </c>
      <c r="G313" s="55" t="str">
        <f>IFERROR(IF(OR($B313="",$B313="(blank)"),"",VLOOKUP($B313,'Email Marketing Raw Data'!$C:$O,4,0)),"")</f>
        <v/>
      </c>
      <c r="H313" s="55" t="str">
        <f>IFERROR(IF(OR($B313="",$B313="(blank)"),"",VLOOKUP($B313,'Email Marketing Raw Data'!$C:$O,5,0)),"")</f>
        <v/>
      </c>
      <c r="I313" s="55" t="str">
        <f>IFERROR(IF($G313="","",VLOOKUP('Dashboard And Emails Automate'!$G313,Database!$H:$N,3,0)),"")</f>
        <v/>
      </c>
      <c r="J313" s="55" t="str">
        <f>IFERROR(IF($G313="","",VLOOKUP('Dashboard And Emails Automate'!$G313,Database!$H:$N,4,0)),"")</f>
        <v/>
      </c>
      <c r="K313" s="55" t="str">
        <f>IFERROR(IF($G313="","",VLOOKUP('Dashboard And Emails Automate'!$G313,Database!$H:$N,5,0)),"")</f>
        <v/>
      </c>
      <c r="L313" s="55" t="str">
        <f>IFERROR(IF($G313="","",VLOOKUP('Dashboard And Emails Automate'!$G313,Database!$H:$N,6,0)),"")</f>
        <v/>
      </c>
      <c r="M313" s="55" t="str">
        <f>IFERROR(IF($G313="","",VLOOKUP('Dashboard And Emails Automate'!$G313,Database!$H:$N,7,0)),"")</f>
        <v/>
      </c>
      <c r="N313" s="55" t="str">
        <f>IFERROR(IF(OR($B313="",$B313="(blank)"),"",VLOOKUP($B313,'Email Marketing Raw Data'!$C:$O,6,0)),"")</f>
        <v/>
      </c>
      <c r="O313" s="55" t="str">
        <f>IFERROR(IF(OR($B313="",$B313="(blank)"),"",VLOOKUP($B313,'Email Marketing Raw Data'!$C:$O,7,0)),"")</f>
        <v/>
      </c>
      <c r="P313" s="55" t="str">
        <f>IFERROR(IF(OR($B313="",$B313="(blank)"),"",VLOOKUP($B313,'Email Marketing Raw Data'!$C:$O,8,0)),"")</f>
        <v/>
      </c>
      <c r="Q313" s="62" t="str">
        <f>IFERROR(IF(OR($B313="",$B313="(blank)"),"",VLOOKUP($B313,'Email Marketing Raw Data'!$C:$O,9,0)),"")</f>
        <v/>
      </c>
    </row>
    <row r="314" spans="4:17" ht="12.75" customHeight="1" x14ac:dyDescent="0.2">
      <c r="D314" s="58" t="str">
        <f>IFERROR(IF(F314&lt;&gt;"pending","",IF(OR($B314="",$B314="(blank)"),"",VLOOKUP($B314,'Email Marketing Raw Data'!$C:$O,10,0))),"")</f>
        <v/>
      </c>
      <c r="E314" s="59" t="str">
        <f>IFERROR(IF(F314&lt;&gt;"pending","",IF(OR($B314="",$B314="(blank)"),"",VLOOKUP($B314,'Email Marketing Raw Data'!$C:$O,11,0))),"")</f>
        <v/>
      </c>
      <c r="F314" s="54" t="str">
        <f>IFERROR(IF(OR($B314="",$B314="(blank)"),"",VLOOKUP($B314,'Email Marketing Raw Data'!$C:$O,13,0)),"")</f>
        <v/>
      </c>
      <c r="G314" s="55" t="str">
        <f>IFERROR(IF(OR($B314="",$B314="(blank)"),"",VLOOKUP($B314,'Email Marketing Raw Data'!$C:$O,4,0)),"")</f>
        <v/>
      </c>
      <c r="H314" s="55" t="str">
        <f>IFERROR(IF(OR($B314="",$B314="(blank)"),"",VLOOKUP($B314,'Email Marketing Raw Data'!$C:$O,5,0)),"")</f>
        <v/>
      </c>
      <c r="I314" s="55" t="str">
        <f>IFERROR(IF($G314="","",VLOOKUP('Dashboard And Emails Automate'!$G314,Database!$H:$N,3,0)),"")</f>
        <v/>
      </c>
      <c r="J314" s="55" t="str">
        <f>IFERROR(IF($G314="","",VLOOKUP('Dashboard And Emails Automate'!$G314,Database!$H:$N,4,0)),"")</f>
        <v/>
      </c>
      <c r="K314" s="55" t="str">
        <f>IFERROR(IF($G314="","",VLOOKUP('Dashboard And Emails Automate'!$G314,Database!$H:$N,5,0)),"")</f>
        <v/>
      </c>
      <c r="L314" s="55" t="str">
        <f>IFERROR(IF($G314="","",VLOOKUP('Dashboard And Emails Automate'!$G314,Database!$H:$N,6,0)),"")</f>
        <v/>
      </c>
      <c r="M314" s="55" t="str">
        <f>IFERROR(IF($G314="","",VLOOKUP('Dashboard And Emails Automate'!$G314,Database!$H:$N,7,0)),"")</f>
        <v/>
      </c>
      <c r="N314" s="55" t="str">
        <f>IFERROR(IF(OR($B314="",$B314="(blank)"),"",VLOOKUP($B314,'Email Marketing Raw Data'!$C:$O,6,0)),"")</f>
        <v/>
      </c>
      <c r="O314" s="55" t="str">
        <f>IFERROR(IF(OR($B314="",$B314="(blank)"),"",VLOOKUP($B314,'Email Marketing Raw Data'!$C:$O,7,0)),"")</f>
        <v/>
      </c>
      <c r="P314" s="55" t="str">
        <f>IFERROR(IF(OR($B314="",$B314="(blank)"),"",VLOOKUP($B314,'Email Marketing Raw Data'!$C:$O,8,0)),"")</f>
        <v/>
      </c>
      <c r="Q314" s="62" t="str">
        <f>IFERROR(IF(OR($B314="",$B314="(blank)"),"",VLOOKUP($B314,'Email Marketing Raw Data'!$C:$O,9,0)),"")</f>
        <v/>
      </c>
    </row>
    <row r="315" spans="4:17" ht="12.75" customHeight="1" x14ac:dyDescent="0.2">
      <c r="D315" s="58" t="str">
        <f>IFERROR(IF(F315&lt;&gt;"pending","",IF(OR($B315="",$B315="(blank)"),"",VLOOKUP($B315,'Email Marketing Raw Data'!$C:$O,10,0))),"")</f>
        <v/>
      </c>
      <c r="E315" s="59" t="str">
        <f>IFERROR(IF(F315&lt;&gt;"pending","",IF(OR($B315="",$B315="(blank)"),"",VLOOKUP($B315,'Email Marketing Raw Data'!$C:$O,11,0))),"")</f>
        <v/>
      </c>
      <c r="F315" s="54" t="str">
        <f>IFERROR(IF(OR($B315="",$B315="(blank)"),"",VLOOKUP($B315,'Email Marketing Raw Data'!$C:$O,13,0)),"")</f>
        <v/>
      </c>
      <c r="G315" s="55" t="str">
        <f>IFERROR(IF(OR($B315="",$B315="(blank)"),"",VLOOKUP($B315,'Email Marketing Raw Data'!$C:$O,4,0)),"")</f>
        <v/>
      </c>
      <c r="H315" s="55" t="str">
        <f>IFERROR(IF(OR($B315="",$B315="(blank)"),"",VLOOKUP($B315,'Email Marketing Raw Data'!$C:$O,5,0)),"")</f>
        <v/>
      </c>
      <c r="I315" s="55" t="str">
        <f>IFERROR(IF($G315="","",VLOOKUP('Dashboard And Emails Automate'!$G315,Database!$H:$N,3,0)),"")</f>
        <v/>
      </c>
      <c r="J315" s="55" t="str">
        <f>IFERROR(IF($G315="","",VLOOKUP('Dashboard And Emails Automate'!$G315,Database!$H:$N,4,0)),"")</f>
        <v/>
      </c>
      <c r="K315" s="55" t="str">
        <f>IFERROR(IF($G315="","",VLOOKUP('Dashboard And Emails Automate'!$G315,Database!$H:$N,5,0)),"")</f>
        <v/>
      </c>
      <c r="L315" s="55" t="str">
        <f>IFERROR(IF($G315="","",VLOOKUP('Dashboard And Emails Automate'!$G315,Database!$H:$N,6,0)),"")</f>
        <v/>
      </c>
      <c r="M315" s="55" t="str">
        <f>IFERROR(IF($G315="","",VLOOKUP('Dashboard And Emails Automate'!$G315,Database!$H:$N,7,0)),"")</f>
        <v/>
      </c>
      <c r="N315" s="55" t="str">
        <f>IFERROR(IF(OR($B315="",$B315="(blank)"),"",VLOOKUP($B315,'Email Marketing Raw Data'!$C:$O,6,0)),"")</f>
        <v/>
      </c>
      <c r="O315" s="55" t="str">
        <f>IFERROR(IF(OR($B315="",$B315="(blank)"),"",VLOOKUP($B315,'Email Marketing Raw Data'!$C:$O,7,0)),"")</f>
        <v/>
      </c>
      <c r="P315" s="55" t="str">
        <f>IFERROR(IF(OR($B315="",$B315="(blank)"),"",VLOOKUP($B315,'Email Marketing Raw Data'!$C:$O,8,0)),"")</f>
        <v/>
      </c>
      <c r="Q315" s="62" t="str">
        <f>IFERROR(IF(OR($B315="",$B315="(blank)"),"",VLOOKUP($B315,'Email Marketing Raw Data'!$C:$O,9,0)),"")</f>
        <v/>
      </c>
    </row>
    <row r="316" spans="4:17" ht="12.75" customHeight="1" x14ac:dyDescent="0.2">
      <c r="D316" s="58" t="str">
        <f>IFERROR(IF(F316&lt;&gt;"pending","",IF(OR($B316="",$B316="(blank)"),"",VLOOKUP($B316,'Email Marketing Raw Data'!$C:$O,10,0))),"")</f>
        <v/>
      </c>
      <c r="E316" s="59" t="str">
        <f>IFERROR(IF(F316&lt;&gt;"pending","",IF(OR($B316="",$B316="(blank)"),"",VLOOKUP($B316,'Email Marketing Raw Data'!$C:$O,11,0))),"")</f>
        <v/>
      </c>
      <c r="F316" s="54" t="str">
        <f>IFERROR(IF(OR($B316="",$B316="(blank)"),"",VLOOKUP($B316,'Email Marketing Raw Data'!$C:$O,13,0)),"")</f>
        <v/>
      </c>
      <c r="G316" s="55" t="str">
        <f>IFERROR(IF(OR($B316="",$B316="(blank)"),"",VLOOKUP($B316,'Email Marketing Raw Data'!$C:$O,4,0)),"")</f>
        <v/>
      </c>
      <c r="H316" s="55" t="str">
        <f>IFERROR(IF(OR($B316="",$B316="(blank)"),"",VLOOKUP($B316,'Email Marketing Raw Data'!$C:$O,5,0)),"")</f>
        <v/>
      </c>
      <c r="I316" s="55" t="str">
        <f>IFERROR(IF($G316="","",VLOOKUP('Dashboard And Emails Automate'!$G316,Database!$H:$N,3,0)),"")</f>
        <v/>
      </c>
      <c r="J316" s="55" t="str">
        <f>IFERROR(IF($G316="","",VLOOKUP('Dashboard And Emails Automate'!$G316,Database!$H:$N,4,0)),"")</f>
        <v/>
      </c>
      <c r="K316" s="55" t="str">
        <f>IFERROR(IF($G316="","",VLOOKUP('Dashboard And Emails Automate'!$G316,Database!$H:$N,5,0)),"")</f>
        <v/>
      </c>
      <c r="L316" s="55" t="str">
        <f>IFERROR(IF($G316="","",VLOOKUP('Dashboard And Emails Automate'!$G316,Database!$H:$N,6,0)),"")</f>
        <v/>
      </c>
      <c r="M316" s="55" t="str">
        <f>IFERROR(IF($G316="","",VLOOKUP('Dashboard And Emails Automate'!$G316,Database!$H:$N,7,0)),"")</f>
        <v/>
      </c>
      <c r="N316" s="55" t="str">
        <f>IFERROR(IF(OR($B316="",$B316="(blank)"),"",VLOOKUP($B316,'Email Marketing Raw Data'!$C:$O,6,0)),"")</f>
        <v/>
      </c>
      <c r="O316" s="55" t="str">
        <f>IFERROR(IF(OR($B316="",$B316="(blank)"),"",VLOOKUP($B316,'Email Marketing Raw Data'!$C:$O,7,0)),"")</f>
        <v/>
      </c>
      <c r="P316" s="55" t="str">
        <f>IFERROR(IF(OR($B316="",$B316="(blank)"),"",VLOOKUP($B316,'Email Marketing Raw Data'!$C:$O,8,0)),"")</f>
        <v/>
      </c>
      <c r="Q316" s="62" t="str">
        <f>IFERROR(IF(OR($B316="",$B316="(blank)"),"",VLOOKUP($B316,'Email Marketing Raw Data'!$C:$O,9,0)),"")</f>
        <v/>
      </c>
    </row>
    <row r="317" spans="4:17" ht="12.75" customHeight="1" x14ac:dyDescent="0.2">
      <c r="D317" s="58" t="str">
        <f>IFERROR(IF(F317&lt;&gt;"pending","",IF(OR($B317="",$B317="(blank)"),"",VLOOKUP($B317,'Email Marketing Raw Data'!$C:$O,10,0))),"")</f>
        <v/>
      </c>
      <c r="E317" s="59" t="str">
        <f>IFERROR(IF(F317&lt;&gt;"pending","",IF(OR($B317="",$B317="(blank)"),"",VLOOKUP($B317,'Email Marketing Raw Data'!$C:$O,11,0))),"")</f>
        <v/>
      </c>
      <c r="F317" s="54" t="str">
        <f>IFERROR(IF(OR($B317="",$B317="(blank)"),"",VLOOKUP($B317,'Email Marketing Raw Data'!$C:$O,13,0)),"")</f>
        <v/>
      </c>
      <c r="G317" s="55" t="str">
        <f>IFERROR(IF(OR($B317="",$B317="(blank)"),"",VLOOKUP($B317,'Email Marketing Raw Data'!$C:$O,4,0)),"")</f>
        <v/>
      </c>
      <c r="H317" s="55" t="str">
        <f>IFERROR(IF(OR($B317="",$B317="(blank)"),"",VLOOKUP($B317,'Email Marketing Raw Data'!$C:$O,5,0)),"")</f>
        <v/>
      </c>
      <c r="I317" s="55" t="str">
        <f>IFERROR(IF($G317="","",VLOOKUP('Dashboard And Emails Automate'!$G317,Database!$H:$N,3,0)),"")</f>
        <v/>
      </c>
      <c r="J317" s="55" t="str">
        <f>IFERROR(IF($G317="","",VLOOKUP('Dashboard And Emails Automate'!$G317,Database!$H:$N,4,0)),"")</f>
        <v/>
      </c>
      <c r="K317" s="55" t="str">
        <f>IFERROR(IF($G317="","",VLOOKUP('Dashboard And Emails Automate'!$G317,Database!$H:$N,5,0)),"")</f>
        <v/>
      </c>
      <c r="L317" s="55" t="str">
        <f>IFERROR(IF($G317="","",VLOOKUP('Dashboard And Emails Automate'!$G317,Database!$H:$N,6,0)),"")</f>
        <v/>
      </c>
      <c r="M317" s="55" t="str">
        <f>IFERROR(IF($G317="","",VLOOKUP('Dashboard And Emails Automate'!$G317,Database!$H:$N,7,0)),"")</f>
        <v/>
      </c>
      <c r="N317" s="55" t="str">
        <f>IFERROR(IF(OR($B317="",$B317="(blank)"),"",VLOOKUP($B317,'Email Marketing Raw Data'!$C:$O,6,0)),"")</f>
        <v/>
      </c>
      <c r="O317" s="55" t="str">
        <f>IFERROR(IF(OR($B317="",$B317="(blank)"),"",VLOOKUP($B317,'Email Marketing Raw Data'!$C:$O,7,0)),"")</f>
        <v/>
      </c>
      <c r="P317" s="55" t="str">
        <f>IFERROR(IF(OR($B317="",$B317="(blank)"),"",VLOOKUP($B317,'Email Marketing Raw Data'!$C:$O,8,0)),"")</f>
        <v/>
      </c>
      <c r="Q317" s="62" t="str">
        <f>IFERROR(IF(OR($B317="",$B317="(blank)"),"",VLOOKUP($B317,'Email Marketing Raw Data'!$C:$O,9,0)),"")</f>
        <v/>
      </c>
    </row>
    <row r="318" spans="4:17" ht="12.75" customHeight="1" x14ac:dyDescent="0.2">
      <c r="D318" s="58" t="str">
        <f>IFERROR(IF(F318&lt;&gt;"pending","",IF(OR($B318="",$B318="(blank)"),"",VLOOKUP($B318,'Email Marketing Raw Data'!$C:$O,10,0))),"")</f>
        <v/>
      </c>
      <c r="E318" s="59" t="str">
        <f>IFERROR(IF(F318&lt;&gt;"pending","",IF(OR($B318="",$B318="(blank)"),"",VLOOKUP($B318,'Email Marketing Raw Data'!$C:$O,11,0))),"")</f>
        <v/>
      </c>
      <c r="F318" s="54" t="str">
        <f>IFERROR(IF(OR($B318="",$B318="(blank)"),"",VLOOKUP($B318,'Email Marketing Raw Data'!$C:$O,13,0)),"")</f>
        <v/>
      </c>
      <c r="G318" s="55" t="str">
        <f>IFERROR(IF(OR($B318="",$B318="(blank)"),"",VLOOKUP($B318,'Email Marketing Raw Data'!$C:$O,4,0)),"")</f>
        <v/>
      </c>
      <c r="H318" s="55" t="str">
        <f>IFERROR(IF(OR($B318="",$B318="(blank)"),"",VLOOKUP($B318,'Email Marketing Raw Data'!$C:$O,5,0)),"")</f>
        <v/>
      </c>
      <c r="I318" s="55" t="str">
        <f>IFERROR(IF($G318="","",VLOOKUP('Dashboard And Emails Automate'!$G318,Database!$H:$N,3,0)),"")</f>
        <v/>
      </c>
      <c r="J318" s="55" t="str">
        <f>IFERROR(IF($G318="","",VLOOKUP('Dashboard And Emails Automate'!$G318,Database!$H:$N,4,0)),"")</f>
        <v/>
      </c>
      <c r="K318" s="55" t="str">
        <f>IFERROR(IF($G318="","",VLOOKUP('Dashboard And Emails Automate'!$G318,Database!$H:$N,5,0)),"")</f>
        <v/>
      </c>
      <c r="L318" s="55" t="str">
        <f>IFERROR(IF($G318="","",VLOOKUP('Dashboard And Emails Automate'!$G318,Database!$H:$N,6,0)),"")</f>
        <v/>
      </c>
      <c r="M318" s="55" t="str">
        <f>IFERROR(IF($G318="","",VLOOKUP('Dashboard And Emails Automate'!$G318,Database!$H:$N,7,0)),"")</f>
        <v/>
      </c>
      <c r="N318" s="55" t="str">
        <f>IFERROR(IF(OR($B318="",$B318="(blank)"),"",VLOOKUP($B318,'Email Marketing Raw Data'!$C:$O,6,0)),"")</f>
        <v/>
      </c>
      <c r="O318" s="55" t="str">
        <f>IFERROR(IF(OR($B318="",$B318="(blank)"),"",VLOOKUP($B318,'Email Marketing Raw Data'!$C:$O,7,0)),"")</f>
        <v/>
      </c>
      <c r="P318" s="55" t="str">
        <f>IFERROR(IF(OR($B318="",$B318="(blank)"),"",VLOOKUP($B318,'Email Marketing Raw Data'!$C:$O,8,0)),"")</f>
        <v/>
      </c>
      <c r="Q318" s="62" t="str">
        <f>IFERROR(IF(OR($B318="",$B318="(blank)"),"",VLOOKUP($B318,'Email Marketing Raw Data'!$C:$O,9,0)),"")</f>
        <v/>
      </c>
    </row>
    <row r="319" spans="4:17" ht="12.75" customHeight="1" x14ac:dyDescent="0.2">
      <c r="D319" s="58" t="str">
        <f>IFERROR(IF(F319&lt;&gt;"pending","",IF(OR($B319="",$B319="(blank)"),"",VLOOKUP($B319,'Email Marketing Raw Data'!$C:$O,10,0))),"")</f>
        <v/>
      </c>
      <c r="E319" s="59" t="str">
        <f>IFERROR(IF(F319&lt;&gt;"pending","",IF(OR($B319="",$B319="(blank)"),"",VLOOKUP($B319,'Email Marketing Raw Data'!$C:$O,11,0))),"")</f>
        <v/>
      </c>
      <c r="F319" s="54" t="str">
        <f>IFERROR(IF(OR($B319="",$B319="(blank)"),"",VLOOKUP($B319,'Email Marketing Raw Data'!$C:$O,13,0)),"")</f>
        <v/>
      </c>
      <c r="G319" s="55" t="str">
        <f>IFERROR(IF(OR($B319="",$B319="(blank)"),"",VLOOKUP($B319,'Email Marketing Raw Data'!$C:$O,4,0)),"")</f>
        <v/>
      </c>
      <c r="H319" s="55" t="str">
        <f>IFERROR(IF(OR($B319="",$B319="(blank)"),"",VLOOKUP($B319,'Email Marketing Raw Data'!$C:$O,5,0)),"")</f>
        <v/>
      </c>
      <c r="I319" s="55" t="str">
        <f>IFERROR(IF($G319="","",VLOOKUP('Dashboard And Emails Automate'!$G319,Database!$H:$N,3,0)),"")</f>
        <v/>
      </c>
      <c r="J319" s="55" t="str">
        <f>IFERROR(IF($G319="","",VLOOKUP('Dashboard And Emails Automate'!$G319,Database!$H:$N,4,0)),"")</f>
        <v/>
      </c>
      <c r="K319" s="55" t="str">
        <f>IFERROR(IF($G319="","",VLOOKUP('Dashboard And Emails Automate'!$G319,Database!$H:$N,5,0)),"")</f>
        <v/>
      </c>
      <c r="L319" s="55" t="str">
        <f>IFERROR(IF($G319="","",VLOOKUP('Dashboard And Emails Automate'!$G319,Database!$H:$N,6,0)),"")</f>
        <v/>
      </c>
      <c r="M319" s="55" t="str">
        <f>IFERROR(IF($G319="","",VLOOKUP('Dashboard And Emails Automate'!$G319,Database!$H:$N,7,0)),"")</f>
        <v/>
      </c>
      <c r="N319" s="55" t="str">
        <f>IFERROR(IF(OR($B319="",$B319="(blank)"),"",VLOOKUP($B319,'Email Marketing Raw Data'!$C:$O,6,0)),"")</f>
        <v/>
      </c>
      <c r="O319" s="55" t="str">
        <f>IFERROR(IF(OR($B319="",$B319="(blank)"),"",VLOOKUP($B319,'Email Marketing Raw Data'!$C:$O,7,0)),"")</f>
        <v/>
      </c>
      <c r="P319" s="55" t="str">
        <f>IFERROR(IF(OR($B319="",$B319="(blank)"),"",VLOOKUP($B319,'Email Marketing Raw Data'!$C:$O,8,0)),"")</f>
        <v/>
      </c>
      <c r="Q319" s="62" t="str">
        <f>IFERROR(IF(OR($B319="",$B319="(blank)"),"",VLOOKUP($B319,'Email Marketing Raw Data'!$C:$O,9,0)),"")</f>
        <v/>
      </c>
    </row>
    <row r="320" spans="4:17" ht="12.75" customHeight="1" x14ac:dyDescent="0.2">
      <c r="D320" s="58" t="str">
        <f>IFERROR(IF(F320&lt;&gt;"pending","",IF(OR($B320="",$B320="(blank)"),"",VLOOKUP($B320,'Email Marketing Raw Data'!$C:$O,10,0))),"")</f>
        <v/>
      </c>
      <c r="E320" s="59" t="str">
        <f>IFERROR(IF(F320&lt;&gt;"pending","",IF(OR($B320="",$B320="(blank)"),"",VLOOKUP($B320,'Email Marketing Raw Data'!$C:$O,11,0))),"")</f>
        <v/>
      </c>
      <c r="F320" s="54" t="str">
        <f>IFERROR(IF(OR($B320="",$B320="(blank)"),"",VLOOKUP($B320,'Email Marketing Raw Data'!$C:$O,13,0)),"")</f>
        <v/>
      </c>
      <c r="G320" s="55" t="str">
        <f>IFERROR(IF(OR($B320="",$B320="(blank)"),"",VLOOKUP($B320,'Email Marketing Raw Data'!$C:$O,4,0)),"")</f>
        <v/>
      </c>
      <c r="H320" s="55" t="str">
        <f>IFERROR(IF(OR($B320="",$B320="(blank)"),"",VLOOKUP($B320,'Email Marketing Raw Data'!$C:$O,5,0)),"")</f>
        <v/>
      </c>
      <c r="I320" s="55" t="str">
        <f>IFERROR(IF($G320="","",VLOOKUP('Dashboard And Emails Automate'!$G320,Database!$H:$N,3,0)),"")</f>
        <v/>
      </c>
      <c r="J320" s="55" t="str">
        <f>IFERROR(IF($G320="","",VLOOKUP('Dashboard And Emails Automate'!$G320,Database!$H:$N,4,0)),"")</f>
        <v/>
      </c>
      <c r="K320" s="55" t="str">
        <f>IFERROR(IF($G320="","",VLOOKUP('Dashboard And Emails Automate'!$G320,Database!$H:$N,5,0)),"")</f>
        <v/>
      </c>
      <c r="L320" s="55" t="str">
        <f>IFERROR(IF($G320="","",VLOOKUP('Dashboard And Emails Automate'!$G320,Database!$H:$N,6,0)),"")</f>
        <v/>
      </c>
      <c r="M320" s="55" t="str">
        <f>IFERROR(IF($G320="","",VLOOKUP('Dashboard And Emails Automate'!$G320,Database!$H:$N,7,0)),"")</f>
        <v/>
      </c>
      <c r="N320" s="55" t="str">
        <f>IFERROR(IF(OR($B320="",$B320="(blank)"),"",VLOOKUP($B320,'Email Marketing Raw Data'!$C:$O,6,0)),"")</f>
        <v/>
      </c>
      <c r="O320" s="55" t="str">
        <f>IFERROR(IF(OR($B320="",$B320="(blank)"),"",VLOOKUP($B320,'Email Marketing Raw Data'!$C:$O,7,0)),"")</f>
        <v/>
      </c>
      <c r="P320" s="55" t="str">
        <f>IFERROR(IF(OR($B320="",$B320="(blank)"),"",VLOOKUP($B320,'Email Marketing Raw Data'!$C:$O,8,0)),"")</f>
        <v/>
      </c>
      <c r="Q320" s="62" t="str">
        <f>IFERROR(IF(OR($B320="",$B320="(blank)"),"",VLOOKUP($B320,'Email Marketing Raw Data'!$C:$O,9,0)),"")</f>
        <v/>
      </c>
    </row>
    <row r="321" spans="4:17" ht="12.75" customHeight="1" x14ac:dyDescent="0.2">
      <c r="D321" s="58" t="str">
        <f>IFERROR(IF(F321&lt;&gt;"pending","",IF(OR($B321="",$B321="(blank)"),"",VLOOKUP($B321,'Email Marketing Raw Data'!$C:$O,10,0))),"")</f>
        <v/>
      </c>
      <c r="E321" s="59" t="str">
        <f>IFERROR(IF(F321&lt;&gt;"pending","",IF(OR($B321="",$B321="(blank)"),"",VLOOKUP($B321,'Email Marketing Raw Data'!$C:$O,11,0))),"")</f>
        <v/>
      </c>
      <c r="F321" s="54" t="str">
        <f>IFERROR(IF(OR($B321="",$B321="(blank)"),"",VLOOKUP($B321,'Email Marketing Raw Data'!$C:$O,13,0)),"")</f>
        <v/>
      </c>
      <c r="G321" s="55" t="str">
        <f>IFERROR(IF(OR($B321="",$B321="(blank)"),"",VLOOKUP($B321,'Email Marketing Raw Data'!$C:$O,4,0)),"")</f>
        <v/>
      </c>
      <c r="H321" s="55" t="str">
        <f>IFERROR(IF(OR($B321="",$B321="(blank)"),"",VLOOKUP($B321,'Email Marketing Raw Data'!$C:$O,5,0)),"")</f>
        <v/>
      </c>
      <c r="I321" s="55" t="str">
        <f>IFERROR(IF($G321="","",VLOOKUP('Dashboard And Emails Automate'!$G321,Database!$H:$N,3,0)),"")</f>
        <v/>
      </c>
      <c r="J321" s="55" t="str">
        <f>IFERROR(IF($G321="","",VLOOKUP('Dashboard And Emails Automate'!$G321,Database!$H:$N,4,0)),"")</f>
        <v/>
      </c>
      <c r="K321" s="55" t="str">
        <f>IFERROR(IF($G321="","",VLOOKUP('Dashboard And Emails Automate'!$G321,Database!$H:$N,5,0)),"")</f>
        <v/>
      </c>
      <c r="L321" s="55" t="str">
        <f>IFERROR(IF($G321="","",VLOOKUP('Dashboard And Emails Automate'!$G321,Database!$H:$N,6,0)),"")</f>
        <v/>
      </c>
      <c r="M321" s="55" t="str">
        <f>IFERROR(IF($G321="","",VLOOKUP('Dashboard And Emails Automate'!$G321,Database!$H:$N,7,0)),"")</f>
        <v/>
      </c>
      <c r="N321" s="55" t="str">
        <f>IFERROR(IF(OR($B321="",$B321="(blank)"),"",VLOOKUP($B321,'Email Marketing Raw Data'!$C:$O,6,0)),"")</f>
        <v/>
      </c>
      <c r="O321" s="55" t="str">
        <f>IFERROR(IF(OR($B321="",$B321="(blank)"),"",VLOOKUP($B321,'Email Marketing Raw Data'!$C:$O,7,0)),"")</f>
        <v/>
      </c>
      <c r="P321" s="55" t="str">
        <f>IFERROR(IF(OR($B321="",$B321="(blank)"),"",VLOOKUP($B321,'Email Marketing Raw Data'!$C:$O,8,0)),"")</f>
        <v/>
      </c>
      <c r="Q321" s="62" t="str">
        <f>IFERROR(IF(OR($B321="",$B321="(blank)"),"",VLOOKUP($B321,'Email Marketing Raw Data'!$C:$O,9,0)),"")</f>
        <v/>
      </c>
    </row>
    <row r="322" spans="4:17" ht="12.75" customHeight="1" x14ac:dyDescent="0.2">
      <c r="D322" s="58" t="str">
        <f>IFERROR(IF(F322&lt;&gt;"pending","",IF(OR($B322="",$B322="(blank)"),"",VLOOKUP($B322,'Email Marketing Raw Data'!$C:$O,10,0))),"")</f>
        <v/>
      </c>
      <c r="E322" s="59" t="str">
        <f>IFERROR(IF(F322&lt;&gt;"pending","",IF(OR($B322="",$B322="(blank)"),"",VLOOKUP($B322,'Email Marketing Raw Data'!$C:$O,11,0))),"")</f>
        <v/>
      </c>
      <c r="F322" s="54" t="str">
        <f>IFERROR(IF(OR($B322="",$B322="(blank)"),"",VLOOKUP($B322,'Email Marketing Raw Data'!$C:$O,13,0)),"")</f>
        <v/>
      </c>
      <c r="G322" s="55" t="str">
        <f>IFERROR(IF(OR($B322="",$B322="(blank)"),"",VLOOKUP($B322,'Email Marketing Raw Data'!$C:$O,4,0)),"")</f>
        <v/>
      </c>
      <c r="H322" s="55" t="str">
        <f>IFERROR(IF(OR($B322="",$B322="(blank)"),"",VLOOKUP($B322,'Email Marketing Raw Data'!$C:$O,5,0)),"")</f>
        <v/>
      </c>
      <c r="I322" s="55" t="str">
        <f>IFERROR(IF($G322="","",VLOOKUP('Dashboard And Emails Automate'!$G322,Database!$H:$N,3,0)),"")</f>
        <v/>
      </c>
      <c r="J322" s="55" t="str">
        <f>IFERROR(IF($G322="","",VLOOKUP('Dashboard And Emails Automate'!$G322,Database!$H:$N,4,0)),"")</f>
        <v/>
      </c>
      <c r="K322" s="55" t="str">
        <f>IFERROR(IF($G322="","",VLOOKUP('Dashboard And Emails Automate'!$G322,Database!$H:$N,5,0)),"")</f>
        <v/>
      </c>
      <c r="L322" s="55" t="str">
        <f>IFERROR(IF($G322="","",VLOOKUP('Dashboard And Emails Automate'!$G322,Database!$H:$N,6,0)),"")</f>
        <v/>
      </c>
      <c r="M322" s="55" t="str">
        <f>IFERROR(IF($G322="","",VLOOKUP('Dashboard And Emails Automate'!$G322,Database!$H:$N,7,0)),"")</f>
        <v/>
      </c>
      <c r="N322" s="55" t="str">
        <f>IFERROR(IF(OR($B322="",$B322="(blank)"),"",VLOOKUP($B322,'Email Marketing Raw Data'!$C:$O,6,0)),"")</f>
        <v/>
      </c>
      <c r="O322" s="55" t="str">
        <f>IFERROR(IF(OR($B322="",$B322="(blank)"),"",VLOOKUP($B322,'Email Marketing Raw Data'!$C:$O,7,0)),"")</f>
        <v/>
      </c>
      <c r="P322" s="55" t="str">
        <f>IFERROR(IF(OR($B322="",$B322="(blank)"),"",VLOOKUP($B322,'Email Marketing Raw Data'!$C:$O,8,0)),"")</f>
        <v/>
      </c>
      <c r="Q322" s="62" t="str">
        <f>IFERROR(IF(OR($B322="",$B322="(blank)"),"",VLOOKUP($B322,'Email Marketing Raw Data'!$C:$O,9,0)),"")</f>
        <v/>
      </c>
    </row>
    <row r="323" spans="4:17" ht="12.75" customHeight="1" x14ac:dyDescent="0.2">
      <c r="D323" s="58" t="str">
        <f>IFERROR(IF(F323&lt;&gt;"pending","",IF(OR($B323="",$B323="(blank)"),"",VLOOKUP($B323,'Email Marketing Raw Data'!$C:$O,10,0))),"")</f>
        <v/>
      </c>
      <c r="E323" s="59" t="str">
        <f>IFERROR(IF(F323&lt;&gt;"pending","",IF(OR($B323="",$B323="(blank)"),"",VLOOKUP($B323,'Email Marketing Raw Data'!$C:$O,11,0))),"")</f>
        <v/>
      </c>
      <c r="F323" s="54" t="str">
        <f>IFERROR(IF(OR($B323="",$B323="(blank)"),"",VLOOKUP($B323,'Email Marketing Raw Data'!$C:$O,13,0)),"")</f>
        <v/>
      </c>
      <c r="G323" s="55" t="str">
        <f>IFERROR(IF(OR($B323="",$B323="(blank)"),"",VLOOKUP($B323,'Email Marketing Raw Data'!$C:$O,4,0)),"")</f>
        <v/>
      </c>
      <c r="H323" s="55" t="str">
        <f>IFERROR(IF(OR($B323="",$B323="(blank)"),"",VLOOKUP($B323,'Email Marketing Raw Data'!$C:$O,5,0)),"")</f>
        <v/>
      </c>
      <c r="I323" s="55" t="str">
        <f>IFERROR(IF($G323="","",VLOOKUP('Dashboard And Emails Automate'!$G323,Database!$H:$N,3,0)),"")</f>
        <v/>
      </c>
      <c r="J323" s="55" t="str">
        <f>IFERROR(IF($G323="","",VLOOKUP('Dashboard And Emails Automate'!$G323,Database!$H:$N,4,0)),"")</f>
        <v/>
      </c>
      <c r="K323" s="55" t="str">
        <f>IFERROR(IF($G323="","",VLOOKUP('Dashboard And Emails Automate'!$G323,Database!$H:$N,5,0)),"")</f>
        <v/>
      </c>
      <c r="L323" s="55" t="str">
        <f>IFERROR(IF($G323="","",VLOOKUP('Dashboard And Emails Automate'!$G323,Database!$H:$N,6,0)),"")</f>
        <v/>
      </c>
      <c r="M323" s="55" t="str">
        <f>IFERROR(IF($G323="","",VLOOKUP('Dashboard And Emails Automate'!$G323,Database!$H:$N,7,0)),"")</f>
        <v/>
      </c>
      <c r="N323" s="55" t="str">
        <f>IFERROR(IF(OR($B323="",$B323="(blank)"),"",VLOOKUP($B323,'Email Marketing Raw Data'!$C:$O,6,0)),"")</f>
        <v/>
      </c>
      <c r="O323" s="55" t="str">
        <f>IFERROR(IF(OR($B323="",$B323="(blank)"),"",VLOOKUP($B323,'Email Marketing Raw Data'!$C:$O,7,0)),"")</f>
        <v/>
      </c>
      <c r="P323" s="55" t="str">
        <f>IFERROR(IF(OR($B323="",$B323="(blank)"),"",VLOOKUP($B323,'Email Marketing Raw Data'!$C:$O,8,0)),"")</f>
        <v/>
      </c>
      <c r="Q323" s="62" t="str">
        <f>IFERROR(IF(OR($B323="",$B323="(blank)"),"",VLOOKUP($B323,'Email Marketing Raw Data'!$C:$O,9,0)),"")</f>
        <v/>
      </c>
    </row>
    <row r="324" spans="4:17" ht="12.75" customHeight="1" x14ac:dyDescent="0.2">
      <c r="D324" s="58" t="str">
        <f>IFERROR(IF(F324&lt;&gt;"pending","",IF(OR($B324="",$B324="(blank)"),"",VLOOKUP($B324,'Email Marketing Raw Data'!$C:$O,10,0))),"")</f>
        <v/>
      </c>
      <c r="E324" s="59" t="str">
        <f>IFERROR(IF(F324&lt;&gt;"pending","",IF(OR($B324="",$B324="(blank)"),"",VLOOKUP($B324,'Email Marketing Raw Data'!$C:$O,11,0))),"")</f>
        <v/>
      </c>
      <c r="F324" s="54" t="str">
        <f>IFERROR(IF(OR($B324="",$B324="(blank)"),"",VLOOKUP($B324,'Email Marketing Raw Data'!$C:$O,13,0)),"")</f>
        <v/>
      </c>
      <c r="G324" s="55" t="str">
        <f>IFERROR(IF(OR($B324="",$B324="(blank)"),"",VLOOKUP($B324,'Email Marketing Raw Data'!$C:$O,4,0)),"")</f>
        <v/>
      </c>
      <c r="H324" s="55" t="str">
        <f>IFERROR(IF(OR($B324="",$B324="(blank)"),"",VLOOKUP($B324,'Email Marketing Raw Data'!$C:$O,5,0)),"")</f>
        <v/>
      </c>
      <c r="I324" s="55" t="str">
        <f>IFERROR(IF($G324="","",VLOOKUP('Dashboard And Emails Automate'!$G324,Database!$H:$N,3,0)),"")</f>
        <v/>
      </c>
      <c r="J324" s="55" t="str">
        <f>IFERROR(IF($G324="","",VLOOKUP('Dashboard And Emails Automate'!$G324,Database!$H:$N,4,0)),"")</f>
        <v/>
      </c>
      <c r="K324" s="55" t="str">
        <f>IFERROR(IF($G324="","",VLOOKUP('Dashboard And Emails Automate'!$G324,Database!$H:$N,5,0)),"")</f>
        <v/>
      </c>
      <c r="L324" s="55" t="str">
        <f>IFERROR(IF($G324="","",VLOOKUP('Dashboard And Emails Automate'!$G324,Database!$H:$N,6,0)),"")</f>
        <v/>
      </c>
      <c r="M324" s="55" t="str">
        <f>IFERROR(IF($G324="","",VLOOKUP('Dashboard And Emails Automate'!$G324,Database!$H:$N,7,0)),"")</f>
        <v/>
      </c>
      <c r="N324" s="55" t="str">
        <f>IFERROR(IF(OR($B324="",$B324="(blank)"),"",VLOOKUP($B324,'Email Marketing Raw Data'!$C:$O,6,0)),"")</f>
        <v/>
      </c>
      <c r="O324" s="55" t="str">
        <f>IFERROR(IF(OR($B324="",$B324="(blank)"),"",VLOOKUP($B324,'Email Marketing Raw Data'!$C:$O,7,0)),"")</f>
        <v/>
      </c>
      <c r="P324" s="55" t="str">
        <f>IFERROR(IF(OR($B324="",$B324="(blank)"),"",VLOOKUP($B324,'Email Marketing Raw Data'!$C:$O,8,0)),"")</f>
        <v/>
      </c>
      <c r="Q324" s="62" t="str">
        <f>IFERROR(IF(OR($B324="",$B324="(blank)"),"",VLOOKUP($B324,'Email Marketing Raw Data'!$C:$O,9,0)),"")</f>
        <v/>
      </c>
    </row>
    <row r="325" spans="4:17" ht="12.75" customHeight="1" x14ac:dyDescent="0.2">
      <c r="D325" s="58" t="str">
        <f>IFERROR(IF(F325&lt;&gt;"pending","",IF(OR($B325="",$B325="(blank)"),"",VLOOKUP($B325,'Email Marketing Raw Data'!$C:$O,10,0))),"")</f>
        <v/>
      </c>
      <c r="E325" s="59" t="str">
        <f>IFERROR(IF(F325&lt;&gt;"pending","",IF(OR($B325="",$B325="(blank)"),"",VLOOKUP($B325,'Email Marketing Raw Data'!$C:$O,11,0))),"")</f>
        <v/>
      </c>
      <c r="F325" s="54" t="str">
        <f>IFERROR(IF(OR($B325="",$B325="(blank)"),"",VLOOKUP($B325,'Email Marketing Raw Data'!$C:$O,13,0)),"")</f>
        <v/>
      </c>
      <c r="G325" s="55" t="str">
        <f>IFERROR(IF(OR($B325="",$B325="(blank)"),"",VLOOKUP($B325,'Email Marketing Raw Data'!$C:$O,4,0)),"")</f>
        <v/>
      </c>
      <c r="H325" s="55" t="str">
        <f>IFERROR(IF(OR($B325="",$B325="(blank)"),"",VLOOKUP($B325,'Email Marketing Raw Data'!$C:$O,5,0)),"")</f>
        <v/>
      </c>
      <c r="I325" s="55" t="str">
        <f>IFERROR(IF($G325="","",VLOOKUP('Dashboard And Emails Automate'!$G325,Database!$H:$N,3,0)),"")</f>
        <v/>
      </c>
      <c r="J325" s="55" t="str">
        <f>IFERROR(IF($G325="","",VLOOKUP('Dashboard And Emails Automate'!$G325,Database!$H:$N,4,0)),"")</f>
        <v/>
      </c>
      <c r="K325" s="55" t="str">
        <f>IFERROR(IF($G325="","",VLOOKUP('Dashboard And Emails Automate'!$G325,Database!$H:$N,5,0)),"")</f>
        <v/>
      </c>
      <c r="L325" s="55" t="str">
        <f>IFERROR(IF($G325="","",VLOOKUP('Dashboard And Emails Automate'!$G325,Database!$H:$N,6,0)),"")</f>
        <v/>
      </c>
      <c r="M325" s="55" t="str">
        <f>IFERROR(IF($G325="","",VLOOKUP('Dashboard And Emails Automate'!$G325,Database!$H:$N,7,0)),"")</f>
        <v/>
      </c>
      <c r="N325" s="55" t="str">
        <f>IFERROR(IF(OR($B325="",$B325="(blank)"),"",VLOOKUP($B325,'Email Marketing Raw Data'!$C:$O,6,0)),"")</f>
        <v/>
      </c>
      <c r="O325" s="55" t="str">
        <f>IFERROR(IF(OR($B325="",$B325="(blank)"),"",VLOOKUP($B325,'Email Marketing Raw Data'!$C:$O,7,0)),"")</f>
        <v/>
      </c>
      <c r="P325" s="55" t="str">
        <f>IFERROR(IF(OR($B325="",$B325="(blank)"),"",VLOOKUP($B325,'Email Marketing Raw Data'!$C:$O,8,0)),"")</f>
        <v/>
      </c>
      <c r="Q325" s="62" t="str">
        <f>IFERROR(IF(OR($B325="",$B325="(blank)"),"",VLOOKUP($B325,'Email Marketing Raw Data'!$C:$O,9,0)),"")</f>
        <v/>
      </c>
    </row>
    <row r="326" spans="4:17" ht="12.75" customHeight="1" x14ac:dyDescent="0.2">
      <c r="D326" s="58" t="str">
        <f>IFERROR(IF(F326&lt;&gt;"pending","",IF(OR($B326="",$B326="(blank)"),"",VLOOKUP($B326,'Email Marketing Raw Data'!$C:$O,10,0))),"")</f>
        <v/>
      </c>
      <c r="E326" s="59" t="str">
        <f>IFERROR(IF(F326&lt;&gt;"pending","",IF(OR($B326="",$B326="(blank)"),"",VLOOKUP($B326,'Email Marketing Raw Data'!$C:$O,11,0))),"")</f>
        <v/>
      </c>
      <c r="F326" s="54" t="str">
        <f>IFERROR(IF(OR($B326="",$B326="(blank)"),"",VLOOKUP($B326,'Email Marketing Raw Data'!$C:$O,13,0)),"")</f>
        <v/>
      </c>
      <c r="G326" s="55" t="str">
        <f>IFERROR(IF(OR($B326="",$B326="(blank)"),"",VLOOKUP($B326,'Email Marketing Raw Data'!$C:$O,4,0)),"")</f>
        <v/>
      </c>
      <c r="H326" s="55" t="str">
        <f>IFERROR(IF(OR($B326="",$B326="(blank)"),"",VLOOKUP($B326,'Email Marketing Raw Data'!$C:$O,5,0)),"")</f>
        <v/>
      </c>
      <c r="I326" s="55" t="str">
        <f>IFERROR(IF($G326="","",VLOOKUP('Dashboard And Emails Automate'!$G326,Database!$H:$N,3,0)),"")</f>
        <v/>
      </c>
      <c r="J326" s="55" t="str">
        <f>IFERROR(IF($G326="","",VLOOKUP('Dashboard And Emails Automate'!$G326,Database!$H:$N,4,0)),"")</f>
        <v/>
      </c>
      <c r="K326" s="55" t="str">
        <f>IFERROR(IF($G326="","",VLOOKUP('Dashboard And Emails Automate'!$G326,Database!$H:$N,5,0)),"")</f>
        <v/>
      </c>
      <c r="L326" s="55" t="str">
        <f>IFERROR(IF($G326="","",VLOOKUP('Dashboard And Emails Automate'!$G326,Database!$H:$N,6,0)),"")</f>
        <v/>
      </c>
      <c r="M326" s="55" t="str">
        <f>IFERROR(IF($G326="","",VLOOKUP('Dashboard And Emails Automate'!$G326,Database!$H:$N,7,0)),"")</f>
        <v/>
      </c>
      <c r="N326" s="55" t="str">
        <f>IFERROR(IF(OR($B326="",$B326="(blank)"),"",VLOOKUP($B326,'Email Marketing Raw Data'!$C:$O,6,0)),"")</f>
        <v/>
      </c>
      <c r="O326" s="55" t="str">
        <f>IFERROR(IF(OR($B326="",$B326="(blank)"),"",VLOOKUP($B326,'Email Marketing Raw Data'!$C:$O,7,0)),"")</f>
        <v/>
      </c>
      <c r="P326" s="55" t="str">
        <f>IFERROR(IF(OR($B326="",$B326="(blank)"),"",VLOOKUP($B326,'Email Marketing Raw Data'!$C:$O,8,0)),"")</f>
        <v/>
      </c>
      <c r="Q326" s="62" t="str">
        <f>IFERROR(IF(OR($B326="",$B326="(blank)"),"",VLOOKUP($B326,'Email Marketing Raw Data'!$C:$O,9,0)),"")</f>
        <v/>
      </c>
    </row>
    <row r="327" spans="4:17" ht="12.75" customHeight="1" x14ac:dyDescent="0.2">
      <c r="D327" s="58" t="str">
        <f>IFERROR(IF(F327&lt;&gt;"pending","",IF(OR($B327="",$B327="(blank)"),"",VLOOKUP($B327,'Email Marketing Raw Data'!$C:$O,10,0))),"")</f>
        <v/>
      </c>
      <c r="E327" s="59" t="str">
        <f>IFERROR(IF(F327&lt;&gt;"pending","",IF(OR($B327="",$B327="(blank)"),"",VLOOKUP($B327,'Email Marketing Raw Data'!$C:$O,11,0))),"")</f>
        <v/>
      </c>
      <c r="F327" s="54" t="str">
        <f>IFERROR(IF(OR($B327="",$B327="(blank)"),"",VLOOKUP($B327,'Email Marketing Raw Data'!$C:$O,13,0)),"")</f>
        <v/>
      </c>
      <c r="G327" s="55" t="str">
        <f>IFERROR(IF(OR($B327="",$B327="(blank)"),"",VLOOKUP($B327,'Email Marketing Raw Data'!$C:$O,4,0)),"")</f>
        <v/>
      </c>
      <c r="H327" s="55" t="str">
        <f>IFERROR(IF(OR($B327="",$B327="(blank)"),"",VLOOKUP($B327,'Email Marketing Raw Data'!$C:$O,5,0)),"")</f>
        <v/>
      </c>
      <c r="I327" s="55" t="str">
        <f>IFERROR(IF($G327="","",VLOOKUP('Dashboard And Emails Automate'!$G327,Database!$H:$N,3,0)),"")</f>
        <v/>
      </c>
      <c r="J327" s="55" t="str">
        <f>IFERROR(IF($G327="","",VLOOKUP('Dashboard And Emails Automate'!$G327,Database!$H:$N,4,0)),"")</f>
        <v/>
      </c>
      <c r="K327" s="55" t="str">
        <f>IFERROR(IF($G327="","",VLOOKUP('Dashboard And Emails Automate'!$G327,Database!$H:$N,5,0)),"")</f>
        <v/>
      </c>
      <c r="L327" s="55" t="str">
        <f>IFERROR(IF($G327="","",VLOOKUP('Dashboard And Emails Automate'!$G327,Database!$H:$N,6,0)),"")</f>
        <v/>
      </c>
      <c r="M327" s="55" t="str">
        <f>IFERROR(IF($G327="","",VLOOKUP('Dashboard And Emails Automate'!$G327,Database!$H:$N,7,0)),"")</f>
        <v/>
      </c>
      <c r="N327" s="55" t="str">
        <f>IFERROR(IF(OR($B327="",$B327="(blank)"),"",VLOOKUP($B327,'Email Marketing Raw Data'!$C:$O,6,0)),"")</f>
        <v/>
      </c>
      <c r="O327" s="55" t="str">
        <f>IFERROR(IF(OR($B327="",$B327="(blank)"),"",VLOOKUP($B327,'Email Marketing Raw Data'!$C:$O,7,0)),"")</f>
        <v/>
      </c>
      <c r="P327" s="55" t="str">
        <f>IFERROR(IF(OR($B327="",$B327="(blank)"),"",VLOOKUP($B327,'Email Marketing Raw Data'!$C:$O,8,0)),"")</f>
        <v/>
      </c>
      <c r="Q327" s="62" t="str">
        <f>IFERROR(IF(OR($B327="",$B327="(blank)"),"",VLOOKUP($B327,'Email Marketing Raw Data'!$C:$O,9,0)),"")</f>
        <v/>
      </c>
    </row>
    <row r="328" spans="4:17" ht="12.75" customHeight="1" x14ac:dyDescent="0.2">
      <c r="D328" s="58" t="str">
        <f>IFERROR(IF(F328&lt;&gt;"pending","",IF(OR($B328="",$B328="(blank)"),"",VLOOKUP($B328,'Email Marketing Raw Data'!$C:$O,10,0))),"")</f>
        <v/>
      </c>
      <c r="E328" s="59" t="str">
        <f>IFERROR(IF(F328&lt;&gt;"pending","",IF(OR($B328="",$B328="(blank)"),"",VLOOKUP($B328,'Email Marketing Raw Data'!$C:$O,11,0))),"")</f>
        <v/>
      </c>
      <c r="F328" s="54" t="str">
        <f>IFERROR(IF(OR($B328="",$B328="(blank)"),"",VLOOKUP($B328,'Email Marketing Raw Data'!$C:$O,13,0)),"")</f>
        <v/>
      </c>
      <c r="G328" s="55" t="str">
        <f>IFERROR(IF(OR($B328="",$B328="(blank)"),"",VLOOKUP($B328,'Email Marketing Raw Data'!$C:$O,4,0)),"")</f>
        <v/>
      </c>
      <c r="H328" s="55" t="str">
        <f>IFERROR(IF(OR($B328="",$B328="(blank)"),"",VLOOKUP($B328,'Email Marketing Raw Data'!$C:$O,5,0)),"")</f>
        <v/>
      </c>
      <c r="I328" s="55" t="str">
        <f>IFERROR(IF($G328="","",VLOOKUP('Dashboard And Emails Automate'!$G328,Database!$H:$N,3,0)),"")</f>
        <v/>
      </c>
      <c r="J328" s="55" t="str">
        <f>IFERROR(IF($G328="","",VLOOKUP('Dashboard And Emails Automate'!$G328,Database!$H:$N,4,0)),"")</f>
        <v/>
      </c>
      <c r="K328" s="55" t="str">
        <f>IFERROR(IF($G328="","",VLOOKUP('Dashboard And Emails Automate'!$G328,Database!$H:$N,5,0)),"")</f>
        <v/>
      </c>
      <c r="L328" s="55" t="str">
        <f>IFERROR(IF($G328="","",VLOOKUP('Dashboard And Emails Automate'!$G328,Database!$H:$N,6,0)),"")</f>
        <v/>
      </c>
      <c r="M328" s="55" t="str">
        <f>IFERROR(IF($G328="","",VLOOKUP('Dashboard And Emails Automate'!$G328,Database!$H:$N,7,0)),"")</f>
        <v/>
      </c>
      <c r="N328" s="55" t="str">
        <f>IFERROR(IF(OR($B328="",$B328="(blank)"),"",VLOOKUP($B328,'Email Marketing Raw Data'!$C:$O,6,0)),"")</f>
        <v/>
      </c>
      <c r="O328" s="55" t="str">
        <f>IFERROR(IF(OR($B328="",$B328="(blank)"),"",VLOOKUP($B328,'Email Marketing Raw Data'!$C:$O,7,0)),"")</f>
        <v/>
      </c>
      <c r="P328" s="55" t="str">
        <f>IFERROR(IF(OR($B328="",$B328="(blank)"),"",VLOOKUP($B328,'Email Marketing Raw Data'!$C:$O,8,0)),"")</f>
        <v/>
      </c>
      <c r="Q328" s="62" t="str">
        <f>IFERROR(IF(OR($B328="",$B328="(blank)"),"",VLOOKUP($B328,'Email Marketing Raw Data'!$C:$O,9,0)),"")</f>
        <v/>
      </c>
    </row>
    <row r="329" spans="4:17" ht="12.75" customHeight="1" x14ac:dyDescent="0.2">
      <c r="D329" s="58" t="str">
        <f>IFERROR(IF(F329&lt;&gt;"pending","",IF(OR($B329="",$B329="(blank)"),"",VLOOKUP($B329,'Email Marketing Raw Data'!$C:$O,10,0))),"")</f>
        <v/>
      </c>
      <c r="E329" s="59" t="str">
        <f>IFERROR(IF(F329&lt;&gt;"pending","",IF(OR($B329="",$B329="(blank)"),"",VLOOKUP($B329,'Email Marketing Raw Data'!$C:$O,11,0))),"")</f>
        <v/>
      </c>
      <c r="F329" s="54" t="str">
        <f>IFERROR(IF(OR($B329="",$B329="(blank)"),"",VLOOKUP($B329,'Email Marketing Raw Data'!$C:$O,13,0)),"")</f>
        <v/>
      </c>
      <c r="G329" s="55" t="str">
        <f>IFERROR(IF(OR($B329="",$B329="(blank)"),"",VLOOKUP($B329,'Email Marketing Raw Data'!$C:$O,4,0)),"")</f>
        <v/>
      </c>
      <c r="H329" s="55" t="str">
        <f>IFERROR(IF(OR($B329="",$B329="(blank)"),"",VLOOKUP($B329,'Email Marketing Raw Data'!$C:$O,5,0)),"")</f>
        <v/>
      </c>
      <c r="I329" s="55" t="str">
        <f>IFERROR(IF($G329="","",VLOOKUP('Dashboard And Emails Automate'!$G329,Database!$H:$N,3,0)),"")</f>
        <v/>
      </c>
      <c r="J329" s="55" t="str">
        <f>IFERROR(IF($G329="","",VLOOKUP('Dashboard And Emails Automate'!$G329,Database!$H:$N,4,0)),"")</f>
        <v/>
      </c>
      <c r="K329" s="55" t="str">
        <f>IFERROR(IF($G329="","",VLOOKUP('Dashboard And Emails Automate'!$G329,Database!$H:$N,5,0)),"")</f>
        <v/>
      </c>
      <c r="L329" s="55" t="str">
        <f>IFERROR(IF($G329="","",VLOOKUP('Dashboard And Emails Automate'!$G329,Database!$H:$N,6,0)),"")</f>
        <v/>
      </c>
      <c r="M329" s="55" t="str">
        <f>IFERROR(IF($G329="","",VLOOKUP('Dashboard And Emails Automate'!$G329,Database!$H:$N,7,0)),"")</f>
        <v/>
      </c>
      <c r="N329" s="55" t="str">
        <f>IFERROR(IF(OR($B329="",$B329="(blank)"),"",VLOOKUP($B329,'Email Marketing Raw Data'!$C:$O,6,0)),"")</f>
        <v/>
      </c>
      <c r="O329" s="55" t="str">
        <f>IFERROR(IF(OR($B329="",$B329="(blank)"),"",VLOOKUP($B329,'Email Marketing Raw Data'!$C:$O,7,0)),"")</f>
        <v/>
      </c>
      <c r="P329" s="55" t="str">
        <f>IFERROR(IF(OR($B329="",$B329="(blank)"),"",VLOOKUP($B329,'Email Marketing Raw Data'!$C:$O,8,0)),"")</f>
        <v/>
      </c>
      <c r="Q329" s="62" t="str">
        <f>IFERROR(IF(OR($B329="",$B329="(blank)"),"",VLOOKUP($B329,'Email Marketing Raw Data'!$C:$O,9,0)),"")</f>
        <v/>
      </c>
    </row>
    <row r="330" spans="4:17" ht="12.75" customHeight="1" x14ac:dyDescent="0.2">
      <c r="D330" s="58" t="str">
        <f>IFERROR(IF(F330&lt;&gt;"pending","",IF(OR($B330="",$B330="(blank)"),"",VLOOKUP($B330,'Email Marketing Raw Data'!$C:$O,10,0))),"")</f>
        <v/>
      </c>
      <c r="E330" s="59" t="str">
        <f>IFERROR(IF(F330&lt;&gt;"pending","",IF(OR($B330="",$B330="(blank)"),"",VLOOKUP($B330,'Email Marketing Raw Data'!$C:$O,11,0))),"")</f>
        <v/>
      </c>
      <c r="F330" s="54" t="str">
        <f>IFERROR(IF(OR($B330="",$B330="(blank)"),"",VLOOKUP($B330,'Email Marketing Raw Data'!$C:$O,13,0)),"")</f>
        <v/>
      </c>
      <c r="G330" s="55" t="str">
        <f>IFERROR(IF(OR($B330="",$B330="(blank)"),"",VLOOKUP($B330,'Email Marketing Raw Data'!$C:$O,4,0)),"")</f>
        <v/>
      </c>
      <c r="H330" s="55" t="str">
        <f>IFERROR(IF(OR($B330="",$B330="(blank)"),"",VLOOKUP($B330,'Email Marketing Raw Data'!$C:$O,5,0)),"")</f>
        <v/>
      </c>
      <c r="I330" s="55" t="str">
        <f>IFERROR(IF($G330="","",VLOOKUP('Dashboard And Emails Automate'!$G330,Database!$H:$N,3,0)),"")</f>
        <v/>
      </c>
      <c r="J330" s="55" t="str">
        <f>IFERROR(IF($G330="","",VLOOKUP('Dashboard And Emails Automate'!$G330,Database!$H:$N,4,0)),"")</f>
        <v/>
      </c>
      <c r="K330" s="55" t="str">
        <f>IFERROR(IF($G330="","",VLOOKUP('Dashboard And Emails Automate'!$G330,Database!$H:$N,5,0)),"")</f>
        <v/>
      </c>
      <c r="L330" s="55" t="str">
        <f>IFERROR(IF($G330="","",VLOOKUP('Dashboard And Emails Automate'!$G330,Database!$H:$N,6,0)),"")</f>
        <v/>
      </c>
      <c r="M330" s="55" t="str">
        <f>IFERROR(IF($G330="","",VLOOKUP('Dashboard And Emails Automate'!$G330,Database!$H:$N,7,0)),"")</f>
        <v/>
      </c>
      <c r="N330" s="55" t="str">
        <f>IFERROR(IF(OR($B330="",$B330="(blank)"),"",VLOOKUP($B330,'Email Marketing Raw Data'!$C:$O,6,0)),"")</f>
        <v/>
      </c>
      <c r="O330" s="55" t="str">
        <f>IFERROR(IF(OR($B330="",$B330="(blank)"),"",VLOOKUP($B330,'Email Marketing Raw Data'!$C:$O,7,0)),"")</f>
        <v/>
      </c>
      <c r="P330" s="55" t="str">
        <f>IFERROR(IF(OR($B330="",$B330="(blank)"),"",VLOOKUP($B330,'Email Marketing Raw Data'!$C:$O,8,0)),"")</f>
        <v/>
      </c>
      <c r="Q330" s="62" t="str">
        <f>IFERROR(IF(OR($B330="",$B330="(blank)"),"",VLOOKUP($B330,'Email Marketing Raw Data'!$C:$O,9,0)),"")</f>
        <v/>
      </c>
    </row>
    <row r="331" spans="4:17" ht="12.75" customHeight="1" x14ac:dyDescent="0.2">
      <c r="D331" s="58" t="str">
        <f>IFERROR(IF(F331&lt;&gt;"pending","",IF(OR($B331="",$B331="(blank)"),"",VLOOKUP($B331,'Email Marketing Raw Data'!$C:$O,10,0))),"")</f>
        <v/>
      </c>
      <c r="E331" s="59" t="str">
        <f>IFERROR(IF(F331&lt;&gt;"pending","",IF(OR($B331="",$B331="(blank)"),"",VLOOKUP($B331,'Email Marketing Raw Data'!$C:$O,11,0))),"")</f>
        <v/>
      </c>
      <c r="F331" s="54" t="str">
        <f>IFERROR(IF(OR($B331="",$B331="(blank)"),"",VLOOKUP($B331,'Email Marketing Raw Data'!$C:$O,13,0)),"")</f>
        <v/>
      </c>
      <c r="G331" s="55" t="str">
        <f>IFERROR(IF(OR($B331="",$B331="(blank)"),"",VLOOKUP($B331,'Email Marketing Raw Data'!$C:$O,4,0)),"")</f>
        <v/>
      </c>
      <c r="H331" s="55" t="str">
        <f>IFERROR(IF(OR($B331="",$B331="(blank)"),"",VLOOKUP($B331,'Email Marketing Raw Data'!$C:$O,5,0)),"")</f>
        <v/>
      </c>
      <c r="I331" s="55" t="str">
        <f>IFERROR(IF($G331="","",VLOOKUP('Dashboard And Emails Automate'!$G331,Database!$H:$N,3,0)),"")</f>
        <v/>
      </c>
      <c r="J331" s="55" t="str">
        <f>IFERROR(IF($G331="","",VLOOKUP('Dashboard And Emails Automate'!$G331,Database!$H:$N,4,0)),"")</f>
        <v/>
      </c>
      <c r="K331" s="55" t="str">
        <f>IFERROR(IF($G331="","",VLOOKUP('Dashboard And Emails Automate'!$G331,Database!$H:$N,5,0)),"")</f>
        <v/>
      </c>
      <c r="L331" s="55" t="str">
        <f>IFERROR(IF($G331="","",VLOOKUP('Dashboard And Emails Automate'!$G331,Database!$H:$N,6,0)),"")</f>
        <v/>
      </c>
      <c r="M331" s="55" t="str">
        <f>IFERROR(IF($G331="","",VLOOKUP('Dashboard And Emails Automate'!$G331,Database!$H:$N,7,0)),"")</f>
        <v/>
      </c>
      <c r="N331" s="55" t="str">
        <f>IFERROR(IF(OR($B331="",$B331="(blank)"),"",VLOOKUP($B331,'Email Marketing Raw Data'!$C:$O,6,0)),"")</f>
        <v/>
      </c>
      <c r="O331" s="55" t="str">
        <f>IFERROR(IF(OR($B331="",$B331="(blank)"),"",VLOOKUP($B331,'Email Marketing Raw Data'!$C:$O,7,0)),"")</f>
        <v/>
      </c>
      <c r="P331" s="55" t="str">
        <f>IFERROR(IF(OR($B331="",$B331="(blank)"),"",VLOOKUP($B331,'Email Marketing Raw Data'!$C:$O,8,0)),"")</f>
        <v/>
      </c>
      <c r="Q331" s="62" t="str">
        <f>IFERROR(IF(OR($B331="",$B331="(blank)"),"",VLOOKUP($B331,'Email Marketing Raw Data'!$C:$O,9,0)),"")</f>
        <v/>
      </c>
    </row>
    <row r="332" spans="4:17" ht="12.75" customHeight="1" x14ac:dyDescent="0.2">
      <c r="D332" s="58" t="str">
        <f>IFERROR(IF(F332&lt;&gt;"pending","",IF(OR($B332="",$B332="(blank)"),"",VLOOKUP($B332,'Email Marketing Raw Data'!$C:$O,10,0))),"")</f>
        <v/>
      </c>
      <c r="E332" s="59" t="str">
        <f>IFERROR(IF(F332&lt;&gt;"pending","",IF(OR($B332="",$B332="(blank)"),"",VLOOKUP($B332,'Email Marketing Raw Data'!$C:$O,11,0))),"")</f>
        <v/>
      </c>
      <c r="F332" s="54" t="str">
        <f>IFERROR(IF(OR($B332="",$B332="(blank)"),"",VLOOKUP($B332,'Email Marketing Raw Data'!$C:$O,13,0)),"")</f>
        <v/>
      </c>
      <c r="G332" s="55" t="str">
        <f>IFERROR(IF(OR($B332="",$B332="(blank)"),"",VLOOKUP($B332,'Email Marketing Raw Data'!$C:$O,4,0)),"")</f>
        <v/>
      </c>
      <c r="H332" s="55" t="str">
        <f>IFERROR(IF(OR($B332="",$B332="(blank)"),"",VLOOKUP($B332,'Email Marketing Raw Data'!$C:$O,5,0)),"")</f>
        <v/>
      </c>
      <c r="I332" s="55" t="str">
        <f>IFERROR(IF($G332="","",VLOOKUP('Dashboard And Emails Automate'!$G332,Database!$H:$N,3,0)),"")</f>
        <v/>
      </c>
      <c r="J332" s="55" t="str">
        <f>IFERROR(IF($G332="","",VLOOKUP('Dashboard And Emails Automate'!$G332,Database!$H:$N,4,0)),"")</f>
        <v/>
      </c>
      <c r="K332" s="55" t="str">
        <f>IFERROR(IF($G332="","",VLOOKUP('Dashboard And Emails Automate'!$G332,Database!$H:$N,5,0)),"")</f>
        <v/>
      </c>
      <c r="L332" s="55" t="str">
        <f>IFERROR(IF($G332="","",VLOOKUP('Dashboard And Emails Automate'!$G332,Database!$H:$N,6,0)),"")</f>
        <v/>
      </c>
      <c r="M332" s="55" t="str">
        <f>IFERROR(IF($G332="","",VLOOKUP('Dashboard And Emails Automate'!$G332,Database!$H:$N,7,0)),"")</f>
        <v/>
      </c>
      <c r="N332" s="55" t="str">
        <f>IFERROR(IF(OR($B332="",$B332="(blank)"),"",VLOOKUP($B332,'Email Marketing Raw Data'!$C:$O,6,0)),"")</f>
        <v/>
      </c>
      <c r="O332" s="55" t="str">
        <f>IFERROR(IF(OR($B332="",$B332="(blank)"),"",VLOOKUP($B332,'Email Marketing Raw Data'!$C:$O,7,0)),"")</f>
        <v/>
      </c>
      <c r="P332" s="55" t="str">
        <f>IFERROR(IF(OR($B332="",$B332="(blank)"),"",VLOOKUP($B332,'Email Marketing Raw Data'!$C:$O,8,0)),"")</f>
        <v/>
      </c>
      <c r="Q332" s="62" t="str">
        <f>IFERROR(IF(OR($B332="",$B332="(blank)"),"",VLOOKUP($B332,'Email Marketing Raw Data'!$C:$O,9,0)),"")</f>
        <v/>
      </c>
    </row>
    <row r="333" spans="4:17" ht="12.75" customHeight="1" x14ac:dyDescent="0.2">
      <c r="D333" s="58" t="str">
        <f>IFERROR(IF(F333&lt;&gt;"pending","",IF(OR($B333="",$B333="(blank)"),"",VLOOKUP($B333,'Email Marketing Raw Data'!$C:$O,10,0))),"")</f>
        <v/>
      </c>
      <c r="E333" s="59" t="str">
        <f>IFERROR(IF(F333&lt;&gt;"pending","",IF(OR($B333="",$B333="(blank)"),"",VLOOKUP($B333,'Email Marketing Raw Data'!$C:$O,11,0))),"")</f>
        <v/>
      </c>
      <c r="F333" s="54" t="str">
        <f>IFERROR(IF(OR($B333="",$B333="(blank)"),"",VLOOKUP($B333,'Email Marketing Raw Data'!$C:$O,13,0)),"")</f>
        <v/>
      </c>
      <c r="G333" s="55" t="str">
        <f>IFERROR(IF(OR($B333="",$B333="(blank)"),"",VLOOKUP($B333,'Email Marketing Raw Data'!$C:$O,4,0)),"")</f>
        <v/>
      </c>
      <c r="H333" s="55" t="str">
        <f>IFERROR(IF(OR($B333="",$B333="(blank)"),"",VLOOKUP($B333,'Email Marketing Raw Data'!$C:$O,5,0)),"")</f>
        <v/>
      </c>
      <c r="I333" s="55" t="str">
        <f>IFERROR(IF($G333="","",VLOOKUP('Dashboard And Emails Automate'!$G333,Database!$H:$N,3,0)),"")</f>
        <v/>
      </c>
      <c r="J333" s="55" t="str">
        <f>IFERROR(IF($G333="","",VLOOKUP('Dashboard And Emails Automate'!$G333,Database!$H:$N,4,0)),"")</f>
        <v/>
      </c>
      <c r="K333" s="55" t="str">
        <f>IFERROR(IF($G333="","",VLOOKUP('Dashboard And Emails Automate'!$G333,Database!$H:$N,5,0)),"")</f>
        <v/>
      </c>
      <c r="L333" s="55" t="str">
        <f>IFERROR(IF($G333="","",VLOOKUP('Dashboard And Emails Automate'!$G333,Database!$H:$N,6,0)),"")</f>
        <v/>
      </c>
      <c r="M333" s="55" t="str">
        <f>IFERROR(IF($G333="","",VLOOKUP('Dashboard And Emails Automate'!$G333,Database!$H:$N,7,0)),"")</f>
        <v/>
      </c>
      <c r="N333" s="55" t="str">
        <f>IFERROR(IF(OR($B333="",$B333="(blank)"),"",VLOOKUP($B333,'Email Marketing Raw Data'!$C:$O,6,0)),"")</f>
        <v/>
      </c>
      <c r="O333" s="55" t="str">
        <f>IFERROR(IF(OR($B333="",$B333="(blank)"),"",VLOOKUP($B333,'Email Marketing Raw Data'!$C:$O,7,0)),"")</f>
        <v/>
      </c>
      <c r="P333" s="55" t="str">
        <f>IFERROR(IF(OR($B333="",$B333="(blank)"),"",VLOOKUP($B333,'Email Marketing Raw Data'!$C:$O,8,0)),"")</f>
        <v/>
      </c>
      <c r="Q333" s="62" t="str">
        <f>IFERROR(IF(OR($B333="",$B333="(blank)"),"",VLOOKUP($B333,'Email Marketing Raw Data'!$C:$O,9,0)),"")</f>
        <v/>
      </c>
    </row>
    <row r="334" spans="4:17" ht="12.75" customHeight="1" x14ac:dyDescent="0.2">
      <c r="D334" s="58" t="str">
        <f>IFERROR(IF(F334&lt;&gt;"pending","",IF(OR($B334="",$B334="(blank)"),"",VLOOKUP($B334,'Email Marketing Raw Data'!$C:$O,10,0))),"")</f>
        <v/>
      </c>
      <c r="E334" s="59" t="str">
        <f>IFERROR(IF(F334&lt;&gt;"pending","",IF(OR($B334="",$B334="(blank)"),"",VLOOKUP($B334,'Email Marketing Raw Data'!$C:$O,11,0))),"")</f>
        <v/>
      </c>
      <c r="F334" s="54" t="str">
        <f>IFERROR(IF(OR($B334="",$B334="(blank)"),"",VLOOKUP($B334,'Email Marketing Raw Data'!$C:$O,13,0)),"")</f>
        <v/>
      </c>
      <c r="G334" s="55" t="str">
        <f>IFERROR(IF(OR($B334="",$B334="(blank)"),"",VLOOKUP($B334,'Email Marketing Raw Data'!$C:$O,4,0)),"")</f>
        <v/>
      </c>
      <c r="H334" s="55" t="str">
        <f>IFERROR(IF(OR($B334="",$B334="(blank)"),"",VLOOKUP($B334,'Email Marketing Raw Data'!$C:$O,5,0)),"")</f>
        <v/>
      </c>
      <c r="I334" s="55" t="str">
        <f>IFERROR(IF($G334="","",VLOOKUP('Dashboard And Emails Automate'!$G334,Database!$H:$N,3,0)),"")</f>
        <v/>
      </c>
      <c r="J334" s="55" t="str">
        <f>IFERROR(IF($G334="","",VLOOKUP('Dashboard And Emails Automate'!$G334,Database!$H:$N,4,0)),"")</f>
        <v/>
      </c>
      <c r="K334" s="55" t="str">
        <f>IFERROR(IF($G334="","",VLOOKUP('Dashboard And Emails Automate'!$G334,Database!$H:$N,5,0)),"")</f>
        <v/>
      </c>
      <c r="L334" s="55" t="str">
        <f>IFERROR(IF($G334="","",VLOOKUP('Dashboard And Emails Automate'!$G334,Database!$H:$N,6,0)),"")</f>
        <v/>
      </c>
      <c r="M334" s="55" t="str">
        <f>IFERROR(IF($G334="","",VLOOKUP('Dashboard And Emails Automate'!$G334,Database!$H:$N,7,0)),"")</f>
        <v/>
      </c>
      <c r="N334" s="55" t="str">
        <f>IFERROR(IF(OR($B334="",$B334="(blank)"),"",VLOOKUP($B334,'Email Marketing Raw Data'!$C:$O,6,0)),"")</f>
        <v/>
      </c>
      <c r="O334" s="55" t="str">
        <f>IFERROR(IF(OR($B334="",$B334="(blank)"),"",VLOOKUP($B334,'Email Marketing Raw Data'!$C:$O,7,0)),"")</f>
        <v/>
      </c>
      <c r="P334" s="55" t="str">
        <f>IFERROR(IF(OR($B334="",$B334="(blank)"),"",VLOOKUP($B334,'Email Marketing Raw Data'!$C:$O,8,0)),"")</f>
        <v/>
      </c>
      <c r="Q334" s="62" t="str">
        <f>IFERROR(IF(OR($B334="",$B334="(blank)"),"",VLOOKUP($B334,'Email Marketing Raw Data'!$C:$O,9,0)),"")</f>
        <v/>
      </c>
    </row>
    <row r="335" spans="4:17" ht="12.75" customHeight="1" x14ac:dyDescent="0.2">
      <c r="D335" s="58" t="str">
        <f>IFERROR(IF(F335&lt;&gt;"pending","",IF(OR($B335="",$B335="(blank)"),"",VLOOKUP($B335,'Email Marketing Raw Data'!$C:$O,10,0))),"")</f>
        <v/>
      </c>
      <c r="E335" s="59" t="str">
        <f>IFERROR(IF(F335&lt;&gt;"pending","",IF(OR($B335="",$B335="(blank)"),"",VLOOKUP($B335,'Email Marketing Raw Data'!$C:$O,11,0))),"")</f>
        <v/>
      </c>
      <c r="F335" s="54" t="str">
        <f>IFERROR(IF(OR($B335="",$B335="(blank)"),"",VLOOKUP($B335,'Email Marketing Raw Data'!$C:$O,13,0)),"")</f>
        <v/>
      </c>
      <c r="G335" s="55" t="str">
        <f>IFERROR(IF(OR($B335="",$B335="(blank)"),"",VLOOKUP($B335,'Email Marketing Raw Data'!$C:$O,4,0)),"")</f>
        <v/>
      </c>
      <c r="H335" s="55" t="str">
        <f>IFERROR(IF(OR($B335="",$B335="(blank)"),"",VLOOKUP($B335,'Email Marketing Raw Data'!$C:$O,5,0)),"")</f>
        <v/>
      </c>
      <c r="I335" s="55" t="str">
        <f>IFERROR(IF($G335="","",VLOOKUP('Dashboard And Emails Automate'!$G335,Database!$H:$N,3,0)),"")</f>
        <v/>
      </c>
      <c r="J335" s="55" t="str">
        <f>IFERROR(IF($G335="","",VLOOKUP('Dashboard And Emails Automate'!$G335,Database!$H:$N,4,0)),"")</f>
        <v/>
      </c>
      <c r="K335" s="55" t="str">
        <f>IFERROR(IF($G335="","",VLOOKUP('Dashboard And Emails Automate'!$G335,Database!$H:$N,5,0)),"")</f>
        <v/>
      </c>
      <c r="L335" s="55" t="str">
        <f>IFERROR(IF($G335="","",VLOOKUP('Dashboard And Emails Automate'!$G335,Database!$H:$N,6,0)),"")</f>
        <v/>
      </c>
      <c r="M335" s="55" t="str">
        <f>IFERROR(IF($G335="","",VLOOKUP('Dashboard And Emails Automate'!$G335,Database!$H:$N,7,0)),"")</f>
        <v/>
      </c>
      <c r="N335" s="55" t="str">
        <f>IFERROR(IF(OR($B335="",$B335="(blank)"),"",VLOOKUP($B335,'Email Marketing Raw Data'!$C:$O,6,0)),"")</f>
        <v/>
      </c>
      <c r="O335" s="55" t="str">
        <f>IFERROR(IF(OR($B335="",$B335="(blank)"),"",VLOOKUP($B335,'Email Marketing Raw Data'!$C:$O,7,0)),"")</f>
        <v/>
      </c>
      <c r="P335" s="55" t="str">
        <f>IFERROR(IF(OR($B335="",$B335="(blank)"),"",VLOOKUP($B335,'Email Marketing Raw Data'!$C:$O,8,0)),"")</f>
        <v/>
      </c>
      <c r="Q335" s="62" t="str">
        <f>IFERROR(IF(OR($B335="",$B335="(blank)"),"",VLOOKUP($B335,'Email Marketing Raw Data'!$C:$O,9,0)),"")</f>
        <v/>
      </c>
    </row>
    <row r="336" spans="4:17" ht="12.75" customHeight="1" x14ac:dyDescent="0.2">
      <c r="D336" s="58" t="str">
        <f>IFERROR(IF(F336&lt;&gt;"pending","",IF(OR($B336="",$B336="(blank)"),"",VLOOKUP($B336,'Email Marketing Raw Data'!$C:$O,10,0))),"")</f>
        <v/>
      </c>
      <c r="E336" s="59" t="str">
        <f>IFERROR(IF(F336&lt;&gt;"pending","",IF(OR($B336="",$B336="(blank)"),"",VLOOKUP($B336,'Email Marketing Raw Data'!$C:$O,11,0))),"")</f>
        <v/>
      </c>
      <c r="F336" s="54" t="str">
        <f>IFERROR(IF(OR($B336="",$B336="(blank)"),"",VLOOKUP($B336,'Email Marketing Raw Data'!$C:$O,13,0)),"")</f>
        <v/>
      </c>
      <c r="G336" s="55" t="str">
        <f>IFERROR(IF(OR($B336="",$B336="(blank)"),"",VLOOKUP($B336,'Email Marketing Raw Data'!$C:$O,4,0)),"")</f>
        <v/>
      </c>
      <c r="H336" s="55" t="str">
        <f>IFERROR(IF(OR($B336="",$B336="(blank)"),"",VLOOKUP($B336,'Email Marketing Raw Data'!$C:$O,5,0)),"")</f>
        <v/>
      </c>
      <c r="I336" s="55" t="str">
        <f>IFERROR(IF($G336="","",VLOOKUP('Dashboard And Emails Automate'!$G336,Database!$H:$N,3,0)),"")</f>
        <v/>
      </c>
      <c r="J336" s="55" t="str">
        <f>IFERROR(IF($G336="","",VLOOKUP('Dashboard And Emails Automate'!$G336,Database!$H:$N,4,0)),"")</f>
        <v/>
      </c>
      <c r="K336" s="55" t="str">
        <f>IFERROR(IF($G336="","",VLOOKUP('Dashboard And Emails Automate'!$G336,Database!$H:$N,5,0)),"")</f>
        <v/>
      </c>
      <c r="L336" s="55" t="str">
        <f>IFERROR(IF($G336="","",VLOOKUP('Dashboard And Emails Automate'!$G336,Database!$H:$N,6,0)),"")</f>
        <v/>
      </c>
      <c r="M336" s="55" t="str">
        <f>IFERROR(IF($G336="","",VLOOKUP('Dashboard And Emails Automate'!$G336,Database!$H:$N,7,0)),"")</f>
        <v/>
      </c>
      <c r="N336" s="55" t="str">
        <f>IFERROR(IF(OR($B336="",$B336="(blank)"),"",VLOOKUP($B336,'Email Marketing Raw Data'!$C:$O,6,0)),"")</f>
        <v/>
      </c>
      <c r="O336" s="55" t="str">
        <f>IFERROR(IF(OR($B336="",$B336="(blank)"),"",VLOOKUP($B336,'Email Marketing Raw Data'!$C:$O,7,0)),"")</f>
        <v/>
      </c>
      <c r="P336" s="55" t="str">
        <f>IFERROR(IF(OR($B336="",$B336="(blank)"),"",VLOOKUP($B336,'Email Marketing Raw Data'!$C:$O,8,0)),"")</f>
        <v/>
      </c>
      <c r="Q336" s="62" t="str">
        <f>IFERROR(IF(OR($B336="",$B336="(blank)"),"",VLOOKUP($B336,'Email Marketing Raw Data'!$C:$O,9,0)),"")</f>
        <v/>
      </c>
    </row>
    <row r="337" spans="4:17" ht="12.75" customHeight="1" x14ac:dyDescent="0.2">
      <c r="D337" s="58" t="str">
        <f>IFERROR(IF(F337&lt;&gt;"pending","",IF(OR($B337="",$B337="(blank)"),"",VLOOKUP($B337,'Email Marketing Raw Data'!$C:$O,10,0))),"")</f>
        <v/>
      </c>
      <c r="E337" s="59" t="str">
        <f>IFERROR(IF(F337&lt;&gt;"pending","",IF(OR($B337="",$B337="(blank)"),"",VLOOKUP($B337,'Email Marketing Raw Data'!$C:$O,11,0))),"")</f>
        <v/>
      </c>
      <c r="F337" s="54" t="str">
        <f>IFERROR(IF(OR($B337="",$B337="(blank)"),"",VLOOKUP($B337,'Email Marketing Raw Data'!$C:$O,13,0)),"")</f>
        <v/>
      </c>
      <c r="G337" s="55" t="str">
        <f>IFERROR(IF(OR($B337="",$B337="(blank)"),"",VLOOKUP($B337,'Email Marketing Raw Data'!$C:$O,4,0)),"")</f>
        <v/>
      </c>
      <c r="H337" s="55" t="str">
        <f>IFERROR(IF(OR($B337="",$B337="(blank)"),"",VLOOKUP($B337,'Email Marketing Raw Data'!$C:$O,5,0)),"")</f>
        <v/>
      </c>
      <c r="I337" s="55" t="str">
        <f>IFERROR(IF($G337="","",VLOOKUP('Dashboard And Emails Automate'!$G337,Database!$H:$N,3,0)),"")</f>
        <v/>
      </c>
      <c r="J337" s="55" t="str">
        <f>IFERROR(IF($G337="","",VLOOKUP('Dashboard And Emails Automate'!$G337,Database!$H:$N,4,0)),"")</f>
        <v/>
      </c>
      <c r="K337" s="55" t="str">
        <f>IFERROR(IF($G337="","",VLOOKUP('Dashboard And Emails Automate'!$G337,Database!$H:$N,5,0)),"")</f>
        <v/>
      </c>
      <c r="L337" s="55" t="str">
        <f>IFERROR(IF($G337="","",VLOOKUP('Dashboard And Emails Automate'!$G337,Database!$H:$N,6,0)),"")</f>
        <v/>
      </c>
      <c r="M337" s="55" t="str">
        <f>IFERROR(IF($G337="","",VLOOKUP('Dashboard And Emails Automate'!$G337,Database!$H:$N,7,0)),"")</f>
        <v/>
      </c>
      <c r="N337" s="55" t="str">
        <f>IFERROR(IF(OR($B337="",$B337="(blank)"),"",VLOOKUP($B337,'Email Marketing Raw Data'!$C:$O,6,0)),"")</f>
        <v/>
      </c>
      <c r="O337" s="55" t="str">
        <f>IFERROR(IF(OR($B337="",$B337="(blank)"),"",VLOOKUP($B337,'Email Marketing Raw Data'!$C:$O,7,0)),"")</f>
        <v/>
      </c>
      <c r="P337" s="55" t="str">
        <f>IFERROR(IF(OR($B337="",$B337="(blank)"),"",VLOOKUP($B337,'Email Marketing Raw Data'!$C:$O,8,0)),"")</f>
        <v/>
      </c>
      <c r="Q337" s="62" t="str">
        <f>IFERROR(IF(OR($B337="",$B337="(blank)"),"",VLOOKUP($B337,'Email Marketing Raw Data'!$C:$O,9,0)),"")</f>
        <v/>
      </c>
    </row>
    <row r="338" spans="4:17" ht="12.75" customHeight="1" x14ac:dyDescent="0.2">
      <c r="D338" s="58" t="str">
        <f>IFERROR(IF(F338&lt;&gt;"pending","",IF(OR($B338="",$B338="(blank)"),"",VLOOKUP($B338,'Email Marketing Raw Data'!$C:$O,10,0))),"")</f>
        <v/>
      </c>
      <c r="E338" s="59" t="str">
        <f>IFERROR(IF(F338&lt;&gt;"pending","",IF(OR($B338="",$B338="(blank)"),"",VLOOKUP($B338,'Email Marketing Raw Data'!$C:$O,11,0))),"")</f>
        <v/>
      </c>
      <c r="F338" s="54" t="str">
        <f>IFERROR(IF(OR($B338="",$B338="(blank)"),"",VLOOKUP($B338,'Email Marketing Raw Data'!$C:$O,13,0)),"")</f>
        <v/>
      </c>
      <c r="G338" s="55" t="str">
        <f>IFERROR(IF(OR($B338="",$B338="(blank)"),"",VLOOKUP($B338,'Email Marketing Raw Data'!$C:$O,4,0)),"")</f>
        <v/>
      </c>
      <c r="H338" s="55" t="str">
        <f>IFERROR(IF(OR($B338="",$B338="(blank)"),"",VLOOKUP($B338,'Email Marketing Raw Data'!$C:$O,5,0)),"")</f>
        <v/>
      </c>
      <c r="I338" s="55" t="str">
        <f>IFERROR(IF($G338="","",VLOOKUP('Dashboard And Emails Automate'!$G338,Database!$H:$N,3,0)),"")</f>
        <v/>
      </c>
      <c r="J338" s="55" t="str">
        <f>IFERROR(IF($G338="","",VLOOKUP('Dashboard And Emails Automate'!$G338,Database!$H:$N,4,0)),"")</f>
        <v/>
      </c>
      <c r="K338" s="55" t="str">
        <f>IFERROR(IF($G338="","",VLOOKUP('Dashboard And Emails Automate'!$G338,Database!$H:$N,5,0)),"")</f>
        <v/>
      </c>
      <c r="L338" s="55" t="str">
        <f>IFERROR(IF($G338="","",VLOOKUP('Dashboard And Emails Automate'!$G338,Database!$H:$N,6,0)),"")</f>
        <v/>
      </c>
      <c r="M338" s="55" t="str">
        <f>IFERROR(IF($G338="","",VLOOKUP('Dashboard And Emails Automate'!$G338,Database!$H:$N,7,0)),"")</f>
        <v/>
      </c>
      <c r="N338" s="55" t="str">
        <f>IFERROR(IF(OR($B338="",$B338="(blank)"),"",VLOOKUP($B338,'Email Marketing Raw Data'!$C:$O,6,0)),"")</f>
        <v/>
      </c>
      <c r="O338" s="55" t="str">
        <f>IFERROR(IF(OR($B338="",$B338="(blank)"),"",VLOOKUP($B338,'Email Marketing Raw Data'!$C:$O,7,0)),"")</f>
        <v/>
      </c>
      <c r="P338" s="55" t="str">
        <f>IFERROR(IF(OR($B338="",$B338="(blank)"),"",VLOOKUP($B338,'Email Marketing Raw Data'!$C:$O,8,0)),"")</f>
        <v/>
      </c>
      <c r="Q338" s="62" t="str">
        <f>IFERROR(IF(OR($B338="",$B338="(blank)"),"",VLOOKUP($B338,'Email Marketing Raw Data'!$C:$O,9,0)),"")</f>
        <v/>
      </c>
    </row>
    <row r="339" spans="4:17" ht="12.75" customHeight="1" x14ac:dyDescent="0.2">
      <c r="D339" s="58" t="str">
        <f>IFERROR(IF(F339&lt;&gt;"pending","",IF(OR($B339="",$B339="(blank)"),"",VLOOKUP($B339,'Email Marketing Raw Data'!$C:$O,10,0))),"")</f>
        <v/>
      </c>
      <c r="E339" s="59" t="str">
        <f>IFERROR(IF(F339&lt;&gt;"pending","",IF(OR($B339="",$B339="(blank)"),"",VLOOKUP($B339,'Email Marketing Raw Data'!$C:$O,11,0))),"")</f>
        <v/>
      </c>
      <c r="F339" s="54" t="str">
        <f>IFERROR(IF(OR($B339="",$B339="(blank)"),"",VLOOKUP($B339,'Email Marketing Raw Data'!$C:$O,13,0)),"")</f>
        <v/>
      </c>
      <c r="G339" s="55" t="str">
        <f>IFERROR(IF(OR($B339="",$B339="(blank)"),"",VLOOKUP($B339,'Email Marketing Raw Data'!$C:$O,4,0)),"")</f>
        <v/>
      </c>
      <c r="H339" s="55" t="str">
        <f>IFERROR(IF(OR($B339="",$B339="(blank)"),"",VLOOKUP($B339,'Email Marketing Raw Data'!$C:$O,5,0)),"")</f>
        <v/>
      </c>
      <c r="I339" s="55" t="str">
        <f>IFERROR(IF($G339="","",VLOOKUP('Dashboard And Emails Automate'!$G339,Database!$H:$N,3,0)),"")</f>
        <v/>
      </c>
      <c r="J339" s="55" t="str">
        <f>IFERROR(IF($G339="","",VLOOKUP('Dashboard And Emails Automate'!$G339,Database!$H:$N,4,0)),"")</f>
        <v/>
      </c>
      <c r="K339" s="55" t="str">
        <f>IFERROR(IF($G339="","",VLOOKUP('Dashboard And Emails Automate'!$G339,Database!$H:$N,5,0)),"")</f>
        <v/>
      </c>
      <c r="L339" s="55" t="str">
        <f>IFERROR(IF($G339="","",VLOOKUP('Dashboard And Emails Automate'!$G339,Database!$H:$N,6,0)),"")</f>
        <v/>
      </c>
      <c r="M339" s="55" t="str">
        <f>IFERROR(IF($G339="","",VLOOKUP('Dashboard And Emails Automate'!$G339,Database!$H:$N,7,0)),"")</f>
        <v/>
      </c>
      <c r="N339" s="55" t="str">
        <f>IFERROR(IF(OR($B339="",$B339="(blank)"),"",VLOOKUP($B339,'Email Marketing Raw Data'!$C:$O,6,0)),"")</f>
        <v/>
      </c>
      <c r="O339" s="55" t="str">
        <f>IFERROR(IF(OR($B339="",$B339="(blank)"),"",VLOOKUP($B339,'Email Marketing Raw Data'!$C:$O,7,0)),"")</f>
        <v/>
      </c>
      <c r="P339" s="55" t="str">
        <f>IFERROR(IF(OR($B339="",$B339="(blank)"),"",VLOOKUP($B339,'Email Marketing Raw Data'!$C:$O,8,0)),"")</f>
        <v/>
      </c>
      <c r="Q339" s="62" t="str">
        <f>IFERROR(IF(OR($B339="",$B339="(blank)"),"",VLOOKUP($B339,'Email Marketing Raw Data'!$C:$O,9,0)),"")</f>
        <v/>
      </c>
    </row>
    <row r="340" spans="4:17" ht="12.75" customHeight="1" x14ac:dyDescent="0.2">
      <c r="D340" s="58" t="str">
        <f>IFERROR(IF(F340&lt;&gt;"pending","",IF(OR($B340="",$B340="(blank)"),"",VLOOKUP($B340,'Email Marketing Raw Data'!$C:$O,10,0))),"")</f>
        <v/>
      </c>
      <c r="E340" s="59" t="str">
        <f>IFERROR(IF(F340&lt;&gt;"pending","",IF(OR($B340="",$B340="(blank)"),"",VLOOKUP($B340,'Email Marketing Raw Data'!$C:$O,11,0))),"")</f>
        <v/>
      </c>
      <c r="F340" s="54" t="str">
        <f>IFERROR(IF(OR($B340="",$B340="(blank)"),"",VLOOKUP($B340,'Email Marketing Raw Data'!$C:$O,13,0)),"")</f>
        <v/>
      </c>
      <c r="G340" s="55" t="str">
        <f>IFERROR(IF(OR($B340="",$B340="(blank)"),"",VLOOKUP($B340,'Email Marketing Raw Data'!$C:$O,4,0)),"")</f>
        <v/>
      </c>
      <c r="H340" s="55" t="str">
        <f>IFERROR(IF(OR($B340="",$B340="(blank)"),"",VLOOKUP($B340,'Email Marketing Raw Data'!$C:$O,5,0)),"")</f>
        <v/>
      </c>
      <c r="I340" s="55" t="str">
        <f>IFERROR(IF($G340="","",VLOOKUP('Dashboard And Emails Automate'!$G340,Database!$H:$N,3,0)),"")</f>
        <v/>
      </c>
      <c r="J340" s="55" t="str">
        <f>IFERROR(IF($G340="","",VLOOKUP('Dashboard And Emails Automate'!$G340,Database!$H:$N,4,0)),"")</f>
        <v/>
      </c>
      <c r="K340" s="55" t="str">
        <f>IFERROR(IF($G340="","",VLOOKUP('Dashboard And Emails Automate'!$G340,Database!$H:$N,5,0)),"")</f>
        <v/>
      </c>
      <c r="L340" s="55" t="str">
        <f>IFERROR(IF($G340="","",VLOOKUP('Dashboard And Emails Automate'!$G340,Database!$H:$N,6,0)),"")</f>
        <v/>
      </c>
      <c r="M340" s="55" t="str">
        <f>IFERROR(IF($G340="","",VLOOKUP('Dashboard And Emails Automate'!$G340,Database!$H:$N,7,0)),"")</f>
        <v/>
      </c>
      <c r="N340" s="55" t="str">
        <f>IFERROR(IF(OR($B340="",$B340="(blank)"),"",VLOOKUP($B340,'Email Marketing Raw Data'!$C:$O,6,0)),"")</f>
        <v/>
      </c>
      <c r="O340" s="55" t="str">
        <f>IFERROR(IF(OR($B340="",$B340="(blank)"),"",VLOOKUP($B340,'Email Marketing Raw Data'!$C:$O,7,0)),"")</f>
        <v/>
      </c>
      <c r="P340" s="55" t="str">
        <f>IFERROR(IF(OR($B340="",$B340="(blank)"),"",VLOOKUP($B340,'Email Marketing Raw Data'!$C:$O,8,0)),"")</f>
        <v/>
      </c>
      <c r="Q340" s="62" t="str">
        <f>IFERROR(IF(OR($B340="",$B340="(blank)"),"",VLOOKUP($B340,'Email Marketing Raw Data'!$C:$O,9,0)),"")</f>
        <v/>
      </c>
    </row>
    <row r="341" spans="4:17" ht="12.75" customHeight="1" x14ac:dyDescent="0.2">
      <c r="D341" s="58" t="str">
        <f>IFERROR(IF(F341&lt;&gt;"pending","",IF(OR($B341="",$B341="(blank)"),"",VLOOKUP($B341,'Email Marketing Raw Data'!$C:$O,10,0))),"")</f>
        <v/>
      </c>
      <c r="E341" s="59" t="str">
        <f>IFERROR(IF(F341&lt;&gt;"pending","",IF(OR($B341="",$B341="(blank)"),"",VLOOKUP($B341,'Email Marketing Raw Data'!$C:$O,11,0))),"")</f>
        <v/>
      </c>
      <c r="F341" s="54" t="str">
        <f>IFERROR(IF(OR($B341="",$B341="(blank)"),"",VLOOKUP($B341,'Email Marketing Raw Data'!$C:$O,13,0)),"")</f>
        <v/>
      </c>
      <c r="G341" s="55" t="str">
        <f>IFERROR(IF(OR($B341="",$B341="(blank)"),"",VLOOKUP($B341,'Email Marketing Raw Data'!$C:$O,4,0)),"")</f>
        <v/>
      </c>
      <c r="H341" s="55" t="str">
        <f>IFERROR(IF(OR($B341="",$B341="(blank)"),"",VLOOKUP($B341,'Email Marketing Raw Data'!$C:$O,5,0)),"")</f>
        <v/>
      </c>
      <c r="I341" s="55" t="str">
        <f>IFERROR(IF($G341="","",VLOOKUP('Dashboard And Emails Automate'!$G341,Database!$H:$N,3,0)),"")</f>
        <v/>
      </c>
      <c r="J341" s="55" t="str">
        <f>IFERROR(IF($G341="","",VLOOKUP('Dashboard And Emails Automate'!$G341,Database!$H:$N,4,0)),"")</f>
        <v/>
      </c>
      <c r="K341" s="55" t="str">
        <f>IFERROR(IF($G341="","",VLOOKUP('Dashboard And Emails Automate'!$G341,Database!$H:$N,5,0)),"")</f>
        <v/>
      </c>
      <c r="L341" s="55" t="str">
        <f>IFERROR(IF($G341="","",VLOOKUP('Dashboard And Emails Automate'!$G341,Database!$H:$N,6,0)),"")</f>
        <v/>
      </c>
      <c r="M341" s="55" t="str">
        <f>IFERROR(IF($G341="","",VLOOKUP('Dashboard And Emails Automate'!$G341,Database!$H:$N,7,0)),"")</f>
        <v/>
      </c>
      <c r="N341" s="55" t="str">
        <f>IFERROR(IF(OR($B341="",$B341="(blank)"),"",VLOOKUP($B341,'Email Marketing Raw Data'!$C:$O,6,0)),"")</f>
        <v/>
      </c>
      <c r="O341" s="55" t="str">
        <f>IFERROR(IF(OR($B341="",$B341="(blank)"),"",VLOOKUP($B341,'Email Marketing Raw Data'!$C:$O,7,0)),"")</f>
        <v/>
      </c>
      <c r="P341" s="55" t="str">
        <f>IFERROR(IF(OR($B341="",$B341="(blank)"),"",VLOOKUP($B341,'Email Marketing Raw Data'!$C:$O,8,0)),"")</f>
        <v/>
      </c>
      <c r="Q341" s="62" t="str">
        <f>IFERROR(IF(OR($B341="",$B341="(blank)"),"",VLOOKUP($B341,'Email Marketing Raw Data'!$C:$O,9,0)),"")</f>
        <v/>
      </c>
    </row>
    <row r="342" spans="4:17" ht="12.75" customHeight="1" x14ac:dyDescent="0.2">
      <c r="D342" s="58" t="str">
        <f>IFERROR(IF(F342&lt;&gt;"pending","",IF(OR($B342="",$B342="(blank)"),"",VLOOKUP($B342,'Email Marketing Raw Data'!$C:$O,10,0))),"")</f>
        <v/>
      </c>
      <c r="E342" s="59" t="str">
        <f>IFERROR(IF(F342&lt;&gt;"pending","",IF(OR($B342="",$B342="(blank)"),"",VLOOKUP($B342,'Email Marketing Raw Data'!$C:$O,11,0))),"")</f>
        <v/>
      </c>
      <c r="F342" s="54" t="str">
        <f>IFERROR(IF(OR($B342="",$B342="(blank)"),"",VLOOKUP($B342,'Email Marketing Raw Data'!$C:$O,13,0)),"")</f>
        <v/>
      </c>
      <c r="G342" s="55" t="str">
        <f>IFERROR(IF(OR($B342="",$B342="(blank)"),"",VLOOKUP($B342,'Email Marketing Raw Data'!$C:$O,4,0)),"")</f>
        <v/>
      </c>
      <c r="H342" s="55" t="str">
        <f>IFERROR(IF(OR($B342="",$B342="(blank)"),"",VLOOKUP($B342,'Email Marketing Raw Data'!$C:$O,5,0)),"")</f>
        <v/>
      </c>
      <c r="I342" s="55" t="str">
        <f>IFERROR(IF($G342="","",VLOOKUP('Dashboard And Emails Automate'!$G342,Database!$H:$N,3,0)),"")</f>
        <v/>
      </c>
      <c r="J342" s="55" t="str">
        <f>IFERROR(IF($G342="","",VLOOKUP('Dashboard And Emails Automate'!$G342,Database!$H:$N,4,0)),"")</f>
        <v/>
      </c>
      <c r="K342" s="55" t="str">
        <f>IFERROR(IF($G342="","",VLOOKUP('Dashboard And Emails Automate'!$G342,Database!$H:$N,5,0)),"")</f>
        <v/>
      </c>
      <c r="L342" s="55" t="str">
        <f>IFERROR(IF($G342="","",VLOOKUP('Dashboard And Emails Automate'!$G342,Database!$H:$N,6,0)),"")</f>
        <v/>
      </c>
      <c r="M342" s="55" t="str">
        <f>IFERROR(IF($G342="","",VLOOKUP('Dashboard And Emails Automate'!$G342,Database!$H:$N,7,0)),"")</f>
        <v/>
      </c>
      <c r="N342" s="55" t="str">
        <f>IFERROR(IF(OR($B342="",$B342="(blank)"),"",VLOOKUP($B342,'Email Marketing Raw Data'!$C:$O,6,0)),"")</f>
        <v/>
      </c>
      <c r="O342" s="55" t="str">
        <f>IFERROR(IF(OR($B342="",$B342="(blank)"),"",VLOOKUP($B342,'Email Marketing Raw Data'!$C:$O,7,0)),"")</f>
        <v/>
      </c>
      <c r="P342" s="55" t="str">
        <f>IFERROR(IF(OR($B342="",$B342="(blank)"),"",VLOOKUP($B342,'Email Marketing Raw Data'!$C:$O,8,0)),"")</f>
        <v/>
      </c>
      <c r="Q342" s="62" t="str">
        <f>IFERROR(IF(OR($B342="",$B342="(blank)"),"",VLOOKUP($B342,'Email Marketing Raw Data'!$C:$O,9,0)),"")</f>
        <v/>
      </c>
    </row>
    <row r="343" spans="4:17" ht="12.75" customHeight="1" x14ac:dyDescent="0.2">
      <c r="D343" s="58" t="str">
        <f>IFERROR(IF(F343&lt;&gt;"pending","",IF(OR($B343="",$B343="(blank)"),"",VLOOKUP($B343,'Email Marketing Raw Data'!$C:$O,10,0))),"")</f>
        <v/>
      </c>
      <c r="E343" s="59" t="str">
        <f>IFERROR(IF(F343&lt;&gt;"pending","",IF(OR($B343="",$B343="(blank)"),"",VLOOKUP($B343,'Email Marketing Raw Data'!$C:$O,11,0))),"")</f>
        <v/>
      </c>
      <c r="F343" s="54" t="str">
        <f>IFERROR(IF(OR($B343="",$B343="(blank)"),"",VLOOKUP($B343,'Email Marketing Raw Data'!$C:$O,13,0)),"")</f>
        <v/>
      </c>
      <c r="G343" s="55" t="str">
        <f>IFERROR(IF(OR($B343="",$B343="(blank)"),"",VLOOKUP($B343,'Email Marketing Raw Data'!$C:$O,4,0)),"")</f>
        <v/>
      </c>
      <c r="H343" s="55" t="str">
        <f>IFERROR(IF(OR($B343="",$B343="(blank)"),"",VLOOKUP($B343,'Email Marketing Raw Data'!$C:$O,5,0)),"")</f>
        <v/>
      </c>
      <c r="I343" s="55" t="str">
        <f>IFERROR(IF($G343="","",VLOOKUP('Dashboard And Emails Automate'!$G343,Database!$H:$N,3,0)),"")</f>
        <v/>
      </c>
      <c r="J343" s="55" t="str">
        <f>IFERROR(IF($G343="","",VLOOKUP('Dashboard And Emails Automate'!$G343,Database!$H:$N,4,0)),"")</f>
        <v/>
      </c>
      <c r="K343" s="55" t="str">
        <f>IFERROR(IF($G343="","",VLOOKUP('Dashboard And Emails Automate'!$G343,Database!$H:$N,5,0)),"")</f>
        <v/>
      </c>
      <c r="L343" s="55" t="str">
        <f>IFERROR(IF($G343="","",VLOOKUP('Dashboard And Emails Automate'!$G343,Database!$H:$N,6,0)),"")</f>
        <v/>
      </c>
      <c r="M343" s="55" t="str">
        <f>IFERROR(IF($G343="","",VLOOKUP('Dashboard And Emails Automate'!$G343,Database!$H:$N,7,0)),"")</f>
        <v/>
      </c>
      <c r="N343" s="55" t="str">
        <f>IFERROR(IF(OR($B343="",$B343="(blank)"),"",VLOOKUP($B343,'Email Marketing Raw Data'!$C:$O,6,0)),"")</f>
        <v/>
      </c>
      <c r="O343" s="55" t="str">
        <f>IFERROR(IF(OR($B343="",$B343="(blank)"),"",VLOOKUP($B343,'Email Marketing Raw Data'!$C:$O,7,0)),"")</f>
        <v/>
      </c>
      <c r="P343" s="55" t="str">
        <f>IFERROR(IF(OR($B343="",$B343="(blank)"),"",VLOOKUP($B343,'Email Marketing Raw Data'!$C:$O,8,0)),"")</f>
        <v/>
      </c>
      <c r="Q343" s="62" t="str">
        <f>IFERROR(IF(OR($B343="",$B343="(blank)"),"",VLOOKUP($B343,'Email Marketing Raw Data'!$C:$O,9,0)),"")</f>
        <v/>
      </c>
    </row>
    <row r="344" spans="4:17" ht="12.75" customHeight="1" x14ac:dyDescent="0.2">
      <c r="D344" s="58" t="str">
        <f>IFERROR(IF(F344&lt;&gt;"pending","",IF(OR($B344="",$B344="(blank)"),"",VLOOKUP($B344,'Email Marketing Raw Data'!$C:$O,10,0))),"")</f>
        <v/>
      </c>
      <c r="E344" s="59" t="str">
        <f>IFERROR(IF(F344&lt;&gt;"pending","",IF(OR($B344="",$B344="(blank)"),"",VLOOKUP($B344,'Email Marketing Raw Data'!$C:$O,11,0))),"")</f>
        <v/>
      </c>
      <c r="F344" s="54" t="str">
        <f>IFERROR(IF(OR($B344="",$B344="(blank)"),"",VLOOKUP($B344,'Email Marketing Raw Data'!$C:$O,13,0)),"")</f>
        <v/>
      </c>
      <c r="G344" s="55" t="str">
        <f>IFERROR(IF(OR($B344="",$B344="(blank)"),"",VLOOKUP($B344,'Email Marketing Raw Data'!$C:$O,4,0)),"")</f>
        <v/>
      </c>
      <c r="H344" s="55" t="str">
        <f>IFERROR(IF(OR($B344="",$B344="(blank)"),"",VLOOKUP($B344,'Email Marketing Raw Data'!$C:$O,5,0)),"")</f>
        <v/>
      </c>
      <c r="I344" s="55" t="str">
        <f>IFERROR(IF($G344="","",VLOOKUP('Dashboard And Emails Automate'!$G344,Database!$H:$N,3,0)),"")</f>
        <v/>
      </c>
      <c r="J344" s="55" t="str">
        <f>IFERROR(IF($G344="","",VLOOKUP('Dashboard And Emails Automate'!$G344,Database!$H:$N,4,0)),"")</f>
        <v/>
      </c>
      <c r="K344" s="55" t="str">
        <f>IFERROR(IF($G344="","",VLOOKUP('Dashboard And Emails Automate'!$G344,Database!$H:$N,5,0)),"")</f>
        <v/>
      </c>
      <c r="L344" s="55" t="str">
        <f>IFERROR(IF($G344="","",VLOOKUP('Dashboard And Emails Automate'!$G344,Database!$H:$N,6,0)),"")</f>
        <v/>
      </c>
      <c r="M344" s="55" t="str">
        <f>IFERROR(IF($G344="","",VLOOKUP('Dashboard And Emails Automate'!$G344,Database!$H:$N,7,0)),"")</f>
        <v/>
      </c>
      <c r="N344" s="55" t="str">
        <f>IFERROR(IF(OR($B344="",$B344="(blank)"),"",VLOOKUP($B344,'Email Marketing Raw Data'!$C:$O,6,0)),"")</f>
        <v/>
      </c>
      <c r="O344" s="55" t="str">
        <f>IFERROR(IF(OR($B344="",$B344="(blank)"),"",VLOOKUP($B344,'Email Marketing Raw Data'!$C:$O,7,0)),"")</f>
        <v/>
      </c>
      <c r="P344" s="55" t="str">
        <f>IFERROR(IF(OR($B344="",$B344="(blank)"),"",VLOOKUP($B344,'Email Marketing Raw Data'!$C:$O,8,0)),"")</f>
        <v/>
      </c>
      <c r="Q344" s="62" t="str">
        <f>IFERROR(IF(OR($B344="",$B344="(blank)"),"",VLOOKUP($B344,'Email Marketing Raw Data'!$C:$O,9,0)),"")</f>
        <v/>
      </c>
    </row>
    <row r="345" spans="4:17" ht="12.75" customHeight="1" x14ac:dyDescent="0.2">
      <c r="D345" s="58" t="str">
        <f>IFERROR(IF(F345&lt;&gt;"pending","",IF(OR($B345="",$B345="(blank)"),"",VLOOKUP($B345,'Email Marketing Raw Data'!$C:$O,10,0))),"")</f>
        <v/>
      </c>
      <c r="E345" s="59" t="str">
        <f>IFERROR(IF(F345&lt;&gt;"pending","",IF(OR($B345="",$B345="(blank)"),"",VLOOKUP($B345,'Email Marketing Raw Data'!$C:$O,11,0))),"")</f>
        <v/>
      </c>
      <c r="F345" s="54" t="str">
        <f>IFERROR(IF(OR($B345="",$B345="(blank)"),"",VLOOKUP($B345,'Email Marketing Raw Data'!$C:$O,13,0)),"")</f>
        <v/>
      </c>
      <c r="G345" s="55" t="str">
        <f>IFERROR(IF(OR($B345="",$B345="(blank)"),"",VLOOKUP($B345,'Email Marketing Raw Data'!$C:$O,4,0)),"")</f>
        <v/>
      </c>
      <c r="H345" s="55" t="str">
        <f>IFERROR(IF(OR($B345="",$B345="(blank)"),"",VLOOKUP($B345,'Email Marketing Raw Data'!$C:$O,5,0)),"")</f>
        <v/>
      </c>
      <c r="I345" s="55" t="str">
        <f>IFERROR(IF($G345="","",VLOOKUP('Dashboard And Emails Automate'!$G345,Database!$H:$N,3,0)),"")</f>
        <v/>
      </c>
      <c r="J345" s="55" t="str">
        <f>IFERROR(IF($G345="","",VLOOKUP('Dashboard And Emails Automate'!$G345,Database!$H:$N,4,0)),"")</f>
        <v/>
      </c>
      <c r="K345" s="55" t="str">
        <f>IFERROR(IF($G345="","",VLOOKUP('Dashboard And Emails Automate'!$G345,Database!$H:$N,5,0)),"")</f>
        <v/>
      </c>
      <c r="L345" s="55" t="str">
        <f>IFERROR(IF($G345="","",VLOOKUP('Dashboard And Emails Automate'!$G345,Database!$H:$N,6,0)),"")</f>
        <v/>
      </c>
      <c r="M345" s="55" t="str">
        <f>IFERROR(IF($G345="","",VLOOKUP('Dashboard And Emails Automate'!$G345,Database!$H:$N,7,0)),"")</f>
        <v/>
      </c>
      <c r="N345" s="55" t="str">
        <f>IFERROR(IF(OR($B345="",$B345="(blank)"),"",VLOOKUP($B345,'Email Marketing Raw Data'!$C:$O,6,0)),"")</f>
        <v/>
      </c>
      <c r="O345" s="55" t="str">
        <f>IFERROR(IF(OR($B345="",$B345="(blank)"),"",VLOOKUP($B345,'Email Marketing Raw Data'!$C:$O,7,0)),"")</f>
        <v/>
      </c>
      <c r="P345" s="55" t="str">
        <f>IFERROR(IF(OR($B345="",$B345="(blank)"),"",VLOOKUP($B345,'Email Marketing Raw Data'!$C:$O,8,0)),"")</f>
        <v/>
      </c>
      <c r="Q345" s="62" t="str">
        <f>IFERROR(IF(OR($B345="",$B345="(blank)"),"",VLOOKUP($B345,'Email Marketing Raw Data'!$C:$O,9,0)),"")</f>
        <v/>
      </c>
    </row>
    <row r="346" spans="4:17" ht="12.75" customHeight="1" x14ac:dyDescent="0.2">
      <c r="D346" s="58" t="str">
        <f>IFERROR(IF(F346&lt;&gt;"pending","",IF(OR($B346="",$B346="(blank)"),"",VLOOKUP($B346,'Email Marketing Raw Data'!$C:$O,10,0))),"")</f>
        <v/>
      </c>
      <c r="E346" s="59" t="str">
        <f>IFERROR(IF(F346&lt;&gt;"pending","",IF(OR($B346="",$B346="(blank)"),"",VLOOKUP($B346,'Email Marketing Raw Data'!$C:$O,11,0))),"")</f>
        <v/>
      </c>
      <c r="F346" s="54" t="str">
        <f>IFERROR(IF(OR($B346="",$B346="(blank)"),"",VLOOKUP($B346,'Email Marketing Raw Data'!$C:$O,13,0)),"")</f>
        <v/>
      </c>
      <c r="G346" s="55" t="str">
        <f>IFERROR(IF(OR($B346="",$B346="(blank)"),"",VLOOKUP($B346,'Email Marketing Raw Data'!$C:$O,4,0)),"")</f>
        <v/>
      </c>
      <c r="H346" s="55" t="str">
        <f>IFERROR(IF(OR($B346="",$B346="(blank)"),"",VLOOKUP($B346,'Email Marketing Raw Data'!$C:$O,5,0)),"")</f>
        <v/>
      </c>
      <c r="I346" s="55" t="str">
        <f>IFERROR(IF($G346="","",VLOOKUP('Dashboard And Emails Automate'!$G346,Database!$H:$N,3,0)),"")</f>
        <v/>
      </c>
      <c r="J346" s="55" t="str">
        <f>IFERROR(IF($G346="","",VLOOKUP('Dashboard And Emails Automate'!$G346,Database!$H:$N,4,0)),"")</f>
        <v/>
      </c>
      <c r="K346" s="55" t="str">
        <f>IFERROR(IF($G346="","",VLOOKUP('Dashboard And Emails Automate'!$G346,Database!$H:$N,5,0)),"")</f>
        <v/>
      </c>
      <c r="L346" s="55" t="str">
        <f>IFERROR(IF($G346="","",VLOOKUP('Dashboard And Emails Automate'!$G346,Database!$H:$N,6,0)),"")</f>
        <v/>
      </c>
      <c r="M346" s="55" t="str">
        <f>IFERROR(IF($G346="","",VLOOKUP('Dashboard And Emails Automate'!$G346,Database!$H:$N,7,0)),"")</f>
        <v/>
      </c>
      <c r="N346" s="55" t="str">
        <f>IFERROR(IF(OR($B346="",$B346="(blank)"),"",VLOOKUP($B346,'Email Marketing Raw Data'!$C:$O,6,0)),"")</f>
        <v/>
      </c>
      <c r="O346" s="55" t="str">
        <f>IFERROR(IF(OR($B346="",$B346="(blank)"),"",VLOOKUP($B346,'Email Marketing Raw Data'!$C:$O,7,0)),"")</f>
        <v/>
      </c>
      <c r="P346" s="55" t="str">
        <f>IFERROR(IF(OR($B346="",$B346="(blank)"),"",VLOOKUP($B346,'Email Marketing Raw Data'!$C:$O,8,0)),"")</f>
        <v/>
      </c>
      <c r="Q346" s="62" t="str">
        <f>IFERROR(IF(OR($B346="",$B346="(blank)"),"",VLOOKUP($B346,'Email Marketing Raw Data'!$C:$O,9,0)),"")</f>
        <v/>
      </c>
    </row>
    <row r="347" spans="4:17" ht="12.75" customHeight="1" x14ac:dyDescent="0.2">
      <c r="D347" s="58" t="str">
        <f>IFERROR(IF(F347&lt;&gt;"pending","",IF(OR($B347="",$B347="(blank)"),"",VLOOKUP($B347,'Email Marketing Raw Data'!$C:$O,10,0))),"")</f>
        <v/>
      </c>
      <c r="E347" s="59" t="str">
        <f>IFERROR(IF(F347&lt;&gt;"pending","",IF(OR($B347="",$B347="(blank)"),"",VLOOKUP($B347,'Email Marketing Raw Data'!$C:$O,11,0))),"")</f>
        <v/>
      </c>
      <c r="F347" s="54" t="str">
        <f>IFERROR(IF(OR($B347="",$B347="(blank)"),"",VLOOKUP($B347,'Email Marketing Raw Data'!$C:$O,13,0)),"")</f>
        <v/>
      </c>
      <c r="G347" s="55" t="str">
        <f>IFERROR(IF(OR($B347="",$B347="(blank)"),"",VLOOKUP($B347,'Email Marketing Raw Data'!$C:$O,4,0)),"")</f>
        <v/>
      </c>
      <c r="H347" s="55" t="str">
        <f>IFERROR(IF(OR($B347="",$B347="(blank)"),"",VLOOKUP($B347,'Email Marketing Raw Data'!$C:$O,5,0)),"")</f>
        <v/>
      </c>
      <c r="I347" s="55" t="str">
        <f>IFERROR(IF($G347="","",VLOOKUP('Dashboard And Emails Automate'!$G347,Database!$H:$N,3,0)),"")</f>
        <v/>
      </c>
      <c r="J347" s="55" t="str">
        <f>IFERROR(IF($G347="","",VLOOKUP('Dashboard And Emails Automate'!$G347,Database!$H:$N,4,0)),"")</f>
        <v/>
      </c>
      <c r="K347" s="55" t="str">
        <f>IFERROR(IF($G347="","",VLOOKUP('Dashboard And Emails Automate'!$G347,Database!$H:$N,5,0)),"")</f>
        <v/>
      </c>
      <c r="L347" s="55" t="str">
        <f>IFERROR(IF($G347="","",VLOOKUP('Dashboard And Emails Automate'!$G347,Database!$H:$N,6,0)),"")</f>
        <v/>
      </c>
      <c r="M347" s="55" t="str">
        <f>IFERROR(IF($G347="","",VLOOKUP('Dashboard And Emails Automate'!$G347,Database!$H:$N,7,0)),"")</f>
        <v/>
      </c>
      <c r="N347" s="55" t="str">
        <f>IFERROR(IF(OR($B347="",$B347="(blank)"),"",VLOOKUP($B347,'Email Marketing Raw Data'!$C:$O,6,0)),"")</f>
        <v/>
      </c>
      <c r="O347" s="55" t="str">
        <f>IFERROR(IF(OR($B347="",$B347="(blank)"),"",VLOOKUP($B347,'Email Marketing Raw Data'!$C:$O,7,0)),"")</f>
        <v/>
      </c>
      <c r="P347" s="55" t="str">
        <f>IFERROR(IF(OR($B347="",$B347="(blank)"),"",VLOOKUP($B347,'Email Marketing Raw Data'!$C:$O,8,0)),"")</f>
        <v/>
      </c>
      <c r="Q347" s="62" t="str">
        <f>IFERROR(IF(OR($B347="",$B347="(blank)"),"",VLOOKUP($B347,'Email Marketing Raw Data'!$C:$O,9,0)),"")</f>
        <v/>
      </c>
    </row>
    <row r="348" spans="4:17" ht="12.75" customHeight="1" x14ac:dyDescent="0.2">
      <c r="D348" s="58" t="str">
        <f>IFERROR(IF(F348&lt;&gt;"pending","",IF(OR($B348="",$B348="(blank)"),"",VLOOKUP($B348,'Email Marketing Raw Data'!$C:$O,10,0))),"")</f>
        <v/>
      </c>
      <c r="E348" s="59" t="str">
        <f>IFERROR(IF(F348&lt;&gt;"pending","",IF(OR($B348="",$B348="(blank)"),"",VLOOKUP($B348,'Email Marketing Raw Data'!$C:$O,11,0))),"")</f>
        <v/>
      </c>
      <c r="F348" s="54" t="str">
        <f>IFERROR(IF(OR($B348="",$B348="(blank)"),"",VLOOKUP($B348,'Email Marketing Raw Data'!$C:$O,13,0)),"")</f>
        <v/>
      </c>
      <c r="G348" s="55" t="str">
        <f>IFERROR(IF(OR($B348="",$B348="(blank)"),"",VLOOKUP($B348,'Email Marketing Raw Data'!$C:$O,4,0)),"")</f>
        <v/>
      </c>
      <c r="H348" s="55" t="str">
        <f>IFERROR(IF(OR($B348="",$B348="(blank)"),"",VLOOKUP($B348,'Email Marketing Raw Data'!$C:$O,5,0)),"")</f>
        <v/>
      </c>
      <c r="I348" s="55" t="str">
        <f>IFERROR(IF($G348="","",VLOOKUP('Dashboard And Emails Automate'!$G348,Database!$H:$N,3,0)),"")</f>
        <v/>
      </c>
      <c r="J348" s="55" t="str">
        <f>IFERROR(IF($G348="","",VLOOKUP('Dashboard And Emails Automate'!$G348,Database!$H:$N,4,0)),"")</f>
        <v/>
      </c>
      <c r="K348" s="55" t="str">
        <f>IFERROR(IF($G348="","",VLOOKUP('Dashboard And Emails Automate'!$G348,Database!$H:$N,5,0)),"")</f>
        <v/>
      </c>
      <c r="L348" s="55" t="str">
        <f>IFERROR(IF($G348="","",VLOOKUP('Dashboard And Emails Automate'!$G348,Database!$H:$N,6,0)),"")</f>
        <v/>
      </c>
      <c r="M348" s="55" t="str">
        <f>IFERROR(IF($G348="","",VLOOKUP('Dashboard And Emails Automate'!$G348,Database!$H:$N,7,0)),"")</f>
        <v/>
      </c>
      <c r="N348" s="55" t="str">
        <f>IFERROR(IF(OR($B348="",$B348="(blank)"),"",VLOOKUP($B348,'Email Marketing Raw Data'!$C:$O,6,0)),"")</f>
        <v/>
      </c>
      <c r="O348" s="55" t="str">
        <f>IFERROR(IF(OR($B348="",$B348="(blank)"),"",VLOOKUP($B348,'Email Marketing Raw Data'!$C:$O,7,0)),"")</f>
        <v/>
      </c>
      <c r="P348" s="55" t="str">
        <f>IFERROR(IF(OR($B348="",$B348="(blank)"),"",VLOOKUP($B348,'Email Marketing Raw Data'!$C:$O,8,0)),"")</f>
        <v/>
      </c>
      <c r="Q348" s="62" t="str">
        <f>IFERROR(IF(OR($B348="",$B348="(blank)"),"",VLOOKUP($B348,'Email Marketing Raw Data'!$C:$O,9,0)),"")</f>
        <v/>
      </c>
    </row>
    <row r="349" spans="4:17" ht="12.75" customHeight="1" x14ac:dyDescent="0.2">
      <c r="D349" s="58" t="str">
        <f>IFERROR(IF(F349&lt;&gt;"pending","",IF(OR($B349="",$B349="(blank)"),"",VLOOKUP($B349,'Email Marketing Raw Data'!$C:$O,10,0))),"")</f>
        <v/>
      </c>
      <c r="E349" s="59" t="str">
        <f>IFERROR(IF(F349&lt;&gt;"pending","",IF(OR($B349="",$B349="(blank)"),"",VLOOKUP($B349,'Email Marketing Raw Data'!$C:$O,11,0))),"")</f>
        <v/>
      </c>
      <c r="F349" s="54" t="str">
        <f>IFERROR(IF(OR($B349="",$B349="(blank)"),"",VLOOKUP($B349,'Email Marketing Raw Data'!$C:$O,13,0)),"")</f>
        <v/>
      </c>
      <c r="G349" s="55" t="str">
        <f>IFERROR(IF(OR($B349="",$B349="(blank)"),"",VLOOKUP($B349,'Email Marketing Raw Data'!$C:$O,4,0)),"")</f>
        <v/>
      </c>
      <c r="H349" s="55" t="str">
        <f>IFERROR(IF(OR($B349="",$B349="(blank)"),"",VLOOKUP($B349,'Email Marketing Raw Data'!$C:$O,5,0)),"")</f>
        <v/>
      </c>
      <c r="I349" s="55" t="str">
        <f>IFERROR(IF($G349="","",VLOOKUP('Dashboard And Emails Automate'!$G349,Database!$H:$N,3,0)),"")</f>
        <v/>
      </c>
      <c r="J349" s="55" t="str">
        <f>IFERROR(IF($G349="","",VLOOKUP('Dashboard And Emails Automate'!$G349,Database!$H:$N,4,0)),"")</f>
        <v/>
      </c>
      <c r="K349" s="55" t="str">
        <f>IFERROR(IF($G349="","",VLOOKUP('Dashboard And Emails Automate'!$G349,Database!$H:$N,5,0)),"")</f>
        <v/>
      </c>
      <c r="L349" s="55" t="str">
        <f>IFERROR(IF($G349="","",VLOOKUP('Dashboard And Emails Automate'!$G349,Database!$H:$N,6,0)),"")</f>
        <v/>
      </c>
      <c r="M349" s="55" t="str">
        <f>IFERROR(IF($G349="","",VLOOKUP('Dashboard And Emails Automate'!$G349,Database!$H:$N,7,0)),"")</f>
        <v/>
      </c>
      <c r="N349" s="55" t="str">
        <f>IFERROR(IF(OR($B349="",$B349="(blank)"),"",VLOOKUP($B349,'Email Marketing Raw Data'!$C:$O,6,0)),"")</f>
        <v/>
      </c>
      <c r="O349" s="55" t="str">
        <f>IFERROR(IF(OR($B349="",$B349="(blank)"),"",VLOOKUP($B349,'Email Marketing Raw Data'!$C:$O,7,0)),"")</f>
        <v/>
      </c>
      <c r="P349" s="55" t="str">
        <f>IFERROR(IF(OR($B349="",$B349="(blank)"),"",VLOOKUP($B349,'Email Marketing Raw Data'!$C:$O,8,0)),"")</f>
        <v/>
      </c>
      <c r="Q349" s="62" t="str">
        <f>IFERROR(IF(OR($B349="",$B349="(blank)"),"",VLOOKUP($B349,'Email Marketing Raw Data'!$C:$O,9,0)),"")</f>
        <v/>
      </c>
    </row>
    <row r="350" spans="4:17" ht="12.75" customHeight="1" x14ac:dyDescent="0.2">
      <c r="D350" s="58" t="str">
        <f>IFERROR(IF(F350&lt;&gt;"pending","",IF(OR($B350="",$B350="(blank)"),"",VLOOKUP($B350,'Email Marketing Raw Data'!$C:$O,10,0))),"")</f>
        <v/>
      </c>
      <c r="E350" s="59" t="str">
        <f>IFERROR(IF(F350&lt;&gt;"pending","",IF(OR($B350="",$B350="(blank)"),"",VLOOKUP($B350,'Email Marketing Raw Data'!$C:$O,11,0))),"")</f>
        <v/>
      </c>
      <c r="F350" s="54" t="str">
        <f>IFERROR(IF(OR($B350="",$B350="(blank)"),"",VLOOKUP($B350,'Email Marketing Raw Data'!$C:$O,13,0)),"")</f>
        <v/>
      </c>
      <c r="G350" s="55" t="str">
        <f>IFERROR(IF(OR($B350="",$B350="(blank)"),"",VLOOKUP($B350,'Email Marketing Raw Data'!$C:$O,4,0)),"")</f>
        <v/>
      </c>
      <c r="H350" s="55" t="str">
        <f>IFERROR(IF(OR($B350="",$B350="(blank)"),"",VLOOKUP($B350,'Email Marketing Raw Data'!$C:$O,5,0)),"")</f>
        <v/>
      </c>
      <c r="I350" s="55" t="str">
        <f>IFERROR(IF($G350="","",VLOOKUP('Dashboard And Emails Automate'!$G350,Database!$H:$N,3,0)),"")</f>
        <v/>
      </c>
      <c r="J350" s="55" t="str">
        <f>IFERROR(IF($G350="","",VLOOKUP('Dashboard And Emails Automate'!$G350,Database!$H:$N,4,0)),"")</f>
        <v/>
      </c>
      <c r="K350" s="55" t="str">
        <f>IFERROR(IF($G350="","",VLOOKUP('Dashboard And Emails Automate'!$G350,Database!$H:$N,5,0)),"")</f>
        <v/>
      </c>
      <c r="L350" s="55" t="str">
        <f>IFERROR(IF($G350="","",VLOOKUP('Dashboard And Emails Automate'!$G350,Database!$H:$N,6,0)),"")</f>
        <v/>
      </c>
      <c r="M350" s="55" t="str">
        <f>IFERROR(IF($G350="","",VLOOKUP('Dashboard And Emails Automate'!$G350,Database!$H:$N,7,0)),"")</f>
        <v/>
      </c>
      <c r="N350" s="55" t="str">
        <f>IFERROR(IF(OR($B350="",$B350="(blank)"),"",VLOOKUP($B350,'Email Marketing Raw Data'!$C:$O,6,0)),"")</f>
        <v/>
      </c>
      <c r="O350" s="55" t="str">
        <f>IFERROR(IF(OR($B350="",$B350="(blank)"),"",VLOOKUP($B350,'Email Marketing Raw Data'!$C:$O,7,0)),"")</f>
        <v/>
      </c>
      <c r="P350" s="55" t="str">
        <f>IFERROR(IF(OR($B350="",$B350="(blank)"),"",VLOOKUP($B350,'Email Marketing Raw Data'!$C:$O,8,0)),"")</f>
        <v/>
      </c>
      <c r="Q350" s="62" t="str">
        <f>IFERROR(IF(OR($B350="",$B350="(blank)"),"",VLOOKUP($B350,'Email Marketing Raw Data'!$C:$O,9,0)),"")</f>
        <v/>
      </c>
    </row>
    <row r="351" spans="4:17" ht="12.75" customHeight="1" x14ac:dyDescent="0.2">
      <c r="D351" s="58" t="str">
        <f>IFERROR(IF(F351&lt;&gt;"pending","",IF(OR($B351="",$B351="(blank)"),"",VLOOKUP($B351,'Email Marketing Raw Data'!$C:$O,10,0))),"")</f>
        <v/>
      </c>
      <c r="E351" s="59" t="str">
        <f>IFERROR(IF(F351&lt;&gt;"pending","",IF(OR($B351="",$B351="(blank)"),"",VLOOKUP($B351,'Email Marketing Raw Data'!$C:$O,11,0))),"")</f>
        <v/>
      </c>
      <c r="F351" s="54" t="str">
        <f>IFERROR(IF(OR($B351="",$B351="(blank)"),"",VLOOKUP($B351,'Email Marketing Raw Data'!$C:$O,13,0)),"")</f>
        <v/>
      </c>
      <c r="G351" s="55" t="str">
        <f>IFERROR(IF(OR($B351="",$B351="(blank)"),"",VLOOKUP($B351,'Email Marketing Raw Data'!$C:$O,4,0)),"")</f>
        <v/>
      </c>
      <c r="H351" s="55" t="str">
        <f>IFERROR(IF(OR($B351="",$B351="(blank)"),"",VLOOKUP($B351,'Email Marketing Raw Data'!$C:$O,5,0)),"")</f>
        <v/>
      </c>
      <c r="I351" s="55" t="str">
        <f>IFERROR(IF($G351="","",VLOOKUP('Dashboard And Emails Automate'!$G351,Database!$H:$N,3,0)),"")</f>
        <v/>
      </c>
      <c r="J351" s="55" t="str">
        <f>IFERROR(IF($G351="","",VLOOKUP('Dashboard And Emails Automate'!$G351,Database!$H:$N,4,0)),"")</f>
        <v/>
      </c>
      <c r="K351" s="55" t="str">
        <f>IFERROR(IF($G351="","",VLOOKUP('Dashboard And Emails Automate'!$G351,Database!$H:$N,5,0)),"")</f>
        <v/>
      </c>
      <c r="L351" s="55" t="str">
        <f>IFERROR(IF($G351="","",VLOOKUP('Dashboard And Emails Automate'!$G351,Database!$H:$N,6,0)),"")</f>
        <v/>
      </c>
      <c r="M351" s="55" t="str">
        <f>IFERROR(IF($G351="","",VLOOKUP('Dashboard And Emails Automate'!$G351,Database!$H:$N,7,0)),"")</f>
        <v/>
      </c>
      <c r="N351" s="55" t="str">
        <f>IFERROR(IF(OR($B351="",$B351="(blank)"),"",VLOOKUP($B351,'Email Marketing Raw Data'!$C:$O,6,0)),"")</f>
        <v/>
      </c>
      <c r="O351" s="55" t="str">
        <f>IFERROR(IF(OR($B351="",$B351="(blank)"),"",VLOOKUP($B351,'Email Marketing Raw Data'!$C:$O,7,0)),"")</f>
        <v/>
      </c>
      <c r="P351" s="55" t="str">
        <f>IFERROR(IF(OR($B351="",$B351="(blank)"),"",VLOOKUP($B351,'Email Marketing Raw Data'!$C:$O,8,0)),"")</f>
        <v/>
      </c>
      <c r="Q351" s="62" t="str">
        <f>IFERROR(IF(OR($B351="",$B351="(blank)"),"",VLOOKUP($B351,'Email Marketing Raw Data'!$C:$O,9,0)),"")</f>
        <v/>
      </c>
    </row>
    <row r="352" spans="4:17" ht="12.75" customHeight="1" x14ac:dyDescent="0.2">
      <c r="D352" s="58" t="str">
        <f>IFERROR(IF(F352&lt;&gt;"pending","",IF(OR($B352="",$B352="(blank)"),"",VLOOKUP($B352,'Email Marketing Raw Data'!$C:$O,10,0))),"")</f>
        <v/>
      </c>
      <c r="E352" s="59" t="str">
        <f>IFERROR(IF(F352&lt;&gt;"pending","",IF(OR($B352="",$B352="(blank)"),"",VLOOKUP($B352,'Email Marketing Raw Data'!$C:$O,11,0))),"")</f>
        <v/>
      </c>
      <c r="F352" s="54" t="str">
        <f>IFERROR(IF(OR($B352="",$B352="(blank)"),"",VLOOKUP($B352,'Email Marketing Raw Data'!$C:$O,13,0)),"")</f>
        <v/>
      </c>
      <c r="G352" s="55" t="str">
        <f>IFERROR(IF(OR($B352="",$B352="(blank)"),"",VLOOKUP($B352,'Email Marketing Raw Data'!$C:$O,4,0)),"")</f>
        <v/>
      </c>
      <c r="H352" s="55" t="str">
        <f>IFERROR(IF(OR($B352="",$B352="(blank)"),"",VLOOKUP($B352,'Email Marketing Raw Data'!$C:$O,5,0)),"")</f>
        <v/>
      </c>
      <c r="I352" s="55" t="str">
        <f>IFERROR(IF($G352="","",VLOOKUP('Dashboard And Emails Automate'!$G352,Database!$H:$N,3,0)),"")</f>
        <v/>
      </c>
      <c r="J352" s="55" t="str">
        <f>IFERROR(IF($G352="","",VLOOKUP('Dashboard And Emails Automate'!$G352,Database!$H:$N,4,0)),"")</f>
        <v/>
      </c>
      <c r="K352" s="55" t="str">
        <f>IFERROR(IF($G352="","",VLOOKUP('Dashboard And Emails Automate'!$G352,Database!$H:$N,5,0)),"")</f>
        <v/>
      </c>
      <c r="L352" s="55" t="str">
        <f>IFERROR(IF($G352="","",VLOOKUP('Dashboard And Emails Automate'!$G352,Database!$H:$N,6,0)),"")</f>
        <v/>
      </c>
      <c r="M352" s="55" t="str">
        <f>IFERROR(IF($G352="","",VLOOKUP('Dashboard And Emails Automate'!$G352,Database!$H:$N,7,0)),"")</f>
        <v/>
      </c>
      <c r="N352" s="55" t="str">
        <f>IFERROR(IF(OR($B352="",$B352="(blank)"),"",VLOOKUP($B352,'Email Marketing Raw Data'!$C:$O,6,0)),"")</f>
        <v/>
      </c>
      <c r="O352" s="55" t="str">
        <f>IFERROR(IF(OR($B352="",$B352="(blank)"),"",VLOOKUP($B352,'Email Marketing Raw Data'!$C:$O,7,0)),"")</f>
        <v/>
      </c>
      <c r="P352" s="55" t="str">
        <f>IFERROR(IF(OR($B352="",$B352="(blank)"),"",VLOOKUP($B352,'Email Marketing Raw Data'!$C:$O,8,0)),"")</f>
        <v/>
      </c>
      <c r="Q352" s="62" t="str">
        <f>IFERROR(IF(OR($B352="",$B352="(blank)"),"",VLOOKUP($B352,'Email Marketing Raw Data'!$C:$O,9,0)),"")</f>
        <v/>
      </c>
    </row>
    <row r="353" spans="4:17" ht="12.75" customHeight="1" x14ac:dyDescent="0.2">
      <c r="D353" s="58" t="str">
        <f>IFERROR(IF(F353&lt;&gt;"pending","",IF(OR($B353="",$B353="(blank)"),"",VLOOKUP($B353,'Email Marketing Raw Data'!$C:$O,10,0))),"")</f>
        <v/>
      </c>
      <c r="E353" s="59" t="str">
        <f>IFERROR(IF(F353&lt;&gt;"pending","",IF(OR($B353="",$B353="(blank)"),"",VLOOKUP($B353,'Email Marketing Raw Data'!$C:$O,11,0))),"")</f>
        <v/>
      </c>
      <c r="F353" s="54" t="str">
        <f>IFERROR(IF(OR($B353="",$B353="(blank)"),"",VLOOKUP($B353,'Email Marketing Raw Data'!$C:$O,13,0)),"")</f>
        <v/>
      </c>
      <c r="G353" s="55" t="str">
        <f>IFERROR(IF(OR($B353="",$B353="(blank)"),"",VLOOKUP($B353,'Email Marketing Raw Data'!$C:$O,4,0)),"")</f>
        <v/>
      </c>
      <c r="H353" s="55" t="str">
        <f>IFERROR(IF(OR($B353="",$B353="(blank)"),"",VLOOKUP($B353,'Email Marketing Raw Data'!$C:$O,5,0)),"")</f>
        <v/>
      </c>
      <c r="I353" s="55" t="str">
        <f>IFERROR(IF($G353="","",VLOOKUP('Dashboard And Emails Automate'!$G353,Database!$H:$N,3,0)),"")</f>
        <v/>
      </c>
      <c r="J353" s="55" t="str">
        <f>IFERROR(IF($G353="","",VLOOKUP('Dashboard And Emails Automate'!$G353,Database!$H:$N,4,0)),"")</f>
        <v/>
      </c>
      <c r="K353" s="55" t="str">
        <f>IFERROR(IF($G353="","",VLOOKUP('Dashboard And Emails Automate'!$G353,Database!$H:$N,5,0)),"")</f>
        <v/>
      </c>
      <c r="L353" s="55" t="str">
        <f>IFERROR(IF($G353="","",VLOOKUP('Dashboard And Emails Automate'!$G353,Database!$H:$N,6,0)),"")</f>
        <v/>
      </c>
      <c r="M353" s="55" t="str">
        <f>IFERROR(IF($G353="","",VLOOKUP('Dashboard And Emails Automate'!$G353,Database!$H:$N,7,0)),"")</f>
        <v/>
      </c>
      <c r="N353" s="55" t="str">
        <f>IFERROR(IF(OR($B353="",$B353="(blank)"),"",VLOOKUP($B353,'Email Marketing Raw Data'!$C:$O,6,0)),"")</f>
        <v/>
      </c>
      <c r="O353" s="55" t="str">
        <f>IFERROR(IF(OR($B353="",$B353="(blank)"),"",VLOOKUP($B353,'Email Marketing Raw Data'!$C:$O,7,0)),"")</f>
        <v/>
      </c>
      <c r="P353" s="55" t="str">
        <f>IFERROR(IF(OR($B353="",$B353="(blank)"),"",VLOOKUP($B353,'Email Marketing Raw Data'!$C:$O,8,0)),"")</f>
        <v/>
      </c>
      <c r="Q353" s="62" t="str">
        <f>IFERROR(IF(OR($B353="",$B353="(blank)"),"",VLOOKUP($B353,'Email Marketing Raw Data'!$C:$O,9,0)),"")</f>
        <v/>
      </c>
    </row>
    <row r="354" spans="4:17" ht="12.75" customHeight="1" x14ac:dyDescent="0.2">
      <c r="D354" s="58" t="str">
        <f>IFERROR(IF(F354&lt;&gt;"pending","",IF(OR($B354="",$B354="(blank)"),"",VLOOKUP($B354,'Email Marketing Raw Data'!$C:$O,10,0))),"")</f>
        <v/>
      </c>
      <c r="E354" s="59" t="str">
        <f>IFERROR(IF(F354&lt;&gt;"pending","",IF(OR($B354="",$B354="(blank)"),"",VLOOKUP($B354,'Email Marketing Raw Data'!$C:$O,11,0))),"")</f>
        <v/>
      </c>
      <c r="F354" s="54" t="str">
        <f>IFERROR(IF(OR($B354="",$B354="(blank)"),"",VLOOKUP($B354,'Email Marketing Raw Data'!$C:$O,13,0)),"")</f>
        <v/>
      </c>
      <c r="G354" s="55" t="str">
        <f>IFERROR(IF(OR($B354="",$B354="(blank)"),"",VLOOKUP($B354,'Email Marketing Raw Data'!$C:$O,4,0)),"")</f>
        <v/>
      </c>
      <c r="H354" s="55" t="str">
        <f>IFERROR(IF(OR($B354="",$B354="(blank)"),"",VLOOKUP($B354,'Email Marketing Raw Data'!$C:$O,5,0)),"")</f>
        <v/>
      </c>
      <c r="I354" s="55" t="str">
        <f>IFERROR(IF($G354="","",VLOOKUP('Dashboard And Emails Automate'!$G354,Database!$H:$N,3,0)),"")</f>
        <v/>
      </c>
      <c r="J354" s="55" t="str">
        <f>IFERROR(IF($G354="","",VLOOKUP('Dashboard And Emails Automate'!$G354,Database!$H:$N,4,0)),"")</f>
        <v/>
      </c>
      <c r="K354" s="55" t="str">
        <f>IFERROR(IF($G354="","",VLOOKUP('Dashboard And Emails Automate'!$G354,Database!$H:$N,5,0)),"")</f>
        <v/>
      </c>
      <c r="L354" s="55" t="str">
        <f>IFERROR(IF($G354="","",VLOOKUP('Dashboard And Emails Automate'!$G354,Database!$H:$N,6,0)),"")</f>
        <v/>
      </c>
      <c r="M354" s="55" t="str">
        <f>IFERROR(IF($G354="","",VLOOKUP('Dashboard And Emails Automate'!$G354,Database!$H:$N,7,0)),"")</f>
        <v/>
      </c>
      <c r="N354" s="55" t="str">
        <f>IFERROR(IF(OR($B354="",$B354="(blank)"),"",VLOOKUP($B354,'Email Marketing Raw Data'!$C:$O,6,0)),"")</f>
        <v/>
      </c>
      <c r="O354" s="55" t="str">
        <f>IFERROR(IF(OR($B354="",$B354="(blank)"),"",VLOOKUP($B354,'Email Marketing Raw Data'!$C:$O,7,0)),"")</f>
        <v/>
      </c>
      <c r="P354" s="55" t="str">
        <f>IFERROR(IF(OR($B354="",$B354="(blank)"),"",VLOOKUP($B354,'Email Marketing Raw Data'!$C:$O,8,0)),"")</f>
        <v/>
      </c>
      <c r="Q354" s="62" t="str">
        <f>IFERROR(IF(OR($B354="",$B354="(blank)"),"",VLOOKUP($B354,'Email Marketing Raw Data'!$C:$O,9,0)),"")</f>
        <v/>
      </c>
    </row>
    <row r="355" spans="4:17" ht="12.75" customHeight="1" x14ac:dyDescent="0.2">
      <c r="D355" s="58" t="str">
        <f>IFERROR(IF(F355&lt;&gt;"pending","",IF(OR($B355="",$B355="(blank)"),"",VLOOKUP($B355,'Email Marketing Raw Data'!$C:$O,10,0))),"")</f>
        <v/>
      </c>
      <c r="E355" s="59" t="str">
        <f>IFERROR(IF(F355&lt;&gt;"pending","",IF(OR($B355="",$B355="(blank)"),"",VLOOKUP($B355,'Email Marketing Raw Data'!$C:$O,11,0))),"")</f>
        <v/>
      </c>
      <c r="F355" s="54" t="str">
        <f>IFERROR(IF(OR($B355="",$B355="(blank)"),"",VLOOKUP($B355,'Email Marketing Raw Data'!$C:$O,13,0)),"")</f>
        <v/>
      </c>
      <c r="G355" s="55" t="str">
        <f>IFERROR(IF(OR($B355="",$B355="(blank)"),"",VLOOKUP($B355,'Email Marketing Raw Data'!$C:$O,4,0)),"")</f>
        <v/>
      </c>
      <c r="H355" s="55" t="str">
        <f>IFERROR(IF(OR($B355="",$B355="(blank)"),"",VLOOKUP($B355,'Email Marketing Raw Data'!$C:$O,5,0)),"")</f>
        <v/>
      </c>
      <c r="I355" s="55" t="str">
        <f>IFERROR(IF($G355="","",VLOOKUP('Dashboard And Emails Automate'!$G355,Database!$H:$N,3,0)),"")</f>
        <v/>
      </c>
      <c r="J355" s="55" t="str">
        <f>IFERROR(IF($G355="","",VLOOKUP('Dashboard And Emails Automate'!$G355,Database!$H:$N,4,0)),"")</f>
        <v/>
      </c>
      <c r="K355" s="55" t="str">
        <f>IFERROR(IF($G355="","",VLOOKUP('Dashboard And Emails Automate'!$G355,Database!$H:$N,5,0)),"")</f>
        <v/>
      </c>
      <c r="L355" s="55" t="str">
        <f>IFERROR(IF($G355="","",VLOOKUP('Dashboard And Emails Automate'!$G355,Database!$H:$N,6,0)),"")</f>
        <v/>
      </c>
      <c r="M355" s="55" t="str">
        <f>IFERROR(IF($G355="","",VLOOKUP('Dashboard And Emails Automate'!$G355,Database!$H:$N,7,0)),"")</f>
        <v/>
      </c>
      <c r="N355" s="55" t="str">
        <f>IFERROR(IF(OR($B355="",$B355="(blank)"),"",VLOOKUP($B355,'Email Marketing Raw Data'!$C:$O,6,0)),"")</f>
        <v/>
      </c>
      <c r="O355" s="55" t="str">
        <f>IFERROR(IF(OR($B355="",$B355="(blank)"),"",VLOOKUP($B355,'Email Marketing Raw Data'!$C:$O,7,0)),"")</f>
        <v/>
      </c>
      <c r="P355" s="55" t="str">
        <f>IFERROR(IF(OR($B355="",$B355="(blank)"),"",VLOOKUP($B355,'Email Marketing Raw Data'!$C:$O,8,0)),"")</f>
        <v/>
      </c>
      <c r="Q355" s="62" t="str">
        <f>IFERROR(IF(OR($B355="",$B355="(blank)"),"",VLOOKUP($B355,'Email Marketing Raw Data'!$C:$O,9,0)),"")</f>
        <v/>
      </c>
    </row>
    <row r="356" spans="4:17" ht="12.75" customHeight="1" x14ac:dyDescent="0.2">
      <c r="D356" s="58" t="str">
        <f>IFERROR(IF(F356&lt;&gt;"pending","",IF(OR($B356="",$B356="(blank)"),"",VLOOKUP($B356,'Email Marketing Raw Data'!$C:$O,10,0))),"")</f>
        <v/>
      </c>
      <c r="E356" s="59" t="str">
        <f>IFERROR(IF(F356&lt;&gt;"pending","",IF(OR($B356="",$B356="(blank)"),"",VLOOKUP($B356,'Email Marketing Raw Data'!$C:$O,11,0))),"")</f>
        <v/>
      </c>
      <c r="F356" s="54" t="str">
        <f>IFERROR(IF(OR($B356="",$B356="(blank)"),"",VLOOKUP($B356,'Email Marketing Raw Data'!$C:$O,13,0)),"")</f>
        <v/>
      </c>
      <c r="G356" s="55" t="str">
        <f>IFERROR(IF(OR($B356="",$B356="(blank)"),"",VLOOKUP($B356,'Email Marketing Raw Data'!$C:$O,4,0)),"")</f>
        <v/>
      </c>
      <c r="H356" s="55" t="str">
        <f>IFERROR(IF(OR($B356="",$B356="(blank)"),"",VLOOKUP($B356,'Email Marketing Raw Data'!$C:$O,5,0)),"")</f>
        <v/>
      </c>
      <c r="I356" s="55" t="str">
        <f>IFERROR(IF($G356="","",VLOOKUP('Dashboard And Emails Automate'!$G356,Database!$H:$N,3,0)),"")</f>
        <v/>
      </c>
      <c r="J356" s="55" t="str">
        <f>IFERROR(IF($G356="","",VLOOKUP('Dashboard And Emails Automate'!$G356,Database!$H:$N,4,0)),"")</f>
        <v/>
      </c>
      <c r="K356" s="55" t="str">
        <f>IFERROR(IF($G356="","",VLOOKUP('Dashboard And Emails Automate'!$G356,Database!$H:$N,5,0)),"")</f>
        <v/>
      </c>
      <c r="L356" s="55" t="str">
        <f>IFERROR(IF($G356="","",VLOOKUP('Dashboard And Emails Automate'!$G356,Database!$H:$N,6,0)),"")</f>
        <v/>
      </c>
      <c r="M356" s="55" t="str">
        <f>IFERROR(IF($G356="","",VLOOKUP('Dashboard And Emails Automate'!$G356,Database!$H:$N,7,0)),"")</f>
        <v/>
      </c>
      <c r="N356" s="55" t="str">
        <f>IFERROR(IF(OR($B356="",$B356="(blank)"),"",VLOOKUP($B356,'Email Marketing Raw Data'!$C:$O,6,0)),"")</f>
        <v/>
      </c>
      <c r="O356" s="55" t="str">
        <f>IFERROR(IF(OR($B356="",$B356="(blank)"),"",VLOOKUP($B356,'Email Marketing Raw Data'!$C:$O,7,0)),"")</f>
        <v/>
      </c>
      <c r="P356" s="55" t="str">
        <f>IFERROR(IF(OR($B356="",$B356="(blank)"),"",VLOOKUP($B356,'Email Marketing Raw Data'!$C:$O,8,0)),"")</f>
        <v/>
      </c>
      <c r="Q356" s="62" t="str">
        <f>IFERROR(IF(OR($B356="",$B356="(blank)"),"",VLOOKUP($B356,'Email Marketing Raw Data'!$C:$O,9,0)),"")</f>
        <v/>
      </c>
    </row>
    <row r="357" spans="4:17" ht="12.75" customHeight="1" x14ac:dyDescent="0.2">
      <c r="D357" s="58" t="str">
        <f>IFERROR(IF(F357&lt;&gt;"pending","",IF(OR($B357="",$B357="(blank)"),"",VLOOKUP($B357,'Email Marketing Raw Data'!$C:$O,10,0))),"")</f>
        <v/>
      </c>
      <c r="E357" s="59" t="str">
        <f>IFERROR(IF(F357&lt;&gt;"pending","",IF(OR($B357="",$B357="(blank)"),"",VLOOKUP($B357,'Email Marketing Raw Data'!$C:$O,11,0))),"")</f>
        <v/>
      </c>
      <c r="F357" s="54" t="str">
        <f>IFERROR(IF(OR($B357="",$B357="(blank)"),"",VLOOKUP($B357,'Email Marketing Raw Data'!$C:$O,13,0)),"")</f>
        <v/>
      </c>
      <c r="G357" s="55" t="str">
        <f>IFERROR(IF(OR($B357="",$B357="(blank)"),"",VLOOKUP($B357,'Email Marketing Raw Data'!$C:$O,4,0)),"")</f>
        <v/>
      </c>
      <c r="H357" s="55" t="str">
        <f>IFERROR(IF(OR($B357="",$B357="(blank)"),"",VLOOKUP($B357,'Email Marketing Raw Data'!$C:$O,5,0)),"")</f>
        <v/>
      </c>
      <c r="I357" s="55" t="str">
        <f>IFERROR(IF($G357="","",VLOOKUP('Dashboard And Emails Automate'!$G357,Database!$H:$N,3,0)),"")</f>
        <v/>
      </c>
      <c r="J357" s="55" t="str">
        <f>IFERROR(IF($G357="","",VLOOKUP('Dashboard And Emails Automate'!$G357,Database!$H:$N,4,0)),"")</f>
        <v/>
      </c>
      <c r="K357" s="55" t="str">
        <f>IFERROR(IF($G357="","",VLOOKUP('Dashboard And Emails Automate'!$G357,Database!$H:$N,5,0)),"")</f>
        <v/>
      </c>
      <c r="L357" s="55" t="str">
        <f>IFERROR(IF($G357="","",VLOOKUP('Dashboard And Emails Automate'!$G357,Database!$H:$N,6,0)),"")</f>
        <v/>
      </c>
      <c r="M357" s="55" t="str">
        <f>IFERROR(IF($G357="","",VLOOKUP('Dashboard And Emails Automate'!$G357,Database!$H:$N,7,0)),"")</f>
        <v/>
      </c>
      <c r="N357" s="55" t="str">
        <f>IFERROR(IF(OR($B357="",$B357="(blank)"),"",VLOOKUP($B357,'Email Marketing Raw Data'!$C:$O,6,0)),"")</f>
        <v/>
      </c>
      <c r="O357" s="55" t="str">
        <f>IFERROR(IF(OR($B357="",$B357="(blank)"),"",VLOOKUP($B357,'Email Marketing Raw Data'!$C:$O,7,0)),"")</f>
        <v/>
      </c>
      <c r="P357" s="55" t="str">
        <f>IFERROR(IF(OR($B357="",$B357="(blank)"),"",VLOOKUP($B357,'Email Marketing Raw Data'!$C:$O,8,0)),"")</f>
        <v/>
      </c>
      <c r="Q357" s="62" t="str">
        <f>IFERROR(IF(OR($B357="",$B357="(blank)"),"",VLOOKUP($B357,'Email Marketing Raw Data'!$C:$O,9,0)),"")</f>
        <v/>
      </c>
    </row>
    <row r="358" spans="4:17" ht="12.75" customHeight="1" x14ac:dyDescent="0.2">
      <c r="D358" s="58" t="str">
        <f>IFERROR(IF(F358&lt;&gt;"pending","",IF(OR($B358="",$B358="(blank)"),"",VLOOKUP($B358,'Email Marketing Raw Data'!$C:$O,10,0))),"")</f>
        <v/>
      </c>
      <c r="E358" s="59" t="str">
        <f>IFERROR(IF(F358&lt;&gt;"pending","",IF(OR($B358="",$B358="(blank)"),"",VLOOKUP($B358,'Email Marketing Raw Data'!$C:$O,11,0))),"")</f>
        <v/>
      </c>
      <c r="F358" s="54" t="str">
        <f>IFERROR(IF(OR($B358="",$B358="(blank)"),"",VLOOKUP($B358,'Email Marketing Raw Data'!$C:$O,13,0)),"")</f>
        <v/>
      </c>
      <c r="G358" s="55" t="str">
        <f>IFERROR(IF(OR($B358="",$B358="(blank)"),"",VLOOKUP($B358,'Email Marketing Raw Data'!$C:$O,4,0)),"")</f>
        <v/>
      </c>
      <c r="H358" s="55" t="str">
        <f>IFERROR(IF(OR($B358="",$B358="(blank)"),"",VLOOKUP($B358,'Email Marketing Raw Data'!$C:$O,5,0)),"")</f>
        <v/>
      </c>
      <c r="I358" s="55" t="str">
        <f>IFERROR(IF($G358="","",VLOOKUP('Dashboard And Emails Automate'!$G358,Database!$H:$N,3,0)),"")</f>
        <v/>
      </c>
      <c r="J358" s="55" t="str">
        <f>IFERROR(IF($G358="","",VLOOKUP('Dashboard And Emails Automate'!$G358,Database!$H:$N,4,0)),"")</f>
        <v/>
      </c>
      <c r="K358" s="55" t="str">
        <f>IFERROR(IF($G358="","",VLOOKUP('Dashboard And Emails Automate'!$G358,Database!$H:$N,5,0)),"")</f>
        <v/>
      </c>
      <c r="L358" s="55" t="str">
        <f>IFERROR(IF($G358="","",VLOOKUP('Dashboard And Emails Automate'!$G358,Database!$H:$N,6,0)),"")</f>
        <v/>
      </c>
      <c r="M358" s="55" t="str">
        <f>IFERROR(IF($G358="","",VLOOKUP('Dashboard And Emails Automate'!$G358,Database!$H:$N,7,0)),"")</f>
        <v/>
      </c>
      <c r="N358" s="55" t="str">
        <f>IFERROR(IF(OR($B358="",$B358="(blank)"),"",VLOOKUP($B358,'Email Marketing Raw Data'!$C:$O,6,0)),"")</f>
        <v/>
      </c>
      <c r="O358" s="55" t="str">
        <f>IFERROR(IF(OR($B358="",$B358="(blank)"),"",VLOOKUP($B358,'Email Marketing Raw Data'!$C:$O,7,0)),"")</f>
        <v/>
      </c>
      <c r="P358" s="55" t="str">
        <f>IFERROR(IF(OR($B358="",$B358="(blank)"),"",VLOOKUP($B358,'Email Marketing Raw Data'!$C:$O,8,0)),"")</f>
        <v/>
      </c>
      <c r="Q358" s="62" t="str">
        <f>IFERROR(IF(OR($B358="",$B358="(blank)"),"",VLOOKUP($B358,'Email Marketing Raw Data'!$C:$O,9,0)),"")</f>
        <v/>
      </c>
    </row>
    <row r="359" spans="4:17" ht="12.75" customHeight="1" x14ac:dyDescent="0.2">
      <c r="D359" s="58" t="str">
        <f>IFERROR(IF(F359&lt;&gt;"pending","",IF(OR($B359="",$B359="(blank)"),"",VLOOKUP($B359,'Email Marketing Raw Data'!$C:$O,10,0))),"")</f>
        <v/>
      </c>
      <c r="E359" s="59" t="str">
        <f>IFERROR(IF(F359&lt;&gt;"pending","",IF(OR($B359="",$B359="(blank)"),"",VLOOKUP($B359,'Email Marketing Raw Data'!$C:$O,11,0))),"")</f>
        <v/>
      </c>
      <c r="F359" s="54" t="str">
        <f>IFERROR(IF(OR($B359="",$B359="(blank)"),"",VLOOKUP($B359,'Email Marketing Raw Data'!$C:$O,13,0)),"")</f>
        <v/>
      </c>
      <c r="G359" s="55" t="str">
        <f>IFERROR(IF(OR($B359="",$B359="(blank)"),"",VLOOKUP($B359,'Email Marketing Raw Data'!$C:$O,4,0)),"")</f>
        <v/>
      </c>
      <c r="H359" s="55" t="str">
        <f>IFERROR(IF(OR($B359="",$B359="(blank)"),"",VLOOKUP($B359,'Email Marketing Raw Data'!$C:$O,5,0)),"")</f>
        <v/>
      </c>
      <c r="I359" s="55" t="str">
        <f>IFERROR(IF($G359="","",VLOOKUP('Dashboard And Emails Automate'!$G359,Database!$H:$N,3,0)),"")</f>
        <v/>
      </c>
      <c r="J359" s="55" t="str">
        <f>IFERROR(IF($G359="","",VLOOKUP('Dashboard And Emails Automate'!$G359,Database!$H:$N,4,0)),"")</f>
        <v/>
      </c>
      <c r="K359" s="55" t="str">
        <f>IFERROR(IF($G359="","",VLOOKUP('Dashboard And Emails Automate'!$G359,Database!$H:$N,5,0)),"")</f>
        <v/>
      </c>
      <c r="L359" s="55" t="str">
        <f>IFERROR(IF($G359="","",VLOOKUP('Dashboard And Emails Automate'!$G359,Database!$H:$N,6,0)),"")</f>
        <v/>
      </c>
      <c r="M359" s="55" t="str">
        <f>IFERROR(IF($G359="","",VLOOKUP('Dashboard And Emails Automate'!$G359,Database!$H:$N,7,0)),"")</f>
        <v/>
      </c>
      <c r="N359" s="55" t="str">
        <f>IFERROR(IF(OR($B359="",$B359="(blank)"),"",VLOOKUP($B359,'Email Marketing Raw Data'!$C:$O,6,0)),"")</f>
        <v/>
      </c>
      <c r="O359" s="55" t="str">
        <f>IFERROR(IF(OR($B359="",$B359="(blank)"),"",VLOOKUP($B359,'Email Marketing Raw Data'!$C:$O,7,0)),"")</f>
        <v/>
      </c>
      <c r="P359" s="55" t="str">
        <f>IFERROR(IF(OR($B359="",$B359="(blank)"),"",VLOOKUP($B359,'Email Marketing Raw Data'!$C:$O,8,0)),"")</f>
        <v/>
      </c>
      <c r="Q359" s="62" t="str">
        <f>IFERROR(IF(OR($B359="",$B359="(blank)"),"",VLOOKUP($B359,'Email Marketing Raw Data'!$C:$O,9,0)),"")</f>
        <v/>
      </c>
    </row>
    <row r="360" spans="4:17" ht="12.75" customHeight="1" x14ac:dyDescent="0.2">
      <c r="D360" s="58" t="str">
        <f>IFERROR(IF(F360&lt;&gt;"pending","",IF(OR($B360="",$B360="(blank)"),"",VLOOKUP($B360,'Email Marketing Raw Data'!$C:$O,10,0))),"")</f>
        <v/>
      </c>
      <c r="E360" s="59" t="str">
        <f>IFERROR(IF(F360&lt;&gt;"pending","",IF(OR($B360="",$B360="(blank)"),"",VLOOKUP($B360,'Email Marketing Raw Data'!$C:$O,11,0))),"")</f>
        <v/>
      </c>
      <c r="F360" s="54" t="str">
        <f>IFERROR(IF(OR($B360="",$B360="(blank)"),"",VLOOKUP($B360,'Email Marketing Raw Data'!$C:$O,13,0)),"")</f>
        <v/>
      </c>
      <c r="G360" s="55" t="str">
        <f>IFERROR(IF(OR($B360="",$B360="(blank)"),"",VLOOKUP($B360,'Email Marketing Raw Data'!$C:$O,4,0)),"")</f>
        <v/>
      </c>
      <c r="H360" s="55" t="str">
        <f>IFERROR(IF(OR($B360="",$B360="(blank)"),"",VLOOKUP($B360,'Email Marketing Raw Data'!$C:$O,5,0)),"")</f>
        <v/>
      </c>
      <c r="I360" s="55" t="str">
        <f>IFERROR(IF($G360="","",VLOOKUP('Dashboard And Emails Automate'!$G360,Database!$H:$N,3,0)),"")</f>
        <v/>
      </c>
      <c r="J360" s="55" t="str">
        <f>IFERROR(IF($G360="","",VLOOKUP('Dashboard And Emails Automate'!$G360,Database!$H:$N,4,0)),"")</f>
        <v/>
      </c>
      <c r="K360" s="55" t="str">
        <f>IFERROR(IF($G360="","",VLOOKUP('Dashboard And Emails Automate'!$G360,Database!$H:$N,5,0)),"")</f>
        <v/>
      </c>
      <c r="L360" s="55" t="str">
        <f>IFERROR(IF($G360="","",VLOOKUP('Dashboard And Emails Automate'!$G360,Database!$H:$N,6,0)),"")</f>
        <v/>
      </c>
      <c r="M360" s="55" t="str">
        <f>IFERROR(IF($G360="","",VLOOKUP('Dashboard And Emails Automate'!$G360,Database!$H:$N,7,0)),"")</f>
        <v/>
      </c>
      <c r="N360" s="55" t="str">
        <f>IFERROR(IF(OR($B360="",$B360="(blank)"),"",VLOOKUP($B360,'Email Marketing Raw Data'!$C:$O,6,0)),"")</f>
        <v/>
      </c>
      <c r="O360" s="55" t="str">
        <f>IFERROR(IF(OR($B360="",$B360="(blank)"),"",VLOOKUP($B360,'Email Marketing Raw Data'!$C:$O,7,0)),"")</f>
        <v/>
      </c>
      <c r="P360" s="55" t="str">
        <f>IFERROR(IF(OR($B360="",$B360="(blank)"),"",VLOOKUP($B360,'Email Marketing Raw Data'!$C:$O,8,0)),"")</f>
        <v/>
      </c>
      <c r="Q360" s="62" t="str">
        <f>IFERROR(IF(OR($B360="",$B360="(blank)"),"",VLOOKUP($B360,'Email Marketing Raw Data'!$C:$O,9,0)),"")</f>
        <v/>
      </c>
    </row>
    <row r="361" spans="4:17" ht="12.75" customHeight="1" x14ac:dyDescent="0.2">
      <c r="D361" s="58" t="str">
        <f>IFERROR(IF(F361&lt;&gt;"pending","",IF(OR($B361="",$B361="(blank)"),"",VLOOKUP($B361,'Email Marketing Raw Data'!$C:$O,10,0))),"")</f>
        <v/>
      </c>
      <c r="E361" s="59" t="str">
        <f>IFERROR(IF(F361&lt;&gt;"pending","",IF(OR($B361="",$B361="(blank)"),"",VLOOKUP($B361,'Email Marketing Raw Data'!$C:$O,11,0))),"")</f>
        <v/>
      </c>
      <c r="F361" s="54" t="str">
        <f>IFERROR(IF(OR($B361="",$B361="(blank)"),"",VLOOKUP($B361,'Email Marketing Raw Data'!$C:$O,13,0)),"")</f>
        <v/>
      </c>
      <c r="G361" s="55" t="str">
        <f>IFERROR(IF(OR($B361="",$B361="(blank)"),"",VLOOKUP($B361,'Email Marketing Raw Data'!$C:$O,4,0)),"")</f>
        <v/>
      </c>
      <c r="H361" s="55" t="str">
        <f>IFERROR(IF(OR($B361="",$B361="(blank)"),"",VLOOKUP($B361,'Email Marketing Raw Data'!$C:$O,5,0)),"")</f>
        <v/>
      </c>
      <c r="I361" s="55" t="str">
        <f>IFERROR(IF($G361="","",VLOOKUP('Dashboard And Emails Automate'!$G361,Database!$H:$N,3,0)),"")</f>
        <v/>
      </c>
      <c r="J361" s="55" t="str">
        <f>IFERROR(IF($G361="","",VLOOKUP('Dashboard And Emails Automate'!$G361,Database!$H:$N,4,0)),"")</f>
        <v/>
      </c>
      <c r="K361" s="55" t="str">
        <f>IFERROR(IF($G361="","",VLOOKUP('Dashboard And Emails Automate'!$G361,Database!$H:$N,5,0)),"")</f>
        <v/>
      </c>
      <c r="L361" s="55" t="str">
        <f>IFERROR(IF($G361="","",VLOOKUP('Dashboard And Emails Automate'!$G361,Database!$H:$N,6,0)),"")</f>
        <v/>
      </c>
      <c r="M361" s="55" t="str">
        <f>IFERROR(IF($G361="","",VLOOKUP('Dashboard And Emails Automate'!$G361,Database!$H:$N,7,0)),"")</f>
        <v/>
      </c>
      <c r="N361" s="55" t="str">
        <f>IFERROR(IF(OR($B361="",$B361="(blank)"),"",VLOOKUP($B361,'Email Marketing Raw Data'!$C:$O,6,0)),"")</f>
        <v/>
      </c>
      <c r="O361" s="55" t="str">
        <f>IFERROR(IF(OR($B361="",$B361="(blank)"),"",VLOOKUP($B361,'Email Marketing Raw Data'!$C:$O,7,0)),"")</f>
        <v/>
      </c>
      <c r="P361" s="55" t="str">
        <f>IFERROR(IF(OR($B361="",$B361="(blank)"),"",VLOOKUP($B361,'Email Marketing Raw Data'!$C:$O,8,0)),"")</f>
        <v/>
      </c>
      <c r="Q361" s="62" t="str">
        <f>IFERROR(IF(OR($B361="",$B361="(blank)"),"",VLOOKUP($B361,'Email Marketing Raw Data'!$C:$O,9,0)),"")</f>
        <v/>
      </c>
    </row>
    <row r="362" spans="4:17" ht="12.75" customHeight="1" x14ac:dyDescent="0.2">
      <c r="D362" s="58" t="str">
        <f>IFERROR(IF(F362&lt;&gt;"pending","",IF(OR($B362="",$B362="(blank)"),"",VLOOKUP($B362,'Email Marketing Raw Data'!$C:$O,10,0))),"")</f>
        <v/>
      </c>
      <c r="E362" s="59" t="str">
        <f>IFERROR(IF(F362&lt;&gt;"pending","",IF(OR($B362="",$B362="(blank)"),"",VLOOKUP($B362,'Email Marketing Raw Data'!$C:$O,11,0))),"")</f>
        <v/>
      </c>
      <c r="F362" s="54" t="str">
        <f>IFERROR(IF(OR($B362="",$B362="(blank)"),"",VLOOKUP($B362,'Email Marketing Raw Data'!$C:$O,13,0)),"")</f>
        <v/>
      </c>
      <c r="G362" s="55" t="str">
        <f>IFERROR(IF(OR($B362="",$B362="(blank)"),"",VLOOKUP($B362,'Email Marketing Raw Data'!$C:$O,4,0)),"")</f>
        <v/>
      </c>
      <c r="H362" s="55" t="str">
        <f>IFERROR(IF(OR($B362="",$B362="(blank)"),"",VLOOKUP($B362,'Email Marketing Raw Data'!$C:$O,5,0)),"")</f>
        <v/>
      </c>
      <c r="I362" s="55" t="str">
        <f>IFERROR(IF($G362="","",VLOOKUP('Dashboard And Emails Automate'!$G362,Database!$H:$N,3,0)),"")</f>
        <v/>
      </c>
      <c r="J362" s="55" t="str">
        <f>IFERROR(IF($G362="","",VLOOKUP('Dashboard And Emails Automate'!$G362,Database!$H:$N,4,0)),"")</f>
        <v/>
      </c>
      <c r="K362" s="55" t="str">
        <f>IFERROR(IF($G362="","",VLOOKUP('Dashboard And Emails Automate'!$G362,Database!$H:$N,5,0)),"")</f>
        <v/>
      </c>
      <c r="L362" s="55" t="str">
        <f>IFERROR(IF($G362="","",VLOOKUP('Dashboard And Emails Automate'!$G362,Database!$H:$N,6,0)),"")</f>
        <v/>
      </c>
      <c r="M362" s="55" t="str">
        <f>IFERROR(IF($G362="","",VLOOKUP('Dashboard And Emails Automate'!$G362,Database!$H:$N,7,0)),"")</f>
        <v/>
      </c>
      <c r="N362" s="55" t="str">
        <f>IFERROR(IF(OR($B362="",$B362="(blank)"),"",VLOOKUP($B362,'Email Marketing Raw Data'!$C:$O,6,0)),"")</f>
        <v/>
      </c>
      <c r="O362" s="55" t="str">
        <f>IFERROR(IF(OR($B362="",$B362="(blank)"),"",VLOOKUP($B362,'Email Marketing Raw Data'!$C:$O,7,0)),"")</f>
        <v/>
      </c>
      <c r="P362" s="55" t="str">
        <f>IFERROR(IF(OR($B362="",$B362="(blank)"),"",VLOOKUP($B362,'Email Marketing Raw Data'!$C:$O,8,0)),"")</f>
        <v/>
      </c>
      <c r="Q362" s="62" t="str">
        <f>IFERROR(IF(OR($B362="",$B362="(blank)"),"",VLOOKUP($B362,'Email Marketing Raw Data'!$C:$O,9,0)),"")</f>
        <v/>
      </c>
    </row>
    <row r="363" spans="4:17" ht="12.75" customHeight="1" x14ac:dyDescent="0.2">
      <c r="D363" s="58" t="str">
        <f>IFERROR(IF(F363&lt;&gt;"pending","",IF(OR($B363="",$B363="(blank)"),"",VLOOKUP($B363,'Email Marketing Raw Data'!$C:$O,10,0))),"")</f>
        <v/>
      </c>
      <c r="E363" s="59" t="str">
        <f>IFERROR(IF(F363&lt;&gt;"pending","",IF(OR($B363="",$B363="(blank)"),"",VLOOKUP($B363,'Email Marketing Raw Data'!$C:$O,11,0))),"")</f>
        <v/>
      </c>
      <c r="F363" s="54" t="str">
        <f>IFERROR(IF(OR($B363="",$B363="(blank)"),"",VLOOKUP($B363,'Email Marketing Raw Data'!$C:$O,13,0)),"")</f>
        <v/>
      </c>
      <c r="G363" s="55" t="str">
        <f>IFERROR(IF(OR($B363="",$B363="(blank)"),"",VLOOKUP($B363,'Email Marketing Raw Data'!$C:$O,4,0)),"")</f>
        <v/>
      </c>
      <c r="H363" s="55" t="str">
        <f>IFERROR(IF(OR($B363="",$B363="(blank)"),"",VLOOKUP($B363,'Email Marketing Raw Data'!$C:$O,5,0)),"")</f>
        <v/>
      </c>
      <c r="I363" s="55" t="str">
        <f>IFERROR(IF($G363="","",VLOOKUP('Dashboard And Emails Automate'!$G363,Database!$H:$N,3,0)),"")</f>
        <v/>
      </c>
      <c r="J363" s="55" t="str">
        <f>IFERROR(IF($G363="","",VLOOKUP('Dashboard And Emails Automate'!$G363,Database!$H:$N,4,0)),"")</f>
        <v/>
      </c>
      <c r="K363" s="55" t="str">
        <f>IFERROR(IF($G363="","",VLOOKUP('Dashboard And Emails Automate'!$G363,Database!$H:$N,5,0)),"")</f>
        <v/>
      </c>
      <c r="L363" s="55" t="str">
        <f>IFERROR(IF($G363="","",VLOOKUP('Dashboard And Emails Automate'!$G363,Database!$H:$N,6,0)),"")</f>
        <v/>
      </c>
      <c r="M363" s="55" t="str">
        <f>IFERROR(IF($G363="","",VLOOKUP('Dashboard And Emails Automate'!$G363,Database!$H:$N,7,0)),"")</f>
        <v/>
      </c>
      <c r="N363" s="55" t="str">
        <f>IFERROR(IF(OR($B363="",$B363="(blank)"),"",VLOOKUP($B363,'Email Marketing Raw Data'!$C:$O,6,0)),"")</f>
        <v/>
      </c>
      <c r="O363" s="55" t="str">
        <f>IFERROR(IF(OR($B363="",$B363="(blank)"),"",VLOOKUP($B363,'Email Marketing Raw Data'!$C:$O,7,0)),"")</f>
        <v/>
      </c>
      <c r="P363" s="55" t="str">
        <f>IFERROR(IF(OR($B363="",$B363="(blank)"),"",VLOOKUP($B363,'Email Marketing Raw Data'!$C:$O,8,0)),"")</f>
        <v/>
      </c>
      <c r="Q363" s="62" t="str">
        <f>IFERROR(IF(OR($B363="",$B363="(blank)"),"",VLOOKUP($B363,'Email Marketing Raw Data'!$C:$O,9,0)),"")</f>
        <v/>
      </c>
    </row>
    <row r="364" spans="4:17" ht="12.75" customHeight="1" x14ac:dyDescent="0.2">
      <c r="D364" s="58" t="str">
        <f>IFERROR(IF(F364&lt;&gt;"pending","",IF(OR($B364="",$B364="(blank)"),"",VLOOKUP($B364,'Email Marketing Raw Data'!$C:$O,10,0))),"")</f>
        <v/>
      </c>
      <c r="E364" s="59" t="str">
        <f>IFERROR(IF(F364&lt;&gt;"pending","",IF(OR($B364="",$B364="(blank)"),"",VLOOKUP($B364,'Email Marketing Raw Data'!$C:$O,11,0))),"")</f>
        <v/>
      </c>
      <c r="F364" s="54" t="str">
        <f>IFERROR(IF(OR($B364="",$B364="(blank)"),"",VLOOKUP($B364,'Email Marketing Raw Data'!$C:$O,13,0)),"")</f>
        <v/>
      </c>
      <c r="G364" s="55" t="str">
        <f>IFERROR(IF(OR($B364="",$B364="(blank)"),"",VLOOKUP($B364,'Email Marketing Raw Data'!$C:$O,4,0)),"")</f>
        <v/>
      </c>
      <c r="H364" s="55" t="str">
        <f>IFERROR(IF(OR($B364="",$B364="(blank)"),"",VLOOKUP($B364,'Email Marketing Raw Data'!$C:$O,5,0)),"")</f>
        <v/>
      </c>
      <c r="I364" s="55" t="str">
        <f>IFERROR(IF($G364="","",VLOOKUP('Dashboard And Emails Automate'!$G364,Database!$H:$N,3,0)),"")</f>
        <v/>
      </c>
      <c r="J364" s="55" t="str">
        <f>IFERROR(IF($G364="","",VLOOKUP('Dashboard And Emails Automate'!$G364,Database!$H:$N,4,0)),"")</f>
        <v/>
      </c>
      <c r="K364" s="55" t="str">
        <f>IFERROR(IF($G364="","",VLOOKUP('Dashboard And Emails Automate'!$G364,Database!$H:$N,5,0)),"")</f>
        <v/>
      </c>
      <c r="L364" s="55" t="str">
        <f>IFERROR(IF($G364="","",VLOOKUP('Dashboard And Emails Automate'!$G364,Database!$H:$N,6,0)),"")</f>
        <v/>
      </c>
      <c r="M364" s="55" t="str">
        <f>IFERROR(IF($G364="","",VLOOKUP('Dashboard And Emails Automate'!$G364,Database!$H:$N,7,0)),"")</f>
        <v/>
      </c>
      <c r="N364" s="55" t="str">
        <f>IFERROR(IF(OR($B364="",$B364="(blank)"),"",VLOOKUP($B364,'Email Marketing Raw Data'!$C:$O,6,0)),"")</f>
        <v/>
      </c>
      <c r="O364" s="55" t="str">
        <f>IFERROR(IF(OR($B364="",$B364="(blank)"),"",VLOOKUP($B364,'Email Marketing Raw Data'!$C:$O,7,0)),"")</f>
        <v/>
      </c>
      <c r="P364" s="55" t="str">
        <f>IFERROR(IF(OR($B364="",$B364="(blank)"),"",VLOOKUP($B364,'Email Marketing Raw Data'!$C:$O,8,0)),"")</f>
        <v/>
      </c>
      <c r="Q364" s="62" t="str">
        <f>IFERROR(IF(OR($B364="",$B364="(blank)"),"",VLOOKUP($B364,'Email Marketing Raw Data'!$C:$O,9,0)),"")</f>
        <v/>
      </c>
    </row>
    <row r="365" spans="4:17" ht="12.75" customHeight="1" x14ac:dyDescent="0.2">
      <c r="D365" s="58" t="str">
        <f>IFERROR(IF(F365&lt;&gt;"pending","",IF(OR($B365="",$B365="(blank)"),"",VLOOKUP($B365,'Email Marketing Raw Data'!$C:$O,10,0))),"")</f>
        <v/>
      </c>
      <c r="E365" s="59" t="str">
        <f>IFERROR(IF(F365&lt;&gt;"pending","",IF(OR($B365="",$B365="(blank)"),"",VLOOKUP($B365,'Email Marketing Raw Data'!$C:$O,11,0))),"")</f>
        <v/>
      </c>
      <c r="F365" s="54" t="str">
        <f>IFERROR(IF(OR($B365="",$B365="(blank)"),"",VLOOKUP($B365,'Email Marketing Raw Data'!$C:$O,13,0)),"")</f>
        <v/>
      </c>
      <c r="G365" s="55" t="str">
        <f>IFERROR(IF(OR($B365="",$B365="(blank)"),"",VLOOKUP($B365,'Email Marketing Raw Data'!$C:$O,4,0)),"")</f>
        <v/>
      </c>
      <c r="H365" s="55" t="str">
        <f>IFERROR(IF(OR($B365="",$B365="(blank)"),"",VLOOKUP($B365,'Email Marketing Raw Data'!$C:$O,5,0)),"")</f>
        <v/>
      </c>
      <c r="I365" s="55" t="str">
        <f>IFERROR(IF($G365="","",VLOOKUP('Dashboard And Emails Automate'!$G365,Database!$H:$N,3,0)),"")</f>
        <v/>
      </c>
      <c r="J365" s="55" t="str">
        <f>IFERROR(IF($G365="","",VLOOKUP('Dashboard And Emails Automate'!$G365,Database!$H:$N,4,0)),"")</f>
        <v/>
      </c>
      <c r="K365" s="55" t="str">
        <f>IFERROR(IF($G365="","",VLOOKUP('Dashboard And Emails Automate'!$G365,Database!$H:$N,5,0)),"")</f>
        <v/>
      </c>
      <c r="L365" s="55" t="str">
        <f>IFERROR(IF($G365="","",VLOOKUP('Dashboard And Emails Automate'!$G365,Database!$H:$N,6,0)),"")</f>
        <v/>
      </c>
      <c r="M365" s="55" t="str">
        <f>IFERROR(IF($G365="","",VLOOKUP('Dashboard And Emails Automate'!$G365,Database!$H:$N,7,0)),"")</f>
        <v/>
      </c>
      <c r="N365" s="55" t="str">
        <f>IFERROR(IF(OR($B365="",$B365="(blank)"),"",VLOOKUP($B365,'Email Marketing Raw Data'!$C:$O,6,0)),"")</f>
        <v/>
      </c>
      <c r="O365" s="55" t="str">
        <f>IFERROR(IF(OR($B365="",$B365="(blank)"),"",VLOOKUP($B365,'Email Marketing Raw Data'!$C:$O,7,0)),"")</f>
        <v/>
      </c>
      <c r="P365" s="55" t="str">
        <f>IFERROR(IF(OR($B365="",$B365="(blank)"),"",VLOOKUP($B365,'Email Marketing Raw Data'!$C:$O,8,0)),"")</f>
        <v/>
      </c>
      <c r="Q365" s="62" t="str">
        <f>IFERROR(IF(OR($B365="",$B365="(blank)"),"",VLOOKUP($B365,'Email Marketing Raw Data'!$C:$O,9,0)),"")</f>
        <v/>
      </c>
    </row>
    <row r="366" spans="4:17" ht="12.75" customHeight="1" x14ac:dyDescent="0.2">
      <c r="D366" s="58" t="str">
        <f>IFERROR(IF(F366&lt;&gt;"pending","",IF(OR($B366="",$B366="(blank)"),"",VLOOKUP($B366,'Email Marketing Raw Data'!$C:$O,10,0))),"")</f>
        <v/>
      </c>
      <c r="E366" s="59" t="str">
        <f>IFERROR(IF(F366&lt;&gt;"pending","",IF(OR($B366="",$B366="(blank)"),"",VLOOKUP($B366,'Email Marketing Raw Data'!$C:$O,11,0))),"")</f>
        <v/>
      </c>
      <c r="F366" s="54" t="str">
        <f>IFERROR(IF(OR($B366="",$B366="(blank)"),"",VLOOKUP($B366,'Email Marketing Raw Data'!$C:$O,13,0)),"")</f>
        <v/>
      </c>
      <c r="G366" s="55" t="str">
        <f>IFERROR(IF(OR($B366="",$B366="(blank)"),"",VLOOKUP($B366,'Email Marketing Raw Data'!$C:$O,4,0)),"")</f>
        <v/>
      </c>
      <c r="H366" s="55" t="str">
        <f>IFERROR(IF(OR($B366="",$B366="(blank)"),"",VLOOKUP($B366,'Email Marketing Raw Data'!$C:$O,5,0)),"")</f>
        <v/>
      </c>
      <c r="I366" s="55" t="str">
        <f>IFERROR(IF($G366="","",VLOOKUP('Dashboard And Emails Automate'!$G366,Database!$H:$N,3,0)),"")</f>
        <v/>
      </c>
      <c r="J366" s="55" t="str">
        <f>IFERROR(IF($G366="","",VLOOKUP('Dashboard And Emails Automate'!$G366,Database!$H:$N,4,0)),"")</f>
        <v/>
      </c>
      <c r="K366" s="55" t="str">
        <f>IFERROR(IF($G366="","",VLOOKUP('Dashboard And Emails Automate'!$G366,Database!$H:$N,5,0)),"")</f>
        <v/>
      </c>
      <c r="L366" s="55" t="str">
        <f>IFERROR(IF($G366="","",VLOOKUP('Dashboard And Emails Automate'!$G366,Database!$H:$N,6,0)),"")</f>
        <v/>
      </c>
      <c r="M366" s="55" t="str">
        <f>IFERROR(IF($G366="","",VLOOKUP('Dashboard And Emails Automate'!$G366,Database!$H:$N,7,0)),"")</f>
        <v/>
      </c>
      <c r="N366" s="55" t="str">
        <f>IFERROR(IF(OR($B366="",$B366="(blank)"),"",VLOOKUP($B366,'Email Marketing Raw Data'!$C:$O,6,0)),"")</f>
        <v/>
      </c>
      <c r="O366" s="55" t="str">
        <f>IFERROR(IF(OR($B366="",$B366="(blank)"),"",VLOOKUP($B366,'Email Marketing Raw Data'!$C:$O,7,0)),"")</f>
        <v/>
      </c>
      <c r="P366" s="55" t="str">
        <f>IFERROR(IF(OR($B366="",$B366="(blank)"),"",VLOOKUP($B366,'Email Marketing Raw Data'!$C:$O,8,0)),"")</f>
        <v/>
      </c>
      <c r="Q366" s="62" t="str">
        <f>IFERROR(IF(OR($B366="",$B366="(blank)"),"",VLOOKUP($B366,'Email Marketing Raw Data'!$C:$O,9,0)),"")</f>
        <v/>
      </c>
    </row>
    <row r="367" spans="4:17" ht="12.75" customHeight="1" x14ac:dyDescent="0.2">
      <c r="D367" s="58" t="str">
        <f>IFERROR(IF(F367&lt;&gt;"pending","",IF(OR($B367="",$B367="(blank)"),"",VLOOKUP($B367,'Email Marketing Raw Data'!$C:$O,10,0))),"")</f>
        <v/>
      </c>
      <c r="E367" s="59" t="str">
        <f>IFERROR(IF(F367&lt;&gt;"pending","",IF(OR($B367="",$B367="(blank)"),"",VLOOKUP($B367,'Email Marketing Raw Data'!$C:$O,11,0))),"")</f>
        <v/>
      </c>
      <c r="F367" s="54" t="str">
        <f>IFERROR(IF(OR($B367="",$B367="(blank)"),"",VLOOKUP($B367,'Email Marketing Raw Data'!$C:$O,13,0)),"")</f>
        <v/>
      </c>
      <c r="G367" s="55" t="str">
        <f>IFERROR(IF(OR($B367="",$B367="(blank)"),"",VLOOKUP($B367,'Email Marketing Raw Data'!$C:$O,4,0)),"")</f>
        <v/>
      </c>
      <c r="H367" s="55" t="str">
        <f>IFERROR(IF(OR($B367="",$B367="(blank)"),"",VLOOKUP($B367,'Email Marketing Raw Data'!$C:$O,5,0)),"")</f>
        <v/>
      </c>
      <c r="I367" s="55" t="str">
        <f>IFERROR(IF($G367="","",VLOOKUP('Dashboard And Emails Automate'!$G367,Database!$H:$N,3,0)),"")</f>
        <v/>
      </c>
      <c r="J367" s="55" t="str">
        <f>IFERROR(IF($G367="","",VLOOKUP('Dashboard And Emails Automate'!$G367,Database!$H:$N,4,0)),"")</f>
        <v/>
      </c>
      <c r="K367" s="55" t="str">
        <f>IFERROR(IF($G367="","",VLOOKUP('Dashboard And Emails Automate'!$G367,Database!$H:$N,5,0)),"")</f>
        <v/>
      </c>
      <c r="L367" s="55" t="str">
        <f>IFERROR(IF($G367="","",VLOOKUP('Dashboard And Emails Automate'!$G367,Database!$H:$N,6,0)),"")</f>
        <v/>
      </c>
      <c r="M367" s="55" t="str">
        <f>IFERROR(IF($G367="","",VLOOKUP('Dashboard And Emails Automate'!$G367,Database!$H:$N,7,0)),"")</f>
        <v/>
      </c>
      <c r="N367" s="55" t="str">
        <f>IFERROR(IF(OR($B367="",$B367="(blank)"),"",VLOOKUP($B367,'Email Marketing Raw Data'!$C:$O,6,0)),"")</f>
        <v/>
      </c>
      <c r="O367" s="55" t="str">
        <f>IFERROR(IF(OR($B367="",$B367="(blank)"),"",VLOOKUP($B367,'Email Marketing Raw Data'!$C:$O,7,0)),"")</f>
        <v/>
      </c>
      <c r="P367" s="55" t="str">
        <f>IFERROR(IF(OR($B367="",$B367="(blank)"),"",VLOOKUP($B367,'Email Marketing Raw Data'!$C:$O,8,0)),"")</f>
        <v/>
      </c>
      <c r="Q367" s="62" t="str">
        <f>IFERROR(IF(OR($B367="",$B367="(blank)"),"",VLOOKUP($B367,'Email Marketing Raw Data'!$C:$O,9,0)),"")</f>
        <v/>
      </c>
    </row>
    <row r="368" spans="4:17" ht="12.75" customHeight="1" x14ac:dyDescent="0.2">
      <c r="D368" s="58" t="str">
        <f>IFERROR(IF(F368&lt;&gt;"pending","",IF(OR($B368="",$B368="(blank)"),"",VLOOKUP($B368,'Email Marketing Raw Data'!$C:$O,10,0))),"")</f>
        <v/>
      </c>
      <c r="E368" s="59" t="str">
        <f>IFERROR(IF(F368&lt;&gt;"pending","",IF(OR($B368="",$B368="(blank)"),"",VLOOKUP($B368,'Email Marketing Raw Data'!$C:$O,11,0))),"")</f>
        <v/>
      </c>
      <c r="F368" s="54" t="str">
        <f>IFERROR(IF(OR($B368="",$B368="(blank)"),"",VLOOKUP($B368,'Email Marketing Raw Data'!$C:$O,13,0)),"")</f>
        <v/>
      </c>
      <c r="G368" s="55" t="str">
        <f>IFERROR(IF(OR($B368="",$B368="(blank)"),"",VLOOKUP($B368,'Email Marketing Raw Data'!$C:$O,4,0)),"")</f>
        <v/>
      </c>
      <c r="H368" s="55" t="str">
        <f>IFERROR(IF(OR($B368="",$B368="(blank)"),"",VLOOKUP($B368,'Email Marketing Raw Data'!$C:$O,5,0)),"")</f>
        <v/>
      </c>
      <c r="I368" s="55" t="str">
        <f>IFERROR(IF($G368="","",VLOOKUP('Dashboard And Emails Automate'!$G368,Database!$H:$N,3,0)),"")</f>
        <v/>
      </c>
      <c r="J368" s="55" t="str">
        <f>IFERROR(IF($G368="","",VLOOKUP('Dashboard And Emails Automate'!$G368,Database!$H:$N,4,0)),"")</f>
        <v/>
      </c>
      <c r="K368" s="55" t="str">
        <f>IFERROR(IF($G368="","",VLOOKUP('Dashboard And Emails Automate'!$G368,Database!$H:$N,5,0)),"")</f>
        <v/>
      </c>
      <c r="L368" s="55" t="str">
        <f>IFERROR(IF($G368="","",VLOOKUP('Dashboard And Emails Automate'!$G368,Database!$H:$N,6,0)),"")</f>
        <v/>
      </c>
      <c r="M368" s="55" t="str">
        <f>IFERROR(IF($G368="","",VLOOKUP('Dashboard And Emails Automate'!$G368,Database!$H:$N,7,0)),"")</f>
        <v/>
      </c>
      <c r="N368" s="55" t="str">
        <f>IFERROR(IF(OR($B368="",$B368="(blank)"),"",VLOOKUP($B368,'Email Marketing Raw Data'!$C:$O,6,0)),"")</f>
        <v/>
      </c>
      <c r="O368" s="55" t="str">
        <f>IFERROR(IF(OR($B368="",$B368="(blank)"),"",VLOOKUP($B368,'Email Marketing Raw Data'!$C:$O,7,0)),"")</f>
        <v/>
      </c>
      <c r="P368" s="55" t="str">
        <f>IFERROR(IF(OR($B368="",$B368="(blank)"),"",VLOOKUP($B368,'Email Marketing Raw Data'!$C:$O,8,0)),"")</f>
        <v/>
      </c>
      <c r="Q368" s="62" t="str">
        <f>IFERROR(IF(OR($B368="",$B368="(blank)"),"",VLOOKUP($B368,'Email Marketing Raw Data'!$C:$O,9,0)),"")</f>
        <v/>
      </c>
    </row>
    <row r="369" spans="4:17" ht="12.75" customHeight="1" x14ac:dyDescent="0.2">
      <c r="D369" s="58" t="str">
        <f>IFERROR(IF(F369&lt;&gt;"pending","",IF(OR($B369="",$B369="(blank)"),"",VLOOKUP($B369,'Email Marketing Raw Data'!$C:$O,10,0))),"")</f>
        <v/>
      </c>
      <c r="E369" s="59" t="str">
        <f>IFERROR(IF(F369&lt;&gt;"pending","",IF(OR($B369="",$B369="(blank)"),"",VLOOKUP($B369,'Email Marketing Raw Data'!$C:$O,11,0))),"")</f>
        <v/>
      </c>
      <c r="F369" s="54" t="str">
        <f>IFERROR(IF(OR($B369="",$B369="(blank)"),"",VLOOKUP($B369,'Email Marketing Raw Data'!$C:$O,13,0)),"")</f>
        <v/>
      </c>
      <c r="G369" s="55" t="str">
        <f>IFERROR(IF(OR($B369="",$B369="(blank)"),"",VLOOKUP($B369,'Email Marketing Raw Data'!$C:$O,4,0)),"")</f>
        <v/>
      </c>
      <c r="H369" s="55" t="str">
        <f>IFERROR(IF(OR($B369="",$B369="(blank)"),"",VLOOKUP($B369,'Email Marketing Raw Data'!$C:$O,5,0)),"")</f>
        <v/>
      </c>
      <c r="I369" s="55" t="str">
        <f>IFERROR(IF($G369="","",VLOOKUP('Dashboard And Emails Automate'!$G369,Database!$H:$N,3,0)),"")</f>
        <v/>
      </c>
      <c r="J369" s="55" t="str">
        <f>IFERROR(IF($G369="","",VLOOKUP('Dashboard And Emails Automate'!$G369,Database!$H:$N,4,0)),"")</f>
        <v/>
      </c>
      <c r="K369" s="55" t="str">
        <f>IFERROR(IF($G369="","",VLOOKUP('Dashboard And Emails Automate'!$G369,Database!$H:$N,5,0)),"")</f>
        <v/>
      </c>
      <c r="L369" s="55" t="str">
        <f>IFERROR(IF($G369="","",VLOOKUP('Dashboard And Emails Automate'!$G369,Database!$H:$N,6,0)),"")</f>
        <v/>
      </c>
      <c r="M369" s="55" t="str">
        <f>IFERROR(IF($G369="","",VLOOKUP('Dashboard And Emails Automate'!$G369,Database!$H:$N,7,0)),"")</f>
        <v/>
      </c>
      <c r="N369" s="55" t="str">
        <f>IFERROR(IF(OR($B369="",$B369="(blank)"),"",VLOOKUP($B369,'Email Marketing Raw Data'!$C:$O,6,0)),"")</f>
        <v/>
      </c>
      <c r="O369" s="55" t="str">
        <f>IFERROR(IF(OR($B369="",$B369="(blank)"),"",VLOOKUP($B369,'Email Marketing Raw Data'!$C:$O,7,0)),"")</f>
        <v/>
      </c>
      <c r="P369" s="55" t="str">
        <f>IFERROR(IF(OR($B369="",$B369="(blank)"),"",VLOOKUP($B369,'Email Marketing Raw Data'!$C:$O,8,0)),"")</f>
        <v/>
      </c>
      <c r="Q369" s="62" t="str">
        <f>IFERROR(IF(OR($B369="",$B369="(blank)"),"",VLOOKUP($B369,'Email Marketing Raw Data'!$C:$O,9,0)),"")</f>
        <v/>
      </c>
    </row>
    <row r="370" spans="4:17" ht="12.75" customHeight="1" x14ac:dyDescent="0.2">
      <c r="D370" s="58" t="str">
        <f>IFERROR(IF(F370&lt;&gt;"pending","",IF(OR($B370="",$B370="(blank)"),"",VLOOKUP($B370,'Email Marketing Raw Data'!$C:$O,10,0))),"")</f>
        <v/>
      </c>
      <c r="E370" s="59" t="str">
        <f>IFERROR(IF(F370&lt;&gt;"pending","",IF(OR($B370="",$B370="(blank)"),"",VLOOKUP($B370,'Email Marketing Raw Data'!$C:$O,11,0))),"")</f>
        <v/>
      </c>
      <c r="F370" s="54" t="str">
        <f>IFERROR(IF(OR($B370="",$B370="(blank)"),"",VLOOKUP($B370,'Email Marketing Raw Data'!$C:$O,13,0)),"")</f>
        <v/>
      </c>
      <c r="G370" s="55" t="str">
        <f>IFERROR(IF(OR($B370="",$B370="(blank)"),"",VLOOKUP($B370,'Email Marketing Raw Data'!$C:$O,4,0)),"")</f>
        <v/>
      </c>
      <c r="H370" s="55" t="str">
        <f>IFERROR(IF(OR($B370="",$B370="(blank)"),"",VLOOKUP($B370,'Email Marketing Raw Data'!$C:$O,5,0)),"")</f>
        <v/>
      </c>
      <c r="I370" s="55" t="str">
        <f>IFERROR(IF($G370="","",VLOOKUP('Dashboard And Emails Automate'!$G370,Database!$H:$N,3,0)),"")</f>
        <v/>
      </c>
      <c r="J370" s="55" t="str">
        <f>IFERROR(IF($G370="","",VLOOKUP('Dashboard And Emails Automate'!$G370,Database!$H:$N,4,0)),"")</f>
        <v/>
      </c>
      <c r="K370" s="55" t="str">
        <f>IFERROR(IF($G370="","",VLOOKUP('Dashboard And Emails Automate'!$G370,Database!$H:$N,5,0)),"")</f>
        <v/>
      </c>
      <c r="L370" s="55" t="str">
        <f>IFERROR(IF($G370="","",VLOOKUP('Dashboard And Emails Automate'!$G370,Database!$H:$N,6,0)),"")</f>
        <v/>
      </c>
      <c r="M370" s="55" t="str">
        <f>IFERROR(IF($G370="","",VLOOKUP('Dashboard And Emails Automate'!$G370,Database!$H:$N,7,0)),"")</f>
        <v/>
      </c>
      <c r="N370" s="55" t="str">
        <f>IFERROR(IF(OR($B370="",$B370="(blank)"),"",VLOOKUP($B370,'Email Marketing Raw Data'!$C:$O,6,0)),"")</f>
        <v/>
      </c>
      <c r="O370" s="55" t="str">
        <f>IFERROR(IF(OR($B370="",$B370="(blank)"),"",VLOOKUP($B370,'Email Marketing Raw Data'!$C:$O,7,0)),"")</f>
        <v/>
      </c>
      <c r="P370" s="55" t="str">
        <f>IFERROR(IF(OR($B370="",$B370="(blank)"),"",VLOOKUP($B370,'Email Marketing Raw Data'!$C:$O,8,0)),"")</f>
        <v/>
      </c>
      <c r="Q370" s="62" t="str">
        <f>IFERROR(IF(OR($B370="",$B370="(blank)"),"",VLOOKUP($B370,'Email Marketing Raw Data'!$C:$O,9,0)),"")</f>
        <v/>
      </c>
    </row>
    <row r="371" spans="4:17" ht="12.75" customHeight="1" x14ac:dyDescent="0.2">
      <c r="D371" s="58" t="str">
        <f>IFERROR(IF(F371&lt;&gt;"pending","",IF(OR($B371="",$B371="(blank)"),"",VLOOKUP($B371,'Email Marketing Raw Data'!$C:$O,10,0))),"")</f>
        <v/>
      </c>
      <c r="E371" s="59" t="str">
        <f>IFERROR(IF(F371&lt;&gt;"pending","",IF(OR($B371="",$B371="(blank)"),"",VLOOKUP($B371,'Email Marketing Raw Data'!$C:$O,11,0))),"")</f>
        <v/>
      </c>
      <c r="F371" s="54" t="str">
        <f>IFERROR(IF(OR($B371="",$B371="(blank)"),"",VLOOKUP($B371,'Email Marketing Raw Data'!$C:$O,13,0)),"")</f>
        <v/>
      </c>
      <c r="G371" s="55" t="str">
        <f>IFERROR(IF(OR($B371="",$B371="(blank)"),"",VLOOKUP($B371,'Email Marketing Raw Data'!$C:$O,4,0)),"")</f>
        <v/>
      </c>
      <c r="H371" s="55" t="str">
        <f>IFERROR(IF(OR($B371="",$B371="(blank)"),"",VLOOKUP($B371,'Email Marketing Raw Data'!$C:$O,5,0)),"")</f>
        <v/>
      </c>
      <c r="I371" s="55" t="str">
        <f>IFERROR(IF($G371="","",VLOOKUP('Dashboard And Emails Automate'!$G371,Database!$H:$N,3,0)),"")</f>
        <v/>
      </c>
      <c r="J371" s="55" t="str">
        <f>IFERROR(IF($G371="","",VLOOKUP('Dashboard And Emails Automate'!$G371,Database!$H:$N,4,0)),"")</f>
        <v/>
      </c>
      <c r="K371" s="55" t="str">
        <f>IFERROR(IF($G371="","",VLOOKUP('Dashboard And Emails Automate'!$G371,Database!$H:$N,5,0)),"")</f>
        <v/>
      </c>
      <c r="L371" s="55" t="str">
        <f>IFERROR(IF($G371="","",VLOOKUP('Dashboard And Emails Automate'!$G371,Database!$H:$N,6,0)),"")</f>
        <v/>
      </c>
      <c r="M371" s="55" t="str">
        <f>IFERROR(IF($G371="","",VLOOKUP('Dashboard And Emails Automate'!$G371,Database!$H:$N,7,0)),"")</f>
        <v/>
      </c>
      <c r="N371" s="55" t="str">
        <f>IFERROR(IF(OR($B371="",$B371="(blank)"),"",VLOOKUP($B371,'Email Marketing Raw Data'!$C:$O,6,0)),"")</f>
        <v/>
      </c>
      <c r="O371" s="55" t="str">
        <f>IFERROR(IF(OR($B371="",$B371="(blank)"),"",VLOOKUP($B371,'Email Marketing Raw Data'!$C:$O,7,0)),"")</f>
        <v/>
      </c>
      <c r="P371" s="55" t="str">
        <f>IFERROR(IF(OR($B371="",$B371="(blank)"),"",VLOOKUP($B371,'Email Marketing Raw Data'!$C:$O,8,0)),"")</f>
        <v/>
      </c>
      <c r="Q371" s="62" t="str">
        <f>IFERROR(IF(OR($B371="",$B371="(blank)"),"",VLOOKUP($B371,'Email Marketing Raw Data'!$C:$O,9,0)),"")</f>
        <v/>
      </c>
    </row>
    <row r="372" spans="4:17" ht="12.75" customHeight="1" x14ac:dyDescent="0.2">
      <c r="D372" s="58" t="str">
        <f>IFERROR(IF(F372&lt;&gt;"pending","",IF(OR($B372="",$B372="(blank)"),"",VLOOKUP($B372,'Email Marketing Raw Data'!$C:$O,10,0))),"")</f>
        <v/>
      </c>
      <c r="E372" s="59" t="str">
        <f>IFERROR(IF(F372&lt;&gt;"pending","",IF(OR($B372="",$B372="(blank)"),"",VLOOKUP($B372,'Email Marketing Raw Data'!$C:$O,11,0))),"")</f>
        <v/>
      </c>
      <c r="F372" s="54" t="str">
        <f>IFERROR(IF(OR($B372="",$B372="(blank)"),"",VLOOKUP($B372,'Email Marketing Raw Data'!$C:$O,13,0)),"")</f>
        <v/>
      </c>
      <c r="G372" s="55" t="str">
        <f>IFERROR(IF(OR($B372="",$B372="(blank)"),"",VLOOKUP($B372,'Email Marketing Raw Data'!$C:$O,4,0)),"")</f>
        <v/>
      </c>
      <c r="H372" s="55" t="str">
        <f>IFERROR(IF(OR($B372="",$B372="(blank)"),"",VLOOKUP($B372,'Email Marketing Raw Data'!$C:$O,5,0)),"")</f>
        <v/>
      </c>
      <c r="I372" s="55" t="str">
        <f>IFERROR(IF($G372="","",VLOOKUP('Dashboard And Emails Automate'!$G372,Database!$H:$N,3,0)),"")</f>
        <v/>
      </c>
      <c r="J372" s="55" t="str">
        <f>IFERROR(IF($G372="","",VLOOKUP('Dashboard And Emails Automate'!$G372,Database!$H:$N,4,0)),"")</f>
        <v/>
      </c>
      <c r="K372" s="55" t="str">
        <f>IFERROR(IF($G372="","",VLOOKUP('Dashboard And Emails Automate'!$G372,Database!$H:$N,5,0)),"")</f>
        <v/>
      </c>
      <c r="L372" s="55" t="str">
        <f>IFERROR(IF($G372="","",VLOOKUP('Dashboard And Emails Automate'!$G372,Database!$H:$N,6,0)),"")</f>
        <v/>
      </c>
      <c r="M372" s="55" t="str">
        <f>IFERROR(IF($G372="","",VLOOKUP('Dashboard And Emails Automate'!$G372,Database!$H:$N,7,0)),"")</f>
        <v/>
      </c>
      <c r="N372" s="55" t="str">
        <f>IFERROR(IF(OR($B372="",$B372="(blank)"),"",VLOOKUP($B372,'Email Marketing Raw Data'!$C:$O,6,0)),"")</f>
        <v/>
      </c>
      <c r="O372" s="55" t="str">
        <f>IFERROR(IF(OR($B372="",$B372="(blank)"),"",VLOOKUP($B372,'Email Marketing Raw Data'!$C:$O,7,0)),"")</f>
        <v/>
      </c>
      <c r="P372" s="55" t="str">
        <f>IFERROR(IF(OR($B372="",$B372="(blank)"),"",VLOOKUP($B372,'Email Marketing Raw Data'!$C:$O,8,0)),"")</f>
        <v/>
      </c>
      <c r="Q372" s="62" t="str">
        <f>IFERROR(IF(OR($B372="",$B372="(blank)"),"",VLOOKUP($B372,'Email Marketing Raw Data'!$C:$O,9,0)),"")</f>
        <v/>
      </c>
    </row>
    <row r="373" spans="4:17" ht="12.75" customHeight="1" x14ac:dyDescent="0.2">
      <c r="D373" s="58" t="str">
        <f>IFERROR(IF(F373&lt;&gt;"pending","",IF(OR($B373="",$B373="(blank)"),"",VLOOKUP($B373,'Email Marketing Raw Data'!$C:$O,10,0))),"")</f>
        <v/>
      </c>
      <c r="E373" s="59" t="str">
        <f>IFERROR(IF(F373&lt;&gt;"pending","",IF(OR($B373="",$B373="(blank)"),"",VLOOKUP($B373,'Email Marketing Raw Data'!$C:$O,11,0))),"")</f>
        <v/>
      </c>
      <c r="F373" s="54" t="str">
        <f>IFERROR(IF(OR($B373="",$B373="(blank)"),"",VLOOKUP($B373,'Email Marketing Raw Data'!$C:$O,13,0)),"")</f>
        <v/>
      </c>
      <c r="G373" s="55" t="str">
        <f>IFERROR(IF(OR($B373="",$B373="(blank)"),"",VLOOKUP($B373,'Email Marketing Raw Data'!$C:$O,4,0)),"")</f>
        <v/>
      </c>
      <c r="H373" s="55" t="str">
        <f>IFERROR(IF(OR($B373="",$B373="(blank)"),"",VLOOKUP($B373,'Email Marketing Raw Data'!$C:$O,5,0)),"")</f>
        <v/>
      </c>
      <c r="I373" s="55" t="str">
        <f>IFERROR(IF($G373="","",VLOOKUP('Dashboard And Emails Automate'!$G373,Database!$H:$N,3,0)),"")</f>
        <v/>
      </c>
      <c r="J373" s="55" t="str">
        <f>IFERROR(IF($G373="","",VLOOKUP('Dashboard And Emails Automate'!$G373,Database!$H:$N,4,0)),"")</f>
        <v/>
      </c>
      <c r="K373" s="55" t="str">
        <f>IFERROR(IF($G373="","",VLOOKUP('Dashboard And Emails Automate'!$G373,Database!$H:$N,5,0)),"")</f>
        <v/>
      </c>
      <c r="L373" s="55" t="str">
        <f>IFERROR(IF($G373="","",VLOOKUP('Dashboard And Emails Automate'!$G373,Database!$H:$N,6,0)),"")</f>
        <v/>
      </c>
      <c r="M373" s="55" t="str">
        <f>IFERROR(IF($G373="","",VLOOKUP('Dashboard And Emails Automate'!$G373,Database!$H:$N,7,0)),"")</f>
        <v/>
      </c>
      <c r="N373" s="55" t="str">
        <f>IFERROR(IF(OR($B373="",$B373="(blank)"),"",VLOOKUP($B373,'Email Marketing Raw Data'!$C:$O,6,0)),"")</f>
        <v/>
      </c>
      <c r="O373" s="55" t="str">
        <f>IFERROR(IF(OR($B373="",$B373="(blank)"),"",VLOOKUP($B373,'Email Marketing Raw Data'!$C:$O,7,0)),"")</f>
        <v/>
      </c>
      <c r="P373" s="55" t="str">
        <f>IFERROR(IF(OR($B373="",$B373="(blank)"),"",VLOOKUP($B373,'Email Marketing Raw Data'!$C:$O,8,0)),"")</f>
        <v/>
      </c>
      <c r="Q373" s="62" t="str">
        <f>IFERROR(IF(OR($B373="",$B373="(blank)"),"",VLOOKUP($B373,'Email Marketing Raw Data'!$C:$O,9,0)),"")</f>
        <v/>
      </c>
    </row>
    <row r="374" spans="4:17" ht="12.75" customHeight="1" x14ac:dyDescent="0.2">
      <c r="D374" s="58" t="str">
        <f>IFERROR(IF(F374&lt;&gt;"pending","",IF(OR($B374="",$B374="(blank)"),"",VLOOKUP($B374,'Email Marketing Raw Data'!$C:$O,10,0))),"")</f>
        <v/>
      </c>
      <c r="E374" s="59" t="str">
        <f>IFERROR(IF(F374&lt;&gt;"pending","",IF(OR($B374="",$B374="(blank)"),"",VLOOKUP($B374,'Email Marketing Raw Data'!$C:$O,11,0))),"")</f>
        <v/>
      </c>
      <c r="F374" s="54" t="str">
        <f>IFERROR(IF(OR($B374="",$B374="(blank)"),"",VLOOKUP($B374,'Email Marketing Raw Data'!$C:$O,13,0)),"")</f>
        <v/>
      </c>
      <c r="G374" s="55" t="str">
        <f>IFERROR(IF(OR($B374="",$B374="(blank)"),"",VLOOKUP($B374,'Email Marketing Raw Data'!$C:$O,4,0)),"")</f>
        <v/>
      </c>
      <c r="H374" s="55" t="str">
        <f>IFERROR(IF(OR($B374="",$B374="(blank)"),"",VLOOKUP($B374,'Email Marketing Raw Data'!$C:$O,5,0)),"")</f>
        <v/>
      </c>
      <c r="I374" s="55" t="str">
        <f>IFERROR(IF($G374="","",VLOOKUP('Dashboard And Emails Automate'!$G374,Database!$H:$N,3,0)),"")</f>
        <v/>
      </c>
      <c r="J374" s="55" t="str">
        <f>IFERROR(IF($G374="","",VLOOKUP('Dashboard And Emails Automate'!$G374,Database!$H:$N,4,0)),"")</f>
        <v/>
      </c>
      <c r="K374" s="55" t="str">
        <f>IFERROR(IF($G374="","",VLOOKUP('Dashboard And Emails Automate'!$G374,Database!$H:$N,5,0)),"")</f>
        <v/>
      </c>
      <c r="L374" s="55" t="str">
        <f>IFERROR(IF($G374="","",VLOOKUP('Dashboard And Emails Automate'!$G374,Database!$H:$N,6,0)),"")</f>
        <v/>
      </c>
      <c r="M374" s="55" t="str">
        <f>IFERROR(IF($G374="","",VLOOKUP('Dashboard And Emails Automate'!$G374,Database!$H:$N,7,0)),"")</f>
        <v/>
      </c>
      <c r="N374" s="55" t="str">
        <f>IFERROR(IF(OR($B374="",$B374="(blank)"),"",VLOOKUP($B374,'Email Marketing Raw Data'!$C:$O,6,0)),"")</f>
        <v/>
      </c>
      <c r="O374" s="55" t="str">
        <f>IFERROR(IF(OR($B374="",$B374="(blank)"),"",VLOOKUP($B374,'Email Marketing Raw Data'!$C:$O,7,0)),"")</f>
        <v/>
      </c>
      <c r="P374" s="55" t="str">
        <f>IFERROR(IF(OR($B374="",$B374="(blank)"),"",VLOOKUP($B374,'Email Marketing Raw Data'!$C:$O,8,0)),"")</f>
        <v/>
      </c>
      <c r="Q374" s="62" t="str">
        <f>IFERROR(IF(OR($B374="",$B374="(blank)"),"",VLOOKUP($B374,'Email Marketing Raw Data'!$C:$O,9,0)),"")</f>
        <v/>
      </c>
    </row>
    <row r="375" spans="4:17" ht="12.75" customHeight="1" x14ac:dyDescent="0.2">
      <c r="D375" s="58" t="str">
        <f>IFERROR(IF(F375&lt;&gt;"pending","",IF(OR($B375="",$B375="(blank)"),"",VLOOKUP($B375,'Email Marketing Raw Data'!$C:$O,10,0))),"")</f>
        <v/>
      </c>
      <c r="E375" s="59" t="str">
        <f>IFERROR(IF(F375&lt;&gt;"pending","",IF(OR($B375="",$B375="(blank)"),"",VLOOKUP($B375,'Email Marketing Raw Data'!$C:$O,11,0))),"")</f>
        <v/>
      </c>
      <c r="F375" s="54" t="str">
        <f>IFERROR(IF(OR($B375="",$B375="(blank)"),"",VLOOKUP($B375,'Email Marketing Raw Data'!$C:$O,13,0)),"")</f>
        <v/>
      </c>
      <c r="G375" s="55" t="str">
        <f>IFERROR(IF(OR($B375="",$B375="(blank)"),"",VLOOKUP($B375,'Email Marketing Raw Data'!$C:$O,4,0)),"")</f>
        <v/>
      </c>
      <c r="H375" s="55" t="str">
        <f>IFERROR(IF(OR($B375="",$B375="(blank)"),"",VLOOKUP($B375,'Email Marketing Raw Data'!$C:$O,5,0)),"")</f>
        <v/>
      </c>
      <c r="I375" s="55" t="str">
        <f>IFERROR(IF($G375="","",VLOOKUP('Dashboard And Emails Automate'!$G375,Database!$H:$N,3,0)),"")</f>
        <v/>
      </c>
      <c r="J375" s="55" t="str">
        <f>IFERROR(IF($G375="","",VLOOKUP('Dashboard And Emails Automate'!$G375,Database!$H:$N,4,0)),"")</f>
        <v/>
      </c>
      <c r="K375" s="55" t="str">
        <f>IFERROR(IF($G375="","",VLOOKUP('Dashboard And Emails Automate'!$G375,Database!$H:$N,5,0)),"")</f>
        <v/>
      </c>
      <c r="L375" s="55" t="str">
        <f>IFERROR(IF($G375="","",VLOOKUP('Dashboard And Emails Automate'!$G375,Database!$H:$N,6,0)),"")</f>
        <v/>
      </c>
      <c r="M375" s="55" t="str">
        <f>IFERROR(IF($G375="","",VLOOKUP('Dashboard And Emails Automate'!$G375,Database!$H:$N,7,0)),"")</f>
        <v/>
      </c>
      <c r="N375" s="55" t="str">
        <f>IFERROR(IF(OR($B375="",$B375="(blank)"),"",VLOOKUP($B375,'Email Marketing Raw Data'!$C:$O,6,0)),"")</f>
        <v/>
      </c>
      <c r="O375" s="55" t="str">
        <f>IFERROR(IF(OR($B375="",$B375="(blank)"),"",VLOOKUP($B375,'Email Marketing Raw Data'!$C:$O,7,0)),"")</f>
        <v/>
      </c>
      <c r="P375" s="55" t="str">
        <f>IFERROR(IF(OR($B375="",$B375="(blank)"),"",VLOOKUP($B375,'Email Marketing Raw Data'!$C:$O,8,0)),"")</f>
        <v/>
      </c>
      <c r="Q375" s="62" t="str">
        <f>IFERROR(IF(OR($B375="",$B375="(blank)"),"",VLOOKUP($B375,'Email Marketing Raw Data'!$C:$O,9,0)),"")</f>
        <v/>
      </c>
    </row>
    <row r="376" spans="4:17" ht="12.75" customHeight="1" x14ac:dyDescent="0.2">
      <c r="D376" s="58" t="str">
        <f>IFERROR(IF(F376&lt;&gt;"pending","",IF(OR($B376="",$B376="(blank)"),"",VLOOKUP($B376,'Email Marketing Raw Data'!$C:$O,10,0))),"")</f>
        <v/>
      </c>
      <c r="E376" s="59" t="str">
        <f>IFERROR(IF(F376&lt;&gt;"pending","",IF(OR($B376="",$B376="(blank)"),"",VLOOKUP($B376,'Email Marketing Raw Data'!$C:$O,11,0))),"")</f>
        <v/>
      </c>
      <c r="F376" s="54" t="str">
        <f>IFERROR(IF(OR($B376="",$B376="(blank)"),"",VLOOKUP($B376,'Email Marketing Raw Data'!$C:$O,13,0)),"")</f>
        <v/>
      </c>
      <c r="G376" s="55" t="str">
        <f>IFERROR(IF(OR($B376="",$B376="(blank)"),"",VLOOKUP($B376,'Email Marketing Raw Data'!$C:$O,4,0)),"")</f>
        <v/>
      </c>
      <c r="H376" s="55" t="str">
        <f>IFERROR(IF(OR($B376="",$B376="(blank)"),"",VLOOKUP($B376,'Email Marketing Raw Data'!$C:$O,5,0)),"")</f>
        <v/>
      </c>
      <c r="I376" s="55" t="str">
        <f>IFERROR(IF($G376="","",VLOOKUP('Dashboard And Emails Automate'!$G376,Database!$H:$N,3,0)),"")</f>
        <v/>
      </c>
      <c r="J376" s="55" t="str">
        <f>IFERROR(IF($G376="","",VLOOKUP('Dashboard And Emails Automate'!$G376,Database!$H:$N,4,0)),"")</f>
        <v/>
      </c>
      <c r="K376" s="55" t="str">
        <f>IFERROR(IF($G376="","",VLOOKUP('Dashboard And Emails Automate'!$G376,Database!$H:$N,5,0)),"")</f>
        <v/>
      </c>
      <c r="L376" s="55" t="str">
        <f>IFERROR(IF($G376="","",VLOOKUP('Dashboard And Emails Automate'!$G376,Database!$H:$N,6,0)),"")</f>
        <v/>
      </c>
      <c r="M376" s="55" t="str">
        <f>IFERROR(IF($G376="","",VLOOKUP('Dashboard And Emails Automate'!$G376,Database!$H:$N,7,0)),"")</f>
        <v/>
      </c>
      <c r="N376" s="55" t="str">
        <f>IFERROR(IF(OR($B376="",$B376="(blank)"),"",VLOOKUP($B376,'Email Marketing Raw Data'!$C:$O,6,0)),"")</f>
        <v/>
      </c>
      <c r="O376" s="55" t="str">
        <f>IFERROR(IF(OR($B376="",$B376="(blank)"),"",VLOOKUP($B376,'Email Marketing Raw Data'!$C:$O,7,0)),"")</f>
        <v/>
      </c>
      <c r="P376" s="55" t="str">
        <f>IFERROR(IF(OR($B376="",$B376="(blank)"),"",VLOOKUP($B376,'Email Marketing Raw Data'!$C:$O,8,0)),"")</f>
        <v/>
      </c>
      <c r="Q376" s="62" t="str">
        <f>IFERROR(IF(OR($B376="",$B376="(blank)"),"",VLOOKUP($B376,'Email Marketing Raw Data'!$C:$O,9,0)),"")</f>
        <v/>
      </c>
    </row>
    <row r="377" spans="4:17" ht="12.75" customHeight="1" x14ac:dyDescent="0.2">
      <c r="D377" s="58" t="str">
        <f>IFERROR(IF(F377&lt;&gt;"pending","",IF(OR($B377="",$B377="(blank)"),"",VLOOKUP($B377,'Email Marketing Raw Data'!$C:$O,10,0))),"")</f>
        <v/>
      </c>
      <c r="E377" s="59" t="str">
        <f>IFERROR(IF(F377&lt;&gt;"pending","",IF(OR($B377="",$B377="(blank)"),"",VLOOKUP($B377,'Email Marketing Raw Data'!$C:$O,11,0))),"")</f>
        <v/>
      </c>
      <c r="F377" s="54" t="str">
        <f>IFERROR(IF(OR($B377="",$B377="(blank)"),"",VLOOKUP($B377,'Email Marketing Raw Data'!$C:$O,13,0)),"")</f>
        <v/>
      </c>
      <c r="G377" s="55" t="str">
        <f>IFERROR(IF(OR($B377="",$B377="(blank)"),"",VLOOKUP($B377,'Email Marketing Raw Data'!$C:$O,4,0)),"")</f>
        <v/>
      </c>
      <c r="H377" s="55" t="str">
        <f>IFERROR(IF(OR($B377="",$B377="(blank)"),"",VLOOKUP($B377,'Email Marketing Raw Data'!$C:$O,5,0)),"")</f>
        <v/>
      </c>
      <c r="I377" s="55" t="str">
        <f>IFERROR(IF($G377="","",VLOOKUP('Dashboard And Emails Automate'!$G377,Database!$H:$N,3,0)),"")</f>
        <v/>
      </c>
      <c r="J377" s="55" t="str">
        <f>IFERROR(IF($G377="","",VLOOKUP('Dashboard And Emails Automate'!$G377,Database!$H:$N,4,0)),"")</f>
        <v/>
      </c>
      <c r="K377" s="55" t="str">
        <f>IFERROR(IF($G377="","",VLOOKUP('Dashboard And Emails Automate'!$G377,Database!$H:$N,5,0)),"")</f>
        <v/>
      </c>
      <c r="L377" s="55" t="str">
        <f>IFERROR(IF($G377="","",VLOOKUP('Dashboard And Emails Automate'!$G377,Database!$H:$N,6,0)),"")</f>
        <v/>
      </c>
      <c r="M377" s="55" t="str">
        <f>IFERROR(IF($G377="","",VLOOKUP('Dashboard And Emails Automate'!$G377,Database!$H:$N,7,0)),"")</f>
        <v/>
      </c>
      <c r="N377" s="55" t="str">
        <f>IFERROR(IF(OR($B377="",$B377="(blank)"),"",VLOOKUP($B377,'Email Marketing Raw Data'!$C:$O,6,0)),"")</f>
        <v/>
      </c>
      <c r="O377" s="55" t="str">
        <f>IFERROR(IF(OR($B377="",$B377="(blank)"),"",VLOOKUP($B377,'Email Marketing Raw Data'!$C:$O,7,0)),"")</f>
        <v/>
      </c>
      <c r="P377" s="55" t="str">
        <f>IFERROR(IF(OR($B377="",$B377="(blank)"),"",VLOOKUP($B377,'Email Marketing Raw Data'!$C:$O,8,0)),"")</f>
        <v/>
      </c>
      <c r="Q377" s="62" t="str">
        <f>IFERROR(IF(OR($B377="",$B377="(blank)"),"",VLOOKUP($B377,'Email Marketing Raw Data'!$C:$O,9,0)),"")</f>
        <v/>
      </c>
    </row>
    <row r="378" spans="4:17" ht="12.75" customHeight="1" x14ac:dyDescent="0.2">
      <c r="D378" s="58" t="str">
        <f>IFERROR(IF(F378&lt;&gt;"pending","",IF(OR($B378="",$B378="(blank)"),"",VLOOKUP($B378,'Email Marketing Raw Data'!$C:$O,10,0))),"")</f>
        <v/>
      </c>
      <c r="E378" s="59" t="str">
        <f>IFERROR(IF(F378&lt;&gt;"pending","",IF(OR($B378="",$B378="(blank)"),"",VLOOKUP($B378,'Email Marketing Raw Data'!$C:$O,11,0))),"")</f>
        <v/>
      </c>
      <c r="F378" s="54" t="str">
        <f>IFERROR(IF(OR($B378="",$B378="(blank)"),"",VLOOKUP($B378,'Email Marketing Raw Data'!$C:$O,13,0)),"")</f>
        <v/>
      </c>
      <c r="G378" s="55" t="str">
        <f>IFERROR(IF(OR($B378="",$B378="(blank)"),"",VLOOKUP($B378,'Email Marketing Raw Data'!$C:$O,4,0)),"")</f>
        <v/>
      </c>
      <c r="H378" s="55" t="str">
        <f>IFERROR(IF(OR($B378="",$B378="(blank)"),"",VLOOKUP($B378,'Email Marketing Raw Data'!$C:$O,5,0)),"")</f>
        <v/>
      </c>
      <c r="I378" s="55" t="str">
        <f>IFERROR(IF($G378="","",VLOOKUP('Dashboard And Emails Automate'!$G378,Database!$H:$N,3,0)),"")</f>
        <v/>
      </c>
      <c r="J378" s="55" t="str">
        <f>IFERROR(IF($G378="","",VLOOKUP('Dashboard And Emails Automate'!$G378,Database!$H:$N,4,0)),"")</f>
        <v/>
      </c>
      <c r="K378" s="55" t="str">
        <f>IFERROR(IF($G378="","",VLOOKUP('Dashboard And Emails Automate'!$G378,Database!$H:$N,5,0)),"")</f>
        <v/>
      </c>
      <c r="L378" s="55" t="str">
        <f>IFERROR(IF($G378="","",VLOOKUP('Dashboard And Emails Automate'!$G378,Database!$H:$N,6,0)),"")</f>
        <v/>
      </c>
      <c r="M378" s="55" t="str">
        <f>IFERROR(IF($G378="","",VLOOKUP('Dashboard And Emails Automate'!$G378,Database!$H:$N,7,0)),"")</f>
        <v/>
      </c>
      <c r="N378" s="55" t="str">
        <f>IFERROR(IF(OR($B378="",$B378="(blank)"),"",VLOOKUP($B378,'Email Marketing Raw Data'!$C:$O,6,0)),"")</f>
        <v/>
      </c>
      <c r="O378" s="55" t="str">
        <f>IFERROR(IF(OR($B378="",$B378="(blank)"),"",VLOOKUP($B378,'Email Marketing Raw Data'!$C:$O,7,0)),"")</f>
        <v/>
      </c>
      <c r="P378" s="55" t="str">
        <f>IFERROR(IF(OR($B378="",$B378="(blank)"),"",VLOOKUP($B378,'Email Marketing Raw Data'!$C:$O,8,0)),"")</f>
        <v/>
      </c>
      <c r="Q378" s="62" t="str">
        <f>IFERROR(IF(OR($B378="",$B378="(blank)"),"",VLOOKUP($B378,'Email Marketing Raw Data'!$C:$O,9,0)),"")</f>
        <v/>
      </c>
    </row>
    <row r="379" spans="4:17" ht="12.75" customHeight="1" x14ac:dyDescent="0.2">
      <c r="D379" s="58" t="str">
        <f>IFERROR(IF(F379&lt;&gt;"pending","",IF(OR($B379="",$B379="(blank)"),"",VLOOKUP($B379,'Email Marketing Raw Data'!$C:$O,10,0))),"")</f>
        <v/>
      </c>
      <c r="E379" s="59" t="str">
        <f>IFERROR(IF(F379&lt;&gt;"pending","",IF(OR($B379="",$B379="(blank)"),"",VLOOKUP($B379,'Email Marketing Raw Data'!$C:$O,11,0))),"")</f>
        <v/>
      </c>
      <c r="F379" s="54" t="str">
        <f>IFERROR(IF(OR($B379="",$B379="(blank)"),"",VLOOKUP($B379,'Email Marketing Raw Data'!$C:$O,13,0)),"")</f>
        <v/>
      </c>
      <c r="G379" s="55" t="str">
        <f>IFERROR(IF(OR($B379="",$B379="(blank)"),"",VLOOKUP($B379,'Email Marketing Raw Data'!$C:$O,4,0)),"")</f>
        <v/>
      </c>
      <c r="H379" s="55" t="str">
        <f>IFERROR(IF(OR($B379="",$B379="(blank)"),"",VLOOKUP($B379,'Email Marketing Raw Data'!$C:$O,5,0)),"")</f>
        <v/>
      </c>
      <c r="I379" s="55" t="str">
        <f>IFERROR(IF($G379="","",VLOOKUP('Dashboard And Emails Automate'!$G379,Database!$H:$N,3,0)),"")</f>
        <v/>
      </c>
      <c r="J379" s="55" t="str">
        <f>IFERROR(IF($G379="","",VLOOKUP('Dashboard And Emails Automate'!$G379,Database!$H:$N,4,0)),"")</f>
        <v/>
      </c>
      <c r="K379" s="55" t="str">
        <f>IFERROR(IF($G379="","",VLOOKUP('Dashboard And Emails Automate'!$G379,Database!$H:$N,5,0)),"")</f>
        <v/>
      </c>
      <c r="L379" s="55" t="str">
        <f>IFERROR(IF($G379="","",VLOOKUP('Dashboard And Emails Automate'!$G379,Database!$H:$N,6,0)),"")</f>
        <v/>
      </c>
      <c r="M379" s="55" t="str">
        <f>IFERROR(IF($G379="","",VLOOKUP('Dashboard And Emails Automate'!$G379,Database!$H:$N,7,0)),"")</f>
        <v/>
      </c>
      <c r="N379" s="55" t="str">
        <f>IFERROR(IF(OR($B379="",$B379="(blank)"),"",VLOOKUP($B379,'Email Marketing Raw Data'!$C:$O,6,0)),"")</f>
        <v/>
      </c>
      <c r="O379" s="55" t="str">
        <f>IFERROR(IF(OR($B379="",$B379="(blank)"),"",VLOOKUP($B379,'Email Marketing Raw Data'!$C:$O,7,0)),"")</f>
        <v/>
      </c>
      <c r="P379" s="55" t="str">
        <f>IFERROR(IF(OR($B379="",$B379="(blank)"),"",VLOOKUP($B379,'Email Marketing Raw Data'!$C:$O,8,0)),"")</f>
        <v/>
      </c>
      <c r="Q379" s="62" t="str">
        <f>IFERROR(IF(OR($B379="",$B379="(blank)"),"",VLOOKUP($B379,'Email Marketing Raw Data'!$C:$O,9,0)),"")</f>
        <v/>
      </c>
    </row>
    <row r="380" spans="4:17" ht="12.75" customHeight="1" x14ac:dyDescent="0.2">
      <c r="D380" s="58" t="str">
        <f>IFERROR(IF(F380&lt;&gt;"pending","",IF(OR($B380="",$B380="(blank)"),"",VLOOKUP($B380,'Email Marketing Raw Data'!$C:$O,10,0))),"")</f>
        <v/>
      </c>
      <c r="E380" s="59" t="str">
        <f>IFERROR(IF(F380&lt;&gt;"pending","",IF(OR($B380="",$B380="(blank)"),"",VLOOKUP($B380,'Email Marketing Raw Data'!$C:$O,11,0))),"")</f>
        <v/>
      </c>
      <c r="F380" s="54" t="str">
        <f>IFERROR(IF(OR($B380="",$B380="(blank)"),"",VLOOKUP($B380,'Email Marketing Raw Data'!$C:$O,13,0)),"")</f>
        <v/>
      </c>
      <c r="G380" s="55" t="str">
        <f>IFERROR(IF(OR($B380="",$B380="(blank)"),"",VLOOKUP($B380,'Email Marketing Raw Data'!$C:$O,4,0)),"")</f>
        <v/>
      </c>
      <c r="H380" s="55" t="str">
        <f>IFERROR(IF(OR($B380="",$B380="(blank)"),"",VLOOKUP($B380,'Email Marketing Raw Data'!$C:$O,5,0)),"")</f>
        <v/>
      </c>
      <c r="I380" s="55" t="str">
        <f>IFERROR(IF($G380="","",VLOOKUP('Dashboard And Emails Automate'!$G380,Database!$H:$N,3,0)),"")</f>
        <v/>
      </c>
      <c r="J380" s="55" t="str">
        <f>IFERROR(IF($G380="","",VLOOKUP('Dashboard And Emails Automate'!$G380,Database!$H:$N,4,0)),"")</f>
        <v/>
      </c>
      <c r="K380" s="55" t="str">
        <f>IFERROR(IF($G380="","",VLOOKUP('Dashboard And Emails Automate'!$G380,Database!$H:$N,5,0)),"")</f>
        <v/>
      </c>
      <c r="L380" s="55" t="str">
        <f>IFERROR(IF($G380="","",VLOOKUP('Dashboard And Emails Automate'!$G380,Database!$H:$N,6,0)),"")</f>
        <v/>
      </c>
      <c r="M380" s="55" t="str">
        <f>IFERROR(IF($G380="","",VLOOKUP('Dashboard And Emails Automate'!$G380,Database!$H:$N,7,0)),"")</f>
        <v/>
      </c>
      <c r="N380" s="55" t="str">
        <f>IFERROR(IF(OR($B380="",$B380="(blank)"),"",VLOOKUP($B380,'Email Marketing Raw Data'!$C:$O,6,0)),"")</f>
        <v/>
      </c>
      <c r="O380" s="55" t="str">
        <f>IFERROR(IF(OR($B380="",$B380="(blank)"),"",VLOOKUP($B380,'Email Marketing Raw Data'!$C:$O,7,0)),"")</f>
        <v/>
      </c>
      <c r="P380" s="55" t="str">
        <f>IFERROR(IF(OR($B380="",$B380="(blank)"),"",VLOOKUP($B380,'Email Marketing Raw Data'!$C:$O,8,0)),"")</f>
        <v/>
      </c>
      <c r="Q380" s="62" t="str">
        <f>IFERROR(IF(OR($B380="",$B380="(blank)"),"",VLOOKUP($B380,'Email Marketing Raw Data'!$C:$O,9,0)),"")</f>
        <v/>
      </c>
    </row>
    <row r="381" spans="4:17" ht="12.75" customHeight="1" x14ac:dyDescent="0.2">
      <c r="D381" s="58" t="str">
        <f>IFERROR(IF(F381&lt;&gt;"pending","",IF(OR($B381="",$B381="(blank)"),"",VLOOKUP($B381,'Email Marketing Raw Data'!$C:$O,10,0))),"")</f>
        <v/>
      </c>
      <c r="E381" s="59" t="str">
        <f>IFERROR(IF(F381&lt;&gt;"pending","",IF(OR($B381="",$B381="(blank)"),"",VLOOKUP($B381,'Email Marketing Raw Data'!$C:$O,11,0))),"")</f>
        <v/>
      </c>
      <c r="F381" s="54" t="str">
        <f>IFERROR(IF(OR($B381="",$B381="(blank)"),"",VLOOKUP($B381,'Email Marketing Raw Data'!$C:$O,13,0)),"")</f>
        <v/>
      </c>
      <c r="G381" s="55" t="str">
        <f>IFERROR(IF(OR($B381="",$B381="(blank)"),"",VLOOKUP($B381,'Email Marketing Raw Data'!$C:$O,4,0)),"")</f>
        <v/>
      </c>
      <c r="H381" s="55" t="str">
        <f>IFERROR(IF(OR($B381="",$B381="(blank)"),"",VLOOKUP($B381,'Email Marketing Raw Data'!$C:$O,5,0)),"")</f>
        <v/>
      </c>
      <c r="I381" s="55" t="str">
        <f>IFERROR(IF($G381="","",VLOOKUP('Dashboard And Emails Automate'!$G381,Database!$H:$N,3,0)),"")</f>
        <v/>
      </c>
      <c r="J381" s="55" t="str">
        <f>IFERROR(IF($G381="","",VLOOKUP('Dashboard And Emails Automate'!$G381,Database!$H:$N,4,0)),"")</f>
        <v/>
      </c>
      <c r="K381" s="55" t="str">
        <f>IFERROR(IF($G381="","",VLOOKUP('Dashboard And Emails Automate'!$G381,Database!$H:$N,5,0)),"")</f>
        <v/>
      </c>
      <c r="L381" s="55" t="str">
        <f>IFERROR(IF($G381="","",VLOOKUP('Dashboard And Emails Automate'!$G381,Database!$H:$N,6,0)),"")</f>
        <v/>
      </c>
      <c r="M381" s="55" t="str">
        <f>IFERROR(IF($G381="","",VLOOKUP('Dashboard And Emails Automate'!$G381,Database!$H:$N,7,0)),"")</f>
        <v/>
      </c>
      <c r="N381" s="55" t="str">
        <f>IFERROR(IF(OR($B381="",$B381="(blank)"),"",VLOOKUP($B381,'Email Marketing Raw Data'!$C:$O,6,0)),"")</f>
        <v/>
      </c>
      <c r="O381" s="55" t="str">
        <f>IFERROR(IF(OR($B381="",$B381="(blank)"),"",VLOOKUP($B381,'Email Marketing Raw Data'!$C:$O,7,0)),"")</f>
        <v/>
      </c>
      <c r="P381" s="55" t="str">
        <f>IFERROR(IF(OR($B381="",$B381="(blank)"),"",VLOOKUP($B381,'Email Marketing Raw Data'!$C:$O,8,0)),"")</f>
        <v/>
      </c>
      <c r="Q381" s="62" t="str">
        <f>IFERROR(IF(OR($B381="",$B381="(blank)"),"",VLOOKUP($B381,'Email Marketing Raw Data'!$C:$O,9,0)),"")</f>
        <v/>
      </c>
    </row>
    <row r="382" spans="4:17" ht="12.75" customHeight="1" x14ac:dyDescent="0.2">
      <c r="D382" s="58" t="str">
        <f>IFERROR(IF(F382&lt;&gt;"pending","",IF(OR($B382="",$B382="(blank)"),"",VLOOKUP($B382,'Email Marketing Raw Data'!$C:$O,10,0))),"")</f>
        <v/>
      </c>
      <c r="E382" s="59" t="str">
        <f>IFERROR(IF(F382&lt;&gt;"pending","",IF(OR($B382="",$B382="(blank)"),"",VLOOKUP($B382,'Email Marketing Raw Data'!$C:$O,11,0))),"")</f>
        <v/>
      </c>
      <c r="F382" s="54" t="str">
        <f>IFERROR(IF(OR($B382="",$B382="(blank)"),"",VLOOKUP($B382,'Email Marketing Raw Data'!$C:$O,13,0)),"")</f>
        <v/>
      </c>
      <c r="G382" s="55" t="str">
        <f>IFERROR(IF(OR($B382="",$B382="(blank)"),"",VLOOKUP($B382,'Email Marketing Raw Data'!$C:$O,4,0)),"")</f>
        <v/>
      </c>
      <c r="H382" s="55" t="str">
        <f>IFERROR(IF(OR($B382="",$B382="(blank)"),"",VLOOKUP($B382,'Email Marketing Raw Data'!$C:$O,5,0)),"")</f>
        <v/>
      </c>
      <c r="I382" s="55" t="str">
        <f>IFERROR(IF($G382="","",VLOOKUP('Dashboard And Emails Automate'!$G382,Database!$H:$N,3,0)),"")</f>
        <v/>
      </c>
      <c r="J382" s="55" t="str">
        <f>IFERROR(IF($G382="","",VLOOKUP('Dashboard And Emails Automate'!$G382,Database!$H:$N,4,0)),"")</f>
        <v/>
      </c>
      <c r="K382" s="55" t="str">
        <f>IFERROR(IF($G382="","",VLOOKUP('Dashboard And Emails Automate'!$G382,Database!$H:$N,5,0)),"")</f>
        <v/>
      </c>
      <c r="L382" s="55" t="str">
        <f>IFERROR(IF($G382="","",VLOOKUP('Dashboard And Emails Automate'!$G382,Database!$H:$N,6,0)),"")</f>
        <v/>
      </c>
      <c r="M382" s="55" t="str">
        <f>IFERROR(IF($G382="","",VLOOKUP('Dashboard And Emails Automate'!$G382,Database!$H:$N,7,0)),"")</f>
        <v/>
      </c>
      <c r="N382" s="55" t="str">
        <f>IFERROR(IF(OR($B382="",$B382="(blank)"),"",VLOOKUP($B382,'Email Marketing Raw Data'!$C:$O,6,0)),"")</f>
        <v/>
      </c>
      <c r="O382" s="55" t="str">
        <f>IFERROR(IF(OR($B382="",$B382="(blank)"),"",VLOOKUP($B382,'Email Marketing Raw Data'!$C:$O,7,0)),"")</f>
        <v/>
      </c>
      <c r="P382" s="55" t="str">
        <f>IFERROR(IF(OR($B382="",$B382="(blank)"),"",VLOOKUP($B382,'Email Marketing Raw Data'!$C:$O,8,0)),"")</f>
        <v/>
      </c>
      <c r="Q382" s="62" t="str">
        <f>IFERROR(IF(OR($B382="",$B382="(blank)"),"",VLOOKUP($B382,'Email Marketing Raw Data'!$C:$O,9,0)),"")</f>
        <v/>
      </c>
    </row>
    <row r="383" spans="4:17" ht="12.75" customHeight="1" x14ac:dyDescent="0.2">
      <c r="D383" s="58" t="str">
        <f>IFERROR(IF(F383&lt;&gt;"pending","",IF(OR($B383="",$B383="(blank)"),"",VLOOKUP($B383,'Email Marketing Raw Data'!$C:$O,10,0))),"")</f>
        <v/>
      </c>
      <c r="E383" s="59" t="str">
        <f>IFERROR(IF(F383&lt;&gt;"pending","",IF(OR($B383="",$B383="(blank)"),"",VLOOKUP($B383,'Email Marketing Raw Data'!$C:$O,11,0))),"")</f>
        <v/>
      </c>
      <c r="F383" s="54" t="str">
        <f>IFERROR(IF(OR($B383="",$B383="(blank)"),"",VLOOKUP($B383,'Email Marketing Raw Data'!$C:$O,13,0)),"")</f>
        <v/>
      </c>
      <c r="G383" s="55" t="str">
        <f>IFERROR(IF(OR($B383="",$B383="(blank)"),"",VLOOKUP($B383,'Email Marketing Raw Data'!$C:$O,4,0)),"")</f>
        <v/>
      </c>
      <c r="H383" s="55" t="str">
        <f>IFERROR(IF(OR($B383="",$B383="(blank)"),"",VLOOKUP($B383,'Email Marketing Raw Data'!$C:$O,5,0)),"")</f>
        <v/>
      </c>
      <c r="I383" s="55" t="str">
        <f>IFERROR(IF($G383="","",VLOOKUP('Dashboard And Emails Automate'!$G383,Database!$H:$N,3,0)),"")</f>
        <v/>
      </c>
      <c r="J383" s="55" t="str">
        <f>IFERROR(IF($G383="","",VLOOKUP('Dashboard And Emails Automate'!$G383,Database!$H:$N,4,0)),"")</f>
        <v/>
      </c>
      <c r="K383" s="55" t="str">
        <f>IFERROR(IF($G383="","",VLOOKUP('Dashboard And Emails Automate'!$G383,Database!$H:$N,5,0)),"")</f>
        <v/>
      </c>
      <c r="L383" s="55" t="str">
        <f>IFERROR(IF($G383="","",VLOOKUP('Dashboard And Emails Automate'!$G383,Database!$H:$N,6,0)),"")</f>
        <v/>
      </c>
      <c r="M383" s="55" t="str">
        <f>IFERROR(IF($G383="","",VLOOKUP('Dashboard And Emails Automate'!$G383,Database!$H:$N,7,0)),"")</f>
        <v/>
      </c>
      <c r="N383" s="55" t="str">
        <f>IFERROR(IF(OR($B383="",$B383="(blank)"),"",VLOOKUP($B383,'Email Marketing Raw Data'!$C:$O,6,0)),"")</f>
        <v/>
      </c>
      <c r="O383" s="55" t="str">
        <f>IFERROR(IF(OR($B383="",$B383="(blank)"),"",VLOOKUP($B383,'Email Marketing Raw Data'!$C:$O,7,0)),"")</f>
        <v/>
      </c>
      <c r="P383" s="55" t="str">
        <f>IFERROR(IF(OR($B383="",$B383="(blank)"),"",VLOOKUP($B383,'Email Marketing Raw Data'!$C:$O,8,0)),"")</f>
        <v/>
      </c>
      <c r="Q383" s="62" t="str">
        <f>IFERROR(IF(OR($B383="",$B383="(blank)"),"",VLOOKUP($B383,'Email Marketing Raw Data'!$C:$O,9,0)),"")</f>
        <v/>
      </c>
    </row>
    <row r="384" spans="4:17" ht="12.75" customHeight="1" x14ac:dyDescent="0.2">
      <c r="D384" s="58" t="str">
        <f>IFERROR(IF(F384&lt;&gt;"pending","",IF(OR($B384="",$B384="(blank)"),"",VLOOKUP($B384,'Email Marketing Raw Data'!$C:$O,10,0))),"")</f>
        <v/>
      </c>
      <c r="E384" s="59" t="str">
        <f>IFERROR(IF(F384&lt;&gt;"pending","",IF(OR($B384="",$B384="(blank)"),"",VLOOKUP($B384,'Email Marketing Raw Data'!$C:$O,11,0))),"")</f>
        <v/>
      </c>
      <c r="F384" s="54" t="str">
        <f>IFERROR(IF(OR($B384="",$B384="(blank)"),"",VLOOKUP($B384,'Email Marketing Raw Data'!$C:$O,13,0)),"")</f>
        <v/>
      </c>
      <c r="G384" s="55" t="str">
        <f>IFERROR(IF(OR($B384="",$B384="(blank)"),"",VLOOKUP($B384,'Email Marketing Raw Data'!$C:$O,4,0)),"")</f>
        <v/>
      </c>
      <c r="H384" s="55" t="str">
        <f>IFERROR(IF(OR($B384="",$B384="(blank)"),"",VLOOKUP($B384,'Email Marketing Raw Data'!$C:$O,5,0)),"")</f>
        <v/>
      </c>
      <c r="I384" s="55" t="str">
        <f>IFERROR(IF($G384="","",VLOOKUP('Dashboard And Emails Automate'!$G384,Database!$H:$N,3,0)),"")</f>
        <v/>
      </c>
      <c r="J384" s="55" t="str">
        <f>IFERROR(IF($G384="","",VLOOKUP('Dashboard And Emails Automate'!$G384,Database!$H:$N,4,0)),"")</f>
        <v/>
      </c>
      <c r="K384" s="55" t="str">
        <f>IFERROR(IF($G384="","",VLOOKUP('Dashboard And Emails Automate'!$G384,Database!$H:$N,5,0)),"")</f>
        <v/>
      </c>
      <c r="L384" s="55" t="str">
        <f>IFERROR(IF($G384="","",VLOOKUP('Dashboard And Emails Automate'!$G384,Database!$H:$N,6,0)),"")</f>
        <v/>
      </c>
      <c r="M384" s="55" t="str">
        <f>IFERROR(IF($G384="","",VLOOKUP('Dashboard And Emails Automate'!$G384,Database!$H:$N,7,0)),"")</f>
        <v/>
      </c>
      <c r="N384" s="55" t="str">
        <f>IFERROR(IF(OR($B384="",$B384="(blank)"),"",VLOOKUP($B384,'Email Marketing Raw Data'!$C:$O,6,0)),"")</f>
        <v/>
      </c>
      <c r="O384" s="55" t="str">
        <f>IFERROR(IF(OR($B384="",$B384="(blank)"),"",VLOOKUP($B384,'Email Marketing Raw Data'!$C:$O,7,0)),"")</f>
        <v/>
      </c>
      <c r="P384" s="55" t="str">
        <f>IFERROR(IF(OR($B384="",$B384="(blank)"),"",VLOOKUP($B384,'Email Marketing Raw Data'!$C:$O,8,0)),"")</f>
        <v/>
      </c>
      <c r="Q384" s="62" t="str">
        <f>IFERROR(IF(OR($B384="",$B384="(blank)"),"",VLOOKUP($B384,'Email Marketing Raw Data'!$C:$O,9,0)),"")</f>
        <v/>
      </c>
    </row>
    <row r="385" spans="4:17" ht="12.75" customHeight="1" x14ac:dyDescent="0.2">
      <c r="D385" s="58" t="str">
        <f>IFERROR(IF(F385&lt;&gt;"pending","",IF(OR($B385="",$B385="(blank)"),"",VLOOKUP($B385,'Email Marketing Raw Data'!$C:$O,10,0))),"")</f>
        <v/>
      </c>
      <c r="E385" s="59" t="str">
        <f>IFERROR(IF(F385&lt;&gt;"pending","",IF(OR($B385="",$B385="(blank)"),"",VLOOKUP($B385,'Email Marketing Raw Data'!$C:$O,11,0))),"")</f>
        <v/>
      </c>
      <c r="F385" s="54" t="str">
        <f>IFERROR(IF(OR($B385="",$B385="(blank)"),"",VLOOKUP($B385,'Email Marketing Raw Data'!$C:$O,13,0)),"")</f>
        <v/>
      </c>
      <c r="G385" s="55" t="str">
        <f>IFERROR(IF(OR($B385="",$B385="(blank)"),"",VLOOKUP($B385,'Email Marketing Raw Data'!$C:$O,4,0)),"")</f>
        <v/>
      </c>
      <c r="H385" s="55" t="str">
        <f>IFERROR(IF(OR($B385="",$B385="(blank)"),"",VLOOKUP($B385,'Email Marketing Raw Data'!$C:$O,5,0)),"")</f>
        <v/>
      </c>
      <c r="I385" s="55" t="str">
        <f>IFERROR(IF($G385="","",VLOOKUP('Dashboard And Emails Automate'!$G385,Database!$H:$N,3,0)),"")</f>
        <v/>
      </c>
      <c r="J385" s="55" t="str">
        <f>IFERROR(IF($G385="","",VLOOKUP('Dashboard And Emails Automate'!$G385,Database!$H:$N,4,0)),"")</f>
        <v/>
      </c>
      <c r="K385" s="55" t="str">
        <f>IFERROR(IF($G385="","",VLOOKUP('Dashboard And Emails Automate'!$G385,Database!$H:$N,5,0)),"")</f>
        <v/>
      </c>
      <c r="L385" s="55" t="str">
        <f>IFERROR(IF($G385="","",VLOOKUP('Dashboard And Emails Automate'!$G385,Database!$H:$N,6,0)),"")</f>
        <v/>
      </c>
      <c r="M385" s="55" t="str">
        <f>IFERROR(IF($G385="","",VLOOKUP('Dashboard And Emails Automate'!$G385,Database!$H:$N,7,0)),"")</f>
        <v/>
      </c>
      <c r="N385" s="55" t="str">
        <f>IFERROR(IF(OR($B385="",$B385="(blank)"),"",VLOOKUP($B385,'Email Marketing Raw Data'!$C:$O,6,0)),"")</f>
        <v/>
      </c>
      <c r="O385" s="55" t="str">
        <f>IFERROR(IF(OR($B385="",$B385="(blank)"),"",VLOOKUP($B385,'Email Marketing Raw Data'!$C:$O,7,0)),"")</f>
        <v/>
      </c>
      <c r="P385" s="55" t="str">
        <f>IFERROR(IF(OR($B385="",$B385="(blank)"),"",VLOOKUP($B385,'Email Marketing Raw Data'!$C:$O,8,0)),"")</f>
        <v/>
      </c>
      <c r="Q385" s="62" t="str">
        <f>IFERROR(IF(OR($B385="",$B385="(blank)"),"",VLOOKUP($B385,'Email Marketing Raw Data'!$C:$O,9,0)),"")</f>
        <v/>
      </c>
    </row>
    <row r="386" spans="4:17" ht="12.75" customHeight="1" x14ac:dyDescent="0.2">
      <c r="D386" s="58" t="str">
        <f>IFERROR(IF(F386&lt;&gt;"pending","",IF(OR($B386="",$B386="(blank)"),"",VLOOKUP($B386,'Email Marketing Raw Data'!$C:$O,10,0))),"")</f>
        <v/>
      </c>
      <c r="E386" s="59" t="str">
        <f>IFERROR(IF(F386&lt;&gt;"pending","",IF(OR($B386="",$B386="(blank)"),"",VLOOKUP($B386,'Email Marketing Raw Data'!$C:$O,11,0))),"")</f>
        <v/>
      </c>
      <c r="F386" s="54" t="str">
        <f>IFERROR(IF(OR($B386="",$B386="(blank)"),"",VLOOKUP($B386,'Email Marketing Raw Data'!$C:$O,13,0)),"")</f>
        <v/>
      </c>
      <c r="G386" s="55" t="str">
        <f>IFERROR(IF(OR($B386="",$B386="(blank)"),"",VLOOKUP($B386,'Email Marketing Raw Data'!$C:$O,4,0)),"")</f>
        <v/>
      </c>
      <c r="H386" s="55" t="str">
        <f>IFERROR(IF(OR($B386="",$B386="(blank)"),"",VLOOKUP($B386,'Email Marketing Raw Data'!$C:$O,5,0)),"")</f>
        <v/>
      </c>
      <c r="I386" s="55" t="str">
        <f>IFERROR(IF($G386="","",VLOOKUP('Dashboard And Emails Automate'!$G386,Database!$H:$N,3,0)),"")</f>
        <v/>
      </c>
      <c r="J386" s="55" t="str">
        <f>IFERROR(IF($G386="","",VLOOKUP('Dashboard And Emails Automate'!$G386,Database!$H:$N,4,0)),"")</f>
        <v/>
      </c>
      <c r="K386" s="55" t="str">
        <f>IFERROR(IF($G386="","",VLOOKUP('Dashboard And Emails Automate'!$G386,Database!$H:$N,5,0)),"")</f>
        <v/>
      </c>
      <c r="L386" s="55" t="str">
        <f>IFERROR(IF($G386="","",VLOOKUP('Dashboard And Emails Automate'!$G386,Database!$H:$N,6,0)),"")</f>
        <v/>
      </c>
      <c r="M386" s="55" t="str">
        <f>IFERROR(IF($G386="","",VLOOKUP('Dashboard And Emails Automate'!$G386,Database!$H:$N,7,0)),"")</f>
        <v/>
      </c>
      <c r="N386" s="55" t="str">
        <f>IFERROR(IF(OR($B386="",$B386="(blank)"),"",VLOOKUP($B386,'Email Marketing Raw Data'!$C:$O,6,0)),"")</f>
        <v/>
      </c>
      <c r="O386" s="55" t="str">
        <f>IFERROR(IF(OR($B386="",$B386="(blank)"),"",VLOOKUP($B386,'Email Marketing Raw Data'!$C:$O,7,0)),"")</f>
        <v/>
      </c>
      <c r="P386" s="55" t="str">
        <f>IFERROR(IF(OR($B386="",$B386="(blank)"),"",VLOOKUP($B386,'Email Marketing Raw Data'!$C:$O,8,0)),"")</f>
        <v/>
      </c>
      <c r="Q386" s="62" t="str">
        <f>IFERROR(IF(OR($B386="",$B386="(blank)"),"",VLOOKUP($B386,'Email Marketing Raw Data'!$C:$O,9,0)),"")</f>
        <v/>
      </c>
    </row>
    <row r="387" spans="4:17" ht="12.75" customHeight="1" x14ac:dyDescent="0.2">
      <c r="D387" s="58" t="str">
        <f>IFERROR(IF(F387&lt;&gt;"pending","",IF(OR($B387="",$B387="(blank)"),"",VLOOKUP($B387,'Email Marketing Raw Data'!$C:$O,10,0))),"")</f>
        <v/>
      </c>
      <c r="E387" s="59" t="str">
        <f>IFERROR(IF(F387&lt;&gt;"pending","",IF(OR($B387="",$B387="(blank)"),"",VLOOKUP($B387,'Email Marketing Raw Data'!$C:$O,11,0))),"")</f>
        <v/>
      </c>
      <c r="F387" s="54" t="str">
        <f>IFERROR(IF(OR($B387="",$B387="(blank)"),"",VLOOKUP($B387,'Email Marketing Raw Data'!$C:$O,13,0)),"")</f>
        <v/>
      </c>
      <c r="G387" s="55" t="str">
        <f>IFERROR(IF(OR($B387="",$B387="(blank)"),"",VLOOKUP($B387,'Email Marketing Raw Data'!$C:$O,4,0)),"")</f>
        <v/>
      </c>
      <c r="H387" s="55" t="str">
        <f>IFERROR(IF(OR($B387="",$B387="(blank)"),"",VLOOKUP($B387,'Email Marketing Raw Data'!$C:$O,5,0)),"")</f>
        <v/>
      </c>
      <c r="I387" s="55" t="str">
        <f>IFERROR(IF($G387="","",VLOOKUP('Dashboard And Emails Automate'!$G387,Database!$H:$N,3,0)),"")</f>
        <v/>
      </c>
      <c r="J387" s="55" t="str">
        <f>IFERROR(IF($G387="","",VLOOKUP('Dashboard And Emails Automate'!$G387,Database!$H:$N,4,0)),"")</f>
        <v/>
      </c>
      <c r="K387" s="55" t="str">
        <f>IFERROR(IF($G387="","",VLOOKUP('Dashboard And Emails Automate'!$G387,Database!$H:$N,5,0)),"")</f>
        <v/>
      </c>
      <c r="L387" s="55" t="str">
        <f>IFERROR(IF($G387="","",VLOOKUP('Dashboard And Emails Automate'!$G387,Database!$H:$N,6,0)),"")</f>
        <v/>
      </c>
      <c r="M387" s="55" t="str">
        <f>IFERROR(IF($G387="","",VLOOKUP('Dashboard And Emails Automate'!$G387,Database!$H:$N,7,0)),"")</f>
        <v/>
      </c>
      <c r="N387" s="55" t="str">
        <f>IFERROR(IF(OR($B387="",$B387="(blank)"),"",VLOOKUP($B387,'Email Marketing Raw Data'!$C:$O,6,0)),"")</f>
        <v/>
      </c>
      <c r="O387" s="55" t="str">
        <f>IFERROR(IF(OR($B387="",$B387="(blank)"),"",VLOOKUP($B387,'Email Marketing Raw Data'!$C:$O,7,0)),"")</f>
        <v/>
      </c>
      <c r="P387" s="55" t="str">
        <f>IFERROR(IF(OR($B387="",$B387="(blank)"),"",VLOOKUP($B387,'Email Marketing Raw Data'!$C:$O,8,0)),"")</f>
        <v/>
      </c>
      <c r="Q387" s="62" t="str">
        <f>IFERROR(IF(OR($B387="",$B387="(blank)"),"",VLOOKUP($B387,'Email Marketing Raw Data'!$C:$O,9,0)),"")</f>
        <v/>
      </c>
    </row>
    <row r="388" spans="4:17" ht="12.75" customHeight="1" x14ac:dyDescent="0.2">
      <c r="D388" s="58" t="str">
        <f>IFERROR(IF(F388&lt;&gt;"pending","",IF(OR($B388="",$B388="(blank)"),"",VLOOKUP($B388,'Email Marketing Raw Data'!$C:$O,10,0))),"")</f>
        <v/>
      </c>
      <c r="E388" s="59" t="str">
        <f>IFERROR(IF(F388&lt;&gt;"pending","",IF(OR($B388="",$B388="(blank)"),"",VLOOKUP($B388,'Email Marketing Raw Data'!$C:$O,11,0))),"")</f>
        <v/>
      </c>
      <c r="F388" s="54" t="str">
        <f>IFERROR(IF(OR($B388="",$B388="(blank)"),"",VLOOKUP($B388,'Email Marketing Raw Data'!$C:$O,13,0)),"")</f>
        <v/>
      </c>
      <c r="G388" s="55" t="str">
        <f>IFERROR(IF(OR($B388="",$B388="(blank)"),"",VLOOKUP($B388,'Email Marketing Raw Data'!$C:$O,4,0)),"")</f>
        <v/>
      </c>
      <c r="H388" s="55" t="str">
        <f>IFERROR(IF(OR($B388="",$B388="(blank)"),"",VLOOKUP($B388,'Email Marketing Raw Data'!$C:$O,5,0)),"")</f>
        <v/>
      </c>
      <c r="I388" s="55" t="str">
        <f>IFERROR(IF($G388="","",VLOOKUP('Dashboard And Emails Automate'!$G388,Database!$H:$N,3,0)),"")</f>
        <v/>
      </c>
      <c r="J388" s="55" t="str">
        <f>IFERROR(IF($G388="","",VLOOKUP('Dashboard And Emails Automate'!$G388,Database!$H:$N,4,0)),"")</f>
        <v/>
      </c>
      <c r="K388" s="55" t="str">
        <f>IFERROR(IF($G388="","",VLOOKUP('Dashboard And Emails Automate'!$G388,Database!$H:$N,5,0)),"")</f>
        <v/>
      </c>
      <c r="L388" s="55" t="str">
        <f>IFERROR(IF($G388="","",VLOOKUP('Dashboard And Emails Automate'!$G388,Database!$H:$N,6,0)),"")</f>
        <v/>
      </c>
      <c r="M388" s="55" t="str">
        <f>IFERROR(IF($G388="","",VLOOKUP('Dashboard And Emails Automate'!$G388,Database!$H:$N,7,0)),"")</f>
        <v/>
      </c>
      <c r="N388" s="55" t="str">
        <f>IFERROR(IF(OR($B388="",$B388="(blank)"),"",VLOOKUP($B388,'Email Marketing Raw Data'!$C:$O,6,0)),"")</f>
        <v/>
      </c>
      <c r="O388" s="55" t="str">
        <f>IFERROR(IF(OR($B388="",$B388="(blank)"),"",VLOOKUP($B388,'Email Marketing Raw Data'!$C:$O,7,0)),"")</f>
        <v/>
      </c>
      <c r="P388" s="55" t="str">
        <f>IFERROR(IF(OR($B388="",$B388="(blank)"),"",VLOOKUP($B388,'Email Marketing Raw Data'!$C:$O,8,0)),"")</f>
        <v/>
      </c>
      <c r="Q388" s="62" t="str">
        <f>IFERROR(IF(OR($B388="",$B388="(blank)"),"",VLOOKUP($B388,'Email Marketing Raw Data'!$C:$O,9,0)),"")</f>
        <v/>
      </c>
    </row>
    <row r="389" spans="4:17" ht="12.75" customHeight="1" x14ac:dyDescent="0.2">
      <c r="D389" s="58" t="str">
        <f>IFERROR(IF(F389&lt;&gt;"pending","",IF(OR($B389="",$B389="(blank)"),"",VLOOKUP($B389,'Email Marketing Raw Data'!$C:$O,10,0))),"")</f>
        <v/>
      </c>
      <c r="E389" s="59" t="str">
        <f>IFERROR(IF(F389&lt;&gt;"pending","",IF(OR($B389="",$B389="(blank)"),"",VLOOKUP($B389,'Email Marketing Raw Data'!$C:$O,11,0))),"")</f>
        <v/>
      </c>
      <c r="F389" s="54" t="str">
        <f>IFERROR(IF(OR($B389="",$B389="(blank)"),"",VLOOKUP($B389,'Email Marketing Raw Data'!$C:$O,13,0)),"")</f>
        <v/>
      </c>
      <c r="G389" s="55" t="str">
        <f>IFERROR(IF(OR($B389="",$B389="(blank)"),"",VLOOKUP($B389,'Email Marketing Raw Data'!$C:$O,4,0)),"")</f>
        <v/>
      </c>
      <c r="H389" s="55" t="str">
        <f>IFERROR(IF(OR($B389="",$B389="(blank)"),"",VLOOKUP($B389,'Email Marketing Raw Data'!$C:$O,5,0)),"")</f>
        <v/>
      </c>
      <c r="I389" s="55" t="str">
        <f>IFERROR(IF($G389="","",VLOOKUP('Dashboard And Emails Automate'!$G389,Database!$H:$N,3,0)),"")</f>
        <v/>
      </c>
      <c r="J389" s="55" t="str">
        <f>IFERROR(IF($G389="","",VLOOKUP('Dashboard And Emails Automate'!$G389,Database!$H:$N,4,0)),"")</f>
        <v/>
      </c>
      <c r="K389" s="55" t="str">
        <f>IFERROR(IF($G389="","",VLOOKUP('Dashboard And Emails Automate'!$G389,Database!$H:$N,5,0)),"")</f>
        <v/>
      </c>
      <c r="L389" s="55" t="str">
        <f>IFERROR(IF($G389="","",VLOOKUP('Dashboard And Emails Automate'!$G389,Database!$H:$N,6,0)),"")</f>
        <v/>
      </c>
      <c r="M389" s="55" t="str">
        <f>IFERROR(IF($G389="","",VLOOKUP('Dashboard And Emails Automate'!$G389,Database!$H:$N,7,0)),"")</f>
        <v/>
      </c>
      <c r="N389" s="55" t="str">
        <f>IFERROR(IF(OR($B389="",$B389="(blank)"),"",VLOOKUP($B389,'Email Marketing Raw Data'!$C:$O,6,0)),"")</f>
        <v/>
      </c>
      <c r="O389" s="55" t="str">
        <f>IFERROR(IF(OR($B389="",$B389="(blank)"),"",VLOOKUP($B389,'Email Marketing Raw Data'!$C:$O,7,0)),"")</f>
        <v/>
      </c>
      <c r="P389" s="55" t="str">
        <f>IFERROR(IF(OR($B389="",$B389="(blank)"),"",VLOOKUP($B389,'Email Marketing Raw Data'!$C:$O,8,0)),"")</f>
        <v/>
      </c>
      <c r="Q389" s="62" t="str">
        <f>IFERROR(IF(OR($B389="",$B389="(blank)"),"",VLOOKUP($B389,'Email Marketing Raw Data'!$C:$O,9,0)),"")</f>
        <v/>
      </c>
    </row>
    <row r="390" spans="4:17" ht="12.75" customHeight="1" x14ac:dyDescent="0.2">
      <c r="D390" s="58" t="str">
        <f>IFERROR(IF(F390&lt;&gt;"pending","",IF(OR($B390="",$B390="(blank)"),"",VLOOKUP($B390,'Email Marketing Raw Data'!$C:$O,10,0))),"")</f>
        <v/>
      </c>
      <c r="E390" s="59" t="str">
        <f>IFERROR(IF(F390&lt;&gt;"pending","",IF(OR($B390="",$B390="(blank)"),"",VLOOKUP($B390,'Email Marketing Raw Data'!$C:$O,11,0))),"")</f>
        <v/>
      </c>
      <c r="F390" s="54" t="str">
        <f>IFERROR(IF(OR($B390="",$B390="(blank)"),"",VLOOKUP($B390,'Email Marketing Raw Data'!$C:$O,13,0)),"")</f>
        <v/>
      </c>
      <c r="G390" s="55" t="str">
        <f>IFERROR(IF(OR($B390="",$B390="(blank)"),"",VLOOKUP($B390,'Email Marketing Raw Data'!$C:$O,4,0)),"")</f>
        <v/>
      </c>
      <c r="H390" s="55" t="str">
        <f>IFERROR(IF(OR($B390="",$B390="(blank)"),"",VLOOKUP($B390,'Email Marketing Raw Data'!$C:$O,5,0)),"")</f>
        <v/>
      </c>
      <c r="I390" s="55" t="str">
        <f>IFERROR(IF($G390="","",VLOOKUP('Dashboard And Emails Automate'!$G390,Database!$H:$N,3,0)),"")</f>
        <v/>
      </c>
      <c r="J390" s="55" t="str">
        <f>IFERROR(IF($G390="","",VLOOKUP('Dashboard And Emails Automate'!$G390,Database!$H:$N,4,0)),"")</f>
        <v/>
      </c>
      <c r="K390" s="55" t="str">
        <f>IFERROR(IF($G390="","",VLOOKUP('Dashboard And Emails Automate'!$G390,Database!$H:$N,5,0)),"")</f>
        <v/>
      </c>
      <c r="L390" s="55" t="str">
        <f>IFERROR(IF($G390="","",VLOOKUP('Dashboard And Emails Automate'!$G390,Database!$H:$N,6,0)),"")</f>
        <v/>
      </c>
      <c r="M390" s="55" t="str">
        <f>IFERROR(IF($G390="","",VLOOKUP('Dashboard And Emails Automate'!$G390,Database!$H:$N,7,0)),"")</f>
        <v/>
      </c>
      <c r="N390" s="55" t="str">
        <f>IFERROR(IF(OR($B390="",$B390="(blank)"),"",VLOOKUP($B390,'Email Marketing Raw Data'!$C:$O,6,0)),"")</f>
        <v/>
      </c>
      <c r="O390" s="55" t="str">
        <f>IFERROR(IF(OR($B390="",$B390="(blank)"),"",VLOOKUP($B390,'Email Marketing Raw Data'!$C:$O,7,0)),"")</f>
        <v/>
      </c>
      <c r="P390" s="55" t="str">
        <f>IFERROR(IF(OR($B390="",$B390="(blank)"),"",VLOOKUP($B390,'Email Marketing Raw Data'!$C:$O,8,0)),"")</f>
        <v/>
      </c>
      <c r="Q390" s="62" t="str">
        <f>IFERROR(IF(OR($B390="",$B390="(blank)"),"",VLOOKUP($B390,'Email Marketing Raw Data'!$C:$O,9,0)),"")</f>
        <v/>
      </c>
    </row>
    <row r="391" spans="4:17" ht="12.75" customHeight="1" x14ac:dyDescent="0.2">
      <c r="D391" s="58" t="str">
        <f>IFERROR(IF(F391&lt;&gt;"pending","",IF(OR($B391="",$B391="(blank)"),"",VLOOKUP($B391,'Email Marketing Raw Data'!$C:$O,10,0))),"")</f>
        <v/>
      </c>
      <c r="E391" s="59" t="str">
        <f>IFERROR(IF(F391&lt;&gt;"pending","",IF(OR($B391="",$B391="(blank)"),"",VLOOKUP($B391,'Email Marketing Raw Data'!$C:$O,11,0))),"")</f>
        <v/>
      </c>
      <c r="F391" s="54" t="str">
        <f>IFERROR(IF(OR($B391="",$B391="(blank)"),"",VLOOKUP($B391,'Email Marketing Raw Data'!$C:$O,13,0)),"")</f>
        <v/>
      </c>
      <c r="G391" s="55" t="str">
        <f>IFERROR(IF(OR($B391="",$B391="(blank)"),"",VLOOKUP($B391,'Email Marketing Raw Data'!$C:$O,4,0)),"")</f>
        <v/>
      </c>
      <c r="H391" s="55" t="str">
        <f>IFERROR(IF(OR($B391="",$B391="(blank)"),"",VLOOKUP($B391,'Email Marketing Raw Data'!$C:$O,5,0)),"")</f>
        <v/>
      </c>
      <c r="I391" s="55" t="str">
        <f>IFERROR(IF($G391="","",VLOOKUP('Dashboard And Emails Automate'!$G391,Database!$H:$N,3,0)),"")</f>
        <v/>
      </c>
      <c r="J391" s="55" t="str">
        <f>IFERROR(IF($G391="","",VLOOKUP('Dashboard And Emails Automate'!$G391,Database!$H:$N,4,0)),"")</f>
        <v/>
      </c>
      <c r="K391" s="55" t="str">
        <f>IFERROR(IF($G391="","",VLOOKUP('Dashboard And Emails Automate'!$G391,Database!$H:$N,5,0)),"")</f>
        <v/>
      </c>
      <c r="L391" s="55" t="str">
        <f>IFERROR(IF($G391="","",VLOOKUP('Dashboard And Emails Automate'!$G391,Database!$H:$N,6,0)),"")</f>
        <v/>
      </c>
      <c r="M391" s="55" t="str">
        <f>IFERROR(IF($G391="","",VLOOKUP('Dashboard And Emails Automate'!$G391,Database!$H:$N,7,0)),"")</f>
        <v/>
      </c>
      <c r="N391" s="55" t="str">
        <f>IFERROR(IF(OR($B391="",$B391="(blank)"),"",VLOOKUP($B391,'Email Marketing Raw Data'!$C:$O,6,0)),"")</f>
        <v/>
      </c>
      <c r="O391" s="55" t="str">
        <f>IFERROR(IF(OR($B391="",$B391="(blank)"),"",VLOOKUP($B391,'Email Marketing Raw Data'!$C:$O,7,0)),"")</f>
        <v/>
      </c>
      <c r="P391" s="55" t="str">
        <f>IFERROR(IF(OR($B391="",$B391="(blank)"),"",VLOOKUP($B391,'Email Marketing Raw Data'!$C:$O,8,0)),"")</f>
        <v/>
      </c>
      <c r="Q391" s="62" t="str">
        <f>IFERROR(IF(OR($B391="",$B391="(blank)"),"",VLOOKUP($B391,'Email Marketing Raw Data'!$C:$O,9,0)),"")</f>
        <v/>
      </c>
    </row>
    <row r="392" spans="4:17" ht="12.75" customHeight="1" x14ac:dyDescent="0.2">
      <c r="D392" s="58" t="str">
        <f>IFERROR(IF(F392&lt;&gt;"pending","",IF(OR($B392="",$B392="(blank)"),"",VLOOKUP($B392,'Email Marketing Raw Data'!$C:$O,10,0))),"")</f>
        <v/>
      </c>
      <c r="E392" s="59" t="str">
        <f>IFERROR(IF(F392&lt;&gt;"pending","",IF(OR($B392="",$B392="(blank)"),"",VLOOKUP($B392,'Email Marketing Raw Data'!$C:$O,11,0))),"")</f>
        <v/>
      </c>
      <c r="F392" s="54" t="str">
        <f>IFERROR(IF(OR($B392="",$B392="(blank)"),"",VLOOKUP($B392,'Email Marketing Raw Data'!$C:$O,13,0)),"")</f>
        <v/>
      </c>
      <c r="G392" s="55" t="str">
        <f>IFERROR(IF(OR($B392="",$B392="(blank)"),"",VLOOKUP($B392,'Email Marketing Raw Data'!$C:$O,4,0)),"")</f>
        <v/>
      </c>
      <c r="H392" s="55" t="str">
        <f>IFERROR(IF(OR($B392="",$B392="(blank)"),"",VLOOKUP($B392,'Email Marketing Raw Data'!$C:$O,5,0)),"")</f>
        <v/>
      </c>
      <c r="I392" s="55" t="str">
        <f>IFERROR(IF($G392="","",VLOOKUP('Dashboard And Emails Automate'!$G392,Database!$H:$N,3,0)),"")</f>
        <v/>
      </c>
      <c r="J392" s="55" t="str">
        <f>IFERROR(IF($G392="","",VLOOKUP('Dashboard And Emails Automate'!$G392,Database!$H:$N,4,0)),"")</f>
        <v/>
      </c>
      <c r="K392" s="55" t="str">
        <f>IFERROR(IF($G392="","",VLOOKUP('Dashboard And Emails Automate'!$G392,Database!$H:$N,5,0)),"")</f>
        <v/>
      </c>
      <c r="L392" s="55" t="str">
        <f>IFERROR(IF($G392="","",VLOOKUP('Dashboard And Emails Automate'!$G392,Database!$H:$N,6,0)),"")</f>
        <v/>
      </c>
      <c r="M392" s="55" t="str">
        <f>IFERROR(IF($G392="","",VLOOKUP('Dashboard And Emails Automate'!$G392,Database!$H:$N,7,0)),"")</f>
        <v/>
      </c>
      <c r="N392" s="55" t="str">
        <f>IFERROR(IF(OR($B392="",$B392="(blank)"),"",VLOOKUP($B392,'Email Marketing Raw Data'!$C:$O,6,0)),"")</f>
        <v/>
      </c>
      <c r="O392" s="55" t="str">
        <f>IFERROR(IF(OR($B392="",$B392="(blank)"),"",VLOOKUP($B392,'Email Marketing Raw Data'!$C:$O,7,0)),"")</f>
        <v/>
      </c>
      <c r="P392" s="55" t="str">
        <f>IFERROR(IF(OR($B392="",$B392="(blank)"),"",VLOOKUP($B392,'Email Marketing Raw Data'!$C:$O,8,0)),"")</f>
        <v/>
      </c>
      <c r="Q392" s="62" t="str">
        <f>IFERROR(IF(OR($B392="",$B392="(blank)"),"",VLOOKUP($B392,'Email Marketing Raw Data'!$C:$O,9,0)),"")</f>
        <v/>
      </c>
    </row>
    <row r="393" spans="4:17" ht="12.75" customHeight="1" x14ac:dyDescent="0.2">
      <c r="D393" s="58" t="str">
        <f>IFERROR(IF(F393&lt;&gt;"pending","",IF(OR($B393="",$B393="(blank)"),"",VLOOKUP($B393,'Email Marketing Raw Data'!$C:$O,10,0))),"")</f>
        <v/>
      </c>
      <c r="E393" s="59" t="str">
        <f>IFERROR(IF(F393&lt;&gt;"pending","",IF(OR($B393="",$B393="(blank)"),"",VLOOKUP($B393,'Email Marketing Raw Data'!$C:$O,11,0))),"")</f>
        <v/>
      </c>
      <c r="F393" s="54" t="str">
        <f>IFERROR(IF(OR($B393="",$B393="(blank)"),"",VLOOKUP($B393,'Email Marketing Raw Data'!$C:$O,13,0)),"")</f>
        <v/>
      </c>
      <c r="G393" s="55" t="str">
        <f>IFERROR(IF(OR($B393="",$B393="(blank)"),"",VLOOKUP($B393,'Email Marketing Raw Data'!$C:$O,4,0)),"")</f>
        <v/>
      </c>
      <c r="H393" s="55" t="str">
        <f>IFERROR(IF(OR($B393="",$B393="(blank)"),"",VLOOKUP($B393,'Email Marketing Raw Data'!$C:$O,5,0)),"")</f>
        <v/>
      </c>
      <c r="I393" s="55" t="str">
        <f>IFERROR(IF($G393="","",VLOOKUP('Dashboard And Emails Automate'!$G393,Database!$H:$N,3,0)),"")</f>
        <v/>
      </c>
      <c r="J393" s="55" t="str">
        <f>IFERROR(IF($G393="","",VLOOKUP('Dashboard And Emails Automate'!$G393,Database!$H:$N,4,0)),"")</f>
        <v/>
      </c>
      <c r="K393" s="55" t="str">
        <f>IFERROR(IF($G393="","",VLOOKUP('Dashboard And Emails Automate'!$G393,Database!$H:$N,5,0)),"")</f>
        <v/>
      </c>
      <c r="L393" s="55" t="str">
        <f>IFERROR(IF($G393="","",VLOOKUP('Dashboard And Emails Automate'!$G393,Database!$H:$N,6,0)),"")</f>
        <v/>
      </c>
      <c r="M393" s="55" t="str">
        <f>IFERROR(IF($G393="","",VLOOKUP('Dashboard And Emails Automate'!$G393,Database!$H:$N,7,0)),"")</f>
        <v/>
      </c>
      <c r="N393" s="55" t="str">
        <f>IFERROR(IF(OR($B393="",$B393="(blank)"),"",VLOOKUP($B393,'Email Marketing Raw Data'!$C:$O,6,0)),"")</f>
        <v/>
      </c>
      <c r="O393" s="55" t="str">
        <f>IFERROR(IF(OR($B393="",$B393="(blank)"),"",VLOOKUP($B393,'Email Marketing Raw Data'!$C:$O,7,0)),"")</f>
        <v/>
      </c>
      <c r="P393" s="55" t="str">
        <f>IFERROR(IF(OR($B393="",$B393="(blank)"),"",VLOOKUP($B393,'Email Marketing Raw Data'!$C:$O,8,0)),"")</f>
        <v/>
      </c>
      <c r="Q393" s="62" t="str">
        <f>IFERROR(IF(OR($B393="",$B393="(blank)"),"",VLOOKUP($B393,'Email Marketing Raw Data'!$C:$O,9,0)),"")</f>
        <v/>
      </c>
    </row>
    <row r="394" spans="4:17" ht="12.75" customHeight="1" x14ac:dyDescent="0.2">
      <c r="D394" s="58" t="str">
        <f>IFERROR(IF(F394&lt;&gt;"pending","",IF(OR($B394="",$B394="(blank)"),"",VLOOKUP($B394,'Email Marketing Raw Data'!$C:$O,10,0))),"")</f>
        <v/>
      </c>
      <c r="E394" s="59" t="str">
        <f>IFERROR(IF(F394&lt;&gt;"pending","",IF(OR($B394="",$B394="(blank)"),"",VLOOKUP($B394,'Email Marketing Raw Data'!$C:$O,11,0))),"")</f>
        <v/>
      </c>
      <c r="F394" s="54" t="str">
        <f>IFERROR(IF(OR($B394="",$B394="(blank)"),"",VLOOKUP($B394,'Email Marketing Raw Data'!$C:$O,13,0)),"")</f>
        <v/>
      </c>
      <c r="G394" s="55" t="str">
        <f>IFERROR(IF(OR($B394="",$B394="(blank)"),"",VLOOKUP($B394,'Email Marketing Raw Data'!$C:$O,4,0)),"")</f>
        <v/>
      </c>
      <c r="H394" s="55" t="str">
        <f>IFERROR(IF(OR($B394="",$B394="(blank)"),"",VLOOKUP($B394,'Email Marketing Raw Data'!$C:$O,5,0)),"")</f>
        <v/>
      </c>
      <c r="I394" s="55" t="str">
        <f>IFERROR(IF($G394="","",VLOOKUP('Dashboard And Emails Automate'!$G394,Database!$H:$N,3,0)),"")</f>
        <v/>
      </c>
      <c r="J394" s="55" t="str">
        <f>IFERROR(IF($G394="","",VLOOKUP('Dashboard And Emails Automate'!$G394,Database!$H:$N,4,0)),"")</f>
        <v/>
      </c>
      <c r="K394" s="55" t="str">
        <f>IFERROR(IF($G394="","",VLOOKUP('Dashboard And Emails Automate'!$G394,Database!$H:$N,5,0)),"")</f>
        <v/>
      </c>
      <c r="L394" s="55" t="str">
        <f>IFERROR(IF($G394="","",VLOOKUP('Dashboard And Emails Automate'!$G394,Database!$H:$N,6,0)),"")</f>
        <v/>
      </c>
      <c r="M394" s="55" t="str">
        <f>IFERROR(IF($G394="","",VLOOKUP('Dashboard And Emails Automate'!$G394,Database!$H:$N,7,0)),"")</f>
        <v/>
      </c>
      <c r="N394" s="55" t="str">
        <f>IFERROR(IF(OR($B394="",$B394="(blank)"),"",VLOOKUP($B394,'Email Marketing Raw Data'!$C:$O,6,0)),"")</f>
        <v/>
      </c>
      <c r="O394" s="55" t="str">
        <f>IFERROR(IF(OR($B394="",$B394="(blank)"),"",VLOOKUP($B394,'Email Marketing Raw Data'!$C:$O,7,0)),"")</f>
        <v/>
      </c>
      <c r="P394" s="55" t="str">
        <f>IFERROR(IF(OR($B394="",$B394="(blank)"),"",VLOOKUP($B394,'Email Marketing Raw Data'!$C:$O,8,0)),"")</f>
        <v/>
      </c>
      <c r="Q394" s="62" t="str">
        <f>IFERROR(IF(OR($B394="",$B394="(blank)"),"",VLOOKUP($B394,'Email Marketing Raw Data'!$C:$O,9,0)),"")</f>
        <v/>
      </c>
    </row>
    <row r="395" spans="4:17" ht="12.75" customHeight="1" x14ac:dyDescent="0.2">
      <c r="D395" s="58" t="str">
        <f>IFERROR(IF(F395&lt;&gt;"pending","",IF(OR($B395="",$B395="(blank)"),"",VLOOKUP($B395,'Email Marketing Raw Data'!$C:$O,10,0))),"")</f>
        <v/>
      </c>
      <c r="E395" s="59" t="str">
        <f>IFERROR(IF(F395&lt;&gt;"pending","",IF(OR($B395="",$B395="(blank)"),"",VLOOKUP($B395,'Email Marketing Raw Data'!$C:$O,11,0))),"")</f>
        <v/>
      </c>
      <c r="F395" s="54" t="str">
        <f>IFERROR(IF(OR($B395="",$B395="(blank)"),"",VLOOKUP($B395,'Email Marketing Raw Data'!$C:$O,13,0)),"")</f>
        <v/>
      </c>
      <c r="G395" s="55" t="str">
        <f>IFERROR(IF(OR($B395="",$B395="(blank)"),"",VLOOKUP($B395,'Email Marketing Raw Data'!$C:$O,4,0)),"")</f>
        <v/>
      </c>
      <c r="H395" s="55" t="str">
        <f>IFERROR(IF(OR($B395="",$B395="(blank)"),"",VLOOKUP($B395,'Email Marketing Raw Data'!$C:$O,5,0)),"")</f>
        <v/>
      </c>
      <c r="I395" s="55" t="str">
        <f>IFERROR(IF($G395="","",VLOOKUP('Dashboard And Emails Automate'!$G395,Database!$H:$N,3,0)),"")</f>
        <v/>
      </c>
      <c r="J395" s="55" t="str">
        <f>IFERROR(IF($G395="","",VLOOKUP('Dashboard And Emails Automate'!$G395,Database!$H:$N,4,0)),"")</f>
        <v/>
      </c>
      <c r="K395" s="55" t="str">
        <f>IFERROR(IF($G395="","",VLOOKUP('Dashboard And Emails Automate'!$G395,Database!$H:$N,5,0)),"")</f>
        <v/>
      </c>
      <c r="L395" s="55" t="str">
        <f>IFERROR(IF($G395="","",VLOOKUP('Dashboard And Emails Automate'!$G395,Database!$H:$N,6,0)),"")</f>
        <v/>
      </c>
      <c r="M395" s="55" t="str">
        <f>IFERROR(IF($G395="","",VLOOKUP('Dashboard And Emails Automate'!$G395,Database!$H:$N,7,0)),"")</f>
        <v/>
      </c>
      <c r="N395" s="55" t="str">
        <f>IFERROR(IF(OR($B395="",$B395="(blank)"),"",VLOOKUP($B395,'Email Marketing Raw Data'!$C:$O,6,0)),"")</f>
        <v/>
      </c>
      <c r="O395" s="55" t="str">
        <f>IFERROR(IF(OR($B395="",$B395="(blank)"),"",VLOOKUP($B395,'Email Marketing Raw Data'!$C:$O,7,0)),"")</f>
        <v/>
      </c>
      <c r="P395" s="55" t="str">
        <f>IFERROR(IF(OR($B395="",$B395="(blank)"),"",VLOOKUP($B395,'Email Marketing Raw Data'!$C:$O,8,0)),"")</f>
        <v/>
      </c>
      <c r="Q395" s="62" t="str">
        <f>IFERROR(IF(OR($B395="",$B395="(blank)"),"",VLOOKUP($B395,'Email Marketing Raw Data'!$C:$O,9,0)),"")</f>
        <v/>
      </c>
    </row>
    <row r="396" spans="4:17" ht="12.75" customHeight="1" x14ac:dyDescent="0.2">
      <c r="D396" s="58" t="str">
        <f>IFERROR(IF(F396&lt;&gt;"pending","",IF(OR($B396="",$B396="(blank)"),"",VLOOKUP($B396,'Email Marketing Raw Data'!$C:$O,10,0))),"")</f>
        <v/>
      </c>
      <c r="E396" s="59" t="str">
        <f>IFERROR(IF(F396&lt;&gt;"pending","",IF(OR($B396="",$B396="(blank)"),"",VLOOKUP($B396,'Email Marketing Raw Data'!$C:$O,11,0))),"")</f>
        <v/>
      </c>
      <c r="F396" s="54" t="str">
        <f>IFERROR(IF(OR($B396="",$B396="(blank)"),"",VLOOKUP($B396,'Email Marketing Raw Data'!$C:$O,13,0)),"")</f>
        <v/>
      </c>
      <c r="G396" s="55" t="str">
        <f>IFERROR(IF(OR($B396="",$B396="(blank)"),"",VLOOKUP($B396,'Email Marketing Raw Data'!$C:$O,4,0)),"")</f>
        <v/>
      </c>
      <c r="H396" s="55" t="str">
        <f>IFERROR(IF(OR($B396="",$B396="(blank)"),"",VLOOKUP($B396,'Email Marketing Raw Data'!$C:$O,5,0)),"")</f>
        <v/>
      </c>
      <c r="I396" s="55" t="str">
        <f>IFERROR(IF($G396="","",VLOOKUP('Dashboard And Emails Automate'!$G396,Database!$H:$N,3,0)),"")</f>
        <v/>
      </c>
      <c r="J396" s="55" t="str">
        <f>IFERROR(IF($G396="","",VLOOKUP('Dashboard And Emails Automate'!$G396,Database!$H:$N,4,0)),"")</f>
        <v/>
      </c>
      <c r="K396" s="55" t="str">
        <f>IFERROR(IF($G396="","",VLOOKUP('Dashboard And Emails Automate'!$G396,Database!$H:$N,5,0)),"")</f>
        <v/>
      </c>
      <c r="L396" s="55" t="str">
        <f>IFERROR(IF($G396="","",VLOOKUP('Dashboard And Emails Automate'!$G396,Database!$H:$N,6,0)),"")</f>
        <v/>
      </c>
      <c r="M396" s="55" t="str">
        <f>IFERROR(IF($G396="","",VLOOKUP('Dashboard And Emails Automate'!$G396,Database!$H:$N,7,0)),"")</f>
        <v/>
      </c>
      <c r="N396" s="55" t="str">
        <f>IFERROR(IF(OR($B396="",$B396="(blank)"),"",VLOOKUP($B396,'Email Marketing Raw Data'!$C:$O,6,0)),"")</f>
        <v/>
      </c>
      <c r="O396" s="55" t="str">
        <f>IFERROR(IF(OR($B396="",$B396="(blank)"),"",VLOOKUP($B396,'Email Marketing Raw Data'!$C:$O,7,0)),"")</f>
        <v/>
      </c>
      <c r="P396" s="55" t="str">
        <f>IFERROR(IF(OR($B396="",$B396="(blank)"),"",VLOOKUP($B396,'Email Marketing Raw Data'!$C:$O,8,0)),"")</f>
        <v/>
      </c>
      <c r="Q396" s="62" t="str">
        <f>IFERROR(IF(OR($B396="",$B396="(blank)"),"",VLOOKUP($B396,'Email Marketing Raw Data'!$C:$O,9,0)),"")</f>
        <v/>
      </c>
    </row>
    <row r="397" spans="4:17" ht="12.75" customHeight="1" x14ac:dyDescent="0.2">
      <c r="D397" s="58" t="str">
        <f>IFERROR(IF(F397&lt;&gt;"pending","",IF(OR($B397="",$B397="(blank)"),"",VLOOKUP($B397,'Email Marketing Raw Data'!$C:$O,10,0))),"")</f>
        <v/>
      </c>
      <c r="E397" s="59" t="str">
        <f>IFERROR(IF(F397&lt;&gt;"pending","",IF(OR($B397="",$B397="(blank)"),"",VLOOKUP($B397,'Email Marketing Raw Data'!$C:$O,11,0))),"")</f>
        <v/>
      </c>
      <c r="F397" s="54" t="str">
        <f>IFERROR(IF(OR($B397="",$B397="(blank)"),"",VLOOKUP($B397,'Email Marketing Raw Data'!$C:$O,13,0)),"")</f>
        <v/>
      </c>
      <c r="G397" s="55" t="str">
        <f>IFERROR(IF(OR($B397="",$B397="(blank)"),"",VLOOKUP($B397,'Email Marketing Raw Data'!$C:$O,4,0)),"")</f>
        <v/>
      </c>
      <c r="H397" s="55" t="str">
        <f>IFERROR(IF(OR($B397="",$B397="(blank)"),"",VLOOKUP($B397,'Email Marketing Raw Data'!$C:$O,5,0)),"")</f>
        <v/>
      </c>
      <c r="I397" s="55" t="str">
        <f>IFERROR(IF($G397="","",VLOOKUP('Dashboard And Emails Automate'!$G397,Database!$H:$N,3,0)),"")</f>
        <v/>
      </c>
      <c r="J397" s="55" t="str">
        <f>IFERROR(IF($G397="","",VLOOKUP('Dashboard And Emails Automate'!$G397,Database!$H:$N,4,0)),"")</f>
        <v/>
      </c>
      <c r="K397" s="55" t="str">
        <f>IFERROR(IF($G397="","",VLOOKUP('Dashboard And Emails Automate'!$G397,Database!$H:$N,5,0)),"")</f>
        <v/>
      </c>
      <c r="L397" s="55" t="str">
        <f>IFERROR(IF($G397="","",VLOOKUP('Dashboard And Emails Automate'!$G397,Database!$H:$N,6,0)),"")</f>
        <v/>
      </c>
      <c r="M397" s="55" t="str">
        <f>IFERROR(IF($G397="","",VLOOKUP('Dashboard And Emails Automate'!$G397,Database!$H:$N,7,0)),"")</f>
        <v/>
      </c>
      <c r="N397" s="55" t="str">
        <f>IFERROR(IF(OR($B397="",$B397="(blank)"),"",VLOOKUP($B397,'Email Marketing Raw Data'!$C:$O,6,0)),"")</f>
        <v/>
      </c>
      <c r="O397" s="55" t="str">
        <f>IFERROR(IF(OR($B397="",$B397="(blank)"),"",VLOOKUP($B397,'Email Marketing Raw Data'!$C:$O,7,0)),"")</f>
        <v/>
      </c>
      <c r="P397" s="55" t="str">
        <f>IFERROR(IF(OR($B397="",$B397="(blank)"),"",VLOOKUP($B397,'Email Marketing Raw Data'!$C:$O,8,0)),"")</f>
        <v/>
      </c>
      <c r="Q397" s="62" t="str">
        <f>IFERROR(IF(OR($B397="",$B397="(blank)"),"",VLOOKUP($B397,'Email Marketing Raw Data'!$C:$O,9,0)),"")</f>
        <v/>
      </c>
    </row>
    <row r="398" spans="4:17" ht="12.75" customHeight="1" x14ac:dyDescent="0.2">
      <c r="D398" s="58" t="str">
        <f>IFERROR(IF(F398&lt;&gt;"pending","",IF(OR($B398="",$B398="(blank)"),"",VLOOKUP($B398,'Email Marketing Raw Data'!$C:$O,10,0))),"")</f>
        <v/>
      </c>
      <c r="E398" s="59" t="str">
        <f>IFERROR(IF(F398&lt;&gt;"pending","",IF(OR($B398="",$B398="(blank)"),"",VLOOKUP($B398,'Email Marketing Raw Data'!$C:$O,11,0))),"")</f>
        <v/>
      </c>
      <c r="F398" s="54" t="str">
        <f>IFERROR(IF(OR($B398="",$B398="(blank)"),"",VLOOKUP($B398,'Email Marketing Raw Data'!$C:$O,13,0)),"")</f>
        <v/>
      </c>
      <c r="G398" s="55" t="str">
        <f>IFERROR(IF(OR($B398="",$B398="(blank)"),"",VLOOKUP($B398,'Email Marketing Raw Data'!$C:$O,4,0)),"")</f>
        <v/>
      </c>
      <c r="H398" s="55" t="str">
        <f>IFERROR(IF(OR($B398="",$B398="(blank)"),"",VLOOKUP($B398,'Email Marketing Raw Data'!$C:$O,5,0)),"")</f>
        <v/>
      </c>
      <c r="I398" s="55" t="str">
        <f>IFERROR(IF($G398="","",VLOOKUP('Dashboard And Emails Automate'!$G398,Database!$H:$N,3,0)),"")</f>
        <v/>
      </c>
      <c r="J398" s="55" t="str">
        <f>IFERROR(IF($G398="","",VLOOKUP('Dashboard And Emails Automate'!$G398,Database!$H:$N,4,0)),"")</f>
        <v/>
      </c>
      <c r="K398" s="55" t="str">
        <f>IFERROR(IF($G398="","",VLOOKUP('Dashboard And Emails Automate'!$G398,Database!$H:$N,5,0)),"")</f>
        <v/>
      </c>
      <c r="L398" s="55" t="str">
        <f>IFERROR(IF($G398="","",VLOOKUP('Dashboard And Emails Automate'!$G398,Database!$H:$N,6,0)),"")</f>
        <v/>
      </c>
      <c r="M398" s="55" t="str">
        <f>IFERROR(IF($G398="","",VLOOKUP('Dashboard And Emails Automate'!$G398,Database!$H:$N,7,0)),"")</f>
        <v/>
      </c>
      <c r="N398" s="55" t="str">
        <f>IFERROR(IF(OR($B398="",$B398="(blank)"),"",VLOOKUP($B398,'Email Marketing Raw Data'!$C:$O,6,0)),"")</f>
        <v/>
      </c>
      <c r="O398" s="55" t="str">
        <f>IFERROR(IF(OR($B398="",$B398="(blank)"),"",VLOOKUP($B398,'Email Marketing Raw Data'!$C:$O,7,0)),"")</f>
        <v/>
      </c>
      <c r="P398" s="55" t="str">
        <f>IFERROR(IF(OR($B398="",$B398="(blank)"),"",VLOOKUP($B398,'Email Marketing Raw Data'!$C:$O,8,0)),"")</f>
        <v/>
      </c>
      <c r="Q398" s="62" t="str">
        <f>IFERROR(IF(OR($B398="",$B398="(blank)"),"",VLOOKUP($B398,'Email Marketing Raw Data'!$C:$O,9,0)),"")</f>
        <v/>
      </c>
    </row>
    <row r="399" spans="4:17" ht="12.75" customHeight="1" x14ac:dyDescent="0.2">
      <c r="D399" s="58" t="str">
        <f>IFERROR(IF(F399&lt;&gt;"pending","",IF(OR($B399="",$B399="(blank)"),"",VLOOKUP($B399,'Email Marketing Raw Data'!$C:$O,10,0))),"")</f>
        <v/>
      </c>
      <c r="E399" s="59" t="str">
        <f>IFERROR(IF(F399&lt;&gt;"pending","",IF(OR($B399="",$B399="(blank)"),"",VLOOKUP($B399,'Email Marketing Raw Data'!$C:$O,11,0))),"")</f>
        <v/>
      </c>
      <c r="F399" s="54" t="str">
        <f>IFERROR(IF(OR($B399="",$B399="(blank)"),"",VLOOKUP($B399,'Email Marketing Raw Data'!$C:$O,13,0)),"")</f>
        <v/>
      </c>
      <c r="G399" s="55" t="str">
        <f>IFERROR(IF(OR($B399="",$B399="(blank)"),"",VLOOKUP($B399,'Email Marketing Raw Data'!$C:$O,4,0)),"")</f>
        <v/>
      </c>
      <c r="H399" s="55" t="str">
        <f>IFERROR(IF(OR($B399="",$B399="(blank)"),"",VLOOKUP($B399,'Email Marketing Raw Data'!$C:$O,5,0)),"")</f>
        <v/>
      </c>
      <c r="I399" s="55" t="str">
        <f>IFERROR(IF($G399="","",VLOOKUP('Dashboard And Emails Automate'!$G399,Database!$H:$N,3,0)),"")</f>
        <v/>
      </c>
      <c r="J399" s="55" t="str">
        <f>IFERROR(IF($G399="","",VLOOKUP('Dashboard And Emails Automate'!$G399,Database!$H:$N,4,0)),"")</f>
        <v/>
      </c>
      <c r="K399" s="55" t="str">
        <f>IFERROR(IF($G399="","",VLOOKUP('Dashboard And Emails Automate'!$G399,Database!$H:$N,5,0)),"")</f>
        <v/>
      </c>
      <c r="L399" s="55" t="str">
        <f>IFERROR(IF($G399="","",VLOOKUP('Dashboard And Emails Automate'!$G399,Database!$H:$N,6,0)),"")</f>
        <v/>
      </c>
      <c r="M399" s="55" t="str">
        <f>IFERROR(IF($G399="","",VLOOKUP('Dashboard And Emails Automate'!$G399,Database!$H:$N,7,0)),"")</f>
        <v/>
      </c>
      <c r="N399" s="55" t="str">
        <f>IFERROR(IF(OR($B399="",$B399="(blank)"),"",VLOOKUP($B399,'Email Marketing Raw Data'!$C:$O,6,0)),"")</f>
        <v/>
      </c>
      <c r="O399" s="55" t="str">
        <f>IFERROR(IF(OR($B399="",$B399="(blank)"),"",VLOOKUP($B399,'Email Marketing Raw Data'!$C:$O,7,0)),"")</f>
        <v/>
      </c>
      <c r="P399" s="55" t="str">
        <f>IFERROR(IF(OR($B399="",$B399="(blank)"),"",VLOOKUP($B399,'Email Marketing Raw Data'!$C:$O,8,0)),"")</f>
        <v/>
      </c>
      <c r="Q399" s="62" t="str">
        <f>IFERROR(IF(OR($B399="",$B399="(blank)"),"",VLOOKUP($B399,'Email Marketing Raw Data'!$C:$O,9,0)),"")</f>
        <v/>
      </c>
    </row>
    <row r="400" spans="4:17" ht="12.75" customHeight="1" x14ac:dyDescent="0.2">
      <c r="D400" s="58" t="str">
        <f>IFERROR(IF(F400&lt;&gt;"pending","",IF(OR($B400="",$B400="(blank)"),"",VLOOKUP($B400,'Email Marketing Raw Data'!$C:$O,10,0))),"")</f>
        <v/>
      </c>
      <c r="E400" s="59" t="str">
        <f>IFERROR(IF(F400&lt;&gt;"pending","",IF(OR($B400="",$B400="(blank)"),"",VLOOKUP($B400,'Email Marketing Raw Data'!$C:$O,11,0))),"")</f>
        <v/>
      </c>
      <c r="F400" s="54" t="str">
        <f>IFERROR(IF(OR($B400="",$B400="(blank)"),"",VLOOKUP($B400,'Email Marketing Raw Data'!$C:$O,13,0)),"")</f>
        <v/>
      </c>
      <c r="G400" s="55" t="str">
        <f>IFERROR(IF(OR($B400="",$B400="(blank)"),"",VLOOKUP($B400,'Email Marketing Raw Data'!$C:$O,4,0)),"")</f>
        <v/>
      </c>
      <c r="H400" s="55" t="str">
        <f>IFERROR(IF(OR($B400="",$B400="(blank)"),"",VLOOKUP($B400,'Email Marketing Raw Data'!$C:$O,5,0)),"")</f>
        <v/>
      </c>
      <c r="I400" s="55" t="str">
        <f>IFERROR(IF($G400="","",VLOOKUP('Dashboard And Emails Automate'!$G400,Database!$H:$N,3,0)),"")</f>
        <v/>
      </c>
      <c r="J400" s="55" t="str">
        <f>IFERROR(IF($G400="","",VLOOKUP('Dashboard And Emails Automate'!$G400,Database!$H:$N,4,0)),"")</f>
        <v/>
      </c>
      <c r="K400" s="55" t="str">
        <f>IFERROR(IF($G400="","",VLOOKUP('Dashboard And Emails Automate'!$G400,Database!$H:$N,5,0)),"")</f>
        <v/>
      </c>
      <c r="L400" s="55" t="str">
        <f>IFERROR(IF($G400="","",VLOOKUP('Dashboard And Emails Automate'!$G400,Database!$H:$N,6,0)),"")</f>
        <v/>
      </c>
      <c r="M400" s="55" t="str">
        <f>IFERROR(IF($G400="","",VLOOKUP('Dashboard And Emails Automate'!$G400,Database!$H:$N,7,0)),"")</f>
        <v/>
      </c>
      <c r="N400" s="55" t="str">
        <f>IFERROR(IF(OR($B400="",$B400="(blank)"),"",VLOOKUP($B400,'Email Marketing Raw Data'!$C:$O,6,0)),"")</f>
        <v/>
      </c>
      <c r="O400" s="55" t="str">
        <f>IFERROR(IF(OR($B400="",$B400="(blank)"),"",VLOOKUP($B400,'Email Marketing Raw Data'!$C:$O,7,0)),"")</f>
        <v/>
      </c>
      <c r="P400" s="55" t="str">
        <f>IFERROR(IF(OR($B400="",$B400="(blank)"),"",VLOOKUP($B400,'Email Marketing Raw Data'!$C:$O,8,0)),"")</f>
        <v/>
      </c>
      <c r="Q400" s="62" t="str">
        <f>IFERROR(IF(OR($B400="",$B400="(blank)"),"",VLOOKUP($B400,'Email Marketing Raw Data'!$C:$O,9,0)),"")</f>
        <v/>
      </c>
    </row>
    <row r="401" spans="4:17" ht="12.75" customHeight="1" x14ac:dyDescent="0.2">
      <c r="D401" s="58" t="str">
        <f>IFERROR(IF(F401&lt;&gt;"pending","",IF(OR($B401="",$B401="(blank)"),"",VLOOKUP($B401,'Email Marketing Raw Data'!$C:$O,10,0))),"")</f>
        <v/>
      </c>
      <c r="E401" s="59" t="str">
        <f>IFERROR(IF(F401&lt;&gt;"pending","",IF(OR($B401="",$B401="(blank)"),"",VLOOKUP($B401,'Email Marketing Raw Data'!$C:$O,11,0))),"")</f>
        <v/>
      </c>
      <c r="F401" s="54" t="str">
        <f>IFERROR(IF(OR($B401="",$B401="(blank)"),"",VLOOKUP($B401,'Email Marketing Raw Data'!$C:$O,13,0)),"")</f>
        <v/>
      </c>
      <c r="G401" s="55" t="str">
        <f>IFERROR(IF(OR($B401="",$B401="(blank)"),"",VLOOKUP($B401,'Email Marketing Raw Data'!$C:$O,4,0)),"")</f>
        <v/>
      </c>
      <c r="H401" s="55" t="str">
        <f>IFERROR(IF(OR($B401="",$B401="(blank)"),"",VLOOKUP($B401,'Email Marketing Raw Data'!$C:$O,5,0)),"")</f>
        <v/>
      </c>
      <c r="I401" s="55" t="str">
        <f>IFERROR(IF($G401="","",VLOOKUP('Dashboard And Emails Automate'!$G401,Database!$H:$N,3,0)),"")</f>
        <v/>
      </c>
      <c r="J401" s="55" t="str">
        <f>IFERROR(IF($G401="","",VLOOKUP('Dashboard And Emails Automate'!$G401,Database!$H:$N,4,0)),"")</f>
        <v/>
      </c>
      <c r="K401" s="55" t="str">
        <f>IFERROR(IF($G401="","",VLOOKUP('Dashboard And Emails Automate'!$G401,Database!$H:$N,5,0)),"")</f>
        <v/>
      </c>
      <c r="L401" s="55" t="str">
        <f>IFERROR(IF($G401="","",VLOOKUP('Dashboard And Emails Automate'!$G401,Database!$H:$N,6,0)),"")</f>
        <v/>
      </c>
      <c r="M401" s="55" t="str">
        <f>IFERROR(IF($G401="","",VLOOKUP('Dashboard And Emails Automate'!$G401,Database!$H:$N,7,0)),"")</f>
        <v/>
      </c>
      <c r="N401" s="55" t="str">
        <f>IFERROR(IF(OR($B401="",$B401="(blank)"),"",VLOOKUP($B401,'Email Marketing Raw Data'!$C:$O,6,0)),"")</f>
        <v/>
      </c>
      <c r="O401" s="55" t="str">
        <f>IFERROR(IF(OR($B401="",$B401="(blank)"),"",VLOOKUP($B401,'Email Marketing Raw Data'!$C:$O,7,0)),"")</f>
        <v/>
      </c>
      <c r="P401" s="55" t="str">
        <f>IFERROR(IF(OR($B401="",$B401="(blank)"),"",VLOOKUP($B401,'Email Marketing Raw Data'!$C:$O,8,0)),"")</f>
        <v/>
      </c>
      <c r="Q401" s="62" t="str">
        <f>IFERROR(IF(OR($B401="",$B401="(blank)"),"",VLOOKUP($B401,'Email Marketing Raw Data'!$C:$O,9,0)),"")</f>
        <v/>
      </c>
    </row>
    <row r="402" spans="4:17" ht="12.75" customHeight="1" x14ac:dyDescent="0.2">
      <c r="D402" s="58" t="str">
        <f>IFERROR(IF(F402&lt;&gt;"pending","",IF(OR($B402="",$B402="(blank)"),"",VLOOKUP($B402,'Email Marketing Raw Data'!$C:$O,10,0))),"")</f>
        <v/>
      </c>
      <c r="E402" s="59" t="str">
        <f>IFERROR(IF(F402&lt;&gt;"pending","",IF(OR($B402="",$B402="(blank)"),"",VLOOKUP($B402,'Email Marketing Raw Data'!$C:$O,11,0))),"")</f>
        <v/>
      </c>
      <c r="F402" s="54" t="str">
        <f>IFERROR(IF(OR($B402="",$B402="(blank)"),"",VLOOKUP($B402,'Email Marketing Raw Data'!$C:$O,13,0)),"")</f>
        <v/>
      </c>
      <c r="G402" s="55" t="str">
        <f>IFERROR(IF(OR($B402="",$B402="(blank)"),"",VLOOKUP($B402,'Email Marketing Raw Data'!$C:$O,4,0)),"")</f>
        <v/>
      </c>
      <c r="H402" s="55" t="str">
        <f>IFERROR(IF(OR($B402="",$B402="(blank)"),"",VLOOKUP($B402,'Email Marketing Raw Data'!$C:$O,5,0)),"")</f>
        <v/>
      </c>
      <c r="I402" s="55" t="str">
        <f>IFERROR(IF($G402="","",VLOOKUP('Dashboard And Emails Automate'!$G402,Database!$H:$N,3,0)),"")</f>
        <v/>
      </c>
      <c r="J402" s="55" t="str">
        <f>IFERROR(IF($G402="","",VLOOKUP('Dashboard And Emails Automate'!$G402,Database!$H:$N,4,0)),"")</f>
        <v/>
      </c>
      <c r="K402" s="55" t="str">
        <f>IFERROR(IF($G402="","",VLOOKUP('Dashboard And Emails Automate'!$G402,Database!$H:$N,5,0)),"")</f>
        <v/>
      </c>
      <c r="L402" s="55" t="str">
        <f>IFERROR(IF($G402="","",VLOOKUP('Dashboard And Emails Automate'!$G402,Database!$H:$N,6,0)),"")</f>
        <v/>
      </c>
      <c r="M402" s="55" t="str">
        <f>IFERROR(IF($G402="","",VLOOKUP('Dashboard And Emails Automate'!$G402,Database!$H:$N,7,0)),"")</f>
        <v/>
      </c>
      <c r="N402" s="55" t="str">
        <f>IFERROR(IF(OR($B402="",$B402="(blank)"),"",VLOOKUP($B402,'Email Marketing Raw Data'!$C:$O,6,0)),"")</f>
        <v/>
      </c>
      <c r="O402" s="55" t="str">
        <f>IFERROR(IF(OR($B402="",$B402="(blank)"),"",VLOOKUP($B402,'Email Marketing Raw Data'!$C:$O,7,0)),"")</f>
        <v/>
      </c>
      <c r="P402" s="55" t="str">
        <f>IFERROR(IF(OR($B402="",$B402="(blank)"),"",VLOOKUP($B402,'Email Marketing Raw Data'!$C:$O,8,0)),"")</f>
        <v/>
      </c>
      <c r="Q402" s="62" t="str">
        <f>IFERROR(IF(OR($B402="",$B402="(blank)"),"",VLOOKUP($B402,'Email Marketing Raw Data'!$C:$O,9,0)),"")</f>
        <v/>
      </c>
    </row>
    <row r="403" spans="4:17" ht="12.75" customHeight="1" x14ac:dyDescent="0.2">
      <c r="D403" s="58" t="str">
        <f>IFERROR(IF(F403&lt;&gt;"pending","",IF(OR($B403="",$B403="(blank)"),"",VLOOKUP($B403,'Email Marketing Raw Data'!$C:$O,10,0))),"")</f>
        <v/>
      </c>
      <c r="E403" s="59" t="str">
        <f>IFERROR(IF(F403&lt;&gt;"pending","",IF(OR($B403="",$B403="(blank)"),"",VLOOKUP($B403,'Email Marketing Raw Data'!$C:$O,11,0))),"")</f>
        <v/>
      </c>
      <c r="F403" s="54" t="str">
        <f>IFERROR(IF(OR($B403="",$B403="(blank)"),"",VLOOKUP($B403,'Email Marketing Raw Data'!$C:$O,13,0)),"")</f>
        <v/>
      </c>
      <c r="G403" s="55" t="str">
        <f>IFERROR(IF(OR($B403="",$B403="(blank)"),"",VLOOKUP($B403,'Email Marketing Raw Data'!$C:$O,4,0)),"")</f>
        <v/>
      </c>
      <c r="H403" s="55" t="str">
        <f>IFERROR(IF(OR($B403="",$B403="(blank)"),"",VLOOKUP($B403,'Email Marketing Raw Data'!$C:$O,5,0)),"")</f>
        <v/>
      </c>
      <c r="I403" s="55" t="str">
        <f>IFERROR(IF($G403="","",VLOOKUP('Dashboard And Emails Automate'!$G403,Database!$H:$N,3,0)),"")</f>
        <v/>
      </c>
      <c r="J403" s="55" t="str">
        <f>IFERROR(IF($G403="","",VLOOKUP('Dashboard And Emails Automate'!$G403,Database!$H:$N,4,0)),"")</f>
        <v/>
      </c>
      <c r="K403" s="55" t="str">
        <f>IFERROR(IF($G403="","",VLOOKUP('Dashboard And Emails Automate'!$G403,Database!$H:$N,5,0)),"")</f>
        <v/>
      </c>
      <c r="L403" s="55" t="str">
        <f>IFERROR(IF($G403="","",VLOOKUP('Dashboard And Emails Automate'!$G403,Database!$H:$N,6,0)),"")</f>
        <v/>
      </c>
      <c r="M403" s="55" t="str">
        <f>IFERROR(IF($G403="","",VLOOKUP('Dashboard And Emails Automate'!$G403,Database!$H:$N,7,0)),"")</f>
        <v/>
      </c>
      <c r="N403" s="55" t="str">
        <f>IFERROR(IF(OR($B403="",$B403="(blank)"),"",VLOOKUP($B403,'Email Marketing Raw Data'!$C:$O,6,0)),"")</f>
        <v/>
      </c>
      <c r="O403" s="55" t="str">
        <f>IFERROR(IF(OR($B403="",$B403="(blank)"),"",VLOOKUP($B403,'Email Marketing Raw Data'!$C:$O,7,0)),"")</f>
        <v/>
      </c>
      <c r="P403" s="55" t="str">
        <f>IFERROR(IF(OR($B403="",$B403="(blank)"),"",VLOOKUP($B403,'Email Marketing Raw Data'!$C:$O,8,0)),"")</f>
        <v/>
      </c>
      <c r="Q403" s="62" t="str">
        <f>IFERROR(IF(OR($B403="",$B403="(blank)"),"",VLOOKUP($B403,'Email Marketing Raw Data'!$C:$O,9,0)),"")</f>
        <v/>
      </c>
    </row>
    <row r="404" spans="4:17" ht="12.75" customHeight="1" x14ac:dyDescent="0.2">
      <c r="D404" s="58" t="str">
        <f>IFERROR(IF(F404&lt;&gt;"pending","",IF(OR($B404="",$B404="(blank)"),"",VLOOKUP($B404,'Email Marketing Raw Data'!$C:$O,10,0))),"")</f>
        <v/>
      </c>
      <c r="E404" s="59" t="str">
        <f>IFERROR(IF(F404&lt;&gt;"pending","",IF(OR($B404="",$B404="(blank)"),"",VLOOKUP($B404,'Email Marketing Raw Data'!$C:$O,11,0))),"")</f>
        <v/>
      </c>
      <c r="F404" s="54" t="str">
        <f>IFERROR(IF(OR($B404="",$B404="(blank)"),"",VLOOKUP($B404,'Email Marketing Raw Data'!$C:$O,13,0)),"")</f>
        <v/>
      </c>
      <c r="G404" s="55" t="str">
        <f>IFERROR(IF(OR($B404="",$B404="(blank)"),"",VLOOKUP($B404,'Email Marketing Raw Data'!$C:$O,4,0)),"")</f>
        <v/>
      </c>
      <c r="H404" s="55" t="str">
        <f>IFERROR(IF(OR($B404="",$B404="(blank)"),"",VLOOKUP($B404,'Email Marketing Raw Data'!$C:$O,5,0)),"")</f>
        <v/>
      </c>
      <c r="I404" s="55" t="str">
        <f>IFERROR(IF($G404="","",VLOOKUP('Dashboard And Emails Automate'!$G404,Database!$H:$N,3,0)),"")</f>
        <v/>
      </c>
      <c r="J404" s="55" t="str">
        <f>IFERROR(IF($G404="","",VLOOKUP('Dashboard And Emails Automate'!$G404,Database!$H:$N,4,0)),"")</f>
        <v/>
      </c>
      <c r="K404" s="55" t="str">
        <f>IFERROR(IF($G404="","",VLOOKUP('Dashboard And Emails Automate'!$G404,Database!$H:$N,5,0)),"")</f>
        <v/>
      </c>
      <c r="L404" s="55" t="str">
        <f>IFERROR(IF($G404="","",VLOOKUP('Dashboard And Emails Automate'!$G404,Database!$H:$N,6,0)),"")</f>
        <v/>
      </c>
      <c r="M404" s="55" t="str">
        <f>IFERROR(IF($G404="","",VLOOKUP('Dashboard And Emails Automate'!$G404,Database!$H:$N,7,0)),"")</f>
        <v/>
      </c>
      <c r="N404" s="55" t="str">
        <f>IFERROR(IF(OR($B404="",$B404="(blank)"),"",VLOOKUP($B404,'Email Marketing Raw Data'!$C:$O,6,0)),"")</f>
        <v/>
      </c>
      <c r="O404" s="55" t="str">
        <f>IFERROR(IF(OR($B404="",$B404="(blank)"),"",VLOOKUP($B404,'Email Marketing Raw Data'!$C:$O,7,0)),"")</f>
        <v/>
      </c>
      <c r="P404" s="55" t="str">
        <f>IFERROR(IF(OR($B404="",$B404="(blank)"),"",VLOOKUP($B404,'Email Marketing Raw Data'!$C:$O,8,0)),"")</f>
        <v/>
      </c>
      <c r="Q404" s="62" t="str">
        <f>IFERROR(IF(OR($B404="",$B404="(blank)"),"",VLOOKUP($B404,'Email Marketing Raw Data'!$C:$O,9,0)),"")</f>
        <v/>
      </c>
    </row>
    <row r="405" spans="4:17" ht="12.75" customHeight="1" x14ac:dyDescent="0.2">
      <c r="D405" s="58" t="str">
        <f>IFERROR(IF(F405&lt;&gt;"pending","",IF(OR($B405="",$B405="(blank)"),"",VLOOKUP($B405,'Email Marketing Raw Data'!$C:$O,10,0))),"")</f>
        <v/>
      </c>
      <c r="E405" s="59" t="str">
        <f>IFERROR(IF(F405&lt;&gt;"pending","",IF(OR($B405="",$B405="(blank)"),"",VLOOKUP($B405,'Email Marketing Raw Data'!$C:$O,11,0))),"")</f>
        <v/>
      </c>
      <c r="F405" s="54" t="str">
        <f>IFERROR(IF(OR($B405="",$B405="(blank)"),"",VLOOKUP($B405,'Email Marketing Raw Data'!$C:$O,13,0)),"")</f>
        <v/>
      </c>
      <c r="G405" s="55" t="str">
        <f>IFERROR(IF(OR($B405="",$B405="(blank)"),"",VLOOKUP($B405,'Email Marketing Raw Data'!$C:$O,4,0)),"")</f>
        <v/>
      </c>
      <c r="H405" s="55" t="str">
        <f>IFERROR(IF(OR($B405="",$B405="(blank)"),"",VLOOKUP($B405,'Email Marketing Raw Data'!$C:$O,5,0)),"")</f>
        <v/>
      </c>
      <c r="I405" s="55" t="str">
        <f>IFERROR(IF($G405="","",VLOOKUP('Dashboard And Emails Automate'!$G405,Database!$H:$N,3,0)),"")</f>
        <v/>
      </c>
      <c r="J405" s="55" t="str">
        <f>IFERROR(IF($G405="","",VLOOKUP('Dashboard And Emails Automate'!$G405,Database!$H:$N,4,0)),"")</f>
        <v/>
      </c>
      <c r="K405" s="55" t="str">
        <f>IFERROR(IF($G405="","",VLOOKUP('Dashboard And Emails Automate'!$G405,Database!$H:$N,5,0)),"")</f>
        <v/>
      </c>
      <c r="L405" s="55" t="str">
        <f>IFERROR(IF($G405="","",VLOOKUP('Dashboard And Emails Automate'!$G405,Database!$H:$N,6,0)),"")</f>
        <v/>
      </c>
      <c r="M405" s="55" t="str">
        <f>IFERROR(IF($G405="","",VLOOKUP('Dashboard And Emails Automate'!$G405,Database!$H:$N,7,0)),"")</f>
        <v/>
      </c>
      <c r="N405" s="55" t="str">
        <f>IFERROR(IF(OR($B405="",$B405="(blank)"),"",VLOOKUP($B405,'Email Marketing Raw Data'!$C:$O,6,0)),"")</f>
        <v/>
      </c>
      <c r="O405" s="55" t="str">
        <f>IFERROR(IF(OR($B405="",$B405="(blank)"),"",VLOOKUP($B405,'Email Marketing Raw Data'!$C:$O,7,0)),"")</f>
        <v/>
      </c>
      <c r="P405" s="55" t="str">
        <f>IFERROR(IF(OR($B405="",$B405="(blank)"),"",VLOOKUP($B405,'Email Marketing Raw Data'!$C:$O,8,0)),"")</f>
        <v/>
      </c>
      <c r="Q405" s="62" t="str">
        <f>IFERROR(IF(OR($B405="",$B405="(blank)"),"",VLOOKUP($B405,'Email Marketing Raw Data'!$C:$O,9,0)),"")</f>
        <v/>
      </c>
    </row>
    <row r="406" spans="4:17" ht="12.75" customHeight="1" x14ac:dyDescent="0.2">
      <c r="D406" s="58" t="str">
        <f>IFERROR(IF(F406&lt;&gt;"pending","",IF(OR($B406="",$B406="(blank)"),"",VLOOKUP($B406,'Email Marketing Raw Data'!$C:$O,10,0))),"")</f>
        <v/>
      </c>
      <c r="E406" s="59" t="str">
        <f>IFERROR(IF(F406&lt;&gt;"pending","",IF(OR($B406="",$B406="(blank)"),"",VLOOKUP($B406,'Email Marketing Raw Data'!$C:$O,11,0))),"")</f>
        <v/>
      </c>
      <c r="F406" s="54" t="str">
        <f>IFERROR(IF(OR($B406="",$B406="(blank)"),"",VLOOKUP($B406,'Email Marketing Raw Data'!$C:$O,13,0)),"")</f>
        <v/>
      </c>
      <c r="G406" s="55" t="str">
        <f>IFERROR(IF(OR($B406="",$B406="(blank)"),"",VLOOKUP($B406,'Email Marketing Raw Data'!$C:$O,4,0)),"")</f>
        <v/>
      </c>
      <c r="H406" s="55" t="str">
        <f>IFERROR(IF(OR($B406="",$B406="(blank)"),"",VLOOKUP($B406,'Email Marketing Raw Data'!$C:$O,5,0)),"")</f>
        <v/>
      </c>
      <c r="I406" s="55" t="str">
        <f>IFERROR(IF($G406="","",VLOOKUP('Dashboard And Emails Automate'!$G406,Database!$H:$N,3,0)),"")</f>
        <v/>
      </c>
      <c r="J406" s="55" t="str">
        <f>IFERROR(IF($G406="","",VLOOKUP('Dashboard And Emails Automate'!$G406,Database!$H:$N,4,0)),"")</f>
        <v/>
      </c>
      <c r="K406" s="55" t="str">
        <f>IFERROR(IF($G406="","",VLOOKUP('Dashboard And Emails Automate'!$G406,Database!$H:$N,5,0)),"")</f>
        <v/>
      </c>
      <c r="L406" s="55" t="str">
        <f>IFERROR(IF($G406="","",VLOOKUP('Dashboard And Emails Automate'!$G406,Database!$H:$N,6,0)),"")</f>
        <v/>
      </c>
      <c r="M406" s="55" t="str">
        <f>IFERROR(IF($G406="","",VLOOKUP('Dashboard And Emails Automate'!$G406,Database!$H:$N,7,0)),"")</f>
        <v/>
      </c>
      <c r="N406" s="55" t="str">
        <f>IFERROR(IF(OR($B406="",$B406="(blank)"),"",VLOOKUP($B406,'Email Marketing Raw Data'!$C:$O,6,0)),"")</f>
        <v/>
      </c>
      <c r="O406" s="55" t="str">
        <f>IFERROR(IF(OR($B406="",$B406="(blank)"),"",VLOOKUP($B406,'Email Marketing Raw Data'!$C:$O,7,0)),"")</f>
        <v/>
      </c>
      <c r="P406" s="55" t="str">
        <f>IFERROR(IF(OR($B406="",$B406="(blank)"),"",VLOOKUP($B406,'Email Marketing Raw Data'!$C:$O,8,0)),"")</f>
        <v/>
      </c>
      <c r="Q406" s="62" t="str">
        <f>IFERROR(IF(OR($B406="",$B406="(blank)"),"",VLOOKUP($B406,'Email Marketing Raw Data'!$C:$O,9,0)),"")</f>
        <v/>
      </c>
    </row>
    <row r="407" spans="4:17" ht="12.75" customHeight="1" x14ac:dyDescent="0.2">
      <c r="D407" s="58" t="str">
        <f>IFERROR(IF(F407&lt;&gt;"pending","",IF(OR($B407="",$B407="(blank)"),"",VLOOKUP($B407,'Email Marketing Raw Data'!$C:$O,10,0))),"")</f>
        <v/>
      </c>
      <c r="E407" s="59" t="str">
        <f>IFERROR(IF(F407&lt;&gt;"pending","",IF(OR($B407="",$B407="(blank)"),"",VLOOKUP($B407,'Email Marketing Raw Data'!$C:$O,11,0))),"")</f>
        <v/>
      </c>
      <c r="F407" s="54" t="str">
        <f>IFERROR(IF(OR($B407="",$B407="(blank)"),"",VLOOKUP($B407,'Email Marketing Raw Data'!$C:$O,13,0)),"")</f>
        <v/>
      </c>
      <c r="G407" s="55" t="str">
        <f>IFERROR(IF(OR($B407="",$B407="(blank)"),"",VLOOKUP($B407,'Email Marketing Raw Data'!$C:$O,4,0)),"")</f>
        <v/>
      </c>
      <c r="H407" s="55" t="str">
        <f>IFERROR(IF(OR($B407="",$B407="(blank)"),"",VLOOKUP($B407,'Email Marketing Raw Data'!$C:$O,5,0)),"")</f>
        <v/>
      </c>
      <c r="I407" s="55" t="str">
        <f>IFERROR(IF($G407="","",VLOOKUP('Dashboard And Emails Automate'!$G407,Database!$H:$N,3,0)),"")</f>
        <v/>
      </c>
      <c r="J407" s="55" t="str">
        <f>IFERROR(IF($G407="","",VLOOKUP('Dashboard And Emails Automate'!$G407,Database!$H:$N,4,0)),"")</f>
        <v/>
      </c>
      <c r="K407" s="55" t="str">
        <f>IFERROR(IF($G407="","",VLOOKUP('Dashboard And Emails Automate'!$G407,Database!$H:$N,5,0)),"")</f>
        <v/>
      </c>
      <c r="L407" s="55" t="str">
        <f>IFERROR(IF($G407="","",VLOOKUP('Dashboard And Emails Automate'!$G407,Database!$H:$N,6,0)),"")</f>
        <v/>
      </c>
      <c r="M407" s="55" t="str">
        <f>IFERROR(IF($G407="","",VLOOKUP('Dashboard And Emails Automate'!$G407,Database!$H:$N,7,0)),"")</f>
        <v/>
      </c>
      <c r="N407" s="55" t="str">
        <f>IFERROR(IF(OR($B407="",$B407="(blank)"),"",VLOOKUP($B407,'Email Marketing Raw Data'!$C:$O,6,0)),"")</f>
        <v/>
      </c>
      <c r="O407" s="55" t="str">
        <f>IFERROR(IF(OR($B407="",$B407="(blank)"),"",VLOOKUP($B407,'Email Marketing Raw Data'!$C:$O,7,0)),"")</f>
        <v/>
      </c>
      <c r="P407" s="55" t="str">
        <f>IFERROR(IF(OR($B407="",$B407="(blank)"),"",VLOOKUP($B407,'Email Marketing Raw Data'!$C:$O,8,0)),"")</f>
        <v/>
      </c>
      <c r="Q407" s="62" t="str">
        <f>IFERROR(IF(OR($B407="",$B407="(blank)"),"",VLOOKUP($B407,'Email Marketing Raw Data'!$C:$O,9,0)),"")</f>
        <v/>
      </c>
    </row>
    <row r="408" spans="4:17" ht="12.75" customHeight="1" x14ac:dyDescent="0.2">
      <c r="D408" s="58" t="str">
        <f>IFERROR(IF(F408&lt;&gt;"pending","",IF(OR($B408="",$B408="(blank)"),"",VLOOKUP($B408,'Email Marketing Raw Data'!$C:$O,10,0))),"")</f>
        <v/>
      </c>
      <c r="E408" s="59" t="str">
        <f>IFERROR(IF(F408&lt;&gt;"pending","",IF(OR($B408="",$B408="(blank)"),"",VLOOKUP($B408,'Email Marketing Raw Data'!$C:$O,11,0))),"")</f>
        <v/>
      </c>
      <c r="F408" s="54" t="str">
        <f>IFERROR(IF(OR($B408="",$B408="(blank)"),"",VLOOKUP($B408,'Email Marketing Raw Data'!$C:$O,13,0)),"")</f>
        <v/>
      </c>
      <c r="G408" s="55" t="str">
        <f>IFERROR(IF(OR($B408="",$B408="(blank)"),"",VLOOKUP($B408,'Email Marketing Raw Data'!$C:$O,4,0)),"")</f>
        <v/>
      </c>
      <c r="H408" s="55" t="str">
        <f>IFERROR(IF(OR($B408="",$B408="(blank)"),"",VLOOKUP($B408,'Email Marketing Raw Data'!$C:$O,5,0)),"")</f>
        <v/>
      </c>
      <c r="I408" s="55" t="str">
        <f>IFERROR(IF($G408="","",VLOOKUP('Dashboard And Emails Automate'!$G408,Database!$H:$N,3,0)),"")</f>
        <v/>
      </c>
      <c r="J408" s="55" t="str">
        <f>IFERROR(IF($G408="","",VLOOKUP('Dashboard And Emails Automate'!$G408,Database!$H:$N,4,0)),"")</f>
        <v/>
      </c>
      <c r="K408" s="55" t="str">
        <f>IFERROR(IF($G408="","",VLOOKUP('Dashboard And Emails Automate'!$G408,Database!$H:$N,5,0)),"")</f>
        <v/>
      </c>
      <c r="L408" s="55" t="str">
        <f>IFERROR(IF($G408="","",VLOOKUP('Dashboard And Emails Automate'!$G408,Database!$H:$N,6,0)),"")</f>
        <v/>
      </c>
      <c r="M408" s="55" t="str">
        <f>IFERROR(IF($G408="","",VLOOKUP('Dashboard And Emails Automate'!$G408,Database!$H:$N,7,0)),"")</f>
        <v/>
      </c>
      <c r="N408" s="55" t="str">
        <f>IFERROR(IF(OR($B408="",$B408="(blank)"),"",VLOOKUP($B408,'Email Marketing Raw Data'!$C:$O,6,0)),"")</f>
        <v/>
      </c>
      <c r="O408" s="55" t="str">
        <f>IFERROR(IF(OR($B408="",$B408="(blank)"),"",VLOOKUP($B408,'Email Marketing Raw Data'!$C:$O,7,0)),"")</f>
        <v/>
      </c>
      <c r="P408" s="55" t="str">
        <f>IFERROR(IF(OR($B408="",$B408="(blank)"),"",VLOOKUP($B408,'Email Marketing Raw Data'!$C:$O,8,0)),"")</f>
        <v/>
      </c>
      <c r="Q408" s="62" t="str">
        <f>IFERROR(IF(OR($B408="",$B408="(blank)"),"",VLOOKUP($B408,'Email Marketing Raw Data'!$C:$O,9,0)),"")</f>
        <v/>
      </c>
    </row>
    <row r="409" spans="4:17" ht="12.75" customHeight="1" x14ac:dyDescent="0.2">
      <c r="D409" s="58" t="str">
        <f>IFERROR(IF(F409&lt;&gt;"pending","",IF(OR($B409="",$B409="(blank)"),"",VLOOKUP($B409,'Email Marketing Raw Data'!$C:$O,10,0))),"")</f>
        <v/>
      </c>
      <c r="E409" s="59" t="str">
        <f>IFERROR(IF(F409&lt;&gt;"pending","",IF(OR($B409="",$B409="(blank)"),"",VLOOKUP($B409,'Email Marketing Raw Data'!$C:$O,11,0))),"")</f>
        <v/>
      </c>
      <c r="F409" s="54" t="str">
        <f>IFERROR(IF(OR($B409="",$B409="(blank)"),"",VLOOKUP($B409,'Email Marketing Raw Data'!$C:$O,13,0)),"")</f>
        <v/>
      </c>
      <c r="G409" s="55" t="str">
        <f>IFERROR(IF(OR($B409="",$B409="(blank)"),"",VLOOKUP($B409,'Email Marketing Raw Data'!$C:$O,4,0)),"")</f>
        <v/>
      </c>
      <c r="H409" s="55" t="str">
        <f>IFERROR(IF(OR($B409="",$B409="(blank)"),"",VLOOKUP($B409,'Email Marketing Raw Data'!$C:$O,5,0)),"")</f>
        <v/>
      </c>
      <c r="I409" s="55" t="str">
        <f>IFERROR(IF($G409="","",VLOOKUP('Dashboard And Emails Automate'!$G409,Database!$H:$N,3,0)),"")</f>
        <v/>
      </c>
      <c r="J409" s="55" t="str">
        <f>IFERROR(IF($G409="","",VLOOKUP('Dashboard And Emails Automate'!$G409,Database!$H:$N,4,0)),"")</f>
        <v/>
      </c>
      <c r="K409" s="55" t="str">
        <f>IFERROR(IF($G409="","",VLOOKUP('Dashboard And Emails Automate'!$G409,Database!$H:$N,5,0)),"")</f>
        <v/>
      </c>
      <c r="L409" s="55" t="str">
        <f>IFERROR(IF($G409="","",VLOOKUP('Dashboard And Emails Automate'!$G409,Database!$H:$N,6,0)),"")</f>
        <v/>
      </c>
      <c r="M409" s="55" t="str">
        <f>IFERROR(IF($G409="","",VLOOKUP('Dashboard And Emails Automate'!$G409,Database!$H:$N,7,0)),"")</f>
        <v/>
      </c>
      <c r="N409" s="55" t="str">
        <f>IFERROR(IF(OR($B409="",$B409="(blank)"),"",VLOOKUP($B409,'Email Marketing Raw Data'!$C:$O,6,0)),"")</f>
        <v/>
      </c>
      <c r="O409" s="55" t="str">
        <f>IFERROR(IF(OR($B409="",$B409="(blank)"),"",VLOOKUP($B409,'Email Marketing Raw Data'!$C:$O,7,0)),"")</f>
        <v/>
      </c>
      <c r="P409" s="55" t="str">
        <f>IFERROR(IF(OR($B409="",$B409="(blank)"),"",VLOOKUP($B409,'Email Marketing Raw Data'!$C:$O,8,0)),"")</f>
        <v/>
      </c>
      <c r="Q409" s="62" t="str">
        <f>IFERROR(IF(OR($B409="",$B409="(blank)"),"",VLOOKUP($B409,'Email Marketing Raw Data'!$C:$O,9,0)),"")</f>
        <v/>
      </c>
    </row>
    <row r="410" spans="4:17" ht="12.75" customHeight="1" x14ac:dyDescent="0.2">
      <c r="D410" s="58" t="str">
        <f>IFERROR(IF(F410&lt;&gt;"pending","",IF(OR($B410="",$B410="(blank)"),"",VLOOKUP($B410,'Email Marketing Raw Data'!$C:$O,10,0))),"")</f>
        <v/>
      </c>
      <c r="E410" s="59" t="str">
        <f>IFERROR(IF(F410&lt;&gt;"pending","",IF(OR($B410="",$B410="(blank)"),"",VLOOKUP($B410,'Email Marketing Raw Data'!$C:$O,11,0))),"")</f>
        <v/>
      </c>
      <c r="F410" s="54" t="str">
        <f>IFERROR(IF(OR($B410="",$B410="(blank)"),"",VLOOKUP($B410,'Email Marketing Raw Data'!$C:$O,13,0)),"")</f>
        <v/>
      </c>
      <c r="G410" s="55" t="str">
        <f>IFERROR(IF(OR($B410="",$B410="(blank)"),"",VLOOKUP($B410,'Email Marketing Raw Data'!$C:$O,4,0)),"")</f>
        <v/>
      </c>
      <c r="H410" s="55" t="str">
        <f>IFERROR(IF(OR($B410="",$B410="(blank)"),"",VLOOKUP($B410,'Email Marketing Raw Data'!$C:$O,5,0)),"")</f>
        <v/>
      </c>
      <c r="I410" s="55" t="str">
        <f>IFERROR(IF($G410="","",VLOOKUP('Dashboard And Emails Automate'!$G410,Database!$H:$N,3,0)),"")</f>
        <v/>
      </c>
      <c r="J410" s="55" t="str">
        <f>IFERROR(IF($G410="","",VLOOKUP('Dashboard And Emails Automate'!$G410,Database!$H:$N,4,0)),"")</f>
        <v/>
      </c>
      <c r="K410" s="55" t="str">
        <f>IFERROR(IF($G410="","",VLOOKUP('Dashboard And Emails Automate'!$G410,Database!$H:$N,5,0)),"")</f>
        <v/>
      </c>
      <c r="L410" s="55" t="str">
        <f>IFERROR(IF($G410="","",VLOOKUP('Dashboard And Emails Automate'!$G410,Database!$H:$N,6,0)),"")</f>
        <v/>
      </c>
      <c r="M410" s="55" t="str">
        <f>IFERROR(IF($G410="","",VLOOKUP('Dashboard And Emails Automate'!$G410,Database!$H:$N,7,0)),"")</f>
        <v/>
      </c>
      <c r="N410" s="55" t="str">
        <f>IFERROR(IF(OR($B410="",$B410="(blank)"),"",VLOOKUP($B410,'Email Marketing Raw Data'!$C:$O,6,0)),"")</f>
        <v/>
      </c>
      <c r="O410" s="55" t="str">
        <f>IFERROR(IF(OR($B410="",$B410="(blank)"),"",VLOOKUP($B410,'Email Marketing Raw Data'!$C:$O,7,0)),"")</f>
        <v/>
      </c>
      <c r="P410" s="55" t="str">
        <f>IFERROR(IF(OR($B410="",$B410="(blank)"),"",VLOOKUP($B410,'Email Marketing Raw Data'!$C:$O,8,0)),"")</f>
        <v/>
      </c>
      <c r="Q410" s="62" t="str">
        <f>IFERROR(IF(OR($B410="",$B410="(blank)"),"",VLOOKUP($B410,'Email Marketing Raw Data'!$C:$O,9,0)),"")</f>
        <v/>
      </c>
    </row>
    <row r="411" spans="4:17" ht="12.75" customHeight="1" x14ac:dyDescent="0.2">
      <c r="D411" s="58" t="str">
        <f>IFERROR(IF(F411&lt;&gt;"pending","",IF(OR($B411="",$B411="(blank)"),"",VLOOKUP($B411,'Email Marketing Raw Data'!$C:$O,10,0))),"")</f>
        <v/>
      </c>
      <c r="E411" s="59" t="str">
        <f>IFERROR(IF(F411&lt;&gt;"pending","",IF(OR($B411="",$B411="(blank)"),"",VLOOKUP($B411,'Email Marketing Raw Data'!$C:$O,11,0))),"")</f>
        <v/>
      </c>
      <c r="F411" s="54" t="str">
        <f>IFERROR(IF(OR($B411="",$B411="(blank)"),"",VLOOKUP($B411,'Email Marketing Raw Data'!$C:$O,13,0)),"")</f>
        <v/>
      </c>
      <c r="G411" s="55" t="str">
        <f>IFERROR(IF(OR($B411="",$B411="(blank)"),"",VLOOKUP($B411,'Email Marketing Raw Data'!$C:$O,4,0)),"")</f>
        <v/>
      </c>
      <c r="H411" s="55" t="str">
        <f>IFERROR(IF(OR($B411="",$B411="(blank)"),"",VLOOKUP($B411,'Email Marketing Raw Data'!$C:$O,5,0)),"")</f>
        <v/>
      </c>
      <c r="I411" s="55" t="str">
        <f>IFERROR(IF($G411="","",VLOOKUP('Dashboard And Emails Automate'!$G411,Database!$H:$N,3,0)),"")</f>
        <v/>
      </c>
      <c r="J411" s="55" t="str">
        <f>IFERROR(IF($G411="","",VLOOKUP('Dashboard And Emails Automate'!$G411,Database!$H:$N,4,0)),"")</f>
        <v/>
      </c>
      <c r="K411" s="55" t="str">
        <f>IFERROR(IF($G411="","",VLOOKUP('Dashboard And Emails Automate'!$G411,Database!$H:$N,5,0)),"")</f>
        <v/>
      </c>
      <c r="L411" s="55" t="str">
        <f>IFERROR(IF($G411="","",VLOOKUP('Dashboard And Emails Automate'!$G411,Database!$H:$N,6,0)),"")</f>
        <v/>
      </c>
      <c r="M411" s="55" t="str">
        <f>IFERROR(IF($G411="","",VLOOKUP('Dashboard And Emails Automate'!$G411,Database!$H:$N,7,0)),"")</f>
        <v/>
      </c>
      <c r="N411" s="55" t="str">
        <f>IFERROR(IF(OR($B411="",$B411="(blank)"),"",VLOOKUP($B411,'Email Marketing Raw Data'!$C:$O,6,0)),"")</f>
        <v/>
      </c>
      <c r="O411" s="55" t="str">
        <f>IFERROR(IF(OR($B411="",$B411="(blank)"),"",VLOOKUP($B411,'Email Marketing Raw Data'!$C:$O,7,0)),"")</f>
        <v/>
      </c>
      <c r="P411" s="55" t="str">
        <f>IFERROR(IF(OR($B411="",$B411="(blank)"),"",VLOOKUP($B411,'Email Marketing Raw Data'!$C:$O,8,0)),"")</f>
        <v/>
      </c>
      <c r="Q411" s="62" t="str">
        <f>IFERROR(IF(OR($B411="",$B411="(blank)"),"",VLOOKUP($B411,'Email Marketing Raw Data'!$C:$O,9,0)),"")</f>
        <v/>
      </c>
    </row>
    <row r="412" spans="4:17" ht="12.75" customHeight="1" x14ac:dyDescent="0.2">
      <c r="D412" s="58" t="str">
        <f>IFERROR(IF(F412&lt;&gt;"pending","",IF(OR($B412="",$B412="(blank)"),"",VLOOKUP($B412,'Email Marketing Raw Data'!$C:$O,10,0))),"")</f>
        <v/>
      </c>
      <c r="E412" s="59" t="str">
        <f>IFERROR(IF(F412&lt;&gt;"pending","",IF(OR($B412="",$B412="(blank)"),"",VLOOKUP($B412,'Email Marketing Raw Data'!$C:$O,11,0))),"")</f>
        <v/>
      </c>
      <c r="F412" s="54" t="str">
        <f>IFERROR(IF(OR($B412="",$B412="(blank)"),"",VLOOKUP($B412,'Email Marketing Raw Data'!$C:$O,13,0)),"")</f>
        <v/>
      </c>
      <c r="G412" s="55" t="str">
        <f>IFERROR(IF(OR($B412="",$B412="(blank)"),"",VLOOKUP($B412,'Email Marketing Raw Data'!$C:$O,4,0)),"")</f>
        <v/>
      </c>
      <c r="H412" s="55" t="str">
        <f>IFERROR(IF(OR($B412="",$B412="(blank)"),"",VLOOKUP($B412,'Email Marketing Raw Data'!$C:$O,5,0)),"")</f>
        <v/>
      </c>
      <c r="I412" s="55" t="str">
        <f>IFERROR(IF($G412="","",VLOOKUP('Dashboard And Emails Automate'!$G412,Database!$H:$N,3,0)),"")</f>
        <v/>
      </c>
      <c r="J412" s="55" t="str">
        <f>IFERROR(IF($G412="","",VLOOKUP('Dashboard And Emails Automate'!$G412,Database!$H:$N,4,0)),"")</f>
        <v/>
      </c>
      <c r="K412" s="55" t="str">
        <f>IFERROR(IF($G412="","",VLOOKUP('Dashboard And Emails Automate'!$G412,Database!$H:$N,5,0)),"")</f>
        <v/>
      </c>
      <c r="L412" s="55" t="str">
        <f>IFERROR(IF($G412="","",VLOOKUP('Dashboard And Emails Automate'!$G412,Database!$H:$N,6,0)),"")</f>
        <v/>
      </c>
      <c r="M412" s="55" t="str">
        <f>IFERROR(IF($G412="","",VLOOKUP('Dashboard And Emails Automate'!$G412,Database!$H:$N,7,0)),"")</f>
        <v/>
      </c>
      <c r="N412" s="55" t="str">
        <f>IFERROR(IF(OR($B412="",$B412="(blank)"),"",VLOOKUP($B412,'Email Marketing Raw Data'!$C:$O,6,0)),"")</f>
        <v/>
      </c>
      <c r="O412" s="55" t="str">
        <f>IFERROR(IF(OR($B412="",$B412="(blank)"),"",VLOOKUP($B412,'Email Marketing Raw Data'!$C:$O,7,0)),"")</f>
        <v/>
      </c>
      <c r="P412" s="55" t="str">
        <f>IFERROR(IF(OR($B412="",$B412="(blank)"),"",VLOOKUP($B412,'Email Marketing Raw Data'!$C:$O,8,0)),"")</f>
        <v/>
      </c>
      <c r="Q412" s="62" t="str">
        <f>IFERROR(IF(OR($B412="",$B412="(blank)"),"",VLOOKUP($B412,'Email Marketing Raw Data'!$C:$O,9,0)),"")</f>
        <v/>
      </c>
    </row>
    <row r="413" spans="4:17" ht="12.75" customHeight="1" x14ac:dyDescent="0.2">
      <c r="D413" s="58" t="str">
        <f>IFERROR(IF(F413&lt;&gt;"pending","",IF(OR($B413="",$B413="(blank)"),"",VLOOKUP($B413,'Email Marketing Raw Data'!$C:$O,10,0))),"")</f>
        <v/>
      </c>
      <c r="E413" s="59" t="str">
        <f>IFERROR(IF(F413&lt;&gt;"pending","",IF(OR($B413="",$B413="(blank)"),"",VLOOKUP($B413,'Email Marketing Raw Data'!$C:$O,11,0))),"")</f>
        <v/>
      </c>
      <c r="F413" s="54" t="str">
        <f>IFERROR(IF(OR($B413="",$B413="(blank)"),"",VLOOKUP($B413,'Email Marketing Raw Data'!$C:$O,13,0)),"")</f>
        <v/>
      </c>
      <c r="G413" s="55" t="str">
        <f>IFERROR(IF(OR($B413="",$B413="(blank)"),"",VLOOKUP($B413,'Email Marketing Raw Data'!$C:$O,4,0)),"")</f>
        <v/>
      </c>
      <c r="H413" s="55" t="str">
        <f>IFERROR(IF(OR($B413="",$B413="(blank)"),"",VLOOKUP($B413,'Email Marketing Raw Data'!$C:$O,5,0)),"")</f>
        <v/>
      </c>
      <c r="I413" s="55" t="str">
        <f>IFERROR(IF($G413="","",VLOOKUP('Dashboard And Emails Automate'!$G413,Database!$H:$N,3,0)),"")</f>
        <v/>
      </c>
      <c r="J413" s="55" t="str">
        <f>IFERROR(IF($G413="","",VLOOKUP('Dashboard And Emails Automate'!$G413,Database!$H:$N,4,0)),"")</f>
        <v/>
      </c>
      <c r="K413" s="55" t="str">
        <f>IFERROR(IF($G413="","",VLOOKUP('Dashboard And Emails Automate'!$G413,Database!$H:$N,5,0)),"")</f>
        <v/>
      </c>
      <c r="L413" s="55" t="str">
        <f>IFERROR(IF($G413="","",VLOOKUP('Dashboard And Emails Automate'!$G413,Database!$H:$N,6,0)),"")</f>
        <v/>
      </c>
      <c r="M413" s="55" t="str">
        <f>IFERROR(IF($G413="","",VLOOKUP('Dashboard And Emails Automate'!$G413,Database!$H:$N,7,0)),"")</f>
        <v/>
      </c>
      <c r="N413" s="55" t="str">
        <f>IFERROR(IF(OR($B413="",$B413="(blank)"),"",VLOOKUP($B413,'Email Marketing Raw Data'!$C:$O,6,0)),"")</f>
        <v/>
      </c>
      <c r="O413" s="55" t="str">
        <f>IFERROR(IF(OR($B413="",$B413="(blank)"),"",VLOOKUP($B413,'Email Marketing Raw Data'!$C:$O,7,0)),"")</f>
        <v/>
      </c>
      <c r="P413" s="55" t="str">
        <f>IFERROR(IF(OR($B413="",$B413="(blank)"),"",VLOOKUP($B413,'Email Marketing Raw Data'!$C:$O,8,0)),"")</f>
        <v/>
      </c>
      <c r="Q413" s="62" t="str">
        <f>IFERROR(IF(OR($B413="",$B413="(blank)"),"",VLOOKUP($B413,'Email Marketing Raw Data'!$C:$O,9,0)),"")</f>
        <v/>
      </c>
    </row>
    <row r="414" spans="4:17" ht="12.75" customHeight="1" x14ac:dyDescent="0.2">
      <c r="D414" s="58" t="str">
        <f>IFERROR(IF(F414&lt;&gt;"pending","",IF(OR($B414="",$B414="(blank)"),"",VLOOKUP($B414,'Email Marketing Raw Data'!$C:$O,10,0))),"")</f>
        <v/>
      </c>
      <c r="E414" s="59" t="str">
        <f>IFERROR(IF(F414&lt;&gt;"pending","",IF(OR($B414="",$B414="(blank)"),"",VLOOKUP($B414,'Email Marketing Raw Data'!$C:$O,11,0))),"")</f>
        <v/>
      </c>
      <c r="F414" s="54" t="str">
        <f>IFERROR(IF(OR($B414="",$B414="(blank)"),"",VLOOKUP($B414,'Email Marketing Raw Data'!$C:$O,13,0)),"")</f>
        <v/>
      </c>
      <c r="G414" s="55" t="str">
        <f>IFERROR(IF(OR($B414="",$B414="(blank)"),"",VLOOKUP($B414,'Email Marketing Raw Data'!$C:$O,4,0)),"")</f>
        <v/>
      </c>
      <c r="H414" s="55" t="str">
        <f>IFERROR(IF(OR($B414="",$B414="(blank)"),"",VLOOKUP($B414,'Email Marketing Raw Data'!$C:$O,5,0)),"")</f>
        <v/>
      </c>
      <c r="I414" s="55" t="str">
        <f>IFERROR(IF($G414="","",VLOOKUP('Dashboard And Emails Automate'!$G414,Database!$H:$N,3,0)),"")</f>
        <v/>
      </c>
      <c r="J414" s="55" t="str">
        <f>IFERROR(IF($G414="","",VLOOKUP('Dashboard And Emails Automate'!$G414,Database!$H:$N,4,0)),"")</f>
        <v/>
      </c>
      <c r="K414" s="55" t="str">
        <f>IFERROR(IF($G414="","",VLOOKUP('Dashboard And Emails Automate'!$G414,Database!$H:$N,5,0)),"")</f>
        <v/>
      </c>
      <c r="L414" s="55" t="str">
        <f>IFERROR(IF($G414="","",VLOOKUP('Dashboard And Emails Automate'!$G414,Database!$H:$N,6,0)),"")</f>
        <v/>
      </c>
      <c r="M414" s="55" t="str">
        <f>IFERROR(IF($G414="","",VLOOKUP('Dashboard And Emails Automate'!$G414,Database!$H:$N,7,0)),"")</f>
        <v/>
      </c>
      <c r="N414" s="55" t="str">
        <f>IFERROR(IF(OR($B414="",$B414="(blank)"),"",VLOOKUP($B414,'Email Marketing Raw Data'!$C:$O,6,0)),"")</f>
        <v/>
      </c>
      <c r="O414" s="55" t="str">
        <f>IFERROR(IF(OR($B414="",$B414="(blank)"),"",VLOOKUP($B414,'Email Marketing Raw Data'!$C:$O,7,0)),"")</f>
        <v/>
      </c>
      <c r="P414" s="55" t="str">
        <f>IFERROR(IF(OR($B414="",$B414="(blank)"),"",VLOOKUP($B414,'Email Marketing Raw Data'!$C:$O,8,0)),"")</f>
        <v/>
      </c>
      <c r="Q414" s="62" t="str">
        <f>IFERROR(IF(OR($B414="",$B414="(blank)"),"",VLOOKUP($B414,'Email Marketing Raw Data'!$C:$O,9,0)),"")</f>
        <v/>
      </c>
    </row>
    <row r="415" spans="4:17" ht="12.75" customHeight="1" x14ac:dyDescent="0.2">
      <c r="D415" s="58" t="str">
        <f>IFERROR(IF(F415&lt;&gt;"pending","",IF(OR($B415="",$B415="(blank)"),"",VLOOKUP($B415,'Email Marketing Raw Data'!$C:$O,10,0))),"")</f>
        <v/>
      </c>
      <c r="E415" s="59" t="str">
        <f>IFERROR(IF(F415&lt;&gt;"pending","",IF(OR($B415="",$B415="(blank)"),"",VLOOKUP($B415,'Email Marketing Raw Data'!$C:$O,11,0))),"")</f>
        <v/>
      </c>
      <c r="F415" s="54" t="str">
        <f>IFERROR(IF(OR($B415="",$B415="(blank)"),"",VLOOKUP($B415,'Email Marketing Raw Data'!$C:$O,13,0)),"")</f>
        <v/>
      </c>
      <c r="G415" s="55" t="str">
        <f>IFERROR(IF(OR($B415="",$B415="(blank)"),"",VLOOKUP($B415,'Email Marketing Raw Data'!$C:$O,4,0)),"")</f>
        <v/>
      </c>
      <c r="H415" s="55" t="str">
        <f>IFERROR(IF(OR($B415="",$B415="(blank)"),"",VLOOKUP($B415,'Email Marketing Raw Data'!$C:$O,5,0)),"")</f>
        <v/>
      </c>
      <c r="I415" s="55" t="str">
        <f>IFERROR(IF($G415="","",VLOOKUP('Dashboard And Emails Automate'!$G415,Database!$H:$N,3,0)),"")</f>
        <v/>
      </c>
      <c r="J415" s="55" t="str">
        <f>IFERROR(IF($G415="","",VLOOKUP('Dashboard And Emails Automate'!$G415,Database!$H:$N,4,0)),"")</f>
        <v/>
      </c>
      <c r="K415" s="55" t="str">
        <f>IFERROR(IF($G415="","",VLOOKUP('Dashboard And Emails Automate'!$G415,Database!$H:$N,5,0)),"")</f>
        <v/>
      </c>
      <c r="L415" s="55" t="str">
        <f>IFERROR(IF($G415="","",VLOOKUP('Dashboard And Emails Automate'!$G415,Database!$H:$N,6,0)),"")</f>
        <v/>
      </c>
      <c r="M415" s="55" t="str">
        <f>IFERROR(IF($G415="","",VLOOKUP('Dashboard And Emails Automate'!$G415,Database!$H:$N,7,0)),"")</f>
        <v/>
      </c>
      <c r="N415" s="55" t="str">
        <f>IFERROR(IF(OR($B415="",$B415="(blank)"),"",VLOOKUP($B415,'Email Marketing Raw Data'!$C:$O,6,0)),"")</f>
        <v/>
      </c>
      <c r="O415" s="55" t="str">
        <f>IFERROR(IF(OR($B415="",$B415="(blank)"),"",VLOOKUP($B415,'Email Marketing Raw Data'!$C:$O,7,0)),"")</f>
        <v/>
      </c>
      <c r="P415" s="55" t="str">
        <f>IFERROR(IF(OR($B415="",$B415="(blank)"),"",VLOOKUP($B415,'Email Marketing Raw Data'!$C:$O,8,0)),"")</f>
        <v/>
      </c>
      <c r="Q415" s="62" t="str">
        <f>IFERROR(IF(OR($B415="",$B415="(blank)"),"",VLOOKUP($B415,'Email Marketing Raw Data'!$C:$O,9,0)),"")</f>
        <v/>
      </c>
    </row>
    <row r="416" spans="4:17" ht="12.75" customHeight="1" x14ac:dyDescent="0.2">
      <c r="D416" s="58" t="str">
        <f>IFERROR(IF(F416&lt;&gt;"pending","",IF(OR($B416="",$B416="(blank)"),"",VLOOKUP($B416,'Email Marketing Raw Data'!$C:$O,10,0))),"")</f>
        <v/>
      </c>
      <c r="E416" s="59" t="str">
        <f>IFERROR(IF(F416&lt;&gt;"pending","",IF(OR($B416="",$B416="(blank)"),"",VLOOKUP($B416,'Email Marketing Raw Data'!$C:$O,11,0))),"")</f>
        <v/>
      </c>
      <c r="F416" s="54" t="str">
        <f>IFERROR(IF(OR($B416="",$B416="(blank)"),"",VLOOKUP($B416,'Email Marketing Raw Data'!$C:$O,13,0)),"")</f>
        <v/>
      </c>
      <c r="G416" s="55" t="str">
        <f>IFERROR(IF(OR($B416="",$B416="(blank)"),"",VLOOKUP($B416,'Email Marketing Raw Data'!$C:$O,4,0)),"")</f>
        <v/>
      </c>
      <c r="H416" s="55" t="str">
        <f>IFERROR(IF(OR($B416="",$B416="(blank)"),"",VLOOKUP($B416,'Email Marketing Raw Data'!$C:$O,5,0)),"")</f>
        <v/>
      </c>
      <c r="I416" s="55" t="str">
        <f>IFERROR(IF($G416="","",VLOOKUP('Dashboard And Emails Automate'!$G416,Database!$H:$N,3,0)),"")</f>
        <v/>
      </c>
      <c r="J416" s="55" t="str">
        <f>IFERROR(IF($G416="","",VLOOKUP('Dashboard And Emails Automate'!$G416,Database!$H:$N,4,0)),"")</f>
        <v/>
      </c>
      <c r="K416" s="55" t="str">
        <f>IFERROR(IF($G416="","",VLOOKUP('Dashboard And Emails Automate'!$G416,Database!$H:$N,5,0)),"")</f>
        <v/>
      </c>
      <c r="L416" s="55" t="str">
        <f>IFERROR(IF($G416="","",VLOOKUP('Dashboard And Emails Automate'!$G416,Database!$H:$N,6,0)),"")</f>
        <v/>
      </c>
      <c r="M416" s="55" t="str">
        <f>IFERROR(IF($G416="","",VLOOKUP('Dashboard And Emails Automate'!$G416,Database!$H:$N,7,0)),"")</f>
        <v/>
      </c>
      <c r="N416" s="55" t="str">
        <f>IFERROR(IF(OR($B416="",$B416="(blank)"),"",VLOOKUP($B416,'Email Marketing Raw Data'!$C:$O,6,0)),"")</f>
        <v/>
      </c>
      <c r="O416" s="55" t="str">
        <f>IFERROR(IF(OR($B416="",$B416="(blank)"),"",VLOOKUP($B416,'Email Marketing Raw Data'!$C:$O,7,0)),"")</f>
        <v/>
      </c>
      <c r="P416" s="55" t="str">
        <f>IFERROR(IF(OR($B416="",$B416="(blank)"),"",VLOOKUP($B416,'Email Marketing Raw Data'!$C:$O,8,0)),"")</f>
        <v/>
      </c>
      <c r="Q416" s="62" t="str">
        <f>IFERROR(IF(OR($B416="",$B416="(blank)"),"",VLOOKUP($B416,'Email Marketing Raw Data'!$C:$O,9,0)),"")</f>
        <v/>
      </c>
    </row>
    <row r="417" spans="4:17" ht="12.75" customHeight="1" x14ac:dyDescent="0.2">
      <c r="D417" s="58" t="str">
        <f>IFERROR(IF(F417&lt;&gt;"pending","",IF(OR($B417="",$B417="(blank)"),"",VLOOKUP($B417,'Email Marketing Raw Data'!$C:$O,10,0))),"")</f>
        <v/>
      </c>
      <c r="E417" s="59" t="str">
        <f>IFERROR(IF(F417&lt;&gt;"pending","",IF(OR($B417="",$B417="(blank)"),"",VLOOKUP($B417,'Email Marketing Raw Data'!$C:$O,11,0))),"")</f>
        <v/>
      </c>
      <c r="F417" s="54" t="str">
        <f>IFERROR(IF(OR($B417="",$B417="(blank)"),"",VLOOKUP($B417,'Email Marketing Raw Data'!$C:$O,13,0)),"")</f>
        <v/>
      </c>
      <c r="G417" s="55" t="str">
        <f>IFERROR(IF(OR($B417="",$B417="(blank)"),"",VLOOKUP($B417,'Email Marketing Raw Data'!$C:$O,4,0)),"")</f>
        <v/>
      </c>
      <c r="H417" s="55" t="str">
        <f>IFERROR(IF(OR($B417="",$B417="(blank)"),"",VLOOKUP($B417,'Email Marketing Raw Data'!$C:$O,5,0)),"")</f>
        <v/>
      </c>
      <c r="I417" s="55" t="str">
        <f>IFERROR(IF($G417="","",VLOOKUP('Dashboard And Emails Automate'!$G417,Database!$H:$N,3,0)),"")</f>
        <v/>
      </c>
      <c r="J417" s="55" t="str">
        <f>IFERROR(IF($G417="","",VLOOKUP('Dashboard And Emails Automate'!$G417,Database!$H:$N,4,0)),"")</f>
        <v/>
      </c>
      <c r="K417" s="55" t="str">
        <f>IFERROR(IF($G417="","",VLOOKUP('Dashboard And Emails Automate'!$G417,Database!$H:$N,5,0)),"")</f>
        <v/>
      </c>
      <c r="L417" s="55" t="str">
        <f>IFERROR(IF($G417="","",VLOOKUP('Dashboard And Emails Automate'!$G417,Database!$H:$N,6,0)),"")</f>
        <v/>
      </c>
      <c r="M417" s="55" t="str">
        <f>IFERROR(IF($G417="","",VLOOKUP('Dashboard And Emails Automate'!$G417,Database!$H:$N,7,0)),"")</f>
        <v/>
      </c>
      <c r="N417" s="55" t="str">
        <f>IFERROR(IF(OR($B417="",$B417="(blank)"),"",VLOOKUP($B417,'Email Marketing Raw Data'!$C:$O,6,0)),"")</f>
        <v/>
      </c>
      <c r="O417" s="55" t="str">
        <f>IFERROR(IF(OR($B417="",$B417="(blank)"),"",VLOOKUP($B417,'Email Marketing Raw Data'!$C:$O,7,0)),"")</f>
        <v/>
      </c>
      <c r="P417" s="55" t="str">
        <f>IFERROR(IF(OR($B417="",$B417="(blank)"),"",VLOOKUP($B417,'Email Marketing Raw Data'!$C:$O,8,0)),"")</f>
        <v/>
      </c>
      <c r="Q417" s="62" t="str">
        <f>IFERROR(IF(OR($B417="",$B417="(blank)"),"",VLOOKUP($B417,'Email Marketing Raw Data'!$C:$O,9,0)),"")</f>
        <v/>
      </c>
    </row>
    <row r="418" spans="4:17" ht="12.75" customHeight="1" x14ac:dyDescent="0.2">
      <c r="D418" s="58" t="str">
        <f>IFERROR(IF(F418&lt;&gt;"pending","",IF(OR($B418="",$B418="(blank)"),"",VLOOKUP($B418,'Email Marketing Raw Data'!$C:$O,10,0))),"")</f>
        <v/>
      </c>
      <c r="E418" s="59" t="str">
        <f>IFERROR(IF(F418&lt;&gt;"pending","",IF(OR($B418="",$B418="(blank)"),"",VLOOKUP($B418,'Email Marketing Raw Data'!$C:$O,11,0))),"")</f>
        <v/>
      </c>
      <c r="F418" s="54" t="str">
        <f>IFERROR(IF(OR($B418="",$B418="(blank)"),"",VLOOKUP($B418,'Email Marketing Raw Data'!$C:$O,13,0)),"")</f>
        <v/>
      </c>
      <c r="G418" s="55" t="str">
        <f>IFERROR(IF(OR($B418="",$B418="(blank)"),"",VLOOKUP($B418,'Email Marketing Raw Data'!$C:$O,4,0)),"")</f>
        <v/>
      </c>
      <c r="H418" s="55" t="str">
        <f>IFERROR(IF(OR($B418="",$B418="(blank)"),"",VLOOKUP($B418,'Email Marketing Raw Data'!$C:$O,5,0)),"")</f>
        <v/>
      </c>
      <c r="I418" s="55" t="str">
        <f>IFERROR(IF($G418="","",VLOOKUP('Dashboard And Emails Automate'!$G418,Database!$H:$N,3,0)),"")</f>
        <v/>
      </c>
      <c r="J418" s="55" t="str">
        <f>IFERROR(IF($G418="","",VLOOKUP('Dashboard And Emails Automate'!$G418,Database!$H:$N,4,0)),"")</f>
        <v/>
      </c>
      <c r="K418" s="55" t="str">
        <f>IFERROR(IF($G418="","",VLOOKUP('Dashboard And Emails Automate'!$G418,Database!$H:$N,5,0)),"")</f>
        <v/>
      </c>
      <c r="L418" s="55" t="str">
        <f>IFERROR(IF($G418="","",VLOOKUP('Dashboard And Emails Automate'!$G418,Database!$H:$N,6,0)),"")</f>
        <v/>
      </c>
      <c r="M418" s="55" t="str">
        <f>IFERROR(IF($G418="","",VLOOKUP('Dashboard And Emails Automate'!$G418,Database!$H:$N,7,0)),"")</f>
        <v/>
      </c>
      <c r="N418" s="55" t="str">
        <f>IFERROR(IF(OR($B418="",$B418="(blank)"),"",VLOOKUP($B418,'Email Marketing Raw Data'!$C:$O,6,0)),"")</f>
        <v/>
      </c>
      <c r="O418" s="55" t="str">
        <f>IFERROR(IF(OR($B418="",$B418="(blank)"),"",VLOOKUP($B418,'Email Marketing Raw Data'!$C:$O,7,0)),"")</f>
        <v/>
      </c>
      <c r="P418" s="55" t="str">
        <f>IFERROR(IF(OR($B418="",$B418="(blank)"),"",VLOOKUP($B418,'Email Marketing Raw Data'!$C:$O,8,0)),"")</f>
        <v/>
      </c>
      <c r="Q418" s="62" t="str">
        <f>IFERROR(IF(OR($B418="",$B418="(blank)"),"",VLOOKUP($B418,'Email Marketing Raw Data'!$C:$O,9,0)),"")</f>
        <v/>
      </c>
    </row>
    <row r="419" spans="4:17" ht="12.75" customHeight="1" x14ac:dyDescent="0.2">
      <c r="D419" s="58" t="str">
        <f>IFERROR(IF(F419&lt;&gt;"pending","",IF(OR($B419="",$B419="(blank)"),"",VLOOKUP($B419,'Email Marketing Raw Data'!$C:$O,10,0))),"")</f>
        <v/>
      </c>
      <c r="E419" s="59" t="str">
        <f>IFERROR(IF(F419&lt;&gt;"pending","",IF(OR($B419="",$B419="(blank)"),"",VLOOKUP($B419,'Email Marketing Raw Data'!$C:$O,11,0))),"")</f>
        <v/>
      </c>
      <c r="F419" s="54" t="str">
        <f>IFERROR(IF(OR($B419="",$B419="(blank)"),"",VLOOKUP($B419,'Email Marketing Raw Data'!$C:$O,13,0)),"")</f>
        <v/>
      </c>
      <c r="G419" s="55" t="str">
        <f>IFERROR(IF(OR($B419="",$B419="(blank)"),"",VLOOKUP($B419,'Email Marketing Raw Data'!$C:$O,4,0)),"")</f>
        <v/>
      </c>
      <c r="H419" s="55" t="str">
        <f>IFERROR(IF(OR($B419="",$B419="(blank)"),"",VLOOKUP($B419,'Email Marketing Raw Data'!$C:$O,5,0)),"")</f>
        <v/>
      </c>
      <c r="I419" s="55" t="str">
        <f>IFERROR(IF($G419="","",VLOOKUP('Dashboard And Emails Automate'!$G419,Database!$H:$N,3,0)),"")</f>
        <v/>
      </c>
      <c r="J419" s="55" t="str">
        <f>IFERROR(IF($G419="","",VLOOKUP('Dashboard And Emails Automate'!$G419,Database!$H:$N,4,0)),"")</f>
        <v/>
      </c>
      <c r="K419" s="55" t="str">
        <f>IFERROR(IF($G419="","",VLOOKUP('Dashboard And Emails Automate'!$G419,Database!$H:$N,5,0)),"")</f>
        <v/>
      </c>
      <c r="L419" s="55" t="str">
        <f>IFERROR(IF($G419="","",VLOOKUP('Dashboard And Emails Automate'!$G419,Database!$H:$N,6,0)),"")</f>
        <v/>
      </c>
      <c r="M419" s="55" t="str">
        <f>IFERROR(IF($G419="","",VLOOKUP('Dashboard And Emails Automate'!$G419,Database!$H:$N,7,0)),"")</f>
        <v/>
      </c>
      <c r="N419" s="55" t="str">
        <f>IFERROR(IF(OR($B419="",$B419="(blank)"),"",VLOOKUP($B419,'Email Marketing Raw Data'!$C:$O,6,0)),"")</f>
        <v/>
      </c>
      <c r="O419" s="55" t="str">
        <f>IFERROR(IF(OR($B419="",$B419="(blank)"),"",VLOOKUP($B419,'Email Marketing Raw Data'!$C:$O,7,0)),"")</f>
        <v/>
      </c>
      <c r="P419" s="55" t="str">
        <f>IFERROR(IF(OR($B419="",$B419="(blank)"),"",VLOOKUP($B419,'Email Marketing Raw Data'!$C:$O,8,0)),"")</f>
        <v/>
      </c>
      <c r="Q419" s="62" t="str">
        <f>IFERROR(IF(OR($B419="",$B419="(blank)"),"",VLOOKUP($B419,'Email Marketing Raw Data'!$C:$O,9,0)),"")</f>
        <v/>
      </c>
    </row>
    <row r="420" spans="4:17" ht="12.75" customHeight="1" x14ac:dyDescent="0.2">
      <c r="D420" s="58" t="str">
        <f>IFERROR(IF(F420&lt;&gt;"pending","",IF(OR($B420="",$B420="(blank)"),"",VLOOKUP($B420,'Email Marketing Raw Data'!$C:$O,10,0))),"")</f>
        <v/>
      </c>
      <c r="E420" s="59" t="str">
        <f>IFERROR(IF(F420&lt;&gt;"pending","",IF(OR($B420="",$B420="(blank)"),"",VLOOKUP($B420,'Email Marketing Raw Data'!$C:$O,11,0))),"")</f>
        <v/>
      </c>
      <c r="F420" s="54" t="str">
        <f>IFERROR(IF(OR($B420="",$B420="(blank)"),"",VLOOKUP($B420,'Email Marketing Raw Data'!$C:$O,13,0)),"")</f>
        <v/>
      </c>
      <c r="G420" s="55" t="str">
        <f>IFERROR(IF(OR($B420="",$B420="(blank)"),"",VLOOKUP($B420,'Email Marketing Raw Data'!$C:$O,4,0)),"")</f>
        <v/>
      </c>
      <c r="H420" s="55" t="str">
        <f>IFERROR(IF(OR($B420="",$B420="(blank)"),"",VLOOKUP($B420,'Email Marketing Raw Data'!$C:$O,5,0)),"")</f>
        <v/>
      </c>
      <c r="I420" s="55" t="str">
        <f>IFERROR(IF($G420="","",VLOOKUP('Dashboard And Emails Automate'!$G420,Database!$H:$N,3,0)),"")</f>
        <v/>
      </c>
      <c r="J420" s="55" t="str">
        <f>IFERROR(IF($G420="","",VLOOKUP('Dashboard And Emails Automate'!$G420,Database!$H:$N,4,0)),"")</f>
        <v/>
      </c>
      <c r="K420" s="55" t="str">
        <f>IFERROR(IF($G420="","",VLOOKUP('Dashboard And Emails Automate'!$G420,Database!$H:$N,5,0)),"")</f>
        <v/>
      </c>
      <c r="L420" s="55" t="str">
        <f>IFERROR(IF($G420="","",VLOOKUP('Dashboard And Emails Automate'!$G420,Database!$H:$N,6,0)),"")</f>
        <v/>
      </c>
      <c r="M420" s="55" t="str">
        <f>IFERROR(IF($G420="","",VLOOKUP('Dashboard And Emails Automate'!$G420,Database!$H:$N,7,0)),"")</f>
        <v/>
      </c>
      <c r="N420" s="55" t="str">
        <f>IFERROR(IF(OR($B420="",$B420="(blank)"),"",VLOOKUP($B420,'Email Marketing Raw Data'!$C:$O,6,0)),"")</f>
        <v/>
      </c>
      <c r="O420" s="55" t="str">
        <f>IFERROR(IF(OR($B420="",$B420="(blank)"),"",VLOOKUP($B420,'Email Marketing Raw Data'!$C:$O,7,0)),"")</f>
        <v/>
      </c>
      <c r="P420" s="55" t="str">
        <f>IFERROR(IF(OR($B420="",$B420="(blank)"),"",VLOOKUP($B420,'Email Marketing Raw Data'!$C:$O,8,0)),"")</f>
        <v/>
      </c>
      <c r="Q420" s="62" t="str">
        <f>IFERROR(IF(OR($B420="",$B420="(blank)"),"",VLOOKUP($B420,'Email Marketing Raw Data'!$C:$O,9,0)),"")</f>
        <v/>
      </c>
    </row>
    <row r="421" spans="4:17" ht="12.75" customHeight="1" x14ac:dyDescent="0.2">
      <c r="D421" s="58" t="str">
        <f>IFERROR(IF(F421&lt;&gt;"pending","",IF(OR($B421="",$B421="(blank)"),"",VLOOKUP($B421,'Email Marketing Raw Data'!$C:$O,10,0))),"")</f>
        <v/>
      </c>
      <c r="E421" s="59" t="str">
        <f>IFERROR(IF(F421&lt;&gt;"pending","",IF(OR($B421="",$B421="(blank)"),"",VLOOKUP($B421,'Email Marketing Raw Data'!$C:$O,11,0))),"")</f>
        <v/>
      </c>
      <c r="F421" s="54" t="str">
        <f>IFERROR(IF(OR($B421="",$B421="(blank)"),"",VLOOKUP($B421,'Email Marketing Raw Data'!$C:$O,13,0)),"")</f>
        <v/>
      </c>
      <c r="G421" s="55" t="str">
        <f>IFERROR(IF(OR($B421="",$B421="(blank)"),"",VLOOKUP($B421,'Email Marketing Raw Data'!$C:$O,4,0)),"")</f>
        <v/>
      </c>
      <c r="H421" s="55" t="str">
        <f>IFERROR(IF(OR($B421="",$B421="(blank)"),"",VLOOKUP($B421,'Email Marketing Raw Data'!$C:$O,5,0)),"")</f>
        <v/>
      </c>
      <c r="I421" s="55" t="str">
        <f>IFERROR(IF($G421="","",VLOOKUP('Dashboard And Emails Automate'!$G421,Database!$H:$N,3,0)),"")</f>
        <v/>
      </c>
      <c r="J421" s="55" t="str">
        <f>IFERROR(IF($G421="","",VLOOKUP('Dashboard And Emails Automate'!$G421,Database!$H:$N,4,0)),"")</f>
        <v/>
      </c>
      <c r="K421" s="55" t="str">
        <f>IFERROR(IF($G421="","",VLOOKUP('Dashboard And Emails Automate'!$G421,Database!$H:$N,5,0)),"")</f>
        <v/>
      </c>
      <c r="L421" s="55" t="str">
        <f>IFERROR(IF($G421="","",VLOOKUP('Dashboard And Emails Automate'!$G421,Database!$H:$N,6,0)),"")</f>
        <v/>
      </c>
      <c r="M421" s="55" t="str">
        <f>IFERROR(IF($G421="","",VLOOKUP('Dashboard And Emails Automate'!$G421,Database!$H:$N,7,0)),"")</f>
        <v/>
      </c>
      <c r="N421" s="55" t="str">
        <f>IFERROR(IF(OR($B421="",$B421="(blank)"),"",VLOOKUP($B421,'Email Marketing Raw Data'!$C:$O,6,0)),"")</f>
        <v/>
      </c>
      <c r="O421" s="55" t="str">
        <f>IFERROR(IF(OR($B421="",$B421="(blank)"),"",VLOOKUP($B421,'Email Marketing Raw Data'!$C:$O,7,0)),"")</f>
        <v/>
      </c>
      <c r="P421" s="55" t="str">
        <f>IFERROR(IF(OR($B421="",$B421="(blank)"),"",VLOOKUP($B421,'Email Marketing Raw Data'!$C:$O,8,0)),"")</f>
        <v/>
      </c>
      <c r="Q421" s="62" t="str">
        <f>IFERROR(IF(OR($B421="",$B421="(blank)"),"",VLOOKUP($B421,'Email Marketing Raw Data'!$C:$O,9,0)),"")</f>
        <v/>
      </c>
    </row>
    <row r="422" spans="4:17" ht="12.75" customHeight="1" x14ac:dyDescent="0.2">
      <c r="D422" s="58" t="str">
        <f>IFERROR(IF(F422&lt;&gt;"pending","",IF(OR($B422="",$B422="(blank)"),"",VLOOKUP($B422,'Email Marketing Raw Data'!$C:$O,10,0))),"")</f>
        <v/>
      </c>
      <c r="E422" s="59" t="str">
        <f>IFERROR(IF(F422&lt;&gt;"pending","",IF(OR($B422="",$B422="(blank)"),"",VLOOKUP($B422,'Email Marketing Raw Data'!$C:$O,11,0))),"")</f>
        <v/>
      </c>
      <c r="F422" s="54" t="str">
        <f>IFERROR(IF(OR($B422="",$B422="(blank)"),"",VLOOKUP($B422,'Email Marketing Raw Data'!$C:$O,13,0)),"")</f>
        <v/>
      </c>
      <c r="G422" s="55" t="str">
        <f>IFERROR(IF(OR($B422="",$B422="(blank)"),"",VLOOKUP($B422,'Email Marketing Raw Data'!$C:$O,4,0)),"")</f>
        <v/>
      </c>
      <c r="H422" s="55" t="str">
        <f>IFERROR(IF(OR($B422="",$B422="(blank)"),"",VLOOKUP($B422,'Email Marketing Raw Data'!$C:$O,5,0)),"")</f>
        <v/>
      </c>
      <c r="I422" s="55" t="str">
        <f>IFERROR(IF($G422="","",VLOOKUP('Dashboard And Emails Automate'!$G422,Database!$H:$N,3,0)),"")</f>
        <v/>
      </c>
      <c r="J422" s="55" t="str">
        <f>IFERROR(IF($G422="","",VLOOKUP('Dashboard And Emails Automate'!$G422,Database!$H:$N,4,0)),"")</f>
        <v/>
      </c>
      <c r="K422" s="55" t="str">
        <f>IFERROR(IF($G422="","",VLOOKUP('Dashboard And Emails Automate'!$G422,Database!$H:$N,5,0)),"")</f>
        <v/>
      </c>
      <c r="L422" s="55" t="str">
        <f>IFERROR(IF($G422="","",VLOOKUP('Dashboard And Emails Automate'!$G422,Database!$H:$N,6,0)),"")</f>
        <v/>
      </c>
      <c r="M422" s="55" t="str">
        <f>IFERROR(IF($G422="","",VLOOKUP('Dashboard And Emails Automate'!$G422,Database!$H:$N,7,0)),"")</f>
        <v/>
      </c>
      <c r="N422" s="55" t="str">
        <f>IFERROR(IF(OR($B422="",$B422="(blank)"),"",VLOOKUP($B422,'Email Marketing Raw Data'!$C:$O,6,0)),"")</f>
        <v/>
      </c>
      <c r="O422" s="55" t="str">
        <f>IFERROR(IF(OR($B422="",$B422="(blank)"),"",VLOOKUP($B422,'Email Marketing Raw Data'!$C:$O,7,0)),"")</f>
        <v/>
      </c>
      <c r="P422" s="55" t="str">
        <f>IFERROR(IF(OR($B422="",$B422="(blank)"),"",VLOOKUP($B422,'Email Marketing Raw Data'!$C:$O,8,0)),"")</f>
        <v/>
      </c>
      <c r="Q422" s="62" t="str">
        <f>IFERROR(IF(OR($B422="",$B422="(blank)"),"",VLOOKUP($B422,'Email Marketing Raw Data'!$C:$O,9,0)),"")</f>
        <v/>
      </c>
    </row>
    <row r="423" spans="4:17" ht="12.75" customHeight="1" x14ac:dyDescent="0.2">
      <c r="D423" s="58" t="str">
        <f>IFERROR(IF(F423&lt;&gt;"pending","",IF(OR($B423="",$B423="(blank)"),"",VLOOKUP($B423,'Email Marketing Raw Data'!$C:$O,10,0))),"")</f>
        <v/>
      </c>
      <c r="E423" s="59" t="str">
        <f>IFERROR(IF(F423&lt;&gt;"pending","",IF(OR($B423="",$B423="(blank)"),"",VLOOKUP($B423,'Email Marketing Raw Data'!$C:$O,11,0))),"")</f>
        <v/>
      </c>
      <c r="F423" s="54" t="str">
        <f>IFERROR(IF(OR($B423="",$B423="(blank)"),"",VLOOKUP($B423,'Email Marketing Raw Data'!$C:$O,13,0)),"")</f>
        <v/>
      </c>
      <c r="G423" s="55" t="str">
        <f>IFERROR(IF(OR($B423="",$B423="(blank)"),"",VLOOKUP($B423,'Email Marketing Raw Data'!$C:$O,4,0)),"")</f>
        <v/>
      </c>
      <c r="H423" s="55" t="str">
        <f>IFERROR(IF(OR($B423="",$B423="(blank)"),"",VLOOKUP($B423,'Email Marketing Raw Data'!$C:$O,5,0)),"")</f>
        <v/>
      </c>
      <c r="I423" s="55" t="str">
        <f>IFERROR(IF($G423="","",VLOOKUP('Dashboard And Emails Automate'!$G423,Database!$H:$N,3,0)),"")</f>
        <v/>
      </c>
      <c r="J423" s="55" t="str">
        <f>IFERROR(IF($G423="","",VLOOKUP('Dashboard And Emails Automate'!$G423,Database!$H:$N,4,0)),"")</f>
        <v/>
      </c>
      <c r="K423" s="55" t="str">
        <f>IFERROR(IF($G423="","",VLOOKUP('Dashboard And Emails Automate'!$G423,Database!$H:$N,5,0)),"")</f>
        <v/>
      </c>
      <c r="L423" s="55" t="str">
        <f>IFERROR(IF($G423="","",VLOOKUP('Dashboard And Emails Automate'!$G423,Database!$H:$N,6,0)),"")</f>
        <v/>
      </c>
      <c r="M423" s="55" t="str">
        <f>IFERROR(IF($G423="","",VLOOKUP('Dashboard And Emails Automate'!$G423,Database!$H:$N,7,0)),"")</f>
        <v/>
      </c>
      <c r="N423" s="55" t="str">
        <f>IFERROR(IF(OR($B423="",$B423="(blank)"),"",VLOOKUP($B423,'Email Marketing Raw Data'!$C:$O,6,0)),"")</f>
        <v/>
      </c>
      <c r="O423" s="55" t="str">
        <f>IFERROR(IF(OR($B423="",$B423="(blank)"),"",VLOOKUP($B423,'Email Marketing Raw Data'!$C:$O,7,0)),"")</f>
        <v/>
      </c>
      <c r="P423" s="55" t="str">
        <f>IFERROR(IF(OR($B423="",$B423="(blank)"),"",VLOOKUP($B423,'Email Marketing Raw Data'!$C:$O,8,0)),"")</f>
        <v/>
      </c>
      <c r="Q423" s="62" t="str">
        <f>IFERROR(IF(OR($B423="",$B423="(blank)"),"",VLOOKUP($B423,'Email Marketing Raw Data'!$C:$O,9,0)),"")</f>
        <v/>
      </c>
    </row>
    <row r="424" spans="4:17" ht="12.75" customHeight="1" x14ac:dyDescent="0.2">
      <c r="D424" s="58" t="str">
        <f>IFERROR(IF(F424&lt;&gt;"pending","",IF(OR($B424="",$B424="(blank)"),"",VLOOKUP($B424,'Email Marketing Raw Data'!$C:$O,10,0))),"")</f>
        <v/>
      </c>
      <c r="E424" s="59" t="str">
        <f>IFERROR(IF(F424&lt;&gt;"pending","",IF(OR($B424="",$B424="(blank)"),"",VLOOKUP($B424,'Email Marketing Raw Data'!$C:$O,11,0))),"")</f>
        <v/>
      </c>
      <c r="F424" s="54" t="str">
        <f>IFERROR(IF(OR($B424="",$B424="(blank)"),"",VLOOKUP($B424,'Email Marketing Raw Data'!$C:$O,13,0)),"")</f>
        <v/>
      </c>
      <c r="G424" s="55" t="str">
        <f>IFERROR(IF(OR($B424="",$B424="(blank)"),"",VLOOKUP($B424,'Email Marketing Raw Data'!$C:$O,4,0)),"")</f>
        <v/>
      </c>
      <c r="H424" s="55" t="str">
        <f>IFERROR(IF(OR($B424="",$B424="(blank)"),"",VLOOKUP($B424,'Email Marketing Raw Data'!$C:$O,5,0)),"")</f>
        <v/>
      </c>
      <c r="I424" s="55" t="str">
        <f>IFERROR(IF($G424="","",VLOOKUP('Dashboard And Emails Automate'!$G424,Database!$H:$N,3,0)),"")</f>
        <v/>
      </c>
      <c r="J424" s="55" t="str">
        <f>IFERROR(IF($G424="","",VLOOKUP('Dashboard And Emails Automate'!$G424,Database!$H:$N,4,0)),"")</f>
        <v/>
      </c>
      <c r="K424" s="55" t="str">
        <f>IFERROR(IF($G424="","",VLOOKUP('Dashboard And Emails Automate'!$G424,Database!$H:$N,5,0)),"")</f>
        <v/>
      </c>
      <c r="L424" s="55" t="str">
        <f>IFERROR(IF($G424="","",VLOOKUP('Dashboard And Emails Automate'!$G424,Database!$H:$N,6,0)),"")</f>
        <v/>
      </c>
      <c r="M424" s="55" t="str">
        <f>IFERROR(IF($G424="","",VLOOKUP('Dashboard And Emails Automate'!$G424,Database!$H:$N,7,0)),"")</f>
        <v/>
      </c>
      <c r="N424" s="55" t="str">
        <f>IFERROR(IF(OR($B424="",$B424="(blank)"),"",VLOOKUP($B424,'Email Marketing Raw Data'!$C:$O,6,0)),"")</f>
        <v/>
      </c>
      <c r="O424" s="55" t="str">
        <f>IFERROR(IF(OR($B424="",$B424="(blank)"),"",VLOOKUP($B424,'Email Marketing Raw Data'!$C:$O,7,0)),"")</f>
        <v/>
      </c>
      <c r="P424" s="55" t="str">
        <f>IFERROR(IF(OR($B424="",$B424="(blank)"),"",VLOOKUP($B424,'Email Marketing Raw Data'!$C:$O,8,0)),"")</f>
        <v/>
      </c>
      <c r="Q424" s="62" t="str">
        <f>IFERROR(IF(OR($B424="",$B424="(blank)"),"",VLOOKUP($B424,'Email Marketing Raw Data'!$C:$O,9,0)),"")</f>
        <v/>
      </c>
    </row>
    <row r="425" spans="4:17" ht="12.75" customHeight="1" x14ac:dyDescent="0.2">
      <c r="D425" s="58" t="str">
        <f>IFERROR(IF(F425&lt;&gt;"pending","",IF(OR($B425="",$B425="(blank)"),"",VLOOKUP($B425,'Email Marketing Raw Data'!$C:$O,10,0))),"")</f>
        <v/>
      </c>
      <c r="E425" s="59" t="str">
        <f>IFERROR(IF(F425&lt;&gt;"pending","",IF(OR($B425="",$B425="(blank)"),"",VLOOKUP($B425,'Email Marketing Raw Data'!$C:$O,11,0))),"")</f>
        <v/>
      </c>
      <c r="F425" s="54" t="str">
        <f>IFERROR(IF(OR($B425="",$B425="(blank)"),"",VLOOKUP($B425,'Email Marketing Raw Data'!$C:$O,13,0)),"")</f>
        <v/>
      </c>
      <c r="G425" s="55" t="str">
        <f>IFERROR(IF(OR($B425="",$B425="(blank)"),"",VLOOKUP($B425,'Email Marketing Raw Data'!$C:$O,4,0)),"")</f>
        <v/>
      </c>
      <c r="H425" s="55" t="str">
        <f>IFERROR(IF(OR($B425="",$B425="(blank)"),"",VLOOKUP($B425,'Email Marketing Raw Data'!$C:$O,5,0)),"")</f>
        <v/>
      </c>
      <c r="I425" s="55" t="str">
        <f>IFERROR(IF($G425="","",VLOOKUP('Dashboard And Emails Automate'!$G425,Database!$H:$N,3,0)),"")</f>
        <v/>
      </c>
      <c r="J425" s="55" t="str">
        <f>IFERROR(IF($G425="","",VLOOKUP('Dashboard And Emails Automate'!$G425,Database!$H:$N,4,0)),"")</f>
        <v/>
      </c>
      <c r="K425" s="55" t="str">
        <f>IFERROR(IF($G425="","",VLOOKUP('Dashboard And Emails Automate'!$G425,Database!$H:$N,5,0)),"")</f>
        <v/>
      </c>
      <c r="L425" s="55" t="str">
        <f>IFERROR(IF($G425="","",VLOOKUP('Dashboard And Emails Automate'!$G425,Database!$H:$N,6,0)),"")</f>
        <v/>
      </c>
      <c r="M425" s="55" t="str">
        <f>IFERROR(IF($G425="","",VLOOKUP('Dashboard And Emails Automate'!$G425,Database!$H:$N,7,0)),"")</f>
        <v/>
      </c>
      <c r="N425" s="55" t="str">
        <f>IFERROR(IF(OR($B425="",$B425="(blank)"),"",VLOOKUP($B425,'Email Marketing Raw Data'!$C:$O,6,0)),"")</f>
        <v/>
      </c>
      <c r="O425" s="55" t="str">
        <f>IFERROR(IF(OR($B425="",$B425="(blank)"),"",VLOOKUP($B425,'Email Marketing Raw Data'!$C:$O,7,0)),"")</f>
        <v/>
      </c>
      <c r="P425" s="55" t="str">
        <f>IFERROR(IF(OR($B425="",$B425="(blank)"),"",VLOOKUP($B425,'Email Marketing Raw Data'!$C:$O,8,0)),"")</f>
        <v/>
      </c>
      <c r="Q425" s="62" t="str">
        <f>IFERROR(IF(OR($B425="",$B425="(blank)"),"",VLOOKUP($B425,'Email Marketing Raw Data'!$C:$O,9,0)),"")</f>
        <v/>
      </c>
    </row>
    <row r="426" spans="4:17" ht="12.75" customHeight="1" x14ac:dyDescent="0.2">
      <c r="D426" s="58" t="str">
        <f>IFERROR(IF(F426&lt;&gt;"pending","",IF(OR($B426="",$B426="(blank)"),"",VLOOKUP($B426,'Email Marketing Raw Data'!$C:$O,10,0))),"")</f>
        <v/>
      </c>
      <c r="E426" s="59" t="str">
        <f>IFERROR(IF(F426&lt;&gt;"pending","",IF(OR($B426="",$B426="(blank)"),"",VLOOKUP($B426,'Email Marketing Raw Data'!$C:$O,11,0))),"")</f>
        <v/>
      </c>
      <c r="F426" s="54" t="str">
        <f>IFERROR(IF(OR($B426="",$B426="(blank)"),"",VLOOKUP($B426,'Email Marketing Raw Data'!$C:$O,13,0)),"")</f>
        <v/>
      </c>
      <c r="G426" s="55" t="str">
        <f>IFERROR(IF(OR($B426="",$B426="(blank)"),"",VLOOKUP($B426,'Email Marketing Raw Data'!$C:$O,4,0)),"")</f>
        <v/>
      </c>
      <c r="H426" s="55" t="str">
        <f>IFERROR(IF(OR($B426="",$B426="(blank)"),"",VLOOKUP($B426,'Email Marketing Raw Data'!$C:$O,5,0)),"")</f>
        <v/>
      </c>
      <c r="I426" s="55" t="str">
        <f>IFERROR(IF($G426="","",VLOOKUP('Dashboard And Emails Automate'!$G426,Database!$H:$N,3,0)),"")</f>
        <v/>
      </c>
      <c r="J426" s="55" t="str">
        <f>IFERROR(IF($G426="","",VLOOKUP('Dashboard And Emails Automate'!$G426,Database!$H:$N,4,0)),"")</f>
        <v/>
      </c>
      <c r="K426" s="55" t="str">
        <f>IFERROR(IF($G426="","",VLOOKUP('Dashboard And Emails Automate'!$G426,Database!$H:$N,5,0)),"")</f>
        <v/>
      </c>
      <c r="L426" s="55" t="str">
        <f>IFERROR(IF($G426="","",VLOOKUP('Dashboard And Emails Automate'!$G426,Database!$H:$N,6,0)),"")</f>
        <v/>
      </c>
      <c r="M426" s="55" t="str">
        <f>IFERROR(IF($G426="","",VLOOKUP('Dashboard And Emails Automate'!$G426,Database!$H:$N,7,0)),"")</f>
        <v/>
      </c>
      <c r="N426" s="55" t="str">
        <f>IFERROR(IF(OR($B426="",$B426="(blank)"),"",VLOOKUP($B426,'Email Marketing Raw Data'!$C:$O,6,0)),"")</f>
        <v/>
      </c>
      <c r="O426" s="55" t="str">
        <f>IFERROR(IF(OR($B426="",$B426="(blank)"),"",VLOOKUP($B426,'Email Marketing Raw Data'!$C:$O,7,0)),"")</f>
        <v/>
      </c>
      <c r="P426" s="55" t="str">
        <f>IFERROR(IF(OR($B426="",$B426="(blank)"),"",VLOOKUP($B426,'Email Marketing Raw Data'!$C:$O,8,0)),"")</f>
        <v/>
      </c>
      <c r="Q426" s="62" t="str">
        <f>IFERROR(IF(OR($B426="",$B426="(blank)"),"",VLOOKUP($B426,'Email Marketing Raw Data'!$C:$O,9,0)),"")</f>
        <v/>
      </c>
    </row>
    <row r="427" spans="4:17" ht="12.75" customHeight="1" x14ac:dyDescent="0.2">
      <c r="D427" s="58" t="str">
        <f>IFERROR(IF(F427&lt;&gt;"pending","",IF(OR($B427="",$B427="(blank)"),"",VLOOKUP($B427,'Email Marketing Raw Data'!$C:$O,10,0))),"")</f>
        <v/>
      </c>
      <c r="E427" s="59" t="str">
        <f>IFERROR(IF(F427&lt;&gt;"pending","",IF(OR($B427="",$B427="(blank)"),"",VLOOKUP($B427,'Email Marketing Raw Data'!$C:$O,11,0))),"")</f>
        <v/>
      </c>
      <c r="F427" s="54" t="str">
        <f>IFERROR(IF(OR($B427="",$B427="(blank)"),"",VLOOKUP($B427,'Email Marketing Raw Data'!$C:$O,13,0)),"")</f>
        <v/>
      </c>
      <c r="G427" s="55" t="str">
        <f>IFERROR(IF(OR($B427="",$B427="(blank)"),"",VLOOKUP($B427,'Email Marketing Raw Data'!$C:$O,4,0)),"")</f>
        <v/>
      </c>
      <c r="H427" s="55" t="str">
        <f>IFERROR(IF(OR($B427="",$B427="(blank)"),"",VLOOKUP($B427,'Email Marketing Raw Data'!$C:$O,5,0)),"")</f>
        <v/>
      </c>
      <c r="I427" s="55" t="str">
        <f>IFERROR(IF($G427="","",VLOOKUP('Dashboard And Emails Automate'!$G427,Database!$H:$N,3,0)),"")</f>
        <v/>
      </c>
      <c r="J427" s="55" t="str">
        <f>IFERROR(IF($G427="","",VLOOKUP('Dashboard And Emails Automate'!$G427,Database!$H:$N,4,0)),"")</f>
        <v/>
      </c>
      <c r="K427" s="55" t="str">
        <f>IFERROR(IF($G427="","",VLOOKUP('Dashboard And Emails Automate'!$G427,Database!$H:$N,5,0)),"")</f>
        <v/>
      </c>
      <c r="L427" s="55" t="str">
        <f>IFERROR(IF($G427="","",VLOOKUP('Dashboard And Emails Automate'!$G427,Database!$H:$N,6,0)),"")</f>
        <v/>
      </c>
      <c r="M427" s="55" t="str">
        <f>IFERROR(IF($G427="","",VLOOKUP('Dashboard And Emails Automate'!$G427,Database!$H:$N,7,0)),"")</f>
        <v/>
      </c>
      <c r="N427" s="55" t="str">
        <f>IFERROR(IF(OR($B427="",$B427="(blank)"),"",VLOOKUP($B427,'Email Marketing Raw Data'!$C:$O,6,0)),"")</f>
        <v/>
      </c>
      <c r="O427" s="55" t="str">
        <f>IFERROR(IF(OR($B427="",$B427="(blank)"),"",VLOOKUP($B427,'Email Marketing Raw Data'!$C:$O,7,0)),"")</f>
        <v/>
      </c>
      <c r="P427" s="55" t="str">
        <f>IFERROR(IF(OR($B427="",$B427="(blank)"),"",VLOOKUP($B427,'Email Marketing Raw Data'!$C:$O,8,0)),"")</f>
        <v/>
      </c>
      <c r="Q427" s="62" t="str">
        <f>IFERROR(IF(OR($B427="",$B427="(blank)"),"",VLOOKUP($B427,'Email Marketing Raw Data'!$C:$O,9,0)),"")</f>
        <v/>
      </c>
    </row>
    <row r="428" spans="4:17" ht="12.75" customHeight="1" x14ac:dyDescent="0.2">
      <c r="D428" s="58" t="str">
        <f>IFERROR(IF(F428&lt;&gt;"pending","",IF(OR($B428="",$B428="(blank)"),"",VLOOKUP($B428,'Email Marketing Raw Data'!$C:$O,10,0))),"")</f>
        <v/>
      </c>
      <c r="E428" s="59" t="str">
        <f>IFERROR(IF(F428&lt;&gt;"pending","",IF(OR($B428="",$B428="(blank)"),"",VLOOKUP($B428,'Email Marketing Raw Data'!$C:$O,11,0))),"")</f>
        <v/>
      </c>
      <c r="F428" s="54" t="str">
        <f>IFERROR(IF(OR($B428="",$B428="(blank)"),"",VLOOKUP($B428,'Email Marketing Raw Data'!$C:$O,13,0)),"")</f>
        <v/>
      </c>
      <c r="G428" s="55" t="str">
        <f>IFERROR(IF(OR($B428="",$B428="(blank)"),"",VLOOKUP($B428,'Email Marketing Raw Data'!$C:$O,4,0)),"")</f>
        <v/>
      </c>
      <c r="H428" s="55" t="str">
        <f>IFERROR(IF(OR($B428="",$B428="(blank)"),"",VLOOKUP($B428,'Email Marketing Raw Data'!$C:$O,5,0)),"")</f>
        <v/>
      </c>
      <c r="I428" s="55" t="str">
        <f>IFERROR(IF($G428="","",VLOOKUP('Dashboard And Emails Automate'!$G428,Database!$H:$N,3,0)),"")</f>
        <v/>
      </c>
      <c r="J428" s="55" t="str">
        <f>IFERROR(IF($G428="","",VLOOKUP('Dashboard And Emails Automate'!$G428,Database!$H:$N,4,0)),"")</f>
        <v/>
      </c>
      <c r="K428" s="55" t="str">
        <f>IFERROR(IF($G428="","",VLOOKUP('Dashboard And Emails Automate'!$G428,Database!$H:$N,5,0)),"")</f>
        <v/>
      </c>
      <c r="L428" s="55" t="str">
        <f>IFERROR(IF($G428="","",VLOOKUP('Dashboard And Emails Automate'!$G428,Database!$H:$N,6,0)),"")</f>
        <v/>
      </c>
      <c r="M428" s="55" t="str">
        <f>IFERROR(IF($G428="","",VLOOKUP('Dashboard And Emails Automate'!$G428,Database!$H:$N,7,0)),"")</f>
        <v/>
      </c>
      <c r="N428" s="55" t="str">
        <f>IFERROR(IF(OR($B428="",$B428="(blank)"),"",VLOOKUP($B428,'Email Marketing Raw Data'!$C:$O,6,0)),"")</f>
        <v/>
      </c>
      <c r="O428" s="55" t="str">
        <f>IFERROR(IF(OR($B428="",$B428="(blank)"),"",VLOOKUP($B428,'Email Marketing Raw Data'!$C:$O,7,0)),"")</f>
        <v/>
      </c>
      <c r="P428" s="55" t="str">
        <f>IFERROR(IF(OR($B428="",$B428="(blank)"),"",VLOOKUP($B428,'Email Marketing Raw Data'!$C:$O,8,0)),"")</f>
        <v/>
      </c>
      <c r="Q428" s="62" t="str">
        <f>IFERROR(IF(OR($B428="",$B428="(blank)"),"",VLOOKUP($B428,'Email Marketing Raw Data'!$C:$O,9,0)),"")</f>
        <v/>
      </c>
    </row>
    <row r="429" spans="4:17" ht="12.75" customHeight="1" x14ac:dyDescent="0.2">
      <c r="D429" s="58" t="str">
        <f>IFERROR(IF(F429&lt;&gt;"pending","",IF(OR($B429="",$B429="(blank)"),"",VLOOKUP($B429,'Email Marketing Raw Data'!$C:$O,10,0))),"")</f>
        <v/>
      </c>
      <c r="E429" s="59" t="str">
        <f>IFERROR(IF(F429&lt;&gt;"pending","",IF(OR($B429="",$B429="(blank)"),"",VLOOKUP($B429,'Email Marketing Raw Data'!$C:$O,11,0))),"")</f>
        <v/>
      </c>
      <c r="F429" s="54" t="str">
        <f>IFERROR(IF(OR($B429="",$B429="(blank)"),"",VLOOKUP($B429,'Email Marketing Raw Data'!$C:$O,13,0)),"")</f>
        <v/>
      </c>
      <c r="G429" s="55" t="str">
        <f>IFERROR(IF(OR($B429="",$B429="(blank)"),"",VLOOKUP($B429,'Email Marketing Raw Data'!$C:$O,4,0)),"")</f>
        <v/>
      </c>
      <c r="H429" s="55" t="str">
        <f>IFERROR(IF(OR($B429="",$B429="(blank)"),"",VLOOKUP($B429,'Email Marketing Raw Data'!$C:$O,5,0)),"")</f>
        <v/>
      </c>
      <c r="I429" s="55" t="str">
        <f>IFERROR(IF($G429="","",VLOOKUP('Dashboard And Emails Automate'!$G429,Database!$H:$N,3,0)),"")</f>
        <v/>
      </c>
      <c r="J429" s="55" t="str">
        <f>IFERROR(IF($G429="","",VLOOKUP('Dashboard And Emails Automate'!$G429,Database!$H:$N,4,0)),"")</f>
        <v/>
      </c>
      <c r="K429" s="55" t="str">
        <f>IFERROR(IF($G429="","",VLOOKUP('Dashboard And Emails Automate'!$G429,Database!$H:$N,5,0)),"")</f>
        <v/>
      </c>
      <c r="L429" s="55" t="str">
        <f>IFERROR(IF($G429="","",VLOOKUP('Dashboard And Emails Automate'!$G429,Database!$H:$N,6,0)),"")</f>
        <v/>
      </c>
      <c r="M429" s="55" t="str">
        <f>IFERROR(IF($G429="","",VLOOKUP('Dashboard And Emails Automate'!$G429,Database!$H:$N,7,0)),"")</f>
        <v/>
      </c>
      <c r="N429" s="55" t="str">
        <f>IFERROR(IF(OR($B429="",$B429="(blank)"),"",VLOOKUP($B429,'Email Marketing Raw Data'!$C:$O,6,0)),"")</f>
        <v/>
      </c>
      <c r="O429" s="55" t="str">
        <f>IFERROR(IF(OR($B429="",$B429="(blank)"),"",VLOOKUP($B429,'Email Marketing Raw Data'!$C:$O,7,0)),"")</f>
        <v/>
      </c>
      <c r="P429" s="55" t="str">
        <f>IFERROR(IF(OR($B429="",$B429="(blank)"),"",VLOOKUP($B429,'Email Marketing Raw Data'!$C:$O,8,0)),"")</f>
        <v/>
      </c>
      <c r="Q429" s="62" t="str">
        <f>IFERROR(IF(OR($B429="",$B429="(blank)"),"",VLOOKUP($B429,'Email Marketing Raw Data'!$C:$O,9,0)),"")</f>
        <v/>
      </c>
    </row>
    <row r="430" spans="4:17" ht="12.75" customHeight="1" x14ac:dyDescent="0.2">
      <c r="D430" s="58" t="str">
        <f>IFERROR(IF(F430&lt;&gt;"pending","",IF(OR($B430="",$B430="(blank)"),"",VLOOKUP($B430,'Email Marketing Raw Data'!$C:$O,10,0))),"")</f>
        <v/>
      </c>
      <c r="E430" s="59" t="str">
        <f>IFERROR(IF(F430&lt;&gt;"pending","",IF(OR($B430="",$B430="(blank)"),"",VLOOKUP($B430,'Email Marketing Raw Data'!$C:$O,11,0))),"")</f>
        <v/>
      </c>
      <c r="F430" s="54" t="str">
        <f>IFERROR(IF(OR($B430="",$B430="(blank)"),"",VLOOKUP($B430,'Email Marketing Raw Data'!$C:$O,13,0)),"")</f>
        <v/>
      </c>
      <c r="G430" s="55" t="str">
        <f>IFERROR(IF(OR($B430="",$B430="(blank)"),"",VLOOKUP($B430,'Email Marketing Raw Data'!$C:$O,4,0)),"")</f>
        <v/>
      </c>
      <c r="H430" s="55" t="str">
        <f>IFERROR(IF(OR($B430="",$B430="(blank)"),"",VLOOKUP($B430,'Email Marketing Raw Data'!$C:$O,5,0)),"")</f>
        <v/>
      </c>
      <c r="I430" s="55" t="str">
        <f>IFERROR(IF($G430="","",VLOOKUP('Dashboard And Emails Automate'!$G430,Database!$H:$N,3,0)),"")</f>
        <v/>
      </c>
      <c r="J430" s="55" t="str">
        <f>IFERROR(IF($G430="","",VLOOKUP('Dashboard And Emails Automate'!$G430,Database!$H:$N,4,0)),"")</f>
        <v/>
      </c>
      <c r="K430" s="55" t="str">
        <f>IFERROR(IF($G430="","",VLOOKUP('Dashboard And Emails Automate'!$G430,Database!$H:$N,5,0)),"")</f>
        <v/>
      </c>
      <c r="L430" s="55" t="str">
        <f>IFERROR(IF($G430="","",VLOOKUP('Dashboard And Emails Automate'!$G430,Database!$H:$N,6,0)),"")</f>
        <v/>
      </c>
      <c r="M430" s="55" t="str">
        <f>IFERROR(IF($G430="","",VLOOKUP('Dashboard And Emails Automate'!$G430,Database!$H:$N,7,0)),"")</f>
        <v/>
      </c>
      <c r="N430" s="55" t="str">
        <f>IFERROR(IF(OR($B430="",$B430="(blank)"),"",VLOOKUP($B430,'Email Marketing Raw Data'!$C:$O,6,0)),"")</f>
        <v/>
      </c>
      <c r="O430" s="55" t="str">
        <f>IFERROR(IF(OR($B430="",$B430="(blank)"),"",VLOOKUP($B430,'Email Marketing Raw Data'!$C:$O,7,0)),"")</f>
        <v/>
      </c>
      <c r="P430" s="55" t="str">
        <f>IFERROR(IF(OR($B430="",$B430="(blank)"),"",VLOOKUP($B430,'Email Marketing Raw Data'!$C:$O,8,0)),"")</f>
        <v/>
      </c>
      <c r="Q430" s="62" t="str">
        <f>IFERROR(IF(OR($B430="",$B430="(blank)"),"",VLOOKUP($B430,'Email Marketing Raw Data'!$C:$O,9,0)),"")</f>
        <v/>
      </c>
    </row>
    <row r="431" spans="4:17" ht="12.75" customHeight="1" x14ac:dyDescent="0.2">
      <c r="D431" s="58" t="str">
        <f>IFERROR(IF(F431&lt;&gt;"pending","",IF(OR($B431="",$B431="(blank)"),"",VLOOKUP($B431,'Email Marketing Raw Data'!$C:$O,10,0))),"")</f>
        <v/>
      </c>
      <c r="E431" s="59" t="str">
        <f>IFERROR(IF(F431&lt;&gt;"pending","",IF(OR($B431="",$B431="(blank)"),"",VLOOKUP($B431,'Email Marketing Raw Data'!$C:$O,11,0))),"")</f>
        <v/>
      </c>
      <c r="F431" s="54" t="str">
        <f>IFERROR(IF(OR($B431="",$B431="(blank)"),"",VLOOKUP($B431,'Email Marketing Raw Data'!$C:$O,13,0)),"")</f>
        <v/>
      </c>
      <c r="G431" s="55" t="str">
        <f>IFERROR(IF(OR($B431="",$B431="(blank)"),"",VLOOKUP($B431,'Email Marketing Raw Data'!$C:$O,4,0)),"")</f>
        <v/>
      </c>
      <c r="H431" s="55" t="str">
        <f>IFERROR(IF(OR($B431="",$B431="(blank)"),"",VLOOKUP($B431,'Email Marketing Raw Data'!$C:$O,5,0)),"")</f>
        <v/>
      </c>
      <c r="I431" s="55" t="str">
        <f>IFERROR(IF($G431="","",VLOOKUP('Dashboard And Emails Automate'!$G431,Database!$H:$N,3,0)),"")</f>
        <v/>
      </c>
      <c r="J431" s="55" t="str">
        <f>IFERROR(IF($G431="","",VLOOKUP('Dashboard And Emails Automate'!$G431,Database!$H:$N,4,0)),"")</f>
        <v/>
      </c>
      <c r="K431" s="55" t="str">
        <f>IFERROR(IF($G431="","",VLOOKUP('Dashboard And Emails Automate'!$G431,Database!$H:$N,5,0)),"")</f>
        <v/>
      </c>
      <c r="L431" s="55" t="str">
        <f>IFERROR(IF($G431="","",VLOOKUP('Dashboard And Emails Automate'!$G431,Database!$H:$N,6,0)),"")</f>
        <v/>
      </c>
      <c r="M431" s="55" t="str">
        <f>IFERROR(IF($G431="","",VLOOKUP('Dashboard And Emails Automate'!$G431,Database!$H:$N,7,0)),"")</f>
        <v/>
      </c>
      <c r="N431" s="55" t="str">
        <f>IFERROR(IF(OR($B431="",$B431="(blank)"),"",VLOOKUP($B431,'Email Marketing Raw Data'!$C:$O,6,0)),"")</f>
        <v/>
      </c>
      <c r="O431" s="55" t="str">
        <f>IFERROR(IF(OR($B431="",$B431="(blank)"),"",VLOOKUP($B431,'Email Marketing Raw Data'!$C:$O,7,0)),"")</f>
        <v/>
      </c>
      <c r="P431" s="55" t="str">
        <f>IFERROR(IF(OR($B431="",$B431="(blank)"),"",VLOOKUP($B431,'Email Marketing Raw Data'!$C:$O,8,0)),"")</f>
        <v/>
      </c>
      <c r="Q431" s="62" t="str">
        <f>IFERROR(IF(OR($B431="",$B431="(blank)"),"",VLOOKUP($B431,'Email Marketing Raw Data'!$C:$O,9,0)),"")</f>
        <v/>
      </c>
    </row>
    <row r="432" spans="4:17" ht="12.75" customHeight="1" x14ac:dyDescent="0.2">
      <c r="D432" s="58" t="str">
        <f>IFERROR(IF(F432&lt;&gt;"pending","",IF(OR($B432="",$B432="(blank)"),"",VLOOKUP($B432,'Email Marketing Raw Data'!$C:$O,10,0))),"")</f>
        <v/>
      </c>
      <c r="E432" s="59" t="str">
        <f>IFERROR(IF(F432&lt;&gt;"pending","",IF(OR($B432="",$B432="(blank)"),"",VLOOKUP($B432,'Email Marketing Raw Data'!$C:$O,11,0))),"")</f>
        <v/>
      </c>
      <c r="F432" s="54" t="str">
        <f>IFERROR(IF(OR($B432="",$B432="(blank)"),"",VLOOKUP($B432,'Email Marketing Raw Data'!$C:$O,13,0)),"")</f>
        <v/>
      </c>
      <c r="G432" s="55" t="str">
        <f>IFERROR(IF(OR($B432="",$B432="(blank)"),"",VLOOKUP($B432,'Email Marketing Raw Data'!$C:$O,4,0)),"")</f>
        <v/>
      </c>
      <c r="H432" s="55" t="str">
        <f>IFERROR(IF(OR($B432="",$B432="(blank)"),"",VLOOKUP($B432,'Email Marketing Raw Data'!$C:$O,5,0)),"")</f>
        <v/>
      </c>
      <c r="I432" s="55" t="str">
        <f>IFERROR(IF($G432="","",VLOOKUP('Dashboard And Emails Automate'!$G432,Database!$H:$N,3,0)),"")</f>
        <v/>
      </c>
      <c r="J432" s="55" t="str">
        <f>IFERROR(IF($G432="","",VLOOKUP('Dashboard And Emails Automate'!$G432,Database!$H:$N,4,0)),"")</f>
        <v/>
      </c>
      <c r="K432" s="55" t="str">
        <f>IFERROR(IF($G432="","",VLOOKUP('Dashboard And Emails Automate'!$G432,Database!$H:$N,5,0)),"")</f>
        <v/>
      </c>
      <c r="L432" s="55" t="str">
        <f>IFERROR(IF($G432="","",VLOOKUP('Dashboard And Emails Automate'!$G432,Database!$H:$N,6,0)),"")</f>
        <v/>
      </c>
      <c r="M432" s="55" t="str">
        <f>IFERROR(IF($G432="","",VLOOKUP('Dashboard And Emails Automate'!$G432,Database!$H:$N,7,0)),"")</f>
        <v/>
      </c>
      <c r="N432" s="55" t="str">
        <f>IFERROR(IF(OR($B432="",$B432="(blank)"),"",VLOOKUP($B432,'Email Marketing Raw Data'!$C:$O,6,0)),"")</f>
        <v/>
      </c>
      <c r="O432" s="55" t="str">
        <f>IFERROR(IF(OR($B432="",$B432="(blank)"),"",VLOOKUP($B432,'Email Marketing Raw Data'!$C:$O,7,0)),"")</f>
        <v/>
      </c>
      <c r="P432" s="55" t="str">
        <f>IFERROR(IF(OR($B432="",$B432="(blank)"),"",VLOOKUP($B432,'Email Marketing Raw Data'!$C:$O,8,0)),"")</f>
        <v/>
      </c>
      <c r="Q432" s="62" t="str">
        <f>IFERROR(IF(OR($B432="",$B432="(blank)"),"",VLOOKUP($B432,'Email Marketing Raw Data'!$C:$O,9,0)),"")</f>
        <v/>
      </c>
    </row>
    <row r="433" spans="4:17" ht="12.75" customHeight="1" x14ac:dyDescent="0.2">
      <c r="D433" s="58" t="str">
        <f>IFERROR(IF(F433&lt;&gt;"pending","",IF(OR($B433="",$B433="(blank)"),"",VLOOKUP($B433,'Email Marketing Raw Data'!$C:$O,10,0))),"")</f>
        <v/>
      </c>
      <c r="E433" s="59" t="str">
        <f>IFERROR(IF(F433&lt;&gt;"pending","",IF(OR($B433="",$B433="(blank)"),"",VLOOKUP($B433,'Email Marketing Raw Data'!$C:$O,11,0))),"")</f>
        <v/>
      </c>
      <c r="F433" s="54" t="str">
        <f>IFERROR(IF(OR($B433="",$B433="(blank)"),"",VLOOKUP($B433,'Email Marketing Raw Data'!$C:$O,13,0)),"")</f>
        <v/>
      </c>
      <c r="G433" s="55" t="str">
        <f>IFERROR(IF(OR($B433="",$B433="(blank)"),"",VLOOKUP($B433,'Email Marketing Raw Data'!$C:$O,4,0)),"")</f>
        <v/>
      </c>
      <c r="H433" s="55" t="str">
        <f>IFERROR(IF(OR($B433="",$B433="(blank)"),"",VLOOKUP($B433,'Email Marketing Raw Data'!$C:$O,5,0)),"")</f>
        <v/>
      </c>
      <c r="I433" s="55" t="str">
        <f>IFERROR(IF($G433="","",VLOOKUP('Dashboard And Emails Automate'!$G433,Database!$H:$N,3,0)),"")</f>
        <v/>
      </c>
      <c r="J433" s="55" t="str">
        <f>IFERROR(IF($G433="","",VLOOKUP('Dashboard And Emails Automate'!$G433,Database!$H:$N,4,0)),"")</f>
        <v/>
      </c>
      <c r="K433" s="55" t="str">
        <f>IFERROR(IF($G433="","",VLOOKUP('Dashboard And Emails Automate'!$G433,Database!$H:$N,5,0)),"")</f>
        <v/>
      </c>
      <c r="L433" s="55" t="str">
        <f>IFERROR(IF($G433="","",VLOOKUP('Dashboard And Emails Automate'!$G433,Database!$H:$N,6,0)),"")</f>
        <v/>
      </c>
      <c r="M433" s="55" t="str">
        <f>IFERROR(IF($G433="","",VLOOKUP('Dashboard And Emails Automate'!$G433,Database!$H:$N,7,0)),"")</f>
        <v/>
      </c>
      <c r="N433" s="55" t="str">
        <f>IFERROR(IF(OR($B433="",$B433="(blank)"),"",VLOOKUP($B433,'Email Marketing Raw Data'!$C:$O,6,0)),"")</f>
        <v/>
      </c>
      <c r="O433" s="55" t="str">
        <f>IFERROR(IF(OR($B433="",$B433="(blank)"),"",VLOOKUP($B433,'Email Marketing Raw Data'!$C:$O,7,0)),"")</f>
        <v/>
      </c>
      <c r="P433" s="55" t="str">
        <f>IFERROR(IF(OR($B433="",$B433="(blank)"),"",VLOOKUP($B433,'Email Marketing Raw Data'!$C:$O,8,0)),"")</f>
        <v/>
      </c>
      <c r="Q433" s="62" t="str">
        <f>IFERROR(IF(OR($B433="",$B433="(blank)"),"",VLOOKUP($B433,'Email Marketing Raw Data'!$C:$O,9,0)),"")</f>
        <v/>
      </c>
    </row>
    <row r="434" spans="4:17" ht="12.75" customHeight="1" x14ac:dyDescent="0.2">
      <c r="D434" s="58" t="str">
        <f>IFERROR(IF(F434&lt;&gt;"pending","",IF(OR($B434="",$B434="(blank)"),"",VLOOKUP($B434,'Email Marketing Raw Data'!$C:$O,10,0))),"")</f>
        <v/>
      </c>
      <c r="E434" s="59" t="str">
        <f>IFERROR(IF(F434&lt;&gt;"pending","",IF(OR($B434="",$B434="(blank)"),"",VLOOKUP($B434,'Email Marketing Raw Data'!$C:$O,11,0))),"")</f>
        <v/>
      </c>
      <c r="F434" s="54" t="str">
        <f>IFERROR(IF(OR($B434="",$B434="(blank)"),"",VLOOKUP($B434,'Email Marketing Raw Data'!$C:$O,13,0)),"")</f>
        <v/>
      </c>
      <c r="G434" s="55" t="str">
        <f>IFERROR(IF(OR($B434="",$B434="(blank)"),"",VLOOKUP($B434,'Email Marketing Raw Data'!$C:$O,4,0)),"")</f>
        <v/>
      </c>
      <c r="H434" s="55" t="str">
        <f>IFERROR(IF(OR($B434="",$B434="(blank)"),"",VLOOKUP($B434,'Email Marketing Raw Data'!$C:$O,5,0)),"")</f>
        <v/>
      </c>
      <c r="I434" s="55" t="str">
        <f>IFERROR(IF($G434="","",VLOOKUP('Dashboard And Emails Automate'!$G434,Database!$H:$N,3,0)),"")</f>
        <v/>
      </c>
      <c r="J434" s="55" t="str">
        <f>IFERROR(IF($G434="","",VLOOKUP('Dashboard And Emails Automate'!$G434,Database!$H:$N,4,0)),"")</f>
        <v/>
      </c>
      <c r="K434" s="55" t="str">
        <f>IFERROR(IF($G434="","",VLOOKUP('Dashboard And Emails Automate'!$G434,Database!$H:$N,5,0)),"")</f>
        <v/>
      </c>
      <c r="L434" s="55" t="str">
        <f>IFERROR(IF($G434="","",VLOOKUP('Dashboard And Emails Automate'!$G434,Database!$H:$N,6,0)),"")</f>
        <v/>
      </c>
      <c r="M434" s="55" t="str">
        <f>IFERROR(IF($G434="","",VLOOKUP('Dashboard And Emails Automate'!$G434,Database!$H:$N,7,0)),"")</f>
        <v/>
      </c>
      <c r="N434" s="55" t="str">
        <f>IFERROR(IF(OR($B434="",$B434="(blank)"),"",VLOOKUP($B434,'Email Marketing Raw Data'!$C:$O,6,0)),"")</f>
        <v/>
      </c>
      <c r="O434" s="55" t="str">
        <f>IFERROR(IF(OR($B434="",$B434="(blank)"),"",VLOOKUP($B434,'Email Marketing Raw Data'!$C:$O,7,0)),"")</f>
        <v/>
      </c>
      <c r="P434" s="55" t="str">
        <f>IFERROR(IF(OR($B434="",$B434="(blank)"),"",VLOOKUP($B434,'Email Marketing Raw Data'!$C:$O,8,0)),"")</f>
        <v/>
      </c>
      <c r="Q434" s="62" t="str">
        <f>IFERROR(IF(OR($B434="",$B434="(blank)"),"",VLOOKUP($B434,'Email Marketing Raw Data'!$C:$O,9,0)),"")</f>
        <v/>
      </c>
    </row>
    <row r="435" spans="4:17" ht="12.75" customHeight="1" x14ac:dyDescent="0.2">
      <c r="D435" s="58" t="str">
        <f>IFERROR(IF(F435&lt;&gt;"pending","",IF(OR($B435="",$B435="(blank)"),"",VLOOKUP($B435,'Email Marketing Raw Data'!$C:$O,10,0))),"")</f>
        <v/>
      </c>
      <c r="E435" s="59" t="str">
        <f>IFERROR(IF(F435&lt;&gt;"pending","",IF(OR($B435="",$B435="(blank)"),"",VLOOKUP($B435,'Email Marketing Raw Data'!$C:$O,11,0))),"")</f>
        <v/>
      </c>
      <c r="F435" s="54" t="str">
        <f>IFERROR(IF(OR($B435="",$B435="(blank)"),"",VLOOKUP($B435,'Email Marketing Raw Data'!$C:$O,13,0)),"")</f>
        <v/>
      </c>
      <c r="G435" s="55" t="str">
        <f>IFERROR(IF(OR($B435="",$B435="(blank)"),"",VLOOKUP($B435,'Email Marketing Raw Data'!$C:$O,4,0)),"")</f>
        <v/>
      </c>
      <c r="H435" s="55" t="str">
        <f>IFERROR(IF(OR($B435="",$B435="(blank)"),"",VLOOKUP($B435,'Email Marketing Raw Data'!$C:$O,5,0)),"")</f>
        <v/>
      </c>
      <c r="I435" s="55" t="str">
        <f>IFERROR(IF($G435="","",VLOOKUP('Dashboard And Emails Automate'!$G435,Database!$H:$N,3,0)),"")</f>
        <v/>
      </c>
      <c r="J435" s="55" t="str">
        <f>IFERROR(IF($G435="","",VLOOKUP('Dashboard And Emails Automate'!$G435,Database!$H:$N,4,0)),"")</f>
        <v/>
      </c>
      <c r="K435" s="55" t="str">
        <f>IFERROR(IF($G435="","",VLOOKUP('Dashboard And Emails Automate'!$G435,Database!$H:$N,5,0)),"")</f>
        <v/>
      </c>
      <c r="L435" s="55" t="str">
        <f>IFERROR(IF($G435="","",VLOOKUP('Dashboard And Emails Automate'!$G435,Database!$H:$N,6,0)),"")</f>
        <v/>
      </c>
      <c r="M435" s="55" t="str">
        <f>IFERROR(IF($G435="","",VLOOKUP('Dashboard And Emails Automate'!$G435,Database!$H:$N,7,0)),"")</f>
        <v/>
      </c>
      <c r="N435" s="55" t="str">
        <f>IFERROR(IF(OR($B435="",$B435="(blank)"),"",VLOOKUP($B435,'Email Marketing Raw Data'!$C:$O,6,0)),"")</f>
        <v/>
      </c>
      <c r="O435" s="55" t="str">
        <f>IFERROR(IF(OR($B435="",$B435="(blank)"),"",VLOOKUP($B435,'Email Marketing Raw Data'!$C:$O,7,0)),"")</f>
        <v/>
      </c>
      <c r="P435" s="55" t="str">
        <f>IFERROR(IF(OR($B435="",$B435="(blank)"),"",VLOOKUP($B435,'Email Marketing Raw Data'!$C:$O,8,0)),"")</f>
        <v/>
      </c>
      <c r="Q435" s="62" t="str">
        <f>IFERROR(IF(OR($B435="",$B435="(blank)"),"",VLOOKUP($B435,'Email Marketing Raw Data'!$C:$O,9,0)),"")</f>
        <v/>
      </c>
    </row>
    <row r="436" spans="4:17" ht="12.75" customHeight="1" x14ac:dyDescent="0.2">
      <c r="D436" s="58" t="str">
        <f>IFERROR(IF(F436&lt;&gt;"pending","",IF(OR($B436="",$B436="(blank)"),"",VLOOKUP($B436,'Email Marketing Raw Data'!$C:$O,10,0))),"")</f>
        <v/>
      </c>
      <c r="E436" s="59" t="str">
        <f>IFERROR(IF(F436&lt;&gt;"pending","",IF(OR($B436="",$B436="(blank)"),"",VLOOKUP($B436,'Email Marketing Raw Data'!$C:$O,11,0))),"")</f>
        <v/>
      </c>
      <c r="F436" s="54" t="str">
        <f>IFERROR(IF(OR($B436="",$B436="(blank)"),"",VLOOKUP($B436,'Email Marketing Raw Data'!$C:$O,13,0)),"")</f>
        <v/>
      </c>
      <c r="G436" s="55" t="str">
        <f>IFERROR(IF(OR($B436="",$B436="(blank)"),"",VLOOKUP($B436,'Email Marketing Raw Data'!$C:$O,4,0)),"")</f>
        <v/>
      </c>
      <c r="H436" s="55" t="str">
        <f>IFERROR(IF(OR($B436="",$B436="(blank)"),"",VLOOKUP($B436,'Email Marketing Raw Data'!$C:$O,5,0)),"")</f>
        <v/>
      </c>
      <c r="I436" s="55" t="str">
        <f>IFERROR(IF($G436="","",VLOOKUP('Dashboard And Emails Automate'!$G436,Database!$H:$N,3,0)),"")</f>
        <v/>
      </c>
      <c r="J436" s="55" t="str">
        <f>IFERROR(IF($G436="","",VLOOKUP('Dashboard And Emails Automate'!$G436,Database!$H:$N,4,0)),"")</f>
        <v/>
      </c>
      <c r="K436" s="55" t="str">
        <f>IFERROR(IF($G436="","",VLOOKUP('Dashboard And Emails Automate'!$G436,Database!$H:$N,5,0)),"")</f>
        <v/>
      </c>
      <c r="L436" s="55" t="str">
        <f>IFERROR(IF($G436="","",VLOOKUP('Dashboard And Emails Automate'!$G436,Database!$H:$N,6,0)),"")</f>
        <v/>
      </c>
      <c r="M436" s="55" t="str">
        <f>IFERROR(IF($G436="","",VLOOKUP('Dashboard And Emails Automate'!$G436,Database!$H:$N,7,0)),"")</f>
        <v/>
      </c>
      <c r="N436" s="55" t="str">
        <f>IFERROR(IF(OR($B436="",$B436="(blank)"),"",VLOOKUP($B436,'Email Marketing Raw Data'!$C:$O,6,0)),"")</f>
        <v/>
      </c>
      <c r="O436" s="55" t="str">
        <f>IFERROR(IF(OR($B436="",$B436="(blank)"),"",VLOOKUP($B436,'Email Marketing Raw Data'!$C:$O,7,0)),"")</f>
        <v/>
      </c>
      <c r="P436" s="55" t="str">
        <f>IFERROR(IF(OR($B436="",$B436="(blank)"),"",VLOOKUP($B436,'Email Marketing Raw Data'!$C:$O,8,0)),"")</f>
        <v/>
      </c>
      <c r="Q436" s="62" t="str">
        <f>IFERROR(IF(OR($B436="",$B436="(blank)"),"",VLOOKUP($B436,'Email Marketing Raw Data'!$C:$O,9,0)),"")</f>
        <v/>
      </c>
    </row>
    <row r="437" spans="4:17" ht="12.75" customHeight="1" x14ac:dyDescent="0.2">
      <c r="D437" s="58" t="str">
        <f>IFERROR(IF(F437&lt;&gt;"pending","",IF(OR($B437="",$B437="(blank)"),"",VLOOKUP($B437,'Email Marketing Raw Data'!$C:$O,10,0))),"")</f>
        <v/>
      </c>
      <c r="E437" s="59" t="str">
        <f>IFERROR(IF(F437&lt;&gt;"pending","",IF(OR($B437="",$B437="(blank)"),"",VLOOKUP($B437,'Email Marketing Raw Data'!$C:$O,11,0))),"")</f>
        <v/>
      </c>
      <c r="F437" s="54" t="str">
        <f>IFERROR(IF(OR($B437="",$B437="(blank)"),"",VLOOKUP($B437,'Email Marketing Raw Data'!$C:$O,13,0)),"")</f>
        <v/>
      </c>
      <c r="G437" s="55" t="str">
        <f>IFERROR(IF(OR($B437="",$B437="(blank)"),"",VLOOKUP($B437,'Email Marketing Raw Data'!$C:$O,4,0)),"")</f>
        <v/>
      </c>
      <c r="H437" s="55" t="str">
        <f>IFERROR(IF(OR($B437="",$B437="(blank)"),"",VLOOKUP($B437,'Email Marketing Raw Data'!$C:$O,5,0)),"")</f>
        <v/>
      </c>
      <c r="I437" s="55" t="str">
        <f>IFERROR(IF($G437="","",VLOOKUP('Dashboard And Emails Automate'!$G437,Database!$H:$N,3,0)),"")</f>
        <v/>
      </c>
      <c r="J437" s="55" t="str">
        <f>IFERROR(IF($G437="","",VLOOKUP('Dashboard And Emails Automate'!$G437,Database!$H:$N,4,0)),"")</f>
        <v/>
      </c>
      <c r="K437" s="55" t="str">
        <f>IFERROR(IF($G437="","",VLOOKUP('Dashboard And Emails Automate'!$G437,Database!$H:$N,5,0)),"")</f>
        <v/>
      </c>
      <c r="L437" s="55" t="str">
        <f>IFERROR(IF($G437="","",VLOOKUP('Dashboard And Emails Automate'!$G437,Database!$H:$N,6,0)),"")</f>
        <v/>
      </c>
      <c r="M437" s="55" t="str">
        <f>IFERROR(IF($G437="","",VLOOKUP('Dashboard And Emails Automate'!$G437,Database!$H:$N,7,0)),"")</f>
        <v/>
      </c>
      <c r="N437" s="55" t="str">
        <f>IFERROR(IF(OR($B437="",$B437="(blank)"),"",VLOOKUP($B437,'Email Marketing Raw Data'!$C:$O,6,0)),"")</f>
        <v/>
      </c>
      <c r="O437" s="55" t="str">
        <f>IFERROR(IF(OR($B437="",$B437="(blank)"),"",VLOOKUP($B437,'Email Marketing Raw Data'!$C:$O,7,0)),"")</f>
        <v/>
      </c>
      <c r="P437" s="55" t="str">
        <f>IFERROR(IF(OR($B437="",$B437="(blank)"),"",VLOOKUP($B437,'Email Marketing Raw Data'!$C:$O,8,0)),"")</f>
        <v/>
      </c>
      <c r="Q437" s="62" t="str">
        <f>IFERROR(IF(OR($B437="",$B437="(blank)"),"",VLOOKUP($B437,'Email Marketing Raw Data'!$C:$O,9,0)),"")</f>
        <v/>
      </c>
    </row>
    <row r="438" spans="4:17" ht="12.75" customHeight="1" x14ac:dyDescent="0.2">
      <c r="D438" s="58" t="str">
        <f>IFERROR(IF(F438&lt;&gt;"pending","",IF(OR($B438="",$B438="(blank)"),"",VLOOKUP($B438,'Email Marketing Raw Data'!$C:$O,10,0))),"")</f>
        <v/>
      </c>
      <c r="E438" s="59" t="str">
        <f>IFERROR(IF(F438&lt;&gt;"pending","",IF(OR($B438="",$B438="(blank)"),"",VLOOKUP($B438,'Email Marketing Raw Data'!$C:$O,11,0))),"")</f>
        <v/>
      </c>
      <c r="F438" s="54" t="str">
        <f>IFERROR(IF(OR($B438="",$B438="(blank)"),"",VLOOKUP($B438,'Email Marketing Raw Data'!$C:$O,13,0)),"")</f>
        <v/>
      </c>
      <c r="G438" s="55" t="str">
        <f>IFERROR(IF(OR($B438="",$B438="(blank)"),"",VLOOKUP($B438,'Email Marketing Raw Data'!$C:$O,4,0)),"")</f>
        <v/>
      </c>
      <c r="H438" s="55" t="str">
        <f>IFERROR(IF(OR($B438="",$B438="(blank)"),"",VLOOKUP($B438,'Email Marketing Raw Data'!$C:$O,5,0)),"")</f>
        <v/>
      </c>
      <c r="I438" s="55" t="str">
        <f>IFERROR(IF($G438="","",VLOOKUP('Dashboard And Emails Automate'!$G438,Database!$H:$N,3,0)),"")</f>
        <v/>
      </c>
      <c r="J438" s="55" t="str">
        <f>IFERROR(IF($G438="","",VLOOKUP('Dashboard And Emails Automate'!$G438,Database!$H:$N,4,0)),"")</f>
        <v/>
      </c>
      <c r="K438" s="55" t="str">
        <f>IFERROR(IF($G438="","",VLOOKUP('Dashboard And Emails Automate'!$G438,Database!$H:$N,5,0)),"")</f>
        <v/>
      </c>
      <c r="L438" s="55" t="str">
        <f>IFERROR(IF($G438="","",VLOOKUP('Dashboard And Emails Automate'!$G438,Database!$H:$N,6,0)),"")</f>
        <v/>
      </c>
      <c r="M438" s="55" t="str">
        <f>IFERROR(IF($G438="","",VLOOKUP('Dashboard And Emails Automate'!$G438,Database!$H:$N,7,0)),"")</f>
        <v/>
      </c>
      <c r="N438" s="55" t="str">
        <f>IFERROR(IF(OR($B438="",$B438="(blank)"),"",VLOOKUP($B438,'Email Marketing Raw Data'!$C:$O,6,0)),"")</f>
        <v/>
      </c>
      <c r="O438" s="55" t="str">
        <f>IFERROR(IF(OR($B438="",$B438="(blank)"),"",VLOOKUP($B438,'Email Marketing Raw Data'!$C:$O,7,0)),"")</f>
        <v/>
      </c>
      <c r="P438" s="55" t="str">
        <f>IFERROR(IF(OR($B438="",$B438="(blank)"),"",VLOOKUP($B438,'Email Marketing Raw Data'!$C:$O,8,0)),"")</f>
        <v/>
      </c>
      <c r="Q438" s="62" t="str">
        <f>IFERROR(IF(OR($B438="",$B438="(blank)"),"",VLOOKUP($B438,'Email Marketing Raw Data'!$C:$O,9,0)),"")</f>
        <v/>
      </c>
    </row>
    <row r="439" spans="4:17" ht="12.75" customHeight="1" x14ac:dyDescent="0.2">
      <c r="D439" s="58" t="str">
        <f>IFERROR(IF(F439&lt;&gt;"pending","",IF(OR($B439="",$B439="(blank)"),"",VLOOKUP($B439,'Email Marketing Raw Data'!$C:$O,10,0))),"")</f>
        <v/>
      </c>
      <c r="E439" s="59" t="str">
        <f>IFERROR(IF(F439&lt;&gt;"pending","",IF(OR($B439="",$B439="(blank)"),"",VLOOKUP($B439,'Email Marketing Raw Data'!$C:$O,11,0))),"")</f>
        <v/>
      </c>
      <c r="F439" s="54" t="str">
        <f>IFERROR(IF(OR($B439="",$B439="(blank)"),"",VLOOKUP($B439,'Email Marketing Raw Data'!$C:$O,13,0)),"")</f>
        <v/>
      </c>
      <c r="G439" s="55" t="str">
        <f>IFERROR(IF(OR($B439="",$B439="(blank)"),"",VLOOKUP($B439,'Email Marketing Raw Data'!$C:$O,4,0)),"")</f>
        <v/>
      </c>
      <c r="H439" s="55" t="str">
        <f>IFERROR(IF(OR($B439="",$B439="(blank)"),"",VLOOKUP($B439,'Email Marketing Raw Data'!$C:$O,5,0)),"")</f>
        <v/>
      </c>
      <c r="I439" s="55" t="str">
        <f>IFERROR(IF($G439="","",VLOOKUP('Dashboard And Emails Automate'!$G439,Database!$H:$N,3,0)),"")</f>
        <v/>
      </c>
      <c r="J439" s="55" t="str">
        <f>IFERROR(IF($G439="","",VLOOKUP('Dashboard And Emails Automate'!$G439,Database!$H:$N,4,0)),"")</f>
        <v/>
      </c>
      <c r="K439" s="55" t="str">
        <f>IFERROR(IF($G439="","",VLOOKUP('Dashboard And Emails Automate'!$G439,Database!$H:$N,5,0)),"")</f>
        <v/>
      </c>
      <c r="L439" s="55" t="str">
        <f>IFERROR(IF($G439="","",VLOOKUP('Dashboard And Emails Automate'!$G439,Database!$H:$N,6,0)),"")</f>
        <v/>
      </c>
      <c r="M439" s="55" t="str">
        <f>IFERROR(IF($G439="","",VLOOKUP('Dashboard And Emails Automate'!$G439,Database!$H:$N,7,0)),"")</f>
        <v/>
      </c>
      <c r="N439" s="55" t="str">
        <f>IFERROR(IF(OR($B439="",$B439="(blank)"),"",VLOOKUP($B439,'Email Marketing Raw Data'!$C:$O,6,0)),"")</f>
        <v/>
      </c>
      <c r="O439" s="55" t="str">
        <f>IFERROR(IF(OR($B439="",$B439="(blank)"),"",VLOOKUP($B439,'Email Marketing Raw Data'!$C:$O,7,0)),"")</f>
        <v/>
      </c>
      <c r="P439" s="55" t="str">
        <f>IFERROR(IF(OR($B439="",$B439="(blank)"),"",VLOOKUP($B439,'Email Marketing Raw Data'!$C:$O,8,0)),"")</f>
        <v/>
      </c>
      <c r="Q439" s="62" t="str">
        <f>IFERROR(IF(OR($B439="",$B439="(blank)"),"",VLOOKUP($B439,'Email Marketing Raw Data'!$C:$O,9,0)),"")</f>
        <v/>
      </c>
    </row>
    <row r="440" spans="4:17" ht="12.75" customHeight="1" x14ac:dyDescent="0.2">
      <c r="D440" s="58" t="str">
        <f>IFERROR(IF(F440&lt;&gt;"pending","",IF(OR($B440="",$B440="(blank)"),"",VLOOKUP($B440,'Email Marketing Raw Data'!$C:$O,10,0))),"")</f>
        <v/>
      </c>
      <c r="E440" s="59" t="str">
        <f>IFERROR(IF(F440&lt;&gt;"pending","",IF(OR($B440="",$B440="(blank)"),"",VLOOKUP($B440,'Email Marketing Raw Data'!$C:$O,11,0))),"")</f>
        <v/>
      </c>
      <c r="F440" s="54" t="str">
        <f>IFERROR(IF(OR($B440="",$B440="(blank)"),"",VLOOKUP($B440,'Email Marketing Raw Data'!$C:$O,13,0)),"")</f>
        <v/>
      </c>
      <c r="G440" s="55" t="str">
        <f>IFERROR(IF(OR($B440="",$B440="(blank)"),"",VLOOKUP($B440,'Email Marketing Raw Data'!$C:$O,4,0)),"")</f>
        <v/>
      </c>
      <c r="H440" s="55" t="str">
        <f>IFERROR(IF(OR($B440="",$B440="(blank)"),"",VLOOKUP($B440,'Email Marketing Raw Data'!$C:$O,5,0)),"")</f>
        <v/>
      </c>
      <c r="I440" s="55" t="str">
        <f>IFERROR(IF($G440="","",VLOOKUP('Dashboard And Emails Automate'!$G440,Database!$H:$N,3,0)),"")</f>
        <v/>
      </c>
      <c r="J440" s="55" t="str">
        <f>IFERROR(IF($G440="","",VLOOKUP('Dashboard And Emails Automate'!$G440,Database!$H:$N,4,0)),"")</f>
        <v/>
      </c>
      <c r="K440" s="55" t="str">
        <f>IFERROR(IF($G440="","",VLOOKUP('Dashboard And Emails Automate'!$G440,Database!$H:$N,5,0)),"")</f>
        <v/>
      </c>
      <c r="L440" s="55" t="str">
        <f>IFERROR(IF($G440="","",VLOOKUP('Dashboard And Emails Automate'!$G440,Database!$H:$N,6,0)),"")</f>
        <v/>
      </c>
      <c r="M440" s="55" t="str">
        <f>IFERROR(IF($G440="","",VLOOKUP('Dashboard And Emails Automate'!$G440,Database!$H:$N,7,0)),"")</f>
        <v/>
      </c>
      <c r="N440" s="55" t="str">
        <f>IFERROR(IF(OR($B440="",$B440="(blank)"),"",VLOOKUP($B440,'Email Marketing Raw Data'!$C:$O,6,0)),"")</f>
        <v/>
      </c>
      <c r="O440" s="55" t="str">
        <f>IFERROR(IF(OR($B440="",$B440="(blank)"),"",VLOOKUP($B440,'Email Marketing Raw Data'!$C:$O,7,0)),"")</f>
        <v/>
      </c>
      <c r="P440" s="55" t="str">
        <f>IFERROR(IF(OR($B440="",$B440="(blank)"),"",VLOOKUP($B440,'Email Marketing Raw Data'!$C:$O,8,0)),"")</f>
        <v/>
      </c>
      <c r="Q440" s="62" t="str">
        <f>IFERROR(IF(OR($B440="",$B440="(blank)"),"",VLOOKUP($B440,'Email Marketing Raw Data'!$C:$O,9,0)),"")</f>
        <v/>
      </c>
    </row>
    <row r="441" spans="4:17" ht="12.75" customHeight="1" x14ac:dyDescent="0.2">
      <c r="D441" s="58" t="str">
        <f>IFERROR(IF(F441&lt;&gt;"pending","",IF(OR($B441="",$B441="(blank)"),"",VLOOKUP($B441,'Email Marketing Raw Data'!$C:$O,10,0))),"")</f>
        <v/>
      </c>
      <c r="E441" s="59" t="str">
        <f>IFERROR(IF(F441&lt;&gt;"pending","",IF(OR($B441="",$B441="(blank)"),"",VLOOKUP($B441,'Email Marketing Raw Data'!$C:$O,11,0))),"")</f>
        <v/>
      </c>
      <c r="F441" s="54" t="str">
        <f>IFERROR(IF(OR($B441="",$B441="(blank)"),"",VLOOKUP($B441,'Email Marketing Raw Data'!$C:$O,13,0)),"")</f>
        <v/>
      </c>
      <c r="G441" s="55" t="str">
        <f>IFERROR(IF(OR($B441="",$B441="(blank)"),"",VLOOKUP($B441,'Email Marketing Raw Data'!$C:$O,4,0)),"")</f>
        <v/>
      </c>
      <c r="H441" s="55" t="str">
        <f>IFERROR(IF(OR($B441="",$B441="(blank)"),"",VLOOKUP($B441,'Email Marketing Raw Data'!$C:$O,5,0)),"")</f>
        <v/>
      </c>
      <c r="I441" s="55" t="str">
        <f>IFERROR(IF($G441="","",VLOOKUP('Dashboard And Emails Automate'!$G441,Database!$H:$N,3,0)),"")</f>
        <v/>
      </c>
      <c r="J441" s="55" t="str">
        <f>IFERROR(IF($G441="","",VLOOKUP('Dashboard And Emails Automate'!$G441,Database!$H:$N,4,0)),"")</f>
        <v/>
      </c>
      <c r="K441" s="55" t="str">
        <f>IFERROR(IF($G441="","",VLOOKUP('Dashboard And Emails Automate'!$G441,Database!$H:$N,5,0)),"")</f>
        <v/>
      </c>
      <c r="L441" s="55" t="str">
        <f>IFERROR(IF($G441="","",VLOOKUP('Dashboard And Emails Automate'!$G441,Database!$H:$N,6,0)),"")</f>
        <v/>
      </c>
      <c r="M441" s="55" t="str">
        <f>IFERROR(IF($G441="","",VLOOKUP('Dashboard And Emails Automate'!$G441,Database!$H:$N,7,0)),"")</f>
        <v/>
      </c>
      <c r="N441" s="55" t="str">
        <f>IFERROR(IF(OR($B441="",$B441="(blank)"),"",VLOOKUP($B441,'Email Marketing Raw Data'!$C:$O,6,0)),"")</f>
        <v/>
      </c>
      <c r="O441" s="55" t="str">
        <f>IFERROR(IF(OR($B441="",$B441="(blank)"),"",VLOOKUP($B441,'Email Marketing Raw Data'!$C:$O,7,0)),"")</f>
        <v/>
      </c>
      <c r="P441" s="55" t="str">
        <f>IFERROR(IF(OR($B441="",$B441="(blank)"),"",VLOOKUP($B441,'Email Marketing Raw Data'!$C:$O,8,0)),"")</f>
        <v/>
      </c>
      <c r="Q441" s="62" t="str">
        <f>IFERROR(IF(OR($B441="",$B441="(blank)"),"",VLOOKUP($B441,'Email Marketing Raw Data'!$C:$O,9,0)),"")</f>
        <v/>
      </c>
    </row>
    <row r="442" spans="4:17" ht="12.75" customHeight="1" x14ac:dyDescent="0.2">
      <c r="D442" s="58" t="str">
        <f>IFERROR(IF(F442&lt;&gt;"pending","",IF(OR($B442="",$B442="(blank)"),"",VLOOKUP($B442,'Email Marketing Raw Data'!$C:$O,10,0))),"")</f>
        <v/>
      </c>
      <c r="E442" s="59" t="str">
        <f>IFERROR(IF(F442&lt;&gt;"pending","",IF(OR($B442="",$B442="(blank)"),"",VLOOKUP($B442,'Email Marketing Raw Data'!$C:$O,11,0))),"")</f>
        <v/>
      </c>
      <c r="F442" s="54" t="str">
        <f>IFERROR(IF(OR($B442="",$B442="(blank)"),"",VLOOKUP($B442,'Email Marketing Raw Data'!$C:$O,13,0)),"")</f>
        <v/>
      </c>
      <c r="G442" s="55" t="str">
        <f>IFERROR(IF(OR($B442="",$B442="(blank)"),"",VLOOKUP($B442,'Email Marketing Raw Data'!$C:$O,4,0)),"")</f>
        <v/>
      </c>
      <c r="H442" s="55" t="str">
        <f>IFERROR(IF(OR($B442="",$B442="(blank)"),"",VLOOKUP($B442,'Email Marketing Raw Data'!$C:$O,5,0)),"")</f>
        <v/>
      </c>
      <c r="I442" s="55" t="str">
        <f>IFERROR(IF($G442="","",VLOOKUP('Dashboard And Emails Automate'!$G442,Database!$H:$N,3,0)),"")</f>
        <v/>
      </c>
      <c r="J442" s="55" t="str">
        <f>IFERROR(IF($G442="","",VLOOKUP('Dashboard And Emails Automate'!$G442,Database!$H:$N,4,0)),"")</f>
        <v/>
      </c>
      <c r="K442" s="55" t="str">
        <f>IFERROR(IF($G442="","",VLOOKUP('Dashboard And Emails Automate'!$G442,Database!$H:$N,5,0)),"")</f>
        <v/>
      </c>
      <c r="L442" s="55" t="str">
        <f>IFERROR(IF($G442="","",VLOOKUP('Dashboard And Emails Automate'!$G442,Database!$H:$N,6,0)),"")</f>
        <v/>
      </c>
      <c r="M442" s="55" t="str">
        <f>IFERROR(IF($G442="","",VLOOKUP('Dashboard And Emails Automate'!$G442,Database!$H:$N,7,0)),"")</f>
        <v/>
      </c>
      <c r="N442" s="55" t="str">
        <f>IFERROR(IF(OR($B442="",$B442="(blank)"),"",VLOOKUP($B442,'Email Marketing Raw Data'!$C:$O,6,0)),"")</f>
        <v/>
      </c>
      <c r="O442" s="55" t="str">
        <f>IFERROR(IF(OR($B442="",$B442="(blank)"),"",VLOOKUP($B442,'Email Marketing Raw Data'!$C:$O,7,0)),"")</f>
        <v/>
      </c>
      <c r="P442" s="55" t="str">
        <f>IFERROR(IF(OR($B442="",$B442="(blank)"),"",VLOOKUP($B442,'Email Marketing Raw Data'!$C:$O,8,0)),"")</f>
        <v/>
      </c>
      <c r="Q442" s="62" t="str">
        <f>IFERROR(IF(OR($B442="",$B442="(blank)"),"",VLOOKUP($B442,'Email Marketing Raw Data'!$C:$O,9,0)),"")</f>
        <v/>
      </c>
    </row>
    <row r="443" spans="4:17" ht="12.75" customHeight="1" x14ac:dyDescent="0.2">
      <c r="D443" s="58" t="str">
        <f>IFERROR(IF(F443&lt;&gt;"pending","",IF(OR($B443="",$B443="(blank)"),"",VLOOKUP($B443,'Email Marketing Raw Data'!$C:$O,10,0))),"")</f>
        <v/>
      </c>
      <c r="E443" s="59" t="str">
        <f>IFERROR(IF(F443&lt;&gt;"pending","",IF(OR($B443="",$B443="(blank)"),"",VLOOKUP($B443,'Email Marketing Raw Data'!$C:$O,11,0))),"")</f>
        <v/>
      </c>
      <c r="F443" s="54" t="str">
        <f>IFERROR(IF(OR($B443="",$B443="(blank)"),"",VLOOKUP($B443,'Email Marketing Raw Data'!$C:$O,13,0)),"")</f>
        <v/>
      </c>
      <c r="G443" s="55" t="str">
        <f>IFERROR(IF(OR($B443="",$B443="(blank)"),"",VLOOKUP($B443,'Email Marketing Raw Data'!$C:$O,4,0)),"")</f>
        <v/>
      </c>
      <c r="H443" s="55" t="str">
        <f>IFERROR(IF(OR($B443="",$B443="(blank)"),"",VLOOKUP($B443,'Email Marketing Raw Data'!$C:$O,5,0)),"")</f>
        <v/>
      </c>
      <c r="I443" s="55" t="str">
        <f>IFERROR(IF($G443="","",VLOOKUP('Dashboard And Emails Automate'!$G443,Database!$H:$N,3,0)),"")</f>
        <v/>
      </c>
      <c r="J443" s="55" t="str">
        <f>IFERROR(IF($G443="","",VLOOKUP('Dashboard And Emails Automate'!$G443,Database!$H:$N,4,0)),"")</f>
        <v/>
      </c>
      <c r="K443" s="55" t="str">
        <f>IFERROR(IF($G443="","",VLOOKUP('Dashboard And Emails Automate'!$G443,Database!$H:$N,5,0)),"")</f>
        <v/>
      </c>
      <c r="L443" s="55" t="str">
        <f>IFERROR(IF($G443="","",VLOOKUP('Dashboard And Emails Automate'!$G443,Database!$H:$N,6,0)),"")</f>
        <v/>
      </c>
      <c r="M443" s="55" t="str">
        <f>IFERROR(IF($G443="","",VLOOKUP('Dashboard And Emails Automate'!$G443,Database!$H:$N,7,0)),"")</f>
        <v/>
      </c>
      <c r="N443" s="55" t="str">
        <f>IFERROR(IF(OR($B443="",$B443="(blank)"),"",VLOOKUP($B443,'Email Marketing Raw Data'!$C:$O,6,0)),"")</f>
        <v/>
      </c>
      <c r="O443" s="55" t="str">
        <f>IFERROR(IF(OR($B443="",$B443="(blank)"),"",VLOOKUP($B443,'Email Marketing Raw Data'!$C:$O,7,0)),"")</f>
        <v/>
      </c>
      <c r="P443" s="55" t="str">
        <f>IFERROR(IF(OR($B443="",$B443="(blank)"),"",VLOOKUP($B443,'Email Marketing Raw Data'!$C:$O,8,0)),"")</f>
        <v/>
      </c>
      <c r="Q443" s="62" t="str">
        <f>IFERROR(IF(OR($B443="",$B443="(blank)"),"",VLOOKUP($B443,'Email Marketing Raw Data'!$C:$O,9,0)),"")</f>
        <v/>
      </c>
    </row>
    <row r="444" spans="4:17" ht="12.75" customHeight="1" x14ac:dyDescent="0.2">
      <c r="D444" s="58" t="str">
        <f>IFERROR(IF(F444&lt;&gt;"pending","",IF(OR($B444="",$B444="(blank)"),"",VLOOKUP($B444,'Email Marketing Raw Data'!$C:$O,10,0))),"")</f>
        <v/>
      </c>
      <c r="E444" s="59" t="str">
        <f>IFERROR(IF(F444&lt;&gt;"pending","",IF(OR($B444="",$B444="(blank)"),"",VLOOKUP($B444,'Email Marketing Raw Data'!$C:$O,11,0))),"")</f>
        <v/>
      </c>
      <c r="F444" s="54" t="str">
        <f>IFERROR(IF(OR($B444="",$B444="(blank)"),"",VLOOKUP($B444,'Email Marketing Raw Data'!$C:$O,13,0)),"")</f>
        <v/>
      </c>
      <c r="G444" s="55" t="str">
        <f>IFERROR(IF(OR($B444="",$B444="(blank)"),"",VLOOKUP($B444,'Email Marketing Raw Data'!$C:$O,4,0)),"")</f>
        <v/>
      </c>
      <c r="H444" s="55" t="str">
        <f>IFERROR(IF(OR($B444="",$B444="(blank)"),"",VLOOKUP($B444,'Email Marketing Raw Data'!$C:$O,5,0)),"")</f>
        <v/>
      </c>
      <c r="I444" s="55" t="str">
        <f>IFERROR(IF($G444="","",VLOOKUP('Dashboard And Emails Automate'!$G444,Database!$H:$N,3,0)),"")</f>
        <v/>
      </c>
      <c r="J444" s="55" t="str">
        <f>IFERROR(IF($G444="","",VLOOKUP('Dashboard And Emails Automate'!$G444,Database!$H:$N,4,0)),"")</f>
        <v/>
      </c>
      <c r="K444" s="55" t="str">
        <f>IFERROR(IF($G444="","",VLOOKUP('Dashboard And Emails Automate'!$G444,Database!$H:$N,5,0)),"")</f>
        <v/>
      </c>
      <c r="L444" s="55" t="str">
        <f>IFERROR(IF($G444="","",VLOOKUP('Dashboard And Emails Automate'!$G444,Database!$H:$N,6,0)),"")</f>
        <v/>
      </c>
      <c r="M444" s="55" t="str">
        <f>IFERROR(IF($G444="","",VLOOKUP('Dashboard And Emails Automate'!$G444,Database!$H:$N,7,0)),"")</f>
        <v/>
      </c>
      <c r="N444" s="55" t="str">
        <f>IFERROR(IF(OR($B444="",$B444="(blank)"),"",VLOOKUP($B444,'Email Marketing Raw Data'!$C:$O,6,0)),"")</f>
        <v/>
      </c>
      <c r="O444" s="55" t="str">
        <f>IFERROR(IF(OR($B444="",$B444="(blank)"),"",VLOOKUP($B444,'Email Marketing Raw Data'!$C:$O,7,0)),"")</f>
        <v/>
      </c>
      <c r="P444" s="55" t="str">
        <f>IFERROR(IF(OR($B444="",$B444="(blank)"),"",VLOOKUP($B444,'Email Marketing Raw Data'!$C:$O,8,0)),"")</f>
        <v/>
      </c>
      <c r="Q444" s="62" t="str">
        <f>IFERROR(IF(OR($B444="",$B444="(blank)"),"",VLOOKUP($B444,'Email Marketing Raw Data'!$C:$O,9,0)),"")</f>
        <v/>
      </c>
    </row>
    <row r="445" spans="4:17" ht="12.75" customHeight="1" x14ac:dyDescent="0.2">
      <c r="D445" s="58" t="str">
        <f>IFERROR(IF(F445&lt;&gt;"pending","",IF(OR($B445="",$B445="(blank)"),"",VLOOKUP($B445,'Email Marketing Raw Data'!$C:$O,10,0))),"")</f>
        <v/>
      </c>
      <c r="E445" s="59" t="str">
        <f>IFERROR(IF(F445&lt;&gt;"pending","",IF(OR($B445="",$B445="(blank)"),"",VLOOKUP($B445,'Email Marketing Raw Data'!$C:$O,11,0))),"")</f>
        <v/>
      </c>
      <c r="F445" s="54" t="str">
        <f>IFERROR(IF(OR($B445="",$B445="(blank)"),"",VLOOKUP($B445,'Email Marketing Raw Data'!$C:$O,13,0)),"")</f>
        <v/>
      </c>
      <c r="G445" s="55" t="str">
        <f>IFERROR(IF(OR($B445="",$B445="(blank)"),"",VLOOKUP($B445,'Email Marketing Raw Data'!$C:$O,4,0)),"")</f>
        <v/>
      </c>
      <c r="H445" s="55" t="str">
        <f>IFERROR(IF(OR($B445="",$B445="(blank)"),"",VLOOKUP($B445,'Email Marketing Raw Data'!$C:$O,5,0)),"")</f>
        <v/>
      </c>
      <c r="I445" s="55" t="str">
        <f>IFERROR(IF($G445="","",VLOOKUP('Dashboard And Emails Automate'!$G445,Database!$H:$N,3,0)),"")</f>
        <v/>
      </c>
      <c r="J445" s="55" t="str">
        <f>IFERROR(IF($G445="","",VLOOKUP('Dashboard And Emails Automate'!$G445,Database!$H:$N,4,0)),"")</f>
        <v/>
      </c>
      <c r="K445" s="55" t="str">
        <f>IFERROR(IF($G445="","",VLOOKUP('Dashboard And Emails Automate'!$G445,Database!$H:$N,5,0)),"")</f>
        <v/>
      </c>
      <c r="L445" s="55" t="str">
        <f>IFERROR(IF($G445="","",VLOOKUP('Dashboard And Emails Automate'!$G445,Database!$H:$N,6,0)),"")</f>
        <v/>
      </c>
      <c r="M445" s="55" t="str">
        <f>IFERROR(IF($G445="","",VLOOKUP('Dashboard And Emails Automate'!$G445,Database!$H:$N,7,0)),"")</f>
        <v/>
      </c>
      <c r="N445" s="55" t="str">
        <f>IFERROR(IF(OR($B445="",$B445="(blank)"),"",VLOOKUP($B445,'Email Marketing Raw Data'!$C:$O,6,0)),"")</f>
        <v/>
      </c>
      <c r="O445" s="55" t="str">
        <f>IFERROR(IF(OR($B445="",$B445="(blank)"),"",VLOOKUP($B445,'Email Marketing Raw Data'!$C:$O,7,0)),"")</f>
        <v/>
      </c>
      <c r="P445" s="55" t="str">
        <f>IFERROR(IF(OR($B445="",$B445="(blank)"),"",VLOOKUP($B445,'Email Marketing Raw Data'!$C:$O,8,0)),"")</f>
        <v/>
      </c>
      <c r="Q445" s="62" t="str">
        <f>IFERROR(IF(OR($B445="",$B445="(blank)"),"",VLOOKUP($B445,'Email Marketing Raw Data'!$C:$O,9,0)),"")</f>
        <v/>
      </c>
    </row>
    <row r="446" spans="4:17" ht="12.75" customHeight="1" x14ac:dyDescent="0.2">
      <c r="D446" s="58" t="str">
        <f>IFERROR(IF(F446&lt;&gt;"pending","",IF(OR($B446="",$B446="(blank)"),"",VLOOKUP($B446,'Email Marketing Raw Data'!$C:$O,10,0))),"")</f>
        <v/>
      </c>
      <c r="E446" s="59" t="str">
        <f>IFERROR(IF(F446&lt;&gt;"pending","",IF(OR($B446="",$B446="(blank)"),"",VLOOKUP($B446,'Email Marketing Raw Data'!$C:$O,11,0))),"")</f>
        <v/>
      </c>
      <c r="F446" s="54" t="str">
        <f>IFERROR(IF(OR($B446="",$B446="(blank)"),"",VLOOKUP($B446,'Email Marketing Raw Data'!$C:$O,13,0)),"")</f>
        <v/>
      </c>
      <c r="G446" s="55" t="str">
        <f>IFERROR(IF(OR($B446="",$B446="(blank)"),"",VLOOKUP($B446,'Email Marketing Raw Data'!$C:$O,4,0)),"")</f>
        <v/>
      </c>
      <c r="H446" s="55" t="str">
        <f>IFERROR(IF(OR($B446="",$B446="(blank)"),"",VLOOKUP($B446,'Email Marketing Raw Data'!$C:$O,5,0)),"")</f>
        <v/>
      </c>
      <c r="I446" s="55" t="str">
        <f>IFERROR(IF($G446="","",VLOOKUP('Dashboard And Emails Automate'!$G446,Database!$H:$N,3,0)),"")</f>
        <v/>
      </c>
      <c r="J446" s="55" t="str">
        <f>IFERROR(IF($G446="","",VLOOKUP('Dashboard And Emails Automate'!$G446,Database!$H:$N,4,0)),"")</f>
        <v/>
      </c>
      <c r="K446" s="55" t="str">
        <f>IFERROR(IF($G446="","",VLOOKUP('Dashboard And Emails Automate'!$G446,Database!$H:$N,5,0)),"")</f>
        <v/>
      </c>
      <c r="L446" s="55" t="str">
        <f>IFERROR(IF($G446="","",VLOOKUP('Dashboard And Emails Automate'!$G446,Database!$H:$N,6,0)),"")</f>
        <v/>
      </c>
      <c r="M446" s="55" t="str">
        <f>IFERROR(IF($G446="","",VLOOKUP('Dashboard And Emails Automate'!$G446,Database!$H:$N,7,0)),"")</f>
        <v/>
      </c>
      <c r="N446" s="55" t="str">
        <f>IFERROR(IF(OR($B446="",$B446="(blank)"),"",VLOOKUP($B446,'Email Marketing Raw Data'!$C:$O,6,0)),"")</f>
        <v/>
      </c>
      <c r="O446" s="55" t="str">
        <f>IFERROR(IF(OR($B446="",$B446="(blank)"),"",VLOOKUP($B446,'Email Marketing Raw Data'!$C:$O,7,0)),"")</f>
        <v/>
      </c>
      <c r="P446" s="55" t="str">
        <f>IFERROR(IF(OR($B446="",$B446="(blank)"),"",VLOOKUP($B446,'Email Marketing Raw Data'!$C:$O,8,0)),"")</f>
        <v/>
      </c>
      <c r="Q446" s="62" t="str">
        <f>IFERROR(IF(OR($B446="",$B446="(blank)"),"",VLOOKUP($B446,'Email Marketing Raw Data'!$C:$O,9,0)),"")</f>
        <v/>
      </c>
    </row>
    <row r="447" spans="4:17" ht="12.75" customHeight="1" x14ac:dyDescent="0.2">
      <c r="D447" s="58" t="str">
        <f>IFERROR(IF(F447&lt;&gt;"pending","",IF(OR($B447="",$B447="(blank)"),"",VLOOKUP($B447,'Email Marketing Raw Data'!$C:$O,10,0))),"")</f>
        <v/>
      </c>
      <c r="E447" s="59" t="str">
        <f>IFERROR(IF(F447&lt;&gt;"pending","",IF(OR($B447="",$B447="(blank)"),"",VLOOKUP($B447,'Email Marketing Raw Data'!$C:$O,11,0))),"")</f>
        <v/>
      </c>
      <c r="F447" s="54" t="str">
        <f>IFERROR(IF(OR($B447="",$B447="(blank)"),"",VLOOKUP($B447,'Email Marketing Raw Data'!$C:$O,13,0)),"")</f>
        <v/>
      </c>
      <c r="G447" s="55" t="str">
        <f>IFERROR(IF(OR($B447="",$B447="(blank)"),"",VLOOKUP($B447,'Email Marketing Raw Data'!$C:$O,4,0)),"")</f>
        <v/>
      </c>
      <c r="H447" s="55" t="str">
        <f>IFERROR(IF(OR($B447="",$B447="(blank)"),"",VLOOKUP($B447,'Email Marketing Raw Data'!$C:$O,5,0)),"")</f>
        <v/>
      </c>
      <c r="I447" s="55" t="str">
        <f>IFERROR(IF($G447="","",VLOOKUP('Dashboard And Emails Automate'!$G447,Database!$H:$N,3,0)),"")</f>
        <v/>
      </c>
      <c r="J447" s="55" t="str">
        <f>IFERROR(IF($G447="","",VLOOKUP('Dashboard And Emails Automate'!$G447,Database!$H:$N,4,0)),"")</f>
        <v/>
      </c>
      <c r="K447" s="55" t="str">
        <f>IFERROR(IF($G447="","",VLOOKUP('Dashboard And Emails Automate'!$G447,Database!$H:$N,5,0)),"")</f>
        <v/>
      </c>
      <c r="L447" s="55" t="str">
        <f>IFERROR(IF($G447="","",VLOOKUP('Dashboard And Emails Automate'!$G447,Database!$H:$N,6,0)),"")</f>
        <v/>
      </c>
      <c r="M447" s="55" t="str">
        <f>IFERROR(IF($G447="","",VLOOKUP('Dashboard And Emails Automate'!$G447,Database!$H:$N,7,0)),"")</f>
        <v/>
      </c>
      <c r="N447" s="55" t="str">
        <f>IFERROR(IF(OR($B447="",$B447="(blank)"),"",VLOOKUP($B447,'Email Marketing Raw Data'!$C:$O,6,0)),"")</f>
        <v/>
      </c>
      <c r="O447" s="55" t="str">
        <f>IFERROR(IF(OR($B447="",$B447="(blank)"),"",VLOOKUP($B447,'Email Marketing Raw Data'!$C:$O,7,0)),"")</f>
        <v/>
      </c>
      <c r="P447" s="55" t="str">
        <f>IFERROR(IF(OR($B447="",$B447="(blank)"),"",VLOOKUP($B447,'Email Marketing Raw Data'!$C:$O,8,0)),"")</f>
        <v/>
      </c>
      <c r="Q447" s="62" t="str">
        <f>IFERROR(IF(OR($B447="",$B447="(blank)"),"",VLOOKUP($B447,'Email Marketing Raw Data'!$C:$O,9,0)),"")</f>
        <v/>
      </c>
    </row>
    <row r="448" spans="4:17" ht="12.75" customHeight="1" x14ac:dyDescent="0.2">
      <c r="D448" s="58" t="str">
        <f>IFERROR(IF(F448&lt;&gt;"pending","",IF(OR($B448="",$B448="(blank)"),"",VLOOKUP($B448,'Email Marketing Raw Data'!$C:$O,10,0))),"")</f>
        <v/>
      </c>
      <c r="E448" s="59" t="str">
        <f>IFERROR(IF(F448&lt;&gt;"pending","",IF(OR($B448="",$B448="(blank)"),"",VLOOKUP($B448,'Email Marketing Raw Data'!$C:$O,11,0))),"")</f>
        <v/>
      </c>
      <c r="F448" s="54" t="str">
        <f>IFERROR(IF(OR($B448="",$B448="(blank)"),"",VLOOKUP($B448,'Email Marketing Raw Data'!$C:$O,13,0)),"")</f>
        <v/>
      </c>
      <c r="G448" s="55" t="str">
        <f>IFERROR(IF(OR($B448="",$B448="(blank)"),"",VLOOKUP($B448,'Email Marketing Raw Data'!$C:$O,4,0)),"")</f>
        <v/>
      </c>
      <c r="H448" s="55" t="str">
        <f>IFERROR(IF(OR($B448="",$B448="(blank)"),"",VLOOKUP($B448,'Email Marketing Raw Data'!$C:$O,5,0)),"")</f>
        <v/>
      </c>
      <c r="I448" s="55" t="str">
        <f>IFERROR(IF($G448="","",VLOOKUP('Dashboard And Emails Automate'!$G448,Database!$H:$N,3,0)),"")</f>
        <v/>
      </c>
      <c r="J448" s="55" t="str">
        <f>IFERROR(IF($G448="","",VLOOKUP('Dashboard And Emails Automate'!$G448,Database!$H:$N,4,0)),"")</f>
        <v/>
      </c>
      <c r="K448" s="55" t="str">
        <f>IFERROR(IF($G448="","",VLOOKUP('Dashboard And Emails Automate'!$G448,Database!$H:$N,5,0)),"")</f>
        <v/>
      </c>
      <c r="L448" s="55" t="str">
        <f>IFERROR(IF($G448="","",VLOOKUP('Dashboard And Emails Automate'!$G448,Database!$H:$N,6,0)),"")</f>
        <v/>
      </c>
      <c r="M448" s="55" t="str">
        <f>IFERROR(IF($G448="","",VLOOKUP('Dashboard And Emails Automate'!$G448,Database!$H:$N,7,0)),"")</f>
        <v/>
      </c>
      <c r="N448" s="55" t="str">
        <f>IFERROR(IF(OR($B448="",$B448="(blank)"),"",VLOOKUP($B448,'Email Marketing Raw Data'!$C:$O,6,0)),"")</f>
        <v/>
      </c>
      <c r="O448" s="55" t="str">
        <f>IFERROR(IF(OR($B448="",$B448="(blank)"),"",VLOOKUP($B448,'Email Marketing Raw Data'!$C:$O,7,0)),"")</f>
        <v/>
      </c>
      <c r="P448" s="55" t="str">
        <f>IFERROR(IF(OR($B448="",$B448="(blank)"),"",VLOOKUP($B448,'Email Marketing Raw Data'!$C:$O,8,0)),"")</f>
        <v/>
      </c>
      <c r="Q448" s="62" t="str">
        <f>IFERROR(IF(OR($B448="",$B448="(blank)"),"",VLOOKUP($B448,'Email Marketing Raw Data'!$C:$O,9,0)),"")</f>
        <v/>
      </c>
    </row>
    <row r="449" spans="4:17" ht="12.75" customHeight="1" x14ac:dyDescent="0.2">
      <c r="D449" s="58" t="str">
        <f>IFERROR(IF(F449&lt;&gt;"pending","",IF(OR($B449="",$B449="(blank)"),"",VLOOKUP($B449,'Email Marketing Raw Data'!$C:$O,10,0))),"")</f>
        <v/>
      </c>
      <c r="E449" s="59" t="str">
        <f>IFERROR(IF(F449&lt;&gt;"pending","",IF(OR($B449="",$B449="(blank)"),"",VLOOKUP($B449,'Email Marketing Raw Data'!$C:$O,11,0))),"")</f>
        <v/>
      </c>
      <c r="F449" s="54" t="str">
        <f>IFERROR(IF(OR($B449="",$B449="(blank)"),"",VLOOKUP($B449,'Email Marketing Raw Data'!$C:$O,13,0)),"")</f>
        <v/>
      </c>
      <c r="G449" s="55" t="str">
        <f>IFERROR(IF(OR($B449="",$B449="(blank)"),"",VLOOKUP($B449,'Email Marketing Raw Data'!$C:$O,4,0)),"")</f>
        <v/>
      </c>
      <c r="H449" s="55" t="str">
        <f>IFERROR(IF(OR($B449="",$B449="(blank)"),"",VLOOKUP($B449,'Email Marketing Raw Data'!$C:$O,5,0)),"")</f>
        <v/>
      </c>
      <c r="I449" s="55" t="str">
        <f>IFERROR(IF($G449="","",VLOOKUP('Dashboard And Emails Automate'!$G449,Database!$H:$N,3,0)),"")</f>
        <v/>
      </c>
      <c r="J449" s="55" t="str">
        <f>IFERROR(IF($G449="","",VLOOKUP('Dashboard And Emails Automate'!$G449,Database!$H:$N,4,0)),"")</f>
        <v/>
      </c>
      <c r="K449" s="55" t="str">
        <f>IFERROR(IF($G449="","",VLOOKUP('Dashboard And Emails Automate'!$G449,Database!$H:$N,5,0)),"")</f>
        <v/>
      </c>
      <c r="L449" s="55" t="str">
        <f>IFERROR(IF($G449="","",VLOOKUP('Dashboard And Emails Automate'!$G449,Database!$H:$N,6,0)),"")</f>
        <v/>
      </c>
      <c r="M449" s="55" t="str">
        <f>IFERROR(IF($G449="","",VLOOKUP('Dashboard And Emails Automate'!$G449,Database!$H:$N,7,0)),"")</f>
        <v/>
      </c>
      <c r="N449" s="55" t="str">
        <f>IFERROR(IF(OR($B449="",$B449="(blank)"),"",VLOOKUP($B449,'Email Marketing Raw Data'!$C:$O,6,0)),"")</f>
        <v/>
      </c>
      <c r="O449" s="55" t="str">
        <f>IFERROR(IF(OR($B449="",$B449="(blank)"),"",VLOOKUP($B449,'Email Marketing Raw Data'!$C:$O,7,0)),"")</f>
        <v/>
      </c>
      <c r="P449" s="55" t="str">
        <f>IFERROR(IF(OR($B449="",$B449="(blank)"),"",VLOOKUP($B449,'Email Marketing Raw Data'!$C:$O,8,0)),"")</f>
        <v/>
      </c>
      <c r="Q449" s="62" t="str">
        <f>IFERROR(IF(OR($B449="",$B449="(blank)"),"",VLOOKUP($B449,'Email Marketing Raw Data'!$C:$O,9,0)),"")</f>
        <v/>
      </c>
    </row>
    <row r="450" spans="4:17" ht="12.75" customHeight="1" x14ac:dyDescent="0.2">
      <c r="D450" s="58" t="str">
        <f>IFERROR(IF(F450&lt;&gt;"pending","",IF(OR($B450="",$B450="(blank)"),"",VLOOKUP($B450,'Email Marketing Raw Data'!$C:$O,10,0))),"")</f>
        <v/>
      </c>
      <c r="E450" s="59" t="str">
        <f>IFERROR(IF(F450&lt;&gt;"pending","",IF(OR($B450="",$B450="(blank)"),"",VLOOKUP($B450,'Email Marketing Raw Data'!$C:$O,11,0))),"")</f>
        <v/>
      </c>
      <c r="F450" s="54" t="str">
        <f>IFERROR(IF(OR($B450="",$B450="(blank)"),"",VLOOKUP($B450,'Email Marketing Raw Data'!$C:$O,13,0)),"")</f>
        <v/>
      </c>
      <c r="G450" s="55" t="str">
        <f>IFERROR(IF(OR($B450="",$B450="(blank)"),"",VLOOKUP($B450,'Email Marketing Raw Data'!$C:$O,4,0)),"")</f>
        <v/>
      </c>
      <c r="H450" s="55" t="str">
        <f>IFERROR(IF(OR($B450="",$B450="(blank)"),"",VLOOKUP($B450,'Email Marketing Raw Data'!$C:$O,5,0)),"")</f>
        <v/>
      </c>
      <c r="I450" s="55" t="str">
        <f>IFERROR(IF($G450="","",VLOOKUP('Dashboard And Emails Automate'!$G450,Database!$H:$N,3,0)),"")</f>
        <v/>
      </c>
      <c r="J450" s="55" t="str">
        <f>IFERROR(IF($G450="","",VLOOKUP('Dashboard And Emails Automate'!$G450,Database!$H:$N,4,0)),"")</f>
        <v/>
      </c>
      <c r="K450" s="55" t="str">
        <f>IFERROR(IF($G450="","",VLOOKUP('Dashboard And Emails Automate'!$G450,Database!$H:$N,5,0)),"")</f>
        <v/>
      </c>
      <c r="L450" s="55" t="str">
        <f>IFERROR(IF($G450="","",VLOOKUP('Dashboard And Emails Automate'!$G450,Database!$H:$N,6,0)),"")</f>
        <v/>
      </c>
      <c r="M450" s="55" t="str">
        <f>IFERROR(IF($G450="","",VLOOKUP('Dashboard And Emails Automate'!$G450,Database!$H:$N,7,0)),"")</f>
        <v/>
      </c>
      <c r="N450" s="55" t="str">
        <f>IFERROR(IF(OR($B450="",$B450="(blank)"),"",VLOOKUP($B450,'Email Marketing Raw Data'!$C:$O,6,0)),"")</f>
        <v/>
      </c>
      <c r="O450" s="55" t="str">
        <f>IFERROR(IF(OR($B450="",$B450="(blank)"),"",VLOOKUP($B450,'Email Marketing Raw Data'!$C:$O,7,0)),"")</f>
        <v/>
      </c>
      <c r="P450" s="55" t="str">
        <f>IFERROR(IF(OR($B450="",$B450="(blank)"),"",VLOOKUP($B450,'Email Marketing Raw Data'!$C:$O,8,0)),"")</f>
        <v/>
      </c>
      <c r="Q450" s="62" t="str">
        <f>IFERROR(IF(OR($B450="",$B450="(blank)"),"",VLOOKUP($B450,'Email Marketing Raw Data'!$C:$O,9,0)),"")</f>
        <v/>
      </c>
    </row>
    <row r="451" spans="4:17" ht="12.75" customHeight="1" x14ac:dyDescent="0.2">
      <c r="D451" s="58" t="str">
        <f>IFERROR(IF(F451&lt;&gt;"pending","",IF(OR($B451="",$B451="(blank)"),"",VLOOKUP($B451,'Email Marketing Raw Data'!$C:$O,10,0))),"")</f>
        <v/>
      </c>
      <c r="E451" s="59" t="str">
        <f>IFERROR(IF(F451&lt;&gt;"pending","",IF(OR($B451="",$B451="(blank)"),"",VLOOKUP($B451,'Email Marketing Raw Data'!$C:$O,11,0))),"")</f>
        <v/>
      </c>
      <c r="F451" s="54" t="str">
        <f>IFERROR(IF(OR($B451="",$B451="(blank)"),"",VLOOKUP($B451,'Email Marketing Raw Data'!$C:$O,13,0)),"")</f>
        <v/>
      </c>
      <c r="G451" s="55" t="str">
        <f>IFERROR(IF(OR($B451="",$B451="(blank)"),"",VLOOKUP($B451,'Email Marketing Raw Data'!$C:$O,4,0)),"")</f>
        <v/>
      </c>
      <c r="H451" s="55" t="str">
        <f>IFERROR(IF(OR($B451="",$B451="(blank)"),"",VLOOKUP($B451,'Email Marketing Raw Data'!$C:$O,5,0)),"")</f>
        <v/>
      </c>
      <c r="I451" s="55" t="str">
        <f>IFERROR(IF($G451="","",VLOOKUP('Dashboard And Emails Automate'!$G451,Database!$H:$N,3,0)),"")</f>
        <v/>
      </c>
      <c r="J451" s="55" t="str">
        <f>IFERROR(IF($G451="","",VLOOKUP('Dashboard And Emails Automate'!$G451,Database!$H:$N,4,0)),"")</f>
        <v/>
      </c>
      <c r="K451" s="55" t="str">
        <f>IFERROR(IF($G451="","",VLOOKUP('Dashboard And Emails Automate'!$G451,Database!$H:$N,5,0)),"")</f>
        <v/>
      </c>
      <c r="L451" s="55" t="str">
        <f>IFERROR(IF($G451="","",VLOOKUP('Dashboard And Emails Automate'!$G451,Database!$H:$N,6,0)),"")</f>
        <v/>
      </c>
      <c r="M451" s="55" t="str">
        <f>IFERROR(IF($G451="","",VLOOKUP('Dashboard And Emails Automate'!$G451,Database!$H:$N,7,0)),"")</f>
        <v/>
      </c>
      <c r="N451" s="55" t="str">
        <f>IFERROR(IF(OR($B451="",$B451="(blank)"),"",VLOOKUP($B451,'Email Marketing Raw Data'!$C:$O,6,0)),"")</f>
        <v/>
      </c>
      <c r="O451" s="55" t="str">
        <f>IFERROR(IF(OR($B451="",$B451="(blank)"),"",VLOOKUP($B451,'Email Marketing Raw Data'!$C:$O,7,0)),"")</f>
        <v/>
      </c>
      <c r="P451" s="55" t="str">
        <f>IFERROR(IF(OR($B451="",$B451="(blank)"),"",VLOOKUP($B451,'Email Marketing Raw Data'!$C:$O,8,0)),"")</f>
        <v/>
      </c>
      <c r="Q451" s="62" t="str">
        <f>IFERROR(IF(OR($B451="",$B451="(blank)"),"",VLOOKUP($B451,'Email Marketing Raw Data'!$C:$O,9,0)),"")</f>
        <v/>
      </c>
    </row>
    <row r="452" spans="4:17" ht="12.75" customHeight="1" x14ac:dyDescent="0.2">
      <c r="D452" s="58" t="str">
        <f>IFERROR(IF(F452&lt;&gt;"pending","",IF(OR($B452="",$B452="(blank)"),"",VLOOKUP($B452,'Email Marketing Raw Data'!$C:$O,10,0))),"")</f>
        <v/>
      </c>
      <c r="E452" s="59" t="str">
        <f>IFERROR(IF(F452&lt;&gt;"pending","",IF(OR($B452="",$B452="(blank)"),"",VLOOKUP($B452,'Email Marketing Raw Data'!$C:$O,11,0))),"")</f>
        <v/>
      </c>
      <c r="F452" s="54" t="str">
        <f>IFERROR(IF(OR($B452="",$B452="(blank)"),"",VLOOKUP($B452,'Email Marketing Raw Data'!$C:$O,13,0)),"")</f>
        <v/>
      </c>
      <c r="G452" s="55" t="str">
        <f>IFERROR(IF(OR($B452="",$B452="(blank)"),"",VLOOKUP($B452,'Email Marketing Raw Data'!$C:$O,4,0)),"")</f>
        <v/>
      </c>
      <c r="H452" s="55" t="str">
        <f>IFERROR(IF(OR($B452="",$B452="(blank)"),"",VLOOKUP($B452,'Email Marketing Raw Data'!$C:$O,5,0)),"")</f>
        <v/>
      </c>
      <c r="I452" s="55" t="str">
        <f>IFERROR(IF($G452="","",VLOOKUP('Dashboard And Emails Automate'!$G452,Database!$H:$N,3,0)),"")</f>
        <v/>
      </c>
      <c r="J452" s="55" t="str">
        <f>IFERROR(IF($G452="","",VLOOKUP('Dashboard And Emails Automate'!$G452,Database!$H:$N,4,0)),"")</f>
        <v/>
      </c>
      <c r="K452" s="55" t="str">
        <f>IFERROR(IF($G452="","",VLOOKUP('Dashboard And Emails Automate'!$G452,Database!$H:$N,5,0)),"")</f>
        <v/>
      </c>
      <c r="L452" s="55" t="str">
        <f>IFERROR(IF($G452="","",VLOOKUP('Dashboard And Emails Automate'!$G452,Database!$H:$N,6,0)),"")</f>
        <v/>
      </c>
      <c r="M452" s="55" t="str">
        <f>IFERROR(IF($G452="","",VLOOKUP('Dashboard And Emails Automate'!$G452,Database!$H:$N,7,0)),"")</f>
        <v/>
      </c>
      <c r="N452" s="55" t="str">
        <f>IFERROR(IF(OR($B452="",$B452="(blank)"),"",VLOOKUP($B452,'Email Marketing Raw Data'!$C:$O,6,0)),"")</f>
        <v/>
      </c>
      <c r="O452" s="55" t="str">
        <f>IFERROR(IF(OR($B452="",$B452="(blank)"),"",VLOOKUP($B452,'Email Marketing Raw Data'!$C:$O,7,0)),"")</f>
        <v/>
      </c>
      <c r="P452" s="55" t="str">
        <f>IFERROR(IF(OR($B452="",$B452="(blank)"),"",VLOOKUP($B452,'Email Marketing Raw Data'!$C:$O,8,0)),"")</f>
        <v/>
      </c>
      <c r="Q452" s="62" t="str">
        <f>IFERROR(IF(OR($B452="",$B452="(blank)"),"",VLOOKUP($B452,'Email Marketing Raw Data'!$C:$O,9,0)),"")</f>
        <v/>
      </c>
    </row>
    <row r="453" spans="4:17" ht="12.75" customHeight="1" x14ac:dyDescent="0.2">
      <c r="D453" s="58" t="str">
        <f>IFERROR(IF(F453&lt;&gt;"pending","",IF(OR($B453="",$B453="(blank)"),"",VLOOKUP($B453,'Email Marketing Raw Data'!$C:$O,10,0))),"")</f>
        <v/>
      </c>
      <c r="E453" s="59" t="str">
        <f>IFERROR(IF(F453&lt;&gt;"pending","",IF(OR($B453="",$B453="(blank)"),"",VLOOKUP($B453,'Email Marketing Raw Data'!$C:$O,11,0))),"")</f>
        <v/>
      </c>
      <c r="F453" s="54" t="str">
        <f>IFERROR(IF(OR($B453="",$B453="(blank)"),"",VLOOKUP($B453,'Email Marketing Raw Data'!$C:$O,13,0)),"")</f>
        <v/>
      </c>
      <c r="G453" s="55" t="str">
        <f>IFERROR(IF(OR($B453="",$B453="(blank)"),"",VLOOKUP($B453,'Email Marketing Raw Data'!$C:$O,4,0)),"")</f>
        <v/>
      </c>
      <c r="H453" s="55" t="str">
        <f>IFERROR(IF(OR($B453="",$B453="(blank)"),"",VLOOKUP($B453,'Email Marketing Raw Data'!$C:$O,5,0)),"")</f>
        <v/>
      </c>
      <c r="I453" s="55" t="str">
        <f>IFERROR(IF($G453="","",VLOOKUP('Dashboard And Emails Automate'!$G453,Database!$H:$N,3,0)),"")</f>
        <v/>
      </c>
      <c r="J453" s="55" t="str">
        <f>IFERROR(IF($G453="","",VLOOKUP('Dashboard And Emails Automate'!$G453,Database!$H:$N,4,0)),"")</f>
        <v/>
      </c>
      <c r="K453" s="55" t="str">
        <f>IFERROR(IF($G453="","",VLOOKUP('Dashboard And Emails Automate'!$G453,Database!$H:$N,5,0)),"")</f>
        <v/>
      </c>
      <c r="L453" s="55" t="str">
        <f>IFERROR(IF($G453="","",VLOOKUP('Dashboard And Emails Automate'!$G453,Database!$H:$N,6,0)),"")</f>
        <v/>
      </c>
      <c r="M453" s="55" t="str">
        <f>IFERROR(IF($G453="","",VLOOKUP('Dashboard And Emails Automate'!$G453,Database!$H:$N,7,0)),"")</f>
        <v/>
      </c>
      <c r="N453" s="55" t="str">
        <f>IFERROR(IF(OR($B453="",$B453="(blank)"),"",VLOOKUP($B453,'Email Marketing Raw Data'!$C:$O,6,0)),"")</f>
        <v/>
      </c>
      <c r="O453" s="55" t="str">
        <f>IFERROR(IF(OR($B453="",$B453="(blank)"),"",VLOOKUP($B453,'Email Marketing Raw Data'!$C:$O,7,0)),"")</f>
        <v/>
      </c>
      <c r="P453" s="55" t="str">
        <f>IFERROR(IF(OR($B453="",$B453="(blank)"),"",VLOOKUP($B453,'Email Marketing Raw Data'!$C:$O,8,0)),"")</f>
        <v/>
      </c>
      <c r="Q453" s="62" t="str">
        <f>IFERROR(IF(OR($B453="",$B453="(blank)"),"",VLOOKUP($B453,'Email Marketing Raw Data'!$C:$O,9,0)),"")</f>
        <v/>
      </c>
    </row>
    <row r="454" spans="4:17" ht="12.75" customHeight="1" x14ac:dyDescent="0.2">
      <c r="D454" s="58" t="str">
        <f>IFERROR(IF(F454&lt;&gt;"pending","",IF(OR($B454="",$B454="(blank)"),"",VLOOKUP($B454,'Email Marketing Raw Data'!$C:$O,10,0))),"")</f>
        <v/>
      </c>
      <c r="E454" s="59" t="str">
        <f>IFERROR(IF(F454&lt;&gt;"pending","",IF(OR($B454="",$B454="(blank)"),"",VLOOKUP($B454,'Email Marketing Raw Data'!$C:$O,11,0))),"")</f>
        <v/>
      </c>
      <c r="F454" s="54" t="str">
        <f>IFERROR(IF(OR($B454="",$B454="(blank)"),"",VLOOKUP($B454,'Email Marketing Raw Data'!$C:$O,13,0)),"")</f>
        <v/>
      </c>
      <c r="G454" s="55" t="str">
        <f>IFERROR(IF(OR($B454="",$B454="(blank)"),"",VLOOKUP($B454,'Email Marketing Raw Data'!$C:$O,4,0)),"")</f>
        <v/>
      </c>
      <c r="H454" s="55" t="str">
        <f>IFERROR(IF(OR($B454="",$B454="(blank)"),"",VLOOKUP($B454,'Email Marketing Raw Data'!$C:$O,5,0)),"")</f>
        <v/>
      </c>
      <c r="I454" s="55" t="str">
        <f>IFERROR(IF($G454="","",VLOOKUP('Dashboard And Emails Automate'!$G454,Database!$H:$N,3,0)),"")</f>
        <v/>
      </c>
      <c r="J454" s="55" t="str">
        <f>IFERROR(IF($G454="","",VLOOKUP('Dashboard And Emails Automate'!$G454,Database!$H:$N,4,0)),"")</f>
        <v/>
      </c>
      <c r="K454" s="55" t="str">
        <f>IFERROR(IF($G454="","",VLOOKUP('Dashboard And Emails Automate'!$G454,Database!$H:$N,5,0)),"")</f>
        <v/>
      </c>
      <c r="L454" s="55" t="str">
        <f>IFERROR(IF($G454="","",VLOOKUP('Dashboard And Emails Automate'!$G454,Database!$H:$N,6,0)),"")</f>
        <v/>
      </c>
      <c r="M454" s="55" t="str">
        <f>IFERROR(IF($G454="","",VLOOKUP('Dashboard And Emails Automate'!$G454,Database!$H:$N,7,0)),"")</f>
        <v/>
      </c>
      <c r="N454" s="55" t="str">
        <f>IFERROR(IF(OR($B454="",$B454="(blank)"),"",VLOOKUP($B454,'Email Marketing Raw Data'!$C:$O,6,0)),"")</f>
        <v/>
      </c>
      <c r="O454" s="55" t="str">
        <f>IFERROR(IF(OR($B454="",$B454="(blank)"),"",VLOOKUP($B454,'Email Marketing Raw Data'!$C:$O,7,0)),"")</f>
        <v/>
      </c>
      <c r="P454" s="55" t="str">
        <f>IFERROR(IF(OR($B454="",$B454="(blank)"),"",VLOOKUP($B454,'Email Marketing Raw Data'!$C:$O,8,0)),"")</f>
        <v/>
      </c>
      <c r="Q454" s="62" t="str">
        <f>IFERROR(IF(OR($B454="",$B454="(blank)"),"",VLOOKUP($B454,'Email Marketing Raw Data'!$C:$O,9,0)),"")</f>
        <v/>
      </c>
    </row>
    <row r="455" spans="4:17" ht="12.75" customHeight="1" x14ac:dyDescent="0.2">
      <c r="D455" s="58" t="str">
        <f>IFERROR(IF(F455&lt;&gt;"pending","",IF(OR($B455="",$B455="(blank)"),"",VLOOKUP($B455,'Email Marketing Raw Data'!$C:$O,10,0))),"")</f>
        <v/>
      </c>
      <c r="E455" s="59" t="str">
        <f>IFERROR(IF(F455&lt;&gt;"pending","",IF(OR($B455="",$B455="(blank)"),"",VLOOKUP($B455,'Email Marketing Raw Data'!$C:$O,11,0))),"")</f>
        <v/>
      </c>
      <c r="F455" s="54" t="str">
        <f>IFERROR(IF(OR($B455="",$B455="(blank)"),"",VLOOKUP($B455,'Email Marketing Raw Data'!$C:$O,13,0)),"")</f>
        <v/>
      </c>
      <c r="G455" s="55" t="str">
        <f>IFERROR(IF(OR($B455="",$B455="(blank)"),"",VLOOKUP($B455,'Email Marketing Raw Data'!$C:$O,4,0)),"")</f>
        <v/>
      </c>
      <c r="H455" s="55" t="str">
        <f>IFERROR(IF(OR($B455="",$B455="(blank)"),"",VLOOKUP($B455,'Email Marketing Raw Data'!$C:$O,5,0)),"")</f>
        <v/>
      </c>
      <c r="I455" s="55" t="str">
        <f>IFERROR(IF($G455="","",VLOOKUP('Dashboard And Emails Automate'!$G455,Database!$H:$N,3,0)),"")</f>
        <v/>
      </c>
      <c r="J455" s="55" t="str">
        <f>IFERROR(IF($G455="","",VLOOKUP('Dashboard And Emails Automate'!$G455,Database!$H:$N,4,0)),"")</f>
        <v/>
      </c>
      <c r="K455" s="55" t="str">
        <f>IFERROR(IF($G455="","",VLOOKUP('Dashboard And Emails Automate'!$G455,Database!$H:$N,5,0)),"")</f>
        <v/>
      </c>
      <c r="L455" s="55" t="str">
        <f>IFERROR(IF($G455="","",VLOOKUP('Dashboard And Emails Automate'!$G455,Database!$H:$N,6,0)),"")</f>
        <v/>
      </c>
      <c r="M455" s="55" t="str">
        <f>IFERROR(IF($G455="","",VLOOKUP('Dashboard And Emails Automate'!$G455,Database!$H:$N,7,0)),"")</f>
        <v/>
      </c>
      <c r="N455" s="55" t="str">
        <f>IFERROR(IF(OR($B455="",$B455="(blank)"),"",VLOOKUP($B455,'Email Marketing Raw Data'!$C:$O,6,0)),"")</f>
        <v/>
      </c>
      <c r="O455" s="55" t="str">
        <f>IFERROR(IF(OR($B455="",$B455="(blank)"),"",VLOOKUP($B455,'Email Marketing Raw Data'!$C:$O,7,0)),"")</f>
        <v/>
      </c>
      <c r="P455" s="55" t="str">
        <f>IFERROR(IF(OR($B455="",$B455="(blank)"),"",VLOOKUP($B455,'Email Marketing Raw Data'!$C:$O,8,0)),"")</f>
        <v/>
      </c>
      <c r="Q455" s="62" t="str">
        <f>IFERROR(IF(OR($B455="",$B455="(blank)"),"",VLOOKUP($B455,'Email Marketing Raw Data'!$C:$O,9,0)),"")</f>
        <v/>
      </c>
    </row>
    <row r="456" spans="4:17" ht="12.75" customHeight="1" x14ac:dyDescent="0.2">
      <c r="D456" s="58" t="str">
        <f>IFERROR(IF(F456&lt;&gt;"pending","",IF(OR($B456="",$B456="(blank)"),"",VLOOKUP($B456,'Email Marketing Raw Data'!$C:$O,10,0))),"")</f>
        <v/>
      </c>
      <c r="E456" s="59" t="str">
        <f>IFERROR(IF(F456&lt;&gt;"pending","",IF(OR($B456="",$B456="(blank)"),"",VLOOKUP($B456,'Email Marketing Raw Data'!$C:$O,11,0))),"")</f>
        <v/>
      </c>
      <c r="F456" s="54" t="str">
        <f>IFERROR(IF(OR($B456="",$B456="(blank)"),"",VLOOKUP($B456,'Email Marketing Raw Data'!$C:$O,13,0)),"")</f>
        <v/>
      </c>
      <c r="G456" s="55" t="str">
        <f>IFERROR(IF(OR($B456="",$B456="(blank)"),"",VLOOKUP($B456,'Email Marketing Raw Data'!$C:$O,4,0)),"")</f>
        <v/>
      </c>
      <c r="H456" s="55" t="str">
        <f>IFERROR(IF(OR($B456="",$B456="(blank)"),"",VLOOKUP($B456,'Email Marketing Raw Data'!$C:$O,5,0)),"")</f>
        <v/>
      </c>
      <c r="I456" s="55" t="str">
        <f>IFERROR(IF($G456="","",VLOOKUP('Dashboard And Emails Automate'!$G456,Database!$H:$N,3,0)),"")</f>
        <v/>
      </c>
      <c r="J456" s="55" t="str">
        <f>IFERROR(IF($G456="","",VLOOKUP('Dashboard And Emails Automate'!$G456,Database!$H:$N,4,0)),"")</f>
        <v/>
      </c>
      <c r="K456" s="55" t="str">
        <f>IFERROR(IF($G456="","",VLOOKUP('Dashboard And Emails Automate'!$G456,Database!$H:$N,5,0)),"")</f>
        <v/>
      </c>
      <c r="L456" s="55" t="str">
        <f>IFERROR(IF($G456="","",VLOOKUP('Dashboard And Emails Automate'!$G456,Database!$H:$N,6,0)),"")</f>
        <v/>
      </c>
      <c r="M456" s="55" t="str">
        <f>IFERROR(IF($G456="","",VLOOKUP('Dashboard And Emails Automate'!$G456,Database!$H:$N,7,0)),"")</f>
        <v/>
      </c>
      <c r="N456" s="55" t="str">
        <f>IFERROR(IF(OR($B456="",$B456="(blank)"),"",VLOOKUP($B456,'Email Marketing Raw Data'!$C:$O,6,0)),"")</f>
        <v/>
      </c>
      <c r="O456" s="55" t="str">
        <f>IFERROR(IF(OR($B456="",$B456="(blank)"),"",VLOOKUP($B456,'Email Marketing Raw Data'!$C:$O,7,0)),"")</f>
        <v/>
      </c>
      <c r="P456" s="55" t="str">
        <f>IFERROR(IF(OR($B456="",$B456="(blank)"),"",VLOOKUP($B456,'Email Marketing Raw Data'!$C:$O,8,0)),"")</f>
        <v/>
      </c>
      <c r="Q456" s="62" t="str">
        <f>IFERROR(IF(OR($B456="",$B456="(blank)"),"",VLOOKUP($B456,'Email Marketing Raw Data'!$C:$O,9,0)),"")</f>
        <v/>
      </c>
    </row>
    <row r="457" spans="4:17" ht="12.75" customHeight="1" x14ac:dyDescent="0.2">
      <c r="D457" s="58" t="str">
        <f>IFERROR(IF(F457&lt;&gt;"pending","",IF(OR($B457="",$B457="(blank)"),"",VLOOKUP($B457,'Email Marketing Raw Data'!$C:$O,10,0))),"")</f>
        <v/>
      </c>
      <c r="E457" s="59" t="str">
        <f>IFERROR(IF(F457&lt;&gt;"pending","",IF(OR($B457="",$B457="(blank)"),"",VLOOKUP($B457,'Email Marketing Raw Data'!$C:$O,11,0))),"")</f>
        <v/>
      </c>
      <c r="F457" s="54" t="str">
        <f>IFERROR(IF(OR($B457="",$B457="(blank)"),"",VLOOKUP($B457,'Email Marketing Raw Data'!$C:$O,13,0)),"")</f>
        <v/>
      </c>
      <c r="G457" s="55" t="str">
        <f>IFERROR(IF(OR($B457="",$B457="(blank)"),"",VLOOKUP($B457,'Email Marketing Raw Data'!$C:$O,4,0)),"")</f>
        <v/>
      </c>
      <c r="H457" s="55" t="str">
        <f>IFERROR(IF(OR($B457="",$B457="(blank)"),"",VLOOKUP($B457,'Email Marketing Raw Data'!$C:$O,5,0)),"")</f>
        <v/>
      </c>
      <c r="I457" s="55" t="str">
        <f>IFERROR(IF($G457="","",VLOOKUP('Dashboard And Emails Automate'!$G457,Database!$H:$N,3,0)),"")</f>
        <v/>
      </c>
      <c r="J457" s="55" t="str">
        <f>IFERROR(IF($G457="","",VLOOKUP('Dashboard And Emails Automate'!$G457,Database!$H:$N,4,0)),"")</f>
        <v/>
      </c>
      <c r="K457" s="55" t="str">
        <f>IFERROR(IF($G457="","",VLOOKUP('Dashboard And Emails Automate'!$G457,Database!$H:$N,5,0)),"")</f>
        <v/>
      </c>
      <c r="L457" s="55" t="str">
        <f>IFERROR(IF($G457="","",VLOOKUP('Dashboard And Emails Automate'!$G457,Database!$H:$N,6,0)),"")</f>
        <v/>
      </c>
      <c r="M457" s="55" t="str">
        <f>IFERROR(IF($G457="","",VLOOKUP('Dashboard And Emails Automate'!$G457,Database!$H:$N,7,0)),"")</f>
        <v/>
      </c>
      <c r="N457" s="55" t="str">
        <f>IFERROR(IF(OR($B457="",$B457="(blank)"),"",VLOOKUP($B457,'Email Marketing Raw Data'!$C:$O,6,0)),"")</f>
        <v/>
      </c>
      <c r="O457" s="55" t="str">
        <f>IFERROR(IF(OR($B457="",$B457="(blank)"),"",VLOOKUP($B457,'Email Marketing Raw Data'!$C:$O,7,0)),"")</f>
        <v/>
      </c>
      <c r="P457" s="55" t="str">
        <f>IFERROR(IF(OR($B457="",$B457="(blank)"),"",VLOOKUP($B457,'Email Marketing Raw Data'!$C:$O,8,0)),"")</f>
        <v/>
      </c>
      <c r="Q457" s="62" t="str">
        <f>IFERROR(IF(OR($B457="",$B457="(blank)"),"",VLOOKUP($B457,'Email Marketing Raw Data'!$C:$O,9,0)),"")</f>
        <v/>
      </c>
    </row>
    <row r="458" spans="4:17" ht="12.75" customHeight="1" x14ac:dyDescent="0.2">
      <c r="D458" s="58" t="str">
        <f>IFERROR(IF(F458&lt;&gt;"pending","",IF(OR($B458="",$B458="(blank)"),"",VLOOKUP($B458,'Email Marketing Raw Data'!$C:$O,10,0))),"")</f>
        <v/>
      </c>
      <c r="E458" s="59" t="str">
        <f>IFERROR(IF(F458&lt;&gt;"pending","",IF(OR($B458="",$B458="(blank)"),"",VLOOKUP($B458,'Email Marketing Raw Data'!$C:$O,11,0))),"")</f>
        <v/>
      </c>
      <c r="F458" s="54" t="str">
        <f>IFERROR(IF(OR($B458="",$B458="(blank)"),"",VLOOKUP($B458,'Email Marketing Raw Data'!$C:$O,13,0)),"")</f>
        <v/>
      </c>
      <c r="G458" s="55" t="str">
        <f>IFERROR(IF(OR($B458="",$B458="(blank)"),"",VLOOKUP($B458,'Email Marketing Raw Data'!$C:$O,4,0)),"")</f>
        <v/>
      </c>
      <c r="H458" s="55" t="str">
        <f>IFERROR(IF(OR($B458="",$B458="(blank)"),"",VLOOKUP($B458,'Email Marketing Raw Data'!$C:$O,5,0)),"")</f>
        <v/>
      </c>
      <c r="I458" s="55" t="str">
        <f>IFERROR(IF($G458="","",VLOOKUP('Dashboard And Emails Automate'!$G458,Database!$H:$N,3,0)),"")</f>
        <v/>
      </c>
      <c r="J458" s="55" t="str">
        <f>IFERROR(IF($G458="","",VLOOKUP('Dashboard And Emails Automate'!$G458,Database!$H:$N,4,0)),"")</f>
        <v/>
      </c>
      <c r="K458" s="55" t="str">
        <f>IFERROR(IF($G458="","",VLOOKUP('Dashboard And Emails Automate'!$G458,Database!$H:$N,5,0)),"")</f>
        <v/>
      </c>
      <c r="L458" s="55" t="str">
        <f>IFERROR(IF($G458="","",VLOOKUP('Dashboard And Emails Automate'!$G458,Database!$H:$N,6,0)),"")</f>
        <v/>
      </c>
      <c r="M458" s="55" t="str">
        <f>IFERROR(IF($G458="","",VLOOKUP('Dashboard And Emails Automate'!$G458,Database!$H:$N,7,0)),"")</f>
        <v/>
      </c>
      <c r="N458" s="55" t="str">
        <f>IFERROR(IF(OR($B458="",$B458="(blank)"),"",VLOOKUP($B458,'Email Marketing Raw Data'!$C:$O,6,0)),"")</f>
        <v/>
      </c>
      <c r="O458" s="55" t="str">
        <f>IFERROR(IF(OR($B458="",$B458="(blank)"),"",VLOOKUP($B458,'Email Marketing Raw Data'!$C:$O,7,0)),"")</f>
        <v/>
      </c>
      <c r="P458" s="55" t="str">
        <f>IFERROR(IF(OR($B458="",$B458="(blank)"),"",VLOOKUP($B458,'Email Marketing Raw Data'!$C:$O,8,0)),"")</f>
        <v/>
      </c>
      <c r="Q458" s="62" t="str">
        <f>IFERROR(IF(OR($B458="",$B458="(blank)"),"",VLOOKUP($B458,'Email Marketing Raw Data'!$C:$O,9,0)),"")</f>
        <v/>
      </c>
    </row>
    <row r="459" spans="4:17" ht="12.75" customHeight="1" x14ac:dyDescent="0.2">
      <c r="D459" s="58" t="str">
        <f>IFERROR(IF(F459&lt;&gt;"pending","",IF(OR($B459="",$B459="(blank)"),"",VLOOKUP($B459,'Email Marketing Raw Data'!$C:$O,10,0))),"")</f>
        <v/>
      </c>
      <c r="E459" s="59" t="str">
        <f>IFERROR(IF(F459&lt;&gt;"pending","",IF(OR($B459="",$B459="(blank)"),"",VLOOKUP($B459,'Email Marketing Raw Data'!$C:$O,11,0))),"")</f>
        <v/>
      </c>
      <c r="F459" s="54" t="str">
        <f>IFERROR(IF(OR($B459="",$B459="(blank)"),"",VLOOKUP($B459,'Email Marketing Raw Data'!$C:$O,13,0)),"")</f>
        <v/>
      </c>
      <c r="G459" s="55" t="str">
        <f>IFERROR(IF(OR($B459="",$B459="(blank)"),"",VLOOKUP($B459,'Email Marketing Raw Data'!$C:$O,4,0)),"")</f>
        <v/>
      </c>
      <c r="H459" s="55" t="str">
        <f>IFERROR(IF(OR($B459="",$B459="(blank)"),"",VLOOKUP($B459,'Email Marketing Raw Data'!$C:$O,5,0)),"")</f>
        <v/>
      </c>
      <c r="I459" s="55" t="str">
        <f>IFERROR(IF($G459="","",VLOOKUP('Dashboard And Emails Automate'!$G459,Database!$H:$N,3,0)),"")</f>
        <v/>
      </c>
      <c r="J459" s="55" t="str">
        <f>IFERROR(IF($G459="","",VLOOKUP('Dashboard And Emails Automate'!$G459,Database!$H:$N,4,0)),"")</f>
        <v/>
      </c>
      <c r="K459" s="55" t="str">
        <f>IFERROR(IF($G459="","",VLOOKUP('Dashboard And Emails Automate'!$G459,Database!$H:$N,5,0)),"")</f>
        <v/>
      </c>
      <c r="L459" s="55" t="str">
        <f>IFERROR(IF($G459="","",VLOOKUP('Dashboard And Emails Automate'!$G459,Database!$H:$N,6,0)),"")</f>
        <v/>
      </c>
      <c r="M459" s="55" t="str">
        <f>IFERROR(IF($G459="","",VLOOKUP('Dashboard And Emails Automate'!$G459,Database!$H:$N,7,0)),"")</f>
        <v/>
      </c>
      <c r="N459" s="55" t="str">
        <f>IFERROR(IF(OR($B459="",$B459="(blank)"),"",VLOOKUP($B459,'Email Marketing Raw Data'!$C:$O,6,0)),"")</f>
        <v/>
      </c>
      <c r="O459" s="55" t="str">
        <f>IFERROR(IF(OR($B459="",$B459="(blank)"),"",VLOOKUP($B459,'Email Marketing Raw Data'!$C:$O,7,0)),"")</f>
        <v/>
      </c>
      <c r="P459" s="55" t="str">
        <f>IFERROR(IF(OR($B459="",$B459="(blank)"),"",VLOOKUP($B459,'Email Marketing Raw Data'!$C:$O,8,0)),"")</f>
        <v/>
      </c>
      <c r="Q459" s="62" t="str">
        <f>IFERROR(IF(OR($B459="",$B459="(blank)"),"",VLOOKUP($B459,'Email Marketing Raw Data'!$C:$O,9,0)),"")</f>
        <v/>
      </c>
    </row>
    <row r="460" spans="4:17" ht="12.75" customHeight="1" x14ac:dyDescent="0.2">
      <c r="D460" s="58" t="str">
        <f>IFERROR(IF(F460&lt;&gt;"pending","",IF(OR($B460="",$B460="(blank)"),"",VLOOKUP($B460,'Email Marketing Raw Data'!$C:$O,10,0))),"")</f>
        <v/>
      </c>
      <c r="E460" s="59" t="str">
        <f>IFERROR(IF(F460&lt;&gt;"pending","",IF(OR($B460="",$B460="(blank)"),"",VLOOKUP($B460,'Email Marketing Raw Data'!$C:$O,11,0))),"")</f>
        <v/>
      </c>
      <c r="F460" s="54" t="str">
        <f>IFERROR(IF(OR($B460="",$B460="(blank)"),"",VLOOKUP($B460,'Email Marketing Raw Data'!$C:$O,13,0)),"")</f>
        <v/>
      </c>
      <c r="G460" s="55" t="str">
        <f>IFERROR(IF(OR($B460="",$B460="(blank)"),"",VLOOKUP($B460,'Email Marketing Raw Data'!$C:$O,4,0)),"")</f>
        <v/>
      </c>
      <c r="H460" s="55" t="str">
        <f>IFERROR(IF(OR($B460="",$B460="(blank)"),"",VLOOKUP($B460,'Email Marketing Raw Data'!$C:$O,5,0)),"")</f>
        <v/>
      </c>
      <c r="I460" s="55" t="str">
        <f>IFERROR(IF($G460="","",VLOOKUP('Dashboard And Emails Automate'!$G460,Database!$H:$N,3,0)),"")</f>
        <v/>
      </c>
      <c r="J460" s="55" t="str">
        <f>IFERROR(IF($G460="","",VLOOKUP('Dashboard And Emails Automate'!$G460,Database!$H:$N,4,0)),"")</f>
        <v/>
      </c>
      <c r="K460" s="55" t="str">
        <f>IFERROR(IF($G460="","",VLOOKUP('Dashboard And Emails Automate'!$G460,Database!$H:$N,5,0)),"")</f>
        <v/>
      </c>
      <c r="L460" s="55" t="str">
        <f>IFERROR(IF($G460="","",VLOOKUP('Dashboard And Emails Automate'!$G460,Database!$H:$N,6,0)),"")</f>
        <v/>
      </c>
      <c r="M460" s="55" t="str">
        <f>IFERROR(IF($G460="","",VLOOKUP('Dashboard And Emails Automate'!$G460,Database!$H:$N,7,0)),"")</f>
        <v/>
      </c>
      <c r="N460" s="55" t="str">
        <f>IFERROR(IF(OR($B460="",$B460="(blank)"),"",VLOOKUP($B460,'Email Marketing Raw Data'!$C:$O,6,0)),"")</f>
        <v/>
      </c>
      <c r="O460" s="55" t="str">
        <f>IFERROR(IF(OR($B460="",$B460="(blank)"),"",VLOOKUP($B460,'Email Marketing Raw Data'!$C:$O,7,0)),"")</f>
        <v/>
      </c>
      <c r="P460" s="55" t="str">
        <f>IFERROR(IF(OR($B460="",$B460="(blank)"),"",VLOOKUP($B460,'Email Marketing Raw Data'!$C:$O,8,0)),"")</f>
        <v/>
      </c>
      <c r="Q460" s="62" t="str">
        <f>IFERROR(IF(OR($B460="",$B460="(blank)"),"",VLOOKUP($B460,'Email Marketing Raw Data'!$C:$O,9,0)),"")</f>
        <v/>
      </c>
    </row>
    <row r="461" spans="4:17" ht="12.75" customHeight="1" x14ac:dyDescent="0.2">
      <c r="D461" s="58" t="str">
        <f>IFERROR(IF(F461&lt;&gt;"pending","",IF(OR($B461="",$B461="(blank)"),"",VLOOKUP($B461,'Email Marketing Raw Data'!$C:$O,10,0))),"")</f>
        <v/>
      </c>
      <c r="E461" s="59" t="str">
        <f>IFERROR(IF(F461&lt;&gt;"pending","",IF(OR($B461="",$B461="(blank)"),"",VLOOKUP($B461,'Email Marketing Raw Data'!$C:$O,11,0))),"")</f>
        <v/>
      </c>
      <c r="F461" s="54" t="str">
        <f>IFERROR(IF(OR($B461="",$B461="(blank)"),"",VLOOKUP($B461,'Email Marketing Raw Data'!$C:$O,13,0)),"")</f>
        <v/>
      </c>
      <c r="G461" s="55" t="str">
        <f>IFERROR(IF(OR($B461="",$B461="(blank)"),"",VLOOKUP($B461,'Email Marketing Raw Data'!$C:$O,4,0)),"")</f>
        <v/>
      </c>
      <c r="H461" s="55" t="str">
        <f>IFERROR(IF(OR($B461="",$B461="(blank)"),"",VLOOKUP($B461,'Email Marketing Raw Data'!$C:$O,5,0)),"")</f>
        <v/>
      </c>
      <c r="I461" s="55" t="str">
        <f>IFERROR(IF($G461="","",VLOOKUP('Dashboard And Emails Automate'!$G461,Database!$H:$N,3,0)),"")</f>
        <v/>
      </c>
      <c r="J461" s="55" t="str">
        <f>IFERROR(IF($G461="","",VLOOKUP('Dashboard And Emails Automate'!$G461,Database!$H:$N,4,0)),"")</f>
        <v/>
      </c>
      <c r="K461" s="55" t="str">
        <f>IFERROR(IF($G461="","",VLOOKUP('Dashboard And Emails Automate'!$G461,Database!$H:$N,5,0)),"")</f>
        <v/>
      </c>
      <c r="L461" s="55" t="str">
        <f>IFERROR(IF($G461="","",VLOOKUP('Dashboard And Emails Automate'!$G461,Database!$H:$N,6,0)),"")</f>
        <v/>
      </c>
      <c r="M461" s="55" t="str">
        <f>IFERROR(IF($G461="","",VLOOKUP('Dashboard And Emails Automate'!$G461,Database!$H:$N,7,0)),"")</f>
        <v/>
      </c>
      <c r="N461" s="55" t="str">
        <f>IFERROR(IF(OR($B461="",$B461="(blank)"),"",VLOOKUP($B461,'Email Marketing Raw Data'!$C:$O,6,0)),"")</f>
        <v/>
      </c>
      <c r="O461" s="55" t="str">
        <f>IFERROR(IF(OR($B461="",$B461="(blank)"),"",VLOOKUP($B461,'Email Marketing Raw Data'!$C:$O,7,0)),"")</f>
        <v/>
      </c>
      <c r="P461" s="55" t="str">
        <f>IFERROR(IF(OR($B461="",$B461="(blank)"),"",VLOOKUP($B461,'Email Marketing Raw Data'!$C:$O,8,0)),"")</f>
        <v/>
      </c>
      <c r="Q461" s="62" t="str">
        <f>IFERROR(IF(OR($B461="",$B461="(blank)"),"",VLOOKUP($B461,'Email Marketing Raw Data'!$C:$O,9,0)),"")</f>
        <v/>
      </c>
    </row>
    <row r="462" spans="4:17" ht="12.75" customHeight="1" x14ac:dyDescent="0.2">
      <c r="D462" s="58" t="str">
        <f>IFERROR(IF(F462&lt;&gt;"pending","",IF(OR($B462="",$B462="(blank)"),"",VLOOKUP($B462,'Email Marketing Raw Data'!$C:$O,10,0))),"")</f>
        <v/>
      </c>
      <c r="E462" s="59" t="str">
        <f>IFERROR(IF(F462&lt;&gt;"pending","",IF(OR($B462="",$B462="(blank)"),"",VLOOKUP($B462,'Email Marketing Raw Data'!$C:$O,11,0))),"")</f>
        <v/>
      </c>
      <c r="F462" s="54" t="str">
        <f>IFERROR(IF(OR($B462="",$B462="(blank)"),"",VLOOKUP($B462,'Email Marketing Raw Data'!$C:$O,13,0)),"")</f>
        <v/>
      </c>
      <c r="G462" s="55" t="str">
        <f>IFERROR(IF(OR($B462="",$B462="(blank)"),"",VLOOKUP($B462,'Email Marketing Raw Data'!$C:$O,4,0)),"")</f>
        <v/>
      </c>
      <c r="H462" s="55" t="str">
        <f>IFERROR(IF(OR($B462="",$B462="(blank)"),"",VLOOKUP($B462,'Email Marketing Raw Data'!$C:$O,5,0)),"")</f>
        <v/>
      </c>
      <c r="I462" s="55" t="str">
        <f>IFERROR(IF($G462="","",VLOOKUP('Dashboard And Emails Automate'!$G462,Database!$H:$N,3,0)),"")</f>
        <v/>
      </c>
      <c r="J462" s="55" t="str">
        <f>IFERROR(IF($G462="","",VLOOKUP('Dashboard And Emails Automate'!$G462,Database!$H:$N,4,0)),"")</f>
        <v/>
      </c>
      <c r="K462" s="55" t="str">
        <f>IFERROR(IF($G462="","",VLOOKUP('Dashboard And Emails Automate'!$G462,Database!$H:$N,5,0)),"")</f>
        <v/>
      </c>
      <c r="L462" s="55" t="str">
        <f>IFERROR(IF($G462="","",VLOOKUP('Dashboard And Emails Automate'!$G462,Database!$H:$N,6,0)),"")</f>
        <v/>
      </c>
      <c r="M462" s="55" t="str">
        <f>IFERROR(IF($G462="","",VLOOKUP('Dashboard And Emails Automate'!$G462,Database!$H:$N,7,0)),"")</f>
        <v/>
      </c>
      <c r="N462" s="55" t="str">
        <f>IFERROR(IF(OR($B462="",$B462="(blank)"),"",VLOOKUP($B462,'Email Marketing Raw Data'!$C:$O,6,0)),"")</f>
        <v/>
      </c>
      <c r="O462" s="55" t="str">
        <f>IFERROR(IF(OR($B462="",$B462="(blank)"),"",VLOOKUP($B462,'Email Marketing Raw Data'!$C:$O,7,0)),"")</f>
        <v/>
      </c>
      <c r="P462" s="55" t="str">
        <f>IFERROR(IF(OR($B462="",$B462="(blank)"),"",VLOOKUP($B462,'Email Marketing Raw Data'!$C:$O,8,0)),"")</f>
        <v/>
      </c>
      <c r="Q462" s="62" t="str">
        <f>IFERROR(IF(OR($B462="",$B462="(blank)"),"",VLOOKUP($B462,'Email Marketing Raw Data'!$C:$O,9,0)),"")</f>
        <v/>
      </c>
    </row>
    <row r="463" spans="4:17" ht="12.75" customHeight="1" x14ac:dyDescent="0.2">
      <c r="D463" s="58" t="str">
        <f>IFERROR(IF(F463&lt;&gt;"pending","",IF(OR($B463="",$B463="(blank)"),"",VLOOKUP($B463,'Email Marketing Raw Data'!$C:$O,10,0))),"")</f>
        <v/>
      </c>
      <c r="E463" s="59" t="str">
        <f>IFERROR(IF(F463&lt;&gt;"pending","",IF(OR($B463="",$B463="(blank)"),"",VLOOKUP($B463,'Email Marketing Raw Data'!$C:$O,11,0))),"")</f>
        <v/>
      </c>
      <c r="F463" s="54" t="str">
        <f>IFERROR(IF(OR($B463="",$B463="(blank)"),"",VLOOKUP($B463,'Email Marketing Raw Data'!$C:$O,13,0)),"")</f>
        <v/>
      </c>
      <c r="G463" s="55" t="str">
        <f>IFERROR(IF(OR($B463="",$B463="(blank)"),"",VLOOKUP($B463,'Email Marketing Raw Data'!$C:$O,4,0)),"")</f>
        <v/>
      </c>
      <c r="H463" s="55" t="str">
        <f>IFERROR(IF(OR($B463="",$B463="(blank)"),"",VLOOKUP($B463,'Email Marketing Raw Data'!$C:$O,5,0)),"")</f>
        <v/>
      </c>
      <c r="I463" s="55" t="str">
        <f>IFERROR(IF($G463="","",VLOOKUP('Dashboard And Emails Automate'!$G463,Database!$H:$N,3,0)),"")</f>
        <v/>
      </c>
      <c r="J463" s="55" t="str">
        <f>IFERROR(IF($G463="","",VLOOKUP('Dashboard And Emails Automate'!$G463,Database!$H:$N,4,0)),"")</f>
        <v/>
      </c>
      <c r="K463" s="55" t="str">
        <f>IFERROR(IF($G463="","",VLOOKUP('Dashboard And Emails Automate'!$G463,Database!$H:$N,5,0)),"")</f>
        <v/>
      </c>
      <c r="L463" s="55" t="str">
        <f>IFERROR(IF($G463="","",VLOOKUP('Dashboard And Emails Automate'!$G463,Database!$H:$N,6,0)),"")</f>
        <v/>
      </c>
      <c r="M463" s="55" t="str">
        <f>IFERROR(IF($G463="","",VLOOKUP('Dashboard And Emails Automate'!$G463,Database!$H:$N,7,0)),"")</f>
        <v/>
      </c>
      <c r="N463" s="55" t="str">
        <f>IFERROR(IF(OR($B463="",$B463="(blank)"),"",VLOOKUP($B463,'Email Marketing Raw Data'!$C:$O,6,0)),"")</f>
        <v/>
      </c>
      <c r="O463" s="55" t="str">
        <f>IFERROR(IF(OR($B463="",$B463="(blank)"),"",VLOOKUP($B463,'Email Marketing Raw Data'!$C:$O,7,0)),"")</f>
        <v/>
      </c>
      <c r="P463" s="55" t="str">
        <f>IFERROR(IF(OR($B463="",$B463="(blank)"),"",VLOOKUP($B463,'Email Marketing Raw Data'!$C:$O,8,0)),"")</f>
        <v/>
      </c>
      <c r="Q463" s="62" t="str">
        <f>IFERROR(IF(OR($B463="",$B463="(blank)"),"",VLOOKUP($B463,'Email Marketing Raw Data'!$C:$O,9,0)),"")</f>
        <v/>
      </c>
    </row>
    <row r="464" spans="4:17" ht="12.75" customHeight="1" x14ac:dyDescent="0.2">
      <c r="D464" s="58" t="str">
        <f>IFERROR(IF(F464&lt;&gt;"pending","",IF(OR($B464="",$B464="(blank)"),"",VLOOKUP($B464,'Email Marketing Raw Data'!$C:$O,10,0))),"")</f>
        <v/>
      </c>
      <c r="E464" s="59" t="str">
        <f>IFERROR(IF(F464&lt;&gt;"pending","",IF(OR($B464="",$B464="(blank)"),"",VLOOKUP($B464,'Email Marketing Raw Data'!$C:$O,11,0))),"")</f>
        <v/>
      </c>
      <c r="F464" s="54" t="str">
        <f>IFERROR(IF(OR($B464="",$B464="(blank)"),"",VLOOKUP($B464,'Email Marketing Raw Data'!$C:$O,13,0)),"")</f>
        <v/>
      </c>
      <c r="G464" s="55" t="str">
        <f>IFERROR(IF(OR($B464="",$B464="(blank)"),"",VLOOKUP($B464,'Email Marketing Raw Data'!$C:$O,4,0)),"")</f>
        <v/>
      </c>
      <c r="H464" s="55" t="str">
        <f>IFERROR(IF(OR($B464="",$B464="(blank)"),"",VLOOKUP($B464,'Email Marketing Raw Data'!$C:$O,5,0)),"")</f>
        <v/>
      </c>
      <c r="I464" s="55" t="str">
        <f>IFERROR(IF($G464="","",VLOOKUP('Dashboard And Emails Automate'!$G464,Database!$H:$N,3,0)),"")</f>
        <v/>
      </c>
      <c r="J464" s="55" t="str">
        <f>IFERROR(IF($G464="","",VLOOKUP('Dashboard And Emails Automate'!$G464,Database!$H:$N,4,0)),"")</f>
        <v/>
      </c>
      <c r="K464" s="55" t="str">
        <f>IFERROR(IF($G464="","",VLOOKUP('Dashboard And Emails Automate'!$G464,Database!$H:$N,5,0)),"")</f>
        <v/>
      </c>
      <c r="L464" s="55" t="str">
        <f>IFERROR(IF($G464="","",VLOOKUP('Dashboard And Emails Automate'!$G464,Database!$H:$N,6,0)),"")</f>
        <v/>
      </c>
      <c r="M464" s="55" t="str">
        <f>IFERROR(IF($G464="","",VLOOKUP('Dashboard And Emails Automate'!$G464,Database!$H:$N,7,0)),"")</f>
        <v/>
      </c>
      <c r="N464" s="55" t="str">
        <f>IFERROR(IF(OR($B464="",$B464="(blank)"),"",VLOOKUP($B464,'Email Marketing Raw Data'!$C:$O,6,0)),"")</f>
        <v/>
      </c>
      <c r="O464" s="55" t="str">
        <f>IFERROR(IF(OR($B464="",$B464="(blank)"),"",VLOOKUP($B464,'Email Marketing Raw Data'!$C:$O,7,0)),"")</f>
        <v/>
      </c>
      <c r="P464" s="55" t="str">
        <f>IFERROR(IF(OR($B464="",$B464="(blank)"),"",VLOOKUP($B464,'Email Marketing Raw Data'!$C:$O,8,0)),"")</f>
        <v/>
      </c>
      <c r="Q464" s="62" t="str">
        <f>IFERROR(IF(OR($B464="",$B464="(blank)"),"",VLOOKUP($B464,'Email Marketing Raw Data'!$C:$O,9,0)),"")</f>
        <v/>
      </c>
    </row>
    <row r="465" spans="4:17" ht="12.75" customHeight="1" x14ac:dyDescent="0.2">
      <c r="D465" s="58" t="str">
        <f>IFERROR(IF(F465&lt;&gt;"pending","",IF(OR($B465="",$B465="(blank)"),"",VLOOKUP($B465,'Email Marketing Raw Data'!$C:$O,10,0))),"")</f>
        <v/>
      </c>
      <c r="E465" s="59" t="str">
        <f>IFERROR(IF(F465&lt;&gt;"pending","",IF(OR($B465="",$B465="(blank)"),"",VLOOKUP($B465,'Email Marketing Raw Data'!$C:$O,11,0))),"")</f>
        <v/>
      </c>
      <c r="F465" s="54" t="str">
        <f>IFERROR(IF(OR($B465="",$B465="(blank)"),"",VLOOKUP($B465,'Email Marketing Raw Data'!$C:$O,13,0)),"")</f>
        <v/>
      </c>
      <c r="G465" s="55" t="str">
        <f>IFERROR(IF(OR($B465="",$B465="(blank)"),"",VLOOKUP($B465,'Email Marketing Raw Data'!$C:$O,4,0)),"")</f>
        <v/>
      </c>
      <c r="H465" s="55" t="str">
        <f>IFERROR(IF(OR($B465="",$B465="(blank)"),"",VLOOKUP($B465,'Email Marketing Raw Data'!$C:$O,5,0)),"")</f>
        <v/>
      </c>
      <c r="I465" s="55" t="str">
        <f>IFERROR(IF($G465="","",VLOOKUP('Dashboard And Emails Automate'!$G465,Database!$H:$N,3,0)),"")</f>
        <v/>
      </c>
      <c r="J465" s="55" t="str">
        <f>IFERROR(IF($G465="","",VLOOKUP('Dashboard And Emails Automate'!$G465,Database!$H:$N,4,0)),"")</f>
        <v/>
      </c>
      <c r="K465" s="55" t="str">
        <f>IFERROR(IF($G465="","",VLOOKUP('Dashboard And Emails Automate'!$G465,Database!$H:$N,5,0)),"")</f>
        <v/>
      </c>
      <c r="L465" s="55" t="str">
        <f>IFERROR(IF($G465="","",VLOOKUP('Dashboard And Emails Automate'!$G465,Database!$H:$N,6,0)),"")</f>
        <v/>
      </c>
      <c r="M465" s="55" t="str">
        <f>IFERROR(IF($G465="","",VLOOKUP('Dashboard And Emails Automate'!$G465,Database!$H:$N,7,0)),"")</f>
        <v/>
      </c>
      <c r="N465" s="55" t="str">
        <f>IFERROR(IF(OR($B465="",$B465="(blank)"),"",VLOOKUP($B465,'Email Marketing Raw Data'!$C:$O,6,0)),"")</f>
        <v/>
      </c>
      <c r="O465" s="55" t="str">
        <f>IFERROR(IF(OR($B465="",$B465="(blank)"),"",VLOOKUP($B465,'Email Marketing Raw Data'!$C:$O,7,0)),"")</f>
        <v/>
      </c>
      <c r="P465" s="55" t="str">
        <f>IFERROR(IF(OR($B465="",$B465="(blank)"),"",VLOOKUP($B465,'Email Marketing Raw Data'!$C:$O,8,0)),"")</f>
        <v/>
      </c>
      <c r="Q465" s="62" t="str">
        <f>IFERROR(IF(OR($B465="",$B465="(blank)"),"",VLOOKUP($B465,'Email Marketing Raw Data'!$C:$O,9,0)),"")</f>
        <v/>
      </c>
    </row>
    <row r="466" spans="4:17" ht="12.75" customHeight="1" x14ac:dyDescent="0.2">
      <c r="D466" s="58" t="str">
        <f>IFERROR(IF(F466&lt;&gt;"pending","",IF(OR($B466="",$B466="(blank)"),"",VLOOKUP($B466,'Email Marketing Raw Data'!$C:$O,10,0))),"")</f>
        <v/>
      </c>
      <c r="E466" s="59" t="str">
        <f>IFERROR(IF(F466&lt;&gt;"pending","",IF(OR($B466="",$B466="(blank)"),"",VLOOKUP($B466,'Email Marketing Raw Data'!$C:$O,11,0))),"")</f>
        <v/>
      </c>
      <c r="F466" s="54" t="str">
        <f>IFERROR(IF(OR($B466="",$B466="(blank)"),"",VLOOKUP($B466,'Email Marketing Raw Data'!$C:$O,13,0)),"")</f>
        <v/>
      </c>
      <c r="G466" s="55" t="str">
        <f>IFERROR(IF(OR($B466="",$B466="(blank)"),"",VLOOKUP($B466,'Email Marketing Raw Data'!$C:$O,4,0)),"")</f>
        <v/>
      </c>
      <c r="H466" s="55" t="str">
        <f>IFERROR(IF(OR($B466="",$B466="(blank)"),"",VLOOKUP($B466,'Email Marketing Raw Data'!$C:$O,5,0)),"")</f>
        <v/>
      </c>
      <c r="I466" s="55" t="str">
        <f>IFERROR(IF($G466="","",VLOOKUP('Dashboard And Emails Automate'!$G466,Database!$H:$N,3,0)),"")</f>
        <v/>
      </c>
      <c r="J466" s="55" t="str">
        <f>IFERROR(IF($G466="","",VLOOKUP('Dashboard And Emails Automate'!$G466,Database!$H:$N,4,0)),"")</f>
        <v/>
      </c>
      <c r="K466" s="55" t="str">
        <f>IFERROR(IF($G466="","",VLOOKUP('Dashboard And Emails Automate'!$G466,Database!$H:$N,5,0)),"")</f>
        <v/>
      </c>
      <c r="L466" s="55" t="str">
        <f>IFERROR(IF($G466="","",VLOOKUP('Dashboard And Emails Automate'!$G466,Database!$H:$N,6,0)),"")</f>
        <v/>
      </c>
      <c r="M466" s="55" t="str">
        <f>IFERROR(IF($G466="","",VLOOKUP('Dashboard And Emails Automate'!$G466,Database!$H:$N,7,0)),"")</f>
        <v/>
      </c>
      <c r="N466" s="55" t="str">
        <f>IFERROR(IF(OR($B466="",$B466="(blank)"),"",VLOOKUP($B466,'Email Marketing Raw Data'!$C:$O,6,0)),"")</f>
        <v/>
      </c>
      <c r="O466" s="55" t="str">
        <f>IFERROR(IF(OR($B466="",$B466="(blank)"),"",VLOOKUP($B466,'Email Marketing Raw Data'!$C:$O,7,0)),"")</f>
        <v/>
      </c>
      <c r="P466" s="55" t="str">
        <f>IFERROR(IF(OR($B466="",$B466="(blank)"),"",VLOOKUP($B466,'Email Marketing Raw Data'!$C:$O,8,0)),"")</f>
        <v/>
      </c>
      <c r="Q466" s="62" t="str">
        <f>IFERROR(IF(OR($B466="",$B466="(blank)"),"",VLOOKUP($B466,'Email Marketing Raw Data'!$C:$O,9,0)),"")</f>
        <v/>
      </c>
    </row>
    <row r="467" spans="4:17" ht="12.75" customHeight="1" x14ac:dyDescent="0.2">
      <c r="D467" s="58" t="str">
        <f>IFERROR(IF(F467&lt;&gt;"pending","",IF(OR($B467="",$B467="(blank)"),"",VLOOKUP($B467,'Email Marketing Raw Data'!$C:$O,10,0))),"")</f>
        <v/>
      </c>
      <c r="E467" s="59" t="str">
        <f>IFERROR(IF(F467&lt;&gt;"pending","",IF(OR($B467="",$B467="(blank)"),"",VLOOKUP($B467,'Email Marketing Raw Data'!$C:$O,11,0))),"")</f>
        <v/>
      </c>
      <c r="F467" s="54" t="str">
        <f>IFERROR(IF(OR($B467="",$B467="(blank)"),"",VLOOKUP($B467,'Email Marketing Raw Data'!$C:$O,13,0)),"")</f>
        <v/>
      </c>
      <c r="G467" s="55" t="str">
        <f>IFERROR(IF(OR($B467="",$B467="(blank)"),"",VLOOKUP($B467,'Email Marketing Raw Data'!$C:$O,4,0)),"")</f>
        <v/>
      </c>
      <c r="H467" s="55" t="str">
        <f>IFERROR(IF(OR($B467="",$B467="(blank)"),"",VLOOKUP($B467,'Email Marketing Raw Data'!$C:$O,5,0)),"")</f>
        <v/>
      </c>
      <c r="I467" s="55" t="str">
        <f>IFERROR(IF($G467="","",VLOOKUP('Dashboard And Emails Automate'!$G467,Database!$H:$N,3,0)),"")</f>
        <v/>
      </c>
      <c r="J467" s="55" t="str">
        <f>IFERROR(IF($G467="","",VLOOKUP('Dashboard And Emails Automate'!$G467,Database!$H:$N,4,0)),"")</f>
        <v/>
      </c>
      <c r="K467" s="55" t="str">
        <f>IFERROR(IF($G467="","",VLOOKUP('Dashboard And Emails Automate'!$G467,Database!$H:$N,5,0)),"")</f>
        <v/>
      </c>
      <c r="L467" s="55" t="str">
        <f>IFERROR(IF($G467="","",VLOOKUP('Dashboard And Emails Automate'!$G467,Database!$H:$N,6,0)),"")</f>
        <v/>
      </c>
      <c r="M467" s="55" t="str">
        <f>IFERROR(IF($G467="","",VLOOKUP('Dashboard And Emails Automate'!$G467,Database!$H:$N,7,0)),"")</f>
        <v/>
      </c>
      <c r="N467" s="55" t="str">
        <f>IFERROR(IF(OR($B467="",$B467="(blank)"),"",VLOOKUP($B467,'Email Marketing Raw Data'!$C:$O,6,0)),"")</f>
        <v/>
      </c>
      <c r="O467" s="55" t="str">
        <f>IFERROR(IF(OR($B467="",$B467="(blank)"),"",VLOOKUP($B467,'Email Marketing Raw Data'!$C:$O,7,0)),"")</f>
        <v/>
      </c>
      <c r="P467" s="55" t="str">
        <f>IFERROR(IF(OR($B467="",$B467="(blank)"),"",VLOOKUP($B467,'Email Marketing Raw Data'!$C:$O,8,0)),"")</f>
        <v/>
      </c>
      <c r="Q467" s="62" t="str">
        <f>IFERROR(IF(OR($B467="",$B467="(blank)"),"",VLOOKUP($B467,'Email Marketing Raw Data'!$C:$O,9,0)),"")</f>
        <v/>
      </c>
    </row>
    <row r="468" spans="4:17" ht="12.75" customHeight="1" x14ac:dyDescent="0.2">
      <c r="D468" s="58" t="str">
        <f>IFERROR(IF(F468&lt;&gt;"pending","",IF(OR($B468="",$B468="(blank)"),"",VLOOKUP($B468,'Email Marketing Raw Data'!$C:$O,10,0))),"")</f>
        <v/>
      </c>
      <c r="E468" s="59" t="str">
        <f>IFERROR(IF(F468&lt;&gt;"pending","",IF(OR($B468="",$B468="(blank)"),"",VLOOKUP($B468,'Email Marketing Raw Data'!$C:$O,11,0))),"")</f>
        <v/>
      </c>
      <c r="F468" s="54" t="str">
        <f>IFERROR(IF(OR($B468="",$B468="(blank)"),"",VLOOKUP($B468,'Email Marketing Raw Data'!$C:$O,13,0)),"")</f>
        <v/>
      </c>
      <c r="G468" s="55" t="str">
        <f>IFERROR(IF(OR($B468="",$B468="(blank)"),"",VLOOKUP($B468,'Email Marketing Raw Data'!$C:$O,4,0)),"")</f>
        <v/>
      </c>
      <c r="H468" s="55" t="str">
        <f>IFERROR(IF(OR($B468="",$B468="(blank)"),"",VLOOKUP($B468,'Email Marketing Raw Data'!$C:$O,5,0)),"")</f>
        <v/>
      </c>
      <c r="I468" s="55" t="str">
        <f>IFERROR(IF($G468="","",VLOOKUP('Dashboard And Emails Automate'!$G468,Database!$H:$N,3,0)),"")</f>
        <v/>
      </c>
      <c r="J468" s="55" t="str">
        <f>IFERROR(IF($G468="","",VLOOKUP('Dashboard And Emails Automate'!$G468,Database!$H:$N,4,0)),"")</f>
        <v/>
      </c>
      <c r="K468" s="55" t="str">
        <f>IFERROR(IF($G468="","",VLOOKUP('Dashboard And Emails Automate'!$G468,Database!$H:$N,5,0)),"")</f>
        <v/>
      </c>
      <c r="L468" s="55" t="str">
        <f>IFERROR(IF($G468="","",VLOOKUP('Dashboard And Emails Automate'!$G468,Database!$H:$N,6,0)),"")</f>
        <v/>
      </c>
      <c r="M468" s="55" t="str">
        <f>IFERROR(IF($G468="","",VLOOKUP('Dashboard And Emails Automate'!$G468,Database!$H:$N,7,0)),"")</f>
        <v/>
      </c>
      <c r="N468" s="55" t="str">
        <f>IFERROR(IF(OR($B468="",$B468="(blank)"),"",VLOOKUP($B468,'Email Marketing Raw Data'!$C:$O,6,0)),"")</f>
        <v/>
      </c>
      <c r="O468" s="55" t="str">
        <f>IFERROR(IF(OR($B468="",$B468="(blank)"),"",VLOOKUP($B468,'Email Marketing Raw Data'!$C:$O,7,0)),"")</f>
        <v/>
      </c>
      <c r="P468" s="55" t="str">
        <f>IFERROR(IF(OR($B468="",$B468="(blank)"),"",VLOOKUP($B468,'Email Marketing Raw Data'!$C:$O,8,0)),"")</f>
        <v/>
      </c>
      <c r="Q468" s="62" t="str">
        <f>IFERROR(IF(OR($B468="",$B468="(blank)"),"",VLOOKUP($B468,'Email Marketing Raw Data'!$C:$O,9,0)),"")</f>
        <v/>
      </c>
    </row>
    <row r="469" spans="4:17" ht="12.75" customHeight="1" x14ac:dyDescent="0.2">
      <c r="D469" s="58" t="str">
        <f>IFERROR(IF(F469&lt;&gt;"pending","",IF(OR($B469="",$B469="(blank)"),"",VLOOKUP($B469,'Email Marketing Raw Data'!$C:$O,10,0))),"")</f>
        <v/>
      </c>
      <c r="E469" s="59" t="str">
        <f>IFERROR(IF(F469&lt;&gt;"pending","",IF(OR($B469="",$B469="(blank)"),"",VLOOKUP($B469,'Email Marketing Raw Data'!$C:$O,11,0))),"")</f>
        <v/>
      </c>
      <c r="F469" s="54" t="str">
        <f>IFERROR(IF(OR($B469="",$B469="(blank)"),"",VLOOKUP($B469,'Email Marketing Raw Data'!$C:$O,13,0)),"")</f>
        <v/>
      </c>
      <c r="G469" s="55" t="str">
        <f>IFERROR(IF(OR($B469="",$B469="(blank)"),"",VLOOKUP($B469,'Email Marketing Raw Data'!$C:$O,4,0)),"")</f>
        <v/>
      </c>
      <c r="H469" s="55" t="str">
        <f>IFERROR(IF(OR($B469="",$B469="(blank)"),"",VLOOKUP($B469,'Email Marketing Raw Data'!$C:$O,5,0)),"")</f>
        <v/>
      </c>
      <c r="I469" s="55" t="str">
        <f>IFERROR(IF($G469="","",VLOOKUP('Dashboard And Emails Automate'!$G469,Database!$H:$N,3,0)),"")</f>
        <v/>
      </c>
      <c r="J469" s="55" t="str">
        <f>IFERROR(IF($G469="","",VLOOKUP('Dashboard And Emails Automate'!$G469,Database!$H:$N,4,0)),"")</f>
        <v/>
      </c>
      <c r="K469" s="55" t="str">
        <f>IFERROR(IF($G469="","",VLOOKUP('Dashboard And Emails Automate'!$G469,Database!$H:$N,5,0)),"")</f>
        <v/>
      </c>
      <c r="L469" s="55" t="str">
        <f>IFERROR(IF($G469="","",VLOOKUP('Dashboard And Emails Automate'!$G469,Database!$H:$N,6,0)),"")</f>
        <v/>
      </c>
      <c r="M469" s="55" t="str">
        <f>IFERROR(IF($G469="","",VLOOKUP('Dashboard And Emails Automate'!$G469,Database!$H:$N,7,0)),"")</f>
        <v/>
      </c>
      <c r="N469" s="55" t="str">
        <f>IFERROR(IF(OR($B469="",$B469="(blank)"),"",VLOOKUP($B469,'Email Marketing Raw Data'!$C:$O,6,0)),"")</f>
        <v/>
      </c>
      <c r="O469" s="55" t="str">
        <f>IFERROR(IF(OR($B469="",$B469="(blank)"),"",VLOOKUP($B469,'Email Marketing Raw Data'!$C:$O,7,0)),"")</f>
        <v/>
      </c>
      <c r="P469" s="55" t="str">
        <f>IFERROR(IF(OR($B469="",$B469="(blank)"),"",VLOOKUP($B469,'Email Marketing Raw Data'!$C:$O,8,0)),"")</f>
        <v/>
      </c>
      <c r="Q469" s="62" t="str">
        <f>IFERROR(IF(OR($B469="",$B469="(blank)"),"",VLOOKUP($B469,'Email Marketing Raw Data'!$C:$O,9,0)),"")</f>
        <v/>
      </c>
    </row>
    <row r="470" spans="4:17" ht="12.75" customHeight="1" x14ac:dyDescent="0.2">
      <c r="D470" s="58" t="str">
        <f>IFERROR(IF(F470&lt;&gt;"pending","",IF(OR($B470="",$B470="(blank)"),"",VLOOKUP($B470,'Email Marketing Raw Data'!$C:$O,10,0))),"")</f>
        <v/>
      </c>
      <c r="E470" s="59" t="str">
        <f>IFERROR(IF(F470&lt;&gt;"pending","",IF(OR($B470="",$B470="(blank)"),"",VLOOKUP($B470,'Email Marketing Raw Data'!$C:$O,11,0))),"")</f>
        <v/>
      </c>
      <c r="F470" s="54" t="str">
        <f>IFERROR(IF(OR($B470="",$B470="(blank)"),"",VLOOKUP($B470,'Email Marketing Raw Data'!$C:$O,13,0)),"")</f>
        <v/>
      </c>
      <c r="G470" s="55" t="str">
        <f>IFERROR(IF(OR($B470="",$B470="(blank)"),"",VLOOKUP($B470,'Email Marketing Raw Data'!$C:$O,4,0)),"")</f>
        <v/>
      </c>
      <c r="H470" s="55" t="str">
        <f>IFERROR(IF(OR($B470="",$B470="(blank)"),"",VLOOKUP($B470,'Email Marketing Raw Data'!$C:$O,5,0)),"")</f>
        <v/>
      </c>
      <c r="I470" s="55" t="str">
        <f>IFERROR(IF($G470="","",VLOOKUP('Dashboard And Emails Automate'!$G470,Database!$H:$N,3,0)),"")</f>
        <v/>
      </c>
      <c r="J470" s="55" t="str">
        <f>IFERROR(IF($G470="","",VLOOKUP('Dashboard And Emails Automate'!$G470,Database!$H:$N,4,0)),"")</f>
        <v/>
      </c>
      <c r="K470" s="55" t="str">
        <f>IFERROR(IF($G470="","",VLOOKUP('Dashboard And Emails Automate'!$G470,Database!$H:$N,5,0)),"")</f>
        <v/>
      </c>
      <c r="L470" s="55" t="str">
        <f>IFERROR(IF($G470="","",VLOOKUP('Dashboard And Emails Automate'!$G470,Database!$H:$N,6,0)),"")</f>
        <v/>
      </c>
      <c r="M470" s="55" t="str">
        <f>IFERROR(IF($G470="","",VLOOKUP('Dashboard And Emails Automate'!$G470,Database!$H:$N,7,0)),"")</f>
        <v/>
      </c>
      <c r="N470" s="55" t="str">
        <f>IFERROR(IF(OR($B470="",$B470="(blank)"),"",VLOOKUP($B470,'Email Marketing Raw Data'!$C:$O,6,0)),"")</f>
        <v/>
      </c>
      <c r="O470" s="55" t="str">
        <f>IFERROR(IF(OR($B470="",$B470="(blank)"),"",VLOOKUP($B470,'Email Marketing Raw Data'!$C:$O,7,0)),"")</f>
        <v/>
      </c>
      <c r="P470" s="55" t="str">
        <f>IFERROR(IF(OR($B470="",$B470="(blank)"),"",VLOOKUP($B470,'Email Marketing Raw Data'!$C:$O,8,0)),"")</f>
        <v/>
      </c>
      <c r="Q470" s="62" t="str">
        <f>IFERROR(IF(OR($B470="",$B470="(blank)"),"",VLOOKUP($B470,'Email Marketing Raw Data'!$C:$O,9,0)),"")</f>
        <v/>
      </c>
    </row>
    <row r="471" spans="4:17" ht="12.75" customHeight="1" x14ac:dyDescent="0.2">
      <c r="D471" s="58" t="str">
        <f>IFERROR(IF(F471&lt;&gt;"pending","",IF(OR($B471="",$B471="(blank)"),"",VLOOKUP($B471,'Email Marketing Raw Data'!$C:$O,10,0))),"")</f>
        <v/>
      </c>
      <c r="E471" s="59" t="str">
        <f>IFERROR(IF(F471&lt;&gt;"pending","",IF(OR($B471="",$B471="(blank)"),"",VLOOKUP($B471,'Email Marketing Raw Data'!$C:$O,11,0))),"")</f>
        <v/>
      </c>
      <c r="F471" s="54" t="str">
        <f>IFERROR(IF(OR($B471="",$B471="(blank)"),"",VLOOKUP($B471,'Email Marketing Raw Data'!$C:$O,13,0)),"")</f>
        <v/>
      </c>
      <c r="G471" s="55" t="str">
        <f>IFERROR(IF(OR($B471="",$B471="(blank)"),"",VLOOKUP($B471,'Email Marketing Raw Data'!$C:$O,4,0)),"")</f>
        <v/>
      </c>
      <c r="H471" s="55" t="str">
        <f>IFERROR(IF(OR($B471="",$B471="(blank)"),"",VLOOKUP($B471,'Email Marketing Raw Data'!$C:$O,5,0)),"")</f>
        <v/>
      </c>
      <c r="I471" s="55" t="str">
        <f>IFERROR(IF($G471="","",VLOOKUP('Dashboard And Emails Automate'!$G471,Database!$H:$N,3,0)),"")</f>
        <v/>
      </c>
      <c r="J471" s="55" t="str">
        <f>IFERROR(IF($G471="","",VLOOKUP('Dashboard And Emails Automate'!$G471,Database!$H:$N,4,0)),"")</f>
        <v/>
      </c>
      <c r="K471" s="55" t="str">
        <f>IFERROR(IF($G471="","",VLOOKUP('Dashboard And Emails Automate'!$G471,Database!$H:$N,5,0)),"")</f>
        <v/>
      </c>
      <c r="L471" s="55" t="str">
        <f>IFERROR(IF($G471="","",VLOOKUP('Dashboard And Emails Automate'!$G471,Database!$H:$N,6,0)),"")</f>
        <v/>
      </c>
      <c r="M471" s="55" t="str">
        <f>IFERROR(IF($G471="","",VLOOKUP('Dashboard And Emails Automate'!$G471,Database!$H:$N,7,0)),"")</f>
        <v/>
      </c>
      <c r="N471" s="55" t="str">
        <f>IFERROR(IF(OR($B471="",$B471="(blank)"),"",VLOOKUP($B471,'Email Marketing Raw Data'!$C:$O,6,0)),"")</f>
        <v/>
      </c>
      <c r="O471" s="55" t="str">
        <f>IFERROR(IF(OR($B471="",$B471="(blank)"),"",VLOOKUP($B471,'Email Marketing Raw Data'!$C:$O,7,0)),"")</f>
        <v/>
      </c>
      <c r="P471" s="55" t="str">
        <f>IFERROR(IF(OR($B471="",$B471="(blank)"),"",VLOOKUP($B471,'Email Marketing Raw Data'!$C:$O,8,0)),"")</f>
        <v/>
      </c>
      <c r="Q471" s="62" t="str">
        <f>IFERROR(IF(OR($B471="",$B471="(blank)"),"",VLOOKUP($B471,'Email Marketing Raw Data'!$C:$O,9,0)),"")</f>
        <v/>
      </c>
    </row>
    <row r="472" spans="4:17" ht="12.75" customHeight="1" x14ac:dyDescent="0.2">
      <c r="D472" s="58" t="str">
        <f>IFERROR(IF(F472&lt;&gt;"pending","",IF(OR($B472="",$B472="(blank)"),"",VLOOKUP($B472,'Email Marketing Raw Data'!$C:$O,10,0))),"")</f>
        <v/>
      </c>
      <c r="E472" s="59" t="str">
        <f>IFERROR(IF(F472&lt;&gt;"pending","",IF(OR($B472="",$B472="(blank)"),"",VLOOKUP($B472,'Email Marketing Raw Data'!$C:$O,11,0))),"")</f>
        <v/>
      </c>
      <c r="F472" s="54" t="str">
        <f>IFERROR(IF(OR($B472="",$B472="(blank)"),"",VLOOKUP($B472,'Email Marketing Raw Data'!$C:$O,13,0)),"")</f>
        <v/>
      </c>
      <c r="G472" s="55" t="str">
        <f>IFERROR(IF(OR($B472="",$B472="(blank)"),"",VLOOKUP($B472,'Email Marketing Raw Data'!$C:$O,4,0)),"")</f>
        <v/>
      </c>
      <c r="H472" s="55" t="str">
        <f>IFERROR(IF(OR($B472="",$B472="(blank)"),"",VLOOKUP($B472,'Email Marketing Raw Data'!$C:$O,5,0)),"")</f>
        <v/>
      </c>
      <c r="I472" s="55" t="str">
        <f>IFERROR(IF($G472="","",VLOOKUP('Dashboard And Emails Automate'!$G472,Database!$H:$N,3,0)),"")</f>
        <v/>
      </c>
      <c r="J472" s="55" t="str">
        <f>IFERROR(IF($G472="","",VLOOKUP('Dashboard And Emails Automate'!$G472,Database!$H:$N,4,0)),"")</f>
        <v/>
      </c>
      <c r="K472" s="55" t="str">
        <f>IFERROR(IF($G472="","",VLOOKUP('Dashboard And Emails Automate'!$G472,Database!$H:$N,5,0)),"")</f>
        <v/>
      </c>
      <c r="L472" s="55" t="str">
        <f>IFERROR(IF($G472="","",VLOOKUP('Dashboard And Emails Automate'!$G472,Database!$H:$N,6,0)),"")</f>
        <v/>
      </c>
      <c r="M472" s="55" t="str">
        <f>IFERROR(IF($G472="","",VLOOKUP('Dashboard And Emails Automate'!$G472,Database!$H:$N,7,0)),"")</f>
        <v/>
      </c>
      <c r="N472" s="55" t="str">
        <f>IFERROR(IF(OR($B472="",$B472="(blank)"),"",VLOOKUP($B472,'Email Marketing Raw Data'!$C:$O,6,0)),"")</f>
        <v/>
      </c>
      <c r="O472" s="55" t="str">
        <f>IFERROR(IF(OR($B472="",$B472="(blank)"),"",VLOOKUP($B472,'Email Marketing Raw Data'!$C:$O,7,0)),"")</f>
        <v/>
      </c>
      <c r="P472" s="55" t="str">
        <f>IFERROR(IF(OR($B472="",$B472="(blank)"),"",VLOOKUP($B472,'Email Marketing Raw Data'!$C:$O,8,0)),"")</f>
        <v/>
      </c>
      <c r="Q472" s="62" t="str">
        <f>IFERROR(IF(OR($B472="",$B472="(blank)"),"",VLOOKUP($B472,'Email Marketing Raw Data'!$C:$O,9,0)),"")</f>
        <v/>
      </c>
    </row>
    <row r="473" spans="4:17" ht="12.75" customHeight="1" x14ac:dyDescent="0.2">
      <c r="D473" s="58" t="str">
        <f>IFERROR(IF(F473&lt;&gt;"pending","",IF(OR($B473="",$B473="(blank)"),"",VLOOKUP($B473,'Email Marketing Raw Data'!$C:$O,10,0))),"")</f>
        <v/>
      </c>
      <c r="E473" s="59" t="str">
        <f>IFERROR(IF(F473&lt;&gt;"pending","",IF(OR($B473="",$B473="(blank)"),"",VLOOKUP($B473,'Email Marketing Raw Data'!$C:$O,11,0))),"")</f>
        <v/>
      </c>
      <c r="F473" s="54" t="str">
        <f>IFERROR(IF(OR($B473="",$B473="(blank)"),"",VLOOKUP($B473,'Email Marketing Raw Data'!$C:$O,13,0)),"")</f>
        <v/>
      </c>
      <c r="G473" s="55" t="str">
        <f>IFERROR(IF(OR($B473="",$B473="(blank)"),"",VLOOKUP($B473,'Email Marketing Raw Data'!$C:$O,4,0)),"")</f>
        <v/>
      </c>
      <c r="H473" s="55" t="str">
        <f>IFERROR(IF(OR($B473="",$B473="(blank)"),"",VLOOKUP($B473,'Email Marketing Raw Data'!$C:$O,5,0)),"")</f>
        <v/>
      </c>
      <c r="I473" s="55" t="str">
        <f>IFERROR(IF($G473="","",VLOOKUP('Dashboard And Emails Automate'!$G473,Database!$H:$N,3,0)),"")</f>
        <v/>
      </c>
      <c r="J473" s="55" t="str">
        <f>IFERROR(IF($G473="","",VLOOKUP('Dashboard And Emails Automate'!$G473,Database!$H:$N,4,0)),"")</f>
        <v/>
      </c>
      <c r="K473" s="55" t="str">
        <f>IFERROR(IF($G473="","",VLOOKUP('Dashboard And Emails Automate'!$G473,Database!$H:$N,5,0)),"")</f>
        <v/>
      </c>
      <c r="L473" s="55" t="str">
        <f>IFERROR(IF($G473="","",VLOOKUP('Dashboard And Emails Automate'!$G473,Database!$H:$N,6,0)),"")</f>
        <v/>
      </c>
      <c r="M473" s="55" t="str">
        <f>IFERROR(IF($G473="","",VLOOKUP('Dashboard And Emails Automate'!$G473,Database!$H:$N,7,0)),"")</f>
        <v/>
      </c>
      <c r="N473" s="55" t="str">
        <f>IFERROR(IF(OR($B473="",$B473="(blank)"),"",VLOOKUP($B473,'Email Marketing Raw Data'!$C:$O,6,0)),"")</f>
        <v/>
      </c>
      <c r="O473" s="55" t="str">
        <f>IFERROR(IF(OR($B473="",$B473="(blank)"),"",VLOOKUP($B473,'Email Marketing Raw Data'!$C:$O,7,0)),"")</f>
        <v/>
      </c>
      <c r="P473" s="55" t="str">
        <f>IFERROR(IF(OR($B473="",$B473="(blank)"),"",VLOOKUP($B473,'Email Marketing Raw Data'!$C:$O,8,0)),"")</f>
        <v/>
      </c>
      <c r="Q473" s="62" t="str">
        <f>IFERROR(IF(OR($B473="",$B473="(blank)"),"",VLOOKUP($B473,'Email Marketing Raw Data'!$C:$O,9,0)),"")</f>
        <v/>
      </c>
    </row>
    <row r="474" spans="4:17" ht="12.75" customHeight="1" x14ac:dyDescent="0.2">
      <c r="D474" s="58" t="str">
        <f>IFERROR(IF(F474&lt;&gt;"pending","",IF(OR($B474="",$B474="(blank)"),"",VLOOKUP($B474,'Email Marketing Raw Data'!$C:$O,10,0))),"")</f>
        <v/>
      </c>
      <c r="E474" s="59" t="str">
        <f>IFERROR(IF(F474&lt;&gt;"pending","",IF(OR($B474="",$B474="(blank)"),"",VLOOKUP($B474,'Email Marketing Raw Data'!$C:$O,11,0))),"")</f>
        <v/>
      </c>
      <c r="F474" s="54" t="str">
        <f>IFERROR(IF(OR($B474="",$B474="(blank)"),"",VLOOKUP($B474,'Email Marketing Raw Data'!$C:$O,13,0)),"")</f>
        <v/>
      </c>
      <c r="G474" s="55" t="str">
        <f>IFERROR(IF(OR($B474="",$B474="(blank)"),"",VLOOKUP($B474,'Email Marketing Raw Data'!$C:$O,4,0)),"")</f>
        <v/>
      </c>
      <c r="H474" s="55" t="str">
        <f>IFERROR(IF(OR($B474="",$B474="(blank)"),"",VLOOKUP($B474,'Email Marketing Raw Data'!$C:$O,5,0)),"")</f>
        <v/>
      </c>
      <c r="I474" s="55" t="str">
        <f>IFERROR(IF($G474="","",VLOOKUP('Dashboard And Emails Automate'!$G474,Database!$H:$N,3,0)),"")</f>
        <v/>
      </c>
      <c r="J474" s="55" t="str">
        <f>IFERROR(IF($G474="","",VLOOKUP('Dashboard And Emails Automate'!$G474,Database!$H:$N,4,0)),"")</f>
        <v/>
      </c>
      <c r="K474" s="55" t="str">
        <f>IFERROR(IF($G474="","",VLOOKUP('Dashboard And Emails Automate'!$G474,Database!$H:$N,5,0)),"")</f>
        <v/>
      </c>
      <c r="L474" s="55" t="str">
        <f>IFERROR(IF($G474="","",VLOOKUP('Dashboard And Emails Automate'!$G474,Database!$H:$N,6,0)),"")</f>
        <v/>
      </c>
      <c r="M474" s="55" t="str">
        <f>IFERROR(IF($G474="","",VLOOKUP('Dashboard And Emails Automate'!$G474,Database!$H:$N,7,0)),"")</f>
        <v/>
      </c>
      <c r="N474" s="55" t="str">
        <f>IFERROR(IF(OR($B474="",$B474="(blank)"),"",VLOOKUP($B474,'Email Marketing Raw Data'!$C:$O,6,0)),"")</f>
        <v/>
      </c>
      <c r="O474" s="55" t="str">
        <f>IFERROR(IF(OR($B474="",$B474="(blank)"),"",VLOOKUP($B474,'Email Marketing Raw Data'!$C:$O,7,0)),"")</f>
        <v/>
      </c>
      <c r="P474" s="55" t="str">
        <f>IFERROR(IF(OR($B474="",$B474="(blank)"),"",VLOOKUP($B474,'Email Marketing Raw Data'!$C:$O,8,0)),"")</f>
        <v/>
      </c>
      <c r="Q474" s="62" t="str">
        <f>IFERROR(IF(OR($B474="",$B474="(blank)"),"",VLOOKUP($B474,'Email Marketing Raw Data'!$C:$O,9,0)),"")</f>
        <v/>
      </c>
    </row>
    <row r="475" spans="4:17" ht="12.75" customHeight="1" x14ac:dyDescent="0.2">
      <c r="D475" s="58" t="str">
        <f>IFERROR(IF(F475&lt;&gt;"pending","",IF(OR($B475="",$B475="(blank)"),"",VLOOKUP($B475,'Email Marketing Raw Data'!$C:$O,10,0))),"")</f>
        <v/>
      </c>
      <c r="E475" s="59" t="str">
        <f>IFERROR(IF(F475&lt;&gt;"pending","",IF(OR($B475="",$B475="(blank)"),"",VLOOKUP($B475,'Email Marketing Raw Data'!$C:$O,11,0))),"")</f>
        <v/>
      </c>
      <c r="F475" s="54" t="str">
        <f>IFERROR(IF(OR($B475="",$B475="(blank)"),"",VLOOKUP($B475,'Email Marketing Raw Data'!$C:$O,13,0)),"")</f>
        <v/>
      </c>
      <c r="G475" s="55" t="str">
        <f>IFERROR(IF(OR($B475="",$B475="(blank)"),"",VLOOKUP($B475,'Email Marketing Raw Data'!$C:$O,4,0)),"")</f>
        <v/>
      </c>
      <c r="H475" s="55" t="str">
        <f>IFERROR(IF(OR($B475="",$B475="(blank)"),"",VLOOKUP($B475,'Email Marketing Raw Data'!$C:$O,5,0)),"")</f>
        <v/>
      </c>
      <c r="I475" s="55" t="str">
        <f>IFERROR(IF($G475="","",VLOOKUP('Dashboard And Emails Automate'!$G475,Database!$H:$N,3,0)),"")</f>
        <v/>
      </c>
      <c r="J475" s="55" t="str">
        <f>IFERROR(IF($G475="","",VLOOKUP('Dashboard And Emails Automate'!$G475,Database!$H:$N,4,0)),"")</f>
        <v/>
      </c>
      <c r="K475" s="55" t="str">
        <f>IFERROR(IF($G475="","",VLOOKUP('Dashboard And Emails Automate'!$G475,Database!$H:$N,5,0)),"")</f>
        <v/>
      </c>
      <c r="L475" s="55" t="str">
        <f>IFERROR(IF($G475="","",VLOOKUP('Dashboard And Emails Automate'!$G475,Database!$H:$N,6,0)),"")</f>
        <v/>
      </c>
      <c r="M475" s="55" t="str">
        <f>IFERROR(IF($G475="","",VLOOKUP('Dashboard And Emails Automate'!$G475,Database!$H:$N,7,0)),"")</f>
        <v/>
      </c>
      <c r="N475" s="55" t="str">
        <f>IFERROR(IF(OR($B475="",$B475="(blank)"),"",VLOOKUP($B475,'Email Marketing Raw Data'!$C:$O,6,0)),"")</f>
        <v/>
      </c>
      <c r="O475" s="55" t="str">
        <f>IFERROR(IF(OR($B475="",$B475="(blank)"),"",VLOOKUP($B475,'Email Marketing Raw Data'!$C:$O,7,0)),"")</f>
        <v/>
      </c>
      <c r="P475" s="55" t="str">
        <f>IFERROR(IF(OR($B475="",$B475="(blank)"),"",VLOOKUP($B475,'Email Marketing Raw Data'!$C:$O,8,0)),"")</f>
        <v/>
      </c>
      <c r="Q475" s="62" t="str">
        <f>IFERROR(IF(OR($B475="",$B475="(blank)"),"",VLOOKUP($B475,'Email Marketing Raw Data'!$C:$O,9,0)),"")</f>
        <v/>
      </c>
    </row>
    <row r="476" spans="4:17" ht="12.75" customHeight="1" x14ac:dyDescent="0.2">
      <c r="D476" s="58" t="str">
        <f>IFERROR(IF(F476&lt;&gt;"pending","",IF(OR($B476="",$B476="(blank)"),"",VLOOKUP($B476,'Email Marketing Raw Data'!$C:$O,10,0))),"")</f>
        <v/>
      </c>
      <c r="E476" s="59" t="str">
        <f>IFERROR(IF(F476&lt;&gt;"pending","",IF(OR($B476="",$B476="(blank)"),"",VLOOKUP($B476,'Email Marketing Raw Data'!$C:$O,11,0))),"")</f>
        <v/>
      </c>
      <c r="F476" s="54" t="str">
        <f>IFERROR(IF(OR($B476="",$B476="(blank)"),"",VLOOKUP($B476,'Email Marketing Raw Data'!$C:$O,13,0)),"")</f>
        <v/>
      </c>
      <c r="G476" s="55" t="str">
        <f>IFERROR(IF(OR($B476="",$B476="(blank)"),"",VLOOKUP($B476,'Email Marketing Raw Data'!$C:$O,4,0)),"")</f>
        <v/>
      </c>
      <c r="H476" s="55" t="str">
        <f>IFERROR(IF(OR($B476="",$B476="(blank)"),"",VLOOKUP($B476,'Email Marketing Raw Data'!$C:$O,5,0)),"")</f>
        <v/>
      </c>
      <c r="I476" s="55" t="str">
        <f>IFERROR(IF($G476="","",VLOOKUP('Dashboard And Emails Automate'!$G476,Database!$H:$N,3,0)),"")</f>
        <v/>
      </c>
      <c r="J476" s="55" t="str">
        <f>IFERROR(IF($G476="","",VLOOKUP('Dashboard And Emails Automate'!$G476,Database!$H:$N,4,0)),"")</f>
        <v/>
      </c>
      <c r="K476" s="55" t="str">
        <f>IFERROR(IF($G476="","",VLOOKUP('Dashboard And Emails Automate'!$G476,Database!$H:$N,5,0)),"")</f>
        <v/>
      </c>
      <c r="L476" s="55" t="str">
        <f>IFERROR(IF($G476="","",VLOOKUP('Dashboard And Emails Automate'!$G476,Database!$H:$N,6,0)),"")</f>
        <v/>
      </c>
      <c r="M476" s="55" t="str">
        <f>IFERROR(IF($G476="","",VLOOKUP('Dashboard And Emails Automate'!$G476,Database!$H:$N,7,0)),"")</f>
        <v/>
      </c>
      <c r="N476" s="55" t="str">
        <f>IFERROR(IF(OR($B476="",$B476="(blank)"),"",VLOOKUP($B476,'Email Marketing Raw Data'!$C:$O,6,0)),"")</f>
        <v/>
      </c>
      <c r="O476" s="55" t="str">
        <f>IFERROR(IF(OR($B476="",$B476="(blank)"),"",VLOOKUP($B476,'Email Marketing Raw Data'!$C:$O,7,0)),"")</f>
        <v/>
      </c>
      <c r="P476" s="55" t="str">
        <f>IFERROR(IF(OR($B476="",$B476="(blank)"),"",VLOOKUP($B476,'Email Marketing Raw Data'!$C:$O,8,0)),"")</f>
        <v/>
      </c>
      <c r="Q476" s="62" t="str">
        <f>IFERROR(IF(OR($B476="",$B476="(blank)"),"",VLOOKUP($B476,'Email Marketing Raw Data'!$C:$O,9,0)),"")</f>
        <v/>
      </c>
    </row>
    <row r="477" spans="4:17" ht="12.75" customHeight="1" x14ac:dyDescent="0.2">
      <c r="D477" s="58" t="str">
        <f>IFERROR(IF(F477&lt;&gt;"pending","",IF(OR($B477="",$B477="(blank)"),"",VLOOKUP($B477,'Email Marketing Raw Data'!$C:$O,10,0))),"")</f>
        <v/>
      </c>
      <c r="E477" s="59" t="str">
        <f>IFERROR(IF(F477&lt;&gt;"pending","",IF(OR($B477="",$B477="(blank)"),"",VLOOKUP($B477,'Email Marketing Raw Data'!$C:$O,11,0))),"")</f>
        <v/>
      </c>
      <c r="F477" s="54" t="str">
        <f>IFERROR(IF(OR($B477="",$B477="(blank)"),"",VLOOKUP($B477,'Email Marketing Raw Data'!$C:$O,13,0)),"")</f>
        <v/>
      </c>
      <c r="G477" s="55" t="str">
        <f>IFERROR(IF(OR($B477="",$B477="(blank)"),"",VLOOKUP($B477,'Email Marketing Raw Data'!$C:$O,4,0)),"")</f>
        <v/>
      </c>
      <c r="H477" s="55" t="str">
        <f>IFERROR(IF(OR($B477="",$B477="(blank)"),"",VLOOKUP($B477,'Email Marketing Raw Data'!$C:$O,5,0)),"")</f>
        <v/>
      </c>
      <c r="I477" s="55" t="str">
        <f>IFERROR(IF($G477="","",VLOOKUP('Dashboard And Emails Automate'!$G477,Database!$H:$N,3,0)),"")</f>
        <v/>
      </c>
      <c r="J477" s="55" t="str">
        <f>IFERROR(IF($G477="","",VLOOKUP('Dashboard And Emails Automate'!$G477,Database!$H:$N,4,0)),"")</f>
        <v/>
      </c>
      <c r="K477" s="55" t="str">
        <f>IFERROR(IF($G477="","",VLOOKUP('Dashboard And Emails Automate'!$G477,Database!$H:$N,5,0)),"")</f>
        <v/>
      </c>
      <c r="L477" s="55" t="str">
        <f>IFERROR(IF($G477="","",VLOOKUP('Dashboard And Emails Automate'!$G477,Database!$H:$N,6,0)),"")</f>
        <v/>
      </c>
      <c r="M477" s="55" t="str">
        <f>IFERROR(IF($G477="","",VLOOKUP('Dashboard And Emails Automate'!$G477,Database!$H:$N,7,0)),"")</f>
        <v/>
      </c>
      <c r="N477" s="55" t="str">
        <f>IFERROR(IF(OR($B477="",$B477="(blank)"),"",VLOOKUP($B477,'Email Marketing Raw Data'!$C:$O,6,0)),"")</f>
        <v/>
      </c>
      <c r="O477" s="55" t="str">
        <f>IFERROR(IF(OR($B477="",$B477="(blank)"),"",VLOOKUP($B477,'Email Marketing Raw Data'!$C:$O,7,0)),"")</f>
        <v/>
      </c>
      <c r="P477" s="55" t="str">
        <f>IFERROR(IF(OR($B477="",$B477="(blank)"),"",VLOOKUP($B477,'Email Marketing Raw Data'!$C:$O,8,0)),"")</f>
        <v/>
      </c>
      <c r="Q477" s="62" t="str">
        <f>IFERROR(IF(OR($B477="",$B477="(blank)"),"",VLOOKUP($B477,'Email Marketing Raw Data'!$C:$O,9,0)),"")</f>
        <v/>
      </c>
    </row>
    <row r="478" spans="4:17" ht="12.75" customHeight="1" x14ac:dyDescent="0.2">
      <c r="D478" s="58" t="str">
        <f>IFERROR(IF(F478&lt;&gt;"pending","",IF(OR($B478="",$B478="(blank)"),"",VLOOKUP($B478,'Email Marketing Raw Data'!$C:$O,10,0))),"")</f>
        <v/>
      </c>
      <c r="E478" s="59" t="str">
        <f>IFERROR(IF(F478&lt;&gt;"pending","",IF(OR($B478="",$B478="(blank)"),"",VLOOKUP($B478,'Email Marketing Raw Data'!$C:$O,11,0))),"")</f>
        <v/>
      </c>
      <c r="F478" s="54" t="str">
        <f>IFERROR(IF(OR($B478="",$B478="(blank)"),"",VLOOKUP($B478,'Email Marketing Raw Data'!$C:$O,13,0)),"")</f>
        <v/>
      </c>
      <c r="G478" s="55" t="str">
        <f>IFERROR(IF(OR($B478="",$B478="(blank)"),"",VLOOKUP($B478,'Email Marketing Raw Data'!$C:$O,4,0)),"")</f>
        <v/>
      </c>
      <c r="H478" s="55" t="str">
        <f>IFERROR(IF(OR($B478="",$B478="(blank)"),"",VLOOKUP($B478,'Email Marketing Raw Data'!$C:$O,5,0)),"")</f>
        <v/>
      </c>
      <c r="I478" s="55" t="str">
        <f>IFERROR(IF($G478="","",VLOOKUP('Dashboard And Emails Automate'!$G478,Database!$H:$N,3,0)),"")</f>
        <v/>
      </c>
      <c r="J478" s="55" t="str">
        <f>IFERROR(IF($G478="","",VLOOKUP('Dashboard And Emails Automate'!$G478,Database!$H:$N,4,0)),"")</f>
        <v/>
      </c>
      <c r="K478" s="55" t="str">
        <f>IFERROR(IF($G478="","",VLOOKUP('Dashboard And Emails Automate'!$G478,Database!$H:$N,5,0)),"")</f>
        <v/>
      </c>
      <c r="L478" s="55" t="str">
        <f>IFERROR(IF($G478="","",VLOOKUP('Dashboard And Emails Automate'!$G478,Database!$H:$N,6,0)),"")</f>
        <v/>
      </c>
      <c r="M478" s="55" t="str">
        <f>IFERROR(IF($G478="","",VLOOKUP('Dashboard And Emails Automate'!$G478,Database!$H:$N,7,0)),"")</f>
        <v/>
      </c>
      <c r="N478" s="55" t="str">
        <f>IFERROR(IF(OR($B478="",$B478="(blank)"),"",VLOOKUP($B478,'Email Marketing Raw Data'!$C:$O,6,0)),"")</f>
        <v/>
      </c>
      <c r="O478" s="55" t="str">
        <f>IFERROR(IF(OR($B478="",$B478="(blank)"),"",VLOOKUP($B478,'Email Marketing Raw Data'!$C:$O,7,0)),"")</f>
        <v/>
      </c>
      <c r="P478" s="55" t="str">
        <f>IFERROR(IF(OR($B478="",$B478="(blank)"),"",VLOOKUP($B478,'Email Marketing Raw Data'!$C:$O,8,0)),"")</f>
        <v/>
      </c>
      <c r="Q478" s="62" t="str">
        <f>IFERROR(IF(OR($B478="",$B478="(blank)"),"",VLOOKUP($B478,'Email Marketing Raw Data'!$C:$O,9,0)),"")</f>
        <v/>
      </c>
    </row>
    <row r="479" spans="4:17" ht="12.75" customHeight="1" x14ac:dyDescent="0.2">
      <c r="D479" s="58" t="str">
        <f>IFERROR(IF(F479&lt;&gt;"pending","",IF(OR($B479="",$B479="(blank)"),"",VLOOKUP($B479,'Email Marketing Raw Data'!$C:$O,10,0))),"")</f>
        <v/>
      </c>
      <c r="E479" s="59" t="str">
        <f>IFERROR(IF(F479&lt;&gt;"pending","",IF(OR($B479="",$B479="(blank)"),"",VLOOKUP($B479,'Email Marketing Raw Data'!$C:$O,11,0))),"")</f>
        <v/>
      </c>
      <c r="F479" s="54" t="str">
        <f>IFERROR(IF(OR($B479="",$B479="(blank)"),"",VLOOKUP($B479,'Email Marketing Raw Data'!$C:$O,13,0)),"")</f>
        <v/>
      </c>
      <c r="G479" s="55" t="str">
        <f>IFERROR(IF(OR($B479="",$B479="(blank)"),"",VLOOKUP($B479,'Email Marketing Raw Data'!$C:$O,4,0)),"")</f>
        <v/>
      </c>
      <c r="H479" s="55" t="str">
        <f>IFERROR(IF(OR($B479="",$B479="(blank)"),"",VLOOKUP($B479,'Email Marketing Raw Data'!$C:$O,5,0)),"")</f>
        <v/>
      </c>
      <c r="I479" s="55" t="str">
        <f>IFERROR(IF($G479="","",VLOOKUP('Dashboard And Emails Automate'!$G479,Database!$H:$N,3,0)),"")</f>
        <v/>
      </c>
      <c r="J479" s="55" t="str">
        <f>IFERROR(IF($G479="","",VLOOKUP('Dashboard And Emails Automate'!$G479,Database!$H:$N,4,0)),"")</f>
        <v/>
      </c>
      <c r="K479" s="55" t="str">
        <f>IFERROR(IF($G479="","",VLOOKUP('Dashboard And Emails Automate'!$G479,Database!$H:$N,5,0)),"")</f>
        <v/>
      </c>
      <c r="L479" s="55" t="str">
        <f>IFERROR(IF($G479="","",VLOOKUP('Dashboard And Emails Automate'!$G479,Database!$H:$N,6,0)),"")</f>
        <v/>
      </c>
      <c r="M479" s="55" t="str">
        <f>IFERROR(IF($G479="","",VLOOKUP('Dashboard And Emails Automate'!$G479,Database!$H:$N,7,0)),"")</f>
        <v/>
      </c>
      <c r="N479" s="55" t="str">
        <f>IFERROR(IF(OR($B479="",$B479="(blank)"),"",VLOOKUP($B479,'Email Marketing Raw Data'!$C:$O,6,0)),"")</f>
        <v/>
      </c>
      <c r="O479" s="55" t="str">
        <f>IFERROR(IF(OR($B479="",$B479="(blank)"),"",VLOOKUP($B479,'Email Marketing Raw Data'!$C:$O,7,0)),"")</f>
        <v/>
      </c>
      <c r="P479" s="55" t="str">
        <f>IFERROR(IF(OR($B479="",$B479="(blank)"),"",VLOOKUP($B479,'Email Marketing Raw Data'!$C:$O,8,0)),"")</f>
        <v/>
      </c>
      <c r="Q479" s="62" t="str">
        <f>IFERROR(IF(OR($B479="",$B479="(blank)"),"",VLOOKUP($B479,'Email Marketing Raw Data'!$C:$O,9,0)),"")</f>
        <v/>
      </c>
    </row>
    <row r="480" spans="4:17" ht="12.75" customHeight="1" x14ac:dyDescent="0.2">
      <c r="D480" s="58" t="str">
        <f>IFERROR(IF(F480&lt;&gt;"pending","",IF(OR($B480="",$B480="(blank)"),"",VLOOKUP($B480,'Email Marketing Raw Data'!$C:$O,10,0))),"")</f>
        <v/>
      </c>
      <c r="E480" s="59" t="str">
        <f>IFERROR(IF(F480&lt;&gt;"pending","",IF(OR($B480="",$B480="(blank)"),"",VLOOKUP($B480,'Email Marketing Raw Data'!$C:$O,11,0))),"")</f>
        <v/>
      </c>
      <c r="F480" s="54" t="str">
        <f>IFERROR(IF(OR($B480="",$B480="(blank)"),"",VLOOKUP($B480,'Email Marketing Raw Data'!$C:$O,13,0)),"")</f>
        <v/>
      </c>
      <c r="G480" s="55" t="str">
        <f>IFERROR(IF(OR($B480="",$B480="(blank)"),"",VLOOKUP($B480,'Email Marketing Raw Data'!$C:$O,4,0)),"")</f>
        <v/>
      </c>
      <c r="H480" s="55" t="str">
        <f>IFERROR(IF(OR($B480="",$B480="(blank)"),"",VLOOKUP($B480,'Email Marketing Raw Data'!$C:$O,5,0)),"")</f>
        <v/>
      </c>
      <c r="I480" s="55" t="str">
        <f>IFERROR(IF($G480="","",VLOOKUP('Dashboard And Emails Automate'!$G480,Database!$H:$N,3,0)),"")</f>
        <v/>
      </c>
      <c r="J480" s="55" t="str">
        <f>IFERROR(IF($G480="","",VLOOKUP('Dashboard And Emails Automate'!$G480,Database!$H:$N,4,0)),"")</f>
        <v/>
      </c>
      <c r="K480" s="55" t="str">
        <f>IFERROR(IF($G480="","",VLOOKUP('Dashboard And Emails Automate'!$G480,Database!$H:$N,5,0)),"")</f>
        <v/>
      </c>
      <c r="L480" s="55" t="str">
        <f>IFERROR(IF($G480="","",VLOOKUP('Dashboard And Emails Automate'!$G480,Database!$H:$N,6,0)),"")</f>
        <v/>
      </c>
      <c r="M480" s="55" t="str">
        <f>IFERROR(IF($G480="","",VLOOKUP('Dashboard And Emails Automate'!$G480,Database!$H:$N,7,0)),"")</f>
        <v/>
      </c>
      <c r="N480" s="55" t="str">
        <f>IFERROR(IF(OR($B480="",$B480="(blank)"),"",VLOOKUP($B480,'Email Marketing Raw Data'!$C:$O,6,0)),"")</f>
        <v/>
      </c>
      <c r="O480" s="55" t="str">
        <f>IFERROR(IF(OR($B480="",$B480="(blank)"),"",VLOOKUP($B480,'Email Marketing Raw Data'!$C:$O,7,0)),"")</f>
        <v/>
      </c>
      <c r="P480" s="55" t="str">
        <f>IFERROR(IF(OR($B480="",$B480="(blank)"),"",VLOOKUP($B480,'Email Marketing Raw Data'!$C:$O,8,0)),"")</f>
        <v/>
      </c>
      <c r="Q480" s="62" t="str">
        <f>IFERROR(IF(OR($B480="",$B480="(blank)"),"",VLOOKUP($B480,'Email Marketing Raw Data'!$C:$O,9,0)),"")</f>
        <v/>
      </c>
    </row>
    <row r="481" spans="4:17" ht="12.75" customHeight="1" x14ac:dyDescent="0.2">
      <c r="D481" s="58" t="str">
        <f>IFERROR(IF(F481&lt;&gt;"pending","",IF(OR($B481="",$B481="(blank)"),"",VLOOKUP($B481,'Email Marketing Raw Data'!$C:$O,10,0))),"")</f>
        <v/>
      </c>
      <c r="E481" s="59" t="str">
        <f>IFERROR(IF(F481&lt;&gt;"pending","",IF(OR($B481="",$B481="(blank)"),"",VLOOKUP($B481,'Email Marketing Raw Data'!$C:$O,11,0))),"")</f>
        <v/>
      </c>
      <c r="F481" s="54" t="str">
        <f>IFERROR(IF(OR($B481="",$B481="(blank)"),"",VLOOKUP($B481,'Email Marketing Raw Data'!$C:$O,13,0)),"")</f>
        <v/>
      </c>
      <c r="G481" s="55" t="str">
        <f>IFERROR(IF(OR($B481="",$B481="(blank)"),"",VLOOKUP($B481,'Email Marketing Raw Data'!$C:$O,4,0)),"")</f>
        <v/>
      </c>
      <c r="H481" s="55" t="str">
        <f>IFERROR(IF(OR($B481="",$B481="(blank)"),"",VLOOKUP($B481,'Email Marketing Raw Data'!$C:$O,5,0)),"")</f>
        <v/>
      </c>
      <c r="I481" s="55" t="str">
        <f>IFERROR(IF($G481="","",VLOOKUP('Dashboard And Emails Automate'!$G481,Database!$H:$N,3,0)),"")</f>
        <v/>
      </c>
      <c r="J481" s="55" t="str">
        <f>IFERROR(IF($G481="","",VLOOKUP('Dashboard And Emails Automate'!$G481,Database!$H:$N,4,0)),"")</f>
        <v/>
      </c>
      <c r="K481" s="55" t="str">
        <f>IFERROR(IF($G481="","",VLOOKUP('Dashboard And Emails Automate'!$G481,Database!$H:$N,5,0)),"")</f>
        <v/>
      </c>
      <c r="L481" s="55" t="str">
        <f>IFERROR(IF($G481="","",VLOOKUP('Dashboard And Emails Automate'!$G481,Database!$H:$N,6,0)),"")</f>
        <v/>
      </c>
      <c r="M481" s="55" t="str">
        <f>IFERROR(IF($G481="","",VLOOKUP('Dashboard And Emails Automate'!$G481,Database!$H:$N,7,0)),"")</f>
        <v/>
      </c>
      <c r="N481" s="55" t="str">
        <f>IFERROR(IF(OR($B481="",$B481="(blank)"),"",VLOOKUP($B481,'Email Marketing Raw Data'!$C:$O,6,0)),"")</f>
        <v/>
      </c>
      <c r="O481" s="55" t="str">
        <f>IFERROR(IF(OR($B481="",$B481="(blank)"),"",VLOOKUP($B481,'Email Marketing Raw Data'!$C:$O,7,0)),"")</f>
        <v/>
      </c>
      <c r="P481" s="55" t="str">
        <f>IFERROR(IF(OR($B481="",$B481="(blank)"),"",VLOOKUP($B481,'Email Marketing Raw Data'!$C:$O,8,0)),"")</f>
        <v/>
      </c>
      <c r="Q481" s="62" t="str">
        <f>IFERROR(IF(OR($B481="",$B481="(blank)"),"",VLOOKUP($B481,'Email Marketing Raw Data'!$C:$O,9,0)),"")</f>
        <v/>
      </c>
    </row>
    <row r="482" spans="4:17" ht="12.75" customHeight="1" x14ac:dyDescent="0.2">
      <c r="D482" s="58" t="str">
        <f>IFERROR(IF(F482&lt;&gt;"pending","",IF(OR($B482="",$B482="(blank)"),"",VLOOKUP($B482,'Email Marketing Raw Data'!$C:$O,10,0))),"")</f>
        <v/>
      </c>
      <c r="E482" s="59" t="str">
        <f>IFERROR(IF(F482&lt;&gt;"pending","",IF(OR($B482="",$B482="(blank)"),"",VLOOKUP($B482,'Email Marketing Raw Data'!$C:$O,11,0))),"")</f>
        <v/>
      </c>
      <c r="F482" s="54" t="str">
        <f>IFERROR(IF(OR($B482="",$B482="(blank)"),"",VLOOKUP($B482,'Email Marketing Raw Data'!$C:$O,13,0)),"")</f>
        <v/>
      </c>
      <c r="G482" s="55" t="str">
        <f>IFERROR(IF(OR($B482="",$B482="(blank)"),"",VLOOKUP($B482,'Email Marketing Raw Data'!$C:$O,4,0)),"")</f>
        <v/>
      </c>
      <c r="H482" s="55" t="str">
        <f>IFERROR(IF(OR($B482="",$B482="(blank)"),"",VLOOKUP($B482,'Email Marketing Raw Data'!$C:$O,5,0)),"")</f>
        <v/>
      </c>
      <c r="I482" s="55" t="str">
        <f>IFERROR(IF($G482="","",VLOOKUP('Dashboard And Emails Automate'!$G482,Database!$H:$N,3,0)),"")</f>
        <v/>
      </c>
      <c r="J482" s="55" t="str">
        <f>IFERROR(IF($G482="","",VLOOKUP('Dashboard And Emails Automate'!$G482,Database!$H:$N,4,0)),"")</f>
        <v/>
      </c>
      <c r="K482" s="55" t="str">
        <f>IFERROR(IF($G482="","",VLOOKUP('Dashboard And Emails Automate'!$G482,Database!$H:$N,5,0)),"")</f>
        <v/>
      </c>
      <c r="L482" s="55" t="str">
        <f>IFERROR(IF($G482="","",VLOOKUP('Dashboard And Emails Automate'!$G482,Database!$H:$N,6,0)),"")</f>
        <v/>
      </c>
      <c r="M482" s="55" t="str">
        <f>IFERROR(IF($G482="","",VLOOKUP('Dashboard And Emails Automate'!$G482,Database!$H:$N,7,0)),"")</f>
        <v/>
      </c>
      <c r="N482" s="55" t="str">
        <f>IFERROR(IF(OR($B482="",$B482="(blank)"),"",VLOOKUP($B482,'Email Marketing Raw Data'!$C:$O,6,0)),"")</f>
        <v/>
      </c>
      <c r="O482" s="55" t="str">
        <f>IFERROR(IF(OR($B482="",$B482="(blank)"),"",VLOOKUP($B482,'Email Marketing Raw Data'!$C:$O,7,0)),"")</f>
        <v/>
      </c>
      <c r="P482" s="55" t="str">
        <f>IFERROR(IF(OR($B482="",$B482="(blank)"),"",VLOOKUP($B482,'Email Marketing Raw Data'!$C:$O,8,0)),"")</f>
        <v/>
      </c>
      <c r="Q482" s="62" t="str">
        <f>IFERROR(IF(OR($B482="",$B482="(blank)"),"",VLOOKUP($B482,'Email Marketing Raw Data'!$C:$O,9,0)),"")</f>
        <v/>
      </c>
    </row>
    <row r="483" spans="4:17" ht="12.75" customHeight="1" x14ac:dyDescent="0.2">
      <c r="D483" s="58" t="str">
        <f>IFERROR(IF(F483&lt;&gt;"pending","",IF(OR($B483="",$B483="(blank)"),"",VLOOKUP($B483,'Email Marketing Raw Data'!$C:$O,10,0))),"")</f>
        <v/>
      </c>
      <c r="E483" s="59" t="str">
        <f>IFERROR(IF(F483&lt;&gt;"pending","",IF(OR($B483="",$B483="(blank)"),"",VLOOKUP($B483,'Email Marketing Raw Data'!$C:$O,11,0))),"")</f>
        <v/>
      </c>
      <c r="F483" s="54" t="str">
        <f>IFERROR(IF(OR($B483="",$B483="(blank)"),"",VLOOKUP($B483,'Email Marketing Raw Data'!$C:$O,13,0)),"")</f>
        <v/>
      </c>
      <c r="G483" s="55" t="str">
        <f>IFERROR(IF(OR($B483="",$B483="(blank)"),"",VLOOKUP($B483,'Email Marketing Raw Data'!$C:$O,4,0)),"")</f>
        <v/>
      </c>
      <c r="H483" s="55" t="str">
        <f>IFERROR(IF(OR($B483="",$B483="(blank)"),"",VLOOKUP($B483,'Email Marketing Raw Data'!$C:$O,5,0)),"")</f>
        <v/>
      </c>
      <c r="I483" s="55" t="str">
        <f>IFERROR(IF($G483="","",VLOOKUP('Dashboard And Emails Automate'!$G483,Database!$H:$N,3,0)),"")</f>
        <v/>
      </c>
      <c r="J483" s="55" t="str">
        <f>IFERROR(IF($G483="","",VLOOKUP('Dashboard And Emails Automate'!$G483,Database!$H:$N,4,0)),"")</f>
        <v/>
      </c>
      <c r="K483" s="55" t="str">
        <f>IFERROR(IF($G483="","",VLOOKUP('Dashboard And Emails Automate'!$G483,Database!$H:$N,5,0)),"")</f>
        <v/>
      </c>
      <c r="L483" s="55" t="str">
        <f>IFERROR(IF($G483="","",VLOOKUP('Dashboard And Emails Automate'!$G483,Database!$H:$N,6,0)),"")</f>
        <v/>
      </c>
      <c r="M483" s="55" t="str">
        <f>IFERROR(IF($G483="","",VLOOKUP('Dashboard And Emails Automate'!$G483,Database!$H:$N,7,0)),"")</f>
        <v/>
      </c>
      <c r="N483" s="55" t="str">
        <f>IFERROR(IF(OR($B483="",$B483="(blank)"),"",VLOOKUP($B483,'Email Marketing Raw Data'!$C:$O,6,0)),"")</f>
        <v/>
      </c>
      <c r="O483" s="55" t="str">
        <f>IFERROR(IF(OR($B483="",$B483="(blank)"),"",VLOOKUP($B483,'Email Marketing Raw Data'!$C:$O,7,0)),"")</f>
        <v/>
      </c>
      <c r="P483" s="55" t="str">
        <f>IFERROR(IF(OR($B483="",$B483="(blank)"),"",VLOOKUP($B483,'Email Marketing Raw Data'!$C:$O,8,0)),"")</f>
        <v/>
      </c>
      <c r="Q483" s="62" t="str">
        <f>IFERROR(IF(OR($B483="",$B483="(blank)"),"",VLOOKUP($B483,'Email Marketing Raw Data'!$C:$O,9,0)),"")</f>
        <v/>
      </c>
    </row>
    <row r="484" spans="4:17" ht="12.75" customHeight="1" x14ac:dyDescent="0.2">
      <c r="D484" s="58" t="str">
        <f>IFERROR(IF(F484&lt;&gt;"pending","",IF(OR($B484="",$B484="(blank)"),"",VLOOKUP($B484,'Email Marketing Raw Data'!$C:$O,10,0))),"")</f>
        <v/>
      </c>
      <c r="E484" s="59" t="str">
        <f>IFERROR(IF(F484&lt;&gt;"pending","",IF(OR($B484="",$B484="(blank)"),"",VLOOKUP($B484,'Email Marketing Raw Data'!$C:$O,11,0))),"")</f>
        <v/>
      </c>
      <c r="F484" s="54" t="str">
        <f>IFERROR(IF(OR($B484="",$B484="(blank)"),"",VLOOKUP($B484,'Email Marketing Raw Data'!$C:$O,13,0)),"")</f>
        <v/>
      </c>
      <c r="G484" s="55" t="str">
        <f>IFERROR(IF(OR($B484="",$B484="(blank)"),"",VLOOKUP($B484,'Email Marketing Raw Data'!$C:$O,4,0)),"")</f>
        <v/>
      </c>
      <c r="H484" s="55" t="str">
        <f>IFERROR(IF(OR($B484="",$B484="(blank)"),"",VLOOKUP($B484,'Email Marketing Raw Data'!$C:$O,5,0)),"")</f>
        <v/>
      </c>
      <c r="I484" s="55" t="str">
        <f>IFERROR(IF($G484="","",VLOOKUP('Dashboard And Emails Automate'!$G484,Database!$H:$N,3,0)),"")</f>
        <v/>
      </c>
      <c r="J484" s="55" t="str">
        <f>IFERROR(IF($G484="","",VLOOKUP('Dashboard And Emails Automate'!$G484,Database!$H:$N,4,0)),"")</f>
        <v/>
      </c>
      <c r="K484" s="55" t="str">
        <f>IFERROR(IF($G484="","",VLOOKUP('Dashboard And Emails Automate'!$G484,Database!$H:$N,5,0)),"")</f>
        <v/>
      </c>
      <c r="L484" s="55" t="str">
        <f>IFERROR(IF($G484="","",VLOOKUP('Dashboard And Emails Automate'!$G484,Database!$H:$N,6,0)),"")</f>
        <v/>
      </c>
      <c r="M484" s="55" t="str">
        <f>IFERROR(IF($G484="","",VLOOKUP('Dashboard And Emails Automate'!$G484,Database!$H:$N,7,0)),"")</f>
        <v/>
      </c>
      <c r="N484" s="55" t="str">
        <f>IFERROR(IF(OR($B484="",$B484="(blank)"),"",VLOOKUP($B484,'Email Marketing Raw Data'!$C:$O,6,0)),"")</f>
        <v/>
      </c>
      <c r="O484" s="55" t="str">
        <f>IFERROR(IF(OR($B484="",$B484="(blank)"),"",VLOOKUP($B484,'Email Marketing Raw Data'!$C:$O,7,0)),"")</f>
        <v/>
      </c>
      <c r="P484" s="55" t="str">
        <f>IFERROR(IF(OR($B484="",$B484="(blank)"),"",VLOOKUP($B484,'Email Marketing Raw Data'!$C:$O,8,0)),"")</f>
        <v/>
      </c>
      <c r="Q484" s="62" t="str">
        <f>IFERROR(IF(OR($B484="",$B484="(blank)"),"",VLOOKUP($B484,'Email Marketing Raw Data'!$C:$O,9,0)),"")</f>
        <v/>
      </c>
    </row>
    <row r="485" spans="4:17" ht="12.75" customHeight="1" x14ac:dyDescent="0.2">
      <c r="D485" s="58" t="str">
        <f>IFERROR(IF(F485&lt;&gt;"pending","",IF(OR($B485="",$B485="(blank)"),"",VLOOKUP($B485,'Email Marketing Raw Data'!$C:$O,10,0))),"")</f>
        <v/>
      </c>
      <c r="E485" s="59" t="str">
        <f>IFERROR(IF(F485&lt;&gt;"pending","",IF(OR($B485="",$B485="(blank)"),"",VLOOKUP($B485,'Email Marketing Raw Data'!$C:$O,11,0))),"")</f>
        <v/>
      </c>
      <c r="F485" s="54" t="str">
        <f>IFERROR(IF(OR($B485="",$B485="(blank)"),"",VLOOKUP($B485,'Email Marketing Raw Data'!$C:$O,13,0)),"")</f>
        <v/>
      </c>
      <c r="G485" s="55" t="str">
        <f>IFERROR(IF(OR($B485="",$B485="(blank)"),"",VLOOKUP($B485,'Email Marketing Raw Data'!$C:$O,4,0)),"")</f>
        <v/>
      </c>
      <c r="H485" s="55" t="str">
        <f>IFERROR(IF(OR($B485="",$B485="(blank)"),"",VLOOKUP($B485,'Email Marketing Raw Data'!$C:$O,5,0)),"")</f>
        <v/>
      </c>
      <c r="I485" s="55" t="str">
        <f>IFERROR(IF($G485="","",VLOOKUP('Dashboard And Emails Automate'!$G485,Database!$H:$N,3,0)),"")</f>
        <v/>
      </c>
      <c r="J485" s="55" t="str">
        <f>IFERROR(IF($G485="","",VLOOKUP('Dashboard And Emails Automate'!$G485,Database!$H:$N,4,0)),"")</f>
        <v/>
      </c>
      <c r="K485" s="55" t="str">
        <f>IFERROR(IF($G485="","",VLOOKUP('Dashboard And Emails Automate'!$G485,Database!$H:$N,5,0)),"")</f>
        <v/>
      </c>
      <c r="L485" s="55" t="str">
        <f>IFERROR(IF($G485="","",VLOOKUP('Dashboard And Emails Automate'!$G485,Database!$H:$N,6,0)),"")</f>
        <v/>
      </c>
      <c r="M485" s="55" t="str">
        <f>IFERROR(IF($G485="","",VLOOKUP('Dashboard And Emails Automate'!$G485,Database!$H:$N,7,0)),"")</f>
        <v/>
      </c>
      <c r="N485" s="55" t="str">
        <f>IFERROR(IF(OR($B485="",$B485="(blank)"),"",VLOOKUP($B485,'Email Marketing Raw Data'!$C:$O,6,0)),"")</f>
        <v/>
      </c>
      <c r="O485" s="55" t="str">
        <f>IFERROR(IF(OR($B485="",$B485="(blank)"),"",VLOOKUP($B485,'Email Marketing Raw Data'!$C:$O,7,0)),"")</f>
        <v/>
      </c>
      <c r="P485" s="55" t="str">
        <f>IFERROR(IF(OR($B485="",$B485="(blank)"),"",VLOOKUP($B485,'Email Marketing Raw Data'!$C:$O,8,0)),"")</f>
        <v/>
      </c>
      <c r="Q485" s="62" t="str">
        <f>IFERROR(IF(OR($B485="",$B485="(blank)"),"",VLOOKUP($B485,'Email Marketing Raw Data'!$C:$O,9,0)),"")</f>
        <v/>
      </c>
    </row>
    <row r="486" spans="4:17" ht="12.75" customHeight="1" x14ac:dyDescent="0.2">
      <c r="D486" s="58" t="str">
        <f>IFERROR(IF(F486&lt;&gt;"pending","",IF(OR($B486="",$B486="(blank)"),"",VLOOKUP($B486,'Email Marketing Raw Data'!$C:$O,10,0))),"")</f>
        <v/>
      </c>
      <c r="E486" s="59" t="str">
        <f>IFERROR(IF(F486&lt;&gt;"pending","",IF(OR($B486="",$B486="(blank)"),"",VLOOKUP($B486,'Email Marketing Raw Data'!$C:$O,11,0))),"")</f>
        <v/>
      </c>
      <c r="F486" s="54" t="str">
        <f>IFERROR(IF(OR($B486="",$B486="(blank)"),"",VLOOKUP($B486,'Email Marketing Raw Data'!$C:$O,13,0)),"")</f>
        <v/>
      </c>
      <c r="G486" s="55" t="str">
        <f>IFERROR(IF(OR($B486="",$B486="(blank)"),"",VLOOKUP($B486,'Email Marketing Raw Data'!$C:$O,4,0)),"")</f>
        <v/>
      </c>
      <c r="H486" s="55" t="str">
        <f>IFERROR(IF(OR($B486="",$B486="(blank)"),"",VLOOKUP($B486,'Email Marketing Raw Data'!$C:$O,5,0)),"")</f>
        <v/>
      </c>
      <c r="I486" s="55" t="str">
        <f>IFERROR(IF($G486="","",VLOOKUP('Dashboard And Emails Automate'!$G486,Database!$H:$N,3,0)),"")</f>
        <v/>
      </c>
      <c r="J486" s="55" t="str">
        <f>IFERROR(IF($G486="","",VLOOKUP('Dashboard And Emails Automate'!$G486,Database!$H:$N,4,0)),"")</f>
        <v/>
      </c>
      <c r="K486" s="55" t="str">
        <f>IFERROR(IF($G486="","",VLOOKUP('Dashboard And Emails Automate'!$G486,Database!$H:$N,5,0)),"")</f>
        <v/>
      </c>
      <c r="L486" s="55" t="str">
        <f>IFERROR(IF($G486="","",VLOOKUP('Dashboard And Emails Automate'!$G486,Database!$H:$N,6,0)),"")</f>
        <v/>
      </c>
      <c r="M486" s="55" t="str">
        <f>IFERROR(IF($G486="","",VLOOKUP('Dashboard And Emails Automate'!$G486,Database!$H:$N,7,0)),"")</f>
        <v/>
      </c>
      <c r="N486" s="55" t="str">
        <f>IFERROR(IF(OR($B486="",$B486="(blank)"),"",VLOOKUP($B486,'Email Marketing Raw Data'!$C:$O,6,0)),"")</f>
        <v/>
      </c>
      <c r="O486" s="55" t="str">
        <f>IFERROR(IF(OR($B486="",$B486="(blank)"),"",VLOOKUP($B486,'Email Marketing Raw Data'!$C:$O,7,0)),"")</f>
        <v/>
      </c>
      <c r="P486" s="55" t="str">
        <f>IFERROR(IF(OR($B486="",$B486="(blank)"),"",VLOOKUP($B486,'Email Marketing Raw Data'!$C:$O,8,0)),"")</f>
        <v/>
      </c>
      <c r="Q486" s="62" t="str">
        <f>IFERROR(IF(OR($B486="",$B486="(blank)"),"",VLOOKUP($B486,'Email Marketing Raw Data'!$C:$O,9,0)),"")</f>
        <v/>
      </c>
    </row>
    <row r="487" spans="4:17" ht="12.75" customHeight="1" x14ac:dyDescent="0.2">
      <c r="D487" s="58" t="str">
        <f>IFERROR(IF(F487&lt;&gt;"pending","",IF(OR($B487="",$B487="(blank)"),"",VLOOKUP($B487,'Email Marketing Raw Data'!$C:$O,10,0))),"")</f>
        <v/>
      </c>
      <c r="E487" s="59" t="str">
        <f>IFERROR(IF(F487&lt;&gt;"pending","",IF(OR($B487="",$B487="(blank)"),"",VLOOKUP($B487,'Email Marketing Raw Data'!$C:$O,11,0))),"")</f>
        <v/>
      </c>
      <c r="F487" s="54" t="str">
        <f>IFERROR(IF(OR($B487="",$B487="(blank)"),"",VLOOKUP($B487,'Email Marketing Raw Data'!$C:$O,13,0)),"")</f>
        <v/>
      </c>
      <c r="G487" s="55" t="str">
        <f>IFERROR(IF(OR($B487="",$B487="(blank)"),"",VLOOKUP($B487,'Email Marketing Raw Data'!$C:$O,4,0)),"")</f>
        <v/>
      </c>
      <c r="H487" s="55" t="str">
        <f>IFERROR(IF(OR($B487="",$B487="(blank)"),"",VLOOKUP($B487,'Email Marketing Raw Data'!$C:$O,5,0)),"")</f>
        <v/>
      </c>
      <c r="I487" s="55" t="str">
        <f>IFERROR(IF($G487="","",VLOOKUP('Dashboard And Emails Automate'!$G487,Database!$H:$N,3,0)),"")</f>
        <v/>
      </c>
      <c r="J487" s="55" t="str">
        <f>IFERROR(IF($G487="","",VLOOKUP('Dashboard And Emails Automate'!$G487,Database!$H:$N,4,0)),"")</f>
        <v/>
      </c>
      <c r="K487" s="55" t="str">
        <f>IFERROR(IF($G487="","",VLOOKUP('Dashboard And Emails Automate'!$G487,Database!$H:$N,5,0)),"")</f>
        <v/>
      </c>
      <c r="L487" s="55" t="str">
        <f>IFERROR(IF($G487="","",VLOOKUP('Dashboard And Emails Automate'!$G487,Database!$H:$N,6,0)),"")</f>
        <v/>
      </c>
      <c r="M487" s="55" t="str">
        <f>IFERROR(IF($G487="","",VLOOKUP('Dashboard And Emails Automate'!$G487,Database!$H:$N,7,0)),"")</f>
        <v/>
      </c>
      <c r="N487" s="55" t="str">
        <f>IFERROR(IF(OR($B487="",$B487="(blank)"),"",VLOOKUP($B487,'Email Marketing Raw Data'!$C:$O,6,0)),"")</f>
        <v/>
      </c>
      <c r="O487" s="55" t="str">
        <f>IFERROR(IF(OR($B487="",$B487="(blank)"),"",VLOOKUP($B487,'Email Marketing Raw Data'!$C:$O,7,0)),"")</f>
        <v/>
      </c>
      <c r="P487" s="55" t="str">
        <f>IFERROR(IF(OR($B487="",$B487="(blank)"),"",VLOOKUP($B487,'Email Marketing Raw Data'!$C:$O,8,0)),"")</f>
        <v/>
      </c>
      <c r="Q487" s="62" t="str">
        <f>IFERROR(IF(OR($B487="",$B487="(blank)"),"",VLOOKUP($B487,'Email Marketing Raw Data'!$C:$O,9,0)),"")</f>
        <v/>
      </c>
    </row>
    <row r="488" spans="4:17" ht="12.75" customHeight="1" x14ac:dyDescent="0.2">
      <c r="D488" s="58" t="str">
        <f>IFERROR(IF(F488&lt;&gt;"pending","",IF(OR($B488="",$B488="(blank)"),"",VLOOKUP($B488,'Email Marketing Raw Data'!$C:$O,10,0))),"")</f>
        <v/>
      </c>
      <c r="E488" s="59" t="str">
        <f>IFERROR(IF(F488&lt;&gt;"pending","",IF(OR($B488="",$B488="(blank)"),"",VLOOKUP($B488,'Email Marketing Raw Data'!$C:$O,11,0))),"")</f>
        <v/>
      </c>
      <c r="F488" s="54" t="str">
        <f>IFERROR(IF(OR($B488="",$B488="(blank)"),"",VLOOKUP($B488,'Email Marketing Raw Data'!$C:$O,13,0)),"")</f>
        <v/>
      </c>
      <c r="G488" s="55" t="str">
        <f>IFERROR(IF(OR($B488="",$B488="(blank)"),"",VLOOKUP($B488,'Email Marketing Raw Data'!$C:$O,4,0)),"")</f>
        <v/>
      </c>
      <c r="H488" s="55" t="str">
        <f>IFERROR(IF(OR($B488="",$B488="(blank)"),"",VLOOKUP($B488,'Email Marketing Raw Data'!$C:$O,5,0)),"")</f>
        <v/>
      </c>
      <c r="I488" s="55" t="str">
        <f>IFERROR(IF($G488="","",VLOOKUP('Dashboard And Emails Automate'!$G488,Database!$H:$N,3,0)),"")</f>
        <v/>
      </c>
      <c r="J488" s="55" t="str">
        <f>IFERROR(IF($G488="","",VLOOKUP('Dashboard And Emails Automate'!$G488,Database!$H:$N,4,0)),"")</f>
        <v/>
      </c>
      <c r="K488" s="55" t="str">
        <f>IFERROR(IF($G488="","",VLOOKUP('Dashboard And Emails Automate'!$G488,Database!$H:$N,5,0)),"")</f>
        <v/>
      </c>
      <c r="L488" s="55" t="str">
        <f>IFERROR(IF($G488="","",VLOOKUP('Dashboard And Emails Automate'!$G488,Database!$H:$N,6,0)),"")</f>
        <v/>
      </c>
      <c r="M488" s="55" t="str">
        <f>IFERROR(IF($G488="","",VLOOKUP('Dashboard And Emails Automate'!$G488,Database!$H:$N,7,0)),"")</f>
        <v/>
      </c>
      <c r="N488" s="55" t="str">
        <f>IFERROR(IF(OR($B488="",$B488="(blank)"),"",VLOOKUP($B488,'Email Marketing Raw Data'!$C:$O,6,0)),"")</f>
        <v/>
      </c>
      <c r="O488" s="55" t="str">
        <f>IFERROR(IF(OR($B488="",$B488="(blank)"),"",VLOOKUP($B488,'Email Marketing Raw Data'!$C:$O,7,0)),"")</f>
        <v/>
      </c>
      <c r="P488" s="55" t="str">
        <f>IFERROR(IF(OR($B488="",$B488="(blank)"),"",VLOOKUP($B488,'Email Marketing Raw Data'!$C:$O,8,0)),"")</f>
        <v/>
      </c>
      <c r="Q488" s="62" t="str">
        <f>IFERROR(IF(OR($B488="",$B488="(blank)"),"",VLOOKUP($B488,'Email Marketing Raw Data'!$C:$O,9,0)),"")</f>
        <v/>
      </c>
    </row>
    <row r="489" spans="4:17" ht="12.75" customHeight="1" x14ac:dyDescent="0.2">
      <c r="D489" s="58" t="str">
        <f>IFERROR(IF(F489&lt;&gt;"pending","",IF(OR($B489="",$B489="(blank)"),"",VLOOKUP($B489,'Email Marketing Raw Data'!$C:$O,10,0))),"")</f>
        <v/>
      </c>
      <c r="E489" s="59" t="str">
        <f>IFERROR(IF(F489&lt;&gt;"pending","",IF(OR($B489="",$B489="(blank)"),"",VLOOKUP($B489,'Email Marketing Raw Data'!$C:$O,11,0))),"")</f>
        <v/>
      </c>
      <c r="F489" s="54" t="str">
        <f>IFERROR(IF(OR($B489="",$B489="(blank)"),"",VLOOKUP($B489,'Email Marketing Raw Data'!$C:$O,13,0)),"")</f>
        <v/>
      </c>
      <c r="G489" s="55" t="str">
        <f>IFERROR(IF(OR($B489="",$B489="(blank)"),"",VLOOKUP($B489,'Email Marketing Raw Data'!$C:$O,4,0)),"")</f>
        <v/>
      </c>
      <c r="H489" s="55" t="str">
        <f>IFERROR(IF(OR($B489="",$B489="(blank)"),"",VLOOKUP($B489,'Email Marketing Raw Data'!$C:$O,5,0)),"")</f>
        <v/>
      </c>
      <c r="I489" s="55" t="str">
        <f>IFERROR(IF($G489="","",VLOOKUP('Dashboard And Emails Automate'!$G489,Database!$H:$N,3,0)),"")</f>
        <v/>
      </c>
      <c r="J489" s="55" t="str">
        <f>IFERROR(IF($G489="","",VLOOKUP('Dashboard And Emails Automate'!$G489,Database!$H:$N,4,0)),"")</f>
        <v/>
      </c>
      <c r="K489" s="55" t="str">
        <f>IFERROR(IF($G489="","",VLOOKUP('Dashboard And Emails Automate'!$G489,Database!$H:$N,5,0)),"")</f>
        <v/>
      </c>
      <c r="L489" s="55" t="str">
        <f>IFERROR(IF($G489="","",VLOOKUP('Dashboard And Emails Automate'!$G489,Database!$H:$N,6,0)),"")</f>
        <v/>
      </c>
      <c r="M489" s="55" t="str">
        <f>IFERROR(IF($G489="","",VLOOKUP('Dashboard And Emails Automate'!$G489,Database!$H:$N,7,0)),"")</f>
        <v/>
      </c>
      <c r="N489" s="55" t="str">
        <f>IFERROR(IF(OR($B489="",$B489="(blank)"),"",VLOOKUP($B489,'Email Marketing Raw Data'!$C:$O,6,0)),"")</f>
        <v/>
      </c>
      <c r="O489" s="55" t="str">
        <f>IFERROR(IF(OR($B489="",$B489="(blank)"),"",VLOOKUP($B489,'Email Marketing Raw Data'!$C:$O,7,0)),"")</f>
        <v/>
      </c>
      <c r="P489" s="55" t="str">
        <f>IFERROR(IF(OR($B489="",$B489="(blank)"),"",VLOOKUP($B489,'Email Marketing Raw Data'!$C:$O,8,0)),"")</f>
        <v/>
      </c>
      <c r="Q489" s="62" t="str">
        <f>IFERROR(IF(OR($B489="",$B489="(blank)"),"",VLOOKUP($B489,'Email Marketing Raw Data'!$C:$O,9,0)),"")</f>
        <v/>
      </c>
    </row>
    <row r="490" spans="4:17" ht="12.75" customHeight="1" x14ac:dyDescent="0.2">
      <c r="D490" s="58" t="str">
        <f>IFERROR(IF(F490&lt;&gt;"pending","",IF(OR($B490="",$B490="(blank)"),"",VLOOKUP($B490,'Email Marketing Raw Data'!$C:$O,10,0))),"")</f>
        <v/>
      </c>
      <c r="E490" s="59" t="str">
        <f>IFERROR(IF(F490&lt;&gt;"pending","",IF(OR($B490="",$B490="(blank)"),"",VLOOKUP($B490,'Email Marketing Raw Data'!$C:$O,11,0))),"")</f>
        <v/>
      </c>
      <c r="F490" s="54" t="str">
        <f>IFERROR(IF(OR($B490="",$B490="(blank)"),"",VLOOKUP($B490,'Email Marketing Raw Data'!$C:$O,13,0)),"")</f>
        <v/>
      </c>
      <c r="G490" s="55" t="str">
        <f>IFERROR(IF(OR($B490="",$B490="(blank)"),"",VLOOKUP($B490,'Email Marketing Raw Data'!$C:$O,4,0)),"")</f>
        <v/>
      </c>
      <c r="H490" s="55" t="str">
        <f>IFERROR(IF(OR($B490="",$B490="(blank)"),"",VLOOKUP($B490,'Email Marketing Raw Data'!$C:$O,5,0)),"")</f>
        <v/>
      </c>
      <c r="I490" s="55" t="str">
        <f>IFERROR(IF($G490="","",VLOOKUP('Dashboard And Emails Automate'!$G490,Database!$H:$N,3,0)),"")</f>
        <v/>
      </c>
      <c r="J490" s="55" t="str">
        <f>IFERROR(IF($G490="","",VLOOKUP('Dashboard And Emails Automate'!$G490,Database!$H:$N,4,0)),"")</f>
        <v/>
      </c>
      <c r="K490" s="55" t="str">
        <f>IFERROR(IF($G490="","",VLOOKUP('Dashboard And Emails Automate'!$G490,Database!$H:$N,5,0)),"")</f>
        <v/>
      </c>
      <c r="L490" s="55" t="str">
        <f>IFERROR(IF($G490="","",VLOOKUP('Dashboard And Emails Automate'!$G490,Database!$H:$N,6,0)),"")</f>
        <v/>
      </c>
      <c r="M490" s="55" t="str">
        <f>IFERROR(IF($G490="","",VLOOKUP('Dashboard And Emails Automate'!$G490,Database!$H:$N,7,0)),"")</f>
        <v/>
      </c>
      <c r="N490" s="55" t="str">
        <f>IFERROR(IF(OR($B490="",$B490="(blank)"),"",VLOOKUP($B490,'Email Marketing Raw Data'!$C:$O,6,0)),"")</f>
        <v/>
      </c>
      <c r="O490" s="55" t="str">
        <f>IFERROR(IF(OR($B490="",$B490="(blank)"),"",VLOOKUP($B490,'Email Marketing Raw Data'!$C:$O,7,0)),"")</f>
        <v/>
      </c>
      <c r="P490" s="55" t="str">
        <f>IFERROR(IF(OR($B490="",$B490="(blank)"),"",VLOOKUP($B490,'Email Marketing Raw Data'!$C:$O,8,0)),"")</f>
        <v/>
      </c>
      <c r="Q490" s="62" t="str">
        <f>IFERROR(IF(OR($B490="",$B490="(blank)"),"",VLOOKUP($B490,'Email Marketing Raw Data'!$C:$O,9,0)),"")</f>
        <v/>
      </c>
    </row>
    <row r="491" spans="4:17" ht="12.75" customHeight="1" x14ac:dyDescent="0.2">
      <c r="D491" s="58" t="str">
        <f>IFERROR(IF(F491&lt;&gt;"pending","",IF(OR($B491="",$B491="(blank)"),"",VLOOKUP($B491,'Email Marketing Raw Data'!$C:$O,10,0))),"")</f>
        <v/>
      </c>
      <c r="E491" s="59" t="str">
        <f>IFERROR(IF(F491&lt;&gt;"pending","",IF(OR($B491="",$B491="(blank)"),"",VLOOKUP($B491,'Email Marketing Raw Data'!$C:$O,11,0))),"")</f>
        <v/>
      </c>
      <c r="F491" s="54" t="str">
        <f>IFERROR(IF(OR($B491="",$B491="(blank)"),"",VLOOKUP($B491,'Email Marketing Raw Data'!$C:$O,13,0)),"")</f>
        <v/>
      </c>
      <c r="G491" s="55" t="str">
        <f>IFERROR(IF(OR($B491="",$B491="(blank)"),"",VLOOKUP($B491,'Email Marketing Raw Data'!$C:$O,4,0)),"")</f>
        <v/>
      </c>
      <c r="H491" s="55" t="str">
        <f>IFERROR(IF(OR($B491="",$B491="(blank)"),"",VLOOKUP($B491,'Email Marketing Raw Data'!$C:$O,5,0)),"")</f>
        <v/>
      </c>
      <c r="I491" s="55" t="str">
        <f>IFERROR(IF($G491="","",VLOOKUP('Dashboard And Emails Automate'!$G491,Database!$H:$N,3,0)),"")</f>
        <v/>
      </c>
      <c r="J491" s="55" t="str">
        <f>IFERROR(IF($G491="","",VLOOKUP('Dashboard And Emails Automate'!$G491,Database!$H:$N,4,0)),"")</f>
        <v/>
      </c>
      <c r="K491" s="55" t="str">
        <f>IFERROR(IF($G491="","",VLOOKUP('Dashboard And Emails Automate'!$G491,Database!$H:$N,5,0)),"")</f>
        <v/>
      </c>
      <c r="L491" s="55" t="str">
        <f>IFERROR(IF($G491="","",VLOOKUP('Dashboard And Emails Automate'!$G491,Database!$H:$N,6,0)),"")</f>
        <v/>
      </c>
      <c r="M491" s="55" t="str">
        <f>IFERROR(IF($G491="","",VLOOKUP('Dashboard And Emails Automate'!$G491,Database!$H:$N,7,0)),"")</f>
        <v/>
      </c>
      <c r="N491" s="55" t="str">
        <f>IFERROR(IF(OR($B491="",$B491="(blank)"),"",VLOOKUP($B491,'Email Marketing Raw Data'!$C:$O,6,0)),"")</f>
        <v/>
      </c>
      <c r="O491" s="55" t="str">
        <f>IFERROR(IF(OR($B491="",$B491="(blank)"),"",VLOOKUP($B491,'Email Marketing Raw Data'!$C:$O,7,0)),"")</f>
        <v/>
      </c>
      <c r="P491" s="55" t="str">
        <f>IFERROR(IF(OR($B491="",$B491="(blank)"),"",VLOOKUP($B491,'Email Marketing Raw Data'!$C:$O,8,0)),"")</f>
        <v/>
      </c>
      <c r="Q491" s="62" t="str">
        <f>IFERROR(IF(OR($B491="",$B491="(blank)"),"",VLOOKUP($B491,'Email Marketing Raw Data'!$C:$O,9,0)),"")</f>
        <v/>
      </c>
    </row>
    <row r="492" spans="4:17" ht="12.75" customHeight="1" x14ac:dyDescent="0.2">
      <c r="D492" s="58" t="str">
        <f>IFERROR(IF(F492&lt;&gt;"pending","",IF(OR($B492="",$B492="(blank)"),"",VLOOKUP($B492,'Email Marketing Raw Data'!$C:$O,10,0))),"")</f>
        <v/>
      </c>
      <c r="E492" s="59" t="str">
        <f>IFERROR(IF(F492&lt;&gt;"pending","",IF(OR($B492="",$B492="(blank)"),"",VLOOKUP($B492,'Email Marketing Raw Data'!$C:$O,11,0))),"")</f>
        <v/>
      </c>
      <c r="F492" s="54" t="str">
        <f>IFERROR(IF(OR($B492="",$B492="(blank)"),"",VLOOKUP($B492,'Email Marketing Raw Data'!$C:$O,13,0)),"")</f>
        <v/>
      </c>
      <c r="G492" s="55" t="str">
        <f>IFERROR(IF(OR($B492="",$B492="(blank)"),"",VLOOKUP($B492,'Email Marketing Raw Data'!$C:$O,4,0)),"")</f>
        <v/>
      </c>
      <c r="H492" s="55" t="str">
        <f>IFERROR(IF(OR($B492="",$B492="(blank)"),"",VLOOKUP($B492,'Email Marketing Raw Data'!$C:$O,5,0)),"")</f>
        <v/>
      </c>
      <c r="I492" s="55" t="str">
        <f>IFERROR(IF($G492="","",VLOOKUP('Dashboard And Emails Automate'!$G492,Database!$H:$N,3,0)),"")</f>
        <v/>
      </c>
      <c r="J492" s="55" t="str">
        <f>IFERROR(IF($G492="","",VLOOKUP('Dashboard And Emails Automate'!$G492,Database!$H:$N,4,0)),"")</f>
        <v/>
      </c>
      <c r="K492" s="55" t="str">
        <f>IFERROR(IF($G492="","",VLOOKUP('Dashboard And Emails Automate'!$G492,Database!$H:$N,5,0)),"")</f>
        <v/>
      </c>
      <c r="L492" s="55" t="str">
        <f>IFERROR(IF($G492="","",VLOOKUP('Dashboard And Emails Automate'!$G492,Database!$H:$N,6,0)),"")</f>
        <v/>
      </c>
      <c r="M492" s="55" t="str">
        <f>IFERROR(IF($G492="","",VLOOKUP('Dashboard And Emails Automate'!$G492,Database!$H:$N,7,0)),"")</f>
        <v/>
      </c>
      <c r="N492" s="55" t="str">
        <f>IFERROR(IF(OR($B492="",$B492="(blank)"),"",VLOOKUP($B492,'Email Marketing Raw Data'!$C:$O,6,0)),"")</f>
        <v/>
      </c>
      <c r="O492" s="55" t="str">
        <f>IFERROR(IF(OR($B492="",$B492="(blank)"),"",VLOOKUP($B492,'Email Marketing Raw Data'!$C:$O,7,0)),"")</f>
        <v/>
      </c>
      <c r="P492" s="55" t="str">
        <f>IFERROR(IF(OR($B492="",$B492="(blank)"),"",VLOOKUP($B492,'Email Marketing Raw Data'!$C:$O,8,0)),"")</f>
        <v/>
      </c>
      <c r="Q492" s="62" t="str">
        <f>IFERROR(IF(OR($B492="",$B492="(blank)"),"",VLOOKUP($B492,'Email Marketing Raw Data'!$C:$O,9,0)),"")</f>
        <v/>
      </c>
    </row>
    <row r="493" spans="4:17" ht="12.75" customHeight="1" x14ac:dyDescent="0.2">
      <c r="D493" s="58" t="str">
        <f>IFERROR(IF(F493&lt;&gt;"pending","",IF(OR($B493="",$B493="(blank)"),"",VLOOKUP($B493,'Email Marketing Raw Data'!$C:$O,10,0))),"")</f>
        <v/>
      </c>
      <c r="E493" s="59" t="str">
        <f>IFERROR(IF(F493&lt;&gt;"pending","",IF(OR($B493="",$B493="(blank)"),"",VLOOKUP($B493,'Email Marketing Raw Data'!$C:$O,11,0))),"")</f>
        <v/>
      </c>
      <c r="F493" s="54" t="str">
        <f>IFERROR(IF(OR($B493="",$B493="(blank)"),"",VLOOKUP($B493,'Email Marketing Raw Data'!$C:$O,13,0)),"")</f>
        <v/>
      </c>
      <c r="G493" s="55" t="str">
        <f>IFERROR(IF(OR($B493="",$B493="(blank)"),"",VLOOKUP($B493,'Email Marketing Raw Data'!$C:$O,4,0)),"")</f>
        <v/>
      </c>
      <c r="H493" s="55" t="str">
        <f>IFERROR(IF(OR($B493="",$B493="(blank)"),"",VLOOKUP($B493,'Email Marketing Raw Data'!$C:$O,5,0)),"")</f>
        <v/>
      </c>
      <c r="I493" s="55" t="str">
        <f>IFERROR(IF($G493="","",VLOOKUP('Dashboard And Emails Automate'!$G493,Database!$H:$N,3,0)),"")</f>
        <v/>
      </c>
      <c r="J493" s="55" t="str">
        <f>IFERROR(IF($G493="","",VLOOKUP('Dashboard And Emails Automate'!$G493,Database!$H:$N,4,0)),"")</f>
        <v/>
      </c>
      <c r="K493" s="55" t="str">
        <f>IFERROR(IF($G493="","",VLOOKUP('Dashboard And Emails Automate'!$G493,Database!$H:$N,5,0)),"")</f>
        <v/>
      </c>
      <c r="L493" s="55" t="str">
        <f>IFERROR(IF($G493="","",VLOOKUP('Dashboard And Emails Automate'!$G493,Database!$H:$N,6,0)),"")</f>
        <v/>
      </c>
      <c r="M493" s="55" t="str">
        <f>IFERROR(IF($G493="","",VLOOKUP('Dashboard And Emails Automate'!$G493,Database!$H:$N,7,0)),"")</f>
        <v/>
      </c>
      <c r="N493" s="55" t="str">
        <f>IFERROR(IF(OR($B493="",$B493="(blank)"),"",VLOOKUP($B493,'Email Marketing Raw Data'!$C:$O,6,0)),"")</f>
        <v/>
      </c>
      <c r="O493" s="55" t="str">
        <f>IFERROR(IF(OR($B493="",$B493="(blank)"),"",VLOOKUP($B493,'Email Marketing Raw Data'!$C:$O,7,0)),"")</f>
        <v/>
      </c>
      <c r="P493" s="55" t="str">
        <f>IFERROR(IF(OR($B493="",$B493="(blank)"),"",VLOOKUP($B493,'Email Marketing Raw Data'!$C:$O,8,0)),"")</f>
        <v/>
      </c>
      <c r="Q493" s="62" t="str">
        <f>IFERROR(IF(OR($B493="",$B493="(blank)"),"",VLOOKUP($B493,'Email Marketing Raw Data'!$C:$O,9,0)),"")</f>
        <v/>
      </c>
    </row>
    <row r="494" spans="4:17" ht="12.75" customHeight="1" x14ac:dyDescent="0.2">
      <c r="D494" s="58" t="str">
        <f>IFERROR(IF(F494&lt;&gt;"pending","",IF(OR($B494="",$B494="(blank)"),"",VLOOKUP($B494,'Email Marketing Raw Data'!$C:$O,10,0))),"")</f>
        <v/>
      </c>
      <c r="E494" s="59" t="str">
        <f>IFERROR(IF(F494&lt;&gt;"pending","",IF(OR($B494="",$B494="(blank)"),"",VLOOKUP($B494,'Email Marketing Raw Data'!$C:$O,11,0))),"")</f>
        <v/>
      </c>
      <c r="F494" s="54" t="str">
        <f>IFERROR(IF(OR($B494="",$B494="(blank)"),"",VLOOKUP($B494,'Email Marketing Raw Data'!$C:$O,13,0)),"")</f>
        <v/>
      </c>
      <c r="G494" s="55" t="str">
        <f>IFERROR(IF(OR($B494="",$B494="(blank)"),"",VLOOKUP($B494,'Email Marketing Raw Data'!$C:$O,4,0)),"")</f>
        <v/>
      </c>
      <c r="H494" s="55" t="str">
        <f>IFERROR(IF(OR($B494="",$B494="(blank)"),"",VLOOKUP($B494,'Email Marketing Raw Data'!$C:$O,5,0)),"")</f>
        <v/>
      </c>
      <c r="I494" s="55" t="str">
        <f>IFERROR(IF($G494="","",VLOOKUP('Dashboard And Emails Automate'!$G494,Database!$H:$N,3,0)),"")</f>
        <v/>
      </c>
      <c r="J494" s="55" t="str">
        <f>IFERROR(IF($G494="","",VLOOKUP('Dashboard And Emails Automate'!$G494,Database!$H:$N,4,0)),"")</f>
        <v/>
      </c>
      <c r="K494" s="55" t="str">
        <f>IFERROR(IF($G494="","",VLOOKUP('Dashboard And Emails Automate'!$G494,Database!$H:$N,5,0)),"")</f>
        <v/>
      </c>
      <c r="L494" s="55" t="str">
        <f>IFERROR(IF($G494="","",VLOOKUP('Dashboard And Emails Automate'!$G494,Database!$H:$N,6,0)),"")</f>
        <v/>
      </c>
      <c r="M494" s="55" t="str">
        <f>IFERROR(IF($G494="","",VLOOKUP('Dashboard And Emails Automate'!$G494,Database!$H:$N,7,0)),"")</f>
        <v/>
      </c>
      <c r="N494" s="55" t="str">
        <f>IFERROR(IF(OR($B494="",$B494="(blank)"),"",VLOOKUP($B494,'Email Marketing Raw Data'!$C:$O,6,0)),"")</f>
        <v/>
      </c>
      <c r="O494" s="55" t="str">
        <f>IFERROR(IF(OR($B494="",$B494="(blank)"),"",VLOOKUP($B494,'Email Marketing Raw Data'!$C:$O,7,0)),"")</f>
        <v/>
      </c>
      <c r="P494" s="55" t="str">
        <f>IFERROR(IF(OR($B494="",$B494="(blank)"),"",VLOOKUP($B494,'Email Marketing Raw Data'!$C:$O,8,0)),"")</f>
        <v/>
      </c>
      <c r="Q494" s="62" t="str">
        <f>IFERROR(IF(OR($B494="",$B494="(blank)"),"",VLOOKUP($B494,'Email Marketing Raw Data'!$C:$O,9,0)),"")</f>
        <v/>
      </c>
    </row>
    <row r="495" spans="4:17" ht="12.75" customHeight="1" x14ac:dyDescent="0.2">
      <c r="D495" s="58" t="str">
        <f>IFERROR(IF(F495&lt;&gt;"pending","",IF(OR($B495="",$B495="(blank)"),"",VLOOKUP($B495,'Email Marketing Raw Data'!$C:$O,10,0))),"")</f>
        <v/>
      </c>
      <c r="E495" s="59" t="str">
        <f>IFERROR(IF(F495&lt;&gt;"pending","",IF(OR($B495="",$B495="(blank)"),"",VLOOKUP($B495,'Email Marketing Raw Data'!$C:$O,11,0))),"")</f>
        <v/>
      </c>
      <c r="F495" s="54" t="str">
        <f>IFERROR(IF(OR($B495="",$B495="(blank)"),"",VLOOKUP($B495,'Email Marketing Raw Data'!$C:$O,13,0)),"")</f>
        <v/>
      </c>
      <c r="G495" s="55" t="str">
        <f>IFERROR(IF(OR($B495="",$B495="(blank)"),"",VLOOKUP($B495,'Email Marketing Raw Data'!$C:$O,4,0)),"")</f>
        <v/>
      </c>
      <c r="H495" s="55" t="str">
        <f>IFERROR(IF(OR($B495="",$B495="(blank)"),"",VLOOKUP($B495,'Email Marketing Raw Data'!$C:$O,5,0)),"")</f>
        <v/>
      </c>
      <c r="I495" s="55" t="str">
        <f>IFERROR(IF($G495="","",VLOOKUP('Dashboard And Emails Automate'!$G495,Database!$H:$N,3,0)),"")</f>
        <v/>
      </c>
      <c r="J495" s="55" t="str">
        <f>IFERROR(IF($G495="","",VLOOKUP('Dashboard And Emails Automate'!$G495,Database!$H:$N,4,0)),"")</f>
        <v/>
      </c>
      <c r="K495" s="55" t="str">
        <f>IFERROR(IF($G495="","",VLOOKUP('Dashboard And Emails Automate'!$G495,Database!$H:$N,5,0)),"")</f>
        <v/>
      </c>
      <c r="L495" s="55" t="str">
        <f>IFERROR(IF($G495="","",VLOOKUP('Dashboard And Emails Automate'!$G495,Database!$H:$N,6,0)),"")</f>
        <v/>
      </c>
      <c r="M495" s="55" t="str">
        <f>IFERROR(IF($G495="","",VLOOKUP('Dashboard And Emails Automate'!$G495,Database!$H:$N,7,0)),"")</f>
        <v/>
      </c>
      <c r="N495" s="55" t="str">
        <f>IFERROR(IF(OR($B495="",$B495="(blank)"),"",VLOOKUP($B495,'Email Marketing Raw Data'!$C:$O,6,0)),"")</f>
        <v/>
      </c>
      <c r="O495" s="55" t="str">
        <f>IFERROR(IF(OR($B495="",$B495="(blank)"),"",VLOOKUP($B495,'Email Marketing Raw Data'!$C:$O,7,0)),"")</f>
        <v/>
      </c>
      <c r="P495" s="55" t="str">
        <f>IFERROR(IF(OR($B495="",$B495="(blank)"),"",VLOOKUP($B495,'Email Marketing Raw Data'!$C:$O,8,0)),"")</f>
        <v/>
      </c>
      <c r="Q495" s="62" t="str">
        <f>IFERROR(IF(OR($B495="",$B495="(blank)"),"",VLOOKUP($B495,'Email Marketing Raw Data'!$C:$O,9,0)),"")</f>
        <v/>
      </c>
    </row>
    <row r="496" spans="4:17" ht="12.75" customHeight="1" x14ac:dyDescent="0.2">
      <c r="D496" s="58" t="str">
        <f>IFERROR(IF(F496&lt;&gt;"pending","",IF(OR($B496="",$B496="(blank)"),"",VLOOKUP($B496,'Email Marketing Raw Data'!$C:$O,10,0))),"")</f>
        <v/>
      </c>
      <c r="E496" s="59" t="str">
        <f>IFERROR(IF(F496&lt;&gt;"pending","",IF(OR($B496="",$B496="(blank)"),"",VLOOKUP($B496,'Email Marketing Raw Data'!$C:$O,11,0))),"")</f>
        <v/>
      </c>
      <c r="F496" s="54" t="str">
        <f>IFERROR(IF(OR($B496="",$B496="(blank)"),"",VLOOKUP($B496,'Email Marketing Raw Data'!$C:$O,13,0)),"")</f>
        <v/>
      </c>
      <c r="G496" s="55" t="str">
        <f>IFERROR(IF(OR($B496="",$B496="(blank)"),"",VLOOKUP($B496,'Email Marketing Raw Data'!$C:$O,4,0)),"")</f>
        <v/>
      </c>
      <c r="H496" s="55" t="str">
        <f>IFERROR(IF(OR($B496="",$B496="(blank)"),"",VLOOKUP($B496,'Email Marketing Raw Data'!$C:$O,5,0)),"")</f>
        <v/>
      </c>
      <c r="I496" s="55" t="str">
        <f>IFERROR(IF($G496="","",VLOOKUP('Dashboard And Emails Automate'!$G496,Database!$H:$N,3,0)),"")</f>
        <v/>
      </c>
      <c r="J496" s="55" t="str">
        <f>IFERROR(IF($G496="","",VLOOKUP('Dashboard And Emails Automate'!$G496,Database!$H:$N,4,0)),"")</f>
        <v/>
      </c>
      <c r="K496" s="55" t="str">
        <f>IFERROR(IF($G496="","",VLOOKUP('Dashboard And Emails Automate'!$G496,Database!$H:$N,5,0)),"")</f>
        <v/>
      </c>
      <c r="L496" s="55" t="str">
        <f>IFERROR(IF($G496="","",VLOOKUP('Dashboard And Emails Automate'!$G496,Database!$H:$N,6,0)),"")</f>
        <v/>
      </c>
      <c r="M496" s="55" t="str">
        <f>IFERROR(IF($G496="","",VLOOKUP('Dashboard And Emails Automate'!$G496,Database!$H:$N,7,0)),"")</f>
        <v/>
      </c>
      <c r="N496" s="55" t="str">
        <f>IFERROR(IF(OR($B496="",$B496="(blank)"),"",VLOOKUP($B496,'Email Marketing Raw Data'!$C:$O,6,0)),"")</f>
        <v/>
      </c>
      <c r="O496" s="55" t="str">
        <f>IFERROR(IF(OR($B496="",$B496="(blank)"),"",VLOOKUP($B496,'Email Marketing Raw Data'!$C:$O,7,0)),"")</f>
        <v/>
      </c>
      <c r="P496" s="55" t="str">
        <f>IFERROR(IF(OR($B496="",$B496="(blank)"),"",VLOOKUP($B496,'Email Marketing Raw Data'!$C:$O,8,0)),"")</f>
        <v/>
      </c>
      <c r="Q496" s="62" t="str">
        <f>IFERROR(IF(OR($B496="",$B496="(blank)"),"",VLOOKUP($B496,'Email Marketing Raw Data'!$C:$O,9,0)),"")</f>
        <v/>
      </c>
    </row>
    <row r="497" spans="4:17" ht="12.75" customHeight="1" x14ac:dyDescent="0.2">
      <c r="D497" s="58" t="str">
        <f>IFERROR(IF(F497&lt;&gt;"pending","",IF(OR($B497="",$B497="(blank)"),"",VLOOKUP($B497,'Email Marketing Raw Data'!$C:$O,10,0))),"")</f>
        <v/>
      </c>
      <c r="E497" s="59" t="str">
        <f>IFERROR(IF(F497&lt;&gt;"pending","",IF(OR($B497="",$B497="(blank)"),"",VLOOKUP($B497,'Email Marketing Raw Data'!$C:$O,11,0))),"")</f>
        <v/>
      </c>
      <c r="F497" s="54" t="str">
        <f>IFERROR(IF(OR($B497="",$B497="(blank)"),"",VLOOKUP($B497,'Email Marketing Raw Data'!$C:$O,13,0)),"")</f>
        <v/>
      </c>
      <c r="G497" s="55" t="str">
        <f>IFERROR(IF(OR($B497="",$B497="(blank)"),"",VLOOKUP($B497,'Email Marketing Raw Data'!$C:$O,4,0)),"")</f>
        <v/>
      </c>
      <c r="H497" s="55" t="str">
        <f>IFERROR(IF(OR($B497="",$B497="(blank)"),"",VLOOKUP($B497,'Email Marketing Raw Data'!$C:$O,5,0)),"")</f>
        <v/>
      </c>
      <c r="I497" s="55" t="str">
        <f>IFERROR(IF($G497="","",VLOOKUP('Dashboard And Emails Automate'!$G497,Database!$H:$N,3,0)),"")</f>
        <v/>
      </c>
      <c r="J497" s="55" t="str">
        <f>IFERROR(IF($G497="","",VLOOKUP('Dashboard And Emails Automate'!$G497,Database!$H:$N,4,0)),"")</f>
        <v/>
      </c>
      <c r="K497" s="55" t="str">
        <f>IFERROR(IF($G497="","",VLOOKUP('Dashboard And Emails Automate'!$G497,Database!$H:$N,5,0)),"")</f>
        <v/>
      </c>
      <c r="L497" s="55" t="str">
        <f>IFERROR(IF($G497="","",VLOOKUP('Dashboard And Emails Automate'!$G497,Database!$H:$N,6,0)),"")</f>
        <v/>
      </c>
      <c r="M497" s="55" t="str">
        <f>IFERROR(IF($G497="","",VLOOKUP('Dashboard And Emails Automate'!$G497,Database!$H:$N,7,0)),"")</f>
        <v/>
      </c>
      <c r="N497" s="55" t="str">
        <f>IFERROR(IF(OR($B497="",$B497="(blank)"),"",VLOOKUP($B497,'Email Marketing Raw Data'!$C:$O,6,0)),"")</f>
        <v/>
      </c>
      <c r="O497" s="55" t="str">
        <f>IFERROR(IF(OR($B497="",$B497="(blank)"),"",VLOOKUP($B497,'Email Marketing Raw Data'!$C:$O,7,0)),"")</f>
        <v/>
      </c>
      <c r="P497" s="55" t="str">
        <f>IFERROR(IF(OR($B497="",$B497="(blank)"),"",VLOOKUP($B497,'Email Marketing Raw Data'!$C:$O,8,0)),"")</f>
        <v/>
      </c>
      <c r="Q497" s="62" t="str">
        <f>IFERROR(IF(OR($B497="",$B497="(blank)"),"",VLOOKUP($B497,'Email Marketing Raw Data'!$C:$O,9,0)),"")</f>
        <v/>
      </c>
    </row>
    <row r="498" spans="4:17" ht="12.75" customHeight="1" x14ac:dyDescent="0.2">
      <c r="D498" s="58" t="str">
        <f>IFERROR(IF(F498&lt;&gt;"pending","",IF(OR($B498="",$B498="(blank)"),"",VLOOKUP($B498,'Email Marketing Raw Data'!$C:$O,10,0))),"")</f>
        <v/>
      </c>
      <c r="E498" s="59" t="str">
        <f>IFERROR(IF(F498&lt;&gt;"pending","",IF(OR($B498="",$B498="(blank)"),"",VLOOKUP($B498,'Email Marketing Raw Data'!$C:$O,11,0))),"")</f>
        <v/>
      </c>
      <c r="F498" s="54" t="str">
        <f>IFERROR(IF(OR($B498="",$B498="(blank)"),"",VLOOKUP($B498,'Email Marketing Raw Data'!$C:$O,13,0)),"")</f>
        <v/>
      </c>
      <c r="G498" s="55" t="str">
        <f>IFERROR(IF(OR($B498="",$B498="(blank)"),"",VLOOKUP($B498,'Email Marketing Raw Data'!$C:$O,4,0)),"")</f>
        <v/>
      </c>
      <c r="H498" s="55" t="str">
        <f>IFERROR(IF(OR($B498="",$B498="(blank)"),"",VLOOKUP($B498,'Email Marketing Raw Data'!$C:$O,5,0)),"")</f>
        <v/>
      </c>
      <c r="I498" s="55" t="str">
        <f>IFERROR(IF($G498="","",VLOOKUP('Dashboard And Emails Automate'!$G498,Database!$H:$N,3,0)),"")</f>
        <v/>
      </c>
      <c r="J498" s="55" t="str">
        <f>IFERROR(IF($G498="","",VLOOKUP('Dashboard And Emails Automate'!$G498,Database!$H:$N,4,0)),"")</f>
        <v/>
      </c>
      <c r="K498" s="55" t="str">
        <f>IFERROR(IF($G498="","",VLOOKUP('Dashboard And Emails Automate'!$G498,Database!$H:$N,5,0)),"")</f>
        <v/>
      </c>
      <c r="L498" s="55" t="str">
        <f>IFERROR(IF($G498="","",VLOOKUP('Dashboard And Emails Automate'!$G498,Database!$H:$N,6,0)),"")</f>
        <v/>
      </c>
      <c r="M498" s="55" t="str">
        <f>IFERROR(IF($G498="","",VLOOKUP('Dashboard And Emails Automate'!$G498,Database!$H:$N,7,0)),"")</f>
        <v/>
      </c>
      <c r="N498" s="55" t="str">
        <f>IFERROR(IF(OR($B498="",$B498="(blank)"),"",VLOOKUP($B498,'Email Marketing Raw Data'!$C:$O,6,0)),"")</f>
        <v/>
      </c>
      <c r="O498" s="55" t="str">
        <f>IFERROR(IF(OR($B498="",$B498="(blank)"),"",VLOOKUP($B498,'Email Marketing Raw Data'!$C:$O,7,0)),"")</f>
        <v/>
      </c>
      <c r="P498" s="55" t="str">
        <f>IFERROR(IF(OR($B498="",$B498="(blank)"),"",VLOOKUP($B498,'Email Marketing Raw Data'!$C:$O,8,0)),"")</f>
        <v/>
      </c>
      <c r="Q498" s="62" t="str">
        <f>IFERROR(IF(OR($B498="",$B498="(blank)"),"",VLOOKUP($B498,'Email Marketing Raw Data'!$C:$O,9,0)),"")</f>
        <v/>
      </c>
    </row>
    <row r="499" spans="4:17" ht="12.75" customHeight="1" x14ac:dyDescent="0.2">
      <c r="D499" s="58" t="str">
        <f>IFERROR(IF(F499&lt;&gt;"pending","",IF(OR($B499="",$B499="(blank)"),"",VLOOKUP($B499,'Email Marketing Raw Data'!$C:$O,10,0))),"")</f>
        <v/>
      </c>
      <c r="E499" s="59" t="str">
        <f>IFERROR(IF(F499&lt;&gt;"pending","",IF(OR($B499="",$B499="(blank)"),"",VLOOKUP($B499,'Email Marketing Raw Data'!$C:$O,11,0))),"")</f>
        <v/>
      </c>
      <c r="F499" s="54" t="str">
        <f>IFERROR(IF(OR($B499="",$B499="(blank)"),"",VLOOKUP($B499,'Email Marketing Raw Data'!$C:$O,13,0)),"")</f>
        <v/>
      </c>
      <c r="G499" s="55" t="str">
        <f>IFERROR(IF(OR($B499="",$B499="(blank)"),"",VLOOKUP($B499,'Email Marketing Raw Data'!$C:$O,4,0)),"")</f>
        <v/>
      </c>
      <c r="H499" s="55" t="str">
        <f>IFERROR(IF(OR($B499="",$B499="(blank)"),"",VLOOKUP($B499,'Email Marketing Raw Data'!$C:$O,5,0)),"")</f>
        <v/>
      </c>
      <c r="I499" s="55" t="str">
        <f>IFERROR(IF($G499="","",VLOOKUP('Dashboard And Emails Automate'!$G499,Database!$H:$N,3,0)),"")</f>
        <v/>
      </c>
      <c r="J499" s="55" t="str">
        <f>IFERROR(IF($G499="","",VLOOKUP('Dashboard And Emails Automate'!$G499,Database!$H:$N,4,0)),"")</f>
        <v/>
      </c>
      <c r="K499" s="55" t="str">
        <f>IFERROR(IF($G499="","",VLOOKUP('Dashboard And Emails Automate'!$G499,Database!$H:$N,5,0)),"")</f>
        <v/>
      </c>
      <c r="L499" s="55" t="str">
        <f>IFERROR(IF($G499="","",VLOOKUP('Dashboard And Emails Automate'!$G499,Database!$H:$N,6,0)),"")</f>
        <v/>
      </c>
      <c r="M499" s="55" t="str">
        <f>IFERROR(IF($G499="","",VLOOKUP('Dashboard And Emails Automate'!$G499,Database!$H:$N,7,0)),"")</f>
        <v/>
      </c>
      <c r="N499" s="55" t="str">
        <f>IFERROR(IF(OR($B499="",$B499="(blank)"),"",VLOOKUP($B499,'Email Marketing Raw Data'!$C:$O,6,0)),"")</f>
        <v/>
      </c>
      <c r="O499" s="55" t="str">
        <f>IFERROR(IF(OR($B499="",$B499="(blank)"),"",VLOOKUP($B499,'Email Marketing Raw Data'!$C:$O,7,0)),"")</f>
        <v/>
      </c>
      <c r="P499" s="55" t="str">
        <f>IFERROR(IF(OR($B499="",$B499="(blank)"),"",VLOOKUP($B499,'Email Marketing Raw Data'!$C:$O,8,0)),"")</f>
        <v/>
      </c>
      <c r="Q499" s="62" t="str">
        <f>IFERROR(IF(OR($B499="",$B499="(blank)"),"",VLOOKUP($B499,'Email Marketing Raw Data'!$C:$O,9,0)),"")</f>
        <v/>
      </c>
    </row>
    <row r="500" spans="4:17" ht="12.75" customHeight="1" x14ac:dyDescent="0.2">
      <c r="D500" s="58" t="str">
        <f>IFERROR(IF(F500&lt;&gt;"pending","",IF(OR($B500="",$B500="(blank)"),"",VLOOKUP($B500,'Email Marketing Raw Data'!$C:$O,10,0))),"")</f>
        <v/>
      </c>
      <c r="E500" s="59" t="str">
        <f>IFERROR(IF(F500&lt;&gt;"pending","",IF(OR($B500="",$B500="(blank)"),"",VLOOKUP($B500,'Email Marketing Raw Data'!$C:$O,11,0))),"")</f>
        <v/>
      </c>
      <c r="F500" s="54" t="str">
        <f>IFERROR(IF(OR($B500="",$B500="(blank)"),"",VLOOKUP($B500,'Email Marketing Raw Data'!$C:$O,13,0)),"")</f>
        <v/>
      </c>
      <c r="G500" s="55" t="str">
        <f>IFERROR(IF(OR($B500="",$B500="(blank)"),"",VLOOKUP($B500,'Email Marketing Raw Data'!$C:$O,4,0)),"")</f>
        <v/>
      </c>
      <c r="H500" s="55" t="str">
        <f>IFERROR(IF(OR($B500="",$B500="(blank)"),"",VLOOKUP($B500,'Email Marketing Raw Data'!$C:$O,5,0)),"")</f>
        <v/>
      </c>
      <c r="I500" s="55" t="str">
        <f>IFERROR(IF($G500="","",VLOOKUP('Dashboard And Emails Automate'!$G500,Database!$H:$N,3,0)),"")</f>
        <v/>
      </c>
      <c r="J500" s="55" t="str">
        <f>IFERROR(IF($G500="","",VLOOKUP('Dashboard And Emails Automate'!$G500,Database!$H:$N,4,0)),"")</f>
        <v/>
      </c>
      <c r="K500" s="55" t="str">
        <f>IFERROR(IF($G500="","",VLOOKUP('Dashboard And Emails Automate'!$G500,Database!$H:$N,5,0)),"")</f>
        <v/>
      </c>
      <c r="L500" s="55" t="str">
        <f>IFERROR(IF($G500="","",VLOOKUP('Dashboard And Emails Automate'!$G500,Database!$H:$N,6,0)),"")</f>
        <v/>
      </c>
      <c r="M500" s="55" t="str">
        <f>IFERROR(IF($G500="","",VLOOKUP('Dashboard And Emails Automate'!$G500,Database!$H:$N,7,0)),"")</f>
        <v/>
      </c>
      <c r="N500" s="55" t="str">
        <f>IFERROR(IF(OR($B500="",$B500="(blank)"),"",VLOOKUP($B500,'Email Marketing Raw Data'!$C:$O,6,0)),"")</f>
        <v/>
      </c>
      <c r="O500" s="55" t="str">
        <f>IFERROR(IF(OR($B500="",$B500="(blank)"),"",VLOOKUP($B500,'Email Marketing Raw Data'!$C:$O,7,0)),"")</f>
        <v/>
      </c>
      <c r="P500" s="55" t="str">
        <f>IFERROR(IF(OR($B500="",$B500="(blank)"),"",VLOOKUP($B500,'Email Marketing Raw Data'!$C:$O,8,0)),"")</f>
        <v/>
      </c>
      <c r="Q500" s="62" t="str">
        <f>IFERROR(IF(OR($B500="",$B500="(blank)"),"",VLOOKUP($B500,'Email Marketing Raw Data'!$C:$O,9,0)),"")</f>
        <v/>
      </c>
    </row>
    <row r="501" spans="4:17" ht="12.75" customHeight="1" x14ac:dyDescent="0.2">
      <c r="D501" s="58" t="str">
        <f>IFERROR(IF(F501&lt;&gt;"pending","",IF(OR($B501="",$B501="(blank)"),"",VLOOKUP($B501,'Email Marketing Raw Data'!$C:$O,10,0))),"")</f>
        <v/>
      </c>
      <c r="E501" s="59" t="str">
        <f>IFERROR(IF(F501&lt;&gt;"pending","",IF(OR($B501="",$B501="(blank)"),"",VLOOKUP($B501,'Email Marketing Raw Data'!$C:$O,11,0))),"")</f>
        <v/>
      </c>
      <c r="F501" s="54" t="str">
        <f>IFERROR(IF(OR($B501="",$B501="(blank)"),"",VLOOKUP($B501,'Email Marketing Raw Data'!$C:$O,13,0)),"")</f>
        <v/>
      </c>
      <c r="G501" s="55" t="str">
        <f>IFERROR(IF(OR($B501="",$B501="(blank)"),"",VLOOKUP($B501,'Email Marketing Raw Data'!$C:$O,4,0)),"")</f>
        <v/>
      </c>
      <c r="H501" s="55" t="str">
        <f>IFERROR(IF(OR($B501="",$B501="(blank)"),"",VLOOKUP($B501,'Email Marketing Raw Data'!$C:$O,5,0)),"")</f>
        <v/>
      </c>
      <c r="I501" s="55" t="str">
        <f>IFERROR(IF($G501="","",VLOOKUP('Dashboard And Emails Automate'!$G501,Database!$H:$N,3,0)),"")</f>
        <v/>
      </c>
      <c r="J501" s="55" t="str">
        <f>IFERROR(IF($G501="","",VLOOKUP('Dashboard And Emails Automate'!$G501,Database!$H:$N,4,0)),"")</f>
        <v/>
      </c>
      <c r="K501" s="55" t="str">
        <f>IFERROR(IF($G501="","",VLOOKUP('Dashboard And Emails Automate'!$G501,Database!$H:$N,5,0)),"")</f>
        <v/>
      </c>
      <c r="L501" s="55" t="str">
        <f>IFERROR(IF($G501="","",VLOOKUP('Dashboard And Emails Automate'!$G501,Database!$H:$N,6,0)),"")</f>
        <v/>
      </c>
      <c r="M501" s="55" t="str">
        <f>IFERROR(IF($G501="","",VLOOKUP('Dashboard And Emails Automate'!$G501,Database!$H:$N,7,0)),"")</f>
        <v/>
      </c>
      <c r="N501" s="55" t="str">
        <f>IFERROR(IF(OR($B501="",$B501="(blank)"),"",VLOOKUP($B501,'Email Marketing Raw Data'!$C:$O,6,0)),"")</f>
        <v/>
      </c>
      <c r="O501" s="55" t="str">
        <f>IFERROR(IF(OR($B501="",$B501="(blank)"),"",VLOOKUP($B501,'Email Marketing Raw Data'!$C:$O,7,0)),"")</f>
        <v/>
      </c>
      <c r="P501" s="55" t="str">
        <f>IFERROR(IF(OR($B501="",$B501="(blank)"),"",VLOOKUP($B501,'Email Marketing Raw Data'!$C:$O,8,0)),"")</f>
        <v/>
      </c>
      <c r="Q501" s="62" t="str">
        <f>IFERROR(IF(OR($B501="",$B501="(blank)"),"",VLOOKUP($B501,'Email Marketing Raw Data'!$C:$O,9,0)),"")</f>
        <v/>
      </c>
    </row>
    <row r="502" spans="4:17" ht="12.75" customHeight="1" x14ac:dyDescent="0.2">
      <c r="D502" s="58" t="str">
        <f>IFERROR(IF(F502&lt;&gt;"pending","",IF(OR($B502="",$B502="(blank)"),"",VLOOKUP($B502,'Email Marketing Raw Data'!$C:$O,10,0))),"")</f>
        <v/>
      </c>
      <c r="E502" s="59" t="str">
        <f>IFERROR(IF(F502&lt;&gt;"pending","",IF(OR($B502="",$B502="(blank)"),"",VLOOKUP($B502,'Email Marketing Raw Data'!$C:$O,11,0))),"")</f>
        <v/>
      </c>
      <c r="F502" s="54" t="str">
        <f>IFERROR(IF(OR($B502="",$B502="(blank)"),"",VLOOKUP($B502,'Email Marketing Raw Data'!$C:$O,13,0)),"")</f>
        <v/>
      </c>
      <c r="G502" s="55" t="str">
        <f>IFERROR(IF(OR($B502="",$B502="(blank)"),"",VLOOKUP($B502,'Email Marketing Raw Data'!$C:$O,4,0)),"")</f>
        <v/>
      </c>
      <c r="H502" s="55" t="str">
        <f>IFERROR(IF(OR($B502="",$B502="(blank)"),"",VLOOKUP($B502,'Email Marketing Raw Data'!$C:$O,5,0)),"")</f>
        <v/>
      </c>
      <c r="I502" s="55" t="str">
        <f>IFERROR(IF($G502="","",VLOOKUP('Dashboard And Emails Automate'!$G502,Database!$H:$N,3,0)),"")</f>
        <v/>
      </c>
      <c r="J502" s="55" t="str">
        <f>IFERROR(IF($G502="","",VLOOKUP('Dashboard And Emails Automate'!$G502,Database!$H:$N,4,0)),"")</f>
        <v/>
      </c>
      <c r="K502" s="55" t="str">
        <f>IFERROR(IF($G502="","",VLOOKUP('Dashboard And Emails Automate'!$G502,Database!$H:$N,5,0)),"")</f>
        <v/>
      </c>
      <c r="L502" s="55" t="str">
        <f>IFERROR(IF($G502="","",VLOOKUP('Dashboard And Emails Automate'!$G502,Database!$H:$N,6,0)),"")</f>
        <v/>
      </c>
      <c r="M502" s="55" t="str">
        <f>IFERROR(IF($G502="","",VLOOKUP('Dashboard And Emails Automate'!$G502,Database!$H:$N,7,0)),"")</f>
        <v/>
      </c>
      <c r="N502" s="55" t="str">
        <f>IFERROR(IF(OR($B502="",$B502="(blank)"),"",VLOOKUP($B502,'Email Marketing Raw Data'!$C:$O,6,0)),"")</f>
        <v/>
      </c>
      <c r="O502" s="55" t="str">
        <f>IFERROR(IF(OR($B502="",$B502="(blank)"),"",VLOOKUP($B502,'Email Marketing Raw Data'!$C:$O,7,0)),"")</f>
        <v/>
      </c>
      <c r="P502" s="55" t="str">
        <f>IFERROR(IF(OR($B502="",$B502="(blank)"),"",VLOOKUP($B502,'Email Marketing Raw Data'!$C:$O,8,0)),"")</f>
        <v/>
      </c>
      <c r="Q502" s="62" t="str">
        <f>IFERROR(IF(OR($B502="",$B502="(blank)"),"",VLOOKUP($B502,'Email Marketing Raw Data'!$C:$O,9,0)),"")</f>
        <v/>
      </c>
    </row>
    <row r="503" spans="4:17" ht="12.75" customHeight="1" x14ac:dyDescent="0.2">
      <c r="D503" s="58" t="str">
        <f>IFERROR(IF(F503&lt;&gt;"pending","",IF(OR($B503="",$B503="(blank)"),"",VLOOKUP($B503,'Email Marketing Raw Data'!$C:$O,10,0))),"")</f>
        <v/>
      </c>
      <c r="E503" s="59" t="str">
        <f>IFERROR(IF(F503&lt;&gt;"pending","",IF(OR($B503="",$B503="(blank)"),"",VLOOKUP($B503,'Email Marketing Raw Data'!$C:$O,11,0))),"")</f>
        <v/>
      </c>
      <c r="F503" s="54" t="str">
        <f>IFERROR(IF(OR($B503="",$B503="(blank)"),"",VLOOKUP($B503,'Email Marketing Raw Data'!$C:$O,13,0)),"")</f>
        <v/>
      </c>
      <c r="G503" s="55" t="str">
        <f>IFERROR(IF(OR($B503="",$B503="(blank)"),"",VLOOKUP($B503,'Email Marketing Raw Data'!$C:$O,4,0)),"")</f>
        <v/>
      </c>
      <c r="H503" s="55" t="str">
        <f>IFERROR(IF(OR($B503="",$B503="(blank)"),"",VLOOKUP($B503,'Email Marketing Raw Data'!$C:$O,5,0)),"")</f>
        <v/>
      </c>
      <c r="I503" s="55" t="str">
        <f>IFERROR(IF($G503="","",VLOOKUP('Dashboard And Emails Automate'!$G503,Database!$H:$N,3,0)),"")</f>
        <v/>
      </c>
      <c r="J503" s="55" t="str">
        <f>IFERROR(IF($G503="","",VLOOKUP('Dashboard And Emails Automate'!$G503,Database!$H:$N,4,0)),"")</f>
        <v/>
      </c>
      <c r="K503" s="55" t="str">
        <f>IFERROR(IF($G503="","",VLOOKUP('Dashboard And Emails Automate'!$G503,Database!$H:$N,5,0)),"")</f>
        <v/>
      </c>
      <c r="L503" s="55" t="str">
        <f>IFERROR(IF($G503="","",VLOOKUP('Dashboard And Emails Automate'!$G503,Database!$H:$N,6,0)),"")</f>
        <v/>
      </c>
      <c r="M503" s="55" t="str">
        <f>IFERROR(IF($G503="","",VLOOKUP('Dashboard And Emails Automate'!$G503,Database!$H:$N,7,0)),"")</f>
        <v/>
      </c>
      <c r="N503" s="55" t="str">
        <f>IFERROR(IF(OR($B503="",$B503="(blank)"),"",VLOOKUP($B503,'Email Marketing Raw Data'!$C:$O,6,0)),"")</f>
        <v/>
      </c>
      <c r="O503" s="55" t="str">
        <f>IFERROR(IF(OR($B503="",$B503="(blank)"),"",VLOOKUP($B503,'Email Marketing Raw Data'!$C:$O,7,0)),"")</f>
        <v/>
      </c>
      <c r="P503" s="55" t="str">
        <f>IFERROR(IF(OR($B503="",$B503="(blank)"),"",VLOOKUP($B503,'Email Marketing Raw Data'!$C:$O,8,0)),"")</f>
        <v/>
      </c>
      <c r="Q503" s="62" t="str">
        <f>IFERROR(IF(OR($B503="",$B503="(blank)"),"",VLOOKUP($B503,'Email Marketing Raw Data'!$C:$O,9,0)),"")</f>
        <v/>
      </c>
    </row>
    <row r="504" spans="4:17" ht="12.75" customHeight="1" x14ac:dyDescent="0.2">
      <c r="D504" s="58" t="str">
        <f>IFERROR(IF(F504&lt;&gt;"pending","",IF(OR($B504="",$B504="(blank)"),"",VLOOKUP($B504,'Email Marketing Raw Data'!$C:$O,10,0))),"")</f>
        <v/>
      </c>
      <c r="E504" s="59" t="str">
        <f>IFERROR(IF(F504&lt;&gt;"pending","",IF(OR($B504="",$B504="(blank)"),"",VLOOKUP($B504,'Email Marketing Raw Data'!$C:$O,11,0))),"")</f>
        <v/>
      </c>
      <c r="F504" s="54" t="str">
        <f>IFERROR(IF(OR($B504="",$B504="(blank)"),"",VLOOKUP($B504,'Email Marketing Raw Data'!$C:$O,13,0)),"")</f>
        <v/>
      </c>
      <c r="G504" s="55" t="str">
        <f>IFERROR(IF(OR($B504="",$B504="(blank)"),"",VLOOKUP($B504,'Email Marketing Raw Data'!$C:$O,4,0)),"")</f>
        <v/>
      </c>
      <c r="H504" s="55" t="str">
        <f>IFERROR(IF(OR($B504="",$B504="(blank)"),"",VLOOKUP($B504,'Email Marketing Raw Data'!$C:$O,5,0)),"")</f>
        <v/>
      </c>
      <c r="I504" s="55" t="str">
        <f>IFERROR(IF($G504="","",VLOOKUP('Dashboard And Emails Automate'!$G504,Database!$H:$N,3,0)),"")</f>
        <v/>
      </c>
      <c r="J504" s="55" t="str">
        <f>IFERROR(IF($G504="","",VLOOKUP('Dashboard And Emails Automate'!$G504,Database!$H:$N,4,0)),"")</f>
        <v/>
      </c>
      <c r="K504" s="55" t="str">
        <f>IFERROR(IF($G504="","",VLOOKUP('Dashboard And Emails Automate'!$G504,Database!$H:$N,5,0)),"")</f>
        <v/>
      </c>
      <c r="L504" s="55" t="str">
        <f>IFERROR(IF($G504="","",VLOOKUP('Dashboard And Emails Automate'!$G504,Database!$H:$N,6,0)),"")</f>
        <v/>
      </c>
      <c r="M504" s="55" t="str">
        <f>IFERROR(IF($G504="","",VLOOKUP('Dashboard And Emails Automate'!$G504,Database!$H:$N,7,0)),"")</f>
        <v/>
      </c>
      <c r="N504" s="55" t="str">
        <f>IFERROR(IF(OR($B504="",$B504="(blank)"),"",VLOOKUP($B504,'Email Marketing Raw Data'!$C:$O,6,0)),"")</f>
        <v/>
      </c>
      <c r="O504" s="55" t="str">
        <f>IFERROR(IF(OR($B504="",$B504="(blank)"),"",VLOOKUP($B504,'Email Marketing Raw Data'!$C:$O,7,0)),"")</f>
        <v/>
      </c>
      <c r="P504" s="55" t="str">
        <f>IFERROR(IF(OR($B504="",$B504="(blank)"),"",VLOOKUP($B504,'Email Marketing Raw Data'!$C:$O,8,0)),"")</f>
        <v/>
      </c>
      <c r="Q504" s="62" t="str">
        <f>IFERROR(IF(OR($B504="",$B504="(blank)"),"",VLOOKUP($B504,'Email Marketing Raw Data'!$C:$O,9,0)),"")</f>
        <v/>
      </c>
    </row>
    <row r="505" spans="4:17" ht="12.75" customHeight="1" x14ac:dyDescent="0.2">
      <c r="D505" s="58" t="str">
        <f>IFERROR(IF(F505&lt;&gt;"pending","",IF(OR($B505="",$B505="(blank)"),"",VLOOKUP($B505,'Email Marketing Raw Data'!$C:$O,10,0))),"")</f>
        <v/>
      </c>
      <c r="E505" s="59" t="str">
        <f>IFERROR(IF(F505&lt;&gt;"pending","",IF(OR($B505="",$B505="(blank)"),"",VLOOKUP($B505,'Email Marketing Raw Data'!$C:$O,11,0))),"")</f>
        <v/>
      </c>
      <c r="F505" s="54" t="str">
        <f>IFERROR(IF(OR($B505="",$B505="(blank)"),"",VLOOKUP($B505,'Email Marketing Raw Data'!$C:$O,13,0)),"")</f>
        <v/>
      </c>
      <c r="G505" s="55" t="str">
        <f>IFERROR(IF(OR($B505="",$B505="(blank)"),"",VLOOKUP($B505,'Email Marketing Raw Data'!$C:$O,4,0)),"")</f>
        <v/>
      </c>
      <c r="H505" s="55" t="str">
        <f>IFERROR(IF(OR($B505="",$B505="(blank)"),"",VLOOKUP($B505,'Email Marketing Raw Data'!$C:$O,5,0)),"")</f>
        <v/>
      </c>
      <c r="I505" s="55" t="str">
        <f>IFERROR(IF($G505="","",VLOOKUP('Dashboard And Emails Automate'!$G505,Database!$H:$N,3,0)),"")</f>
        <v/>
      </c>
      <c r="J505" s="55" t="str">
        <f>IFERROR(IF($G505="","",VLOOKUP('Dashboard And Emails Automate'!$G505,Database!$H:$N,4,0)),"")</f>
        <v/>
      </c>
      <c r="K505" s="55" t="str">
        <f>IFERROR(IF($G505="","",VLOOKUP('Dashboard And Emails Automate'!$G505,Database!$H:$N,5,0)),"")</f>
        <v/>
      </c>
      <c r="L505" s="55" t="str">
        <f>IFERROR(IF($G505="","",VLOOKUP('Dashboard And Emails Automate'!$G505,Database!$H:$N,6,0)),"")</f>
        <v/>
      </c>
      <c r="M505" s="55" t="str">
        <f>IFERROR(IF($G505="","",VLOOKUP('Dashboard And Emails Automate'!$G505,Database!$H:$N,7,0)),"")</f>
        <v/>
      </c>
      <c r="N505" s="55" t="str">
        <f>IFERROR(IF(OR($B505="",$B505="(blank)"),"",VLOOKUP($B505,'Email Marketing Raw Data'!$C:$O,6,0)),"")</f>
        <v/>
      </c>
      <c r="O505" s="55" t="str">
        <f>IFERROR(IF(OR($B505="",$B505="(blank)"),"",VLOOKUP($B505,'Email Marketing Raw Data'!$C:$O,7,0)),"")</f>
        <v/>
      </c>
      <c r="P505" s="55" t="str">
        <f>IFERROR(IF(OR($B505="",$B505="(blank)"),"",VLOOKUP($B505,'Email Marketing Raw Data'!$C:$O,8,0)),"")</f>
        <v/>
      </c>
      <c r="Q505" s="62" t="str">
        <f>IFERROR(IF(OR($B505="",$B505="(blank)"),"",VLOOKUP($B505,'Email Marketing Raw Data'!$C:$O,9,0)),"")</f>
        <v/>
      </c>
    </row>
    <row r="506" spans="4:17" ht="12.75" customHeight="1" x14ac:dyDescent="0.2">
      <c r="D506" s="58" t="str">
        <f>IFERROR(IF(F506&lt;&gt;"pending","",IF(OR($B506="",$B506="(blank)"),"",VLOOKUP($B506,'Email Marketing Raw Data'!$C:$O,10,0))),"")</f>
        <v/>
      </c>
      <c r="E506" s="59" t="str">
        <f>IFERROR(IF(F506&lt;&gt;"pending","",IF(OR($B506="",$B506="(blank)"),"",VLOOKUP($B506,'Email Marketing Raw Data'!$C:$O,11,0))),"")</f>
        <v/>
      </c>
      <c r="F506" s="54" t="str">
        <f>IFERROR(IF(OR($B506="",$B506="(blank)"),"",VLOOKUP($B506,'Email Marketing Raw Data'!$C:$O,13,0)),"")</f>
        <v/>
      </c>
      <c r="G506" s="55" t="str">
        <f>IFERROR(IF(OR($B506="",$B506="(blank)"),"",VLOOKUP($B506,'Email Marketing Raw Data'!$C:$O,4,0)),"")</f>
        <v/>
      </c>
      <c r="H506" s="55" t="str">
        <f>IFERROR(IF(OR($B506="",$B506="(blank)"),"",VLOOKUP($B506,'Email Marketing Raw Data'!$C:$O,5,0)),"")</f>
        <v/>
      </c>
      <c r="I506" s="55" t="str">
        <f>IFERROR(IF($G506="","",VLOOKUP('Dashboard And Emails Automate'!$G506,Database!$H:$N,3,0)),"")</f>
        <v/>
      </c>
      <c r="J506" s="55" t="str">
        <f>IFERROR(IF($G506="","",VLOOKUP('Dashboard And Emails Automate'!$G506,Database!$H:$N,4,0)),"")</f>
        <v/>
      </c>
      <c r="K506" s="55" t="str">
        <f>IFERROR(IF($G506="","",VLOOKUP('Dashboard And Emails Automate'!$G506,Database!$H:$N,5,0)),"")</f>
        <v/>
      </c>
      <c r="L506" s="55" t="str">
        <f>IFERROR(IF($G506="","",VLOOKUP('Dashboard And Emails Automate'!$G506,Database!$H:$N,6,0)),"")</f>
        <v/>
      </c>
      <c r="M506" s="55" t="str">
        <f>IFERROR(IF($G506="","",VLOOKUP('Dashboard And Emails Automate'!$G506,Database!$H:$N,7,0)),"")</f>
        <v/>
      </c>
      <c r="N506" s="55" t="str">
        <f>IFERROR(IF(OR($B506="",$B506="(blank)"),"",VLOOKUP($B506,'Email Marketing Raw Data'!$C:$O,6,0)),"")</f>
        <v/>
      </c>
      <c r="O506" s="55" t="str">
        <f>IFERROR(IF(OR($B506="",$B506="(blank)"),"",VLOOKUP($B506,'Email Marketing Raw Data'!$C:$O,7,0)),"")</f>
        <v/>
      </c>
      <c r="P506" s="55" t="str">
        <f>IFERROR(IF(OR($B506="",$B506="(blank)"),"",VLOOKUP($B506,'Email Marketing Raw Data'!$C:$O,8,0)),"")</f>
        <v/>
      </c>
      <c r="Q506" s="62" t="str">
        <f>IFERROR(IF(OR($B506="",$B506="(blank)"),"",VLOOKUP($B506,'Email Marketing Raw Data'!$C:$O,9,0)),"")</f>
        <v/>
      </c>
    </row>
    <row r="507" spans="4:17" ht="12.75" customHeight="1" x14ac:dyDescent="0.2">
      <c r="D507" s="58" t="str">
        <f>IFERROR(IF(F507&lt;&gt;"pending","",IF(OR($B507="",$B507="(blank)"),"",VLOOKUP($B507,'Email Marketing Raw Data'!$C:$O,10,0))),"")</f>
        <v/>
      </c>
      <c r="E507" s="59" t="str">
        <f>IFERROR(IF(F507&lt;&gt;"pending","",IF(OR($B507="",$B507="(blank)"),"",VLOOKUP($B507,'Email Marketing Raw Data'!$C:$O,11,0))),"")</f>
        <v/>
      </c>
      <c r="F507" s="54" t="str">
        <f>IFERROR(IF(OR($B507="",$B507="(blank)"),"",VLOOKUP($B507,'Email Marketing Raw Data'!$C:$O,13,0)),"")</f>
        <v/>
      </c>
      <c r="G507" s="55" t="str">
        <f>IFERROR(IF(OR($B507="",$B507="(blank)"),"",VLOOKUP($B507,'Email Marketing Raw Data'!$C:$O,4,0)),"")</f>
        <v/>
      </c>
      <c r="H507" s="55" t="str">
        <f>IFERROR(IF(OR($B507="",$B507="(blank)"),"",VLOOKUP($B507,'Email Marketing Raw Data'!$C:$O,5,0)),"")</f>
        <v/>
      </c>
      <c r="I507" s="55" t="str">
        <f>IFERROR(IF($G507="","",VLOOKUP('Dashboard And Emails Automate'!$G507,Database!$H:$N,3,0)),"")</f>
        <v/>
      </c>
      <c r="J507" s="55" t="str">
        <f>IFERROR(IF($G507="","",VLOOKUP('Dashboard And Emails Automate'!$G507,Database!$H:$N,4,0)),"")</f>
        <v/>
      </c>
      <c r="K507" s="55" t="str">
        <f>IFERROR(IF($G507="","",VLOOKUP('Dashboard And Emails Automate'!$G507,Database!$H:$N,5,0)),"")</f>
        <v/>
      </c>
      <c r="L507" s="55" t="str">
        <f>IFERROR(IF($G507="","",VLOOKUP('Dashboard And Emails Automate'!$G507,Database!$H:$N,6,0)),"")</f>
        <v/>
      </c>
      <c r="M507" s="55" t="str">
        <f>IFERROR(IF($G507="","",VLOOKUP('Dashboard And Emails Automate'!$G507,Database!$H:$N,7,0)),"")</f>
        <v/>
      </c>
      <c r="N507" s="55" t="str">
        <f>IFERROR(IF(OR($B507="",$B507="(blank)"),"",VLOOKUP($B507,'Email Marketing Raw Data'!$C:$O,6,0)),"")</f>
        <v/>
      </c>
      <c r="O507" s="55" t="str">
        <f>IFERROR(IF(OR($B507="",$B507="(blank)"),"",VLOOKUP($B507,'Email Marketing Raw Data'!$C:$O,7,0)),"")</f>
        <v/>
      </c>
      <c r="P507" s="55" t="str">
        <f>IFERROR(IF(OR($B507="",$B507="(blank)"),"",VLOOKUP($B507,'Email Marketing Raw Data'!$C:$O,8,0)),"")</f>
        <v/>
      </c>
      <c r="Q507" s="62" t="str">
        <f>IFERROR(IF(OR($B507="",$B507="(blank)"),"",VLOOKUP($B507,'Email Marketing Raw Data'!$C:$O,9,0)),"")</f>
        <v/>
      </c>
    </row>
    <row r="508" spans="4:17" ht="12.75" customHeight="1" x14ac:dyDescent="0.2">
      <c r="D508" s="58" t="str">
        <f>IFERROR(IF(F508&lt;&gt;"pending","",IF(OR($B508="",$B508="(blank)"),"",VLOOKUP($B508,'Email Marketing Raw Data'!$C:$O,10,0))),"")</f>
        <v/>
      </c>
      <c r="E508" s="59" t="str">
        <f>IFERROR(IF(F508&lt;&gt;"pending","",IF(OR($B508="",$B508="(blank)"),"",VLOOKUP($B508,'Email Marketing Raw Data'!$C:$O,11,0))),"")</f>
        <v/>
      </c>
      <c r="F508" s="54" t="str">
        <f>IFERROR(IF(OR($B508="",$B508="(blank)"),"",VLOOKUP($B508,'Email Marketing Raw Data'!$C:$O,13,0)),"")</f>
        <v/>
      </c>
      <c r="G508" s="55" t="str">
        <f>IFERROR(IF(OR($B508="",$B508="(blank)"),"",VLOOKUP($B508,'Email Marketing Raw Data'!$C:$O,4,0)),"")</f>
        <v/>
      </c>
      <c r="H508" s="55" t="str">
        <f>IFERROR(IF(OR($B508="",$B508="(blank)"),"",VLOOKUP($B508,'Email Marketing Raw Data'!$C:$O,5,0)),"")</f>
        <v/>
      </c>
      <c r="I508" s="55" t="str">
        <f>IFERROR(IF($G508="","",VLOOKUP('Dashboard And Emails Automate'!$G508,Database!$H:$N,3,0)),"")</f>
        <v/>
      </c>
      <c r="J508" s="55" t="str">
        <f>IFERROR(IF($G508="","",VLOOKUP('Dashboard And Emails Automate'!$G508,Database!$H:$N,4,0)),"")</f>
        <v/>
      </c>
      <c r="K508" s="55" t="str">
        <f>IFERROR(IF($G508="","",VLOOKUP('Dashboard And Emails Automate'!$G508,Database!$H:$N,5,0)),"")</f>
        <v/>
      </c>
      <c r="L508" s="55" t="str">
        <f>IFERROR(IF($G508="","",VLOOKUP('Dashboard And Emails Automate'!$G508,Database!$H:$N,6,0)),"")</f>
        <v/>
      </c>
      <c r="M508" s="55" t="str">
        <f>IFERROR(IF($G508="","",VLOOKUP('Dashboard And Emails Automate'!$G508,Database!$H:$N,7,0)),"")</f>
        <v/>
      </c>
      <c r="N508" s="55" t="str">
        <f>IFERROR(IF(OR($B508="",$B508="(blank)"),"",VLOOKUP($B508,'Email Marketing Raw Data'!$C:$O,6,0)),"")</f>
        <v/>
      </c>
      <c r="O508" s="55" t="str">
        <f>IFERROR(IF(OR($B508="",$B508="(blank)"),"",VLOOKUP($B508,'Email Marketing Raw Data'!$C:$O,7,0)),"")</f>
        <v/>
      </c>
      <c r="P508" s="55" t="str">
        <f>IFERROR(IF(OR($B508="",$B508="(blank)"),"",VLOOKUP($B508,'Email Marketing Raw Data'!$C:$O,8,0)),"")</f>
        <v/>
      </c>
      <c r="Q508" s="62" t="str">
        <f>IFERROR(IF(OR($B508="",$B508="(blank)"),"",VLOOKUP($B508,'Email Marketing Raw Data'!$C:$O,9,0)),"")</f>
        <v/>
      </c>
    </row>
    <row r="509" spans="4:17" ht="12.75" customHeight="1" x14ac:dyDescent="0.2">
      <c r="D509" s="58" t="str">
        <f>IFERROR(IF(F509&lt;&gt;"pending","",IF(OR($B509="",$B509="(blank)"),"",VLOOKUP($B509,'Email Marketing Raw Data'!$C:$O,10,0))),"")</f>
        <v/>
      </c>
      <c r="E509" s="59" t="str">
        <f>IFERROR(IF(F509&lt;&gt;"pending","",IF(OR($B509="",$B509="(blank)"),"",VLOOKUP($B509,'Email Marketing Raw Data'!$C:$O,11,0))),"")</f>
        <v/>
      </c>
      <c r="F509" s="54" t="str">
        <f>IFERROR(IF(OR($B509="",$B509="(blank)"),"",VLOOKUP($B509,'Email Marketing Raw Data'!$C:$O,13,0)),"")</f>
        <v/>
      </c>
      <c r="G509" s="55" t="str">
        <f>IFERROR(IF(OR($B509="",$B509="(blank)"),"",VLOOKUP($B509,'Email Marketing Raw Data'!$C:$O,4,0)),"")</f>
        <v/>
      </c>
      <c r="H509" s="55" t="str">
        <f>IFERROR(IF(OR($B509="",$B509="(blank)"),"",VLOOKUP($B509,'Email Marketing Raw Data'!$C:$O,5,0)),"")</f>
        <v/>
      </c>
      <c r="I509" s="55" t="str">
        <f>IFERROR(IF($G509="","",VLOOKUP('Dashboard And Emails Automate'!$G509,Database!$H:$N,3,0)),"")</f>
        <v/>
      </c>
      <c r="J509" s="55" t="str">
        <f>IFERROR(IF($G509="","",VLOOKUP('Dashboard And Emails Automate'!$G509,Database!$H:$N,4,0)),"")</f>
        <v/>
      </c>
      <c r="K509" s="55" t="str">
        <f>IFERROR(IF($G509="","",VLOOKUP('Dashboard And Emails Automate'!$G509,Database!$H:$N,5,0)),"")</f>
        <v/>
      </c>
      <c r="L509" s="55" t="str">
        <f>IFERROR(IF($G509="","",VLOOKUP('Dashboard And Emails Automate'!$G509,Database!$H:$N,6,0)),"")</f>
        <v/>
      </c>
      <c r="M509" s="55" t="str">
        <f>IFERROR(IF($G509="","",VLOOKUP('Dashboard And Emails Automate'!$G509,Database!$H:$N,7,0)),"")</f>
        <v/>
      </c>
      <c r="N509" s="55" t="str">
        <f>IFERROR(IF(OR($B509="",$B509="(blank)"),"",VLOOKUP($B509,'Email Marketing Raw Data'!$C:$O,6,0)),"")</f>
        <v/>
      </c>
      <c r="O509" s="55" t="str">
        <f>IFERROR(IF(OR($B509="",$B509="(blank)"),"",VLOOKUP($B509,'Email Marketing Raw Data'!$C:$O,7,0)),"")</f>
        <v/>
      </c>
      <c r="P509" s="55" t="str">
        <f>IFERROR(IF(OR($B509="",$B509="(blank)"),"",VLOOKUP($B509,'Email Marketing Raw Data'!$C:$O,8,0)),"")</f>
        <v/>
      </c>
      <c r="Q509" s="62" t="str">
        <f>IFERROR(IF(OR($B509="",$B509="(blank)"),"",VLOOKUP($B509,'Email Marketing Raw Data'!$C:$O,9,0)),"")</f>
        <v/>
      </c>
    </row>
    <row r="510" spans="4:17" ht="12.75" customHeight="1" x14ac:dyDescent="0.2">
      <c r="D510" s="58" t="str">
        <f>IFERROR(IF(F510&lt;&gt;"pending","",IF(OR($B510="",$B510="(blank)"),"",VLOOKUP($B510,'Email Marketing Raw Data'!$C:$O,10,0))),"")</f>
        <v/>
      </c>
      <c r="E510" s="59" t="str">
        <f>IFERROR(IF(F510&lt;&gt;"pending","",IF(OR($B510="",$B510="(blank)"),"",VLOOKUP($B510,'Email Marketing Raw Data'!$C:$O,11,0))),"")</f>
        <v/>
      </c>
      <c r="F510" s="54" t="str">
        <f>IFERROR(IF(OR($B510="",$B510="(blank)"),"",VLOOKUP($B510,'Email Marketing Raw Data'!$C:$O,13,0)),"")</f>
        <v/>
      </c>
      <c r="G510" s="55" t="str">
        <f>IFERROR(IF(OR($B510="",$B510="(blank)"),"",VLOOKUP($B510,'Email Marketing Raw Data'!$C:$O,4,0)),"")</f>
        <v/>
      </c>
      <c r="H510" s="55" t="str">
        <f>IFERROR(IF(OR($B510="",$B510="(blank)"),"",VLOOKUP($B510,'Email Marketing Raw Data'!$C:$O,5,0)),"")</f>
        <v/>
      </c>
      <c r="I510" s="55" t="str">
        <f>IFERROR(IF($G510="","",VLOOKUP('Dashboard And Emails Automate'!$G510,Database!$H:$N,3,0)),"")</f>
        <v/>
      </c>
      <c r="J510" s="55" t="str">
        <f>IFERROR(IF($G510="","",VLOOKUP('Dashboard And Emails Automate'!$G510,Database!$H:$N,4,0)),"")</f>
        <v/>
      </c>
      <c r="K510" s="55" t="str">
        <f>IFERROR(IF($G510="","",VLOOKUP('Dashboard And Emails Automate'!$G510,Database!$H:$N,5,0)),"")</f>
        <v/>
      </c>
      <c r="L510" s="55" t="str">
        <f>IFERROR(IF($G510="","",VLOOKUP('Dashboard And Emails Automate'!$G510,Database!$H:$N,6,0)),"")</f>
        <v/>
      </c>
      <c r="M510" s="55" t="str">
        <f>IFERROR(IF($G510="","",VLOOKUP('Dashboard And Emails Automate'!$G510,Database!$H:$N,7,0)),"")</f>
        <v/>
      </c>
      <c r="N510" s="55" t="str">
        <f>IFERROR(IF(OR($B510="",$B510="(blank)"),"",VLOOKUP($B510,'Email Marketing Raw Data'!$C:$O,6,0)),"")</f>
        <v/>
      </c>
      <c r="O510" s="55" t="str">
        <f>IFERROR(IF(OR($B510="",$B510="(blank)"),"",VLOOKUP($B510,'Email Marketing Raw Data'!$C:$O,7,0)),"")</f>
        <v/>
      </c>
      <c r="P510" s="55" t="str">
        <f>IFERROR(IF(OR($B510="",$B510="(blank)"),"",VLOOKUP($B510,'Email Marketing Raw Data'!$C:$O,8,0)),"")</f>
        <v/>
      </c>
      <c r="Q510" s="62" t="str">
        <f>IFERROR(IF(OR($B510="",$B510="(blank)"),"",VLOOKUP($B510,'Email Marketing Raw Data'!$C:$O,9,0)),"")</f>
        <v/>
      </c>
    </row>
    <row r="511" spans="4:17" ht="12.75" customHeight="1" x14ac:dyDescent="0.2">
      <c r="D511" s="58" t="str">
        <f>IFERROR(IF(F511&lt;&gt;"pending","",IF(OR($B511="",$B511="(blank)"),"",VLOOKUP($B511,'Email Marketing Raw Data'!$C:$O,10,0))),"")</f>
        <v/>
      </c>
      <c r="E511" s="59" t="str">
        <f>IFERROR(IF(F511&lt;&gt;"pending","",IF(OR($B511="",$B511="(blank)"),"",VLOOKUP($B511,'Email Marketing Raw Data'!$C:$O,11,0))),"")</f>
        <v/>
      </c>
      <c r="F511" s="54" t="str">
        <f>IFERROR(IF(OR($B511="",$B511="(blank)"),"",VLOOKUP($B511,'Email Marketing Raw Data'!$C:$O,13,0)),"")</f>
        <v/>
      </c>
      <c r="G511" s="55" t="str">
        <f>IFERROR(IF(OR($B511="",$B511="(blank)"),"",VLOOKUP($B511,'Email Marketing Raw Data'!$C:$O,4,0)),"")</f>
        <v/>
      </c>
      <c r="H511" s="55" t="str">
        <f>IFERROR(IF(OR($B511="",$B511="(blank)"),"",VLOOKUP($B511,'Email Marketing Raw Data'!$C:$O,5,0)),"")</f>
        <v/>
      </c>
      <c r="I511" s="55" t="str">
        <f>IFERROR(IF($G511="","",VLOOKUP('Dashboard And Emails Automate'!$G511,Database!$H:$N,3,0)),"")</f>
        <v/>
      </c>
      <c r="J511" s="55" t="str">
        <f>IFERROR(IF($G511="","",VLOOKUP('Dashboard And Emails Automate'!$G511,Database!$H:$N,4,0)),"")</f>
        <v/>
      </c>
      <c r="K511" s="55" t="str">
        <f>IFERROR(IF($G511="","",VLOOKUP('Dashboard And Emails Automate'!$G511,Database!$H:$N,5,0)),"")</f>
        <v/>
      </c>
      <c r="L511" s="55" t="str">
        <f>IFERROR(IF($G511="","",VLOOKUP('Dashboard And Emails Automate'!$G511,Database!$H:$N,6,0)),"")</f>
        <v/>
      </c>
      <c r="M511" s="55" t="str">
        <f>IFERROR(IF($G511="","",VLOOKUP('Dashboard And Emails Automate'!$G511,Database!$H:$N,7,0)),"")</f>
        <v/>
      </c>
      <c r="N511" s="55" t="str">
        <f>IFERROR(IF(OR($B511="",$B511="(blank)"),"",VLOOKUP($B511,'Email Marketing Raw Data'!$C:$O,6,0)),"")</f>
        <v/>
      </c>
      <c r="O511" s="55" t="str">
        <f>IFERROR(IF(OR($B511="",$B511="(blank)"),"",VLOOKUP($B511,'Email Marketing Raw Data'!$C:$O,7,0)),"")</f>
        <v/>
      </c>
      <c r="P511" s="55" t="str">
        <f>IFERROR(IF(OR($B511="",$B511="(blank)"),"",VLOOKUP($B511,'Email Marketing Raw Data'!$C:$O,8,0)),"")</f>
        <v/>
      </c>
      <c r="Q511" s="62" t="str">
        <f>IFERROR(IF(OR($B511="",$B511="(blank)"),"",VLOOKUP($B511,'Email Marketing Raw Data'!$C:$O,9,0)),"")</f>
        <v/>
      </c>
    </row>
    <row r="512" spans="4:17" ht="12.75" customHeight="1" x14ac:dyDescent="0.2">
      <c r="D512" s="58" t="str">
        <f>IFERROR(IF(F512&lt;&gt;"pending","",IF(OR($B512="",$B512="(blank)"),"",VLOOKUP($B512,'Email Marketing Raw Data'!$C:$O,10,0))),"")</f>
        <v/>
      </c>
      <c r="E512" s="59" t="str">
        <f>IFERROR(IF(F512&lt;&gt;"pending","",IF(OR($B512="",$B512="(blank)"),"",VLOOKUP($B512,'Email Marketing Raw Data'!$C:$O,11,0))),"")</f>
        <v/>
      </c>
      <c r="F512" s="54" t="str">
        <f>IFERROR(IF(OR($B512="",$B512="(blank)"),"",VLOOKUP($B512,'Email Marketing Raw Data'!$C:$O,13,0)),"")</f>
        <v/>
      </c>
      <c r="G512" s="55" t="str">
        <f>IFERROR(IF(OR($B512="",$B512="(blank)"),"",VLOOKUP($B512,'Email Marketing Raw Data'!$C:$O,4,0)),"")</f>
        <v/>
      </c>
      <c r="H512" s="55" t="str">
        <f>IFERROR(IF(OR($B512="",$B512="(blank)"),"",VLOOKUP($B512,'Email Marketing Raw Data'!$C:$O,5,0)),"")</f>
        <v/>
      </c>
      <c r="I512" s="55" t="str">
        <f>IFERROR(IF($G512="","",VLOOKUP('Dashboard And Emails Automate'!$G512,Database!$H:$N,3,0)),"")</f>
        <v/>
      </c>
      <c r="J512" s="55" t="str">
        <f>IFERROR(IF($G512="","",VLOOKUP('Dashboard And Emails Automate'!$G512,Database!$H:$N,4,0)),"")</f>
        <v/>
      </c>
      <c r="K512" s="55" t="str">
        <f>IFERROR(IF($G512="","",VLOOKUP('Dashboard And Emails Automate'!$G512,Database!$H:$N,5,0)),"")</f>
        <v/>
      </c>
      <c r="L512" s="55" t="str">
        <f>IFERROR(IF($G512="","",VLOOKUP('Dashboard And Emails Automate'!$G512,Database!$H:$N,6,0)),"")</f>
        <v/>
      </c>
      <c r="M512" s="55" t="str">
        <f>IFERROR(IF($G512="","",VLOOKUP('Dashboard And Emails Automate'!$G512,Database!$H:$N,7,0)),"")</f>
        <v/>
      </c>
      <c r="N512" s="55" t="str">
        <f>IFERROR(IF(OR($B512="",$B512="(blank)"),"",VLOOKUP($B512,'Email Marketing Raw Data'!$C:$O,6,0)),"")</f>
        <v/>
      </c>
      <c r="O512" s="55" t="str">
        <f>IFERROR(IF(OR($B512="",$B512="(blank)"),"",VLOOKUP($B512,'Email Marketing Raw Data'!$C:$O,7,0)),"")</f>
        <v/>
      </c>
      <c r="P512" s="55" t="str">
        <f>IFERROR(IF(OR($B512="",$B512="(blank)"),"",VLOOKUP($B512,'Email Marketing Raw Data'!$C:$O,8,0)),"")</f>
        <v/>
      </c>
      <c r="Q512" s="62" t="str">
        <f>IFERROR(IF(OR($B512="",$B512="(blank)"),"",VLOOKUP($B512,'Email Marketing Raw Data'!$C:$O,9,0)),"")</f>
        <v/>
      </c>
    </row>
    <row r="513" spans="4:17" ht="12.75" customHeight="1" x14ac:dyDescent="0.2">
      <c r="D513" s="58" t="str">
        <f>IFERROR(IF(F513&lt;&gt;"pending","",IF(OR($B513="",$B513="(blank)"),"",VLOOKUP($B513,'Email Marketing Raw Data'!$C:$O,10,0))),"")</f>
        <v/>
      </c>
      <c r="E513" s="59" t="str">
        <f>IFERROR(IF(F513&lt;&gt;"pending","",IF(OR($B513="",$B513="(blank)"),"",VLOOKUP($B513,'Email Marketing Raw Data'!$C:$O,11,0))),"")</f>
        <v/>
      </c>
      <c r="F513" s="54" t="str">
        <f>IFERROR(IF(OR($B513="",$B513="(blank)"),"",VLOOKUP($B513,'Email Marketing Raw Data'!$C:$O,13,0)),"")</f>
        <v/>
      </c>
      <c r="G513" s="55" t="str">
        <f>IFERROR(IF(OR($B513="",$B513="(blank)"),"",VLOOKUP($B513,'Email Marketing Raw Data'!$C:$O,4,0)),"")</f>
        <v/>
      </c>
      <c r="H513" s="55" t="str">
        <f>IFERROR(IF(OR($B513="",$B513="(blank)"),"",VLOOKUP($B513,'Email Marketing Raw Data'!$C:$O,5,0)),"")</f>
        <v/>
      </c>
      <c r="I513" s="55" t="str">
        <f>IFERROR(IF($G513="","",VLOOKUP('Dashboard And Emails Automate'!$G513,Database!$H:$N,3,0)),"")</f>
        <v/>
      </c>
      <c r="J513" s="55" t="str">
        <f>IFERROR(IF($G513="","",VLOOKUP('Dashboard And Emails Automate'!$G513,Database!$H:$N,4,0)),"")</f>
        <v/>
      </c>
      <c r="K513" s="55" t="str">
        <f>IFERROR(IF($G513="","",VLOOKUP('Dashboard And Emails Automate'!$G513,Database!$H:$N,5,0)),"")</f>
        <v/>
      </c>
      <c r="L513" s="55" t="str">
        <f>IFERROR(IF($G513="","",VLOOKUP('Dashboard And Emails Automate'!$G513,Database!$H:$N,6,0)),"")</f>
        <v/>
      </c>
      <c r="M513" s="55" t="str">
        <f>IFERROR(IF($G513="","",VLOOKUP('Dashboard And Emails Automate'!$G513,Database!$H:$N,7,0)),"")</f>
        <v/>
      </c>
      <c r="N513" s="55" t="str">
        <f>IFERROR(IF(OR($B513="",$B513="(blank)"),"",VLOOKUP($B513,'Email Marketing Raw Data'!$C:$O,6,0)),"")</f>
        <v/>
      </c>
      <c r="O513" s="55" t="str">
        <f>IFERROR(IF(OR($B513="",$B513="(blank)"),"",VLOOKUP($B513,'Email Marketing Raw Data'!$C:$O,7,0)),"")</f>
        <v/>
      </c>
      <c r="P513" s="55" t="str">
        <f>IFERROR(IF(OR($B513="",$B513="(blank)"),"",VLOOKUP($B513,'Email Marketing Raw Data'!$C:$O,8,0)),"")</f>
        <v/>
      </c>
      <c r="Q513" s="62" t="str">
        <f>IFERROR(IF(OR($B513="",$B513="(blank)"),"",VLOOKUP($B513,'Email Marketing Raw Data'!$C:$O,9,0)),"")</f>
        <v/>
      </c>
    </row>
    <row r="514" spans="4:17" ht="12.75" customHeight="1" x14ac:dyDescent="0.2">
      <c r="D514" s="58" t="str">
        <f>IFERROR(IF(F514&lt;&gt;"pending","",IF(OR($B514="",$B514="(blank)"),"",VLOOKUP($B514,'Email Marketing Raw Data'!$C:$O,10,0))),"")</f>
        <v/>
      </c>
      <c r="E514" s="59" t="str">
        <f>IFERROR(IF(F514&lt;&gt;"pending","",IF(OR($B514="",$B514="(blank)"),"",VLOOKUP($B514,'Email Marketing Raw Data'!$C:$O,11,0))),"")</f>
        <v/>
      </c>
      <c r="F514" s="54" t="str">
        <f>IFERROR(IF(OR($B514="",$B514="(blank)"),"",VLOOKUP($B514,'Email Marketing Raw Data'!$C:$O,13,0)),"")</f>
        <v/>
      </c>
      <c r="G514" s="55" t="str">
        <f>IFERROR(IF(OR($B514="",$B514="(blank)"),"",VLOOKUP($B514,'Email Marketing Raw Data'!$C:$O,4,0)),"")</f>
        <v/>
      </c>
      <c r="H514" s="55" t="str">
        <f>IFERROR(IF(OR($B514="",$B514="(blank)"),"",VLOOKUP($B514,'Email Marketing Raw Data'!$C:$O,5,0)),"")</f>
        <v/>
      </c>
      <c r="I514" s="55" t="str">
        <f>IFERROR(IF($G514="","",VLOOKUP('Dashboard And Emails Automate'!$G514,Database!$H:$N,3,0)),"")</f>
        <v/>
      </c>
      <c r="J514" s="55" t="str">
        <f>IFERROR(IF($G514="","",VLOOKUP('Dashboard And Emails Automate'!$G514,Database!$H:$N,4,0)),"")</f>
        <v/>
      </c>
      <c r="K514" s="55" t="str">
        <f>IFERROR(IF($G514="","",VLOOKUP('Dashboard And Emails Automate'!$G514,Database!$H:$N,5,0)),"")</f>
        <v/>
      </c>
      <c r="L514" s="55" t="str">
        <f>IFERROR(IF($G514="","",VLOOKUP('Dashboard And Emails Automate'!$G514,Database!$H:$N,6,0)),"")</f>
        <v/>
      </c>
      <c r="M514" s="55" t="str">
        <f>IFERROR(IF($G514="","",VLOOKUP('Dashboard And Emails Automate'!$G514,Database!$H:$N,7,0)),"")</f>
        <v/>
      </c>
      <c r="N514" s="55" t="str">
        <f>IFERROR(IF(OR($B514="",$B514="(blank)"),"",VLOOKUP($B514,'Email Marketing Raw Data'!$C:$O,6,0)),"")</f>
        <v/>
      </c>
      <c r="O514" s="55" t="str">
        <f>IFERROR(IF(OR($B514="",$B514="(blank)"),"",VLOOKUP($B514,'Email Marketing Raw Data'!$C:$O,7,0)),"")</f>
        <v/>
      </c>
      <c r="P514" s="55" t="str">
        <f>IFERROR(IF(OR($B514="",$B514="(blank)"),"",VLOOKUP($B514,'Email Marketing Raw Data'!$C:$O,8,0)),"")</f>
        <v/>
      </c>
      <c r="Q514" s="62" t="str">
        <f>IFERROR(IF(OR($B514="",$B514="(blank)"),"",VLOOKUP($B514,'Email Marketing Raw Data'!$C:$O,9,0)),"")</f>
        <v/>
      </c>
    </row>
    <row r="515" spans="4:17" ht="12.75" customHeight="1" x14ac:dyDescent="0.2">
      <c r="D515" s="58" t="str">
        <f>IFERROR(IF(F515&lt;&gt;"pending","",IF(OR($B515="",$B515="(blank)"),"",VLOOKUP($B515,'Email Marketing Raw Data'!$C:$O,10,0))),"")</f>
        <v/>
      </c>
      <c r="E515" s="59" t="str">
        <f>IFERROR(IF(F515&lt;&gt;"pending","",IF(OR($B515="",$B515="(blank)"),"",VLOOKUP($B515,'Email Marketing Raw Data'!$C:$O,11,0))),"")</f>
        <v/>
      </c>
      <c r="F515" s="54" t="str">
        <f>IFERROR(IF(OR($B515="",$B515="(blank)"),"",VLOOKUP($B515,'Email Marketing Raw Data'!$C:$O,13,0)),"")</f>
        <v/>
      </c>
      <c r="G515" s="55" t="str">
        <f>IFERROR(IF(OR($B515="",$B515="(blank)"),"",VLOOKUP($B515,'Email Marketing Raw Data'!$C:$O,4,0)),"")</f>
        <v/>
      </c>
      <c r="H515" s="55" t="str">
        <f>IFERROR(IF(OR($B515="",$B515="(blank)"),"",VLOOKUP($B515,'Email Marketing Raw Data'!$C:$O,5,0)),"")</f>
        <v/>
      </c>
      <c r="I515" s="55" t="str">
        <f>IFERROR(IF($G515="","",VLOOKUP('Dashboard And Emails Automate'!$G515,Database!$H:$N,3,0)),"")</f>
        <v/>
      </c>
      <c r="J515" s="55" t="str">
        <f>IFERROR(IF($G515="","",VLOOKUP('Dashboard And Emails Automate'!$G515,Database!$H:$N,4,0)),"")</f>
        <v/>
      </c>
      <c r="K515" s="55" t="str">
        <f>IFERROR(IF($G515="","",VLOOKUP('Dashboard And Emails Automate'!$G515,Database!$H:$N,5,0)),"")</f>
        <v/>
      </c>
      <c r="L515" s="55" t="str">
        <f>IFERROR(IF($G515="","",VLOOKUP('Dashboard And Emails Automate'!$G515,Database!$H:$N,6,0)),"")</f>
        <v/>
      </c>
      <c r="M515" s="55" t="str">
        <f>IFERROR(IF($G515="","",VLOOKUP('Dashboard And Emails Automate'!$G515,Database!$H:$N,7,0)),"")</f>
        <v/>
      </c>
      <c r="N515" s="55" t="str">
        <f>IFERROR(IF(OR($B515="",$B515="(blank)"),"",VLOOKUP($B515,'Email Marketing Raw Data'!$C:$O,6,0)),"")</f>
        <v/>
      </c>
      <c r="O515" s="55" t="str">
        <f>IFERROR(IF(OR($B515="",$B515="(blank)"),"",VLOOKUP($B515,'Email Marketing Raw Data'!$C:$O,7,0)),"")</f>
        <v/>
      </c>
      <c r="P515" s="55" t="str">
        <f>IFERROR(IF(OR($B515="",$B515="(blank)"),"",VLOOKUP($B515,'Email Marketing Raw Data'!$C:$O,8,0)),"")</f>
        <v/>
      </c>
      <c r="Q515" s="62" t="str">
        <f>IFERROR(IF(OR($B515="",$B515="(blank)"),"",VLOOKUP($B515,'Email Marketing Raw Data'!$C:$O,9,0)),"")</f>
        <v/>
      </c>
    </row>
    <row r="516" spans="4:17" ht="12.75" customHeight="1" x14ac:dyDescent="0.2">
      <c r="D516" s="58" t="str">
        <f>IFERROR(IF(F516&lt;&gt;"pending","",IF(OR($B516="",$B516="(blank)"),"",VLOOKUP($B516,'Email Marketing Raw Data'!$C:$O,10,0))),"")</f>
        <v/>
      </c>
      <c r="E516" s="59" t="str">
        <f>IFERROR(IF(F516&lt;&gt;"pending","",IF(OR($B516="",$B516="(blank)"),"",VLOOKUP($B516,'Email Marketing Raw Data'!$C:$O,11,0))),"")</f>
        <v/>
      </c>
      <c r="F516" s="54" t="str">
        <f>IFERROR(IF(OR($B516="",$B516="(blank)"),"",VLOOKUP($B516,'Email Marketing Raw Data'!$C:$O,13,0)),"")</f>
        <v/>
      </c>
      <c r="G516" s="55" t="str">
        <f>IFERROR(IF(OR($B516="",$B516="(blank)"),"",VLOOKUP($B516,'Email Marketing Raw Data'!$C:$O,4,0)),"")</f>
        <v/>
      </c>
      <c r="H516" s="55" t="str">
        <f>IFERROR(IF(OR($B516="",$B516="(blank)"),"",VLOOKUP($B516,'Email Marketing Raw Data'!$C:$O,5,0)),"")</f>
        <v/>
      </c>
      <c r="I516" s="55" t="str">
        <f>IFERROR(IF($G516="","",VLOOKUP('Dashboard And Emails Automate'!$G516,Database!$H:$N,3,0)),"")</f>
        <v/>
      </c>
      <c r="J516" s="55" t="str">
        <f>IFERROR(IF($G516="","",VLOOKUP('Dashboard And Emails Automate'!$G516,Database!$H:$N,4,0)),"")</f>
        <v/>
      </c>
      <c r="K516" s="55" t="str">
        <f>IFERROR(IF($G516="","",VLOOKUP('Dashboard And Emails Automate'!$G516,Database!$H:$N,5,0)),"")</f>
        <v/>
      </c>
      <c r="L516" s="55" t="str">
        <f>IFERROR(IF($G516="","",VLOOKUP('Dashboard And Emails Automate'!$G516,Database!$H:$N,6,0)),"")</f>
        <v/>
      </c>
      <c r="M516" s="55" t="str">
        <f>IFERROR(IF($G516="","",VLOOKUP('Dashboard And Emails Automate'!$G516,Database!$H:$N,7,0)),"")</f>
        <v/>
      </c>
      <c r="N516" s="55" t="str">
        <f>IFERROR(IF(OR($B516="",$B516="(blank)"),"",VLOOKUP($B516,'Email Marketing Raw Data'!$C:$O,6,0)),"")</f>
        <v/>
      </c>
      <c r="O516" s="55" t="str">
        <f>IFERROR(IF(OR($B516="",$B516="(blank)"),"",VLOOKUP($B516,'Email Marketing Raw Data'!$C:$O,7,0)),"")</f>
        <v/>
      </c>
      <c r="P516" s="55" t="str">
        <f>IFERROR(IF(OR($B516="",$B516="(blank)"),"",VLOOKUP($B516,'Email Marketing Raw Data'!$C:$O,8,0)),"")</f>
        <v/>
      </c>
      <c r="Q516" s="62" t="str">
        <f>IFERROR(IF(OR($B516="",$B516="(blank)"),"",VLOOKUP($B516,'Email Marketing Raw Data'!$C:$O,9,0)),"")</f>
        <v/>
      </c>
    </row>
    <row r="517" spans="4:17" ht="12.75" customHeight="1" x14ac:dyDescent="0.2">
      <c r="D517" s="58" t="str">
        <f>IFERROR(IF(F517&lt;&gt;"pending","",IF(OR($B517="",$B517="(blank)"),"",VLOOKUP($B517,'Email Marketing Raw Data'!$C:$O,10,0))),"")</f>
        <v/>
      </c>
      <c r="E517" s="59" t="str">
        <f>IFERROR(IF(F517&lt;&gt;"pending","",IF(OR($B517="",$B517="(blank)"),"",VLOOKUP($B517,'Email Marketing Raw Data'!$C:$O,11,0))),"")</f>
        <v/>
      </c>
      <c r="F517" s="54" t="str">
        <f>IFERROR(IF(OR($B517="",$B517="(blank)"),"",VLOOKUP($B517,'Email Marketing Raw Data'!$C:$O,13,0)),"")</f>
        <v/>
      </c>
      <c r="G517" s="55" t="str">
        <f>IFERROR(IF(OR($B517="",$B517="(blank)"),"",VLOOKUP($B517,'Email Marketing Raw Data'!$C:$O,4,0)),"")</f>
        <v/>
      </c>
      <c r="H517" s="55" t="str">
        <f>IFERROR(IF(OR($B517="",$B517="(blank)"),"",VLOOKUP($B517,'Email Marketing Raw Data'!$C:$O,5,0)),"")</f>
        <v/>
      </c>
      <c r="I517" s="55" t="str">
        <f>IFERROR(IF($G517="","",VLOOKUP('Dashboard And Emails Automate'!$G517,Database!$H:$N,3,0)),"")</f>
        <v/>
      </c>
      <c r="J517" s="55" t="str">
        <f>IFERROR(IF($G517="","",VLOOKUP('Dashboard And Emails Automate'!$G517,Database!$H:$N,4,0)),"")</f>
        <v/>
      </c>
      <c r="K517" s="55" t="str">
        <f>IFERROR(IF($G517="","",VLOOKUP('Dashboard And Emails Automate'!$G517,Database!$H:$N,5,0)),"")</f>
        <v/>
      </c>
      <c r="L517" s="55" t="str">
        <f>IFERROR(IF($G517="","",VLOOKUP('Dashboard And Emails Automate'!$G517,Database!$H:$N,6,0)),"")</f>
        <v/>
      </c>
      <c r="M517" s="55" t="str">
        <f>IFERROR(IF($G517="","",VLOOKUP('Dashboard And Emails Automate'!$G517,Database!$H:$N,7,0)),"")</f>
        <v/>
      </c>
      <c r="N517" s="55" t="str">
        <f>IFERROR(IF(OR($B517="",$B517="(blank)"),"",VLOOKUP($B517,'Email Marketing Raw Data'!$C:$O,6,0)),"")</f>
        <v/>
      </c>
      <c r="O517" s="55" t="str">
        <f>IFERROR(IF(OR($B517="",$B517="(blank)"),"",VLOOKUP($B517,'Email Marketing Raw Data'!$C:$O,7,0)),"")</f>
        <v/>
      </c>
      <c r="P517" s="55" t="str">
        <f>IFERROR(IF(OR($B517="",$B517="(blank)"),"",VLOOKUP($B517,'Email Marketing Raw Data'!$C:$O,8,0)),"")</f>
        <v/>
      </c>
      <c r="Q517" s="62" t="str">
        <f>IFERROR(IF(OR($B517="",$B517="(blank)"),"",VLOOKUP($B517,'Email Marketing Raw Data'!$C:$O,9,0)),"")</f>
        <v/>
      </c>
    </row>
    <row r="518" spans="4:17" ht="12.75" customHeight="1" x14ac:dyDescent="0.2">
      <c r="D518" s="58" t="str">
        <f>IFERROR(IF(F518&lt;&gt;"pending","",IF(OR($B518="",$B518="(blank)"),"",VLOOKUP($B518,'Email Marketing Raw Data'!$C:$O,10,0))),"")</f>
        <v/>
      </c>
      <c r="E518" s="59" t="str">
        <f>IFERROR(IF(F518&lt;&gt;"pending","",IF(OR($B518="",$B518="(blank)"),"",VLOOKUP($B518,'Email Marketing Raw Data'!$C:$O,11,0))),"")</f>
        <v/>
      </c>
      <c r="F518" s="54" t="str">
        <f>IFERROR(IF(OR($B518="",$B518="(blank)"),"",VLOOKUP($B518,'Email Marketing Raw Data'!$C:$O,13,0)),"")</f>
        <v/>
      </c>
      <c r="G518" s="55" t="str">
        <f>IFERROR(IF(OR($B518="",$B518="(blank)"),"",VLOOKUP($B518,'Email Marketing Raw Data'!$C:$O,4,0)),"")</f>
        <v/>
      </c>
      <c r="H518" s="55" t="str">
        <f>IFERROR(IF(OR($B518="",$B518="(blank)"),"",VLOOKUP($B518,'Email Marketing Raw Data'!$C:$O,5,0)),"")</f>
        <v/>
      </c>
      <c r="I518" s="55" t="str">
        <f>IFERROR(IF($G518="","",VLOOKUP('Dashboard And Emails Automate'!$G518,Database!$H:$N,3,0)),"")</f>
        <v/>
      </c>
      <c r="J518" s="55" t="str">
        <f>IFERROR(IF($G518="","",VLOOKUP('Dashboard And Emails Automate'!$G518,Database!$H:$N,4,0)),"")</f>
        <v/>
      </c>
      <c r="K518" s="55" t="str">
        <f>IFERROR(IF($G518="","",VLOOKUP('Dashboard And Emails Automate'!$G518,Database!$H:$N,5,0)),"")</f>
        <v/>
      </c>
      <c r="L518" s="55" t="str">
        <f>IFERROR(IF($G518="","",VLOOKUP('Dashboard And Emails Automate'!$G518,Database!$H:$N,6,0)),"")</f>
        <v/>
      </c>
      <c r="M518" s="55" t="str">
        <f>IFERROR(IF($G518="","",VLOOKUP('Dashboard And Emails Automate'!$G518,Database!$H:$N,7,0)),"")</f>
        <v/>
      </c>
      <c r="N518" s="55" t="str">
        <f>IFERROR(IF(OR($B518="",$B518="(blank)"),"",VLOOKUP($B518,'Email Marketing Raw Data'!$C:$O,6,0)),"")</f>
        <v/>
      </c>
      <c r="O518" s="55" t="str">
        <f>IFERROR(IF(OR($B518="",$B518="(blank)"),"",VLOOKUP($B518,'Email Marketing Raw Data'!$C:$O,7,0)),"")</f>
        <v/>
      </c>
      <c r="P518" s="55" t="str">
        <f>IFERROR(IF(OR($B518="",$B518="(blank)"),"",VLOOKUP($B518,'Email Marketing Raw Data'!$C:$O,8,0)),"")</f>
        <v/>
      </c>
      <c r="Q518" s="62" t="str">
        <f>IFERROR(IF(OR($B518="",$B518="(blank)"),"",VLOOKUP($B518,'Email Marketing Raw Data'!$C:$O,9,0)),"")</f>
        <v/>
      </c>
    </row>
    <row r="519" spans="4:17" ht="12.75" customHeight="1" x14ac:dyDescent="0.2">
      <c r="D519" s="58" t="str">
        <f>IFERROR(IF(F519&lt;&gt;"pending","",IF(OR($B519="",$B519="(blank)"),"",VLOOKUP($B519,'Email Marketing Raw Data'!$C:$O,10,0))),"")</f>
        <v/>
      </c>
      <c r="E519" s="59" t="str">
        <f>IFERROR(IF(F519&lt;&gt;"pending","",IF(OR($B519="",$B519="(blank)"),"",VLOOKUP($B519,'Email Marketing Raw Data'!$C:$O,11,0))),"")</f>
        <v/>
      </c>
      <c r="F519" s="54" t="str">
        <f>IFERROR(IF(OR($B519="",$B519="(blank)"),"",VLOOKUP($B519,'Email Marketing Raw Data'!$C:$O,13,0)),"")</f>
        <v/>
      </c>
      <c r="G519" s="55" t="str">
        <f>IFERROR(IF(OR($B519="",$B519="(blank)"),"",VLOOKUP($B519,'Email Marketing Raw Data'!$C:$O,4,0)),"")</f>
        <v/>
      </c>
      <c r="H519" s="55" t="str">
        <f>IFERROR(IF(OR($B519="",$B519="(blank)"),"",VLOOKUP($B519,'Email Marketing Raw Data'!$C:$O,5,0)),"")</f>
        <v/>
      </c>
      <c r="I519" s="55" t="str">
        <f>IFERROR(IF($G519="","",VLOOKUP('Dashboard And Emails Automate'!$G519,Database!$H:$N,3,0)),"")</f>
        <v/>
      </c>
      <c r="J519" s="55" t="str">
        <f>IFERROR(IF($G519="","",VLOOKUP('Dashboard And Emails Automate'!$G519,Database!$H:$N,4,0)),"")</f>
        <v/>
      </c>
      <c r="K519" s="55" t="str">
        <f>IFERROR(IF($G519="","",VLOOKUP('Dashboard And Emails Automate'!$G519,Database!$H:$N,5,0)),"")</f>
        <v/>
      </c>
      <c r="L519" s="55" t="str">
        <f>IFERROR(IF($G519="","",VLOOKUP('Dashboard And Emails Automate'!$G519,Database!$H:$N,6,0)),"")</f>
        <v/>
      </c>
      <c r="M519" s="55" t="str">
        <f>IFERROR(IF($G519="","",VLOOKUP('Dashboard And Emails Automate'!$G519,Database!$H:$N,7,0)),"")</f>
        <v/>
      </c>
      <c r="N519" s="55" t="str">
        <f>IFERROR(IF(OR($B519="",$B519="(blank)"),"",VLOOKUP($B519,'Email Marketing Raw Data'!$C:$O,6,0)),"")</f>
        <v/>
      </c>
      <c r="O519" s="55" t="str">
        <f>IFERROR(IF(OR($B519="",$B519="(blank)"),"",VLOOKUP($B519,'Email Marketing Raw Data'!$C:$O,7,0)),"")</f>
        <v/>
      </c>
      <c r="P519" s="55" t="str">
        <f>IFERROR(IF(OR($B519="",$B519="(blank)"),"",VLOOKUP($B519,'Email Marketing Raw Data'!$C:$O,8,0)),"")</f>
        <v/>
      </c>
      <c r="Q519" s="62" t="str">
        <f>IFERROR(IF(OR($B519="",$B519="(blank)"),"",VLOOKUP($B519,'Email Marketing Raw Data'!$C:$O,9,0)),"")</f>
        <v/>
      </c>
    </row>
    <row r="520" spans="4:17" ht="12.75" customHeight="1" x14ac:dyDescent="0.2">
      <c r="D520" s="58" t="str">
        <f>IFERROR(IF(F520&lt;&gt;"pending","",IF(OR($B520="",$B520="(blank)"),"",VLOOKUP($B520,'Email Marketing Raw Data'!$C:$O,10,0))),"")</f>
        <v/>
      </c>
      <c r="E520" s="59" t="str">
        <f>IFERROR(IF(F520&lt;&gt;"pending","",IF(OR($B520="",$B520="(blank)"),"",VLOOKUP($B520,'Email Marketing Raw Data'!$C:$O,11,0))),"")</f>
        <v/>
      </c>
      <c r="F520" s="54" t="str">
        <f>IFERROR(IF(OR($B520="",$B520="(blank)"),"",VLOOKUP($B520,'Email Marketing Raw Data'!$C:$O,13,0)),"")</f>
        <v/>
      </c>
      <c r="G520" s="55" t="str">
        <f>IFERROR(IF(OR($B520="",$B520="(blank)"),"",VLOOKUP($B520,'Email Marketing Raw Data'!$C:$O,4,0)),"")</f>
        <v/>
      </c>
      <c r="H520" s="55" t="str">
        <f>IFERROR(IF(OR($B520="",$B520="(blank)"),"",VLOOKUP($B520,'Email Marketing Raw Data'!$C:$O,5,0)),"")</f>
        <v/>
      </c>
      <c r="I520" s="55" t="str">
        <f>IFERROR(IF($G520="","",VLOOKUP('Dashboard And Emails Automate'!$G520,Database!$H:$N,3,0)),"")</f>
        <v/>
      </c>
      <c r="J520" s="55" t="str">
        <f>IFERROR(IF($G520="","",VLOOKUP('Dashboard And Emails Automate'!$G520,Database!$H:$N,4,0)),"")</f>
        <v/>
      </c>
      <c r="K520" s="55" t="str">
        <f>IFERROR(IF($G520="","",VLOOKUP('Dashboard And Emails Automate'!$G520,Database!$H:$N,5,0)),"")</f>
        <v/>
      </c>
      <c r="L520" s="55" t="str">
        <f>IFERROR(IF($G520="","",VLOOKUP('Dashboard And Emails Automate'!$G520,Database!$H:$N,6,0)),"")</f>
        <v/>
      </c>
      <c r="M520" s="55" t="str">
        <f>IFERROR(IF($G520="","",VLOOKUP('Dashboard And Emails Automate'!$G520,Database!$H:$N,7,0)),"")</f>
        <v/>
      </c>
      <c r="N520" s="55" t="str">
        <f>IFERROR(IF(OR($B520="",$B520="(blank)"),"",VLOOKUP($B520,'Email Marketing Raw Data'!$C:$O,6,0)),"")</f>
        <v/>
      </c>
      <c r="O520" s="55" t="str">
        <f>IFERROR(IF(OR($B520="",$B520="(blank)"),"",VLOOKUP($B520,'Email Marketing Raw Data'!$C:$O,7,0)),"")</f>
        <v/>
      </c>
      <c r="P520" s="55" t="str">
        <f>IFERROR(IF(OR($B520="",$B520="(blank)"),"",VLOOKUP($B520,'Email Marketing Raw Data'!$C:$O,8,0)),"")</f>
        <v/>
      </c>
      <c r="Q520" s="62" t="str">
        <f>IFERROR(IF(OR($B520="",$B520="(blank)"),"",VLOOKUP($B520,'Email Marketing Raw Data'!$C:$O,9,0)),"")</f>
        <v/>
      </c>
    </row>
    <row r="521" spans="4:17" ht="12.75" customHeight="1" x14ac:dyDescent="0.2">
      <c r="D521" s="58" t="str">
        <f>IFERROR(IF(F521&lt;&gt;"pending","",IF(OR($B521="",$B521="(blank)"),"",VLOOKUP($B521,'Email Marketing Raw Data'!$C:$O,10,0))),"")</f>
        <v/>
      </c>
      <c r="E521" s="59" t="str">
        <f>IFERROR(IF(F521&lt;&gt;"pending","",IF(OR($B521="",$B521="(blank)"),"",VLOOKUP($B521,'Email Marketing Raw Data'!$C:$O,11,0))),"")</f>
        <v/>
      </c>
      <c r="F521" s="54" t="str">
        <f>IFERROR(IF(OR($B521="",$B521="(blank)"),"",VLOOKUP($B521,'Email Marketing Raw Data'!$C:$O,13,0)),"")</f>
        <v/>
      </c>
      <c r="G521" s="55" t="str">
        <f>IFERROR(IF(OR($B521="",$B521="(blank)"),"",VLOOKUP($B521,'Email Marketing Raw Data'!$C:$O,4,0)),"")</f>
        <v/>
      </c>
      <c r="H521" s="55" t="str">
        <f>IFERROR(IF(OR($B521="",$B521="(blank)"),"",VLOOKUP($B521,'Email Marketing Raw Data'!$C:$O,5,0)),"")</f>
        <v/>
      </c>
      <c r="I521" s="55" t="str">
        <f>IFERROR(IF($G521="","",VLOOKUP('Dashboard And Emails Automate'!$G521,Database!$H:$N,3,0)),"")</f>
        <v/>
      </c>
      <c r="J521" s="55" t="str">
        <f>IFERROR(IF($G521="","",VLOOKUP('Dashboard And Emails Automate'!$G521,Database!$H:$N,4,0)),"")</f>
        <v/>
      </c>
      <c r="K521" s="55" t="str">
        <f>IFERROR(IF($G521="","",VLOOKUP('Dashboard And Emails Automate'!$G521,Database!$H:$N,5,0)),"")</f>
        <v/>
      </c>
      <c r="L521" s="55" t="str">
        <f>IFERROR(IF($G521="","",VLOOKUP('Dashboard And Emails Automate'!$G521,Database!$H:$N,6,0)),"")</f>
        <v/>
      </c>
      <c r="M521" s="55" t="str">
        <f>IFERROR(IF($G521="","",VLOOKUP('Dashboard And Emails Automate'!$G521,Database!$H:$N,7,0)),"")</f>
        <v/>
      </c>
      <c r="N521" s="55" t="str">
        <f>IFERROR(IF(OR($B521="",$B521="(blank)"),"",VLOOKUP($B521,'Email Marketing Raw Data'!$C:$O,6,0)),"")</f>
        <v/>
      </c>
      <c r="O521" s="55" t="str">
        <f>IFERROR(IF(OR($B521="",$B521="(blank)"),"",VLOOKUP($B521,'Email Marketing Raw Data'!$C:$O,7,0)),"")</f>
        <v/>
      </c>
      <c r="P521" s="55" t="str">
        <f>IFERROR(IF(OR($B521="",$B521="(blank)"),"",VLOOKUP($B521,'Email Marketing Raw Data'!$C:$O,8,0)),"")</f>
        <v/>
      </c>
      <c r="Q521" s="62" t="str">
        <f>IFERROR(IF(OR($B521="",$B521="(blank)"),"",VLOOKUP($B521,'Email Marketing Raw Data'!$C:$O,9,0)),"")</f>
        <v/>
      </c>
    </row>
    <row r="522" spans="4:17" ht="12.75" customHeight="1" x14ac:dyDescent="0.2">
      <c r="D522" s="58" t="str">
        <f>IFERROR(IF(F522&lt;&gt;"pending","",IF(OR($B522="",$B522="(blank)"),"",VLOOKUP($B522,'Email Marketing Raw Data'!$C:$O,10,0))),"")</f>
        <v/>
      </c>
      <c r="E522" s="59" t="str">
        <f>IFERROR(IF(F522&lt;&gt;"pending","",IF(OR($B522="",$B522="(blank)"),"",VLOOKUP($B522,'Email Marketing Raw Data'!$C:$O,11,0))),"")</f>
        <v/>
      </c>
      <c r="F522" s="54" t="str">
        <f>IFERROR(IF(OR($B522="",$B522="(blank)"),"",VLOOKUP($B522,'Email Marketing Raw Data'!$C:$O,13,0)),"")</f>
        <v/>
      </c>
      <c r="G522" s="55" t="str">
        <f>IFERROR(IF(OR($B522="",$B522="(blank)"),"",VLOOKUP($B522,'Email Marketing Raw Data'!$C:$O,4,0)),"")</f>
        <v/>
      </c>
      <c r="H522" s="55" t="str">
        <f>IFERROR(IF(OR($B522="",$B522="(blank)"),"",VLOOKUP($B522,'Email Marketing Raw Data'!$C:$O,5,0)),"")</f>
        <v/>
      </c>
      <c r="I522" s="55" t="str">
        <f>IFERROR(IF($G522="","",VLOOKUP('Dashboard And Emails Automate'!$G522,Database!$H:$N,3,0)),"")</f>
        <v/>
      </c>
      <c r="J522" s="55" t="str">
        <f>IFERROR(IF($G522="","",VLOOKUP('Dashboard And Emails Automate'!$G522,Database!$H:$N,4,0)),"")</f>
        <v/>
      </c>
      <c r="K522" s="55" t="str">
        <f>IFERROR(IF($G522="","",VLOOKUP('Dashboard And Emails Automate'!$G522,Database!$H:$N,5,0)),"")</f>
        <v/>
      </c>
      <c r="L522" s="55" t="str">
        <f>IFERROR(IF($G522="","",VLOOKUP('Dashboard And Emails Automate'!$G522,Database!$H:$N,6,0)),"")</f>
        <v/>
      </c>
      <c r="M522" s="55" t="str">
        <f>IFERROR(IF($G522="","",VLOOKUP('Dashboard And Emails Automate'!$G522,Database!$H:$N,7,0)),"")</f>
        <v/>
      </c>
      <c r="N522" s="55" t="str">
        <f>IFERROR(IF(OR($B522="",$B522="(blank)"),"",VLOOKUP($B522,'Email Marketing Raw Data'!$C:$O,6,0)),"")</f>
        <v/>
      </c>
      <c r="O522" s="55" t="str">
        <f>IFERROR(IF(OR($B522="",$B522="(blank)"),"",VLOOKUP($B522,'Email Marketing Raw Data'!$C:$O,7,0)),"")</f>
        <v/>
      </c>
      <c r="P522" s="55" t="str">
        <f>IFERROR(IF(OR($B522="",$B522="(blank)"),"",VLOOKUP($B522,'Email Marketing Raw Data'!$C:$O,8,0)),"")</f>
        <v/>
      </c>
      <c r="Q522" s="62" t="str">
        <f>IFERROR(IF(OR($B522="",$B522="(blank)"),"",VLOOKUP($B522,'Email Marketing Raw Data'!$C:$O,9,0)),"")</f>
        <v/>
      </c>
    </row>
    <row r="523" spans="4:17" ht="12.75" customHeight="1" x14ac:dyDescent="0.2">
      <c r="D523" s="58" t="str">
        <f>IFERROR(IF(F523&lt;&gt;"pending","",IF(OR($B523="",$B523="(blank)"),"",VLOOKUP($B523,'Email Marketing Raw Data'!$C:$O,10,0))),"")</f>
        <v/>
      </c>
      <c r="E523" s="59" t="str">
        <f>IFERROR(IF(F523&lt;&gt;"pending","",IF(OR($B523="",$B523="(blank)"),"",VLOOKUP($B523,'Email Marketing Raw Data'!$C:$O,11,0))),"")</f>
        <v/>
      </c>
      <c r="F523" s="54" t="str">
        <f>IFERROR(IF(OR($B523="",$B523="(blank)"),"",VLOOKUP($B523,'Email Marketing Raw Data'!$C:$O,13,0)),"")</f>
        <v/>
      </c>
      <c r="G523" s="55" t="str">
        <f>IFERROR(IF(OR($B523="",$B523="(blank)"),"",VLOOKUP($B523,'Email Marketing Raw Data'!$C:$O,4,0)),"")</f>
        <v/>
      </c>
      <c r="H523" s="55" t="str">
        <f>IFERROR(IF(OR($B523="",$B523="(blank)"),"",VLOOKUP($B523,'Email Marketing Raw Data'!$C:$O,5,0)),"")</f>
        <v/>
      </c>
      <c r="I523" s="55" t="str">
        <f>IFERROR(IF($G523="","",VLOOKUP('Dashboard And Emails Automate'!$G523,Database!$H:$N,3,0)),"")</f>
        <v/>
      </c>
      <c r="J523" s="55" t="str">
        <f>IFERROR(IF($G523="","",VLOOKUP('Dashboard And Emails Automate'!$G523,Database!$H:$N,4,0)),"")</f>
        <v/>
      </c>
      <c r="K523" s="55" t="str">
        <f>IFERROR(IF($G523="","",VLOOKUP('Dashboard And Emails Automate'!$G523,Database!$H:$N,5,0)),"")</f>
        <v/>
      </c>
      <c r="L523" s="55" t="str">
        <f>IFERROR(IF($G523="","",VLOOKUP('Dashboard And Emails Automate'!$G523,Database!$H:$N,6,0)),"")</f>
        <v/>
      </c>
      <c r="M523" s="55" t="str">
        <f>IFERROR(IF($G523="","",VLOOKUP('Dashboard And Emails Automate'!$G523,Database!$H:$N,7,0)),"")</f>
        <v/>
      </c>
      <c r="N523" s="55" t="str">
        <f>IFERROR(IF(OR($B523="",$B523="(blank)"),"",VLOOKUP($B523,'Email Marketing Raw Data'!$C:$O,6,0)),"")</f>
        <v/>
      </c>
      <c r="O523" s="55" t="str">
        <f>IFERROR(IF(OR($B523="",$B523="(blank)"),"",VLOOKUP($B523,'Email Marketing Raw Data'!$C:$O,7,0)),"")</f>
        <v/>
      </c>
      <c r="P523" s="55" t="str">
        <f>IFERROR(IF(OR($B523="",$B523="(blank)"),"",VLOOKUP($B523,'Email Marketing Raw Data'!$C:$O,8,0)),"")</f>
        <v/>
      </c>
      <c r="Q523" s="62" t="str">
        <f>IFERROR(IF(OR($B523="",$B523="(blank)"),"",VLOOKUP($B523,'Email Marketing Raw Data'!$C:$O,9,0)),"")</f>
        <v/>
      </c>
    </row>
    <row r="524" spans="4:17" ht="12.75" customHeight="1" x14ac:dyDescent="0.2">
      <c r="D524" s="58" t="str">
        <f>IFERROR(IF(F524&lt;&gt;"pending","",IF(OR($B524="",$B524="(blank)"),"",VLOOKUP($B524,'Email Marketing Raw Data'!$C:$O,10,0))),"")</f>
        <v/>
      </c>
      <c r="E524" s="59" t="str">
        <f>IFERROR(IF(F524&lt;&gt;"pending","",IF(OR($B524="",$B524="(blank)"),"",VLOOKUP($B524,'Email Marketing Raw Data'!$C:$O,11,0))),"")</f>
        <v/>
      </c>
      <c r="F524" s="54" t="str">
        <f>IFERROR(IF(OR($B524="",$B524="(blank)"),"",VLOOKUP($B524,'Email Marketing Raw Data'!$C:$O,13,0)),"")</f>
        <v/>
      </c>
      <c r="G524" s="55" t="str">
        <f>IFERROR(IF(OR($B524="",$B524="(blank)"),"",VLOOKUP($B524,'Email Marketing Raw Data'!$C:$O,4,0)),"")</f>
        <v/>
      </c>
      <c r="H524" s="55" t="str">
        <f>IFERROR(IF(OR($B524="",$B524="(blank)"),"",VLOOKUP($B524,'Email Marketing Raw Data'!$C:$O,5,0)),"")</f>
        <v/>
      </c>
      <c r="I524" s="55" t="str">
        <f>IFERROR(IF($G524="","",VLOOKUP('Dashboard And Emails Automate'!$G524,Database!$H:$N,3,0)),"")</f>
        <v/>
      </c>
      <c r="J524" s="55" t="str">
        <f>IFERROR(IF($G524="","",VLOOKUP('Dashboard And Emails Automate'!$G524,Database!$H:$N,4,0)),"")</f>
        <v/>
      </c>
      <c r="K524" s="55" t="str">
        <f>IFERROR(IF($G524="","",VLOOKUP('Dashboard And Emails Automate'!$G524,Database!$H:$N,5,0)),"")</f>
        <v/>
      </c>
      <c r="L524" s="55" t="str">
        <f>IFERROR(IF($G524="","",VLOOKUP('Dashboard And Emails Automate'!$G524,Database!$H:$N,6,0)),"")</f>
        <v/>
      </c>
      <c r="M524" s="55" t="str">
        <f>IFERROR(IF($G524="","",VLOOKUP('Dashboard And Emails Automate'!$G524,Database!$H:$N,7,0)),"")</f>
        <v/>
      </c>
      <c r="N524" s="55" t="str">
        <f>IFERROR(IF(OR($B524="",$B524="(blank)"),"",VLOOKUP($B524,'Email Marketing Raw Data'!$C:$O,6,0)),"")</f>
        <v/>
      </c>
      <c r="O524" s="55" t="str">
        <f>IFERROR(IF(OR($B524="",$B524="(blank)"),"",VLOOKUP($B524,'Email Marketing Raw Data'!$C:$O,7,0)),"")</f>
        <v/>
      </c>
      <c r="P524" s="55" t="str">
        <f>IFERROR(IF(OR($B524="",$B524="(blank)"),"",VLOOKUP($B524,'Email Marketing Raw Data'!$C:$O,8,0)),"")</f>
        <v/>
      </c>
      <c r="Q524" s="62" t="str">
        <f>IFERROR(IF(OR($B524="",$B524="(blank)"),"",VLOOKUP($B524,'Email Marketing Raw Data'!$C:$O,9,0)),"")</f>
        <v/>
      </c>
    </row>
    <row r="525" spans="4:17" ht="12.75" customHeight="1" x14ac:dyDescent="0.2">
      <c r="D525" s="58" t="str">
        <f>IFERROR(IF(F525&lt;&gt;"pending","",IF(OR($B525="",$B525="(blank)"),"",VLOOKUP($B525,'Email Marketing Raw Data'!$C:$O,10,0))),"")</f>
        <v/>
      </c>
      <c r="E525" s="59" t="str">
        <f>IFERROR(IF(F525&lt;&gt;"pending","",IF(OR($B525="",$B525="(blank)"),"",VLOOKUP($B525,'Email Marketing Raw Data'!$C:$O,11,0))),"")</f>
        <v/>
      </c>
      <c r="F525" s="54" t="str">
        <f>IFERROR(IF(OR($B525="",$B525="(blank)"),"",VLOOKUP($B525,'Email Marketing Raw Data'!$C:$O,13,0)),"")</f>
        <v/>
      </c>
      <c r="G525" s="55" t="str">
        <f>IFERROR(IF(OR($B525="",$B525="(blank)"),"",VLOOKUP($B525,'Email Marketing Raw Data'!$C:$O,4,0)),"")</f>
        <v/>
      </c>
      <c r="H525" s="55" t="str">
        <f>IFERROR(IF(OR($B525="",$B525="(blank)"),"",VLOOKUP($B525,'Email Marketing Raw Data'!$C:$O,5,0)),"")</f>
        <v/>
      </c>
      <c r="I525" s="55" t="str">
        <f>IFERROR(IF($G525="","",VLOOKUP('Dashboard And Emails Automate'!$G525,Database!$H:$N,3,0)),"")</f>
        <v/>
      </c>
      <c r="J525" s="55" t="str">
        <f>IFERROR(IF($G525="","",VLOOKUP('Dashboard And Emails Automate'!$G525,Database!$H:$N,4,0)),"")</f>
        <v/>
      </c>
      <c r="K525" s="55" t="str">
        <f>IFERROR(IF($G525="","",VLOOKUP('Dashboard And Emails Automate'!$G525,Database!$H:$N,5,0)),"")</f>
        <v/>
      </c>
      <c r="L525" s="55" t="str">
        <f>IFERROR(IF($G525="","",VLOOKUP('Dashboard And Emails Automate'!$G525,Database!$H:$N,6,0)),"")</f>
        <v/>
      </c>
      <c r="M525" s="55" t="str">
        <f>IFERROR(IF($G525="","",VLOOKUP('Dashboard And Emails Automate'!$G525,Database!$H:$N,7,0)),"")</f>
        <v/>
      </c>
      <c r="N525" s="55" t="str">
        <f>IFERROR(IF(OR($B525="",$B525="(blank)"),"",VLOOKUP($B525,'Email Marketing Raw Data'!$C:$O,6,0)),"")</f>
        <v/>
      </c>
      <c r="O525" s="55" t="str">
        <f>IFERROR(IF(OR($B525="",$B525="(blank)"),"",VLOOKUP($B525,'Email Marketing Raw Data'!$C:$O,7,0)),"")</f>
        <v/>
      </c>
      <c r="P525" s="55" t="str">
        <f>IFERROR(IF(OR($B525="",$B525="(blank)"),"",VLOOKUP($B525,'Email Marketing Raw Data'!$C:$O,8,0)),"")</f>
        <v/>
      </c>
      <c r="Q525" s="62" t="str">
        <f>IFERROR(IF(OR($B525="",$B525="(blank)"),"",VLOOKUP($B525,'Email Marketing Raw Data'!$C:$O,9,0)),"")</f>
        <v/>
      </c>
    </row>
    <row r="526" spans="4:17" ht="12.75" customHeight="1" x14ac:dyDescent="0.2">
      <c r="D526" s="58" t="str">
        <f>IFERROR(IF(F526&lt;&gt;"pending","",IF(OR($B526="",$B526="(blank)"),"",VLOOKUP($B526,'Email Marketing Raw Data'!$C:$O,10,0))),"")</f>
        <v/>
      </c>
      <c r="E526" s="59" t="str">
        <f>IFERROR(IF(F526&lt;&gt;"pending","",IF(OR($B526="",$B526="(blank)"),"",VLOOKUP($B526,'Email Marketing Raw Data'!$C:$O,11,0))),"")</f>
        <v/>
      </c>
      <c r="F526" s="54" t="str">
        <f>IFERROR(IF(OR($B526="",$B526="(blank)"),"",VLOOKUP($B526,'Email Marketing Raw Data'!$C:$O,13,0)),"")</f>
        <v/>
      </c>
      <c r="G526" s="55" t="str">
        <f>IFERROR(IF(OR($B526="",$B526="(blank)"),"",VLOOKUP($B526,'Email Marketing Raw Data'!$C:$O,4,0)),"")</f>
        <v/>
      </c>
      <c r="H526" s="55" t="str">
        <f>IFERROR(IF(OR($B526="",$B526="(blank)"),"",VLOOKUP($B526,'Email Marketing Raw Data'!$C:$O,5,0)),"")</f>
        <v/>
      </c>
      <c r="I526" s="55" t="str">
        <f>IFERROR(IF($G526="","",VLOOKUP('Dashboard And Emails Automate'!$G526,Database!$H:$N,3,0)),"")</f>
        <v/>
      </c>
      <c r="J526" s="55" t="str">
        <f>IFERROR(IF($G526="","",VLOOKUP('Dashboard And Emails Automate'!$G526,Database!$H:$N,4,0)),"")</f>
        <v/>
      </c>
      <c r="K526" s="55" t="str">
        <f>IFERROR(IF($G526="","",VLOOKUP('Dashboard And Emails Automate'!$G526,Database!$H:$N,5,0)),"")</f>
        <v/>
      </c>
      <c r="L526" s="55" t="str">
        <f>IFERROR(IF($G526="","",VLOOKUP('Dashboard And Emails Automate'!$G526,Database!$H:$N,6,0)),"")</f>
        <v/>
      </c>
      <c r="M526" s="55" t="str">
        <f>IFERROR(IF($G526="","",VLOOKUP('Dashboard And Emails Automate'!$G526,Database!$H:$N,7,0)),"")</f>
        <v/>
      </c>
      <c r="N526" s="55" t="str">
        <f>IFERROR(IF(OR($B526="",$B526="(blank)"),"",VLOOKUP($B526,'Email Marketing Raw Data'!$C:$O,6,0)),"")</f>
        <v/>
      </c>
      <c r="O526" s="55" t="str">
        <f>IFERROR(IF(OR($B526="",$B526="(blank)"),"",VLOOKUP($B526,'Email Marketing Raw Data'!$C:$O,7,0)),"")</f>
        <v/>
      </c>
      <c r="P526" s="55" t="str">
        <f>IFERROR(IF(OR($B526="",$B526="(blank)"),"",VLOOKUP($B526,'Email Marketing Raw Data'!$C:$O,8,0)),"")</f>
        <v/>
      </c>
      <c r="Q526" s="62" t="str">
        <f>IFERROR(IF(OR($B526="",$B526="(blank)"),"",VLOOKUP($B526,'Email Marketing Raw Data'!$C:$O,9,0)),"")</f>
        <v/>
      </c>
    </row>
    <row r="527" spans="4:17" ht="12.75" customHeight="1" x14ac:dyDescent="0.2">
      <c r="D527" s="58" t="str">
        <f>IFERROR(IF(F527&lt;&gt;"pending","",IF(OR($B527="",$B527="(blank)"),"",VLOOKUP($B527,'Email Marketing Raw Data'!$C:$O,10,0))),"")</f>
        <v/>
      </c>
      <c r="E527" s="59" t="str">
        <f>IFERROR(IF(F527&lt;&gt;"pending","",IF(OR($B527="",$B527="(blank)"),"",VLOOKUP($B527,'Email Marketing Raw Data'!$C:$O,11,0))),"")</f>
        <v/>
      </c>
      <c r="F527" s="54" t="str">
        <f>IFERROR(IF(OR($B527="",$B527="(blank)"),"",VLOOKUP($B527,'Email Marketing Raw Data'!$C:$O,13,0)),"")</f>
        <v/>
      </c>
      <c r="G527" s="55" t="str">
        <f>IFERROR(IF(OR($B527="",$B527="(blank)"),"",VLOOKUP($B527,'Email Marketing Raw Data'!$C:$O,4,0)),"")</f>
        <v/>
      </c>
      <c r="H527" s="55" t="str">
        <f>IFERROR(IF(OR($B527="",$B527="(blank)"),"",VLOOKUP($B527,'Email Marketing Raw Data'!$C:$O,5,0)),"")</f>
        <v/>
      </c>
      <c r="I527" s="55" t="str">
        <f>IFERROR(IF($G527="","",VLOOKUP('Dashboard And Emails Automate'!$G527,Database!$H:$N,3,0)),"")</f>
        <v/>
      </c>
      <c r="J527" s="55" t="str">
        <f>IFERROR(IF($G527="","",VLOOKUP('Dashboard And Emails Automate'!$G527,Database!$H:$N,4,0)),"")</f>
        <v/>
      </c>
      <c r="K527" s="55" t="str">
        <f>IFERROR(IF($G527="","",VLOOKUP('Dashboard And Emails Automate'!$G527,Database!$H:$N,5,0)),"")</f>
        <v/>
      </c>
      <c r="L527" s="55" t="str">
        <f>IFERROR(IF($G527="","",VLOOKUP('Dashboard And Emails Automate'!$G527,Database!$H:$N,6,0)),"")</f>
        <v/>
      </c>
      <c r="M527" s="55" t="str">
        <f>IFERROR(IF($G527="","",VLOOKUP('Dashboard And Emails Automate'!$G527,Database!$H:$N,7,0)),"")</f>
        <v/>
      </c>
      <c r="N527" s="55" t="str">
        <f>IFERROR(IF(OR($B527="",$B527="(blank)"),"",VLOOKUP($B527,'Email Marketing Raw Data'!$C:$O,6,0)),"")</f>
        <v/>
      </c>
      <c r="O527" s="55" t="str">
        <f>IFERROR(IF(OR($B527="",$B527="(blank)"),"",VLOOKUP($B527,'Email Marketing Raw Data'!$C:$O,7,0)),"")</f>
        <v/>
      </c>
      <c r="P527" s="55" t="str">
        <f>IFERROR(IF(OR($B527="",$B527="(blank)"),"",VLOOKUP($B527,'Email Marketing Raw Data'!$C:$O,8,0)),"")</f>
        <v/>
      </c>
      <c r="Q527" s="62" t="str">
        <f>IFERROR(IF(OR($B527="",$B527="(blank)"),"",VLOOKUP($B527,'Email Marketing Raw Data'!$C:$O,9,0)),"")</f>
        <v/>
      </c>
    </row>
    <row r="528" spans="4:17" ht="12.75" customHeight="1" x14ac:dyDescent="0.2">
      <c r="D528" s="58" t="str">
        <f>IFERROR(IF(F528&lt;&gt;"pending","",IF(OR($B528="",$B528="(blank)"),"",VLOOKUP($B528,'Email Marketing Raw Data'!$C:$O,10,0))),"")</f>
        <v/>
      </c>
      <c r="E528" s="59" t="str">
        <f>IFERROR(IF(F528&lt;&gt;"pending","",IF(OR($B528="",$B528="(blank)"),"",VLOOKUP($B528,'Email Marketing Raw Data'!$C:$O,11,0))),"")</f>
        <v/>
      </c>
      <c r="F528" s="54" t="str">
        <f>IFERROR(IF(OR($B528="",$B528="(blank)"),"",VLOOKUP($B528,'Email Marketing Raw Data'!$C:$O,13,0)),"")</f>
        <v/>
      </c>
      <c r="G528" s="55" t="str">
        <f>IFERROR(IF(OR($B528="",$B528="(blank)"),"",VLOOKUP($B528,'Email Marketing Raw Data'!$C:$O,4,0)),"")</f>
        <v/>
      </c>
      <c r="H528" s="55" t="str">
        <f>IFERROR(IF(OR($B528="",$B528="(blank)"),"",VLOOKUP($B528,'Email Marketing Raw Data'!$C:$O,5,0)),"")</f>
        <v/>
      </c>
      <c r="I528" s="55" t="str">
        <f>IFERROR(IF($G528="","",VLOOKUP('Dashboard And Emails Automate'!$G528,Database!$H:$N,3,0)),"")</f>
        <v/>
      </c>
      <c r="J528" s="55" t="str">
        <f>IFERROR(IF($G528="","",VLOOKUP('Dashboard And Emails Automate'!$G528,Database!$H:$N,4,0)),"")</f>
        <v/>
      </c>
      <c r="K528" s="55" t="str">
        <f>IFERROR(IF($G528="","",VLOOKUP('Dashboard And Emails Automate'!$G528,Database!$H:$N,5,0)),"")</f>
        <v/>
      </c>
      <c r="L528" s="55" t="str">
        <f>IFERROR(IF($G528="","",VLOOKUP('Dashboard And Emails Automate'!$G528,Database!$H:$N,6,0)),"")</f>
        <v/>
      </c>
      <c r="M528" s="55" t="str">
        <f>IFERROR(IF($G528="","",VLOOKUP('Dashboard And Emails Automate'!$G528,Database!$H:$N,7,0)),"")</f>
        <v/>
      </c>
      <c r="N528" s="55" t="str">
        <f>IFERROR(IF(OR($B528="",$B528="(blank)"),"",VLOOKUP($B528,'Email Marketing Raw Data'!$C:$O,6,0)),"")</f>
        <v/>
      </c>
      <c r="O528" s="55" t="str">
        <f>IFERROR(IF(OR($B528="",$B528="(blank)"),"",VLOOKUP($B528,'Email Marketing Raw Data'!$C:$O,7,0)),"")</f>
        <v/>
      </c>
      <c r="P528" s="55" t="str">
        <f>IFERROR(IF(OR($B528="",$B528="(blank)"),"",VLOOKUP($B528,'Email Marketing Raw Data'!$C:$O,8,0)),"")</f>
        <v/>
      </c>
      <c r="Q528" s="62" t="str">
        <f>IFERROR(IF(OR($B528="",$B528="(blank)"),"",VLOOKUP($B528,'Email Marketing Raw Data'!$C:$O,9,0)),"")</f>
        <v/>
      </c>
    </row>
    <row r="529" spans="4:17" ht="12.75" customHeight="1" x14ac:dyDescent="0.2">
      <c r="D529" s="58" t="str">
        <f>IFERROR(IF(F529&lt;&gt;"pending","",IF(OR($B529="",$B529="(blank)"),"",VLOOKUP($B529,'Email Marketing Raw Data'!$C:$O,10,0))),"")</f>
        <v/>
      </c>
      <c r="E529" s="59" t="str">
        <f>IFERROR(IF(F529&lt;&gt;"pending","",IF(OR($B529="",$B529="(blank)"),"",VLOOKUP($B529,'Email Marketing Raw Data'!$C:$O,11,0))),"")</f>
        <v/>
      </c>
      <c r="F529" s="54" t="str">
        <f>IFERROR(IF(OR($B529="",$B529="(blank)"),"",VLOOKUP($B529,'Email Marketing Raw Data'!$C:$O,13,0)),"")</f>
        <v/>
      </c>
      <c r="G529" s="55" t="str">
        <f>IFERROR(IF(OR($B529="",$B529="(blank)"),"",VLOOKUP($B529,'Email Marketing Raw Data'!$C:$O,4,0)),"")</f>
        <v/>
      </c>
      <c r="H529" s="55" t="str">
        <f>IFERROR(IF(OR($B529="",$B529="(blank)"),"",VLOOKUP($B529,'Email Marketing Raw Data'!$C:$O,5,0)),"")</f>
        <v/>
      </c>
      <c r="I529" s="55" t="str">
        <f>IFERROR(IF($G529="","",VLOOKUP('Dashboard And Emails Automate'!$G529,Database!$H:$N,3,0)),"")</f>
        <v/>
      </c>
      <c r="J529" s="55" t="str">
        <f>IFERROR(IF($G529="","",VLOOKUP('Dashboard And Emails Automate'!$G529,Database!$H:$N,4,0)),"")</f>
        <v/>
      </c>
      <c r="K529" s="55" t="str">
        <f>IFERROR(IF($G529="","",VLOOKUP('Dashboard And Emails Automate'!$G529,Database!$H:$N,5,0)),"")</f>
        <v/>
      </c>
      <c r="L529" s="55" t="str">
        <f>IFERROR(IF($G529="","",VLOOKUP('Dashboard And Emails Automate'!$G529,Database!$H:$N,6,0)),"")</f>
        <v/>
      </c>
      <c r="M529" s="55" t="str">
        <f>IFERROR(IF($G529="","",VLOOKUP('Dashboard And Emails Automate'!$G529,Database!$H:$N,7,0)),"")</f>
        <v/>
      </c>
      <c r="N529" s="55" t="str">
        <f>IFERROR(IF(OR($B529="",$B529="(blank)"),"",VLOOKUP($B529,'Email Marketing Raw Data'!$C:$O,6,0)),"")</f>
        <v/>
      </c>
      <c r="O529" s="55" t="str">
        <f>IFERROR(IF(OR($B529="",$B529="(blank)"),"",VLOOKUP($B529,'Email Marketing Raw Data'!$C:$O,7,0)),"")</f>
        <v/>
      </c>
      <c r="P529" s="55" t="str">
        <f>IFERROR(IF(OR($B529="",$B529="(blank)"),"",VLOOKUP($B529,'Email Marketing Raw Data'!$C:$O,8,0)),"")</f>
        <v/>
      </c>
      <c r="Q529" s="62" t="str">
        <f>IFERROR(IF(OR($B529="",$B529="(blank)"),"",VLOOKUP($B529,'Email Marketing Raw Data'!$C:$O,9,0)),"")</f>
        <v/>
      </c>
    </row>
    <row r="530" spans="4:17" ht="12.75" customHeight="1" x14ac:dyDescent="0.2">
      <c r="D530" s="58" t="str">
        <f>IFERROR(IF(F530&lt;&gt;"pending","",IF(OR($B530="",$B530="(blank)"),"",VLOOKUP($B530,'Email Marketing Raw Data'!$C:$O,10,0))),"")</f>
        <v/>
      </c>
      <c r="E530" s="59" t="str">
        <f>IFERROR(IF(F530&lt;&gt;"pending","",IF(OR($B530="",$B530="(blank)"),"",VLOOKUP($B530,'Email Marketing Raw Data'!$C:$O,11,0))),"")</f>
        <v/>
      </c>
      <c r="F530" s="54" t="str">
        <f>IFERROR(IF(OR($B530="",$B530="(blank)"),"",VLOOKUP($B530,'Email Marketing Raw Data'!$C:$O,13,0)),"")</f>
        <v/>
      </c>
      <c r="G530" s="55" t="str">
        <f>IFERROR(IF(OR($B530="",$B530="(blank)"),"",VLOOKUP($B530,'Email Marketing Raw Data'!$C:$O,4,0)),"")</f>
        <v/>
      </c>
      <c r="H530" s="55" t="str">
        <f>IFERROR(IF(OR($B530="",$B530="(blank)"),"",VLOOKUP($B530,'Email Marketing Raw Data'!$C:$O,5,0)),"")</f>
        <v/>
      </c>
      <c r="I530" s="55" t="str">
        <f>IFERROR(IF($G530="","",VLOOKUP('Dashboard And Emails Automate'!$G530,Database!$H:$N,3,0)),"")</f>
        <v/>
      </c>
      <c r="J530" s="55" t="str">
        <f>IFERROR(IF($G530="","",VLOOKUP('Dashboard And Emails Automate'!$G530,Database!$H:$N,4,0)),"")</f>
        <v/>
      </c>
      <c r="K530" s="55" t="str">
        <f>IFERROR(IF($G530="","",VLOOKUP('Dashboard And Emails Automate'!$G530,Database!$H:$N,5,0)),"")</f>
        <v/>
      </c>
      <c r="L530" s="55" t="str">
        <f>IFERROR(IF($G530="","",VLOOKUP('Dashboard And Emails Automate'!$G530,Database!$H:$N,6,0)),"")</f>
        <v/>
      </c>
      <c r="M530" s="55" t="str">
        <f>IFERROR(IF($G530="","",VLOOKUP('Dashboard And Emails Automate'!$G530,Database!$H:$N,7,0)),"")</f>
        <v/>
      </c>
      <c r="N530" s="55" t="str">
        <f>IFERROR(IF(OR($B530="",$B530="(blank)"),"",VLOOKUP($B530,'Email Marketing Raw Data'!$C:$O,6,0)),"")</f>
        <v/>
      </c>
      <c r="O530" s="55" t="str">
        <f>IFERROR(IF(OR($B530="",$B530="(blank)"),"",VLOOKUP($B530,'Email Marketing Raw Data'!$C:$O,7,0)),"")</f>
        <v/>
      </c>
      <c r="P530" s="55" t="str">
        <f>IFERROR(IF(OR($B530="",$B530="(blank)"),"",VLOOKUP($B530,'Email Marketing Raw Data'!$C:$O,8,0)),"")</f>
        <v/>
      </c>
      <c r="Q530" s="62" t="str">
        <f>IFERROR(IF(OR($B530="",$B530="(blank)"),"",VLOOKUP($B530,'Email Marketing Raw Data'!$C:$O,9,0)),"")</f>
        <v/>
      </c>
    </row>
    <row r="531" spans="4:17" ht="12.75" customHeight="1" x14ac:dyDescent="0.2">
      <c r="D531" s="58" t="str">
        <f>IFERROR(IF(F531&lt;&gt;"pending","",IF(OR($B531="",$B531="(blank)"),"",VLOOKUP($B531,'Email Marketing Raw Data'!$C:$O,10,0))),"")</f>
        <v/>
      </c>
      <c r="E531" s="59" t="str">
        <f>IFERROR(IF(F531&lt;&gt;"pending","",IF(OR($B531="",$B531="(blank)"),"",VLOOKUP($B531,'Email Marketing Raw Data'!$C:$O,11,0))),"")</f>
        <v/>
      </c>
      <c r="F531" s="54" t="str">
        <f>IFERROR(IF(OR($B531="",$B531="(blank)"),"",VLOOKUP($B531,'Email Marketing Raw Data'!$C:$O,13,0)),"")</f>
        <v/>
      </c>
      <c r="G531" s="55" t="str">
        <f>IFERROR(IF(OR($B531="",$B531="(blank)"),"",VLOOKUP($B531,'Email Marketing Raw Data'!$C:$O,4,0)),"")</f>
        <v/>
      </c>
      <c r="H531" s="55" t="str">
        <f>IFERROR(IF(OR($B531="",$B531="(blank)"),"",VLOOKUP($B531,'Email Marketing Raw Data'!$C:$O,5,0)),"")</f>
        <v/>
      </c>
      <c r="I531" s="55" t="str">
        <f>IFERROR(IF($G531="","",VLOOKUP('Dashboard And Emails Automate'!$G531,Database!$H:$N,3,0)),"")</f>
        <v/>
      </c>
      <c r="J531" s="55" t="str">
        <f>IFERROR(IF($G531="","",VLOOKUP('Dashboard And Emails Automate'!$G531,Database!$H:$N,4,0)),"")</f>
        <v/>
      </c>
      <c r="K531" s="55" t="str">
        <f>IFERROR(IF($G531="","",VLOOKUP('Dashboard And Emails Automate'!$G531,Database!$H:$N,5,0)),"")</f>
        <v/>
      </c>
      <c r="L531" s="55" t="str">
        <f>IFERROR(IF($G531="","",VLOOKUP('Dashboard And Emails Automate'!$G531,Database!$H:$N,6,0)),"")</f>
        <v/>
      </c>
      <c r="M531" s="55" t="str">
        <f>IFERROR(IF($G531="","",VLOOKUP('Dashboard And Emails Automate'!$G531,Database!$H:$N,7,0)),"")</f>
        <v/>
      </c>
      <c r="N531" s="55" t="str">
        <f>IFERROR(IF(OR($B531="",$B531="(blank)"),"",VLOOKUP($B531,'Email Marketing Raw Data'!$C:$O,6,0)),"")</f>
        <v/>
      </c>
      <c r="O531" s="55" t="str">
        <f>IFERROR(IF(OR($B531="",$B531="(blank)"),"",VLOOKUP($B531,'Email Marketing Raw Data'!$C:$O,7,0)),"")</f>
        <v/>
      </c>
      <c r="P531" s="55" t="str">
        <f>IFERROR(IF(OR($B531="",$B531="(blank)"),"",VLOOKUP($B531,'Email Marketing Raw Data'!$C:$O,8,0)),"")</f>
        <v/>
      </c>
      <c r="Q531" s="62" t="str">
        <f>IFERROR(IF(OR($B531="",$B531="(blank)"),"",VLOOKUP($B531,'Email Marketing Raw Data'!$C:$O,9,0)),"")</f>
        <v/>
      </c>
    </row>
    <row r="532" spans="4:17" ht="12.75" customHeight="1" x14ac:dyDescent="0.2">
      <c r="D532" s="58" t="str">
        <f>IFERROR(IF(F532&lt;&gt;"pending","",IF(OR($B532="",$B532="(blank)"),"",VLOOKUP($B532,'Email Marketing Raw Data'!$C:$O,10,0))),"")</f>
        <v/>
      </c>
      <c r="E532" s="59" t="str">
        <f>IFERROR(IF(F532&lt;&gt;"pending","",IF(OR($B532="",$B532="(blank)"),"",VLOOKUP($B532,'Email Marketing Raw Data'!$C:$O,11,0))),"")</f>
        <v/>
      </c>
      <c r="F532" s="54" t="str">
        <f>IFERROR(IF(OR($B532="",$B532="(blank)"),"",VLOOKUP($B532,'Email Marketing Raw Data'!$C:$O,13,0)),"")</f>
        <v/>
      </c>
      <c r="G532" s="55" t="str">
        <f>IFERROR(IF(OR($B532="",$B532="(blank)"),"",VLOOKUP($B532,'Email Marketing Raw Data'!$C:$O,4,0)),"")</f>
        <v/>
      </c>
      <c r="H532" s="55" t="str">
        <f>IFERROR(IF(OR($B532="",$B532="(blank)"),"",VLOOKUP($B532,'Email Marketing Raw Data'!$C:$O,5,0)),"")</f>
        <v/>
      </c>
      <c r="I532" s="55" t="str">
        <f>IFERROR(IF($G532="","",VLOOKUP('Dashboard And Emails Automate'!$G532,Database!$H:$N,3,0)),"")</f>
        <v/>
      </c>
      <c r="J532" s="55" t="str">
        <f>IFERROR(IF($G532="","",VLOOKUP('Dashboard And Emails Automate'!$G532,Database!$H:$N,4,0)),"")</f>
        <v/>
      </c>
      <c r="K532" s="55" t="str">
        <f>IFERROR(IF($G532="","",VLOOKUP('Dashboard And Emails Automate'!$G532,Database!$H:$N,5,0)),"")</f>
        <v/>
      </c>
      <c r="L532" s="55" t="str">
        <f>IFERROR(IF($G532="","",VLOOKUP('Dashboard And Emails Automate'!$G532,Database!$H:$N,6,0)),"")</f>
        <v/>
      </c>
      <c r="M532" s="55" t="str">
        <f>IFERROR(IF($G532="","",VLOOKUP('Dashboard And Emails Automate'!$G532,Database!$H:$N,7,0)),"")</f>
        <v/>
      </c>
      <c r="N532" s="55" t="str">
        <f>IFERROR(IF(OR($B532="",$B532="(blank)"),"",VLOOKUP($B532,'Email Marketing Raw Data'!$C:$O,6,0)),"")</f>
        <v/>
      </c>
      <c r="O532" s="55" t="str">
        <f>IFERROR(IF(OR($B532="",$B532="(blank)"),"",VLOOKUP($B532,'Email Marketing Raw Data'!$C:$O,7,0)),"")</f>
        <v/>
      </c>
      <c r="P532" s="55" t="str">
        <f>IFERROR(IF(OR($B532="",$B532="(blank)"),"",VLOOKUP($B532,'Email Marketing Raw Data'!$C:$O,8,0)),"")</f>
        <v/>
      </c>
      <c r="Q532" s="62" t="str">
        <f>IFERROR(IF(OR($B532="",$B532="(blank)"),"",VLOOKUP($B532,'Email Marketing Raw Data'!$C:$O,9,0)),"")</f>
        <v/>
      </c>
    </row>
    <row r="533" spans="4:17" ht="12.75" customHeight="1" x14ac:dyDescent="0.2">
      <c r="D533" s="58" t="str">
        <f>IFERROR(IF(F533&lt;&gt;"pending","",IF(OR($B533="",$B533="(blank)"),"",VLOOKUP($B533,'Email Marketing Raw Data'!$C:$O,10,0))),"")</f>
        <v/>
      </c>
      <c r="E533" s="59" t="str">
        <f>IFERROR(IF(F533&lt;&gt;"pending","",IF(OR($B533="",$B533="(blank)"),"",VLOOKUP($B533,'Email Marketing Raw Data'!$C:$O,11,0))),"")</f>
        <v/>
      </c>
      <c r="F533" s="54" t="str">
        <f>IFERROR(IF(OR($B533="",$B533="(blank)"),"",VLOOKUP($B533,'Email Marketing Raw Data'!$C:$O,13,0)),"")</f>
        <v/>
      </c>
      <c r="G533" s="55" t="str">
        <f>IFERROR(IF(OR($B533="",$B533="(blank)"),"",VLOOKUP($B533,'Email Marketing Raw Data'!$C:$O,4,0)),"")</f>
        <v/>
      </c>
      <c r="H533" s="55" t="str">
        <f>IFERROR(IF(OR($B533="",$B533="(blank)"),"",VLOOKUP($B533,'Email Marketing Raw Data'!$C:$O,5,0)),"")</f>
        <v/>
      </c>
      <c r="I533" s="55" t="str">
        <f>IFERROR(IF($G533="","",VLOOKUP('Dashboard And Emails Automate'!$G533,Database!$H:$N,3,0)),"")</f>
        <v/>
      </c>
      <c r="J533" s="55" t="str">
        <f>IFERROR(IF($G533="","",VLOOKUP('Dashboard And Emails Automate'!$G533,Database!$H:$N,4,0)),"")</f>
        <v/>
      </c>
      <c r="K533" s="55" t="str">
        <f>IFERROR(IF($G533="","",VLOOKUP('Dashboard And Emails Automate'!$G533,Database!$H:$N,5,0)),"")</f>
        <v/>
      </c>
      <c r="L533" s="55" t="str">
        <f>IFERROR(IF($G533="","",VLOOKUP('Dashboard And Emails Automate'!$G533,Database!$H:$N,6,0)),"")</f>
        <v/>
      </c>
      <c r="M533" s="55" t="str">
        <f>IFERROR(IF($G533="","",VLOOKUP('Dashboard And Emails Automate'!$G533,Database!$H:$N,7,0)),"")</f>
        <v/>
      </c>
      <c r="N533" s="55" t="str">
        <f>IFERROR(IF(OR($B533="",$B533="(blank)"),"",VLOOKUP($B533,'Email Marketing Raw Data'!$C:$O,6,0)),"")</f>
        <v/>
      </c>
      <c r="O533" s="55" t="str">
        <f>IFERROR(IF(OR($B533="",$B533="(blank)"),"",VLOOKUP($B533,'Email Marketing Raw Data'!$C:$O,7,0)),"")</f>
        <v/>
      </c>
      <c r="P533" s="55" t="str">
        <f>IFERROR(IF(OR($B533="",$B533="(blank)"),"",VLOOKUP($B533,'Email Marketing Raw Data'!$C:$O,8,0)),"")</f>
        <v/>
      </c>
      <c r="Q533" s="62" t="str">
        <f>IFERROR(IF(OR($B533="",$B533="(blank)"),"",VLOOKUP($B533,'Email Marketing Raw Data'!$C:$O,9,0)),"")</f>
        <v/>
      </c>
    </row>
    <row r="534" spans="4:17" ht="12.75" customHeight="1" x14ac:dyDescent="0.2">
      <c r="D534" s="58" t="str">
        <f>IFERROR(IF(F534&lt;&gt;"pending","",IF(OR($B534="",$B534="(blank)"),"",VLOOKUP($B534,'Email Marketing Raw Data'!$C:$O,10,0))),"")</f>
        <v/>
      </c>
      <c r="E534" s="59" t="str">
        <f>IFERROR(IF(F534&lt;&gt;"pending","",IF(OR($B534="",$B534="(blank)"),"",VLOOKUP($B534,'Email Marketing Raw Data'!$C:$O,11,0))),"")</f>
        <v/>
      </c>
      <c r="F534" s="54" t="str">
        <f>IFERROR(IF(OR($B534="",$B534="(blank)"),"",VLOOKUP($B534,'Email Marketing Raw Data'!$C:$O,13,0)),"")</f>
        <v/>
      </c>
      <c r="G534" s="55" t="str">
        <f>IFERROR(IF(OR($B534="",$B534="(blank)"),"",VLOOKUP($B534,'Email Marketing Raw Data'!$C:$O,4,0)),"")</f>
        <v/>
      </c>
      <c r="H534" s="55" t="str">
        <f>IFERROR(IF(OR($B534="",$B534="(blank)"),"",VLOOKUP($B534,'Email Marketing Raw Data'!$C:$O,5,0)),"")</f>
        <v/>
      </c>
      <c r="I534" s="55" t="str">
        <f>IFERROR(IF($G534="","",VLOOKUP('Dashboard And Emails Automate'!$G534,Database!$H:$N,3,0)),"")</f>
        <v/>
      </c>
      <c r="J534" s="55" t="str">
        <f>IFERROR(IF($G534="","",VLOOKUP('Dashboard And Emails Automate'!$G534,Database!$H:$N,4,0)),"")</f>
        <v/>
      </c>
      <c r="K534" s="55" t="str">
        <f>IFERROR(IF($G534="","",VLOOKUP('Dashboard And Emails Automate'!$G534,Database!$H:$N,5,0)),"")</f>
        <v/>
      </c>
      <c r="L534" s="55" t="str">
        <f>IFERROR(IF($G534="","",VLOOKUP('Dashboard And Emails Automate'!$G534,Database!$H:$N,6,0)),"")</f>
        <v/>
      </c>
      <c r="M534" s="55" t="str">
        <f>IFERROR(IF($G534="","",VLOOKUP('Dashboard And Emails Automate'!$G534,Database!$H:$N,7,0)),"")</f>
        <v/>
      </c>
      <c r="N534" s="55" t="str">
        <f>IFERROR(IF(OR($B534="",$B534="(blank)"),"",VLOOKUP($B534,'Email Marketing Raw Data'!$C:$O,6,0)),"")</f>
        <v/>
      </c>
      <c r="O534" s="55" t="str">
        <f>IFERROR(IF(OR($B534="",$B534="(blank)"),"",VLOOKUP($B534,'Email Marketing Raw Data'!$C:$O,7,0)),"")</f>
        <v/>
      </c>
      <c r="P534" s="55" t="str">
        <f>IFERROR(IF(OR($B534="",$B534="(blank)"),"",VLOOKUP($B534,'Email Marketing Raw Data'!$C:$O,8,0)),"")</f>
        <v/>
      </c>
      <c r="Q534" s="62" t="str">
        <f>IFERROR(IF(OR($B534="",$B534="(blank)"),"",VLOOKUP($B534,'Email Marketing Raw Data'!$C:$O,9,0)),"")</f>
        <v/>
      </c>
    </row>
    <row r="535" spans="4:17" ht="12.75" customHeight="1" x14ac:dyDescent="0.2">
      <c r="D535" s="58" t="str">
        <f>IFERROR(IF(F535&lt;&gt;"pending","",IF(OR($B535="",$B535="(blank)"),"",VLOOKUP($B535,'Email Marketing Raw Data'!$C:$O,10,0))),"")</f>
        <v/>
      </c>
      <c r="E535" s="59" t="str">
        <f>IFERROR(IF(F535&lt;&gt;"pending","",IF(OR($B535="",$B535="(blank)"),"",VLOOKUP($B535,'Email Marketing Raw Data'!$C:$O,11,0))),"")</f>
        <v/>
      </c>
      <c r="F535" s="54" t="str">
        <f>IFERROR(IF(OR($B535="",$B535="(blank)"),"",VLOOKUP($B535,'Email Marketing Raw Data'!$C:$O,13,0)),"")</f>
        <v/>
      </c>
      <c r="G535" s="55" t="str">
        <f>IFERROR(IF(OR($B535="",$B535="(blank)"),"",VLOOKUP($B535,'Email Marketing Raw Data'!$C:$O,4,0)),"")</f>
        <v/>
      </c>
      <c r="H535" s="55" t="str">
        <f>IFERROR(IF(OR($B535="",$B535="(blank)"),"",VLOOKUP($B535,'Email Marketing Raw Data'!$C:$O,5,0)),"")</f>
        <v/>
      </c>
      <c r="I535" s="55" t="str">
        <f>IFERROR(IF($G535="","",VLOOKUP('Dashboard And Emails Automate'!$G535,Database!$H:$N,3,0)),"")</f>
        <v/>
      </c>
      <c r="J535" s="55" t="str">
        <f>IFERROR(IF($G535="","",VLOOKUP('Dashboard And Emails Automate'!$G535,Database!$H:$N,4,0)),"")</f>
        <v/>
      </c>
      <c r="K535" s="55" t="str">
        <f>IFERROR(IF($G535="","",VLOOKUP('Dashboard And Emails Automate'!$G535,Database!$H:$N,5,0)),"")</f>
        <v/>
      </c>
      <c r="L535" s="55" t="str">
        <f>IFERROR(IF($G535="","",VLOOKUP('Dashboard And Emails Automate'!$G535,Database!$H:$N,6,0)),"")</f>
        <v/>
      </c>
      <c r="M535" s="55" t="str">
        <f>IFERROR(IF($G535="","",VLOOKUP('Dashboard And Emails Automate'!$G535,Database!$H:$N,7,0)),"")</f>
        <v/>
      </c>
      <c r="N535" s="55" t="str">
        <f>IFERROR(IF(OR($B535="",$B535="(blank)"),"",VLOOKUP($B535,'Email Marketing Raw Data'!$C:$O,6,0)),"")</f>
        <v/>
      </c>
      <c r="O535" s="55" t="str">
        <f>IFERROR(IF(OR($B535="",$B535="(blank)"),"",VLOOKUP($B535,'Email Marketing Raw Data'!$C:$O,7,0)),"")</f>
        <v/>
      </c>
      <c r="P535" s="55" t="str">
        <f>IFERROR(IF(OR($B535="",$B535="(blank)"),"",VLOOKUP($B535,'Email Marketing Raw Data'!$C:$O,8,0)),"")</f>
        <v/>
      </c>
      <c r="Q535" s="62" t="str">
        <f>IFERROR(IF(OR($B535="",$B535="(blank)"),"",VLOOKUP($B535,'Email Marketing Raw Data'!$C:$O,9,0)),"")</f>
        <v/>
      </c>
    </row>
    <row r="536" spans="4:17" ht="12.75" customHeight="1" x14ac:dyDescent="0.2">
      <c r="D536" s="58" t="str">
        <f>IFERROR(IF(F536&lt;&gt;"pending","",IF(OR($B536="",$B536="(blank)"),"",VLOOKUP($B536,'Email Marketing Raw Data'!$C:$O,10,0))),"")</f>
        <v/>
      </c>
      <c r="E536" s="59" t="str">
        <f>IFERROR(IF(F536&lt;&gt;"pending","",IF(OR($B536="",$B536="(blank)"),"",VLOOKUP($B536,'Email Marketing Raw Data'!$C:$O,11,0))),"")</f>
        <v/>
      </c>
      <c r="F536" s="54" t="str">
        <f>IFERROR(IF(OR($B536="",$B536="(blank)"),"",VLOOKUP($B536,'Email Marketing Raw Data'!$C:$O,13,0)),"")</f>
        <v/>
      </c>
      <c r="G536" s="55" t="str">
        <f>IFERROR(IF(OR($B536="",$B536="(blank)"),"",VLOOKUP($B536,'Email Marketing Raw Data'!$C:$O,4,0)),"")</f>
        <v/>
      </c>
      <c r="H536" s="55" t="str">
        <f>IFERROR(IF(OR($B536="",$B536="(blank)"),"",VLOOKUP($B536,'Email Marketing Raw Data'!$C:$O,5,0)),"")</f>
        <v/>
      </c>
      <c r="I536" s="55" t="str">
        <f>IFERROR(IF($G536="","",VLOOKUP('Dashboard And Emails Automate'!$G536,Database!$H:$N,3,0)),"")</f>
        <v/>
      </c>
      <c r="J536" s="55" t="str">
        <f>IFERROR(IF($G536="","",VLOOKUP('Dashboard And Emails Automate'!$G536,Database!$H:$N,4,0)),"")</f>
        <v/>
      </c>
      <c r="K536" s="55" t="str">
        <f>IFERROR(IF($G536="","",VLOOKUP('Dashboard And Emails Automate'!$G536,Database!$H:$N,5,0)),"")</f>
        <v/>
      </c>
      <c r="L536" s="55" t="str">
        <f>IFERROR(IF($G536="","",VLOOKUP('Dashboard And Emails Automate'!$G536,Database!$H:$N,6,0)),"")</f>
        <v/>
      </c>
      <c r="M536" s="55" t="str">
        <f>IFERROR(IF($G536="","",VLOOKUP('Dashboard And Emails Automate'!$G536,Database!$H:$N,7,0)),"")</f>
        <v/>
      </c>
      <c r="N536" s="55" t="str">
        <f>IFERROR(IF(OR($B536="",$B536="(blank)"),"",VLOOKUP($B536,'Email Marketing Raw Data'!$C:$O,6,0)),"")</f>
        <v/>
      </c>
      <c r="O536" s="55" t="str">
        <f>IFERROR(IF(OR($B536="",$B536="(blank)"),"",VLOOKUP($B536,'Email Marketing Raw Data'!$C:$O,7,0)),"")</f>
        <v/>
      </c>
      <c r="P536" s="55" t="str">
        <f>IFERROR(IF(OR($B536="",$B536="(blank)"),"",VLOOKUP($B536,'Email Marketing Raw Data'!$C:$O,8,0)),"")</f>
        <v/>
      </c>
      <c r="Q536" s="62" t="str">
        <f>IFERROR(IF(OR($B536="",$B536="(blank)"),"",VLOOKUP($B536,'Email Marketing Raw Data'!$C:$O,9,0)),"")</f>
        <v/>
      </c>
    </row>
    <row r="537" spans="4:17" ht="12.75" customHeight="1" x14ac:dyDescent="0.2">
      <c r="D537" s="58" t="str">
        <f>IFERROR(IF(F537&lt;&gt;"pending","",IF(OR($B537="",$B537="(blank)"),"",VLOOKUP($B537,'Email Marketing Raw Data'!$C:$O,10,0))),"")</f>
        <v/>
      </c>
      <c r="E537" s="59" t="str">
        <f>IFERROR(IF(F537&lt;&gt;"pending","",IF(OR($B537="",$B537="(blank)"),"",VLOOKUP($B537,'Email Marketing Raw Data'!$C:$O,11,0))),"")</f>
        <v/>
      </c>
      <c r="F537" s="54" t="str">
        <f>IFERROR(IF(OR($B537="",$B537="(blank)"),"",VLOOKUP($B537,'Email Marketing Raw Data'!$C:$O,13,0)),"")</f>
        <v/>
      </c>
      <c r="G537" s="55" t="str">
        <f>IFERROR(IF(OR($B537="",$B537="(blank)"),"",VLOOKUP($B537,'Email Marketing Raw Data'!$C:$O,4,0)),"")</f>
        <v/>
      </c>
      <c r="H537" s="55" t="str">
        <f>IFERROR(IF(OR($B537="",$B537="(blank)"),"",VLOOKUP($B537,'Email Marketing Raw Data'!$C:$O,5,0)),"")</f>
        <v/>
      </c>
      <c r="I537" s="55" t="str">
        <f>IFERROR(IF($G537="","",VLOOKUP('Dashboard And Emails Automate'!$G537,Database!$H:$N,3,0)),"")</f>
        <v/>
      </c>
      <c r="J537" s="55" t="str">
        <f>IFERROR(IF($G537="","",VLOOKUP('Dashboard And Emails Automate'!$G537,Database!$H:$N,4,0)),"")</f>
        <v/>
      </c>
      <c r="K537" s="55" t="str">
        <f>IFERROR(IF($G537="","",VLOOKUP('Dashboard And Emails Automate'!$G537,Database!$H:$N,5,0)),"")</f>
        <v/>
      </c>
      <c r="L537" s="55" t="str">
        <f>IFERROR(IF($G537="","",VLOOKUP('Dashboard And Emails Automate'!$G537,Database!$H:$N,6,0)),"")</f>
        <v/>
      </c>
      <c r="M537" s="55" t="str">
        <f>IFERROR(IF($G537="","",VLOOKUP('Dashboard And Emails Automate'!$G537,Database!$H:$N,7,0)),"")</f>
        <v/>
      </c>
      <c r="N537" s="55" t="str">
        <f>IFERROR(IF(OR($B537="",$B537="(blank)"),"",VLOOKUP($B537,'Email Marketing Raw Data'!$C:$O,6,0)),"")</f>
        <v/>
      </c>
      <c r="O537" s="55" t="str">
        <f>IFERROR(IF(OR($B537="",$B537="(blank)"),"",VLOOKUP($B537,'Email Marketing Raw Data'!$C:$O,7,0)),"")</f>
        <v/>
      </c>
      <c r="P537" s="55" t="str">
        <f>IFERROR(IF(OR($B537="",$B537="(blank)"),"",VLOOKUP($B537,'Email Marketing Raw Data'!$C:$O,8,0)),"")</f>
        <v/>
      </c>
      <c r="Q537" s="62" t="str">
        <f>IFERROR(IF(OR($B537="",$B537="(blank)"),"",VLOOKUP($B537,'Email Marketing Raw Data'!$C:$O,9,0)),"")</f>
        <v/>
      </c>
    </row>
    <row r="538" spans="4:17" ht="12.75" customHeight="1" x14ac:dyDescent="0.2">
      <c r="D538" s="58" t="str">
        <f>IFERROR(IF(F538&lt;&gt;"pending","",IF(OR($B538="",$B538="(blank)"),"",VLOOKUP($B538,'Email Marketing Raw Data'!$C:$O,10,0))),"")</f>
        <v/>
      </c>
      <c r="E538" s="59" t="str">
        <f>IFERROR(IF(F538&lt;&gt;"pending","",IF(OR($B538="",$B538="(blank)"),"",VLOOKUP($B538,'Email Marketing Raw Data'!$C:$O,11,0))),"")</f>
        <v/>
      </c>
      <c r="F538" s="54" t="str">
        <f>IFERROR(IF(OR($B538="",$B538="(blank)"),"",VLOOKUP($B538,'Email Marketing Raw Data'!$C:$O,13,0)),"")</f>
        <v/>
      </c>
      <c r="G538" s="55" t="str">
        <f>IFERROR(IF(OR($B538="",$B538="(blank)"),"",VLOOKUP($B538,'Email Marketing Raw Data'!$C:$O,4,0)),"")</f>
        <v/>
      </c>
      <c r="H538" s="55" t="str">
        <f>IFERROR(IF(OR($B538="",$B538="(blank)"),"",VLOOKUP($B538,'Email Marketing Raw Data'!$C:$O,5,0)),"")</f>
        <v/>
      </c>
      <c r="I538" s="55" t="str">
        <f>IFERROR(IF($G538="","",VLOOKUP('Dashboard And Emails Automate'!$G538,Database!$H:$N,3,0)),"")</f>
        <v/>
      </c>
      <c r="J538" s="55" t="str">
        <f>IFERROR(IF($G538="","",VLOOKUP('Dashboard And Emails Automate'!$G538,Database!$H:$N,4,0)),"")</f>
        <v/>
      </c>
      <c r="K538" s="55" t="str">
        <f>IFERROR(IF($G538="","",VLOOKUP('Dashboard And Emails Automate'!$G538,Database!$H:$N,5,0)),"")</f>
        <v/>
      </c>
      <c r="L538" s="55" t="str">
        <f>IFERROR(IF($G538="","",VLOOKUP('Dashboard And Emails Automate'!$G538,Database!$H:$N,6,0)),"")</f>
        <v/>
      </c>
      <c r="M538" s="55" t="str">
        <f>IFERROR(IF($G538="","",VLOOKUP('Dashboard And Emails Automate'!$G538,Database!$H:$N,7,0)),"")</f>
        <v/>
      </c>
      <c r="N538" s="55" t="str">
        <f>IFERROR(IF(OR($B538="",$B538="(blank)"),"",VLOOKUP($B538,'Email Marketing Raw Data'!$C:$O,6,0)),"")</f>
        <v/>
      </c>
      <c r="O538" s="55" t="str">
        <f>IFERROR(IF(OR($B538="",$B538="(blank)"),"",VLOOKUP($B538,'Email Marketing Raw Data'!$C:$O,7,0)),"")</f>
        <v/>
      </c>
      <c r="P538" s="55" t="str">
        <f>IFERROR(IF(OR($B538="",$B538="(blank)"),"",VLOOKUP($B538,'Email Marketing Raw Data'!$C:$O,8,0)),"")</f>
        <v/>
      </c>
      <c r="Q538" s="62" t="str">
        <f>IFERROR(IF(OR($B538="",$B538="(blank)"),"",VLOOKUP($B538,'Email Marketing Raw Data'!$C:$O,9,0)),"")</f>
        <v/>
      </c>
    </row>
    <row r="539" spans="4:17" ht="12.75" customHeight="1" x14ac:dyDescent="0.2">
      <c r="D539" s="58" t="str">
        <f>IFERROR(IF(F539&lt;&gt;"pending","",IF(OR($B539="",$B539="(blank)"),"",VLOOKUP($B539,'Email Marketing Raw Data'!$C:$O,10,0))),"")</f>
        <v/>
      </c>
      <c r="E539" s="59" t="str">
        <f>IFERROR(IF(F539&lt;&gt;"pending","",IF(OR($B539="",$B539="(blank)"),"",VLOOKUP($B539,'Email Marketing Raw Data'!$C:$O,11,0))),"")</f>
        <v/>
      </c>
      <c r="F539" s="54" t="str">
        <f>IFERROR(IF(OR($B539="",$B539="(blank)"),"",VLOOKUP($B539,'Email Marketing Raw Data'!$C:$O,13,0)),"")</f>
        <v/>
      </c>
      <c r="G539" s="55" t="str">
        <f>IFERROR(IF(OR($B539="",$B539="(blank)"),"",VLOOKUP($B539,'Email Marketing Raw Data'!$C:$O,4,0)),"")</f>
        <v/>
      </c>
      <c r="H539" s="55" t="str">
        <f>IFERROR(IF(OR($B539="",$B539="(blank)"),"",VLOOKUP($B539,'Email Marketing Raw Data'!$C:$O,5,0)),"")</f>
        <v/>
      </c>
      <c r="I539" s="55" t="str">
        <f>IFERROR(IF($G539="","",VLOOKUP('Dashboard And Emails Automate'!$G539,Database!$H:$N,3,0)),"")</f>
        <v/>
      </c>
      <c r="J539" s="55" t="str">
        <f>IFERROR(IF($G539="","",VLOOKUP('Dashboard And Emails Automate'!$G539,Database!$H:$N,4,0)),"")</f>
        <v/>
      </c>
      <c r="K539" s="55" t="str">
        <f>IFERROR(IF($G539="","",VLOOKUP('Dashboard And Emails Automate'!$G539,Database!$H:$N,5,0)),"")</f>
        <v/>
      </c>
      <c r="L539" s="55" t="str">
        <f>IFERROR(IF($G539="","",VLOOKUP('Dashboard And Emails Automate'!$G539,Database!$H:$N,6,0)),"")</f>
        <v/>
      </c>
      <c r="M539" s="55" t="str">
        <f>IFERROR(IF($G539="","",VLOOKUP('Dashboard And Emails Automate'!$G539,Database!$H:$N,7,0)),"")</f>
        <v/>
      </c>
      <c r="N539" s="55" t="str">
        <f>IFERROR(IF(OR($B539="",$B539="(blank)"),"",VLOOKUP($B539,'Email Marketing Raw Data'!$C:$O,6,0)),"")</f>
        <v/>
      </c>
      <c r="O539" s="55" t="str">
        <f>IFERROR(IF(OR($B539="",$B539="(blank)"),"",VLOOKUP($B539,'Email Marketing Raw Data'!$C:$O,7,0)),"")</f>
        <v/>
      </c>
      <c r="P539" s="55" t="str">
        <f>IFERROR(IF(OR($B539="",$B539="(blank)"),"",VLOOKUP($B539,'Email Marketing Raw Data'!$C:$O,8,0)),"")</f>
        <v/>
      </c>
      <c r="Q539" s="62" t="str">
        <f>IFERROR(IF(OR($B539="",$B539="(blank)"),"",VLOOKUP($B539,'Email Marketing Raw Data'!$C:$O,9,0)),"")</f>
        <v/>
      </c>
    </row>
    <row r="540" spans="4:17" ht="12.75" customHeight="1" x14ac:dyDescent="0.2">
      <c r="D540" s="58" t="str">
        <f>IFERROR(IF(F540&lt;&gt;"pending","",IF(OR($B540="",$B540="(blank)"),"",VLOOKUP($B540,'Email Marketing Raw Data'!$C:$O,10,0))),"")</f>
        <v/>
      </c>
      <c r="E540" s="59" t="str">
        <f>IFERROR(IF(F540&lt;&gt;"pending","",IF(OR($B540="",$B540="(blank)"),"",VLOOKUP($B540,'Email Marketing Raw Data'!$C:$O,11,0))),"")</f>
        <v/>
      </c>
      <c r="F540" s="54" t="str">
        <f>IFERROR(IF(OR($B540="",$B540="(blank)"),"",VLOOKUP($B540,'Email Marketing Raw Data'!$C:$O,13,0)),"")</f>
        <v/>
      </c>
      <c r="G540" s="55" t="str">
        <f>IFERROR(IF(OR($B540="",$B540="(blank)"),"",VLOOKUP($B540,'Email Marketing Raw Data'!$C:$O,4,0)),"")</f>
        <v/>
      </c>
      <c r="H540" s="55" t="str">
        <f>IFERROR(IF(OR($B540="",$B540="(blank)"),"",VLOOKUP($B540,'Email Marketing Raw Data'!$C:$O,5,0)),"")</f>
        <v/>
      </c>
      <c r="I540" s="55" t="str">
        <f>IFERROR(IF($G540="","",VLOOKUP('Dashboard And Emails Automate'!$G540,Database!$H:$N,3,0)),"")</f>
        <v/>
      </c>
      <c r="J540" s="55" t="str">
        <f>IFERROR(IF($G540="","",VLOOKUP('Dashboard And Emails Automate'!$G540,Database!$H:$N,4,0)),"")</f>
        <v/>
      </c>
      <c r="K540" s="55" t="str">
        <f>IFERROR(IF($G540="","",VLOOKUP('Dashboard And Emails Automate'!$G540,Database!$H:$N,5,0)),"")</f>
        <v/>
      </c>
      <c r="L540" s="55" t="str">
        <f>IFERROR(IF($G540="","",VLOOKUP('Dashboard And Emails Automate'!$G540,Database!$H:$N,6,0)),"")</f>
        <v/>
      </c>
      <c r="M540" s="55" t="str">
        <f>IFERROR(IF($G540="","",VLOOKUP('Dashboard And Emails Automate'!$G540,Database!$H:$N,7,0)),"")</f>
        <v/>
      </c>
      <c r="N540" s="55" t="str">
        <f>IFERROR(IF(OR($B540="",$B540="(blank)"),"",VLOOKUP($B540,'Email Marketing Raw Data'!$C:$O,6,0)),"")</f>
        <v/>
      </c>
      <c r="O540" s="55" t="str">
        <f>IFERROR(IF(OR($B540="",$B540="(blank)"),"",VLOOKUP($B540,'Email Marketing Raw Data'!$C:$O,7,0)),"")</f>
        <v/>
      </c>
      <c r="P540" s="55" t="str">
        <f>IFERROR(IF(OR($B540="",$B540="(blank)"),"",VLOOKUP($B540,'Email Marketing Raw Data'!$C:$O,8,0)),"")</f>
        <v/>
      </c>
      <c r="Q540" s="62" t="str">
        <f>IFERROR(IF(OR($B540="",$B540="(blank)"),"",VLOOKUP($B540,'Email Marketing Raw Data'!$C:$O,9,0)),"")</f>
        <v/>
      </c>
    </row>
    <row r="541" spans="4:17" ht="12.75" customHeight="1" x14ac:dyDescent="0.2">
      <c r="D541" s="58" t="str">
        <f>IFERROR(IF(F541&lt;&gt;"pending","",IF(OR($B541="",$B541="(blank)"),"",VLOOKUP($B541,'Email Marketing Raw Data'!$C:$O,10,0))),"")</f>
        <v/>
      </c>
      <c r="E541" s="59" t="str">
        <f>IFERROR(IF(F541&lt;&gt;"pending","",IF(OR($B541="",$B541="(blank)"),"",VLOOKUP($B541,'Email Marketing Raw Data'!$C:$O,11,0))),"")</f>
        <v/>
      </c>
      <c r="F541" s="54" t="str">
        <f>IFERROR(IF(OR($B541="",$B541="(blank)"),"",VLOOKUP($B541,'Email Marketing Raw Data'!$C:$O,13,0)),"")</f>
        <v/>
      </c>
      <c r="G541" s="55" t="str">
        <f>IFERROR(IF(OR($B541="",$B541="(blank)"),"",VLOOKUP($B541,'Email Marketing Raw Data'!$C:$O,4,0)),"")</f>
        <v/>
      </c>
      <c r="H541" s="55" t="str">
        <f>IFERROR(IF(OR($B541="",$B541="(blank)"),"",VLOOKUP($B541,'Email Marketing Raw Data'!$C:$O,5,0)),"")</f>
        <v/>
      </c>
      <c r="I541" s="55" t="str">
        <f>IFERROR(IF($G541="","",VLOOKUP('Dashboard And Emails Automate'!$G541,Database!$H:$N,3,0)),"")</f>
        <v/>
      </c>
      <c r="J541" s="55" t="str">
        <f>IFERROR(IF($G541="","",VLOOKUP('Dashboard And Emails Automate'!$G541,Database!$H:$N,4,0)),"")</f>
        <v/>
      </c>
      <c r="K541" s="55" t="str">
        <f>IFERROR(IF($G541="","",VLOOKUP('Dashboard And Emails Automate'!$G541,Database!$H:$N,5,0)),"")</f>
        <v/>
      </c>
      <c r="L541" s="55" t="str">
        <f>IFERROR(IF($G541="","",VLOOKUP('Dashboard And Emails Automate'!$G541,Database!$H:$N,6,0)),"")</f>
        <v/>
      </c>
      <c r="M541" s="55" t="str">
        <f>IFERROR(IF($G541="","",VLOOKUP('Dashboard And Emails Automate'!$G541,Database!$H:$N,7,0)),"")</f>
        <v/>
      </c>
      <c r="N541" s="55" t="str">
        <f>IFERROR(IF(OR($B541="",$B541="(blank)"),"",VLOOKUP($B541,'Email Marketing Raw Data'!$C:$O,6,0)),"")</f>
        <v/>
      </c>
      <c r="O541" s="55" t="str">
        <f>IFERROR(IF(OR($B541="",$B541="(blank)"),"",VLOOKUP($B541,'Email Marketing Raw Data'!$C:$O,7,0)),"")</f>
        <v/>
      </c>
      <c r="P541" s="55" t="str">
        <f>IFERROR(IF(OR($B541="",$B541="(blank)"),"",VLOOKUP($B541,'Email Marketing Raw Data'!$C:$O,8,0)),"")</f>
        <v/>
      </c>
      <c r="Q541" s="62" t="str">
        <f>IFERROR(IF(OR($B541="",$B541="(blank)"),"",VLOOKUP($B541,'Email Marketing Raw Data'!$C:$O,9,0)),"")</f>
        <v/>
      </c>
    </row>
    <row r="542" spans="4:17" ht="12.75" customHeight="1" x14ac:dyDescent="0.2">
      <c r="D542" s="58" t="str">
        <f>IFERROR(IF(F542&lt;&gt;"pending","",IF(OR($B542="",$B542="(blank)"),"",VLOOKUP($B542,'Email Marketing Raw Data'!$C:$O,10,0))),"")</f>
        <v/>
      </c>
      <c r="E542" s="59" t="str">
        <f>IFERROR(IF(F542&lt;&gt;"pending","",IF(OR($B542="",$B542="(blank)"),"",VLOOKUP($B542,'Email Marketing Raw Data'!$C:$O,11,0))),"")</f>
        <v/>
      </c>
      <c r="F542" s="54" t="str">
        <f>IFERROR(IF(OR($B542="",$B542="(blank)"),"",VLOOKUP($B542,'Email Marketing Raw Data'!$C:$O,13,0)),"")</f>
        <v/>
      </c>
      <c r="G542" s="55" t="str">
        <f>IFERROR(IF(OR($B542="",$B542="(blank)"),"",VLOOKUP($B542,'Email Marketing Raw Data'!$C:$O,4,0)),"")</f>
        <v/>
      </c>
      <c r="H542" s="55" t="str">
        <f>IFERROR(IF(OR($B542="",$B542="(blank)"),"",VLOOKUP($B542,'Email Marketing Raw Data'!$C:$O,5,0)),"")</f>
        <v/>
      </c>
      <c r="I542" s="55" t="str">
        <f>IFERROR(IF($G542="","",VLOOKUP('Dashboard And Emails Automate'!$G542,Database!$H:$N,3,0)),"")</f>
        <v/>
      </c>
      <c r="J542" s="55" t="str">
        <f>IFERROR(IF($G542="","",VLOOKUP('Dashboard And Emails Automate'!$G542,Database!$H:$N,4,0)),"")</f>
        <v/>
      </c>
      <c r="K542" s="55" t="str">
        <f>IFERROR(IF($G542="","",VLOOKUP('Dashboard And Emails Automate'!$G542,Database!$H:$N,5,0)),"")</f>
        <v/>
      </c>
      <c r="L542" s="55" t="str">
        <f>IFERROR(IF($G542="","",VLOOKUP('Dashboard And Emails Automate'!$G542,Database!$H:$N,6,0)),"")</f>
        <v/>
      </c>
      <c r="M542" s="55" t="str">
        <f>IFERROR(IF($G542="","",VLOOKUP('Dashboard And Emails Automate'!$G542,Database!$H:$N,7,0)),"")</f>
        <v/>
      </c>
      <c r="N542" s="55" t="str">
        <f>IFERROR(IF(OR($B542="",$B542="(blank)"),"",VLOOKUP($B542,'Email Marketing Raw Data'!$C:$O,6,0)),"")</f>
        <v/>
      </c>
      <c r="O542" s="55" t="str">
        <f>IFERROR(IF(OR($B542="",$B542="(blank)"),"",VLOOKUP($B542,'Email Marketing Raw Data'!$C:$O,7,0)),"")</f>
        <v/>
      </c>
      <c r="P542" s="55" t="str">
        <f>IFERROR(IF(OR($B542="",$B542="(blank)"),"",VLOOKUP($B542,'Email Marketing Raw Data'!$C:$O,8,0)),"")</f>
        <v/>
      </c>
      <c r="Q542" s="62" t="str">
        <f>IFERROR(IF(OR($B542="",$B542="(blank)"),"",VLOOKUP($B542,'Email Marketing Raw Data'!$C:$O,9,0)),"")</f>
        <v/>
      </c>
    </row>
    <row r="543" spans="4:17" ht="12.75" customHeight="1" x14ac:dyDescent="0.2">
      <c r="D543" s="58" t="str">
        <f>IFERROR(IF(F543&lt;&gt;"pending","",IF(OR($B543="",$B543="(blank)"),"",VLOOKUP($B543,'Email Marketing Raw Data'!$C:$O,10,0))),"")</f>
        <v/>
      </c>
      <c r="E543" s="59" t="str">
        <f>IFERROR(IF(F543&lt;&gt;"pending","",IF(OR($B543="",$B543="(blank)"),"",VLOOKUP($B543,'Email Marketing Raw Data'!$C:$O,11,0))),"")</f>
        <v/>
      </c>
      <c r="F543" s="54" t="str">
        <f>IFERROR(IF(OR($B543="",$B543="(blank)"),"",VLOOKUP($B543,'Email Marketing Raw Data'!$C:$O,13,0)),"")</f>
        <v/>
      </c>
      <c r="G543" s="55" t="str">
        <f>IFERROR(IF(OR($B543="",$B543="(blank)"),"",VLOOKUP($B543,'Email Marketing Raw Data'!$C:$O,4,0)),"")</f>
        <v/>
      </c>
      <c r="H543" s="55" t="str">
        <f>IFERROR(IF(OR($B543="",$B543="(blank)"),"",VLOOKUP($B543,'Email Marketing Raw Data'!$C:$O,5,0)),"")</f>
        <v/>
      </c>
      <c r="I543" s="55" t="str">
        <f>IFERROR(IF($G543="","",VLOOKUP('Dashboard And Emails Automate'!$G543,Database!$H:$N,3,0)),"")</f>
        <v/>
      </c>
      <c r="J543" s="55" t="str">
        <f>IFERROR(IF($G543="","",VLOOKUP('Dashboard And Emails Automate'!$G543,Database!$H:$N,4,0)),"")</f>
        <v/>
      </c>
      <c r="K543" s="55" t="str">
        <f>IFERROR(IF($G543="","",VLOOKUP('Dashboard And Emails Automate'!$G543,Database!$H:$N,5,0)),"")</f>
        <v/>
      </c>
      <c r="L543" s="55" t="str">
        <f>IFERROR(IF($G543="","",VLOOKUP('Dashboard And Emails Automate'!$G543,Database!$H:$N,6,0)),"")</f>
        <v/>
      </c>
      <c r="M543" s="55" t="str">
        <f>IFERROR(IF($G543="","",VLOOKUP('Dashboard And Emails Automate'!$G543,Database!$H:$N,7,0)),"")</f>
        <v/>
      </c>
      <c r="N543" s="55" t="str">
        <f>IFERROR(IF(OR($B543="",$B543="(blank)"),"",VLOOKUP($B543,'Email Marketing Raw Data'!$C:$O,6,0)),"")</f>
        <v/>
      </c>
      <c r="O543" s="55" t="str">
        <f>IFERROR(IF(OR($B543="",$B543="(blank)"),"",VLOOKUP($B543,'Email Marketing Raw Data'!$C:$O,7,0)),"")</f>
        <v/>
      </c>
      <c r="P543" s="55" t="str">
        <f>IFERROR(IF(OR($B543="",$B543="(blank)"),"",VLOOKUP($B543,'Email Marketing Raw Data'!$C:$O,8,0)),"")</f>
        <v/>
      </c>
      <c r="Q543" s="62" t="str">
        <f>IFERROR(IF(OR($B543="",$B543="(blank)"),"",VLOOKUP($B543,'Email Marketing Raw Data'!$C:$O,9,0)),"")</f>
        <v/>
      </c>
    </row>
    <row r="544" spans="4:17" ht="12.75" customHeight="1" x14ac:dyDescent="0.2">
      <c r="D544" s="58" t="str">
        <f>IFERROR(IF(F544&lt;&gt;"pending","",IF(OR($B544="",$B544="(blank)"),"",VLOOKUP($B544,'Email Marketing Raw Data'!$C:$O,10,0))),"")</f>
        <v/>
      </c>
      <c r="E544" s="59" t="str">
        <f>IFERROR(IF(F544&lt;&gt;"pending","",IF(OR($B544="",$B544="(blank)"),"",VLOOKUP($B544,'Email Marketing Raw Data'!$C:$O,11,0))),"")</f>
        <v/>
      </c>
      <c r="F544" s="54" t="str">
        <f>IFERROR(IF(OR($B544="",$B544="(blank)"),"",VLOOKUP($B544,'Email Marketing Raw Data'!$C:$O,13,0)),"")</f>
        <v/>
      </c>
      <c r="G544" s="55" t="str">
        <f>IFERROR(IF(OR($B544="",$B544="(blank)"),"",VLOOKUP($B544,'Email Marketing Raw Data'!$C:$O,4,0)),"")</f>
        <v/>
      </c>
      <c r="H544" s="55" t="str">
        <f>IFERROR(IF(OR($B544="",$B544="(blank)"),"",VLOOKUP($B544,'Email Marketing Raw Data'!$C:$O,5,0)),"")</f>
        <v/>
      </c>
      <c r="I544" s="55" t="str">
        <f>IFERROR(IF($G544="","",VLOOKUP('Dashboard And Emails Automate'!$G544,Database!$H:$N,3,0)),"")</f>
        <v/>
      </c>
      <c r="J544" s="55" t="str">
        <f>IFERROR(IF($G544="","",VLOOKUP('Dashboard And Emails Automate'!$G544,Database!$H:$N,4,0)),"")</f>
        <v/>
      </c>
      <c r="K544" s="55" t="str">
        <f>IFERROR(IF($G544="","",VLOOKUP('Dashboard And Emails Automate'!$G544,Database!$H:$N,5,0)),"")</f>
        <v/>
      </c>
      <c r="L544" s="55" t="str">
        <f>IFERROR(IF($G544="","",VLOOKUP('Dashboard And Emails Automate'!$G544,Database!$H:$N,6,0)),"")</f>
        <v/>
      </c>
      <c r="M544" s="55" t="str">
        <f>IFERROR(IF($G544="","",VLOOKUP('Dashboard And Emails Automate'!$G544,Database!$H:$N,7,0)),"")</f>
        <v/>
      </c>
      <c r="N544" s="55" t="str">
        <f>IFERROR(IF(OR($B544="",$B544="(blank)"),"",VLOOKUP($B544,'Email Marketing Raw Data'!$C:$O,6,0)),"")</f>
        <v/>
      </c>
      <c r="O544" s="55" t="str">
        <f>IFERROR(IF(OR($B544="",$B544="(blank)"),"",VLOOKUP($B544,'Email Marketing Raw Data'!$C:$O,7,0)),"")</f>
        <v/>
      </c>
      <c r="P544" s="55" t="str">
        <f>IFERROR(IF(OR($B544="",$B544="(blank)"),"",VLOOKUP($B544,'Email Marketing Raw Data'!$C:$O,8,0)),"")</f>
        <v/>
      </c>
      <c r="Q544" s="62" t="str">
        <f>IFERROR(IF(OR($B544="",$B544="(blank)"),"",VLOOKUP($B544,'Email Marketing Raw Data'!$C:$O,9,0)),"")</f>
        <v/>
      </c>
    </row>
    <row r="545" spans="4:17" ht="12.75" customHeight="1" x14ac:dyDescent="0.2">
      <c r="D545" s="58" t="str">
        <f>IFERROR(IF(F545&lt;&gt;"pending","",IF(OR($B545="",$B545="(blank)"),"",VLOOKUP($B545,'Email Marketing Raw Data'!$C:$O,10,0))),"")</f>
        <v/>
      </c>
      <c r="E545" s="59" t="str">
        <f>IFERROR(IF(F545&lt;&gt;"pending","",IF(OR($B545="",$B545="(blank)"),"",VLOOKUP($B545,'Email Marketing Raw Data'!$C:$O,11,0))),"")</f>
        <v/>
      </c>
      <c r="F545" s="54" t="str">
        <f>IFERROR(IF(OR($B545="",$B545="(blank)"),"",VLOOKUP($B545,'Email Marketing Raw Data'!$C:$O,13,0)),"")</f>
        <v/>
      </c>
      <c r="G545" s="55" t="str">
        <f>IFERROR(IF(OR($B545="",$B545="(blank)"),"",VLOOKUP($B545,'Email Marketing Raw Data'!$C:$O,4,0)),"")</f>
        <v/>
      </c>
      <c r="H545" s="55" t="str">
        <f>IFERROR(IF(OR($B545="",$B545="(blank)"),"",VLOOKUP($B545,'Email Marketing Raw Data'!$C:$O,5,0)),"")</f>
        <v/>
      </c>
      <c r="I545" s="55" t="str">
        <f>IFERROR(IF($G545="","",VLOOKUP('Dashboard And Emails Automate'!$G545,Database!$H:$N,3,0)),"")</f>
        <v/>
      </c>
      <c r="J545" s="55" t="str">
        <f>IFERROR(IF($G545="","",VLOOKUP('Dashboard And Emails Automate'!$G545,Database!$H:$N,4,0)),"")</f>
        <v/>
      </c>
      <c r="K545" s="55" t="str">
        <f>IFERROR(IF($G545="","",VLOOKUP('Dashboard And Emails Automate'!$G545,Database!$H:$N,5,0)),"")</f>
        <v/>
      </c>
      <c r="L545" s="55" t="str">
        <f>IFERROR(IF($G545="","",VLOOKUP('Dashboard And Emails Automate'!$G545,Database!$H:$N,6,0)),"")</f>
        <v/>
      </c>
      <c r="M545" s="55" t="str">
        <f>IFERROR(IF($G545="","",VLOOKUP('Dashboard And Emails Automate'!$G545,Database!$H:$N,7,0)),"")</f>
        <v/>
      </c>
      <c r="N545" s="55" t="str">
        <f>IFERROR(IF(OR($B545="",$B545="(blank)"),"",VLOOKUP($B545,'Email Marketing Raw Data'!$C:$O,6,0)),"")</f>
        <v/>
      </c>
      <c r="O545" s="55" t="str">
        <f>IFERROR(IF(OR($B545="",$B545="(blank)"),"",VLOOKUP($B545,'Email Marketing Raw Data'!$C:$O,7,0)),"")</f>
        <v/>
      </c>
      <c r="P545" s="55" t="str">
        <f>IFERROR(IF(OR($B545="",$B545="(blank)"),"",VLOOKUP($B545,'Email Marketing Raw Data'!$C:$O,8,0)),"")</f>
        <v/>
      </c>
      <c r="Q545" s="62" t="str">
        <f>IFERROR(IF(OR($B545="",$B545="(blank)"),"",VLOOKUP($B545,'Email Marketing Raw Data'!$C:$O,9,0)),"")</f>
        <v/>
      </c>
    </row>
    <row r="546" spans="4:17" ht="12.75" customHeight="1" x14ac:dyDescent="0.2">
      <c r="D546" s="58" t="str">
        <f>IFERROR(IF(F546&lt;&gt;"pending","",IF(OR($B546="",$B546="(blank)"),"",VLOOKUP($B546,'Email Marketing Raw Data'!$C:$O,10,0))),"")</f>
        <v/>
      </c>
      <c r="E546" s="59" t="str">
        <f>IFERROR(IF(F546&lt;&gt;"pending","",IF(OR($B546="",$B546="(blank)"),"",VLOOKUP($B546,'Email Marketing Raw Data'!$C:$O,11,0))),"")</f>
        <v/>
      </c>
      <c r="F546" s="54" t="str">
        <f>IFERROR(IF(OR($B546="",$B546="(blank)"),"",VLOOKUP($B546,'Email Marketing Raw Data'!$C:$O,13,0)),"")</f>
        <v/>
      </c>
      <c r="G546" s="55" t="str">
        <f>IFERROR(IF(OR($B546="",$B546="(blank)"),"",VLOOKUP($B546,'Email Marketing Raw Data'!$C:$O,4,0)),"")</f>
        <v/>
      </c>
      <c r="H546" s="55" t="str">
        <f>IFERROR(IF(OR($B546="",$B546="(blank)"),"",VLOOKUP($B546,'Email Marketing Raw Data'!$C:$O,5,0)),"")</f>
        <v/>
      </c>
      <c r="I546" s="55" t="str">
        <f>IFERROR(IF($G546="","",VLOOKUP('Dashboard And Emails Automate'!$G546,Database!$H:$N,3,0)),"")</f>
        <v/>
      </c>
      <c r="J546" s="55" t="str">
        <f>IFERROR(IF($G546="","",VLOOKUP('Dashboard And Emails Automate'!$G546,Database!$H:$N,4,0)),"")</f>
        <v/>
      </c>
      <c r="K546" s="55" t="str">
        <f>IFERROR(IF($G546="","",VLOOKUP('Dashboard And Emails Automate'!$G546,Database!$H:$N,5,0)),"")</f>
        <v/>
      </c>
      <c r="L546" s="55" t="str">
        <f>IFERROR(IF($G546="","",VLOOKUP('Dashboard And Emails Automate'!$G546,Database!$H:$N,6,0)),"")</f>
        <v/>
      </c>
      <c r="M546" s="55" t="str">
        <f>IFERROR(IF($G546="","",VLOOKUP('Dashboard And Emails Automate'!$G546,Database!$H:$N,7,0)),"")</f>
        <v/>
      </c>
      <c r="N546" s="55" t="str">
        <f>IFERROR(IF(OR($B546="",$B546="(blank)"),"",VLOOKUP($B546,'Email Marketing Raw Data'!$C:$O,6,0)),"")</f>
        <v/>
      </c>
      <c r="O546" s="55" t="str">
        <f>IFERROR(IF(OR($B546="",$B546="(blank)"),"",VLOOKUP($B546,'Email Marketing Raw Data'!$C:$O,7,0)),"")</f>
        <v/>
      </c>
      <c r="P546" s="55" t="str">
        <f>IFERROR(IF(OR($B546="",$B546="(blank)"),"",VLOOKUP($B546,'Email Marketing Raw Data'!$C:$O,8,0)),"")</f>
        <v/>
      </c>
      <c r="Q546" s="62" t="str">
        <f>IFERROR(IF(OR($B546="",$B546="(blank)"),"",VLOOKUP($B546,'Email Marketing Raw Data'!$C:$O,9,0)),"")</f>
        <v/>
      </c>
    </row>
    <row r="547" spans="4:17" ht="12.75" customHeight="1" x14ac:dyDescent="0.2">
      <c r="D547" s="58" t="str">
        <f>IFERROR(IF(F547&lt;&gt;"pending","",IF(OR($B547="",$B547="(blank)"),"",VLOOKUP($B547,'Email Marketing Raw Data'!$C:$O,10,0))),"")</f>
        <v/>
      </c>
      <c r="E547" s="59" t="str">
        <f>IFERROR(IF(F547&lt;&gt;"pending","",IF(OR($B547="",$B547="(blank)"),"",VLOOKUP($B547,'Email Marketing Raw Data'!$C:$O,11,0))),"")</f>
        <v/>
      </c>
      <c r="F547" s="54" t="str">
        <f>IFERROR(IF(OR($B547="",$B547="(blank)"),"",VLOOKUP($B547,'Email Marketing Raw Data'!$C:$O,13,0)),"")</f>
        <v/>
      </c>
      <c r="G547" s="55" t="str">
        <f>IFERROR(IF(OR($B547="",$B547="(blank)"),"",VLOOKUP($B547,'Email Marketing Raw Data'!$C:$O,4,0)),"")</f>
        <v/>
      </c>
      <c r="H547" s="55" t="str">
        <f>IFERROR(IF(OR($B547="",$B547="(blank)"),"",VLOOKUP($B547,'Email Marketing Raw Data'!$C:$O,5,0)),"")</f>
        <v/>
      </c>
      <c r="I547" s="55" t="str">
        <f>IFERROR(IF($G547="","",VLOOKUP('Dashboard And Emails Automate'!$G547,Database!$H:$N,3,0)),"")</f>
        <v/>
      </c>
      <c r="J547" s="55" t="str">
        <f>IFERROR(IF($G547="","",VLOOKUP('Dashboard And Emails Automate'!$G547,Database!$H:$N,4,0)),"")</f>
        <v/>
      </c>
      <c r="K547" s="55" t="str">
        <f>IFERROR(IF($G547="","",VLOOKUP('Dashboard And Emails Automate'!$G547,Database!$H:$N,5,0)),"")</f>
        <v/>
      </c>
      <c r="L547" s="55" t="str">
        <f>IFERROR(IF($G547="","",VLOOKUP('Dashboard And Emails Automate'!$G547,Database!$H:$N,6,0)),"")</f>
        <v/>
      </c>
      <c r="M547" s="55" t="str">
        <f>IFERROR(IF($G547="","",VLOOKUP('Dashboard And Emails Automate'!$G547,Database!$H:$N,7,0)),"")</f>
        <v/>
      </c>
      <c r="N547" s="55" t="str">
        <f>IFERROR(IF(OR($B547="",$B547="(blank)"),"",VLOOKUP($B547,'Email Marketing Raw Data'!$C:$O,6,0)),"")</f>
        <v/>
      </c>
      <c r="O547" s="55" t="str">
        <f>IFERROR(IF(OR($B547="",$B547="(blank)"),"",VLOOKUP($B547,'Email Marketing Raw Data'!$C:$O,7,0)),"")</f>
        <v/>
      </c>
      <c r="P547" s="55" t="str">
        <f>IFERROR(IF(OR($B547="",$B547="(blank)"),"",VLOOKUP($B547,'Email Marketing Raw Data'!$C:$O,8,0)),"")</f>
        <v/>
      </c>
      <c r="Q547" s="62" t="str">
        <f>IFERROR(IF(OR($B547="",$B547="(blank)"),"",VLOOKUP($B547,'Email Marketing Raw Data'!$C:$O,9,0)),"")</f>
        <v/>
      </c>
    </row>
    <row r="548" spans="4:17" ht="12.75" customHeight="1" x14ac:dyDescent="0.2">
      <c r="D548" s="58" t="str">
        <f>IFERROR(IF(F548&lt;&gt;"pending","",IF(OR($B548="",$B548="(blank)"),"",VLOOKUP($B548,'Email Marketing Raw Data'!$C:$O,10,0))),"")</f>
        <v/>
      </c>
      <c r="E548" s="59" t="str">
        <f>IFERROR(IF(F548&lt;&gt;"pending","",IF(OR($B548="",$B548="(blank)"),"",VLOOKUP($B548,'Email Marketing Raw Data'!$C:$O,11,0))),"")</f>
        <v/>
      </c>
      <c r="F548" s="54" t="str">
        <f>IFERROR(IF(OR($B548="",$B548="(blank)"),"",VLOOKUP($B548,'Email Marketing Raw Data'!$C:$O,13,0)),"")</f>
        <v/>
      </c>
      <c r="G548" s="55" t="str">
        <f>IFERROR(IF(OR($B548="",$B548="(blank)"),"",VLOOKUP($B548,'Email Marketing Raw Data'!$C:$O,4,0)),"")</f>
        <v/>
      </c>
      <c r="H548" s="55" t="str">
        <f>IFERROR(IF(OR($B548="",$B548="(blank)"),"",VLOOKUP($B548,'Email Marketing Raw Data'!$C:$O,5,0)),"")</f>
        <v/>
      </c>
      <c r="I548" s="55" t="str">
        <f>IFERROR(IF($G548="","",VLOOKUP('Dashboard And Emails Automate'!$G548,Database!$H:$N,3,0)),"")</f>
        <v/>
      </c>
      <c r="J548" s="55" t="str">
        <f>IFERROR(IF($G548="","",VLOOKUP('Dashboard And Emails Automate'!$G548,Database!$H:$N,4,0)),"")</f>
        <v/>
      </c>
      <c r="K548" s="55" t="str">
        <f>IFERROR(IF($G548="","",VLOOKUP('Dashboard And Emails Automate'!$G548,Database!$H:$N,5,0)),"")</f>
        <v/>
      </c>
      <c r="L548" s="55" t="str">
        <f>IFERROR(IF($G548="","",VLOOKUP('Dashboard And Emails Automate'!$G548,Database!$H:$N,6,0)),"")</f>
        <v/>
      </c>
      <c r="M548" s="55" t="str">
        <f>IFERROR(IF($G548="","",VLOOKUP('Dashboard And Emails Automate'!$G548,Database!$H:$N,7,0)),"")</f>
        <v/>
      </c>
      <c r="N548" s="55" t="str">
        <f>IFERROR(IF(OR($B548="",$B548="(blank)"),"",VLOOKUP($B548,'Email Marketing Raw Data'!$C:$O,6,0)),"")</f>
        <v/>
      </c>
      <c r="O548" s="55" t="str">
        <f>IFERROR(IF(OR($B548="",$B548="(blank)"),"",VLOOKUP($B548,'Email Marketing Raw Data'!$C:$O,7,0)),"")</f>
        <v/>
      </c>
      <c r="P548" s="55" t="str">
        <f>IFERROR(IF(OR($B548="",$B548="(blank)"),"",VLOOKUP($B548,'Email Marketing Raw Data'!$C:$O,8,0)),"")</f>
        <v/>
      </c>
      <c r="Q548" s="62" t="str">
        <f>IFERROR(IF(OR($B548="",$B548="(blank)"),"",VLOOKUP($B548,'Email Marketing Raw Data'!$C:$O,9,0)),"")</f>
        <v/>
      </c>
    </row>
    <row r="549" spans="4:17" ht="12.75" customHeight="1" x14ac:dyDescent="0.2">
      <c r="D549" s="58" t="str">
        <f>IFERROR(IF(F549&lt;&gt;"pending","",IF(OR($B549="",$B549="(blank)"),"",VLOOKUP($B549,'Email Marketing Raw Data'!$C:$O,10,0))),"")</f>
        <v/>
      </c>
      <c r="E549" s="59" t="str">
        <f>IFERROR(IF(F549&lt;&gt;"pending","",IF(OR($B549="",$B549="(blank)"),"",VLOOKUP($B549,'Email Marketing Raw Data'!$C:$O,11,0))),"")</f>
        <v/>
      </c>
      <c r="F549" s="54" t="str">
        <f>IFERROR(IF(OR($B549="",$B549="(blank)"),"",VLOOKUP($B549,'Email Marketing Raw Data'!$C:$O,13,0)),"")</f>
        <v/>
      </c>
      <c r="G549" s="55" t="str">
        <f>IFERROR(IF(OR($B549="",$B549="(blank)"),"",VLOOKUP($B549,'Email Marketing Raw Data'!$C:$O,4,0)),"")</f>
        <v/>
      </c>
      <c r="H549" s="55" t="str">
        <f>IFERROR(IF(OR($B549="",$B549="(blank)"),"",VLOOKUP($B549,'Email Marketing Raw Data'!$C:$O,5,0)),"")</f>
        <v/>
      </c>
      <c r="I549" s="55" t="str">
        <f>IFERROR(IF($G549="","",VLOOKUP('Dashboard And Emails Automate'!$G549,Database!$H:$N,3,0)),"")</f>
        <v/>
      </c>
      <c r="J549" s="55" t="str">
        <f>IFERROR(IF($G549="","",VLOOKUP('Dashboard And Emails Automate'!$G549,Database!$H:$N,4,0)),"")</f>
        <v/>
      </c>
      <c r="K549" s="55" t="str">
        <f>IFERROR(IF($G549="","",VLOOKUP('Dashboard And Emails Automate'!$G549,Database!$H:$N,5,0)),"")</f>
        <v/>
      </c>
      <c r="L549" s="55" t="str">
        <f>IFERROR(IF($G549="","",VLOOKUP('Dashboard And Emails Automate'!$G549,Database!$H:$N,6,0)),"")</f>
        <v/>
      </c>
      <c r="M549" s="55" t="str">
        <f>IFERROR(IF($G549="","",VLOOKUP('Dashboard And Emails Automate'!$G549,Database!$H:$N,7,0)),"")</f>
        <v/>
      </c>
      <c r="N549" s="55" t="str">
        <f>IFERROR(IF(OR($B549="",$B549="(blank)"),"",VLOOKUP($B549,'Email Marketing Raw Data'!$C:$O,6,0)),"")</f>
        <v/>
      </c>
      <c r="O549" s="55" t="str">
        <f>IFERROR(IF(OR($B549="",$B549="(blank)"),"",VLOOKUP($B549,'Email Marketing Raw Data'!$C:$O,7,0)),"")</f>
        <v/>
      </c>
      <c r="P549" s="55" t="str">
        <f>IFERROR(IF(OR($B549="",$B549="(blank)"),"",VLOOKUP($B549,'Email Marketing Raw Data'!$C:$O,8,0)),"")</f>
        <v/>
      </c>
      <c r="Q549" s="62" t="str">
        <f>IFERROR(IF(OR($B549="",$B549="(blank)"),"",VLOOKUP($B549,'Email Marketing Raw Data'!$C:$O,9,0)),"")</f>
        <v/>
      </c>
    </row>
    <row r="550" spans="4:17" ht="12.75" customHeight="1" x14ac:dyDescent="0.2">
      <c r="D550" s="58" t="str">
        <f>IFERROR(IF(F550&lt;&gt;"pending","",IF(OR($B550="",$B550="(blank)"),"",VLOOKUP($B550,'Email Marketing Raw Data'!$C:$O,10,0))),"")</f>
        <v/>
      </c>
      <c r="E550" s="59" t="str">
        <f>IFERROR(IF(F550&lt;&gt;"pending","",IF(OR($B550="",$B550="(blank)"),"",VLOOKUP($B550,'Email Marketing Raw Data'!$C:$O,11,0))),"")</f>
        <v/>
      </c>
      <c r="F550" s="54" t="str">
        <f>IFERROR(IF(OR($B550="",$B550="(blank)"),"",VLOOKUP($B550,'Email Marketing Raw Data'!$C:$O,13,0)),"")</f>
        <v/>
      </c>
      <c r="G550" s="55" t="str">
        <f>IFERROR(IF(OR($B550="",$B550="(blank)"),"",VLOOKUP($B550,'Email Marketing Raw Data'!$C:$O,4,0)),"")</f>
        <v/>
      </c>
      <c r="H550" s="55" t="str">
        <f>IFERROR(IF(OR($B550="",$B550="(blank)"),"",VLOOKUP($B550,'Email Marketing Raw Data'!$C:$O,5,0)),"")</f>
        <v/>
      </c>
      <c r="I550" s="55" t="str">
        <f>IFERROR(IF($G550="","",VLOOKUP('Dashboard And Emails Automate'!$G550,Database!$H:$N,3,0)),"")</f>
        <v/>
      </c>
      <c r="J550" s="55" t="str">
        <f>IFERROR(IF($G550="","",VLOOKUP('Dashboard And Emails Automate'!$G550,Database!$H:$N,4,0)),"")</f>
        <v/>
      </c>
      <c r="K550" s="55" t="str">
        <f>IFERROR(IF($G550="","",VLOOKUP('Dashboard And Emails Automate'!$G550,Database!$H:$N,5,0)),"")</f>
        <v/>
      </c>
      <c r="L550" s="55" t="str">
        <f>IFERROR(IF($G550="","",VLOOKUP('Dashboard And Emails Automate'!$G550,Database!$H:$N,6,0)),"")</f>
        <v/>
      </c>
      <c r="M550" s="55" t="str">
        <f>IFERROR(IF($G550="","",VLOOKUP('Dashboard And Emails Automate'!$G550,Database!$H:$N,7,0)),"")</f>
        <v/>
      </c>
      <c r="N550" s="55" t="str">
        <f>IFERROR(IF(OR($B550="",$B550="(blank)"),"",VLOOKUP($B550,'Email Marketing Raw Data'!$C:$O,6,0)),"")</f>
        <v/>
      </c>
      <c r="O550" s="55" t="str">
        <f>IFERROR(IF(OR($B550="",$B550="(blank)"),"",VLOOKUP($B550,'Email Marketing Raw Data'!$C:$O,7,0)),"")</f>
        <v/>
      </c>
      <c r="P550" s="55" t="str">
        <f>IFERROR(IF(OR($B550="",$B550="(blank)"),"",VLOOKUP($B550,'Email Marketing Raw Data'!$C:$O,8,0)),"")</f>
        <v/>
      </c>
      <c r="Q550" s="62" t="str">
        <f>IFERROR(IF(OR($B550="",$B550="(blank)"),"",VLOOKUP($B550,'Email Marketing Raw Data'!$C:$O,9,0)),"")</f>
        <v/>
      </c>
    </row>
    <row r="551" spans="4:17" ht="12.75" customHeight="1" x14ac:dyDescent="0.2">
      <c r="D551" s="58" t="str">
        <f>IFERROR(IF(F551&lt;&gt;"pending","",IF(OR($B551="",$B551="(blank)"),"",VLOOKUP($B551,'Email Marketing Raw Data'!$C:$O,10,0))),"")</f>
        <v/>
      </c>
      <c r="E551" s="59" t="str">
        <f>IFERROR(IF(F551&lt;&gt;"pending","",IF(OR($B551="",$B551="(blank)"),"",VLOOKUP($B551,'Email Marketing Raw Data'!$C:$O,11,0))),"")</f>
        <v/>
      </c>
      <c r="F551" s="54" t="str">
        <f>IFERROR(IF(OR($B551="",$B551="(blank)"),"",VLOOKUP($B551,'Email Marketing Raw Data'!$C:$O,13,0)),"")</f>
        <v/>
      </c>
      <c r="G551" s="55" t="str">
        <f>IFERROR(IF(OR($B551="",$B551="(blank)"),"",VLOOKUP($B551,'Email Marketing Raw Data'!$C:$O,4,0)),"")</f>
        <v/>
      </c>
      <c r="H551" s="55" t="str">
        <f>IFERROR(IF(OR($B551="",$B551="(blank)"),"",VLOOKUP($B551,'Email Marketing Raw Data'!$C:$O,5,0)),"")</f>
        <v/>
      </c>
      <c r="I551" s="55" t="str">
        <f>IFERROR(IF($G551="","",VLOOKUP('Dashboard And Emails Automate'!$G551,Database!$H:$N,3,0)),"")</f>
        <v/>
      </c>
      <c r="J551" s="55" t="str">
        <f>IFERROR(IF($G551="","",VLOOKUP('Dashboard And Emails Automate'!$G551,Database!$H:$N,4,0)),"")</f>
        <v/>
      </c>
      <c r="K551" s="55" t="str">
        <f>IFERROR(IF($G551="","",VLOOKUP('Dashboard And Emails Automate'!$G551,Database!$H:$N,5,0)),"")</f>
        <v/>
      </c>
      <c r="L551" s="55" t="str">
        <f>IFERROR(IF($G551="","",VLOOKUP('Dashboard And Emails Automate'!$G551,Database!$H:$N,6,0)),"")</f>
        <v/>
      </c>
      <c r="M551" s="55" t="str">
        <f>IFERROR(IF($G551="","",VLOOKUP('Dashboard And Emails Automate'!$G551,Database!$H:$N,7,0)),"")</f>
        <v/>
      </c>
      <c r="N551" s="55" t="str">
        <f>IFERROR(IF(OR($B551="",$B551="(blank)"),"",VLOOKUP($B551,'Email Marketing Raw Data'!$C:$O,6,0)),"")</f>
        <v/>
      </c>
      <c r="O551" s="55" t="str">
        <f>IFERROR(IF(OR($B551="",$B551="(blank)"),"",VLOOKUP($B551,'Email Marketing Raw Data'!$C:$O,7,0)),"")</f>
        <v/>
      </c>
      <c r="P551" s="55" t="str">
        <f>IFERROR(IF(OR($B551="",$B551="(blank)"),"",VLOOKUP($B551,'Email Marketing Raw Data'!$C:$O,8,0)),"")</f>
        <v/>
      </c>
      <c r="Q551" s="62" t="str">
        <f>IFERROR(IF(OR($B551="",$B551="(blank)"),"",VLOOKUP($B551,'Email Marketing Raw Data'!$C:$O,9,0)),"")</f>
        <v/>
      </c>
    </row>
    <row r="552" spans="4:17" ht="12.75" customHeight="1" x14ac:dyDescent="0.2">
      <c r="D552" s="58" t="str">
        <f>IFERROR(IF(F552&lt;&gt;"pending","",IF(OR($B552="",$B552="(blank)"),"",VLOOKUP($B552,'Email Marketing Raw Data'!$C:$O,10,0))),"")</f>
        <v/>
      </c>
      <c r="E552" s="59" t="str">
        <f>IFERROR(IF(F552&lt;&gt;"pending","",IF(OR($B552="",$B552="(blank)"),"",VLOOKUP($B552,'Email Marketing Raw Data'!$C:$O,11,0))),"")</f>
        <v/>
      </c>
      <c r="F552" s="54" t="str">
        <f>IFERROR(IF(OR($B552="",$B552="(blank)"),"",VLOOKUP($B552,'Email Marketing Raw Data'!$C:$O,13,0)),"")</f>
        <v/>
      </c>
      <c r="G552" s="55" t="str">
        <f>IFERROR(IF(OR($B552="",$B552="(blank)"),"",VLOOKUP($B552,'Email Marketing Raw Data'!$C:$O,4,0)),"")</f>
        <v/>
      </c>
      <c r="H552" s="55" t="str">
        <f>IFERROR(IF(OR($B552="",$B552="(blank)"),"",VLOOKUP($B552,'Email Marketing Raw Data'!$C:$O,5,0)),"")</f>
        <v/>
      </c>
      <c r="I552" s="55" t="str">
        <f>IFERROR(IF($G552="","",VLOOKUP('Dashboard And Emails Automate'!$G552,Database!$H:$N,3,0)),"")</f>
        <v/>
      </c>
      <c r="J552" s="55" t="str">
        <f>IFERROR(IF($G552="","",VLOOKUP('Dashboard And Emails Automate'!$G552,Database!$H:$N,4,0)),"")</f>
        <v/>
      </c>
      <c r="K552" s="55" t="str">
        <f>IFERROR(IF($G552="","",VLOOKUP('Dashboard And Emails Automate'!$G552,Database!$H:$N,5,0)),"")</f>
        <v/>
      </c>
      <c r="L552" s="55" t="str">
        <f>IFERROR(IF($G552="","",VLOOKUP('Dashboard And Emails Automate'!$G552,Database!$H:$N,6,0)),"")</f>
        <v/>
      </c>
      <c r="M552" s="55" t="str">
        <f>IFERROR(IF($G552="","",VLOOKUP('Dashboard And Emails Automate'!$G552,Database!$H:$N,7,0)),"")</f>
        <v/>
      </c>
      <c r="N552" s="55" t="str">
        <f>IFERROR(IF(OR($B552="",$B552="(blank)"),"",VLOOKUP($B552,'Email Marketing Raw Data'!$C:$O,6,0)),"")</f>
        <v/>
      </c>
      <c r="O552" s="55" t="str">
        <f>IFERROR(IF(OR($B552="",$B552="(blank)"),"",VLOOKUP($B552,'Email Marketing Raw Data'!$C:$O,7,0)),"")</f>
        <v/>
      </c>
      <c r="P552" s="55" t="str">
        <f>IFERROR(IF(OR($B552="",$B552="(blank)"),"",VLOOKUP($B552,'Email Marketing Raw Data'!$C:$O,8,0)),"")</f>
        <v/>
      </c>
      <c r="Q552" s="62" t="str">
        <f>IFERROR(IF(OR($B552="",$B552="(blank)"),"",VLOOKUP($B552,'Email Marketing Raw Data'!$C:$O,9,0)),"")</f>
        <v/>
      </c>
    </row>
    <row r="553" spans="4:17" ht="12.75" customHeight="1" x14ac:dyDescent="0.2">
      <c r="D553" s="58" t="str">
        <f>IFERROR(IF(F553&lt;&gt;"pending","",IF(OR($B553="",$B553="(blank)"),"",VLOOKUP($B553,'Email Marketing Raw Data'!$C:$O,10,0))),"")</f>
        <v/>
      </c>
      <c r="E553" s="59" t="str">
        <f>IFERROR(IF(F553&lt;&gt;"pending","",IF(OR($B553="",$B553="(blank)"),"",VLOOKUP($B553,'Email Marketing Raw Data'!$C:$O,11,0))),"")</f>
        <v/>
      </c>
      <c r="F553" s="54" t="str">
        <f>IFERROR(IF(OR($B553="",$B553="(blank)"),"",VLOOKUP($B553,'Email Marketing Raw Data'!$C:$O,13,0)),"")</f>
        <v/>
      </c>
      <c r="G553" s="55" t="str">
        <f>IFERROR(IF(OR($B553="",$B553="(blank)"),"",VLOOKUP($B553,'Email Marketing Raw Data'!$C:$O,4,0)),"")</f>
        <v/>
      </c>
      <c r="H553" s="55" t="str">
        <f>IFERROR(IF(OR($B553="",$B553="(blank)"),"",VLOOKUP($B553,'Email Marketing Raw Data'!$C:$O,5,0)),"")</f>
        <v/>
      </c>
      <c r="I553" s="55" t="str">
        <f>IFERROR(IF($G553="","",VLOOKUP('Dashboard And Emails Automate'!$G553,Database!$H:$N,3,0)),"")</f>
        <v/>
      </c>
      <c r="J553" s="55" t="str">
        <f>IFERROR(IF($G553="","",VLOOKUP('Dashboard And Emails Automate'!$G553,Database!$H:$N,4,0)),"")</f>
        <v/>
      </c>
      <c r="K553" s="55" t="str">
        <f>IFERROR(IF($G553="","",VLOOKUP('Dashboard And Emails Automate'!$G553,Database!$H:$N,5,0)),"")</f>
        <v/>
      </c>
      <c r="L553" s="55" t="str">
        <f>IFERROR(IF($G553="","",VLOOKUP('Dashboard And Emails Automate'!$G553,Database!$H:$N,6,0)),"")</f>
        <v/>
      </c>
      <c r="M553" s="55" t="str">
        <f>IFERROR(IF($G553="","",VLOOKUP('Dashboard And Emails Automate'!$G553,Database!$H:$N,7,0)),"")</f>
        <v/>
      </c>
      <c r="N553" s="55" t="str">
        <f>IFERROR(IF(OR($B553="",$B553="(blank)"),"",VLOOKUP($B553,'Email Marketing Raw Data'!$C:$O,6,0)),"")</f>
        <v/>
      </c>
      <c r="O553" s="55" t="str">
        <f>IFERROR(IF(OR($B553="",$B553="(blank)"),"",VLOOKUP($B553,'Email Marketing Raw Data'!$C:$O,7,0)),"")</f>
        <v/>
      </c>
      <c r="P553" s="55" t="str">
        <f>IFERROR(IF(OR($B553="",$B553="(blank)"),"",VLOOKUP($B553,'Email Marketing Raw Data'!$C:$O,8,0)),"")</f>
        <v/>
      </c>
      <c r="Q553" s="62" t="str">
        <f>IFERROR(IF(OR($B553="",$B553="(blank)"),"",VLOOKUP($B553,'Email Marketing Raw Data'!$C:$O,9,0)),"")</f>
        <v/>
      </c>
    </row>
    <row r="554" spans="4:17" ht="12.75" customHeight="1" x14ac:dyDescent="0.2">
      <c r="D554" s="58" t="str">
        <f>IFERROR(IF(F554&lt;&gt;"pending","",IF(OR($B554="",$B554="(blank)"),"",VLOOKUP($B554,'Email Marketing Raw Data'!$C:$O,10,0))),"")</f>
        <v/>
      </c>
      <c r="E554" s="59" t="str">
        <f>IFERROR(IF(F554&lt;&gt;"pending","",IF(OR($B554="",$B554="(blank)"),"",VLOOKUP($B554,'Email Marketing Raw Data'!$C:$O,11,0))),"")</f>
        <v/>
      </c>
      <c r="F554" s="54" t="str">
        <f>IFERROR(IF(OR($B554="",$B554="(blank)"),"",VLOOKUP($B554,'Email Marketing Raw Data'!$C:$O,13,0)),"")</f>
        <v/>
      </c>
      <c r="G554" s="55" t="str">
        <f>IFERROR(IF(OR($B554="",$B554="(blank)"),"",VLOOKUP($B554,'Email Marketing Raw Data'!$C:$O,4,0)),"")</f>
        <v/>
      </c>
      <c r="H554" s="55" t="str">
        <f>IFERROR(IF(OR($B554="",$B554="(blank)"),"",VLOOKUP($B554,'Email Marketing Raw Data'!$C:$O,5,0)),"")</f>
        <v/>
      </c>
      <c r="I554" s="55" t="str">
        <f>IFERROR(IF($G554="","",VLOOKUP('Dashboard And Emails Automate'!$G554,Database!$H:$N,3,0)),"")</f>
        <v/>
      </c>
      <c r="J554" s="55" t="str">
        <f>IFERROR(IF($G554="","",VLOOKUP('Dashboard And Emails Automate'!$G554,Database!$H:$N,4,0)),"")</f>
        <v/>
      </c>
      <c r="K554" s="55" t="str">
        <f>IFERROR(IF($G554="","",VLOOKUP('Dashboard And Emails Automate'!$G554,Database!$H:$N,5,0)),"")</f>
        <v/>
      </c>
      <c r="L554" s="55" t="str">
        <f>IFERROR(IF($G554="","",VLOOKUP('Dashboard And Emails Automate'!$G554,Database!$H:$N,6,0)),"")</f>
        <v/>
      </c>
      <c r="M554" s="55" t="str">
        <f>IFERROR(IF($G554="","",VLOOKUP('Dashboard And Emails Automate'!$G554,Database!$H:$N,7,0)),"")</f>
        <v/>
      </c>
      <c r="N554" s="55" t="str">
        <f>IFERROR(IF(OR($B554="",$B554="(blank)"),"",VLOOKUP($B554,'Email Marketing Raw Data'!$C:$O,6,0)),"")</f>
        <v/>
      </c>
      <c r="O554" s="55" t="str">
        <f>IFERROR(IF(OR($B554="",$B554="(blank)"),"",VLOOKUP($B554,'Email Marketing Raw Data'!$C:$O,7,0)),"")</f>
        <v/>
      </c>
      <c r="P554" s="55" t="str">
        <f>IFERROR(IF(OR($B554="",$B554="(blank)"),"",VLOOKUP($B554,'Email Marketing Raw Data'!$C:$O,8,0)),"")</f>
        <v/>
      </c>
      <c r="Q554" s="62" t="str">
        <f>IFERROR(IF(OR($B554="",$B554="(blank)"),"",VLOOKUP($B554,'Email Marketing Raw Data'!$C:$O,9,0)),"")</f>
        <v/>
      </c>
    </row>
    <row r="555" spans="4:17" ht="12.75" customHeight="1" x14ac:dyDescent="0.2">
      <c r="D555" s="58" t="str">
        <f>IFERROR(IF(F555&lt;&gt;"pending","",IF(OR($B555="",$B555="(blank)"),"",VLOOKUP($B555,'Email Marketing Raw Data'!$C:$O,10,0))),"")</f>
        <v/>
      </c>
      <c r="E555" s="59" t="str">
        <f>IFERROR(IF(F555&lt;&gt;"pending","",IF(OR($B555="",$B555="(blank)"),"",VLOOKUP($B555,'Email Marketing Raw Data'!$C:$O,11,0))),"")</f>
        <v/>
      </c>
      <c r="F555" s="54" t="str">
        <f>IFERROR(IF(OR($B555="",$B555="(blank)"),"",VLOOKUP($B555,'Email Marketing Raw Data'!$C:$O,13,0)),"")</f>
        <v/>
      </c>
      <c r="G555" s="55" t="str">
        <f>IFERROR(IF(OR($B555="",$B555="(blank)"),"",VLOOKUP($B555,'Email Marketing Raw Data'!$C:$O,4,0)),"")</f>
        <v/>
      </c>
      <c r="H555" s="55" t="str">
        <f>IFERROR(IF(OR($B555="",$B555="(blank)"),"",VLOOKUP($B555,'Email Marketing Raw Data'!$C:$O,5,0)),"")</f>
        <v/>
      </c>
      <c r="I555" s="55" t="str">
        <f>IFERROR(IF($G555="","",VLOOKUP('Dashboard And Emails Automate'!$G555,Database!$H:$N,3,0)),"")</f>
        <v/>
      </c>
      <c r="J555" s="55" t="str">
        <f>IFERROR(IF($G555="","",VLOOKUP('Dashboard And Emails Automate'!$G555,Database!$H:$N,4,0)),"")</f>
        <v/>
      </c>
      <c r="K555" s="55" t="str">
        <f>IFERROR(IF($G555="","",VLOOKUP('Dashboard And Emails Automate'!$G555,Database!$H:$N,5,0)),"")</f>
        <v/>
      </c>
      <c r="L555" s="55" t="str">
        <f>IFERROR(IF($G555="","",VLOOKUP('Dashboard And Emails Automate'!$G555,Database!$H:$N,6,0)),"")</f>
        <v/>
      </c>
      <c r="M555" s="55" t="str">
        <f>IFERROR(IF($G555="","",VLOOKUP('Dashboard And Emails Automate'!$G555,Database!$H:$N,7,0)),"")</f>
        <v/>
      </c>
      <c r="N555" s="55" t="str">
        <f>IFERROR(IF(OR($B555="",$B555="(blank)"),"",VLOOKUP($B555,'Email Marketing Raw Data'!$C:$O,6,0)),"")</f>
        <v/>
      </c>
      <c r="O555" s="55" t="str">
        <f>IFERROR(IF(OR($B555="",$B555="(blank)"),"",VLOOKUP($B555,'Email Marketing Raw Data'!$C:$O,7,0)),"")</f>
        <v/>
      </c>
      <c r="P555" s="55" t="str">
        <f>IFERROR(IF(OR($B555="",$B555="(blank)"),"",VLOOKUP($B555,'Email Marketing Raw Data'!$C:$O,8,0)),"")</f>
        <v/>
      </c>
      <c r="Q555" s="62" t="str">
        <f>IFERROR(IF(OR($B555="",$B555="(blank)"),"",VLOOKUP($B555,'Email Marketing Raw Data'!$C:$O,9,0)),"")</f>
        <v/>
      </c>
    </row>
    <row r="556" spans="4:17" ht="12.75" customHeight="1" x14ac:dyDescent="0.2">
      <c r="D556" s="58" t="str">
        <f>IFERROR(IF(F556&lt;&gt;"pending","",IF(OR($B556="",$B556="(blank)"),"",VLOOKUP($B556,'Email Marketing Raw Data'!$C:$O,10,0))),"")</f>
        <v/>
      </c>
      <c r="E556" s="59" t="str">
        <f>IFERROR(IF(F556&lt;&gt;"pending","",IF(OR($B556="",$B556="(blank)"),"",VLOOKUP($B556,'Email Marketing Raw Data'!$C:$O,11,0))),"")</f>
        <v/>
      </c>
      <c r="F556" s="54" t="str">
        <f>IFERROR(IF(OR($B556="",$B556="(blank)"),"",VLOOKUP($B556,'Email Marketing Raw Data'!$C:$O,13,0)),"")</f>
        <v/>
      </c>
      <c r="G556" s="55" t="str">
        <f>IFERROR(IF(OR($B556="",$B556="(blank)"),"",VLOOKUP($B556,'Email Marketing Raw Data'!$C:$O,4,0)),"")</f>
        <v/>
      </c>
      <c r="H556" s="55" t="str">
        <f>IFERROR(IF(OR($B556="",$B556="(blank)"),"",VLOOKUP($B556,'Email Marketing Raw Data'!$C:$O,5,0)),"")</f>
        <v/>
      </c>
      <c r="I556" s="55" t="str">
        <f>IFERROR(IF($G556="","",VLOOKUP('Dashboard And Emails Automate'!$G556,Database!$H:$N,3,0)),"")</f>
        <v/>
      </c>
      <c r="J556" s="55" t="str">
        <f>IFERROR(IF($G556="","",VLOOKUP('Dashboard And Emails Automate'!$G556,Database!$H:$N,4,0)),"")</f>
        <v/>
      </c>
      <c r="K556" s="55" t="str">
        <f>IFERROR(IF($G556="","",VLOOKUP('Dashboard And Emails Automate'!$G556,Database!$H:$N,5,0)),"")</f>
        <v/>
      </c>
      <c r="L556" s="55" t="str">
        <f>IFERROR(IF($G556="","",VLOOKUP('Dashboard And Emails Automate'!$G556,Database!$H:$N,6,0)),"")</f>
        <v/>
      </c>
      <c r="M556" s="55" t="str">
        <f>IFERROR(IF($G556="","",VLOOKUP('Dashboard And Emails Automate'!$G556,Database!$H:$N,7,0)),"")</f>
        <v/>
      </c>
      <c r="N556" s="55" t="str">
        <f>IFERROR(IF(OR($B556="",$B556="(blank)"),"",VLOOKUP($B556,'Email Marketing Raw Data'!$C:$O,6,0)),"")</f>
        <v/>
      </c>
      <c r="O556" s="55" t="str">
        <f>IFERROR(IF(OR($B556="",$B556="(blank)"),"",VLOOKUP($B556,'Email Marketing Raw Data'!$C:$O,7,0)),"")</f>
        <v/>
      </c>
      <c r="P556" s="55" t="str">
        <f>IFERROR(IF(OR($B556="",$B556="(blank)"),"",VLOOKUP($B556,'Email Marketing Raw Data'!$C:$O,8,0)),"")</f>
        <v/>
      </c>
      <c r="Q556" s="62" t="str">
        <f>IFERROR(IF(OR($B556="",$B556="(blank)"),"",VLOOKUP($B556,'Email Marketing Raw Data'!$C:$O,9,0)),"")</f>
        <v/>
      </c>
    </row>
    <row r="557" spans="4:17" ht="12.75" customHeight="1" x14ac:dyDescent="0.2">
      <c r="D557" s="58" t="str">
        <f>IFERROR(IF(F557&lt;&gt;"pending","",IF(OR($B557="",$B557="(blank)"),"",VLOOKUP($B557,'Email Marketing Raw Data'!$C:$O,10,0))),"")</f>
        <v/>
      </c>
      <c r="E557" s="59" t="str">
        <f>IFERROR(IF(F557&lt;&gt;"pending","",IF(OR($B557="",$B557="(blank)"),"",VLOOKUP($B557,'Email Marketing Raw Data'!$C:$O,11,0))),"")</f>
        <v/>
      </c>
      <c r="F557" s="54" t="str">
        <f>IFERROR(IF(OR($B557="",$B557="(blank)"),"",VLOOKUP($B557,'Email Marketing Raw Data'!$C:$O,13,0)),"")</f>
        <v/>
      </c>
      <c r="G557" s="55" t="str">
        <f>IFERROR(IF(OR($B557="",$B557="(blank)"),"",VLOOKUP($B557,'Email Marketing Raw Data'!$C:$O,4,0)),"")</f>
        <v/>
      </c>
      <c r="H557" s="55" t="str">
        <f>IFERROR(IF(OR($B557="",$B557="(blank)"),"",VLOOKUP($B557,'Email Marketing Raw Data'!$C:$O,5,0)),"")</f>
        <v/>
      </c>
      <c r="I557" s="55" t="str">
        <f>IFERROR(IF($G557="","",VLOOKUP('Dashboard And Emails Automate'!$G557,Database!$H:$N,3,0)),"")</f>
        <v/>
      </c>
      <c r="J557" s="55" t="str">
        <f>IFERROR(IF($G557="","",VLOOKUP('Dashboard And Emails Automate'!$G557,Database!$H:$N,4,0)),"")</f>
        <v/>
      </c>
      <c r="K557" s="55" t="str">
        <f>IFERROR(IF($G557="","",VLOOKUP('Dashboard And Emails Automate'!$G557,Database!$H:$N,5,0)),"")</f>
        <v/>
      </c>
      <c r="L557" s="55" t="str">
        <f>IFERROR(IF($G557="","",VLOOKUP('Dashboard And Emails Automate'!$G557,Database!$H:$N,6,0)),"")</f>
        <v/>
      </c>
      <c r="M557" s="55" t="str">
        <f>IFERROR(IF($G557="","",VLOOKUP('Dashboard And Emails Automate'!$G557,Database!$H:$N,7,0)),"")</f>
        <v/>
      </c>
      <c r="N557" s="55" t="str">
        <f>IFERROR(IF(OR($B557="",$B557="(blank)"),"",VLOOKUP($B557,'Email Marketing Raw Data'!$C:$O,6,0)),"")</f>
        <v/>
      </c>
      <c r="O557" s="55" t="str">
        <f>IFERROR(IF(OR($B557="",$B557="(blank)"),"",VLOOKUP($B557,'Email Marketing Raw Data'!$C:$O,7,0)),"")</f>
        <v/>
      </c>
      <c r="P557" s="55" t="str">
        <f>IFERROR(IF(OR($B557="",$B557="(blank)"),"",VLOOKUP($B557,'Email Marketing Raw Data'!$C:$O,8,0)),"")</f>
        <v/>
      </c>
      <c r="Q557" s="62" t="str">
        <f>IFERROR(IF(OR($B557="",$B557="(blank)"),"",VLOOKUP($B557,'Email Marketing Raw Data'!$C:$O,9,0)),"")</f>
        <v/>
      </c>
    </row>
    <row r="558" spans="4:17" ht="12.75" customHeight="1" x14ac:dyDescent="0.2">
      <c r="D558" s="58" t="str">
        <f>IFERROR(IF(F558&lt;&gt;"pending","",IF(OR($B558="",$B558="(blank)"),"",VLOOKUP($B558,'Email Marketing Raw Data'!$C:$O,10,0))),"")</f>
        <v/>
      </c>
      <c r="E558" s="59" t="str">
        <f>IFERROR(IF(F558&lt;&gt;"pending","",IF(OR($B558="",$B558="(blank)"),"",VLOOKUP($B558,'Email Marketing Raw Data'!$C:$O,11,0))),"")</f>
        <v/>
      </c>
      <c r="F558" s="54" t="str">
        <f>IFERROR(IF(OR($B558="",$B558="(blank)"),"",VLOOKUP($B558,'Email Marketing Raw Data'!$C:$O,13,0)),"")</f>
        <v/>
      </c>
      <c r="G558" s="55" t="str">
        <f>IFERROR(IF(OR($B558="",$B558="(blank)"),"",VLOOKUP($B558,'Email Marketing Raw Data'!$C:$O,4,0)),"")</f>
        <v/>
      </c>
      <c r="H558" s="55" t="str">
        <f>IFERROR(IF(OR($B558="",$B558="(blank)"),"",VLOOKUP($B558,'Email Marketing Raw Data'!$C:$O,5,0)),"")</f>
        <v/>
      </c>
      <c r="I558" s="55" t="str">
        <f>IFERROR(IF($G558="","",VLOOKUP('Dashboard And Emails Automate'!$G558,Database!$H:$N,3,0)),"")</f>
        <v/>
      </c>
      <c r="J558" s="55" t="str">
        <f>IFERROR(IF($G558="","",VLOOKUP('Dashboard And Emails Automate'!$G558,Database!$H:$N,4,0)),"")</f>
        <v/>
      </c>
      <c r="K558" s="55" t="str">
        <f>IFERROR(IF($G558="","",VLOOKUP('Dashboard And Emails Automate'!$G558,Database!$H:$N,5,0)),"")</f>
        <v/>
      </c>
      <c r="L558" s="55" t="str">
        <f>IFERROR(IF($G558="","",VLOOKUP('Dashboard And Emails Automate'!$G558,Database!$H:$N,6,0)),"")</f>
        <v/>
      </c>
      <c r="M558" s="55" t="str">
        <f>IFERROR(IF($G558="","",VLOOKUP('Dashboard And Emails Automate'!$G558,Database!$H:$N,7,0)),"")</f>
        <v/>
      </c>
      <c r="N558" s="55" t="str">
        <f>IFERROR(IF(OR($B558="",$B558="(blank)"),"",VLOOKUP($B558,'Email Marketing Raw Data'!$C:$O,6,0)),"")</f>
        <v/>
      </c>
      <c r="O558" s="55" t="str">
        <f>IFERROR(IF(OR($B558="",$B558="(blank)"),"",VLOOKUP($B558,'Email Marketing Raw Data'!$C:$O,7,0)),"")</f>
        <v/>
      </c>
      <c r="P558" s="55" t="str">
        <f>IFERROR(IF(OR($B558="",$B558="(blank)"),"",VLOOKUP($B558,'Email Marketing Raw Data'!$C:$O,8,0)),"")</f>
        <v/>
      </c>
      <c r="Q558" s="62" t="str">
        <f>IFERROR(IF(OR($B558="",$B558="(blank)"),"",VLOOKUP($B558,'Email Marketing Raw Data'!$C:$O,9,0)),"")</f>
        <v/>
      </c>
    </row>
    <row r="559" spans="4:17" ht="12.75" customHeight="1" x14ac:dyDescent="0.2">
      <c r="D559" s="58" t="str">
        <f>IFERROR(IF(F559&lt;&gt;"pending","",IF(OR($B559="",$B559="(blank)"),"",VLOOKUP($B559,'Email Marketing Raw Data'!$C:$O,10,0))),"")</f>
        <v/>
      </c>
      <c r="E559" s="59" t="str">
        <f>IFERROR(IF(F559&lt;&gt;"pending","",IF(OR($B559="",$B559="(blank)"),"",VLOOKUP($B559,'Email Marketing Raw Data'!$C:$O,11,0))),"")</f>
        <v/>
      </c>
      <c r="F559" s="54" t="str">
        <f>IFERROR(IF(OR($B559="",$B559="(blank)"),"",VLOOKUP($B559,'Email Marketing Raw Data'!$C:$O,13,0)),"")</f>
        <v/>
      </c>
      <c r="G559" s="55" t="str">
        <f>IFERROR(IF(OR($B559="",$B559="(blank)"),"",VLOOKUP($B559,'Email Marketing Raw Data'!$C:$O,4,0)),"")</f>
        <v/>
      </c>
      <c r="H559" s="55" t="str">
        <f>IFERROR(IF(OR($B559="",$B559="(blank)"),"",VLOOKUP($B559,'Email Marketing Raw Data'!$C:$O,5,0)),"")</f>
        <v/>
      </c>
      <c r="I559" s="55" t="str">
        <f>IFERROR(IF($G559="","",VLOOKUP('Dashboard And Emails Automate'!$G559,Database!$H:$N,3,0)),"")</f>
        <v/>
      </c>
      <c r="J559" s="55" t="str">
        <f>IFERROR(IF($G559="","",VLOOKUP('Dashboard And Emails Automate'!$G559,Database!$H:$N,4,0)),"")</f>
        <v/>
      </c>
      <c r="K559" s="55" t="str">
        <f>IFERROR(IF($G559="","",VLOOKUP('Dashboard And Emails Automate'!$G559,Database!$H:$N,5,0)),"")</f>
        <v/>
      </c>
      <c r="L559" s="55" t="str">
        <f>IFERROR(IF($G559="","",VLOOKUP('Dashboard And Emails Automate'!$G559,Database!$H:$N,6,0)),"")</f>
        <v/>
      </c>
      <c r="M559" s="55" t="str">
        <f>IFERROR(IF($G559="","",VLOOKUP('Dashboard And Emails Automate'!$G559,Database!$H:$N,7,0)),"")</f>
        <v/>
      </c>
      <c r="N559" s="55" t="str">
        <f>IFERROR(IF(OR($B559="",$B559="(blank)"),"",VLOOKUP($B559,'Email Marketing Raw Data'!$C:$O,6,0)),"")</f>
        <v/>
      </c>
      <c r="O559" s="55" t="str">
        <f>IFERROR(IF(OR($B559="",$B559="(blank)"),"",VLOOKUP($B559,'Email Marketing Raw Data'!$C:$O,7,0)),"")</f>
        <v/>
      </c>
      <c r="P559" s="55" t="str">
        <f>IFERROR(IF(OR($B559="",$B559="(blank)"),"",VLOOKUP($B559,'Email Marketing Raw Data'!$C:$O,8,0)),"")</f>
        <v/>
      </c>
      <c r="Q559" s="62" t="str">
        <f>IFERROR(IF(OR($B559="",$B559="(blank)"),"",VLOOKUP($B559,'Email Marketing Raw Data'!$C:$O,9,0)),"")</f>
        <v/>
      </c>
    </row>
    <row r="560" spans="4:17" ht="12.75" customHeight="1" x14ac:dyDescent="0.2">
      <c r="D560" s="58" t="str">
        <f>IFERROR(IF(F560&lt;&gt;"pending","",IF(OR($B560="",$B560="(blank)"),"",VLOOKUP($B560,'Email Marketing Raw Data'!$C:$O,10,0))),"")</f>
        <v/>
      </c>
      <c r="E560" s="59" t="str">
        <f>IFERROR(IF(F560&lt;&gt;"pending","",IF(OR($B560="",$B560="(blank)"),"",VLOOKUP($B560,'Email Marketing Raw Data'!$C:$O,11,0))),"")</f>
        <v/>
      </c>
      <c r="F560" s="54" t="str">
        <f>IFERROR(IF(OR($B560="",$B560="(blank)"),"",VLOOKUP($B560,'Email Marketing Raw Data'!$C:$O,13,0)),"")</f>
        <v/>
      </c>
      <c r="G560" s="55" t="str">
        <f>IFERROR(IF(OR($B560="",$B560="(blank)"),"",VLOOKUP($B560,'Email Marketing Raw Data'!$C:$O,4,0)),"")</f>
        <v/>
      </c>
      <c r="H560" s="55" t="str">
        <f>IFERROR(IF(OR($B560="",$B560="(blank)"),"",VLOOKUP($B560,'Email Marketing Raw Data'!$C:$O,5,0)),"")</f>
        <v/>
      </c>
      <c r="I560" s="55" t="str">
        <f>IFERROR(IF($G560="","",VLOOKUP('Dashboard And Emails Automate'!$G560,Database!$H:$N,3,0)),"")</f>
        <v/>
      </c>
      <c r="J560" s="55" t="str">
        <f>IFERROR(IF($G560="","",VLOOKUP('Dashboard And Emails Automate'!$G560,Database!$H:$N,4,0)),"")</f>
        <v/>
      </c>
      <c r="K560" s="55" t="str">
        <f>IFERROR(IF($G560="","",VLOOKUP('Dashboard And Emails Automate'!$G560,Database!$H:$N,5,0)),"")</f>
        <v/>
      </c>
      <c r="L560" s="55" t="str">
        <f>IFERROR(IF($G560="","",VLOOKUP('Dashboard And Emails Automate'!$G560,Database!$H:$N,6,0)),"")</f>
        <v/>
      </c>
      <c r="M560" s="55" t="str">
        <f>IFERROR(IF($G560="","",VLOOKUP('Dashboard And Emails Automate'!$G560,Database!$H:$N,7,0)),"")</f>
        <v/>
      </c>
      <c r="N560" s="55" t="str">
        <f>IFERROR(IF(OR($B560="",$B560="(blank)"),"",VLOOKUP($B560,'Email Marketing Raw Data'!$C:$O,6,0)),"")</f>
        <v/>
      </c>
      <c r="O560" s="55" t="str">
        <f>IFERROR(IF(OR($B560="",$B560="(blank)"),"",VLOOKUP($B560,'Email Marketing Raw Data'!$C:$O,7,0)),"")</f>
        <v/>
      </c>
      <c r="P560" s="55" t="str">
        <f>IFERROR(IF(OR($B560="",$B560="(blank)"),"",VLOOKUP($B560,'Email Marketing Raw Data'!$C:$O,8,0)),"")</f>
        <v/>
      </c>
      <c r="Q560" s="62" t="str">
        <f>IFERROR(IF(OR($B560="",$B560="(blank)"),"",VLOOKUP($B560,'Email Marketing Raw Data'!$C:$O,9,0)),"")</f>
        <v/>
      </c>
    </row>
    <row r="561" spans="4:17" ht="12.75" customHeight="1" x14ac:dyDescent="0.2">
      <c r="D561" s="58" t="str">
        <f>IFERROR(IF(F561&lt;&gt;"pending","",IF(OR($B561="",$B561="(blank)"),"",VLOOKUP($B561,'Email Marketing Raw Data'!$C:$O,10,0))),"")</f>
        <v/>
      </c>
      <c r="E561" s="59" t="str">
        <f>IFERROR(IF(F561&lt;&gt;"pending","",IF(OR($B561="",$B561="(blank)"),"",VLOOKUP($B561,'Email Marketing Raw Data'!$C:$O,11,0))),"")</f>
        <v/>
      </c>
      <c r="F561" s="54" t="str">
        <f>IFERROR(IF(OR($B561="",$B561="(blank)"),"",VLOOKUP($B561,'Email Marketing Raw Data'!$C:$O,13,0)),"")</f>
        <v/>
      </c>
      <c r="G561" s="55" t="str">
        <f>IFERROR(IF(OR($B561="",$B561="(blank)"),"",VLOOKUP($B561,'Email Marketing Raw Data'!$C:$O,4,0)),"")</f>
        <v/>
      </c>
      <c r="H561" s="55" t="str">
        <f>IFERROR(IF(OR($B561="",$B561="(blank)"),"",VLOOKUP($B561,'Email Marketing Raw Data'!$C:$O,5,0)),"")</f>
        <v/>
      </c>
      <c r="I561" s="55" t="str">
        <f>IFERROR(IF($G561="","",VLOOKUP('Dashboard And Emails Automate'!$G561,Database!$H:$N,3,0)),"")</f>
        <v/>
      </c>
      <c r="J561" s="55" t="str">
        <f>IFERROR(IF($G561="","",VLOOKUP('Dashboard And Emails Automate'!$G561,Database!$H:$N,4,0)),"")</f>
        <v/>
      </c>
      <c r="K561" s="55" t="str">
        <f>IFERROR(IF($G561="","",VLOOKUP('Dashboard And Emails Automate'!$G561,Database!$H:$N,5,0)),"")</f>
        <v/>
      </c>
      <c r="L561" s="55" t="str">
        <f>IFERROR(IF($G561="","",VLOOKUP('Dashboard And Emails Automate'!$G561,Database!$H:$N,6,0)),"")</f>
        <v/>
      </c>
      <c r="M561" s="55" t="str">
        <f>IFERROR(IF($G561="","",VLOOKUP('Dashboard And Emails Automate'!$G561,Database!$H:$N,7,0)),"")</f>
        <v/>
      </c>
      <c r="N561" s="55" t="str">
        <f>IFERROR(IF(OR($B561="",$B561="(blank)"),"",VLOOKUP($B561,'Email Marketing Raw Data'!$C:$O,6,0)),"")</f>
        <v/>
      </c>
      <c r="O561" s="55" t="str">
        <f>IFERROR(IF(OR($B561="",$B561="(blank)"),"",VLOOKUP($B561,'Email Marketing Raw Data'!$C:$O,7,0)),"")</f>
        <v/>
      </c>
      <c r="P561" s="55" t="str">
        <f>IFERROR(IF(OR($B561="",$B561="(blank)"),"",VLOOKUP($B561,'Email Marketing Raw Data'!$C:$O,8,0)),"")</f>
        <v/>
      </c>
      <c r="Q561" s="62" t="str">
        <f>IFERROR(IF(OR($B561="",$B561="(blank)"),"",VLOOKUP($B561,'Email Marketing Raw Data'!$C:$O,9,0)),"")</f>
        <v/>
      </c>
    </row>
    <row r="562" spans="4:17" ht="12.75" customHeight="1" x14ac:dyDescent="0.2">
      <c r="D562" s="58" t="str">
        <f>IFERROR(IF(F562&lt;&gt;"pending","",IF(OR($B562="",$B562="(blank)"),"",VLOOKUP($B562,'Email Marketing Raw Data'!$C:$O,10,0))),"")</f>
        <v/>
      </c>
      <c r="E562" s="59" t="str">
        <f>IFERROR(IF(F562&lt;&gt;"pending","",IF(OR($B562="",$B562="(blank)"),"",VLOOKUP($B562,'Email Marketing Raw Data'!$C:$O,11,0))),"")</f>
        <v/>
      </c>
      <c r="F562" s="54" t="str">
        <f>IFERROR(IF(OR($B562="",$B562="(blank)"),"",VLOOKUP($B562,'Email Marketing Raw Data'!$C:$O,13,0)),"")</f>
        <v/>
      </c>
      <c r="G562" s="55" t="str">
        <f>IFERROR(IF(OR($B562="",$B562="(blank)"),"",VLOOKUP($B562,'Email Marketing Raw Data'!$C:$O,4,0)),"")</f>
        <v/>
      </c>
      <c r="H562" s="55" t="str">
        <f>IFERROR(IF(OR($B562="",$B562="(blank)"),"",VLOOKUP($B562,'Email Marketing Raw Data'!$C:$O,5,0)),"")</f>
        <v/>
      </c>
      <c r="I562" s="55" t="str">
        <f>IFERROR(IF($G562="","",VLOOKUP('Dashboard And Emails Automate'!$G562,Database!$H:$N,3,0)),"")</f>
        <v/>
      </c>
      <c r="J562" s="55" t="str">
        <f>IFERROR(IF($G562="","",VLOOKUP('Dashboard And Emails Automate'!$G562,Database!$H:$N,4,0)),"")</f>
        <v/>
      </c>
      <c r="K562" s="55" t="str">
        <f>IFERROR(IF($G562="","",VLOOKUP('Dashboard And Emails Automate'!$G562,Database!$H:$N,5,0)),"")</f>
        <v/>
      </c>
      <c r="L562" s="55" t="str">
        <f>IFERROR(IF($G562="","",VLOOKUP('Dashboard And Emails Automate'!$G562,Database!$H:$N,6,0)),"")</f>
        <v/>
      </c>
      <c r="M562" s="55" t="str">
        <f>IFERROR(IF($G562="","",VLOOKUP('Dashboard And Emails Automate'!$G562,Database!$H:$N,7,0)),"")</f>
        <v/>
      </c>
      <c r="N562" s="55" t="str">
        <f>IFERROR(IF(OR($B562="",$B562="(blank)"),"",VLOOKUP($B562,'Email Marketing Raw Data'!$C:$O,6,0)),"")</f>
        <v/>
      </c>
      <c r="O562" s="55" t="str">
        <f>IFERROR(IF(OR($B562="",$B562="(blank)"),"",VLOOKUP($B562,'Email Marketing Raw Data'!$C:$O,7,0)),"")</f>
        <v/>
      </c>
      <c r="P562" s="55" t="str">
        <f>IFERROR(IF(OR($B562="",$B562="(blank)"),"",VLOOKUP($B562,'Email Marketing Raw Data'!$C:$O,8,0)),"")</f>
        <v/>
      </c>
      <c r="Q562" s="62" t="str">
        <f>IFERROR(IF(OR($B562="",$B562="(blank)"),"",VLOOKUP($B562,'Email Marketing Raw Data'!$C:$O,9,0)),"")</f>
        <v/>
      </c>
    </row>
    <row r="563" spans="4:17" ht="12.75" customHeight="1" x14ac:dyDescent="0.2">
      <c r="D563" s="58" t="str">
        <f>IFERROR(IF(F563&lt;&gt;"pending","",IF(OR($B563="",$B563="(blank)"),"",VLOOKUP($B563,'Email Marketing Raw Data'!$C:$O,10,0))),"")</f>
        <v/>
      </c>
      <c r="E563" s="59" t="str">
        <f>IFERROR(IF(F563&lt;&gt;"pending","",IF(OR($B563="",$B563="(blank)"),"",VLOOKUP($B563,'Email Marketing Raw Data'!$C:$O,11,0))),"")</f>
        <v/>
      </c>
      <c r="F563" s="54" t="str">
        <f>IFERROR(IF(OR($B563="",$B563="(blank)"),"",VLOOKUP($B563,'Email Marketing Raw Data'!$C:$O,13,0)),"")</f>
        <v/>
      </c>
      <c r="G563" s="55" t="str">
        <f>IFERROR(IF(OR($B563="",$B563="(blank)"),"",VLOOKUP($B563,'Email Marketing Raw Data'!$C:$O,4,0)),"")</f>
        <v/>
      </c>
      <c r="H563" s="55" t="str">
        <f>IFERROR(IF(OR($B563="",$B563="(blank)"),"",VLOOKUP($B563,'Email Marketing Raw Data'!$C:$O,5,0)),"")</f>
        <v/>
      </c>
      <c r="I563" s="55" t="str">
        <f>IFERROR(IF($G563="","",VLOOKUP('Dashboard And Emails Automate'!$G563,Database!$H:$N,3,0)),"")</f>
        <v/>
      </c>
      <c r="J563" s="55" t="str">
        <f>IFERROR(IF($G563="","",VLOOKUP('Dashboard And Emails Automate'!$G563,Database!$H:$N,4,0)),"")</f>
        <v/>
      </c>
      <c r="K563" s="55" t="str">
        <f>IFERROR(IF($G563="","",VLOOKUP('Dashboard And Emails Automate'!$G563,Database!$H:$N,5,0)),"")</f>
        <v/>
      </c>
      <c r="L563" s="55" t="str">
        <f>IFERROR(IF($G563="","",VLOOKUP('Dashboard And Emails Automate'!$G563,Database!$H:$N,6,0)),"")</f>
        <v/>
      </c>
      <c r="M563" s="55" t="str">
        <f>IFERROR(IF($G563="","",VLOOKUP('Dashboard And Emails Automate'!$G563,Database!$H:$N,7,0)),"")</f>
        <v/>
      </c>
      <c r="N563" s="55" t="str">
        <f>IFERROR(IF(OR($B563="",$B563="(blank)"),"",VLOOKUP($B563,'Email Marketing Raw Data'!$C:$O,6,0)),"")</f>
        <v/>
      </c>
      <c r="O563" s="55" t="str">
        <f>IFERROR(IF(OR($B563="",$B563="(blank)"),"",VLOOKUP($B563,'Email Marketing Raw Data'!$C:$O,7,0)),"")</f>
        <v/>
      </c>
      <c r="P563" s="55" t="str">
        <f>IFERROR(IF(OR($B563="",$B563="(blank)"),"",VLOOKUP($B563,'Email Marketing Raw Data'!$C:$O,8,0)),"")</f>
        <v/>
      </c>
      <c r="Q563" s="62" t="str">
        <f>IFERROR(IF(OR($B563="",$B563="(blank)"),"",VLOOKUP($B563,'Email Marketing Raw Data'!$C:$O,9,0)),"")</f>
        <v/>
      </c>
    </row>
    <row r="564" spans="4:17" ht="12.75" customHeight="1" x14ac:dyDescent="0.2">
      <c r="D564" s="58" t="str">
        <f>IFERROR(IF(F564&lt;&gt;"pending","",IF(OR($B564="",$B564="(blank)"),"",VLOOKUP($B564,'Email Marketing Raw Data'!$C:$O,10,0))),"")</f>
        <v/>
      </c>
      <c r="E564" s="59" t="str">
        <f>IFERROR(IF(F564&lt;&gt;"pending","",IF(OR($B564="",$B564="(blank)"),"",VLOOKUP($B564,'Email Marketing Raw Data'!$C:$O,11,0))),"")</f>
        <v/>
      </c>
      <c r="F564" s="54" t="str">
        <f>IFERROR(IF(OR($B564="",$B564="(blank)"),"",VLOOKUP($B564,'Email Marketing Raw Data'!$C:$O,13,0)),"")</f>
        <v/>
      </c>
      <c r="G564" s="55" t="str">
        <f>IFERROR(IF(OR($B564="",$B564="(blank)"),"",VLOOKUP($B564,'Email Marketing Raw Data'!$C:$O,4,0)),"")</f>
        <v/>
      </c>
      <c r="H564" s="55" t="str">
        <f>IFERROR(IF(OR($B564="",$B564="(blank)"),"",VLOOKUP($B564,'Email Marketing Raw Data'!$C:$O,5,0)),"")</f>
        <v/>
      </c>
      <c r="I564" s="55" t="str">
        <f>IFERROR(IF($G564="","",VLOOKUP('Dashboard And Emails Automate'!$G564,Database!$H:$N,3,0)),"")</f>
        <v/>
      </c>
      <c r="J564" s="55" t="str">
        <f>IFERROR(IF($G564="","",VLOOKUP('Dashboard And Emails Automate'!$G564,Database!$H:$N,4,0)),"")</f>
        <v/>
      </c>
      <c r="K564" s="55" t="str">
        <f>IFERROR(IF($G564="","",VLOOKUP('Dashboard And Emails Automate'!$G564,Database!$H:$N,5,0)),"")</f>
        <v/>
      </c>
      <c r="L564" s="55" t="str">
        <f>IFERROR(IF($G564="","",VLOOKUP('Dashboard And Emails Automate'!$G564,Database!$H:$N,6,0)),"")</f>
        <v/>
      </c>
      <c r="M564" s="55" t="str">
        <f>IFERROR(IF($G564="","",VLOOKUP('Dashboard And Emails Automate'!$G564,Database!$H:$N,7,0)),"")</f>
        <v/>
      </c>
      <c r="N564" s="55" t="str">
        <f>IFERROR(IF(OR($B564="",$B564="(blank)"),"",VLOOKUP($B564,'Email Marketing Raw Data'!$C:$O,6,0)),"")</f>
        <v/>
      </c>
      <c r="O564" s="55" t="str">
        <f>IFERROR(IF(OR($B564="",$B564="(blank)"),"",VLOOKUP($B564,'Email Marketing Raw Data'!$C:$O,7,0)),"")</f>
        <v/>
      </c>
      <c r="P564" s="55" t="str">
        <f>IFERROR(IF(OR($B564="",$B564="(blank)"),"",VLOOKUP($B564,'Email Marketing Raw Data'!$C:$O,8,0)),"")</f>
        <v/>
      </c>
      <c r="Q564" s="62" t="str">
        <f>IFERROR(IF(OR($B564="",$B564="(blank)"),"",VLOOKUP($B564,'Email Marketing Raw Data'!$C:$O,9,0)),"")</f>
        <v/>
      </c>
    </row>
    <row r="565" spans="4:17" ht="12.75" customHeight="1" x14ac:dyDescent="0.2">
      <c r="D565" s="58" t="str">
        <f>IFERROR(IF(F565&lt;&gt;"pending","",IF(OR($B565="",$B565="(blank)"),"",VLOOKUP($B565,'Email Marketing Raw Data'!$C:$O,10,0))),"")</f>
        <v/>
      </c>
      <c r="E565" s="59" t="str">
        <f>IFERROR(IF(F565&lt;&gt;"pending","",IF(OR($B565="",$B565="(blank)"),"",VLOOKUP($B565,'Email Marketing Raw Data'!$C:$O,11,0))),"")</f>
        <v/>
      </c>
      <c r="F565" s="54" t="str">
        <f>IFERROR(IF(OR($B565="",$B565="(blank)"),"",VLOOKUP($B565,'Email Marketing Raw Data'!$C:$O,13,0)),"")</f>
        <v/>
      </c>
      <c r="G565" s="55" t="str">
        <f>IFERROR(IF(OR($B565="",$B565="(blank)"),"",VLOOKUP($B565,'Email Marketing Raw Data'!$C:$O,4,0)),"")</f>
        <v/>
      </c>
      <c r="H565" s="55" t="str">
        <f>IFERROR(IF(OR($B565="",$B565="(blank)"),"",VLOOKUP($B565,'Email Marketing Raw Data'!$C:$O,5,0)),"")</f>
        <v/>
      </c>
      <c r="I565" s="55" t="str">
        <f>IFERROR(IF($G565="","",VLOOKUP('Dashboard And Emails Automate'!$G565,Database!$H:$N,3,0)),"")</f>
        <v/>
      </c>
      <c r="J565" s="55" t="str">
        <f>IFERROR(IF($G565="","",VLOOKUP('Dashboard And Emails Automate'!$G565,Database!$H:$N,4,0)),"")</f>
        <v/>
      </c>
      <c r="K565" s="55" t="str">
        <f>IFERROR(IF($G565="","",VLOOKUP('Dashboard And Emails Automate'!$G565,Database!$H:$N,5,0)),"")</f>
        <v/>
      </c>
      <c r="L565" s="55" t="str">
        <f>IFERROR(IF($G565="","",VLOOKUP('Dashboard And Emails Automate'!$G565,Database!$H:$N,6,0)),"")</f>
        <v/>
      </c>
      <c r="M565" s="55" t="str">
        <f>IFERROR(IF($G565="","",VLOOKUP('Dashboard And Emails Automate'!$G565,Database!$H:$N,7,0)),"")</f>
        <v/>
      </c>
      <c r="N565" s="55" t="str">
        <f>IFERROR(IF(OR($B565="",$B565="(blank)"),"",VLOOKUP($B565,'Email Marketing Raw Data'!$C:$O,6,0)),"")</f>
        <v/>
      </c>
      <c r="O565" s="55" t="str">
        <f>IFERROR(IF(OR($B565="",$B565="(blank)"),"",VLOOKUP($B565,'Email Marketing Raw Data'!$C:$O,7,0)),"")</f>
        <v/>
      </c>
      <c r="P565" s="55" t="str">
        <f>IFERROR(IF(OR($B565="",$B565="(blank)"),"",VLOOKUP($B565,'Email Marketing Raw Data'!$C:$O,8,0)),"")</f>
        <v/>
      </c>
      <c r="Q565" s="62" t="str">
        <f>IFERROR(IF(OR($B565="",$B565="(blank)"),"",VLOOKUP($B565,'Email Marketing Raw Data'!$C:$O,9,0)),"")</f>
        <v/>
      </c>
    </row>
    <row r="566" spans="4:17" ht="12.75" customHeight="1" x14ac:dyDescent="0.2">
      <c r="D566" s="58" t="str">
        <f>IFERROR(IF(F566&lt;&gt;"pending","",IF(OR($B566="",$B566="(blank)"),"",VLOOKUP($B566,'Email Marketing Raw Data'!$C:$O,10,0))),"")</f>
        <v/>
      </c>
      <c r="E566" s="59" t="str">
        <f>IFERROR(IF(F566&lt;&gt;"pending","",IF(OR($B566="",$B566="(blank)"),"",VLOOKUP($B566,'Email Marketing Raw Data'!$C:$O,11,0))),"")</f>
        <v/>
      </c>
      <c r="F566" s="54" t="str">
        <f>IFERROR(IF(OR($B566="",$B566="(blank)"),"",VLOOKUP($B566,'Email Marketing Raw Data'!$C:$O,13,0)),"")</f>
        <v/>
      </c>
      <c r="G566" s="55" t="str">
        <f>IFERROR(IF(OR($B566="",$B566="(blank)"),"",VLOOKUP($B566,'Email Marketing Raw Data'!$C:$O,4,0)),"")</f>
        <v/>
      </c>
      <c r="H566" s="55" t="str">
        <f>IFERROR(IF(OR($B566="",$B566="(blank)"),"",VLOOKUP($B566,'Email Marketing Raw Data'!$C:$O,5,0)),"")</f>
        <v/>
      </c>
      <c r="I566" s="55" t="str">
        <f>IFERROR(IF($G566="","",VLOOKUP('Dashboard And Emails Automate'!$G566,Database!$H:$N,3,0)),"")</f>
        <v/>
      </c>
      <c r="J566" s="55" t="str">
        <f>IFERROR(IF($G566="","",VLOOKUP('Dashboard And Emails Automate'!$G566,Database!$H:$N,4,0)),"")</f>
        <v/>
      </c>
      <c r="K566" s="55" t="str">
        <f>IFERROR(IF($G566="","",VLOOKUP('Dashboard And Emails Automate'!$G566,Database!$H:$N,5,0)),"")</f>
        <v/>
      </c>
      <c r="L566" s="55" t="str">
        <f>IFERROR(IF($G566="","",VLOOKUP('Dashboard And Emails Automate'!$G566,Database!$H:$N,6,0)),"")</f>
        <v/>
      </c>
      <c r="M566" s="55" t="str">
        <f>IFERROR(IF($G566="","",VLOOKUP('Dashboard And Emails Automate'!$G566,Database!$H:$N,7,0)),"")</f>
        <v/>
      </c>
      <c r="N566" s="55" t="str">
        <f>IFERROR(IF(OR($B566="",$B566="(blank)"),"",VLOOKUP($B566,'Email Marketing Raw Data'!$C:$O,6,0)),"")</f>
        <v/>
      </c>
      <c r="O566" s="55" t="str">
        <f>IFERROR(IF(OR($B566="",$B566="(blank)"),"",VLOOKUP($B566,'Email Marketing Raw Data'!$C:$O,7,0)),"")</f>
        <v/>
      </c>
      <c r="P566" s="55" t="str">
        <f>IFERROR(IF(OR($B566="",$B566="(blank)"),"",VLOOKUP($B566,'Email Marketing Raw Data'!$C:$O,8,0)),"")</f>
        <v/>
      </c>
      <c r="Q566" s="62" t="str">
        <f>IFERROR(IF(OR($B566="",$B566="(blank)"),"",VLOOKUP($B566,'Email Marketing Raw Data'!$C:$O,9,0)),"")</f>
        <v/>
      </c>
    </row>
    <row r="567" spans="4:17" ht="12.75" customHeight="1" x14ac:dyDescent="0.2">
      <c r="D567" s="58" t="str">
        <f>IFERROR(IF(F567&lt;&gt;"pending","",IF(OR($B567="",$B567="(blank)"),"",VLOOKUP($B567,'Email Marketing Raw Data'!$C:$O,10,0))),"")</f>
        <v/>
      </c>
      <c r="E567" s="59" t="str">
        <f>IFERROR(IF(F567&lt;&gt;"pending","",IF(OR($B567="",$B567="(blank)"),"",VLOOKUP($B567,'Email Marketing Raw Data'!$C:$O,11,0))),"")</f>
        <v/>
      </c>
      <c r="F567" s="54" t="str">
        <f>IFERROR(IF(OR($B567="",$B567="(blank)"),"",VLOOKUP($B567,'Email Marketing Raw Data'!$C:$O,13,0)),"")</f>
        <v/>
      </c>
      <c r="G567" s="55" t="str">
        <f>IFERROR(IF(OR($B567="",$B567="(blank)"),"",VLOOKUP($B567,'Email Marketing Raw Data'!$C:$O,4,0)),"")</f>
        <v/>
      </c>
      <c r="H567" s="55" t="str">
        <f>IFERROR(IF(OR($B567="",$B567="(blank)"),"",VLOOKUP($B567,'Email Marketing Raw Data'!$C:$O,5,0)),"")</f>
        <v/>
      </c>
      <c r="I567" s="55" t="str">
        <f>IFERROR(IF($G567="","",VLOOKUP('Dashboard And Emails Automate'!$G567,Database!$H:$N,3,0)),"")</f>
        <v/>
      </c>
      <c r="J567" s="55" t="str">
        <f>IFERROR(IF($G567="","",VLOOKUP('Dashboard And Emails Automate'!$G567,Database!$H:$N,4,0)),"")</f>
        <v/>
      </c>
      <c r="K567" s="55" t="str">
        <f>IFERROR(IF($G567="","",VLOOKUP('Dashboard And Emails Automate'!$G567,Database!$H:$N,5,0)),"")</f>
        <v/>
      </c>
      <c r="L567" s="55" t="str">
        <f>IFERROR(IF($G567="","",VLOOKUP('Dashboard And Emails Automate'!$G567,Database!$H:$N,6,0)),"")</f>
        <v/>
      </c>
      <c r="M567" s="55" t="str">
        <f>IFERROR(IF($G567="","",VLOOKUP('Dashboard And Emails Automate'!$G567,Database!$H:$N,7,0)),"")</f>
        <v/>
      </c>
      <c r="N567" s="55" t="str">
        <f>IFERROR(IF(OR($B567="",$B567="(blank)"),"",VLOOKUP($B567,'Email Marketing Raw Data'!$C:$O,6,0)),"")</f>
        <v/>
      </c>
      <c r="O567" s="55" t="str">
        <f>IFERROR(IF(OR($B567="",$B567="(blank)"),"",VLOOKUP($B567,'Email Marketing Raw Data'!$C:$O,7,0)),"")</f>
        <v/>
      </c>
      <c r="P567" s="55" t="str">
        <f>IFERROR(IF(OR($B567="",$B567="(blank)"),"",VLOOKUP($B567,'Email Marketing Raw Data'!$C:$O,8,0)),"")</f>
        <v/>
      </c>
      <c r="Q567" s="62" t="str">
        <f>IFERROR(IF(OR($B567="",$B567="(blank)"),"",VLOOKUP($B567,'Email Marketing Raw Data'!$C:$O,9,0)),"")</f>
        <v/>
      </c>
    </row>
    <row r="568" spans="4:17" ht="12.75" customHeight="1" x14ac:dyDescent="0.2">
      <c r="D568" s="58" t="str">
        <f>IFERROR(IF(F568&lt;&gt;"pending","",IF(OR($B568="",$B568="(blank)"),"",VLOOKUP($B568,'Email Marketing Raw Data'!$C:$O,10,0))),"")</f>
        <v/>
      </c>
      <c r="E568" s="59" t="str">
        <f>IFERROR(IF(F568&lt;&gt;"pending","",IF(OR($B568="",$B568="(blank)"),"",VLOOKUP($B568,'Email Marketing Raw Data'!$C:$O,11,0))),"")</f>
        <v/>
      </c>
      <c r="F568" s="54" t="str">
        <f>IFERROR(IF(OR($B568="",$B568="(blank)"),"",VLOOKUP($B568,'Email Marketing Raw Data'!$C:$O,13,0)),"")</f>
        <v/>
      </c>
      <c r="G568" s="55" t="str">
        <f>IFERROR(IF(OR($B568="",$B568="(blank)"),"",VLOOKUP($B568,'Email Marketing Raw Data'!$C:$O,4,0)),"")</f>
        <v/>
      </c>
      <c r="H568" s="55" t="str">
        <f>IFERROR(IF(OR($B568="",$B568="(blank)"),"",VLOOKUP($B568,'Email Marketing Raw Data'!$C:$O,5,0)),"")</f>
        <v/>
      </c>
      <c r="I568" s="55" t="str">
        <f>IFERROR(IF($G568="","",VLOOKUP('Dashboard And Emails Automate'!$G568,Database!$H:$N,3,0)),"")</f>
        <v/>
      </c>
      <c r="J568" s="55" t="str">
        <f>IFERROR(IF($G568="","",VLOOKUP('Dashboard And Emails Automate'!$G568,Database!$H:$N,4,0)),"")</f>
        <v/>
      </c>
      <c r="K568" s="55" t="str">
        <f>IFERROR(IF($G568="","",VLOOKUP('Dashboard And Emails Automate'!$G568,Database!$H:$N,5,0)),"")</f>
        <v/>
      </c>
      <c r="L568" s="55" t="str">
        <f>IFERROR(IF($G568="","",VLOOKUP('Dashboard And Emails Automate'!$G568,Database!$H:$N,6,0)),"")</f>
        <v/>
      </c>
      <c r="M568" s="55" t="str">
        <f>IFERROR(IF($G568="","",VLOOKUP('Dashboard And Emails Automate'!$G568,Database!$H:$N,7,0)),"")</f>
        <v/>
      </c>
      <c r="N568" s="55" t="str">
        <f>IFERROR(IF(OR($B568="",$B568="(blank)"),"",VLOOKUP($B568,'Email Marketing Raw Data'!$C:$O,6,0)),"")</f>
        <v/>
      </c>
      <c r="O568" s="55" t="str">
        <f>IFERROR(IF(OR($B568="",$B568="(blank)"),"",VLOOKUP($B568,'Email Marketing Raw Data'!$C:$O,7,0)),"")</f>
        <v/>
      </c>
      <c r="P568" s="55" t="str">
        <f>IFERROR(IF(OR($B568="",$B568="(blank)"),"",VLOOKUP($B568,'Email Marketing Raw Data'!$C:$O,8,0)),"")</f>
        <v/>
      </c>
      <c r="Q568" s="62" t="str">
        <f>IFERROR(IF(OR($B568="",$B568="(blank)"),"",VLOOKUP($B568,'Email Marketing Raw Data'!$C:$O,9,0)),"")</f>
        <v/>
      </c>
    </row>
    <row r="569" spans="4:17" ht="12.75" customHeight="1" x14ac:dyDescent="0.2">
      <c r="D569" s="58" t="str">
        <f>IFERROR(IF(F569&lt;&gt;"pending","",IF(OR($B569="",$B569="(blank)"),"",VLOOKUP($B569,'Email Marketing Raw Data'!$C:$O,10,0))),"")</f>
        <v/>
      </c>
      <c r="E569" s="59" t="str">
        <f>IFERROR(IF(F569&lt;&gt;"pending","",IF(OR($B569="",$B569="(blank)"),"",VLOOKUP($B569,'Email Marketing Raw Data'!$C:$O,11,0))),"")</f>
        <v/>
      </c>
      <c r="F569" s="54" t="str">
        <f>IFERROR(IF(OR($B569="",$B569="(blank)"),"",VLOOKUP($B569,'Email Marketing Raw Data'!$C:$O,13,0)),"")</f>
        <v/>
      </c>
      <c r="G569" s="55" t="str">
        <f>IFERROR(IF(OR($B569="",$B569="(blank)"),"",VLOOKUP($B569,'Email Marketing Raw Data'!$C:$O,4,0)),"")</f>
        <v/>
      </c>
      <c r="H569" s="55" t="str">
        <f>IFERROR(IF(OR($B569="",$B569="(blank)"),"",VLOOKUP($B569,'Email Marketing Raw Data'!$C:$O,5,0)),"")</f>
        <v/>
      </c>
      <c r="I569" s="55" t="str">
        <f>IFERROR(IF($G569="","",VLOOKUP('Dashboard And Emails Automate'!$G569,Database!$H:$N,3,0)),"")</f>
        <v/>
      </c>
      <c r="J569" s="55" t="str">
        <f>IFERROR(IF($G569="","",VLOOKUP('Dashboard And Emails Automate'!$G569,Database!$H:$N,4,0)),"")</f>
        <v/>
      </c>
      <c r="K569" s="55" t="str">
        <f>IFERROR(IF($G569="","",VLOOKUP('Dashboard And Emails Automate'!$G569,Database!$H:$N,5,0)),"")</f>
        <v/>
      </c>
      <c r="L569" s="55" t="str">
        <f>IFERROR(IF($G569="","",VLOOKUP('Dashboard And Emails Automate'!$G569,Database!$H:$N,6,0)),"")</f>
        <v/>
      </c>
      <c r="M569" s="55" t="str">
        <f>IFERROR(IF($G569="","",VLOOKUP('Dashboard And Emails Automate'!$G569,Database!$H:$N,7,0)),"")</f>
        <v/>
      </c>
      <c r="N569" s="55" t="str">
        <f>IFERROR(IF(OR($B569="",$B569="(blank)"),"",VLOOKUP($B569,'Email Marketing Raw Data'!$C:$O,6,0)),"")</f>
        <v/>
      </c>
      <c r="O569" s="55" t="str">
        <f>IFERROR(IF(OR($B569="",$B569="(blank)"),"",VLOOKUP($B569,'Email Marketing Raw Data'!$C:$O,7,0)),"")</f>
        <v/>
      </c>
      <c r="P569" s="55" t="str">
        <f>IFERROR(IF(OR($B569="",$B569="(blank)"),"",VLOOKUP($B569,'Email Marketing Raw Data'!$C:$O,8,0)),"")</f>
        <v/>
      </c>
      <c r="Q569" s="62" t="str">
        <f>IFERROR(IF(OR($B569="",$B569="(blank)"),"",VLOOKUP($B569,'Email Marketing Raw Data'!$C:$O,9,0)),"")</f>
        <v/>
      </c>
    </row>
    <row r="570" spans="4:17" ht="12.75" customHeight="1" x14ac:dyDescent="0.2">
      <c r="D570" s="58" t="str">
        <f>IFERROR(IF(F570&lt;&gt;"pending","",IF(OR($B570="",$B570="(blank)"),"",VLOOKUP($B570,'Email Marketing Raw Data'!$C:$O,10,0))),"")</f>
        <v/>
      </c>
      <c r="E570" s="59" t="str">
        <f>IFERROR(IF(F570&lt;&gt;"pending","",IF(OR($B570="",$B570="(blank)"),"",VLOOKUP($B570,'Email Marketing Raw Data'!$C:$O,11,0))),"")</f>
        <v/>
      </c>
      <c r="F570" s="54" t="str">
        <f>IFERROR(IF(OR($B570="",$B570="(blank)"),"",VLOOKUP($B570,'Email Marketing Raw Data'!$C:$O,13,0)),"")</f>
        <v/>
      </c>
      <c r="G570" s="55" t="str">
        <f>IFERROR(IF(OR($B570="",$B570="(blank)"),"",VLOOKUP($B570,'Email Marketing Raw Data'!$C:$O,4,0)),"")</f>
        <v/>
      </c>
      <c r="H570" s="55" t="str">
        <f>IFERROR(IF(OR($B570="",$B570="(blank)"),"",VLOOKUP($B570,'Email Marketing Raw Data'!$C:$O,5,0)),"")</f>
        <v/>
      </c>
      <c r="I570" s="55" t="str">
        <f>IFERROR(IF($G570="","",VLOOKUP('Dashboard And Emails Automate'!$G570,Database!$H:$N,3,0)),"")</f>
        <v/>
      </c>
      <c r="J570" s="55" t="str">
        <f>IFERROR(IF($G570="","",VLOOKUP('Dashboard And Emails Automate'!$G570,Database!$H:$N,4,0)),"")</f>
        <v/>
      </c>
      <c r="K570" s="55" t="str">
        <f>IFERROR(IF($G570="","",VLOOKUP('Dashboard And Emails Automate'!$G570,Database!$H:$N,5,0)),"")</f>
        <v/>
      </c>
      <c r="L570" s="55" t="str">
        <f>IFERROR(IF($G570="","",VLOOKUP('Dashboard And Emails Automate'!$G570,Database!$H:$N,6,0)),"")</f>
        <v/>
      </c>
      <c r="M570" s="55" t="str">
        <f>IFERROR(IF($G570="","",VLOOKUP('Dashboard And Emails Automate'!$G570,Database!$H:$N,7,0)),"")</f>
        <v/>
      </c>
      <c r="N570" s="55" t="str">
        <f>IFERROR(IF(OR($B570="",$B570="(blank)"),"",VLOOKUP($B570,'Email Marketing Raw Data'!$C:$O,6,0)),"")</f>
        <v/>
      </c>
      <c r="O570" s="55" t="str">
        <f>IFERROR(IF(OR($B570="",$B570="(blank)"),"",VLOOKUP($B570,'Email Marketing Raw Data'!$C:$O,7,0)),"")</f>
        <v/>
      </c>
      <c r="P570" s="55" t="str">
        <f>IFERROR(IF(OR($B570="",$B570="(blank)"),"",VLOOKUP($B570,'Email Marketing Raw Data'!$C:$O,8,0)),"")</f>
        <v/>
      </c>
      <c r="Q570" s="62" t="str">
        <f>IFERROR(IF(OR($B570="",$B570="(blank)"),"",VLOOKUP($B570,'Email Marketing Raw Data'!$C:$O,9,0)),"")</f>
        <v/>
      </c>
    </row>
    <row r="571" spans="4:17" ht="12.75" customHeight="1" x14ac:dyDescent="0.2">
      <c r="D571" s="58" t="str">
        <f>IFERROR(IF(F571&lt;&gt;"pending","",IF(OR($B571="",$B571="(blank)"),"",VLOOKUP($B571,'Email Marketing Raw Data'!$C:$O,10,0))),"")</f>
        <v/>
      </c>
      <c r="E571" s="59" t="str">
        <f>IFERROR(IF(F571&lt;&gt;"pending","",IF(OR($B571="",$B571="(blank)"),"",VLOOKUP($B571,'Email Marketing Raw Data'!$C:$O,11,0))),"")</f>
        <v/>
      </c>
      <c r="F571" s="54" t="str">
        <f>IFERROR(IF(OR($B571="",$B571="(blank)"),"",VLOOKUP($B571,'Email Marketing Raw Data'!$C:$O,13,0)),"")</f>
        <v/>
      </c>
      <c r="G571" s="55" t="str">
        <f>IFERROR(IF(OR($B571="",$B571="(blank)"),"",VLOOKUP($B571,'Email Marketing Raw Data'!$C:$O,4,0)),"")</f>
        <v/>
      </c>
      <c r="H571" s="55" t="str">
        <f>IFERROR(IF(OR($B571="",$B571="(blank)"),"",VLOOKUP($B571,'Email Marketing Raw Data'!$C:$O,5,0)),"")</f>
        <v/>
      </c>
      <c r="I571" s="55" t="str">
        <f>IFERROR(IF($G571="","",VLOOKUP('Dashboard And Emails Automate'!$G571,Database!$H:$N,3,0)),"")</f>
        <v/>
      </c>
      <c r="J571" s="55" t="str">
        <f>IFERROR(IF($G571="","",VLOOKUP('Dashboard And Emails Automate'!$G571,Database!$H:$N,4,0)),"")</f>
        <v/>
      </c>
      <c r="K571" s="55" t="str">
        <f>IFERROR(IF($G571="","",VLOOKUP('Dashboard And Emails Automate'!$G571,Database!$H:$N,5,0)),"")</f>
        <v/>
      </c>
      <c r="L571" s="55" t="str">
        <f>IFERROR(IF($G571="","",VLOOKUP('Dashboard And Emails Automate'!$G571,Database!$H:$N,6,0)),"")</f>
        <v/>
      </c>
      <c r="M571" s="55" t="str">
        <f>IFERROR(IF($G571="","",VLOOKUP('Dashboard And Emails Automate'!$G571,Database!$H:$N,7,0)),"")</f>
        <v/>
      </c>
      <c r="N571" s="55" t="str">
        <f>IFERROR(IF(OR($B571="",$B571="(blank)"),"",VLOOKUP($B571,'Email Marketing Raw Data'!$C:$O,6,0)),"")</f>
        <v/>
      </c>
      <c r="O571" s="55" t="str">
        <f>IFERROR(IF(OR($B571="",$B571="(blank)"),"",VLOOKUP($B571,'Email Marketing Raw Data'!$C:$O,7,0)),"")</f>
        <v/>
      </c>
      <c r="P571" s="55" t="str">
        <f>IFERROR(IF(OR($B571="",$B571="(blank)"),"",VLOOKUP($B571,'Email Marketing Raw Data'!$C:$O,8,0)),"")</f>
        <v/>
      </c>
      <c r="Q571" s="62" t="str">
        <f>IFERROR(IF(OR($B571="",$B571="(blank)"),"",VLOOKUP($B571,'Email Marketing Raw Data'!$C:$O,9,0)),"")</f>
        <v/>
      </c>
    </row>
    <row r="572" spans="4:17" ht="12.75" customHeight="1" x14ac:dyDescent="0.2">
      <c r="D572" s="58" t="str">
        <f>IFERROR(IF(F572&lt;&gt;"pending","",IF(OR($B572="",$B572="(blank)"),"",VLOOKUP($B572,'Email Marketing Raw Data'!$C:$O,10,0))),"")</f>
        <v/>
      </c>
      <c r="E572" s="59" t="str">
        <f>IFERROR(IF(F572&lt;&gt;"pending","",IF(OR($B572="",$B572="(blank)"),"",VLOOKUP($B572,'Email Marketing Raw Data'!$C:$O,11,0))),"")</f>
        <v/>
      </c>
      <c r="F572" s="54" t="str">
        <f>IFERROR(IF(OR($B572="",$B572="(blank)"),"",VLOOKUP($B572,'Email Marketing Raw Data'!$C:$O,13,0)),"")</f>
        <v/>
      </c>
      <c r="G572" s="55" t="str">
        <f>IFERROR(IF(OR($B572="",$B572="(blank)"),"",VLOOKUP($B572,'Email Marketing Raw Data'!$C:$O,4,0)),"")</f>
        <v/>
      </c>
      <c r="H572" s="55" t="str">
        <f>IFERROR(IF(OR($B572="",$B572="(blank)"),"",VLOOKUP($B572,'Email Marketing Raw Data'!$C:$O,5,0)),"")</f>
        <v/>
      </c>
      <c r="I572" s="55" t="str">
        <f>IFERROR(IF($G572="","",VLOOKUP('Dashboard And Emails Automate'!$G572,Database!$H:$N,3,0)),"")</f>
        <v/>
      </c>
      <c r="J572" s="55" t="str">
        <f>IFERROR(IF($G572="","",VLOOKUP('Dashboard And Emails Automate'!$G572,Database!$H:$N,4,0)),"")</f>
        <v/>
      </c>
      <c r="K572" s="55" t="str">
        <f>IFERROR(IF($G572="","",VLOOKUP('Dashboard And Emails Automate'!$G572,Database!$H:$N,5,0)),"")</f>
        <v/>
      </c>
      <c r="L572" s="55" t="str">
        <f>IFERROR(IF($G572="","",VLOOKUP('Dashboard And Emails Automate'!$G572,Database!$H:$N,6,0)),"")</f>
        <v/>
      </c>
      <c r="M572" s="55" t="str">
        <f>IFERROR(IF($G572="","",VLOOKUP('Dashboard And Emails Automate'!$G572,Database!$H:$N,7,0)),"")</f>
        <v/>
      </c>
      <c r="N572" s="55" t="str">
        <f>IFERROR(IF(OR($B572="",$B572="(blank)"),"",VLOOKUP($B572,'Email Marketing Raw Data'!$C:$O,6,0)),"")</f>
        <v/>
      </c>
      <c r="O572" s="55" t="str">
        <f>IFERROR(IF(OR($B572="",$B572="(blank)"),"",VLOOKUP($B572,'Email Marketing Raw Data'!$C:$O,7,0)),"")</f>
        <v/>
      </c>
      <c r="P572" s="55" t="str">
        <f>IFERROR(IF(OR($B572="",$B572="(blank)"),"",VLOOKUP($B572,'Email Marketing Raw Data'!$C:$O,8,0)),"")</f>
        <v/>
      </c>
      <c r="Q572" s="62" t="str">
        <f>IFERROR(IF(OR($B572="",$B572="(blank)"),"",VLOOKUP($B572,'Email Marketing Raw Data'!$C:$O,9,0)),"")</f>
        <v/>
      </c>
    </row>
    <row r="573" spans="4:17" ht="12.75" customHeight="1" x14ac:dyDescent="0.2">
      <c r="D573" s="58" t="str">
        <f>IFERROR(IF(F573&lt;&gt;"pending","",IF(OR($B573="",$B573="(blank)"),"",VLOOKUP($B573,'Email Marketing Raw Data'!$C:$O,10,0))),"")</f>
        <v/>
      </c>
      <c r="E573" s="59" t="str">
        <f>IFERROR(IF(F573&lt;&gt;"pending","",IF(OR($B573="",$B573="(blank)"),"",VLOOKUP($B573,'Email Marketing Raw Data'!$C:$O,11,0))),"")</f>
        <v/>
      </c>
      <c r="F573" s="54" t="str">
        <f>IFERROR(IF(OR($B573="",$B573="(blank)"),"",VLOOKUP($B573,'Email Marketing Raw Data'!$C:$O,13,0)),"")</f>
        <v/>
      </c>
      <c r="G573" s="55" t="str">
        <f>IFERROR(IF(OR($B573="",$B573="(blank)"),"",VLOOKUP($B573,'Email Marketing Raw Data'!$C:$O,4,0)),"")</f>
        <v/>
      </c>
      <c r="H573" s="55" t="str">
        <f>IFERROR(IF(OR($B573="",$B573="(blank)"),"",VLOOKUP($B573,'Email Marketing Raw Data'!$C:$O,5,0)),"")</f>
        <v/>
      </c>
      <c r="I573" s="55" t="str">
        <f>IFERROR(IF($G573="","",VLOOKUP('Dashboard And Emails Automate'!$G573,Database!$H:$N,3,0)),"")</f>
        <v/>
      </c>
      <c r="J573" s="55" t="str">
        <f>IFERROR(IF($G573="","",VLOOKUP('Dashboard And Emails Automate'!$G573,Database!$H:$N,4,0)),"")</f>
        <v/>
      </c>
      <c r="K573" s="55" t="str">
        <f>IFERROR(IF($G573="","",VLOOKUP('Dashboard And Emails Automate'!$G573,Database!$H:$N,5,0)),"")</f>
        <v/>
      </c>
      <c r="L573" s="55" t="str">
        <f>IFERROR(IF($G573="","",VLOOKUP('Dashboard And Emails Automate'!$G573,Database!$H:$N,6,0)),"")</f>
        <v/>
      </c>
      <c r="M573" s="55" t="str">
        <f>IFERROR(IF($G573="","",VLOOKUP('Dashboard And Emails Automate'!$G573,Database!$H:$N,7,0)),"")</f>
        <v/>
      </c>
      <c r="N573" s="55" t="str">
        <f>IFERROR(IF(OR($B573="",$B573="(blank)"),"",VLOOKUP($B573,'Email Marketing Raw Data'!$C:$O,6,0)),"")</f>
        <v/>
      </c>
      <c r="O573" s="55" t="str">
        <f>IFERROR(IF(OR($B573="",$B573="(blank)"),"",VLOOKUP($B573,'Email Marketing Raw Data'!$C:$O,7,0)),"")</f>
        <v/>
      </c>
      <c r="P573" s="55" t="str">
        <f>IFERROR(IF(OR($B573="",$B573="(blank)"),"",VLOOKUP($B573,'Email Marketing Raw Data'!$C:$O,8,0)),"")</f>
        <v/>
      </c>
      <c r="Q573" s="62" t="str">
        <f>IFERROR(IF(OR($B573="",$B573="(blank)"),"",VLOOKUP($B573,'Email Marketing Raw Data'!$C:$O,9,0)),"")</f>
        <v/>
      </c>
    </row>
    <row r="574" spans="4:17" ht="12.75" customHeight="1" x14ac:dyDescent="0.2">
      <c r="D574" s="58" t="str">
        <f>IFERROR(IF(F574&lt;&gt;"pending","",IF(OR($B574="",$B574="(blank)"),"",VLOOKUP($B574,'Email Marketing Raw Data'!$C:$O,10,0))),"")</f>
        <v/>
      </c>
      <c r="E574" s="59" t="str">
        <f>IFERROR(IF(F574&lt;&gt;"pending","",IF(OR($B574="",$B574="(blank)"),"",VLOOKUP($B574,'Email Marketing Raw Data'!$C:$O,11,0))),"")</f>
        <v/>
      </c>
      <c r="F574" s="54" t="str">
        <f>IFERROR(IF(OR($B574="",$B574="(blank)"),"",VLOOKUP($B574,'Email Marketing Raw Data'!$C:$O,13,0)),"")</f>
        <v/>
      </c>
      <c r="G574" s="55" t="str">
        <f>IFERROR(IF(OR($B574="",$B574="(blank)"),"",VLOOKUP($B574,'Email Marketing Raw Data'!$C:$O,4,0)),"")</f>
        <v/>
      </c>
      <c r="H574" s="55" t="str">
        <f>IFERROR(IF(OR($B574="",$B574="(blank)"),"",VLOOKUP($B574,'Email Marketing Raw Data'!$C:$O,5,0)),"")</f>
        <v/>
      </c>
      <c r="I574" s="55" t="str">
        <f>IFERROR(IF($G574="","",VLOOKUP('Dashboard And Emails Automate'!$G574,Database!$H:$N,3,0)),"")</f>
        <v/>
      </c>
      <c r="J574" s="55" t="str">
        <f>IFERROR(IF($G574="","",VLOOKUP('Dashboard And Emails Automate'!$G574,Database!$H:$N,4,0)),"")</f>
        <v/>
      </c>
      <c r="K574" s="55" t="str">
        <f>IFERROR(IF($G574="","",VLOOKUP('Dashboard And Emails Automate'!$G574,Database!$H:$N,5,0)),"")</f>
        <v/>
      </c>
      <c r="L574" s="55" t="str">
        <f>IFERROR(IF($G574="","",VLOOKUP('Dashboard And Emails Automate'!$G574,Database!$H:$N,6,0)),"")</f>
        <v/>
      </c>
      <c r="M574" s="55" t="str">
        <f>IFERROR(IF($G574="","",VLOOKUP('Dashboard And Emails Automate'!$G574,Database!$H:$N,7,0)),"")</f>
        <v/>
      </c>
      <c r="N574" s="55" t="str">
        <f>IFERROR(IF(OR($B574="",$B574="(blank)"),"",VLOOKUP($B574,'Email Marketing Raw Data'!$C:$O,6,0)),"")</f>
        <v/>
      </c>
      <c r="O574" s="55" t="str">
        <f>IFERROR(IF(OR($B574="",$B574="(blank)"),"",VLOOKUP($B574,'Email Marketing Raw Data'!$C:$O,7,0)),"")</f>
        <v/>
      </c>
      <c r="P574" s="55" t="str">
        <f>IFERROR(IF(OR($B574="",$B574="(blank)"),"",VLOOKUP($B574,'Email Marketing Raw Data'!$C:$O,8,0)),"")</f>
        <v/>
      </c>
      <c r="Q574" s="62" t="str">
        <f>IFERROR(IF(OR($B574="",$B574="(blank)"),"",VLOOKUP($B574,'Email Marketing Raw Data'!$C:$O,9,0)),"")</f>
        <v/>
      </c>
    </row>
    <row r="575" spans="4:17" ht="12.75" customHeight="1" x14ac:dyDescent="0.2">
      <c r="D575" s="58" t="str">
        <f>IFERROR(IF(F575&lt;&gt;"pending","",IF(OR($B575="",$B575="(blank)"),"",VLOOKUP($B575,'Email Marketing Raw Data'!$C:$O,10,0))),"")</f>
        <v/>
      </c>
      <c r="E575" s="59" t="str">
        <f>IFERROR(IF(F575&lt;&gt;"pending","",IF(OR($B575="",$B575="(blank)"),"",VLOOKUP($B575,'Email Marketing Raw Data'!$C:$O,11,0))),"")</f>
        <v/>
      </c>
      <c r="F575" s="54" t="str">
        <f>IFERROR(IF(OR($B575="",$B575="(blank)"),"",VLOOKUP($B575,'Email Marketing Raw Data'!$C:$O,13,0)),"")</f>
        <v/>
      </c>
      <c r="G575" s="55" t="str">
        <f>IFERROR(IF(OR($B575="",$B575="(blank)"),"",VLOOKUP($B575,'Email Marketing Raw Data'!$C:$O,4,0)),"")</f>
        <v/>
      </c>
      <c r="H575" s="55" t="str">
        <f>IFERROR(IF(OR($B575="",$B575="(blank)"),"",VLOOKUP($B575,'Email Marketing Raw Data'!$C:$O,5,0)),"")</f>
        <v/>
      </c>
      <c r="I575" s="55" t="str">
        <f>IFERROR(IF($G575="","",VLOOKUP('Dashboard And Emails Automate'!$G575,Database!$H:$N,3,0)),"")</f>
        <v/>
      </c>
      <c r="J575" s="55" t="str">
        <f>IFERROR(IF($G575="","",VLOOKUP('Dashboard And Emails Automate'!$G575,Database!$H:$N,4,0)),"")</f>
        <v/>
      </c>
      <c r="K575" s="55" t="str">
        <f>IFERROR(IF($G575="","",VLOOKUP('Dashboard And Emails Automate'!$G575,Database!$H:$N,5,0)),"")</f>
        <v/>
      </c>
      <c r="L575" s="55" t="str">
        <f>IFERROR(IF($G575="","",VLOOKUP('Dashboard And Emails Automate'!$G575,Database!$H:$N,6,0)),"")</f>
        <v/>
      </c>
      <c r="M575" s="55" t="str">
        <f>IFERROR(IF($G575="","",VLOOKUP('Dashboard And Emails Automate'!$G575,Database!$H:$N,7,0)),"")</f>
        <v/>
      </c>
      <c r="N575" s="55" t="str">
        <f>IFERROR(IF(OR($B575="",$B575="(blank)"),"",VLOOKUP($B575,'Email Marketing Raw Data'!$C:$O,6,0)),"")</f>
        <v/>
      </c>
      <c r="O575" s="55" t="str">
        <f>IFERROR(IF(OR($B575="",$B575="(blank)"),"",VLOOKUP($B575,'Email Marketing Raw Data'!$C:$O,7,0)),"")</f>
        <v/>
      </c>
      <c r="P575" s="55" t="str">
        <f>IFERROR(IF(OR($B575="",$B575="(blank)"),"",VLOOKUP($B575,'Email Marketing Raw Data'!$C:$O,8,0)),"")</f>
        <v/>
      </c>
      <c r="Q575" s="62" t="str">
        <f>IFERROR(IF(OR($B575="",$B575="(blank)"),"",VLOOKUP($B575,'Email Marketing Raw Data'!$C:$O,9,0)),"")</f>
        <v/>
      </c>
    </row>
    <row r="576" spans="4:17" ht="12.75" customHeight="1" x14ac:dyDescent="0.2">
      <c r="D576" s="58" t="str">
        <f>IFERROR(IF(F576&lt;&gt;"pending","",IF(OR($B576="",$B576="(blank)"),"",VLOOKUP($B576,'Email Marketing Raw Data'!$C:$O,10,0))),"")</f>
        <v/>
      </c>
      <c r="E576" s="59" t="str">
        <f>IFERROR(IF(F576&lt;&gt;"pending","",IF(OR($B576="",$B576="(blank)"),"",VLOOKUP($B576,'Email Marketing Raw Data'!$C:$O,11,0))),"")</f>
        <v/>
      </c>
      <c r="F576" s="54" t="str">
        <f>IFERROR(IF(OR($B576="",$B576="(blank)"),"",VLOOKUP($B576,'Email Marketing Raw Data'!$C:$O,13,0)),"")</f>
        <v/>
      </c>
      <c r="G576" s="55" t="str">
        <f>IFERROR(IF(OR($B576="",$B576="(blank)"),"",VLOOKUP($B576,'Email Marketing Raw Data'!$C:$O,4,0)),"")</f>
        <v/>
      </c>
      <c r="H576" s="55" t="str">
        <f>IFERROR(IF(OR($B576="",$B576="(blank)"),"",VLOOKUP($B576,'Email Marketing Raw Data'!$C:$O,5,0)),"")</f>
        <v/>
      </c>
      <c r="I576" s="55" t="str">
        <f>IFERROR(IF($G576="","",VLOOKUP('Dashboard And Emails Automate'!$G576,Database!$H:$N,3,0)),"")</f>
        <v/>
      </c>
      <c r="J576" s="55" t="str">
        <f>IFERROR(IF($G576="","",VLOOKUP('Dashboard And Emails Automate'!$G576,Database!$H:$N,4,0)),"")</f>
        <v/>
      </c>
      <c r="K576" s="55" t="str">
        <f>IFERROR(IF($G576="","",VLOOKUP('Dashboard And Emails Automate'!$G576,Database!$H:$N,5,0)),"")</f>
        <v/>
      </c>
      <c r="L576" s="55" t="str">
        <f>IFERROR(IF($G576="","",VLOOKUP('Dashboard And Emails Automate'!$G576,Database!$H:$N,6,0)),"")</f>
        <v/>
      </c>
      <c r="M576" s="55" t="str">
        <f>IFERROR(IF($G576="","",VLOOKUP('Dashboard And Emails Automate'!$G576,Database!$H:$N,7,0)),"")</f>
        <v/>
      </c>
      <c r="N576" s="55" t="str">
        <f>IFERROR(IF(OR($B576="",$B576="(blank)"),"",VLOOKUP($B576,'Email Marketing Raw Data'!$C:$O,6,0)),"")</f>
        <v/>
      </c>
      <c r="O576" s="55" t="str">
        <f>IFERROR(IF(OR($B576="",$B576="(blank)"),"",VLOOKUP($B576,'Email Marketing Raw Data'!$C:$O,7,0)),"")</f>
        <v/>
      </c>
      <c r="P576" s="55" t="str">
        <f>IFERROR(IF(OR($B576="",$B576="(blank)"),"",VLOOKUP($B576,'Email Marketing Raw Data'!$C:$O,8,0)),"")</f>
        <v/>
      </c>
      <c r="Q576" s="62" t="str">
        <f>IFERROR(IF(OR($B576="",$B576="(blank)"),"",VLOOKUP($B576,'Email Marketing Raw Data'!$C:$O,9,0)),"")</f>
        <v/>
      </c>
    </row>
    <row r="577" spans="4:17" ht="12.75" customHeight="1" x14ac:dyDescent="0.2">
      <c r="D577" s="58" t="str">
        <f>IFERROR(IF(F577&lt;&gt;"pending","",IF(OR($B577="",$B577="(blank)"),"",VLOOKUP($B577,'Email Marketing Raw Data'!$C:$O,10,0))),"")</f>
        <v/>
      </c>
      <c r="E577" s="59" t="str">
        <f>IFERROR(IF(F577&lt;&gt;"pending","",IF(OR($B577="",$B577="(blank)"),"",VLOOKUP($B577,'Email Marketing Raw Data'!$C:$O,11,0))),"")</f>
        <v/>
      </c>
      <c r="F577" s="54" t="str">
        <f>IFERROR(IF(OR($B577="",$B577="(blank)"),"",VLOOKUP($B577,'Email Marketing Raw Data'!$C:$O,13,0)),"")</f>
        <v/>
      </c>
      <c r="G577" s="55" t="str">
        <f>IFERROR(IF(OR($B577="",$B577="(blank)"),"",VLOOKUP($B577,'Email Marketing Raw Data'!$C:$O,4,0)),"")</f>
        <v/>
      </c>
      <c r="H577" s="55" t="str">
        <f>IFERROR(IF(OR($B577="",$B577="(blank)"),"",VLOOKUP($B577,'Email Marketing Raw Data'!$C:$O,5,0)),"")</f>
        <v/>
      </c>
      <c r="I577" s="55" t="str">
        <f>IFERROR(IF($G577="","",VLOOKUP('Dashboard And Emails Automate'!$G577,Database!$H:$N,3,0)),"")</f>
        <v/>
      </c>
      <c r="J577" s="55" t="str">
        <f>IFERROR(IF($G577="","",VLOOKUP('Dashboard And Emails Automate'!$G577,Database!$H:$N,4,0)),"")</f>
        <v/>
      </c>
      <c r="K577" s="55" t="str">
        <f>IFERROR(IF($G577="","",VLOOKUP('Dashboard And Emails Automate'!$G577,Database!$H:$N,5,0)),"")</f>
        <v/>
      </c>
      <c r="L577" s="55" t="str">
        <f>IFERROR(IF($G577="","",VLOOKUP('Dashboard And Emails Automate'!$G577,Database!$H:$N,6,0)),"")</f>
        <v/>
      </c>
      <c r="M577" s="55" t="str">
        <f>IFERROR(IF($G577="","",VLOOKUP('Dashboard And Emails Automate'!$G577,Database!$H:$N,7,0)),"")</f>
        <v/>
      </c>
      <c r="N577" s="55" t="str">
        <f>IFERROR(IF(OR($B577="",$B577="(blank)"),"",VLOOKUP($B577,'Email Marketing Raw Data'!$C:$O,6,0)),"")</f>
        <v/>
      </c>
      <c r="O577" s="55" t="str">
        <f>IFERROR(IF(OR($B577="",$B577="(blank)"),"",VLOOKUP($B577,'Email Marketing Raw Data'!$C:$O,7,0)),"")</f>
        <v/>
      </c>
      <c r="P577" s="55" t="str">
        <f>IFERROR(IF(OR($B577="",$B577="(blank)"),"",VLOOKUP($B577,'Email Marketing Raw Data'!$C:$O,8,0)),"")</f>
        <v/>
      </c>
      <c r="Q577" s="62" t="str">
        <f>IFERROR(IF(OR($B577="",$B577="(blank)"),"",VLOOKUP($B577,'Email Marketing Raw Data'!$C:$O,9,0)),"")</f>
        <v/>
      </c>
    </row>
    <row r="578" spans="4:17" ht="12.75" customHeight="1" x14ac:dyDescent="0.2">
      <c r="D578" s="58" t="str">
        <f>IFERROR(IF(F578&lt;&gt;"pending","",IF(OR($B578="",$B578="(blank)"),"",VLOOKUP($B578,'Email Marketing Raw Data'!$C:$O,10,0))),"")</f>
        <v/>
      </c>
      <c r="E578" s="59" t="str">
        <f>IFERROR(IF(F578&lt;&gt;"pending","",IF(OR($B578="",$B578="(blank)"),"",VLOOKUP($B578,'Email Marketing Raw Data'!$C:$O,11,0))),"")</f>
        <v/>
      </c>
      <c r="F578" s="54" t="str">
        <f>IFERROR(IF(OR($B578="",$B578="(blank)"),"",VLOOKUP($B578,'Email Marketing Raw Data'!$C:$O,13,0)),"")</f>
        <v/>
      </c>
      <c r="G578" s="55" t="str">
        <f>IFERROR(IF(OR($B578="",$B578="(blank)"),"",VLOOKUP($B578,'Email Marketing Raw Data'!$C:$O,4,0)),"")</f>
        <v/>
      </c>
      <c r="H578" s="55" t="str">
        <f>IFERROR(IF(OR($B578="",$B578="(blank)"),"",VLOOKUP($B578,'Email Marketing Raw Data'!$C:$O,5,0)),"")</f>
        <v/>
      </c>
      <c r="I578" s="55" t="str">
        <f>IFERROR(IF($G578="","",VLOOKUP('Dashboard And Emails Automate'!$G578,Database!$H:$N,3,0)),"")</f>
        <v/>
      </c>
      <c r="J578" s="55" t="str">
        <f>IFERROR(IF($G578="","",VLOOKUP('Dashboard And Emails Automate'!$G578,Database!$H:$N,4,0)),"")</f>
        <v/>
      </c>
      <c r="K578" s="55" t="str">
        <f>IFERROR(IF($G578="","",VLOOKUP('Dashboard And Emails Automate'!$G578,Database!$H:$N,5,0)),"")</f>
        <v/>
      </c>
      <c r="L578" s="55" t="str">
        <f>IFERROR(IF($G578="","",VLOOKUP('Dashboard And Emails Automate'!$G578,Database!$H:$N,6,0)),"")</f>
        <v/>
      </c>
      <c r="M578" s="55" t="str">
        <f>IFERROR(IF($G578="","",VLOOKUP('Dashboard And Emails Automate'!$G578,Database!$H:$N,7,0)),"")</f>
        <v/>
      </c>
      <c r="N578" s="55" t="str">
        <f>IFERROR(IF(OR($B578="",$B578="(blank)"),"",VLOOKUP($B578,'Email Marketing Raw Data'!$C:$O,6,0)),"")</f>
        <v/>
      </c>
      <c r="O578" s="55" t="str">
        <f>IFERROR(IF(OR($B578="",$B578="(blank)"),"",VLOOKUP($B578,'Email Marketing Raw Data'!$C:$O,7,0)),"")</f>
        <v/>
      </c>
      <c r="P578" s="55" t="str">
        <f>IFERROR(IF(OR($B578="",$B578="(blank)"),"",VLOOKUP($B578,'Email Marketing Raw Data'!$C:$O,8,0)),"")</f>
        <v/>
      </c>
      <c r="Q578" s="62" t="str">
        <f>IFERROR(IF(OR($B578="",$B578="(blank)"),"",VLOOKUP($B578,'Email Marketing Raw Data'!$C:$O,9,0)),"")</f>
        <v/>
      </c>
    </row>
    <row r="579" spans="4:17" ht="12.75" customHeight="1" x14ac:dyDescent="0.2">
      <c r="D579" s="58" t="str">
        <f>IFERROR(IF(F579&lt;&gt;"pending","",IF(OR($B579="",$B579="(blank)"),"",VLOOKUP($B579,'Email Marketing Raw Data'!$C:$O,10,0))),"")</f>
        <v/>
      </c>
      <c r="E579" s="59" t="str">
        <f>IFERROR(IF(F579&lt;&gt;"pending","",IF(OR($B579="",$B579="(blank)"),"",VLOOKUP($B579,'Email Marketing Raw Data'!$C:$O,11,0))),"")</f>
        <v/>
      </c>
      <c r="F579" s="54" t="str">
        <f>IFERROR(IF(OR($B579="",$B579="(blank)"),"",VLOOKUP($B579,'Email Marketing Raw Data'!$C:$O,13,0)),"")</f>
        <v/>
      </c>
      <c r="G579" s="55" t="str">
        <f>IFERROR(IF(OR($B579="",$B579="(blank)"),"",VLOOKUP($B579,'Email Marketing Raw Data'!$C:$O,4,0)),"")</f>
        <v/>
      </c>
      <c r="H579" s="55" t="str">
        <f>IFERROR(IF(OR($B579="",$B579="(blank)"),"",VLOOKUP($B579,'Email Marketing Raw Data'!$C:$O,5,0)),"")</f>
        <v/>
      </c>
      <c r="I579" s="55" t="str">
        <f>IFERROR(IF($G579="","",VLOOKUP('Dashboard And Emails Automate'!$G579,Database!$H:$N,3,0)),"")</f>
        <v/>
      </c>
      <c r="J579" s="55" t="str">
        <f>IFERROR(IF($G579="","",VLOOKUP('Dashboard And Emails Automate'!$G579,Database!$H:$N,4,0)),"")</f>
        <v/>
      </c>
      <c r="K579" s="55" t="str">
        <f>IFERROR(IF($G579="","",VLOOKUP('Dashboard And Emails Automate'!$G579,Database!$H:$N,5,0)),"")</f>
        <v/>
      </c>
      <c r="L579" s="55" t="str">
        <f>IFERROR(IF($G579="","",VLOOKUP('Dashboard And Emails Automate'!$G579,Database!$H:$N,6,0)),"")</f>
        <v/>
      </c>
      <c r="M579" s="55" t="str">
        <f>IFERROR(IF($G579="","",VLOOKUP('Dashboard And Emails Automate'!$G579,Database!$H:$N,7,0)),"")</f>
        <v/>
      </c>
      <c r="N579" s="55" t="str">
        <f>IFERROR(IF(OR($B579="",$B579="(blank)"),"",VLOOKUP($B579,'Email Marketing Raw Data'!$C:$O,6,0)),"")</f>
        <v/>
      </c>
      <c r="O579" s="55" t="str">
        <f>IFERROR(IF(OR($B579="",$B579="(blank)"),"",VLOOKUP($B579,'Email Marketing Raw Data'!$C:$O,7,0)),"")</f>
        <v/>
      </c>
      <c r="P579" s="55" t="str">
        <f>IFERROR(IF(OR($B579="",$B579="(blank)"),"",VLOOKUP($B579,'Email Marketing Raw Data'!$C:$O,8,0)),"")</f>
        <v/>
      </c>
      <c r="Q579" s="62" t="str">
        <f>IFERROR(IF(OR($B579="",$B579="(blank)"),"",VLOOKUP($B579,'Email Marketing Raw Data'!$C:$O,9,0)),"")</f>
        <v/>
      </c>
    </row>
    <row r="580" spans="4:17" ht="12.75" customHeight="1" x14ac:dyDescent="0.2">
      <c r="D580" s="58" t="str">
        <f>IFERROR(IF(F580&lt;&gt;"pending","",IF(OR($B580="",$B580="(blank)"),"",VLOOKUP($B580,'Email Marketing Raw Data'!$C:$O,10,0))),"")</f>
        <v/>
      </c>
      <c r="E580" s="59" t="str">
        <f>IFERROR(IF(F580&lt;&gt;"pending","",IF(OR($B580="",$B580="(blank)"),"",VLOOKUP($B580,'Email Marketing Raw Data'!$C:$O,11,0))),"")</f>
        <v/>
      </c>
      <c r="F580" s="54" t="str">
        <f>IFERROR(IF(OR($B580="",$B580="(blank)"),"",VLOOKUP($B580,'Email Marketing Raw Data'!$C:$O,13,0)),"")</f>
        <v/>
      </c>
      <c r="G580" s="55" t="str">
        <f>IFERROR(IF(OR($B580="",$B580="(blank)"),"",VLOOKUP($B580,'Email Marketing Raw Data'!$C:$O,4,0)),"")</f>
        <v/>
      </c>
      <c r="H580" s="55" t="str">
        <f>IFERROR(IF(OR($B580="",$B580="(blank)"),"",VLOOKUP($B580,'Email Marketing Raw Data'!$C:$O,5,0)),"")</f>
        <v/>
      </c>
      <c r="I580" s="55" t="str">
        <f>IFERROR(IF($G580="","",VLOOKUP('Dashboard And Emails Automate'!$G580,Database!$H:$N,3,0)),"")</f>
        <v/>
      </c>
      <c r="J580" s="55" t="str">
        <f>IFERROR(IF($G580="","",VLOOKUP('Dashboard And Emails Automate'!$G580,Database!$H:$N,4,0)),"")</f>
        <v/>
      </c>
      <c r="K580" s="55" t="str">
        <f>IFERROR(IF($G580="","",VLOOKUP('Dashboard And Emails Automate'!$G580,Database!$H:$N,5,0)),"")</f>
        <v/>
      </c>
      <c r="L580" s="55" t="str">
        <f>IFERROR(IF($G580="","",VLOOKUP('Dashboard And Emails Automate'!$G580,Database!$H:$N,6,0)),"")</f>
        <v/>
      </c>
      <c r="M580" s="55" t="str">
        <f>IFERROR(IF($G580="","",VLOOKUP('Dashboard And Emails Automate'!$G580,Database!$H:$N,7,0)),"")</f>
        <v/>
      </c>
      <c r="N580" s="55" t="str">
        <f>IFERROR(IF(OR($B580="",$B580="(blank)"),"",VLOOKUP($B580,'Email Marketing Raw Data'!$C:$O,6,0)),"")</f>
        <v/>
      </c>
      <c r="O580" s="55" t="str">
        <f>IFERROR(IF(OR($B580="",$B580="(blank)"),"",VLOOKUP($B580,'Email Marketing Raw Data'!$C:$O,7,0)),"")</f>
        <v/>
      </c>
      <c r="P580" s="55" t="str">
        <f>IFERROR(IF(OR($B580="",$B580="(blank)"),"",VLOOKUP($B580,'Email Marketing Raw Data'!$C:$O,8,0)),"")</f>
        <v/>
      </c>
      <c r="Q580" s="62" t="str">
        <f>IFERROR(IF(OR($B580="",$B580="(blank)"),"",VLOOKUP($B580,'Email Marketing Raw Data'!$C:$O,9,0)),"")</f>
        <v/>
      </c>
    </row>
    <row r="581" spans="4:17" ht="12.75" customHeight="1" x14ac:dyDescent="0.2">
      <c r="D581" s="58" t="str">
        <f>IFERROR(IF(F581&lt;&gt;"pending","",IF(OR($B581="",$B581="(blank)"),"",VLOOKUP($B581,'Email Marketing Raw Data'!$C:$O,10,0))),"")</f>
        <v/>
      </c>
      <c r="E581" s="59" t="str">
        <f>IFERROR(IF(F581&lt;&gt;"pending","",IF(OR($B581="",$B581="(blank)"),"",VLOOKUP($B581,'Email Marketing Raw Data'!$C:$O,11,0))),"")</f>
        <v/>
      </c>
      <c r="F581" s="54" t="str">
        <f>IFERROR(IF(OR($B581="",$B581="(blank)"),"",VLOOKUP($B581,'Email Marketing Raw Data'!$C:$O,13,0)),"")</f>
        <v/>
      </c>
      <c r="G581" s="55" t="str">
        <f>IFERROR(IF(OR($B581="",$B581="(blank)"),"",VLOOKUP($B581,'Email Marketing Raw Data'!$C:$O,4,0)),"")</f>
        <v/>
      </c>
      <c r="H581" s="55" t="str">
        <f>IFERROR(IF(OR($B581="",$B581="(blank)"),"",VLOOKUP($B581,'Email Marketing Raw Data'!$C:$O,5,0)),"")</f>
        <v/>
      </c>
      <c r="I581" s="55" t="str">
        <f>IFERROR(IF($G581="","",VLOOKUP('Dashboard And Emails Automate'!$G581,Database!$H:$N,3,0)),"")</f>
        <v/>
      </c>
      <c r="J581" s="55" t="str">
        <f>IFERROR(IF($G581="","",VLOOKUP('Dashboard And Emails Automate'!$G581,Database!$H:$N,4,0)),"")</f>
        <v/>
      </c>
      <c r="K581" s="55" t="str">
        <f>IFERROR(IF($G581="","",VLOOKUP('Dashboard And Emails Automate'!$G581,Database!$H:$N,5,0)),"")</f>
        <v/>
      </c>
      <c r="L581" s="55" t="str">
        <f>IFERROR(IF($G581="","",VLOOKUP('Dashboard And Emails Automate'!$G581,Database!$H:$N,6,0)),"")</f>
        <v/>
      </c>
      <c r="M581" s="55" t="str">
        <f>IFERROR(IF($G581="","",VLOOKUP('Dashboard And Emails Automate'!$G581,Database!$H:$N,7,0)),"")</f>
        <v/>
      </c>
      <c r="N581" s="55" t="str">
        <f>IFERROR(IF(OR($B581="",$B581="(blank)"),"",VLOOKUP($B581,'Email Marketing Raw Data'!$C:$O,6,0)),"")</f>
        <v/>
      </c>
      <c r="O581" s="55" t="str">
        <f>IFERROR(IF(OR($B581="",$B581="(blank)"),"",VLOOKUP($B581,'Email Marketing Raw Data'!$C:$O,7,0)),"")</f>
        <v/>
      </c>
      <c r="P581" s="55" t="str">
        <f>IFERROR(IF(OR($B581="",$B581="(blank)"),"",VLOOKUP($B581,'Email Marketing Raw Data'!$C:$O,8,0)),"")</f>
        <v/>
      </c>
      <c r="Q581" s="62" t="str">
        <f>IFERROR(IF(OR($B581="",$B581="(blank)"),"",VLOOKUP($B581,'Email Marketing Raw Data'!$C:$O,9,0)),"")</f>
        <v/>
      </c>
    </row>
    <row r="582" spans="4:17" ht="12.75" customHeight="1" x14ac:dyDescent="0.2">
      <c r="D582" s="58" t="str">
        <f>IFERROR(IF(F582&lt;&gt;"pending","",IF(OR($B582="",$B582="(blank)"),"",VLOOKUP($B582,'Email Marketing Raw Data'!$C:$O,10,0))),"")</f>
        <v/>
      </c>
      <c r="E582" s="59" t="str">
        <f>IFERROR(IF(F582&lt;&gt;"pending","",IF(OR($B582="",$B582="(blank)"),"",VLOOKUP($B582,'Email Marketing Raw Data'!$C:$O,11,0))),"")</f>
        <v/>
      </c>
      <c r="F582" s="54" t="str">
        <f>IFERROR(IF(OR($B582="",$B582="(blank)"),"",VLOOKUP($B582,'Email Marketing Raw Data'!$C:$O,13,0)),"")</f>
        <v/>
      </c>
      <c r="G582" s="55" t="str">
        <f>IFERROR(IF(OR($B582="",$B582="(blank)"),"",VLOOKUP($B582,'Email Marketing Raw Data'!$C:$O,4,0)),"")</f>
        <v/>
      </c>
      <c r="H582" s="55" t="str">
        <f>IFERROR(IF(OR($B582="",$B582="(blank)"),"",VLOOKUP($B582,'Email Marketing Raw Data'!$C:$O,5,0)),"")</f>
        <v/>
      </c>
      <c r="I582" s="55" t="str">
        <f>IFERROR(IF($G582="","",VLOOKUP('Dashboard And Emails Automate'!$G582,Database!$H:$N,3,0)),"")</f>
        <v/>
      </c>
      <c r="J582" s="55" t="str">
        <f>IFERROR(IF($G582="","",VLOOKUP('Dashboard And Emails Automate'!$G582,Database!$H:$N,4,0)),"")</f>
        <v/>
      </c>
      <c r="K582" s="55" t="str">
        <f>IFERROR(IF($G582="","",VLOOKUP('Dashboard And Emails Automate'!$G582,Database!$H:$N,5,0)),"")</f>
        <v/>
      </c>
      <c r="L582" s="55" t="str">
        <f>IFERROR(IF($G582="","",VLOOKUP('Dashboard And Emails Automate'!$G582,Database!$H:$N,6,0)),"")</f>
        <v/>
      </c>
      <c r="M582" s="55" t="str">
        <f>IFERROR(IF($G582="","",VLOOKUP('Dashboard And Emails Automate'!$G582,Database!$H:$N,7,0)),"")</f>
        <v/>
      </c>
      <c r="N582" s="55" t="str">
        <f>IFERROR(IF(OR($B582="",$B582="(blank)"),"",VLOOKUP($B582,'Email Marketing Raw Data'!$C:$O,6,0)),"")</f>
        <v/>
      </c>
      <c r="O582" s="55" t="str">
        <f>IFERROR(IF(OR($B582="",$B582="(blank)"),"",VLOOKUP($B582,'Email Marketing Raw Data'!$C:$O,7,0)),"")</f>
        <v/>
      </c>
      <c r="P582" s="55" t="str">
        <f>IFERROR(IF(OR($B582="",$B582="(blank)"),"",VLOOKUP($B582,'Email Marketing Raw Data'!$C:$O,8,0)),"")</f>
        <v/>
      </c>
      <c r="Q582" s="62" t="str">
        <f>IFERROR(IF(OR($B582="",$B582="(blank)"),"",VLOOKUP($B582,'Email Marketing Raw Data'!$C:$O,9,0)),"")</f>
        <v/>
      </c>
    </row>
    <row r="583" spans="4:17" ht="12.75" customHeight="1" x14ac:dyDescent="0.2">
      <c r="D583" s="58" t="str">
        <f>IFERROR(IF(F583&lt;&gt;"pending","",IF(OR($B583="",$B583="(blank)"),"",VLOOKUP($B583,'Email Marketing Raw Data'!$C:$O,10,0))),"")</f>
        <v/>
      </c>
      <c r="E583" s="59" t="str">
        <f>IFERROR(IF(F583&lt;&gt;"pending","",IF(OR($B583="",$B583="(blank)"),"",VLOOKUP($B583,'Email Marketing Raw Data'!$C:$O,11,0))),"")</f>
        <v/>
      </c>
      <c r="F583" s="54" t="str">
        <f>IFERROR(IF(OR($B583="",$B583="(blank)"),"",VLOOKUP($B583,'Email Marketing Raw Data'!$C:$O,13,0)),"")</f>
        <v/>
      </c>
      <c r="G583" s="55" t="str">
        <f>IFERROR(IF(OR($B583="",$B583="(blank)"),"",VLOOKUP($B583,'Email Marketing Raw Data'!$C:$O,4,0)),"")</f>
        <v/>
      </c>
      <c r="H583" s="55" t="str">
        <f>IFERROR(IF(OR($B583="",$B583="(blank)"),"",VLOOKUP($B583,'Email Marketing Raw Data'!$C:$O,5,0)),"")</f>
        <v/>
      </c>
      <c r="I583" s="55" t="str">
        <f>IFERROR(IF($G583="","",VLOOKUP('Dashboard And Emails Automate'!$G583,Database!$H:$N,3,0)),"")</f>
        <v/>
      </c>
      <c r="J583" s="55" t="str">
        <f>IFERROR(IF($G583="","",VLOOKUP('Dashboard And Emails Automate'!$G583,Database!$H:$N,4,0)),"")</f>
        <v/>
      </c>
      <c r="K583" s="55" t="str">
        <f>IFERROR(IF($G583="","",VLOOKUP('Dashboard And Emails Automate'!$G583,Database!$H:$N,5,0)),"")</f>
        <v/>
      </c>
      <c r="L583" s="55" t="str">
        <f>IFERROR(IF($G583="","",VLOOKUP('Dashboard And Emails Automate'!$G583,Database!$H:$N,6,0)),"")</f>
        <v/>
      </c>
      <c r="M583" s="55" t="str">
        <f>IFERROR(IF($G583="","",VLOOKUP('Dashboard And Emails Automate'!$G583,Database!$H:$N,7,0)),"")</f>
        <v/>
      </c>
      <c r="N583" s="55" t="str">
        <f>IFERROR(IF(OR($B583="",$B583="(blank)"),"",VLOOKUP($B583,'Email Marketing Raw Data'!$C:$O,6,0)),"")</f>
        <v/>
      </c>
      <c r="O583" s="55" t="str">
        <f>IFERROR(IF(OR($B583="",$B583="(blank)"),"",VLOOKUP($B583,'Email Marketing Raw Data'!$C:$O,7,0)),"")</f>
        <v/>
      </c>
      <c r="P583" s="55" t="str">
        <f>IFERROR(IF(OR($B583="",$B583="(blank)"),"",VLOOKUP($B583,'Email Marketing Raw Data'!$C:$O,8,0)),"")</f>
        <v/>
      </c>
      <c r="Q583" s="62" t="str">
        <f>IFERROR(IF(OR($B583="",$B583="(blank)"),"",VLOOKUP($B583,'Email Marketing Raw Data'!$C:$O,9,0)),"")</f>
        <v/>
      </c>
    </row>
    <row r="584" spans="4:17" ht="12.75" customHeight="1" x14ac:dyDescent="0.2">
      <c r="D584" s="58" t="str">
        <f>IFERROR(IF(F584&lt;&gt;"pending","",IF(OR($B584="",$B584="(blank)"),"",VLOOKUP($B584,'Email Marketing Raw Data'!$C:$O,10,0))),"")</f>
        <v/>
      </c>
      <c r="E584" s="59" t="str">
        <f>IFERROR(IF(F584&lt;&gt;"pending","",IF(OR($B584="",$B584="(blank)"),"",VLOOKUP($B584,'Email Marketing Raw Data'!$C:$O,11,0))),"")</f>
        <v/>
      </c>
      <c r="F584" s="54" t="str">
        <f>IFERROR(IF(OR($B584="",$B584="(blank)"),"",VLOOKUP($B584,'Email Marketing Raw Data'!$C:$O,13,0)),"")</f>
        <v/>
      </c>
      <c r="G584" s="55" t="str">
        <f>IFERROR(IF(OR($B584="",$B584="(blank)"),"",VLOOKUP($B584,'Email Marketing Raw Data'!$C:$O,4,0)),"")</f>
        <v/>
      </c>
      <c r="H584" s="55" t="str">
        <f>IFERROR(IF(OR($B584="",$B584="(blank)"),"",VLOOKUP($B584,'Email Marketing Raw Data'!$C:$O,5,0)),"")</f>
        <v/>
      </c>
      <c r="I584" s="55" t="str">
        <f>IFERROR(IF($G584="","",VLOOKUP('Dashboard And Emails Automate'!$G584,Database!$H:$N,3,0)),"")</f>
        <v/>
      </c>
      <c r="J584" s="55" t="str">
        <f>IFERROR(IF($G584="","",VLOOKUP('Dashboard And Emails Automate'!$G584,Database!$H:$N,4,0)),"")</f>
        <v/>
      </c>
      <c r="K584" s="55" t="str">
        <f>IFERROR(IF($G584="","",VLOOKUP('Dashboard And Emails Automate'!$G584,Database!$H:$N,5,0)),"")</f>
        <v/>
      </c>
      <c r="L584" s="55" t="str">
        <f>IFERROR(IF($G584="","",VLOOKUP('Dashboard And Emails Automate'!$G584,Database!$H:$N,6,0)),"")</f>
        <v/>
      </c>
      <c r="M584" s="55" t="str">
        <f>IFERROR(IF($G584="","",VLOOKUP('Dashboard And Emails Automate'!$G584,Database!$H:$N,7,0)),"")</f>
        <v/>
      </c>
      <c r="N584" s="55" t="str">
        <f>IFERROR(IF(OR($B584="",$B584="(blank)"),"",VLOOKUP($B584,'Email Marketing Raw Data'!$C:$O,6,0)),"")</f>
        <v/>
      </c>
      <c r="O584" s="55" t="str">
        <f>IFERROR(IF(OR($B584="",$B584="(blank)"),"",VLOOKUP($B584,'Email Marketing Raw Data'!$C:$O,7,0)),"")</f>
        <v/>
      </c>
      <c r="P584" s="55" t="str">
        <f>IFERROR(IF(OR($B584="",$B584="(blank)"),"",VLOOKUP($B584,'Email Marketing Raw Data'!$C:$O,8,0)),"")</f>
        <v/>
      </c>
      <c r="Q584" s="62" t="str">
        <f>IFERROR(IF(OR($B584="",$B584="(blank)"),"",VLOOKUP($B584,'Email Marketing Raw Data'!$C:$O,9,0)),"")</f>
        <v/>
      </c>
    </row>
    <row r="585" spans="4:17" ht="12.75" customHeight="1" x14ac:dyDescent="0.2">
      <c r="D585" s="58" t="str">
        <f>IFERROR(IF(F585&lt;&gt;"pending","",IF(OR($B585="",$B585="(blank)"),"",VLOOKUP($B585,'Email Marketing Raw Data'!$C:$O,10,0))),"")</f>
        <v/>
      </c>
      <c r="E585" s="59" t="str">
        <f>IFERROR(IF(F585&lt;&gt;"pending","",IF(OR($B585="",$B585="(blank)"),"",VLOOKUP($B585,'Email Marketing Raw Data'!$C:$O,11,0))),"")</f>
        <v/>
      </c>
      <c r="F585" s="54" t="str">
        <f>IFERROR(IF(OR($B585="",$B585="(blank)"),"",VLOOKUP($B585,'Email Marketing Raw Data'!$C:$O,13,0)),"")</f>
        <v/>
      </c>
      <c r="G585" s="55" t="str">
        <f>IFERROR(IF(OR($B585="",$B585="(blank)"),"",VLOOKUP($B585,'Email Marketing Raw Data'!$C:$O,4,0)),"")</f>
        <v/>
      </c>
      <c r="H585" s="55" t="str">
        <f>IFERROR(IF(OR($B585="",$B585="(blank)"),"",VLOOKUP($B585,'Email Marketing Raw Data'!$C:$O,5,0)),"")</f>
        <v/>
      </c>
      <c r="I585" s="55" t="str">
        <f>IFERROR(IF($G585="","",VLOOKUP('Dashboard And Emails Automate'!$G585,Database!$H:$N,3,0)),"")</f>
        <v/>
      </c>
      <c r="J585" s="55" t="str">
        <f>IFERROR(IF($G585="","",VLOOKUP('Dashboard And Emails Automate'!$G585,Database!$H:$N,4,0)),"")</f>
        <v/>
      </c>
      <c r="K585" s="55" t="str">
        <f>IFERROR(IF($G585="","",VLOOKUP('Dashboard And Emails Automate'!$G585,Database!$H:$N,5,0)),"")</f>
        <v/>
      </c>
      <c r="L585" s="55" t="str">
        <f>IFERROR(IF($G585="","",VLOOKUP('Dashboard And Emails Automate'!$G585,Database!$H:$N,6,0)),"")</f>
        <v/>
      </c>
      <c r="M585" s="55" t="str">
        <f>IFERROR(IF($G585="","",VLOOKUP('Dashboard And Emails Automate'!$G585,Database!$H:$N,7,0)),"")</f>
        <v/>
      </c>
      <c r="N585" s="55" t="str">
        <f>IFERROR(IF(OR($B585="",$B585="(blank)"),"",VLOOKUP($B585,'Email Marketing Raw Data'!$C:$O,6,0)),"")</f>
        <v/>
      </c>
      <c r="O585" s="55" t="str">
        <f>IFERROR(IF(OR($B585="",$B585="(blank)"),"",VLOOKUP($B585,'Email Marketing Raw Data'!$C:$O,7,0)),"")</f>
        <v/>
      </c>
      <c r="P585" s="55" t="str">
        <f>IFERROR(IF(OR($B585="",$B585="(blank)"),"",VLOOKUP($B585,'Email Marketing Raw Data'!$C:$O,8,0)),"")</f>
        <v/>
      </c>
      <c r="Q585" s="62" t="str">
        <f>IFERROR(IF(OR($B585="",$B585="(blank)"),"",VLOOKUP($B585,'Email Marketing Raw Data'!$C:$O,9,0)),"")</f>
        <v/>
      </c>
    </row>
    <row r="586" spans="4:17" ht="12.75" customHeight="1" x14ac:dyDescent="0.2">
      <c r="D586" s="58" t="str">
        <f>IFERROR(IF(F586&lt;&gt;"pending","",IF(OR($B586="",$B586="(blank)"),"",VLOOKUP($B586,'Email Marketing Raw Data'!$C:$O,10,0))),"")</f>
        <v/>
      </c>
      <c r="E586" s="59" t="str">
        <f>IFERROR(IF(F586&lt;&gt;"pending","",IF(OR($B586="",$B586="(blank)"),"",VLOOKUP($B586,'Email Marketing Raw Data'!$C:$O,11,0))),"")</f>
        <v/>
      </c>
      <c r="F586" s="54" t="str">
        <f>IFERROR(IF(OR($B586="",$B586="(blank)"),"",VLOOKUP($B586,'Email Marketing Raw Data'!$C:$O,13,0)),"")</f>
        <v/>
      </c>
      <c r="G586" s="55" t="str">
        <f>IFERROR(IF(OR($B586="",$B586="(blank)"),"",VLOOKUP($B586,'Email Marketing Raw Data'!$C:$O,4,0)),"")</f>
        <v/>
      </c>
      <c r="H586" s="55" t="str">
        <f>IFERROR(IF(OR($B586="",$B586="(blank)"),"",VLOOKUP($B586,'Email Marketing Raw Data'!$C:$O,5,0)),"")</f>
        <v/>
      </c>
      <c r="I586" s="55" t="str">
        <f>IFERROR(IF($G586="","",VLOOKUP('Dashboard And Emails Automate'!$G586,Database!$H:$N,3,0)),"")</f>
        <v/>
      </c>
      <c r="J586" s="55" t="str">
        <f>IFERROR(IF($G586="","",VLOOKUP('Dashboard And Emails Automate'!$G586,Database!$H:$N,4,0)),"")</f>
        <v/>
      </c>
      <c r="K586" s="55" t="str">
        <f>IFERROR(IF($G586="","",VLOOKUP('Dashboard And Emails Automate'!$G586,Database!$H:$N,5,0)),"")</f>
        <v/>
      </c>
      <c r="L586" s="55" t="str">
        <f>IFERROR(IF($G586="","",VLOOKUP('Dashboard And Emails Automate'!$G586,Database!$H:$N,6,0)),"")</f>
        <v/>
      </c>
      <c r="M586" s="55" t="str">
        <f>IFERROR(IF($G586="","",VLOOKUP('Dashboard And Emails Automate'!$G586,Database!$H:$N,7,0)),"")</f>
        <v/>
      </c>
      <c r="N586" s="55" t="str">
        <f>IFERROR(IF(OR($B586="",$B586="(blank)"),"",VLOOKUP($B586,'Email Marketing Raw Data'!$C:$O,6,0)),"")</f>
        <v/>
      </c>
      <c r="O586" s="55" t="str">
        <f>IFERROR(IF(OR($B586="",$B586="(blank)"),"",VLOOKUP($B586,'Email Marketing Raw Data'!$C:$O,7,0)),"")</f>
        <v/>
      </c>
      <c r="P586" s="55" t="str">
        <f>IFERROR(IF(OR($B586="",$B586="(blank)"),"",VLOOKUP($B586,'Email Marketing Raw Data'!$C:$O,8,0)),"")</f>
        <v/>
      </c>
      <c r="Q586" s="62" t="str">
        <f>IFERROR(IF(OR($B586="",$B586="(blank)"),"",VLOOKUP($B586,'Email Marketing Raw Data'!$C:$O,9,0)),"")</f>
        <v/>
      </c>
    </row>
    <row r="587" spans="4:17" ht="12.75" customHeight="1" x14ac:dyDescent="0.2">
      <c r="D587" s="58" t="str">
        <f>IFERROR(IF(F587&lt;&gt;"pending","",IF(OR($B587="",$B587="(blank)"),"",VLOOKUP($B587,'Email Marketing Raw Data'!$C:$O,10,0))),"")</f>
        <v/>
      </c>
      <c r="E587" s="59" t="str">
        <f>IFERROR(IF(F587&lt;&gt;"pending","",IF(OR($B587="",$B587="(blank)"),"",VLOOKUP($B587,'Email Marketing Raw Data'!$C:$O,11,0))),"")</f>
        <v/>
      </c>
      <c r="F587" s="54" t="str">
        <f>IFERROR(IF(OR($B587="",$B587="(blank)"),"",VLOOKUP($B587,'Email Marketing Raw Data'!$C:$O,13,0)),"")</f>
        <v/>
      </c>
      <c r="G587" s="55" t="str">
        <f>IFERROR(IF(OR($B587="",$B587="(blank)"),"",VLOOKUP($B587,'Email Marketing Raw Data'!$C:$O,4,0)),"")</f>
        <v/>
      </c>
      <c r="H587" s="55" t="str">
        <f>IFERROR(IF(OR($B587="",$B587="(blank)"),"",VLOOKUP($B587,'Email Marketing Raw Data'!$C:$O,5,0)),"")</f>
        <v/>
      </c>
      <c r="I587" s="55" t="str">
        <f>IFERROR(IF($G587="","",VLOOKUP('Dashboard And Emails Automate'!$G587,Database!$H:$N,3,0)),"")</f>
        <v/>
      </c>
      <c r="J587" s="55" t="str">
        <f>IFERROR(IF($G587="","",VLOOKUP('Dashboard And Emails Automate'!$G587,Database!$H:$N,4,0)),"")</f>
        <v/>
      </c>
      <c r="K587" s="55" t="str">
        <f>IFERROR(IF($G587="","",VLOOKUP('Dashboard And Emails Automate'!$G587,Database!$H:$N,5,0)),"")</f>
        <v/>
      </c>
      <c r="L587" s="55" t="str">
        <f>IFERROR(IF($G587="","",VLOOKUP('Dashboard And Emails Automate'!$G587,Database!$H:$N,6,0)),"")</f>
        <v/>
      </c>
      <c r="M587" s="55" t="str">
        <f>IFERROR(IF($G587="","",VLOOKUP('Dashboard And Emails Automate'!$G587,Database!$H:$N,7,0)),"")</f>
        <v/>
      </c>
      <c r="N587" s="55" t="str">
        <f>IFERROR(IF(OR($B587="",$B587="(blank)"),"",VLOOKUP($B587,'Email Marketing Raw Data'!$C:$O,6,0)),"")</f>
        <v/>
      </c>
      <c r="O587" s="55" t="str">
        <f>IFERROR(IF(OR($B587="",$B587="(blank)"),"",VLOOKUP($B587,'Email Marketing Raw Data'!$C:$O,7,0)),"")</f>
        <v/>
      </c>
      <c r="P587" s="55" t="str">
        <f>IFERROR(IF(OR($B587="",$B587="(blank)"),"",VLOOKUP($B587,'Email Marketing Raw Data'!$C:$O,8,0)),"")</f>
        <v/>
      </c>
      <c r="Q587" s="62" t="str">
        <f>IFERROR(IF(OR($B587="",$B587="(blank)"),"",VLOOKUP($B587,'Email Marketing Raw Data'!$C:$O,9,0)),"")</f>
        <v/>
      </c>
    </row>
    <row r="588" spans="4:17" ht="12.75" customHeight="1" x14ac:dyDescent="0.2">
      <c r="D588" s="58" t="str">
        <f>IFERROR(IF(F588&lt;&gt;"pending","",IF(OR($B588="",$B588="(blank)"),"",VLOOKUP($B588,'Email Marketing Raw Data'!$C:$O,10,0))),"")</f>
        <v/>
      </c>
      <c r="E588" s="59" t="str">
        <f>IFERROR(IF(F588&lt;&gt;"pending","",IF(OR($B588="",$B588="(blank)"),"",VLOOKUP($B588,'Email Marketing Raw Data'!$C:$O,11,0))),"")</f>
        <v/>
      </c>
      <c r="F588" s="54" t="str">
        <f>IFERROR(IF(OR($B588="",$B588="(blank)"),"",VLOOKUP($B588,'Email Marketing Raw Data'!$C:$O,13,0)),"")</f>
        <v/>
      </c>
      <c r="G588" s="55" t="str">
        <f>IFERROR(IF(OR($B588="",$B588="(blank)"),"",VLOOKUP($B588,'Email Marketing Raw Data'!$C:$O,4,0)),"")</f>
        <v/>
      </c>
      <c r="H588" s="55" t="str">
        <f>IFERROR(IF(OR($B588="",$B588="(blank)"),"",VLOOKUP($B588,'Email Marketing Raw Data'!$C:$O,5,0)),"")</f>
        <v/>
      </c>
      <c r="I588" s="55" t="str">
        <f>IFERROR(IF($G588="","",VLOOKUP('Dashboard And Emails Automate'!$G588,Database!$H:$N,3,0)),"")</f>
        <v/>
      </c>
      <c r="J588" s="55" t="str">
        <f>IFERROR(IF($G588="","",VLOOKUP('Dashboard And Emails Automate'!$G588,Database!$H:$N,4,0)),"")</f>
        <v/>
      </c>
      <c r="K588" s="55" t="str">
        <f>IFERROR(IF($G588="","",VLOOKUP('Dashboard And Emails Automate'!$G588,Database!$H:$N,5,0)),"")</f>
        <v/>
      </c>
      <c r="L588" s="55" t="str">
        <f>IFERROR(IF($G588="","",VLOOKUP('Dashboard And Emails Automate'!$G588,Database!$H:$N,6,0)),"")</f>
        <v/>
      </c>
      <c r="M588" s="55" t="str">
        <f>IFERROR(IF($G588="","",VLOOKUP('Dashboard And Emails Automate'!$G588,Database!$H:$N,7,0)),"")</f>
        <v/>
      </c>
      <c r="N588" s="55" t="str">
        <f>IFERROR(IF(OR($B588="",$B588="(blank)"),"",VLOOKUP($B588,'Email Marketing Raw Data'!$C:$O,6,0)),"")</f>
        <v/>
      </c>
      <c r="O588" s="55" t="str">
        <f>IFERROR(IF(OR($B588="",$B588="(blank)"),"",VLOOKUP($B588,'Email Marketing Raw Data'!$C:$O,7,0)),"")</f>
        <v/>
      </c>
      <c r="P588" s="55" t="str">
        <f>IFERROR(IF(OR($B588="",$B588="(blank)"),"",VLOOKUP($B588,'Email Marketing Raw Data'!$C:$O,8,0)),"")</f>
        <v/>
      </c>
      <c r="Q588" s="62" t="str">
        <f>IFERROR(IF(OR($B588="",$B588="(blank)"),"",VLOOKUP($B588,'Email Marketing Raw Data'!$C:$O,9,0)),"")</f>
        <v/>
      </c>
    </row>
    <row r="589" spans="4:17" ht="12.75" customHeight="1" x14ac:dyDescent="0.2">
      <c r="D589" s="58" t="str">
        <f>IFERROR(IF(F589&lt;&gt;"pending","",IF(OR($B589="",$B589="(blank)"),"",VLOOKUP($B589,'Email Marketing Raw Data'!$C:$O,10,0))),"")</f>
        <v/>
      </c>
      <c r="E589" s="59" t="str">
        <f>IFERROR(IF(F589&lt;&gt;"pending","",IF(OR($B589="",$B589="(blank)"),"",VLOOKUP($B589,'Email Marketing Raw Data'!$C:$O,11,0))),"")</f>
        <v/>
      </c>
      <c r="F589" s="54" t="str">
        <f>IFERROR(IF(OR($B589="",$B589="(blank)"),"",VLOOKUP($B589,'Email Marketing Raw Data'!$C:$O,13,0)),"")</f>
        <v/>
      </c>
      <c r="G589" s="55" t="str">
        <f>IFERROR(IF(OR($B589="",$B589="(blank)"),"",VLOOKUP($B589,'Email Marketing Raw Data'!$C:$O,4,0)),"")</f>
        <v/>
      </c>
      <c r="H589" s="55" t="str">
        <f>IFERROR(IF(OR($B589="",$B589="(blank)"),"",VLOOKUP($B589,'Email Marketing Raw Data'!$C:$O,5,0)),"")</f>
        <v/>
      </c>
      <c r="I589" s="55" t="str">
        <f>IFERROR(IF($G589="","",VLOOKUP('Dashboard And Emails Automate'!$G589,Database!$H:$N,3,0)),"")</f>
        <v/>
      </c>
      <c r="J589" s="55" t="str">
        <f>IFERROR(IF($G589="","",VLOOKUP('Dashboard And Emails Automate'!$G589,Database!$H:$N,4,0)),"")</f>
        <v/>
      </c>
      <c r="K589" s="55" t="str">
        <f>IFERROR(IF($G589="","",VLOOKUP('Dashboard And Emails Automate'!$G589,Database!$H:$N,5,0)),"")</f>
        <v/>
      </c>
      <c r="L589" s="55" t="str">
        <f>IFERROR(IF($G589="","",VLOOKUP('Dashboard And Emails Automate'!$G589,Database!$H:$N,6,0)),"")</f>
        <v/>
      </c>
      <c r="M589" s="55" t="str">
        <f>IFERROR(IF($G589="","",VLOOKUP('Dashboard And Emails Automate'!$G589,Database!$H:$N,7,0)),"")</f>
        <v/>
      </c>
      <c r="N589" s="55" t="str">
        <f>IFERROR(IF(OR($B589="",$B589="(blank)"),"",VLOOKUP($B589,'Email Marketing Raw Data'!$C:$O,6,0)),"")</f>
        <v/>
      </c>
      <c r="O589" s="55" t="str">
        <f>IFERROR(IF(OR($B589="",$B589="(blank)"),"",VLOOKUP($B589,'Email Marketing Raw Data'!$C:$O,7,0)),"")</f>
        <v/>
      </c>
      <c r="P589" s="55" t="str">
        <f>IFERROR(IF(OR($B589="",$B589="(blank)"),"",VLOOKUP($B589,'Email Marketing Raw Data'!$C:$O,8,0)),"")</f>
        <v/>
      </c>
      <c r="Q589" s="62" t="str">
        <f>IFERROR(IF(OR($B589="",$B589="(blank)"),"",VLOOKUP($B589,'Email Marketing Raw Data'!$C:$O,9,0)),"")</f>
        <v/>
      </c>
    </row>
    <row r="590" spans="4:17" ht="12.75" customHeight="1" x14ac:dyDescent="0.2">
      <c r="D590" s="58" t="str">
        <f>IFERROR(IF(F590&lt;&gt;"pending","",IF(OR($B590="",$B590="(blank)"),"",VLOOKUP($B590,'Email Marketing Raw Data'!$C:$O,10,0))),"")</f>
        <v/>
      </c>
      <c r="E590" s="59" t="str">
        <f>IFERROR(IF(F590&lt;&gt;"pending","",IF(OR($B590="",$B590="(blank)"),"",VLOOKUP($B590,'Email Marketing Raw Data'!$C:$O,11,0))),"")</f>
        <v/>
      </c>
      <c r="F590" s="54" t="str">
        <f>IFERROR(IF(OR($B590="",$B590="(blank)"),"",VLOOKUP($B590,'Email Marketing Raw Data'!$C:$O,13,0)),"")</f>
        <v/>
      </c>
      <c r="G590" s="55" t="str">
        <f>IFERROR(IF(OR($B590="",$B590="(blank)"),"",VLOOKUP($B590,'Email Marketing Raw Data'!$C:$O,4,0)),"")</f>
        <v/>
      </c>
      <c r="H590" s="55" t="str">
        <f>IFERROR(IF(OR($B590="",$B590="(blank)"),"",VLOOKUP($B590,'Email Marketing Raw Data'!$C:$O,5,0)),"")</f>
        <v/>
      </c>
      <c r="I590" s="55" t="str">
        <f>IFERROR(IF($G590="","",VLOOKUP('Dashboard And Emails Automate'!$G590,Database!$H:$N,3,0)),"")</f>
        <v/>
      </c>
      <c r="J590" s="55" t="str">
        <f>IFERROR(IF($G590="","",VLOOKUP('Dashboard And Emails Automate'!$G590,Database!$H:$N,4,0)),"")</f>
        <v/>
      </c>
      <c r="K590" s="55" t="str">
        <f>IFERROR(IF($G590="","",VLOOKUP('Dashboard And Emails Automate'!$G590,Database!$H:$N,5,0)),"")</f>
        <v/>
      </c>
      <c r="L590" s="55" t="str">
        <f>IFERROR(IF($G590="","",VLOOKUP('Dashboard And Emails Automate'!$G590,Database!$H:$N,6,0)),"")</f>
        <v/>
      </c>
      <c r="M590" s="55" t="str">
        <f>IFERROR(IF($G590="","",VLOOKUP('Dashboard And Emails Automate'!$G590,Database!$H:$N,7,0)),"")</f>
        <v/>
      </c>
      <c r="N590" s="55" t="str">
        <f>IFERROR(IF(OR($B590="",$B590="(blank)"),"",VLOOKUP($B590,'Email Marketing Raw Data'!$C:$O,6,0)),"")</f>
        <v/>
      </c>
      <c r="O590" s="55" t="str">
        <f>IFERROR(IF(OR($B590="",$B590="(blank)"),"",VLOOKUP($B590,'Email Marketing Raw Data'!$C:$O,7,0)),"")</f>
        <v/>
      </c>
      <c r="P590" s="55" t="str">
        <f>IFERROR(IF(OR($B590="",$B590="(blank)"),"",VLOOKUP($B590,'Email Marketing Raw Data'!$C:$O,8,0)),"")</f>
        <v/>
      </c>
      <c r="Q590" s="62" t="str">
        <f>IFERROR(IF(OR($B590="",$B590="(blank)"),"",VLOOKUP($B590,'Email Marketing Raw Data'!$C:$O,9,0)),"")</f>
        <v/>
      </c>
    </row>
    <row r="591" spans="4:17" ht="12.75" customHeight="1" x14ac:dyDescent="0.2">
      <c r="D591" s="58" t="str">
        <f>IFERROR(IF(F591&lt;&gt;"pending","",IF(OR($B591="",$B591="(blank)"),"",VLOOKUP($B591,'Email Marketing Raw Data'!$C:$O,10,0))),"")</f>
        <v/>
      </c>
      <c r="E591" s="59" t="str">
        <f>IFERROR(IF(F591&lt;&gt;"pending","",IF(OR($B591="",$B591="(blank)"),"",VLOOKUP($B591,'Email Marketing Raw Data'!$C:$O,11,0))),"")</f>
        <v/>
      </c>
      <c r="F591" s="54" t="str">
        <f>IFERROR(IF(OR($B591="",$B591="(blank)"),"",VLOOKUP($B591,'Email Marketing Raw Data'!$C:$O,13,0)),"")</f>
        <v/>
      </c>
      <c r="G591" s="55" t="str">
        <f>IFERROR(IF(OR($B591="",$B591="(blank)"),"",VLOOKUP($B591,'Email Marketing Raw Data'!$C:$O,4,0)),"")</f>
        <v/>
      </c>
      <c r="H591" s="55" t="str">
        <f>IFERROR(IF(OR($B591="",$B591="(blank)"),"",VLOOKUP($B591,'Email Marketing Raw Data'!$C:$O,5,0)),"")</f>
        <v/>
      </c>
      <c r="I591" s="55" t="str">
        <f>IFERROR(IF($G591="","",VLOOKUP('Dashboard And Emails Automate'!$G591,Database!$H:$N,3,0)),"")</f>
        <v/>
      </c>
      <c r="J591" s="55" t="str">
        <f>IFERROR(IF($G591="","",VLOOKUP('Dashboard And Emails Automate'!$G591,Database!$H:$N,4,0)),"")</f>
        <v/>
      </c>
      <c r="K591" s="55" t="str">
        <f>IFERROR(IF($G591="","",VLOOKUP('Dashboard And Emails Automate'!$G591,Database!$H:$N,5,0)),"")</f>
        <v/>
      </c>
      <c r="L591" s="55" t="str">
        <f>IFERROR(IF($G591="","",VLOOKUP('Dashboard And Emails Automate'!$G591,Database!$H:$N,6,0)),"")</f>
        <v/>
      </c>
      <c r="M591" s="55" t="str">
        <f>IFERROR(IF($G591="","",VLOOKUP('Dashboard And Emails Automate'!$G591,Database!$H:$N,7,0)),"")</f>
        <v/>
      </c>
      <c r="N591" s="55" t="str">
        <f>IFERROR(IF(OR($B591="",$B591="(blank)"),"",VLOOKUP($B591,'Email Marketing Raw Data'!$C:$O,6,0)),"")</f>
        <v/>
      </c>
      <c r="O591" s="55" t="str">
        <f>IFERROR(IF(OR($B591="",$B591="(blank)"),"",VLOOKUP($B591,'Email Marketing Raw Data'!$C:$O,7,0)),"")</f>
        <v/>
      </c>
      <c r="P591" s="55" t="str">
        <f>IFERROR(IF(OR($B591="",$B591="(blank)"),"",VLOOKUP($B591,'Email Marketing Raw Data'!$C:$O,8,0)),"")</f>
        <v/>
      </c>
      <c r="Q591" s="62" t="str">
        <f>IFERROR(IF(OR($B591="",$B591="(blank)"),"",VLOOKUP($B591,'Email Marketing Raw Data'!$C:$O,9,0)),"")</f>
        <v/>
      </c>
    </row>
    <row r="592" spans="4:17" ht="12.75" customHeight="1" x14ac:dyDescent="0.2">
      <c r="D592" s="58" t="str">
        <f>IFERROR(IF(F592&lt;&gt;"pending","",IF(OR($B592="",$B592="(blank)"),"",VLOOKUP($B592,'Email Marketing Raw Data'!$C:$O,10,0))),"")</f>
        <v/>
      </c>
      <c r="E592" s="59" t="str">
        <f>IFERROR(IF(F592&lt;&gt;"pending","",IF(OR($B592="",$B592="(blank)"),"",VLOOKUP($B592,'Email Marketing Raw Data'!$C:$O,11,0))),"")</f>
        <v/>
      </c>
      <c r="F592" s="54" t="str">
        <f>IFERROR(IF(OR($B592="",$B592="(blank)"),"",VLOOKUP($B592,'Email Marketing Raw Data'!$C:$O,13,0)),"")</f>
        <v/>
      </c>
      <c r="G592" s="55" t="str">
        <f>IFERROR(IF(OR($B592="",$B592="(blank)"),"",VLOOKUP($B592,'Email Marketing Raw Data'!$C:$O,4,0)),"")</f>
        <v/>
      </c>
      <c r="H592" s="55" t="str">
        <f>IFERROR(IF(OR($B592="",$B592="(blank)"),"",VLOOKUP($B592,'Email Marketing Raw Data'!$C:$O,5,0)),"")</f>
        <v/>
      </c>
      <c r="I592" s="55" t="str">
        <f>IFERROR(IF($G592="","",VLOOKUP('Dashboard And Emails Automate'!$G592,Database!$H:$N,3,0)),"")</f>
        <v/>
      </c>
      <c r="J592" s="55" t="str">
        <f>IFERROR(IF($G592="","",VLOOKUP('Dashboard And Emails Automate'!$G592,Database!$H:$N,4,0)),"")</f>
        <v/>
      </c>
      <c r="K592" s="55" t="str">
        <f>IFERROR(IF($G592="","",VLOOKUP('Dashboard And Emails Automate'!$G592,Database!$H:$N,5,0)),"")</f>
        <v/>
      </c>
      <c r="L592" s="55" t="str">
        <f>IFERROR(IF($G592="","",VLOOKUP('Dashboard And Emails Automate'!$G592,Database!$H:$N,6,0)),"")</f>
        <v/>
      </c>
      <c r="M592" s="55" t="str">
        <f>IFERROR(IF($G592="","",VLOOKUP('Dashboard And Emails Automate'!$G592,Database!$H:$N,7,0)),"")</f>
        <v/>
      </c>
      <c r="N592" s="55" t="str">
        <f>IFERROR(IF(OR($B592="",$B592="(blank)"),"",VLOOKUP($B592,'Email Marketing Raw Data'!$C:$O,6,0)),"")</f>
        <v/>
      </c>
      <c r="O592" s="55" t="str">
        <f>IFERROR(IF(OR($B592="",$B592="(blank)"),"",VLOOKUP($B592,'Email Marketing Raw Data'!$C:$O,7,0)),"")</f>
        <v/>
      </c>
      <c r="P592" s="55" t="str">
        <f>IFERROR(IF(OR($B592="",$B592="(blank)"),"",VLOOKUP($B592,'Email Marketing Raw Data'!$C:$O,8,0)),"")</f>
        <v/>
      </c>
      <c r="Q592" s="62" t="str">
        <f>IFERROR(IF(OR($B592="",$B592="(blank)"),"",VLOOKUP($B592,'Email Marketing Raw Data'!$C:$O,9,0)),"")</f>
        <v/>
      </c>
    </row>
    <row r="593" spans="4:17" ht="12.75" customHeight="1" x14ac:dyDescent="0.2">
      <c r="D593" s="58" t="str">
        <f>IFERROR(IF(F593&lt;&gt;"pending","",IF(OR($B593="",$B593="(blank)"),"",VLOOKUP($B593,'Email Marketing Raw Data'!$C:$O,10,0))),"")</f>
        <v/>
      </c>
      <c r="E593" s="59" t="str">
        <f>IFERROR(IF(F593&lt;&gt;"pending","",IF(OR($B593="",$B593="(blank)"),"",VLOOKUP($B593,'Email Marketing Raw Data'!$C:$O,11,0))),"")</f>
        <v/>
      </c>
      <c r="F593" s="54" t="str">
        <f>IFERROR(IF(OR($B593="",$B593="(blank)"),"",VLOOKUP($B593,'Email Marketing Raw Data'!$C:$O,13,0)),"")</f>
        <v/>
      </c>
      <c r="G593" s="55" t="str">
        <f>IFERROR(IF(OR($B593="",$B593="(blank)"),"",VLOOKUP($B593,'Email Marketing Raw Data'!$C:$O,4,0)),"")</f>
        <v/>
      </c>
      <c r="H593" s="55" t="str">
        <f>IFERROR(IF(OR($B593="",$B593="(blank)"),"",VLOOKUP($B593,'Email Marketing Raw Data'!$C:$O,5,0)),"")</f>
        <v/>
      </c>
      <c r="I593" s="55" t="str">
        <f>IFERROR(IF($G593="","",VLOOKUP('Dashboard And Emails Automate'!$G593,Database!$H:$N,3,0)),"")</f>
        <v/>
      </c>
      <c r="J593" s="55" t="str">
        <f>IFERROR(IF($G593="","",VLOOKUP('Dashboard And Emails Automate'!$G593,Database!$H:$N,4,0)),"")</f>
        <v/>
      </c>
      <c r="K593" s="55" t="str">
        <f>IFERROR(IF($G593="","",VLOOKUP('Dashboard And Emails Automate'!$G593,Database!$H:$N,5,0)),"")</f>
        <v/>
      </c>
      <c r="L593" s="55" t="str">
        <f>IFERROR(IF($G593="","",VLOOKUP('Dashboard And Emails Automate'!$G593,Database!$H:$N,6,0)),"")</f>
        <v/>
      </c>
      <c r="M593" s="55" t="str">
        <f>IFERROR(IF($G593="","",VLOOKUP('Dashboard And Emails Automate'!$G593,Database!$H:$N,7,0)),"")</f>
        <v/>
      </c>
      <c r="N593" s="55" t="str">
        <f>IFERROR(IF(OR($B593="",$B593="(blank)"),"",VLOOKUP($B593,'Email Marketing Raw Data'!$C:$O,6,0)),"")</f>
        <v/>
      </c>
      <c r="O593" s="55" t="str">
        <f>IFERROR(IF(OR($B593="",$B593="(blank)"),"",VLOOKUP($B593,'Email Marketing Raw Data'!$C:$O,7,0)),"")</f>
        <v/>
      </c>
      <c r="P593" s="55" t="str">
        <f>IFERROR(IF(OR($B593="",$B593="(blank)"),"",VLOOKUP($B593,'Email Marketing Raw Data'!$C:$O,8,0)),"")</f>
        <v/>
      </c>
      <c r="Q593" s="62" t="str">
        <f>IFERROR(IF(OR($B593="",$B593="(blank)"),"",VLOOKUP($B593,'Email Marketing Raw Data'!$C:$O,9,0)),"")</f>
        <v/>
      </c>
    </row>
    <row r="594" spans="4:17" ht="12.75" customHeight="1" x14ac:dyDescent="0.2">
      <c r="D594" s="58" t="str">
        <f>IFERROR(IF(F594&lt;&gt;"pending","",IF(OR($B594="",$B594="(blank)"),"",VLOOKUP($B594,'Email Marketing Raw Data'!$C:$O,10,0))),"")</f>
        <v/>
      </c>
      <c r="E594" s="59" t="str">
        <f>IFERROR(IF(F594&lt;&gt;"pending","",IF(OR($B594="",$B594="(blank)"),"",VLOOKUP($B594,'Email Marketing Raw Data'!$C:$O,11,0))),"")</f>
        <v/>
      </c>
      <c r="F594" s="54" t="str">
        <f>IFERROR(IF(OR($B594="",$B594="(blank)"),"",VLOOKUP($B594,'Email Marketing Raw Data'!$C:$O,13,0)),"")</f>
        <v/>
      </c>
      <c r="G594" s="55" t="str">
        <f>IFERROR(IF(OR($B594="",$B594="(blank)"),"",VLOOKUP($B594,'Email Marketing Raw Data'!$C:$O,4,0)),"")</f>
        <v/>
      </c>
      <c r="H594" s="55" t="str">
        <f>IFERROR(IF(OR($B594="",$B594="(blank)"),"",VLOOKUP($B594,'Email Marketing Raw Data'!$C:$O,5,0)),"")</f>
        <v/>
      </c>
      <c r="I594" s="55" t="str">
        <f>IFERROR(IF($G594="","",VLOOKUP('Dashboard And Emails Automate'!$G594,Database!$H:$N,3,0)),"")</f>
        <v/>
      </c>
      <c r="J594" s="55" t="str">
        <f>IFERROR(IF($G594="","",VLOOKUP('Dashboard And Emails Automate'!$G594,Database!$H:$N,4,0)),"")</f>
        <v/>
      </c>
      <c r="K594" s="55" t="str">
        <f>IFERROR(IF($G594="","",VLOOKUP('Dashboard And Emails Automate'!$G594,Database!$H:$N,5,0)),"")</f>
        <v/>
      </c>
      <c r="L594" s="55" t="str">
        <f>IFERROR(IF($G594="","",VLOOKUP('Dashboard And Emails Automate'!$G594,Database!$H:$N,6,0)),"")</f>
        <v/>
      </c>
      <c r="M594" s="55" t="str">
        <f>IFERROR(IF($G594="","",VLOOKUP('Dashboard And Emails Automate'!$G594,Database!$H:$N,7,0)),"")</f>
        <v/>
      </c>
      <c r="N594" s="55" t="str">
        <f>IFERROR(IF(OR($B594="",$B594="(blank)"),"",VLOOKUP($B594,'Email Marketing Raw Data'!$C:$O,6,0)),"")</f>
        <v/>
      </c>
      <c r="O594" s="55" t="str">
        <f>IFERROR(IF(OR($B594="",$B594="(blank)"),"",VLOOKUP($B594,'Email Marketing Raw Data'!$C:$O,7,0)),"")</f>
        <v/>
      </c>
      <c r="P594" s="55" t="str">
        <f>IFERROR(IF(OR($B594="",$B594="(blank)"),"",VLOOKUP($B594,'Email Marketing Raw Data'!$C:$O,8,0)),"")</f>
        <v/>
      </c>
      <c r="Q594" s="62" t="str">
        <f>IFERROR(IF(OR($B594="",$B594="(blank)"),"",VLOOKUP($B594,'Email Marketing Raw Data'!$C:$O,9,0)),"")</f>
        <v/>
      </c>
    </row>
    <row r="595" spans="4:17" ht="12.75" customHeight="1" x14ac:dyDescent="0.2">
      <c r="D595" s="58" t="str">
        <f>IFERROR(IF(F595&lt;&gt;"pending","",IF(OR($B595="",$B595="(blank)"),"",VLOOKUP($B595,'Email Marketing Raw Data'!$C:$O,10,0))),"")</f>
        <v/>
      </c>
      <c r="E595" s="59" t="str">
        <f>IFERROR(IF(F595&lt;&gt;"pending","",IF(OR($B595="",$B595="(blank)"),"",VLOOKUP($B595,'Email Marketing Raw Data'!$C:$O,11,0))),"")</f>
        <v/>
      </c>
      <c r="F595" s="54" t="str">
        <f>IFERROR(IF(OR($B595="",$B595="(blank)"),"",VLOOKUP($B595,'Email Marketing Raw Data'!$C:$O,13,0)),"")</f>
        <v/>
      </c>
      <c r="G595" s="55" t="str">
        <f>IFERROR(IF(OR($B595="",$B595="(blank)"),"",VLOOKUP($B595,'Email Marketing Raw Data'!$C:$O,4,0)),"")</f>
        <v/>
      </c>
      <c r="H595" s="55" t="str">
        <f>IFERROR(IF(OR($B595="",$B595="(blank)"),"",VLOOKUP($B595,'Email Marketing Raw Data'!$C:$O,5,0)),"")</f>
        <v/>
      </c>
      <c r="I595" s="55" t="str">
        <f>IFERROR(IF($G595="","",VLOOKUP('Dashboard And Emails Automate'!$G595,Database!$H:$N,3,0)),"")</f>
        <v/>
      </c>
      <c r="J595" s="55" t="str">
        <f>IFERROR(IF($G595="","",VLOOKUP('Dashboard And Emails Automate'!$G595,Database!$H:$N,4,0)),"")</f>
        <v/>
      </c>
      <c r="K595" s="55" t="str">
        <f>IFERROR(IF($G595="","",VLOOKUP('Dashboard And Emails Automate'!$G595,Database!$H:$N,5,0)),"")</f>
        <v/>
      </c>
      <c r="L595" s="55" t="str">
        <f>IFERROR(IF($G595="","",VLOOKUP('Dashboard And Emails Automate'!$G595,Database!$H:$N,6,0)),"")</f>
        <v/>
      </c>
      <c r="M595" s="55" t="str">
        <f>IFERROR(IF($G595="","",VLOOKUP('Dashboard And Emails Automate'!$G595,Database!$H:$N,7,0)),"")</f>
        <v/>
      </c>
      <c r="N595" s="55" t="str">
        <f>IFERROR(IF(OR($B595="",$B595="(blank)"),"",VLOOKUP($B595,'Email Marketing Raw Data'!$C:$O,6,0)),"")</f>
        <v/>
      </c>
      <c r="O595" s="55" t="str">
        <f>IFERROR(IF(OR($B595="",$B595="(blank)"),"",VLOOKUP($B595,'Email Marketing Raw Data'!$C:$O,7,0)),"")</f>
        <v/>
      </c>
      <c r="P595" s="55" t="str">
        <f>IFERROR(IF(OR($B595="",$B595="(blank)"),"",VLOOKUP($B595,'Email Marketing Raw Data'!$C:$O,8,0)),"")</f>
        <v/>
      </c>
      <c r="Q595" s="62" t="str">
        <f>IFERROR(IF(OR($B595="",$B595="(blank)"),"",VLOOKUP($B595,'Email Marketing Raw Data'!$C:$O,9,0)),"")</f>
        <v/>
      </c>
    </row>
    <row r="596" spans="4:17" ht="12.75" customHeight="1" x14ac:dyDescent="0.2">
      <c r="D596" s="58" t="str">
        <f>IFERROR(IF(F596&lt;&gt;"pending","",IF(OR($B596="",$B596="(blank)"),"",VLOOKUP($B596,'Email Marketing Raw Data'!$C:$O,10,0))),"")</f>
        <v/>
      </c>
      <c r="E596" s="59" t="str">
        <f>IFERROR(IF(F596&lt;&gt;"pending","",IF(OR($B596="",$B596="(blank)"),"",VLOOKUP($B596,'Email Marketing Raw Data'!$C:$O,11,0))),"")</f>
        <v/>
      </c>
      <c r="F596" s="54" t="str">
        <f>IFERROR(IF(OR($B596="",$B596="(blank)"),"",VLOOKUP($B596,'Email Marketing Raw Data'!$C:$O,13,0)),"")</f>
        <v/>
      </c>
      <c r="G596" s="55" t="str">
        <f>IFERROR(IF(OR($B596="",$B596="(blank)"),"",VLOOKUP($B596,'Email Marketing Raw Data'!$C:$O,4,0)),"")</f>
        <v/>
      </c>
      <c r="H596" s="55" t="str">
        <f>IFERROR(IF(OR($B596="",$B596="(blank)"),"",VLOOKUP($B596,'Email Marketing Raw Data'!$C:$O,5,0)),"")</f>
        <v/>
      </c>
      <c r="I596" s="55" t="str">
        <f>IFERROR(IF($G596="","",VLOOKUP('Dashboard And Emails Automate'!$G596,Database!$H:$N,3,0)),"")</f>
        <v/>
      </c>
      <c r="J596" s="55" t="str">
        <f>IFERROR(IF($G596="","",VLOOKUP('Dashboard And Emails Automate'!$G596,Database!$H:$N,4,0)),"")</f>
        <v/>
      </c>
      <c r="K596" s="55" t="str">
        <f>IFERROR(IF($G596="","",VLOOKUP('Dashboard And Emails Automate'!$G596,Database!$H:$N,5,0)),"")</f>
        <v/>
      </c>
      <c r="L596" s="55" t="str">
        <f>IFERROR(IF($G596="","",VLOOKUP('Dashboard And Emails Automate'!$G596,Database!$H:$N,6,0)),"")</f>
        <v/>
      </c>
      <c r="M596" s="55" t="str">
        <f>IFERROR(IF($G596="","",VLOOKUP('Dashboard And Emails Automate'!$G596,Database!$H:$N,7,0)),"")</f>
        <v/>
      </c>
      <c r="N596" s="55" t="str">
        <f>IFERROR(IF(OR($B596="",$B596="(blank)"),"",VLOOKUP($B596,'Email Marketing Raw Data'!$C:$O,6,0)),"")</f>
        <v/>
      </c>
      <c r="O596" s="55" t="str">
        <f>IFERROR(IF(OR($B596="",$B596="(blank)"),"",VLOOKUP($B596,'Email Marketing Raw Data'!$C:$O,7,0)),"")</f>
        <v/>
      </c>
      <c r="P596" s="55" t="str">
        <f>IFERROR(IF(OR($B596="",$B596="(blank)"),"",VLOOKUP($B596,'Email Marketing Raw Data'!$C:$O,8,0)),"")</f>
        <v/>
      </c>
      <c r="Q596" s="62" t="str">
        <f>IFERROR(IF(OR($B596="",$B596="(blank)"),"",VLOOKUP($B596,'Email Marketing Raw Data'!$C:$O,9,0)),"")</f>
        <v/>
      </c>
    </row>
    <row r="597" spans="4:17" ht="12.75" customHeight="1" x14ac:dyDescent="0.2">
      <c r="D597" s="58" t="str">
        <f>IFERROR(IF(F597&lt;&gt;"pending","",IF(OR($B597="",$B597="(blank)"),"",VLOOKUP($B597,'Email Marketing Raw Data'!$C:$O,10,0))),"")</f>
        <v/>
      </c>
      <c r="E597" s="59" t="str">
        <f>IFERROR(IF(F597&lt;&gt;"pending","",IF(OR($B597="",$B597="(blank)"),"",VLOOKUP($B597,'Email Marketing Raw Data'!$C:$O,11,0))),"")</f>
        <v/>
      </c>
      <c r="F597" s="54" t="str">
        <f>IFERROR(IF(OR($B597="",$B597="(blank)"),"",VLOOKUP($B597,'Email Marketing Raw Data'!$C:$O,13,0)),"")</f>
        <v/>
      </c>
      <c r="G597" s="55" t="str">
        <f>IFERROR(IF(OR($B597="",$B597="(blank)"),"",VLOOKUP($B597,'Email Marketing Raw Data'!$C:$O,4,0)),"")</f>
        <v/>
      </c>
      <c r="H597" s="55" t="str">
        <f>IFERROR(IF(OR($B597="",$B597="(blank)"),"",VLOOKUP($B597,'Email Marketing Raw Data'!$C:$O,5,0)),"")</f>
        <v/>
      </c>
      <c r="I597" s="55" t="str">
        <f>IFERROR(IF($G597="","",VLOOKUP('Dashboard And Emails Automate'!$G597,Database!$H:$N,3,0)),"")</f>
        <v/>
      </c>
      <c r="J597" s="55" t="str">
        <f>IFERROR(IF($G597="","",VLOOKUP('Dashboard And Emails Automate'!$G597,Database!$H:$N,4,0)),"")</f>
        <v/>
      </c>
      <c r="K597" s="55" t="str">
        <f>IFERROR(IF($G597="","",VLOOKUP('Dashboard And Emails Automate'!$G597,Database!$H:$N,5,0)),"")</f>
        <v/>
      </c>
      <c r="L597" s="55" t="str">
        <f>IFERROR(IF($G597="","",VLOOKUP('Dashboard And Emails Automate'!$G597,Database!$H:$N,6,0)),"")</f>
        <v/>
      </c>
      <c r="M597" s="55" t="str">
        <f>IFERROR(IF($G597="","",VLOOKUP('Dashboard And Emails Automate'!$G597,Database!$H:$N,7,0)),"")</f>
        <v/>
      </c>
      <c r="N597" s="55" t="str">
        <f>IFERROR(IF(OR($B597="",$B597="(blank)"),"",VLOOKUP($B597,'Email Marketing Raw Data'!$C:$O,6,0)),"")</f>
        <v/>
      </c>
      <c r="O597" s="55" t="str">
        <f>IFERROR(IF(OR($B597="",$B597="(blank)"),"",VLOOKUP($B597,'Email Marketing Raw Data'!$C:$O,7,0)),"")</f>
        <v/>
      </c>
      <c r="P597" s="55" t="str">
        <f>IFERROR(IF(OR($B597="",$B597="(blank)"),"",VLOOKUP($B597,'Email Marketing Raw Data'!$C:$O,8,0)),"")</f>
        <v/>
      </c>
      <c r="Q597" s="62" t="str">
        <f>IFERROR(IF(OR($B597="",$B597="(blank)"),"",VLOOKUP($B597,'Email Marketing Raw Data'!$C:$O,9,0)),"")</f>
        <v/>
      </c>
    </row>
    <row r="598" spans="4:17" ht="12.75" customHeight="1" x14ac:dyDescent="0.2">
      <c r="D598" s="58" t="str">
        <f>IFERROR(IF(F598&lt;&gt;"pending","",IF(OR($B598="",$B598="(blank)"),"",VLOOKUP($B598,'Email Marketing Raw Data'!$C:$O,10,0))),"")</f>
        <v/>
      </c>
      <c r="E598" s="59" t="str">
        <f>IFERROR(IF(F598&lt;&gt;"pending","",IF(OR($B598="",$B598="(blank)"),"",VLOOKUP($B598,'Email Marketing Raw Data'!$C:$O,11,0))),"")</f>
        <v/>
      </c>
      <c r="F598" s="54" t="str">
        <f>IFERROR(IF(OR($B598="",$B598="(blank)"),"",VLOOKUP($B598,'Email Marketing Raw Data'!$C:$O,13,0)),"")</f>
        <v/>
      </c>
      <c r="G598" s="55" t="str">
        <f>IFERROR(IF(OR($B598="",$B598="(blank)"),"",VLOOKUP($B598,'Email Marketing Raw Data'!$C:$O,4,0)),"")</f>
        <v/>
      </c>
      <c r="H598" s="55" t="str">
        <f>IFERROR(IF(OR($B598="",$B598="(blank)"),"",VLOOKUP($B598,'Email Marketing Raw Data'!$C:$O,5,0)),"")</f>
        <v/>
      </c>
      <c r="I598" s="55" t="str">
        <f>IFERROR(IF($G598="","",VLOOKUP('Dashboard And Emails Automate'!$G598,Database!$H:$N,3,0)),"")</f>
        <v/>
      </c>
      <c r="J598" s="55" t="str">
        <f>IFERROR(IF($G598="","",VLOOKUP('Dashboard And Emails Automate'!$G598,Database!$H:$N,4,0)),"")</f>
        <v/>
      </c>
      <c r="K598" s="55" t="str">
        <f>IFERROR(IF($G598="","",VLOOKUP('Dashboard And Emails Automate'!$G598,Database!$H:$N,5,0)),"")</f>
        <v/>
      </c>
      <c r="L598" s="55" t="str">
        <f>IFERROR(IF($G598="","",VLOOKUP('Dashboard And Emails Automate'!$G598,Database!$H:$N,6,0)),"")</f>
        <v/>
      </c>
      <c r="M598" s="55" t="str">
        <f>IFERROR(IF($G598="","",VLOOKUP('Dashboard And Emails Automate'!$G598,Database!$H:$N,7,0)),"")</f>
        <v/>
      </c>
      <c r="N598" s="55" t="str">
        <f>IFERROR(IF(OR($B598="",$B598="(blank)"),"",VLOOKUP($B598,'Email Marketing Raw Data'!$C:$O,6,0)),"")</f>
        <v/>
      </c>
      <c r="O598" s="55" t="str">
        <f>IFERROR(IF(OR($B598="",$B598="(blank)"),"",VLOOKUP($B598,'Email Marketing Raw Data'!$C:$O,7,0)),"")</f>
        <v/>
      </c>
      <c r="P598" s="55" t="str">
        <f>IFERROR(IF(OR($B598="",$B598="(blank)"),"",VLOOKUP($B598,'Email Marketing Raw Data'!$C:$O,8,0)),"")</f>
        <v/>
      </c>
      <c r="Q598" s="62" t="str">
        <f>IFERROR(IF(OR($B598="",$B598="(blank)"),"",VLOOKUP($B598,'Email Marketing Raw Data'!$C:$O,9,0)),"")</f>
        <v/>
      </c>
    </row>
    <row r="599" spans="4:17" ht="12.75" customHeight="1" x14ac:dyDescent="0.2">
      <c r="D599" s="58" t="str">
        <f>IFERROR(IF(F599&lt;&gt;"pending","",IF(OR($B599="",$B599="(blank)"),"",VLOOKUP($B599,'Email Marketing Raw Data'!$C:$O,10,0))),"")</f>
        <v/>
      </c>
      <c r="E599" s="59" t="str">
        <f>IFERROR(IF(F599&lt;&gt;"pending","",IF(OR($B599="",$B599="(blank)"),"",VLOOKUP($B599,'Email Marketing Raw Data'!$C:$O,11,0))),"")</f>
        <v/>
      </c>
      <c r="F599" s="54" t="str">
        <f>IFERROR(IF(OR($B599="",$B599="(blank)"),"",VLOOKUP($B599,'Email Marketing Raw Data'!$C:$O,13,0)),"")</f>
        <v/>
      </c>
      <c r="G599" s="55" t="str">
        <f>IFERROR(IF(OR($B599="",$B599="(blank)"),"",VLOOKUP($B599,'Email Marketing Raw Data'!$C:$O,4,0)),"")</f>
        <v/>
      </c>
      <c r="H599" s="55" t="str">
        <f>IFERROR(IF(OR($B599="",$B599="(blank)"),"",VLOOKUP($B599,'Email Marketing Raw Data'!$C:$O,5,0)),"")</f>
        <v/>
      </c>
      <c r="I599" s="55" t="str">
        <f>IFERROR(IF($G599="","",VLOOKUP('Dashboard And Emails Automate'!$G599,Database!$H:$N,3,0)),"")</f>
        <v/>
      </c>
      <c r="J599" s="55" t="str">
        <f>IFERROR(IF($G599="","",VLOOKUP('Dashboard And Emails Automate'!$G599,Database!$H:$N,4,0)),"")</f>
        <v/>
      </c>
      <c r="K599" s="55" t="str">
        <f>IFERROR(IF($G599="","",VLOOKUP('Dashboard And Emails Automate'!$G599,Database!$H:$N,5,0)),"")</f>
        <v/>
      </c>
      <c r="L599" s="55" t="str">
        <f>IFERROR(IF($G599="","",VLOOKUP('Dashboard And Emails Automate'!$G599,Database!$H:$N,6,0)),"")</f>
        <v/>
      </c>
      <c r="M599" s="55" t="str">
        <f>IFERROR(IF($G599="","",VLOOKUP('Dashboard And Emails Automate'!$G599,Database!$H:$N,7,0)),"")</f>
        <v/>
      </c>
      <c r="N599" s="55" t="str">
        <f>IFERROR(IF(OR($B599="",$B599="(blank)"),"",VLOOKUP($B599,'Email Marketing Raw Data'!$C:$O,6,0)),"")</f>
        <v/>
      </c>
      <c r="O599" s="55" t="str">
        <f>IFERROR(IF(OR($B599="",$B599="(blank)"),"",VLOOKUP($B599,'Email Marketing Raw Data'!$C:$O,7,0)),"")</f>
        <v/>
      </c>
      <c r="P599" s="55" t="str">
        <f>IFERROR(IF(OR($B599="",$B599="(blank)"),"",VLOOKUP($B599,'Email Marketing Raw Data'!$C:$O,8,0)),"")</f>
        <v/>
      </c>
      <c r="Q599" s="62" t="str">
        <f>IFERROR(IF(OR($B599="",$B599="(blank)"),"",VLOOKUP($B599,'Email Marketing Raw Data'!$C:$O,9,0)),"")</f>
        <v/>
      </c>
    </row>
    <row r="600" spans="4:17" ht="12.75" customHeight="1" x14ac:dyDescent="0.2">
      <c r="D600" s="58" t="str">
        <f>IFERROR(IF(F600&lt;&gt;"pending","",IF(OR($B600="",$B600="(blank)"),"",VLOOKUP($B600,'Email Marketing Raw Data'!$C:$O,10,0))),"")</f>
        <v/>
      </c>
      <c r="E600" s="59" t="str">
        <f>IFERROR(IF(F600&lt;&gt;"pending","",IF(OR($B600="",$B600="(blank)"),"",VLOOKUP($B600,'Email Marketing Raw Data'!$C:$O,11,0))),"")</f>
        <v/>
      </c>
      <c r="F600" s="54" t="str">
        <f>IFERROR(IF(OR($B600="",$B600="(blank)"),"",VLOOKUP($B600,'Email Marketing Raw Data'!$C:$O,13,0)),"")</f>
        <v/>
      </c>
      <c r="G600" s="55" t="str">
        <f>IFERROR(IF(OR($B600="",$B600="(blank)"),"",VLOOKUP($B600,'Email Marketing Raw Data'!$C:$O,4,0)),"")</f>
        <v/>
      </c>
      <c r="H600" s="55" t="str">
        <f>IFERROR(IF(OR($B600="",$B600="(blank)"),"",VLOOKUP($B600,'Email Marketing Raw Data'!$C:$O,5,0)),"")</f>
        <v/>
      </c>
      <c r="I600" s="55" t="str">
        <f>IFERROR(IF($G600="","",VLOOKUP('Dashboard And Emails Automate'!$G600,Database!$H:$N,3,0)),"")</f>
        <v/>
      </c>
      <c r="J600" s="55" t="str">
        <f>IFERROR(IF($G600="","",VLOOKUP('Dashboard And Emails Automate'!$G600,Database!$H:$N,4,0)),"")</f>
        <v/>
      </c>
      <c r="K600" s="55" t="str">
        <f>IFERROR(IF($G600="","",VLOOKUP('Dashboard And Emails Automate'!$G600,Database!$H:$N,5,0)),"")</f>
        <v/>
      </c>
      <c r="L600" s="55" t="str">
        <f>IFERROR(IF($G600="","",VLOOKUP('Dashboard And Emails Automate'!$G600,Database!$H:$N,6,0)),"")</f>
        <v/>
      </c>
      <c r="M600" s="55" t="str">
        <f>IFERROR(IF($G600="","",VLOOKUP('Dashboard And Emails Automate'!$G600,Database!$H:$N,7,0)),"")</f>
        <v/>
      </c>
      <c r="N600" s="55" t="str">
        <f>IFERROR(IF(OR($B600="",$B600="(blank)"),"",VLOOKUP($B600,'Email Marketing Raw Data'!$C:$O,6,0)),"")</f>
        <v/>
      </c>
      <c r="O600" s="55" t="str">
        <f>IFERROR(IF(OR($B600="",$B600="(blank)"),"",VLOOKUP($B600,'Email Marketing Raw Data'!$C:$O,7,0)),"")</f>
        <v/>
      </c>
      <c r="P600" s="55" t="str">
        <f>IFERROR(IF(OR($B600="",$B600="(blank)"),"",VLOOKUP($B600,'Email Marketing Raw Data'!$C:$O,8,0)),"")</f>
        <v/>
      </c>
      <c r="Q600" s="62" t="str">
        <f>IFERROR(IF(OR($B600="",$B600="(blank)"),"",VLOOKUP($B600,'Email Marketing Raw Data'!$C:$O,9,0)),"")</f>
        <v/>
      </c>
    </row>
    <row r="601" spans="4:17" ht="12.75" customHeight="1" x14ac:dyDescent="0.2">
      <c r="D601" s="58" t="str">
        <f>IFERROR(IF(F601&lt;&gt;"pending","",IF(OR($B601="",$B601="(blank)"),"",VLOOKUP($B601,'Email Marketing Raw Data'!$C:$O,10,0))),"")</f>
        <v/>
      </c>
      <c r="E601" s="59" t="str">
        <f>IFERROR(IF(F601&lt;&gt;"pending","",IF(OR($B601="",$B601="(blank)"),"",VLOOKUP($B601,'Email Marketing Raw Data'!$C:$O,11,0))),"")</f>
        <v/>
      </c>
      <c r="F601" s="54" t="str">
        <f>IFERROR(IF(OR($B601="",$B601="(blank)"),"",VLOOKUP($B601,'Email Marketing Raw Data'!$C:$O,13,0)),"")</f>
        <v/>
      </c>
      <c r="G601" s="55" t="str">
        <f>IFERROR(IF(OR($B601="",$B601="(blank)"),"",VLOOKUP($B601,'Email Marketing Raw Data'!$C:$O,4,0)),"")</f>
        <v/>
      </c>
      <c r="H601" s="55" t="str">
        <f>IFERROR(IF(OR($B601="",$B601="(blank)"),"",VLOOKUP($B601,'Email Marketing Raw Data'!$C:$O,5,0)),"")</f>
        <v/>
      </c>
      <c r="I601" s="55" t="str">
        <f>IFERROR(IF($G601="","",VLOOKUP('Dashboard And Emails Automate'!$G601,Database!$H:$N,3,0)),"")</f>
        <v/>
      </c>
      <c r="J601" s="55" t="str">
        <f>IFERROR(IF($G601="","",VLOOKUP('Dashboard And Emails Automate'!$G601,Database!$H:$N,4,0)),"")</f>
        <v/>
      </c>
      <c r="K601" s="55" t="str">
        <f>IFERROR(IF($G601="","",VLOOKUP('Dashboard And Emails Automate'!$G601,Database!$H:$N,5,0)),"")</f>
        <v/>
      </c>
      <c r="L601" s="55" t="str">
        <f>IFERROR(IF($G601="","",VLOOKUP('Dashboard And Emails Automate'!$G601,Database!$H:$N,6,0)),"")</f>
        <v/>
      </c>
      <c r="M601" s="55" t="str">
        <f>IFERROR(IF($G601="","",VLOOKUP('Dashboard And Emails Automate'!$G601,Database!$H:$N,7,0)),"")</f>
        <v/>
      </c>
      <c r="N601" s="55" t="str">
        <f>IFERROR(IF(OR($B601="",$B601="(blank)"),"",VLOOKUP($B601,'Email Marketing Raw Data'!$C:$O,6,0)),"")</f>
        <v/>
      </c>
      <c r="O601" s="55" t="str">
        <f>IFERROR(IF(OR($B601="",$B601="(blank)"),"",VLOOKUP($B601,'Email Marketing Raw Data'!$C:$O,7,0)),"")</f>
        <v/>
      </c>
      <c r="P601" s="55" t="str">
        <f>IFERROR(IF(OR($B601="",$B601="(blank)"),"",VLOOKUP($B601,'Email Marketing Raw Data'!$C:$O,8,0)),"")</f>
        <v/>
      </c>
      <c r="Q601" s="62" t="str">
        <f>IFERROR(IF(OR($B601="",$B601="(blank)"),"",VLOOKUP($B601,'Email Marketing Raw Data'!$C:$O,9,0)),"")</f>
        <v/>
      </c>
    </row>
    <row r="602" spans="4:17" ht="12.75" customHeight="1" x14ac:dyDescent="0.2">
      <c r="D602" s="58" t="str">
        <f>IFERROR(IF(F602&lt;&gt;"pending","",IF(OR($B602="",$B602="(blank)"),"",VLOOKUP($B602,'Email Marketing Raw Data'!$C:$O,10,0))),"")</f>
        <v/>
      </c>
      <c r="E602" s="59" t="str">
        <f>IFERROR(IF(F602&lt;&gt;"pending","",IF(OR($B602="",$B602="(blank)"),"",VLOOKUP($B602,'Email Marketing Raw Data'!$C:$O,11,0))),"")</f>
        <v/>
      </c>
      <c r="F602" s="54" t="str">
        <f>IFERROR(IF(OR($B602="",$B602="(blank)"),"",VLOOKUP($B602,'Email Marketing Raw Data'!$C:$O,13,0)),"")</f>
        <v/>
      </c>
      <c r="G602" s="55" t="str">
        <f>IFERROR(IF(OR($B602="",$B602="(blank)"),"",VLOOKUP($B602,'Email Marketing Raw Data'!$C:$O,4,0)),"")</f>
        <v/>
      </c>
      <c r="H602" s="55" t="str">
        <f>IFERROR(IF(OR($B602="",$B602="(blank)"),"",VLOOKUP($B602,'Email Marketing Raw Data'!$C:$O,5,0)),"")</f>
        <v/>
      </c>
      <c r="I602" s="55" t="str">
        <f>IFERROR(IF($G602="","",VLOOKUP('Dashboard And Emails Automate'!$G602,Database!$H:$N,3,0)),"")</f>
        <v/>
      </c>
      <c r="J602" s="55" t="str">
        <f>IFERROR(IF($G602="","",VLOOKUP('Dashboard And Emails Automate'!$G602,Database!$H:$N,4,0)),"")</f>
        <v/>
      </c>
      <c r="K602" s="55" t="str">
        <f>IFERROR(IF($G602="","",VLOOKUP('Dashboard And Emails Automate'!$G602,Database!$H:$N,5,0)),"")</f>
        <v/>
      </c>
      <c r="L602" s="55" t="str">
        <f>IFERROR(IF($G602="","",VLOOKUP('Dashboard And Emails Automate'!$G602,Database!$H:$N,6,0)),"")</f>
        <v/>
      </c>
      <c r="M602" s="55" t="str">
        <f>IFERROR(IF($G602="","",VLOOKUP('Dashboard And Emails Automate'!$G602,Database!$H:$N,7,0)),"")</f>
        <v/>
      </c>
      <c r="N602" s="55" t="str">
        <f>IFERROR(IF(OR($B602="",$B602="(blank)"),"",VLOOKUP($B602,'Email Marketing Raw Data'!$C:$O,6,0)),"")</f>
        <v/>
      </c>
      <c r="O602" s="55" t="str">
        <f>IFERROR(IF(OR($B602="",$B602="(blank)"),"",VLOOKUP($B602,'Email Marketing Raw Data'!$C:$O,7,0)),"")</f>
        <v/>
      </c>
      <c r="P602" s="55" t="str">
        <f>IFERROR(IF(OR($B602="",$B602="(blank)"),"",VLOOKUP($B602,'Email Marketing Raw Data'!$C:$O,8,0)),"")</f>
        <v/>
      </c>
      <c r="Q602" s="62" t="str">
        <f>IFERROR(IF(OR($B602="",$B602="(blank)"),"",VLOOKUP($B602,'Email Marketing Raw Data'!$C:$O,9,0)),"")</f>
        <v/>
      </c>
    </row>
    <row r="603" spans="4:17" ht="12.75" customHeight="1" x14ac:dyDescent="0.2">
      <c r="D603" s="58" t="str">
        <f>IFERROR(IF(F603&lt;&gt;"pending","",IF(OR($B603="",$B603="(blank)"),"",VLOOKUP($B603,'Email Marketing Raw Data'!$C:$O,10,0))),"")</f>
        <v/>
      </c>
      <c r="E603" s="59" t="str">
        <f>IFERROR(IF(F603&lt;&gt;"pending","",IF(OR($B603="",$B603="(blank)"),"",VLOOKUP($B603,'Email Marketing Raw Data'!$C:$O,11,0))),"")</f>
        <v/>
      </c>
      <c r="F603" s="54" t="str">
        <f>IFERROR(IF(OR($B603="",$B603="(blank)"),"",VLOOKUP($B603,'Email Marketing Raw Data'!$C:$O,13,0)),"")</f>
        <v/>
      </c>
      <c r="G603" s="55" t="str">
        <f>IFERROR(IF(OR($B603="",$B603="(blank)"),"",VLOOKUP($B603,'Email Marketing Raw Data'!$C:$O,4,0)),"")</f>
        <v/>
      </c>
      <c r="H603" s="55" t="str">
        <f>IFERROR(IF(OR($B603="",$B603="(blank)"),"",VLOOKUP($B603,'Email Marketing Raw Data'!$C:$O,5,0)),"")</f>
        <v/>
      </c>
      <c r="I603" s="55" t="str">
        <f>IFERROR(IF($G603="","",VLOOKUP('Dashboard And Emails Automate'!$G603,Database!$H:$N,3,0)),"")</f>
        <v/>
      </c>
      <c r="J603" s="55" t="str">
        <f>IFERROR(IF($G603="","",VLOOKUP('Dashboard And Emails Automate'!$G603,Database!$H:$N,4,0)),"")</f>
        <v/>
      </c>
      <c r="K603" s="55" t="str">
        <f>IFERROR(IF($G603="","",VLOOKUP('Dashboard And Emails Automate'!$G603,Database!$H:$N,5,0)),"")</f>
        <v/>
      </c>
      <c r="L603" s="55" t="str">
        <f>IFERROR(IF($G603="","",VLOOKUP('Dashboard And Emails Automate'!$G603,Database!$H:$N,6,0)),"")</f>
        <v/>
      </c>
      <c r="M603" s="55" t="str">
        <f>IFERROR(IF($G603="","",VLOOKUP('Dashboard And Emails Automate'!$G603,Database!$H:$N,7,0)),"")</f>
        <v/>
      </c>
      <c r="N603" s="55" t="str">
        <f>IFERROR(IF(OR($B603="",$B603="(blank)"),"",VLOOKUP($B603,'Email Marketing Raw Data'!$C:$O,6,0)),"")</f>
        <v/>
      </c>
      <c r="O603" s="55" t="str">
        <f>IFERROR(IF(OR($B603="",$B603="(blank)"),"",VLOOKUP($B603,'Email Marketing Raw Data'!$C:$O,7,0)),"")</f>
        <v/>
      </c>
      <c r="P603" s="55" t="str">
        <f>IFERROR(IF(OR($B603="",$B603="(blank)"),"",VLOOKUP($B603,'Email Marketing Raw Data'!$C:$O,8,0)),"")</f>
        <v/>
      </c>
      <c r="Q603" s="62" t="str">
        <f>IFERROR(IF(OR($B603="",$B603="(blank)"),"",VLOOKUP($B603,'Email Marketing Raw Data'!$C:$O,9,0)),"")</f>
        <v/>
      </c>
    </row>
    <row r="604" spans="4:17" ht="12.75" customHeight="1" x14ac:dyDescent="0.2">
      <c r="D604" s="58" t="str">
        <f>IFERROR(IF(F604&lt;&gt;"pending","",IF(OR($B604="",$B604="(blank)"),"",VLOOKUP($B604,'Email Marketing Raw Data'!$C:$O,10,0))),"")</f>
        <v/>
      </c>
      <c r="E604" s="59" t="str">
        <f>IFERROR(IF(F604&lt;&gt;"pending","",IF(OR($B604="",$B604="(blank)"),"",VLOOKUP($B604,'Email Marketing Raw Data'!$C:$O,11,0))),"")</f>
        <v/>
      </c>
      <c r="F604" s="54" t="str">
        <f>IFERROR(IF(OR($B604="",$B604="(blank)"),"",VLOOKUP($B604,'Email Marketing Raw Data'!$C:$O,13,0)),"")</f>
        <v/>
      </c>
      <c r="G604" s="55" t="str">
        <f>IFERROR(IF(OR($B604="",$B604="(blank)"),"",VLOOKUP($B604,'Email Marketing Raw Data'!$C:$O,4,0)),"")</f>
        <v/>
      </c>
      <c r="H604" s="55" t="str">
        <f>IFERROR(IF(OR($B604="",$B604="(blank)"),"",VLOOKUP($B604,'Email Marketing Raw Data'!$C:$O,5,0)),"")</f>
        <v/>
      </c>
      <c r="I604" s="55" t="str">
        <f>IFERROR(IF($G604="","",VLOOKUP('Dashboard And Emails Automate'!$G604,Database!$H:$N,3,0)),"")</f>
        <v/>
      </c>
      <c r="J604" s="55" t="str">
        <f>IFERROR(IF($G604="","",VLOOKUP('Dashboard And Emails Automate'!$G604,Database!$H:$N,4,0)),"")</f>
        <v/>
      </c>
      <c r="K604" s="55" t="str">
        <f>IFERROR(IF($G604="","",VLOOKUP('Dashboard And Emails Automate'!$G604,Database!$H:$N,5,0)),"")</f>
        <v/>
      </c>
      <c r="L604" s="55" t="str">
        <f>IFERROR(IF($G604="","",VLOOKUP('Dashboard And Emails Automate'!$G604,Database!$H:$N,6,0)),"")</f>
        <v/>
      </c>
      <c r="M604" s="55" t="str">
        <f>IFERROR(IF($G604="","",VLOOKUP('Dashboard And Emails Automate'!$G604,Database!$H:$N,7,0)),"")</f>
        <v/>
      </c>
      <c r="N604" s="55" t="str">
        <f>IFERROR(IF(OR($B604="",$B604="(blank)"),"",VLOOKUP($B604,'Email Marketing Raw Data'!$C:$O,6,0)),"")</f>
        <v/>
      </c>
      <c r="O604" s="55" t="str">
        <f>IFERROR(IF(OR($B604="",$B604="(blank)"),"",VLOOKUP($B604,'Email Marketing Raw Data'!$C:$O,7,0)),"")</f>
        <v/>
      </c>
      <c r="P604" s="55" t="str">
        <f>IFERROR(IF(OR($B604="",$B604="(blank)"),"",VLOOKUP($B604,'Email Marketing Raw Data'!$C:$O,8,0)),"")</f>
        <v/>
      </c>
      <c r="Q604" s="62" t="str">
        <f>IFERROR(IF(OR($B604="",$B604="(blank)"),"",VLOOKUP($B604,'Email Marketing Raw Data'!$C:$O,9,0)),"")</f>
        <v/>
      </c>
    </row>
    <row r="605" spans="4:17" ht="12.75" customHeight="1" x14ac:dyDescent="0.2">
      <c r="D605" s="58" t="str">
        <f>IFERROR(IF(F605&lt;&gt;"pending","",IF(OR($B605="",$B605="(blank)"),"",VLOOKUP($B605,'Email Marketing Raw Data'!$C:$O,10,0))),"")</f>
        <v/>
      </c>
      <c r="E605" s="59" t="str">
        <f>IFERROR(IF(F605&lt;&gt;"pending","",IF(OR($B605="",$B605="(blank)"),"",VLOOKUP($B605,'Email Marketing Raw Data'!$C:$O,11,0))),"")</f>
        <v/>
      </c>
      <c r="F605" s="54" t="str">
        <f>IFERROR(IF(OR($B605="",$B605="(blank)"),"",VLOOKUP($B605,'Email Marketing Raw Data'!$C:$O,13,0)),"")</f>
        <v/>
      </c>
      <c r="G605" s="55" t="str">
        <f>IFERROR(IF(OR($B605="",$B605="(blank)"),"",VLOOKUP($B605,'Email Marketing Raw Data'!$C:$O,4,0)),"")</f>
        <v/>
      </c>
      <c r="H605" s="55" t="str">
        <f>IFERROR(IF(OR($B605="",$B605="(blank)"),"",VLOOKUP($B605,'Email Marketing Raw Data'!$C:$O,5,0)),"")</f>
        <v/>
      </c>
      <c r="I605" s="55" t="str">
        <f>IFERROR(IF($G605="","",VLOOKUP('Dashboard And Emails Automate'!$G605,Database!$H:$N,3,0)),"")</f>
        <v/>
      </c>
      <c r="J605" s="55" t="str">
        <f>IFERROR(IF($G605="","",VLOOKUP('Dashboard And Emails Automate'!$G605,Database!$H:$N,4,0)),"")</f>
        <v/>
      </c>
      <c r="K605" s="55" t="str">
        <f>IFERROR(IF($G605="","",VLOOKUP('Dashboard And Emails Automate'!$G605,Database!$H:$N,5,0)),"")</f>
        <v/>
      </c>
      <c r="L605" s="55" t="str">
        <f>IFERROR(IF($G605="","",VLOOKUP('Dashboard And Emails Automate'!$G605,Database!$H:$N,6,0)),"")</f>
        <v/>
      </c>
      <c r="M605" s="55" t="str">
        <f>IFERROR(IF($G605="","",VLOOKUP('Dashboard And Emails Automate'!$G605,Database!$H:$N,7,0)),"")</f>
        <v/>
      </c>
      <c r="N605" s="55" t="str">
        <f>IFERROR(IF(OR($B605="",$B605="(blank)"),"",VLOOKUP($B605,'Email Marketing Raw Data'!$C:$O,6,0)),"")</f>
        <v/>
      </c>
      <c r="O605" s="55" t="str">
        <f>IFERROR(IF(OR($B605="",$B605="(blank)"),"",VLOOKUP($B605,'Email Marketing Raw Data'!$C:$O,7,0)),"")</f>
        <v/>
      </c>
      <c r="P605" s="55" t="str">
        <f>IFERROR(IF(OR($B605="",$B605="(blank)"),"",VLOOKUP($B605,'Email Marketing Raw Data'!$C:$O,8,0)),"")</f>
        <v/>
      </c>
      <c r="Q605" s="62" t="str">
        <f>IFERROR(IF(OR($B605="",$B605="(blank)"),"",VLOOKUP($B605,'Email Marketing Raw Data'!$C:$O,9,0)),"")</f>
        <v/>
      </c>
    </row>
    <row r="606" spans="4:17" ht="12.75" customHeight="1" x14ac:dyDescent="0.2">
      <c r="D606" s="58" t="str">
        <f>IFERROR(IF(F606&lt;&gt;"pending","",IF(OR($B606="",$B606="(blank)"),"",VLOOKUP($B606,'Email Marketing Raw Data'!$C:$O,10,0))),"")</f>
        <v/>
      </c>
      <c r="E606" s="59" t="str">
        <f>IFERROR(IF(F606&lt;&gt;"pending","",IF(OR($B606="",$B606="(blank)"),"",VLOOKUP($B606,'Email Marketing Raw Data'!$C:$O,11,0))),"")</f>
        <v/>
      </c>
      <c r="F606" s="54" t="str">
        <f>IFERROR(IF(OR($B606="",$B606="(blank)"),"",VLOOKUP($B606,'Email Marketing Raw Data'!$C:$O,13,0)),"")</f>
        <v/>
      </c>
      <c r="G606" s="55" t="str">
        <f>IFERROR(IF(OR($B606="",$B606="(blank)"),"",VLOOKUP($B606,'Email Marketing Raw Data'!$C:$O,4,0)),"")</f>
        <v/>
      </c>
      <c r="H606" s="55" t="str">
        <f>IFERROR(IF(OR($B606="",$B606="(blank)"),"",VLOOKUP($B606,'Email Marketing Raw Data'!$C:$O,5,0)),"")</f>
        <v/>
      </c>
      <c r="I606" s="55" t="str">
        <f>IFERROR(IF($G606="","",VLOOKUP('Dashboard And Emails Automate'!$G606,Database!$H:$N,3,0)),"")</f>
        <v/>
      </c>
      <c r="J606" s="55" t="str">
        <f>IFERROR(IF($G606="","",VLOOKUP('Dashboard And Emails Automate'!$G606,Database!$H:$N,4,0)),"")</f>
        <v/>
      </c>
      <c r="K606" s="55" t="str">
        <f>IFERROR(IF($G606="","",VLOOKUP('Dashboard And Emails Automate'!$G606,Database!$H:$N,5,0)),"")</f>
        <v/>
      </c>
      <c r="L606" s="55" t="str">
        <f>IFERROR(IF($G606="","",VLOOKUP('Dashboard And Emails Automate'!$G606,Database!$H:$N,6,0)),"")</f>
        <v/>
      </c>
      <c r="M606" s="55" t="str">
        <f>IFERROR(IF($G606="","",VLOOKUP('Dashboard And Emails Automate'!$G606,Database!$H:$N,7,0)),"")</f>
        <v/>
      </c>
      <c r="N606" s="55" t="str">
        <f>IFERROR(IF(OR($B606="",$B606="(blank)"),"",VLOOKUP($B606,'Email Marketing Raw Data'!$C:$O,6,0)),"")</f>
        <v/>
      </c>
      <c r="O606" s="55" t="str">
        <f>IFERROR(IF(OR($B606="",$B606="(blank)"),"",VLOOKUP($B606,'Email Marketing Raw Data'!$C:$O,7,0)),"")</f>
        <v/>
      </c>
      <c r="P606" s="55" t="str">
        <f>IFERROR(IF(OR($B606="",$B606="(blank)"),"",VLOOKUP($B606,'Email Marketing Raw Data'!$C:$O,8,0)),"")</f>
        <v/>
      </c>
      <c r="Q606" s="62" t="str">
        <f>IFERROR(IF(OR($B606="",$B606="(blank)"),"",VLOOKUP($B606,'Email Marketing Raw Data'!$C:$O,9,0)),"")</f>
        <v/>
      </c>
    </row>
    <row r="607" spans="4:17" ht="12.75" customHeight="1" x14ac:dyDescent="0.2">
      <c r="D607" s="58" t="str">
        <f>IFERROR(IF(F607&lt;&gt;"pending","",IF(OR($B607="",$B607="(blank)"),"",VLOOKUP($B607,'Email Marketing Raw Data'!$C:$O,10,0))),"")</f>
        <v/>
      </c>
      <c r="E607" s="59" t="str">
        <f>IFERROR(IF(F607&lt;&gt;"pending","",IF(OR($B607="",$B607="(blank)"),"",VLOOKUP($B607,'Email Marketing Raw Data'!$C:$O,11,0))),"")</f>
        <v/>
      </c>
      <c r="F607" s="54" t="str">
        <f>IFERROR(IF(OR($B607="",$B607="(blank)"),"",VLOOKUP($B607,'Email Marketing Raw Data'!$C:$O,13,0)),"")</f>
        <v/>
      </c>
      <c r="G607" s="55" t="str">
        <f>IFERROR(IF(OR($B607="",$B607="(blank)"),"",VLOOKUP($B607,'Email Marketing Raw Data'!$C:$O,4,0)),"")</f>
        <v/>
      </c>
      <c r="H607" s="55" t="str">
        <f>IFERROR(IF(OR($B607="",$B607="(blank)"),"",VLOOKUP($B607,'Email Marketing Raw Data'!$C:$O,5,0)),"")</f>
        <v/>
      </c>
      <c r="I607" s="55" t="str">
        <f>IFERROR(IF($G607="","",VLOOKUP('Dashboard And Emails Automate'!$G607,Database!$H:$N,3,0)),"")</f>
        <v/>
      </c>
      <c r="J607" s="55" t="str">
        <f>IFERROR(IF($G607="","",VLOOKUP('Dashboard And Emails Automate'!$G607,Database!$H:$N,4,0)),"")</f>
        <v/>
      </c>
      <c r="K607" s="55" t="str">
        <f>IFERROR(IF($G607="","",VLOOKUP('Dashboard And Emails Automate'!$G607,Database!$H:$N,5,0)),"")</f>
        <v/>
      </c>
      <c r="L607" s="55" t="str">
        <f>IFERROR(IF($G607="","",VLOOKUP('Dashboard And Emails Automate'!$G607,Database!$H:$N,6,0)),"")</f>
        <v/>
      </c>
      <c r="M607" s="55" t="str">
        <f>IFERROR(IF($G607="","",VLOOKUP('Dashboard And Emails Automate'!$G607,Database!$H:$N,7,0)),"")</f>
        <v/>
      </c>
      <c r="N607" s="55" t="str">
        <f>IFERROR(IF(OR($B607="",$B607="(blank)"),"",VLOOKUP($B607,'Email Marketing Raw Data'!$C:$O,6,0)),"")</f>
        <v/>
      </c>
      <c r="O607" s="55" t="str">
        <f>IFERROR(IF(OR($B607="",$B607="(blank)"),"",VLOOKUP($B607,'Email Marketing Raw Data'!$C:$O,7,0)),"")</f>
        <v/>
      </c>
      <c r="P607" s="55" t="str">
        <f>IFERROR(IF(OR($B607="",$B607="(blank)"),"",VLOOKUP($B607,'Email Marketing Raw Data'!$C:$O,8,0)),"")</f>
        <v/>
      </c>
      <c r="Q607" s="62" t="str">
        <f>IFERROR(IF(OR($B607="",$B607="(blank)"),"",VLOOKUP($B607,'Email Marketing Raw Data'!$C:$O,9,0)),"")</f>
        <v/>
      </c>
    </row>
    <row r="608" spans="4:17" ht="12.75" customHeight="1" x14ac:dyDescent="0.2">
      <c r="D608" s="58" t="str">
        <f>IFERROR(IF(F608&lt;&gt;"pending","",IF(OR($B608="",$B608="(blank)"),"",VLOOKUP($B608,'Email Marketing Raw Data'!$C:$O,10,0))),"")</f>
        <v/>
      </c>
      <c r="E608" s="59" t="str">
        <f>IFERROR(IF(F608&lt;&gt;"pending","",IF(OR($B608="",$B608="(blank)"),"",VLOOKUP($B608,'Email Marketing Raw Data'!$C:$O,11,0))),"")</f>
        <v/>
      </c>
      <c r="F608" s="54" t="str">
        <f>IFERROR(IF(OR($B608="",$B608="(blank)"),"",VLOOKUP($B608,'Email Marketing Raw Data'!$C:$O,13,0)),"")</f>
        <v/>
      </c>
      <c r="G608" s="55" t="str">
        <f>IFERROR(IF(OR($B608="",$B608="(blank)"),"",VLOOKUP($B608,'Email Marketing Raw Data'!$C:$O,4,0)),"")</f>
        <v/>
      </c>
      <c r="H608" s="55" t="str">
        <f>IFERROR(IF(OR($B608="",$B608="(blank)"),"",VLOOKUP($B608,'Email Marketing Raw Data'!$C:$O,5,0)),"")</f>
        <v/>
      </c>
      <c r="I608" s="55" t="str">
        <f>IFERROR(IF($G608="","",VLOOKUP('Dashboard And Emails Automate'!$G608,Database!$H:$N,3,0)),"")</f>
        <v/>
      </c>
      <c r="J608" s="55" t="str">
        <f>IFERROR(IF($G608="","",VLOOKUP('Dashboard And Emails Automate'!$G608,Database!$H:$N,4,0)),"")</f>
        <v/>
      </c>
      <c r="K608" s="55" t="str">
        <f>IFERROR(IF($G608="","",VLOOKUP('Dashboard And Emails Automate'!$G608,Database!$H:$N,5,0)),"")</f>
        <v/>
      </c>
      <c r="L608" s="55" t="str">
        <f>IFERROR(IF($G608="","",VLOOKUP('Dashboard And Emails Automate'!$G608,Database!$H:$N,6,0)),"")</f>
        <v/>
      </c>
      <c r="M608" s="55" t="str">
        <f>IFERROR(IF($G608="","",VLOOKUP('Dashboard And Emails Automate'!$G608,Database!$H:$N,7,0)),"")</f>
        <v/>
      </c>
      <c r="N608" s="55" t="str">
        <f>IFERROR(IF(OR($B608="",$B608="(blank)"),"",VLOOKUP($B608,'Email Marketing Raw Data'!$C:$O,6,0)),"")</f>
        <v/>
      </c>
      <c r="O608" s="55" t="str">
        <f>IFERROR(IF(OR($B608="",$B608="(blank)"),"",VLOOKUP($B608,'Email Marketing Raw Data'!$C:$O,7,0)),"")</f>
        <v/>
      </c>
      <c r="P608" s="55" t="str">
        <f>IFERROR(IF(OR($B608="",$B608="(blank)"),"",VLOOKUP($B608,'Email Marketing Raw Data'!$C:$O,8,0)),"")</f>
        <v/>
      </c>
      <c r="Q608" s="62" t="str">
        <f>IFERROR(IF(OR($B608="",$B608="(blank)"),"",VLOOKUP($B608,'Email Marketing Raw Data'!$C:$O,9,0)),"")</f>
        <v/>
      </c>
    </row>
    <row r="609" spans="4:17" ht="12.75" customHeight="1" x14ac:dyDescent="0.2">
      <c r="D609" s="58" t="str">
        <f>IFERROR(IF(F609&lt;&gt;"pending","",IF(OR($B609="",$B609="(blank)"),"",VLOOKUP($B609,'Email Marketing Raw Data'!$C:$O,10,0))),"")</f>
        <v/>
      </c>
      <c r="E609" s="59" t="str">
        <f>IFERROR(IF(F609&lt;&gt;"pending","",IF(OR($B609="",$B609="(blank)"),"",VLOOKUP($B609,'Email Marketing Raw Data'!$C:$O,11,0))),"")</f>
        <v/>
      </c>
      <c r="F609" s="54" t="str">
        <f>IFERROR(IF(OR($B609="",$B609="(blank)"),"",VLOOKUP($B609,'Email Marketing Raw Data'!$C:$O,13,0)),"")</f>
        <v/>
      </c>
      <c r="G609" s="55" t="str">
        <f>IFERROR(IF(OR($B609="",$B609="(blank)"),"",VLOOKUP($B609,'Email Marketing Raw Data'!$C:$O,4,0)),"")</f>
        <v/>
      </c>
      <c r="H609" s="55" t="str">
        <f>IFERROR(IF(OR($B609="",$B609="(blank)"),"",VLOOKUP($B609,'Email Marketing Raw Data'!$C:$O,5,0)),"")</f>
        <v/>
      </c>
      <c r="I609" s="55" t="str">
        <f>IFERROR(IF($G609="","",VLOOKUP('Dashboard And Emails Automate'!$G609,Database!$H:$N,3,0)),"")</f>
        <v/>
      </c>
      <c r="J609" s="55" t="str">
        <f>IFERROR(IF($G609="","",VLOOKUP('Dashboard And Emails Automate'!$G609,Database!$H:$N,4,0)),"")</f>
        <v/>
      </c>
      <c r="K609" s="55" t="str">
        <f>IFERROR(IF($G609="","",VLOOKUP('Dashboard And Emails Automate'!$G609,Database!$H:$N,5,0)),"")</f>
        <v/>
      </c>
      <c r="L609" s="55" t="str">
        <f>IFERROR(IF($G609="","",VLOOKUP('Dashboard And Emails Automate'!$G609,Database!$H:$N,6,0)),"")</f>
        <v/>
      </c>
      <c r="M609" s="55" t="str">
        <f>IFERROR(IF($G609="","",VLOOKUP('Dashboard And Emails Automate'!$G609,Database!$H:$N,7,0)),"")</f>
        <v/>
      </c>
      <c r="N609" s="55" t="str">
        <f>IFERROR(IF(OR($B609="",$B609="(blank)"),"",VLOOKUP($B609,'Email Marketing Raw Data'!$C:$O,6,0)),"")</f>
        <v/>
      </c>
      <c r="O609" s="55" t="str">
        <f>IFERROR(IF(OR($B609="",$B609="(blank)"),"",VLOOKUP($B609,'Email Marketing Raw Data'!$C:$O,7,0)),"")</f>
        <v/>
      </c>
      <c r="P609" s="55" t="str">
        <f>IFERROR(IF(OR($B609="",$B609="(blank)"),"",VLOOKUP($B609,'Email Marketing Raw Data'!$C:$O,8,0)),"")</f>
        <v/>
      </c>
      <c r="Q609" s="62" t="str">
        <f>IFERROR(IF(OR($B609="",$B609="(blank)"),"",VLOOKUP($B609,'Email Marketing Raw Data'!$C:$O,9,0)),"")</f>
        <v/>
      </c>
    </row>
    <row r="610" spans="4:17" ht="12.75" customHeight="1" x14ac:dyDescent="0.2">
      <c r="D610" s="58" t="str">
        <f>IFERROR(IF(F610&lt;&gt;"pending","",IF(OR($B610="",$B610="(blank)"),"",VLOOKUP($B610,'Email Marketing Raw Data'!$C:$O,10,0))),"")</f>
        <v/>
      </c>
      <c r="E610" s="59" t="str">
        <f>IFERROR(IF(F610&lt;&gt;"pending","",IF(OR($B610="",$B610="(blank)"),"",VLOOKUP($B610,'Email Marketing Raw Data'!$C:$O,11,0))),"")</f>
        <v/>
      </c>
      <c r="F610" s="54" t="str">
        <f>IFERROR(IF(OR($B610="",$B610="(blank)"),"",VLOOKUP($B610,'Email Marketing Raw Data'!$C:$O,13,0)),"")</f>
        <v/>
      </c>
      <c r="G610" s="55" t="str">
        <f>IFERROR(IF(OR($B610="",$B610="(blank)"),"",VLOOKUP($B610,'Email Marketing Raw Data'!$C:$O,4,0)),"")</f>
        <v/>
      </c>
      <c r="H610" s="55" t="str">
        <f>IFERROR(IF(OR($B610="",$B610="(blank)"),"",VLOOKUP($B610,'Email Marketing Raw Data'!$C:$O,5,0)),"")</f>
        <v/>
      </c>
      <c r="I610" s="55" t="str">
        <f>IFERROR(IF($G610="","",VLOOKUP('Dashboard And Emails Automate'!$G610,Database!$H:$N,3,0)),"")</f>
        <v/>
      </c>
      <c r="J610" s="55" t="str">
        <f>IFERROR(IF($G610="","",VLOOKUP('Dashboard And Emails Automate'!$G610,Database!$H:$N,4,0)),"")</f>
        <v/>
      </c>
      <c r="K610" s="55" t="str">
        <f>IFERROR(IF($G610="","",VLOOKUP('Dashboard And Emails Automate'!$G610,Database!$H:$N,5,0)),"")</f>
        <v/>
      </c>
      <c r="L610" s="55" t="str">
        <f>IFERROR(IF($G610="","",VLOOKUP('Dashboard And Emails Automate'!$G610,Database!$H:$N,6,0)),"")</f>
        <v/>
      </c>
      <c r="M610" s="55" t="str">
        <f>IFERROR(IF($G610="","",VLOOKUP('Dashboard And Emails Automate'!$G610,Database!$H:$N,7,0)),"")</f>
        <v/>
      </c>
      <c r="N610" s="55" t="str">
        <f>IFERROR(IF(OR($B610="",$B610="(blank)"),"",VLOOKUP($B610,'Email Marketing Raw Data'!$C:$O,6,0)),"")</f>
        <v/>
      </c>
      <c r="O610" s="55" t="str">
        <f>IFERROR(IF(OR($B610="",$B610="(blank)"),"",VLOOKUP($B610,'Email Marketing Raw Data'!$C:$O,7,0)),"")</f>
        <v/>
      </c>
      <c r="P610" s="55" t="str">
        <f>IFERROR(IF(OR($B610="",$B610="(blank)"),"",VLOOKUP($B610,'Email Marketing Raw Data'!$C:$O,8,0)),"")</f>
        <v/>
      </c>
      <c r="Q610" s="62" t="str">
        <f>IFERROR(IF(OR($B610="",$B610="(blank)"),"",VLOOKUP($B610,'Email Marketing Raw Data'!$C:$O,9,0)),"")</f>
        <v/>
      </c>
    </row>
    <row r="611" spans="4:17" ht="12.75" customHeight="1" x14ac:dyDescent="0.2">
      <c r="D611" s="58" t="str">
        <f>IFERROR(IF(F611&lt;&gt;"pending","",IF(OR($B611="",$B611="(blank)"),"",VLOOKUP($B611,'Email Marketing Raw Data'!$C:$O,10,0))),"")</f>
        <v/>
      </c>
      <c r="E611" s="59" t="str">
        <f>IFERROR(IF(F611&lt;&gt;"pending","",IF(OR($B611="",$B611="(blank)"),"",VLOOKUP($B611,'Email Marketing Raw Data'!$C:$O,11,0))),"")</f>
        <v/>
      </c>
      <c r="F611" s="54" t="str">
        <f>IFERROR(IF(OR($B611="",$B611="(blank)"),"",VLOOKUP($B611,'Email Marketing Raw Data'!$C:$O,13,0)),"")</f>
        <v/>
      </c>
      <c r="G611" s="55" t="str">
        <f>IFERROR(IF(OR($B611="",$B611="(blank)"),"",VLOOKUP($B611,'Email Marketing Raw Data'!$C:$O,4,0)),"")</f>
        <v/>
      </c>
      <c r="H611" s="55" t="str">
        <f>IFERROR(IF(OR($B611="",$B611="(blank)"),"",VLOOKUP($B611,'Email Marketing Raw Data'!$C:$O,5,0)),"")</f>
        <v/>
      </c>
      <c r="I611" s="55" t="str">
        <f>IFERROR(IF($G611="","",VLOOKUP('Dashboard And Emails Automate'!$G611,Database!$H:$N,3,0)),"")</f>
        <v/>
      </c>
      <c r="J611" s="55" t="str">
        <f>IFERROR(IF($G611="","",VLOOKUP('Dashboard And Emails Automate'!$G611,Database!$H:$N,4,0)),"")</f>
        <v/>
      </c>
      <c r="K611" s="55" t="str">
        <f>IFERROR(IF($G611="","",VLOOKUP('Dashboard And Emails Automate'!$G611,Database!$H:$N,5,0)),"")</f>
        <v/>
      </c>
      <c r="L611" s="55" t="str">
        <f>IFERROR(IF($G611="","",VLOOKUP('Dashboard And Emails Automate'!$G611,Database!$H:$N,6,0)),"")</f>
        <v/>
      </c>
      <c r="M611" s="55" t="str">
        <f>IFERROR(IF($G611="","",VLOOKUP('Dashboard And Emails Automate'!$G611,Database!$H:$N,7,0)),"")</f>
        <v/>
      </c>
      <c r="N611" s="55" t="str">
        <f>IFERROR(IF(OR($B611="",$B611="(blank)"),"",VLOOKUP($B611,'Email Marketing Raw Data'!$C:$O,6,0)),"")</f>
        <v/>
      </c>
      <c r="O611" s="55" t="str">
        <f>IFERROR(IF(OR($B611="",$B611="(blank)"),"",VLOOKUP($B611,'Email Marketing Raw Data'!$C:$O,7,0)),"")</f>
        <v/>
      </c>
      <c r="P611" s="55" t="str">
        <f>IFERROR(IF(OR($B611="",$B611="(blank)"),"",VLOOKUP($B611,'Email Marketing Raw Data'!$C:$O,8,0)),"")</f>
        <v/>
      </c>
      <c r="Q611" s="62" t="str">
        <f>IFERROR(IF(OR($B611="",$B611="(blank)"),"",VLOOKUP($B611,'Email Marketing Raw Data'!$C:$O,9,0)),"")</f>
        <v/>
      </c>
    </row>
    <row r="612" spans="4:17" ht="12.75" customHeight="1" x14ac:dyDescent="0.2">
      <c r="D612" s="58" t="str">
        <f>IFERROR(IF(F612&lt;&gt;"pending","",IF(OR($B612="",$B612="(blank)"),"",VLOOKUP($B612,'Email Marketing Raw Data'!$C:$O,10,0))),"")</f>
        <v/>
      </c>
      <c r="E612" s="59" t="str">
        <f>IFERROR(IF(F612&lt;&gt;"pending","",IF(OR($B612="",$B612="(blank)"),"",VLOOKUP($B612,'Email Marketing Raw Data'!$C:$O,11,0))),"")</f>
        <v/>
      </c>
      <c r="F612" s="54" t="str">
        <f>IFERROR(IF(OR($B612="",$B612="(blank)"),"",VLOOKUP($B612,'Email Marketing Raw Data'!$C:$O,13,0)),"")</f>
        <v/>
      </c>
      <c r="G612" s="55" t="str">
        <f>IFERROR(IF(OR($B612="",$B612="(blank)"),"",VLOOKUP($B612,'Email Marketing Raw Data'!$C:$O,4,0)),"")</f>
        <v/>
      </c>
      <c r="H612" s="55" t="str">
        <f>IFERROR(IF(OR($B612="",$B612="(blank)"),"",VLOOKUP($B612,'Email Marketing Raw Data'!$C:$O,5,0)),"")</f>
        <v/>
      </c>
      <c r="I612" s="55" t="str">
        <f>IFERROR(IF($G612="","",VLOOKUP('Dashboard And Emails Automate'!$G612,Database!$H:$N,3,0)),"")</f>
        <v/>
      </c>
      <c r="J612" s="55" t="str">
        <f>IFERROR(IF($G612="","",VLOOKUP('Dashboard And Emails Automate'!$G612,Database!$H:$N,4,0)),"")</f>
        <v/>
      </c>
      <c r="K612" s="55" t="str">
        <f>IFERROR(IF($G612="","",VLOOKUP('Dashboard And Emails Automate'!$G612,Database!$H:$N,5,0)),"")</f>
        <v/>
      </c>
      <c r="L612" s="55" t="str">
        <f>IFERROR(IF($G612="","",VLOOKUP('Dashboard And Emails Automate'!$G612,Database!$H:$N,6,0)),"")</f>
        <v/>
      </c>
      <c r="M612" s="55" t="str">
        <f>IFERROR(IF($G612="","",VLOOKUP('Dashboard And Emails Automate'!$G612,Database!$H:$N,7,0)),"")</f>
        <v/>
      </c>
      <c r="N612" s="55" t="str">
        <f>IFERROR(IF(OR($B612="",$B612="(blank)"),"",VLOOKUP($B612,'Email Marketing Raw Data'!$C:$O,6,0)),"")</f>
        <v/>
      </c>
      <c r="O612" s="55" t="str">
        <f>IFERROR(IF(OR($B612="",$B612="(blank)"),"",VLOOKUP($B612,'Email Marketing Raw Data'!$C:$O,7,0)),"")</f>
        <v/>
      </c>
      <c r="P612" s="55" t="str">
        <f>IFERROR(IF(OR($B612="",$B612="(blank)"),"",VLOOKUP($B612,'Email Marketing Raw Data'!$C:$O,8,0)),"")</f>
        <v/>
      </c>
      <c r="Q612" s="62" t="str">
        <f>IFERROR(IF(OR($B612="",$B612="(blank)"),"",VLOOKUP($B612,'Email Marketing Raw Data'!$C:$O,9,0)),"")</f>
        <v/>
      </c>
    </row>
    <row r="613" spans="4:17" ht="12.75" customHeight="1" x14ac:dyDescent="0.2">
      <c r="D613" s="58" t="str">
        <f>IFERROR(IF(F613&lt;&gt;"pending","",IF(OR($B613="",$B613="(blank)"),"",VLOOKUP($B613,'Email Marketing Raw Data'!$C:$O,10,0))),"")</f>
        <v/>
      </c>
      <c r="E613" s="59" t="str">
        <f>IFERROR(IF(F613&lt;&gt;"pending","",IF(OR($B613="",$B613="(blank)"),"",VLOOKUP($B613,'Email Marketing Raw Data'!$C:$O,11,0))),"")</f>
        <v/>
      </c>
      <c r="F613" s="54" t="str">
        <f>IFERROR(IF(OR($B613="",$B613="(blank)"),"",VLOOKUP($B613,'Email Marketing Raw Data'!$C:$O,13,0)),"")</f>
        <v/>
      </c>
      <c r="G613" s="55" t="str">
        <f>IFERROR(IF(OR($B613="",$B613="(blank)"),"",VLOOKUP($B613,'Email Marketing Raw Data'!$C:$O,4,0)),"")</f>
        <v/>
      </c>
      <c r="H613" s="55" t="str">
        <f>IFERROR(IF(OR($B613="",$B613="(blank)"),"",VLOOKUP($B613,'Email Marketing Raw Data'!$C:$O,5,0)),"")</f>
        <v/>
      </c>
      <c r="I613" s="55" t="str">
        <f>IFERROR(IF($G613="","",VLOOKUP('Dashboard And Emails Automate'!$G613,Database!$H:$N,3,0)),"")</f>
        <v/>
      </c>
      <c r="J613" s="55" t="str">
        <f>IFERROR(IF($G613="","",VLOOKUP('Dashboard And Emails Automate'!$G613,Database!$H:$N,4,0)),"")</f>
        <v/>
      </c>
      <c r="K613" s="55" t="str">
        <f>IFERROR(IF($G613="","",VLOOKUP('Dashboard And Emails Automate'!$G613,Database!$H:$N,5,0)),"")</f>
        <v/>
      </c>
      <c r="L613" s="55" t="str">
        <f>IFERROR(IF($G613="","",VLOOKUP('Dashboard And Emails Automate'!$G613,Database!$H:$N,6,0)),"")</f>
        <v/>
      </c>
      <c r="M613" s="55" t="str">
        <f>IFERROR(IF($G613="","",VLOOKUP('Dashboard And Emails Automate'!$G613,Database!$H:$N,7,0)),"")</f>
        <v/>
      </c>
      <c r="N613" s="55" t="str">
        <f>IFERROR(IF(OR($B613="",$B613="(blank)"),"",VLOOKUP($B613,'Email Marketing Raw Data'!$C:$O,6,0)),"")</f>
        <v/>
      </c>
      <c r="O613" s="55" t="str">
        <f>IFERROR(IF(OR($B613="",$B613="(blank)"),"",VLOOKUP($B613,'Email Marketing Raw Data'!$C:$O,7,0)),"")</f>
        <v/>
      </c>
      <c r="P613" s="55" t="str">
        <f>IFERROR(IF(OR($B613="",$B613="(blank)"),"",VLOOKUP($B613,'Email Marketing Raw Data'!$C:$O,8,0)),"")</f>
        <v/>
      </c>
      <c r="Q613" s="62" t="str">
        <f>IFERROR(IF(OR($B613="",$B613="(blank)"),"",VLOOKUP($B613,'Email Marketing Raw Data'!$C:$O,9,0)),"")</f>
        <v/>
      </c>
    </row>
    <row r="614" spans="4:17" ht="12.75" customHeight="1" x14ac:dyDescent="0.2">
      <c r="D614" s="58" t="str">
        <f>IFERROR(IF(F614&lt;&gt;"pending","",IF(OR($B614="",$B614="(blank)"),"",VLOOKUP($B614,'Email Marketing Raw Data'!$C:$O,10,0))),"")</f>
        <v/>
      </c>
      <c r="E614" s="59" t="str">
        <f>IFERROR(IF(F614&lt;&gt;"pending","",IF(OR($B614="",$B614="(blank)"),"",VLOOKUP($B614,'Email Marketing Raw Data'!$C:$O,11,0))),"")</f>
        <v/>
      </c>
      <c r="F614" s="54" t="str">
        <f>IFERROR(IF(OR($B614="",$B614="(blank)"),"",VLOOKUP($B614,'Email Marketing Raw Data'!$C:$O,13,0)),"")</f>
        <v/>
      </c>
      <c r="G614" s="55" t="str">
        <f>IFERROR(IF(OR($B614="",$B614="(blank)"),"",VLOOKUP($B614,'Email Marketing Raw Data'!$C:$O,4,0)),"")</f>
        <v/>
      </c>
      <c r="H614" s="55" t="str">
        <f>IFERROR(IF(OR($B614="",$B614="(blank)"),"",VLOOKUP($B614,'Email Marketing Raw Data'!$C:$O,5,0)),"")</f>
        <v/>
      </c>
      <c r="I614" s="55" t="str">
        <f>IFERROR(IF($G614="","",VLOOKUP('Dashboard And Emails Automate'!$G614,Database!$H:$N,3,0)),"")</f>
        <v/>
      </c>
      <c r="J614" s="55" t="str">
        <f>IFERROR(IF($G614="","",VLOOKUP('Dashboard And Emails Automate'!$G614,Database!$H:$N,4,0)),"")</f>
        <v/>
      </c>
      <c r="K614" s="55" t="str">
        <f>IFERROR(IF($G614="","",VLOOKUP('Dashboard And Emails Automate'!$G614,Database!$H:$N,5,0)),"")</f>
        <v/>
      </c>
      <c r="L614" s="55" t="str">
        <f>IFERROR(IF($G614="","",VLOOKUP('Dashboard And Emails Automate'!$G614,Database!$H:$N,6,0)),"")</f>
        <v/>
      </c>
      <c r="M614" s="55" t="str">
        <f>IFERROR(IF($G614="","",VLOOKUP('Dashboard And Emails Automate'!$G614,Database!$H:$N,7,0)),"")</f>
        <v/>
      </c>
      <c r="N614" s="55" t="str">
        <f>IFERROR(IF(OR($B614="",$B614="(blank)"),"",VLOOKUP($B614,'Email Marketing Raw Data'!$C:$O,6,0)),"")</f>
        <v/>
      </c>
      <c r="O614" s="55" t="str">
        <f>IFERROR(IF(OR($B614="",$B614="(blank)"),"",VLOOKUP($B614,'Email Marketing Raw Data'!$C:$O,7,0)),"")</f>
        <v/>
      </c>
      <c r="P614" s="55" t="str">
        <f>IFERROR(IF(OR($B614="",$B614="(blank)"),"",VLOOKUP($B614,'Email Marketing Raw Data'!$C:$O,8,0)),"")</f>
        <v/>
      </c>
      <c r="Q614" s="62" t="str">
        <f>IFERROR(IF(OR($B614="",$B614="(blank)"),"",VLOOKUP($B614,'Email Marketing Raw Data'!$C:$O,9,0)),"")</f>
        <v/>
      </c>
    </row>
    <row r="615" spans="4:17" ht="12.75" customHeight="1" x14ac:dyDescent="0.2">
      <c r="D615" s="58" t="str">
        <f>IFERROR(IF(F615&lt;&gt;"pending","",IF(OR($B615="",$B615="(blank)"),"",VLOOKUP($B615,'Email Marketing Raw Data'!$C:$O,10,0))),"")</f>
        <v/>
      </c>
      <c r="E615" s="59" t="str">
        <f>IFERROR(IF(F615&lt;&gt;"pending","",IF(OR($B615="",$B615="(blank)"),"",VLOOKUP($B615,'Email Marketing Raw Data'!$C:$O,11,0))),"")</f>
        <v/>
      </c>
      <c r="F615" s="54" t="str">
        <f>IFERROR(IF(OR($B615="",$B615="(blank)"),"",VLOOKUP($B615,'Email Marketing Raw Data'!$C:$O,13,0)),"")</f>
        <v/>
      </c>
      <c r="G615" s="55" t="str">
        <f>IFERROR(IF(OR($B615="",$B615="(blank)"),"",VLOOKUP($B615,'Email Marketing Raw Data'!$C:$O,4,0)),"")</f>
        <v/>
      </c>
      <c r="H615" s="55" t="str">
        <f>IFERROR(IF(OR($B615="",$B615="(blank)"),"",VLOOKUP($B615,'Email Marketing Raw Data'!$C:$O,5,0)),"")</f>
        <v/>
      </c>
      <c r="I615" s="55" t="str">
        <f>IFERROR(IF($G615="","",VLOOKUP('Dashboard And Emails Automate'!$G615,Database!$H:$N,3,0)),"")</f>
        <v/>
      </c>
      <c r="J615" s="55" t="str">
        <f>IFERROR(IF($G615="","",VLOOKUP('Dashboard And Emails Automate'!$G615,Database!$H:$N,4,0)),"")</f>
        <v/>
      </c>
      <c r="K615" s="55" t="str">
        <f>IFERROR(IF($G615="","",VLOOKUP('Dashboard And Emails Automate'!$G615,Database!$H:$N,5,0)),"")</f>
        <v/>
      </c>
      <c r="L615" s="55" t="str">
        <f>IFERROR(IF($G615="","",VLOOKUP('Dashboard And Emails Automate'!$G615,Database!$H:$N,6,0)),"")</f>
        <v/>
      </c>
      <c r="M615" s="55" t="str">
        <f>IFERROR(IF($G615="","",VLOOKUP('Dashboard And Emails Automate'!$G615,Database!$H:$N,7,0)),"")</f>
        <v/>
      </c>
      <c r="N615" s="55" t="str">
        <f>IFERROR(IF(OR($B615="",$B615="(blank)"),"",VLOOKUP($B615,'Email Marketing Raw Data'!$C:$O,6,0)),"")</f>
        <v/>
      </c>
      <c r="O615" s="55" t="str">
        <f>IFERROR(IF(OR($B615="",$B615="(blank)"),"",VLOOKUP($B615,'Email Marketing Raw Data'!$C:$O,7,0)),"")</f>
        <v/>
      </c>
      <c r="P615" s="55" t="str">
        <f>IFERROR(IF(OR($B615="",$B615="(blank)"),"",VLOOKUP($B615,'Email Marketing Raw Data'!$C:$O,8,0)),"")</f>
        <v/>
      </c>
      <c r="Q615" s="62" t="str">
        <f>IFERROR(IF(OR($B615="",$B615="(blank)"),"",VLOOKUP($B615,'Email Marketing Raw Data'!$C:$O,9,0)),"")</f>
        <v/>
      </c>
    </row>
    <row r="616" spans="4:17" ht="12.75" customHeight="1" x14ac:dyDescent="0.2">
      <c r="D616" s="58" t="str">
        <f>IFERROR(IF(F616&lt;&gt;"pending","",IF(OR($B616="",$B616="(blank)"),"",VLOOKUP($B616,'Email Marketing Raw Data'!$C:$O,10,0))),"")</f>
        <v/>
      </c>
      <c r="E616" s="59" t="str">
        <f>IFERROR(IF(F616&lt;&gt;"pending","",IF(OR($B616="",$B616="(blank)"),"",VLOOKUP($B616,'Email Marketing Raw Data'!$C:$O,11,0))),"")</f>
        <v/>
      </c>
      <c r="F616" s="54" t="str">
        <f>IFERROR(IF(OR($B616="",$B616="(blank)"),"",VLOOKUP($B616,'Email Marketing Raw Data'!$C:$O,13,0)),"")</f>
        <v/>
      </c>
      <c r="G616" s="55" t="str">
        <f>IFERROR(IF(OR($B616="",$B616="(blank)"),"",VLOOKUP($B616,'Email Marketing Raw Data'!$C:$O,4,0)),"")</f>
        <v/>
      </c>
      <c r="H616" s="55" t="str">
        <f>IFERROR(IF(OR($B616="",$B616="(blank)"),"",VLOOKUP($B616,'Email Marketing Raw Data'!$C:$O,5,0)),"")</f>
        <v/>
      </c>
      <c r="I616" s="55" t="str">
        <f>IFERROR(IF($G616="","",VLOOKUP('Dashboard And Emails Automate'!$G616,Database!$H:$N,3,0)),"")</f>
        <v/>
      </c>
      <c r="J616" s="55" t="str">
        <f>IFERROR(IF($G616="","",VLOOKUP('Dashboard And Emails Automate'!$G616,Database!$H:$N,4,0)),"")</f>
        <v/>
      </c>
      <c r="K616" s="55" t="str">
        <f>IFERROR(IF($G616="","",VLOOKUP('Dashboard And Emails Automate'!$G616,Database!$H:$N,5,0)),"")</f>
        <v/>
      </c>
      <c r="L616" s="55" t="str">
        <f>IFERROR(IF($G616="","",VLOOKUP('Dashboard And Emails Automate'!$G616,Database!$H:$N,6,0)),"")</f>
        <v/>
      </c>
      <c r="M616" s="55" t="str">
        <f>IFERROR(IF($G616="","",VLOOKUP('Dashboard And Emails Automate'!$G616,Database!$H:$N,7,0)),"")</f>
        <v/>
      </c>
      <c r="N616" s="55" t="str">
        <f>IFERROR(IF(OR($B616="",$B616="(blank)"),"",VLOOKUP($B616,'Email Marketing Raw Data'!$C:$O,6,0)),"")</f>
        <v/>
      </c>
      <c r="O616" s="55" t="str">
        <f>IFERROR(IF(OR($B616="",$B616="(blank)"),"",VLOOKUP($B616,'Email Marketing Raw Data'!$C:$O,7,0)),"")</f>
        <v/>
      </c>
      <c r="P616" s="55" t="str">
        <f>IFERROR(IF(OR($B616="",$B616="(blank)"),"",VLOOKUP($B616,'Email Marketing Raw Data'!$C:$O,8,0)),"")</f>
        <v/>
      </c>
      <c r="Q616" s="62" t="str">
        <f>IFERROR(IF(OR($B616="",$B616="(blank)"),"",VLOOKUP($B616,'Email Marketing Raw Data'!$C:$O,9,0)),"")</f>
        <v/>
      </c>
    </row>
    <row r="617" spans="4:17" ht="12.75" customHeight="1" x14ac:dyDescent="0.2">
      <c r="D617" s="58" t="str">
        <f>IFERROR(IF(F617&lt;&gt;"pending","",IF(OR($B617="",$B617="(blank)"),"",VLOOKUP($B617,'Email Marketing Raw Data'!$C:$O,10,0))),"")</f>
        <v/>
      </c>
      <c r="E617" s="59" t="str">
        <f>IFERROR(IF(F617&lt;&gt;"pending","",IF(OR($B617="",$B617="(blank)"),"",VLOOKUP($B617,'Email Marketing Raw Data'!$C:$O,11,0))),"")</f>
        <v/>
      </c>
      <c r="F617" s="54" t="str">
        <f>IFERROR(IF(OR($B617="",$B617="(blank)"),"",VLOOKUP($B617,'Email Marketing Raw Data'!$C:$O,13,0)),"")</f>
        <v/>
      </c>
      <c r="G617" s="55" t="str">
        <f>IFERROR(IF(OR($B617="",$B617="(blank)"),"",VLOOKUP($B617,'Email Marketing Raw Data'!$C:$O,4,0)),"")</f>
        <v/>
      </c>
      <c r="H617" s="55" t="str">
        <f>IFERROR(IF(OR($B617="",$B617="(blank)"),"",VLOOKUP($B617,'Email Marketing Raw Data'!$C:$O,5,0)),"")</f>
        <v/>
      </c>
      <c r="I617" s="55" t="str">
        <f>IFERROR(IF($G617="","",VLOOKUP('Dashboard And Emails Automate'!$G617,Database!$H:$N,3,0)),"")</f>
        <v/>
      </c>
      <c r="J617" s="55" t="str">
        <f>IFERROR(IF($G617="","",VLOOKUP('Dashboard And Emails Automate'!$G617,Database!$H:$N,4,0)),"")</f>
        <v/>
      </c>
      <c r="K617" s="55" t="str">
        <f>IFERROR(IF($G617="","",VLOOKUP('Dashboard And Emails Automate'!$G617,Database!$H:$N,5,0)),"")</f>
        <v/>
      </c>
      <c r="L617" s="55" t="str">
        <f>IFERROR(IF($G617="","",VLOOKUP('Dashboard And Emails Automate'!$G617,Database!$H:$N,6,0)),"")</f>
        <v/>
      </c>
      <c r="M617" s="55" t="str">
        <f>IFERROR(IF($G617="","",VLOOKUP('Dashboard And Emails Automate'!$G617,Database!$H:$N,7,0)),"")</f>
        <v/>
      </c>
      <c r="N617" s="55" t="str">
        <f>IFERROR(IF(OR($B617="",$B617="(blank)"),"",VLOOKUP($B617,'Email Marketing Raw Data'!$C:$O,6,0)),"")</f>
        <v/>
      </c>
      <c r="O617" s="55" t="str">
        <f>IFERROR(IF(OR($B617="",$B617="(blank)"),"",VLOOKUP($B617,'Email Marketing Raw Data'!$C:$O,7,0)),"")</f>
        <v/>
      </c>
      <c r="P617" s="55" t="str">
        <f>IFERROR(IF(OR($B617="",$B617="(blank)"),"",VLOOKUP($B617,'Email Marketing Raw Data'!$C:$O,8,0)),"")</f>
        <v/>
      </c>
      <c r="Q617" s="62" t="str">
        <f>IFERROR(IF(OR($B617="",$B617="(blank)"),"",VLOOKUP($B617,'Email Marketing Raw Data'!$C:$O,9,0)),"")</f>
        <v/>
      </c>
    </row>
    <row r="618" spans="4:17" ht="12.75" customHeight="1" x14ac:dyDescent="0.2">
      <c r="D618" s="58" t="str">
        <f>IFERROR(IF(F618&lt;&gt;"pending","",IF(OR($B618="",$B618="(blank)"),"",VLOOKUP($B618,'Email Marketing Raw Data'!$C:$O,10,0))),"")</f>
        <v/>
      </c>
      <c r="E618" s="59" t="str">
        <f>IFERROR(IF(F618&lt;&gt;"pending","",IF(OR($B618="",$B618="(blank)"),"",VLOOKUP($B618,'Email Marketing Raw Data'!$C:$O,11,0))),"")</f>
        <v/>
      </c>
      <c r="F618" s="54" t="str">
        <f>IFERROR(IF(OR($B618="",$B618="(blank)"),"",VLOOKUP($B618,'Email Marketing Raw Data'!$C:$O,13,0)),"")</f>
        <v/>
      </c>
      <c r="G618" s="55" t="str">
        <f>IFERROR(IF(OR($B618="",$B618="(blank)"),"",VLOOKUP($B618,'Email Marketing Raw Data'!$C:$O,4,0)),"")</f>
        <v/>
      </c>
      <c r="H618" s="55" t="str">
        <f>IFERROR(IF(OR($B618="",$B618="(blank)"),"",VLOOKUP($B618,'Email Marketing Raw Data'!$C:$O,5,0)),"")</f>
        <v/>
      </c>
      <c r="I618" s="55" t="str">
        <f>IFERROR(IF($G618="","",VLOOKUP('Dashboard And Emails Automate'!$G618,Database!$H:$N,3,0)),"")</f>
        <v/>
      </c>
      <c r="J618" s="55" t="str">
        <f>IFERROR(IF($G618="","",VLOOKUP('Dashboard And Emails Automate'!$G618,Database!$H:$N,4,0)),"")</f>
        <v/>
      </c>
      <c r="K618" s="55" t="str">
        <f>IFERROR(IF($G618="","",VLOOKUP('Dashboard And Emails Automate'!$G618,Database!$H:$N,5,0)),"")</f>
        <v/>
      </c>
      <c r="L618" s="55" t="str">
        <f>IFERROR(IF($G618="","",VLOOKUP('Dashboard And Emails Automate'!$G618,Database!$H:$N,6,0)),"")</f>
        <v/>
      </c>
      <c r="M618" s="55" t="str">
        <f>IFERROR(IF($G618="","",VLOOKUP('Dashboard And Emails Automate'!$G618,Database!$H:$N,7,0)),"")</f>
        <v/>
      </c>
      <c r="N618" s="55" t="str">
        <f>IFERROR(IF(OR($B618="",$B618="(blank)"),"",VLOOKUP($B618,'Email Marketing Raw Data'!$C:$O,6,0)),"")</f>
        <v/>
      </c>
      <c r="O618" s="55" t="str">
        <f>IFERROR(IF(OR($B618="",$B618="(blank)"),"",VLOOKUP($B618,'Email Marketing Raw Data'!$C:$O,7,0)),"")</f>
        <v/>
      </c>
      <c r="P618" s="55" t="str">
        <f>IFERROR(IF(OR($B618="",$B618="(blank)"),"",VLOOKUP($B618,'Email Marketing Raw Data'!$C:$O,8,0)),"")</f>
        <v/>
      </c>
      <c r="Q618" s="62" t="str">
        <f>IFERROR(IF(OR($B618="",$B618="(blank)"),"",VLOOKUP($B618,'Email Marketing Raw Data'!$C:$O,9,0)),"")</f>
        <v/>
      </c>
    </row>
    <row r="619" spans="4:17" ht="12.75" customHeight="1" x14ac:dyDescent="0.2">
      <c r="D619" s="58" t="str">
        <f>IFERROR(IF(F619&lt;&gt;"pending","",IF(OR($B619="",$B619="(blank)"),"",VLOOKUP($B619,'Email Marketing Raw Data'!$C:$O,10,0))),"")</f>
        <v/>
      </c>
      <c r="E619" s="59" t="str">
        <f>IFERROR(IF(F619&lt;&gt;"pending","",IF(OR($B619="",$B619="(blank)"),"",VLOOKUP($B619,'Email Marketing Raw Data'!$C:$O,11,0))),"")</f>
        <v/>
      </c>
      <c r="F619" s="54" t="str">
        <f>IFERROR(IF(OR($B619="",$B619="(blank)"),"",VLOOKUP($B619,'Email Marketing Raw Data'!$C:$O,13,0)),"")</f>
        <v/>
      </c>
      <c r="G619" s="55" t="str">
        <f>IFERROR(IF(OR($B619="",$B619="(blank)"),"",VLOOKUP($B619,'Email Marketing Raw Data'!$C:$O,4,0)),"")</f>
        <v/>
      </c>
      <c r="H619" s="55" t="str">
        <f>IFERROR(IF(OR($B619="",$B619="(blank)"),"",VLOOKUP($B619,'Email Marketing Raw Data'!$C:$O,5,0)),"")</f>
        <v/>
      </c>
      <c r="I619" s="55" t="str">
        <f>IFERROR(IF($G619="","",VLOOKUP('Dashboard And Emails Automate'!$G619,Database!$H:$N,3,0)),"")</f>
        <v/>
      </c>
      <c r="J619" s="55" t="str">
        <f>IFERROR(IF($G619="","",VLOOKUP('Dashboard And Emails Automate'!$G619,Database!$H:$N,4,0)),"")</f>
        <v/>
      </c>
      <c r="K619" s="55" t="str">
        <f>IFERROR(IF($G619="","",VLOOKUP('Dashboard And Emails Automate'!$G619,Database!$H:$N,5,0)),"")</f>
        <v/>
      </c>
      <c r="L619" s="55" t="str">
        <f>IFERROR(IF($G619="","",VLOOKUP('Dashboard And Emails Automate'!$G619,Database!$H:$N,6,0)),"")</f>
        <v/>
      </c>
      <c r="M619" s="55" t="str">
        <f>IFERROR(IF($G619="","",VLOOKUP('Dashboard And Emails Automate'!$G619,Database!$H:$N,7,0)),"")</f>
        <v/>
      </c>
      <c r="N619" s="55" t="str">
        <f>IFERROR(IF(OR($B619="",$B619="(blank)"),"",VLOOKUP($B619,'Email Marketing Raw Data'!$C:$O,6,0)),"")</f>
        <v/>
      </c>
      <c r="O619" s="55" t="str">
        <f>IFERROR(IF(OR($B619="",$B619="(blank)"),"",VLOOKUP($B619,'Email Marketing Raw Data'!$C:$O,7,0)),"")</f>
        <v/>
      </c>
      <c r="P619" s="55" t="str">
        <f>IFERROR(IF(OR($B619="",$B619="(blank)"),"",VLOOKUP($B619,'Email Marketing Raw Data'!$C:$O,8,0)),"")</f>
        <v/>
      </c>
      <c r="Q619" s="62" t="str">
        <f>IFERROR(IF(OR($B619="",$B619="(blank)"),"",VLOOKUP($B619,'Email Marketing Raw Data'!$C:$O,9,0)),"")</f>
        <v/>
      </c>
    </row>
    <row r="620" spans="4:17" ht="12.75" customHeight="1" x14ac:dyDescent="0.2">
      <c r="D620" s="58" t="str">
        <f>IFERROR(IF(F620&lt;&gt;"pending","",IF(OR($B620="",$B620="(blank)"),"",VLOOKUP($B620,'Email Marketing Raw Data'!$C:$O,10,0))),"")</f>
        <v/>
      </c>
      <c r="E620" s="59" t="str">
        <f>IFERROR(IF(F620&lt;&gt;"pending","",IF(OR($B620="",$B620="(blank)"),"",VLOOKUP($B620,'Email Marketing Raw Data'!$C:$O,11,0))),"")</f>
        <v/>
      </c>
      <c r="F620" s="54" t="str">
        <f>IFERROR(IF(OR($B620="",$B620="(blank)"),"",VLOOKUP($B620,'Email Marketing Raw Data'!$C:$O,13,0)),"")</f>
        <v/>
      </c>
      <c r="G620" s="55" t="str">
        <f>IFERROR(IF(OR($B620="",$B620="(blank)"),"",VLOOKUP($B620,'Email Marketing Raw Data'!$C:$O,4,0)),"")</f>
        <v/>
      </c>
      <c r="H620" s="55" t="str">
        <f>IFERROR(IF(OR($B620="",$B620="(blank)"),"",VLOOKUP($B620,'Email Marketing Raw Data'!$C:$O,5,0)),"")</f>
        <v/>
      </c>
      <c r="I620" s="55" t="str">
        <f>IFERROR(IF($G620="","",VLOOKUP('Dashboard And Emails Automate'!$G620,Database!$H:$N,3,0)),"")</f>
        <v/>
      </c>
      <c r="J620" s="55" t="str">
        <f>IFERROR(IF($G620="","",VLOOKUP('Dashboard And Emails Automate'!$G620,Database!$H:$N,4,0)),"")</f>
        <v/>
      </c>
      <c r="K620" s="55" t="str">
        <f>IFERROR(IF($G620="","",VLOOKUP('Dashboard And Emails Automate'!$G620,Database!$H:$N,5,0)),"")</f>
        <v/>
      </c>
      <c r="L620" s="55" t="str">
        <f>IFERROR(IF($G620="","",VLOOKUP('Dashboard And Emails Automate'!$G620,Database!$H:$N,6,0)),"")</f>
        <v/>
      </c>
      <c r="M620" s="55" t="str">
        <f>IFERROR(IF($G620="","",VLOOKUP('Dashboard And Emails Automate'!$G620,Database!$H:$N,7,0)),"")</f>
        <v/>
      </c>
      <c r="N620" s="55" t="str">
        <f>IFERROR(IF(OR($B620="",$B620="(blank)"),"",VLOOKUP($B620,'Email Marketing Raw Data'!$C:$O,6,0)),"")</f>
        <v/>
      </c>
      <c r="O620" s="55" t="str">
        <f>IFERROR(IF(OR($B620="",$B620="(blank)"),"",VLOOKUP($B620,'Email Marketing Raw Data'!$C:$O,7,0)),"")</f>
        <v/>
      </c>
      <c r="P620" s="55" t="str">
        <f>IFERROR(IF(OR($B620="",$B620="(blank)"),"",VLOOKUP($B620,'Email Marketing Raw Data'!$C:$O,8,0)),"")</f>
        <v/>
      </c>
      <c r="Q620" s="62" t="str">
        <f>IFERROR(IF(OR($B620="",$B620="(blank)"),"",VLOOKUP($B620,'Email Marketing Raw Data'!$C:$O,9,0)),"")</f>
        <v/>
      </c>
    </row>
    <row r="621" spans="4:17" ht="12.75" customHeight="1" x14ac:dyDescent="0.2">
      <c r="D621" s="58" t="str">
        <f>IFERROR(IF(F621&lt;&gt;"pending","",IF(OR($B621="",$B621="(blank)"),"",VLOOKUP($B621,'Email Marketing Raw Data'!$C:$O,10,0))),"")</f>
        <v/>
      </c>
      <c r="E621" s="59" t="str">
        <f>IFERROR(IF(F621&lt;&gt;"pending","",IF(OR($B621="",$B621="(blank)"),"",VLOOKUP($B621,'Email Marketing Raw Data'!$C:$O,11,0))),"")</f>
        <v/>
      </c>
      <c r="F621" s="54" t="str">
        <f>IFERROR(IF(OR($B621="",$B621="(blank)"),"",VLOOKUP($B621,'Email Marketing Raw Data'!$C:$O,13,0)),"")</f>
        <v/>
      </c>
      <c r="G621" s="55" t="str">
        <f>IFERROR(IF(OR($B621="",$B621="(blank)"),"",VLOOKUP($B621,'Email Marketing Raw Data'!$C:$O,4,0)),"")</f>
        <v/>
      </c>
      <c r="H621" s="55" t="str">
        <f>IFERROR(IF(OR($B621="",$B621="(blank)"),"",VLOOKUP($B621,'Email Marketing Raw Data'!$C:$O,5,0)),"")</f>
        <v/>
      </c>
      <c r="I621" s="55" t="str">
        <f>IFERROR(IF($G621="","",VLOOKUP('Dashboard And Emails Automate'!$G621,Database!$H:$N,3,0)),"")</f>
        <v/>
      </c>
      <c r="J621" s="55" t="str">
        <f>IFERROR(IF($G621="","",VLOOKUP('Dashboard And Emails Automate'!$G621,Database!$H:$N,4,0)),"")</f>
        <v/>
      </c>
      <c r="K621" s="55" t="str">
        <f>IFERROR(IF($G621="","",VLOOKUP('Dashboard And Emails Automate'!$G621,Database!$H:$N,5,0)),"")</f>
        <v/>
      </c>
      <c r="L621" s="55" t="str">
        <f>IFERROR(IF($G621="","",VLOOKUP('Dashboard And Emails Automate'!$G621,Database!$H:$N,6,0)),"")</f>
        <v/>
      </c>
      <c r="M621" s="55" t="str">
        <f>IFERROR(IF($G621="","",VLOOKUP('Dashboard And Emails Automate'!$G621,Database!$H:$N,7,0)),"")</f>
        <v/>
      </c>
      <c r="N621" s="55" t="str">
        <f>IFERROR(IF(OR($B621="",$B621="(blank)"),"",VLOOKUP($B621,'Email Marketing Raw Data'!$C:$O,6,0)),"")</f>
        <v/>
      </c>
      <c r="O621" s="55" t="str">
        <f>IFERROR(IF(OR($B621="",$B621="(blank)"),"",VLOOKUP($B621,'Email Marketing Raw Data'!$C:$O,7,0)),"")</f>
        <v/>
      </c>
      <c r="P621" s="55" t="str">
        <f>IFERROR(IF(OR($B621="",$B621="(blank)"),"",VLOOKUP($B621,'Email Marketing Raw Data'!$C:$O,8,0)),"")</f>
        <v/>
      </c>
      <c r="Q621" s="62" t="str">
        <f>IFERROR(IF(OR($B621="",$B621="(blank)"),"",VLOOKUP($B621,'Email Marketing Raw Data'!$C:$O,9,0)),"")</f>
        <v/>
      </c>
    </row>
    <row r="622" spans="4:17" ht="12.75" customHeight="1" x14ac:dyDescent="0.2">
      <c r="D622" s="58" t="str">
        <f>IFERROR(IF(F622&lt;&gt;"pending","",IF(OR($B622="",$B622="(blank)"),"",VLOOKUP($B622,'Email Marketing Raw Data'!$C:$O,10,0))),"")</f>
        <v/>
      </c>
      <c r="E622" s="59" t="str">
        <f>IFERROR(IF(F622&lt;&gt;"pending","",IF(OR($B622="",$B622="(blank)"),"",VLOOKUP($B622,'Email Marketing Raw Data'!$C:$O,11,0))),"")</f>
        <v/>
      </c>
      <c r="F622" s="54" t="str">
        <f>IFERROR(IF(OR($B622="",$B622="(blank)"),"",VLOOKUP($B622,'Email Marketing Raw Data'!$C:$O,13,0)),"")</f>
        <v/>
      </c>
      <c r="G622" s="55" t="str">
        <f>IFERROR(IF(OR($B622="",$B622="(blank)"),"",VLOOKUP($B622,'Email Marketing Raw Data'!$C:$O,4,0)),"")</f>
        <v/>
      </c>
      <c r="H622" s="55" t="str">
        <f>IFERROR(IF(OR($B622="",$B622="(blank)"),"",VLOOKUP($B622,'Email Marketing Raw Data'!$C:$O,5,0)),"")</f>
        <v/>
      </c>
      <c r="I622" s="55" t="str">
        <f>IFERROR(IF($G622="","",VLOOKUP('Dashboard And Emails Automate'!$G622,Database!$H:$N,3,0)),"")</f>
        <v/>
      </c>
      <c r="J622" s="55" t="str">
        <f>IFERROR(IF($G622="","",VLOOKUP('Dashboard And Emails Automate'!$G622,Database!$H:$N,4,0)),"")</f>
        <v/>
      </c>
      <c r="K622" s="55" t="str">
        <f>IFERROR(IF($G622="","",VLOOKUP('Dashboard And Emails Automate'!$G622,Database!$H:$N,5,0)),"")</f>
        <v/>
      </c>
      <c r="L622" s="55" t="str">
        <f>IFERROR(IF($G622="","",VLOOKUP('Dashboard And Emails Automate'!$G622,Database!$H:$N,6,0)),"")</f>
        <v/>
      </c>
      <c r="M622" s="55" t="str">
        <f>IFERROR(IF($G622="","",VLOOKUP('Dashboard And Emails Automate'!$G622,Database!$H:$N,7,0)),"")</f>
        <v/>
      </c>
      <c r="N622" s="55" t="str">
        <f>IFERROR(IF(OR($B622="",$B622="(blank)"),"",VLOOKUP($B622,'Email Marketing Raw Data'!$C:$O,6,0)),"")</f>
        <v/>
      </c>
      <c r="O622" s="55" t="str">
        <f>IFERROR(IF(OR($B622="",$B622="(blank)"),"",VLOOKUP($B622,'Email Marketing Raw Data'!$C:$O,7,0)),"")</f>
        <v/>
      </c>
      <c r="P622" s="55" t="str">
        <f>IFERROR(IF(OR($B622="",$B622="(blank)"),"",VLOOKUP($B622,'Email Marketing Raw Data'!$C:$O,8,0)),"")</f>
        <v/>
      </c>
      <c r="Q622" s="62" t="str">
        <f>IFERROR(IF(OR($B622="",$B622="(blank)"),"",VLOOKUP($B622,'Email Marketing Raw Data'!$C:$O,9,0)),"")</f>
        <v/>
      </c>
    </row>
    <row r="623" spans="4:17" ht="12.75" customHeight="1" x14ac:dyDescent="0.2">
      <c r="D623" s="58" t="str">
        <f>IFERROR(IF(F623&lt;&gt;"pending","",IF(OR($B623="",$B623="(blank)"),"",VLOOKUP($B623,'Email Marketing Raw Data'!$C:$O,10,0))),"")</f>
        <v/>
      </c>
      <c r="E623" s="59" t="str">
        <f>IFERROR(IF(F623&lt;&gt;"pending","",IF(OR($B623="",$B623="(blank)"),"",VLOOKUP($B623,'Email Marketing Raw Data'!$C:$O,11,0))),"")</f>
        <v/>
      </c>
      <c r="F623" s="54" t="str">
        <f>IFERROR(IF(OR($B623="",$B623="(blank)"),"",VLOOKUP($B623,'Email Marketing Raw Data'!$C:$O,13,0)),"")</f>
        <v/>
      </c>
      <c r="G623" s="55" t="str">
        <f>IFERROR(IF(OR($B623="",$B623="(blank)"),"",VLOOKUP($B623,'Email Marketing Raw Data'!$C:$O,4,0)),"")</f>
        <v/>
      </c>
      <c r="H623" s="55" t="str">
        <f>IFERROR(IF(OR($B623="",$B623="(blank)"),"",VLOOKUP($B623,'Email Marketing Raw Data'!$C:$O,5,0)),"")</f>
        <v/>
      </c>
      <c r="I623" s="55" t="str">
        <f>IFERROR(IF($G623="","",VLOOKUP('Dashboard And Emails Automate'!$G623,Database!$H:$N,3,0)),"")</f>
        <v/>
      </c>
      <c r="J623" s="55" t="str">
        <f>IFERROR(IF($G623="","",VLOOKUP('Dashboard And Emails Automate'!$G623,Database!$H:$N,4,0)),"")</f>
        <v/>
      </c>
      <c r="K623" s="55" t="str">
        <f>IFERROR(IF($G623="","",VLOOKUP('Dashboard And Emails Automate'!$G623,Database!$H:$N,5,0)),"")</f>
        <v/>
      </c>
      <c r="L623" s="55" t="str">
        <f>IFERROR(IF($G623="","",VLOOKUP('Dashboard And Emails Automate'!$G623,Database!$H:$N,6,0)),"")</f>
        <v/>
      </c>
      <c r="M623" s="55" t="str">
        <f>IFERROR(IF($G623="","",VLOOKUP('Dashboard And Emails Automate'!$G623,Database!$H:$N,7,0)),"")</f>
        <v/>
      </c>
      <c r="N623" s="55" t="str">
        <f>IFERROR(IF(OR($B623="",$B623="(blank)"),"",VLOOKUP($B623,'Email Marketing Raw Data'!$C:$O,6,0)),"")</f>
        <v/>
      </c>
      <c r="O623" s="55" t="str">
        <f>IFERROR(IF(OR($B623="",$B623="(blank)"),"",VLOOKUP($B623,'Email Marketing Raw Data'!$C:$O,7,0)),"")</f>
        <v/>
      </c>
      <c r="P623" s="55" t="str">
        <f>IFERROR(IF(OR($B623="",$B623="(blank)"),"",VLOOKUP($B623,'Email Marketing Raw Data'!$C:$O,8,0)),"")</f>
        <v/>
      </c>
      <c r="Q623" s="62" t="str">
        <f>IFERROR(IF(OR($B623="",$B623="(blank)"),"",VLOOKUP($B623,'Email Marketing Raw Data'!$C:$O,9,0)),"")</f>
        <v/>
      </c>
    </row>
    <row r="624" spans="4:17" ht="12.75" customHeight="1" x14ac:dyDescent="0.2">
      <c r="D624" s="58" t="str">
        <f>IFERROR(IF(F624&lt;&gt;"pending","",IF(OR($B624="",$B624="(blank)"),"",VLOOKUP($B624,'Email Marketing Raw Data'!$C:$O,10,0))),"")</f>
        <v/>
      </c>
      <c r="E624" s="59" t="str">
        <f>IFERROR(IF(F624&lt;&gt;"pending","",IF(OR($B624="",$B624="(blank)"),"",VLOOKUP($B624,'Email Marketing Raw Data'!$C:$O,11,0))),"")</f>
        <v/>
      </c>
      <c r="F624" s="54" t="str">
        <f>IFERROR(IF(OR($B624="",$B624="(blank)"),"",VLOOKUP($B624,'Email Marketing Raw Data'!$C:$O,13,0)),"")</f>
        <v/>
      </c>
      <c r="G624" s="55" t="str">
        <f>IFERROR(IF(OR($B624="",$B624="(blank)"),"",VLOOKUP($B624,'Email Marketing Raw Data'!$C:$O,4,0)),"")</f>
        <v/>
      </c>
      <c r="H624" s="55" t="str">
        <f>IFERROR(IF(OR($B624="",$B624="(blank)"),"",VLOOKUP($B624,'Email Marketing Raw Data'!$C:$O,5,0)),"")</f>
        <v/>
      </c>
      <c r="I624" s="55" t="str">
        <f>IFERROR(IF($G624="","",VLOOKUP('Dashboard And Emails Automate'!$G624,Database!$H:$N,3,0)),"")</f>
        <v/>
      </c>
      <c r="J624" s="55" t="str">
        <f>IFERROR(IF($G624="","",VLOOKUP('Dashboard And Emails Automate'!$G624,Database!$H:$N,4,0)),"")</f>
        <v/>
      </c>
      <c r="K624" s="55" t="str">
        <f>IFERROR(IF($G624="","",VLOOKUP('Dashboard And Emails Automate'!$G624,Database!$H:$N,5,0)),"")</f>
        <v/>
      </c>
      <c r="L624" s="55" t="str">
        <f>IFERROR(IF($G624="","",VLOOKUP('Dashboard And Emails Automate'!$G624,Database!$H:$N,6,0)),"")</f>
        <v/>
      </c>
      <c r="M624" s="55" t="str">
        <f>IFERROR(IF($G624="","",VLOOKUP('Dashboard And Emails Automate'!$G624,Database!$H:$N,7,0)),"")</f>
        <v/>
      </c>
      <c r="N624" s="55" t="str">
        <f>IFERROR(IF(OR($B624="",$B624="(blank)"),"",VLOOKUP($B624,'Email Marketing Raw Data'!$C:$O,6,0)),"")</f>
        <v/>
      </c>
      <c r="O624" s="55" t="str">
        <f>IFERROR(IF(OR($B624="",$B624="(blank)"),"",VLOOKUP($B624,'Email Marketing Raw Data'!$C:$O,7,0)),"")</f>
        <v/>
      </c>
      <c r="P624" s="55" t="str">
        <f>IFERROR(IF(OR($B624="",$B624="(blank)"),"",VLOOKUP($B624,'Email Marketing Raw Data'!$C:$O,8,0)),"")</f>
        <v/>
      </c>
      <c r="Q624" s="62" t="str">
        <f>IFERROR(IF(OR($B624="",$B624="(blank)"),"",VLOOKUP($B624,'Email Marketing Raw Data'!$C:$O,9,0)),"")</f>
        <v/>
      </c>
    </row>
    <row r="625" spans="4:17" ht="12.75" customHeight="1" x14ac:dyDescent="0.2">
      <c r="D625" s="58" t="str">
        <f>IFERROR(IF(F625&lt;&gt;"pending","",IF(OR($B625="",$B625="(blank)"),"",VLOOKUP($B625,'Email Marketing Raw Data'!$C:$O,10,0))),"")</f>
        <v/>
      </c>
      <c r="E625" s="59" t="str">
        <f>IFERROR(IF(F625&lt;&gt;"pending","",IF(OR($B625="",$B625="(blank)"),"",VLOOKUP($B625,'Email Marketing Raw Data'!$C:$O,11,0))),"")</f>
        <v/>
      </c>
      <c r="F625" s="54" t="str">
        <f>IFERROR(IF(OR($B625="",$B625="(blank)"),"",VLOOKUP($B625,'Email Marketing Raw Data'!$C:$O,13,0)),"")</f>
        <v/>
      </c>
      <c r="G625" s="55" t="str">
        <f>IFERROR(IF(OR($B625="",$B625="(blank)"),"",VLOOKUP($B625,'Email Marketing Raw Data'!$C:$O,4,0)),"")</f>
        <v/>
      </c>
      <c r="H625" s="55" t="str">
        <f>IFERROR(IF(OR($B625="",$B625="(blank)"),"",VLOOKUP($B625,'Email Marketing Raw Data'!$C:$O,5,0)),"")</f>
        <v/>
      </c>
      <c r="I625" s="55" t="str">
        <f>IFERROR(IF($G625="","",VLOOKUP('Dashboard And Emails Automate'!$G625,Database!$H:$N,3,0)),"")</f>
        <v/>
      </c>
      <c r="J625" s="55" t="str">
        <f>IFERROR(IF($G625="","",VLOOKUP('Dashboard And Emails Automate'!$G625,Database!$H:$N,4,0)),"")</f>
        <v/>
      </c>
      <c r="K625" s="55" t="str">
        <f>IFERROR(IF($G625="","",VLOOKUP('Dashboard And Emails Automate'!$G625,Database!$H:$N,5,0)),"")</f>
        <v/>
      </c>
      <c r="L625" s="55" t="str">
        <f>IFERROR(IF($G625="","",VLOOKUP('Dashboard And Emails Automate'!$G625,Database!$H:$N,6,0)),"")</f>
        <v/>
      </c>
      <c r="M625" s="55" t="str">
        <f>IFERROR(IF($G625="","",VLOOKUP('Dashboard And Emails Automate'!$G625,Database!$H:$N,7,0)),"")</f>
        <v/>
      </c>
      <c r="N625" s="55" t="str">
        <f>IFERROR(IF(OR($B625="",$B625="(blank)"),"",VLOOKUP($B625,'Email Marketing Raw Data'!$C:$O,6,0)),"")</f>
        <v/>
      </c>
      <c r="O625" s="55" t="str">
        <f>IFERROR(IF(OR($B625="",$B625="(blank)"),"",VLOOKUP($B625,'Email Marketing Raw Data'!$C:$O,7,0)),"")</f>
        <v/>
      </c>
      <c r="P625" s="55" t="str">
        <f>IFERROR(IF(OR($B625="",$B625="(blank)"),"",VLOOKUP($B625,'Email Marketing Raw Data'!$C:$O,8,0)),"")</f>
        <v/>
      </c>
      <c r="Q625" s="62" t="str">
        <f>IFERROR(IF(OR($B625="",$B625="(blank)"),"",VLOOKUP($B625,'Email Marketing Raw Data'!$C:$O,9,0)),"")</f>
        <v/>
      </c>
    </row>
    <row r="626" spans="4:17" ht="12.75" customHeight="1" x14ac:dyDescent="0.2">
      <c r="D626" s="58" t="str">
        <f>IFERROR(IF(F626&lt;&gt;"pending","",IF(OR($B626="",$B626="(blank)"),"",VLOOKUP($B626,'Email Marketing Raw Data'!$C:$O,10,0))),"")</f>
        <v/>
      </c>
      <c r="E626" s="59" t="str">
        <f>IFERROR(IF(F626&lt;&gt;"pending","",IF(OR($B626="",$B626="(blank)"),"",VLOOKUP($B626,'Email Marketing Raw Data'!$C:$O,11,0))),"")</f>
        <v/>
      </c>
      <c r="F626" s="54" t="str">
        <f>IFERROR(IF(OR($B626="",$B626="(blank)"),"",VLOOKUP($B626,'Email Marketing Raw Data'!$C:$O,13,0)),"")</f>
        <v/>
      </c>
      <c r="G626" s="55" t="str">
        <f>IFERROR(IF(OR($B626="",$B626="(blank)"),"",VLOOKUP($B626,'Email Marketing Raw Data'!$C:$O,4,0)),"")</f>
        <v/>
      </c>
      <c r="H626" s="55" t="str">
        <f>IFERROR(IF(OR($B626="",$B626="(blank)"),"",VLOOKUP($B626,'Email Marketing Raw Data'!$C:$O,5,0)),"")</f>
        <v/>
      </c>
      <c r="I626" s="55" t="str">
        <f>IFERROR(IF($G626="","",VLOOKUP('Dashboard And Emails Automate'!$G626,Database!$H:$N,3,0)),"")</f>
        <v/>
      </c>
      <c r="J626" s="55" t="str">
        <f>IFERROR(IF($G626="","",VLOOKUP('Dashboard And Emails Automate'!$G626,Database!$H:$N,4,0)),"")</f>
        <v/>
      </c>
      <c r="K626" s="55" t="str">
        <f>IFERROR(IF($G626="","",VLOOKUP('Dashboard And Emails Automate'!$G626,Database!$H:$N,5,0)),"")</f>
        <v/>
      </c>
      <c r="L626" s="55" t="str">
        <f>IFERROR(IF($G626="","",VLOOKUP('Dashboard And Emails Automate'!$G626,Database!$H:$N,6,0)),"")</f>
        <v/>
      </c>
      <c r="M626" s="55" t="str">
        <f>IFERROR(IF($G626="","",VLOOKUP('Dashboard And Emails Automate'!$G626,Database!$H:$N,7,0)),"")</f>
        <v/>
      </c>
      <c r="N626" s="55" t="str">
        <f>IFERROR(IF(OR($B626="",$B626="(blank)"),"",VLOOKUP($B626,'Email Marketing Raw Data'!$C:$O,6,0)),"")</f>
        <v/>
      </c>
      <c r="O626" s="55" t="str">
        <f>IFERROR(IF(OR($B626="",$B626="(blank)"),"",VLOOKUP($B626,'Email Marketing Raw Data'!$C:$O,7,0)),"")</f>
        <v/>
      </c>
      <c r="P626" s="55" t="str">
        <f>IFERROR(IF(OR($B626="",$B626="(blank)"),"",VLOOKUP($B626,'Email Marketing Raw Data'!$C:$O,8,0)),"")</f>
        <v/>
      </c>
      <c r="Q626" s="62" t="str">
        <f>IFERROR(IF(OR($B626="",$B626="(blank)"),"",VLOOKUP($B626,'Email Marketing Raw Data'!$C:$O,9,0)),"")</f>
        <v/>
      </c>
    </row>
    <row r="627" spans="4:17" ht="12.75" customHeight="1" x14ac:dyDescent="0.2">
      <c r="D627" s="58" t="str">
        <f>IFERROR(IF(F627&lt;&gt;"pending","",IF(OR($B627="",$B627="(blank)"),"",VLOOKUP($B627,'Email Marketing Raw Data'!$C:$O,10,0))),"")</f>
        <v/>
      </c>
      <c r="E627" s="59" t="str">
        <f>IFERROR(IF(F627&lt;&gt;"pending","",IF(OR($B627="",$B627="(blank)"),"",VLOOKUP($B627,'Email Marketing Raw Data'!$C:$O,11,0))),"")</f>
        <v/>
      </c>
      <c r="F627" s="54" t="str">
        <f>IFERROR(IF(OR($B627="",$B627="(blank)"),"",VLOOKUP($B627,'Email Marketing Raw Data'!$C:$O,13,0)),"")</f>
        <v/>
      </c>
      <c r="G627" s="55" t="str">
        <f>IFERROR(IF(OR($B627="",$B627="(blank)"),"",VLOOKUP($B627,'Email Marketing Raw Data'!$C:$O,4,0)),"")</f>
        <v/>
      </c>
      <c r="H627" s="55" t="str">
        <f>IFERROR(IF(OR($B627="",$B627="(blank)"),"",VLOOKUP($B627,'Email Marketing Raw Data'!$C:$O,5,0)),"")</f>
        <v/>
      </c>
      <c r="I627" s="55" t="str">
        <f>IFERROR(IF($G627="","",VLOOKUP('Dashboard And Emails Automate'!$G627,Database!$H:$N,3,0)),"")</f>
        <v/>
      </c>
      <c r="J627" s="55" t="str">
        <f>IFERROR(IF($G627="","",VLOOKUP('Dashboard And Emails Automate'!$G627,Database!$H:$N,4,0)),"")</f>
        <v/>
      </c>
      <c r="K627" s="55" t="str">
        <f>IFERROR(IF($G627="","",VLOOKUP('Dashboard And Emails Automate'!$G627,Database!$H:$N,5,0)),"")</f>
        <v/>
      </c>
      <c r="L627" s="55" t="str">
        <f>IFERROR(IF($G627="","",VLOOKUP('Dashboard And Emails Automate'!$G627,Database!$H:$N,6,0)),"")</f>
        <v/>
      </c>
      <c r="M627" s="55" t="str">
        <f>IFERROR(IF($G627="","",VLOOKUP('Dashboard And Emails Automate'!$G627,Database!$H:$N,7,0)),"")</f>
        <v/>
      </c>
      <c r="N627" s="55" t="str">
        <f>IFERROR(IF(OR($B627="",$B627="(blank)"),"",VLOOKUP($B627,'Email Marketing Raw Data'!$C:$O,6,0)),"")</f>
        <v/>
      </c>
      <c r="O627" s="55" t="str">
        <f>IFERROR(IF(OR($B627="",$B627="(blank)"),"",VLOOKUP($B627,'Email Marketing Raw Data'!$C:$O,7,0)),"")</f>
        <v/>
      </c>
      <c r="P627" s="55" t="str">
        <f>IFERROR(IF(OR($B627="",$B627="(blank)"),"",VLOOKUP($B627,'Email Marketing Raw Data'!$C:$O,8,0)),"")</f>
        <v/>
      </c>
      <c r="Q627" s="62" t="str">
        <f>IFERROR(IF(OR($B627="",$B627="(blank)"),"",VLOOKUP($B627,'Email Marketing Raw Data'!$C:$O,9,0)),"")</f>
        <v/>
      </c>
    </row>
    <row r="628" spans="4:17" ht="12.75" customHeight="1" x14ac:dyDescent="0.2">
      <c r="D628" s="58" t="str">
        <f>IFERROR(IF(F628&lt;&gt;"pending","",IF(OR($B628="",$B628="(blank)"),"",VLOOKUP($B628,'Email Marketing Raw Data'!$C:$O,10,0))),"")</f>
        <v/>
      </c>
      <c r="E628" s="59" t="str">
        <f>IFERROR(IF(F628&lt;&gt;"pending","",IF(OR($B628="",$B628="(blank)"),"",VLOOKUP($B628,'Email Marketing Raw Data'!$C:$O,11,0))),"")</f>
        <v/>
      </c>
      <c r="F628" s="54" t="str">
        <f>IFERROR(IF(OR($B628="",$B628="(blank)"),"",VLOOKUP($B628,'Email Marketing Raw Data'!$C:$O,13,0)),"")</f>
        <v/>
      </c>
      <c r="G628" s="55" t="str">
        <f>IFERROR(IF(OR($B628="",$B628="(blank)"),"",VLOOKUP($B628,'Email Marketing Raw Data'!$C:$O,4,0)),"")</f>
        <v/>
      </c>
      <c r="H628" s="55" t="str">
        <f>IFERROR(IF(OR($B628="",$B628="(blank)"),"",VLOOKUP($B628,'Email Marketing Raw Data'!$C:$O,5,0)),"")</f>
        <v/>
      </c>
      <c r="I628" s="55" t="str">
        <f>IFERROR(IF($G628="","",VLOOKUP('Dashboard And Emails Automate'!$G628,Database!$H:$N,3,0)),"")</f>
        <v/>
      </c>
      <c r="J628" s="55" t="str">
        <f>IFERROR(IF($G628="","",VLOOKUP('Dashboard And Emails Automate'!$G628,Database!$H:$N,4,0)),"")</f>
        <v/>
      </c>
      <c r="K628" s="55" t="str">
        <f>IFERROR(IF($G628="","",VLOOKUP('Dashboard And Emails Automate'!$G628,Database!$H:$N,5,0)),"")</f>
        <v/>
      </c>
      <c r="L628" s="55" t="str">
        <f>IFERROR(IF($G628="","",VLOOKUP('Dashboard And Emails Automate'!$G628,Database!$H:$N,6,0)),"")</f>
        <v/>
      </c>
      <c r="M628" s="55" t="str">
        <f>IFERROR(IF($G628="","",VLOOKUP('Dashboard And Emails Automate'!$G628,Database!$H:$N,7,0)),"")</f>
        <v/>
      </c>
      <c r="N628" s="55" t="str">
        <f>IFERROR(IF(OR($B628="",$B628="(blank)"),"",VLOOKUP($B628,'Email Marketing Raw Data'!$C:$O,6,0)),"")</f>
        <v/>
      </c>
      <c r="O628" s="55" t="str">
        <f>IFERROR(IF(OR($B628="",$B628="(blank)"),"",VLOOKUP($B628,'Email Marketing Raw Data'!$C:$O,7,0)),"")</f>
        <v/>
      </c>
      <c r="P628" s="55" t="str">
        <f>IFERROR(IF(OR($B628="",$B628="(blank)"),"",VLOOKUP($B628,'Email Marketing Raw Data'!$C:$O,8,0)),"")</f>
        <v/>
      </c>
      <c r="Q628" s="62" t="str">
        <f>IFERROR(IF(OR($B628="",$B628="(blank)"),"",VLOOKUP($B628,'Email Marketing Raw Data'!$C:$O,9,0)),"")</f>
        <v/>
      </c>
    </row>
    <row r="629" spans="4:17" ht="12.75" customHeight="1" x14ac:dyDescent="0.2">
      <c r="D629" s="58" t="str">
        <f>IFERROR(IF(F629&lt;&gt;"pending","",IF(OR($B629="",$B629="(blank)"),"",VLOOKUP($B629,'Email Marketing Raw Data'!$C:$O,10,0))),"")</f>
        <v/>
      </c>
      <c r="E629" s="59" t="str">
        <f>IFERROR(IF(F629&lt;&gt;"pending","",IF(OR($B629="",$B629="(blank)"),"",VLOOKUP($B629,'Email Marketing Raw Data'!$C:$O,11,0))),"")</f>
        <v/>
      </c>
      <c r="F629" s="54" t="str">
        <f>IFERROR(IF(OR($B629="",$B629="(blank)"),"",VLOOKUP($B629,'Email Marketing Raw Data'!$C:$O,13,0)),"")</f>
        <v/>
      </c>
      <c r="G629" s="55" t="str">
        <f>IFERROR(IF(OR($B629="",$B629="(blank)"),"",VLOOKUP($B629,'Email Marketing Raw Data'!$C:$O,4,0)),"")</f>
        <v/>
      </c>
      <c r="H629" s="55" t="str">
        <f>IFERROR(IF(OR($B629="",$B629="(blank)"),"",VLOOKUP($B629,'Email Marketing Raw Data'!$C:$O,5,0)),"")</f>
        <v/>
      </c>
      <c r="I629" s="55" t="str">
        <f>IFERROR(IF($G629="","",VLOOKUP('Dashboard And Emails Automate'!$G629,Database!$H:$N,3,0)),"")</f>
        <v/>
      </c>
      <c r="J629" s="55" t="str">
        <f>IFERROR(IF($G629="","",VLOOKUP('Dashboard And Emails Automate'!$G629,Database!$H:$N,4,0)),"")</f>
        <v/>
      </c>
      <c r="K629" s="55" t="str">
        <f>IFERROR(IF($G629="","",VLOOKUP('Dashboard And Emails Automate'!$G629,Database!$H:$N,5,0)),"")</f>
        <v/>
      </c>
      <c r="L629" s="55" t="str">
        <f>IFERROR(IF($G629="","",VLOOKUP('Dashboard And Emails Automate'!$G629,Database!$H:$N,6,0)),"")</f>
        <v/>
      </c>
      <c r="M629" s="55" t="str">
        <f>IFERROR(IF($G629="","",VLOOKUP('Dashboard And Emails Automate'!$G629,Database!$H:$N,7,0)),"")</f>
        <v/>
      </c>
      <c r="N629" s="55" t="str">
        <f>IFERROR(IF(OR($B629="",$B629="(blank)"),"",VLOOKUP($B629,'Email Marketing Raw Data'!$C:$O,6,0)),"")</f>
        <v/>
      </c>
      <c r="O629" s="55" t="str">
        <f>IFERROR(IF(OR($B629="",$B629="(blank)"),"",VLOOKUP($B629,'Email Marketing Raw Data'!$C:$O,7,0)),"")</f>
        <v/>
      </c>
      <c r="P629" s="55" t="str">
        <f>IFERROR(IF(OR($B629="",$B629="(blank)"),"",VLOOKUP($B629,'Email Marketing Raw Data'!$C:$O,8,0)),"")</f>
        <v/>
      </c>
      <c r="Q629" s="62" t="str">
        <f>IFERROR(IF(OR($B629="",$B629="(blank)"),"",VLOOKUP($B629,'Email Marketing Raw Data'!$C:$O,9,0)),"")</f>
        <v/>
      </c>
    </row>
    <row r="630" spans="4:17" ht="12.75" customHeight="1" x14ac:dyDescent="0.2">
      <c r="D630" s="58" t="str">
        <f>IFERROR(IF(F630&lt;&gt;"pending","",IF(OR($B630="",$B630="(blank)"),"",VLOOKUP($B630,'Email Marketing Raw Data'!$C:$O,10,0))),"")</f>
        <v/>
      </c>
      <c r="E630" s="59" t="str">
        <f>IFERROR(IF(F630&lt;&gt;"pending","",IF(OR($B630="",$B630="(blank)"),"",VLOOKUP($B630,'Email Marketing Raw Data'!$C:$O,11,0))),"")</f>
        <v/>
      </c>
      <c r="F630" s="54" t="str">
        <f>IFERROR(IF(OR($B630="",$B630="(blank)"),"",VLOOKUP($B630,'Email Marketing Raw Data'!$C:$O,13,0)),"")</f>
        <v/>
      </c>
      <c r="G630" s="55" t="str">
        <f>IFERROR(IF(OR($B630="",$B630="(blank)"),"",VLOOKUP($B630,'Email Marketing Raw Data'!$C:$O,4,0)),"")</f>
        <v/>
      </c>
      <c r="H630" s="55" t="str">
        <f>IFERROR(IF(OR($B630="",$B630="(blank)"),"",VLOOKUP($B630,'Email Marketing Raw Data'!$C:$O,5,0)),"")</f>
        <v/>
      </c>
      <c r="I630" s="55" t="str">
        <f>IFERROR(IF($G630="","",VLOOKUP('Dashboard And Emails Automate'!$G630,Database!$H:$N,3,0)),"")</f>
        <v/>
      </c>
      <c r="J630" s="55" t="str">
        <f>IFERROR(IF($G630="","",VLOOKUP('Dashboard And Emails Automate'!$G630,Database!$H:$N,4,0)),"")</f>
        <v/>
      </c>
      <c r="K630" s="55" t="str">
        <f>IFERROR(IF($G630="","",VLOOKUP('Dashboard And Emails Automate'!$G630,Database!$H:$N,5,0)),"")</f>
        <v/>
      </c>
      <c r="L630" s="55" t="str">
        <f>IFERROR(IF($G630="","",VLOOKUP('Dashboard And Emails Automate'!$G630,Database!$H:$N,6,0)),"")</f>
        <v/>
      </c>
      <c r="M630" s="55" t="str">
        <f>IFERROR(IF($G630="","",VLOOKUP('Dashboard And Emails Automate'!$G630,Database!$H:$N,7,0)),"")</f>
        <v/>
      </c>
      <c r="N630" s="55" t="str">
        <f>IFERROR(IF(OR($B630="",$B630="(blank)"),"",VLOOKUP($B630,'Email Marketing Raw Data'!$C:$O,6,0)),"")</f>
        <v/>
      </c>
      <c r="O630" s="55" t="str">
        <f>IFERROR(IF(OR($B630="",$B630="(blank)"),"",VLOOKUP($B630,'Email Marketing Raw Data'!$C:$O,7,0)),"")</f>
        <v/>
      </c>
      <c r="P630" s="55" t="str">
        <f>IFERROR(IF(OR($B630="",$B630="(blank)"),"",VLOOKUP($B630,'Email Marketing Raw Data'!$C:$O,8,0)),"")</f>
        <v/>
      </c>
      <c r="Q630" s="62" t="str">
        <f>IFERROR(IF(OR($B630="",$B630="(blank)"),"",VLOOKUP($B630,'Email Marketing Raw Data'!$C:$O,9,0)),"")</f>
        <v/>
      </c>
    </row>
    <row r="631" spans="4:17" ht="12.75" customHeight="1" x14ac:dyDescent="0.2">
      <c r="D631" s="58" t="str">
        <f>IFERROR(IF(F631&lt;&gt;"pending","",IF(OR($B631="",$B631="(blank)"),"",VLOOKUP($B631,'Email Marketing Raw Data'!$C:$O,10,0))),"")</f>
        <v/>
      </c>
      <c r="E631" s="59" t="str">
        <f>IFERROR(IF(F631&lt;&gt;"pending","",IF(OR($B631="",$B631="(blank)"),"",VLOOKUP($B631,'Email Marketing Raw Data'!$C:$O,11,0))),"")</f>
        <v/>
      </c>
      <c r="F631" s="54" t="str">
        <f>IFERROR(IF(OR($B631="",$B631="(blank)"),"",VLOOKUP($B631,'Email Marketing Raw Data'!$C:$O,13,0)),"")</f>
        <v/>
      </c>
      <c r="G631" s="55" t="str">
        <f>IFERROR(IF(OR($B631="",$B631="(blank)"),"",VLOOKUP($B631,'Email Marketing Raw Data'!$C:$O,4,0)),"")</f>
        <v/>
      </c>
      <c r="H631" s="55" t="str">
        <f>IFERROR(IF(OR($B631="",$B631="(blank)"),"",VLOOKUP($B631,'Email Marketing Raw Data'!$C:$O,5,0)),"")</f>
        <v/>
      </c>
      <c r="I631" s="55" t="str">
        <f>IFERROR(IF($G631="","",VLOOKUP('Dashboard And Emails Automate'!$G631,Database!$H:$N,3,0)),"")</f>
        <v/>
      </c>
      <c r="J631" s="55" t="str">
        <f>IFERROR(IF($G631="","",VLOOKUP('Dashboard And Emails Automate'!$G631,Database!$H:$N,4,0)),"")</f>
        <v/>
      </c>
      <c r="K631" s="55" t="str">
        <f>IFERROR(IF($G631="","",VLOOKUP('Dashboard And Emails Automate'!$G631,Database!$H:$N,5,0)),"")</f>
        <v/>
      </c>
      <c r="L631" s="55" t="str">
        <f>IFERROR(IF($G631="","",VLOOKUP('Dashboard And Emails Automate'!$G631,Database!$H:$N,6,0)),"")</f>
        <v/>
      </c>
      <c r="M631" s="55" t="str">
        <f>IFERROR(IF($G631="","",VLOOKUP('Dashboard And Emails Automate'!$G631,Database!$H:$N,7,0)),"")</f>
        <v/>
      </c>
      <c r="N631" s="55" t="str">
        <f>IFERROR(IF(OR($B631="",$B631="(blank)"),"",VLOOKUP($B631,'Email Marketing Raw Data'!$C:$O,6,0)),"")</f>
        <v/>
      </c>
      <c r="O631" s="55" t="str">
        <f>IFERROR(IF(OR($B631="",$B631="(blank)"),"",VLOOKUP($B631,'Email Marketing Raw Data'!$C:$O,7,0)),"")</f>
        <v/>
      </c>
      <c r="P631" s="55" t="str">
        <f>IFERROR(IF(OR($B631="",$B631="(blank)"),"",VLOOKUP($B631,'Email Marketing Raw Data'!$C:$O,8,0)),"")</f>
        <v/>
      </c>
      <c r="Q631" s="62" t="str">
        <f>IFERROR(IF(OR($B631="",$B631="(blank)"),"",VLOOKUP($B631,'Email Marketing Raw Data'!$C:$O,9,0)),"")</f>
        <v/>
      </c>
    </row>
    <row r="632" spans="4:17" ht="12.75" customHeight="1" x14ac:dyDescent="0.2">
      <c r="D632" s="58" t="str">
        <f>IFERROR(IF(F632&lt;&gt;"pending","",IF(OR($B632="",$B632="(blank)"),"",VLOOKUP($B632,'Email Marketing Raw Data'!$C:$O,10,0))),"")</f>
        <v/>
      </c>
      <c r="E632" s="59" t="str">
        <f>IFERROR(IF(F632&lt;&gt;"pending","",IF(OR($B632="",$B632="(blank)"),"",VLOOKUP($B632,'Email Marketing Raw Data'!$C:$O,11,0))),"")</f>
        <v/>
      </c>
      <c r="F632" s="54" t="str">
        <f>IFERROR(IF(OR($B632="",$B632="(blank)"),"",VLOOKUP($B632,'Email Marketing Raw Data'!$C:$O,13,0)),"")</f>
        <v/>
      </c>
      <c r="G632" s="55" t="str">
        <f>IFERROR(IF(OR($B632="",$B632="(blank)"),"",VLOOKUP($B632,'Email Marketing Raw Data'!$C:$O,4,0)),"")</f>
        <v/>
      </c>
      <c r="H632" s="55" t="str">
        <f>IFERROR(IF(OR($B632="",$B632="(blank)"),"",VLOOKUP($B632,'Email Marketing Raw Data'!$C:$O,5,0)),"")</f>
        <v/>
      </c>
      <c r="I632" s="55" t="str">
        <f>IFERROR(IF($G632="","",VLOOKUP('Dashboard And Emails Automate'!$G632,Database!$H:$N,3,0)),"")</f>
        <v/>
      </c>
      <c r="J632" s="55" t="str">
        <f>IFERROR(IF($G632="","",VLOOKUP('Dashboard And Emails Automate'!$G632,Database!$H:$N,4,0)),"")</f>
        <v/>
      </c>
      <c r="K632" s="55" t="str">
        <f>IFERROR(IF($G632="","",VLOOKUP('Dashboard And Emails Automate'!$G632,Database!$H:$N,5,0)),"")</f>
        <v/>
      </c>
      <c r="L632" s="55" t="str">
        <f>IFERROR(IF($G632="","",VLOOKUP('Dashboard And Emails Automate'!$G632,Database!$H:$N,6,0)),"")</f>
        <v/>
      </c>
      <c r="M632" s="55" t="str">
        <f>IFERROR(IF($G632="","",VLOOKUP('Dashboard And Emails Automate'!$G632,Database!$H:$N,7,0)),"")</f>
        <v/>
      </c>
      <c r="N632" s="55" t="str">
        <f>IFERROR(IF(OR($B632="",$B632="(blank)"),"",VLOOKUP($B632,'Email Marketing Raw Data'!$C:$O,6,0)),"")</f>
        <v/>
      </c>
      <c r="O632" s="55" t="str">
        <f>IFERROR(IF(OR($B632="",$B632="(blank)"),"",VLOOKUP($B632,'Email Marketing Raw Data'!$C:$O,7,0)),"")</f>
        <v/>
      </c>
      <c r="P632" s="55" t="str">
        <f>IFERROR(IF(OR($B632="",$B632="(blank)"),"",VLOOKUP($B632,'Email Marketing Raw Data'!$C:$O,8,0)),"")</f>
        <v/>
      </c>
      <c r="Q632" s="62" t="str">
        <f>IFERROR(IF(OR($B632="",$B632="(blank)"),"",VLOOKUP($B632,'Email Marketing Raw Data'!$C:$O,9,0)),"")</f>
        <v/>
      </c>
    </row>
    <row r="633" spans="4:17" ht="12.75" customHeight="1" x14ac:dyDescent="0.2">
      <c r="D633" s="58" t="str">
        <f>IFERROR(IF(F633&lt;&gt;"pending","",IF(OR($B633="",$B633="(blank)"),"",VLOOKUP($B633,'Email Marketing Raw Data'!$C:$O,10,0))),"")</f>
        <v/>
      </c>
      <c r="E633" s="59" t="str">
        <f>IFERROR(IF(F633&lt;&gt;"pending","",IF(OR($B633="",$B633="(blank)"),"",VLOOKUP($B633,'Email Marketing Raw Data'!$C:$O,11,0))),"")</f>
        <v/>
      </c>
      <c r="F633" s="54" t="str">
        <f>IFERROR(IF(OR($B633="",$B633="(blank)"),"",VLOOKUP($B633,'Email Marketing Raw Data'!$C:$O,13,0)),"")</f>
        <v/>
      </c>
      <c r="G633" s="55" t="str">
        <f>IFERROR(IF(OR($B633="",$B633="(blank)"),"",VLOOKUP($B633,'Email Marketing Raw Data'!$C:$O,4,0)),"")</f>
        <v/>
      </c>
      <c r="H633" s="55" t="str">
        <f>IFERROR(IF(OR($B633="",$B633="(blank)"),"",VLOOKUP($B633,'Email Marketing Raw Data'!$C:$O,5,0)),"")</f>
        <v/>
      </c>
      <c r="I633" s="55" t="str">
        <f>IFERROR(IF($G633="","",VLOOKUP('Dashboard And Emails Automate'!$G633,Database!$H:$N,3,0)),"")</f>
        <v/>
      </c>
      <c r="J633" s="55" t="str">
        <f>IFERROR(IF($G633="","",VLOOKUP('Dashboard And Emails Automate'!$G633,Database!$H:$N,4,0)),"")</f>
        <v/>
      </c>
      <c r="K633" s="55" t="str">
        <f>IFERROR(IF($G633="","",VLOOKUP('Dashboard And Emails Automate'!$G633,Database!$H:$N,5,0)),"")</f>
        <v/>
      </c>
      <c r="L633" s="55" t="str">
        <f>IFERROR(IF($G633="","",VLOOKUP('Dashboard And Emails Automate'!$G633,Database!$H:$N,6,0)),"")</f>
        <v/>
      </c>
      <c r="M633" s="55" t="str">
        <f>IFERROR(IF($G633="","",VLOOKUP('Dashboard And Emails Automate'!$G633,Database!$H:$N,7,0)),"")</f>
        <v/>
      </c>
      <c r="N633" s="55" t="str">
        <f>IFERROR(IF(OR($B633="",$B633="(blank)"),"",VLOOKUP($B633,'Email Marketing Raw Data'!$C:$O,6,0)),"")</f>
        <v/>
      </c>
      <c r="O633" s="55" t="str">
        <f>IFERROR(IF(OR($B633="",$B633="(blank)"),"",VLOOKUP($B633,'Email Marketing Raw Data'!$C:$O,7,0)),"")</f>
        <v/>
      </c>
      <c r="P633" s="55" t="str">
        <f>IFERROR(IF(OR($B633="",$B633="(blank)"),"",VLOOKUP($B633,'Email Marketing Raw Data'!$C:$O,8,0)),"")</f>
        <v/>
      </c>
      <c r="Q633" s="62" t="str">
        <f>IFERROR(IF(OR($B633="",$B633="(blank)"),"",VLOOKUP($B633,'Email Marketing Raw Data'!$C:$O,9,0)),"")</f>
        <v/>
      </c>
    </row>
    <row r="634" spans="4:17" ht="12.75" customHeight="1" x14ac:dyDescent="0.2">
      <c r="D634" s="58" t="str">
        <f>IFERROR(IF(F634&lt;&gt;"pending","",IF(OR($B634="",$B634="(blank)"),"",VLOOKUP($B634,'Email Marketing Raw Data'!$C:$O,10,0))),"")</f>
        <v/>
      </c>
      <c r="E634" s="59" t="str">
        <f>IFERROR(IF(F634&lt;&gt;"pending","",IF(OR($B634="",$B634="(blank)"),"",VLOOKUP($B634,'Email Marketing Raw Data'!$C:$O,11,0))),"")</f>
        <v/>
      </c>
      <c r="F634" s="54" t="str">
        <f>IFERROR(IF(OR($B634="",$B634="(blank)"),"",VLOOKUP($B634,'Email Marketing Raw Data'!$C:$O,13,0)),"")</f>
        <v/>
      </c>
      <c r="G634" s="55" t="str">
        <f>IFERROR(IF(OR($B634="",$B634="(blank)"),"",VLOOKUP($B634,'Email Marketing Raw Data'!$C:$O,4,0)),"")</f>
        <v/>
      </c>
      <c r="H634" s="55" t="str">
        <f>IFERROR(IF(OR($B634="",$B634="(blank)"),"",VLOOKUP($B634,'Email Marketing Raw Data'!$C:$O,5,0)),"")</f>
        <v/>
      </c>
      <c r="I634" s="55" t="str">
        <f>IFERROR(IF($G634="","",VLOOKUP('Dashboard And Emails Automate'!$G634,Database!$H:$N,3,0)),"")</f>
        <v/>
      </c>
      <c r="J634" s="55" t="str">
        <f>IFERROR(IF($G634="","",VLOOKUP('Dashboard And Emails Automate'!$G634,Database!$H:$N,4,0)),"")</f>
        <v/>
      </c>
      <c r="K634" s="55" t="str">
        <f>IFERROR(IF($G634="","",VLOOKUP('Dashboard And Emails Automate'!$G634,Database!$H:$N,5,0)),"")</f>
        <v/>
      </c>
      <c r="L634" s="55" t="str">
        <f>IFERROR(IF($G634="","",VLOOKUP('Dashboard And Emails Automate'!$G634,Database!$H:$N,6,0)),"")</f>
        <v/>
      </c>
      <c r="M634" s="55" t="str">
        <f>IFERROR(IF($G634="","",VLOOKUP('Dashboard And Emails Automate'!$G634,Database!$H:$N,7,0)),"")</f>
        <v/>
      </c>
      <c r="N634" s="55" t="str">
        <f>IFERROR(IF(OR($B634="",$B634="(blank)"),"",VLOOKUP($B634,'Email Marketing Raw Data'!$C:$O,6,0)),"")</f>
        <v/>
      </c>
      <c r="O634" s="55" t="str">
        <f>IFERROR(IF(OR($B634="",$B634="(blank)"),"",VLOOKUP($B634,'Email Marketing Raw Data'!$C:$O,7,0)),"")</f>
        <v/>
      </c>
      <c r="P634" s="55" t="str">
        <f>IFERROR(IF(OR($B634="",$B634="(blank)"),"",VLOOKUP($B634,'Email Marketing Raw Data'!$C:$O,8,0)),"")</f>
        <v/>
      </c>
      <c r="Q634" s="62" t="str">
        <f>IFERROR(IF(OR($B634="",$B634="(blank)"),"",VLOOKUP($B634,'Email Marketing Raw Data'!$C:$O,9,0)),"")</f>
        <v/>
      </c>
    </row>
    <row r="635" spans="4:17" ht="12.75" customHeight="1" x14ac:dyDescent="0.2">
      <c r="D635" s="58" t="str">
        <f>IFERROR(IF(F635&lt;&gt;"pending","",IF(OR($B635="",$B635="(blank)"),"",VLOOKUP($B635,'Email Marketing Raw Data'!$C:$O,10,0))),"")</f>
        <v/>
      </c>
      <c r="E635" s="59" t="str">
        <f>IFERROR(IF(F635&lt;&gt;"pending","",IF(OR($B635="",$B635="(blank)"),"",VLOOKUP($B635,'Email Marketing Raw Data'!$C:$O,11,0))),"")</f>
        <v/>
      </c>
      <c r="F635" s="54" t="str">
        <f>IFERROR(IF(OR($B635="",$B635="(blank)"),"",VLOOKUP($B635,'Email Marketing Raw Data'!$C:$O,13,0)),"")</f>
        <v/>
      </c>
      <c r="G635" s="55" t="str">
        <f>IFERROR(IF(OR($B635="",$B635="(blank)"),"",VLOOKUP($B635,'Email Marketing Raw Data'!$C:$O,4,0)),"")</f>
        <v/>
      </c>
      <c r="H635" s="55" t="str">
        <f>IFERROR(IF(OR($B635="",$B635="(blank)"),"",VLOOKUP($B635,'Email Marketing Raw Data'!$C:$O,5,0)),"")</f>
        <v/>
      </c>
      <c r="I635" s="55" t="str">
        <f>IFERROR(IF($G635="","",VLOOKUP('Dashboard And Emails Automate'!$G635,Database!$H:$N,3,0)),"")</f>
        <v/>
      </c>
      <c r="J635" s="55" t="str">
        <f>IFERROR(IF($G635="","",VLOOKUP('Dashboard And Emails Automate'!$G635,Database!$H:$N,4,0)),"")</f>
        <v/>
      </c>
      <c r="K635" s="55" t="str">
        <f>IFERROR(IF($G635="","",VLOOKUP('Dashboard And Emails Automate'!$G635,Database!$H:$N,5,0)),"")</f>
        <v/>
      </c>
      <c r="L635" s="55" t="str">
        <f>IFERROR(IF($G635="","",VLOOKUP('Dashboard And Emails Automate'!$G635,Database!$H:$N,6,0)),"")</f>
        <v/>
      </c>
      <c r="M635" s="55" t="str">
        <f>IFERROR(IF($G635="","",VLOOKUP('Dashboard And Emails Automate'!$G635,Database!$H:$N,7,0)),"")</f>
        <v/>
      </c>
      <c r="N635" s="55" t="str">
        <f>IFERROR(IF(OR($B635="",$B635="(blank)"),"",VLOOKUP($B635,'Email Marketing Raw Data'!$C:$O,6,0)),"")</f>
        <v/>
      </c>
      <c r="O635" s="55" t="str">
        <f>IFERROR(IF(OR($B635="",$B635="(blank)"),"",VLOOKUP($B635,'Email Marketing Raw Data'!$C:$O,7,0)),"")</f>
        <v/>
      </c>
      <c r="P635" s="55" t="str">
        <f>IFERROR(IF(OR($B635="",$B635="(blank)"),"",VLOOKUP($B635,'Email Marketing Raw Data'!$C:$O,8,0)),"")</f>
        <v/>
      </c>
      <c r="Q635" s="62" t="str">
        <f>IFERROR(IF(OR($B635="",$B635="(blank)"),"",VLOOKUP($B635,'Email Marketing Raw Data'!$C:$O,9,0)),"")</f>
        <v/>
      </c>
    </row>
    <row r="636" spans="4:17" ht="12.75" customHeight="1" x14ac:dyDescent="0.2">
      <c r="D636" s="58" t="str">
        <f>IFERROR(IF(F636&lt;&gt;"pending","",IF(OR($B636="",$B636="(blank)"),"",VLOOKUP($B636,'Email Marketing Raw Data'!$C:$O,10,0))),"")</f>
        <v/>
      </c>
      <c r="E636" s="59" t="str">
        <f>IFERROR(IF(F636&lt;&gt;"pending","",IF(OR($B636="",$B636="(blank)"),"",VLOOKUP($B636,'Email Marketing Raw Data'!$C:$O,11,0))),"")</f>
        <v/>
      </c>
      <c r="F636" s="54" t="str">
        <f>IFERROR(IF(OR($B636="",$B636="(blank)"),"",VLOOKUP($B636,'Email Marketing Raw Data'!$C:$O,13,0)),"")</f>
        <v/>
      </c>
      <c r="G636" s="55" t="str">
        <f>IFERROR(IF(OR($B636="",$B636="(blank)"),"",VLOOKUP($B636,'Email Marketing Raw Data'!$C:$O,4,0)),"")</f>
        <v/>
      </c>
      <c r="H636" s="55" t="str">
        <f>IFERROR(IF(OR($B636="",$B636="(blank)"),"",VLOOKUP($B636,'Email Marketing Raw Data'!$C:$O,5,0)),"")</f>
        <v/>
      </c>
      <c r="I636" s="55" t="str">
        <f>IFERROR(IF($G636="","",VLOOKUP('Dashboard And Emails Automate'!$G636,Database!$H:$N,3,0)),"")</f>
        <v/>
      </c>
      <c r="J636" s="55" t="str">
        <f>IFERROR(IF($G636="","",VLOOKUP('Dashboard And Emails Automate'!$G636,Database!$H:$N,4,0)),"")</f>
        <v/>
      </c>
      <c r="K636" s="55" t="str">
        <f>IFERROR(IF($G636="","",VLOOKUP('Dashboard And Emails Automate'!$G636,Database!$H:$N,5,0)),"")</f>
        <v/>
      </c>
      <c r="L636" s="55" t="str">
        <f>IFERROR(IF($G636="","",VLOOKUP('Dashboard And Emails Automate'!$G636,Database!$H:$N,6,0)),"")</f>
        <v/>
      </c>
      <c r="M636" s="55" t="str">
        <f>IFERROR(IF($G636="","",VLOOKUP('Dashboard And Emails Automate'!$G636,Database!$H:$N,7,0)),"")</f>
        <v/>
      </c>
      <c r="N636" s="55" t="str">
        <f>IFERROR(IF(OR($B636="",$B636="(blank)"),"",VLOOKUP($B636,'Email Marketing Raw Data'!$C:$O,6,0)),"")</f>
        <v/>
      </c>
      <c r="O636" s="55" t="str">
        <f>IFERROR(IF(OR($B636="",$B636="(blank)"),"",VLOOKUP($B636,'Email Marketing Raw Data'!$C:$O,7,0)),"")</f>
        <v/>
      </c>
      <c r="P636" s="55" t="str">
        <f>IFERROR(IF(OR($B636="",$B636="(blank)"),"",VLOOKUP($B636,'Email Marketing Raw Data'!$C:$O,8,0)),"")</f>
        <v/>
      </c>
      <c r="Q636" s="62" t="str">
        <f>IFERROR(IF(OR($B636="",$B636="(blank)"),"",VLOOKUP($B636,'Email Marketing Raw Data'!$C:$O,9,0)),"")</f>
        <v/>
      </c>
    </row>
    <row r="637" spans="4:17" ht="12.75" customHeight="1" x14ac:dyDescent="0.2">
      <c r="D637" s="58" t="str">
        <f>IFERROR(IF(F637&lt;&gt;"pending","",IF(OR($B637="",$B637="(blank)"),"",VLOOKUP($B637,'Email Marketing Raw Data'!$C:$O,10,0))),"")</f>
        <v/>
      </c>
      <c r="E637" s="59" t="str">
        <f>IFERROR(IF(F637&lt;&gt;"pending","",IF(OR($B637="",$B637="(blank)"),"",VLOOKUP($B637,'Email Marketing Raw Data'!$C:$O,11,0))),"")</f>
        <v/>
      </c>
      <c r="F637" s="54" t="str">
        <f>IFERROR(IF(OR($B637="",$B637="(blank)"),"",VLOOKUP($B637,'Email Marketing Raw Data'!$C:$O,13,0)),"")</f>
        <v/>
      </c>
      <c r="G637" s="55" t="str">
        <f>IFERROR(IF(OR($B637="",$B637="(blank)"),"",VLOOKUP($B637,'Email Marketing Raw Data'!$C:$O,4,0)),"")</f>
        <v/>
      </c>
      <c r="H637" s="55" t="str">
        <f>IFERROR(IF(OR($B637="",$B637="(blank)"),"",VLOOKUP($B637,'Email Marketing Raw Data'!$C:$O,5,0)),"")</f>
        <v/>
      </c>
      <c r="I637" s="55" t="str">
        <f>IFERROR(IF($G637="","",VLOOKUP('Dashboard And Emails Automate'!$G637,Database!$H:$N,3,0)),"")</f>
        <v/>
      </c>
      <c r="J637" s="55" t="str">
        <f>IFERROR(IF($G637="","",VLOOKUP('Dashboard And Emails Automate'!$G637,Database!$H:$N,4,0)),"")</f>
        <v/>
      </c>
      <c r="K637" s="55" t="str">
        <f>IFERROR(IF($G637="","",VLOOKUP('Dashboard And Emails Automate'!$G637,Database!$H:$N,5,0)),"")</f>
        <v/>
      </c>
      <c r="L637" s="55" t="str">
        <f>IFERROR(IF($G637="","",VLOOKUP('Dashboard And Emails Automate'!$G637,Database!$H:$N,6,0)),"")</f>
        <v/>
      </c>
      <c r="M637" s="55" t="str">
        <f>IFERROR(IF($G637="","",VLOOKUP('Dashboard And Emails Automate'!$G637,Database!$H:$N,7,0)),"")</f>
        <v/>
      </c>
      <c r="N637" s="55" t="str">
        <f>IFERROR(IF(OR($B637="",$B637="(blank)"),"",VLOOKUP($B637,'Email Marketing Raw Data'!$C:$O,6,0)),"")</f>
        <v/>
      </c>
      <c r="O637" s="55" t="str">
        <f>IFERROR(IF(OR($B637="",$B637="(blank)"),"",VLOOKUP($B637,'Email Marketing Raw Data'!$C:$O,7,0)),"")</f>
        <v/>
      </c>
      <c r="P637" s="55" t="str">
        <f>IFERROR(IF(OR($B637="",$B637="(blank)"),"",VLOOKUP($B637,'Email Marketing Raw Data'!$C:$O,8,0)),"")</f>
        <v/>
      </c>
      <c r="Q637" s="62" t="str">
        <f>IFERROR(IF(OR($B637="",$B637="(blank)"),"",VLOOKUP($B637,'Email Marketing Raw Data'!$C:$O,9,0)),"")</f>
        <v/>
      </c>
    </row>
    <row r="638" spans="4:17" ht="12.75" customHeight="1" x14ac:dyDescent="0.2">
      <c r="D638" s="58" t="str">
        <f>IFERROR(IF(F638&lt;&gt;"pending","",IF(OR($B638="",$B638="(blank)"),"",VLOOKUP($B638,'Email Marketing Raw Data'!$C:$O,10,0))),"")</f>
        <v/>
      </c>
      <c r="E638" s="59" t="str">
        <f>IFERROR(IF(F638&lt;&gt;"pending","",IF(OR($B638="",$B638="(blank)"),"",VLOOKUP($B638,'Email Marketing Raw Data'!$C:$O,11,0))),"")</f>
        <v/>
      </c>
      <c r="F638" s="54" t="str">
        <f>IFERROR(IF(OR($B638="",$B638="(blank)"),"",VLOOKUP($B638,'Email Marketing Raw Data'!$C:$O,13,0)),"")</f>
        <v/>
      </c>
      <c r="G638" s="55" t="str">
        <f>IFERROR(IF(OR($B638="",$B638="(blank)"),"",VLOOKUP($B638,'Email Marketing Raw Data'!$C:$O,4,0)),"")</f>
        <v/>
      </c>
      <c r="H638" s="55" t="str">
        <f>IFERROR(IF(OR($B638="",$B638="(blank)"),"",VLOOKUP($B638,'Email Marketing Raw Data'!$C:$O,5,0)),"")</f>
        <v/>
      </c>
      <c r="I638" s="55" t="str">
        <f>IFERROR(IF($G638="","",VLOOKUP('Dashboard And Emails Automate'!$G638,Database!$H:$N,3,0)),"")</f>
        <v/>
      </c>
      <c r="J638" s="55" t="str">
        <f>IFERROR(IF($G638="","",VLOOKUP('Dashboard And Emails Automate'!$G638,Database!$H:$N,4,0)),"")</f>
        <v/>
      </c>
      <c r="K638" s="55" t="str">
        <f>IFERROR(IF($G638="","",VLOOKUP('Dashboard And Emails Automate'!$G638,Database!$H:$N,5,0)),"")</f>
        <v/>
      </c>
      <c r="L638" s="55" t="str">
        <f>IFERROR(IF($G638="","",VLOOKUP('Dashboard And Emails Automate'!$G638,Database!$H:$N,6,0)),"")</f>
        <v/>
      </c>
      <c r="M638" s="55" t="str">
        <f>IFERROR(IF($G638="","",VLOOKUP('Dashboard And Emails Automate'!$G638,Database!$H:$N,7,0)),"")</f>
        <v/>
      </c>
      <c r="N638" s="55" t="str">
        <f>IFERROR(IF(OR($B638="",$B638="(blank)"),"",VLOOKUP($B638,'Email Marketing Raw Data'!$C:$O,6,0)),"")</f>
        <v/>
      </c>
      <c r="O638" s="55" t="str">
        <f>IFERROR(IF(OR($B638="",$B638="(blank)"),"",VLOOKUP($B638,'Email Marketing Raw Data'!$C:$O,7,0)),"")</f>
        <v/>
      </c>
      <c r="P638" s="55" t="str">
        <f>IFERROR(IF(OR($B638="",$B638="(blank)"),"",VLOOKUP($B638,'Email Marketing Raw Data'!$C:$O,8,0)),"")</f>
        <v/>
      </c>
      <c r="Q638" s="62" t="str">
        <f>IFERROR(IF(OR($B638="",$B638="(blank)"),"",VLOOKUP($B638,'Email Marketing Raw Data'!$C:$O,9,0)),"")</f>
        <v/>
      </c>
    </row>
    <row r="639" spans="4:17" ht="12.75" customHeight="1" x14ac:dyDescent="0.2">
      <c r="D639" s="58" t="str">
        <f>IFERROR(IF(F639&lt;&gt;"pending","",IF(OR($B639="",$B639="(blank)"),"",VLOOKUP($B639,'Email Marketing Raw Data'!$C:$O,10,0))),"")</f>
        <v/>
      </c>
      <c r="E639" s="59" t="str">
        <f>IFERROR(IF(F639&lt;&gt;"pending","",IF(OR($B639="",$B639="(blank)"),"",VLOOKUP($B639,'Email Marketing Raw Data'!$C:$O,11,0))),"")</f>
        <v/>
      </c>
      <c r="F639" s="54" t="str">
        <f>IFERROR(IF(OR($B639="",$B639="(blank)"),"",VLOOKUP($B639,'Email Marketing Raw Data'!$C:$O,13,0)),"")</f>
        <v/>
      </c>
      <c r="G639" s="55" t="str">
        <f>IFERROR(IF(OR($B639="",$B639="(blank)"),"",VLOOKUP($B639,'Email Marketing Raw Data'!$C:$O,4,0)),"")</f>
        <v/>
      </c>
      <c r="H639" s="55" t="str">
        <f>IFERROR(IF(OR($B639="",$B639="(blank)"),"",VLOOKUP($B639,'Email Marketing Raw Data'!$C:$O,5,0)),"")</f>
        <v/>
      </c>
      <c r="I639" s="55" t="str">
        <f>IFERROR(IF($G639="","",VLOOKUP('Dashboard And Emails Automate'!$G639,Database!$H:$N,3,0)),"")</f>
        <v/>
      </c>
      <c r="J639" s="55" t="str">
        <f>IFERROR(IF($G639="","",VLOOKUP('Dashboard And Emails Automate'!$G639,Database!$H:$N,4,0)),"")</f>
        <v/>
      </c>
      <c r="K639" s="55" t="str">
        <f>IFERROR(IF($G639="","",VLOOKUP('Dashboard And Emails Automate'!$G639,Database!$H:$N,5,0)),"")</f>
        <v/>
      </c>
      <c r="L639" s="55" t="str">
        <f>IFERROR(IF($G639="","",VLOOKUP('Dashboard And Emails Automate'!$G639,Database!$H:$N,6,0)),"")</f>
        <v/>
      </c>
      <c r="M639" s="55" t="str">
        <f>IFERROR(IF($G639="","",VLOOKUP('Dashboard And Emails Automate'!$G639,Database!$H:$N,7,0)),"")</f>
        <v/>
      </c>
      <c r="N639" s="55" t="str">
        <f>IFERROR(IF(OR($B639="",$B639="(blank)"),"",VLOOKUP($B639,'Email Marketing Raw Data'!$C:$O,6,0)),"")</f>
        <v/>
      </c>
      <c r="O639" s="55" t="str">
        <f>IFERROR(IF(OR($B639="",$B639="(blank)"),"",VLOOKUP($B639,'Email Marketing Raw Data'!$C:$O,7,0)),"")</f>
        <v/>
      </c>
      <c r="P639" s="55" t="str">
        <f>IFERROR(IF(OR($B639="",$B639="(blank)"),"",VLOOKUP($B639,'Email Marketing Raw Data'!$C:$O,8,0)),"")</f>
        <v/>
      </c>
      <c r="Q639" s="62" t="str">
        <f>IFERROR(IF(OR($B639="",$B639="(blank)"),"",VLOOKUP($B639,'Email Marketing Raw Data'!$C:$O,9,0)),"")</f>
        <v/>
      </c>
    </row>
    <row r="640" spans="4:17" ht="12.75" customHeight="1" x14ac:dyDescent="0.2">
      <c r="D640" s="58" t="str">
        <f>IFERROR(IF(F640&lt;&gt;"pending","",IF(OR($B640="",$B640="(blank)"),"",VLOOKUP($B640,'Email Marketing Raw Data'!$C:$O,10,0))),"")</f>
        <v/>
      </c>
      <c r="E640" s="59" t="str">
        <f>IFERROR(IF(F640&lt;&gt;"pending","",IF(OR($B640="",$B640="(blank)"),"",VLOOKUP($B640,'Email Marketing Raw Data'!$C:$O,11,0))),"")</f>
        <v/>
      </c>
      <c r="F640" s="54" t="str">
        <f>IFERROR(IF(OR($B640="",$B640="(blank)"),"",VLOOKUP($B640,'Email Marketing Raw Data'!$C:$O,13,0)),"")</f>
        <v/>
      </c>
      <c r="G640" s="55" t="str">
        <f>IFERROR(IF(OR($B640="",$B640="(blank)"),"",VLOOKUP($B640,'Email Marketing Raw Data'!$C:$O,4,0)),"")</f>
        <v/>
      </c>
      <c r="H640" s="55" t="str">
        <f>IFERROR(IF(OR($B640="",$B640="(blank)"),"",VLOOKUP($B640,'Email Marketing Raw Data'!$C:$O,5,0)),"")</f>
        <v/>
      </c>
      <c r="I640" s="55" t="str">
        <f>IFERROR(IF($G640="","",VLOOKUP('Dashboard And Emails Automate'!$G640,Database!$H:$N,3,0)),"")</f>
        <v/>
      </c>
      <c r="J640" s="55" t="str">
        <f>IFERROR(IF($G640="","",VLOOKUP('Dashboard And Emails Automate'!$G640,Database!$H:$N,4,0)),"")</f>
        <v/>
      </c>
      <c r="K640" s="55" t="str">
        <f>IFERROR(IF($G640="","",VLOOKUP('Dashboard And Emails Automate'!$G640,Database!$H:$N,5,0)),"")</f>
        <v/>
      </c>
      <c r="L640" s="55" t="str">
        <f>IFERROR(IF($G640="","",VLOOKUP('Dashboard And Emails Automate'!$G640,Database!$H:$N,6,0)),"")</f>
        <v/>
      </c>
      <c r="M640" s="55" t="str">
        <f>IFERROR(IF($G640="","",VLOOKUP('Dashboard And Emails Automate'!$G640,Database!$H:$N,7,0)),"")</f>
        <v/>
      </c>
      <c r="N640" s="55" t="str">
        <f>IFERROR(IF(OR($B640="",$B640="(blank)"),"",VLOOKUP($B640,'Email Marketing Raw Data'!$C:$O,6,0)),"")</f>
        <v/>
      </c>
      <c r="O640" s="55" t="str">
        <f>IFERROR(IF(OR($B640="",$B640="(blank)"),"",VLOOKUP($B640,'Email Marketing Raw Data'!$C:$O,7,0)),"")</f>
        <v/>
      </c>
      <c r="P640" s="55" t="str">
        <f>IFERROR(IF(OR($B640="",$B640="(blank)"),"",VLOOKUP($B640,'Email Marketing Raw Data'!$C:$O,8,0)),"")</f>
        <v/>
      </c>
      <c r="Q640" s="62" t="str">
        <f>IFERROR(IF(OR($B640="",$B640="(blank)"),"",VLOOKUP($B640,'Email Marketing Raw Data'!$C:$O,9,0)),"")</f>
        <v/>
      </c>
    </row>
    <row r="641" spans="4:17" ht="12.75" customHeight="1" x14ac:dyDescent="0.2">
      <c r="D641" s="58" t="str">
        <f>IFERROR(IF(F641&lt;&gt;"pending","",IF(OR($B641="",$B641="(blank)"),"",VLOOKUP($B641,'Email Marketing Raw Data'!$C:$O,10,0))),"")</f>
        <v/>
      </c>
      <c r="E641" s="59" t="str">
        <f>IFERROR(IF(F641&lt;&gt;"pending","",IF(OR($B641="",$B641="(blank)"),"",VLOOKUP($B641,'Email Marketing Raw Data'!$C:$O,11,0))),"")</f>
        <v/>
      </c>
      <c r="F641" s="54" t="str">
        <f>IFERROR(IF(OR($B641="",$B641="(blank)"),"",VLOOKUP($B641,'Email Marketing Raw Data'!$C:$O,13,0)),"")</f>
        <v/>
      </c>
      <c r="G641" s="55" t="str">
        <f>IFERROR(IF(OR($B641="",$B641="(blank)"),"",VLOOKUP($B641,'Email Marketing Raw Data'!$C:$O,4,0)),"")</f>
        <v/>
      </c>
      <c r="H641" s="55" t="str">
        <f>IFERROR(IF(OR($B641="",$B641="(blank)"),"",VLOOKUP($B641,'Email Marketing Raw Data'!$C:$O,5,0)),"")</f>
        <v/>
      </c>
      <c r="I641" s="55" t="str">
        <f>IFERROR(IF($G641="","",VLOOKUP('Dashboard And Emails Automate'!$G641,Database!$H:$N,3,0)),"")</f>
        <v/>
      </c>
      <c r="J641" s="55" t="str">
        <f>IFERROR(IF($G641="","",VLOOKUP('Dashboard And Emails Automate'!$G641,Database!$H:$N,4,0)),"")</f>
        <v/>
      </c>
      <c r="K641" s="55" t="str">
        <f>IFERROR(IF($G641="","",VLOOKUP('Dashboard And Emails Automate'!$G641,Database!$H:$N,5,0)),"")</f>
        <v/>
      </c>
      <c r="L641" s="55" t="str">
        <f>IFERROR(IF($G641="","",VLOOKUP('Dashboard And Emails Automate'!$G641,Database!$H:$N,6,0)),"")</f>
        <v/>
      </c>
      <c r="M641" s="55" t="str">
        <f>IFERROR(IF($G641="","",VLOOKUP('Dashboard And Emails Automate'!$G641,Database!$H:$N,7,0)),"")</f>
        <v/>
      </c>
      <c r="N641" s="55" t="str">
        <f>IFERROR(IF(OR($B641="",$B641="(blank)"),"",VLOOKUP($B641,'Email Marketing Raw Data'!$C:$O,6,0)),"")</f>
        <v/>
      </c>
      <c r="O641" s="55" t="str">
        <f>IFERROR(IF(OR($B641="",$B641="(blank)"),"",VLOOKUP($B641,'Email Marketing Raw Data'!$C:$O,7,0)),"")</f>
        <v/>
      </c>
      <c r="P641" s="55" t="str">
        <f>IFERROR(IF(OR($B641="",$B641="(blank)"),"",VLOOKUP($B641,'Email Marketing Raw Data'!$C:$O,8,0)),"")</f>
        <v/>
      </c>
      <c r="Q641" s="62" t="str">
        <f>IFERROR(IF(OR($B641="",$B641="(blank)"),"",VLOOKUP($B641,'Email Marketing Raw Data'!$C:$O,9,0)),"")</f>
        <v/>
      </c>
    </row>
    <row r="642" spans="4:17" ht="12.75" customHeight="1" x14ac:dyDescent="0.2">
      <c r="D642" s="58" t="str">
        <f>IFERROR(IF(F642&lt;&gt;"pending","",IF(OR($B642="",$B642="(blank)"),"",VLOOKUP($B642,'Email Marketing Raw Data'!$C:$O,10,0))),"")</f>
        <v/>
      </c>
      <c r="E642" s="59" t="str">
        <f>IFERROR(IF(F642&lt;&gt;"pending","",IF(OR($B642="",$B642="(blank)"),"",VLOOKUP($B642,'Email Marketing Raw Data'!$C:$O,11,0))),"")</f>
        <v/>
      </c>
      <c r="F642" s="54" t="str">
        <f>IFERROR(IF(OR($B642="",$B642="(blank)"),"",VLOOKUP($B642,'Email Marketing Raw Data'!$C:$O,13,0)),"")</f>
        <v/>
      </c>
      <c r="G642" s="55" t="str">
        <f>IFERROR(IF(OR($B642="",$B642="(blank)"),"",VLOOKUP($B642,'Email Marketing Raw Data'!$C:$O,4,0)),"")</f>
        <v/>
      </c>
      <c r="H642" s="55" t="str">
        <f>IFERROR(IF(OR($B642="",$B642="(blank)"),"",VLOOKUP($B642,'Email Marketing Raw Data'!$C:$O,5,0)),"")</f>
        <v/>
      </c>
      <c r="I642" s="55" t="str">
        <f>IFERROR(IF($G642="","",VLOOKUP('Dashboard And Emails Automate'!$G642,Database!$H:$N,3,0)),"")</f>
        <v/>
      </c>
      <c r="J642" s="55" t="str">
        <f>IFERROR(IF($G642="","",VLOOKUP('Dashboard And Emails Automate'!$G642,Database!$H:$N,4,0)),"")</f>
        <v/>
      </c>
      <c r="K642" s="55" t="str">
        <f>IFERROR(IF($G642="","",VLOOKUP('Dashboard And Emails Automate'!$G642,Database!$H:$N,5,0)),"")</f>
        <v/>
      </c>
      <c r="L642" s="55" t="str">
        <f>IFERROR(IF($G642="","",VLOOKUP('Dashboard And Emails Automate'!$G642,Database!$H:$N,6,0)),"")</f>
        <v/>
      </c>
      <c r="M642" s="55" t="str">
        <f>IFERROR(IF($G642="","",VLOOKUP('Dashboard And Emails Automate'!$G642,Database!$H:$N,7,0)),"")</f>
        <v/>
      </c>
      <c r="N642" s="55" t="str">
        <f>IFERROR(IF(OR($B642="",$B642="(blank)"),"",VLOOKUP($B642,'Email Marketing Raw Data'!$C:$O,6,0)),"")</f>
        <v/>
      </c>
      <c r="O642" s="55" t="str">
        <f>IFERROR(IF(OR($B642="",$B642="(blank)"),"",VLOOKUP($B642,'Email Marketing Raw Data'!$C:$O,7,0)),"")</f>
        <v/>
      </c>
      <c r="P642" s="55" t="str">
        <f>IFERROR(IF(OR($B642="",$B642="(blank)"),"",VLOOKUP($B642,'Email Marketing Raw Data'!$C:$O,8,0)),"")</f>
        <v/>
      </c>
      <c r="Q642" s="62" t="str">
        <f>IFERROR(IF(OR($B642="",$B642="(blank)"),"",VLOOKUP($B642,'Email Marketing Raw Data'!$C:$O,9,0)),"")</f>
        <v/>
      </c>
    </row>
    <row r="643" spans="4:17" ht="12.75" customHeight="1" x14ac:dyDescent="0.2">
      <c r="D643" s="58" t="str">
        <f>IFERROR(IF(F643&lt;&gt;"pending","",IF(OR($B643="",$B643="(blank)"),"",VLOOKUP($B643,'Email Marketing Raw Data'!$C:$O,10,0))),"")</f>
        <v/>
      </c>
      <c r="E643" s="59" t="str">
        <f>IFERROR(IF(F643&lt;&gt;"pending","",IF(OR($B643="",$B643="(blank)"),"",VLOOKUP($B643,'Email Marketing Raw Data'!$C:$O,11,0))),"")</f>
        <v/>
      </c>
      <c r="F643" s="54" t="str">
        <f>IFERROR(IF(OR($B643="",$B643="(blank)"),"",VLOOKUP($B643,'Email Marketing Raw Data'!$C:$O,13,0)),"")</f>
        <v/>
      </c>
      <c r="G643" s="55" t="str">
        <f>IFERROR(IF(OR($B643="",$B643="(blank)"),"",VLOOKUP($B643,'Email Marketing Raw Data'!$C:$O,4,0)),"")</f>
        <v/>
      </c>
      <c r="H643" s="55" t="str">
        <f>IFERROR(IF(OR($B643="",$B643="(blank)"),"",VLOOKUP($B643,'Email Marketing Raw Data'!$C:$O,5,0)),"")</f>
        <v/>
      </c>
      <c r="I643" s="55" t="str">
        <f>IFERROR(IF($G643="","",VLOOKUP('Dashboard And Emails Automate'!$G643,Database!$H:$N,3,0)),"")</f>
        <v/>
      </c>
      <c r="J643" s="55" t="str">
        <f>IFERROR(IF($G643="","",VLOOKUP('Dashboard And Emails Automate'!$G643,Database!$H:$N,4,0)),"")</f>
        <v/>
      </c>
      <c r="K643" s="55" t="str">
        <f>IFERROR(IF($G643="","",VLOOKUP('Dashboard And Emails Automate'!$G643,Database!$H:$N,5,0)),"")</f>
        <v/>
      </c>
      <c r="L643" s="55" t="str">
        <f>IFERROR(IF($G643="","",VLOOKUP('Dashboard And Emails Automate'!$G643,Database!$H:$N,6,0)),"")</f>
        <v/>
      </c>
      <c r="M643" s="55" t="str">
        <f>IFERROR(IF($G643="","",VLOOKUP('Dashboard And Emails Automate'!$G643,Database!$H:$N,7,0)),"")</f>
        <v/>
      </c>
      <c r="N643" s="55" t="str">
        <f>IFERROR(IF(OR($B643="",$B643="(blank)"),"",VLOOKUP($B643,'Email Marketing Raw Data'!$C:$O,6,0)),"")</f>
        <v/>
      </c>
      <c r="O643" s="55" t="str">
        <f>IFERROR(IF(OR($B643="",$B643="(blank)"),"",VLOOKUP($B643,'Email Marketing Raw Data'!$C:$O,7,0)),"")</f>
        <v/>
      </c>
      <c r="P643" s="55" t="str">
        <f>IFERROR(IF(OR($B643="",$B643="(blank)"),"",VLOOKUP($B643,'Email Marketing Raw Data'!$C:$O,8,0)),"")</f>
        <v/>
      </c>
      <c r="Q643" s="62" t="str">
        <f>IFERROR(IF(OR($B643="",$B643="(blank)"),"",VLOOKUP($B643,'Email Marketing Raw Data'!$C:$O,9,0)),"")</f>
        <v/>
      </c>
    </row>
    <row r="644" spans="4:17" ht="12.75" customHeight="1" x14ac:dyDescent="0.2">
      <c r="D644" s="58" t="str">
        <f>IFERROR(IF(F644&lt;&gt;"pending","",IF(OR($B644="",$B644="(blank)"),"",VLOOKUP($B644,'Email Marketing Raw Data'!$C:$O,10,0))),"")</f>
        <v/>
      </c>
      <c r="E644" s="59" t="str">
        <f>IFERROR(IF(F644&lt;&gt;"pending","",IF(OR($B644="",$B644="(blank)"),"",VLOOKUP($B644,'Email Marketing Raw Data'!$C:$O,11,0))),"")</f>
        <v/>
      </c>
      <c r="F644" s="54" t="str">
        <f>IFERROR(IF(OR($B644="",$B644="(blank)"),"",VLOOKUP($B644,'Email Marketing Raw Data'!$C:$O,13,0)),"")</f>
        <v/>
      </c>
      <c r="G644" s="55" t="str">
        <f>IFERROR(IF(OR($B644="",$B644="(blank)"),"",VLOOKUP($B644,'Email Marketing Raw Data'!$C:$O,4,0)),"")</f>
        <v/>
      </c>
      <c r="H644" s="55" t="str">
        <f>IFERROR(IF(OR($B644="",$B644="(blank)"),"",VLOOKUP($B644,'Email Marketing Raw Data'!$C:$O,5,0)),"")</f>
        <v/>
      </c>
      <c r="I644" s="55" t="str">
        <f>IFERROR(IF($G644="","",VLOOKUP('Dashboard And Emails Automate'!$G644,Database!$H:$N,3,0)),"")</f>
        <v/>
      </c>
      <c r="J644" s="55" t="str">
        <f>IFERROR(IF($G644="","",VLOOKUP('Dashboard And Emails Automate'!$G644,Database!$H:$N,4,0)),"")</f>
        <v/>
      </c>
      <c r="K644" s="55" t="str">
        <f>IFERROR(IF($G644="","",VLOOKUP('Dashboard And Emails Automate'!$G644,Database!$H:$N,5,0)),"")</f>
        <v/>
      </c>
      <c r="L644" s="55" t="str">
        <f>IFERROR(IF($G644="","",VLOOKUP('Dashboard And Emails Automate'!$G644,Database!$H:$N,6,0)),"")</f>
        <v/>
      </c>
      <c r="M644" s="55" t="str">
        <f>IFERROR(IF($G644="","",VLOOKUP('Dashboard And Emails Automate'!$G644,Database!$H:$N,7,0)),"")</f>
        <v/>
      </c>
      <c r="N644" s="55" t="str">
        <f>IFERROR(IF(OR($B644="",$B644="(blank)"),"",VLOOKUP($B644,'Email Marketing Raw Data'!$C:$O,6,0)),"")</f>
        <v/>
      </c>
      <c r="O644" s="55" t="str">
        <f>IFERROR(IF(OR($B644="",$B644="(blank)"),"",VLOOKUP($B644,'Email Marketing Raw Data'!$C:$O,7,0)),"")</f>
        <v/>
      </c>
      <c r="P644" s="55" t="str">
        <f>IFERROR(IF(OR($B644="",$B644="(blank)"),"",VLOOKUP($B644,'Email Marketing Raw Data'!$C:$O,8,0)),"")</f>
        <v/>
      </c>
      <c r="Q644" s="62" t="str">
        <f>IFERROR(IF(OR($B644="",$B644="(blank)"),"",VLOOKUP($B644,'Email Marketing Raw Data'!$C:$O,9,0)),"")</f>
        <v/>
      </c>
    </row>
    <row r="645" spans="4:17" ht="12.75" customHeight="1" x14ac:dyDescent="0.2">
      <c r="D645" s="58" t="str">
        <f>IFERROR(IF(F645&lt;&gt;"pending","",IF(OR($B645="",$B645="(blank)"),"",VLOOKUP($B645,'Email Marketing Raw Data'!$C:$O,10,0))),"")</f>
        <v/>
      </c>
      <c r="E645" s="59" t="str">
        <f>IFERROR(IF(F645&lt;&gt;"pending","",IF(OR($B645="",$B645="(blank)"),"",VLOOKUP($B645,'Email Marketing Raw Data'!$C:$O,11,0))),"")</f>
        <v/>
      </c>
      <c r="F645" s="54" t="str">
        <f>IFERROR(IF(OR($B645="",$B645="(blank)"),"",VLOOKUP($B645,'Email Marketing Raw Data'!$C:$O,13,0)),"")</f>
        <v/>
      </c>
      <c r="G645" s="55" t="str">
        <f>IFERROR(IF(OR($B645="",$B645="(blank)"),"",VLOOKUP($B645,'Email Marketing Raw Data'!$C:$O,4,0)),"")</f>
        <v/>
      </c>
      <c r="H645" s="55" t="str">
        <f>IFERROR(IF(OR($B645="",$B645="(blank)"),"",VLOOKUP($B645,'Email Marketing Raw Data'!$C:$O,5,0)),"")</f>
        <v/>
      </c>
      <c r="I645" s="55" t="str">
        <f>IFERROR(IF($G645="","",VLOOKUP('Dashboard And Emails Automate'!$G645,Database!$H:$N,3,0)),"")</f>
        <v/>
      </c>
      <c r="J645" s="55" t="str">
        <f>IFERROR(IF($G645="","",VLOOKUP('Dashboard And Emails Automate'!$G645,Database!$H:$N,4,0)),"")</f>
        <v/>
      </c>
      <c r="K645" s="55" t="str">
        <f>IFERROR(IF($G645="","",VLOOKUP('Dashboard And Emails Automate'!$G645,Database!$H:$N,5,0)),"")</f>
        <v/>
      </c>
      <c r="L645" s="55" t="str">
        <f>IFERROR(IF($G645="","",VLOOKUP('Dashboard And Emails Automate'!$G645,Database!$H:$N,6,0)),"")</f>
        <v/>
      </c>
      <c r="M645" s="55" t="str">
        <f>IFERROR(IF($G645="","",VLOOKUP('Dashboard And Emails Automate'!$G645,Database!$H:$N,7,0)),"")</f>
        <v/>
      </c>
      <c r="N645" s="55" t="str">
        <f>IFERROR(IF(OR($B645="",$B645="(blank)"),"",VLOOKUP($B645,'Email Marketing Raw Data'!$C:$O,6,0)),"")</f>
        <v/>
      </c>
      <c r="O645" s="55" t="str">
        <f>IFERROR(IF(OR($B645="",$B645="(blank)"),"",VLOOKUP($B645,'Email Marketing Raw Data'!$C:$O,7,0)),"")</f>
        <v/>
      </c>
      <c r="P645" s="55" t="str">
        <f>IFERROR(IF(OR($B645="",$B645="(blank)"),"",VLOOKUP($B645,'Email Marketing Raw Data'!$C:$O,8,0)),"")</f>
        <v/>
      </c>
      <c r="Q645" s="62" t="str">
        <f>IFERROR(IF(OR($B645="",$B645="(blank)"),"",VLOOKUP($B645,'Email Marketing Raw Data'!$C:$O,9,0)),"")</f>
        <v/>
      </c>
    </row>
    <row r="646" spans="4:17" ht="12.75" customHeight="1" x14ac:dyDescent="0.2">
      <c r="D646" s="58" t="str">
        <f>IFERROR(IF(F646&lt;&gt;"pending","",IF(OR($B646="",$B646="(blank)"),"",VLOOKUP($B646,'Email Marketing Raw Data'!$C:$O,10,0))),"")</f>
        <v/>
      </c>
      <c r="E646" s="59" t="str">
        <f>IFERROR(IF(F646&lt;&gt;"pending","",IF(OR($B646="",$B646="(blank)"),"",VLOOKUP($B646,'Email Marketing Raw Data'!$C:$O,11,0))),"")</f>
        <v/>
      </c>
      <c r="F646" s="54" t="str">
        <f>IFERROR(IF(OR($B646="",$B646="(blank)"),"",VLOOKUP($B646,'Email Marketing Raw Data'!$C:$O,13,0)),"")</f>
        <v/>
      </c>
      <c r="G646" s="55" t="str">
        <f>IFERROR(IF(OR($B646="",$B646="(blank)"),"",VLOOKUP($B646,'Email Marketing Raw Data'!$C:$O,4,0)),"")</f>
        <v/>
      </c>
      <c r="H646" s="55" t="str">
        <f>IFERROR(IF(OR($B646="",$B646="(blank)"),"",VLOOKUP($B646,'Email Marketing Raw Data'!$C:$O,5,0)),"")</f>
        <v/>
      </c>
      <c r="I646" s="55" t="str">
        <f>IFERROR(IF($G646="","",VLOOKUP('Dashboard And Emails Automate'!$G646,Database!$H:$N,3,0)),"")</f>
        <v/>
      </c>
      <c r="J646" s="55" t="str">
        <f>IFERROR(IF($G646="","",VLOOKUP('Dashboard And Emails Automate'!$G646,Database!$H:$N,4,0)),"")</f>
        <v/>
      </c>
      <c r="K646" s="55" t="str">
        <f>IFERROR(IF($G646="","",VLOOKUP('Dashboard And Emails Automate'!$G646,Database!$H:$N,5,0)),"")</f>
        <v/>
      </c>
      <c r="L646" s="55" t="str">
        <f>IFERROR(IF($G646="","",VLOOKUP('Dashboard And Emails Automate'!$G646,Database!$H:$N,6,0)),"")</f>
        <v/>
      </c>
      <c r="M646" s="55" t="str">
        <f>IFERROR(IF($G646="","",VLOOKUP('Dashboard And Emails Automate'!$G646,Database!$H:$N,7,0)),"")</f>
        <v/>
      </c>
      <c r="N646" s="55" t="str">
        <f>IFERROR(IF(OR($B646="",$B646="(blank)"),"",VLOOKUP($B646,'Email Marketing Raw Data'!$C:$O,6,0)),"")</f>
        <v/>
      </c>
      <c r="O646" s="55" t="str">
        <f>IFERROR(IF(OR($B646="",$B646="(blank)"),"",VLOOKUP($B646,'Email Marketing Raw Data'!$C:$O,7,0)),"")</f>
        <v/>
      </c>
      <c r="P646" s="55" t="str">
        <f>IFERROR(IF(OR($B646="",$B646="(blank)"),"",VLOOKUP($B646,'Email Marketing Raw Data'!$C:$O,8,0)),"")</f>
        <v/>
      </c>
      <c r="Q646" s="62" t="str">
        <f>IFERROR(IF(OR($B646="",$B646="(blank)"),"",VLOOKUP($B646,'Email Marketing Raw Data'!$C:$O,9,0)),"")</f>
        <v/>
      </c>
    </row>
    <row r="647" spans="4:17" ht="12.75" customHeight="1" x14ac:dyDescent="0.2">
      <c r="D647" s="58" t="str">
        <f>IFERROR(IF(F647&lt;&gt;"pending","",IF(OR($B647="",$B647="(blank)"),"",VLOOKUP($B647,'Email Marketing Raw Data'!$C:$O,10,0))),"")</f>
        <v/>
      </c>
      <c r="E647" s="59" t="str">
        <f>IFERROR(IF(F647&lt;&gt;"pending","",IF(OR($B647="",$B647="(blank)"),"",VLOOKUP($B647,'Email Marketing Raw Data'!$C:$O,11,0))),"")</f>
        <v/>
      </c>
      <c r="F647" s="54" t="str">
        <f>IFERROR(IF(OR($B647="",$B647="(blank)"),"",VLOOKUP($B647,'Email Marketing Raw Data'!$C:$O,13,0)),"")</f>
        <v/>
      </c>
      <c r="G647" s="55" t="str">
        <f>IFERROR(IF(OR($B647="",$B647="(blank)"),"",VLOOKUP($B647,'Email Marketing Raw Data'!$C:$O,4,0)),"")</f>
        <v/>
      </c>
      <c r="H647" s="55" t="str">
        <f>IFERROR(IF(OR($B647="",$B647="(blank)"),"",VLOOKUP($B647,'Email Marketing Raw Data'!$C:$O,5,0)),"")</f>
        <v/>
      </c>
      <c r="I647" s="55" t="str">
        <f>IFERROR(IF($G647="","",VLOOKUP('Dashboard And Emails Automate'!$G647,Database!$H:$N,3,0)),"")</f>
        <v/>
      </c>
      <c r="J647" s="55" t="str">
        <f>IFERROR(IF($G647="","",VLOOKUP('Dashboard And Emails Automate'!$G647,Database!$H:$N,4,0)),"")</f>
        <v/>
      </c>
      <c r="K647" s="55" t="str">
        <f>IFERROR(IF($G647="","",VLOOKUP('Dashboard And Emails Automate'!$G647,Database!$H:$N,5,0)),"")</f>
        <v/>
      </c>
      <c r="L647" s="55" t="str">
        <f>IFERROR(IF($G647="","",VLOOKUP('Dashboard And Emails Automate'!$G647,Database!$H:$N,6,0)),"")</f>
        <v/>
      </c>
      <c r="M647" s="55" t="str">
        <f>IFERROR(IF($G647="","",VLOOKUP('Dashboard And Emails Automate'!$G647,Database!$H:$N,7,0)),"")</f>
        <v/>
      </c>
      <c r="N647" s="55" t="str">
        <f>IFERROR(IF(OR($B647="",$B647="(blank)"),"",VLOOKUP($B647,'Email Marketing Raw Data'!$C:$O,6,0)),"")</f>
        <v/>
      </c>
      <c r="O647" s="55" t="str">
        <f>IFERROR(IF(OR($B647="",$B647="(blank)"),"",VLOOKUP($B647,'Email Marketing Raw Data'!$C:$O,7,0)),"")</f>
        <v/>
      </c>
      <c r="P647" s="55" t="str">
        <f>IFERROR(IF(OR($B647="",$B647="(blank)"),"",VLOOKUP($B647,'Email Marketing Raw Data'!$C:$O,8,0)),"")</f>
        <v/>
      </c>
      <c r="Q647" s="62" t="str">
        <f>IFERROR(IF(OR($B647="",$B647="(blank)"),"",VLOOKUP($B647,'Email Marketing Raw Data'!$C:$O,9,0)),"")</f>
        <v/>
      </c>
    </row>
    <row r="648" spans="4:17" ht="12.75" customHeight="1" x14ac:dyDescent="0.2">
      <c r="D648" s="58" t="str">
        <f>IFERROR(IF(F648&lt;&gt;"pending","",IF(OR($B648="",$B648="(blank)"),"",VLOOKUP($B648,'Email Marketing Raw Data'!$C:$O,10,0))),"")</f>
        <v/>
      </c>
      <c r="E648" s="59" t="str">
        <f>IFERROR(IF(F648&lt;&gt;"pending","",IF(OR($B648="",$B648="(blank)"),"",VLOOKUP($B648,'Email Marketing Raw Data'!$C:$O,11,0))),"")</f>
        <v/>
      </c>
      <c r="F648" s="54" t="str">
        <f>IFERROR(IF(OR($B648="",$B648="(blank)"),"",VLOOKUP($B648,'Email Marketing Raw Data'!$C:$O,13,0)),"")</f>
        <v/>
      </c>
      <c r="G648" s="55" t="str">
        <f>IFERROR(IF(OR($B648="",$B648="(blank)"),"",VLOOKUP($B648,'Email Marketing Raw Data'!$C:$O,4,0)),"")</f>
        <v/>
      </c>
      <c r="H648" s="55" t="str">
        <f>IFERROR(IF(OR($B648="",$B648="(blank)"),"",VLOOKUP($B648,'Email Marketing Raw Data'!$C:$O,5,0)),"")</f>
        <v/>
      </c>
      <c r="I648" s="55" t="str">
        <f>IFERROR(IF($G648="","",VLOOKUP('Dashboard And Emails Automate'!$G648,Database!$H:$N,3,0)),"")</f>
        <v/>
      </c>
      <c r="J648" s="55" t="str">
        <f>IFERROR(IF($G648="","",VLOOKUP('Dashboard And Emails Automate'!$G648,Database!$H:$N,4,0)),"")</f>
        <v/>
      </c>
      <c r="K648" s="55" t="str">
        <f>IFERROR(IF($G648="","",VLOOKUP('Dashboard And Emails Automate'!$G648,Database!$H:$N,5,0)),"")</f>
        <v/>
      </c>
      <c r="L648" s="55" t="str">
        <f>IFERROR(IF($G648="","",VLOOKUP('Dashboard And Emails Automate'!$G648,Database!$H:$N,6,0)),"")</f>
        <v/>
      </c>
      <c r="M648" s="55" t="str">
        <f>IFERROR(IF($G648="","",VLOOKUP('Dashboard And Emails Automate'!$G648,Database!$H:$N,7,0)),"")</f>
        <v/>
      </c>
      <c r="N648" s="55" t="str">
        <f>IFERROR(IF(OR($B648="",$B648="(blank)"),"",VLOOKUP($B648,'Email Marketing Raw Data'!$C:$O,6,0)),"")</f>
        <v/>
      </c>
      <c r="O648" s="55" t="str">
        <f>IFERROR(IF(OR($B648="",$B648="(blank)"),"",VLOOKUP($B648,'Email Marketing Raw Data'!$C:$O,7,0)),"")</f>
        <v/>
      </c>
      <c r="P648" s="55" t="str">
        <f>IFERROR(IF(OR($B648="",$B648="(blank)"),"",VLOOKUP($B648,'Email Marketing Raw Data'!$C:$O,8,0)),"")</f>
        <v/>
      </c>
      <c r="Q648" s="62" t="str">
        <f>IFERROR(IF(OR($B648="",$B648="(blank)"),"",VLOOKUP($B648,'Email Marketing Raw Data'!$C:$O,9,0)),"")</f>
        <v/>
      </c>
    </row>
    <row r="649" spans="4:17" ht="12.75" customHeight="1" x14ac:dyDescent="0.2">
      <c r="D649" s="58" t="str">
        <f>IFERROR(IF(F649&lt;&gt;"pending","",IF(OR($B649="",$B649="(blank)"),"",VLOOKUP($B649,'Email Marketing Raw Data'!$C:$O,10,0))),"")</f>
        <v/>
      </c>
      <c r="E649" s="59" t="str">
        <f>IFERROR(IF(F649&lt;&gt;"pending","",IF(OR($B649="",$B649="(blank)"),"",VLOOKUP($B649,'Email Marketing Raw Data'!$C:$O,11,0))),"")</f>
        <v/>
      </c>
      <c r="F649" s="54" t="str">
        <f>IFERROR(IF(OR($B649="",$B649="(blank)"),"",VLOOKUP($B649,'Email Marketing Raw Data'!$C:$O,13,0)),"")</f>
        <v/>
      </c>
      <c r="G649" s="55" t="str">
        <f>IFERROR(IF(OR($B649="",$B649="(blank)"),"",VLOOKUP($B649,'Email Marketing Raw Data'!$C:$O,4,0)),"")</f>
        <v/>
      </c>
      <c r="H649" s="55" t="str">
        <f>IFERROR(IF(OR($B649="",$B649="(blank)"),"",VLOOKUP($B649,'Email Marketing Raw Data'!$C:$O,5,0)),"")</f>
        <v/>
      </c>
      <c r="I649" s="55" t="str">
        <f>IFERROR(IF($G649="","",VLOOKUP('Dashboard And Emails Automate'!$G649,Database!$H:$N,3,0)),"")</f>
        <v/>
      </c>
      <c r="J649" s="55" t="str">
        <f>IFERROR(IF($G649="","",VLOOKUP('Dashboard And Emails Automate'!$G649,Database!$H:$N,4,0)),"")</f>
        <v/>
      </c>
      <c r="K649" s="55" t="str">
        <f>IFERROR(IF($G649="","",VLOOKUP('Dashboard And Emails Automate'!$G649,Database!$H:$N,5,0)),"")</f>
        <v/>
      </c>
      <c r="L649" s="55" t="str">
        <f>IFERROR(IF($G649="","",VLOOKUP('Dashboard And Emails Automate'!$G649,Database!$H:$N,6,0)),"")</f>
        <v/>
      </c>
      <c r="M649" s="55" t="str">
        <f>IFERROR(IF($G649="","",VLOOKUP('Dashboard And Emails Automate'!$G649,Database!$H:$N,7,0)),"")</f>
        <v/>
      </c>
      <c r="N649" s="55" t="str">
        <f>IFERROR(IF(OR($B649="",$B649="(blank)"),"",VLOOKUP($B649,'Email Marketing Raw Data'!$C:$O,6,0)),"")</f>
        <v/>
      </c>
      <c r="O649" s="55" t="str">
        <f>IFERROR(IF(OR($B649="",$B649="(blank)"),"",VLOOKUP($B649,'Email Marketing Raw Data'!$C:$O,7,0)),"")</f>
        <v/>
      </c>
      <c r="P649" s="55" t="str">
        <f>IFERROR(IF(OR($B649="",$B649="(blank)"),"",VLOOKUP($B649,'Email Marketing Raw Data'!$C:$O,8,0)),"")</f>
        <v/>
      </c>
      <c r="Q649" s="62" t="str">
        <f>IFERROR(IF(OR($B649="",$B649="(blank)"),"",VLOOKUP($B649,'Email Marketing Raw Data'!$C:$O,9,0)),"")</f>
        <v/>
      </c>
    </row>
    <row r="650" spans="4:17" ht="12.75" customHeight="1" x14ac:dyDescent="0.2">
      <c r="D650" s="58" t="str">
        <f>IFERROR(IF(F650&lt;&gt;"pending","",IF(OR($B650="",$B650="(blank)"),"",VLOOKUP($B650,'Email Marketing Raw Data'!$C:$O,10,0))),"")</f>
        <v/>
      </c>
      <c r="E650" s="59" t="str">
        <f>IFERROR(IF(F650&lt;&gt;"pending","",IF(OR($B650="",$B650="(blank)"),"",VLOOKUP($B650,'Email Marketing Raw Data'!$C:$O,11,0))),"")</f>
        <v/>
      </c>
      <c r="F650" s="54" t="str">
        <f>IFERROR(IF(OR($B650="",$B650="(blank)"),"",VLOOKUP($B650,'Email Marketing Raw Data'!$C:$O,13,0)),"")</f>
        <v/>
      </c>
      <c r="G650" s="55" t="str">
        <f>IFERROR(IF(OR($B650="",$B650="(blank)"),"",VLOOKUP($B650,'Email Marketing Raw Data'!$C:$O,4,0)),"")</f>
        <v/>
      </c>
      <c r="H650" s="55" t="str">
        <f>IFERROR(IF(OR($B650="",$B650="(blank)"),"",VLOOKUP($B650,'Email Marketing Raw Data'!$C:$O,5,0)),"")</f>
        <v/>
      </c>
      <c r="I650" s="55" t="str">
        <f>IFERROR(IF($G650="","",VLOOKUP('Dashboard And Emails Automate'!$G650,Database!$H:$N,3,0)),"")</f>
        <v/>
      </c>
      <c r="J650" s="55" t="str">
        <f>IFERROR(IF($G650="","",VLOOKUP('Dashboard And Emails Automate'!$G650,Database!$H:$N,4,0)),"")</f>
        <v/>
      </c>
      <c r="K650" s="55" t="str">
        <f>IFERROR(IF($G650="","",VLOOKUP('Dashboard And Emails Automate'!$G650,Database!$H:$N,5,0)),"")</f>
        <v/>
      </c>
      <c r="L650" s="55" t="str">
        <f>IFERROR(IF($G650="","",VLOOKUP('Dashboard And Emails Automate'!$G650,Database!$H:$N,6,0)),"")</f>
        <v/>
      </c>
      <c r="M650" s="55" t="str">
        <f>IFERROR(IF($G650="","",VLOOKUP('Dashboard And Emails Automate'!$G650,Database!$H:$N,7,0)),"")</f>
        <v/>
      </c>
      <c r="N650" s="55" t="str">
        <f>IFERROR(IF(OR($B650="",$B650="(blank)"),"",VLOOKUP($B650,'Email Marketing Raw Data'!$C:$O,6,0)),"")</f>
        <v/>
      </c>
      <c r="O650" s="55" t="str">
        <f>IFERROR(IF(OR($B650="",$B650="(blank)"),"",VLOOKUP($B650,'Email Marketing Raw Data'!$C:$O,7,0)),"")</f>
        <v/>
      </c>
      <c r="P650" s="55" t="str">
        <f>IFERROR(IF(OR($B650="",$B650="(blank)"),"",VLOOKUP($B650,'Email Marketing Raw Data'!$C:$O,8,0)),"")</f>
        <v/>
      </c>
      <c r="Q650" s="62" t="str">
        <f>IFERROR(IF(OR($B650="",$B650="(blank)"),"",VLOOKUP($B650,'Email Marketing Raw Data'!$C:$O,9,0)),"")</f>
        <v/>
      </c>
    </row>
    <row r="651" spans="4:17" ht="12.75" customHeight="1" x14ac:dyDescent="0.2">
      <c r="D651" s="58" t="str">
        <f>IFERROR(IF(F651&lt;&gt;"pending","",IF(OR($B651="",$B651="(blank)"),"",VLOOKUP($B651,'Email Marketing Raw Data'!$C:$O,10,0))),"")</f>
        <v/>
      </c>
      <c r="E651" s="59" t="str">
        <f>IFERROR(IF(F651&lt;&gt;"pending","",IF(OR($B651="",$B651="(blank)"),"",VLOOKUP($B651,'Email Marketing Raw Data'!$C:$O,11,0))),"")</f>
        <v/>
      </c>
      <c r="F651" s="54" t="str">
        <f>IFERROR(IF(OR($B651="",$B651="(blank)"),"",VLOOKUP($B651,'Email Marketing Raw Data'!$C:$O,13,0)),"")</f>
        <v/>
      </c>
      <c r="G651" s="55" t="str">
        <f>IFERROR(IF(OR($B651="",$B651="(blank)"),"",VLOOKUP($B651,'Email Marketing Raw Data'!$C:$O,4,0)),"")</f>
        <v/>
      </c>
      <c r="H651" s="55" t="str">
        <f>IFERROR(IF(OR($B651="",$B651="(blank)"),"",VLOOKUP($B651,'Email Marketing Raw Data'!$C:$O,5,0)),"")</f>
        <v/>
      </c>
      <c r="I651" s="55" t="str">
        <f>IFERROR(IF($G651="","",VLOOKUP('Dashboard And Emails Automate'!$G651,Database!$H:$N,3,0)),"")</f>
        <v/>
      </c>
      <c r="J651" s="55" t="str">
        <f>IFERROR(IF($G651="","",VLOOKUP('Dashboard And Emails Automate'!$G651,Database!$H:$N,4,0)),"")</f>
        <v/>
      </c>
      <c r="K651" s="55" t="str">
        <f>IFERROR(IF($G651="","",VLOOKUP('Dashboard And Emails Automate'!$G651,Database!$H:$N,5,0)),"")</f>
        <v/>
      </c>
      <c r="L651" s="55" t="str">
        <f>IFERROR(IF($G651="","",VLOOKUP('Dashboard And Emails Automate'!$G651,Database!$H:$N,6,0)),"")</f>
        <v/>
      </c>
      <c r="M651" s="55" t="str">
        <f>IFERROR(IF($G651="","",VLOOKUP('Dashboard And Emails Automate'!$G651,Database!$H:$N,7,0)),"")</f>
        <v/>
      </c>
      <c r="N651" s="55" t="str">
        <f>IFERROR(IF(OR($B651="",$B651="(blank)"),"",VLOOKUP($B651,'Email Marketing Raw Data'!$C:$O,6,0)),"")</f>
        <v/>
      </c>
      <c r="O651" s="55" t="str">
        <f>IFERROR(IF(OR($B651="",$B651="(blank)"),"",VLOOKUP($B651,'Email Marketing Raw Data'!$C:$O,7,0)),"")</f>
        <v/>
      </c>
      <c r="P651" s="55" t="str">
        <f>IFERROR(IF(OR($B651="",$B651="(blank)"),"",VLOOKUP($B651,'Email Marketing Raw Data'!$C:$O,8,0)),"")</f>
        <v/>
      </c>
      <c r="Q651" s="62" t="str">
        <f>IFERROR(IF(OR($B651="",$B651="(blank)"),"",VLOOKUP($B651,'Email Marketing Raw Data'!$C:$O,9,0)),"")</f>
        <v/>
      </c>
    </row>
    <row r="652" spans="4:17" ht="12.75" customHeight="1" x14ac:dyDescent="0.2">
      <c r="D652" s="58" t="str">
        <f>IFERROR(IF(F652&lt;&gt;"pending","",IF(OR($B652="",$B652="(blank)"),"",VLOOKUP($B652,'Email Marketing Raw Data'!$C:$O,10,0))),"")</f>
        <v/>
      </c>
      <c r="E652" s="59" t="str">
        <f>IFERROR(IF(F652&lt;&gt;"pending","",IF(OR($B652="",$B652="(blank)"),"",VLOOKUP($B652,'Email Marketing Raw Data'!$C:$O,11,0))),"")</f>
        <v/>
      </c>
      <c r="F652" s="54" t="str">
        <f>IFERROR(IF(OR($B652="",$B652="(blank)"),"",VLOOKUP($B652,'Email Marketing Raw Data'!$C:$O,13,0)),"")</f>
        <v/>
      </c>
      <c r="G652" s="55" t="str">
        <f>IFERROR(IF(OR($B652="",$B652="(blank)"),"",VLOOKUP($B652,'Email Marketing Raw Data'!$C:$O,4,0)),"")</f>
        <v/>
      </c>
      <c r="H652" s="55" t="str">
        <f>IFERROR(IF(OR($B652="",$B652="(blank)"),"",VLOOKUP($B652,'Email Marketing Raw Data'!$C:$O,5,0)),"")</f>
        <v/>
      </c>
      <c r="I652" s="55" t="str">
        <f>IFERROR(IF($G652="","",VLOOKUP('Dashboard And Emails Automate'!$G652,Database!$H:$N,3,0)),"")</f>
        <v/>
      </c>
      <c r="J652" s="55" t="str">
        <f>IFERROR(IF($G652="","",VLOOKUP('Dashboard And Emails Automate'!$G652,Database!$H:$N,4,0)),"")</f>
        <v/>
      </c>
      <c r="K652" s="55" t="str">
        <f>IFERROR(IF($G652="","",VLOOKUP('Dashboard And Emails Automate'!$G652,Database!$H:$N,5,0)),"")</f>
        <v/>
      </c>
      <c r="L652" s="55" t="str">
        <f>IFERROR(IF($G652="","",VLOOKUP('Dashboard And Emails Automate'!$G652,Database!$H:$N,6,0)),"")</f>
        <v/>
      </c>
      <c r="M652" s="55" t="str">
        <f>IFERROR(IF($G652="","",VLOOKUP('Dashboard And Emails Automate'!$G652,Database!$H:$N,7,0)),"")</f>
        <v/>
      </c>
      <c r="N652" s="55" t="str">
        <f>IFERROR(IF(OR($B652="",$B652="(blank)"),"",VLOOKUP($B652,'Email Marketing Raw Data'!$C:$O,6,0)),"")</f>
        <v/>
      </c>
      <c r="O652" s="55" t="str">
        <f>IFERROR(IF(OR($B652="",$B652="(blank)"),"",VLOOKUP($B652,'Email Marketing Raw Data'!$C:$O,7,0)),"")</f>
        <v/>
      </c>
      <c r="P652" s="55" t="str">
        <f>IFERROR(IF(OR($B652="",$B652="(blank)"),"",VLOOKUP($B652,'Email Marketing Raw Data'!$C:$O,8,0)),"")</f>
        <v/>
      </c>
      <c r="Q652" s="62" t="str">
        <f>IFERROR(IF(OR($B652="",$B652="(blank)"),"",VLOOKUP($B652,'Email Marketing Raw Data'!$C:$O,9,0)),"")</f>
        <v/>
      </c>
    </row>
    <row r="653" spans="4:17" ht="12.75" customHeight="1" x14ac:dyDescent="0.2">
      <c r="D653" s="58" t="str">
        <f>IFERROR(IF(F653&lt;&gt;"pending","",IF(OR($B653="",$B653="(blank)"),"",VLOOKUP($B653,'Email Marketing Raw Data'!$C:$O,10,0))),"")</f>
        <v/>
      </c>
      <c r="E653" s="59" t="str">
        <f>IFERROR(IF(F653&lt;&gt;"pending","",IF(OR($B653="",$B653="(blank)"),"",VLOOKUP($B653,'Email Marketing Raw Data'!$C:$O,11,0))),"")</f>
        <v/>
      </c>
      <c r="F653" s="54" t="str">
        <f>IFERROR(IF(OR($B653="",$B653="(blank)"),"",VLOOKUP($B653,'Email Marketing Raw Data'!$C:$O,13,0)),"")</f>
        <v/>
      </c>
      <c r="G653" s="55" t="str">
        <f>IFERROR(IF(OR($B653="",$B653="(blank)"),"",VLOOKUP($B653,'Email Marketing Raw Data'!$C:$O,4,0)),"")</f>
        <v/>
      </c>
      <c r="H653" s="55" t="str">
        <f>IFERROR(IF(OR($B653="",$B653="(blank)"),"",VLOOKUP($B653,'Email Marketing Raw Data'!$C:$O,5,0)),"")</f>
        <v/>
      </c>
      <c r="I653" s="55" t="str">
        <f>IFERROR(IF($G653="","",VLOOKUP('Dashboard And Emails Automate'!$G653,Database!$H:$N,3,0)),"")</f>
        <v/>
      </c>
      <c r="J653" s="55" t="str">
        <f>IFERROR(IF($G653="","",VLOOKUP('Dashboard And Emails Automate'!$G653,Database!$H:$N,4,0)),"")</f>
        <v/>
      </c>
      <c r="K653" s="55" t="str">
        <f>IFERROR(IF($G653="","",VLOOKUP('Dashboard And Emails Automate'!$G653,Database!$H:$N,5,0)),"")</f>
        <v/>
      </c>
      <c r="L653" s="55" t="str">
        <f>IFERROR(IF($G653="","",VLOOKUP('Dashboard And Emails Automate'!$G653,Database!$H:$N,6,0)),"")</f>
        <v/>
      </c>
      <c r="M653" s="55" t="str">
        <f>IFERROR(IF($G653="","",VLOOKUP('Dashboard And Emails Automate'!$G653,Database!$H:$N,7,0)),"")</f>
        <v/>
      </c>
      <c r="N653" s="55" t="str">
        <f>IFERROR(IF(OR($B653="",$B653="(blank)"),"",VLOOKUP($B653,'Email Marketing Raw Data'!$C:$O,6,0)),"")</f>
        <v/>
      </c>
      <c r="O653" s="55" t="str">
        <f>IFERROR(IF(OR($B653="",$B653="(blank)"),"",VLOOKUP($B653,'Email Marketing Raw Data'!$C:$O,7,0)),"")</f>
        <v/>
      </c>
      <c r="P653" s="55" t="str">
        <f>IFERROR(IF(OR($B653="",$B653="(blank)"),"",VLOOKUP($B653,'Email Marketing Raw Data'!$C:$O,8,0)),"")</f>
        <v/>
      </c>
      <c r="Q653" s="62" t="str">
        <f>IFERROR(IF(OR($B653="",$B653="(blank)"),"",VLOOKUP($B653,'Email Marketing Raw Data'!$C:$O,9,0)),"")</f>
        <v/>
      </c>
    </row>
    <row r="654" spans="4:17" ht="12.75" customHeight="1" x14ac:dyDescent="0.2">
      <c r="D654" s="58" t="str">
        <f>IFERROR(IF(F654&lt;&gt;"pending","",IF(OR($B654="",$B654="(blank)"),"",VLOOKUP($B654,'Email Marketing Raw Data'!$C:$O,10,0))),"")</f>
        <v/>
      </c>
      <c r="E654" s="59" t="str">
        <f>IFERROR(IF(F654&lt;&gt;"pending","",IF(OR($B654="",$B654="(blank)"),"",VLOOKUP($B654,'Email Marketing Raw Data'!$C:$O,11,0))),"")</f>
        <v/>
      </c>
      <c r="F654" s="54" t="str">
        <f>IFERROR(IF(OR($B654="",$B654="(blank)"),"",VLOOKUP($B654,'Email Marketing Raw Data'!$C:$O,13,0)),"")</f>
        <v/>
      </c>
      <c r="G654" s="55" t="str">
        <f>IFERROR(IF(OR($B654="",$B654="(blank)"),"",VLOOKUP($B654,'Email Marketing Raw Data'!$C:$O,4,0)),"")</f>
        <v/>
      </c>
      <c r="H654" s="55" t="str">
        <f>IFERROR(IF(OR($B654="",$B654="(blank)"),"",VLOOKUP($B654,'Email Marketing Raw Data'!$C:$O,5,0)),"")</f>
        <v/>
      </c>
      <c r="I654" s="55" t="str">
        <f>IFERROR(IF($G654="","",VLOOKUP('Dashboard And Emails Automate'!$G654,Database!$H:$N,3,0)),"")</f>
        <v/>
      </c>
      <c r="J654" s="55" t="str">
        <f>IFERROR(IF($G654="","",VLOOKUP('Dashboard And Emails Automate'!$G654,Database!$H:$N,4,0)),"")</f>
        <v/>
      </c>
      <c r="K654" s="55" t="str">
        <f>IFERROR(IF($G654="","",VLOOKUP('Dashboard And Emails Automate'!$G654,Database!$H:$N,5,0)),"")</f>
        <v/>
      </c>
      <c r="L654" s="55" t="str">
        <f>IFERROR(IF($G654="","",VLOOKUP('Dashboard And Emails Automate'!$G654,Database!$H:$N,6,0)),"")</f>
        <v/>
      </c>
      <c r="M654" s="55" t="str">
        <f>IFERROR(IF($G654="","",VLOOKUP('Dashboard And Emails Automate'!$G654,Database!$H:$N,7,0)),"")</f>
        <v/>
      </c>
      <c r="N654" s="55" t="str">
        <f>IFERROR(IF(OR($B654="",$B654="(blank)"),"",VLOOKUP($B654,'Email Marketing Raw Data'!$C:$O,6,0)),"")</f>
        <v/>
      </c>
      <c r="O654" s="55" t="str">
        <f>IFERROR(IF(OR($B654="",$B654="(blank)"),"",VLOOKUP($B654,'Email Marketing Raw Data'!$C:$O,7,0)),"")</f>
        <v/>
      </c>
      <c r="P654" s="55" t="str">
        <f>IFERROR(IF(OR($B654="",$B654="(blank)"),"",VLOOKUP($B654,'Email Marketing Raw Data'!$C:$O,8,0)),"")</f>
        <v/>
      </c>
      <c r="Q654" s="62" t="str">
        <f>IFERROR(IF(OR($B654="",$B654="(blank)"),"",VLOOKUP($B654,'Email Marketing Raw Data'!$C:$O,9,0)),"")</f>
        <v/>
      </c>
    </row>
    <row r="655" spans="4:17" ht="12.75" customHeight="1" x14ac:dyDescent="0.2">
      <c r="D655" s="58" t="str">
        <f>IFERROR(IF(F655&lt;&gt;"pending","",IF(OR($B655="",$B655="(blank)"),"",VLOOKUP($B655,'Email Marketing Raw Data'!$C:$O,10,0))),"")</f>
        <v/>
      </c>
      <c r="E655" s="59" t="str">
        <f>IFERROR(IF(F655&lt;&gt;"pending","",IF(OR($B655="",$B655="(blank)"),"",VLOOKUP($B655,'Email Marketing Raw Data'!$C:$O,11,0))),"")</f>
        <v/>
      </c>
      <c r="F655" s="54" t="str">
        <f>IFERROR(IF(OR($B655="",$B655="(blank)"),"",VLOOKUP($B655,'Email Marketing Raw Data'!$C:$O,13,0)),"")</f>
        <v/>
      </c>
      <c r="G655" s="55" t="str">
        <f>IFERROR(IF(OR($B655="",$B655="(blank)"),"",VLOOKUP($B655,'Email Marketing Raw Data'!$C:$O,4,0)),"")</f>
        <v/>
      </c>
      <c r="H655" s="55" t="str">
        <f>IFERROR(IF(OR($B655="",$B655="(blank)"),"",VLOOKUP($B655,'Email Marketing Raw Data'!$C:$O,5,0)),"")</f>
        <v/>
      </c>
      <c r="I655" s="55" t="str">
        <f>IFERROR(IF($G655="","",VLOOKUP('Dashboard And Emails Automate'!$G655,Database!$H:$N,3,0)),"")</f>
        <v/>
      </c>
      <c r="J655" s="55" t="str">
        <f>IFERROR(IF($G655="","",VLOOKUP('Dashboard And Emails Automate'!$G655,Database!$H:$N,4,0)),"")</f>
        <v/>
      </c>
      <c r="K655" s="55" t="str">
        <f>IFERROR(IF($G655="","",VLOOKUP('Dashboard And Emails Automate'!$G655,Database!$H:$N,5,0)),"")</f>
        <v/>
      </c>
      <c r="L655" s="55" t="str">
        <f>IFERROR(IF($G655="","",VLOOKUP('Dashboard And Emails Automate'!$G655,Database!$H:$N,6,0)),"")</f>
        <v/>
      </c>
      <c r="M655" s="55" t="str">
        <f>IFERROR(IF($G655="","",VLOOKUP('Dashboard And Emails Automate'!$G655,Database!$H:$N,7,0)),"")</f>
        <v/>
      </c>
      <c r="N655" s="55" t="str">
        <f>IFERROR(IF(OR($B655="",$B655="(blank)"),"",VLOOKUP($B655,'Email Marketing Raw Data'!$C:$O,6,0)),"")</f>
        <v/>
      </c>
      <c r="O655" s="55" t="str">
        <f>IFERROR(IF(OR($B655="",$B655="(blank)"),"",VLOOKUP($B655,'Email Marketing Raw Data'!$C:$O,7,0)),"")</f>
        <v/>
      </c>
      <c r="P655" s="55" t="str">
        <f>IFERROR(IF(OR($B655="",$B655="(blank)"),"",VLOOKUP($B655,'Email Marketing Raw Data'!$C:$O,8,0)),"")</f>
        <v/>
      </c>
      <c r="Q655" s="62" t="str">
        <f>IFERROR(IF(OR($B655="",$B655="(blank)"),"",VLOOKUP($B655,'Email Marketing Raw Data'!$C:$O,9,0)),"")</f>
        <v/>
      </c>
    </row>
    <row r="656" spans="4:17" ht="12.75" customHeight="1" x14ac:dyDescent="0.2">
      <c r="D656" s="58" t="str">
        <f>IFERROR(IF(F656&lt;&gt;"pending","",IF(OR($B656="",$B656="(blank)"),"",VLOOKUP($B656,'Email Marketing Raw Data'!$C:$O,10,0))),"")</f>
        <v/>
      </c>
      <c r="E656" s="59" t="str">
        <f>IFERROR(IF(F656&lt;&gt;"pending","",IF(OR($B656="",$B656="(blank)"),"",VLOOKUP($B656,'Email Marketing Raw Data'!$C:$O,11,0))),"")</f>
        <v/>
      </c>
      <c r="F656" s="54" t="str">
        <f>IFERROR(IF(OR($B656="",$B656="(blank)"),"",VLOOKUP($B656,'Email Marketing Raw Data'!$C:$O,13,0)),"")</f>
        <v/>
      </c>
      <c r="G656" s="55" t="str">
        <f>IFERROR(IF(OR($B656="",$B656="(blank)"),"",VLOOKUP($B656,'Email Marketing Raw Data'!$C:$O,4,0)),"")</f>
        <v/>
      </c>
      <c r="H656" s="55" t="str">
        <f>IFERROR(IF(OR($B656="",$B656="(blank)"),"",VLOOKUP($B656,'Email Marketing Raw Data'!$C:$O,5,0)),"")</f>
        <v/>
      </c>
      <c r="I656" s="55" t="str">
        <f>IFERROR(IF($G656="","",VLOOKUP('Dashboard And Emails Automate'!$G656,Database!$H:$N,3,0)),"")</f>
        <v/>
      </c>
      <c r="J656" s="55" t="str">
        <f>IFERROR(IF($G656="","",VLOOKUP('Dashboard And Emails Automate'!$G656,Database!$H:$N,4,0)),"")</f>
        <v/>
      </c>
      <c r="K656" s="55" t="str">
        <f>IFERROR(IF($G656="","",VLOOKUP('Dashboard And Emails Automate'!$G656,Database!$H:$N,5,0)),"")</f>
        <v/>
      </c>
      <c r="L656" s="55" t="str">
        <f>IFERROR(IF($G656="","",VLOOKUP('Dashboard And Emails Automate'!$G656,Database!$H:$N,6,0)),"")</f>
        <v/>
      </c>
      <c r="M656" s="55" t="str">
        <f>IFERROR(IF($G656="","",VLOOKUP('Dashboard And Emails Automate'!$G656,Database!$H:$N,7,0)),"")</f>
        <v/>
      </c>
      <c r="N656" s="55" t="str">
        <f>IFERROR(IF(OR($B656="",$B656="(blank)"),"",VLOOKUP($B656,'Email Marketing Raw Data'!$C:$O,6,0)),"")</f>
        <v/>
      </c>
      <c r="O656" s="55" t="str">
        <f>IFERROR(IF(OR($B656="",$B656="(blank)"),"",VLOOKUP($B656,'Email Marketing Raw Data'!$C:$O,7,0)),"")</f>
        <v/>
      </c>
      <c r="P656" s="55" t="str">
        <f>IFERROR(IF(OR($B656="",$B656="(blank)"),"",VLOOKUP($B656,'Email Marketing Raw Data'!$C:$O,8,0)),"")</f>
        <v/>
      </c>
      <c r="Q656" s="62" t="str">
        <f>IFERROR(IF(OR($B656="",$B656="(blank)"),"",VLOOKUP($B656,'Email Marketing Raw Data'!$C:$O,9,0)),"")</f>
        <v/>
      </c>
    </row>
    <row r="657" spans="4:17" ht="12.75" customHeight="1" x14ac:dyDescent="0.2">
      <c r="D657" s="58" t="str">
        <f>IFERROR(IF(F657&lt;&gt;"pending","",IF(OR($B657="",$B657="(blank)"),"",VLOOKUP($B657,'Email Marketing Raw Data'!$C:$O,10,0))),"")</f>
        <v/>
      </c>
      <c r="E657" s="59" t="str">
        <f>IFERROR(IF(F657&lt;&gt;"pending","",IF(OR($B657="",$B657="(blank)"),"",VLOOKUP($B657,'Email Marketing Raw Data'!$C:$O,11,0))),"")</f>
        <v/>
      </c>
      <c r="F657" s="54" t="str">
        <f>IFERROR(IF(OR($B657="",$B657="(blank)"),"",VLOOKUP($B657,'Email Marketing Raw Data'!$C:$O,13,0)),"")</f>
        <v/>
      </c>
      <c r="G657" s="55" t="str">
        <f>IFERROR(IF(OR($B657="",$B657="(blank)"),"",VLOOKUP($B657,'Email Marketing Raw Data'!$C:$O,4,0)),"")</f>
        <v/>
      </c>
      <c r="H657" s="55" t="str">
        <f>IFERROR(IF(OR($B657="",$B657="(blank)"),"",VLOOKUP($B657,'Email Marketing Raw Data'!$C:$O,5,0)),"")</f>
        <v/>
      </c>
      <c r="I657" s="55" t="str">
        <f>IFERROR(IF($G657="","",VLOOKUP('Dashboard And Emails Automate'!$G657,Database!$H:$N,3,0)),"")</f>
        <v/>
      </c>
      <c r="J657" s="55" t="str">
        <f>IFERROR(IF($G657="","",VLOOKUP('Dashboard And Emails Automate'!$G657,Database!$H:$N,4,0)),"")</f>
        <v/>
      </c>
      <c r="K657" s="55" t="str">
        <f>IFERROR(IF($G657="","",VLOOKUP('Dashboard And Emails Automate'!$G657,Database!$H:$N,5,0)),"")</f>
        <v/>
      </c>
      <c r="L657" s="55" t="str">
        <f>IFERROR(IF($G657="","",VLOOKUP('Dashboard And Emails Automate'!$G657,Database!$H:$N,6,0)),"")</f>
        <v/>
      </c>
      <c r="M657" s="55" t="str">
        <f>IFERROR(IF($G657="","",VLOOKUP('Dashboard And Emails Automate'!$G657,Database!$H:$N,7,0)),"")</f>
        <v/>
      </c>
      <c r="N657" s="55" t="str">
        <f>IFERROR(IF(OR($B657="",$B657="(blank)"),"",VLOOKUP($B657,'Email Marketing Raw Data'!$C:$O,6,0)),"")</f>
        <v/>
      </c>
      <c r="O657" s="55" t="str">
        <f>IFERROR(IF(OR($B657="",$B657="(blank)"),"",VLOOKUP($B657,'Email Marketing Raw Data'!$C:$O,7,0)),"")</f>
        <v/>
      </c>
      <c r="P657" s="55" t="str">
        <f>IFERROR(IF(OR($B657="",$B657="(blank)"),"",VLOOKUP($B657,'Email Marketing Raw Data'!$C:$O,8,0)),"")</f>
        <v/>
      </c>
      <c r="Q657" s="62" t="str">
        <f>IFERROR(IF(OR($B657="",$B657="(blank)"),"",VLOOKUP($B657,'Email Marketing Raw Data'!$C:$O,9,0)),"")</f>
        <v/>
      </c>
    </row>
    <row r="658" spans="4:17" ht="12.75" customHeight="1" x14ac:dyDescent="0.2">
      <c r="D658" s="58" t="str">
        <f>IFERROR(IF(F658&lt;&gt;"pending","",IF(OR($B658="",$B658="(blank)"),"",VLOOKUP($B658,'Email Marketing Raw Data'!$C:$O,10,0))),"")</f>
        <v/>
      </c>
      <c r="E658" s="59" t="str">
        <f>IFERROR(IF(F658&lt;&gt;"pending","",IF(OR($B658="",$B658="(blank)"),"",VLOOKUP($B658,'Email Marketing Raw Data'!$C:$O,11,0))),"")</f>
        <v/>
      </c>
      <c r="F658" s="54" t="str">
        <f>IFERROR(IF(OR($B658="",$B658="(blank)"),"",VLOOKUP($B658,'Email Marketing Raw Data'!$C:$O,13,0)),"")</f>
        <v/>
      </c>
      <c r="G658" s="55" t="str">
        <f>IFERROR(IF(OR($B658="",$B658="(blank)"),"",VLOOKUP($B658,'Email Marketing Raw Data'!$C:$O,4,0)),"")</f>
        <v/>
      </c>
      <c r="H658" s="55" t="str">
        <f>IFERROR(IF(OR($B658="",$B658="(blank)"),"",VLOOKUP($B658,'Email Marketing Raw Data'!$C:$O,5,0)),"")</f>
        <v/>
      </c>
      <c r="I658" s="55" t="str">
        <f>IFERROR(IF($G658="","",VLOOKUP('Dashboard And Emails Automate'!$G658,Database!$H:$N,3,0)),"")</f>
        <v/>
      </c>
      <c r="J658" s="55" t="str">
        <f>IFERROR(IF($G658="","",VLOOKUP('Dashboard And Emails Automate'!$G658,Database!$H:$N,4,0)),"")</f>
        <v/>
      </c>
      <c r="K658" s="55" t="str">
        <f>IFERROR(IF($G658="","",VLOOKUP('Dashboard And Emails Automate'!$G658,Database!$H:$N,5,0)),"")</f>
        <v/>
      </c>
      <c r="L658" s="55" t="str">
        <f>IFERROR(IF($G658="","",VLOOKUP('Dashboard And Emails Automate'!$G658,Database!$H:$N,6,0)),"")</f>
        <v/>
      </c>
      <c r="M658" s="55" t="str">
        <f>IFERROR(IF($G658="","",VLOOKUP('Dashboard And Emails Automate'!$G658,Database!$H:$N,7,0)),"")</f>
        <v/>
      </c>
      <c r="N658" s="55" t="str">
        <f>IFERROR(IF(OR($B658="",$B658="(blank)"),"",VLOOKUP($B658,'Email Marketing Raw Data'!$C:$O,6,0)),"")</f>
        <v/>
      </c>
      <c r="O658" s="55" t="str">
        <f>IFERROR(IF(OR($B658="",$B658="(blank)"),"",VLOOKUP($B658,'Email Marketing Raw Data'!$C:$O,7,0)),"")</f>
        <v/>
      </c>
      <c r="P658" s="55" t="str">
        <f>IFERROR(IF(OR($B658="",$B658="(blank)"),"",VLOOKUP($B658,'Email Marketing Raw Data'!$C:$O,8,0)),"")</f>
        <v/>
      </c>
      <c r="Q658" s="62" t="str">
        <f>IFERROR(IF(OR($B658="",$B658="(blank)"),"",VLOOKUP($B658,'Email Marketing Raw Data'!$C:$O,9,0)),"")</f>
        <v/>
      </c>
    </row>
    <row r="659" spans="4:17" ht="12.75" customHeight="1" x14ac:dyDescent="0.2">
      <c r="D659" s="58" t="str">
        <f>IFERROR(IF(F659&lt;&gt;"pending","",IF(OR($B659="",$B659="(blank)"),"",VLOOKUP($B659,'Email Marketing Raw Data'!$C:$O,10,0))),"")</f>
        <v/>
      </c>
      <c r="E659" s="59" t="str">
        <f>IFERROR(IF(F659&lt;&gt;"pending","",IF(OR($B659="",$B659="(blank)"),"",VLOOKUP($B659,'Email Marketing Raw Data'!$C:$O,11,0))),"")</f>
        <v/>
      </c>
      <c r="F659" s="54" t="str">
        <f>IFERROR(IF(OR($B659="",$B659="(blank)"),"",VLOOKUP($B659,'Email Marketing Raw Data'!$C:$O,13,0)),"")</f>
        <v/>
      </c>
      <c r="G659" s="55" t="str">
        <f>IFERROR(IF(OR($B659="",$B659="(blank)"),"",VLOOKUP($B659,'Email Marketing Raw Data'!$C:$O,4,0)),"")</f>
        <v/>
      </c>
      <c r="H659" s="55" t="str">
        <f>IFERROR(IF(OR($B659="",$B659="(blank)"),"",VLOOKUP($B659,'Email Marketing Raw Data'!$C:$O,5,0)),"")</f>
        <v/>
      </c>
      <c r="I659" s="55" t="str">
        <f>IFERROR(IF($G659="","",VLOOKUP('Dashboard And Emails Automate'!$G659,Database!$H:$N,3,0)),"")</f>
        <v/>
      </c>
      <c r="J659" s="55" t="str">
        <f>IFERROR(IF($G659="","",VLOOKUP('Dashboard And Emails Automate'!$G659,Database!$H:$N,4,0)),"")</f>
        <v/>
      </c>
      <c r="K659" s="55" t="str">
        <f>IFERROR(IF($G659="","",VLOOKUP('Dashboard And Emails Automate'!$G659,Database!$H:$N,5,0)),"")</f>
        <v/>
      </c>
      <c r="L659" s="55" t="str">
        <f>IFERROR(IF($G659="","",VLOOKUP('Dashboard And Emails Automate'!$G659,Database!$H:$N,6,0)),"")</f>
        <v/>
      </c>
      <c r="M659" s="55" t="str">
        <f>IFERROR(IF($G659="","",VLOOKUP('Dashboard And Emails Automate'!$G659,Database!$H:$N,7,0)),"")</f>
        <v/>
      </c>
      <c r="N659" s="55" t="str">
        <f>IFERROR(IF(OR($B659="",$B659="(blank)"),"",VLOOKUP($B659,'Email Marketing Raw Data'!$C:$O,6,0)),"")</f>
        <v/>
      </c>
      <c r="O659" s="55" t="str">
        <f>IFERROR(IF(OR($B659="",$B659="(blank)"),"",VLOOKUP($B659,'Email Marketing Raw Data'!$C:$O,7,0)),"")</f>
        <v/>
      </c>
      <c r="P659" s="55" t="str">
        <f>IFERROR(IF(OR($B659="",$B659="(blank)"),"",VLOOKUP($B659,'Email Marketing Raw Data'!$C:$O,8,0)),"")</f>
        <v/>
      </c>
      <c r="Q659" s="62" t="str">
        <f>IFERROR(IF(OR($B659="",$B659="(blank)"),"",VLOOKUP($B659,'Email Marketing Raw Data'!$C:$O,9,0)),"")</f>
        <v/>
      </c>
    </row>
    <row r="660" spans="4:17" ht="12.75" customHeight="1" x14ac:dyDescent="0.2">
      <c r="D660" s="58" t="str">
        <f>IFERROR(IF(F660&lt;&gt;"pending","",IF(OR($B660="",$B660="(blank)"),"",VLOOKUP($B660,'Email Marketing Raw Data'!$C:$O,10,0))),"")</f>
        <v/>
      </c>
      <c r="E660" s="59" t="str">
        <f>IFERROR(IF(F660&lt;&gt;"pending","",IF(OR($B660="",$B660="(blank)"),"",VLOOKUP($B660,'Email Marketing Raw Data'!$C:$O,11,0))),"")</f>
        <v/>
      </c>
      <c r="F660" s="54" t="str">
        <f>IFERROR(IF(OR($B660="",$B660="(blank)"),"",VLOOKUP($B660,'Email Marketing Raw Data'!$C:$O,13,0)),"")</f>
        <v/>
      </c>
      <c r="G660" s="55" t="str">
        <f>IFERROR(IF(OR($B660="",$B660="(blank)"),"",VLOOKUP($B660,'Email Marketing Raw Data'!$C:$O,4,0)),"")</f>
        <v/>
      </c>
      <c r="H660" s="55" t="str">
        <f>IFERROR(IF(OR($B660="",$B660="(blank)"),"",VLOOKUP($B660,'Email Marketing Raw Data'!$C:$O,5,0)),"")</f>
        <v/>
      </c>
      <c r="I660" s="55" t="str">
        <f>IFERROR(IF($G660="","",VLOOKUP('Dashboard And Emails Automate'!$G660,Database!$H:$N,3,0)),"")</f>
        <v/>
      </c>
      <c r="J660" s="55" t="str">
        <f>IFERROR(IF($G660="","",VLOOKUP('Dashboard And Emails Automate'!$G660,Database!$H:$N,4,0)),"")</f>
        <v/>
      </c>
      <c r="K660" s="55" t="str">
        <f>IFERROR(IF($G660="","",VLOOKUP('Dashboard And Emails Automate'!$G660,Database!$H:$N,5,0)),"")</f>
        <v/>
      </c>
      <c r="L660" s="55" t="str">
        <f>IFERROR(IF($G660="","",VLOOKUP('Dashboard And Emails Automate'!$G660,Database!$H:$N,6,0)),"")</f>
        <v/>
      </c>
      <c r="M660" s="55" t="str">
        <f>IFERROR(IF($G660="","",VLOOKUP('Dashboard And Emails Automate'!$G660,Database!$H:$N,7,0)),"")</f>
        <v/>
      </c>
      <c r="N660" s="55" t="str">
        <f>IFERROR(IF(OR($B660="",$B660="(blank)"),"",VLOOKUP($B660,'Email Marketing Raw Data'!$C:$O,6,0)),"")</f>
        <v/>
      </c>
      <c r="O660" s="55" t="str">
        <f>IFERROR(IF(OR($B660="",$B660="(blank)"),"",VLOOKUP($B660,'Email Marketing Raw Data'!$C:$O,7,0)),"")</f>
        <v/>
      </c>
      <c r="P660" s="55" t="str">
        <f>IFERROR(IF(OR($B660="",$B660="(blank)"),"",VLOOKUP($B660,'Email Marketing Raw Data'!$C:$O,8,0)),"")</f>
        <v/>
      </c>
      <c r="Q660" s="62" t="str">
        <f>IFERROR(IF(OR($B660="",$B660="(blank)"),"",VLOOKUP($B660,'Email Marketing Raw Data'!$C:$O,9,0)),"")</f>
        <v/>
      </c>
    </row>
    <row r="661" spans="4:17" ht="12.75" customHeight="1" x14ac:dyDescent="0.2">
      <c r="D661" s="58" t="str">
        <f>IFERROR(IF(F661&lt;&gt;"pending","",IF(OR($B661="",$B661="(blank)"),"",VLOOKUP($B661,'Email Marketing Raw Data'!$C:$O,10,0))),"")</f>
        <v/>
      </c>
      <c r="E661" s="59" t="str">
        <f>IFERROR(IF(F661&lt;&gt;"pending","",IF(OR($B661="",$B661="(blank)"),"",VLOOKUP($B661,'Email Marketing Raw Data'!$C:$O,11,0))),"")</f>
        <v/>
      </c>
      <c r="F661" s="54" t="str">
        <f>IFERROR(IF(OR($B661="",$B661="(blank)"),"",VLOOKUP($B661,'Email Marketing Raw Data'!$C:$O,13,0)),"")</f>
        <v/>
      </c>
      <c r="G661" s="55" t="str">
        <f>IFERROR(IF(OR($B661="",$B661="(blank)"),"",VLOOKUP($B661,'Email Marketing Raw Data'!$C:$O,4,0)),"")</f>
        <v/>
      </c>
      <c r="H661" s="55" t="str">
        <f>IFERROR(IF(OR($B661="",$B661="(blank)"),"",VLOOKUP($B661,'Email Marketing Raw Data'!$C:$O,5,0)),"")</f>
        <v/>
      </c>
      <c r="I661" s="55" t="str">
        <f>IFERROR(IF($G661="","",VLOOKUP('Dashboard And Emails Automate'!$G661,Database!$H:$N,3,0)),"")</f>
        <v/>
      </c>
      <c r="J661" s="55" t="str">
        <f>IFERROR(IF($G661="","",VLOOKUP('Dashboard And Emails Automate'!$G661,Database!$H:$N,4,0)),"")</f>
        <v/>
      </c>
      <c r="K661" s="55" t="str">
        <f>IFERROR(IF($G661="","",VLOOKUP('Dashboard And Emails Automate'!$G661,Database!$H:$N,5,0)),"")</f>
        <v/>
      </c>
      <c r="L661" s="55" t="str">
        <f>IFERROR(IF($G661="","",VLOOKUP('Dashboard And Emails Automate'!$G661,Database!$H:$N,6,0)),"")</f>
        <v/>
      </c>
      <c r="M661" s="55" t="str">
        <f>IFERROR(IF($G661="","",VLOOKUP('Dashboard And Emails Automate'!$G661,Database!$H:$N,7,0)),"")</f>
        <v/>
      </c>
      <c r="N661" s="55" t="str">
        <f>IFERROR(IF(OR($B661="",$B661="(blank)"),"",VLOOKUP($B661,'Email Marketing Raw Data'!$C:$O,6,0)),"")</f>
        <v/>
      </c>
      <c r="O661" s="55" t="str">
        <f>IFERROR(IF(OR($B661="",$B661="(blank)"),"",VLOOKUP($B661,'Email Marketing Raw Data'!$C:$O,7,0)),"")</f>
        <v/>
      </c>
      <c r="P661" s="55" t="str">
        <f>IFERROR(IF(OR($B661="",$B661="(blank)"),"",VLOOKUP($B661,'Email Marketing Raw Data'!$C:$O,8,0)),"")</f>
        <v/>
      </c>
      <c r="Q661" s="62" t="str">
        <f>IFERROR(IF(OR($B661="",$B661="(blank)"),"",VLOOKUP($B661,'Email Marketing Raw Data'!$C:$O,9,0)),"")</f>
        <v/>
      </c>
    </row>
    <row r="662" spans="4:17" ht="12.75" customHeight="1" x14ac:dyDescent="0.2">
      <c r="D662" s="58" t="str">
        <f>IFERROR(IF(F662&lt;&gt;"pending","",IF(OR($B662="",$B662="(blank)"),"",VLOOKUP($B662,'Email Marketing Raw Data'!$C:$O,10,0))),"")</f>
        <v/>
      </c>
      <c r="E662" s="59" t="str">
        <f>IFERROR(IF(F662&lt;&gt;"pending","",IF(OR($B662="",$B662="(blank)"),"",VLOOKUP($B662,'Email Marketing Raw Data'!$C:$O,11,0))),"")</f>
        <v/>
      </c>
      <c r="F662" s="54" t="str">
        <f>IFERROR(IF(OR($B662="",$B662="(blank)"),"",VLOOKUP($B662,'Email Marketing Raw Data'!$C:$O,13,0)),"")</f>
        <v/>
      </c>
      <c r="G662" s="55" t="str">
        <f>IFERROR(IF(OR($B662="",$B662="(blank)"),"",VLOOKUP($B662,'Email Marketing Raw Data'!$C:$O,4,0)),"")</f>
        <v/>
      </c>
      <c r="H662" s="55" t="str">
        <f>IFERROR(IF(OR($B662="",$B662="(blank)"),"",VLOOKUP($B662,'Email Marketing Raw Data'!$C:$O,5,0)),"")</f>
        <v/>
      </c>
      <c r="I662" s="55" t="str">
        <f>IFERROR(IF($G662="","",VLOOKUP('Dashboard And Emails Automate'!$G662,Database!$H:$N,3,0)),"")</f>
        <v/>
      </c>
      <c r="J662" s="55" t="str">
        <f>IFERROR(IF($G662="","",VLOOKUP('Dashboard And Emails Automate'!$G662,Database!$H:$N,4,0)),"")</f>
        <v/>
      </c>
      <c r="K662" s="55" t="str">
        <f>IFERROR(IF($G662="","",VLOOKUP('Dashboard And Emails Automate'!$G662,Database!$H:$N,5,0)),"")</f>
        <v/>
      </c>
      <c r="L662" s="55" t="str">
        <f>IFERROR(IF($G662="","",VLOOKUP('Dashboard And Emails Automate'!$G662,Database!$H:$N,6,0)),"")</f>
        <v/>
      </c>
      <c r="M662" s="55" t="str">
        <f>IFERROR(IF($G662="","",VLOOKUP('Dashboard And Emails Automate'!$G662,Database!$H:$N,7,0)),"")</f>
        <v/>
      </c>
      <c r="N662" s="55" t="str">
        <f>IFERROR(IF(OR($B662="",$B662="(blank)"),"",VLOOKUP($B662,'Email Marketing Raw Data'!$C:$O,6,0)),"")</f>
        <v/>
      </c>
      <c r="O662" s="55" t="str">
        <f>IFERROR(IF(OR($B662="",$B662="(blank)"),"",VLOOKUP($B662,'Email Marketing Raw Data'!$C:$O,7,0)),"")</f>
        <v/>
      </c>
      <c r="P662" s="55" t="str">
        <f>IFERROR(IF(OR($B662="",$B662="(blank)"),"",VLOOKUP($B662,'Email Marketing Raw Data'!$C:$O,8,0)),"")</f>
        <v/>
      </c>
      <c r="Q662" s="62" t="str">
        <f>IFERROR(IF(OR($B662="",$B662="(blank)"),"",VLOOKUP($B662,'Email Marketing Raw Data'!$C:$O,9,0)),"")</f>
        <v/>
      </c>
    </row>
    <row r="663" spans="4:17" ht="12.75" customHeight="1" x14ac:dyDescent="0.2">
      <c r="D663" s="58" t="str">
        <f>IFERROR(IF(F663&lt;&gt;"pending","",IF(OR($B663="",$B663="(blank)"),"",VLOOKUP($B663,'Email Marketing Raw Data'!$C:$O,10,0))),"")</f>
        <v/>
      </c>
      <c r="E663" s="59" t="str">
        <f>IFERROR(IF(F663&lt;&gt;"pending","",IF(OR($B663="",$B663="(blank)"),"",VLOOKUP($B663,'Email Marketing Raw Data'!$C:$O,11,0))),"")</f>
        <v/>
      </c>
      <c r="F663" s="54" t="str">
        <f>IFERROR(IF(OR($B663="",$B663="(blank)"),"",VLOOKUP($B663,'Email Marketing Raw Data'!$C:$O,13,0)),"")</f>
        <v/>
      </c>
      <c r="G663" s="55" t="str">
        <f>IFERROR(IF(OR($B663="",$B663="(blank)"),"",VLOOKUP($B663,'Email Marketing Raw Data'!$C:$O,4,0)),"")</f>
        <v/>
      </c>
      <c r="H663" s="55" t="str">
        <f>IFERROR(IF(OR($B663="",$B663="(blank)"),"",VLOOKUP($B663,'Email Marketing Raw Data'!$C:$O,5,0)),"")</f>
        <v/>
      </c>
      <c r="I663" s="55" t="str">
        <f>IFERROR(IF($G663="","",VLOOKUP('Dashboard And Emails Automate'!$G663,Database!$H:$N,3,0)),"")</f>
        <v/>
      </c>
      <c r="J663" s="55" t="str">
        <f>IFERROR(IF($G663="","",VLOOKUP('Dashboard And Emails Automate'!$G663,Database!$H:$N,4,0)),"")</f>
        <v/>
      </c>
      <c r="K663" s="55" t="str">
        <f>IFERROR(IF($G663="","",VLOOKUP('Dashboard And Emails Automate'!$G663,Database!$H:$N,5,0)),"")</f>
        <v/>
      </c>
      <c r="L663" s="55" t="str">
        <f>IFERROR(IF($G663="","",VLOOKUP('Dashboard And Emails Automate'!$G663,Database!$H:$N,6,0)),"")</f>
        <v/>
      </c>
      <c r="M663" s="55" t="str">
        <f>IFERROR(IF($G663="","",VLOOKUP('Dashboard And Emails Automate'!$G663,Database!$H:$N,7,0)),"")</f>
        <v/>
      </c>
      <c r="N663" s="55" t="str">
        <f>IFERROR(IF(OR($B663="",$B663="(blank)"),"",VLOOKUP($B663,'Email Marketing Raw Data'!$C:$O,6,0)),"")</f>
        <v/>
      </c>
      <c r="O663" s="55" t="str">
        <f>IFERROR(IF(OR($B663="",$B663="(blank)"),"",VLOOKUP($B663,'Email Marketing Raw Data'!$C:$O,7,0)),"")</f>
        <v/>
      </c>
      <c r="P663" s="55" t="str">
        <f>IFERROR(IF(OR($B663="",$B663="(blank)"),"",VLOOKUP($B663,'Email Marketing Raw Data'!$C:$O,8,0)),"")</f>
        <v/>
      </c>
      <c r="Q663" s="62" t="str">
        <f>IFERROR(IF(OR($B663="",$B663="(blank)"),"",VLOOKUP($B663,'Email Marketing Raw Data'!$C:$O,9,0)),"")</f>
        <v/>
      </c>
    </row>
    <row r="664" spans="4:17" ht="12.75" customHeight="1" x14ac:dyDescent="0.2">
      <c r="D664" s="58" t="str">
        <f>IFERROR(IF(F664&lt;&gt;"pending","",IF(OR($B664="",$B664="(blank)"),"",VLOOKUP($B664,'Email Marketing Raw Data'!$C:$O,10,0))),"")</f>
        <v/>
      </c>
      <c r="E664" s="59" t="str">
        <f>IFERROR(IF(F664&lt;&gt;"pending","",IF(OR($B664="",$B664="(blank)"),"",VLOOKUP($B664,'Email Marketing Raw Data'!$C:$O,11,0))),"")</f>
        <v/>
      </c>
      <c r="F664" s="54" t="str">
        <f>IFERROR(IF(OR($B664="",$B664="(blank)"),"",VLOOKUP($B664,'Email Marketing Raw Data'!$C:$O,13,0)),"")</f>
        <v/>
      </c>
      <c r="G664" s="55" t="str">
        <f>IFERROR(IF(OR($B664="",$B664="(blank)"),"",VLOOKUP($B664,'Email Marketing Raw Data'!$C:$O,4,0)),"")</f>
        <v/>
      </c>
      <c r="H664" s="55" t="str">
        <f>IFERROR(IF(OR($B664="",$B664="(blank)"),"",VLOOKUP($B664,'Email Marketing Raw Data'!$C:$O,5,0)),"")</f>
        <v/>
      </c>
      <c r="I664" s="55" t="str">
        <f>IFERROR(IF($G664="","",VLOOKUP('Dashboard And Emails Automate'!$G664,Database!$H:$N,3,0)),"")</f>
        <v/>
      </c>
      <c r="J664" s="55" t="str">
        <f>IFERROR(IF($G664="","",VLOOKUP('Dashboard And Emails Automate'!$G664,Database!$H:$N,4,0)),"")</f>
        <v/>
      </c>
      <c r="K664" s="55" t="str">
        <f>IFERROR(IF($G664="","",VLOOKUP('Dashboard And Emails Automate'!$G664,Database!$H:$N,5,0)),"")</f>
        <v/>
      </c>
      <c r="L664" s="55" t="str">
        <f>IFERROR(IF($G664="","",VLOOKUP('Dashboard And Emails Automate'!$G664,Database!$H:$N,6,0)),"")</f>
        <v/>
      </c>
      <c r="M664" s="55" t="str">
        <f>IFERROR(IF($G664="","",VLOOKUP('Dashboard And Emails Automate'!$G664,Database!$H:$N,7,0)),"")</f>
        <v/>
      </c>
      <c r="N664" s="55" t="str">
        <f>IFERROR(IF(OR($B664="",$B664="(blank)"),"",VLOOKUP($B664,'Email Marketing Raw Data'!$C:$O,6,0)),"")</f>
        <v/>
      </c>
      <c r="O664" s="55" t="str">
        <f>IFERROR(IF(OR($B664="",$B664="(blank)"),"",VLOOKUP($B664,'Email Marketing Raw Data'!$C:$O,7,0)),"")</f>
        <v/>
      </c>
      <c r="P664" s="55" t="str">
        <f>IFERROR(IF(OR($B664="",$B664="(blank)"),"",VLOOKUP($B664,'Email Marketing Raw Data'!$C:$O,8,0)),"")</f>
        <v/>
      </c>
      <c r="Q664" s="62" t="str">
        <f>IFERROR(IF(OR($B664="",$B664="(blank)"),"",VLOOKUP($B664,'Email Marketing Raw Data'!$C:$O,9,0)),"")</f>
        <v/>
      </c>
    </row>
    <row r="665" spans="4:17" ht="12.75" customHeight="1" x14ac:dyDescent="0.2">
      <c r="D665" s="58" t="str">
        <f>IFERROR(IF(F665&lt;&gt;"pending","",IF(OR($B665="",$B665="(blank)"),"",VLOOKUP($B665,'Email Marketing Raw Data'!$C:$O,10,0))),"")</f>
        <v/>
      </c>
      <c r="E665" s="59" t="str">
        <f>IFERROR(IF(F665&lt;&gt;"pending","",IF(OR($B665="",$B665="(blank)"),"",VLOOKUP($B665,'Email Marketing Raw Data'!$C:$O,11,0))),"")</f>
        <v/>
      </c>
      <c r="F665" s="54" t="str">
        <f>IFERROR(IF(OR($B665="",$B665="(blank)"),"",VLOOKUP($B665,'Email Marketing Raw Data'!$C:$O,13,0)),"")</f>
        <v/>
      </c>
      <c r="G665" s="55" t="str">
        <f>IFERROR(IF(OR($B665="",$B665="(blank)"),"",VLOOKUP($B665,'Email Marketing Raw Data'!$C:$O,4,0)),"")</f>
        <v/>
      </c>
      <c r="H665" s="55" t="str">
        <f>IFERROR(IF(OR($B665="",$B665="(blank)"),"",VLOOKUP($B665,'Email Marketing Raw Data'!$C:$O,5,0)),"")</f>
        <v/>
      </c>
      <c r="I665" s="55" t="str">
        <f>IFERROR(IF($G665="","",VLOOKUP('Dashboard And Emails Automate'!$G665,Database!$H:$N,3,0)),"")</f>
        <v/>
      </c>
      <c r="J665" s="55" t="str">
        <f>IFERROR(IF($G665="","",VLOOKUP('Dashboard And Emails Automate'!$G665,Database!$H:$N,4,0)),"")</f>
        <v/>
      </c>
      <c r="K665" s="55" t="str">
        <f>IFERROR(IF($G665="","",VLOOKUP('Dashboard And Emails Automate'!$G665,Database!$H:$N,5,0)),"")</f>
        <v/>
      </c>
      <c r="L665" s="55" t="str">
        <f>IFERROR(IF($G665="","",VLOOKUP('Dashboard And Emails Automate'!$G665,Database!$H:$N,6,0)),"")</f>
        <v/>
      </c>
      <c r="M665" s="55" t="str">
        <f>IFERROR(IF($G665="","",VLOOKUP('Dashboard And Emails Automate'!$G665,Database!$H:$N,7,0)),"")</f>
        <v/>
      </c>
      <c r="N665" s="55" t="str">
        <f>IFERROR(IF(OR($B665="",$B665="(blank)"),"",VLOOKUP($B665,'Email Marketing Raw Data'!$C:$O,6,0)),"")</f>
        <v/>
      </c>
      <c r="O665" s="55" t="str">
        <f>IFERROR(IF(OR($B665="",$B665="(blank)"),"",VLOOKUP($B665,'Email Marketing Raw Data'!$C:$O,7,0)),"")</f>
        <v/>
      </c>
      <c r="P665" s="55" t="str">
        <f>IFERROR(IF(OR($B665="",$B665="(blank)"),"",VLOOKUP($B665,'Email Marketing Raw Data'!$C:$O,8,0)),"")</f>
        <v/>
      </c>
      <c r="Q665" s="62" t="str">
        <f>IFERROR(IF(OR($B665="",$B665="(blank)"),"",VLOOKUP($B665,'Email Marketing Raw Data'!$C:$O,9,0)),"")</f>
        <v/>
      </c>
    </row>
    <row r="666" spans="4:17" ht="12.75" customHeight="1" x14ac:dyDescent="0.2">
      <c r="D666" s="58" t="str">
        <f>IFERROR(IF(F666&lt;&gt;"pending","",IF(OR($B666="",$B666="(blank)"),"",VLOOKUP($B666,'Email Marketing Raw Data'!$C:$O,10,0))),"")</f>
        <v/>
      </c>
      <c r="E666" s="59" t="str">
        <f>IFERROR(IF(F666&lt;&gt;"pending","",IF(OR($B666="",$B666="(blank)"),"",VLOOKUP($B666,'Email Marketing Raw Data'!$C:$O,11,0))),"")</f>
        <v/>
      </c>
      <c r="F666" s="54" t="str">
        <f>IFERROR(IF(OR($B666="",$B666="(blank)"),"",VLOOKUP($B666,'Email Marketing Raw Data'!$C:$O,13,0)),"")</f>
        <v/>
      </c>
      <c r="G666" s="55" t="str">
        <f>IFERROR(IF(OR($B666="",$B666="(blank)"),"",VLOOKUP($B666,'Email Marketing Raw Data'!$C:$O,4,0)),"")</f>
        <v/>
      </c>
      <c r="H666" s="55" t="str">
        <f>IFERROR(IF(OR($B666="",$B666="(blank)"),"",VLOOKUP($B666,'Email Marketing Raw Data'!$C:$O,5,0)),"")</f>
        <v/>
      </c>
      <c r="I666" s="55" t="str">
        <f>IFERROR(IF($G666="","",VLOOKUP('Dashboard And Emails Automate'!$G666,Database!$H:$N,3,0)),"")</f>
        <v/>
      </c>
      <c r="J666" s="55" t="str">
        <f>IFERROR(IF($G666="","",VLOOKUP('Dashboard And Emails Automate'!$G666,Database!$H:$N,4,0)),"")</f>
        <v/>
      </c>
      <c r="K666" s="55" t="str">
        <f>IFERROR(IF($G666="","",VLOOKUP('Dashboard And Emails Automate'!$G666,Database!$H:$N,5,0)),"")</f>
        <v/>
      </c>
      <c r="L666" s="55" t="str">
        <f>IFERROR(IF($G666="","",VLOOKUP('Dashboard And Emails Automate'!$G666,Database!$H:$N,6,0)),"")</f>
        <v/>
      </c>
      <c r="M666" s="55" t="str">
        <f>IFERROR(IF($G666="","",VLOOKUP('Dashboard And Emails Automate'!$G666,Database!$H:$N,7,0)),"")</f>
        <v/>
      </c>
      <c r="N666" s="55" t="str">
        <f>IFERROR(IF(OR($B666="",$B666="(blank)"),"",VLOOKUP($B666,'Email Marketing Raw Data'!$C:$O,6,0)),"")</f>
        <v/>
      </c>
      <c r="O666" s="55" t="str">
        <f>IFERROR(IF(OR($B666="",$B666="(blank)"),"",VLOOKUP($B666,'Email Marketing Raw Data'!$C:$O,7,0)),"")</f>
        <v/>
      </c>
      <c r="P666" s="55" t="str">
        <f>IFERROR(IF(OR($B666="",$B666="(blank)"),"",VLOOKUP($B666,'Email Marketing Raw Data'!$C:$O,8,0)),"")</f>
        <v/>
      </c>
      <c r="Q666" s="62" t="str">
        <f>IFERROR(IF(OR($B666="",$B666="(blank)"),"",VLOOKUP($B666,'Email Marketing Raw Data'!$C:$O,9,0)),"")</f>
        <v/>
      </c>
    </row>
    <row r="667" spans="4:17" ht="12.75" customHeight="1" x14ac:dyDescent="0.2">
      <c r="D667" s="58" t="str">
        <f>IFERROR(IF(F667&lt;&gt;"pending","",IF(OR($B667="",$B667="(blank)"),"",VLOOKUP($B667,'Email Marketing Raw Data'!$C:$O,10,0))),"")</f>
        <v/>
      </c>
      <c r="E667" s="59" t="str">
        <f>IFERROR(IF(F667&lt;&gt;"pending","",IF(OR($B667="",$B667="(blank)"),"",VLOOKUP($B667,'Email Marketing Raw Data'!$C:$O,11,0))),"")</f>
        <v/>
      </c>
      <c r="F667" s="54" t="str">
        <f>IFERROR(IF(OR($B667="",$B667="(blank)"),"",VLOOKUP($B667,'Email Marketing Raw Data'!$C:$O,13,0)),"")</f>
        <v/>
      </c>
      <c r="G667" s="55" t="str">
        <f>IFERROR(IF(OR($B667="",$B667="(blank)"),"",VLOOKUP($B667,'Email Marketing Raw Data'!$C:$O,4,0)),"")</f>
        <v/>
      </c>
      <c r="H667" s="55" t="str">
        <f>IFERROR(IF(OR($B667="",$B667="(blank)"),"",VLOOKUP($B667,'Email Marketing Raw Data'!$C:$O,5,0)),"")</f>
        <v/>
      </c>
      <c r="I667" s="55" t="str">
        <f>IFERROR(IF($G667="","",VLOOKUP('Dashboard And Emails Automate'!$G667,Database!$H:$N,3,0)),"")</f>
        <v/>
      </c>
      <c r="J667" s="55" t="str">
        <f>IFERROR(IF($G667="","",VLOOKUP('Dashboard And Emails Automate'!$G667,Database!$H:$N,4,0)),"")</f>
        <v/>
      </c>
      <c r="K667" s="55" t="str">
        <f>IFERROR(IF($G667="","",VLOOKUP('Dashboard And Emails Automate'!$G667,Database!$H:$N,5,0)),"")</f>
        <v/>
      </c>
      <c r="L667" s="55" t="str">
        <f>IFERROR(IF($G667="","",VLOOKUP('Dashboard And Emails Automate'!$G667,Database!$H:$N,6,0)),"")</f>
        <v/>
      </c>
      <c r="M667" s="55" t="str">
        <f>IFERROR(IF($G667="","",VLOOKUP('Dashboard And Emails Automate'!$G667,Database!$H:$N,7,0)),"")</f>
        <v/>
      </c>
      <c r="N667" s="55" t="str">
        <f>IFERROR(IF(OR($B667="",$B667="(blank)"),"",VLOOKUP($B667,'Email Marketing Raw Data'!$C:$O,6,0)),"")</f>
        <v/>
      </c>
      <c r="O667" s="55" t="str">
        <f>IFERROR(IF(OR($B667="",$B667="(blank)"),"",VLOOKUP($B667,'Email Marketing Raw Data'!$C:$O,7,0)),"")</f>
        <v/>
      </c>
      <c r="P667" s="55" t="str">
        <f>IFERROR(IF(OR($B667="",$B667="(blank)"),"",VLOOKUP($B667,'Email Marketing Raw Data'!$C:$O,8,0)),"")</f>
        <v/>
      </c>
      <c r="Q667" s="62" t="str">
        <f>IFERROR(IF(OR($B667="",$B667="(blank)"),"",VLOOKUP($B667,'Email Marketing Raw Data'!$C:$O,9,0)),"")</f>
        <v/>
      </c>
    </row>
    <row r="668" spans="4:17" ht="12.75" customHeight="1" x14ac:dyDescent="0.2">
      <c r="D668" s="58" t="str">
        <f>IFERROR(IF(F668&lt;&gt;"pending","",IF(OR($B668="",$B668="(blank)"),"",VLOOKUP($B668,'Email Marketing Raw Data'!$C:$O,10,0))),"")</f>
        <v/>
      </c>
      <c r="E668" s="59" t="str">
        <f>IFERROR(IF(F668&lt;&gt;"pending","",IF(OR($B668="",$B668="(blank)"),"",VLOOKUP($B668,'Email Marketing Raw Data'!$C:$O,11,0))),"")</f>
        <v/>
      </c>
      <c r="F668" s="54" t="str">
        <f>IFERROR(IF(OR($B668="",$B668="(blank)"),"",VLOOKUP($B668,'Email Marketing Raw Data'!$C:$O,13,0)),"")</f>
        <v/>
      </c>
      <c r="G668" s="55" t="str">
        <f>IFERROR(IF(OR($B668="",$B668="(blank)"),"",VLOOKUP($B668,'Email Marketing Raw Data'!$C:$O,4,0)),"")</f>
        <v/>
      </c>
      <c r="H668" s="55" t="str">
        <f>IFERROR(IF(OR($B668="",$B668="(blank)"),"",VLOOKUP($B668,'Email Marketing Raw Data'!$C:$O,5,0)),"")</f>
        <v/>
      </c>
      <c r="I668" s="55" t="str">
        <f>IFERROR(IF($G668="","",VLOOKUP('Dashboard And Emails Automate'!$G668,Database!$H:$N,3,0)),"")</f>
        <v/>
      </c>
      <c r="J668" s="55" t="str">
        <f>IFERROR(IF($G668="","",VLOOKUP('Dashboard And Emails Automate'!$G668,Database!$H:$N,4,0)),"")</f>
        <v/>
      </c>
      <c r="K668" s="55" t="str">
        <f>IFERROR(IF($G668="","",VLOOKUP('Dashboard And Emails Automate'!$G668,Database!$H:$N,5,0)),"")</f>
        <v/>
      </c>
      <c r="L668" s="55" t="str">
        <f>IFERROR(IF($G668="","",VLOOKUP('Dashboard And Emails Automate'!$G668,Database!$H:$N,6,0)),"")</f>
        <v/>
      </c>
      <c r="M668" s="55" t="str">
        <f>IFERROR(IF($G668="","",VLOOKUP('Dashboard And Emails Automate'!$G668,Database!$H:$N,7,0)),"")</f>
        <v/>
      </c>
      <c r="N668" s="55" t="str">
        <f>IFERROR(IF(OR($B668="",$B668="(blank)"),"",VLOOKUP($B668,'Email Marketing Raw Data'!$C:$O,6,0)),"")</f>
        <v/>
      </c>
      <c r="O668" s="55" t="str">
        <f>IFERROR(IF(OR($B668="",$B668="(blank)"),"",VLOOKUP($B668,'Email Marketing Raw Data'!$C:$O,7,0)),"")</f>
        <v/>
      </c>
      <c r="P668" s="55" t="str">
        <f>IFERROR(IF(OR($B668="",$B668="(blank)"),"",VLOOKUP($B668,'Email Marketing Raw Data'!$C:$O,8,0)),"")</f>
        <v/>
      </c>
      <c r="Q668" s="62" t="str">
        <f>IFERROR(IF(OR($B668="",$B668="(blank)"),"",VLOOKUP($B668,'Email Marketing Raw Data'!$C:$O,9,0)),"")</f>
        <v/>
      </c>
    </row>
    <row r="669" spans="4:17" ht="12.75" customHeight="1" x14ac:dyDescent="0.2">
      <c r="D669" s="58" t="str">
        <f>IFERROR(IF(F669&lt;&gt;"pending","",IF(OR($B669="",$B669="(blank)"),"",VLOOKUP($B669,'Email Marketing Raw Data'!$C:$O,10,0))),"")</f>
        <v/>
      </c>
      <c r="E669" s="59" t="str">
        <f>IFERROR(IF(F669&lt;&gt;"pending","",IF(OR($B669="",$B669="(blank)"),"",VLOOKUP($B669,'Email Marketing Raw Data'!$C:$O,11,0))),"")</f>
        <v/>
      </c>
      <c r="F669" s="54" t="str">
        <f>IFERROR(IF(OR($B669="",$B669="(blank)"),"",VLOOKUP($B669,'Email Marketing Raw Data'!$C:$O,13,0)),"")</f>
        <v/>
      </c>
      <c r="G669" s="55" t="str">
        <f>IFERROR(IF(OR($B669="",$B669="(blank)"),"",VLOOKUP($B669,'Email Marketing Raw Data'!$C:$O,4,0)),"")</f>
        <v/>
      </c>
      <c r="H669" s="55" t="str">
        <f>IFERROR(IF(OR($B669="",$B669="(blank)"),"",VLOOKUP($B669,'Email Marketing Raw Data'!$C:$O,5,0)),"")</f>
        <v/>
      </c>
      <c r="I669" s="55" t="str">
        <f>IFERROR(IF($G669="","",VLOOKUP('Dashboard And Emails Automate'!$G669,Database!$H:$N,3,0)),"")</f>
        <v/>
      </c>
      <c r="J669" s="55" t="str">
        <f>IFERROR(IF($G669="","",VLOOKUP('Dashboard And Emails Automate'!$G669,Database!$H:$N,4,0)),"")</f>
        <v/>
      </c>
      <c r="K669" s="55" t="str">
        <f>IFERROR(IF($G669="","",VLOOKUP('Dashboard And Emails Automate'!$G669,Database!$H:$N,5,0)),"")</f>
        <v/>
      </c>
      <c r="L669" s="55" t="str">
        <f>IFERROR(IF($G669="","",VLOOKUP('Dashboard And Emails Automate'!$G669,Database!$H:$N,6,0)),"")</f>
        <v/>
      </c>
      <c r="M669" s="55" t="str">
        <f>IFERROR(IF($G669="","",VLOOKUP('Dashboard And Emails Automate'!$G669,Database!$H:$N,7,0)),"")</f>
        <v/>
      </c>
      <c r="N669" s="55" t="str">
        <f>IFERROR(IF(OR($B669="",$B669="(blank)"),"",VLOOKUP($B669,'Email Marketing Raw Data'!$C:$O,6,0)),"")</f>
        <v/>
      </c>
      <c r="O669" s="55" t="str">
        <f>IFERROR(IF(OR($B669="",$B669="(blank)"),"",VLOOKUP($B669,'Email Marketing Raw Data'!$C:$O,7,0)),"")</f>
        <v/>
      </c>
      <c r="P669" s="55" t="str">
        <f>IFERROR(IF(OR($B669="",$B669="(blank)"),"",VLOOKUP($B669,'Email Marketing Raw Data'!$C:$O,8,0)),"")</f>
        <v/>
      </c>
      <c r="Q669" s="62" t="str">
        <f>IFERROR(IF(OR($B669="",$B669="(blank)"),"",VLOOKUP($B669,'Email Marketing Raw Data'!$C:$O,9,0)),"")</f>
        <v/>
      </c>
    </row>
    <row r="670" spans="4:17" ht="12.75" customHeight="1" x14ac:dyDescent="0.2">
      <c r="D670" s="58" t="str">
        <f>IFERROR(IF(F670&lt;&gt;"pending","",IF(OR($B670="",$B670="(blank)"),"",VLOOKUP($B670,'Email Marketing Raw Data'!$C:$O,10,0))),"")</f>
        <v/>
      </c>
      <c r="E670" s="59" t="str">
        <f>IFERROR(IF(F670&lt;&gt;"pending","",IF(OR($B670="",$B670="(blank)"),"",VLOOKUP($B670,'Email Marketing Raw Data'!$C:$O,11,0))),"")</f>
        <v/>
      </c>
      <c r="F670" s="54" t="str">
        <f>IFERROR(IF(OR($B670="",$B670="(blank)"),"",VLOOKUP($B670,'Email Marketing Raw Data'!$C:$O,13,0)),"")</f>
        <v/>
      </c>
      <c r="G670" s="55" t="str">
        <f>IFERROR(IF(OR($B670="",$B670="(blank)"),"",VLOOKUP($B670,'Email Marketing Raw Data'!$C:$O,4,0)),"")</f>
        <v/>
      </c>
      <c r="H670" s="55" t="str">
        <f>IFERROR(IF(OR($B670="",$B670="(blank)"),"",VLOOKUP($B670,'Email Marketing Raw Data'!$C:$O,5,0)),"")</f>
        <v/>
      </c>
      <c r="I670" s="55" t="str">
        <f>IFERROR(IF($G670="","",VLOOKUP('Dashboard And Emails Automate'!$G670,Database!$H:$N,3,0)),"")</f>
        <v/>
      </c>
      <c r="J670" s="55" t="str">
        <f>IFERROR(IF($G670="","",VLOOKUP('Dashboard And Emails Automate'!$G670,Database!$H:$N,4,0)),"")</f>
        <v/>
      </c>
      <c r="K670" s="55" t="str">
        <f>IFERROR(IF($G670="","",VLOOKUP('Dashboard And Emails Automate'!$G670,Database!$H:$N,5,0)),"")</f>
        <v/>
      </c>
      <c r="L670" s="55" t="str">
        <f>IFERROR(IF($G670="","",VLOOKUP('Dashboard And Emails Automate'!$G670,Database!$H:$N,6,0)),"")</f>
        <v/>
      </c>
      <c r="M670" s="55" t="str">
        <f>IFERROR(IF($G670="","",VLOOKUP('Dashboard And Emails Automate'!$G670,Database!$H:$N,7,0)),"")</f>
        <v/>
      </c>
      <c r="N670" s="55" t="str">
        <f>IFERROR(IF(OR($B670="",$B670="(blank)"),"",VLOOKUP($B670,'Email Marketing Raw Data'!$C:$O,6,0)),"")</f>
        <v/>
      </c>
      <c r="O670" s="55" t="str">
        <f>IFERROR(IF(OR($B670="",$B670="(blank)"),"",VLOOKUP($B670,'Email Marketing Raw Data'!$C:$O,7,0)),"")</f>
        <v/>
      </c>
      <c r="P670" s="55" t="str">
        <f>IFERROR(IF(OR($B670="",$B670="(blank)"),"",VLOOKUP($B670,'Email Marketing Raw Data'!$C:$O,8,0)),"")</f>
        <v/>
      </c>
      <c r="Q670" s="62" t="str">
        <f>IFERROR(IF(OR($B670="",$B670="(blank)"),"",VLOOKUP($B670,'Email Marketing Raw Data'!$C:$O,9,0)),"")</f>
        <v/>
      </c>
    </row>
    <row r="671" spans="4:17" ht="12.75" customHeight="1" x14ac:dyDescent="0.2">
      <c r="D671" s="58" t="str">
        <f>IFERROR(IF(F671&lt;&gt;"pending","",IF(OR($B671="",$B671="(blank)"),"",VLOOKUP($B671,'Email Marketing Raw Data'!$C:$O,10,0))),"")</f>
        <v/>
      </c>
      <c r="E671" s="59" t="str">
        <f>IFERROR(IF(F671&lt;&gt;"pending","",IF(OR($B671="",$B671="(blank)"),"",VLOOKUP($B671,'Email Marketing Raw Data'!$C:$O,11,0))),"")</f>
        <v/>
      </c>
      <c r="F671" s="54" t="str">
        <f>IFERROR(IF(OR($B671="",$B671="(blank)"),"",VLOOKUP($B671,'Email Marketing Raw Data'!$C:$O,13,0)),"")</f>
        <v/>
      </c>
      <c r="G671" s="55" t="str">
        <f>IFERROR(IF(OR($B671="",$B671="(blank)"),"",VLOOKUP($B671,'Email Marketing Raw Data'!$C:$O,4,0)),"")</f>
        <v/>
      </c>
      <c r="H671" s="55" t="str">
        <f>IFERROR(IF(OR($B671="",$B671="(blank)"),"",VLOOKUP($B671,'Email Marketing Raw Data'!$C:$O,5,0)),"")</f>
        <v/>
      </c>
      <c r="I671" s="55" t="str">
        <f>IFERROR(IF($G671="","",VLOOKUP('Dashboard And Emails Automate'!$G671,Database!$H:$N,3,0)),"")</f>
        <v/>
      </c>
      <c r="J671" s="55" t="str">
        <f>IFERROR(IF($G671="","",VLOOKUP('Dashboard And Emails Automate'!$G671,Database!$H:$N,4,0)),"")</f>
        <v/>
      </c>
      <c r="K671" s="55" t="str">
        <f>IFERROR(IF($G671="","",VLOOKUP('Dashboard And Emails Automate'!$G671,Database!$H:$N,5,0)),"")</f>
        <v/>
      </c>
      <c r="L671" s="55" t="str">
        <f>IFERROR(IF($G671="","",VLOOKUP('Dashboard And Emails Automate'!$G671,Database!$H:$N,6,0)),"")</f>
        <v/>
      </c>
      <c r="M671" s="55" t="str">
        <f>IFERROR(IF($G671="","",VLOOKUP('Dashboard And Emails Automate'!$G671,Database!$H:$N,7,0)),"")</f>
        <v/>
      </c>
      <c r="N671" s="55" t="str">
        <f>IFERROR(IF(OR($B671="",$B671="(blank)"),"",VLOOKUP($B671,'Email Marketing Raw Data'!$C:$O,6,0)),"")</f>
        <v/>
      </c>
      <c r="O671" s="55" t="str">
        <f>IFERROR(IF(OR($B671="",$B671="(blank)"),"",VLOOKUP($B671,'Email Marketing Raw Data'!$C:$O,7,0)),"")</f>
        <v/>
      </c>
      <c r="P671" s="55" t="str">
        <f>IFERROR(IF(OR($B671="",$B671="(blank)"),"",VLOOKUP($B671,'Email Marketing Raw Data'!$C:$O,8,0)),"")</f>
        <v/>
      </c>
      <c r="Q671" s="62" t="str">
        <f>IFERROR(IF(OR($B671="",$B671="(blank)"),"",VLOOKUP($B671,'Email Marketing Raw Data'!$C:$O,9,0)),"")</f>
        <v/>
      </c>
    </row>
    <row r="672" spans="4:17" ht="12.75" customHeight="1" x14ac:dyDescent="0.2">
      <c r="D672" s="58" t="str">
        <f>IFERROR(IF(F672&lt;&gt;"pending","",IF(OR($B672="",$B672="(blank)"),"",VLOOKUP($B672,'Email Marketing Raw Data'!$C:$O,10,0))),"")</f>
        <v/>
      </c>
      <c r="E672" s="59" t="str">
        <f>IFERROR(IF(F672&lt;&gt;"pending","",IF(OR($B672="",$B672="(blank)"),"",VLOOKUP($B672,'Email Marketing Raw Data'!$C:$O,11,0))),"")</f>
        <v/>
      </c>
      <c r="F672" s="54" t="str">
        <f>IFERROR(IF(OR($B672="",$B672="(blank)"),"",VLOOKUP($B672,'Email Marketing Raw Data'!$C:$O,13,0)),"")</f>
        <v/>
      </c>
      <c r="G672" s="55" t="str">
        <f>IFERROR(IF(OR($B672="",$B672="(blank)"),"",VLOOKUP($B672,'Email Marketing Raw Data'!$C:$O,4,0)),"")</f>
        <v/>
      </c>
      <c r="H672" s="55" t="str">
        <f>IFERROR(IF(OR($B672="",$B672="(blank)"),"",VLOOKUP($B672,'Email Marketing Raw Data'!$C:$O,5,0)),"")</f>
        <v/>
      </c>
      <c r="I672" s="55" t="str">
        <f>IFERROR(IF($G672="","",VLOOKUP('Dashboard And Emails Automate'!$G672,Database!$H:$N,3,0)),"")</f>
        <v/>
      </c>
      <c r="J672" s="55" t="str">
        <f>IFERROR(IF($G672="","",VLOOKUP('Dashboard And Emails Automate'!$G672,Database!$H:$N,4,0)),"")</f>
        <v/>
      </c>
      <c r="K672" s="55" t="str">
        <f>IFERROR(IF($G672="","",VLOOKUP('Dashboard And Emails Automate'!$G672,Database!$H:$N,5,0)),"")</f>
        <v/>
      </c>
      <c r="L672" s="55" t="str">
        <f>IFERROR(IF($G672="","",VLOOKUP('Dashboard And Emails Automate'!$G672,Database!$H:$N,6,0)),"")</f>
        <v/>
      </c>
      <c r="M672" s="55" t="str">
        <f>IFERROR(IF($G672="","",VLOOKUP('Dashboard And Emails Automate'!$G672,Database!$H:$N,7,0)),"")</f>
        <v/>
      </c>
      <c r="N672" s="55" t="str">
        <f>IFERROR(IF(OR($B672="",$B672="(blank)"),"",VLOOKUP($B672,'Email Marketing Raw Data'!$C:$O,6,0)),"")</f>
        <v/>
      </c>
      <c r="O672" s="55" t="str">
        <f>IFERROR(IF(OR($B672="",$B672="(blank)"),"",VLOOKUP($B672,'Email Marketing Raw Data'!$C:$O,7,0)),"")</f>
        <v/>
      </c>
      <c r="P672" s="55" t="str">
        <f>IFERROR(IF(OR($B672="",$B672="(blank)"),"",VLOOKUP($B672,'Email Marketing Raw Data'!$C:$O,8,0)),"")</f>
        <v/>
      </c>
      <c r="Q672" s="62" t="str">
        <f>IFERROR(IF(OR($B672="",$B672="(blank)"),"",VLOOKUP($B672,'Email Marketing Raw Data'!$C:$O,9,0)),"")</f>
        <v/>
      </c>
    </row>
    <row r="673" spans="4:17" ht="12.75" customHeight="1" x14ac:dyDescent="0.2">
      <c r="D673" s="58" t="str">
        <f>IFERROR(IF(F673&lt;&gt;"pending","",IF(OR($B673="",$B673="(blank)"),"",VLOOKUP($B673,'Email Marketing Raw Data'!$C:$O,10,0))),"")</f>
        <v/>
      </c>
      <c r="E673" s="59" t="str">
        <f>IFERROR(IF(F673&lt;&gt;"pending","",IF(OR($B673="",$B673="(blank)"),"",VLOOKUP($B673,'Email Marketing Raw Data'!$C:$O,11,0))),"")</f>
        <v/>
      </c>
      <c r="F673" s="54" t="str">
        <f>IFERROR(IF(OR($B673="",$B673="(blank)"),"",VLOOKUP($B673,'Email Marketing Raw Data'!$C:$O,13,0)),"")</f>
        <v/>
      </c>
      <c r="G673" s="55" t="str">
        <f>IFERROR(IF(OR($B673="",$B673="(blank)"),"",VLOOKUP($B673,'Email Marketing Raw Data'!$C:$O,4,0)),"")</f>
        <v/>
      </c>
      <c r="H673" s="55" t="str">
        <f>IFERROR(IF(OR($B673="",$B673="(blank)"),"",VLOOKUP($B673,'Email Marketing Raw Data'!$C:$O,5,0)),"")</f>
        <v/>
      </c>
      <c r="I673" s="55" t="str">
        <f>IFERROR(IF($G673="","",VLOOKUP('Dashboard And Emails Automate'!$G673,Database!$H:$N,3,0)),"")</f>
        <v/>
      </c>
      <c r="J673" s="55" t="str">
        <f>IFERROR(IF($G673="","",VLOOKUP('Dashboard And Emails Automate'!$G673,Database!$H:$N,4,0)),"")</f>
        <v/>
      </c>
      <c r="K673" s="55" t="str">
        <f>IFERROR(IF($G673="","",VLOOKUP('Dashboard And Emails Automate'!$G673,Database!$H:$N,5,0)),"")</f>
        <v/>
      </c>
      <c r="L673" s="55" t="str">
        <f>IFERROR(IF($G673="","",VLOOKUP('Dashboard And Emails Automate'!$G673,Database!$H:$N,6,0)),"")</f>
        <v/>
      </c>
      <c r="M673" s="55" t="str">
        <f>IFERROR(IF($G673="","",VLOOKUP('Dashboard And Emails Automate'!$G673,Database!$H:$N,7,0)),"")</f>
        <v/>
      </c>
      <c r="N673" s="55" t="str">
        <f>IFERROR(IF(OR($B673="",$B673="(blank)"),"",VLOOKUP($B673,'Email Marketing Raw Data'!$C:$O,6,0)),"")</f>
        <v/>
      </c>
      <c r="O673" s="55" t="str">
        <f>IFERROR(IF(OR($B673="",$B673="(blank)"),"",VLOOKUP($B673,'Email Marketing Raw Data'!$C:$O,7,0)),"")</f>
        <v/>
      </c>
      <c r="P673" s="55" t="str">
        <f>IFERROR(IF(OR($B673="",$B673="(blank)"),"",VLOOKUP($B673,'Email Marketing Raw Data'!$C:$O,8,0)),"")</f>
        <v/>
      </c>
      <c r="Q673" s="62" t="str">
        <f>IFERROR(IF(OR($B673="",$B673="(blank)"),"",VLOOKUP($B673,'Email Marketing Raw Data'!$C:$O,9,0)),"")</f>
        <v/>
      </c>
    </row>
    <row r="674" spans="4:17" ht="12.75" customHeight="1" x14ac:dyDescent="0.2">
      <c r="D674" s="58" t="str">
        <f>IFERROR(IF(F674&lt;&gt;"pending","",IF(OR($B674="",$B674="(blank)"),"",VLOOKUP($B674,'Email Marketing Raw Data'!$C:$O,10,0))),"")</f>
        <v/>
      </c>
      <c r="E674" s="59" t="str">
        <f>IFERROR(IF(F674&lt;&gt;"pending","",IF(OR($B674="",$B674="(blank)"),"",VLOOKUP($B674,'Email Marketing Raw Data'!$C:$O,11,0))),"")</f>
        <v/>
      </c>
      <c r="F674" s="54" t="str">
        <f>IFERROR(IF(OR($B674="",$B674="(blank)"),"",VLOOKUP($B674,'Email Marketing Raw Data'!$C:$O,13,0)),"")</f>
        <v/>
      </c>
      <c r="G674" s="55" t="str">
        <f>IFERROR(IF(OR($B674="",$B674="(blank)"),"",VLOOKUP($B674,'Email Marketing Raw Data'!$C:$O,4,0)),"")</f>
        <v/>
      </c>
      <c r="H674" s="55" t="str">
        <f>IFERROR(IF(OR($B674="",$B674="(blank)"),"",VLOOKUP($B674,'Email Marketing Raw Data'!$C:$O,5,0)),"")</f>
        <v/>
      </c>
      <c r="I674" s="55" t="str">
        <f>IFERROR(IF($G674="","",VLOOKUP('Dashboard And Emails Automate'!$G674,Database!$H:$N,3,0)),"")</f>
        <v/>
      </c>
      <c r="J674" s="55" t="str">
        <f>IFERROR(IF($G674="","",VLOOKUP('Dashboard And Emails Automate'!$G674,Database!$H:$N,4,0)),"")</f>
        <v/>
      </c>
      <c r="K674" s="55" t="str">
        <f>IFERROR(IF($G674="","",VLOOKUP('Dashboard And Emails Automate'!$G674,Database!$H:$N,5,0)),"")</f>
        <v/>
      </c>
      <c r="L674" s="55" t="str">
        <f>IFERROR(IF($G674="","",VLOOKUP('Dashboard And Emails Automate'!$G674,Database!$H:$N,6,0)),"")</f>
        <v/>
      </c>
      <c r="M674" s="55" t="str">
        <f>IFERROR(IF($G674="","",VLOOKUP('Dashboard And Emails Automate'!$G674,Database!$H:$N,7,0)),"")</f>
        <v/>
      </c>
      <c r="N674" s="55" t="str">
        <f>IFERROR(IF(OR($B674="",$B674="(blank)"),"",VLOOKUP($B674,'Email Marketing Raw Data'!$C:$O,6,0)),"")</f>
        <v/>
      </c>
      <c r="O674" s="55" t="str">
        <f>IFERROR(IF(OR($B674="",$B674="(blank)"),"",VLOOKUP($B674,'Email Marketing Raw Data'!$C:$O,7,0)),"")</f>
        <v/>
      </c>
      <c r="P674" s="55" t="str">
        <f>IFERROR(IF(OR($B674="",$B674="(blank)"),"",VLOOKUP($B674,'Email Marketing Raw Data'!$C:$O,8,0)),"")</f>
        <v/>
      </c>
      <c r="Q674" s="62" t="str">
        <f>IFERROR(IF(OR($B674="",$B674="(blank)"),"",VLOOKUP($B674,'Email Marketing Raw Data'!$C:$O,9,0)),"")</f>
        <v/>
      </c>
    </row>
    <row r="675" spans="4:17" ht="12.75" customHeight="1" x14ac:dyDescent="0.2">
      <c r="D675" s="58" t="str">
        <f>IFERROR(IF(F675&lt;&gt;"pending","",IF(OR($B675="",$B675="(blank)"),"",VLOOKUP($B675,'Email Marketing Raw Data'!$C:$O,10,0))),"")</f>
        <v/>
      </c>
      <c r="E675" s="59" t="str">
        <f>IFERROR(IF(F675&lt;&gt;"pending","",IF(OR($B675="",$B675="(blank)"),"",VLOOKUP($B675,'Email Marketing Raw Data'!$C:$O,11,0))),"")</f>
        <v/>
      </c>
      <c r="F675" s="54" t="str">
        <f>IFERROR(IF(OR($B675="",$B675="(blank)"),"",VLOOKUP($B675,'Email Marketing Raw Data'!$C:$O,13,0)),"")</f>
        <v/>
      </c>
      <c r="G675" s="55" t="str">
        <f>IFERROR(IF(OR($B675="",$B675="(blank)"),"",VLOOKUP($B675,'Email Marketing Raw Data'!$C:$O,4,0)),"")</f>
        <v/>
      </c>
      <c r="H675" s="55" t="str">
        <f>IFERROR(IF(OR($B675="",$B675="(blank)"),"",VLOOKUP($B675,'Email Marketing Raw Data'!$C:$O,5,0)),"")</f>
        <v/>
      </c>
      <c r="I675" s="55" t="str">
        <f>IFERROR(IF($G675="","",VLOOKUP('Dashboard And Emails Automate'!$G675,Database!$H:$N,3,0)),"")</f>
        <v/>
      </c>
      <c r="J675" s="55" t="str">
        <f>IFERROR(IF($G675="","",VLOOKUP('Dashboard And Emails Automate'!$G675,Database!$H:$N,4,0)),"")</f>
        <v/>
      </c>
      <c r="K675" s="55" t="str">
        <f>IFERROR(IF($G675="","",VLOOKUP('Dashboard And Emails Automate'!$G675,Database!$H:$N,5,0)),"")</f>
        <v/>
      </c>
      <c r="L675" s="55" t="str">
        <f>IFERROR(IF($G675="","",VLOOKUP('Dashboard And Emails Automate'!$G675,Database!$H:$N,6,0)),"")</f>
        <v/>
      </c>
      <c r="M675" s="55" t="str">
        <f>IFERROR(IF($G675="","",VLOOKUP('Dashboard And Emails Automate'!$G675,Database!$H:$N,7,0)),"")</f>
        <v/>
      </c>
      <c r="N675" s="55" t="str">
        <f>IFERROR(IF(OR($B675="",$B675="(blank)"),"",VLOOKUP($B675,'Email Marketing Raw Data'!$C:$O,6,0)),"")</f>
        <v/>
      </c>
      <c r="O675" s="55" t="str">
        <f>IFERROR(IF(OR($B675="",$B675="(blank)"),"",VLOOKUP($B675,'Email Marketing Raw Data'!$C:$O,7,0)),"")</f>
        <v/>
      </c>
      <c r="P675" s="55" t="str">
        <f>IFERROR(IF(OR($B675="",$B675="(blank)"),"",VLOOKUP($B675,'Email Marketing Raw Data'!$C:$O,8,0)),"")</f>
        <v/>
      </c>
      <c r="Q675" s="62" t="str">
        <f>IFERROR(IF(OR($B675="",$B675="(blank)"),"",VLOOKUP($B675,'Email Marketing Raw Data'!$C:$O,9,0)),"")</f>
        <v/>
      </c>
    </row>
    <row r="676" spans="4:17" ht="12.75" customHeight="1" x14ac:dyDescent="0.2">
      <c r="D676" s="58" t="str">
        <f>IFERROR(IF(F676&lt;&gt;"pending","",IF(OR($B676="",$B676="(blank)"),"",VLOOKUP($B676,'Email Marketing Raw Data'!$C:$O,10,0))),"")</f>
        <v/>
      </c>
      <c r="E676" s="59" t="str">
        <f>IFERROR(IF(F676&lt;&gt;"pending","",IF(OR($B676="",$B676="(blank)"),"",VLOOKUP($B676,'Email Marketing Raw Data'!$C:$O,11,0))),"")</f>
        <v/>
      </c>
      <c r="F676" s="54" t="str">
        <f>IFERROR(IF(OR($B676="",$B676="(blank)"),"",VLOOKUP($B676,'Email Marketing Raw Data'!$C:$O,13,0)),"")</f>
        <v/>
      </c>
      <c r="G676" s="55" t="str">
        <f>IFERROR(IF(OR($B676="",$B676="(blank)"),"",VLOOKUP($B676,'Email Marketing Raw Data'!$C:$O,4,0)),"")</f>
        <v/>
      </c>
      <c r="H676" s="55" t="str">
        <f>IFERROR(IF(OR($B676="",$B676="(blank)"),"",VLOOKUP($B676,'Email Marketing Raw Data'!$C:$O,5,0)),"")</f>
        <v/>
      </c>
      <c r="I676" s="55" t="str">
        <f>IFERROR(IF($G676="","",VLOOKUP('Dashboard And Emails Automate'!$G676,Database!$H:$N,3,0)),"")</f>
        <v/>
      </c>
      <c r="J676" s="55" t="str">
        <f>IFERROR(IF($G676="","",VLOOKUP('Dashboard And Emails Automate'!$G676,Database!$H:$N,4,0)),"")</f>
        <v/>
      </c>
      <c r="K676" s="55" t="str">
        <f>IFERROR(IF($G676="","",VLOOKUP('Dashboard And Emails Automate'!$G676,Database!$H:$N,5,0)),"")</f>
        <v/>
      </c>
      <c r="L676" s="55" t="str">
        <f>IFERROR(IF($G676="","",VLOOKUP('Dashboard And Emails Automate'!$G676,Database!$H:$N,6,0)),"")</f>
        <v/>
      </c>
      <c r="M676" s="55" t="str">
        <f>IFERROR(IF($G676="","",VLOOKUP('Dashboard And Emails Automate'!$G676,Database!$H:$N,7,0)),"")</f>
        <v/>
      </c>
      <c r="N676" s="55" t="str">
        <f>IFERROR(IF(OR($B676="",$B676="(blank)"),"",VLOOKUP($B676,'Email Marketing Raw Data'!$C:$O,6,0)),"")</f>
        <v/>
      </c>
      <c r="O676" s="55" t="str">
        <f>IFERROR(IF(OR($B676="",$B676="(blank)"),"",VLOOKUP($B676,'Email Marketing Raw Data'!$C:$O,7,0)),"")</f>
        <v/>
      </c>
      <c r="P676" s="55" t="str">
        <f>IFERROR(IF(OR($B676="",$B676="(blank)"),"",VLOOKUP($B676,'Email Marketing Raw Data'!$C:$O,8,0)),"")</f>
        <v/>
      </c>
      <c r="Q676" s="62" t="str">
        <f>IFERROR(IF(OR($B676="",$B676="(blank)"),"",VLOOKUP($B676,'Email Marketing Raw Data'!$C:$O,9,0)),"")</f>
        <v/>
      </c>
    </row>
    <row r="677" spans="4:17" ht="12.75" customHeight="1" x14ac:dyDescent="0.2">
      <c r="D677" s="58" t="str">
        <f>IFERROR(IF(F677&lt;&gt;"pending","",IF(OR($B677="",$B677="(blank)"),"",VLOOKUP($B677,'Email Marketing Raw Data'!$C:$O,10,0))),"")</f>
        <v/>
      </c>
      <c r="E677" s="59" t="str">
        <f>IFERROR(IF(F677&lt;&gt;"pending","",IF(OR($B677="",$B677="(blank)"),"",VLOOKUP($B677,'Email Marketing Raw Data'!$C:$O,11,0))),"")</f>
        <v/>
      </c>
      <c r="F677" s="54" t="str">
        <f>IFERROR(IF(OR($B677="",$B677="(blank)"),"",VLOOKUP($B677,'Email Marketing Raw Data'!$C:$O,13,0)),"")</f>
        <v/>
      </c>
      <c r="G677" s="55" t="str">
        <f>IFERROR(IF(OR($B677="",$B677="(blank)"),"",VLOOKUP($B677,'Email Marketing Raw Data'!$C:$O,4,0)),"")</f>
        <v/>
      </c>
      <c r="H677" s="55" t="str">
        <f>IFERROR(IF(OR($B677="",$B677="(blank)"),"",VLOOKUP($B677,'Email Marketing Raw Data'!$C:$O,5,0)),"")</f>
        <v/>
      </c>
      <c r="I677" s="55" t="str">
        <f>IFERROR(IF($G677="","",VLOOKUP('Dashboard And Emails Automate'!$G677,Database!$H:$N,3,0)),"")</f>
        <v/>
      </c>
      <c r="J677" s="55" t="str">
        <f>IFERROR(IF($G677="","",VLOOKUP('Dashboard And Emails Automate'!$G677,Database!$H:$N,4,0)),"")</f>
        <v/>
      </c>
      <c r="K677" s="55" t="str">
        <f>IFERROR(IF($G677="","",VLOOKUP('Dashboard And Emails Automate'!$G677,Database!$H:$N,5,0)),"")</f>
        <v/>
      </c>
      <c r="L677" s="55" t="str">
        <f>IFERROR(IF($G677="","",VLOOKUP('Dashboard And Emails Automate'!$G677,Database!$H:$N,6,0)),"")</f>
        <v/>
      </c>
      <c r="M677" s="55" t="str">
        <f>IFERROR(IF($G677="","",VLOOKUP('Dashboard And Emails Automate'!$G677,Database!$H:$N,7,0)),"")</f>
        <v/>
      </c>
      <c r="N677" s="55" t="str">
        <f>IFERROR(IF(OR($B677="",$B677="(blank)"),"",VLOOKUP($B677,'Email Marketing Raw Data'!$C:$O,6,0)),"")</f>
        <v/>
      </c>
      <c r="O677" s="55" t="str">
        <f>IFERROR(IF(OR($B677="",$B677="(blank)"),"",VLOOKUP($B677,'Email Marketing Raw Data'!$C:$O,7,0)),"")</f>
        <v/>
      </c>
      <c r="P677" s="55" t="str">
        <f>IFERROR(IF(OR($B677="",$B677="(blank)"),"",VLOOKUP($B677,'Email Marketing Raw Data'!$C:$O,8,0)),"")</f>
        <v/>
      </c>
      <c r="Q677" s="62" t="str">
        <f>IFERROR(IF(OR($B677="",$B677="(blank)"),"",VLOOKUP($B677,'Email Marketing Raw Data'!$C:$O,9,0)),"")</f>
        <v/>
      </c>
    </row>
    <row r="678" spans="4:17" ht="12.75" customHeight="1" x14ac:dyDescent="0.2">
      <c r="D678" s="58" t="str">
        <f>IFERROR(IF(F678&lt;&gt;"pending","",IF(OR($B678="",$B678="(blank)"),"",VLOOKUP($B678,'Email Marketing Raw Data'!$C:$O,10,0))),"")</f>
        <v/>
      </c>
      <c r="E678" s="59" t="str">
        <f>IFERROR(IF(F678&lt;&gt;"pending","",IF(OR($B678="",$B678="(blank)"),"",VLOOKUP($B678,'Email Marketing Raw Data'!$C:$O,11,0))),"")</f>
        <v/>
      </c>
      <c r="F678" s="54" t="str">
        <f>IFERROR(IF(OR($B678="",$B678="(blank)"),"",VLOOKUP($B678,'Email Marketing Raw Data'!$C:$O,13,0)),"")</f>
        <v/>
      </c>
      <c r="G678" s="55" t="str">
        <f>IFERROR(IF(OR($B678="",$B678="(blank)"),"",VLOOKUP($B678,'Email Marketing Raw Data'!$C:$O,4,0)),"")</f>
        <v/>
      </c>
      <c r="H678" s="55" t="str">
        <f>IFERROR(IF(OR($B678="",$B678="(blank)"),"",VLOOKUP($B678,'Email Marketing Raw Data'!$C:$O,5,0)),"")</f>
        <v/>
      </c>
      <c r="I678" s="55" t="str">
        <f>IFERROR(IF($G678="","",VLOOKUP('Dashboard And Emails Automate'!$G678,Database!$H:$N,3,0)),"")</f>
        <v/>
      </c>
      <c r="J678" s="55" t="str">
        <f>IFERROR(IF($G678="","",VLOOKUP('Dashboard And Emails Automate'!$G678,Database!$H:$N,4,0)),"")</f>
        <v/>
      </c>
      <c r="K678" s="55" t="str">
        <f>IFERROR(IF($G678="","",VLOOKUP('Dashboard And Emails Automate'!$G678,Database!$H:$N,5,0)),"")</f>
        <v/>
      </c>
      <c r="L678" s="55" t="str">
        <f>IFERROR(IF($G678="","",VLOOKUP('Dashboard And Emails Automate'!$G678,Database!$H:$N,6,0)),"")</f>
        <v/>
      </c>
      <c r="M678" s="55" t="str">
        <f>IFERROR(IF($G678="","",VLOOKUP('Dashboard And Emails Automate'!$G678,Database!$H:$N,7,0)),"")</f>
        <v/>
      </c>
      <c r="N678" s="55" t="str">
        <f>IFERROR(IF(OR($B678="",$B678="(blank)"),"",VLOOKUP($B678,'Email Marketing Raw Data'!$C:$O,6,0)),"")</f>
        <v/>
      </c>
      <c r="O678" s="55" t="str">
        <f>IFERROR(IF(OR($B678="",$B678="(blank)"),"",VLOOKUP($B678,'Email Marketing Raw Data'!$C:$O,7,0)),"")</f>
        <v/>
      </c>
      <c r="P678" s="55" t="str">
        <f>IFERROR(IF(OR($B678="",$B678="(blank)"),"",VLOOKUP($B678,'Email Marketing Raw Data'!$C:$O,8,0)),"")</f>
        <v/>
      </c>
      <c r="Q678" s="62" t="str">
        <f>IFERROR(IF(OR($B678="",$B678="(blank)"),"",VLOOKUP($B678,'Email Marketing Raw Data'!$C:$O,9,0)),"")</f>
        <v/>
      </c>
    </row>
    <row r="679" spans="4:17" ht="12.75" customHeight="1" x14ac:dyDescent="0.2">
      <c r="D679" s="58" t="str">
        <f>IFERROR(IF(F679&lt;&gt;"pending","",IF(OR($B679="",$B679="(blank)"),"",VLOOKUP($B679,'Email Marketing Raw Data'!$C:$O,10,0))),"")</f>
        <v/>
      </c>
      <c r="E679" s="59" t="str">
        <f>IFERROR(IF(F679&lt;&gt;"pending","",IF(OR($B679="",$B679="(blank)"),"",VLOOKUP($B679,'Email Marketing Raw Data'!$C:$O,11,0))),"")</f>
        <v/>
      </c>
      <c r="F679" s="54" t="str">
        <f>IFERROR(IF(OR($B679="",$B679="(blank)"),"",VLOOKUP($B679,'Email Marketing Raw Data'!$C:$O,13,0)),"")</f>
        <v/>
      </c>
      <c r="G679" s="55" t="str">
        <f>IFERROR(IF(OR($B679="",$B679="(blank)"),"",VLOOKUP($B679,'Email Marketing Raw Data'!$C:$O,4,0)),"")</f>
        <v/>
      </c>
      <c r="H679" s="55" t="str">
        <f>IFERROR(IF(OR($B679="",$B679="(blank)"),"",VLOOKUP($B679,'Email Marketing Raw Data'!$C:$O,5,0)),"")</f>
        <v/>
      </c>
      <c r="I679" s="55" t="str">
        <f>IFERROR(IF($G679="","",VLOOKUP('Dashboard And Emails Automate'!$G679,Database!$H:$N,3,0)),"")</f>
        <v/>
      </c>
      <c r="J679" s="55" t="str">
        <f>IFERROR(IF($G679="","",VLOOKUP('Dashboard And Emails Automate'!$G679,Database!$H:$N,4,0)),"")</f>
        <v/>
      </c>
      <c r="K679" s="55" t="str">
        <f>IFERROR(IF($G679="","",VLOOKUP('Dashboard And Emails Automate'!$G679,Database!$H:$N,5,0)),"")</f>
        <v/>
      </c>
      <c r="L679" s="55" t="str">
        <f>IFERROR(IF($G679="","",VLOOKUP('Dashboard And Emails Automate'!$G679,Database!$H:$N,6,0)),"")</f>
        <v/>
      </c>
      <c r="M679" s="55" t="str">
        <f>IFERROR(IF($G679="","",VLOOKUP('Dashboard And Emails Automate'!$G679,Database!$H:$N,7,0)),"")</f>
        <v/>
      </c>
      <c r="N679" s="55" t="str">
        <f>IFERROR(IF(OR($B679="",$B679="(blank)"),"",VLOOKUP($B679,'Email Marketing Raw Data'!$C:$O,6,0)),"")</f>
        <v/>
      </c>
      <c r="O679" s="55" t="str">
        <f>IFERROR(IF(OR($B679="",$B679="(blank)"),"",VLOOKUP($B679,'Email Marketing Raw Data'!$C:$O,7,0)),"")</f>
        <v/>
      </c>
      <c r="P679" s="55" t="str">
        <f>IFERROR(IF(OR($B679="",$B679="(blank)"),"",VLOOKUP($B679,'Email Marketing Raw Data'!$C:$O,8,0)),"")</f>
        <v/>
      </c>
      <c r="Q679" s="62" t="str">
        <f>IFERROR(IF(OR($B679="",$B679="(blank)"),"",VLOOKUP($B679,'Email Marketing Raw Data'!$C:$O,9,0)),"")</f>
        <v/>
      </c>
    </row>
    <row r="680" spans="4:17" ht="12.75" customHeight="1" x14ac:dyDescent="0.2">
      <c r="D680" s="58" t="str">
        <f>IFERROR(IF(F680&lt;&gt;"pending","",IF(OR($B680="",$B680="(blank)"),"",VLOOKUP($B680,'Email Marketing Raw Data'!$C:$O,10,0))),"")</f>
        <v/>
      </c>
      <c r="E680" s="59" t="str">
        <f>IFERROR(IF(F680&lt;&gt;"pending","",IF(OR($B680="",$B680="(blank)"),"",VLOOKUP($B680,'Email Marketing Raw Data'!$C:$O,11,0))),"")</f>
        <v/>
      </c>
      <c r="F680" s="54" t="str">
        <f>IFERROR(IF(OR($B680="",$B680="(blank)"),"",VLOOKUP($B680,'Email Marketing Raw Data'!$C:$O,13,0)),"")</f>
        <v/>
      </c>
      <c r="G680" s="55" t="str">
        <f>IFERROR(IF(OR($B680="",$B680="(blank)"),"",VLOOKUP($B680,'Email Marketing Raw Data'!$C:$O,4,0)),"")</f>
        <v/>
      </c>
      <c r="H680" s="55" t="str">
        <f>IFERROR(IF(OR($B680="",$B680="(blank)"),"",VLOOKUP($B680,'Email Marketing Raw Data'!$C:$O,5,0)),"")</f>
        <v/>
      </c>
      <c r="I680" s="55" t="str">
        <f>IFERROR(IF($G680="","",VLOOKUP('Dashboard And Emails Automate'!$G680,Database!$H:$N,3,0)),"")</f>
        <v/>
      </c>
      <c r="J680" s="55" t="str">
        <f>IFERROR(IF($G680="","",VLOOKUP('Dashboard And Emails Automate'!$G680,Database!$H:$N,4,0)),"")</f>
        <v/>
      </c>
      <c r="K680" s="55" t="str">
        <f>IFERROR(IF($G680="","",VLOOKUP('Dashboard And Emails Automate'!$G680,Database!$H:$N,5,0)),"")</f>
        <v/>
      </c>
      <c r="L680" s="55" t="str">
        <f>IFERROR(IF($G680="","",VLOOKUP('Dashboard And Emails Automate'!$G680,Database!$H:$N,6,0)),"")</f>
        <v/>
      </c>
      <c r="M680" s="55" t="str">
        <f>IFERROR(IF($G680="","",VLOOKUP('Dashboard And Emails Automate'!$G680,Database!$H:$N,7,0)),"")</f>
        <v/>
      </c>
      <c r="N680" s="55" t="str">
        <f>IFERROR(IF(OR($B680="",$B680="(blank)"),"",VLOOKUP($B680,'Email Marketing Raw Data'!$C:$O,6,0)),"")</f>
        <v/>
      </c>
      <c r="O680" s="55" t="str">
        <f>IFERROR(IF(OR($B680="",$B680="(blank)"),"",VLOOKUP($B680,'Email Marketing Raw Data'!$C:$O,7,0)),"")</f>
        <v/>
      </c>
      <c r="P680" s="55" t="str">
        <f>IFERROR(IF(OR($B680="",$B680="(blank)"),"",VLOOKUP($B680,'Email Marketing Raw Data'!$C:$O,8,0)),"")</f>
        <v/>
      </c>
      <c r="Q680" s="62" t="str">
        <f>IFERROR(IF(OR($B680="",$B680="(blank)"),"",VLOOKUP($B680,'Email Marketing Raw Data'!$C:$O,9,0)),"")</f>
        <v/>
      </c>
    </row>
    <row r="681" spans="4:17" ht="12.75" customHeight="1" x14ac:dyDescent="0.2">
      <c r="D681" s="58" t="str">
        <f>IFERROR(IF(F681&lt;&gt;"pending","",IF(OR($B681="",$B681="(blank)"),"",VLOOKUP($B681,'Email Marketing Raw Data'!$C:$O,10,0))),"")</f>
        <v/>
      </c>
      <c r="E681" s="59" t="str">
        <f>IFERROR(IF(F681&lt;&gt;"pending","",IF(OR($B681="",$B681="(blank)"),"",VLOOKUP($B681,'Email Marketing Raw Data'!$C:$O,11,0))),"")</f>
        <v/>
      </c>
      <c r="F681" s="54" t="str">
        <f>IFERROR(IF(OR($B681="",$B681="(blank)"),"",VLOOKUP($B681,'Email Marketing Raw Data'!$C:$O,13,0)),"")</f>
        <v/>
      </c>
      <c r="G681" s="55" t="str">
        <f>IFERROR(IF(OR($B681="",$B681="(blank)"),"",VLOOKUP($B681,'Email Marketing Raw Data'!$C:$O,4,0)),"")</f>
        <v/>
      </c>
      <c r="H681" s="55" t="str">
        <f>IFERROR(IF(OR($B681="",$B681="(blank)"),"",VLOOKUP($B681,'Email Marketing Raw Data'!$C:$O,5,0)),"")</f>
        <v/>
      </c>
      <c r="I681" s="55" t="str">
        <f>IFERROR(IF($G681="","",VLOOKUP('Dashboard And Emails Automate'!$G681,Database!$H:$N,3,0)),"")</f>
        <v/>
      </c>
      <c r="J681" s="55" t="str">
        <f>IFERROR(IF($G681="","",VLOOKUP('Dashboard And Emails Automate'!$G681,Database!$H:$N,4,0)),"")</f>
        <v/>
      </c>
      <c r="K681" s="55" t="str">
        <f>IFERROR(IF($G681="","",VLOOKUP('Dashboard And Emails Automate'!$G681,Database!$H:$N,5,0)),"")</f>
        <v/>
      </c>
      <c r="L681" s="55" t="str">
        <f>IFERROR(IF($G681="","",VLOOKUP('Dashboard And Emails Automate'!$G681,Database!$H:$N,6,0)),"")</f>
        <v/>
      </c>
      <c r="M681" s="55" t="str">
        <f>IFERROR(IF($G681="","",VLOOKUP('Dashboard And Emails Automate'!$G681,Database!$H:$N,7,0)),"")</f>
        <v/>
      </c>
      <c r="N681" s="55" t="str">
        <f>IFERROR(IF(OR($B681="",$B681="(blank)"),"",VLOOKUP($B681,'Email Marketing Raw Data'!$C:$O,6,0)),"")</f>
        <v/>
      </c>
      <c r="O681" s="55" t="str">
        <f>IFERROR(IF(OR($B681="",$B681="(blank)"),"",VLOOKUP($B681,'Email Marketing Raw Data'!$C:$O,7,0)),"")</f>
        <v/>
      </c>
      <c r="P681" s="55" t="str">
        <f>IFERROR(IF(OR($B681="",$B681="(blank)"),"",VLOOKUP($B681,'Email Marketing Raw Data'!$C:$O,8,0)),"")</f>
        <v/>
      </c>
      <c r="Q681" s="62" t="str">
        <f>IFERROR(IF(OR($B681="",$B681="(blank)"),"",VLOOKUP($B681,'Email Marketing Raw Data'!$C:$O,9,0)),"")</f>
        <v/>
      </c>
    </row>
    <row r="682" spans="4:17" ht="12.75" customHeight="1" x14ac:dyDescent="0.2">
      <c r="D682" s="58" t="str">
        <f>IFERROR(IF(F682&lt;&gt;"pending","",IF(OR($B682="",$B682="(blank)"),"",VLOOKUP($B682,'Email Marketing Raw Data'!$C:$O,10,0))),"")</f>
        <v/>
      </c>
      <c r="E682" s="59" t="str">
        <f>IFERROR(IF(F682&lt;&gt;"pending","",IF(OR($B682="",$B682="(blank)"),"",VLOOKUP($B682,'Email Marketing Raw Data'!$C:$O,11,0))),"")</f>
        <v/>
      </c>
      <c r="F682" s="54" t="str">
        <f>IFERROR(IF(OR($B682="",$B682="(blank)"),"",VLOOKUP($B682,'Email Marketing Raw Data'!$C:$O,13,0)),"")</f>
        <v/>
      </c>
      <c r="G682" s="55" t="str">
        <f>IFERROR(IF(OR($B682="",$B682="(blank)"),"",VLOOKUP($B682,'Email Marketing Raw Data'!$C:$O,4,0)),"")</f>
        <v/>
      </c>
      <c r="H682" s="55" t="str">
        <f>IFERROR(IF(OR($B682="",$B682="(blank)"),"",VLOOKUP($B682,'Email Marketing Raw Data'!$C:$O,5,0)),"")</f>
        <v/>
      </c>
      <c r="I682" s="55" t="str">
        <f>IFERROR(IF($G682="","",VLOOKUP('Dashboard And Emails Automate'!$G682,Database!$H:$N,3,0)),"")</f>
        <v/>
      </c>
      <c r="J682" s="55" t="str">
        <f>IFERROR(IF($G682="","",VLOOKUP('Dashboard And Emails Automate'!$G682,Database!$H:$N,4,0)),"")</f>
        <v/>
      </c>
      <c r="K682" s="55" t="str">
        <f>IFERROR(IF($G682="","",VLOOKUP('Dashboard And Emails Automate'!$G682,Database!$H:$N,5,0)),"")</f>
        <v/>
      </c>
      <c r="L682" s="55" t="str">
        <f>IFERROR(IF($G682="","",VLOOKUP('Dashboard And Emails Automate'!$G682,Database!$H:$N,6,0)),"")</f>
        <v/>
      </c>
      <c r="M682" s="55" t="str">
        <f>IFERROR(IF($G682="","",VLOOKUP('Dashboard And Emails Automate'!$G682,Database!$H:$N,7,0)),"")</f>
        <v/>
      </c>
      <c r="N682" s="55" t="str">
        <f>IFERROR(IF(OR($B682="",$B682="(blank)"),"",VLOOKUP($B682,'Email Marketing Raw Data'!$C:$O,6,0)),"")</f>
        <v/>
      </c>
      <c r="O682" s="55" t="str">
        <f>IFERROR(IF(OR($B682="",$B682="(blank)"),"",VLOOKUP($B682,'Email Marketing Raw Data'!$C:$O,7,0)),"")</f>
        <v/>
      </c>
      <c r="P682" s="55" t="str">
        <f>IFERROR(IF(OR($B682="",$B682="(blank)"),"",VLOOKUP($B682,'Email Marketing Raw Data'!$C:$O,8,0)),"")</f>
        <v/>
      </c>
      <c r="Q682" s="62" t="str">
        <f>IFERROR(IF(OR($B682="",$B682="(blank)"),"",VLOOKUP($B682,'Email Marketing Raw Data'!$C:$O,9,0)),"")</f>
        <v/>
      </c>
    </row>
    <row r="683" spans="4:17" ht="12.75" customHeight="1" x14ac:dyDescent="0.2">
      <c r="D683" s="58" t="str">
        <f>IFERROR(IF(F683&lt;&gt;"pending","",IF(OR($B683="",$B683="(blank)"),"",VLOOKUP($B683,'Email Marketing Raw Data'!$C:$O,10,0))),"")</f>
        <v/>
      </c>
      <c r="E683" s="59" t="str">
        <f>IFERROR(IF(F683&lt;&gt;"pending","",IF(OR($B683="",$B683="(blank)"),"",VLOOKUP($B683,'Email Marketing Raw Data'!$C:$O,11,0))),"")</f>
        <v/>
      </c>
      <c r="F683" s="54" t="str">
        <f>IFERROR(IF(OR($B683="",$B683="(blank)"),"",VLOOKUP($B683,'Email Marketing Raw Data'!$C:$O,13,0)),"")</f>
        <v/>
      </c>
      <c r="G683" s="55" t="str">
        <f>IFERROR(IF(OR($B683="",$B683="(blank)"),"",VLOOKUP($B683,'Email Marketing Raw Data'!$C:$O,4,0)),"")</f>
        <v/>
      </c>
      <c r="H683" s="55" t="str">
        <f>IFERROR(IF(OR($B683="",$B683="(blank)"),"",VLOOKUP($B683,'Email Marketing Raw Data'!$C:$O,5,0)),"")</f>
        <v/>
      </c>
      <c r="I683" s="55" t="str">
        <f>IFERROR(IF($G683="","",VLOOKUP('Dashboard And Emails Automate'!$G683,Database!$H:$N,3,0)),"")</f>
        <v/>
      </c>
      <c r="J683" s="55" t="str">
        <f>IFERROR(IF($G683="","",VLOOKUP('Dashboard And Emails Automate'!$G683,Database!$H:$N,4,0)),"")</f>
        <v/>
      </c>
      <c r="K683" s="55" t="str">
        <f>IFERROR(IF($G683="","",VLOOKUP('Dashboard And Emails Automate'!$G683,Database!$H:$N,5,0)),"")</f>
        <v/>
      </c>
      <c r="L683" s="55" t="str">
        <f>IFERROR(IF($G683="","",VLOOKUP('Dashboard And Emails Automate'!$G683,Database!$H:$N,6,0)),"")</f>
        <v/>
      </c>
      <c r="M683" s="55" t="str">
        <f>IFERROR(IF($G683="","",VLOOKUP('Dashboard And Emails Automate'!$G683,Database!$H:$N,7,0)),"")</f>
        <v/>
      </c>
      <c r="N683" s="55" t="str">
        <f>IFERROR(IF(OR($B683="",$B683="(blank)"),"",VLOOKUP($B683,'Email Marketing Raw Data'!$C:$O,6,0)),"")</f>
        <v/>
      </c>
      <c r="O683" s="55" t="str">
        <f>IFERROR(IF(OR($B683="",$B683="(blank)"),"",VLOOKUP($B683,'Email Marketing Raw Data'!$C:$O,7,0)),"")</f>
        <v/>
      </c>
      <c r="P683" s="55" t="str">
        <f>IFERROR(IF(OR($B683="",$B683="(blank)"),"",VLOOKUP($B683,'Email Marketing Raw Data'!$C:$O,8,0)),"")</f>
        <v/>
      </c>
      <c r="Q683" s="62" t="str">
        <f>IFERROR(IF(OR($B683="",$B683="(blank)"),"",VLOOKUP($B683,'Email Marketing Raw Data'!$C:$O,9,0)),"")</f>
        <v/>
      </c>
    </row>
    <row r="684" spans="4:17" ht="12.75" customHeight="1" x14ac:dyDescent="0.2">
      <c r="D684" s="58" t="str">
        <f>IFERROR(IF(F684&lt;&gt;"pending","",IF(OR($B684="",$B684="(blank)"),"",VLOOKUP($B684,'Email Marketing Raw Data'!$C:$O,10,0))),"")</f>
        <v/>
      </c>
      <c r="E684" s="59" t="str">
        <f>IFERROR(IF(F684&lt;&gt;"pending","",IF(OR($B684="",$B684="(blank)"),"",VLOOKUP($B684,'Email Marketing Raw Data'!$C:$O,11,0))),"")</f>
        <v/>
      </c>
      <c r="F684" s="54" t="str">
        <f>IFERROR(IF(OR($B684="",$B684="(blank)"),"",VLOOKUP($B684,'Email Marketing Raw Data'!$C:$O,13,0)),"")</f>
        <v/>
      </c>
      <c r="G684" s="55" t="str">
        <f>IFERROR(IF(OR($B684="",$B684="(blank)"),"",VLOOKUP($B684,'Email Marketing Raw Data'!$C:$O,4,0)),"")</f>
        <v/>
      </c>
      <c r="H684" s="55" t="str">
        <f>IFERROR(IF(OR($B684="",$B684="(blank)"),"",VLOOKUP($B684,'Email Marketing Raw Data'!$C:$O,5,0)),"")</f>
        <v/>
      </c>
      <c r="I684" s="55" t="str">
        <f>IFERROR(IF($G684="","",VLOOKUP('Dashboard And Emails Automate'!$G684,Database!$H:$N,3,0)),"")</f>
        <v/>
      </c>
      <c r="J684" s="55" t="str">
        <f>IFERROR(IF($G684="","",VLOOKUP('Dashboard And Emails Automate'!$G684,Database!$H:$N,4,0)),"")</f>
        <v/>
      </c>
      <c r="K684" s="55" t="str">
        <f>IFERROR(IF($G684="","",VLOOKUP('Dashboard And Emails Automate'!$G684,Database!$H:$N,5,0)),"")</f>
        <v/>
      </c>
      <c r="L684" s="55" t="str">
        <f>IFERROR(IF($G684="","",VLOOKUP('Dashboard And Emails Automate'!$G684,Database!$H:$N,6,0)),"")</f>
        <v/>
      </c>
      <c r="M684" s="55" t="str">
        <f>IFERROR(IF($G684="","",VLOOKUP('Dashboard And Emails Automate'!$G684,Database!$H:$N,7,0)),"")</f>
        <v/>
      </c>
      <c r="N684" s="55" t="str">
        <f>IFERROR(IF(OR($B684="",$B684="(blank)"),"",VLOOKUP($B684,'Email Marketing Raw Data'!$C:$O,6,0)),"")</f>
        <v/>
      </c>
      <c r="O684" s="55" t="str">
        <f>IFERROR(IF(OR($B684="",$B684="(blank)"),"",VLOOKUP($B684,'Email Marketing Raw Data'!$C:$O,7,0)),"")</f>
        <v/>
      </c>
      <c r="P684" s="55" t="str">
        <f>IFERROR(IF(OR($B684="",$B684="(blank)"),"",VLOOKUP($B684,'Email Marketing Raw Data'!$C:$O,8,0)),"")</f>
        <v/>
      </c>
      <c r="Q684" s="62" t="str">
        <f>IFERROR(IF(OR($B684="",$B684="(blank)"),"",VLOOKUP($B684,'Email Marketing Raw Data'!$C:$O,9,0)),"")</f>
        <v/>
      </c>
    </row>
    <row r="685" spans="4:17" ht="12.75" customHeight="1" x14ac:dyDescent="0.2">
      <c r="D685" s="58" t="str">
        <f>IFERROR(IF(F685&lt;&gt;"pending","",IF(OR($B685="",$B685="(blank)"),"",VLOOKUP($B685,'Email Marketing Raw Data'!$C:$O,10,0))),"")</f>
        <v/>
      </c>
      <c r="E685" s="59" t="str">
        <f>IFERROR(IF(F685&lt;&gt;"pending","",IF(OR($B685="",$B685="(blank)"),"",VLOOKUP($B685,'Email Marketing Raw Data'!$C:$O,11,0))),"")</f>
        <v/>
      </c>
      <c r="F685" s="54" t="str">
        <f>IFERROR(IF(OR($B685="",$B685="(blank)"),"",VLOOKUP($B685,'Email Marketing Raw Data'!$C:$O,13,0)),"")</f>
        <v/>
      </c>
      <c r="G685" s="55" t="str">
        <f>IFERROR(IF(OR($B685="",$B685="(blank)"),"",VLOOKUP($B685,'Email Marketing Raw Data'!$C:$O,4,0)),"")</f>
        <v/>
      </c>
      <c r="H685" s="55" t="str">
        <f>IFERROR(IF(OR($B685="",$B685="(blank)"),"",VLOOKUP($B685,'Email Marketing Raw Data'!$C:$O,5,0)),"")</f>
        <v/>
      </c>
      <c r="I685" s="55" t="str">
        <f>IFERROR(IF($G685="","",VLOOKUP('Dashboard And Emails Automate'!$G685,Database!$H:$N,3,0)),"")</f>
        <v/>
      </c>
      <c r="J685" s="55" t="str">
        <f>IFERROR(IF($G685="","",VLOOKUP('Dashboard And Emails Automate'!$G685,Database!$H:$N,4,0)),"")</f>
        <v/>
      </c>
      <c r="K685" s="55" t="str">
        <f>IFERROR(IF($G685="","",VLOOKUP('Dashboard And Emails Automate'!$G685,Database!$H:$N,5,0)),"")</f>
        <v/>
      </c>
      <c r="L685" s="55" t="str">
        <f>IFERROR(IF($G685="","",VLOOKUP('Dashboard And Emails Automate'!$G685,Database!$H:$N,6,0)),"")</f>
        <v/>
      </c>
      <c r="M685" s="55" t="str">
        <f>IFERROR(IF($G685="","",VLOOKUP('Dashboard And Emails Automate'!$G685,Database!$H:$N,7,0)),"")</f>
        <v/>
      </c>
      <c r="N685" s="55" t="str">
        <f>IFERROR(IF(OR($B685="",$B685="(blank)"),"",VLOOKUP($B685,'Email Marketing Raw Data'!$C:$O,6,0)),"")</f>
        <v/>
      </c>
      <c r="O685" s="55" t="str">
        <f>IFERROR(IF(OR($B685="",$B685="(blank)"),"",VLOOKUP($B685,'Email Marketing Raw Data'!$C:$O,7,0)),"")</f>
        <v/>
      </c>
      <c r="P685" s="55" t="str">
        <f>IFERROR(IF(OR($B685="",$B685="(blank)"),"",VLOOKUP($B685,'Email Marketing Raw Data'!$C:$O,8,0)),"")</f>
        <v/>
      </c>
      <c r="Q685" s="62" t="str">
        <f>IFERROR(IF(OR($B685="",$B685="(blank)"),"",VLOOKUP($B685,'Email Marketing Raw Data'!$C:$O,9,0)),"")</f>
        <v/>
      </c>
    </row>
    <row r="686" spans="4:17" ht="12.75" customHeight="1" x14ac:dyDescent="0.2">
      <c r="D686" s="58" t="str">
        <f>IFERROR(IF(F686&lt;&gt;"pending","",IF(OR($B686="",$B686="(blank)"),"",VLOOKUP($B686,'Email Marketing Raw Data'!$C:$O,10,0))),"")</f>
        <v/>
      </c>
      <c r="E686" s="59" t="str">
        <f>IFERROR(IF(F686&lt;&gt;"pending","",IF(OR($B686="",$B686="(blank)"),"",VLOOKUP($B686,'Email Marketing Raw Data'!$C:$O,11,0))),"")</f>
        <v/>
      </c>
      <c r="F686" s="54" t="str">
        <f>IFERROR(IF(OR($B686="",$B686="(blank)"),"",VLOOKUP($B686,'Email Marketing Raw Data'!$C:$O,13,0)),"")</f>
        <v/>
      </c>
      <c r="G686" s="55" t="str">
        <f>IFERROR(IF(OR($B686="",$B686="(blank)"),"",VLOOKUP($B686,'Email Marketing Raw Data'!$C:$O,4,0)),"")</f>
        <v/>
      </c>
      <c r="H686" s="55" t="str">
        <f>IFERROR(IF(OR($B686="",$B686="(blank)"),"",VLOOKUP($B686,'Email Marketing Raw Data'!$C:$O,5,0)),"")</f>
        <v/>
      </c>
      <c r="I686" s="55" t="str">
        <f>IFERROR(IF($G686="","",VLOOKUP('Dashboard And Emails Automate'!$G686,Database!$H:$N,3,0)),"")</f>
        <v/>
      </c>
      <c r="J686" s="55" t="str">
        <f>IFERROR(IF($G686="","",VLOOKUP('Dashboard And Emails Automate'!$G686,Database!$H:$N,4,0)),"")</f>
        <v/>
      </c>
      <c r="K686" s="55" t="str">
        <f>IFERROR(IF($G686="","",VLOOKUP('Dashboard And Emails Automate'!$G686,Database!$H:$N,5,0)),"")</f>
        <v/>
      </c>
      <c r="L686" s="55" t="str">
        <f>IFERROR(IF($G686="","",VLOOKUP('Dashboard And Emails Automate'!$G686,Database!$H:$N,6,0)),"")</f>
        <v/>
      </c>
      <c r="M686" s="55" t="str">
        <f>IFERROR(IF($G686="","",VLOOKUP('Dashboard And Emails Automate'!$G686,Database!$H:$N,7,0)),"")</f>
        <v/>
      </c>
      <c r="N686" s="55" t="str">
        <f>IFERROR(IF(OR($B686="",$B686="(blank)"),"",VLOOKUP($B686,'Email Marketing Raw Data'!$C:$O,6,0)),"")</f>
        <v/>
      </c>
      <c r="O686" s="55" t="str">
        <f>IFERROR(IF(OR($B686="",$B686="(blank)"),"",VLOOKUP($B686,'Email Marketing Raw Data'!$C:$O,7,0)),"")</f>
        <v/>
      </c>
      <c r="P686" s="55" t="str">
        <f>IFERROR(IF(OR($B686="",$B686="(blank)"),"",VLOOKUP($B686,'Email Marketing Raw Data'!$C:$O,8,0)),"")</f>
        <v/>
      </c>
      <c r="Q686" s="62" t="str">
        <f>IFERROR(IF(OR($B686="",$B686="(blank)"),"",VLOOKUP($B686,'Email Marketing Raw Data'!$C:$O,9,0)),"")</f>
        <v/>
      </c>
    </row>
    <row r="687" spans="4:17" ht="12.75" customHeight="1" x14ac:dyDescent="0.2">
      <c r="D687" s="58" t="str">
        <f>IFERROR(IF(F687&lt;&gt;"pending","",IF(OR($B687="",$B687="(blank)"),"",VLOOKUP($B687,'Email Marketing Raw Data'!$C:$O,10,0))),"")</f>
        <v/>
      </c>
      <c r="E687" s="59" t="str">
        <f>IFERROR(IF(F687&lt;&gt;"pending","",IF(OR($B687="",$B687="(blank)"),"",VLOOKUP($B687,'Email Marketing Raw Data'!$C:$O,11,0))),"")</f>
        <v/>
      </c>
      <c r="F687" s="54" t="str">
        <f>IFERROR(IF(OR($B687="",$B687="(blank)"),"",VLOOKUP($B687,'Email Marketing Raw Data'!$C:$O,13,0)),"")</f>
        <v/>
      </c>
      <c r="G687" s="55" t="str">
        <f>IFERROR(IF(OR($B687="",$B687="(blank)"),"",VLOOKUP($B687,'Email Marketing Raw Data'!$C:$O,4,0)),"")</f>
        <v/>
      </c>
      <c r="H687" s="55" t="str">
        <f>IFERROR(IF(OR($B687="",$B687="(blank)"),"",VLOOKUP($B687,'Email Marketing Raw Data'!$C:$O,5,0)),"")</f>
        <v/>
      </c>
      <c r="I687" s="55" t="str">
        <f>IFERROR(IF($G687="","",VLOOKUP('Dashboard And Emails Automate'!$G687,Database!$H:$N,3,0)),"")</f>
        <v/>
      </c>
      <c r="J687" s="55" t="str">
        <f>IFERROR(IF($G687="","",VLOOKUP('Dashboard And Emails Automate'!$G687,Database!$H:$N,4,0)),"")</f>
        <v/>
      </c>
      <c r="K687" s="55" t="str">
        <f>IFERROR(IF($G687="","",VLOOKUP('Dashboard And Emails Automate'!$G687,Database!$H:$N,5,0)),"")</f>
        <v/>
      </c>
      <c r="L687" s="55" t="str">
        <f>IFERROR(IF($G687="","",VLOOKUP('Dashboard And Emails Automate'!$G687,Database!$H:$N,6,0)),"")</f>
        <v/>
      </c>
      <c r="M687" s="55" t="str">
        <f>IFERROR(IF($G687="","",VLOOKUP('Dashboard And Emails Automate'!$G687,Database!$H:$N,7,0)),"")</f>
        <v/>
      </c>
      <c r="N687" s="55" t="str">
        <f>IFERROR(IF(OR($B687="",$B687="(blank)"),"",VLOOKUP($B687,'Email Marketing Raw Data'!$C:$O,6,0)),"")</f>
        <v/>
      </c>
      <c r="O687" s="55" t="str">
        <f>IFERROR(IF(OR($B687="",$B687="(blank)"),"",VLOOKUP($B687,'Email Marketing Raw Data'!$C:$O,7,0)),"")</f>
        <v/>
      </c>
      <c r="P687" s="55" t="str">
        <f>IFERROR(IF(OR($B687="",$B687="(blank)"),"",VLOOKUP($B687,'Email Marketing Raw Data'!$C:$O,8,0)),"")</f>
        <v/>
      </c>
      <c r="Q687" s="62" t="str">
        <f>IFERROR(IF(OR($B687="",$B687="(blank)"),"",VLOOKUP($B687,'Email Marketing Raw Data'!$C:$O,9,0)),"")</f>
        <v/>
      </c>
    </row>
    <row r="688" spans="4:17" ht="12.75" customHeight="1" x14ac:dyDescent="0.2">
      <c r="D688" s="58" t="str">
        <f>IFERROR(IF(F688&lt;&gt;"pending","",IF(OR($B688="",$B688="(blank)"),"",VLOOKUP($B688,'Email Marketing Raw Data'!$C:$O,10,0))),"")</f>
        <v/>
      </c>
      <c r="E688" s="59" t="str">
        <f>IFERROR(IF(F688&lt;&gt;"pending","",IF(OR($B688="",$B688="(blank)"),"",VLOOKUP($B688,'Email Marketing Raw Data'!$C:$O,11,0))),"")</f>
        <v/>
      </c>
      <c r="F688" s="54" t="str">
        <f>IFERROR(IF(OR($B688="",$B688="(blank)"),"",VLOOKUP($B688,'Email Marketing Raw Data'!$C:$O,13,0)),"")</f>
        <v/>
      </c>
      <c r="G688" s="55" t="str">
        <f>IFERROR(IF(OR($B688="",$B688="(blank)"),"",VLOOKUP($B688,'Email Marketing Raw Data'!$C:$O,4,0)),"")</f>
        <v/>
      </c>
      <c r="H688" s="55" t="str">
        <f>IFERROR(IF(OR($B688="",$B688="(blank)"),"",VLOOKUP($B688,'Email Marketing Raw Data'!$C:$O,5,0)),"")</f>
        <v/>
      </c>
      <c r="I688" s="55" t="str">
        <f>IFERROR(IF($G688="","",VLOOKUP('Dashboard And Emails Automate'!$G688,Database!$H:$N,3,0)),"")</f>
        <v/>
      </c>
      <c r="J688" s="55" t="str">
        <f>IFERROR(IF($G688="","",VLOOKUP('Dashboard And Emails Automate'!$G688,Database!$H:$N,4,0)),"")</f>
        <v/>
      </c>
      <c r="K688" s="55" t="str">
        <f>IFERROR(IF($G688="","",VLOOKUP('Dashboard And Emails Automate'!$G688,Database!$H:$N,5,0)),"")</f>
        <v/>
      </c>
      <c r="L688" s="55" t="str">
        <f>IFERROR(IF($G688="","",VLOOKUP('Dashboard And Emails Automate'!$G688,Database!$H:$N,6,0)),"")</f>
        <v/>
      </c>
      <c r="M688" s="55" t="str">
        <f>IFERROR(IF($G688="","",VLOOKUP('Dashboard And Emails Automate'!$G688,Database!$H:$N,7,0)),"")</f>
        <v/>
      </c>
      <c r="N688" s="55" t="str">
        <f>IFERROR(IF(OR($B688="",$B688="(blank)"),"",VLOOKUP($B688,'Email Marketing Raw Data'!$C:$O,6,0)),"")</f>
        <v/>
      </c>
      <c r="O688" s="55" t="str">
        <f>IFERROR(IF(OR($B688="",$B688="(blank)"),"",VLOOKUP($B688,'Email Marketing Raw Data'!$C:$O,7,0)),"")</f>
        <v/>
      </c>
      <c r="P688" s="55" t="str">
        <f>IFERROR(IF(OR($B688="",$B688="(blank)"),"",VLOOKUP($B688,'Email Marketing Raw Data'!$C:$O,8,0)),"")</f>
        <v/>
      </c>
      <c r="Q688" s="62" t="str">
        <f>IFERROR(IF(OR($B688="",$B688="(blank)"),"",VLOOKUP($B688,'Email Marketing Raw Data'!$C:$O,9,0)),"")</f>
        <v/>
      </c>
    </row>
    <row r="689" spans="4:17" ht="12.75" customHeight="1" x14ac:dyDescent="0.2">
      <c r="D689" s="58" t="str">
        <f>IFERROR(IF(F689&lt;&gt;"pending","",IF(OR($B689="",$B689="(blank)"),"",VLOOKUP($B689,'Email Marketing Raw Data'!$C:$O,10,0))),"")</f>
        <v/>
      </c>
      <c r="E689" s="59" t="str">
        <f>IFERROR(IF(F689&lt;&gt;"pending","",IF(OR($B689="",$B689="(blank)"),"",VLOOKUP($B689,'Email Marketing Raw Data'!$C:$O,11,0))),"")</f>
        <v/>
      </c>
      <c r="F689" s="54" t="str">
        <f>IFERROR(IF(OR($B689="",$B689="(blank)"),"",VLOOKUP($B689,'Email Marketing Raw Data'!$C:$O,13,0)),"")</f>
        <v/>
      </c>
      <c r="G689" s="55" t="str">
        <f>IFERROR(IF(OR($B689="",$B689="(blank)"),"",VLOOKUP($B689,'Email Marketing Raw Data'!$C:$O,4,0)),"")</f>
        <v/>
      </c>
      <c r="H689" s="55" t="str">
        <f>IFERROR(IF(OR($B689="",$B689="(blank)"),"",VLOOKUP($B689,'Email Marketing Raw Data'!$C:$O,5,0)),"")</f>
        <v/>
      </c>
      <c r="I689" s="55" t="str">
        <f>IFERROR(IF($G689="","",VLOOKUP('Dashboard And Emails Automate'!$G689,Database!$H:$N,3,0)),"")</f>
        <v/>
      </c>
      <c r="J689" s="55" t="str">
        <f>IFERROR(IF($G689="","",VLOOKUP('Dashboard And Emails Automate'!$G689,Database!$H:$N,4,0)),"")</f>
        <v/>
      </c>
      <c r="K689" s="55" t="str">
        <f>IFERROR(IF($G689="","",VLOOKUP('Dashboard And Emails Automate'!$G689,Database!$H:$N,5,0)),"")</f>
        <v/>
      </c>
      <c r="L689" s="55" t="str">
        <f>IFERROR(IF($G689="","",VLOOKUP('Dashboard And Emails Automate'!$G689,Database!$H:$N,6,0)),"")</f>
        <v/>
      </c>
      <c r="M689" s="55" t="str">
        <f>IFERROR(IF($G689="","",VLOOKUP('Dashboard And Emails Automate'!$G689,Database!$H:$N,7,0)),"")</f>
        <v/>
      </c>
      <c r="N689" s="55" t="str">
        <f>IFERROR(IF(OR($B689="",$B689="(blank)"),"",VLOOKUP($B689,'Email Marketing Raw Data'!$C:$O,6,0)),"")</f>
        <v/>
      </c>
      <c r="O689" s="55" t="str">
        <f>IFERROR(IF(OR($B689="",$B689="(blank)"),"",VLOOKUP($B689,'Email Marketing Raw Data'!$C:$O,7,0)),"")</f>
        <v/>
      </c>
      <c r="P689" s="55" t="str">
        <f>IFERROR(IF(OR($B689="",$B689="(blank)"),"",VLOOKUP($B689,'Email Marketing Raw Data'!$C:$O,8,0)),"")</f>
        <v/>
      </c>
      <c r="Q689" s="62" t="str">
        <f>IFERROR(IF(OR($B689="",$B689="(blank)"),"",VLOOKUP($B689,'Email Marketing Raw Data'!$C:$O,9,0)),"")</f>
        <v/>
      </c>
    </row>
    <row r="690" spans="4:17" ht="12.75" customHeight="1" x14ac:dyDescent="0.2">
      <c r="D690" s="58" t="str">
        <f>IFERROR(IF(F690&lt;&gt;"pending","",IF(OR($B690="",$B690="(blank)"),"",VLOOKUP($B690,'Email Marketing Raw Data'!$C:$O,10,0))),"")</f>
        <v/>
      </c>
      <c r="E690" s="59" t="str">
        <f>IFERROR(IF(F690&lt;&gt;"pending","",IF(OR($B690="",$B690="(blank)"),"",VLOOKUP($B690,'Email Marketing Raw Data'!$C:$O,11,0))),"")</f>
        <v/>
      </c>
      <c r="F690" s="54" t="str">
        <f>IFERROR(IF(OR($B690="",$B690="(blank)"),"",VLOOKUP($B690,'Email Marketing Raw Data'!$C:$O,13,0)),"")</f>
        <v/>
      </c>
      <c r="G690" s="55" t="str">
        <f>IFERROR(IF(OR($B690="",$B690="(blank)"),"",VLOOKUP($B690,'Email Marketing Raw Data'!$C:$O,4,0)),"")</f>
        <v/>
      </c>
      <c r="H690" s="55" t="str">
        <f>IFERROR(IF(OR($B690="",$B690="(blank)"),"",VLOOKUP($B690,'Email Marketing Raw Data'!$C:$O,5,0)),"")</f>
        <v/>
      </c>
      <c r="I690" s="55" t="str">
        <f>IFERROR(IF($G690="","",VLOOKUP('Dashboard And Emails Automate'!$G690,Database!$H:$N,3,0)),"")</f>
        <v/>
      </c>
      <c r="J690" s="55" t="str">
        <f>IFERROR(IF($G690="","",VLOOKUP('Dashboard And Emails Automate'!$G690,Database!$H:$N,4,0)),"")</f>
        <v/>
      </c>
      <c r="K690" s="55" t="str">
        <f>IFERROR(IF($G690="","",VLOOKUP('Dashboard And Emails Automate'!$G690,Database!$H:$N,5,0)),"")</f>
        <v/>
      </c>
      <c r="L690" s="55" t="str">
        <f>IFERROR(IF($G690="","",VLOOKUP('Dashboard And Emails Automate'!$G690,Database!$H:$N,6,0)),"")</f>
        <v/>
      </c>
      <c r="M690" s="55" t="str">
        <f>IFERROR(IF($G690="","",VLOOKUP('Dashboard And Emails Automate'!$G690,Database!$H:$N,7,0)),"")</f>
        <v/>
      </c>
      <c r="N690" s="55" t="str">
        <f>IFERROR(IF(OR($B690="",$B690="(blank)"),"",VLOOKUP($B690,'Email Marketing Raw Data'!$C:$O,6,0)),"")</f>
        <v/>
      </c>
      <c r="O690" s="55" t="str">
        <f>IFERROR(IF(OR($B690="",$B690="(blank)"),"",VLOOKUP($B690,'Email Marketing Raw Data'!$C:$O,7,0)),"")</f>
        <v/>
      </c>
      <c r="P690" s="55" t="str">
        <f>IFERROR(IF(OR($B690="",$B690="(blank)"),"",VLOOKUP($B690,'Email Marketing Raw Data'!$C:$O,8,0)),"")</f>
        <v/>
      </c>
      <c r="Q690" s="62" t="str">
        <f>IFERROR(IF(OR($B690="",$B690="(blank)"),"",VLOOKUP($B690,'Email Marketing Raw Data'!$C:$O,9,0)),"")</f>
        <v/>
      </c>
    </row>
    <row r="691" spans="4:17" ht="12.75" customHeight="1" x14ac:dyDescent="0.2">
      <c r="D691" s="58" t="str">
        <f>IFERROR(IF(F691&lt;&gt;"pending","",IF(OR($B691="",$B691="(blank)"),"",VLOOKUP($B691,'Email Marketing Raw Data'!$C:$O,10,0))),"")</f>
        <v/>
      </c>
      <c r="E691" s="59" t="str">
        <f>IFERROR(IF(F691&lt;&gt;"pending","",IF(OR($B691="",$B691="(blank)"),"",VLOOKUP($B691,'Email Marketing Raw Data'!$C:$O,11,0))),"")</f>
        <v/>
      </c>
      <c r="F691" s="54" t="str">
        <f>IFERROR(IF(OR($B691="",$B691="(blank)"),"",VLOOKUP($B691,'Email Marketing Raw Data'!$C:$O,13,0)),"")</f>
        <v/>
      </c>
      <c r="G691" s="55" t="str">
        <f>IFERROR(IF(OR($B691="",$B691="(blank)"),"",VLOOKUP($B691,'Email Marketing Raw Data'!$C:$O,4,0)),"")</f>
        <v/>
      </c>
      <c r="H691" s="55" t="str">
        <f>IFERROR(IF(OR($B691="",$B691="(blank)"),"",VLOOKUP($B691,'Email Marketing Raw Data'!$C:$O,5,0)),"")</f>
        <v/>
      </c>
      <c r="I691" s="55" t="str">
        <f>IFERROR(IF($G691="","",VLOOKUP('Dashboard And Emails Automate'!$G691,Database!$H:$N,3,0)),"")</f>
        <v/>
      </c>
      <c r="J691" s="55" t="str">
        <f>IFERROR(IF($G691="","",VLOOKUP('Dashboard And Emails Automate'!$G691,Database!$H:$N,4,0)),"")</f>
        <v/>
      </c>
      <c r="K691" s="55" t="str">
        <f>IFERROR(IF($G691="","",VLOOKUP('Dashboard And Emails Automate'!$G691,Database!$H:$N,5,0)),"")</f>
        <v/>
      </c>
      <c r="L691" s="55" t="str">
        <f>IFERROR(IF($G691="","",VLOOKUP('Dashboard And Emails Automate'!$G691,Database!$H:$N,6,0)),"")</f>
        <v/>
      </c>
      <c r="M691" s="55" t="str">
        <f>IFERROR(IF($G691="","",VLOOKUP('Dashboard And Emails Automate'!$G691,Database!$H:$N,7,0)),"")</f>
        <v/>
      </c>
      <c r="N691" s="55" t="str">
        <f>IFERROR(IF(OR($B691="",$B691="(blank)"),"",VLOOKUP($B691,'Email Marketing Raw Data'!$C:$O,6,0)),"")</f>
        <v/>
      </c>
      <c r="O691" s="55" t="str">
        <f>IFERROR(IF(OR($B691="",$B691="(blank)"),"",VLOOKUP($B691,'Email Marketing Raw Data'!$C:$O,7,0)),"")</f>
        <v/>
      </c>
      <c r="P691" s="55" t="str">
        <f>IFERROR(IF(OR($B691="",$B691="(blank)"),"",VLOOKUP($B691,'Email Marketing Raw Data'!$C:$O,8,0)),"")</f>
        <v/>
      </c>
      <c r="Q691" s="62" t="str">
        <f>IFERROR(IF(OR($B691="",$B691="(blank)"),"",VLOOKUP($B691,'Email Marketing Raw Data'!$C:$O,9,0)),"")</f>
        <v/>
      </c>
    </row>
    <row r="692" spans="4:17" ht="12.75" customHeight="1" x14ac:dyDescent="0.2">
      <c r="D692" s="58" t="str">
        <f>IFERROR(IF(F692&lt;&gt;"pending","",IF(OR($B692="",$B692="(blank)"),"",VLOOKUP($B692,'Email Marketing Raw Data'!$C:$O,10,0))),"")</f>
        <v/>
      </c>
      <c r="E692" s="59" t="str">
        <f>IFERROR(IF(F692&lt;&gt;"pending","",IF(OR($B692="",$B692="(blank)"),"",VLOOKUP($B692,'Email Marketing Raw Data'!$C:$O,11,0))),"")</f>
        <v/>
      </c>
      <c r="F692" s="54" t="str">
        <f>IFERROR(IF(OR($B692="",$B692="(blank)"),"",VLOOKUP($B692,'Email Marketing Raw Data'!$C:$O,13,0)),"")</f>
        <v/>
      </c>
      <c r="G692" s="55" t="str">
        <f>IFERROR(IF(OR($B692="",$B692="(blank)"),"",VLOOKUP($B692,'Email Marketing Raw Data'!$C:$O,4,0)),"")</f>
        <v/>
      </c>
      <c r="H692" s="55" t="str">
        <f>IFERROR(IF(OR($B692="",$B692="(blank)"),"",VLOOKUP($B692,'Email Marketing Raw Data'!$C:$O,5,0)),"")</f>
        <v/>
      </c>
      <c r="I692" s="55" t="str">
        <f>IFERROR(IF($G692="","",VLOOKUP('Dashboard And Emails Automate'!$G692,Database!$H:$N,3,0)),"")</f>
        <v/>
      </c>
      <c r="J692" s="55" t="str">
        <f>IFERROR(IF($G692="","",VLOOKUP('Dashboard And Emails Automate'!$G692,Database!$H:$N,4,0)),"")</f>
        <v/>
      </c>
      <c r="K692" s="55" t="str">
        <f>IFERROR(IF($G692="","",VLOOKUP('Dashboard And Emails Automate'!$G692,Database!$H:$N,5,0)),"")</f>
        <v/>
      </c>
      <c r="L692" s="55" t="str">
        <f>IFERROR(IF($G692="","",VLOOKUP('Dashboard And Emails Automate'!$G692,Database!$H:$N,6,0)),"")</f>
        <v/>
      </c>
      <c r="M692" s="55" t="str">
        <f>IFERROR(IF($G692="","",VLOOKUP('Dashboard And Emails Automate'!$G692,Database!$H:$N,7,0)),"")</f>
        <v/>
      </c>
      <c r="N692" s="55" t="str">
        <f>IFERROR(IF(OR($B692="",$B692="(blank)"),"",VLOOKUP($B692,'Email Marketing Raw Data'!$C:$O,6,0)),"")</f>
        <v/>
      </c>
      <c r="O692" s="55" t="str">
        <f>IFERROR(IF(OR($B692="",$B692="(blank)"),"",VLOOKUP($B692,'Email Marketing Raw Data'!$C:$O,7,0)),"")</f>
        <v/>
      </c>
      <c r="P692" s="55" t="str">
        <f>IFERROR(IF(OR($B692="",$B692="(blank)"),"",VLOOKUP($B692,'Email Marketing Raw Data'!$C:$O,8,0)),"")</f>
        <v/>
      </c>
      <c r="Q692" s="62" t="str">
        <f>IFERROR(IF(OR($B692="",$B692="(blank)"),"",VLOOKUP($B692,'Email Marketing Raw Data'!$C:$O,9,0)),"")</f>
        <v/>
      </c>
    </row>
    <row r="693" spans="4:17" ht="12.75" customHeight="1" x14ac:dyDescent="0.2">
      <c r="D693" s="58" t="str">
        <f>IFERROR(IF(F693&lt;&gt;"pending","",IF(OR($B693="",$B693="(blank)"),"",VLOOKUP($B693,'Email Marketing Raw Data'!$C:$O,10,0))),"")</f>
        <v/>
      </c>
      <c r="E693" s="59" t="str">
        <f>IFERROR(IF(F693&lt;&gt;"pending","",IF(OR($B693="",$B693="(blank)"),"",VLOOKUP($B693,'Email Marketing Raw Data'!$C:$O,11,0))),"")</f>
        <v/>
      </c>
      <c r="F693" s="54" t="str">
        <f>IFERROR(IF(OR($B693="",$B693="(blank)"),"",VLOOKUP($B693,'Email Marketing Raw Data'!$C:$O,13,0)),"")</f>
        <v/>
      </c>
      <c r="G693" s="55" t="str">
        <f>IFERROR(IF(OR($B693="",$B693="(blank)"),"",VLOOKUP($B693,'Email Marketing Raw Data'!$C:$O,4,0)),"")</f>
        <v/>
      </c>
      <c r="H693" s="55" t="str">
        <f>IFERROR(IF(OR($B693="",$B693="(blank)"),"",VLOOKUP($B693,'Email Marketing Raw Data'!$C:$O,5,0)),"")</f>
        <v/>
      </c>
      <c r="I693" s="55" t="str">
        <f>IFERROR(IF($G693="","",VLOOKUP('Dashboard And Emails Automate'!$G693,Database!$H:$N,3,0)),"")</f>
        <v/>
      </c>
      <c r="J693" s="55" t="str">
        <f>IFERROR(IF($G693="","",VLOOKUP('Dashboard And Emails Automate'!$G693,Database!$H:$N,4,0)),"")</f>
        <v/>
      </c>
      <c r="K693" s="55" t="str">
        <f>IFERROR(IF($G693="","",VLOOKUP('Dashboard And Emails Automate'!$G693,Database!$H:$N,5,0)),"")</f>
        <v/>
      </c>
      <c r="L693" s="55" t="str">
        <f>IFERROR(IF($G693="","",VLOOKUP('Dashboard And Emails Automate'!$G693,Database!$H:$N,6,0)),"")</f>
        <v/>
      </c>
      <c r="M693" s="55" t="str">
        <f>IFERROR(IF($G693="","",VLOOKUP('Dashboard And Emails Automate'!$G693,Database!$H:$N,7,0)),"")</f>
        <v/>
      </c>
      <c r="N693" s="55" t="str">
        <f>IFERROR(IF(OR($B693="",$B693="(blank)"),"",VLOOKUP($B693,'Email Marketing Raw Data'!$C:$O,6,0)),"")</f>
        <v/>
      </c>
      <c r="O693" s="55" t="str">
        <f>IFERROR(IF(OR($B693="",$B693="(blank)"),"",VLOOKUP($B693,'Email Marketing Raw Data'!$C:$O,7,0)),"")</f>
        <v/>
      </c>
      <c r="P693" s="55" t="str">
        <f>IFERROR(IF(OR($B693="",$B693="(blank)"),"",VLOOKUP($B693,'Email Marketing Raw Data'!$C:$O,8,0)),"")</f>
        <v/>
      </c>
      <c r="Q693" s="62" t="str">
        <f>IFERROR(IF(OR($B693="",$B693="(blank)"),"",VLOOKUP($B693,'Email Marketing Raw Data'!$C:$O,9,0)),"")</f>
        <v/>
      </c>
    </row>
    <row r="694" spans="4:17" ht="12.75" customHeight="1" x14ac:dyDescent="0.2">
      <c r="D694" s="58" t="str">
        <f>IFERROR(IF(F694&lt;&gt;"pending","",IF(OR($B694="",$B694="(blank)"),"",VLOOKUP($B694,'Email Marketing Raw Data'!$C:$O,10,0))),"")</f>
        <v/>
      </c>
      <c r="E694" s="59" t="str">
        <f>IFERROR(IF(F694&lt;&gt;"pending","",IF(OR($B694="",$B694="(blank)"),"",VLOOKUP($B694,'Email Marketing Raw Data'!$C:$O,11,0))),"")</f>
        <v/>
      </c>
      <c r="F694" s="54" t="str">
        <f>IFERROR(IF(OR($B694="",$B694="(blank)"),"",VLOOKUP($B694,'Email Marketing Raw Data'!$C:$O,13,0)),"")</f>
        <v/>
      </c>
      <c r="G694" s="55" t="str">
        <f>IFERROR(IF(OR($B694="",$B694="(blank)"),"",VLOOKUP($B694,'Email Marketing Raw Data'!$C:$O,4,0)),"")</f>
        <v/>
      </c>
      <c r="H694" s="55" t="str">
        <f>IFERROR(IF(OR($B694="",$B694="(blank)"),"",VLOOKUP($B694,'Email Marketing Raw Data'!$C:$O,5,0)),"")</f>
        <v/>
      </c>
      <c r="I694" s="55" t="str">
        <f>IFERROR(IF($G694="","",VLOOKUP('Dashboard And Emails Automate'!$G694,Database!$H:$N,3,0)),"")</f>
        <v/>
      </c>
      <c r="J694" s="55" t="str">
        <f>IFERROR(IF($G694="","",VLOOKUP('Dashboard And Emails Automate'!$G694,Database!$H:$N,4,0)),"")</f>
        <v/>
      </c>
      <c r="K694" s="55" t="str">
        <f>IFERROR(IF($G694="","",VLOOKUP('Dashboard And Emails Automate'!$G694,Database!$H:$N,5,0)),"")</f>
        <v/>
      </c>
      <c r="L694" s="55" t="str">
        <f>IFERROR(IF($G694="","",VLOOKUP('Dashboard And Emails Automate'!$G694,Database!$H:$N,6,0)),"")</f>
        <v/>
      </c>
      <c r="M694" s="55" t="str">
        <f>IFERROR(IF($G694="","",VLOOKUP('Dashboard And Emails Automate'!$G694,Database!$H:$N,7,0)),"")</f>
        <v/>
      </c>
      <c r="N694" s="55" t="str">
        <f>IFERROR(IF(OR($B694="",$B694="(blank)"),"",VLOOKUP($B694,'Email Marketing Raw Data'!$C:$O,6,0)),"")</f>
        <v/>
      </c>
      <c r="O694" s="55" t="str">
        <f>IFERROR(IF(OR($B694="",$B694="(blank)"),"",VLOOKUP($B694,'Email Marketing Raw Data'!$C:$O,7,0)),"")</f>
        <v/>
      </c>
      <c r="P694" s="55" t="str">
        <f>IFERROR(IF(OR($B694="",$B694="(blank)"),"",VLOOKUP($B694,'Email Marketing Raw Data'!$C:$O,8,0)),"")</f>
        <v/>
      </c>
      <c r="Q694" s="62" t="str">
        <f>IFERROR(IF(OR($B694="",$B694="(blank)"),"",VLOOKUP($B694,'Email Marketing Raw Data'!$C:$O,9,0)),"")</f>
        <v/>
      </c>
    </row>
    <row r="695" spans="4:17" ht="12.75" customHeight="1" x14ac:dyDescent="0.2">
      <c r="D695" s="58" t="str">
        <f>IFERROR(IF(F695&lt;&gt;"pending","",IF(OR($B695="",$B695="(blank)"),"",VLOOKUP($B695,'Email Marketing Raw Data'!$C:$O,10,0))),"")</f>
        <v/>
      </c>
      <c r="E695" s="59" t="str">
        <f>IFERROR(IF(F695&lt;&gt;"pending","",IF(OR($B695="",$B695="(blank)"),"",VLOOKUP($B695,'Email Marketing Raw Data'!$C:$O,11,0))),"")</f>
        <v/>
      </c>
      <c r="F695" s="54" t="str">
        <f>IFERROR(IF(OR($B695="",$B695="(blank)"),"",VLOOKUP($B695,'Email Marketing Raw Data'!$C:$O,13,0)),"")</f>
        <v/>
      </c>
      <c r="G695" s="55" t="str">
        <f>IFERROR(IF(OR($B695="",$B695="(blank)"),"",VLOOKUP($B695,'Email Marketing Raw Data'!$C:$O,4,0)),"")</f>
        <v/>
      </c>
      <c r="H695" s="55" t="str">
        <f>IFERROR(IF(OR($B695="",$B695="(blank)"),"",VLOOKUP($B695,'Email Marketing Raw Data'!$C:$O,5,0)),"")</f>
        <v/>
      </c>
      <c r="I695" s="55" t="str">
        <f>IFERROR(IF($G695="","",VLOOKUP('Dashboard And Emails Automate'!$G695,Database!$H:$N,3,0)),"")</f>
        <v/>
      </c>
      <c r="J695" s="55" t="str">
        <f>IFERROR(IF($G695="","",VLOOKUP('Dashboard And Emails Automate'!$G695,Database!$H:$N,4,0)),"")</f>
        <v/>
      </c>
      <c r="K695" s="55" t="str">
        <f>IFERROR(IF($G695="","",VLOOKUP('Dashboard And Emails Automate'!$G695,Database!$H:$N,5,0)),"")</f>
        <v/>
      </c>
      <c r="L695" s="55" t="str">
        <f>IFERROR(IF($G695="","",VLOOKUP('Dashboard And Emails Automate'!$G695,Database!$H:$N,6,0)),"")</f>
        <v/>
      </c>
      <c r="M695" s="55" t="str">
        <f>IFERROR(IF($G695="","",VLOOKUP('Dashboard And Emails Automate'!$G695,Database!$H:$N,7,0)),"")</f>
        <v/>
      </c>
      <c r="N695" s="55" t="str">
        <f>IFERROR(IF(OR($B695="",$B695="(blank)"),"",VLOOKUP($B695,'Email Marketing Raw Data'!$C:$O,6,0)),"")</f>
        <v/>
      </c>
      <c r="O695" s="55" t="str">
        <f>IFERROR(IF(OR($B695="",$B695="(blank)"),"",VLOOKUP($B695,'Email Marketing Raw Data'!$C:$O,7,0)),"")</f>
        <v/>
      </c>
      <c r="P695" s="55" t="str">
        <f>IFERROR(IF(OR($B695="",$B695="(blank)"),"",VLOOKUP($B695,'Email Marketing Raw Data'!$C:$O,8,0)),"")</f>
        <v/>
      </c>
      <c r="Q695" s="62" t="str">
        <f>IFERROR(IF(OR($B695="",$B695="(blank)"),"",VLOOKUP($B695,'Email Marketing Raw Data'!$C:$O,9,0)),"")</f>
        <v/>
      </c>
    </row>
    <row r="696" spans="4:17" ht="12.75" customHeight="1" x14ac:dyDescent="0.2">
      <c r="D696" s="58" t="str">
        <f>IFERROR(IF(F696&lt;&gt;"pending","",IF(OR($B696="",$B696="(blank)"),"",VLOOKUP($B696,'Email Marketing Raw Data'!$C:$O,10,0))),"")</f>
        <v/>
      </c>
      <c r="E696" s="59" t="str">
        <f>IFERROR(IF(F696&lt;&gt;"pending","",IF(OR($B696="",$B696="(blank)"),"",VLOOKUP($B696,'Email Marketing Raw Data'!$C:$O,11,0))),"")</f>
        <v/>
      </c>
      <c r="F696" s="54" t="str">
        <f>IFERROR(IF(OR($B696="",$B696="(blank)"),"",VLOOKUP($B696,'Email Marketing Raw Data'!$C:$O,13,0)),"")</f>
        <v/>
      </c>
      <c r="G696" s="55" t="str">
        <f>IFERROR(IF(OR($B696="",$B696="(blank)"),"",VLOOKUP($B696,'Email Marketing Raw Data'!$C:$O,4,0)),"")</f>
        <v/>
      </c>
      <c r="H696" s="55" t="str">
        <f>IFERROR(IF(OR($B696="",$B696="(blank)"),"",VLOOKUP($B696,'Email Marketing Raw Data'!$C:$O,5,0)),"")</f>
        <v/>
      </c>
      <c r="I696" s="55" t="str">
        <f>IFERROR(IF($G696="","",VLOOKUP('Dashboard And Emails Automate'!$G696,Database!$H:$N,3,0)),"")</f>
        <v/>
      </c>
      <c r="J696" s="55" t="str">
        <f>IFERROR(IF($G696="","",VLOOKUP('Dashboard And Emails Automate'!$G696,Database!$H:$N,4,0)),"")</f>
        <v/>
      </c>
      <c r="K696" s="55" t="str">
        <f>IFERROR(IF($G696="","",VLOOKUP('Dashboard And Emails Automate'!$G696,Database!$H:$N,5,0)),"")</f>
        <v/>
      </c>
      <c r="L696" s="55" t="str">
        <f>IFERROR(IF($G696="","",VLOOKUP('Dashboard And Emails Automate'!$G696,Database!$H:$N,6,0)),"")</f>
        <v/>
      </c>
      <c r="M696" s="55" t="str">
        <f>IFERROR(IF($G696="","",VLOOKUP('Dashboard And Emails Automate'!$G696,Database!$H:$N,7,0)),"")</f>
        <v/>
      </c>
      <c r="N696" s="55" t="str">
        <f>IFERROR(IF(OR($B696="",$B696="(blank)"),"",VLOOKUP($B696,'Email Marketing Raw Data'!$C:$O,6,0)),"")</f>
        <v/>
      </c>
      <c r="O696" s="55" t="str">
        <f>IFERROR(IF(OR($B696="",$B696="(blank)"),"",VLOOKUP($B696,'Email Marketing Raw Data'!$C:$O,7,0)),"")</f>
        <v/>
      </c>
      <c r="P696" s="55" t="str">
        <f>IFERROR(IF(OR($B696="",$B696="(blank)"),"",VLOOKUP($B696,'Email Marketing Raw Data'!$C:$O,8,0)),"")</f>
        <v/>
      </c>
      <c r="Q696" s="62" t="str">
        <f>IFERROR(IF(OR($B696="",$B696="(blank)"),"",VLOOKUP($B696,'Email Marketing Raw Data'!$C:$O,9,0)),"")</f>
        <v/>
      </c>
    </row>
    <row r="697" spans="4:17" ht="12.75" customHeight="1" x14ac:dyDescent="0.2">
      <c r="D697" s="58" t="str">
        <f>IFERROR(IF(F697&lt;&gt;"pending","",IF(OR($B697="",$B697="(blank)"),"",VLOOKUP($B697,'Email Marketing Raw Data'!$C:$O,10,0))),"")</f>
        <v/>
      </c>
      <c r="E697" s="59" t="str">
        <f>IFERROR(IF(F697&lt;&gt;"pending","",IF(OR($B697="",$B697="(blank)"),"",VLOOKUP($B697,'Email Marketing Raw Data'!$C:$O,11,0))),"")</f>
        <v/>
      </c>
      <c r="F697" s="54" t="str">
        <f>IFERROR(IF(OR($B697="",$B697="(blank)"),"",VLOOKUP($B697,'Email Marketing Raw Data'!$C:$O,13,0)),"")</f>
        <v/>
      </c>
      <c r="G697" s="55" t="str">
        <f>IFERROR(IF(OR($B697="",$B697="(blank)"),"",VLOOKUP($B697,'Email Marketing Raw Data'!$C:$O,4,0)),"")</f>
        <v/>
      </c>
      <c r="H697" s="55" t="str">
        <f>IFERROR(IF(OR($B697="",$B697="(blank)"),"",VLOOKUP($B697,'Email Marketing Raw Data'!$C:$O,5,0)),"")</f>
        <v/>
      </c>
      <c r="I697" s="55" t="str">
        <f>IFERROR(IF($G697="","",VLOOKUP('Dashboard And Emails Automate'!$G697,Database!$H:$N,3,0)),"")</f>
        <v/>
      </c>
      <c r="J697" s="55" t="str">
        <f>IFERROR(IF($G697="","",VLOOKUP('Dashboard And Emails Automate'!$G697,Database!$H:$N,4,0)),"")</f>
        <v/>
      </c>
      <c r="K697" s="55" t="str">
        <f>IFERROR(IF($G697="","",VLOOKUP('Dashboard And Emails Automate'!$G697,Database!$H:$N,5,0)),"")</f>
        <v/>
      </c>
      <c r="L697" s="55" t="str">
        <f>IFERROR(IF($G697="","",VLOOKUP('Dashboard And Emails Automate'!$G697,Database!$H:$N,6,0)),"")</f>
        <v/>
      </c>
      <c r="M697" s="55" t="str">
        <f>IFERROR(IF($G697="","",VLOOKUP('Dashboard And Emails Automate'!$G697,Database!$H:$N,7,0)),"")</f>
        <v/>
      </c>
      <c r="N697" s="55" t="str">
        <f>IFERROR(IF(OR($B697="",$B697="(blank)"),"",VLOOKUP($B697,'Email Marketing Raw Data'!$C:$O,6,0)),"")</f>
        <v/>
      </c>
      <c r="O697" s="55" t="str">
        <f>IFERROR(IF(OR($B697="",$B697="(blank)"),"",VLOOKUP($B697,'Email Marketing Raw Data'!$C:$O,7,0)),"")</f>
        <v/>
      </c>
      <c r="P697" s="55" t="str">
        <f>IFERROR(IF(OR($B697="",$B697="(blank)"),"",VLOOKUP($B697,'Email Marketing Raw Data'!$C:$O,8,0)),"")</f>
        <v/>
      </c>
      <c r="Q697" s="62" t="str">
        <f>IFERROR(IF(OR($B697="",$B697="(blank)"),"",VLOOKUP($B697,'Email Marketing Raw Data'!$C:$O,9,0)),"")</f>
        <v/>
      </c>
    </row>
    <row r="698" spans="4:17" ht="12.75" customHeight="1" x14ac:dyDescent="0.2">
      <c r="D698" s="58" t="str">
        <f>IFERROR(IF(F698&lt;&gt;"pending","",IF(OR($B698="",$B698="(blank)"),"",VLOOKUP($B698,'Email Marketing Raw Data'!$C:$O,10,0))),"")</f>
        <v/>
      </c>
      <c r="E698" s="59" t="str">
        <f>IFERROR(IF(F698&lt;&gt;"pending","",IF(OR($B698="",$B698="(blank)"),"",VLOOKUP($B698,'Email Marketing Raw Data'!$C:$O,11,0))),"")</f>
        <v/>
      </c>
      <c r="F698" s="54" t="str">
        <f>IFERROR(IF(OR($B698="",$B698="(blank)"),"",VLOOKUP($B698,'Email Marketing Raw Data'!$C:$O,13,0)),"")</f>
        <v/>
      </c>
      <c r="G698" s="55" t="str">
        <f>IFERROR(IF(OR($B698="",$B698="(blank)"),"",VLOOKUP($B698,'Email Marketing Raw Data'!$C:$O,4,0)),"")</f>
        <v/>
      </c>
      <c r="H698" s="55" t="str">
        <f>IFERROR(IF(OR($B698="",$B698="(blank)"),"",VLOOKUP($B698,'Email Marketing Raw Data'!$C:$O,5,0)),"")</f>
        <v/>
      </c>
      <c r="I698" s="55" t="str">
        <f>IFERROR(IF($G698="","",VLOOKUP('Dashboard And Emails Automate'!$G698,Database!$H:$N,3,0)),"")</f>
        <v/>
      </c>
      <c r="J698" s="55" t="str">
        <f>IFERROR(IF($G698="","",VLOOKUP('Dashboard And Emails Automate'!$G698,Database!$H:$N,4,0)),"")</f>
        <v/>
      </c>
      <c r="K698" s="55" t="str">
        <f>IFERROR(IF($G698="","",VLOOKUP('Dashboard And Emails Automate'!$G698,Database!$H:$N,5,0)),"")</f>
        <v/>
      </c>
      <c r="L698" s="55" t="str">
        <f>IFERROR(IF($G698="","",VLOOKUP('Dashboard And Emails Automate'!$G698,Database!$H:$N,6,0)),"")</f>
        <v/>
      </c>
      <c r="M698" s="55" t="str">
        <f>IFERROR(IF($G698="","",VLOOKUP('Dashboard And Emails Automate'!$G698,Database!$H:$N,7,0)),"")</f>
        <v/>
      </c>
      <c r="N698" s="55" t="str">
        <f>IFERROR(IF(OR($B698="",$B698="(blank)"),"",VLOOKUP($B698,'Email Marketing Raw Data'!$C:$O,6,0)),"")</f>
        <v/>
      </c>
      <c r="O698" s="55" t="str">
        <f>IFERROR(IF(OR($B698="",$B698="(blank)"),"",VLOOKUP($B698,'Email Marketing Raw Data'!$C:$O,7,0)),"")</f>
        <v/>
      </c>
      <c r="P698" s="55" t="str">
        <f>IFERROR(IF(OR($B698="",$B698="(blank)"),"",VLOOKUP($B698,'Email Marketing Raw Data'!$C:$O,8,0)),"")</f>
        <v/>
      </c>
      <c r="Q698" s="62" t="str">
        <f>IFERROR(IF(OR($B698="",$B698="(blank)"),"",VLOOKUP($B698,'Email Marketing Raw Data'!$C:$O,9,0)),"")</f>
        <v/>
      </c>
    </row>
    <row r="699" spans="4:17" ht="12.75" customHeight="1" x14ac:dyDescent="0.2">
      <c r="D699" s="58" t="str">
        <f>IFERROR(IF(F699&lt;&gt;"pending","",IF(OR($B699="",$B699="(blank)"),"",VLOOKUP($B699,'Email Marketing Raw Data'!$C:$O,10,0))),"")</f>
        <v/>
      </c>
      <c r="E699" s="59" t="str">
        <f>IFERROR(IF(F699&lt;&gt;"pending","",IF(OR($B699="",$B699="(blank)"),"",VLOOKUP($B699,'Email Marketing Raw Data'!$C:$O,11,0))),"")</f>
        <v/>
      </c>
      <c r="F699" s="54" t="str">
        <f>IFERROR(IF(OR($B699="",$B699="(blank)"),"",VLOOKUP($B699,'Email Marketing Raw Data'!$C:$O,13,0)),"")</f>
        <v/>
      </c>
      <c r="G699" s="55" t="str">
        <f>IFERROR(IF(OR($B699="",$B699="(blank)"),"",VLOOKUP($B699,'Email Marketing Raw Data'!$C:$O,4,0)),"")</f>
        <v/>
      </c>
      <c r="H699" s="55" t="str">
        <f>IFERROR(IF(OR($B699="",$B699="(blank)"),"",VLOOKUP($B699,'Email Marketing Raw Data'!$C:$O,5,0)),"")</f>
        <v/>
      </c>
      <c r="I699" s="55" t="str">
        <f>IFERROR(IF($G699="","",VLOOKUP('Dashboard And Emails Automate'!$G699,Database!$H:$N,3,0)),"")</f>
        <v/>
      </c>
      <c r="J699" s="55" t="str">
        <f>IFERROR(IF($G699="","",VLOOKUP('Dashboard And Emails Automate'!$G699,Database!$H:$N,4,0)),"")</f>
        <v/>
      </c>
      <c r="K699" s="55" t="str">
        <f>IFERROR(IF($G699="","",VLOOKUP('Dashboard And Emails Automate'!$G699,Database!$H:$N,5,0)),"")</f>
        <v/>
      </c>
      <c r="L699" s="55" t="str">
        <f>IFERROR(IF($G699="","",VLOOKUP('Dashboard And Emails Automate'!$G699,Database!$H:$N,6,0)),"")</f>
        <v/>
      </c>
      <c r="M699" s="55" t="str">
        <f>IFERROR(IF($G699="","",VLOOKUP('Dashboard And Emails Automate'!$G699,Database!$H:$N,7,0)),"")</f>
        <v/>
      </c>
      <c r="N699" s="55" t="str">
        <f>IFERROR(IF(OR($B699="",$B699="(blank)"),"",VLOOKUP($B699,'Email Marketing Raw Data'!$C:$O,6,0)),"")</f>
        <v/>
      </c>
      <c r="O699" s="55" t="str">
        <f>IFERROR(IF(OR($B699="",$B699="(blank)"),"",VLOOKUP($B699,'Email Marketing Raw Data'!$C:$O,7,0)),"")</f>
        <v/>
      </c>
      <c r="P699" s="55" t="str">
        <f>IFERROR(IF(OR($B699="",$B699="(blank)"),"",VLOOKUP($B699,'Email Marketing Raw Data'!$C:$O,8,0)),"")</f>
        <v/>
      </c>
      <c r="Q699" s="62" t="str">
        <f>IFERROR(IF(OR($B699="",$B699="(blank)"),"",VLOOKUP($B699,'Email Marketing Raw Data'!$C:$O,9,0)),"")</f>
        <v/>
      </c>
    </row>
    <row r="700" spans="4:17" ht="12.75" customHeight="1" x14ac:dyDescent="0.2">
      <c r="D700" s="58" t="str">
        <f>IFERROR(IF(F700&lt;&gt;"pending","",IF(OR($B700="",$B700="(blank)"),"",VLOOKUP($B700,'Email Marketing Raw Data'!$C:$O,10,0))),"")</f>
        <v/>
      </c>
      <c r="E700" s="59" t="str">
        <f>IFERROR(IF(F700&lt;&gt;"pending","",IF(OR($B700="",$B700="(blank)"),"",VLOOKUP($B700,'Email Marketing Raw Data'!$C:$O,11,0))),"")</f>
        <v/>
      </c>
      <c r="F700" s="54" t="str">
        <f>IFERROR(IF(OR($B700="",$B700="(blank)"),"",VLOOKUP($B700,'Email Marketing Raw Data'!$C:$O,13,0)),"")</f>
        <v/>
      </c>
      <c r="G700" s="55" t="str">
        <f>IFERROR(IF(OR($B700="",$B700="(blank)"),"",VLOOKUP($B700,'Email Marketing Raw Data'!$C:$O,4,0)),"")</f>
        <v/>
      </c>
      <c r="H700" s="55" t="str">
        <f>IFERROR(IF(OR($B700="",$B700="(blank)"),"",VLOOKUP($B700,'Email Marketing Raw Data'!$C:$O,5,0)),"")</f>
        <v/>
      </c>
      <c r="I700" s="55" t="str">
        <f>IFERROR(IF($G700="","",VLOOKUP('Dashboard And Emails Automate'!$G700,Database!$H:$N,3,0)),"")</f>
        <v/>
      </c>
      <c r="J700" s="55" t="str">
        <f>IFERROR(IF($G700="","",VLOOKUP('Dashboard And Emails Automate'!$G700,Database!$H:$N,4,0)),"")</f>
        <v/>
      </c>
      <c r="K700" s="55" t="str">
        <f>IFERROR(IF($G700="","",VLOOKUP('Dashboard And Emails Automate'!$G700,Database!$H:$N,5,0)),"")</f>
        <v/>
      </c>
      <c r="L700" s="55" t="str">
        <f>IFERROR(IF($G700="","",VLOOKUP('Dashboard And Emails Automate'!$G700,Database!$H:$N,6,0)),"")</f>
        <v/>
      </c>
      <c r="M700" s="55" t="str">
        <f>IFERROR(IF($G700="","",VLOOKUP('Dashboard And Emails Automate'!$G700,Database!$H:$N,7,0)),"")</f>
        <v/>
      </c>
      <c r="N700" s="55" t="str">
        <f>IFERROR(IF(OR($B700="",$B700="(blank)"),"",VLOOKUP($B700,'Email Marketing Raw Data'!$C:$O,6,0)),"")</f>
        <v/>
      </c>
      <c r="O700" s="55" t="str">
        <f>IFERROR(IF(OR($B700="",$B700="(blank)"),"",VLOOKUP($B700,'Email Marketing Raw Data'!$C:$O,7,0)),"")</f>
        <v/>
      </c>
      <c r="P700" s="55" t="str">
        <f>IFERROR(IF(OR($B700="",$B700="(blank)"),"",VLOOKUP($B700,'Email Marketing Raw Data'!$C:$O,8,0)),"")</f>
        <v/>
      </c>
      <c r="Q700" s="62" t="str">
        <f>IFERROR(IF(OR($B700="",$B700="(blank)"),"",VLOOKUP($B700,'Email Marketing Raw Data'!$C:$O,9,0)),"")</f>
        <v/>
      </c>
    </row>
    <row r="701" spans="4:17" ht="12.75" customHeight="1" x14ac:dyDescent="0.2">
      <c r="D701" s="58" t="str">
        <f>IFERROR(IF(F701&lt;&gt;"pending","",IF(OR($B701="",$B701="(blank)"),"",VLOOKUP($B701,'Email Marketing Raw Data'!$C:$O,10,0))),"")</f>
        <v/>
      </c>
      <c r="E701" s="59" t="str">
        <f>IFERROR(IF(F701&lt;&gt;"pending","",IF(OR($B701="",$B701="(blank)"),"",VLOOKUP($B701,'Email Marketing Raw Data'!$C:$O,11,0))),"")</f>
        <v/>
      </c>
      <c r="F701" s="54" t="str">
        <f>IFERROR(IF(OR($B701="",$B701="(blank)"),"",VLOOKUP($B701,'Email Marketing Raw Data'!$C:$O,13,0)),"")</f>
        <v/>
      </c>
      <c r="G701" s="55" t="str">
        <f>IFERROR(IF(OR($B701="",$B701="(blank)"),"",VLOOKUP($B701,'Email Marketing Raw Data'!$C:$O,4,0)),"")</f>
        <v/>
      </c>
      <c r="H701" s="55" t="str">
        <f>IFERROR(IF(OR($B701="",$B701="(blank)"),"",VLOOKUP($B701,'Email Marketing Raw Data'!$C:$O,5,0)),"")</f>
        <v/>
      </c>
      <c r="I701" s="55" t="str">
        <f>IFERROR(IF($G701="","",VLOOKUP('Dashboard And Emails Automate'!$G701,Database!$H:$N,3,0)),"")</f>
        <v/>
      </c>
      <c r="J701" s="55" t="str">
        <f>IFERROR(IF($G701="","",VLOOKUP('Dashboard And Emails Automate'!$G701,Database!$H:$N,4,0)),"")</f>
        <v/>
      </c>
      <c r="K701" s="55" t="str">
        <f>IFERROR(IF($G701="","",VLOOKUP('Dashboard And Emails Automate'!$G701,Database!$H:$N,5,0)),"")</f>
        <v/>
      </c>
      <c r="L701" s="55" t="str">
        <f>IFERROR(IF($G701="","",VLOOKUP('Dashboard And Emails Automate'!$G701,Database!$H:$N,6,0)),"")</f>
        <v/>
      </c>
      <c r="M701" s="55" t="str">
        <f>IFERROR(IF($G701="","",VLOOKUP('Dashboard And Emails Automate'!$G701,Database!$H:$N,7,0)),"")</f>
        <v/>
      </c>
      <c r="N701" s="55" t="str">
        <f>IFERROR(IF(OR($B701="",$B701="(blank)"),"",VLOOKUP($B701,'Email Marketing Raw Data'!$C:$O,6,0)),"")</f>
        <v/>
      </c>
      <c r="O701" s="55" t="str">
        <f>IFERROR(IF(OR($B701="",$B701="(blank)"),"",VLOOKUP($B701,'Email Marketing Raw Data'!$C:$O,7,0)),"")</f>
        <v/>
      </c>
      <c r="P701" s="55" t="str">
        <f>IFERROR(IF(OR($B701="",$B701="(blank)"),"",VLOOKUP($B701,'Email Marketing Raw Data'!$C:$O,8,0)),"")</f>
        <v/>
      </c>
      <c r="Q701" s="62" t="str">
        <f>IFERROR(IF(OR($B701="",$B701="(blank)"),"",VLOOKUP($B701,'Email Marketing Raw Data'!$C:$O,9,0)),"")</f>
        <v/>
      </c>
    </row>
    <row r="702" spans="4:17" ht="12.75" customHeight="1" x14ac:dyDescent="0.2">
      <c r="D702" s="58" t="str">
        <f>IFERROR(IF(F702&lt;&gt;"pending","",IF(OR($B702="",$B702="(blank)"),"",VLOOKUP($B702,'Email Marketing Raw Data'!$C:$O,10,0))),"")</f>
        <v/>
      </c>
      <c r="E702" s="59" t="str">
        <f>IFERROR(IF(F702&lt;&gt;"pending","",IF(OR($B702="",$B702="(blank)"),"",VLOOKUP($B702,'Email Marketing Raw Data'!$C:$O,11,0))),"")</f>
        <v/>
      </c>
      <c r="F702" s="54" t="str">
        <f>IFERROR(IF(OR($B702="",$B702="(blank)"),"",VLOOKUP($B702,'Email Marketing Raw Data'!$C:$O,13,0)),"")</f>
        <v/>
      </c>
      <c r="G702" s="55" t="str">
        <f>IFERROR(IF(OR($B702="",$B702="(blank)"),"",VLOOKUP($B702,'Email Marketing Raw Data'!$C:$O,4,0)),"")</f>
        <v/>
      </c>
      <c r="H702" s="55" t="str">
        <f>IFERROR(IF(OR($B702="",$B702="(blank)"),"",VLOOKUP($B702,'Email Marketing Raw Data'!$C:$O,5,0)),"")</f>
        <v/>
      </c>
      <c r="I702" s="55" t="str">
        <f>IFERROR(IF($G702="","",VLOOKUP('Dashboard And Emails Automate'!$G702,Database!$H:$N,3,0)),"")</f>
        <v/>
      </c>
      <c r="J702" s="55" t="str">
        <f>IFERROR(IF($G702="","",VLOOKUP('Dashboard And Emails Automate'!$G702,Database!$H:$N,4,0)),"")</f>
        <v/>
      </c>
      <c r="K702" s="55" t="str">
        <f>IFERROR(IF($G702="","",VLOOKUP('Dashboard And Emails Automate'!$G702,Database!$H:$N,5,0)),"")</f>
        <v/>
      </c>
      <c r="L702" s="55" t="str">
        <f>IFERROR(IF($G702="","",VLOOKUP('Dashboard And Emails Automate'!$G702,Database!$H:$N,6,0)),"")</f>
        <v/>
      </c>
      <c r="M702" s="55" t="str">
        <f>IFERROR(IF($G702="","",VLOOKUP('Dashboard And Emails Automate'!$G702,Database!$H:$N,7,0)),"")</f>
        <v/>
      </c>
      <c r="N702" s="55" t="str">
        <f>IFERROR(IF(OR($B702="",$B702="(blank)"),"",VLOOKUP($B702,'Email Marketing Raw Data'!$C:$O,6,0)),"")</f>
        <v/>
      </c>
      <c r="O702" s="55" t="str">
        <f>IFERROR(IF(OR($B702="",$B702="(blank)"),"",VLOOKUP($B702,'Email Marketing Raw Data'!$C:$O,7,0)),"")</f>
        <v/>
      </c>
      <c r="P702" s="55" t="str">
        <f>IFERROR(IF(OR($B702="",$B702="(blank)"),"",VLOOKUP($B702,'Email Marketing Raw Data'!$C:$O,8,0)),"")</f>
        <v/>
      </c>
      <c r="Q702" s="62" t="str">
        <f>IFERROR(IF(OR($B702="",$B702="(blank)"),"",VLOOKUP($B702,'Email Marketing Raw Data'!$C:$O,9,0)),"")</f>
        <v/>
      </c>
    </row>
    <row r="703" spans="4:17" ht="12.75" customHeight="1" x14ac:dyDescent="0.2">
      <c r="D703" s="58" t="str">
        <f>IFERROR(IF(F703&lt;&gt;"pending","",IF(OR($B703="",$B703="(blank)"),"",VLOOKUP($B703,'Email Marketing Raw Data'!$C:$O,10,0))),"")</f>
        <v/>
      </c>
      <c r="E703" s="59" t="str">
        <f>IFERROR(IF(F703&lt;&gt;"pending","",IF(OR($B703="",$B703="(blank)"),"",VLOOKUP($B703,'Email Marketing Raw Data'!$C:$O,11,0))),"")</f>
        <v/>
      </c>
      <c r="F703" s="54" t="str">
        <f>IFERROR(IF(OR($B703="",$B703="(blank)"),"",VLOOKUP($B703,'Email Marketing Raw Data'!$C:$O,13,0)),"")</f>
        <v/>
      </c>
      <c r="G703" s="55" t="str">
        <f>IFERROR(IF(OR($B703="",$B703="(blank)"),"",VLOOKUP($B703,'Email Marketing Raw Data'!$C:$O,4,0)),"")</f>
        <v/>
      </c>
      <c r="H703" s="55" t="str">
        <f>IFERROR(IF(OR($B703="",$B703="(blank)"),"",VLOOKUP($B703,'Email Marketing Raw Data'!$C:$O,5,0)),"")</f>
        <v/>
      </c>
      <c r="I703" s="55" t="str">
        <f>IFERROR(IF($G703="","",VLOOKUP('Dashboard And Emails Automate'!$G703,Database!$H:$N,3,0)),"")</f>
        <v/>
      </c>
      <c r="J703" s="55" t="str">
        <f>IFERROR(IF($G703="","",VLOOKUP('Dashboard And Emails Automate'!$G703,Database!$H:$N,4,0)),"")</f>
        <v/>
      </c>
      <c r="K703" s="55" t="str">
        <f>IFERROR(IF($G703="","",VLOOKUP('Dashboard And Emails Automate'!$G703,Database!$H:$N,5,0)),"")</f>
        <v/>
      </c>
      <c r="L703" s="55" t="str">
        <f>IFERROR(IF($G703="","",VLOOKUP('Dashboard And Emails Automate'!$G703,Database!$H:$N,6,0)),"")</f>
        <v/>
      </c>
      <c r="M703" s="55" t="str">
        <f>IFERROR(IF($G703="","",VLOOKUP('Dashboard And Emails Automate'!$G703,Database!$H:$N,7,0)),"")</f>
        <v/>
      </c>
      <c r="N703" s="55" t="str">
        <f>IFERROR(IF(OR($B703="",$B703="(blank)"),"",VLOOKUP($B703,'Email Marketing Raw Data'!$C:$O,6,0)),"")</f>
        <v/>
      </c>
      <c r="O703" s="55" t="str">
        <f>IFERROR(IF(OR($B703="",$B703="(blank)"),"",VLOOKUP($B703,'Email Marketing Raw Data'!$C:$O,7,0)),"")</f>
        <v/>
      </c>
      <c r="P703" s="55" t="str">
        <f>IFERROR(IF(OR($B703="",$B703="(blank)"),"",VLOOKUP($B703,'Email Marketing Raw Data'!$C:$O,8,0)),"")</f>
        <v/>
      </c>
      <c r="Q703" s="62" t="str">
        <f>IFERROR(IF(OR($B703="",$B703="(blank)"),"",VLOOKUP($B703,'Email Marketing Raw Data'!$C:$O,9,0)),"")</f>
        <v/>
      </c>
    </row>
    <row r="704" spans="4:17" ht="12.75" customHeight="1" x14ac:dyDescent="0.2">
      <c r="D704" s="58" t="str">
        <f>IFERROR(IF(F704&lt;&gt;"pending","",IF(OR($B704="",$B704="(blank)"),"",VLOOKUP($B704,'Email Marketing Raw Data'!$C:$O,10,0))),"")</f>
        <v/>
      </c>
      <c r="E704" s="59" t="str">
        <f>IFERROR(IF(F704&lt;&gt;"pending","",IF(OR($B704="",$B704="(blank)"),"",VLOOKUP($B704,'Email Marketing Raw Data'!$C:$O,11,0))),"")</f>
        <v/>
      </c>
      <c r="F704" s="54" t="str">
        <f>IFERROR(IF(OR($B704="",$B704="(blank)"),"",VLOOKUP($B704,'Email Marketing Raw Data'!$C:$O,13,0)),"")</f>
        <v/>
      </c>
      <c r="G704" s="55" t="str">
        <f>IFERROR(IF(OR($B704="",$B704="(blank)"),"",VLOOKUP($B704,'Email Marketing Raw Data'!$C:$O,4,0)),"")</f>
        <v/>
      </c>
      <c r="H704" s="55" t="str">
        <f>IFERROR(IF(OR($B704="",$B704="(blank)"),"",VLOOKUP($B704,'Email Marketing Raw Data'!$C:$O,5,0)),"")</f>
        <v/>
      </c>
      <c r="I704" s="55" t="str">
        <f>IFERROR(IF($G704="","",VLOOKUP('Dashboard And Emails Automate'!$G704,Database!$H:$N,3,0)),"")</f>
        <v/>
      </c>
      <c r="J704" s="55" t="str">
        <f>IFERROR(IF($G704="","",VLOOKUP('Dashboard And Emails Automate'!$G704,Database!$H:$N,4,0)),"")</f>
        <v/>
      </c>
      <c r="K704" s="55" t="str">
        <f>IFERROR(IF($G704="","",VLOOKUP('Dashboard And Emails Automate'!$G704,Database!$H:$N,5,0)),"")</f>
        <v/>
      </c>
      <c r="L704" s="55" t="str">
        <f>IFERROR(IF($G704="","",VLOOKUP('Dashboard And Emails Automate'!$G704,Database!$H:$N,6,0)),"")</f>
        <v/>
      </c>
      <c r="M704" s="55" t="str">
        <f>IFERROR(IF($G704="","",VLOOKUP('Dashboard And Emails Automate'!$G704,Database!$H:$N,7,0)),"")</f>
        <v/>
      </c>
      <c r="N704" s="55" t="str">
        <f>IFERROR(IF(OR($B704="",$B704="(blank)"),"",VLOOKUP($B704,'Email Marketing Raw Data'!$C:$O,6,0)),"")</f>
        <v/>
      </c>
      <c r="O704" s="55" t="str">
        <f>IFERROR(IF(OR($B704="",$B704="(blank)"),"",VLOOKUP($B704,'Email Marketing Raw Data'!$C:$O,7,0)),"")</f>
        <v/>
      </c>
      <c r="P704" s="55" t="str">
        <f>IFERROR(IF(OR($B704="",$B704="(blank)"),"",VLOOKUP($B704,'Email Marketing Raw Data'!$C:$O,8,0)),"")</f>
        <v/>
      </c>
      <c r="Q704" s="62" t="str">
        <f>IFERROR(IF(OR($B704="",$B704="(blank)"),"",VLOOKUP($B704,'Email Marketing Raw Data'!$C:$O,9,0)),"")</f>
        <v/>
      </c>
    </row>
    <row r="705" spans="4:17" ht="12.75" customHeight="1" x14ac:dyDescent="0.2">
      <c r="D705" s="58" t="str">
        <f>IFERROR(IF(F705&lt;&gt;"pending","",IF(OR($B705="",$B705="(blank)"),"",VLOOKUP($B705,'Email Marketing Raw Data'!$C:$O,10,0))),"")</f>
        <v/>
      </c>
      <c r="E705" s="59" t="str">
        <f>IFERROR(IF(F705&lt;&gt;"pending","",IF(OR($B705="",$B705="(blank)"),"",VLOOKUP($B705,'Email Marketing Raw Data'!$C:$O,11,0))),"")</f>
        <v/>
      </c>
      <c r="F705" s="54" t="str">
        <f>IFERROR(IF(OR($B705="",$B705="(blank)"),"",VLOOKUP($B705,'Email Marketing Raw Data'!$C:$O,13,0)),"")</f>
        <v/>
      </c>
      <c r="G705" s="55" t="str">
        <f>IFERROR(IF(OR($B705="",$B705="(blank)"),"",VLOOKUP($B705,'Email Marketing Raw Data'!$C:$O,4,0)),"")</f>
        <v/>
      </c>
      <c r="H705" s="55" t="str">
        <f>IFERROR(IF(OR($B705="",$B705="(blank)"),"",VLOOKUP($B705,'Email Marketing Raw Data'!$C:$O,5,0)),"")</f>
        <v/>
      </c>
      <c r="I705" s="55" t="str">
        <f>IFERROR(IF($G705="","",VLOOKUP('Dashboard And Emails Automate'!$G705,Database!$H:$N,3,0)),"")</f>
        <v/>
      </c>
      <c r="J705" s="55" t="str">
        <f>IFERROR(IF($G705="","",VLOOKUP('Dashboard And Emails Automate'!$G705,Database!$H:$N,4,0)),"")</f>
        <v/>
      </c>
      <c r="K705" s="55" t="str">
        <f>IFERROR(IF($G705="","",VLOOKUP('Dashboard And Emails Automate'!$G705,Database!$H:$N,5,0)),"")</f>
        <v/>
      </c>
      <c r="L705" s="55" t="str">
        <f>IFERROR(IF($G705="","",VLOOKUP('Dashboard And Emails Automate'!$G705,Database!$H:$N,6,0)),"")</f>
        <v/>
      </c>
      <c r="M705" s="55" t="str">
        <f>IFERROR(IF($G705="","",VLOOKUP('Dashboard And Emails Automate'!$G705,Database!$H:$N,7,0)),"")</f>
        <v/>
      </c>
      <c r="N705" s="55" t="str">
        <f>IFERROR(IF(OR($B705="",$B705="(blank)"),"",VLOOKUP($B705,'Email Marketing Raw Data'!$C:$O,6,0)),"")</f>
        <v/>
      </c>
      <c r="O705" s="55" t="str">
        <f>IFERROR(IF(OR($B705="",$B705="(blank)"),"",VLOOKUP($B705,'Email Marketing Raw Data'!$C:$O,7,0)),"")</f>
        <v/>
      </c>
      <c r="P705" s="55" t="str">
        <f>IFERROR(IF(OR($B705="",$B705="(blank)"),"",VLOOKUP($B705,'Email Marketing Raw Data'!$C:$O,8,0)),"")</f>
        <v/>
      </c>
      <c r="Q705" s="62" t="str">
        <f>IFERROR(IF(OR($B705="",$B705="(blank)"),"",VLOOKUP($B705,'Email Marketing Raw Data'!$C:$O,9,0)),"")</f>
        <v/>
      </c>
    </row>
    <row r="706" spans="4:17" ht="12.75" customHeight="1" x14ac:dyDescent="0.2">
      <c r="D706" s="58" t="str">
        <f>IFERROR(IF(F706&lt;&gt;"pending","",IF(OR($B706="",$B706="(blank)"),"",VLOOKUP($B706,'Email Marketing Raw Data'!$C:$O,10,0))),"")</f>
        <v/>
      </c>
      <c r="E706" s="59" t="str">
        <f>IFERROR(IF(F706&lt;&gt;"pending","",IF(OR($B706="",$B706="(blank)"),"",VLOOKUP($B706,'Email Marketing Raw Data'!$C:$O,11,0))),"")</f>
        <v/>
      </c>
      <c r="F706" s="54" t="str">
        <f>IFERROR(IF(OR($B706="",$B706="(blank)"),"",VLOOKUP($B706,'Email Marketing Raw Data'!$C:$O,13,0)),"")</f>
        <v/>
      </c>
      <c r="G706" s="55" t="str">
        <f>IFERROR(IF(OR($B706="",$B706="(blank)"),"",VLOOKUP($B706,'Email Marketing Raw Data'!$C:$O,4,0)),"")</f>
        <v/>
      </c>
      <c r="H706" s="55" t="str">
        <f>IFERROR(IF(OR($B706="",$B706="(blank)"),"",VLOOKUP($B706,'Email Marketing Raw Data'!$C:$O,5,0)),"")</f>
        <v/>
      </c>
      <c r="I706" s="55" t="str">
        <f>IFERROR(IF($G706="","",VLOOKUP('Dashboard And Emails Automate'!$G706,Database!$H:$N,3,0)),"")</f>
        <v/>
      </c>
      <c r="J706" s="55" t="str">
        <f>IFERROR(IF($G706="","",VLOOKUP('Dashboard And Emails Automate'!$G706,Database!$H:$N,4,0)),"")</f>
        <v/>
      </c>
      <c r="K706" s="55" t="str">
        <f>IFERROR(IF($G706="","",VLOOKUP('Dashboard And Emails Automate'!$G706,Database!$H:$N,5,0)),"")</f>
        <v/>
      </c>
      <c r="L706" s="55" t="str">
        <f>IFERROR(IF($G706="","",VLOOKUP('Dashboard And Emails Automate'!$G706,Database!$H:$N,6,0)),"")</f>
        <v/>
      </c>
      <c r="M706" s="55" t="str">
        <f>IFERROR(IF($G706="","",VLOOKUP('Dashboard And Emails Automate'!$G706,Database!$H:$N,7,0)),"")</f>
        <v/>
      </c>
      <c r="N706" s="55" t="str">
        <f>IFERROR(IF(OR($B706="",$B706="(blank)"),"",VLOOKUP($B706,'Email Marketing Raw Data'!$C:$O,6,0)),"")</f>
        <v/>
      </c>
      <c r="O706" s="55" t="str">
        <f>IFERROR(IF(OR($B706="",$B706="(blank)"),"",VLOOKUP($B706,'Email Marketing Raw Data'!$C:$O,7,0)),"")</f>
        <v/>
      </c>
      <c r="P706" s="55" t="str">
        <f>IFERROR(IF(OR($B706="",$B706="(blank)"),"",VLOOKUP($B706,'Email Marketing Raw Data'!$C:$O,8,0)),"")</f>
        <v/>
      </c>
      <c r="Q706" s="62" t="str">
        <f>IFERROR(IF(OR($B706="",$B706="(blank)"),"",VLOOKUP($B706,'Email Marketing Raw Data'!$C:$O,9,0)),"")</f>
        <v/>
      </c>
    </row>
    <row r="707" spans="4:17" ht="12.75" customHeight="1" x14ac:dyDescent="0.2">
      <c r="D707" s="58" t="str">
        <f>IFERROR(IF(F707&lt;&gt;"pending","",IF(OR($B707="",$B707="(blank)"),"",VLOOKUP($B707,'Email Marketing Raw Data'!$C:$O,10,0))),"")</f>
        <v/>
      </c>
      <c r="E707" s="59" t="str">
        <f>IFERROR(IF(F707&lt;&gt;"pending","",IF(OR($B707="",$B707="(blank)"),"",VLOOKUP($B707,'Email Marketing Raw Data'!$C:$O,11,0))),"")</f>
        <v/>
      </c>
      <c r="F707" s="54" t="str">
        <f>IFERROR(IF(OR($B707="",$B707="(blank)"),"",VLOOKUP($B707,'Email Marketing Raw Data'!$C:$O,13,0)),"")</f>
        <v/>
      </c>
      <c r="G707" s="55" t="str">
        <f>IFERROR(IF(OR($B707="",$B707="(blank)"),"",VLOOKUP($B707,'Email Marketing Raw Data'!$C:$O,4,0)),"")</f>
        <v/>
      </c>
      <c r="H707" s="55" t="str">
        <f>IFERROR(IF(OR($B707="",$B707="(blank)"),"",VLOOKUP($B707,'Email Marketing Raw Data'!$C:$O,5,0)),"")</f>
        <v/>
      </c>
      <c r="I707" s="55" t="str">
        <f>IFERROR(IF($G707="","",VLOOKUP('Dashboard And Emails Automate'!$G707,Database!$H:$N,3,0)),"")</f>
        <v/>
      </c>
      <c r="J707" s="55" t="str">
        <f>IFERROR(IF($G707="","",VLOOKUP('Dashboard And Emails Automate'!$G707,Database!$H:$N,4,0)),"")</f>
        <v/>
      </c>
      <c r="K707" s="55" t="str">
        <f>IFERROR(IF($G707="","",VLOOKUP('Dashboard And Emails Automate'!$G707,Database!$H:$N,5,0)),"")</f>
        <v/>
      </c>
      <c r="L707" s="55" t="str">
        <f>IFERROR(IF($G707="","",VLOOKUP('Dashboard And Emails Automate'!$G707,Database!$H:$N,6,0)),"")</f>
        <v/>
      </c>
      <c r="M707" s="55" t="str">
        <f>IFERROR(IF($G707="","",VLOOKUP('Dashboard And Emails Automate'!$G707,Database!$H:$N,7,0)),"")</f>
        <v/>
      </c>
      <c r="N707" s="55" t="str">
        <f>IFERROR(IF(OR($B707="",$B707="(blank)"),"",VLOOKUP($B707,'Email Marketing Raw Data'!$C:$O,6,0)),"")</f>
        <v/>
      </c>
      <c r="O707" s="55" t="str">
        <f>IFERROR(IF(OR($B707="",$B707="(blank)"),"",VLOOKUP($B707,'Email Marketing Raw Data'!$C:$O,7,0)),"")</f>
        <v/>
      </c>
      <c r="P707" s="55" t="str">
        <f>IFERROR(IF(OR($B707="",$B707="(blank)"),"",VLOOKUP($B707,'Email Marketing Raw Data'!$C:$O,8,0)),"")</f>
        <v/>
      </c>
      <c r="Q707" s="62" t="str">
        <f>IFERROR(IF(OR($B707="",$B707="(blank)"),"",VLOOKUP($B707,'Email Marketing Raw Data'!$C:$O,9,0)),"")</f>
        <v/>
      </c>
    </row>
    <row r="708" spans="4:17" ht="12.75" customHeight="1" x14ac:dyDescent="0.2">
      <c r="D708" s="58" t="str">
        <f>IFERROR(IF(F708&lt;&gt;"pending","",IF(OR($B708="",$B708="(blank)"),"",VLOOKUP($B708,'Email Marketing Raw Data'!$C:$O,10,0))),"")</f>
        <v/>
      </c>
      <c r="E708" s="59" t="str">
        <f>IFERROR(IF(F708&lt;&gt;"pending","",IF(OR($B708="",$B708="(blank)"),"",VLOOKUP($B708,'Email Marketing Raw Data'!$C:$O,11,0))),"")</f>
        <v/>
      </c>
      <c r="F708" s="54" t="str">
        <f>IFERROR(IF(OR($B708="",$B708="(blank)"),"",VLOOKUP($B708,'Email Marketing Raw Data'!$C:$O,13,0)),"")</f>
        <v/>
      </c>
      <c r="G708" s="55" t="str">
        <f>IFERROR(IF(OR($B708="",$B708="(blank)"),"",VLOOKUP($B708,'Email Marketing Raw Data'!$C:$O,4,0)),"")</f>
        <v/>
      </c>
      <c r="H708" s="55" t="str">
        <f>IFERROR(IF(OR($B708="",$B708="(blank)"),"",VLOOKUP($B708,'Email Marketing Raw Data'!$C:$O,5,0)),"")</f>
        <v/>
      </c>
      <c r="I708" s="55" t="str">
        <f>IFERROR(IF($G708="","",VLOOKUP('Dashboard And Emails Automate'!$G708,Database!$H:$N,3,0)),"")</f>
        <v/>
      </c>
      <c r="J708" s="55" t="str">
        <f>IFERROR(IF($G708="","",VLOOKUP('Dashboard And Emails Automate'!$G708,Database!$H:$N,4,0)),"")</f>
        <v/>
      </c>
      <c r="K708" s="55" t="str">
        <f>IFERROR(IF($G708="","",VLOOKUP('Dashboard And Emails Automate'!$G708,Database!$H:$N,5,0)),"")</f>
        <v/>
      </c>
      <c r="L708" s="55" t="str">
        <f>IFERROR(IF($G708="","",VLOOKUP('Dashboard And Emails Automate'!$G708,Database!$H:$N,6,0)),"")</f>
        <v/>
      </c>
      <c r="M708" s="55" t="str">
        <f>IFERROR(IF($G708="","",VLOOKUP('Dashboard And Emails Automate'!$G708,Database!$H:$N,7,0)),"")</f>
        <v/>
      </c>
      <c r="N708" s="55" t="str">
        <f>IFERROR(IF(OR($B708="",$B708="(blank)"),"",VLOOKUP($B708,'Email Marketing Raw Data'!$C:$O,6,0)),"")</f>
        <v/>
      </c>
      <c r="O708" s="55" t="str">
        <f>IFERROR(IF(OR($B708="",$B708="(blank)"),"",VLOOKUP($B708,'Email Marketing Raw Data'!$C:$O,7,0)),"")</f>
        <v/>
      </c>
      <c r="P708" s="55" t="str">
        <f>IFERROR(IF(OR($B708="",$B708="(blank)"),"",VLOOKUP($B708,'Email Marketing Raw Data'!$C:$O,8,0)),"")</f>
        <v/>
      </c>
      <c r="Q708" s="62" t="str">
        <f>IFERROR(IF(OR($B708="",$B708="(blank)"),"",VLOOKUP($B708,'Email Marketing Raw Data'!$C:$O,9,0)),"")</f>
        <v/>
      </c>
    </row>
    <row r="709" spans="4:17" ht="12.75" customHeight="1" x14ac:dyDescent="0.2">
      <c r="D709" s="58" t="str">
        <f>IFERROR(IF(F709&lt;&gt;"pending","",IF(OR($B709="",$B709="(blank)"),"",VLOOKUP($B709,'Email Marketing Raw Data'!$C:$O,10,0))),"")</f>
        <v/>
      </c>
      <c r="E709" s="59" t="str">
        <f>IFERROR(IF(F709&lt;&gt;"pending","",IF(OR($B709="",$B709="(blank)"),"",VLOOKUP($B709,'Email Marketing Raw Data'!$C:$O,11,0))),"")</f>
        <v/>
      </c>
      <c r="F709" s="54" t="str">
        <f>IFERROR(IF(OR($B709="",$B709="(blank)"),"",VLOOKUP($B709,'Email Marketing Raw Data'!$C:$O,13,0)),"")</f>
        <v/>
      </c>
      <c r="G709" s="55" t="str">
        <f>IFERROR(IF(OR($B709="",$B709="(blank)"),"",VLOOKUP($B709,'Email Marketing Raw Data'!$C:$O,4,0)),"")</f>
        <v/>
      </c>
      <c r="H709" s="55" t="str">
        <f>IFERROR(IF(OR($B709="",$B709="(blank)"),"",VLOOKUP($B709,'Email Marketing Raw Data'!$C:$O,5,0)),"")</f>
        <v/>
      </c>
      <c r="I709" s="55" t="str">
        <f>IFERROR(IF($G709="","",VLOOKUP('Dashboard And Emails Automate'!$G709,Database!$H:$N,3,0)),"")</f>
        <v/>
      </c>
      <c r="J709" s="55" t="str">
        <f>IFERROR(IF($G709="","",VLOOKUP('Dashboard And Emails Automate'!$G709,Database!$H:$N,4,0)),"")</f>
        <v/>
      </c>
      <c r="K709" s="55" t="str">
        <f>IFERROR(IF($G709="","",VLOOKUP('Dashboard And Emails Automate'!$G709,Database!$H:$N,5,0)),"")</f>
        <v/>
      </c>
      <c r="L709" s="55" t="str">
        <f>IFERROR(IF($G709="","",VLOOKUP('Dashboard And Emails Automate'!$G709,Database!$H:$N,6,0)),"")</f>
        <v/>
      </c>
      <c r="M709" s="55" t="str">
        <f>IFERROR(IF($G709="","",VLOOKUP('Dashboard And Emails Automate'!$G709,Database!$H:$N,7,0)),"")</f>
        <v/>
      </c>
      <c r="N709" s="55" t="str">
        <f>IFERROR(IF(OR($B709="",$B709="(blank)"),"",VLOOKUP($B709,'Email Marketing Raw Data'!$C:$O,6,0)),"")</f>
        <v/>
      </c>
      <c r="O709" s="55" t="str">
        <f>IFERROR(IF(OR($B709="",$B709="(blank)"),"",VLOOKUP($B709,'Email Marketing Raw Data'!$C:$O,7,0)),"")</f>
        <v/>
      </c>
      <c r="P709" s="55" t="str">
        <f>IFERROR(IF(OR($B709="",$B709="(blank)"),"",VLOOKUP($B709,'Email Marketing Raw Data'!$C:$O,8,0)),"")</f>
        <v/>
      </c>
      <c r="Q709" s="62" t="str">
        <f>IFERROR(IF(OR($B709="",$B709="(blank)"),"",VLOOKUP($B709,'Email Marketing Raw Data'!$C:$O,9,0)),"")</f>
        <v/>
      </c>
    </row>
    <row r="710" spans="4:17" ht="12.75" customHeight="1" x14ac:dyDescent="0.2">
      <c r="D710" s="58" t="str">
        <f>IFERROR(IF(F710&lt;&gt;"pending","",IF(OR($B710="",$B710="(blank)"),"",VLOOKUP($B710,'Email Marketing Raw Data'!$C:$O,10,0))),"")</f>
        <v/>
      </c>
      <c r="E710" s="59" t="str">
        <f>IFERROR(IF(F710&lt;&gt;"pending","",IF(OR($B710="",$B710="(blank)"),"",VLOOKUP($B710,'Email Marketing Raw Data'!$C:$O,11,0))),"")</f>
        <v/>
      </c>
      <c r="F710" s="54" t="str">
        <f>IFERROR(IF(OR($B710="",$B710="(blank)"),"",VLOOKUP($B710,'Email Marketing Raw Data'!$C:$O,13,0)),"")</f>
        <v/>
      </c>
      <c r="G710" s="55" t="str">
        <f>IFERROR(IF(OR($B710="",$B710="(blank)"),"",VLOOKUP($B710,'Email Marketing Raw Data'!$C:$O,4,0)),"")</f>
        <v/>
      </c>
      <c r="H710" s="55" t="str">
        <f>IFERROR(IF(OR($B710="",$B710="(blank)"),"",VLOOKUP($B710,'Email Marketing Raw Data'!$C:$O,5,0)),"")</f>
        <v/>
      </c>
      <c r="I710" s="55" t="str">
        <f>IFERROR(IF($G710="","",VLOOKUP('Dashboard And Emails Automate'!$G710,Database!$H:$N,3,0)),"")</f>
        <v/>
      </c>
      <c r="J710" s="55" t="str">
        <f>IFERROR(IF($G710="","",VLOOKUP('Dashboard And Emails Automate'!$G710,Database!$H:$N,4,0)),"")</f>
        <v/>
      </c>
      <c r="K710" s="55" t="str">
        <f>IFERROR(IF($G710="","",VLOOKUP('Dashboard And Emails Automate'!$G710,Database!$H:$N,5,0)),"")</f>
        <v/>
      </c>
      <c r="L710" s="55" t="str">
        <f>IFERROR(IF($G710="","",VLOOKUP('Dashboard And Emails Automate'!$G710,Database!$H:$N,6,0)),"")</f>
        <v/>
      </c>
      <c r="M710" s="55" t="str">
        <f>IFERROR(IF($G710="","",VLOOKUP('Dashboard And Emails Automate'!$G710,Database!$H:$N,7,0)),"")</f>
        <v/>
      </c>
      <c r="N710" s="55" t="str">
        <f>IFERROR(IF(OR($B710="",$B710="(blank)"),"",VLOOKUP($B710,'Email Marketing Raw Data'!$C:$O,6,0)),"")</f>
        <v/>
      </c>
      <c r="O710" s="55" t="str">
        <f>IFERROR(IF(OR($B710="",$B710="(blank)"),"",VLOOKUP($B710,'Email Marketing Raw Data'!$C:$O,7,0)),"")</f>
        <v/>
      </c>
      <c r="P710" s="55" t="str">
        <f>IFERROR(IF(OR($B710="",$B710="(blank)"),"",VLOOKUP($B710,'Email Marketing Raw Data'!$C:$O,8,0)),"")</f>
        <v/>
      </c>
      <c r="Q710" s="62" t="str">
        <f>IFERROR(IF(OR($B710="",$B710="(blank)"),"",VLOOKUP($B710,'Email Marketing Raw Data'!$C:$O,9,0)),"")</f>
        <v/>
      </c>
    </row>
    <row r="711" spans="4:17" ht="12.75" customHeight="1" x14ac:dyDescent="0.2">
      <c r="D711" s="58" t="str">
        <f>IFERROR(IF(F711&lt;&gt;"pending","",IF(OR($B711="",$B711="(blank)"),"",VLOOKUP($B711,'Email Marketing Raw Data'!$C:$O,10,0))),"")</f>
        <v/>
      </c>
      <c r="E711" s="59" t="str">
        <f>IFERROR(IF(F711&lt;&gt;"pending","",IF(OR($B711="",$B711="(blank)"),"",VLOOKUP($B711,'Email Marketing Raw Data'!$C:$O,11,0))),"")</f>
        <v/>
      </c>
      <c r="F711" s="54" t="str">
        <f>IFERROR(IF(OR($B711="",$B711="(blank)"),"",VLOOKUP($B711,'Email Marketing Raw Data'!$C:$O,13,0)),"")</f>
        <v/>
      </c>
      <c r="G711" s="55" t="str">
        <f>IFERROR(IF(OR($B711="",$B711="(blank)"),"",VLOOKUP($B711,'Email Marketing Raw Data'!$C:$O,4,0)),"")</f>
        <v/>
      </c>
      <c r="H711" s="55" t="str">
        <f>IFERROR(IF(OR($B711="",$B711="(blank)"),"",VLOOKUP($B711,'Email Marketing Raw Data'!$C:$O,5,0)),"")</f>
        <v/>
      </c>
      <c r="I711" s="55" t="str">
        <f>IFERROR(IF($G711="","",VLOOKUP('Dashboard And Emails Automate'!$G711,Database!$H:$N,3,0)),"")</f>
        <v/>
      </c>
      <c r="J711" s="55" t="str">
        <f>IFERROR(IF($G711="","",VLOOKUP('Dashboard And Emails Automate'!$G711,Database!$H:$N,4,0)),"")</f>
        <v/>
      </c>
      <c r="K711" s="55" t="str">
        <f>IFERROR(IF($G711="","",VLOOKUP('Dashboard And Emails Automate'!$G711,Database!$H:$N,5,0)),"")</f>
        <v/>
      </c>
      <c r="L711" s="55" t="str">
        <f>IFERROR(IF($G711="","",VLOOKUP('Dashboard And Emails Automate'!$G711,Database!$H:$N,6,0)),"")</f>
        <v/>
      </c>
      <c r="M711" s="55" t="str">
        <f>IFERROR(IF($G711="","",VLOOKUP('Dashboard And Emails Automate'!$G711,Database!$H:$N,7,0)),"")</f>
        <v/>
      </c>
      <c r="N711" s="55" t="str">
        <f>IFERROR(IF(OR($B711="",$B711="(blank)"),"",VLOOKUP($B711,'Email Marketing Raw Data'!$C:$O,6,0)),"")</f>
        <v/>
      </c>
      <c r="O711" s="55" t="str">
        <f>IFERROR(IF(OR($B711="",$B711="(blank)"),"",VLOOKUP($B711,'Email Marketing Raw Data'!$C:$O,7,0)),"")</f>
        <v/>
      </c>
      <c r="P711" s="55" t="str">
        <f>IFERROR(IF(OR($B711="",$B711="(blank)"),"",VLOOKUP($B711,'Email Marketing Raw Data'!$C:$O,8,0)),"")</f>
        <v/>
      </c>
      <c r="Q711" s="62" t="str">
        <f>IFERROR(IF(OR($B711="",$B711="(blank)"),"",VLOOKUP($B711,'Email Marketing Raw Data'!$C:$O,9,0)),"")</f>
        <v/>
      </c>
    </row>
    <row r="712" spans="4:17" ht="12.75" customHeight="1" x14ac:dyDescent="0.2">
      <c r="D712" s="58" t="str">
        <f>IFERROR(IF(F712&lt;&gt;"pending","",IF(OR($B712="",$B712="(blank)"),"",VLOOKUP($B712,'Email Marketing Raw Data'!$C:$O,10,0))),"")</f>
        <v/>
      </c>
      <c r="E712" s="59" t="str">
        <f>IFERROR(IF(F712&lt;&gt;"pending","",IF(OR($B712="",$B712="(blank)"),"",VLOOKUP($B712,'Email Marketing Raw Data'!$C:$O,11,0))),"")</f>
        <v/>
      </c>
      <c r="F712" s="54" t="str">
        <f>IFERROR(IF(OR($B712="",$B712="(blank)"),"",VLOOKUP($B712,'Email Marketing Raw Data'!$C:$O,13,0)),"")</f>
        <v/>
      </c>
      <c r="G712" s="55" t="str">
        <f>IFERROR(IF(OR($B712="",$B712="(blank)"),"",VLOOKUP($B712,'Email Marketing Raw Data'!$C:$O,4,0)),"")</f>
        <v/>
      </c>
      <c r="H712" s="55" t="str">
        <f>IFERROR(IF(OR($B712="",$B712="(blank)"),"",VLOOKUP($B712,'Email Marketing Raw Data'!$C:$O,5,0)),"")</f>
        <v/>
      </c>
      <c r="I712" s="55" t="str">
        <f>IFERROR(IF($G712="","",VLOOKUP('Dashboard And Emails Automate'!$G712,Database!$H:$N,3,0)),"")</f>
        <v/>
      </c>
      <c r="J712" s="55" t="str">
        <f>IFERROR(IF($G712="","",VLOOKUP('Dashboard And Emails Automate'!$G712,Database!$H:$N,4,0)),"")</f>
        <v/>
      </c>
      <c r="K712" s="55" t="str">
        <f>IFERROR(IF($G712="","",VLOOKUP('Dashboard And Emails Automate'!$G712,Database!$H:$N,5,0)),"")</f>
        <v/>
      </c>
      <c r="L712" s="55" t="str">
        <f>IFERROR(IF($G712="","",VLOOKUP('Dashboard And Emails Automate'!$G712,Database!$H:$N,6,0)),"")</f>
        <v/>
      </c>
      <c r="M712" s="55" t="str">
        <f>IFERROR(IF($G712="","",VLOOKUP('Dashboard And Emails Automate'!$G712,Database!$H:$N,7,0)),"")</f>
        <v/>
      </c>
      <c r="N712" s="55" t="str">
        <f>IFERROR(IF(OR($B712="",$B712="(blank)"),"",VLOOKUP($B712,'Email Marketing Raw Data'!$C:$O,6,0)),"")</f>
        <v/>
      </c>
      <c r="O712" s="55" t="str">
        <f>IFERROR(IF(OR($B712="",$B712="(blank)"),"",VLOOKUP($B712,'Email Marketing Raw Data'!$C:$O,7,0)),"")</f>
        <v/>
      </c>
      <c r="P712" s="55" t="str">
        <f>IFERROR(IF(OR($B712="",$B712="(blank)"),"",VLOOKUP($B712,'Email Marketing Raw Data'!$C:$O,8,0)),"")</f>
        <v/>
      </c>
      <c r="Q712" s="62" t="str">
        <f>IFERROR(IF(OR($B712="",$B712="(blank)"),"",VLOOKUP($B712,'Email Marketing Raw Data'!$C:$O,9,0)),"")</f>
        <v/>
      </c>
    </row>
    <row r="713" spans="4:17" ht="12.75" customHeight="1" x14ac:dyDescent="0.2">
      <c r="D713" s="58" t="str">
        <f>IFERROR(IF(F713&lt;&gt;"pending","",IF(OR($B713="",$B713="(blank)"),"",VLOOKUP($B713,'Email Marketing Raw Data'!$C:$O,10,0))),"")</f>
        <v/>
      </c>
      <c r="E713" s="59" t="str">
        <f>IFERROR(IF(F713&lt;&gt;"pending","",IF(OR($B713="",$B713="(blank)"),"",VLOOKUP($B713,'Email Marketing Raw Data'!$C:$O,11,0))),"")</f>
        <v/>
      </c>
      <c r="F713" s="54" t="str">
        <f>IFERROR(IF(OR($B713="",$B713="(blank)"),"",VLOOKUP($B713,'Email Marketing Raw Data'!$C:$O,13,0)),"")</f>
        <v/>
      </c>
      <c r="G713" s="55" t="str">
        <f>IFERROR(IF(OR($B713="",$B713="(blank)"),"",VLOOKUP($B713,'Email Marketing Raw Data'!$C:$O,4,0)),"")</f>
        <v/>
      </c>
      <c r="H713" s="55" t="str">
        <f>IFERROR(IF(OR($B713="",$B713="(blank)"),"",VLOOKUP($B713,'Email Marketing Raw Data'!$C:$O,5,0)),"")</f>
        <v/>
      </c>
      <c r="I713" s="55" t="str">
        <f>IFERROR(IF($G713="","",VLOOKUP('Dashboard And Emails Automate'!$G713,Database!$H:$N,3,0)),"")</f>
        <v/>
      </c>
      <c r="J713" s="55" t="str">
        <f>IFERROR(IF($G713="","",VLOOKUP('Dashboard And Emails Automate'!$G713,Database!$H:$N,4,0)),"")</f>
        <v/>
      </c>
      <c r="K713" s="55" t="str">
        <f>IFERROR(IF($G713="","",VLOOKUP('Dashboard And Emails Automate'!$G713,Database!$H:$N,5,0)),"")</f>
        <v/>
      </c>
      <c r="L713" s="55" t="str">
        <f>IFERROR(IF($G713="","",VLOOKUP('Dashboard And Emails Automate'!$G713,Database!$H:$N,6,0)),"")</f>
        <v/>
      </c>
      <c r="M713" s="55" t="str">
        <f>IFERROR(IF($G713="","",VLOOKUP('Dashboard And Emails Automate'!$G713,Database!$H:$N,7,0)),"")</f>
        <v/>
      </c>
      <c r="N713" s="55" t="str">
        <f>IFERROR(IF(OR($B713="",$B713="(blank)"),"",VLOOKUP($B713,'Email Marketing Raw Data'!$C:$O,6,0)),"")</f>
        <v/>
      </c>
      <c r="O713" s="55" t="str">
        <f>IFERROR(IF(OR($B713="",$B713="(blank)"),"",VLOOKUP($B713,'Email Marketing Raw Data'!$C:$O,7,0)),"")</f>
        <v/>
      </c>
      <c r="P713" s="55" t="str">
        <f>IFERROR(IF(OR($B713="",$B713="(blank)"),"",VLOOKUP($B713,'Email Marketing Raw Data'!$C:$O,8,0)),"")</f>
        <v/>
      </c>
      <c r="Q713" s="62" t="str">
        <f>IFERROR(IF(OR($B713="",$B713="(blank)"),"",VLOOKUP($B713,'Email Marketing Raw Data'!$C:$O,9,0)),"")</f>
        <v/>
      </c>
    </row>
    <row r="714" spans="4:17" ht="12.75" customHeight="1" x14ac:dyDescent="0.2">
      <c r="D714" s="58" t="str">
        <f>IFERROR(IF(F714&lt;&gt;"pending","",IF(OR($B714="",$B714="(blank)"),"",VLOOKUP($B714,'Email Marketing Raw Data'!$C:$O,10,0))),"")</f>
        <v/>
      </c>
      <c r="E714" s="59" t="str">
        <f>IFERROR(IF(F714&lt;&gt;"pending","",IF(OR($B714="",$B714="(blank)"),"",VLOOKUP($B714,'Email Marketing Raw Data'!$C:$O,11,0))),"")</f>
        <v/>
      </c>
      <c r="F714" s="54" t="str">
        <f>IFERROR(IF(OR($B714="",$B714="(blank)"),"",VLOOKUP($B714,'Email Marketing Raw Data'!$C:$O,13,0)),"")</f>
        <v/>
      </c>
      <c r="G714" s="55" t="str">
        <f>IFERROR(IF(OR($B714="",$B714="(blank)"),"",VLOOKUP($B714,'Email Marketing Raw Data'!$C:$O,4,0)),"")</f>
        <v/>
      </c>
      <c r="H714" s="55" t="str">
        <f>IFERROR(IF(OR($B714="",$B714="(blank)"),"",VLOOKUP($B714,'Email Marketing Raw Data'!$C:$O,5,0)),"")</f>
        <v/>
      </c>
      <c r="I714" s="55" t="str">
        <f>IFERROR(IF($G714="","",VLOOKUP('Dashboard And Emails Automate'!$G714,Database!$H:$N,3,0)),"")</f>
        <v/>
      </c>
      <c r="J714" s="55" t="str">
        <f>IFERROR(IF($G714="","",VLOOKUP('Dashboard And Emails Automate'!$G714,Database!$H:$N,4,0)),"")</f>
        <v/>
      </c>
      <c r="K714" s="55" t="str">
        <f>IFERROR(IF($G714="","",VLOOKUP('Dashboard And Emails Automate'!$G714,Database!$H:$N,5,0)),"")</f>
        <v/>
      </c>
      <c r="L714" s="55" t="str">
        <f>IFERROR(IF($G714="","",VLOOKUP('Dashboard And Emails Automate'!$G714,Database!$H:$N,6,0)),"")</f>
        <v/>
      </c>
      <c r="M714" s="55" t="str">
        <f>IFERROR(IF($G714="","",VLOOKUP('Dashboard And Emails Automate'!$G714,Database!$H:$N,7,0)),"")</f>
        <v/>
      </c>
      <c r="N714" s="55" t="str">
        <f>IFERROR(IF(OR($B714="",$B714="(blank)"),"",VLOOKUP($B714,'Email Marketing Raw Data'!$C:$O,6,0)),"")</f>
        <v/>
      </c>
      <c r="O714" s="55" t="str">
        <f>IFERROR(IF(OR($B714="",$B714="(blank)"),"",VLOOKUP($B714,'Email Marketing Raw Data'!$C:$O,7,0)),"")</f>
        <v/>
      </c>
      <c r="P714" s="55" t="str">
        <f>IFERROR(IF(OR($B714="",$B714="(blank)"),"",VLOOKUP($B714,'Email Marketing Raw Data'!$C:$O,8,0)),"")</f>
        <v/>
      </c>
      <c r="Q714" s="62" t="str">
        <f>IFERROR(IF(OR($B714="",$B714="(blank)"),"",VLOOKUP($B714,'Email Marketing Raw Data'!$C:$O,9,0)),"")</f>
        <v/>
      </c>
    </row>
    <row r="715" spans="4:17" ht="12.75" customHeight="1" x14ac:dyDescent="0.2">
      <c r="D715" s="58" t="str">
        <f>IFERROR(IF(F715&lt;&gt;"pending","",IF(OR($B715="",$B715="(blank)"),"",VLOOKUP($B715,'Email Marketing Raw Data'!$C:$O,10,0))),"")</f>
        <v/>
      </c>
      <c r="E715" s="59" t="str">
        <f>IFERROR(IF(F715&lt;&gt;"pending","",IF(OR($B715="",$B715="(blank)"),"",VLOOKUP($B715,'Email Marketing Raw Data'!$C:$O,11,0))),"")</f>
        <v/>
      </c>
      <c r="F715" s="54" t="str">
        <f>IFERROR(IF(OR($B715="",$B715="(blank)"),"",VLOOKUP($B715,'Email Marketing Raw Data'!$C:$O,13,0)),"")</f>
        <v/>
      </c>
      <c r="G715" s="55" t="str">
        <f>IFERROR(IF(OR($B715="",$B715="(blank)"),"",VLOOKUP($B715,'Email Marketing Raw Data'!$C:$O,4,0)),"")</f>
        <v/>
      </c>
      <c r="H715" s="55" t="str">
        <f>IFERROR(IF(OR($B715="",$B715="(blank)"),"",VLOOKUP($B715,'Email Marketing Raw Data'!$C:$O,5,0)),"")</f>
        <v/>
      </c>
      <c r="I715" s="55" t="str">
        <f>IFERROR(IF($G715="","",VLOOKUP('Dashboard And Emails Automate'!$G715,Database!$H:$N,3,0)),"")</f>
        <v/>
      </c>
      <c r="J715" s="55" t="str">
        <f>IFERROR(IF($G715="","",VLOOKUP('Dashboard And Emails Automate'!$G715,Database!$H:$N,4,0)),"")</f>
        <v/>
      </c>
      <c r="K715" s="55" t="str">
        <f>IFERROR(IF($G715="","",VLOOKUP('Dashboard And Emails Automate'!$G715,Database!$H:$N,5,0)),"")</f>
        <v/>
      </c>
      <c r="L715" s="55" t="str">
        <f>IFERROR(IF($G715="","",VLOOKUP('Dashboard And Emails Automate'!$G715,Database!$H:$N,6,0)),"")</f>
        <v/>
      </c>
      <c r="M715" s="55" t="str">
        <f>IFERROR(IF($G715="","",VLOOKUP('Dashboard And Emails Automate'!$G715,Database!$H:$N,7,0)),"")</f>
        <v/>
      </c>
      <c r="N715" s="55" t="str">
        <f>IFERROR(IF(OR($B715="",$B715="(blank)"),"",VLOOKUP($B715,'Email Marketing Raw Data'!$C:$O,6,0)),"")</f>
        <v/>
      </c>
      <c r="O715" s="55" t="str">
        <f>IFERROR(IF(OR($B715="",$B715="(blank)"),"",VLOOKUP($B715,'Email Marketing Raw Data'!$C:$O,7,0)),"")</f>
        <v/>
      </c>
      <c r="P715" s="55" t="str">
        <f>IFERROR(IF(OR($B715="",$B715="(blank)"),"",VLOOKUP($B715,'Email Marketing Raw Data'!$C:$O,8,0)),"")</f>
        <v/>
      </c>
      <c r="Q715" s="62" t="str">
        <f>IFERROR(IF(OR($B715="",$B715="(blank)"),"",VLOOKUP($B715,'Email Marketing Raw Data'!$C:$O,9,0)),"")</f>
        <v/>
      </c>
    </row>
    <row r="716" spans="4:17" ht="12.75" customHeight="1" x14ac:dyDescent="0.2">
      <c r="D716" s="58" t="str">
        <f>IFERROR(IF(F716&lt;&gt;"pending","",IF(OR($B716="",$B716="(blank)"),"",VLOOKUP($B716,'Email Marketing Raw Data'!$C:$O,10,0))),"")</f>
        <v/>
      </c>
      <c r="E716" s="59" t="str">
        <f>IFERROR(IF(F716&lt;&gt;"pending","",IF(OR($B716="",$B716="(blank)"),"",VLOOKUP($B716,'Email Marketing Raw Data'!$C:$O,11,0))),"")</f>
        <v/>
      </c>
      <c r="F716" s="54" t="str">
        <f>IFERROR(IF(OR($B716="",$B716="(blank)"),"",VLOOKUP($B716,'Email Marketing Raw Data'!$C:$O,13,0)),"")</f>
        <v/>
      </c>
      <c r="G716" s="55" t="str">
        <f>IFERROR(IF(OR($B716="",$B716="(blank)"),"",VLOOKUP($B716,'Email Marketing Raw Data'!$C:$O,4,0)),"")</f>
        <v/>
      </c>
      <c r="H716" s="55" t="str">
        <f>IFERROR(IF(OR($B716="",$B716="(blank)"),"",VLOOKUP($B716,'Email Marketing Raw Data'!$C:$O,5,0)),"")</f>
        <v/>
      </c>
      <c r="I716" s="55" t="str">
        <f>IFERROR(IF($G716="","",VLOOKUP('Dashboard And Emails Automate'!$G716,Database!$H:$N,3,0)),"")</f>
        <v/>
      </c>
      <c r="J716" s="55" t="str">
        <f>IFERROR(IF($G716="","",VLOOKUP('Dashboard And Emails Automate'!$G716,Database!$H:$N,4,0)),"")</f>
        <v/>
      </c>
      <c r="K716" s="55" t="str">
        <f>IFERROR(IF($G716="","",VLOOKUP('Dashboard And Emails Automate'!$G716,Database!$H:$N,5,0)),"")</f>
        <v/>
      </c>
      <c r="L716" s="55" t="str">
        <f>IFERROR(IF($G716="","",VLOOKUP('Dashboard And Emails Automate'!$G716,Database!$H:$N,6,0)),"")</f>
        <v/>
      </c>
      <c r="M716" s="55" t="str">
        <f>IFERROR(IF($G716="","",VLOOKUP('Dashboard And Emails Automate'!$G716,Database!$H:$N,7,0)),"")</f>
        <v/>
      </c>
      <c r="N716" s="55" t="str">
        <f>IFERROR(IF(OR($B716="",$B716="(blank)"),"",VLOOKUP($B716,'Email Marketing Raw Data'!$C:$O,6,0)),"")</f>
        <v/>
      </c>
      <c r="O716" s="55" t="str">
        <f>IFERROR(IF(OR($B716="",$B716="(blank)"),"",VLOOKUP($B716,'Email Marketing Raw Data'!$C:$O,7,0)),"")</f>
        <v/>
      </c>
      <c r="P716" s="55" t="str">
        <f>IFERROR(IF(OR($B716="",$B716="(blank)"),"",VLOOKUP($B716,'Email Marketing Raw Data'!$C:$O,8,0)),"")</f>
        <v/>
      </c>
      <c r="Q716" s="62" t="str">
        <f>IFERROR(IF(OR($B716="",$B716="(blank)"),"",VLOOKUP($B716,'Email Marketing Raw Data'!$C:$O,9,0)),"")</f>
        <v/>
      </c>
    </row>
    <row r="717" spans="4:17" ht="12.75" customHeight="1" x14ac:dyDescent="0.2">
      <c r="D717" s="58" t="str">
        <f>IFERROR(IF(F717&lt;&gt;"pending","",IF(OR($B717="",$B717="(blank)"),"",VLOOKUP($B717,'Email Marketing Raw Data'!$C:$O,10,0))),"")</f>
        <v/>
      </c>
      <c r="E717" s="59" t="str">
        <f>IFERROR(IF(F717&lt;&gt;"pending","",IF(OR($B717="",$B717="(blank)"),"",VLOOKUP($B717,'Email Marketing Raw Data'!$C:$O,11,0))),"")</f>
        <v/>
      </c>
      <c r="F717" s="54" t="str">
        <f>IFERROR(IF(OR($B717="",$B717="(blank)"),"",VLOOKUP($B717,'Email Marketing Raw Data'!$C:$O,13,0)),"")</f>
        <v/>
      </c>
      <c r="G717" s="55" t="str">
        <f>IFERROR(IF(OR($B717="",$B717="(blank)"),"",VLOOKUP($B717,'Email Marketing Raw Data'!$C:$O,4,0)),"")</f>
        <v/>
      </c>
      <c r="H717" s="55" t="str">
        <f>IFERROR(IF(OR($B717="",$B717="(blank)"),"",VLOOKUP($B717,'Email Marketing Raw Data'!$C:$O,5,0)),"")</f>
        <v/>
      </c>
      <c r="I717" s="55" t="str">
        <f>IFERROR(IF($G717="","",VLOOKUP('Dashboard And Emails Automate'!$G717,Database!$H:$N,3,0)),"")</f>
        <v/>
      </c>
      <c r="J717" s="55" t="str">
        <f>IFERROR(IF($G717="","",VLOOKUP('Dashboard And Emails Automate'!$G717,Database!$H:$N,4,0)),"")</f>
        <v/>
      </c>
      <c r="K717" s="55" t="str">
        <f>IFERROR(IF($G717="","",VLOOKUP('Dashboard And Emails Automate'!$G717,Database!$H:$N,5,0)),"")</f>
        <v/>
      </c>
      <c r="L717" s="55" t="str">
        <f>IFERROR(IF($G717="","",VLOOKUP('Dashboard And Emails Automate'!$G717,Database!$H:$N,6,0)),"")</f>
        <v/>
      </c>
      <c r="M717" s="55" t="str">
        <f>IFERROR(IF($G717="","",VLOOKUP('Dashboard And Emails Automate'!$G717,Database!$H:$N,7,0)),"")</f>
        <v/>
      </c>
      <c r="N717" s="55" t="str">
        <f>IFERROR(IF(OR($B717="",$B717="(blank)"),"",VLOOKUP($B717,'Email Marketing Raw Data'!$C:$O,6,0)),"")</f>
        <v/>
      </c>
      <c r="O717" s="55" t="str">
        <f>IFERROR(IF(OR($B717="",$B717="(blank)"),"",VLOOKUP($B717,'Email Marketing Raw Data'!$C:$O,7,0)),"")</f>
        <v/>
      </c>
      <c r="P717" s="55" t="str">
        <f>IFERROR(IF(OR($B717="",$B717="(blank)"),"",VLOOKUP($B717,'Email Marketing Raw Data'!$C:$O,8,0)),"")</f>
        <v/>
      </c>
      <c r="Q717" s="62" t="str">
        <f>IFERROR(IF(OR($B717="",$B717="(blank)"),"",VLOOKUP($B717,'Email Marketing Raw Data'!$C:$O,9,0)),"")</f>
        <v/>
      </c>
    </row>
    <row r="718" spans="4:17" ht="12.75" customHeight="1" x14ac:dyDescent="0.2">
      <c r="D718" s="58" t="str">
        <f>IFERROR(IF(F718&lt;&gt;"pending","",IF(OR($B718="",$B718="(blank)"),"",VLOOKUP($B718,'Email Marketing Raw Data'!$C:$O,10,0))),"")</f>
        <v/>
      </c>
      <c r="E718" s="59" t="str">
        <f>IFERROR(IF(F718&lt;&gt;"pending","",IF(OR($B718="",$B718="(blank)"),"",VLOOKUP($B718,'Email Marketing Raw Data'!$C:$O,11,0))),"")</f>
        <v/>
      </c>
      <c r="F718" s="54" t="str">
        <f>IFERROR(IF(OR($B718="",$B718="(blank)"),"",VLOOKUP($B718,'Email Marketing Raw Data'!$C:$O,13,0)),"")</f>
        <v/>
      </c>
      <c r="G718" s="55" t="str">
        <f>IFERROR(IF(OR($B718="",$B718="(blank)"),"",VLOOKUP($B718,'Email Marketing Raw Data'!$C:$O,4,0)),"")</f>
        <v/>
      </c>
      <c r="H718" s="55" t="str">
        <f>IFERROR(IF(OR($B718="",$B718="(blank)"),"",VLOOKUP($B718,'Email Marketing Raw Data'!$C:$O,5,0)),"")</f>
        <v/>
      </c>
      <c r="I718" s="55" t="str">
        <f>IFERROR(IF($G718="","",VLOOKUP('Dashboard And Emails Automate'!$G718,Database!$H:$N,3,0)),"")</f>
        <v/>
      </c>
      <c r="J718" s="55" t="str">
        <f>IFERROR(IF($G718="","",VLOOKUP('Dashboard And Emails Automate'!$G718,Database!$H:$N,4,0)),"")</f>
        <v/>
      </c>
      <c r="K718" s="55" t="str">
        <f>IFERROR(IF($G718="","",VLOOKUP('Dashboard And Emails Automate'!$G718,Database!$H:$N,5,0)),"")</f>
        <v/>
      </c>
      <c r="L718" s="55" t="str">
        <f>IFERROR(IF($G718="","",VLOOKUP('Dashboard And Emails Automate'!$G718,Database!$H:$N,6,0)),"")</f>
        <v/>
      </c>
      <c r="M718" s="55" t="str">
        <f>IFERROR(IF($G718="","",VLOOKUP('Dashboard And Emails Automate'!$G718,Database!$H:$N,7,0)),"")</f>
        <v/>
      </c>
      <c r="N718" s="55" t="str">
        <f>IFERROR(IF(OR($B718="",$B718="(blank)"),"",VLOOKUP($B718,'Email Marketing Raw Data'!$C:$O,6,0)),"")</f>
        <v/>
      </c>
      <c r="O718" s="55" t="str">
        <f>IFERROR(IF(OR($B718="",$B718="(blank)"),"",VLOOKUP($B718,'Email Marketing Raw Data'!$C:$O,7,0)),"")</f>
        <v/>
      </c>
      <c r="P718" s="55" t="str">
        <f>IFERROR(IF(OR($B718="",$B718="(blank)"),"",VLOOKUP($B718,'Email Marketing Raw Data'!$C:$O,8,0)),"")</f>
        <v/>
      </c>
      <c r="Q718" s="62" t="str">
        <f>IFERROR(IF(OR($B718="",$B718="(blank)"),"",VLOOKUP($B718,'Email Marketing Raw Data'!$C:$O,9,0)),"")</f>
        <v/>
      </c>
    </row>
    <row r="719" spans="4:17" ht="12.75" customHeight="1" x14ac:dyDescent="0.2">
      <c r="D719" s="58" t="str">
        <f>IFERROR(IF(F719&lt;&gt;"pending","",IF(OR($B719="",$B719="(blank)"),"",VLOOKUP($B719,'Email Marketing Raw Data'!$C:$O,10,0))),"")</f>
        <v/>
      </c>
      <c r="E719" s="59" t="str">
        <f>IFERROR(IF(F719&lt;&gt;"pending","",IF(OR($B719="",$B719="(blank)"),"",VLOOKUP($B719,'Email Marketing Raw Data'!$C:$O,11,0))),"")</f>
        <v/>
      </c>
      <c r="F719" s="54" t="str">
        <f>IFERROR(IF(OR($B719="",$B719="(blank)"),"",VLOOKUP($B719,'Email Marketing Raw Data'!$C:$O,13,0)),"")</f>
        <v/>
      </c>
      <c r="G719" s="55" t="str">
        <f>IFERROR(IF(OR($B719="",$B719="(blank)"),"",VLOOKUP($B719,'Email Marketing Raw Data'!$C:$O,4,0)),"")</f>
        <v/>
      </c>
      <c r="H719" s="55" t="str">
        <f>IFERROR(IF(OR($B719="",$B719="(blank)"),"",VLOOKUP($B719,'Email Marketing Raw Data'!$C:$O,5,0)),"")</f>
        <v/>
      </c>
      <c r="I719" s="55" t="str">
        <f>IFERROR(IF($G719="","",VLOOKUP('Dashboard And Emails Automate'!$G719,Database!$H:$N,3,0)),"")</f>
        <v/>
      </c>
      <c r="J719" s="55" t="str">
        <f>IFERROR(IF($G719="","",VLOOKUP('Dashboard And Emails Automate'!$G719,Database!$H:$N,4,0)),"")</f>
        <v/>
      </c>
      <c r="K719" s="55" t="str">
        <f>IFERROR(IF($G719="","",VLOOKUP('Dashboard And Emails Automate'!$G719,Database!$H:$N,5,0)),"")</f>
        <v/>
      </c>
      <c r="L719" s="55" t="str">
        <f>IFERROR(IF($G719="","",VLOOKUP('Dashboard And Emails Automate'!$G719,Database!$H:$N,6,0)),"")</f>
        <v/>
      </c>
      <c r="M719" s="55" t="str">
        <f>IFERROR(IF($G719="","",VLOOKUP('Dashboard And Emails Automate'!$G719,Database!$H:$N,7,0)),"")</f>
        <v/>
      </c>
      <c r="N719" s="55" t="str">
        <f>IFERROR(IF(OR($B719="",$B719="(blank)"),"",VLOOKUP($B719,'Email Marketing Raw Data'!$C:$O,6,0)),"")</f>
        <v/>
      </c>
      <c r="O719" s="55" t="str">
        <f>IFERROR(IF(OR($B719="",$B719="(blank)"),"",VLOOKUP($B719,'Email Marketing Raw Data'!$C:$O,7,0)),"")</f>
        <v/>
      </c>
      <c r="P719" s="55" t="str">
        <f>IFERROR(IF(OR($B719="",$B719="(blank)"),"",VLOOKUP($B719,'Email Marketing Raw Data'!$C:$O,8,0)),"")</f>
        <v/>
      </c>
      <c r="Q719" s="62" t="str">
        <f>IFERROR(IF(OR($B719="",$B719="(blank)"),"",VLOOKUP($B719,'Email Marketing Raw Data'!$C:$O,9,0)),"")</f>
        <v/>
      </c>
    </row>
    <row r="720" spans="4:17" ht="12.75" customHeight="1" x14ac:dyDescent="0.2">
      <c r="D720" s="58" t="str">
        <f>IFERROR(IF(F720&lt;&gt;"pending","",IF(OR($B720="",$B720="(blank)"),"",VLOOKUP($B720,'Email Marketing Raw Data'!$C:$O,10,0))),"")</f>
        <v/>
      </c>
      <c r="E720" s="59" t="str">
        <f>IFERROR(IF(F720&lt;&gt;"pending","",IF(OR($B720="",$B720="(blank)"),"",VLOOKUP($B720,'Email Marketing Raw Data'!$C:$O,11,0))),"")</f>
        <v/>
      </c>
      <c r="F720" s="54" t="str">
        <f>IFERROR(IF(OR($B720="",$B720="(blank)"),"",VLOOKUP($B720,'Email Marketing Raw Data'!$C:$O,13,0)),"")</f>
        <v/>
      </c>
      <c r="G720" s="55" t="str">
        <f>IFERROR(IF(OR($B720="",$B720="(blank)"),"",VLOOKUP($B720,'Email Marketing Raw Data'!$C:$O,4,0)),"")</f>
        <v/>
      </c>
      <c r="H720" s="55" t="str">
        <f>IFERROR(IF(OR($B720="",$B720="(blank)"),"",VLOOKUP($B720,'Email Marketing Raw Data'!$C:$O,5,0)),"")</f>
        <v/>
      </c>
      <c r="I720" s="55" t="str">
        <f>IFERROR(IF($G720="","",VLOOKUP('Dashboard And Emails Automate'!$G720,Database!$H:$N,3,0)),"")</f>
        <v/>
      </c>
      <c r="J720" s="55" t="str">
        <f>IFERROR(IF($G720="","",VLOOKUP('Dashboard And Emails Automate'!$G720,Database!$H:$N,4,0)),"")</f>
        <v/>
      </c>
      <c r="K720" s="55" t="str">
        <f>IFERROR(IF($G720="","",VLOOKUP('Dashboard And Emails Automate'!$G720,Database!$H:$N,5,0)),"")</f>
        <v/>
      </c>
      <c r="L720" s="55" t="str">
        <f>IFERROR(IF($G720="","",VLOOKUP('Dashboard And Emails Automate'!$G720,Database!$H:$N,6,0)),"")</f>
        <v/>
      </c>
      <c r="M720" s="55" t="str">
        <f>IFERROR(IF($G720="","",VLOOKUP('Dashboard And Emails Automate'!$G720,Database!$H:$N,7,0)),"")</f>
        <v/>
      </c>
      <c r="N720" s="55" t="str">
        <f>IFERROR(IF(OR($B720="",$B720="(blank)"),"",VLOOKUP($B720,'Email Marketing Raw Data'!$C:$O,6,0)),"")</f>
        <v/>
      </c>
      <c r="O720" s="55" t="str">
        <f>IFERROR(IF(OR($B720="",$B720="(blank)"),"",VLOOKUP($B720,'Email Marketing Raw Data'!$C:$O,7,0)),"")</f>
        <v/>
      </c>
      <c r="P720" s="55" t="str">
        <f>IFERROR(IF(OR($B720="",$B720="(blank)"),"",VLOOKUP($B720,'Email Marketing Raw Data'!$C:$O,8,0)),"")</f>
        <v/>
      </c>
      <c r="Q720" s="62" t="str">
        <f>IFERROR(IF(OR($B720="",$B720="(blank)"),"",VLOOKUP($B720,'Email Marketing Raw Data'!$C:$O,9,0)),"")</f>
        <v/>
      </c>
    </row>
    <row r="721" spans="4:17" ht="12.75" customHeight="1" x14ac:dyDescent="0.2">
      <c r="D721" s="58" t="str">
        <f>IFERROR(IF(F721&lt;&gt;"pending","",IF(OR($B721="",$B721="(blank)"),"",VLOOKUP($B721,'Email Marketing Raw Data'!$C:$O,10,0))),"")</f>
        <v/>
      </c>
      <c r="E721" s="59" t="str">
        <f>IFERROR(IF(F721&lt;&gt;"pending","",IF(OR($B721="",$B721="(blank)"),"",VLOOKUP($B721,'Email Marketing Raw Data'!$C:$O,11,0))),"")</f>
        <v/>
      </c>
      <c r="F721" s="54" t="str">
        <f>IFERROR(IF(OR($B721="",$B721="(blank)"),"",VLOOKUP($B721,'Email Marketing Raw Data'!$C:$O,13,0)),"")</f>
        <v/>
      </c>
      <c r="G721" s="55" t="str">
        <f>IFERROR(IF(OR($B721="",$B721="(blank)"),"",VLOOKUP($B721,'Email Marketing Raw Data'!$C:$O,4,0)),"")</f>
        <v/>
      </c>
      <c r="H721" s="55" t="str">
        <f>IFERROR(IF(OR($B721="",$B721="(blank)"),"",VLOOKUP($B721,'Email Marketing Raw Data'!$C:$O,5,0)),"")</f>
        <v/>
      </c>
      <c r="I721" s="55" t="str">
        <f>IFERROR(IF($G721="","",VLOOKUP('Dashboard And Emails Automate'!$G721,Database!$H:$N,3,0)),"")</f>
        <v/>
      </c>
      <c r="J721" s="55" t="str">
        <f>IFERROR(IF($G721="","",VLOOKUP('Dashboard And Emails Automate'!$G721,Database!$H:$N,4,0)),"")</f>
        <v/>
      </c>
      <c r="K721" s="55" t="str">
        <f>IFERROR(IF($G721="","",VLOOKUP('Dashboard And Emails Automate'!$G721,Database!$H:$N,5,0)),"")</f>
        <v/>
      </c>
      <c r="L721" s="55" t="str">
        <f>IFERROR(IF($G721="","",VLOOKUP('Dashboard And Emails Automate'!$G721,Database!$H:$N,6,0)),"")</f>
        <v/>
      </c>
      <c r="M721" s="55" t="str">
        <f>IFERROR(IF($G721="","",VLOOKUP('Dashboard And Emails Automate'!$G721,Database!$H:$N,7,0)),"")</f>
        <v/>
      </c>
      <c r="N721" s="55" t="str">
        <f>IFERROR(IF(OR($B721="",$B721="(blank)"),"",VLOOKUP($B721,'Email Marketing Raw Data'!$C:$O,6,0)),"")</f>
        <v/>
      </c>
      <c r="O721" s="55" t="str">
        <f>IFERROR(IF(OR($B721="",$B721="(blank)"),"",VLOOKUP($B721,'Email Marketing Raw Data'!$C:$O,7,0)),"")</f>
        <v/>
      </c>
      <c r="P721" s="55" t="str">
        <f>IFERROR(IF(OR($B721="",$B721="(blank)"),"",VLOOKUP($B721,'Email Marketing Raw Data'!$C:$O,8,0)),"")</f>
        <v/>
      </c>
      <c r="Q721" s="62" t="str">
        <f>IFERROR(IF(OR($B721="",$B721="(blank)"),"",VLOOKUP($B721,'Email Marketing Raw Data'!$C:$O,9,0)),"")</f>
        <v/>
      </c>
    </row>
    <row r="722" spans="4:17" ht="12.75" customHeight="1" x14ac:dyDescent="0.2">
      <c r="D722" s="58" t="str">
        <f>IFERROR(IF(F722&lt;&gt;"pending","",IF(OR($B722="",$B722="(blank)"),"",VLOOKUP($B722,'Email Marketing Raw Data'!$C:$O,10,0))),"")</f>
        <v/>
      </c>
      <c r="E722" s="59" t="str">
        <f>IFERROR(IF(F722&lt;&gt;"pending","",IF(OR($B722="",$B722="(blank)"),"",VLOOKUP($B722,'Email Marketing Raw Data'!$C:$O,11,0))),"")</f>
        <v/>
      </c>
      <c r="F722" s="54" t="str">
        <f>IFERROR(IF(OR($B722="",$B722="(blank)"),"",VLOOKUP($B722,'Email Marketing Raw Data'!$C:$O,13,0)),"")</f>
        <v/>
      </c>
      <c r="G722" s="55" t="str">
        <f>IFERROR(IF(OR($B722="",$B722="(blank)"),"",VLOOKUP($B722,'Email Marketing Raw Data'!$C:$O,4,0)),"")</f>
        <v/>
      </c>
      <c r="H722" s="55" t="str">
        <f>IFERROR(IF(OR($B722="",$B722="(blank)"),"",VLOOKUP($B722,'Email Marketing Raw Data'!$C:$O,5,0)),"")</f>
        <v/>
      </c>
      <c r="I722" s="55" t="str">
        <f>IFERROR(IF($G722="","",VLOOKUP('Dashboard And Emails Automate'!$G722,Database!$H:$N,3,0)),"")</f>
        <v/>
      </c>
      <c r="J722" s="55" t="str">
        <f>IFERROR(IF($G722="","",VLOOKUP('Dashboard And Emails Automate'!$G722,Database!$H:$N,4,0)),"")</f>
        <v/>
      </c>
      <c r="K722" s="55" t="str">
        <f>IFERROR(IF($G722="","",VLOOKUP('Dashboard And Emails Automate'!$G722,Database!$H:$N,5,0)),"")</f>
        <v/>
      </c>
      <c r="L722" s="55" t="str">
        <f>IFERROR(IF($G722="","",VLOOKUP('Dashboard And Emails Automate'!$G722,Database!$H:$N,6,0)),"")</f>
        <v/>
      </c>
      <c r="M722" s="55" t="str">
        <f>IFERROR(IF($G722="","",VLOOKUP('Dashboard And Emails Automate'!$G722,Database!$H:$N,7,0)),"")</f>
        <v/>
      </c>
      <c r="N722" s="55" t="str">
        <f>IFERROR(IF(OR($B722="",$B722="(blank)"),"",VLOOKUP($B722,'Email Marketing Raw Data'!$C:$O,6,0)),"")</f>
        <v/>
      </c>
      <c r="O722" s="55" t="str">
        <f>IFERROR(IF(OR($B722="",$B722="(blank)"),"",VLOOKUP($B722,'Email Marketing Raw Data'!$C:$O,7,0)),"")</f>
        <v/>
      </c>
      <c r="P722" s="55" t="str">
        <f>IFERROR(IF(OR($B722="",$B722="(blank)"),"",VLOOKUP($B722,'Email Marketing Raw Data'!$C:$O,8,0)),"")</f>
        <v/>
      </c>
      <c r="Q722" s="62" t="str">
        <f>IFERROR(IF(OR($B722="",$B722="(blank)"),"",VLOOKUP($B722,'Email Marketing Raw Data'!$C:$O,9,0)),"")</f>
        <v/>
      </c>
    </row>
    <row r="723" spans="4:17" ht="12.75" customHeight="1" x14ac:dyDescent="0.2">
      <c r="D723" s="58" t="str">
        <f>IFERROR(IF(F723&lt;&gt;"pending","",IF(OR($B723="",$B723="(blank)"),"",VLOOKUP($B723,'Email Marketing Raw Data'!$C:$O,10,0))),"")</f>
        <v/>
      </c>
      <c r="E723" s="59" t="str">
        <f>IFERROR(IF(F723&lt;&gt;"pending","",IF(OR($B723="",$B723="(blank)"),"",VLOOKUP($B723,'Email Marketing Raw Data'!$C:$O,11,0))),"")</f>
        <v/>
      </c>
      <c r="F723" s="54" t="str">
        <f>IFERROR(IF(OR($B723="",$B723="(blank)"),"",VLOOKUP($B723,'Email Marketing Raw Data'!$C:$O,13,0)),"")</f>
        <v/>
      </c>
      <c r="G723" s="55" t="str">
        <f>IFERROR(IF(OR($B723="",$B723="(blank)"),"",VLOOKUP($B723,'Email Marketing Raw Data'!$C:$O,4,0)),"")</f>
        <v/>
      </c>
      <c r="H723" s="55" t="str">
        <f>IFERROR(IF(OR($B723="",$B723="(blank)"),"",VLOOKUP($B723,'Email Marketing Raw Data'!$C:$O,5,0)),"")</f>
        <v/>
      </c>
      <c r="I723" s="55" t="str">
        <f>IFERROR(IF($G723="","",VLOOKUP('Dashboard And Emails Automate'!$G723,Database!$H:$N,3,0)),"")</f>
        <v/>
      </c>
      <c r="J723" s="55" t="str">
        <f>IFERROR(IF($G723="","",VLOOKUP('Dashboard And Emails Automate'!$G723,Database!$H:$N,4,0)),"")</f>
        <v/>
      </c>
      <c r="K723" s="55" t="str">
        <f>IFERROR(IF($G723="","",VLOOKUP('Dashboard And Emails Automate'!$G723,Database!$H:$N,5,0)),"")</f>
        <v/>
      </c>
      <c r="L723" s="55" t="str">
        <f>IFERROR(IF($G723="","",VLOOKUP('Dashboard And Emails Automate'!$G723,Database!$H:$N,6,0)),"")</f>
        <v/>
      </c>
      <c r="M723" s="55" t="str">
        <f>IFERROR(IF($G723="","",VLOOKUP('Dashboard And Emails Automate'!$G723,Database!$H:$N,7,0)),"")</f>
        <v/>
      </c>
      <c r="N723" s="55" t="str">
        <f>IFERROR(IF(OR($B723="",$B723="(blank)"),"",VLOOKUP($B723,'Email Marketing Raw Data'!$C:$O,6,0)),"")</f>
        <v/>
      </c>
      <c r="O723" s="55" t="str">
        <f>IFERROR(IF(OR($B723="",$B723="(blank)"),"",VLOOKUP($B723,'Email Marketing Raw Data'!$C:$O,7,0)),"")</f>
        <v/>
      </c>
      <c r="P723" s="55" t="str">
        <f>IFERROR(IF(OR($B723="",$B723="(blank)"),"",VLOOKUP($B723,'Email Marketing Raw Data'!$C:$O,8,0)),"")</f>
        <v/>
      </c>
      <c r="Q723" s="62" t="str">
        <f>IFERROR(IF(OR($B723="",$B723="(blank)"),"",VLOOKUP($B723,'Email Marketing Raw Data'!$C:$O,9,0)),"")</f>
        <v/>
      </c>
    </row>
    <row r="724" spans="4:17" ht="12.75" customHeight="1" x14ac:dyDescent="0.2">
      <c r="D724" s="58" t="str">
        <f>IFERROR(IF(F724&lt;&gt;"pending","",IF(OR($B724="",$B724="(blank)"),"",VLOOKUP($B724,'Email Marketing Raw Data'!$C:$O,10,0))),"")</f>
        <v/>
      </c>
      <c r="E724" s="59" t="str">
        <f>IFERROR(IF(F724&lt;&gt;"pending","",IF(OR($B724="",$B724="(blank)"),"",VLOOKUP($B724,'Email Marketing Raw Data'!$C:$O,11,0))),"")</f>
        <v/>
      </c>
      <c r="F724" s="54" t="str">
        <f>IFERROR(IF(OR($B724="",$B724="(blank)"),"",VLOOKUP($B724,'Email Marketing Raw Data'!$C:$O,13,0)),"")</f>
        <v/>
      </c>
      <c r="G724" s="55" t="str">
        <f>IFERROR(IF(OR($B724="",$B724="(blank)"),"",VLOOKUP($B724,'Email Marketing Raw Data'!$C:$O,4,0)),"")</f>
        <v/>
      </c>
      <c r="H724" s="55" t="str">
        <f>IFERROR(IF(OR($B724="",$B724="(blank)"),"",VLOOKUP($B724,'Email Marketing Raw Data'!$C:$O,5,0)),"")</f>
        <v/>
      </c>
      <c r="I724" s="55" t="str">
        <f>IFERROR(IF($G724="","",VLOOKUP('Dashboard And Emails Automate'!$G724,Database!$H:$N,3,0)),"")</f>
        <v/>
      </c>
      <c r="J724" s="55" t="str">
        <f>IFERROR(IF($G724="","",VLOOKUP('Dashboard And Emails Automate'!$G724,Database!$H:$N,4,0)),"")</f>
        <v/>
      </c>
      <c r="K724" s="55" t="str">
        <f>IFERROR(IF($G724="","",VLOOKUP('Dashboard And Emails Automate'!$G724,Database!$H:$N,5,0)),"")</f>
        <v/>
      </c>
      <c r="L724" s="55" t="str">
        <f>IFERROR(IF($G724="","",VLOOKUP('Dashboard And Emails Automate'!$G724,Database!$H:$N,6,0)),"")</f>
        <v/>
      </c>
      <c r="M724" s="55" t="str">
        <f>IFERROR(IF($G724="","",VLOOKUP('Dashboard And Emails Automate'!$G724,Database!$H:$N,7,0)),"")</f>
        <v/>
      </c>
      <c r="N724" s="55" t="str">
        <f>IFERROR(IF(OR($B724="",$B724="(blank)"),"",VLOOKUP($B724,'Email Marketing Raw Data'!$C:$O,6,0)),"")</f>
        <v/>
      </c>
      <c r="O724" s="55" t="str">
        <f>IFERROR(IF(OR($B724="",$B724="(blank)"),"",VLOOKUP($B724,'Email Marketing Raw Data'!$C:$O,7,0)),"")</f>
        <v/>
      </c>
      <c r="P724" s="55" t="str">
        <f>IFERROR(IF(OR($B724="",$B724="(blank)"),"",VLOOKUP($B724,'Email Marketing Raw Data'!$C:$O,8,0)),"")</f>
        <v/>
      </c>
      <c r="Q724" s="62" t="str">
        <f>IFERROR(IF(OR($B724="",$B724="(blank)"),"",VLOOKUP($B724,'Email Marketing Raw Data'!$C:$O,9,0)),"")</f>
        <v/>
      </c>
    </row>
    <row r="725" spans="4:17" ht="12.75" customHeight="1" x14ac:dyDescent="0.2">
      <c r="D725" s="58" t="str">
        <f>IFERROR(IF(F725&lt;&gt;"pending","",IF(OR($B725="",$B725="(blank)"),"",VLOOKUP($B725,'Email Marketing Raw Data'!$C:$O,10,0))),"")</f>
        <v/>
      </c>
      <c r="E725" s="59" t="str">
        <f>IFERROR(IF(F725&lt;&gt;"pending","",IF(OR($B725="",$B725="(blank)"),"",VLOOKUP($B725,'Email Marketing Raw Data'!$C:$O,11,0))),"")</f>
        <v/>
      </c>
      <c r="F725" s="54" t="str">
        <f>IFERROR(IF(OR($B725="",$B725="(blank)"),"",VLOOKUP($B725,'Email Marketing Raw Data'!$C:$O,13,0)),"")</f>
        <v/>
      </c>
      <c r="G725" s="55" t="str">
        <f>IFERROR(IF(OR($B725="",$B725="(blank)"),"",VLOOKUP($B725,'Email Marketing Raw Data'!$C:$O,4,0)),"")</f>
        <v/>
      </c>
      <c r="H725" s="55" t="str">
        <f>IFERROR(IF(OR($B725="",$B725="(blank)"),"",VLOOKUP($B725,'Email Marketing Raw Data'!$C:$O,5,0)),"")</f>
        <v/>
      </c>
      <c r="I725" s="55" t="str">
        <f>IFERROR(IF($G725="","",VLOOKUP('Dashboard And Emails Automate'!$G725,Database!$H:$N,3,0)),"")</f>
        <v/>
      </c>
      <c r="J725" s="55" t="str">
        <f>IFERROR(IF($G725="","",VLOOKUP('Dashboard And Emails Automate'!$G725,Database!$H:$N,4,0)),"")</f>
        <v/>
      </c>
      <c r="K725" s="55" t="str">
        <f>IFERROR(IF($G725="","",VLOOKUP('Dashboard And Emails Automate'!$G725,Database!$H:$N,5,0)),"")</f>
        <v/>
      </c>
      <c r="L725" s="55" t="str">
        <f>IFERROR(IF($G725="","",VLOOKUP('Dashboard And Emails Automate'!$G725,Database!$H:$N,6,0)),"")</f>
        <v/>
      </c>
      <c r="M725" s="55" t="str">
        <f>IFERROR(IF($G725="","",VLOOKUP('Dashboard And Emails Automate'!$G725,Database!$H:$N,7,0)),"")</f>
        <v/>
      </c>
      <c r="N725" s="55" t="str">
        <f>IFERROR(IF(OR($B725="",$B725="(blank)"),"",VLOOKUP($B725,'Email Marketing Raw Data'!$C:$O,6,0)),"")</f>
        <v/>
      </c>
      <c r="O725" s="55" t="str">
        <f>IFERROR(IF(OR($B725="",$B725="(blank)"),"",VLOOKUP($B725,'Email Marketing Raw Data'!$C:$O,7,0)),"")</f>
        <v/>
      </c>
      <c r="P725" s="55" t="str">
        <f>IFERROR(IF(OR($B725="",$B725="(blank)"),"",VLOOKUP($B725,'Email Marketing Raw Data'!$C:$O,8,0)),"")</f>
        <v/>
      </c>
      <c r="Q725" s="62" t="str">
        <f>IFERROR(IF(OR($B725="",$B725="(blank)"),"",VLOOKUP($B725,'Email Marketing Raw Data'!$C:$O,9,0)),"")</f>
        <v/>
      </c>
    </row>
    <row r="726" spans="4:17" ht="12.75" customHeight="1" x14ac:dyDescent="0.2">
      <c r="D726" s="58" t="str">
        <f>IFERROR(IF(F726&lt;&gt;"pending","",IF(OR($B726="",$B726="(blank)"),"",VLOOKUP($B726,'Email Marketing Raw Data'!$C:$O,10,0))),"")</f>
        <v/>
      </c>
      <c r="E726" s="59" t="str">
        <f>IFERROR(IF(F726&lt;&gt;"pending","",IF(OR($B726="",$B726="(blank)"),"",VLOOKUP($B726,'Email Marketing Raw Data'!$C:$O,11,0))),"")</f>
        <v/>
      </c>
      <c r="F726" s="54" t="str">
        <f>IFERROR(IF(OR($B726="",$B726="(blank)"),"",VLOOKUP($B726,'Email Marketing Raw Data'!$C:$O,13,0)),"")</f>
        <v/>
      </c>
      <c r="G726" s="55" t="str">
        <f>IFERROR(IF(OR($B726="",$B726="(blank)"),"",VLOOKUP($B726,'Email Marketing Raw Data'!$C:$O,4,0)),"")</f>
        <v/>
      </c>
      <c r="H726" s="55" t="str">
        <f>IFERROR(IF(OR($B726="",$B726="(blank)"),"",VLOOKUP($B726,'Email Marketing Raw Data'!$C:$O,5,0)),"")</f>
        <v/>
      </c>
      <c r="I726" s="55" t="str">
        <f>IFERROR(IF($G726="","",VLOOKUP('Dashboard And Emails Automate'!$G726,Database!$H:$N,3,0)),"")</f>
        <v/>
      </c>
      <c r="J726" s="55" t="str">
        <f>IFERROR(IF($G726="","",VLOOKUP('Dashboard And Emails Automate'!$G726,Database!$H:$N,4,0)),"")</f>
        <v/>
      </c>
      <c r="K726" s="55" t="str">
        <f>IFERROR(IF($G726="","",VLOOKUP('Dashboard And Emails Automate'!$G726,Database!$H:$N,5,0)),"")</f>
        <v/>
      </c>
      <c r="L726" s="55" t="str">
        <f>IFERROR(IF($G726="","",VLOOKUP('Dashboard And Emails Automate'!$G726,Database!$H:$N,6,0)),"")</f>
        <v/>
      </c>
      <c r="M726" s="55" t="str">
        <f>IFERROR(IF($G726="","",VLOOKUP('Dashboard And Emails Automate'!$G726,Database!$H:$N,7,0)),"")</f>
        <v/>
      </c>
      <c r="N726" s="55" t="str">
        <f>IFERROR(IF(OR($B726="",$B726="(blank)"),"",VLOOKUP($B726,'Email Marketing Raw Data'!$C:$O,6,0)),"")</f>
        <v/>
      </c>
      <c r="O726" s="55" t="str">
        <f>IFERROR(IF(OR($B726="",$B726="(blank)"),"",VLOOKUP($B726,'Email Marketing Raw Data'!$C:$O,7,0)),"")</f>
        <v/>
      </c>
      <c r="P726" s="55" t="str">
        <f>IFERROR(IF(OR($B726="",$B726="(blank)"),"",VLOOKUP($B726,'Email Marketing Raw Data'!$C:$O,8,0)),"")</f>
        <v/>
      </c>
      <c r="Q726" s="62" t="str">
        <f>IFERROR(IF(OR($B726="",$B726="(blank)"),"",VLOOKUP($B726,'Email Marketing Raw Data'!$C:$O,9,0)),"")</f>
        <v/>
      </c>
    </row>
    <row r="727" spans="4:17" ht="12.75" customHeight="1" x14ac:dyDescent="0.2">
      <c r="D727" s="58" t="str">
        <f>IFERROR(IF(F727&lt;&gt;"pending","",IF(OR($B727="",$B727="(blank)"),"",VLOOKUP($B727,'Email Marketing Raw Data'!$C:$O,10,0))),"")</f>
        <v/>
      </c>
      <c r="E727" s="59" t="str">
        <f>IFERROR(IF(F727&lt;&gt;"pending","",IF(OR($B727="",$B727="(blank)"),"",VLOOKUP($B727,'Email Marketing Raw Data'!$C:$O,11,0))),"")</f>
        <v/>
      </c>
      <c r="F727" s="54" t="str">
        <f>IFERROR(IF(OR($B727="",$B727="(blank)"),"",VLOOKUP($B727,'Email Marketing Raw Data'!$C:$O,13,0)),"")</f>
        <v/>
      </c>
      <c r="G727" s="55" t="str">
        <f>IFERROR(IF(OR($B727="",$B727="(blank)"),"",VLOOKUP($B727,'Email Marketing Raw Data'!$C:$O,4,0)),"")</f>
        <v/>
      </c>
      <c r="H727" s="55" t="str">
        <f>IFERROR(IF(OR($B727="",$B727="(blank)"),"",VLOOKUP($B727,'Email Marketing Raw Data'!$C:$O,5,0)),"")</f>
        <v/>
      </c>
      <c r="I727" s="55" t="str">
        <f>IFERROR(IF($G727="","",VLOOKUP('Dashboard And Emails Automate'!$G727,Database!$H:$N,3,0)),"")</f>
        <v/>
      </c>
      <c r="J727" s="55" t="str">
        <f>IFERROR(IF($G727="","",VLOOKUP('Dashboard And Emails Automate'!$G727,Database!$H:$N,4,0)),"")</f>
        <v/>
      </c>
      <c r="K727" s="55" t="str">
        <f>IFERROR(IF($G727="","",VLOOKUP('Dashboard And Emails Automate'!$G727,Database!$H:$N,5,0)),"")</f>
        <v/>
      </c>
      <c r="L727" s="55" t="str">
        <f>IFERROR(IF($G727="","",VLOOKUP('Dashboard And Emails Automate'!$G727,Database!$H:$N,6,0)),"")</f>
        <v/>
      </c>
      <c r="M727" s="55" t="str">
        <f>IFERROR(IF($G727="","",VLOOKUP('Dashboard And Emails Automate'!$G727,Database!$H:$N,7,0)),"")</f>
        <v/>
      </c>
      <c r="N727" s="55" t="str">
        <f>IFERROR(IF(OR($B727="",$B727="(blank)"),"",VLOOKUP($B727,'Email Marketing Raw Data'!$C:$O,6,0)),"")</f>
        <v/>
      </c>
      <c r="O727" s="55" t="str">
        <f>IFERROR(IF(OR($B727="",$B727="(blank)"),"",VLOOKUP($B727,'Email Marketing Raw Data'!$C:$O,7,0)),"")</f>
        <v/>
      </c>
      <c r="P727" s="55" t="str">
        <f>IFERROR(IF(OR($B727="",$B727="(blank)"),"",VLOOKUP($B727,'Email Marketing Raw Data'!$C:$O,8,0)),"")</f>
        <v/>
      </c>
      <c r="Q727" s="62" t="str">
        <f>IFERROR(IF(OR($B727="",$B727="(blank)"),"",VLOOKUP($B727,'Email Marketing Raw Data'!$C:$O,9,0)),"")</f>
        <v/>
      </c>
    </row>
    <row r="728" spans="4:17" ht="12.75" customHeight="1" x14ac:dyDescent="0.2">
      <c r="D728" s="58" t="str">
        <f>IFERROR(IF(F728&lt;&gt;"pending","",IF(OR($B728="",$B728="(blank)"),"",VLOOKUP($B728,'Email Marketing Raw Data'!$C:$O,10,0))),"")</f>
        <v/>
      </c>
      <c r="E728" s="59" t="str">
        <f>IFERROR(IF(F728&lt;&gt;"pending","",IF(OR($B728="",$B728="(blank)"),"",VLOOKUP($B728,'Email Marketing Raw Data'!$C:$O,11,0))),"")</f>
        <v/>
      </c>
      <c r="F728" s="54" t="str">
        <f>IFERROR(IF(OR($B728="",$B728="(blank)"),"",VLOOKUP($B728,'Email Marketing Raw Data'!$C:$O,13,0)),"")</f>
        <v/>
      </c>
      <c r="G728" s="55" t="str">
        <f>IFERROR(IF(OR($B728="",$B728="(blank)"),"",VLOOKUP($B728,'Email Marketing Raw Data'!$C:$O,4,0)),"")</f>
        <v/>
      </c>
      <c r="H728" s="55" t="str">
        <f>IFERROR(IF(OR($B728="",$B728="(blank)"),"",VLOOKUP($B728,'Email Marketing Raw Data'!$C:$O,5,0)),"")</f>
        <v/>
      </c>
      <c r="I728" s="55" t="str">
        <f>IFERROR(IF($G728="","",VLOOKUP('Dashboard And Emails Automate'!$G728,Database!$H:$N,3,0)),"")</f>
        <v/>
      </c>
      <c r="J728" s="55" t="str">
        <f>IFERROR(IF($G728="","",VLOOKUP('Dashboard And Emails Automate'!$G728,Database!$H:$N,4,0)),"")</f>
        <v/>
      </c>
      <c r="K728" s="55" t="str">
        <f>IFERROR(IF($G728="","",VLOOKUP('Dashboard And Emails Automate'!$G728,Database!$H:$N,5,0)),"")</f>
        <v/>
      </c>
      <c r="L728" s="55" t="str">
        <f>IFERROR(IF($G728="","",VLOOKUP('Dashboard And Emails Automate'!$G728,Database!$H:$N,6,0)),"")</f>
        <v/>
      </c>
      <c r="M728" s="55" t="str">
        <f>IFERROR(IF($G728="","",VLOOKUP('Dashboard And Emails Automate'!$G728,Database!$H:$N,7,0)),"")</f>
        <v/>
      </c>
      <c r="N728" s="55" t="str">
        <f>IFERROR(IF(OR($B728="",$B728="(blank)"),"",VLOOKUP($B728,'Email Marketing Raw Data'!$C:$O,6,0)),"")</f>
        <v/>
      </c>
      <c r="O728" s="55" t="str">
        <f>IFERROR(IF(OR($B728="",$B728="(blank)"),"",VLOOKUP($B728,'Email Marketing Raw Data'!$C:$O,7,0)),"")</f>
        <v/>
      </c>
      <c r="P728" s="55" t="str">
        <f>IFERROR(IF(OR($B728="",$B728="(blank)"),"",VLOOKUP($B728,'Email Marketing Raw Data'!$C:$O,8,0)),"")</f>
        <v/>
      </c>
      <c r="Q728" s="62" t="str">
        <f>IFERROR(IF(OR($B728="",$B728="(blank)"),"",VLOOKUP($B728,'Email Marketing Raw Data'!$C:$O,9,0)),"")</f>
        <v/>
      </c>
    </row>
    <row r="729" spans="4:17" ht="12.75" customHeight="1" x14ac:dyDescent="0.2">
      <c r="D729" s="58" t="str">
        <f>IFERROR(IF(F729&lt;&gt;"pending","",IF(OR($B729="",$B729="(blank)"),"",VLOOKUP($B729,'Email Marketing Raw Data'!$C:$O,10,0))),"")</f>
        <v/>
      </c>
      <c r="E729" s="59" t="str">
        <f>IFERROR(IF(F729&lt;&gt;"pending","",IF(OR($B729="",$B729="(blank)"),"",VLOOKUP($B729,'Email Marketing Raw Data'!$C:$O,11,0))),"")</f>
        <v/>
      </c>
      <c r="F729" s="54" t="str">
        <f>IFERROR(IF(OR($B729="",$B729="(blank)"),"",VLOOKUP($B729,'Email Marketing Raw Data'!$C:$O,13,0)),"")</f>
        <v/>
      </c>
      <c r="G729" s="55" t="str">
        <f>IFERROR(IF(OR($B729="",$B729="(blank)"),"",VLOOKUP($B729,'Email Marketing Raw Data'!$C:$O,4,0)),"")</f>
        <v/>
      </c>
      <c r="H729" s="55" t="str">
        <f>IFERROR(IF(OR($B729="",$B729="(blank)"),"",VLOOKUP($B729,'Email Marketing Raw Data'!$C:$O,5,0)),"")</f>
        <v/>
      </c>
      <c r="I729" s="55" t="str">
        <f>IFERROR(IF($G729="","",VLOOKUP('Dashboard And Emails Automate'!$G729,Database!$H:$N,3,0)),"")</f>
        <v/>
      </c>
      <c r="J729" s="55" t="str">
        <f>IFERROR(IF($G729="","",VLOOKUP('Dashboard And Emails Automate'!$G729,Database!$H:$N,4,0)),"")</f>
        <v/>
      </c>
      <c r="K729" s="55" t="str">
        <f>IFERROR(IF($G729="","",VLOOKUP('Dashboard And Emails Automate'!$G729,Database!$H:$N,5,0)),"")</f>
        <v/>
      </c>
      <c r="L729" s="55" t="str">
        <f>IFERROR(IF($G729="","",VLOOKUP('Dashboard And Emails Automate'!$G729,Database!$H:$N,6,0)),"")</f>
        <v/>
      </c>
      <c r="M729" s="55" t="str">
        <f>IFERROR(IF($G729="","",VLOOKUP('Dashboard And Emails Automate'!$G729,Database!$H:$N,7,0)),"")</f>
        <v/>
      </c>
      <c r="N729" s="55" t="str">
        <f>IFERROR(IF(OR($B729="",$B729="(blank)"),"",VLOOKUP($B729,'Email Marketing Raw Data'!$C:$O,6,0)),"")</f>
        <v/>
      </c>
      <c r="O729" s="55" t="str">
        <f>IFERROR(IF(OR($B729="",$B729="(blank)"),"",VLOOKUP($B729,'Email Marketing Raw Data'!$C:$O,7,0)),"")</f>
        <v/>
      </c>
      <c r="P729" s="55" t="str">
        <f>IFERROR(IF(OR($B729="",$B729="(blank)"),"",VLOOKUP($B729,'Email Marketing Raw Data'!$C:$O,8,0)),"")</f>
        <v/>
      </c>
      <c r="Q729" s="62" t="str">
        <f>IFERROR(IF(OR($B729="",$B729="(blank)"),"",VLOOKUP($B729,'Email Marketing Raw Data'!$C:$O,9,0)),"")</f>
        <v/>
      </c>
    </row>
    <row r="730" spans="4:17" ht="12.75" customHeight="1" x14ac:dyDescent="0.2">
      <c r="D730" s="58" t="str">
        <f>IFERROR(IF(F730&lt;&gt;"pending","",IF(OR($B730="",$B730="(blank)"),"",VLOOKUP($B730,'Email Marketing Raw Data'!$C:$O,10,0))),"")</f>
        <v/>
      </c>
      <c r="E730" s="59" t="str">
        <f>IFERROR(IF(F730&lt;&gt;"pending","",IF(OR($B730="",$B730="(blank)"),"",VLOOKUP($B730,'Email Marketing Raw Data'!$C:$O,11,0))),"")</f>
        <v/>
      </c>
      <c r="F730" s="54" t="str">
        <f>IFERROR(IF(OR($B730="",$B730="(blank)"),"",VLOOKUP($B730,'Email Marketing Raw Data'!$C:$O,13,0)),"")</f>
        <v/>
      </c>
      <c r="G730" s="55" t="str">
        <f>IFERROR(IF(OR($B730="",$B730="(blank)"),"",VLOOKUP($B730,'Email Marketing Raw Data'!$C:$O,4,0)),"")</f>
        <v/>
      </c>
      <c r="H730" s="55" t="str">
        <f>IFERROR(IF(OR($B730="",$B730="(blank)"),"",VLOOKUP($B730,'Email Marketing Raw Data'!$C:$O,5,0)),"")</f>
        <v/>
      </c>
      <c r="I730" s="55" t="str">
        <f>IFERROR(IF($G730="","",VLOOKUP('Dashboard And Emails Automate'!$G730,Database!$H:$N,3,0)),"")</f>
        <v/>
      </c>
      <c r="J730" s="55" t="str">
        <f>IFERROR(IF($G730="","",VLOOKUP('Dashboard And Emails Automate'!$G730,Database!$H:$N,4,0)),"")</f>
        <v/>
      </c>
      <c r="K730" s="55" t="str">
        <f>IFERROR(IF($G730="","",VLOOKUP('Dashboard And Emails Automate'!$G730,Database!$H:$N,5,0)),"")</f>
        <v/>
      </c>
      <c r="L730" s="55" t="str">
        <f>IFERROR(IF($G730="","",VLOOKUP('Dashboard And Emails Automate'!$G730,Database!$H:$N,6,0)),"")</f>
        <v/>
      </c>
      <c r="M730" s="55" t="str">
        <f>IFERROR(IF($G730="","",VLOOKUP('Dashboard And Emails Automate'!$G730,Database!$H:$N,7,0)),"")</f>
        <v/>
      </c>
      <c r="N730" s="55" t="str">
        <f>IFERROR(IF(OR($B730="",$B730="(blank)"),"",VLOOKUP($B730,'Email Marketing Raw Data'!$C:$O,6,0)),"")</f>
        <v/>
      </c>
      <c r="O730" s="55" t="str">
        <f>IFERROR(IF(OR($B730="",$B730="(blank)"),"",VLOOKUP($B730,'Email Marketing Raw Data'!$C:$O,7,0)),"")</f>
        <v/>
      </c>
      <c r="P730" s="55" t="str">
        <f>IFERROR(IF(OR($B730="",$B730="(blank)"),"",VLOOKUP($B730,'Email Marketing Raw Data'!$C:$O,8,0)),"")</f>
        <v/>
      </c>
      <c r="Q730" s="62" t="str">
        <f>IFERROR(IF(OR($B730="",$B730="(blank)"),"",VLOOKUP($B730,'Email Marketing Raw Data'!$C:$O,9,0)),"")</f>
        <v/>
      </c>
    </row>
    <row r="731" spans="4:17" ht="12.75" customHeight="1" x14ac:dyDescent="0.2">
      <c r="D731" s="58" t="str">
        <f>IFERROR(IF(F731&lt;&gt;"pending","",IF(OR($B731="",$B731="(blank)"),"",VLOOKUP($B731,'Email Marketing Raw Data'!$C:$O,10,0))),"")</f>
        <v/>
      </c>
      <c r="E731" s="59" t="str">
        <f>IFERROR(IF(F731&lt;&gt;"pending","",IF(OR($B731="",$B731="(blank)"),"",VLOOKUP($B731,'Email Marketing Raw Data'!$C:$O,11,0))),"")</f>
        <v/>
      </c>
      <c r="F731" s="54" t="str">
        <f>IFERROR(IF(OR($B731="",$B731="(blank)"),"",VLOOKUP($B731,'Email Marketing Raw Data'!$C:$O,13,0)),"")</f>
        <v/>
      </c>
      <c r="G731" s="55" t="str">
        <f>IFERROR(IF(OR($B731="",$B731="(blank)"),"",VLOOKUP($B731,'Email Marketing Raw Data'!$C:$O,4,0)),"")</f>
        <v/>
      </c>
      <c r="H731" s="55" t="str">
        <f>IFERROR(IF(OR($B731="",$B731="(blank)"),"",VLOOKUP($B731,'Email Marketing Raw Data'!$C:$O,5,0)),"")</f>
        <v/>
      </c>
      <c r="I731" s="55" t="str">
        <f>IFERROR(IF($G731="","",VLOOKUP('Dashboard And Emails Automate'!$G731,Database!$H:$N,3,0)),"")</f>
        <v/>
      </c>
      <c r="J731" s="55" t="str">
        <f>IFERROR(IF($G731="","",VLOOKUP('Dashboard And Emails Automate'!$G731,Database!$H:$N,4,0)),"")</f>
        <v/>
      </c>
      <c r="K731" s="55" t="str">
        <f>IFERROR(IF($G731="","",VLOOKUP('Dashboard And Emails Automate'!$G731,Database!$H:$N,5,0)),"")</f>
        <v/>
      </c>
      <c r="L731" s="55" t="str">
        <f>IFERROR(IF($G731="","",VLOOKUP('Dashboard And Emails Automate'!$G731,Database!$H:$N,6,0)),"")</f>
        <v/>
      </c>
      <c r="M731" s="55" t="str">
        <f>IFERROR(IF($G731="","",VLOOKUP('Dashboard And Emails Automate'!$G731,Database!$H:$N,7,0)),"")</f>
        <v/>
      </c>
      <c r="N731" s="55" t="str">
        <f>IFERROR(IF(OR($B731="",$B731="(blank)"),"",VLOOKUP($B731,'Email Marketing Raw Data'!$C:$O,6,0)),"")</f>
        <v/>
      </c>
      <c r="O731" s="55" t="str">
        <f>IFERROR(IF(OR($B731="",$B731="(blank)"),"",VLOOKUP($B731,'Email Marketing Raw Data'!$C:$O,7,0)),"")</f>
        <v/>
      </c>
      <c r="P731" s="55" t="str">
        <f>IFERROR(IF(OR($B731="",$B731="(blank)"),"",VLOOKUP($B731,'Email Marketing Raw Data'!$C:$O,8,0)),"")</f>
        <v/>
      </c>
      <c r="Q731" s="62" t="str">
        <f>IFERROR(IF(OR($B731="",$B731="(blank)"),"",VLOOKUP($B731,'Email Marketing Raw Data'!$C:$O,9,0)),"")</f>
        <v/>
      </c>
    </row>
    <row r="732" spans="4:17" ht="12.75" customHeight="1" x14ac:dyDescent="0.2">
      <c r="D732" s="58" t="str">
        <f>IFERROR(IF(F732&lt;&gt;"pending","",IF(OR($B732="",$B732="(blank)"),"",VLOOKUP($B732,'Email Marketing Raw Data'!$C:$O,10,0))),"")</f>
        <v/>
      </c>
      <c r="E732" s="59" t="str">
        <f>IFERROR(IF(F732&lt;&gt;"pending","",IF(OR($B732="",$B732="(blank)"),"",VLOOKUP($B732,'Email Marketing Raw Data'!$C:$O,11,0))),"")</f>
        <v/>
      </c>
      <c r="F732" s="54" t="str">
        <f>IFERROR(IF(OR($B732="",$B732="(blank)"),"",VLOOKUP($B732,'Email Marketing Raw Data'!$C:$O,13,0)),"")</f>
        <v/>
      </c>
      <c r="G732" s="55" t="str">
        <f>IFERROR(IF(OR($B732="",$B732="(blank)"),"",VLOOKUP($B732,'Email Marketing Raw Data'!$C:$O,4,0)),"")</f>
        <v/>
      </c>
      <c r="H732" s="55" t="str">
        <f>IFERROR(IF(OR($B732="",$B732="(blank)"),"",VLOOKUP($B732,'Email Marketing Raw Data'!$C:$O,5,0)),"")</f>
        <v/>
      </c>
      <c r="I732" s="55" t="str">
        <f>IFERROR(IF($G732="","",VLOOKUP('Dashboard And Emails Automate'!$G732,Database!$H:$N,3,0)),"")</f>
        <v/>
      </c>
      <c r="J732" s="55" t="str">
        <f>IFERROR(IF($G732="","",VLOOKUP('Dashboard And Emails Automate'!$G732,Database!$H:$N,4,0)),"")</f>
        <v/>
      </c>
      <c r="K732" s="55" t="str">
        <f>IFERROR(IF($G732="","",VLOOKUP('Dashboard And Emails Automate'!$G732,Database!$H:$N,5,0)),"")</f>
        <v/>
      </c>
      <c r="L732" s="55" t="str">
        <f>IFERROR(IF($G732="","",VLOOKUP('Dashboard And Emails Automate'!$G732,Database!$H:$N,6,0)),"")</f>
        <v/>
      </c>
      <c r="M732" s="55" t="str">
        <f>IFERROR(IF($G732="","",VLOOKUP('Dashboard And Emails Automate'!$G732,Database!$H:$N,7,0)),"")</f>
        <v/>
      </c>
      <c r="N732" s="55" t="str">
        <f>IFERROR(IF(OR($B732="",$B732="(blank)"),"",VLOOKUP($B732,'Email Marketing Raw Data'!$C:$O,6,0)),"")</f>
        <v/>
      </c>
      <c r="O732" s="55" t="str">
        <f>IFERROR(IF(OR($B732="",$B732="(blank)"),"",VLOOKUP($B732,'Email Marketing Raw Data'!$C:$O,7,0)),"")</f>
        <v/>
      </c>
      <c r="P732" s="55" t="str">
        <f>IFERROR(IF(OR($B732="",$B732="(blank)"),"",VLOOKUP($B732,'Email Marketing Raw Data'!$C:$O,8,0)),"")</f>
        <v/>
      </c>
      <c r="Q732" s="62" t="str">
        <f>IFERROR(IF(OR($B732="",$B732="(blank)"),"",VLOOKUP($B732,'Email Marketing Raw Data'!$C:$O,9,0)),"")</f>
        <v/>
      </c>
    </row>
    <row r="733" spans="4:17" ht="12.75" customHeight="1" x14ac:dyDescent="0.2">
      <c r="D733" s="58" t="str">
        <f>IFERROR(IF(F733&lt;&gt;"pending","",IF(OR($B733="",$B733="(blank)"),"",VLOOKUP($B733,'Email Marketing Raw Data'!$C:$O,10,0))),"")</f>
        <v/>
      </c>
      <c r="E733" s="59" t="str">
        <f>IFERROR(IF(F733&lt;&gt;"pending","",IF(OR($B733="",$B733="(blank)"),"",VLOOKUP($B733,'Email Marketing Raw Data'!$C:$O,11,0))),"")</f>
        <v/>
      </c>
      <c r="F733" s="54" t="str">
        <f>IFERROR(IF(OR($B733="",$B733="(blank)"),"",VLOOKUP($B733,'Email Marketing Raw Data'!$C:$O,13,0)),"")</f>
        <v/>
      </c>
      <c r="G733" s="55" t="str">
        <f>IFERROR(IF(OR($B733="",$B733="(blank)"),"",VLOOKUP($B733,'Email Marketing Raw Data'!$C:$O,4,0)),"")</f>
        <v/>
      </c>
      <c r="H733" s="55" t="str">
        <f>IFERROR(IF(OR($B733="",$B733="(blank)"),"",VLOOKUP($B733,'Email Marketing Raw Data'!$C:$O,5,0)),"")</f>
        <v/>
      </c>
      <c r="I733" s="55" t="str">
        <f>IFERROR(IF($G733="","",VLOOKUP('Dashboard And Emails Automate'!$G733,Database!$H:$N,3,0)),"")</f>
        <v/>
      </c>
      <c r="J733" s="55" t="str">
        <f>IFERROR(IF($G733="","",VLOOKUP('Dashboard And Emails Automate'!$G733,Database!$H:$N,4,0)),"")</f>
        <v/>
      </c>
      <c r="K733" s="55" t="str">
        <f>IFERROR(IF($G733="","",VLOOKUP('Dashboard And Emails Automate'!$G733,Database!$H:$N,5,0)),"")</f>
        <v/>
      </c>
      <c r="L733" s="55" t="str">
        <f>IFERROR(IF($G733="","",VLOOKUP('Dashboard And Emails Automate'!$G733,Database!$H:$N,6,0)),"")</f>
        <v/>
      </c>
      <c r="M733" s="55" t="str">
        <f>IFERROR(IF($G733="","",VLOOKUP('Dashboard And Emails Automate'!$G733,Database!$H:$N,7,0)),"")</f>
        <v/>
      </c>
      <c r="N733" s="55" t="str">
        <f>IFERROR(IF(OR($B733="",$B733="(blank)"),"",VLOOKUP($B733,'Email Marketing Raw Data'!$C:$O,6,0)),"")</f>
        <v/>
      </c>
      <c r="O733" s="55" t="str">
        <f>IFERROR(IF(OR($B733="",$B733="(blank)"),"",VLOOKUP($B733,'Email Marketing Raw Data'!$C:$O,7,0)),"")</f>
        <v/>
      </c>
      <c r="P733" s="55" t="str">
        <f>IFERROR(IF(OR($B733="",$B733="(blank)"),"",VLOOKUP($B733,'Email Marketing Raw Data'!$C:$O,8,0)),"")</f>
        <v/>
      </c>
      <c r="Q733" s="62" t="str">
        <f>IFERROR(IF(OR($B733="",$B733="(blank)"),"",VLOOKUP($B733,'Email Marketing Raw Data'!$C:$O,9,0)),"")</f>
        <v/>
      </c>
    </row>
    <row r="734" spans="4:17" ht="12.75" customHeight="1" x14ac:dyDescent="0.2">
      <c r="D734" s="58" t="str">
        <f>IFERROR(IF(F734&lt;&gt;"pending","",IF(OR($B734="",$B734="(blank)"),"",VLOOKUP($B734,'Email Marketing Raw Data'!$C:$O,10,0))),"")</f>
        <v/>
      </c>
      <c r="E734" s="59" t="str">
        <f>IFERROR(IF(F734&lt;&gt;"pending","",IF(OR($B734="",$B734="(blank)"),"",VLOOKUP($B734,'Email Marketing Raw Data'!$C:$O,11,0))),"")</f>
        <v/>
      </c>
      <c r="F734" s="54" t="str">
        <f>IFERROR(IF(OR($B734="",$B734="(blank)"),"",VLOOKUP($B734,'Email Marketing Raw Data'!$C:$O,13,0)),"")</f>
        <v/>
      </c>
      <c r="G734" s="55" t="str">
        <f>IFERROR(IF(OR($B734="",$B734="(blank)"),"",VLOOKUP($B734,'Email Marketing Raw Data'!$C:$O,4,0)),"")</f>
        <v/>
      </c>
      <c r="H734" s="55" t="str">
        <f>IFERROR(IF(OR($B734="",$B734="(blank)"),"",VLOOKUP($B734,'Email Marketing Raw Data'!$C:$O,5,0)),"")</f>
        <v/>
      </c>
      <c r="I734" s="55" t="str">
        <f>IFERROR(IF($G734="","",VLOOKUP('Dashboard And Emails Automate'!$G734,Database!$H:$N,3,0)),"")</f>
        <v/>
      </c>
      <c r="J734" s="55" t="str">
        <f>IFERROR(IF($G734="","",VLOOKUP('Dashboard And Emails Automate'!$G734,Database!$H:$N,4,0)),"")</f>
        <v/>
      </c>
      <c r="K734" s="55" t="str">
        <f>IFERROR(IF($G734="","",VLOOKUP('Dashboard And Emails Automate'!$G734,Database!$H:$N,5,0)),"")</f>
        <v/>
      </c>
      <c r="L734" s="55" t="str">
        <f>IFERROR(IF($G734="","",VLOOKUP('Dashboard And Emails Automate'!$G734,Database!$H:$N,6,0)),"")</f>
        <v/>
      </c>
      <c r="M734" s="55" t="str">
        <f>IFERROR(IF($G734="","",VLOOKUP('Dashboard And Emails Automate'!$G734,Database!$H:$N,7,0)),"")</f>
        <v/>
      </c>
      <c r="N734" s="55" t="str">
        <f>IFERROR(IF(OR($B734="",$B734="(blank)"),"",VLOOKUP($B734,'Email Marketing Raw Data'!$C:$O,6,0)),"")</f>
        <v/>
      </c>
      <c r="O734" s="55" t="str">
        <f>IFERROR(IF(OR($B734="",$B734="(blank)"),"",VLOOKUP($B734,'Email Marketing Raw Data'!$C:$O,7,0)),"")</f>
        <v/>
      </c>
      <c r="P734" s="55" t="str">
        <f>IFERROR(IF(OR($B734="",$B734="(blank)"),"",VLOOKUP($B734,'Email Marketing Raw Data'!$C:$O,8,0)),"")</f>
        <v/>
      </c>
      <c r="Q734" s="62" t="str">
        <f>IFERROR(IF(OR($B734="",$B734="(blank)"),"",VLOOKUP($B734,'Email Marketing Raw Data'!$C:$O,9,0)),"")</f>
        <v/>
      </c>
    </row>
    <row r="735" spans="4:17" ht="12.75" customHeight="1" x14ac:dyDescent="0.2">
      <c r="D735" s="58" t="str">
        <f>IFERROR(IF(F735&lt;&gt;"pending","",IF(OR($B735="",$B735="(blank)"),"",VLOOKUP($B735,'Email Marketing Raw Data'!$C:$O,10,0))),"")</f>
        <v/>
      </c>
      <c r="E735" s="59" t="str">
        <f>IFERROR(IF(F735&lt;&gt;"pending","",IF(OR($B735="",$B735="(blank)"),"",VLOOKUP($B735,'Email Marketing Raw Data'!$C:$O,11,0))),"")</f>
        <v/>
      </c>
      <c r="F735" s="54" t="str">
        <f>IFERROR(IF(OR($B735="",$B735="(blank)"),"",VLOOKUP($B735,'Email Marketing Raw Data'!$C:$O,13,0)),"")</f>
        <v/>
      </c>
      <c r="G735" s="55" t="str">
        <f>IFERROR(IF(OR($B735="",$B735="(blank)"),"",VLOOKUP($B735,'Email Marketing Raw Data'!$C:$O,4,0)),"")</f>
        <v/>
      </c>
      <c r="H735" s="55" t="str">
        <f>IFERROR(IF(OR($B735="",$B735="(blank)"),"",VLOOKUP($B735,'Email Marketing Raw Data'!$C:$O,5,0)),"")</f>
        <v/>
      </c>
      <c r="I735" s="55" t="str">
        <f>IFERROR(IF($G735="","",VLOOKUP('Dashboard And Emails Automate'!$G735,Database!$H:$N,3,0)),"")</f>
        <v/>
      </c>
      <c r="J735" s="55" t="str">
        <f>IFERROR(IF($G735="","",VLOOKUP('Dashboard And Emails Automate'!$G735,Database!$H:$N,4,0)),"")</f>
        <v/>
      </c>
      <c r="K735" s="55" t="str">
        <f>IFERROR(IF($G735="","",VLOOKUP('Dashboard And Emails Automate'!$G735,Database!$H:$N,5,0)),"")</f>
        <v/>
      </c>
      <c r="L735" s="55" t="str">
        <f>IFERROR(IF($G735="","",VLOOKUP('Dashboard And Emails Automate'!$G735,Database!$H:$N,6,0)),"")</f>
        <v/>
      </c>
      <c r="M735" s="55" t="str">
        <f>IFERROR(IF($G735="","",VLOOKUP('Dashboard And Emails Automate'!$G735,Database!$H:$N,7,0)),"")</f>
        <v/>
      </c>
      <c r="N735" s="55" t="str">
        <f>IFERROR(IF(OR($B735="",$B735="(blank)"),"",VLOOKUP($B735,'Email Marketing Raw Data'!$C:$O,6,0)),"")</f>
        <v/>
      </c>
      <c r="O735" s="55" t="str">
        <f>IFERROR(IF(OR($B735="",$B735="(blank)"),"",VLOOKUP($B735,'Email Marketing Raw Data'!$C:$O,7,0)),"")</f>
        <v/>
      </c>
      <c r="P735" s="55" t="str">
        <f>IFERROR(IF(OR($B735="",$B735="(blank)"),"",VLOOKUP($B735,'Email Marketing Raw Data'!$C:$O,8,0)),"")</f>
        <v/>
      </c>
      <c r="Q735" s="62" t="str">
        <f>IFERROR(IF(OR($B735="",$B735="(blank)"),"",VLOOKUP($B735,'Email Marketing Raw Data'!$C:$O,9,0)),"")</f>
        <v/>
      </c>
    </row>
    <row r="736" spans="4:17" ht="12.75" customHeight="1" x14ac:dyDescent="0.2">
      <c r="D736" s="58" t="str">
        <f>IFERROR(IF(F736&lt;&gt;"pending","",IF(OR($B736="",$B736="(blank)"),"",VLOOKUP($B736,'Email Marketing Raw Data'!$C:$O,10,0))),"")</f>
        <v/>
      </c>
      <c r="E736" s="59" t="str">
        <f>IFERROR(IF(F736&lt;&gt;"pending","",IF(OR($B736="",$B736="(blank)"),"",VLOOKUP($B736,'Email Marketing Raw Data'!$C:$O,11,0))),"")</f>
        <v/>
      </c>
      <c r="F736" s="54" t="str">
        <f>IFERROR(IF(OR($B736="",$B736="(blank)"),"",VLOOKUP($B736,'Email Marketing Raw Data'!$C:$O,13,0)),"")</f>
        <v/>
      </c>
      <c r="G736" s="55" t="str">
        <f>IFERROR(IF(OR($B736="",$B736="(blank)"),"",VLOOKUP($B736,'Email Marketing Raw Data'!$C:$O,4,0)),"")</f>
        <v/>
      </c>
      <c r="H736" s="55" t="str">
        <f>IFERROR(IF(OR($B736="",$B736="(blank)"),"",VLOOKUP($B736,'Email Marketing Raw Data'!$C:$O,5,0)),"")</f>
        <v/>
      </c>
      <c r="I736" s="55" t="str">
        <f>IFERROR(IF($G736="","",VLOOKUP('Dashboard And Emails Automate'!$G736,Database!$H:$N,3,0)),"")</f>
        <v/>
      </c>
      <c r="J736" s="55" t="str">
        <f>IFERROR(IF($G736="","",VLOOKUP('Dashboard And Emails Automate'!$G736,Database!$H:$N,4,0)),"")</f>
        <v/>
      </c>
      <c r="K736" s="55" t="str">
        <f>IFERROR(IF($G736="","",VLOOKUP('Dashboard And Emails Automate'!$G736,Database!$H:$N,5,0)),"")</f>
        <v/>
      </c>
      <c r="L736" s="55" t="str">
        <f>IFERROR(IF($G736="","",VLOOKUP('Dashboard And Emails Automate'!$G736,Database!$H:$N,6,0)),"")</f>
        <v/>
      </c>
      <c r="M736" s="55" t="str">
        <f>IFERROR(IF($G736="","",VLOOKUP('Dashboard And Emails Automate'!$G736,Database!$H:$N,7,0)),"")</f>
        <v/>
      </c>
      <c r="N736" s="55" t="str">
        <f>IFERROR(IF(OR($B736="",$B736="(blank)"),"",VLOOKUP($B736,'Email Marketing Raw Data'!$C:$O,6,0)),"")</f>
        <v/>
      </c>
      <c r="O736" s="55" t="str">
        <f>IFERROR(IF(OR($B736="",$B736="(blank)"),"",VLOOKUP($B736,'Email Marketing Raw Data'!$C:$O,7,0)),"")</f>
        <v/>
      </c>
      <c r="P736" s="55" t="str">
        <f>IFERROR(IF(OR($B736="",$B736="(blank)"),"",VLOOKUP($B736,'Email Marketing Raw Data'!$C:$O,8,0)),"")</f>
        <v/>
      </c>
      <c r="Q736" s="62" t="str">
        <f>IFERROR(IF(OR($B736="",$B736="(blank)"),"",VLOOKUP($B736,'Email Marketing Raw Data'!$C:$O,9,0)),"")</f>
        <v/>
      </c>
    </row>
    <row r="737" spans="4:17" ht="12.75" customHeight="1" x14ac:dyDescent="0.2">
      <c r="D737" s="58" t="str">
        <f>IFERROR(IF(F737&lt;&gt;"pending","",IF(OR($B737="",$B737="(blank)"),"",VLOOKUP($B737,'Email Marketing Raw Data'!$C:$O,10,0))),"")</f>
        <v/>
      </c>
      <c r="E737" s="59" t="str">
        <f>IFERROR(IF(F737&lt;&gt;"pending","",IF(OR($B737="",$B737="(blank)"),"",VLOOKUP($B737,'Email Marketing Raw Data'!$C:$O,11,0))),"")</f>
        <v/>
      </c>
      <c r="F737" s="54" t="str">
        <f>IFERROR(IF(OR($B737="",$B737="(blank)"),"",VLOOKUP($B737,'Email Marketing Raw Data'!$C:$O,13,0)),"")</f>
        <v/>
      </c>
      <c r="G737" s="55" t="str">
        <f>IFERROR(IF(OR($B737="",$B737="(blank)"),"",VLOOKUP($B737,'Email Marketing Raw Data'!$C:$O,4,0)),"")</f>
        <v/>
      </c>
      <c r="H737" s="55" t="str">
        <f>IFERROR(IF(OR($B737="",$B737="(blank)"),"",VLOOKUP($B737,'Email Marketing Raw Data'!$C:$O,5,0)),"")</f>
        <v/>
      </c>
      <c r="I737" s="55" t="str">
        <f>IFERROR(IF($G737="","",VLOOKUP('Dashboard And Emails Automate'!$G737,Database!$H:$N,3,0)),"")</f>
        <v/>
      </c>
      <c r="J737" s="55" t="str">
        <f>IFERROR(IF($G737="","",VLOOKUP('Dashboard And Emails Automate'!$G737,Database!$H:$N,4,0)),"")</f>
        <v/>
      </c>
      <c r="K737" s="55" t="str">
        <f>IFERROR(IF($G737="","",VLOOKUP('Dashboard And Emails Automate'!$G737,Database!$H:$N,5,0)),"")</f>
        <v/>
      </c>
      <c r="L737" s="55" t="str">
        <f>IFERROR(IF($G737="","",VLOOKUP('Dashboard And Emails Automate'!$G737,Database!$H:$N,6,0)),"")</f>
        <v/>
      </c>
      <c r="M737" s="55" t="str">
        <f>IFERROR(IF($G737="","",VLOOKUP('Dashboard And Emails Automate'!$G737,Database!$H:$N,7,0)),"")</f>
        <v/>
      </c>
      <c r="N737" s="55" t="str">
        <f>IFERROR(IF(OR($B737="",$B737="(blank)"),"",VLOOKUP($B737,'Email Marketing Raw Data'!$C:$O,6,0)),"")</f>
        <v/>
      </c>
      <c r="O737" s="55" t="str">
        <f>IFERROR(IF(OR($B737="",$B737="(blank)"),"",VLOOKUP($B737,'Email Marketing Raw Data'!$C:$O,7,0)),"")</f>
        <v/>
      </c>
      <c r="P737" s="55" t="str">
        <f>IFERROR(IF(OR($B737="",$B737="(blank)"),"",VLOOKUP($B737,'Email Marketing Raw Data'!$C:$O,8,0)),"")</f>
        <v/>
      </c>
      <c r="Q737" s="62" t="str">
        <f>IFERROR(IF(OR($B737="",$B737="(blank)"),"",VLOOKUP($B737,'Email Marketing Raw Data'!$C:$O,9,0)),"")</f>
        <v/>
      </c>
    </row>
    <row r="738" spans="4:17" ht="12.75" customHeight="1" x14ac:dyDescent="0.2">
      <c r="D738" s="58" t="str">
        <f>IFERROR(IF(F738&lt;&gt;"pending","",IF(OR($B738="",$B738="(blank)"),"",VLOOKUP($B738,'Email Marketing Raw Data'!$C:$O,10,0))),"")</f>
        <v/>
      </c>
      <c r="E738" s="59" t="str">
        <f>IFERROR(IF(F738&lt;&gt;"pending","",IF(OR($B738="",$B738="(blank)"),"",VLOOKUP($B738,'Email Marketing Raw Data'!$C:$O,11,0))),"")</f>
        <v/>
      </c>
      <c r="F738" s="54" t="str">
        <f>IFERROR(IF(OR($B738="",$B738="(blank)"),"",VLOOKUP($B738,'Email Marketing Raw Data'!$C:$O,13,0)),"")</f>
        <v/>
      </c>
      <c r="G738" s="55" t="str">
        <f>IFERROR(IF(OR($B738="",$B738="(blank)"),"",VLOOKUP($B738,'Email Marketing Raw Data'!$C:$O,4,0)),"")</f>
        <v/>
      </c>
      <c r="H738" s="55" t="str">
        <f>IFERROR(IF(OR($B738="",$B738="(blank)"),"",VLOOKUP($B738,'Email Marketing Raw Data'!$C:$O,5,0)),"")</f>
        <v/>
      </c>
      <c r="I738" s="55" t="str">
        <f>IFERROR(IF($G738="","",VLOOKUP('Dashboard And Emails Automate'!$G738,Database!$H:$N,3,0)),"")</f>
        <v/>
      </c>
      <c r="J738" s="55" t="str">
        <f>IFERROR(IF($G738="","",VLOOKUP('Dashboard And Emails Automate'!$G738,Database!$H:$N,4,0)),"")</f>
        <v/>
      </c>
      <c r="K738" s="55" t="str">
        <f>IFERROR(IF($G738="","",VLOOKUP('Dashboard And Emails Automate'!$G738,Database!$H:$N,5,0)),"")</f>
        <v/>
      </c>
      <c r="L738" s="55" t="str">
        <f>IFERROR(IF($G738="","",VLOOKUP('Dashboard And Emails Automate'!$G738,Database!$H:$N,6,0)),"")</f>
        <v/>
      </c>
      <c r="M738" s="55" t="str">
        <f>IFERROR(IF($G738="","",VLOOKUP('Dashboard And Emails Automate'!$G738,Database!$H:$N,7,0)),"")</f>
        <v/>
      </c>
      <c r="N738" s="55" t="str">
        <f>IFERROR(IF(OR($B738="",$B738="(blank)"),"",VLOOKUP($B738,'Email Marketing Raw Data'!$C:$O,6,0)),"")</f>
        <v/>
      </c>
      <c r="O738" s="55" t="str">
        <f>IFERROR(IF(OR($B738="",$B738="(blank)"),"",VLOOKUP($B738,'Email Marketing Raw Data'!$C:$O,7,0)),"")</f>
        <v/>
      </c>
      <c r="P738" s="55" t="str">
        <f>IFERROR(IF(OR($B738="",$B738="(blank)"),"",VLOOKUP($B738,'Email Marketing Raw Data'!$C:$O,8,0)),"")</f>
        <v/>
      </c>
      <c r="Q738" s="62" t="str">
        <f>IFERROR(IF(OR($B738="",$B738="(blank)"),"",VLOOKUP($B738,'Email Marketing Raw Data'!$C:$O,9,0)),"")</f>
        <v/>
      </c>
    </row>
    <row r="739" spans="4:17" ht="12.75" customHeight="1" x14ac:dyDescent="0.2">
      <c r="D739" s="58" t="str">
        <f>IFERROR(IF(F739&lt;&gt;"pending","",IF(OR($B739="",$B739="(blank)"),"",VLOOKUP($B739,'Email Marketing Raw Data'!$C:$O,10,0))),"")</f>
        <v/>
      </c>
      <c r="E739" s="59" t="str">
        <f>IFERROR(IF(F739&lt;&gt;"pending","",IF(OR($B739="",$B739="(blank)"),"",VLOOKUP($B739,'Email Marketing Raw Data'!$C:$O,11,0))),"")</f>
        <v/>
      </c>
      <c r="F739" s="54" t="str">
        <f>IFERROR(IF(OR($B739="",$B739="(blank)"),"",VLOOKUP($B739,'Email Marketing Raw Data'!$C:$O,13,0)),"")</f>
        <v/>
      </c>
      <c r="G739" s="55" t="str">
        <f>IFERROR(IF(OR($B739="",$B739="(blank)"),"",VLOOKUP($B739,'Email Marketing Raw Data'!$C:$O,4,0)),"")</f>
        <v/>
      </c>
      <c r="H739" s="55" t="str">
        <f>IFERROR(IF(OR($B739="",$B739="(blank)"),"",VLOOKUP($B739,'Email Marketing Raw Data'!$C:$O,5,0)),"")</f>
        <v/>
      </c>
      <c r="I739" s="55" t="str">
        <f>IFERROR(IF($G739="","",VLOOKUP('Dashboard And Emails Automate'!$G739,Database!$H:$N,3,0)),"")</f>
        <v/>
      </c>
      <c r="J739" s="55" t="str">
        <f>IFERROR(IF($G739="","",VLOOKUP('Dashboard And Emails Automate'!$G739,Database!$H:$N,4,0)),"")</f>
        <v/>
      </c>
      <c r="K739" s="55" t="str">
        <f>IFERROR(IF($G739="","",VLOOKUP('Dashboard And Emails Automate'!$G739,Database!$H:$N,5,0)),"")</f>
        <v/>
      </c>
      <c r="L739" s="55" t="str">
        <f>IFERROR(IF($G739="","",VLOOKUP('Dashboard And Emails Automate'!$G739,Database!$H:$N,6,0)),"")</f>
        <v/>
      </c>
      <c r="M739" s="55" t="str">
        <f>IFERROR(IF($G739="","",VLOOKUP('Dashboard And Emails Automate'!$G739,Database!$H:$N,7,0)),"")</f>
        <v/>
      </c>
      <c r="N739" s="55" t="str">
        <f>IFERROR(IF(OR($B739="",$B739="(blank)"),"",VLOOKUP($B739,'Email Marketing Raw Data'!$C:$O,6,0)),"")</f>
        <v/>
      </c>
      <c r="O739" s="55" t="str">
        <f>IFERROR(IF(OR($B739="",$B739="(blank)"),"",VLOOKUP($B739,'Email Marketing Raw Data'!$C:$O,7,0)),"")</f>
        <v/>
      </c>
      <c r="P739" s="55" t="str">
        <f>IFERROR(IF(OR($B739="",$B739="(blank)"),"",VLOOKUP($B739,'Email Marketing Raw Data'!$C:$O,8,0)),"")</f>
        <v/>
      </c>
      <c r="Q739" s="62" t="str">
        <f>IFERROR(IF(OR($B739="",$B739="(blank)"),"",VLOOKUP($B739,'Email Marketing Raw Data'!$C:$O,9,0)),"")</f>
        <v/>
      </c>
    </row>
    <row r="740" spans="4:17" ht="12.75" customHeight="1" x14ac:dyDescent="0.2">
      <c r="D740" s="58" t="str">
        <f>IFERROR(IF(F740&lt;&gt;"pending","",IF(OR($B740="",$B740="(blank)"),"",VLOOKUP($B740,'Email Marketing Raw Data'!$C:$O,10,0))),"")</f>
        <v/>
      </c>
      <c r="E740" s="59" t="str">
        <f>IFERROR(IF(F740&lt;&gt;"pending","",IF(OR($B740="",$B740="(blank)"),"",VLOOKUP($B740,'Email Marketing Raw Data'!$C:$O,11,0))),"")</f>
        <v/>
      </c>
      <c r="F740" s="54" t="str">
        <f>IFERROR(IF(OR($B740="",$B740="(blank)"),"",VLOOKUP($B740,'Email Marketing Raw Data'!$C:$O,13,0)),"")</f>
        <v/>
      </c>
      <c r="G740" s="55" t="str">
        <f>IFERROR(IF(OR($B740="",$B740="(blank)"),"",VLOOKUP($B740,'Email Marketing Raw Data'!$C:$O,4,0)),"")</f>
        <v/>
      </c>
      <c r="H740" s="55" t="str">
        <f>IFERROR(IF(OR($B740="",$B740="(blank)"),"",VLOOKUP($B740,'Email Marketing Raw Data'!$C:$O,5,0)),"")</f>
        <v/>
      </c>
      <c r="I740" s="55" t="str">
        <f>IFERROR(IF($G740="","",VLOOKUP('Dashboard And Emails Automate'!$G740,Database!$H:$N,3,0)),"")</f>
        <v/>
      </c>
      <c r="J740" s="55" t="str">
        <f>IFERROR(IF($G740="","",VLOOKUP('Dashboard And Emails Automate'!$G740,Database!$H:$N,4,0)),"")</f>
        <v/>
      </c>
      <c r="K740" s="55" t="str">
        <f>IFERROR(IF($G740="","",VLOOKUP('Dashboard And Emails Automate'!$G740,Database!$H:$N,5,0)),"")</f>
        <v/>
      </c>
      <c r="L740" s="55" t="str">
        <f>IFERROR(IF($G740="","",VLOOKUP('Dashboard And Emails Automate'!$G740,Database!$H:$N,6,0)),"")</f>
        <v/>
      </c>
      <c r="M740" s="55" t="str">
        <f>IFERROR(IF($G740="","",VLOOKUP('Dashboard And Emails Automate'!$G740,Database!$H:$N,7,0)),"")</f>
        <v/>
      </c>
      <c r="N740" s="55" t="str">
        <f>IFERROR(IF(OR($B740="",$B740="(blank)"),"",VLOOKUP($B740,'Email Marketing Raw Data'!$C:$O,6,0)),"")</f>
        <v/>
      </c>
      <c r="O740" s="55" t="str">
        <f>IFERROR(IF(OR($B740="",$B740="(blank)"),"",VLOOKUP($B740,'Email Marketing Raw Data'!$C:$O,7,0)),"")</f>
        <v/>
      </c>
      <c r="P740" s="55" t="str">
        <f>IFERROR(IF(OR($B740="",$B740="(blank)"),"",VLOOKUP($B740,'Email Marketing Raw Data'!$C:$O,8,0)),"")</f>
        <v/>
      </c>
      <c r="Q740" s="62" t="str">
        <f>IFERROR(IF(OR($B740="",$B740="(blank)"),"",VLOOKUP($B740,'Email Marketing Raw Data'!$C:$O,9,0)),"")</f>
        <v/>
      </c>
    </row>
    <row r="741" spans="4:17" ht="12.75" customHeight="1" x14ac:dyDescent="0.2">
      <c r="D741" s="58" t="str">
        <f>IFERROR(IF(F741&lt;&gt;"pending","",IF(OR($B741="",$B741="(blank)"),"",VLOOKUP($B741,'Email Marketing Raw Data'!$C:$O,10,0))),"")</f>
        <v/>
      </c>
      <c r="E741" s="59" t="str">
        <f>IFERROR(IF(F741&lt;&gt;"pending","",IF(OR($B741="",$B741="(blank)"),"",VLOOKUP($B741,'Email Marketing Raw Data'!$C:$O,11,0))),"")</f>
        <v/>
      </c>
      <c r="F741" s="54" t="str">
        <f>IFERROR(IF(OR($B741="",$B741="(blank)"),"",VLOOKUP($B741,'Email Marketing Raw Data'!$C:$O,13,0)),"")</f>
        <v/>
      </c>
      <c r="G741" s="55" t="str">
        <f>IFERROR(IF(OR($B741="",$B741="(blank)"),"",VLOOKUP($B741,'Email Marketing Raw Data'!$C:$O,4,0)),"")</f>
        <v/>
      </c>
      <c r="H741" s="55" t="str">
        <f>IFERROR(IF(OR($B741="",$B741="(blank)"),"",VLOOKUP($B741,'Email Marketing Raw Data'!$C:$O,5,0)),"")</f>
        <v/>
      </c>
      <c r="I741" s="55" t="str">
        <f>IFERROR(IF($G741="","",VLOOKUP('Dashboard And Emails Automate'!$G741,Database!$H:$N,3,0)),"")</f>
        <v/>
      </c>
      <c r="J741" s="55" t="str">
        <f>IFERROR(IF($G741="","",VLOOKUP('Dashboard And Emails Automate'!$G741,Database!$H:$N,4,0)),"")</f>
        <v/>
      </c>
      <c r="K741" s="55" t="str">
        <f>IFERROR(IF($G741="","",VLOOKUP('Dashboard And Emails Automate'!$G741,Database!$H:$N,5,0)),"")</f>
        <v/>
      </c>
      <c r="L741" s="55" t="str">
        <f>IFERROR(IF($G741="","",VLOOKUP('Dashboard And Emails Automate'!$G741,Database!$H:$N,6,0)),"")</f>
        <v/>
      </c>
      <c r="M741" s="55" t="str">
        <f>IFERROR(IF($G741="","",VLOOKUP('Dashboard And Emails Automate'!$G741,Database!$H:$N,7,0)),"")</f>
        <v/>
      </c>
      <c r="N741" s="55" t="str">
        <f>IFERROR(IF(OR($B741="",$B741="(blank)"),"",VLOOKUP($B741,'Email Marketing Raw Data'!$C:$O,6,0)),"")</f>
        <v/>
      </c>
      <c r="O741" s="55" t="str">
        <f>IFERROR(IF(OR($B741="",$B741="(blank)"),"",VLOOKUP($B741,'Email Marketing Raw Data'!$C:$O,7,0)),"")</f>
        <v/>
      </c>
      <c r="P741" s="55" t="str">
        <f>IFERROR(IF(OR($B741="",$B741="(blank)"),"",VLOOKUP($B741,'Email Marketing Raw Data'!$C:$O,8,0)),"")</f>
        <v/>
      </c>
      <c r="Q741" s="62" t="str">
        <f>IFERROR(IF(OR($B741="",$B741="(blank)"),"",VLOOKUP($B741,'Email Marketing Raw Data'!$C:$O,9,0)),"")</f>
        <v/>
      </c>
    </row>
    <row r="742" spans="4:17" ht="12.75" customHeight="1" x14ac:dyDescent="0.2">
      <c r="D742" s="58" t="str">
        <f>IFERROR(IF(F742&lt;&gt;"pending","",IF(OR($B742="",$B742="(blank)"),"",VLOOKUP($B742,'Email Marketing Raw Data'!$C:$O,10,0))),"")</f>
        <v/>
      </c>
      <c r="E742" s="59" t="str">
        <f>IFERROR(IF(F742&lt;&gt;"pending","",IF(OR($B742="",$B742="(blank)"),"",VLOOKUP($B742,'Email Marketing Raw Data'!$C:$O,11,0))),"")</f>
        <v/>
      </c>
      <c r="F742" s="54" t="str">
        <f>IFERROR(IF(OR($B742="",$B742="(blank)"),"",VLOOKUP($B742,'Email Marketing Raw Data'!$C:$O,13,0)),"")</f>
        <v/>
      </c>
      <c r="G742" s="55" t="str">
        <f>IFERROR(IF(OR($B742="",$B742="(blank)"),"",VLOOKUP($B742,'Email Marketing Raw Data'!$C:$O,4,0)),"")</f>
        <v/>
      </c>
      <c r="H742" s="55" t="str">
        <f>IFERROR(IF(OR($B742="",$B742="(blank)"),"",VLOOKUP($B742,'Email Marketing Raw Data'!$C:$O,5,0)),"")</f>
        <v/>
      </c>
      <c r="I742" s="55" t="str">
        <f>IFERROR(IF($G742="","",VLOOKUP('Dashboard And Emails Automate'!$G742,Database!$H:$N,3,0)),"")</f>
        <v/>
      </c>
      <c r="J742" s="55" t="str">
        <f>IFERROR(IF($G742="","",VLOOKUP('Dashboard And Emails Automate'!$G742,Database!$H:$N,4,0)),"")</f>
        <v/>
      </c>
      <c r="K742" s="55" t="str">
        <f>IFERROR(IF($G742="","",VLOOKUP('Dashboard And Emails Automate'!$G742,Database!$H:$N,5,0)),"")</f>
        <v/>
      </c>
      <c r="L742" s="55" t="str">
        <f>IFERROR(IF($G742="","",VLOOKUP('Dashboard And Emails Automate'!$G742,Database!$H:$N,6,0)),"")</f>
        <v/>
      </c>
      <c r="M742" s="55" t="str">
        <f>IFERROR(IF($G742="","",VLOOKUP('Dashboard And Emails Automate'!$G742,Database!$H:$N,7,0)),"")</f>
        <v/>
      </c>
      <c r="N742" s="55" t="str">
        <f>IFERROR(IF(OR($B742="",$B742="(blank)"),"",VLOOKUP($B742,'Email Marketing Raw Data'!$C:$O,6,0)),"")</f>
        <v/>
      </c>
      <c r="O742" s="55" t="str">
        <f>IFERROR(IF(OR($B742="",$B742="(blank)"),"",VLOOKUP($B742,'Email Marketing Raw Data'!$C:$O,7,0)),"")</f>
        <v/>
      </c>
      <c r="P742" s="55" t="str">
        <f>IFERROR(IF(OR($B742="",$B742="(blank)"),"",VLOOKUP($B742,'Email Marketing Raw Data'!$C:$O,8,0)),"")</f>
        <v/>
      </c>
      <c r="Q742" s="62" t="str">
        <f>IFERROR(IF(OR($B742="",$B742="(blank)"),"",VLOOKUP($B742,'Email Marketing Raw Data'!$C:$O,9,0)),"")</f>
        <v/>
      </c>
    </row>
    <row r="743" spans="4:17" ht="12.75" customHeight="1" x14ac:dyDescent="0.2">
      <c r="D743" s="58" t="str">
        <f>IFERROR(IF(F743&lt;&gt;"pending","",IF(OR($B743="",$B743="(blank)"),"",VLOOKUP($B743,'Email Marketing Raw Data'!$C:$O,10,0))),"")</f>
        <v/>
      </c>
      <c r="E743" s="59" t="str">
        <f>IFERROR(IF(F743&lt;&gt;"pending","",IF(OR($B743="",$B743="(blank)"),"",VLOOKUP($B743,'Email Marketing Raw Data'!$C:$O,11,0))),"")</f>
        <v/>
      </c>
      <c r="F743" s="54" t="str">
        <f>IFERROR(IF(OR($B743="",$B743="(blank)"),"",VLOOKUP($B743,'Email Marketing Raw Data'!$C:$O,13,0)),"")</f>
        <v/>
      </c>
      <c r="G743" s="55" t="str">
        <f>IFERROR(IF(OR($B743="",$B743="(blank)"),"",VLOOKUP($B743,'Email Marketing Raw Data'!$C:$O,4,0)),"")</f>
        <v/>
      </c>
      <c r="H743" s="55" t="str">
        <f>IFERROR(IF(OR($B743="",$B743="(blank)"),"",VLOOKUP($B743,'Email Marketing Raw Data'!$C:$O,5,0)),"")</f>
        <v/>
      </c>
      <c r="I743" s="55" t="str">
        <f>IFERROR(IF($G743="","",VLOOKUP('Dashboard And Emails Automate'!$G743,Database!$H:$N,3,0)),"")</f>
        <v/>
      </c>
      <c r="J743" s="55" t="str">
        <f>IFERROR(IF($G743="","",VLOOKUP('Dashboard And Emails Automate'!$G743,Database!$H:$N,4,0)),"")</f>
        <v/>
      </c>
      <c r="K743" s="55" t="str">
        <f>IFERROR(IF($G743="","",VLOOKUP('Dashboard And Emails Automate'!$G743,Database!$H:$N,5,0)),"")</f>
        <v/>
      </c>
      <c r="L743" s="55" t="str">
        <f>IFERROR(IF($G743="","",VLOOKUP('Dashboard And Emails Automate'!$G743,Database!$H:$N,6,0)),"")</f>
        <v/>
      </c>
      <c r="M743" s="55" t="str">
        <f>IFERROR(IF($G743="","",VLOOKUP('Dashboard And Emails Automate'!$G743,Database!$H:$N,7,0)),"")</f>
        <v/>
      </c>
      <c r="N743" s="55" t="str">
        <f>IFERROR(IF(OR($B743="",$B743="(blank)"),"",VLOOKUP($B743,'Email Marketing Raw Data'!$C:$O,6,0)),"")</f>
        <v/>
      </c>
      <c r="O743" s="55" t="str">
        <f>IFERROR(IF(OR($B743="",$B743="(blank)"),"",VLOOKUP($B743,'Email Marketing Raw Data'!$C:$O,7,0)),"")</f>
        <v/>
      </c>
      <c r="P743" s="55" t="str">
        <f>IFERROR(IF(OR($B743="",$B743="(blank)"),"",VLOOKUP($B743,'Email Marketing Raw Data'!$C:$O,8,0)),"")</f>
        <v/>
      </c>
      <c r="Q743" s="62" t="str">
        <f>IFERROR(IF(OR($B743="",$B743="(blank)"),"",VLOOKUP($B743,'Email Marketing Raw Data'!$C:$O,9,0)),"")</f>
        <v/>
      </c>
    </row>
    <row r="744" spans="4:17" ht="12.75" customHeight="1" x14ac:dyDescent="0.2">
      <c r="D744" s="58" t="str">
        <f>IFERROR(IF(F744&lt;&gt;"pending","",IF(OR($B744="",$B744="(blank)"),"",VLOOKUP($B744,'Email Marketing Raw Data'!$C:$O,10,0))),"")</f>
        <v/>
      </c>
      <c r="E744" s="59" t="str">
        <f>IFERROR(IF(F744&lt;&gt;"pending","",IF(OR($B744="",$B744="(blank)"),"",VLOOKUP($B744,'Email Marketing Raw Data'!$C:$O,11,0))),"")</f>
        <v/>
      </c>
      <c r="F744" s="54" t="str">
        <f>IFERROR(IF(OR($B744="",$B744="(blank)"),"",VLOOKUP($B744,'Email Marketing Raw Data'!$C:$O,13,0)),"")</f>
        <v/>
      </c>
      <c r="G744" s="55" t="str">
        <f>IFERROR(IF(OR($B744="",$B744="(blank)"),"",VLOOKUP($B744,'Email Marketing Raw Data'!$C:$O,4,0)),"")</f>
        <v/>
      </c>
      <c r="H744" s="55" t="str">
        <f>IFERROR(IF(OR($B744="",$B744="(blank)"),"",VLOOKUP($B744,'Email Marketing Raw Data'!$C:$O,5,0)),"")</f>
        <v/>
      </c>
      <c r="I744" s="55" t="str">
        <f>IFERROR(IF($G744="","",VLOOKUP('Dashboard And Emails Automate'!$G744,Database!$H:$N,3,0)),"")</f>
        <v/>
      </c>
      <c r="J744" s="55" t="str">
        <f>IFERROR(IF($G744="","",VLOOKUP('Dashboard And Emails Automate'!$G744,Database!$H:$N,4,0)),"")</f>
        <v/>
      </c>
      <c r="K744" s="55" t="str">
        <f>IFERROR(IF($G744="","",VLOOKUP('Dashboard And Emails Automate'!$G744,Database!$H:$N,5,0)),"")</f>
        <v/>
      </c>
      <c r="L744" s="55" t="str">
        <f>IFERROR(IF($G744="","",VLOOKUP('Dashboard And Emails Automate'!$G744,Database!$H:$N,6,0)),"")</f>
        <v/>
      </c>
      <c r="M744" s="55" t="str">
        <f>IFERROR(IF($G744="","",VLOOKUP('Dashboard And Emails Automate'!$G744,Database!$H:$N,7,0)),"")</f>
        <v/>
      </c>
      <c r="N744" s="55" t="str">
        <f>IFERROR(IF(OR($B744="",$B744="(blank)"),"",VLOOKUP($B744,'Email Marketing Raw Data'!$C:$O,6,0)),"")</f>
        <v/>
      </c>
      <c r="O744" s="55" t="str">
        <f>IFERROR(IF(OR($B744="",$B744="(blank)"),"",VLOOKUP($B744,'Email Marketing Raw Data'!$C:$O,7,0)),"")</f>
        <v/>
      </c>
      <c r="P744" s="55" t="str">
        <f>IFERROR(IF(OR($B744="",$B744="(blank)"),"",VLOOKUP($B744,'Email Marketing Raw Data'!$C:$O,8,0)),"")</f>
        <v/>
      </c>
      <c r="Q744" s="62" t="str">
        <f>IFERROR(IF(OR($B744="",$B744="(blank)"),"",VLOOKUP($B744,'Email Marketing Raw Data'!$C:$O,9,0)),"")</f>
        <v/>
      </c>
    </row>
    <row r="745" spans="4:17" ht="12.75" customHeight="1" x14ac:dyDescent="0.2">
      <c r="D745" s="58" t="str">
        <f>IFERROR(IF(F745&lt;&gt;"pending","",IF(OR($B745="",$B745="(blank)"),"",VLOOKUP($B745,'Email Marketing Raw Data'!$C:$O,10,0))),"")</f>
        <v/>
      </c>
      <c r="E745" s="59" t="str">
        <f>IFERROR(IF(F745&lt;&gt;"pending","",IF(OR($B745="",$B745="(blank)"),"",VLOOKUP($B745,'Email Marketing Raw Data'!$C:$O,11,0))),"")</f>
        <v/>
      </c>
      <c r="F745" s="54" t="str">
        <f>IFERROR(IF(OR($B745="",$B745="(blank)"),"",VLOOKUP($B745,'Email Marketing Raw Data'!$C:$O,13,0)),"")</f>
        <v/>
      </c>
      <c r="G745" s="55" t="str">
        <f>IFERROR(IF(OR($B745="",$B745="(blank)"),"",VLOOKUP($B745,'Email Marketing Raw Data'!$C:$O,4,0)),"")</f>
        <v/>
      </c>
      <c r="H745" s="55" t="str">
        <f>IFERROR(IF(OR($B745="",$B745="(blank)"),"",VLOOKUP($B745,'Email Marketing Raw Data'!$C:$O,5,0)),"")</f>
        <v/>
      </c>
      <c r="I745" s="55" t="str">
        <f>IFERROR(IF($G745="","",VLOOKUP('Dashboard And Emails Automate'!$G745,Database!$H:$N,3,0)),"")</f>
        <v/>
      </c>
      <c r="J745" s="55" t="str">
        <f>IFERROR(IF($G745="","",VLOOKUP('Dashboard And Emails Automate'!$G745,Database!$H:$N,4,0)),"")</f>
        <v/>
      </c>
      <c r="K745" s="55" t="str">
        <f>IFERROR(IF($G745="","",VLOOKUP('Dashboard And Emails Automate'!$G745,Database!$H:$N,5,0)),"")</f>
        <v/>
      </c>
      <c r="L745" s="55" t="str">
        <f>IFERROR(IF($G745="","",VLOOKUP('Dashboard And Emails Automate'!$G745,Database!$H:$N,6,0)),"")</f>
        <v/>
      </c>
      <c r="M745" s="55" t="str">
        <f>IFERROR(IF($G745="","",VLOOKUP('Dashboard And Emails Automate'!$G745,Database!$H:$N,7,0)),"")</f>
        <v/>
      </c>
      <c r="N745" s="55" t="str">
        <f>IFERROR(IF(OR($B745="",$B745="(blank)"),"",VLOOKUP($B745,'Email Marketing Raw Data'!$C:$O,6,0)),"")</f>
        <v/>
      </c>
      <c r="O745" s="55" t="str">
        <f>IFERROR(IF(OR($B745="",$B745="(blank)"),"",VLOOKUP($B745,'Email Marketing Raw Data'!$C:$O,7,0)),"")</f>
        <v/>
      </c>
      <c r="P745" s="55" t="str">
        <f>IFERROR(IF(OR($B745="",$B745="(blank)"),"",VLOOKUP($B745,'Email Marketing Raw Data'!$C:$O,8,0)),"")</f>
        <v/>
      </c>
      <c r="Q745" s="62" t="str">
        <f>IFERROR(IF(OR($B745="",$B745="(blank)"),"",VLOOKUP($B745,'Email Marketing Raw Data'!$C:$O,9,0)),"")</f>
        <v/>
      </c>
    </row>
    <row r="746" spans="4:17" ht="12.75" customHeight="1" x14ac:dyDescent="0.2">
      <c r="D746" s="58" t="str">
        <f>IFERROR(IF(F746&lt;&gt;"pending","",IF(OR($B746="",$B746="(blank)"),"",VLOOKUP($B746,'Email Marketing Raw Data'!$C:$O,10,0))),"")</f>
        <v/>
      </c>
      <c r="E746" s="59" t="str">
        <f>IFERROR(IF(F746&lt;&gt;"pending","",IF(OR($B746="",$B746="(blank)"),"",VLOOKUP($B746,'Email Marketing Raw Data'!$C:$O,11,0))),"")</f>
        <v/>
      </c>
      <c r="F746" s="54" t="str">
        <f>IFERROR(IF(OR($B746="",$B746="(blank)"),"",VLOOKUP($B746,'Email Marketing Raw Data'!$C:$O,13,0)),"")</f>
        <v/>
      </c>
      <c r="G746" s="55" t="str">
        <f>IFERROR(IF(OR($B746="",$B746="(blank)"),"",VLOOKUP($B746,'Email Marketing Raw Data'!$C:$O,4,0)),"")</f>
        <v/>
      </c>
      <c r="H746" s="55" t="str">
        <f>IFERROR(IF(OR($B746="",$B746="(blank)"),"",VLOOKUP($B746,'Email Marketing Raw Data'!$C:$O,5,0)),"")</f>
        <v/>
      </c>
      <c r="I746" s="55" t="str">
        <f>IFERROR(IF($G746="","",VLOOKUP('Dashboard And Emails Automate'!$G746,Database!$H:$N,3,0)),"")</f>
        <v/>
      </c>
      <c r="J746" s="55" t="str">
        <f>IFERROR(IF($G746="","",VLOOKUP('Dashboard And Emails Automate'!$G746,Database!$H:$N,4,0)),"")</f>
        <v/>
      </c>
      <c r="K746" s="55" t="str">
        <f>IFERROR(IF($G746="","",VLOOKUP('Dashboard And Emails Automate'!$G746,Database!$H:$N,5,0)),"")</f>
        <v/>
      </c>
      <c r="L746" s="55" t="str">
        <f>IFERROR(IF($G746="","",VLOOKUP('Dashboard And Emails Automate'!$G746,Database!$H:$N,6,0)),"")</f>
        <v/>
      </c>
      <c r="M746" s="55" t="str">
        <f>IFERROR(IF($G746="","",VLOOKUP('Dashboard And Emails Automate'!$G746,Database!$H:$N,7,0)),"")</f>
        <v/>
      </c>
      <c r="N746" s="55" t="str">
        <f>IFERROR(IF(OR($B746="",$B746="(blank)"),"",VLOOKUP($B746,'Email Marketing Raw Data'!$C:$O,6,0)),"")</f>
        <v/>
      </c>
      <c r="O746" s="55" t="str">
        <f>IFERROR(IF(OR($B746="",$B746="(blank)"),"",VLOOKUP($B746,'Email Marketing Raw Data'!$C:$O,7,0)),"")</f>
        <v/>
      </c>
      <c r="P746" s="55" t="str">
        <f>IFERROR(IF(OR($B746="",$B746="(blank)"),"",VLOOKUP($B746,'Email Marketing Raw Data'!$C:$O,8,0)),"")</f>
        <v/>
      </c>
      <c r="Q746" s="62" t="str">
        <f>IFERROR(IF(OR($B746="",$B746="(blank)"),"",VLOOKUP($B746,'Email Marketing Raw Data'!$C:$O,9,0)),"")</f>
        <v/>
      </c>
    </row>
    <row r="747" spans="4:17" ht="12.75" customHeight="1" x14ac:dyDescent="0.2">
      <c r="D747" s="58" t="str">
        <f>IFERROR(IF(F747&lt;&gt;"pending","",IF(OR($B747="",$B747="(blank)"),"",VLOOKUP($B747,'Email Marketing Raw Data'!$C:$O,10,0))),"")</f>
        <v/>
      </c>
      <c r="E747" s="59" t="str">
        <f>IFERROR(IF(F747&lt;&gt;"pending","",IF(OR($B747="",$B747="(blank)"),"",VLOOKUP($B747,'Email Marketing Raw Data'!$C:$O,11,0))),"")</f>
        <v/>
      </c>
      <c r="F747" s="54" t="str">
        <f>IFERROR(IF(OR($B747="",$B747="(blank)"),"",VLOOKUP($B747,'Email Marketing Raw Data'!$C:$O,13,0)),"")</f>
        <v/>
      </c>
      <c r="G747" s="55" t="str">
        <f>IFERROR(IF(OR($B747="",$B747="(blank)"),"",VLOOKUP($B747,'Email Marketing Raw Data'!$C:$O,4,0)),"")</f>
        <v/>
      </c>
      <c r="H747" s="55" t="str">
        <f>IFERROR(IF(OR($B747="",$B747="(blank)"),"",VLOOKUP($B747,'Email Marketing Raw Data'!$C:$O,5,0)),"")</f>
        <v/>
      </c>
      <c r="I747" s="55" t="str">
        <f>IFERROR(IF($G747="","",VLOOKUP('Dashboard And Emails Automate'!$G747,Database!$H:$N,3,0)),"")</f>
        <v/>
      </c>
      <c r="J747" s="55" t="str">
        <f>IFERROR(IF($G747="","",VLOOKUP('Dashboard And Emails Automate'!$G747,Database!$H:$N,4,0)),"")</f>
        <v/>
      </c>
      <c r="K747" s="55" t="str">
        <f>IFERROR(IF($G747="","",VLOOKUP('Dashboard And Emails Automate'!$G747,Database!$H:$N,5,0)),"")</f>
        <v/>
      </c>
      <c r="L747" s="55" t="str">
        <f>IFERROR(IF($G747="","",VLOOKUP('Dashboard And Emails Automate'!$G747,Database!$H:$N,6,0)),"")</f>
        <v/>
      </c>
      <c r="M747" s="55" t="str">
        <f>IFERROR(IF($G747="","",VLOOKUP('Dashboard And Emails Automate'!$G747,Database!$H:$N,7,0)),"")</f>
        <v/>
      </c>
      <c r="N747" s="55" t="str">
        <f>IFERROR(IF(OR($B747="",$B747="(blank)"),"",VLOOKUP($B747,'Email Marketing Raw Data'!$C:$O,6,0)),"")</f>
        <v/>
      </c>
      <c r="O747" s="55" t="str">
        <f>IFERROR(IF(OR($B747="",$B747="(blank)"),"",VLOOKUP($B747,'Email Marketing Raw Data'!$C:$O,7,0)),"")</f>
        <v/>
      </c>
      <c r="P747" s="55" t="str">
        <f>IFERROR(IF(OR($B747="",$B747="(blank)"),"",VLOOKUP($B747,'Email Marketing Raw Data'!$C:$O,8,0)),"")</f>
        <v/>
      </c>
      <c r="Q747" s="62" t="str">
        <f>IFERROR(IF(OR($B747="",$B747="(blank)"),"",VLOOKUP($B747,'Email Marketing Raw Data'!$C:$O,9,0)),"")</f>
        <v/>
      </c>
    </row>
    <row r="748" spans="4:17" ht="12.75" customHeight="1" x14ac:dyDescent="0.2">
      <c r="D748" s="58" t="str">
        <f>IFERROR(IF(F748&lt;&gt;"pending","",IF(OR($B748="",$B748="(blank)"),"",VLOOKUP($B748,'Email Marketing Raw Data'!$C:$O,10,0))),"")</f>
        <v/>
      </c>
      <c r="E748" s="59" t="str">
        <f>IFERROR(IF(F748&lt;&gt;"pending","",IF(OR($B748="",$B748="(blank)"),"",VLOOKUP($B748,'Email Marketing Raw Data'!$C:$O,11,0))),"")</f>
        <v/>
      </c>
      <c r="F748" s="54" t="str">
        <f>IFERROR(IF(OR($B748="",$B748="(blank)"),"",VLOOKUP($B748,'Email Marketing Raw Data'!$C:$O,13,0)),"")</f>
        <v/>
      </c>
      <c r="G748" s="55" t="str">
        <f>IFERROR(IF(OR($B748="",$B748="(blank)"),"",VLOOKUP($B748,'Email Marketing Raw Data'!$C:$O,4,0)),"")</f>
        <v/>
      </c>
      <c r="H748" s="55" t="str">
        <f>IFERROR(IF(OR($B748="",$B748="(blank)"),"",VLOOKUP($B748,'Email Marketing Raw Data'!$C:$O,5,0)),"")</f>
        <v/>
      </c>
      <c r="I748" s="55" t="str">
        <f>IFERROR(IF($G748="","",VLOOKUP('Dashboard And Emails Automate'!$G748,Database!$H:$N,3,0)),"")</f>
        <v/>
      </c>
      <c r="J748" s="55" t="str">
        <f>IFERROR(IF($G748="","",VLOOKUP('Dashboard And Emails Automate'!$G748,Database!$H:$N,4,0)),"")</f>
        <v/>
      </c>
      <c r="K748" s="55" t="str">
        <f>IFERROR(IF($G748="","",VLOOKUP('Dashboard And Emails Automate'!$G748,Database!$H:$N,5,0)),"")</f>
        <v/>
      </c>
      <c r="L748" s="55" t="str">
        <f>IFERROR(IF($G748="","",VLOOKUP('Dashboard And Emails Automate'!$G748,Database!$H:$N,6,0)),"")</f>
        <v/>
      </c>
      <c r="M748" s="55" t="str">
        <f>IFERROR(IF($G748="","",VLOOKUP('Dashboard And Emails Automate'!$G748,Database!$H:$N,7,0)),"")</f>
        <v/>
      </c>
      <c r="N748" s="55" t="str">
        <f>IFERROR(IF(OR($B748="",$B748="(blank)"),"",VLOOKUP($B748,'Email Marketing Raw Data'!$C:$O,6,0)),"")</f>
        <v/>
      </c>
      <c r="O748" s="55" t="str">
        <f>IFERROR(IF(OR($B748="",$B748="(blank)"),"",VLOOKUP($B748,'Email Marketing Raw Data'!$C:$O,7,0)),"")</f>
        <v/>
      </c>
      <c r="P748" s="55" t="str">
        <f>IFERROR(IF(OR($B748="",$B748="(blank)"),"",VLOOKUP($B748,'Email Marketing Raw Data'!$C:$O,8,0)),"")</f>
        <v/>
      </c>
      <c r="Q748" s="62" t="str">
        <f>IFERROR(IF(OR($B748="",$B748="(blank)"),"",VLOOKUP($B748,'Email Marketing Raw Data'!$C:$O,9,0)),"")</f>
        <v/>
      </c>
    </row>
    <row r="749" spans="4:17" ht="12.75" customHeight="1" x14ac:dyDescent="0.2">
      <c r="D749" s="58" t="str">
        <f>IFERROR(IF(F749&lt;&gt;"pending","",IF(OR($B749="",$B749="(blank)"),"",VLOOKUP($B749,'Email Marketing Raw Data'!$C:$O,10,0))),"")</f>
        <v/>
      </c>
      <c r="E749" s="59" t="str">
        <f>IFERROR(IF(F749&lt;&gt;"pending","",IF(OR($B749="",$B749="(blank)"),"",VLOOKUP($B749,'Email Marketing Raw Data'!$C:$O,11,0))),"")</f>
        <v/>
      </c>
      <c r="F749" s="54" t="str">
        <f>IFERROR(IF(OR($B749="",$B749="(blank)"),"",VLOOKUP($B749,'Email Marketing Raw Data'!$C:$O,13,0)),"")</f>
        <v/>
      </c>
      <c r="G749" s="55" t="str">
        <f>IFERROR(IF(OR($B749="",$B749="(blank)"),"",VLOOKUP($B749,'Email Marketing Raw Data'!$C:$O,4,0)),"")</f>
        <v/>
      </c>
      <c r="H749" s="55" t="str">
        <f>IFERROR(IF(OR($B749="",$B749="(blank)"),"",VLOOKUP($B749,'Email Marketing Raw Data'!$C:$O,5,0)),"")</f>
        <v/>
      </c>
      <c r="I749" s="55" t="str">
        <f>IFERROR(IF($G749="","",VLOOKUP('Dashboard And Emails Automate'!$G749,Database!$H:$N,3,0)),"")</f>
        <v/>
      </c>
      <c r="J749" s="55" t="str">
        <f>IFERROR(IF($G749="","",VLOOKUP('Dashboard And Emails Automate'!$G749,Database!$H:$N,4,0)),"")</f>
        <v/>
      </c>
      <c r="K749" s="55" t="str">
        <f>IFERROR(IF($G749="","",VLOOKUP('Dashboard And Emails Automate'!$G749,Database!$H:$N,5,0)),"")</f>
        <v/>
      </c>
      <c r="L749" s="55" t="str">
        <f>IFERROR(IF($G749="","",VLOOKUP('Dashboard And Emails Automate'!$G749,Database!$H:$N,6,0)),"")</f>
        <v/>
      </c>
      <c r="M749" s="55" t="str">
        <f>IFERROR(IF($G749="","",VLOOKUP('Dashboard And Emails Automate'!$G749,Database!$H:$N,7,0)),"")</f>
        <v/>
      </c>
      <c r="N749" s="55" t="str">
        <f>IFERROR(IF(OR($B749="",$B749="(blank)"),"",VLOOKUP($B749,'Email Marketing Raw Data'!$C:$O,6,0)),"")</f>
        <v/>
      </c>
      <c r="O749" s="55" t="str">
        <f>IFERROR(IF(OR($B749="",$B749="(blank)"),"",VLOOKUP($B749,'Email Marketing Raw Data'!$C:$O,7,0)),"")</f>
        <v/>
      </c>
      <c r="P749" s="55" t="str">
        <f>IFERROR(IF(OR($B749="",$B749="(blank)"),"",VLOOKUP($B749,'Email Marketing Raw Data'!$C:$O,8,0)),"")</f>
        <v/>
      </c>
      <c r="Q749" s="62" t="str">
        <f>IFERROR(IF(OR($B749="",$B749="(blank)"),"",VLOOKUP($B749,'Email Marketing Raw Data'!$C:$O,9,0)),"")</f>
        <v/>
      </c>
    </row>
    <row r="750" spans="4:17" ht="12.75" customHeight="1" x14ac:dyDescent="0.2">
      <c r="D750" s="58" t="str">
        <f>IFERROR(IF(F750&lt;&gt;"pending","",IF(OR($B750="",$B750="(blank)"),"",VLOOKUP($B750,'Email Marketing Raw Data'!$C:$O,10,0))),"")</f>
        <v/>
      </c>
      <c r="E750" s="59" t="str">
        <f>IFERROR(IF(F750&lt;&gt;"pending","",IF(OR($B750="",$B750="(blank)"),"",VLOOKUP($B750,'Email Marketing Raw Data'!$C:$O,11,0))),"")</f>
        <v/>
      </c>
      <c r="F750" s="54" t="str">
        <f>IFERROR(IF(OR($B750="",$B750="(blank)"),"",VLOOKUP($B750,'Email Marketing Raw Data'!$C:$O,13,0)),"")</f>
        <v/>
      </c>
      <c r="G750" s="55" t="str">
        <f>IFERROR(IF(OR($B750="",$B750="(blank)"),"",VLOOKUP($B750,'Email Marketing Raw Data'!$C:$O,4,0)),"")</f>
        <v/>
      </c>
      <c r="H750" s="55" t="str">
        <f>IFERROR(IF(OR($B750="",$B750="(blank)"),"",VLOOKUP($B750,'Email Marketing Raw Data'!$C:$O,5,0)),"")</f>
        <v/>
      </c>
      <c r="I750" s="55" t="str">
        <f>IFERROR(IF($G750="","",VLOOKUP('Dashboard And Emails Automate'!$G750,Database!$H:$N,3,0)),"")</f>
        <v/>
      </c>
      <c r="J750" s="55" t="str">
        <f>IFERROR(IF($G750="","",VLOOKUP('Dashboard And Emails Automate'!$G750,Database!$H:$N,4,0)),"")</f>
        <v/>
      </c>
      <c r="K750" s="55" t="str">
        <f>IFERROR(IF($G750="","",VLOOKUP('Dashboard And Emails Automate'!$G750,Database!$H:$N,5,0)),"")</f>
        <v/>
      </c>
      <c r="L750" s="55" t="str">
        <f>IFERROR(IF($G750="","",VLOOKUP('Dashboard And Emails Automate'!$G750,Database!$H:$N,6,0)),"")</f>
        <v/>
      </c>
      <c r="M750" s="55" t="str">
        <f>IFERROR(IF($G750="","",VLOOKUP('Dashboard And Emails Automate'!$G750,Database!$H:$N,7,0)),"")</f>
        <v/>
      </c>
      <c r="N750" s="55" t="str">
        <f>IFERROR(IF(OR($B750="",$B750="(blank)"),"",VLOOKUP($B750,'Email Marketing Raw Data'!$C:$O,6,0)),"")</f>
        <v/>
      </c>
      <c r="O750" s="55" t="str">
        <f>IFERROR(IF(OR($B750="",$B750="(blank)"),"",VLOOKUP($B750,'Email Marketing Raw Data'!$C:$O,7,0)),"")</f>
        <v/>
      </c>
      <c r="P750" s="55" t="str">
        <f>IFERROR(IF(OR($B750="",$B750="(blank)"),"",VLOOKUP($B750,'Email Marketing Raw Data'!$C:$O,8,0)),"")</f>
        <v/>
      </c>
      <c r="Q750" s="62" t="str">
        <f>IFERROR(IF(OR($B750="",$B750="(blank)"),"",VLOOKUP($B750,'Email Marketing Raw Data'!$C:$O,9,0)),"")</f>
        <v/>
      </c>
    </row>
    <row r="751" spans="4:17" ht="12.75" customHeight="1" x14ac:dyDescent="0.2">
      <c r="D751" s="58" t="str">
        <f>IFERROR(IF(F751&lt;&gt;"pending","",IF(OR($B751="",$B751="(blank)"),"",VLOOKUP($B751,'Email Marketing Raw Data'!$C:$O,10,0))),"")</f>
        <v/>
      </c>
      <c r="E751" s="59" t="str">
        <f>IFERROR(IF(F751&lt;&gt;"pending","",IF(OR($B751="",$B751="(blank)"),"",VLOOKUP($B751,'Email Marketing Raw Data'!$C:$O,11,0))),"")</f>
        <v/>
      </c>
      <c r="F751" s="54" t="str">
        <f>IFERROR(IF(OR($B751="",$B751="(blank)"),"",VLOOKUP($B751,'Email Marketing Raw Data'!$C:$O,13,0)),"")</f>
        <v/>
      </c>
      <c r="G751" s="55" t="str">
        <f>IFERROR(IF(OR($B751="",$B751="(blank)"),"",VLOOKUP($B751,'Email Marketing Raw Data'!$C:$O,4,0)),"")</f>
        <v/>
      </c>
      <c r="H751" s="55" t="str">
        <f>IFERROR(IF(OR($B751="",$B751="(blank)"),"",VLOOKUP($B751,'Email Marketing Raw Data'!$C:$O,5,0)),"")</f>
        <v/>
      </c>
      <c r="I751" s="55" t="str">
        <f>IFERROR(IF($G751="","",VLOOKUP('Dashboard And Emails Automate'!$G751,Database!$H:$N,3,0)),"")</f>
        <v/>
      </c>
      <c r="J751" s="55" t="str">
        <f>IFERROR(IF($G751="","",VLOOKUP('Dashboard And Emails Automate'!$G751,Database!$H:$N,4,0)),"")</f>
        <v/>
      </c>
      <c r="K751" s="55" t="str">
        <f>IFERROR(IF($G751="","",VLOOKUP('Dashboard And Emails Automate'!$G751,Database!$H:$N,5,0)),"")</f>
        <v/>
      </c>
      <c r="L751" s="55" t="str">
        <f>IFERROR(IF($G751="","",VLOOKUP('Dashboard And Emails Automate'!$G751,Database!$H:$N,6,0)),"")</f>
        <v/>
      </c>
      <c r="M751" s="55" t="str">
        <f>IFERROR(IF($G751="","",VLOOKUP('Dashboard And Emails Automate'!$G751,Database!$H:$N,7,0)),"")</f>
        <v/>
      </c>
      <c r="N751" s="55" t="str">
        <f>IFERROR(IF(OR($B751="",$B751="(blank)"),"",VLOOKUP($B751,'Email Marketing Raw Data'!$C:$O,6,0)),"")</f>
        <v/>
      </c>
      <c r="O751" s="55" t="str">
        <f>IFERROR(IF(OR($B751="",$B751="(blank)"),"",VLOOKUP($B751,'Email Marketing Raw Data'!$C:$O,7,0)),"")</f>
        <v/>
      </c>
      <c r="P751" s="55" t="str">
        <f>IFERROR(IF(OR($B751="",$B751="(blank)"),"",VLOOKUP($B751,'Email Marketing Raw Data'!$C:$O,8,0)),"")</f>
        <v/>
      </c>
      <c r="Q751" s="62" t="str">
        <f>IFERROR(IF(OR($B751="",$B751="(blank)"),"",VLOOKUP($B751,'Email Marketing Raw Data'!$C:$O,9,0)),"")</f>
        <v/>
      </c>
    </row>
    <row r="752" spans="4:17" ht="12.75" customHeight="1" x14ac:dyDescent="0.2">
      <c r="D752" s="58" t="str">
        <f>IFERROR(IF(F752&lt;&gt;"pending","",IF(OR($B752="",$B752="(blank)"),"",VLOOKUP($B752,'Email Marketing Raw Data'!$C:$O,10,0))),"")</f>
        <v/>
      </c>
      <c r="E752" s="59" t="str">
        <f>IFERROR(IF(F752&lt;&gt;"pending","",IF(OR($B752="",$B752="(blank)"),"",VLOOKUP($B752,'Email Marketing Raw Data'!$C:$O,11,0))),"")</f>
        <v/>
      </c>
      <c r="F752" s="54" t="str">
        <f>IFERROR(IF(OR($B752="",$B752="(blank)"),"",VLOOKUP($B752,'Email Marketing Raw Data'!$C:$O,13,0)),"")</f>
        <v/>
      </c>
      <c r="G752" s="55" t="str">
        <f>IFERROR(IF(OR($B752="",$B752="(blank)"),"",VLOOKUP($B752,'Email Marketing Raw Data'!$C:$O,4,0)),"")</f>
        <v/>
      </c>
      <c r="H752" s="55" t="str">
        <f>IFERROR(IF(OR($B752="",$B752="(blank)"),"",VLOOKUP($B752,'Email Marketing Raw Data'!$C:$O,5,0)),"")</f>
        <v/>
      </c>
      <c r="I752" s="55" t="str">
        <f>IFERROR(IF($G752="","",VLOOKUP('Dashboard And Emails Automate'!$G752,Database!$H:$N,3,0)),"")</f>
        <v/>
      </c>
      <c r="J752" s="55" t="str">
        <f>IFERROR(IF($G752="","",VLOOKUP('Dashboard And Emails Automate'!$G752,Database!$H:$N,4,0)),"")</f>
        <v/>
      </c>
      <c r="K752" s="55" t="str">
        <f>IFERROR(IF($G752="","",VLOOKUP('Dashboard And Emails Automate'!$G752,Database!$H:$N,5,0)),"")</f>
        <v/>
      </c>
      <c r="L752" s="55" t="str">
        <f>IFERROR(IF($G752="","",VLOOKUP('Dashboard And Emails Automate'!$G752,Database!$H:$N,6,0)),"")</f>
        <v/>
      </c>
      <c r="M752" s="55" t="str">
        <f>IFERROR(IF($G752="","",VLOOKUP('Dashboard And Emails Automate'!$G752,Database!$H:$N,7,0)),"")</f>
        <v/>
      </c>
      <c r="N752" s="55" t="str">
        <f>IFERROR(IF(OR($B752="",$B752="(blank)"),"",VLOOKUP($B752,'Email Marketing Raw Data'!$C:$O,6,0)),"")</f>
        <v/>
      </c>
      <c r="O752" s="55" t="str">
        <f>IFERROR(IF(OR($B752="",$B752="(blank)"),"",VLOOKUP($B752,'Email Marketing Raw Data'!$C:$O,7,0)),"")</f>
        <v/>
      </c>
      <c r="P752" s="55" t="str">
        <f>IFERROR(IF(OR($B752="",$B752="(blank)"),"",VLOOKUP($B752,'Email Marketing Raw Data'!$C:$O,8,0)),"")</f>
        <v/>
      </c>
      <c r="Q752" s="62" t="str">
        <f>IFERROR(IF(OR($B752="",$B752="(blank)"),"",VLOOKUP($B752,'Email Marketing Raw Data'!$C:$O,9,0)),"")</f>
        <v/>
      </c>
    </row>
    <row r="753" spans="4:17" ht="12.75" customHeight="1" x14ac:dyDescent="0.2">
      <c r="D753" s="58" t="str">
        <f>IFERROR(IF(F753&lt;&gt;"pending","",IF(OR($B753="",$B753="(blank)"),"",VLOOKUP($B753,'Email Marketing Raw Data'!$C:$O,10,0))),"")</f>
        <v/>
      </c>
      <c r="E753" s="59" t="str">
        <f>IFERROR(IF(F753&lt;&gt;"pending","",IF(OR($B753="",$B753="(blank)"),"",VLOOKUP($B753,'Email Marketing Raw Data'!$C:$O,11,0))),"")</f>
        <v/>
      </c>
      <c r="F753" s="54" t="str">
        <f>IFERROR(IF(OR($B753="",$B753="(blank)"),"",VLOOKUP($B753,'Email Marketing Raw Data'!$C:$O,13,0)),"")</f>
        <v/>
      </c>
      <c r="G753" s="55" t="str">
        <f>IFERROR(IF(OR($B753="",$B753="(blank)"),"",VLOOKUP($B753,'Email Marketing Raw Data'!$C:$O,4,0)),"")</f>
        <v/>
      </c>
      <c r="H753" s="55" t="str">
        <f>IFERROR(IF(OR($B753="",$B753="(blank)"),"",VLOOKUP($B753,'Email Marketing Raw Data'!$C:$O,5,0)),"")</f>
        <v/>
      </c>
      <c r="I753" s="55" t="str">
        <f>IFERROR(IF($G753="","",VLOOKUP('Dashboard And Emails Automate'!$G753,Database!$H:$N,3,0)),"")</f>
        <v/>
      </c>
      <c r="J753" s="55" t="str">
        <f>IFERROR(IF($G753="","",VLOOKUP('Dashboard And Emails Automate'!$G753,Database!$H:$N,4,0)),"")</f>
        <v/>
      </c>
      <c r="K753" s="55" t="str">
        <f>IFERROR(IF($G753="","",VLOOKUP('Dashboard And Emails Automate'!$G753,Database!$H:$N,5,0)),"")</f>
        <v/>
      </c>
      <c r="L753" s="55" t="str">
        <f>IFERROR(IF($G753="","",VLOOKUP('Dashboard And Emails Automate'!$G753,Database!$H:$N,6,0)),"")</f>
        <v/>
      </c>
      <c r="M753" s="55" t="str">
        <f>IFERROR(IF($G753="","",VLOOKUP('Dashboard And Emails Automate'!$G753,Database!$H:$N,7,0)),"")</f>
        <v/>
      </c>
      <c r="N753" s="55" t="str">
        <f>IFERROR(IF(OR($B753="",$B753="(blank)"),"",VLOOKUP($B753,'Email Marketing Raw Data'!$C:$O,6,0)),"")</f>
        <v/>
      </c>
      <c r="O753" s="55" t="str">
        <f>IFERROR(IF(OR($B753="",$B753="(blank)"),"",VLOOKUP($B753,'Email Marketing Raw Data'!$C:$O,7,0)),"")</f>
        <v/>
      </c>
      <c r="P753" s="55" t="str">
        <f>IFERROR(IF(OR($B753="",$B753="(blank)"),"",VLOOKUP($B753,'Email Marketing Raw Data'!$C:$O,8,0)),"")</f>
        <v/>
      </c>
      <c r="Q753" s="62" t="str">
        <f>IFERROR(IF(OR($B753="",$B753="(blank)"),"",VLOOKUP($B753,'Email Marketing Raw Data'!$C:$O,9,0)),"")</f>
        <v/>
      </c>
    </row>
    <row r="754" spans="4:17" ht="12.75" customHeight="1" x14ac:dyDescent="0.2">
      <c r="D754" s="58" t="str">
        <f>IFERROR(IF(F754&lt;&gt;"pending","",IF(OR($B754="",$B754="(blank)"),"",VLOOKUP($B754,'Email Marketing Raw Data'!$C:$O,10,0))),"")</f>
        <v/>
      </c>
      <c r="E754" s="59" t="str">
        <f>IFERROR(IF(F754&lt;&gt;"pending","",IF(OR($B754="",$B754="(blank)"),"",VLOOKUP($B754,'Email Marketing Raw Data'!$C:$O,11,0))),"")</f>
        <v/>
      </c>
      <c r="F754" s="54" t="str">
        <f>IFERROR(IF(OR($B754="",$B754="(blank)"),"",VLOOKUP($B754,'Email Marketing Raw Data'!$C:$O,13,0)),"")</f>
        <v/>
      </c>
      <c r="G754" s="55" t="str">
        <f>IFERROR(IF(OR($B754="",$B754="(blank)"),"",VLOOKUP($B754,'Email Marketing Raw Data'!$C:$O,4,0)),"")</f>
        <v/>
      </c>
      <c r="H754" s="55" t="str">
        <f>IFERROR(IF(OR($B754="",$B754="(blank)"),"",VLOOKUP($B754,'Email Marketing Raw Data'!$C:$O,5,0)),"")</f>
        <v/>
      </c>
      <c r="I754" s="55" t="str">
        <f>IFERROR(IF($G754="","",VLOOKUP('Dashboard And Emails Automate'!$G754,Database!$H:$N,3,0)),"")</f>
        <v/>
      </c>
      <c r="J754" s="55" t="str">
        <f>IFERROR(IF($G754="","",VLOOKUP('Dashboard And Emails Automate'!$G754,Database!$H:$N,4,0)),"")</f>
        <v/>
      </c>
      <c r="K754" s="55" t="str">
        <f>IFERROR(IF($G754="","",VLOOKUP('Dashboard And Emails Automate'!$G754,Database!$H:$N,5,0)),"")</f>
        <v/>
      </c>
      <c r="L754" s="55" t="str">
        <f>IFERROR(IF($G754="","",VLOOKUP('Dashboard And Emails Automate'!$G754,Database!$H:$N,6,0)),"")</f>
        <v/>
      </c>
      <c r="M754" s="55" t="str">
        <f>IFERROR(IF($G754="","",VLOOKUP('Dashboard And Emails Automate'!$G754,Database!$H:$N,7,0)),"")</f>
        <v/>
      </c>
      <c r="N754" s="55" t="str">
        <f>IFERROR(IF(OR($B754="",$B754="(blank)"),"",VLOOKUP($B754,'Email Marketing Raw Data'!$C:$O,6,0)),"")</f>
        <v/>
      </c>
      <c r="O754" s="55" t="str">
        <f>IFERROR(IF(OR($B754="",$B754="(blank)"),"",VLOOKUP($B754,'Email Marketing Raw Data'!$C:$O,7,0)),"")</f>
        <v/>
      </c>
      <c r="P754" s="55" t="str">
        <f>IFERROR(IF(OR($B754="",$B754="(blank)"),"",VLOOKUP($B754,'Email Marketing Raw Data'!$C:$O,8,0)),"")</f>
        <v/>
      </c>
      <c r="Q754" s="62" t="str">
        <f>IFERROR(IF(OR($B754="",$B754="(blank)"),"",VLOOKUP($B754,'Email Marketing Raw Data'!$C:$O,9,0)),"")</f>
        <v/>
      </c>
    </row>
    <row r="755" spans="4:17" ht="12.75" customHeight="1" x14ac:dyDescent="0.2">
      <c r="D755" s="58" t="str">
        <f>IFERROR(IF(F755&lt;&gt;"pending","",IF(OR($B755="",$B755="(blank)"),"",VLOOKUP($B755,'Email Marketing Raw Data'!$C:$O,10,0))),"")</f>
        <v/>
      </c>
      <c r="E755" s="59" t="str">
        <f>IFERROR(IF(F755&lt;&gt;"pending","",IF(OR($B755="",$B755="(blank)"),"",VLOOKUP($B755,'Email Marketing Raw Data'!$C:$O,11,0))),"")</f>
        <v/>
      </c>
      <c r="F755" s="54" t="str">
        <f>IFERROR(IF(OR($B755="",$B755="(blank)"),"",VLOOKUP($B755,'Email Marketing Raw Data'!$C:$O,13,0)),"")</f>
        <v/>
      </c>
      <c r="G755" s="55" t="str">
        <f>IFERROR(IF(OR($B755="",$B755="(blank)"),"",VLOOKUP($B755,'Email Marketing Raw Data'!$C:$O,4,0)),"")</f>
        <v/>
      </c>
      <c r="H755" s="55" t="str">
        <f>IFERROR(IF(OR($B755="",$B755="(blank)"),"",VLOOKUP($B755,'Email Marketing Raw Data'!$C:$O,5,0)),"")</f>
        <v/>
      </c>
      <c r="I755" s="55" t="str">
        <f>IFERROR(IF($G755="","",VLOOKUP('Dashboard And Emails Automate'!$G755,Database!$H:$N,3,0)),"")</f>
        <v/>
      </c>
      <c r="J755" s="55" t="str">
        <f>IFERROR(IF($G755="","",VLOOKUP('Dashboard And Emails Automate'!$G755,Database!$H:$N,4,0)),"")</f>
        <v/>
      </c>
      <c r="K755" s="55" t="str">
        <f>IFERROR(IF($G755="","",VLOOKUP('Dashboard And Emails Automate'!$G755,Database!$H:$N,5,0)),"")</f>
        <v/>
      </c>
      <c r="L755" s="55" t="str">
        <f>IFERROR(IF($G755="","",VLOOKUP('Dashboard And Emails Automate'!$G755,Database!$H:$N,6,0)),"")</f>
        <v/>
      </c>
      <c r="M755" s="55" t="str">
        <f>IFERROR(IF($G755="","",VLOOKUP('Dashboard And Emails Automate'!$G755,Database!$H:$N,7,0)),"")</f>
        <v/>
      </c>
      <c r="N755" s="55" t="str">
        <f>IFERROR(IF(OR($B755="",$B755="(blank)"),"",VLOOKUP($B755,'Email Marketing Raw Data'!$C:$O,6,0)),"")</f>
        <v/>
      </c>
      <c r="O755" s="55" t="str">
        <f>IFERROR(IF(OR($B755="",$B755="(blank)"),"",VLOOKUP($B755,'Email Marketing Raw Data'!$C:$O,7,0)),"")</f>
        <v/>
      </c>
      <c r="P755" s="55" t="str">
        <f>IFERROR(IF(OR($B755="",$B755="(blank)"),"",VLOOKUP($B755,'Email Marketing Raw Data'!$C:$O,8,0)),"")</f>
        <v/>
      </c>
      <c r="Q755" s="62" t="str">
        <f>IFERROR(IF(OR($B755="",$B755="(blank)"),"",VLOOKUP($B755,'Email Marketing Raw Data'!$C:$O,9,0)),"")</f>
        <v/>
      </c>
    </row>
    <row r="756" spans="4:17" ht="12.75" customHeight="1" x14ac:dyDescent="0.2">
      <c r="D756" s="58" t="str">
        <f>IFERROR(IF(F756&lt;&gt;"pending","",IF(OR($B756="",$B756="(blank)"),"",VLOOKUP($B756,'Email Marketing Raw Data'!$C:$O,10,0))),"")</f>
        <v/>
      </c>
      <c r="E756" s="59" t="str">
        <f>IFERROR(IF(F756&lt;&gt;"pending","",IF(OR($B756="",$B756="(blank)"),"",VLOOKUP($B756,'Email Marketing Raw Data'!$C:$O,11,0))),"")</f>
        <v/>
      </c>
      <c r="F756" s="54" t="str">
        <f>IFERROR(IF(OR($B756="",$B756="(blank)"),"",VLOOKUP($B756,'Email Marketing Raw Data'!$C:$O,13,0)),"")</f>
        <v/>
      </c>
      <c r="G756" s="55" t="str">
        <f>IFERROR(IF(OR($B756="",$B756="(blank)"),"",VLOOKUP($B756,'Email Marketing Raw Data'!$C:$O,4,0)),"")</f>
        <v/>
      </c>
      <c r="H756" s="55" t="str">
        <f>IFERROR(IF(OR($B756="",$B756="(blank)"),"",VLOOKUP($B756,'Email Marketing Raw Data'!$C:$O,5,0)),"")</f>
        <v/>
      </c>
      <c r="I756" s="55" t="str">
        <f>IFERROR(IF($G756="","",VLOOKUP('Dashboard And Emails Automate'!$G756,Database!$H:$N,3,0)),"")</f>
        <v/>
      </c>
      <c r="J756" s="55" t="str">
        <f>IFERROR(IF($G756="","",VLOOKUP('Dashboard And Emails Automate'!$G756,Database!$H:$N,4,0)),"")</f>
        <v/>
      </c>
      <c r="K756" s="55" t="str">
        <f>IFERROR(IF($G756="","",VLOOKUP('Dashboard And Emails Automate'!$G756,Database!$H:$N,5,0)),"")</f>
        <v/>
      </c>
      <c r="L756" s="55" t="str">
        <f>IFERROR(IF($G756="","",VLOOKUP('Dashboard And Emails Automate'!$G756,Database!$H:$N,6,0)),"")</f>
        <v/>
      </c>
      <c r="M756" s="55" t="str">
        <f>IFERROR(IF($G756="","",VLOOKUP('Dashboard And Emails Automate'!$G756,Database!$H:$N,7,0)),"")</f>
        <v/>
      </c>
      <c r="N756" s="55" t="str">
        <f>IFERROR(IF(OR($B756="",$B756="(blank)"),"",VLOOKUP($B756,'Email Marketing Raw Data'!$C:$O,6,0)),"")</f>
        <v/>
      </c>
      <c r="O756" s="55" t="str">
        <f>IFERROR(IF(OR($B756="",$B756="(blank)"),"",VLOOKUP($B756,'Email Marketing Raw Data'!$C:$O,7,0)),"")</f>
        <v/>
      </c>
      <c r="P756" s="55" t="str">
        <f>IFERROR(IF(OR($B756="",$B756="(blank)"),"",VLOOKUP($B756,'Email Marketing Raw Data'!$C:$O,8,0)),"")</f>
        <v/>
      </c>
      <c r="Q756" s="62" t="str">
        <f>IFERROR(IF(OR($B756="",$B756="(blank)"),"",VLOOKUP($B756,'Email Marketing Raw Data'!$C:$O,9,0)),"")</f>
        <v/>
      </c>
    </row>
    <row r="757" spans="4:17" ht="12.75" customHeight="1" x14ac:dyDescent="0.2">
      <c r="D757" s="58" t="str">
        <f>IFERROR(IF(F757&lt;&gt;"pending","",IF(OR($B757="",$B757="(blank)"),"",VLOOKUP($B757,'Email Marketing Raw Data'!$C:$O,10,0))),"")</f>
        <v/>
      </c>
      <c r="E757" s="59" t="str">
        <f>IFERROR(IF(F757&lt;&gt;"pending","",IF(OR($B757="",$B757="(blank)"),"",VLOOKUP($B757,'Email Marketing Raw Data'!$C:$O,11,0))),"")</f>
        <v/>
      </c>
      <c r="F757" s="54" t="str">
        <f>IFERROR(IF(OR($B757="",$B757="(blank)"),"",VLOOKUP($B757,'Email Marketing Raw Data'!$C:$O,13,0)),"")</f>
        <v/>
      </c>
      <c r="G757" s="55" t="str">
        <f>IFERROR(IF(OR($B757="",$B757="(blank)"),"",VLOOKUP($B757,'Email Marketing Raw Data'!$C:$O,4,0)),"")</f>
        <v/>
      </c>
      <c r="H757" s="55" t="str">
        <f>IFERROR(IF(OR($B757="",$B757="(blank)"),"",VLOOKUP($B757,'Email Marketing Raw Data'!$C:$O,5,0)),"")</f>
        <v/>
      </c>
      <c r="I757" s="55" t="str">
        <f>IFERROR(IF($G757="","",VLOOKUP('Dashboard And Emails Automate'!$G757,Database!$H:$N,3,0)),"")</f>
        <v/>
      </c>
      <c r="J757" s="55" t="str">
        <f>IFERROR(IF($G757="","",VLOOKUP('Dashboard And Emails Automate'!$G757,Database!$H:$N,4,0)),"")</f>
        <v/>
      </c>
      <c r="K757" s="55" t="str">
        <f>IFERROR(IF($G757="","",VLOOKUP('Dashboard And Emails Automate'!$G757,Database!$H:$N,5,0)),"")</f>
        <v/>
      </c>
      <c r="L757" s="55" t="str">
        <f>IFERROR(IF($G757="","",VLOOKUP('Dashboard And Emails Automate'!$G757,Database!$H:$N,6,0)),"")</f>
        <v/>
      </c>
      <c r="M757" s="55" t="str">
        <f>IFERROR(IF($G757="","",VLOOKUP('Dashboard And Emails Automate'!$G757,Database!$H:$N,7,0)),"")</f>
        <v/>
      </c>
      <c r="N757" s="55" t="str">
        <f>IFERROR(IF(OR($B757="",$B757="(blank)"),"",VLOOKUP($B757,'Email Marketing Raw Data'!$C:$O,6,0)),"")</f>
        <v/>
      </c>
      <c r="O757" s="55" t="str">
        <f>IFERROR(IF(OR($B757="",$B757="(blank)"),"",VLOOKUP($B757,'Email Marketing Raw Data'!$C:$O,7,0)),"")</f>
        <v/>
      </c>
      <c r="P757" s="55" t="str">
        <f>IFERROR(IF(OR($B757="",$B757="(blank)"),"",VLOOKUP($B757,'Email Marketing Raw Data'!$C:$O,8,0)),"")</f>
        <v/>
      </c>
      <c r="Q757" s="62" t="str">
        <f>IFERROR(IF(OR($B757="",$B757="(blank)"),"",VLOOKUP($B757,'Email Marketing Raw Data'!$C:$O,9,0)),"")</f>
        <v/>
      </c>
    </row>
    <row r="758" spans="4:17" ht="12.75" customHeight="1" x14ac:dyDescent="0.2">
      <c r="D758" s="58" t="str">
        <f>IFERROR(IF(F758&lt;&gt;"pending","",IF(OR($B758="",$B758="(blank)"),"",VLOOKUP($B758,'Email Marketing Raw Data'!$C:$O,10,0))),"")</f>
        <v/>
      </c>
      <c r="E758" s="59" t="str">
        <f>IFERROR(IF(F758&lt;&gt;"pending","",IF(OR($B758="",$B758="(blank)"),"",VLOOKUP($B758,'Email Marketing Raw Data'!$C:$O,11,0))),"")</f>
        <v/>
      </c>
      <c r="F758" s="54" t="str">
        <f>IFERROR(IF(OR($B758="",$B758="(blank)"),"",VLOOKUP($B758,'Email Marketing Raw Data'!$C:$O,13,0)),"")</f>
        <v/>
      </c>
      <c r="G758" s="55" t="str">
        <f>IFERROR(IF(OR($B758="",$B758="(blank)"),"",VLOOKUP($B758,'Email Marketing Raw Data'!$C:$O,4,0)),"")</f>
        <v/>
      </c>
      <c r="H758" s="55" t="str">
        <f>IFERROR(IF(OR($B758="",$B758="(blank)"),"",VLOOKUP($B758,'Email Marketing Raw Data'!$C:$O,5,0)),"")</f>
        <v/>
      </c>
      <c r="I758" s="55" t="str">
        <f>IFERROR(IF($G758="","",VLOOKUP('Dashboard And Emails Automate'!$G758,Database!$H:$N,3,0)),"")</f>
        <v/>
      </c>
      <c r="J758" s="55" t="str">
        <f>IFERROR(IF($G758="","",VLOOKUP('Dashboard And Emails Automate'!$G758,Database!$H:$N,4,0)),"")</f>
        <v/>
      </c>
      <c r="K758" s="55" t="str">
        <f>IFERROR(IF($G758="","",VLOOKUP('Dashboard And Emails Automate'!$G758,Database!$H:$N,5,0)),"")</f>
        <v/>
      </c>
      <c r="L758" s="55" t="str">
        <f>IFERROR(IF($G758="","",VLOOKUP('Dashboard And Emails Automate'!$G758,Database!$H:$N,6,0)),"")</f>
        <v/>
      </c>
      <c r="M758" s="55" t="str">
        <f>IFERROR(IF($G758="","",VLOOKUP('Dashboard And Emails Automate'!$G758,Database!$H:$N,7,0)),"")</f>
        <v/>
      </c>
      <c r="N758" s="55" t="str">
        <f>IFERROR(IF(OR($B758="",$B758="(blank)"),"",VLOOKUP($B758,'Email Marketing Raw Data'!$C:$O,6,0)),"")</f>
        <v/>
      </c>
      <c r="O758" s="55" t="str">
        <f>IFERROR(IF(OR($B758="",$B758="(blank)"),"",VLOOKUP($B758,'Email Marketing Raw Data'!$C:$O,7,0)),"")</f>
        <v/>
      </c>
      <c r="P758" s="55" t="str">
        <f>IFERROR(IF(OR($B758="",$B758="(blank)"),"",VLOOKUP($B758,'Email Marketing Raw Data'!$C:$O,8,0)),"")</f>
        <v/>
      </c>
      <c r="Q758" s="62" t="str">
        <f>IFERROR(IF(OR($B758="",$B758="(blank)"),"",VLOOKUP($B758,'Email Marketing Raw Data'!$C:$O,9,0)),"")</f>
        <v/>
      </c>
    </row>
    <row r="759" spans="4:17" ht="12.75" customHeight="1" x14ac:dyDescent="0.2">
      <c r="D759" s="58" t="str">
        <f>IFERROR(IF(F759&lt;&gt;"pending","",IF(OR($B759="",$B759="(blank)"),"",VLOOKUP($B759,'Email Marketing Raw Data'!$C:$O,10,0))),"")</f>
        <v/>
      </c>
      <c r="E759" s="59" t="str">
        <f>IFERROR(IF(F759&lt;&gt;"pending","",IF(OR($B759="",$B759="(blank)"),"",VLOOKUP($B759,'Email Marketing Raw Data'!$C:$O,11,0))),"")</f>
        <v/>
      </c>
      <c r="F759" s="54" t="str">
        <f>IFERROR(IF(OR($B759="",$B759="(blank)"),"",VLOOKUP($B759,'Email Marketing Raw Data'!$C:$O,13,0)),"")</f>
        <v/>
      </c>
      <c r="G759" s="55" t="str">
        <f>IFERROR(IF(OR($B759="",$B759="(blank)"),"",VLOOKUP($B759,'Email Marketing Raw Data'!$C:$O,4,0)),"")</f>
        <v/>
      </c>
      <c r="H759" s="55" t="str">
        <f>IFERROR(IF(OR($B759="",$B759="(blank)"),"",VLOOKUP($B759,'Email Marketing Raw Data'!$C:$O,5,0)),"")</f>
        <v/>
      </c>
      <c r="I759" s="55" t="str">
        <f>IFERROR(IF($G759="","",VLOOKUP('Dashboard And Emails Automate'!$G759,Database!$H:$N,3,0)),"")</f>
        <v/>
      </c>
      <c r="J759" s="55" t="str">
        <f>IFERROR(IF($G759="","",VLOOKUP('Dashboard And Emails Automate'!$G759,Database!$H:$N,4,0)),"")</f>
        <v/>
      </c>
      <c r="K759" s="55" t="str">
        <f>IFERROR(IF($G759="","",VLOOKUP('Dashboard And Emails Automate'!$G759,Database!$H:$N,5,0)),"")</f>
        <v/>
      </c>
      <c r="L759" s="55" t="str">
        <f>IFERROR(IF($G759="","",VLOOKUP('Dashboard And Emails Automate'!$G759,Database!$H:$N,6,0)),"")</f>
        <v/>
      </c>
      <c r="M759" s="55" t="str">
        <f>IFERROR(IF($G759="","",VLOOKUP('Dashboard And Emails Automate'!$G759,Database!$H:$N,7,0)),"")</f>
        <v/>
      </c>
      <c r="N759" s="55" t="str">
        <f>IFERROR(IF(OR($B759="",$B759="(blank)"),"",VLOOKUP($B759,'Email Marketing Raw Data'!$C:$O,6,0)),"")</f>
        <v/>
      </c>
      <c r="O759" s="55" t="str">
        <f>IFERROR(IF(OR($B759="",$B759="(blank)"),"",VLOOKUP($B759,'Email Marketing Raw Data'!$C:$O,7,0)),"")</f>
        <v/>
      </c>
      <c r="P759" s="55" t="str">
        <f>IFERROR(IF(OR($B759="",$B759="(blank)"),"",VLOOKUP($B759,'Email Marketing Raw Data'!$C:$O,8,0)),"")</f>
        <v/>
      </c>
      <c r="Q759" s="62" t="str">
        <f>IFERROR(IF(OR($B759="",$B759="(blank)"),"",VLOOKUP($B759,'Email Marketing Raw Data'!$C:$O,9,0)),"")</f>
        <v/>
      </c>
    </row>
    <row r="760" spans="4:17" ht="12.75" customHeight="1" x14ac:dyDescent="0.2">
      <c r="D760" s="58" t="str">
        <f>IFERROR(IF(F760&lt;&gt;"pending","",IF(OR($B760="",$B760="(blank)"),"",VLOOKUP($B760,'Email Marketing Raw Data'!$C:$O,10,0))),"")</f>
        <v/>
      </c>
      <c r="E760" s="59" t="str">
        <f>IFERROR(IF(F760&lt;&gt;"pending","",IF(OR($B760="",$B760="(blank)"),"",VLOOKUP($B760,'Email Marketing Raw Data'!$C:$O,11,0))),"")</f>
        <v/>
      </c>
      <c r="F760" s="54" t="str">
        <f>IFERROR(IF(OR($B760="",$B760="(blank)"),"",VLOOKUP($B760,'Email Marketing Raw Data'!$C:$O,13,0)),"")</f>
        <v/>
      </c>
      <c r="G760" s="55" t="str">
        <f>IFERROR(IF(OR($B760="",$B760="(blank)"),"",VLOOKUP($B760,'Email Marketing Raw Data'!$C:$O,4,0)),"")</f>
        <v/>
      </c>
      <c r="H760" s="55" t="str">
        <f>IFERROR(IF(OR($B760="",$B760="(blank)"),"",VLOOKUP($B760,'Email Marketing Raw Data'!$C:$O,5,0)),"")</f>
        <v/>
      </c>
      <c r="I760" s="55" t="str">
        <f>IFERROR(IF($G760="","",VLOOKUP('Dashboard And Emails Automate'!$G760,Database!$H:$N,3,0)),"")</f>
        <v/>
      </c>
      <c r="J760" s="55" t="str">
        <f>IFERROR(IF($G760="","",VLOOKUP('Dashboard And Emails Automate'!$G760,Database!$H:$N,4,0)),"")</f>
        <v/>
      </c>
      <c r="K760" s="55" t="str">
        <f>IFERROR(IF($G760="","",VLOOKUP('Dashboard And Emails Automate'!$G760,Database!$H:$N,5,0)),"")</f>
        <v/>
      </c>
      <c r="L760" s="55" t="str">
        <f>IFERROR(IF($G760="","",VLOOKUP('Dashboard And Emails Automate'!$G760,Database!$H:$N,6,0)),"")</f>
        <v/>
      </c>
      <c r="M760" s="55" t="str">
        <f>IFERROR(IF($G760="","",VLOOKUP('Dashboard And Emails Automate'!$G760,Database!$H:$N,7,0)),"")</f>
        <v/>
      </c>
      <c r="N760" s="55" t="str">
        <f>IFERROR(IF(OR($B760="",$B760="(blank)"),"",VLOOKUP($B760,'Email Marketing Raw Data'!$C:$O,6,0)),"")</f>
        <v/>
      </c>
      <c r="O760" s="55" t="str">
        <f>IFERROR(IF(OR($B760="",$B760="(blank)"),"",VLOOKUP($B760,'Email Marketing Raw Data'!$C:$O,7,0)),"")</f>
        <v/>
      </c>
      <c r="P760" s="55" t="str">
        <f>IFERROR(IF(OR($B760="",$B760="(blank)"),"",VLOOKUP($B760,'Email Marketing Raw Data'!$C:$O,8,0)),"")</f>
        <v/>
      </c>
      <c r="Q760" s="62" t="str">
        <f>IFERROR(IF(OR($B760="",$B760="(blank)"),"",VLOOKUP($B760,'Email Marketing Raw Data'!$C:$O,9,0)),"")</f>
        <v/>
      </c>
    </row>
    <row r="761" spans="4:17" ht="12.75" customHeight="1" x14ac:dyDescent="0.2">
      <c r="D761" s="58" t="str">
        <f>IFERROR(IF(F761&lt;&gt;"pending","",IF(OR($B761="",$B761="(blank)"),"",VLOOKUP($B761,'Email Marketing Raw Data'!$C:$O,10,0))),"")</f>
        <v/>
      </c>
      <c r="E761" s="59" t="str">
        <f>IFERROR(IF(F761&lt;&gt;"pending","",IF(OR($B761="",$B761="(blank)"),"",VLOOKUP($B761,'Email Marketing Raw Data'!$C:$O,11,0))),"")</f>
        <v/>
      </c>
      <c r="F761" s="54" t="str">
        <f>IFERROR(IF(OR($B761="",$B761="(blank)"),"",VLOOKUP($B761,'Email Marketing Raw Data'!$C:$O,13,0)),"")</f>
        <v/>
      </c>
      <c r="G761" s="55" t="str">
        <f>IFERROR(IF(OR($B761="",$B761="(blank)"),"",VLOOKUP($B761,'Email Marketing Raw Data'!$C:$O,4,0)),"")</f>
        <v/>
      </c>
      <c r="H761" s="55" t="str">
        <f>IFERROR(IF(OR($B761="",$B761="(blank)"),"",VLOOKUP($B761,'Email Marketing Raw Data'!$C:$O,5,0)),"")</f>
        <v/>
      </c>
      <c r="I761" s="55" t="str">
        <f>IFERROR(IF($G761="","",VLOOKUP('Dashboard And Emails Automate'!$G761,Database!$H:$N,3,0)),"")</f>
        <v/>
      </c>
      <c r="J761" s="55" t="str">
        <f>IFERROR(IF($G761="","",VLOOKUP('Dashboard And Emails Automate'!$G761,Database!$H:$N,4,0)),"")</f>
        <v/>
      </c>
      <c r="K761" s="55" t="str">
        <f>IFERROR(IF($G761="","",VLOOKUP('Dashboard And Emails Automate'!$G761,Database!$H:$N,5,0)),"")</f>
        <v/>
      </c>
      <c r="L761" s="55" t="str">
        <f>IFERROR(IF($G761="","",VLOOKUP('Dashboard And Emails Automate'!$G761,Database!$H:$N,6,0)),"")</f>
        <v/>
      </c>
      <c r="M761" s="55" t="str">
        <f>IFERROR(IF($G761="","",VLOOKUP('Dashboard And Emails Automate'!$G761,Database!$H:$N,7,0)),"")</f>
        <v/>
      </c>
      <c r="N761" s="55" t="str">
        <f>IFERROR(IF(OR($B761="",$B761="(blank)"),"",VLOOKUP($B761,'Email Marketing Raw Data'!$C:$O,6,0)),"")</f>
        <v/>
      </c>
      <c r="O761" s="55" t="str">
        <f>IFERROR(IF(OR($B761="",$B761="(blank)"),"",VLOOKUP($B761,'Email Marketing Raw Data'!$C:$O,7,0)),"")</f>
        <v/>
      </c>
      <c r="P761" s="55" t="str">
        <f>IFERROR(IF(OR($B761="",$B761="(blank)"),"",VLOOKUP($B761,'Email Marketing Raw Data'!$C:$O,8,0)),"")</f>
        <v/>
      </c>
      <c r="Q761" s="62" t="str">
        <f>IFERROR(IF(OR($B761="",$B761="(blank)"),"",VLOOKUP($B761,'Email Marketing Raw Data'!$C:$O,9,0)),"")</f>
        <v/>
      </c>
    </row>
    <row r="762" spans="4:17" ht="12.75" customHeight="1" x14ac:dyDescent="0.2">
      <c r="D762" s="58" t="str">
        <f>IFERROR(IF(F762&lt;&gt;"pending","",IF(OR($B762="",$B762="(blank)"),"",VLOOKUP($B762,'Email Marketing Raw Data'!$C:$O,10,0))),"")</f>
        <v/>
      </c>
      <c r="E762" s="59" t="str">
        <f>IFERROR(IF(F762&lt;&gt;"pending","",IF(OR($B762="",$B762="(blank)"),"",VLOOKUP($B762,'Email Marketing Raw Data'!$C:$O,11,0))),"")</f>
        <v/>
      </c>
      <c r="F762" s="54" t="str">
        <f>IFERROR(IF(OR($B762="",$B762="(blank)"),"",VLOOKUP($B762,'Email Marketing Raw Data'!$C:$O,13,0)),"")</f>
        <v/>
      </c>
      <c r="G762" s="55" t="str">
        <f>IFERROR(IF(OR($B762="",$B762="(blank)"),"",VLOOKUP($B762,'Email Marketing Raw Data'!$C:$O,4,0)),"")</f>
        <v/>
      </c>
      <c r="H762" s="55" t="str">
        <f>IFERROR(IF(OR($B762="",$B762="(blank)"),"",VLOOKUP($B762,'Email Marketing Raw Data'!$C:$O,5,0)),"")</f>
        <v/>
      </c>
      <c r="I762" s="55" t="str">
        <f>IFERROR(IF($G762="","",VLOOKUP('Dashboard And Emails Automate'!$G762,Database!$H:$N,3,0)),"")</f>
        <v/>
      </c>
      <c r="J762" s="55" t="str">
        <f>IFERROR(IF($G762="","",VLOOKUP('Dashboard And Emails Automate'!$G762,Database!$H:$N,4,0)),"")</f>
        <v/>
      </c>
      <c r="K762" s="55" t="str">
        <f>IFERROR(IF($G762="","",VLOOKUP('Dashboard And Emails Automate'!$G762,Database!$H:$N,5,0)),"")</f>
        <v/>
      </c>
      <c r="L762" s="55" t="str">
        <f>IFERROR(IF($G762="","",VLOOKUP('Dashboard And Emails Automate'!$G762,Database!$H:$N,6,0)),"")</f>
        <v/>
      </c>
      <c r="M762" s="55" t="str">
        <f>IFERROR(IF($G762="","",VLOOKUP('Dashboard And Emails Automate'!$G762,Database!$H:$N,7,0)),"")</f>
        <v/>
      </c>
      <c r="N762" s="55" t="str">
        <f>IFERROR(IF(OR($B762="",$B762="(blank)"),"",VLOOKUP($B762,'Email Marketing Raw Data'!$C:$O,6,0)),"")</f>
        <v/>
      </c>
      <c r="O762" s="55" t="str">
        <f>IFERROR(IF(OR($B762="",$B762="(blank)"),"",VLOOKUP($B762,'Email Marketing Raw Data'!$C:$O,7,0)),"")</f>
        <v/>
      </c>
      <c r="P762" s="55" t="str">
        <f>IFERROR(IF(OR($B762="",$B762="(blank)"),"",VLOOKUP($B762,'Email Marketing Raw Data'!$C:$O,8,0)),"")</f>
        <v/>
      </c>
      <c r="Q762" s="62" t="str">
        <f>IFERROR(IF(OR($B762="",$B762="(blank)"),"",VLOOKUP($B762,'Email Marketing Raw Data'!$C:$O,9,0)),"")</f>
        <v/>
      </c>
    </row>
    <row r="763" spans="4:17" ht="12.75" customHeight="1" x14ac:dyDescent="0.2">
      <c r="D763" s="58" t="str">
        <f>IFERROR(IF(F763&lt;&gt;"pending","",IF(OR($B763="",$B763="(blank)"),"",VLOOKUP($B763,'Email Marketing Raw Data'!$C:$O,10,0))),"")</f>
        <v/>
      </c>
      <c r="E763" s="59" t="str">
        <f>IFERROR(IF(F763&lt;&gt;"pending","",IF(OR($B763="",$B763="(blank)"),"",VLOOKUP($B763,'Email Marketing Raw Data'!$C:$O,11,0))),"")</f>
        <v/>
      </c>
      <c r="F763" s="54" t="str">
        <f>IFERROR(IF(OR($B763="",$B763="(blank)"),"",VLOOKUP($B763,'Email Marketing Raw Data'!$C:$O,13,0)),"")</f>
        <v/>
      </c>
      <c r="G763" s="55" t="str">
        <f>IFERROR(IF(OR($B763="",$B763="(blank)"),"",VLOOKUP($B763,'Email Marketing Raw Data'!$C:$O,4,0)),"")</f>
        <v/>
      </c>
      <c r="H763" s="55" t="str">
        <f>IFERROR(IF(OR($B763="",$B763="(blank)"),"",VLOOKUP($B763,'Email Marketing Raw Data'!$C:$O,5,0)),"")</f>
        <v/>
      </c>
      <c r="I763" s="55" t="str">
        <f>IFERROR(IF($G763="","",VLOOKUP('Dashboard And Emails Automate'!$G763,Database!$H:$N,3,0)),"")</f>
        <v/>
      </c>
      <c r="J763" s="55" t="str">
        <f>IFERROR(IF($G763="","",VLOOKUP('Dashboard And Emails Automate'!$G763,Database!$H:$N,4,0)),"")</f>
        <v/>
      </c>
      <c r="K763" s="55" t="str">
        <f>IFERROR(IF($G763="","",VLOOKUP('Dashboard And Emails Automate'!$G763,Database!$H:$N,5,0)),"")</f>
        <v/>
      </c>
      <c r="L763" s="55" t="str">
        <f>IFERROR(IF($G763="","",VLOOKUP('Dashboard And Emails Automate'!$G763,Database!$H:$N,6,0)),"")</f>
        <v/>
      </c>
      <c r="M763" s="55" t="str">
        <f>IFERROR(IF($G763="","",VLOOKUP('Dashboard And Emails Automate'!$G763,Database!$H:$N,7,0)),"")</f>
        <v/>
      </c>
      <c r="N763" s="55" t="str">
        <f>IFERROR(IF(OR($B763="",$B763="(blank)"),"",VLOOKUP($B763,'Email Marketing Raw Data'!$C:$O,6,0)),"")</f>
        <v/>
      </c>
      <c r="O763" s="55" t="str">
        <f>IFERROR(IF(OR($B763="",$B763="(blank)"),"",VLOOKUP($B763,'Email Marketing Raw Data'!$C:$O,7,0)),"")</f>
        <v/>
      </c>
      <c r="P763" s="55" t="str">
        <f>IFERROR(IF(OR($B763="",$B763="(blank)"),"",VLOOKUP($B763,'Email Marketing Raw Data'!$C:$O,8,0)),"")</f>
        <v/>
      </c>
      <c r="Q763" s="62" t="str">
        <f>IFERROR(IF(OR($B763="",$B763="(blank)"),"",VLOOKUP($B763,'Email Marketing Raw Data'!$C:$O,9,0)),"")</f>
        <v/>
      </c>
    </row>
    <row r="764" spans="4:17" ht="12.75" customHeight="1" x14ac:dyDescent="0.2">
      <c r="D764" s="58" t="str">
        <f>IFERROR(IF(F764&lt;&gt;"pending","",IF(OR($B764="",$B764="(blank)"),"",VLOOKUP($B764,'Email Marketing Raw Data'!$C:$O,10,0))),"")</f>
        <v/>
      </c>
      <c r="E764" s="59" t="str">
        <f>IFERROR(IF(F764&lt;&gt;"pending","",IF(OR($B764="",$B764="(blank)"),"",VLOOKUP($B764,'Email Marketing Raw Data'!$C:$O,11,0))),"")</f>
        <v/>
      </c>
      <c r="F764" s="54" t="str">
        <f>IFERROR(IF(OR($B764="",$B764="(blank)"),"",VLOOKUP($B764,'Email Marketing Raw Data'!$C:$O,13,0)),"")</f>
        <v/>
      </c>
      <c r="G764" s="55" t="str">
        <f>IFERROR(IF(OR($B764="",$B764="(blank)"),"",VLOOKUP($B764,'Email Marketing Raw Data'!$C:$O,4,0)),"")</f>
        <v/>
      </c>
      <c r="H764" s="55" t="str">
        <f>IFERROR(IF(OR($B764="",$B764="(blank)"),"",VLOOKUP($B764,'Email Marketing Raw Data'!$C:$O,5,0)),"")</f>
        <v/>
      </c>
      <c r="I764" s="55" t="str">
        <f>IFERROR(IF($G764="","",VLOOKUP('Dashboard And Emails Automate'!$G764,Database!$H:$N,3,0)),"")</f>
        <v/>
      </c>
      <c r="J764" s="55" t="str">
        <f>IFERROR(IF($G764="","",VLOOKUP('Dashboard And Emails Automate'!$G764,Database!$H:$N,4,0)),"")</f>
        <v/>
      </c>
      <c r="K764" s="55" t="str">
        <f>IFERROR(IF($G764="","",VLOOKUP('Dashboard And Emails Automate'!$G764,Database!$H:$N,5,0)),"")</f>
        <v/>
      </c>
      <c r="L764" s="55" t="str">
        <f>IFERROR(IF($G764="","",VLOOKUP('Dashboard And Emails Automate'!$G764,Database!$H:$N,6,0)),"")</f>
        <v/>
      </c>
      <c r="M764" s="55" t="str">
        <f>IFERROR(IF($G764="","",VLOOKUP('Dashboard And Emails Automate'!$G764,Database!$H:$N,7,0)),"")</f>
        <v/>
      </c>
      <c r="N764" s="55" t="str">
        <f>IFERROR(IF(OR($B764="",$B764="(blank)"),"",VLOOKUP($B764,'Email Marketing Raw Data'!$C:$O,6,0)),"")</f>
        <v/>
      </c>
      <c r="O764" s="55" t="str">
        <f>IFERROR(IF(OR($B764="",$B764="(blank)"),"",VLOOKUP($B764,'Email Marketing Raw Data'!$C:$O,7,0)),"")</f>
        <v/>
      </c>
      <c r="P764" s="55" t="str">
        <f>IFERROR(IF(OR($B764="",$B764="(blank)"),"",VLOOKUP($B764,'Email Marketing Raw Data'!$C:$O,8,0)),"")</f>
        <v/>
      </c>
      <c r="Q764" s="62" t="str">
        <f>IFERROR(IF(OR($B764="",$B764="(blank)"),"",VLOOKUP($B764,'Email Marketing Raw Data'!$C:$O,9,0)),"")</f>
        <v/>
      </c>
    </row>
    <row r="765" spans="4:17" ht="12.75" customHeight="1" x14ac:dyDescent="0.2">
      <c r="D765" s="58" t="str">
        <f>IFERROR(IF(F765&lt;&gt;"pending","",IF(OR($B765="",$B765="(blank)"),"",VLOOKUP($B765,'Email Marketing Raw Data'!$C:$O,10,0))),"")</f>
        <v/>
      </c>
      <c r="E765" s="59" t="str">
        <f>IFERROR(IF(F765&lt;&gt;"pending","",IF(OR($B765="",$B765="(blank)"),"",VLOOKUP($B765,'Email Marketing Raw Data'!$C:$O,11,0))),"")</f>
        <v/>
      </c>
      <c r="F765" s="54" t="str">
        <f>IFERROR(IF(OR($B765="",$B765="(blank)"),"",VLOOKUP($B765,'Email Marketing Raw Data'!$C:$O,13,0)),"")</f>
        <v/>
      </c>
      <c r="G765" s="55" t="str">
        <f>IFERROR(IF(OR($B765="",$B765="(blank)"),"",VLOOKUP($B765,'Email Marketing Raw Data'!$C:$O,4,0)),"")</f>
        <v/>
      </c>
      <c r="H765" s="55" t="str">
        <f>IFERROR(IF(OR($B765="",$B765="(blank)"),"",VLOOKUP($B765,'Email Marketing Raw Data'!$C:$O,5,0)),"")</f>
        <v/>
      </c>
      <c r="I765" s="55" t="str">
        <f>IFERROR(IF($G765="","",VLOOKUP('Dashboard And Emails Automate'!$G765,Database!$H:$N,3,0)),"")</f>
        <v/>
      </c>
      <c r="J765" s="55" t="str">
        <f>IFERROR(IF($G765="","",VLOOKUP('Dashboard And Emails Automate'!$G765,Database!$H:$N,4,0)),"")</f>
        <v/>
      </c>
      <c r="K765" s="55" t="str">
        <f>IFERROR(IF($G765="","",VLOOKUP('Dashboard And Emails Automate'!$G765,Database!$H:$N,5,0)),"")</f>
        <v/>
      </c>
      <c r="L765" s="55" t="str">
        <f>IFERROR(IF($G765="","",VLOOKUP('Dashboard And Emails Automate'!$G765,Database!$H:$N,6,0)),"")</f>
        <v/>
      </c>
      <c r="M765" s="55" t="str">
        <f>IFERROR(IF($G765="","",VLOOKUP('Dashboard And Emails Automate'!$G765,Database!$H:$N,7,0)),"")</f>
        <v/>
      </c>
      <c r="N765" s="55" t="str">
        <f>IFERROR(IF(OR($B765="",$B765="(blank)"),"",VLOOKUP($B765,'Email Marketing Raw Data'!$C:$O,6,0)),"")</f>
        <v/>
      </c>
      <c r="O765" s="55" t="str">
        <f>IFERROR(IF(OR($B765="",$B765="(blank)"),"",VLOOKUP($B765,'Email Marketing Raw Data'!$C:$O,7,0)),"")</f>
        <v/>
      </c>
      <c r="P765" s="55" t="str">
        <f>IFERROR(IF(OR($B765="",$B765="(blank)"),"",VLOOKUP($B765,'Email Marketing Raw Data'!$C:$O,8,0)),"")</f>
        <v/>
      </c>
      <c r="Q765" s="62" t="str">
        <f>IFERROR(IF(OR($B765="",$B765="(blank)"),"",VLOOKUP($B765,'Email Marketing Raw Data'!$C:$O,9,0)),"")</f>
        <v/>
      </c>
    </row>
    <row r="766" spans="4:17" ht="12.75" customHeight="1" x14ac:dyDescent="0.2">
      <c r="D766" s="58" t="str">
        <f>IFERROR(IF(F766&lt;&gt;"pending","",IF(OR($B766="",$B766="(blank)"),"",VLOOKUP($B766,'Email Marketing Raw Data'!$C:$O,10,0))),"")</f>
        <v/>
      </c>
      <c r="E766" s="59" t="str">
        <f>IFERROR(IF(F766&lt;&gt;"pending","",IF(OR($B766="",$B766="(blank)"),"",VLOOKUP($B766,'Email Marketing Raw Data'!$C:$O,11,0))),"")</f>
        <v/>
      </c>
      <c r="F766" s="54" t="str">
        <f>IFERROR(IF(OR($B766="",$B766="(blank)"),"",VLOOKUP($B766,'Email Marketing Raw Data'!$C:$O,13,0)),"")</f>
        <v/>
      </c>
      <c r="G766" s="55" t="str">
        <f>IFERROR(IF(OR($B766="",$B766="(blank)"),"",VLOOKUP($B766,'Email Marketing Raw Data'!$C:$O,4,0)),"")</f>
        <v/>
      </c>
      <c r="H766" s="55" t="str">
        <f>IFERROR(IF(OR($B766="",$B766="(blank)"),"",VLOOKUP($B766,'Email Marketing Raw Data'!$C:$O,5,0)),"")</f>
        <v/>
      </c>
      <c r="I766" s="55" t="str">
        <f>IFERROR(IF($G766="","",VLOOKUP('Dashboard And Emails Automate'!$G766,Database!$H:$N,3,0)),"")</f>
        <v/>
      </c>
      <c r="J766" s="55" t="str">
        <f>IFERROR(IF($G766="","",VLOOKUP('Dashboard And Emails Automate'!$G766,Database!$H:$N,4,0)),"")</f>
        <v/>
      </c>
      <c r="K766" s="55" t="str">
        <f>IFERROR(IF($G766="","",VLOOKUP('Dashboard And Emails Automate'!$G766,Database!$H:$N,5,0)),"")</f>
        <v/>
      </c>
      <c r="L766" s="55" t="str">
        <f>IFERROR(IF($G766="","",VLOOKUP('Dashboard And Emails Automate'!$G766,Database!$H:$N,6,0)),"")</f>
        <v/>
      </c>
      <c r="M766" s="55" t="str">
        <f>IFERROR(IF($G766="","",VLOOKUP('Dashboard And Emails Automate'!$G766,Database!$H:$N,7,0)),"")</f>
        <v/>
      </c>
      <c r="N766" s="55" t="str">
        <f>IFERROR(IF(OR($B766="",$B766="(blank)"),"",VLOOKUP($B766,'Email Marketing Raw Data'!$C:$O,6,0)),"")</f>
        <v/>
      </c>
      <c r="O766" s="55" t="str">
        <f>IFERROR(IF(OR($B766="",$B766="(blank)"),"",VLOOKUP($B766,'Email Marketing Raw Data'!$C:$O,7,0)),"")</f>
        <v/>
      </c>
      <c r="P766" s="55" t="str">
        <f>IFERROR(IF(OR($B766="",$B766="(blank)"),"",VLOOKUP($B766,'Email Marketing Raw Data'!$C:$O,8,0)),"")</f>
        <v/>
      </c>
      <c r="Q766" s="62" t="str">
        <f>IFERROR(IF(OR($B766="",$B766="(blank)"),"",VLOOKUP($B766,'Email Marketing Raw Data'!$C:$O,9,0)),"")</f>
        <v/>
      </c>
    </row>
    <row r="767" spans="4:17" ht="12.75" customHeight="1" x14ac:dyDescent="0.2">
      <c r="D767" s="58" t="str">
        <f>IFERROR(IF(F767&lt;&gt;"pending","",IF(OR($B767="",$B767="(blank)"),"",VLOOKUP($B767,'Email Marketing Raw Data'!$C:$O,10,0))),"")</f>
        <v/>
      </c>
      <c r="E767" s="59" t="str">
        <f>IFERROR(IF(F767&lt;&gt;"pending","",IF(OR($B767="",$B767="(blank)"),"",VLOOKUP($B767,'Email Marketing Raw Data'!$C:$O,11,0))),"")</f>
        <v/>
      </c>
      <c r="F767" s="54" t="str">
        <f>IFERROR(IF(OR($B767="",$B767="(blank)"),"",VLOOKUP($B767,'Email Marketing Raw Data'!$C:$O,13,0)),"")</f>
        <v/>
      </c>
      <c r="G767" s="55" t="str">
        <f>IFERROR(IF(OR($B767="",$B767="(blank)"),"",VLOOKUP($B767,'Email Marketing Raw Data'!$C:$O,4,0)),"")</f>
        <v/>
      </c>
      <c r="H767" s="55" t="str">
        <f>IFERROR(IF(OR($B767="",$B767="(blank)"),"",VLOOKUP($B767,'Email Marketing Raw Data'!$C:$O,5,0)),"")</f>
        <v/>
      </c>
      <c r="I767" s="55" t="str">
        <f>IFERROR(IF($G767="","",VLOOKUP('Dashboard And Emails Automate'!$G767,Database!$H:$N,3,0)),"")</f>
        <v/>
      </c>
      <c r="J767" s="55" t="str">
        <f>IFERROR(IF($G767="","",VLOOKUP('Dashboard And Emails Automate'!$G767,Database!$H:$N,4,0)),"")</f>
        <v/>
      </c>
      <c r="K767" s="55" t="str">
        <f>IFERROR(IF($G767="","",VLOOKUP('Dashboard And Emails Automate'!$G767,Database!$H:$N,5,0)),"")</f>
        <v/>
      </c>
      <c r="L767" s="55" t="str">
        <f>IFERROR(IF($G767="","",VLOOKUP('Dashboard And Emails Automate'!$G767,Database!$H:$N,6,0)),"")</f>
        <v/>
      </c>
      <c r="M767" s="55" t="str">
        <f>IFERROR(IF($G767="","",VLOOKUP('Dashboard And Emails Automate'!$G767,Database!$H:$N,7,0)),"")</f>
        <v/>
      </c>
      <c r="N767" s="55" t="str">
        <f>IFERROR(IF(OR($B767="",$B767="(blank)"),"",VLOOKUP($B767,'Email Marketing Raw Data'!$C:$O,6,0)),"")</f>
        <v/>
      </c>
      <c r="O767" s="55" t="str">
        <f>IFERROR(IF(OR($B767="",$B767="(blank)"),"",VLOOKUP($B767,'Email Marketing Raw Data'!$C:$O,7,0)),"")</f>
        <v/>
      </c>
      <c r="P767" s="55" t="str">
        <f>IFERROR(IF(OR($B767="",$B767="(blank)"),"",VLOOKUP($B767,'Email Marketing Raw Data'!$C:$O,8,0)),"")</f>
        <v/>
      </c>
      <c r="Q767" s="62" t="str">
        <f>IFERROR(IF(OR($B767="",$B767="(blank)"),"",VLOOKUP($B767,'Email Marketing Raw Data'!$C:$O,9,0)),"")</f>
        <v/>
      </c>
    </row>
    <row r="768" spans="4:17" ht="12.75" customHeight="1" x14ac:dyDescent="0.2">
      <c r="D768" s="58" t="str">
        <f>IFERROR(IF(F768&lt;&gt;"pending","",IF(OR($B768="",$B768="(blank)"),"",VLOOKUP($B768,'Email Marketing Raw Data'!$C:$O,10,0))),"")</f>
        <v/>
      </c>
      <c r="E768" s="59" t="str">
        <f>IFERROR(IF(F768&lt;&gt;"pending","",IF(OR($B768="",$B768="(blank)"),"",VLOOKUP($B768,'Email Marketing Raw Data'!$C:$O,11,0))),"")</f>
        <v/>
      </c>
      <c r="F768" s="54" t="str">
        <f>IFERROR(IF(OR($B768="",$B768="(blank)"),"",VLOOKUP($B768,'Email Marketing Raw Data'!$C:$O,13,0)),"")</f>
        <v/>
      </c>
      <c r="G768" s="55" t="str">
        <f>IFERROR(IF(OR($B768="",$B768="(blank)"),"",VLOOKUP($B768,'Email Marketing Raw Data'!$C:$O,4,0)),"")</f>
        <v/>
      </c>
      <c r="H768" s="55" t="str">
        <f>IFERROR(IF(OR($B768="",$B768="(blank)"),"",VLOOKUP($B768,'Email Marketing Raw Data'!$C:$O,5,0)),"")</f>
        <v/>
      </c>
      <c r="I768" s="55" t="str">
        <f>IFERROR(IF($G768="","",VLOOKUP('Dashboard And Emails Automate'!$G768,Database!$H:$N,3,0)),"")</f>
        <v/>
      </c>
      <c r="J768" s="55" t="str">
        <f>IFERROR(IF($G768="","",VLOOKUP('Dashboard And Emails Automate'!$G768,Database!$H:$N,4,0)),"")</f>
        <v/>
      </c>
      <c r="K768" s="55" t="str">
        <f>IFERROR(IF($G768="","",VLOOKUP('Dashboard And Emails Automate'!$G768,Database!$H:$N,5,0)),"")</f>
        <v/>
      </c>
      <c r="L768" s="55" t="str">
        <f>IFERROR(IF($G768="","",VLOOKUP('Dashboard And Emails Automate'!$G768,Database!$H:$N,6,0)),"")</f>
        <v/>
      </c>
      <c r="M768" s="55" t="str">
        <f>IFERROR(IF($G768="","",VLOOKUP('Dashboard And Emails Automate'!$G768,Database!$H:$N,7,0)),"")</f>
        <v/>
      </c>
      <c r="N768" s="55" t="str">
        <f>IFERROR(IF(OR($B768="",$B768="(blank)"),"",VLOOKUP($B768,'Email Marketing Raw Data'!$C:$O,6,0)),"")</f>
        <v/>
      </c>
      <c r="O768" s="55" t="str">
        <f>IFERROR(IF(OR($B768="",$B768="(blank)"),"",VLOOKUP($B768,'Email Marketing Raw Data'!$C:$O,7,0)),"")</f>
        <v/>
      </c>
      <c r="P768" s="55" t="str">
        <f>IFERROR(IF(OR($B768="",$B768="(blank)"),"",VLOOKUP($B768,'Email Marketing Raw Data'!$C:$O,8,0)),"")</f>
        <v/>
      </c>
      <c r="Q768" s="62" t="str">
        <f>IFERROR(IF(OR($B768="",$B768="(blank)"),"",VLOOKUP($B768,'Email Marketing Raw Data'!$C:$O,9,0)),"")</f>
        <v/>
      </c>
    </row>
    <row r="769" spans="4:17" ht="12.75" customHeight="1" x14ac:dyDescent="0.2">
      <c r="D769" s="58" t="str">
        <f>IFERROR(IF(F769&lt;&gt;"pending","",IF(OR($B769="",$B769="(blank)"),"",VLOOKUP($B769,'Email Marketing Raw Data'!$C:$O,10,0))),"")</f>
        <v/>
      </c>
      <c r="E769" s="59" t="str">
        <f>IFERROR(IF(F769&lt;&gt;"pending","",IF(OR($B769="",$B769="(blank)"),"",VLOOKUP($B769,'Email Marketing Raw Data'!$C:$O,11,0))),"")</f>
        <v/>
      </c>
      <c r="F769" s="54" t="str">
        <f>IFERROR(IF(OR($B769="",$B769="(blank)"),"",VLOOKUP($B769,'Email Marketing Raw Data'!$C:$O,13,0)),"")</f>
        <v/>
      </c>
      <c r="G769" s="55" t="str">
        <f>IFERROR(IF(OR($B769="",$B769="(blank)"),"",VLOOKUP($B769,'Email Marketing Raw Data'!$C:$O,4,0)),"")</f>
        <v/>
      </c>
      <c r="H769" s="55" t="str">
        <f>IFERROR(IF(OR($B769="",$B769="(blank)"),"",VLOOKUP($B769,'Email Marketing Raw Data'!$C:$O,5,0)),"")</f>
        <v/>
      </c>
      <c r="I769" s="55" t="str">
        <f>IFERROR(IF($G769="","",VLOOKUP('Dashboard And Emails Automate'!$G769,Database!$H:$N,3,0)),"")</f>
        <v/>
      </c>
      <c r="J769" s="55" t="str">
        <f>IFERROR(IF($G769="","",VLOOKUP('Dashboard And Emails Automate'!$G769,Database!$H:$N,4,0)),"")</f>
        <v/>
      </c>
      <c r="K769" s="55" t="str">
        <f>IFERROR(IF($G769="","",VLOOKUP('Dashboard And Emails Automate'!$G769,Database!$H:$N,5,0)),"")</f>
        <v/>
      </c>
      <c r="L769" s="55" t="str">
        <f>IFERROR(IF($G769="","",VLOOKUP('Dashboard And Emails Automate'!$G769,Database!$H:$N,6,0)),"")</f>
        <v/>
      </c>
      <c r="M769" s="55" t="str">
        <f>IFERROR(IF($G769="","",VLOOKUP('Dashboard And Emails Automate'!$G769,Database!$H:$N,7,0)),"")</f>
        <v/>
      </c>
      <c r="N769" s="55" t="str">
        <f>IFERROR(IF(OR($B769="",$B769="(blank)"),"",VLOOKUP($B769,'Email Marketing Raw Data'!$C:$O,6,0)),"")</f>
        <v/>
      </c>
      <c r="O769" s="55" t="str">
        <f>IFERROR(IF(OR($B769="",$B769="(blank)"),"",VLOOKUP($B769,'Email Marketing Raw Data'!$C:$O,7,0)),"")</f>
        <v/>
      </c>
      <c r="P769" s="55" t="str">
        <f>IFERROR(IF(OR($B769="",$B769="(blank)"),"",VLOOKUP($B769,'Email Marketing Raw Data'!$C:$O,8,0)),"")</f>
        <v/>
      </c>
      <c r="Q769" s="62" t="str">
        <f>IFERROR(IF(OR($B769="",$B769="(blank)"),"",VLOOKUP($B769,'Email Marketing Raw Data'!$C:$O,9,0)),"")</f>
        <v/>
      </c>
    </row>
    <row r="770" spans="4:17" ht="12.75" customHeight="1" x14ac:dyDescent="0.2">
      <c r="D770" s="58" t="str">
        <f>IFERROR(IF(F770&lt;&gt;"pending","",IF(OR($B770="",$B770="(blank)"),"",VLOOKUP($B770,'Email Marketing Raw Data'!$C:$O,10,0))),"")</f>
        <v/>
      </c>
      <c r="E770" s="59" t="str">
        <f>IFERROR(IF(F770&lt;&gt;"pending","",IF(OR($B770="",$B770="(blank)"),"",VLOOKUP($B770,'Email Marketing Raw Data'!$C:$O,11,0))),"")</f>
        <v/>
      </c>
      <c r="F770" s="54" t="str">
        <f>IFERROR(IF(OR($B770="",$B770="(blank)"),"",VLOOKUP($B770,'Email Marketing Raw Data'!$C:$O,13,0)),"")</f>
        <v/>
      </c>
      <c r="G770" s="55" t="str">
        <f>IFERROR(IF(OR($B770="",$B770="(blank)"),"",VLOOKUP($B770,'Email Marketing Raw Data'!$C:$O,4,0)),"")</f>
        <v/>
      </c>
      <c r="H770" s="55" t="str">
        <f>IFERROR(IF(OR($B770="",$B770="(blank)"),"",VLOOKUP($B770,'Email Marketing Raw Data'!$C:$O,5,0)),"")</f>
        <v/>
      </c>
      <c r="I770" s="55" t="str">
        <f>IFERROR(IF($G770="","",VLOOKUP('Dashboard And Emails Automate'!$G770,Database!$H:$N,3,0)),"")</f>
        <v/>
      </c>
      <c r="J770" s="55" t="str">
        <f>IFERROR(IF($G770="","",VLOOKUP('Dashboard And Emails Automate'!$G770,Database!$H:$N,4,0)),"")</f>
        <v/>
      </c>
      <c r="K770" s="55" t="str">
        <f>IFERROR(IF($G770="","",VLOOKUP('Dashboard And Emails Automate'!$G770,Database!$H:$N,5,0)),"")</f>
        <v/>
      </c>
      <c r="L770" s="55" t="str">
        <f>IFERROR(IF($G770="","",VLOOKUP('Dashboard And Emails Automate'!$G770,Database!$H:$N,6,0)),"")</f>
        <v/>
      </c>
      <c r="M770" s="55" t="str">
        <f>IFERROR(IF($G770="","",VLOOKUP('Dashboard And Emails Automate'!$G770,Database!$H:$N,7,0)),"")</f>
        <v/>
      </c>
      <c r="N770" s="55" t="str">
        <f>IFERROR(IF(OR($B770="",$B770="(blank)"),"",VLOOKUP($B770,'Email Marketing Raw Data'!$C:$O,6,0)),"")</f>
        <v/>
      </c>
      <c r="O770" s="55" t="str">
        <f>IFERROR(IF(OR($B770="",$B770="(blank)"),"",VLOOKUP($B770,'Email Marketing Raw Data'!$C:$O,7,0)),"")</f>
        <v/>
      </c>
      <c r="P770" s="55" t="str">
        <f>IFERROR(IF(OR($B770="",$B770="(blank)"),"",VLOOKUP($B770,'Email Marketing Raw Data'!$C:$O,8,0)),"")</f>
        <v/>
      </c>
      <c r="Q770" s="62" t="str">
        <f>IFERROR(IF(OR($B770="",$B770="(blank)"),"",VLOOKUP($B770,'Email Marketing Raw Data'!$C:$O,9,0)),"")</f>
        <v/>
      </c>
    </row>
    <row r="771" spans="4:17" ht="12.75" customHeight="1" x14ac:dyDescent="0.2">
      <c r="D771" s="58" t="str">
        <f>IFERROR(IF(F771&lt;&gt;"pending","",IF(OR($B771="",$B771="(blank)"),"",VLOOKUP($B771,'Email Marketing Raw Data'!$C:$O,10,0))),"")</f>
        <v/>
      </c>
      <c r="E771" s="59" t="str">
        <f>IFERROR(IF(F771&lt;&gt;"pending","",IF(OR($B771="",$B771="(blank)"),"",VLOOKUP($B771,'Email Marketing Raw Data'!$C:$O,11,0))),"")</f>
        <v/>
      </c>
      <c r="F771" s="54" t="str">
        <f>IFERROR(IF(OR($B771="",$B771="(blank)"),"",VLOOKUP($B771,'Email Marketing Raw Data'!$C:$O,13,0)),"")</f>
        <v/>
      </c>
      <c r="G771" s="55" t="str">
        <f>IFERROR(IF(OR($B771="",$B771="(blank)"),"",VLOOKUP($B771,'Email Marketing Raw Data'!$C:$O,4,0)),"")</f>
        <v/>
      </c>
      <c r="H771" s="55" t="str">
        <f>IFERROR(IF(OR($B771="",$B771="(blank)"),"",VLOOKUP($B771,'Email Marketing Raw Data'!$C:$O,5,0)),"")</f>
        <v/>
      </c>
      <c r="I771" s="55" t="str">
        <f>IFERROR(IF($G771="","",VLOOKUP('Dashboard And Emails Automate'!$G771,Database!$H:$N,3,0)),"")</f>
        <v/>
      </c>
      <c r="J771" s="55" t="str">
        <f>IFERROR(IF($G771="","",VLOOKUP('Dashboard And Emails Automate'!$G771,Database!$H:$N,4,0)),"")</f>
        <v/>
      </c>
      <c r="K771" s="55" t="str">
        <f>IFERROR(IF($G771="","",VLOOKUP('Dashboard And Emails Automate'!$G771,Database!$H:$N,5,0)),"")</f>
        <v/>
      </c>
      <c r="L771" s="55" t="str">
        <f>IFERROR(IF($G771="","",VLOOKUP('Dashboard And Emails Automate'!$G771,Database!$H:$N,6,0)),"")</f>
        <v/>
      </c>
      <c r="M771" s="55" t="str">
        <f>IFERROR(IF($G771="","",VLOOKUP('Dashboard And Emails Automate'!$G771,Database!$H:$N,7,0)),"")</f>
        <v/>
      </c>
      <c r="N771" s="55" t="str">
        <f>IFERROR(IF(OR($B771="",$B771="(blank)"),"",VLOOKUP($B771,'Email Marketing Raw Data'!$C:$O,6,0)),"")</f>
        <v/>
      </c>
      <c r="O771" s="55" t="str">
        <f>IFERROR(IF(OR($B771="",$B771="(blank)"),"",VLOOKUP($B771,'Email Marketing Raw Data'!$C:$O,7,0)),"")</f>
        <v/>
      </c>
      <c r="P771" s="55" t="str">
        <f>IFERROR(IF(OR($B771="",$B771="(blank)"),"",VLOOKUP($B771,'Email Marketing Raw Data'!$C:$O,8,0)),"")</f>
        <v/>
      </c>
      <c r="Q771" s="62" t="str">
        <f>IFERROR(IF(OR($B771="",$B771="(blank)"),"",VLOOKUP($B771,'Email Marketing Raw Data'!$C:$O,9,0)),"")</f>
        <v/>
      </c>
    </row>
    <row r="772" spans="4:17" ht="12.75" customHeight="1" x14ac:dyDescent="0.2">
      <c r="D772" s="58" t="str">
        <f>IFERROR(IF(F772&lt;&gt;"pending","",IF(OR($B772="",$B772="(blank)"),"",VLOOKUP($B772,'Email Marketing Raw Data'!$C:$O,10,0))),"")</f>
        <v/>
      </c>
      <c r="E772" s="59" t="str">
        <f>IFERROR(IF(F772&lt;&gt;"pending","",IF(OR($B772="",$B772="(blank)"),"",VLOOKUP($B772,'Email Marketing Raw Data'!$C:$O,11,0))),"")</f>
        <v/>
      </c>
      <c r="F772" s="54" t="str">
        <f>IFERROR(IF(OR($B772="",$B772="(blank)"),"",VLOOKUP($B772,'Email Marketing Raw Data'!$C:$O,13,0)),"")</f>
        <v/>
      </c>
      <c r="G772" s="55" t="str">
        <f>IFERROR(IF(OR($B772="",$B772="(blank)"),"",VLOOKUP($B772,'Email Marketing Raw Data'!$C:$O,4,0)),"")</f>
        <v/>
      </c>
      <c r="H772" s="55" t="str">
        <f>IFERROR(IF(OR($B772="",$B772="(blank)"),"",VLOOKUP($B772,'Email Marketing Raw Data'!$C:$O,5,0)),"")</f>
        <v/>
      </c>
      <c r="I772" s="55" t="str">
        <f>IFERROR(IF($G772="","",VLOOKUP('Dashboard And Emails Automate'!$G772,Database!$H:$N,3,0)),"")</f>
        <v/>
      </c>
      <c r="J772" s="55" t="str">
        <f>IFERROR(IF($G772="","",VLOOKUP('Dashboard And Emails Automate'!$G772,Database!$H:$N,4,0)),"")</f>
        <v/>
      </c>
      <c r="K772" s="55" t="str">
        <f>IFERROR(IF($G772="","",VLOOKUP('Dashboard And Emails Automate'!$G772,Database!$H:$N,5,0)),"")</f>
        <v/>
      </c>
      <c r="L772" s="55" t="str">
        <f>IFERROR(IF($G772="","",VLOOKUP('Dashboard And Emails Automate'!$G772,Database!$H:$N,6,0)),"")</f>
        <v/>
      </c>
      <c r="M772" s="55" t="str">
        <f>IFERROR(IF($G772="","",VLOOKUP('Dashboard And Emails Automate'!$G772,Database!$H:$N,7,0)),"")</f>
        <v/>
      </c>
      <c r="N772" s="55" t="str">
        <f>IFERROR(IF(OR($B772="",$B772="(blank)"),"",VLOOKUP($B772,'Email Marketing Raw Data'!$C:$O,6,0)),"")</f>
        <v/>
      </c>
      <c r="O772" s="55" t="str">
        <f>IFERROR(IF(OR($B772="",$B772="(blank)"),"",VLOOKUP($B772,'Email Marketing Raw Data'!$C:$O,7,0)),"")</f>
        <v/>
      </c>
      <c r="P772" s="55" t="str">
        <f>IFERROR(IF(OR($B772="",$B772="(blank)"),"",VLOOKUP($B772,'Email Marketing Raw Data'!$C:$O,8,0)),"")</f>
        <v/>
      </c>
      <c r="Q772" s="62" t="str">
        <f>IFERROR(IF(OR($B772="",$B772="(blank)"),"",VLOOKUP($B772,'Email Marketing Raw Data'!$C:$O,9,0)),"")</f>
        <v/>
      </c>
    </row>
    <row r="773" spans="4:17" ht="12.75" customHeight="1" x14ac:dyDescent="0.2">
      <c r="D773" s="58" t="str">
        <f>IFERROR(IF(F773&lt;&gt;"pending","",IF(OR($B773="",$B773="(blank)"),"",VLOOKUP($B773,'Email Marketing Raw Data'!$C:$O,10,0))),"")</f>
        <v/>
      </c>
      <c r="E773" s="59" t="str">
        <f>IFERROR(IF(F773&lt;&gt;"pending","",IF(OR($B773="",$B773="(blank)"),"",VLOOKUP($B773,'Email Marketing Raw Data'!$C:$O,11,0))),"")</f>
        <v/>
      </c>
      <c r="F773" s="54" t="str">
        <f>IFERROR(IF(OR($B773="",$B773="(blank)"),"",VLOOKUP($B773,'Email Marketing Raw Data'!$C:$O,13,0)),"")</f>
        <v/>
      </c>
      <c r="G773" s="55" t="str">
        <f>IFERROR(IF(OR($B773="",$B773="(blank)"),"",VLOOKUP($B773,'Email Marketing Raw Data'!$C:$O,4,0)),"")</f>
        <v/>
      </c>
      <c r="H773" s="55" t="str">
        <f>IFERROR(IF(OR($B773="",$B773="(blank)"),"",VLOOKUP($B773,'Email Marketing Raw Data'!$C:$O,5,0)),"")</f>
        <v/>
      </c>
      <c r="I773" s="55" t="str">
        <f>IFERROR(IF($G773="","",VLOOKUP('Dashboard And Emails Automate'!$G773,Database!$H:$N,3,0)),"")</f>
        <v/>
      </c>
      <c r="J773" s="55" t="str">
        <f>IFERROR(IF($G773="","",VLOOKUP('Dashboard And Emails Automate'!$G773,Database!$H:$N,4,0)),"")</f>
        <v/>
      </c>
      <c r="K773" s="55" t="str">
        <f>IFERROR(IF($G773="","",VLOOKUP('Dashboard And Emails Automate'!$G773,Database!$H:$N,5,0)),"")</f>
        <v/>
      </c>
      <c r="L773" s="55" t="str">
        <f>IFERROR(IF($G773="","",VLOOKUP('Dashboard And Emails Automate'!$G773,Database!$H:$N,6,0)),"")</f>
        <v/>
      </c>
      <c r="M773" s="55" t="str">
        <f>IFERROR(IF($G773="","",VLOOKUP('Dashboard And Emails Automate'!$G773,Database!$H:$N,7,0)),"")</f>
        <v/>
      </c>
      <c r="N773" s="55" t="str">
        <f>IFERROR(IF(OR($B773="",$B773="(blank)"),"",VLOOKUP($B773,'Email Marketing Raw Data'!$C:$O,6,0)),"")</f>
        <v/>
      </c>
      <c r="O773" s="55" t="str">
        <f>IFERROR(IF(OR($B773="",$B773="(blank)"),"",VLOOKUP($B773,'Email Marketing Raw Data'!$C:$O,7,0)),"")</f>
        <v/>
      </c>
      <c r="P773" s="55" t="str">
        <f>IFERROR(IF(OR($B773="",$B773="(blank)"),"",VLOOKUP($B773,'Email Marketing Raw Data'!$C:$O,8,0)),"")</f>
        <v/>
      </c>
      <c r="Q773" s="62" t="str">
        <f>IFERROR(IF(OR($B773="",$B773="(blank)"),"",VLOOKUP($B773,'Email Marketing Raw Data'!$C:$O,9,0)),"")</f>
        <v/>
      </c>
    </row>
    <row r="774" spans="4:17" ht="12.75" customHeight="1" x14ac:dyDescent="0.2">
      <c r="D774" s="58" t="str">
        <f>IFERROR(IF(F774&lt;&gt;"pending","",IF(OR($B774="",$B774="(blank)"),"",VLOOKUP($B774,'Email Marketing Raw Data'!$C:$O,10,0))),"")</f>
        <v/>
      </c>
      <c r="E774" s="59" t="str">
        <f>IFERROR(IF(F774&lt;&gt;"pending","",IF(OR($B774="",$B774="(blank)"),"",VLOOKUP($B774,'Email Marketing Raw Data'!$C:$O,11,0))),"")</f>
        <v/>
      </c>
      <c r="F774" s="54" t="str">
        <f>IFERROR(IF(OR($B774="",$B774="(blank)"),"",VLOOKUP($B774,'Email Marketing Raw Data'!$C:$O,13,0)),"")</f>
        <v/>
      </c>
      <c r="G774" s="55" t="str">
        <f>IFERROR(IF(OR($B774="",$B774="(blank)"),"",VLOOKUP($B774,'Email Marketing Raw Data'!$C:$O,4,0)),"")</f>
        <v/>
      </c>
      <c r="H774" s="55" t="str">
        <f>IFERROR(IF(OR($B774="",$B774="(blank)"),"",VLOOKUP($B774,'Email Marketing Raw Data'!$C:$O,5,0)),"")</f>
        <v/>
      </c>
      <c r="I774" s="55" t="str">
        <f>IFERROR(IF($G774="","",VLOOKUP('Dashboard And Emails Automate'!$G774,Database!$H:$N,3,0)),"")</f>
        <v/>
      </c>
      <c r="J774" s="55" t="str">
        <f>IFERROR(IF($G774="","",VLOOKUP('Dashboard And Emails Automate'!$G774,Database!$H:$N,4,0)),"")</f>
        <v/>
      </c>
      <c r="K774" s="55" t="str">
        <f>IFERROR(IF($G774="","",VLOOKUP('Dashboard And Emails Automate'!$G774,Database!$H:$N,5,0)),"")</f>
        <v/>
      </c>
      <c r="L774" s="55" t="str">
        <f>IFERROR(IF($G774="","",VLOOKUP('Dashboard And Emails Automate'!$G774,Database!$H:$N,6,0)),"")</f>
        <v/>
      </c>
      <c r="M774" s="55" t="str">
        <f>IFERROR(IF($G774="","",VLOOKUP('Dashboard And Emails Automate'!$G774,Database!$H:$N,7,0)),"")</f>
        <v/>
      </c>
      <c r="N774" s="55" t="str">
        <f>IFERROR(IF(OR($B774="",$B774="(blank)"),"",VLOOKUP($B774,'Email Marketing Raw Data'!$C:$O,6,0)),"")</f>
        <v/>
      </c>
      <c r="O774" s="55" t="str">
        <f>IFERROR(IF(OR($B774="",$B774="(blank)"),"",VLOOKUP($B774,'Email Marketing Raw Data'!$C:$O,7,0)),"")</f>
        <v/>
      </c>
      <c r="P774" s="55" t="str">
        <f>IFERROR(IF(OR($B774="",$B774="(blank)"),"",VLOOKUP($B774,'Email Marketing Raw Data'!$C:$O,8,0)),"")</f>
        <v/>
      </c>
      <c r="Q774" s="62" t="str">
        <f>IFERROR(IF(OR($B774="",$B774="(blank)"),"",VLOOKUP($B774,'Email Marketing Raw Data'!$C:$O,9,0)),"")</f>
        <v/>
      </c>
    </row>
    <row r="775" spans="4:17" ht="12.75" customHeight="1" x14ac:dyDescent="0.2">
      <c r="D775" s="58" t="str">
        <f>IFERROR(IF(F775&lt;&gt;"pending","",IF(OR($B775="",$B775="(blank)"),"",VLOOKUP($B775,'Email Marketing Raw Data'!$C:$O,10,0))),"")</f>
        <v/>
      </c>
      <c r="E775" s="59" t="str">
        <f>IFERROR(IF(F775&lt;&gt;"pending","",IF(OR($B775="",$B775="(blank)"),"",VLOOKUP($B775,'Email Marketing Raw Data'!$C:$O,11,0))),"")</f>
        <v/>
      </c>
      <c r="F775" s="54" t="str">
        <f>IFERROR(IF(OR($B775="",$B775="(blank)"),"",VLOOKUP($B775,'Email Marketing Raw Data'!$C:$O,13,0)),"")</f>
        <v/>
      </c>
      <c r="G775" s="55" t="str">
        <f>IFERROR(IF(OR($B775="",$B775="(blank)"),"",VLOOKUP($B775,'Email Marketing Raw Data'!$C:$O,4,0)),"")</f>
        <v/>
      </c>
      <c r="H775" s="55" t="str">
        <f>IFERROR(IF(OR($B775="",$B775="(blank)"),"",VLOOKUP($B775,'Email Marketing Raw Data'!$C:$O,5,0)),"")</f>
        <v/>
      </c>
      <c r="I775" s="55" t="str">
        <f>IFERROR(IF($G775="","",VLOOKUP('Dashboard And Emails Automate'!$G775,Database!$H:$N,3,0)),"")</f>
        <v/>
      </c>
      <c r="J775" s="55" t="str">
        <f>IFERROR(IF($G775="","",VLOOKUP('Dashboard And Emails Automate'!$G775,Database!$H:$N,4,0)),"")</f>
        <v/>
      </c>
      <c r="K775" s="55" t="str">
        <f>IFERROR(IF($G775="","",VLOOKUP('Dashboard And Emails Automate'!$G775,Database!$H:$N,5,0)),"")</f>
        <v/>
      </c>
      <c r="L775" s="55" t="str">
        <f>IFERROR(IF($G775="","",VLOOKUP('Dashboard And Emails Automate'!$G775,Database!$H:$N,6,0)),"")</f>
        <v/>
      </c>
      <c r="M775" s="55" t="str">
        <f>IFERROR(IF($G775="","",VLOOKUP('Dashboard And Emails Automate'!$G775,Database!$H:$N,7,0)),"")</f>
        <v/>
      </c>
      <c r="N775" s="55" t="str">
        <f>IFERROR(IF(OR($B775="",$B775="(blank)"),"",VLOOKUP($B775,'Email Marketing Raw Data'!$C:$O,6,0)),"")</f>
        <v/>
      </c>
      <c r="O775" s="55" t="str">
        <f>IFERROR(IF(OR($B775="",$B775="(blank)"),"",VLOOKUP($B775,'Email Marketing Raw Data'!$C:$O,7,0)),"")</f>
        <v/>
      </c>
      <c r="P775" s="55" t="str">
        <f>IFERROR(IF(OR($B775="",$B775="(blank)"),"",VLOOKUP($B775,'Email Marketing Raw Data'!$C:$O,8,0)),"")</f>
        <v/>
      </c>
      <c r="Q775" s="62" t="str">
        <f>IFERROR(IF(OR($B775="",$B775="(blank)"),"",VLOOKUP($B775,'Email Marketing Raw Data'!$C:$O,9,0)),"")</f>
        <v/>
      </c>
    </row>
    <row r="776" spans="4:17" ht="12.75" customHeight="1" x14ac:dyDescent="0.2">
      <c r="D776" s="58" t="str">
        <f>IFERROR(IF(F776&lt;&gt;"pending","",IF(OR($B776="",$B776="(blank)"),"",VLOOKUP($B776,'Email Marketing Raw Data'!$C:$O,10,0))),"")</f>
        <v/>
      </c>
      <c r="E776" s="59" t="str">
        <f>IFERROR(IF(F776&lt;&gt;"pending","",IF(OR($B776="",$B776="(blank)"),"",VLOOKUP($B776,'Email Marketing Raw Data'!$C:$O,11,0))),"")</f>
        <v/>
      </c>
      <c r="F776" s="54" t="str">
        <f>IFERROR(IF(OR($B776="",$B776="(blank)"),"",VLOOKUP($B776,'Email Marketing Raw Data'!$C:$O,13,0)),"")</f>
        <v/>
      </c>
      <c r="G776" s="55" t="str">
        <f>IFERROR(IF(OR($B776="",$B776="(blank)"),"",VLOOKUP($B776,'Email Marketing Raw Data'!$C:$O,4,0)),"")</f>
        <v/>
      </c>
      <c r="H776" s="55" t="str">
        <f>IFERROR(IF(OR($B776="",$B776="(blank)"),"",VLOOKUP($B776,'Email Marketing Raw Data'!$C:$O,5,0)),"")</f>
        <v/>
      </c>
      <c r="I776" s="55" t="str">
        <f>IFERROR(IF($G776="","",VLOOKUP('Dashboard And Emails Automate'!$G776,Database!$H:$N,3,0)),"")</f>
        <v/>
      </c>
      <c r="J776" s="55" t="str">
        <f>IFERROR(IF($G776="","",VLOOKUP('Dashboard And Emails Automate'!$G776,Database!$H:$N,4,0)),"")</f>
        <v/>
      </c>
      <c r="K776" s="55" t="str">
        <f>IFERROR(IF($G776="","",VLOOKUP('Dashboard And Emails Automate'!$G776,Database!$H:$N,5,0)),"")</f>
        <v/>
      </c>
      <c r="L776" s="55" t="str">
        <f>IFERROR(IF($G776="","",VLOOKUP('Dashboard And Emails Automate'!$G776,Database!$H:$N,6,0)),"")</f>
        <v/>
      </c>
      <c r="M776" s="55" t="str">
        <f>IFERROR(IF($G776="","",VLOOKUP('Dashboard And Emails Automate'!$G776,Database!$H:$N,7,0)),"")</f>
        <v/>
      </c>
      <c r="N776" s="55" t="str">
        <f>IFERROR(IF(OR($B776="",$B776="(blank)"),"",VLOOKUP($B776,'Email Marketing Raw Data'!$C:$O,6,0)),"")</f>
        <v/>
      </c>
      <c r="O776" s="55" t="str">
        <f>IFERROR(IF(OR($B776="",$B776="(blank)"),"",VLOOKUP($B776,'Email Marketing Raw Data'!$C:$O,7,0)),"")</f>
        <v/>
      </c>
      <c r="P776" s="55" t="str">
        <f>IFERROR(IF(OR($B776="",$B776="(blank)"),"",VLOOKUP($B776,'Email Marketing Raw Data'!$C:$O,8,0)),"")</f>
        <v/>
      </c>
      <c r="Q776" s="62" t="str">
        <f>IFERROR(IF(OR($B776="",$B776="(blank)"),"",VLOOKUP($B776,'Email Marketing Raw Data'!$C:$O,9,0)),"")</f>
        <v/>
      </c>
    </row>
    <row r="777" spans="4:17" ht="12.75" customHeight="1" x14ac:dyDescent="0.2">
      <c r="D777" s="58" t="str">
        <f>IFERROR(IF(F777&lt;&gt;"pending","",IF(OR($B777="",$B777="(blank)"),"",VLOOKUP($B777,'Email Marketing Raw Data'!$C:$O,10,0))),"")</f>
        <v/>
      </c>
      <c r="E777" s="59" t="str">
        <f>IFERROR(IF(F777&lt;&gt;"pending","",IF(OR($B777="",$B777="(blank)"),"",VLOOKUP($B777,'Email Marketing Raw Data'!$C:$O,11,0))),"")</f>
        <v/>
      </c>
      <c r="F777" s="54" t="str">
        <f>IFERROR(IF(OR($B777="",$B777="(blank)"),"",VLOOKUP($B777,'Email Marketing Raw Data'!$C:$O,13,0)),"")</f>
        <v/>
      </c>
      <c r="G777" s="55" t="str">
        <f>IFERROR(IF(OR($B777="",$B777="(blank)"),"",VLOOKUP($B777,'Email Marketing Raw Data'!$C:$O,4,0)),"")</f>
        <v/>
      </c>
      <c r="H777" s="55" t="str">
        <f>IFERROR(IF(OR($B777="",$B777="(blank)"),"",VLOOKUP($B777,'Email Marketing Raw Data'!$C:$O,5,0)),"")</f>
        <v/>
      </c>
      <c r="I777" s="55" t="str">
        <f>IFERROR(IF($G777="","",VLOOKUP('Dashboard And Emails Automate'!$G777,Database!$H:$N,3,0)),"")</f>
        <v/>
      </c>
      <c r="J777" s="55" t="str">
        <f>IFERROR(IF($G777="","",VLOOKUP('Dashboard And Emails Automate'!$G777,Database!$H:$N,4,0)),"")</f>
        <v/>
      </c>
      <c r="K777" s="55" t="str">
        <f>IFERROR(IF($G777="","",VLOOKUP('Dashboard And Emails Automate'!$G777,Database!$H:$N,5,0)),"")</f>
        <v/>
      </c>
      <c r="L777" s="55" t="str">
        <f>IFERROR(IF($G777="","",VLOOKUP('Dashboard And Emails Automate'!$G777,Database!$H:$N,6,0)),"")</f>
        <v/>
      </c>
      <c r="M777" s="55" t="str">
        <f>IFERROR(IF($G777="","",VLOOKUP('Dashboard And Emails Automate'!$G777,Database!$H:$N,7,0)),"")</f>
        <v/>
      </c>
      <c r="N777" s="55" t="str">
        <f>IFERROR(IF(OR($B777="",$B777="(blank)"),"",VLOOKUP($B777,'Email Marketing Raw Data'!$C:$O,6,0)),"")</f>
        <v/>
      </c>
      <c r="O777" s="55" t="str">
        <f>IFERROR(IF(OR($B777="",$B777="(blank)"),"",VLOOKUP($B777,'Email Marketing Raw Data'!$C:$O,7,0)),"")</f>
        <v/>
      </c>
      <c r="P777" s="55" t="str">
        <f>IFERROR(IF(OR($B777="",$B777="(blank)"),"",VLOOKUP($B777,'Email Marketing Raw Data'!$C:$O,8,0)),"")</f>
        <v/>
      </c>
      <c r="Q777" s="62" t="str">
        <f>IFERROR(IF(OR($B777="",$B777="(blank)"),"",VLOOKUP($B777,'Email Marketing Raw Data'!$C:$O,9,0)),"")</f>
        <v/>
      </c>
    </row>
    <row r="778" spans="4:17" ht="12.75" customHeight="1" x14ac:dyDescent="0.2">
      <c r="D778" s="58" t="str">
        <f>IFERROR(IF(F778&lt;&gt;"pending","",IF(OR($B778="",$B778="(blank)"),"",VLOOKUP($B778,'Email Marketing Raw Data'!$C:$O,10,0))),"")</f>
        <v/>
      </c>
      <c r="E778" s="59" t="str">
        <f>IFERROR(IF(F778&lt;&gt;"pending","",IF(OR($B778="",$B778="(blank)"),"",VLOOKUP($B778,'Email Marketing Raw Data'!$C:$O,11,0))),"")</f>
        <v/>
      </c>
      <c r="F778" s="54" t="str">
        <f>IFERROR(IF(OR($B778="",$B778="(blank)"),"",VLOOKUP($B778,'Email Marketing Raw Data'!$C:$O,13,0)),"")</f>
        <v/>
      </c>
      <c r="G778" s="55" t="str">
        <f>IFERROR(IF(OR($B778="",$B778="(blank)"),"",VLOOKUP($B778,'Email Marketing Raw Data'!$C:$O,4,0)),"")</f>
        <v/>
      </c>
      <c r="H778" s="55" t="str">
        <f>IFERROR(IF(OR($B778="",$B778="(blank)"),"",VLOOKUP($B778,'Email Marketing Raw Data'!$C:$O,5,0)),"")</f>
        <v/>
      </c>
      <c r="I778" s="55" t="str">
        <f>IFERROR(IF($G778="","",VLOOKUP('Dashboard And Emails Automate'!$G778,Database!$H:$N,3,0)),"")</f>
        <v/>
      </c>
      <c r="J778" s="55" t="str">
        <f>IFERROR(IF($G778="","",VLOOKUP('Dashboard And Emails Automate'!$G778,Database!$H:$N,4,0)),"")</f>
        <v/>
      </c>
      <c r="K778" s="55" t="str">
        <f>IFERROR(IF($G778="","",VLOOKUP('Dashboard And Emails Automate'!$G778,Database!$H:$N,5,0)),"")</f>
        <v/>
      </c>
      <c r="L778" s="55" t="str">
        <f>IFERROR(IF($G778="","",VLOOKUP('Dashboard And Emails Automate'!$G778,Database!$H:$N,6,0)),"")</f>
        <v/>
      </c>
      <c r="M778" s="55" t="str">
        <f>IFERROR(IF($G778="","",VLOOKUP('Dashboard And Emails Automate'!$G778,Database!$H:$N,7,0)),"")</f>
        <v/>
      </c>
      <c r="N778" s="55" t="str">
        <f>IFERROR(IF(OR($B778="",$B778="(blank)"),"",VLOOKUP($B778,'Email Marketing Raw Data'!$C:$O,6,0)),"")</f>
        <v/>
      </c>
      <c r="O778" s="55" t="str">
        <f>IFERROR(IF(OR($B778="",$B778="(blank)"),"",VLOOKUP($B778,'Email Marketing Raw Data'!$C:$O,7,0)),"")</f>
        <v/>
      </c>
      <c r="P778" s="55" t="str">
        <f>IFERROR(IF(OR($B778="",$B778="(blank)"),"",VLOOKUP($B778,'Email Marketing Raw Data'!$C:$O,8,0)),"")</f>
        <v/>
      </c>
      <c r="Q778" s="62" t="str">
        <f>IFERROR(IF(OR($B778="",$B778="(blank)"),"",VLOOKUP($B778,'Email Marketing Raw Data'!$C:$O,9,0)),"")</f>
        <v/>
      </c>
    </row>
    <row r="779" spans="4:17" ht="12.75" customHeight="1" x14ac:dyDescent="0.2">
      <c r="D779" s="58" t="str">
        <f>IFERROR(IF(F779&lt;&gt;"pending","",IF(OR($B779="",$B779="(blank)"),"",VLOOKUP($B779,'Email Marketing Raw Data'!$C:$O,10,0))),"")</f>
        <v/>
      </c>
      <c r="E779" s="59" t="str">
        <f>IFERROR(IF(F779&lt;&gt;"pending","",IF(OR($B779="",$B779="(blank)"),"",VLOOKUP($B779,'Email Marketing Raw Data'!$C:$O,11,0))),"")</f>
        <v/>
      </c>
      <c r="F779" s="54" t="str">
        <f>IFERROR(IF(OR($B779="",$B779="(blank)"),"",VLOOKUP($B779,'Email Marketing Raw Data'!$C:$O,13,0)),"")</f>
        <v/>
      </c>
      <c r="G779" s="55" t="str">
        <f>IFERROR(IF(OR($B779="",$B779="(blank)"),"",VLOOKUP($B779,'Email Marketing Raw Data'!$C:$O,4,0)),"")</f>
        <v/>
      </c>
      <c r="H779" s="55" t="str">
        <f>IFERROR(IF(OR($B779="",$B779="(blank)"),"",VLOOKUP($B779,'Email Marketing Raw Data'!$C:$O,5,0)),"")</f>
        <v/>
      </c>
      <c r="I779" s="55" t="str">
        <f>IFERROR(IF($G779="","",VLOOKUP('Dashboard And Emails Automate'!$G779,Database!$H:$N,3,0)),"")</f>
        <v/>
      </c>
      <c r="J779" s="55" t="str">
        <f>IFERROR(IF($G779="","",VLOOKUP('Dashboard And Emails Automate'!$G779,Database!$H:$N,4,0)),"")</f>
        <v/>
      </c>
      <c r="K779" s="55" t="str">
        <f>IFERROR(IF($G779="","",VLOOKUP('Dashboard And Emails Automate'!$G779,Database!$H:$N,5,0)),"")</f>
        <v/>
      </c>
      <c r="L779" s="55" t="str">
        <f>IFERROR(IF($G779="","",VLOOKUP('Dashboard And Emails Automate'!$G779,Database!$H:$N,6,0)),"")</f>
        <v/>
      </c>
      <c r="M779" s="55" t="str">
        <f>IFERROR(IF($G779="","",VLOOKUP('Dashboard And Emails Automate'!$G779,Database!$H:$N,7,0)),"")</f>
        <v/>
      </c>
      <c r="N779" s="55" t="str">
        <f>IFERROR(IF(OR($B779="",$B779="(blank)"),"",VLOOKUP($B779,'Email Marketing Raw Data'!$C:$O,6,0)),"")</f>
        <v/>
      </c>
      <c r="O779" s="55" t="str">
        <f>IFERROR(IF(OR($B779="",$B779="(blank)"),"",VLOOKUP($B779,'Email Marketing Raw Data'!$C:$O,7,0)),"")</f>
        <v/>
      </c>
      <c r="P779" s="55" t="str">
        <f>IFERROR(IF(OR($B779="",$B779="(blank)"),"",VLOOKUP($B779,'Email Marketing Raw Data'!$C:$O,8,0)),"")</f>
        <v/>
      </c>
      <c r="Q779" s="62" t="str">
        <f>IFERROR(IF(OR($B779="",$B779="(blank)"),"",VLOOKUP($B779,'Email Marketing Raw Data'!$C:$O,9,0)),"")</f>
        <v/>
      </c>
    </row>
    <row r="780" spans="4:17" ht="12.75" customHeight="1" x14ac:dyDescent="0.2">
      <c r="D780" s="58" t="str">
        <f>IFERROR(IF(F780&lt;&gt;"pending","",IF(OR($B780="",$B780="(blank)"),"",VLOOKUP($B780,'Email Marketing Raw Data'!$C:$O,10,0))),"")</f>
        <v/>
      </c>
      <c r="E780" s="59" t="str">
        <f>IFERROR(IF(F780&lt;&gt;"pending","",IF(OR($B780="",$B780="(blank)"),"",VLOOKUP($B780,'Email Marketing Raw Data'!$C:$O,11,0))),"")</f>
        <v/>
      </c>
      <c r="F780" s="54" t="str">
        <f>IFERROR(IF(OR($B780="",$B780="(blank)"),"",VLOOKUP($B780,'Email Marketing Raw Data'!$C:$O,13,0)),"")</f>
        <v/>
      </c>
      <c r="G780" s="55" t="str">
        <f>IFERROR(IF(OR($B780="",$B780="(blank)"),"",VLOOKUP($B780,'Email Marketing Raw Data'!$C:$O,4,0)),"")</f>
        <v/>
      </c>
      <c r="H780" s="55" t="str">
        <f>IFERROR(IF(OR($B780="",$B780="(blank)"),"",VLOOKUP($B780,'Email Marketing Raw Data'!$C:$O,5,0)),"")</f>
        <v/>
      </c>
      <c r="I780" s="55" t="str">
        <f>IFERROR(IF($G780="","",VLOOKUP('Dashboard And Emails Automate'!$G780,Database!$H:$N,3,0)),"")</f>
        <v/>
      </c>
      <c r="J780" s="55" t="str">
        <f>IFERROR(IF($G780="","",VLOOKUP('Dashboard And Emails Automate'!$G780,Database!$H:$N,4,0)),"")</f>
        <v/>
      </c>
      <c r="K780" s="55" t="str">
        <f>IFERROR(IF($G780="","",VLOOKUP('Dashboard And Emails Automate'!$G780,Database!$H:$N,5,0)),"")</f>
        <v/>
      </c>
      <c r="L780" s="55" t="str">
        <f>IFERROR(IF($G780="","",VLOOKUP('Dashboard And Emails Automate'!$G780,Database!$H:$N,6,0)),"")</f>
        <v/>
      </c>
      <c r="M780" s="55" t="str">
        <f>IFERROR(IF($G780="","",VLOOKUP('Dashboard And Emails Automate'!$G780,Database!$H:$N,7,0)),"")</f>
        <v/>
      </c>
      <c r="N780" s="55" t="str">
        <f>IFERROR(IF(OR($B780="",$B780="(blank)"),"",VLOOKUP($B780,'Email Marketing Raw Data'!$C:$O,6,0)),"")</f>
        <v/>
      </c>
      <c r="O780" s="55" t="str">
        <f>IFERROR(IF(OR($B780="",$B780="(blank)"),"",VLOOKUP($B780,'Email Marketing Raw Data'!$C:$O,7,0)),"")</f>
        <v/>
      </c>
      <c r="P780" s="55" t="str">
        <f>IFERROR(IF(OR($B780="",$B780="(blank)"),"",VLOOKUP($B780,'Email Marketing Raw Data'!$C:$O,8,0)),"")</f>
        <v/>
      </c>
      <c r="Q780" s="62" t="str">
        <f>IFERROR(IF(OR($B780="",$B780="(blank)"),"",VLOOKUP($B780,'Email Marketing Raw Data'!$C:$O,9,0)),"")</f>
        <v/>
      </c>
    </row>
    <row r="781" spans="4:17" ht="12.75" customHeight="1" x14ac:dyDescent="0.2">
      <c r="D781" s="58" t="str">
        <f>IFERROR(IF(F781&lt;&gt;"pending","",IF(OR($B781="",$B781="(blank)"),"",VLOOKUP($B781,'Email Marketing Raw Data'!$C:$O,10,0))),"")</f>
        <v/>
      </c>
      <c r="E781" s="59" t="str">
        <f>IFERROR(IF(F781&lt;&gt;"pending","",IF(OR($B781="",$B781="(blank)"),"",VLOOKUP($B781,'Email Marketing Raw Data'!$C:$O,11,0))),"")</f>
        <v/>
      </c>
      <c r="F781" s="54" t="str">
        <f>IFERROR(IF(OR($B781="",$B781="(blank)"),"",VLOOKUP($B781,'Email Marketing Raw Data'!$C:$O,13,0)),"")</f>
        <v/>
      </c>
      <c r="G781" s="55" t="str">
        <f>IFERROR(IF(OR($B781="",$B781="(blank)"),"",VLOOKUP($B781,'Email Marketing Raw Data'!$C:$O,4,0)),"")</f>
        <v/>
      </c>
      <c r="H781" s="55" t="str">
        <f>IFERROR(IF(OR($B781="",$B781="(blank)"),"",VLOOKUP($B781,'Email Marketing Raw Data'!$C:$O,5,0)),"")</f>
        <v/>
      </c>
      <c r="I781" s="55" t="str">
        <f>IFERROR(IF($G781="","",VLOOKUP('Dashboard And Emails Automate'!$G781,Database!$H:$N,3,0)),"")</f>
        <v/>
      </c>
      <c r="J781" s="55" t="str">
        <f>IFERROR(IF($G781="","",VLOOKUP('Dashboard And Emails Automate'!$G781,Database!$H:$N,4,0)),"")</f>
        <v/>
      </c>
      <c r="K781" s="55" t="str">
        <f>IFERROR(IF($G781="","",VLOOKUP('Dashboard And Emails Automate'!$G781,Database!$H:$N,5,0)),"")</f>
        <v/>
      </c>
      <c r="L781" s="55" t="str">
        <f>IFERROR(IF($G781="","",VLOOKUP('Dashboard And Emails Automate'!$G781,Database!$H:$N,6,0)),"")</f>
        <v/>
      </c>
      <c r="M781" s="55" t="str">
        <f>IFERROR(IF($G781="","",VLOOKUP('Dashboard And Emails Automate'!$G781,Database!$H:$N,7,0)),"")</f>
        <v/>
      </c>
      <c r="N781" s="55" t="str">
        <f>IFERROR(IF(OR($B781="",$B781="(blank)"),"",VLOOKUP($B781,'Email Marketing Raw Data'!$C:$O,6,0)),"")</f>
        <v/>
      </c>
      <c r="O781" s="55" t="str">
        <f>IFERROR(IF(OR($B781="",$B781="(blank)"),"",VLOOKUP($B781,'Email Marketing Raw Data'!$C:$O,7,0)),"")</f>
        <v/>
      </c>
      <c r="P781" s="55" t="str">
        <f>IFERROR(IF(OR($B781="",$B781="(blank)"),"",VLOOKUP($B781,'Email Marketing Raw Data'!$C:$O,8,0)),"")</f>
        <v/>
      </c>
      <c r="Q781" s="62" t="str">
        <f>IFERROR(IF(OR($B781="",$B781="(blank)"),"",VLOOKUP($B781,'Email Marketing Raw Data'!$C:$O,9,0)),"")</f>
        <v/>
      </c>
    </row>
    <row r="782" spans="4:17" ht="12.75" customHeight="1" x14ac:dyDescent="0.2">
      <c r="D782" s="58" t="str">
        <f>IFERROR(IF(F782&lt;&gt;"pending","",IF(OR($B782="",$B782="(blank)"),"",VLOOKUP($B782,'Email Marketing Raw Data'!$C:$O,10,0))),"")</f>
        <v/>
      </c>
      <c r="E782" s="59" t="str">
        <f>IFERROR(IF(F782&lt;&gt;"pending","",IF(OR($B782="",$B782="(blank)"),"",VLOOKUP($B782,'Email Marketing Raw Data'!$C:$O,11,0))),"")</f>
        <v/>
      </c>
      <c r="F782" s="54" t="str">
        <f>IFERROR(IF(OR($B782="",$B782="(blank)"),"",VLOOKUP($B782,'Email Marketing Raw Data'!$C:$O,13,0)),"")</f>
        <v/>
      </c>
      <c r="G782" s="55" t="str">
        <f>IFERROR(IF(OR($B782="",$B782="(blank)"),"",VLOOKUP($B782,'Email Marketing Raw Data'!$C:$O,4,0)),"")</f>
        <v/>
      </c>
      <c r="H782" s="55" t="str">
        <f>IFERROR(IF(OR($B782="",$B782="(blank)"),"",VLOOKUP($B782,'Email Marketing Raw Data'!$C:$O,5,0)),"")</f>
        <v/>
      </c>
      <c r="I782" s="55" t="str">
        <f>IFERROR(IF($G782="","",VLOOKUP('Dashboard And Emails Automate'!$G782,Database!$H:$N,3,0)),"")</f>
        <v/>
      </c>
      <c r="J782" s="55" t="str">
        <f>IFERROR(IF($G782="","",VLOOKUP('Dashboard And Emails Automate'!$G782,Database!$H:$N,4,0)),"")</f>
        <v/>
      </c>
      <c r="K782" s="55" t="str">
        <f>IFERROR(IF($G782="","",VLOOKUP('Dashboard And Emails Automate'!$G782,Database!$H:$N,5,0)),"")</f>
        <v/>
      </c>
      <c r="L782" s="55" t="str">
        <f>IFERROR(IF($G782="","",VLOOKUP('Dashboard And Emails Automate'!$G782,Database!$H:$N,6,0)),"")</f>
        <v/>
      </c>
      <c r="M782" s="55" t="str">
        <f>IFERROR(IF($G782="","",VLOOKUP('Dashboard And Emails Automate'!$G782,Database!$H:$N,7,0)),"")</f>
        <v/>
      </c>
      <c r="N782" s="55" t="str">
        <f>IFERROR(IF(OR($B782="",$B782="(blank)"),"",VLOOKUP($B782,'Email Marketing Raw Data'!$C:$O,6,0)),"")</f>
        <v/>
      </c>
      <c r="O782" s="55" t="str">
        <f>IFERROR(IF(OR($B782="",$B782="(blank)"),"",VLOOKUP($B782,'Email Marketing Raw Data'!$C:$O,7,0)),"")</f>
        <v/>
      </c>
      <c r="P782" s="55" t="str">
        <f>IFERROR(IF(OR($B782="",$B782="(blank)"),"",VLOOKUP($B782,'Email Marketing Raw Data'!$C:$O,8,0)),"")</f>
        <v/>
      </c>
      <c r="Q782" s="62" t="str">
        <f>IFERROR(IF(OR($B782="",$B782="(blank)"),"",VLOOKUP($B782,'Email Marketing Raw Data'!$C:$O,9,0)),"")</f>
        <v/>
      </c>
    </row>
    <row r="783" spans="4:17" ht="12.75" customHeight="1" x14ac:dyDescent="0.2">
      <c r="D783" s="58" t="str">
        <f>IFERROR(IF(F783&lt;&gt;"pending","",IF(OR($B783="",$B783="(blank)"),"",VLOOKUP($B783,'Email Marketing Raw Data'!$C:$O,10,0))),"")</f>
        <v/>
      </c>
      <c r="E783" s="59" t="str">
        <f>IFERROR(IF(F783&lt;&gt;"pending","",IF(OR($B783="",$B783="(blank)"),"",VLOOKUP($B783,'Email Marketing Raw Data'!$C:$O,11,0))),"")</f>
        <v/>
      </c>
      <c r="F783" s="54" t="str">
        <f>IFERROR(IF(OR($B783="",$B783="(blank)"),"",VLOOKUP($B783,'Email Marketing Raw Data'!$C:$O,13,0)),"")</f>
        <v/>
      </c>
      <c r="G783" s="55" t="str">
        <f>IFERROR(IF(OR($B783="",$B783="(blank)"),"",VLOOKUP($B783,'Email Marketing Raw Data'!$C:$O,4,0)),"")</f>
        <v/>
      </c>
      <c r="H783" s="55" t="str">
        <f>IFERROR(IF(OR($B783="",$B783="(blank)"),"",VLOOKUP($B783,'Email Marketing Raw Data'!$C:$O,5,0)),"")</f>
        <v/>
      </c>
      <c r="I783" s="55" t="str">
        <f>IFERROR(IF($G783="","",VLOOKUP('Dashboard And Emails Automate'!$G783,Database!$H:$N,3,0)),"")</f>
        <v/>
      </c>
      <c r="J783" s="55" t="str">
        <f>IFERROR(IF($G783="","",VLOOKUP('Dashboard And Emails Automate'!$G783,Database!$H:$N,4,0)),"")</f>
        <v/>
      </c>
      <c r="K783" s="55" t="str">
        <f>IFERROR(IF($G783="","",VLOOKUP('Dashboard And Emails Automate'!$G783,Database!$H:$N,5,0)),"")</f>
        <v/>
      </c>
      <c r="L783" s="55" t="str">
        <f>IFERROR(IF($G783="","",VLOOKUP('Dashboard And Emails Automate'!$G783,Database!$H:$N,6,0)),"")</f>
        <v/>
      </c>
      <c r="M783" s="55" t="str">
        <f>IFERROR(IF($G783="","",VLOOKUP('Dashboard And Emails Automate'!$G783,Database!$H:$N,7,0)),"")</f>
        <v/>
      </c>
      <c r="N783" s="55" t="str">
        <f>IFERROR(IF(OR($B783="",$B783="(blank)"),"",VLOOKUP($B783,'Email Marketing Raw Data'!$C:$O,6,0)),"")</f>
        <v/>
      </c>
      <c r="O783" s="55" t="str">
        <f>IFERROR(IF(OR($B783="",$B783="(blank)"),"",VLOOKUP($B783,'Email Marketing Raw Data'!$C:$O,7,0)),"")</f>
        <v/>
      </c>
      <c r="P783" s="55" t="str">
        <f>IFERROR(IF(OR($B783="",$B783="(blank)"),"",VLOOKUP($B783,'Email Marketing Raw Data'!$C:$O,8,0)),"")</f>
        <v/>
      </c>
      <c r="Q783" s="62" t="str">
        <f>IFERROR(IF(OR($B783="",$B783="(blank)"),"",VLOOKUP($B783,'Email Marketing Raw Data'!$C:$O,9,0)),"")</f>
        <v/>
      </c>
    </row>
    <row r="784" spans="4:17" ht="12.75" customHeight="1" x14ac:dyDescent="0.2">
      <c r="D784" s="58" t="str">
        <f>IFERROR(IF(F784&lt;&gt;"pending","",IF(OR($B784="",$B784="(blank)"),"",VLOOKUP($B784,'Email Marketing Raw Data'!$C:$O,10,0))),"")</f>
        <v/>
      </c>
      <c r="E784" s="59" t="str">
        <f>IFERROR(IF(F784&lt;&gt;"pending","",IF(OR($B784="",$B784="(blank)"),"",VLOOKUP($B784,'Email Marketing Raw Data'!$C:$O,11,0))),"")</f>
        <v/>
      </c>
      <c r="F784" s="54" t="str">
        <f>IFERROR(IF(OR($B784="",$B784="(blank)"),"",VLOOKUP($B784,'Email Marketing Raw Data'!$C:$O,13,0)),"")</f>
        <v/>
      </c>
      <c r="G784" s="55" t="str">
        <f>IFERROR(IF(OR($B784="",$B784="(blank)"),"",VLOOKUP($B784,'Email Marketing Raw Data'!$C:$O,4,0)),"")</f>
        <v/>
      </c>
      <c r="H784" s="55" t="str">
        <f>IFERROR(IF(OR($B784="",$B784="(blank)"),"",VLOOKUP($B784,'Email Marketing Raw Data'!$C:$O,5,0)),"")</f>
        <v/>
      </c>
      <c r="I784" s="55" t="str">
        <f>IFERROR(IF($G784="","",VLOOKUP('Dashboard And Emails Automate'!$G784,Database!$H:$N,3,0)),"")</f>
        <v/>
      </c>
      <c r="J784" s="55" t="str">
        <f>IFERROR(IF($G784="","",VLOOKUP('Dashboard And Emails Automate'!$G784,Database!$H:$N,4,0)),"")</f>
        <v/>
      </c>
      <c r="K784" s="55" t="str">
        <f>IFERROR(IF($G784="","",VLOOKUP('Dashboard And Emails Automate'!$G784,Database!$H:$N,5,0)),"")</f>
        <v/>
      </c>
      <c r="L784" s="55" t="str">
        <f>IFERROR(IF($G784="","",VLOOKUP('Dashboard And Emails Automate'!$G784,Database!$H:$N,6,0)),"")</f>
        <v/>
      </c>
      <c r="M784" s="55" t="str">
        <f>IFERROR(IF($G784="","",VLOOKUP('Dashboard And Emails Automate'!$G784,Database!$H:$N,7,0)),"")</f>
        <v/>
      </c>
      <c r="N784" s="55" t="str">
        <f>IFERROR(IF(OR($B784="",$B784="(blank)"),"",VLOOKUP($B784,'Email Marketing Raw Data'!$C:$O,6,0)),"")</f>
        <v/>
      </c>
      <c r="O784" s="55" t="str">
        <f>IFERROR(IF(OR($B784="",$B784="(blank)"),"",VLOOKUP($B784,'Email Marketing Raw Data'!$C:$O,7,0)),"")</f>
        <v/>
      </c>
      <c r="P784" s="55" t="str">
        <f>IFERROR(IF(OR($B784="",$B784="(blank)"),"",VLOOKUP($B784,'Email Marketing Raw Data'!$C:$O,8,0)),"")</f>
        <v/>
      </c>
      <c r="Q784" s="62" t="str">
        <f>IFERROR(IF(OR($B784="",$B784="(blank)"),"",VLOOKUP($B784,'Email Marketing Raw Data'!$C:$O,9,0)),"")</f>
        <v/>
      </c>
    </row>
    <row r="785" spans="4:17" ht="12.75" customHeight="1" x14ac:dyDescent="0.2">
      <c r="D785" s="58" t="str">
        <f>IFERROR(IF(F785&lt;&gt;"pending","",IF(OR($B785="",$B785="(blank)"),"",VLOOKUP($B785,'Email Marketing Raw Data'!$C:$O,10,0))),"")</f>
        <v/>
      </c>
      <c r="E785" s="59" t="str">
        <f>IFERROR(IF(F785&lt;&gt;"pending","",IF(OR($B785="",$B785="(blank)"),"",VLOOKUP($B785,'Email Marketing Raw Data'!$C:$O,11,0))),"")</f>
        <v/>
      </c>
      <c r="F785" s="54" t="str">
        <f>IFERROR(IF(OR($B785="",$B785="(blank)"),"",VLOOKUP($B785,'Email Marketing Raw Data'!$C:$O,13,0)),"")</f>
        <v/>
      </c>
      <c r="G785" s="55" t="str">
        <f>IFERROR(IF(OR($B785="",$B785="(blank)"),"",VLOOKUP($B785,'Email Marketing Raw Data'!$C:$O,4,0)),"")</f>
        <v/>
      </c>
      <c r="H785" s="55" t="str">
        <f>IFERROR(IF(OR($B785="",$B785="(blank)"),"",VLOOKUP($B785,'Email Marketing Raw Data'!$C:$O,5,0)),"")</f>
        <v/>
      </c>
      <c r="I785" s="55" t="str">
        <f>IFERROR(IF($G785="","",VLOOKUP('Dashboard And Emails Automate'!$G785,Database!$H:$N,3,0)),"")</f>
        <v/>
      </c>
      <c r="J785" s="55" t="str">
        <f>IFERROR(IF($G785="","",VLOOKUP('Dashboard And Emails Automate'!$G785,Database!$H:$N,4,0)),"")</f>
        <v/>
      </c>
      <c r="K785" s="55" t="str">
        <f>IFERROR(IF($G785="","",VLOOKUP('Dashboard And Emails Automate'!$G785,Database!$H:$N,5,0)),"")</f>
        <v/>
      </c>
      <c r="L785" s="55" t="str">
        <f>IFERROR(IF($G785="","",VLOOKUP('Dashboard And Emails Automate'!$G785,Database!$H:$N,6,0)),"")</f>
        <v/>
      </c>
      <c r="M785" s="55" t="str">
        <f>IFERROR(IF($G785="","",VLOOKUP('Dashboard And Emails Automate'!$G785,Database!$H:$N,7,0)),"")</f>
        <v/>
      </c>
      <c r="N785" s="55" t="str">
        <f>IFERROR(IF(OR($B785="",$B785="(blank)"),"",VLOOKUP($B785,'Email Marketing Raw Data'!$C:$O,6,0)),"")</f>
        <v/>
      </c>
      <c r="O785" s="55" t="str">
        <f>IFERROR(IF(OR($B785="",$B785="(blank)"),"",VLOOKUP($B785,'Email Marketing Raw Data'!$C:$O,7,0)),"")</f>
        <v/>
      </c>
      <c r="P785" s="55" t="str">
        <f>IFERROR(IF(OR($B785="",$B785="(blank)"),"",VLOOKUP($B785,'Email Marketing Raw Data'!$C:$O,8,0)),"")</f>
        <v/>
      </c>
      <c r="Q785" s="62" t="str">
        <f>IFERROR(IF(OR($B785="",$B785="(blank)"),"",VLOOKUP($B785,'Email Marketing Raw Data'!$C:$O,9,0)),"")</f>
        <v/>
      </c>
    </row>
    <row r="786" spans="4:17" ht="12.75" customHeight="1" x14ac:dyDescent="0.2">
      <c r="D786" s="58" t="str">
        <f>IFERROR(IF(F786&lt;&gt;"pending","",IF(OR($B786="",$B786="(blank)"),"",VLOOKUP($B786,'Email Marketing Raw Data'!$C:$O,10,0))),"")</f>
        <v/>
      </c>
      <c r="E786" s="59" t="str">
        <f>IFERROR(IF(F786&lt;&gt;"pending","",IF(OR($B786="",$B786="(blank)"),"",VLOOKUP($B786,'Email Marketing Raw Data'!$C:$O,11,0))),"")</f>
        <v/>
      </c>
      <c r="F786" s="54" t="str">
        <f>IFERROR(IF(OR($B786="",$B786="(blank)"),"",VLOOKUP($B786,'Email Marketing Raw Data'!$C:$O,13,0)),"")</f>
        <v/>
      </c>
      <c r="G786" s="55" t="str">
        <f>IFERROR(IF(OR($B786="",$B786="(blank)"),"",VLOOKUP($B786,'Email Marketing Raw Data'!$C:$O,4,0)),"")</f>
        <v/>
      </c>
      <c r="H786" s="55" t="str">
        <f>IFERROR(IF(OR($B786="",$B786="(blank)"),"",VLOOKUP($B786,'Email Marketing Raw Data'!$C:$O,5,0)),"")</f>
        <v/>
      </c>
      <c r="I786" s="55" t="str">
        <f>IFERROR(IF($G786="","",VLOOKUP('Dashboard And Emails Automate'!$G786,Database!$H:$N,3,0)),"")</f>
        <v/>
      </c>
      <c r="J786" s="55" t="str">
        <f>IFERROR(IF($G786="","",VLOOKUP('Dashboard And Emails Automate'!$G786,Database!$H:$N,4,0)),"")</f>
        <v/>
      </c>
      <c r="K786" s="55" t="str">
        <f>IFERROR(IF($G786="","",VLOOKUP('Dashboard And Emails Automate'!$G786,Database!$H:$N,5,0)),"")</f>
        <v/>
      </c>
      <c r="L786" s="55" t="str">
        <f>IFERROR(IF($G786="","",VLOOKUP('Dashboard And Emails Automate'!$G786,Database!$H:$N,6,0)),"")</f>
        <v/>
      </c>
      <c r="M786" s="55" t="str">
        <f>IFERROR(IF($G786="","",VLOOKUP('Dashboard And Emails Automate'!$G786,Database!$H:$N,7,0)),"")</f>
        <v/>
      </c>
      <c r="N786" s="55" t="str">
        <f>IFERROR(IF(OR($B786="",$B786="(blank)"),"",VLOOKUP($B786,'Email Marketing Raw Data'!$C:$O,6,0)),"")</f>
        <v/>
      </c>
      <c r="O786" s="55" t="str">
        <f>IFERROR(IF(OR($B786="",$B786="(blank)"),"",VLOOKUP($B786,'Email Marketing Raw Data'!$C:$O,7,0)),"")</f>
        <v/>
      </c>
      <c r="P786" s="55" t="str">
        <f>IFERROR(IF(OR($B786="",$B786="(blank)"),"",VLOOKUP($B786,'Email Marketing Raw Data'!$C:$O,8,0)),"")</f>
        <v/>
      </c>
      <c r="Q786" s="62" t="str">
        <f>IFERROR(IF(OR($B786="",$B786="(blank)"),"",VLOOKUP($B786,'Email Marketing Raw Data'!$C:$O,9,0)),"")</f>
        <v/>
      </c>
    </row>
    <row r="787" spans="4:17" ht="12.75" customHeight="1" x14ac:dyDescent="0.2">
      <c r="D787" s="58" t="str">
        <f>IFERROR(IF(F787&lt;&gt;"pending","",IF(OR($B787="",$B787="(blank)"),"",VLOOKUP($B787,'Email Marketing Raw Data'!$C:$O,10,0))),"")</f>
        <v/>
      </c>
      <c r="E787" s="59" t="str">
        <f>IFERROR(IF(F787&lt;&gt;"pending","",IF(OR($B787="",$B787="(blank)"),"",VLOOKUP($B787,'Email Marketing Raw Data'!$C:$O,11,0))),"")</f>
        <v/>
      </c>
      <c r="F787" s="54" t="str">
        <f>IFERROR(IF(OR($B787="",$B787="(blank)"),"",VLOOKUP($B787,'Email Marketing Raw Data'!$C:$O,13,0)),"")</f>
        <v/>
      </c>
      <c r="G787" s="55" t="str">
        <f>IFERROR(IF(OR($B787="",$B787="(blank)"),"",VLOOKUP($B787,'Email Marketing Raw Data'!$C:$O,4,0)),"")</f>
        <v/>
      </c>
      <c r="H787" s="55" t="str">
        <f>IFERROR(IF(OR($B787="",$B787="(blank)"),"",VLOOKUP($B787,'Email Marketing Raw Data'!$C:$O,5,0)),"")</f>
        <v/>
      </c>
      <c r="I787" s="55" t="str">
        <f>IFERROR(IF($G787="","",VLOOKUP('Dashboard And Emails Automate'!$G787,Database!$H:$N,3,0)),"")</f>
        <v/>
      </c>
      <c r="J787" s="55" t="str">
        <f>IFERROR(IF($G787="","",VLOOKUP('Dashboard And Emails Automate'!$G787,Database!$H:$N,4,0)),"")</f>
        <v/>
      </c>
      <c r="K787" s="55" t="str">
        <f>IFERROR(IF($G787="","",VLOOKUP('Dashboard And Emails Automate'!$G787,Database!$H:$N,5,0)),"")</f>
        <v/>
      </c>
      <c r="L787" s="55" t="str">
        <f>IFERROR(IF($G787="","",VLOOKUP('Dashboard And Emails Automate'!$G787,Database!$H:$N,6,0)),"")</f>
        <v/>
      </c>
      <c r="M787" s="55" t="str">
        <f>IFERROR(IF($G787="","",VLOOKUP('Dashboard And Emails Automate'!$G787,Database!$H:$N,7,0)),"")</f>
        <v/>
      </c>
      <c r="N787" s="55" t="str">
        <f>IFERROR(IF(OR($B787="",$B787="(blank)"),"",VLOOKUP($B787,'Email Marketing Raw Data'!$C:$O,6,0)),"")</f>
        <v/>
      </c>
      <c r="O787" s="55" t="str">
        <f>IFERROR(IF(OR($B787="",$B787="(blank)"),"",VLOOKUP($B787,'Email Marketing Raw Data'!$C:$O,7,0)),"")</f>
        <v/>
      </c>
      <c r="P787" s="55" t="str">
        <f>IFERROR(IF(OR($B787="",$B787="(blank)"),"",VLOOKUP($B787,'Email Marketing Raw Data'!$C:$O,8,0)),"")</f>
        <v/>
      </c>
      <c r="Q787" s="62" t="str">
        <f>IFERROR(IF(OR($B787="",$B787="(blank)"),"",VLOOKUP($B787,'Email Marketing Raw Data'!$C:$O,9,0)),"")</f>
        <v/>
      </c>
    </row>
    <row r="788" spans="4:17" ht="12.75" customHeight="1" x14ac:dyDescent="0.2">
      <c r="D788" s="58" t="str">
        <f>IFERROR(IF(F788&lt;&gt;"pending","",IF(OR($B788="",$B788="(blank)"),"",VLOOKUP($B788,'Email Marketing Raw Data'!$C:$O,10,0))),"")</f>
        <v/>
      </c>
      <c r="E788" s="59" t="str">
        <f>IFERROR(IF(F788&lt;&gt;"pending","",IF(OR($B788="",$B788="(blank)"),"",VLOOKUP($B788,'Email Marketing Raw Data'!$C:$O,11,0))),"")</f>
        <v/>
      </c>
      <c r="F788" s="54" t="str">
        <f>IFERROR(IF(OR($B788="",$B788="(blank)"),"",VLOOKUP($B788,'Email Marketing Raw Data'!$C:$O,13,0)),"")</f>
        <v/>
      </c>
      <c r="G788" s="55" t="str">
        <f>IFERROR(IF(OR($B788="",$B788="(blank)"),"",VLOOKUP($B788,'Email Marketing Raw Data'!$C:$O,4,0)),"")</f>
        <v/>
      </c>
      <c r="H788" s="55" t="str">
        <f>IFERROR(IF(OR($B788="",$B788="(blank)"),"",VLOOKUP($B788,'Email Marketing Raw Data'!$C:$O,5,0)),"")</f>
        <v/>
      </c>
      <c r="I788" s="55" t="str">
        <f>IFERROR(IF($G788="","",VLOOKUP('Dashboard And Emails Automate'!$G788,Database!$H:$N,3,0)),"")</f>
        <v/>
      </c>
      <c r="J788" s="55" t="str">
        <f>IFERROR(IF($G788="","",VLOOKUP('Dashboard And Emails Automate'!$G788,Database!$H:$N,4,0)),"")</f>
        <v/>
      </c>
      <c r="K788" s="55" t="str">
        <f>IFERROR(IF($G788="","",VLOOKUP('Dashboard And Emails Automate'!$G788,Database!$H:$N,5,0)),"")</f>
        <v/>
      </c>
      <c r="L788" s="55" t="str">
        <f>IFERROR(IF($G788="","",VLOOKUP('Dashboard And Emails Automate'!$G788,Database!$H:$N,6,0)),"")</f>
        <v/>
      </c>
      <c r="M788" s="55" t="str">
        <f>IFERROR(IF($G788="","",VLOOKUP('Dashboard And Emails Automate'!$G788,Database!$H:$N,7,0)),"")</f>
        <v/>
      </c>
      <c r="N788" s="55" t="str">
        <f>IFERROR(IF(OR($B788="",$B788="(blank)"),"",VLOOKUP($B788,'Email Marketing Raw Data'!$C:$O,6,0)),"")</f>
        <v/>
      </c>
      <c r="O788" s="55" t="str">
        <f>IFERROR(IF(OR($B788="",$B788="(blank)"),"",VLOOKUP($B788,'Email Marketing Raw Data'!$C:$O,7,0)),"")</f>
        <v/>
      </c>
      <c r="P788" s="55" t="str">
        <f>IFERROR(IF(OR($B788="",$B788="(blank)"),"",VLOOKUP($B788,'Email Marketing Raw Data'!$C:$O,8,0)),"")</f>
        <v/>
      </c>
      <c r="Q788" s="62" t="str">
        <f>IFERROR(IF(OR($B788="",$B788="(blank)"),"",VLOOKUP($B788,'Email Marketing Raw Data'!$C:$O,9,0)),"")</f>
        <v/>
      </c>
    </row>
    <row r="789" spans="4:17" ht="12.75" customHeight="1" x14ac:dyDescent="0.2">
      <c r="D789" s="58" t="str">
        <f>IFERROR(IF(F789&lt;&gt;"pending","",IF(OR($B789="",$B789="(blank)"),"",VLOOKUP($B789,'Email Marketing Raw Data'!$C:$O,10,0))),"")</f>
        <v/>
      </c>
      <c r="E789" s="59" t="str">
        <f>IFERROR(IF(F789&lt;&gt;"pending","",IF(OR($B789="",$B789="(blank)"),"",VLOOKUP($B789,'Email Marketing Raw Data'!$C:$O,11,0))),"")</f>
        <v/>
      </c>
      <c r="F789" s="54" t="str">
        <f>IFERROR(IF(OR($B789="",$B789="(blank)"),"",VLOOKUP($B789,'Email Marketing Raw Data'!$C:$O,13,0)),"")</f>
        <v/>
      </c>
      <c r="G789" s="55" t="str">
        <f>IFERROR(IF(OR($B789="",$B789="(blank)"),"",VLOOKUP($B789,'Email Marketing Raw Data'!$C:$O,4,0)),"")</f>
        <v/>
      </c>
      <c r="H789" s="55" t="str">
        <f>IFERROR(IF(OR($B789="",$B789="(blank)"),"",VLOOKUP($B789,'Email Marketing Raw Data'!$C:$O,5,0)),"")</f>
        <v/>
      </c>
      <c r="I789" s="55" t="str">
        <f>IFERROR(IF($G789="","",VLOOKUP('Dashboard And Emails Automate'!$G789,Database!$H:$N,3,0)),"")</f>
        <v/>
      </c>
      <c r="J789" s="55" t="str">
        <f>IFERROR(IF($G789="","",VLOOKUP('Dashboard And Emails Automate'!$G789,Database!$H:$N,4,0)),"")</f>
        <v/>
      </c>
      <c r="K789" s="55" t="str">
        <f>IFERROR(IF($G789="","",VLOOKUP('Dashboard And Emails Automate'!$G789,Database!$H:$N,5,0)),"")</f>
        <v/>
      </c>
      <c r="L789" s="55" t="str">
        <f>IFERROR(IF($G789="","",VLOOKUP('Dashboard And Emails Automate'!$G789,Database!$H:$N,6,0)),"")</f>
        <v/>
      </c>
      <c r="M789" s="55" t="str">
        <f>IFERROR(IF($G789="","",VLOOKUP('Dashboard And Emails Automate'!$G789,Database!$H:$N,7,0)),"")</f>
        <v/>
      </c>
      <c r="N789" s="55" t="str">
        <f>IFERROR(IF(OR($B789="",$B789="(blank)"),"",VLOOKUP($B789,'Email Marketing Raw Data'!$C:$O,6,0)),"")</f>
        <v/>
      </c>
      <c r="O789" s="55" t="str">
        <f>IFERROR(IF(OR($B789="",$B789="(blank)"),"",VLOOKUP($B789,'Email Marketing Raw Data'!$C:$O,7,0)),"")</f>
        <v/>
      </c>
      <c r="P789" s="55" t="str">
        <f>IFERROR(IF(OR($B789="",$B789="(blank)"),"",VLOOKUP($B789,'Email Marketing Raw Data'!$C:$O,8,0)),"")</f>
        <v/>
      </c>
      <c r="Q789" s="62" t="str">
        <f>IFERROR(IF(OR($B789="",$B789="(blank)"),"",VLOOKUP($B789,'Email Marketing Raw Data'!$C:$O,9,0)),"")</f>
        <v/>
      </c>
    </row>
    <row r="790" spans="4:17" ht="12.75" customHeight="1" x14ac:dyDescent="0.2">
      <c r="D790" s="58" t="str">
        <f>IFERROR(IF(F790&lt;&gt;"pending","",IF(OR($B790="",$B790="(blank)"),"",VLOOKUP($B790,'Email Marketing Raw Data'!$C:$O,10,0))),"")</f>
        <v/>
      </c>
      <c r="E790" s="59" t="str">
        <f>IFERROR(IF(F790&lt;&gt;"pending","",IF(OR($B790="",$B790="(blank)"),"",VLOOKUP($B790,'Email Marketing Raw Data'!$C:$O,11,0))),"")</f>
        <v/>
      </c>
      <c r="F790" s="54" t="str">
        <f>IFERROR(IF(OR($B790="",$B790="(blank)"),"",VLOOKUP($B790,'Email Marketing Raw Data'!$C:$O,13,0)),"")</f>
        <v/>
      </c>
      <c r="G790" s="55" t="str">
        <f>IFERROR(IF(OR($B790="",$B790="(blank)"),"",VLOOKUP($B790,'Email Marketing Raw Data'!$C:$O,4,0)),"")</f>
        <v/>
      </c>
      <c r="H790" s="55" t="str">
        <f>IFERROR(IF(OR($B790="",$B790="(blank)"),"",VLOOKUP($B790,'Email Marketing Raw Data'!$C:$O,5,0)),"")</f>
        <v/>
      </c>
      <c r="I790" s="55" t="str">
        <f>IFERROR(IF($G790="","",VLOOKUP('Dashboard And Emails Automate'!$G790,Database!$H:$N,3,0)),"")</f>
        <v/>
      </c>
      <c r="J790" s="55" t="str">
        <f>IFERROR(IF($G790="","",VLOOKUP('Dashboard And Emails Automate'!$G790,Database!$H:$N,4,0)),"")</f>
        <v/>
      </c>
      <c r="K790" s="55" t="str">
        <f>IFERROR(IF($G790="","",VLOOKUP('Dashboard And Emails Automate'!$G790,Database!$H:$N,5,0)),"")</f>
        <v/>
      </c>
      <c r="L790" s="55" t="str">
        <f>IFERROR(IF($G790="","",VLOOKUP('Dashboard And Emails Automate'!$G790,Database!$H:$N,6,0)),"")</f>
        <v/>
      </c>
      <c r="M790" s="55" t="str">
        <f>IFERROR(IF($G790="","",VLOOKUP('Dashboard And Emails Automate'!$G790,Database!$H:$N,7,0)),"")</f>
        <v/>
      </c>
      <c r="N790" s="55" t="str">
        <f>IFERROR(IF(OR($B790="",$B790="(blank)"),"",VLOOKUP($B790,'Email Marketing Raw Data'!$C:$O,6,0)),"")</f>
        <v/>
      </c>
      <c r="O790" s="55" t="str">
        <f>IFERROR(IF(OR($B790="",$B790="(blank)"),"",VLOOKUP($B790,'Email Marketing Raw Data'!$C:$O,7,0)),"")</f>
        <v/>
      </c>
      <c r="P790" s="55" t="str">
        <f>IFERROR(IF(OR($B790="",$B790="(blank)"),"",VLOOKUP($B790,'Email Marketing Raw Data'!$C:$O,8,0)),"")</f>
        <v/>
      </c>
      <c r="Q790" s="62" t="str">
        <f>IFERROR(IF(OR($B790="",$B790="(blank)"),"",VLOOKUP($B790,'Email Marketing Raw Data'!$C:$O,9,0)),"")</f>
        <v/>
      </c>
    </row>
    <row r="791" spans="4:17" ht="12.75" customHeight="1" x14ac:dyDescent="0.2">
      <c r="D791" s="58" t="str">
        <f>IFERROR(IF(F791&lt;&gt;"pending","",IF(OR($B791="",$B791="(blank)"),"",VLOOKUP($B791,'Email Marketing Raw Data'!$C:$O,10,0))),"")</f>
        <v/>
      </c>
      <c r="E791" s="59" t="str">
        <f>IFERROR(IF(F791&lt;&gt;"pending","",IF(OR($B791="",$B791="(blank)"),"",VLOOKUP($B791,'Email Marketing Raw Data'!$C:$O,11,0))),"")</f>
        <v/>
      </c>
      <c r="F791" s="54" t="str">
        <f>IFERROR(IF(OR($B791="",$B791="(blank)"),"",VLOOKUP($B791,'Email Marketing Raw Data'!$C:$O,13,0)),"")</f>
        <v/>
      </c>
      <c r="G791" s="55" t="str">
        <f>IFERROR(IF(OR($B791="",$B791="(blank)"),"",VLOOKUP($B791,'Email Marketing Raw Data'!$C:$O,4,0)),"")</f>
        <v/>
      </c>
      <c r="H791" s="55" t="str">
        <f>IFERROR(IF(OR($B791="",$B791="(blank)"),"",VLOOKUP($B791,'Email Marketing Raw Data'!$C:$O,5,0)),"")</f>
        <v/>
      </c>
      <c r="I791" s="55" t="str">
        <f>IFERROR(IF($G791="","",VLOOKUP('Dashboard And Emails Automate'!$G791,Database!$H:$N,3,0)),"")</f>
        <v/>
      </c>
      <c r="J791" s="55" t="str">
        <f>IFERROR(IF($G791="","",VLOOKUP('Dashboard And Emails Automate'!$G791,Database!$H:$N,4,0)),"")</f>
        <v/>
      </c>
      <c r="K791" s="55" t="str">
        <f>IFERROR(IF($G791="","",VLOOKUP('Dashboard And Emails Automate'!$G791,Database!$H:$N,5,0)),"")</f>
        <v/>
      </c>
      <c r="L791" s="55" t="str">
        <f>IFERROR(IF($G791="","",VLOOKUP('Dashboard And Emails Automate'!$G791,Database!$H:$N,6,0)),"")</f>
        <v/>
      </c>
      <c r="M791" s="55" t="str">
        <f>IFERROR(IF($G791="","",VLOOKUP('Dashboard And Emails Automate'!$G791,Database!$H:$N,7,0)),"")</f>
        <v/>
      </c>
      <c r="N791" s="55" t="str">
        <f>IFERROR(IF(OR($B791="",$B791="(blank)"),"",VLOOKUP($B791,'Email Marketing Raw Data'!$C:$O,6,0)),"")</f>
        <v/>
      </c>
      <c r="O791" s="55" t="str">
        <f>IFERROR(IF(OR($B791="",$B791="(blank)"),"",VLOOKUP($B791,'Email Marketing Raw Data'!$C:$O,7,0)),"")</f>
        <v/>
      </c>
      <c r="P791" s="55" t="str">
        <f>IFERROR(IF(OR($B791="",$B791="(blank)"),"",VLOOKUP($B791,'Email Marketing Raw Data'!$C:$O,8,0)),"")</f>
        <v/>
      </c>
      <c r="Q791" s="62" t="str">
        <f>IFERROR(IF(OR($B791="",$B791="(blank)"),"",VLOOKUP($B791,'Email Marketing Raw Data'!$C:$O,9,0)),"")</f>
        <v/>
      </c>
    </row>
    <row r="792" spans="4:17" ht="12.75" customHeight="1" x14ac:dyDescent="0.2">
      <c r="D792" s="58" t="str">
        <f>IFERROR(IF(F792&lt;&gt;"pending","",IF(OR($B792="",$B792="(blank)"),"",VLOOKUP($B792,'Email Marketing Raw Data'!$C:$O,10,0))),"")</f>
        <v/>
      </c>
      <c r="E792" s="59" t="str">
        <f>IFERROR(IF(F792&lt;&gt;"pending","",IF(OR($B792="",$B792="(blank)"),"",VLOOKUP($B792,'Email Marketing Raw Data'!$C:$O,11,0))),"")</f>
        <v/>
      </c>
      <c r="F792" s="54" t="str">
        <f>IFERROR(IF(OR($B792="",$B792="(blank)"),"",VLOOKUP($B792,'Email Marketing Raw Data'!$C:$O,13,0)),"")</f>
        <v/>
      </c>
      <c r="G792" s="55" t="str">
        <f>IFERROR(IF(OR($B792="",$B792="(blank)"),"",VLOOKUP($B792,'Email Marketing Raw Data'!$C:$O,4,0)),"")</f>
        <v/>
      </c>
      <c r="H792" s="55" t="str">
        <f>IFERROR(IF(OR($B792="",$B792="(blank)"),"",VLOOKUP($B792,'Email Marketing Raw Data'!$C:$O,5,0)),"")</f>
        <v/>
      </c>
      <c r="I792" s="55" t="str">
        <f>IFERROR(IF($G792="","",VLOOKUP('Dashboard And Emails Automate'!$G792,Database!$H:$N,3,0)),"")</f>
        <v/>
      </c>
      <c r="J792" s="55" t="str">
        <f>IFERROR(IF($G792="","",VLOOKUP('Dashboard And Emails Automate'!$G792,Database!$H:$N,4,0)),"")</f>
        <v/>
      </c>
      <c r="K792" s="55" t="str">
        <f>IFERROR(IF($G792="","",VLOOKUP('Dashboard And Emails Automate'!$G792,Database!$H:$N,5,0)),"")</f>
        <v/>
      </c>
      <c r="L792" s="55" t="str">
        <f>IFERROR(IF($G792="","",VLOOKUP('Dashboard And Emails Automate'!$G792,Database!$H:$N,6,0)),"")</f>
        <v/>
      </c>
      <c r="M792" s="55" t="str">
        <f>IFERROR(IF($G792="","",VLOOKUP('Dashboard And Emails Automate'!$G792,Database!$H:$N,7,0)),"")</f>
        <v/>
      </c>
      <c r="N792" s="55" t="str">
        <f>IFERROR(IF(OR($B792="",$B792="(blank)"),"",VLOOKUP($B792,'Email Marketing Raw Data'!$C:$O,6,0)),"")</f>
        <v/>
      </c>
      <c r="O792" s="55" t="str">
        <f>IFERROR(IF(OR($B792="",$B792="(blank)"),"",VLOOKUP($B792,'Email Marketing Raw Data'!$C:$O,7,0)),"")</f>
        <v/>
      </c>
      <c r="P792" s="55" t="str">
        <f>IFERROR(IF(OR($B792="",$B792="(blank)"),"",VLOOKUP($B792,'Email Marketing Raw Data'!$C:$O,8,0)),"")</f>
        <v/>
      </c>
      <c r="Q792" s="62" t="str">
        <f>IFERROR(IF(OR($B792="",$B792="(blank)"),"",VLOOKUP($B792,'Email Marketing Raw Data'!$C:$O,9,0)),"")</f>
        <v/>
      </c>
    </row>
    <row r="793" spans="4:17" ht="12.75" customHeight="1" x14ac:dyDescent="0.2">
      <c r="D793" s="58" t="str">
        <f>IFERROR(IF(F793&lt;&gt;"pending","",IF(OR($B793="",$B793="(blank)"),"",VLOOKUP($B793,'Email Marketing Raw Data'!$C:$O,10,0))),"")</f>
        <v/>
      </c>
      <c r="E793" s="59" t="str">
        <f>IFERROR(IF(F793&lt;&gt;"pending","",IF(OR($B793="",$B793="(blank)"),"",VLOOKUP($B793,'Email Marketing Raw Data'!$C:$O,11,0))),"")</f>
        <v/>
      </c>
      <c r="F793" s="54" t="str">
        <f>IFERROR(IF(OR($B793="",$B793="(blank)"),"",VLOOKUP($B793,'Email Marketing Raw Data'!$C:$O,13,0)),"")</f>
        <v/>
      </c>
      <c r="G793" s="55" t="str">
        <f>IFERROR(IF(OR($B793="",$B793="(blank)"),"",VLOOKUP($B793,'Email Marketing Raw Data'!$C:$O,4,0)),"")</f>
        <v/>
      </c>
      <c r="H793" s="55" t="str">
        <f>IFERROR(IF(OR($B793="",$B793="(blank)"),"",VLOOKUP($B793,'Email Marketing Raw Data'!$C:$O,5,0)),"")</f>
        <v/>
      </c>
      <c r="I793" s="55" t="str">
        <f>IFERROR(IF($G793="","",VLOOKUP('Dashboard And Emails Automate'!$G793,Database!$H:$N,3,0)),"")</f>
        <v/>
      </c>
      <c r="J793" s="55" t="str">
        <f>IFERROR(IF($G793="","",VLOOKUP('Dashboard And Emails Automate'!$G793,Database!$H:$N,4,0)),"")</f>
        <v/>
      </c>
      <c r="K793" s="55" t="str">
        <f>IFERROR(IF($G793="","",VLOOKUP('Dashboard And Emails Automate'!$G793,Database!$H:$N,5,0)),"")</f>
        <v/>
      </c>
      <c r="L793" s="55" t="str">
        <f>IFERROR(IF($G793="","",VLOOKUP('Dashboard And Emails Automate'!$G793,Database!$H:$N,6,0)),"")</f>
        <v/>
      </c>
      <c r="M793" s="55" t="str">
        <f>IFERROR(IF($G793="","",VLOOKUP('Dashboard And Emails Automate'!$G793,Database!$H:$N,7,0)),"")</f>
        <v/>
      </c>
      <c r="N793" s="55" t="str">
        <f>IFERROR(IF(OR($B793="",$B793="(blank)"),"",VLOOKUP($B793,'Email Marketing Raw Data'!$C:$O,6,0)),"")</f>
        <v/>
      </c>
      <c r="O793" s="55" t="str">
        <f>IFERROR(IF(OR($B793="",$B793="(blank)"),"",VLOOKUP($B793,'Email Marketing Raw Data'!$C:$O,7,0)),"")</f>
        <v/>
      </c>
      <c r="P793" s="55" t="str">
        <f>IFERROR(IF(OR($B793="",$B793="(blank)"),"",VLOOKUP($B793,'Email Marketing Raw Data'!$C:$O,8,0)),"")</f>
        <v/>
      </c>
      <c r="Q793" s="62" t="str">
        <f>IFERROR(IF(OR($B793="",$B793="(blank)"),"",VLOOKUP($B793,'Email Marketing Raw Data'!$C:$O,9,0)),"")</f>
        <v/>
      </c>
    </row>
    <row r="794" spans="4:17" ht="12.75" customHeight="1" x14ac:dyDescent="0.2">
      <c r="D794" s="58" t="str">
        <f>IFERROR(IF(F794&lt;&gt;"pending","",IF(OR($B794="",$B794="(blank)"),"",VLOOKUP($B794,'Email Marketing Raw Data'!$C:$O,10,0))),"")</f>
        <v/>
      </c>
      <c r="E794" s="59" t="str">
        <f>IFERROR(IF(F794&lt;&gt;"pending","",IF(OR($B794="",$B794="(blank)"),"",VLOOKUP($B794,'Email Marketing Raw Data'!$C:$O,11,0))),"")</f>
        <v/>
      </c>
      <c r="F794" s="54" t="str">
        <f>IFERROR(IF(OR($B794="",$B794="(blank)"),"",VLOOKUP($B794,'Email Marketing Raw Data'!$C:$O,13,0)),"")</f>
        <v/>
      </c>
      <c r="G794" s="55" t="str">
        <f>IFERROR(IF(OR($B794="",$B794="(blank)"),"",VLOOKUP($B794,'Email Marketing Raw Data'!$C:$O,4,0)),"")</f>
        <v/>
      </c>
      <c r="H794" s="55" t="str">
        <f>IFERROR(IF(OR($B794="",$B794="(blank)"),"",VLOOKUP($B794,'Email Marketing Raw Data'!$C:$O,5,0)),"")</f>
        <v/>
      </c>
      <c r="I794" s="55" t="str">
        <f>IFERROR(IF($G794="","",VLOOKUP('Dashboard And Emails Automate'!$G794,Database!$H:$N,3,0)),"")</f>
        <v/>
      </c>
      <c r="J794" s="55" t="str">
        <f>IFERROR(IF($G794="","",VLOOKUP('Dashboard And Emails Automate'!$G794,Database!$H:$N,4,0)),"")</f>
        <v/>
      </c>
      <c r="K794" s="55" t="str">
        <f>IFERROR(IF($G794="","",VLOOKUP('Dashboard And Emails Automate'!$G794,Database!$H:$N,5,0)),"")</f>
        <v/>
      </c>
      <c r="L794" s="55" t="str">
        <f>IFERROR(IF($G794="","",VLOOKUP('Dashboard And Emails Automate'!$G794,Database!$H:$N,6,0)),"")</f>
        <v/>
      </c>
      <c r="M794" s="55" t="str">
        <f>IFERROR(IF($G794="","",VLOOKUP('Dashboard And Emails Automate'!$G794,Database!$H:$N,7,0)),"")</f>
        <v/>
      </c>
      <c r="N794" s="55" t="str">
        <f>IFERROR(IF(OR($B794="",$B794="(blank)"),"",VLOOKUP($B794,'Email Marketing Raw Data'!$C:$O,6,0)),"")</f>
        <v/>
      </c>
      <c r="O794" s="55" t="str">
        <f>IFERROR(IF(OR($B794="",$B794="(blank)"),"",VLOOKUP($B794,'Email Marketing Raw Data'!$C:$O,7,0)),"")</f>
        <v/>
      </c>
      <c r="P794" s="55" t="str">
        <f>IFERROR(IF(OR($B794="",$B794="(blank)"),"",VLOOKUP($B794,'Email Marketing Raw Data'!$C:$O,8,0)),"")</f>
        <v/>
      </c>
      <c r="Q794" s="62" t="str">
        <f>IFERROR(IF(OR($B794="",$B794="(blank)"),"",VLOOKUP($B794,'Email Marketing Raw Data'!$C:$O,9,0)),"")</f>
        <v/>
      </c>
    </row>
    <row r="795" spans="4:17" ht="12.75" customHeight="1" x14ac:dyDescent="0.2">
      <c r="D795" s="58" t="str">
        <f>IFERROR(IF(F795&lt;&gt;"pending","",IF(OR($B795="",$B795="(blank)"),"",VLOOKUP($B795,'Email Marketing Raw Data'!$C:$O,10,0))),"")</f>
        <v/>
      </c>
      <c r="E795" s="59" t="str">
        <f>IFERROR(IF(F795&lt;&gt;"pending","",IF(OR($B795="",$B795="(blank)"),"",VLOOKUP($B795,'Email Marketing Raw Data'!$C:$O,11,0))),"")</f>
        <v/>
      </c>
      <c r="F795" s="54" t="str">
        <f>IFERROR(IF(OR($B795="",$B795="(blank)"),"",VLOOKUP($B795,'Email Marketing Raw Data'!$C:$O,13,0)),"")</f>
        <v/>
      </c>
      <c r="G795" s="55" t="str">
        <f>IFERROR(IF(OR($B795="",$B795="(blank)"),"",VLOOKUP($B795,'Email Marketing Raw Data'!$C:$O,4,0)),"")</f>
        <v/>
      </c>
      <c r="H795" s="55" t="str">
        <f>IFERROR(IF(OR($B795="",$B795="(blank)"),"",VLOOKUP($B795,'Email Marketing Raw Data'!$C:$O,5,0)),"")</f>
        <v/>
      </c>
      <c r="I795" s="55" t="str">
        <f>IFERROR(IF($G795="","",VLOOKUP('Dashboard And Emails Automate'!$G795,Database!$H:$N,3,0)),"")</f>
        <v/>
      </c>
      <c r="J795" s="55" t="str">
        <f>IFERROR(IF($G795="","",VLOOKUP('Dashboard And Emails Automate'!$G795,Database!$H:$N,4,0)),"")</f>
        <v/>
      </c>
      <c r="K795" s="55" t="str">
        <f>IFERROR(IF($G795="","",VLOOKUP('Dashboard And Emails Automate'!$G795,Database!$H:$N,5,0)),"")</f>
        <v/>
      </c>
      <c r="L795" s="55" t="str">
        <f>IFERROR(IF($G795="","",VLOOKUP('Dashboard And Emails Automate'!$G795,Database!$H:$N,6,0)),"")</f>
        <v/>
      </c>
      <c r="M795" s="55" t="str">
        <f>IFERROR(IF($G795="","",VLOOKUP('Dashboard And Emails Automate'!$G795,Database!$H:$N,7,0)),"")</f>
        <v/>
      </c>
      <c r="N795" s="55" t="str">
        <f>IFERROR(IF(OR($B795="",$B795="(blank)"),"",VLOOKUP($B795,'Email Marketing Raw Data'!$C:$O,6,0)),"")</f>
        <v/>
      </c>
      <c r="O795" s="55" t="str">
        <f>IFERROR(IF(OR($B795="",$B795="(blank)"),"",VLOOKUP($B795,'Email Marketing Raw Data'!$C:$O,7,0)),"")</f>
        <v/>
      </c>
      <c r="P795" s="55" t="str">
        <f>IFERROR(IF(OR($B795="",$B795="(blank)"),"",VLOOKUP($B795,'Email Marketing Raw Data'!$C:$O,8,0)),"")</f>
        <v/>
      </c>
      <c r="Q795" s="62" t="str">
        <f>IFERROR(IF(OR($B795="",$B795="(blank)"),"",VLOOKUP($B795,'Email Marketing Raw Data'!$C:$O,9,0)),"")</f>
        <v/>
      </c>
    </row>
    <row r="796" spans="4:17" ht="12.75" customHeight="1" x14ac:dyDescent="0.2">
      <c r="D796" s="58" t="str">
        <f>IFERROR(IF(F796&lt;&gt;"pending","",IF(OR($B796="",$B796="(blank)"),"",VLOOKUP($B796,'Email Marketing Raw Data'!$C:$O,10,0))),"")</f>
        <v/>
      </c>
      <c r="E796" s="59" t="str">
        <f>IFERROR(IF(F796&lt;&gt;"pending","",IF(OR($B796="",$B796="(blank)"),"",VLOOKUP($B796,'Email Marketing Raw Data'!$C:$O,11,0))),"")</f>
        <v/>
      </c>
      <c r="F796" s="54" t="str">
        <f>IFERROR(IF(OR($B796="",$B796="(blank)"),"",VLOOKUP($B796,'Email Marketing Raw Data'!$C:$O,13,0)),"")</f>
        <v/>
      </c>
      <c r="G796" s="55" t="str">
        <f>IFERROR(IF(OR($B796="",$B796="(blank)"),"",VLOOKUP($B796,'Email Marketing Raw Data'!$C:$O,4,0)),"")</f>
        <v/>
      </c>
      <c r="H796" s="55" t="str">
        <f>IFERROR(IF(OR($B796="",$B796="(blank)"),"",VLOOKUP($B796,'Email Marketing Raw Data'!$C:$O,5,0)),"")</f>
        <v/>
      </c>
      <c r="I796" s="55" t="str">
        <f>IFERROR(IF($G796="","",VLOOKUP('Dashboard And Emails Automate'!$G796,Database!$H:$N,3,0)),"")</f>
        <v/>
      </c>
      <c r="J796" s="55" t="str">
        <f>IFERROR(IF($G796="","",VLOOKUP('Dashboard And Emails Automate'!$G796,Database!$H:$N,4,0)),"")</f>
        <v/>
      </c>
      <c r="K796" s="55" t="str">
        <f>IFERROR(IF($G796="","",VLOOKUP('Dashboard And Emails Automate'!$G796,Database!$H:$N,5,0)),"")</f>
        <v/>
      </c>
      <c r="L796" s="55" t="str">
        <f>IFERROR(IF($G796="","",VLOOKUP('Dashboard And Emails Automate'!$G796,Database!$H:$N,6,0)),"")</f>
        <v/>
      </c>
      <c r="M796" s="55" t="str">
        <f>IFERROR(IF($G796="","",VLOOKUP('Dashboard And Emails Automate'!$G796,Database!$H:$N,7,0)),"")</f>
        <v/>
      </c>
      <c r="N796" s="55" t="str">
        <f>IFERROR(IF(OR($B796="",$B796="(blank)"),"",VLOOKUP($B796,'Email Marketing Raw Data'!$C:$O,6,0)),"")</f>
        <v/>
      </c>
      <c r="O796" s="55" t="str">
        <f>IFERROR(IF(OR($B796="",$B796="(blank)"),"",VLOOKUP($B796,'Email Marketing Raw Data'!$C:$O,7,0)),"")</f>
        <v/>
      </c>
      <c r="P796" s="55" t="str">
        <f>IFERROR(IF(OR($B796="",$B796="(blank)"),"",VLOOKUP($B796,'Email Marketing Raw Data'!$C:$O,8,0)),"")</f>
        <v/>
      </c>
      <c r="Q796" s="62" t="str">
        <f>IFERROR(IF(OR($B796="",$B796="(blank)"),"",VLOOKUP($B796,'Email Marketing Raw Data'!$C:$O,9,0)),"")</f>
        <v/>
      </c>
    </row>
    <row r="797" spans="4:17" ht="12.75" customHeight="1" x14ac:dyDescent="0.2">
      <c r="D797" s="58" t="str">
        <f>IFERROR(IF(F797&lt;&gt;"pending","",IF(OR($B797="",$B797="(blank)"),"",VLOOKUP($B797,'Email Marketing Raw Data'!$C:$O,10,0))),"")</f>
        <v/>
      </c>
      <c r="E797" s="59" t="str">
        <f>IFERROR(IF(F797&lt;&gt;"pending","",IF(OR($B797="",$B797="(blank)"),"",VLOOKUP($B797,'Email Marketing Raw Data'!$C:$O,11,0))),"")</f>
        <v/>
      </c>
      <c r="F797" s="54" t="str">
        <f>IFERROR(IF(OR($B797="",$B797="(blank)"),"",VLOOKUP($B797,'Email Marketing Raw Data'!$C:$O,13,0)),"")</f>
        <v/>
      </c>
      <c r="G797" s="55" t="str">
        <f>IFERROR(IF(OR($B797="",$B797="(blank)"),"",VLOOKUP($B797,'Email Marketing Raw Data'!$C:$O,4,0)),"")</f>
        <v/>
      </c>
      <c r="H797" s="55" t="str">
        <f>IFERROR(IF(OR($B797="",$B797="(blank)"),"",VLOOKUP($B797,'Email Marketing Raw Data'!$C:$O,5,0)),"")</f>
        <v/>
      </c>
      <c r="I797" s="55" t="str">
        <f>IFERROR(IF($G797="","",VLOOKUP('Dashboard And Emails Automate'!$G797,Database!$H:$N,3,0)),"")</f>
        <v/>
      </c>
      <c r="J797" s="55" t="str">
        <f>IFERROR(IF($G797="","",VLOOKUP('Dashboard And Emails Automate'!$G797,Database!$H:$N,4,0)),"")</f>
        <v/>
      </c>
      <c r="K797" s="55" t="str">
        <f>IFERROR(IF($G797="","",VLOOKUP('Dashboard And Emails Automate'!$G797,Database!$H:$N,5,0)),"")</f>
        <v/>
      </c>
      <c r="L797" s="55" t="str">
        <f>IFERROR(IF($G797="","",VLOOKUP('Dashboard And Emails Automate'!$G797,Database!$H:$N,6,0)),"")</f>
        <v/>
      </c>
      <c r="M797" s="55" t="str">
        <f>IFERROR(IF($G797="","",VLOOKUP('Dashboard And Emails Automate'!$G797,Database!$H:$N,7,0)),"")</f>
        <v/>
      </c>
      <c r="N797" s="55" t="str">
        <f>IFERROR(IF(OR($B797="",$B797="(blank)"),"",VLOOKUP($B797,'Email Marketing Raw Data'!$C:$O,6,0)),"")</f>
        <v/>
      </c>
      <c r="O797" s="55" t="str">
        <f>IFERROR(IF(OR($B797="",$B797="(blank)"),"",VLOOKUP($B797,'Email Marketing Raw Data'!$C:$O,7,0)),"")</f>
        <v/>
      </c>
      <c r="P797" s="55" t="str">
        <f>IFERROR(IF(OR($B797="",$B797="(blank)"),"",VLOOKUP($B797,'Email Marketing Raw Data'!$C:$O,8,0)),"")</f>
        <v/>
      </c>
      <c r="Q797" s="62" t="str">
        <f>IFERROR(IF(OR($B797="",$B797="(blank)"),"",VLOOKUP($B797,'Email Marketing Raw Data'!$C:$O,9,0)),"")</f>
        <v/>
      </c>
    </row>
    <row r="798" spans="4:17" ht="12.75" customHeight="1" x14ac:dyDescent="0.2">
      <c r="D798" s="58" t="str">
        <f>IFERROR(IF(F798&lt;&gt;"pending","",IF(OR($B798="",$B798="(blank)"),"",VLOOKUP($B798,'Email Marketing Raw Data'!$C:$O,10,0))),"")</f>
        <v/>
      </c>
      <c r="E798" s="59" t="str">
        <f>IFERROR(IF(F798&lt;&gt;"pending","",IF(OR($B798="",$B798="(blank)"),"",VLOOKUP($B798,'Email Marketing Raw Data'!$C:$O,11,0))),"")</f>
        <v/>
      </c>
      <c r="F798" s="54" t="str">
        <f>IFERROR(IF(OR($B798="",$B798="(blank)"),"",VLOOKUP($B798,'Email Marketing Raw Data'!$C:$O,13,0)),"")</f>
        <v/>
      </c>
      <c r="G798" s="55" t="str">
        <f>IFERROR(IF(OR($B798="",$B798="(blank)"),"",VLOOKUP($B798,'Email Marketing Raw Data'!$C:$O,4,0)),"")</f>
        <v/>
      </c>
      <c r="H798" s="55" t="str">
        <f>IFERROR(IF(OR($B798="",$B798="(blank)"),"",VLOOKUP($B798,'Email Marketing Raw Data'!$C:$O,5,0)),"")</f>
        <v/>
      </c>
      <c r="I798" s="55" t="str">
        <f>IFERROR(IF($G798="","",VLOOKUP('Dashboard And Emails Automate'!$G798,Database!$H:$N,3,0)),"")</f>
        <v/>
      </c>
      <c r="J798" s="55" t="str">
        <f>IFERROR(IF($G798="","",VLOOKUP('Dashboard And Emails Automate'!$G798,Database!$H:$N,4,0)),"")</f>
        <v/>
      </c>
      <c r="K798" s="55" t="str">
        <f>IFERROR(IF($G798="","",VLOOKUP('Dashboard And Emails Automate'!$G798,Database!$H:$N,5,0)),"")</f>
        <v/>
      </c>
      <c r="L798" s="55" t="str">
        <f>IFERROR(IF($G798="","",VLOOKUP('Dashboard And Emails Automate'!$G798,Database!$H:$N,6,0)),"")</f>
        <v/>
      </c>
      <c r="M798" s="55" t="str">
        <f>IFERROR(IF($G798="","",VLOOKUP('Dashboard And Emails Automate'!$G798,Database!$H:$N,7,0)),"")</f>
        <v/>
      </c>
      <c r="N798" s="55" t="str">
        <f>IFERROR(IF(OR($B798="",$B798="(blank)"),"",VLOOKUP($B798,'Email Marketing Raw Data'!$C:$O,6,0)),"")</f>
        <v/>
      </c>
      <c r="O798" s="55" t="str">
        <f>IFERROR(IF(OR($B798="",$B798="(blank)"),"",VLOOKUP($B798,'Email Marketing Raw Data'!$C:$O,7,0)),"")</f>
        <v/>
      </c>
      <c r="P798" s="55" t="str">
        <f>IFERROR(IF(OR($B798="",$B798="(blank)"),"",VLOOKUP($B798,'Email Marketing Raw Data'!$C:$O,8,0)),"")</f>
        <v/>
      </c>
      <c r="Q798" s="62" t="str">
        <f>IFERROR(IF(OR($B798="",$B798="(blank)"),"",VLOOKUP($B798,'Email Marketing Raw Data'!$C:$O,9,0)),"")</f>
        <v/>
      </c>
    </row>
    <row r="799" spans="4:17" ht="12.75" customHeight="1" x14ac:dyDescent="0.2">
      <c r="D799" s="58" t="str">
        <f>IFERROR(IF(F799&lt;&gt;"pending","",IF(OR($B799="",$B799="(blank)"),"",VLOOKUP($B799,'Email Marketing Raw Data'!$C:$O,10,0))),"")</f>
        <v/>
      </c>
      <c r="E799" s="59" t="str">
        <f>IFERROR(IF(F799&lt;&gt;"pending","",IF(OR($B799="",$B799="(blank)"),"",VLOOKUP($B799,'Email Marketing Raw Data'!$C:$O,11,0))),"")</f>
        <v/>
      </c>
      <c r="F799" s="54" t="str">
        <f>IFERROR(IF(OR($B799="",$B799="(blank)"),"",VLOOKUP($B799,'Email Marketing Raw Data'!$C:$O,13,0)),"")</f>
        <v/>
      </c>
      <c r="G799" s="55" t="str">
        <f>IFERROR(IF(OR($B799="",$B799="(blank)"),"",VLOOKUP($B799,'Email Marketing Raw Data'!$C:$O,4,0)),"")</f>
        <v/>
      </c>
      <c r="H799" s="55" t="str">
        <f>IFERROR(IF(OR($B799="",$B799="(blank)"),"",VLOOKUP($B799,'Email Marketing Raw Data'!$C:$O,5,0)),"")</f>
        <v/>
      </c>
      <c r="I799" s="55" t="str">
        <f>IFERROR(IF($G799="","",VLOOKUP('Dashboard And Emails Automate'!$G799,Database!$H:$N,3,0)),"")</f>
        <v/>
      </c>
      <c r="J799" s="55" t="str">
        <f>IFERROR(IF($G799="","",VLOOKUP('Dashboard And Emails Automate'!$G799,Database!$H:$N,4,0)),"")</f>
        <v/>
      </c>
      <c r="K799" s="55" t="str">
        <f>IFERROR(IF($G799="","",VLOOKUP('Dashboard And Emails Automate'!$G799,Database!$H:$N,5,0)),"")</f>
        <v/>
      </c>
      <c r="L799" s="55" t="str">
        <f>IFERROR(IF($G799="","",VLOOKUP('Dashboard And Emails Automate'!$G799,Database!$H:$N,6,0)),"")</f>
        <v/>
      </c>
      <c r="M799" s="55" t="str">
        <f>IFERROR(IF($G799="","",VLOOKUP('Dashboard And Emails Automate'!$G799,Database!$H:$N,7,0)),"")</f>
        <v/>
      </c>
      <c r="N799" s="55" t="str">
        <f>IFERROR(IF(OR($B799="",$B799="(blank)"),"",VLOOKUP($B799,'Email Marketing Raw Data'!$C:$O,6,0)),"")</f>
        <v/>
      </c>
      <c r="O799" s="55" t="str">
        <f>IFERROR(IF(OR($B799="",$B799="(blank)"),"",VLOOKUP($B799,'Email Marketing Raw Data'!$C:$O,7,0)),"")</f>
        <v/>
      </c>
      <c r="P799" s="55" t="str">
        <f>IFERROR(IF(OR($B799="",$B799="(blank)"),"",VLOOKUP($B799,'Email Marketing Raw Data'!$C:$O,8,0)),"")</f>
        <v/>
      </c>
      <c r="Q799" s="62" t="str">
        <f>IFERROR(IF(OR($B799="",$B799="(blank)"),"",VLOOKUP($B799,'Email Marketing Raw Data'!$C:$O,9,0)),"")</f>
        <v/>
      </c>
    </row>
    <row r="800" spans="4:17" ht="12.75" customHeight="1" x14ac:dyDescent="0.2">
      <c r="D800" s="58" t="str">
        <f>IFERROR(IF(F800&lt;&gt;"pending","",IF(OR($B800="",$B800="(blank)"),"",VLOOKUP($B800,'Email Marketing Raw Data'!$C:$O,10,0))),"")</f>
        <v/>
      </c>
      <c r="E800" s="59" t="str">
        <f>IFERROR(IF(F800&lt;&gt;"pending","",IF(OR($B800="",$B800="(blank)"),"",VLOOKUP($B800,'Email Marketing Raw Data'!$C:$O,11,0))),"")</f>
        <v/>
      </c>
      <c r="F800" s="54" t="str">
        <f>IFERROR(IF(OR($B800="",$B800="(blank)"),"",VLOOKUP($B800,'Email Marketing Raw Data'!$C:$O,13,0)),"")</f>
        <v/>
      </c>
      <c r="G800" s="55" t="str">
        <f>IFERROR(IF(OR($B800="",$B800="(blank)"),"",VLOOKUP($B800,'Email Marketing Raw Data'!$C:$O,4,0)),"")</f>
        <v/>
      </c>
      <c r="H800" s="55" t="str">
        <f>IFERROR(IF(OR($B800="",$B800="(blank)"),"",VLOOKUP($B800,'Email Marketing Raw Data'!$C:$O,5,0)),"")</f>
        <v/>
      </c>
      <c r="I800" s="55" t="str">
        <f>IFERROR(IF($G800="","",VLOOKUP('Dashboard And Emails Automate'!$G800,Database!$H:$N,3,0)),"")</f>
        <v/>
      </c>
      <c r="J800" s="55" t="str">
        <f>IFERROR(IF($G800="","",VLOOKUP('Dashboard And Emails Automate'!$G800,Database!$H:$N,4,0)),"")</f>
        <v/>
      </c>
      <c r="K800" s="55" t="str">
        <f>IFERROR(IF($G800="","",VLOOKUP('Dashboard And Emails Automate'!$G800,Database!$H:$N,5,0)),"")</f>
        <v/>
      </c>
      <c r="L800" s="55" t="str">
        <f>IFERROR(IF($G800="","",VLOOKUP('Dashboard And Emails Automate'!$G800,Database!$H:$N,6,0)),"")</f>
        <v/>
      </c>
      <c r="M800" s="55" t="str">
        <f>IFERROR(IF($G800="","",VLOOKUP('Dashboard And Emails Automate'!$G800,Database!$H:$N,7,0)),"")</f>
        <v/>
      </c>
      <c r="N800" s="55" t="str">
        <f>IFERROR(IF(OR($B800="",$B800="(blank)"),"",VLOOKUP($B800,'Email Marketing Raw Data'!$C:$O,6,0)),"")</f>
        <v/>
      </c>
      <c r="O800" s="55" t="str">
        <f>IFERROR(IF(OR($B800="",$B800="(blank)"),"",VLOOKUP($B800,'Email Marketing Raw Data'!$C:$O,7,0)),"")</f>
        <v/>
      </c>
      <c r="P800" s="55" t="str">
        <f>IFERROR(IF(OR($B800="",$B800="(blank)"),"",VLOOKUP($B800,'Email Marketing Raw Data'!$C:$O,8,0)),"")</f>
        <v/>
      </c>
      <c r="Q800" s="62" t="str">
        <f>IFERROR(IF(OR($B800="",$B800="(blank)"),"",VLOOKUP($B800,'Email Marketing Raw Data'!$C:$O,9,0)),"")</f>
        <v/>
      </c>
    </row>
    <row r="801" spans="4:17" ht="12.75" customHeight="1" x14ac:dyDescent="0.2">
      <c r="D801" s="58" t="str">
        <f>IFERROR(IF(F801&lt;&gt;"pending","",IF(OR($B801="",$B801="(blank)"),"",VLOOKUP($B801,'Email Marketing Raw Data'!$C:$O,10,0))),"")</f>
        <v/>
      </c>
      <c r="E801" s="59" t="str">
        <f>IFERROR(IF(F801&lt;&gt;"pending","",IF(OR($B801="",$B801="(blank)"),"",VLOOKUP($B801,'Email Marketing Raw Data'!$C:$O,11,0))),"")</f>
        <v/>
      </c>
      <c r="F801" s="54" t="str">
        <f>IFERROR(IF(OR($B801="",$B801="(blank)"),"",VLOOKUP($B801,'Email Marketing Raw Data'!$C:$O,13,0)),"")</f>
        <v/>
      </c>
      <c r="G801" s="55" t="str">
        <f>IFERROR(IF(OR($B801="",$B801="(blank)"),"",VLOOKUP($B801,'Email Marketing Raw Data'!$C:$O,4,0)),"")</f>
        <v/>
      </c>
      <c r="H801" s="55" t="str">
        <f>IFERROR(IF(OR($B801="",$B801="(blank)"),"",VLOOKUP($B801,'Email Marketing Raw Data'!$C:$O,5,0)),"")</f>
        <v/>
      </c>
      <c r="I801" s="55" t="str">
        <f>IFERROR(IF($G801="","",VLOOKUP('Dashboard And Emails Automate'!$G801,Database!$H:$N,3,0)),"")</f>
        <v/>
      </c>
      <c r="J801" s="55" t="str">
        <f>IFERROR(IF($G801="","",VLOOKUP('Dashboard And Emails Automate'!$G801,Database!$H:$N,4,0)),"")</f>
        <v/>
      </c>
      <c r="K801" s="55" t="str">
        <f>IFERROR(IF($G801="","",VLOOKUP('Dashboard And Emails Automate'!$G801,Database!$H:$N,5,0)),"")</f>
        <v/>
      </c>
      <c r="L801" s="55" t="str">
        <f>IFERROR(IF($G801="","",VLOOKUP('Dashboard And Emails Automate'!$G801,Database!$H:$N,6,0)),"")</f>
        <v/>
      </c>
      <c r="M801" s="55" t="str">
        <f>IFERROR(IF($G801="","",VLOOKUP('Dashboard And Emails Automate'!$G801,Database!$H:$N,7,0)),"")</f>
        <v/>
      </c>
      <c r="N801" s="55" t="str">
        <f>IFERROR(IF(OR($B801="",$B801="(blank)"),"",VLOOKUP($B801,'Email Marketing Raw Data'!$C:$O,6,0)),"")</f>
        <v/>
      </c>
      <c r="O801" s="55" t="str">
        <f>IFERROR(IF(OR($B801="",$B801="(blank)"),"",VLOOKUP($B801,'Email Marketing Raw Data'!$C:$O,7,0)),"")</f>
        <v/>
      </c>
      <c r="P801" s="55" t="str">
        <f>IFERROR(IF(OR($B801="",$B801="(blank)"),"",VLOOKUP($B801,'Email Marketing Raw Data'!$C:$O,8,0)),"")</f>
        <v/>
      </c>
      <c r="Q801" s="62" t="str">
        <f>IFERROR(IF(OR($B801="",$B801="(blank)"),"",VLOOKUP($B801,'Email Marketing Raw Data'!$C:$O,9,0)),"")</f>
        <v/>
      </c>
    </row>
    <row r="802" spans="4:17" ht="12.75" customHeight="1" x14ac:dyDescent="0.2">
      <c r="D802" s="58" t="str">
        <f>IFERROR(IF(F802&lt;&gt;"pending","",IF(OR($B802="",$B802="(blank)"),"",VLOOKUP($B802,'Email Marketing Raw Data'!$C:$O,10,0))),"")</f>
        <v/>
      </c>
      <c r="E802" s="59" t="str">
        <f>IFERROR(IF(F802&lt;&gt;"pending","",IF(OR($B802="",$B802="(blank)"),"",VLOOKUP($B802,'Email Marketing Raw Data'!$C:$O,11,0))),"")</f>
        <v/>
      </c>
      <c r="F802" s="54" t="str">
        <f>IFERROR(IF(OR($B802="",$B802="(blank)"),"",VLOOKUP($B802,'Email Marketing Raw Data'!$C:$O,13,0)),"")</f>
        <v/>
      </c>
      <c r="G802" s="55" t="str">
        <f>IFERROR(IF(OR($B802="",$B802="(blank)"),"",VLOOKUP($B802,'Email Marketing Raw Data'!$C:$O,4,0)),"")</f>
        <v/>
      </c>
      <c r="H802" s="55" t="str">
        <f>IFERROR(IF(OR($B802="",$B802="(blank)"),"",VLOOKUP($B802,'Email Marketing Raw Data'!$C:$O,5,0)),"")</f>
        <v/>
      </c>
      <c r="I802" s="55" t="str">
        <f>IFERROR(IF($G802="","",VLOOKUP('Dashboard And Emails Automate'!$G802,Database!$H:$N,3,0)),"")</f>
        <v/>
      </c>
      <c r="J802" s="55" t="str">
        <f>IFERROR(IF($G802="","",VLOOKUP('Dashboard And Emails Automate'!$G802,Database!$H:$N,4,0)),"")</f>
        <v/>
      </c>
      <c r="K802" s="55" t="str">
        <f>IFERROR(IF($G802="","",VLOOKUP('Dashboard And Emails Automate'!$G802,Database!$H:$N,5,0)),"")</f>
        <v/>
      </c>
      <c r="L802" s="55" t="str">
        <f>IFERROR(IF($G802="","",VLOOKUP('Dashboard And Emails Automate'!$G802,Database!$H:$N,6,0)),"")</f>
        <v/>
      </c>
      <c r="M802" s="55" t="str">
        <f>IFERROR(IF($G802="","",VLOOKUP('Dashboard And Emails Automate'!$G802,Database!$H:$N,7,0)),"")</f>
        <v/>
      </c>
      <c r="N802" s="55" t="str">
        <f>IFERROR(IF(OR($B802="",$B802="(blank)"),"",VLOOKUP($B802,'Email Marketing Raw Data'!$C:$O,6,0)),"")</f>
        <v/>
      </c>
      <c r="O802" s="55" t="str">
        <f>IFERROR(IF(OR($B802="",$B802="(blank)"),"",VLOOKUP($B802,'Email Marketing Raw Data'!$C:$O,7,0)),"")</f>
        <v/>
      </c>
      <c r="P802" s="55" t="str">
        <f>IFERROR(IF(OR($B802="",$B802="(blank)"),"",VLOOKUP($B802,'Email Marketing Raw Data'!$C:$O,8,0)),"")</f>
        <v/>
      </c>
      <c r="Q802" s="62" t="str">
        <f>IFERROR(IF(OR($B802="",$B802="(blank)"),"",VLOOKUP($B802,'Email Marketing Raw Data'!$C:$O,9,0)),"")</f>
        <v/>
      </c>
    </row>
    <row r="803" spans="4:17" ht="12.75" customHeight="1" x14ac:dyDescent="0.2">
      <c r="D803" s="58" t="str">
        <f>IFERROR(IF(F803&lt;&gt;"pending","",IF(OR($B803="",$B803="(blank)"),"",VLOOKUP($B803,'Email Marketing Raw Data'!$C:$O,10,0))),"")</f>
        <v/>
      </c>
      <c r="E803" s="59" t="str">
        <f>IFERROR(IF(F803&lt;&gt;"pending","",IF(OR($B803="",$B803="(blank)"),"",VLOOKUP($B803,'Email Marketing Raw Data'!$C:$O,11,0))),"")</f>
        <v/>
      </c>
      <c r="F803" s="54" t="str">
        <f>IFERROR(IF(OR($B803="",$B803="(blank)"),"",VLOOKUP($B803,'Email Marketing Raw Data'!$C:$O,13,0)),"")</f>
        <v/>
      </c>
      <c r="G803" s="55" t="str">
        <f>IFERROR(IF(OR($B803="",$B803="(blank)"),"",VLOOKUP($B803,'Email Marketing Raw Data'!$C:$O,4,0)),"")</f>
        <v/>
      </c>
      <c r="H803" s="55" t="str">
        <f>IFERROR(IF(OR($B803="",$B803="(blank)"),"",VLOOKUP($B803,'Email Marketing Raw Data'!$C:$O,5,0)),"")</f>
        <v/>
      </c>
      <c r="I803" s="55" t="str">
        <f>IFERROR(IF($G803="","",VLOOKUP('Dashboard And Emails Automate'!$G803,Database!$H:$N,3,0)),"")</f>
        <v/>
      </c>
      <c r="J803" s="55" t="str">
        <f>IFERROR(IF($G803="","",VLOOKUP('Dashboard And Emails Automate'!$G803,Database!$H:$N,4,0)),"")</f>
        <v/>
      </c>
      <c r="K803" s="55" t="str">
        <f>IFERROR(IF($G803="","",VLOOKUP('Dashboard And Emails Automate'!$G803,Database!$H:$N,5,0)),"")</f>
        <v/>
      </c>
      <c r="L803" s="55" t="str">
        <f>IFERROR(IF($G803="","",VLOOKUP('Dashboard And Emails Automate'!$G803,Database!$H:$N,6,0)),"")</f>
        <v/>
      </c>
      <c r="M803" s="55" t="str">
        <f>IFERROR(IF($G803="","",VLOOKUP('Dashboard And Emails Automate'!$G803,Database!$H:$N,7,0)),"")</f>
        <v/>
      </c>
      <c r="N803" s="55" t="str">
        <f>IFERROR(IF(OR($B803="",$B803="(blank)"),"",VLOOKUP($B803,'Email Marketing Raw Data'!$C:$O,6,0)),"")</f>
        <v/>
      </c>
      <c r="O803" s="55" t="str">
        <f>IFERROR(IF(OR($B803="",$B803="(blank)"),"",VLOOKUP($B803,'Email Marketing Raw Data'!$C:$O,7,0)),"")</f>
        <v/>
      </c>
      <c r="P803" s="55" t="str">
        <f>IFERROR(IF(OR($B803="",$B803="(blank)"),"",VLOOKUP($B803,'Email Marketing Raw Data'!$C:$O,8,0)),"")</f>
        <v/>
      </c>
      <c r="Q803" s="62" t="str">
        <f>IFERROR(IF(OR($B803="",$B803="(blank)"),"",VLOOKUP($B803,'Email Marketing Raw Data'!$C:$O,9,0)),"")</f>
        <v/>
      </c>
    </row>
    <row r="804" spans="4:17" ht="12.75" customHeight="1" x14ac:dyDescent="0.2">
      <c r="D804" s="58" t="str">
        <f>IFERROR(IF(F804&lt;&gt;"pending","",IF(OR($B804="",$B804="(blank)"),"",VLOOKUP($B804,'Email Marketing Raw Data'!$C:$O,10,0))),"")</f>
        <v/>
      </c>
      <c r="E804" s="59" t="str">
        <f>IFERROR(IF(F804&lt;&gt;"pending","",IF(OR($B804="",$B804="(blank)"),"",VLOOKUP($B804,'Email Marketing Raw Data'!$C:$O,11,0))),"")</f>
        <v/>
      </c>
      <c r="F804" s="54" t="str">
        <f>IFERROR(IF(OR($B804="",$B804="(blank)"),"",VLOOKUP($B804,'Email Marketing Raw Data'!$C:$O,13,0)),"")</f>
        <v/>
      </c>
      <c r="G804" s="55" t="str">
        <f>IFERROR(IF(OR($B804="",$B804="(blank)"),"",VLOOKUP($B804,'Email Marketing Raw Data'!$C:$O,4,0)),"")</f>
        <v/>
      </c>
      <c r="H804" s="55" t="str">
        <f>IFERROR(IF(OR($B804="",$B804="(blank)"),"",VLOOKUP($B804,'Email Marketing Raw Data'!$C:$O,5,0)),"")</f>
        <v/>
      </c>
      <c r="I804" s="55" t="str">
        <f>IFERROR(IF($G804="","",VLOOKUP('Dashboard And Emails Automate'!$G804,Database!$H:$N,3,0)),"")</f>
        <v/>
      </c>
      <c r="J804" s="55" t="str">
        <f>IFERROR(IF($G804="","",VLOOKUP('Dashboard And Emails Automate'!$G804,Database!$H:$N,4,0)),"")</f>
        <v/>
      </c>
      <c r="K804" s="55" t="str">
        <f>IFERROR(IF($G804="","",VLOOKUP('Dashboard And Emails Automate'!$G804,Database!$H:$N,5,0)),"")</f>
        <v/>
      </c>
      <c r="L804" s="55" t="str">
        <f>IFERROR(IF($G804="","",VLOOKUP('Dashboard And Emails Automate'!$G804,Database!$H:$N,6,0)),"")</f>
        <v/>
      </c>
      <c r="M804" s="55" t="str">
        <f>IFERROR(IF($G804="","",VLOOKUP('Dashboard And Emails Automate'!$G804,Database!$H:$N,7,0)),"")</f>
        <v/>
      </c>
      <c r="N804" s="55" t="str">
        <f>IFERROR(IF(OR($B804="",$B804="(blank)"),"",VLOOKUP($B804,'Email Marketing Raw Data'!$C:$O,6,0)),"")</f>
        <v/>
      </c>
      <c r="O804" s="55" t="str">
        <f>IFERROR(IF(OR($B804="",$B804="(blank)"),"",VLOOKUP($B804,'Email Marketing Raw Data'!$C:$O,7,0)),"")</f>
        <v/>
      </c>
      <c r="P804" s="55" t="str">
        <f>IFERROR(IF(OR($B804="",$B804="(blank)"),"",VLOOKUP($B804,'Email Marketing Raw Data'!$C:$O,8,0)),"")</f>
        <v/>
      </c>
      <c r="Q804" s="62" t="str">
        <f>IFERROR(IF(OR($B804="",$B804="(blank)"),"",VLOOKUP($B804,'Email Marketing Raw Data'!$C:$O,9,0)),"")</f>
        <v/>
      </c>
    </row>
    <row r="805" spans="4:17" ht="12.75" customHeight="1" x14ac:dyDescent="0.2">
      <c r="D805" s="58" t="str">
        <f>IFERROR(IF(F805&lt;&gt;"pending","",IF(OR($B805="",$B805="(blank)"),"",VLOOKUP($B805,'Email Marketing Raw Data'!$C:$O,10,0))),"")</f>
        <v/>
      </c>
      <c r="E805" s="59" t="str">
        <f>IFERROR(IF(F805&lt;&gt;"pending","",IF(OR($B805="",$B805="(blank)"),"",VLOOKUP($B805,'Email Marketing Raw Data'!$C:$O,11,0))),"")</f>
        <v/>
      </c>
      <c r="F805" s="54" t="str">
        <f>IFERROR(IF(OR($B805="",$B805="(blank)"),"",VLOOKUP($B805,'Email Marketing Raw Data'!$C:$O,13,0)),"")</f>
        <v/>
      </c>
      <c r="G805" s="55" t="str">
        <f>IFERROR(IF(OR($B805="",$B805="(blank)"),"",VLOOKUP($B805,'Email Marketing Raw Data'!$C:$O,4,0)),"")</f>
        <v/>
      </c>
      <c r="H805" s="55" t="str">
        <f>IFERROR(IF(OR($B805="",$B805="(blank)"),"",VLOOKUP($B805,'Email Marketing Raw Data'!$C:$O,5,0)),"")</f>
        <v/>
      </c>
      <c r="I805" s="55" t="str">
        <f>IFERROR(IF($G805="","",VLOOKUP('Dashboard And Emails Automate'!$G805,Database!$H:$N,3,0)),"")</f>
        <v/>
      </c>
      <c r="J805" s="55" t="str">
        <f>IFERROR(IF($G805="","",VLOOKUP('Dashboard And Emails Automate'!$G805,Database!$H:$N,4,0)),"")</f>
        <v/>
      </c>
      <c r="K805" s="55" t="str">
        <f>IFERROR(IF($G805="","",VLOOKUP('Dashboard And Emails Automate'!$G805,Database!$H:$N,5,0)),"")</f>
        <v/>
      </c>
      <c r="L805" s="55" t="str">
        <f>IFERROR(IF($G805="","",VLOOKUP('Dashboard And Emails Automate'!$G805,Database!$H:$N,6,0)),"")</f>
        <v/>
      </c>
      <c r="M805" s="55" t="str">
        <f>IFERROR(IF($G805="","",VLOOKUP('Dashboard And Emails Automate'!$G805,Database!$H:$N,7,0)),"")</f>
        <v/>
      </c>
      <c r="N805" s="55" t="str">
        <f>IFERROR(IF(OR($B805="",$B805="(blank)"),"",VLOOKUP($B805,'Email Marketing Raw Data'!$C:$O,6,0)),"")</f>
        <v/>
      </c>
      <c r="O805" s="55" t="str">
        <f>IFERROR(IF(OR($B805="",$B805="(blank)"),"",VLOOKUP($B805,'Email Marketing Raw Data'!$C:$O,7,0)),"")</f>
        <v/>
      </c>
      <c r="P805" s="55" t="str">
        <f>IFERROR(IF(OR($B805="",$B805="(blank)"),"",VLOOKUP($B805,'Email Marketing Raw Data'!$C:$O,8,0)),"")</f>
        <v/>
      </c>
      <c r="Q805" s="62" t="str">
        <f>IFERROR(IF(OR($B805="",$B805="(blank)"),"",VLOOKUP($B805,'Email Marketing Raw Data'!$C:$O,9,0)),"")</f>
        <v/>
      </c>
    </row>
    <row r="806" spans="4:17" ht="12.75" customHeight="1" x14ac:dyDescent="0.2">
      <c r="D806" s="58" t="str">
        <f>IFERROR(IF(F806&lt;&gt;"pending","",IF(OR($B806="",$B806="(blank)"),"",VLOOKUP($B806,'Email Marketing Raw Data'!$C:$O,10,0))),"")</f>
        <v/>
      </c>
      <c r="E806" s="59" t="str">
        <f>IFERROR(IF(F806&lt;&gt;"pending","",IF(OR($B806="",$B806="(blank)"),"",VLOOKUP($B806,'Email Marketing Raw Data'!$C:$O,11,0))),"")</f>
        <v/>
      </c>
      <c r="F806" s="54" t="str">
        <f>IFERROR(IF(OR($B806="",$B806="(blank)"),"",VLOOKUP($B806,'Email Marketing Raw Data'!$C:$O,13,0)),"")</f>
        <v/>
      </c>
      <c r="G806" s="55" t="str">
        <f>IFERROR(IF(OR($B806="",$B806="(blank)"),"",VLOOKUP($B806,'Email Marketing Raw Data'!$C:$O,4,0)),"")</f>
        <v/>
      </c>
      <c r="H806" s="55" t="str">
        <f>IFERROR(IF(OR($B806="",$B806="(blank)"),"",VLOOKUP($B806,'Email Marketing Raw Data'!$C:$O,5,0)),"")</f>
        <v/>
      </c>
      <c r="I806" s="55" t="str">
        <f>IFERROR(IF($G806="","",VLOOKUP('Dashboard And Emails Automate'!$G806,Database!$H:$N,3,0)),"")</f>
        <v/>
      </c>
      <c r="J806" s="55" t="str">
        <f>IFERROR(IF($G806="","",VLOOKUP('Dashboard And Emails Automate'!$G806,Database!$H:$N,4,0)),"")</f>
        <v/>
      </c>
      <c r="K806" s="55" t="str">
        <f>IFERROR(IF($G806="","",VLOOKUP('Dashboard And Emails Automate'!$G806,Database!$H:$N,5,0)),"")</f>
        <v/>
      </c>
      <c r="L806" s="55" t="str">
        <f>IFERROR(IF($G806="","",VLOOKUP('Dashboard And Emails Automate'!$G806,Database!$H:$N,6,0)),"")</f>
        <v/>
      </c>
      <c r="M806" s="55" t="str">
        <f>IFERROR(IF($G806="","",VLOOKUP('Dashboard And Emails Automate'!$G806,Database!$H:$N,7,0)),"")</f>
        <v/>
      </c>
      <c r="N806" s="55" t="str">
        <f>IFERROR(IF(OR($B806="",$B806="(blank)"),"",VLOOKUP($B806,'Email Marketing Raw Data'!$C:$O,6,0)),"")</f>
        <v/>
      </c>
      <c r="O806" s="55" t="str">
        <f>IFERROR(IF(OR($B806="",$B806="(blank)"),"",VLOOKUP($B806,'Email Marketing Raw Data'!$C:$O,7,0)),"")</f>
        <v/>
      </c>
      <c r="P806" s="55" t="str">
        <f>IFERROR(IF(OR($B806="",$B806="(blank)"),"",VLOOKUP($B806,'Email Marketing Raw Data'!$C:$O,8,0)),"")</f>
        <v/>
      </c>
      <c r="Q806" s="62" t="str">
        <f>IFERROR(IF(OR($B806="",$B806="(blank)"),"",VLOOKUP($B806,'Email Marketing Raw Data'!$C:$O,9,0)),"")</f>
        <v/>
      </c>
    </row>
    <row r="807" spans="4:17" ht="12.75" customHeight="1" x14ac:dyDescent="0.2">
      <c r="D807" s="58" t="str">
        <f>IFERROR(IF(F807&lt;&gt;"pending","",IF(OR($B807="",$B807="(blank)"),"",VLOOKUP($B807,'Email Marketing Raw Data'!$C:$O,10,0))),"")</f>
        <v/>
      </c>
      <c r="E807" s="59" t="str">
        <f>IFERROR(IF(F807&lt;&gt;"pending","",IF(OR($B807="",$B807="(blank)"),"",VLOOKUP($B807,'Email Marketing Raw Data'!$C:$O,11,0))),"")</f>
        <v/>
      </c>
      <c r="F807" s="54" t="str">
        <f>IFERROR(IF(OR($B807="",$B807="(blank)"),"",VLOOKUP($B807,'Email Marketing Raw Data'!$C:$O,13,0)),"")</f>
        <v/>
      </c>
      <c r="G807" s="55" t="str">
        <f>IFERROR(IF(OR($B807="",$B807="(blank)"),"",VLOOKUP($B807,'Email Marketing Raw Data'!$C:$O,4,0)),"")</f>
        <v/>
      </c>
      <c r="H807" s="55" t="str">
        <f>IFERROR(IF(OR($B807="",$B807="(blank)"),"",VLOOKUP($B807,'Email Marketing Raw Data'!$C:$O,5,0)),"")</f>
        <v/>
      </c>
      <c r="I807" s="55" t="str">
        <f>IFERROR(IF($G807="","",VLOOKUP('Dashboard And Emails Automate'!$G807,Database!$H:$N,3,0)),"")</f>
        <v/>
      </c>
      <c r="J807" s="55" t="str">
        <f>IFERROR(IF($G807="","",VLOOKUP('Dashboard And Emails Automate'!$G807,Database!$H:$N,4,0)),"")</f>
        <v/>
      </c>
      <c r="K807" s="55" t="str">
        <f>IFERROR(IF($G807="","",VLOOKUP('Dashboard And Emails Automate'!$G807,Database!$H:$N,5,0)),"")</f>
        <v/>
      </c>
      <c r="L807" s="55" t="str">
        <f>IFERROR(IF($G807="","",VLOOKUP('Dashboard And Emails Automate'!$G807,Database!$H:$N,6,0)),"")</f>
        <v/>
      </c>
      <c r="M807" s="55" t="str">
        <f>IFERROR(IF($G807="","",VLOOKUP('Dashboard And Emails Automate'!$G807,Database!$H:$N,7,0)),"")</f>
        <v/>
      </c>
      <c r="N807" s="55" t="str">
        <f>IFERROR(IF(OR($B807="",$B807="(blank)"),"",VLOOKUP($B807,'Email Marketing Raw Data'!$C:$O,6,0)),"")</f>
        <v/>
      </c>
      <c r="O807" s="55" t="str">
        <f>IFERROR(IF(OR($B807="",$B807="(blank)"),"",VLOOKUP($B807,'Email Marketing Raw Data'!$C:$O,7,0)),"")</f>
        <v/>
      </c>
      <c r="P807" s="55" t="str">
        <f>IFERROR(IF(OR($B807="",$B807="(blank)"),"",VLOOKUP($B807,'Email Marketing Raw Data'!$C:$O,8,0)),"")</f>
        <v/>
      </c>
      <c r="Q807" s="62" t="str">
        <f>IFERROR(IF(OR($B807="",$B807="(blank)"),"",VLOOKUP($B807,'Email Marketing Raw Data'!$C:$O,9,0)),"")</f>
        <v/>
      </c>
    </row>
    <row r="808" spans="4:17" ht="12.75" customHeight="1" x14ac:dyDescent="0.2">
      <c r="D808" s="58" t="str">
        <f>IFERROR(IF(F808&lt;&gt;"pending","",IF(OR($B808="",$B808="(blank)"),"",VLOOKUP($B808,'Email Marketing Raw Data'!$C:$O,10,0))),"")</f>
        <v/>
      </c>
      <c r="E808" s="59" t="str">
        <f>IFERROR(IF(F808&lt;&gt;"pending","",IF(OR($B808="",$B808="(blank)"),"",VLOOKUP($B808,'Email Marketing Raw Data'!$C:$O,11,0))),"")</f>
        <v/>
      </c>
      <c r="F808" s="54" t="str">
        <f>IFERROR(IF(OR($B808="",$B808="(blank)"),"",VLOOKUP($B808,'Email Marketing Raw Data'!$C:$O,13,0)),"")</f>
        <v/>
      </c>
      <c r="G808" s="55" t="str">
        <f>IFERROR(IF(OR($B808="",$B808="(blank)"),"",VLOOKUP($B808,'Email Marketing Raw Data'!$C:$O,4,0)),"")</f>
        <v/>
      </c>
      <c r="H808" s="55" t="str">
        <f>IFERROR(IF(OR($B808="",$B808="(blank)"),"",VLOOKUP($B808,'Email Marketing Raw Data'!$C:$O,5,0)),"")</f>
        <v/>
      </c>
      <c r="I808" s="55" t="str">
        <f>IFERROR(IF($G808="","",VLOOKUP('Dashboard And Emails Automate'!$G808,Database!$H:$N,3,0)),"")</f>
        <v/>
      </c>
      <c r="J808" s="55" t="str">
        <f>IFERROR(IF($G808="","",VLOOKUP('Dashboard And Emails Automate'!$G808,Database!$H:$N,4,0)),"")</f>
        <v/>
      </c>
      <c r="K808" s="55" t="str">
        <f>IFERROR(IF($G808="","",VLOOKUP('Dashboard And Emails Automate'!$G808,Database!$H:$N,5,0)),"")</f>
        <v/>
      </c>
      <c r="L808" s="55" t="str">
        <f>IFERROR(IF($G808="","",VLOOKUP('Dashboard And Emails Automate'!$G808,Database!$H:$N,6,0)),"")</f>
        <v/>
      </c>
      <c r="M808" s="55" t="str">
        <f>IFERROR(IF($G808="","",VLOOKUP('Dashboard And Emails Automate'!$G808,Database!$H:$N,7,0)),"")</f>
        <v/>
      </c>
      <c r="N808" s="55" t="str">
        <f>IFERROR(IF(OR($B808="",$B808="(blank)"),"",VLOOKUP($B808,'Email Marketing Raw Data'!$C:$O,6,0)),"")</f>
        <v/>
      </c>
      <c r="O808" s="55" t="str">
        <f>IFERROR(IF(OR($B808="",$B808="(blank)"),"",VLOOKUP($B808,'Email Marketing Raw Data'!$C:$O,7,0)),"")</f>
        <v/>
      </c>
      <c r="P808" s="55" t="str">
        <f>IFERROR(IF(OR($B808="",$B808="(blank)"),"",VLOOKUP($B808,'Email Marketing Raw Data'!$C:$O,8,0)),"")</f>
        <v/>
      </c>
      <c r="Q808" s="62" t="str">
        <f>IFERROR(IF(OR($B808="",$B808="(blank)"),"",VLOOKUP($B808,'Email Marketing Raw Data'!$C:$O,9,0)),"")</f>
        <v/>
      </c>
    </row>
    <row r="809" spans="4:17" ht="12.75" customHeight="1" x14ac:dyDescent="0.2">
      <c r="D809" s="58" t="str">
        <f>IFERROR(IF(F809&lt;&gt;"pending","",IF(OR($B809="",$B809="(blank)"),"",VLOOKUP($B809,'Email Marketing Raw Data'!$C:$O,10,0))),"")</f>
        <v/>
      </c>
      <c r="E809" s="59" t="str">
        <f>IFERROR(IF(F809&lt;&gt;"pending","",IF(OR($B809="",$B809="(blank)"),"",VLOOKUP($B809,'Email Marketing Raw Data'!$C:$O,11,0))),"")</f>
        <v/>
      </c>
      <c r="F809" s="54" t="str">
        <f>IFERROR(IF(OR($B809="",$B809="(blank)"),"",VLOOKUP($B809,'Email Marketing Raw Data'!$C:$O,13,0)),"")</f>
        <v/>
      </c>
      <c r="G809" s="55" t="str">
        <f>IFERROR(IF(OR($B809="",$B809="(blank)"),"",VLOOKUP($B809,'Email Marketing Raw Data'!$C:$O,4,0)),"")</f>
        <v/>
      </c>
      <c r="H809" s="55" t="str">
        <f>IFERROR(IF(OR($B809="",$B809="(blank)"),"",VLOOKUP($B809,'Email Marketing Raw Data'!$C:$O,5,0)),"")</f>
        <v/>
      </c>
      <c r="I809" s="55" t="str">
        <f>IFERROR(IF($G809="","",VLOOKUP('Dashboard And Emails Automate'!$G809,Database!$H:$N,3,0)),"")</f>
        <v/>
      </c>
      <c r="J809" s="55" t="str">
        <f>IFERROR(IF($G809="","",VLOOKUP('Dashboard And Emails Automate'!$G809,Database!$H:$N,4,0)),"")</f>
        <v/>
      </c>
      <c r="K809" s="55" t="str">
        <f>IFERROR(IF($G809="","",VLOOKUP('Dashboard And Emails Automate'!$G809,Database!$H:$N,5,0)),"")</f>
        <v/>
      </c>
      <c r="L809" s="55" t="str">
        <f>IFERROR(IF($G809="","",VLOOKUP('Dashboard And Emails Automate'!$G809,Database!$H:$N,6,0)),"")</f>
        <v/>
      </c>
      <c r="M809" s="55" t="str">
        <f>IFERROR(IF($G809="","",VLOOKUP('Dashboard And Emails Automate'!$G809,Database!$H:$N,7,0)),"")</f>
        <v/>
      </c>
      <c r="N809" s="55" t="str">
        <f>IFERROR(IF(OR($B809="",$B809="(blank)"),"",VLOOKUP($B809,'Email Marketing Raw Data'!$C:$O,6,0)),"")</f>
        <v/>
      </c>
      <c r="O809" s="55" t="str">
        <f>IFERROR(IF(OR($B809="",$B809="(blank)"),"",VLOOKUP($B809,'Email Marketing Raw Data'!$C:$O,7,0)),"")</f>
        <v/>
      </c>
      <c r="P809" s="55" t="str">
        <f>IFERROR(IF(OR($B809="",$B809="(blank)"),"",VLOOKUP($B809,'Email Marketing Raw Data'!$C:$O,8,0)),"")</f>
        <v/>
      </c>
      <c r="Q809" s="62" t="str">
        <f>IFERROR(IF(OR($B809="",$B809="(blank)"),"",VLOOKUP($B809,'Email Marketing Raw Data'!$C:$O,9,0)),"")</f>
        <v/>
      </c>
    </row>
    <row r="810" spans="4:17" ht="12.75" customHeight="1" x14ac:dyDescent="0.2">
      <c r="D810" s="58" t="str">
        <f>IFERROR(IF(F810&lt;&gt;"pending","",IF(OR($B810="",$B810="(blank)"),"",VLOOKUP($B810,'Email Marketing Raw Data'!$C:$O,10,0))),"")</f>
        <v/>
      </c>
      <c r="E810" s="59" t="str">
        <f>IFERROR(IF(F810&lt;&gt;"pending","",IF(OR($B810="",$B810="(blank)"),"",VLOOKUP($B810,'Email Marketing Raw Data'!$C:$O,11,0))),"")</f>
        <v/>
      </c>
      <c r="F810" s="54" t="str">
        <f>IFERROR(IF(OR($B810="",$B810="(blank)"),"",VLOOKUP($B810,'Email Marketing Raw Data'!$C:$O,13,0)),"")</f>
        <v/>
      </c>
      <c r="G810" s="55" t="str">
        <f>IFERROR(IF(OR($B810="",$B810="(blank)"),"",VLOOKUP($B810,'Email Marketing Raw Data'!$C:$O,4,0)),"")</f>
        <v/>
      </c>
      <c r="H810" s="55" t="str">
        <f>IFERROR(IF(OR($B810="",$B810="(blank)"),"",VLOOKUP($B810,'Email Marketing Raw Data'!$C:$O,5,0)),"")</f>
        <v/>
      </c>
      <c r="I810" s="55" t="str">
        <f>IFERROR(IF($G810="","",VLOOKUP('Dashboard And Emails Automate'!$G810,Database!$H:$N,3,0)),"")</f>
        <v/>
      </c>
      <c r="J810" s="55" t="str">
        <f>IFERROR(IF($G810="","",VLOOKUP('Dashboard And Emails Automate'!$G810,Database!$H:$N,4,0)),"")</f>
        <v/>
      </c>
      <c r="K810" s="55" t="str">
        <f>IFERROR(IF($G810="","",VLOOKUP('Dashboard And Emails Automate'!$G810,Database!$H:$N,5,0)),"")</f>
        <v/>
      </c>
      <c r="L810" s="55" t="str">
        <f>IFERROR(IF($G810="","",VLOOKUP('Dashboard And Emails Automate'!$G810,Database!$H:$N,6,0)),"")</f>
        <v/>
      </c>
      <c r="M810" s="55" t="str">
        <f>IFERROR(IF($G810="","",VLOOKUP('Dashboard And Emails Automate'!$G810,Database!$H:$N,7,0)),"")</f>
        <v/>
      </c>
      <c r="N810" s="55" t="str">
        <f>IFERROR(IF(OR($B810="",$B810="(blank)"),"",VLOOKUP($B810,'Email Marketing Raw Data'!$C:$O,6,0)),"")</f>
        <v/>
      </c>
      <c r="O810" s="55" t="str">
        <f>IFERROR(IF(OR($B810="",$B810="(blank)"),"",VLOOKUP($B810,'Email Marketing Raw Data'!$C:$O,7,0)),"")</f>
        <v/>
      </c>
      <c r="P810" s="55" t="str">
        <f>IFERROR(IF(OR($B810="",$B810="(blank)"),"",VLOOKUP($B810,'Email Marketing Raw Data'!$C:$O,8,0)),"")</f>
        <v/>
      </c>
      <c r="Q810" s="62" t="str">
        <f>IFERROR(IF(OR($B810="",$B810="(blank)"),"",VLOOKUP($B810,'Email Marketing Raw Data'!$C:$O,9,0)),"")</f>
        <v/>
      </c>
    </row>
    <row r="811" spans="4:17" ht="12.75" customHeight="1" x14ac:dyDescent="0.2">
      <c r="D811" s="58" t="str">
        <f>IFERROR(IF(F811&lt;&gt;"pending","",IF(OR($B811="",$B811="(blank)"),"",VLOOKUP($B811,'Email Marketing Raw Data'!$C:$O,10,0))),"")</f>
        <v/>
      </c>
      <c r="E811" s="59" t="str">
        <f>IFERROR(IF(F811&lt;&gt;"pending","",IF(OR($B811="",$B811="(blank)"),"",VLOOKUP($B811,'Email Marketing Raw Data'!$C:$O,11,0))),"")</f>
        <v/>
      </c>
      <c r="F811" s="54" t="str">
        <f>IFERROR(IF(OR($B811="",$B811="(blank)"),"",VLOOKUP($B811,'Email Marketing Raw Data'!$C:$O,13,0)),"")</f>
        <v/>
      </c>
      <c r="G811" s="55" t="str">
        <f>IFERROR(IF(OR($B811="",$B811="(blank)"),"",VLOOKUP($B811,'Email Marketing Raw Data'!$C:$O,4,0)),"")</f>
        <v/>
      </c>
      <c r="H811" s="55" t="str">
        <f>IFERROR(IF(OR($B811="",$B811="(blank)"),"",VLOOKUP($B811,'Email Marketing Raw Data'!$C:$O,5,0)),"")</f>
        <v/>
      </c>
      <c r="I811" s="55" t="str">
        <f>IFERROR(IF($G811="","",VLOOKUP('Dashboard And Emails Automate'!$G811,Database!$H:$N,3,0)),"")</f>
        <v/>
      </c>
      <c r="J811" s="55" t="str">
        <f>IFERROR(IF($G811="","",VLOOKUP('Dashboard And Emails Automate'!$G811,Database!$H:$N,4,0)),"")</f>
        <v/>
      </c>
      <c r="K811" s="55" t="str">
        <f>IFERROR(IF($G811="","",VLOOKUP('Dashboard And Emails Automate'!$G811,Database!$H:$N,5,0)),"")</f>
        <v/>
      </c>
      <c r="L811" s="55" t="str">
        <f>IFERROR(IF($G811="","",VLOOKUP('Dashboard And Emails Automate'!$G811,Database!$H:$N,6,0)),"")</f>
        <v/>
      </c>
      <c r="M811" s="55" t="str">
        <f>IFERROR(IF($G811="","",VLOOKUP('Dashboard And Emails Automate'!$G811,Database!$H:$N,7,0)),"")</f>
        <v/>
      </c>
      <c r="N811" s="55" t="str">
        <f>IFERROR(IF(OR($B811="",$B811="(blank)"),"",VLOOKUP($B811,'Email Marketing Raw Data'!$C:$O,6,0)),"")</f>
        <v/>
      </c>
      <c r="O811" s="55" t="str">
        <f>IFERROR(IF(OR($B811="",$B811="(blank)"),"",VLOOKUP($B811,'Email Marketing Raw Data'!$C:$O,7,0)),"")</f>
        <v/>
      </c>
      <c r="P811" s="55" t="str">
        <f>IFERROR(IF(OR($B811="",$B811="(blank)"),"",VLOOKUP($B811,'Email Marketing Raw Data'!$C:$O,8,0)),"")</f>
        <v/>
      </c>
      <c r="Q811" s="62" t="str">
        <f>IFERROR(IF(OR($B811="",$B811="(blank)"),"",VLOOKUP($B811,'Email Marketing Raw Data'!$C:$O,9,0)),"")</f>
        <v/>
      </c>
    </row>
    <row r="812" spans="4:17" ht="12.75" customHeight="1" x14ac:dyDescent="0.2">
      <c r="D812" s="58" t="str">
        <f>IFERROR(IF(F812&lt;&gt;"pending","",IF(OR($B812="",$B812="(blank)"),"",VLOOKUP($B812,'Email Marketing Raw Data'!$C:$O,10,0))),"")</f>
        <v/>
      </c>
      <c r="E812" s="59" t="str">
        <f>IFERROR(IF(F812&lt;&gt;"pending","",IF(OR($B812="",$B812="(blank)"),"",VLOOKUP($B812,'Email Marketing Raw Data'!$C:$O,11,0))),"")</f>
        <v/>
      </c>
      <c r="F812" s="54" t="str">
        <f>IFERROR(IF(OR($B812="",$B812="(blank)"),"",VLOOKUP($B812,'Email Marketing Raw Data'!$C:$O,13,0)),"")</f>
        <v/>
      </c>
      <c r="G812" s="55" t="str">
        <f>IFERROR(IF(OR($B812="",$B812="(blank)"),"",VLOOKUP($B812,'Email Marketing Raw Data'!$C:$O,4,0)),"")</f>
        <v/>
      </c>
      <c r="H812" s="55" t="str">
        <f>IFERROR(IF(OR($B812="",$B812="(blank)"),"",VLOOKUP($B812,'Email Marketing Raw Data'!$C:$O,5,0)),"")</f>
        <v/>
      </c>
      <c r="I812" s="55" t="str">
        <f>IFERROR(IF($G812="","",VLOOKUP('Dashboard And Emails Automate'!$G812,Database!$H:$N,3,0)),"")</f>
        <v/>
      </c>
      <c r="J812" s="55" t="str">
        <f>IFERROR(IF($G812="","",VLOOKUP('Dashboard And Emails Automate'!$G812,Database!$H:$N,4,0)),"")</f>
        <v/>
      </c>
      <c r="K812" s="55" t="str">
        <f>IFERROR(IF($G812="","",VLOOKUP('Dashboard And Emails Automate'!$G812,Database!$H:$N,5,0)),"")</f>
        <v/>
      </c>
      <c r="L812" s="55" t="str">
        <f>IFERROR(IF($G812="","",VLOOKUP('Dashboard And Emails Automate'!$G812,Database!$H:$N,6,0)),"")</f>
        <v/>
      </c>
      <c r="M812" s="55" t="str">
        <f>IFERROR(IF($G812="","",VLOOKUP('Dashboard And Emails Automate'!$G812,Database!$H:$N,7,0)),"")</f>
        <v/>
      </c>
      <c r="N812" s="55" t="str">
        <f>IFERROR(IF(OR($B812="",$B812="(blank)"),"",VLOOKUP($B812,'Email Marketing Raw Data'!$C:$O,6,0)),"")</f>
        <v/>
      </c>
      <c r="O812" s="55" t="str">
        <f>IFERROR(IF(OR($B812="",$B812="(blank)"),"",VLOOKUP($B812,'Email Marketing Raw Data'!$C:$O,7,0)),"")</f>
        <v/>
      </c>
      <c r="P812" s="55" t="str">
        <f>IFERROR(IF(OR($B812="",$B812="(blank)"),"",VLOOKUP($B812,'Email Marketing Raw Data'!$C:$O,8,0)),"")</f>
        <v/>
      </c>
      <c r="Q812" s="62" t="str">
        <f>IFERROR(IF(OR($B812="",$B812="(blank)"),"",VLOOKUP($B812,'Email Marketing Raw Data'!$C:$O,9,0)),"")</f>
        <v/>
      </c>
    </row>
    <row r="813" spans="4:17" ht="12.75" customHeight="1" x14ac:dyDescent="0.2">
      <c r="D813" s="58" t="str">
        <f>IFERROR(IF(F813&lt;&gt;"pending","",IF(OR($B813="",$B813="(blank)"),"",VLOOKUP($B813,'Email Marketing Raw Data'!$C:$O,10,0))),"")</f>
        <v/>
      </c>
      <c r="E813" s="59" t="str">
        <f>IFERROR(IF(F813&lt;&gt;"pending","",IF(OR($B813="",$B813="(blank)"),"",VLOOKUP($B813,'Email Marketing Raw Data'!$C:$O,11,0))),"")</f>
        <v/>
      </c>
      <c r="F813" s="54" t="str">
        <f>IFERROR(IF(OR($B813="",$B813="(blank)"),"",VLOOKUP($B813,'Email Marketing Raw Data'!$C:$O,13,0)),"")</f>
        <v/>
      </c>
      <c r="G813" s="55" t="str">
        <f>IFERROR(IF(OR($B813="",$B813="(blank)"),"",VLOOKUP($B813,'Email Marketing Raw Data'!$C:$O,4,0)),"")</f>
        <v/>
      </c>
      <c r="H813" s="55" t="str">
        <f>IFERROR(IF(OR($B813="",$B813="(blank)"),"",VLOOKUP($B813,'Email Marketing Raw Data'!$C:$O,5,0)),"")</f>
        <v/>
      </c>
      <c r="I813" s="55" t="str">
        <f>IFERROR(IF($G813="","",VLOOKUP('Dashboard And Emails Automate'!$G813,Database!$H:$N,3,0)),"")</f>
        <v/>
      </c>
      <c r="J813" s="55" t="str">
        <f>IFERROR(IF($G813="","",VLOOKUP('Dashboard And Emails Automate'!$G813,Database!$H:$N,4,0)),"")</f>
        <v/>
      </c>
      <c r="K813" s="55" t="str">
        <f>IFERROR(IF($G813="","",VLOOKUP('Dashboard And Emails Automate'!$G813,Database!$H:$N,5,0)),"")</f>
        <v/>
      </c>
      <c r="L813" s="55" t="str">
        <f>IFERROR(IF($G813="","",VLOOKUP('Dashboard And Emails Automate'!$G813,Database!$H:$N,6,0)),"")</f>
        <v/>
      </c>
      <c r="M813" s="55" t="str">
        <f>IFERROR(IF($G813="","",VLOOKUP('Dashboard And Emails Automate'!$G813,Database!$H:$N,7,0)),"")</f>
        <v/>
      </c>
      <c r="N813" s="55" t="str">
        <f>IFERROR(IF(OR($B813="",$B813="(blank)"),"",VLOOKUP($B813,'Email Marketing Raw Data'!$C:$O,6,0)),"")</f>
        <v/>
      </c>
      <c r="O813" s="55" t="str">
        <f>IFERROR(IF(OR($B813="",$B813="(blank)"),"",VLOOKUP($B813,'Email Marketing Raw Data'!$C:$O,7,0)),"")</f>
        <v/>
      </c>
      <c r="P813" s="55" t="str">
        <f>IFERROR(IF(OR($B813="",$B813="(blank)"),"",VLOOKUP($B813,'Email Marketing Raw Data'!$C:$O,8,0)),"")</f>
        <v/>
      </c>
      <c r="Q813" s="62" t="str">
        <f>IFERROR(IF(OR($B813="",$B813="(blank)"),"",VLOOKUP($B813,'Email Marketing Raw Data'!$C:$O,9,0)),"")</f>
        <v/>
      </c>
    </row>
    <row r="814" spans="4:17" ht="12.75" customHeight="1" x14ac:dyDescent="0.2">
      <c r="D814" s="58" t="str">
        <f>IFERROR(IF(F814&lt;&gt;"pending","",IF(OR($B814="",$B814="(blank)"),"",VLOOKUP($B814,'Email Marketing Raw Data'!$C:$O,10,0))),"")</f>
        <v/>
      </c>
      <c r="E814" s="59" t="str">
        <f>IFERROR(IF(F814&lt;&gt;"pending","",IF(OR($B814="",$B814="(blank)"),"",VLOOKUP($B814,'Email Marketing Raw Data'!$C:$O,11,0))),"")</f>
        <v/>
      </c>
      <c r="F814" s="54" t="str">
        <f>IFERROR(IF(OR($B814="",$B814="(blank)"),"",VLOOKUP($B814,'Email Marketing Raw Data'!$C:$O,13,0)),"")</f>
        <v/>
      </c>
      <c r="G814" s="55" t="str">
        <f>IFERROR(IF(OR($B814="",$B814="(blank)"),"",VLOOKUP($B814,'Email Marketing Raw Data'!$C:$O,4,0)),"")</f>
        <v/>
      </c>
      <c r="H814" s="55" t="str">
        <f>IFERROR(IF(OR($B814="",$B814="(blank)"),"",VLOOKUP($B814,'Email Marketing Raw Data'!$C:$O,5,0)),"")</f>
        <v/>
      </c>
      <c r="I814" s="55" t="str">
        <f>IFERROR(IF($G814="","",VLOOKUP('Dashboard And Emails Automate'!$G814,Database!$H:$N,3,0)),"")</f>
        <v/>
      </c>
      <c r="J814" s="55" t="str">
        <f>IFERROR(IF($G814="","",VLOOKUP('Dashboard And Emails Automate'!$G814,Database!$H:$N,4,0)),"")</f>
        <v/>
      </c>
      <c r="K814" s="55" t="str">
        <f>IFERROR(IF($G814="","",VLOOKUP('Dashboard And Emails Automate'!$G814,Database!$H:$N,5,0)),"")</f>
        <v/>
      </c>
      <c r="L814" s="55" t="str">
        <f>IFERROR(IF($G814="","",VLOOKUP('Dashboard And Emails Automate'!$G814,Database!$H:$N,6,0)),"")</f>
        <v/>
      </c>
      <c r="M814" s="55" t="str">
        <f>IFERROR(IF($G814="","",VLOOKUP('Dashboard And Emails Automate'!$G814,Database!$H:$N,7,0)),"")</f>
        <v/>
      </c>
      <c r="N814" s="55" t="str">
        <f>IFERROR(IF(OR($B814="",$B814="(blank)"),"",VLOOKUP($B814,'Email Marketing Raw Data'!$C:$O,6,0)),"")</f>
        <v/>
      </c>
      <c r="O814" s="55" t="str">
        <f>IFERROR(IF(OR($B814="",$B814="(blank)"),"",VLOOKUP($B814,'Email Marketing Raw Data'!$C:$O,7,0)),"")</f>
        <v/>
      </c>
      <c r="P814" s="55" t="str">
        <f>IFERROR(IF(OR($B814="",$B814="(blank)"),"",VLOOKUP($B814,'Email Marketing Raw Data'!$C:$O,8,0)),"")</f>
        <v/>
      </c>
      <c r="Q814" s="62" t="str">
        <f>IFERROR(IF(OR($B814="",$B814="(blank)"),"",VLOOKUP($B814,'Email Marketing Raw Data'!$C:$O,9,0)),"")</f>
        <v/>
      </c>
    </row>
    <row r="815" spans="4:17" ht="12.75" customHeight="1" x14ac:dyDescent="0.2">
      <c r="D815" s="58" t="str">
        <f>IFERROR(IF(F815&lt;&gt;"pending","",IF(OR($B815="",$B815="(blank)"),"",VLOOKUP($B815,'Email Marketing Raw Data'!$C:$O,10,0))),"")</f>
        <v/>
      </c>
      <c r="E815" s="59" t="str">
        <f>IFERROR(IF(F815&lt;&gt;"pending","",IF(OR($B815="",$B815="(blank)"),"",VLOOKUP($B815,'Email Marketing Raw Data'!$C:$O,11,0))),"")</f>
        <v/>
      </c>
      <c r="F815" s="54" t="str">
        <f>IFERROR(IF(OR($B815="",$B815="(blank)"),"",VLOOKUP($B815,'Email Marketing Raw Data'!$C:$O,13,0)),"")</f>
        <v/>
      </c>
      <c r="G815" s="55" t="str">
        <f>IFERROR(IF(OR($B815="",$B815="(blank)"),"",VLOOKUP($B815,'Email Marketing Raw Data'!$C:$O,4,0)),"")</f>
        <v/>
      </c>
      <c r="H815" s="55" t="str">
        <f>IFERROR(IF(OR($B815="",$B815="(blank)"),"",VLOOKUP($B815,'Email Marketing Raw Data'!$C:$O,5,0)),"")</f>
        <v/>
      </c>
      <c r="I815" s="55" t="str">
        <f>IFERROR(IF($G815="","",VLOOKUP('Dashboard And Emails Automate'!$G815,Database!$H:$N,3,0)),"")</f>
        <v/>
      </c>
      <c r="J815" s="55" t="str">
        <f>IFERROR(IF($G815="","",VLOOKUP('Dashboard And Emails Automate'!$G815,Database!$H:$N,4,0)),"")</f>
        <v/>
      </c>
      <c r="K815" s="55" t="str">
        <f>IFERROR(IF($G815="","",VLOOKUP('Dashboard And Emails Automate'!$G815,Database!$H:$N,5,0)),"")</f>
        <v/>
      </c>
      <c r="L815" s="55" t="str">
        <f>IFERROR(IF($G815="","",VLOOKUP('Dashboard And Emails Automate'!$G815,Database!$H:$N,6,0)),"")</f>
        <v/>
      </c>
      <c r="M815" s="55" t="str">
        <f>IFERROR(IF($G815="","",VLOOKUP('Dashboard And Emails Automate'!$G815,Database!$H:$N,7,0)),"")</f>
        <v/>
      </c>
      <c r="N815" s="55" t="str">
        <f>IFERROR(IF(OR($B815="",$B815="(blank)"),"",VLOOKUP($B815,'Email Marketing Raw Data'!$C:$O,6,0)),"")</f>
        <v/>
      </c>
      <c r="O815" s="55" t="str">
        <f>IFERROR(IF(OR($B815="",$B815="(blank)"),"",VLOOKUP($B815,'Email Marketing Raw Data'!$C:$O,7,0)),"")</f>
        <v/>
      </c>
      <c r="P815" s="55" t="str">
        <f>IFERROR(IF(OR($B815="",$B815="(blank)"),"",VLOOKUP($B815,'Email Marketing Raw Data'!$C:$O,8,0)),"")</f>
        <v/>
      </c>
      <c r="Q815" s="62" t="str">
        <f>IFERROR(IF(OR($B815="",$B815="(blank)"),"",VLOOKUP($B815,'Email Marketing Raw Data'!$C:$O,9,0)),"")</f>
        <v/>
      </c>
    </row>
    <row r="816" spans="4:17" ht="12.75" customHeight="1" x14ac:dyDescent="0.2">
      <c r="D816" s="58" t="str">
        <f>IFERROR(IF(F816&lt;&gt;"pending","",IF(OR($B816="",$B816="(blank)"),"",VLOOKUP($B816,'Email Marketing Raw Data'!$C:$O,10,0))),"")</f>
        <v/>
      </c>
      <c r="E816" s="59" t="str">
        <f>IFERROR(IF(F816&lt;&gt;"pending","",IF(OR($B816="",$B816="(blank)"),"",VLOOKUP($B816,'Email Marketing Raw Data'!$C:$O,11,0))),"")</f>
        <v/>
      </c>
      <c r="F816" s="54" t="str">
        <f>IFERROR(IF(OR($B816="",$B816="(blank)"),"",VLOOKUP($B816,'Email Marketing Raw Data'!$C:$O,13,0)),"")</f>
        <v/>
      </c>
      <c r="G816" s="55" t="str">
        <f>IFERROR(IF(OR($B816="",$B816="(blank)"),"",VLOOKUP($B816,'Email Marketing Raw Data'!$C:$O,4,0)),"")</f>
        <v/>
      </c>
      <c r="H816" s="55" t="str">
        <f>IFERROR(IF(OR($B816="",$B816="(blank)"),"",VLOOKUP($B816,'Email Marketing Raw Data'!$C:$O,5,0)),"")</f>
        <v/>
      </c>
      <c r="I816" s="55" t="str">
        <f>IFERROR(IF($G816="","",VLOOKUP('Dashboard And Emails Automate'!$G816,Database!$H:$N,3,0)),"")</f>
        <v/>
      </c>
      <c r="J816" s="55" t="str">
        <f>IFERROR(IF($G816="","",VLOOKUP('Dashboard And Emails Automate'!$G816,Database!$H:$N,4,0)),"")</f>
        <v/>
      </c>
      <c r="K816" s="55" t="str">
        <f>IFERROR(IF($G816="","",VLOOKUP('Dashboard And Emails Automate'!$G816,Database!$H:$N,5,0)),"")</f>
        <v/>
      </c>
      <c r="L816" s="55" t="str">
        <f>IFERROR(IF($G816="","",VLOOKUP('Dashboard And Emails Automate'!$G816,Database!$H:$N,6,0)),"")</f>
        <v/>
      </c>
      <c r="M816" s="55" t="str">
        <f>IFERROR(IF($G816="","",VLOOKUP('Dashboard And Emails Automate'!$G816,Database!$H:$N,7,0)),"")</f>
        <v/>
      </c>
      <c r="N816" s="55" t="str">
        <f>IFERROR(IF(OR($B816="",$B816="(blank)"),"",VLOOKUP($B816,'Email Marketing Raw Data'!$C:$O,6,0)),"")</f>
        <v/>
      </c>
      <c r="O816" s="55" t="str">
        <f>IFERROR(IF(OR($B816="",$B816="(blank)"),"",VLOOKUP($B816,'Email Marketing Raw Data'!$C:$O,7,0)),"")</f>
        <v/>
      </c>
      <c r="P816" s="55" t="str">
        <f>IFERROR(IF(OR($B816="",$B816="(blank)"),"",VLOOKUP($B816,'Email Marketing Raw Data'!$C:$O,8,0)),"")</f>
        <v/>
      </c>
      <c r="Q816" s="62" t="str">
        <f>IFERROR(IF(OR($B816="",$B816="(blank)"),"",VLOOKUP($B816,'Email Marketing Raw Data'!$C:$O,9,0)),"")</f>
        <v/>
      </c>
    </row>
    <row r="817" spans="4:17" ht="12.75" customHeight="1" x14ac:dyDescent="0.2">
      <c r="D817" s="58" t="str">
        <f>IFERROR(IF(F817&lt;&gt;"pending","",IF(OR($B817="",$B817="(blank)"),"",VLOOKUP($B817,'Email Marketing Raw Data'!$C:$O,10,0))),"")</f>
        <v/>
      </c>
      <c r="E817" s="59" t="str">
        <f>IFERROR(IF(F817&lt;&gt;"pending","",IF(OR($B817="",$B817="(blank)"),"",VLOOKUP($B817,'Email Marketing Raw Data'!$C:$O,11,0))),"")</f>
        <v/>
      </c>
      <c r="F817" s="54" t="str">
        <f>IFERROR(IF(OR($B817="",$B817="(blank)"),"",VLOOKUP($B817,'Email Marketing Raw Data'!$C:$O,13,0)),"")</f>
        <v/>
      </c>
      <c r="G817" s="55" t="str">
        <f>IFERROR(IF(OR($B817="",$B817="(blank)"),"",VLOOKUP($B817,'Email Marketing Raw Data'!$C:$O,4,0)),"")</f>
        <v/>
      </c>
      <c r="H817" s="55" t="str">
        <f>IFERROR(IF(OR($B817="",$B817="(blank)"),"",VLOOKUP($B817,'Email Marketing Raw Data'!$C:$O,5,0)),"")</f>
        <v/>
      </c>
      <c r="I817" s="55" t="str">
        <f>IFERROR(IF($G817="","",VLOOKUP('Dashboard And Emails Automate'!$G817,Database!$H:$N,3,0)),"")</f>
        <v/>
      </c>
      <c r="J817" s="55" t="str">
        <f>IFERROR(IF($G817="","",VLOOKUP('Dashboard And Emails Automate'!$G817,Database!$H:$N,4,0)),"")</f>
        <v/>
      </c>
      <c r="K817" s="55" t="str">
        <f>IFERROR(IF($G817="","",VLOOKUP('Dashboard And Emails Automate'!$G817,Database!$H:$N,5,0)),"")</f>
        <v/>
      </c>
      <c r="L817" s="55" t="str">
        <f>IFERROR(IF($G817="","",VLOOKUP('Dashboard And Emails Automate'!$G817,Database!$H:$N,6,0)),"")</f>
        <v/>
      </c>
      <c r="M817" s="55" t="str">
        <f>IFERROR(IF($G817="","",VLOOKUP('Dashboard And Emails Automate'!$G817,Database!$H:$N,7,0)),"")</f>
        <v/>
      </c>
      <c r="N817" s="55" t="str">
        <f>IFERROR(IF(OR($B817="",$B817="(blank)"),"",VLOOKUP($B817,'Email Marketing Raw Data'!$C:$O,6,0)),"")</f>
        <v/>
      </c>
      <c r="O817" s="55" t="str">
        <f>IFERROR(IF(OR($B817="",$B817="(blank)"),"",VLOOKUP($B817,'Email Marketing Raw Data'!$C:$O,7,0)),"")</f>
        <v/>
      </c>
      <c r="P817" s="55" t="str">
        <f>IFERROR(IF(OR($B817="",$B817="(blank)"),"",VLOOKUP($B817,'Email Marketing Raw Data'!$C:$O,8,0)),"")</f>
        <v/>
      </c>
      <c r="Q817" s="62" t="str">
        <f>IFERROR(IF(OR($B817="",$B817="(blank)"),"",VLOOKUP($B817,'Email Marketing Raw Data'!$C:$O,9,0)),"")</f>
        <v/>
      </c>
    </row>
    <row r="818" spans="4:17" ht="12.75" customHeight="1" x14ac:dyDescent="0.2">
      <c r="D818" s="58" t="str">
        <f>IFERROR(IF(F818&lt;&gt;"pending","",IF(OR($B818="",$B818="(blank)"),"",VLOOKUP($B818,'Email Marketing Raw Data'!$C:$O,10,0))),"")</f>
        <v/>
      </c>
      <c r="E818" s="59" t="str">
        <f>IFERROR(IF(F818&lt;&gt;"pending","",IF(OR($B818="",$B818="(blank)"),"",VLOOKUP($B818,'Email Marketing Raw Data'!$C:$O,11,0))),"")</f>
        <v/>
      </c>
      <c r="F818" s="54" t="str">
        <f>IFERROR(IF(OR($B818="",$B818="(blank)"),"",VLOOKUP($B818,'Email Marketing Raw Data'!$C:$O,13,0)),"")</f>
        <v/>
      </c>
      <c r="G818" s="55" t="str">
        <f>IFERROR(IF(OR($B818="",$B818="(blank)"),"",VLOOKUP($B818,'Email Marketing Raw Data'!$C:$O,4,0)),"")</f>
        <v/>
      </c>
      <c r="H818" s="55" t="str">
        <f>IFERROR(IF(OR($B818="",$B818="(blank)"),"",VLOOKUP($B818,'Email Marketing Raw Data'!$C:$O,5,0)),"")</f>
        <v/>
      </c>
      <c r="I818" s="55" t="str">
        <f>IFERROR(IF($G818="","",VLOOKUP('Dashboard And Emails Automate'!$G818,Database!$H:$N,3,0)),"")</f>
        <v/>
      </c>
      <c r="J818" s="55" t="str">
        <f>IFERROR(IF($G818="","",VLOOKUP('Dashboard And Emails Automate'!$G818,Database!$H:$N,4,0)),"")</f>
        <v/>
      </c>
      <c r="K818" s="55" t="str">
        <f>IFERROR(IF($G818="","",VLOOKUP('Dashboard And Emails Automate'!$G818,Database!$H:$N,5,0)),"")</f>
        <v/>
      </c>
      <c r="L818" s="55" t="str">
        <f>IFERROR(IF($G818="","",VLOOKUP('Dashboard And Emails Automate'!$G818,Database!$H:$N,6,0)),"")</f>
        <v/>
      </c>
      <c r="M818" s="55" t="str">
        <f>IFERROR(IF($G818="","",VLOOKUP('Dashboard And Emails Automate'!$G818,Database!$H:$N,7,0)),"")</f>
        <v/>
      </c>
      <c r="N818" s="55" t="str">
        <f>IFERROR(IF(OR($B818="",$B818="(blank)"),"",VLOOKUP($B818,'Email Marketing Raw Data'!$C:$O,6,0)),"")</f>
        <v/>
      </c>
      <c r="O818" s="55" t="str">
        <f>IFERROR(IF(OR($B818="",$B818="(blank)"),"",VLOOKUP($B818,'Email Marketing Raw Data'!$C:$O,7,0)),"")</f>
        <v/>
      </c>
      <c r="P818" s="55" t="str">
        <f>IFERROR(IF(OR($B818="",$B818="(blank)"),"",VLOOKUP($B818,'Email Marketing Raw Data'!$C:$O,8,0)),"")</f>
        <v/>
      </c>
      <c r="Q818" s="62" t="str">
        <f>IFERROR(IF(OR($B818="",$B818="(blank)"),"",VLOOKUP($B818,'Email Marketing Raw Data'!$C:$O,9,0)),"")</f>
        <v/>
      </c>
    </row>
    <row r="819" spans="4:17" ht="12.75" customHeight="1" x14ac:dyDescent="0.2">
      <c r="D819" s="58" t="str">
        <f>IFERROR(IF(F819&lt;&gt;"pending","",IF(OR($B819="",$B819="(blank)"),"",VLOOKUP($B819,'Email Marketing Raw Data'!$C:$O,10,0))),"")</f>
        <v/>
      </c>
      <c r="E819" s="59" t="str">
        <f>IFERROR(IF(F819&lt;&gt;"pending","",IF(OR($B819="",$B819="(blank)"),"",VLOOKUP($B819,'Email Marketing Raw Data'!$C:$O,11,0))),"")</f>
        <v/>
      </c>
      <c r="F819" s="54" t="str">
        <f>IFERROR(IF(OR($B819="",$B819="(blank)"),"",VLOOKUP($B819,'Email Marketing Raw Data'!$C:$O,13,0)),"")</f>
        <v/>
      </c>
      <c r="G819" s="55" t="str">
        <f>IFERROR(IF(OR($B819="",$B819="(blank)"),"",VLOOKUP($B819,'Email Marketing Raw Data'!$C:$O,4,0)),"")</f>
        <v/>
      </c>
      <c r="H819" s="55" t="str">
        <f>IFERROR(IF(OR($B819="",$B819="(blank)"),"",VLOOKUP($B819,'Email Marketing Raw Data'!$C:$O,5,0)),"")</f>
        <v/>
      </c>
      <c r="I819" s="55" t="str">
        <f>IFERROR(IF($G819="","",VLOOKUP('Dashboard And Emails Automate'!$G819,Database!$H:$N,3,0)),"")</f>
        <v/>
      </c>
      <c r="J819" s="55" t="str">
        <f>IFERROR(IF($G819="","",VLOOKUP('Dashboard And Emails Automate'!$G819,Database!$H:$N,4,0)),"")</f>
        <v/>
      </c>
      <c r="K819" s="55" t="str">
        <f>IFERROR(IF($G819="","",VLOOKUP('Dashboard And Emails Automate'!$G819,Database!$H:$N,5,0)),"")</f>
        <v/>
      </c>
      <c r="L819" s="55" t="str">
        <f>IFERROR(IF($G819="","",VLOOKUP('Dashboard And Emails Automate'!$G819,Database!$H:$N,6,0)),"")</f>
        <v/>
      </c>
      <c r="M819" s="55" t="str">
        <f>IFERROR(IF($G819="","",VLOOKUP('Dashboard And Emails Automate'!$G819,Database!$H:$N,7,0)),"")</f>
        <v/>
      </c>
      <c r="N819" s="55" t="str">
        <f>IFERROR(IF(OR($B819="",$B819="(blank)"),"",VLOOKUP($B819,'Email Marketing Raw Data'!$C:$O,6,0)),"")</f>
        <v/>
      </c>
      <c r="O819" s="55" t="str">
        <f>IFERROR(IF(OR($B819="",$B819="(blank)"),"",VLOOKUP($B819,'Email Marketing Raw Data'!$C:$O,7,0)),"")</f>
        <v/>
      </c>
      <c r="P819" s="55" t="str">
        <f>IFERROR(IF(OR($B819="",$B819="(blank)"),"",VLOOKUP($B819,'Email Marketing Raw Data'!$C:$O,8,0)),"")</f>
        <v/>
      </c>
      <c r="Q819" s="62" t="str">
        <f>IFERROR(IF(OR($B819="",$B819="(blank)"),"",VLOOKUP($B819,'Email Marketing Raw Data'!$C:$O,9,0)),"")</f>
        <v/>
      </c>
    </row>
    <row r="820" spans="4:17" ht="12.75" customHeight="1" x14ac:dyDescent="0.2">
      <c r="D820" s="58" t="str">
        <f>IFERROR(IF(F820&lt;&gt;"pending","",IF(OR($B820="",$B820="(blank)"),"",VLOOKUP($B820,'Email Marketing Raw Data'!$C:$O,10,0))),"")</f>
        <v/>
      </c>
      <c r="E820" s="59" t="str">
        <f>IFERROR(IF(F820&lt;&gt;"pending","",IF(OR($B820="",$B820="(blank)"),"",VLOOKUP($B820,'Email Marketing Raw Data'!$C:$O,11,0))),"")</f>
        <v/>
      </c>
      <c r="F820" s="54" t="str">
        <f>IFERROR(IF(OR($B820="",$B820="(blank)"),"",VLOOKUP($B820,'Email Marketing Raw Data'!$C:$O,13,0)),"")</f>
        <v/>
      </c>
      <c r="G820" s="55" t="str">
        <f>IFERROR(IF(OR($B820="",$B820="(blank)"),"",VLOOKUP($B820,'Email Marketing Raw Data'!$C:$O,4,0)),"")</f>
        <v/>
      </c>
      <c r="H820" s="55" t="str">
        <f>IFERROR(IF(OR($B820="",$B820="(blank)"),"",VLOOKUP($B820,'Email Marketing Raw Data'!$C:$O,5,0)),"")</f>
        <v/>
      </c>
      <c r="I820" s="55" t="str">
        <f>IFERROR(IF($G820="","",VLOOKUP('Dashboard And Emails Automate'!$G820,Database!$H:$N,3,0)),"")</f>
        <v/>
      </c>
      <c r="J820" s="55" t="str">
        <f>IFERROR(IF($G820="","",VLOOKUP('Dashboard And Emails Automate'!$G820,Database!$H:$N,4,0)),"")</f>
        <v/>
      </c>
      <c r="K820" s="55" t="str">
        <f>IFERROR(IF($G820="","",VLOOKUP('Dashboard And Emails Automate'!$G820,Database!$H:$N,5,0)),"")</f>
        <v/>
      </c>
      <c r="L820" s="55" t="str">
        <f>IFERROR(IF($G820="","",VLOOKUP('Dashboard And Emails Automate'!$G820,Database!$H:$N,6,0)),"")</f>
        <v/>
      </c>
      <c r="M820" s="55" t="str">
        <f>IFERROR(IF($G820="","",VLOOKUP('Dashboard And Emails Automate'!$G820,Database!$H:$N,7,0)),"")</f>
        <v/>
      </c>
      <c r="N820" s="55" t="str">
        <f>IFERROR(IF(OR($B820="",$B820="(blank)"),"",VLOOKUP($B820,'Email Marketing Raw Data'!$C:$O,6,0)),"")</f>
        <v/>
      </c>
      <c r="O820" s="55" t="str">
        <f>IFERROR(IF(OR($B820="",$B820="(blank)"),"",VLOOKUP($B820,'Email Marketing Raw Data'!$C:$O,7,0)),"")</f>
        <v/>
      </c>
      <c r="P820" s="55" t="str">
        <f>IFERROR(IF(OR($B820="",$B820="(blank)"),"",VLOOKUP($B820,'Email Marketing Raw Data'!$C:$O,8,0)),"")</f>
        <v/>
      </c>
      <c r="Q820" s="62" t="str">
        <f>IFERROR(IF(OR($B820="",$B820="(blank)"),"",VLOOKUP($B820,'Email Marketing Raw Data'!$C:$O,9,0)),"")</f>
        <v/>
      </c>
    </row>
    <row r="821" spans="4:17" ht="12.75" customHeight="1" x14ac:dyDescent="0.2">
      <c r="D821" s="58" t="str">
        <f>IFERROR(IF(F821&lt;&gt;"pending","",IF(OR($B821="",$B821="(blank)"),"",VLOOKUP($B821,'Email Marketing Raw Data'!$C:$O,10,0))),"")</f>
        <v/>
      </c>
      <c r="E821" s="59" t="str">
        <f>IFERROR(IF(F821&lt;&gt;"pending","",IF(OR($B821="",$B821="(blank)"),"",VLOOKUP($B821,'Email Marketing Raw Data'!$C:$O,11,0))),"")</f>
        <v/>
      </c>
      <c r="F821" s="54" t="str">
        <f>IFERROR(IF(OR($B821="",$B821="(blank)"),"",VLOOKUP($B821,'Email Marketing Raw Data'!$C:$O,13,0)),"")</f>
        <v/>
      </c>
      <c r="G821" s="55" t="str">
        <f>IFERROR(IF(OR($B821="",$B821="(blank)"),"",VLOOKUP($B821,'Email Marketing Raw Data'!$C:$O,4,0)),"")</f>
        <v/>
      </c>
      <c r="H821" s="55" t="str">
        <f>IFERROR(IF(OR($B821="",$B821="(blank)"),"",VLOOKUP($B821,'Email Marketing Raw Data'!$C:$O,5,0)),"")</f>
        <v/>
      </c>
      <c r="I821" s="55" t="str">
        <f>IFERROR(IF($G821="","",VLOOKUP('Dashboard And Emails Automate'!$G821,Database!$H:$N,3,0)),"")</f>
        <v/>
      </c>
      <c r="J821" s="55" t="str">
        <f>IFERROR(IF($G821="","",VLOOKUP('Dashboard And Emails Automate'!$G821,Database!$H:$N,4,0)),"")</f>
        <v/>
      </c>
      <c r="K821" s="55" t="str">
        <f>IFERROR(IF($G821="","",VLOOKUP('Dashboard And Emails Automate'!$G821,Database!$H:$N,5,0)),"")</f>
        <v/>
      </c>
      <c r="L821" s="55" t="str">
        <f>IFERROR(IF($G821="","",VLOOKUP('Dashboard And Emails Automate'!$G821,Database!$H:$N,6,0)),"")</f>
        <v/>
      </c>
      <c r="M821" s="55" t="str">
        <f>IFERROR(IF($G821="","",VLOOKUP('Dashboard And Emails Automate'!$G821,Database!$H:$N,7,0)),"")</f>
        <v/>
      </c>
      <c r="N821" s="55" t="str">
        <f>IFERROR(IF(OR($B821="",$B821="(blank)"),"",VLOOKUP($B821,'Email Marketing Raw Data'!$C:$O,6,0)),"")</f>
        <v/>
      </c>
      <c r="O821" s="55" t="str">
        <f>IFERROR(IF(OR($B821="",$B821="(blank)"),"",VLOOKUP($B821,'Email Marketing Raw Data'!$C:$O,7,0)),"")</f>
        <v/>
      </c>
      <c r="P821" s="55" t="str">
        <f>IFERROR(IF(OR($B821="",$B821="(blank)"),"",VLOOKUP($B821,'Email Marketing Raw Data'!$C:$O,8,0)),"")</f>
        <v/>
      </c>
      <c r="Q821" s="62" t="str">
        <f>IFERROR(IF(OR($B821="",$B821="(blank)"),"",VLOOKUP($B821,'Email Marketing Raw Data'!$C:$O,9,0)),"")</f>
        <v/>
      </c>
    </row>
    <row r="822" spans="4:17" ht="12.75" customHeight="1" x14ac:dyDescent="0.2">
      <c r="D822" s="58" t="str">
        <f>IFERROR(IF(F822&lt;&gt;"pending","",IF(OR($B822="",$B822="(blank)"),"",VLOOKUP($B822,'Email Marketing Raw Data'!$C:$O,10,0))),"")</f>
        <v/>
      </c>
      <c r="E822" s="59" t="str">
        <f>IFERROR(IF(F822&lt;&gt;"pending","",IF(OR($B822="",$B822="(blank)"),"",VLOOKUP($B822,'Email Marketing Raw Data'!$C:$O,11,0))),"")</f>
        <v/>
      </c>
      <c r="F822" s="54" t="str">
        <f>IFERROR(IF(OR($B822="",$B822="(blank)"),"",VLOOKUP($B822,'Email Marketing Raw Data'!$C:$O,13,0)),"")</f>
        <v/>
      </c>
      <c r="G822" s="55" t="str">
        <f>IFERROR(IF(OR($B822="",$B822="(blank)"),"",VLOOKUP($B822,'Email Marketing Raw Data'!$C:$O,4,0)),"")</f>
        <v/>
      </c>
      <c r="H822" s="55" t="str">
        <f>IFERROR(IF(OR($B822="",$B822="(blank)"),"",VLOOKUP($B822,'Email Marketing Raw Data'!$C:$O,5,0)),"")</f>
        <v/>
      </c>
      <c r="I822" s="55" t="str">
        <f>IFERROR(IF($G822="","",VLOOKUP('Dashboard And Emails Automate'!$G822,Database!$H:$N,3,0)),"")</f>
        <v/>
      </c>
      <c r="J822" s="55" t="str">
        <f>IFERROR(IF($G822="","",VLOOKUP('Dashboard And Emails Automate'!$G822,Database!$H:$N,4,0)),"")</f>
        <v/>
      </c>
      <c r="K822" s="55" t="str">
        <f>IFERROR(IF($G822="","",VLOOKUP('Dashboard And Emails Automate'!$G822,Database!$H:$N,5,0)),"")</f>
        <v/>
      </c>
      <c r="L822" s="55" t="str">
        <f>IFERROR(IF($G822="","",VLOOKUP('Dashboard And Emails Automate'!$G822,Database!$H:$N,6,0)),"")</f>
        <v/>
      </c>
      <c r="M822" s="55" t="str">
        <f>IFERROR(IF($G822="","",VLOOKUP('Dashboard And Emails Automate'!$G822,Database!$H:$N,7,0)),"")</f>
        <v/>
      </c>
      <c r="N822" s="55" t="str">
        <f>IFERROR(IF(OR($B822="",$B822="(blank)"),"",VLOOKUP($B822,'Email Marketing Raw Data'!$C:$O,6,0)),"")</f>
        <v/>
      </c>
      <c r="O822" s="55" t="str">
        <f>IFERROR(IF(OR($B822="",$B822="(blank)"),"",VLOOKUP($B822,'Email Marketing Raw Data'!$C:$O,7,0)),"")</f>
        <v/>
      </c>
      <c r="P822" s="55" t="str">
        <f>IFERROR(IF(OR($B822="",$B822="(blank)"),"",VLOOKUP($B822,'Email Marketing Raw Data'!$C:$O,8,0)),"")</f>
        <v/>
      </c>
      <c r="Q822" s="62" t="str">
        <f>IFERROR(IF(OR($B822="",$B822="(blank)"),"",VLOOKUP($B822,'Email Marketing Raw Data'!$C:$O,9,0)),"")</f>
        <v/>
      </c>
    </row>
    <row r="823" spans="4:17" ht="12.75" customHeight="1" x14ac:dyDescent="0.2">
      <c r="D823" s="58" t="str">
        <f>IFERROR(IF(F823&lt;&gt;"pending","",IF(OR($B823="",$B823="(blank)"),"",VLOOKUP($B823,'Email Marketing Raw Data'!$C:$O,10,0))),"")</f>
        <v/>
      </c>
      <c r="E823" s="59" t="str">
        <f>IFERROR(IF(F823&lt;&gt;"pending","",IF(OR($B823="",$B823="(blank)"),"",VLOOKUP($B823,'Email Marketing Raw Data'!$C:$O,11,0))),"")</f>
        <v/>
      </c>
      <c r="F823" s="54" t="str">
        <f>IFERROR(IF(OR($B823="",$B823="(blank)"),"",VLOOKUP($B823,'Email Marketing Raw Data'!$C:$O,13,0)),"")</f>
        <v/>
      </c>
      <c r="G823" s="55" t="str">
        <f>IFERROR(IF(OR($B823="",$B823="(blank)"),"",VLOOKUP($B823,'Email Marketing Raw Data'!$C:$O,4,0)),"")</f>
        <v/>
      </c>
      <c r="H823" s="55" t="str">
        <f>IFERROR(IF(OR($B823="",$B823="(blank)"),"",VLOOKUP($B823,'Email Marketing Raw Data'!$C:$O,5,0)),"")</f>
        <v/>
      </c>
      <c r="I823" s="55" t="str">
        <f>IFERROR(IF($G823="","",VLOOKUP('Dashboard And Emails Automate'!$G823,Database!$H:$N,3,0)),"")</f>
        <v/>
      </c>
      <c r="J823" s="55" t="str">
        <f>IFERROR(IF($G823="","",VLOOKUP('Dashboard And Emails Automate'!$G823,Database!$H:$N,4,0)),"")</f>
        <v/>
      </c>
      <c r="K823" s="55" t="str">
        <f>IFERROR(IF($G823="","",VLOOKUP('Dashboard And Emails Automate'!$G823,Database!$H:$N,5,0)),"")</f>
        <v/>
      </c>
      <c r="L823" s="55" t="str">
        <f>IFERROR(IF($G823="","",VLOOKUP('Dashboard And Emails Automate'!$G823,Database!$H:$N,6,0)),"")</f>
        <v/>
      </c>
      <c r="M823" s="55" t="str">
        <f>IFERROR(IF($G823="","",VLOOKUP('Dashboard And Emails Automate'!$G823,Database!$H:$N,7,0)),"")</f>
        <v/>
      </c>
      <c r="N823" s="55" t="str">
        <f>IFERROR(IF(OR($B823="",$B823="(blank)"),"",VLOOKUP($B823,'Email Marketing Raw Data'!$C:$O,6,0)),"")</f>
        <v/>
      </c>
      <c r="O823" s="55" t="str">
        <f>IFERROR(IF(OR($B823="",$B823="(blank)"),"",VLOOKUP($B823,'Email Marketing Raw Data'!$C:$O,7,0)),"")</f>
        <v/>
      </c>
      <c r="P823" s="55" t="str">
        <f>IFERROR(IF(OR($B823="",$B823="(blank)"),"",VLOOKUP($B823,'Email Marketing Raw Data'!$C:$O,8,0)),"")</f>
        <v/>
      </c>
      <c r="Q823" s="62" t="str">
        <f>IFERROR(IF(OR($B823="",$B823="(blank)"),"",VLOOKUP($B823,'Email Marketing Raw Data'!$C:$O,9,0)),"")</f>
        <v/>
      </c>
    </row>
    <row r="824" spans="4:17" ht="12.75" customHeight="1" x14ac:dyDescent="0.2">
      <c r="D824" s="58" t="str">
        <f>IFERROR(IF(F824&lt;&gt;"pending","",IF(OR($B824="",$B824="(blank)"),"",VLOOKUP($B824,'Email Marketing Raw Data'!$C:$O,10,0))),"")</f>
        <v/>
      </c>
      <c r="E824" s="59" t="str">
        <f>IFERROR(IF(F824&lt;&gt;"pending","",IF(OR($B824="",$B824="(blank)"),"",VLOOKUP($B824,'Email Marketing Raw Data'!$C:$O,11,0))),"")</f>
        <v/>
      </c>
      <c r="F824" s="54" t="str">
        <f>IFERROR(IF(OR($B824="",$B824="(blank)"),"",VLOOKUP($B824,'Email Marketing Raw Data'!$C:$O,13,0)),"")</f>
        <v/>
      </c>
      <c r="G824" s="55" t="str">
        <f>IFERROR(IF(OR($B824="",$B824="(blank)"),"",VLOOKUP($B824,'Email Marketing Raw Data'!$C:$O,4,0)),"")</f>
        <v/>
      </c>
      <c r="H824" s="55" t="str">
        <f>IFERROR(IF(OR($B824="",$B824="(blank)"),"",VLOOKUP($B824,'Email Marketing Raw Data'!$C:$O,5,0)),"")</f>
        <v/>
      </c>
      <c r="I824" s="55" t="str">
        <f>IFERROR(IF($G824="","",VLOOKUP('Dashboard And Emails Automate'!$G824,Database!$H:$N,3,0)),"")</f>
        <v/>
      </c>
      <c r="J824" s="55" t="str">
        <f>IFERROR(IF($G824="","",VLOOKUP('Dashboard And Emails Automate'!$G824,Database!$H:$N,4,0)),"")</f>
        <v/>
      </c>
      <c r="K824" s="55" t="str">
        <f>IFERROR(IF($G824="","",VLOOKUP('Dashboard And Emails Automate'!$G824,Database!$H:$N,5,0)),"")</f>
        <v/>
      </c>
      <c r="L824" s="55" t="str">
        <f>IFERROR(IF($G824="","",VLOOKUP('Dashboard And Emails Automate'!$G824,Database!$H:$N,6,0)),"")</f>
        <v/>
      </c>
      <c r="M824" s="55" t="str">
        <f>IFERROR(IF($G824="","",VLOOKUP('Dashboard And Emails Automate'!$G824,Database!$H:$N,7,0)),"")</f>
        <v/>
      </c>
      <c r="N824" s="55" t="str">
        <f>IFERROR(IF(OR($B824="",$B824="(blank)"),"",VLOOKUP($B824,'Email Marketing Raw Data'!$C:$O,6,0)),"")</f>
        <v/>
      </c>
      <c r="O824" s="55" t="str">
        <f>IFERROR(IF(OR($B824="",$B824="(blank)"),"",VLOOKUP($B824,'Email Marketing Raw Data'!$C:$O,7,0)),"")</f>
        <v/>
      </c>
      <c r="P824" s="55" t="str">
        <f>IFERROR(IF(OR($B824="",$B824="(blank)"),"",VLOOKUP($B824,'Email Marketing Raw Data'!$C:$O,8,0)),"")</f>
        <v/>
      </c>
      <c r="Q824" s="62" t="str">
        <f>IFERROR(IF(OR($B824="",$B824="(blank)"),"",VLOOKUP($B824,'Email Marketing Raw Data'!$C:$O,9,0)),"")</f>
        <v/>
      </c>
    </row>
    <row r="825" spans="4:17" ht="12.75" customHeight="1" x14ac:dyDescent="0.2">
      <c r="D825" s="58" t="str">
        <f>IFERROR(IF(F825&lt;&gt;"pending","",IF(OR($B825="",$B825="(blank)"),"",VLOOKUP($B825,'Email Marketing Raw Data'!$C:$O,10,0))),"")</f>
        <v/>
      </c>
      <c r="E825" s="59" t="str">
        <f>IFERROR(IF(F825&lt;&gt;"pending","",IF(OR($B825="",$B825="(blank)"),"",VLOOKUP($B825,'Email Marketing Raw Data'!$C:$O,11,0))),"")</f>
        <v/>
      </c>
      <c r="F825" s="54" t="str">
        <f>IFERROR(IF(OR($B825="",$B825="(blank)"),"",VLOOKUP($B825,'Email Marketing Raw Data'!$C:$O,13,0)),"")</f>
        <v/>
      </c>
      <c r="G825" s="55" t="str">
        <f>IFERROR(IF(OR($B825="",$B825="(blank)"),"",VLOOKUP($B825,'Email Marketing Raw Data'!$C:$O,4,0)),"")</f>
        <v/>
      </c>
      <c r="H825" s="55" t="str">
        <f>IFERROR(IF(OR($B825="",$B825="(blank)"),"",VLOOKUP($B825,'Email Marketing Raw Data'!$C:$O,5,0)),"")</f>
        <v/>
      </c>
      <c r="I825" s="55" t="str">
        <f>IFERROR(IF($G825="","",VLOOKUP('Dashboard And Emails Automate'!$G825,Database!$H:$N,3,0)),"")</f>
        <v/>
      </c>
      <c r="J825" s="55" t="str">
        <f>IFERROR(IF($G825="","",VLOOKUP('Dashboard And Emails Automate'!$G825,Database!$H:$N,4,0)),"")</f>
        <v/>
      </c>
      <c r="K825" s="55" t="str">
        <f>IFERROR(IF($G825="","",VLOOKUP('Dashboard And Emails Automate'!$G825,Database!$H:$N,5,0)),"")</f>
        <v/>
      </c>
      <c r="L825" s="55" t="str">
        <f>IFERROR(IF($G825="","",VLOOKUP('Dashboard And Emails Automate'!$G825,Database!$H:$N,6,0)),"")</f>
        <v/>
      </c>
      <c r="M825" s="55" t="str">
        <f>IFERROR(IF($G825="","",VLOOKUP('Dashboard And Emails Automate'!$G825,Database!$H:$N,7,0)),"")</f>
        <v/>
      </c>
      <c r="N825" s="55" t="str">
        <f>IFERROR(IF(OR($B825="",$B825="(blank)"),"",VLOOKUP($B825,'Email Marketing Raw Data'!$C:$O,6,0)),"")</f>
        <v/>
      </c>
      <c r="O825" s="55" t="str">
        <f>IFERROR(IF(OR($B825="",$B825="(blank)"),"",VLOOKUP($B825,'Email Marketing Raw Data'!$C:$O,7,0)),"")</f>
        <v/>
      </c>
      <c r="P825" s="55" t="str">
        <f>IFERROR(IF(OR($B825="",$B825="(blank)"),"",VLOOKUP($B825,'Email Marketing Raw Data'!$C:$O,8,0)),"")</f>
        <v/>
      </c>
      <c r="Q825" s="62" t="str">
        <f>IFERROR(IF(OR($B825="",$B825="(blank)"),"",VLOOKUP($B825,'Email Marketing Raw Data'!$C:$O,9,0)),"")</f>
        <v/>
      </c>
    </row>
    <row r="826" spans="4:17" ht="12.75" customHeight="1" x14ac:dyDescent="0.2">
      <c r="D826" s="58" t="str">
        <f>IFERROR(IF(F826&lt;&gt;"pending","",IF(OR($B826="",$B826="(blank)"),"",VLOOKUP($B826,'Email Marketing Raw Data'!$C:$O,10,0))),"")</f>
        <v/>
      </c>
      <c r="E826" s="59" t="str">
        <f>IFERROR(IF(F826&lt;&gt;"pending","",IF(OR($B826="",$B826="(blank)"),"",VLOOKUP($B826,'Email Marketing Raw Data'!$C:$O,11,0))),"")</f>
        <v/>
      </c>
      <c r="F826" s="54" t="str">
        <f>IFERROR(IF(OR($B826="",$B826="(blank)"),"",VLOOKUP($B826,'Email Marketing Raw Data'!$C:$O,13,0)),"")</f>
        <v/>
      </c>
      <c r="G826" s="55" t="str">
        <f>IFERROR(IF(OR($B826="",$B826="(blank)"),"",VLOOKUP($B826,'Email Marketing Raw Data'!$C:$O,4,0)),"")</f>
        <v/>
      </c>
      <c r="H826" s="55" t="str">
        <f>IFERROR(IF(OR($B826="",$B826="(blank)"),"",VLOOKUP($B826,'Email Marketing Raw Data'!$C:$O,5,0)),"")</f>
        <v/>
      </c>
      <c r="I826" s="55" t="str">
        <f>IFERROR(IF($G826="","",VLOOKUP('Dashboard And Emails Automate'!$G826,Database!$H:$N,3,0)),"")</f>
        <v/>
      </c>
      <c r="J826" s="55" t="str">
        <f>IFERROR(IF($G826="","",VLOOKUP('Dashboard And Emails Automate'!$G826,Database!$H:$N,4,0)),"")</f>
        <v/>
      </c>
      <c r="K826" s="55" t="str">
        <f>IFERROR(IF($G826="","",VLOOKUP('Dashboard And Emails Automate'!$G826,Database!$H:$N,5,0)),"")</f>
        <v/>
      </c>
      <c r="L826" s="55" t="str">
        <f>IFERROR(IF($G826="","",VLOOKUP('Dashboard And Emails Automate'!$G826,Database!$H:$N,6,0)),"")</f>
        <v/>
      </c>
      <c r="M826" s="55" t="str">
        <f>IFERROR(IF($G826="","",VLOOKUP('Dashboard And Emails Automate'!$G826,Database!$H:$N,7,0)),"")</f>
        <v/>
      </c>
      <c r="N826" s="55" t="str">
        <f>IFERROR(IF(OR($B826="",$B826="(blank)"),"",VLOOKUP($B826,'Email Marketing Raw Data'!$C:$O,6,0)),"")</f>
        <v/>
      </c>
      <c r="O826" s="55" t="str">
        <f>IFERROR(IF(OR($B826="",$B826="(blank)"),"",VLOOKUP($B826,'Email Marketing Raw Data'!$C:$O,7,0)),"")</f>
        <v/>
      </c>
      <c r="P826" s="55" t="str">
        <f>IFERROR(IF(OR($B826="",$B826="(blank)"),"",VLOOKUP($B826,'Email Marketing Raw Data'!$C:$O,8,0)),"")</f>
        <v/>
      </c>
      <c r="Q826" s="62" t="str">
        <f>IFERROR(IF(OR($B826="",$B826="(blank)"),"",VLOOKUP($B826,'Email Marketing Raw Data'!$C:$O,9,0)),"")</f>
        <v/>
      </c>
    </row>
    <row r="827" spans="4:17" ht="12.75" customHeight="1" x14ac:dyDescent="0.2">
      <c r="D827" s="58" t="str">
        <f>IFERROR(IF(F827&lt;&gt;"pending","",IF(OR($B827="",$B827="(blank)"),"",VLOOKUP($B827,'Email Marketing Raw Data'!$C:$O,10,0))),"")</f>
        <v/>
      </c>
      <c r="E827" s="59" t="str">
        <f>IFERROR(IF(F827&lt;&gt;"pending","",IF(OR($B827="",$B827="(blank)"),"",VLOOKUP($B827,'Email Marketing Raw Data'!$C:$O,11,0))),"")</f>
        <v/>
      </c>
      <c r="F827" s="54" t="str">
        <f>IFERROR(IF(OR($B827="",$B827="(blank)"),"",VLOOKUP($B827,'Email Marketing Raw Data'!$C:$O,13,0)),"")</f>
        <v/>
      </c>
      <c r="G827" s="55" t="str">
        <f>IFERROR(IF(OR($B827="",$B827="(blank)"),"",VLOOKUP($B827,'Email Marketing Raw Data'!$C:$O,4,0)),"")</f>
        <v/>
      </c>
      <c r="H827" s="55" t="str">
        <f>IFERROR(IF(OR($B827="",$B827="(blank)"),"",VLOOKUP($B827,'Email Marketing Raw Data'!$C:$O,5,0)),"")</f>
        <v/>
      </c>
      <c r="I827" s="55" t="str">
        <f>IFERROR(IF($G827="","",VLOOKUP('Dashboard And Emails Automate'!$G827,Database!$H:$N,3,0)),"")</f>
        <v/>
      </c>
      <c r="J827" s="55" t="str">
        <f>IFERROR(IF($G827="","",VLOOKUP('Dashboard And Emails Automate'!$G827,Database!$H:$N,4,0)),"")</f>
        <v/>
      </c>
      <c r="K827" s="55" t="str">
        <f>IFERROR(IF($G827="","",VLOOKUP('Dashboard And Emails Automate'!$G827,Database!$H:$N,5,0)),"")</f>
        <v/>
      </c>
      <c r="L827" s="55" t="str">
        <f>IFERROR(IF($G827="","",VLOOKUP('Dashboard And Emails Automate'!$G827,Database!$H:$N,6,0)),"")</f>
        <v/>
      </c>
      <c r="M827" s="55" t="str">
        <f>IFERROR(IF($G827="","",VLOOKUP('Dashboard And Emails Automate'!$G827,Database!$H:$N,7,0)),"")</f>
        <v/>
      </c>
      <c r="N827" s="55" t="str">
        <f>IFERROR(IF(OR($B827="",$B827="(blank)"),"",VLOOKUP($B827,'Email Marketing Raw Data'!$C:$O,6,0)),"")</f>
        <v/>
      </c>
      <c r="O827" s="55" t="str">
        <f>IFERROR(IF(OR($B827="",$B827="(blank)"),"",VLOOKUP($B827,'Email Marketing Raw Data'!$C:$O,7,0)),"")</f>
        <v/>
      </c>
      <c r="P827" s="55" t="str">
        <f>IFERROR(IF(OR($B827="",$B827="(blank)"),"",VLOOKUP($B827,'Email Marketing Raw Data'!$C:$O,8,0)),"")</f>
        <v/>
      </c>
      <c r="Q827" s="62" t="str">
        <f>IFERROR(IF(OR($B827="",$B827="(blank)"),"",VLOOKUP($B827,'Email Marketing Raw Data'!$C:$O,9,0)),"")</f>
        <v/>
      </c>
    </row>
    <row r="828" spans="4:17" ht="12.75" customHeight="1" x14ac:dyDescent="0.2">
      <c r="D828" s="58" t="str">
        <f>IFERROR(IF(F828&lt;&gt;"pending","",IF(OR($B828="",$B828="(blank)"),"",VLOOKUP($B828,'Email Marketing Raw Data'!$C:$O,10,0))),"")</f>
        <v/>
      </c>
      <c r="E828" s="59" t="str">
        <f>IFERROR(IF(F828&lt;&gt;"pending","",IF(OR($B828="",$B828="(blank)"),"",VLOOKUP($B828,'Email Marketing Raw Data'!$C:$O,11,0))),"")</f>
        <v/>
      </c>
      <c r="F828" s="54" t="str">
        <f>IFERROR(IF(OR($B828="",$B828="(blank)"),"",VLOOKUP($B828,'Email Marketing Raw Data'!$C:$O,13,0)),"")</f>
        <v/>
      </c>
      <c r="G828" s="55" t="str">
        <f>IFERROR(IF(OR($B828="",$B828="(blank)"),"",VLOOKUP($B828,'Email Marketing Raw Data'!$C:$O,4,0)),"")</f>
        <v/>
      </c>
      <c r="H828" s="55" t="str">
        <f>IFERROR(IF(OR($B828="",$B828="(blank)"),"",VLOOKUP($B828,'Email Marketing Raw Data'!$C:$O,5,0)),"")</f>
        <v/>
      </c>
      <c r="I828" s="55" t="str">
        <f>IFERROR(IF($G828="","",VLOOKUP('Dashboard And Emails Automate'!$G828,Database!$H:$N,3,0)),"")</f>
        <v/>
      </c>
      <c r="J828" s="55" t="str">
        <f>IFERROR(IF($G828="","",VLOOKUP('Dashboard And Emails Automate'!$G828,Database!$H:$N,4,0)),"")</f>
        <v/>
      </c>
      <c r="K828" s="55" t="str">
        <f>IFERROR(IF($G828="","",VLOOKUP('Dashboard And Emails Automate'!$G828,Database!$H:$N,5,0)),"")</f>
        <v/>
      </c>
      <c r="L828" s="55" t="str">
        <f>IFERROR(IF($G828="","",VLOOKUP('Dashboard And Emails Automate'!$G828,Database!$H:$N,6,0)),"")</f>
        <v/>
      </c>
      <c r="M828" s="55" t="str">
        <f>IFERROR(IF($G828="","",VLOOKUP('Dashboard And Emails Automate'!$G828,Database!$H:$N,7,0)),"")</f>
        <v/>
      </c>
      <c r="N828" s="55" t="str">
        <f>IFERROR(IF(OR($B828="",$B828="(blank)"),"",VLOOKUP($B828,'Email Marketing Raw Data'!$C:$O,6,0)),"")</f>
        <v/>
      </c>
      <c r="O828" s="55" t="str">
        <f>IFERROR(IF(OR($B828="",$B828="(blank)"),"",VLOOKUP($B828,'Email Marketing Raw Data'!$C:$O,7,0)),"")</f>
        <v/>
      </c>
      <c r="P828" s="55" t="str">
        <f>IFERROR(IF(OR($B828="",$B828="(blank)"),"",VLOOKUP($B828,'Email Marketing Raw Data'!$C:$O,8,0)),"")</f>
        <v/>
      </c>
      <c r="Q828" s="62" t="str">
        <f>IFERROR(IF(OR($B828="",$B828="(blank)"),"",VLOOKUP($B828,'Email Marketing Raw Data'!$C:$O,9,0)),"")</f>
        <v/>
      </c>
    </row>
    <row r="829" spans="4:17" ht="12.75" customHeight="1" x14ac:dyDescent="0.2">
      <c r="D829" s="58" t="str">
        <f>IFERROR(IF(F829&lt;&gt;"pending","",IF(OR($B829="",$B829="(blank)"),"",VLOOKUP($B829,'Email Marketing Raw Data'!$C:$O,10,0))),"")</f>
        <v/>
      </c>
      <c r="E829" s="59" t="str">
        <f>IFERROR(IF(F829&lt;&gt;"pending","",IF(OR($B829="",$B829="(blank)"),"",VLOOKUP($B829,'Email Marketing Raw Data'!$C:$O,11,0))),"")</f>
        <v/>
      </c>
      <c r="F829" s="54" t="str">
        <f>IFERROR(IF(OR($B829="",$B829="(blank)"),"",VLOOKUP($B829,'Email Marketing Raw Data'!$C:$O,13,0)),"")</f>
        <v/>
      </c>
      <c r="G829" s="55" t="str">
        <f>IFERROR(IF(OR($B829="",$B829="(blank)"),"",VLOOKUP($B829,'Email Marketing Raw Data'!$C:$O,4,0)),"")</f>
        <v/>
      </c>
      <c r="H829" s="55" t="str">
        <f>IFERROR(IF(OR($B829="",$B829="(blank)"),"",VLOOKUP($B829,'Email Marketing Raw Data'!$C:$O,5,0)),"")</f>
        <v/>
      </c>
      <c r="I829" s="55" t="str">
        <f>IFERROR(IF($G829="","",VLOOKUP('Dashboard And Emails Automate'!$G829,Database!$H:$N,3,0)),"")</f>
        <v/>
      </c>
      <c r="J829" s="55" t="str">
        <f>IFERROR(IF($G829="","",VLOOKUP('Dashboard And Emails Automate'!$G829,Database!$H:$N,4,0)),"")</f>
        <v/>
      </c>
      <c r="K829" s="55" t="str">
        <f>IFERROR(IF($G829="","",VLOOKUP('Dashboard And Emails Automate'!$G829,Database!$H:$N,5,0)),"")</f>
        <v/>
      </c>
      <c r="L829" s="55" t="str">
        <f>IFERROR(IF($G829="","",VLOOKUP('Dashboard And Emails Automate'!$G829,Database!$H:$N,6,0)),"")</f>
        <v/>
      </c>
      <c r="M829" s="55" t="str">
        <f>IFERROR(IF($G829="","",VLOOKUP('Dashboard And Emails Automate'!$G829,Database!$H:$N,7,0)),"")</f>
        <v/>
      </c>
      <c r="N829" s="55" t="str">
        <f>IFERROR(IF(OR($B829="",$B829="(blank)"),"",VLOOKUP($B829,'Email Marketing Raw Data'!$C:$O,6,0)),"")</f>
        <v/>
      </c>
      <c r="O829" s="55" t="str">
        <f>IFERROR(IF(OR($B829="",$B829="(blank)"),"",VLOOKUP($B829,'Email Marketing Raw Data'!$C:$O,7,0)),"")</f>
        <v/>
      </c>
      <c r="P829" s="55" t="str">
        <f>IFERROR(IF(OR($B829="",$B829="(blank)"),"",VLOOKUP($B829,'Email Marketing Raw Data'!$C:$O,8,0)),"")</f>
        <v/>
      </c>
      <c r="Q829" s="62" t="str">
        <f>IFERROR(IF(OR($B829="",$B829="(blank)"),"",VLOOKUP($B829,'Email Marketing Raw Data'!$C:$O,9,0)),"")</f>
        <v/>
      </c>
    </row>
    <row r="830" spans="4:17" ht="12.75" customHeight="1" x14ac:dyDescent="0.2">
      <c r="D830" s="58" t="str">
        <f>IFERROR(IF(F830&lt;&gt;"pending","",IF(OR($B830="",$B830="(blank)"),"",VLOOKUP($B830,'Email Marketing Raw Data'!$C:$O,10,0))),"")</f>
        <v/>
      </c>
      <c r="E830" s="59" t="str">
        <f>IFERROR(IF(F830&lt;&gt;"pending","",IF(OR($B830="",$B830="(blank)"),"",VLOOKUP($B830,'Email Marketing Raw Data'!$C:$O,11,0))),"")</f>
        <v/>
      </c>
      <c r="F830" s="54" t="str">
        <f>IFERROR(IF(OR($B830="",$B830="(blank)"),"",VLOOKUP($B830,'Email Marketing Raw Data'!$C:$O,13,0)),"")</f>
        <v/>
      </c>
      <c r="G830" s="55" t="str">
        <f>IFERROR(IF(OR($B830="",$B830="(blank)"),"",VLOOKUP($B830,'Email Marketing Raw Data'!$C:$O,4,0)),"")</f>
        <v/>
      </c>
      <c r="H830" s="55" t="str">
        <f>IFERROR(IF(OR($B830="",$B830="(blank)"),"",VLOOKUP($B830,'Email Marketing Raw Data'!$C:$O,5,0)),"")</f>
        <v/>
      </c>
      <c r="I830" s="55" t="str">
        <f>IFERROR(IF($G830="","",VLOOKUP('Dashboard And Emails Automate'!$G830,Database!$H:$N,3,0)),"")</f>
        <v/>
      </c>
      <c r="J830" s="55" t="str">
        <f>IFERROR(IF($G830="","",VLOOKUP('Dashboard And Emails Automate'!$G830,Database!$H:$N,4,0)),"")</f>
        <v/>
      </c>
      <c r="K830" s="55" t="str">
        <f>IFERROR(IF($G830="","",VLOOKUP('Dashboard And Emails Automate'!$G830,Database!$H:$N,5,0)),"")</f>
        <v/>
      </c>
      <c r="L830" s="55" t="str">
        <f>IFERROR(IF($G830="","",VLOOKUP('Dashboard And Emails Automate'!$G830,Database!$H:$N,6,0)),"")</f>
        <v/>
      </c>
      <c r="M830" s="55" t="str">
        <f>IFERROR(IF($G830="","",VLOOKUP('Dashboard And Emails Automate'!$G830,Database!$H:$N,7,0)),"")</f>
        <v/>
      </c>
      <c r="N830" s="55" t="str">
        <f>IFERROR(IF(OR($B830="",$B830="(blank)"),"",VLOOKUP($B830,'Email Marketing Raw Data'!$C:$O,6,0)),"")</f>
        <v/>
      </c>
      <c r="O830" s="55" t="str">
        <f>IFERROR(IF(OR($B830="",$B830="(blank)"),"",VLOOKUP($B830,'Email Marketing Raw Data'!$C:$O,7,0)),"")</f>
        <v/>
      </c>
      <c r="P830" s="55" t="str">
        <f>IFERROR(IF(OR($B830="",$B830="(blank)"),"",VLOOKUP($B830,'Email Marketing Raw Data'!$C:$O,8,0)),"")</f>
        <v/>
      </c>
      <c r="Q830" s="62" t="str">
        <f>IFERROR(IF(OR($B830="",$B830="(blank)"),"",VLOOKUP($B830,'Email Marketing Raw Data'!$C:$O,9,0)),"")</f>
        <v/>
      </c>
    </row>
    <row r="831" spans="4:17" ht="12.75" customHeight="1" x14ac:dyDescent="0.2">
      <c r="D831" s="58" t="str">
        <f>IFERROR(IF(F831&lt;&gt;"pending","",IF(OR($B831="",$B831="(blank)"),"",VLOOKUP($B831,'Email Marketing Raw Data'!$C:$O,10,0))),"")</f>
        <v/>
      </c>
      <c r="E831" s="59" t="str">
        <f>IFERROR(IF(F831&lt;&gt;"pending","",IF(OR($B831="",$B831="(blank)"),"",VLOOKUP($B831,'Email Marketing Raw Data'!$C:$O,11,0))),"")</f>
        <v/>
      </c>
      <c r="F831" s="54" t="str">
        <f>IFERROR(IF(OR($B831="",$B831="(blank)"),"",VLOOKUP($B831,'Email Marketing Raw Data'!$C:$O,13,0)),"")</f>
        <v/>
      </c>
      <c r="G831" s="55" t="str">
        <f>IFERROR(IF(OR($B831="",$B831="(blank)"),"",VLOOKUP($B831,'Email Marketing Raw Data'!$C:$O,4,0)),"")</f>
        <v/>
      </c>
      <c r="H831" s="55" t="str">
        <f>IFERROR(IF(OR($B831="",$B831="(blank)"),"",VLOOKUP($B831,'Email Marketing Raw Data'!$C:$O,5,0)),"")</f>
        <v/>
      </c>
      <c r="I831" s="55" t="str">
        <f>IFERROR(IF($G831="","",VLOOKUP('Dashboard And Emails Automate'!$G831,Database!$H:$N,3,0)),"")</f>
        <v/>
      </c>
      <c r="J831" s="55" t="str">
        <f>IFERROR(IF($G831="","",VLOOKUP('Dashboard And Emails Automate'!$G831,Database!$H:$N,4,0)),"")</f>
        <v/>
      </c>
      <c r="K831" s="55" t="str">
        <f>IFERROR(IF($G831="","",VLOOKUP('Dashboard And Emails Automate'!$G831,Database!$H:$N,5,0)),"")</f>
        <v/>
      </c>
      <c r="L831" s="55" t="str">
        <f>IFERROR(IF($G831="","",VLOOKUP('Dashboard And Emails Automate'!$G831,Database!$H:$N,6,0)),"")</f>
        <v/>
      </c>
      <c r="M831" s="55" t="str">
        <f>IFERROR(IF($G831="","",VLOOKUP('Dashboard And Emails Automate'!$G831,Database!$H:$N,7,0)),"")</f>
        <v/>
      </c>
      <c r="N831" s="55" t="str">
        <f>IFERROR(IF(OR($B831="",$B831="(blank)"),"",VLOOKUP($B831,'Email Marketing Raw Data'!$C:$O,6,0)),"")</f>
        <v/>
      </c>
      <c r="O831" s="55" t="str">
        <f>IFERROR(IF(OR($B831="",$B831="(blank)"),"",VLOOKUP($B831,'Email Marketing Raw Data'!$C:$O,7,0)),"")</f>
        <v/>
      </c>
      <c r="P831" s="55" t="str">
        <f>IFERROR(IF(OR($B831="",$B831="(blank)"),"",VLOOKUP($B831,'Email Marketing Raw Data'!$C:$O,8,0)),"")</f>
        <v/>
      </c>
      <c r="Q831" s="62" t="str">
        <f>IFERROR(IF(OR($B831="",$B831="(blank)"),"",VLOOKUP($B831,'Email Marketing Raw Data'!$C:$O,9,0)),"")</f>
        <v/>
      </c>
    </row>
    <row r="832" spans="4:17" ht="12.75" customHeight="1" x14ac:dyDescent="0.2">
      <c r="D832" s="58" t="str">
        <f>IFERROR(IF(F832&lt;&gt;"pending","",IF(OR($B832="",$B832="(blank)"),"",VLOOKUP($B832,'Email Marketing Raw Data'!$C:$O,10,0))),"")</f>
        <v/>
      </c>
      <c r="E832" s="59" t="str">
        <f>IFERROR(IF(F832&lt;&gt;"pending","",IF(OR($B832="",$B832="(blank)"),"",VLOOKUP($B832,'Email Marketing Raw Data'!$C:$O,11,0))),"")</f>
        <v/>
      </c>
      <c r="F832" s="54" t="str">
        <f>IFERROR(IF(OR($B832="",$B832="(blank)"),"",VLOOKUP($B832,'Email Marketing Raw Data'!$C:$O,13,0)),"")</f>
        <v/>
      </c>
      <c r="G832" s="55" t="str">
        <f>IFERROR(IF(OR($B832="",$B832="(blank)"),"",VLOOKUP($B832,'Email Marketing Raw Data'!$C:$O,4,0)),"")</f>
        <v/>
      </c>
      <c r="H832" s="55" t="str">
        <f>IFERROR(IF(OR($B832="",$B832="(blank)"),"",VLOOKUP($B832,'Email Marketing Raw Data'!$C:$O,5,0)),"")</f>
        <v/>
      </c>
      <c r="I832" s="55" t="str">
        <f>IFERROR(IF($G832="","",VLOOKUP('Dashboard And Emails Automate'!$G832,Database!$H:$N,3,0)),"")</f>
        <v/>
      </c>
      <c r="J832" s="55" t="str">
        <f>IFERROR(IF($G832="","",VLOOKUP('Dashboard And Emails Automate'!$G832,Database!$H:$N,4,0)),"")</f>
        <v/>
      </c>
      <c r="K832" s="55" t="str">
        <f>IFERROR(IF($G832="","",VLOOKUP('Dashboard And Emails Automate'!$G832,Database!$H:$N,5,0)),"")</f>
        <v/>
      </c>
      <c r="L832" s="55" t="str">
        <f>IFERROR(IF($G832="","",VLOOKUP('Dashboard And Emails Automate'!$G832,Database!$H:$N,6,0)),"")</f>
        <v/>
      </c>
      <c r="M832" s="55" t="str">
        <f>IFERROR(IF($G832="","",VLOOKUP('Dashboard And Emails Automate'!$G832,Database!$H:$N,7,0)),"")</f>
        <v/>
      </c>
      <c r="N832" s="55" t="str">
        <f>IFERROR(IF(OR($B832="",$B832="(blank)"),"",VLOOKUP($B832,'Email Marketing Raw Data'!$C:$O,6,0)),"")</f>
        <v/>
      </c>
      <c r="O832" s="55" t="str">
        <f>IFERROR(IF(OR($B832="",$B832="(blank)"),"",VLOOKUP($B832,'Email Marketing Raw Data'!$C:$O,7,0)),"")</f>
        <v/>
      </c>
      <c r="P832" s="55" t="str">
        <f>IFERROR(IF(OR($B832="",$B832="(blank)"),"",VLOOKUP($B832,'Email Marketing Raw Data'!$C:$O,8,0)),"")</f>
        <v/>
      </c>
      <c r="Q832" s="62" t="str">
        <f>IFERROR(IF(OR($B832="",$B832="(blank)"),"",VLOOKUP($B832,'Email Marketing Raw Data'!$C:$O,9,0)),"")</f>
        <v/>
      </c>
    </row>
    <row r="833" spans="4:17" ht="12.75" customHeight="1" x14ac:dyDescent="0.2">
      <c r="D833" s="58" t="str">
        <f>IFERROR(IF(F833&lt;&gt;"pending","",IF(OR($B833="",$B833="(blank)"),"",VLOOKUP($B833,'Email Marketing Raw Data'!$C:$O,10,0))),"")</f>
        <v/>
      </c>
      <c r="E833" s="59" t="str">
        <f>IFERROR(IF(F833&lt;&gt;"pending","",IF(OR($B833="",$B833="(blank)"),"",VLOOKUP($B833,'Email Marketing Raw Data'!$C:$O,11,0))),"")</f>
        <v/>
      </c>
      <c r="F833" s="54" t="str">
        <f>IFERROR(IF(OR($B833="",$B833="(blank)"),"",VLOOKUP($B833,'Email Marketing Raw Data'!$C:$O,13,0)),"")</f>
        <v/>
      </c>
      <c r="G833" s="55" t="str">
        <f>IFERROR(IF(OR($B833="",$B833="(blank)"),"",VLOOKUP($B833,'Email Marketing Raw Data'!$C:$O,4,0)),"")</f>
        <v/>
      </c>
      <c r="H833" s="55" t="str">
        <f>IFERROR(IF(OR($B833="",$B833="(blank)"),"",VLOOKUP($B833,'Email Marketing Raw Data'!$C:$O,5,0)),"")</f>
        <v/>
      </c>
      <c r="I833" s="55" t="str">
        <f>IFERROR(IF($G833="","",VLOOKUP('Dashboard And Emails Automate'!$G833,Database!$H:$N,3,0)),"")</f>
        <v/>
      </c>
      <c r="J833" s="55" t="str">
        <f>IFERROR(IF($G833="","",VLOOKUP('Dashboard And Emails Automate'!$G833,Database!$H:$N,4,0)),"")</f>
        <v/>
      </c>
      <c r="K833" s="55" t="str">
        <f>IFERROR(IF($G833="","",VLOOKUP('Dashboard And Emails Automate'!$G833,Database!$H:$N,5,0)),"")</f>
        <v/>
      </c>
      <c r="L833" s="55" t="str">
        <f>IFERROR(IF($G833="","",VLOOKUP('Dashboard And Emails Automate'!$G833,Database!$H:$N,6,0)),"")</f>
        <v/>
      </c>
      <c r="M833" s="55" t="str">
        <f>IFERROR(IF($G833="","",VLOOKUP('Dashboard And Emails Automate'!$G833,Database!$H:$N,7,0)),"")</f>
        <v/>
      </c>
      <c r="N833" s="55" t="str">
        <f>IFERROR(IF(OR($B833="",$B833="(blank)"),"",VLOOKUP($B833,'Email Marketing Raw Data'!$C:$O,6,0)),"")</f>
        <v/>
      </c>
      <c r="O833" s="55" t="str">
        <f>IFERROR(IF(OR($B833="",$B833="(blank)"),"",VLOOKUP($B833,'Email Marketing Raw Data'!$C:$O,7,0)),"")</f>
        <v/>
      </c>
      <c r="P833" s="55" t="str">
        <f>IFERROR(IF(OR($B833="",$B833="(blank)"),"",VLOOKUP($B833,'Email Marketing Raw Data'!$C:$O,8,0)),"")</f>
        <v/>
      </c>
      <c r="Q833" s="62" t="str">
        <f>IFERROR(IF(OR($B833="",$B833="(blank)"),"",VLOOKUP($B833,'Email Marketing Raw Data'!$C:$O,9,0)),"")</f>
        <v/>
      </c>
    </row>
    <row r="834" spans="4:17" ht="12.75" customHeight="1" x14ac:dyDescent="0.2">
      <c r="D834" s="58" t="str">
        <f>IFERROR(IF(F834&lt;&gt;"pending","",IF(OR($B834="",$B834="(blank)"),"",VLOOKUP($B834,'Email Marketing Raw Data'!$C:$O,10,0))),"")</f>
        <v/>
      </c>
      <c r="E834" s="59" t="str">
        <f>IFERROR(IF(F834&lt;&gt;"pending","",IF(OR($B834="",$B834="(blank)"),"",VLOOKUP($B834,'Email Marketing Raw Data'!$C:$O,11,0))),"")</f>
        <v/>
      </c>
      <c r="F834" s="54" t="str">
        <f>IFERROR(IF(OR($B834="",$B834="(blank)"),"",VLOOKUP($B834,'Email Marketing Raw Data'!$C:$O,13,0)),"")</f>
        <v/>
      </c>
      <c r="G834" s="55" t="str">
        <f>IFERROR(IF(OR($B834="",$B834="(blank)"),"",VLOOKUP($B834,'Email Marketing Raw Data'!$C:$O,4,0)),"")</f>
        <v/>
      </c>
      <c r="H834" s="55" t="str">
        <f>IFERROR(IF(OR($B834="",$B834="(blank)"),"",VLOOKUP($B834,'Email Marketing Raw Data'!$C:$O,5,0)),"")</f>
        <v/>
      </c>
      <c r="I834" s="55" t="str">
        <f>IFERROR(IF($G834="","",VLOOKUP('Dashboard And Emails Automate'!$G834,Database!$H:$N,3,0)),"")</f>
        <v/>
      </c>
      <c r="J834" s="55" t="str">
        <f>IFERROR(IF($G834="","",VLOOKUP('Dashboard And Emails Automate'!$G834,Database!$H:$N,4,0)),"")</f>
        <v/>
      </c>
      <c r="K834" s="55" t="str">
        <f>IFERROR(IF($G834="","",VLOOKUP('Dashboard And Emails Automate'!$G834,Database!$H:$N,5,0)),"")</f>
        <v/>
      </c>
      <c r="L834" s="55" t="str">
        <f>IFERROR(IF($G834="","",VLOOKUP('Dashboard And Emails Automate'!$G834,Database!$H:$N,6,0)),"")</f>
        <v/>
      </c>
      <c r="M834" s="55" t="str">
        <f>IFERROR(IF($G834="","",VLOOKUP('Dashboard And Emails Automate'!$G834,Database!$H:$N,7,0)),"")</f>
        <v/>
      </c>
      <c r="N834" s="55" t="str">
        <f>IFERROR(IF(OR($B834="",$B834="(blank)"),"",VLOOKUP($B834,'Email Marketing Raw Data'!$C:$O,6,0)),"")</f>
        <v/>
      </c>
      <c r="O834" s="55" t="str">
        <f>IFERROR(IF(OR($B834="",$B834="(blank)"),"",VLOOKUP($B834,'Email Marketing Raw Data'!$C:$O,7,0)),"")</f>
        <v/>
      </c>
      <c r="P834" s="55" t="str">
        <f>IFERROR(IF(OR($B834="",$B834="(blank)"),"",VLOOKUP($B834,'Email Marketing Raw Data'!$C:$O,8,0)),"")</f>
        <v/>
      </c>
      <c r="Q834" s="62" t="str">
        <f>IFERROR(IF(OR($B834="",$B834="(blank)"),"",VLOOKUP($B834,'Email Marketing Raw Data'!$C:$O,9,0)),"")</f>
        <v/>
      </c>
    </row>
    <row r="835" spans="4:17" ht="12.75" customHeight="1" x14ac:dyDescent="0.2">
      <c r="D835" s="58" t="str">
        <f>IFERROR(IF(F835&lt;&gt;"pending","",IF(OR($B835="",$B835="(blank)"),"",VLOOKUP($B835,'Email Marketing Raw Data'!$C:$O,10,0))),"")</f>
        <v/>
      </c>
      <c r="E835" s="59" t="str">
        <f>IFERROR(IF(F835&lt;&gt;"pending","",IF(OR($B835="",$B835="(blank)"),"",VLOOKUP($B835,'Email Marketing Raw Data'!$C:$O,11,0))),"")</f>
        <v/>
      </c>
      <c r="F835" s="54" t="str">
        <f>IFERROR(IF(OR($B835="",$B835="(blank)"),"",VLOOKUP($B835,'Email Marketing Raw Data'!$C:$O,13,0)),"")</f>
        <v/>
      </c>
      <c r="G835" s="55" t="str">
        <f>IFERROR(IF(OR($B835="",$B835="(blank)"),"",VLOOKUP($B835,'Email Marketing Raw Data'!$C:$O,4,0)),"")</f>
        <v/>
      </c>
      <c r="H835" s="55" t="str">
        <f>IFERROR(IF(OR($B835="",$B835="(blank)"),"",VLOOKUP($B835,'Email Marketing Raw Data'!$C:$O,5,0)),"")</f>
        <v/>
      </c>
      <c r="I835" s="55" t="str">
        <f>IFERROR(IF($G835="","",VLOOKUP('Dashboard And Emails Automate'!$G835,Database!$H:$N,3,0)),"")</f>
        <v/>
      </c>
      <c r="J835" s="55" t="str">
        <f>IFERROR(IF($G835="","",VLOOKUP('Dashboard And Emails Automate'!$G835,Database!$H:$N,4,0)),"")</f>
        <v/>
      </c>
      <c r="K835" s="55" t="str">
        <f>IFERROR(IF($G835="","",VLOOKUP('Dashboard And Emails Automate'!$G835,Database!$H:$N,5,0)),"")</f>
        <v/>
      </c>
      <c r="L835" s="55" t="str">
        <f>IFERROR(IF($G835="","",VLOOKUP('Dashboard And Emails Automate'!$G835,Database!$H:$N,6,0)),"")</f>
        <v/>
      </c>
      <c r="M835" s="55" t="str">
        <f>IFERROR(IF($G835="","",VLOOKUP('Dashboard And Emails Automate'!$G835,Database!$H:$N,7,0)),"")</f>
        <v/>
      </c>
      <c r="N835" s="55" t="str">
        <f>IFERROR(IF(OR($B835="",$B835="(blank)"),"",VLOOKUP($B835,'Email Marketing Raw Data'!$C:$O,6,0)),"")</f>
        <v/>
      </c>
      <c r="O835" s="55" t="str">
        <f>IFERROR(IF(OR($B835="",$B835="(blank)"),"",VLOOKUP($B835,'Email Marketing Raw Data'!$C:$O,7,0)),"")</f>
        <v/>
      </c>
      <c r="P835" s="55" t="str">
        <f>IFERROR(IF(OR($B835="",$B835="(blank)"),"",VLOOKUP($B835,'Email Marketing Raw Data'!$C:$O,8,0)),"")</f>
        <v/>
      </c>
      <c r="Q835" s="62" t="str">
        <f>IFERROR(IF(OR($B835="",$B835="(blank)"),"",VLOOKUP($B835,'Email Marketing Raw Data'!$C:$O,9,0)),"")</f>
        <v/>
      </c>
    </row>
    <row r="836" spans="4:17" ht="12.75" customHeight="1" x14ac:dyDescent="0.2">
      <c r="D836" s="58" t="str">
        <f>IFERROR(IF(F836&lt;&gt;"pending","",IF(OR($B836="",$B836="(blank)"),"",VLOOKUP($B836,'Email Marketing Raw Data'!$C:$O,10,0))),"")</f>
        <v/>
      </c>
      <c r="E836" s="59" t="str">
        <f>IFERROR(IF(F836&lt;&gt;"pending","",IF(OR($B836="",$B836="(blank)"),"",VLOOKUP($B836,'Email Marketing Raw Data'!$C:$O,11,0))),"")</f>
        <v/>
      </c>
      <c r="F836" s="54" t="str">
        <f>IFERROR(IF(OR($B836="",$B836="(blank)"),"",VLOOKUP($B836,'Email Marketing Raw Data'!$C:$O,13,0)),"")</f>
        <v/>
      </c>
      <c r="G836" s="55" t="str">
        <f>IFERROR(IF(OR($B836="",$B836="(blank)"),"",VLOOKUP($B836,'Email Marketing Raw Data'!$C:$O,4,0)),"")</f>
        <v/>
      </c>
      <c r="H836" s="55" t="str">
        <f>IFERROR(IF(OR($B836="",$B836="(blank)"),"",VLOOKUP($B836,'Email Marketing Raw Data'!$C:$O,5,0)),"")</f>
        <v/>
      </c>
      <c r="I836" s="55" t="str">
        <f>IFERROR(IF($G836="","",VLOOKUP('Dashboard And Emails Automate'!$G836,Database!$H:$N,3,0)),"")</f>
        <v/>
      </c>
      <c r="J836" s="55" t="str">
        <f>IFERROR(IF($G836="","",VLOOKUP('Dashboard And Emails Automate'!$G836,Database!$H:$N,4,0)),"")</f>
        <v/>
      </c>
      <c r="K836" s="55" t="str">
        <f>IFERROR(IF($G836="","",VLOOKUP('Dashboard And Emails Automate'!$G836,Database!$H:$N,5,0)),"")</f>
        <v/>
      </c>
      <c r="L836" s="55" t="str">
        <f>IFERROR(IF($G836="","",VLOOKUP('Dashboard And Emails Automate'!$G836,Database!$H:$N,6,0)),"")</f>
        <v/>
      </c>
      <c r="M836" s="55" t="str">
        <f>IFERROR(IF($G836="","",VLOOKUP('Dashboard And Emails Automate'!$G836,Database!$H:$N,7,0)),"")</f>
        <v/>
      </c>
      <c r="N836" s="55" t="str">
        <f>IFERROR(IF(OR($B836="",$B836="(blank)"),"",VLOOKUP($B836,'Email Marketing Raw Data'!$C:$O,6,0)),"")</f>
        <v/>
      </c>
      <c r="O836" s="55" t="str">
        <f>IFERROR(IF(OR($B836="",$B836="(blank)"),"",VLOOKUP($B836,'Email Marketing Raw Data'!$C:$O,7,0)),"")</f>
        <v/>
      </c>
      <c r="P836" s="55" t="str">
        <f>IFERROR(IF(OR($B836="",$B836="(blank)"),"",VLOOKUP($B836,'Email Marketing Raw Data'!$C:$O,8,0)),"")</f>
        <v/>
      </c>
      <c r="Q836" s="62" t="str">
        <f>IFERROR(IF(OR($B836="",$B836="(blank)"),"",VLOOKUP($B836,'Email Marketing Raw Data'!$C:$O,9,0)),"")</f>
        <v/>
      </c>
    </row>
    <row r="837" spans="4:17" ht="12.75" customHeight="1" x14ac:dyDescent="0.2">
      <c r="D837" s="58" t="str">
        <f>IFERROR(IF(F837&lt;&gt;"pending","",IF(OR($B837="",$B837="(blank)"),"",VLOOKUP($B837,'Email Marketing Raw Data'!$C:$O,10,0))),"")</f>
        <v/>
      </c>
      <c r="E837" s="59" t="str">
        <f>IFERROR(IF(F837&lt;&gt;"pending","",IF(OR($B837="",$B837="(blank)"),"",VLOOKUP($B837,'Email Marketing Raw Data'!$C:$O,11,0))),"")</f>
        <v/>
      </c>
      <c r="F837" s="54" t="str">
        <f>IFERROR(IF(OR($B837="",$B837="(blank)"),"",VLOOKUP($B837,'Email Marketing Raw Data'!$C:$O,13,0)),"")</f>
        <v/>
      </c>
      <c r="G837" s="55" t="str">
        <f>IFERROR(IF(OR($B837="",$B837="(blank)"),"",VLOOKUP($B837,'Email Marketing Raw Data'!$C:$O,4,0)),"")</f>
        <v/>
      </c>
      <c r="H837" s="55" t="str">
        <f>IFERROR(IF(OR($B837="",$B837="(blank)"),"",VLOOKUP($B837,'Email Marketing Raw Data'!$C:$O,5,0)),"")</f>
        <v/>
      </c>
      <c r="I837" s="55" t="str">
        <f>IFERROR(IF($G837="","",VLOOKUP('Dashboard And Emails Automate'!$G837,Database!$H:$N,3,0)),"")</f>
        <v/>
      </c>
      <c r="J837" s="55" t="str">
        <f>IFERROR(IF($G837="","",VLOOKUP('Dashboard And Emails Automate'!$G837,Database!$H:$N,4,0)),"")</f>
        <v/>
      </c>
      <c r="K837" s="55" t="str">
        <f>IFERROR(IF($G837="","",VLOOKUP('Dashboard And Emails Automate'!$G837,Database!$H:$N,5,0)),"")</f>
        <v/>
      </c>
      <c r="L837" s="55" t="str">
        <f>IFERROR(IF($G837="","",VLOOKUP('Dashboard And Emails Automate'!$G837,Database!$H:$N,6,0)),"")</f>
        <v/>
      </c>
      <c r="M837" s="55" t="str">
        <f>IFERROR(IF($G837="","",VLOOKUP('Dashboard And Emails Automate'!$G837,Database!$H:$N,7,0)),"")</f>
        <v/>
      </c>
      <c r="N837" s="55" t="str">
        <f>IFERROR(IF(OR($B837="",$B837="(blank)"),"",VLOOKUP($B837,'Email Marketing Raw Data'!$C:$O,6,0)),"")</f>
        <v/>
      </c>
      <c r="O837" s="55" t="str">
        <f>IFERROR(IF(OR($B837="",$B837="(blank)"),"",VLOOKUP($B837,'Email Marketing Raw Data'!$C:$O,7,0)),"")</f>
        <v/>
      </c>
      <c r="P837" s="55" t="str">
        <f>IFERROR(IF(OR($B837="",$B837="(blank)"),"",VLOOKUP($B837,'Email Marketing Raw Data'!$C:$O,8,0)),"")</f>
        <v/>
      </c>
      <c r="Q837" s="62" t="str">
        <f>IFERROR(IF(OR($B837="",$B837="(blank)"),"",VLOOKUP($B837,'Email Marketing Raw Data'!$C:$O,9,0)),"")</f>
        <v/>
      </c>
    </row>
    <row r="838" spans="4:17" ht="12.75" customHeight="1" x14ac:dyDescent="0.2">
      <c r="D838" s="58" t="str">
        <f>IFERROR(IF(F838&lt;&gt;"pending","",IF(OR($B838="",$B838="(blank)"),"",VLOOKUP($B838,'Email Marketing Raw Data'!$C:$O,10,0))),"")</f>
        <v/>
      </c>
      <c r="E838" s="59" t="str">
        <f>IFERROR(IF(F838&lt;&gt;"pending","",IF(OR($B838="",$B838="(blank)"),"",VLOOKUP($B838,'Email Marketing Raw Data'!$C:$O,11,0))),"")</f>
        <v/>
      </c>
      <c r="F838" s="54" t="str">
        <f>IFERROR(IF(OR($B838="",$B838="(blank)"),"",VLOOKUP($B838,'Email Marketing Raw Data'!$C:$O,13,0)),"")</f>
        <v/>
      </c>
      <c r="G838" s="55" t="str">
        <f>IFERROR(IF(OR($B838="",$B838="(blank)"),"",VLOOKUP($B838,'Email Marketing Raw Data'!$C:$O,4,0)),"")</f>
        <v/>
      </c>
      <c r="H838" s="55" t="str">
        <f>IFERROR(IF(OR($B838="",$B838="(blank)"),"",VLOOKUP($B838,'Email Marketing Raw Data'!$C:$O,5,0)),"")</f>
        <v/>
      </c>
      <c r="I838" s="55" t="str">
        <f>IFERROR(IF($G838="","",VLOOKUP('Dashboard And Emails Automate'!$G838,Database!$H:$N,3,0)),"")</f>
        <v/>
      </c>
      <c r="J838" s="55" t="str">
        <f>IFERROR(IF($G838="","",VLOOKUP('Dashboard And Emails Automate'!$G838,Database!$H:$N,4,0)),"")</f>
        <v/>
      </c>
      <c r="K838" s="55" t="str">
        <f>IFERROR(IF($G838="","",VLOOKUP('Dashboard And Emails Automate'!$G838,Database!$H:$N,5,0)),"")</f>
        <v/>
      </c>
      <c r="L838" s="55" t="str">
        <f>IFERROR(IF($G838="","",VLOOKUP('Dashboard And Emails Automate'!$G838,Database!$H:$N,6,0)),"")</f>
        <v/>
      </c>
      <c r="M838" s="55" t="str">
        <f>IFERROR(IF($G838="","",VLOOKUP('Dashboard And Emails Automate'!$G838,Database!$H:$N,7,0)),"")</f>
        <v/>
      </c>
      <c r="N838" s="55" t="str">
        <f>IFERROR(IF(OR($B838="",$B838="(blank)"),"",VLOOKUP($B838,'Email Marketing Raw Data'!$C:$O,6,0)),"")</f>
        <v/>
      </c>
      <c r="O838" s="55" t="str">
        <f>IFERROR(IF(OR($B838="",$B838="(blank)"),"",VLOOKUP($B838,'Email Marketing Raw Data'!$C:$O,7,0)),"")</f>
        <v/>
      </c>
      <c r="P838" s="55" t="str">
        <f>IFERROR(IF(OR($B838="",$B838="(blank)"),"",VLOOKUP($B838,'Email Marketing Raw Data'!$C:$O,8,0)),"")</f>
        <v/>
      </c>
      <c r="Q838" s="62" t="str">
        <f>IFERROR(IF(OR($B838="",$B838="(blank)"),"",VLOOKUP($B838,'Email Marketing Raw Data'!$C:$O,9,0)),"")</f>
        <v/>
      </c>
    </row>
    <row r="839" spans="4:17" ht="12.75" customHeight="1" x14ac:dyDescent="0.2">
      <c r="D839" s="58" t="str">
        <f>IFERROR(IF(F839&lt;&gt;"pending","",IF(OR($B839="",$B839="(blank)"),"",VLOOKUP($B839,'Email Marketing Raw Data'!$C:$O,10,0))),"")</f>
        <v/>
      </c>
      <c r="E839" s="59" t="str">
        <f>IFERROR(IF(F839&lt;&gt;"pending","",IF(OR($B839="",$B839="(blank)"),"",VLOOKUP($B839,'Email Marketing Raw Data'!$C:$O,11,0))),"")</f>
        <v/>
      </c>
      <c r="F839" s="54" t="str">
        <f>IFERROR(IF(OR($B839="",$B839="(blank)"),"",VLOOKUP($B839,'Email Marketing Raw Data'!$C:$O,13,0)),"")</f>
        <v/>
      </c>
      <c r="G839" s="55" t="str">
        <f>IFERROR(IF(OR($B839="",$B839="(blank)"),"",VLOOKUP($B839,'Email Marketing Raw Data'!$C:$O,4,0)),"")</f>
        <v/>
      </c>
      <c r="H839" s="55" t="str">
        <f>IFERROR(IF(OR($B839="",$B839="(blank)"),"",VLOOKUP($B839,'Email Marketing Raw Data'!$C:$O,5,0)),"")</f>
        <v/>
      </c>
      <c r="I839" s="55" t="str">
        <f>IFERROR(IF($G839="","",VLOOKUP('Dashboard And Emails Automate'!$G839,Database!$H:$N,3,0)),"")</f>
        <v/>
      </c>
      <c r="J839" s="55" t="str">
        <f>IFERROR(IF($G839="","",VLOOKUP('Dashboard And Emails Automate'!$G839,Database!$H:$N,4,0)),"")</f>
        <v/>
      </c>
      <c r="K839" s="55" t="str">
        <f>IFERROR(IF($G839="","",VLOOKUP('Dashboard And Emails Automate'!$G839,Database!$H:$N,5,0)),"")</f>
        <v/>
      </c>
      <c r="L839" s="55" t="str">
        <f>IFERROR(IF($G839="","",VLOOKUP('Dashboard And Emails Automate'!$G839,Database!$H:$N,6,0)),"")</f>
        <v/>
      </c>
      <c r="M839" s="55" t="str">
        <f>IFERROR(IF($G839="","",VLOOKUP('Dashboard And Emails Automate'!$G839,Database!$H:$N,7,0)),"")</f>
        <v/>
      </c>
      <c r="N839" s="55" t="str">
        <f>IFERROR(IF(OR($B839="",$B839="(blank)"),"",VLOOKUP($B839,'Email Marketing Raw Data'!$C:$O,6,0)),"")</f>
        <v/>
      </c>
      <c r="O839" s="55" t="str">
        <f>IFERROR(IF(OR($B839="",$B839="(blank)"),"",VLOOKUP($B839,'Email Marketing Raw Data'!$C:$O,7,0)),"")</f>
        <v/>
      </c>
      <c r="P839" s="55" t="str">
        <f>IFERROR(IF(OR($B839="",$B839="(blank)"),"",VLOOKUP($B839,'Email Marketing Raw Data'!$C:$O,8,0)),"")</f>
        <v/>
      </c>
      <c r="Q839" s="62" t="str">
        <f>IFERROR(IF(OR($B839="",$B839="(blank)"),"",VLOOKUP($B839,'Email Marketing Raw Data'!$C:$O,9,0)),"")</f>
        <v/>
      </c>
    </row>
    <row r="840" spans="4:17" ht="12.75" customHeight="1" x14ac:dyDescent="0.2">
      <c r="D840" s="58" t="str">
        <f>IFERROR(IF(F840&lt;&gt;"pending","",IF(OR($B840="",$B840="(blank)"),"",VLOOKUP($B840,'Email Marketing Raw Data'!$C:$O,10,0))),"")</f>
        <v/>
      </c>
      <c r="E840" s="59" t="str">
        <f>IFERROR(IF(F840&lt;&gt;"pending","",IF(OR($B840="",$B840="(blank)"),"",VLOOKUP($B840,'Email Marketing Raw Data'!$C:$O,11,0))),"")</f>
        <v/>
      </c>
      <c r="F840" s="54" t="str">
        <f>IFERROR(IF(OR($B840="",$B840="(blank)"),"",VLOOKUP($B840,'Email Marketing Raw Data'!$C:$O,13,0)),"")</f>
        <v/>
      </c>
      <c r="G840" s="55" t="str">
        <f>IFERROR(IF(OR($B840="",$B840="(blank)"),"",VLOOKUP($B840,'Email Marketing Raw Data'!$C:$O,4,0)),"")</f>
        <v/>
      </c>
      <c r="H840" s="55" t="str">
        <f>IFERROR(IF(OR($B840="",$B840="(blank)"),"",VLOOKUP($B840,'Email Marketing Raw Data'!$C:$O,5,0)),"")</f>
        <v/>
      </c>
      <c r="I840" s="55" t="str">
        <f>IFERROR(IF($G840="","",VLOOKUP('Dashboard And Emails Automate'!$G840,Database!$H:$N,3,0)),"")</f>
        <v/>
      </c>
      <c r="J840" s="55" t="str">
        <f>IFERROR(IF($G840="","",VLOOKUP('Dashboard And Emails Automate'!$G840,Database!$H:$N,4,0)),"")</f>
        <v/>
      </c>
      <c r="K840" s="55" t="str">
        <f>IFERROR(IF($G840="","",VLOOKUP('Dashboard And Emails Automate'!$G840,Database!$H:$N,5,0)),"")</f>
        <v/>
      </c>
      <c r="L840" s="55" t="str">
        <f>IFERROR(IF($G840="","",VLOOKUP('Dashboard And Emails Automate'!$G840,Database!$H:$N,6,0)),"")</f>
        <v/>
      </c>
      <c r="M840" s="55" t="str">
        <f>IFERROR(IF($G840="","",VLOOKUP('Dashboard And Emails Automate'!$G840,Database!$H:$N,7,0)),"")</f>
        <v/>
      </c>
      <c r="N840" s="55" t="str">
        <f>IFERROR(IF(OR($B840="",$B840="(blank)"),"",VLOOKUP($B840,'Email Marketing Raw Data'!$C:$O,6,0)),"")</f>
        <v/>
      </c>
      <c r="O840" s="55" t="str">
        <f>IFERROR(IF(OR($B840="",$B840="(blank)"),"",VLOOKUP($B840,'Email Marketing Raw Data'!$C:$O,7,0)),"")</f>
        <v/>
      </c>
      <c r="P840" s="55" t="str">
        <f>IFERROR(IF(OR($B840="",$B840="(blank)"),"",VLOOKUP($B840,'Email Marketing Raw Data'!$C:$O,8,0)),"")</f>
        <v/>
      </c>
      <c r="Q840" s="62" t="str">
        <f>IFERROR(IF(OR($B840="",$B840="(blank)"),"",VLOOKUP($B840,'Email Marketing Raw Data'!$C:$O,9,0)),"")</f>
        <v/>
      </c>
    </row>
    <row r="841" spans="4:17" ht="12.75" customHeight="1" x14ac:dyDescent="0.2">
      <c r="D841" s="58" t="str">
        <f>IFERROR(IF(F841&lt;&gt;"pending","",IF(OR($B841="",$B841="(blank)"),"",VLOOKUP($B841,'Email Marketing Raw Data'!$C:$O,10,0))),"")</f>
        <v/>
      </c>
      <c r="E841" s="59" t="str">
        <f>IFERROR(IF(F841&lt;&gt;"pending","",IF(OR($B841="",$B841="(blank)"),"",VLOOKUP($B841,'Email Marketing Raw Data'!$C:$O,11,0))),"")</f>
        <v/>
      </c>
      <c r="F841" s="54" t="str">
        <f>IFERROR(IF(OR($B841="",$B841="(blank)"),"",VLOOKUP($B841,'Email Marketing Raw Data'!$C:$O,13,0)),"")</f>
        <v/>
      </c>
      <c r="G841" s="55" t="str">
        <f>IFERROR(IF(OR($B841="",$B841="(blank)"),"",VLOOKUP($B841,'Email Marketing Raw Data'!$C:$O,4,0)),"")</f>
        <v/>
      </c>
      <c r="H841" s="55" t="str">
        <f>IFERROR(IF(OR($B841="",$B841="(blank)"),"",VLOOKUP($B841,'Email Marketing Raw Data'!$C:$O,5,0)),"")</f>
        <v/>
      </c>
      <c r="I841" s="55" t="str">
        <f>IFERROR(IF($G841="","",VLOOKUP('Dashboard And Emails Automate'!$G841,Database!$H:$N,3,0)),"")</f>
        <v/>
      </c>
      <c r="J841" s="55" t="str">
        <f>IFERROR(IF($G841="","",VLOOKUP('Dashboard And Emails Automate'!$G841,Database!$H:$N,4,0)),"")</f>
        <v/>
      </c>
      <c r="K841" s="55" t="str">
        <f>IFERROR(IF($G841="","",VLOOKUP('Dashboard And Emails Automate'!$G841,Database!$H:$N,5,0)),"")</f>
        <v/>
      </c>
      <c r="L841" s="55" t="str">
        <f>IFERROR(IF($G841="","",VLOOKUP('Dashboard And Emails Automate'!$G841,Database!$H:$N,6,0)),"")</f>
        <v/>
      </c>
      <c r="M841" s="55" t="str">
        <f>IFERROR(IF($G841="","",VLOOKUP('Dashboard And Emails Automate'!$G841,Database!$H:$N,7,0)),"")</f>
        <v/>
      </c>
      <c r="N841" s="55" t="str">
        <f>IFERROR(IF(OR($B841="",$B841="(blank)"),"",VLOOKUP($B841,'Email Marketing Raw Data'!$C:$O,6,0)),"")</f>
        <v/>
      </c>
      <c r="O841" s="55" t="str">
        <f>IFERROR(IF(OR($B841="",$B841="(blank)"),"",VLOOKUP($B841,'Email Marketing Raw Data'!$C:$O,7,0)),"")</f>
        <v/>
      </c>
      <c r="P841" s="55" t="str">
        <f>IFERROR(IF(OR($B841="",$B841="(blank)"),"",VLOOKUP($B841,'Email Marketing Raw Data'!$C:$O,8,0)),"")</f>
        <v/>
      </c>
      <c r="Q841" s="62" t="str">
        <f>IFERROR(IF(OR($B841="",$B841="(blank)"),"",VLOOKUP($B841,'Email Marketing Raw Data'!$C:$O,9,0)),"")</f>
        <v/>
      </c>
    </row>
    <row r="842" spans="4:17" ht="12.75" customHeight="1" x14ac:dyDescent="0.2">
      <c r="D842" s="58" t="str">
        <f>IFERROR(IF(F842&lt;&gt;"pending","",IF(OR($B842="",$B842="(blank)"),"",VLOOKUP($B842,'Email Marketing Raw Data'!$C:$O,10,0))),"")</f>
        <v/>
      </c>
      <c r="E842" s="59" t="str">
        <f>IFERROR(IF(F842&lt;&gt;"pending","",IF(OR($B842="",$B842="(blank)"),"",VLOOKUP($B842,'Email Marketing Raw Data'!$C:$O,11,0))),"")</f>
        <v/>
      </c>
      <c r="F842" s="54" t="str">
        <f>IFERROR(IF(OR($B842="",$B842="(blank)"),"",VLOOKUP($B842,'Email Marketing Raw Data'!$C:$O,13,0)),"")</f>
        <v/>
      </c>
      <c r="G842" s="55" t="str">
        <f>IFERROR(IF(OR($B842="",$B842="(blank)"),"",VLOOKUP($B842,'Email Marketing Raw Data'!$C:$O,4,0)),"")</f>
        <v/>
      </c>
      <c r="H842" s="55" t="str">
        <f>IFERROR(IF(OR($B842="",$B842="(blank)"),"",VLOOKUP($B842,'Email Marketing Raw Data'!$C:$O,5,0)),"")</f>
        <v/>
      </c>
      <c r="I842" s="55" t="str">
        <f>IFERROR(IF($G842="","",VLOOKUP('Dashboard And Emails Automate'!$G842,Database!$H:$N,3,0)),"")</f>
        <v/>
      </c>
      <c r="J842" s="55" t="str">
        <f>IFERROR(IF($G842="","",VLOOKUP('Dashboard And Emails Automate'!$G842,Database!$H:$N,4,0)),"")</f>
        <v/>
      </c>
      <c r="K842" s="55" t="str">
        <f>IFERROR(IF($G842="","",VLOOKUP('Dashboard And Emails Automate'!$G842,Database!$H:$N,5,0)),"")</f>
        <v/>
      </c>
      <c r="L842" s="55" t="str">
        <f>IFERROR(IF($G842="","",VLOOKUP('Dashboard And Emails Automate'!$G842,Database!$H:$N,6,0)),"")</f>
        <v/>
      </c>
      <c r="M842" s="55" t="str">
        <f>IFERROR(IF($G842="","",VLOOKUP('Dashboard And Emails Automate'!$G842,Database!$H:$N,7,0)),"")</f>
        <v/>
      </c>
      <c r="N842" s="55" t="str">
        <f>IFERROR(IF(OR($B842="",$B842="(blank)"),"",VLOOKUP($B842,'Email Marketing Raw Data'!$C:$O,6,0)),"")</f>
        <v/>
      </c>
      <c r="O842" s="55" t="str">
        <f>IFERROR(IF(OR($B842="",$B842="(blank)"),"",VLOOKUP($B842,'Email Marketing Raw Data'!$C:$O,7,0)),"")</f>
        <v/>
      </c>
      <c r="P842" s="55" t="str">
        <f>IFERROR(IF(OR($B842="",$B842="(blank)"),"",VLOOKUP($B842,'Email Marketing Raw Data'!$C:$O,8,0)),"")</f>
        <v/>
      </c>
      <c r="Q842" s="62" t="str">
        <f>IFERROR(IF(OR($B842="",$B842="(blank)"),"",VLOOKUP($B842,'Email Marketing Raw Data'!$C:$O,9,0)),"")</f>
        <v/>
      </c>
    </row>
    <row r="843" spans="4:17" ht="12.75" customHeight="1" x14ac:dyDescent="0.2">
      <c r="D843" s="58" t="str">
        <f>IFERROR(IF(F843&lt;&gt;"pending","",IF(OR($B843="",$B843="(blank)"),"",VLOOKUP($B843,'Email Marketing Raw Data'!$C:$O,10,0))),"")</f>
        <v/>
      </c>
      <c r="E843" s="59" t="str">
        <f>IFERROR(IF(F843&lt;&gt;"pending","",IF(OR($B843="",$B843="(blank)"),"",VLOOKUP($B843,'Email Marketing Raw Data'!$C:$O,11,0))),"")</f>
        <v/>
      </c>
      <c r="F843" s="54" t="str">
        <f>IFERROR(IF(OR($B843="",$B843="(blank)"),"",VLOOKUP($B843,'Email Marketing Raw Data'!$C:$O,13,0)),"")</f>
        <v/>
      </c>
      <c r="G843" s="55" t="str">
        <f>IFERROR(IF(OR($B843="",$B843="(blank)"),"",VLOOKUP($B843,'Email Marketing Raw Data'!$C:$O,4,0)),"")</f>
        <v/>
      </c>
      <c r="H843" s="55" t="str">
        <f>IFERROR(IF(OR($B843="",$B843="(blank)"),"",VLOOKUP($B843,'Email Marketing Raw Data'!$C:$O,5,0)),"")</f>
        <v/>
      </c>
      <c r="I843" s="55" t="str">
        <f>IFERROR(IF($G843="","",VLOOKUP('Dashboard And Emails Automate'!$G843,Database!$H:$N,3,0)),"")</f>
        <v/>
      </c>
      <c r="J843" s="55" t="str">
        <f>IFERROR(IF($G843="","",VLOOKUP('Dashboard And Emails Automate'!$G843,Database!$H:$N,4,0)),"")</f>
        <v/>
      </c>
      <c r="K843" s="55" t="str">
        <f>IFERROR(IF($G843="","",VLOOKUP('Dashboard And Emails Automate'!$G843,Database!$H:$N,5,0)),"")</f>
        <v/>
      </c>
      <c r="L843" s="55" t="str">
        <f>IFERROR(IF($G843="","",VLOOKUP('Dashboard And Emails Automate'!$G843,Database!$H:$N,6,0)),"")</f>
        <v/>
      </c>
      <c r="M843" s="55" t="str">
        <f>IFERROR(IF($G843="","",VLOOKUP('Dashboard And Emails Automate'!$G843,Database!$H:$N,7,0)),"")</f>
        <v/>
      </c>
      <c r="N843" s="55" t="str">
        <f>IFERROR(IF(OR($B843="",$B843="(blank)"),"",VLOOKUP($B843,'Email Marketing Raw Data'!$C:$O,6,0)),"")</f>
        <v/>
      </c>
      <c r="O843" s="55" t="str">
        <f>IFERROR(IF(OR($B843="",$B843="(blank)"),"",VLOOKUP($B843,'Email Marketing Raw Data'!$C:$O,7,0)),"")</f>
        <v/>
      </c>
      <c r="P843" s="55" t="str">
        <f>IFERROR(IF(OR($B843="",$B843="(blank)"),"",VLOOKUP($B843,'Email Marketing Raw Data'!$C:$O,8,0)),"")</f>
        <v/>
      </c>
      <c r="Q843" s="62" t="str">
        <f>IFERROR(IF(OR($B843="",$B843="(blank)"),"",VLOOKUP($B843,'Email Marketing Raw Data'!$C:$O,9,0)),"")</f>
        <v/>
      </c>
    </row>
    <row r="844" spans="4:17" ht="12.75" customHeight="1" x14ac:dyDescent="0.2">
      <c r="D844" s="58" t="str">
        <f>IFERROR(IF(F844&lt;&gt;"pending","",IF(OR($B844="",$B844="(blank)"),"",VLOOKUP($B844,'Email Marketing Raw Data'!$C:$O,10,0))),"")</f>
        <v/>
      </c>
      <c r="E844" s="59" t="str">
        <f>IFERROR(IF(F844&lt;&gt;"pending","",IF(OR($B844="",$B844="(blank)"),"",VLOOKUP($B844,'Email Marketing Raw Data'!$C:$O,11,0))),"")</f>
        <v/>
      </c>
      <c r="F844" s="54" t="str">
        <f>IFERROR(IF(OR($B844="",$B844="(blank)"),"",VLOOKUP($B844,'Email Marketing Raw Data'!$C:$O,13,0)),"")</f>
        <v/>
      </c>
      <c r="G844" s="55" t="str">
        <f>IFERROR(IF(OR($B844="",$B844="(blank)"),"",VLOOKUP($B844,'Email Marketing Raw Data'!$C:$O,4,0)),"")</f>
        <v/>
      </c>
      <c r="H844" s="55" t="str">
        <f>IFERROR(IF(OR($B844="",$B844="(blank)"),"",VLOOKUP($B844,'Email Marketing Raw Data'!$C:$O,5,0)),"")</f>
        <v/>
      </c>
      <c r="I844" s="55" t="str">
        <f>IFERROR(IF($G844="","",VLOOKUP('Dashboard And Emails Automate'!$G844,Database!$H:$N,3,0)),"")</f>
        <v/>
      </c>
      <c r="J844" s="55" t="str">
        <f>IFERROR(IF($G844="","",VLOOKUP('Dashboard And Emails Automate'!$G844,Database!$H:$N,4,0)),"")</f>
        <v/>
      </c>
      <c r="K844" s="55" t="str">
        <f>IFERROR(IF($G844="","",VLOOKUP('Dashboard And Emails Automate'!$G844,Database!$H:$N,5,0)),"")</f>
        <v/>
      </c>
      <c r="L844" s="55" t="str">
        <f>IFERROR(IF($G844="","",VLOOKUP('Dashboard And Emails Automate'!$G844,Database!$H:$N,6,0)),"")</f>
        <v/>
      </c>
      <c r="M844" s="55" t="str">
        <f>IFERROR(IF($G844="","",VLOOKUP('Dashboard And Emails Automate'!$G844,Database!$H:$N,7,0)),"")</f>
        <v/>
      </c>
      <c r="N844" s="55" t="str">
        <f>IFERROR(IF(OR($B844="",$B844="(blank)"),"",VLOOKUP($B844,'Email Marketing Raw Data'!$C:$O,6,0)),"")</f>
        <v/>
      </c>
      <c r="O844" s="55" t="str">
        <f>IFERROR(IF(OR($B844="",$B844="(blank)"),"",VLOOKUP($B844,'Email Marketing Raw Data'!$C:$O,7,0)),"")</f>
        <v/>
      </c>
      <c r="P844" s="55" t="str">
        <f>IFERROR(IF(OR($B844="",$B844="(blank)"),"",VLOOKUP($B844,'Email Marketing Raw Data'!$C:$O,8,0)),"")</f>
        <v/>
      </c>
      <c r="Q844" s="62" t="str">
        <f>IFERROR(IF(OR($B844="",$B844="(blank)"),"",VLOOKUP($B844,'Email Marketing Raw Data'!$C:$O,9,0)),"")</f>
        <v/>
      </c>
    </row>
    <row r="845" spans="4:17" ht="12.75" customHeight="1" x14ac:dyDescent="0.2">
      <c r="D845" s="58" t="str">
        <f>IFERROR(IF(F845&lt;&gt;"pending","",IF(OR($B845="",$B845="(blank)"),"",VLOOKUP($B845,'Email Marketing Raw Data'!$C:$O,10,0))),"")</f>
        <v/>
      </c>
      <c r="E845" s="59" t="str">
        <f>IFERROR(IF(F845&lt;&gt;"pending","",IF(OR($B845="",$B845="(blank)"),"",VLOOKUP($B845,'Email Marketing Raw Data'!$C:$O,11,0))),"")</f>
        <v/>
      </c>
      <c r="F845" s="54" t="str">
        <f>IFERROR(IF(OR($B845="",$B845="(blank)"),"",VLOOKUP($B845,'Email Marketing Raw Data'!$C:$O,13,0)),"")</f>
        <v/>
      </c>
      <c r="G845" s="55" t="str">
        <f>IFERROR(IF(OR($B845="",$B845="(blank)"),"",VLOOKUP($B845,'Email Marketing Raw Data'!$C:$O,4,0)),"")</f>
        <v/>
      </c>
      <c r="H845" s="55" t="str">
        <f>IFERROR(IF(OR($B845="",$B845="(blank)"),"",VLOOKUP($B845,'Email Marketing Raw Data'!$C:$O,5,0)),"")</f>
        <v/>
      </c>
      <c r="I845" s="55" t="str">
        <f>IFERROR(IF($G845="","",VLOOKUP('Dashboard And Emails Automate'!$G845,Database!$H:$N,3,0)),"")</f>
        <v/>
      </c>
      <c r="J845" s="55" t="str">
        <f>IFERROR(IF($G845="","",VLOOKUP('Dashboard And Emails Automate'!$G845,Database!$H:$N,4,0)),"")</f>
        <v/>
      </c>
      <c r="K845" s="55" t="str">
        <f>IFERROR(IF($G845="","",VLOOKUP('Dashboard And Emails Automate'!$G845,Database!$H:$N,5,0)),"")</f>
        <v/>
      </c>
      <c r="L845" s="55" t="str">
        <f>IFERROR(IF($G845="","",VLOOKUP('Dashboard And Emails Automate'!$G845,Database!$H:$N,6,0)),"")</f>
        <v/>
      </c>
      <c r="M845" s="55" t="str">
        <f>IFERROR(IF($G845="","",VLOOKUP('Dashboard And Emails Automate'!$G845,Database!$H:$N,7,0)),"")</f>
        <v/>
      </c>
      <c r="N845" s="55" t="str">
        <f>IFERROR(IF(OR($B845="",$B845="(blank)"),"",VLOOKUP($B845,'Email Marketing Raw Data'!$C:$O,6,0)),"")</f>
        <v/>
      </c>
      <c r="O845" s="55" t="str">
        <f>IFERROR(IF(OR($B845="",$B845="(blank)"),"",VLOOKUP($B845,'Email Marketing Raw Data'!$C:$O,7,0)),"")</f>
        <v/>
      </c>
      <c r="P845" s="55" t="str">
        <f>IFERROR(IF(OR($B845="",$B845="(blank)"),"",VLOOKUP($B845,'Email Marketing Raw Data'!$C:$O,8,0)),"")</f>
        <v/>
      </c>
      <c r="Q845" s="62" t="str">
        <f>IFERROR(IF(OR($B845="",$B845="(blank)"),"",VLOOKUP($B845,'Email Marketing Raw Data'!$C:$O,9,0)),"")</f>
        <v/>
      </c>
    </row>
    <row r="846" spans="4:17" ht="12.75" customHeight="1" x14ac:dyDescent="0.2">
      <c r="D846" s="58" t="str">
        <f>IFERROR(IF(F846&lt;&gt;"pending","",IF(OR($B846="",$B846="(blank)"),"",VLOOKUP($B846,'Email Marketing Raw Data'!$C:$O,10,0))),"")</f>
        <v/>
      </c>
      <c r="E846" s="59" t="str">
        <f>IFERROR(IF(F846&lt;&gt;"pending","",IF(OR($B846="",$B846="(blank)"),"",VLOOKUP($B846,'Email Marketing Raw Data'!$C:$O,11,0))),"")</f>
        <v/>
      </c>
      <c r="F846" s="54" t="str">
        <f>IFERROR(IF(OR($B846="",$B846="(blank)"),"",VLOOKUP($B846,'Email Marketing Raw Data'!$C:$O,13,0)),"")</f>
        <v/>
      </c>
      <c r="G846" s="55" t="str">
        <f>IFERROR(IF(OR($B846="",$B846="(blank)"),"",VLOOKUP($B846,'Email Marketing Raw Data'!$C:$O,4,0)),"")</f>
        <v/>
      </c>
      <c r="H846" s="55" t="str">
        <f>IFERROR(IF(OR($B846="",$B846="(blank)"),"",VLOOKUP($B846,'Email Marketing Raw Data'!$C:$O,5,0)),"")</f>
        <v/>
      </c>
      <c r="I846" s="55" t="str">
        <f>IFERROR(IF($G846="","",VLOOKUP('Dashboard And Emails Automate'!$G846,Database!$H:$N,3,0)),"")</f>
        <v/>
      </c>
      <c r="J846" s="55" t="str">
        <f>IFERROR(IF($G846="","",VLOOKUP('Dashboard And Emails Automate'!$G846,Database!$H:$N,4,0)),"")</f>
        <v/>
      </c>
      <c r="K846" s="55" t="str">
        <f>IFERROR(IF($G846="","",VLOOKUP('Dashboard And Emails Automate'!$G846,Database!$H:$N,5,0)),"")</f>
        <v/>
      </c>
      <c r="L846" s="55" t="str">
        <f>IFERROR(IF($G846="","",VLOOKUP('Dashboard And Emails Automate'!$G846,Database!$H:$N,6,0)),"")</f>
        <v/>
      </c>
      <c r="M846" s="55" t="str">
        <f>IFERROR(IF($G846="","",VLOOKUP('Dashboard And Emails Automate'!$G846,Database!$H:$N,7,0)),"")</f>
        <v/>
      </c>
      <c r="N846" s="55" t="str">
        <f>IFERROR(IF(OR($B846="",$B846="(blank)"),"",VLOOKUP($B846,'Email Marketing Raw Data'!$C:$O,6,0)),"")</f>
        <v/>
      </c>
      <c r="O846" s="55" t="str">
        <f>IFERROR(IF(OR($B846="",$B846="(blank)"),"",VLOOKUP($B846,'Email Marketing Raw Data'!$C:$O,7,0)),"")</f>
        <v/>
      </c>
      <c r="P846" s="55" t="str">
        <f>IFERROR(IF(OR($B846="",$B846="(blank)"),"",VLOOKUP($B846,'Email Marketing Raw Data'!$C:$O,8,0)),"")</f>
        <v/>
      </c>
      <c r="Q846" s="62" t="str">
        <f>IFERROR(IF(OR($B846="",$B846="(blank)"),"",VLOOKUP($B846,'Email Marketing Raw Data'!$C:$O,9,0)),"")</f>
        <v/>
      </c>
    </row>
    <row r="847" spans="4:17" ht="12.75" customHeight="1" x14ac:dyDescent="0.2">
      <c r="D847" s="58" t="str">
        <f>IFERROR(IF(F847&lt;&gt;"pending","",IF(OR($B847="",$B847="(blank)"),"",VLOOKUP($B847,'Email Marketing Raw Data'!$C:$O,10,0))),"")</f>
        <v/>
      </c>
      <c r="E847" s="59" t="str">
        <f>IFERROR(IF(F847&lt;&gt;"pending","",IF(OR($B847="",$B847="(blank)"),"",VLOOKUP($B847,'Email Marketing Raw Data'!$C:$O,11,0))),"")</f>
        <v/>
      </c>
      <c r="F847" s="54" t="str">
        <f>IFERROR(IF(OR($B847="",$B847="(blank)"),"",VLOOKUP($B847,'Email Marketing Raw Data'!$C:$O,13,0)),"")</f>
        <v/>
      </c>
      <c r="G847" s="55" t="str">
        <f>IFERROR(IF(OR($B847="",$B847="(blank)"),"",VLOOKUP($B847,'Email Marketing Raw Data'!$C:$O,4,0)),"")</f>
        <v/>
      </c>
      <c r="H847" s="55" t="str">
        <f>IFERROR(IF(OR($B847="",$B847="(blank)"),"",VLOOKUP($B847,'Email Marketing Raw Data'!$C:$O,5,0)),"")</f>
        <v/>
      </c>
      <c r="I847" s="55" t="str">
        <f>IFERROR(IF($G847="","",VLOOKUP('Dashboard And Emails Automate'!$G847,Database!$H:$N,3,0)),"")</f>
        <v/>
      </c>
      <c r="J847" s="55" t="str">
        <f>IFERROR(IF($G847="","",VLOOKUP('Dashboard And Emails Automate'!$G847,Database!$H:$N,4,0)),"")</f>
        <v/>
      </c>
      <c r="K847" s="55" t="str">
        <f>IFERROR(IF($G847="","",VLOOKUP('Dashboard And Emails Automate'!$G847,Database!$H:$N,5,0)),"")</f>
        <v/>
      </c>
      <c r="L847" s="55" t="str">
        <f>IFERROR(IF($G847="","",VLOOKUP('Dashboard And Emails Automate'!$G847,Database!$H:$N,6,0)),"")</f>
        <v/>
      </c>
      <c r="M847" s="55" t="str">
        <f>IFERROR(IF($G847="","",VLOOKUP('Dashboard And Emails Automate'!$G847,Database!$H:$N,7,0)),"")</f>
        <v/>
      </c>
      <c r="N847" s="55" t="str">
        <f>IFERROR(IF(OR($B847="",$B847="(blank)"),"",VLOOKUP($B847,'Email Marketing Raw Data'!$C:$O,6,0)),"")</f>
        <v/>
      </c>
      <c r="O847" s="55" t="str">
        <f>IFERROR(IF(OR($B847="",$B847="(blank)"),"",VLOOKUP($B847,'Email Marketing Raw Data'!$C:$O,7,0)),"")</f>
        <v/>
      </c>
      <c r="P847" s="55" t="str">
        <f>IFERROR(IF(OR($B847="",$B847="(blank)"),"",VLOOKUP($B847,'Email Marketing Raw Data'!$C:$O,8,0)),"")</f>
        <v/>
      </c>
      <c r="Q847" s="62" t="str">
        <f>IFERROR(IF(OR($B847="",$B847="(blank)"),"",VLOOKUP($B847,'Email Marketing Raw Data'!$C:$O,9,0)),"")</f>
        <v/>
      </c>
    </row>
    <row r="848" spans="4:17" ht="12.75" customHeight="1" x14ac:dyDescent="0.2">
      <c r="D848" s="58" t="str">
        <f>IFERROR(IF(F848&lt;&gt;"pending","",IF(OR($B848="",$B848="(blank)"),"",VLOOKUP($B848,'Email Marketing Raw Data'!$C:$O,10,0))),"")</f>
        <v/>
      </c>
      <c r="E848" s="59" t="str">
        <f>IFERROR(IF(F848&lt;&gt;"pending","",IF(OR($B848="",$B848="(blank)"),"",VLOOKUP($B848,'Email Marketing Raw Data'!$C:$O,11,0))),"")</f>
        <v/>
      </c>
      <c r="F848" s="54" t="str">
        <f>IFERROR(IF(OR($B848="",$B848="(blank)"),"",VLOOKUP($B848,'Email Marketing Raw Data'!$C:$O,13,0)),"")</f>
        <v/>
      </c>
      <c r="G848" s="55" t="str">
        <f>IFERROR(IF(OR($B848="",$B848="(blank)"),"",VLOOKUP($B848,'Email Marketing Raw Data'!$C:$O,4,0)),"")</f>
        <v/>
      </c>
      <c r="H848" s="55" t="str">
        <f>IFERROR(IF(OR($B848="",$B848="(blank)"),"",VLOOKUP($B848,'Email Marketing Raw Data'!$C:$O,5,0)),"")</f>
        <v/>
      </c>
      <c r="I848" s="55" t="str">
        <f>IFERROR(IF($G848="","",VLOOKUP('Dashboard And Emails Automate'!$G848,Database!$H:$N,3,0)),"")</f>
        <v/>
      </c>
      <c r="J848" s="55" t="str">
        <f>IFERROR(IF($G848="","",VLOOKUP('Dashboard And Emails Automate'!$G848,Database!$H:$N,4,0)),"")</f>
        <v/>
      </c>
      <c r="K848" s="55" t="str">
        <f>IFERROR(IF($G848="","",VLOOKUP('Dashboard And Emails Automate'!$G848,Database!$H:$N,5,0)),"")</f>
        <v/>
      </c>
      <c r="L848" s="55" t="str">
        <f>IFERROR(IF($G848="","",VLOOKUP('Dashboard And Emails Automate'!$G848,Database!$H:$N,6,0)),"")</f>
        <v/>
      </c>
      <c r="M848" s="55" t="str">
        <f>IFERROR(IF($G848="","",VLOOKUP('Dashboard And Emails Automate'!$G848,Database!$H:$N,7,0)),"")</f>
        <v/>
      </c>
      <c r="N848" s="55" t="str">
        <f>IFERROR(IF(OR($B848="",$B848="(blank)"),"",VLOOKUP($B848,'Email Marketing Raw Data'!$C:$O,6,0)),"")</f>
        <v/>
      </c>
      <c r="O848" s="55" t="str">
        <f>IFERROR(IF(OR($B848="",$B848="(blank)"),"",VLOOKUP($B848,'Email Marketing Raw Data'!$C:$O,7,0)),"")</f>
        <v/>
      </c>
      <c r="P848" s="55" t="str">
        <f>IFERROR(IF(OR($B848="",$B848="(blank)"),"",VLOOKUP($B848,'Email Marketing Raw Data'!$C:$O,8,0)),"")</f>
        <v/>
      </c>
      <c r="Q848" s="62" t="str">
        <f>IFERROR(IF(OR($B848="",$B848="(blank)"),"",VLOOKUP($B848,'Email Marketing Raw Data'!$C:$O,9,0)),"")</f>
        <v/>
      </c>
    </row>
    <row r="849" spans="4:17" ht="12.75" customHeight="1" x14ac:dyDescent="0.2">
      <c r="D849" s="58" t="str">
        <f>IFERROR(IF(F849&lt;&gt;"pending","",IF(OR($B849="",$B849="(blank)"),"",VLOOKUP($B849,'Email Marketing Raw Data'!$C:$O,10,0))),"")</f>
        <v/>
      </c>
      <c r="E849" s="59" t="str">
        <f>IFERROR(IF(F849&lt;&gt;"pending","",IF(OR($B849="",$B849="(blank)"),"",VLOOKUP($B849,'Email Marketing Raw Data'!$C:$O,11,0))),"")</f>
        <v/>
      </c>
      <c r="F849" s="54" t="str">
        <f>IFERROR(IF(OR($B849="",$B849="(blank)"),"",VLOOKUP($B849,'Email Marketing Raw Data'!$C:$O,13,0)),"")</f>
        <v/>
      </c>
      <c r="G849" s="55" t="str">
        <f>IFERROR(IF(OR($B849="",$B849="(blank)"),"",VLOOKUP($B849,'Email Marketing Raw Data'!$C:$O,4,0)),"")</f>
        <v/>
      </c>
      <c r="H849" s="55" t="str">
        <f>IFERROR(IF(OR($B849="",$B849="(blank)"),"",VLOOKUP($B849,'Email Marketing Raw Data'!$C:$O,5,0)),"")</f>
        <v/>
      </c>
      <c r="I849" s="55" t="str">
        <f>IFERROR(IF($G849="","",VLOOKUP('Dashboard And Emails Automate'!$G849,Database!$H:$N,3,0)),"")</f>
        <v/>
      </c>
      <c r="J849" s="55" t="str">
        <f>IFERROR(IF($G849="","",VLOOKUP('Dashboard And Emails Automate'!$G849,Database!$H:$N,4,0)),"")</f>
        <v/>
      </c>
      <c r="K849" s="55" t="str">
        <f>IFERROR(IF($G849="","",VLOOKUP('Dashboard And Emails Automate'!$G849,Database!$H:$N,5,0)),"")</f>
        <v/>
      </c>
      <c r="L849" s="55" t="str">
        <f>IFERROR(IF($G849="","",VLOOKUP('Dashboard And Emails Automate'!$G849,Database!$H:$N,6,0)),"")</f>
        <v/>
      </c>
      <c r="M849" s="55" t="str">
        <f>IFERROR(IF($G849="","",VLOOKUP('Dashboard And Emails Automate'!$G849,Database!$H:$N,7,0)),"")</f>
        <v/>
      </c>
      <c r="N849" s="55" t="str">
        <f>IFERROR(IF(OR($B849="",$B849="(blank)"),"",VLOOKUP($B849,'Email Marketing Raw Data'!$C:$O,6,0)),"")</f>
        <v/>
      </c>
      <c r="O849" s="55" t="str">
        <f>IFERROR(IF(OR($B849="",$B849="(blank)"),"",VLOOKUP($B849,'Email Marketing Raw Data'!$C:$O,7,0)),"")</f>
        <v/>
      </c>
      <c r="P849" s="55" t="str">
        <f>IFERROR(IF(OR($B849="",$B849="(blank)"),"",VLOOKUP($B849,'Email Marketing Raw Data'!$C:$O,8,0)),"")</f>
        <v/>
      </c>
      <c r="Q849" s="62" t="str">
        <f>IFERROR(IF(OR($B849="",$B849="(blank)"),"",VLOOKUP($B849,'Email Marketing Raw Data'!$C:$O,9,0)),"")</f>
        <v/>
      </c>
    </row>
    <row r="850" spans="4:17" ht="12.75" customHeight="1" x14ac:dyDescent="0.2">
      <c r="D850" s="58" t="str">
        <f>IFERROR(IF(F850&lt;&gt;"pending","",IF(OR($B850="",$B850="(blank)"),"",VLOOKUP($B850,'Email Marketing Raw Data'!$C:$O,10,0))),"")</f>
        <v/>
      </c>
      <c r="E850" s="59" t="str">
        <f>IFERROR(IF(F850&lt;&gt;"pending","",IF(OR($B850="",$B850="(blank)"),"",VLOOKUP($B850,'Email Marketing Raw Data'!$C:$O,11,0))),"")</f>
        <v/>
      </c>
      <c r="F850" s="54" t="str">
        <f>IFERROR(IF(OR($B850="",$B850="(blank)"),"",VLOOKUP($B850,'Email Marketing Raw Data'!$C:$O,13,0)),"")</f>
        <v/>
      </c>
      <c r="G850" s="55" t="str">
        <f>IFERROR(IF(OR($B850="",$B850="(blank)"),"",VLOOKUP($B850,'Email Marketing Raw Data'!$C:$O,4,0)),"")</f>
        <v/>
      </c>
      <c r="H850" s="55" t="str">
        <f>IFERROR(IF(OR($B850="",$B850="(blank)"),"",VLOOKUP($B850,'Email Marketing Raw Data'!$C:$O,5,0)),"")</f>
        <v/>
      </c>
      <c r="I850" s="55" t="str">
        <f>IFERROR(IF($G850="","",VLOOKUP('Dashboard And Emails Automate'!$G850,Database!$H:$N,3,0)),"")</f>
        <v/>
      </c>
      <c r="J850" s="55" t="str">
        <f>IFERROR(IF($G850="","",VLOOKUP('Dashboard And Emails Automate'!$G850,Database!$H:$N,4,0)),"")</f>
        <v/>
      </c>
      <c r="K850" s="55" t="str">
        <f>IFERROR(IF($G850="","",VLOOKUP('Dashboard And Emails Automate'!$G850,Database!$H:$N,5,0)),"")</f>
        <v/>
      </c>
      <c r="L850" s="55" t="str">
        <f>IFERROR(IF($G850="","",VLOOKUP('Dashboard And Emails Automate'!$G850,Database!$H:$N,6,0)),"")</f>
        <v/>
      </c>
      <c r="M850" s="55" t="str">
        <f>IFERROR(IF($G850="","",VLOOKUP('Dashboard And Emails Automate'!$G850,Database!$H:$N,7,0)),"")</f>
        <v/>
      </c>
      <c r="N850" s="55" t="str">
        <f>IFERROR(IF(OR($B850="",$B850="(blank)"),"",VLOOKUP($B850,'Email Marketing Raw Data'!$C:$O,6,0)),"")</f>
        <v/>
      </c>
      <c r="O850" s="55" t="str">
        <f>IFERROR(IF(OR($B850="",$B850="(blank)"),"",VLOOKUP($B850,'Email Marketing Raw Data'!$C:$O,7,0)),"")</f>
        <v/>
      </c>
      <c r="P850" s="55" t="str">
        <f>IFERROR(IF(OR($B850="",$B850="(blank)"),"",VLOOKUP($B850,'Email Marketing Raw Data'!$C:$O,8,0)),"")</f>
        <v/>
      </c>
      <c r="Q850" s="62" t="str">
        <f>IFERROR(IF(OR($B850="",$B850="(blank)"),"",VLOOKUP($B850,'Email Marketing Raw Data'!$C:$O,9,0)),"")</f>
        <v/>
      </c>
    </row>
    <row r="851" spans="4:17" ht="12.75" customHeight="1" x14ac:dyDescent="0.2">
      <c r="D851" s="58" t="str">
        <f>IFERROR(IF(F851&lt;&gt;"pending","",IF(OR($B851="",$B851="(blank)"),"",VLOOKUP($B851,'Email Marketing Raw Data'!$C:$O,10,0))),"")</f>
        <v/>
      </c>
      <c r="E851" s="59" t="str">
        <f>IFERROR(IF(F851&lt;&gt;"pending","",IF(OR($B851="",$B851="(blank)"),"",VLOOKUP($B851,'Email Marketing Raw Data'!$C:$O,11,0))),"")</f>
        <v/>
      </c>
      <c r="F851" s="54" t="str">
        <f>IFERROR(IF(OR($B851="",$B851="(blank)"),"",VLOOKUP($B851,'Email Marketing Raw Data'!$C:$O,13,0)),"")</f>
        <v/>
      </c>
      <c r="G851" s="55" t="str">
        <f>IFERROR(IF(OR($B851="",$B851="(blank)"),"",VLOOKUP($B851,'Email Marketing Raw Data'!$C:$O,4,0)),"")</f>
        <v/>
      </c>
      <c r="H851" s="55" t="str">
        <f>IFERROR(IF(OR($B851="",$B851="(blank)"),"",VLOOKUP($B851,'Email Marketing Raw Data'!$C:$O,5,0)),"")</f>
        <v/>
      </c>
      <c r="I851" s="55" t="str">
        <f>IFERROR(IF($G851="","",VLOOKUP('Dashboard And Emails Automate'!$G851,Database!$H:$N,3,0)),"")</f>
        <v/>
      </c>
      <c r="J851" s="55" t="str">
        <f>IFERROR(IF($G851="","",VLOOKUP('Dashboard And Emails Automate'!$G851,Database!$H:$N,4,0)),"")</f>
        <v/>
      </c>
      <c r="K851" s="55" t="str">
        <f>IFERROR(IF($G851="","",VLOOKUP('Dashboard And Emails Automate'!$G851,Database!$H:$N,5,0)),"")</f>
        <v/>
      </c>
      <c r="L851" s="55" t="str">
        <f>IFERROR(IF($G851="","",VLOOKUP('Dashboard And Emails Automate'!$G851,Database!$H:$N,6,0)),"")</f>
        <v/>
      </c>
      <c r="M851" s="55" t="str">
        <f>IFERROR(IF($G851="","",VLOOKUP('Dashboard And Emails Automate'!$G851,Database!$H:$N,7,0)),"")</f>
        <v/>
      </c>
      <c r="N851" s="55" t="str">
        <f>IFERROR(IF(OR($B851="",$B851="(blank)"),"",VLOOKUP($B851,'Email Marketing Raw Data'!$C:$O,6,0)),"")</f>
        <v/>
      </c>
      <c r="O851" s="55" t="str">
        <f>IFERROR(IF(OR($B851="",$B851="(blank)"),"",VLOOKUP($B851,'Email Marketing Raw Data'!$C:$O,7,0)),"")</f>
        <v/>
      </c>
      <c r="P851" s="55" t="str">
        <f>IFERROR(IF(OR($B851="",$B851="(blank)"),"",VLOOKUP($B851,'Email Marketing Raw Data'!$C:$O,8,0)),"")</f>
        <v/>
      </c>
      <c r="Q851" s="62" t="str">
        <f>IFERROR(IF(OR($B851="",$B851="(blank)"),"",VLOOKUP($B851,'Email Marketing Raw Data'!$C:$O,9,0)),"")</f>
        <v/>
      </c>
    </row>
    <row r="852" spans="4:17" ht="12.75" customHeight="1" x14ac:dyDescent="0.2">
      <c r="D852" s="58" t="str">
        <f>IFERROR(IF(F852&lt;&gt;"pending","",IF(OR($B852="",$B852="(blank)"),"",VLOOKUP($B852,'Email Marketing Raw Data'!$C:$O,10,0))),"")</f>
        <v/>
      </c>
      <c r="E852" s="59" t="str">
        <f>IFERROR(IF(F852&lt;&gt;"pending","",IF(OR($B852="",$B852="(blank)"),"",VLOOKUP($B852,'Email Marketing Raw Data'!$C:$O,11,0))),"")</f>
        <v/>
      </c>
      <c r="F852" s="54" t="str">
        <f>IFERROR(IF(OR($B852="",$B852="(blank)"),"",VLOOKUP($B852,'Email Marketing Raw Data'!$C:$O,13,0)),"")</f>
        <v/>
      </c>
      <c r="G852" s="55" t="str">
        <f>IFERROR(IF(OR($B852="",$B852="(blank)"),"",VLOOKUP($B852,'Email Marketing Raw Data'!$C:$O,4,0)),"")</f>
        <v/>
      </c>
      <c r="H852" s="55" t="str">
        <f>IFERROR(IF(OR($B852="",$B852="(blank)"),"",VLOOKUP($B852,'Email Marketing Raw Data'!$C:$O,5,0)),"")</f>
        <v/>
      </c>
      <c r="I852" s="55" t="str">
        <f>IFERROR(IF($G852="","",VLOOKUP('Dashboard And Emails Automate'!$G852,Database!$H:$N,3,0)),"")</f>
        <v/>
      </c>
      <c r="J852" s="55" t="str">
        <f>IFERROR(IF($G852="","",VLOOKUP('Dashboard And Emails Automate'!$G852,Database!$H:$N,4,0)),"")</f>
        <v/>
      </c>
      <c r="K852" s="55" t="str">
        <f>IFERROR(IF($G852="","",VLOOKUP('Dashboard And Emails Automate'!$G852,Database!$H:$N,5,0)),"")</f>
        <v/>
      </c>
      <c r="L852" s="55" t="str">
        <f>IFERROR(IF($G852="","",VLOOKUP('Dashboard And Emails Automate'!$G852,Database!$H:$N,6,0)),"")</f>
        <v/>
      </c>
      <c r="M852" s="55" t="str">
        <f>IFERROR(IF($G852="","",VLOOKUP('Dashboard And Emails Automate'!$G852,Database!$H:$N,7,0)),"")</f>
        <v/>
      </c>
      <c r="N852" s="55" t="str">
        <f>IFERROR(IF(OR($B852="",$B852="(blank)"),"",VLOOKUP($B852,'Email Marketing Raw Data'!$C:$O,6,0)),"")</f>
        <v/>
      </c>
      <c r="O852" s="55" t="str">
        <f>IFERROR(IF(OR($B852="",$B852="(blank)"),"",VLOOKUP($B852,'Email Marketing Raw Data'!$C:$O,7,0)),"")</f>
        <v/>
      </c>
      <c r="P852" s="55" t="str">
        <f>IFERROR(IF(OR($B852="",$B852="(blank)"),"",VLOOKUP($B852,'Email Marketing Raw Data'!$C:$O,8,0)),"")</f>
        <v/>
      </c>
      <c r="Q852" s="62" t="str">
        <f>IFERROR(IF(OR($B852="",$B852="(blank)"),"",VLOOKUP($B852,'Email Marketing Raw Data'!$C:$O,9,0)),"")</f>
        <v/>
      </c>
    </row>
    <row r="853" spans="4:17" ht="12.75" customHeight="1" x14ac:dyDescent="0.2">
      <c r="D853" s="58" t="str">
        <f>IFERROR(IF(F853&lt;&gt;"pending","",IF(OR($B853="",$B853="(blank)"),"",VLOOKUP($B853,'Email Marketing Raw Data'!$C:$O,10,0))),"")</f>
        <v/>
      </c>
      <c r="E853" s="59" t="str">
        <f>IFERROR(IF(F853&lt;&gt;"pending","",IF(OR($B853="",$B853="(blank)"),"",VLOOKUP($B853,'Email Marketing Raw Data'!$C:$O,11,0))),"")</f>
        <v/>
      </c>
      <c r="F853" s="54" t="str">
        <f>IFERROR(IF(OR($B853="",$B853="(blank)"),"",VLOOKUP($B853,'Email Marketing Raw Data'!$C:$O,13,0)),"")</f>
        <v/>
      </c>
      <c r="G853" s="55" t="str">
        <f>IFERROR(IF(OR($B853="",$B853="(blank)"),"",VLOOKUP($B853,'Email Marketing Raw Data'!$C:$O,4,0)),"")</f>
        <v/>
      </c>
      <c r="H853" s="55" t="str">
        <f>IFERROR(IF(OR($B853="",$B853="(blank)"),"",VLOOKUP($B853,'Email Marketing Raw Data'!$C:$O,5,0)),"")</f>
        <v/>
      </c>
      <c r="I853" s="55" t="str">
        <f>IFERROR(IF($G853="","",VLOOKUP('Dashboard And Emails Automate'!$G853,Database!$H:$N,3,0)),"")</f>
        <v/>
      </c>
      <c r="J853" s="55" t="str">
        <f>IFERROR(IF($G853="","",VLOOKUP('Dashboard And Emails Automate'!$G853,Database!$H:$N,4,0)),"")</f>
        <v/>
      </c>
      <c r="K853" s="55" t="str">
        <f>IFERROR(IF($G853="","",VLOOKUP('Dashboard And Emails Automate'!$G853,Database!$H:$N,5,0)),"")</f>
        <v/>
      </c>
      <c r="L853" s="55" t="str">
        <f>IFERROR(IF($G853="","",VLOOKUP('Dashboard And Emails Automate'!$G853,Database!$H:$N,6,0)),"")</f>
        <v/>
      </c>
      <c r="M853" s="55" t="str">
        <f>IFERROR(IF($G853="","",VLOOKUP('Dashboard And Emails Automate'!$G853,Database!$H:$N,7,0)),"")</f>
        <v/>
      </c>
      <c r="N853" s="55" t="str">
        <f>IFERROR(IF(OR($B853="",$B853="(blank)"),"",VLOOKUP($B853,'Email Marketing Raw Data'!$C:$O,6,0)),"")</f>
        <v/>
      </c>
      <c r="O853" s="55" t="str">
        <f>IFERROR(IF(OR($B853="",$B853="(blank)"),"",VLOOKUP($B853,'Email Marketing Raw Data'!$C:$O,7,0)),"")</f>
        <v/>
      </c>
      <c r="P853" s="55" t="str">
        <f>IFERROR(IF(OR($B853="",$B853="(blank)"),"",VLOOKUP($B853,'Email Marketing Raw Data'!$C:$O,8,0)),"")</f>
        <v/>
      </c>
      <c r="Q853" s="62" t="str">
        <f>IFERROR(IF(OR($B853="",$B853="(blank)"),"",VLOOKUP($B853,'Email Marketing Raw Data'!$C:$O,9,0)),"")</f>
        <v/>
      </c>
    </row>
    <row r="854" spans="4:17" ht="12.75" customHeight="1" x14ac:dyDescent="0.2">
      <c r="D854" s="58" t="str">
        <f>IFERROR(IF(F854&lt;&gt;"pending","",IF(OR($B854="",$B854="(blank)"),"",VLOOKUP($B854,'Email Marketing Raw Data'!$C:$O,10,0))),"")</f>
        <v/>
      </c>
      <c r="E854" s="59" t="str">
        <f>IFERROR(IF(F854&lt;&gt;"pending","",IF(OR($B854="",$B854="(blank)"),"",VLOOKUP($B854,'Email Marketing Raw Data'!$C:$O,11,0))),"")</f>
        <v/>
      </c>
      <c r="F854" s="54" t="str">
        <f>IFERROR(IF(OR($B854="",$B854="(blank)"),"",VLOOKUP($B854,'Email Marketing Raw Data'!$C:$O,13,0)),"")</f>
        <v/>
      </c>
      <c r="G854" s="55" t="str">
        <f>IFERROR(IF(OR($B854="",$B854="(blank)"),"",VLOOKUP($B854,'Email Marketing Raw Data'!$C:$O,4,0)),"")</f>
        <v/>
      </c>
      <c r="H854" s="55" t="str">
        <f>IFERROR(IF(OR($B854="",$B854="(blank)"),"",VLOOKUP($B854,'Email Marketing Raw Data'!$C:$O,5,0)),"")</f>
        <v/>
      </c>
      <c r="I854" s="55" t="str">
        <f>IFERROR(IF($G854="","",VLOOKUP('Dashboard And Emails Automate'!$G854,Database!$H:$N,3,0)),"")</f>
        <v/>
      </c>
      <c r="J854" s="55" t="str">
        <f>IFERROR(IF($G854="","",VLOOKUP('Dashboard And Emails Automate'!$G854,Database!$H:$N,4,0)),"")</f>
        <v/>
      </c>
      <c r="K854" s="55" t="str">
        <f>IFERROR(IF($G854="","",VLOOKUP('Dashboard And Emails Automate'!$G854,Database!$H:$N,5,0)),"")</f>
        <v/>
      </c>
      <c r="L854" s="55" t="str">
        <f>IFERROR(IF($G854="","",VLOOKUP('Dashboard And Emails Automate'!$G854,Database!$H:$N,6,0)),"")</f>
        <v/>
      </c>
      <c r="M854" s="55" t="str">
        <f>IFERROR(IF($G854="","",VLOOKUP('Dashboard And Emails Automate'!$G854,Database!$H:$N,7,0)),"")</f>
        <v/>
      </c>
      <c r="N854" s="55" t="str">
        <f>IFERROR(IF(OR($B854="",$B854="(blank)"),"",VLOOKUP($B854,'Email Marketing Raw Data'!$C:$O,6,0)),"")</f>
        <v/>
      </c>
      <c r="O854" s="55" t="str">
        <f>IFERROR(IF(OR($B854="",$B854="(blank)"),"",VLOOKUP($B854,'Email Marketing Raw Data'!$C:$O,7,0)),"")</f>
        <v/>
      </c>
      <c r="P854" s="55" t="str">
        <f>IFERROR(IF(OR($B854="",$B854="(blank)"),"",VLOOKUP($B854,'Email Marketing Raw Data'!$C:$O,8,0)),"")</f>
        <v/>
      </c>
      <c r="Q854" s="62" t="str">
        <f>IFERROR(IF(OR($B854="",$B854="(blank)"),"",VLOOKUP($B854,'Email Marketing Raw Data'!$C:$O,9,0)),"")</f>
        <v/>
      </c>
    </row>
    <row r="855" spans="4:17" ht="12.75" customHeight="1" x14ac:dyDescent="0.2">
      <c r="D855" s="58" t="str">
        <f>IFERROR(IF(F855&lt;&gt;"pending","",IF(OR($B855="",$B855="(blank)"),"",VLOOKUP($B855,'Email Marketing Raw Data'!$C:$O,10,0))),"")</f>
        <v/>
      </c>
      <c r="E855" s="59" t="str">
        <f>IFERROR(IF(F855&lt;&gt;"pending","",IF(OR($B855="",$B855="(blank)"),"",VLOOKUP($B855,'Email Marketing Raw Data'!$C:$O,11,0))),"")</f>
        <v/>
      </c>
      <c r="F855" s="54" t="str">
        <f>IFERROR(IF(OR($B855="",$B855="(blank)"),"",VLOOKUP($B855,'Email Marketing Raw Data'!$C:$O,13,0)),"")</f>
        <v/>
      </c>
      <c r="G855" s="55" t="str">
        <f>IFERROR(IF(OR($B855="",$B855="(blank)"),"",VLOOKUP($B855,'Email Marketing Raw Data'!$C:$O,4,0)),"")</f>
        <v/>
      </c>
      <c r="H855" s="55" t="str">
        <f>IFERROR(IF(OR($B855="",$B855="(blank)"),"",VLOOKUP($B855,'Email Marketing Raw Data'!$C:$O,5,0)),"")</f>
        <v/>
      </c>
      <c r="I855" s="55" t="str">
        <f>IFERROR(IF($G855="","",VLOOKUP('Dashboard And Emails Automate'!$G855,Database!$H:$N,3,0)),"")</f>
        <v/>
      </c>
      <c r="J855" s="55" t="str">
        <f>IFERROR(IF($G855="","",VLOOKUP('Dashboard And Emails Automate'!$G855,Database!$H:$N,4,0)),"")</f>
        <v/>
      </c>
      <c r="K855" s="55" t="str">
        <f>IFERROR(IF($G855="","",VLOOKUP('Dashboard And Emails Automate'!$G855,Database!$H:$N,5,0)),"")</f>
        <v/>
      </c>
      <c r="L855" s="55" t="str">
        <f>IFERROR(IF($G855="","",VLOOKUP('Dashboard And Emails Automate'!$G855,Database!$H:$N,6,0)),"")</f>
        <v/>
      </c>
      <c r="M855" s="55" t="str">
        <f>IFERROR(IF($G855="","",VLOOKUP('Dashboard And Emails Automate'!$G855,Database!$H:$N,7,0)),"")</f>
        <v/>
      </c>
      <c r="N855" s="55" t="str">
        <f>IFERROR(IF(OR($B855="",$B855="(blank)"),"",VLOOKUP($B855,'Email Marketing Raw Data'!$C:$O,6,0)),"")</f>
        <v/>
      </c>
      <c r="O855" s="55" t="str">
        <f>IFERROR(IF(OR($B855="",$B855="(blank)"),"",VLOOKUP($B855,'Email Marketing Raw Data'!$C:$O,7,0)),"")</f>
        <v/>
      </c>
      <c r="P855" s="55" t="str">
        <f>IFERROR(IF(OR($B855="",$B855="(blank)"),"",VLOOKUP($B855,'Email Marketing Raw Data'!$C:$O,8,0)),"")</f>
        <v/>
      </c>
      <c r="Q855" s="62" t="str">
        <f>IFERROR(IF(OR($B855="",$B855="(blank)"),"",VLOOKUP($B855,'Email Marketing Raw Data'!$C:$O,9,0)),"")</f>
        <v/>
      </c>
    </row>
    <row r="856" spans="4:17" ht="12.75" customHeight="1" x14ac:dyDescent="0.2">
      <c r="D856" s="58" t="str">
        <f>IFERROR(IF(F856&lt;&gt;"pending","",IF(OR($B856="",$B856="(blank)"),"",VLOOKUP($B856,'Email Marketing Raw Data'!$C:$O,10,0))),"")</f>
        <v/>
      </c>
      <c r="E856" s="59" t="str">
        <f>IFERROR(IF(F856&lt;&gt;"pending","",IF(OR($B856="",$B856="(blank)"),"",VLOOKUP($B856,'Email Marketing Raw Data'!$C:$O,11,0))),"")</f>
        <v/>
      </c>
      <c r="F856" s="54" t="str">
        <f>IFERROR(IF(OR($B856="",$B856="(blank)"),"",VLOOKUP($B856,'Email Marketing Raw Data'!$C:$O,13,0)),"")</f>
        <v/>
      </c>
      <c r="G856" s="55" t="str">
        <f>IFERROR(IF(OR($B856="",$B856="(blank)"),"",VLOOKUP($B856,'Email Marketing Raw Data'!$C:$O,4,0)),"")</f>
        <v/>
      </c>
      <c r="H856" s="55" t="str">
        <f>IFERROR(IF(OR($B856="",$B856="(blank)"),"",VLOOKUP($B856,'Email Marketing Raw Data'!$C:$O,5,0)),"")</f>
        <v/>
      </c>
      <c r="I856" s="55" t="str">
        <f>IFERROR(IF($G856="","",VLOOKUP('Dashboard And Emails Automate'!$G856,Database!$H:$N,3,0)),"")</f>
        <v/>
      </c>
      <c r="J856" s="55" t="str">
        <f>IFERROR(IF($G856="","",VLOOKUP('Dashboard And Emails Automate'!$G856,Database!$H:$N,4,0)),"")</f>
        <v/>
      </c>
      <c r="K856" s="55" t="str">
        <f>IFERROR(IF($G856="","",VLOOKUP('Dashboard And Emails Automate'!$G856,Database!$H:$N,5,0)),"")</f>
        <v/>
      </c>
      <c r="L856" s="55" t="str">
        <f>IFERROR(IF($G856="","",VLOOKUP('Dashboard And Emails Automate'!$G856,Database!$H:$N,6,0)),"")</f>
        <v/>
      </c>
      <c r="M856" s="55" t="str">
        <f>IFERROR(IF($G856="","",VLOOKUP('Dashboard And Emails Automate'!$G856,Database!$H:$N,7,0)),"")</f>
        <v/>
      </c>
      <c r="N856" s="55" t="str">
        <f>IFERROR(IF(OR($B856="",$B856="(blank)"),"",VLOOKUP($B856,'Email Marketing Raw Data'!$C:$O,6,0)),"")</f>
        <v/>
      </c>
      <c r="O856" s="55" t="str">
        <f>IFERROR(IF(OR($B856="",$B856="(blank)"),"",VLOOKUP($B856,'Email Marketing Raw Data'!$C:$O,7,0)),"")</f>
        <v/>
      </c>
      <c r="P856" s="55" t="str">
        <f>IFERROR(IF(OR($B856="",$B856="(blank)"),"",VLOOKUP($B856,'Email Marketing Raw Data'!$C:$O,8,0)),"")</f>
        <v/>
      </c>
      <c r="Q856" s="62" t="str">
        <f>IFERROR(IF(OR($B856="",$B856="(blank)"),"",VLOOKUP($B856,'Email Marketing Raw Data'!$C:$O,9,0)),"")</f>
        <v/>
      </c>
    </row>
    <row r="857" spans="4:17" ht="12.75" customHeight="1" x14ac:dyDescent="0.2">
      <c r="D857" s="58" t="str">
        <f>IFERROR(IF(F857&lt;&gt;"pending","",IF(OR($B857="",$B857="(blank)"),"",VLOOKUP($B857,'Email Marketing Raw Data'!$C:$O,10,0))),"")</f>
        <v/>
      </c>
      <c r="E857" s="59" t="str">
        <f>IFERROR(IF(F857&lt;&gt;"pending","",IF(OR($B857="",$B857="(blank)"),"",VLOOKUP($B857,'Email Marketing Raw Data'!$C:$O,11,0))),"")</f>
        <v/>
      </c>
      <c r="F857" s="54" t="str">
        <f>IFERROR(IF(OR($B857="",$B857="(blank)"),"",VLOOKUP($B857,'Email Marketing Raw Data'!$C:$O,13,0)),"")</f>
        <v/>
      </c>
      <c r="G857" s="55" t="str">
        <f>IFERROR(IF(OR($B857="",$B857="(blank)"),"",VLOOKUP($B857,'Email Marketing Raw Data'!$C:$O,4,0)),"")</f>
        <v/>
      </c>
      <c r="H857" s="55" t="str">
        <f>IFERROR(IF(OR($B857="",$B857="(blank)"),"",VLOOKUP($B857,'Email Marketing Raw Data'!$C:$O,5,0)),"")</f>
        <v/>
      </c>
      <c r="I857" s="55" t="str">
        <f>IFERROR(IF($G857="","",VLOOKUP('Dashboard And Emails Automate'!$G857,Database!$H:$N,3,0)),"")</f>
        <v/>
      </c>
      <c r="J857" s="55" t="str">
        <f>IFERROR(IF($G857="","",VLOOKUP('Dashboard And Emails Automate'!$G857,Database!$H:$N,4,0)),"")</f>
        <v/>
      </c>
      <c r="K857" s="55" t="str">
        <f>IFERROR(IF($G857="","",VLOOKUP('Dashboard And Emails Automate'!$G857,Database!$H:$N,5,0)),"")</f>
        <v/>
      </c>
      <c r="L857" s="55" t="str">
        <f>IFERROR(IF($G857="","",VLOOKUP('Dashboard And Emails Automate'!$G857,Database!$H:$N,6,0)),"")</f>
        <v/>
      </c>
      <c r="M857" s="55" t="str">
        <f>IFERROR(IF($G857="","",VLOOKUP('Dashboard And Emails Automate'!$G857,Database!$H:$N,7,0)),"")</f>
        <v/>
      </c>
      <c r="N857" s="55" t="str">
        <f>IFERROR(IF(OR($B857="",$B857="(blank)"),"",VLOOKUP($B857,'Email Marketing Raw Data'!$C:$O,6,0)),"")</f>
        <v/>
      </c>
      <c r="O857" s="55" t="str">
        <f>IFERROR(IF(OR($B857="",$B857="(blank)"),"",VLOOKUP($B857,'Email Marketing Raw Data'!$C:$O,7,0)),"")</f>
        <v/>
      </c>
      <c r="P857" s="55" t="str">
        <f>IFERROR(IF(OR($B857="",$B857="(blank)"),"",VLOOKUP($B857,'Email Marketing Raw Data'!$C:$O,8,0)),"")</f>
        <v/>
      </c>
      <c r="Q857" s="62" t="str">
        <f>IFERROR(IF(OR($B857="",$B857="(blank)"),"",VLOOKUP($B857,'Email Marketing Raw Data'!$C:$O,9,0)),"")</f>
        <v/>
      </c>
    </row>
    <row r="858" spans="4:17" ht="12.75" customHeight="1" x14ac:dyDescent="0.2">
      <c r="D858" s="58" t="str">
        <f>IFERROR(IF(F858&lt;&gt;"pending","",IF(OR($B858="",$B858="(blank)"),"",VLOOKUP($B858,'Email Marketing Raw Data'!$C:$O,10,0))),"")</f>
        <v/>
      </c>
      <c r="E858" s="59" t="str">
        <f>IFERROR(IF(F858&lt;&gt;"pending","",IF(OR($B858="",$B858="(blank)"),"",VLOOKUP($B858,'Email Marketing Raw Data'!$C:$O,11,0))),"")</f>
        <v/>
      </c>
      <c r="F858" s="54" t="str">
        <f>IFERROR(IF(OR($B858="",$B858="(blank)"),"",VLOOKUP($B858,'Email Marketing Raw Data'!$C:$O,13,0)),"")</f>
        <v/>
      </c>
      <c r="G858" s="55" t="str">
        <f>IFERROR(IF(OR($B858="",$B858="(blank)"),"",VLOOKUP($B858,'Email Marketing Raw Data'!$C:$O,4,0)),"")</f>
        <v/>
      </c>
      <c r="H858" s="55" t="str">
        <f>IFERROR(IF(OR($B858="",$B858="(blank)"),"",VLOOKUP($B858,'Email Marketing Raw Data'!$C:$O,5,0)),"")</f>
        <v/>
      </c>
      <c r="I858" s="55" t="str">
        <f>IFERROR(IF($G858="","",VLOOKUP('Dashboard And Emails Automate'!$G858,Database!$H:$N,3,0)),"")</f>
        <v/>
      </c>
      <c r="J858" s="55" t="str">
        <f>IFERROR(IF($G858="","",VLOOKUP('Dashboard And Emails Automate'!$G858,Database!$H:$N,4,0)),"")</f>
        <v/>
      </c>
      <c r="K858" s="55" t="str">
        <f>IFERROR(IF($G858="","",VLOOKUP('Dashboard And Emails Automate'!$G858,Database!$H:$N,5,0)),"")</f>
        <v/>
      </c>
      <c r="L858" s="55" t="str">
        <f>IFERROR(IF($G858="","",VLOOKUP('Dashboard And Emails Automate'!$G858,Database!$H:$N,6,0)),"")</f>
        <v/>
      </c>
      <c r="M858" s="55" t="str">
        <f>IFERROR(IF($G858="","",VLOOKUP('Dashboard And Emails Automate'!$G858,Database!$H:$N,7,0)),"")</f>
        <v/>
      </c>
      <c r="N858" s="55" t="str">
        <f>IFERROR(IF(OR($B858="",$B858="(blank)"),"",VLOOKUP($B858,'Email Marketing Raw Data'!$C:$O,6,0)),"")</f>
        <v/>
      </c>
      <c r="O858" s="55" t="str">
        <f>IFERROR(IF(OR($B858="",$B858="(blank)"),"",VLOOKUP($B858,'Email Marketing Raw Data'!$C:$O,7,0)),"")</f>
        <v/>
      </c>
      <c r="P858" s="55" t="str">
        <f>IFERROR(IF(OR($B858="",$B858="(blank)"),"",VLOOKUP($B858,'Email Marketing Raw Data'!$C:$O,8,0)),"")</f>
        <v/>
      </c>
      <c r="Q858" s="62" t="str">
        <f>IFERROR(IF(OR($B858="",$B858="(blank)"),"",VLOOKUP($B858,'Email Marketing Raw Data'!$C:$O,9,0)),"")</f>
        <v/>
      </c>
    </row>
    <row r="859" spans="4:17" ht="12.75" customHeight="1" x14ac:dyDescent="0.2">
      <c r="D859" s="58" t="str">
        <f>IFERROR(IF(F859&lt;&gt;"pending","",IF(OR($B859="",$B859="(blank)"),"",VLOOKUP($B859,'Email Marketing Raw Data'!$C:$O,10,0))),"")</f>
        <v/>
      </c>
      <c r="E859" s="59" t="str">
        <f>IFERROR(IF(F859&lt;&gt;"pending","",IF(OR($B859="",$B859="(blank)"),"",VLOOKUP($B859,'Email Marketing Raw Data'!$C:$O,11,0))),"")</f>
        <v/>
      </c>
      <c r="F859" s="54" t="str">
        <f>IFERROR(IF(OR($B859="",$B859="(blank)"),"",VLOOKUP($B859,'Email Marketing Raw Data'!$C:$O,13,0)),"")</f>
        <v/>
      </c>
      <c r="G859" s="55" t="str">
        <f>IFERROR(IF(OR($B859="",$B859="(blank)"),"",VLOOKUP($B859,'Email Marketing Raw Data'!$C:$O,4,0)),"")</f>
        <v/>
      </c>
      <c r="H859" s="55" t="str">
        <f>IFERROR(IF(OR($B859="",$B859="(blank)"),"",VLOOKUP($B859,'Email Marketing Raw Data'!$C:$O,5,0)),"")</f>
        <v/>
      </c>
      <c r="I859" s="55" t="str">
        <f>IFERROR(IF($G859="","",VLOOKUP('Dashboard And Emails Automate'!$G859,Database!$H:$N,3,0)),"")</f>
        <v/>
      </c>
      <c r="J859" s="55" t="str">
        <f>IFERROR(IF($G859="","",VLOOKUP('Dashboard And Emails Automate'!$G859,Database!$H:$N,4,0)),"")</f>
        <v/>
      </c>
      <c r="K859" s="55" t="str">
        <f>IFERROR(IF($G859="","",VLOOKUP('Dashboard And Emails Automate'!$G859,Database!$H:$N,5,0)),"")</f>
        <v/>
      </c>
      <c r="L859" s="55" t="str">
        <f>IFERROR(IF($G859="","",VLOOKUP('Dashboard And Emails Automate'!$G859,Database!$H:$N,6,0)),"")</f>
        <v/>
      </c>
      <c r="M859" s="55" t="str">
        <f>IFERROR(IF($G859="","",VLOOKUP('Dashboard And Emails Automate'!$G859,Database!$H:$N,7,0)),"")</f>
        <v/>
      </c>
      <c r="N859" s="55" t="str">
        <f>IFERROR(IF(OR($B859="",$B859="(blank)"),"",VLOOKUP($B859,'Email Marketing Raw Data'!$C:$O,6,0)),"")</f>
        <v/>
      </c>
      <c r="O859" s="55" t="str">
        <f>IFERROR(IF(OR($B859="",$B859="(blank)"),"",VLOOKUP($B859,'Email Marketing Raw Data'!$C:$O,7,0)),"")</f>
        <v/>
      </c>
      <c r="P859" s="55" t="str">
        <f>IFERROR(IF(OR($B859="",$B859="(blank)"),"",VLOOKUP($B859,'Email Marketing Raw Data'!$C:$O,8,0)),"")</f>
        <v/>
      </c>
      <c r="Q859" s="62" t="str">
        <f>IFERROR(IF(OR($B859="",$B859="(blank)"),"",VLOOKUP($B859,'Email Marketing Raw Data'!$C:$O,9,0)),"")</f>
        <v/>
      </c>
    </row>
    <row r="860" spans="4:17" ht="12.75" customHeight="1" x14ac:dyDescent="0.2">
      <c r="D860" s="58" t="str">
        <f>IFERROR(IF(F860&lt;&gt;"pending","",IF(OR($B860="",$B860="(blank)"),"",VLOOKUP($B860,'Email Marketing Raw Data'!$C:$O,10,0))),"")</f>
        <v/>
      </c>
      <c r="E860" s="59" t="str">
        <f>IFERROR(IF(F860&lt;&gt;"pending","",IF(OR($B860="",$B860="(blank)"),"",VLOOKUP($B860,'Email Marketing Raw Data'!$C:$O,11,0))),"")</f>
        <v/>
      </c>
      <c r="F860" s="54" t="str">
        <f>IFERROR(IF(OR($B860="",$B860="(blank)"),"",VLOOKUP($B860,'Email Marketing Raw Data'!$C:$O,13,0)),"")</f>
        <v/>
      </c>
      <c r="G860" s="55" t="str">
        <f>IFERROR(IF(OR($B860="",$B860="(blank)"),"",VLOOKUP($B860,'Email Marketing Raw Data'!$C:$O,4,0)),"")</f>
        <v/>
      </c>
      <c r="H860" s="55" t="str">
        <f>IFERROR(IF(OR($B860="",$B860="(blank)"),"",VLOOKUP($B860,'Email Marketing Raw Data'!$C:$O,5,0)),"")</f>
        <v/>
      </c>
      <c r="I860" s="55" t="str">
        <f>IFERROR(IF($G860="","",VLOOKUP('Dashboard And Emails Automate'!$G860,Database!$H:$N,3,0)),"")</f>
        <v/>
      </c>
      <c r="J860" s="55" t="str">
        <f>IFERROR(IF($G860="","",VLOOKUP('Dashboard And Emails Automate'!$G860,Database!$H:$N,4,0)),"")</f>
        <v/>
      </c>
      <c r="K860" s="55" t="str">
        <f>IFERROR(IF($G860="","",VLOOKUP('Dashboard And Emails Automate'!$G860,Database!$H:$N,5,0)),"")</f>
        <v/>
      </c>
      <c r="L860" s="55" t="str">
        <f>IFERROR(IF($G860="","",VLOOKUP('Dashboard And Emails Automate'!$G860,Database!$H:$N,6,0)),"")</f>
        <v/>
      </c>
      <c r="M860" s="55" t="str">
        <f>IFERROR(IF($G860="","",VLOOKUP('Dashboard And Emails Automate'!$G860,Database!$H:$N,7,0)),"")</f>
        <v/>
      </c>
      <c r="N860" s="55" t="str">
        <f>IFERROR(IF(OR($B860="",$B860="(blank)"),"",VLOOKUP($B860,'Email Marketing Raw Data'!$C:$O,6,0)),"")</f>
        <v/>
      </c>
      <c r="O860" s="55" t="str">
        <f>IFERROR(IF(OR($B860="",$B860="(blank)"),"",VLOOKUP($B860,'Email Marketing Raw Data'!$C:$O,7,0)),"")</f>
        <v/>
      </c>
      <c r="P860" s="55" t="str">
        <f>IFERROR(IF(OR($B860="",$B860="(blank)"),"",VLOOKUP($B860,'Email Marketing Raw Data'!$C:$O,8,0)),"")</f>
        <v/>
      </c>
      <c r="Q860" s="62" t="str">
        <f>IFERROR(IF(OR($B860="",$B860="(blank)"),"",VLOOKUP($B860,'Email Marketing Raw Data'!$C:$O,9,0)),"")</f>
        <v/>
      </c>
    </row>
    <row r="861" spans="4:17" ht="12.75" customHeight="1" x14ac:dyDescent="0.2">
      <c r="D861" s="58" t="str">
        <f>IFERROR(IF(F861&lt;&gt;"pending","",IF(OR($B861="",$B861="(blank)"),"",VLOOKUP($B861,'Email Marketing Raw Data'!$C:$O,10,0))),"")</f>
        <v/>
      </c>
      <c r="E861" s="59" t="str">
        <f>IFERROR(IF(F861&lt;&gt;"pending","",IF(OR($B861="",$B861="(blank)"),"",VLOOKUP($B861,'Email Marketing Raw Data'!$C:$O,11,0))),"")</f>
        <v/>
      </c>
      <c r="F861" s="54" t="str">
        <f>IFERROR(IF(OR($B861="",$B861="(blank)"),"",VLOOKUP($B861,'Email Marketing Raw Data'!$C:$O,13,0)),"")</f>
        <v/>
      </c>
      <c r="G861" s="55" t="str">
        <f>IFERROR(IF(OR($B861="",$B861="(blank)"),"",VLOOKUP($B861,'Email Marketing Raw Data'!$C:$O,4,0)),"")</f>
        <v/>
      </c>
      <c r="H861" s="55" t="str">
        <f>IFERROR(IF(OR($B861="",$B861="(blank)"),"",VLOOKUP($B861,'Email Marketing Raw Data'!$C:$O,5,0)),"")</f>
        <v/>
      </c>
      <c r="I861" s="55" t="str">
        <f>IFERROR(IF($G861="","",VLOOKUP('Dashboard And Emails Automate'!$G861,Database!$H:$N,3,0)),"")</f>
        <v/>
      </c>
      <c r="J861" s="55" t="str">
        <f>IFERROR(IF($G861="","",VLOOKUP('Dashboard And Emails Automate'!$G861,Database!$H:$N,4,0)),"")</f>
        <v/>
      </c>
      <c r="K861" s="55" t="str">
        <f>IFERROR(IF($G861="","",VLOOKUP('Dashboard And Emails Automate'!$G861,Database!$H:$N,5,0)),"")</f>
        <v/>
      </c>
      <c r="L861" s="55" t="str">
        <f>IFERROR(IF($G861="","",VLOOKUP('Dashboard And Emails Automate'!$G861,Database!$H:$N,6,0)),"")</f>
        <v/>
      </c>
      <c r="M861" s="55" t="str">
        <f>IFERROR(IF($G861="","",VLOOKUP('Dashboard And Emails Automate'!$G861,Database!$H:$N,7,0)),"")</f>
        <v/>
      </c>
      <c r="N861" s="55" t="str">
        <f>IFERROR(IF(OR($B861="",$B861="(blank)"),"",VLOOKUP($B861,'Email Marketing Raw Data'!$C:$O,6,0)),"")</f>
        <v/>
      </c>
      <c r="O861" s="55" t="str">
        <f>IFERROR(IF(OR($B861="",$B861="(blank)"),"",VLOOKUP($B861,'Email Marketing Raw Data'!$C:$O,7,0)),"")</f>
        <v/>
      </c>
      <c r="P861" s="55" t="str">
        <f>IFERROR(IF(OR($B861="",$B861="(blank)"),"",VLOOKUP($B861,'Email Marketing Raw Data'!$C:$O,8,0)),"")</f>
        <v/>
      </c>
      <c r="Q861" s="62" t="str">
        <f>IFERROR(IF(OR($B861="",$B861="(blank)"),"",VLOOKUP($B861,'Email Marketing Raw Data'!$C:$O,9,0)),"")</f>
        <v/>
      </c>
    </row>
    <row r="862" spans="4:17" ht="12.75" customHeight="1" x14ac:dyDescent="0.2">
      <c r="D862" s="58" t="str">
        <f>IFERROR(IF(F862&lt;&gt;"pending","",IF(OR($B862="",$B862="(blank)"),"",VLOOKUP($B862,'Email Marketing Raw Data'!$C:$O,10,0))),"")</f>
        <v/>
      </c>
      <c r="E862" s="59" t="str">
        <f>IFERROR(IF(F862&lt;&gt;"pending","",IF(OR($B862="",$B862="(blank)"),"",VLOOKUP($B862,'Email Marketing Raw Data'!$C:$O,11,0))),"")</f>
        <v/>
      </c>
      <c r="F862" s="54" t="str">
        <f>IFERROR(IF(OR($B862="",$B862="(blank)"),"",VLOOKUP($B862,'Email Marketing Raw Data'!$C:$O,13,0)),"")</f>
        <v/>
      </c>
      <c r="G862" s="55" t="str">
        <f>IFERROR(IF(OR($B862="",$B862="(blank)"),"",VLOOKUP($B862,'Email Marketing Raw Data'!$C:$O,4,0)),"")</f>
        <v/>
      </c>
      <c r="H862" s="55" t="str">
        <f>IFERROR(IF(OR($B862="",$B862="(blank)"),"",VLOOKUP($B862,'Email Marketing Raw Data'!$C:$O,5,0)),"")</f>
        <v/>
      </c>
      <c r="I862" s="55" t="str">
        <f>IFERROR(IF($G862="","",VLOOKUP('Dashboard And Emails Automate'!$G862,Database!$H:$N,3,0)),"")</f>
        <v/>
      </c>
      <c r="J862" s="55" t="str">
        <f>IFERROR(IF($G862="","",VLOOKUP('Dashboard And Emails Automate'!$G862,Database!$H:$N,4,0)),"")</f>
        <v/>
      </c>
      <c r="K862" s="55" t="str">
        <f>IFERROR(IF($G862="","",VLOOKUP('Dashboard And Emails Automate'!$G862,Database!$H:$N,5,0)),"")</f>
        <v/>
      </c>
      <c r="L862" s="55" t="str">
        <f>IFERROR(IF($G862="","",VLOOKUP('Dashboard And Emails Automate'!$G862,Database!$H:$N,6,0)),"")</f>
        <v/>
      </c>
      <c r="M862" s="55" t="str">
        <f>IFERROR(IF($G862="","",VLOOKUP('Dashboard And Emails Automate'!$G862,Database!$H:$N,7,0)),"")</f>
        <v/>
      </c>
      <c r="N862" s="55" t="str">
        <f>IFERROR(IF(OR($B862="",$B862="(blank)"),"",VLOOKUP($B862,'Email Marketing Raw Data'!$C:$O,6,0)),"")</f>
        <v/>
      </c>
      <c r="O862" s="55" t="str">
        <f>IFERROR(IF(OR($B862="",$B862="(blank)"),"",VLOOKUP($B862,'Email Marketing Raw Data'!$C:$O,7,0)),"")</f>
        <v/>
      </c>
      <c r="P862" s="55" t="str">
        <f>IFERROR(IF(OR($B862="",$B862="(blank)"),"",VLOOKUP($B862,'Email Marketing Raw Data'!$C:$O,8,0)),"")</f>
        <v/>
      </c>
      <c r="Q862" s="62" t="str">
        <f>IFERROR(IF(OR($B862="",$B862="(blank)"),"",VLOOKUP($B862,'Email Marketing Raw Data'!$C:$O,9,0)),"")</f>
        <v/>
      </c>
    </row>
    <row r="863" spans="4:17" ht="12.75" customHeight="1" x14ac:dyDescent="0.2">
      <c r="D863" s="58" t="str">
        <f>IFERROR(IF(F863&lt;&gt;"pending","",IF(OR($B863="",$B863="(blank)"),"",VLOOKUP($B863,'Email Marketing Raw Data'!$C:$O,10,0))),"")</f>
        <v/>
      </c>
      <c r="E863" s="59" t="str">
        <f>IFERROR(IF(F863&lt;&gt;"pending","",IF(OR($B863="",$B863="(blank)"),"",VLOOKUP($B863,'Email Marketing Raw Data'!$C:$O,11,0))),"")</f>
        <v/>
      </c>
      <c r="F863" s="54" t="str">
        <f>IFERROR(IF(OR($B863="",$B863="(blank)"),"",VLOOKUP($B863,'Email Marketing Raw Data'!$C:$O,13,0)),"")</f>
        <v/>
      </c>
      <c r="G863" s="55" t="str">
        <f>IFERROR(IF(OR($B863="",$B863="(blank)"),"",VLOOKUP($B863,'Email Marketing Raw Data'!$C:$O,4,0)),"")</f>
        <v/>
      </c>
      <c r="H863" s="55" t="str">
        <f>IFERROR(IF(OR($B863="",$B863="(blank)"),"",VLOOKUP($B863,'Email Marketing Raw Data'!$C:$O,5,0)),"")</f>
        <v/>
      </c>
      <c r="I863" s="55" t="str">
        <f>IFERROR(IF($G863="","",VLOOKUP('Dashboard And Emails Automate'!$G863,Database!$H:$N,3,0)),"")</f>
        <v/>
      </c>
      <c r="J863" s="55" t="str">
        <f>IFERROR(IF($G863="","",VLOOKUP('Dashboard And Emails Automate'!$G863,Database!$H:$N,4,0)),"")</f>
        <v/>
      </c>
      <c r="K863" s="55" t="str">
        <f>IFERROR(IF($G863="","",VLOOKUP('Dashboard And Emails Automate'!$G863,Database!$H:$N,5,0)),"")</f>
        <v/>
      </c>
      <c r="L863" s="55" t="str">
        <f>IFERROR(IF($G863="","",VLOOKUP('Dashboard And Emails Automate'!$G863,Database!$H:$N,6,0)),"")</f>
        <v/>
      </c>
      <c r="M863" s="55" t="str">
        <f>IFERROR(IF($G863="","",VLOOKUP('Dashboard And Emails Automate'!$G863,Database!$H:$N,7,0)),"")</f>
        <v/>
      </c>
      <c r="N863" s="55" t="str">
        <f>IFERROR(IF(OR($B863="",$B863="(blank)"),"",VLOOKUP($B863,'Email Marketing Raw Data'!$C:$O,6,0)),"")</f>
        <v/>
      </c>
      <c r="O863" s="55" t="str">
        <f>IFERROR(IF(OR($B863="",$B863="(blank)"),"",VLOOKUP($B863,'Email Marketing Raw Data'!$C:$O,7,0)),"")</f>
        <v/>
      </c>
      <c r="P863" s="55" t="str">
        <f>IFERROR(IF(OR($B863="",$B863="(blank)"),"",VLOOKUP($B863,'Email Marketing Raw Data'!$C:$O,8,0)),"")</f>
        <v/>
      </c>
      <c r="Q863" s="62" t="str">
        <f>IFERROR(IF(OR($B863="",$B863="(blank)"),"",VLOOKUP($B863,'Email Marketing Raw Data'!$C:$O,9,0)),"")</f>
        <v/>
      </c>
    </row>
    <row r="864" spans="4:17" ht="12.75" customHeight="1" x14ac:dyDescent="0.2">
      <c r="D864" s="58" t="str">
        <f>IFERROR(IF(F864&lt;&gt;"pending","",IF(OR($B864="",$B864="(blank)"),"",VLOOKUP($B864,'Email Marketing Raw Data'!$C:$O,10,0))),"")</f>
        <v/>
      </c>
      <c r="E864" s="59" t="str">
        <f>IFERROR(IF(F864&lt;&gt;"pending","",IF(OR($B864="",$B864="(blank)"),"",VLOOKUP($B864,'Email Marketing Raw Data'!$C:$O,11,0))),"")</f>
        <v/>
      </c>
      <c r="F864" s="54" t="str">
        <f>IFERROR(IF(OR($B864="",$B864="(blank)"),"",VLOOKUP($B864,'Email Marketing Raw Data'!$C:$O,13,0)),"")</f>
        <v/>
      </c>
      <c r="G864" s="55" t="str">
        <f>IFERROR(IF(OR($B864="",$B864="(blank)"),"",VLOOKUP($B864,'Email Marketing Raw Data'!$C:$O,4,0)),"")</f>
        <v/>
      </c>
      <c r="H864" s="55" t="str">
        <f>IFERROR(IF(OR($B864="",$B864="(blank)"),"",VLOOKUP($B864,'Email Marketing Raw Data'!$C:$O,5,0)),"")</f>
        <v/>
      </c>
      <c r="I864" s="55" t="str">
        <f>IFERROR(IF($G864="","",VLOOKUP('Dashboard And Emails Automate'!$G864,Database!$H:$N,3,0)),"")</f>
        <v/>
      </c>
      <c r="J864" s="55" t="str">
        <f>IFERROR(IF($G864="","",VLOOKUP('Dashboard And Emails Automate'!$G864,Database!$H:$N,4,0)),"")</f>
        <v/>
      </c>
      <c r="K864" s="55" t="str">
        <f>IFERROR(IF($G864="","",VLOOKUP('Dashboard And Emails Automate'!$G864,Database!$H:$N,5,0)),"")</f>
        <v/>
      </c>
      <c r="L864" s="55" t="str">
        <f>IFERROR(IF($G864="","",VLOOKUP('Dashboard And Emails Automate'!$G864,Database!$H:$N,6,0)),"")</f>
        <v/>
      </c>
      <c r="M864" s="55" t="str">
        <f>IFERROR(IF($G864="","",VLOOKUP('Dashboard And Emails Automate'!$G864,Database!$H:$N,7,0)),"")</f>
        <v/>
      </c>
      <c r="N864" s="55" t="str">
        <f>IFERROR(IF(OR($B864="",$B864="(blank)"),"",VLOOKUP($B864,'Email Marketing Raw Data'!$C:$O,6,0)),"")</f>
        <v/>
      </c>
      <c r="O864" s="55" t="str">
        <f>IFERROR(IF(OR($B864="",$B864="(blank)"),"",VLOOKUP($B864,'Email Marketing Raw Data'!$C:$O,7,0)),"")</f>
        <v/>
      </c>
      <c r="P864" s="55" t="str">
        <f>IFERROR(IF(OR($B864="",$B864="(blank)"),"",VLOOKUP($B864,'Email Marketing Raw Data'!$C:$O,8,0)),"")</f>
        <v/>
      </c>
      <c r="Q864" s="62" t="str">
        <f>IFERROR(IF(OR($B864="",$B864="(blank)"),"",VLOOKUP($B864,'Email Marketing Raw Data'!$C:$O,9,0)),"")</f>
        <v/>
      </c>
    </row>
    <row r="865" spans="4:17" ht="12.75" customHeight="1" x14ac:dyDescent="0.2">
      <c r="D865" s="58" t="str">
        <f>IFERROR(IF(F865&lt;&gt;"pending","",IF(OR($B865="",$B865="(blank)"),"",VLOOKUP($B865,'Email Marketing Raw Data'!$C:$O,10,0))),"")</f>
        <v/>
      </c>
      <c r="E865" s="59" t="str">
        <f>IFERROR(IF(F865&lt;&gt;"pending","",IF(OR($B865="",$B865="(blank)"),"",VLOOKUP($B865,'Email Marketing Raw Data'!$C:$O,11,0))),"")</f>
        <v/>
      </c>
      <c r="F865" s="54" t="str">
        <f>IFERROR(IF(OR($B865="",$B865="(blank)"),"",VLOOKUP($B865,'Email Marketing Raw Data'!$C:$O,13,0)),"")</f>
        <v/>
      </c>
      <c r="G865" s="55" t="str">
        <f>IFERROR(IF(OR($B865="",$B865="(blank)"),"",VLOOKUP($B865,'Email Marketing Raw Data'!$C:$O,4,0)),"")</f>
        <v/>
      </c>
      <c r="H865" s="55" t="str">
        <f>IFERROR(IF(OR($B865="",$B865="(blank)"),"",VLOOKUP($B865,'Email Marketing Raw Data'!$C:$O,5,0)),"")</f>
        <v/>
      </c>
      <c r="I865" s="55" t="str">
        <f>IFERROR(IF($G865="","",VLOOKUP('Dashboard And Emails Automate'!$G865,Database!$H:$N,3,0)),"")</f>
        <v/>
      </c>
      <c r="J865" s="55" t="str">
        <f>IFERROR(IF($G865="","",VLOOKUP('Dashboard And Emails Automate'!$G865,Database!$H:$N,4,0)),"")</f>
        <v/>
      </c>
      <c r="K865" s="55" t="str">
        <f>IFERROR(IF($G865="","",VLOOKUP('Dashboard And Emails Automate'!$G865,Database!$H:$N,5,0)),"")</f>
        <v/>
      </c>
      <c r="L865" s="55" t="str">
        <f>IFERROR(IF($G865="","",VLOOKUP('Dashboard And Emails Automate'!$G865,Database!$H:$N,6,0)),"")</f>
        <v/>
      </c>
      <c r="M865" s="55" t="str">
        <f>IFERROR(IF($G865="","",VLOOKUP('Dashboard And Emails Automate'!$G865,Database!$H:$N,7,0)),"")</f>
        <v/>
      </c>
      <c r="N865" s="55" t="str">
        <f>IFERROR(IF(OR($B865="",$B865="(blank)"),"",VLOOKUP($B865,'Email Marketing Raw Data'!$C:$O,6,0)),"")</f>
        <v/>
      </c>
      <c r="O865" s="55" t="str">
        <f>IFERROR(IF(OR($B865="",$B865="(blank)"),"",VLOOKUP($B865,'Email Marketing Raw Data'!$C:$O,7,0)),"")</f>
        <v/>
      </c>
      <c r="P865" s="55" t="str">
        <f>IFERROR(IF(OR($B865="",$B865="(blank)"),"",VLOOKUP($B865,'Email Marketing Raw Data'!$C:$O,8,0)),"")</f>
        <v/>
      </c>
      <c r="Q865" s="62" t="str">
        <f>IFERROR(IF(OR($B865="",$B865="(blank)"),"",VLOOKUP($B865,'Email Marketing Raw Data'!$C:$O,9,0)),"")</f>
        <v/>
      </c>
    </row>
    <row r="866" spans="4:17" ht="12.75" customHeight="1" x14ac:dyDescent="0.2">
      <c r="D866" s="58" t="str">
        <f>IFERROR(IF(F866&lt;&gt;"pending","",IF(OR($B866="",$B866="(blank)"),"",VLOOKUP($B866,'Email Marketing Raw Data'!$C:$O,10,0))),"")</f>
        <v/>
      </c>
      <c r="E866" s="59" t="str">
        <f>IFERROR(IF(F866&lt;&gt;"pending","",IF(OR($B866="",$B866="(blank)"),"",VLOOKUP($B866,'Email Marketing Raw Data'!$C:$O,11,0))),"")</f>
        <v/>
      </c>
      <c r="F866" s="54" t="str">
        <f>IFERROR(IF(OR($B866="",$B866="(blank)"),"",VLOOKUP($B866,'Email Marketing Raw Data'!$C:$O,13,0)),"")</f>
        <v/>
      </c>
      <c r="G866" s="55" t="str">
        <f>IFERROR(IF(OR($B866="",$B866="(blank)"),"",VLOOKUP($B866,'Email Marketing Raw Data'!$C:$O,4,0)),"")</f>
        <v/>
      </c>
      <c r="H866" s="55" t="str">
        <f>IFERROR(IF(OR($B866="",$B866="(blank)"),"",VLOOKUP($B866,'Email Marketing Raw Data'!$C:$O,5,0)),"")</f>
        <v/>
      </c>
      <c r="I866" s="55" t="str">
        <f>IFERROR(IF($G866="","",VLOOKUP('Dashboard And Emails Automate'!$G866,Database!$H:$N,3,0)),"")</f>
        <v/>
      </c>
      <c r="J866" s="55" t="str">
        <f>IFERROR(IF($G866="","",VLOOKUP('Dashboard And Emails Automate'!$G866,Database!$H:$N,4,0)),"")</f>
        <v/>
      </c>
      <c r="K866" s="55" t="str">
        <f>IFERROR(IF($G866="","",VLOOKUP('Dashboard And Emails Automate'!$G866,Database!$H:$N,5,0)),"")</f>
        <v/>
      </c>
      <c r="L866" s="55" t="str">
        <f>IFERROR(IF($G866="","",VLOOKUP('Dashboard And Emails Automate'!$G866,Database!$H:$N,6,0)),"")</f>
        <v/>
      </c>
      <c r="M866" s="55" t="str">
        <f>IFERROR(IF($G866="","",VLOOKUP('Dashboard And Emails Automate'!$G866,Database!$H:$N,7,0)),"")</f>
        <v/>
      </c>
      <c r="N866" s="55" t="str">
        <f>IFERROR(IF(OR($B866="",$B866="(blank)"),"",VLOOKUP($B866,'Email Marketing Raw Data'!$C:$O,6,0)),"")</f>
        <v/>
      </c>
      <c r="O866" s="55" t="str">
        <f>IFERROR(IF(OR($B866="",$B866="(blank)"),"",VLOOKUP($B866,'Email Marketing Raw Data'!$C:$O,7,0)),"")</f>
        <v/>
      </c>
      <c r="P866" s="55" t="str">
        <f>IFERROR(IF(OR($B866="",$B866="(blank)"),"",VLOOKUP($B866,'Email Marketing Raw Data'!$C:$O,8,0)),"")</f>
        <v/>
      </c>
      <c r="Q866" s="62" t="str">
        <f>IFERROR(IF(OR($B866="",$B866="(blank)"),"",VLOOKUP($B866,'Email Marketing Raw Data'!$C:$O,9,0)),"")</f>
        <v/>
      </c>
    </row>
    <row r="867" spans="4:17" ht="12.75" customHeight="1" x14ac:dyDescent="0.2">
      <c r="D867" s="58" t="str">
        <f>IFERROR(IF(F867&lt;&gt;"pending","",IF(OR($B867="",$B867="(blank)"),"",VLOOKUP($B867,'Email Marketing Raw Data'!$C:$O,10,0))),"")</f>
        <v/>
      </c>
      <c r="E867" s="59" t="str">
        <f>IFERROR(IF(F867&lt;&gt;"pending","",IF(OR($B867="",$B867="(blank)"),"",VLOOKUP($B867,'Email Marketing Raw Data'!$C:$O,11,0))),"")</f>
        <v/>
      </c>
      <c r="F867" s="54" t="str">
        <f>IFERROR(IF(OR($B867="",$B867="(blank)"),"",VLOOKUP($B867,'Email Marketing Raw Data'!$C:$O,13,0)),"")</f>
        <v/>
      </c>
      <c r="G867" s="55" t="str">
        <f>IFERROR(IF(OR($B867="",$B867="(blank)"),"",VLOOKUP($B867,'Email Marketing Raw Data'!$C:$O,4,0)),"")</f>
        <v/>
      </c>
      <c r="H867" s="55" t="str">
        <f>IFERROR(IF(OR($B867="",$B867="(blank)"),"",VLOOKUP($B867,'Email Marketing Raw Data'!$C:$O,5,0)),"")</f>
        <v/>
      </c>
      <c r="I867" s="55" t="str">
        <f>IFERROR(IF($G867="","",VLOOKUP('Dashboard And Emails Automate'!$G867,Database!$H:$N,3,0)),"")</f>
        <v/>
      </c>
      <c r="J867" s="55" t="str">
        <f>IFERROR(IF($G867="","",VLOOKUP('Dashboard And Emails Automate'!$G867,Database!$H:$N,4,0)),"")</f>
        <v/>
      </c>
      <c r="K867" s="55" t="str">
        <f>IFERROR(IF($G867="","",VLOOKUP('Dashboard And Emails Automate'!$G867,Database!$H:$N,5,0)),"")</f>
        <v/>
      </c>
      <c r="L867" s="55" t="str">
        <f>IFERROR(IF($G867="","",VLOOKUP('Dashboard And Emails Automate'!$G867,Database!$H:$N,6,0)),"")</f>
        <v/>
      </c>
      <c r="M867" s="55" t="str">
        <f>IFERROR(IF($G867="","",VLOOKUP('Dashboard And Emails Automate'!$G867,Database!$H:$N,7,0)),"")</f>
        <v/>
      </c>
      <c r="N867" s="55" t="str">
        <f>IFERROR(IF(OR($B867="",$B867="(blank)"),"",VLOOKUP($B867,'Email Marketing Raw Data'!$C:$O,6,0)),"")</f>
        <v/>
      </c>
      <c r="O867" s="55" t="str">
        <f>IFERROR(IF(OR($B867="",$B867="(blank)"),"",VLOOKUP($B867,'Email Marketing Raw Data'!$C:$O,7,0)),"")</f>
        <v/>
      </c>
      <c r="P867" s="55" t="str">
        <f>IFERROR(IF(OR($B867="",$B867="(blank)"),"",VLOOKUP($B867,'Email Marketing Raw Data'!$C:$O,8,0)),"")</f>
        <v/>
      </c>
      <c r="Q867" s="62" t="str">
        <f>IFERROR(IF(OR($B867="",$B867="(blank)"),"",VLOOKUP($B867,'Email Marketing Raw Data'!$C:$O,9,0)),"")</f>
        <v/>
      </c>
    </row>
    <row r="868" spans="4:17" ht="12.75" customHeight="1" x14ac:dyDescent="0.2">
      <c r="D868" s="58" t="str">
        <f>IFERROR(IF(F868&lt;&gt;"pending","",IF(OR($B868="",$B868="(blank)"),"",VLOOKUP($B868,'Email Marketing Raw Data'!$C:$O,10,0))),"")</f>
        <v/>
      </c>
      <c r="E868" s="59" t="str">
        <f>IFERROR(IF(F868&lt;&gt;"pending","",IF(OR($B868="",$B868="(blank)"),"",VLOOKUP($B868,'Email Marketing Raw Data'!$C:$O,11,0))),"")</f>
        <v/>
      </c>
      <c r="F868" s="54" t="str">
        <f>IFERROR(IF(OR($B868="",$B868="(blank)"),"",VLOOKUP($B868,'Email Marketing Raw Data'!$C:$O,13,0)),"")</f>
        <v/>
      </c>
      <c r="G868" s="55" t="str">
        <f>IFERROR(IF(OR($B868="",$B868="(blank)"),"",VLOOKUP($B868,'Email Marketing Raw Data'!$C:$O,4,0)),"")</f>
        <v/>
      </c>
      <c r="H868" s="55" t="str">
        <f>IFERROR(IF(OR($B868="",$B868="(blank)"),"",VLOOKUP($B868,'Email Marketing Raw Data'!$C:$O,5,0)),"")</f>
        <v/>
      </c>
      <c r="I868" s="55" t="str">
        <f>IFERROR(IF($G868="","",VLOOKUP('Dashboard And Emails Automate'!$G868,Database!$H:$N,3,0)),"")</f>
        <v/>
      </c>
      <c r="J868" s="55" t="str">
        <f>IFERROR(IF($G868="","",VLOOKUP('Dashboard And Emails Automate'!$G868,Database!$H:$N,4,0)),"")</f>
        <v/>
      </c>
      <c r="K868" s="55" t="str">
        <f>IFERROR(IF($G868="","",VLOOKUP('Dashboard And Emails Automate'!$G868,Database!$H:$N,5,0)),"")</f>
        <v/>
      </c>
      <c r="L868" s="55" t="str">
        <f>IFERROR(IF($G868="","",VLOOKUP('Dashboard And Emails Automate'!$G868,Database!$H:$N,6,0)),"")</f>
        <v/>
      </c>
      <c r="M868" s="55" t="str">
        <f>IFERROR(IF($G868="","",VLOOKUP('Dashboard And Emails Automate'!$G868,Database!$H:$N,7,0)),"")</f>
        <v/>
      </c>
      <c r="N868" s="55" t="str">
        <f>IFERROR(IF(OR($B868="",$B868="(blank)"),"",VLOOKUP($B868,'Email Marketing Raw Data'!$C:$O,6,0)),"")</f>
        <v/>
      </c>
      <c r="O868" s="55" t="str">
        <f>IFERROR(IF(OR($B868="",$B868="(blank)"),"",VLOOKUP($B868,'Email Marketing Raw Data'!$C:$O,7,0)),"")</f>
        <v/>
      </c>
      <c r="P868" s="55" t="str">
        <f>IFERROR(IF(OR($B868="",$B868="(blank)"),"",VLOOKUP($B868,'Email Marketing Raw Data'!$C:$O,8,0)),"")</f>
        <v/>
      </c>
      <c r="Q868" s="62" t="str">
        <f>IFERROR(IF(OR($B868="",$B868="(blank)"),"",VLOOKUP($B868,'Email Marketing Raw Data'!$C:$O,9,0)),"")</f>
        <v/>
      </c>
    </row>
    <row r="869" spans="4:17" ht="12.75" customHeight="1" x14ac:dyDescent="0.2">
      <c r="D869" s="58" t="str">
        <f>IFERROR(IF(F869&lt;&gt;"pending","",IF(OR($B869="",$B869="(blank)"),"",VLOOKUP($B869,'Email Marketing Raw Data'!$C:$O,10,0))),"")</f>
        <v/>
      </c>
      <c r="E869" s="59" t="str">
        <f>IFERROR(IF(F869&lt;&gt;"pending","",IF(OR($B869="",$B869="(blank)"),"",VLOOKUP($B869,'Email Marketing Raw Data'!$C:$O,11,0))),"")</f>
        <v/>
      </c>
      <c r="F869" s="54" t="str">
        <f>IFERROR(IF(OR($B869="",$B869="(blank)"),"",VLOOKUP($B869,'Email Marketing Raw Data'!$C:$O,13,0)),"")</f>
        <v/>
      </c>
      <c r="G869" s="55" t="str">
        <f>IFERROR(IF(OR($B869="",$B869="(blank)"),"",VLOOKUP($B869,'Email Marketing Raw Data'!$C:$O,4,0)),"")</f>
        <v/>
      </c>
      <c r="H869" s="55" t="str">
        <f>IFERROR(IF(OR($B869="",$B869="(blank)"),"",VLOOKUP($B869,'Email Marketing Raw Data'!$C:$O,5,0)),"")</f>
        <v/>
      </c>
      <c r="I869" s="55" t="str">
        <f>IFERROR(IF($G869="","",VLOOKUP('Dashboard And Emails Automate'!$G869,Database!$H:$N,3,0)),"")</f>
        <v/>
      </c>
      <c r="J869" s="55" t="str">
        <f>IFERROR(IF($G869="","",VLOOKUP('Dashboard And Emails Automate'!$G869,Database!$H:$N,4,0)),"")</f>
        <v/>
      </c>
      <c r="K869" s="55" t="str">
        <f>IFERROR(IF($G869="","",VLOOKUP('Dashboard And Emails Automate'!$G869,Database!$H:$N,5,0)),"")</f>
        <v/>
      </c>
      <c r="L869" s="55" t="str">
        <f>IFERROR(IF($G869="","",VLOOKUP('Dashboard And Emails Automate'!$G869,Database!$H:$N,6,0)),"")</f>
        <v/>
      </c>
      <c r="M869" s="55" t="str">
        <f>IFERROR(IF($G869="","",VLOOKUP('Dashboard And Emails Automate'!$G869,Database!$H:$N,7,0)),"")</f>
        <v/>
      </c>
      <c r="N869" s="55" t="str">
        <f>IFERROR(IF(OR($B869="",$B869="(blank)"),"",VLOOKUP($B869,'Email Marketing Raw Data'!$C:$O,6,0)),"")</f>
        <v/>
      </c>
      <c r="O869" s="55" t="str">
        <f>IFERROR(IF(OR($B869="",$B869="(blank)"),"",VLOOKUP($B869,'Email Marketing Raw Data'!$C:$O,7,0)),"")</f>
        <v/>
      </c>
      <c r="P869" s="55" t="str">
        <f>IFERROR(IF(OR($B869="",$B869="(blank)"),"",VLOOKUP($B869,'Email Marketing Raw Data'!$C:$O,8,0)),"")</f>
        <v/>
      </c>
      <c r="Q869" s="62" t="str">
        <f>IFERROR(IF(OR($B869="",$B869="(blank)"),"",VLOOKUP($B869,'Email Marketing Raw Data'!$C:$O,9,0)),"")</f>
        <v/>
      </c>
    </row>
    <row r="870" spans="4:17" ht="12.75" customHeight="1" x14ac:dyDescent="0.2">
      <c r="D870" s="58" t="str">
        <f>IFERROR(IF(F870&lt;&gt;"pending","",IF(OR($B870="",$B870="(blank)"),"",VLOOKUP($B870,'Email Marketing Raw Data'!$C:$O,10,0))),"")</f>
        <v/>
      </c>
      <c r="E870" s="59" t="str">
        <f>IFERROR(IF(F870&lt;&gt;"pending","",IF(OR($B870="",$B870="(blank)"),"",VLOOKUP($B870,'Email Marketing Raw Data'!$C:$O,11,0))),"")</f>
        <v/>
      </c>
      <c r="F870" s="54" t="str">
        <f>IFERROR(IF(OR($B870="",$B870="(blank)"),"",VLOOKUP($B870,'Email Marketing Raw Data'!$C:$O,13,0)),"")</f>
        <v/>
      </c>
      <c r="G870" s="55" t="str">
        <f>IFERROR(IF(OR($B870="",$B870="(blank)"),"",VLOOKUP($B870,'Email Marketing Raw Data'!$C:$O,4,0)),"")</f>
        <v/>
      </c>
      <c r="H870" s="55" t="str">
        <f>IFERROR(IF(OR($B870="",$B870="(blank)"),"",VLOOKUP($B870,'Email Marketing Raw Data'!$C:$O,5,0)),"")</f>
        <v/>
      </c>
      <c r="I870" s="55" t="str">
        <f>IFERROR(IF($G870="","",VLOOKUP('Dashboard And Emails Automate'!$G870,Database!$H:$N,3,0)),"")</f>
        <v/>
      </c>
      <c r="J870" s="55" t="str">
        <f>IFERROR(IF($G870="","",VLOOKUP('Dashboard And Emails Automate'!$G870,Database!$H:$N,4,0)),"")</f>
        <v/>
      </c>
      <c r="K870" s="55" t="str">
        <f>IFERROR(IF($G870="","",VLOOKUP('Dashboard And Emails Automate'!$G870,Database!$H:$N,5,0)),"")</f>
        <v/>
      </c>
      <c r="L870" s="55" t="str">
        <f>IFERROR(IF($G870="","",VLOOKUP('Dashboard And Emails Automate'!$G870,Database!$H:$N,6,0)),"")</f>
        <v/>
      </c>
      <c r="M870" s="55" t="str">
        <f>IFERROR(IF($G870="","",VLOOKUP('Dashboard And Emails Automate'!$G870,Database!$H:$N,7,0)),"")</f>
        <v/>
      </c>
      <c r="N870" s="55" t="str">
        <f>IFERROR(IF(OR($B870="",$B870="(blank)"),"",VLOOKUP($B870,'Email Marketing Raw Data'!$C:$O,6,0)),"")</f>
        <v/>
      </c>
      <c r="O870" s="55" t="str">
        <f>IFERROR(IF(OR($B870="",$B870="(blank)"),"",VLOOKUP($B870,'Email Marketing Raw Data'!$C:$O,7,0)),"")</f>
        <v/>
      </c>
      <c r="P870" s="55" t="str">
        <f>IFERROR(IF(OR($B870="",$B870="(blank)"),"",VLOOKUP($B870,'Email Marketing Raw Data'!$C:$O,8,0)),"")</f>
        <v/>
      </c>
      <c r="Q870" s="62" t="str">
        <f>IFERROR(IF(OR($B870="",$B870="(blank)"),"",VLOOKUP($B870,'Email Marketing Raw Data'!$C:$O,9,0)),"")</f>
        <v/>
      </c>
    </row>
    <row r="871" spans="4:17" ht="12.75" customHeight="1" x14ac:dyDescent="0.2">
      <c r="D871" s="58" t="str">
        <f>IFERROR(IF(F871&lt;&gt;"pending","",IF(OR($B871="",$B871="(blank)"),"",VLOOKUP($B871,'Email Marketing Raw Data'!$C:$O,10,0))),"")</f>
        <v/>
      </c>
      <c r="E871" s="59" t="str">
        <f>IFERROR(IF(F871&lt;&gt;"pending","",IF(OR($B871="",$B871="(blank)"),"",VLOOKUP($B871,'Email Marketing Raw Data'!$C:$O,11,0))),"")</f>
        <v/>
      </c>
      <c r="F871" s="54" t="str">
        <f>IFERROR(IF(OR($B871="",$B871="(blank)"),"",VLOOKUP($B871,'Email Marketing Raw Data'!$C:$O,13,0)),"")</f>
        <v/>
      </c>
      <c r="G871" s="55" t="str">
        <f>IFERROR(IF(OR($B871="",$B871="(blank)"),"",VLOOKUP($B871,'Email Marketing Raw Data'!$C:$O,4,0)),"")</f>
        <v/>
      </c>
      <c r="H871" s="55" t="str">
        <f>IFERROR(IF(OR($B871="",$B871="(blank)"),"",VLOOKUP($B871,'Email Marketing Raw Data'!$C:$O,5,0)),"")</f>
        <v/>
      </c>
      <c r="I871" s="55" t="str">
        <f>IFERROR(IF($G871="","",VLOOKUP('Dashboard And Emails Automate'!$G871,Database!$H:$N,3,0)),"")</f>
        <v/>
      </c>
      <c r="J871" s="55" t="str">
        <f>IFERROR(IF($G871="","",VLOOKUP('Dashboard And Emails Automate'!$G871,Database!$H:$N,4,0)),"")</f>
        <v/>
      </c>
      <c r="K871" s="55" t="str">
        <f>IFERROR(IF($G871="","",VLOOKUP('Dashboard And Emails Automate'!$G871,Database!$H:$N,5,0)),"")</f>
        <v/>
      </c>
      <c r="L871" s="55" t="str">
        <f>IFERROR(IF($G871="","",VLOOKUP('Dashboard And Emails Automate'!$G871,Database!$H:$N,6,0)),"")</f>
        <v/>
      </c>
      <c r="M871" s="55" t="str">
        <f>IFERROR(IF($G871="","",VLOOKUP('Dashboard And Emails Automate'!$G871,Database!$H:$N,7,0)),"")</f>
        <v/>
      </c>
      <c r="N871" s="55" t="str">
        <f>IFERROR(IF(OR($B871="",$B871="(blank)"),"",VLOOKUP($B871,'Email Marketing Raw Data'!$C:$O,6,0)),"")</f>
        <v/>
      </c>
      <c r="O871" s="55" t="str">
        <f>IFERROR(IF(OR($B871="",$B871="(blank)"),"",VLOOKUP($B871,'Email Marketing Raw Data'!$C:$O,7,0)),"")</f>
        <v/>
      </c>
      <c r="P871" s="55" t="str">
        <f>IFERROR(IF(OR($B871="",$B871="(blank)"),"",VLOOKUP($B871,'Email Marketing Raw Data'!$C:$O,8,0)),"")</f>
        <v/>
      </c>
      <c r="Q871" s="62" t="str">
        <f>IFERROR(IF(OR($B871="",$B871="(blank)"),"",VLOOKUP($B871,'Email Marketing Raw Data'!$C:$O,9,0)),"")</f>
        <v/>
      </c>
    </row>
    <row r="872" spans="4:17" ht="12.75" customHeight="1" x14ac:dyDescent="0.2">
      <c r="D872" s="58" t="str">
        <f>IFERROR(IF(F872&lt;&gt;"pending","",IF(OR($B872="",$B872="(blank)"),"",VLOOKUP($B872,'Email Marketing Raw Data'!$C:$O,10,0))),"")</f>
        <v/>
      </c>
      <c r="E872" s="59" t="str">
        <f>IFERROR(IF(F872&lt;&gt;"pending","",IF(OR($B872="",$B872="(blank)"),"",VLOOKUP($B872,'Email Marketing Raw Data'!$C:$O,11,0))),"")</f>
        <v/>
      </c>
      <c r="F872" s="54" t="str">
        <f>IFERROR(IF(OR($B872="",$B872="(blank)"),"",VLOOKUP($B872,'Email Marketing Raw Data'!$C:$O,13,0)),"")</f>
        <v/>
      </c>
      <c r="G872" s="55" t="str">
        <f>IFERROR(IF(OR($B872="",$B872="(blank)"),"",VLOOKUP($B872,'Email Marketing Raw Data'!$C:$O,4,0)),"")</f>
        <v/>
      </c>
      <c r="H872" s="55" t="str">
        <f>IFERROR(IF(OR($B872="",$B872="(blank)"),"",VLOOKUP($B872,'Email Marketing Raw Data'!$C:$O,5,0)),"")</f>
        <v/>
      </c>
      <c r="I872" s="55" t="str">
        <f>IFERROR(IF($G872="","",VLOOKUP('Dashboard And Emails Automate'!$G872,Database!$H:$N,3,0)),"")</f>
        <v/>
      </c>
      <c r="J872" s="55" t="str">
        <f>IFERROR(IF($G872="","",VLOOKUP('Dashboard And Emails Automate'!$G872,Database!$H:$N,4,0)),"")</f>
        <v/>
      </c>
      <c r="K872" s="55" t="str">
        <f>IFERROR(IF($G872="","",VLOOKUP('Dashboard And Emails Automate'!$G872,Database!$H:$N,5,0)),"")</f>
        <v/>
      </c>
      <c r="L872" s="55" t="str">
        <f>IFERROR(IF($G872="","",VLOOKUP('Dashboard And Emails Automate'!$G872,Database!$H:$N,6,0)),"")</f>
        <v/>
      </c>
      <c r="M872" s="55" t="str">
        <f>IFERROR(IF($G872="","",VLOOKUP('Dashboard And Emails Automate'!$G872,Database!$H:$N,7,0)),"")</f>
        <v/>
      </c>
      <c r="N872" s="55" t="str">
        <f>IFERROR(IF(OR($B872="",$B872="(blank)"),"",VLOOKUP($B872,'Email Marketing Raw Data'!$C:$O,6,0)),"")</f>
        <v/>
      </c>
      <c r="O872" s="55" t="str">
        <f>IFERROR(IF(OR($B872="",$B872="(blank)"),"",VLOOKUP($B872,'Email Marketing Raw Data'!$C:$O,7,0)),"")</f>
        <v/>
      </c>
      <c r="P872" s="55" t="str">
        <f>IFERROR(IF(OR($B872="",$B872="(blank)"),"",VLOOKUP($B872,'Email Marketing Raw Data'!$C:$O,8,0)),"")</f>
        <v/>
      </c>
      <c r="Q872" s="62" t="str">
        <f>IFERROR(IF(OR($B872="",$B872="(blank)"),"",VLOOKUP($B872,'Email Marketing Raw Data'!$C:$O,9,0)),"")</f>
        <v/>
      </c>
    </row>
    <row r="873" spans="4:17" ht="12.75" customHeight="1" x14ac:dyDescent="0.2">
      <c r="D873" s="58" t="str">
        <f>IFERROR(IF(F873&lt;&gt;"pending","",IF(OR($B873="",$B873="(blank)"),"",VLOOKUP($B873,'Email Marketing Raw Data'!$C:$O,10,0))),"")</f>
        <v/>
      </c>
      <c r="E873" s="59" t="str">
        <f>IFERROR(IF(F873&lt;&gt;"pending","",IF(OR($B873="",$B873="(blank)"),"",VLOOKUP($B873,'Email Marketing Raw Data'!$C:$O,11,0))),"")</f>
        <v/>
      </c>
      <c r="F873" s="54" t="str">
        <f>IFERROR(IF(OR($B873="",$B873="(blank)"),"",VLOOKUP($B873,'Email Marketing Raw Data'!$C:$O,13,0)),"")</f>
        <v/>
      </c>
      <c r="G873" s="55" t="str">
        <f>IFERROR(IF(OR($B873="",$B873="(blank)"),"",VLOOKUP($B873,'Email Marketing Raw Data'!$C:$O,4,0)),"")</f>
        <v/>
      </c>
      <c r="H873" s="55" t="str">
        <f>IFERROR(IF(OR($B873="",$B873="(blank)"),"",VLOOKUP($B873,'Email Marketing Raw Data'!$C:$O,5,0)),"")</f>
        <v/>
      </c>
      <c r="I873" s="55" t="str">
        <f>IFERROR(IF($G873="","",VLOOKUP('Dashboard And Emails Automate'!$G873,Database!$H:$N,3,0)),"")</f>
        <v/>
      </c>
      <c r="J873" s="55" t="str">
        <f>IFERROR(IF($G873="","",VLOOKUP('Dashboard And Emails Automate'!$G873,Database!$H:$N,4,0)),"")</f>
        <v/>
      </c>
      <c r="K873" s="55" t="str">
        <f>IFERROR(IF($G873="","",VLOOKUP('Dashboard And Emails Automate'!$G873,Database!$H:$N,5,0)),"")</f>
        <v/>
      </c>
      <c r="L873" s="55" t="str">
        <f>IFERROR(IF($G873="","",VLOOKUP('Dashboard And Emails Automate'!$G873,Database!$H:$N,6,0)),"")</f>
        <v/>
      </c>
      <c r="M873" s="55" t="str">
        <f>IFERROR(IF($G873="","",VLOOKUP('Dashboard And Emails Automate'!$G873,Database!$H:$N,7,0)),"")</f>
        <v/>
      </c>
      <c r="N873" s="55" t="str">
        <f>IFERROR(IF(OR($B873="",$B873="(blank)"),"",VLOOKUP($B873,'Email Marketing Raw Data'!$C:$O,6,0)),"")</f>
        <v/>
      </c>
      <c r="O873" s="55" t="str">
        <f>IFERROR(IF(OR($B873="",$B873="(blank)"),"",VLOOKUP($B873,'Email Marketing Raw Data'!$C:$O,7,0)),"")</f>
        <v/>
      </c>
      <c r="P873" s="55" t="str">
        <f>IFERROR(IF(OR($B873="",$B873="(blank)"),"",VLOOKUP($B873,'Email Marketing Raw Data'!$C:$O,8,0)),"")</f>
        <v/>
      </c>
      <c r="Q873" s="62" t="str">
        <f>IFERROR(IF(OR($B873="",$B873="(blank)"),"",VLOOKUP($B873,'Email Marketing Raw Data'!$C:$O,9,0)),"")</f>
        <v/>
      </c>
    </row>
    <row r="874" spans="4:17" ht="12.75" customHeight="1" x14ac:dyDescent="0.2">
      <c r="D874" s="58" t="str">
        <f>IFERROR(IF(F874&lt;&gt;"pending","",IF(OR($B874="",$B874="(blank)"),"",VLOOKUP($B874,'Email Marketing Raw Data'!$C:$O,10,0))),"")</f>
        <v/>
      </c>
      <c r="E874" s="59" t="str">
        <f>IFERROR(IF(F874&lt;&gt;"pending","",IF(OR($B874="",$B874="(blank)"),"",VLOOKUP($B874,'Email Marketing Raw Data'!$C:$O,11,0))),"")</f>
        <v/>
      </c>
      <c r="F874" s="54" t="str">
        <f>IFERROR(IF(OR($B874="",$B874="(blank)"),"",VLOOKUP($B874,'Email Marketing Raw Data'!$C:$O,13,0)),"")</f>
        <v/>
      </c>
      <c r="G874" s="55" t="str">
        <f>IFERROR(IF(OR($B874="",$B874="(blank)"),"",VLOOKUP($B874,'Email Marketing Raw Data'!$C:$O,4,0)),"")</f>
        <v/>
      </c>
      <c r="H874" s="55" t="str">
        <f>IFERROR(IF(OR($B874="",$B874="(blank)"),"",VLOOKUP($B874,'Email Marketing Raw Data'!$C:$O,5,0)),"")</f>
        <v/>
      </c>
      <c r="I874" s="55" t="str">
        <f>IFERROR(IF($G874="","",VLOOKUP('Dashboard And Emails Automate'!$G874,Database!$H:$N,3,0)),"")</f>
        <v/>
      </c>
      <c r="J874" s="55" t="str">
        <f>IFERROR(IF($G874="","",VLOOKUP('Dashboard And Emails Automate'!$G874,Database!$H:$N,4,0)),"")</f>
        <v/>
      </c>
      <c r="K874" s="55" t="str">
        <f>IFERROR(IF($G874="","",VLOOKUP('Dashboard And Emails Automate'!$G874,Database!$H:$N,5,0)),"")</f>
        <v/>
      </c>
      <c r="L874" s="55" t="str">
        <f>IFERROR(IF($G874="","",VLOOKUP('Dashboard And Emails Automate'!$G874,Database!$H:$N,6,0)),"")</f>
        <v/>
      </c>
      <c r="M874" s="55" t="str">
        <f>IFERROR(IF($G874="","",VLOOKUP('Dashboard And Emails Automate'!$G874,Database!$H:$N,7,0)),"")</f>
        <v/>
      </c>
      <c r="N874" s="55" t="str">
        <f>IFERROR(IF(OR($B874="",$B874="(blank)"),"",VLOOKUP($B874,'Email Marketing Raw Data'!$C:$O,6,0)),"")</f>
        <v/>
      </c>
      <c r="O874" s="55" t="str">
        <f>IFERROR(IF(OR($B874="",$B874="(blank)"),"",VLOOKUP($B874,'Email Marketing Raw Data'!$C:$O,7,0)),"")</f>
        <v/>
      </c>
      <c r="P874" s="55" t="str">
        <f>IFERROR(IF(OR($B874="",$B874="(blank)"),"",VLOOKUP($B874,'Email Marketing Raw Data'!$C:$O,8,0)),"")</f>
        <v/>
      </c>
      <c r="Q874" s="62" t="str">
        <f>IFERROR(IF(OR($B874="",$B874="(blank)"),"",VLOOKUP($B874,'Email Marketing Raw Data'!$C:$O,9,0)),"")</f>
        <v/>
      </c>
    </row>
    <row r="875" spans="4:17" ht="12.75" customHeight="1" x14ac:dyDescent="0.2">
      <c r="D875" s="58" t="str">
        <f>IFERROR(IF(F875&lt;&gt;"pending","",IF(OR($B875="",$B875="(blank)"),"",VLOOKUP($B875,'Email Marketing Raw Data'!$C:$O,10,0))),"")</f>
        <v/>
      </c>
      <c r="E875" s="59" t="str">
        <f>IFERROR(IF(F875&lt;&gt;"pending","",IF(OR($B875="",$B875="(blank)"),"",VLOOKUP($B875,'Email Marketing Raw Data'!$C:$O,11,0))),"")</f>
        <v/>
      </c>
      <c r="F875" s="54" t="str">
        <f>IFERROR(IF(OR($B875="",$B875="(blank)"),"",VLOOKUP($B875,'Email Marketing Raw Data'!$C:$O,13,0)),"")</f>
        <v/>
      </c>
      <c r="G875" s="55" t="str">
        <f>IFERROR(IF(OR($B875="",$B875="(blank)"),"",VLOOKUP($B875,'Email Marketing Raw Data'!$C:$O,4,0)),"")</f>
        <v/>
      </c>
      <c r="H875" s="55" t="str">
        <f>IFERROR(IF(OR($B875="",$B875="(blank)"),"",VLOOKUP($B875,'Email Marketing Raw Data'!$C:$O,5,0)),"")</f>
        <v/>
      </c>
      <c r="I875" s="55" t="str">
        <f>IFERROR(IF($G875="","",VLOOKUP('Dashboard And Emails Automate'!$G875,Database!$H:$N,3,0)),"")</f>
        <v/>
      </c>
      <c r="J875" s="55" t="str">
        <f>IFERROR(IF($G875="","",VLOOKUP('Dashboard And Emails Automate'!$G875,Database!$H:$N,4,0)),"")</f>
        <v/>
      </c>
      <c r="K875" s="55" t="str">
        <f>IFERROR(IF($G875="","",VLOOKUP('Dashboard And Emails Automate'!$G875,Database!$H:$N,5,0)),"")</f>
        <v/>
      </c>
      <c r="L875" s="55" t="str">
        <f>IFERROR(IF($G875="","",VLOOKUP('Dashboard And Emails Automate'!$G875,Database!$H:$N,6,0)),"")</f>
        <v/>
      </c>
      <c r="M875" s="55" t="str">
        <f>IFERROR(IF($G875="","",VLOOKUP('Dashboard And Emails Automate'!$G875,Database!$H:$N,7,0)),"")</f>
        <v/>
      </c>
      <c r="N875" s="55" t="str">
        <f>IFERROR(IF(OR($B875="",$B875="(blank)"),"",VLOOKUP($B875,'Email Marketing Raw Data'!$C:$O,6,0)),"")</f>
        <v/>
      </c>
      <c r="O875" s="55" t="str">
        <f>IFERROR(IF(OR($B875="",$B875="(blank)"),"",VLOOKUP($B875,'Email Marketing Raw Data'!$C:$O,7,0)),"")</f>
        <v/>
      </c>
      <c r="P875" s="55" t="str">
        <f>IFERROR(IF(OR($B875="",$B875="(blank)"),"",VLOOKUP($B875,'Email Marketing Raw Data'!$C:$O,8,0)),"")</f>
        <v/>
      </c>
      <c r="Q875" s="62" t="str">
        <f>IFERROR(IF(OR($B875="",$B875="(blank)"),"",VLOOKUP($B875,'Email Marketing Raw Data'!$C:$O,9,0)),"")</f>
        <v/>
      </c>
    </row>
    <row r="876" spans="4:17" ht="12.75" customHeight="1" x14ac:dyDescent="0.2">
      <c r="D876" s="58" t="str">
        <f>IFERROR(IF(F876&lt;&gt;"pending","",IF(OR($B876="",$B876="(blank)"),"",VLOOKUP($B876,'Email Marketing Raw Data'!$C:$O,10,0))),"")</f>
        <v/>
      </c>
      <c r="E876" s="59" t="str">
        <f>IFERROR(IF(F876&lt;&gt;"pending","",IF(OR($B876="",$B876="(blank)"),"",VLOOKUP($B876,'Email Marketing Raw Data'!$C:$O,11,0))),"")</f>
        <v/>
      </c>
      <c r="F876" s="54" t="str">
        <f>IFERROR(IF(OR($B876="",$B876="(blank)"),"",VLOOKUP($B876,'Email Marketing Raw Data'!$C:$O,13,0)),"")</f>
        <v/>
      </c>
      <c r="G876" s="55" t="str">
        <f>IFERROR(IF(OR($B876="",$B876="(blank)"),"",VLOOKUP($B876,'Email Marketing Raw Data'!$C:$O,4,0)),"")</f>
        <v/>
      </c>
      <c r="H876" s="55" t="str">
        <f>IFERROR(IF(OR($B876="",$B876="(blank)"),"",VLOOKUP($B876,'Email Marketing Raw Data'!$C:$O,5,0)),"")</f>
        <v/>
      </c>
      <c r="I876" s="55" t="str">
        <f>IFERROR(IF($G876="","",VLOOKUP('Dashboard And Emails Automate'!$G876,Database!$H:$N,3,0)),"")</f>
        <v/>
      </c>
      <c r="J876" s="55" t="str">
        <f>IFERROR(IF($G876="","",VLOOKUP('Dashboard And Emails Automate'!$G876,Database!$H:$N,4,0)),"")</f>
        <v/>
      </c>
      <c r="K876" s="55" t="str">
        <f>IFERROR(IF($G876="","",VLOOKUP('Dashboard And Emails Automate'!$G876,Database!$H:$N,5,0)),"")</f>
        <v/>
      </c>
      <c r="L876" s="55" t="str">
        <f>IFERROR(IF($G876="","",VLOOKUP('Dashboard And Emails Automate'!$G876,Database!$H:$N,6,0)),"")</f>
        <v/>
      </c>
      <c r="M876" s="55" t="str">
        <f>IFERROR(IF($G876="","",VLOOKUP('Dashboard And Emails Automate'!$G876,Database!$H:$N,7,0)),"")</f>
        <v/>
      </c>
      <c r="N876" s="55" t="str">
        <f>IFERROR(IF(OR($B876="",$B876="(blank)"),"",VLOOKUP($B876,'Email Marketing Raw Data'!$C:$O,6,0)),"")</f>
        <v/>
      </c>
      <c r="O876" s="55" t="str">
        <f>IFERROR(IF(OR($B876="",$B876="(blank)"),"",VLOOKUP($B876,'Email Marketing Raw Data'!$C:$O,7,0)),"")</f>
        <v/>
      </c>
      <c r="P876" s="55" t="str">
        <f>IFERROR(IF(OR($B876="",$B876="(blank)"),"",VLOOKUP($B876,'Email Marketing Raw Data'!$C:$O,8,0)),"")</f>
        <v/>
      </c>
      <c r="Q876" s="62" t="str">
        <f>IFERROR(IF(OR($B876="",$B876="(blank)"),"",VLOOKUP($B876,'Email Marketing Raw Data'!$C:$O,9,0)),"")</f>
        <v/>
      </c>
    </row>
    <row r="877" spans="4:17" ht="12.75" customHeight="1" x14ac:dyDescent="0.2">
      <c r="D877" s="58" t="str">
        <f>IFERROR(IF(F877&lt;&gt;"pending","",IF(OR($B877="",$B877="(blank)"),"",VLOOKUP($B877,'Email Marketing Raw Data'!$C:$O,10,0))),"")</f>
        <v/>
      </c>
      <c r="E877" s="59" t="str">
        <f>IFERROR(IF(F877&lt;&gt;"pending","",IF(OR($B877="",$B877="(blank)"),"",VLOOKUP($B877,'Email Marketing Raw Data'!$C:$O,11,0))),"")</f>
        <v/>
      </c>
      <c r="F877" s="54" t="str">
        <f>IFERROR(IF(OR($B877="",$B877="(blank)"),"",VLOOKUP($B877,'Email Marketing Raw Data'!$C:$O,13,0)),"")</f>
        <v/>
      </c>
      <c r="G877" s="55" t="str">
        <f>IFERROR(IF(OR($B877="",$B877="(blank)"),"",VLOOKUP($B877,'Email Marketing Raw Data'!$C:$O,4,0)),"")</f>
        <v/>
      </c>
      <c r="H877" s="55" t="str">
        <f>IFERROR(IF(OR($B877="",$B877="(blank)"),"",VLOOKUP($B877,'Email Marketing Raw Data'!$C:$O,5,0)),"")</f>
        <v/>
      </c>
      <c r="I877" s="55" t="str">
        <f>IFERROR(IF($G877="","",VLOOKUP('Dashboard And Emails Automate'!$G877,Database!$H:$N,3,0)),"")</f>
        <v/>
      </c>
      <c r="J877" s="55" t="str">
        <f>IFERROR(IF($G877="","",VLOOKUP('Dashboard And Emails Automate'!$G877,Database!$H:$N,4,0)),"")</f>
        <v/>
      </c>
      <c r="K877" s="55" t="str">
        <f>IFERROR(IF($G877="","",VLOOKUP('Dashboard And Emails Automate'!$G877,Database!$H:$N,5,0)),"")</f>
        <v/>
      </c>
      <c r="L877" s="55" t="str">
        <f>IFERROR(IF($G877="","",VLOOKUP('Dashboard And Emails Automate'!$G877,Database!$H:$N,6,0)),"")</f>
        <v/>
      </c>
      <c r="M877" s="55" t="str">
        <f>IFERROR(IF($G877="","",VLOOKUP('Dashboard And Emails Automate'!$G877,Database!$H:$N,7,0)),"")</f>
        <v/>
      </c>
      <c r="N877" s="55" t="str">
        <f>IFERROR(IF(OR($B877="",$B877="(blank)"),"",VLOOKUP($B877,'Email Marketing Raw Data'!$C:$O,6,0)),"")</f>
        <v/>
      </c>
      <c r="O877" s="55" t="str">
        <f>IFERROR(IF(OR($B877="",$B877="(blank)"),"",VLOOKUP($B877,'Email Marketing Raw Data'!$C:$O,7,0)),"")</f>
        <v/>
      </c>
      <c r="P877" s="55" t="str">
        <f>IFERROR(IF(OR($B877="",$B877="(blank)"),"",VLOOKUP($B877,'Email Marketing Raw Data'!$C:$O,8,0)),"")</f>
        <v/>
      </c>
      <c r="Q877" s="62" t="str">
        <f>IFERROR(IF(OR($B877="",$B877="(blank)"),"",VLOOKUP($B877,'Email Marketing Raw Data'!$C:$O,9,0)),"")</f>
        <v/>
      </c>
    </row>
    <row r="878" spans="4:17" ht="12.75" customHeight="1" x14ac:dyDescent="0.2">
      <c r="D878" s="58" t="str">
        <f>IFERROR(IF(F878&lt;&gt;"pending","",IF(OR($B878="",$B878="(blank)"),"",VLOOKUP($B878,'Email Marketing Raw Data'!$C:$O,10,0))),"")</f>
        <v/>
      </c>
      <c r="E878" s="59" t="str">
        <f>IFERROR(IF(F878&lt;&gt;"pending","",IF(OR($B878="",$B878="(blank)"),"",VLOOKUP($B878,'Email Marketing Raw Data'!$C:$O,11,0))),"")</f>
        <v/>
      </c>
      <c r="F878" s="54" t="str">
        <f>IFERROR(IF(OR($B878="",$B878="(blank)"),"",VLOOKUP($B878,'Email Marketing Raw Data'!$C:$O,13,0)),"")</f>
        <v/>
      </c>
      <c r="G878" s="55" t="str">
        <f>IFERROR(IF(OR($B878="",$B878="(blank)"),"",VLOOKUP($B878,'Email Marketing Raw Data'!$C:$O,4,0)),"")</f>
        <v/>
      </c>
      <c r="H878" s="55" t="str">
        <f>IFERROR(IF(OR($B878="",$B878="(blank)"),"",VLOOKUP($B878,'Email Marketing Raw Data'!$C:$O,5,0)),"")</f>
        <v/>
      </c>
      <c r="I878" s="55" t="str">
        <f>IFERROR(IF($G878="","",VLOOKUP('Dashboard And Emails Automate'!$G878,Database!$H:$N,3,0)),"")</f>
        <v/>
      </c>
      <c r="J878" s="55" t="str">
        <f>IFERROR(IF($G878="","",VLOOKUP('Dashboard And Emails Automate'!$G878,Database!$H:$N,4,0)),"")</f>
        <v/>
      </c>
      <c r="K878" s="55" t="str">
        <f>IFERROR(IF($G878="","",VLOOKUP('Dashboard And Emails Automate'!$G878,Database!$H:$N,5,0)),"")</f>
        <v/>
      </c>
      <c r="L878" s="55" t="str">
        <f>IFERROR(IF($G878="","",VLOOKUP('Dashboard And Emails Automate'!$G878,Database!$H:$N,6,0)),"")</f>
        <v/>
      </c>
      <c r="M878" s="55" t="str">
        <f>IFERROR(IF($G878="","",VLOOKUP('Dashboard And Emails Automate'!$G878,Database!$H:$N,7,0)),"")</f>
        <v/>
      </c>
      <c r="N878" s="55" t="str">
        <f>IFERROR(IF(OR($B878="",$B878="(blank)"),"",VLOOKUP($B878,'Email Marketing Raw Data'!$C:$O,6,0)),"")</f>
        <v/>
      </c>
      <c r="O878" s="55" t="str">
        <f>IFERROR(IF(OR($B878="",$B878="(blank)"),"",VLOOKUP($B878,'Email Marketing Raw Data'!$C:$O,7,0)),"")</f>
        <v/>
      </c>
      <c r="P878" s="55" t="str">
        <f>IFERROR(IF(OR($B878="",$B878="(blank)"),"",VLOOKUP($B878,'Email Marketing Raw Data'!$C:$O,8,0)),"")</f>
        <v/>
      </c>
      <c r="Q878" s="62" t="str">
        <f>IFERROR(IF(OR($B878="",$B878="(blank)"),"",VLOOKUP($B878,'Email Marketing Raw Data'!$C:$O,9,0)),"")</f>
        <v/>
      </c>
    </row>
    <row r="879" spans="4:17" ht="12.75" customHeight="1" x14ac:dyDescent="0.2">
      <c r="D879" s="58" t="str">
        <f>IFERROR(IF(F879&lt;&gt;"pending","",IF(OR($B879="",$B879="(blank)"),"",VLOOKUP($B879,'Email Marketing Raw Data'!$C:$O,10,0))),"")</f>
        <v/>
      </c>
      <c r="E879" s="59" t="str">
        <f>IFERROR(IF(F879&lt;&gt;"pending","",IF(OR($B879="",$B879="(blank)"),"",VLOOKUP($B879,'Email Marketing Raw Data'!$C:$O,11,0))),"")</f>
        <v/>
      </c>
      <c r="F879" s="54" t="str">
        <f>IFERROR(IF(OR($B879="",$B879="(blank)"),"",VLOOKUP($B879,'Email Marketing Raw Data'!$C:$O,13,0)),"")</f>
        <v/>
      </c>
      <c r="G879" s="55" t="str">
        <f>IFERROR(IF(OR($B879="",$B879="(blank)"),"",VLOOKUP($B879,'Email Marketing Raw Data'!$C:$O,4,0)),"")</f>
        <v/>
      </c>
      <c r="H879" s="55" t="str">
        <f>IFERROR(IF(OR($B879="",$B879="(blank)"),"",VLOOKUP($B879,'Email Marketing Raw Data'!$C:$O,5,0)),"")</f>
        <v/>
      </c>
      <c r="I879" s="55" t="str">
        <f>IFERROR(IF($G879="","",VLOOKUP('Dashboard And Emails Automate'!$G879,Database!$H:$N,3,0)),"")</f>
        <v/>
      </c>
      <c r="J879" s="55" t="str">
        <f>IFERROR(IF($G879="","",VLOOKUP('Dashboard And Emails Automate'!$G879,Database!$H:$N,4,0)),"")</f>
        <v/>
      </c>
      <c r="K879" s="55" t="str">
        <f>IFERROR(IF($G879="","",VLOOKUP('Dashboard And Emails Automate'!$G879,Database!$H:$N,5,0)),"")</f>
        <v/>
      </c>
      <c r="L879" s="55" t="str">
        <f>IFERROR(IF($G879="","",VLOOKUP('Dashboard And Emails Automate'!$G879,Database!$H:$N,6,0)),"")</f>
        <v/>
      </c>
      <c r="M879" s="55" t="str">
        <f>IFERROR(IF($G879="","",VLOOKUP('Dashboard And Emails Automate'!$G879,Database!$H:$N,7,0)),"")</f>
        <v/>
      </c>
      <c r="N879" s="55" t="str">
        <f>IFERROR(IF(OR($B879="",$B879="(blank)"),"",VLOOKUP($B879,'Email Marketing Raw Data'!$C:$O,6,0)),"")</f>
        <v/>
      </c>
      <c r="O879" s="55" t="str">
        <f>IFERROR(IF(OR($B879="",$B879="(blank)"),"",VLOOKUP($B879,'Email Marketing Raw Data'!$C:$O,7,0)),"")</f>
        <v/>
      </c>
      <c r="P879" s="55" t="str">
        <f>IFERROR(IF(OR($B879="",$B879="(blank)"),"",VLOOKUP($B879,'Email Marketing Raw Data'!$C:$O,8,0)),"")</f>
        <v/>
      </c>
      <c r="Q879" s="62" t="str">
        <f>IFERROR(IF(OR($B879="",$B879="(blank)"),"",VLOOKUP($B879,'Email Marketing Raw Data'!$C:$O,9,0)),"")</f>
        <v/>
      </c>
    </row>
    <row r="880" spans="4:17" ht="12.75" customHeight="1" x14ac:dyDescent="0.2">
      <c r="D880" s="58" t="str">
        <f>IFERROR(IF(F880&lt;&gt;"pending","",IF(OR($B880="",$B880="(blank)"),"",VLOOKUP($B880,'Email Marketing Raw Data'!$C:$O,10,0))),"")</f>
        <v/>
      </c>
      <c r="E880" s="59" t="str">
        <f>IFERROR(IF(F880&lt;&gt;"pending","",IF(OR($B880="",$B880="(blank)"),"",VLOOKUP($B880,'Email Marketing Raw Data'!$C:$O,11,0))),"")</f>
        <v/>
      </c>
      <c r="F880" s="54" t="str">
        <f>IFERROR(IF(OR($B880="",$B880="(blank)"),"",VLOOKUP($B880,'Email Marketing Raw Data'!$C:$O,13,0)),"")</f>
        <v/>
      </c>
      <c r="G880" s="55" t="str">
        <f>IFERROR(IF(OR($B880="",$B880="(blank)"),"",VLOOKUP($B880,'Email Marketing Raw Data'!$C:$O,4,0)),"")</f>
        <v/>
      </c>
      <c r="H880" s="55" t="str">
        <f>IFERROR(IF(OR($B880="",$B880="(blank)"),"",VLOOKUP($B880,'Email Marketing Raw Data'!$C:$O,5,0)),"")</f>
        <v/>
      </c>
      <c r="I880" s="55" t="str">
        <f>IFERROR(IF($G880="","",VLOOKUP('Dashboard And Emails Automate'!$G880,Database!$H:$N,3,0)),"")</f>
        <v/>
      </c>
      <c r="J880" s="55" t="str">
        <f>IFERROR(IF($G880="","",VLOOKUP('Dashboard And Emails Automate'!$G880,Database!$H:$N,4,0)),"")</f>
        <v/>
      </c>
      <c r="K880" s="55" t="str">
        <f>IFERROR(IF($G880="","",VLOOKUP('Dashboard And Emails Automate'!$G880,Database!$H:$N,5,0)),"")</f>
        <v/>
      </c>
      <c r="L880" s="55" t="str">
        <f>IFERROR(IF($G880="","",VLOOKUP('Dashboard And Emails Automate'!$G880,Database!$H:$N,6,0)),"")</f>
        <v/>
      </c>
      <c r="M880" s="55" t="str">
        <f>IFERROR(IF($G880="","",VLOOKUP('Dashboard And Emails Automate'!$G880,Database!$H:$N,7,0)),"")</f>
        <v/>
      </c>
      <c r="N880" s="55" t="str">
        <f>IFERROR(IF(OR($B880="",$B880="(blank)"),"",VLOOKUP($B880,'Email Marketing Raw Data'!$C:$O,6,0)),"")</f>
        <v/>
      </c>
      <c r="O880" s="55" t="str">
        <f>IFERROR(IF(OR($B880="",$B880="(blank)"),"",VLOOKUP($B880,'Email Marketing Raw Data'!$C:$O,7,0)),"")</f>
        <v/>
      </c>
      <c r="P880" s="55" t="str">
        <f>IFERROR(IF(OR($B880="",$B880="(blank)"),"",VLOOKUP($B880,'Email Marketing Raw Data'!$C:$O,8,0)),"")</f>
        <v/>
      </c>
      <c r="Q880" s="62" t="str">
        <f>IFERROR(IF(OR($B880="",$B880="(blank)"),"",VLOOKUP($B880,'Email Marketing Raw Data'!$C:$O,9,0)),"")</f>
        <v/>
      </c>
    </row>
    <row r="881" spans="4:17" ht="12.75" customHeight="1" x14ac:dyDescent="0.2">
      <c r="D881" s="58" t="str">
        <f>IFERROR(IF(F881&lt;&gt;"pending","",IF(OR($B881="",$B881="(blank)"),"",VLOOKUP($B881,'Email Marketing Raw Data'!$C:$O,10,0))),"")</f>
        <v/>
      </c>
      <c r="E881" s="59" t="str">
        <f>IFERROR(IF(F881&lt;&gt;"pending","",IF(OR($B881="",$B881="(blank)"),"",VLOOKUP($B881,'Email Marketing Raw Data'!$C:$O,11,0))),"")</f>
        <v/>
      </c>
      <c r="F881" s="54" t="str">
        <f>IFERROR(IF(OR($B881="",$B881="(blank)"),"",VLOOKUP($B881,'Email Marketing Raw Data'!$C:$O,13,0)),"")</f>
        <v/>
      </c>
      <c r="G881" s="55" t="str">
        <f>IFERROR(IF(OR($B881="",$B881="(blank)"),"",VLOOKUP($B881,'Email Marketing Raw Data'!$C:$O,4,0)),"")</f>
        <v/>
      </c>
      <c r="H881" s="55" t="str">
        <f>IFERROR(IF(OR($B881="",$B881="(blank)"),"",VLOOKUP($B881,'Email Marketing Raw Data'!$C:$O,5,0)),"")</f>
        <v/>
      </c>
      <c r="I881" s="55" t="str">
        <f>IFERROR(IF($G881="","",VLOOKUP('Dashboard And Emails Automate'!$G881,Database!$H:$N,3,0)),"")</f>
        <v/>
      </c>
      <c r="J881" s="55" t="str">
        <f>IFERROR(IF($G881="","",VLOOKUP('Dashboard And Emails Automate'!$G881,Database!$H:$N,4,0)),"")</f>
        <v/>
      </c>
      <c r="K881" s="55" t="str">
        <f>IFERROR(IF($G881="","",VLOOKUP('Dashboard And Emails Automate'!$G881,Database!$H:$N,5,0)),"")</f>
        <v/>
      </c>
      <c r="L881" s="55" t="str">
        <f>IFERROR(IF($G881="","",VLOOKUP('Dashboard And Emails Automate'!$G881,Database!$H:$N,6,0)),"")</f>
        <v/>
      </c>
      <c r="M881" s="55" t="str">
        <f>IFERROR(IF($G881="","",VLOOKUP('Dashboard And Emails Automate'!$G881,Database!$H:$N,7,0)),"")</f>
        <v/>
      </c>
      <c r="N881" s="55" t="str">
        <f>IFERROR(IF(OR($B881="",$B881="(blank)"),"",VLOOKUP($B881,'Email Marketing Raw Data'!$C:$O,6,0)),"")</f>
        <v/>
      </c>
      <c r="O881" s="55" t="str">
        <f>IFERROR(IF(OR($B881="",$B881="(blank)"),"",VLOOKUP($B881,'Email Marketing Raw Data'!$C:$O,7,0)),"")</f>
        <v/>
      </c>
      <c r="P881" s="55" t="str">
        <f>IFERROR(IF(OR($B881="",$B881="(blank)"),"",VLOOKUP($B881,'Email Marketing Raw Data'!$C:$O,8,0)),"")</f>
        <v/>
      </c>
      <c r="Q881" s="62" t="str">
        <f>IFERROR(IF(OR($B881="",$B881="(blank)"),"",VLOOKUP($B881,'Email Marketing Raw Data'!$C:$O,9,0)),"")</f>
        <v/>
      </c>
    </row>
    <row r="882" spans="4:17" ht="12.75" customHeight="1" x14ac:dyDescent="0.2">
      <c r="D882" s="58" t="str">
        <f>IFERROR(IF(F882&lt;&gt;"pending","",IF(OR($B882="",$B882="(blank)"),"",VLOOKUP($B882,'Email Marketing Raw Data'!$C:$O,10,0))),"")</f>
        <v/>
      </c>
      <c r="E882" s="59" t="str">
        <f>IFERROR(IF(F882&lt;&gt;"pending","",IF(OR($B882="",$B882="(blank)"),"",VLOOKUP($B882,'Email Marketing Raw Data'!$C:$O,11,0))),"")</f>
        <v/>
      </c>
      <c r="F882" s="54" t="str">
        <f>IFERROR(IF(OR($B882="",$B882="(blank)"),"",VLOOKUP($B882,'Email Marketing Raw Data'!$C:$O,13,0)),"")</f>
        <v/>
      </c>
      <c r="G882" s="55" t="str">
        <f>IFERROR(IF(OR($B882="",$B882="(blank)"),"",VLOOKUP($B882,'Email Marketing Raw Data'!$C:$O,4,0)),"")</f>
        <v/>
      </c>
      <c r="H882" s="55" t="str">
        <f>IFERROR(IF(OR($B882="",$B882="(blank)"),"",VLOOKUP($B882,'Email Marketing Raw Data'!$C:$O,5,0)),"")</f>
        <v/>
      </c>
      <c r="I882" s="55" t="str">
        <f>IFERROR(IF($G882="","",VLOOKUP('Dashboard And Emails Automate'!$G882,Database!$H:$N,3,0)),"")</f>
        <v/>
      </c>
      <c r="J882" s="55" t="str">
        <f>IFERROR(IF($G882="","",VLOOKUP('Dashboard And Emails Automate'!$G882,Database!$H:$N,4,0)),"")</f>
        <v/>
      </c>
      <c r="K882" s="55" t="str">
        <f>IFERROR(IF($G882="","",VLOOKUP('Dashboard And Emails Automate'!$G882,Database!$H:$N,5,0)),"")</f>
        <v/>
      </c>
      <c r="L882" s="55" t="str">
        <f>IFERROR(IF($G882="","",VLOOKUP('Dashboard And Emails Automate'!$G882,Database!$H:$N,6,0)),"")</f>
        <v/>
      </c>
      <c r="M882" s="55" t="str">
        <f>IFERROR(IF($G882="","",VLOOKUP('Dashboard And Emails Automate'!$G882,Database!$H:$N,7,0)),"")</f>
        <v/>
      </c>
      <c r="N882" s="55" t="str">
        <f>IFERROR(IF(OR($B882="",$B882="(blank)"),"",VLOOKUP($B882,'Email Marketing Raw Data'!$C:$O,6,0)),"")</f>
        <v/>
      </c>
      <c r="O882" s="55" t="str">
        <f>IFERROR(IF(OR($B882="",$B882="(blank)"),"",VLOOKUP($B882,'Email Marketing Raw Data'!$C:$O,7,0)),"")</f>
        <v/>
      </c>
      <c r="P882" s="55" t="str">
        <f>IFERROR(IF(OR($B882="",$B882="(blank)"),"",VLOOKUP($B882,'Email Marketing Raw Data'!$C:$O,8,0)),"")</f>
        <v/>
      </c>
      <c r="Q882" s="62" t="str">
        <f>IFERROR(IF(OR($B882="",$B882="(blank)"),"",VLOOKUP($B882,'Email Marketing Raw Data'!$C:$O,9,0)),"")</f>
        <v/>
      </c>
    </row>
    <row r="883" spans="4:17" ht="12.75" customHeight="1" x14ac:dyDescent="0.2">
      <c r="D883" s="58" t="str">
        <f>IFERROR(IF(F883&lt;&gt;"pending","",IF(OR($B883="",$B883="(blank)"),"",VLOOKUP($B883,'Email Marketing Raw Data'!$C:$O,10,0))),"")</f>
        <v/>
      </c>
      <c r="E883" s="59" t="str">
        <f>IFERROR(IF(F883&lt;&gt;"pending","",IF(OR($B883="",$B883="(blank)"),"",VLOOKUP($B883,'Email Marketing Raw Data'!$C:$O,11,0))),"")</f>
        <v/>
      </c>
      <c r="F883" s="54" t="str">
        <f>IFERROR(IF(OR($B883="",$B883="(blank)"),"",VLOOKUP($B883,'Email Marketing Raw Data'!$C:$O,13,0)),"")</f>
        <v/>
      </c>
      <c r="G883" s="55" t="str">
        <f>IFERROR(IF(OR($B883="",$B883="(blank)"),"",VLOOKUP($B883,'Email Marketing Raw Data'!$C:$O,4,0)),"")</f>
        <v/>
      </c>
      <c r="H883" s="55" t="str">
        <f>IFERROR(IF(OR($B883="",$B883="(blank)"),"",VLOOKUP($B883,'Email Marketing Raw Data'!$C:$O,5,0)),"")</f>
        <v/>
      </c>
      <c r="I883" s="55" t="str">
        <f>IFERROR(IF($G883="","",VLOOKUP('Dashboard And Emails Automate'!$G883,Database!$H:$N,3,0)),"")</f>
        <v/>
      </c>
      <c r="J883" s="55" t="str">
        <f>IFERROR(IF($G883="","",VLOOKUP('Dashboard And Emails Automate'!$G883,Database!$H:$N,4,0)),"")</f>
        <v/>
      </c>
      <c r="K883" s="55" t="str">
        <f>IFERROR(IF($G883="","",VLOOKUP('Dashboard And Emails Automate'!$G883,Database!$H:$N,5,0)),"")</f>
        <v/>
      </c>
      <c r="L883" s="55" t="str">
        <f>IFERROR(IF($G883="","",VLOOKUP('Dashboard And Emails Automate'!$G883,Database!$H:$N,6,0)),"")</f>
        <v/>
      </c>
      <c r="M883" s="55" t="str">
        <f>IFERROR(IF($G883="","",VLOOKUP('Dashboard And Emails Automate'!$G883,Database!$H:$N,7,0)),"")</f>
        <v/>
      </c>
      <c r="N883" s="55" t="str">
        <f>IFERROR(IF(OR($B883="",$B883="(blank)"),"",VLOOKUP($B883,'Email Marketing Raw Data'!$C:$O,6,0)),"")</f>
        <v/>
      </c>
      <c r="O883" s="55" t="str">
        <f>IFERROR(IF(OR($B883="",$B883="(blank)"),"",VLOOKUP($B883,'Email Marketing Raw Data'!$C:$O,7,0)),"")</f>
        <v/>
      </c>
      <c r="P883" s="55" t="str">
        <f>IFERROR(IF(OR($B883="",$B883="(blank)"),"",VLOOKUP($B883,'Email Marketing Raw Data'!$C:$O,8,0)),"")</f>
        <v/>
      </c>
      <c r="Q883" s="62" t="str">
        <f>IFERROR(IF(OR($B883="",$B883="(blank)"),"",VLOOKUP($B883,'Email Marketing Raw Data'!$C:$O,9,0)),"")</f>
        <v/>
      </c>
    </row>
    <row r="884" spans="4:17" ht="12.75" customHeight="1" x14ac:dyDescent="0.2">
      <c r="D884" s="58" t="str">
        <f>IFERROR(IF(F884&lt;&gt;"pending","",IF(OR($B884="",$B884="(blank)"),"",VLOOKUP($B884,'Email Marketing Raw Data'!$C:$O,10,0))),"")</f>
        <v/>
      </c>
      <c r="E884" s="59" t="str">
        <f>IFERROR(IF(F884&lt;&gt;"pending","",IF(OR($B884="",$B884="(blank)"),"",VLOOKUP($B884,'Email Marketing Raw Data'!$C:$O,11,0))),"")</f>
        <v/>
      </c>
      <c r="F884" s="54" t="str">
        <f>IFERROR(IF(OR($B884="",$B884="(blank)"),"",VLOOKUP($B884,'Email Marketing Raw Data'!$C:$O,13,0)),"")</f>
        <v/>
      </c>
      <c r="G884" s="55" t="str">
        <f>IFERROR(IF(OR($B884="",$B884="(blank)"),"",VLOOKUP($B884,'Email Marketing Raw Data'!$C:$O,4,0)),"")</f>
        <v/>
      </c>
      <c r="H884" s="55" t="str">
        <f>IFERROR(IF(OR($B884="",$B884="(blank)"),"",VLOOKUP($B884,'Email Marketing Raw Data'!$C:$O,5,0)),"")</f>
        <v/>
      </c>
      <c r="I884" s="55" t="str">
        <f>IFERROR(IF($G884="","",VLOOKUP('Dashboard And Emails Automate'!$G884,Database!$H:$N,3,0)),"")</f>
        <v/>
      </c>
      <c r="J884" s="55" t="str">
        <f>IFERROR(IF($G884="","",VLOOKUP('Dashboard And Emails Automate'!$G884,Database!$H:$N,4,0)),"")</f>
        <v/>
      </c>
      <c r="K884" s="55" t="str">
        <f>IFERROR(IF($G884="","",VLOOKUP('Dashboard And Emails Automate'!$G884,Database!$H:$N,5,0)),"")</f>
        <v/>
      </c>
      <c r="L884" s="55" t="str">
        <f>IFERROR(IF($G884="","",VLOOKUP('Dashboard And Emails Automate'!$G884,Database!$H:$N,6,0)),"")</f>
        <v/>
      </c>
      <c r="M884" s="55" t="str">
        <f>IFERROR(IF($G884="","",VLOOKUP('Dashboard And Emails Automate'!$G884,Database!$H:$N,7,0)),"")</f>
        <v/>
      </c>
      <c r="N884" s="55" t="str">
        <f>IFERROR(IF(OR($B884="",$B884="(blank)"),"",VLOOKUP($B884,'Email Marketing Raw Data'!$C:$O,6,0)),"")</f>
        <v/>
      </c>
      <c r="O884" s="55" t="str">
        <f>IFERROR(IF(OR($B884="",$B884="(blank)"),"",VLOOKUP($B884,'Email Marketing Raw Data'!$C:$O,7,0)),"")</f>
        <v/>
      </c>
      <c r="P884" s="55" t="str">
        <f>IFERROR(IF(OR($B884="",$B884="(blank)"),"",VLOOKUP($B884,'Email Marketing Raw Data'!$C:$O,8,0)),"")</f>
        <v/>
      </c>
      <c r="Q884" s="62" t="str">
        <f>IFERROR(IF(OR($B884="",$B884="(blank)"),"",VLOOKUP($B884,'Email Marketing Raw Data'!$C:$O,9,0)),"")</f>
        <v/>
      </c>
    </row>
    <row r="885" spans="4:17" ht="12.75" customHeight="1" x14ac:dyDescent="0.2">
      <c r="D885" s="58" t="str">
        <f>IFERROR(IF(F885&lt;&gt;"pending","",IF(OR($B885="",$B885="(blank)"),"",VLOOKUP($B885,'Email Marketing Raw Data'!$C:$O,10,0))),"")</f>
        <v/>
      </c>
      <c r="E885" s="59" t="str">
        <f>IFERROR(IF(F885&lt;&gt;"pending","",IF(OR($B885="",$B885="(blank)"),"",VLOOKUP($B885,'Email Marketing Raw Data'!$C:$O,11,0))),"")</f>
        <v/>
      </c>
      <c r="F885" s="54" t="str">
        <f>IFERROR(IF(OR($B885="",$B885="(blank)"),"",VLOOKUP($B885,'Email Marketing Raw Data'!$C:$O,13,0)),"")</f>
        <v/>
      </c>
      <c r="G885" s="55" t="str">
        <f>IFERROR(IF(OR($B885="",$B885="(blank)"),"",VLOOKUP($B885,'Email Marketing Raw Data'!$C:$O,4,0)),"")</f>
        <v/>
      </c>
      <c r="H885" s="55" t="str">
        <f>IFERROR(IF(OR($B885="",$B885="(blank)"),"",VLOOKUP($B885,'Email Marketing Raw Data'!$C:$O,5,0)),"")</f>
        <v/>
      </c>
      <c r="I885" s="55" t="str">
        <f>IFERROR(IF($G885="","",VLOOKUP('Dashboard And Emails Automate'!$G885,Database!$H:$N,3,0)),"")</f>
        <v/>
      </c>
      <c r="J885" s="55" t="str">
        <f>IFERROR(IF($G885="","",VLOOKUP('Dashboard And Emails Automate'!$G885,Database!$H:$N,4,0)),"")</f>
        <v/>
      </c>
      <c r="K885" s="55" t="str">
        <f>IFERROR(IF($G885="","",VLOOKUP('Dashboard And Emails Automate'!$G885,Database!$H:$N,5,0)),"")</f>
        <v/>
      </c>
      <c r="L885" s="55" t="str">
        <f>IFERROR(IF($G885="","",VLOOKUP('Dashboard And Emails Automate'!$G885,Database!$H:$N,6,0)),"")</f>
        <v/>
      </c>
      <c r="M885" s="55" t="str">
        <f>IFERROR(IF($G885="","",VLOOKUP('Dashboard And Emails Automate'!$G885,Database!$H:$N,7,0)),"")</f>
        <v/>
      </c>
      <c r="N885" s="55" t="str">
        <f>IFERROR(IF(OR($B885="",$B885="(blank)"),"",VLOOKUP($B885,'Email Marketing Raw Data'!$C:$O,6,0)),"")</f>
        <v/>
      </c>
      <c r="O885" s="55" t="str">
        <f>IFERROR(IF(OR($B885="",$B885="(blank)"),"",VLOOKUP($B885,'Email Marketing Raw Data'!$C:$O,7,0)),"")</f>
        <v/>
      </c>
      <c r="P885" s="55" t="str">
        <f>IFERROR(IF(OR($B885="",$B885="(blank)"),"",VLOOKUP($B885,'Email Marketing Raw Data'!$C:$O,8,0)),"")</f>
        <v/>
      </c>
      <c r="Q885" s="62" t="str">
        <f>IFERROR(IF(OR($B885="",$B885="(blank)"),"",VLOOKUP($B885,'Email Marketing Raw Data'!$C:$O,9,0)),"")</f>
        <v/>
      </c>
    </row>
    <row r="886" spans="4:17" ht="12.75" customHeight="1" x14ac:dyDescent="0.2">
      <c r="D886" s="58" t="str">
        <f>IFERROR(IF(F886&lt;&gt;"pending","",IF(OR($B886="",$B886="(blank)"),"",VLOOKUP($B886,'Email Marketing Raw Data'!$C:$O,10,0))),"")</f>
        <v/>
      </c>
      <c r="E886" s="59" t="str">
        <f>IFERROR(IF(F886&lt;&gt;"pending","",IF(OR($B886="",$B886="(blank)"),"",VLOOKUP($B886,'Email Marketing Raw Data'!$C:$O,11,0))),"")</f>
        <v/>
      </c>
      <c r="F886" s="54" t="str">
        <f>IFERROR(IF(OR($B886="",$B886="(blank)"),"",VLOOKUP($B886,'Email Marketing Raw Data'!$C:$O,13,0)),"")</f>
        <v/>
      </c>
      <c r="G886" s="55" t="str">
        <f>IFERROR(IF(OR($B886="",$B886="(blank)"),"",VLOOKUP($B886,'Email Marketing Raw Data'!$C:$O,4,0)),"")</f>
        <v/>
      </c>
      <c r="H886" s="55" t="str">
        <f>IFERROR(IF(OR($B886="",$B886="(blank)"),"",VLOOKUP($B886,'Email Marketing Raw Data'!$C:$O,5,0)),"")</f>
        <v/>
      </c>
      <c r="I886" s="55" t="str">
        <f>IFERROR(IF($G886="","",VLOOKUP('Dashboard And Emails Automate'!$G886,Database!$H:$N,3,0)),"")</f>
        <v/>
      </c>
      <c r="J886" s="55" t="str">
        <f>IFERROR(IF($G886="","",VLOOKUP('Dashboard And Emails Automate'!$G886,Database!$H:$N,4,0)),"")</f>
        <v/>
      </c>
      <c r="K886" s="55" t="str">
        <f>IFERROR(IF($G886="","",VLOOKUP('Dashboard And Emails Automate'!$G886,Database!$H:$N,5,0)),"")</f>
        <v/>
      </c>
      <c r="L886" s="55" t="str">
        <f>IFERROR(IF($G886="","",VLOOKUP('Dashboard And Emails Automate'!$G886,Database!$H:$N,6,0)),"")</f>
        <v/>
      </c>
      <c r="M886" s="55" t="str">
        <f>IFERROR(IF($G886="","",VLOOKUP('Dashboard And Emails Automate'!$G886,Database!$H:$N,7,0)),"")</f>
        <v/>
      </c>
      <c r="N886" s="55" t="str">
        <f>IFERROR(IF(OR($B886="",$B886="(blank)"),"",VLOOKUP($B886,'Email Marketing Raw Data'!$C:$O,6,0)),"")</f>
        <v/>
      </c>
      <c r="O886" s="55" t="str">
        <f>IFERROR(IF(OR($B886="",$B886="(blank)"),"",VLOOKUP($B886,'Email Marketing Raw Data'!$C:$O,7,0)),"")</f>
        <v/>
      </c>
      <c r="P886" s="55" t="str">
        <f>IFERROR(IF(OR($B886="",$B886="(blank)"),"",VLOOKUP($B886,'Email Marketing Raw Data'!$C:$O,8,0)),"")</f>
        <v/>
      </c>
      <c r="Q886" s="62" t="str">
        <f>IFERROR(IF(OR($B886="",$B886="(blank)"),"",VLOOKUP($B886,'Email Marketing Raw Data'!$C:$O,9,0)),"")</f>
        <v/>
      </c>
    </row>
    <row r="887" spans="4:17" ht="12.75" customHeight="1" x14ac:dyDescent="0.2">
      <c r="D887" s="58" t="str">
        <f>IFERROR(IF(F887&lt;&gt;"pending","",IF(OR($B887="",$B887="(blank)"),"",VLOOKUP($B887,'Email Marketing Raw Data'!$C:$O,10,0))),"")</f>
        <v/>
      </c>
      <c r="E887" s="59" t="str">
        <f>IFERROR(IF(F887&lt;&gt;"pending","",IF(OR($B887="",$B887="(blank)"),"",VLOOKUP($B887,'Email Marketing Raw Data'!$C:$O,11,0))),"")</f>
        <v/>
      </c>
      <c r="F887" s="54" t="str">
        <f>IFERROR(IF(OR($B887="",$B887="(blank)"),"",VLOOKUP($B887,'Email Marketing Raw Data'!$C:$O,13,0)),"")</f>
        <v/>
      </c>
      <c r="G887" s="55" t="str">
        <f>IFERROR(IF(OR($B887="",$B887="(blank)"),"",VLOOKUP($B887,'Email Marketing Raw Data'!$C:$O,4,0)),"")</f>
        <v/>
      </c>
      <c r="H887" s="55" t="str">
        <f>IFERROR(IF(OR($B887="",$B887="(blank)"),"",VLOOKUP($B887,'Email Marketing Raw Data'!$C:$O,5,0)),"")</f>
        <v/>
      </c>
      <c r="I887" s="55" t="str">
        <f>IFERROR(IF($G887="","",VLOOKUP('Dashboard And Emails Automate'!$G887,Database!$H:$N,3,0)),"")</f>
        <v/>
      </c>
      <c r="J887" s="55" t="str">
        <f>IFERROR(IF($G887="","",VLOOKUP('Dashboard And Emails Automate'!$G887,Database!$H:$N,4,0)),"")</f>
        <v/>
      </c>
      <c r="K887" s="55" t="str">
        <f>IFERROR(IF($G887="","",VLOOKUP('Dashboard And Emails Automate'!$G887,Database!$H:$N,5,0)),"")</f>
        <v/>
      </c>
      <c r="L887" s="55" t="str">
        <f>IFERROR(IF($G887="","",VLOOKUP('Dashboard And Emails Automate'!$G887,Database!$H:$N,6,0)),"")</f>
        <v/>
      </c>
      <c r="M887" s="55" t="str">
        <f>IFERROR(IF($G887="","",VLOOKUP('Dashboard And Emails Automate'!$G887,Database!$H:$N,7,0)),"")</f>
        <v/>
      </c>
      <c r="N887" s="55" t="str">
        <f>IFERROR(IF(OR($B887="",$B887="(blank)"),"",VLOOKUP($B887,'Email Marketing Raw Data'!$C:$O,6,0)),"")</f>
        <v/>
      </c>
      <c r="O887" s="55" t="str">
        <f>IFERROR(IF(OR($B887="",$B887="(blank)"),"",VLOOKUP($B887,'Email Marketing Raw Data'!$C:$O,7,0)),"")</f>
        <v/>
      </c>
      <c r="P887" s="55" t="str">
        <f>IFERROR(IF(OR($B887="",$B887="(blank)"),"",VLOOKUP($B887,'Email Marketing Raw Data'!$C:$O,8,0)),"")</f>
        <v/>
      </c>
      <c r="Q887" s="62" t="str">
        <f>IFERROR(IF(OR($B887="",$B887="(blank)"),"",VLOOKUP($B887,'Email Marketing Raw Data'!$C:$O,9,0)),"")</f>
        <v/>
      </c>
    </row>
    <row r="888" spans="4:17" ht="12.75" customHeight="1" x14ac:dyDescent="0.2">
      <c r="D888" s="58" t="str">
        <f>IFERROR(IF(F888&lt;&gt;"pending","",IF(OR($B888="",$B888="(blank)"),"",VLOOKUP($B888,'Email Marketing Raw Data'!$C:$O,10,0))),"")</f>
        <v/>
      </c>
      <c r="E888" s="59" t="str">
        <f>IFERROR(IF(F888&lt;&gt;"pending","",IF(OR($B888="",$B888="(blank)"),"",VLOOKUP($B888,'Email Marketing Raw Data'!$C:$O,11,0))),"")</f>
        <v/>
      </c>
      <c r="F888" s="54" t="str">
        <f>IFERROR(IF(OR($B888="",$B888="(blank)"),"",VLOOKUP($B888,'Email Marketing Raw Data'!$C:$O,13,0)),"")</f>
        <v/>
      </c>
      <c r="G888" s="55" t="str">
        <f>IFERROR(IF(OR($B888="",$B888="(blank)"),"",VLOOKUP($B888,'Email Marketing Raw Data'!$C:$O,4,0)),"")</f>
        <v/>
      </c>
      <c r="H888" s="55" t="str">
        <f>IFERROR(IF(OR($B888="",$B888="(blank)"),"",VLOOKUP($B888,'Email Marketing Raw Data'!$C:$O,5,0)),"")</f>
        <v/>
      </c>
      <c r="I888" s="55" t="str">
        <f>IFERROR(IF($G888="","",VLOOKUP('Dashboard And Emails Automate'!$G888,Database!$H:$N,3,0)),"")</f>
        <v/>
      </c>
      <c r="J888" s="55" t="str">
        <f>IFERROR(IF($G888="","",VLOOKUP('Dashboard And Emails Automate'!$G888,Database!$H:$N,4,0)),"")</f>
        <v/>
      </c>
      <c r="K888" s="55" t="str">
        <f>IFERROR(IF($G888="","",VLOOKUP('Dashboard And Emails Automate'!$G888,Database!$H:$N,5,0)),"")</f>
        <v/>
      </c>
      <c r="L888" s="55" t="str">
        <f>IFERROR(IF($G888="","",VLOOKUP('Dashboard And Emails Automate'!$G888,Database!$H:$N,6,0)),"")</f>
        <v/>
      </c>
      <c r="M888" s="55" t="str">
        <f>IFERROR(IF($G888="","",VLOOKUP('Dashboard And Emails Automate'!$G888,Database!$H:$N,7,0)),"")</f>
        <v/>
      </c>
      <c r="N888" s="55" t="str">
        <f>IFERROR(IF(OR($B888="",$B888="(blank)"),"",VLOOKUP($B888,'Email Marketing Raw Data'!$C:$O,6,0)),"")</f>
        <v/>
      </c>
      <c r="O888" s="55" t="str">
        <f>IFERROR(IF(OR($B888="",$B888="(blank)"),"",VLOOKUP($B888,'Email Marketing Raw Data'!$C:$O,7,0)),"")</f>
        <v/>
      </c>
      <c r="P888" s="55" t="str">
        <f>IFERROR(IF(OR($B888="",$B888="(blank)"),"",VLOOKUP($B888,'Email Marketing Raw Data'!$C:$O,8,0)),"")</f>
        <v/>
      </c>
      <c r="Q888" s="62" t="str">
        <f>IFERROR(IF(OR($B888="",$B888="(blank)"),"",VLOOKUP($B888,'Email Marketing Raw Data'!$C:$O,9,0)),"")</f>
        <v/>
      </c>
    </row>
    <row r="889" spans="4:17" ht="12.75" customHeight="1" x14ac:dyDescent="0.2">
      <c r="D889" s="58" t="str">
        <f>IFERROR(IF(F889&lt;&gt;"pending","",IF(OR($B889="",$B889="(blank)"),"",VLOOKUP($B889,'Email Marketing Raw Data'!$C:$O,10,0))),"")</f>
        <v/>
      </c>
      <c r="E889" s="59" t="str">
        <f>IFERROR(IF(F889&lt;&gt;"pending","",IF(OR($B889="",$B889="(blank)"),"",VLOOKUP($B889,'Email Marketing Raw Data'!$C:$O,11,0))),"")</f>
        <v/>
      </c>
      <c r="F889" s="54" t="str">
        <f>IFERROR(IF(OR($B889="",$B889="(blank)"),"",VLOOKUP($B889,'Email Marketing Raw Data'!$C:$O,13,0)),"")</f>
        <v/>
      </c>
      <c r="G889" s="55" t="str">
        <f>IFERROR(IF(OR($B889="",$B889="(blank)"),"",VLOOKUP($B889,'Email Marketing Raw Data'!$C:$O,4,0)),"")</f>
        <v/>
      </c>
      <c r="H889" s="55" t="str">
        <f>IFERROR(IF(OR($B889="",$B889="(blank)"),"",VLOOKUP($B889,'Email Marketing Raw Data'!$C:$O,5,0)),"")</f>
        <v/>
      </c>
      <c r="I889" s="55" t="str">
        <f>IFERROR(IF($G889="","",VLOOKUP('Dashboard And Emails Automate'!$G889,Database!$H:$N,3,0)),"")</f>
        <v/>
      </c>
      <c r="J889" s="55" t="str">
        <f>IFERROR(IF($G889="","",VLOOKUP('Dashboard And Emails Automate'!$G889,Database!$H:$N,4,0)),"")</f>
        <v/>
      </c>
      <c r="K889" s="55" t="str">
        <f>IFERROR(IF($G889="","",VLOOKUP('Dashboard And Emails Automate'!$G889,Database!$H:$N,5,0)),"")</f>
        <v/>
      </c>
      <c r="L889" s="55" t="str">
        <f>IFERROR(IF($G889="","",VLOOKUP('Dashboard And Emails Automate'!$G889,Database!$H:$N,6,0)),"")</f>
        <v/>
      </c>
      <c r="M889" s="55" t="str">
        <f>IFERROR(IF($G889="","",VLOOKUP('Dashboard And Emails Automate'!$G889,Database!$H:$N,7,0)),"")</f>
        <v/>
      </c>
      <c r="N889" s="55" t="str">
        <f>IFERROR(IF(OR($B889="",$B889="(blank)"),"",VLOOKUP($B889,'Email Marketing Raw Data'!$C:$O,6,0)),"")</f>
        <v/>
      </c>
      <c r="O889" s="55" t="str">
        <f>IFERROR(IF(OR($B889="",$B889="(blank)"),"",VLOOKUP($B889,'Email Marketing Raw Data'!$C:$O,7,0)),"")</f>
        <v/>
      </c>
      <c r="P889" s="55" t="str">
        <f>IFERROR(IF(OR($B889="",$B889="(blank)"),"",VLOOKUP($B889,'Email Marketing Raw Data'!$C:$O,8,0)),"")</f>
        <v/>
      </c>
      <c r="Q889" s="62" t="str">
        <f>IFERROR(IF(OR($B889="",$B889="(blank)"),"",VLOOKUP($B889,'Email Marketing Raw Data'!$C:$O,9,0)),"")</f>
        <v/>
      </c>
    </row>
    <row r="890" spans="4:17" ht="12.75" customHeight="1" x14ac:dyDescent="0.2">
      <c r="D890" s="58" t="str">
        <f>IFERROR(IF(F890&lt;&gt;"pending","",IF(OR($B890="",$B890="(blank)"),"",VLOOKUP($B890,'Email Marketing Raw Data'!$C:$O,10,0))),"")</f>
        <v/>
      </c>
      <c r="E890" s="59" t="str">
        <f>IFERROR(IF(F890&lt;&gt;"pending","",IF(OR($B890="",$B890="(blank)"),"",VLOOKUP($B890,'Email Marketing Raw Data'!$C:$O,11,0))),"")</f>
        <v/>
      </c>
      <c r="F890" s="54" t="str">
        <f>IFERROR(IF(OR($B890="",$B890="(blank)"),"",VLOOKUP($B890,'Email Marketing Raw Data'!$C:$O,13,0)),"")</f>
        <v/>
      </c>
      <c r="G890" s="55" t="str">
        <f>IFERROR(IF(OR($B890="",$B890="(blank)"),"",VLOOKUP($B890,'Email Marketing Raw Data'!$C:$O,4,0)),"")</f>
        <v/>
      </c>
      <c r="H890" s="55" t="str">
        <f>IFERROR(IF(OR($B890="",$B890="(blank)"),"",VLOOKUP($B890,'Email Marketing Raw Data'!$C:$O,5,0)),"")</f>
        <v/>
      </c>
      <c r="I890" s="55" t="str">
        <f>IFERROR(IF($G890="","",VLOOKUP('Dashboard And Emails Automate'!$G890,Database!$H:$N,3,0)),"")</f>
        <v/>
      </c>
      <c r="J890" s="55" t="str">
        <f>IFERROR(IF($G890="","",VLOOKUP('Dashboard And Emails Automate'!$G890,Database!$H:$N,4,0)),"")</f>
        <v/>
      </c>
      <c r="K890" s="55" t="str">
        <f>IFERROR(IF($G890="","",VLOOKUP('Dashboard And Emails Automate'!$G890,Database!$H:$N,5,0)),"")</f>
        <v/>
      </c>
      <c r="L890" s="55" t="str">
        <f>IFERROR(IF($G890="","",VLOOKUP('Dashboard And Emails Automate'!$G890,Database!$H:$N,6,0)),"")</f>
        <v/>
      </c>
      <c r="M890" s="55" t="str">
        <f>IFERROR(IF($G890="","",VLOOKUP('Dashboard And Emails Automate'!$G890,Database!$H:$N,7,0)),"")</f>
        <v/>
      </c>
      <c r="N890" s="55" t="str">
        <f>IFERROR(IF(OR($B890="",$B890="(blank)"),"",VLOOKUP($B890,'Email Marketing Raw Data'!$C:$O,6,0)),"")</f>
        <v/>
      </c>
      <c r="O890" s="55" t="str">
        <f>IFERROR(IF(OR($B890="",$B890="(blank)"),"",VLOOKUP($B890,'Email Marketing Raw Data'!$C:$O,7,0)),"")</f>
        <v/>
      </c>
      <c r="P890" s="55" t="str">
        <f>IFERROR(IF(OR($B890="",$B890="(blank)"),"",VLOOKUP($B890,'Email Marketing Raw Data'!$C:$O,8,0)),"")</f>
        <v/>
      </c>
      <c r="Q890" s="62" t="str">
        <f>IFERROR(IF(OR($B890="",$B890="(blank)"),"",VLOOKUP($B890,'Email Marketing Raw Data'!$C:$O,9,0)),"")</f>
        <v/>
      </c>
    </row>
    <row r="891" spans="4:17" ht="12.75" customHeight="1" x14ac:dyDescent="0.2">
      <c r="D891" s="58" t="str">
        <f>IFERROR(IF(F891&lt;&gt;"pending","",IF(OR($B891="",$B891="(blank)"),"",VLOOKUP($B891,'Email Marketing Raw Data'!$C:$O,10,0))),"")</f>
        <v/>
      </c>
      <c r="E891" s="59" t="str">
        <f>IFERROR(IF(F891&lt;&gt;"pending","",IF(OR($B891="",$B891="(blank)"),"",VLOOKUP($B891,'Email Marketing Raw Data'!$C:$O,11,0))),"")</f>
        <v/>
      </c>
      <c r="F891" s="54" t="str">
        <f>IFERROR(IF(OR($B891="",$B891="(blank)"),"",VLOOKUP($B891,'Email Marketing Raw Data'!$C:$O,13,0)),"")</f>
        <v/>
      </c>
      <c r="G891" s="55" t="str">
        <f>IFERROR(IF(OR($B891="",$B891="(blank)"),"",VLOOKUP($B891,'Email Marketing Raw Data'!$C:$O,4,0)),"")</f>
        <v/>
      </c>
      <c r="H891" s="55" t="str">
        <f>IFERROR(IF(OR($B891="",$B891="(blank)"),"",VLOOKUP($B891,'Email Marketing Raw Data'!$C:$O,5,0)),"")</f>
        <v/>
      </c>
      <c r="I891" s="55" t="str">
        <f>IFERROR(IF($G891="","",VLOOKUP('Dashboard And Emails Automate'!$G891,Database!$H:$N,3,0)),"")</f>
        <v/>
      </c>
      <c r="J891" s="55" t="str">
        <f>IFERROR(IF($G891="","",VLOOKUP('Dashboard And Emails Automate'!$G891,Database!$H:$N,4,0)),"")</f>
        <v/>
      </c>
      <c r="K891" s="55" t="str">
        <f>IFERROR(IF($G891="","",VLOOKUP('Dashboard And Emails Automate'!$G891,Database!$H:$N,5,0)),"")</f>
        <v/>
      </c>
      <c r="L891" s="55" t="str">
        <f>IFERROR(IF($G891="","",VLOOKUP('Dashboard And Emails Automate'!$G891,Database!$H:$N,6,0)),"")</f>
        <v/>
      </c>
      <c r="M891" s="55" t="str">
        <f>IFERROR(IF($G891="","",VLOOKUP('Dashboard And Emails Automate'!$G891,Database!$H:$N,7,0)),"")</f>
        <v/>
      </c>
      <c r="N891" s="55" t="str">
        <f>IFERROR(IF(OR($B891="",$B891="(blank)"),"",VLOOKUP($B891,'Email Marketing Raw Data'!$C:$O,6,0)),"")</f>
        <v/>
      </c>
      <c r="O891" s="55" t="str">
        <f>IFERROR(IF(OR($B891="",$B891="(blank)"),"",VLOOKUP($B891,'Email Marketing Raw Data'!$C:$O,7,0)),"")</f>
        <v/>
      </c>
      <c r="P891" s="55" t="str">
        <f>IFERROR(IF(OR($B891="",$B891="(blank)"),"",VLOOKUP($B891,'Email Marketing Raw Data'!$C:$O,8,0)),"")</f>
        <v/>
      </c>
      <c r="Q891" s="62" t="str">
        <f>IFERROR(IF(OR($B891="",$B891="(blank)"),"",VLOOKUP($B891,'Email Marketing Raw Data'!$C:$O,9,0)),"")</f>
        <v/>
      </c>
    </row>
    <row r="892" spans="4:17" ht="12.75" customHeight="1" x14ac:dyDescent="0.2">
      <c r="D892" s="58" t="str">
        <f>IFERROR(IF(F892&lt;&gt;"pending","",IF(OR($B892="",$B892="(blank)"),"",VLOOKUP($B892,'Email Marketing Raw Data'!$C:$O,10,0))),"")</f>
        <v/>
      </c>
      <c r="E892" s="59" t="str">
        <f>IFERROR(IF(F892&lt;&gt;"pending","",IF(OR($B892="",$B892="(blank)"),"",VLOOKUP($B892,'Email Marketing Raw Data'!$C:$O,11,0))),"")</f>
        <v/>
      </c>
      <c r="F892" s="54" t="str">
        <f>IFERROR(IF(OR($B892="",$B892="(blank)"),"",VLOOKUP($B892,'Email Marketing Raw Data'!$C:$O,13,0)),"")</f>
        <v/>
      </c>
      <c r="G892" s="55" t="str">
        <f>IFERROR(IF(OR($B892="",$B892="(blank)"),"",VLOOKUP($B892,'Email Marketing Raw Data'!$C:$O,4,0)),"")</f>
        <v/>
      </c>
      <c r="H892" s="55" t="str">
        <f>IFERROR(IF(OR($B892="",$B892="(blank)"),"",VLOOKUP($B892,'Email Marketing Raw Data'!$C:$O,5,0)),"")</f>
        <v/>
      </c>
      <c r="I892" s="55" t="str">
        <f>IFERROR(IF($G892="","",VLOOKUP('Dashboard And Emails Automate'!$G892,Database!$H:$N,3,0)),"")</f>
        <v/>
      </c>
      <c r="J892" s="55" t="str">
        <f>IFERROR(IF($G892="","",VLOOKUP('Dashboard And Emails Automate'!$G892,Database!$H:$N,4,0)),"")</f>
        <v/>
      </c>
      <c r="K892" s="55" t="str">
        <f>IFERROR(IF($G892="","",VLOOKUP('Dashboard And Emails Automate'!$G892,Database!$H:$N,5,0)),"")</f>
        <v/>
      </c>
      <c r="L892" s="55" t="str">
        <f>IFERROR(IF($G892="","",VLOOKUP('Dashboard And Emails Automate'!$G892,Database!$H:$N,6,0)),"")</f>
        <v/>
      </c>
      <c r="M892" s="55" t="str">
        <f>IFERROR(IF($G892="","",VLOOKUP('Dashboard And Emails Automate'!$G892,Database!$H:$N,7,0)),"")</f>
        <v/>
      </c>
      <c r="N892" s="55" t="str">
        <f>IFERROR(IF(OR($B892="",$B892="(blank)"),"",VLOOKUP($B892,'Email Marketing Raw Data'!$C:$O,6,0)),"")</f>
        <v/>
      </c>
      <c r="O892" s="55" t="str">
        <f>IFERROR(IF(OR($B892="",$B892="(blank)"),"",VLOOKUP($B892,'Email Marketing Raw Data'!$C:$O,7,0)),"")</f>
        <v/>
      </c>
      <c r="P892" s="55" t="str">
        <f>IFERROR(IF(OR($B892="",$B892="(blank)"),"",VLOOKUP($B892,'Email Marketing Raw Data'!$C:$O,8,0)),"")</f>
        <v/>
      </c>
      <c r="Q892" s="62" t="str">
        <f>IFERROR(IF(OR($B892="",$B892="(blank)"),"",VLOOKUP($B892,'Email Marketing Raw Data'!$C:$O,9,0)),"")</f>
        <v/>
      </c>
    </row>
    <row r="893" spans="4:17" ht="12.75" customHeight="1" x14ac:dyDescent="0.2">
      <c r="D893" s="58" t="str">
        <f>IFERROR(IF(F893&lt;&gt;"pending","",IF(OR($B893="",$B893="(blank)"),"",VLOOKUP($B893,'Email Marketing Raw Data'!$C:$O,10,0))),"")</f>
        <v/>
      </c>
      <c r="E893" s="59" t="str">
        <f>IFERROR(IF(F893&lt;&gt;"pending","",IF(OR($B893="",$B893="(blank)"),"",VLOOKUP($B893,'Email Marketing Raw Data'!$C:$O,11,0))),"")</f>
        <v/>
      </c>
      <c r="F893" s="54" t="str">
        <f>IFERROR(IF(OR($B893="",$B893="(blank)"),"",VLOOKUP($B893,'Email Marketing Raw Data'!$C:$O,13,0)),"")</f>
        <v/>
      </c>
      <c r="G893" s="55" t="str">
        <f>IFERROR(IF(OR($B893="",$B893="(blank)"),"",VLOOKUP($B893,'Email Marketing Raw Data'!$C:$O,4,0)),"")</f>
        <v/>
      </c>
      <c r="H893" s="55" t="str">
        <f>IFERROR(IF(OR($B893="",$B893="(blank)"),"",VLOOKUP($B893,'Email Marketing Raw Data'!$C:$O,5,0)),"")</f>
        <v/>
      </c>
      <c r="I893" s="55" t="str">
        <f>IFERROR(IF($G893="","",VLOOKUP('Dashboard And Emails Automate'!$G893,Database!$H:$N,3,0)),"")</f>
        <v/>
      </c>
      <c r="J893" s="55" t="str">
        <f>IFERROR(IF($G893="","",VLOOKUP('Dashboard And Emails Automate'!$G893,Database!$H:$N,4,0)),"")</f>
        <v/>
      </c>
      <c r="K893" s="55" t="str">
        <f>IFERROR(IF($G893="","",VLOOKUP('Dashboard And Emails Automate'!$G893,Database!$H:$N,5,0)),"")</f>
        <v/>
      </c>
      <c r="L893" s="55" t="str">
        <f>IFERROR(IF($G893="","",VLOOKUP('Dashboard And Emails Automate'!$G893,Database!$H:$N,6,0)),"")</f>
        <v/>
      </c>
      <c r="M893" s="55" t="str">
        <f>IFERROR(IF($G893="","",VLOOKUP('Dashboard And Emails Automate'!$G893,Database!$H:$N,7,0)),"")</f>
        <v/>
      </c>
      <c r="N893" s="55" t="str">
        <f>IFERROR(IF(OR($B893="",$B893="(blank)"),"",VLOOKUP($B893,'Email Marketing Raw Data'!$C:$O,6,0)),"")</f>
        <v/>
      </c>
      <c r="O893" s="55" t="str">
        <f>IFERROR(IF(OR($B893="",$B893="(blank)"),"",VLOOKUP($B893,'Email Marketing Raw Data'!$C:$O,7,0)),"")</f>
        <v/>
      </c>
      <c r="P893" s="55" t="str">
        <f>IFERROR(IF(OR($B893="",$B893="(blank)"),"",VLOOKUP($B893,'Email Marketing Raw Data'!$C:$O,8,0)),"")</f>
        <v/>
      </c>
      <c r="Q893" s="62" t="str">
        <f>IFERROR(IF(OR($B893="",$B893="(blank)"),"",VLOOKUP($B893,'Email Marketing Raw Data'!$C:$O,9,0)),"")</f>
        <v/>
      </c>
    </row>
    <row r="894" spans="4:17" ht="12.75" customHeight="1" x14ac:dyDescent="0.2">
      <c r="D894" s="58" t="str">
        <f>IFERROR(IF(F894&lt;&gt;"pending","",IF(OR($B894="",$B894="(blank)"),"",VLOOKUP($B894,'Email Marketing Raw Data'!$C:$O,10,0))),"")</f>
        <v/>
      </c>
      <c r="E894" s="59" t="str">
        <f>IFERROR(IF(F894&lt;&gt;"pending","",IF(OR($B894="",$B894="(blank)"),"",VLOOKUP($B894,'Email Marketing Raw Data'!$C:$O,11,0))),"")</f>
        <v/>
      </c>
      <c r="F894" s="54" t="str">
        <f>IFERROR(IF(OR($B894="",$B894="(blank)"),"",VLOOKUP($B894,'Email Marketing Raw Data'!$C:$O,13,0)),"")</f>
        <v/>
      </c>
      <c r="G894" s="55" t="str">
        <f>IFERROR(IF(OR($B894="",$B894="(blank)"),"",VLOOKUP($B894,'Email Marketing Raw Data'!$C:$O,4,0)),"")</f>
        <v/>
      </c>
      <c r="H894" s="55" t="str">
        <f>IFERROR(IF(OR($B894="",$B894="(blank)"),"",VLOOKUP($B894,'Email Marketing Raw Data'!$C:$O,5,0)),"")</f>
        <v/>
      </c>
      <c r="I894" s="55" t="str">
        <f>IFERROR(IF($G894="","",VLOOKUP('Dashboard And Emails Automate'!$G894,Database!$H:$N,3,0)),"")</f>
        <v/>
      </c>
      <c r="J894" s="55" t="str">
        <f>IFERROR(IF($G894="","",VLOOKUP('Dashboard And Emails Automate'!$G894,Database!$H:$N,4,0)),"")</f>
        <v/>
      </c>
      <c r="K894" s="55" t="str">
        <f>IFERROR(IF($G894="","",VLOOKUP('Dashboard And Emails Automate'!$G894,Database!$H:$N,5,0)),"")</f>
        <v/>
      </c>
      <c r="L894" s="55" t="str">
        <f>IFERROR(IF($G894="","",VLOOKUP('Dashboard And Emails Automate'!$G894,Database!$H:$N,6,0)),"")</f>
        <v/>
      </c>
      <c r="M894" s="55" t="str">
        <f>IFERROR(IF($G894="","",VLOOKUP('Dashboard And Emails Automate'!$G894,Database!$H:$N,7,0)),"")</f>
        <v/>
      </c>
      <c r="N894" s="55" t="str">
        <f>IFERROR(IF(OR($B894="",$B894="(blank)"),"",VLOOKUP($B894,'Email Marketing Raw Data'!$C:$O,6,0)),"")</f>
        <v/>
      </c>
      <c r="O894" s="55" t="str">
        <f>IFERROR(IF(OR($B894="",$B894="(blank)"),"",VLOOKUP($B894,'Email Marketing Raw Data'!$C:$O,7,0)),"")</f>
        <v/>
      </c>
      <c r="P894" s="55" t="str">
        <f>IFERROR(IF(OR($B894="",$B894="(blank)"),"",VLOOKUP($B894,'Email Marketing Raw Data'!$C:$O,8,0)),"")</f>
        <v/>
      </c>
      <c r="Q894" s="62" t="str">
        <f>IFERROR(IF(OR($B894="",$B894="(blank)"),"",VLOOKUP($B894,'Email Marketing Raw Data'!$C:$O,9,0)),"")</f>
        <v/>
      </c>
    </row>
    <row r="895" spans="4:17" ht="12.75" customHeight="1" x14ac:dyDescent="0.2">
      <c r="D895" s="58" t="str">
        <f>IFERROR(IF(F895&lt;&gt;"pending","",IF(OR($B895="",$B895="(blank)"),"",VLOOKUP($B895,'Email Marketing Raw Data'!$C:$O,10,0))),"")</f>
        <v/>
      </c>
      <c r="E895" s="59" t="str">
        <f>IFERROR(IF(F895&lt;&gt;"pending","",IF(OR($B895="",$B895="(blank)"),"",VLOOKUP($B895,'Email Marketing Raw Data'!$C:$O,11,0))),"")</f>
        <v/>
      </c>
      <c r="F895" s="54" t="str">
        <f>IFERROR(IF(OR($B895="",$B895="(blank)"),"",VLOOKUP($B895,'Email Marketing Raw Data'!$C:$O,13,0)),"")</f>
        <v/>
      </c>
      <c r="G895" s="55" t="str">
        <f>IFERROR(IF(OR($B895="",$B895="(blank)"),"",VLOOKUP($B895,'Email Marketing Raw Data'!$C:$O,4,0)),"")</f>
        <v/>
      </c>
      <c r="H895" s="55" t="str">
        <f>IFERROR(IF(OR($B895="",$B895="(blank)"),"",VLOOKUP($B895,'Email Marketing Raw Data'!$C:$O,5,0)),"")</f>
        <v/>
      </c>
      <c r="I895" s="55" t="str">
        <f>IFERROR(IF($G895="","",VLOOKUP('Dashboard And Emails Automate'!$G895,Database!$H:$N,3,0)),"")</f>
        <v/>
      </c>
      <c r="J895" s="55" t="str">
        <f>IFERROR(IF($G895="","",VLOOKUP('Dashboard And Emails Automate'!$G895,Database!$H:$N,4,0)),"")</f>
        <v/>
      </c>
      <c r="K895" s="55" t="str">
        <f>IFERROR(IF($G895="","",VLOOKUP('Dashboard And Emails Automate'!$G895,Database!$H:$N,5,0)),"")</f>
        <v/>
      </c>
      <c r="L895" s="55" t="str">
        <f>IFERROR(IF($G895="","",VLOOKUP('Dashboard And Emails Automate'!$G895,Database!$H:$N,6,0)),"")</f>
        <v/>
      </c>
      <c r="M895" s="55" t="str">
        <f>IFERROR(IF($G895="","",VLOOKUP('Dashboard And Emails Automate'!$G895,Database!$H:$N,7,0)),"")</f>
        <v/>
      </c>
      <c r="N895" s="55" t="str">
        <f>IFERROR(IF(OR($B895="",$B895="(blank)"),"",VLOOKUP($B895,'Email Marketing Raw Data'!$C:$O,6,0)),"")</f>
        <v/>
      </c>
      <c r="O895" s="55" t="str">
        <f>IFERROR(IF(OR($B895="",$B895="(blank)"),"",VLOOKUP($B895,'Email Marketing Raw Data'!$C:$O,7,0)),"")</f>
        <v/>
      </c>
      <c r="P895" s="55" t="str">
        <f>IFERROR(IF(OR($B895="",$B895="(blank)"),"",VLOOKUP($B895,'Email Marketing Raw Data'!$C:$O,8,0)),"")</f>
        <v/>
      </c>
      <c r="Q895" s="62" t="str">
        <f>IFERROR(IF(OR($B895="",$B895="(blank)"),"",VLOOKUP($B895,'Email Marketing Raw Data'!$C:$O,9,0)),"")</f>
        <v/>
      </c>
    </row>
    <row r="896" spans="4:17" ht="12.75" customHeight="1" x14ac:dyDescent="0.2">
      <c r="D896" s="58" t="str">
        <f>IFERROR(IF(F896&lt;&gt;"pending","",IF(OR($B896="",$B896="(blank)"),"",VLOOKUP($B896,'Email Marketing Raw Data'!$C:$O,10,0))),"")</f>
        <v/>
      </c>
      <c r="E896" s="59" t="str">
        <f>IFERROR(IF(F896&lt;&gt;"pending","",IF(OR($B896="",$B896="(blank)"),"",VLOOKUP($B896,'Email Marketing Raw Data'!$C:$O,11,0))),"")</f>
        <v/>
      </c>
      <c r="F896" s="54" t="str">
        <f>IFERROR(IF(OR($B896="",$B896="(blank)"),"",VLOOKUP($B896,'Email Marketing Raw Data'!$C:$O,13,0)),"")</f>
        <v/>
      </c>
      <c r="G896" s="55" t="str">
        <f>IFERROR(IF(OR($B896="",$B896="(blank)"),"",VLOOKUP($B896,'Email Marketing Raw Data'!$C:$O,4,0)),"")</f>
        <v/>
      </c>
      <c r="H896" s="55" t="str">
        <f>IFERROR(IF(OR($B896="",$B896="(blank)"),"",VLOOKUP($B896,'Email Marketing Raw Data'!$C:$O,5,0)),"")</f>
        <v/>
      </c>
      <c r="I896" s="55" t="str">
        <f>IFERROR(IF($G896="","",VLOOKUP('Dashboard And Emails Automate'!$G896,Database!$H:$N,3,0)),"")</f>
        <v/>
      </c>
      <c r="J896" s="55" t="str">
        <f>IFERROR(IF($G896="","",VLOOKUP('Dashboard And Emails Automate'!$G896,Database!$H:$N,4,0)),"")</f>
        <v/>
      </c>
      <c r="K896" s="55" t="str">
        <f>IFERROR(IF($G896="","",VLOOKUP('Dashboard And Emails Automate'!$G896,Database!$H:$N,5,0)),"")</f>
        <v/>
      </c>
      <c r="L896" s="55" t="str">
        <f>IFERROR(IF($G896="","",VLOOKUP('Dashboard And Emails Automate'!$G896,Database!$H:$N,6,0)),"")</f>
        <v/>
      </c>
      <c r="M896" s="55" t="str">
        <f>IFERROR(IF($G896="","",VLOOKUP('Dashboard And Emails Automate'!$G896,Database!$H:$N,7,0)),"")</f>
        <v/>
      </c>
      <c r="N896" s="55" t="str">
        <f>IFERROR(IF(OR($B896="",$B896="(blank)"),"",VLOOKUP($B896,'Email Marketing Raw Data'!$C:$O,6,0)),"")</f>
        <v/>
      </c>
      <c r="O896" s="55" t="str">
        <f>IFERROR(IF(OR($B896="",$B896="(blank)"),"",VLOOKUP($B896,'Email Marketing Raw Data'!$C:$O,7,0)),"")</f>
        <v/>
      </c>
      <c r="P896" s="55" t="str">
        <f>IFERROR(IF(OR($B896="",$B896="(blank)"),"",VLOOKUP($B896,'Email Marketing Raw Data'!$C:$O,8,0)),"")</f>
        <v/>
      </c>
      <c r="Q896" s="62" t="str">
        <f>IFERROR(IF(OR($B896="",$B896="(blank)"),"",VLOOKUP($B896,'Email Marketing Raw Data'!$C:$O,9,0)),"")</f>
        <v/>
      </c>
    </row>
    <row r="897" spans="4:17" ht="12.75" customHeight="1" x14ac:dyDescent="0.2">
      <c r="D897" s="58" t="str">
        <f>IFERROR(IF(F897&lt;&gt;"pending","",IF(OR($B897="",$B897="(blank)"),"",VLOOKUP($B897,'Email Marketing Raw Data'!$C:$O,10,0))),"")</f>
        <v/>
      </c>
      <c r="E897" s="59" t="str">
        <f>IFERROR(IF(F897&lt;&gt;"pending","",IF(OR($B897="",$B897="(blank)"),"",VLOOKUP($B897,'Email Marketing Raw Data'!$C:$O,11,0))),"")</f>
        <v/>
      </c>
      <c r="F897" s="54" t="str">
        <f>IFERROR(IF(OR($B897="",$B897="(blank)"),"",VLOOKUP($B897,'Email Marketing Raw Data'!$C:$O,13,0)),"")</f>
        <v/>
      </c>
      <c r="G897" s="55" t="str">
        <f>IFERROR(IF(OR($B897="",$B897="(blank)"),"",VLOOKUP($B897,'Email Marketing Raw Data'!$C:$O,4,0)),"")</f>
        <v/>
      </c>
      <c r="H897" s="55" t="str">
        <f>IFERROR(IF(OR($B897="",$B897="(blank)"),"",VLOOKUP($B897,'Email Marketing Raw Data'!$C:$O,5,0)),"")</f>
        <v/>
      </c>
      <c r="I897" s="55" t="str">
        <f>IFERROR(IF($G897="","",VLOOKUP('Dashboard And Emails Automate'!$G897,Database!$H:$N,3,0)),"")</f>
        <v/>
      </c>
      <c r="J897" s="55" t="str">
        <f>IFERROR(IF($G897="","",VLOOKUP('Dashboard And Emails Automate'!$G897,Database!$H:$N,4,0)),"")</f>
        <v/>
      </c>
      <c r="K897" s="55" t="str">
        <f>IFERROR(IF($G897="","",VLOOKUP('Dashboard And Emails Automate'!$G897,Database!$H:$N,5,0)),"")</f>
        <v/>
      </c>
      <c r="L897" s="55" t="str">
        <f>IFERROR(IF($G897="","",VLOOKUP('Dashboard And Emails Automate'!$G897,Database!$H:$N,6,0)),"")</f>
        <v/>
      </c>
      <c r="M897" s="55" t="str">
        <f>IFERROR(IF($G897="","",VLOOKUP('Dashboard And Emails Automate'!$G897,Database!$H:$N,7,0)),"")</f>
        <v/>
      </c>
      <c r="N897" s="55" t="str">
        <f>IFERROR(IF(OR($B897="",$B897="(blank)"),"",VLOOKUP($B897,'Email Marketing Raw Data'!$C:$O,6,0)),"")</f>
        <v/>
      </c>
      <c r="O897" s="55" t="str">
        <f>IFERROR(IF(OR($B897="",$B897="(blank)"),"",VLOOKUP($B897,'Email Marketing Raw Data'!$C:$O,7,0)),"")</f>
        <v/>
      </c>
      <c r="P897" s="55" t="str">
        <f>IFERROR(IF(OR($B897="",$B897="(blank)"),"",VLOOKUP($B897,'Email Marketing Raw Data'!$C:$O,8,0)),"")</f>
        <v/>
      </c>
      <c r="Q897" s="62" t="str">
        <f>IFERROR(IF(OR($B897="",$B897="(blank)"),"",VLOOKUP($B897,'Email Marketing Raw Data'!$C:$O,9,0)),"")</f>
        <v/>
      </c>
    </row>
    <row r="898" spans="4:17" ht="12.75" customHeight="1" x14ac:dyDescent="0.2">
      <c r="D898" s="58" t="str">
        <f>IFERROR(IF(F898&lt;&gt;"pending","",IF(OR($B898="",$B898="(blank)"),"",VLOOKUP($B898,'Email Marketing Raw Data'!$C:$O,10,0))),"")</f>
        <v/>
      </c>
      <c r="E898" s="59" t="str">
        <f>IFERROR(IF(F898&lt;&gt;"pending","",IF(OR($B898="",$B898="(blank)"),"",VLOOKUP($B898,'Email Marketing Raw Data'!$C:$O,11,0))),"")</f>
        <v/>
      </c>
      <c r="F898" s="54" t="str">
        <f>IFERROR(IF(OR($B898="",$B898="(blank)"),"",VLOOKUP($B898,'Email Marketing Raw Data'!$C:$O,13,0)),"")</f>
        <v/>
      </c>
      <c r="G898" s="55" t="str">
        <f>IFERROR(IF(OR($B898="",$B898="(blank)"),"",VLOOKUP($B898,'Email Marketing Raw Data'!$C:$O,4,0)),"")</f>
        <v/>
      </c>
      <c r="H898" s="55" t="str">
        <f>IFERROR(IF(OR($B898="",$B898="(blank)"),"",VLOOKUP($B898,'Email Marketing Raw Data'!$C:$O,5,0)),"")</f>
        <v/>
      </c>
      <c r="I898" s="55" t="str">
        <f>IFERROR(IF($G898="","",VLOOKUP('Dashboard And Emails Automate'!$G898,Database!$H:$N,3,0)),"")</f>
        <v/>
      </c>
      <c r="J898" s="55" t="str">
        <f>IFERROR(IF($G898="","",VLOOKUP('Dashboard And Emails Automate'!$G898,Database!$H:$N,4,0)),"")</f>
        <v/>
      </c>
      <c r="K898" s="55" t="str">
        <f>IFERROR(IF($G898="","",VLOOKUP('Dashboard And Emails Automate'!$G898,Database!$H:$N,5,0)),"")</f>
        <v/>
      </c>
      <c r="L898" s="55" t="str">
        <f>IFERROR(IF($G898="","",VLOOKUP('Dashboard And Emails Automate'!$G898,Database!$H:$N,6,0)),"")</f>
        <v/>
      </c>
      <c r="M898" s="55" t="str">
        <f>IFERROR(IF($G898="","",VLOOKUP('Dashboard And Emails Automate'!$G898,Database!$H:$N,7,0)),"")</f>
        <v/>
      </c>
      <c r="N898" s="55" t="str">
        <f>IFERROR(IF(OR($B898="",$B898="(blank)"),"",VLOOKUP($B898,'Email Marketing Raw Data'!$C:$O,6,0)),"")</f>
        <v/>
      </c>
      <c r="O898" s="55" t="str">
        <f>IFERROR(IF(OR($B898="",$B898="(blank)"),"",VLOOKUP($B898,'Email Marketing Raw Data'!$C:$O,7,0)),"")</f>
        <v/>
      </c>
      <c r="P898" s="55" t="str">
        <f>IFERROR(IF(OR($B898="",$B898="(blank)"),"",VLOOKUP($B898,'Email Marketing Raw Data'!$C:$O,8,0)),"")</f>
        <v/>
      </c>
      <c r="Q898" s="62" t="str">
        <f>IFERROR(IF(OR($B898="",$B898="(blank)"),"",VLOOKUP($B898,'Email Marketing Raw Data'!$C:$O,9,0)),"")</f>
        <v/>
      </c>
    </row>
    <row r="899" spans="4:17" ht="12.75" customHeight="1" x14ac:dyDescent="0.2">
      <c r="D899" s="58" t="str">
        <f>IFERROR(IF(F899&lt;&gt;"pending","",IF(OR($B899="",$B899="(blank)"),"",VLOOKUP($B899,'Email Marketing Raw Data'!$C:$O,10,0))),"")</f>
        <v/>
      </c>
      <c r="E899" s="59" t="str">
        <f>IFERROR(IF(F899&lt;&gt;"pending","",IF(OR($B899="",$B899="(blank)"),"",VLOOKUP($B899,'Email Marketing Raw Data'!$C:$O,11,0))),"")</f>
        <v/>
      </c>
      <c r="F899" s="54" t="str">
        <f>IFERROR(IF(OR($B899="",$B899="(blank)"),"",VLOOKUP($B899,'Email Marketing Raw Data'!$C:$O,13,0)),"")</f>
        <v/>
      </c>
      <c r="G899" s="55" t="str">
        <f>IFERROR(IF(OR($B899="",$B899="(blank)"),"",VLOOKUP($B899,'Email Marketing Raw Data'!$C:$O,4,0)),"")</f>
        <v/>
      </c>
      <c r="H899" s="55" t="str">
        <f>IFERROR(IF(OR($B899="",$B899="(blank)"),"",VLOOKUP($B899,'Email Marketing Raw Data'!$C:$O,5,0)),"")</f>
        <v/>
      </c>
      <c r="I899" s="55" t="str">
        <f>IFERROR(IF($G899="","",VLOOKUP('Dashboard And Emails Automate'!$G899,Database!$H:$N,3,0)),"")</f>
        <v/>
      </c>
      <c r="J899" s="55" t="str">
        <f>IFERROR(IF($G899="","",VLOOKUP('Dashboard And Emails Automate'!$G899,Database!$H:$N,4,0)),"")</f>
        <v/>
      </c>
      <c r="K899" s="55" t="str">
        <f>IFERROR(IF($G899="","",VLOOKUP('Dashboard And Emails Automate'!$G899,Database!$H:$N,5,0)),"")</f>
        <v/>
      </c>
      <c r="L899" s="55" t="str">
        <f>IFERROR(IF($G899="","",VLOOKUP('Dashboard And Emails Automate'!$G899,Database!$H:$N,6,0)),"")</f>
        <v/>
      </c>
      <c r="M899" s="55" t="str">
        <f>IFERROR(IF($G899="","",VLOOKUP('Dashboard And Emails Automate'!$G899,Database!$H:$N,7,0)),"")</f>
        <v/>
      </c>
      <c r="N899" s="55" t="str">
        <f>IFERROR(IF(OR($B899="",$B899="(blank)"),"",VLOOKUP($B899,'Email Marketing Raw Data'!$C:$O,6,0)),"")</f>
        <v/>
      </c>
      <c r="O899" s="55" t="str">
        <f>IFERROR(IF(OR($B899="",$B899="(blank)"),"",VLOOKUP($B899,'Email Marketing Raw Data'!$C:$O,7,0)),"")</f>
        <v/>
      </c>
      <c r="P899" s="55" t="str">
        <f>IFERROR(IF(OR($B899="",$B899="(blank)"),"",VLOOKUP($B899,'Email Marketing Raw Data'!$C:$O,8,0)),"")</f>
        <v/>
      </c>
      <c r="Q899" s="62" t="str">
        <f>IFERROR(IF(OR($B899="",$B899="(blank)"),"",VLOOKUP($B899,'Email Marketing Raw Data'!$C:$O,9,0)),"")</f>
        <v/>
      </c>
    </row>
    <row r="900" spans="4:17" ht="12.75" customHeight="1" x14ac:dyDescent="0.2">
      <c r="D900" s="58" t="str">
        <f>IFERROR(IF(F900&lt;&gt;"pending","",IF(OR($B900="",$B900="(blank)"),"",VLOOKUP($B900,'Email Marketing Raw Data'!$C:$O,10,0))),"")</f>
        <v/>
      </c>
      <c r="E900" s="59" t="str">
        <f>IFERROR(IF(F900&lt;&gt;"pending","",IF(OR($B900="",$B900="(blank)"),"",VLOOKUP($B900,'Email Marketing Raw Data'!$C:$O,11,0))),"")</f>
        <v/>
      </c>
      <c r="F900" s="54" t="str">
        <f>IFERROR(IF(OR($B900="",$B900="(blank)"),"",VLOOKUP($B900,'Email Marketing Raw Data'!$C:$O,13,0)),"")</f>
        <v/>
      </c>
      <c r="G900" s="55" t="str">
        <f>IFERROR(IF(OR($B900="",$B900="(blank)"),"",VLOOKUP($B900,'Email Marketing Raw Data'!$C:$O,4,0)),"")</f>
        <v/>
      </c>
      <c r="H900" s="55" t="str">
        <f>IFERROR(IF(OR($B900="",$B900="(blank)"),"",VLOOKUP($B900,'Email Marketing Raw Data'!$C:$O,5,0)),"")</f>
        <v/>
      </c>
      <c r="I900" s="55" t="str">
        <f>IFERROR(IF($G900="","",VLOOKUP('Dashboard And Emails Automate'!$G900,Database!$H:$N,3,0)),"")</f>
        <v/>
      </c>
      <c r="J900" s="55" t="str">
        <f>IFERROR(IF($G900="","",VLOOKUP('Dashboard And Emails Automate'!$G900,Database!$H:$N,4,0)),"")</f>
        <v/>
      </c>
      <c r="K900" s="55" t="str">
        <f>IFERROR(IF($G900="","",VLOOKUP('Dashboard And Emails Automate'!$G900,Database!$H:$N,5,0)),"")</f>
        <v/>
      </c>
      <c r="L900" s="55" t="str">
        <f>IFERROR(IF($G900="","",VLOOKUP('Dashboard And Emails Automate'!$G900,Database!$H:$N,6,0)),"")</f>
        <v/>
      </c>
      <c r="M900" s="55" t="str">
        <f>IFERROR(IF($G900="","",VLOOKUP('Dashboard And Emails Automate'!$G900,Database!$H:$N,7,0)),"")</f>
        <v/>
      </c>
      <c r="N900" s="55" t="str">
        <f>IFERROR(IF(OR($B900="",$B900="(blank)"),"",VLOOKUP($B900,'Email Marketing Raw Data'!$C:$O,6,0)),"")</f>
        <v/>
      </c>
      <c r="O900" s="55" t="str">
        <f>IFERROR(IF(OR($B900="",$B900="(blank)"),"",VLOOKUP($B900,'Email Marketing Raw Data'!$C:$O,7,0)),"")</f>
        <v/>
      </c>
      <c r="P900" s="55" t="str">
        <f>IFERROR(IF(OR($B900="",$B900="(blank)"),"",VLOOKUP($B900,'Email Marketing Raw Data'!$C:$O,8,0)),"")</f>
        <v/>
      </c>
      <c r="Q900" s="62" t="str">
        <f>IFERROR(IF(OR($B900="",$B900="(blank)"),"",VLOOKUP($B900,'Email Marketing Raw Data'!$C:$O,9,0)),"")</f>
        <v/>
      </c>
    </row>
    <row r="901" spans="4:17" ht="12.75" customHeight="1" x14ac:dyDescent="0.2">
      <c r="D901" s="58" t="str">
        <f>IFERROR(IF(F901&lt;&gt;"pending","",IF(OR($B901="",$B901="(blank)"),"",VLOOKUP($B901,'Email Marketing Raw Data'!$C:$O,10,0))),"")</f>
        <v/>
      </c>
      <c r="E901" s="59" t="str">
        <f>IFERROR(IF(F901&lt;&gt;"pending","",IF(OR($B901="",$B901="(blank)"),"",VLOOKUP($B901,'Email Marketing Raw Data'!$C:$O,11,0))),"")</f>
        <v/>
      </c>
      <c r="F901" s="54" t="str">
        <f>IFERROR(IF(OR($B901="",$B901="(blank)"),"",VLOOKUP($B901,'Email Marketing Raw Data'!$C:$O,13,0)),"")</f>
        <v/>
      </c>
      <c r="G901" s="55" t="str">
        <f>IFERROR(IF(OR($B901="",$B901="(blank)"),"",VLOOKUP($B901,'Email Marketing Raw Data'!$C:$O,4,0)),"")</f>
        <v/>
      </c>
      <c r="H901" s="55" t="str">
        <f>IFERROR(IF(OR($B901="",$B901="(blank)"),"",VLOOKUP($B901,'Email Marketing Raw Data'!$C:$O,5,0)),"")</f>
        <v/>
      </c>
      <c r="I901" s="55" t="str">
        <f>IFERROR(IF($G901="","",VLOOKUP('Dashboard And Emails Automate'!$G901,Database!$H:$N,3,0)),"")</f>
        <v/>
      </c>
      <c r="J901" s="55" t="str">
        <f>IFERROR(IF($G901="","",VLOOKUP('Dashboard And Emails Automate'!$G901,Database!$H:$N,4,0)),"")</f>
        <v/>
      </c>
      <c r="K901" s="55" t="str">
        <f>IFERROR(IF($G901="","",VLOOKUP('Dashboard And Emails Automate'!$G901,Database!$H:$N,5,0)),"")</f>
        <v/>
      </c>
      <c r="L901" s="55" t="str">
        <f>IFERROR(IF($G901="","",VLOOKUP('Dashboard And Emails Automate'!$G901,Database!$H:$N,6,0)),"")</f>
        <v/>
      </c>
      <c r="M901" s="55" t="str">
        <f>IFERROR(IF($G901="","",VLOOKUP('Dashboard And Emails Automate'!$G901,Database!$H:$N,7,0)),"")</f>
        <v/>
      </c>
      <c r="N901" s="55" t="str">
        <f>IFERROR(IF(OR($B901="",$B901="(blank)"),"",VLOOKUP($B901,'Email Marketing Raw Data'!$C:$O,6,0)),"")</f>
        <v/>
      </c>
      <c r="O901" s="55" t="str">
        <f>IFERROR(IF(OR($B901="",$B901="(blank)"),"",VLOOKUP($B901,'Email Marketing Raw Data'!$C:$O,7,0)),"")</f>
        <v/>
      </c>
      <c r="P901" s="55" t="str">
        <f>IFERROR(IF(OR($B901="",$B901="(blank)"),"",VLOOKUP($B901,'Email Marketing Raw Data'!$C:$O,8,0)),"")</f>
        <v/>
      </c>
      <c r="Q901" s="62" t="str">
        <f>IFERROR(IF(OR($B901="",$B901="(blank)"),"",VLOOKUP($B901,'Email Marketing Raw Data'!$C:$O,9,0)),"")</f>
        <v/>
      </c>
    </row>
    <row r="902" spans="4:17" ht="12.75" customHeight="1" x14ac:dyDescent="0.2">
      <c r="D902" s="58" t="str">
        <f>IFERROR(IF(F902&lt;&gt;"pending","",IF(OR($B902="",$B902="(blank)"),"",VLOOKUP($B902,'Email Marketing Raw Data'!$C:$O,10,0))),"")</f>
        <v/>
      </c>
      <c r="E902" s="59" t="str">
        <f>IFERROR(IF(F902&lt;&gt;"pending","",IF(OR($B902="",$B902="(blank)"),"",VLOOKUP($B902,'Email Marketing Raw Data'!$C:$O,11,0))),"")</f>
        <v/>
      </c>
      <c r="F902" s="54" t="str">
        <f>IFERROR(IF(OR($B902="",$B902="(blank)"),"",VLOOKUP($B902,'Email Marketing Raw Data'!$C:$O,13,0)),"")</f>
        <v/>
      </c>
      <c r="G902" s="55" t="str">
        <f>IFERROR(IF(OR($B902="",$B902="(blank)"),"",VLOOKUP($B902,'Email Marketing Raw Data'!$C:$O,4,0)),"")</f>
        <v/>
      </c>
      <c r="H902" s="55" t="str">
        <f>IFERROR(IF(OR($B902="",$B902="(blank)"),"",VLOOKUP($B902,'Email Marketing Raw Data'!$C:$O,5,0)),"")</f>
        <v/>
      </c>
      <c r="I902" s="55" t="str">
        <f>IFERROR(IF($G902="","",VLOOKUP('Dashboard And Emails Automate'!$G902,Database!$H:$N,3,0)),"")</f>
        <v/>
      </c>
      <c r="J902" s="55" t="str">
        <f>IFERROR(IF($G902="","",VLOOKUP('Dashboard And Emails Automate'!$G902,Database!$H:$N,4,0)),"")</f>
        <v/>
      </c>
      <c r="K902" s="55" t="str">
        <f>IFERROR(IF($G902="","",VLOOKUP('Dashboard And Emails Automate'!$G902,Database!$H:$N,5,0)),"")</f>
        <v/>
      </c>
      <c r="L902" s="55" t="str">
        <f>IFERROR(IF($G902="","",VLOOKUP('Dashboard And Emails Automate'!$G902,Database!$H:$N,6,0)),"")</f>
        <v/>
      </c>
      <c r="M902" s="55" t="str">
        <f>IFERROR(IF($G902="","",VLOOKUP('Dashboard And Emails Automate'!$G902,Database!$H:$N,7,0)),"")</f>
        <v/>
      </c>
      <c r="N902" s="55" t="str">
        <f>IFERROR(IF(OR($B902="",$B902="(blank)"),"",VLOOKUP($B902,'Email Marketing Raw Data'!$C:$O,6,0)),"")</f>
        <v/>
      </c>
      <c r="O902" s="55" t="str">
        <f>IFERROR(IF(OR($B902="",$B902="(blank)"),"",VLOOKUP($B902,'Email Marketing Raw Data'!$C:$O,7,0)),"")</f>
        <v/>
      </c>
      <c r="P902" s="55" t="str">
        <f>IFERROR(IF(OR($B902="",$B902="(blank)"),"",VLOOKUP($B902,'Email Marketing Raw Data'!$C:$O,8,0)),"")</f>
        <v/>
      </c>
      <c r="Q902" s="62" t="str">
        <f>IFERROR(IF(OR($B902="",$B902="(blank)"),"",VLOOKUP($B902,'Email Marketing Raw Data'!$C:$O,9,0)),"")</f>
        <v/>
      </c>
    </row>
    <row r="903" spans="4:17" ht="12.75" customHeight="1" x14ac:dyDescent="0.2">
      <c r="D903" s="58" t="str">
        <f>IFERROR(IF(F903&lt;&gt;"pending","",IF(OR($B903="",$B903="(blank)"),"",VLOOKUP($B903,'Email Marketing Raw Data'!$C:$O,10,0))),"")</f>
        <v/>
      </c>
      <c r="E903" s="59" t="str">
        <f>IFERROR(IF(F903&lt;&gt;"pending","",IF(OR($B903="",$B903="(blank)"),"",VLOOKUP($B903,'Email Marketing Raw Data'!$C:$O,11,0))),"")</f>
        <v/>
      </c>
      <c r="F903" s="54" t="str">
        <f>IFERROR(IF(OR($B903="",$B903="(blank)"),"",VLOOKUP($B903,'Email Marketing Raw Data'!$C:$O,13,0)),"")</f>
        <v/>
      </c>
      <c r="G903" s="55" t="str">
        <f>IFERROR(IF(OR($B903="",$B903="(blank)"),"",VLOOKUP($B903,'Email Marketing Raw Data'!$C:$O,4,0)),"")</f>
        <v/>
      </c>
      <c r="H903" s="55" t="str">
        <f>IFERROR(IF(OR($B903="",$B903="(blank)"),"",VLOOKUP($B903,'Email Marketing Raw Data'!$C:$O,5,0)),"")</f>
        <v/>
      </c>
      <c r="I903" s="55" t="str">
        <f>IFERROR(IF($G903="","",VLOOKUP('Dashboard And Emails Automate'!$G903,Database!$H:$N,3,0)),"")</f>
        <v/>
      </c>
      <c r="J903" s="55" t="str">
        <f>IFERROR(IF($G903="","",VLOOKUP('Dashboard And Emails Automate'!$G903,Database!$H:$N,4,0)),"")</f>
        <v/>
      </c>
      <c r="K903" s="55" t="str">
        <f>IFERROR(IF($G903="","",VLOOKUP('Dashboard And Emails Automate'!$G903,Database!$H:$N,5,0)),"")</f>
        <v/>
      </c>
      <c r="L903" s="55" t="str">
        <f>IFERROR(IF($G903="","",VLOOKUP('Dashboard And Emails Automate'!$G903,Database!$H:$N,6,0)),"")</f>
        <v/>
      </c>
      <c r="M903" s="55" t="str">
        <f>IFERROR(IF($G903="","",VLOOKUP('Dashboard And Emails Automate'!$G903,Database!$H:$N,7,0)),"")</f>
        <v/>
      </c>
      <c r="N903" s="55" t="str">
        <f>IFERROR(IF(OR($B903="",$B903="(blank)"),"",VLOOKUP($B903,'Email Marketing Raw Data'!$C:$O,6,0)),"")</f>
        <v/>
      </c>
      <c r="O903" s="55" t="str">
        <f>IFERROR(IF(OR($B903="",$B903="(blank)"),"",VLOOKUP($B903,'Email Marketing Raw Data'!$C:$O,7,0)),"")</f>
        <v/>
      </c>
      <c r="P903" s="55" t="str">
        <f>IFERROR(IF(OR($B903="",$B903="(blank)"),"",VLOOKUP($B903,'Email Marketing Raw Data'!$C:$O,8,0)),"")</f>
        <v/>
      </c>
      <c r="Q903" s="62" t="str">
        <f>IFERROR(IF(OR($B903="",$B903="(blank)"),"",VLOOKUP($B903,'Email Marketing Raw Data'!$C:$O,9,0)),"")</f>
        <v/>
      </c>
    </row>
    <row r="904" spans="4:17" ht="12.75" customHeight="1" x14ac:dyDescent="0.2">
      <c r="D904" s="58" t="str">
        <f>IFERROR(IF(F904&lt;&gt;"pending","",IF(OR($B904="",$B904="(blank)"),"",VLOOKUP($B904,'Email Marketing Raw Data'!$C:$O,10,0))),"")</f>
        <v/>
      </c>
      <c r="E904" s="59" t="str">
        <f>IFERROR(IF(F904&lt;&gt;"pending","",IF(OR($B904="",$B904="(blank)"),"",VLOOKUP($B904,'Email Marketing Raw Data'!$C:$O,11,0))),"")</f>
        <v/>
      </c>
      <c r="F904" s="54" t="str">
        <f>IFERROR(IF(OR($B904="",$B904="(blank)"),"",VLOOKUP($B904,'Email Marketing Raw Data'!$C:$O,13,0)),"")</f>
        <v/>
      </c>
      <c r="G904" s="55" t="str">
        <f>IFERROR(IF(OR($B904="",$B904="(blank)"),"",VLOOKUP($B904,'Email Marketing Raw Data'!$C:$O,4,0)),"")</f>
        <v/>
      </c>
      <c r="H904" s="55" t="str">
        <f>IFERROR(IF(OR($B904="",$B904="(blank)"),"",VLOOKUP($B904,'Email Marketing Raw Data'!$C:$O,5,0)),"")</f>
        <v/>
      </c>
      <c r="I904" s="55" t="str">
        <f>IFERROR(IF($G904="","",VLOOKUP('Dashboard And Emails Automate'!$G904,Database!$H:$N,3,0)),"")</f>
        <v/>
      </c>
      <c r="J904" s="55" t="str">
        <f>IFERROR(IF($G904="","",VLOOKUP('Dashboard And Emails Automate'!$G904,Database!$H:$N,4,0)),"")</f>
        <v/>
      </c>
      <c r="K904" s="55" t="str">
        <f>IFERROR(IF($G904="","",VLOOKUP('Dashboard And Emails Automate'!$G904,Database!$H:$N,5,0)),"")</f>
        <v/>
      </c>
      <c r="L904" s="55" t="str">
        <f>IFERROR(IF($G904="","",VLOOKUP('Dashboard And Emails Automate'!$G904,Database!$H:$N,6,0)),"")</f>
        <v/>
      </c>
      <c r="M904" s="55" t="str">
        <f>IFERROR(IF($G904="","",VLOOKUP('Dashboard And Emails Automate'!$G904,Database!$H:$N,7,0)),"")</f>
        <v/>
      </c>
      <c r="N904" s="55" t="str">
        <f>IFERROR(IF(OR($B904="",$B904="(blank)"),"",VLOOKUP($B904,'Email Marketing Raw Data'!$C:$O,6,0)),"")</f>
        <v/>
      </c>
      <c r="O904" s="55" t="str">
        <f>IFERROR(IF(OR($B904="",$B904="(blank)"),"",VLOOKUP($B904,'Email Marketing Raw Data'!$C:$O,7,0)),"")</f>
        <v/>
      </c>
      <c r="P904" s="55" t="str">
        <f>IFERROR(IF(OR($B904="",$B904="(blank)"),"",VLOOKUP($B904,'Email Marketing Raw Data'!$C:$O,8,0)),"")</f>
        <v/>
      </c>
      <c r="Q904" s="62" t="str">
        <f>IFERROR(IF(OR($B904="",$B904="(blank)"),"",VLOOKUP($B904,'Email Marketing Raw Data'!$C:$O,9,0)),"")</f>
        <v/>
      </c>
    </row>
    <row r="905" spans="4:17" ht="12.75" customHeight="1" x14ac:dyDescent="0.2">
      <c r="D905" s="58" t="str">
        <f>IFERROR(IF(F905&lt;&gt;"pending","",IF(OR($B905="",$B905="(blank)"),"",VLOOKUP($B905,'Email Marketing Raw Data'!$C:$O,10,0))),"")</f>
        <v/>
      </c>
      <c r="E905" s="59" t="str">
        <f>IFERROR(IF(F905&lt;&gt;"pending","",IF(OR($B905="",$B905="(blank)"),"",VLOOKUP($B905,'Email Marketing Raw Data'!$C:$O,11,0))),"")</f>
        <v/>
      </c>
      <c r="F905" s="54" t="str">
        <f>IFERROR(IF(OR($B905="",$B905="(blank)"),"",VLOOKUP($B905,'Email Marketing Raw Data'!$C:$O,13,0)),"")</f>
        <v/>
      </c>
      <c r="G905" s="55" t="str">
        <f>IFERROR(IF(OR($B905="",$B905="(blank)"),"",VLOOKUP($B905,'Email Marketing Raw Data'!$C:$O,4,0)),"")</f>
        <v/>
      </c>
      <c r="H905" s="55" t="str">
        <f>IFERROR(IF(OR($B905="",$B905="(blank)"),"",VLOOKUP($B905,'Email Marketing Raw Data'!$C:$O,5,0)),"")</f>
        <v/>
      </c>
      <c r="I905" s="55" t="str">
        <f>IFERROR(IF($G905="","",VLOOKUP('Dashboard And Emails Automate'!$G905,Database!$H:$N,3,0)),"")</f>
        <v/>
      </c>
      <c r="J905" s="55" t="str">
        <f>IFERROR(IF($G905="","",VLOOKUP('Dashboard And Emails Automate'!$G905,Database!$H:$N,4,0)),"")</f>
        <v/>
      </c>
      <c r="K905" s="55" t="str">
        <f>IFERROR(IF($G905="","",VLOOKUP('Dashboard And Emails Automate'!$G905,Database!$H:$N,5,0)),"")</f>
        <v/>
      </c>
      <c r="L905" s="55" t="str">
        <f>IFERROR(IF($G905="","",VLOOKUP('Dashboard And Emails Automate'!$G905,Database!$H:$N,6,0)),"")</f>
        <v/>
      </c>
      <c r="M905" s="55" t="str">
        <f>IFERROR(IF($G905="","",VLOOKUP('Dashboard And Emails Automate'!$G905,Database!$H:$N,7,0)),"")</f>
        <v/>
      </c>
      <c r="N905" s="55" t="str">
        <f>IFERROR(IF(OR($B905="",$B905="(blank)"),"",VLOOKUP($B905,'Email Marketing Raw Data'!$C:$O,6,0)),"")</f>
        <v/>
      </c>
      <c r="O905" s="55" t="str">
        <f>IFERROR(IF(OR($B905="",$B905="(blank)"),"",VLOOKUP($B905,'Email Marketing Raw Data'!$C:$O,7,0)),"")</f>
        <v/>
      </c>
      <c r="P905" s="55" t="str">
        <f>IFERROR(IF(OR($B905="",$B905="(blank)"),"",VLOOKUP($B905,'Email Marketing Raw Data'!$C:$O,8,0)),"")</f>
        <v/>
      </c>
      <c r="Q905" s="62" t="str">
        <f>IFERROR(IF(OR($B905="",$B905="(blank)"),"",VLOOKUP($B905,'Email Marketing Raw Data'!$C:$O,9,0)),"")</f>
        <v/>
      </c>
    </row>
    <row r="906" spans="4:17" ht="12.75" customHeight="1" x14ac:dyDescent="0.2">
      <c r="D906" s="58" t="str">
        <f>IFERROR(IF(F906&lt;&gt;"pending","",IF(OR($B906="",$B906="(blank)"),"",VLOOKUP($B906,'Email Marketing Raw Data'!$C:$O,10,0))),"")</f>
        <v/>
      </c>
      <c r="E906" s="59" t="str">
        <f>IFERROR(IF(F906&lt;&gt;"pending","",IF(OR($B906="",$B906="(blank)"),"",VLOOKUP($B906,'Email Marketing Raw Data'!$C:$O,11,0))),"")</f>
        <v/>
      </c>
      <c r="F906" s="54" t="str">
        <f>IFERROR(IF(OR($B906="",$B906="(blank)"),"",VLOOKUP($B906,'Email Marketing Raw Data'!$C:$O,13,0)),"")</f>
        <v/>
      </c>
      <c r="G906" s="55" t="str">
        <f>IFERROR(IF(OR($B906="",$B906="(blank)"),"",VLOOKUP($B906,'Email Marketing Raw Data'!$C:$O,4,0)),"")</f>
        <v/>
      </c>
      <c r="H906" s="55" t="str">
        <f>IFERROR(IF(OR($B906="",$B906="(blank)"),"",VLOOKUP($B906,'Email Marketing Raw Data'!$C:$O,5,0)),"")</f>
        <v/>
      </c>
      <c r="I906" s="55" t="str">
        <f>IFERROR(IF($G906="","",VLOOKUP('Dashboard And Emails Automate'!$G906,Database!$H:$N,3,0)),"")</f>
        <v/>
      </c>
      <c r="J906" s="55" t="str">
        <f>IFERROR(IF($G906="","",VLOOKUP('Dashboard And Emails Automate'!$G906,Database!$H:$N,4,0)),"")</f>
        <v/>
      </c>
      <c r="K906" s="55" t="str">
        <f>IFERROR(IF($G906="","",VLOOKUP('Dashboard And Emails Automate'!$G906,Database!$H:$N,5,0)),"")</f>
        <v/>
      </c>
      <c r="L906" s="55" t="str">
        <f>IFERROR(IF($G906="","",VLOOKUP('Dashboard And Emails Automate'!$G906,Database!$H:$N,6,0)),"")</f>
        <v/>
      </c>
      <c r="M906" s="55" t="str">
        <f>IFERROR(IF($G906="","",VLOOKUP('Dashboard And Emails Automate'!$G906,Database!$H:$N,7,0)),"")</f>
        <v/>
      </c>
      <c r="N906" s="55" t="str">
        <f>IFERROR(IF(OR($B906="",$B906="(blank)"),"",VLOOKUP($B906,'Email Marketing Raw Data'!$C:$O,6,0)),"")</f>
        <v/>
      </c>
      <c r="O906" s="55" t="str">
        <f>IFERROR(IF(OR($B906="",$B906="(blank)"),"",VLOOKUP($B906,'Email Marketing Raw Data'!$C:$O,7,0)),"")</f>
        <v/>
      </c>
      <c r="P906" s="55" t="str">
        <f>IFERROR(IF(OR($B906="",$B906="(blank)"),"",VLOOKUP($B906,'Email Marketing Raw Data'!$C:$O,8,0)),"")</f>
        <v/>
      </c>
      <c r="Q906" s="62" t="str">
        <f>IFERROR(IF(OR($B906="",$B906="(blank)"),"",VLOOKUP($B906,'Email Marketing Raw Data'!$C:$O,9,0)),"")</f>
        <v/>
      </c>
    </row>
    <row r="907" spans="4:17" ht="12.75" customHeight="1" x14ac:dyDescent="0.2">
      <c r="D907" s="58" t="str">
        <f>IFERROR(IF(F907&lt;&gt;"pending","",IF(OR($B907="",$B907="(blank)"),"",VLOOKUP($B907,'Email Marketing Raw Data'!$C:$O,10,0))),"")</f>
        <v/>
      </c>
      <c r="E907" s="59" t="str">
        <f>IFERROR(IF(F907&lt;&gt;"pending","",IF(OR($B907="",$B907="(blank)"),"",VLOOKUP($B907,'Email Marketing Raw Data'!$C:$O,11,0))),"")</f>
        <v/>
      </c>
      <c r="F907" s="54" t="str">
        <f>IFERROR(IF(OR($B907="",$B907="(blank)"),"",VLOOKUP($B907,'Email Marketing Raw Data'!$C:$O,13,0)),"")</f>
        <v/>
      </c>
      <c r="G907" s="55" t="str">
        <f>IFERROR(IF(OR($B907="",$B907="(blank)"),"",VLOOKUP($B907,'Email Marketing Raw Data'!$C:$O,4,0)),"")</f>
        <v/>
      </c>
      <c r="H907" s="55" t="str">
        <f>IFERROR(IF(OR($B907="",$B907="(blank)"),"",VLOOKUP($B907,'Email Marketing Raw Data'!$C:$O,5,0)),"")</f>
        <v/>
      </c>
      <c r="I907" s="55" t="str">
        <f>IFERROR(IF($G907="","",VLOOKUP('Dashboard And Emails Automate'!$G907,Database!$H:$N,3,0)),"")</f>
        <v/>
      </c>
      <c r="J907" s="55" t="str">
        <f>IFERROR(IF($G907="","",VLOOKUP('Dashboard And Emails Automate'!$G907,Database!$H:$N,4,0)),"")</f>
        <v/>
      </c>
      <c r="K907" s="55" t="str">
        <f>IFERROR(IF($G907="","",VLOOKUP('Dashboard And Emails Automate'!$G907,Database!$H:$N,5,0)),"")</f>
        <v/>
      </c>
      <c r="L907" s="55" t="str">
        <f>IFERROR(IF($G907="","",VLOOKUP('Dashboard And Emails Automate'!$G907,Database!$H:$N,6,0)),"")</f>
        <v/>
      </c>
      <c r="M907" s="55" t="str">
        <f>IFERROR(IF($G907="","",VLOOKUP('Dashboard And Emails Automate'!$G907,Database!$H:$N,7,0)),"")</f>
        <v/>
      </c>
      <c r="N907" s="55" t="str">
        <f>IFERROR(IF(OR($B907="",$B907="(blank)"),"",VLOOKUP($B907,'Email Marketing Raw Data'!$C:$O,6,0)),"")</f>
        <v/>
      </c>
      <c r="O907" s="55" t="str">
        <f>IFERROR(IF(OR($B907="",$B907="(blank)"),"",VLOOKUP($B907,'Email Marketing Raw Data'!$C:$O,7,0)),"")</f>
        <v/>
      </c>
      <c r="P907" s="55" t="str">
        <f>IFERROR(IF(OR($B907="",$B907="(blank)"),"",VLOOKUP($B907,'Email Marketing Raw Data'!$C:$O,8,0)),"")</f>
        <v/>
      </c>
      <c r="Q907" s="62" t="str">
        <f>IFERROR(IF(OR($B907="",$B907="(blank)"),"",VLOOKUP($B907,'Email Marketing Raw Data'!$C:$O,9,0)),"")</f>
        <v/>
      </c>
    </row>
    <row r="908" spans="4:17" ht="12.75" customHeight="1" x14ac:dyDescent="0.2">
      <c r="D908" s="58" t="str">
        <f>IFERROR(IF(F908&lt;&gt;"pending","",IF(OR($B908="",$B908="(blank)"),"",VLOOKUP($B908,'Email Marketing Raw Data'!$C:$O,10,0))),"")</f>
        <v/>
      </c>
      <c r="E908" s="59" t="str">
        <f>IFERROR(IF(F908&lt;&gt;"pending","",IF(OR($B908="",$B908="(blank)"),"",VLOOKUP($B908,'Email Marketing Raw Data'!$C:$O,11,0))),"")</f>
        <v/>
      </c>
      <c r="F908" s="54" t="str">
        <f>IFERROR(IF(OR($B908="",$B908="(blank)"),"",VLOOKUP($B908,'Email Marketing Raw Data'!$C:$O,13,0)),"")</f>
        <v/>
      </c>
      <c r="G908" s="55" t="str">
        <f>IFERROR(IF(OR($B908="",$B908="(blank)"),"",VLOOKUP($B908,'Email Marketing Raw Data'!$C:$O,4,0)),"")</f>
        <v/>
      </c>
      <c r="H908" s="55" t="str">
        <f>IFERROR(IF(OR($B908="",$B908="(blank)"),"",VLOOKUP($B908,'Email Marketing Raw Data'!$C:$O,5,0)),"")</f>
        <v/>
      </c>
      <c r="I908" s="55" t="str">
        <f>IFERROR(IF($G908="","",VLOOKUP('Dashboard And Emails Automate'!$G908,Database!$H:$N,3,0)),"")</f>
        <v/>
      </c>
      <c r="J908" s="55" t="str">
        <f>IFERROR(IF($G908="","",VLOOKUP('Dashboard And Emails Automate'!$G908,Database!$H:$N,4,0)),"")</f>
        <v/>
      </c>
      <c r="K908" s="55" t="str">
        <f>IFERROR(IF($G908="","",VLOOKUP('Dashboard And Emails Automate'!$G908,Database!$H:$N,5,0)),"")</f>
        <v/>
      </c>
      <c r="L908" s="55" t="str">
        <f>IFERROR(IF($G908="","",VLOOKUP('Dashboard And Emails Automate'!$G908,Database!$H:$N,6,0)),"")</f>
        <v/>
      </c>
      <c r="M908" s="55" t="str">
        <f>IFERROR(IF($G908="","",VLOOKUP('Dashboard And Emails Automate'!$G908,Database!$H:$N,7,0)),"")</f>
        <v/>
      </c>
      <c r="N908" s="55" t="str">
        <f>IFERROR(IF(OR($B908="",$B908="(blank)"),"",VLOOKUP($B908,'Email Marketing Raw Data'!$C:$O,6,0)),"")</f>
        <v/>
      </c>
      <c r="O908" s="55" t="str">
        <f>IFERROR(IF(OR($B908="",$B908="(blank)"),"",VLOOKUP($B908,'Email Marketing Raw Data'!$C:$O,7,0)),"")</f>
        <v/>
      </c>
      <c r="P908" s="55" t="str">
        <f>IFERROR(IF(OR($B908="",$B908="(blank)"),"",VLOOKUP($B908,'Email Marketing Raw Data'!$C:$O,8,0)),"")</f>
        <v/>
      </c>
      <c r="Q908" s="62" t="str">
        <f>IFERROR(IF(OR($B908="",$B908="(blank)"),"",VLOOKUP($B908,'Email Marketing Raw Data'!$C:$O,9,0)),"")</f>
        <v/>
      </c>
    </row>
    <row r="909" spans="4:17" ht="12.75" customHeight="1" x14ac:dyDescent="0.2">
      <c r="D909" s="58" t="str">
        <f>IFERROR(IF(F909&lt;&gt;"pending","",IF(OR($B909="",$B909="(blank)"),"",VLOOKUP($B909,'Email Marketing Raw Data'!$C:$O,10,0))),"")</f>
        <v/>
      </c>
      <c r="E909" s="59" t="str">
        <f>IFERROR(IF(F909&lt;&gt;"pending","",IF(OR($B909="",$B909="(blank)"),"",VLOOKUP($B909,'Email Marketing Raw Data'!$C:$O,11,0))),"")</f>
        <v/>
      </c>
      <c r="F909" s="54" t="str">
        <f>IFERROR(IF(OR($B909="",$B909="(blank)"),"",VLOOKUP($B909,'Email Marketing Raw Data'!$C:$O,13,0)),"")</f>
        <v/>
      </c>
      <c r="G909" s="55" t="str">
        <f>IFERROR(IF(OR($B909="",$B909="(blank)"),"",VLOOKUP($B909,'Email Marketing Raw Data'!$C:$O,4,0)),"")</f>
        <v/>
      </c>
      <c r="H909" s="55" t="str">
        <f>IFERROR(IF(OR($B909="",$B909="(blank)"),"",VLOOKUP($B909,'Email Marketing Raw Data'!$C:$O,5,0)),"")</f>
        <v/>
      </c>
      <c r="I909" s="55" t="str">
        <f>IFERROR(IF($G909="","",VLOOKUP('Dashboard And Emails Automate'!$G909,Database!$H:$N,3,0)),"")</f>
        <v/>
      </c>
      <c r="J909" s="55" t="str">
        <f>IFERROR(IF($G909="","",VLOOKUP('Dashboard And Emails Automate'!$G909,Database!$H:$N,4,0)),"")</f>
        <v/>
      </c>
      <c r="K909" s="55" t="str">
        <f>IFERROR(IF($G909="","",VLOOKUP('Dashboard And Emails Automate'!$G909,Database!$H:$N,5,0)),"")</f>
        <v/>
      </c>
      <c r="L909" s="55" t="str">
        <f>IFERROR(IF($G909="","",VLOOKUP('Dashboard And Emails Automate'!$G909,Database!$H:$N,6,0)),"")</f>
        <v/>
      </c>
      <c r="M909" s="55" t="str">
        <f>IFERROR(IF($G909="","",VLOOKUP('Dashboard And Emails Automate'!$G909,Database!$H:$N,7,0)),"")</f>
        <v/>
      </c>
      <c r="N909" s="55" t="str">
        <f>IFERROR(IF(OR($B909="",$B909="(blank)"),"",VLOOKUP($B909,'Email Marketing Raw Data'!$C:$O,6,0)),"")</f>
        <v/>
      </c>
      <c r="O909" s="55" t="str">
        <f>IFERROR(IF(OR($B909="",$B909="(blank)"),"",VLOOKUP($B909,'Email Marketing Raw Data'!$C:$O,7,0)),"")</f>
        <v/>
      </c>
      <c r="P909" s="55" t="str">
        <f>IFERROR(IF(OR($B909="",$B909="(blank)"),"",VLOOKUP($B909,'Email Marketing Raw Data'!$C:$O,8,0)),"")</f>
        <v/>
      </c>
      <c r="Q909" s="62" t="str">
        <f>IFERROR(IF(OR($B909="",$B909="(blank)"),"",VLOOKUP($B909,'Email Marketing Raw Data'!$C:$O,9,0)),"")</f>
        <v/>
      </c>
    </row>
    <row r="910" spans="4:17" ht="12.75" customHeight="1" x14ac:dyDescent="0.2">
      <c r="D910" s="58" t="str">
        <f>IFERROR(IF(F910&lt;&gt;"pending","",IF(OR($B910="",$B910="(blank)"),"",VLOOKUP($B910,'Email Marketing Raw Data'!$C:$O,10,0))),"")</f>
        <v/>
      </c>
      <c r="E910" s="59" t="str">
        <f>IFERROR(IF(F910&lt;&gt;"pending","",IF(OR($B910="",$B910="(blank)"),"",VLOOKUP($B910,'Email Marketing Raw Data'!$C:$O,11,0))),"")</f>
        <v/>
      </c>
      <c r="F910" s="54" t="str">
        <f>IFERROR(IF(OR($B910="",$B910="(blank)"),"",VLOOKUP($B910,'Email Marketing Raw Data'!$C:$O,13,0)),"")</f>
        <v/>
      </c>
      <c r="G910" s="55" t="str">
        <f>IFERROR(IF(OR($B910="",$B910="(blank)"),"",VLOOKUP($B910,'Email Marketing Raw Data'!$C:$O,4,0)),"")</f>
        <v/>
      </c>
      <c r="H910" s="55" t="str">
        <f>IFERROR(IF(OR($B910="",$B910="(blank)"),"",VLOOKUP($B910,'Email Marketing Raw Data'!$C:$O,5,0)),"")</f>
        <v/>
      </c>
      <c r="I910" s="55" t="str">
        <f>IFERROR(IF($G910="","",VLOOKUP('Dashboard And Emails Automate'!$G910,Database!$H:$N,3,0)),"")</f>
        <v/>
      </c>
      <c r="J910" s="55" t="str">
        <f>IFERROR(IF($G910="","",VLOOKUP('Dashboard And Emails Automate'!$G910,Database!$H:$N,4,0)),"")</f>
        <v/>
      </c>
      <c r="K910" s="55" t="str">
        <f>IFERROR(IF($G910="","",VLOOKUP('Dashboard And Emails Automate'!$G910,Database!$H:$N,5,0)),"")</f>
        <v/>
      </c>
      <c r="L910" s="55" t="str">
        <f>IFERROR(IF($G910="","",VLOOKUP('Dashboard And Emails Automate'!$G910,Database!$H:$N,6,0)),"")</f>
        <v/>
      </c>
      <c r="M910" s="55" t="str">
        <f>IFERROR(IF($G910="","",VLOOKUP('Dashboard And Emails Automate'!$G910,Database!$H:$N,7,0)),"")</f>
        <v/>
      </c>
      <c r="N910" s="55" t="str">
        <f>IFERROR(IF(OR($B910="",$B910="(blank)"),"",VLOOKUP($B910,'Email Marketing Raw Data'!$C:$O,6,0)),"")</f>
        <v/>
      </c>
      <c r="O910" s="55" t="str">
        <f>IFERROR(IF(OR($B910="",$B910="(blank)"),"",VLOOKUP($B910,'Email Marketing Raw Data'!$C:$O,7,0)),"")</f>
        <v/>
      </c>
      <c r="P910" s="55" t="str">
        <f>IFERROR(IF(OR($B910="",$B910="(blank)"),"",VLOOKUP($B910,'Email Marketing Raw Data'!$C:$O,8,0)),"")</f>
        <v/>
      </c>
      <c r="Q910" s="62" t="str">
        <f>IFERROR(IF(OR($B910="",$B910="(blank)"),"",VLOOKUP($B910,'Email Marketing Raw Data'!$C:$O,9,0)),"")</f>
        <v/>
      </c>
    </row>
    <row r="911" spans="4:17" ht="12.75" customHeight="1" x14ac:dyDescent="0.2">
      <c r="D911" s="58" t="str">
        <f>IFERROR(IF(F911&lt;&gt;"pending","",IF(OR($B911="",$B911="(blank)"),"",VLOOKUP($B911,'Email Marketing Raw Data'!$C:$O,10,0))),"")</f>
        <v/>
      </c>
      <c r="E911" s="59" t="str">
        <f>IFERROR(IF(F911&lt;&gt;"pending","",IF(OR($B911="",$B911="(blank)"),"",VLOOKUP($B911,'Email Marketing Raw Data'!$C:$O,11,0))),"")</f>
        <v/>
      </c>
      <c r="F911" s="54" t="str">
        <f>IFERROR(IF(OR($B911="",$B911="(blank)"),"",VLOOKUP($B911,'Email Marketing Raw Data'!$C:$O,13,0)),"")</f>
        <v/>
      </c>
      <c r="G911" s="55" t="str">
        <f>IFERROR(IF(OR($B911="",$B911="(blank)"),"",VLOOKUP($B911,'Email Marketing Raw Data'!$C:$O,4,0)),"")</f>
        <v/>
      </c>
      <c r="H911" s="55" t="str">
        <f>IFERROR(IF(OR($B911="",$B911="(blank)"),"",VLOOKUP($B911,'Email Marketing Raw Data'!$C:$O,5,0)),"")</f>
        <v/>
      </c>
      <c r="I911" s="55" t="str">
        <f>IFERROR(IF($G911="","",VLOOKUP('Dashboard And Emails Automate'!$G911,Database!$H:$N,3,0)),"")</f>
        <v/>
      </c>
      <c r="J911" s="55" t="str">
        <f>IFERROR(IF($G911="","",VLOOKUP('Dashboard And Emails Automate'!$G911,Database!$H:$N,4,0)),"")</f>
        <v/>
      </c>
      <c r="K911" s="55" t="str">
        <f>IFERROR(IF($G911="","",VLOOKUP('Dashboard And Emails Automate'!$G911,Database!$H:$N,5,0)),"")</f>
        <v/>
      </c>
      <c r="L911" s="55" t="str">
        <f>IFERROR(IF($G911="","",VLOOKUP('Dashboard And Emails Automate'!$G911,Database!$H:$N,6,0)),"")</f>
        <v/>
      </c>
      <c r="M911" s="55" t="str">
        <f>IFERROR(IF($G911="","",VLOOKUP('Dashboard And Emails Automate'!$G911,Database!$H:$N,7,0)),"")</f>
        <v/>
      </c>
      <c r="N911" s="55" t="str">
        <f>IFERROR(IF(OR($B911="",$B911="(blank)"),"",VLOOKUP($B911,'Email Marketing Raw Data'!$C:$O,6,0)),"")</f>
        <v/>
      </c>
      <c r="O911" s="55" t="str">
        <f>IFERROR(IF(OR($B911="",$B911="(blank)"),"",VLOOKUP($B911,'Email Marketing Raw Data'!$C:$O,7,0)),"")</f>
        <v/>
      </c>
      <c r="P911" s="55" t="str">
        <f>IFERROR(IF(OR($B911="",$B911="(blank)"),"",VLOOKUP($B911,'Email Marketing Raw Data'!$C:$O,8,0)),"")</f>
        <v/>
      </c>
      <c r="Q911" s="62" t="str">
        <f>IFERROR(IF(OR($B911="",$B911="(blank)"),"",VLOOKUP($B911,'Email Marketing Raw Data'!$C:$O,9,0)),"")</f>
        <v/>
      </c>
    </row>
    <row r="912" spans="4:17" ht="12.75" customHeight="1" x14ac:dyDescent="0.2">
      <c r="D912" s="58" t="str">
        <f>IFERROR(IF(F912&lt;&gt;"pending","",IF(OR($B912="",$B912="(blank)"),"",VLOOKUP($B912,'Email Marketing Raw Data'!$C:$O,10,0))),"")</f>
        <v/>
      </c>
      <c r="E912" s="59" t="str">
        <f>IFERROR(IF(F912&lt;&gt;"pending","",IF(OR($B912="",$B912="(blank)"),"",VLOOKUP($B912,'Email Marketing Raw Data'!$C:$O,11,0))),"")</f>
        <v/>
      </c>
      <c r="F912" s="54" t="str">
        <f>IFERROR(IF(OR($B912="",$B912="(blank)"),"",VLOOKUP($B912,'Email Marketing Raw Data'!$C:$O,13,0)),"")</f>
        <v/>
      </c>
      <c r="G912" s="55" t="str">
        <f>IFERROR(IF(OR($B912="",$B912="(blank)"),"",VLOOKUP($B912,'Email Marketing Raw Data'!$C:$O,4,0)),"")</f>
        <v/>
      </c>
      <c r="H912" s="55" t="str">
        <f>IFERROR(IF(OR($B912="",$B912="(blank)"),"",VLOOKUP($B912,'Email Marketing Raw Data'!$C:$O,5,0)),"")</f>
        <v/>
      </c>
      <c r="I912" s="55" t="str">
        <f>IFERROR(IF($G912="","",VLOOKUP('Dashboard And Emails Automate'!$G912,Database!$H:$N,3,0)),"")</f>
        <v/>
      </c>
      <c r="J912" s="55" t="str">
        <f>IFERROR(IF($G912="","",VLOOKUP('Dashboard And Emails Automate'!$G912,Database!$H:$N,4,0)),"")</f>
        <v/>
      </c>
      <c r="K912" s="55" t="str">
        <f>IFERROR(IF($G912="","",VLOOKUP('Dashboard And Emails Automate'!$G912,Database!$H:$N,5,0)),"")</f>
        <v/>
      </c>
      <c r="L912" s="55" t="str">
        <f>IFERROR(IF($G912="","",VLOOKUP('Dashboard And Emails Automate'!$G912,Database!$H:$N,6,0)),"")</f>
        <v/>
      </c>
      <c r="M912" s="55" t="str">
        <f>IFERROR(IF($G912="","",VLOOKUP('Dashboard And Emails Automate'!$G912,Database!$H:$N,7,0)),"")</f>
        <v/>
      </c>
      <c r="N912" s="55" t="str">
        <f>IFERROR(IF(OR($B912="",$B912="(blank)"),"",VLOOKUP($B912,'Email Marketing Raw Data'!$C:$O,6,0)),"")</f>
        <v/>
      </c>
      <c r="O912" s="55" t="str">
        <f>IFERROR(IF(OR($B912="",$B912="(blank)"),"",VLOOKUP($B912,'Email Marketing Raw Data'!$C:$O,7,0)),"")</f>
        <v/>
      </c>
      <c r="P912" s="55" t="str">
        <f>IFERROR(IF(OR($B912="",$B912="(blank)"),"",VLOOKUP($B912,'Email Marketing Raw Data'!$C:$O,8,0)),"")</f>
        <v/>
      </c>
      <c r="Q912" s="62" t="str">
        <f>IFERROR(IF(OR($B912="",$B912="(blank)"),"",VLOOKUP($B912,'Email Marketing Raw Data'!$C:$O,9,0)),"")</f>
        <v/>
      </c>
    </row>
    <row r="913" spans="4:17" ht="12.75" customHeight="1" x14ac:dyDescent="0.2">
      <c r="D913" s="58" t="str">
        <f>IFERROR(IF(F913&lt;&gt;"pending","",IF(OR($B913="",$B913="(blank)"),"",VLOOKUP($B913,'Email Marketing Raw Data'!$C:$O,10,0))),"")</f>
        <v/>
      </c>
      <c r="E913" s="59" t="str">
        <f>IFERROR(IF(F913&lt;&gt;"pending","",IF(OR($B913="",$B913="(blank)"),"",VLOOKUP($B913,'Email Marketing Raw Data'!$C:$O,11,0))),"")</f>
        <v/>
      </c>
      <c r="F913" s="54" t="str">
        <f>IFERROR(IF(OR($B913="",$B913="(blank)"),"",VLOOKUP($B913,'Email Marketing Raw Data'!$C:$O,13,0)),"")</f>
        <v/>
      </c>
      <c r="G913" s="55" t="str">
        <f>IFERROR(IF(OR($B913="",$B913="(blank)"),"",VLOOKUP($B913,'Email Marketing Raw Data'!$C:$O,4,0)),"")</f>
        <v/>
      </c>
      <c r="H913" s="55" t="str">
        <f>IFERROR(IF(OR($B913="",$B913="(blank)"),"",VLOOKUP($B913,'Email Marketing Raw Data'!$C:$O,5,0)),"")</f>
        <v/>
      </c>
      <c r="I913" s="55" t="str">
        <f>IFERROR(IF($G913="","",VLOOKUP('Dashboard And Emails Automate'!$G913,Database!$H:$N,3,0)),"")</f>
        <v/>
      </c>
      <c r="J913" s="55" t="str">
        <f>IFERROR(IF($G913="","",VLOOKUP('Dashboard And Emails Automate'!$G913,Database!$H:$N,4,0)),"")</f>
        <v/>
      </c>
      <c r="K913" s="55" t="str">
        <f>IFERROR(IF($G913="","",VLOOKUP('Dashboard And Emails Automate'!$G913,Database!$H:$N,5,0)),"")</f>
        <v/>
      </c>
      <c r="L913" s="55" t="str">
        <f>IFERROR(IF($G913="","",VLOOKUP('Dashboard And Emails Automate'!$G913,Database!$H:$N,6,0)),"")</f>
        <v/>
      </c>
      <c r="M913" s="55" t="str">
        <f>IFERROR(IF($G913="","",VLOOKUP('Dashboard And Emails Automate'!$G913,Database!$H:$N,7,0)),"")</f>
        <v/>
      </c>
      <c r="N913" s="55" t="str">
        <f>IFERROR(IF(OR($B913="",$B913="(blank)"),"",VLOOKUP($B913,'Email Marketing Raw Data'!$C:$O,6,0)),"")</f>
        <v/>
      </c>
      <c r="O913" s="55" t="str">
        <f>IFERROR(IF(OR($B913="",$B913="(blank)"),"",VLOOKUP($B913,'Email Marketing Raw Data'!$C:$O,7,0)),"")</f>
        <v/>
      </c>
      <c r="P913" s="55" t="str">
        <f>IFERROR(IF(OR($B913="",$B913="(blank)"),"",VLOOKUP($B913,'Email Marketing Raw Data'!$C:$O,8,0)),"")</f>
        <v/>
      </c>
      <c r="Q913" s="62" t="str">
        <f>IFERROR(IF(OR($B913="",$B913="(blank)"),"",VLOOKUP($B913,'Email Marketing Raw Data'!$C:$O,9,0)),"")</f>
        <v/>
      </c>
    </row>
    <row r="914" spans="4:17" ht="12.75" customHeight="1" x14ac:dyDescent="0.2">
      <c r="D914" s="58" t="str">
        <f>IFERROR(IF(F914&lt;&gt;"pending","",IF(OR($B914="",$B914="(blank)"),"",VLOOKUP($B914,'Email Marketing Raw Data'!$C:$O,10,0))),"")</f>
        <v/>
      </c>
      <c r="E914" s="59" t="str">
        <f>IFERROR(IF(F914&lt;&gt;"pending","",IF(OR($B914="",$B914="(blank)"),"",VLOOKUP($B914,'Email Marketing Raw Data'!$C:$O,11,0))),"")</f>
        <v/>
      </c>
      <c r="F914" s="54" t="str">
        <f>IFERROR(IF(OR($B914="",$B914="(blank)"),"",VLOOKUP($B914,'Email Marketing Raw Data'!$C:$O,13,0)),"")</f>
        <v/>
      </c>
      <c r="G914" s="55" t="str">
        <f>IFERROR(IF(OR($B914="",$B914="(blank)"),"",VLOOKUP($B914,'Email Marketing Raw Data'!$C:$O,4,0)),"")</f>
        <v/>
      </c>
      <c r="H914" s="55" t="str">
        <f>IFERROR(IF(OR($B914="",$B914="(blank)"),"",VLOOKUP($B914,'Email Marketing Raw Data'!$C:$O,5,0)),"")</f>
        <v/>
      </c>
      <c r="I914" s="55" t="str">
        <f>IFERROR(IF($G914="","",VLOOKUP('Dashboard And Emails Automate'!$G914,Database!$H:$N,3,0)),"")</f>
        <v/>
      </c>
      <c r="J914" s="55" t="str">
        <f>IFERROR(IF($G914="","",VLOOKUP('Dashboard And Emails Automate'!$G914,Database!$H:$N,4,0)),"")</f>
        <v/>
      </c>
      <c r="K914" s="55" t="str">
        <f>IFERROR(IF($G914="","",VLOOKUP('Dashboard And Emails Automate'!$G914,Database!$H:$N,5,0)),"")</f>
        <v/>
      </c>
      <c r="L914" s="55" t="str">
        <f>IFERROR(IF($G914="","",VLOOKUP('Dashboard And Emails Automate'!$G914,Database!$H:$N,6,0)),"")</f>
        <v/>
      </c>
      <c r="M914" s="55" t="str">
        <f>IFERROR(IF($G914="","",VLOOKUP('Dashboard And Emails Automate'!$G914,Database!$H:$N,7,0)),"")</f>
        <v/>
      </c>
      <c r="N914" s="55" t="str">
        <f>IFERROR(IF(OR($B914="",$B914="(blank)"),"",VLOOKUP($B914,'Email Marketing Raw Data'!$C:$O,6,0)),"")</f>
        <v/>
      </c>
      <c r="O914" s="55" t="str">
        <f>IFERROR(IF(OR($B914="",$B914="(blank)"),"",VLOOKUP($B914,'Email Marketing Raw Data'!$C:$O,7,0)),"")</f>
        <v/>
      </c>
      <c r="P914" s="55" t="str">
        <f>IFERROR(IF(OR($B914="",$B914="(blank)"),"",VLOOKUP($B914,'Email Marketing Raw Data'!$C:$O,8,0)),"")</f>
        <v/>
      </c>
      <c r="Q914" s="62" t="str">
        <f>IFERROR(IF(OR($B914="",$B914="(blank)"),"",VLOOKUP($B914,'Email Marketing Raw Data'!$C:$O,9,0)),"")</f>
        <v/>
      </c>
    </row>
    <row r="915" spans="4:17" ht="12.75" customHeight="1" x14ac:dyDescent="0.2">
      <c r="D915" s="58" t="str">
        <f>IFERROR(IF(F915&lt;&gt;"pending","",IF(OR($B915="",$B915="(blank)"),"",VLOOKUP($B915,'Email Marketing Raw Data'!$C:$O,10,0))),"")</f>
        <v/>
      </c>
      <c r="E915" s="59" t="str">
        <f>IFERROR(IF(F915&lt;&gt;"pending","",IF(OR($B915="",$B915="(blank)"),"",VLOOKUP($B915,'Email Marketing Raw Data'!$C:$O,11,0))),"")</f>
        <v/>
      </c>
      <c r="F915" s="54" t="str">
        <f>IFERROR(IF(OR($B915="",$B915="(blank)"),"",VLOOKUP($B915,'Email Marketing Raw Data'!$C:$O,13,0)),"")</f>
        <v/>
      </c>
      <c r="G915" s="55" t="str">
        <f>IFERROR(IF(OR($B915="",$B915="(blank)"),"",VLOOKUP($B915,'Email Marketing Raw Data'!$C:$O,4,0)),"")</f>
        <v/>
      </c>
      <c r="H915" s="55" t="str">
        <f>IFERROR(IF(OR($B915="",$B915="(blank)"),"",VLOOKUP($B915,'Email Marketing Raw Data'!$C:$O,5,0)),"")</f>
        <v/>
      </c>
      <c r="I915" s="55" t="str">
        <f>IFERROR(IF($G915="","",VLOOKUP('Dashboard And Emails Automate'!$G915,Database!$H:$N,3,0)),"")</f>
        <v/>
      </c>
      <c r="J915" s="55" t="str">
        <f>IFERROR(IF($G915="","",VLOOKUP('Dashboard And Emails Automate'!$G915,Database!$H:$N,4,0)),"")</f>
        <v/>
      </c>
      <c r="K915" s="55" t="str">
        <f>IFERROR(IF($G915="","",VLOOKUP('Dashboard And Emails Automate'!$G915,Database!$H:$N,5,0)),"")</f>
        <v/>
      </c>
      <c r="L915" s="55" t="str">
        <f>IFERROR(IF($G915="","",VLOOKUP('Dashboard And Emails Automate'!$G915,Database!$H:$N,6,0)),"")</f>
        <v/>
      </c>
      <c r="M915" s="55" t="str">
        <f>IFERROR(IF($G915="","",VLOOKUP('Dashboard And Emails Automate'!$G915,Database!$H:$N,7,0)),"")</f>
        <v/>
      </c>
      <c r="N915" s="55" t="str">
        <f>IFERROR(IF(OR($B915="",$B915="(blank)"),"",VLOOKUP($B915,'Email Marketing Raw Data'!$C:$O,6,0)),"")</f>
        <v/>
      </c>
      <c r="O915" s="55" t="str">
        <f>IFERROR(IF(OR($B915="",$B915="(blank)"),"",VLOOKUP($B915,'Email Marketing Raw Data'!$C:$O,7,0)),"")</f>
        <v/>
      </c>
      <c r="P915" s="55" t="str">
        <f>IFERROR(IF(OR($B915="",$B915="(blank)"),"",VLOOKUP($B915,'Email Marketing Raw Data'!$C:$O,8,0)),"")</f>
        <v/>
      </c>
      <c r="Q915" s="62" t="str">
        <f>IFERROR(IF(OR($B915="",$B915="(blank)"),"",VLOOKUP($B915,'Email Marketing Raw Data'!$C:$O,9,0)),"")</f>
        <v/>
      </c>
    </row>
    <row r="916" spans="4:17" ht="12.75" customHeight="1" x14ac:dyDescent="0.2">
      <c r="D916" s="58" t="str">
        <f>IFERROR(IF(F916&lt;&gt;"pending","",IF(OR($B916="",$B916="(blank)"),"",VLOOKUP($B916,'Email Marketing Raw Data'!$C:$O,10,0))),"")</f>
        <v/>
      </c>
      <c r="E916" s="59" t="str">
        <f>IFERROR(IF(F916&lt;&gt;"pending","",IF(OR($B916="",$B916="(blank)"),"",VLOOKUP($B916,'Email Marketing Raw Data'!$C:$O,11,0))),"")</f>
        <v/>
      </c>
      <c r="F916" s="54" t="str">
        <f>IFERROR(IF(OR($B916="",$B916="(blank)"),"",VLOOKUP($B916,'Email Marketing Raw Data'!$C:$O,13,0)),"")</f>
        <v/>
      </c>
      <c r="G916" s="55" t="str">
        <f>IFERROR(IF(OR($B916="",$B916="(blank)"),"",VLOOKUP($B916,'Email Marketing Raw Data'!$C:$O,4,0)),"")</f>
        <v/>
      </c>
      <c r="H916" s="55" t="str">
        <f>IFERROR(IF(OR($B916="",$B916="(blank)"),"",VLOOKUP($B916,'Email Marketing Raw Data'!$C:$O,5,0)),"")</f>
        <v/>
      </c>
      <c r="I916" s="55" t="str">
        <f>IFERROR(IF($G916="","",VLOOKUP('Dashboard And Emails Automate'!$G916,Database!$H:$N,3,0)),"")</f>
        <v/>
      </c>
      <c r="J916" s="55" t="str">
        <f>IFERROR(IF($G916="","",VLOOKUP('Dashboard And Emails Automate'!$G916,Database!$H:$N,4,0)),"")</f>
        <v/>
      </c>
      <c r="K916" s="55" t="str">
        <f>IFERROR(IF($G916="","",VLOOKUP('Dashboard And Emails Automate'!$G916,Database!$H:$N,5,0)),"")</f>
        <v/>
      </c>
      <c r="L916" s="55" t="str">
        <f>IFERROR(IF($G916="","",VLOOKUP('Dashboard And Emails Automate'!$G916,Database!$H:$N,6,0)),"")</f>
        <v/>
      </c>
      <c r="M916" s="55" t="str">
        <f>IFERROR(IF($G916="","",VLOOKUP('Dashboard And Emails Automate'!$G916,Database!$H:$N,7,0)),"")</f>
        <v/>
      </c>
      <c r="N916" s="55" t="str">
        <f>IFERROR(IF(OR($B916="",$B916="(blank)"),"",VLOOKUP($B916,'Email Marketing Raw Data'!$C:$O,6,0)),"")</f>
        <v/>
      </c>
      <c r="O916" s="55" t="str">
        <f>IFERROR(IF(OR($B916="",$B916="(blank)"),"",VLOOKUP($B916,'Email Marketing Raw Data'!$C:$O,7,0)),"")</f>
        <v/>
      </c>
      <c r="P916" s="55" t="str">
        <f>IFERROR(IF(OR($B916="",$B916="(blank)"),"",VLOOKUP($B916,'Email Marketing Raw Data'!$C:$O,8,0)),"")</f>
        <v/>
      </c>
      <c r="Q916" s="62" t="str">
        <f>IFERROR(IF(OR($B916="",$B916="(blank)"),"",VLOOKUP($B916,'Email Marketing Raw Data'!$C:$O,9,0)),"")</f>
        <v/>
      </c>
    </row>
    <row r="917" spans="4:17" ht="12.75" customHeight="1" x14ac:dyDescent="0.2">
      <c r="D917" s="58" t="str">
        <f>IFERROR(IF(F917&lt;&gt;"pending","",IF(OR($B917="",$B917="(blank)"),"",VLOOKUP($B917,'Email Marketing Raw Data'!$C:$O,10,0))),"")</f>
        <v/>
      </c>
      <c r="E917" s="59" t="str">
        <f>IFERROR(IF(F917&lt;&gt;"pending","",IF(OR($B917="",$B917="(blank)"),"",VLOOKUP($B917,'Email Marketing Raw Data'!$C:$O,11,0))),"")</f>
        <v/>
      </c>
      <c r="F917" s="54" t="str">
        <f>IFERROR(IF(OR($B917="",$B917="(blank)"),"",VLOOKUP($B917,'Email Marketing Raw Data'!$C:$O,13,0)),"")</f>
        <v/>
      </c>
      <c r="G917" s="55" t="str">
        <f>IFERROR(IF(OR($B917="",$B917="(blank)"),"",VLOOKUP($B917,'Email Marketing Raw Data'!$C:$O,4,0)),"")</f>
        <v/>
      </c>
      <c r="H917" s="55" t="str">
        <f>IFERROR(IF(OR($B917="",$B917="(blank)"),"",VLOOKUP($B917,'Email Marketing Raw Data'!$C:$O,5,0)),"")</f>
        <v/>
      </c>
      <c r="I917" s="55" t="str">
        <f>IFERROR(IF($G917="","",VLOOKUP('Dashboard And Emails Automate'!$G917,Database!$H:$N,3,0)),"")</f>
        <v/>
      </c>
      <c r="J917" s="55" t="str">
        <f>IFERROR(IF($G917="","",VLOOKUP('Dashboard And Emails Automate'!$G917,Database!$H:$N,4,0)),"")</f>
        <v/>
      </c>
      <c r="K917" s="55" t="str">
        <f>IFERROR(IF($G917="","",VLOOKUP('Dashboard And Emails Automate'!$G917,Database!$H:$N,5,0)),"")</f>
        <v/>
      </c>
      <c r="L917" s="55" t="str">
        <f>IFERROR(IF($G917="","",VLOOKUP('Dashboard And Emails Automate'!$G917,Database!$H:$N,6,0)),"")</f>
        <v/>
      </c>
      <c r="M917" s="55" t="str">
        <f>IFERROR(IF($G917="","",VLOOKUP('Dashboard And Emails Automate'!$G917,Database!$H:$N,7,0)),"")</f>
        <v/>
      </c>
      <c r="N917" s="55" t="str">
        <f>IFERROR(IF(OR($B917="",$B917="(blank)"),"",VLOOKUP($B917,'Email Marketing Raw Data'!$C:$O,6,0)),"")</f>
        <v/>
      </c>
      <c r="O917" s="55" t="str">
        <f>IFERROR(IF(OR($B917="",$B917="(blank)"),"",VLOOKUP($B917,'Email Marketing Raw Data'!$C:$O,7,0)),"")</f>
        <v/>
      </c>
      <c r="P917" s="55" t="str">
        <f>IFERROR(IF(OR($B917="",$B917="(blank)"),"",VLOOKUP($B917,'Email Marketing Raw Data'!$C:$O,8,0)),"")</f>
        <v/>
      </c>
      <c r="Q917" s="62" t="str">
        <f>IFERROR(IF(OR($B917="",$B917="(blank)"),"",VLOOKUP($B917,'Email Marketing Raw Data'!$C:$O,9,0)),"")</f>
        <v/>
      </c>
    </row>
    <row r="918" spans="4:17" ht="12.75" customHeight="1" x14ac:dyDescent="0.2">
      <c r="D918" s="58" t="str">
        <f>IFERROR(IF(F918&lt;&gt;"pending","",IF(OR($B918="",$B918="(blank)"),"",VLOOKUP($B918,'Email Marketing Raw Data'!$C:$O,10,0))),"")</f>
        <v/>
      </c>
      <c r="E918" s="59" t="str">
        <f>IFERROR(IF(F918&lt;&gt;"pending","",IF(OR($B918="",$B918="(blank)"),"",VLOOKUP($B918,'Email Marketing Raw Data'!$C:$O,11,0))),"")</f>
        <v/>
      </c>
      <c r="F918" s="54" t="str">
        <f>IFERROR(IF(OR($B918="",$B918="(blank)"),"",VLOOKUP($B918,'Email Marketing Raw Data'!$C:$O,13,0)),"")</f>
        <v/>
      </c>
      <c r="G918" s="55" t="str">
        <f>IFERROR(IF(OR($B918="",$B918="(blank)"),"",VLOOKUP($B918,'Email Marketing Raw Data'!$C:$O,4,0)),"")</f>
        <v/>
      </c>
      <c r="H918" s="55" t="str">
        <f>IFERROR(IF(OR($B918="",$B918="(blank)"),"",VLOOKUP($B918,'Email Marketing Raw Data'!$C:$O,5,0)),"")</f>
        <v/>
      </c>
      <c r="I918" s="55" t="str">
        <f>IFERROR(IF($G918="","",VLOOKUP('Dashboard And Emails Automate'!$G918,Database!$H:$N,3,0)),"")</f>
        <v/>
      </c>
      <c r="J918" s="55" t="str">
        <f>IFERROR(IF($G918="","",VLOOKUP('Dashboard And Emails Automate'!$G918,Database!$H:$N,4,0)),"")</f>
        <v/>
      </c>
      <c r="K918" s="55" t="str">
        <f>IFERROR(IF($G918="","",VLOOKUP('Dashboard And Emails Automate'!$G918,Database!$H:$N,5,0)),"")</f>
        <v/>
      </c>
      <c r="L918" s="55" t="str">
        <f>IFERROR(IF($G918="","",VLOOKUP('Dashboard And Emails Automate'!$G918,Database!$H:$N,6,0)),"")</f>
        <v/>
      </c>
      <c r="M918" s="55" t="str">
        <f>IFERROR(IF($G918="","",VLOOKUP('Dashboard And Emails Automate'!$G918,Database!$H:$N,7,0)),"")</f>
        <v/>
      </c>
      <c r="N918" s="55" t="str">
        <f>IFERROR(IF(OR($B918="",$B918="(blank)"),"",VLOOKUP($B918,'Email Marketing Raw Data'!$C:$O,6,0)),"")</f>
        <v/>
      </c>
      <c r="O918" s="55" t="str">
        <f>IFERROR(IF(OR($B918="",$B918="(blank)"),"",VLOOKUP($B918,'Email Marketing Raw Data'!$C:$O,7,0)),"")</f>
        <v/>
      </c>
      <c r="P918" s="55" t="str">
        <f>IFERROR(IF(OR($B918="",$B918="(blank)"),"",VLOOKUP($B918,'Email Marketing Raw Data'!$C:$O,8,0)),"")</f>
        <v/>
      </c>
      <c r="Q918" s="62" t="str">
        <f>IFERROR(IF(OR($B918="",$B918="(blank)"),"",VLOOKUP($B918,'Email Marketing Raw Data'!$C:$O,9,0)),"")</f>
        <v/>
      </c>
    </row>
    <row r="919" spans="4:17" ht="12.75" customHeight="1" x14ac:dyDescent="0.2">
      <c r="D919" s="58" t="str">
        <f>IFERROR(IF(F919&lt;&gt;"pending","",IF(OR($B919="",$B919="(blank)"),"",VLOOKUP($B919,'Email Marketing Raw Data'!$C:$O,10,0))),"")</f>
        <v/>
      </c>
      <c r="E919" s="59" t="str">
        <f>IFERROR(IF(F919&lt;&gt;"pending","",IF(OR($B919="",$B919="(blank)"),"",VLOOKUP($B919,'Email Marketing Raw Data'!$C:$O,11,0))),"")</f>
        <v/>
      </c>
      <c r="F919" s="54" t="str">
        <f>IFERROR(IF(OR($B919="",$B919="(blank)"),"",VLOOKUP($B919,'Email Marketing Raw Data'!$C:$O,13,0)),"")</f>
        <v/>
      </c>
      <c r="G919" s="55" t="str">
        <f>IFERROR(IF(OR($B919="",$B919="(blank)"),"",VLOOKUP($B919,'Email Marketing Raw Data'!$C:$O,4,0)),"")</f>
        <v/>
      </c>
      <c r="H919" s="55" t="str">
        <f>IFERROR(IF(OR($B919="",$B919="(blank)"),"",VLOOKUP($B919,'Email Marketing Raw Data'!$C:$O,5,0)),"")</f>
        <v/>
      </c>
      <c r="I919" s="55" t="str">
        <f>IFERROR(IF($G919="","",VLOOKUP('Dashboard And Emails Automate'!$G919,Database!$H:$N,3,0)),"")</f>
        <v/>
      </c>
      <c r="J919" s="55" t="str">
        <f>IFERROR(IF($G919="","",VLOOKUP('Dashboard And Emails Automate'!$G919,Database!$H:$N,4,0)),"")</f>
        <v/>
      </c>
      <c r="K919" s="55" t="str">
        <f>IFERROR(IF($G919="","",VLOOKUP('Dashboard And Emails Automate'!$G919,Database!$H:$N,5,0)),"")</f>
        <v/>
      </c>
      <c r="L919" s="55" t="str">
        <f>IFERROR(IF($G919="","",VLOOKUP('Dashboard And Emails Automate'!$G919,Database!$H:$N,6,0)),"")</f>
        <v/>
      </c>
      <c r="M919" s="55" t="str">
        <f>IFERROR(IF($G919="","",VLOOKUP('Dashboard And Emails Automate'!$G919,Database!$H:$N,7,0)),"")</f>
        <v/>
      </c>
      <c r="N919" s="55" t="str">
        <f>IFERROR(IF(OR($B919="",$B919="(blank)"),"",VLOOKUP($B919,'Email Marketing Raw Data'!$C:$O,6,0)),"")</f>
        <v/>
      </c>
      <c r="O919" s="55" t="str">
        <f>IFERROR(IF(OR($B919="",$B919="(blank)"),"",VLOOKUP($B919,'Email Marketing Raw Data'!$C:$O,7,0)),"")</f>
        <v/>
      </c>
      <c r="P919" s="55" t="str">
        <f>IFERROR(IF(OR($B919="",$B919="(blank)"),"",VLOOKUP($B919,'Email Marketing Raw Data'!$C:$O,8,0)),"")</f>
        <v/>
      </c>
      <c r="Q919" s="62" t="str">
        <f>IFERROR(IF(OR($B919="",$B919="(blank)"),"",VLOOKUP($B919,'Email Marketing Raw Data'!$C:$O,9,0)),"")</f>
        <v/>
      </c>
    </row>
    <row r="920" spans="4:17" ht="12.75" customHeight="1" x14ac:dyDescent="0.2">
      <c r="D920" s="58" t="str">
        <f>IFERROR(IF(F920&lt;&gt;"pending","",IF(OR($B920="",$B920="(blank)"),"",VLOOKUP($B920,'Email Marketing Raw Data'!$C:$O,10,0))),"")</f>
        <v/>
      </c>
      <c r="E920" s="59" t="str">
        <f>IFERROR(IF(F920&lt;&gt;"pending","",IF(OR($B920="",$B920="(blank)"),"",VLOOKUP($B920,'Email Marketing Raw Data'!$C:$O,11,0))),"")</f>
        <v/>
      </c>
      <c r="F920" s="54" t="str">
        <f>IFERROR(IF(OR($B920="",$B920="(blank)"),"",VLOOKUP($B920,'Email Marketing Raw Data'!$C:$O,13,0)),"")</f>
        <v/>
      </c>
      <c r="G920" s="55" t="str">
        <f>IFERROR(IF(OR($B920="",$B920="(blank)"),"",VLOOKUP($B920,'Email Marketing Raw Data'!$C:$O,4,0)),"")</f>
        <v/>
      </c>
      <c r="H920" s="55" t="str">
        <f>IFERROR(IF(OR($B920="",$B920="(blank)"),"",VLOOKUP($B920,'Email Marketing Raw Data'!$C:$O,5,0)),"")</f>
        <v/>
      </c>
      <c r="I920" s="55" t="str">
        <f>IFERROR(IF($G920="","",VLOOKUP('Dashboard And Emails Automate'!$G920,Database!$H:$N,3,0)),"")</f>
        <v/>
      </c>
      <c r="J920" s="55" t="str">
        <f>IFERROR(IF($G920="","",VLOOKUP('Dashboard And Emails Automate'!$G920,Database!$H:$N,4,0)),"")</f>
        <v/>
      </c>
      <c r="K920" s="55" t="str">
        <f>IFERROR(IF($G920="","",VLOOKUP('Dashboard And Emails Automate'!$G920,Database!$H:$N,5,0)),"")</f>
        <v/>
      </c>
      <c r="L920" s="55" t="str">
        <f>IFERROR(IF($G920="","",VLOOKUP('Dashboard And Emails Automate'!$G920,Database!$H:$N,6,0)),"")</f>
        <v/>
      </c>
      <c r="M920" s="55" t="str">
        <f>IFERROR(IF($G920="","",VLOOKUP('Dashboard And Emails Automate'!$G920,Database!$H:$N,7,0)),"")</f>
        <v/>
      </c>
      <c r="N920" s="55" t="str">
        <f>IFERROR(IF(OR($B920="",$B920="(blank)"),"",VLOOKUP($B920,'Email Marketing Raw Data'!$C:$O,6,0)),"")</f>
        <v/>
      </c>
      <c r="O920" s="55" t="str">
        <f>IFERROR(IF(OR($B920="",$B920="(blank)"),"",VLOOKUP($B920,'Email Marketing Raw Data'!$C:$O,7,0)),"")</f>
        <v/>
      </c>
      <c r="P920" s="55" t="str">
        <f>IFERROR(IF(OR($B920="",$B920="(blank)"),"",VLOOKUP($B920,'Email Marketing Raw Data'!$C:$O,8,0)),"")</f>
        <v/>
      </c>
      <c r="Q920" s="62" t="str">
        <f>IFERROR(IF(OR($B920="",$B920="(blank)"),"",VLOOKUP($B920,'Email Marketing Raw Data'!$C:$O,9,0)),"")</f>
        <v/>
      </c>
    </row>
    <row r="921" spans="4:17" ht="12.75" customHeight="1" x14ac:dyDescent="0.2">
      <c r="D921" s="58" t="str">
        <f>IFERROR(IF(F921&lt;&gt;"pending","",IF(OR($B921="",$B921="(blank)"),"",VLOOKUP($B921,'Email Marketing Raw Data'!$C:$O,10,0))),"")</f>
        <v/>
      </c>
      <c r="E921" s="59" t="str">
        <f>IFERROR(IF(F921&lt;&gt;"pending","",IF(OR($B921="",$B921="(blank)"),"",VLOOKUP($B921,'Email Marketing Raw Data'!$C:$O,11,0))),"")</f>
        <v/>
      </c>
      <c r="F921" s="54" t="str">
        <f>IFERROR(IF(OR($B921="",$B921="(blank)"),"",VLOOKUP($B921,'Email Marketing Raw Data'!$C:$O,13,0)),"")</f>
        <v/>
      </c>
      <c r="G921" s="55" t="str">
        <f>IFERROR(IF(OR($B921="",$B921="(blank)"),"",VLOOKUP($B921,'Email Marketing Raw Data'!$C:$O,4,0)),"")</f>
        <v/>
      </c>
      <c r="H921" s="55" t="str">
        <f>IFERROR(IF(OR($B921="",$B921="(blank)"),"",VLOOKUP($B921,'Email Marketing Raw Data'!$C:$O,5,0)),"")</f>
        <v/>
      </c>
      <c r="I921" s="55" t="str">
        <f>IFERROR(IF($G921="","",VLOOKUP('Dashboard And Emails Automate'!$G921,Database!$H:$N,3,0)),"")</f>
        <v/>
      </c>
      <c r="J921" s="55" t="str">
        <f>IFERROR(IF($G921="","",VLOOKUP('Dashboard And Emails Automate'!$G921,Database!$H:$N,4,0)),"")</f>
        <v/>
      </c>
      <c r="K921" s="55" t="str">
        <f>IFERROR(IF($G921="","",VLOOKUP('Dashboard And Emails Automate'!$G921,Database!$H:$N,5,0)),"")</f>
        <v/>
      </c>
      <c r="L921" s="55" t="str">
        <f>IFERROR(IF($G921="","",VLOOKUP('Dashboard And Emails Automate'!$G921,Database!$H:$N,6,0)),"")</f>
        <v/>
      </c>
      <c r="M921" s="55" t="str">
        <f>IFERROR(IF($G921="","",VLOOKUP('Dashboard And Emails Automate'!$G921,Database!$H:$N,7,0)),"")</f>
        <v/>
      </c>
      <c r="N921" s="55" t="str">
        <f>IFERROR(IF(OR($B921="",$B921="(blank)"),"",VLOOKUP($B921,'Email Marketing Raw Data'!$C:$O,6,0)),"")</f>
        <v/>
      </c>
      <c r="O921" s="55" t="str">
        <f>IFERROR(IF(OR($B921="",$B921="(blank)"),"",VLOOKUP($B921,'Email Marketing Raw Data'!$C:$O,7,0)),"")</f>
        <v/>
      </c>
      <c r="P921" s="55" t="str">
        <f>IFERROR(IF(OR($B921="",$B921="(blank)"),"",VLOOKUP($B921,'Email Marketing Raw Data'!$C:$O,8,0)),"")</f>
        <v/>
      </c>
      <c r="Q921" s="62" t="str">
        <f>IFERROR(IF(OR($B921="",$B921="(blank)"),"",VLOOKUP($B921,'Email Marketing Raw Data'!$C:$O,9,0)),"")</f>
        <v/>
      </c>
    </row>
    <row r="922" spans="4:17" ht="12.75" customHeight="1" x14ac:dyDescent="0.2">
      <c r="D922" s="58" t="str">
        <f>IFERROR(IF(F922&lt;&gt;"pending","",IF(OR($B922="",$B922="(blank)"),"",VLOOKUP($B922,'Email Marketing Raw Data'!$C:$O,10,0))),"")</f>
        <v/>
      </c>
      <c r="E922" s="59" t="str">
        <f>IFERROR(IF(F922&lt;&gt;"pending","",IF(OR($B922="",$B922="(blank)"),"",VLOOKUP($B922,'Email Marketing Raw Data'!$C:$O,11,0))),"")</f>
        <v/>
      </c>
      <c r="F922" s="54" t="str">
        <f>IFERROR(IF(OR($B922="",$B922="(blank)"),"",VLOOKUP($B922,'Email Marketing Raw Data'!$C:$O,13,0)),"")</f>
        <v/>
      </c>
      <c r="G922" s="55" t="str">
        <f>IFERROR(IF(OR($B922="",$B922="(blank)"),"",VLOOKUP($B922,'Email Marketing Raw Data'!$C:$O,4,0)),"")</f>
        <v/>
      </c>
      <c r="H922" s="55" t="str">
        <f>IFERROR(IF(OR($B922="",$B922="(blank)"),"",VLOOKUP($B922,'Email Marketing Raw Data'!$C:$O,5,0)),"")</f>
        <v/>
      </c>
      <c r="I922" s="55" t="str">
        <f>IFERROR(IF($G922="","",VLOOKUP('Dashboard And Emails Automate'!$G922,Database!$H:$N,3,0)),"")</f>
        <v/>
      </c>
      <c r="J922" s="55" t="str">
        <f>IFERROR(IF($G922="","",VLOOKUP('Dashboard And Emails Automate'!$G922,Database!$H:$N,4,0)),"")</f>
        <v/>
      </c>
      <c r="K922" s="55" t="str">
        <f>IFERROR(IF($G922="","",VLOOKUP('Dashboard And Emails Automate'!$G922,Database!$H:$N,5,0)),"")</f>
        <v/>
      </c>
      <c r="L922" s="55" t="str">
        <f>IFERROR(IF($G922="","",VLOOKUP('Dashboard And Emails Automate'!$G922,Database!$H:$N,6,0)),"")</f>
        <v/>
      </c>
      <c r="M922" s="55" t="str">
        <f>IFERROR(IF($G922="","",VLOOKUP('Dashboard And Emails Automate'!$G922,Database!$H:$N,7,0)),"")</f>
        <v/>
      </c>
      <c r="N922" s="55" t="str">
        <f>IFERROR(IF(OR($B922="",$B922="(blank)"),"",VLOOKUP($B922,'Email Marketing Raw Data'!$C:$O,6,0)),"")</f>
        <v/>
      </c>
      <c r="O922" s="55" t="str">
        <f>IFERROR(IF(OR($B922="",$B922="(blank)"),"",VLOOKUP($B922,'Email Marketing Raw Data'!$C:$O,7,0)),"")</f>
        <v/>
      </c>
      <c r="P922" s="55" t="str">
        <f>IFERROR(IF(OR($B922="",$B922="(blank)"),"",VLOOKUP($B922,'Email Marketing Raw Data'!$C:$O,8,0)),"")</f>
        <v/>
      </c>
      <c r="Q922" s="62" t="str">
        <f>IFERROR(IF(OR($B922="",$B922="(blank)"),"",VLOOKUP($B922,'Email Marketing Raw Data'!$C:$O,9,0)),"")</f>
        <v/>
      </c>
    </row>
    <row r="923" spans="4:17" ht="12.75" customHeight="1" x14ac:dyDescent="0.2">
      <c r="D923" s="58" t="str">
        <f>IFERROR(IF(F923&lt;&gt;"pending","",IF(OR($B923="",$B923="(blank)"),"",VLOOKUP($B923,'Email Marketing Raw Data'!$C:$O,10,0))),"")</f>
        <v/>
      </c>
      <c r="E923" s="59" t="str">
        <f>IFERROR(IF(F923&lt;&gt;"pending","",IF(OR($B923="",$B923="(blank)"),"",VLOOKUP($B923,'Email Marketing Raw Data'!$C:$O,11,0))),"")</f>
        <v/>
      </c>
      <c r="F923" s="54" t="str">
        <f>IFERROR(IF(OR($B923="",$B923="(blank)"),"",VLOOKUP($B923,'Email Marketing Raw Data'!$C:$O,13,0)),"")</f>
        <v/>
      </c>
      <c r="G923" s="55" t="str">
        <f>IFERROR(IF(OR($B923="",$B923="(blank)"),"",VLOOKUP($B923,'Email Marketing Raw Data'!$C:$O,4,0)),"")</f>
        <v/>
      </c>
      <c r="H923" s="55" t="str">
        <f>IFERROR(IF(OR($B923="",$B923="(blank)"),"",VLOOKUP($B923,'Email Marketing Raw Data'!$C:$O,5,0)),"")</f>
        <v/>
      </c>
      <c r="I923" s="55" t="str">
        <f>IFERROR(IF($G923="","",VLOOKUP('Dashboard And Emails Automate'!$G923,Database!$H:$N,3,0)),"")</f>
        <v/>
      </c>
      <c r="J923" s="55" t="str">
        <f>IFERROR(IF($G923="","",VLOOKUP('Dashboard And Emails Automate'!$G923,Database!$H:$N,4,0)),"")</f>
        <v/>
      </c>
      <c r="K923" s="55" t="str">
        <f>IFERROR(IF($G923="","",VLOOKUP('Dashboard And Emails Automate'!$G923,Database!$H:$N,5,0)),"")</f>
        <v/>
      </c>
      <c r="L923" s="55" t="str">
        <f>IFERROR(IF($G923="","",VLOOKUP('Dashboard And Emails Automate'!$G923,Database!$H:$N,6,0)),"")</f>
        <v/>
      </c>
      <c r="M923" s="55" t="str">
        <f>IFERROR(IF($G923="","",VLOOKUP('Dashboard And Emails Automate'!$G923,Database!$H:$N,7,0)),"")</f>
        <v/>
      </c>
      <c r="N923" s="55" t="str">
        <f>IFERROR(IF(OR($B923="",$B923="(blank)"),"",VLOOKUP($B923,'Email Marketing Raw Data'!$C:$O,6,0)),"")</f>
        <v/>
      </c>
      <c r="O923" s="55" t="str">
        <f>IFERROR(IF(OR($B923="",$B923="(blank)"),"",VLOOKUP($B923,'Email Marketing Raw Data'!$C:$O,7,0)),"")</f>
        <v/>
      </c>
      <c r="P923" s="55" t="str">
        <f>IFERROR(IF(OR($B923="",$B923="(blank)"),"",VLOOKUP($B923,'Email Marketing Raw Data'!$C:$O,8,0)),"")</f>
        <v/>
      </c>
      <c r="Q923" s="62" t="str">
        <f>IFERROR(IF(OR($B923="",$B923="(blank)"),"",VLOOKUP($B923,'Email Marketing Raw Data'!$C:$O,9,0)),"")</f>
        <v/>
      </c>
    </row>
    <row r="924" spans="4:17" ht="12.75" customHeight="1" x14ac:dyDescent="0.2">
      <c r="D924" s="58" t="str">
        <f>IFERROR(IF(F924&lt;&gt;"pending","",IF(OR($B924="",$B924="(blank)"),"",VLOOKUP($B924,'Email Marketing Raw Data'!$C:$O,10,0))),"")</f>
        <v/>
      </c>
      <c r="E924" s="59" t="str">
        <f>IFERROR(IF(F924&lt;&gt;"pending","",IF(OR($B924="",$B924="(blank)"),"",VLOOKUP($B924,'Email Marketing Raw Data'!$C:$O,11,0))),"")</f>
        <v/>
      </c>
      <c r="F924" s="54" t="str">
        <f>IFERROR(IF(OR($B924="",$B924="(blank)"),"",VLOOKUP($B924,'Email Marketing Raw Data'!$C:$O,13,0)),"")</f>
        <v/>
      </c>
      <c r="G924" s="55" t="str">
        <f>IFERROR(IF(OR($B924="",$B924="(blank)"),"",VLOOKUP($B924,'Email Marketing Raw Data'!$C:$O,4,0)),"")</f>
        <v/>
      </c>
      <c r="H924" s="55" t="str">
        <f>IFERROR(IF(OR($B924="",$B924="(blank)"),"",VLOOKUP($B924,'Email Marketing Raw Data'!$C:$O,5,0)),"")</f>
        <v/>
      </c>
      <c r="I924" s="55" t="str">
        <f>IFERROR(IF($G924="","",VLOOKUP('Dashboard And Emails Automate'!$G924,Database!$H:$N,3,0)),"")</f>
        <v/>
      </c>
      <c r="J924" s="55" t="str">
        <f>IFERROR(IF($G924="","",VLOOKUP('Dashboard And Emails Automate'!$G924,Database!$H:$N,4,0)),"")</f>
        <v/>
      </c>
      <c r="K924" s="55" t="str">
        <f>IFERROR(IF($G924="","",VLOOKUP('Dashboard And Emails Automate'!$G924,Database!$H:$N,5,0)),"")</f>
        <v/>
      </c>
      <c r="L924" s="55" t="str">
        <f>IFERROR(IF($G924="","",VLOOKUP('Dashboard And Emails Automate'!$G924,Database!$H:$N,6,0)),"")</f>
        <v/>
      </c>
      <c r="M924" s="55" t="str">
        <f>IFERROR(IF($G924="","",VLOOKUP('Dashboard And Emails Automate'!$G924,Database!$H:$N,7,0)),"")</f>
        <v/>
      </c>
      <c r="N924" s="55" t="str">
        <f>IFERROR(IF(OR($B924="",$B924="(blank)"),"",VLOOKUP($B924,'Email Marketing Raw Data'!$C:$O,6,0)),"")</f>
        <v/>
      </c>
      <c r="O924" s="55" t="str">
        <f>IFERROR(IF(OR($B924="",$B924="(blank)"),"",VLOOKUP($B924,'Email Marketing Raw Data'!$C:$O,7,0)),"")</f>
        <v/>
      </c>
      <c r="P924" s="55" t="str">
        <f>IFERROR(IF(OR($B924="",$B924="(blank)"),"",VLOOKUP($B924,'Email Marketing Raw Data'!$C:$O,8,0)),"")</f>
        <v/>
      </c>
      <c r="Q924" s="62" t="str">
        <f>IFERROR(IF(OR($B924="",$B924="(blank)"),"",VLOOKUP($B924,'Email Marketing Raw Data'!$C:$O,9,0)),"")</f>
        <v/>
      </c>
    </row>
    <row r="925" spans="4:17" ht="12.75" customHeight="1" x14ac:dyDescent="0.2">
      <c r="D925" s="58" t="str">
        <f>IFERROR(IF(F925&lt;&gt;"pending","",IF(OR($B925="",$B925="(blank)"),"",VLOOKUP($B925,'Email Marketing Raw Data'!$C:$O,10,0))),"")</f>
        <v/>
      </c>
      <c r="E925" s="59" t="str">
        <f>IFERROR(IF(F925&lt;&gt;"pending","",IF(OR($B925="",$B925="(blank)"),"",VLOOKUP($B925,'Email Marketing Raw Data'!$C:$O,11,0))),"")</f>
        <v/>
      </c>
      <c r="F925" s="54" t="str">
        <f>IFERROR(IF(OR($B925="",$B925="(blank)"),"",VLOOKUP($B925,'Email Marketing Raw Data'!$C:$O,13,0)),"")</f>
        <v/>
      </c>
      <c r="G925" s="55" t="str">
        <f>IFERROR(IF(OR($B925="",$B925="(blank)"),"",VLOOKUP($B925,'Email Marketing Raw Data'!$C:$O,4,0)),"")</f>
        <v/>
      </c>
      <c r="H925" s="55" t="str">
        <f>IFERROR(IF(OR($B925="",$B925="(blank)"),"",VLOOKUP($B925,'Email Marketing Raw Data'!$C:$O,5,0)),"")</f>
        <v/>
      </c>
      <c r="I925" s="55" t="str">
        <f>IFERROR(IF($G925="","",VLOOKUP('Dashboard And Emails Automate'!$G925,Database!$H:$N,3,0)),"")</f>
        <v/>
      </c>
      <c r="J925" s="55" t="str">
        <f>IFERROR(IF($G925="","",VLOOKUP('Dashboard And Emails Automate'!$G925,Database!$H:$N,4,0)),"")</f>
        <v/>
      </c>
      <c r="K925" s="55" t="str">
        <f>IFERROR(IF($G925="","",VLOOKUP('Dashboard And Emails Automate'!$G925,Database!$H:$N,5,0)),"")</f>
        <v/>
      </c>
      <c r="L925" s="55" t="str">
        <f>IFERROR(IF($G925="","",VLOOKUP('Dashboard And Emails Automate'!$G925,Database!$H:$N,6,0)),"")</f>
        <v/>
      </c>
      <c r="M925" s="55" t="str">
        <f>IFERROR(IF($G925="","",VLOOKUP('Dashboard And Emails Automate'!$G925,Database!$H:$N,7,0)),"")</f>
        <v/>
      </c>
      <c r="N925" s="55" t="str">
        <f>IFERROR(IF(OR($B925="",$B925="(blank)"),"",VLOOKUP($B925,'Email Marketing Raw Data'!$C:$O,6,0)),"")</f>
        <v/>
      </c>
      <c r="O925" s="55" t="str">
        <f>IFERROR(IF(OR($B925="",$B925="(blank)"),"",VLOOKUP($B925,'Email Marketing Raw Data'!$C:$O,7,0)),"")</f>
        <v/>
      </c>
      <c r="P925" s="55" t="str">
        <f>IFERROR(IF(OR($B925="",$B925="(blank)"),"",VLOOKUP($B925,'Email Marketing Raw Data'!$C:$O,8,0)),"")</f>
        <v/>
      </c>
      <c r="Q925" s="62" t="str">
        <f>IFERROR(IF(OR($B925="",$B925="(blank)"),"",VLOOKUP($B925,'Email Marketing Raw Data'!$C:$O,9,0)),"")</f>
        <v/>
      </c>
    </row>
    <row r="926" spans="4:17" ht="12.75" customHeight="1" x14ac:dyDescent="0.2">
      <c r="D926" s="58" t="str">
        <f>IFERROR(IF(F926&lt;&gt;"pending","",IF(OR($B926="",$B926="(blank)"),"",VLOOKUP($B926,'Email Marketing Raw Data'!$C:$O,10,0))),"")</f>
        <v/>
      </c>
      <c r="E926" s="59" t="str">
        <f>IFERROR(IF(F926&lt;&gt;"pending","",IF(OR($B926="",$B926="(blank)"),"",VLOOKUP($B926,'Email Marketing Raw Data'!$C:$O,11,0))),"")</f>
        <v/>
      </c>
      <c r="F926" s="54" t="str">
        <f>IFERROR(IF(OR($B926="",$B926="(blank)"),"",VLOOKUP($B926,'Email Marketing Raw Data'!$C:$O,13,0)),"")</f>
        <v/>
      </c>
      <c r="G926" s="55" t="str">
        <f>IFERROR(IF(OR($B926="",$B926="(blank)"),"",VLOOKUP($B926,'Email Marketing Raw Data'!$C:$O,4,0)),"")</f>
        <v/>
      </c>
      <c r="H926" s="55" t="str">
        <f>IFERROR(IF(OR($B926="",$B926="(blank)"),"",VLOOKUP($B926,'Email Marketing Raw Data'!$C:$O,5,0)),"")</f>
        <v/>
      </c>
      <c r="I926" s="55" t="str">
        <f>IFERROR(IF($G926="","",VLOOKUP('Dashboard And Emails Automate'!$G926,Database!$H:$N,3,0)),"")</f>
        <v/>
      </c>
      <c r="J926" s="55" t="str">
        <f>IFERROR(IF($G926="","",VLOOKUP('Dashboard And Emails Automate'!$G926,Database!$H:$N,4,0)),"")</f>
        <v/>
      </c>
      <c r="K926" s="55" t="str">
        <f>IFERROR(IF($G926="","",VLOOKUP('Dashboard And Emails Automate'!$G926,Database!$H:$N,5,0)),"")</f>
        <v/>
      </c>
      <c r="L926" s="55" t="str">
        <f>IFERROR(IF($G926="","",VLOOKUP('Dashboard And Emails Automate'!$G926,Database!$H:$N,6,0)),"")</f>
        <v/>
      </c>
      <c r="M926" s="55" t="str">
        <f>IFERROR(IF($G926="","",VLOOKUP('Dashboard And Emails Automate'!$G926,Database!$H:$N,7,0)),"")</f>
        <v/>
      </c>
      <c r="N926" s="55" t="str">
        <f>IFERROR(IF(OR($B926="",$B926="(blank)"),"",VLOOKUP($B926,'Email Marketing Raw Data'!$C:$O,6,0)),"")</f>
        <v/>
      </c>
      <c r="O926" s="55" t="str">
        <f>IFERROR(IF(OR($B926="",$B926="(blank)"),"",VLOOKUP($B926,'Email Marketing Raw Data'!$C:$O,7,0)),"")</f>
        <v/>
      </c>
      <c r="P926" s="55" t="str">
        <f>IFERROR(IF(OR($B926="",$B926="(blank)"),"",VLOOKUP($B926,'Email Marketing Raw Data'!$C:$O,8,0)),"")</f>
        <v/>
      </c>
      <c r="Q926" s="62" t="str">
        <f>IFERROR(IF(OR($B926="",$B926="(blank)"),"",VLOOKUP($B926,'Email Marketing Raw Data'!$C:$O,9,0)),"")</f>
        <v/>
      </c>
    </row>
    <row r="927" spans="4:17" ht="12.75" customHeight="1" x14ac:dyDescent="0.2">
      <c r="D927" s="58" t="str">
        <f>IFERROR(IF(F927&lt;&gt;"pending","",IF(OR($B927="",$B927="(blank)"),"",VLOOKUP($B927,'Email Marketing Raw Data'!$C:$O,10,0))),"")</f>
        <v/>
      </c>
      <c r="E927" s="59" t="str">
        <f>IFERROR(IF(F927&lt;&gt;"pending","",IF(OR($B927="",$B927="(blank)"),"",VLOOKUP($B927,'Email Marketing Raw Data'!$C:$O,11,0))),"")</f>
        <v/>
      </c>
      <c r="F927" s="54" t="str">
        <f>IFERROR(IF(OR($B927="",$B927="(blank)"),"",VLOOKUP($B927,'Email Marketing Raw Data'!$C:$O,13,0)),"")</f>
        <v/>
      </c>
      <c r="G927" s="55" t="str">
        <f>IFERROR(IF(OR($B927="",$B927="(blank)"),"",VLOOKUP($B927,'Email Marketing Raw Data'!$C:$O,4,0)),"")</f>
        <v/>
      </c>
      <c r="H927" s="55" t="str">
        <f>IFERROR(IF(OR($B927="",$B927="(blank)"),"",VLOOKUP($B927,'Email Marketing Raw Data'!$C:$O,5,0)),"")</f>
        <v/>
      </c>
      <c r="I927" s="55" t="str">
        <f>IFERROR(IF($G927="","",VLOOKUP('Dashboard And Emails Automate'!$G927,Database!$H:$N,3,0)),"")</f>
        <v/>
      </c>
      <c r="J927" s="55" t="str">
        <f>IFERROR(IF($G927="","",VLOOKUP('Dashboard And Emails Automate'!$G927,Database!$H:$N,4,0)),"")</f>
        <v/>
      </c>
      <c r="K927" s="55" t="str">
        <f>IFERROR(IF($G927="","",VLOOKUP('Dashboard And Emails Automate'!$G927,Database!$H:$N,5,0)),"")</f>
        <v/>
      </c>
      <c r="L927" s="55" t="str">
        <f>IFERROR(IF($G927="","",VLOOKUP('Dashboard And Emails Automate'!$G927,Database!$H:$N,6,0)),"")</f>
        <v/>
      </c>
      <c r="M927" s="55" t="str">
        <f>IFERROR(IF($G927="","",VLOOKUP('Dashboard And Emails Automate'!$G927,Database!$H:$N,7,0)),"")</f>
        <v/>
      </c>
      <c r="N927" s="55" t="str">
        <f>IFERROR(IF(OR($B927="",$B927="(blank)"),"",VLOOKUP($B927,'Email Marketing Raw Data'!$C:$O,6,0)),"")</f>
        <v/>
      </c>
      <c r="O927" s="55" t="str">
        <f>IFERROR(IF(OR($B927="",$B927="(blank)"),"",VLOOKUP($B927,'Email Marketing Raw Data'!$C:$O,7,0)),"")</f>
        <v/>
      </c>
      <c r="P927" s="55" t="str">
        <f>IFERROR(IF(OR($B927="",$B927="(blank)"),"",VLOOKUP($B927,'Email Marketing Raw Data'!$C:$O,8,0)),"")</f>
        <v/>
      </c>
      <c r="Q927" s="62" t="str">
        <f>IFERROR(IF(OR($B927="",$B927="(blank)"),"",VLOOKUP($B927,'Email Marketing Raw Data'!$C:$O,9,0)),"")</f>
        <v/>
      </c>
    </row>
    <row r="928" spans="4:17" ht="12.75" customHeight="1" x14ac:dyDescent="0.2">
      <c r="D928" s="58" t="str">
        <f>IFERROR(IF(F928&lt;&gt;"pending","",IF(OR($B928="",$B928="(blank)"),"",VLOOKUP($B928,'Email Marketing Raw Data'!$C:$O,10,0))),"")</f>
        <v/>
      </c>
      <c r="E928" s="59" t="str">
        <f>IFERROR(IF(F928&lt;&gt;"pending","",IF(OR($B928="",$B928="(blank)"),"",VLOOKUP($B928,'Email Marketing Raw Data'!$C:$O,11,0))),"")</f>
        <v/>
      </c>
      <c r="F928" s="54" t="str">
        <f>IFERROR(IF(OR($B928="",$B928="(blank)"),"",VLOOKUP($B928,'Email Marketing Raw Data'!$C:$O,13,0)),"")</f>
        <v/>
      </c>
      <c r="G928" s="55" t="str">
        <f>IFERROR(IF(OR($B928="",$B928="(blank)"),"",VLOOKUP($B928,'Email Marketing Raw Data'!$C:$O,4,0)),"")</f>
        <v/>
      </c>
      <c r="H928" s="55" t="str">
        <f>IFERROR(IF(OR($B928="",$B928="(blank)"),"",VLOOKUP($B928,'Email Marketing Raw Data'!$C:$O,5,0)),"")</f>
        <v/>
      </c>
      <c r="I928" s="55" t="str">
        <f>IFERROR(IF($G928="","",VLOOKUP('Dashboard And Emails Automate'!$G928,Database!$H:$N,3,0)),"")</f>
        <v/>
      </c>
      <c r="J928" s="55" t="str">
        <f>IFERROR(IF($G928="","",VLOOKUP('Dashboard And Emails Automate'!$G928,Database!$H:$N,4,0)),"")</f>
        <v/>
      </c>
      <c r="K928" s="55" t="str">
        <f>IFERROR(IF($G928="","",VLOOKUP('Dashboard And Emails Automate'!$G928,Database!$H:$N,5,0)),"")</f>
        <v/>
      </c>
      <c r="L928" s="55" t="str">
        <f>IFERROR(IF($G928="","",VLOOKUP('Dashboard And Emails Automate'!$G928,Database!$H:$N,6,0)),"")</f>
        <v/>
      </c>
      <c r="M928" s="55" t="str">
        <f>IFERROR(IF($G928="","",VLOOKUP('Dashboard And Emails Automate'!$G928,Database!$H:$N,7,0)),"")</f>
        <v/>
      </c>
      <c r="N928" s="55" t="str">
        <f>IFERROR(IF(OR($B928="",$B928="(blank)"),"",VLOOKUP($B928,'Email Marketing Raw Data'!$C:$O,6,0)),"")</f>
        <v/>
      </c>
      <c r="O928" s="55" t="str">
        <f>IFERROR(IF(OR($B928="",$B928="(blank)"),"",VLOOKUP($B928,'Email Marketing Raw Data'!$C:$O,7,0)),"")</f>
        <v/>
      </c>
      <c r="P928" s="55" t="str">
        <f>IFERROR(IF(OR($B928="",$B928="(blank)"),"",VLOOKUP($B928,'Email Marketing Raw Data'!$C:$O,8,0)),"")</f>
        <v/>
      </c>
      <c r="Q928" s="62" t="str">
        <f>IFERROR(IF(OR($B928="",$B928="(blank)"),"",VLOOKUP($B928,'Email Marketing Raw Data'!$C:$O,9,0)),"")</f>
        <v/>
      </c>
    </row>
    <row r="929" spans="4:17" ht="12.75" customHeight="1" x14ac:dyDescent="0.2">
      <c r="D929" s="58" t="str">
        <f>IFERROR(IF(F929&lt;&gt;"pending","",IF(OR($B929="",$B929="(blank)"),"",VLOOKUP($B929,'Email Marketing Raw Data'!$C:$O,10,0))),"")</f>
        <v/>
      </c>
      <c r="E929" s="59" t="str">
        <f>IFERROR(IF(F929&lt;&gt;"pending","",IF(OR($B929="",$B929="(blank)"),"",VLOOKUP($B929,'Email Marketing Raw Data'!$C:$O,11,0))),"")</f>
        <v/>
      </c>
      <c r="F929" s="54" t="str">
        <f>IFERROR(IF(OR($B929="",$B929="(blank)"),"",VLOOKUP($B929,'Email Marketing Raw Data'!$C:$O,13,0)),"")</f>
        <v/>
      </c>
      <c r="G929" s="55" t="str">
        <f>IFERROR(IF(OR($B929="",$B929="(blank)"),"",VLOOKUP($B929,'Email Marketing Raw Data'!$C:$O,4,0)),"")</f>
        <v/>
      </c>
      <c r="H929" s="55" t="str">
        <f>IFERROR(IF(OR($B929="",$B929="(blank)"),"",VLOOKUP($B929,'Email Marketing Raw Data'!$C:$O,5,0)),"")</f>
        <v/>
      </c>
      <c r="I929" s="55" t="str">
        <f>IFERROR(IF($G929="","",VLOOKUP('Dashboard And Emails Automate'!$G929,Database!$H:$N,3,0)),"")</f>
        <v/>
      </c>
      <c r="J929" s="55" t="str">
        <f>IFERROR(IF($G929="","",VLOOKUP('Dashboard And Emails Automate'!$G929,Database!$H:$N,4,0)),"")</f>
        <v/>
      </c>
      <c r="K929" s="55" t="str">
        <f>IFERROR(IF($G929="","",VLOOKUP('Dashboard And Emails Automate'!$G929,Database!$H:$N,5,0)),"")</f>
        <v/>
      </c>
      <c r="L929" s="55" t="str">
        <f>IFERROR(IF($G929="","",VLOOKUP('Dashboard And Emails Automate'!$G929,Database!$H:$N,6,0)),"")</f>
        <v/>
      </c>
      <c r="M929" s="55" t="str">
        <f>IFERROR(IF($G929="","",VLOOKUP('Dashboard And Emails Automate'!$G929,Database!$H:$N,7,0)),"")</f>
        <v/>
      </c>
      <c r="N929" s="55" t="str">
        <f>IFERROR(IF(OR($B929="",$B929="(blank)"),"",VLOOKUP($B929,'Email Marketing Raw Data'!$C:$O,6,0)),"")</f>
        <v/>
      </c>
      <c r="O929" s="55" t="str">
        <f>IFERROR(IF(OR($B929="",$B929="(blank)"),"",VLOOKUP($B929,'Email Marketing Raw Data'!$C:$O,7,0)),"")</f>
        <v/>
      </c>
      <c r="P929" s="55" t="str">
        <f>IFERROR(IF(OR($B929="",$B929="(blank)"),"",VLOOKUP($B929,'Email Marketing Raw Data'!$C:$O,8,0)),"")</f>
        <v/>
      </c>
      <c r="Q929" s="62" t="str">
        <f>IFERROR(IF(OR($B929="",$B929="(blank)"),"",VLOOKUP($B929,'Email Marketing Raw Data'!$C:$O,9,0)),"")</f>
        <v/>
      </c>
    </row>
    <row r="930" spans="4:17" ht="12.75" customHeight="1" x14ac:dyDescent="0.2">
      <c r="D930" s="58" t="str">
        <f>IFERROR(IF(F930&lt;&gt;"pending","",IF(OR($B930="",$B930="(blank)"),"",VLOOKUP($B930,'Email Marketing Raw Data'!$C:$O,10,0))),"")</f>
        <v/>
      </c>
      <c r="E930" s="59" t="str">
        <f>IFERROR(IF(F930&lt;&gt;"pending","",IF(OR($B930="",$B930="(blank)"),"",VLOOKUP($B930,'Email Marketing Raw Data'!$C:$O,11,0))),"")</f>
        <v/>
      </c>
      <c r="F930" s="54" t="str">
        <f>IFERROR(IF(OR($B930="",$B930="(blank)"),"",VLOOKUP($B930,'Email Marketing Raw Data'!$C:$O,13,0)),"")</f>
        <v/>
      </c>
      <c r="G930" s="55" t="str">
        <f>IFERROR(IF(OR($B930="",$B930="(blank)"),"",VLOOKUP($B930,'Email Marketing Raw Data'!$C:$O,4,0)),"")</f>
        <v/>
      </c>
      <c r="H930" s="55" t="str">
        <f>IFERROR(IF(OR($B930="",$B930="(blank)"),"",VLOOKUP($B930,'Email Marketing Raw Data'!$C:$O,5,0)),"")</f>
        <v/>
      </c>
      <c r="I930" s="55" t="str">
        <f>IFERROR(IF($G930="","",VLOOKUP('Dashboard And Emails Automate'!$G930,Database!$H:$N,3,0)),"")</f>
        <v/>
      </c>
      <c r="J930" s="55" t="str">
        <f>IFERROR(IF($G930="","",VLOOKUP('Dashboard And Emails Automate'!$G930,Database!$H:$N,4,0)),"")</f>
        <v/>
      </c>
      <c r="K930" s="55" t="str">
        <f>IFERROR(IF($G930="","",VLOOKUP('Dashboard And Emails Automate'!$G930,Database!$H:$N,5,0)),"")</f>
        <v/>
      </c>
      <c r="L930" s="55" t="str">
        <f>IFERROR(IF($G930="","",VLOOKUP('Dashboard And Emails Automate'!$G930,Database!$H:$N,6,0)),"")</f>
        <v/>
      </c>
      <c r="M930" s="55" t="str">
        <f>IFERROR(IF($G930="","",VLOOKUP('Dashboard And Emails Automate'!$G930,Database!$H:$N,7,0)),"")</f>
        <v/>
      </c>
      <c r="N930" s="55" t="str">
        <f>IFERROR(IF(OR($B930="",$B930="(blank)"),"",VLOOKUP($B930,'Email Marketing Raw Data'!$C:$O,6,0)),"")</f>
        <v/>
      </c>
      <c r="O930" s="55" t="str">
        <f>IFERROR(IF(OR($B930="",$B930="(blank)"),"",VLOOKUP($B930,'Email Marketing Raw Data'!$C:$O,7,0)),"")</f>
        <v/>
      </c>
      <c r="P930" s="55" t="str">
        <f>IFERROR(IF(OR($B930="",$B930="(blank)"),"",VLOOKUP($B930,'Email Marketing Raw Data'!$C:$O,8,0)),"")</f>
        <v/>
      </c>
      <c r="Q930" s="62" t="str">
        <f>IFERROR(IF(OR($B930="",$B930="(blank)"),"",VLOOKUP($B930,'Email Marketing Raw Data'!$C:$O,9,0)),"")</f>
        <v/>
      </c>
    </row>
    <row r="931" spans="4:17" ht="12.75" customHeight="1" x14ac:dyDescent="0.2">
      <c r="D931" s="58" t="str">
        <f>IFERROR(IF(F931&lt;&gt;"pending","",IF(OR($B931="",$B931="(blank)"),"",VLOOKUP($B931,'Email Marketing Raw Data'!$C:$O,10,0))),"")</f>
        <v/>
      </c>
      <c r="E931" s="59" t="str">
        <f>IFERROR(IF(F931&lt;&gt;"pending","",IF(OR($B931="",$B931="(blank)"),"",VLOOKUP($B931,'Email Marketing Raw Data'!$C:$O,11,0))),"")</f>
        <v/>
      </c>
      <c r="F931" s="54" t="str">
        <f>IFERROR(IF(OR($B931="",$B931="(blank)"),"",VLOOKUP($B931,'Email Marketing Raw Data'!$C:$O,13,0)),"")</f>
        <v/>
      </c>
      <c r="G931" s="55" t="str">
        <f>IFERROR(IF(OR($B931="",$B931="(blank)"),"",VLOOKUP($B931,'Email Marketing Raw Data'!$C:$O,4,0)),"")</f>
        <v/>
      </c>
      <c r="H931" s="55" t="str">
        <f>IFERROR(IF(OR($B931="",$B931="(blank)"),"",VLOOKUP($B931,'Email Marketing Raw Data'!$C:$O,5,0)),"")</f>
        <v/>
      </c>
      <c r="I931" s="55" t="str">
        <f>IFERROR(IF($G931="","",VLOOKUP('Dashboard And Emails Automate'!$G931,Database!$H:$N,3,0)),"")</f>
        <v/>
      </c>
      <c r="J931" s="55" t="str">
        <f>IFERROR(IF($G931="","",VLOOKUP('Dashboard And Emails Automate'!$G931,Database!$H:$N,4,0)),"")</f>
        <v/>
      </c>
      <c r="K931" s="55" t="str">
        <f>IFERROR(IF($G931="","",VLOOKUP('Dashboard And Emails Automate'!$G931,Database!$H:$N,5,0)),"")</f>
        <v/>
      </c>
      <c r="L931" s="55" t="str">
        <f>IFERROR(IF($G931="","",VLOOKUP('Dashboard And Emails Automate'!$G931,Database!$H:$N,6,0)),"")</f>
        <v/>
      </c>
      <c r="M931" s="55" t="str">
        <f>IFERROR(IF($G931="","",VLOOKUP('Dashboard And Emails Automate'!$G931,Database!$H:$N,7,0)),"")</f>
        <v/>
      </c>
      <c r="N931" s="55" t="str">
        <f>IFERROR(IF(OR($B931="",$B931="(blank)"),"",VLOOKUP($B931,'Email Marketing Raw Data'!$C:$O,6,0)),"")</f>
        <v/>
      </c>
      <c r="O931" s="55" t="str">
        <f>IFERROR(IF(OR($B931="",$B931="(blank)"),"",VLOOKUP($B931,'Email Marketing Raw Data'!$C:$O,7,0)),"")</f>
        <v/>
      </c>
      <c r="P931" s="55" t="str">
        <f>IFERROR(IF(OR($B931="",$B931="(blank)"),"",VLOOKUP($B931,'Email Marketing Raw Data'!$C:$O,8,0)),"")</f>
        <v/>
      </c>
      <c r="Q931" s="62" t="str">
        <f>IFERROR(IF(OR($B931="",$B931="(blank)"),"",VLOOKUP($B931,'Email Marketing Raw Data'!$C:$O,9,0)),"")</f>
        <v/>
      </c>
    </row>
    <row r="932" spans="4:17" ht="12.75" customHeight="1" x14ac:dyDescent="0.2">
      <c r="D932" s="58" t="str">
        <f>IFERROR(IF(F932&lt;&gt;"pending","",IF(OR($B932="",$B932="(blank)"),"",VLOOKUP($B932,'Email Marketing Raw Data'!$C:$O,10,0))),"")</f>
        <v/>
      </c>
      <c r="E932" s="59" t="str">
        <f>IFERROR(IF(F932&lt;&gt;"pending","",IF(OR($B932="",$B932="(blank)"),"",VLOOKUP($B932,'Email Marketing Raw Data'!$C:$O,11,0))),"")</f>
        <v/>
      </c>
      <c r="F932" s="54" t="str">
        <f>IFERROR(IF(OR($B932="",$B932="(blank)"),"",VLOOKUP($B932,'Email Marketing Raw Data'!$C:$O,13,0)),"")</f>
        <v/>
      </c>
      <c r="G932" s="55" t="str">
        <f>IFERROR(IF(OR($B932="",$B932="(blank)"),"",VLOOKUP($B932,'Email Marketing Raw Data'!$C:$O,4,0)),"")</f>
        <v/>
      </c>
      <c r="H932" s="55" t="str">
        <f>IFERROR(IF(OR($B932="",$B932="(blank)"),"",VLOOKUP($B932,'Email Marketing Raw Data'!$C:$O,5,0)),"")</f>
        <v/>
      </c>
      <c r="I932" s="55" t="str">
        <f>IFERROR(IF($G932="","",VLOOKUP('Dashboard And Emails Automate'!$G932,Database!$H:$N,3,0)),"")</f>
        <v/>
      </c>
      <c r="J932" s="55" t="str">
        <f>IFERROR(IF($G932="","",VLOOKUP('Dashboard And Emails Automate'!$G932,Database!$H:$N,4,0)),"")</f>
        <v/>
      </c>
      <c r="K932" s="55" t="str">
        <f>IFERROR(IF($G932="","",VLOOKUP('Dashboard And Emails Automate'!$G932,Database!$H:$N,5,0)),"")</f>
        <v/>
      </c>
      <c r="L932" s="55" t="str">
        <f>IFERROR(IF($G932="","",VLOOKUP('Dashboard And Emails Automate'!$G932,Database!$H:$N,6,0)),"")</f>
        <v/>
      </c>
      <c r="M932" s="55" t="str">
        <f>IFERROR(IF($G932="","",VLOOKUP('Dashboard And Emails Automate'!$G932,Database!$H:$N,7,0)),"")</f>
        <v/>
      </c>
      <c r="N932" s="55" t="str">
        <f>IFERROR(IF(OR($B932="",$B932="(blank)"),"",VLOOKUP($B932,'Email Marketing Raw Data'!$C:$O,6,0)),"")</f>
        <v/>
      </c>
      <c r="O932" s="55" t="str">
        <f>IFERROR(IF(OR($B932="",$B932="(blank)"),"",VLOOKUP($B932,'Email Marketing Raw Data'!$C:$O,7,0)),"")</f>
        <v/>
      </c>
      <c r="P932" s="55" t="str">
        <f>IFERROR(IF(OR($B932="",$B932="(blank)"),"",VLOOKUP($B932,'Email Marketing Raw Data'!$C:$O,8,0)),"")</f>
        <v/>
      </c>
      <c r="Q932" s="62" t="str">
        <f>IFERROR(IF(OR($B932="",$B932="(blank)"),"",VLOOKUP($B932,'Email Marketing Raw Data'!$C:$O,9,0)),"")</f>
        <v/>
      </c>
    </row>
    <row r="933" spans="4:17" ht="12.75" customHeight="1" x14ac:dyDescent="0.2">
      <c r="D933" s="58" t="str">
        <f>IFERROR(IF(F933&lt;&gt;"pending","",IF(OR($B933="",$B933="(blank)"),"",VLOOKUP($B933,'Email Marketing Raw Data'!$C:$O,10,0))),"")</f>
        <v/>
      </c>
      <c r="E933" s="59" t="str">
        <f>IFERROR(IF(F933&lt;&gt;"pending","",IF(OR($B933="",$B933="(blank)"),"",VLOOKUP($B933,'Email Marketing Raw Data'!$C:$O,11,0))),"")</f>
        <v/>
      </c>
      <c r="F933" s="54" t="str">
        <f>IFERROR(IF(OR($B933="",$B933="(blank)"),"",VLOOKUP($B933,'Email Marketing Raw Data'!$C:$O,13,0)),"")</f>
        <v/>
      </c>
      <c r="G933" s="55" t="str">
        <f>IFERROR(IF(OR($B933="",$B933="(blank)"),"",VLOOKUP($B933,'Email Marketing Raw Data'!$C:$O,4,0)),"")</f>
        <v/>
      </c>
      <c r="H933" s="55" t="str">
        <f>IFERROR(IF(OR($B933="",$B933="(blank)"),"",VLOOKUP($B933,'Email Marketing Raw Data'!$C:$O,5,0)),"")</f>
        <v/>
      </c>
      <c r="I933" s="55" t="str">
        <f>IFERROR(IF($G933="","",VLOOKUP('Dashboard And Emails Automate'!$G933,Database!$H:$N,3,0)),"")</f>
        <v/>
      </c>
      <c r="J933" s="55" t="str">
        <f>IFERROR(IF($G933="","",VLOOKUP('Dashboard And Emails Automate'!$G933,Database!$H:$N,4,0)),"")</f>
        <v/>
      </c>
      <c r="K933" s="55" t="str">
        <f>IFERROR(IF($G933="","",VLOOKUP('Dashboard And Emails Automate'!$G933,Database!$H:$N,5,0)),"")</f>
        <v/>
      </c>
      <c r="L933" s="55" t="str">
        <f>IFERROR(IF($G933="","",VLOOKUP('Dashboard And Emails Automate'!$G933,Database!$H:$N,6,0)),"")</f>
        <v/>
      </c>
      <c r="M933" s="55" t="str">
        <f>IFERROR(IF($G933="","",VLOOKUP('Dashboard And Emails Automate'!$G933,Database!$H:$N,7,0)),"")</f>
        <v/>
      </c>
      <c r="N933" s="55" t="str">
        <f>IFERROR(IF(OR($B933="",$B933="(blank)"),"",VLOOKUP($B933,'Email Marketing Raw Data'!$C:$O,6,0)),"")</f>
        <v/>
      </c>
      <c r="O933" s="55" t="str">
        <f>IFERROR(IF(OR($B933="",$B933="(blank)"),"",VLOOKUP($B933,'Email Marketing Raw Data'!$C:$O,7,0)),"")</f>
        <v/>
      </c>
      <c r="P933" s="55" t="str">
        <f>IFERROR(IF(OR($B933="",$B933="(blank)"),"",VLOOKUP($B933,'Email Marketing Raw Data'!$C:$O,8,0)),"")</f>
        <v/>
      </c>
      <c r="Q933" s="62" t="str">
        <f>IFERROR(IF(OR($B933="",$B933="(blank)"),"",VLOOKUP($B933,'Email Marketing Raw Data'!$C:$O,9,0)),"")</f>
        <v/>
      </c>
    </row>
    <row r="934" spans="4:17" ht="12.75" customHeight="1" x14ac:dyDescent="0.2">
      <c r="D934" s="58" t="str">
        <f>IFERROR(IF(F934&lt;&gt;"pending","",IF(OR($B934="",$B934="(blank)"),"",VLOOKUP($B934,'Email Marketing Raw Data'!$C:$O,10,0))),"")</f>
        <v/>
      </c>
      <c r="E934" s="59" t="str">
        <f>IFERROR(IF(F934&lt;&gt;"pending","",IF(OR($B934="",$B934="(blank)"),"",VLOOKUP($B934,'Email Marketing Raw Data'!$C:$O,11,0))),"")</f>
        <v/>
      </c>
      <c r="F934" s="54" t="str">
        <f>IFERROR(IF(OR($B934="",$B934="(blank)"),"",VLOOKUP($B934,'Email Marketing Raw Data'!$C:$O,13,0)),"")</f>
        <v/>
      </c>
      <c r="G934" s="55" t="str">
        <f>IFERROR(IF(OR($B934="",$B934="(blank)"),"",VLOOKUP($B934,'Email Marketing Raw Data'!$C:$O,4,0)),"")</f>
        <v/>
      </c>
      <c r="H934" s="55" t="str">
        <f>IFERROR(IF(OR($B934="",$B934="(blank)"),"",VLOOKUP($B934,'Email Marketing Raw Data'!$C:$O,5,0)),"")</f>
        <v/>
      </c>
      <c r="I934" s="55" t="str">
        <f>IFERROR(IF($G934="","",VLOOKUP('Dashboard And Emails Automate'!$G934,Database!$H:$N,3,0)),"")</f>
        <v/>
      </c>
      <c r="J934" s="55" t="str">
        <f>IFERROR(IF($G934="","",VLOOKUP('Dashboard And Emails Automate'!$G934,Database!$H:$N,4,0)),"")</f>
        <v/>
      </c>
      <c r="K934" s="55" t="str">
        <f>IFERROR(IF($G934="","",VLOOKUP('Dashboard And Emails Automate'!$G934,Database!$H:$N,5,0)),"")</f>
        <v/>
      </c>
      <c r="L934" s="55" t="str">
        <f>IFERROR(IF($G934="","",VLOOKUP('Dashboard And Emails Automate'!$G934,Database!$H:$N,6,0)),"")</f>
        <v/>
      </c>
      <c r="M934" s="55" t="str">
        <f>IFERROR(IF($G934="","",VLOOKUP('Dashboard And Emails Automate'!$G934,Database!$H:$N,7,0)),"")</f>
        <v/>
      </c>
      <c r="N934" s="55" t="str">
        <f>IFERROR(IF(OR($B934="",$B934="(blank)"),"",VLOOKUP($B934,'Email Marketing Raw Data'!$C:$O,6,0)),"")</f>
        <v/>
      </c>
      <c r="O934" s="55" t="str">
        <f>IFERROR(IF(OR($B934="",$B934="(blank)"),"",VLOOKUP($B934,'Email Marketing Raw Data'!$C:$O,7,0)),"")</f>
        <v/>
      </c>
      <c r="P934" s="55" t="str">
        <f>IFERROR(IF(OR($B934="",$B934="(blank)"),"",VLOOKUP($B934,'Email Marketing Raw Data'!$C:$O,8,0)),"")</f>
        <v/>
      </c>
      <c r="Q934" s="62" t="str">
        <f>IFERROR(IF(OR($B934="",$B934="(blank)"),"",VLOOKUP($B934,'Email Marketing Raw Data'!$C:$O,9,0)),"")</f>
        <v/>
      </c>
    </row>
    <row r="935" spans="4:17" ht="12.75" customHeight="1" x14ac:dyDescent="0.2">
      <c r="D935" s="58" t="str">
        <f>IFERROR(IF(F935&lt;&gt;"pending","",IF(OR($B935="",$B935="(blank)"),"",VLOOKUP($B935,'Email Marketing Raw Data'!$C:$O,10,0))),"")</f>
        <v/>
      </c>
      <c r="E935" s="59" t="str">
        <f>IFERROR(IF(F935&lt;&gt;"pending","",IF(OR($B935="",$B935="(blank)"),"",VLOOKUP($B935,'Email Marketing Raw Data'!$C:$O,11,0))),"")</f>
        <v/>
      </c>
      <c r="F935" s="54" t="str">
        <f>IFERROR(IF(OR($B935="",$B935="(blank)"),"",VLOOKUP($B935,'Email Marketing Raw Data'!$C:$O,13,0)),"")</f>
        <v/>
      </c>
      <c r="G935" s="55" t="str">
        <f>IFERROR(IF(OR($B935="",$B935="(blank)"),"",VLOOKUP($B935,'Email Marketing Raw Data'!$C:$O,4,0)),"")</f>
        <v/>
      </c>
      <c r="H935" s="55" t="str">
        <f>IFERROR(IF(OR($B935="",$B935="(blank)"),"",VLOOKUP($B935,'Email Marketing Raw Data'!$C:$O,5,0)),"")</f>
        <v/>
      </c>
      <c r="I935" s="55" t="str">
        <f>IFERROR(IF($G935="","",VLOOKUP('Dashboard And Emails Automate'!$G935,Database!$H:$N,3,0)),"")</f>
        <v/>
      </c>
      <c r="J935" s="55" t="str">
        <f>IFERROR(IF($G935="","",VLOOKUP('Dashboard And Emails Automate'!$G935,Database!$H:$N,4,0)),"")</f>
        <v/>
      </c>
      <c r="K935" s="55" t="str">
        <f>IFERROR(IF($G935="","",VLOOKUP('Dashboard And Emails Automate'!$G935,Database!$H:$N,5,0)),"")</f>
        <v/>
      </c>
      <c r="L935" s="55" t="str">
        <f>IFERROR(IF($G935="","",VLOOKUP('Dashboard And Emails Automate'!$G935,Database!$H:$N,6,0)),"")</f>
        <v/>
      </c>
      <c r="M935" s="55" t="str">
        <f>IFERROR(IF($G935="","",VLOOKUP('Dashboard And Emails Automate'!$G935,Database!$H:$N,7,0)),"")</f>
        <v/>
      </c>
      <c r="N935" s="55" t="str">
        <f>IFERROR(IF(OR($B935="",$B935="(blank)"),"",VLOOKUP($B935,'Email Marketing Raw Data'!$C:$O,6,0)),"")</f>
        <v/>
      </c>
      <c r="O935" s="55" t="str">
        <f>IFERROR(IF(OR($B935="",$B935="(blank)"),"",VLOOKUP($B935,'Email Marketing Raw Data'!$C:$O,7,0)),"")</f>
        <v/>
      </c>
      <c r="P935" s="55" t="str">
        <f>IFERROR(IF(OR($B935="",$B935="(blank)"),"",VLOOKUP($B935,'Email Marketing Raw Data'!$C:$O,8,0)),"")</f>
        <v/>
      </c>
      <c r="Q935" s="62" t="str">
        <f>IFERROR(IF(OR($B935="",$B935="(blank)"),"",VLOOKUP($B935,'Email Marketing Raw Data'!$C:$O,9,0)),"")</f>
        <v/>
      </c>
    </row>
    <row r="936" spans="4:17" ht="12.75" customHeight="1" x14ac:dyDescent="0.2">
      <c r="D936" s="58" t="str">
        <f>IFERROR(IF(F936&lt;&gt;"pending","",IF(OR($B936="",$B936="(blank)"),"",VLOOKUP($B936,'Email Marketing Raw Data'!$C:$O,10,0))),"")</f>
        <v/>
      </c>
      <c r="E936" s="59" t="str">
        <f>IFERROR(IF(F936&lt;&gt;"pending","",IF(OR($B936="",$B936="(blank)"),"",VLOOKUP($B936,'Email Marketing Raw Data'!$C:$O,11,0))),"")</f>
        <v/>
      </c>
      <c r="F936" s="54" t="str">
        <f>IFERROR(IF(OR($B936="",$B936="(blank)"),"",VLOOKUP($B936,'Email Marketing Raw Data'!$C:$O,13,0)),"")</f>
        <v/>
      </c>
      <c r="G936" s="55" t="str">
        <f>IFERROR(IF(OR($B936="",$B936="(blank)"),"",VLOOKUP($B936,'Email Marketing Raw Data'!$C:$O,4,0)),"")</f>
        <v/>
      </c>
      <c r="H936" s="55" t="str">
        <f>IFERROR(IF(OR($B936="",$B936="(blank)"),"",VLOOKUP($B936,'Email Marketing Raw Data'!$C:$O,5,0)),"")</f>
        <v/>
      </c>
      <c r="I936" s="55" t="str">
        <f>IFERROR(IF($G936="","",VLOOKUP('Dashboard And Emails Automate'!$G936,Database!$H:$N,3,0)),"")</f>
        <v/>
      </c>
      <c r="J936" s="55" t="str">
        <f>IFERROR(IF($G936="","",VLOOKUP('Dashboard And Emails Automate'!$G936,Database!$H:$N,4,0)),"")</f>
        <v/>
      </c>
      <c r="K936" s="55" t="str">
        <f>IFERROR(IF($G936="","",VLOOKUP('Dashboard And Emails Automate'!$G936,Database!$H:$N,5,0)),"")</f>
        <v/>
      </c>
      <c r="L936" s="55" t="str">
        <f>IFERROR(IF($G936="","",VLOOKUP('Dashboard And Emails Automate'!$G936,Database!$H:$N,6,0)),"")</f>
        <v/>
      </c>
      <c r="M936" s="55" t="str">
        <f>IFERROR(IF($G936="","",VLOOKUP('Dashboard And Emails Automate'!$G936,Database!$H:$N,7,0)),"")</f>
        <v/>
      </c>
      <c r="N936" s="55" t="str">
        <f>IFERROR(IF(OR($B936="",$B936="(blank)"),"",VLOOKUP($B936,'Email Marketing Raw Data'!$C:$O,6,0)),"")</f>
        <v/>
      </c>
      <c r="O936" s="55" t="str">
        <f>IFERROR(IF(OR($B936="",$B936="(blank)"),"",VLOOKUP($B936,'Email Marketing Raw Data'!$C:$O,7,0)),"")</f>
        <v/>
      </c>
      <c r="P936" s="55" t="str">
        <f>IFERROR(IF(OR($B936="",$B936="(blank)"),"",VLOOKUP($B936,'Email Marketing Raw Data'!$C:$O,8,0)),"")</f>
        <v/>
      </c>
      <c r="Q936" s="62" t="str">
        <f>IFERROR(IF(OR($B936="",$B936="(blank)"),"",VLOOKUP($B936,'Email Marketing Raw Data'!$C:$O,9,0)),"")</f>
        <v/>
      </c>
    </row>
    <row r="937" spans="4:17" ht="12.75" customHeight="1" x14ac:dyDescent="0.2">
      <c r="D937" s="58" t="str">
        <f>IFERROR(IF(F937&lt;&gt;"pending","",IF(OR($B937="",$B937="(blank)"),"",VLOOKUP($B937,'Email Marketing Raw Data'!$C:$O,10,0))),"")</f>
        <v/>
      </c>
      <c r="E937" s="59" t="str">
        <f>IFERROR(IF(F937&lt;&gt;"pending","",IF(OR($B937="",$B937="(blank)"),"",VLOOKUP($B937,'Email Marketing Raw Data'!$C:$O,11,0))),"")</f>
        <v/>
      </c>
      <c r="F937" s="54" t="str">
        <f>IFERROR(IF(OR($B937="",$B937="(blank)"),"",VLOOKUP($B937,'Email Marketing Raw Data'!$C:$O,13,0)),"")</f>
        <v/>
      </c>
      <c r="G937" s="55" t="str">
        <f>IFERROR(IF(OR($B937="",$B937="(blank)"),"",VLOOKUP($B937,'Email Marketing Raw Data'!$C:$O,4,0)),"")</f>
        <v/>
      </c>
      <c r="H937" s="55" t="str">
        <f>IFERROR(IF(OR($B937="",$B937="(blank)"),"",VLOOKUP($B937,'Email Marketing Raw Data'!$C:$O,5,0)),"")</f>
        <v/>
      </c>
      <c r="I937" s="55" t="str">
        <f>IFERROR(IF($G937="","",VLOOKUP('Dashboard And Emails Automate'!$G937,Database!$H:$N,3,0)),"")</f>
        <v/>
      </c>
      <c r="J937" s="55" t="str">
        <f>IFERROR(IF($G937="","",VLOOKUP('Dashboard And Emails Automate'!$G937,Database!$H:$N,4,0)),"")</f>
        <v/>
      </c>
      <c r="K937" s="55" t="str">
        <f>IFERROR(IF($G937="","",VLOOKUP('Dashboard And Emails Automate'!$G937,Database!$H:$N,5,0)),"")</f>
        <v/>
      </c>
      <c r="L937" s="55" t="str">
        <f>IFERROR(IF($G937="","",VLOOKUP('Dashboard And Emails Automate'!$G937,Database!$H:$N,6,0)),"")</f>
        <v/>
      </c>
      <c r="M937" s="55" t="str">
        <f>IFERROR(IF($G937="","",VLOOKUP('Dashboard And Emails Automate'!$G937,Database!$H:$N,7,0)),"")</f>
        <v/>
      </c>
      <c r="N937" s="55" t="str">
        <f>IFERROR(IF(OR($B937="",$B937="(blank)"),"",VLOOKUP($B937,'Email Marketing Raw Data'!$C:$O,6,0)),"")</f>
        <v/>
      </c>
      <c r="O937" s="55" t="str">
        <f>IFERROR(IF(OR($B937="",$B937="(blank)"),"",VLOOKUP($B937,'Email Marketing Raw Data'!$C:$O,7,0)),"")</f>
        <v/>
      </c>
      <c r="P937" s="55" t="str">
        <f>IFERROR(IF(OR($B937="",$B937="(blank)"),"",VLOOKUP($B937,'Email Marketing Raw Data'!$C:$O,8,0)),"")</f>
        <v/>
      </c>
      <c r="Q937" s="62" t="str">
        <f>IFERROR(IF(OR($B937="",$B937="(blank)"),"",VLOOKUP($B937,'Email Marketing Raw Data'!$C:$O,9,0)),"")</f>
        <v/>
      </c>
    </row>
    <row r="938" spans="4:17" ht="12.75" customHeight="1" x14ac:dyDescent="0.2">
      <c r="D938" s="58" t="str">
        <f>IFERROR(IF(F938&lt;&gt;"pending","",IF(OR($B938="",$B938="(blank)"),"",VLOOKUP($B938,'Email Marketing Raw Data'!$C:$O,10,0))),"")</f>
        <v/>
      </c>
      <c r="E938" s="59" t="str">
        <f>IFERROR(IF(F938&lt;&gt;"pending","",IF(OR($B938="",$B938="(blank)"),"",VLOOKUP($B938,'Email Marketing Raw Data'!$C:$O,11,0))),"")</f>
        <v/>
      </c>
      <c r="F938" s="54" t="str">
        <f>IFERROR(IF(OR($B938="",$B938="(blank)"),"",VLOOKUP($B938,'Email Marketing Raw Data'!$C:$O,13,0)),"")</f>
        <v/>
      </c>
      <c r="G938" s="55" t="str">
        <f>IFERROR(IF(OR($B938="",$B938="(blank)"),"",VLOOKUP($B938,'Email Marketing Raw Data'!$C:$O,4,0)),"")</f>
        <v/>
      </c>
      <c r="H938" s="55" t="str">
        <f>IFERROR(IF(OR($B938="",$B938="(blank)"),"",VLOOKUP($B938,'Email Marketing Raw Data'!$C:$O,5,0)),"")</f>
        <v/>
      </c>
      <c r="I938" s="55" t="str">
        <f>IFERROR(IF($G938="","",VLOOKUP('Dashboard And Emails Automate'!$G938,Database!$H:$N,3,0)),"")</f>
        <v/>
      </c>
      <c r="J938" s="55" t="str">
        <f>IFERROR(IF($G938="","",VLOOKUP('Dashboard And Emails Automate'!$G938,Database!$H:$N,4,0)),"")</f>
        <v/>
      </c>
      <c r="K938" s="55" t="str">
        <f>IFERROR(IF($G938="","",VLOOKUP('Dashboard And Emails Automate'!$G938,Database!$H:$N,5,0)),"")</f>
        <v/>
      </c>
      <c r="L938" s="55" t="str">
        <f>IFERROR(IF($G938="","",VLOOKUP('Dashboard And Emails Automate'!$G938,Database!$H:$N,6,0)),"")</f>
        <v/>
      </c>
      <c r="M938" s="55" t="str">
        <f>IFERROR(IF($G938="","",VLOOKUP('Dashboard And Emails Automate'!$G938,Database!$H:$N,7,0)),"")</f>
        <v/>
      </c>
      <c r="N938" s="55" t="str">
        <f>IFERROR(IF(OR($B938="",$B938="(blank)"),"",VLOOKUP($B938,'Email Marketing Raw Data'!$C:$O,6,0)),"")</f>
        <v/>
      </c>
      <c r="O938" s="55" t="str">
        <f>IFERROR(IF(OR($B938="",$B938="(blank)"),"",VLOOKUP($B938,'Email Marketing Raw Data'!$C:$O,7,0)),"")</f>
        <v/>
      </c>
      <c r="P938" s="55" t="str">
        <f>IFERROR(IF(OR($B938="",$B938="(blank)"),"",VLOOKUP($B938,'Email Marketing Raw Data'!$C:$O,8,0)),"")</f>
        <v/>
      </c>
      <c r="Q938" s="62" t="str">
        <f>IFERROR(IF(OR($B938="",$B938="(blank)"),"",VLOOKUP($B938,'Email Marketing Raw Data'!$C:$O,9,0)),"")</f>
        <v/>
      </c>
    </row>
    <row r="939" spans="4:17" ht="12.75" customHeight="1" x14ac:dyDescent="0.2">
      <c r="D939" s="58" t="str">
        <f>IFERROR(IF(F939&lt;&gt;"pending","",IF(OR($B939="",$B939="(blank)"),"",VLOOKUP($B939,'Email Marketing Raw Data'!$C:$O,10,0))),"")</f>
        <v/>
      </c>
      <c r="E939" s="59" t="str">
        <f>IFERROR(IF(F939&lt;&gt;"pending","",IF(OR($B939="",$B939="(blank)"),"",VLOOKUP($B939,'Email Marketing Raw Data'!$C:$O,11,0))),"")</f>
        <v/>
      </c>
      <c r="F939" s="54" t="str">
        <f>IFERROR(IF(OR($B939="",$B939="(blank)"),"",VLOOKUP($B939,'Email Marketing Raw Data'!$C:$O,13,0)),"")</f>
        <v/>
      </c>
      <c r="G939" s="55" t="str">
        <f>IFERROR(IF(OR($B939="",$B939="(blank)"),"",VLOOKUP($B939,'Email Marketing Raw Data'!$C:$O,4,0)),"")</f>
        <v/>
      </c>
      <c r="H939" s="55" t="str">
        <f>IFERROR(IF(OR($B939="",$B939="(blank)"),"",VLOOKUP($B939,'Email Marketing Raw Data'!$C:$O,5,0)),"")</f>
        <v/>
      </c>
      <c r="I939" s="55" t="str">
        <f>IFERROR(IF($G939="","",VLOOKUP('Dashboard And Emails Automate'!$G939,Database!$H:$N,3,0)),"")</f>
        <v/>
      </c>
      <c r="J939" s="55" t="str">
        <f>IFERROR(IF($G939="","",VLOOKUP('Dashboard And Emails Automate'!$G939,Database!$H:$N,4,0)),"")</f>
        <v/>
      </c>
      <c r="K939" s="55" t="str">
        <f>IFERROR(IF($G939="","",VLOOKUP('Dashboard And Emails Automate'!$G939,Database!$H:$N,5,0)),"")</f>
        <v/>
      </c>
      <c r="L939" s="55" t="str">
        <f>IFERROR(IF($G939="","",VLOOKUP('Dashboard And Emails Automate'!$G939,Database!$H:$N,6,0)),"")</f>
        <v/>
      </c>
      <c r="M939" s="55" t="str">
        <f>IFERROR(IF($G939="","",VLOOKUP('Dashboard And Emails Automate'!$G939,Database!$H:$N,7,0)),"")</f>
        <v/>
      </c>
      <c r="N939" s="55" t="str">
        <f>IFERROR(IF(OR($B939="",$B939="(blank)"),"",VLOOKUP($B939,'Email Marketing Raw Data'!$C:$O,6,0)),"")</f>
        <v/>
      </c>
      <c r="O939" s="55" t="str">
        <f>IFERROR(IF(OR($B939="",$B939="(blank)"),"",VLOOKUP($B939,'Email Marketing Raw Data'!$C:$O,7,0)),"")</f>
        <v/>
      </c>
      <c r="P939" s="55" t="str">
        <f>IFERROR(IF(OR($B939="",$B939="(blank)"),"",VLOOKUP($B939,'Email Marketing Raw Data'!$C:$O,8,0)),"")</f>
        <v/>
      </c>
      <c r="Q939" s="62" t="str">
        <f>IFERROR(IF(OR($B939="",$B939="(blank)"),"",VLOOKUP($B939,'Email Marketing Raw Data'!$C:$O,9,0)),"")</f>
        <v/>
      </c>
    </row>
    <row r="940" spans="4:17" ht="12.75" customHeight="1" x14ac:dyDescent="0.2">
      <c r="D940" s="58" t="str">
        <f>IFERROR(IF(F940&lt;&gt;"pending","",IF(OR($B940="",$B940="(blank)"),"",VLOOKUP($B940,'Email Marketing Raw Data'!$C:$O,10,0))),"")</f>
        <v/>
      </c>
      <c r="E940" s="59" t="str">
        <f>IFERROR(IF(F940&lt;&gt;"pending","",IF(OR($B940="",$B940="(blank)"),"",VLOOKUP($B940,'Email Marketing Raw Data'!$C:$O,11,0))),"")</f>
        <v/>
      </c>
      <c r="F940" s="54" t="str">
        <f>IFERROR(IF(OR($B940="",$B940="(blank)"),"",VLOOKUP($B940,'Email Marketing Raw Data'!$C:$O,13,0)),"")</f>
        <v/>
      </c>
      <c r="G940" s="55" t="str">
        <f>IFERROR(IF(OR($B940="",$B940="(blank)"),"",VLOOKUP($B940,'Email Marketing Raw Data'!$C:$O,4,0)),"")</f>
        <v/>
      </c>
      <c r="H940" s="55" t="str">
        <f>IFERROR(IF(OR($B940="",$B940="(blank)"),"",VLOOKUP($B940,'Email Marketing Raw Data'!$C:$O,5,0)),"")</f>
        <v/>
      </c>
      <c r="I940" s="55" t="str">
        <f>IFERROR(IF($G940="","",VLOOKUP('Dashboard And Emails Automate'!$G940,Database!$H:$N,3,0)),"")</f>
        <v/>
      </c>
      <c r="J940" s="55" t="str">
        <f>IFERROR(IF($G940="","",VLOOKUP('Dashboard And Emails Automate'!$G940,Database!$H:$N,4,0)),"")</f>
        <v/>
      </c>
      <c r="K940" s="55" t="str">
        <f>IFERROR(IF($G940="","",VLOOKUP('Dashboard And Emails Automate'!$G940,Database!$H:$N,5,0)),"")</f>
        <v/>
      </c>
      <c r="L940" s="55" t="str">
        <f>IFERROR(IF($G940="","",VLOOKUP('Dashboard And Emails Automate'!$G940,Database!$H:$N,6,0)),"")</f>
        <v/>
      </c>
      <c r="M940" s="55" t="str">
        <f>IFERROR(IF($G940="","",VLOOKUP('Dashboard And Emails Automate'!$G940,Database!$H:$N,7,0)),"")</f>
        <v/>
      </c>
      <c r="N940" s="55" t="str">
        <f>IFERROR(IF(OR($B940="",$B940="(blank)"),"",VLOOKUP($B940,'Email Marketing Raw Data'!$C:$O,6,0)),"")</f>
        <v/>
      </c>
      <c r="O940" s="55" t="str">
        <f>IFERROR(IF(OR($B940="",$B940="(blank)"),"",VLOOKUP($B940,'Email Marketing Raw Data'!$C:$O,7,0)),"")</f>
        <v/>
      </c>
      <c r="P940" s="55" t="str">
        <f>IFERROR(IF(OR($B940="",$B940="(blank)"),"",VLOOKUP($B940,'Email Marketing Raw Data'!$C:$O,8,0)),"")</f>
        <v/>
      </c>
      <c r="Q940" s="62" t="str">
        <f>IFERROR(IF(OR($B940="",$B940="(blank)"),"",VLOOKUP($B940,'Email Marketing Raw Data'!$C:$O,9,0)),"")</f>
        <v/>
      </c>
    </row>
    <row r="941" spans="4:17" ht="12.75" customHeight="1" x14ac:dyDescent="0.2">
      <c r="D941" s="58" t="str">
        <f>IFERROR(IF(F941&lt;&gt;"pending","",IF(OR($B941="",$B941="(blank)"),"",VLOOKUP($B941,'Email Marketing Raw Data'!$C:$O,10,0))),"")</f>
        <v/>
      </c>
      <c r="E941" s="59" t="str">
        <f>IFERROR(IF(F941&lt;&gt;"pending","",IF(OR($B941="",$B941="(blank)"),"",VLOOKUP($B941,'Email Marketing Raw Data'!$C:$O,11,0))),"")</f>
        <v/>
      </c>
      <c r="F941" s="54" t="str">
        <f>IFERROR(IF(OR($B941="",$B941="(blank)"),"",VLOOKUP($B941,'Email Marketing Raw Data'!$C:$O,13,0)),"")</f>
        <v/>
      </c>
      <c r="G941" s="55" t="str">
        <f>IFERROR(IF(OR($B941="",$B941="(blank)"),"",VLOOKUP($B941,'Email Marketing Raw Data'!$C:$O,4,0)),"")</f>
        <v/>
      </c>
      <c r="H941" s="55" t="str">
        <f>IFERROR(IF(OR($B941="",$B941="(blank)"),"",VLOOKUP($B941,'Email Marketing Raw Data'!$C:$O,5,0)),"")</f>
        <v/>
      </c>
      <c r="I941" s="55" t="str">
        <f>IFERROR(IF($G941="","",VLOOKUP('Dashboard And Emails Automate'!$G941,Database!$H:$N,3,0)),"")</f>
        <v/>
      </c>
      <c r="J941" s="55" t="str">
        <f>IFERROR(IF($G941="","",VLOOKUP('Dashboard And Emails Automate'!$G941,Database!$H:$N,4,0)),"")</f>
        <v/>
      </c>
      <c r="K941" s="55" t="str">
        <f>IFERROR(IF($G941="","",VLOOKUP('Dashboard And Emails Automate'!$G941,Database!$H:$N,5,0)),"")</f>
        <v/>
      </c>
      <c r="L941" s="55" t="str">
        <f>IFERROR(IF($G941="","",VLOOKUP('Dashboard And Emails Automate'!$G941,Database!$H:$N,6,0)),"")</f>
        <v/>
      </c>
      <c r="M941" s="55" t="str">
        <f>IFERROR(IF($G941="","",VLOOKUP('Dashboard And Emails Automate'!$G941,Database!$H:$N,7,0)),"")</f>
        <v/>
      </c>
      <c r="N941" s="55" t="str">
        <f>IFERROR(IF(OR($B941="",$B941="(blank)"),"",VLOOKUP($B941,'Email Marketing Raw Data'!$C:$O,6,0)),"")</f>
        <v/>
      </c>
      <c r="O941" s="55" t="str">
        <f>IFERROR(IF(OR($B941="",$B941="(blank)"),"",VLOOKUP($B941,'Email Marketing Raw Data'!$C:$O,7,0)),"")</f>
        <v/>
      </c>
      <c r="P941" s="55" t="str">
        <f>IFERROR(IF(OR($B941="",$B941="(blank)"),"",VLOOKUP($B941,'Email Marketing Raw Data'!$C:$O,8,0)),"")</f>
        <v/>
      </c>
      <c r="Q941" s="62" t="str">
        <f>IFERROR(IF(OR($B941="",$B941="(blank)"),"",VLOOKUP($B941,'Email Marketing Raw Data'!$C:$O,9,0)),"")</f>
        <v/>
      </c>
    </row>
    <row r="942" spans="4:17" ht="12.75" customHeight="1" x14ac:dyDescent="0.2">
      <c r="D942" s="58" t="str">
        <f>IFERROR(IF(F942&lt;&gt;"pending","",IF(OR($B942="",$B942="(blank)"),"",VLOOKUP($B942,'Email Marketing Raw Data'!$C:$O,10,0))),"")</f>
        <v/>
      </c>
      <c r="E942" s="59" t="str">
        <f>IFERROR(IF(F942&lt;&gt;"pending","",IF(OR($B942="",$B942="(blank)"),"",VLOOKUP($B942,'Email Marketing Raw Data'!$C:$O,11,0))),"")</f>
        <v/>
      </c>
      <c r="F942" s="54" t="str">
        <f>IFERROR(IF(OR($B942="",$B942="(blank)"),"",VLOOKUP($B942,'Email Marketing Raw Data'!$C:$O,13,0)),"")</f>
        <v/>
      </c>
      <c r="G942" s="55" t="str">
        <f>IFERROR(IF(OR($B942="",$B942="(blank)"),"",VLOOKUP($B942,'Email Marketing Raw Data'!$C:$O,4,0)),"")</f>
        <v/>
      </c>
      <c r="H942" s="55" t="str">
        <f>IFERROR(IF(OR($B942="",$B942="(blank)"),"",VLOOKUP($B942,'Email Marketing Raw Data'!$C:$O,5,0)),"")</f>
        <v/>
      </c>
      <c r="I942" s="55" t="str">
        <f>IFERROR(IF($G942="","",VLOOKUP('Dashboard And Emails Automate'!$G942,Database!$H:$N,3,0)),"")</f>
        <v/>
      </c>
      <c r="J942" s="55" t="str">
        <f>IFERROR(IF($G942="","",VLOOKUP('Dashboard And Emails Automate'!$G942,Database!$H:$N,4,0)),"")</f>
        <v/>
      </c>
      <c r="K942" s="55" t="str">
        <f>IFERROR(IF($G942="","",VLOOKUP('Dashboard And Emails Automate'!$G942,Database!$H:$N,5,0)),"")</f>
        <v/>
      </c>
      <c r="L942" s="55" t="str">
        <f>IFERROR(IF($G942="","",VLOOKUP('Dashboard And Emails Automate'!$G942,Database!$H:$N,6,0)),"")</f>
        <v/>
      </c>
      <c r="M942" s="55" t="str">
        <f>IFERROR(IF($G942="","",VLOOKUP('Dashboard And Emails Automate'!$G942,Database!$H:$N,7,0)),"")</f>
        <v/>
      </c>
      <c r="N942" s="55" t="str">
        <f>IFERROR(IF(OR($B942="",$B942="(blank)"),"",VLOOKUP($B942,'Email Marketing Raw Data'!$C:$O,6,0)),"")</f>
        <v/>
      </c>
      <c r="O942" s="55" t="str">
        <f>IFERROR(IF(OR($B942="",$B942="(blank)"),"",VLOOKUP($B942,'Email Marketing Raw Data'!$C:$O,7,0)),"")</f>
        <v/>
      </c>
      <c r="P942" s="55" t="str">
        <f>IFERROR(IF(OR($B942="",$B942="(blank)"),"",VLOOKUP($B942,'Email Marketing Raw Data'!$C:$O,8,0)),"")</f>
        <v/>
      </c>
      <c r="Q942" s="62" t="str">
        <f>IFERROR(IF(OR($B942="",$B942="(blank)"),"",VLOOKUP($B942,'Email Marketing Raw Data'!$C:$O,9,0)),"")</f>
        <v/>
      </c>
    </row>
    <row r="943" spans="4:17" ht="12.75" customHeight="1" x14ac:dyDescent="0.2">
      <c r="D943" s="58" t="str">
        <f>IFERROR(IF(F943&lt;&gt;"pending","",IF(OR($B943="",$B943="(blank)"),"",VLOOKUP($B943,'Email Marketing Raw Data'!$C:$O,10,0))),"")</f>
        <v/>
      </c>
      <c r="E943" s="59" t="str">
        <f>IFERROR(IF(F943&lt;&gt;"pending","",IF(OR($B943="",$B943="(blank)"),"",VLOOKUP($B943,'Email Marketing Raw Data'!$C:$O,11,0))),"")</f>
        <v/>
      </c>
      <c r="F943" s="54" t="str">
        <f>IFERROR(IF(OR($B943="",$B943="(blank)"),"",VLOOKUP($B943,'Email Marketing Raw Data'!$C:$O,13,0)),"")</f>
        <v/>
      </c>
      <c r="G943" s="55" t="str">
        <f>IFERROR(IF(OR($B943="",$B943="(blank)"),"",VLOOKUP($B943,'Email Marketing Raw Data'!$C:$O,4,0)),"")</f>
        <v/>
      </c>
      <c r="H943" s="55" t="str">
        <f>IFERROR(IF(OR($B943="",$B943="(blank)"),"",VLOOKUP($B943,'Email Marketing Raw Data'!$C:$O,5,0)),"")</f>
        <v/>
      </c>
      <c r="I943" s="55" t="str">
        <f>IFERROR(IF($G943="","",VLOOKUP('Dashboard And Emails Automate'!$G943,Database!$H:$N,3,0)),"")</f>
        <v/>
      </c>
      <c r="J943" s="55" t="str">
        <f>IFERROR(IF($G943="","",VLOOKUP('Dashboard And Emails Automate'!$G943,Database!$H:$N,4,0)),"")</f>
        <v/>
      </c>
      <c r="K943" s="55" t="str">
        <f>IFERROR(IF($G943="","",VLOOKUP('Dashboard And Emails Automate'!$G943,Database!$H:$N,5,0)),"")</f>
        <v/>
      </c>
      <c r="L943" s="55" t="str">
        <f>IFERROR(IF($G943="","",VLOOKUP('Dashboard And Emails Automate'!$G943,Database!$H:$N,6,0)),"")</f>
        <v/>
      </c>
      <c r="M943" s="55" t="str">
        <f>IFERROR(IF($G943="","",VLOOKUP('Dashboard And Emails Automate'!$G943,Database!$H:$N,7,0)),"")</f>
        <v/>
      </c>
      <c r="N943" s="55" t="str">
        <f>IFERROR(IF(OR($B943="",$B943="(blank)"),"",VLOOKUP($B943,'Email Marketing Raw Data'!$C:$O,6,0)),"")</f>
        <v/>
      </c>
      <c r="O943" s="55" t="str">
        <f>IFERROR(IF(OR($B943="",$B943="(blank)"),"",VLOOKUP($B943,'Email Marketing Raw Data'!$C:$O,7,0)),"")</f>
        <v/>
      </c>
      <c r="P943" s="55" t="str">
        <f>IFERROR(IF(OR($B943="",$B943="(blank)"),"",VLOOKUP($B943,'Email Marketing Raw Data'!$C:$O,8,0)),"")</f>
        <v/>
      </c>
      <c r="Q943" s="62" t="str">
        <f>IFERROR(IF(OR($B943="",$B943="(blank)"),"",VLOOKUP($B943,'Email Marketing Raw Data'!$C:$O,9,0)),"")</f>
        <v/>
      </c>
    </row>
    <row r="944" spans="4:17" ht="12.75" customHeight="1" x14ac:dyDescent="0.2">
      <c r="D944" s="58" t="str">
        <f>IFERROR(IF(F944&lt;&gt;"pending","",IF(OR($B944="",$B944="(blank)"),"",VLOOKUP($B944,'Email Marketing Raw Data'!$C:$O,10,0))),"")</f>
        <v/>
      </c>
      <c r="E944" s="59" t="str">
        <f>IFERROR(IF(F944&lt;&gt;"pending","",IF(OR($B944="",$B944="(blank)"),"",VLOOKUP($B944,'Email Marketing Raw Data'!$C:$O,11,0))),"")</f>
        <v/>
      </c>
      <c r="F944" s="54" t="str">
        <f>IFERROR(IF(OR($B944="",$B944="(blank)"),"",VLOOKUP($B944,'Email Marketing Raw Data'!$C:$O,13,0)),"")</f>
        <v/>
      </c>
      <c r="G944" s="55" t="str">
        <f>IFERROR(IF(OR($B944="",$B944="(blank)"),"",VLOOKUP($B944,'Email Marketing Raw Data'!$C:$O,4,0)),"")</f>
        <v/>
      </c>
      <c r="H944" s="55" t="str">
        <f>IFERROR(IF(OR($B944="",$B944="(blank)"),"",VLOOKUP($B944,'Email Marketing Raw Data'!$C:$O,5,0)),"")</f>
        <v/>
      </c>
      <c r="I944" s="55" t="str">
        <f>IFERROR(IF($G944="","",VLOOKUP('Dashboard And Emails Automate'!$G944,Database!$H:$N,3,0)),"")</f>
        <v/>
      </c>
      <c r="J944" s="55" t="str">
        <f>IFERROR(IF($G944="","",VLOOKUP('Dashboard And Emails Automate'!$G944,Database!$H:$N,4,0)),"")</f>
        <v/>
      </c>
      <c r="K944" s="55" t="str">
        <f>IFERROR(IF($G944="","",VLOOKUP('Dashboard And Emails Automate'!$G944,Database!$H:$N,5,0)),"")</f>
        <v/>
      </c>
      <c r="L944" s="55" t="str">
        <f>IFERROR(IF($G944="","",VLOOKUP('Dashboard And Emails Automate'!$G944,Database!$H:$N,6,0)),"")</f>
        <v/>
      </c>
      <c r="M944" s="55" t="str">
        <f>IFERROR(IF($G944="","",VLOOKUP('Dashboard And Emails Automate'!$G944,Database!$H:$N,7,0)),"")</f>
        <v/>
      </c>
      <c r="N944" s="55" t="str">
        <f>IFERROR(IF(OR($B944="",$B944="(blank)"),"",VLOOKUP($B944,'Email Marketing Raw Data'!$C:$O,6,0)),"")</f>
        <v/>
      </c>
      <c r="O944" s="55" t="str">
        <f>IFERROR(IF(OR($B944="",$B944="(blank)"),"",VLOOKUP($B944,'Email Marketing Raw Data'!$C:$O,7,0)),"")</f>
        <v/>
      </c>
      <c r="P944" s="55" t="str">
        <f>IFERROR(IF(OR($B944="",$B944="(blank)"),"",VLOOKUP($B944,'Email Marketing Raw Data'!$C:$O,8,0)),"")</f>
        <v/>
      </c>
      <c r="Q944" s="62" t="str">
        <f>IFERROR(IF(OR($B944="",$B944="(blank)"),"",VLOOKUP($B944,'Email Marketing Raw Data'!$C:$O,9,0)),"")</f>
        <v/>
      </c>
    </row>
    <row r="945" spans="4:17" ht="12.75" customHeight="1" x14ac:dyDescent="0.2">
      <c r="D945" s="58" t="str">
        <f>IFERROR(IF(F945&lt;&gt;"pending","",IF(OR($B945="",$B945="(blank)"),"",VLOOKUP($B945,'Email Marketing Raw Data'!$C:$O,10,0))),"")</f>
        <v/>
      </c>
      <c r="E945" s="59" t="str">
        <f>IFERROR(IF(F945&lt;&gt;"pending","",IF(OR($B945="",$B945="(blank)"),"",VLOOKUP($B945,'Email Marketing Raw Data'!$C:$O,11,0))),"")</f>
        <v/>
      </c>
      <c r="F945" s="54" t="str">
        <f>IFERROR(IF(OR($B945="",$B945="(blank)"),"",VLOOKUP($B945,'Email Marketing Raw Data'!$C:$O,13,0)),"")</f>
        <v/>
      </c>
      <c r="G945" s="55" t="str">
        <f>IFERROR(IF(OR($B945="",$B945="(blank)"),"",VLOOKUP($B945,'Email Marketing Raw Data'!$C:$O,4,0)),"")</f>
        <v/>
      </c>
      <c r="H945" s="55" t="str">
        <f>IFERROR(IF(OR($B945="",$B945="(blank)"),"",VLOOKUP($B945,'Email Marketing Raw Data'!$C:$O,5,0)),"")</f>
        <v/>
      </c>
      <c r="I945" s="55" t="str">
        <f>IFERROR(IF($G945="","",VLOOKUP('Dashboard And Emails Automate'!$G945,Database!$H:$N,3,0)),"")</f>
        <v/>
      </c>
      <c r="J945" s="55" t="str">
        <f>IFERROR(IF($G945="","",VLOOKUP('Dashboard And Emails Automate'!$G945,Database!$H:$N,4,0)),"")</f>
        <v/>
      </c>
      <c r="K945" s="55" t="str">
        <f>IFERROR(IF($G945="","",VLOOKUP('Dashboard And Emails Automate'!$G945,Database!$H:$N,5,0)),"")</f>
        <v/>
      </c>
      <c r="L945" s="55" t="str">
        <f>IFERROR(IF($G945="","",VLOOKUP('Dashboard And Emails Automate'!$G945,Database!$H:$N,6,0)),"")</f>
        <v/>
      </c>
      <c r="M945" s="55" t="str">
        <f>IFERROR(IF($G945="","",VLOOKUP('Dashboard And Emails Automate'!$G945,Database!$H:$N,7,0)),"")</f>
        <v/>
      </c>
      <c r="N945" s="55" t="str">
        <f>IFERROR(IF(OR($B945="",$B945="(blank)"),"",VLOOKUP($B945,'Email Marketing Raw Data'!$C:$O,6,0)),"")</f>
        <v/>
      </c>
      <c r="O945" s="55" t="str">
        <f>IFERROR(IF(OR($B945="",$B945="(blank)"),"",VLOOKUP($B945,'Email Marketing Raw Data'!$C:$O,7,0)),"")</f>
        <v/>
      </c>
      <c r="P945" s="55" t="str">
        <f>IFERROR(IF(OR($B945="",$B945="(blank)"),"",VLOOKUP($B945,'Email Marketing Raw Data'!$C:$O,8,0)),"")</f>
        <v/>
      </c>
      <c r="Q945" s="62" t="str">
        <f>IFERROR(IF(OR($B945="",$B945="(blank)"),"",VLOOKUP($B945,'Email Marketing Raw Data'!$C:$O,9,0)),"")</f>
        <v/>
      </c>
    </row>
    <row r="946" spans="4:17" ht="12.75" customHeight="1" x14ac:dyDescent="0.2">
      <c r="D946" s="58" t="str">
        <f>IFERROR(IF(F946&lt;&gt;"pending","",IF(OR($B946="",$B946="(blank)"),"",VLOOKUP($B946,'Email Marketing Raw Data'!$C:$O,10,0))),"")</f>
        <v/>
      </c>
      <c r="E946" s="59" t="str">
        <f>IFERROR(IF(F946&lt;&gt;"pending","",IF(OR($B946="",$B946="(blank)"),"",VLOOKUP($B946,'Email Marketing Raw Data'!$C:$O,11,0))),"")</f>
        <v/>
      </c>
      <c r="F946" s="54" t="str">
        <f>IFERROR(IF(OR($B946="",$B946="(blank)"),"",VLOOKUP($B946,'Email Marketing Raw Data'!$C:$O,13,0)),"")</f>
        <v/>
      </c>
      <c r="G946" s="55" t="str">
        <f>IFERROR(IF(OR($B946="",$B946="(blank)"),"",VLOOKUP($B946,'Email Marketing Raw Data'!$C:$O,4,0)),"")</f>
        <v/>
      </c>
      <c r="H946" s="55" t="str">
        <f>IFERROR(IF(OR($B946="",$B946="(blank)"),"",VLOOKUP($B946,'Email Marketing Raw Data'!$C:$O,5,0)),"")</f>
        <v/>
      </c>
      <c r="I946" s="55" t="str">
        <f>IFERROR(IF($G946="","",VLOOKUP('Dashboard And Emails Automate'!$G946,Database!$H:$N,3,0)),"")</f>
        <v/>
      </c>
      <c r="J946" s="55" t="str">
        <f>IFERROR(IF($G946="","",VLOOKUP('Dashboard And Emails Automate'!$G946,Database!$H:$N,4,0)),"")</f>
        <v/>
      </c>
      <c r="K946" s="55" t="str">
        <f>IFERROR(IF($G946="","",VLOOKUP('Dashboard And Emails Automate'!$G946,Database!$H:$N,5,0)),"")</f>
        <v/>
      </c>
      <c r="L946" s="55" t="str">
        <f>IFERROR(IF($G946="","",VLOOKUP('Dashboard And Emails Automate'!$G946,Database!$H:$N,6,0)),"")</f>
        <v/>
      </c>
      <c r="M946" s="55" t="str">
        <f>IFERROR(IF($G946="","",VLOOKUP('Dashboard And Emails Automate'!$G946,Database!$H:$N,7,0)),"")</f>
        <v/>
      </c>
      <c r="N946" s="55" t="str">
        <f>IFERROR(IF(OR($B946="",$B946="(blank)"),"",VLOOKUP($B946,'Email Marketing Raw Data'!$C:$O,6,0)),"")</f>
        <v/>
      </c>
      <c r="O946" s="55" t="str">
        <f>IFERROR(IF(OR($B946="",$B946="(blank)"),"",VLOOKUP($B946,'Email Marketing Raw Data'!$C:$O,7,0)),"")</f>
        <v/>
      </c>
      <c r="P946" s="55" t="str">
        <f>IFERROR(IF(OR($B946="",$B946="(blank)"),"",VLOOKUP($B946,'Email Marketing Raw Data'!$C:$O,8,0)),"")</f>
        <v/>
      </c>
      <c r="Q946" s="62" t="str">
        <f>IFERROR(IF(OR($B946="",$B946="(blank)"),"",VLOOKUP($B946,'Email Marketing Raw Data'!$C:$O,9,0)),"")</f>
        <v/>
      </c>
    </row>
    <row r="947" spans="4:17" ht="12.75" customHeight="1" x14ac:dyDescent="0.2">
      <c r="D947" s="58" t="str">
        <f>IFERROR(IF(F947&lt;&gt;"pending","",IF(OR($B947="",$B947="(blank)"),"",VLOOKUP($B947,'Email Marketing Raw Data'!$C:$O,10,0))),"")</f>
        <v/>
      </c>
      <c r="E947" s="59" t="str">
        <f>IFERROR(IF(F947&lt;&gt;"pending","",IF(OR($B947="",$B947="(blank)"),"",VLOOKUP($B947,'Email Marketing Raw Data'!$C:$O,11,0))),"")</f>
        <v/>
      </c>
      <c r="F947" s="54" t="str">
        <f>IFERROR(IF(OR($B947="",$B947="(blank)"),"",VLOOKUP($B947,'Email Marketing Raw Data'!$C:$O,13,0)),"")</f>
        <v/>
      </c>
      <c r="G947" s="55" t="str">
        <f>IFERROR(IF(OR($B947="",$B947="(blank)"),"",VLOOKUP($B947,'Email Marketing Raw Data'!$C:$O,4,0)),"")</f>
        <v/>
      </c>
      <c r="H947" s="55" t="str">
        <f>IFERROR(IF(OR($B947="",$B947="(blank)"),"",VLOOKUP($B947,'Email Marketing Raw Data'!$C:$O,5,0)),"")</f>
        <v/>
      </c>
      <c r="I947" s="55" t="str">
        <f>IFERROR(IF($G947="","",VLOOKUP('Dashboard And Emails Automate'!$G947,Database!$H:$N,3,0)),"")</f>
        <v/>
      </c>
      <c r="J947" s="55" t="str">
        <f>IFERROR(IF($G947="","",VLOOKUP('Dashboard And Emails Automate'!$G947,Database!$H:$N,4,0)),"")</f>
        <v/>
      </c>
      <c r="K947" s="55" t="str">
        <f>IFERROR(IF($G947="","",VLOOKUP('Dashboard And Emails Automate'!$G947,Database!$H:$N,5,0)),"")</f>
        <v/>
      </c>
      <c r="L947" s="55" t="str">
        <f>IFERROR(IF($G947="","",VLOOKUP('Dashboard And Emails Automate'!$G947,Database!$H:$N,6,0)),"")</f>
        <v/>
      </c>
      <c r="M947" s="55" t="str">
        <f>IFERROR(IF($G947="","",VLOOKUP('Dashboard And Emails Automate'!$G947,Database!$H:$N,7,0)),"")</f>
        <v/>
      </c>
      <c r="N947" s="55" t="str">
        <f>IFERROR(IF(OR($B947="",$B947="(blank)"),"",VLOOKUP($B947,'Email Marketing Raw Data'!$C:$O,6,0)),"")</f>
        <v/>
      </c>
      <c r="O947" s="55" t="str">
        <f>IFERROR(IF(OR($B947="",$B947="(blank)"),"",VLOOKUP($B947,'Email Marketing Raw Data'!$C:$O,7,0)),"")</f>
        <v/>
      </c>
      <c r="P947" s="55" t="str">
        <f>IFERROR(IF(OR($B947="",$B947="(blank)"),"",VLOOKUP($B947,'Email Marketing Raw Data'!$C:$O,8,0)),"")</f>
        <v/>
      </c>
      <c r="Q947" s="62" t="str">
        <f>IFERROR(IF(OR($B947="",$B947="(blank)"),"",VLOOKUP($B947,'Email Marketing Raw Data'!$C:$O,9,0)),"")</f>
        <v/>
      </c>
    </row>
    <row r="948" spans="4:17" ht="12.75" customHeight="1" x14ac:dyDescent="0.2">
      <c r="D948" s="58" t="str">
        <f>IFERROR(IF(F948&lt;&gt;"pending","",IF(OR($B948="",$B948="(blank)"),"",VLOOKUP($B948,'Email Marketing Raw Data'!$C:$O,10,0))),"")</f>
        <v/>
      </c>
      <c r="E948" s="59" t="str">
        <f>IFERROR(IF(F948&lt;&gt;"pending","",IF(OR($B948="",$B948="(blank)"),"",VLOOKUP($B948,'Email Marketing Raw Data'!$C:$O,11,0))),"")</f>
        <v/>
      </c>
      <c r="F948" s="54" t="str">
        <f>IFERROR(IF(OR($B948="",$B948="(blank)"),"",VLOOKUP($B948,'Email Marketing Raw Data'!$C:$O,13,0)),"")</f>
        <v/>
      </c>
      <c r="G948" s="55" t="str">
        <f>IFERROR(IF(OR($B948="",$B948="(blank)"),"",VLOOKUP($B948,'Email Marketing Raw Data'!$C:$O,4,0)),"")</f>
        <v/>
      </c>
      <c r="H948" s="55" t="str">
        <f>IFERROR(IF(OR($B948="",$B948="(blank)"),"",VLOOKUP($B948,'Email Marketing Raw Data'!$C:$O,5,0)),"")</f>
        <v/>
      </c>
      <c r="I948" s="55" t="str">
        <f>IFERROR(IF($G948="","",VLOOKUP('Dashboard And Emails Automate'!$G948,Database!$H:$N,3,0)),"")</f>
        <v/>
      </c>
      <c r="J948" s="55" t="str">
        <f>IFERROR(IF($G948="","",VLOOKUP('Dashboard And Emails Automate'!$G948,Database!$H:$N,4,0)),"")</f>
        <v/>
      </c>
      <c r="K948" s="55" t="str">
        <f>IFERROR(IF($G948="","",VLOOKUP('Dashboard And Emails Automate'!$G948,Database!$H:$N,5,0)),"")</f>
        <v/>
      </c>
      <c r="L948" s="55" t="str">
        <f>IFERROR(IF($G948="","",VLOOKUP('Dashboard And Emails Automate'!$G948,Database!$H:$N,6,0)),"")</f>
        <v/>
      </c>
      <c r="M948" s="55" t="str">
        <f>IFERROR(IF($G948="","",VLOOKUP('Dashboard And Emails Automate'!$G948,Database!$H:$N,7,0)),"")</f>
        <v/>
      </c>
      <c r="N948" s="55" t="str">
        <f>IFERROR(IF(OR($B948="",$B948="(blank)"),"",VLOOKUP($B948,'Email Marketing Raw Data'!$C:$O,6,0)),"")</f>
        <v/>
      </c>
      <c r="O948" s="55" t="str">
        <f>IFERROR(IF(OR($B948="",$B948="(blank)"),"",VLOOKUP($B948,'Email Marketing Raw Data'!$C:$O,7,0)),"")</f>
        <v/>
      </c>
      <c r="P948" s="55" t="str">
        <f>IFERROR(IF(OR($B948="",$B948="(blank)"),"",VLOOKUP($B948,'Email Marketing Raw Data'!$C:$O,8,0)),"")</f>
        <v/>
      </c>
      <c r="Q948" s="62" t="str">
        <f>IFERROR(IF(OR($B948="",$B948="(blank)"),"",VLOOKUP($B948,'Email Marketing Raw Data'!$C:$O,9,0)),"")</f>
        <v/>
      </c>
    </row>
    <row r="949" spans="4:17" ht="12.75" customHeight="1" x14ac:dyDescent="0.2">
      <c r="D949" s="58" t="str">
        <f>IFERROR(IF(F949&lt;&gt;"pending","",IF(OR($B949="",$B949="(blank)"),"",VLOOKUP($B949,'Email Marketing Raw Data'!$C:$O,10,0))),"")</f>
        <v/>
      </c>
      <c r="E949" s="59" t="str">
        <f>IFERROR(IF(F949&lt;&gt;"pending","",IF(OR($B949="",$B949="(blank)"),"",VLOOKUP($B949,'Email Marketing Raw Data'!$C:$O,11,0))),"")</f>
        <v/>
      </c>
      <c r="F949" s="54" t="str">
        <f>IFERROR(IF(OR($B949="",$B949="(blank)"),"",VLOOKUP($B949,'Email Marketing Raw Data'!$C:$O,13,0)),"")</f>
        <v/>
      </c>
      <c r="G949" s="55" t="str">
        <f>IFERROR(IF(OR($B949="",$B949="(blank)"),"",VLOOKUP($B949,'Email Marketing Raw Data'!$C:$O,4,0)),"")</f>
        <v/>
      </c>
      <c r="H949" s="55" t="str">
        <f>IFERROR(IF(OR($B949="",$B949="(blank)"),"",VLOOKUP($B949,'Email Marketing Raw Data'!$C:$O,5,0)),"")</f>
        <v/>
      </c>
      <c r="I949" s="55" t="str">
        <f>IFERROR(IF($G949="","",VLOOKUP('Dashboard And Emails Automate'!$G949,Database!$H:$N,3,0)),"")</f>
        <v/>
      </c>
      <c r="J949" s="55" t="str">
        <f>IFERROR(IF($G949="","",VLOOKUP('Dashboard And Emails Automate'!$G949,Database!$H:$N,4,0)),"")</f>
        <v/>
      </c>
      <c r="K949" s="55" t="str">
        <f>IFERROR(IF($G949="","",VLOOKUP('Dashboard And Emails Automate'!$G949,Database!$H:$N,5,0)),"")</f>
        <v/>
      </c>
      <c r="L949" s="55" t="str">
        <f>IFERROR(IF($G949="","",VLOOKUP('Dashboard And Emails Automate'!$G949,Database!$H:$N,6,0)),"")</f>
        <v/>
      </c>
      <c r="M949" s="55" t="str">
        <f>IFERROR(IF($G949="","",VLOOKUP('Dashboard And Emails Automate'!$G949,Database!$H:$N,7,0)),"")</f>
        <v/>
      </c>
      <c r="N949" s="55" t="str">
        <f>IFERROR(IF(OR($B949="",$B949="(blank)"),"",VLOOKUP($B949,'Email Marketing Raw Data'!$C:$O,6,0)),"")</f>
        <v/>
      </c>
      <c r="O949" s="55" t="str">
        <f>IFERROR(IF(OR($B949="",$B949="(blank)"),"",VLOOKUP($B949,'Email Marketing Raw Data'!$C:$O,7,0)),"")</f>
        <v/>
      </c>
      <c r="P949" s="55" t="str">
        <f>IFERROR(IF(OR($B949="",$B949="(blank)"),"",VLOOKUP($B949,'Email Marketing Raw Data'!$C:$O,8,0)),"")</f>
        <v/>
      </c>
      <c r="Q949" s="62" t="str">
        <f>IFERROR(IF(OR($B949="",$B949="(blank)"),"",VLOOKUP($B949,'Email Marketing Raw Data'!$C:$O,9,0)),"")</f>
        <v/>
      </c>
    </row>
    <row r="950" spans="4:17" ht="12.75" customHeight="1" x14ac:dyDescent="0.2">
      <c r="D950" s="58" t="str">
        <f>IFERROR(IF(F950&lt;&gt;"pending","",IF(OR($B950="",$B950="(blank)"),"",VLOOKUP($B950,'Email Marketing Raw Data'!$C:$O,10,0))),"")</f>
        <v/>
      </c>
      <c r="E950" s="59" t="str">
        <f>IFERROR(IF(F950&lt;&gt;"pending","",IF(OR($B950="",$B950="(blank)"),"",VLOOKUP($B950,'Email Marketing Raw Data'!$C:$O,11,0))),"")</f>
        <v/>
      </c>
      <c r="F950" s="54" t="str">
        <f>IFERROR(IF(OR($B950="",$B950="(blank)"),"",VLOOKUP($B950,'Email Marketing Raw Data'!$C:$O,13,0)),"")</f>
        <v/>
      </c>
      <c r="G950" s="55" t="str">
        <f>IFERROR(IF(OR($B950="",$B950="(blank)"),"",VLOOKUP($B950,'Email Marketing Raw Data'!$C:$O,4,0)),"")</f>
        <v/>
      </c>
      <c r="H950" s="55" t="str">
        <f>IFERROR(IF(OR($B950="",$B950="(blank)"),"",VLOOKUP($B950,'Email Marketing Raw Data'!$C:$O,5,0)),"")</f>
        <v/>
      </c>
      <c r="I950" s="55" t="str">
        <f>IFERROR(IF($G950="","",VLOOKUP('Dashboard And Emails Automate'!$G950,Database!$H:$N,3,0)),"")</f>
        <v/>
      </c>
      <c r="J950" s="55" t="str">
        <f>IFERROR(IF($G950="","",VLOOKUP('Dashboard And Emails Automate'!$G950,Database!$H:$N,4,0)),"")</f>
        <v/>
      </c>
      <c r="K950" s="55" t="str">
        <f>IFERROR(IF($G950="","",VLOOKUP('Dashboard And Emails Automate'!$G950,Database!$H:$N,5,0)),"")</f>
        <v/>
      </c>
      <c r="L950" s="55" t="str">
        <f>IFERROR(IF($G950="","",VLOOKUP('Dashboard And Emails Automate'!$G950,Database!$H:$N,6,0)),"")</f>
        <v/>
      </c>
      <c r="M950" s="55" t="str">
        <f>IFERROR(IF($G950="","",VLOOKUP('Dashboard And Emails Automate'!$G950,Database!$H:$N,7,0)),"")</f>
        <v/>
      </c>
      <c r="N950" s="55" t="str">
        <f>IFERROR(IF(OR($B950="",$B950="(blank)"),"",VLOOKUP($B950,'Email Marketing Raw Data'!$C:$O,6,0)),"")</f>
        <v/>
      </c>
      <c r="O950" s="55" t="str">
        <f>IFERROR(IF(OR($B950="",$B950="(blank)"),"",VLOOKUP($B950,'Email Marketing Raw Data'!$C:$O,7,0)),"")</f>
        <v/>
      </c>
      <c r="P950" s="55" t="str">
        <f>IFERROR(IF(OR($B950="",$B950="(blank)"),"",VLOOKUP($B950,'Email Marketing Raw Data'!$C:$O,8,0)),"")</f>
        <v/>
      </c>
      <c r="Q950" s="62" t="str">
        <f>IFERROR(IF(OR($B950="",$B950="(blank)"),"",VLOOKUP($B950,'Email Marketing Raw Data'!$C:$O,9,0)),"")</f>
        <v/>
      </c>
    </row>
    <row r="951" spans="4:17" ht="12.75" customHeight="1" x14ac:dyDescent="0.2">
      <c r="D951" s="58" t="str">
        <f>IFERROR(IF(F951&lt;&gt;"pending","",IF(OR($B951="",$B951="(blank)"),"",VLOOKUP($B951,'Email Marketing Raw Data'!$C:$O,10,0))),"")</f>
        <v/>
      </c>
      <c r="E951" s="59" t="str">
        <f>IFERROR(IF(F951&lt;&gt;"pending","",IF(OR($B951="",$B951="(blank)"),"",VLOOKUP($B951,'Email Marketing Raw Data'!$C:$O,11,0))),"")</f>
        <v/>
      </c>
      <c r="F951" s="54" t="str">
        <f>IFERROR(IF(OR($B951="",$B951="(blank)"),"",VLOOKUP($B951,'Email Marketing Raw Data'!$C:$O,13,0)),"")</f>
        <v/>
      </c>
      <c r="G951" s="55" t="str">
        <f>IFERROR(IF(OR($B951="",$B951="(blank)"),"",VLOOKUP($B951,'Email Marketing Raw Data'!$C:$O,4,0)),"")</f>
        <v/>
      </c>
      <c r="H951" s="55" t="str">
        <f>IFERROR(IF(OR($B951="",$B951="(blank)"),"",VLOOKUP($B951,'Email Marketing Raw Data'!$C:$O,5,0)),"")</f>
        <v/>
      </c>
      <c r="I951" s="55" t="str">
        <f>IFERROR(IF($G951="","",VLOOKUP('Dashboard And Emails Automate'!$G951,Database!$H:$N,3,0)),"")</f>
        <v/>
      </c>
      <c r="J951" s="55" t="str">
        <f>IFERROR(IF($G951="","",VLOOKUP('Dashboard And Emails Automate'!$G951,Database!$H:$N,4,0)),"")</f>
        <v/>
      </c>
      <c r="K951" s="55" t="str">
        <f>IFERROR(IF($G951="","",VLOOKUP('Dashboard And Emails Automate'!$G951,Database!$H:$N,5,0)),"")</f>
        <v/>
      </c>
      <c r="L951" s="55" t="str">
        <f>IFERROR(IF($G951="","",VLOOKUP('Dashboard And Emails Automate'!$G951,Database!$H:$N,6,0)),"")</f>
        <v/>
      </c>
      <c r="M951" s="55" t="str">
        <f>IFERROR(IF($G951="","",VLOOKUP('Dashboard And Emails Automate'!$G951,Database!$H:$N,7,0)),"")</f>
        <v/>
      </c>
      <c r="N951" s="55" t="str">
        <f>IFERROR(IF(OR($B951="",$B951="(blank)"),"",VLOOKUP($B951,'Email Marketing Raw Data'!$C:$O,6,0)),"")</f>
        <v/>
      </c>
      <c r="O951" s="55" t="str">
        <f>IFERROR(IF(OR($B951="",$B951="(blank)"),"",VLOOKUP($B951,'Email Marketing Raw Data'!$C:$O,7,0)),"")</f>
        <v/>
      </c>
      <c r="P951" s="55" t="str">
        <f>IFERROR(IF(OR($B951="",$B951="(blank)"),"",VLOOKUP($B951,'Email Marketing Raw Data'!$C:$O,8,0)),"")</f>
        <v/>
      </c>
      <c r="Q951" s="62" t="str">
        <f>IFERROR(IF(OR($B951="",$B951="(blank)"),"",VLOOKUP($B951,'Email Marketing Raw Data'!$C:$O,9,0)),"")</f>
        <v/>
      </c>
    </row>
    <row r="952" spans="4:17" ht="12.75" customHeight="1" x14ac:dyDescent="0.2">
      <c r="D952" s="58" t="str">
        <f>IFERROR(IF(F952&lt;&gt;"pending","",IF(OR($B952="",$B952="(blank)"),"",VLOOKUP($B952,'Email Marketing Raw Data'!$C:$O,10,0))),"")</f>
        <v/>
      </c>
      <c r="E952" s="59" t="str">
        <f>IFERROR(IF(F952&lt;&gt;"pending","",IF(OR($B952="",$B952="(blank)"),"",VLOOKUP($B952,'Email Marketing Raw Data'!$C:$O,11,0))),"")</f>
        <v/>
      </c>
      <c r="F952" s="54" t="str">
        <f>IFERROR(IF(OR($B952="",$B952="(blank)"),"",VLOOKUP($B952,'Email Marketing Raw Data'!$C:$O,13,0)),"")</f>
        <v/>
      </c>
      <c r="G952" s="55" t="str">
        <f>IFERROR(IF(OR($B952="",$B952="(blank)"),"",VLOOKUP($B952,'Email Marketing Raw Data'!$C:$O,4,0)),"")</f>
        <v/>
      </c>
      <c r="H952" s="55" t="str">
        <f>IFERROR(IF(OR($B952="",$B952="(blank)"),"",VLOOKUP($B952,'Email Marketing Raw Data'!$C:$O,5,0)),"")</f>
        <v/>
      </c>
      <c r="I952" s="55" t="str">
        <f>IFERROR(IF($G952="","",VLOOKUP('Dashboard And Emails Automate'!$G952,Database!$H:$N,3,0)),"")</f>
        <v/>
      </c>
      <c r="J952" s="55" t="str">
        <f>IFERROR(IF($G952="","",VLOOKUP('Dashboard And Emails Automate'!$G952,Database!$H:$N,4,0)),"")</f>
        <v/>
      </c>
      <c r="K952" s="55" t="str">
        <f>IFERROR(IF($G952="","",VLOOKUP('Dashboard And Emails Automate'!$G952,Database!$H:$N,5,0)),"")</f>
        <v/>
      </c>
      <c r="L952" s="55" t="str">
        <f>IFERROR(IF($G952="","",VLOOKUP('Dashboard And Emails Automate'!$G952,Database!$H:$N,6,0)),"")</f>
        <v/>
      </c>
      <c r="M952" s="55" t="str">
        <f>IFERROR(IF($G952="","",VLOOKUP('Dashboard And Emails Automate'!$G952,Database!$H:$N,7,0)),"")</f>
        <v/>
      </c>
      <c r="N952" s="55" t="str">
        <f>IFERROR(IF(OR($B952="",$B952="(blank)"),"",VLOOKUP($B952,'Email Marketing Raw Data'!$C:$O,6,0)),"")</f>
        <v/>
      </c>
      <c r="O952" s="55" t="str">
        <f>IFERROR(IF(OR($B952="",$B952="(blank)"),"",VLOOKUP($B952,'Email Marketing Raw Data'!$C:$O,7,0)),"")</f>
        <v/>
      </c>
      <c r="P952" s="55" t="str">
        <f>IFERROR(IF(OR($B952="",$B952="(blank)"),"",VLOOKUP($B952,'Email Marketing Raw Data'!$C:$O,8,0)),"")</f>
        <v/>
      </c>
      <c r="Q952" s="62" t="str">
        <f>IFERROR(IF(OR($B952="",$B952="(blank)"),"",VLOOKUP($B952,'Email Marketing Raw Data'!$C:$O,9,0)),"")</f>
        <v/>
      </c>
    </row>
    <row r="953" spans="4:17" ht="12.75" customHeight="1" x14ac:dyDescent="0.2">
      <c r="D953" s="58" t="str">
        <f>IFERROR(IF(F953&lt;&gt;"pending","",IF(OR($B953="",$B953="(blank)"),"",VLOOKUP($B953,'Email Marketing Raw Data'!$C:$O,10,0))),"")</f>
        <v/>
      </c>
      <c r="E953" s="59" t="str">
        <f>IFERROR(IF(F953&lt;&gt;"pending","",IF(OR($B953="",$B953="(blank)"),"",VLOOKUP($B953,'Email Marketing Raw Data'!$C:$O,11,0))),"")</f>
        <v/>
      </c>
      <c r="F953" s="54" t="str">
        <f>IFERROR(IF(OR($B953="",$B953="(blank)"),"",VLOOKUP($B953,'Email Marketing Raw Data'!$C:$O,13,0)),"")</f>
        <v/>
      </c>
      <c r="G953" s="55" t="str">
        <f>IFERROR(IF(OR($B953="",$B953="(blank)"),"",VLOOKUP($B953,'Email Marketing Raw Data'!$C:$O,4,0)),"")</f>
        <v/>
      </c>
      <c r="H953" s="55" t="str">
        <f>IFERROR(IF(OR($B953="",$B953="(blank)"),"",VLOOKUP($B953,'Email Marketing Raw Data'!$C:$O,5,0)),"")</f>
        <v/>
      </c>
      <c r="I953" s="55" t="str">
        <f>IFERROR(IF($G953="","",VLOOKUP('Dashboard And Emails Automate'!$G953,Database!$H:$N,3,0)),"")</f>
        <v/>
      </c>
      <c r="J953" s="55" t="str">
        <f>IFERROR(IF($G953="","",VLOOKUP('Dashboard And Emails Automate'!$G953,Database!$H:$N,4,0)),"")</f>
        <v/>
      </c>
      <c r="K953" s="55" t="str">
        <f>IFERROR(IF($G953="","",VLOOKUP('Dashboard And Emails Automate'!$G953,Database!$H:$N,5,0)),"")</f>
        <v/>
      </c>
      <c r="L953" s="55" t="str">
        <f>IFERROR(IF($G953="","",VLOOKUP('Dashboard And Emails Automate'!$G953,Database!$H:$N,6,0)),"")</f>
        <v/>
      </c>
      <c r="M953" s="55" t="str">
        <f>IFERROR(IF($G953="","",VLOOKUP('Dashboard And Emails Automate'!$G953,Database!$H:$N,7,0)),"")</f>
        <v/>
      </c>
      <c r="N953" s="55" t="str">
        <f>IFERROR(IF(OR($B953="",$B953="(blank)"),"",VLOOKUP($B953,'Email Marketing Raw Data'!$C:$O,6,0)),"")</f>
        <v/>
      </c>
      <c r="O953" s="55" t="str">
        <f>IFERROR(IF(OR($B953="",$B953="(blank)"),"",VLOOKUP($B953,'Email Marketing Raw Data'!$C:$O,7,0)),"")</f>
        <v/>
      </c>
      <c r="P953" s="55" t="str">
        <f>IFERROR(IF(OR($B953="",$B953="(blank)"),"",VLOOKUP($B953,'Email Marketing Raw Data'!$C:$O,8,0)),"")</f>
        <v/>
      </c>
      <c r="Q953" s="62" t="str">
        <f>IFERROR(IF(OR($B953="",$B953="(blank)"),"",VLOOKUP($B953,'Email Marketing Raw Data'!$C:$O,9,0)),"")</f>
        <v/>
      </c>
    </row>
    <row r="954" spans="4:17" ht="12.75" customHeight="1" x14ac:dyDescent="0.2">
      <c r="D954" s="58" t="str">
        <f>IFERROR(IF(F954&lt;&gt;"pending","",IF(OR($B954="",$B954="(blank)"),"",VLOOKUP($B954,'Email Marketing Raw Data'!$C:$O,10,0))),"")</f>
        <v/>
      </c>
      <c r="E954" s="59" t="str">
        <f>IFERROR(IF(F954&lt;&gt;"pending","",IF(OR($B954="",$B954="(blank)"),"",VLOOKUP($B954,'Email Marketing Raw Data'!$C:$O,11,0))),"")</f>
        <v/>
      </c>
      <c r="F954" s="54" t="str">
        <f>IFERROR(IF(OR($B954="",$B954="(blank)"),"",VLOOKUP($B954,'Email Marketing Raw Data'!$C:$O,13,0)),"")</f>
        <v/>
      </c>
      <c r="G954" s="55" t="str">
        <f>IFERROR(IF(OR($B954="",$B954="(blank)"),"",VLOOKUP($B954,'Email Marketing Raw Data'!$C:$O,4,0)),"")</f>
        <v/>
      </c>
      <c r="H954" s="55" t="str">
        <f>IFERROR(IF(OR($B954="",$B954="(blank)"),"",VLOOKUP($B954,'Email Marketing Raw Data'!$C:$O,5,0)),"")</f>
        <v/>
      </c>
      <c r="I954" s="55" t="str">
        <f>IFERROR(IF($G954="","",VLOOKUP('Dashboard And Emails Automate'!$G954,Database!$H:$N,3,0)),"")</f>
        <v/>
      </c>
      <c r="J954" s="55" t="str">
        <f>IFERROR(IF($G954="","",VLOOKUP('Dashboard And Emails Automate'!$G954,Database!$H:$N,4,0)),"")</f>
        <v/>
      </c>
      <c r="K954" s="55" t="str">
        <f>IFERROR(IF($G954="","",VLOOKUP('Dashboard And Emails Automate'!$G954,Database!$H:$N,5,0)),"")</f>
        <v/>
      </c>
      <c r="L954" s="55" t="str">
        <f>IFERROR(IF($G954="","",VLOOKUP('Dashboard And Emails Automate'!$G954,Database!$H:$N,6,0)),"")</f>
        <v/>
      </c>
      <c r="M954" s="55" t="str">
        <f>IFERROR(IF($G954="","",VLOOKUP('Dashboard And Emails Automate'!$G954,Database!$H:$N,7,0)),"")</f>
        <v/>
      </c>
      <c r="N954" s="55" t="str">
        <f>IFERROR(IF(OR($B954="",$B954="(blank)"),"",VLOOKUP($B954,'Email Marketing Raw Data'!$C:$O,6,0)),"")</f>
        <v/>
      </c>
      <c r="O954" s="55" t="str">
        <f>IFERROR(IF(OR($B954="",$B954="(blank)"),"",VLOOKUP($B954,'Email Marketing Raw Data'!$C:$O,7,0)),"")</f>
        <v/>
      </c>
      <c r="P954" s="55" t="str">
        <f>IFERROR(IF(OR($B954="",$B954="(blank)"),"",VLOOKUP($B954,'Email Marketing Raw Data'!$C:$O,8,0)),"")</f>
        <v/>
      </c>
      <c r="Q954" s="62" t="str">
        <f>IFERROR(IF(OR($B954="",$B954="(blank)"),"",VLOOKUP($B954,'Email Marketing Raw Data'!$C:$O,9,0)),"")</f>
        <v/>
      </c>
    </row>
    <row r="955" spans="4:17" ht="12.75" customHeight="1" x14ac:dyDescent="0.2">
      <c r="D955" s="58" t="str">
        <f>IFERROR(IF(F955&lt;&gt;"pending","",IF(OR($B955="",$B955="(blank)"),"",VLOOKUP($B955,'Email Marketing Raw Data'!$C:$O,10,0))),"")</f>
        <v/>
      </c>
      <c r="E955" s="59" t="str">
        <f>IFERROR(IF(F955&lt;&gt;"pending","",IF(OR($B955="",$B955="(blank)"),"",VLOOKUP($B955,'Email Marketing Raw Data'!$C:$O,11,0))),"")</f>
        <v/>
      </c>
      <c r="F955" s="54" t="str">
        <f>IFERROR(IF(OR($B955="",$B955="(blank)"),"",VLOOKUP($B955,'Email Marketing Raw Data'!$C:$O,13,0)),"")</f>
        <v/>
      </c>
      <c r="G955" s="55" t="str">
        <f>IFERROR(IF(OR($B955="",$B955="(blank)"),"",VLOOKUP($B955,'Email Marketing Raw Data'!$C:$O,4,0)),"")</f>
        <v/>
      </c>
      <c r="H955" s="55" t="str">
        <f>IFERROR(IF(OR($B955="",$B955="(blank)"),"",VLOOKUP($B955,'Email Marketing Raw Data'!$C:$O,5,0)),"")</f>
        <v/>
      </c>
      <c r="I955" s="55" t="str">
        <f>IFERROR(IF($G955="","",VLOOKUP('Dashboard And Emails Automate'!$G955,Database!$H:$N,3,0)),"")</f>
        <v/>
      </c>
      <c r="J955" s="55" t="str">
        <f>IFERROR(IF($G955="","",VLOOKUP('Dashboard And Emails Automate'!$G955,Database!$H:$N,4,0)),"")</f>
        <v/>
      </c>
      <c r="K955" s="55" t="str">
        <f>IFERROR(IF($G955="","",VLOOKUP('Dashboard And Emails Automate'!$G955,Database!$H:$N,5,0)),"")</f>
        <v/>
      </c>
      <c r="L955" s="55" t="str">
        <f>IFERROR(IF($G955="","",VLOOKUP('Dashboard And Emails Automate'!$G955,Database!$H:$N,6,0)),"")</f>
        <v/>
      </c>
      <c r="M955" s="55" t="str">
        <f>IFERROR(IF($G955="","",VLOOKUP('Dashboard And Emails Automate'!$G955,Database!$H:$N,7,0)),"")</f>
        <v/>
      </c>
      <c r="N955" s="55" t="str">
        <f>IFERROR(IF(OR($B955="",$B955="(blank)"),"",VLOOKUP($B955,'Email Marketing Raw Data'!$C:$O,6,0)),"")</f>
        <v/>
      </c>
      <c r="O955" s="55" t="str">
        <f>IFERROR(IF(OR($B955="",$B955="(blank)"),"",VLOOKUP($B955,'Email Marketing Raw Data'!$C:$O,7,0)),"")</f>
        <v/>
      </c>
      <c r="P955" s="55" t="str">
        <f>IFERROR(IF(OR($B955="",$B955="(blank)"),"",VLOOKUP($B955,'Email Marketing Raw Data'!$C:$O,8,0)),"")</f>
        <v/>
      </c>
      <c r="Q955" s="62" t="str">
        <f>IFERROR(IF(OR($B955="",$B955="(blank)"),"",VLOOKUP($B955,'Email Marketing Raw Data'!$C:$O,9,0)),"")</f>
        <v/>
      </c>
    </row>
    <row r="956" spans="4:17" ht="12.75" customHeight="1" x14ac:dyDescent="0.2">
      <c r="D956" s="58" t="str">
        <f>IFERROR(IF(F956&lt;&gt;"pending","",IF(OR($B956="",$B956="(blank)"),"",VLOOKUP($B956,'Email Marketing Raw Data'!$C:$O,10,0))),"")</f>
        <v/>
      </c>
      <c r="E956" s="59" t="str">
        <f>IFERROR(IF(F956&lt;&gt;"pending","",IF(OR($B956="",$B956="(blank)"),"",VLOOKUP($B956,'Email Marketing Raw Data'!$C:$O,11,0))),"")</f>
        <v/>
      </c>
      <c r="F956" s="54" t="str">
        <f>IFERROR(IF(OR($B956="",$B956="(blank)"),"",VLOOKUP($B956,'Email Marketing Raw Data'!$C:$O,13,0)),"")</f>
        <v/>
      </c>
      <c r="G956" s="55" t="str">
        <f>IFERROR(IF(OR($B956="",$B956="(blank)"),"",VLOOKUP($B956,'Email Marketing Raw Data'!$C:$O,4,0)),"")</f>
        <v/>
      </c>
      <c r="H956" s="55" t="str">
        <f>IFERROR(IF(OR($B956="",$B956="(blank)"),"",VLOOKUP($B956,'Email Marketing Raw Data'!$C:$O,5,0)),"")</f>
        <v/>
      </c>
      <c r="I956" s="55" t="str">
        <f>IFERROR(IF($G956="","",VLOOKUP('Dashboard And Emails Automate'!$G956,Database!$H:$N,3,0)),"")</f>
        <v/>
      </c>
      <c r="J956" s="55" t="str">
        <f>IFERROR(IF($G956="","",VLOOKUP('Dashboard And Emails Automate'!$G956,Database!$H:$N,4,0)),"")</f>
        <v/>
      </c>
      <c r="K956" s="55" t="str">
        <f>IFERROR(IF($G956="","",VLOOKUP('Dashboard And Emails Automate'!$G956,Database!$H:$N,5,0)),"")</f>
        <v/>
      </c>
      <c r="L956" s="55" t="str">
        <f>IFERROR(IF($G956="","",VLOOKUP('Dashboard And Emails Automate'!$G956,Database!$H:$N,6,0)),"")</f>
        <v/>
      </c>
      <c r="M956" s="55" t="str">
        <f>IFERROR(IF($G956="","",VLOOKUP('Dashboard And Emails Automate'!$G956,Database!$H:$N,7,0)),"")</f>
        <v/>
      </c>
      <c r="N956" s="55" t="str">
        <f>IFERROR(IF(OR($B956="",$B956="(blank)"),"",VLOOKUP($B956,'Email Marketing Raw Data'!$C:$O,6,0)),"")</f>
        <v/>
      </c>
      <c r="O956" s="55" t="str">
        <f>IFERROR(IF(OR($B956="",$B956="(blank)"),"",VLOOKUP($B956,'Email Marketing Raw Data'!$C:$O,7,0)),"")</f>
        <v/>
      </c>
      <c r="P956" s="55" t="str">
        <f>IFERROR(IF(OR($B956="",$B956="(blank)"),"",VLOOKUP($B956,'Email Marketing Raw Data'!$C:$O,8,0)),"")</f>
        <v/>
      </c>
      <c r="Q956" s="62" t="str">
        <f>IFERROR(IF(OR($B956="",$B956="(blank)"),"",VLOOKUP($B956,'Email Marketing Raw Data'!$C:$O,9,0)),"")</f>
        <v/>
      </c>
    </row>
    <row r="957" spans="4:17" ht="12.75" customHeight="1" x14ac:dyDescent="0.2">
      <c r="D957" s="58" t="str">
        <f>IFERROR(IF(F957&lt;&gt;"pending","",IF(OR($B957="",$B957="(blank)"),"",VLOOKUP($B957,'Email Marketing Raw Data'!$C:$O,10,0))),"")</f>
        <v/>
      </c>
      <c r="E957" s="59" t="str">
        <f>IFERROR(IF(F957&lt;&gt;"pending","",IF(OR($B957="",$B957="(blank)"),"",VLOOKUP($B957,'Email Marketing Raw Data'!$C:$O,11,0))),"")</f>
        <v/>
      </c>
      <c r="F957" s="54" t="str">
        <f>IFERROR(IF(OR($B957="",$B957="(blank)"),"",VLOOKUP($B957,'Email Marketing Raw Data'!$C:$O,13,0)),"")</f>
        <v/>
      </c>
      <c r="G957" s="55" t="str">
        <f>IFERROR(IF(OR($B957="",$B957="(blank)"),"",VLOOKUP($B957,'Email Marketing Raw Data'!$C:$O,4,0)),"")</f>
        <v/>
      </c>
      <c r="H957" s="55" t="str">
        <f>IFERROR(IF(OR($B957="",$B957="(blank)"),"",VLOOKUP($B957,'Email Marketing Raw Data'!$C:$O,5,0)),"")</f>
        <v/>
      </c>
      <c r="I957" s="55" t="str">
        <f>IFERROR(IF($G957="","",VLOOKUP('Dashboard And Emails Automate'!$G957,Database!$H:$N,3,0)),"")</f>
        <v/>
      </c>
      <c r="J957" s="55" t="str">
        <f>IFERROR(IF($G957="","",VLOOKUP('Dashboard And Emails Automate'!$G957,Database!$H:$N,4,0)),"")</f>
        <v/>
      </c>
      <c r="K957" s="55" t="str">
        <f>IFERROR(IF($G957="","",VLOOKUP('Dashboard And Emails Automate'!$G957,Database!$H:$N,5,0)),"")</f>
        <v/>
      </c>
      <c r="L957" s="55" t="str">
        <f>IFERROR(IF($G957="","",VLOOKUP('Dashboard And Emails Automate'!$G957,Database!$H:$N,6,0)),"")</f>
        <v/>
      </c>
      <c r="M957" s="55" t="str">
        <f>IFERROR(IF($G957="","",VLOOKUP('Dashboard And Emails Automate'!$G957,Database!$H:$N,7,0)),"")</f>
        <v/>
      </c>
      <c r="N957" s="55" t="str">
        <f>IFERROR(IF(OR($B957="",$B957="(blank)"),"",VLOOKUP($B957,'Email Marketing Raw Data'!$C:$O,6,0)),"")</f>
        <v/>
      </c>
      <c r="O957" s="55" t="str">
        <f>IFERROR(IF(OR($B957="",$B957="(blank)"),"",VLOOKUP($B957,'Email Marketing Raw Data'!$C:$O,7,0)),"")</f>
        <v/>
      </c>
      <c r="P957" s="55" t="str">
        <f>IFERROR(IF(OR($B957="",$B957="(blank)"),"",VLOOKUP($B957,'Email Marketing Raw Data'!$C:$O,8,0)),"")</f>
        <v/>
      </c>
      <c r="Q957" s="62" t="str">
        <f>IFERROR(IF(OR($B957="",$B957="(blank)"),"",VLOOKUP($B957,'Email Marketing Raw Data'!$C:$O,9,0)),"")</f>
        <v/>
      </c>
    </row>
    <row r="958" spans="4:17" ht="12.75" customHeight="1" x14ac:dyDescent="0.2">
      <c r="D958" s="58" t="str">
        <f>IFERROR(IF(F958&lt;&gt;"pending","",IF(OR($B958="",$B958="(blank)"),"",VLOOKUP($B958,'Email Marketing Raw Data'!$C:$O,10,0))),"")</f>
        <v/>
      </c>
      <c r="E958" s="59" t="str">
        <f>IFERROR(IF(F958&lt;&gt;"pending","",IF(OR($B958="",$B958="(blank)"),"",VLOOKUP($B958,'Email Marketing Raw Data'!$C:$O,11,0))),"")</f>
        <v/>
      </c>
      <c r="F958" s="54" t="str">
        <f>IFERROR(IF(OR($B958="",$B958="(blank)"),"",VLOOKUP($B958,'Email Marketing Raw Data'!$C:$O,13,0)),"")</f>
        <v/>
      </c>
      <c r="G958" s="55" t="str">
        <f>IFERROR(IF(OR($B958="",$B958="(blank)"),"",VLOOKUP($B958,'Email Marketing Raw Data'!$C:$O,4,0)),"")</f>
        <v/>
      </c>
      <c r="H958" s="55" t="str">
        <f>IFERROR(IF(OR($B958="",$B958="(blank)"),"",VLOOKUP($B958,'Email Marketing Raw Data'!$C:$O,5,0)),"")</f>
        <v/>
      </c>
      <c r="I958" s="55" t="str">
        <f>IFERROR(IF($G958="","",VLOOKUP('Dashboard And Emails Automate'!$G958,Database!$H:$N,3,0)),"")</f>
        <v/>
      </c>
      <c r="J958" s="55" t="str">
        <f>IFERROR(IF($G958="","",VLOOKUP('Dashboard And Emails Automate'!$G958,Database!$H:$N,4,0)),"")</f>
        <v/>
      </c>
      <c r="K958" s="55" t="str">
        <f>IFERROR(IF($G958="","",VLOOKUP('Dashboard And Emails Automate'!$G958,Database!$H:$N,5,0)),"")</f>
        <v/>
      </c>
      <c r="L958" s="55" t="str">
        <f>IFERROR(IF($G958="","",VLOOKUP('Dashboard And Emails Automate'!$G958,Database!$H:$N,6,0)),"")</f>
        <v/>
      </c>
      <c r="M958" s="55" t="str">
        <f>IFERROR(IF($G958="","",VLOOKUP('Dashboard And Emails Automate'!$G958,Database!$H:$N,7,0)),"")</f>
        <v/>
      </c>
      <c r="N958" s="55" t="str">
        <f>IFERROR(IF(OR($B958="",$B958="(blank)"),"",VLOOKUP($B958,'Email Marketing Raw Data'!$C:$O,6,0)),"")</f>
        <v/>
      </c>
      <c r="O958" s="55" t="str">
        <f>IFERROR(IF(OR($B958="",$B958="(blank)"),"",VLOOKUP($B958,'Email Marketing Raw Data'!$C:$O,7,0)),"")</f>
        <v/>
      </c>
      <c r="P958" s="55" t="str">
        <f>IFERROR(IF(OR($B958="",$B958="(blank)"),"",VLOOKUP($B958,'Email Marketing Raw Data'!$C:$O,8,0)),"")</f>
        <v/>
      </c>
      <c r="Q958" s="62" t="str">
        <f>IFERROR(IF(OR($B958="",$B958="(blank)"),"",VLOOKUP($B958,'Email Marketing Raw Data'!$C:$O,9,0)),"")</f>
        <v/>
      </c>
    </row>
    <row r="959" spans="4:17" ht="12.75" customHeight="1" x14ac:dyDescent="0.2">
      <c r="D959" s="58" t="str">
        <f>IFERROR(IF(F959&lt;&gt;"pending","",IF(OR($B959="",$B959="(blank)"),"",VLOOKUP($B959,'Email Marketing Raw Data'!$C:$O,10,0))),"")</f>
        <v/>
      </c>
      <c r="E959" s="59" t="str">
        <f>IFERROR(IF(F959&lt;&gt;"pending","",IF(OR($B959="",$B959="(blank)"),"",VLOOKUP($B959,'Email Marketing Raw Data'!$C:$O,11,0))),"")</f>
        <v/>
      </c>
      <c r="F959" s="54" t="str">
        <f>IFERROR(IF(OR($B959="",$B959="(blank)"),"",VLOOKUP($B959,'Email Marketing Raw Data'!$C:$O,13,0)),"")</f>
        <v/>
      </c>
      <c r="G959" s="55" t="str">
        <f>IFERROR(IF(OR($B959="",$B959="(blank)"),"",VLOOKUP($B959,'Email Marketing Raw Data'!$C:$O,4,0)),"")</f>
        <v/>
      </c>
      <c r="H959" s="55" t="str">
        <f>IFERROR(IF(OR($B959="",$B959="(blank)"),"",VLOOKUP($B959,'Email Marketing Raw Data'!$C:$O,5,0)),"")</f>
        <v/>
      </c>
      <c r="I959" s="55" t="str">
        <f>IFERROR(IF($G959="","",VLOOKUP('Dashboard And Emails Automate'!$G959,Database!$H:$N,3,0)),"")</f>
        <v/>
      </c>
      <c r="J959" s="55" t="str">
        <f>IFERROR(IF($G959="","",VLOOKUP('Dashboard And Emails Automate'!$G959,Database!$H:$N,4,0)),"")</f>
        <v/>
      </c>
      <c r="K959" s="55" t="str">
        <f>IFERROR(IF($G959="","",VLOOKUP('Dashboard And Emails Automate'!$G959,Database!$H:$N,5,0)),"")</f>
        <v/>
      </c>
      <c r="L959" s="55" t="str">
        <f>IFERROR(IF($G959="","",VLOOKUP('Dashboard And Emails Automate'!$G959,Database!$H:$N,6,0)),"")</f>
        <v/>
      </c>
      <c r="M959" s="55" t="str">
        <f>IFERROR(IF($G959="","",VLOOKUP('Dashboard And Emails Automate'!$G959,Database!$H:$N,7,0)),"")</f>
        <v/>
      </c>
      <c r="N959" s="55" t="str">
        <f>IFERROR(IF(OR($B959="",$B959="(blank)"),"",VLOOKUP($B959,'Email Marketing Raw Data'!$C:$O,6,0)),"")</f>
        <v/>
      </c>
      <c r="O959" s="55" t="str">
        <f>IFERROR(IF(OR($B959="",$B959="(blank)"),"",VLOOKUP($B959,'Email Marketing Raw Data'!$C:$O,7,0)),"")</f>
        <v/>
      </c>
      <c r="P959" s="55" t="str">
        <f>IFERROR(IF(OR($B959="",$B959="(blank)"),"",VLOOKUP($B959,'Email Marketing Raw Data'!$C:$O,8,0)),"")</f>
        <v/>
      </c>
      <c r="Q959" s="62" t="str">
        <f>IFERROR(IF(OR($B959="",$B959="(blank)"),"",VLOOKUP($B959,'Email Marketing Raw Data'!$C:$O,9,0)),"")</f>
        <v/>
      </c>
    </row>
    <row r="960" spans="4:17" ht="12.75" customHeight="1" x14ac:dyDescent="0.2">
      <c r="D960" s="58" t="str">
        <f>IFERROR(IF(F960&lt;&gt;"pending","",IF(OR($B960="",$B960="(blank)"),"",VLOOKUP($B960,'Email Marketing Raw Data'!$C:$O,10,0))),"")</f>
        <v/>
      </c>
      <c r="E960" s="59" t="str">
        <f>IFERROR(IF(F960&lt;&gt;"pending","",IF(OR($B960="",$B960="(blank)"),"",VLOOKUP($B960,'Email Marketing Raw Data'!$C:$O,11,0))),"")</f>
        <v/>
      </c>
      <c r="F960" s="54" t="str">
        <f>IFERROR(IF(OR($B960="",$B960="(blank)"),"",VLOOKUP($B960,'Email Marketing Raw Data'!$C:$O,13,0)),"")</f>
        <v/>
      </c>
      <c r="G960" s="55" t="str">
        <f>IFERROR(IF(OR($B960="",$B960="(blank)"),"",VLOOKUP($B960,'Email Marketing Raw Data'!$C:$O,4,0)),"")</f>
        <v/>
      </c>
      <c r="H960" s="55" t="str">
        <f>IFERROR(IF(OR($B960="",$B960="(blank)"),"",VLOOKUP($B960,'Email Marketing Raw Data'!$C:$O,5,0)),"")</f>
        <v/>
      </c>
      <c r="I960" s="55" t="str">
        <f>IFERROR(IF($G960="","",VLOOKUP('Dashboard And Emails Automate'!$G960,Database!$H:$N,3,0)),"")</f>
        <v/>
      </c>
      <c r="J960" s="55" t="str">
        <f>IFERROR(IF($G960="","",VLOOKUP('Dashboard And Emails Automate'!$G960,Database!$H:$N,4,0)),"")</f>
        <v/>
      </c>
      <c r="K960" s="55" t="str">
        <f>IFERROR(IF($G960="","",VLOOKUP('Dashboard And Emails Automate'!$G960,Database!$H:$N,5,0)),"")</f>
        <v/>
      </c>
      <c r="L960" s="55" t="str">
        <f>IFERROR(IF($G960="","",VLOOKUP('Dashboard And Emails Automate'!$G960,Database!$H:$N,6,0)),"")</f>
        <v/>
      </c>
      <c r="M960" s="55" t="str">
        <f>IFERROR(IF($G960="","",VLOOKUP('Dashboard And Emails Automate'!$G960,Database!$H:$N,7,0)),"")</f>
        <v/>
      </c>
      <c r="N960" s="55" t="str">
        <f>IFERROR(IF(OR($B960="",$B960="(blank)"),"",VLOOKUP($B960,'Email Marketing Raw Data'!$C:$O,6,0)),"")</f>
        <v/>
      </c>
      <c r="O960" s="55" t="str">
        <f>IFERROR(IF(OR($B960="",$B960="(blank)"),"",VLOOKUP($B960,'Email Marketing Raw Data'!$C:$O,7,0)),"")</f>
        <v/>
      </c>
      <c r="P960" s="55" t="str">
        <f>IFERROR(IF(OR($B960="",$B960="(blank)"),"",VLOOKUP($B960,'Email Marketing Raw Data'!$C:$O,8,0)),"")</f>
        <v/>
      </c>
      <c r="Q960" s="62" t="str">
        <f>IFERROR(IF(OR($B960="",$B960="(blank)"),"",VLOOKUP($B960,'Email Marketing Raw Data'!$C:$O,9,0)),"")</f>
        <v/>
      </c>
    </row>
    <row r="961" spans="4:17" ht="12.75" customHeight="1" x14ac:dyDescent="0.2">
      <c r="D961" s="58" t="str">
        <f>IFERROR(IF(F961&lt;&gt;"pending","",IF(OR($B961="",$B961="(blank)"),"",VLOOKUP($B961,'Email Marketing Raw Data'!$C:$O,10,0))),"")</f>
        <v/>
      </c>
      <c r="E961" s="59" t="str">
        <f>IFERROR(IF(F961&lt;&gt;"pending","",IF(OR($B961="",$B961="(blank)"),"",VLOOKUP($B961,'Email Marketing Raw Data'!$C:$O,11,0))),"")</f>
        <v/>
      </c>
      <c r="F961" s="54" t="str">
        <f>IFERROR(IF(OR($B961="",$B961="(blank)"),"",VLOOKUP($B961,'Email Marketing Raw Data'!$C:$O,13,0)),"")</f>
        <v/>
      </c>
      <c r="G961" s="55" t="str">
        <f>IFERROR(IF(OR($B961="",$B961="(blank)"),"",VLOOKUP($B961,'Email Marketing Raw Data'!$C:$O,4,0)),"")</f>
        <v/>
      </c>
      <c r="H961" s="55" t="str">
        <f>IFERROR(IF(OR($B961="",$B961="(blank)"),"",VLOOKUP($B961,'Email Marketing Raw Data'!$C:$O,5,0)),"")</f>
        <v/>
      </c>
      <c r="I961" s="55" t="str">
        <f>IFERROR(IF($G961="","",VLOOKUP('Dashboard And Emails Automate'!$G961,Database!$H:$N,3,0)),"")</f>
        <v/>
      </c>
      <c r="J961" s="55" t="str">
        <f>IFERROR(IF($G961="","",VLOOKUP('Dashboard And Emails Automate'!$G961,Database!$H:$N,4,0)),"")</f>
        <v/>
      </c>
      <c r="K961" s="55" t="str">
        <f>IFERROR(IF($G961="","",VLOOKUP('Dashboard And Emails Automate'!$G961,Database!$H:$N,5,0)),"")</f>
        <v/>
      </c>
      <c r="L961" s="55" t="str">
        <f>IFERROR(IF($G961="","",VLOOKUP('Dashboard And Emails Automate'!$G961,Database!$H:$N,6,0)),"")</f>
        <v/>
      </c>
      <c r="M961" s="55" t="str">
        <f>IFERROR(IF($G961="","",VLOOKUP('Dashboard And Emails Automate'!$G961,Database!$H:$N,7,0)),"")</f>
        <v/>
      </c>
      <c r="N961" s="55" t="str">
        <f>IFERROR(IF(OR($B961="",$B961="(blank)"),"",VLOOKUP($B961,'Email Marketing Raw Data'!$C:$O,6,0)),"")</f>
        <v/>
      </c>
      <c r="O961" s="55" t="str">
        <f>IFERROR(IF(OR($B961="",$B961="(blank)"),"",VLOOKUP($B961,'Email Marketing Raw Data'!$C:$O,7,0)),"")</f>
        <v/>
      </c>
      <c r="P961" s="55" t="str">
        <f>IFERROR(IF(OR($B961="",$B961="(blank)"),"",VLOOKUP($B961,'Email Marketing Raw Data'!$C:$O,8,0)),"")</f>
        <v/>
      </c>
      <c r="Q961" s="62" t="str">
        <f>IFERROR(IF(OR($B961="",$B961="(blank)"),"",VLOOKUP($B961,'Email Marketing Raw Data'!$C:$O,9,0)),"")</f>
        <v/>
      </c>
    </row>
    <row r="962" spans="4:17" ht="12.75" customHeight="1" x14ac:dyDescent="0.2">
      <c r="D962" s="58" t="str">
        <f>IFERROR(IF(F962&lt;&gt;"pending","",IF(OR($B962="",$B962="(blank)"),"",VLOOKUP($B962,'Email Marketing Raw Data'!$C:$O,10,0))),"")</f>
        <v/>
      </c>
      <c r="E962" s="59" t="str">
        <f>IFERROR(IF(F962&lt;&gt;"pending","",IF(OR($B962="",$B962="(blank)"),"",VLOOKUP($B962,'Email Marketing Raw Data'!$C:$O,11,0))),"")</f>
        <v/>
      </c>
      <c r="F962" s="54" t="str">
        <f>IFERROR(IF(OR($B962="",$B962="(blank)"),"",VLOOKUP($B962,'Email Marketing Raw Data'!$C:$O,13,0)),"")</f>
        <v/>
      </c>
      <c r="G962" s="55" t="str">
        <f>IFERROR(IF(OR($B962="",$B962="(blank)"),"",VLOOKUP($B962,'Email Marketing Raw Data'!$C:$O,4,0)),"")</f>
        <v/>
      </c>
      <c r="H962" s="55" t="str">
        <f>IFERROR(IF(OR($B962="",$B962="(blank)"),"",VLOOKUP($B962,'Email Marketing Raw Data'!$C:$O,5,0)),"")</f>
        <v/>
      </c>
      <c r="I962" s="55" t="str">
        <f>IFERROR(IF($G962="","",VLOOKUP('Dashboard And Emails Automate'!$G962,Database!$H:$N,3,0)),"")</f>
        <v/>
      </c>
      <c r="J962" s="55" t="str">
        <f>IFERROR(IF($G962="","",VLOOKUP('Dashboard And Emails Automate'!$G962,Database!$H:$N,4,0)),"")</f>
        <v/>
      </c>
      <c r="K962" s="55" t="str">
        <f>IFERROR(IF($G962="","",VLOOKUP('Dashboard And Emails Automate'!$G962,Database!$H:$N,5,0)),"")</f>
        <v/>
      </c>
      <c r="L962" s="55" t="str">
        <f>IFERROR(IF($G962="","",VLOOKUP('Dashboard And Emails Automate'!$G962,Database!$H:$N,6,0)),"")</f>
        <v/>
      </c>
      <c r="M962" s="55" t="str">
        <f>IFERROR(IF($G962="","",VLOOKUP('Dashboard And Emails Automate'!$G962,Database!$H:$N,7,0)),"")</f>
        <v/>
      </c>
      <c r="N962" s="55" t="str">
        <f>IFERROR(IF(OR($B962="",$B962="(blank)"),"",VLOOKUP($B962,'Email Marketing Raw Data'!$C:$O,6,0)),"")</f>
        <v/>
      </c>
      <c r="O962" s="55" t="str">
        <f>IFERROR(IF(OR($B962="",$B962="(blank)"),"",VLOOKUP($B962,'Email Marketing Raw Data'!$C:$O,7,0)),"")</f>
        <v/>
      </c>
      <c r="P962" s="55" t="str">
        <f>IFERROR(IF(OR($B962="",$B962="(blank)"),"",VLOOKUP($B962,'Email Marketing Raw Data'!$C:$O,8,0)),"")</f>
        <v/>
      </c>
      <c r="Q962" s="62" t="str">
        <f>IFERROR(IF(OR($B962="",$B962="(blank)"),"",VLOOKUP($B962,'Email Marketing Raw Data'!$C:$O,9,0)),"")</f>
        <v/>
      </c>
    </row>
    <row r="963" spans="4:17" ht="12.75" customHeight="1" x14ac:dyDescent="0.2">
      <c r="D963" s="58" t="str">
        <f>IFERROR(IF(F963&lt;&gt;"pending","",IF(OR($B963="",$B963="(blank)"),"",VLOOKUP($B963,'Email Marketing Raw Data'!$C:$O,10,0))),"")</f>
        <v/>
      </c>
      <c r="E963" s="59" t="str">
        <f>IFERROR(IF(F963&lt;&gt;"pending","",IF(OR($B963="",$B963="(blank)"),"",VLOOKUP($B963,'Email Marketing Raw Data'!$C:$O,11,0))),"")</f>
        <v/>
      </c>
      <c r="F963" s="54" t="str">
        <f>IFERROR(IF(OR($B963="",$B963="(blank)"),"",VLOOKUP($B963,'Email Marketing Raw Data'!$C:$O,13,0)),"")</f>
        <v/>
      </c>
      <c r="G963" s="55" t="str">
        <f>IFERROR(IF(OR($B963="",$B963="(blank)"),"",VLOOKUP($B963,'Email Marketing Raw Data'!$C:$O,4,0)),"")</f>
        <v/>
      </c>
      <c r="H963" s="55" t="str">
        <f>IFERROR(IF(OR($B963="",$B963="(blank)"),"",VLOOKUP($B963,'Email Marketing Raw Data'!$C:$O,5,0)),"")</f>
        <v/>
      </c>
      <c r="I963" s="55" t="str">
        <f>IFERROR(IF($G963="","",VLOOKUP('Dashboard And Emails Automate'!$G963,Database!$H:$N,3,0)),"")</f>
        <v/>
      </c>
      <c r="J963" s="55" t="str">
        <f>IFERROR(IF($G963="","",VLOOKUP('Dashboard And Emails Automate'!$G963,Database!$H:$N,4,0)),"")</f>
        <v/>
      </c>
      <c r="K963" s="55" t="str">
        <f>IFERROR(IF($G963="","",VLOOKUP('Dashboard And Emails Automate'!$G963,Database!$H:$N,5,0)),"")</f>
        <v/>
      </c>
      <c r="L963" s="55" t="str">
        <f>IFERROR(IF($G963="","",VLOOKUP('Dashboard And Emails Automate'!$G963,Database!$H:$N,6,0)),"")</f>
        <v/>
      </c>
      <c r="M963" s="55" t="str">
        <f>IFERROR(IF($G963="","",VLOOKUP('Dashboard And Emails Automate'!$G963,Database!$H:$N,7,0)),"")</f>
        <v/>
      </c>
      <c r="N963" s="55" t="str">
        <f>IFERROR(IF(OR($B963="",$B963="(blank)"),"",VLOOKUP($B963,'Email Marketing Raw Data'!$C:$O,6,0)),"")</f>
        <v/>
      </c>
      <c r="O963" s="55" t="str">
        <f>IFERROR(IF(OR($B963="",$B963="(blank)"),"",VLOOKUP($B963,'Email Marketing Raw Data'!$C:$O,7,0)),"")</f>
        <v/>
      </c>
      <c r="P963" s="55" t="str">
        <f>IFERROR(IF(OR($B963="",$B963="(blank)"),"",VLOOKUP($B963,'Email Marketing Raw Data'!$C:$O,8,0)),"")</f>
        <v/>
      </c>
      <c r="Q963" s="62" t="str">
        <f>IFERROR(IF(OR($B963="",$B963="(blank)"),"",VLOOKUP($B963,'Email Marketing Raw Data'!$C:$O,9,0)),"")</f>
        <v/>
      </c>
    </row>
    <row r="964" spans="4:17" ht="12.75" customHeight="1" x14ac:dyDescent="0.2">
      <c r="D964" s="58" t="str">
        <f>IFERROR(IF(F964&lt;&gt;"pending","",IF(OR($B964="",$B964="(blank)"),"",VLOOKUP($B964,'Email Marketing Raw Data'!$C:$O,10,0))),"")</f>
        <v/>
      </c>
      <c r="E964" s="59" t="str">
        <f>IFERROR(IF(F964&lt;&gt;"pending","",IF(OR($B964="",$B964="(blank)"),"",VLOOKUP($B964,'Email Marketing Raw Data'!$C:$O,11,0))),"")</f>
        <v/>
      </c>
      <c r="F964" s="54" t="str">
        <f>IFERROR(IF(OR($B964="",$B964="(blank)"),"",VLOOKUP($B964,'Email Marketing Raw Data'!$C:$O,13,0)),"")</f>
        <v/>
      </c>
      <c r="G964" s="55" t="str">
        <f>IFERROR(IF(OR($B964="",$B964="(blank)"),"",VLOOKUP($B964,'Email Marketing Raw Data'!$C:$O,4,0)),"")</f>
        <v/>
      </c>
      <c r="H964" s="55" t="str">
        <f>IFERROR(IF(OR($B964="",$B964="(blank)"),"",VLOOKUP($B964,'Email Marketing Raw Data'!$C:$O,5,0)),"")</f>
        <v/>
      </c>
      <c r="I964" s="55" t="str">
        <f>IFERROR(IF($G964="","",VLOOKUP('Dashboard And Emails Automate'!$G964,Database!$H:$N,3,0)),"")</f>
        <v/>
      </c>
      <c r="J964" s="55" t="str">
        <f>IFERROR(IF($G964="","",VLOOKUP('Dashboard And Emails Automate'!$G964,Database!$H:$N,4,0)),"")</f>
        <v/>
      </c>
      <c r="K964" s="55" t="str">
        <f>IFERROR(IF($G964="","",VLOOKUP('Dashboard And Emails Automate'!$G964,Database!$H:$N,5,0)),"")</f>
        <v/>
      </c>
      <c r="L964" s="55" t="str">
        <f>IFERROR(IF($G964="","",VLOOKUP('Dashboard And Emails Automate'!$G964,Database!$H:$N,6,0)),"")</f>
        <v/>
      </c>
      <c r="M964" s="55" t="str">
        <f>IFERROR(IF($G964="","",VLOOKUP('Dashboard And Emails Automate'!$G964,Database!$H:$N,7,0)),"")</f>
        <v/>
      </c>
      <c r="N964" s="55" t="str">
        <f>IFERROR(IF(OR($B964="",$B964="(blank)"),"",VLOOKUP($B964,'Email Marketing Raw Data'!$C:$O,6,0)),"")</f>
        <v/>
      </c>
      <c r="O964" s="55" t="str">
        <f>IFERROR(IF(OR($B964="",$B964="(blank)"),"",VLOOKUP($B964,'Email Marketing Raw Data'!$C:$O,7,0)),"")</f>
        <v/>
      </c>
      <c r="P964" s="55" t="str">
        <f>IFERROR(IF(OR($B964="",$B964="(blank)"),"",VLOOKUP($B964,'Email Marketing Raw Data'!$C:$O,8,0)),"")</f>
        <v/>
      </c>
      <c r="Q964" s="62" t="str">
        <f>IFERROR(IF(OR($B964="",$B964="(blank)"),"",VLOOKUP($B964,'Email Marketing Raw Data'!$C:$O,9,0)),"")</f>
        <v/>
      </c>
    </row>
    <row r="965" spans="4:17" ht="12.75" customHeight="1" x14ac:dyDescent="0.2">
      <c r="D965" s="58" t="str">
        <f>IFERROR(IF(F965&lt;&gt;"pending","",IF(OR($B965="",$B965="(blank)"),"",VLOOKUP($B965,'Email Marketing Raw Data'!$C:$O,10,0))),"")</f>
        <v/>
      </c>
      <c r="E965" s="59" t="str">
        <f>IFERROR(IF(F965&lt;&gt;"pending","",IF(OR($B965="",$B965="(blank)"),"",VLOOKUP($B965,'Email Marketing Raw Data'!$C:$O,11,0))),"")</f>
        <v/>
      </c>
      <c r="F965" s="54" t="str">
        <f>IFERROR(IF(OR($B965="",$B965="(blank)"),"",VLOOKUP($B965,'Email Marketing Raw Data'!$C:$O,13,0)),"")</f>
        <v/>
      </c>
      <c r="G965" s="55" t="str">
        <f>IFERROR(IF(OR($B965="",$B965="(blank)"),"",VLOOKUP($B965,'Email Marketing Raw Data'!$C:$O,4,0)),"")</f>
        <v/>
      </c>
      <c r="H965" s="55" t="str">
        <f>IFERROR(IF(OR($B965="",$B965="(blank)"),"",VLOOKUP($B965,'Email Marketing Raw Data'!$C:$O,5,0)),"")</f>
        <v/>
      </c>
      <c r="I965" s="55" t="str">
        <f>IFERROR(IF($G965="","",VLOOKUP('Dashboard And Emails Automate'!$G965,Database!$H:$N,3,0)),"")</f>
        <v/>
      </c>
      <c r="J965" s="55" t="str">
        <f>IFERROR(IF($G965="","",VLOOKUP('Dashboard And Emails Automate'!$G965,Database!$H:$N,4,0)),"")</f>
        <v/>
      </c>
      <c r="K965" s="55" t="str">
        <f>IFERROR(IF($G965="","",VLOOKUP('Dashboard And Emails Automate'!$G965,Database!$H:$N,5,0)),"")</f>
        <v/>
      </c>
      <c r="L965" s="55" t="str">
        <f>IFERROR(IF($G965="","",VLOOKUP('Dashboard And Emails Automate'!$G965,Database!$H:$N,6,0)),"")</f>
        <v/>
      </c>
      <c r="M965" s="55" t="str">
        <f>IFERROR(IF($G965="","",VLOOKUP('Dashboard And Emails Automate'!$G965,Database!$H:$N,7,0)),"")</f>
        <v/>
      </c>
      <c r="N965" s="55" t="str">
        <f>IFERROR(IF(OR($B965="",$B965="(blank)"),"",VLOOKUP($B965,'Email Marketing Raw Data'!$C:$O,6,0)),"")</f>
        <v/>
      </c>
      <c r="O965" s="55" t="str">
        <f>IFERROR(IF(OR($B965="",$B965="(blank)"),"",VLOOKUP($B965,'Email Marketing Raw Data'!$C:$O,7,0)),"")</f>
        <v/>
      </c>
      <c r="P965" s="55" t="str">
        <f>IFERROR(IF(OR($B965="",$B965="(blank)"),"",VLOOKUP($B965,'Email Marketing Raw Data'!$C:$O,8,0)),"")</f>
        <v/>
      </c>
      <c r="Q965" s="62" t="str">
        <f>IFERROR(IF(OR($B965="",$B965="(blank)"),"",VLOOKUP($B965,'Email Marketing Raw Data'!$C:$O,9,0)),"")</f>
        <v/>
      </c>
    </row>
    <row r="966" spans="4:17" ht="12.75" customHeight="1" x14ac:dyDescent="0.2">
      <c r="D966" s="58" t="str">
        <f>IFERROR(IF(F966&lt;&gt;"pending","",IF(OR($B966="",$B966="(blank)"),"",VLOOKUP($B966,'Email Marketing Raw Data'!$C:$O,10,0))),"")</f>
        <v/>
      </c>
      <c r="E966" s="59" t="str">
        <f>IFERROR(IF(F966&lt;&gt;"pending","",IF(OR($B966="",$B966="(blank)"),"",VLOOKUP($B966,'Email Marketing Raw Data'!$C:$O,11,0))),"")</f>
        <v/>
      </c>
      <c r="F966" s="54" t="str">
        <f>IFERROR(IF(OR($B966="",$B966="(blank)"),"",VLOOKUP($B966,'Email Marketing Raw Data'!$C:$O,13,0)),"")</f>
        <v/>
      </c>
      <c r="G966" s="55" t="str">
        <f>IFERROR(IF(OR($B966="",$B966="(blank)"),"",VLOOKUP($B966,'Email Marketing Raw Data'!$C:$O,4,0)),"")</f>
        <v/>
      </c>
      <c r="H966" s="55" t="str">
        <f>IFERROR(IF(OR($B966="",$B966="(blank)"),"",VLOOKUP($B966,'Email Marketing Raw Data'!$C:$O,5,0)),"")</f>
        <v/>
      </c>
      <c r="I966" s="55" t="str">
        <f>IFERROR(IF($G966="","",VLOOKUP('Dashboard And Emails Automate'!$G966,Database!$H:$N,3,0)),"")</f>
        <v/>
      </c>
      <c r="J966" s="55" t="str">
        <f>IFERROR(IF($G966="","",VLOOKUP('Dashboard And Emails Automate'!$G966,Database!$H:$N,4,0)),"")</f>
        <v/>
      </c>
      <c r="K966" s="55" t="str">
        <f>IFERROR(IF($G966="","",VLOOKUP('Dashboard And Emails Automate'!$G966,Database!$H:$N,5,0)),"")</f>
        <v/>
      </c>
      <c r="L966" s="55" t="str">
        <f>IFERROR(IF($G966="","",VLOOKUP('Dashboard And Emails Automate'!$G966,Database!$H:$N,6,0)),"")</f>
        <v/>
      </c>
      <c r="M966" s="55" t="str">
        <f>IFERROR(IF($G966="","",VLOOKUP('Dashboard And Emails Automate'!$G966,Database!$H:$N,7,0)),"")</f>
        <v/>
      </c>
      <c r="N966" s="55" t="str">
        <f>IFERROR(IF(OR($B966="",$B966="(blank)"),"",VLOOKUP($B966,'Email Marketing Raw Data'!$C:$O,6,0)),"")</f>
        <v/>
      </c>
      <c r="O966" s="55" t="str">
        <f>IFERROR(IF(OR($B966="",$B966="(blank)"),"",VLOOKUP($B966,'Email Marketing Raw Data'!$C:$O,7,0)),"")</f>
        <v/>
      </c>
      <c r="P966" s="55" t="str">
        <f>IFERROR(IF(OR($B966="",$B966="(blank)"),"",VLOOKUP($B966,'Email Marketing Raw Data'!$C:$O,8,0)),"")</f>
        <v/>
      </c>
      <c r="Q966" s="62" t="str">
        <f>IFERROR(IF(OR($B966="",$B966="(blank)"),"",VLOOKUP($B966,'Email Marketing Raw Data'!$C:$O,9,0)),"")</f>
        <v/>
      </c>
    </row>
    <row r="967" spans="4:17" ht="12.75" customHeight="1" x14ac:dyDescent="0.2">
      <c r="D967" s="58" t="str">
        <f>IFERROR(IF(F967&lt;&gt;"pending","",IF(OR($B967="",$B967="(blank)"),"",VLOOKUP($B967,'Email Marketing Raw Data'!$C:$O,10,0))),"")</f>
        <v/>
      </c>
      <c r="E967" s="59" t="str">
        <f>IFERROR(IF(F967&lt;&gt;"pending","",IF(OR($B967="",$B967="(blank)"),"",VLOOKUP($B967,'Email Marketing Raw Data'!$C:$O,11,0))),"")</f>
        <v/>
      </c>
      <c r="F967" s="54" t="str">
        <f>IFERROR(IF(OR($B967="",$B967="(blank)"),"",VLOOKUP($B967,'Email Marketing Raw Data'!$C:$O,13,0)),"")</f>
        <v/>
      </c>
      <c r="G967" s="55" t="str">
        <f>IFERROR(IF(OR($B967="",$B967="(blank)"),"",VLOOKUP($B967,'Email Marketing Raw Data'!$C:$O,4,0)),"")</f>
        <v/>
      </c>
      <c r="H967" s="55" t="str">
        <f>IFERROR(IF(OR($B967="",$B967="(blank)"),"",VLOOKUP($B967,'Email Marketing Raw Data'!$C:$O,5,0)),"")</f>
        <v/>
      </c>
      <c r="I967" s="55" t="str">
        <f>IFERROR(IF($G967="","",VLOOKUP('Dashboard And Emails Automate'!$G967,Database!$H:$N,3,0)),"")</f>
        <v/>
      </c>
      <c r="J967" s="55" t="str">
        <f>IFERROR(IF($G967="","",VLOOKUP('Dashboard And Emails Automate'!$G967,Database!$H:$N,4,0)),"")</f>
        <v/>
      </c>
      <c r="K967" s="55" t="str">
        <f>IFERROR(IF($G967="","",VLOOKUP('Dashboard And Emails Automate'!$G967,Database!$H:$N,5,0)),"")</f>
        <v/>
      </c>
      <c r="L967" s="55" t="str">
        <f>IFERROR(IF($G967="","",VLOOKUP('Dashboard And Emails Automate'!$G967,Database!$H:$N,6,0)),"")</f>
        <v/>
      </c>
      <c r="M967" s="55" t="str">
        <f>IFERROR(IF($G967="","",VLOOKUP('Dashboard And Emails Automate'!$G967,Database!$H:$N,7,0)),"")</f>
        <v/>
      </c>
      <c r="N967" s="55" t="str">
        <f>IFERROR(IF(OR($B967="",$B967="(blank)"),"",VLOOKUP($B967,'Email Marketing Raw Data'!$C:$O,6,0)),"")</f>
        <v/>
      </c>
      <c r="O967" s="55" t="str">
        <f>IFERROR(IF(OR($B967="",$B967="(blank)"),"",VLOOKUP($B967,'Email Marketing Raw Data'!$C:$O,7,0)),"")</f>
        <v/>
      </c>
      <c r="P967" s="55" t="str">
        <f>IFERROR(IF(OR($B967="",$B967="(blank)"),"",VLOOKUP($B967,'Email Marketing Raw Data'!$C:$O,8,0)),"")</f>
        <v/>
      </c>
      <c r="Q967" s="62" t="str">
        <f>IFERROR(IF(OR($B967="",$B967="(blank)"),"",VLOOKUP($B967,'Email Marketing Raw Data'!$C:$O,9,0)),"")</f>
        <v/>
      </c>
    </row>
    <row r="968" spans="4:17" ht="12.75" customHeight="1" x14ac:dyDescent="0.2">
      <c r="D968" s="58" t="str">
        <f>IFERROR(IF(F968&lt;&gt;"pending","",IF(OR($B968="",$B968="(blank)"),"",VLOOKUP($B968,'Email Marketing Raw Data'!$C:$O,10,0))),"")</f>
        <v/>
      </c>
      <c r="E968" s="59" t="str">
        <f>IFERROR(IF(F968&lt;&gt;"pending","",IF(OR($B968="",$B968="(blank)"),"",VLOOKUP($B968,'Email Marketing Raw Data'!$C:$O,11,0))),"")</f>
        <v/>
      </c>
      <c r="F968" s="54" t="str">
        <f>IFERROR(IF(OR($B968="",$B968="(blank)"),"",VLOOKUP($B968,'Email Marketing Raw Data'!$C:$O,13,0)),"")</f>
        <v/>
      </c>
      <c r="G968" s="55" t="str">
        <f>IFERROR(IF(OR($B968="",$B968="(blank)"),"",VLOOKUP($B968,'Email Marketing Raw Data'!$C:$O,4,0)),"")</f>
        <v/>
      </c>
      <c r="H968" s="55" t="str">
        <f>IFERROR(IF(OR($B968="",$B968="(blank)"),"",VLOOKUP($B968,'Email Marketing Raw Data'!$C:$O,5,0)),"")</f>
        <v/>
      </c>
      <c r="I968" s="55" t="str">
        <f>IFERROR(IF($G968="","",VLOOKUP('Dashboard And Emails Automate'!$G968,Database!$H:$N,3,0)),"")</f>
        <v/>
      </c>
      <c r="J968" s="55" t="str">
        <f>IFERROR(IF($G968="","",VLOOKUP('Dashboard And Emails Automate'!$G968,Database!$H:$N,4,0)),"")</f>
        <v/>
      </c>
      <c r="K968" s="55" t="str">
        <f>IFERROR(IF($G968="","",VLOOKUP('Dashboard And Emails Automate'!$G968,Database!$H:$N,5,0)),"")</f>
        <v/>
      </c>
      <c r="L968" s="55" t="str">
        <f>IFERROR(IF($G968="","",VLOOKUP('Dashboard And Emails Automate'!$G968,Database!$H:$N,6,0)),"")</f>
        <v/>
      </c>
      <c r="M968" s="55" t="str">
        <f>IFERROR(IF($G968="","",VLOOKUP('Dashboard And Emails Automate'!$G968,Database!$H:$N,7,0)),"")</f>
        <v/>
      </c>
      <c r="N968" s="55" t="str">
        <f>IFERROR(IF(OR($B968="",$B968="(blank)"),"",VLOOKUP($B968,'Email Marketing Raw Data'!$C:$O,6,0)),"")</f>
        <v/>
      </c>
      <c r="O968" s="55" t="str">
        <f>IFERROR(IF(OR($B968="",$B968="(blank)"),"",VLOOKUP($B968,'Email Marketing Raw Data'!$C:$O,7,0)),"")</f>
        <v/>
      </c>
      <c r="P968" s="55" t="str">
        <f>IFERROR(IF(OR($B968="",$B968="(blank)"),"",VLOOKUP($B968,'Email Marketing Raw Data'!$C:$O,8,0)),"")</f>
        <v/>
      </c>
      <c r="Q968" s="62" t="str">
        <f>IFERROR(IF(OR($B968="",$B968="(blank)"),"",VLOOKUP($B968,'Email Marketing Raw Data'!$C:$O,9,0)),"")</f>
        <v/>
      </c>
    </row>
    <row r="969" spans="4:17" ht="12.75" customHeight="1" x14ac:dyDescent="0.2">
      <c r="D969" s="58" t="str">
        <f>IFERROR(IF(F969&lt;&gt;"pending","",IF(OR($B969="",$B969="(blank)"),"",VLOOKUP($B969,'Email Marketing Raw Data'!$C:$O,10,0))),"")</f>
        <v/>
      </c>
      <c r="E969" s="59" t="str">
        <f>IFERROR(IF(F969&lt;&gt;"pending","",IF(OR($B969="",$B969="(blank)"),"",VLOOKUP($B969,'Email Marketing Raw Data'!$C:$O,11,0))),"")</f>
        <v/>
      </c>
      <c r="F969" s="54" t="str">
        <f>IFERROR(IF(OR($B969="",$B969="(blank)"),"",VLOOKUP($B969,'Email Marketing Raw Data'!$C:$O,13,0)),"")</f>
        <v/>
      </c>
      <c r="G969" s="55" t="str">
        <f>IFERROR(IF(OR($B969="",$B969="(blank)"),"",VLOOKUP($B969,'Email Marketing Raw Data'!$C:$O,4,0)),"")</f>
        <v/>
      </c>
      <c r="H969" s="55" t="str">
        <f>IFERROR(IF(OR($B969="",$B969="(blank)"),"",VLOOKUP($B969,'Email Marketing Raw Data'!$C:$O,5,0)),"")</f>
        <v/>
      </c>
      <c r="I969" s="55" t="str">
        <f>IFERROR(IF($G969="","",VLOOKUP('Dashboard And Emails Automate'!$G969,Database!$H:$N,3,0)),"")</f>
        <v/>
      </c>
      <c r="J969" s="55" t="str">
        <f>IFERROR(IF($G969="","",VLOOKUP('Dashboard And Emails Automate'!$G969,Database!$H:$N,4,0)),"")</f>
        <v/>
      </c>
      <c r="K969" s="55" t="str">
        <f>IFERROR(IF($G969="","",VLOOKUP('Dashboard And Emails Automate'!$G969,Database!$H:$N,5,0)),"")</f>
        <v/>
      </c>
      <c r="L969" s="55" t="str">
        <f>IFERROR(IF($G969="","",VLOOKUP('Dashboard And Emails Automate'!$G969,Database!$H:$N,6,0)),"")</f>
        <v/>
      </c>
      <c r="M969" s="55" t="str">
        <f>IFERROR(IF($G969="","",VLOOKUP('Dashboard And Emails Automate'!$G969,Database!$H:$N,7,0)),"")</f>
        <v/>
      </c>
      <c r="N969" s="55" t="str">
        <f>IFERROR(IF(OR($B969="",$B969="(blank)"),"",VLOOKUP($B969,'Email Marketing Raw Data'!$C:$O,6,0)),"")</f>
        <v/>
      </c>
      <c r="O969" s="55" t="str">
        <f>IFERROR(IF(OR($B969="",$B969="(blank)"),"",VLOOKUP($B969,'Email Marketing Raw Data'!$C:$O,7,0)),"")</f>
        <v/>
      </c>
      <c r="P969" s="55" t="str">
        <f>IFERROR(IF(OR($B969="",$B969="(blank)"),"",VLOOKUP($B969,'Email Marketing Raw Data'!$C:$O,8,0)),"")</f>
        <v/>
      </c>
      <c r="Q969" s="62" t="str">
        <f>IFERROR(IF(OR($B969="",$B969="(blank)"),"",VLOOKUP($B969,'Email Marketing Raw Data'!$C:$O,9,0)),"")</f>
        <v/>
      </c>
    </row>
    <row r="970" spans="4:17" ht="12.75" customHeight="1" x14ac:dyDescent="0.2">
      <c r="D970" s="58" t="str">
        <f>IFERROR(IF(F970&lt;&gt;"pending","",IF(OR($B970="",$B970="(blank)"),"",VLOOKUP($B970,'Email Marketing Raw Data'!$C:$O,10,0))),"")</f>
        <v/>
      </c>
      <c r="E970" s="59" t="str">
        <f>IFERROR(IF(F970&lt;&gt;"pending","",IF(OR($B970="",$B970="(blank)"),"",VLOOKUP($B970,'Email Marketing Raw Data'!$C:$O,11,0))),"")</f>
        <v/>
      </c>
      <c r="F970" s="54" t="str">
        <f>IFERROR(IF(OR($B970="",$B970="(blank)"),"",VLOOKUP($B970,'Email Marketing Raw Data'!$C:$O,13,0)),"")</f>
        <v/>
      </c>
      <c r="G970" s="55" t="str">
        <f>IFERROR(IF(OR($B970="",$B970="(blank)"),"",VLOOKUP($B970,'Email Marketing Raw Data'!$C:$O,4,0)),"")</f>
        <v/>
      </c>
      <c r="H970" s="55" t="str">
        <f>IFERROR(IF(OR($B970="",$B970="(blank)"),"",VLOOKUP($B970,'Email Marketing Raw Data'!$C:$O,5,0)),"")</f>
        <v/>
      </c>
      <c r="I970" s="55" t="str">
        <f>IFERROR(IF($G970="","",VLOOKUP('Dashboard And Emails Automate'!$G970,Database!$H:$N,3,0)),"")</f>
        <v/>
      </c>
      <c r="J970" s="55" t="str">
        <f>IFERROR(IF($G970="","",VLOOKUP('Dashboard And Emails Automate'!$G970,Database!$H:$N,4,0)),"")</f>
        <v/>
      </c>
      <c r="K970" s="55" t="str">
        <f>IFERROR(IF($G970="","",VLOOKUP('Dashboard And Emails Automate'!$G970,Database!$H:$N,5,0)),"")</f>
        <v/>
      </c>
      <c r="L970" s="55" t="str">
        <f>IFERROR(IF($G970="","",VLOOKUP('Dashboard And Emails Automate'!$G970,Database!$H:$N,6,0)),"")</f>
        <v/>
      </c>
      <c r="M970" s="55" t="str">
        <f>IFERROR(IF($G970="","",VLOOKUP('Dashboard And Emails Automate'!$G970,Database!$H:$N,7,0)),"")</f>
        <v/>
      </c>
      <c r="N970" s="55" t="str">
        <f>IFERROR(IF(OR($B970="",$B970="(blank)"),"",VLOOKUP($B970,'Email Marketing Raw Data'!$C:$O,6,0)),"")</f>
        <v/>
      </c>
      <c r="O970" s="55" t="str">
        <f>IFERROR(IF(OR($B970="",$B970="(blank)"),"",VLOOKUP($B970,'Email Marketing Raw Data'!$C:$O,7,0)),"")</f>
        <v/>
      </c>
      <c r="P970" s="55" t="str">
        <f>IFERROR(IF(OR($B970="",$B970="(blank)"),"",VLOOKUP($B970,'Email Marketing Raw Data'!$C:$O,8,0)),"")</f>
        <v/>
      </c>
      <c r="Q970" s="62" t="str">
        <f>IFERROR(IF(OR($B970="",$B970="(blank)"),"",VLOOKUP($B970,'Email Marketing Raw Data'!$C:$O,9,0)),"")</f>
        <v/>
      </c>
    </row>
    <row r="971" spans="4:17" ht="12.75" customHeight="1" x14ac:dyDescent="0.2">
      <c r="D971" s="58" t="str">
        <f>IFERROR(IF(F971&lt;&gt;"pending","",IF(OR($B971="",$B971="(blank)"),"",VLOOKUP($B971,'Email Marketing Raw Data'!$C:$O,10,0))),"")</f>
        <v/>
      </c>
      <c r="E971" s="59" t="str">
        <f>IFERROR(IF(F971&lt;&gt;"pending","",IF(OR($B971="",$B971="(blank)"),"",VLOOKUP($B971,'Email Marketing Raw Data'!$C:$O,11,0))),"")</f>
        <v/>
      </c>
      <c r="F971" s="54" t="str">
        <f>IFERROR(IF(OR($B971="",$B971="(blank)"),"",VLOOKUP($B971,'Email Marketing Raw Data'!$C:$O,13,0)),"")</f>
        <v/>
      </c>
      <c r="G971" s="55" t="str">
        <f>IFERROR(IF(OR($B971="",$B971="(blank)"),"",VLOOKUP($B971,'Email Marketing Raw Data'!$C:$O,4,0)),"")</f>
        <v/>
      </c>
      <c r="H971" s="55" t="str">
        <f>IFERROR(IF(OR($B971="",$B971="(blank)"),"",VLOOKUP($B971,'Email Marketing Raw Data'!$C:$O,5,0)),"")</f>
        <v/>
      </c>
      <c r="I971" s="55" t="str">
        <f>IFERROR(IF($G971="","",VLOOKUP('Dashboard And Emails Automate'!$G971,Database!$H:$N,3,0)),"")</f>
        <v/>
      </c>
      <c r="J971" s="55" t="str">
        <f>IFERROR(IF($G971="","",VLOOKUP('Dashboard And Emails Automate'!$G971,Database!$H:$N,4,0)),"")</f>
        <v/>
      </c>
      <c r="K971" s="55" t="str">
        <f>IFERROR(IF($G971="","",VLOOKUP('Dashboard And Emails Automate'!$G971,Database!$H:$N,5,0)),"")</f>
        <v/>
      </c>
      <c r="L971" s="55" t="str">
        <f>IFERROR(IF($G971="","",VLOOKUP('Dashboard And Emails Automate'!$G971,Database!$H:$N,6,0)),"")</f>
        <v/>
      </c>
      <c r="M971" s="55" t="str">
        <f>IFERROR(IF($G971="","",VLOOKUP('Dashboard And Emails Automate'!$G971,Database!$H:$N,7,0)),"")</f>
        <v/>
      </c>
      <c r="N971" s="55" t="str">
        <f>IFERROR(IF(OR($B971="",$B971="(blank)"),"",VLOOKUP($B971,'Email Marketing Raw Data'!$C:$O,6,0)),"")</f>
        <v/>
      </c>
      <c r="O971" s="55" t="str">
        <f>IFERROR(IF(OR($B971="",$B971="(blank)"),"",VLOOKUP($B971,'Email Marketing Raw Data'!$C:$O,7,0)),"")</f>
        <v/>
      </c>
      <c r="P971" s="55" t="str">
        <f>IFERROR(IF(OR($B971="",$B971="(blank)"),"",VLOOKUP($B971,'Email Marketing Raw Data'!$C:$O,8,0)),"")</f>
        <v/>
      </c>
      <c r="Q971" s="62" t="str">
        <f>IFERROR(IF(OR($B971="",$B971="(blank)"),"",VLOOKUP($B971,'Email Marketing Raw Data'!$C:$O,9,0)),"")</f>
        <v/>
      </c>
    </row>
    <row r="972" spans="4:17" ht="12.75" customHeight="1" x14ac:dyDescent="0.2">
      <c r="D972" s="58" t="str">
        <f>IFERROR(IF(F972&lt;&gt;"pending","",IF(OR($B972="",$B972="(blank)"),"",VLOOKUP($B972,'Email Marketing Raw Data'!$C:$O,10,0))),"")</f>
        <v/>
      </c>
      <c r="E972" s="59" t="str">
        <f>IFERROR(IF(F972&lt;&gt;"pending","",IF(OR($B972="",$B972="(blank)"),"",VLOOKUP($B972,'Email Marketing Raw Data'!$C:$O,11,0))),"")</f>
        <v/>
      </c>
      <c r="F972" s="54" t="str">
        <f>IFERROR(IF(OR($B972="",$B972="(blank)"),"",VLOOKUP($B972,'Email Marketing Raw Data'!$C:$O,13,0)),"")</f>
        <v/>
      </c>
      <c r="G972" s="55" t="str">
        <f>IFERROR(IF(OR($B972="",$B972="(blank)"),"",VLOOKUP($B972,'Email Marketing Raw Data'!$C:$O,4,0)),"")</f>
        <v/>
      </c>
      <c r="H972" s="55" t="str">
        <f>IFERROR(IF(OR($B972="",$B972="(blank)"),"",VLOOKUP($B972,'Email Marketing Raw Data'!$C:$O,5,0)),"")</f>
        <v/>
      </c>
      <c r="I972" s="55" t="str">
        <f>IFERROR(IF($G972="","",VLOOKUP('Dashboard And Emails Automate'!$G972,Database!$H:$N,3,0)),"")</f>
        <v/>
      </c>
      <c r="J972" s="55" t="str">
        <f>IFERROR(IF($G972="","",VLOOKUP('Dashboard And Emails Automate'!$G972,Database!$H:$N,4,0)),"")</f>
        <v/>
      </c>
      <c r="K972" s="55" t="str">
        <f>IFERROR(IF($G972="","",VLOOKUP('Dashboard And Emails Automate'!$G972,Database!$H:$N,5,0)),"")</f>
        <v/>
      </c>
      <c r="L972" s="55" t="str">
        <f>IFERROR(IF($G972="","",VLOOKUP('Dashboard And Emails Automate'!$G972,Database!$H:$N,6,0)),"")</f>
        <v/>
      </c>
      <c r="M972" s="55" t="str">
        <f>IFERROR(IF($G972="","",VLOOKUP('Dashboard And Emails Automate'!$G972,Database!$H:$N,7,0)),"")</f>
        <v/>
      </c>
      <c r="N972" s="55" t="str">
        <f>IFERROR(IF(OR($B972="",$B972="(blank)"),"",VLOOKUP($B972,'Email Marketing Raw Data'!$C:$O,6,0)),"")</f>
        <v/>
      </c>
      <c r="O972" s="55" t="str">
        <f>IFERROR(IF(OR($B972="",$B972="(blank)"),"",VLOOKUP($B972,'Email Marketing Raw Data'!$C:$O,7,0)),"")</f>
        <v/>
      </c>
      <c r="P972" s="55" t="str">
        <f>IFERROR(IF(OR($B972="",$B972="(blank)"),"",VLOOKUP($B972,'Email Marketing Raw Data'!$C:$O,8,0)),"")</f>
        <v/>
      </c>
      <c r="Q972" s="62" t="str">
        <f>IFERROR(IF(OR($B972="",$B972="(blank)"),"",VLOOKUP($B972,'Email Marketing Raw Data'!$C:$O,9,0)),"")</f>
        <v/>
      </c>
    </row>
    <row r="973" spans="4:17" ht="12.75" customHeight="1" x14ac:dyDescent="0.2">
      <c r="D973" s="58" t="str">
        <f>IFERROR(IF(F973&lt;&gt;"pending","",IF(OR($B973="",$B973="(blank)"),"",VLOOKUP($B973,'Email Marketing Raw Data'!$C:$O,10,0))),"")</f>
        <v/>
      </c>
      <c r="E973" s="59" t="str">
        <f>IFERROR(IF(F973&lt;&gt;"pending","",IF(OR($B973="",$B973="(blank)"),"",VLOOKUP($B973,'Email Marketing Raw Data'!$C:$O,11,0))),"")</f>
        <v/>
      </c>
      <c r="F973" s="54" t="str">
        <f>IFERROR(IF(OR($B973="",$B973="(blank)"),"",VLOOKUP($B973,'Email Marketing Raw Data'!$C:$O,13,0)),"")</f>
        <v/>
      </c>
      <c r="G973" s="55" t="str">
        <f>IFERROR(IF(OR($B973="",$B973="(blank)"),"",VLOOKUP($B973,'Email Marketing Raw Data'!$C:$O,4,0)),"")</f>
        <v/>
      </c>
      <c r="H973" s="55" t="str">
        <f>IFERROR(IF(OR($B973="",$B973="(blank)"),"",VLOOKUP($B973,'Email Marketing Raw Data'!$C:$O,5,0)),"")</f>
        <v/>
      </c>
      <c r="I973" s="55" t="str">
        <f>IFERROR(IF($G973="","",VLOOKUP('Dashboard And Emails Automate'!$G973,Database!$H:$N,3,0)),"")</f>
        <v/>
      </c>
      <c r="J973" s="55" t="str">
        <f>IFERROR(IF($G973="","",VLOOKUP('Dashboard And Emails Automate'!$G973,Database!$H:$N,4,0)),"")</f>
        <v/>
      </c>
      <c r="K973" s="55" t="str">
        <f>IFERROR(IF($G973="","",VLOOKUP('Dashboard And Emails Automate'!$G973,Database!$H:$N,5,0)),"")</f>
        <v/>
      </c>
      <c r="L973" s="55" t="str">
        <f>IFERROR(IF($G973="","",VLOOKUP('Dashboard And Emails Automate'!$G973,Database!$H:$N,6,0)),"")</f>
        <v/>
      </c>
      <c r="M973" s="55" t="str">
        <f>IFERROR(IF($G973="","",VLOOKUP('Dashboard And Emails Automate'!$G973,Database!$H:$N,7,0)),"")</f>
        <v/>
      </c>
      <c r="N973" s="55" t="str">
        <f>IFERROR(IF(OR($B973="",$B973="(blank)"),"",VLOOKUP($B973,'Email Marketing Raw Data'!$C:$O,6,0)),"")</f>
        <v/>
      </c>
      <c r="O973" s="55" t="str">
        <f>IFERROR(IF(OR($B973="",$B973="(blank)"),"",VLOOKUP($B973,'Email Marketing Raw Data'!$C:$O,7,0)),"")</f>
        <v/>
      </c>
      <c r="P973" s="55" t="str">
        <f>IFERROR(IF(OR($B973="",$B973="(blank)"),"",VLOOKUP($B973,'Email Marketing Raw Data'!$C:$O,8,0)),"")</f>
        <v/>
      </c>
      <c r="Q973" s="62" t="str">
        <f>IFERROR(IF(OR($B973="",$B973="(blank)"),"",VLOOKUP($B973,'Email Marketing Raw Data'!$C:$O,9,0)),"")</f>
        <v/>
      </c>
    </row>
    <row r="974" spans="4:17" ht="12.75" customHeight="1" x14ac:dyDescent="0.2">
      <c r="D974" s="58" t="str">
        <f>IFERROR(IF(F974&lt;&gt;"pending","",IF(OR($B974="",$B974="(blank)"),"",VLOOKUP($B974,'Email Marketing Raw Data'!$C:$O,10,0))),"")</f>
        <v/>
      </c>
      <c r="E974" s="59" t="str">
        <f>IFERROR(IF(F974&lt;&gt;"pending","",IF(OR($B974="",$B974="(blank)"),"",VLOOKUP($B974,'Email Marketing Raw Data'!$C:$O,11,0))),"")</f>
        <v/>
      </c>
      <c r="F974" s="54" t="str">
        <f>IFERROR(IF(OR($B974="",$B974="(blank)"),"",VLOOKUP($B974,'Email Marketing Raw Data'!$C:$O,13,0)),"")</f>
        <v/>
      </c>
      <c r="G974" s="55" t="str">
        <f>IFERROR(IF(OR($B974="",$B974="(blank)"),"",VLOOKUP($B974,'Email Marketing Raw Data'!$C:$O,4,0)),"")</f>
        <v/>
      </c>
      <c r="H974" s="55" t="str">
        <f>IFERROR(IF(OR($B974="",$B974="(blank)"),"",VLOOKUP($B974,'Email Marketing Raw Data'!$C:$O,5,0)),"")</f>
        <v/>
      </c>
      <c r="I974" s="55" t="str">
        <f>IFERROR(IF($G974="","",VLOOKUP('Dashboard And Emails Automate'!$G974,Database!$H:$N,3,0)),"")</f>
        <v/>
      </c>
      <c r="J974" s="55" t="str">
        <f>IFERROR(IF($G974="","",VLOOKUP('Dashboard And Emails Automate'!$G974,Database!$H:$N,4,0)),"")</f>
        <v/>
      </c>
      <c r="K974" s="55" t="str">
        <f>IFERROR(IF($G974="","",VLOOKUP('Dashboard And Emails Automate'!$G974,Database!$H:$N,5,0)),"")</f>
        <v/>
      </c>
      <c r="L974" s="55" t="str">
        <f>IFERROR(IF($G974="","",VLOOKUP('Dashboard And Emails Automate'!$G974,Database!$H:$N,6,0)),"")</f>
        <v/>
      </c>
      <c r="M974" s="55" t="str">
        <f>IFERROR(IF($G974="","",VLOOKUP('Dashboard And Emails Automate'!$G974,Database!$H:$N,7,0)),"")</f>
        <v/>
      </c>
      <c r="N974" s="55" t="str">
        <f>IFERROR(IF(OR($B974="",$B974="(blank)"),"",VLOOKUP($B974,'Email Marketing Raw Data'!$C:$O,6,0)),"")</f>
        <v/>
      </c>
      <c r="O974" s="55" t="str">
        <f>IFERROR(IF(OR($B974="",$B974="(blank)"),"",VLOOKUP($B974,'Email Marketing Raw Data'!$C:$O,7,0)),"")</f>
        <v/>
      </c>
      <c r="P974" s="55" t="str">
        <f>IFERROR(IF(OR($B974="",$B974="(blank)"),"",VLOOKUP($B974,'Email Marketing Raw Data'!$C:$O,8,0)),"")</f>
        <v/>
      </c>
      <c r="Q974" s="62" t="str">
        <f>IFERROR(IF(OR($B974="",$B974="(blank)"),"",VLOOKUP($B974,'Email Marketing Raw Data'!$C:$O,9,0)),"")</f>
        <v/>
      </c>
    </row>
    <row r="975" spans="4:17" ht="12.75" customHeight="1" x14ac:dyDescent="0.2">
      <c r="D975" s="58" t="str">
        <f>IFERROR(IF(F975&lt;&gt;"pending","",IF(OR($B975="",$B975="(blank)"),"",VLOOKUP($B975,'Email Marketing Raw Data'!$C:$O,10,0))),"")</f>
        <v/>
      </c>
      <c r="E975" s="59" t="str">
        <f>IFERROR(IF(F975&lt;&gt;"pending","",IF(OR($B975="",$B975="(blank)"),"",VLOOKUP($B975,'Email Marketing Raw Data'!$C:$O,11,0))),"")</f>
        <v/>
      </c>
      <c r="F975" s="54" t="str">
        <f>IFERROR(IF(OR($B975="",$B975="(blank)"),"",VLOOKUP($B975,'Email Marketing Raw Data'!$C:$O,13,0)),"")</f>
        <v/>
      </c>
      <c r="G975" s="55" t="str">
        <f>IFERROR(IF(OR($B975="",$B975="(blank)"),"",VLOOKUP($B975,'Email Marketing Raw Data'!$C:$O,4,0)),"")</f>
        <v/>
      </c>
      <c r="H975" s="55" t="str">
        <f>IFERROR(IF(OR($B975="",$B975="(blank)"),"",VLOOKUP($B975,'Email Marketing Raw Data'!$C:$O,5,0)),"")</f>
        <v/>
      </c>
      <c r="I975" s="55" t="str">
        <f>IFERROR(IF($G975="","",VLOOKUP('Dashboard And Emails Automate'!$G975,Database!$H:$N,3,0)),"")</f>
        <v/>
      </c>
      <c r="J975" s="55" t="str">
        <f>IFERROR(IF($G975="","",VLOOKUP('Dashboard And Emails Automate'!$G975,Database!$H:$N,4,0)),"")</f>
        <v/>
      </c>
      <c r="K975" s="55" t="str">
        <f>IFERROR(IF($G975="","",VLOOKUP('Dashboard And Emails Automate'!$G975,Database!$H:$N,5,0)),"")</f>
        <v/>
      </c>
      <c r="L975" s="55" t="str">
        <f>IFERROR(IF($G975="","",VLOOKUP('Dashboard And Emails Automate'!$G975,Database!$H:$N,6,0)),"")</f>
        <v/>
      </c>
      <c r="M975" s="55" t="str">
        <f>IFERROR(IF($G975="","",VLOOKUP('Dashboard And Emails Automate'!$G975,Database!$H:$N,7,0)),"")</f>
        <v/>
      </c>
      <c r="N975" s="55" t="str">
        <f>IFERROR(IF(OR($B975="",$B975="(blank)"),"",VLOOKUP($B975,'Email Marketing Raw Data'!$C:$O,6,0)),"")</f>
        <v/>
      </c>
      <c r="O975" s="55" t="str">
        <f>IFERROR(IF(OR($B975="",$B975="(blank)"),"",VLOOKUP($B975,'Email Marketing Raw Data'!$C:$O,7,0)),"")</f>
        <v/>
      </c>
      <c r="P975" s="55" t="str">
        <f>IFERROR(IF(OR($B975="",$B975="(blank)"),"",VLOOKUP($B975,'Email Marketing Raw Data'!$C:$O,8,0)),"")</f>
        <v/>
      </c>
      <c r="Q975" s="62" t="str">
        <f>IFERROR(IF(OR($B975="",$B975="(blank)"),"",VLOOKUP($B975,'Email Marketing Raw Data'!$C:$O,9,0)),"")</f>
        <v/>
      </c>
    </row>
    <row r="976" spans="4:17" ht="12.75" customHeight="1" x14ac:dyDescent="0.2">
      <c r="D976" s="58" t="str">
        <f>IFERROR(IF(F976&lt;&gt;"pending","",IF(OR($B976="",$B976="(blank)"),"",VLOOKUP($B976,'Email Marketing Raw Data'!$C:$O,10,0))),"")</f>
        <v/>
      </c>
      <c r="E976" s="59" t="str">
        <f>IFERROR(IF(F976&lt;&gt;"pending","",IF(OR($B976="",$B976="(blank)"),"",VLOOKUP($B976,'Email Marketing Raw Data'!$C:$O,11,0))),"")</f>
        <v/>
      </c>
      <c r="F976" s="54" t="str">
        <f>IFERROR(IF(OR($B976="",$B976="(blank)"),"",VLOOKUP($B976,'Email Marketing Raw Data'!$C:$O,13,0)),"")</f>
        <v/>
      </c>
      <c r="G976" s="55" t="str">
        <f>IFERROR(IF(OR($B976="",$B976="(blank)"),"",VLOOKUP($B976,'Email Marketing Raw Data'!$C:$O,4,0)),"")</f>
        <v/>
      </c>
      <c r="H976" s="55" t="str">
        <f>IFERROR(IF(OR($B976="",$B976="(blank)"),"",VLOOKUP($B976,'Email Marketing Raw Data'!$C:$O,5,0)),"")</f>
        <v/>
      </c>
      <c r="I976" s="55" t="str">
        <f>IFERROR(IF($G976="","",VLOOKUP('Dashboard And Emails Automate'!$G976,Database!$H:$N,3,0)),"")</f>
        <v/>
      </c>
      <c r="J976" s="55" t="str">
        <f>IFERROR(IF($G976="","",VLOOKUP('Dashboard And Emails Automate'!$G976,Database!$H:$N,4,0)),"")</f>
        <v/>
      </c>
      <c r="K976" s="55" t="str">
        <f>IFERROR(IF($G976="","",VLOOKUP('Dashboard And Emails Automate'!$G976,Database!$H:$N,5,0)),"")</f>
        <v/>
      </c>
      <c r="L976" s="55" t="str">
        <f>IFERROR(IF($G976="","",VLOOKUP('Dashboard And Emails Automate'!$G976,Database!$H:$N,6,0)),"")</f>
        <v/>
      </c>
      <c r="M976" s="55" t="str">
        <f>IFERROR(IF($G976="","",VLOOKUP('Dashboard And Emails Automate'!$G976,Database!$H:$N,7,0)),"")</f>
        <v/>
      </c>
      <c r="N976" s="55" t="str">
        <f>IFERROR(IF(OR($B976="",$B976="(blank)"),"",VLOOKUP($B976,'Email Marketing Raw Data'!$C:$O,6,0)),"")</f>
        <v/>
      </c>
      <c r="O976" s="55" t="str">
        <f>IFERROR(IF(OR($B976="",$B976="(blank)"),"",VLOOKUP($B976,'Email Marketing Raw Data'!$C:$O,7,0)),"")</f>
        <v/>
      </c>
      <c r="P976" s="55" t="str">
        <f>IFERROR(IF(OR($B976="",$B976="(blank)"),"",VLOOKUP($B976,'Email Marketing Raw Data'!$C:$O,8,0)),"")</f>
        <v/>
      </c>
      <c r="Q976" s="62" t="str">
        <f>IFERROR(IF(OR($B976="",$B976="(blank)"),"",VLOOKUP($B976,'Email Marketing Raw Data'!$C:$O,9,0)),"")</f>
        <v/>
      </c>
    </row>
    <row r="977" spans="4:17" ht="12.75" customHeight="1" x14ac:dyDescent="0.2">
      <c r="D977" s="58" t="str">
        <f>IFERROR(IF(F977&lt;&gt;"pending","",IF(OR($B977="",$B977="(blank)"),"",VLOOKUP($B977,'Email Marketing Raw Data'!$C:$O,10,0))),"")</f>
        <v/>
      </c>
      <c r="E977" s="59" t="str">
        <f>IFERROR(IF(F977&lt;&gt;"pending","",IF(OR($B977="",$B977="(blank)"),"",VLOOKUP($B977,'Email Marketing Raw Data'!$C:$O,11,0))),"")</f>
        <v/>
      </c>
      <c r="F977" s="54" t="str">
        <f>IFERROR(IF(OR($B977="",$B977="(blank)"),"",VLOOKUP($B977,'Email Marketing Raw Data'!$C:$O,13,0)),"")</f>
        <v/>
      </c>
      <c r="G977" s="55" t="str">
        <f>IFERROR(IF(OR($B977="",$B977="(blank)"),"",VLOOKUP($B977,'Email Marketing Raw Data'!$C:$O,4,0)),"")</f>
        <v/>
      </c>
      <c r="H977" s="55" t="str">
        <f>IFERROR(IF(OR($B977="",$B977="(blank)"),"",VLOOKUP($B977,'Email Marketing Raw Data'!$C:$O,5,0)),"")</f>
        <v/>
      </c>
      <c r="I977" s="55" t="str">
        <f>IFERROR(IF($G977="","",VLOOKUP('Dashboard And Emails Automate'!$G977,Database!$H:$N,3,0)),"")</f>
        <v/>
      </c>
      <c r="J977" s="55" t="str">
        <f>IFERROR(IF($G977="","",VLOOKUP('Dashboard And Emails Automate'!$G977,Database!$H:$N,4,0)),"")</f>
        <v/>
      </c>
      <c r="K977" s="55" t="str">
        <f>IFERROR(IF($G977="","",VLOOKUP('Dashboard And Emails Automate'!$G977,Database!$H:$N,5,0)),"")</f>
        <v/>
      </c>
      <c r="L977" s="55" t="str">
        <f>IFERROR(IF($G977="","",VLOOKUP('Dashboard And Emails Automate'!$G977,Database!$H:$N,6,0)),"")</f>
        <v/>
      </c>
      <c r="M977" s="55" t="str">
        <f>IFERROR(IF($G977="","",VLOOKUP('Dashboard And Emails Automate'!$G977,Database!$H:$N,7,0)),"")</f>
        <v/>
      </c>
      <c r="N977" s="55" t="str">
        <f>IFERROR(IF(OR($B977="",$B977="(blank)"),"",VLOOKUP($B977,'Email Marketing Raw Data'!$C:$O,6,0)),"")</f>
        <v/>
      </c>
      <c r="O977" s="55" t="str">
        <f>IFERROR(IF(OR($B977="",$B977="(blank)"),"",VLOOKUP($B977,'Email Marketing Raw Data'!$C:$O,7,0)),"")</f>
        <v/>
      </c>
      <c r="P977" s="55" t="str">
        <f>IFERROR(IF(OR($B977="",$B977="(blank)"),"",VLOOKUP($B977,'Email Marketing Raw Data'!$C:$O,8,0)),"")</f>
        <v/>
      </c>
      <c r="Q977" s="62" t="str">
        <f>IFERROR(IF(OR($B977="",$B977="(blank)"),"",VLOOKUP($B977,'Email Marketing Raw Data'!$C:$O,9,0)),"")</f>
        <v/>
      </c>
    </row>
    <row r="978" spans="4:17" ht="12.75" customHeight="1" x14ac:dyDescent="0.2">
      <c r="D978" s="58" t="str">
        <f>IFERROR(IF(F978&lt;&gt;"pending","",IF(OR($B978="",$B978="(blank)"),"",VLOOKUP($B978,'Email Marketing Raw Data'!$C:$O,10,0))),"")</f>
        <v/>
      </c>
      <c r="E978" s="59" t="str">
        <f>IFERROR(IF(F978&lt;&gt;"pending","",IF(OR($B978="",$B978="(blank)"),"",VLOOKUP($B978,'Email Marketing Raw Data'!$C:$O,11,0))),"")</f>
        <v/>
      </c>
      <c r="F978" s="54" t="str">
        <f>IFERROR(IF(OR($B978="",$B978="(blank)"),"",VLOOKUP($B978,'Email Marketing Raw Data'!$C:$O,13,0)),"")</f>
        <v/>
      </c>
      <c r="G978" s="55" t="str">
        <f>IFERROR(IF(OR($B978="",$B978="(blank)"),"",VLOOKUP($B978,'Email Marketing Raw Data'!$C:$O,4,0)),"")</f>
        <v/>
      </c>
      <c r="H978" s="55" t="str">
        <f>IFERROR(IF(OR($B978="",$B978="(blank)"),"",VLOOKUP($B978,'Email Marketing Raw Data'!$C:$O,5,0)),"")</f>
        <v/>
      </c>
      <c r="I978" s="55" t="str">
        <f>IFERROR(IF($G978="","",VLOOKUP('Dashboard And Emails Automate'!$G978,Database!$H:$N,3,0)),"")</f>
        <v/>
      </c>
      <c r="J978" s="55" t="str">
        <f>IFERROR(IF($G978="","",VLOOKUP('Dashboard And Emails Automate'!$G978,Database!$H:$N,4,0)),"")</f>
        <v/>
      </c>
      <c r="K978" s="55" t="str">
        <f>IFERROR(IF($G978="","",VLOOKUP('Dashboard And Emails Automate'!$G978,Database!$H:$N,5,0)),"")</f>
        <v/>
      </c>
      <c r="L978" s="55" t="str">
        <f>IFERROR(IF($G978="","",VLOOKUP('Dashboard And Emails Automate'!$G978,Database!$H:$N,6,0)),"")</f>
        <v/>
      </c>
      <c r="M978" s="55" t="str">
        <f>IFERROR(IF($G978="","",VLOOKUP('Dashboard And Emails Automate'!$G978,Database!$H:$N,7,0)),"")</f>
        <v/>
      </c>
      <c r="N978" s="55" t="str">
        <f>IFERROR(IF(OR($B978="",$B978="(blank)"),"",VLOOKUP($B978,'Email Marketing Raw Data'!$C:$O,6,0)),"")</f>
        <v/>
      </c>
      <c r="O978" s="55" t="str">
        <f>IFERROR(IF(OR($B978="",$B978="(blank)"),"",VLOOKUP($B978,'Email Marketing Raw Data'!$C:$O,7,0)),"")</f>
        <v/>
      </c>
      <c r="P978" s="55" t="str">
        <f>IFERROR(IF(OR($B978="",$B978="(blank)"),"",VLOOKUP($B978,'Email Marketing Raw Data'!$C:$O,8,0)),"")</f>
        <v/>
      </c>
      <c r="Q978" s="62" t="str">
        <f>IFERROR(IF(OR($B978="",$B978="(blank)"),"",VLOOKUP($B978,'Email Marketing Raw Data'!$C:$O,9,0)),"")</f>
        <v/>
      </c>
    </row>
    <row r="979" spans="4:17" ht="12.75" customHeight="1" x14ac:dyDescent="0.2">
      <c r="D979" s="58" t="str">
        <f>IFERROR(IF(F979&lt;&gt;"pending","",IF(OR($B979="",$B979="(blank)"),"",VLOOKUP($B979,'Email Marketing Raw Data'!$C:$O,10,0))),"")</f>
        <v/>
      </c>
      <c r="E979" s="59" t="str">
        <f>IFERROR(IF(F979&lt;&gt;"pending","",IF(OR($B979="",$B979="(blank)"),"",VLOOKUP($B979,'Email Marketing Raw Data'!$C:$O,11,0))),"")</f>
        <v/>
      </c>
      <c r="F979" s="54" t="str">
        <f>IFERROR(IF(OR($B979="",$B979="(blank)"),"",VLOOKUP($B979,'Email Marketing Raw Data'!$C:$O,13,0)),"")</f>
        <v/>
      </c>
      <c r="G979" s="55" t="str">
        <f>IFERROR(IF(OR($B979="",$B979="(blank)"),"",VLOOKUP($B979,'Email Marketing Raw Data'!$C:$O,4,0)),"")</f>
        <v/>
      </c>
      <c r="H979" s="55" t="str">
        <f>IFERROR(IF(OR($B979="",$B979="(blank)"),"",VLOOKUP($B979,'Email Marketing Raw Data'!$C:$O,5,0)),"")</f>
        <v/>
      </c>
      <c r="I979" s="55" t="str">
        <f>IFERROR(IF($G979="","",VLOOKUP('Dashboard And Emails Automate'!$G979,Database!$H:$N,3,0)),"")</f>
        <v/>
      </c>
      <c r="J979" s="55" t="str">
        <f>IFERROR(IF($G979="","",VLOOKUP('Dashboard And Emails Automate'!$G979,Database!$H:$N,4,0)),"")</f>
        <v/>
      </c>
      <c r="K979" s="55" t="str">
        <f>IFERROR(IF($G979="","",VLOOKUP('Dashboard And Emails Automate'!$G979,Database!$H:$N,5,0)),"")</f>
        <v/>
      </c>
      <c r="L979" s="55" t="str">
        <f>IFERROR(IF($G979="","",VLOOKUP('Dashboard And Emails Automate'!$G979,Database!$H:$N,6,0)),"")</f>
        <v/>
      </c>
      <c r="M979" s="55" t="str">
        <f>IFERROR(IF($G979="","",VLOOKUP('Dashboard And Emails Automate'!$G979,Database!$H:$N,7,0)),"")</f>
        <v/>
      </c>
      <c r="N979" s="55" t="str">
        <f>IFERROR(IF(OR($B979="",$B979="(blank)"),"",VLOOKUP($B979,'Email Marketing Raw Data'!$C:$O,6,0)),"")</f>
        <v/>
      </c>
      <c r="O979" s="55" t="str">
        <f>IFERROR(IF(OR($B979="",$B979="(blank)"),"",VLOOKUP($B979,'Email Marketing Raw Data'!$C:$O,7,0)),"")</f>
        <v/>
      </c>
      <c r="P979" s="55" t="str">
        <f>IFERROR(IF(OR($B979="",$B979="(blank)"),"",VLOOKUP($B979,'Email Marketing Raw Data'!$C:$O,8,0)),"")</f>
        <v/>
      </c>
      <c r="Q979" s="62" t="str">
        <f>IFERROR(IF(OR($B979="",$B979="(blank)"),"",VLOOKUP($B979,'Email Marketing Raw Data'!$C:$O,9,0)),"")</f>
        <v/>
      </c>
    </row>
    <row r="980" spans="4:17" ht="12.75" customHeight="1" x14ac:dyDescent="0.2">
      <c r="D980" s="58" t="str">
        <f>IFERROR(IF(F980&lt;&gt;"pending","",IF(OR($B980="",$B980="(blank)"),"",VLOOKUP($B980,'Email Marketing Raw Data'!$C:$O,10,0))),"")</f>
        <v/>
      </c>
      <c r="E980" s="59" t="str">
        <f>IFERROR(IF(F980&lt;&gt;"pending","",IF(OR($B980="",$B980="(blank)"),"",VLOOKUP($B980,'Email Marketing Raw Data'!$C:$O,11,0))),"")</f>
        <v/>
      </c>
      <c r="F980" s="54" t="str">
        <f>IFERROR(IF(OR($B980="",$B980="(blank)"),"",VLOOKUP($B980,'Email Marketing Raw Data'!$C:$O,13,0)),"")</f>
        <v/>
      </c>
      <c r="G980" s="55" t="str">
        <f>IFERROR(IF(OR($B980="",$B980="(blank)"),"",VLOOKUP($B980,'Email Marketing Raw Data'!$C:$O,4,0)),"")</f>
        <v/>
      </c>
      <c r="H980" s="55" t="str">
        <f>IFERROR(IF(OR($B980="",$B980="(blank)"),"",VLOOKUP($B980,'Email Marketing Raw Data'!$C:$O,5,0)),"")</f>
        <v/>
      </c>
      <c r="I980" s="55" t="str">
        <f>IFERROR(IF($G980="","",VLOOKUP('Dashboard And Emails Automate'!$G980,Database!$H:$N,3,0)),"")</f>
        <v/>
      </c>
      <c r="J980" s="55" t="str">
        <f>IFERROR(IF($G980="","",VLOOKUP('Dashboard And Emails Automate'!$G980,Database!$H:$N,4,0)),"")</f>
        <v/>
      </c>
      <c r="K980" s="55" t="str">
        <f>IFERROR(IF($G980="","",VLOOKUP('Dashboard And Emails Automate'!$G980,Database!$H:$N,5,0)),"")</f>
        <v/>
      </c>
      <c r="L980" s="55" t="str">
        <f>IFERROR(IF($G980="","",VLOOKUP('Dashboard And Emails Automate'!$G980,Database!$H:$N,6,0)),"")</f>
        <v/>
      </c>
      <c r="M980" s="55" t="str">
        <f>IFERROR(IF($G980="","",VLOOKUP('Dashboard And Emails Automate'!$G980,Database!$H:$N,7,0)),"")</f>
        <v/>
      </c>
      <c r="N980" s="55" t="str">
        <f>IFERROR(IF(OR($B980="",$B980="(blank)"),"",VLOOKUP($B980,'Email Marketing Raw Data'!$C:$O,6,0)),"")</f>
        <v/>
      </c>
      <c r="O980" s="55" t="str">
        <f>IFERROR(IF(OR($B980="",$B980="(blank)"),"",VLOOKUP($B980,'Email Marketing Raw Data'!$C:$O,7,0)),"")</f>
        <v/>
      </c>
      <c r="P980" s="55" t="str">
        <f>IFERROR(IF(OR($B980="",$B980="(blank)"),"",VLOOKUP($B980,'Email Marketing Raw Data'!$C:$O,8,0)),"")</f>
        <v/>
      </c>
      <c r="Q980" s="62" t="str">
        <f>IFERROR(IF(OR($B980="",$B980="(blank)"),"",VLOOKUP($B980,'Email Marketing Raw Data'!$C:$O,9,0)),"")</f>
        <v/>
      </c>
    </row>
    <row r="981" spans="4:17" ht="12.75" customHeight="1" x14ac:dyDescent="0.2">
      <c r="D981" s="58" t="str">
        <f>IFERROR(IF(F981&lt;&gt;"pending","",IF(OR($B981="",$B981="(blank)"),"",VLOOKUP($B981,'Email Marketing Raw Data'!$C:$O,10,0))),"")</f>
        <v/>
      </c>
      <c r="E981" s="59" t="str">
        <f>IFERROR(IF(F981&lt;&gt;"pending","",IF(OR($B981="",$B981="(blank)"),"",VLOOKUP($B981,'Email Marketing Raw Data'!$C:$O,11,0))),"")</f>
        <v/>
      </c>
      <c r="F981" s="54" t="str">
        <f>IFERROR(IF(OR($B981="",$B981="(blank)"),"",VLOOKUP($B981,'Email Marketing Raw Data'!$C:$O,13,0)),"")</f>
        <v/>
      </c>
      <c r="G981" s="55" t="str">
        <f>IFERROR(IF(OR($B981="",$B981="(blank)"),"",VLOOKUP($B981,'Email Marketing Raw Data'!$C:$O,4,0)),"")</f>
        <v/>
      </c>
      <c r="H981" s="55" t="str">
        <f>IFERROR(IF(OR($B981="",$B981="(blank)"),"",VLOOKUP($B981,'Email Marketing Raw Data'!$C:$O,5,0)),"")</f>
        <v/>
      </c>
      <c r="I981" s="55" t="str">
        <f>IFERROR(IF($G981="","",VLOOKUP('Dashboard And Emails Automate'!$G981,Database!$H:$N,3,0)),"")</f>
        <v/>
      </c>
      <c r="J981" s="55" t="str">
        <f>IFERROR(IF($G981="","",VLOOKUP('Dashboard And Emails Automate'!$G981,Database!$H:$N,4,0)),"")</f>
        <v/>
      </c>
      <c r="K981" s="55" t="str">
        <f>IFERROR(IF($G981="","",VLOOKUP('Dashboard And Emails Automate'!$G981,Database!$H:$N,5,0)),"")</f>
        <v/>
      </c>
      <c r="L981" s="55" t="str">
        <f>IFERROR(IF($G981="","",VLOOKUP('Dashboard And Emails Automate'!$G981,Database!$H:$N,6,0)),"")</f>
        <v/>
      </c>
      <c r="M981" s="55" t="str">
        <f>IFERROR(IF($G981="","",VLOOKUP('Dashboard And Emails Automate'!$G981,Database!$H:$N,7,0)),"")</f>
        <v/>
      </c>
      <c r="N981" s="55" t="str">
        <f>IFERROR(IF(OR($B981="",$B981="(blank)"),"",VLOOKUP($B981,'Email Marketing Raw Data'!$C:$O,6,0)),"")</f>
        <v/>
      </c>
      <c r="O981" s="55" t="str">
        <f>IFERROR(IF(OR($B981="",$B981="(blank)"),"",VLOOKUP($B981,'Email Marketing Raw Data'!$C:$O,7,0)),"")</f>
        <v/>
      </c>
      <c r="P981" s="55" t="str">
        <f>IFERROR(IF(OR($B981="",$B981="(blank)"),"",VLOOKUP($B981,'Email Marketing Raw Data'!$C:$O,8,0)),"")</f>
        <v/>
      </c>
      <c r="Q981" s="62" t="str">
        <f>IFERROR(IF(OR($B981="",$B981="(blank)"),"",VLOOKUP($B981,'Email Marketing Raw Data'!$C:$O,9,0)),"")</f>
        <v/>
      </c>
    </row>
    <row r="982" spans="4:17" ht="12.75" customHeight="1" x14ac:dyDescent="0.2">
      <c r="D982" s="58" t="str">
        <f>IFERROR(IF(F982&lt;&gt;"pending","",IF(OR($B982="",$B982="(blank)"),"",VLOOKUP($B982,'Email Marketing Raw Data'!$C:$O,10,0))),"")</f>
        <v/>
      </c>
      <c r="E982" s="59" t="str">
        <f>IFERROR(IF(F982&lt;&gt;"pending","",IF(OR($B982="",$B982="(blank)"),"",VLOOKUP($B982,'Email Marketing Raw Data'!$C:$O,11,0))),"")</f>
        <v/>
      </c>
      <c r="F982" s="54" t="str">
        <f>IFERROR(IF(OR($B982="",$B982="(blank)"),"",VLOOKUP($B982,'Email Marketing Raw Data'!$C:$O,13,0)),"")</f>
        <v/>
      </c>
      <c r="G982" s="55" t="str">
        <f>IFERROR(IF(OR($B982="",$B982="(blank)"),"",VLOOKUP($B982,'Email Marketing Raw Data'!$C:$O,4,0)),"")</f>
        <v/>
      </c>
      <c r="H982" s="55" t="str">
        <f>IFERROR(IF(OR($B982="",$B982="(blank)"),"",VLOOKUP($B982,'Email Marketing Raw Data'!$C:$O,5,0)),"")</f>
        <v/>
      </c>
      <c r="I982" s="55" t="str">
        <f>IFERROR(IF($G982="","",VLOOKUP('Dashboard And Emails Automate'!$G982,Database!$H:$N,3,0)),"")</f>
        <v/>
      </c>
      <c r="J982" s="55" t="str">
        <f>IFERROR(IF($G982="","",VLOOKUP('Dashboard And Emails Automate'!$G982,Database!$H:$N,4,0)),"")</f>
        <v/>
      </c>
      <c r="K982" s="55" t="str">
        <f>IFERROR(IF($G982="","",VLOOKUP('Dashboard And Emails Automate'!$G982,Database!$H:$N,5,0)),"")</f>
        <v/>
      </c>
      <c r="L982" s="55" t="str">
        <f>IFERROR(IF($G982="","",VLOOKUP('Dashboard And Emails Automate'!$G982,Database!$H:$N,6,0)),"")</f>
        <v/>
      </c>
      <c r="M982" s="55" t="str">
        <f>IFERROR(IF($G982="","",VLOOKUP('Dashboard And Emails Automate'!$G982,Database!$H:$N,7,0)),"")</f>
        <v/>
      </c>
      <c r="N982" s="55" t="str">
        <f>IFERROR(IF(OR($B982="",$B982="(blank)"),"",VLOOKUP($B982,'Email Marketing Raw Data'!$C:$O,6,0)),"")</f>
        <v/>
      </c>
      <c r="O982" s="55" t="str">
        <f>IFERROR(IF(OR($B982="",$B982="(blank)"),"",VLOOKUP($B982,'Email Marketing Raw Data'!$C:$O,7,0)),"")</f>
        <v/>
      </c>
      <c r="P982" s="55" t="str">
        <f>IFERROR(IF(OR($B982="",$B982="(blank)"),"",VLOOKUP($B982,'Email Marketing Raw Data'!$C:$O,8,0)),"")</f>
        <v/>
      </c>
      <c r="Q982" s="62" t="str">
        <f>IFERROR(IF(OR($B982="",$B982="(blank)"),"",VLOOKUP($B982,'Email Marketing Raw Data'!$C:$O,9,0)),"")</f>
        <v/>
      </c>
    </row>
    <row r="983" spans="4:17" ht="12.75" customHeight="1" x14ac:dyDescent="0.2">
      <c r="D983" s="58" t="str">
        <f>IFERROR(IF(F983&lt;&gt;"pending","",IF(OR($B983="",$B983="(blank)"),"",VLOOKUP($B983,'Email Marketing Raw Data'!$C:$O,10,0))),"")</f>
        <v/>
      </c>
      <c r="E983" s="59" t="str">
        <f>IFERROR(IF(F983&lt;&gt;"pending","",IF(OR($B983="",$B983="(blank)"),"",VLOOKUP($B983,'Email Marketing Raw Data'!$C:$O,11,0))),"")</f>
        <v/>
      </c>
      <c r="F983" s="54" t="str">
        <f>IFERROR(IF(OR($B983="",$B983="(blank)"),"",VLOOKUP($B983,'Email Marketing Raw Data'!$C:$O,13,0)),"")</f>
        <v/>
      </c>
      <c r="G983" s="55" t="str">
        <f>IFERROR(IF(OR($B983="",$B983="(blank)"),"",VLOOKUP($B983,'Email Marketing Raw Data'!$C:$O,4,0)),"")</f>
        <v/>
      </c>
      <c r="H983" s="55" t="str">
        <f>IFERROR(IF(OR($B983="",$B983="(blank)"),"",VLOOKUP($B983,'Email Marketing Raw Data'!$C:$O,5,0)),"")</f>
        <v/>
      </c>
      <c r="I983" s="55" t="str">
        <f>IFERROR(IF($G983="","",VLOOKUP('Dashboard And Emails Automate'!$G983,Database!$H:$N,3,0)),"")</f>
        <v/>
      </c>
      <c r="J983" s="55" t="str">
        <f>IFERROR(IF($G983="","",VLOOKUP('Dashboard And Emails Automate'!$G983,Database!$H:$N,4,0)),"")</f>
        <v/>
      </c>
      <c r="K983" s="55" t="str">
        <f>IFERROR(IF($G983="","",VLOOKUP('Dashboard And Emails Automate'!$G983,Database!$H:$N,5,0)),"")</f>
        <v/>
      </c>
      <c r="L983" s="55" t="str">
        <f>IFERROR(IF($G983="","",VLOOKUP('Dashboard And Emails Automate'!$G983,Database!$H:$N,6,0)),"")</f>
        <v/>
      </c>
      <c r="M983" s="55" t="str">
        <f>IFERROR(IF($G983="","",VLOOKUP('Dashboard And Emails Automate'!$G983,Database!$H:$N,7,0)),"")</f>
        <v/>
      </c>
      <c r="N983" s="55" t="str">
        <f>IFERROR(IF(OR($B983="",$B983="(blank)"),"",VLOOKUP($B983,'Email Marketing Raw Data'!$C:$O,6,0)),"")</f>
        <v/>
      </c>
      <c r="O983" s="55" t="str">
        <f>IFERROR(IF(OR($B983="",$B983="(blank)"),"",VLOOKUP($B983,'Email Marketing Raw Data'!$C:$O,7,0)),"")</f>
        <v/>
      </c>
      <c r="P983" s="55" t="str">
        <f>IFERROR(IF(OR($B983="",$B983="(blank)"),"",VLOOKUP($B983,'Email Marketing Raw Data'!$C:$O,8,0)),"")</f>
        <v/>
      </c>
      <c r="Q983" s="62" t="str">
        <f>IFERROR(IF(OR($B983="",$B983="(blank)"),"",VLOOKUP($B983,'Email Marketing Raw Data'!$C:$O,9,0)),"")</f>
        <v/>
      </c>
    </row>
    <row r="984" spans="4:17" ht="12.75" customHeight="1" x14ac:dyDescent="0.2">
      <c r="D984" s="58" t="str">
        <f>IFERROR(IF(F984&lt;&gt;"pending","",IF(OR($B984="",$B984="(blank)"),"",VLOOKUP($B984,'Email Marketing Raw Data'!$C:$O,10,0))),"")</f>
        <v/>
      </c>
      <c r="E984" s="59" t="str">
        <f>IFERROR(IF(F984&lt;&gt;"pending","",IF(OR($B984="",$B984="(blank)"),"",VLOOKUP($B984,'Email Marketing Raw Data'!$C:$O,11,0))),"")</f>
        <v/>
      </c>
      <c r="F984" s="54" t="str">
        <f>IFERROR(IF(OR($B984="",$B984="(blank)"),"",VLOOKUP($B984,'Email Marketing Raw Data'!$C:$O,13,0)),"")</f>
        <v/>
      </c>
      <c r="G984" s="55" t="str">
        <f>IFERROR(IF(OR($B984="",$B984="(blank)"),"",VLOOKUP($B984,'Email Marketing Raw Data'!$C:$O,4,0)),"")</f>
        <v/>
      </c>
      <c r="H984" s="55" t="str">
        <f>IFERROR(IF(OR($B984="",$B984="(blank)"),"",VLOOKUP($B984,'Email Marketing Raw Data'!$C:$O,5,0)),"")</f>
        <v/>
      </c>
      <c r="I984" s="55" t="str">
        <f>IFERROR(IF($G984="","",VLOOKUP('Dashboard And Emails Automate'!$G984,Database!$H:$N,3,0)),"")</f>
        <v/>
      </c>
      <c r="J984" s="55" t="str">
        <f>IFERROR(IF($G984="","",VLOOKUP('Dashboard And Emails Automate'!$G984,Database!$H:$N,4,0)),"")</f>
        <v/>
      </c>
      <c r="K984" s="55" t="str">
        <f>IFERROR(IF($G984="","",VLOOKUP('Dashboard And Emails Automate'!$G984,Database!$H:$N,5,0)),"")</f>
        <v/>
      </c>
      <c r="L984" s="55" t="str">
        <f>IFERROR(IF($G984="","",VLOOKUP('Dashboard And Emails Automate'!$G984,Database!$H:$N,6,0)),"")</f>
        <v/>
      </c>
      <c r="M984" s="55" t="str">
        <f>IFERROR(IF($G984="","",VLOOKUP('Dashboard And Emails Automate'!$G984,Database!$H:$N,7,0)),"")</f>
        <v/>
      </c>
      <c r="N984" s="55" t="str">
        <f>IFERROR(IF(OR($B984="",$B984="(blank)"),"",VLOOKUP($B984,'Email Marketing Raw Data'!$C:$O,6,0)),"")</f>
        <v/>
      </c>
      <c r="O984" s="55" t="str">
        <f>IFERROR(IF(OR($B984="",$B984="(blank)"),"",VLOOKUP($B984,'Email Marketing Raw Data'!$C:$O,7,0)),"")</f>
        <v/>
      </c>
      <c r="P984" s="55" t="str">
        <f>IFERROR(IF(OR($B984="",$B984="(blank)"),"",VLOOKUP($B984,'Email Marketing Raw Data'!$C:$O,8,0)),"")</f>
        <v/>
      </c>
      <c r="Q984" s="62" t="str">
        <f>IFERROR(IF(OR($B984="",$B984="(blank)"),"",VLOOKUP($B984,'Email Marketing Raw Data'!$C:$O,9,0)),"")</f>
        <v/>
      </c>
    </row>
    <row r="985" spans="4:17" ht="12.75" customHeight="1" x14ac:dyDescent="0.2">
      <c r="D985" s="58" t="str">
        <f>IFERROR(IF(F985&lt;&gt;"pending","",IF(OR($B985="",$B985="(blank)"),"",VLOOKUP($B985,'Email Marketing Raw Data'!$C:$O,10,0))),"")</f>
        <v/>
      </c>
      <c r="E985" s="59" t="str">
        <f>IFERROR(IF(F985&lt;&gt;"pending","",IF(OR($B985="",$B985="(blank)"),"",VLOOKUP($B985,'Email Marketing Raw Data'!$C:$O,11,0))),"")</f>
        <v/>
      </c>
      <c r="F985" s="54" t="str">
        <f>IFERROR(IF(OR($B985="",$B985="(blank)"),"",VLOOKUP($B985,'Email Marketing Raw Data'!$C:$O,13,0)),"")</f>
        <v/>
      </c>
      <c r="G985" s="55" t="str">
        <f>IFERROR(IF(OR($B985="",$B985="(blank)"),"",VLOOKUP($B985,'Email Marketing Raw Data'!$C:$O,4,0)),"")</f>
        <v/>
      </c>
      <c r="H985" s="55" t="str">
        <f>IFERROR(IF(OR($B985="",$B985="(blank)"),"",VLOOKUP($B985,'Email Marketing Raw Data'!$C:$O,5,0)),"")</f>
        <v/>
      </c>
      <c r="I985" s="55" t="str">
        <f>IFERROR(IF($G985="","",VLOOKUP('Dashboard And Emails Automate'!$G985,Database!$H:$N,3,0)),"")</f>
        <v/>
      </c>
      <c r="J985" s="55" t="str">
        <f>IFERROR(IF($G985="","",VLOOKUP('Dashboard And Emails Automate'!$G985,Database!$H:$N,4,0)),"")</f>
        <v/>
      </c>
      <c r="K985" s="55" t="str">
        <f>IFERROR(IF($G985="","",VLOOKUP('Dashboard And Emails Automate'!$G985,Database!$H:$N,5,0)),"")</f>
        <v/>
      </c>
      <c r="L985" s="55" t="str">
        <f>IFERROR(IF($G985="","",VLOOKUP('Dashboard And Emails Automate'!$G985,Database!$H:$N,6,0)),"")</f>
        <v/>
      </c>
      <c r="M985" s="55" t="str">
        <f>IFERROR(IF($G985="","",VLOOKUP('Dashboard And Emails Automate'!$G985,Database!$H:$N,7,0)),"")</f>
        <v/>
      </c>
      <c r="N985" s="55" t="str">
        <f>IFERROR(IF(OR($B985="",$B985="(blank)"),"",VLOOKUP($B985,'Email Marketing Raw Data'!$C:$O,6,0)),"")</f>
        <v/>
      </c>
      <c r="O985" s="55" t="str">
        <f>IFERROR(IF(OR($B985="",$B985="(blank)"),"",VLOOKUP($B985,'Email Marketing Raw Data'!$C:$O,7,0)),"")</f>
        <v/>
      </c>
      <c r="P985" s="55" t="str">
        <f>IFERROR(IF(OR($B985="",$B985="(blank)"),"",VLOOKUP($B985,'Email Marketing Raw Data'!$C:$O,8,0)),"")</f>
        <v/>
      </c>
      <c r="Q985" s="62" t="str">
        <f>IFERROR(IF(OR($B985="",$B985="(blank)"),"",VLOOKUP($B985,'Email Marketing Raw Data'!$C:$O,9,0)),"")</f>
        <v/>
      </c>
    </row>
    <row r="986" spans="4:17" ht="12.75" customHeight="1" x14ac:dyDescent="0.2">
      <c r="D986" s="58" t="str">
        <f>IFERROR(IF(F986&lt;&gt;"pending","",IF(OR($B986="",$B986="(blank)"),"",VLOOKUP($B986,'Email Marketing Raw Data'!$C:$O,10,0))),"")</f>
        <v/>
      </c>
      <c r="E986" s="59" t="str">
        <f>IFERROR(IF(F986&lt;&gt;"pending","",IF(OR($B986="",$B986="(blank)"),"",VLOOKUP($B986,'Email Marketing Raw Data'!$C:$O,11,0))),"")</f>
        <v/>
      </c>
      <c r="F986" s="54" t="str">
        <f>IFERROR(IF(OR($B986="",$B986="(blank)"),"",VLOOKUP($B986,'Email Marketing Raw Data'!$C:$O,13,0)),"")</f>
        <v/>
      </c>
      <c r="G986" s="55" t="str">
        <f>IFERROR(IF(OR($B986="",$B986="(blank)"),"",VLOOKUP($B986,'Email Marketing Raw Data'!$C:$O,4,0)),"")</f>
        <v/>
      </c>
      <c r="H986" s="55" t="str">
        <f>IFERROR(IF(OR($B986="",$B986="(blank)"),"",VLOOKUP($B986,'Email Marketing Raw Data'!$C:$O,5,0)),"")</f>
        <v/>
      </c>
      <c r="I986" s="55" t="str">
        <f>IFERROR(IF($G986="","",VLOOKUP('Dashboard And Emails Automate'!$G986,Database!$H:$N,3,0)),"")</f>
        <v/>
      </c>
      <c r="J986" s="55" t="str">
        <f>IFERROR(IF($G986="","",VLOOKUP('Dashboard And Emails Automate'!$G986,Database!$H:$N,4,0)),"")</f>
        <v/>
      </c>
      <c r="K986" s="55" t="str">
        <f>IFERROR(IF($G986="","",VLOOKUP('Dashboard And Emails Automate'!$G986,Database!$H:$N,5,0)),"")</f>
        <v/>
      </c>
      <c r="L986" s="55" t="str">
        <f>IFERROR(IF($G986="","",VLOOKUP('Dashboard And Emails Automate'!$G986,Database!$H:$N,6,0)),"")</f>
        <v/>
      </c>
      <c r="M986" s="55" t="str">
        <f>IFERROR(IF($G986="","",VLOOKUP('Dashboard And Emails Automate'!$G986,Database!$H:$N,7,0)),"")</f>
        <v/>
      </c>
      <c r="N986" s="55" t="str">
        <f>IFERROR(IF(OR($B986="",$B986="(blank)"),"",VLOOKUP($B986,'Email Marketing Raw Data'!$C:$O,6,0)),"")</f>
        <v/>
      </c>
      <c r="O986" s="55" t="str">
        <f>IFERROR(IF(OR($B986="",$B986="(blank)"),"",VLOOKUP($B986,'Email Marketing Raw Data'!$C:$O,7,0)),"")</f>
        <v/>
      </c>
      <c r="P986" s="55" t="str">
        <f>IFERROR(IF(OR($B986="",$B986="(blank)"),"",VLOOKUP($B986,'Email Marketing Raw Data'!$C:$O,8,0)),"")</f>
        <v/>
      </c>
      <c r="Q986" s="62" t="str">
        <f>IFERROR(IF(OR($B986="",$B986="(blank)"),"",VLOOKUP($B986,'Email Marketing Raw Data'!$C:$O,9,0)),"")</f>
        <v/>
      </c>
    </row>
    <row r="987" spans="4:17" ht="12.75" customHeight="1" x14ac:dyDescent="0.2">
      <c r="D987" s="58" t="str">
        <f>IFERROR(IF(F987&lt;&gt;"pending","",IF(OR($B987="",$B987="(blank)"),"",VLOOKUP($B987,'Email Marketing Raw Data'!$C:$O,10,0))),"")</f>
        <v/>
      </c>
      <c r="E987" s="59" t="str">
        <f>IFERROR(IF(F987&lt;&gt;"pending","",IF(OR($B987="",$B987="(blank)"),"",VLOOKUP($B987,'Email Marketing Raw Data'!$C:$O,11,0))),"")</f>
        <v/>
      </c>
      <c r="F987" s="54" t="str">
        <f>IFERROR(IF(OR($B987="",$B987="(blank)"),"",VLOOKUP($B987,'Email Marketing Raw Data'!$C:$O,13,0)),"")</f>
        <v/>
      </c>
      <c r="G987" s="55" t="str">
        <f>IFERROR(IF(OR($B987="",$B987="(blank)"),"",VLOOKUP($B987,'Email Marketing Raw Data'!$C:$O,4,0)),"")</f>
        <v/>
      </c>
      <c r="H987" s="55" t="str">
        <f>IFERROR(IF(OR($B987="",$B987="(blank)"),"",VLOOKUP($B987,'Email Marketing Raw Data'!$C:$O,5,0)),"")</f>
        <v/>
      </c>
      <c r="I987" s="55" t="str">
        <f>IFERROR(IF($G987="","",VLOOKUP('Dashboard And Emails Automate'!$G987,Database!$H:$N,3,0)),"")</f>
        <v/>
      </c>
      <c r="J987" s="55" t="str">
        <f>IFERROR(IF($G987="","",VLOOKUP('Dashboard And Emails Automate'!$G987,Database!$H:$N,4,0)),"")</f>
        <v/>
      </c>
      <c r="K987" s="55" t="str">
        <f>IFERROR(IF($G987="","",VLOOKUP('Dashboard And Emails Automate'!$G987,Database!$H:$N,5,0)),"")</f>
        <v/>
      </c>
      <c r="L987" s="55" t="str">
        <f>IFERROR(IF($G987="","",VLOOKUP('Dashboard And Emails Automate'!$G987,Database!$H:$N,6,0)),"")</f>
        <v/>
      </c>
      <c r="M987" s="55" t="str">
        <f>IFERROR(IF($G987="","",VLOOKUP('Dashboard And Emails Automate'!$G987,Database!$H:$N,7,0)),"")</f>
        <v/>
      </c>
      <c r="N987" s="55" t="str">
        <f>IFERROR(IF(OR($B987="",$B987="(blank)"),"",VLOOKUP($B987,'Email Marketing Raw Data'!$C:$O,6,0)),"")</f>
        <v/>
      </c>
      <c r="O987" s="55" t="str">
        <f>IFERROR(IF(OR($B987="",$B987="(blank)"),"",VLOOKUP($B987,'Email Marketing Raw Data'!$C:$O,7,0)),"")</f>
        <v/>
      </c>
      <c r="P987" s="55" t="str">
        <f>IFERROR(IF(OR($B987="",$B987="(blank)"),"",VLOOKUP($B987,'Email Marketing Raw Data'!$C:$O,8,0)),"")</f>
        <v/>
      </c>
      <c r="Q987" s="62" t="str">
        <f>IFERROR(IF(OR($B987="",$B987="(blank)"),"",VLOOKUP($B987,'Email Marketing Raw Data'!$C:$O,9,0)),"")</f>
        <v/>
      </c>
    </row>
    <row r="988" spans="4:17" ht="12.75" customHeight="1" x14ac:dyDescent="0.2">
      <c r="D988" s="58" t="str">
        <f>IFERROR(IF(F988&lt;&gt;"pending","",IF(OR($B988="",$B988="(blank)"),"",VLOOKUP($B988,'Email Marketing Raw Data'!$C:$O,10,0))),"")</f>
        <v/>
      </c>
      <c r="E988" s="59" t="str">
        <f>IFERROR(IF(F988&lt;&gt;"pending","",IF(OR($B988="",$B988="(blank)"),"",VLOOKUP($B988,'Email Marketing Raw Data'!$C:$O,11,0))),"")</f>
        <v/>
      </c>
      <c r="F988" s="54" t="str">
        <f>IFERROR(IF(OR($B988="",$B988="(blank)"),"",VLOOKUP($B988,'Email Marketing Raw Data'!$C:$O,13,0)),"")</f>
        <v/>
      </c>
      <c r="G988" s="55" t="str">
        <f>IFERROR(IF(OR($B988="",$B988="(blank)"),"",VLOOKUP($B988,'Email Marketing Raw Data'!$C:$O,4,0)),"")</f>
        <v/>
      </c>
      <c r="H988" s="55" t="str">
        <f>IFERROR(IF(OR($B988="",$B988="(blank)"),"",VLOOKUP($B988,'Email Marketing Raw Data'!$C:$O,5,0)),"")</f>
        <v/>
      </c>
      <c r="I988" s="55" t="str">
        <f>IFERROR(IF($G988="","",VLOOKUP('Dashboard And Emails Automate'!$G988,Database!$H:$N,3,0)),"")</f>
        <v/>
      </c>
      <c r="J988" s="55" t="str">
        <f>IFERROR(IF($G988="","",VLOOKUP('Dashboard And Emails Automate'!$G988,Database!$H:$N,4,0)),"")</f>
        <v/>
      </c>
      <c r="K988" s="55" t="str">
        <f>IFERROR(IF($G988="","",VLOOKUP('Dashboard And Emails Automate'!$G988,Database!$H:$N,5,0)),"")</f>
        <v/>
      </c>
      <c r="L988" s="55" t="str">
        <f>IFERROR(IF($G988="","",VLOOKUP('Dashboard And Emails Automate'!$G988,Database!$H:$N,6,0)),"")</f>
        <v/>
      </c>
      <c r="M988" s="55" t="str">
        <f>IFERROR(IF($G988="","",VLOOKUP('Dashboard And Emails Automate'!$G988,Database!$H:$N,7,0)),"")</f>
        <v/>
      </c>
      <c r="N988" s="55" t="str">
        <f>IFERROR(IF(OR($B988="",$B988="(blank)"),"",VLOOKUP($B988,'Email Marketing Raw Data'!$C:$O,6,0)),"")</f>
        <v/>
      </c>
      <c r="O988" s="55" t="str">
        <f>IFERROR(IF(OR($B988="",$B988="(blank)"),"",VLOOKUP($B988,'Email Marketing Raw Data'!$C:$O,7,0)),"")</f>
        <v/>
      </c>
      <c r="P988" s="55" t="str">
        <f>IFERROR(IF(OR($B988="",$B988="(blank)"),"",VLOOKUP($B988,'Email Marketing Raw Data'!$C:$O,8,0)),"")</f>
        <v/>
      </c>
      <c r="Q988" s="62" t="str">
        <f>IFERROR(IF(OR($B988="",$B988="(blank)"),"",VLOOKUP($B988,'Email Marketing Raw Data'!$C:$O,9,0)),"")</f>
        <v/>
      </c>
    </row>
    <row r="989" spans="4:17" ht="12.75" customHeight="1" x14ac:dyDescent="0.2">
      <c r="D989" s="58" t="str">
        <f>IFERROR(IF(F989&lt;&gt;"pending","",IF(OR($B989="",$B989="(blank)"),"",VLOOKUP($B989,'Email Marketing Raw Data'!$C:$O,10,0))),"")</f>
        <v/>
      </c>
      <c r="E989" s="59" t="str">
        <f>IFERROR(IF(F989&lt;&gt;"pending","",IF(OR($B989="",$B989="(blank)"),"",VLOOKUP($B989,'Email Marketing Raw Data'!$C:$O,11,0))),"")</f>
        <v/>
      </c>
      <c r="F989" s="54" t="str">
        <f>IFERROR(IF(OR($B989="",$B989="(blank)"),"",VLOOKUP($B989,'Email Marketing Raw Data'!$C:$O,13,0)),"")</f>
        <v/>
      </c>
      <c r="G989" s="55" t="str">
        <f>IFERROR(IF(OR($B989="",$B989="(blank)"),"",VLOOKUP($B989,'Email Marketing Raw Data'!$C:$O,4,0)),"")</f>
        <v/>
      </c>
      <c r="H989" s="55" t="str">
        <f>IFERROR(IF(OR($B989="",$B989="(blank)"),"",VLOOKUP($B989,'Email Marketing Raw Data'!$C:$O,5,0)),"")</f>
        <v/>
      </c>
      <c r="I989" s="55" t="str">
        <f>IFERROR(IF($G989="","",VLOOKUP('Dashboard And Emails Automate'!$G989,Database!$H:$N,3,0)),"")</f>
        <v/>
      </c>
      <c r="J989" s="55" t="str">
        <f>IFERROR(IF($G989="","",VLOOKUP('Dashboard And Emails Automate'!$G989,Database!$H:$N,4,0)),"")</f>
        <v/>
      </c>
      <c r="K989" s="55" t="str">
        <f>IFERROR(IF($G989="","",VLOOKUP('Dashboard And Emails Automate'!$G989,Database!$H:$N,5,0)),"")</f>
        <v/>
      </c>
      <c r="L989" s="55" t="str">
        <f>IFERROR(IF($G989="","",VLOOKUP('Dashboard And Emails Automate'!$G989,Database!$H:$N,6,0)),"")</f>
        <v/>
      </c>
      <c r="M989" s="55" t="str">
        <f>IFERROR(IF($G989="","",VLOOKUP('Dashboard And Emails Automate'!$G989,Database!$H:$N,7,0)),"")</f>
        <v/>
      </c>
      <c r="N989" s="55" t="str">
        <f>IFERROR(IF(OR($B989="",$B989="(blank)"),"",VLOOKUP($B989,'Email Marketing Raw Data'!$C:$O,6,0)),"")</f>
        <v/>
      </c>
      <c r="O989" s="55" t="str">
        <f>IFERROR(IF(OR($B989="",$B989="(blank)"),"",VLOOKUP($B989,'Email Marketing Raw Data'!$C:$O,7,0)),"")</f>
        <v/>
      </c>
      <c r="P989" s="55" t="str">
        <f>IFERROR(IF(OR($B989="",$B989="(blank)"),"",VLOOKUP($B989,'Email Marketing Raw Data'!$C:$O,8,0)),"")</f>
        <v/>
      </c>
      <c r="Q989" s="62" t="str">
        <f>IFERROR(IF(OR($B989="",$B989="(blank)"),"",VLOOKUP($B989,'Email Marketing Raw Data'!$C:$O,9,0)),"")</f>
        <v/>
      </c>
    </row>
    <row r="990" spans="4:17" ht="12.75" customHeight="1" x14ac:dyDescent="0.2">
      <c r="D990" s="58" t="str">
        <f>IFERROR(IF(F990&lt;&gt;"pending","",IF(OR($B990="",$B990="(blank)"),"",VLOOKUP($B990,'Email Marketing Raw Data'!$C:$O,10,0))),"")</f>
        <v/>
      </c>
      <c r="E990" s="59" t="str">
        <f>IFERROR(IF(F990&lt;&gt;"pending","",IF(OR($B990="",$B990="(blank)"),"",VLOOKUP($B990,'Email Marketing Raw Data'!$C:$O,11,0))),"")</f>
        <v/>
      </c>
      <c r="F990" s="54" t="str">
        <f>IFERROR(IF(OR($B990="",$B990="(blank)"),"",VLOOKUP($B990,'Email Marketing Raw Data'!$C:$O,13,0)),"")</f>
        <v/>
      </c>
      <c r="G990" s="55" t="str">
        <f>IFERROR(IF(OR($B990="",$B990="(blank)"),"",VLOOKUP($B990,'Email Marketing Raw Data'!$C:$O,4,0)),"")</f>
        <v/>
      </c>
      <c r="H990" s="55" t="str">
        <f>IFERROR(IF(OR($B990="",$B990="(blank)"),"",VLOOKUP($B990,'Email Marketing Raw Data'!$C:$O,5,0)),"")</f>
        <v/>
      </c>
      <c r="I990" s="55" t="str">
        <f>IFERROR(IF($G990="","",VLOOKUP('Dashboard And Emails Automate'!$G990,Database!$H:$N,3,0)),"")</f>
        <v/>
      </c>
      <c r="J990" s="55" t="str">
        <f>IFERROR(IF($G990="","",VLOOKUP('Dashboard And Emails Automate'!$G990,Database!$H:$N,4,0)),"")</f>
        <v/>
      </c>
      <c r="K990" s="55" t="str">
        <f>IFERROR(IF($G990="","",VLOOKUP('Dashboard And Emails Automate'!$G990,Database!$H:$N,5,0)),"")</f>
        <v/>
      </c>
      <c r="L990" s="55" t="str">
        <f>IFERROR(IF($G990="","",VLOOKUP('Dashboard And Emails Automate'!$G990,Database!$H:$N,6,0)),"")</f>
        <v/>
      </c>
      <c r="M990" s="55" t="str">
        <f>IFERROR(IF($G990="","",VLOOKUP('Dashboard And Emails Automate'!$G990,Database!$H:$N,7,0)),"")</f>
        <v/>
      </c>
      <c r="N990" s="55" t="str">
        <f>IFERROR(IF(OR($B990="",$B990="(blank)"),"",VLOOKUP($B990,'Email Marketing Raw Data'!$C:$O,6,0)),"")</f>
        <v/>
      </c>
      <c r="O990" s="55" t="str">
        <f>IFERROR(IF(OR($B990="",$B990="(blank)"),"",VLOOKUP($B990,'Email Marketing Raw Data'!$C:$O,7,0)),"")</f>
        <v/>
      </c>
      <c r="P990" s="55" t="str">
        <f>IFERROR(IF(OR($B990="",$B990="(blank)"),"",VLOOKUP($B990,'Email Marketing Raw Data'!$C:$O,8,0)),"")</f>
        <v/>
      </c>
      <c r="Q990" s="62" t="str">
        <f>IFERROR(IF(OR($B990="",$B990="(blank)"),"",VLOOKUP($B990,'Email Marketing Raw Data'!$C:$O,9,0)),"")</f>
        <v/>
      </c>
    </row>
    <row r="991" spans="4:17" ht="12.75" customHeight="1" x14ac:dyDescent="0.2">
      <c r="D991" s="58" t="str">
        <f>IFERROR(IF(F991&lt;&gt;"pending","",IF(OR($B991="",$B991="(blank)"),"",VLOOKUP($B991,'Email Marketing Raw Data'!$C:$O,10,0))),"")</f>
        <v/>
      </c>
      <c r="E991" s="59" t="str">
        <f>IFERROR(IF(F991&lt;&gt;"pending","",IF(OR($B991="",$B991="(blank)"),"",VLOOKUP($B991,'Email Marketing Raw Data'!$C:$O,11,0))),"")</f>
        <v/>
      </c>
      <c r="F991" s="54" t="str">
        <f>IFERROR(IF(OR($B991="",$B991="(blank)"),"",VLOOKUP($B991,'Email Marketing Raw Data'!$C:$O,13,0)),"")</f>
        <v/>
      </c>
      <c r="G991" s="55" t="str">
        <f>IFERROR(IF(OR($B991="",$B991="(blank)"),"",VLOOKUP($B991,'Email Marketing Raw Data'!$C:$O,4,0)),"")</f>
        <v/>
      </c>
      <c r="H991" s="55" t="str">
        <f>IFERROR(IF(OR($B991="",$B991="(blank)"),"",VLOOKUP($B991,'Email Marketing Raw Data'!$C:$O,5,0)),"")</f>
        <v/>
      </c>
      <c r="I991" s="55" t="str">
        <f>IFERROR(IF($G991="","",VLOOKUP('Dashboard And Emails Automate'!$G991,Database!$H:$N,3,0)),"")</f>
        <v/>
      </c>
      <c r="J991" s="55" t="str">
        <f>IFERROR(IF($G991="","",VLOOKUP('Dashboard And Emails Automate'!$G991,Database!$H:$N,4,0)),"")</f>
        <v/>
      </c>
      <c r="K991" s="55" t="str">
        <f>IFERROR(IF($G991="","",VLOOKUP('Dashboard And Emails Automate'!$G991,Database!$H:$N,5,0)),"")</f>
        <v/>
      </c>
      <c r="L991" s="55" t="str">
        <f>IFERROR(IF($G991="","",VLOOKUP('Dashboard And Emails Automate'!$G991,Database!$H:$N,6,0)),"")</f>
        <v/>
      </c>
      <c r="M991" s="55" t="str">
        <f>IFERROR(IF($G991="","",VLOOKUP('Dashboard And Emails Automate'!$G991,Database!$H:$N,7,0)),"")</f>
        <v/>
      </c>
      <c r="N991" s="55" t="str">
        <f>IFERROR(IF(OR($B991="",$B991="(blank)"),"",VLOOKUP($B991,'Email Marketing Raw Data'!$C:$O,6,0)),"")</f>
        <v/>
      </c>
      <c r="O991" s="55" t="str">
        <f>IFERROR(IF(OR($B991="",$B991="(blank)"),"",VLOOKUP($B991,'Email Marketing Raw Data'!$C:$O,7,0)),"")</f>
        <v/>
      </c>
      <c r="P991" s="55" t="str">
        <f>IFERROR(IF(OR($B991="",$B991="(blank)"),"",VLOOKUP($B991,'Email Marketing Raw Data'!$C:$O,8,0)),"")</f>
        <v/>
      </c>
      <c r="Q991" s="62" t="str">
        <f>IFERROR(IF(OR($B991="",$B991="(blank)"),"",VLOOKUP($B991,'Email Marketing Raw Data'!$C:$O,9,0)),"")</f>
        <v/>
      </c>
    </row>
    <row r="992" spans="4:17" ht="12.75" customHeight="1" x14ac:dyDescent="0.2">
      <c r="D992" s="58" t="str">
        <f>IFERROR(IF(F992&lt;&gt;"pending","",IF(OR($B992="",$B992="(blank)"),"",VLOOKUP($B992,'Email Marketing Raw Data'!$C:$O,10,0))),"")</f>
        <v/>
      </c>
      <c r="E992" s="59" t="str">
        <f>IFERROR(IF(F992&lt;&gt;"pending","",IF(OR($B992="",$B992="(blank)"),"",VLOOKUP($B992,'Email Marketing Raw Data'!$C:$O,11,0))),"")</f>
        <v/>
      </c>
      <c r="F992" s="54" t="str">
        <f>IFERROR(IF(OR($B992="",$B992="(blank)"),"",VLOOKUP($B992,'Email Marketing Raw Data'!$C:$O,13,0)),"")</f>
        <v/>
      </c>
      <c r="G992" s="55" t="str">
        <f>IFERROR(IF(OR($B992="",$B992="(blank)"),"",VLOOKUP($B992,'Email Marketing Raw Data'!$C:$O,4,0)),"")</f>
        <v/>
      </c>
      <c r="H992" s="55" t="str">
        <f>IFERROR(IF(OR($B992="",$B992="(blank)"),"",VLOOKUP($B992,'Email Marketing Raw Data'!$C:$O,5,0)),"")</f>
        <v/>
      </c>
      <c r="I992" s="55" t="str">
        <f>IFERROR(IF($G992="","",VLOOKUP('Dashboard And Emails Automate'!$G992,Database!$H:$N,3,0)),"")</f>
        <v/>
      </c>
      <c r="J992" s="55" t="str">
        <f>IFERROR(IF($G992="","",VLOOKUP('Dashboard And Emails Automate'!$G992,Database!$H:$N,4,0)),"")</f>
        <v/>
      </c>
      <c r="K992" s="55" t="str">
        <f>IFERROR(IF($G992="","",VLOOKUP('Dashboard And Emails Automate'!$G992,Database!$H:$N,5,0)),"")</f>
        <v/>
      </c>
      <c r="L992" s="55" t="str">
        <f>IFERROR(IF($G992="","",VLOOKUP('Dashboard And Emails Automate'!$G992,Database!$H:$N,6,0)),"")</f>
        <v/>
      </c>
      <c r="M992" s="55" t="str">
        <f>IFERROR(IF($G992="","",VLOOKUP('Dashboard And Emails Automate'!$G992,Database!$H:$N,7,0)),"")</f>
        <v/>
      </c>
      <c r="N992" s="55" t="str">
        <f>IFERROR(IF(OR($B992="",$B992="(blank)"),"",VLOOKUP($B992,'Email Marketing Raw Data'!$C:$O,6,0)),"")</f>
        <v/>
      </c>
      <c r="O992" s="55" t="str">
        <f>IFERROR(IF(OR($B992="",$B992="(blank)"),"",VLOOKUP($B992,'Email Marketing Raw Data'!$C:$O,7,0)),"")</f>
        <v/>
      </c>
      <c r="P992" s="55" t="str">
        <f>IFERROR(IF(OR($B992="",$B992="(blank)"),"",VLOOKUP($B992,'Email Marketing Raw Data'!$C:$O,8,0)),"")</f>
        <v/>
      </c>
      <c r="Q992" s="62" t="str">
        <f>IFERROR(IF(OR($B992="",$B992="(blank)"),"",VLOOKUP($B992,'Email Marketing Raw Data'!$C:$O,9,0)),"")</f>
        <v/>
      </c>
    </row>
    <row r="993" spans="4:17" ht="12.75" customHeight="1" x14ac:dyDescent="0.2">
      <c r="D993" s="58" t="str">
        <f>IFERROR(IF(F993&lt;&gt;"pending","",IF(OR($B993="",$B993="(blank)"),"",VLOOKUP($B993,'Email Marketing Raw Data'!$C:$O,10,0))),"")</f>
        <v/>
      </c>
      <c r="E993" s="59" t="str">
        <f>IFERROR(IF(F993&lt;&gt;"pending","",IF(OR($B993="",$B993="(blank)"),"",VLOOKUP($B993,'Email Marketing Raw Data'!$C:$O,11,0))),"")</f>
        <v/>
      </c>
      <c r="F993" s="54" t="str">
        <f>IFERROR(IF(OR($B993="",$B993="(blank)"),"",VLOOKUP($B993,'Email Marketing Raw Data'!$C:$O,13,0)),"")</f>
        <v/>
      </c>
      <c r="G993" s="55" t="str">
        <f>IFERROR(IF(OR($B993="",$B993="(blank)"),"",VLOOKUP($B993,'Email Marketing Raw Data'!$C:$O,4,0)),"")</f>
        <v/>
      </c>
      <c r="H993" s="55" t="str">
        <f>IFERROR(IF(OR($B993="",$B993="(blank)"),"",VLOOKUP($B993,'Email Marketing Raw Data'!$C:$O,5,0)),"")</f>
        <v/>
      </c>
      <c r="I993" s="55" t="str">
        <f>IFERROR(IF($G993="","",VLOOKUP('Dashboard And Emails Automate'!$G993,Database!$H:$N,3,0)),"")</f>
        <v/>
      </c>
      <c r="J993" s="55" t="str">
        <f>IFERROR(IF($G993="","",VLOOKUP('Dashboard And Emails Automate'!$G993,Database!$H:$N,4,0)),"")</f>
        <v/>
      </c>
      <c r="K993" s="55" t="str">
        <f>IFERROR(IF($G993="","",VLOOKUP('Dashboard And Emails Automate'!$G993,Database!$H:$N,5,0)),"")</f>
        <v/>
      </c>
      <c r="L993" s="55" t="str">
        <f>IFERROR(IF($G993="","",VLOOKUP('Dashboard And Emails Automate'!$G993,Database!$H:$N,6,0)),"")</f>
        <v/>
      </c>
      <c r="M993" s="55" t="str">
        <f>IFERROR(IF($G993="","",VLOOKUP('Dashboard And Emails Automate'!$G993,Database!$H:$N,7,0)),"")</f>
        <v/>
      </c>
      <c r="N993" s="55" t="str">
        <f>IFERROR(IF(OR($B993="",$B993="(blank)"),"",VLOOKUP($B993,'Email Marketing Raw Data'!$C:$O,6,0)),"")</f>
        <v/>
      </c>
      <c r="O993" s="55" t="str">
        <f>IFERROR(IF(OR($B993="",$B993="(blank)"),"",VLOOKUP($B993,'Email Marketing Raw Data'!$C:$O,7,0)),"")</f>
        <v/>
      </c>
      <c r="P993" s="55" t="str">
        <f>IFERROR(IF(OR($B993="",$B993="(blank)"),"",VLOOKUP($B993,'Email Marketing Raw Data'!$C:$O,8,0)),"")</f>
        <v/>
      </c>
      <c r="Q993" s="62" t="str">
        <f>IFERROR(IF(OR($B993="",$B993="(blank)"),"",VLOOKUP($B993,'Email Marketing Raw Data'!$C:$O,9,0)),"")</f>
        <v/>
      </c>
    </row>
    <row r="994" spans="4:17" ht="12.75" customHeight="1" x14ac:dyDescent="0.2">
      <c r="D994" s="58" t="str">
        <f>IFERROR(IF(F994&lt;&gt;"pending","",IF(OR($B994="",$B994="(blank)"),"",VLOOKUP($B994,'Email Marketing Raw Data'!$C:$O,10,0))),"")</f>
        <v/>
      </c>
      <c r="E994" s="59" t="str">
        <f>IFERROR(IF(F994&lt;&gt;"pending","",IF(OR($B994="",$B994="(blank)"),"",VLOOKUP($B994,'Email Marketing Raw Data'!$C:$O,11,0))),"")</f>
        <v/>
      </c>
      <c r="F994" s="54" t="str">
        <f>IFERROR(IF(OR($B994="",$B994="(blank)"),"",VLOOKUP($B994,'Email Marketing Raw Data'!$C:$O,13,0)),"")</f>
        <v/>
      </c>
      <c r="G994" s="55" t="str">
        <f>IFERROR(IF(OR($B994="",$B994="(blank)"),"",VLOOKUP($B994,'Email Marketing Raw Data'!$C:$O,4,0)),"")</f>
        <v/>
      </c>
      <c r="H994" s="55" t="str">
        <f>IFERROR(IF(OR($B994="",$B994="(blank)"),"",VLOOKUP($B994,'Email Marketing Raw Data'!$C:$O,5,0)),"")</f>
        <v/>
      </c>
      <c r="I994" s="55" t="str">
        <f>IFERROR(IF($G994="","",VLOOKUP('Dashboard And Emails Automate'!$G994,Database!$H:$N,3,0)),"")</f>
        <v/>
      </c>
      <c r="J994" s="55" t="str">
        <f>IFERROR(IF($G994="","",VLOOKUP('Dashboard And Emails Automate'!$G994,Database!$H:$N,4,0)),"")</f>
        <v/>
      </c>
      <c r="K994" s="55" t="str">
        <f>IFERROR(IF($G994="","",VLOOKUP('Dashboard And Emails Automate'!$G994,Database!$H:$N,5,0)),"")</f>
        <v/>
      </c>
      <c r="L994" s="55" t="str">
        <f>IFERROR(IF($G994="","",VLOOKUP('Dashboard And Emails Automate'!$G994,Database!$H:$N,6,0)),"")</f>
        <v/>
      </c>
      <c r="M994" s="55" t="str">
        <f>IFERROR(IF($G994="","",VLOOKUP('Dashboard And Emails Automate'!$G994,Database!$H:$N,7,0)),"")</f>
        <v/>
      </c>
      <c r="N994" s="55" t="str">
        <f>IFERROR(IF(OR($B994="",$B994="(blank)"),"",VLOOKUP($B994,'Email Marketing Raw Data'!$C:$O,6,0)),"")</f>
        <v/>
      </c>
      <c r="O994" s="55" t="str">
        <f>IFERROR(IF(OR($B994="",$B994="(blank)"),"",VLOOKUP($B994,'Email Marketing Raw Data'!$C:$O,7,0)),"")</f>
        <v/>
      </c>
      <c r="P994" s="55" t="str">
        <f>IFERROR(IF(OR($B994="",$B994="(blank)"),"",VLOOKUP($B994,'Email Marketing Raw Data'!$C:$O,8,0)),"")</f>
        <v/>
      </c>
      <c r="Q994" s="62" t="str">
        <f>IFERROR(IF(OR($B994="",$B994="(blank)"),"",VLOOKUP($B994,'Email Marketing Raw Data'!$C:$O,9,0)),"")</f>
        <v/>
      </c>
    </row>
    <row r="995" spans="4:17" ht="12.75" customHeight="1" x14ac:dyDescent="0.2">
      <c r="D995" s="58" t="str">
        <f>IFERROR(IF(F995&lt;&gt;"pending","",IF(OR($B995="",$B995="(blank)"),"",VLOOKUP($B995,'Email Marketing Raw Data'!$C:$O,10,0))),"")</f>
        <v/>
      </c>
      <c r="E995" s="59" t="str">
        <f>IFERROR(IF(F995&lt;&gt;"pending","",IF(OR($B995="",$B995="(blank)"),"",VLOOKUP($B995,'Email Marketing Raw Data'!$C:$O,11,0))),"")</f>
        <v/>
      </c>
      <c r="F995" s="54" t="str">
        <f>IFERROR(IF(OR($B995="",$B995="(blank)"),"",VLOOKUP($B995,'Email Marketing Raw Data'!$C:$O,13,0)),"")</f>
        <v/>
      </c>
      <c r="G995" s="55" t="str">
        <f>IFERROR(IF(OR($B995="",$B995="(blank)"),"",VLOOKUP($B995,'Email Marketing Raw Data'!$C:$O,4,0)),"")</f>
        <v/>
      </c>
      <c r="H995" s="55" t="str">
        <f>IFERROR(IF(OR($B995="",$B995="(blank)"),"",VLOOKUP($B995,'Email Marketing Raw Data'!$C:$O,5,0)),"")</f>
        <v/>
      </c>
      <c r="I995" s="55" t="str">
        <f>IFERROR(IF($G995="","",VLOOKUP('Dashboard And Emails Automate'!$G995,Database!$H:$N,3,0)),"")</f>
        <v/>
      </c>
      <c r="J995" s="55" t="str">
        <f>IFERROR(IF($G995="","",VLOOKUP('Dashboard And Emails Automate'!$G995,Database!$H:$N,4,0)),"")</f>
        <v/>
      </c>
      <c r="K995" s="55" t="str">
        <f>IFERROR(IF($G995="","",VLOOKUP('Dashboard And Emails Automate'!$G995,Database!$H:$N,5,0)),"")</f>
        <v/>
      </c>
      <c r="L995" s="55" t="str">
        <f>IFERROR(IF($G995="","",VLOOKUP('Dashboard And Emails Automate'!$G995,Database!$H:$N,6,0)),"")</f>
        <v/>
      </c>
      <c r="M995" s="55" t="str">
        <f>IFERROR(IF($G995="","",VLOOKUP('Dashboard And Emails Automate'!$G995,Database!$H:$N,7,0)),"")</f>
        <v/>
      </c>
      <c r="N995" s="55" t="str">
        <f>IFERROR(IF(OR($B995="",$B995="(blank)"),"",VLOOKUP($B995,'Email Marketing Raw Data'!$C:$O,6,0)),"")</f>
        <v/>
      </c>
      <c r="O995" s="55" t="str">
        <f>IFERROR(IF(OR($B995="",$B995="(blank)"),"",VLOOKUP($B995,'Email Marketing Raw Data'!$C:$O,7,0)),"")</f>
        <v/>
      </c>
      <c r="P995" s="55" t="str">
        <f>IFERROR(IF(OR($B995="",$B995="(blank)"),"",VLOOKUP($B995,'Email Marketing Raw Data'!$C:$O,8,0)),"")</f>
        <v/>
      </c>
      <c r="Q995" s="62" t="str">
        <f>IFERROR(IF(OR($B995="",$B995="(blank)"),"",VLOOKUP($B995,'Email Marketing Raw Data'!$C:$O,9,0)),"")</f>
        <v/>
      </c>
    </row>
    <row r="996" spans="4:17" ht="12.75" customHeight="1" x14ac:dyDescent="0.2">
      <c r="D996" s="58" t="str">
        <f>IFERROR(IF(F996&lt;&gt;"pending","",IF(OR($B996="",$B996="(blank)"),"",VLOOKUP($B996,'Email Marketing Raw Data'!$C:$O,10,0))),"")</f>
        <v/>
      </c>
      <c r="E996" s="59" t="str">
        <f>IFERROR(IF(F996&lt;&gt;"pending","",IF(OR($B996="",$B996="(blank)"),"",VLOOKUP($B996,'Email Marketing Raw Data'!$C:$O,11,0))),"")</f>
        <v/>
      </c>
      <c r="F996" s="54" t="str">
        <f>IFERROR(IF(OR($B996="",$B996="(blank)"),"",VLOOKUP($B996,'Email Marketing Raw Data'!$C:$O,13,0)),"")</f>
        <v/>
      </c>
      <c r="G996" s="55" t="str">
        <f>IFERROR(IF(OR($B996="",$B996="(blank)"),"",VLOOKUP($B996,'Email Marketing Raw Data'!$C:$O,4,0)),"")</f>
        <v/>
      </c>
      <c r="H996" s="55" t="str">
        <f>IFERROR(IF(OR($B996="",$B996="(blank)"),"",VLOOKUP($B996,'Email Marketing Raw Data'!$C:$O,5,0)),"")</f>
        <v/>
      </c>
      <c r="I996" s="55" t="str">
        <f>IFERROR(IF($G996="","",VLOOKUP('Dashboard And Emails Automate'!$G996,Database!$H:$N,3,0)),"")</f>
        <v/>
      </c>
      <c r="J996" s="55" t="str">
        <f>IFERROR(IF($G996="","",VLOOKUP('Dashboard And Emails Automate'!$G996,Database!$H:$N,4,0)),"")</f>
        <v/>
      </c>
      <c r="K996" s="55" t="str">
        <f>IFERROR(IF($G996="","",VLOOKUP('Dashboard And Emails Automate'!$G996,Database!$H:$N,5,0)),"")</f>
        <v/>
      </c>
      <c r="L996" s="55" t="str">
        <f>IFERROR(IF($G996="","",VLOOKUP('Dashboard And Emails Automate'!$G996,Database!$H:$N,6,0)),"")</f>
        <v/>
      </c>
      <c r="M996" s="55" t="str">
        <f>IFERROR(IF($G996="","",VLOOKUP('Dashboard And Emails Automate'!$G996,Database!$H:$N,7,0)),"")</f>
        <v/>
      </c>
      <c r="N996" s="55" t="str">
        <f>IFERROR(IF(OR($B996="",$B996="(blank)"),"",VLOOKUP($B996,'Email Marketing Raw Data'!$C:$O,6,0)),"")</f>
        <v/>
      </c>
      <c r="O996" s="55" t="str">
        <f>IFERROR(IF(OR($B996="",$B996="(blank)"),"",VLOOKUP($B996,'Email Marketing Raw Data'!$C:$O,7,0)),"")</f>
        <v/>
      </c>
      <c r="P996" s="55" t="str">
        <f>IFERROR(IF(OR($B996="",$B996="(blank)"),"",VLOOKUP($B996,'Email Marketing Raw Data'!$C:$O,8,0)),"")</f>
        <v/>
      </c>
      <c r="Q996" s="62" t="str">
        <f>IFERROR(IF(OR($B996="",$B996="(blank)"),"",VLOOKUP($B996,'Email Marketing Raw Data'!$C:$O,9,0)),"")</f>
        <v/>
      </c>
    </row>
    <row r="997" spans="4:17" ht="12.75" customHeight="1" x14ac:dyDescent="0.2">
      <c r="D997" s="58" t="str">
        <f>IFERROR(IF(F997&lt;&gt;"pending","",IF(OR($B997="",$B997="(blank)"),"",VLOOKUP($B997,'Email Marketing Raw Data'!$C:$O,10,0))),"")</f>
        <v/>
      </c>
      <c r="E997" s="59" t="str">
        <f>IFERROR(IF(F997&lt;&gt;"pending","",IF(OR($B997="",$B997="(blank)"),"",VLOOKUP($B997,'Email Marketing Raw Data'!$C:$O,11,0))),"")</f>
        <v/>
      </c>
      <c r="F997" s="54" t="str">
        <f>IFERROR(IF(OR($B997="",$B997="(blank)"),"",VLOOKUP($B997,'Email Marketing Raw Data'!$C:$O,13,0)),"")</f>
        <v/>
      </c>
      <c r="G997" s="55" t="str">
        <f>IFERROR(IF(OR($B997="",$B997="(blank)"),"",VLOOKUP($B997,'Email Marketing Raw Data'!$C:$O,4,0)),"")</f>
        <v/>
      </c>
      <c r="H997" s="55" t="str">
        <f>IFERROR(IF(OR($B997="",$B997="(blank)"),"",VLOOKUP($B997,'Email Marketing Raw Data'!$C:$O,5,0)),"")</f>
        <v/>
      </c>
      <c r="I997" s="55" t="str">
        <f>IFERROR(IF($G997="","",VLOOKUP('Dashboard And Emails Automate'!$G997,Database!$H:$N,3,0)),"")</f>
        <v/>
      </c>
      <c r="J997" s="55" t="str">
        <f>IFERROR(IF($G997="","",VLOOKUP('Dashboard And Emails Automate'!$G997,Database!$H:$N,4,0)),"")</f>
        <v/>
      </c>
      <c r="K997" s="55" t="str">
        <f>IFERROR(IF($G997="","",VLOOKUP('Dashboard And Emails Automate'!$G997,Database!$H:$N,5,0)),"")</f>
        <v/>
      </c>
      <c r="L997" s="55" t="str">
        <f>IFERROR(IF($G997="","",VLOOKUP('Dashboard And Emails Automate'!$G997,Database!$H:$N,6,0)),"")</f>
        <v/>
      </c>
      <c r="M997" s="55" t="str">
        <f>IFERROR(IF($G997="","",VLOOKUP('Dashboard And Emails Automate'!$G997,Database!$H:$N,7,0)),"")</f>
        <v/>
      </c>
      <c r="N997" s="55" t="str">
        <f>IFERROR(IF(OR($B997="",$B997="(blank)"),"",VLOOKUP($B997,'Email Marketing Raw Data'!$C:$O,6,0)),"")</f>
        <v/>
      </c>
      <c r="O997" s="55" t="str">
        <f>IFERROR(IF(OR($B997="",$B997="(blank)"),"",VLOOKUP($B997,'Email Marketing Raw Data'!$C:$O,7,0)),"")</f>
        <v/>
      </c>
      <c r="P997" s="55" t="str">
        <f>IFERROR(IF(OR($B997="",$B997="(blank)"),"",VLOOKUP($B997,'Email Marketing Raw Data'!$C:$O,8,0)),"")</f>
        <v/>
      </c>
      <c r="Q997" s="62" t="str">
        <f>IFERROR(IF(OR($B997="",$B997="(blank)"),"",VLOOKUP($B997,'Email Marketing Raw Data'!$C:$O,9,0)),"")</f>
        <v/>
      </c>
    </row>
    <row r="998" spans="4:17" ht="12.75" customHeight="1" x14ac:dyDescent="0.2">
      <c r="D998" s="58" t="str">
        <f>IFERROR(IF(F998&lt;&gt;"pending","",IF(OR($B998="",$B998="(blank)"),"",VLOOKUP($B998,'Email Marketing Raw Data'!$C:$O,10,0))),"")</f>
        <v/>
      </c>
      <c r="E998" s="59" t="str">
        <f>IFERROR(IF(F998&lt;&gt;"pending","",IF(OR($B998="",$B998="(blank)"),"",VLOOKUP($B998,'Email Marketing Raw Data'!$C:$O,11,0))),"")</f>
        <v/>
      </c>
      <c r="F998" s="54" t="str">
        <f>IFERROR(IF(OR($B998="",$B998="(blank)"),"",VLOOKUP($B998,'Email Marketing Raw Data'!$C:$O,13,0)),"")</f>
        <v/>
      </c>
      <c r="G998" s="55" t="str">
        <f>IFERROR(IF(OR($B998="",$B998="(blank)"),"",VLOOKUP($B998,'Email Marketing Raw Data'!$C:$O,4,0)),"")</f>
        <v/>
      </c>
      <c r="H998" s="55" t="str">
        <f>IFERROR(IF(OR($B998="",$B998="(blank)"),"",VLOOKUP($B998,'Email Marketing Raw Data'!$C:$O,5,0)),"")</f>
        <v/>
      </c>
      <c r="I998" s="55" t="str">
        <f>IFERROR(IF($G998="","",VLOOKUP('Dashboard And Emails Automate'!$G998,Database!$H:$N,3,0)),"")</f>
        <v/>
      </c>
      <c r="J998" s="55" t="str">
        <f>IFERROR(IF($G998="","",VLOOKUP('Dashboard And Emails Automate'!$G998,Database!$H:$N,4,0)),"")</f>
        <v/>
      </c>
      <c r="K998" s="55" t="str">
        <f>IFERROR(IF($G998="","",VLOOKUP('Dashboard And Emails Automate'!$G998,Database!$H:$N,5,0)),"")</f>
        <v/>
      </c>
      <c r="L998" s="55" t="str">
        <f>IFERROR(IF($G998="","",VLOOKUP('Dashboard And Emails Automate'!$G998,Database!$H:$N,6,0)),"")</f>
        <v/>
      </c>
      <c r="M998" s="55" t="str">
        <f>IFERROR(IF($G998="","",VLOOKUP('Dashboard And Emails Automate'!$G998,Database!$H:$N,7,0)),"")</f>
        <v/>
      </c>
      <c r="N998" s="55" t="str">
        <f>IFERROR(IF(OR($B998="",$B998="(blank)"),"",VLOOKUP($B998,'Email Marketing Raw Data'!$C:$O,6,0)),"")</f>
        <v/>
      </c>
      <c r="O998" s="55" t="str">
        <f>IFERROR(IF(OR($B998="",$B998="(blank)"),"",VLOOKUP($B998,'Email Marketing Raw Data'!$C:$O,7,0)),"")</f>
        <v/>
      </c>
      <c r="P998" s="55" t="str">
        <f>IFERROR(IF(OR($B998="",$B998="(blank)"),"",VLOOKUP($B998,'Email Marketing Raw Data'!$C:$O,8,0)),"")</f>
        <v/>
      </c>
      <c r="Q998" s="62" t="str">
        <f>IFERROR(IF(OR($B998="",$B998="(blank)"),"",VLOOKUP($B998,'Email Marketing Raw Data'!$C:$O,9,0)),"")</f>
        <v/>
      </c>
    </row>
    <row r="999" spans="4:17" ht="12.75" customHeight="1" x14ac:dyDescent="0.2">
      <c r="D999" s="58" t="str">
        <f>IFERROR(IF(F999&lt;&gt;"pending","",IF(OR($B999="",$B999="(blank)"),"",VLOOKUP($B999,'Email Marketing Raw Data'!$C:$O,10,0))),"")</f>
        <v/>
      </c>
      <c r="E999" s="59" t="str">
        <f>IFERROR(IF(F999&lt;&gt;"pending","",IF(OR($B999="",$B999="(blank)"),"",VLOOKUP($B999,'Email Marketing Raw Data'!$C:$O,11,0))),"")</f>
        <v/>
      </c>
      <c r="F999" s="54" t="str">
        <f>IFERROR(IF(OR($B999="",$B999="(blank)"),"",VLOOKUP($B999,'Email Marketing Raw Data'!$C:$O,13,0)),"")</f>
        <v/>
      </c>
      <c r="G999" s="55" t="str">
        <f>IFERROR(IF(OR($B999="",$B999="(blank)"),"",VLOOKUP($B999,'Email Marketing Raw Data'!$C:$O,4,0)),"")</f>
        <v/>
      </c>
      <c r="H999" s="55" t="str">
        <f>IFERROR(IF(OR($B999="",$B999="(blank)"),"",VLOOKUP($B999,'Email Marketing Raw Data'!$C:$O,5,0)),"")</f>
        <v/>
      </c>
      <c r="I999" s="55" t="str">
        <f>IFERROR(IF($G999="","",VLOOKUP('Dashboard And Emails Automate'!$G999,Database!$H:$N,3,0)),"")</f>
        <v/>
      </c>
      <c r="J999" s="55" t="str">
        <f>IFERROR(IF($G999="","",VLOOKUP('Dashboard And Emails Automate'!$G999,Database!$H:$N,4,0)),"")</f>
        <v/>
      </c>
      <c r="K999" s="55" t="str">
        <f>IFERROR(IF($G999="","",VLOOKUP('Dashboard And Emails Automate'!$G999,Database!$H:$N,5,0)),"")</f>
        <v/>
      </c>
      <c r="L999" s="55" t="str">
        <f>IFERROR(IF($G999="","",VLOOKUP('Dashboard And Emails Automate'!$G999,Database!$H:$N,6,0)),"")</f>
        <v/>
      </c>
      <c r="M999" s="55" t="str">
        <f>IFERROR(IF($G999="","",VLOOKUP('Dashboard And Emails Automate'!$G999,Database!$H:$N,7,0)),"")</f>
        <v/>
      </c>
      <c r="N999" s="55" t="str">
        <f>IFERROR(IF(OR($B999="",$B999="(blank)"),"",VLOOKUP($B999,'Email Marketing Raw Data'!$C:$O,6,0)),"")</f>
        <v/>
      </c>
      <c r="O999" s="55" t="str">
        <f>IFERROR(IF(OR($B999="",$B999="(blank)"),"",VLOOKUP($B999,'Email Marketing Raw Data'!$C:$O,7,0)),"")</f>
        <v/>
      </c>
      <c r="P999" s="55" t="str">
        <f>IFERROR(IF(OR($B999="",$B999="(blank)"),"",VLOOKUP($B999,'Email Marketing Raw Data'!$C:$O,8,0)),"")</f>
        <v/>
      </c>
      <c r="Q999" s="62" t="str">
        <f>IFERROR(IF(OR($B999="",$B999="(blank)"),"",VLOOKUP($B999,'Email Marketing Raw Data'!$C:$O,9,0)),"")</f>
        <v/>
      </c>
    </row>
    <row r="1000" spans="4:17" ht="12.75" customHeight="1" x14ac:dyDescent="0.2">
      <c r="D1000" s="58" t="str">
        <f>IFERROR(IF(F1000&lt;&gt;"pending","",IF(OR($B1000="",$B1000="(blank)"),"",VLOOKUP($B1000,'Email Marketing Raw Data'!$C:$O,10,0))),"")</f>
        <v/>
      </c>
      <c r="E1000" s="59" t="str">
        <f>IFERROR(IF(F1000&lt;&gt;"pending","",IF(OR($B1000="",$B1000="(blank)"),"",VLOOKUP($B1000,'Email Marketing Raw Data'!$C:$O,11,0))),"")</f>
        <v/>
      </c>
      <c r="F1000" s="54" t="str">
        <f>IFERROR(IF(OR($B1000="",$B1000="(blank)"),"",VLOOKUP($B1000,'Email Marketing Raw Data'!$C:$O,13,0)),"")</f>
        <v/>
      </c>
      <c r="G1000" s="55" t="str">
        <f>IFERROR(IF(OR($B1000="",$B1000="(blank)"),"",VLOOKUP($B1000,'Email Marketing Raw Data'!$C:$O,4,0)),"")</f>
        <v/>
      </c>
      <c r="H1000" s="55" t="str">
        <f>IFERROR(IF(OR($B1000="",$B1000="(blank)"),"",VLOOKUP($B1000,'Email Marketing Raw Data'!$C:$O,5,0)),"")</f>
        <v/>
      </c>
      <c r="I1000" s="55" t="str">
        <f>IFERROR(IF($G1000="","",VLOOKUP('Dashboard And Emails Automate'!$G1000,Database!$H:$N,3,0)),"")</f>
        <v/>
      </c>
      <c r="J1000" s="55" t="str">
        <f>IFERROR(IF($G1000="","",VLOOKUP('Dashboard And Emails Automate'!$G1000,Database!$H:$N,4,0)),"")</f>
        <v/>
      </c>
      <c r="K1000" s="55" t="str">
        <f>IFERROR(IF($G1000="","",VLOOKUP('Dashboard And Emails Automate'!$G1000,Database!$H:$N,5,0)),"")</f>
        <v/>
      </c>
      <c r="L1000" s="55" t="str">
        <f>IFERROR(IF($G1000="","",VLOOKUP('Dashboard And Emails Automate'!$G1000,Database!$H:$N,6,0)),"")</f>
        <v/>
      </c>
      <c r="M1000" s="55" t="str">
        <f>IFERROR(IF($G1000="","",VLOOKUP('Dashboard And Emails Automate'!$G1000,Database!$H:$N,7,0)),"")</f>
        <v/>
      </c>
      <c r="N1000" s="55" t="str">
        <f>IFERROR(IF(OR($B1000="",$B1000="(blank)"),"",VLOOKUP($B1000,'Email Marketing Raw Data'!$C:$O,6,0)),"")</f>
        <v/>
      </c>
      <c r="O1000" s="55" t="str">
        <f>IFERROR(IF(OR($B1000="",$B1000="(blank)"),"",VLOOKUP($B1000,'Email Marketing Raw Data'!$C:$O,7,0)),"")</f>
        <v/>
      </c>
      <c r="P1000" s="55" t="str">
        <f>IFERROR(IF(OR($B1000="",$B1000="(blank)"),"",VLOOKUP($B1000,'Email Marketing Raw Data'!$C:$O,8,0)),"")</f>
        <v/>
      </c>
      <c r="Q1000" s="62" t="str">
        <f>IFERROR(IF(OR($B1000="",$B1000="(blank)"),"",VLOOKUP($B1000,'Email Marketing Raw Data'!$C:$O,9,0)),"")</f>
        <v/>
      </c>
    </row>
    <row r="1001" spans="4:17" ht="12.75" customHeight="1" x14ac:dyDescent="0.2">
      <c r="D1001" s="58" t="str">
        <f>IFERROR(IF(F1001&lt;&gt;"pending","",IF(OR($B1001="",$B1001="(blank)"),"",VLOOKUP($B1001,'Email Marketing Raw Data'!$C:$O,10,0))),"")</f>
        <v/>
      </c>
      <c r="E1001" s="59" t="str">
        <f>IFERROR(IF(F1001&lt;&gt;"pending","",IF(OR($B1001="",$B1001="(blank)"),"",VLOOKUP($B1001,'Email Marketing Raw Data'!$C:$O,11,0))),"")</f>
        <v/>
      </c>
      <c r="F1001" s="54" t="str">
        <f>IFERROR(IF(OR($B1001="",$B1001="(blank)"),"",VLOOKUP($B1001,'Email Marketing Raw Data'!$C:$O,13,0)),"")</f>
        <v/>
      </c>
      <c r="G1001" s="55" t="str">
        <f>IFERROR(IF(OR($B1001="",$B1001="(blank)"),"",VLOOKUP($B1001,'Email Marketing Raw Data'!$C:$O,4,0)),"")</f>
        <v/>
      </c>
      <c r="H1001" s="55" t="str">
        <f>IFERROR(IF(OR($B1001="",$B1001="(blank)"),"",VLOOKUP($B1001,'Email Marketing Raw Data'!$C:$O,5,0)),"")</f>
        <v/>
      </c>
      <c r="I1001" s="55" t="str">
        <f>IFERROR(IF($G1001="","",VLOOKUP('Dashboard And Emails Automate'!$G1001,Database!$H:$N,3,0)),"")</f>
        <v/>
      </c>
      <c r="J1001" s="55" t="str">
        <f>IFERROR(IF($G1001="","",VLOOKUP('Dashboard And Emails Automate'!$G1001,Database!$H:$N,4,0)),"")</f>
        <v/>
      </c>
      <c r="K1001" s="55" t="str">
        <f>IFERROR(IF($G1001="","",VLOOKUP('Dashboard And Emails Automate'!$G1001,Database!$H:$N,5,0)),"")</f>
        <v/>
      </c>
      <c r="L1001" s="55" t="str">
        <f>IFERROR(IF($G1001="","",VLOOKUP('Dashboard And Emails Automate'!$G1001,Database!$H:$N,6,0)),"")</f>
        <v/>
      </c>
      <c r="M1001" s="55" t="str">
        <f>IFERROR(IF($G1001="","",VLOOKUP('Dashboard And Emails Automate'!$G1001,Database!$H:$N,7,0)),"")</f>
        <v/>
      </c>
      <c r="N1001" s="55" t="str">
        <f>IFERROR(IF(OR($B1001="",$B1001="(blank)"),"",VLOOKUP($B1001,'Email Marketing Raw Data'!$C:$O,6,0)),"")</f>
        <v/>
      </c>
      <c r="O1001" s="55" t="str">
        <f>IFERROR(IF(OR($B1001="",$B1001="(blank)"),"",VLOOKUP($B1001,'Email Marketing Raw Data'!$C:$O,7,0)),"")</f>
        <v/>
      </c>
      <c r="P1001" s="55" t="str">
        <f>IFERROR(IF(OR($B1001="",$B1001="(blank)"),"",VLOOKUP($B1001,'Email Marketing Raw Data'!$C:$O,8,0)),"")</f>
        <v/>
      </c>
      <c r="Q1001" s="62" t="str">
        <f>IFERROR(IF(OR($B1001="",$B1001="(blank)"),"",VLOOKUP($B1001,'Email Marketing Raw Data'!$C:$O,9,0)),"")</f>
        <v/>
      </c>
    </row>
    <row r="1002" spans="4:17" ht="12.75" customHeight="1" x14ac:dyDescent="0.2">
      <c r="D1002" s="58" t="str">
        <f>IFERROR(IF(F1002&lt;&gt;"pending","",IF(OR($B1002="",$B1002="(blank)"),"",VLOOKUP($B1002,'Email Marketing Raw Data'!$C:$O,10,0))),"")</f>
        <v/>
      </c>
      <c r="E1002" s="59" t="str">
        <f>IFERROR(IF(F1002&lt;&gt;"pending","",IF(OR($B1002="",$B1002="(blank)"),"",VLOOKUP($B1002,'Email Marketing Raw Data'!$C:$O,11,0))),"")</f>
        <v/>
      </c>
      <c r="F1002" s="54" t="str">
        <f>IFERROR(IF(OR($B1002="",$B1002="(blank)"),"",VLOOKUP($B1002,'Email Marketing Raw Data'!$C:$O,13,0)),"")</f>
        <v/>
      </c>
      <c r="G1002" s="55" t="str">
        <f>IFERROR(IF(OR($B1002="",$B1002="(blank)"),"",VLOOKUP($B1002,'Email Marketing Raw Data'!$C:$O,4,0)),"")</f>
        <v/>
      </c>
      <c r="H1002" s="55" t="str">
        <f>IFERROR(IF(OR($B1002="",$B1002="(blank)"),"",VLOOKUP($B1002,'Email Marketing Raw Data'!$C:$O,5,0)),"")</f>
        <v/>
      </c>
      <c r="I1002" s="55" t="str">
        <f>IFERROR(IF($G1002="","",VLOOKUP('Dashboard And Emails Automate'!$G1002,Database!$H:$N,3,0)),"")</f>
        <v/>
      </c>
      <c r="J1002" s="55" t="str">
        <f>IFERROR(IF($G1002="","",VLOOKUP('Dashboard And Emails Automate'!$G1002,Database!$H:$N,4,0)),"")</f>
        <v/>
      </c>
      <c r="K1002" s="55" t="str">
        <f>IFERROR(IF($G1002="","",VLOOKUP('Dashboard And Emails Automate'!$G1002,Database!$H:$N,5,0)),"")</f>
        <v/>
      </c>
      <c r="L1002" s="55" t="str">
        <f>IFERROR(IF($G1002="","",VLOOKUP('Dashboard And Emails Automate'!$G1002,Database!$H:$N,6,0)),"")</f>
        <v/>
      </c>
      <c r="M1002" s="55" t="str">
        <f>IFERROR(IF($G1002="","",VLOOKUP('Dashboard And Emails Automate'!$G1002,Database!$H:$N,7,0)),"")</f>
        <v/>
      </c>
      <c r="N1002" s="55" t="str">
        <f>IFERROR(IF(OR($B1002="",$B1002="(blank)"),"",VLOOKUP($B1002,'Email Marketing Raw Data'!$C:$O,6,0)),"")</f>
        <v/>
      </c>
      <c r="O1002" s="55" t="str">
        <f>IFERROR(IF(OR($B1002="",$B1002="(blank)"),"",VLOOKUP($B1002,'Email Marketing Raw Data'!$C:$O,7,0)),"")</f>
        <v/>
      </c>
      <c r="P1002" s="55" t="str">
        <f>IFERROR(IF(OR($B1002="",$B1002="(blank)"),"",VLOOKUP($B1002,'Email Marketing Raw Data'!$C:$O,8,0)),"")</f>
        <v/>
      </c>
      <c r="Q1002" s="62" t="str">
        <f>IFERROR(IF(OR($B1002="",$B1002="(blank)"),"",VLOOKUP($B1002,'Email Marketing Raw Data'!$C:$O,9,0)),"")</f>
        <v/>
      </c>
    </row>
    <row r="1003" spans="4:17" ht="12.75" customHeight="1" x14ac:dyDescent="0.2">
      <c r="D1003" s="58" t="str">
        <f>IFERROR(IF(F1003&lt;&gt;"pending","",IF(OR($B1003="",$B1003="(blank)"),"",VLOOKUP($B1003,'Email Marketing Raw Data'!$C:$O,10,0))),"")</f>
        <v/>
      </c>
      <c r="E1003" s="59" t="str">
        <f>IFERROR(IF(F1003&lt;&gt;"pending","",IF(OR($B1003="",$B1003="(blank)"),"",VLOOKUP($B1003,'Email Marketing Raw Data'!$C:$O,11,0))),"")</f>
        <v/>
      </c>
      <c r="F1003" s="54" t="str">
        <f>IFERROR(IF(OR($B1003="",$B1003="(blank)"),"",VLOOKUP($B1003,'Email Marketing Raw Data'!$C:$O,13,0)),"")</f>
        <v/>
      </c>
      <c r="G1003" s="55" t="str">
        <f>IFERROR(IF(OR($B1003="",$B1003="(blank)"),"",VLOOKUP($B1003,'Email Marketing Raw Data'!$C:$O,4,0)),"")</f>
        <v/>
      </c>
      <c r="H1003" s="55" t="str">
        <f>IFERROR(IF(OR($B1003="",$B1003="(blank)"),"",VLOOKUP($B1003,'Email Marketing Raw Data'!$C:$O,5,0)),"")</f>
        <v/>
      </c>
      <c r="I1003" s="55" t="str">
        <f>IFERROR(IF($G1003="","",VLOOKUP('Dashboard And Emails Automate'!$G1003,Database!$H:$N,3,0)),"")</f>
        <v/>
      </c>
      <c r="J1003" s="55" t="str">
        <f>IFERROR(IF($G1003="","",VLOOKUP('Dashboard And Emails Automate'!$G1003,Database!$H:$N,4,0)),"")</f>
        <v/>
      </c>
      <c r="K1003" s="55" t="str">
        <f>IFERROR(IF($G1003="","",VLOOKUP('Dashboard And Emails Automate'!$G1003,Database!$H:$N,5,0)),"")</f>
        <v/>
      </c>
      <c r="L1003" s="55" t="str">
        <f>IFERROR(IF($G1003="","",VLOOKUP('Dashboard And Emails Automate'!$G1003,Database!$H:$N,6,0)),"")</f>
        <v/>
      </c>
      <c r="M1003" s="55" t="str">
        <f>IFERROR(IF($G1003="","",VLOOKUP('Dashboard And Emails Automate'!$G1003,Database!$H:$N,7,0)),"")</f>
        <v/>
      </c>
      <c r="N1003" s="55" t="str">
        <f>IFERROR(IF(OR($B1003="",$B1003="(blank)"),"",VLOOKUP($B1003,'Email Marketing Raw Data'!$C:$O,6,0)),"")</f>
        <v/>
      </c>
      <c r="O1003" s="55" t="str">
        <f>IFERROR(IF(OR($B1003="",$B1003="(blank)"),"",VLOOKUP($B1003,'Email Marketing Raw Data'!$C:$O,7,0)),"")</f>
        <v/>
      </c>
      <c r="P1003" s="55" t="str">
        <f>IFERROR(IF(OR($B1003="",$B1003="(blank)"),"",VLOOKUP($B1003,'Email Marketing Raw Data'!$C:$O,8,0)),"")</f>
        <v/>
      </c>
      <c r="Q1003" s="62" t="str">
        <f>IFERROR(IF(OR($B1003="",$B1003="(blank)"),"",VLOOKUP($B1003,'Email Marketing Raw Data'!$C:$O,9,0)),"")</f>
        <v/>
      </c>
    </row>
    <row r="1004" spans="4:17" ht="12.75" customHeight="1" x14ac:dyDescent="0.2">
      <c r="D1004" s="58" t="str">
        <f>IFERROR(IF(F1004&lt;&gt;"pending","",IF(OR($B1004="",$B1004="(blank)"),"",VLOOKUP($B1004,'Email Marketing Raw Data'!$C:$O,10,0))),"")</f>
        <v/>
      </c>
      <c r="E1004" s="59" t="str">
        <f>IFERROR(IF(F1004&lt;&gt;"pending","",IF(OR($B1004="",$B1004="(blank)"),"",VLOOKUP($B1004,'Email Marketing Raw Data'!$C:$O,11,0))),"")</f>
        <v/>
      </c>
      <c r="F1004" s="54" t="str">
        <f>IFERROR(IF(OR($B1004="",$B1004="(blank)"),"",VLOOKUP($B1004,'Email Marketing Raw Data'!$C:$O,13,0)),"")</f>
        <v/>
      </c>
      <c r="G1004" s="55" t="str">
        <f>IFERROR(IF(OR($B1004="",$B1004="(blank)"),"",VLOOKUP($B1004,'Email Marketing Raw Data'!$C:$O,4,0)),"")</f>
        <v/>
      </c>
      <c r="H1004" s="55" t="str">
        <f>IFERROR(IF(OR($B1004="",$B1004="(blank)"),"",VLOOKUP($B1004,'Email Marketing Raw Data'!$C:$O,5,0)),"")</f>
        <v/>
      </c>
      <c r="I1004" s="55" t="str">
        <f>IFERROR(IF($G1004="","",VLOOKUP('Dashboard And Emails Automate'!$G1004,Database!$H:$N,3,0)),"")</f>
        <v/>
      </c>
      <c r="J1004" s="55" t="str">
        <f>IFERROR(IF($G1004="","",VLOOKUP('Dashboard And Emails Automate'!$G1004,Database!$H:$N,4,0)),"")</f>
        <v/>
      </c>
      <c r="K1004" s="55" t="str">
        <f>IFERROR(IF($G1004="","",VLOOKUP('Dashboard And Emails Automate'!$G1004,Database!$H:$N,5,0)),"")</f>
        <v/>
      </c>
      <c r="L1004" s="55" t="str">
        <f>IFERROR(IF($G1004="","",VLOOKUP('Dashboard And Emails Automate'!$G1004,Database!$H:$N,6,0)),"")</f>
        <v/>
      </c>
      <c r="M1004" s="55" t="str">
        <f>IFERROR(IF($G1004="","",VLOOKUP('Dashboard And Emails Automate'!$G1004,Database!$H:$N,7,0)),"")</f>
        <v/>
      </c>
      <c r="N1004" s="55" t="str">
        <f>IFERROR(IF(OR($B1004="",$B1004="(blank)"),"",VLOOKUP($B1004,'Email Marketing Raw Data'!$C:$O,6,0)),"")</f>
        <v/>
      </c>
      <c r="O1004" s="55" t="str">
        <f>IFERROR(IF(OR($B1004="",$B1004="(blank)"),"",VLOOKUP($B1004,'Email Marketing Raw Data'!$C:$O,7,0)),"")</f>
        <v/>
      </c>
      <c r="P1004" s="55" t="str">
        <f>IFERROR(IF(OR($B1004="",$B1004="(blank)"),"",VLOOKUP($B1004,'Email Marketing Raw Data'!$C:$O,8,0)),"")</f>
        <v/>
      </c>
      <c r="Q1004" s="62" t="str">
        <f>IFERROR(IF(OR($B1004="",$B1004="(blank)"),"",VLOOKUP($B1004,'Email Marketing Raw Data'!$C:$O,9,0)),"")</f>
        <v/>
      </c>
    </row>
    <row r="1005" spans="4:17" ht="12.75" customHeight="1" x14ac:dyDescent="0.2">
      <c r="D1005" s="58" t="str">
        <f>IFERROR(IF(F1005&lt;&gt;"pending","",IF(OR($B1005="",$B1005="(blank)"),"",VLOOKUP($B1005,'Email Marketing Raw Data'!$C:$O,10,0))),"")</f>
        <v/>
      </c>
      <c r="E1005" s="59" t="str">
        <f>IFERROR(IF(F1005&lt;&gt;"pending","",IF(OR($B1005="",$B1005="(blank)"),"",VLOOKUP($B1005,'Email Marketing Raw Data'!$C:$O,11,0))),"")</f>
        <v/>
      </c>
      <c r="F1005" s="54" t="str">
        <f>IFERROR(IF(OR($B1005="",$B1005="(blank)"),"",VLOOKUP($B1005,'Email Marketing Raw Data'!$C:$O,13,0)),"")</f>
        <v/>
      </c>
      <c r="G1005" s="55" t="str">
        <f>IFERROR(IF(OR($B1005="",$B1005="(blank)"),"",VLOOKUP($B1005,'Email Marketing Raw Data'!$C:$O,4,0)),"")</f>
        <v/>
      </c>
      <c r="H1005" s="55" t="str">
        <f>IFERROR(IF(OR($B1005="",$B1005="(blank)"),"",VLOOKUP($B1005,'Email Marketing Raw Data'!$C:$O,5,0)),"")</f>
        <v/>
      </c>
      <c r="I1005" s="55" t="str">
        <f>IFERROR(IF($G1005="","",VLOOKUP('Dashboard And Emails Automate'!$G1005,Database!$H:$N,3,0)),"")</f>
        <v/>
      </c>
      <c r="J1005" s="55" t="str">
        <f>IFERROR(IF($G1005="","",VLOOKUP('Dashboard And Emails Automate'!$G1005,Database!$H:$N,4,0)),"")</f>
        <v/>
      </c>
      <c r="K1005" s="55" t="str">
        <f>IFERROR(IF($G1005="","",VLOOKUP('Dashboard And Emails Automate'!$G1005,Database!$H:$N,5,0)),"")</f>
        <v/>
      </c>
      <c r="L1005" s="55" t="str">
        <f>IFERROR(IF($G1005="","",VLOOKUP('Dashboard And Emails Automate'!$G1005,Database!$H:$N,6,0)),"")</f>
        <v/>
      </c>
      <c r="M1005" s="55" t="str">
        <f>IFERROR(IF($G1005="","",VLOOKUP('Dashboard And Emails Automate'!$G1005,Database!$H:$N,7,0)),"")</f>
        <v/>
      </c>
      <c r="N1005" s="55" t="str">
        <f>IFERROR(IF(OR($B1005="",$B1005="(blank)"),"",VLOOKUP($B1005,'Email Marketing Raw Data'!$C:$O,6,0)),"")</f>
        <v/>
      </c>
      <c r="O1005" s="55" t="str">
        <f>IFERROR(IF(OR($B1005="",$B1005="(blank)"),"",VLOOKUP($B1005,'Email Marketing Raw Data'!$C:$O,7,0)),"")</f>
        <v/>
      </c>
      <c r="P1005" s="55" t="str">
        <f>IFERROR(IF(OR($B1005="",$B1005="(blank)"),"",VLOOKUP($B1005,'Email Marketing Raw Data'!$C:$O,8,0)),"")</f>
        <v/>
      </c>
      <c r="Q1005" s="62" t="str">
        <f>IFERROR(IF(OR($B1005="",$B1005="(blank)"),"",VLOOKUP($B1005,'Email Marketing Raw Data'!$C:$O,9,0)),"")</f>
        <v/>
      </c>
    </row>
    <row r="1006" spans="4:17" ht="12.75" customHeight="1" x14ac:dyDescent="0.2">
      <c r="D1006" s="58" t="str">
        <f>IFERROR(IF(F1006&lt;&gt;"pending","",IF(OR($B1006="",$B1006="(blank)"),"",VLOOKUP($B1006,'Email Marketing Raw Data'!$C:$O,10,0))),"")</f>
        <v/>
      </c>
      <c r="E1006" s="59" t="str">
        <f>IFERROR(IF(F1006&lt;&gt;"pending","",IF(OR($B1006="",$B1006="(blank)"),"",VLOOKUP($B1006,'Email Marketing Raw Data'!$C:$O,11,0))),"")</f>
        <v/>
      </c>
      <c r="F1006" s="54" t="str">
        <f>IFERROR(IF(OR($B1006="",$B1006="(blank)"),"",VLOOKUP($B1006,'Email Marketing Raw Data'!$C:$O,13,0)),"")</f>
        <v/>
      </c>
      <c r="G1006" s="55" t="str">
        <f>IFERROR(IF(OR($B1006="",$B1006="(blank)"),"",VLOOKUP($B1006,'Email Marketing Raw Data'!$C:$O,4,0)),"")</f>
        <v/>
      </c>
      <c r="H1006" s="55" t="str">
        <f>IFERROR(IF(OR($B1006="",$B1006="(blank)"),"",VLOOKUP($B1006,'Email Marketing Raw Data'!$C:$O,5,0)),"")</f>
        <v/>
      </c>
      <c r="I1006" s="55" t="str">
        <f>IFERROR(IF($G1006="","",VLOOKUP('Dashboard And Emails Automate'!$G1006,Database!$H:$N,3,0)),"")</f>
        <v/>
      </c>
      <c r="J1006" s="55" t="str">
        <f>IFERROR(IF($G1006="","",VLOOKUP('Dashboard And Emails Automate'!$G1006,Database!$H:$N,4,0)),"")</f>
        <v/>
      </c>
      <c r="K1006" s="55" t="str">
        <f>IFERROR(IF($G1006="","",VLOOKUP('Dashboard And Emails Automate'!$G1006,Database!$H:$N,5,0)),"")</f>
        <v/>
      </c>
      <c r="L1006" s="55" t="str">
        <f>IFERROR(IF($G1006="","",VLOOKUP('Dashboard And Emails Automate'!$G1006,Database!$H:$N,6,0)),"")</f>
        <v/>
      </c>
      <c r="M1006" s="55" t="str">
        <f>IFERROR(IF($G1006="","",VLOOKUP('Dashboard And Emails Automate'!$G1006,Database!$H:$N,7,0)),"")</f>
        <v/>
      </c>
      <c r="N1006" s="55" t="str">
        <f>IFERROR(IF(OR($B1006="",$B1006="(blank)"),"",VLOOKUP($B1006,'Email Marketing Raw Data'!$C:$O,6,0)),"")</f>
        <v/>
      </c>
      <c r="O1006" s="55" t="str">
        <f>IFERROR(IF(OR($B1006="",$B1006="(blank)"),"",VLOOKUP($B1006,'Email Marketing Raw Data'!$C:$O,7,0)),"")</f>
        <v/>
      </c>
      <c r="P1006" s="55" t="str">
        <f>IFERROR(IF(OR($B1006="",$B1006="(blank)"),"",VLOOKUP($B1006,'Email Marketing Raw Data'!$C:$O,8,0)),"")</f>
        <v/>
      </c>
      <c r="Q1006" s="62" t="str">
        <f>IFERROR(IF(OR($B1006="",$B1006="(blank)"),"",VLOOKUP($B1006,'Email Marketing Raw Data'!$C:$O,9,0)),"")</f>
        <v/>
      </c>
    </row>
    <row r="1007" spans="4:17" ht="12.75" customHeight="1" x14ac:dyDescent="0.2">
      <c r="D1007" s="58" t="str">
        <f>IFERROR(IF(F1007&lt;&gt;"pending","",IF(OR($B1007="",$B1007="(blank)"),"",VLOOKUP($B1007,'Email Marketing Raw Data'!$C:$O,10,0))),"")</f>
        <v/>
      </c>
      <c r="E1007" s="59" t="str">
        <f>IFERROR(IF(F1007&lt;&gt;"pending","",IF(OR($B1007="",$B1007="(blank)"),"",VLOOKUP($B1007,'Email Marketing Raw Data'!$C:$O,11,0))),"")</f>
        <v/>
      </c>
      <c r="F1007" s="54" t="str">
        <f>IFERROR(IF(OR($B1007="",$B1007="(blank)"),"",VLOOKUP($B1007,'Email Marketing Raw Data'!$C:$O,13,0)),"")</f>
        <v/>
      </c>
      <c r="G1007" s="55" t="str">
        <f>IFERROR(IF(OR($B1007="",$B1007="(blank)"),"",VLOOKUP($B1007,'Email Marketing Raw Data'!$C:$O,4,0)),"")</f>
        <v/>
      </c>
      <c r="H1007" s="55" t="str">
        <f>IFERROR(IF(OR($B1007="",$B1007="(blank)"),"",VLOOKUP($B1007,'Email Marketing Raw Data'!$C:$O,5,0)),"")</f>
        <v/>
      </c>
      <c r="I1007" s="55" t="str">
        <f>IFERROR(IF($G1007="","",VLOOKUP('Dashboard And Emails Automate'!$G1007,Database!$H:$N,3,0)),"")</f>
        <v/>
      </c>
      <c r="J1007" s="55" t="str">
        <f>IFERROR(IF($G1007="","",VLOOKUP('Dashboard And Emails Automate'!$G1007,Database!$H:$N,4,0)),"")</f>
        <v/>
      </c>
      <c r="K1007" s="55" t="str">
        <f>IFERROR(IF($G1007="","",VLOOKUP('Dashboard And Emails Automate'!$G1007,Database!$H:$N,5,0)),"")</f>
        <v/>
      </c>
      <c r="L1007" s="55" t="str">
        <f>IFERROR(IF($G1007="","",VLOOKUP('Dashboard And Emails Automate'!$G1007,Database!$H:$N,6,0)),"")</f>
        <v/>
      </c>
      <c r="M1007" s="55" t="str">
        <f>IFERROR(IF($G1007="","",VLOOKUP('Dashboard And Emails Automate'!$G1007,Database!$H:$N,7,0)),"")</f>
        <v/>
      </c>
      <c r="N1007" s="55" t="str">
        <f>IFERROR(IF(OR($B1007="",$B1007="(blank)"),"",VLOOKUP($B1007,'Email Marketing Raw Data'!$C:$O,6,0)),"")</f>
        <v/>
      </c>
      <c r="O1007" s="55" t="str">
        <f>IFERROR(IF(OR($B1007="",$B1007="(blank)"),"",VLOOKUP($B1007,'Email Marketing Raw Data'!$C:$O,7,0)),"")</f>
        <v/>
      </c>
      <c r="P1007" s="55" t="str">
        <f>IFERROR(IF(OR($B1007="",$B1007="(blank)"),"",VLOOKUP($B1007,'Email Marketing Raw Data'!$C:$O,8,0)),"")</f>
        <v/>
      </c>
      <c r="Q1007" s="62" t="str">
        <f>IFERROR(IF(OR($B1007="",$B1007="(blank)"),"",VLOOKUP($B1007,'Email Marketing Raw Data'!$C:$O,9,0)),"")</f>
        <v/>
      </c>
    </row>
    <row r="1008" spans="4:17" ht="12.75" customHeight="1" x14ac:dyDescent="0.2">
      <c r="D1008" s="58" t="str">
        <f>IFERROR(IF(F1008&lt;&gt;"pending","",IF(OR($B1008="",$B1008="(blank)"),"",VLOOKUP($B1008,'Email Marketing Raw Data'!$C:$O,10,0))),"")</f>
        <v/>
      </c>
      <c r="E1008" s="59" t="str">
        <f>IFERROR(IF(F1008&lt;&gt;"pending","",IF(OR($B1008="",$B1008="(blank)"),"",VLOOKUP($B1008,'Email Marketing Raw Data'!$C:$O,11,0))),"")</f>
        <v/>
      </c>
      <c r="F1008" s="54" t="str">
        <f>IFERROR(IF(OR($B1008="",$B1008="(blank)"),"",VLOOKUP($B1008,'Email Marketing Raw Data'!$C:$O,13,0)),"")</f>
        <v/>
      </c>
      <c r="G1008" s="55" t="str">
        <f>IFERROR(IF(OR($B1008="",$B1008="(blank)"),"",VLOOKUP($B1008,'Email Marketing Raw Data'!$C:$O,4,0)),"")</f>
        <v/>
      </c>
      <c r="H1008" s="55" t="str">
        <f>IFERROR(IF(OR($B1008="",$B1008="(blank)"),"",VLOOKUP($B1008,'Email Marketing Raw Data'!$C:$O,5,0)),"")</f>
        <v/>
      </c>
      <c r="I1008" s="55" t="str">
        <f>IFERROR(IF($G1008="","",VLOOKUP('Dashboard And Emails Automate'!$G1008,Database!$H:$N,3,0)),"")</f>
        <v/>
      </c>
      <c r="J1008" s="55" t="str">
        <f>IFERROR(IF($G1008="","",VLOOKUP('Dashboard And Emails Automate'!$G1008,Database!$H:$N,4,0)),"")</f>
        <v/>
      </c>
      <c r="K1008" s="55" t="str">
        <f>IFERROR(IF($G1008="","",VLOOKUP('Dashboard And Emails Automate'!$G1008,Database!$H:$N,5,0)),"")</f>
        <v/>
      </c>
      <c r="L1008" s="55" t="str">
        <f>IFERROR(IF($G1008="","",VLOOKUP('Dashboard And Emails Automate'!$G1008,Database!$H:$N,6,0)),"")</f>
        <v/>
      </c>
      <c r="M1008" s="55" t="str">
        <f>IFERROR(IF($G1008="","",VLOOKUP('Dashboard And Emails Automate'!$G1008,Database!$H:$N,7,0)),"")</f>
        <v/>
      </c>
      <c r="N1008" s="55" t="str">
        <f>IFERROR(IF(OR($B1008="",$B1008="(blank)"),"",VLOOKUP($B1008,'Email Marketing Raw Data'!$C:$O,6,0)),"")</f>
        <v/>
      </c>
      <c r="O1008" s="55" t="str">
        <f>IFERROR(IF(OR($B1008="",$B1008="(blank)"),"",VLOOKUP($B1008,'Email Marketing Raw Data'!$C:$O,7,0)),"")</f>
        <v/>
      </c>
      <c r="P1008" s="55" t="str">
        <f>IFERROR(IF(OR($B1008="",$B1008="(blank)"),"",VLOOKUP($B1008,'Email Marketing Raw Data'!$C:$O,8,0)),"")</f>
        <v/>
      </c>
      <c r="Q1008" s="62" t="str">
        <f>IFERROR(IF(OR($B1008="",$B1008="(blank)"),"",VLOOKUP($B1008,'Email Marketing Raw Data'!$C:$O,9,0)),"")</f>
        <v/>
      </c>
    </row>
    <row r="1009" spans="4:17" ht="12.75" customHeight="1" x14ac:dyDescent="0.2">
      <c r="D1009" s="58" t="str">
        <f>IFERROR(IF(F1009&lt;&gt;"pending","",IF(OR($B1009="",$B1009="(blank)"),"",VLOOKUP($B1009,'Email Marketing Raw Data'!$C:$O,10,0))),"")</f>
        <v/>
      </c>
      <c r="E1009" s="59" t="str">
        <f>IFERROR(IF(F1009&lt;&gt;"pending","",IF(OR($B1009="",$B1009="(blank)"),"",VLOOKUP($B1009,'Email Marketing Raw Data'!$C:$O,11,0))),"")</f>
        <v/>
      </c>
      <c r="F1009" s="54" t="str">
        <f>IFERROR(IF(OR($B1009="",$B1009="(blank)"),"",VLOOKUP($B1009,'Email Marketing Raw Data'!$C:$O,13,0)),"")</f>
        <v/>
      </c>
      <c r="G1009" s="55" t="str">
        <f>IFERROR(IF(OR($B1009="",$B1009="(blank)"),"",VLOOKUP($B1009,'Email Marketing Raw Data'!$C:$O,4,0)),"")</f>
        <v/>
      </c>
      <c r="H1009" s="55" t="str">
        <f>IFERROR(IF(OR($B1009="",$B1009="(blank)"),"",VLOOKUP($B1009,'Email Marketing Raw Data'!$C:$O,5,0)),"")</f>
        <v/>
      </c>
      <c r="I1009" s="55" t="str">
        <f>IFERROR(IF($G1009="","",VLOOKUP('Dashboard And Emails Automate'!$G1009,Database!$H:$N,3,0)),"")</f>
        <v/>
      </c>
      <c r="J1009" s="55" t="str">
        <f>IFERROR(IF($G1009="","",VLOOKUP('Dashboard And Emails Automate'!$G1009,Database!$H:$N,4,0)),"")</f>
        <v/>
      </c>
      <c r="K1009" s="55" t="str">
        <f>IFERROR(IF($G1009="","",VLOOKUP('Dashboard And Emails Automate'!$G1009,Database!$H:$N,5,0)),"")</f>
        <v/>
      </c>
      <c r="L1009" s="55" t="str">
        <f>IFERROR(IF($G1009="","",VLOOKUP('Dashboard And Emails Automate'!$G1009,Database!$H:$N,6,0)),"")</f>
        <v/>
      </c>
      <c r="M1009" s="55" t="str">
        <f>IFERROR(IF($G1009="","",VLOOKUP('Dashboard And Emails Automate'!$G1009,Database!$H:$N,7,0)),"")</f>
        <v/>
      </c>
      <c r="N1009" s="55" t="str">
        <f>IFERROR(IF(OR($B1009="",$B1009="(blank)"),"",VLOOKUP($B1009,'Email Marketing Raw Data'!$C:$O,6,0)),"")</f>
        <v/>
      </c>
      <c r="O1009" s="55" t="str">
        <f>IFERROR(IF(OR($B1009="",$B1009="(blank)"),"",VLOOKUP($B1009,'Email Marketing Raw Data'!$C:$O,7,0)),"")</f>
        <v/>
      </c>
      <c r="P1009" s="55" t="str">
        <f>IFERROR(IF(OR($B1009="",$B1009="(blank)"),"",VLOOKUP($B1009,'Email Marketing Raw Data'!$C:$O,8,0)),"")</f>
        <v/>
      </c>
      <c r="Q1009" s="62" t="str">
        <f>IFERROR(IF(OR($B1009="",$B1009="(blank)"),"",VLOOKUP($B1009,'Email Marketing Raw Data'!$C:$O,9,0)),"")</f>
        <v/>
      </c>
    </row>
    <row r="1010" spans="4:17" ht="12.75" customHeight="1" x14ac:dyDescent="0.2">
      <c r="D1010" s="58" t="str">
        <f>IFERROR(IF(F1010&lt;&gt;"pending","",IF(OR($B1010="",$B1010="(blank)"),"",VLOOKUP($B1010,'Email Marketing Raw Data'!$C:$O,10,0))),"")</f>
        <v/>
      </c>
      <c r="E1010" s="59" t="str">
        <f>IFERROR(IF(F1010&lt;&gt;"pending","",IF(OR($B1010="",$B1010="(blank)"),"",VLOOKUP($B1010,'Email Marketing Raw Data'!$C:$O,11,0))),"")</f>
        <v/>
      </c>
      <c r="F1010" s="54" t="str">
        <f>IFERROR(IF(OR($B1010="",$B1010="(blank)"),"",VLOOKUP($B1010,'Email Marketing Raw Data'!$C:$O,13,0)),"")</f>
        <v/>
      </c>
      <c r="G1010" s="55" t="str">
        <f>IFERROR(IF(OR($B1010="",$B1010="(blank)"),"",VLOOKUP($B1010,'Email Marketing Raw Data'!$C:$O,4,0)),"")</f>
        <v/>
      </c>
      <c r="H1010" s="55" t="str">
        <f>IFERROR(IF(OR($B1010="",$B1010="(blank)"),"",VLOOKUP($B1010,'Email Marketing Raw Data'!$C:$O,5,0)),"")</f>
        <v/>
      </c>
      <c r="I1010" s="55" t="str">
        <f>IFERROR(IF($G1010="","",VLOOKUP('Dashboard And Emails Automate'!$G1010,Database!$H:$N,3,0)),"")</f>
        <v/>
      </c>
      <c r="J1010" s="55" t="str">
        <f>IFERROR(IF($G1010="","",VLOOKUP('Dashboard And Emails Automate'!$G1010,Database!$H:$N,4,0)),"")</f>
        <v/>
      </c>
      <c r="K1010" s="55" t="str">
        <f>IFERROR(IF($G1010="","",VLOOKUP('Dashboard And Emails Automate'!$G1010,Database!$H:$N,5,0)),"")</f>
        <v/>
      </c>
      <c r="L1010" s="55" t="str">
        <f>IFERROR(IF($G1010="","",VLOOKUP('Dashboard And Emails Automate'!$G1010,Database!$H:$N,6,0)),"")</f>
        <v/>
      </c>
      <c r="M1010" s="55" t="str">
        <f>IFERROR(IF($G1010="","",VLOOKUP('Dashboard And Emails Automate'!$G1010,Database!$H:$N,7,0)),"")</f>
        <v/>
      </c>
      <c r="N1010" s="55" t="str">
        <f>IFERROR(IF(OR($B1010="",$B1010="(blank)"),"",VLOOKUP($B1010,'Email Marketing Raw Data'!$C:$O,6,0)),"")</f>
        <v/>
      </c>
      <c r="O1010" s="55" t="str">
        <f>IFERROR(IF(OR($B1010="",$B1010="(blank)"),"",VLOOKUP($B1010,'Email Marketing Raw Data'!$C:$O,7,0)),"")</f>
        <v/>
      </c>
      <c r="P1010" s="55" t="str">
        <f>IFERROR(IF(OR($B1010="",$B1010="(blank)"),"",VLOOKUP($B1010,'Email Marketing Raw Data'!$C:$O,8,0)),"")</f>
        <v/>
      </c>
      <c r="Q1010" s="62" t="str">
        <f>IFERROR(IF(OR($B1010="",$B1010="(blank)"),"",VLOOKUP($B1010,'Email Marketing Raw Data'!$C:$O,9,0)),"")</f>
        <v/>
      </c>
    </row>
    <row r="1011" spans="4:17" ht="12.75" customHeight="1" x14ac:dyDescent="0.2">
      <c r="D1011" s="58" t="str">
        <f>IFERROR(IF(F1011&lt;&gt;"pending","",IF(OR($B1011="",$B1011="(blank)"),"",VLOOKUP($B1011,'Email Marketing Raw Data'!$C:$O,10,0))),"")</f>
        <v/>
      </c>
      <c r="E1011" s="59" t="str">
        <f>IFERROR(IF(F1011&lt;&gt;"pending","",IF(OR($B1011="",$B1011="(blank)"),"",VLOOKUP($B1011,'Email Marketing Raw Data'!$C:$O,11,0))),"")</f>
        <v/>
      </c>
      <c r="F1011" s="54" t="str">
        <f>IFERROR(IF(OR($B1011="",$B1011="(blank)"),"",VLOOKUP($B1011,'Email Marketing Raw Data'!$C:$O,13,0)),"")</f>
        <v/>
      </c>
      <c r="G1011" s="55" t="str">
        <f>IFERROR(IF(OR($B1011="",$B1011="(blank)"),"",VLOOKUP($B1011,'Email Marketing Raw Data'!$C:$O,4,0)),"")</f>
        <v/>
      </c>
      <c r="H1011" s="55" t="str">
        <f>IFERROR(IF(OR($B1011="",$B1011="(blank)"),"",VLOOKUP($B1011,'Email Marketing Raw Data'!$C:$O,5,0)),"")</f>
        <v/>
      </c>
      <c r="I1011" s="55" t="str">
        <f>IFERROR(IF($G1011="","",VLOOKUP('Dashboard And Emails Automate'!$G1011,Database!$H:$N,3,0)),"")</f>
        <v/>
      </c>
      <c r="J1011" s="55" t="str">
        <f>IFERROR(IF($G1011="","",VLOOKUP('Dashboard And Emails Automate'!$G1011,Database!$H:$N,4,0)),"")</f>
        <v/>
      </c>
      <c r="K1011" s="55" t="str">
        <f>IFERROR(IF($G1011="","",VLOOKUP('Dashboard And Emails Automate'!$G1011,Database!$H:$N,5,0)),"")</f>
        <v/>
      </c>
      <c r="L1011" s="55" t="str">
        <f>IFERROR(IF($G1011="","",VLOOKUP('Dashboard And Emails Automate'!$G1011,Database!$H:$N,6,0)),"")</f>
        <v/>
      </c>
      <c r="M1011" s="55" t="str">
        <f>IFERROR(IF($G1011="","",VLOOKUP('Dashboard And Emails Automate'!$G1011,Database!$H:$N,7,0)),"")</f>
        <v/>
      </c>
      <c r="N1011" s="55" t="str">
        <f>IFERROR(IF(OR($B1011="",$B1011="(blank)"),"",VLOOKUP($B1011,'Email Marketing Raw Data'!$C:$O,6,0)),"")</f>
        <v/>
      </c>
      <c r="O1011" s="55" t="str">
        <f>IFERROR(IF(OR($B1011="",$B1011="(blank)"),"",VLOOKUP($B1011,'Email Marketing Raw Data'!$C:$O,7,0)),"")</f>
        <v/>
      </c>
      <c r="P1011" s="55" t="str">
        <f>IFERROR(IF(OR($B1011="",$B1011="(blank)"),"",VLOOKUP($B1011,'Email Marketing Raw Data'!$C:$O,8,0)),"")</f>
        <v/>
      </c>
      <c r="Q1011" s="62" t="str">
        <f>IFERROR(IF(OR($B1011="",$B1011="(blank)"),"",VLOOKUP($B1011,'Email Marketing Raw Data'!$C:$O,9,0)),"")</f>
        <v/>
      </c>
    </row>
    <row r="1012" spans="4:17" ht="12.75" customHeight="1" x14ac:dyDescent="0.2">
      <c r="D1012" s="58" t="str">
        <f>IFERROR(IF(F1012&lt;&gt;"pending","",IF(OR($B1012="",$B1012="(blank)"),"",VLOOKUP($B1012,'Email Marketing Raw Data'!$C:$O,10,0))),"")</f>
        <v/>
      </c>
      <c r="E1012" s="59" t="str">
        <f>IFERROR(IF(F1012&lt;&gt;"pending","",IF(OR($B1012="",$B1012="(blank)"),"",VLOOKUP($B1012,'Email Marketing Raw Data'!$C:$O,11,0))),"")</f>
        <v/>
      </c>
      <c r="F1012" s="54" t="str">
        <f>IFERROR(IF(OR($B1012="",$B1012="(blank)"),"",VLOOKUP($B1012,'Email Marketing Raw Data'!$C:$O,13,0)),"")</f>
        <v/>
      </c>
      <c r="G1012" s="55" t="str">
        <f>IFERROR(IF(OR($B1012="",$B1012="(blank)"),"",VLOOKUP($B1012,'Email Marketing Raw Data'!$C:$O,4,0)),"")</f>
        <v/>
      </c>
      <c r="H1012" s="55" t="str">
        <f>IFERROR(IF(OR($B1012="",$B1012="(blank)"),"",VLOOKUP($B1012,'Email Marketing Raw Data'!$C:$O,5,0)),"")</f>
        <v/>
      </c>
      <c r="I1012" s="55" t="str">
        <f>IFERROR(IF($G1012="","",VLOOKUP('Dashboard And Emails Automate'!$G1012,Database!$H:$N,3,0)),"")</f>
        <v/>
      </c>
      <c r="J1012" s="55" t="str">
        <f>IFERROR(IF($G1012="","",VLOOKUP('Dashboard And Emails Automate'!$G1012,Database!$H:$N,4,0)),"")</f>
        <v/>
      </c>
      <c r="K1012" s="55" t="str">
        <f>IFERROR(IF($G1012="","",VLOOKUP('Dashboard And Emails Automate'!$G1012,Database!$H:$N,5,0)),"")</f>
        <v/>
      </c>
      <c r="L1012" s="55" t="str">
        <f>IFERROR(IF($G1012="","",VLOOKUP('Dashboard And Emails Automate'!$G1012,Database!$H:$N,6,0)),"")</f>
        <v/>
      </c>
      <c r="M1012" s="55" t="str">
        <f>IFERROR(IF($G1012="","",VLOOKUP('Dashboard And Emails Automate'!$G1012,Database!$H:$N,7,0)),"")</f>
        <v/>
      </c>
      <c r="N1012" s="55" t="str">
        <f>IFERROR(IF(OR($B1012="",$B1012="(blank)"),"",VLOOKUP($B1012,'Email Marketing Raw Data'!$C:$O,6,0)),"")</f>
        <v/>
      </c>
      <c r="O1012" s="55" t="str">
        <f>IFERROR(IF(OR($B1012="",$B1012="(blank)"),"",VLOOKUP($B1012,'Email Marketing Raw Data'!$C:$O,7,0)),"")</f>
        <v/>
      </c>
      <c r="P1012" s="55" t="str">
        <f>IFERROR(IF(OR($B1012="",$B1012="(blank)"),"",VLOOKUP($B1012,'Email Marketing Raw Data'!$C:$O,8,0)),"")</f>
        <v/>
      </c>
      <c r="Q1012" s="62" t="str">
        <f>IFERROR(IF(OR($B1012="",$B1012="(blank)"),"",VLOOKUP($B1012,'Email Marketing Raw Data'!$C:$O,9,0)),"")</f>
        <v/>
      </c>
    </row>
    <row r="1013" spans="4:17" ht="12.75" customHeight="1" x14ac:dyDescent="0.2">
      <c r="D1013" s="58" t="str">
        <f>IFERROR(IF(F1013&lt;&gt;"pending","",IF(OR($B1013="",$B1013="(blank)"),"",VLOOKUP($B1013,'Email Marketing Raw Data'!$C:$O,10,0))),"")</f>
        <v/>
      </c>
      <c r="E1013" s="59" t="str">
        <f>IFERROR(IF(F1013&lt;&gt;"pending","",IF(OR($B1013="",$B1013="(blank)"),"",VLOOKUP($B1013,'Email Marketing Raw Data'!$C:$O,11,0))),"")</f>
        <v/>
      </c>
      <c r="F1013" s="54" t="str">
        <f>IFERROR(IF(OR($B1013="",$B1013="(blank)"),"",VLOOKUP($B1013,'Email Marketing Raw Data'!$C:$O,13,0)),"")</f>
        <v/>
      </c>
      <c r="G1013" s="55" t="str">
        <f>IFERROR(IF(OR($B1013="",$B1013="(blank)"),"",VLOOKUP($B1013,'Email Marketing Raw Data'!$C:$O,4,0)),"")</f>
        <v/>
      </c>
      <c r="H1013" s="55" t="str">
        <f>IFERROR(IF(OR($B1013="",$B1013="(blank)"),"",VLOOKUP($B1013,'Email Marketing Raw Data'!$C:$O,5,0)),"")</f>
        <v/>
      </c>
      <c r="I1013" s="55" t="str">
        <f>IFERROR(IF($G1013="","",VLOOKUP('Dashboard And Emails Automate'!$G1013,Database!$H:$N,3,0)),"")</f>
        <v/>
      </c>
      <c r="J1013" s="55" t="str">
        <f>IFERROR(IF($G1013="","",VLOOKUP('Dashboard And Emails Automate'!$G1013,Database!$H:$N,4,0)),"")</f>
        <v/>
      </c>
      <c r="K1013" s="55" t="str">
        <f>IFERROR(IF($G1013="","",VLOOKUP('Dashboard And Emails Automate'!$G1013,Database!$H:$N,5,0)),"")</f>
        <v/>
      </c>
      <c r="L1013" s="55" t="str">
        <f>IFERROR(IF($G1013="","",VLOOKUP('Dashboard And Emails Automate'!$G1013,Database!$H:$N,6,0)),"")</f>
        <v/>
      </c>
      <c r="M1013" s="55" t="str">
        <f>IFERROR(IF($G1013="","",VLOOKUP('Dashboard And Emails Automate'!$G1013,Database!$H:$N,7,0)),"")</f>
        <v/>
      </c>
      <c r="N1013" s="55" t="str">
        <f>IFERROR(IF(OR($B1013="",$B1013="(blank)"),"",VLOOKUP($B1013,'Email Marketing Raw Data'!$C:$O,6,0)),"")</f>
        <v/>
      </c>
      <c r="O1013" s="55" t="str">
        <f>IFERROR(IF(OR($B1013="",$B1013="(blank)"),"",VLOOKUP($B1013,'Email Marketing Raw Data'!$C:$O,7,0)),"")</f>
        <v/>
      </c>
      <c r="P1013" s="55" t="str">
        <f>IFERROR(IF(OR($B1013="",$B1013="(blank)"),"",VLOOKUP($B1013,'Email Marketing Raw Data'!$C:$O,8,0)),"")</f>
        <v/>
      </c>
      <c r="Q1013" s="62" t="str">
        <f>IFERROR(IF(OR($B1013="",$B1013="(blank)"),"",VLOOKUP($B1013,'Email Marketing Raw Data'!$C:$O,9,0)),"")</f>
        <v/>
      </c>
    </row>
    <row r="1014" spans="4:17" ht="12.75" customHeight="1" x14ac:dyDescent="0.2">
      <c r="D1014" s="58" t="str">
        <f>IFERROR(IF(F1014&lt;&gt;"pending","",IF(OR($B1014="",$B1014="(blank)"),"",VLOOKUP($B1014,'Email Marketing Raw Data'!$C:$O,10,0))),"")</f>
        <v/>
      </c>
      <c r="E1014" s="59" t="str">
        <f>IFERROR(IF(F1014&lt;&gt;"pending","",IF(OR($B1014="",$B1014="(blank)"),"",VLOOKUP($B1014,'Email Marketing Raw Data'!$C:$O,11,0))),"")</f>
        <v/>
      </c>
      <c r="F1014" s="54" t="str">
        <f>IFERROR(IF(OR($B1014="",$B1014="(blank)"),"",VLOOKUP($B1014,'Email Marketing Raw Data'!$C:$O,13,0)),"")</f>
        <v/>
      </c>
      <c r="G1014" s="55" t="str">
        <f>IFERROR(IF(OR($B1014="",$B1014="(blank)"),"",VLOOKUP($B1014,'Email Marketing Raw Data'!$C:$O,4,0)),"")</f>
        <v/>
      </c>
      <c r="H1014" s="55" t="str">
        <f>IFERROR(IF(OR($B1014="",$B1014="(blank)"),"",VLOOKUP($B1014,'Email Marketing Raw Data'!$C:$O,5,0)),"")</f>
        <v/>
      </c>
      <c r="I1014" s="55" t="str">
        <f>IFERROR(IF($G1014="","",VLOOKUP('Dashboard And Emails Automate'!$G1014,Database!$H:$N,3,0)),"")</f>
        <v/>
      </c>
      <c r="J1014" s="55" t="str">
        <f>IFERROR(IF($G1014="","",VLOOKUP('Dashboard And Emails Automate'!$G1014,Database!$H:$N,4,0)),"")</f>
        <v/>
      </c>
      <c r="K1014" s="55" t="str">
        <f>IFERROR(IF($G1014="","",VLOOKUP('Dashboard And Emails Automate'!$G1014,Database!$H:$N,5,0)),"")</f>
        <v/>
      </c>
      <c r="L1014" s="55" t="str">
        <f>IFERROR(IF($G1014="","",VLOOKUP('Dashboard And Emails Automate'!$G1014,Database!$H:$N,6,0)),"")</f>
        <v/>
      </c>
      <c r="M1014" s="55" t="str">
        <f>IFERROR(IF($G1014="","",VLOOKUP('Dashboard And Emails Automate'!$G1014,Database!$H:$N,7,0)),"")</f>
        <v/>
      </c>
      <c r="N1014" s="55" t="str">
        <f>IFERROR(IF(OR($B1014="",$B1014="(blank)"),"",VLOOKUP($B1014,'Email Marketing Raw Data'!$C:$O,6,0)),"")</f>
        <v/>
      </c>
      <c r="O1014" s="55" t="str">
        <f>IFERROR(IF(OR($B1014="",$B1014="(blank)"),"",VLOOKUP($B1014,'Email Marketing Raw Data'!$C:$O,7,0)),"")</f>
        <v/>
      </c>
      <c r="P1014" s="55" t="str">
        <f>IFERROR(IF(OR($B1014="",$B1014="(blank)"),"",VLOOKUP($B1014,'Email Marketing Raw Data'!$C:$O,8,0)),"")</f>
        <v/>
      </c>
      <c r="Q1014" s="62" t="str">
        <f>IFERROR(IF(OR($B1014="",$B1014="(blank)"),"",VLOOKUP($B1014,'Email Marketing Raw Data'!$C:$O,9,0)),"")</f>
        <v/>
      </c>
    </row>
    <row r="1015" spans="4:17" ht="12.75" customHeight="1" x14ac:dyDescent="0.2">
      <c r="D1015" s="58" t="str">
        <f>IFERROR(IF(F1015&lt;&gt;"pending","",IF(OR($B1015="",$B1015="(blank)"),"",VLOOKUP($B1015,'Email Marketing Raw Data'!$C:$O,10,0))),"")</f>
        <v/>
      </c>
      <c r="E1015" s="59" t="str">
        <f>IFERROR(IF(F1015&lt;&gt;"pending","",IF(OR($B1015="",$B1015="(blank)"),"",VLOOKUP($B1015,'Email Marketing Raw Data'!$C:$O,11,0))),"")</f>
        <v/>
      </c>
      <c r="F1015" s="54" t="str">
        <f>IFERROR(IF(OR($B1015="",$B1015="(blank)"),"",VLOOKUP($B1015,'Email Marketing Raw Data'!$C:$O,13,0)),"")</f>
        <v/>
      </c>
      <c r="G1015" s="55" t="str">
        <f>IFERROR(IF(OR($B1015="",$B1015="(blank)"),"",VLOOKUP($B1015,'Email Marketing Raw Data'!$C:$O,4,0)),"")</f>
        <v/>
      </c>
      <c r="H1015" s="55" t="str">
        <f>IFERROR(IF(OR($B1015="",$B1015="(blank)"),"",VLOOKUP($B1015,'Email Marketing Raw Data'!$C:$O,5,0)),"")</f>
        <v/>
      </c>
      <c r="I1015" s="55" t="str">
        <f>IFERROR(IF($G1015="","",VLOOKUP('Dashboard And Emails Automate'!$G1015,Database!$H:$N,3,0)),"")</f>
        <v/>
      </c>
      <c r="J1015" s="55" t="str">
        <f>IFERROR(IF($G1015="","",VLOOKUP('Dashboard And Emails Automate'!$G1015,Database!$H:$N,4,0)),"")</f>
        <v/>
      </c>
      <c r="K1015" s="55" t="str">
        <f>IFERROR(IF($G1015="","",VLOOKUP('Dashboard And Emails Automate'!$G1015,Database!$H:$N,5,0)),"")</f>
        <v/>
      </c>
      <c r="L1015" s="55" t="str">
        <f>IFERROR(IF($G1015="","",VLOOKUP('Dashboard And Emails Automate'!$G1015,Database!$H:$N,6,0)),"")</f>
        <v/>
      </c>
      <c r="M1015" s="55" t="str">
        <f>IFERROR(IF($G1015="","",VLOOKUP('Dashboard And Emails Automate'!$G1015,Database!$H:$N,7,0)),"")</f>
        <v/>
      </c>
      <c r="N1015" s="55" t="str">
        <f>IFERROR(IF(OR($B1015="",$B1015="(blank)"),"",VLOOKUP($B1015,'Email Marketing Raw Data'!$C:$O,6,0)),"")</f>
        <v/>
      </c>
      <c r="O1015" s="55" t="str">
        <f>IFERROR(IF(OR($B1015="",$B1015="(blank)"),"",VLOOKUP($B1015,'Email Marketing Raw Data'!$C:$O,7,0)),"")</f>
        <v/>
      </c>
      <c r="P1015" s="55" t="str">
        <f>IFERROR(IF(OR($B1015="",$B1015="(blank)"),"",VLOOKUP($B1015,'Email Marketing Raw Data'!$C:$O,8,0)),"")</f>
        <v/>
      </c>
      <c r="Q1015" s="62" t="str">
        <f>IFERROR(IF(OR($B1015="",$B1015="(blank)"),"",VLOOKUP($B1015,'Email Marketing Raw Data'!$C:$O,9,0)),"")</f>
        <v/>
      </c>
    </row>
    <row r="1016" spans="4:17" ht="12.75" customHeight="1" x14ac:dyDescent="0.2">
      <c r="D1016" s="58" t="str">
        <f>IFERROR(IF(F1016&lt;&gt;"pending","",IF(OR($B1016="",$B1016="(blank)"),"",VLOOKUP($B1016,'Email Marketing Raw Data'!$C:$O,10,0))),"")</f>
        <v/>
      </c>
      <c r="E1016" s="59" t="str">
        <f>IFERROR(IF(F1016&lt;&gt;"pending","",IF(OR($B1016="",$B1016="(blank)"),"",VLOOKUP($B1016,'Email Marketing Raw Data'!$C:$O,11,0))),"")</f>
        <v/>
      </c>
      <c r="F1016" s="54" t="str">
        <f>IFERROR(IF(OR($B1016="",$B1016="(blank)"),"",VLOOKUP($B1016,'Email Marketing Raw Data'!$C:$O,13,0)),"")</f>
        <v/>
      </c>
      <c r="G1016" s="55" t="str">
        <f>IFERROR(IF(OR($B1016="",$B1016="(blank)"),"",VLOOKUP($B1016,'Email Marketing Raw Data'!$C:$O,4,0)),"")</f>
        <v/>
      </c>
      <c r="H1016" s="55" t="str">
        <f>IFERROR(IF(OR($B1016="",$B1016="(blank)"),"",VLOOKUP($B1016,'Email Marketing Raw Data'!$C:$O,5,0)),"")</f>
        <v/>
      </c>
      <c r="I1016" s="55" t="str">
        <f>IFERROR(IF($G1016="","",VLOOKUP('Dashboard And Emails Automate'!$G1016,Database!$H:$N,3,0)),"")</f>
        <v/>
      </c>
      <c r="J1016" s="55" t="str">
        <f>IFERROR(IF($G1016="","",VLOOKUP('Dashboard And Emails Automate'!$G1016,Database!$H:$N,4,0)),"")</f>
        <v/>
      </c>
      <c r="K1016" s="55" t="str">
        <f>IFERROR(IF($G1016="","",VLOOKUP('Dashboard And Emails Automate'!$G1016,Database!$H:$N,5,0)),"")</f>
        <v/>
      </c>
      <c r="L1016" s="55" t="str">
        <f>IFERROR(IF($G1016="","",VLOOKUP('Dashboard And Emails Automate'!$G1016,Database!$H:$N,6,0)),"")</f>
        <v/>
      </c>
      <c r="M1016" s="55" t="str">
        <f>IFERROR(IF($G1016="","",VLOOKUP('Dashboard And Emails Automate'!$G1016,Database!$H:$N,7,0)),"")</f>
        <v/>
      </c>
      <c r="N1016" s="55" t="str">
        <f>IFERROR(IF(OR($B1016="",$B1016="(blank)"),"",VLOOKUP($B1016,'Email Marketing Raw Data'!$C:$O,6,0)),"")</f>
        <v/>
      </c>
      <c r="O1016" s="55" t="str">
        <f>IFERROR(IF(OR($B1016="",$B1016="(blank)"),"",VLOOKUP($B1016,'Email Marketing Raw Data'!$C:$O,7,0)),"")</f>
        <v/>
      </c>
      <c r="P1016" s="55" t="str">
        <f>IFERROR(IF(OR($B1016="",$B1016="(blank)"),"",VLOOKUP($B1016,'Email Marketing Raw Data'!$C:$O,8,0)),"")</f>
        <v/>
      </c>
      <c r="Q1016" s="62" t="str">
        <f>IFERROR(IF(OR($B1016="",$B1016="(blank)"),"",VLOOKUP($B1016,'Email Marketing Raw Data'!$C:$O,9,0)),"")</f>
        <v/>
      </c>
    </row>
    <row r="1017" spans="4:17" ht="12.75" customHeight="1" x14ac:dyDescent="0.2">
      <c r="D1017" s="58" t="str">
        <f>IFERROR(IF(F1017&lt;&gt;"pending","",IF(OR($B1017="",$B1017="(blank)"),"",VLOOKUP($B1017,'Email Marketing Raw Data'!$C:$O,10,0))),"")</f>
        <v/>
      </c>
      <c r="E1017" s="59" t="str">
        <f>IFERROR(IF(F1017&lt;&gt;"pending","",IF(OR($B1017="",$B1017="(blank)"),"",VLOOKUP($B1017,'Email Marketing Raw Data'!$C:$O,11,0))),"")</f>
        <v/>
      </c>
      <c r="F1017" s="54" t="str">
        <f>IFERROR(IF(OR($B1017="",$B1017="(blank)"),"",VLOOKUP($B1017,'Email Marketing Raw Data'!$C:$O,13,0)),"")</f>
        <v/>
      </c>
      <c r="G1017" s="55" t="str">
        <f>IFERROR(IF(OR($B1017="",$B1017="(blank)"),"",VLOOKUP($B1017,'Email Marketing Raw Data'!$C:$O,4,0)),"")</f>
        <v/>
      </c>
      <c r="H1017" s="55" t="str">
        <f>IFERROR(IF(OR($B1017="",$B1017="(blank)"),"",VLOOKUP($B1017,'Email Marketing Raw Data'!$C:$O,5,0)),"")</f>
        <v/>
      </c>
      <c r="I1017" s="55" t="str">
        <f>IFERROR(IF($G1017="","",VLOOKUP('Dashboard And Emails Automate'!$G1017,Database!$H:$N,3,0)),"")</f>
        <v/>
      </c>
      <c r="J1017" s="55" t="str">
        <f>IFERROR(IF($G1017="","",VLOOKUP('Dashboard And Emails Automate'!$G1017,Database!$H:$N,4,0)),"")</f>
        <v/>
      </c>
      <c r="K1017" s="55" t="str">
        <f>IFERROR(IF($G1017="","",VLOOKUP('Dashboard And Emails Automate'!$G1017,Database!$H:$N,5,0)),"")</f>
        <v/>
      </c>
      <c r="L1017" s="55" t="str">
        <f>IFERROR(IF($G1017="","",VLOOKUP('Dashboard And Emails Automate'!$G1017,Database!$H:$N,6,0)),"")</f>
        <v/>
      </c>
      <c r="M1017" s="55" t="str">
        <f>IFERROR(IF($G1017="","",VLOOKUP('Dashboard And Emails Automate'!$G1017,Database!$H:$N,7,0)),"")</f>
        <v/>
      </c>
      <c r="N1017" s="55" t="str">
        <f>IFERROR(IF(OR($B1017="",$B1017="(blank)"),"",VLOOKUP($B1017,'Email Marketing Raw Data'!$C:$O,6,0)),"")</f>
        <v/>
      </c>
      <c r="O1017" s="55" t="str">
        <f>IFERROR(IF(OR($B1017="",$B1017="(blank)"),"",VLOOKUP($B1017,'Email Marketing Raw Data'!$C:$O,7,0)),"")</f>
        <v/>
      </c>
      <c r="P1017" s="55" t="str">
        <f>IFERROR(IF(OR($B1017="",$B1017="(blank)"),"",VLOOKUP($B1017,'Email Marketing Raw Data'!$C:$O,8,0)),"")</f>
        <v/>
      </c>
      <c r="Q1017" s="62" t="str">
        <f>IFERROR(IF(OR($B1017="",$B1017="(blank)"),"",VLOOKUP($B1017,'Email Marketing Raw Data'!$C:$O,9,0)),"")</f>
        <v/>
      </c>
    </row>
    <row r="1018" spans="4:17" ht="12.75" customHeight="1" x14ac:dyDescent="0.2">
      <c r="D1018" s="58" t="str">
        <f>IFERROR(IF(F1018&lt;&gt;"pending","",IF(OR($B1018="",$B1018="(blank)"),"",VLOOKUP($B1018,'Email Marketing Raw Data'!$C:$O,10,0))),"")</f>
        <v/>
      </c>
      <c r="E1018" s="59" t="str">
        <f>IFERROR(IF(F1018&lt;&gt;"pending","",IF(OR($B1018="",$B1018="(blank)"),"",VLOOKUP($B1018,'Email Marketing Raw Data'!$C:$O,11,0))),"")</f>
        <v/>
      </c>
      <c r="F1018" s="54" t="str">
        <f>IFERROR(IF(OR($B1018="",$B1018="(blank)"),"",VLOOKUP($B1018,'Email Marketing Raw Data'!$C:$O,13,0)),"")</f>
        <v/>
      </c>
      <c r="G1018" s="55" t="str">
        <f>IFERROR(IF(OR($B1018="",$B1018="(blank)"),"",VLOOKUP($B1018,'Email Marketing Raw Data'!$C:$O,4,0)),"")</f>
        <v/>
      </c>
      <c r="H1018" s="55" t="str">
        <f>IFERROR(IF(OR($B1018="",$B1018="(blank)"),"",VLOOKUP($B1018,'Email Marketing Raw Data'!$C:$O,5,0)),"")</f>
        <v/>
      </c>
      <c r="I1018" s="55" t="str">
        <f>IFERROR(IF($G1018="","",VLOOKUP('Dashboard And Emails Automate'!$G1018,Database!$H:$N,3,0)),"")</f>
        <v/>
      </c>
      <c r="J1018" s="55" t="str">
        <f>IFERROR(IF($G1018="","",VLOOKUP('Dashboard And Emails Automate'!$G1018,Database!$H:$N,4,0)),"")</f>
        <v/>
      </c>
      <c r="K1018" s="55" t="str">
        <f>IFERROR(IF($G1018="","",VLOOKUP('Dashboard And Emails Automate'!$G1018,Database!$H:$N,5,0)),"")</f>
        <v/>
      </c>
      <c r="L1018" s="55" t="str">
        <f>IFERROR(IF($G1018="","",VLOOKUP('Dashboard And Emails Automate'!$G1018,Database!$H:$N,6,0)),"")</f>
        <v/>
      </c>
      <c r="M1018" s="55" t="str">
        <f>IFERROR(IF($G1018="","",VLOOKUP('Dashboard And Emails Automate'!$G1018,Database!$H:$N,7,0)),"")</f>
        <v/>
      </c>
      <c r="N1018" s="55" t="str">
        <f>IFERROR(IF(OR($B1018="",$B1018="(blank)"),"",VLOOKUP($B1018,'Email Marketing Raw Data'!$C:$O,6,0)),"")</f>
        <v/>
      </c>
      <c r="O1018" s="55" t="str">
        <f>IFERROR(IF(OR($B1018="",$B1018="(blank)"),"",VLOOKUP($B1018,'Email Marketing Raw Data'!$C:$O,7,0)),"")</f>
        <v/>
      </c>
      <c r="P1018" s="55" t="str">
        <f>IFERROR(IF(OR($B1018="",$B1018="(blank)"),"",VLOOKUP($B1018,'Email Marketing Raw Data'!$C:$O,8,0)),"")</f>
        <v/>
      </c>
      <c r="Q1018" s="62" t="str">
        <f>IFERROR(IF(OR($B1018="",$B1018="(blank)"),"",VLOOKUP($B1018,'Email Marketing Raw Data'!$C:$O,9,0)),"")</f>
        <v/>
      </c>
    </row>
    <row r="1019" spans="4:17" ht="12.75" customHeight="1" x14ac:dyDescent="0.2">
      <c r="D1019" s="58" t="str">
        <f>IFERROR(IF(F1019&lt;&gt;"pending","",IF(OR($B1019="",$B1019="(blank)"),"",VLOOKUP($B1019,'Email Marketing Raw Data'!$C:$O,10,0))),"")</f>
        <v/>
      </c>
      <c r="E1019" s="59" t="str">
        <f>IFERROR(IF(F1019&lt;&gt;"pending","",IF(OR($B1019="",$B1019="(blank)"),"",VLOOKUP($B1019,'Email Marketing Raw Data'!$C:$O,11,0))),"")</f>
        <v/>
      </c>
      <c r="F1019" s="54" t="str">
        <f>IFERROR(IF(OR($B1019="",$B1019="(blank)"),"",VLOOKUP($B1019,'Email Marketing Raw Data'!$C:$O,13,0)),"")</f>
        <v/>
      </c>
      <c r="G1019" s="55" t="str">
        <f>IFERROR(IF(OR($B1019="",$B1019="(blank)"),"",VLOOKUP($B1019,'Email Marketing Raw Data'!$C:$O,4,0)),"")</f>
        <v/>
      </c>
      <c r="H1019" s="55" t="str">
        <f>IFERROR(IF(OR($B1019="",$B1019="(blank)"),"",VLOOKUP($B1019,'Email Marketing Raw Data'!$C:$O,5,0)),"")</f>
        <v/>
      </c>
      <c r="I1019" s="55" t="str">
        <f>IFERROR(IF($G1019="","",VLOOKUP('Dashboard And Emails Automate'!$G1019,Database!$H:$N,3,0)),"")</f>
        <v/>
      </c>
      <c r="J1019" s="55" t="str">
        <f>IFERROR(IF($G1019="","",VLOOKUP('Dashboard And Emails Automate'!$G1019,Database!$H:$N,4,0)),"")</f>
        <v/>
      </c>
      <c r="K1019" s="55" t="str">
        <f>IFERROR(IF($G1019="","",VLOOKUP('Dashboard And Emails Automate'!$G1019,Database!$H:$N,5,0)),"")</f>
        <v/>
      </c>
      <c r="L1019" s="55" t="str">
        <f>IFERROR(IF($G1019="","",VLOOKUP('Dashboard And Emails Automate'!$G1019,Database!$H:$N,6,0)),"")</f>
        <v/>
      </c>
      <c r="M1019" s="55" t="str">
        <f>IFERROR(IF($G1019="","",VLOOKUP('Dashboard And Emails Automate'!$G1019,Database!$H:$N,7,0)),"")</f>
        <v/>
      </c>
      <c r="N1019" s="55" t="str">
        <f>IFERROR(IF(OR($B1019="",$B1019="(blank)"),"",VLOOKUP($B1019,'Email Marketing Raw Data'!$C:$O,6,0)),"")</f>
        <v/>
      </c>
      <c r="O1019" s="55" t="str">
        <f>IFERROR(IF(OR($B1019="",$B1019="(blank)"),"",VLOOKUP($B1019,'Email Marketing Raw Data'!$C:$O,7,0)),"")</f>
        <v/>
      </c>
      <c r="P1019" s="55" t="str">
        <f>IFERROR(IF(OR($B1019="",$B1019="(blank)"),"",VLOOKUP($B1019,'Email Marketing Raw Data'!$C:$O,8,0)),"")</f>
        <v/>
      </c>
      <c r="Q1019" s="62" t="str">
        <f>IFERROR(IF(OR($B1019="",$B1019="(blank)"),"",VLOOKUP($B1019,'Email Marketing Raw Data'!$C:$O,9,0)),"")</f>
        <v/>
      </c>
    </row>
    <row r="1020" spans="4:17" ht="12.75" customHeight="1" x14ac:dyDescent="0.2">
      <c r="D1020" s="58" t="str">
        <f>IFERROR(IF(F1020&lt;&gt;"pending","",IF(OR($B1020="",$B1020="(blank)"),"",VLOOKUP($B1020,'Email Marketing Raw Data'!$C:$O,10,0))),"")</f>
        <v/>
      </c>
      <c r="E1020" s="59" t="str">
        <f>IFERROR(IF(F1020&lt;&gt;"pending","",IF(OR($B1020="",$B1020="(blank)"),"",VLOOKUP($B1020,'Email Marketing Raw Data'!$C:$O,11,0))),"")</f>
        <v/>
      </c>
      <c r="F1020" s="54" t="str">
        <f>IFERROR(IF(OR($B1020="",$B1020="(blank)"),"",VLOOKUP($B1020,'Email Marketing Raw Data'!$C:$O,13,0)),"")</f>
        <v/>
      </c>
      <c r="G1020" s="55" t="str">
        <f>IFERROR(IF(OR($B1020="",$B1020="(blank)"),"",VLOOKUP($B1020,'Email Marketing Raw Data'!$C:$O,4,0)),"")</f>
        <v/>
      </c>
      <c r="H1020" s="55" t="str">
        <f>IFERROR(IF(OR($B1020="",$B1020="(blank)"),"",VLOOKUP($B1020,'Email Marketing Raw Data'!$C:$O,5,0)),"")</f>
        <v/>
      </c>
      <c r="I1020" s="55" t="str">
        <f>IFERROR(IF($G1020="","",VLOOKUP('Dashboard And Emails Automate'!$G1020,Database!$H:$N,3,0)),"")</f>
        <v/>
      </c>
      <c r="J1020" s="55" t="str">
        <f>IFERROR(IF($G1020="","",VLOOKUP('Dashboard And Emails Automate'!$G1020,Database!$H:$N,4,0)),"")</f>
        <v/>
      </c>
      <c r="K1020" s="55" t="str">
        <f>IFERROR(IF($G1020="","",VLOOKUP('Dashboard And Emails Automate'!$G1020,Database!$H:$N,5,0)),"")</f>
        <v/>
      </c>
      <c r="L1020" s="55" t="str">
        <f>IFERROR(IF($G1020="","",VLOOKUP('Dashboard And Emails Automate'!$G1020,Database!$H:$N,6,0)),"")</f>
        <v/>
      </c>
      <c r="M1020" s="55" t="str">
        <f>IFERROR(IF($G1020="","",VLOOKUP('Dashboard And Emails Automate'!$G1020,Database!$H:$N,7,0)),"")</f>
        <v/>
      </c>
      <c r="N1020" s="55" t="str">
        <f>IFERROR(IF(OR($B1020="",$B1020="(blank)"),"",VLOOKUP($B1020,'Email Marketing Raw Data'!$C:$O,6,0)),"")</f>
        <v/>
      </c>
      <c r="O1020" s="55" t="str">
        <f>IFERROR(IF(OR($B1020="",$B1020="(blank)"),"",VLOOKUP($B1020,'Email Marketing Raw Data'!$C:$O,7,0)),"")</f>
        <v/>
      </c>
      <c r="P1020" s="55" t="str">
        <f>IFERROR(IF(OR($B1020="",$B1020="(blank)"),"",VLOOKUP($B1020,'Email Marketing Raw Data'!$C:$O,8,0)),"")</f>
        <v/>
      </c>
      <c r="Q1020" s="62" t="str">
        <f>IFERROR(IF(OR($B1020="",$B1020="(blank)"),"",VLOOKUP($B1020,'Email Marketing Raw Data'!$C:$O,9,0)),"")</f>
        <v/>
      </c>
    </row>
    <row r="1021" spans="4:17" ht="12.75" customHeight="1" x14ac:dyDescent="0.2">
      <c r="D1021" s="58" t="str">
        <f>IFERROR(IF(F1021&lt;&gt;"pending","",IF(OR($B1021="",$B1021="(blank)"),"",VLOOKUP($B1021,'Email Marketing Raw Data'!$C:$O,10,0))),"")</f>
        <v/>
      </c>
      <c r="E1021" s="59" t="str">
        <f>IFERROR(IF(F1021&lt;&gt;"pending","",IF(OR($B1021="",$B1021="(blank)"),"",VLOOKUP($B1021,'Email Marketing Raw Data'!$C:$O,11,0))),"")</f>
        <v/>
      </c>
      <c r="F1021" s="54" t="str">
        <f>IFERROR(IF(OR($B1021="",$B1021="(blank)"),"",VLOOKUP($B1021,'Email Marketing Raw Data'!$C:$O,13,0)),"")</f>
        <v/>
      </c>
      <c r="G1021" s="55" t="str">
        <f>IFERROR(IF(OR($B1021="",$B1021="(blank)"),"",VLOOKUP($B1021,'Email Marketing Raw Data'!$C:$O,4,0)),"")</f>
        <v/>
      </c>
      <c r="H1021" s="55" t="str">
        <f>IFERROR(IF(OR($B1021="",$B1021="(blank)"),"",VLOOKUP($B1021,'Email Marketing Raw Data'!$C:$O,5,0)),"")</f>
        <v/>
      </c>
      <c r="I1021" s="55" t="str">
        <f>IFERROR(IF($G1021="","",VLOOKUP('Dashboard And Emails Automate'!$G1021,Database!$H:$N,3,0)),"")</f>
        <v/>
      </c>
      <c r="J1021" s="55" t="str">
        <f>IFERROR(IF($G1021="","",VLOOKUP('Dashboard And Emails Automate'!$G1021,Database!$H:$N,4,0)),"")</f>
        <v/>
      </c>
      <c r="K1021" s="55" t="str">
        <f>IFERROR(IF($G1021="","",VLOOKUP('Dashboard And Emails Automate'!$G1021,Database!$H:$N,5,0)),"")</f>
        <v/>
      </c>
      <c r="L1021" s="55" t="str">
        <f>IFERROR(IF($G1021="","",VLOOKUP('Dashboard And Emails Automate'!$G1021,Database!$H:$N,6,0)),"")</f>
        <v/>
      </c>
      <c r="M1021" s="55" t="str">
        <f>IFERROR(IF($G1021="","",VLOOKUP('Dashboard And Emails Automate'!$G1021,Database!$H:$N,7,0)),"")</f>
        <v/>
      </c>
      <c r="N1021" s="55" t="str">
        <f>IFERROR(IF(OR($B1021="",$B1021="(blank)"),"",VLOOKUP($B1021,'Email Marketing Raw Data'!$C:$O,6,0)),"")</f>
        <v/>
      </c>
      <c r="O1021" s="55" t="str">
        <f>IFERROR(IF(OR($B1021="",$B1021="(blank)"),"",VLOOKUP($B1021,'Email Marketing Raw Data'!$C:$O,7,0)),"")</f>
        <v/>
      </c>
      <c r="P1021" s="55" t="str">
        <f>IFERROR(IF(OR($B1021="",$B1021="(blank)"),"",VLOOKUP($B1021,'Email Marketing Raw Data'!$C:$O,8,0)),"")</f>
        <v/>
      </c>
      <c r="Q1021" s="62" t="str">
        <f>IFERROR(IF(OR($B1021="",$B1021="(blank)"),"",VLOOKUP($B1021,'Email Marketing Raw Data'!$C:$O,9,0)),"")</f>
        <v/>
      </c>
    </row>
    <row r="1022" spans="4:17" ht="12.75" customHeight="1" x14ac:dyDescent="0.2">
      <c r="D1022" s="58" t="str">
        <f>IFERROR(IF(F1022&lt;&gt;"pending","",IF(OR($B1022="",$B1022="(blank)"),"",VLOOKUP($B1022,'Email Marketing Raw Data'!$C:$O,10,0))),"")</f>
        <v/>
      </c>
      <c r="E1022" s="59" t="str">
        <f>IFERROR(IF(F1022&lt;&gt;"pending","",IF(OR($B1022="",$B1022="(blank)"),"",VLOOKUP($B1022,'Email Marketing Raw Data'!$C:$O,11,0))),"")</f>
        <v/>
      </c>
      <c r="F1022" s="54" t="str">
        <f>IFERROR(IF(OR($B1022="",$B1022="(blank)"),"",VLOOKUP($B1022,'Email Marketing Raw Data'!$C:$O,13,0)),"")</f>
        <v/>
      </c>
      <c r="G1022" s="55" t="str">
        <f>IFERROR(IF(OR($B1022="",$B1022="(blank)"),"",VLOOKUP($B1022,'Email Marketing Raw Data'!$C:$O,4,0)),"")</f>
        <v/>
      </c>
      <c r="H1022" s="55" t="str">
        <f>IFERROR(IF(OR($B1022="",$B1022="(blank)"),"",VLOOKUP($B1022,'Email Marketing Raw Data'!$C:$O,5,0)),"")</f>
        <v/>
      </c>
      <c r="I1022" s="55" t="str">
        <f>IFERROR(IF($G1022="","",VLOOKUP('Dashboard And Emails Automate'!$G1022,Database!$H:$N,3,0)),"")</f>
        <v/>
      </c>
      <c r="J1022" s="55" t="str">
        <f>IFERROR(IF($G1022="","",VLOOKUP('Dashboard And Emails Automate'!$G1022,Database!$H:$N,4,0)),"")</f>
        <v/>
      </c>
      <c r="K1022" s="55" t="str">
        <f>IFERROR(IF($G1022="","",VLOOKUP('Dashboard And Emails Automate'!$G1022,Database!$H:$N,5,0)),"")</f>
        <v/>
      </c>
      <c r="L1022" s="55" t="str">
        <f>IFERROR(IF($G1022="","",VLOOKUP('Dashboard And Emails Automate'!$G1022,Database!$H:$N,6,0)),"")</f>
        <v/>
      </c>
      <c r="M1022" s="55" t="str">
        <f>IFERROR(IF($G1022="","",VLOOKUP('Dashboard And Emails Automate'!$G1022,Database!$H:$N,7,0)),"")</f>
        <v/>
      </c>
      <c r="N1022" s="55" t="str">
        <f>IFERROR(IF(OR($B1022="",$B1022="(blank)"),"",VLOOKUP($B1022,'Email Marketing Raw Data'!$C:$O,6,0)),"")</f>
        <v/>
      </c>
      <c r="O1022" s="55" t="str">
        <f>IFERROR(IF(OR($B1022="",$B1022="(blank)"),"",VLOOKUP($B1022,'Email Marketing Raw Data'!$C:$O,7,0)),"")</f>
        <v/>
      </c>
      <c r="P1022" s="55" t="str">
        <f>IFERROR(IF(OR($B1022="",$B1022="(blank)"),"",VLOOKUP($B1022,'Email Marketing Raw Data'!$C:$O,8,0)),"")</f>
        <v/>
      </c>
      <c r="Q1022" s="62" t="str">
        <f>IFERROR(IF(OR($B1022="",$B1022="(blank)"),"",VLOOKUP($B1022,'Email Marketing Raw Data'!$C:$O,9,0)),"")</f>
        <v/>
      </c>
    </row>
    <row r="1023" spans="4:17" ht="12.75" customHeight="1" x14ac:dyDescent="0.2">
      <c r="D1023" s="58" t="str">
        <f>IFERROR(IF(F1023&lt;&gt;"pending","",IF(OR($B1023="",$B1023="(blank)"),"",VLOOKUP($B1023,'Email Marketing Raw Data'!$C:$O,10,0))),"")</f>
        <v/>
      </c>
      <c r="E1023" s="59" t="str">
        <f>IFERROR(IF(F1023&lt;&gt;"pending","",IF(OR($B1023="",$B1023="(blank)"),"",VLOOKUP($B1023,'Email Marketing Raw Data'!$C:$O,11,0))),"")</f>
        <v/>
      </c>
      <c r="F1023" s="54" t="str">
        <f>IFERROR(IF(OR($B1023="",$B1023="(blank)"),"",VLOOKUP($B1023,'Email Marketing Raw Data'!$C:$O,13,0)),"")</f>
        <v/>
      </c>
      <c r="G1023" s="55" t="str">
        <f>IFERROR(IF(OR($B1023="",$B1023="(blank)"),"",VLOOKUP($B1023,'Email Marketing Raw Data'!$C:$O,4,0)),"")</f>
        <v/>
      </c>
      <c r="H1023" s="55" t="str">
        <f>IFERROR(IF(OR($B1023="",$B1023="(blank)"),"",VLOOKUP($B1023,'Email Marketing Raw Data'!$C:$O,5,0)),"")</f>
        <v/>
      </c>
      <c r="I1023" s="55" t="str">
        <f>IFERROR(IF($G1023="","",VLOOKUP('Dashboard And Emails Automate'!$G1023,Database!$H:$N,3,0)),"")</f>
        <v/>
      </c>
      <c r="J1023" s="55" t="str">
        <f>IFERROR(IF($G1023="","",VLOOKUP('Dashboard And Emails Automate'!$G1023,Database!$H:$N,4,0)),"")</f>
        <v/>
      </c>
      <c r="K1023" s="55" t="str">
        <f>IFERROR(IF($G1023="","",VLOOKUP('Dashboard And Emails Automate'!$G1023,Database!$H:$N,5,0)),"")</f>
        <v/>
      </c>
      <c r="L1023" s="55" t="str">
        <f>IFERROR(IF($G1023="","",VLOOKUP('Dashboard And Emails Automate'!$G1023,Database!$H:$N,6,0)),"")</f>
        <v/>
      </c>
      <c r="M1023" s="55" t="str">
        <f>IFERROR(IF($G1023="","",VLOOKUP('Dashboard And Emails Automate'!$G1023,Database!$H:$N,7,0)),"")</f>
        <v/>
      </c>
      <c r="N1023" s="55" t="str">
        <f>IFERROR(IF(OR($B1023="",$B1023="(blank)"),"",VLOOKUP($B1023,'Email Marketing Raw Data'!$C:$O,6,0)),"")</f>
        <v/>
      </c>
      <c r="O1023" s="55" t="str">
        <f>IFERROR(IF(OR($B1023="",$B1023="(blank)"),"",VLOOKUP($B1023,'Email Marketing Raw Data'!$C:$O,7,0)),"")</f>
        <v/>
      </c>
      <c r="P1023" s="55" t="str">
        <f>IFERROR(IF(OR($B1023="",$B1023="(blank)"),"",VLOOKUP($B1023,'Email Marketing Raw Data'!$C:$O,8,0)),"")</f>
        <v/>
      </c>
      <c r="Q1023" s="62" t="str">
        <f>IFERROR(IF(OR($B1023="",$B1023="(blank)"),"",VLOOKUP($B1023,'Email Marketing Raw Data'!$C:$O,9,0)),"")</f>
        <v/>
      </c>
    </row>
    <row r="1024" spans="4:17" ht="12.75" customHeight="1" x14ac:dyDescent="0.2">
      <c r="D1024" s="58" t="str">
        <f>IFERROR(IF(F1024&lt;&gt;"pending","",IF(OR($B1024="",$B1024="(blank)"),"",VLOOKUP($B1024,'Email Marketing Raw Data'!$C:$O,10,0))),"")</f>
        <v/>
      </c>
      <c r="E1024" s="59" t="str">
        <f>IFERROR(IF(F1024&lt;&gt;"pending","",IF(OR($B1024="",$B1024="(blank)"),"",VLOOKUP($B1024,'Email Marketing Raw Data'!$C:$O,11,0))),"")</f>
        <v/>
      </c>
      <c r="F1024" s="54" t="str">
        <f>IFERROR(IF(OR($B1024="",$B1024="(blank)"),"",VLOOKUP($B1024,'Email Marketing Raw Data'!$C:$O,13,0)),"")</f>
        <v/>
      </c>
      <c r="G1024" s="55" t="str">
        <f>IFERROR(IF(OR($B1024="",$B1024="(blank)"),"",VLOOKUP($B1024,'Email Marketing Raw Data'!$C:$O,4,0)),"")</f>
        <v/>
      </c>
      <c r="H1024" s="55" t="str">
        <f>IFERROR(IF(OR($B1024="",$B1024="(blank)"),"",VLOOKUP($B1024,'Email Marketing Raw Data'!$C:$O,5,0)),"")</f>
        <v/>
      </c>
      <c r="I1024" s="55" t="str">
        <f>IFERROR(IF($G1024="","",VLOOKUP('Dashboard And Emails Automate'!$G1024,Database!$H:$N,3,0)),"")</f>
        <v/>
      </c>
      <c r="J1024" s="55" t="str">
        <f>IFERROR(IF($G1024="","",VLOOKUP('Dashboard And Emails Automate'!$G1024,Database!$H:$N,4,0)),"")</f>
        <v/>
      </c>
      <c r="K1024" s="55" t="str">
        <f>IFERROR(IF($G1024="","",VLOOKUP('Dashboard And Emails Automate'!$G1024,Database!$H:$N,5,0)),"")</f>
        <v/>
      </c>
      <c r="L1024" s="55" t="str">
        <f>IFERROR(IF($G1024="","",VLOOKUP('Dashboard And Emails Automate'!$G1024,Database!$H:$N,6,0)),"")</f>
        <v/>
      </c>
      <c r="M1024" s="55" t="str">
        <f>IFERROR(IF($G1024="","",VLOOKUP('Dashboard And Emails Automate'!$G1024,Database!$H:$N,7,0)),"")</f>
        <v/>
      </c>
      <c r="N1024" s="55" t="str">
        <f>IFERROR(IF(OR($B1024="",$B1024="(blank)"),"",VLOOKUP($B1024,'Email Marketing Raw Data'!$C:$O,6,0)),"")</f>
        <v/>
      </c>
      <c r="O1024" s="55" t="str">
        <f>IFERROR(IF(OR($B1024="",$B1024="(blank)"),"",VLOOKUP($B1024,'Email Marketing Raw Data'!$C:$O,7,0)),"")</f>
        <v/>
      </c>
      <c r="P1024" s="55" t="str">
        <f>IFERROR(IF(OR($B1024="",$B1024="(blank)"),"",VLOOKUP($B1024,'Email Marketing Raw Data'!$C:$O,8,0)),"")</f>
        <v/>
      </c>
      <c r="Q1024" s="62" t="str">
        <f>IFERROR(IF(OR($B1024="",$B1024="(blank)"),"",VLOOKUP($B1024,'Email Marketing Raw Data'!$C:$O,9,0)),"")</f>
        <v/>
      </c>
    </row>
    <row r="1025" spans="4:17" ht="12.75" customHeight="1" x14ac:dyDescent="0.2">
      <c r="D1025" s="58" t="str">
        <f>IFERROR(IF(F1025&lt;&gt;"pending","",IF(OR($B1025="",$B1025="(blank)"),"",VLOOKUP($B1025,'Email Marketing Raw Data'!$C:$O,10,0))),"")</f>
        <v/>
      </c>
      <c r="E1025" s="59" t="str">
        <f>IFERROR(IF(F1025&lt;&gt;"pending","",IF(OR($B1025="",$B1025="(blank)"),"",VLOOKUP($B1025,'Email Marketing Raw Data'!$C:$O,11,0))),"")</f>
        <v/>
      </c>
      <c r="F1025" s="54" t="str">
        <f>IFERROR(IF(OR($B1025="",$B1025="(blank)"),"",VLOOKUP($B1025,'Email Marketing Raw Data'!$C:$O,13,0)),"")</f>
        <v/>
      </c>
      <c r="G1025" s="55" t="str">
        <f>IFERROR(IF(OR($B1025="",$B1025="(blank)"),"",VLOOKUP($B1025,'Email Marketing Raw Data'!$C:$O,4,0)),"")</f>
        <v/>
      </c>
      <c r="H1025" s="55" t="str">
        <f>IFERROR(IF(OR($B1025="",$B1025="(blank)"),"",VLOOKUP($B1025,'Email Marketing Raw Data'!$C:$O,5,0)),"")</f>
        <v/>
      </c>
      <c r="I1025" s="55" t="str">
        <f>IFERROR(IF($G1025="","",VLOOKUP('Dashboard And Emails Automate'!$G1025,Database!$H:$N,3,0)),"")</f>
        <v/>
      </c>
      <c r="J1025" s="55" t="str">
        <f>IFERROR(IF($G1025="","",VLOOKUP('Dashboard And Emails Automate'!$G1025,Database!$H:$N,4,0)),"")</f>
        <v/>
      </c>
      <c r="K1025" s="55" t="str">
        <f>IFERROR(IF($G1025="","",VLOOKUP('Dashboard And Emails Automate'!$G1025,Database!$H:$N,5,0)),"")</f>
        <v/>
      </c>
      <c r="L1025" s="55" t="str">
        <f>IFERROR(IF($G1025="","",VLOOKUP('Dashboard And Emails Automate'!$G1025,Database!$H:$N,6,0)),"")</f>
        <v/>
      </c>
      <c r="M1025" s="55" t="str">
        <f>IFERROR(IF($G1025="","",VLOOKUP('Dashboard And Emails Automate'!$G1025,Database!$H:$N,7,0)),"")</f>
        <v/>
      </c>
      <c r="N1025" s="55" t="str">
        <f>IFERROR(IF(OR($B1025="",$B1025="(blank)"),"",VLOOKUP($B1025,'Email Marketing Raw Data'!$C:$O,6,0)),"")</f>
        <v/>
      </c>
      <c r="O1025" s="55" t="str">
        <f>IFERROR(IF(OR($B1025="",$B1025="(blank)"),"",VLOOKUP($B1025,'Email Marketing Raw Data'!$C:$O,7,0)),"")</f>
        <v/>
      </c>
      <c r="P1025" s="55" t="str">
        <f>IFERROR(IF(OR($B1025="",$B1025="(blank)"),"",VLOOKUP($B1025,'Email Marketing Raw Data'!$C:$O,8,0)),"")</f>
        <v/>
      </c>
      <c r="Q1025" s="62" t="str">
        <f>IFERROR(IF(OR($B1025="",$B1025="(blank)"),"",VLOOKUP($B1025,'Email Marketing Raw Data'!$C:$O,9,0)),"")</f>
        <v/>
      </c>
    </row>
    <row r="1026" spans="4:17" ht="12.75" customHeight="1" x14ac:dyDescent="0.2">
      <c r="D1026" s="58" t="str">
        <f>IFERROR(IF(F1026&lt;&gt;"pending","",IF(OR($B1026="",$B1026="(blank)"),"",VLOOKUP($B1026,'Email Marketing Raw Data'!$C:$O,10,0))),"")</f>
        <v/>
      </c>
      <c r="E1026" s="59" t="str">
        <f>IFERROR(IF(F1026&lt;&gt;"pending","",IF(OR($B1026="",$B1026="(blank)"),"",VLOOKUP($B1026,'Email Marketing Raw Data'!$C:$O,11,0))),"")</f>
        <v/>
      </c>
      <c r="F1026" s="54" t="str">
        <f>IFERROR(IF(OR($B1026="",$B1026="(blank)"),"",VLOOKUP($B1026,'Email Marketing Raw Data'!$C:$O,13,0)),"")</f>
        <v/>
      </c>
      <c r="G1026" s="55" t="str">
        <f>IFERROR(IF(OR($B1026="",$B1026="(blank)"),"",VLOOKUP($B1026,'Email Marketing Raw Data'!$C:$O,4,0)),"")</f>
        <v/>
      </c>
      <c r="H1026" s="55" t="str">
        <f>IFERROR(IF(OR($B1026="",$B1026="(blank)"),"",VLOOKUP($B1026,'Email Marketing Raw Data'!$C:$O,5,0)),"")</f>
        <v/>
      </c>
      <c r="I1026" s="55" t="str">
        <f>IFERROR(IF($G1026="","",VLOOKUP('Dashboard And Emails Automate'!$G1026,Database!$H:$N,3,0)),"")</f>
        <v/>
      </c>
      <c r="J1026" s="55" t="str">
        <f>IFERROR(IF($G1026="","",VLOOKUP('Dashboard And Emails Automate'!$G1026,Database!$H:$N,4,0)),"")</f>
        <v/>
      </c>
      <c r="K1026" s="55" t="str">
        <f>IFERROR(IF($G1026="","",VLOOKUP('Dashboard And Emails Automate'!$G1026,Database!$H:$N,5,0)),"")</f>
        <v/>
      </c>
      <c r="L1026" s="55" t="str">
        <f>IFERROR(IF($G1026="","",VLOOKUP('Dashboard And Emails Automate'!$G1026,Database!$H:$N,6,0)),"")</f>
        <v/>
      </c>
      <c r="M1026" s="55" t="str">
        <f>IFERROR(IF($G1026="","",VLOOKUP('Dashboard And Emails Automate'!$G1026,Database!$H:$N,7,0)),"")</f>
        <v/>
      </c>
      <c r="N1026" s="55" t="str">
        <f>IFERROR(IF(OR($B1026="",$B1026="(blank)"),"",VLOOKUP($B1026,'Email Marketing Raw Data'!$C:$O,6,0)),"")</f>
        <v/>
      </c>
      <c r="O1026" s="55" t="str">
        <f>IFERROR(IF(OR($B1026="",$B1026="(blank)"),"",VLOOKUP($B1026,'Email Marketing Raw Data'!$C:$O,7,0)),"")</f>
        <v/>
      </c>
      <c r="P1026" s="55" t="str">
        <f>IFERROR(IF(OR($B1026="",$B1026="(blank)"),"",VLOOKUP($B1026,'Email Marketing Raw Data'!$C:$O,8,0)),"")</f>
        <v/>
      </c>
      <c r="Q1026" s="62" t="str">
        <f>IFERROR(IF(OR($B1026="",$B1026="(blank)"),"",VLOOKUP($B1026,'Email Marketing Raw Data'!$C:$O,9,0)),"")</f>
        <v/>
      </c>
    </row>
    <row r="1027" spans="4:17" ht="12.75" customHeight="1" x14ac:dyDescent="0.2">
      <c r="D1027" s="58" t="str">
        <f>IFERROR(IF(F1027&lt;&gt;"pending","",IF(OR($B1027="",$B1027="(blank)"),"",VLOOKUP($B1027,'Email Marketing Raw Data'!$C:$O,10,0))),"")</f>
        <v/>
      </c>
      <c r="E1027" s="59" t="str">
        <f>IFERROR(IF(F1027&lt;&gt;"pending","",IF(OR($B1027="",$B1027="(blank)"),"",VLOOKUP($B1027,'Email Marketing Raw Data'!$C:$O,11,0))),"")</f>
        <v/>
      </c>
      <c r="F1027" s="54" t="str">
        <f>IFERROR(IF(OR($B1027="",$B1027="(blank)"),"",VLOOKUP($B1027,'Email Marketing Raw Data'!$C:$O,13,0)),"")</f>
        <v/>
      </c>
      <c r="G1027" s="55" t="str">
        <f>IFERROR(IF(OR($B1027="",$B1027="(blank)"),"",VLOOKUP($B1027,'Email Marketing Raw Data'!$C:$O,4,0)),"")</f>
        <v/>
      </c>
      <c r="H1027" s="55" t="str">
        <f>IFERROR(IF(OR($B1027="",$B1027="(blank)"),"",VLOOKUP($B1027,'Email Marketing Raw Data'!$C:$O,5,0)),"")</f>
        <v/>
      </c>
      <c r="I1027" s="55" t="str">
        <f>IFERROR(IF($G1027="","",VLOOKUP('Dashboard And Emails Automate'!$G1027,Database!$H:$N,3,0)),"")</f>
        <v/>
      </c>
      <c r="J1027" s="55" t="str">
        <f>IFERROR(IF($G1027="","",VLOOKUP('Dashboard And Emails Automate'!$G1027,Database!$H:$N,4,0)),"")</f>
        <v/>
      </c>
      <c r="K1027" s="55" t="str">
        <f>IFERROR(IF($G1027="","",VLOOKUP('Dashboard And Emails Automate'!$G1027,Database!$H:$N,5,0)),"")</f>
        <v/>
      </c>
      <c r="L1027" s="55" t="str">
        <f>IFERROR(IF($G1027="","",VLOOKUP('Dashboard And Emails Automate'!$G1027,Database!$H:$N,6,0)),"")</f>
        <v/>
      </c>
      <c r="M1027" s="55" t="str">
        <f>IFERROR(IF($G1027="","",VLOOKUP('Dashboard And Emails Automate'!$G1027,Database!$H:$N,7,0)),"")</f>
        <v/>
      </c>
      <c r="N1027" s="55" t="str">
        <f>IFERROR(IF(OR($B1027="",$B1027="(blank)"),"",VLOOKUP($B1027,'Email Marketing Raw Data'!$C:$O,6,0)),"")</f>
        <v/>
      </c>
      <c r="O1027" s="55" t="str">
        <f>IFERROR(IF(OR($B1027="",$B1027="(blank)"),"",VLOOKUP($B1027,'Email Marketing Raw Data'!$C:$O,7,0)),"")</f>
        <v/>
      </c>
      <c r="P1027" s="55" t="str">
        <f>IFERROR(IF(OR($B1027="",$B1027="(blank)"),"",VLOOKUP($B1027,'Email Marketing Raw Data'!$C:$O,8,0)),"")</f>
        <v/>
      </c>
      <c r="Q1027" s="62" t="str">
        <f>IFERROR(IF(OR($B1027="",$B1027="(blank)"),"",VLOOKUP($B1027,'Email Marketing Raw Data'!$C:$O,9,0)),"")</f>
        <v/>
      </c>
    </row>
    <row r="1028" spans="4:17" ht="12.75" customHeight="1" x14ac:dyDescent="0.2">
      <c r="D1028" s="58" t="str">
        <f>IFERROR(IF(F1028&lt;&gt;"pending","",IF(OR($B1028="",$B1028="(blank)"),"",VLOOKUP($B1028,'Email Marketing Raw Data'!$C:$O,10,0))),"")</f>
        <v/>
      </c>
      <c r="E1028" s="59" t="str">
        <f>IFERROR(IF(F1028&lt;&gt;"pending","",IF(OR($B1028="",$B1028="(blank)"),"",VLOOKUP($B1028,'Email Marketing Raw Data'!$C:$O,11,0))),"")</f>
        <v/>
      </c>
      <c r="F1028" s="54" t="str">
        <f>IFERROR(IF(OR($B1028="",$B1028="(blank)"),"",VLOOKUP($B1028,'Email Marketing Raw Data'!$C:$O,13,0)),"")</f>
        <v/>
      </c>
      <c r="G1028" s="55" t="str">
        <f>IFERROR(IF(OR($B1028="",$B1028="(blank)"),"",VLOOKUP($B1028,'Email Marketing Raw Data'!$C:$O,4,0)),"")</f>
        <v/>
      </c>
      <c r="H1028" s="55" t="str">
        <f>IFERROR(IF(OR($B1028="",$B1028="(blank)"),"",VLOOKUP($B1028,'Email Marketing Raw Data'!$C:$O,5,0)),"")</f>
        <v/>
      </c>
      <c r="I1028" s="55" t="str">
        <f>IFERROR(IF($G1028="","",VLOOKUP('Dashboard And Emails Automate'!$G1028,Database!$H:$N,3,0)),"")</f>
        <v/>
      </c>
      <c r="J1028" s="55" t="str">
        <f>IFERROR(IF($G1028="","",VLOOKUP('Dashboard And Emails Automate'!$G1028,Database!$H:$N,4,0)),"")</f>
        <v/>
      </c>
      <c r="K1028" s="55" t="str">
        <f>IFERROR(IF($G1028="","",VLOOKUP('Dashboard And Emails Automate'!$G1028,Database!$H:$N,5,0)),"")</f>
        <v/>
      </c>
      <c r="L1028" s="55" t="str">
        <f>IFERROR(IF($G1028="","",VLOOKUP('Dashboard And Emails Automate'!$G1028,Database!$H:$N,6,0)),"")</f>
        <v/>
      </c>
      <c r="M1028" s="55" t="str">
        <f>IFERROR(IF($G1028="","",VLOOKUP('Dashboard And Emails Automate'!$G1028,Database!$H:$N,7,0)),"")</f>
        <v/>
      </c>
      <c r="N1028" s="55" t="str">
        <f>IFERROR(IF(OR($B1028="",$B1028="(blank)"),"",VLOOKUP($B1028,'Email Marketing Raw Data'!$C:$O,6,0)),"")</f>
        <v/>
      </c>
      <c r="O1028" s="55" t="str">
        <f>IFERROR(IF(OR($B1028="",$B1028="(blank)"),"",VLOOKUP($B1028,'Email Marketing Raw Data'!$C:$O,7,0)),"")</f>
        <v/>
      </c>
      <c r="P1028" s="55" t="str">
        <f>IFERROR(IF(OR($B1028="",$B1028="(blank)"),"",VLOOKUP($B1028,'Email Marketing Raw Data'!$C:$O,8,0)),"")</f>
        <v/>
      </c>
      <c r="Q1028" s="62" t="str">
        <f>IFERROR(IF(OR($B1028="",$B1028="(blank)"),"",VLOOKUP($B1028,'Email Marketing Raw Data'!$C:$O,9,0)),"")</f>
        <v/>
      </c>
    </row>
    <row r="1029" spans="4:17" ht="12.75" customHeight="1" x14ac:dyDescent="0.2">
      <c r="D1029" s="58" t="str">
        <f>IFERROR(IF(F1029&lt;&gt;"pending","",IF(OR($B1029="",$B1029="(blank)"),"",VLOOKUP($B1029,'Email Marketing Raw Data'!$C:$O,10,0))),"")</f>
        <v/>
      </c>
      <c r="E1029" s="59" t="str">
        <f>IFERROR(IF(F1029&lt;&gt;"pending","",IF(OR($B1029="",$B1029="(blank)"),"",VLOOKUP($B1029,'Email Marketing Raw Data'!$C:$O,11,0))),"")</f>
        <v/>
      </c>
      <c r="F1029" s="54" t="str">
        <f>IFERROR(IF(OR($B1029="",$B1029="(blank)"),"",VLOOKUP($B1029,'Email Marketing Raw Data'!$C:$O,13,0)),"")</f>
        <v/>
      </c>
      <c r="G1029" s="55" t="str">
        <f>IFERROR(IF(OR($B1029="",$B1029="(blank)"),"",VLOOKUP($B1029,'Email Marketing Raw Data'!$C:$O,4,0)),"")</f>
        <v/>
      </c>
      <c r="H1029" s="55" t="str">
        <f>IFERROR(IF(OR($B1029="",$B1029="(blank)"),"",VLOOKUP($B1029,'Email Marketing Raw Data'!$C:$O,5,0)),"")</f>
        <v/>
      </c>
      <c r="I1029" s="55" t="str">
        <f>IFERROR(IF($G1029="","",VLOOKUP('Dashboard And Emails Automate'!$G1029,Database!$H:$N,3,0)),"")</f>
        <v/>
      </c>
      <c r="J1029" s="55" t="str">
        <f>IFERROR(IF($G1029="","",VLOOKUP('Dashboard And Emails Automate'!$G1029,Database!$H:$N,4,0)),"")</f>
        <v/>
      </c>
      <c r="K1029" s="55" t="str">
        <f>IFERROR(IF($G1029="","",VLOOKUP('Dashboard And Emails Automate'!$G1029,Database!$H:$N,5,0)),"")</f>
        <v/>
      </c>
      <c r="L1029" s="55" t="str">
        <f>IFERROR(IF($G1029="","",VLOOKUP('Dashboard And Emails Automate'!$G1029,Database!$H:$N,6,0)),"")</f>
        <v/>
      </c>
      <c r="M1029" s="55" t="str">
        <f>IFERROR(IF($G1029="","",VLOOKUP('Dashboard And Emails Automate'!$G1029,Database!$H:$N,7,0)),"")</f>
        <v/>
      </c>
      <c r="N1029" s="55" t="str">
        <f>IFERROR(IF(OR($B1029="",$B1029="(blank)"),"",VLOOKUP($B1029,'Email Marketing Raw Data'!$C:$O,6,0)),"")</f>
        <v/>
      </c>
      <c r="O1029" s="55" t="str">
        <f>IFERROR(IF(OR($B1029="",$B1029="(blank)"),"",VLOOKUP($B1029,'Email Marketing Raw Data'!$C:$O,7,0)),"")</f>
        <v/>
      </c>
      <c r="P1029" s="55" t="str">
        <f>IFERROR(IF(OR($B1029="",$B1029="(blank)"),"",VLOOKUP($B1029,'Email Marketing Raw Data'!$C:$O,8,0)),"")</f>
        <v/>
      </c>
      <c r="Q1029" s="62" t="str">
        <f>IFERROR(IF(OR($B1029="",$B1029="(blank)"),"",VLOOKUP($B1029,'Email Marketing Raw Data'!$C:$O,9,0)),"")</f>
        <v/>
      </c>
    </row>
    <row r="1030" spans="4:17" ht="12.75" customHeight="1" x14ac:dyDescent="0.2">
      <c r="D1030" s="58" t="str">
        <f>IFERROR(IF(F1030&lt;&gt;"pending","",IF(OR($B1030="",$B1030="(blank)"),"",VLOOKUP($B1030,'Email Marketing Raw Data'!$C:$O,10,0))),"")</f>
        <v/>
      </c>
      <c r="E1030" s="59" t="str">
        <f>IFERROR(IF(F1030&lt;&gt;"pending","",IF(OR($B1030="",$B1030="(blank)"),"",VLOOKUP($B1030,'Email Marketing Raw Data'!$C:$O,11,0))),"")</f>
        <v/>
      </c>
      <c r="F1030" s="54" t="str">
        <f>IFERROR(IF(OR($B1030="",$B1030="(blank)"),"",VLOOKUP($B1030,'Email Marketing Raw Data'!$C:$O,13,0)),"")</f>
        <v/>
      </c>
      <c r="G1030" s="55" t="str">
        <f>IFERROR(IF(OR($B1030="",$B1030="(blank)"),"",VLOOKUP($B1030,'Email Marketing Raw Data'!$C:$O,4,0)),"")</f>
        <v/>
      </c>
      <c r="H1030" s="55" t="str">
        <f>IFERROR(IF(OR($B1030="",$B1030="(blank)"),"",VLOOKUP($B1030,'Email Marketing Raw Data'!$C:$O,5,0)),"")</f>
        <v/>
      </c>
      <c r="I1030" s="55" t="str">
        <f>IFERROR(IF($G1030="","",VLOOKUP('Dashboard And Emails Automate'!$G1030,Database!$H:$N,3,0)),"")</f>
        <v/>
      </c>
      <c r="J1030" s="55" t="str">
        <f>IFERROR(IF($G1030="","",VLOOKUP('Dashboard And Emails Automate'!$G1030,Database!$H:$N,4,0)),"")</f>
        <v/>
      </c>
      <c r="K1030" s="55" t="str">
        <f>IFERROR(IF($G1030="","",VLOOKUP('Dashboard And Emails Automate'!$G1030,Database!$H:$N,5,0)),"")</f>
        <v/>
      </c>
      <c r="L1030" s="55" t="str">
        <f>IFERROR(IF($G1030="","",VLOOKUP('Dashboard And Emails Automate'!$G1030,Database!$H:$N,6,0)),"")</f>
        <v/>
      </c>
      <c r="M1030" s="55" t="str">
        <f>IFERROR(IF($G1030="","",VLOOKUP('Dashboard And Emails Automate'!$G1030,Database!$H:$N,7,0)),"")</f>
        <v/>
      </c>
      <c r="N1030" s="55" t="str">
        <f>IFERROR(IF(OR($B1030="",$B1030="(blank)"),"",VLOOKUP($B1030,'Email Marketing Raw Data'!$C:$O,6,0)),"")</f>
        <v/>
      </c>
      <c r="O1030" s="55" t="str">
        <f>IFERROR(IF(OR($B1030="",$B1030="(blank)"),"",VLOOKUP($B1030,'Email Marketing Raw Data'!$C:$O,7,0)),"")</f>
        <v/>
      </c>
      <c r="P1030" s="55" t="str">
        <f>IFERROR(IF(OR($B1030="",$B1030="(blank)"),"",VLOOKUP($B1030,'Email Marketing Raw Data'!$C:$O,8,0)),"")</f>
        <v/>
      </c>
      <c r="Q1030" s="62" t="str">
        <f>IFERROR(IF(OR($B1030="",$B1030="(blank)"),"",VLOOKUP($B1030,'Email Marketing Raw Data'!$C:$O,9,0)),"")</f>
        <v/>
      </c>
    </row>
    <row r="1031" spans="4:17" ht="12.75" customHeight="1" x14ac:dyDescent="0.2">
      <c r="D1031" s="58" t="str">
        <f>IFERROR(IF(F1031&lt;&gt;"pending","",IF(OR($B1031="",$B1031="(blank)"),"",VLOOKUP($B1031,'Email Marketing Raw Data'!$C:$O,10,0))),"")</f>
        <v/>
      </c>
      <c r="E1031" s="59" t="str">
        <f>IFERROR(IF(F1031&lt;&gt;"pending","",IF(OR($B1031="",$B1031="(blank)"),"",VLOOKUP($B1031,'Email Marketing Raw Data'!$C:$O,11,0))),"")</f>
        <v/>
      </c>
      <c r="F1031" s="54" t="str">
        <f>IFERROR(IF(OR($B1031="",$B1031="(blank)"),"",VLOOKUP($B1031,'Email Marketing Raw Data'!$C:$O,13,0)),"")</f>
        <v/>
      </c>
      <c r="G1031" s="55" t="str">
        <f>IFERROR(IF(OR($B1031="",$B1031="(blank)"),"",VLOOKUP($B1031,'Email Marketing Raw Data'!$C:$O,4,0)),"")</f>
        <v/>
      </c>
      <c r="H1031" s="55" t="str">
        <f>IFERROR(IF(OR($B1031="",$B1031="(blank)"),"",VLOOKUP($B1031,'Email Marketing Raw Data'!$C:$O,5,0)),"")</f>
        <v/>
      </c>
      <c r="I1031" s="55" t="str">
        <f>IFERROR(IF($G1031="","",VLOOKUP('Dashboard And Emails Automate'!$G1031,Database!$H:$N,3,0)),"")</f>
        <v/>
      </c>
      <c r="J1031" s="55" t="str">
        <f>IFERROR(IF($G1031="","",VLOOKUP('Dashboard And Emails Automate'!$G1031,Database!$H:$N,4,0)),"")</f>
        <v/>
      </c>
      <c r="K1031" s="55" t="str">
        <f>IFERROR(IF($G1031="","",VLOOKUP('Dashboard And Emails Automate'!$G1031,Database!$H:$N,5,0)),"")</f>
        <v/>
      </c>
      <c r="L1031" s="55" t="str">
        <f>IFERROR(IF($G1031="","",VLOOKUP('Dashboard And Emails Automate'!$G1031,Database!$H:$N,6,0)),"")</f>
        <v/>
      </c>
      <c r="M1031" s="55" t="str">
        <f>IFERROR(IF($G1031="","",VLOOKUP('Dashboard And Emails Automate'!$G1031,Database!$H:$N,7,0)),"")</f>
        <v/>
      </c>
      <c r="N1031" s="55" t="str">
        <f>IFERROR(IF(OR($B1031="",$B1031="(blank)"),"",VLOOKUP($B1031,'Email Marketing Raw Data'!$C:$O,6,0)),"")</f>
        <v/>
      </c>
      <c r="O1031" s="55" t="str">
        <f>IFERROR(IF(OR($B1031="",$B1031="(blank)"),"",VLOOKUP($B1031,'Email Marketing Raw Data'!$C:$O,7,0)),"")</f>
        <v/>
      </c>
      <c r="P1031" s="55" t="str">
        <f>IFERROR(IF(OR($B1031="",$B1031="(blank)"),"",VLOOKUP($B1031,'Email Marketing Raw Data'!$C:$O,8,0)),"")</f>
        <v/>
      </c>
      <c r="Q1031" s="62" t="str">
        <f>IFERROR(IF(OR($B1031="",$B1031="(blank)"),"",VLOOKUP($B1031,'Email Marketing Raw Data'!$C:$O,9,0)),"")</f>
        <v/>
      </c>
    </row>
    <row r="1032" spans="4:17" ht="12.75" customHeight="1" x14ac:dyDescent="0.2">
      <c r="D1032" s="58" t="str">
        <f>IFERROR(IF(F1032&lt;&gt;"pending","",IF(OR($B1032="",$B1032="(blank)"),"",VLOOKUP($B1032,'Email Marketing Raw Data'!$C:$O,10,0))),"")</f>
        <v/>
      </c>
      <c r="E1032" s="59" t="str">
        <f>IFERROR(IF(F1032&lt;&gt;"pending","",IF(OR($B1032="",$B1032="(blank)"),"",VLOOKUP($B1032,'Email Marketing Raw Data'!$C:$O,11,0))),"")</f>
        <v/>
      </c>
      <c r="F1032" s="54" t="str">
        <f>IFERROR(IF(OR($B1032="",$B1032="(blank)"),"",VLOOKUP($B1032,'Email Marketing Raw Data'!$C:$O,13,0)),"")</f>
        <v/>
      </c>
      <c r="G1032" s="55" t="str">
        <f>IFERROR(IF(OR($B1032="",$B1032="(blank)"),"",VLOOKUP($B1032,'Email Marketing Raw Data'!$C:$O,4,0)),"")</f>
        <v/>
      </c>
      <c r="H1032" s="55" t="str">
        <f>IFERROR(IF(OR($B1032="",$B1032="(blank)"),"",VLOOKUP($B1032,'Email Marketing Raw Data'!$C:$O,5,0)),"")</f>
        <v/>
      </c>
      <c r="I1032" s="55" t="str">
        <f>IFERROR(IF($G1032="","",VLOOKUP('Dashboard And Emails Automate'!$G1032,Database!$H:$N,3,0)),"")</f>
        <v/>
      </c>
      <c r="J1032" s="55" t="str">
        <f>IFERROR(IF($G1032="","",VLOOKUP('Dashboard And Emails Automate'!$G1032,Database!$H:$N,4,0)),"")</f>
        <v/>
      </c>
      <c r="K1032" s="55" t="str">
        <f>IFERROR(IF($G1032="","",VLOOKUP('Dashboard And Emails Automate'!$G1032,Database!$H:$N,5,0)),"")</f>
        <v/>
      </c>
      <c r="L1032" s="55" t="str">
        <f>IFERROR(IF($G1032="","",VLOOKUP('Dashboard And Emails Automate'!$G1032,Database!$H:$N,6,0)),"")</f>
        <v/>
      </c>
      <c r="M1032" s="55" t="str">
        <f>IFERROR(IF($G1032="","",VLOOKUP('Dashboard And Emails Automate'!$G1032,Database!$H:$N,7,0)),"")</f>
        <v/>
      </c>
      <c r="N1032" s="55" t="str">
        <f>IFERROR(IF(OR($B1032="",$B1032="(blank)"),"",VLOOKUP($B1032,'Email Marketing Raw Data'!$C:$O,6,0)),"")</f>
        <v/>
      </c>
      <c r="O1032" s="55" t="str">
        <f>IFERROR(IF(OR($B1032="",$B1032="(blank)"),"",VLOOKUP($B1032,'Email Marketing Raw Data'!$C:$O,7,0)),"")</f>
        <v/>
      </c>
      <c r="P1032" s="55" t="str">
        <f>IFERROR(IF(OR($B1032="",$B1032="(blank)"),"",VLOOKUP($B1032,'Email Marketing Raw Data'!$C:$O,8,0)),"")</f>
        <v/>
      </c>
      <c r="Q1032" s="62" t="str">
        <f>IFERROR(IF(OR($B1032="",$B1032="(blank)"),"",VLOOKUP($B1032,'Email Marketing Raw Data'!$C:$O,9,0)),"")</f>
        <v/>
      </c>
    </row>
    <row r="1033" spans="4:17" ht="12.75" customHeight="1" x14ac:dyDescent="0.2">
      <c r="D1033" s="58" t="str">
        <f>IFERROR(IF(F1033&lt;&gt;"pending","",IF(OR($B1033="",$B1033="(blank)"),"",VLOOKUP($B1033,'Email Marketing Raw Data'!$C:$O,10,0))),"")</f>
        <v/>
      </c>
      <c r="E1033" s="59" t="str">
        <f>IFERROR(IF(F1033&lt;&gt;"pending","",IF(OR($B1033="",$B1033="(blank)"),"",VLOOKUP($B1033,'Email Marketing Raw Data'!$C:$O,11,0))),"")</f>
        <v/>
      </c>
      <c r="F1033" s="54" t="str">
        <f>IFERROR(IF(OR($B1033="",$B1033="(blank)"),"",VLOOKUP($B1033,'Email Marketing Raw Data'!$C:$O,13,0)),"")</f>
        <v/>
      </c>
      <c r="G1033" s="55" t="str">
        <f>IFERROR(IF(OR($B1033="",$B1033="(blank)"),"",VLOOKUP($B1033,'Email Marketing Raw Data'!$C:$O,4,0)),"")</f>
        <v/>
      </c>
      <c r="H1033" s="55" t="str">
        <f>IFERROR(IF(OR($B1033="",$B1033="(blank)"),"",VLOOKUP($B1033,'Email Marketing Raw Data'!$C:$O,5,0)),"")</f>
        <v/>
      </c>
      <c r="I1033" s="55" t="str">
        <f>IFERROR(IF($G1033="","",VLOOKUP('Dashboard And Emails Automate'!$G1033,Database!$H:$N,3,0)),"")</f>
        <v/>
      </c>
      <c r="J1033" s="55" t="str">
        <f>IFERROR(IF($G1033="","",VLOOKUP('Dashboard And Emails Automate'!$G1033,Database!$H:$N,4,0)),"")</f>
        <v/>
      </c>
      <c r="K1033" s="55" t="str">
        <f>IFERROR(IF($G1033="","",VLOOKUP('Dashboard And Emails Automate'!$G1033,Database!$H:$N,5,0)),"")</f>
        <v/>
      </c>
      <c r="L1033" s="55" t="str">
        <f>IFERROR(IF($G1033="","",VLOOKUP('Dashboard And Emails Automate'!$G1033,Database!$H:$N,6,0)),"")</f>
        <v/>
      </c>
      <c r="M1033" s="55" t="str">
        <f>IFERROR(IF($G1033="","",VLOOKUP('Dashboard And Emails Automate'!$G1033,Database!$H:$N,7,0)),"")</f>
        <v/>
      </c>
      <c r="N1033" s="55" t="str">
        <f>IFERROR(IF(OR($B1033="",$B1033="(blank)"),"",VLOOKUP($B1033,'Email Marketing Raw Data'!$C:$O,6,0)),"")</f>
        <v/>
      </c>
      <c r="O1033" s="55" t="str">
        <f>IFERROR(IF(OR($B1033="",$B1033="(blank)"),"",VLOOKUP($B1033,'Email Marketing Raw Data'!$C:$O,7,0)),"")</f>
        <v/>
      </c>
      <c r="P1033" s="55" t="str">
        <f>IFERROR(IF(OR($B1033="",$B1033="(blank)"),"",VLOOKUP($B1033,'Email Marketing Raw Data'!$C:$O,8,0)),"")</f>
        <v/>
      </c>
      <c r="Q1033" s="62" t="str">
        <f>IFERROR(IF(OR($B1033="",$B1033="(blank)"),"",VLOOKUP($B1033,'Email Marketing Raw Data'!$C:$O,9,0)),"")</f>
        <v/>
      </c>
    </row>
    <row r="1034" spans="4:17" ht="12.75" customHeight="1" x14ac:dyDescent="0.2">
      <c r="D1034" s="58" t="str">
        <f>IFERROR(IF(F1034&lt;&gt;"pending","",IF(OR($B1034="",$B1034="(blank)"),"",VLOOKUP($B1034,'Email Marketing Raw Data'!$C:$O,10,0))),"")</f>
        <v/>
      </c>
      <c r="E1034" s="59" t="str">
        <f>IFERROR(IF(F1034&lt;&gt;"pending","",IF(OR($B1034="",$B1034="(blank)"),"",VLOOKUP($B1034,'Email Marketing Raw Data'!$C:$O,11,0))),"")</f>
        <v/>
      </c>
      <c r="F1034" s="54" t="str">
        <f>IFERROR(IF(OR($B1034="",$B1034="(blank)"),"",VLOOKUP($B1034,'Email Marketing Raw Data'!$C:$O,13,0)),"")</f>
        <v/>
      </c>
      <c r="G1034" s="55" t="str">
        <f>IFERROR(IF(OR($B1034="",$B1034="(blank)"),"",VLOOKUP($B1034,'Email Marketing Raw Data'!$C:$O,4,0)),"")</f>
        <v/>
      </c>
      <c r="H1034" s="55" t="str">
        <f>IFERROR(IF(OR($B1034="",$B1034="(blank)"),"",VLOOKUP($B1034,'Email Marketing Raw Data'!$C:$O,5,0)),"")</f>
        <v/>
      </c>
      <c r="I1034" s="55" t="str">
        <f>IFERROR(IF($G1034="","",VLOOKUP('Dashboard And Emails Automate'!$G1034,Database!$H:$N,3,0)),"")</f>
        <v/>
      </c>
      <c r="J1034" s="55" t="str">
        <f>IFERROR(IF($G1034="","",VLOOKUP('Dashboard And Emails Automate'!$G1034,Database!$H:$N,4,0)),"")</f>
        <v/>
      </c>
      <c r="K1034" s="55" t="str">
        <f>IFERROR(IF($G1034="","",VLOOKUP('Dashboard And Emails Automate'!$G1034,Database!$H:$N,5,0)),"")</f>
        <v/>
      </c>
      <c r="L1034" s="55" t="str">
        <f>IFERROR(IF($G1034="","",VLOOKUP('Dashboard And Emails Automate'!$G1034,Database!$H:$N,6,0)),"")</f>
        <v/>
      </c>
      <c r="M1034" s="55" t="str">
        <f>IFERROR(IF($G1034="","",VLOOKUP('Dashboard And Emails Automate'!$G1034,Database!$H:$N,7,0)),"")</f>
        <v/>
      </c>
      <c r="N1034" s="55" t="str">
        <f>IFERROR(IF(OR($B1034="",$B1034="(blank)"),"",VLOOKUP($B1034,'Email Marketing Raw Data'!$C:$O,6,0)),"")</f>
        <v/>
      </c>
      <c r="O1034" s="55" t="str">
        <f>IFERROR(IF(OR($B1034="",$B1034="(blank)"),"",VLOOKUP($B1034,'Email Marketing Raw Data'!$C:$O,7,0)),"")</f>
        <v/>
      </c>
      <c r="P1034" s="55" t="str">
        <f>IFERROR(IF(OR($B1034="",$B1034="(blank)"),"",VLOOKUP($B1034,'Email Marketing Raw Data'!$C:$O,8,0)),"")</f>
        <v/>
      </c>
      <c r="Q1034" s="62" t="str">
        <f>IFERROR(IF(OR($B1034="",$B1034="(blank)"),"",VLOOKUP($B1034,'Email Marketing Raw Data'!$C:$O,9,0)),"")</f>
        <v/>
      </c>
    </row>
    <row r="1035" spans="4:17" ht="12.75" customHeight="1" x14ac:dyDescent="0.2">
      <c r="D1035" s="58" t="str">
        <f>IFERROR(IF(F1035&lt;&gt;"pending","",IF(OR($B1035="",$B1035="(blank)"),"",VLOOKUP($B1035,'Email Marketing Raw Data'!$C:$O,10,0))),"")</f>
        <v/>
      </c>
      <c r="E1035" s="59" t="str">
        <f>IFERROR(IF(F1035&lt;&gt;"pending","",IF(OR($B1035="",$B1035="(blank)"),"",VLOOKUP($B1035,'Email Marketing Raw Data'!$C:$O,11,0))),"")</f>
        <v/>
      </c>
      <c r="F1035" s="54" t="str">
        <f>IFERROR(IF(OR($B1035="",$B1035="(blank)"),"",VLOOKUP($B1035,'Email Marketing Raw Data'!$C:$O,13,0)),"")</f>
        <v/>
      </c>
      <c r="G1035" s="55" t="str">
        <f>IFERROR(IF(OR($B1035="",$B1035="(blank)"),"",VLOOKUP($B1035,'Email Marketing Raw Data'!$C:$O,4,0)),"")</f>
        <v/>
      </c>
      <c r="H1035" s="55" t="str">
        <f>IFERROR(IF(OR($B1035="",$B1035="(blank)"),"",VLOOKUP($B1035,'Email Marketing Raw Data'!$C:$O,5,0)),"")</f>
        <v/>
      </c>
      <c r="I1035" s="55" t="str">
        <f>IFERROR(IF($G1035="","",VLOOKUP('Dashboard And Emails Automate'!$G1035,Database!$H:$N,3,0)),"")</f>
        <v/>
      </c>
      <c r="J1035" s="55" t="str">
        <f>IFERROR(IF($G1035="","",VLOOKUP('Dashboard And Emails Automate'!$G1035,Database!$H:$N,4,0)),"")</f>
        <v/>
      </c>
      <c r="K1035" s="55" t="str">
        <f>IFERROR(IF($G1035="","",VLOOKUP('Dashboard And Emails Automate'!$G1035,Database!$H:$N,5,0)),"")</f>
        <v/>
      </c>
      <c r="L1035" s="55" t="str">
        <f>IFERROR(IF($G1035="","",VLOOKUP('Dashboard And Emails Automate'!$G1035,Database!$H:$N,6,0)),"")</f>
        <v/>
      </c>
      <c r="M1035" s="55" t="str">
        <f>IFERROR(IF($G1035="","",VLOOKUP('Dashboard And Emails Automate'!$G1035,Database!$H:$N,7,0)),"")</f>
        <v/>
      </c>
      <c r="N1035" s="55" t="str">
        <f>IFERROR(IF(OR($B1035="",$B1035="(blank)"),"",VLOOKUP($B1035,'Email Marketing Raw Data'!$C:$O,6,0)),"")</f>
        <v/>
      </c>
      <c r="O1035" s="55" t="str">
        <f>IFERROR(IF(OR($B1035="",$B1035="(blank)"),"",VLOOKUP($B1035,'Email Marketing Raw Data'!$C:$O,7,0)),"")</f>
        <v/>
      </c>
      <c r="P1035" s="55" t="str">
        <f>IFERROR(IF(OR($B1035="",$B1035="(blank)"),"",VLOOKUP($B1035,'Email Marketing Raw Data'!$C:$O,8,0)),"")</f>
        <v/>
      </c>
      <c r="Q1035" s="62" t="str">
        <f>IFERROR(IF(OR($B1035="",$B1035="(blank)"),"",VLOOKUP($B1035,'Email Marketing Raw Data'!$C:$O,9,0)),"")</f>
        <v/>
      </c>
    </row>
    <row r="1036" spans="4:17" ht="12.75" customHeight="1" x14ac:dyDescent="0.2">
      <c r="D1036" s="58" t="str">
        <f>IFERROR(IF(F1036&lt;&gt;"pending","",IF(OR($B1036="",$B1036="(blank)"),"",VLOOKUP($B1036,'Email Marketing Raw Data'!$C:$O,10,0))),"")</f>
        <v/>
      </c>
      <c r="E1036" s="59" t="str">
        <f>IFERROR(IF(F1036&lt;&gt;"pending","",IF(OR($B1036="",$B1036="(blank)"),"",VLOOKUP($B1036,'Email Marketing Raw Data'!$C:$O,11,0))),"")</f>
        <v/>
      </c>
      <c r="F1036" s="54" t="str">
        <f>IFERROR(IF(OR($B1036="",$B1036="(blank)"),"",VLOOKUP($B1036,'Email Marketing Raw Data'!$C:$O,13,0)),"")</f>
        <v/>
      </c>
      <c r="G1036" s="55" t="str">
        <f>IFERROR(IF(OR($B1036="",$B1036="(blank)"),"",VLOOKUP($B1036,'Email Marketing Raw Data'!$C:$O,4,0)),"")</f>
        <v/>
      </c>
      <c r="H1036" s="55" t="str">
        <f>IFERROR(IF(OR($B1036="",$B1036="(blank)"),"",VLOOKUP($B1036,'Email Marketing Raw Data'!$C:$O,5,0)),"")</f>
        <v/>
      </c>
      <c r="I1036" s="55" t="str">
        <f>IFERROR(IF($G1036="","",VLOOKUP('Dashboard And Emails Automate'!$G1036,Database!$H:$N,3,0)),"")</f>
        <v/>
      </c>
      <c r="J1036" s="55" t="str">
        <f>IFERROR(IF($G1036="","",VLOOKUP('Dashboard And Emails Automate'!$G1036,Database!$H:$N,4,0)),"")</f>
        <v/>
      </c>
      <c r="K1036" s="55" t="str">
        <f>IFERROR(IF($G1036="","",VLOOKUP('Dashboard And Emails Automate'!$G1036,Database!$H:$N,5,0)),"")</f>
        <v/>
      </c>
      <c r="L1036" s="55" t="str">
        <f>IFERROR(IF($G1036="","",VLOOKUP('Dashboard And Emails Automate'!$G1036,Database!$H:$N,6,0)),"")</f>
        <v/>
      </c>
      <c r="M1036" s="55" t="str">
        <f>IFERROR(IF($G1036="","",VLOOKUP('Dashboard And Emails Automate'!$G1036,Database!$H:$N,7,0)),"")</f>
        <v/>
      </c>
      <c r="N1036" s="55" t="str">
        <f>IFERROR(IF(OR($B1036="",$B1036="(blank)"),"",VLOOKUP($B1036,'Email Marketing Raw Data'!$C:$O,6,0)),"")</f>
        <v/>
      </c>
      <c r="O1036" s="55" t="str">
        <f>IFERROR(IF(OR($B1036="",$B1036="(blank)"),"",VLOOKUP($B1036,'Email Marketing Raw Data'!$C:$O,7,0)),"")</f>
        <v/>
      </c>
      <c r="P1036" s="55" t="str">
        <f>IFERROR(IF(OR($B1036="",$B1036="(blank)"),"",VLOOKUP($B1036,'Email Marketing Raw Data'!$C:$O,8,0)),"")</f>
        <v/>
      </c>
      <c r="Q1036" s="62" t="str">
        <f>IFERROR(IF(OR($B1036="",$B1036="(blank)"),"",VLOOKUP($B1036,'Email Marketing Raw Data'!$C:$O,9,0)),"")</f>
        <v/>
      </c>
    </row>
    <row r="1037" spans="4:17" ht="12.75" customHeight="1" x14ac:dyDescent="0.2">
      <c r="D1037" s="58" t="str">
        <f>IFERROR(IF(F1037&lt;&gt;"pending","",IF(OR($B1037="",$B1037="(blank)"),"",VLOOKUP($B1037,'Email Marketing Raw Data'!$C:$O,10,0))),"")</f>
        <v/>
      </c>
      <c r="E1037" s="59" t="str">
        <f>IFERROR(IF(F1037&lt;&gt;"pending","",IF(OR($B1037="",$B1037="(blank)"),"",VLOOKUP($B1037,'Email Marketing Raw Data'!$C:$O,11,0))),"")</f>
        <v/>
      </c>
      <c r="F1037" s="54" t="str">
        <f>IFERROR(IF(OR($B1037="",$B1037="(blank)"),"",VLOOKUP($B1037,'Email Marketing Raw Data'!$C:$O,13,0)),"")</f>
        <v/>
      </c>
      <c r="G1037" s="55" t="str">
        <f>IFERROR(IF(OR($B1037="",$B1037="(blank)"),"",VLOOKUP($B1037,'Email Marketing Raw Data'!$C:$O,4,0)),"")</f>
        <v/>
      </c>
      <c r="H1037" s="55" t="str">
        <f>IFERROR(IF(OR($B1037="",$B1037="(blank)"),"",VLOOKUP($B1037,'Email Marketing Raw Data'!$C:$O,5,0)),"")</f>
        <v/>
      </c>
      <c r="I1037" s="55" t="str">
        <f>IFERROR(IF($G1037="","",VLOOKUP('Dashboard And Emails Automate'!$G1037,Database!$H:$N,3,0)),"")</f>
        <v/>
      </c>
      <c r="J1037" s="55" t="str">
        <f>IFERROR(IF($G1037="","",VLOOKUP('Dashboard And Emails Automate'!$G1037,Database!$H:$N,4,0)),"")</f>
        <v/>
      </c>
      <c r="K1037" s="55" t="str">
        <f>IFERROR(IF($G1037="","",VLOOKUP('Dashboard And Emails Automate'!$G1037,Database!$H:$N,5,0)),"")</f>
        <v/>
      </c>
      <c r="L1037" s="55" t="str">
        <f>IFERROR(IF($G1037="","",VLOOKUP('Dashboard And Emails Automate'!$G1037,Database!$H:$N,6,0)),"")</f>
        <v/>
      </c>
      <c r="M1037" s="55" t="str">
        <f>IFERROR(IF($G1037="","",VLOOKUP('Dashboard And Emails Automate'!$G1037,Database!$H:$N,7,0)),"")</f>
        <v/>
      </c>
      <c r="N1037" s="55" t="str">
        <f>IFERROR(IF(OR($B1037="",$B1037="(blank)"),"",VLOOKUP($B1037,'Email Marketing Raw Data'!$C:$O,6,0)),"")</f>
        <v/>
      </c>
      <c r="O1037" s="55" t="str">
        <f>IFERROR(IF(OR($B1037="",$B1037="(blank)"),"",VLOOKUP($B1037,'Email Marketing Raw Data'!$C:$O,7,0)),"")</f>
        <v/>
      </c>
      <c r="P1037" s="55" t="str">
        <f>IFERROR(IF(OR($B1037="",$B1037="(blank)"),"",VLOOKUP($B1037,'Email Marketing Raw Data'!$C:$O,8,0)),"")</f>
        <v/>
      </c>
      <c r="Q1037" s="62" t="str">
        <f>IFERROR(IF(OR($B1037="",$B1037="(blank)"),"",VLOOKUP($B1037,'Email Marketing Raw Data'!$C:$O,9,0)),"")</f>
        <v/>
      </c>
    </row>
    <row r="1038" spans="4:17" ht="12.75" customHeight="1" x14ac:dyDescent="0.2">
      <c r="D1038" s="58" t="str">
        <f>IFERROR(IF(F1038&lt;&gt;"pending","",IF(OR($B1038="",$B1038="(blank)"),"",VLOOKUP($B1038,'Email Marketing Raw Data'!$C:$O,10,0))),"")</f>
        <v/>
      </c>
      <c r="E1038" s="59" t="str">
        <f>IFERROR(IF(F1038&lt;&gt;"pending","",IF(OR($B1038="",$B1038="(blank)"),"",VLOOKUP($B1038,'Email Marketing Raw Data'!$C:$O,11,0))),"")</f>
        <v/>
      </c>
      <c r="F1038" s="54" t="str">
        <f>IFERROR(IF(OR($B1038="",$B1038="(blank)"),"",VLOOKUP($B1038,'Email Marketing Raw Data'!$C:$O,13,0)),"")</f>
        <v/>
      </c>
      <c r="G1038" s="55" t="str">
        <f>IFERROR(IF(OR($B1038="",$B1038="(blank)"),"",VLOOKUP($B1038,'Email Marketing Raw Data'!$C:$O,4,0)),"")</f>
        <v/>
      </c>
      <c r="H1038" s="55" t="str">
        <f>IFERROR(IF(OR($B1038="",$B1038="(blank)"),"",VLOOKUP($B1038,'Email Marketing Raw Data'!$C:$O,5,0)),"")</f>
        <v/>
      </c>
      <c r="I1038" s="55" t="str">
        <f>IFERROR(IF($G1038="","",VLOOKUP('Dashboard And Emails Automate'!$G1038,Database!$H:$N,3,0)),"")</f>
        <v/>
      </c>
      <c r="J1038" s="55" t="str">
        <f>IFERROR(IF($G1038="","",VLOOKUP('Dashboard And Emails Automate'!$G1038,Database!$H:$N,4,0)),"")</f>
        <v/>
      </c>
      <c r="K1038" s="55" t="str">
        <f>IFERROR(IF($G1038="","",VLOOKUP('Dashboard And Emails Automate'!$G1038,Database!$H:$N,5,0)),"")</f>
        <v/>
      </c>
      <c r="L1038" s="55" t="str">
        <f>IFERROR(IF($G1038="","",VLOOKUP('Dashboard And Emails Automate'!$G1038,Database!$H:$N,6,0)),"")</f>
        <v/>
      </c>
      <c r="M1038" s="55" t="str">
        <f>IFERROR(IF($G1038="","",VLOOKUP('Dashboard And Emails Automate'!$G1038,Database!$H:$N,7,0)),"")</f>
        <v/>
      </c>
      <c r="N1038" s="55" t="str">
        <f>IFERROR(IF(OR($B1038="",$B1038="(blank)"),"",VLOOKUP($B1038,'Email Marketing Raw Data'!$C:$O,6,0)),"")</f>
        <v/>
      </c>
      <c r="O1038" s="55" t="str">
        <f>IFERROR(IF(OR($B1038="",$B1038="(blank)"),"",VLOOKUP($B1038,'Email Marketing Raw Data'!$C:$O,7,0)),"")</f>
        <v/>
      </c>
      <c r="P1038" s="55" t="str">
        <f>IFERROR(IF(OR($B1038="",$B1038="(blank)"),"",VLOOKUP($B1038,'Email Marketing Raw Data'!$C:$O,8,0)),"")</f>
        <v/>
      </c>
      <c r="Q1038" s="62" t="str">
        <f>IFERROR(IF(OR($B1038="",$B1038="(blank)"),"",VLOOKUP($B1038,'Email Marketing Raw Data'!$C:$O,9,0)),"")</f>
        <v/>
      </c>
    </row>
    <row r="1039" spans="4:17" ht="12.75" customHeight="1" x14ac:dyDescent="0.2">
      <c r="D1039" s="58" t="str">
        <f>IFERROR(IF(F1039&lt;&gt;"pending","",IF(OR($B1039="",$B1039="(blank)"),"",VLOOKUP($B1039,'Email Marketing Raw Data'!$C:$O,10,0))),"")</f>
        <v/>
      </c>
      <c r="E1039" s="59" t="str">
        <f>IFERROR(IF(F1039&lt;&gt;"pending","",IF(OR($B1039="",$B1039="(blank)"),"",VLOOKUP($B1039,'Email Marketing Raw Data'!$C:$O,11,0))),"")</f>
        <v/>
      </c>
      <c r="F1039" s="54" t="str">
        <f>IFERROR(IF(OR($B1039="",$B1039="(blank)"),"",VLOOKUP($B1039,'Email Marketing Raw Data'!$C:$O,13,0)),"")</f>
        <v/>
      </c>
      <c r="G1039" s="55" t="str">
        <f>IFERROR(IF(OR($B1039="",$B1039="(blank)"),"",VLOOKUP($B1039,'Email Marketing Raw Data'!$C:$O,4,0)),"")</f>
        <v/>
      </c>
      <c r="H1039" s="55" t="str">
        <f>IFERROR(IF(OR($B1039="",$B1039="(blank)"),"",VLOOKUP($B1039,'Email Marketing Raw Data'!$C:$O,5,0)),"")</f>
        <v/>
      </c>
      <c r="I1039" s="55" t="str">
        <f>IFERROR(IF($G1039="","",VLOOKUP('Dashboard And Emails Automate'!$G1039,Database!$H:$N,3,0)),"")</f>
        <v/>
      </c>
      <c r="J1039" s="55" t="str">
        <f>IFERROR(IF($G1039="","",VLOOKUP('Dashboard And Emails Automate'!$G1039,Database!$H:$N,4,0)),"")</f>
        <v/>
      </c>
      <c r="K1039" s="55" t="str">
        <f>IFERROR(IF($G1039="","",VLOOKUP('Dashboard And Emails Automate'!$G1039,Database!$H:$N,5,0)),"")</f>
        <v/>
      </c>
      <c r="L1039" s="55" t="str">
        <f>IFERROR(IF($G1039="","",VLOOKUP('Dashboard And Emails Automate'!$G1039,Database!$H:$N,6,0)),"")</f>
        <v/>
      </c>
      <c r="M1039" s="55" t="str">
        <f>IFERROR(IF($G1039="","",VLOOKUP('Dashboard And Emails Automate'!$G1039,Database!$H:$N,7,0)),"")</f>
        <v/>
      </c>
      <c r="N1039" s="55" t="str">
        <f>IFERROR(IF(OR($B1039="",$B1039="(blank)"),"",VLOOKUP($B1039,'Email Marketing Raw Data'!$C:$O,6,0)),"")</f>
        <v/>
      </c>
      <c r="O1039" s="55" t="str">
        <f>IFERROR(IF(OR($B1039="",$B1039="(blank)"),"",VLOOKUP($B1039,'Email Marketing Raw Data'!$C:$O,7,0)),"")</f>
        <v/>
      </c>
      <c r="P1039" s="55" t="str">
        <f>IFERROR(IF(OR($B1039="",$B1039="(blank)"),"",VLOOKUP($B1039,'Email Marketing Raw Data'!$C:$O,8,0)),"")</f>
        <v/>
      </c>
      <c r="Q1039" s="62" t="str">
        <f>IFERROR(IF(OR($B1039="",$B1039="(blank)"),"",VLOOKUP($B1039,'Email Marketing Raw Data'!$C:$O,9,0)),"")</f>
        <v/>
      </c>
    </row>
    <row r="1040" spans="4:17" ht="12.75" customHeight="1" x14ac:dyDescent="0.2">
      <c r="D1040" s="58" t="str">
        <f>IFERROR(IF(F1040&lt;&gt;"pending","",IF(OR($B1040="",$B1040="(blank)"),"",VLOOKUP($B1040,'Email Marketing Raw Data'!$C:$O,10,0))),"")</f>
        <v/>
      </c>
      <c r="E1040" s="59" t="str">
        <f>IFERROR(IF(F1040&lt;&gt;"pending","",IF(OR($B1040="",$B1040="(blank)"),"",VLOOKUP($B1040,'Email Marketing Raw Data'!$C:$O,11,0))),"")</f>
        <v/>
      </c>
      <c r="F1040" s="54" t="str">
        <f>IFERROR(IF(OR($B1040="",$B1040="(blank)"),"",VLOOKUP($B1040,'Email Marketing Raw Data'!$C:$O,13,0)),"")</f>
        <v/>
      </c>
      <c r="G1040" s="55" t="str">
        <f>IFERROR(IF(OR($B1040="",$B1040="(blank)"),"",VLOOKUP($B1040,'Email Marketing Raw Data'!$C:$O,4,0)),"")</f>
        <v/>
      </c>
      <c r="H1040" s="55" t="str">
        <f>IFERROR(IF(OR($B1040="",$B1040="(blank)"),"",VLOOKUP($B1040,'Email Marketing Raw Data'!$C:$O,5,0)),"")</f>
        <v/>
      </c>
      <c r="I1040" s="55" t="str">
        <f>IFERROR(IF($G1040="","",VLOOKUP('Dashboard And Emails Automate'!$G1040,Database!$H:$N,3,0)),"")</f>
        <v/>
      </c>
      <c r="J1040" s="55" t="str">
        <f>IFERROR(IF($G1040="","",VLOOKUP('Dashboard And Emails Automate'!$G1040,Database!$H:$N,4,0)),"")</f>
        <v/>
      </c>
      <c r="K1040" s="55" t="str">
        <f>IFERROR(IF($G1040="","",VLOOKUP('Dashboard And Emails Automate'!$G1040,Database!$H:$N,5,0)),"")</f>
        <v/>
      </c>
      <c r="L1040" s="55" t="str">
        <f>IFERROR(IF($G1040="","",VLOOKUP('Dashboard And Emails Automate'!$G1040,Database!$H:$N,6,0)),"")</f>
        <v/>
      </c>
      <c r="M1040" s="55" t="str">
        <f>IFERROR(IF($G1040="","",VLOOKUP('Dashboard And Emails Automate'!$G1040,Database!$H:$N,7,0)),"")</f>
        <v/>
      </c>
      <c r="N1040" s="55" t="str">
        <f>IFERROR(IF(OR($B1040="",$B1040="(blank)"),"",VLOOKUP($B1040,'Email Marketing Raw Data'!$C:$O,6,0)),"")</f>
        <v/>
      </c>
      <c r="O1040" s="55" t="str">
        <f>IFERROR(IF(OR($B1040="",$B1040="(blank)"),"",VLOOKUP($B1040,'Email Marketing Raw Data'!$C:$O,7,0)),"")</f>
        <v/>
      </c>
      <c r="P1040" s="55" t="str">
        <f>IFERROR(IF(OR($B1040="",$B1040="(blank)"),"",VLOOKUP($B1040,'Email Marketing Raw Data'!$C:$O,8,0)),"")</f>
        <v/>
      </c>
      <c r="Q1040" s="62" t="str">
        <f>IFERROR(IF(OR($B1040="",$B1040="(blank)"),"",VLOOKUP($B1040,'Email Marketing Raw Data'!$C:$O,9,0)),"")</f>
        <v/>
      </c>
    </row>
    <row r="1041" spans="4:17" ht="12.75" customHeight="1" x14ac:dyDescent="0.2">
      <c r="D1041" s="58" t="str">
        <f>IFERROR(IF(F1041&lt;&gt;"pending","",IF(OR($B1041="",$B1041="(blank)"),"",VLOOKUP($B1041,'Email Marketing Raw Data'!$C:$O,10,0))),"")</f>
        <v/>
      </c>
      <c r="E1041" s="59" t="str">
        <f>IFERROR(IF(F1041&lt;&gt;"pending","",IF(OR($B1041="",$B1041="(blank)"),"",VLOOKUP($B1041,'Email Marketing Raw Data'!$C:$O,11,0))),"")</f>
        <v/>
      </c>
      <c r="F1041" s="54" t="str">
        <f>IFERROR(IF(OR($B1041="",$B1041="(blank)"),"",VLOOKUP($B1041,'Email Marketing Raw Data'!$C:$O,13,0)),"")</f>
        <v/>
      </c>
      <c r="G1041" s="55" t="str">
        <f>IFERROR(IF(OR($B1041="",$B1041="(blank)"),"",VLOOKUP($B1041,'Email Marketing Raw Data'!$C:$O,4,0)),"")</f>
        <v/>
      </c>
      <c r="H1041" s="55" t="str">
        <f>IFERROR(IF(OR($B1041="",$B1041="(blank)"),"",VLOOKUP($B1041,'Email Marketing Raw Data'!$C:$O,5,0)),"")</f>
        <v/>
      </c>
      <c r="I1041" s="55" t="str">
        <f>IFERROR(IF($G1041="","",VLOOKUP('Dashboard And Emails Automate'!$G1041,Database!$H:$N,3,0)),"")</f>
        <v/>
      </c>
      <c r="J1041" s="55" t="str">
        <f>IFERROR(IF($G1041="","",VLOOKUP('Dashboard And Emails Automate'!$G1041,Database!$H:$N,4,0)),"")</f>
        <v/>
      </c>
      <c r="K1041" s="55" t="str">
        <f>IFERROR(IF($G1041="","",VLOOKUP('Dashboard And Emails Automate'!$G1041,Database!$H:$N,5,0)),"")</f>
        <v/>
      </c>
      <c r="L1041" s="55" t="str">
        <f>IFERROR(IF($G1041="","",VLOOKUP('Dashboard And Emails Automate'!$G1041,Database!$H:$N,6,0)),"")</f>
        <v/>
      </c>
      <c r="M1041" s="55" t="str">
        <f>IFERROR(IF($G1041="","",VLOOKUP('Dashboard And Emails Automate'!$G1041,Database!$H:$N,7,0)),"")</f>
        <v/>
      </c>
      <c r="N1041" s="55" t="str">
        <f>IFERROR(IF(OR($B1041="",$B1041="(blank)"),"",VLOOKUP($B1041,'Email Marketing Raw Data'!$C:$O,6,0)),"")</f>
        <v/>
      </c>
      <c r="O1041" s="55" t="str">
        <f>IFERROR(IF(OR($B1041="",$B1041="(blank)"),"",VLOOKUP($B1041,'Email Marketing Raw Data'!$C:$O,7,0)),"")</f>
        <v/>
      </c>
      <c r="P1041" s="55" t="str">
        <f>IFERROR(IF(OR($B1041="",$B1041="(blank)"),"",VLOOKUP($B1041,'Email Marketing Raw Data'!$C:$O,8,0)),"")</f>
        <v/>
      </c>
      <c r="Q1041" s="62" t="str">
        <f>IFERROR(IF(OR($B1041="",$B1041="(blank)"),"",VLOOKUP($B1041,'Email Marketing Raw Data'!$C:$O,9,0)),"")</f>
        <v/>
      </c>
    </row>
    <row r="1042" spans="4:17" ht="12.75" customHeight="1" x14ac:dyDescent="0.2">
      <c r="D1042" s="58" t="str">
        <f>IFERROR(IF(F1042&lt;&gt;"pending","",IF(OR($B1042="",$B1042="(blank)"),"",VLOOKUP($B1042,'Email Marketing Raw Data'!$C:$O,10,0))),"")</f>
        <v/>
      </c>
      <c r="E1042" s="59" t="str">
        <f>IFERROR(IF(F1042&lt;&gt;"pending","",IF(OR($B1042="",$B1042="(blank)"),"",VLOOKUP($B1042,'Email Marketing Raw Data'!$C:$O,11,0))),"")</f>
        <v/>
      </c>
      <c r="F1042" s="54" t="str">
        <f>IFERROR(IF(OR($B1042="",$B1042="(blank)"),"",VLOOKUP($B1042,'Email Marketing Raw Data'!$C:$O,13,0)),"")</f>
        <v/>
      </c>
      <c r="G1042" s="55" t="str">
        <f>IFERROR(IF(OR($B1042="",$B1042="(blank)"),"",VLOOKUP($B1042,'Email Marketing Raw Data'!$C:$O,4,0)),"")</f>
        <v/>
      </c>
      <c r="H1042" s="55" t="str">
        <f>IFERROR(IF(OR($B1042="",$B1042="(blank)"),"",VLOOKUP($B1042,'Email Marketing Raw Data'!$C:$O,5,0)),"")</f>
        <v/>
      </c>
      <c r="I1042" s="55" t="str">
        <f>IFERROR(IF($G1042="","",VLOOKUP('Dashboard And Emails Automate'!$G1042,Database!$H:$N,3,0)),"")</f>
        <v/>
      </c>
      <c r="J1042" s="55" t="str">
        <f>IFERROR(IF($G1042="","",VLOOKUP('Dashboard And Emails Automate'!$G1042,Database!$H:$N,4,0)),"")</f>
        <v/>
      </c>
      <c r="K1042" s="55" t="str">
        <f>IFERROR(IF($G1042="","",VLOOKUP('Dashboard And Emails Automate'!$G1042,Database!$H:$N,5,0)),"")</f>
        <v/>
      </c>
      <c r="L1042" s="55" t="str">
        <f>IFERROR(IF($G1042="","",VLOOKUP('Dashboard And Emails Automate'!$G1042,Database!$H:$N,6,0)),"")</f>
        <v/>
      </c>
      <c r="M1042" s="55" t="str">
        <f>IFERROR(IF($G1042="","",VLOOKUP('Dashboard And Emails Automate'!$G1042,Database!$H:$N,7,0)),"")</f>
        <v/>
      </c>
      <c r="N1042" s="55" t="str">
        <f>IFERROR(IF(OR($B1042="",$B1042="(blank)"),"",VLOOKUP($B1042,'Email Marketing Raw Data'!$C:$O,6,0)),"")</f>
        <v/>
      </c>
      <c r="O1042" s="55" t="str">
        <f>IFERROR(IF(OR($B1042="",$B1042="(blank)"),"",VLOOKUP($B1042,'Email Marketing Raw Data'!$C:$O,7,0)),"")</f>
        <v/>
      </c>
      <c r="P1042" s="55" t="str">
        <f>IFERROR(IF(OR($B1042="",$B1042="(blank)"),"",VLOOKUP($B1042,'Email Marketing Raw Data'!$C:$O,8,0)),"")</f>
        <v/>
      </c>
      <c r="Q1042" s="62" t="str">
        <f>IFERROR(IF(OR($B1042="",$B1042="(blank)"),"",VLOOKUP($B1042,'Email Marketing Raw Data'!$C:$O,9,0)),"")</f>
        <v/>
      </c>
    </row>
    <row r="1043" spans="4:17" ht="12.75" customHeight="1" x14ac:dyDescent="0.2">
      <c r="D1043" s="58" t="str">
        <f>IFERROR(IF(F1043&lt;&gt;"pending","",IF(OR($B1043="",$B1043="(blank)"),"",VLOOKUP($B1043,'Email Marketing Raw Data'!$C:$O,10,0))),"")</f>
        <v/>
      </c>
      <c r="E1043" s="59" t="str">
        <f>IFERROR(IF(F1043&lt;&gt;"pending","",IF(OR($B1043="",$B1043="(blank)"),"",VLOOKUP($B1043,'Email Marketing Raw Data'!$C:$O,11,0))),"")</f>
        <v/>
      </c>
      <c r="F1043" s="54" t="str">
        <f>IFERROR(IF(OR($B1043="",$B1043="(blank)"),"",VLOOKUP($B1043,'Email Marketing Raw Data'!$C:$O,13,0)),"")</f>
        <v/>
      </c>
      <c r="G1043" s="55" t="str">
        <f>IFERROR(IF(OR($B1043="",$B1043="(blank)"),"",VLOOKUP($B1043,'Email Marketing Raw Data'!$C:$O,4,0)),"")</f>
        <v/>
      </c>
      <c r="H1043" s="55" t="str">
        <f>IFERROR(IF(OR($B1043="",$B1043="(blank)"),"",VLOOKUP($B1043,'Email Marketing Raw Data'!$C:$O,5,0)),"")</f>
        <v/>
      </c>
      <c r="I1043" s="55" t="str">
        <f>IFERROR(IF($G1043="","",VLOOKUP('Dashboard And Emails Automate'!$G1043,Database!$H:$N,3,0)),"")</f>
        <v/>
      </c>
      <c r="J1043" s="55" t="str">
        <f>IFERROR(IF($G1043="","",VLOOKUP('Dashboard And Emails Automate'!$G1043,Database!$H:$N,4,0)),"")</f>
        <v/>
      </c>
      <c r="K1043" s="55" t="str">
        <f>IFERROR(IF($G1043="","",VLOOKUP('Dashboard And Emails Automate'!$G1043,Database!$H:$N,5,0)),"")</f>
        <v/>
      </c>
      <c r="L1043" s="55" t="str">
        <f>IFERROR(IF($G1043="","",VLOOKUP('Dashboard And Emails Automate'!$G1043,Database!$H:$N,6,0)),"")</f>
        <v/>
      </c>
      <c r="M1043" s="55" t="str">
        <f>IFERROR(IF($G1043="","",VLOOKUP('Dashboard And Emails Automate'!$G1043,Database!$H:$N,7,0)),"")</f>
        <v/>
      </c>
      <c r="N1043" s="55" t="str">
        <f>IFERROR(IF(OR($B1043="",$B1043="(blank)"),"",VLOOKUP($B1043,'Email Marketing Raw Data'!$C:$O,6,0)),"")</f>
        <v/>
      </c>
      <c r="O1043" s="55" t="str">
        <f>IFERROR(IF(OR($B1043="",$B1043="(blank)"),"",VLOOKUP($B1043,'Email Marketing Raw Data'!$C:$O,7,0)),"")</f>
        <v/>
      </c>
      <c r="P1043" s="55" t="str">
        <f>IFERROR(IF(OR($B1043="",$B1043="(blank)"),"",VLOOKUP($B1043,'Email Marketing Raw Data'!$C:$O,8,0)),"")</f>
        <v/>
      </c>
      <c r="Q1043" s="62" t="str">
        <f>IFERROR(IF(OR($B1043="",$B1043="(blank)"),"",VLOOKUP($B1043,'Email Marketing Raw Data'!$C:$O,9,0)),"")</f>
        <v/>
      </c>
    </row>
    <row r="1044" spans="4:17" ht="12.75" customHeight="1" x14ac:dyDescent="0.2">
      <c r="D1044" s="58" t="str">
        <f>IFERROR(IF(F1044&lt;&gt;"pending","",IF(OR($B1044="",$B1044="(blank)"),"",VLOOKUP($B1044,'Email Marketing Raw Data'!$C:$O,10,0))),"")</f>
        <v/>
      </c>
      <c r="E1044" s="59" t="str">
        <f>IFERROR(IF(F1044&lt;&gt;"pending","",IF(OR($B1044="",$B1044="(blank)"),"",VLOOKUP($B1044,'Email Marketing Raw Data'!$C:$O,11,0))),"")</f>
        <v/>
      </c>
      <c r="F1044" s="54" t="str">
        <f>IFERROR(IF(OR($B1044="",$B1044="(blank)"),"",VLOOKUP($B1044,'Email Marketing Raw Data'!$C:$O,13,0)),"")</f>
        <v/>
      </c>
      <c r="G1044" s="55" t="str">
        <f>IFERROR(IF(OR($B1044="",$B1044="(blank)"),"",VLOOKUP($B1044,'Email Marketing Raw Data'!$C:$O,4,0)),"")</f>
        <v/>
      </c>
      <c r="H1044" s="55" t="str">
        <f>IFERROR(IF(OR($B1044="",$B1044="(blank)"),"",VLOOKUP($B1044,'Email Marketing Raw Data'!$C:$O,5,0)),"")</f>
        <v/>
      </c>
      <c r="I1044" s="55" t="str">
        <f>IFERROR(IF($G1044="","",VLOOKUP('Dashboard And Emails Automate'!$G1044,Database!$H:$N,3,0)),"")</f>
        <v/>
      </c>
      <c r="J1044" s="55" t="str">
        <f>IFERROR(IF($G1044="","",VLOOKUP('Dashboard And Emails Automate'!$G1044,Database!$H:$N,4,0)),"")</f>
        <v/>
      </c>
      <c r="K1044" s="55" t="str">
        <f>IFERROR(IF($G1044="","",VLOOKUP('Dashboard And Emails Automate'!$G1044,Database!$H:$N,5,0)),"")</f>
        <v/>
      </c>
      <c r="L1044" s="55" t="str">
        <f>IFERROR(IF($G1044="","",VLOOKUP('Dashboard And Emails Automate'!$G1044,Database!$H:$N,6,0)),"")</f>
        <v/>
      </c>
      <c r="M1044" s="55" t="str">
        <f>IFERROR(IF($G1044="","",VLOOKUP('Dashboard And Emails Automate'!$G1044,Database!$H:$N,7,0)),"")</f>
        <v/>
      </c>
      <c r="N1044" s="55" t="str">
        <f>IFERROR(IF(OR($B1044="",$B1044="(blank)"),"",VLOOKUP($B1044,'Email Marketing Raw Data'!$C:$O,6,0)),"")</f>
        <v/>
      </c>
      <c r="O1044" s="55" t="str">
        <f>IFERROR(IF(OR($B1044="",$B1044="(blank)"),"",VLOOKUP($B1044,'Email Marketing Raw Data'!$C:$O,7,0)),"")</f>
        <v/>
      </c>
      <c r="P1044" s="55" t="str">
        <f>IFERROR(IF(OR($B1044="",$B1044="(blank)"),"",VLOOKUP($B1044,'Email Marketing Raw Data'!$C:$O,8,0)),"")</f>
        <v/>
      </c>
      <c r="Q1044" s="62" t="str">
        <f>IFERROR(IF(OR($B1044="",$B1044="(blank)"),"",VLOOKUP($B1044,'Email Marketing Raw Data'!$C:$O,9,0)),"")</f>
        <v/>
      </c>
    </row>
    <row r="1045" spans="4:17" ht="12.75" customHeight="1" x14ac:dyDescent="0.2">
      <c r="D1045" s="58" t="str">
        <f>IFERROR(IF(F1045&lt;&gt;"pending","",IF(OR($B1045="",$B1045="(blank)"),"",VLOOKUP($B1045,'Email Marketing Raw Data'!$C:$O,10,0))),"")</f>
        <v/>
      </c>
      <c r="E1045" s="59" t="str">
        <f>IFERROR(IF(F1045&lt;&gt;"pending","",IF(OR($B1045="",$B1045="(blank)"),"",VLOOKUP($B1045,'Email Marketing Raw Data'!$C:$O,11,0))),"")</f>
        <v/>
      </c>
      <c r="F1045" s="54" t="str">
        <f>IFERROR(IF(OR($B1045="",$B1045="(blank)"),"",VLOOKUP($B1045,'Email Marketing Raw Data'!$C:$O,13,0)),"")</f>
        <v/>
      </c>
      <c r="G1045" s="55" t="str">
        <f>IFERROR(IF(OR($B1045="",$B1045="(blank)"),"",VLOOKUP($B1045,'Email Marketing Raw Data'!$C:$O,4,0)),"")</f>
        <v/>
      </c>
      <c r="H1045" s="55" t="str">
        <f>IFERROR(IF(OR($B1045="",$B1045="(blank)"),"",VLOOKUP($B1045,'Email Marketing Raw Data'!$C:$O,5,0)),"")</f>
        <v/>
      </c>
      <c r="I1045" s="55" t="str">
        <f>IFERROR(IF($G1045="","",VLOOKUP('Dashboard And Emails Automate'!$G1045,Database!$H:$N,3,0)),"")</f>
        <v/>
      </c>
      <c r="J1045" s="55" t="str">
        <f>IFERROR(IF($G1045="","",VLOOKUP('Dashboard And Emails Automate'!$G1045,Database!$H:$N,4,0)),"")</f>
        <v/>
      </c>
      <c r="K1045" s="55" t="str">
        <f>IFERROR(IF($G1045="","",VLOOKUP('Dashboard And Emails Automate'!$G1045,Database!$H:$N,5,0)),"")</f>
        <v/>
      </c>
      <c r="L1045" s="55" t="str">
        <f>IFERROR(IF($G1045="","",VLOOKUP('Dashboard And Emails Automate'!$G1045,Database!$H:$N,6,0)),"")</f>
        <v/>
      </c>
      <c r="M1045" s="55" t="str">
        <f>IFERROR(IF($G1045="","",VLOOKUP('Dashboard And Emails Automate'!$G1045,Database!$H:$N,7,0)),"")</f>
        <v/>
      </c>
      <c r="N1045" s="55" t="str">
        <f>IFERROR(IF(OR($B1045="",$B1045="(blank)"),"",VLOOKUP($B1045,'Email Marketing Raw Data'!$C:$O,6,0)),"")</f>
        <v/>
      </c>
      <c r="O1045" s="55" t="str">
        <f>IFERROR(IF(OR($B1045="",$B1045="(blank)"),"",VLOOKUP($B1045,'Email Marketing Raw Data'!$C:$O,7,0)),"")</f>
        <v/>
      </c>
      <c r="P1045" s="55" t="str">
        <f>IFERROR(IF(OR($B1045="",$B1045="(blank)"),"",VLOOKUP($B1045,'Email Marketing Raw Data'!$C:$O,8,0)),"")</f>
        <v/>
      </c>
      <c r="Q1045" s="62" t="str">
        <f>IFERROR(IF(OR($B1045="",$B1045="(blank)"),"",VLOOKUP($B1045,'Email Marketing Raw Data'!$C:$O,9,0)),"")</f>
        <v/>
      </c>
    </row>
    <row r="1046" spans="4:17" ht="12.75" customHeight="1" x14ac:dyDescent="0.2">
      <c r="D1046" s="58" t="str">
        <f>IFERROR(IF(F1046&lt;&gt;"pending","",IF(OR($B1046="",$B1046="(blank)"),"",VLOOKUP($B1046,'Email Marketing Raw Data'!$C:$O,10,0))),"")</f>
        <v/>
      </c>
      <c r="E1046" s="59" t="str">
        <f>IFERROR(IF(F1046&lt;&gt;"pending","",IF(OR($B1046="",$B1046="(blank)"),"",VLOOKUP($B1046,'Email Marketing Raw Data'!$C:$O,11,0))),"")</f>
        <v/>
      </c>
      <c r="F1046" s="54" t="str">
        <f>IFERROR(IF(OR($B1046="",$B1046="(blank)"),"",VLOOKUP($B1046,'Email Marketing Raw Data'!$C:$O,13,0)),"")</f>
        <v/>
      </c>
      <c r="G1046" s="55" t="str">
        <f>IFERROR(IF(OR($B1046="",$B1046="(blank)"),"",VLOOKUP($B1046,'Email Marketing Raw Data'!$C:$O,4,0)),"")</f>
        <v/>
      </c>
      <c r="H1046" s="55" t="str">
        <f>IFERROR(IF(OR($B1046="",$B1046="(blank)"),"",VLOOKUP($B1046,'Email Marketing Raw Data'!$C:$O,5,0)),"")</f>
        <v/>
      </c>
      <c r="I1046" s="55" t="str">
        <f>IFERROR(IF($G1046="","",VLOOKUP('Dashboard And Emails Automate'!$G1046,Database!$H:$N,3,0)),"")</f>
        <v/>
      </c>
      <c r="J1046" s="55" t="str">
        <f>IFERROR(IF($G1046="","",VLOOKUP('Dashboard And Emails Automate'!$G1046,Database!$H:$N,4,0)),"")</f>
        <v/>
      </c>
      <c r="K1046" s="55" t="str">
        <f>IFERROR(IF($G1046="","",VLOOKUP('Dashboard And Emails Automate'!$G1046,Database!$H:$N,5,0)),"")</f>
        <v/>
      </c>
      <c r="L1046" s="55" t="str">
        <f>IFERROR(IF($G1046="","",VLOOKUP('Dashboard And Emails Automate'!$G1046,Database!$H:$N,6,0)),"")</f>
        <v/>
      </c>
      <c r="M1046" s="55" t="str">
        <f>IFERROR(IF($G1046="","",VLOOKUP('Dashboard And Emails Automate'!$G1046,Database!$H:$N,7,0)),"")</f>
        <v/>
      </c>
      <c r="N1046" s="55" t="str">
        <f>IFERROR(IF(OR($B1046="",$B1046="(blank)"),"",VLOOKUP($B1046,'Email Marketing Raw Data'!$C:$O,6,0)),"")</f>
        <v/>
      </c>
      <c r="O1046" s="55" t="str">
        <f>IFERROR(IF(OR($B1046="",$B1046="(blank)"),"",VLOOKUP($B1046,'Email Marketing Raw Data'!$C:$O,7,0)),"")</f>
        <v/>
      </c>
      <c r="P1046" s="55" t="str">
        <f>IFERROR(IF(OR($B1046="",$B1046="(blank)"),"",VLOOKUP($B1046,'Email Marketing Raw Data'!$C:$O,8,0)),"")</f>
        <v/>
      </c>
      <c r="Q1046" s="62" t="str">
        <f>IFERROR(IF(OR($B1046="",$B1046="(blank)"),"",VLOOKUP($B1046,'Email Marketing Raw Data'!$C:$O,9,0)),"")</f>
        <v/>
      </c>
    </row>
    <row r="1047" spans="4:17" ht="12.75" customHeight="1" x14ac:dyDescent="0.2">
      <c r="D1047" s="58" t="str">
        <f>IFERROR(IF(F1047&lt;&gt;"pending","",IF(OR($B1047="",$B1047="(blank)"),"",VLOOKUP($B1047,'Email Marketing Raw Data'!$C:$O,10,0))),"")</f>
        <v/>
      </c>
      <c r="E1047" s="59" t="str">
        <f>IFERROR(IF(F1047&lt;&gt;"pending","",IF(OR($B1047="",$B1047="(blank)"),"",VLOOKUP($B1047,'Email Marketing Raw Data'!$C:$O,11,0))),"")</f>
        <v/>
      </c>
      <c r="F1047" s="54" t="str">
        <f>IFERROR(IF(OR($B1047="",$B1047="(blank)"),"",VLOOKUP($B1047,'Email Marketing Raw Data'!$C:$O,13,0)),"")</f>
        <v/>
      </c>
      <c r="G1047" s="55" t="str">
        <f>IFERROR(IF(OR($B1047="",$B1047="(blank)"),"",VLOOKUP($B1047,'Email Marketing Raw Data'!$C:$O,4,0)),"")</f>
        <v/>
      </c>
      <c r="H1047" s="55" t="str">
        <f>IFERROR(IF(OR($B1047="",$B1047="(blank)"),"",VLOOKUP($B1047,'Email Marketing Raw Data'!$C:$O,5,0)),"")</f>
        <v/>
      </c>
      <c r="I1047" s="55" t="str">
        <f>IFERROR(IF($G1047="","",VLOOKUP('Dashboard And Emails Automate'!$G1047,Database!$H:$N,3,0)),"")</f>
        <v/>
      </c>
      <c r="J1047" s="55" t="str">
        <f>IFERROR(IF($G1047="","",VLOOKUP('Dashboard And Emails Automate'!$G1047,Database!$H:$N,4,0)),"")</f>
        <v/>
      </c>
      <c r="K1047" s="55" t="str">
        <f>IFERROR(IF($G1047="","",VLOOKUP('Dashboard And Emails Automate'!$G1047,Database!$H:$N,5,0)),"")</f>
        <v/>
      </c>
      <c r="L1047" s="55" t="str">
        <f>IFERROR(IF($G1047="","",VLOOKUP('Dashboard And Emails Automate'!$G1047,Database!$H:$N,6,0)),"")</f>
        <v/>
      </c>
      <c r="M1047" s="55" t="str">
        <f>IFERROR(IF($G1047="","",VLOOKUP('Dashboard And Emails Automate'!$G1047,Database!$H:$N,7,0)),"")</f>
        <v/>
      </c>
      <c r="N1047" s="55" t="str">
        <f>IFERROR(IF(OR($B1047="",$B1047="(blank)"),"",VLOOKUP($B1047,'Email Marketing Raw Data'!$C:$O,6,0)),"")</f>
        <v/>
      </c>
      <c r="O1047" s="55" t="str">
        <f>IFERROR(IF(OR($B1047="",$B1047="(blank)"),"",VLOOKUP($B1047,'Email Marketing Raw Data'!$C:$O,7,0)),"")</f>
        <v/>
      </c>
      <c r="P1047" s="55" t="str">
        <f>IFERROR(IF(OR($B1047="",$B1047="(blank)"),"",VLOOKUP($B1047,'Email Marketing Raw Data'!$C:$O,8,0)),"")</f>
        <v/>
      </c>
      <c r="Q1047" s="62" t="str">
        <f>IFERROR(IF(OR($B1047="",$B1047="(blank)"),"",VLOOKUP($B1047,'Email Marketing Raw Data'!$C:$O,9,0)),"")</f>
        <v/>
      </c>
    </row>
    <row r="1048" spans="4:17" ht="12.75" customHeight="1" x14ac:dyDescent="0.2">
      <c r="D1048" s="58" t="str">
        <f>IFERROR(IF(F1048&lt;&gt;"pending","",IF(OR($B1048="",$B1048="(blank)"),"",VLOOKUP($B1048,'Email Marketing Raw Data'!$C:$O,10,0))),"")</f>
        <v/>
      </c>
      <c r="E1048" s="59" t="str">
        <f>IFERROR(IF(F1048&lt;&gt;"pending","",IF(OR($B1048="",$B1048="(blank)"),"",VLOOKUP($B1048,'Email Marketing Raw Data'!$C:$O,11,0))),"")</f>
        <v/>
      </c>
      <c r="F1048" s="54" t="str">
        <f>IFERROR(IF(OR($B1048="",$B1048="(blank)"),"",VLOOKUP($B1048,'Email Marketing Raw Data'!$C:$O,13,0)),"")</f>
        <v/>
      </c>
      <c r="G1048" s="55" t="str">
        <f>IFERROR(IF(OR($B1048="",$B1048="(blank)"),"",VLOOKUP($B1048,'Email Marketing Raw Data'!$C:$O,4,0)),"")</f>
        <v/>
      </c>
      <c r="H1048" s="55" t="str">
        <f>IFERROR(IF(OR($B1048="",$B1048="(blank)"),"",VLOOKUP($B1048,'Email Marketing Raw Data'!$C:$O,5,0)),"")</f>
        <v/>
      </c>
      <c r="I1048" s="55" t="str">
        <f>IFERROR(IF($G1048="","",VLOOKUP('Dashboard And Emails Automate'!$G1048,Database!$H:$N,3,0)),"")</f>
        <v/>
      </c>
      <c r="J1048" s="55" t="str">
        <f>IFERROR(IF($G1048="","",VLOOKUP('Dashboard And Emails Automate'!$G1048,Database!$H:$N,4,0)),"")</f>
        <v/>
      </c>
      <c r="K1048" s="55" t="str">
        <f>IFERROR(IF($G1048="","",VLOOKUP('Dashboard And Emails Automate'!$G1048,Database!$H:$N,5,0)),"")</f>
        <v/>
      </c>
      <c r="L1048" s="55" t="str">
        <f>IFERROR(IF($G1048="","",VLOOKUP('Dashboard And Emails Automate'!$G1048,Database!$H:$N,6,0)),"")</f>
        <v/>
      </c>
      <c r="M1048" s="55" t="str">
        <f>IFERROR(IF($G1048="","",VLOOKUP('Dashboard And Emails Automate'!$G1048,Database!$H:$N,7,0)),"")</f>
        <v/>
      </c>
      <c r="N1048" s="55" t="str">
        <f>IFERROR(IF(OR($B1048="",$B1048="(blank)"),"",VLOOKUP($B1048,'Email Marketing Raw Data'!$C:$O,6,0)),"")</f>
        <v/>
      </c>
      <c r="O1048" s="55" t="str">
        <f>IFERROR(IF(OR($B1048="",$B1048="(blank)"),"",VLOOKUP($B1048,'Email Marketing Raw Data'!$C:$O,7,0)),"")</f>
        <v/>
      </c>
      <c r="P1048" s="55" t="str">
        <f>IFERROR(IF(OR($B1048="",$B1048="(blank)"),"",VLOOKUP($B1048,'Email Marketing Raw Data'!$C:$O,8,0)),"")</f>
        <v/>
      </c>
      <c r="Q1048" s="62" t="str">
        <f>IFERROR(IF(OR($B1048="",$B1048="(blank)"),"",VLOOKUP($B1048,'Email Marketing Raw Data'!$C:$O,9,0)),"")</f>
        <v/>
      </c>
    </row>
    <row r="1049" spans="4:17" ht="12.75" customHeight="1" x14ac:dyDescent="0.2">
      <c r="D1049" s="58" t="str">
        <f>IFERROR(IF(F1049&lt;&gt;"pending","",IF(OR($B1049="",$B1049="(blank)"),"",VLOOKUP($B1049,'Email Marketing Raw Data'!$C:$O,10,0))),"")</f>
        <v/>
      </c>
      <c r="E1049" s="59" t="str">
        <f>IFERROR(IF(F1049&lt;&gt;"pending","",IF(OR($B1049="",$B1049="(blank)"),"",VLOOKUP($B1049,'Email Marketing Raw Data'!$C:$O,11,0))),"")</f>
        <v/>
      </c>
      <c r="F1049" s="54" t="str">
        <f>IFERROR(IF(OR($B1049="",$B1049="(blank)"),"",VLOOKUP($B1049,'Email Marketing Raw Data'!$C:$O,13,0)),"")</f>
        <v/>
      </c>
      <c r="G1049" s="55" t="str">
        <f>IFERROR(IF(OR($B1049="",$B1049="(blank)"),"",VLOOKUP($B1049,'Email Marketing Raw Data'!$C:$O,4,0)),"")</f>
        <v/>
      </c>
      <c r="H1049" s="55" t="str">
        <f>IFERROR(IF(OR($B1049="",$B1049="(blank)"),"",VLOOKUP($B1049,'Email Marketing Raw Data'!$C:$O,5,0)),"")</f>
        <v/>
      </c>
      <c r="I1049" s="55" t="str">
        <f>IFERROR(IF($G1049="","",VLOOKUP('Dashboard And Emails Automate'!$G1049,Database!$H:$N,3,0)),"")</f>
        <v/>
      </c>
      <c r="J1049" s="55" t="str">
        <f>IFERROR(IF($G1049="","",VLOOKUP('Dashboard And Emails Automate'!$G1049,Database!$H:$N,4,0)),"")</f>
        <v/>
      </c>
      <c r="K1049" s="55" t="str">
        <f>IFERROR(IF($G1049="","",VLOOKUP('Dashboard And Emails Automate'!$G1049,Database!$H:$N,5,0)),"")</f>
        <v/>
      </c>
      <c r="L1049" s="55" t="str">
        <f>IFERROR(IF($G1049="","",VLOOKUP('Dashboard And Emails Automate'!$G1049,Database!$H:$N,6,0)),"")</f>
        <v/>
      </c>
      <c r="M1049" s="55" t="str">
        <f>IFERROR(IF($G1049="","",VLOOKUP('Dashboard And Emails Automate'!$G1049,Database!$H:$N,7,0)),"")</f>
        <v/>
      </c>
      <c r="N1049" s="55" t="str">
        <f>IFERROR(IF(OR($B1049="",$B1049="(blank)"),"",VLOOKUP($B1049,'Email Marketing Raw Data'!$C:$O,6,0)),"")</f>
        <v/>
      </c>
      <c r="O1049" s="55" t="str">
        <f>IFERROR(IF(OR($B1049="",$B1049="(blank)"),"",VLOOKUP($B1049,'Email Marketing Raw Data'!$C:$O,7,0)),"")</f>
        <v/>
      </c>
      <c r="P1049" s="55" t="str">
        <f>IFERROR(IF(OR($B1049="",$B1049="(blank)"),"",VLOOKUP($B1049,'Email Marketing Raw Data'!$C:$O,8,0)),"")</f>
        <v/>
      </c>
      <c r="Q1049" s="62" t="str">
        <f>IFERROR(IF(OR($B1049="",$B1049="(blank)"),"",VLOOKUP($B1049,'Email Marketing Raw Data'!$C:$O,9,0)),"")</f>
        <v/>
      </c>
    </row>
    <row r="1050" spans="4:17" ht="12.75" customHeight="1" x14ac:dyDescent="0.2">
      <c r="D1050" s="58" t="str">
        <f>IFERROR(IF(F1050&lt;&gt;"pending","",IF(OR($B1050="",$B1050="(blank)"),"",VLOOKUP($B1050,'Email Marketing Raw Data'!$C:$O,10,0))),"")</f>
        <v/>
      </c>
      <c r="E1050" s="59" t="str">
        <f>IFERROR(IF(F1050&lt;&gt;"pending","",IF(OR($B1050="",$B1050="(blank)"),"",VLOOKUP($B1050,'Email Marketing Raw Data'!$C:$O,11,0))),"")</f>
        <v/>
      </c>
      <c r="F1050" s="54" t="str">
        <f>IFERROR(IF(OR($B1050="",$B1050="(blank)"),"",VLOOKUP($B1050,'Email Marketing Raw Data'!$C:$O,13,0)),"")</f>
        <v/>
      </c>
      <c r="G1050" s="55" t="str">
        <f>IFERROR(IF(OR($B1050="",$B1050="(blank)"),"",VLOOKUP($B1050,'Email Marketing Raw Data'!$C:$O,4,0)),"")</f>
        <v/>
      </c>
      <c r="H1050" s="55" t="str">
        <f>IFERROR(IF(OR($B1050="",$B1050="(blank)"),"",VLOOKUP($B1050,'Email Marketing Raw Data'!$C:$O,5,0)),"")</f>
        <v/>
      </c>
      <c r="I1050" s="55" t="str">
        <f>IFERROR(IF($G1050="","",VLOOKUP('Dashboard And Emails Automate'!$G1050,Database!$H:$N,3,0)),"")</f>
        <v/>
      </c>
      <c r="J1050" s="55" t="str">
        <f>IFERROR(IF($G1050="","",VLOOKUP('Dashboard And Emails Automate'!$G1050,Database!$H:$N,4,0)),"")</f>
        <v/>
      </c>
      <c r="K1050" s="55" t="str">
        <f>IFERROR(IF($G1050="","",VLOOKUP('Dashboard And Emails Automate'!$G1050,Database!$H:$N,5,0)),"")</f>
        <v/>
      </c>
      <c r="L1050" s="55" t="str">
        <f>IFERROR(IF($G1050="","",VLOOKUP('Dashboard And Emails Automate'!$G1050,Database!$H:$N,6,0)),"")</f>
        <v/>
      </c>
      <c r="M1050" s="55" t="str">
        <f>IFERROR(IF($G1050="","",VLOOKUP('Dashboard And Emails Automate'!$G1050,Database!$H:$N,7,0)),"")</f>
        <v/>
      </c>
      <c r="N1050" s="55" t="str">
        <f>IFERROR(IF(OR($B1050="",$B1050="(blank)"),"",VLOOKUP($B1050,'Email Marketing Raw Data'!$C:$O,6,0)),"")</f>
        <v/>
      </c>
      <c r="O1050" s="55" t="str">
        <f>IFERROR(IF(OR($B1050="",$B1050="(blank)"),"",VLOOKUP($B1050,'Email Marketing Raw Data'!$C:$O,7,0)),"")</f>
        <v/>
      </c>
      <c r="P1050" s="55" t="str">
        <f>IFERROR(IF(OR($B1050="",$B1050="(blank)"),"",VLOOKUP($B1050,'Email Marketing Raw Data'!$C:$O,8,0)),"")</f>
        <v/>
      </c>
      <c r="Q1050" s="62" t="str">
        <f>IFERROR(IF(OR($B1050="",$B1050="(blank)"),"",VLOOKUP($B1050,'Email Marketing Raw Data'!$C:$O,9,0)),"")</f>
        <v/>
      </c>
    </row>
    <row r="1051" spans="4:17" ht="12.75" customHeight="1" x14ac:dyDescent="0.2">
      <c r="D1051" s="58" t="str">
        <f>IFERROR(IF(F1051&lt;&gt;"pending","",IF(OR($B1051="",$B1051="(blank)"),"",VLOOKUP($B1051,'Email Marketing Raw Data'!$C:$O,10,0))),"")</f>
        <v/>
      </c>
      <c r="E1051" s="59" t="str">
        <f>IFERROR(IF(F1051&lt;&gt;"pending","",IF(OR($B1051="",$B1051="(blank)"),"",VLOOKUP($B1051,'Email Marketing Raw Data'!$C:$O,11,0))),"")</f>
        <v/>
      </c>
      <c r="F1051" s="54" t="str">
        <f>IFERROR(IF(OR($B1051="",$B1051="(blank)"),"",VLOOKUP($B1051,'Email Marketing Raw Data'!$C:$O,13,0)),"")</f>
        <v/>
      </c>
      <c r="G1051" s="55" t="str">
        <f>IFERROR(IF(OR($B1051="",$B1051="(blank)"),"",VLOOKUP($B1051,'Email Marketing Raw Data'!$C:$O,4,0)),"")</f>
        <v/>
      </c>
      <c r="H1051" s="55" t="str">
        <f>IFERROR(IF(OR($B1051="",$B1051="(blank)"),"",VLOOKUP($B1051,'Email Marketing Raw Data'!$C:$O,5,0)),"")</f>
        <v/>
      </c>
      <c r="I1051" s="55" t="str">
        <f>IFERROR(IF($G1051="","",VLOOKUP('Dashboard And Emails Automate'!$G1051,Database!$H:$N,3,0)),"")</f>
        <v/>
      </c>
      <c r="J1051" s="55" t="str">
        <f>IFERROR(IF($G1051="","",VLOOKUP('Dashboard And Emails Automate'!$G1051,Database!$H:$N,4,0)),"")</f>
        <v/>
      </c>
      <c r="K1051" s="55" t="str">
        <f>IFERROR(IF($G1051="","",VLOOKUP('Dashboard And Emails Automate'!$G1051,Database!$H:$N,5,0)),"")</f>
        <v/>
      </c>
      <c r="L1051" s="55" t="str">
        <f>IFERROR(IF($G1051="","",VLOOKUP('Dashboard And Emails Automate'!$G1051,Database!$H:$N,6,0)),"")</f>
        <v/>
      </c>
      <c r="M1051" s="55" t="str">
        <f>IFERROR(IF($G1051="","",VLOOKUP('Dashboard And Emails Automate'!$G1051,Database!$H:$N,7,0)),"")</f>
        <v/>
      </c>
      <c r="N1051" s="55" t="str">
        <f>IFERROR(IF(OR($B1051="",$B1051="(blank)"),"",VLOOKUP($B1051,'Email Marketing Raw Data'!$C:$O,6,0)),"")</f>
        <v/>
      </c>
      <c r="O1051" s="55" t="str">
        <f>IFERROR(IF(OR($B1051="",$B1051="(blank)"),"",VLOOKUP($B1051,'Email Marketing Raw Data'!$C:$O,7,0)),"")</f>
        <v/>
      </c>
      <c r="P1051" s="55" t="str">
        <f>IFERROR(IF(OR($B1051="",$B1051="(blank)"),"",VLOOKUP($B1051,'Email Marketing Raw Data'!$C:$O,8,0)),"")</f>
        <v/>
      </c>
      <c r="Q1051" s="62" t="str">
        <f>IFERROR(IF(OR($B1051="",$B1051="(blank)"),"",VLOOKUP($B1051,'Email Marketing Raw Data'!$C:$O,9,0)),"")</f>
        <v/>
      </c>
    </row>
    <row r="1052" spans="4:17" ht="12.75" customHeight="1" x14ac:dyDescent="0.2">
      <c r="D1052" s="58" t="str">
        <f>IFERROR(IF(F1052&lt;&gt;"pending","",IF(OR($B1052="",$B1052="(blank)"),"",VLOOKUP($B1052,'Email Marketing Raw Data'!$C:$O,10,0))),"")</f>
        <v/>
      </c>
      <c r="E1052" s="59" t="str">
        <f>IFERROR(IF(F1052&lt;&gt;"pending","",IF(OR($B1052="",$B1052="(blank)"),"",VLOOKUP($B1052,'Email Marketing Raw Data'!$C:$O,11,0))),"")</f>
        <v/>
      </c>
      <c r="F1052" s="54" t="str">
        <f>IFERROR(IF(OR($B1052="",$B1052="(blank)"),"",VLOOKUP($B1052,'Email Marketing Raw Data'!$C:$O,13,0)),"")</f>
        <v/>
      </c>
      <c r="G1052" s="55" t="str">
        <f>IFERROR(IF(OR($B1052="",$B1052="(blank)"),"",VLOOKUP($B1052,'Email Marketing Raw Data'!$C:$O,4,0)),"")</f>
        <v/>
      </c>
      <c r="H1052" s="55" t="str">
        <f>IFERROR(IF(OR($B1052="",$B1052="(blank)"),"",VLOOKUP($B1052,'Email Marketing Raw Data'!$C:$O,5,0)),"")</f>
        <v/>
      </c>
      <c r="I1052" s="55" t="str">
        <f>IFERROR(IF($G1052="","",VLOOKUP('Dashboard And Emails Automate'!$G1052,Database!$H:$N,3,0)),"")</f>
        <v/>
      </c>
      <c r="J1052" s="55" t="str">
        <f>IFERROR(IF($G1052="","",VLOOKUP('Dashboard And Emails Automate'!$G1052,Database!$H:$N,4,0)),"")</f>
        <v/>
      </c>
      <c r="K1052" s="55" t="str">
        <f>IFERROR(IF($G1052="","",VLOOKUP('Dashboard And Emails Automate'!$G1052,Database!$H:$N,5,0)),"")</f>
        <v/>
      </c>
      <c r="L1052" s="55" t="str">
        <f>IFERROR(IF($G1052="","",VLOOKUP('Dashboard And Emails Automate'!$G1052,Database!$H:$N,6,0)),"")</f>
        <v/>
      </c>
      <c r="M1052" s="55" t="str">
        <f>IFERROR(IF($G1052="","",VLOOKUP('Dashboard And Emails Automate'!$G1052,Database!$H:$N,7,0)),"")</f>
        <v/>
      </c>
      <c r="N1052" s="55" t="str">
        <f>IFERROR(IF(OR($B1052="",$B1052="(blank)"),"",VLOOKUP($B1052,'Email Marketing Raw Data'!$C:$O,6,0)),"")</f>
        <v/>
      </c>
      <c r="O1052" s="55" t="str">
        <f>IFERROR(IF(OR($B1052="",$B1052="(blank)"),"",VLOOKUP($B1052,'Email Marketing Raw Data'!$C:$O,7,0)),"")</f>
        <v/>
      </c>
      <c r="P1052" s="55" t="str">
        <f>IFERROR(IF(OR($B1052="",$B1052="(blank)"),"",VLOOKUP($B1052,'Email Marketing Raw Data'!$C:$O,8,0)),"")</f>
        <v/>
      </c>
      <c r="Q1052" s="62" t="str">
        <f>IFERROR(IF(OR($B1052="",$B1052="(blank)"),"",VLOOKUP($B1052,'Email Marketing Raw Data'!$C:$O,9,0)),"")</f>
        <v/>
      </c>
    </row>
    <row r="1053" spans="4:17" ht="12.75" customHeight="1" x14ac:dyDescent="0.2">
      <c r="D1053" s="58" t="str">
        <f>IFERROR(IF(F1053&lt;&gt;"pending","",IF(OR($B1053="",$B1053="(blank)"),"",VLOOKUP($B1053,'Email Marketing Raw Data'!$C:$O,10,0))),"")</f>
        <v/>
      </c>
      <c r="E1053" s="59" t="str">
        <f>IFERROR(IF(F1053&lt;&gt;"pending","",IF(OR($B1053="",$B1053="(blank)"),"",VLOOKUP($B1053,'Email Marketing Raw Data'!$C:$O,11,0))),"")</f>
        <v/>
      </c>
      <c r="F1053" s="54" t="str">
        <f>IFERROR(IF(OR($B1053="",$B1053="(blank)"),"",VLOOKUP($B1053,'Email Marketing Raw Data'!$C:$O,13,0)),"")</f>
        <v/>
      </c>
      <c r="G1053" s="55" t="str">
        <f>IFERROR(IF(OR($B1053="",$B1053="(blank)"),"",VLOOKUP($B1053,'Email Marketing Raw Data'!$C:$O,4,0)),"")</f>
        <v/>
      </c>
      <c r="H1053" s="55" t="str">
        <f>IFERROR(IF(OR($B1053="",$B1053="(blank)"),"",VLOOKUP($B1053,'Email Marketing Raw Data'!$C:$O,5,0)),"")</f>
        <v/>
      </c>
      <c r="I1053" s="55" t="str">
        <f>IFERROR(IF($G1053="","",VLOOKUP('Dashboard And Emails Automate'!$G1053,Database!$H:$N,3,0)),"")</f>
        <v/>
      </c>
      <c r="J1053" s="55" t="str">
        <f>IFERROR(IF($G1053="","",VLOOKUP('Dashboard And Emails Automate'!$G1053,Database!$H:$N,4,0)),"")</f>
        <v/>
      </c>
      <c r="K1053" s="55" t="str">
        <f>IFERROR(IF($G1053="","",VLOOKUP('Dashboard And Emails Automate'!$G1053,Database!$H:$N,5,0)),"")</f>
        <v/>
      </c>
      <c r="L1053" s="55" t="str">
        <f>IFERROR(IF($G1053="","",VLOOKUP('Dashboard And Emails Automate'!$G1053,Database!$H:$N,6,0)),"")</f>
        <v/>
      </c>
      <c r="M1053" s="55" t="str">
        <f>IFERROR(IF($G1053="","",VLOOKUP('Dashboard And Emails Automate'!$G1053,Database!$H:$N,7,0)),"")</f>
        <v/>
      </c>
      <c r="N1053" s="55" t="str">
        <f>IFERROR(IF(OR($B1053="",$B1053="(blank)"),"",VLOOKUP($B1053,'Email Marketing Raw Data'!$C:$O,6,0)),"")</f>
        <v/>
      </c>
      <c r="O1053" s="55" t="str">
        <f>IFERROR(IF(OR($B1053="",$B1053="(blank)"),"",VLOOKUP($B1053,'Email Marketing Raw Data'!$C:$O,7,0)),"")</f>
        <v/>
      </c>
      <c r="P1053" s="55" t="str">
        <f>IFERROR(IF(OR($B1053="",$B1053="(blank)"),"",VLOOKUP($B1053,'Email Marketing Raw Data'!$C:$O,8,0)),"")</f>
        <v/>
      </c>
      <c r="Q1053" s="62" t="str">
        <f>IFERROR(IF(OR($B1053="",$B1053="(blank)"),"",VLOOKUP($B1053,'Email Marketing Raw Data'!$C:$O,9,0)),"")</f>
        <v/>
      </c>
    </row>
    <row r="1054" spans="4:17" ht="12.75" customHeight="1" x14ac:dyDescent="0.2">
      <c r="D1054" s="58" t="str">
        <f>IFERROR(IF(F1054&lt;&gt;"pending","",IF(OR($B1054="",$B1054="(blank)"),"",VLOOKUP($B1054,'Email Marketing Raw Data'!$C:$O,10,0))),"")</f>
        <v/>
      </c>
      <c r="E1054" s="59" t="str">
        <f>IFERROR(IF(F1054&lt;&gt;"pending","",IF(OR($B1054="",$B1054="(blank)"),"",VLOOKUP($B1054,'Email Marketing Raw Data'!$C:$O,11,0))),"")</f>
        <v/>
      </c>
      <c r="F1054" s="54" t="str">
        <f>IFERROR(IF(OR($B1054="",$B1054="(blank)"),"",VLOOKUP($B1054,'Email Marketing Raw Data'!$C:$O,13,0)),"")</f>
        <v/>
      </c>
      <c r="G1054" s="55" t="str">
        <f>IFERROR(IF(OR($B1054="",$B1054="(blank)"),"",VLOOKUP($B1054,'Email Marketing Raw Data'!$C:$O,4,0)),"")</f>
        <v/>
      </c>
      <c r="H1054" s="55" t="str">
        <f>IFERROR(IF(OR($B1054="",$B1054="(blank)"),"",VLOOKUP($B1054,'Email Marketing Raw Data'!$C:$O,5,0)),"")</f>
        <v/>
      </c>
      <c r="I1054" s="55" t="str">
        <f>IFERROR(IF($G1054="","",VLOOKUP('Dashboard And Emails Automate'!$G1054,Database!$H:$N,3,0)),"")</f>
        <v/>
      </c>
      <c r="J1054" s="55" t="str">
        <f>IFERROR(IF($G1054="","",VLOOKUP('Dashboard And Emails Automate'!$G1054,Database!$H:$N,4,0)),"")</f>
        <v/>
      </c>
      <c r="K1054" s="55" t="str">
        <f>IFERROR(IF($G1054="","",VLOOKUP('Dashboard And Emails Automate'!$G1054,Database!$H:$N,5,0)),"")</f>
        <v/>
      </c>
      <c r="L1054" s="55" t="str">
        <f>IFERROR(IF($G1054="","",VLOOKUP('Dashboard And Emails Automate'!$G1054,Database!$H:$N,6,0)),"")</f>
        <v/>
      </c>
      <c r="M1054" s="55" t="str">
        <f>IFERROR(IF($G1054="","",VLOOKUP('Dashboard And Emails Automate'!$G1054,Database!$H:$N,7,0)),"")</f>
        <v/>
      </c>
      <c r="N1054" s="55" t="str">
        <f>IFERROR(IF(OR($B1054="",$B1054="(blank)"),"",VLOOKUP($B1054,'Email Marketing Raw Data'!$C:$O,6,0)),"")</f>
        <v/>
      </c>
      <c r="O1054" s="55" t="str">
        <f>IFERROR(IF(OR($B1054="",$B1054="(blank)"),"",VLOOKUP($B1054,'Email Marketing Raw Data'!$C:$O,7,0)),"")</f>
        <v/>
      </c>
      <c r="P1054" s="55" t="str">
        <f>IFERROR(IF(OR($B1054="",$B1054="(blank)"),"",VLOOKUP($B1054,'Email Marketing Raw Data'!$C:$O,8,0)),"")</f>
        <v/>
      </c>
      <c r="Q1054" s="62" t="str">
        <f>IFERROR(IF(OR($B1054="",$B1054="(blank)"),"",VLOOKUP($B1054,'Email Marketing Raw Data'!$C:$O,9,0)),"")</f>
        <v/>
      </c>
    </row>
    <row r="1055" spans="4:17" ht="12.75" customHeight="1" x14ac:dyDescent="0.2">
      <c r="D1055" s="58" t="str">
        <f>IFERROR(IF(F1055&lt;&gt;"pending","",IF(OR($B1055="",$B1055="(blank)"),"",VLOOKUP($B1055,'Email Marketing Raw Data'!$C:$O,10,0))),"")</f>
        <v/>
      </c>
      <c r="E1055" s="59" t="str">
        <f>IFERROR(IF(F1055&lt;&gt;"pending","",IF(OR($B1055="",$B1055="(blank)"),"",VLOOKUP($B1055,'Email Marketing Raw Data'!$C:$O,11,0))),"")</f>
        <v/>
      </c>
      <c r="F1055" s="54" t="str">
        <f>IFERROR(IF(OR($B1055="",$B1055="(blank)"),"",VLOOKUP($B1055,'Email Marketing Raw Data'!$C:$O,13,0)),"")</f>
        <v/>
      </c>
      <c r="G1055" s="55" t="str">
        <f>IFERROR(IF(OR($B1055="",$B1055="(blank)"),"",VLOOKUP($B1055,'Email Marketing Raw Data'!$C:$O,4,0)),"")</f>
        <v/>
      </c>
      <c r="H1055" s="55" t="str">
        <f>IFERROR(IF(OR($B1055="",$B1055="(blank)"),"",VLOOKUP($B1055,'Email Marketing Raw Data'!$C:$O,5,0)),"")</f>
        <v/>
      </c>
      <c r="I1055" s="55" t="str">
        <f>IFERROR(IF($G1055="","",VLOOKUP('Dashboard And Emails Automate'!$G1055,Database!$H:$N,3,0)),"")</f>
        <v/>
      </c>
      <c r="J1055" s="55" t="str">
        <f>IFERROR(IF($G1055="","",VLOOKUP('Dashboard And Emails Automate'!$G1055,Database!$H:$N,4,0)),"")</f>
        <v/>
      </c>
      <c r="K1055" s="55" t="str">
        <f>IFERROR(IF($G1055="","",VLOOKUP('Dashboard And Emails Automate'!$G1055,Database!$H:$N,5,0)),"")</f>
        <v/>
      </c>
      <c r="L1055" s="55" t="str">
        <f>IFERROR(IF($G1055="","",VLOOKUP('Dashboard And Emails Automate'!$G1055,Database!$H:$N,6,0)),"")</f>
        <v/>
      </c>
      <c r="M1055" s="55" t="str">
        <f>IFERROR(IF($G1055="","",VLOOKUP('Dashboard And Emails Automate'!$G1055,Database!$H:$N,7,0)),"")</f>
        <v/>
      </c>
      <c r="N1055" s="55" t="str">
        <f>IFERROR(IF(OR($B1055="",$B1055="(blank)"),"",VLOOKUP($B1055,'Email Marketing Raw Data'!$C:$O,6,0)),"")</f>
        <v/>
      </c>
      <c r="O1055" s="55" t="str">
        <f>IFERROR(IF(OR($B1055="",$B1055="(blank)"),"",VLOOKUP($B1055,'Email Marketing Raw Data'!$C:$O,7,0)),"")</f>
        <v/>
      </c>
      <c r="P1055" s="55" t="str">
        <f>IFERROR(IF(OR($B1055="",$B1055="(blank)"),"",VLOOKUP($B1055,'Email Marketing Raw Data'!$C:$O,8,0)),"")</f>
        <v/>
      </c>
      <c r="Q1055" s="62" t="str">
        <f>IFERROR(IF(OR($B1055="",$B1055="(blank)"),"",VLOOKUP($B1055,'Email Marketing Raw Data'!$C:$O,9,0)),"")</f>
        <v/>
      </c>
    </row>
    <row r="1056" spans="4:17" ht="12.75" customHeight="1" x14ac:dyDescent="0.2">
      <c r="D1056" s="58" t="str">
        <f>IFERROR(IF(F1056&lt;&gt;"pending","",IF(OR($B1056="",$B1056="(blank)"),"",VLOOKUP($B1056,'Email Marketing Raw Data'!$C:$O,10,0))),"")</f>
        <v/>
      </c>
      <c r="E1056" s="59" t="str">
        <f>IFERROR(IF(F1056&lt;&gt;"pending","",IF(OR($B1056="",$B1056="(blank)"),"",VLOOKUP($B1056,'Email Marketing Raw Data'!$C:$O,11,0))),"")</f>
        <v/>
      </c>
      <c r="F1056" s="54" t="str">
        <f>IFERROR(IF(OR($B1056="",$B1056="(blank)"),"",VLOOKUP($B1056,'Email Marketing Raw Data'!$C:$O,13,0)),"")</f>
        <v/>
      </c>
      <c r="G1056" s="55" t="str">
        <f>IFERROR(IF(OR($B1056="",$B1056="(blank)"),"",VLOOKUP($B1056,'Email Marketing Raw Data'!$C:$O,4,0)),"")</f>
        <v/>
      </c>
      <c r="H1056" s="55" t="str">
        <f>IFERROR(IF(OR($B1056="",$B1056="(blank)"),"",VLOOKUP($B1056,'Email Marketing Raw Data'!$C:$O,5,0)),"")</f>
        <v/>
      </c>
      <c r="I1056" s="55" t="str">
        <f>IFERROR(IF($G1056="","",VLOOKUP('Dashboard And Emails Automate'!$G1056,Database!$H:$N,3,0)),"")</f>
        <v/>
      </c>
      <c r="J1056" s="55" t="str">
        <f>IFERROR(IF($G1056="","",VLOOKUP('Dashboard And Emails Automate'!$G1056,Database!$H:$N,4,0)),"")</f>
        <v/>
      </c>
      <c r="K1056" s="55" t="str">
        <f>IFERROR(IF($G1056="","",VLOOKUP('Dashboard And Emails Automate'!$G1056,Database!$H:$N,5,0)),"")</f>
        <v/>
      </c>
      <c r="L1056" s="55" t="str">
        <f>IFERROR(IF($G1056="","",VLOOKUP('Dashboard And Emails Automate'!$G1056,Database!$H:$N,6,0)),"")</f>
        <v/>
      </c>
      <c r="M1056" s="55" t="str">
        <f>IFERROR(IF($G1056="","",VLOOKUP('Dashboard And Emails Automate'!$G1056,Database!$H:$N,7,0)),"")</f>
        <v/>
      </c>
      <c r="N1056" s="55" t="str">
        <f>IFERROR(IF(OR($B1056="",$B1056="(blank)"),"",VLOOKUP($B1056,'Email Marketing Raw Data'!$C:$O,6,0)),"")</f>
        <v/>
      </c>
      <c r="O1056" s="55" t="str">
        <f>IFERROR(IF(OR($B1056="",$B1056="(blank)"),"",VLOOKUP($B1056,'Email Marketing Raw Data'!$C:$O,7,0)),"")</f>
        <v/>
      </c>
      <c r="P1056" s="55" t="str">
        <f>IFERROR(IF(OR($B1056="",$B1056="(blank)"),"",VLOOKUP($B1056,'Email Marketing Raw Data'!$C:$O,8,0)),"")</f>
        <v/>
      </c>
      <c r="Q1056" s="62" t="str">
        <f>IFERROR(IF(OR($B1056="",$B1056="(blank)"),"",VLOOKUP($B1056,'Email Marketing Raw Data'!$C:$O,9,0)),"")</f>
        <v/>
      </c>
    </row>
    <row r="1057" spans="4:17" ht="12.75" customHeight="1" x14ac:dyDescent="0.2">
      <c r="D1057" s="58" t="str">
        <f>IFERROR(IF(F1057&lt;&gt;"pending","",IF(OR($B1057="",$B1057="(blank)"),"",VLOOKUP($B1057,'Email Marketing Raw Data'!$C:$O,10,0))),"")</f>
        <v/>
      </c>
      <c r="E1057" s="59" t="str">
        <f>IFERROR(IF(F1057&lt;&gt;"pending","",IF(OR($B1057="",$B1057="(blank)"),"",VLOOKUP($B1057,'Email Marketing Raw Data'!$C:$O,11,0))),"")</f>
        <v/>
      </c>
      <c r="F1057" s="54" t="str">
        <f>IFERROR(IF(OR($B1057="",$B1057="(blank)"),"",VLOOKUP($B1057,'Email Marketing Raw Data'!$C:$O,13,0)),"")</f>
        <v/>
      </c>
      <c r="G1057" s="55" t="str">
        <f>IFERROR(IF(OR($B1057="",$B1057="(blank)"),"",VLOOKUP($B1057,'Email Marketing Raw Data'!$C:$O,4,0)),"")</f>
        <v/>
      </c>
      <c r="H1057" s="55" t="str">
        <f>IFERROR(IF(OR($B1057="",$B1057="(blank)"),"",VLOOKUP($B1057,'Email Marketing Raw Data'!$C:$O,5,0)),"")</f>
        <v/>
      </c>
      <c r="I1057" s="55" t="str">
        <f>IFERROR(IF($G1057="","",VLOOKUP('Dashboard And Emails Automate'!$G1057,Database!$H:$N,3,0)),"")</f>
        <v/>
      </c>
      <c r="J1057" s="55" t="str">
        <f>IFERROR(IF($G1057="","",VLOOKUP('Dashboard And Emails Automate'!$G1057,Database!$H:$N,4,0)),"")</f>
        <v/>
      </c>
      <c r="K1057" s="55" t="str">
        <f>IFERROR(IF($G1057="","",VLOOKUP('Dashboard And Emails Automate'!$G1057,Database!$H:$N,5,0)),"")</f>
        <v/>
      </c>
      <c r="L1057" s="55" t="str">
        <f>IFERROR(IF($G1057="","",VLOOKUP('Dashboard And Emails Automate'!$G1057,Database!$H:$N,6,0)),"")</f>
        <v/>
      </c>
      <c r="M1057" s="55" t="str">
        <f>IFERROR(IF($G1057="","",VLOOKUP('Dashboard And Emails Automate'!$G1057,Database!$H:$N,7,0)),"")</f>
        <v/>
      </c>
      <c r="N1057" s="55" t="str">
        <f>IFERROR(IF(OR($B1057="",$B1057="(blank)"),"",VLOOKUP($B1057,'Email Marketing Raw Data'!$C:$O,6,0)),"")</f>
        <v/>
      </c>
      <c r="O1057" s="55" t="str">
        <f>IFERROR(IF(OR($B1057="",$B1057="(blank)"),"",VLOOKUP($B1057,'Email Marketing Raw Data'!$C:$O,7,0)),"")</f>
        <v/>
      </c>
      <c r="P1057" s="55" t="str">
        <f>IFERROR(IF(OR($B1057="",$B1057="(blank)"),"",VLOOKUP($B1057,'Email Marketing Raw Data'!$C:$O,8,0)),"")</f>
        <v/>
      </c>
      <c r="Q1057" s="62" t="str">
        <f>IFERROR(IF(OR($B1057="",$B1057="(blank)"),"",VLOOKUP($B1057,'Email Marketing Raw Data'!$C:$O,9,0)),"")</f>
        <v/>
      </c>
    </row>
    <row r="1058" spans="4:17" ht="12.75" customHeight="1" x14ac:dyDescent="0.2">
      <c r="D1058" s="58" t="str">
        <f>IFERROR(IF(F1058&lt;&gt;"pending","",IF(OR($B1058="",$B1058="(blank)"),"",VLOOKUP($B1058,'Email Marketing Raw Data'!$C:$O,10,0))),"")</f>
        <v/>
      </c>
      <c r="E1058" s="59" t="str">
        <f>IFERROR(IF(F1058&lt;&gt;"pending","",IF(OR($B1058="",$B1058="(blank)"),"",VLOOKUP($B1058,'Email Marketing Raw Data'!$C:$O,11,0))),"")</f>
        <v/>
      </c>
      <c r="F1058" s="54" t="str">
        <f>IFERROR(IF(OR($B1058="",$B1058="(blank)"),"",VLOOKUP($B1058,'Email Marketing Raw Data'!$C:$O,13,0)),"")</f>
        <v/>
      </c>
      <c r="G1058" s="55" t="str">
        <f>IFERROR(IF(OR($B1058="",$B1058="(blank)"),"",VLOOKUP($B1058,'Email Marketing Raw Data'!$C:$O,4,0)),"")</f>
        <v/>
      </c>
      <c r="H1058" s="55" t="str">
        <f>IFERROR(IF(OR($B1058="",$B1058="(blank)"),"",VLOOKUP($B1058,'Email Marketing Raw Data'!$C:$O,5,0)),"")</f>
        <v/>
      </c>
      <c r="I1058" s="55" t="str">
        <f>IFERROR(IF($G1058="","",VLOOKUP('Dashboard And Emails Automate'!$G1058,Database!$H:$N,3,0)),"")</f>
        <v/>
      </c>
      <c r="J1058" s="55" t="str">
        <f>IFERROR(IF($G1058="","",VLOOKUP('Dashboard And Emails Automate'!$G1058,Database!$H:$N,4,0)),"")</f>
        <v/>
      </c>
      <c r="K1058" s="55" t="str">
        <f>IFERROR(IF($G1058="","",VLOOKUP('Dashboard And Emails Automate'!$G1058,Database!$H:$N,5,0)),"")</f>
        <v/>
      </c>
      <c r="L1058" s="55" t="str">
        <f>IFERROR(IF($G1058="","",VLOOKUP('Dashboard And Emails Automate'!$G1058,Database!$H:$N,6,0)),"")</f>
        <v/>
      </c>
      <c r="M1058" s="55" t="str">
        <f>IFERROR(IF($G1058="","",VLOOKUP('Dashboard And Emails Automate'!$G1058,Database!$H:$N,7,0)),"")</f>
        <v/>
      </c>
      <c r="N1058" s="55" t="str">
        <f>IFERROR(IF(OR($B1058="",$B1058="(blank)"),"",VLOOKUP($B1058,'Email Marketing Raw Data'!$C:$O,6,0)),"")</f>
        <v/>
      </c>
      <c r="O1058" s="55" t="str">
        <f>IFERROR(IF(OR($B1058="",$B1058="(blank)"),"",VLOOKUP($B1058,'Email Marketing Raw Data'!$C:$O,7,0)),"")</f>
        <v/>
      </c>
      <c r="P1058" s="55" t="str">
        <f>IFERROR(IF(OR($B1058="",$B1058="(blank)"),"",VLOOKUP($B1058,'Email Marketing Raw Data'!$C:$O,8,0)),"")</f>
        <v/>
      </c>
      <c r="Q1058" s="62" t="str">
        <f>IFERROR(IF(OR($B1058="",$B1058="(blank)"),"",VLOOKUP($B1058,'Email Marketing Raw Data'!$C:$O,9,0)),"")</f>
        <v/>
      </c>
    </row>
    <row r="1059" spans="4:17" ht="12.75" customHeight="1" x14ac:dyDescent="0.2">
      <c r="D1059" s="58" t="str">
        <f>IFERROR(IF(F1059&lt;&gt;"pending","",IF(OR($B1059="",$B1059="(blank)"),"",VLOOKUP($B1059,'Email Marketing Raw Data'!$C:$O,10,0))),"")</f>
        <v/>
      </c>
      <c r="E1059" s="59" t="str">
        <f>IFERROR(IF(F1059&lt;&gt;"pending","",IF(OR($B1059="",$B1059="(blank)"),"",VLOOKUP($B1059,'Email Marketing Raw Data'!$C:$O,11,0))),"")</f>
        <v/>
      </c>
      <c r="F1059" s="54" t="str">
        <f>IFERROR(IF(OR($B1059="",$B1059="(blank)"),"",VLOOKUP($B1059,'Email Marketing Raw Data'!$C:$O,13,0)),"")</f>
        <v/>
      </c>
      <c r="G1059" s="55" t="str">
        <f>IFERROR(IF(OR($B1059="",$B1059="(blank)"),"",VLOOKUP($B1059,'Email Marketing Raw Data'!$C:$O,4,0)),"")</f>
        <v/>
      </c>
      <c r="H1059" s="55" t="str">
        <f>IFERROR(IF(OR($B1059="",$B1059="(blank)"),"",VLOOKUP($B1059,'Email Marketing Raw Data'!$C:$O,5,0)),"")</f>
        <v/>
      </c>
      <c r="I1059" s="55" t="str">
        <f>IFERROR(IF($G1059="","",VLOOKUP('Dashboard And Emails Automate'!$G1059,Database!$H:$N,3,0)),"")</f>
        <v/>
      </c>
      <c r="J1059" s="55" t="str">
        <f>IFERROR(IF($G1059="","",VLOOKUP('Dashboard And Emails Automate'!$G1059,Database!$H:$N,4,0)),"")</f>
        <v/>
      </c>
      <c r="K1059" s="55" t="str">
        <f>IFERROR(IF($G1059="","",VLOOKUP('Dashboard And Emails Automate'!$G1059,Database!$H:$N,5,0)),"")</f>
        <v/>
      </c>
      <c r="L1059" s="55" t="str">
        <f>IFERROR(IF($G1059="","",VLOOKUP('Dashboard And Emails Automate'!$G1059,Database!$H:$N,6,0)),"")</f>
        <v/>
      </c>
      <c r="M1059" s="55" t="str">
        <f>IFERROR(IF($G1059="","",VLOOKUP('Dashboard And Emails Automate'!$G1059,Database!$H:$N,7,0)),"")</f>
        <v/>
      </c>
      <c r="N1059" s="55" t="str">
        <f>IFERROR(IF(OR($B1059="",$B1059="(blank)"),"",VLOOKUP($B1059,'Email Marketing Raw Data'!$C:$O,6,0)),"")</f>
        <v/>
      </c>
      <c r="O1059" s="55" t="str">
        <f>IFERROR(IF(OR($B1059="",$B1059="(blank)"),"",VLOOKUP($B1059,'Email Marketing Raw Data'!$C:$O,7,0)),"")</f>
        <v/>
      </c>
      <c r="P1059" s="55" t="str">
        <f>IFERROR(IF(OR($B1059="",$B1059="(blank)"),"",VLOOKUP($B1059,'Email Marketing Raw Data'!$C:$O,8,0)),"")</f>
        <v/>
      </c>
      <c r="Q1059" s="62" t="str">
        <f>IFERROR(IF(OR($B1059="",$B1059="(blank)"),"",VLOOKUP($B1059,'Email Marketing Raw Data'!$C:$O,9,0)),"")</f>
        <v/>
      </c>
    </row>
    <row r="1060" spans="4:17" ht="12.75" customHeight="1" x14ac:dyDescent="0.2">
      <c r="D1060" s="58" t="str">
        <f>IFERROR(IF(F1060&lt;&gt;"pending","",IF(OR($B1060="",$B1060="(blank)"),"",VLOOKUP($B1060,'Email Marketing Raw Data'!$C:$O,10,0))),"")</f>
        <v/>
      </c>
      <c r="E1060" s="59" t="str">
        <f>IFERROR(IF(F1060&lt;&gt;"pending","",IF(OR($B1060="",$B1060="(blank)"),"",VLOOKUP($B1060,'Email Marketing Raw Data'!$C:$O,11,0))),"")</f>
        <v/>
      </c>
      <c r="F1060" s="54" t="str">
        <f>IFERROR(IF(OR($B1060="",$B1060="(blank)"),"",VLOOKUP($B1060,'Email Marketing Raw Data'!$C:$O,13,0)),"")</f>
        <v/>
      </c>
      <c r="G1060" s="55" t="str">
        <f>IFERROR(IF(OR($B1060="",$B1060="(blank)"),"",VLOOKUP($B1060,'Email Marketing Raw Data'!$C:$O,4,0)),"")</f>
        <v/>
      </c>
      <c r="H1060" s="55" t="str">
        <f>IFERROR(IF(OR($B1060="",$B1060="(blank)"),"",VLOOKUP($B1060,'Email Marketing Raw Data'!$C:$O,5,0)),"")</f>
        <v/>
      </c>
      <c r="I1060" s="55" t="str">
        <f>IFERROR(IF($G1060="","",VLOOKUP('Dashboard And Emails Automate'!$G1060,Database!$H:$N,3,0)),"")</f>
        <v/>
      </c>
      <c r="J1060" s="55" t="str">
        <f>IFERROR(IF($G1060="","",VLOOKUP('Dashboard And Emails Automate'!$G1060,Database!$H:$N,4,0)),"")</f>
        <v/>
      </c>
      <c r="K1060" s="55" t="str">
        <f>IFERROR(IF($G1060="","",VLOOKUP('Dashboard And Emails Automate'!$G1060,Database!$H:$N,5,0)),"")</f>
        <v/>
      </c>
      <c r="L1060" s="55" t="str">
        <f>IFERROR(IF($G1060="","",VLOOKUP('Dashboard And Emails Automate'!$G1060,Database!$H:$N,6,0)),"")</f>
        <v/>
      </c>
      <c r="M1060" s="55" t="str">
        <f>IFERROR(IF($G1060="","",VLOOKUP('Dashboard And Emails Automate'!$G1060,Database!$H:$N,7,0)),"")</f>
        <v/>
      </c>
      <c r="N1060" s="55" t="str">
        <f>IFERROR(IF(OR($B1060="",$B1060="(blank)"),"",VLOOKUP($B1060,'Email Marketing Raw Data'!$C:$O,6,0)),"")</f>
        <v/>
      </c>
      <c r="O1060" s="55" t="str">
        <f>IFERROR(IF(OR($B1060="",$B1060="(blank)"),"",VLOOKUP($B1060,'Email Marketing Raw Data'!$C:$O,7,0)),"")</f>
        <v/>
      </c>
      <c r="P1060" s="55" t="str">
        <f>IFERROR(IF(OR($B1060="",$B1060="(blank)"),"",VLOOKUP($B1060,'Email Marketing Raw Data'!$C:$O,8,0)),"")</f>
        <v/>
      </c>
      <c r="Q1060" s="62" t="str">
        <f>IFERROR(IF(OR($B1060="",$B1060="(blank)"),"",VLOOKUP($B1060,'Email Marketing Raw Data'!$C:$O,9,0)),"")</f>
        <v/>
      </c>
    </row>
    <row r="1061" spans="4:17" ht="12.75" customHeight="1" x14ac:dyDescent="0.2">
      <c r="D1061" s="58" t="str">
        <f>IFERROR(IF(F1061&lt;&gt;"pending","",IF(OR($B1061="",$B1061="(blank)"),"",VLOOKUP($B1061,'Email Marketing Raw Data'!$C:$O,10,0))),"")</f>
        <v/>
      </c>
      <c r="E1061" s="59" t="str">
        <f>IFERROR(IF(F1061&lt;&gt;"pending","",IF(OR($B1061="",$B1061="(blank)"),"",VLOOKUP($B1061,'Email Marketing Raw Data'!$C:$O,11,0))),"")</f>
        <v/>
      </c>
      <c r="F1061" s="54" t="str">
        <f>IFERROR(IF(OR($B1061="",$B1061="(blank)"),"",VLOOKUP($B1061,'Email Marketing Raw Data'!$C:$O,13,0)),"")</f>
        <v/>
      </c>
      <c r="G1061" s="55" t="str">
        <f>IFERROR(IF(OR($B1061="",$B1061="(blank)"),"",VLOOKUP($B1061,'Email Marketing Raw Data'!$C:$O,4,0)),"")</f>
        <v/>
      </c>
      <c r="H1061" s="55" t="str">
        <f>IFERROR(IF(OR($B1061="",$B1061="(blank)"),"",VLOOKUP($B1061,'Email Marketing Raw Data'!$C:$O,5,0)),"")</f>
        <v/>
      </c>
      <c r="I1061" s="55" t="str">
        <f>IFERROR(IF($G1061="","",VLOOKUP('Dashboard And Emails Automate'!$G1061,Database!$H:$N,3,0)),"")</f>
        <v/>
      </c>
      <c r="J1061" s="55" t="str">
        <f>IFERROR(IF($G1061="","",VLOOKUP('Dashboard And Emails Automate'!$G1061,Database!$H:$N,4,0)),"")</f>
        <v/>
      </c>
      <c r="K1061" s="55" t="str">
        <f>IFERROR(IF($G1061="","",VLOOKUP('Dashboard And Emails Automate'!$G1061,Database!$H:$N,5,0)),"")</f>
        <v/>
      </c>
      <c r="L1061" s="55" t="str">
        <f>IFERROR(IF($G1061="","",VLOOKUP('Dashboard And Emails Automate'!$G1061,Database!$H:$N,6,0)),"")</f>
        <v/>
      </c>
      <c r="M1061" s="55" t="str">
        <f>IFERROR(IF($G1061="","",VLOOKUP('Dashboard And Emails Automate'!$G1061,Database!$H:$N,7,0)),"")</f>
        <v/>
      </c>
      <c r="N1061" s="55" t="str">
        <f>IFERROR(IF(OR($B1061="",$B1061="(blank)"),"",VLOOKUP($B1061,'Email Marketing Raw Data'!$C:$O,6,0)),"")</f>
        <v/>
      </c>
      <c r="O1061" s="55" t="str">
        <f>IFERROR(IF(OR($B1061="",$B1061="(blank)"),"",VLOOKUP($B1061,'Email Marketing Raw Data'!$C:$O,7,0)),"")</f>
        <v/>
      </c>
      <c r="P1061" s="55" t="str">
        <f>IFERROR(IF(OR($B1061="",$B1061="(blank)"),"",VLOOKUP($B1061,'Email Marketing Raw Data'!$C:$O,8,0)),"")</f>
        <v/>
      </c>
      <c r="Q1061" s="62" t="str">
        <f>IFERROR(IF(OR($B1061="",$B1061="(blank)"),"",VLOOKUP($B1061,'Email Marketing Raw Data'!$C:$O,9,0)),"")</f>
        <v/>
      </c>
    </row>
    <row r="1062" spans="4:17" ht="12.75" customHeight="1" x14ac:dyDescent="0.2">
      <c r="D1062" s="58" t="str">
        <f>IFERROR(IF(F1062&lt;&gt;"pending","",IF(OR($B1062="",$B1062="(blank)"),"",VLOOKUP($B1062,'Email Marketing Raw Data'!$C:$O,10,0))),"")</f>
        <v/>
      </c>
      <c r="E1062" s="59" t="str">
        <f>IFERROR(IF(F1062&lt;&gt;"pending","",IF(OR($B1062="",$B1062="(blank)"),"",VLOOKUP($B1062,'Email Marketing Raw Data'!$C:$O,11,0))),"")</f>
        <v/>
      </c>
      <c r="F1062" s="54" t="str">
        <f>IFERROR(IF(OR($B1062="",$B1062="(blank)"),"",VLOOKUP($B1062,'Email Marketing Raw Data'!$C:$O,13,0)),"")</f>
        <v/>
      </c>
      <c r="G1062" s="55" t="str">
        <f>IFERROR(IF(OR($B1062="",$B1062="(blank)"),"",VLOOKUP($B1062,'Email Marketing Raw Data'!$C:$O,4,0)),"")</f>
        <v/>
      </c>
      <c r="H1062" s="55" t="str">
        <f>IFERROR(IF(OR($B1062="",$B1062="(blank)"),"",VLOOKUP($B1062,'Email Marketing Raw Data'!$C:$O,5,0)),"")</f>
        <v/>
      </c>
      <c r="I1062" s="55" t="str">
        <f>IFERROR(IF($G1062="","",VLOOKUP('Dashboard And Emails Automate'!$G1062,Database!$H:$N,3,0)),"")</f>
        <v/>
      </c>
      <c r="J1062" s="55" t="str">
        <f>IFERROR(IF($G1062="","",VLOOKUP('Dashboard And Emails Automate'!$G1062,Database!$H:$N,4,0)),"")</f>
        <v/>
      </c>
      <c r="K1062" s="55" t="str">
        <f>IFERROR(IF($G1062="","",VLOOKUP('Dashboard And Emails Automate'!$G1062,Database!$H:$N,5,0)),"")</f>
        <v/>
      </c>
      <c r="L1062" s="55" t="str">
        <f>IFERROR(IF($G1062="","",VLOOKUP('Dashboard And Emails Automate'!$G1062,Database!$H:$N,6,0)),"")</f>
        <v/>
      </c>
      <c r="M1062" s="55" t="str">
        <f>IFERROR(IF($G1062="","",VLOOKUP('Dashboard And Emails Automate'!$G1062,Database!$H:$N,7,0)),"")</f>
        <v/>
      </c>
      <c r="N1062" s="55" t="str">
        <f>IFERROR(IF(OR($B1062="",$B1062="(blank)"),"",VLOOKUP($B1062,'Email Marketing Raw Data'!$C:$O,6,0)),"")</f>
        <v/>
      </c>
      <c r="O1062" s="55" t="str">
        <f>IFERROR(IF(OR($B1062="",$B1062="(blank)"),"",VLOOKUP($B1062,'Email Marketing Raw Data'!$C:$O,7,0)),"")</f>
        <v/>
      </c>
      <c r="P1062" s="55" t="str">
        <f>IFERROR(IF(OR($B1062="",$B1062="(blank)"),"",VLOOKUP($B1062,'Email Marketing Raw Data'!$C:$O,8,0)),"")</f>
        <v/>
      </c>
      <c r="Q1062" s="62" t="str">
        <f>IFERROR(IF(OR($B1062="",$B1062="(blank)"),"",VLOOKUP($B1062,'Email Marketing Raw Data'!$C:$O,9,0)),"")</f>
        <v/>
      </c>
    </row>
    <row r="1063" spans="4:17" ht="12.75" customHeight="1" x14ac:dyDescent="0.2">
      <c r="D1063" s="58" t="str">
        <f>IFERROR(IF(F1063&lt;&gt;"pending","",IF(OR($B1063="",$B1063="(blank)"),"",VLOOKUP($B1063,'Email Marketing Raw Data'!$C:$O,10,0))),"")</f>
        <v/>
      </c>
      <c r="E1063" s="59" t="str">
        <f>IFERROR(IF(F1063&lt;&gt;"pending","",IF(OR($B1063="",$B1063="(blank)"),"",VLOOKUP($B1063,'Email Marketing Raw Data'!$C:$O,11,0))),"")</f>
        <v/>
      </c>
      <c r="F1063" s="54" t="str">
        <f>IFERROR(IF(OR($B1063="",$B1063="(blank)"),"",VLOOKUP($B1063,'Email Marketing Raw Data'!$C:$O,13,0)),"")</f>
        <v/>
      </c>
      <c r="G1063" s="55" t="str">
        <f>IFERROR(IF(OR($B1063="",$B1063="(blank)"),"",VLOOKUP($B1063,'Email Marketing Raw Data'!$C:$O,4,0)),"")</f>
        <v/>
      </c>
      <c r="H1063" s="55" t="str">
        <f>IFERROR(IF(OR($B1063="",$B1063="(blank)"),"",VLOOKUP($B1063,'Email Marketing Raw Data'!$C:$O,5,0)),"")</f>
        <v/>
      </c>
      <c r="I1063" s="55" t="str">
        <f>IFERROR(IF($G1063="","",VLOOKUP('Dashboard And Emails Automate'!$G1063,Database!$H:$N,3,0)),"")</f>
        <v/>
      </c>
      <c r="J1063" s="55" t="str">
        <f>IFERROR(IF($G1063="","",VLOOKUP('Dashboard And Emails Automate'!$G1063,Database!$H:$N,4,0)),"")</f>
        <v/>
      </c>
      <c r="K1063" s="55" t="str">
        <f>IFERROR(IF($G1063="","",VLOOKUP('Dashboard And Emails Automate'!$G1063,Database!$H:$N,5,0)),"")</f>
        <v/>
      </c>
      <c r="L1063" s="55" t="str">
        <f>IFERROR(IF($G1063="","",VLOOKUP('Dashboard And Emails Automate'!$G1063,Database!$H:$N,6,0)),"")</f>
        <v/>
      </c>
      <c r="M1063" s="55" t="str">
        <f>IFERROR(IF($G1063="","",VLOOKUP('Dashboard And Emails Automate'!$G1063,Database!$H:$N,7,0)),"")</f>
        <v/>
      </c>
      <c r="N1063" s="55" t="str">
        <f>IFERROR(IF(OR($B1063="",$B1063="(blank)"),"",VLOOKUP($B1063,'Email Marketing Raw Data'!$C:$O,6,0)),"")</f>
        <v/>
      </c>
      <c r="O1063" s="55" t="str">
        <f>IFERROR(IF(OR($B1063="",$B1063="(blank)"),"",VLOOKUP($B1063,'Email Marketing Raw Data'!$C:$O,7,0)),"")</f>
        <v/>
      </c>
      <c r="P1063" s="55" t="str">
        <f>IFERROR(IF(OR($B1063="",$B1063="(blank)"),"",VLOOKUP($B1063,'Email Marketing Raw Data'!$C:$O,8,0)),"")</f>
        <v/>
      </c>
      <c r="Q1063" s="62" t="str">
        <f>IFERROR(IF(OR($B1063="",$B1063="(blank)"),"",VLOOKUP($B1063,'Email Marketing Raw Data'!$C:$O,9,0)),"")</f>
        <v/>
      </c>
    </row>
    <row r="1064" spans="4:17" ht="12.75" customHeight="1" x14ac:dyDescent="0.2">
      <c r="D1064" s="58" t="str">
        <f>IFERROR(IF(F1064&lt;&gt;"pending","",IF(OR($B1064="",$B1064="(blank)"),"",VLOOKUP($B1064,'Email Marketing Raw Data'!$C:$O,10,0))),"")</f>
        <v/>
      </c>
      <c r="E1064" s="59" t="str">
        <f>IFERROR(IF(F1064&lt;&gt;"pending","",IF(OR($B1064="",$B1064="(blank)"),"",VLOOKUP($B1064,'Email Marketing Raw Data'!$C:$O,11,0))),"")</f>
        <v/>
      </c>
      <c r="F1064" s="54" t="str">
        <f>IFERROR(IF(OR($B1064="",$B1064="(blank)"),"",VLOOKUP($B1064,'Email Marketing Raw Data'!$C:$O,13,0)),"")</f>
        <v/>
      </c>
      <c r="G1064" s="55" t="str">
        <f>IFERROR(IF(OR($B1064="",$B1064="(blank)"),"",VLOOKUP($B1064,'Email Marketing Raw Data'!$C:$O,4,0)),"")</f>
        <v/>
      </c>
      <c r="H1064" s="55" t="str">
        <f>IFERROR(IF(OR($B1064="",$B1064="(blank)"),"",VLOOKUP($B1064,'Email Marketing Raw Data'!$C:$O,5,0)),"")</f>
        <v/>
      </c>
      <c r="I1064" s="55" t="str">
        <f>IFERROR(IF($G1064="","",VLOOKUP('Dashboard And Emails Automate'!$G1064,Database!$H:$N,3,0)),"")</f>
        <v/>
      </c>
      <c r="J1064" s="55" t="str">
        <f>IFERROR(IF($G1064="","",VLOOKUP('Dashboard And Emails Automate'!$G1064,Database!$H:$N,4,0)),"")</f>
        <v/>
      </c>
      <c r="K1064" s="55" t="str">
        <f>IFERROR(IF($G1064="","",VLOOKUP('Dashboard And Emails Automate'!$G1064,Database!$H:$N,5,0)),"")</f>
        <v/>
      </c>
      <c r="L1064" s="55" t="str">
        <f>IFERROR(IF($G1064="","",VLOOKUP('Dashboard And Emails Automate'!$G1064,Database!$H:$N,6,0)),"")</f>
        <v/>
      </c>
      <c r="M1064" s="55" t="str">
        <f>IFERROR(IF($G1064="","",VLOOKUP('Dashboard And Emails Automate'!$G1064,Database!$H:$N,7,0)),"")</f>
        <v/>
      </c>
      <c r="N1064" s="55" t="str">
        <f>IFERROR(IF(OR($B1064="",$B1064="(blank)"),"",VLOOKUP($B1064,'Email Marketing Raw Data'!$C:$O,6,0)),"")</f>
        <v/>
      </c>
      <c r="O1064" s="55" t="str">
        <f>IFERROR(IF(OR($B1064="",$B1064="(blank)"),"",VLOOKUP($B1064,'Email Marketing Raw Data'!$C:$O,7,0)),"")</f>
        <v/>
      </c>
      <c r="P1064" s="55" t="str">
        <f>IFERROR(IF(OR($B1064="",$B1064="(blank)"),"",VLOOKUP($B1064,'Email Marketing Raw Data'!$C:$O,8,0)),"")</f>
        <v/>
      </c>
      <c r="Q1064" s="62" t="str">
        <f>IFERROR(IF(OR($B1064="",$B1064="(blank)"),"",VLOOKUP($B1064,'Email Marketing Raw Data'!$C:$O,9,0)),"")</f>
        <v/>
      </c>
    </row>
    <row r="1065" spans="4:17" ht="12.75" customHeight="1" x14ac:dyDescent="0.2">
      <c r="D1065" s="58" t="str">
        <f>IFERROR(IF(F1065&lt;&gt;"pending","",IF(OR($B1065="",$B1065="(blank)"),"",VLOOKUP($B1065,'Email Marketing Raw Data'!$C:$O,10,0))),"")</f>
        <v/>
      </c>
      <c r="E1065" s="59" t="str">
        <f>IFERROR(IF(F1065&lt;&gt;"pending","",IF(OR($B1065="",$B1065="(blank)"),"",VLOOKUP($B1065,'Email Marketing Raw Data'!$C:$O,11,0))),"")</f>
        <v/>
      </c>
      <c r="F1065" s="54" t="str">
        <f>IFERROR(IF(OR($B1065="",$B1065="(blank)"),"",VLOOKUP($B1065,'Email Marketing Raw Data'!$C:$O,13,0)),"")</f>
        <v/>
      </c>
      <c r="G1065" s="55" t="str">
        <f>IFERROR(IF(OR($B1065="",$B1065="(blank)"),"",VLOOKUP($B1065,'Email Marketing Raw Data'!$C:$O,4,0)),"")</f>
        <v/>
      </c>
      <c r="H1065" s="55" t="str">
        <f>IFERROR(IF(OR($B1065="",$B1065="(blank)"),"",VLOOKUP($B1065,'Email Marketing Raw Data'!$C:$O,5,0)),"")</f>
        <v/>
      </c>
      <c r="I1065" s="55" t="str">
        <f>IFERROR(IF($G1065="","",VLOOKUP('Dashboard And Emails Automate'!$G1065,Database!$H:$N,3,0)),"")</f>
        <v/>
      </c>
      <c r="J1065" s="55" t="str">
        <f>IFERROR(IF($G1065="","",VLOOKUP('Dashboard And Emails Automate'!$G1065,Database!$H:$N,4,0)),"")</f>
        <v/>
      </c>
      <c r="K1065" s="55" t="str">
        <f>IFERROR(IF($G1065="","",VLOOKUP('Dashboard And Emails Automate'!$G1065,Database!$H:$N,5,0)),"")</f>
        <v/>
      </c>
      <c r="L1065" s="55" t="str">
        <f>IFERROR(IF($G1065="","",VLOOKUP('Dashboard And Emails Automate'!$G1065,Database!$H:$N,6,0)),"")</f>
        <v/>
      </c>
      <c r="M1065" s="55" t="str">
        <f>IFERROR(IF($G1065="","",VLOOKUP('Dashboard And Emails Automate'!$G1065,Database!$H:$N,7,0)),"")</f>
        <v/>
      </c>
      <c r="N1065" s="55" t="str">
        <f>IFERROR(IF(OR($B1065="",$B1065="(blank)"),"",VLOOKUP($B1065,'Email Marketing Raw Data'!$C:$O,6,0)),"")</f>
        <v/>
      </c>
      <c r="O1065" s="55" t="str">
        <f>IFERROR(IF(OR($B1065="",$B1065="(blank)"),"",VLOOKUP($B1065,'Email Marketing Raw Data'!$C:$O,7,0)),"")</f>
        <v/>
      </c>
      <c r="P1065" s="55" t="str">
        <f>IFERROR(IF(OR($B1065="",$B1065="(blank)"),"",VLOOKUP($B1065,'Email Marketing Raw Data'!$C:$O,8,0)),"")</f>
        <v/>
      </c>
      <c r="Q1065" s="62" t="str">
        <f>IFERROR(IF(OR($B1065="",$B1065="(blank)"),"",VLOOKUP($B1065,'Email Marketing Raw Data'!$C:$O,9,0)),"")</f>
        <v/>
      </c>
    </row>
    <row r="1066" spans="4:17" ht="12.75" customHeight="1" x14ac:dyDescent="0.2">
      <c r="D1066" s="58" t="str">
        <f>IFERROR(IF(F1066&lt;&gt;"pending","",IF(OR($B1066="",$B1066="(blank)"),"",VLOOKUP($B1066,'Email Marketing Raw Data'!$C:$O,10,0))),"")</f>
        <v/>
      </c>
      <c r="E1066" s="59" t="str">
        <f>IFERROR(IF(F1066&lt;&gt;"pending","",IF(OR($B1066="",$B1066="(blank)"),"",VLOOKUP($B1066,'Email Marketing Raw Data'!$C:$O,11,0))),"")</f>
        <v/>
      </c>
      <c r="F1066" s="54" t="str">
        <f>IFERROR(IF(OR($B1066="",$B1066="(blank)"),"",VLOOKUP($B1066,'Email Marketing Raw Data'!$C:$O,13,0)),"")</f>
        <v/>
      </c>
      <c r="G1066" s="55" t="str">
        <f>IFERROR(IF(OR($B1066="",$B1066="(blank)"),"",VLOOKUP($B1066,'Email Marketing Raw Data'!$C:$O,4,0)),"")</f>
        <v/>
      </c>
      <c r="H1066" s="55" t="str">
        <f>IFERROR(IF(OR($B1066="",$B1066="(blank)"),"",VLOOKUP($B1066,'Email Marketing Raw Data'!$C:$O,5,0)),"")</f>
        <v/>
      </c>
      <c r="I1066" s="55" t="str">
        <f>IFERROR(IF($G1066="","",VLOOKUP('Dashboard And Emails Automate'!$G1066,Database!$H:$N,3,0)),"")</f>
        <v/>
      </c>
      <c r="J1066" s="55" t="str">
        <f>IFERROR(IF($G1066="","",VLOOKUP('Dashboard And Emails Automate'!$G1066,Database!$H:$N,4,0)),"")</f>
        <v/>
      </c>
      <c r="K1066" s="55" t="str">
        <f>IFERROR(IF($G1066="","",VLOOKUP('Dashboard And Emails Automate'!$G1066,Database!$H:$N,5,0)),"")</f>
        <v/>
      </c>
      <c r="L1066" s="55" t="str">
        <f>IFERROR(IF($G1066="","",VLOOKUP('Dashboard And Emails Automate'!$G1066,Database!$H:$N,6,0)),"")</f>
        <v/>
      </c>
      <c r="M1066" s="55" t="str">
        <f>IFERROR(IF($G1066="","",VLOOKUP('Dashboard And Emails Automate'!$G1066,Database!$H:$N,7,0)),"")</f>
        <v/>
      </c>
      <c r="N1066" s="55" t="str">
        <f>IFERROR(IF(OR($B1066="",$B1066="(blank)"),"",VLOOKUP($B1066,'Email Marketing Raw Data'!$C:$O,6,0)),"")</f>
        <v/>
      </c>
      <c r="O1066" s="55" t="str">
        <f>IFERROR(IF(OR($B1066="",$B1066="(blank)"),"",VLOOKUP($B1066,'Email Marketing Raw Data'!$C:$O,7,0)),"")</f>
        <v/>
      </c>
      <c r="P1066" s="55" t="str">
        <f>IFERROR(IF(OR($B1066="",$B1066="(blank)"),"",VLOOKUP($B1066,'Email Marketing Raw Data'!$C:$O,8,0)),"")</f>
        <v/>
      </c>
      <c r="Q1066" s="62" t="str">
        <f>IFERROR(IF(OR($B1066="",$B1066="(blank)"),"",VLOOKUP($B1066,'Email Marketing Raw Data'!$C:$O,9,0)),"")</f>
        <v/>
      </c>
    </row>
    <row r="1067" spans="4:17" ht="12.75" customHeight="1" x14ac:dyDescent="0.2">
      <c r="D1067" s="58" t="str">
        <f>IFERROR(IF(F1067&lt;&gt;"pending","",IF(OR($B1067="",$B1067="(blank)"),"",VLOOKUP($B1067,'Email Marketing Raw Data'!$C:$O,10,0))),"")</f>
        <v/>
      </c>
      <c r="E1067" s="59" t="str">
        <f>IFERROR(IF(F1067&lt;&gt;"pending","",IF(OR($B1067="",$B1067="(blank)"),"",VLOOKUP($B1067,'Email Marketing Raw Data'!$C:$O,11,0))),"")</f>
        <v/>
      </c>
      <c r="F1067" s="54" t="str">
        <f>IFERROR(IF(OR($B1067="",$B1067="(blank)"),"",VLOOKUP($B1067,'Email Marketing Raw Data'!$C:$O,13,0)),"")</f>
        <v/>
      </c>
      <c r="G1067" s="55" t="str">
        <f>IFERROR(IF(OR($B1067="",$B1067="(blank)"),"",VLOOKUP($B1067,'Email Marketing Raw Data'!$C:$O,4,0)),"")</f>
        <v/>
      </c>
      <c r="H1067" s="55" t="str">
        <f>IFERROR(IF(OR($B1067="",$B1067="(blank)"),"",VLOOKUP($B1067,'Email Marketing Raw Data'!$C:$O,5,0)),"")</f>
        <v/>
      </c>
      <c r="I1067" s="55" t="str">
        <f>IFERROR(IF($G1067="","",VLOOKUP('Dashboard And Emails Automate'!$G1067,Database!$H:$N,3,0)),"")</f>
        <v/>
      </c>
      <c r="J1067" s="55" t="str">
        <f>IFERROR(IF($G1067="","",VLOOKUP('Dashboard And Emails Automate'!$G1067,Database!$H:$N,4,0)),"")</f>
        <v/>
      </c>
      <c r="K1067" s="55" t="str">
        <f>IFERROR(IF($G1067="","",VLOOKUP('Dashboard And Emails Automate'!$G1067,Database!$H:$N,5,0)),"")</f>
        <v/>
      </c>
      <c r="L1067" s="55" t="str">
        <f>IFERROR(IF($G1067="","",VLOOKUP('Dashboard And Emails Automate'!$G1067,Database!$H:$N,6,0)),"")</f>
        <v/>
      </c>
      <c r="M1067" s="55" t="str">
        <f>IFERROR(IF($G1067="","",VLOOKUP('Dashboard And Emails Automate'!$G1067,Database!$H:$N,7,0)),"")</f>
        <v/>
      </c>
      <c r="N1067" s="55" t="str">
        <f>IFERROR(IF(OR($B1067="",$B1067="(blank)"),"",VLOOKUP($B1067,'Email Marketing Raw Data'!$C:$O,6,0)),"")</f>
        <v/>
      </c>
      <c r="O1067" s="55" t="str">
        <f>IFERROR(IF(OR($B1067="",$B1067="(blank)"),"",VLOOKUP($B1067,'Email Marketing Raw Data'!$C:$O,7,0)),"")</f>
        <v/>
      </c>
      <c r="P1067" s="55" t="str">
        <f>IFERROR(IF(OR($B1067="",$B1067="(blank)"),"",VLOOKUP($B1067,'Email Marketing Raw Data'!$C:$O,8,0)),"")</f>
        <v/>
      </c>
      <c r="Q1067" s="62" t="str">
        <f>IFERROR(IF(OR($B1067="",$B1067="(blank)"),"",VLOOKUP($B1067,'Email Marketing Raw Data'!$C:$O,9,0)),"")</f>
        <v/>
      </c>
    </row>
    <row r="1068" spans="4:17" ht="12.75" customHeight="1" x14ac:dyDescent="0.2">
      <c r="D1068" s="58" t="str">
        <f>IFERROR(IF(F1068&lt;&gt;"pending","",IF(OR($B1068="",$B1068="(blank)"),"",VLOOKUP($B1068,'Email Marketing Raw Data'!$C:$O,10,0))),"")</f>
        <v/>
      </c>
      <c r="E1068" s="59" t="str">
        <f>IFERROR(IF(F1068&lt;&gt;"pending","",IF(OR($B1068="",$B1068="(blank)"),"",VLOOKUP($B1068,'Email Marketing Raw Data'!$C:$O,11,0))),"")</f>
        <v/>
      </c>
      <c r="F1068" s="54" t="str">
        <f>IFERROR(IF(OR($B1068="",$B1068="(blank)"),"",VLOOKUP($B1068,'Email Marketing Raw Data'!$C:$O,13,0)),"")</f>
        <v/>
      </c>
      <c r="G1068" s="55" t="str">
        <f>IFERROR(IF(OR($B1068="",$B1068="(blank)"),"",VLOOKUP($B1068,'Email Marketing Raw Data'!$C:$O,4,0)),"")</f>
        <v/>
      </c>
      <c r="H1068" s="55" t="str">
        <f>IFERROR(IF(OR($B1068="",$B1068="(blank)"),"",VLOOKUP($B1068,'Email Marketing Raw Data'!$C:$O,5,0)),"")</f>
        <v/>
      </c>
      <c r="I1068" s="55" t="str">
        <f>IFERROR(IF($G1068="","",VLOOKUP('Dashboard And Emails Automate'!$G1068,Database!$H:$N,3,0)),"")</f>
        <v/>
      </c>
      <c r="J1068" s="55" t="str">
        <f>IFERROR(IF($G1068="","",VLOOKUP('Dashboard And Emails Automate'!$G1068,Database!$H:$N,4,0)),"")</f>
        <v/>
      </c>
      <c r="K1068" s="55" t="str">
        <f>IFERROR(IF($G1068="","",VLOOKUP('Dashboard And Emails Automate'!$G1068,Database!$H:$N,5,0)),"")</f>
        <v/>
      </c>
      <c r="L1068" s="55" t="str">
        <f>IFERROR(IF($G1068="","",VLOOKUP('Dashboard And Emails Automate'!$G1068,Database!$H:$N,6,0)),"")</f>
        <v/>
      </c>
      <c r="M1068" s="55" t="str">
        <f>IFERROR(IF($G1068="","",VLOOKUP('Dashboard And Emails Automate'!$G1068,Database!$H:$N,7,0)),"")</f>
        <v/>
      </c>
      <c r="N1068" s="55" t="str">
        <f>IFERROR(IF(OR($B1068="",$B1068="(blank)"),"",VLOOKUP($B1068,'Email Marketing Raw Data'!$C:$O,6,0)),"")</f>
        <v/>
      </c>
      <c r="O1068" s="55" t="str">
        <f>IFERROR(IF(OR($B1068="",$B1068="(blank)"),"",VLOOKUP($B1068,'Email Marketing Raw Data'!$C:$O,7,0)),"")</f>
        <v/>
      </c>
      <c r="P1068" s="55" t="str">
        <f>IFERROR(IF(OR($B1068="",$B1068="(blank)"),"",VLOOKUP($B1068,'Email Marketing Raw Data'!$C:$O,8,0)),"")</f>
        <v/>
      </c>
      <c r="Q1068" s="62" t="str">
        <f>IFERROR(IF(OR($B1068="",$B1068="(blank)"),"",VLOOKUP($B1068,'Email Marketing Raw Data'!$C:$O,9,0)),"")</f>
        <v/>
      </c>
    </row>
    <row r="1069" spans="4:17" ht="12.75" customHeight="1" x14ac:dyDescent="0.2">
      <c r="D1069" s="58" t="str">
        <f>IFERROR(IF(F1069&lt;&gt;"pending","",IF(OR($B1069="",$B1069="(blank)"),"",VLOOKUP($B1069,'Email Marketing Raw Data'!$C:$O,10,0))),"")</f>
        <v/>
      </c>
      <c r="E1069" s="59" t="str">
        <f>IFERROR(IF(F1069&lt;&gt;"pending","",IF(OR($B1069="",$B1069="(blank)"),"",VLOOKUP($B1069,'Email Marketing Raw Data'!$C:$O,11,0))),"")</f>
        <v/>
      </c>
      <c r="F1069" s="54" t="str">
        <f>IFERROR(IF(OR($B1069="",$B1069="(blank)"),"",VLOOKUP($B1069,'Email Marketing Raw Data'!$C:$O,13,0)),"")</f>
        <v/>
      </c>
      <c r="G1069" s="55" t="str">
        <f>IFERROR(IF(OR($B1069="",$B1069="(blank)"),"",VLOOKUP($B1069,'Email Marketing Raw Data'!$C:$O,4,0)),"")</f>
        <v/>
      </c>
      <c r="H1069" s="55" t="str">
        <f>IFERROR(IF(OR($B1069="",$B1069="(blank)"),"",VLOOKUP($B1069,'Email Marketing Raw Data'!$C:$O,5,0)),"")</f>
        <v/>
      </c>
      <c r="I1069" s="55" t="str">
        <f>IFERROR(IF($G1069="","",VLOOKUP('Dashboard And Emails Automate'!$G1069,Database!$H:$N,3,0)),"")</f>
        <v/>
      </c>
      <c r="J1069" s="55" t="str">
        <f>IFERROR(IF($G1069="","",VLOOKUP('Dashboard And Emails Automate'!$G1069,Database!$H:$N,4,0)),"")</f>
        <v/>
      </c>
      <c r="K1069" s="55" t="str">
        <f>IFERROR(IF($G1069="","",VLOOKUP('Dashboard And Emails Automate'!$G1069,Database!$H:$N,5,0)),"")</f>
        <v/>
      </c>
      <c r="L1069" s="55" t="str">
        <f>IFERROR(IF($G1069="","",VLOOKUP('Dashboard And Emails Automate'!$G1069,Database!$H:$N,6,0)),"")</f>
        <v/>
      </c>
      <c r="M1069" s="55" t="str">
        <f>IFERROR(IF($G1069="","",VLOOKUP('Dashboard And Emails Automate'!$G1069,Database!$H:$N,7,0)),"")</f>
        <v/>
      </c>
      <c r="N1069" s="55" t="str">
        <f>IFERROR(IF(OR($B1069="",$B1069="(blank)"),"",VLOOKUP($B1069,'Email Marketing Raw Data'!$C:$O,6,0)),"")</f>
        <v/>
      </c>
      <c r="O1069" s="55" t="str">
        <f>IFERROR(IF(OR($B1069="",$B1069="(blank)"),"",VLOOKUP($B1069,'Email Marketing Raw Data'!$C:$O,7,0)),"")</f>
        <v/>
      </c>
      <c r="P1069" s="55" t="str">
        <f>IFERROR(IF(OR($B1069="",$B1069="(blank)"),"",VLOOKUP($B1069,'Email Marketing Raw Data'!$C:$O,8,0)),"")</f>
        <v/>
      </c>
      <c r="Q1069" s="62" t="str">
        <f>IFERROR(IF(OR($B1069="",$B1069="(blank)"),"",VLOOKUP($B1069,'Email Marketing Raw Data'!$C:$O,9,0)),"")</f>
        <v/>
      </c>
    </row>
    <row r="1070" spans="4:17" ht="12.75" customHeight="1" x14ac:dyDescent="0.2">
      <c r="D1070" s="58" t="str">
        <f>IFERROR(IF(F1070&lt;&gt;"pending","",IF(OR($B1070="",$B1070="(blank)"),"",VLOOKUP($B1070,'Email Marketing Raw Data'!$C:$O,10,0))),"")</f>
        <v/>
      </c>
      <c r="E1070" s="59" t="str">
        <f>IFERROR(IF(F1070&lt;&gt;"pending","",IF(OR($B1070="",$B1070="(blank)"),"",VLOOKUP($B1070,'Email Marketing Raw Data'!$C:$O,11,0))),"")</f>
        <v/>
      </c>
      <c r="F1070" s="54" t="str">
        <f>IFERROR(IF(OR($B1070="",$B1070="(blank)"),"",VLOOKUP($B1070,'Email Marketing Raw Data'!$C:$O,13,0)),"")</f>
        <v/>
      </c>
      <c r="G1070" s="55" t="str">
        <f>IFERROR(IF(OR($B1070="",$B1070="(blank)"),"",VLOOKUP($B1070,'Email Marketing Raw Data'!$C:$O,4,0)),"")</f>
        <v/>
      </c>
      <c r="H1070" s="55" t="str">
        <f>IFERROR(IF(OR($B1070="",$B1070="(blank)"),"",VLOOKUP($B1070,'Email Marketing Raw Data'!$C:$O,5,0)),"")</f>
        <v/>
      </c>
      <c r="I1070" s="55" t="str">
        <f>IFERROR(IF($G1070="","",VLOOKUP('Dashboard And Emails Automate'!$G1070,Database!$H:$N,3,0)),"")</f>
        <v/>
      </c>
      <c r="J1070" s="55" t="str">
        <f>IFERROR(IF($G1070="","",VLOOKUP('Dashboard And Emails Automate'!$G1070,Database!$H:$N,4,0)),"")</f>
        <v/>
      </c>
      <c r="K1070" s="55" t="str">
        <f>IFERROR(IF($G1070="","",VLOOKUP('Dashboard And Emails Automate'!$G1070,Database!$H:$N,5,0)),"")</f>
        <v/>
      </c>
      <c r="L1070" s="55" t="str">
        <f>IFERROR(IF($G1070="","",VLOOKUP('Dashboard And Emails Automate'!$G1070,Database!$H:$N,6,0)),"")</f>
        <v/>
      </c>
      <c r="M1070" s="55" t="str">
        <f>IFERROR(IF($G1070="","",VLOOKUP('Dashboard And Emails Automate'!$G1070,Database!$H:$N,7,0)),"")</f>
        <v/>
      </c>
      <c r="N1070" s="55" t="str">
        <f>IFERROR(IF(OR($B1070="",$B1070="(blank)"),"",VLOOKUP($B1070,'Email Marketing Raw Data'!$C:$O,6,0)),"")</f>
        <v/>
      </c>
      <c r="O1070" s="55" t="str">
        <f>IFERROR(IF(OR($B1070="",$B1070="(blank)"),"",VLOOKUP($B1070,'Email Marketing Raw Data'!$C:$O,7,0)),"")</f>
        <v/>
      </c>
      <c r="P1070" s="55" t="str">
        <f>IFERROR(IF(OR($B1070="",$B1070="(blank)"),"",VLOOKUP($B1070,'Email Marketing Raw Data'!$C:$O,8,0)),"")</f>
        <v/>
      </c>
      <c r="Q1070" s="62" t="str">
        <f>IFERROR(IF(OR($B1070="",$B1070="(blank)"),"",VLOOKUP($B1070,'Email Marketing Raw Data'!$C:$O,9,0)),"")</f>
        <v/>
      </c>
    </row>
    <row r="1071" spans="4:17" ht="12.75" customHeight="1" x14ac:dyDescent="0.2">
      <c r="D1071" s="58" t="str">
        <f>IFERROR(IF(F1071&lt;&gt;"pending","",IF(OR($B1071="",$B1071="(blank)"),"",VLOOKUP($B1071,'Email Marketing Raw Data'!$C:$O,10,0))),"")</f>
        <v/>
      </c>
      <c r="E1071" s="59" t="str">
        <f>IFERROR(IF(F1071&lt;&gt;"pending","",IF(OR($B1071="",$B1071="(blank)"),"",VLOOKUP($B1071,'Email Marketing Raw Data'!$C:$O,11,0))),"")</f>
        <v/>
      </c>
      <c r="F1071" s="54" t="str">
        <f>IFERROR(IF(OR($B1071="",$B1071="(blank)"),"",VLOOKUP($B1071,'Email Marketing Raw Data'!$C:$O,13,0)),"")</f>
        <v/>
      </c>
      <c r="G1071" s="55" t="str">
        <f>IFERROR(IF(OR($B1071="",$B1071="(blank)"),"",VLOOKUP($B1071,'Email Marketing Raw Data'!$C:$O,4,0)),"")</f>
        <v/>
      </c>
      <c r="H1071" s="55" t="str">
        <f>IFERROR(IF(OR($B1071="",$B1071="(blank)"),"",VLOOKUP($B1071,'Email Marketing Raw Data'!$C:$O,5,0)),"")</f>
        <v/>
      </c>
      <c r="I1071" s="55" t="str">
        <f>IFERROR(IF($G1071="","",VLOOKUP('Dashboard And Emails Automate'!$G1071,Database!$H:$N,3,0)),"")</f>
        <v/>
      </c>
      <c r="J1071" s="55" t="str">
        <f>IFERROR(IF($G1071="","",VLOOKUP('Dashboard And Emails Automate'!$G1071,Database!$H:$N,4,0)),"")</f>
        <v/>
      </c>
      <c r="K1071" s="55" t="str">
        <f>IFERROR(IF($G1071="","",VLOOKUP('Dashboard And Emails Automate'!$G1071,Database!$H:$N,5,0)),"")</f>
        <v/>
      </c>
      <c r="L1071" s="55" t="str">
        <f>IFERROR(IF($G1071="","",VLOOKUP('Dashboard And Emails Automate'!$G1071,Database!$H:$N,6,0)),"")</f>
        <v/>
      </c>
      <c r="M1071" s="55" t="str">
        <f>IFERROR(IF($G1071="","",VLOOKUP('Dashboard And Emails Automate'!$G1071,Database!$H:$N,7,0)),"")</f>
        <v/>
      </c>
      <c r="N1071" s="55" t="str">
        <f>IFERROR(IF(OR($B1071="",$B1071="(blank)"),"",VLOOKUP($B1071,'Email Marketing Raw Data'!$C:$O,6,0)),"")</f>
        <v/>
      </c>
      <c r="O1071" s="55" t="str">
        <f>IFERROR(IF(OR($B1071="",$B1071="(blank)"),"",VLOOKUP($B1071,'Email Marketing Raw Data'!$C:$O,7,0)),"")</f>
        <v/>
      </c>
      <c r="P1071" s="55" t="str">
        <f>IFERROR(IF(OR($B1071="",$B1071="(blank)"),"",VLOOKUP($B1071,'Email Marketing Raw Data'!$C:$O,8,0)),"")</f>
        <v/>
      </c>
      <c r="Q1071" s="62" t="str">
        <f>IFERROR(IF(OR($B1071="",$B1071="(blank)"),"",VLOOKUP($B1071,'Email Marketing Raw Data'!$C:$O,9,0)),"")</f>
        <v/>
      </c>
    </row>
    <row r="1072" spans="4:17" ht="12.75" customHeight="1" x14ac:dyDescent="0.2">
      <c r="D1072" s="58" t="str">
        <f>IFERROR(IF(F1072&lt;&gt;"pending","",IF(OR($B1072="",$B1072="(blank)"),"",VLOOKUP($B1072,'Email Marketing Raw Data'!$C:$O,10,0))),"")</f>
        <v/>
      </c>
      <c r="E1072" s="59" t="str">
        <f>IFERROR(IF(F1072&lt;&gt;"pending","",IF(OR($B1072="",$B1072="(blank)"),"",VLOOKUP($B1072,'Email Marketing Raw Data'!$C:$O,11,0))),"")</f>
        <v/>
      </c>
      <c r="F1072" s="54" t="str">
        <f>IFERROR(IF(OR($B1072="",$B1072="(blank)"),"",VLOOKUP($B1072,'Email Marketing Raw Data'!$C:$O,13,0)),"")</f>
        <v/>
      </c>
      <c r="G1072" s="55" t="str">
        <f>IFERROR(IF(OR($B1072="",$B1072="(blank)"),"",VLOOKUP($B1072,'Email Marketing Raw Data'!$C:$O,4,0)),"")</f>
        <v/>
      </c>
      <c r="H1072" s="55" t="str">
        <f>IFERROR(IF(OR($B1072="",$B1072="(blank)"),"",VLOOKUP($B1072,'Email Marketing Raw Data'!$C:$O,5,0)),"")</f>
        <v/>
      </c>
      <c r="I1072" s="55" t="str">
        <f>IFERROR(IF($G1072="","",VLOOKUP('Dashboard And Emails Automate'!$G1072,Database!$H:$N,3,0)),"")</f>
        <v/>
      </c>
      <c r="J1072" s="55" t="str">
        <f>IFERROR(IF($G1072="","",VLOOKUP('Dashboard And Emails Automate'!$G1072,Database!$H:$N,4,0)),"")</f>
        <v/>
      </c>
      <c r="K1072" s="55" t="str">
        <f>IFERROR(IF($G1072="","",VLOOKUP('Dashboard And Emails Automate'!$G1072,Database!$H:$N,5,0)),"")</f>
        <v/>
      </c>
      <c r="L1072" s="55" t="str">
        <f>IFERROR(IF($G1072="","",VLOOKUP('Dashboard And Emails Automate'!$G1072,Database!$H:$N,6,0)),"")</f>
        <v/>
      </c>
      <c r="M1072" s="55" t="str">
        <f>IFERROR(IF($G1072="","",VLOOKUP('Dashboard And Emails Automate'!$G1072,Database!$H:$N,7,0)),"")</f>
        <v/>
      </c>
      <c r="N1072" s="55" t="str">
        <f>IFERROR(IF(OR($B1072="",$B1072="(blank)"),"",VLOOKUP($B1072,'Email Marketing Raw Data'!$C:$O,6,0)),"")</f>
        <v/>
      </c>
      <c r="O1072" s="55" t="str">
        <f>IFERROR(IF(OR($B1072="",$B1072="(blank)"),"",VLOOKUP($B1072,'Email Marketing Raw Data'!$C:$O,7,0)),"")</f>
        <v/>
      </c>
      <c r="P1072" s="55" t="str">
        <f>IFERROR(IF(OR($B1072="",$B1072="(blank)"),"",VLOOKUP($B1072,'Email Marketing Raw Data'!$C:$O,8,0)),"")</f>
        <v/>
      </c>
      <c r="Q1072" s="62" t="str">
        <f>IFERROR(IF(OR($B1072="",$B1072="(blank)"),"",VLOOKUP($B1072,'Email Marketing Raw Data'!$C:$O,9,0)),"")</f>
        <v/>
      </c>
    </row>
    <row r="1073" spans="4:17" ht="12.75" customHeight="1" x14ac:dyDescent="0.2">
      <c r="D1073" s="58" t="str">
        <f>IFERROR(IF(F1073&lt;&gt;"pending","",IF(OR($B1073="",$B1073="(blank)"),"",VLOOKUP($B1073,'Email Marketing Raw Data'!$C:$O,10,0))),"")</f>
        <v/>
      </c>
      <c r="E1073" s="59" t="str">
        <f>IFERROR(IF(F1073&lt;&gt;"pending","",IF(OR($B1073="",$B1073="(blank)"),"",VLOOKUP($B1073,'Email Marketing Raw Data'!$C:$O,11,0))),"")</f>
        <v/>
      </c>
      <c r="F1073" s="54" t="str">
        <f>IFERROR(IF(OR($B1073="",$B1073="(blank)"),"",VLOOKUP($B1073,'Email Marketing Raw Data'!$C:$O,13,0)),"")</f>
        <v/>
      </c>
      <c r="G1073" s="55" t="str">
        <f>IFERROR(IF(OR($B1073="",$B1073="(blank)"),"",VLOOKUP($B1073,'Email Marketing Raw Data'!$C:$O,4,0)),"")</f>
        <v/>
      </c>
      <c r="H1073" s="55" t="str">
        <f>IFERROR(IF(OR($B1073="",$B1073="(blank)"),"",VLOOKUP($B1073,'Email Marketing Raw Data'!$C:$O,5,0)),"")</f>
        <v/>
      </c>
      <c r="I1073" s="55" t="str">
        <f>IFERROR(IF($G1073="","",VLOOKUP('Dashboard And Emails Automate'!$G1073,Database!$H:$N,3,0)),"")</f>
        <v/>
      </c>
      <c r="J1073" s="55" t="str">
        <f>IFERROR(IF($G1073="","",VLOOKUP('Dashboard And Emails Automate'!$G1073,Database!$H:$N,4,0)),"")</f>
        <v/>
      </c>
      <c r="K1073" s="55" t="str">
        <f>IFERROR(IF($G1073="","",VLOOKUP('Dashboard And Emails Automate'!$G1073,Database!$H:$N,5,0)),"")</f>
        <v/>
      </c>
      <c r="L1073" s="55" t="str">
        <f>IFERROR(IF($G1073="","",VLOOKUP('Dashboard And Emails Automate'!$G1073,Database!$H:$N,6,0)),"")</f>
        <v/>
      </c>
      <c r="M1073" s="55" t="str">
        <f>IFERROR(IF($G1073="","",VLOOKUP('Dashboard And Emails Automate'!$G1073,Database!$H:$N,7,0)),"")</f>
        <v/>
      </c>
      <c r="N1073" s="55" t="str">
        <f>IFERROR(IF(OR($B1073="",$B1073="(blank)"),"",VLOOKUP($B1073,'Email Marketing Raw Data'!$C:$O,6,0)),"")</f>
        <v/>
      </c>
      <c r="O1073" s="55" t="str">
        <f>IFERROR(IF(OR($B1073="",$B1073="(blank)"),"",VLOOKUP($B1073,'Email Marketing Raw Data'!$C:$O,7,0)),"")</f>
        <v/>
      </c>
      <c r="P1073" s="55" t="str">
        <f>IFERROR(IF(OR($B1073="",$B1073="(blank)"),"",VLOOKUP($B1073,'Email Marketing Raw Data'!$C:$O,8,0)),"")</f>
        <v/>
      </c>
      <c r="Q1073" s="62" t="str">
        <f>IFERROR(IF(OR($B1073="",$B1073="(blank)"),"",VLOOKUP($B1073,'Email Marketing Raw Data'!$C:$O,9,0)),"")</f>
        <v/>
      </c>
    </row>
    <row r="1074" spans="4:17" ht="12.75" customHeight="1" x14ac:dyDescent="0.2">
      <c r="D1074" s="58" t="str">
        <f>IFERROR(IF(F1074&lt;&gt;"pending","",IF(OR($B1074="",$B1074="(blank)"),"",VLOOKUP($B1074,'Email Marketing Raw Data'!$C:$O,10,0))),"")</f>
        <v/>
      </c>
      <c r="E1074" s="59" t="str">
        <f>IFERROR(IF(F1074&lt;&gt;"pending","",IF(OR($B1074="",$B1074="(blank)"),"",VLOOKUP($B1074,'Email Marketing Raw Data'!$C:$O,11,0))),"")</f>
        <v/>
      </c>
      <c r="F1074" s="54" t="str">
        <f>IFERROR(IF(OR($B1074="",$B1074="(blank)"),"",VLOOKUP($B1074,'Email Marketing Raw Data'!$C:$O,13,0)),"")</f>
        <v/>
      </c>
      <c r="G1074" s="55" t="str">
        <f>IFERROR(IF(OR($B1074="",$B1074="(blank)"),"",VLOOKUP($B1074,'Email Marketing Raw Data'!$C:$O,4,0)),"")</f>
        <v/>
      </c>
      <c r="H1074" s="55" t="str">
        <f>IFERROR(IF(OR($B1074="",$B1074="(blank)"),"",VLOOKUP($B1074,'Email Marketing Raw Data'!$C:$O,5,0)),"")</f>
        <v/>
      </c>
      <c r="I1074" s="55" t="str">
        <f>IFERROR(IF($G1074="","",VLOOKUP('Dashboard And Emails Automate'!$G1074,Database!$H:$N,3,0)),"")</f>
        <v/>
      </c>
      <c r="J1074" s="55" t="str">
        <f>IFERROR(IF($G1074="","",VLOOKUP('Dashboard And Emails Automate'!$G1074,Database!$H:$N,4,0)),"")</f>
        <v/>
      </c>
      <c r="K1074" s="55" t="str">
        <f>IFERROR(IF($G1074="","",VLOOKUP('Dashboard And Emails Automate'!$G1074,Database!$H:$N,5,0)),"")</f>
        <v/>
      </c>
      <c r="L1074" s="55" t="str">
        <f>IFERROR(IF($G1074="","",VLOOKUP('Dashboard And Emails Automate'!$G1074,Database!$H:$N,6,0)),"")</f>
        <v/>
      </c>
      <c r="M1074" s="55" t="str">
        <f>IFERROR(IF($G1074="","",VLOOKUP('Dashboard And Emails Automate'!$G1074,Database!$H:$N,7,0)),"")</f>
        <v/>
      </c>
      <c r="N1074" s="55" t="str">
        <f>IFERROR(IF(OR($B1074="",$B1074="(blank)"),"",VLOOKUP($B1074,'Email Marketing Raw Data'!$C:$O,6,0)),"")</f>
        <v/>
      </c>
      <c r="O1074" s="55" t="str">
        <f>IFERROR(IF(OR($B1074="",$B1074="(blank)"),"",VLOOKUP($B1074,'Email Marketing Raw Data'!$C:$O,7,0)),"")</f>
        <v/>
      </c>
      <c r="P1074" s="55" t="str">
        <f>IFERROR(IF(OR($B1074="",$B1074="(blank)"),"",VLOOKUP($B1074,'Email Marketing Raw Data'!$C:$O,8,0)),"")</f>
        <v/>
      </c>
      <c r="Q1074" s="62" t="str">
        <f>IFERROR(IF(OR($B1074="",$B1074="(blank)"),"",VLOOKUP($B1074,'Email Marketing Raw Data'!$C:$O,9,0)),"")</f>
        <v/>
      </c>
    </row>
    <row r="1075" spans="4:17" ht="12.75" customHeight="1" x14ac:dyDescent="0.2">
      <c r="D1075" s="58" t="str">
        <f>IFERROR(IF(F1075&lt;&gt;"pending","",IF(OR($B1075="",$B1075="(blank)"),"",VLOOKUP($B1075,'Email Marketing Raw Data'!$C:$O,10,0))),"")</f>
        <v/>
      </c>
      <c r="E1075" s="59" t="str">
        <f>IFERROR(IF(F1075&lt;&gt;"pending","",IF(OR($B1075="",$B1075="(blank)"),"",VLOOKUP($B1075,'Email Marketing Raw Data'!$C:$O,11,0))),"")</f>
        <v/>
      </c>
      <c r="F1075" s="54" t="str">
        <f>IFERROR(IF(OR($B1075="",$B1075="(blank)"),"",VLOOKUP($B1075,'Email Marketing Raw Data'!$C:$O,13,0)),"")</f>
        <v/>
      </c>
      <c r="G1075" s="55" t="str">
        <f>IFERROR(IF(OR($B1075="",$B1075="(blank)"),"",VLOOKUP($B1075,'Email Marketing Raw Data'!$C:$O,4,0)),"")</f>
        <v/>
      </c>
      <c r="H1075" s="55" t="str">
        <f>IFERROR(IF(OR($B1075="",$B1075="(blank)"),"",VLOOKUP($B1075,'Email Marketing Raw Data'!$C:$O,5,0)),"")</f>
        <v/>
      </c>
      <c r="I1075" s="55" t="str">
        <f>IFERROR(IF($G1075="","",VLOOKUP('Dashboard And Emails Automate'!$G1075,Database!$H:$N,3,0)),"")</f>
        <v/>
      </c>
      <c r="J1075" s="55" t="str">
        <f>IFERROR(IF($G1075="","",VLOOKUP('Dashboard And Emails Automate'!$G1075,Database!$H:$N,4,0)),"")</f>
        <v/>
      </c>
      <c r="K1075" s="55" t="str">
        <f>IFERROR(IF($G1075="","",VLOOKUP('Dashboard And Emails Automate'!$G1075,Database!$H:$N,5,0)),"")</f>
        <v/>
      </c>
      <c r="L1075" s="55" t="str">
        <f>IFERROR(IF($G1075="","",VLOOKUP('Dashboard And Emails Automate'!$G1075,Database!$H:$N,6,0)),"")</f>
        <v/>
      </c>
      <c r="M1075" s="55" t="str">
        <f>IFERROR(IF($G1075="","",VLOOKUP('Dashboard And Emails Automate'!$G1075,Database!$H:$N,7,0)),"")</f>
        <v/>
      </c>
      <c r="N1075" s="55" t="str">
        <f>IFERROR(IF(OR($B1075="",$B1075="(blank)"),"",VLOOKUP($B1075,'Email Marketing Raw Data'!$C:$O,6,0)),"")</f>
        <v/>
      </c>
      <c r="O1075" s="55" t="str">
        <f>IFERROR(IF(OR($B1075="",$B1075="(blank)"),"",VLOOKUP($B1075,'Email Marketing Raw Data'!$C:$O,7,0)),"")</f>
        <v/>
      </c>
      <c r="P1075" s="55" t="str">
        <f>IFERROR(IF(OR($B1075="",$B1075="(blank)"),"",VLOOKUP($B1075,'Email Marketing Raw Data'!$C:$O,8,0)),"")</f>
        <v/>
      </c>
      <c r="Q1075" s="62" t="str">
        <f>IFERROR(IF(OR($B1075="",$B1075="(blank)"),"",VLOOKUP($B1075,'Email Marketing Raw Data'!$C:$O,9,0)),"")</f>
        <v/>
      </c>
    </row>
    <row r="1076" spans="4:17" ht="12.75" customHeight="1" x14ac:dyDescent="0.2">
      <c r="D1076" s="58" t="str">
        <f>IFERROR(IF(F1076&lt;&gt;"pending","",IF(OR($B1076="",$B1076="(blank)"),"",VLOOKUP($B1076,'Email Marketing Raw Data'!$C:$O,10,0))),"")</f>
        <v/>
      </c>
      <c r="E1076" s="59" t="str">
        <f>IFERROR(IF(F1076&lt;&gt;"pending","",IF(OR($B1076="",$B1076="(blank)"),"",VLOOKUP($B1076,'Email Marketing Raw Data'!$C:$O,11,0))),"")</f>
        <v/>
      </c>
      <c r="F1076" s="54" t="str">
        <f>IFERROR(IF(OR($B1076="",$B1076="(blank)"),"",VLOOKUP($B1076,'Email Marketing Raw Data'!$C:$O,13,0)),"")</f>
        <v/>
      </c>
      <c r="G1076" s="55" t="str">
        <f>IFERROR(IF(OR($B1076="",$B1076="(blank)"),"",VLOOKUP($B1076,'Email Marketing Raw Data'!$C:$O,4,0)),"")</f>
        <v/>
      </c>
      <c r="H1076" s="55" t="str">
        <f>IFERROR(IF(OR($B1076="",$B1076="(blank)"),"",VLOOKUP($B1076,'Email Marketing Raw Data'!$C:$O,5,0)),"")</f>
        <v/>
      </c>
      <c r="I1076" s="55" t="str">
        <f>IFERROR(IF($G1076="","",VLOOKUP('Dashboard And Emails Automate'!$G1076,Database!$H:$N,3,0)),"")</f>
        <v/>
      </c>
      <c r="J1076" s="55" t="str">
        <f>IFERROR(IF($G1076="","",VLOOKUP('Dashboard And Emails Automate'!$G1076,Database!$H:$N,4,0)),"")</f>
        <v/>
      </c>
      <c r="K1076" s="55" t="str">
        <f>IFERROR(IF($G1076="","",VLOOKUP('Dashboard And Emails Automate'!$G1076,Database!$H:$N,5,0)),"")</f>
        <v/>
      </c>
      <c r="L1076" s="55" t="str">
        <f>IFERROR(IF($G1076="","",VLOOKUP('Dashboard And Emails Automate'!$G1076,Database!$H:$N,6,0)),"")</f>
        <v/>
      </c>
      <c r="M1076" s="55" t="str">
        <f>IFERROR(IF($G1076="","",VLOOKUP('Dashboard And Emails Automate'!$G1076,Database!$H:$N,7,0)),"")</f>
        <v/>
      </c>
      <c r="N1076" s="55" t="str">
        <f>IFERROR(IF(OR($B1076="",$B1076="(blank)"),"",VLOOKUP($B1076,'Email Marketing Raw Data'!$C:$O,6,0)),"")</f>
        <v/>
      </c>
      <c r="O1076" s="55" t="str">
        <f>IFERROR(IF(OR($B1076="",$B1076="(blank)"),"",VLOOKUP($B1076,'Email Marketing Raw Data'!$C:$O,7,0)),"")</f>
        <v/>
      </c>
      <c r="P1076" s="55" t="str">
        <f>IFERROR(IF(OR($B1076="",$B1076="(blank)"),"",VLOOKUP($B1076,'Email Marketing Raw Data'!$C:$O,8,0)),"")</f>
        <v/>
      </c>
      <c r="Q1076" s="62" t="str">
        <f>IFERROR(IF(OR($B1076="",$B1076="(blank)"),"",VLOOKUP($B1076,'Email Marketing Raw Data'!$C:$O,9,0)),"")</f>
        <v/>
      </c>
    </row>
    <row r="1077" spans="4:17" ht="12.75" customHeight="1" x14ac:dyDescent="0.2">
      <c r="D1077" s="58" t="str">
        <f>IFERROR(IF(F1077&lt;&gt;"pending","",IF(OR($B1077="",$B1077="(blank)"),"",VLOOKUP($B1077,'Email Marketing Raw Data'!$C:$O,10,0))),"")</f>
        <v/>
      </c>
      <c r="E1077" s="59" t="str">
        <f>IFERROR(IF(F1077&lt;&gt;"pending","",IF(OR($B1077="",$B1077="(blank)"),"",VLOOKUP($B1077,'Email Marketing Raw Data'!$C:$O,11,0))),"")</f>
        <v/>
      </c>
      <c r="F1077" s="54" t="str">
        <f>IFERROR(IF(OR($B1077="",$B1077="(blank)"),"",VLOOKUP($B1077,'Email Marketing Raw Data'!$C:$O,13,0)),"")</f>
        <v/>
      </c>
      <c r="G1077" s="55" t="str">
        <f>IFERROR(IF(OR($B1077="",$B1077="(blank)"),"",VLOOKUP($B1077,'Email Marketing Raw Data'!$C:$O,4,0)),"")</f>
        <v/>
      </c>
      <c r="H1077" s="55" t="str">
        <f>IFERROR(IF(OR($B1077="",$B1077="(blank)"),"",VLOOKUP($B1077,'Email Marketing Raw Data'!$C:$O,5,0)),"")</f>
        <v/>
      </c>
      <c r="I1077" s="55" t="str">
        <f>IFERROR(IF($G1077="","",VLOOKUP('Dashboard And Emails Automate'!$G1077,Database!$H:$N,3,0)),"")</f>
        <v/>
      </c>
      <c r="J1077" s="55" t="str">
        <f>IFERROR(IF($G1077="","",VLOOKUP('Dashboard And Emails Automate'!$G1077,Database!$H:$N,4,0)),"")</f>
        <v/>
      </c>
      <c r="K1077" s="55" t="str">
        <f>IFERROR(IF($G1077="","",VLOOKUP('Dashboard And Emails Automate'!$G1077,Database!$H:$N,5,0)),"")</f>
        <v/>
      </c>
      <c r="L1077" s="55" t="str">
        <f>IFERROR(IF($G1077="","",VLOOKUP('Dashboard And Emails Automate'!$G1077,Database!$H:$N,6,0)),"")</f>
        <v/>
      </c>
      <c r="M1077" s="55" t="str">
        <f>IFERROR(IF($G1077="","",VLOOKUP('Dashboard And Emails Automate'!$G1077,Database!$H:$N,7,0)),"")</f>
        <v/>
      </c>
      <c r="N1077" s="55" t="str">
        <f>IFERROR(IF(OR($B1077="",$B1077="(blank)"),"",VLOOKUP($B1077,'Email Marketing Raw Data'!$C:$O,6,0)),"")</f>
        <v/>
      </c>
      <c r="O1077" s="55" t="str">
        <f>IFERROR(IF(OR($B1077="",$B1077="(blank)"),"",VLOOKUP($B1077,'Email Marketing Raw Data'!$C:$O,7,0)),"")</f>
        <v/>
      </c>
      <c r="P1077" s="55" t="str">
        <f>IFERROR(IF(OR($B1077="",$B1077="(blank)"),"",VLOOKUP($B1077,'Email Marketing Raw Data'!$C:$O,8,0)),"")</f>
        <v/>
      </c>
      <c r="Q1077" s="62" t="str">
        <f>IFERROR(IF(OR($B1077="",$B1077="(blank)"),"",VLOOKUP($B1077,'Email Marketing Raw Data'!$C:$O,9,0)),"")</f>
        <v/>
      </c>
    </row>
    <row r="1078" spans="4:17" ht="12.75" customHeight="1" x14ac:dyDescent="0.2">
      <c r="D1078" s="58" t="str">
        <f>IFERROR(IF(F1078&lt;&gt;"pending","",IF(OR($B1078="",$B1078="(blank)"),"",VLOOKUP($B1078,'Email Marketing Raw Data'!$C:$O,10,0))),"")</f>
        <v/>
      </c>
      <c r="E1078" s="59" t="str">
        <f>IFERROR(IF(F1078&lt;&gt;"pending","",IF(OR($B1078="",$B1078="(blank)"),"",VLOOKUP($B1078,'Email Marketing Raw Data'!$C:$O,11,0))),"")</f>
        <v/>
      </c>
      <c r="F1078" s="54" t="str">
        <f>IFERROR(IF(OR($B1078="",$B1078="(blank)"),"",VLOOKUP($B1078,'Email Marketing Raw Data'!$C:$O,13,0)),"")</f>
        <v/>
      </c>
      <c r="G1078" s="55" t="str">
        <f>IFERROR(IF(OR($B1078="",$B1078="(blank)"),"",VLOOKUP($B1078,'Email Marketing Raw Data'!$C:$O,4,0)),"")</f>
        <v/>
      </c>
      <c r="H1078" s="55" t="str">
        <f>IFERROR(IF(OR($B1078="",$B1078="(blank)"),"",VLOOKUP($B1078,'Email Marketing Raw Data'!$C:$O,5,0)),"")</f>
        <v/>
      </c>
      <c r="I1078" s="55" t="str">
        <f>IFERROR(IF($G1078="","",VLOOKUP('Dashboard And Emails Automate'!$G1078,Database!$H:$N,3,0)),"")</f>
        <v/>
      </c>
      <c r="J1078" s="55" t="str">
        <f>IFERROR(IF($G1078="","",VLOOKUP('Dashboard And Emails Automate'!$G1078,Database!$H:$N,4,0)),"")</f>
        <v/>
      </c>
      <c r="K1078" s="55" t="str">
        <f>IFERROR(IF($G1078="","",VLOOKUP('Dashboard And Emails Automate'!$G1078,Database!$H:$N,5,0)),"")</f>
        <v/>
      </c>
      <c r="L1078" s="55" t="str">
        <f>IFERROR(IF($G1078="","",VLOOKUP('Dashboard And Emails Automate'!$G1078,Database!$H:$N,6,0)),"")</f>
        <v/>
      </c>
      <c r="M1078" s="55" t="str">
        <f>IFERROR(IF($G1078="","",VLOOKUP('Dashboard And Emails Automate'!$G1078,Database!$H:$N,7,0)),"")</f>
        <v/>
      </c>
      <c r="N1078" s="55" t="str">
        <f>IFERROR(IF(OR($B1078="",$B1078="(blank)"),"",VLOOKUP($B1078,'Email Marketing Raw Data'!$C:$O,6,0)),"")</f>
        <v/>
      </c>
      <c r="O1078" s="55" t="str">
        <f>IFERROR(IF(OR($B1078="",$B1078="(blank)"),"",VLOOKUP($B1078,'Email Marketing Raw Data'!$C:$O,7,0)),"")</f>
        <v/>
      </c>
      <c r="P1078" s="55" t="str">
        <f>IFERROR(IF(OR($B1078="",$B1078="(blank)"),"",VLOOKUP($B1078,'Email Marketing Raw Data'!$C:$O,8,0)),"")</f>
        <v/>
      </c>
      <c r="Q1078" s="62" t="str">
        <f>IFERROR(IF(OR($B1078="",$B1078="(blank)"),"",VLOOKUP($B1078,'Email Marketing Raw Data'!$C:$O,9,0)),"")</f>
        <v/>
      </c>
    </row>
    <row r="1079" spans="4:17" ht="12.75" customHeight="1" x14ac:dyDescent="0.2">
      <c r="D1079" s="58" t="str">
        <f>IFERROR(IF(F1079&lt;&gt;"pending","",IF(OR($B1079="",$B1079="(blank)"),"",VLOOKUP($B1079,'Email Marketing Raw Data'!$C:$O,10,0))),"")</f>
        <v/>
      </c>
      <c r="E1079" s="59" t="str">
        <f>IFERROR(IF(F1079&lt;&gt;"pending","",IF(OR($B1079="",$B1079="(blank)"),"",VLOOKUP($B1079,'Email Marketing Raw Data'!$C:$O,11,0))),"")</f>
        <v/>
      </c>
      <c r="F1079" s="54" t="str">
        <f>IFERROR(IF(OR($B1079="",$B1079="(blank)"),"",VLOOKUP($B1079,'Email Marketing Raw Data'!$C:$O,13,0)),"")</f>
        <v/>
      </c>
      <c r="G1079" s="55" t="str">
        <f>IFERROR(IF(OR($B1079="",$B1079="(blank)"),"",VLOOKUP($B1079,'Email Marketing Raw Data'!$C:$O,4,0)),"")</f>
        <v/>
      </c>
      <c r="H1079" s="55" t="str">
        <f>IFERROR(IF(OR($B1079="",$B1079="(blank)"),"",VLOOKUP($B1079,'Email Marketing Raw Data'!$C:$O,5,0)),"")</f>
        <v/>
      </c>
      <c r="I1079" s="55" t="str">
        <f>IFERROR(IF($G1079="","",VLOOKUP('Dashboard And Emails Automate'!$G1079,Database!$H:$N,3,0)),"")</f>
        <v/>
      </c>
      <c r="J1079" s="55" t="str">
        <f>IFERROR(IF($G1079="","",VLOOKUP('Dashboard And Emails Automate'!$G1079,Database!$H:$N,4,0)),"")</f>
        <v/>
      </c>
      <c r="K1079" s="55" t="str">
        <f>IFERROR(IF($G1079="","",VLOOKUP('Dashboard And Emails Automate'!$G1079,Database!$H:$N,5,0)),"")</f>
        <v/>
      </c>
      <c r="L1079" s="55" t="str">
        <f>IFERROR(IF($G1079="","",VLOOKUP('Dashboard And Emails Automate'!$G1079,Database!$H:$N,6,0)),"")</f>
        <v/>
      </c>
      <c r="M1079" s="55" t="str">
        <f>IFERROR(IF($G1079="","",VLOOKUP('Dashboard And Emails Automate'!$G1079,Database!$H:$N,7,0)),"")</f>
        <v/>
      </c>
      <c r="N1079" s="55" t="str">
        <f>IFERROR(IF(OR($B1079="",$B1079="(blank)"),"",VLOOKUP($B1079,'Email Marketing Raw Data'!$C:$O,6,0)),"")</f>
        <v/>
      </c>
      <c r="O1079" s="55" t="str">
        <f>IFERROR(IF(OR($B1079="",$B1079="(blank)"),"",VLOOKUP($B1079,'Email Marketing Raw Data'!$C:$O,7,0)),"")</f>
        <v/>
      </c>
      <c r="P1079" s="55" t="str">
        <f>IFERROR(IF(OR($B1079="",$B1079="(blank)"),"",VLOOKUP($B1079,'Email Marketing Raw Data'!$C:$O,8,0)),"")</f>
        <v/>
      </c>
      <c r="Q1079" s="62" t="str">
        <f>IFERROR(IF(OR($B1079="",$B1079="(blank)"),"",VLOOKUP($B1079,'Email Marketing Raw Data'!$C:$O,9,0)),"")</f>
        <v/>
      </c>
    </row>
    <row r="1080" spans="4:17" ht="12.75" customHeight="1" x14ac:dyDescent="0.2">
      <c r="D1080" s="58" t="str">
        <f>IFERROR(IF(F1080&lt;&gt;"pending","",IF(OR($B1080="",$B1080="(blank)"),"",VLOOKUP($B1080,'Email Marketing Raw Data'!$C:$O,10,0))),"")</f>
        <v/>
      </c>
      <c r="E1080" s="59" t="str">
        <f>IFERROR(IF(F1080&lt;&gt;"pending","",IF(OR($B1080="",$B1080="(blank)"),"",VLOOKUP($B1080,'Email Marketing Raw Data'!$C:$O,11,0))),"")</f>
        <v/>
      </c>
      <c r="F1080" s="54" t="str">
        <f>IFERROR(IF(OR($B1080="",$B1080="(blank)"),"",VLOOKUP($B1080,'Email Marketing Raw Data'!$C:$O,13,0)),"")</f>
        <v/>
      </c>
      <c r="G1080" s="55" t="str">
        <f>IFERROR(IF(OR($B1080="",$B1080="(blank)"),"",VLOOKUP($B1080,'Email Marketing Raw Data'!$C:$O,4,0)),"")</f>
        <v/>
      </c>
      <c r="H1080" s="55" t="str">
        <f>IFERROR(IF(OR($B1080="",$B1080="(blank)"),"",VLOOKUP($B1080,'Email Marketing Raw Data'!$C:$O,5,0)),"")</f>
        <v/>
      </c>
      <c r="I1080" s="55" t="str">
        <f>IFERROR(IF($G1080="","",VLOOKUP('Dashboard And Emails Automate'!$G1080,Database!$H:$N,3,0)),"")</f>
        <v/>
      </c>
      <c r="J1080" s="55" t="str">
        <f>IFERROR(IF($G1080="","",VLOOKUP('Dashboard And Emails Automate'!$G1080,Database!$H:$N,4,0)),"")</f>
        <v/>
      </c>
      <c r="K1080" s="55" t="str">
        <f>IFERROR(IF($G1080="","",VLOOKUP('Dashboard And Emails Automate'!$G1080,Database!$H:$N,5,0)),"")</f>
        <v/>
      </c>
      <c r="L1080" s="55" t="str">
        <f>IFERROR(IF($G1080="","",VLOOKUP('Dashboard And Emails Automate'!$G1080,Database!$H:$N,6,0)),"")</f>
        <v/>
      </c>
      <c r="M1080" s="55" t="str">
        <f>IFERROR(IF($G1080="","",VLOOKUP('Dashboard And Emails Automate'!$G1080,Database!$H:$N,7,0)),"")</f>
        <v/>
      </c>
      <c r="N1080" s="55" t="str">
        <f>IFERROR(IF(OR($B1080="",$B1080="(blank)"),"",VLOOKUP($B1080,'Email Marketing Raw Data'!$C:$O,6,0)),"")</f>
        <v/>
      </c>
      <c r="O1080" s="55" t="str">
        <f>IFERROR(IF(OR($B1080="",$B1080="(blank)"),"",VLOOKUP($B1080,'Email Marketing Raw Data'!$C:$O,7,0)),"")</f>
        <v/>
      </c>
      <c r="P1080" s="55" t="str">
        <f>IFERROR(IF(OR($B1080="",$B1080="(blank)"),"",VLOOKUP($B1080,'Email Marketing Raw Data'!$C:$O,8,0)),"")</f>
        <v/>
      </c>
      <c r="Q1080" s="62" t="str">
        <f>IFERROR(IF(OR($B1080="",$B1080="(blank)"),"",VLOOKUP($B1080,'Email Marketing Raw Data'!$C:$O,9,0)),"")</f>
        <v/>
      </c>
    </row>
    <row r="1081" spans="4:17" ht="12.75" customHeight="1" x14ac:dyDescent="0.2">
      <c r="D1081" s="58" t="str">
        <f>IFERROR(IF(F1081&lt;&gt;"pending","",IF(OR($B1081="",$B1081="(blank)"),"",VLOOKUP($B1081,'Email Marketing Raw Data'!$C:$O,10,0))),"")</f>
        <v/>
      </c>
      <c r="E1081" s="59" t="str">
        <f>IFERROR(IF(F1081&lt;&gt;"pending","",IF(OR($B1081="",$B1081="(blank)"),"",VLOOKUP($B1081,'Email Marketing Raw Data'!$C:$O,11,0))),"")</f>
        <v/>
      </c>
      <c r="F1081" s="54" t="str">
        <f>IFERROR(IF(OR($B1081="",$B1081="(blank)"),"",VLOOKUP($B1081,'Email Marketing Raw Data'!$C:$O,13,0)),"")</f>
        <v/>
      </c>
      <c r="G1081" s="55" t="str">
        <f>IFERROR(IF(OR($B1081="",$B1081="(blank)"),"",VLOOKUP($B1081,'Email Marketing Raw Data'!$C:$O,4,0)),"")</f>
        <v/>
      </c>
      <c r="H1081" s="55" t="str">
        <f>IFERROR(IF(OR($B1081="",$B1081="(blank)"),"",VLOOKUP($B1081,'Email Marketing Raw Data'!$C:$O,5,0)),"")</f>
        <v/>
      </c>
      <c r="I1081" s="55" t="str">
        <f>IFERROR(IF($G1081="","",VLOOKUP('Dashboard And Emails Automate'!$G1081,Database!$H:$N,3,0)),"")</f>
        <v/>
      </c>
      <c r="J1081" s="55" t="str">
        <f>IFERROR(IF($G1081="","",VLOOKUP('Dashboard And Emails Automate'!$G1081,Database!$H:$N,4,0)),"")</f>
        <v/>
      </c>
      <c r="K1081" s="55" t="str">
        <f>IFERROR(IF($G1081="","",VLOOKUP('Dashboard And Emails Automate'!$G1081,Database!$H:$N,5,0)),"")</f>
        <v/>
      </c>
      <c r="L1081" s="55" t="str">
        <f>IFERROR(IF($G1081="","",VLOOKUP('Dashboard And Emails Automate'!$G1081,Database!$H:$N,6,0)),"")</f>
        <v/>
      </c>
      <c r="M1081" s="55" t="str">
        <f>IFERROR(IF($G1081="","",VLOOKUP('Dashboard And Emails Automate'!$G1081,Database!$H:$N,7,0)),"")</f>
        <v/>
      </c>
      <c r="N1081" s="55" t="str">
        <f>IFERROR(IF(OR($B1081="",$B1081="(blank)"),"",VLOOKUP($B1081,'Email Marketing Raw Data'!$C:$O,6,0)),"")</f>
        <v/>
      </c>
      <c r="O1081" s="55" t="str">
        <f>IFERROR(IF(OR($B1081="",$B1081="(blank)"),"",VLOOKUP($B1081,'Email Marketing Raw Data'!$C:$O,7,0)),"")</f>
        <v/>
      </c>
      <c r="P1081" s="55" t="str">
        <f>IFERROR(IF(OR($B1081="",$B1081="(blank)"),"",VLOOKUP($B1081,'Email Marketing Raw Data'!$C:$O,8,0)),"")</f>
        <v/>
      </c>
      <c r="Q1081" s="62" t="str">
        <f>IFERROR(IF(OR($B1081="",$B1081="(blank)"),"",VLOOKUP($B1081,'Email Marketing Raw Data'!$C:$O,9,0)),"")</f>
        <v/>
      </c>
    </row>
    <row r="1082" spans="4:17" ht="12.75" customHeight="1" x14ac:dyDescent="0.2">
      <c r="D1082" s="58" t="str">
        <f>IFERROR(IF(F1082&lt;&gt;"pending","",IF(OR($B1082="",$B1082="(blank)"),"",VLOOKUP($B1082,'Email Marketing Raw Data'!$C:$O,10,0))),"")</f>
        <v/>
      </c>
      <c r="E1082" s="59" t="str">
        <f>IFERROR(IF(F1082&lt;&gt;"pending","",IF(OR($B1082="",$B1082="(blank)"),"",VLOOKUP($B1082,'Email Marketing Raw Data'!$C:$O,11,0))),"")</f>
        <v/>
      </c>
      <c r="F1082" s="54" t="str">
        <f>IFERROR(IF(OR($B1082="",$B1082="(blank)"),"",VLOOKUP($B1082,'Email Marketing Raw Data'!$C:$O,13,0)),"")</f>
        <v/>
      </c>
      <c r="G1082" s="55" t="str">
        <f>IFERROR(IF(OR($B1082="",$B1082="(blank)"),"",VLOOKUP($B1082,'Email Marketing Raw Data'!$C:$O,4,0)),"")</f>
        <v/>
      </c>
      <c r="H1082" s="55" t="str">
        <f>IFERROR(IF(OR($B1082="",$B1082="(blank)"),"",VLOOKUP($B1082,'Email Marketing Raw Data'!$C:$O,5,0)),"")</f>
        <v/>
      </c>
      <c r="I1082" s="55" t="str">
        <f>IFERROR(IF($G1082="","",VLOOKUP('Dashboard And Emails Automate'!$G1082,Database!$H:$N,3,0)),"")</f>
        <v/>
      </c>
      <c r="J1082" s="55" t="str">
        <f>IFERROR(IF($G1082="","",VLOOKUP('Dashboard And Emails Automate'!$G1082,Database!$H:$N,4,0)),"")</f>
        <v/>
      </c>
      <c r="K1082" s="55" t="str">
        <f>IFERROR(IF($G1082="","",VLOOKUP('Dashboard And Emails Automate'!$G1082,Database!$H:$N,5,0)),"")</f>
        <v/>
      </c>
      <c r="L1082" s="55" t="str">
        <f>IFERROR(IF($G1082="","",VLOOKUP('Dashboard And Emails Automate'!$G1082,Database!$H:$N,6,0)),"")</f>
        <v/>
      </c>
      <c r="M1082" s="55" t="str">
        <f>IFERROR(IF($G1082="","",VLOOKUP('Dashboard And Emails Automate'!$G1082,Database!$H:$N,7,0)),"")</f>
        <v/>
      </c>
      <c r="N1082" s="55" t="str">
        <f>IFERROR(IF(OR($B1082="",$B1082="(blank)"),"",VLOOKUP($B1082,'Email Marketing Raw Data'!$C:$O,6,0)),"")</f>
        <v/>
      </c>
      <c r="O1082" s="55" t="str">
        <f>IFERROR(IF(OR($B1082="",$B1082="(blank)"),"",VLOOKUP($B1082,'Email Marketing Raw Data'!$C:$O,7,0)),"")</f>
        <v/>
      </c>
      <c r="P1082" s="55" t="str">
        <f>IFERROR(IF(OR($B1082="",$B1082="(blank)"),"",VLOOKUP($B1082,'Email Marketing Raw Data'!$C:$O,8,0)),"")</f>
        <v/>
      </c>
      <c r="Q1082" s="62" t="str">
        <f>IFERROR(IF(OR($B1082="",$B1082="(blank)"),"",VLOOKUP($B1082,'Email Marketing Raw Data'!$C:$O,9,0)),"")</f>
        <v/>
      </c>
    </row>
    <row r="1083" spans="4:17" ht="12.75" customHeight="1" x14ac:dyDescent="0.2">
      <c r="D1083" s="58" t="str">
        <f>IFERROR(IF(F1083&lt;&gt;"pending","",IF(OR($B1083="",$B1083="(blank)"),"",VLOOKUP($B1083,'Email Marketing Raw Data'!$C:$O,10,0))),"")</f>
        <v/>
      </c>
      <c r="E1083" s="59" t="str">
        <f>IFERROR(IF(F1083&lt;&gt;"pending","",IF(OR($B1083="",$B1083="(blank)"),"",VLOOKUP($B1083,'Email Marketing Raw Data'!$C:$O,11,0))),"")</f>
        <v/>
      </c>
      <c r="F1083" s="54" t="str">
        <f>IFERROR(IF(OR($B1083="",$B1083="(blank)"),"",VLOOKUP($B1083,'Email Marketing Raw Data'!$C:$O,13,0)),"")</f>
        <v/>
      </c>
      <c r="G1083" s="55" t="str">
        <f>IFERROR(IF(OR($B1083="",$B1083="(blank)"),"",VLOOKUP($B1083,'Email Marketing Raw Data'!$C:$O,4,0)),"")</f>
        <v/>
      </c>
      <c r="H1083" s="55" t="str">
        <f>IFERROR(IF(OR($B1083="",$B1083="(blank)"),"",VLOOKUP($B1083,'Email Marketing Raw Data'!$C:$O,5,0)),"")</f>
        <v/>
      </c>
      <c r="I1083" s="55" t="str">
        <f>IFERROR(IF($G1083="","",VLOOKUP('Dashboard And Emails Automate'!$G1083,Database!$H:$N,3,0)),"")</f>
        <v/>
      </c>
      <c r="J1083" s="55" t="str">
        <f>IFERROR(IF($G1083="","",VLOOKUP('Dashboard And Emails Automate'!$G1083,Database!$H:$N,4,0)),"")</f>
        <v/>
      </c>
      <c r="K1083" s="55" t="str">
        <f>IFERROR(IF($G1083="","",VLOOKUP('Dashboard And Emails Automate'!$G1083,Database!$H:$N,5,0)),"")</f>
        <v/>
      </c>
      <c r="L1083" s="55" t="str">
        <f>IFERROR(IF($G1083="","",VLOOKUP('Dashboard And Emails Automate'!$G1083,Database!$H:$N,6,0)),"")</f>
        <v/>
      </c>
      <c r="M1083" s="55" t="str">
        <f>IFERROR(IF($G1083="","",VLOOKUP('Dashboard And Emails Automate'!$G1083,Database!$H:$N,7,0)),"")</f>
        <v/>
      </c>
      <c r="N1083" s="55" t="str">
        <f>IFERROR(IF(OR($B1083="",$B1083="(blank)"),"",VLOOKUP($B1083,'Email Marketing Raw Data'!$C:$O,6,0)),"")</f>
        <v/>
      </c>
      <c r="O1083" s="55" t="str">
        <f>IFERROR(IF(OR($B1083="",$B1083="(blank)"),"",VLOOKUP($B1083,'Email Marketing Raw Data'!$C:$O,7,0)),"")</f>
        <v/>
      </c>
      <c r="P1083" s="55" t="str">
        <f>IFERROR(IF(OR($B1083="",$B1083="(blank)"),"",VLOOKUP($B1083,'Email Marketing Raw Data'!$C:$O,8,0)),"")</f>
        <v/>
      </c>
      <c r="Q1083" s="62" t="str">
        <f>IFERROR(IF(OR($B1083="",$B1083="(blank)"),"",VLOOKUP($B1083,'Email Marketing Raw Data'!$C:$O,9,0)),"")</f>
        <v/>
      </c>
    </row>
    <row r="1084" spans="4:17" ht="12.75" customHeight="1" x14ac:dyDescent="0.2">
      <c r="D1084" s="58" t="str">
        <f>IFERROR(IF(F1084&lt;&gt;"pending","",IF(OR($B1084="",$B1084="(blank)"),"",VLOOKUP($B1084,'Email Marketing Raw Data'!$C:$O,10,0))),"")</f>
        <v/>
      </c>
      <c r="E1084" s="59" t="str">
        <f>IFERROR(IF(F1084&lt;&gt;"pending","",IF(OR($B1084="",$B1084="(blank)"),"",VLOOKUP($B1084,'Email Marketing Raw Data'!$C:$O,11,0))),"")</f>
        <v/>
      </c>
      <c r="F1084" s="54" t="str">
        <f>IFERROR(IF(OR($B1084="",$B1084="(blank)"),"",VLOOKUP($B1084,'Email Marketing Raw Data'!$C:$O,13,0)),"")</f>
        <v/>
      </c>
      <c r="G1084" s="55" t="str">
        <f>IFERROR(IF(OR($B1084="",$B1084="(blank)"),"",VLOOKUP($B1084,'Email Marketing Raw Data'!$C:$O,4,0)),"")</f>
        <v/>
      </c>
      <c r="H1084" s="55" t="str">
        <f>IFERROR(IF(OR($B1084="",$B1084="(blank)"),"",VLOOKUP($B1084,'Email Marketing Raw Data'!$C:$O,5,0)),"")</f>
        <v/>
      </c>
      <c r="I1084" s="55" t="str">
        <f>IFERROR(IF($G1084="","",VLOOKUP('Dashboard And Emails Automate'!$G1084,Database!$H:$N,3,0)),"")</f>
        <v/>
      </c>
      <c r="J1084" s="55" t="str">
        <f>IFERROR(IF($G1084="","",VLOOKUP('Dashboard And Emails Automate'!$G1084,Database!$H:$N,4,0)),"")</f>
        <v/>
      </c>
      <c r="K1084" s="55" t="str">
        <f>IFERROR(IF($G1084="","",VLOOKUP('Dashboard And Emails Automate'!$G1084,Database!$H:$N,5,0)),"")</f>
        <v/>
      </c>
      <c r="L1084" s="55" t="str">
        <f>IFERROR(IF($G1084="","",VLOOKUP('Dashboard And Emails Automate'!$G1084,Database!$H:$N,6,0)),"")</f>
        <v/>
      </c>
      <c r="M1084" s="55" t="str">
        <f>IFERROR(IF($G1084="","",VLOOKUP('Dashboard And Emails Automate'!$G1084,Database!$H:$N,7,0)),"")</f>
        <v/>
      </c>
      <c r="N1084" s="55" t="str">
        <f>IFERROR(IF(OR($B1084="",$B1084="(blank)"),"",VLOOKUP($B1084,'Email Marketing Raw Data'!$C:$O,6,0)),"")</f>
        <v/>
      </c>
      <c r="O1084" s="55" t="str">
        <f>IFERROR(IF(OR($B1084="",$B1084="(blank)"),"",VLOOKUP($B1084,'Email Marketing Raw Data'!$C:$O,7,0)),"")</f>
        <v/>
      </c>
      <c r="P1084" s="55" t="str">
        <f>IFERROR(IF(OR($B1084="",$B1084="(blank)"),"",VLOOKUP($B1084,'Email Marketing Raw Data'!$C:$O,8,0)),"")</f>
        <v/>
      </c>
      <c r="Q1084" s="62" t="str">
        <f>IFERROR(IF(OR($B1084="",$B1084="(blank)"),"",VLOOKUP($B1084,'Email Marketing Raw Data'!$C:$O,9,0)),"")</f>
        <v/>
      </c>
    </row>
    <row r="1085" spans="4:17" ht="12.75" customHeight="1" x14ac:dyDescent="0.2">
      <c r="D1085" s="58" t="str">
        <f>IFERROR(IF(F1085&lt;&gt;"pending","",IF(OR($B1085="",$B1085="(blank)"),"",VLOOKUP($B1085,'Email Marketing Raw Data'!$C:$O,10,0))),"")</f>
        <v/>
      </c>
      <c r="E1085" s="59" t="str">
        <f>IFERROR(IF(F1085&lt;&gt;"pending","",IF(OR($B1085="",$B1085="(blank)"),"",VLOOKUP($B1085,'Email Marketing Raw Data'!$C:$O,11,0))),"")</f>
        <v/>
      </c>
      <c r="F1085" s="54" t="str">
        <f>IFERROR(IF(OR($B1085="",$B1085="(blank)"),"",VLOOKUP($B1085,'Email Marketing Raw Data'!$C:$O,13,0)),"")</f>
        <v/>
      </c>
      <c r="G1085" s="55" t="str">
        <f>IFERROR(IF(OR($B1085="",$B1085="(blank)"),"",VLOOKUP($B1085,'Email Marketing Raw Data'!$C:$O,4,0)),"")</f>
        <v/>
      </c>
      <c r="H1085" s="55" t="str">
        <f>IFERROR(IF(OR($B1085="",$B1085="(blank)"),"",VLOOKUP($B1085,'Email Marketing Raw Data'!$C:$O,5,0)),"")</f>
        <v/>
      </c>
      <c r="I1085" s="55" t="str">
        <f>IFERROR(IF($G1085="","",VLOOKUP('Dashboard And Emails Automate'!$G1085,Database!$H:$N,3,0)),"")</f>
        <v/>
      </c>
      <c r="J1085" s="55" t="str">
        <f>IFERROR(IF($G1085="","",VLOOKUP('Dashboard And Emails Automate'!$G1085,Database!$H:$N,4,0)),"")</f>
        <v/>
      </c>
      <c r="K1085" s="55" t="str">
        <f>IFERROR(IF($G1085="","",VLOOKUP('Dashboard And Emails Automate'!$G1085,Database!$H:$N,5,0)),"")</f>
        <v/>
      </c>
      <c r="L1085" s="55" t="str">
        <f>IFERROR(IF($G1085="","",VLOOKUP('Dashboard And Emails Automate'!$G1085,Database!$H:$N,6,0)),"")</f>
        <v/>
      </c>
      <c r="M1085" s="55" t="str">
        <f>IFERROR(IF($G1085="","",VLOOKUP('Dashboard And Emails Automate'!$G1085,Database!$H:$N,7,0)),"")</f>
        <v/>
      </c>
      <c r="N1085" s="55" t="str">
        <f>IFERROR(IF(OR($B1085="",$B1085="(blank)"),"",VLOOKUP($B1085,'Email Marketing Raw Data'!$C:$O,6,0)),"")</f>
        <v/>
      </c>
      <c r="O1085" s="55" t="str">
        <f>IFERROR(IF(OR($B1085="",$B1085="(blank)"),"",VLOOKUP($B1085,'Email Marketing Raw Data'!$C:$O,7,0)),"")</f>
        <v/>
      </c>
      <c r="P1085" s="55" t="str">
        <f>IFERROR(IF(OR($B1085="",$B1085="(blank)"),"",VLOOKUP($B1085,'Email Marketing Raw Data'!$C:$O,8,0)),"")</f>
        <v/>
      </c>
      <c r="Q1085" s="62" t="str">
        <f>IFERROR(IF(OR($B1085="",$B1085="(blank)"),"",VLOOKUP($B1085,'Email Marketing Raw Data'!$C:$O,9,0)),"")</f>
        <v/>
      </c>
    </row>
    <row r="1086" spans="4:17" ht="12.75" customHeight="1" x14ac:dyDescent="0.2">
      <c r="D1086" s="58" t="str">
        <f>IFERROR(IF(F1086&lt;&gt;"pending","",IF(OR($B1086="",$B1086="(blank)"),"",VLOOKUP($B1086,'Email Marketing Raw Data'!$C:$O,10,0))),"")</f>
        <v/>
      </c>
      <c r="E1086" s="59" t="str">
        <f>IFERROR(IF(F1086&lt;&gt;"pending","",IF(OR($B1086="",$B1086="(blank)"),"",VLOOKUP($B1086,'Email Marketing Raw Data'!$C:$O,11,0))),"")</f>
        <v/>
      </c>
      <c r="F1086" s="54" t="str">
        <f>IFERROR(IF(OR($B1086="",$B1086="(blank)"),"",VLOOKUP($B1086,'Email Marketing Raw Data'!$C:$O,13,0)),"")</f>
        <v/>
      </c>
      <c r="G1086" s="55" t="str">
        <f>IFERROR(IF(OR($B1086="",$B1086="(blank)"),"",VLOOKUP($B1086,'Email Marketing Raw Data'!$C:$O,4,0)),"")</f>
        <v/>
      </c>
      <c r="H1086" s="55" t="str">
        <f>IFERROR(IF(OR($B1086="",$B1086="(blank)"),"",VLOOKUP($B1086,'Email Marketing Raw Data'!$C:$O,5,0)),"")</f>
        <v/>
      </c>
      <c r="I1086" s="55" t="str">
        <f>IFERROR(IF($G1086="","",VLOOKUP('Dashboard And Emails Automate'!$G1086,Database!$H:$N,3,0)),"")</f>
        <v/>
      </c>
      <c r="J1086" s="55" t="str">
        <f>IFERROR(IF($G1086="","",VLOOKUP('Dashboard And Emails Automate'!$G1086,Database!$H:$N,4,0)),"")</f>
        <v/>
      </c>
      <c r="K1086" s="55" t="str">
        <f>IFERROR(IF($G1086="","",VLOOKUP('Dashboard And Emails Automate'!$G1086,Database!$H:$N,5,0)),"")</f>
        <v/>
      </c>
      <c r="L1086" s="55" t="str">
        <f>IFERROR(IF($G1086="","",VLOOKUP('Dashboard And Emails Automate'!$G1086,Database!$H:$N,6,0)),"")</f>
        <v/>
      </c>
      <c r="M1086" s="55" t="str">
        <f>IFERROR(IF($G1086="","",VLOOKUP('Dashboard And Emails Automate'!$G1086,Database!$H:$N,7,0)),"")</f>
        <v/>
      </c>
      <c r="N1086" s="55" t="str">
        <f>IFERROR(IF(OR($B1086="",$B1086="(blank)"),"",VLOOKUP($B1086,'Email Marketing Raw Data'!$C:$O,6,0)),"")</f>
        <v/>
      </c>
      <c r="O1086" s="55" t="str">
        <f>IFERROR(IF(OR($B1086="",$B1086="(blank)"),"",VLOOKUP($B1086,'Email Marketing Raw Data'!$C:$O,7,0)),"")</f>
        <v/>
      </c>
      <c r="P1086" s="55" t="str">
        <f>IFERROR(IF(OR($B1086="",$B1086="(blank)"),"",VLOOKUP($B1086,'Email Marketing Raw Data'!$C:$O,8,0)),"")</f>
        <v/>
      </c>
      <c r="Q1086" s="62" t="str">
        <f>IFERROR(IF(OR($B1086="",$B1086="(blank)"),"",VLOOKUP($B1086,'Email Marketing Raw Data'!$C:$O,9,0)),"")</f>
        <v/>
      </c>
    </row>
    <row r="1087" spans="4:17" ht="12.75" customHeight="1" x14ac:dyDescent="0.2">
      <c r="D1087" s="58" t="str">
        <f>IFERROR(IF(F1087&lt;&gt;"pending","",IF(OR($B1087="",$B1087="(blank)"),"",VLOOKUP($B1087,'Email Marketing Raw Data'!$C:$O,10,0))),"")</f>
        <v/>
      </c>
      <c r="E1087" s="59" t="str">
        <f>IFERROR(IF(F1087&lt;&gt;"pending","",IF(OR($B1087="",$B1087="(blank)"),"",VLOOKUP($B1087,'Email Marketing Raw Data'!$C:$O,11,0))),"")</f>
        <v/>
      </c>
      <c r="F1087" s="54" t="str">
        <f>IFERROR(IF(OR($B1087="",$B1087="(blank)"),"",VLOOKUP($B1087,'Email Marketing Raw Data'!$C:$O,13,0)),"")</f>
        <v/>
      </c>
      <c r="G1087" s="55" t="str">
        <f>IFERROR(IF(OR($B1087="",$B1087="(blank)"),"",VLOOKUP($B1087,'Email Marketing Raw Data'!$C:$O,4,0)),"")</f>
        <v/>
      </c>
      <c r="H1087" s="55" t="str">
        <f>IFERROR(IF(OR($B1087="",$B1087="(blank)"),"",VLOOKUP($B1087,'Email Marketing Raw Data'!$C:$O,5,0)),"")</f>
        <v/>
      </c>
      <c r="I1087" s="55" t="str">
        <f>IFERROR(IF($G1087="","",VLOOKUP('Dashboard And Emails Automate'!$G1087,Database!$H:$N,3,0)),"")</f>
        <v/>
      </c>
      <c r="J1087" s="55" t="str">
        <f>IFERROR(IF($G1087="","",VLOOKUP('Dashboard And Emails Automate'!$G1087,Database!$H:$N,4,0)),"")</f>
        <v/>
      </c>
      <c r="K1087" s="55" t="str">
        <f>IFERROR(IF($G1087="","",VLOOKUP('Dashboard And Emails Automate'!$G1087,Database!$H:$N,5,0)),"")</f>
        <v/>
      </c>
      <c r="L1087" s="55" t="str">
        <f>IFERROR(IF($G1087="","",VLOOKUP('Dashboard And Emails Automate'!$G1087,Database!$H:$N,6,0)),"")</f>
        <v/>
      </c>
      <c r="M1087" s="55" t="str">
        <f>IFERROR(IF($G1087="","",VLOOKUP('Dashboard And Emails Automate'!$G1087,Database!$H:$N,7,0)),"")</f>
        <v/>
      </c>
      <c r="N1087" s="55" t="str">
        <f>IFERROR(IF(OR($B1087="",$B1087="(blank)"),"",VLOOKUP($B1087,'Email Marketing Raw Data'!$C:$O,6,0)),"")</f>
        <v/>
      </c>
      <c r="O1087" s="55" t="str">
        <f>IFERROR(IF(OR($B1087="",$B1087="(blank)"),"",VLOOKUP($B1087,'Email Marketing Raw Data'!$C:$O,7,0)),"")</f>
        <v/>
      </c>
      <c r="P1087" s="55" t="str">
        <f>IFERROR(IF(OR($B1087="",$B1087="(blank)"),"",VLOOKUP($B1087,'Email Marketing Raw Data'!$C:$O,8,0)),"")</f>
        <v/>
      </c>
      <c r="Q1087" s="62" t="str">
        <f>IFERROR(IF(OR($B1087="",$B1087="(blank)"),"",VLOOKUP($B1087,'Email Marketing Raw Data'!$C:$O,9,0)),"")</f>
        <v/>
      </c>
    </row>
    <row r="1088" spans="4:17" ht="12.75" customHeight="1" x14ac:dyDescent="0.2">
      <c r="D1088" s="58" t="str">
        <f>IFERROR(IF(F1088&lt;&gt;"pending","",IF(OR($B1088="",$B1088="(blank)"),"",VLOOKUP($B1088,'Email Marketing Raw Data'!$C:$O,10,0))),"")</f>
        <v/>
      </c>
      <c r="E1088" s="59" t="str">
        <f>IFERROR(IF(F1088&lt;&gt;"pending","",IF(OR($B1088="",$B1088="(blank)"),"",VLOOKUP($B1088,'Email Marketing Raw Data'!$C:$O,11,0))),"")</f>
        <v/>
      </c>
      <c r="F1088" s="54" t="str">
        <f>IFERROR(IF(OR($B1088="",$B1088="(blank)"),"",VLOOKUP($B1088,'Email Marketing Raw Data'!$C:$O,13,0)),"")</f>
        <v/>
      </c>
      <c r="G1088" s="55" t="str">
        <f>IFERROR(IF(OR($B1088="",$B1088="(blank)"),"",VLOOKUP($B1088,'Email Marketing Raw Data'!$C:$O,4,0)),"")</f>
        <v/>
      </c>
      <c r="H1088" s="55" t="str">
        <f>IFERROR(IF(OR($B1088="",$B1088="(blank)"),"",VLOOKUP($B1088,'Email Marketing Raw Data'!$C:$O,5,0)),"")</f>
        <v/>
      </c>
      <c r="I1088" s="55" t="str">
        <f>IFERROR(IF($G1088="","",VLOOKUP('Dashboard And Emails Automate'!$G1088,Database!$H:$N,3,0)),"")</f>
        <v/>
      </c>
      <c r="J1088" s="55" t="str">
        <f>IFERROR(IF($G1088="","",VLOOKUP('Dashboard And Emails Automate'!$G1088,Database!$H:$N,4,0)),"")</f>
        <v/>
      </c>
      <c r="K1088" s="55" t="str">
        <f>IFERROR(IF($G1088="","",VLOOKUP('Dashboard And Emails Automate'!$G1088,Database!$H:$N,5,0)),"")</f>
        <v/>
      </c>
      <c r="L1088" s="55" t="str">
        <f>IFERROR(IF($G1088="","",VLOOKUP('Dashboard And Emails Automate'!$G1088,Database!$H:$N,6,0)),"")</f>
        <v/>
      </c>
      <c r="M1088" s="55" t="str">
        <f>IFERROR(IF($G1088="","",VLOOKUP('Dashboard And Emails Automate'!$G1088,Database!$H:$N,7,0)),"")</f>
        <v/>
      </c>
      <c r="N1088" s="55" t="str">
        <f>IFERROR(IF(OR($B1088="",$B1088="(blank)"),"",VLOOKUP($B1088,'Email Marketing Raw Data'!$C:$O,6,0)),"")</f>
        <v/>
      </c>
      <c r="O1088" s="55" t="str">
        <f>IFERROR(IF(OR($B1088="",$B1088="(blank)"),"",VLOOKUP($B1088,'Email Marketing Raw Data'!$C:$O,7,0)),"")</f>
        <v/>
      </c>
      <c r="P1088" s="55" t="str">
        <f>IFERROR(IF(OR($B1088="",$B1088="(blank)"),"",VLOOKUP($B1088,'Email Marketing Raw Data'!$C:$O,8,0)),"")</f>
        <v/>
      </c>
      <c r="Q1088" s="62" t="str">
        <f>IFERROR(IF(OR($B1088="",$B1088="(blank)"),"",VLOOKUP($B1088,'Email Marketing Raw Data'!$C:$O,9,0)),"")</f>
        <v/>
      </c>
    </row>
    <row r="1089" spans="4:17" ht="12.75" customHeight="1" x14ac:dyDescent="0.2">
      <c r="D1089" s="58" t="str">
        <f>IFERROR(IF(F1089&lt;&gt;"pending","",IF(OR($B1089="",$B1089="(blank)"),"",VLOOKUP($B1089,'Email Marketing Raw Data'!$C:$O,10,0))),"")</f>
        <v/>
      </c>
      <c r="E1089" s="59" t="str">
        <f>IFERROR(IF(F1089&lt;&gt;"pending","",IF(OR($B1089="",$B1089="(blank)"),"",VLOOKUP($B1089,'Email Marketing Raw Data'!$C:$O,11,0))),"")</f>
        <v/>
      </c>
      <c r="F1089" s="54" t="str">
        <f>IFERROR(IF(OR($B1089="",$B1089="(blank)"),"",VLOOKUP($B1089,'Email Marketing Raw Data'!$C:$O,13,0)),"")</f>
        <v/>
      </c>
      <c r="G1089" s="55" t="str">
        <f>IFERROR(IF(OR($B1089="",$B1089="(blank)"),"",VLOOKUP($B1089,'Email Marketing Raw Data'!$C:$O,4,0)),"")</f>
        <v/>
      </c>
      <c r="H1089" s="55" t="str">
        <f>IFERROR(IF(OR($B1089="",$B1089="(blank)"),"",VLOOKUP($B1089,'Email Marketing Raw Data'!$C:$O,5,0)),"")</f>
        <v/>
      </c>
      <c r="I1089" s="55" t="str">
        <f>IFERROR(IF($G1089="","",VLOOKUP('Dashboard And Emails Automate'!$G1089,Database!$H:$N,3,0)),"")</f>
        <v/>
      </c>
      <c r="J1089" s="55" t="str">
        <f>IFERROR(IF($G1089="","",VLOOKUP('Dashboard And Emails Automate'!$G1089,Database!$H:$N,4,0)),"")</f>
        <v/>
      </c>
      <c r="K1089" s="55" t="str">
        <f>IFERROR(IF($G1089="","",VLOOKUP('Dashboard And Emails Automate'!$G1089,Database!$H:$N,5,0)),"")</f>
        <v/>
      </c>
      <c r="L1089" s="55" t="str">
        <f>IFERROR(IF($G1089="","",VLOOKUP('Dashboard And Emails Automate'!$G1089,Database!$H:$N,6,0)),"")</f>
        <v/>
      </c>
      <c r="M1089" s="55" t="str">
        <f>IFERROR(IF($G1089="","",VLOOKUP('Dashboard And Emails Automate'!$G1089,Database!$H:$N,7,0)),"")</f>
        <v/>
      </c>
      <c r="N1089" s="55" t="str">
        <f>IFERROR(IF(OR($B1089="",$B1089="(blank)"),"",VLOOKUP($B1089,'Email Marketing Raw Data'!$C:$O,6,0)),"")</f>
        <v/>
      </c>
      <c r="O1089" s="55" t="str">
        <f>IFERROR(IF(OR($B1089="",$B1089="(blank)"),"",VLOOKUP($B1089,'Email Marketing Raw Data'!$C:$O,7,0)),"")</f>
        <v/>
      </c>
      <c r="P1089" s="55" t="str">
        <f>IFERROR(IF(OR($B1089="",$B1089="(blank)"),"",VLOOKUP($B1089,'Email Marketing Raw Data'!$C:$O,8,0)),"")</f>
        <v/>
      </c>
      <c r="Q1089" s="62" t="str">
        <f>IFERROR(IF(OR($B1089="",$B1089="(blank)"),"",VLOOKUP($B1089,'Email Marketing Raw Data'!$C:$O,9,0)),"")</f>
        <v/>
      </c>
    </row>
    <row r="1090" spans="4:17" ht="12.75" customHeight="1" x14ac:dyDescent="0.2">
      <c r="D1090" s="58" t="str">
        <f>IFERROR(IF(F1090&lt;&gt;"pending","",IF(OR($B1090="",$B1090="(blank)"),"",VLOOKUP($B1090,'Email Marketing Raw Data'!$C:$O,10,0))),"")</f>
        <v/>
      </c>
      <c r="E1090" s="59" t="str">
        <f>IFERROR(IF(F1090&lt;&gt;"pending","",IF(OR($B1090="",$B1090="(blank)"),"",VLOOKUP($B1090,'Email Marketing Raw Data'!$C:$O,11,0))),"")</f>
        <v/>
      </c>
      <c r="F1090" s="54" t="str">
        <f>IFERROR(IF(OR($B1090="",$B1090="(blank)"),"",VLOOKUP($B1090,'Email Marketing Raw Data'!$C:$O,13,0)),"")</f>
        <v/>
      </c>
      <c r="G1090" s="55" t="str">
        <f>IFERROR(IF(OR($B1090="",$B1090="(blank)"),"",VLOOKUP($B1090,'Email Marketing Raw Data'!$C:$O,4,0)),"")</f>
        <v/>
      </c>
      <c r="H1090" s="55" t="str">
        <f>IFERROR(IF(OR($B1090="",$B1090="(blank)"),"",VLOOKUP($B1090,'Email Marketing Raw Data'!$C:$O,5,0)),"")</f>
        <v/>
      </c>
      <c r="I1090" s="55" t="str">
        <f>IFERROR(IF($G1090="","",VLOOKUP('Dashboard And Emails Automate'!$G1090,Database!$H:$N,3,0)),"")</f>
        <v/>
      </c>
      <c r="J1090" s="55" t="str">
        <f>IFERROR(IF($G1090="","",VLOOKUP('Dashboard And Emails Automate'!$G1090,Database!$H:$N,4,0)),"")</f>
        <v/>
      </c>
      <c r="K1090" s="55" t="str">
        <f>IFERROR(IF($G1090="","",VLOOKUP('Dashboard And Emails Automate'!$G1090,Database!$H:$N,5,0)),"")</f>
        <v/>
      </c>
      <c r="L1090" s="55" t="str">
        <f>IFERROR(IF($G1090="","",VLOOKUP('Dashboard And Emails Automate'!$G1090,Database!$H:$N,6,0)),"")</f>
        <v/>
      </c>
      <c r="M1090" s="55" t="str">
        <f>IFERROR(IF($G1090="","",VLOOKUP('Dashboard And Emails Automate'!$G1090,Database!$H:$N,7,0)),"")</f>
        <v/>
      </c>
      <c r="N1090" s="55" t="str">
        <f>IFERROR(IF(OR($B1090="",$B1090="(blank)"),"",VLOOKUP($B1090,'Email Marketing Raw Data'!$C:$O,6,0)),"")</f>
        <v/>
      </c>
      <c r="O1090" s="55" t="str">
        <f>IFERROR(IF(OR($B1090="",$B1090="(blank)"),"",VLOOKUP($B1090,'Email Marketing Raw Data'!$C:$O,7,0)),"")</f>
        <v/>
      </c>
      <c r="P1090" s="55" t="str">
        <f>IFERROR(IF(OR($B1090="",$B1090="(blank)"),"",VLOOKUP($B1090,'Email Marketing Raw Data'!$C:$O,8,0)),"")</f>
        <v/>
      </c>
      <c r="Q1090" s="62" t="str">
        <f>IFERROR(IF(OR($B1090="",$B1090="(blank)"),"",VLOOKUP($B1090,'Email Marketing Raw Data'!$C:$O,9,0)),"")</f>
        <v/>
      </c>
    </row>
    <row r="1091" spans="4:17" ht="12.75" customHeight="1" x14ac:dyDescent="0.2">
      <c r="D1091" s="58" t="str">
        <f>IFERROR(IF(F1091&lt;&gt;"pending","",IF(OR($B1091="",$B1091="(blank)"),"",VLOOKUP($B1091,'Email Marketing Raw Data'!$C:$O,10,0))),"")</f>
        <v/>
      </c>
      <c r="E1091" s="59" t="str">
        <f>IFERROR(IF(F1091&lt;&gt;"pending","",IF(OR($B1091="",$B1091="(blank)"),"",VLOOKUP($B1091,'Email Marketing Raw Data'!$C:$O,11,0))),"")</f>
        <v/>
      </c>
      <c r="F1091" s="54" t="str">
        <f>IFERROR(IF(OR($B1091="",$B1091="(blank)"),"",VLOOKUP($B1091,'Email Marketing Raw Data'!$C:$O,13,0)),"")</f>
        <v/>
      </c>
      <c r="G1091" s="55" t="str">
        <f>IFERROR(IF(OR($B1091="",$B1091="(blank)"),"",VLOOKUP($B1091,'Email Marketing Raw Data'!$C:$O,4,0)),"")</f>
        <v/>
      </c>
      <c r="H1091" s="55" t="str">
        <f>IFERROR(IF(OR($B1091="",$B1091="(blank)"),"",VLOOKUP($B1091,'Email Marketing Raw Data'!$C:$O,5,0)),"")</f>
        <v/>
      </c>
      <c r="I1091" s="55" t="str">
        <f>IFERROR(IF($G1091="","",VLOOKUP('Dashboard And Emails Automate'!$G1091,Database!$H:$N,3,0)),"")</f>
        <v/>
      </c>
      <c r="J1091" s="55" t="str">
        <f>IFERROR(IF($G1091="","",VLOOKUP('Dashboard And Emails Automate'!$G1091,Database!$H:$N,4,0)),"")</f>
        <v/>
      </c>
      <c r="K1091" s="55" t="str">
        <f>IFERROR(IF($G1091="","",VLOOKUP('Dashboard And Emails Automate'!$G1091,Database!$H:$N,5,0)),"")</f>
        <v/>
      </c>
      <c r="L1091" s="55" t="str">
        <f>IFERROR(IF($G1091="","",VLOOKUP('Dashboard And Emails Automate'!$G1091,Database!$H:$N,6,0)),"")</f>
        <v/>
      </c>
      <c r="M1091" s="55" t="str">
        <f>IFERROR(IF($G1091="","",VLOOKUP('Dashboard And Emails Automate'!$G1091,Database!$H:$N,7,0)),"")</f>
        <v/>
      </c>
      <c r="N1091" s="55" t="str">
        <f>IFERROR(IF(OR($B1091="",$B1091="(blank)"),"",VLOOKUP($B1091,'Email Marketing Raw Data'!$C:$O,6,0)),"")</f>
        <v/>
      </c>
      <c r="O1091" s="55" t="str">
        <f>IFERROR(IF(OR($B1091="",$B1091="(blank)"),"",VLOOKUP($B1091,'Email Marketing Raw Data'!$C:$O,7,0)),"")</f>
        <v/>
      </c>
      <c r="P1091" s="55" t="str">
        <f>IFERROR(IF(OR($B1091="",$B1091="(blank)"),"",VLOOKUP($B1091,'Email Marketing Raw Data'!$C:$O,8,0)),"")</f>
        <v/>
      </c>
      <c r="Q1091" s="62" t="str">
        <f>IFERROR(IF(OR($B1091="",$B1091="(blank)"),"",VLOOKUP($B1091,'Email Marketing Raw Data'!$C:$O,9,0)),"")</f>
        <v/>
      </c>
    </row>
    <row r="1092" spans="4:17" ht="12.75" customHeight="1" x14ac:dyDescent="0.2">
      <c r="D1092" s="58" t="str">
        <f>IFERROR(IF(F1092&lt;&gt;"pending","",IF(OR($B1092="",$B1092="(blank)"),"",VLOOKUP($B1092,'Email Marketing Raw Data'!$C:$O,10,0))),"")</f>
        <v/>
      </c>
      <c r="E1092" s="59" t="str">
        <f>IFERROR(IF(F1092&lt;&gt;"pending","",IF(OR($B1092="",$B1092="(blank)"),"",VLOOKUP($B1092,'Email Marketing Raw Data'!$C:$O,11,0))),"")</f>
        <v/>
      </c>
      <c r="F1092" s="54" t="str">
        <f>IFERROR(IF(OR($B1092="",$B1092="(blank)"),"",VLOOKUP($B1092,'Email Marketing Raw Data'!$C:$O,13,0)),"")</f>
        <v/>
      </c>
      <c r="G1092" s="55" t="str">
        <f>IFERROR(IF(OR($B1092="",$B1092="(blank)"),"",VLOOKUP($B1092,'Email Marketing Raw Data'!$C:$O,4,0)),"")</f>
        <v/>
      </c>
      <c r="H1092" s="55" t="str">
        <f>IFERROR(IF(OR($B1092="",$B1092="(blank)"),"",VLOOKUP($B1092,'Email Marketing Raw Data'!$C:$O,5,0)),"")</f>
        <v/>
      </c>
      <c r="I1092" s="55" t="str">
        <f>IFERROR(IF($G1092="","",VLOOKUP('Dashboard And Emails Automate'!$G1092,Database!$H:$N,3,0)),"")</f>
        <v/>
      </c>
      <c r="J1092" s="55" t="str">
        <f>IFERROR(IF($G1092="","",VLOOKUP('Dashboard And Emails Automate'!$G1092,Database!$H:$N,4,0)),"")</f>
        <v/>
      </c>
      <c r="K1092" s="55" t="str">
        <f>IFERROR(IF($G1092="","",VLOOKUP('Dashboard And Emails Automate'!$G1092,Database!$H:$N,5,0)),"")</f>
        <v/>
      </c>
      <c r="L1092" s="55" t="str">
        <f>IFERROR(IF($G1092="","",VLOOKUP('Dashboard And Emails Automate'!$G1092,Database!$H:$N,6,0)),"")</f>
        <v/>
      </c>
      <c r="M1092" s="55" t="str">
        <f>IFERROR(IF($G1092="","",VLOOKUP('Dashboard And Emails Automate'!$G1092,Database!$H:$N,7,0)),"")</f>
        <v/>
      </c>
      <c r="N1092" s="55" t="str">
        <f>IFERROR(IF(OR($B1092="",$B1092="(blank)"),"",VLOOKUP($B1092,'Email Marketing Raw Data'!$C:$O,6,0)),"")</f>
        <v/>
      </c>
      <c r="O1092" s="55" t="str">
        <f>IFERROR(IF(OR($B1092="",$B1092="(blank)"),"",VLOOKUP($B1092,'Email Marketing Raw Data'!$C:$O,7,0)),"")</f>
        <v/>
      </c>
      <c r="P1092" s="55" t="str">
        <f>IFERROR(IF(OR($B1092="",$B1092="(blank)"),"",VLOOKUP($B1092,'Email Marketing Raw Data'!$C:$O,8,0)),"")</f>
        <v/>
      </c>
      <c r="Q1092" s="62" t="str">
        <f>IFERROR(IF(OR($B1092="",$B1092="(blank)"),"",VLOOKUP($B1092,'Email Marketing Raw Data'!$C:$O,9,0)),"")</f>
        <v/>
      </c>
    </row>
    <row r="1093" spans="4:17" ht="12.75" customHeight="1" x14ac:dyDescent="0.2">
      <c r="D1093" s="58" t="str">
        <f>IFERROR(IF(F1093&lt;&gt;"pending","",IF(OR($B1093="",$B1093="(blank)"),"",VLOOKUP($B1093,'Email Marketing Raw Data'!$C:$O,10,0))),"")</f>
        <v/>
      </c>
      <c r="E1093" s="59" t="str">
        <f>IFERROR(IF(F1093&lt;&gt;"pending","",IF(OR($B1093="",$B1093="(blank)"),"",VLOOKUP($B1093,'Email Marketing Raw Data'!$C:$O,11,0))),"")</f>
        <v/>
      </c>
      <c r="F1093" s="54" t="str">
        <f>IFERROR(IF(OR($B1093="",$B1093="(blank)"),"",VLOOKUP($B1093,'Email Marketing Raw Data'!$C:$O,13,0)),"")</f>
        <v/>
      </c>
      <c r="G1093" s="55" t="str">
        <f>IFERROR(IF(OR($B1093="",$B1093="(blank)"),"",VLOOKUP($B1093,'Email Marketing Raw Data'!$C:$O,4,0)),"")</f>
        <v/>
      </c>
      <c r="H1093" s="55" t="str">
        <f>IFERROR(IF(OR($B1093="",$B1093="(blank)"),"",VLOOKUP($B1093,'Email Marketing Raw Data'!$C:$O,5,0)),"")</f>
        <v/>
      </c>
      <c r="I1093" s="55" t="str">
        <f>IFERROR(IF($G1093="","",VLOOKUP('Dashboard And Emails Automate'!$G1093,Database!$H:$N,3,0)),"")</f>
        <v/>
      </c>
      <c r="J1093" s="55" t="str">
        <f>IFERROR(IF($G1093="","",VLOOKUP('Dashboard And Emails Automate'!$G1093,Database!$H:$N,4,0)),"")</f>
        <v/>
      </c>
      <c r="K1093" s="55" t="str">
        <f>IFERROR(IF($G1093="","",VLOOKUP('Dashboard And Emails Automate'!$G1093,Database!$H:$N,5,0)),"")</f>
        <v/>
      </c>
      <c r="L1093" s="55" t="str">
        <f>IFERROR(IF($G1093="","",VLOOKUP('Dashboard And Emails Automate'!$G1093,Database!$H:$N,6,0)),"")</f>
        <v/>
      </c>
      <c r="M1093" s="55" t="str">
        <f>IFERROR(IF($G1093="","",VLOOKUP('Dashboard And Emails Automate'!$G1093,Database!$H:$N,7,0)),"")</f>
        <v/>
      </c>
      <c r="N1093" s="55" t="str">
        <f>IFERROR(IF(OR($B1093="",$B1093="(blank)"),"",VLOOKUP($B1093,'Email Marketing Raw Data'!$C:$O,6,0)),"")</f>
        <v/>
      </c>
      <c r="O1093" s="55" t="str">
        <f>IFERROR(IF(OR($B1093="",$B1093="(blank)"),"",VLOOKUP($B1093,'Email Marketing Raw Data'!$C:$O,7,0)),"")</f>
        <v/>
      </c>
      <c r="P1093" s="55" t="str">
        <f>IFERROR(IF(OR($B1093="",$B1093="(blank)"),"",VLOOKUP($B1093,'Email Marketing Raw Data'!$C:$O,8,0)),"")</f>
        <v/>
      </c>
      <c r="Q1093" s="62" t="str">
        <f>IFERROR(IF(OR($B1093="",$B1093="(blank)"),"",VLOOKUP($B1093,'Email Marketing Raw Data'!$C:$O,9,0)),"")</f>
        <v/>
      </c>
    </row>
    <row r="1094" spans="4:17" ht="12.75" customHeight="1" x14ac:dyDescent="0.2">
      <c r="D1094" s="58" t="str">
        <f>IFERROR(IF(F1094&lt;&gt;"pending","",IF(OR($B1094="",$B1094="(blank)"),"",VLOOKUP($B1094,'Email Marketing Raw Data'!$C:$O,10,0))),"")</f>
        <v/>
      </c>
      <c r="E1094" s="59" t="str">
        <f>IFERROR(IF(F1094&lt;&gt;"pending","",IF(OR($B1094="",$B1094="(blank)"),"",VLOOKUP($B1094,'Email Marketing Raw Data'!$C:$O,11,0))),"")</f>
        <v/>
      </c>
      <c r="F1094" s="54" t="str">
        <f>IFERROR(IF(OR($B1094="",$B1094="(blank)"),"",VLOOKUP($B1094,'Email Marketing Raw Data'!$C:$O,13,0)),"")</f>
        <v/>
      </c>
      <c r="G1094" s="55" t="str">
        <f>IFERROR(IF(OR($B1094="",$B1094="(blank)"),"",VLOOKUP($B1094,'Email Marketing Raw Data'!$C:$O,4,0)),"")</f>
        <v/>
      </c>
      <c r="H1094" s="55" t="str">
        <f>IFERROR(IF(OR($B1094="",$B1094="(blank)"),"",VLOOKUP($B1094,'Email Marketing Raw Data'!$C:$O,5,0)),"")</f>
        <v/>
      </c>
      <c r="I1094" s="55" t="str">
        <f>IFERROR(IF($G1094="","",VLOOKUP('Dashboard And Emails Automate'!$G1094,Database!$H:$N,3,0)),"")</f>
        <v/>
      </c>
      <c r="J1094" s="55" t="str">
        <f>IFERROR(IF($G1094="","",VLOOKUP('Dashboard And Emails Automate'!$G1094,Database!$H:$N,4,0)),"")</f>
        <v/>
      </c>
      <c r="K1094" s="55" t="str">
        <f>IFERROR(IF($G1094="","",VLOOKUP('Dashboard And Emails Automate'!$G1094,Database!$H:$N,5,0)),"")</f>
        <v/>
      </c>
      <c r="L1094" s="55" t="str">
        <f>IFERROR(IF($G1094="","",VLOOKUP('Dashboard And Emails Automate'!$G1094,Database!$H:$N,6,0)),"")</f>
        <v/>
      </c>
      <c r="M1094" s="55" t="str">
        <f>IFERROR(IF($G1094="","",VLOOKUP('Dashboard And Emails Automate'!$G1094,Database!$H:$N,7,0)),"")</f>
        <v/>
      </c>
      <c r="N1094" s="55" t="str">
        <f>IFERROR(IF(OR($B1094="",$B1094="(blank)"),"",VLOOKUP($B1094,'Email Marketing Raw Data'!$C:$O,6,0)),"")</f>
        <v/>
      </c>
      <c r="O1094" s="55" t="str">
        <f>IFERROR(IF(OR($B1094="",$B1094="(blank)"),"",VLOOKUP($B1094,'Email Marketing Raw Data'!$C:$O,7,0)),"")</f>
        <v/>
      </c>
      <c r="P1094" s="55" t="str">
        <f>IFERROR(IF(OR($B1094="",$B1094="(blank)"),"",VLOOKUP($B1094,'Email Marketing Raw Data'!$C:$O,8,0)),"")</f>
        <v/>
      </c>
      <c r="Q1094" s="62" t="str">
        <f>IFERROR(IF(OR($B1094="",$B1094="(blank)"),"",VLOOKUP($B1094,'Email Marketing Raw Data'!$C:$O,9,0)),"")</f>
        <v/>
      </c>
    </row>
    <row r="1095" spans="4:17" ht="12.75" customHeight="1" x14ac:dyDescent="0.2">
      <c r="D1095" s="58" t="str">
        <f>IFERROR(IF(F1095&lt;&gt;"pending","",IF(OR($B1095="",$B1095="(blank)"),"",VLOOKUP($B1095,'Email Marketing Raw Data'!$C:$O,10,0))),"")</f>
        <v/>
      </c>
      <c r="E1095" s="59" t="str">
        <f>IFERROR(IF(F1095&lt;&gt;"pending","",IF(OR($B1095="",$B1095="(blank)"),"",VLOOKUP($B1095,'Email Marketing Raw Data'!$C:$O,11,0))),"")</f>
        <v/>
      </c>
      <c r="F1095" s="54" t="str">
        <f>IFERROR(IF(OR($B1095="",$B1095="(blank)"),"",VLOOKUP($B1095,'Email Marketing Raw Data'!$C:$O,13,0)),"")</f>
        <v/>
      </c>
      <c r="G1095" s="55" t="str">
        <f>IFERROR(IF(OR($B1095="",$B1095="(blank)"),"",VLOOKUP($B1095,'Email Marketing Raw Data'!$C:$O,4,0)),"")</f>
        <v/>
      </c>
      <c r="H1095" s="55" t="str">
        <f>IFERROR(IF(OR($B1095="",$B1095="(blank)"),"",VLOOKUP($B1095,'Email Marketing Raw Data'!$C:$O,5,0)),"")</f>
        <v/>
      </c>
      <c r="I1095" s="55" t="str">
        <f>IFERROR(IF($G1095="","",VLOOKUP('Dashboard And Emails Automate'!$G1095,Database!$H:$N,3,0)),"")</f>
        <v/>
      </c>
      <c r="J1095" s="55" t="str">
        <f>IFERROR(IF($G1095="","",VLOOKUP('Dashboard And Emails Automate'!$G1095,Database!$H:$N,4,0)),"")</f>
        <v/>
      </c>
      <c r="K1095" s="55" t="str">
        <f>IFERROR(IF($G1095="","",VLOOKUP('Dashboard And Emails Automate'!$G1095,Database!$H:$N,5,0)),"")</f>
        <v/>
      </c>
      <c r="L1095" s="55" t="str">
        <f>IFERROR(IF($G1095="","",VLOOKUP('Dashboard And Emails Automate'!$G1095,Database!$H:$N,6,0)),"")</f>
        <v/>
      </c>
      <c r="M1095" s="55" t="str">
        <f>IFERROR(IF($G1095="","",VLOOKUP('Dashboard And Emails Automate'!$G1095,Database!$H:$N,7,0)),"")</f>
        <v/>
      </c>
      <c r="N1095" s="55" t="str">
        <f>IFERROR(IF(OR($B1095="",$B1095="(blank)"),"",VLOOKUP($B1095,'Email Marketing Raw Data'!$C:$O,6,0)),"")</f>
        <v/>
      </c>
      <c r="O1095" s="55" t="str">
        <f>IFERROR(IF(OR($B1095="",$B1095="(blank)"),"",VLOOKUP($B1095,'Email Marketing Raw Data'!$C:$O,7,0)),"")</f>
        <v/>
      </c>
      <c r="P1095" s="55" t="str">
        <f>IFERROR(IF(OR($B1095="",$B1095="(blank)"),"",VLOOKUP($B1095,'Email Marketing Raw Data'!$C:$O,8,0)),"")</f>
        <v/>
      </c>
      <c r="Q1095" s="62" t="str">
        <f>IFERROR(IF(OR($B1095="",$B1095="(blank)"),"",VLOOKUP($B1095,'Email Marketing Raw Data'!$C:$O,9,0)),"")</f>
        <v/>
      </c>
    </row>
    <row r="1096" spans="4:17" ht="12.75" customHeight="1" x14ac:dyDescent="0.2">
      <c r="D1096" s="58" t="str">
        <f>IFERROR(IF(F1096&lt;&gt;"pending","",IF(OR($B1096="",$B1096="(blank)"),"",VLOOKUP($B1096,'Email Marketing Raw Data'!$C:$O,10,0))),"")</f>
        <v/>
      </c>
      <c r="E1096" s="59" t="str">
        <f>IFERROR(IF(F1096&lt;&gt;"pending","",IF(OR($B1096="",$B1096="(blank)"),"",VLOOKUP($B1096,'Email Marketing Raw Data'!$C:$O,11,0))),"")</f>
        <v/>
      </c>
      <c r="F1096" s="54" t="str">
        <f>IFERROR(IF(OR($B1096="",$B1096="(blank)"),"",VLOOKUP($B1096,'Email Marketing Raw Data'!$C:$O,13,0)),"")</f>
        <v/>
      </c>
      <c r="G1096" s="55" t="str">
        <f>IFERROR(IF(OR($B1096="",$B1096="(blank)"),"",VLOOKUP($B1096,'Email Marketing Raw Data'!$C:$O,4,0)),"")</f>
        <v/>
      </c>
      <c r="H1096" s="55" t="str">
        <f>IFERROR(IF(OR($B1096="",$B1096="(blank)"),"",VLOOKUP($B1096,'Email Marketing Raw Data'!$C:$O,5,0)),"")</f>
        <v/>
      </c>
      <c r="I1096" s="55" t="str">
        <f>IFERROR(IF($G1096="","",VLOOKUP('Dashboard And Emails Automate'!$G1096,Database!$H:$N,3,0)),"")</f>
        <v/>
      </c>
      <c r="J1096" s="55" t="str">
        <f>IFERROR(IF($G1096="","",VLOOKUP('Dashboard And Emails Automate'!$G1096,Database!$H:$N,4,0)),"")</f>
        <v/>
      </c>
      <c r="K1096" s="55" t="str">
        <f>IFERROR(IF($G1096="","",VLOOKUP('Dashboard And Emails Automate'!$G1096,Database!$H:$N,5,0)),"")</f>
        <v/>
      </c>
      <c r="L1096" s="55" t="str">
        <f>IFERROR(IF($G1096="","",VLOOKUP('Dashboard And Emails Automate'!$G1096,Database!$H:$N,6,0)),"")</f>
        <v/>
      </c>
      <c r="M1096" s="55" t="str">
        <f>IFERROR(IF($G1096="","",VLOOKUP('Dashboard And Emails Automate'!$G1096,Database!$H:$N,7,0)),"")</f>
        <v/>
      </c>
      <c r="N1096" s="55" t="str">
        <f>IFERROR(IF(OR($B1096="",$B1096="(blank)"),"",VLOOKUP($B1096,'Email Marketing Raw Data'!$C:$O,6,0)),"")</f>
        <v/>
      </c>
      <c r="O1096" s="55" t="str">
        <f>IFERROR(IF(OR($B1096="",$B1096="(blank)"),"",VLOOKUP($B1096,'Email Marketing Raw Data'!$C:$O,7,0)),"")</f>
        <v/>
      </c>
      <c r="P1096" s="55" t="str">
        <f>IFERROR(IF(OR($B1096="",$B1096="(blank)"),"",VLOOKUP($B1096,'Email Marketing Raw Data'!$C:$O,8,0)),"")</f>
        <v/>
      </c>
      <c r="Q1096" s="62" t="str">
        <f>IFERROR(IF(OR($B1096="",$B1096="(blank)"),"",VLOOKUP($B1096,'Email Marketing Raw Data'!$C:$O,9,0)),"")</f>
        <v/>
      </c>
    </row>
    <row r="1097" spans="4:17" ht="12.75" customHeight="1" x14ac:dyDescent="0.2">
      <c r="D1097" s="58" t="str">
        <f>IFERROR(IF(F1097&lt;&gt;"pending","",IF(OR($B1097="",$B1097="(blank)"),"",VLOOKUP($B1097,'Email Marketing Raw Data'!$C:$O,10,0))),"")</f>
        <v/>
      </c>
      <c r="E1097" s="59" t="str">
        <f>IFERROR(IF(F1097&lt;&gt;"pending","",IF(OR($B1097="",$B1097="(blank)"),"",VLOOKUP($B1097,'Email Marketing Raw Data'!$C:$O,11,0))),"")</f>
        <v/>
      </c>
      <c r="F1097" s="54" t="str">
        <f>IFERROR(IF(OR($B1097="",$B1097="(blank)"),"",VLOOKUP($B1097,'Email Marketing Raw Data'!$C:$O,13,0)),"")</f>
        <v/>
      </c>
      <c r="G1097" s="55" t="str">
        <f>IFERROR(IF(OR($B1097="",$B1097="(blank)"),"",VLOOKUP($B1097,'Email Marketing Raw Data'!$C:$O,4,0)),"")</f>
        <v/>
      </c>
      <c r="H1097" s="55" t="str">
        <f>IFERROR(IF(OR($B1097="",$B1097="(blank)"),"",VLOOKUP($B1097,'Email Marketing Raw Data'!$C:$O,5,0)),"")</f>
        <v/>
      </c>
      <c r="I1097" s="55" t="str">
        <f>IFERROR(IF($G1097="","",VLOOKUP('Dashboard And Emails Automate'!$G1097,Database!$H:$N,3,0)),"")</f>
        <v/>
      </c>
      <c r="J1097" s="55" t="str">
        <f>IFERROR(IF($G1097="","",VLOOKUP('Dashboard And Emails Automate'!$G1097,Database!$H:$N,4,0)),"")</f>
        <v/>
      </c>
      <c r="K1097" s="55" t="str">
        <f>IFERROR(IF($G1097="","",VLOOKUP('Dashboard And Emails Automate'!$G1097,Database!$H:$N,5,0)),"")</f>
        <v/>
      </c>
      <c r="L1097" s="55" t="str">
        <f>IFERROR(IF($G1097="","",VLOOKUP('Dashboard And Emails Automate'!$G1097,Database!$H:$N,6,0)),"")</f>
        <v/>
      </c>
      <c r="M1097" s="55" t="str">
        <f>IFERROR(IF($G1097="","",VLOOKUP('Dashboard And Emails Automate'!$G1097,Database!$H:$N,7,0)),"")</f>
        <v/>
      </c>
      <c r="N1097" s="55" t="str">
        <f>IFERROR(IF(OR($B1097="",$B1097="(blank)"),"",VLOOKUP($B1097,'Email Marketing Raw Data'!$C:$O,6,0)),"")</f>
        <v/>
      </c>
      <c r="O1097" s="55" t="str">
        <f>IFERROR(IF(OR($B1097="",$B1097="(blank)"),"",VLOOKUP($B1097,'Email Marketing Raw Data'!$C:$O,7,0)),"")</f>
        <v/>
      </c>
      <c r="P1097" s="55" t="str">
        <f>IFERROR(IF(OR($B1097="",$B1097="(blank)"),"",VLOOKUP($B1097,'Email Marketing Raw Data'!$C:$O,8,0)),"")</f>
        <v/>
      </c>
      <c r="Q1097" s="62" t="str">
        <f>IFERROR(IF(OR($B1097="",$B1097="(blank)"),"",VLOOKUP($B1097,'Email Marketing Raw Data'!$C:$O,9,0)),"")</f>
        <v/>
      </c>
    </row>
    <row r="1098" spans="4:17" ht="12.75" customHeight="1" x14ac:dyDescent="0.2">
      <c r="D1098" s="58" t="str">
        <f>IFERROR(IF(F1098&lt;&gt;"pending","",IF(OR($B1098="",$B1098="(blank)"),"",VLOOKUP($B1098,'Email Marketing Raw Data'!$C:$O,10,0))),"")</f>
        <v/>
      </c>
      <c r="E1098" s="59" t="str">
        <f>IFERROR(IF(F1098&lt;&gt;"pending","",IF(OR($B1098="",$B1098="(blank)"),"",VLOOKUP($B1098,'Email Marketing Raw Data'!$C:$O,11,0))),"")</f>
        <v/>
      </c>
      <c r="F1098" s="54" t="str">
        <f>IFERROR(IF(OR($B1098="",$B1098="(blank)"),"",VLOOKUP($B1098,'Email Marketing Raw Data'!$C:$O,13,0)),"")</f>
        <v/>
      </c>
      <c r="G1098" s="55" t="str">
        <f>IFERROR(IF(OR($B1098="",$B1098="(blank)"),"",VLOOKUP($B1098,'Email Marketing Raw Data'!$C:$O,4,0)),"")</f>
        <v/>
      </c>
      <c r="H1098" s="55" t="str">
        <f>IFERROR(IF(OR($B1098="",$B1098="(blank)"),"",VLOOKUP($B1098,'Email Marketing Raw Data'!$C:$O,5,0)),"")</f>
        <v/>
      </c>
      <c r="I1098" s="55" t="str">
        <f>IFERROR(IF($G1098="","",VLOOKUP('Dashboard And Emails Automate'!$G1098,Database!$H:$N,3,0)),"")</f>
        <v/>
      </c>
      <c r="J1098" s="55" t="str">
        <f>IFERROR(IF($G1098="","",VLOOKUP('Dashboard And Emails Automate'!$G1098,Database!$H:$N,4,0)),"")</f>
        <v/>
      </c>
      <c r="K1098" s="55" t="str">
        <f>IFERROR(IF($G1098="","",VLOOKUP('Dashboard And Emails Automate'!$G1098,Database!$H:$N,5,0)),"")</f>
        <v/>
      </c>
      <c r="L1098" s="55" t="str">
        <f>IFERROR(IF($G1098="","",VLOOKUP('Dashboard And Emails Automate'!$G1098,Database!$H:$N,6,0)),"")</f>
        <v/>
      </c>
      <c r="M1098" s="55" t="str">
        <f>IFERROR(IF($G1098="","",VLOOKUP('Dashboard And Emails Automate'!$G1098,Database!$H:$N,7,0)),"")</f>
        <v/>
      </c>
      <c r="N1098" s="55" t="str">
        <f>IFERROR(IF(OR($B1098="",$B1098="(blank)"),"",VLOOKUP($B1098,'Email Marketing Raw Data'!$C:$O,6,0)),"")</f>
        <v/>
      </c>
      <c r="O1098" s="55" t="str">
        <f>IFERROR(IF(OR($B1098="",$B1098="(blank)"),"",VLOOKUP($B1098,'Email Marketing Raw Data'!$C:$O,7,0)),"")</f>
        <v/>
      </c>
      <c r="P1098" s="55" t="str">
        <f>IFERROR(IF(OR($B1098="",$B1098="(blank)"),"",VLOOKUP($B1098,'Email Marketing Raw Data'!$C:$O,8,0)),"")</f>
        <v/>
      </c>
      <c r="Q1098" s="62" t="str">
        <f>IFERROR(IF(OR($B1098="",$B1098="(blank)"),"",VLOOKUP($B1098,'Email Marketing Raw Data'!$C:$O,9,0)),"")</f>
        <v/>
      </c>
    </row>
    <row r="1099" spans="4:17" ht="12.75" customHeight="1" x14ac:dyDescent="0.2">
      <c r="D1099" s="58" t="str">
        <f>IFERROR(IF(F1099&lt;&gt;"pending","",IF(OR($B1099="",$B1099="(blank)"),"",VLOOKUP($B1099,'Email Marketing Raw Data'!$C:$O,10,0))),"")</f>
        <v/>
      </c>
      <c r="E1099" s="59" t="str">
        <f>IFERROR(IF(F1099&lt;&gt;"pending","",IF(OR($B1099="",$B1099="(blank)"),"",VLOOKUP($B1099,'Email Marketing Raw Data'!$C:$O,11,0))),"")</f>
        <v/>
      </c>
      <c r="F1099" s="54" t="str">
        <f>IFERROR(IF(OR($B1099="",$B1099="(blank)"),"",VLOOKUP($B1099,'Email Marketing Raw Data'!$C:$O,13,0)),"")</f>
        <v/>
      </c>
      <c r="G1099" s="55" t="str">
        <f>IFERROR(IF(OR($B1099="",$B1099="(blank)"),"",VLOOKUP($B1099,'Email Marketing Raw Data'!$C:$O,4,0)),"")</f>
        <v/>
      </c>
      <c r="H1099" s="55" t="str">
        <f>IFERROR(IF(OR($B1099="",$B1099="(blank)"),"",VLOOKUP($B1099,'Email Marketing Raw Data'!$C:$O,5,0)),"")</f>
        <v/>
      </c>
      <c r="I1099" s="55" t="str">
        <f>IFERROR(IF($G1099="","",VLOOKUP('Dashboard And Emails Automate'!$G1099,Database!$H:$N,3,0)),"")</f>
        <v/>
      </c>
      <c r="J1099" s="55" t="str">
        <f>IFERROR(IF($G1099="","",VLOOKUP('Dashboard And Emails Automate'!$G1099,Database!$H:$N,4,0)),"")</f>
        <v/>
      </c>
      <c r="K1099" s="55" t="str">
        <f>IFERROR(IF($G1099="","",VLOOKUP('Dashboard And Emails Automate'!$G1099,Database!$H:$N,5,0)),"")</f>
        <v/>
      </c>
      <c r="L1099" s="55" t="str">
        <f>IFERROR(IF($G1099="","",VLOOKUP('Dashboard And Emails Automate'!$G1099,Database!$H:$N,6,0)),"")</f>
        <v/>
      </c>
      <c r="M1099" s="55" t="str">
        <f>IFERROR(IF($G1099="","",VLOOKUP('Dashboard And Emails Automate'!$G1099,Database!$H:$N,7,0)),"")</f>
        <v/>
      </c>
      <c r="N1099" s="55" t="str">
        <f>IFERROR(IF(OR($B1099="",$B1099="(blank)"),"",VLOOKUP($B1099,'Email Marketing Raw Data'!$C:$O,6,0)),"")</f>
        <v/>
      </c>
      <c r="O1099" s="55" t="str">
        <f>IFERROR(IF(OR($B1099="",$B1099="(blank)"),"",VLOOKUP($B1099,'Email Marketing Raw Data'!$C:$O,7,0)),"")</f>
        <v/>
      </c>
      <c r="P1099" s="55" t="str">
        <f>IFERROR(IF(OR($B1099="",$B1099="(blank)"),"",VLOOKUP($B1099,'Email Marketing Raw Data'!$C:$O,8,0)),"")</f>
        <v/>
      </c>
      <c r="Q1099" s="62" t="str">
        <f>IFERROR(IF(OR($B1099="",$B1099="(blank)"),"",VLOOKUP($B1099,'Email Marketing Raw Data'!$C:$O,9,0)),"")</f>
        <v/>
      </c>
    </row>
    <row r="1100" spans="4:17" ht="12.75" customHeight="1" x14ac:dyDescent="0.2">
      <c r="D1100" s="58" t="str">
        <f>IFERROR(IF(F1100&lt;&gt;"pending","",IF(OR($B1100="",$B1100="(blank)"),"",VLOOKUP($B1100,'Email Marketing Raw Data'!$C:$O,10,0))),"")</f>
        <v/>
      </c>
      <c r="E1100" s="59" t="str">
        <f>IFERROR(IF(F1100&lt;&gt;"pending","",IF(OR($B1100="",$B1100="(blank)"),"",VLOOKUP($B1100,'Email Marketing Raw Data'!$C:$O,11,0))),"")</f>
        <v/>
      </c>
      <c r="F1100" s="54" t="str">
        <f>IFERROR(IF(OR($B1100="",$B1100="(blank)"),"",VLOOKUP($B1100,'Email Marketing Raw Data'!$C:$O,13,0)),"")</f>
        <v/>
      </c>
      <c r="G1100" s="55" t="str">
        <f>IFERROR(IF(OR($B1100="",$B1100="(blank)"),"",VLOOKUP($B1100,'Email Marketing Raw Data'!$C:$O,4,0)),"")</f>
        <v/>
      </c>
      <c r="H1100" s="55" t="str">
        <f>IFERROR(IF(OR($B1100="",$B1100="(blank)"),"",VLOOKUP($B1100,'Email Marketing Raw Data'!$C:$O,5,0)),"")</f>
        <v/>
      </c>
      <c r="I1100" s="55" t="str">
        <f>IFERROR(IF($G1100="","",VLOOKUP('Dashboard And Emails Automate'!$G1100,Database!$H:$N,3,0)),"")</f>
        <v/>
      </c>
      <c r="J1100" s="55" t="str">
        <f>IFERROR(IF($G1100="","",VLOOKUP('Dashboard And Emails Automate'!$G1100,Database!$H:$N,4,0)),"")</f>
        <v/>
      </c>
      <c r="K1100" s="55" t="str">
        <f>IFERROR(IF($G1100="","",VLOOKUP('Dashboard And Emails Automate'!$G1100,Database!$H:$N,5,0)),"")</f>
        <v/>
      </c>
      <c r="L1100" s="55" t="str">
        <f>IFERROR(IF($G1100="","",VLOOKUP('Dashboard And Emails Automate'!$G1100,Database!$H:$N,6,0)),"")</f>
        <v/>
      </c>
      <c r="M1100" s="55" t="str">
        <f>IFERROR(IF($G1100="","",VLOOKUP('Dashboard And Emails Automate'!$G1100,Database!$H:$N,7,0)),"")</f>
        <v/>
      </c>
      <c r="N1100" s="55" t="str">
        <f>IFERROR(IF(OR($B1100="",$B1100="(blank)"),"",VLOOKUP($B1100,'Email Marketing Raw Data'!$C:$O,6,0)),"")</f>
        <v/>
      </c>
      <c r="O1100" s="55" t="str">
        <f>IFERROR(IF(OR($B1100="",$B1100="(blank)"),"",VLOOKUP($B1100,'Email Marketing Raw Data'!$C:$O,7,0)),"")</f>
        <v/>
      </c>
      <c r="P1100" s="55" t="str">
        <f>IFERROR(IF(OR($B1100="",$B1100="(blank)"),"",VLOOKUP($B1100,'Email Marketing Raw Data'!$C:$O,8,0)),"")</f>
        <v/>
      </c>
      <c r="Q1100" s="62" t="str">
        <f>IFERROR(IF(OR($B1100="",$B1100="(blank)"),"",VLOOKUP($B1100,'Email Marketing Raw Data'!$C:$O,9,0)),"")</f>
        <v/>
      </c>
    </row>
    <row r="1101" spans="4:17" ht="12.75" customHeight="1" x14ac:dyDescent="0.2">
      <c r="D1101" s="58" t="str">
        <f>IFERROR(IF(F1101&lt;&gt;"pending","",IF(OR($B1101="",$B1101="(blank)"),"",VLOOKUP($B1101,'Email Marketing Raw Data'!$C:$O,10,0))),"")</f>
        <v/>
      </c>
      <c r="E1101" s="59" t="str">
        <f>IFERROR(IF(F1101&lt;&gt;"pending","",IF(OR($B1101="",$B1101="(blank)"),"",VLOOKUP($B1101,'Email Marketing Raw Data'!$C:$O,11,0))),"")</f>
        <v/>
      </c>
      <c r="F1101" s="54" t="str">
        <f>IFERROR(IF(OR($B1101="",$B1101="(blank)"),"",VLOOKUP($B1101,'Email Marketing Raw Data'!$C:$O,13,0)),"")</f>
        <v/>
      </c>
      <c r="G1101" s="55" t="str">
        <f>IFERROR(IF(OR($B1101="",$B1101="(blank)"),"",VLOOKUP($B1101,'Email Marketing Raw Data'!$C:$O,4,0)),"")</f>
        <v/>
      </c>
      <c r="H1101" s="55" t="str">
        <f>IFERROR(IF(OR($B1101="",$B1101="(blank)"),"",VLOOKUP($B1101,'Email Marketing Raw Data'!$C:$O,5,0)),"")</f>
        <v/>
      </c>
      <c r="I1101" s="55" t="str">
        <f>IFERROR(IF($G1101="","",VLOOKUP('Dashboard And Emails Automate'!$G1101,Database!$H:$N,3,0)),"")</f>
        <v/>
      </c>
      <c r="J1101" s="55" t="str">
        <f>IFERROR(IF($G1101="","",VLOOKUP('Dashboard And Emails Automate'!$G1101,Database!$H:$N,4,0)),"")</f>
        <v/>
      </c>
      <c r="K1101" s="55" t="str">
        <f>IFERROR(IF($G1101="","",VLOOKUP('Dashboard And Emails Automate'!$G1101,Database!$H:$N,5,0)),"")</f>
        <v/>
      </c>
      <c r="L1101" s="55" t="str">
        <f>IFERROR(IF($G1101="","",VLOOKUP('Dashboard And Emails Automate'!$G1101,Database!$H:$N,6,0)),"")</f>
        <v/>
      </c>
      <c r="M1101" s="55" t="str">
        <f>IFERROR(IF($G1101="","",VLOOKUP('Dashboard And Emails Automate'!$G1101,Database!$H:$N,7,0)),"")</f>
        <v/>
      </c>
      <c r="N1101" s="55" t="str">
        <f>IFERROR(IF(OR($B1101="",$B1101="(blank)"),"",VLOOKUP($B1101,'Email Marketing Raw Data'!$C:$O,6,0)),"")</f>
        <v/>
      </c>
      <c r="O1101" s="55" t="str">
        <f>IFERROR(IF(OR($B1101="",$B1101="(blank)"),"",VLOOKUP($B1101,'Email Marketing Raw Data'!$C:$O,7,0)),"")</f>
        <v/>
      </c>
      <c r="P1101" s="55" t="str">
        <f>IFERROR(IF(OR($B1101="",$B1101="(blank)"),"",VLOOKUP($B1101,'Email Marketing Raw Data'!$C:$O,8,0)),"")</f>
        <v/>
      </c>
      <c r="Q1101" s="62" t="str">
        <f>IFERROR(IF(OR($B1101="",$B1101="(blank)"),"",VLOOKUP($B1101,'Email Marketing Raw Data'!$C:$O,9,0)),"")</f>
        <v/>
      </c>
    </row>
    <row r="1102" spans="4:17" ht="12.75" customHeight="1" x14ac:dyDescent="0.2">
      <c r="D1102" s="58" t="str">
        <f>IFERROR(IF(F1102&lt;&gt;"pending","",IF(OR($B1102="",$B1102="(blank)"),"",VLOOKUP($B1102,'Email Marketing Raw Data'!$C:$O,10,0))),"")</f>
        <v/>
      </c>
      <c r="E1102" s="59" t="str">
        <f>IFERROR(IF(F1102&lt;&gt;"pending","",IF(OR($B1102="",$B1102="(blank)"),"",VLOOKUP($B1102,'Email Marketing Raw Data'!$C:$O,11,0))),"")</f>
        <v/>
      </c>
      <c r="F1102" s="54" t="str">
        <f>IFERROR(IF(OR($B1102="",$B1102="(blank)"),"",VLOOKUP($B1102,'Email Marketing Raw Data'!$C:$O,13,0)),"")</f>
        <v/>
      </c>
      <c r="G1102" s="55" t="str">
        <f>IFERROR(IF(OR($B1102="",$B1102="(blank)"),"",VLOOKUP($B1102,'Email Marketing Raw Data'!$C:$O,4,0)),"")</f>
        <v/>
      </c>
      <c r="H1102" s="55" t="str">
        <f>IFERROR(IF(OR($B1102="",$B1102="(blank)"),"",VLOOKUP($B1102,'Email Marketing Raw Data'!$C:$O,5,0)),"")</f>
        <v/>
      </c>
      <c r="I1102" s="55" t="str">
        <f>IFERROR(IF($G1102="","",VLOOKUP('Dashboard And Emails Automate'!$G1102,Database!$H:$N,3,0)),"")</f>
        <v/>
      </c>
      <c r="J1102" s="55" t="str">
        <f>IFERROR(IF($G1102="","",VLOOKUP('Dashboard And Emails Automate'!$G1102,Database!$H:$N,4,0)),"")</f>
        <v/>
      </c>
      <c r="K1102" s="55" t="str">
        <f>IFERROR(IF($G1102="","",VLOOKUP('Dashboard And Emails Automate'!$G1102,Database!$H:$N,5,0)),"")</f>
        <v/>
      </c>
      <c r="L1102" s="55" t="str">
        <f>IFERROR(IF($G1102="","",VLOOKUP('Dashboard And Emails Automate'!$G1102,Database!$H:$N,6,0)),"")</f>
        <v/>
      </c>
      <c r="M1102" s="55" t="str">
        <f>IFERROR(IF($G1102="","",VLOOKUP('Dashboard And Emails Automate'!$G1102,Database!$H:$N,7,0)),"")</f>
        <v/>
      </c>
      <c r="N1102" s="55" t="str">
        <f>IFERROR(IF(OR($B1102="",$B1102="(blank)"),"",VLOOKUP($B1102,'Email Marketing Raw Data'!$C:$O,6,0)),"")</f>
        <v/>
      </c>
      <c r="O1102" s="55" t="str">
        <f>IFERROR(IF(OR($B1102="",$B1102="(blank)"),"",VLOOKUP($B1102,'Email Marketing Raw Data'!$C:$O,7,0)),"")</f>
        <v/>
      </c>
      <c r="P1102" s="55" t="str">
        <f>IFERROR(IF(OR($B1102="",$B1102="(blank)"),"",VLOOKUP($B1102,'Email Marketing Raw Data'!$C:$O,8,0)),"")</f>
        <v/>
      </c>
      <c r="Q1102" s="62" t="str">
        <f>IFERROR(IF(OR($B1102="",$B1102="(blank)"),"",VLOOKUP($B1102,'Email Marketing Raw Data'!$C:$O,9,0)),"")</f>
        <v/>
      </c>
    </row>
    <row r="1103" spans="4:17" ht="12.75" customHeight="1" x14ac:dyDescent="0.2">
      <c r="D1103" s="58" t="str">
        <f>IFERROR(IF(F1103&lt;&gt;"pending","",IF(OR($B1103="",$B1103="(blank)"),"",VLOOKUP($B1103,'Email Marketing Raw Data'!$C:$O,10,0))),"")</f>
        <v/>
      </c>
      <c r="E1103" s="59" t="str">
        <f>IFERROR(IF(F1103&lt;&gt;"pending","",IF(OR($B1103="",$B1103="(blank)"),"",VLOOKUP($B1103,'Email Marketing Raw Data'!$C:$O,11,0))),"")</f>
        <v/>
      </c>
      <c r="F1103" s="54" t="str">
        <f>IFERROR(IF(OR($B1103="",$B1103="(blank)"),"",VLOOKUP($B1103,'Email Marketing Raw Data'!$C:$O,13,0)),"")</f>
        <v/>
      </c>
      <c r="G1103" s="55" t="str">
        <f>IFERROR(IF(OR($B1103="",$B1103="(blank)"),"",VLOOKUP($B1103,'Email Marketing Raw Data'!$C:$O,4,0)),"")</f>
        <v/>
      </c>
      <c r="H1103" s="55" t="str">
        <f>IFERROR(IF(OR($B1103="",$B1103="(blank)"),"",VLOOKUP($B1103,'Email Marketing Raw Data'!$C:$O,5,0)),"")</f>
        <v/>
      </c>
      <c r="I1103" s="55" t="str">
        <f>IFERROR(IF($G1103="","",VLOOKUP('Dashboard And Emails Automate'!$G1103,Database!$H:$N,3,0)),"")</f>
        <v/>
      </c>
      <c r="J1103" s="55" t="str">
        <f>IFERROR(IF($G1103="","",VLOOKUP('Dashboard And Emails Automate'!$G1103,Database!$H:$N,4,0)),"")</f>
        <v/>
      </c>
      <c r="K1103" s="55" t="str">
        <f>IFERROR(IF($G1103="","",VLOOKUP('Dashboard And Emails Automate'!$G1103,Database!$H:$N,5,0)),"")</f>
        <v/>
      </c>
      <c r="L1103" s="55" t="str">
        <f>IFERROR(IF($G1103="","",VLOOKUP('Dashboard And Emails Automate'!$G1103,Database!$H:$N,6,0)),"")</f>
        <v/>
      </c>
      <c r="M1103" s="55" t="str">
        <f>IFERROR(IF($G1103="","",VLOOKUP('Dashboard And Emails Automate'!$G1103,Database!$H:$N,7,0)),"")</f>
        <v/>
      </c>
      <c r="N1103" s="55" t="str">
        <f>IFERROR(IF(OR($B1103="",$B1103="(blank)"),"",VLOOKUP($B1103,'Email Marketing Raw Data'!$C:$O,6,0)),"")</f>
        <v/>
      </c>
      <c r="O1103" s="55" t="str">
        <f>IFERROR(IF(OR($B1103="",$B1103="(blank)"),"",VLOOKUP($B1103,'Email Marketing Raw Data'!$C:$O,7,0)),"")</f>
        <v/>
      </c>
      <c r="P1103" s="55" t="str">
        <f>IFERROR(IF(OR($B1103="",$B1103="(blank)"),"",VLOOKUP($B1103,'Email Marketing Raw Data'!$C:$O,8,0)),"")</f>
        <v/>
      </c>
      <c r="Q1103" s="62" t="str">
        <f>IFERROR(IF(OR($B1103="",$B1103="(blank)"),"",VLOOKUP($B1103,'Email Marketing Raw Data'!$C:$O,9,0)),"")</f>
        <v/>
      </c>
    </row>
    <row r="1104" spans="4:17" ht="12.75" customHeight="1" x14ac:dyDescent="0.2">
      <c r="D1104" s="58" t="str">
        <f>IFERROR(IF(F1104&lt;&gt;"pending","",IF(OR($B1104="",$B1104="(blank)"),"",VLOOKUP($B1104,'Email Marketing Raw Data'!$C:$O,10,0))),"")</f>
        <v/>
      </c>
      <c r="E1104" s="59" t="str">
        <f>IFERROR(IF(F1104&lt;&gt;"pending","",IF(OR($B1104="",$B1104="(blank)"),"",VLOOKUP($B1104,'Email Marketing Raw Data'!$C:$O,11,0))),"")</f>
        <v/>
      </c>
      <c r="F1104" s="54" t="str">
        <f>IFERROR(IF(OR($B1104="",$B1104="(blank)"),"",VLOOKUP($B1104,'Email Marketing Raw Data'!$C:$O,13,0)),"")</f>
        <v/>
      </c>
      <c r="G1104" s="55" t="str">
        <f>IFERROR(IF(OR($B1104="",$B1104="(blank)"),"",VLOOKUP($B1104,'Email Marketing Raw Data'!$C:$O,4,0)),"")</f>
        <v/>
      </c>
      <c r="H1104" s="55" t="str">
        <f>IFERROR(IF(OR($B1104="",$B1104="(blank)"),"",VLOOKUP($B1104,'Email Marketing Raw Data'!$C:$O,5,0)),"")</f>
        <v/>
      </c>
      <c r="I1104" s="55" t="str">
        <f>IFERROR(IF($G1104="","",VLOOKUP('Dashboard And Emails Automate'!$G1104,Database!$H:$N,3,0)),"")</f>
        <v/>
      </c>
      <c r="J1104" s="55" t="str">
        <f>IFERROR(IF($G1104="","",VLOOKUP('Dashboard And Emails Automate'!$G1104,Database!$H:$N,4,0)),"")</f>
        <v/>
      </c>
      <c r="K1104" s="55" t="str">
        <f>IFERROR(IF($G1104="","",VLOOKUP('Dashboard And Emails Automate'!$G1104,Database!$H:$N,5,0)),"")</f>
        <v/>
      </c>
      <c r="L1104" s="55" t="str">
        <f>IFERROR(IF($G1104="","",VLOOKUP('Dashboard And Emails Automate'!$G1104,Database!$H:$N,6,0)),"")</f>
        <v/>
      </c>
      <c r="M1104" s="55" t="str">
        <f>IFERROR(IF($G1104="","",VLOOKUP('Dashboard And Emails Automate'!$G1104,Database!$H:$N,7,0)),"")</f>
        <v/>
      </c>
      <c r="N1104" s="55" t="str">
        <f>IFERROR(IF(OR($B1104="",$B1104="(blank)"),"",VLOOKUP($B1104,'Email Marketing Raw Data'!$C:$O,6,0)),"")</f>
        <v/>
      </c>
      <c r="O1104" s="55" t="str">
        <f>IFERROR(IF(OR($B1104="",$B1104="(blank)"),"",VLOOKUP($B1104,'Email Marketing Raw Data'!$C:$O,7,0)),"")</f>
        <v/>
      </c>
      <c r="P1104" s="55" t="str">
        <f>IFERROR(IF(OR($B1104="",$B1104="(blank)"),"",VLOOKUP($B1104,'Email Marketing Raw Data'!$C:$O,8,0)),"")</f>
        <v/>
      </c>
      <c r="Q1104" s="62" t="str">
        <f>IFERROR(IF(OR($B1104="",$B1104="(blank)"),"",VLOOKUP($B1104,'Email Marketing Raw Data'!$C:$O,9,0)),"")</f>
        <v/>
      </c>
    </row>
    <row r="1105" spans="4:17" ht="12.75" customHeight="1" x14ac:dyDescent="0.2">
      <c r="D1105" s="58" t="str">
        <f>IFERROR(IF(F1105&lt;&gt;"pending","",IF(OR($B1105="",$B1105="(blank)"),"",VLOOKUP($B1105,'Email Marketing Raw Data'!$C:$O,10,0))),"")</f>
        <v/>
      </c>
      <c r="E1105" s="59" t="str">
        <f>IFERROR(IF(F1105&lt;&gt;"pending","",IF(OR($B1105="",$B1105="(blank)"),"",VLOOKUP($B1105,'Email Marketing Raw Data'!$C:$O,11,0))),"")</f>
        <v/>
      </c>
      <c r="F1105" s="54" t="str">
        <f>IFERROR(IF(OR($B1105="",$B1105="(blank)"),"",VLOOKUP($B1105,'Email Marketing Raw Data'!$C:$O,13,0)),"")</f>
        <v/>
      </c>
      <c r="G1105" s="55" t="str">
        <f>IFERROR(IF(OR($B1105="",$B1105="(blank)"),"",VLOOKUP($B1105,'Email Marketing Raw Data'!$C:$O,4,0)),"")</f>
        <v/>
      </c>
      <c r="H1105" s="55" t="str">
        <f>IFERROR(IF(OR($B1105="",$B1105="(blank)"),"",VLOOKUP($B1105,'Email Marketing Raw Data'!$C:$O,5,0)),"")</f>
        <v/>
      </c>
      <c r="I1105" s="55" t="str">
        <f>IFERROR(IF($G1105="","",VLOOKUP('Dashboard And Emails Automate'!$G1105,Database!$H:$N,3,0)),"")</f>
        <v/>
      </c>
      <c r="J1105" s="55" t="str">
        <f>IFERROR(IF($G1105="","",VLOOKUP('Dashboard And Emails Automate'!$G1105,Database!$H:$N,4,0)),"")</f>
        <v/>
      </c>
      <c r="K1105" s="55" t="str">
        <f>IFERROR(IF($G1105="","",VLOOKUP('Dashboard And Emails Automate'!$G1105,Database!$H:$N,5,0)),"")</f>
        <v/>
      </c>
      <c r="L1105" s="55" t="str">
        <f>IFERROR(IF($G1105="","",VLOOKUP('Dashboard And Emails Automate'!$G1105,Database!$H:$N,6,0)),"")</f>
        <v/>
      </c>
      <c r="M1105" s="55" t="str">
        <f>IFERROR(IF($G1105="","",VLOOKUP('Dashboard And Emails Automate'!$G1105,Database!$H:$N,7,0)),"")</f>
        <v/>
      </c>
      <c r="N1105" s="55" t="str">
        <f>IFERROR(IF(OR($B1105="",$B1105="(blank)"),"",VLOOKUP($B1105,'Email Marketing Raw Data'!$C:$O,6,0)),"")</f>
        <v/>
      </c>
      <c r="O1105" s="55" t="str">
        <f>IFERROR(IF(OR($B1105="",$B1105="(blank)"),"",VLOOKUP($B1105,'Email Marketing Raw Data'!$C:$O,7,0)),"")</f>
        <v/>
      </c>
      <c r="P1105" s="55" t="str">
        <f>IFERROR(IF(OR($B1105="",$B1105="(blank)"),"",VLOOKUP($B1105,'Email Marketing Raw Data'!$C:$O,8,0)),"")</f>
        <v/>
      </c>
      <c r="Q1105" s="62" t="str">
        <f>IFERROR(IF(OR($B1105="",$B1105="(blank)"),"",VLOOKUP($B1105,'Email Marketing Raw Data'!$C:$O,9,0)),"")</f>
        <v/>
      </c>
    </row>
    <row r="1106" spans="4:17" ht="12.75" customHeight="1" x14ac:dyDescent="0.2">
      <c r="D1106" s="58" t="str">
        <f>IFERROR(IF(F1106&lt;&gt;"pending","",IF(OR($B1106="",$B1106="(blank)"),"",VLOOKUP($B1106,'Email Marketing Raw Data'!$C:$O,10,0))),"")</f>
        <v/>
      </c>
      <c r="E1106" s="59" t="str">
        <f>IFERROR(IF(F1106&lt;&gt;"pending","",IF(OR($B1106="",$B1106="(blank)"),"",VLOOKUP($B1106,'Email Marketing Raw Data'!$C:$O,11,0))),"")</f>
        <v/>
      </c>
      <c r="F1106" s="54" t="str">
        <f>IFERROR(IF(OR($B1106="",$B1106="(blank)"),"",VLOOKUP($B1106,'Email Marketing Raw Data'!$C:$O,13,0)),"")</f>
        <v/>
      </c>
      <c r="G1106" s="55" t="str">
        <f>IFERROR(IF(OR($B1106="",$B1106="(blank)"),"",VLOOKUP($B1106,'Email Marketing Raw Data'!$C:$O,4,0)),"")</f>
        <v/>
      </c>
      <c r="H1106" s="55" t="str">
        <f>IFERROR(IF(OR($B1106="",$B1106="(blank)"),"",VLOOKUP($B1106,'Email Marketing Raw Data'!$C:$O,5,0)),"")</f>
        <v/>
      </c>
      <c r="I1106" s="55" t="str">
        <f>IFERROR(IF($G1106="","",VLOOKUP('Dashboard And Emails Automate'!$G1106,Database!$H:$N,3,0)),"")</f>
        <v/>
      </c>
      <c r="J1106" s="55" t="str">
        <f>IFERROR(IF($G1106="","",VLOOKUP('Dashboard And Emails Automate'!$G1106,Database!$H:$N,4,0)),"")</f>
        <v/>
      </c>
      <c r="K1106" s="55" t="str">
        <f>IFERROR(IF($G1106="","",VLOOKUP('Dashboard And Emails Automate'!$G1106,Database!$H:$N,5,0)),"")</f>
        <v/>
      </c>
      <c r="L1106" s="55" t="str">
        <f>IFERROR(IF($G1106="","",VLOOKUP('Dashboard And Emails Automate'!$G1106,Database!$H:$N,6,0)),"")</f>
        <v/>
      </c>
      <c r="M1106" s="55" t="str">
        <f>IFERROR(IF($G1106="","",VLOOKUP('Dashboard And Emails Automate'!$G1106,Database!$H:$N,7,0)),"")</f>
        <v/>
      </c>
      <c r="N1106" s="55" t="str">
        <f>IFERROR(IF(OR($B1106="",$B1106="(blank)"),"",VLOOKUP($B1106,'Email Marketing Raw Data'!$C:$O,6,0)),"")</f>
        <v/>
      </c>
      <c r="O1106" s="55" t="str">
        <f>IFERROR(IF(OR($B1106="",$B1106="(blank)"),"",VLOOKUP($B1106,'Email Marketing Raw Data'!$C:$O,7,0)),"")</f>
        <v/>
      </c>
      <c r="P1106" s="55" t="str">
        <f>IFERROR(IF(OR($B1106="",$B1106="(blank)"),"",VLOOKUP($B1106,'Email Marketing Raw Data'!$C:$O,8,0)),"")</f>
        <v/>
      </c>
      <c r="Q1106" s="62" t="str">
        <f>IFERROR(IF(OR($B1106="",$B1106="(blank)"),"",VLOOKUP($B1106,'Email Marketing Raw Data'!$C:$O,9,0)),"")</f>
        <v/>
      </c>
    </row>
    <row r="1107" spans="4:17" ht="12.75" customHeight="1" x14ac:dyDescent="0.2">
      <c r="D1107" s="58" t="str">
        <f>IFERROR(IF(F1107&lt;&gt;"pending","",IF(OR($B1107="",$B1107="(blank)"),"",VLOOKUP($B1107,'Email Marketing Raw Data'!$C:$O,10,0))),"")</f>
        <v/>
      </c>
      <c r="E1107" s="59" t="str">
        <f>IFERROR(IF(F1107&lt;&gt;"pending","",IF(OR($B1107="",$B1107="(blank)"),"",VLOOKUP($B1107,'Email Marketing Raw Data'!$C:$O,11,0))),"")</f>
        <v/>
      </c>
      <c r="F1107" s="54" t="str">
        <f>IFERROR(IF(OR($B1107="",$B1107="(blank)"),"",VLOOKUP($B1107,'Email Marketing Raw Data'!$C:$O,13,0)),"")</f>
        <v/>
      </c>
      <c r="G1107" s="55" t="str">
        <f>IFERROR(IF(OR($B1107="",$B1107="(blank)"),"",VLOOKUP($B1107,'Email Marketing Raw Data'!$C:$O,4,0)),"")</f>
        <v/>
      </c>
      <c r="H1107" s="55" t="str">
        <f>IFERROR(IF(OR($B1107="",$B1107="(blank)"),"",VLOOKUP($B1107,'Email Marketing Raw Data'!$C:$O,5,0)),"")</f>
        <v/>
      </c>
      <c r="I1107" s="55" t="str">
        <f>IFERROR(IF($G1107="","",VLOOKUP('Dashboard And Emails Automate'!$G1107,Database!$H:$N,3,0)),"")</f>
        <v/>
      </c>
      <c r="J1107" s="55" t="str">
        <f>IFERROR(IF($G1107="","",VLOOKUP('Dashboard And Emails Automate'!$G1107,Database!$H:$N,4,0)),"")</f>
        <v/>
      </c>
      <c r="K1107" s="55" t="str">
        <f>IFERROR(IF($G1107="","",VLOOKUP('Dashboard And Emails Automate'!$G1107,Database!$H:$N,5,0)),"")</f>
        <v/>
      </c>
      <c r="L1107" s="55" t="str">
        <f>IFERROR(IF($G1107="","",VLOOKUP('Dashboard And Emails Automate'!$G1107,Database!$H:$N,6,0)),"")</f>
        <v/>
      </c>
      <c r="M1107" s="55" t="str">
        <f>IFERROR(IF($G1107="","",VLOOKUP('Dashboard And Emails Automate'!$G1107,Database!$H:$N,7,0)),"")</f>
        <v/>
      </c>
      <c r="N1107" s="55" t="str">
        <f>IFERROR(IF(OR($B1107="",$B1107="(blank)"),"",VLOOKUP($B1107,'Email Marketing Raw Data'!$C:$O,6,0)),"")</f>
        <v/>
      </c>
      <c r="O1107" s="55" t="str">
        <f>IFERROR(IF(OR($B1107="",$B1107="(blank)"),"",VLOOKUP($B1107,'Email Marketing Raw Data'!$C:$O,7,0)),"")</f>
        <v/>
      </c>
      <c r="P1107" s="55" t="str">
        <f>IFERROR(IF(OR($B1107="",$B1107="(blank)"),"",VLOOKUP($B1107,'Email Marketing Raw Data'!$C:$O,8,0)),"")</f>
        <v/>
      </c>
      <c r="Q1107" s="62" t="str">
        <f>IFERROR(IF(OR($B1107="",$B1107="(blank)"),"",VLOOKUP($B1107,'Email Marketing Raw Data'!$C:$O,9,0)),"")</f>
        <v/>
      </c>
    </row>
    <row r="1108" spans="4:17" ht="12.75" customHeight="1" x14ac:dyDescent="0.2">
      <c r="D1108" s="58" t="str">
        <f>IFERROR(IF(F1108&lt;&gt;"pending","",IF(OR($B1108="",$B1108="(blank)"),"",VLOOKUP($B1108,'Email Marketing Raw Data'!$C:$O,10,0))),"")</f>
        <v/>
      </c>
      <c r="E1108" s="59" t="str">
        <f>IFERROR(IF(F1108&lt;&gt;"pending","",IF(OR($B1108="",$B1108="(blank)"),"",VLOOKUP($B1108,'Email Marketing Raw Data'!$C:$O,11,0))),"")</f>
        <v/>
      </c>
      <c r="F1108" s="54" t="str">
        <f>IFERROR(IF(OR($B1108="",$B1108="(blank)"),"",VLOOKUP($B1108,'Email Marketing Raw Data'!$C:$O,13,0)),"")</f>
        <v/>
      </c>
      <c r="G1108" s="55" t="str">
        <f>IFERROR(IF(OR($B1108="",$B1108="(blank)"),"",VLOOKUP($B1108,'Email Marketing Raw Data'!$C:$O,4,0)),"")</f>
        <v/>
      </c>
      <c r="H1108" s="55" t="str">
        <f>IFERROR(IF(OR($B1108="",$B1108="(blank)"),"",VLOOKUP($B1108,'Email Marketing Raw Data'!$C:$O,5,0)),"")</f>
        <v/>
      </c>
      <c r="I1108" s="55" t="str">
        <f>IFERROR(IF($G1108="","",VLOOKUP('Dashboard And Emails Automate'!$G1108,Database!$H:$N,3,0)),"")</f>
        <v/>
      </c>
      <c r="J1108" s="55" t="str">
        <f>IFERROR(IF($G1108="","",VLOOKUP('Dashboard And Emails Automate'!$G1108,Database!$H:$N,4,0)),"")</f>
        <v/>
      </c>
      <c r="K1108" s="55" t="str">
        <f>IFERROR(IF($G1108="","",VLOOKUP('Dashboard And Emails Automate'!$G1108,Database!$H:$N,5,0)),"")</f>
        <v/>
      </c>
      <c r="L1108" s="55" t="str">
        <f>IFERROR(IF($G1108="","",VLOOKUP('Dashboard And Emails Automate'!$G1108,Database!$H:$N,6,0)),"")</f>
        <v/>
      </c>
      <c r="M1108" s="55" t="str">
        <f>IFERROR(IF($G1108="","",VLOOKUP('Dashboard And Emails Automate'!$G1108,Database!$H:$N,7,0)),"")</f>
        <v/>
      </c>
      <c r="N1108" s="55" t="str">
        <f>IFERROR(IF(OR($B1108="",$B1108="(blank)"),"",VLOOKUP($B1108,'Email Marketing Raw Data'!$C:$O,6,0)),"")</f>
        <v/>
      </c>
      <c r="O1108" s="55" t="str">
        <f>IFERROR(IF(OR($B1108="",$B1108="(blank)"),"",VLOOKUP($B1108,'Email Marketing Raw Data'!$C:$O,7,0)),"")</f>
        <v/>
      </c>
      <c r="P1108" s="55" t="str">
        <f>IFERROR(IF(OR($B1108="",$B1108="(blank)"),"",VLOOKUP($B1108,'Email Marketing Raw Data'!$C:$O,8,0)),"")</f>
        <v/>
      </c>
      <c r="Q1108" s="62" t="str">
        <f>IFERROR(IF(OR($B1108="",$B1108="(blank)"),"",VLOOKUP($B1108,'Email Marketing Raw Data'!$C:$O,9,0)),"")</f>
        <v/>
      </c>
    </row>
    <row r="1109" spans="4:17" ht="12.75" customHeight="1" x14ac:dyDescent="0.2">
      <c r="D1109" s="58" t="str">
        <f>IFERROR(IF(F1109&lt;&gt;"pending","",IF(OR($B1109="",$B1109="(blank)"),"",VLOOKUP($B1109,'Email Marketing Raw Data'!$C:$O,10,0))),"")</f>
        <v/>
      </c>
      <c r="E1109" s="59" t="str">
        <f>IFERROR(IF(F1109&lt;&gt;"pending","",IF(OR($B1109="",$B1109="(blank)"),"",VLOOKUP($B1109,'Email Marketing Raw Data'!$C:$O,11,0))),"")</f>
        <v/>
      </c>
      <c r="F1109" s="54" t="str">
        <f>IFERROR(IF(OR($B1109="",$B1109="(blank)"),"",VLOOKUP($B1109,'Email Marketing Raw Data'!$C:$O,13,0)),"")</f>
        <v/>
      </c>
      <c r="G1109" s="55" t="str">
        <f>IFERROR(IF(OR($B1109="",$B1109="(blank)"),"",VLOOKUP($B1109,'Email Marketing Raw Data'!$C:$O,4,0)),"")</f>
        <v/>
      </c>
      <c r="H1109" s="55" t="str">
        <f>IFERROR(IF(OR($B1109="",$B1109="(blank)"),"",VLOOKUP($B1109,'Email Marketing Raw Data'!$C:$O,5,0)),"")</f>
        <v/>
      </c>
      <c r="I1109" s="55" t="str">
        <f>IFERROR(IF($G1109="","",VLOOKUP('Dashboard And Emails Automate'!$G1109,Database!$H:$N,3,0)),"")</f>
        <v/>
      </c>
      <c r="J1109" s="55" t="str">
        <f>IFERROR(IF($G1109="","",VLOOKUP('Dashboard And Emails Automate'!$G1109,Database!$H:$N,4,0)),"")</f>
        <v/>
      </c>
      <c r="K1109" s="55" t="str">
        <f>IFERROR(IF($G1109="","",VLOOKUP('Dashboard And Emails Automate'!$G1109,Database!$H:$N,5,0)),"")</f>
        <v/>
      </c>
      <c r="L1109" s="55" t="str">
        <f>IFERROR(IF($G1109="","",VLOOKUP('Dashboard And Emails Automate'!$G1109,Database!$H:$N,6,0)),"")</f>
        <v/>
      </c>
      <c r="M1109" s="55" t="str">
        <f>IFERROR(IF($G1109="","",VLOOKUP('Dashboard And Emails Automate'!$G1109,Database!$H:$N,7,0)),"")</f>
        <v/>
      </c>
      <c r="N1109" s="55" t="str">
        <f>IFERROR(IF(OR($B1109="",$B1109="(blank)"),"",VLOOKUP($B1109,'Email Marketing Raw Data'!$C:$O,6,0)),"")</f>
        <v/>
      </c>
      <c r="O1109" s="55" t="str">
        <f>IFERROR(IF(OR($B1109="",$B1109="(blank)"),"",VLOOKUP($B1109,'Email Marketing Raw Data'!$C:$O,7,0)),"")</f>
        <v/>
      </c>
      <c r="P1109" s="55" t="str">
        <f>IFERROR(IF(OR($B1109="",$B1109="(blank)"),"",VLOOKUP($B1109,'Email Marketing Raw Data'!$C:$O,8,0)),"")</f>
        <v/>
      </c>
      <c r="Q1109" s="62" t="str">
        <f>IFERROR(IF(OR($B1109="",$B1109="(blank)"),"",VLOOKUP($B1109,'Email Marketing Raw Data'!$C:$O,9,0)),"")</f>
        <v/>
      </c>
    </row>
    <row r="1110" spans="4:17" ht="12.75" customHeight="1" x14ac:dyDescent="0.2">
      <c r="D1110" s="58" t="str">
        <f>IFERROR(IF(F1110&lt;&gt;"pending","",IF(OR($B1110="",$B1110="(blank)"),"",VLOOKUP($B1110,'Email Marketing Raw Data'!$C:$O,10,0))),"")</f>
        <v/>
      </c>
      <c r="E1110" s="59" t="str">
        <f>IFERROR(IF(F1110&lt;&gt;"pending","",IF(OR($B1110="",$B1110="(blank)"),"",VLOOKUP($B1110,'Email Marketing Raw Data'!$C:$O,11,0))),"")</f>
        <v/>
      </c>
      <c r="F1110" s="54" t="str">
        <f>IFERROR(IF(OR($B1110="",$B1110="(blank)"),"",VLOOKUP($B1110,'Email Marketing Raw Data'!$C:$O,13,0)),"")</f>
        <v/>
      </c>
      <c r="G1110" s="55" t="str">
        <f>IFERROR(IF(OR($B1110="",$B1110="(blank)"),"",VLOOKUP($B1110,'Email Marketing Raw Data'!$C:$O,4,0)),"")</f>
        <v/>
      </c>
      <c r="H1110" s="55" t="str">
        <f>IFERROR(IF(OR($B1110="",$B1110="(blank)"),"",VLOOKUP($B1110,'Email Marketing Raw Data'!$C:$O,5,0)),"")</f>
        <v/>
      </c>
      <c r="I1110" s="55" t="str">
        <f>IFERROR(IF($G1110="","",VLOOKUP('Dashboard And Emails Automate'!$G1110,Database!$H:$N,3,0)),"")</f>
        <v/>
      </c>
      <c r="J1110" s="55" t="str">
        <f>IFERROR(IF($G1110="","",VLOOKUP('Dashboard And Emails Automate'!$G1110,Database!$H:$N,4,0)),"")</f>
        <v/>
      </c>
      <c r="K1110" s="55" t="str">
        <f>IFERROR(IF($G1110="","",VLOOKUP('Dashboard And Emails Automate'!$G1110,Database!$H:$N,5,0)),"")</f>
        <v/>
      </c>
      <c r="L1110" s="55" t="str">
        <f>IFERROR(IF($G1110="","",VLOOKUP('Dashboard And Emails Automate'!$G1110,Database!$H:$N,6,0)),"")</f>
        <v/>
      </c>
      <c r="M1110" s="55" t="str">
        <f>IFERROR(IF($G1110="","",VLOOKUP('Dashboard And Emails Automate'!$G1110,Database!$H:$N,7,0)),"")</f>
        <v/>
      </c>
      <c r="N1110" s="55" t="str">
        <f>IFERROR(IF(OR($B1110="",$B1110="(blank)"),"",VLOOKUP($B1110,'Email Marketing Raw Data'!$C:$O,6,0)),"")</f>
        <v/>
      </c>
      <c r="O1110" s="55" t="str">
        <f>IFERROR(IF(OR($B1110="",$B1110="(blank)"),"",VLOOKUP($B1110,'Email Marketing Raw Data'!$C:$O,7,0)),"")</f>
        <v/>
      </c>
      <c r="P1110" s="55" t="str">
        <f>IFERROR(IF(OR($B1110="",$B1110="(blank)"),"",VLOOKUP($B1110,'Email Marketing Raw Data'!$C:$O,8,0)),"")</f>
        <v/>
      </c>
      <c r="Q1110" s="62" t="str">
        <f>IFERROR(IF(OR($B1110="",$B1110="(blank)"),"",VLOOKUP($B1110,'Email Marketing Raw Data'!$C:$O,9,0)),"")</f>
        <v/>
      </c>
    </row>
    <row r="1111" spans="4:17" ht="12.75" customHeight="1" x14ac:dyDescent="0.2">
      <c r="D1111" s="58" t="str">
        <f>IFERROR(IF(F1111&lt;&gt;"pending","",IF(OR($B1111="",$B1111="(blank)"),"",VLOOKUP($B1111,'Email Marketing Raw Data'!$C:$O,10,0))),"")</f>
        <v/>
      </c>
      <c r="E1111" s="59" t="str">
        <f>IFERROR(IF(F1111&lt;&gt;"pending","",IF(OR($B1111="",$B1111="(blank)"),"",VLOOKUP($B1111,'Email Marketing Raw Data'!$C:$O,11,0))),"")</f>
        <v/>
      </c>
      <c r="F1111" s="54" t="str">
        <f>IFERROR(IF(OR($B1111="",$B1111="(blank)"),"",VLOOKUP($B1111,'Email Marketing Raw Data'!$C:$O,13,0)),"")</f>
        <v/>
      </c>
      <c r="G1111" s="55" t="str">
        <f>IFERROR(IF(OR($B1111="",$B1111="(blank)"),"",VLOOKUP($B1111,'Email Marketing Raw Data'!$C:$O,4,0)),"")</f>
        <v/>
      </c>
      <c r="H1111" s="55" t="str">
        <f>IFERROR(IF(OR($B1111="",$B1111="(blank)"),"",VLOOKUP($B1111,'Email Marketing Raw Data'!$C:$O,5,0)),"")</f>
        <v/>
      </c>
      <c r="I1111" s="55" t="str">
        <f>IFERROR(IF($G1111="","",VLOOKUP('Dashboard And Emails Automate'!$G1111,Database!$H:$N,3,0)),"")</f>
        <v/>
      </c>
      <c r="J1111" s="55" t="str">
        <f>IFERROR(IF($G1111="","",VLOOKUP('Dashboard And Emails Automate'!$G1111,Database!$H:$N,4,0)),"")</f>
        <v/>
      </c>
      <c r="K1111" s="55" t="str">
        <f>IFERROR(IF($G1111="","",VLOOKUP('Dashboard And Emails Automate'!$G1111,Database!$H:$N,5,0)),"")</f>
        <v/>
      </c>
      <c r="L1111" s="55" t="str">
        <f>IFERROR(IF($G1111="","",VLOOKUP('Dashboard And Emails Automate'!$G1111,Database!$H:$N,6,0)),"")</f>
        <v/>
      </c>
      <c r="M1111" s="55" t="str">
        <f>IFERROR(IF($G1111="","",VLOOKUP('Dashboard And Emails Automate'!$G1111,Database!$H:$N,7,0)),"")</f>
        <v/>
      </c>
      <c r="N1111" s="55" t="str">
        <f>IFERROR(IF(OR($B1111="",$B1111="(blank)"),"",VLOOKUP($B1111,'Email Marketing Raw Data'!$C:$O,6,0)),"")</f>
        <v/>
      </c>
      <c r="O1111" s="55" t="str">
        <f>IFERROR(IF(OR($B1111="",$B1111="(blank)"),"",VLOOKUP($B1111,'Email Marketing Raw Data'!$C:$O,7,0)),"")</f>
        <v/>
      </c>
      <c r="P1111" s="55" t="str">
        <f>IFERROR(IF(OR($B1111="",$B1111="(blank)"),"",VLOOKUP($B1111,'Email Marketing Raw Data'!$C:$O,8,0)),"")</f>
        <v/>
      </c>
      <c r="Q1111" s="62" t="str">
        <f>IFERROR(IF(OR($B1111="",$B1111="(blank)"),"",VLOOKUP($B1111,'Email Marketing Raw Data'!$C:$O,9,0)),"")</f>
        <v/>
      </c>
    </row>
    <row r="1112" spans="4:17" ht="12.75" customHeight="1" x14ac:dyDescent="0.2">
      <c r="D1112" s="58" t="str">
        <f>IFERROR(IF(F1112&lt;&gt;"pending","",IF(OR($B1112="",$B1112="(blank)"),"",VLOOKUP($B1112,'Email Marketing Raw Data'!$C:$O,10,0))),"")</f>
        <v/>
      </c>
      <c r="E1112" s="59" t="str">
        <f>IFERROR(IF(F1112&lt;&gt;"pending","",IF(OR($B1112="",$B1112="(blank)"),"",VLOOKUP($B1112,'Email Marketing Raw Data'!$C:$O,11,0))),"")</f>
        <v/>
      </c>
      <c r="F1112" s="54" t="str">
        <f>IFERROR(IF(OR($B1112="",$B1112="(blank)"),"",VLOOKUP($B1112,'Email Marketing Raw Data'!$C:$O,13,0)),"")</f>
        <v/>
      </c>
      <c r="G1112" s="55" t="str">
        <f>IFERROR(IF(OR($B1112="",$B1112="(blank)"),"",VLOOKUP($B1112,'Email Marketing Raw Data'!$C:$O,4,0)),"")</f>
        <v/>
      </c>
      <c r="H1112" s="55" t="str">
        <f>IFERROR(IF(OR($B1112="",$B1112="(blank)"),"",VLOOKUP($B1112,'Email Marketing Raw Data'!$C:$O,5,0)),"")</f>
        <v/>
      </c>
      <c r="I1112" s="55" t="str">
        <f>IFERROR(IF($G1112="","",VLOOKUP('Dashboard And Emails Automate'!$G1112,Database!$H:$N,3,0)),"")</f>
        <v/>
      </c>
      <c r="J1112" s="55" t="str">
        <f>IFERROR(IF($G1112="","",VLOOKUP('Dashboard And Emails Automate'!$G1112,Database!$H:$N,4,0)),"")</f>
        <v/>
      </c>
      <c r="K1112" s="55" t="str">
        <f>IFERROR(IF($G1112="","",VLOOKUP('Dashboard And Emails Automate'!$G1112,Database!$H:$N,5,0)),"")</f>
        <v/>
      </c>
      <c r="L1112" s="55" t="str">
        <f>IFERROR(IF($G1112="","",VLOOKUP('Dashboard And Emails Automate'!$G1112,Database!$H:$N,6,0)),"")</f>
        <v/>
      </c>
      <c r="M1112" s="55" t="str">
        <f>IFERROR(IF($G1112="","",VLOOKUP('Dashboard And Emails Automate'!$G1112,Database!$H:$N,7,0)),"")</f>
        <v/>
      </c>
      <c r="N1112" s="55" t="str">
        <f>IFERROR(IF(OR($B1112="",$B1112="(blank)"),"",VLOOKUP($B1112,'Email Marketing Raw Data'!$C:$O,6,0)),"")</f>
        <v/>
      </c>
      <c r="O1112" s="55" t="str">
        <f>IFERROR(IF(OR($B1112="",$B1112="(blank)"),"",VLOOKUP($B1112,'Email Marketing Raw Data'!$C:$O,7,0)),"")</f>
        <v/>
      </c>
      <c r="P1112" s="55" t="str">
        <f>IFERROR(IF(OR($B1112="",$B1112="(blank)"),"",VLOOKUP($B1112,'Email Marketing Raw Data'!$C:$O,8,0)),"")</f>
        <v/>
      </c>
      <c r="Q1112" s="62" t="str">
        <f>IFERROR(IF(OR($B1112="",$B1112="(blank)"),"",VLOOKUP($B1112,'Email Marketing Raw Data'!$C:$O,9,0)),"")</f>
        <v/>
      </c>
    </row>
    <row r="1113" spans="4:17" ht="12.75" customHeight="1" x14ac:dyDescent="0.2">
      <c r="D1113" s="58" t="str">
        <f>IFERROR(IF(F1113&lt;&gt;"pending","",IF(OR($B1113="",$B1113="(blank)"),"",VLOOKUP($B1113,'Email Marketing Raw Data'!$C:$O,10,0))),"")</f>
        <v/>
      </c>
      <c r="E1113" s="59" t="str">
        <f>IFERROR(IF(F1113&lt;&gt;"pending","",IF(OR($B1113="",$B1113="(blank)"),"",VLOOKUP($B1113,'Email Marketing Raw Data'!$C:$O,11,0))),"")</f>
        <v/>
      </c>
      <c r="F1113" s="54" t="str">
        <f>IFERROR(IF(OR($B1113="",$B1113="(blank)"),"",VLOOKUP($B1113,'Email Marketing Raw Data'!$C:$O,13,0)),"")</f>
        <v/>
      </c>
      <c r="G1113" s="55" t="str">
        <f>IFERROR(IF(OR($B1113="",$B1113="(blank)"),"",VLOOKUP($B1113,'Email Marketing Raw Data'!$C:$O,4,0)),"")</f>
        <v/>
      </c>
      <c r="H1113" s="55" t="str">
        <f>IFERROR(IF(OR($B1113="",$B1113="(blank)"),"",VLOOKUP($B1113,'Email Marketing Raw Data'!$C:$O,5,0)),"")</f>
        <v/>
      </c>
      <c r="I1113" s="55" t="str">
        <f>IFERROR(IF($G1113="","",VLOOKUP('Dashboard And Emails Automate'!$G1113,Database!$H:$N,3,0)),"")</f>
        <v/>
      </c>
      <c r="J1113" s="55" t="str">
        <f>IFERROR(IF($G1113="","",VLOOKUP('Dashboard And Emails Automate'!$G1113,Database!$H:$N,4,0)),"")</f>
        <v/>
      </c>
      <c r="K1113" s="55" t="str">
        <f>IFERROR(IF($G1113="","",VLOOKUP('Dashboard And Emails Automate'!$G1113,Database!$H:$N,5,0)),"")</f>
        <v/>
      </c>
      <c r="L1113" s="55" t="str">
        <f>IFERROR(IF($G1113="","",VLOOKUP('Dashboard And Emails Automate'!$G1113,Database!$H:$N,6,0)),"")</f>
        <v/>
      </c>
      <c r="M1113" s="55" t="str">
        <f>IFERROR(IF($G1113="","",VLOOKUP('Dashboard And Emails Automate'!$G1113,Database!$H:$N,7,0)),"")</f>
        <v/>
      </c>
      <c r="N1113" s="55" t="str">
        <f>IFERROR(IF(OR($B1113="",$B1113="(blank)"),"",VLOOKUP($B1113,'Email Marketing Raw Data'!$C:$O,6,0)),"")</f>
        <v/>
      </c>
      <c r="O1113" s="55" t="str">
        <f>IFERROR(IF(OR($B1113="",$B1113="(blank)"),"",VLOOKUP($B1113,'Email Marketing Raw Data'!$C:$O,7,0)),"")</f>
        <v/>
      </c>
      <c r="P1113" s="55" t="str">
        <f>IFERROR(IF(OR($B1113="",$B1113="(blank)"),"",VLOOKUP($B1113,'Email Marketing Raw Data'!$C:$O,8,0)),"")</f>
        <v/>
      </c>
      <c r="Q1113" s="62" t="str">
        <f>IFERROR(IF(OR($B1113="",$B1113="(blank)"),"",VLOOKUP($B1113,'Email Marketing Raw Data'!$C:$O,9,0)),"")</f>
        <v/>
      </c>
    </row>
    <row r="1114" spans="4:17" ht="12.75" customHeight="1" x14ac:dyDescent="0.2">
      <c r="D1114" s="58" t="str">
        <f>IFERROR(IF(F1114&lt;&gt;"pending","",IF(OR($B1114="",$B1114="(blank)"),"",VLOOKUP($B1114,'Email Marketing Raw Data'!$C:$O,10,0))),"")</f>
        <v/>
      </c>
      <c r="E1114" s="59" t="str">
        <f>IFERROR(IF(F1114&lt;&gt;"pending","",IF(OR($B1114="",$B1114="(blank)"),"",VLOOKUP($B1114,'Email Marketing Raw Data'!$C:$O,11,0))),"")</f>
        <v/>
      </c>
      <c r="F1114" s="54" t="str">
        <f>IFERROR(IF(OR($B1114="",$B1114="(blank)"),"",VLOOKUP($B1114,'Email Marketing Raw Data'!$C:$O,13,0)),"")</f>
        <v/>
      </c>
      <c r="G1114" s="55" t="str">
        <f>IFERROR(IF(OR($B1114="",$B1114="(blank)"),"",VLOOKUP($B1114,'Email Marketing Raw Data'!$C:$O,4,0)),"")</f>
        <v/>
      </c>
      <c r="H1114" s="55" t="str">
        <f>IFERROR(IF(OR($B1114="",$B1114="(blank)"),"",VLOOKUP($B1114,'Email Marketing Raw Data'!$C:$O,5,0)),"")</f>
        <v/>
      </c>
      <c r="I1114" s="55" t="str">
        <f>IFERROR(IF($G1114="","",VLOOKUP('Dashboard And Emails Automate'!$G1114,Database!$H:$N,3,0)),"")</f>
        <v/>
      </c>
      <c r="J1114" s="55" t="str">
        <f>IFERROR(IF($G1114="","",VLOOKUP('Dashboard And Emails Automate'!$G1114,Database!$H:$N,4,0)),"")</f>
        <v/>
      </c>
      <c r="K1114" s="55" t="str">
        <f>IFERROR(IF($G1114="","",VLOOKUP('Dashboard And Emails Automate'!$G1114,Database!$H:$N,5,0)),"")</f>
        <v/>
      </c>
      <c r="L1114" s="55" t="str">
        <f>IFERROR(IF($G1114="","",VLOOKUP('Dashboard And Emails Automate'!$G1114,Database!$H:$N,6,0)),"")</f>
        <v/>
      </c>
      <c r="M1114" s="55" t="str">
        <f>IFERROR(IF($G1114="","",VLOOKUP('Dashboard And Emails Automate'!$G1114,Database!$H:$N,7,0)),"")</f>
        <v/>
      </c>
      <c r="N1114" s="55" t="str">
        <f>IFERROR(IF(OR($B1114="",$B1114="(blank)"),"",VLOOKUP($B1114,'Email Marketing Raw Data'!$C:$O,6,0)),"")</f>
        <v/>
      </c>
      <c r="O1114" s="55" t="str">
        <f>IFERROR(IF(OR($B1114="",$B1114="(blank)"),"",VLOOKUP($B1114,'Email Marketing Raw Data'!$C:$O,7,0)),"")</f>
        <v/>
      </c>
      <c r="P1114" s="55" t="str">
        <f>IFERROR(IF(OR($B1114="",$B1114="(blank)"),"",VLOOKUP($B1114,'Email Marketing Raw Data'!$C:$O,8,0)),"")</f>
        <v/>
      </c>
      <c r="Q1114" s="62" t="str">
        <f>IFERROR(IF(OR($B1114="",$B1114="(blank)"),"",VLOOKUP($B1114,'Email Marketing Raw Data'!$C:$O,9,0)),"")</f>
        <v/>
      </c>
    </row>
    <row r="1115" spans="4:17" ht="12.75" customHeight="1" x14ac:dyDescent="0.2">
      <c r="D1115" s="58" t="str">
        <f>IFERROR(IF(F1115&lt;&gt;"pending","",IF(OR($B1115="",$B1115="(blank)"),"",VLOOKUP($B1115,'Email Marketing Raw Data'!$C:$O,10,0))),"")</f>
        <v/>
      </c>
      <c r="E1115" s="59" t="str">
        <f>IFERROR(IF(F1115&lt;&gt;"pending","",IF(OR($B1115="",$B1115="(blank)"),"",VLOOKUP($B1115,'Email Marketing Raw Data'!$C:$O,11,0))),"")</f>
        <v/>
      </c>
      <c r="F1115" s="54" t="str">
        <f>IFERROR(IF(OR($B1115="",$B1115="(blank)"),"",VLOOKUP($B1115,'Email Marketing Raw Data'!$C:$O,13,0)),"")</f>
        <v/>
      </c>
      <c r="G1115" s="55" t="str">
        <f>IFERROR(IF(OR($B1115="",$B1115="(blank)"),"",VLOOKUP($B1115,'Email Marketing Raw Data'!$C:$O,4,0)),"")</f>
        <v/>
      </c>
      <c r="H1115" s="55" t="str">
        <f>IFERROR(IF(OR($B1115="",$B1115="(blank)"),"",VLOOKUP($B1115,'Email Marketing Raw Data'!$C:$O,5,0)),"")</f>
        <v/>
      </c>
      <c r="I1115" s="55" t="str">
        <f>IFERROR(IF($G1115="","",VLOOKUP('Dashboard And Emails Automate'!$G1115,Database!$H:$N,3,0)),"")</f>
        <v/>
      </c>
      <c r="J1115" s="55" t="str">
        <f>IFERROR(IF($G1115="","",VLOOKUP('Dashboard And Emails Automate'!$G1115,Database!$H:$N,4,0)),"")</f>
        <v/>
      </c>
      <c r="K1115" s="55" t="str">
        <f>IFERROR(IF($G1115="","",VLOOKUP('Dashboard And Emails Automate'!$G1115,Database!$H:$N,5,0)),"")</f>
        <v/>
      </c>
      <c r="L1115" s="55" t="str">
        <f>IFERROR(IF($G1115="","",VLOOKUP('Dashboard And Emails Automate'!$G1115,Database!$H:$N,6,0)),"")</f>
        <v/>
      </c>
      <c r="M1115" s="55" t="str">
        <f>IFERROR(IF($G1115="","",VLOOKUP('Dashboard And Emails Automate'!$G1115,Database!$H:$N,7,0)),"")</f>
        <v/>
      </c>
      <c r="N1115" s="55" t="str">
        <f>IFERROR(IF(OR($B1115="",$B1115="(blank)"),"",VLOOKUP($B1115,'Email Marketing Raw Data'!$C:$O,6,0)),"")</f>
        <v/>
      </c>
      <c r="O1115" s="55" t="str">
        <f>IFERROR(IF(OR($B1115="",$B1115="(blank)"),"",VLOOKUP($B1115,'Email Marketing Raw Data'!$C:$O,7,0)),"")</f>
        <v/>
      </c>
      <c r="P1115" s="55" t="str">
        <f>IFERROR(IF(OR($B1115="",$B1115="(blank)"),"",VLOOKUP($B1115,'Email Marketing Raw Data'!$C:$O,8,0)),"")</f>
        <v/>
      </c>
      <c r="Q1115" s="62" t="str">
        <f>IFERROR(IF(OR($B1115="",$B1115="(blank)"),"",VLOOKUP($B1115,'Email Marketing Raw Data'!$C:$O,9,0)),"")</f>
        <v/>
      </c>
    </row>
    <row r="1116" spans="4:17" ht="12.75" customHeight="1" x14ac:dyDescent="0.2">
      <c r="D1116" s="58" t="str">
        <f>IFERROR(IF(F1116&lt;&gt;"pending","",IF(OR($B1116="",$B1116="(blank)"),"",VLOOKUP($B1116,'Email Marketing Raw Data'!$C:$O,10,0))),"")</f>
        <v/>
      </c>
      <c r="E1116" s="59" t="str">
        <f>IFERROR(IF(F1116&lt;&gt;"pending","",IF(OR($B1116="",$B1116="(blank)"),"",VLOOKUP($B1116,'Email Marketing Raw Data'!$C:$O,11,0))),"")</f>
        <v/>
      </c>
      <c r="F1116" s="54" t="str">
        <f>IFERROR(IF(OR($B1116="",$B1116="(blank)"),"",VLOOKUP($B1116,'Email Marketing Raw Data'!$C:$O,13,0)),"")</f>
        <v/>
      </c>
      <c r="G1116" s="55" t="str">
        <f>IFERROR(IF(OR($B1116="",$B1116="(blank)"),"",VLOOKUP($B1116,'Email Marketing Raw Data'!$C:$O,4,0)),"")</f>
        <v/>
      </c>
      <c r="H1116" s="55" t="str">
        <f>IFERROR(IF(OR($B1116="",$B1116="(blank)"),"",VLOOKUP($B1116,'Email Marketing Raw Data'!$C:$O,5,0)),"")</f>
        <v/>
      </c>
      <c r="I1116" s="55" t="str">
        <f>IFERROR(IF($G1116="","",VLOOKUP('Dashboard And Emails Automate'!$G1116,Database!$H:$N,3,0)),"")</f>
        <v/>
      </c>
      <c r="J1116" s="55" t="str">
        <f>IFERROR(IF($G1116="","",VLOOKUP('Dashboard And Emails Automate'!$G1116,Database!$H:$N,4,0)),"")</f>
        <v/>
      </c>
      <c r="K1116" s="55" t="str">
        <f>IFERROR(IF($G1116="","",VLOOKUP('Dashboard And Emails Automate'!$G1116,Database!$H:$N,5,0)),"")</f>
        <v/>
      </c>
      <c r="L1116" s="55" t="str">
        <f>IFERROR(IF($G1116="","",VLOOKUP('Dashboard And Emails Automate'!$G1116,Database!$H:$N,6,0)),"")</f>
        <v/>
      </c>
      <c r="M1116" s="55" t="str">
        <f>IFERROR(IF($G1116="","",VLOOKUP('Dashboard And Emails Automate'!$G1116,Database!$H:$N,7,0)),"")</f>
        <v/>
      </c>
      <c r="N1116" s="55" t="str">
        <f>IFERROR(IF(OR($B1116="",$B1116="(blank)"),"",VLOOKUP($B1116,'Email Marketing Raw Data'!$C:$O,6,0)),"")</f>
        <v/>
      </c>
      <c r="O1116" s="55" t="str">
        <f>IFERROR(IF(OR($B1116="",$B1116="(blank)"),"",VLOOKUP($B1116,'Email Marketing Raw Data'!$C:$O,7,0)),"")</f>
        <v/>
      </c>
      <c r="P1116" s="55" t="str">
        <f>IFERROR(IF(OR($B1116="",$B1116="(blank)"),"",VLOOKUP($B1116,'Email Marketing Raw Data'!$C:$O,8,0)),"")</f>
        <v/>
      </c>
      <c r="Q1116" s="62" t="str">
        <f>IFERROR(IF(OR($B1116="",$B1116="(blank)"),"",VLOOKUP($B1116,'Email Marketing Raw Data'!$C:$O,9,0)),"")</f>
        <v/>
      </c>
    </row>
    <row r="1117" spans="4:17" ht="12.75" customHeight="1" x14ac:dyDescent="0.2">
      <c r="D1117" s="58" t="str">
        <f>IFERROR(IF(F1117&lt;&gt;"pending","",IF(OR($B1117="",$B1117="(blank)"),"",VLOOKUP($B1117,'Email Marketing Raw Data'!$C:$O,10,0))),"")</f>
        <v/>
      </c>
      <c r="E1117" s="59" t="str">
        <f>IFERROR(IF(F1117&lt;&gt;"pending","",IF(OR($B1117="",$B1117="(blank)"),"",VLOOKUP($B1117,'Email Marketing Raw Data'!$C:$O,11,0))),"")</f>
        <v/>
      </c>
      <c r="F1117" s="54" t="str">
        <f>IFERROR(IF(OR($B1117="",$B1117="(blank)"),"",VLOOKUP($B1117,'Email Marketing Raw Data'!$C:$O,13,0)),"")</f>
        <v/>
      </c>
      <c r="G1117" s="55" t="str">
        <f>IFERROR(IF(OR($B1117="",$B1117="(blank)"),"",VLOOKUP($B1117,'Email Marketing Raw Data'!$C:$O,4,0)),"")</f>
        <v/>
      </c>
      <c r="H1117" s="55" t="str">
        <f>IFERROR(IF(OR($B1117="",$B1117="(blank)"),"",VLOOKUP($B1117,'Email Marketing Raw Data'!$C:$O,5,0)),"")</f>
        <v/>
      </c>
      <c r="I1117" s="55" t="str">
        <f>IFERROR(IF($G1117="","",VLOOKUP('Dashboard And Emails Automate'!$G1117,Database!$H:$N,3,0)),"")</f>
        <v/>
      </c>
      <c r="J1117" s="55" t="str">
        <f>IFERROR(IF($G1117="","",VLOOKUP('Dashboard And Emails Automate'!$G1117,Database!$H:$N,4,0)),"")</f>
        <v/>
      </c>
      <c r="K1117" s="55" t="str">
        <f>IFERROR(IF($G1117="","",VLOOKUP('Dashboard And Emails Automate'!$G1117,Database!$H:$N,5,0)),"")</f>
        <v/>
      </c>
      <c r="L1117" s="55" t="str">
        <f>IFERROR(IF($G1117="","",VLOOKUP('Dashboard And Emails Automate'!$G1117,Database!$H:$N,6,0)),"")</f>
        <v/>
      </c>
      <c r="M1117" s="55" t="str">
        <f>IFERROR(IF($G1117="","",VLOOKUP('Dashboard And Emails Automate'!$G1117,Database!$H:$N,7,0)),"")</f>
        <v/>
      </c>
      <c r="N1117" s="55" t="str">
        <f>IFERROR(IF(OR($B1117="",$B1117="(blank)"),"",VLOOKUP($B1117,'Email Marketing Raw Data'!$C:$O,6,0)),"")</f>
        <v/>
      </c>
      <c r="O1117" s="55" t="str">
        <f>IFERROR(IF(OR($B1117="",$B1117="(blank)"),"",VLOOKUP($B1117,'Email Marketing Raw Data'!$C:$O,7,0)),"")</f>
        <v/>
      </c>
      <c r="P1117" s="55" t="str">
        <f>IFERROR(IF(OR($B1117="",$B1117="(blank)"),"",VLOOKUP($B1117,'Email Marketing Raw Data'!$C:$O,8,0)),"")</f>
        <v/>
      </c>
      <c r="Q1117" s="62" t="str">
        <f>IFERROR(IF(OR($B1117="",$B1117="(blank)"),"",VLOOKUP($B1117,'Email Marketing Raw Data'!$C:$O,9,0)),"")</f>
        <v/>
      </c>
    </row>
    <row r="1118" spans="4:17" ht="12.75" customHeight="1" x14ac:dyDescent="0.2">
      <c r="D1118" s="58" t="str">
        <f>IFERROR(IF(F1118&lt;&gt;"pending","",IF(OR($B1118="",$B1118="(blank)"),"",VLOOKUP($B1118,'Email Marketing Raw Data'!$C:$O,10,0))),"")</f>
        <v/>
      </c>
      <c r="E1118" s="59" t="str">
        <f>IFERROR(IF(F1118&lt;&gt;"pending","",IF(OR($B1118="",$B1118="(blank)"),"",VLOOKUP($B1118,'Email Marketing Raw Data'!$C:$O,11,0))),"")</f>
        <v/>
      </c>
      <c r="F1118" s="54" t="str">
        <f>IFERROR(IF(OR($B1118="",$B1118="(blank)"),"",VLOOKUP($B1118,'Email Marketing Raw Data'!$C:$O,13,0)),"")</f>
        <v/>
      </c>
      <c r="G1118" s="55" t="str">
        <f>IFERROR(IF(OR($B1118="",$B1118="(blank)"),"",VLOOKUP($B1118,'Email Marketing Raw Data'!$C:$O,4,0)),"")</f>
        <v/>
      </c>
      <c r="H1118" s="55" t="str">
        <f>IFERROR(IF(OR($B1118="",$B1118="(blank)"),"",VLOOKUP($B1118,'Email Marketing Raw Data'!$C:$O,5,0)),"")</f>
        <v/>
      </c>
      <c r="I1118" s="55" t="str">
        <f>IFERROR(IF($G1118="","",VLOOKUP('Dashboard And Emails Automate'!$G1118,Database!$H:$N,3,0)),"")</f>
        <v/>
      </c>
      <c r="J1118" s="55" t="str">
        <f>IFERROR(IF($G1118="","",VLOOKUP('Dashboard And Emails Automate'!$G1118,Database!$H:$N,4,0)),"")</f>
        <v/>
      </c>
      <c r="K1118" s="55" t="str">
        <f>IFERROR(IF($G1118="","",VLOOKUP('Dashboard And Emails Automate'!$G1118,Database!$H:$N,5,0)),"")</f>
        <v/>
      </c>
      <c r="L1118" s="55" t="str">
        <f>IFERROR(IF($G1118="","",VLOOKUP('Dashboard And Emails Automate'!$G1118,Database!$H:$N,6,0)),"")</f>
        <v/>
      </c>
      <c r="M1118" s="55" t="str">
        <f>IFERROR(IF($G1118="","",VLOOKUP('Dashboard And Emails Automate'!$G1118,Database!$H:$N,7,0)),"")</f>
        <v/>
      </c>
      <c r="N1118" s="55" t="str">
        <f>IFERROR(IF(OR($B1118="",$B1118="(blank)"),"",VLOOKUP($B1118,'Email Marketing Raw Data'!$C:$O,6,0)),"")</f>
        <v/>
      </c>
      <c r="O1118" s="55" t="str">
        <f>IFERROR(IF(OR($B1118="",$B1118="(blank)"),"",VLOOKUP($B1118,'Email Marketing Raw Data'!$C:$O,7,0)),"")</f>
        <v/>
      </c>
      <c r="P1118" s="55" t="str">
        <f>IFERROR(IF(OR($B1118="",$B1118="(blank)"),"",VLOOKUP($B1118,'Email Marketing Raw Data'!$C:$O,8,0)),"")</f>
        <v/>
      </c>
      <c r="Q1118" s="62" t="str">
        <f>IFERROR(IF(OR($B1118="",$B1118="(blank)"),"",VLOOKUP($B1118,'Email Marketing Raw Data'!$C:$O,9,0)),"")</f>
        <v/>
      </c>
    </row>
    <row r="1119" spans="4:17" ht="12.75" customHeight="1" x14ac:dyDescent="0.2">
      <c r="D1119" s="58" t="str">
        <f>IFERROR(IF(F1119&lt;&gt;"pending","",IF(OR($B1119="",$B1119="(blank)"),"",VLOOKUP($B1119,'Email Marketing Raw Data'!$C:$O,10,0))),"")</f>
        <v/>
      </c>
      <c r="E1119" s="59" t="str">
        <f>IFERROR(IF(F1119&lt;&gt;"pending","",IF(OR($B1119="",$B1119="(blank)"),"",VLOOKUP($B1119,'Email Marketing Raw Data'!$C:$O,11,0))),"")</f>
        <v/>
      </c>
      <c r="F1119" s="54" t="str">
        <f>IFERROR(IF(OR($B1119="",$B1119="(blank)"),"",VLOOKUP($B1119,'Email Marketing Raw Data'!$C:$O,13,0)),"")</f>
        <v/>
      </c>
      <c r="G1119" s="55" t="str">
        <f>IFERROR(IF(OR($B1119="",$B1119="(blank)"),"",VLOOKUP($B1119,'Email Marketing Raw Data'!$C:$O,4,0)),"")</f>
        <v/>
      </c>
      <c r="H1119" s="55" t="str">
        <f>IFERROR(IF(OR($B1119="",$B1119="(blank)"),"",VLOOKUP($B1119,'Email Marketing Raw Data'!$C:$O,5,0)),"")</f>
        <v/>
      </c>
      <c r="I1119" s="55" t="str">
        <f>IFERROR(IF($G1119="","",VLOOKUP('Dashboard And Emails Automate'!$G1119,Database!$H:$N,3,0)),"")</f>
        <v/>
      </c>
      <c r="J1119" s="55" t="str">
        <f>IFERROR(IF($G1119="","",VLOOKUP('Dashboard And Emails Automate'!$G1119,Database!$H:$N,4,0)),"")</f>
        <v/>
      </c>
      <c r="K1119" s="55" t="str">
        <f>IFERROR(IF($G1119="","",VLOOKUP('Dashboard And Emails Automate'!$G1119,Database!$H:$N,5,0)),"")</f>
        <v/>
      </c>
      <c r="L1119" s="55" t="str">
        <f>IFERROR(IF($G1119="","",VLOOKUP('Dashboard And Emails Automate'!$G1119,Database!$H:$N,6,0)),"")</f>
        <v/>
      </c>
      <c r="M1119" s="55" t="str">
        <f>IFERROR(IF($G1119="","",VLOOKUP('Dashboard And Emails Automate'!$G1119,Database!$H:$N,7,0)),"")</f>
        <v/>
      </c>
      <c r="N1119" s="55" t="str">
        <f>IFERROR(IF(OR($B1119="",$B1119="(blank)"),"",VLOOKUP($B1119,'Email Marketing Raw Data'!$C:$O,6,0)),"")</f>
        <v/>
      </c>
      <c r="O1119" s="55" t="str">
        <f>IFERROR(IF(OR($B1119="",$B1119="(blank)"),"",VLOOKUP($B1119,'Email Marketing Raw Data'!$C:$O,7,0)),"")</f>
        <v/>
      </c>
      <c r="P1119" s="55" t="str">
        <f>IFERROR(IF(OR($B1119="",$B1119="(blank)"),"",VLOOKUP($B1119,'Email Marketing Raw Data'!$C:$O,8,0)),"")</f>
        <v/>
      </c>
      <c r="Q1119" s="62" t="str">
        <f>IFERROR(IF(OR($B1119="",$B1119="(blank)"),"",VLOOKUP($B1119,'Email Marketing Raw Data'!$C:$O,9,0)),"")</f>
        <v/>
      </c>
    </row>
    <row r="1120" spans="4:17" ht="12.75" customHeight="1" x14ac:dyDescent="0.2">
      <c r="D1120" s="58" t="str">
        <f>IFERROR(IF(F1120&lt;&gt;"pending","",IF(OR($B1120="",$B1120="(blank)"),"",VLOOKUP($B1120,'Email Marketing Raw Data'!$C:$O,10,0))),"")</f>
        <v/>
      </c>
      <c r="E1120" s="59" t="str">
        <f>IFERROR(IF(F1120&lt;&gt;"pending","",IF(OR($B1120="",$B1120="(blank)"),"",VLOOKUP($B1120,'Email Marketing Raw Data'!$C:$O,11,0))),"")</f>
        <v/>
      </c>
      <c r="F1120" s="54" t="str">
        <f>IFERROR(IF(OR($B1120="",$B1120="(blank)"),"",VLOOKUP($B1120,'Email Marketing Raw Data'!$C:$O,13,0)),"")</f>
        <v/>
      </c>
      <c r="G1120" s="55" t="str">
        <f>IFERROR(IF(OR($B1120="",$B1120="(blank)"),"",VLOOKUP($B1120,'Email Marketing Raw Data'!$C:$O,4,0)),"")</f>
        <v/>
      </c>
      <c r="H1120" s="55" t="str">
        <f>IFERROR(IF(OR($B1120="",$B1120="(blank)"),"",VLOOKUP($B1120,'Email Marketing Raw Data'!$C:$O,5,0)),"")</f>
        <v/>
      </c>
      <c r="I1120" s="55" t="str">
        <f>IFERROR(IF($G1120="","",VLOOKUP('Dashboard And Emails Automate'!$G1120,Database!$H:$N,3,0)),"")</f>
        <v/>
      </c>
      <c r="J1120" s="55" t="str">
        <f>IFERROR(IF($G1120="","",VLOOKUP('Dashboard And Emails Automate'!$G1120,Database!$H:$N,4,0)),"")</f>
        <v/>
      </c>
      <c r="K1120" s="55" t="str">
        <f>IFERROR(IF($G1120="","",VLOOKUP('Dashboard And Emails Automate'!$G1120,Database!$H:$N,5,0)),"")</f>
        <v/>
      </c>
      <c r="L1120" s="55" t="str">
        <f>IFERROR(IF($G1120="","",VLOOKUP('Dashboard And Emails Automate'!$G1120,Database!$H:$N,6,0)),"")</f>
        <v/>
      </c>
      <c r="M1120" s="55" t="str">
        <f>IFERROR(IF($G1120="","",VLOOKUP('Dashboard And Emails Automate'!$G1120,Database!$H:$N,7,0)),"")</f>
        <v/>
      </c>
      <c r="N1120" s="55" t="str">
        <f>IFERROR(IF(OR($B1120="",$B1120="(blank)"),"",VLOOKUP($B1120,'Email Marketing Raw Data'!$C:$O,6,0)),"")</f>
        <v/>
      </c>
      <c r="O1120" s="55" t="str">
        <f>IFERROR(IF(OR($B1120="",$B1120="(blank)"),"",VLOOKUP($B1120,'Email Marketing Raw Data'!$C:$O,7,0)),"")</f>
        <v/>
      </c>
      <c r="P1120" s="55" t="str">
        <f>IFERROR(IF(OR($B1120="",$B1120="(blank)"),"",VLOOKUP($B1120,'Email Marketing Raw Data'!$C:$O,8,0)),"")</f>
        <v/>
      </c>
      <c r="Q1120" s="62" t="str">
        <f>IFERROR(IF(OR($B1120="",$B1120="(blank)"),"",VLOOKUP($B1120,'Email Marketing Raw Data'!$C:$O,9,0)),"")</f>
        <v/>
      </c>
    </row>
    <row r="1121" spans="4:17" ht="12.75" customHeight="1" x14ac:dyDescent="0.2">
      <c r="D1121" s="58" t="str">
        <f>IFERROR(IF(F1121&lt;&gt;"pending","",IF(OR($B1121="",$B1121="(blank)"),"",VLOOKUP($B1121,'Email Marketing Raw Data'!$C:$O,10,0))),"")</f>
        <v/>
      </c>
      <c r="E1121" s="59" t="str">
        <f>IFERROR(IF(F1121&lt;&gt;"pending","",IF(OR($B1121="",$B1121="(blank)"),"",VLOOKUP($B1121,'Email Marketing Raw Data'!$C:$O,11,0))),"")</f>
        <v/>
      </c>
      <c r="F1121" s="54" t="str">
        <f>IFERROR(IF(OR($B1121="",$B1121="(blank)"),"",VLOOKUP($B1121,'Email Marketing Raw Data'!$C:$O,13,0)),"")</f>
        <v/>
      </c>
      <c r="G1121" s="55" t="str">
        <f>IFERROR(IF(OR($B1121="",$B1121="(blank)"),"",VLOOKUP($B1121,'Email Marketing Raw Data'!$C:$O,4,0)),"")</f>
        <v/>
      </c>
      <c r="H1121" s="55" t="str">
        <f>IFERROR(IF(OR($B1121="",$B1121="(blank)"),"",VLOOKUP($B1121,'Email Marketing Raw Data'!$C:$O,5,0)),"")</f>
        <v/>
      </c>
      <c r="I1121" s="55" t="str">
        <f>IFERROR(IF($G1121="","",VLOOKUP('Dashboard And Emails Automate'!$G1121,Database!$H:$N,3,0)),"")</f>
        <v/>
      </c>
      <c r="J1121" s="55" t="str">
        <f>IFERROR(IF($G1121="","",VLOOKUP('Dashboard And Emails Automate'!$G1121,Database!$H:$N,4,0)),"")</f>
        <v/>
      </c>
      <c r="K1121" s="55" t="str">
        <f>IFERROR(IF($G1121="","",VLOOKUP('Dashboard And Emails Automate'!$G1121,Database!$H:$N,5,0)),"")</f>
        <v/>
      </c>
      <c r="L1121" s="55" t="str">
        <f>IFERROR(IF($G1121="","",VLOOKUP('Dashboard And Emails Automate'!$G1121,Database!$H:$N,6,0)),"")</f>
        <v/>
      </c>
      <c r="M1121" s="55" t="str">
        <f>IFERROR(IF($G1121="","",VLOOKUP('Dashboard And Emails Automate'!$G1121,Database!$H:$N,7,0)),"")</f>
        <v/>
      </c>
      <c r="N1121" s="55" t="str">
        <f>IFERROR(IF(OR($B1121="",$B1121="(blank)"),"",VLOOKUP($B1121,'Email Marketing Raw Data'!$C:$O,6,0)),"")</f>
        <v/>
      </c>
      <c r="O1121" s="55" t="str">
        <f>IFERROR(IF(OR($B1121="",$B1121="(blank)"),"",VLOOKUP($B1121,'Email Marketing Raw Data'!$C:$O,7,0)),"")</f>
        <v/>
      </c>
      <c r="P1121" s="55" t="str">
        <f>IFERROR(IF(OR($B1121="",$B1121="(blank)"),"",VLOOKUP($B1121,'Email Marketing Raw Data'!$C:$O,8,0)),"")</f>
        <v/>
      </c>
      <c r="Q1121" s="62" t="str">
        <f>IFERROR(IF(OR($B1121="",$B1121="(blank)"),"",VLOOKUP($B1121,'Email Marketing Raw Data'!$C:$O,9,0)),"")</f>
        <v/>
      </c>
    </row>
    <row r="1122" spans="4:17" ht="12.75" customHeight="1" x14ac:dyDescent="0.2">
      <c r="D1122" s="58" t="str">
        <f>IFERROR(IF(F1122&lt;&gt;"pending","",IF(OR($B1122="",$B1122="(blank)"),"",VLOOKUP($B1122,'Email Marketing Raw Data'!$C:$O,10,0))),"")</f>
        <v/>
      </c>
      <c r="E1122" s="59" t="str">
        <f>IFERROR(IF(F1122&lt;&gt;"pending","",IF(OR($B1122="",$B1122="(blank)"),"",VLOOKUP($B1122,'Email Marketing Raw Data'!$C:$O,11,0))),"")</f>
        <v/>
      </c>
      <c r="F1122" s="54" t="str">
        <f>IFERROR(IF(OR($B1122="",$B1122="(blank)"),"",VLOOKUP($B1122,'Email Marketing Raw Data'!$C:$O,13,0)),"")</f>
        <v/>
      </c>
      <c r="G1122" s="55" t="str">
        <f>IFERROR(IF(OR($B1122="",$B1122="(blank)"),"",VLOOKUP($B1122,'Email Marketing Raw Data'!$C:$O,4,0)),"")</f>
        <v/>
      </c>
      <c r="H1122" s="55" t="str">
        <f>IFERROR(IF(OR($B1122="",$B1122="(blank)"),"",VLOOKUP($B1122,'Email Marketing Raw Data'!$C:$O,5,0)),"")</f>
        <v/>
      </c>
      <c r="I1122" s="55" t="str">
        <f>IFERROR(IF($G1122="","",VLOOKUP('Dashboard And Emails Automate'!$G1122,Database!$H:$N,3,0)),"")</f>
        <v/>
      </c>
      <c r="J1122" s="55" t="str">
        <f>IFERROR(IF($G1122="","",VLOOKUP('Dashboard And Emails Automate'!$G1122,Database!$H:$N,4,0)),"")</f>
        <v/>
      </c>
      <c r="K1122" s="55" t="str">
        <f>IFERROR(IF($G1122="","",VLOOKUP('Dashboard And Emails Automate'!$G1122,Database!$H:$N,5,0)),"")</f>
        <v/>
      </c>
      <c r="L1122" s="55" t="str">
        <f>IFERROR(IF($G1122="","",VLOOKUP('Dashboard And Emails Automate'!$G1122,Database!$H:$N,6,0)),"")</f>
        <v/>
      </c>
      <c r="M1122" s="55" t="str">
        <f>IFERROR(IF($G1122="","",VLOOKUP('Dashboard And Emails Automate'!$G1122,Database!$H:$N,7,0)),"")</f>
        <v/>
      </c>
      <c r="N1122" s="55" t="str">
        <f>IFERROR(IF(OR($B1122="",$B1122="(blank)"),"",VLOOKUP($B1122,'Email Marketing Raw Data'!$C:$O,6,0)),"")</f>
        <v/>
      </c>
      <c r="O1122" s="55" t="str">
        <f>IFERROR(IF(OR($B1122="",$B1122="(blank)"),"",VLOOKUP($B1122,'Email Marketing Raw Data'!$C:$O,7,0)),"")</f>
        <v/>
      </c>
      <c r="P1122" s="55" t="str">
        <f>IFERROR(IF(OR($B1122="",$B1122="(blank)"),"",VLOOKUP($B1122,'Email Marketing Raw Data'!$C:$O,8,0)),"")</f>
        <v/>
      </c>
      <c r="Q1122" s="62" t="str">
        <f>IFERROR(IF(OR($B1122="",$B1122="(blank)"),"",VLOOKUP($B1122,'Email Marketing Raw Data'!$C:$O,9,0)),"")</f>
        <v/>
      </c>
    </row>
    <row r="1123" spans="4:17" ht="12.75" customHeight="1" x14ac:dyDescent="0.2">
      <c r="D1123" s="58" t="str">
        <f>IFERROR(IF(F1123&lt;&gt;"pending","",IF(OR($B1123="",$B1123="(blank)"),"",VLOOKUP($B1123,'Email Marketing Raw Data'!$C:$O,10,0))),"")</f>
        <v/>
      </c>
      <c r="E1123" s="59" t="str">
        <f>IFERROR(IF(F1123&lt;&gt;"pending","",IF(OR($B1123="",$B1123="(blank)"),"",VLOOKUP($B1123,'Email Marketing Raw Data'!$C:$O,11,0))),"")</f>
        <v/>
      </c>
      <c r="F1123" s="54" t="str">
        <f>IFERROR(IF(OR($B1123="",$B1123="(blank)"),"",VLOOKUP($B1123,'Email Marketing Raw Data'!$C:$O,13,0)),"")</f>
        <v/>
      </c>
      <c r="G1123" s="55" t="str">
        <f>IFERROR(IF(OR($B1123="",$B1123="(blank)"),"",VLOOKUP($B1123,'Email Marketing Raw Data'!$C:$O,4,0)),"")</f>
        <v/>
      </c>
      <c r="H1123" s="55" t="str">
        <f>IFERROR(IF(OR($B1123="",$B1123="(blank)"),"",VLOOKUP($B1123,'Email Marketing Raw Data'!$C:$O,5,0)),"")</f>
        <v/>
      </c>
      <c r="I1123" s="55" t="str">
        <f>IFERROR(IF($G1123="","",VLOOKUP('Dashboard And Emails Automate'!$G1123,Database!$H:$N,3,0)),"")</f>
        <v/>
      </c>
      <c r="J1123" s="55" t="str">
        <f>IFERROR(IF($G1123="","",VLOOKUP('Dashboard And Emails Automate'!$G1123,Database!$H:$N,4,0)),"")</f>
        <v/>
      </c>
      <c r="K1123" s="55" t="str">
        <f>IFERROR(IF($G1123="","",VLOOKUP('Dashboard And Emails Automate'!$G1123,Database!$H:$N,5,0)),"")</f>
        <v/>
      </c>
      <c r="L1123" s="55" t="str">
        <f>IFERROR(IF($G1123="","",VLOOKUP('Dashboard And Emails Automate'!$G1123,Database!$H:$N,6,0)),"")</f>
        <v/>
      </c>
      <c r="M1123" s="55" t="str">
        <f>IFERROR(IF($G1123="","",VLOOKUP('Dashboard And Emails Automate'!$G1123,Database!$H:$N,7,0)),"")</f>
        <v/>
      </c>
      <c r="N1123" s="55" t="str">
        <f>IFERROR(IF(OR($B1123="",$B1123="(blank)"),"",VLOOKUP($B1123,'Email Marketing Raw Data'!$C:$O,6,0)),"")</f>
        <v/>
      </c>
      <c r="O1123" s="55" t="str">
        <f>IFERROR(IF(OR($B1123="",$B1123="(blank)"),"",VLOOKUP($B1123,'Email Marketing Raw Data'!$C:$O,7,0)),"")</f>
        <v/>
      </c>
      <c r="P1123" s="55" t="str">
        <f>IFERROR(IF(OR($B1123="",$B1123="(blank)"),"",VLOOKUP($B1123,'Email Marketing Raw Data'!$C:$O,8,0)),"")</f>
        <v/>
      </c>
      <c r="Q1123" s="62" t="str">
        <f>IFERROR(IF(OR($B1123="",$B1123="(blank)"),"",VLOOKUP($B1123,'Email Marketing Raw Data'!$C:$O,9,0)),"")</f>
        <v/>
      </c>
    </row>
    <row r="1124" spans="4:17" ht="12.75" customHeight="1" x14ac:dyDescent="0.2">
      <c r="D1124" s="58" t="str">
        <f>IFERROR(IF(F1124&lt;&gt;"pending","",IF(OR($B1124="",$B1124="(blank)"),"",VLOOKUP($B1124,'Email Marketing Raw Data'!$C:$O,10,0))),"")</f>
        <v/>
      </c>
      <c r="E1124" s="59" t="str">
        <f>IFERROR(IF(F1124&lt;&gt;"pending","",IF(OR($B1124="",$B1124="(blank)"),"",VLOOKUP($B1124,'Email Marketing Raw Data'!$C:$O,11,0))),"")</f>
        <v/>
      </c>
      <c r="F1124" s="54" t="str">
        <f>IFERROR(IF(OR($B1124="",$B1124="(blank)"),"",VLOOKUP($B1124,'Email Marketing Raw Data'!$C:$O,13,0)),"")</f>
        <v/>
      </c>
      <c r="G1124" s="55" t="str">
        <f>IFERROR(IF(OR($B1124="",$B1124="(blank)"),"",VLOOKUP($B1124,'Email Marketing Raw Data'!$C:$O,4,0)),"")</f>
        <v/>
      </c>
      <c r="H1124" s="55" t="str">
        <f>IFERROR(IF(OR($B1124="",$B1124="(blank)"),"",VLOOKUP($B1124,'Email Marketing Raw Data'!$C:$O,5,0)),"")</f>
        <v/>
      </c>
      <c r="I1124" s="55" t="str">
        <f>IFERROR(IF($G1124="","",VLOOKUP('Dashboard And Emails Automate'!$G1124,Database!$H:$N,3,0)),"")</f>
        <v/>
      </c>
      <c r="J1124" s="55" t="str">
        <f>IFERROR(IF($G1124="","",VLOOKUP('Dashboard And Emails Automate'!$G1124,Database!$H:$N,4,0)),"")</f>
        <v/>
      </c>
      <c r="K1124" s="55" t="str">
        <f>IFERROR(IF($G1124="","",VLOOKUP('Dashboard And Emails Automate'!$G1124,Database!$H:$N,5,0)),"")</f>
        <v/>
      </c>
      <c r="L1124" s="55" t="str">
        <f>IFERROR(IF($G1124="","",VLOOKUP('Dashboard And Emails Automate'!$G1124,Database!$H:$N,6,0)),"")</f>
        <v/>
      </c>
      <c r="M1124" s="55" t="str">
        <f>IFERROR(IF($G1124="","",VLOOKUP('Dashboard And Emails Automate'!$G1124,Database!$H:$N,7,0)),"")</f>
        <v/>
      </c>
      <c r="N1124" s="55" t="str">
        <f>IFERROR(IF(OR($B1124="",$B1124="(blank)"),"",VLOOKUP($B1124,'Email Marketing Raw Data'!$C:$O,6,0)),"")</f>
        <v/>
      </c>
      <c r="O1124" s="55" t="str">
        <f>IFERROR(IF(OR($B1124="",$B1124="(blank)"),"",VLOOKUP($B1124,'Email Marketing Raw Data'!$C:$O,7,0)),"")</f>
        <v/>
      </c>
      <c r="P1124" s="55" t="str">
        <f>IFERROR(IF(OR($B1124="",$B1124="(blank)"),"",VLOOKUP($B1124,'Email Marketing Raw Data'!$C:$O,8,0)),"")</f>
        <v/>
      </c>
      <c r="Q1124" s="62" t="str">
        <f>IFERROR(IF(OR($B1124="",$B1124="(blank)"),"",VLOOKUP($B1124,'Email Marketing Raw Data'!$C:$O,9,0)),"")</f>
        <v/>
      </c>
    </row>
    <row r="1125" spans="4:17" ht="12.75" customHeight="1" x14ac:dyDescent="0.2">
      <c r="D1125" s="58" t="str">
        <f>IFERROR(IF(F1125&lt;&gt;"pending","",IF(OR($B1125="",$B1125="(blank)"),"",VLOOKUP($B1125,'Email Marketing Raw Data'!$C:$O,10,0))),"")</f>
        <v/>
      </c>
      <c r="E1125" s="59" t="str">
        <f>IFERROR(IF(F1125&lt;&gt;"pending","",IF(OR($B1125="",$B1125="(blank)"),"",VLOOKUP($B1125,'Email Marketing Raw Data'!$C:$O,11,0))),"")</f>
        <v/>
      </c>
      <c r="F1125" s="54" t="str">
        <f>IFERROR(IF(OR($B1125="",$B1125="(blank)"),"",VLOOKUP($B1125,'Email Marketing Raw Data'!$C:$O,13,0)),"")</f>
        <v/>
      </c>
      <c r="G1125" s="55" t="str">
        <f>IFERROR(IF(OR($B1125="",$B1125="(blank)"),"",VLOOKUP($B1125,'Email Marketing Raw Data'!$C:$O,4,0)),"")</f>
        <v/>
      </c>
      <c r="H1125" s="55" t="str">
        <f>IFERROR(IF(OR($B1125="",$B1125="(blank)"),"",VLOOKUP($B1125,'Email Marketing Raw Data'!$C:$O,5,0)),"")</f>
        <v/>
      </c>
      <c r="I1125" s="55" t="str">
        <f>IFERROR(IF($G1125="","",VLOOKUP('Dashboard And Emails Automate'!$G1125,Database!$H:$N,3,0)),"")</f>
        <v/>
      </c>
      <c r="J1125" s="55" t="str">
        <f>IFERROR(IF($G1125="","",VLOOKUP('Dashboard And Emails Automate'!$G1125,Database!$H:$N,4,0)),"")</f>
        <v/>
      </c>
      <c r="K1125" s="55" t="str">
        <f>IFERROR(IF($G1125="","",VLOOKUP('Dashboard And Emails Automate'!$G1125,Database!$H:$N,5,0)),"")</f>
        <v/>
      </c>
      <c r="L1125" s="55" t="str">
        <f>IFERROR(IF($G1125="","",VLOOKUP('Dashboard And Emails Automate'!$G1125,Database!$H:$N,6,0)),"")</f>
        <v/>
      </c>
      <c r="M1125" s="55" t="str">
        <f>IFERROR(IF($G1125="","",VLOOKUP('Dashboard And Emails Automate'!$G1125,Database!$H:$N,7,0)),"")</f>
        <v/>
      </c>
      <c r="N1125" s="55" t="str">
        <f>IFERROR(IF(OR($B1125="",$B1125="(blank)"),"",VLOOKUP($B1125,'Email Marketing Raw Data'!$C:$O,6,0)),"")</f>
        <v/>
      </c>
      <c r="O1125" s="55" t="str">
        <f>IFERROR(IF(OR($B1125="",$B1125="(blank)"),"",VLOOKUP($B1125,'Email Marketing Raw Data'!$C:$O,7,0)),"")</f>
        <v/>
      </c>
      <c r="P1125" s="55" t="str">
        <f>IFERROR(IF(OR($B1125="",$B1125="(blank)"),"",VLOOKUP($B1125,'Email Marketing Raw Data'!$C:$O,8,0)),"")</f>
        <v/>
      </c>
      <c r="Q1125" s="62" t="str">
        <f>IFERROR(IF(OR($B1125="",$B1125="(blank)"),"",VLOOKUP($B1125,'Email Marketing Raw Data'!$C:$O,9,0)),"")</f>
        <v/>
      </c>
    </row>
    <row r="1126" spans="4:17" ht="12.75" customHeight="1" x14ac:dyDescent="0.2">
      <c r="D1126" s="58" t="str">
        <f>IFERROR(IF(F1126&lt;&gt;"pending","",IF(OR($B1126="",$B1126="(blank)"),"",VLOOKUP($B1126,'Email Marketing Raw Data'!$C:$O,10,0))),"")</f>
        <v/>
      </c>
      <c r="E1126" s="59" t="str">
        <f>IFERROR(IF(F1126&lt;&gt;"pending","",IF(OR($B1126="",$B1126="(blank)"),"",VLOOKUP($B1126,'Email Marketing Raw Data'!$C:$O,11,0))),"")</f>
        <v/>
      </c>
      <c r="F1126" s="54" t="str">
        <f>IFERROR(IF(OR($B1126="",$B1126="(blank)"),"",VLOOKUP($B1126,'Email Marketing Raw Data'!$C:$O,13,0)),"")</f>
        <v/>
      </c>
      <c r="G1126" s="55" t="str">
        <f>IFERROR(IF(OR($B1126="",$B1126="(blank)"),"",VLOOKUP($B1126,'Email Marketing Raw Data'!$C:$O,4,0)),"")</f>
        <v/>
      </c>
      <c r="H1126" s="55" t="str">
        <f>IFERROR(IF(OR($B1126="",$B1126="(blank)"),"",VLOOKUP($B1126,'Email Marketing Raw Data'!$C:$O,5,0)),"")</f>
        <v/>
      </c>
      <c r="I1126" s="55" t="str">
        <f>IFERROR(IF($G1126="","",VLOOKUP('Dashboard And Emails Automate'!$G1126,Database!$H:$N,3,0)),"")</f>
        <v/>
      </c>
      <c r="J1126" s="55" t="str">
        <f>IFERROR(IF($G1126="","",VLOOKUP('Dashboard And Emails Automate'!$G1126,Database!$H:$N,4,0)),"")</f>
        <v/>
      </c>
      <c r="K1126" s="55" t="str">
        <f>IFERROR(IF($G1126="","",VLOOKUP('Dashboard And Emails Automate'!$G1126,Database!$H:$N,5,0)),"")</f>
        <v/>
      </c>
      <c r="L1126" s="55" t="str">
        <f>IFERROR(IF($G1126="","",VLOOKUP('Dashboard And Emails Automate'!$G1126,Database!$H:$N,6,0)),"")</f>
        <v/>
      </c>
      <c r="M1126" s="55" t="str">
        <f>IFERROR(IF($G1126="","",VLOOKUP('Dashboard And Emails Automate'!$G1126,Database!$H:$N,7,0)),"")</f>
        <v/>
      </c>
      <c r="N1126" s="55" t="str">
        <f>IFERROR(IF(OR($B1126="",$B1126="(blank)"),"",VLOOKUP($B1126,'Email Marketing Raw Data'!$C:$O,6,0)),"")</f>
        <v/>
      </c>
      <c r="O1126" s="55" t="str">
        <f>IFERROR(IF(OR($B1126="",$B1126="(blank)"),"",VLOOKUP($B1126,'Email Marketing Raw Data'!$C:$O,7,0)),"")</f>
        <v/>
      </c>
      <c r="P1126" s="55" t="str">
        <f>IFERROR(IF(OR($B1126="",$B1126="(blank)"),"",VLOOKUP($B1126,'Email Marketing Raw Data'!$C:$O,8,0)),"")</f>
        <v/>
      </c>
      <c r="Q1126" s="62" t="str">
        <f>IFERROR(IF(OR($B1126="",$B1126="(blank)"),"",VLOOKUP($B1126,'Email Marketing Raw Data'!$C:$O,9,0)),"")</f>
        <v/>
      </c>
    </row>
    <row r="1127" spans="4:17" ht="12.75" customHeight="1" x14ac:dyDescent="0.2">
      <c r="D1127" s="58" t="str">
        <f>IFERROR(IF(F1127&lt;&gt;"pending","",IF(OR($B1127="",$B1127="(blank)"),"",VLOOKUP($B1127,'Email Marketing Raw Data'!$C:$O,10,0))),"")</f>
        <v/>
      </c>
      <c r="E1127" s="59" t="str">
        <f>IFERROR(IF(F1127&lt;&gt;"pending","",IF(OR($B1127="",$B1127="(blank)"),"",VLOOKUP($B1127,'Email Marketing Raw Data'!$C:$O,11,0))),"")</f>
        <v/>
      </c>
      <c r="F1127" s="54" t="str">
        <f>IFERROR(IF(OR($B1127="",$B1127="(blank)"),"",VLOOKUP($B1127,'Email Marketing Raw Data'!$C:$O,13,0)),"")</f>
        <v/>
      </c>
      <c r="G1127" s="55" t="str">
        <f>IFERROR(IF(OR($B1127="",$B1127="(blank)"),"",VLOOKUP($B1127,'Email Marketing Raw Data'!$C:$O,4,0)),"")</f>
        <v/>
      </c>
      <c r="H1127" s="55" t="str">
        <f>IFERROR(IF(OR($B1127="",$B1127="(blank)"),"",VLOOKUP($B1127,'Email Marketing Raw Data'!$C:$O,5,0)),"")</f>
        <v/>
      </c>
      <c r="I1127" s="55" t="str">
        <f>IFERROR(IF($G1127="","",VLOOKUP('Dashboard And Emails Automate'!$G1127,Database!$H:$N,3,0)),"")</f>
        <v/>
      </c>
      <c r="J1127" s="55" t="str">
        <f>IFERROR(IF($G1127="","",VLOOKUP('Dashboard And Emails Automate'!$G1127,Database!$H:$N,4,0)),"")</f>
        <v/>
      </c>
      <c r="K1127" s="55" t="str">
        <f>IFERROR(IF($G1127="","",VLOOKUP('Dashboard And Emails Automate'!$G1127,Database!$H:$N,5,0)),"")</f>
        <v/>
      </c>
      <c r="L1127" s="55" t="str">
        <f>IFERROR(IF($G1127="","",VLOOKUP('Dashboard And Emails Automate'!$G1127,Database!$H:$N,6,0)),"")</f>
        <v/>
      </c>
      <c r="M1127" s="55" t="str">
        <f>IFERROR(IF($G1127="","",VLOOKUP('Dashboard And Emails Automate'!$G1127,Database!$H:$N,7,0)),"")</f>
        <v/>
      </c>
      <c r="N1127" s="55" t="str">
        <f>IFERROR(IF(OR($B1127="",$B1127="(blank)"),"",VLOOKUP($B1127,'Email Marketing Raw Data'!$C:$O,6,0)),"")</f>
        <v/>
      </c>
      <c r="O1127" s="55" t="str">
        <f>IFERROR(IF(OR($B1127="",$B1127="(blank)"),"",VLOOKUP($B1127,'Email Marketing Raw Data'!$C:$O,7,0)),"")</f>
        <v/>
      </c>
      <c r="P1127" s="55" t="str">
        <f>IFERROR(IF(OR($B1127="",$B1127="(blank)"),"",VLOOKUP($B1127,'Email Marketing Raw Data'!$C:$O,8,0)),"")</f>
        <v/>
      </c>
      <c r="Q1127" s="62" t="str">
        <f>IFERROR(IF(OR($B1127="",$B1127="(blank)"),"",VLOOKUP($B1127,'Email Marketing Raw Data'!$C:$O,9,0)),"")</f>
        <v/>
      </c>
    </row>
    <row r="1128" spans="4:17" ht="12.75" customHeight="1" x14ac:dyDescent="0.2">
      <c r="D1128" s="58" t="str">
        <f>IFERROR(IF(F1128&lt;&gt;"pending","",IF(OR($B1128="",$B1128="(blank)"),"",VLOOKUP($B1128,'Email Marketing Raw Data'!$C:$O,10,0))),"")</f>
        <v/>
      </c>
      <c r="E1128" s="59" t="str">
        <f>IFERROR(IF(F1128&lt;&gt;"pending","",IF(OR($B1128="",$B1128="(blank)"),"",VLOOKUP($B1128,'Email Marketing Raw Data'!$C:$O,11,0))),"")</f>
        <v/>
      </c>
      <c r="F1128" s="54" t="str">
        <f>IFERROR(IF(OR($B1128="",$B1128="(blank)"),"",VLOOKUP($B1128,'Email Marketing Raw Data'!$C:$O,13,0)),"")</f>
        <v/>
      </c>
      <c r="G1128" s="55" t="str">
        <f>IFERROR(IF(OR($B1128="",$B1128="(blank)"),"",VLOOKUP($B1128,'Email Marketing Raw Data'!$C:$O,4,0)),"")</f>
        <v/>
      </c>
      <c r="H1128" s="55" t="str">
        <f>IFERROR(IF(OR($B1128="",$B1128="(blank)"),"",VLOOKUP($B1128,'Email Marketing Raw Data'!$C:$O,5,0)),"")</f>
        <v/>
      </c>
      <c r="I1128" s="55" t="str">
        <f>IFERROR(IF($G1128="","",VLOOKUP('Dashboard And Emails Automate'!$G1128,Database!$H:$N,3,0)),"")</f>
        <v/>
      </c>
      <c r="J1128" s="55" t="str">
        <f>IFERROR(IF($G1128="","",VLOOKUP('Dashboard And Emails Automate'!$G1128,Database!$H:$N,4,0)),"")</f>
        <v/>
      </c>
      <c r="K1128" s="55" t="str">
        <f>IFERROR(IF($G1128="","",VLOOKUP('Dashboard And Emails Automate'!$G1128,Database!$H:$N,5,0)),"")</f>
        <v/>
      </c>
      <c r="L1128" s="55" t="str">
        <f>IFERROR(IF($G1128="","",VLOOKUP('Dashboard And Emails Automate'!$G1128,Database!$H:$N,6,0)),"")</f>
        <v/>
      </c>
      <c r="M1128" s="55" t="str">
        <f>IFERROR(IF($G1128="","",VLOOKUP('Dashboard And Emails Automate'!$G1128,Database!$H:$N,7,0)),"")</f>
        <v/>
      </c>
      <c r="N1128" s="55" t="str">
        <f>IFERROR(IF(OR($B1128="",$B1128="(blank)"),"",VLOOKUP($B1128,'Email Marketing Raw Data'!$C:$O,6,0)),"")</f>
        <v/>
      </c>
      <c r="O1128" s="55" t="str">
        <f>IFERROR(IF(OR($B1128="",$B1128="(blank)"),"",VLOOKUP($B1128,'Email Marketing Raw Data'!$C:$O,7,0)),"")</f>
        <v/>
      </c>
      <c r="P1128" s="55" t="str">
        <f>IFERROR(IF(OR($B1128="",$B1128="(blank)"),"",VLOOKUP($B1128,'Email Marketing Raw Data'!$C:$O,8,0)),"")</f>
        <v/>
      </c>
      <c r="Q1128" s="62" t="str">
        <f>IFERROR(IF(OR($B1128="",$B1128="(blank)"),"",VLOOKUP($B1128,'Email Marketing Raw Data'!$C:$O,9,0)),"")</f>
        <v/>
      </c>
    </row>
    <row r="1129" spans="4:17" ht="12.75" customHeight="1" x14ac:dyDescent="0.2">
      <c r="D1129" s="58" t="str">
        <f>IFERROR(IF(F1129&lt;&gt;"pending","",IF(OR($B1129="",$B1129="(blank)"),"",VLOOKUP($B1129,'Email Marketing Raw Data'!$C:$O,10,0))),"")</f>
        <v/>
      </c>
      <c r="E1129" s="59" t="str">
        <f>IFERROR(IF(F1129&lt;&gt;"pending","",IF(OR($B1129="",$B1129="(blank)"),"",VLOOKUP($B1129,'Email Marketing Raw Data'!$C:$O,11,0))),"")</f>
        <v/>
      </c>
      <c r="F1129" s="54" t="str">
        <f>IFERROR(IF(OR($B1129="",$B1129="(blank)"),"",VLOOKUP($B1129,'Email Marketing Raw Data'!$C:$O,13,0)),"")</f>
        <v/>
      </c>
      <c r="G1129" s="55" t="str">
        <f>IFERROR(IF(OR($B1129="",$B1129="(blank)"),"",VLOOKUP($B1129,'Email Marketing Raw Data'!$C:$O,4,0)),"")</f>
        <v/>
      </c>
      <c r="H1129" s="55" t="str">
        <f>IFERROR(IF(OR($B1129="",$B1129="(blank)"),"",VLOOKUP($B1129,'Email Marketing Raw Data'!$C:$O,5,0)),"")</f>
        <v/>
      </c>
      <c r="I1129" s="55" t="str">
        <f>IFERROR(IF($G1129="","",VLOOKUP('Dashboard And Emails Automate'!$G1129,Database!$H:$N,3,0)),"")</f>
        <v/>
      </c>
      <c r="J1129" s="55" t="str">
        <f>IFERROR(IF($G1129="","",VLOOKUP('Dashboard And Emails Automate'!$G1129,Database!$H:$N,4,0)),"")</f>
        <v/>
      </c>
      <c r="K1129" s="55" t="str">
        <f>IFERROR(IF($G1129="","",VLOOKUP('Dashboard And Emails Automate'!$G1129,Database!$H:$N,5,0)),"")</f>
        <v/>
      </c>
      <c r="L1129" s="55" t="str">
        <f>IFERROR(IF($G1129="","",VLOOKUP('Dashboard And Emails Automate'!$G1129,Database!$H:$N,6,0)),"")</f>
        <v/>
      </c>
      <c r="M1129" s="55" t="str">
        <f>IFERROR(IF($G1129="","",VLOOKUP('Dashboard And Emails Automate'!$G1129,Database!$H:$N,7,0)),"")</f>
        <v/>
      </c>
      <c r="N1129" s="55" t="str">
        <f>IFERROR(IF(OR($B1129="",$B1129="(blank)"),"",VLOOKUP($B1129,'Email Marketing Raw Data'!$C:$O,6,0)),"")</f>
        <v/>
      </c>
      <c r="O1129" s="55" t="str">
        <f>IFERROR(IF(OR($B1129="",$B1129="(blank)"),"",VLOOKUP($B1129,'Email Marketing Raw Data'!$C:$O,7,0)),"")</f>
        <v/>
      </c>
      <c r="P1129" s="55" t="str">
        <f>IFERROR(IF(OR($B1129="",$B1129="(blank)"),"",VLOOKUP($B1129,'Email Marketing Raw Data'!$C:$O,8,0)),"")</f>
        <v/>
      </c>
      <c r="Q1129" s="62" t="str">
        <f>IFERROR(IF(OR($B1129="",$B1129="(blank)"),"",VLOOKUP($B1129,'Email Marketing Raw Data'!$C:$O,9,0)),"")</f>
        <v/>
      </c>
    </row>
    <row r="1130" spans="4:17" ht="12.75" customHeight="1" x14ac:dyDescent="0.2">
      <c r="D1130" s="58" t="str">
        <f>IFERROR(IF(F1130&lt;&gt;"pending","",IF(OR($B1130="",$B1130="(blank)"),"",VLOOKUP($B1130,'Email Marketing Raw Data'!$C:$O,10,0))),"")</f>
        <v/>
      </c>
      <c r="E1130" s="59" t="str">
        <f>IFERROR(IF(F1130&lt;&gt;"pending","",IF(OR($B1130="",$B1130="(blank)"),"",VLOOKUP($B1130,'Email Marketing Raw Data'!$C:$O,11,0))),"")</f>
        <v/>
      </c>
      <c r="F1130" s="54" t="str">
        <f>IFERROR(IF(OR($B1130="",$B1130="(blank)"),"",VLOOKUP($B1130,'Email Marketing Raw Data'!$C:$O,13,0)),"")</f>
        <v/>
      </c>
      <c r="G1130" s="55" t="str">
        <f>IFERROR(IF(OR($B1130="",$B1130="(blank)"),"",VLOOKUP($B1130,'Email Marketing Raw Data'!$C:$O,4,0)),"")</f>
        <v/>
      </c>
      <c r="H1130" s="55" t="str">
        <f>IFERROR(IF(OR($B1130="",$B1130="(blank)"),"",VLOOKUP($B1130,'Email Marketing Raw Data'!$C:$O,5,0)),"")</f>
        <v/>
      </c>
      <c r="I1130" s="55" t="str">
        <f>IFERROR(IF($G1130="","",VLOOKUP('Dashboard And Emails Automate'!$G1130,Database!$H:$N,3,0)),"")</f>
        <v/>
      </c>
      <c r="J1130" s="55" t="str">
        <f>IFERROR(IF($G1130="","",VLOOKUP('Dashboard And Emails Automate'!$G1130,Database!$H:$N,4,0)),"")</f>
        <v/>
      </c>
      <c r="K1130" s="55" t="str">
        <f>IFERROR(IF($G1130="","",VLOOKUP('Dashboard And Emails Automate'!$G1130,Database!$H:$N,5,0)),"")</f>
        <v/>
      </c>
      <c r="L1130" s="55" t="str">
        <f>IFERROR(IF($G1130="","",VLOOKUP('Dashboard And Emails Automate'!$G1130,Database!$H:$N,6,0)),"")</f>
        <v/>
      </c>
      <c r="M1130" s="55" t="str">
        <f>IFERROR(IF($G1130="","",VLOOKUP('Dashboard And Emails Automate'!$G1130,Database!$H:$N,7,0)),"")</f>
        <v/>
      </c>
      <c r="N1130" s="55" t="str">
        <f>IFERROR(IF(OR($B1130="",$B1130="(blank)"),"",VLOOKUP($B1130,'Email Marketing Raw Data'!$C:$O,6,0)),"")</f>
        <v/>
      </c>
      <c r="O1130" s="55" t="str">
        <f>IFERROR(IF(OR($B1130="",$B1130="(blank)"),"",VLOOKUP($B1130,'Email Marketing Raw Data'!$C:$O,7,0)),"")</f>
        <v/>
      </c>
      <c r="P1130" s="55" t="str">
        <f>IFERROR(IF(OR($B1130="",$B1130="(blank)"),"",VLOOKUP($B1130,'Email Marketing Raw Data'!$C:$O,8,0)),"")</f>
        <v/>
      </c>
      <c r="Q1130" s="62" t="str">
        <f>IFERROR(IF(OR($B1130="",$B1130="(blank)"),"",VLOOKUP($B1130,'Email Marketing Raw Data'!$C:$O,9,0)),"")</f>
        <v/>
      </c>
    </row>
    <row r="1131" spans="4:17" ht="12.75" customHeight="1" x14ac:dyDescent="0.2">
      <c r="D1131" s="58" t="str">
        <f>IFERROR(IF(F1131&lt;&gt;"pending","",IF(OR($B1131="",$B1131="(blank)"),"",VLOOKUP($B1131,'Email Marketing Raw Data'!$C:$O,10,0))),"")</f>
        <v/>
      </c>
      <c r="E1131" s="59" t="str">
        <f>IFERROR(IF(F1131&lt;&gt;"pending","",IF(OR($B1131="",$B1131="(blank)"),"",VLOOKUP($B1131,'Email Marketing Raw Data'!$C:$O,11,0))),"")</f>
        <v/>
      </c>
      <c r="F1131" s="54" t="str">
        <f>IFERROR(IF(OR($B1131="",$B1131="(blank)"),"",VLOOKUP($B1131,'Email Marketing Raw Data'!$C:$O,13,0)),"")</f>
        <v/>
      </c>
      <c r="G1131" s="55" t="str">
        <f>IFERROR(IF(OR($B1131="",$B1131="(blank)"),"",VLOOKUP($B1131,'Email Marketing Raw Data'!$C:$O,4,0)),"")</f>
        <v/>
      </c>
      <c r="H1131" s="55" t="str">
        <f>IFERROR(IF(OR($B1131="",$B1131="(blank)"),"",VLOOKUP($B1131,'Email Marketing Raw Data'!$C:$O,5,0)),"")</f>
        <v/>
      </c>
      <c r="I1131" s="55" t="str">
        <f>IFERROR(IF($G1131="","",VLOOKUP('Dashboard And Emails Automate'!$G1131,Database!$H:$N,3,0)),"")</f>
        <v/>
      </c>
      <c r="J1131" s="55" t="str">
        <f>IFERROR(IF($G1131="","",VLOOKUP('Dashboard And Emails Automate'!$G1131,Database!$H:$N,4,0)),"")</f>
        <v/>
      </c>
      <c r="K1131" s="55" t="str">
        <f>IFERROR(IF($G1131="","",VLOOKUP('Dashboard And Emails Automate'!$G1131,Database!$H:$N,5,0)),"")</f>
        <v/>
      </c>
      <c r="L1131" s="55" t="str">
        <f>IFERROR(IF($G1131="","",VLOOKUP('Dashboard And Emails Automate'!$G1131,Database!$H:$N,6,0)),"")</f>
        <v/>
      </c>
      <c r="M1131" s="55" t="str">
        <f>IFERROR(IF($G1131="","",VLOOKUP('Dashboard And Emails Automate'!$G1131,Database!$H:$N,7,0)),"")</f>
        <v/>
      </c>
      <c r="N1131" s="55" t="str">
        <f>IFERROR(IF(OR($B1131="",$B1131="(blank)"),"",VLOOKUP($B1131,'Email Marketing Raw Data'!$C:$O,6,0)),"")</f>
        <v/>
      </c>
      <c r="O1131" s="55" t="str">
        <f>IFERROR(IF(OR($B1131="",$B1131="(blank)"),"",VLOOKUP($B1131,'Email Marketing Raw Data'!$C:$O,7,0)),"")</f>
        <v/>
      </c>
      <c r="P1131" s="55" t="str">
        <f>IFERROR(IF(OR($B1131="",$B1131="(blank)"),"",VLOOKUP($B1131,'Email Marketing Raw Data'!$C:$O,8,0)),"")</f>
        <v/>
      </c>
      <c r="Q1131" s="62" t="str">
        <f>IFERROR(IF(OR($B1131="",$B1131="(blank)"),"",VLOOKUP($B1131,'Email Marketing Raw Data'!$C:$O,9,0)),"")</f>
        <v/>
      </c>
    </row>
    <row r="1132" spans="4:17" ht="12.75" customHeight="1" x14ac:dyDescent="0.2">
      <c r="D1132" s="58" t="str">
        <f>IFERROR(IF(F1132&lt;&gt;"pending","",IF(OR($B1132="",$B1132="(blank)"),"",VLOOKUP($B1132,'Email Marketing Raw Data'!$C:$O,10,0))),"")</f>
        <v/>
      </c>
      <c r="E1132" s="59" t="str">
        <f>IFERROR(IF(F1132&lt;&gt;"pending","",IF(OR($B1132="",$B1132="(blank)"),"",VLOOKUP($B1132,'Email Marketing Raw Data'!$C:$O,11,0))),"")</f>
        <v/>
      </c>
      <c r="F1132" s="54" t="str">
        <f>IFERROR(IF(OR($B1132="",$B1132="(blank)"),"",VLOOKUP($B1132,'Email Marketing Raw Data'!$C:$O,13,0)),"")</f>
        <v/>
      </c>
      <c r="G1132" s="55" t="str">
        <f>IFERROR(IF(OR($B1132="",$B1132="(blank)"),"",VLOOKUP($B1132,'Email Marketing Raw Data'!$C:$O,4,0)),"")</f>
        <v/>
      </c>
      <c r="H1132" s="55" t="str">
        <f>IFERROR(IF(OR($B1132="",$B1132="(blank)"),"",VLOOKUP($B1132,'Email Marketing Raw Data'!$C:$O,5,0)),"")</f>
        <v/>
      </c>
      <c r="I1132" s="55" t="str">
        <f>IFERROR(IF($G1132="","",VLOOKUP('Dashboard And Emails Automate'!$G1132,Database!$H:$N,3,0)),"")</f>
        <v/>
      </c>
      <c r="J1132" s="55" t="str">
        <f>IFERROR(IF($G1132="","",VLOOKUP('Dashboard And Emails Automate'!$G1132,Database!$H:$N,4,0)),"")</f>
        <v/>
      </c>
      <c r="K1132" s="55" t="str">
        <f>IFERROR(IF($G1132="","",VLOOKUP('Dashboard And Emails Automate'!$G1132,Database!$H:$N,5,0)),"")</f>
        <v/>
      </c>
      <c r="L1132" s="55" t="str">
        <f>IFERROR(IF($G1132="","",VLOOKUP('Dashboard And Emails Automate'!$G1132,Database!$H:$N,6,0)),"")</f>
        <v/>
      </c>
      <c r="M1132" s="55" t="str">
        <f>IFERROR(IF($G1132="","",VLOOKUP('Dashboard And Emails Automate'!$G1132,Database!$H:$N,7,0)),"")</f>
        <v/>
      </c>
      <c r="N1132" s="55" t="str">
        <f>IFERROR(IF(OR($B1132="",$B1132="(blank)"),"",VLOOKUP($B1132,'Email Marketing Raw Data'!$C:$O,6,0)),"")</f>
        <v/>
      </c>
      <c r="O1132" s="55" t="str">
        <f>IFERROR(IF(OR($B1132="",$B1132="(blank)"),"",VLOOKUP($B1132,'Email Marketing Raw Data'!$C:$O,7,0)),"")</f>
        <v/>
      </c>
      <c r="P1132" s="55" t="str">
        <f>IFERROR(IF(OR($B1132="",$B1132="(blank)"),"",VLOOKUP($B1132,'Email Marketing Raw Data'!$C:$O,8,0)),"")</f>
        <v/>
      </c>
      <c r="Q1132" s="62" t="str">
        <f>IFERROR(IF(OR($B1132="",$B1132="(blank)"),"",VLOOKUP($B1132,'Email Marketing Raw Data'!$C:$O,9,0)),"")</f>
        <v/>
      </c>
    </row>
    <row r="1133" spans="4:17" ht="12.75" customHeight="1" x14ac:dyDescent="0.2">
      <c r="D1133" s="58" t="str">
        <f>IFERROR(IF(F1133&lt;&gt;"pending","",IF(OR($B1133="",$B1133="(blank)"),"",VLOOKUP($B1133,'Email Marketing Raw Data'!$C:$O,10,0))),"")</f>
        <v/>
      </c>
      <c r="E1133" s="59" t="str">
        <f>IFERROR(IF(F1133&lt;&gt;"pending","",IF(OR($B1133="",$B1133="(blank)"),"",VLOOKUP($B1133,'Email Marketing Raw Data'!$C:$O,11,0))),"")</f>
        <v/>
      </c>
      <c r="F1133" s="54" t="str">
        <f>IFERROR(IF(OR($B1133="",$B1133="(blank)"),"",VLOOKUP($B1133,'Email Marketing Raw Data'!$C:$O,13,0)),"")</f>
        <v/>
      </c>
      <c r="G1133" s="55" t="str">
        <f>IFERROR(IF(OR($B1133="",$B1133="(blank)"),"",VLOOKUP($B1133,'Email Marketing Raw Data'!$C:$O,4,0)),"")</f>
        <v/>
      </c>
      <c r="H1133" s="55" t="str">
        <f>IFERROR(IF(OR($B1133="",$B1133="(blank)"),"",VLOOKUP($B1133,'Email Marketing Raw Data'!$C:$O,5,0)),"")</f>
        <v/>
      </c>
      <c r="I1133" s="55" t="str">
        <f>IFERROR(IF($G1133="","",VLOOKUP('Dashboard And Emails Automate'!$G1133,Database!$H:$N,3,0)),"")</f>
        <v/>
      </c>
      <c r="J1133" s="55" t="str">
        <f>IFERROR(IF($G1133="","",VLOOKUP('Dashboard And Emails Automate'!$G1133,Database!$H:$N,4,0)),"")</f>
        <v/>
      </c>
      <c r="K1133" s="55" t="str">
        <f>IFERROR(IF($G1133="","",VLOOKUP('Dashboard And Emails Automate'!$G1133,Database!$H:$N,5,0)),"")</f>
        <v/>
      </c>
      <c r="L1133" s="55" t="str">
        <f>IFERROR(IF($G1133="","",VLOOKUP('Dashboard And Emails Automate'!$G1133,Database!$H:$N,6,0)),"")</f>
        <v/>
      </c>
      <c r="M1133" s="55" t="str">
        <f>IFERROR(IF($G1133="","",VLOOKUP('Dashboard And Emails Automate'!$G1133,Database!$H:$N,7,0)),"")</f>
        <v/>
      </c>
      <c r="N1133" s="55" t="str">
        <f>IFERROR(IF(OR($B1133="",$B1133="(blank)"),"",VLOOKUP($B1133,'Email Marketing Raw Data'!$C:$O,6,0)),"")</f>
        <v/>
      </c>
      <c r="O1133" s="55" t="str">
        <f>IFERROR(IF(OR($B1133="",$B1133="(blank)"),"",VLOOKUP($B1133,'Email Marketing Raw Data'!$C:$O,7,0)),"")</f>
        <v/>
      </c>
      <c r="P1133" s="55" t="str">
        <f>IFERROR(IF(OR($B1133="",$B1133="(blank)"),"",VLOOKUP($B1133,'Email Marketing Raw Data'!$C:$O,8,0)),"")</f>
        <v/>
      </c>
      <c r="Q1133" s="62" t="str">
        <f>IFERROR(IF(OR($B1133="",$B1133="(blank)"),"",VLOOKUP($B1133,'Email Marketing Raw Data'!$C:$O,9,0)),"")</f>
        <v/>
      </c>
    </row>
    <row r="1134" spans="4:17" ht="12.75" customHeight="1" x14ac:dyDescent="0.2">
      <c r="D1134" s="58" t="str">
        <f>IFERROR(IF(F1134&lt;&gt;"pending","",IF(OR($B1134="",$B1134="(blank)"),"",VLOOKUP($B1134,'Email Marketing Raw Data'!$C:$O,10,0))),"")</f>
        <v/>
      </c>
      <c r="E1134" s="59" t="str">
        <f>IFERROR(IF(F1134&lt;&gt;"pending","",IF(OR($B1134="",$B1134="(blank)"),"",VLOOKUP($B1134,'Email Marketing Raw Data'!$C:$O,11,0))),"")</f>
        <v/>
      </c>
      <c r="F1134" s="54" t="str">
        <f>IFERROR(IF(OR($B1134="",$B1134="(blank)"),"",VLOOKUP($B1134,'Email Marketing Raw Data'!$C:$O,13,0)),"")</f>
        <v/>
      </c>
      <c r="G1134" s="55" t="str">
        <f>IFERROR(IF(OR($B1134="",$B1134="(blank)"),"",VLOOKUP($B1134,'Email Marketing Raw Data'!$C:$O,4,0)),"")</f>
        <v/>
      </c>
      <c r="H1134" s="55" t="str">
        <f>IFERROR(IF(OR($B1134="",$B1134="(blank)"),"",VLOOKUP($B1134,'Email Marketing Raw Data'!$C:$O,5,0)),"")</f>
        <v/>
      </c>
      <c r="I1134" s="55" t="str">
        <f>IFERROR(IF($G1134="","",VLOOKUP('Dashboard And Emails Automate'!$G1134,Database!$H:$N,3,0)),"")</f>
        <v/>
      </c>
      <c r="J1134" s="55" t="str">
        <f>IFERROR(IF($G1134="","",VLOOKUP('Dashboard And Emails Automate'!$G1134,Database!$H:$N,4,0)),"")</f>
        <v/>
      </c>
      <c r="K1134" s="55" t="str">
        <f>IFERROR(IF($G1134="","",VLOOKUP('Dashboard And Emails Automate'!$G1134,Database!$H:$N,5,0)),"")</f>
        <v/>
      </c>
      <c r="L1134" s="55" t="str">
        <f>IFERROR(IF($G1134="","",VLOOKUP('Dashboard And Emails Automate'!$G1134,Database!$H:$N,6,0)),"")</f>
        <v/>
      </c>
      <c r="M1134" s="55" t="str">
        <f>IFERROR(IF($G1134="","",VLOOKUP('Dashboard And Emails Automate'!$G1134,Database!$H:$N,7,0)),"")</f>
        <v/>
      </c>
      <c r="N1134" s="55" t="str">
        <f>IFERROR(IF(OR($B1134="",$B1134="(blank)"),"",VLOOKUP($B1134,'Email Marketing Raw Data'!$C:$O,6,0)),"")</f>
        <v/>
      </c>
      <c r="O1134" s="55" t="str">
        <f>IFERROR(IF(OR($B1134="",$B1134="(blank)"),"",VLOOKUP($B1134,'Email Marketing Raw Data'!$C:$O,7,0)),"")</f>
        <v/>
      </c>
      <c r="P1134" s="55" t="str">
        <f>IFERROR(IF(OR($B1134="",$B1134="(blank)"),"",VLOOKUP($B1134,'Email Marketing Raw Data'!$C:$O,8,0)),"")</f>
        <v/>
      </c>
      <c r="Q1134" s="62" t="str">
        <f>IFERROR(IF(OR($B1134="",$B1134="(blank)"),"",VLOOKUP($B1134,'Email Marketing Raw Data'!$C:$O,9,0)),"")</f>
        <v/>
      </c>
    </row>
    <row r="1135" spans="4:17" ht="12.75" customHeight="1" x14ac:dyDescent="0.2">
      <c r="D1135" s="58" t="str">
        <f>IFERROR(IF(F1135&lt;&gt;"pending","",IF(OR($B1135="",$B1135="(blank)"),"",VLOOKUP($B1135,'Email Marketing Raw Data'!$C:$O,10,0))),"")</f>
        <v/>
      </c>
      <c r="E1135" s="59" t="str">
        <f>IFERROR(IF(F1135&lt;&gt;"pending","",IF(OR($B1135="",$B1135="(blank)"),"",VLOOKUP($B1135,'Email Marketing Raw Data'!$C:$O,11,0))),"")</f>
        <v/>
      </c>
      <c r="F1135" s="54" t="str">
        <f>IFERROR(IF(OR($B1135="",$B1135="(blank)"),"",VLOOKUP($B1135,'Email Marketing Raw Data'!$C:$O,13,0)),"")</f>
        <v/>
      </c>
      <c r="G1135" s="55" t="str">
        <f>IFERROR(IF(OR($B1135="",$B1135="(blank)"),"",VLOOKUP($B1135,'Email Marketing Raw Data'!$C:$O,4,0)),"")</f>
        <v/>
      </c>
      <c r="H1135" s="55" t="str">
        <f>IFERROR(IF(OR($B1135="",$B1135="(blank)"),"",VLOOKUP($B1135,'Email Marketing Raw Data'!$C:$O,5,0)),"")</f>
        <v/>
      </c>
      <c r="I1135" s="55" t="str">
        <f>IFERROR(IF($G1135="","",VLOOKUP('Dashboard And Emails Automate'!$G1135,Database!$H:$N,3,0)),"")</f>
        <v/>
      </c>
      <c r="J1135" s="55" t="str">
        <f>IFERROR(IF($G1135="","",VLOOKUP('Dashboard And Emails Automate'!$G1135,Database!$H:$N,4,0)),"")</f>
        <v/>
      </c>
      <c r="K1135" s="55" t="str">
        <f>IFERROR(IF($G1135="","",VLOOKUP('Dashboard And Emails Automate'!$G1135,Database!$H:$N,5,0)),"")</f>
        <v/>
      </c>
      <c r="L1135" s="55" t="str">
        <f>IFERROR(IF($G1135="","",VLOOKUP('Dashboard And Emails Automate'!$G1135,Database!$H:$N,6,0)),"")</f>
        <v/>
      </c>
      <c r="M1135" s="55" t="str">
        <f>IFERROR(IF($G1135="","",VLOOKUP('Dashboard And Emails Automate'!$G1135,Database!$H:$N,7,0)),"")</f>
        <v/>
      </c>
      <c r="N1135" s="55" t="str">
        <f>IFERROR(IF(OR($B1135="",$B1135="(blank)"),"",VLOOKUP($B1135,'Email Marketing Raw Data'!$C:$O,6,0)),"")</f>
        <v/>
      </c>
      <c r="O1135" s="55" t="str">
        <f>IFERROR(IF(OR($B1135="",$B1135="(blank)"),"",VLOOKUP($B1135,'Email Marketing Raw Data'!$C:$O,7,0)),"")</f>
        <v/>
      </c>
      <c r="P1135" s="55" t="str">
        <f>IFERROR(IF(OR($B1135="",$B1135="(blank)"),"",VLOOKUP($B1135,'Email Marketing Raw Data'!$C:$O,8,0)),"")</f>
        <v/>
      </c>
      <c r="Q1135" s="62" t="str">
        <f>IFERROR(IF(OR($B1135="",$B1135="(blank)"),"",VLOOKUP($B1135,'Email Marketing Raw Data'!$C:$O,9,0)),"")</f>
        <v/>
      </c>
    </row>
    <row r="1136" spans="4:17" ht="12.75" customHeight="1" x14ac:dyDescent="0.2">
      <c r="D1136" s="58" t="str">
        <f>IFERROR(IF(F1136&lt;&gt;"pending","",IF(OR($B1136="",$B1136="(blank)"),"",VLOOKUP($B1136,'Email Marketing Raw Data'!$C:$O,10,0))),"")</f>
        <v/>
      </c>
      <c r="E1136" s="59" t="str">
        <f>IFERROR(IF(F1136&lt;&gt;"pending","",IF(OR($B1136="",$B1136="(blank)"),"",VLOOKUP($B1136,'Email Marketing Raw Data'!$C:$O,11,0))),"")</f>
        <v/>
      </c>
      <c r="F1136" s="54" t="str">
        <f>IFERROR(IF(OR($B1136="",$B1136="(blank)"),"",VLOOKUP($B1136,'Email Marketing Raw Data'!$C:$O,13,0)),"")</f>
        <v/>
      </c>
      <c r="G1136" s="55" t="str">
        <f>IFERROR(IF(OR($B1136="",$B1136="(blank)"),"",VLOOKUP($B1136,'Email Marketing Raw Data'!$C:$O,4,0)),"")</f>
        <v/>
      </c>
      <c r="H1136" s="55" t="str">
        <f>IFERROR(IF(OR($B1136="",$B1136="(blank)"),"",VLOOKUP($B1136,'Email Marketing Raw Data'!$C:$O,5,0)),"")</f>
        <v/>
      </c>
      <c r="I1136" s="55" t="str">
        <f>IFERROR(IF($G1136="","",VLOOKUP('Dashboard And Emails Automate'!$G1136,Database!$H:$N,3,0)),"")</f>
        <v/>
      </c>
      <c r="J1136" s="55" t="str">
        <f>IFERROR(IF($G1136="","",VLOOKUP('Dashboard And Emails Automate'!$G1136,Database!$H:$N,4,0)),"")</f>
        <v/>
      </c>
      <c r="K1136" s="55" t="str">
        <f>IFERROR(IF($G1136="","",VLOOKUP('Dashboard And Emails Automate'!$G1136,Database!$H:$N,5,0)),"")</f>
        <v/>
      </c>
      <c r="L1136" s="55" t="str">
        <f>IFERROR(IF($G1136="","",VLOOKUP('Dashboard And Emails Automate'!$G1136,Database!$H:$N,6,0)),"")</f>
        <v/>
      </c>
      <c r="M1136" s="55" t="str">
        <f>IFERROR(IF($G1136="","",VLOOKUP('Dashboard And Emails Automate'!$G1136,Database!$H:$N,7,0)),"")</f>
        <v/>
      </c>
      <c r="N1136" s="55" t="str">
        <f>IFERROR(IF(OR($B1136="",$B1136="(blank)"),"",VLOOKUP($B1136,'Email Marketing Raw Data'!$C:$O,6,0)),"")</f>
        <v/>
      </c>
      <c r="O1136" s="55" t="str">
        <f>IFERROR(IF(OR($B1136="",$B1136="(blank)"),"",VLOOKUP($B1136,'Email Marketing Raw Data'!$C:$O,7,0)),"")</f>
        <v/>
      </c>
      <c r="P1136" s="55" t="str">
        <f>IFERROR(IF(OR($B1136="",$B1136="(blank)"),"",VLOOKUP($B1136,'Email Marketing Raw Data'!$C:$O,8,0)),"")</f>
        <v/>
      </c>
      <c r="Q1136" s="62" t="str">
        <f>IFERROR(IF(OR($B1136="",$B1136="(blank)"),"",VLOOKUP($B1136,'Email Marketing Raw Data'!$C:$O,9,0)),"")</f>
        <v/>
      </c>
    </row>
    <row r="1137" spans="4:17" ht="12.75" customHeight="1" x14ac:dyDescent="0.2">
      <c r="D1137" s="58" t="str">
        <f>IFERROR(IF(F1137&lt;&gt;"pending","",IF(OR($B1137="",$B1137="(blank)"),"",VLOOKUP($B1137,'Email Marketing Raw Data'!$C:$O,10,0))),"")</f>
        <v/>
      </c>
      <c r="E1137" s="59" t="str">
        <f>IFERROR(IF(F1137&lt;&gt;"pending","",IF(OR($B1137="",$B1137="(blank)"),"",VLOOKUP($B1137,'Email Marketing Raw Data'!$C:$O,11,0))),"")</f>
        <v/>
      </c>
      <c r="F1137" s="54" t="str">
        <f>IFERROR(IF(OR($B1137="",$B1137="(blank)"),"",VLOOKUP($B1137,'Email Marketing Raw Data'!$C:$O,13,0)),"")</f>
        <v/>
      </c>
      <c r="G1137" s="55" t="str">
        <f>IFERROR(IF(OR($B1137="",$B1137="(blank)"),"",VLOOKUP($B1137,'Email Marketing Raw Data'!$C:$O,4,0)),"")</f>
        <v/>
      </c>
      <c r="H1137" s="55" t="str">
        <f>IFERROR(IF(OR($B1137="",$B1137="(blank)"),"",VLOOKUP($B1137,'Email Marketing Raw Data'!$C:$O,5,0)),"")</f>
        <v/>
      </c>
      <c r="I1137" s="55" t="str">
        <f>IFERROR(IF($G1137="","",VLOOKUP('Dashboard And Emails Automate'!$G1137,Database!$H:$N,3,0)),"")</f>
        <v/>
      </c>
      <c r="J1137" s="55" t="str">
        <f>IFERROR(IF($G1137="","",VLOOKUP('Dashboard And Emails Automate'!$G1137,Database!$H:$N,4,0)),"")</f>
        <v/>
      </c>
      <c r="K1137" s="55" t="str">
        <f>IFERROR(IF($G1137="","",VLOOKUP('Dashboard And Emails Automate'!$G1137,Database!$H:$N,5,0)),"")</f>
        <v/>
      </c>
      <c r="L1137" s="55" t="str">
        <f>IFERROR(IF($G1137="","",VLOOKUP('Dashboard And Emails Automate'!$G1137,Database!$H:$N,6,0)),"")</f>
        <v/>
      </c>
      <c r="M1137" s="55" t="str">
        <f>IFERROR(IF($G1137="","",VLOOKUP('Dashboard And Emails Automate'!$G1137,Database!$H:$N,7,0)),"")</f>
        <v/>
      </c>
      <c r="N1137" s="55" t="str">
        <f>IFERROR(IF(OR($B1137="",$B1137="(blank)"),"",VLOOKUP($B1137,'Email Marketing Raw Data'!$C:$O,6,0)),"")</f>
        <v/>
      </c>
      <c r="O1137" s="55" t="str">
        <f>IFERROR(IF(OR($B1137="",$B1137="(blank)"),"",VLOOKUP($B1137,'Email Marketing Raw Data'!$C:$O,7,0)),"")</f>
        <v/>
      </c>
      <c r="P1137" s="55" t="str">
        <f>IFERROR(IF(OR($B1137="",$B1137="(blank)"),"",VLOOKUP($B1137,'Email Marketing Raw Data'!$C:$O,8,0)),"")</f>
        <v/>
      </c>
      <c r="Q1137" s="62" t="str">
        <f>IFERROR(IF(OR($B1137="",$B1137="(blank)"),"",VLOOKUP($B1137,'Email Marketing Raw Data'!$C:$O,9,0)),"")</f>
        <v/>
      </c>
    </row>
    <row r="1138" spans="4:17" ht="12.75" customHeight="1" x14ac:dyDescent="0.2">
      <c r="D1138" s="58" t="str">
        <f>IFERROR(IF(F1138&lt;&gt;"pending","",IF(OR($B1138="",$B1138="(blank)"),"",VLOOKUP($B1138,'Email Marketing Raw Data'!$C:$O,10,0))),"")</f>
        <v/>
      </c>
      <c r="E1138" s="59" t="str">
        <f>IFERROR(IF(F1138&lt;&gt;"pending","",IF(OR($B1138="",$B1138="(blank)"),"",VLOOKUP($B1138,'Email Marketing Raw Data'!$C:$O,11,0))),"")</f>
        <v/>
      </c>
      <c r="F1138" s="54" t="str">
        <f>IFERROR(IF(OR($B1138="",$B1138="(blank)"),"",VLOOKUP($B1138,'Email Marketing Raw Data'!$C:$O,13,0)),"")</f>
        <v/>
      </c>
      <c r="G1138" s="55" t="str">
        <f>IFERROR(IF(OR($B1138="",$B1138="(blank)"),"",VLOOKUP($B1138,'Email Marketing Raw Data'!$C:$O,4,0)),"")</f>
        <v/>
      </c>
      <c r="H1138" s="55" t="str">
        <f>IFERROR(IF(OR($B1138="",$B1138="(blank)"),"",VLOOKUP($B1138,'Email Marketing Raw Data'!$C:$O,5,0)),"")</f>
        <v/>
      </c>
      <c r="I1138" s="55" t="str">
        <f>IFERROR(IF($G1138="","",VLOOKUP('Dashboard And Emails Automate'!$G1138,Database!$H:$N,3,0)),"")</f>
        <v/>
      </c>
      <c r="J1138" s="55" t="str">
        <f>IFERROR(IF($G1138="","",VLOOKUP('Dashboard And Emails Automate'!$G1138,Database!$H:$N,4,0)),"")</f>
        <v/>
      </c>
      <c r="K1138" s="55" t="str">
        <f>IFERROR(IF($G1138="","",VLOOKUP('Dashboard And Emails Automate'!$G1138,Database!$H:$N,5,0)),"")</f>
        <v/>
      </c>
      <c r="L1138" s="55" t="str">
        <f>IFERROR(IF($G1138="","",VLOOKUP('Dashboard And Emails Automate'!$G1138,Database!$H:$N,6,0)),"")</f>
        <v/>
      </c>
      <c r="M1138" s="55" t="str">
        <f>IFERROR(IF($G1138="","",VLOOKUP('Dashboard And Emails Automate'!$G1138,Database!$H:$N,7,0)),"")</f>
        <v/>
      </c>
      <c r="N1138" s="55" t="str">
        <f>IFERROR(IF(OR($B1138="",$B1138="(blank)"),"",VLOOKUP($B1138,'Email Marketing Raw Data'!$C:$O,6,0)),"")</f>
        <v/>
      </c>
      <c r="O1138" s="55" t="str">
        <f>IFERROR(IF(OR($B1138="",$B1138="(blank)"),"",VLOOKUP($B1138,'Email Marketing Raw Data'!$C:$O,7,0)),"")</f>
        <v/>
      </c>
      <c r="P1138" s="55" t="str">
        <f>IFERROR(IF(OR($B1138="",$B1138="(blank)"),"",VLOOKUP($B1138,'Email Marketing Raw Data'!$C:$O,8,0)),"")</f>
        <v/>
      </c>
      <c r="Q1138" s="62" t="str">
        <f>IFERROR(IF(OR($B1138="",$B1138="(blank)"),"",VLOOKUP($B1138,'Email Marketing Raw Data'!$C:$O,9,0)),"")</f>
        <v/>
      </c>
    </row>
    <row r="1139" spans="4:17" ht="12.75" customHeight="1" x14ac:dyDescent="0.2">
      <c r="D1139" s="58" t="str">
        <f>IFERROR(IF(F1139&lt;&gt;"pending","",IF(OR($B1139="",$B1139="(blank)"),"",VLOOKUP($B1139,'Email Marketing Raw Data'!$C:$O,10,0))),"")</f>
        <v/>
      </c>
      <c r="E1139" s="59" t="str">
        <f>IFERROR(IF(F1139&lt;&gt;"pending","",IF(OR($B1139="",$B1139="(blank)"),"",VLOOKUP($B1139,'Email Marketing Raw Data'!$C:$O,11,0))),"")</f>
        <v/>
      </c>
      <c r="F1139" s="54" t="str">
        <f>IFERROR(IF(OR($B1139="",$B1139="(blank)"),"",VLOOKUP($B1139,'Email Marketing Raw Data'!$C:$O,13,0)),"")</f>
        <v/>
      </c>
      <c r="G1139" s="55" t="str">
        <f>IFERROR(IF(OR($B1139="",$B1139="(blank)"),"",VLOOKUP($B1139,'Email Marketing Raw Data'!$C:$O,4,0)),"")</f>
        <v/>
      </c>
      <c r="H1139" s="55" t="str">
        <f>IFERROR(IF(OR($B1139="",$B1139="(blank)"),"",VLOOKUP($B1139,'Email Marketing Raw Data'!$C:$O,5,0)),"")</f>
        <v/>
      </c>
      <c r="I1139" s="55" t="str">
        <f>IFERROR(IF($G1139="","",VLOOKUP('Dashboard And Emails Automate'!$G1139,Database!$H:$N,3,0)),"")</f>
        <v/>
      </c>
      <c r="J1139" s="55" t="str">
        <f>IFERROR(IF($G1139="","",VLOOKUP('Dashboard And Emails Automate'!$G1139,Database!$H:$N,4,0)),"")</f>
        <v/>
      </c>
      <c r="K1139" s="55" t="str">
        <f>IFERROR(IF($G1139="","",VLOOKUP('Dashboard And Emails Automate'!$G1139,Database!$H:$N,5,0)),"")</f>
        <v/>
      </c>
      <c r="L1139" s="55" t="str">
        <f>IFERROR(IF($G1139="","",VLOOKUP('Dashboard And Emails Automate'!$G1139,Database!$H:$N,6,0)),"")</f>
        <v/>
      </c>
      <c r="M1139" s="55" t="str">
        <f>IFERROR(IF($G1139="","",VLOOKUP('Dashboard And Emails Automate'!$G1139,Database!$H:$N,7,0)),"")</f>
        <v/>
      </c>
      <c r="N1139" s="55" t="str">
        <f>IFERROR(IF(OR($B1139="",$B1139="(blank)"),"",VLOOKUP($B1139,'Email Marketing Raw Data'!$C:$O,6,0)),"")</f>
        <v/>
      </c>
      <c r="O1139" s="55" t="str">
        <f>IFERROR(IF(OR($B1139="",$B1139="(blank)"),"",VLOOKUP($B1139,'Email Marketing Raw Data'!$C:$O,7,0)),"")</f>
        <v/>
      </c>
      <c r="P1139" s="55" t="str">
        <f>IFERROR(IF(OR($B1139="",$B1139="(blank)"),"",VLOOKUP($B1139,'Email Marketing Raw Data'!$C:$O,8,0)),"")</f>
        <v/>
      </c>
      <c r="Q1139" s="62" t="str">
        <f>IFERROR(IF(OR($B1139="",$B1139="(blank)"),"",VLOOKUP($B1139,'Email Marketing Raw Data'!$C:$O,9,0)),"")</f>
        <v/>
      </c>
    </row>
    <row r="1140" spans="4:17" ht="12.75" customHeight="1" x14ac:dyDescent="0.2">
      <c r="D1140" s="58" t="str">
        <f>IFERROR(IF(F1140&lt;&gt;"pending","",IF(OR($B1140="",$B1140="(blank)"),"",VLOOKUP($B1140,'Email Marketing Raw Data'!$C:$O,10,0))),"")</f>
        <v/>
      </c>
      <c r="E1140" s="59" t="str">
        <f>IFERROR(IF(F1140&lt;&gt;"pending","",IF(OR($B1140="",$B1140="(blank)"),"",VLOOKUP($B1140,'Email Marketing Raw Data'!$C:$O,11,0))),"")</f>
        <v/>
      </c>
      <c r="F1140" s="54" t="str">
        <f>IFERROR(IF(OR($B1140="",$B1140="(blank)"),"",VLOOKUP($B1140,'Email Marketing Raw Data'!$C:$O,13,0)),"")</f>
        <v/>
      </c>
      <c r="G1140" s="55" t="str">
        <f>IFERROR(IF(OR($B1140="",$B1140="(blank)"),"",VLOOKUP($B1140,'Email Marketing Raw Data'!$C:$O,4,0)),"")</f>
        <v/>
      </c>
      <c r="H1140" s="55" t="str">
        <f>IFERROR(IF(OR($B1140="",$B1140="(blank)"),"",VLOOKUP($B1140,'Email Marketing Raw Data'!$C:$O,5,0)),"")</f>
        <v/>
      </c>
      <c r="I1140" s="55" t="str">
        <f>IFERROR(IF($G1140="","",VLOOKUP('Dashboard And Emails Automate'!$G1140,Database!$H:$N,3,0)),"")</f>
        <v/>
      </c>
      <c r="J1140" s="55" t="str">
        <f>IFERROR(IF($G1140="","",VLOOKUP('Dashboard And Emails Automate'!$G1140,Database!$H:$N,4,0)),"")</f>
        <v/>
      </c>
      <c r="K1140" s="55" t="str">
        <f>IFERROR(IF($G1140="","",VLOOKUP('Dashboard And Emails Automate'!$G1140,Database!$H:$N,5,0)),"")</f>
        <v/>
      </c>
      <c r="L1140" s="55" t="str">
        <f>IFERROR(IF($G1140="","",VLOOKUP('Dashboard And Emails Automate'!$G1140,Database!$H:$N,6,0)),"")</f>
        <v/>
      </c>
      <c r="M1140" s="55" t="str">
        <f>IFERROR(IF($G1140="","",VLOOKUP('Dashboard And Emails Automate'!$G1140,Database!$H:$N,7,0)),"")</f>
        <v/>
      </c>
      <c r="N1140" s="55" t="str">
        <f>IFERROR(IF(OR($B1140="",$B1140="(blank)"),"",VLOOKUP($B1140,'Email Marketing Raw Data'!$C:$O,6,0)),"")</f>
        <v/>
      </c>
      <c r="O1140" s="55" t="str">
        <f>IFERROR(IF(OR($B1140="",$B1140="(blank)"),"",VLOOKUP($B1140,'Email Marketing Raw Data'!$C:$O,7,0)),"")</f>
        <v/>
      </c>
      <c r="P1140" s="55" t="str">
        <f>IFERROR(IF(OR($B1140="",$B1140="(blank)"),"",VLOOKUP($B1140,'Email Marketing Raw Data'!$C:$O,8,0)),"")</f>
        <v/>
      </c>
      <c r="Q1140" s="62" t="str">
        <f>IFERROR(IF(OR($B1140="",$B1140="(blank)"),"",VLOOKUP($B1140,'Email Marketing Raw Data'!$C:$O,9,0)),"")</f>
        <v/>
      </c>
    </row>
    <row r="1141" spans="4:17" ht="12.75" customHeight="1" x14ac:dyDescent="0.2">
      <c r="D1141" s="58" t="str">
        <f>IFERROR(IF(F1141&lt;&gt;"pending","",IF(OR($B1141="",$B1141="(blank)"),"",VLOOKUP($B1141,'Email Marketing Raw Data'!$C:$O,10,0))),"")</f>
        <v/>
      </c>
      <c r="E1141" s="59" t="str">
        <f>IFERROR(IF(F1141&lt;&gt;"pending","",IF(OR($B1141="",$B1141="(blank)"),"",VLOOKUP($B1141,'Email Marketing Raw Data'!$C:$O,11,0))),"")</f>
        <v/>
      </c>
      <c r="F1141" s="54" t="str">
        <f>IFERROR(IF(OR($B1141="",$B1141="(blank)"),"",VLOOKUP($B1141,'Email Marketing Raw Data'!$C:$O,13,0)),"")</f>
        <v/>
      </c>
      <c r="G1141" s="55" t="str">
        <f>IFERROR(IF(OR($B1141="",$B1141="(blank)"),"",VLOOKUP($B1141,'Email Marketing Raw Data'!$C:$O,4,0)),"")</f>
        <v/>
      </c>
      <c r="H1141" s="55" t="str">
        <f>IFERROR(IF(OR($B1141="",$B1141="(blank)"),"",VLOOKUP($B1141,'Email Marketing Raw Data'!$C:$O,5,0)),"")</f>
        <v/>
      </c>
      <c r="I1141" s="55" t="str">
        <f>IFERROR(IF($G1141="","",VLOOKUP('Dashboard And Emails Automate'!$G1141,Database!$H:$N,3,0)),"")</f>
        <v/>
      </c>
      <c r="J1141" s="55" t="str">
        <f>IFERROR(IF($G1141="","",VLOOKUP('Dashboard And Emails Automate'!$G1141,Database!$H:$N,4,0)),"")</f>
        <v/>
      </c>
      <c r="K1141" s="55" t="str">
        <f>IFERROR(IF($G1141="","",VLOOKUP('Dashboard And Emails Automate'!$G1141,Database!$H:$N,5,0)),"")</f>
        <v/>
      </c>
      <c r="L1141" s="55" t="str">
        <f>IFERROR(IF($G1141="","",VLOOKUP('Dashboard And Emails Automate'!$G1141,Database!$H:$N,6,0)),"")</f>
        <v/>
      </c>
      <c r="M1141" s="55" t="str">
        <f>IFERROR(IF($G1141="","",VLOOKUP('Dashboard And Emails Automate'!$G1141,Database!$H:$N,7,0)),"")</f>
        <v/>
      </c>
      <c r="N1141" s="55" t="str">
        <f>IFERROR(IF(OR($B1141="",$B1141="(blank)"),"",VLOOKUP($B1141,'Email Marketing Raw Data'!$C:$O,6,0)),"")</f>
        <v/>
      </c>
      <c r="O1141" s="55" t="str">
        <f>IFERROR(IF(OR($B1141="",$B1141="(blank)"),"",VLOOKUP($B1141,'Email Marketing Raw Data'!$C:$O,7,0)),"")</f>
        <v/>
      </c>
      <c r="P1141" s="55" t="str">
        <f>IFERROR(IF(OR($B1141="",$B1141="(blank)"),"",VLOOKUP($B1141,'Email Marketing Raw Data'!$C:$O,8,0)),"")</f>
        <v/>
      </c>
      <c r="Q1141" s="62" t="str">
        <f>IFERROR(IF(OR($B1141="",$B1141="(blank)"),"",VLOOKUP($B1141,'Email Marketing Raw Data'!$C:$O,9,0)),"")</f>
        <v/>
      </c>
    </row>
    <row r="1142" spans="4:17" ht="12.75" customHeight="1" x14ac:dyDescent="0.2">
      <c r="D1142" s="58" t="str">
        <f>IFERROR(IF(F1142&lt;&gt;"pending","",IF(OR($B1142="",$B1142="(blank)"),"",VLOOKUP($B1142,'Email Marketing Raw Data'!$C:$O,10,0))),"")</f>
        <v/>
      </c>
      <c r="E1142" s="59" t="str">
        <f>IFERROR(IF(F1142&lt;&gt;"pending","",IF(OR($B1142="",$B1142="(blank)"),"",VLOOKUP($B1142,'Email Marketing Raw Data'!$C:$O,11,0))),"")</f>
        <v/>
      </c>
      <c r="F1142" s="54" t="str">
        <f>IFERROR(IF(OR($B1142="",$B1142="(blank)"),"",VLOOKUP($B1142,'Email Marketing Raw Data'!$C:$O,13,0)),"")</f>
        <v/>
      </c>
      <c r="G1142" s="55" t="str">
        <f>IFERROR(IF(OR($B1142="",$B1142="(blank)"),"",VLOOKUP($B1142,'Email Marketing Raw Data'!$C:$O,4,0)),"")</f>
        <v/>
      </c>
      <c r="H1142" s="55" t="str">
        <f>IFERROR(IF(OR($B1142="",$B1142="(blank)"),"",VLOOKUP($B1142,'Email Marketing Raw Data'!$C:$O,5,0)),"")</f>
        <v/>
      </c>
      <c r="I1142" s="55" t="str">
        <f>IFERROR(IF($G1142="","",VLOOKUP('Dashboard And Emails Automate'!$G1142,Database!$H:$N,3,0)),"")</f>
        <v/>
      </c>
      <c r="J1142" s="55" t="str">
        <f>IFERROR(IF($G1142="","",VLOOKUP('Dashboard And Emails Automate'!$G1142,Database!$H:$N,4,0)),"")</f>
        <v/>
      </c>
      <c r="K1142" s="55" t="str">
        <f>IFERROR(IF($G1142="","",VLOOKUP('Dashboard And Emails Automate'!$G1142,Database!$H:$N,5,0)),"")</f>
        <v/>
      </c>
      <c r="L1142" s="55" t="str">
        <f>IFERROR(IF($G1142="","",VLOOKUP('Dashboard And Emails Automate'!$G1142,Database!$H:$N,6,0)),"")</f>
        <v/>
      </c>
      <c r="M1142" s="55" t="str">
        <f>IFERROR(IF($G1142="","",VLOOKUP('Dashboard And Emails Automate'!$G1142,Database!$H:$N,7,0)),"")</f>
        <v/>
      </c>
      <c r="N1142" s="55" t="str">
        <f>IFERROR(IF(OR($B1142="",$B1142="(blank)"),"",VLOOKUP($B1142,'Email Marketing Raw Data'!$C:$O,6,0)),"")</f>
        <v/>
      </c>
      <c r="O1142" s="55" t="str">
        <f>IFERROR(IF(OR($B1142="",$B1142="(blank)"),"",VLOOKUP($B1142,'Email Marketing Raw Data'!$C:$O,7,0)),"")</f>
        <v/>
      </c>
      <c r="P1142" s="55" t="str">
        <f>IFERROR(IF(OR($B1142="",$B1142="(blank)"),"",VLOOKUP($B1142,'Email Marketing Raw Data'!$C:$O,8,0)),"")</f>
        <v/>
      </c>
      <c r="Q1142" s="62" t="str">
        <f>IFERROR(IF(OR($B1142="",$B1142="(blank)"),"",VLOOKUP($B1142,'Email Marketing Raw Data'!$C:$O,9,0)),"")</f>
        <v/>
      </c>
    </row>
    <row r="1143" spans="4:17" ht="12.75" customHeight="1" x14ac:dyDescent="0.2">
      <c r="D1143" s="58" t="str">
        <f>IFERROR(IF(F1143&lt;&gt;"pending","",IF(OR($B1143="",$B1143="(blank)"),"",VLOOKUP($B1143,'Email Marketing Raw Data'!$C:$O,10,0))),"")</f>
        <v/>
      </c>
      <c r="E1143" s="59" t="str">
        <f>IFERROR(IF(F1143&lt;&gt;"pending","",IF(OR($B1143="",$B1143="(blank)"),"",VLOOKUP($B1143,'Email Marketing Raw Data'!$C:$O,11,0))),"")</f>
        <v/>
      </c>
      <c r="F1143" s="54" t="str">
        <f>IFERROR(IF(OR($B1143="",$B1143="(blank)"),"",VLOOKUP($B1143,'Email Marketing Raw Data'!$C:$O,13,0)),"")</f>
        <v/>
      </c>
      <c r="G1143" s="55" t="str">
        <f>IFERROR(IF(OR($B1143="",$B1143="(blank)"),"",VLOOKUP($B1143,'Email Marketing Raw Data'!$C:$O,4,0)),"")</f>
        <v/>
      </c>
      <c r="H1143" s="55" t="str">
        <f>IFERROR(IF(OR($B1143="",$B1143="(blank)"),"",VLOOKUP($B1143,'Email Marketing Raw Data'!$C:$O,5,0)),"")</f>
        <v/>
      </c>
      <c r="I1143" s="55" t="str">
        <f>IFERROR(IF($G1143="","",VLOOKUP('Dashboard And Emails Automate'!$G1143,Database!$H:$N,3,0)),"")</f>
        <v/>
      </c>
      <c r="J1143" s="55" t="str">
        <f>IFERROR(IF($G1143="","",VLOOKUP('Dashboard And Emails Automate'!$G1143,Database!$H:$N,4,0)),"")</f>
        <v/>
      </c>
      <c r="K1143" s="55" t="str">
        <f>IFERROR(IF($G1143="","",VLOOKUP('Dashboard And Emails Automate'!$G1143,Database!$H:$N,5,0)),"")</f>
        <v/>
      </c>
      <c r="L1143" s="55" t="str">
        <f>IFERROR(IF($G1143="","",VLOOKUP('Dashboard And Emails Automate'!$G1143,Database!$H:$N,6,0)),"")</f>
        <v/>
      </c>
      <c r="M1143" s="55" t="str">
        <f>IFERROR(IF($G1143="","",VLOOKUP('Dashboard And Emails Automate'!$G1143,Database!$H:$N,7,0)),"")</f>
        <v/>
      </c>
      <c r="N1143" s="55" t="str">
        <f>IFERROR(IF(OR($B1143="",$B1143="(blank)"),"",VLOOKUP($B1143,'Email Marketing Raw Data'!$C:$O,6,0)),"")</f>
        <v/>
      </c>
      <c r="O1143" s="55" t="str">
        <f>IFERROR(IF(OR($B1143="",$B1143="(blank)"),"",VLOOKUP($B1143,'Email Marketing Raw Data'!$C:$O,7,0)),"")</f>
        <v/>
      </c>
      <c r="P1143" s="55" t="str">
        <f>IFERROR(IF(OR($B1143="",$B1143="(blank)"),"",VLOOKUP($B1143,'Email Marketing Raw Data'!$C:$O,8,0)),"")</f>
        <v/>
      </c>
      <c r="Q1143" s="62" t="str">
        <f>IFERROR(IF(OR($B1143="",$B1143="(blank)"),"",VLOOKUP($B1143,'Email Marketing Raw Data'!$C:$O,9,0)),"")</f>
        <v/>
      </c>
    </row>
    <row r="1144" spans="4:17" ht="12.75" customHeight="1" x14ac:dyDescent="0.2">
      <c r="D1144" s="58" t="str">
        <f>IFERROR(IF(F1144&lt;&gt;"pending","",IF(OR($B1144="",$B1144="(blank)"),"",VLOOKUP($B1144,'Email Marketing Raw Data'!$C:$O,10,0))),"")</f>
        <v/>
      </c>
      <c r="E1144" s="59" t="str">
        <f>IFERROR(IF(F1144&lt;&gt;"pending","",IF(OR($B1144="",$B1144="(blank)"),"",VLOOKUP($B1144,'Email Marketing Raw Data'!$C:$O,11,0))),"")</f>
        <v/>
      </c>
      <c r="F1144" s="54" t="str">
        <f>IFERROR(IF(OR($B1144="",$B1144="(blank)"),"",VLOOKUP($B1144,'Email Marketing Raw Data'!$C:$O,13,0)),"")</f>
        <v/>
      </c>
      <c r="G1144" s="55" t="str">
        <f>IFERROR(IF(OR($B1144="",$B1144="(blank)"),"",VLOOKUP($B1144,'Email Marketing Raw Data'!$C:$O,4,0)),"")</f>
        <v/>
      </c>
      <c r="H1144" s="55" t="str">
        <f>IFERROR(IF(OR($B1144="",$B1144="(blank)"),"",VLOOKUP($B1144,'Email Marketing Raw Data'!$C:$O,5,0)),"")</f>
        <v/>
      </c>
      <c r="I1144" s="55" t="str">
        <f>IFERROR(IF($G1144="","",VLOOKUP('Dashboard And Emails Automate'!$G1144,Database!$H:$N,3,0)),"")</f>
        <v/>
      </c>
      <c r="J1144" s="55" t="str">
        <f>IFERROR(IF($G1144="","",VLOOKUP('Dashboard And Emails Automate'!$G1144,Database!$H:$N,4,0)),"")</f>
        <v/>
      </c>
      <c r="K1144" s="55" t="str">
        <f>IFERROR(IF($G1144="","",VLOOKUP('Dashboard And Emails Automate'!$G1144,Database!$H:$N,5,0)),"")</f>
        <v/>
      </c>
      <c r="L1144" s="55" t="str">
        <f>IFERROR(IF($G1144="","",VLOOKUP('Dashboard And Emails Automate'!$G1144,Database!$H:$N,6,0)),"")</f>
        <v/>
      </c>
      <c r="M1144" s="55" t="str">
        <f>IFERROR(IF($G1144="","",VLOOKUP('Dashboard And Emails Automate'!$G1144,Database!$H:$N,7,0)),"")</f>
        <v/>
      </c>
      <c r="N1144" s="55" t="str">
        <f>IFERROR(IF(OR($B1144="",$B1144="(blank)"),"",VLOOKUP($B1144,'Email Marketing Raw Data'!$C:$O,6,0)),"")</f>
        <v/>
      </c>
      <c r="O1144" s="55" t="str">
        <f>IFERROR(IF(OR($B1144="",$B1144="(blank)"),"",VLOOKUP($B1144,'Email Marketing Raw Data'!$C:$O,7,0)),"")</f>
        <v/>
      </c>
      <c r="P1144" s="55" t="str">
        <f>IFERROR(IF(OR($B1144="",$B1144="(blank)"),"",VLOOKUP($B1144,'Email Marketing Raw Data'!$C:$O,8,0)),"")</f>
        <v/>
      </c>
      <c r="Q1144" s="62" t="str">
        <f>IFERROR(IF(OR($B1144="",$B1144="(blank)"),"",VLOOKUP($B1144,'Email Marketing Raw Data'!$C:$O,9,0)),"")</f>
        <v/>
      </c>
    </row>
    <row r="1145" spans="4:17" ht="12.75" customHeight="1" x14ac:dyDescent="0.2">
      <c r="D1145" s="58" t="str">
        <f>IFERROR(IF(F1145&lt;&gt;"pending","",IF(OR($B1145="",$B1145="(blank)"),"",VLOOKUP($B1145,'Email Marketing Raw Data'!$C:$O,10,0))),"")</f>
        <v/>
      </c>
      <c r="E1145" s="59" t="str">
        <f>IFERROR(IF(F1145&lt;&gt;"pending","",IF(OR($B1145="",$B1145="(blank)"),"",VLOOKUP($B1145,'Email Marketing Raw Data'!$C:$O,11,0))),"")</f>
        <v/>
      </c>
      <c r="F1145" s="54" t="str">
        <f>IFERROR(IF(OR($B1145="",$B1145="(blank)"),"",VLOOKUP($B1145,'Email Marketing Raw Data'!$C:$O,13,0)),"")</f>
        <v/>
      </c>
      <c r="G1145" s="55" t="str">
        <f>IFERROR(IF(OR($B1145="",$B1145="(blank)"),"",VLOOKUP($B1145,'Email Marketing Raw Data'!$C:$O,4,0)),"")</f>
        <v/>
      </c>
      <c r="H1145" s="55" t="str">
        <f>IFERROR(IF(OR($B1145="",$B1145="(blank)"),"",VLOOKUP($B1145,'Email Marketing Raw Data'!$C:$O,5,0)),"")</f>
        <v/>
      </c>
      <c r="I1145" s="55" t="str">
        <f>IFERROR(IF($G1145="","",VLOOKUP('Dashboard And Emails Automate'!$G1145,Database!$H:$N,3,0)),"")</f>
        <v/>
      </c>
      <c r="J1145" s="55" t="str">
        <f>IFERROR(IF($G1145="","",VLOOKUP('Dashboard And Emails Automate'!$G1145,Database!$H:$N,4,0)),"")</f>
        <v/>
      </c>
      <c r="K1145" s="55" t="str">
        <f>IFERROR(IF($G1145="","",VLOOKUP('Dashboard And Emails Automate'!$G1145,Database!$H:$N,5,0)),"")</f>
        <v/>
      </c>
      <c r="L1145" s="55" t="str">
        <f>IFERROR(IF($G1145="","",VLOOKUP('Dashboard And Emails Automate'!$G1145,Database!$H:$N,6,0)),"")</f>
        <v/>
      </c>
      <c r="M1145" s="55" t="str">
        <f>IFERROR(IF($G1145="","",VLOOKUP('Dashboard And Emails Automate'!$G1145,Database!$H:$N,7,0)),"")</f>
        <v/>
      </c>
      <c r="N1145" s="55" t="str">
        <f>IFERROR(IF(OR($B1145="",$B1145="(blank)"),"",VLOOKUP($B1145,'Email Marketing Raw Data'!$C:$O,6,0)),"")</f>
        <v/>
      </c>
      <c r="O1145" s="55" t="str">
        <f>IFERROR(IF(OR($B1145="",$B1145="(blank)"),"",VLOOKUP($B1145,'Email Marketing Raw Data'!$C:$O,7,0)),"")</f>
        <v/>
      </c>
      <c r="P1145" s="55" t="str">
        <f>IFERROR(IF(OR($B1145="",$B1145="(blank)"),"",VLOOKUP($B1145,'Email Marketing Raw Data'!$C:$O,8,0)),"")</f>
        <v/>
      </c>
      <c r="Q1145" s="62" t="str">
        <f>IFERROR(IF(OR($B1145="",$B1145="(blank)"),"",VLOOKUP($B1145,'Email Marketing Raw Data'!$C:$O,9,0)),"")</f>
        <v/>
      </c>
    </row>
    <row r="1146" spans="4:17" ht="12.75" customHeight="1" x14ac:dyDescent="0.2">
      <c r="D1146" s="58" t="str">
        <f>IFERROR(IF(F1146&lt;&gt;"pending","",IF(OR($B1146="",$B1146="(blank)"),"",VLOOKUP($B1146,'Email Marketing Raw Data'!$C:$O,10,0))),"")</f>
        <v/>
      </c>
      <c r="E1146" s="59" t="str">
        <f>IFERROR(IF(F1146&lt;&gt;"pending","",IF(OR($B1146="",$B1146="(blank)"),"",VLOOKUP($B1146,'Email Marketing Raw Data'!$C:$O,11,0))),"")</f>
        <v/>
      </c>
      <c r="F1146" s="54" t="str">
        <f>IFERROR(IF(OR($B1146="",$B1146="(blank)"),"",VLOOKUP($B1146,'Email Marketing Raw Data'!$C:$O,13,0)),"")</f>
        <v/>
      </c>
      <c r="G1146" s="55" t="str">
        <f>IFERROR(IF(OR($B1146="",$B1146="(blank)"),"",VLOOKUP($B1146,'Email Marketing Raw Data'!$C:$O,4,0)),"")</f>
        <v/>
      </c>
      <c r="H1146" s="55" t="str">
        <f>IFERROR(IF(OR($B1146="",$B1146="(blank)"),"",VLOOKUP($B1146,'Email Marketing Raw Data'!$C:$O,5,0)),"")</f>
        <v/>
      </c>
      <c r="I1146" s="55" t="str">
        <f>IFERROR(IF($G1146="","",VLOOKUP('Dashboard And Emails Automate'!$G1146,Database!$H:$N,3,0)),"")</f>
        <v/>
      </c>
      <c r="J1146" s="55" t="str">
        <f>IFERROR(IF($G1146="","",VLOOKUP('Dashboard And Emails Automate'!$G1146,Database!$H:$N,4,0)),"")</f>
        <v/>
      </c>
      <c r="K1146" s="55" t="str">
        <f>IFERROR(IF($G1146="","",VLOOKUP('Dashboard And Emails Automate'!$G1146,Database!$H:$N,5,0)),"")</f>
        <v/>
      </c>
      <c r="L1146" s="55" t="str">
        <f>IFERROR(IF($G1146="","",VLOOKUP('Dashboard And Emails Automate'!$G1146,Database!$H:$N,6,0)),"")</f>
        <v/>
      </c>
      <c r="M1146" s="55" t="str">
        <f>IFERROR(IF($G1146="","",VLOOKUP('Dashboard And Emails Automate'!$G1146,Database!$H:$N,7,0)),"")</f>
        <v/>
      </c>
      <c r="N1146" s="55" t="str">
        <f>IFERROR(IF(OR($B1146="",$B1146="(blank)"),"",VLOOKUP($B1146,'Email Marketing Raw Data'!$C:$O,6,0)),"")</f>
        <v/>
      </c>
      <c r="O1146" s="55" t="str">
        <f>IFERROR(IF(OR($B1146="",$B1146="(blank)"),"",VLOOKUP($B1146,'Email Marketing Raw Data'!$C:$O,7,0)),"")</f>
        <v/>
      </c>
      <c r="P1146" s="55" t="str">
        <f>IFERROR(IF(OR($B1146="",$B1146="(blank)"),"",VLOOKUP($B1146,'Email Marketing Raw Data'!$C:$O,8,0)),"")</f>
        <v/>
      </c>
      <c r="Q1146" s="62" t="str">
        <f>IFERROR(IF(OR($B1146="",$B1146="(blank)"),"",VLOOKUP($B1146,'Email Marketing Raw Data'!$C:$O,9,0)),"")</f>
        <v/>
      </c>
    </row>
    <row r="1147" spans="4:17" ht="12.75" customHeight="1" x14ac:dyDescent="0.2">
      <c r="D1147" s="58" t="str">
        <f>IFERROR(IF(F1147&lt;&gt;"pending","",IF(OR($B1147="",$B1147="(blank)"),"",VLOOKUP($B1147,'Email Marketing Raw Data'!$C:$O,10,0))),"")</f>
        <v/>
      </c>
      <c r="E1147" s="59" t="str">
        <f>IFERROR(IF(F1147&lt;&gt;"pending","",IF(OR($B1147="",$B1147="(blank)"),"",VLOOKUP($B1147,'Email Marketing Raw Data'!$C:$O,11,0))),"")</f>
        <v/>
      </c>
      <c r="F1147" s="54" t="str">
        <f>IFERROR(IF(OR($B1147="",$B1147="(blank)"),"",VLOOKUP($B1147,'Email Marketing Raw Data'!$C:$O,13,0)),"")</f>
        <v/>
      </c>
      <c r="G1147" s="55" t="str">
        <f>IFERROR(IF(OR($B1147="",$B1147="(blank)"),"",VLOOKUP($B1147,'Email Marketing Raw Data'!$C:$O,4,0)),"")</f>
        <v/>
      </c>
      <c r="H1147" s="55" t="str">
        <f>IFERROR(IF(OR($B1147="",$B1147="(blank)"),"",VLOOKUP($B1147,'Email Marketing Raw Data'!$C:$O,5,0)),"")</f>
        <v/>
      </c>
      <c r="I1147" s="55" t="str">
        <f>IFERROR(IF($G1147="","",VLOOKUP('Dashboard And Emails Automate'!$G1147,Database!$H:$N,3,0)),"")</f>
        <v/>
      </c>
      <c r="J1147" s="55" t="str">
        <f>IFERROR(IF($G1147="","",VLOOKUP('Dashboard And Emails Automate'!$G1147,Database!$H:$N,4,0)),"")</f>
        <v/>
      </c>
      <c r="K1147" s="55" t="str">
        <f>IFERROR(IF($G1147="","",VLOOKUP('Dashboard And Emails Automate'!$G1147,Database!$H:$N,5,0)),"")</f>
        <v/>
      </c>
      <c r="L1147" s="55" t="str">
        <f>IFERROR(IF($G1147="","",VLOOKUP('Dashboard And Emails Automate'!$G1147,Database!$H:$N,6,0)),"")</f>
        <v/>
      </c>
      <c r="M1147" s="55" t="str">
        <f>IFERROR(IF($G1147="","",VLOOKUP('Dashboard And Emails Automate'!$G1147,Database!$H:$N,7,0)),"")</f>
        <v/>
      </c>
      <c r="N1147" s="55" t="str">
        <f>IFERROR(IF(OR($B1147="",$B1147="(blank)"),"",VLOOKUP($B1147,'Email Marketing Raw Data'!$C:$O,6,0)),"")</f>
        <v/>
      </c>
      <c r="O1147" s="55" t="str">
        <f>IFERROR(IF(OR($B1147="",$B1147="(blank)"),"",VLOOKUP($B1147,'Email Marketing Raw Data'!$C:$O,7,0)),"")</f>
        <v/>
      </c>
      <c r="P1147" s="55" t="str">
        <f>IFERROR(IF(OR($B1147="",$B1147="(blank)"),"",VLOOKUP($B1147,'Email Marketing Raw Data'!$C:$O,8,0)),"")</f>
        <v/>
      </c>
      <c r="Q1147" s="62" t="str">
        <f>IFERROR(IF(OR($B1147="",$B1147="(blank)"),"",VLOOKUP($B1147,'Email Marketing Raw Data'!$C:$O,9,0)),"")</f>
        <v/>
      </c>
    </row>
    <row r="1148" spans="4:17" ht="12.75" customHeight="1" x14ac:dyDescent="0.2">
      <c r="D1148" s="58" t="str">
        <f>IFERROR(IF(F1148&lt;&gt;"pending","",IF(OR($B1148="",$B1148="(blank)"),"",VLOOKUP($B1148,'Email Marketing Raw Data'!$C:$O,10,0))),"")</f>
        <v/>
      </c>
      <c r="E1148" s="59" t="str">
        <f>IFERROR(IF(F1148&lt;&gt;"pending","",IF(OR($B1148="",$B1148="(blank)"),"",VLOOKUP($B1148,'Email Marketing Raw Data'!$C:$O,11,0))),"")</f>
        <v/>
      </c>
      <c r="F1148" s="54" t="str">
        <f>IFERROR(IF(OR($B1148="",$B1148="(blank)"),"",VLOOKUP($B1148,'Email Marketing Raw Data'!$C:$O,13,0)),"")</f>
        <v/>
      </c>
      <c r="G1148" s="55" t="str">
        <f>IFERROR(IF(OR($B1148="",$B1148="(blank)"),"",VLOOKUP($B1148,'Email Marketing Raw Data'!$C:$O,4,0)),"")</f>
        <v/>
      </c>
      <c r="H1148" s="55" t="str">
        <f>IFERROR(IF(OR($B1148="",$B1148="(blank)"),"",VLOOKUP($B1148,'Email Marketing Raw Data'!$C:$O,5,0)),"")</f>
        <v/>
      </c>
      <c r="I1148" s="55" t="str">
        <f>IFERROR(IF($G1148="","",VLOOKUP('Dashboard And Emails Automate'!$G1148,Database!$H:$N,3,0)),"")</f>
        <v/>
      </c>
      <c r="J1148" s="55" t="str">
        <f>IFERROR(IF($G1148="","",VLOOKUP('Dashboard And Emails Automate'!$G1148,Database!$H:$N,4,0)),"")</f>
        <v/>
      </c>
      <c r="K1148" s="55" t="str">
        <f>IFERROR(IF($G1148="","",VLOOKUP('Dashboard And Emails Automate'!$G1148,Database!$H:$N,5,0)),"")</f>
        <v/>
      </c>
      <c r="L1148" s="55" t="str">
        <f>IFERROR(IF($G1148="","",VLOOKUP('Dashboard And Emails Automate'!$G1148,Database!$H:$N,6,0)),"")</f>
        <v/>
      </c>
      <c r="M1148" s="55" t="str">
        <f>IFERROR(IF($G1148="","",VLOOKUP('Dashboard And Emails Automate'!$G1148,Database!$H:$N,7,0)),"")</f>
        <v/>
      </c>
      <c r="N1148" s="55" t="str">
        <f>IFERROR(IF(OR($B1148="",$B1148="(blank)"),"",VLOOKUP($B1148,'Email Marketing Raw Data'!$C:$O,6,0)),"")</f>
        <v/>
      </c>
      <c r="O1148" s="55" t="str">
        <f>IFERROR(IF(OR($B1148="",$B1148="(blank)"),"",VLOOKUP($B1148,'Email Marketing Raw Data'!$C:$O,7,0)),"")</f>
        <v/>
      </c>
      <c r="P1148" s="55" t="str">
        <f>IFERROR(IF(OR($B1148="",$B1148="(blank)"),"",VLOOKUP($B1148,'Email Marketing Raw Data'!$C:$O,8,0)),"")</f>
        <v/>
      </c>
      <c r="Q1148" s="62" t="str">
        <f>IFERROR(IF(OR($B1148="",$B1148="(blank)"),"",VLOOKUP($B1148,'Email Marketing Raw Data'!$C:$O,9,0)),"")</f>
        <v/>
      </c>
    </row>
    <row r="1149" spans="4:17" ht="12.75" customHeight="1" x14ac:dyDescent="0.2">
      <c r="D1149" s="58" t="str">
        <f>IFERROR(IF(F1149&lt;&gt;"pending","",IF(OR($B1149="",$B1149="(blank)"),"",VLOOKUP($B1149,'Email Marketing Raw Data'!$C:$O,10,0))),"")</f>
        <v/>
      </c>
      <c r="E1149" s="59" t="str">
        <f>IFERROR(IF(F1149&lt;&gt;"pending","",IF(OR($B1149="",$B1149="(blank)"),"",VLOOKUP($B1149,'Email Marketing Raw Data'!$C:$O,11,0))),"")</f>
        <v/>
      </c>
      <c r="F1149" s="54" t="str">
        <f>IFERROR(IF(OR($B1149="",$B1149="(blank)"),"",VLOOKUP($B1149,'Email Marketing Raw Data'!$C:$O,13,0)),"")</f>
        <v/>
      </c>
      <c r="G1149" s="55" t="str">
        <f>IFERROR(IF(OR($B1149="",$B1149="(blank)"),"",VLOOKUP($B1149,'Email Marketing Raw Data'!$C:$O,4,0)),"")</f>
        <v/>
      </c>
      <c r="H1149" s="55" t="str">
        <f>IFERROR(IF(OR($B1149="",$B1149="(blank)"),"",VLOOKUP($B1149,'Email Marketing Raw Data'!$C:$O,5,0)),"")</f>
        <v/>
      </c>
      <c r="I1149" s="55" t="str">
        <f>IFERROR(IF($G1149="","",VLOOKUP('Dashboard And Emails Automate'!$G1149,Database!$H:$N,3,0)),"")</f>
        <v/>
      </c>
      <c r="J1149" s="55" t="str">
        <f>IFERROR(IF($G1149="","",VLOOKUP('Dashboard And Emails Automate'!$G1149,Database!$H:$N,4,0)),"")</f>
        <v/>
      </c>
      <c r="K1149" s="55" t="str">
        <f>IFERROR(IF($G1149="","",VLOOKUP('Dashboard And Emails Automate'!$G1149,Database!$H:$N,5,0)),"")</f>
        <v/>
      </c>
      <c r="L1149" s="55" t="str">
        <f>IFERROR(IF($G1149="","",VLOOKUP('Dashboard And Emails Automate'!$G1149,Database!$H:$N,6,0)),"")</f>
        <v/>
      </c>
      <c r="M1149" s="55" t="str">
        <f>IFERROR(IF($G1149="","",VLOOKUP('Dashboard And Emails Automate'!$G1149,Database!$H:$N,7,0)),"")</f>
        <v/>
      </c>
      <c r="N1149" s="55" t="str">
        <f>IFERROR(IF(OR($B1149="",$B1149="(blank)"),"",VLOOKUP($B1149,'Email Marketing Raw Data'!$C:$O,6,0)),"")</f>
        <v/>
      </c>
      <c r="O1149" s="55" t="str">
        <f>IFERROR(IF(OR($B1149="",$B1149="(blank)"),"",VLOOKUP($B1149,'Email Marketing Raw Data'!$C:$O,7,0)),"")</f>
        <v/>
      </c>
      <c r="P1149" s="55" t="str">
        <f>IFERROR(IF(OR($B1149="",$B1149="(blank)"),"",VLOOKUP($B1149,'Email Marketing Raw Data'!$C:$O,8,0)),"")</f>
        <v/>
      </c>
      <c r="Q1149" s="62" t="str">
        <f>IFERROR(IF(OR($B1149="",$B1149="(blank)"),"",VLOOKUP($B1149,'Email Marketing Raw Data'!$C:$O,9,0)),"")</f>
        <v/>
      </c>
    </row>
    <row r="1150" spans="4:17" ht="12.75" customHeight="1" x14ac:dyDescent="0.2">
      <c r="D1150" s="58" t="str">
        <f>IFERROR(IF(F1150&lt;&gt;"pending","",IF(OR($B1150="",$B1150="(blank)"),"",VLOOKUP($B1150,'Email Marketing Raw Data'!$C:$O,10,0))),"")</f>
        <v/>
      </c>
      <c r="E1150" s="59" t="str">
        <f>IFERROR(IF(F1150&lt;&gt;"pending","",IF(OR($B1150="",$B1150="(blank)"),"",VLOOKUP($B1150,'Email Marketing Raw Data'!$C:$O,11,0))),"")</f>
        <v/>
      </c>
      <c r="F1150" s="54" t="str">
        <f>IFERROR(IF(OR($B1150="",$B1150="(blank)"),"",VLOOKUP($B1150,'Email Marketing Raw Data'!$C:$O,13,0)),"")</f>
        <v/>
      </c>
      <c r="G1150" s="55" t="str">
        <f>IFERROR(IF(OR($B1150="",$B1150="(blank)"),"",VLOOKUP($B1150,'Email Marketing Raw Data'!$C:$O,4,0)),"")</f>
        <v/>
      </c>
      <c r="H1150" s="55" t="str">
        <f>IFERROR(IF(OR($B1150="",$B1150="(blank)"),"",VLOOKUP($B1150,'Email Marketing Raw Data'!$C:$O,5,0)),"")</f>
        <v/>
      </c>
      <c r="I1150" s="55" t="str">
        <f>IFERROR(IF($G1150="","",VLOOKUP('Dashboard And Emails Automate'!$G1150,Database!$H:$N,3,0)),"")</f>
        <v/>
      </c>
      <c r="J1150" s="55" t="str">
        <f>IFERROR(IF($G1150="","",VLOOKUP('Dashboard And Emails Automate'!$G1150,Database!$H:$N,4,0)),"")</f>
        <v/>
      </c>
      <c r="K1150" s="55" t="str">
        <f>IFERROR(IF($G1150="","",VLOOKUP('Dashboard And Emails Automate'!$G1150,Database!$H:$N,5,0)),"")</f>
        <v/>
      </c>
      <c r="L1150" s="55" t="str">
        <f>IFERROR(IF($G1150="","",VLOOKUP('Dashboard And Emails Automate'!$G1150,Database!$H:$N,6,0)),"")</f>
        <v/>
      </c>
      <c r="M1150" s="55" t="str">
        <f>IFERROR(IF($G1150="","",VLOOKUP('Dashboard And Emails Automate'!$G1150,Database!$H:$N,7,0)),"")</f>
        <v/>
      </c>
      <c r="N1150" s="55" t="str">
        <f>IFERROR(IF(OR($B1150="",$B1150="(blank)"),"",VLOOKUP($B1150,'Email Marketing Raw Data'!$C:$O,6,0)),"")</f>
        <v/>
      </c>
      <c r="O1150" s="55" t="str">
        <f>IFERROR(IF(OR($B1150="",$B1150="(blank)"),"",VLOOKUP($B1150,'Email Marketing Raw Data'!$C:$O,7,0)),"")</f>
        <v/>
      </c>
      <c r="P1150" s="55" t="str">
        <f>IFERROR(IF(OR($B1150="",$B1150="(blank)"),"",VLOOKUP($B1150,'Email Marketing Raw Data'!$C:$O,8,0)),"")</f>
        <v/>
      </c>
      <c r="Q1150" s="62" t="str">
        <f>IFERROR(IF(OR($B1150="",$B1150="(blank)"),"",VLOOKUP($B1150,'Email Marketing Raw Data'!$C:$O,9,0)),"")</f>
        <v/>
      </c>
    </row>
    <row r="1151" spans="4:17" ht="12.75" customHeight="1" x14ac:dyDescent="0.2">
      <c r="D1151" s="58" t="str">
        <f>IFERROR(IF(F1151&lt;&gt;"pending","",IF(OR($B1151="",$B1151="(blank)"),"",VLOOKUP($B1151,'Email Marketing Raw Data'!$C:$O,10,0))),"")</f>
        <v/>
      </c>
      <c r="E1151" s="59" t="str">
        <f>IFERROR(IF(F1151&lt;&gt;"pending","",IF(OR($B1151="",$B1151="(blank)"),"",VLOOKUP($B1151,'Email Marketing Raw Data'!$C:$O,11,0))),"")</f>
        <v/>
      </c>
      <c r="F1151" s="54" t="str">
        <f>IFERROR(IF(OR($B1151="",$B1151="(blank)"),"",VLOOKUP($B1151,'Email Marketing Raw Data'!$C:$O,13,0)),"")</f>
        <v/>
      </c>
      <c r="G1151" s="55" t="str">
        <f>IFERROR(IF(OR($B1151="",$B1151="(blank)"),"",VLOOKUP($B1151,'Email Marketing Raw Data'!$C:$O,4,0)),"")</f>
        <v/>
      </c>
      <c r="H1151" s="55" t="str">
        <f>IFERROR(IF(OR($B1151="",$B1151="(blank)"),"",VLOOKUP($B1151,'Email Marketing Raw Data'!$C:$O,5,0)),"")</f>
        <v/>
      </c>
      <c r="I1151" s="55" t="str">
        <f>IFERROR(IF($G1151="","",VLOOKUP('Dashboard And Emails Automate'!$G1151,Database!$H:$N,3,0)),"")</f>
        <v/>
      </c>
      <c r="J1151" s="55" t="str">
        <f>IFERROR(IF($G1151="","",VLOOKUP('Dashboard And Emails Automate'!$G1151,Database!$H:$N,4,0)),"")</f>
        <v/>
      </c>
      <c r="K1151" s="55" t="str">
        <f>IFERROR(IF($G1151="","",VLOOKUP('Dashboard And Emails Automate'!$G1151,Database!$H:$N,5,0)),"")</f>
        <v/>
      </c>
      <c r="L1151" s="55" t="str">
        <f>IFERROR(IF($G1151="","",VLOOKUP('Dashboard And Emails Automate'!$G1151,Database!$H:$N,6,0)),"")</f>
        <v/>
      </c>
      <c r="M1151" s="55" t="str">
        <f>IFERROR(IF($G1151="","",VLOOKUP('Dashboard And Emails Automate'!$G1151,Database!$H:$N,7,0)),"")</f>
        <v/>
      </c>
      <c r="N1151" s="55" t="str">
        <f>IFERROR(IF(OR($B1151="",$B1151="(blank)"),"",VLOOKUP($B1151,'Email Marketing Raw Data'!$C:$O,6,0)),"")</f>
        <v/>
      </c>
      <c r="O1151" s="55" t="str">
        <f>IFERROR(IF(OR($B1151="",$B1151="(blank)"),"",VLOOKUP($B1151,'Email Marketing Raw Data'!$C:$O,7,0)),"")</f>
        <v/>
      </c>
      <c r="P1151" s="55" t="str">
        <f>IFERROR(IF(OR($B1151="",$B1151="(blank)"),"",VLOOKUP($B1151,'Email Marketing Raw Data'!$C:$O,8,0)),"")</f>
        <v/>
      </c>
      <c r="Q1151" s="62" t="str">
        <f>IFERROR(IF(OR($B1151="",$B1151="(blank)"),"",VLOOKUP($B1151,'Email Marketing Raw Data'!$C:$O,9,0)),"")</f>
        <v/>
      </c>
    </row>
    <row r="1152" spans="4:17" ht="12.75" customHeight="1" x14ac:dyDescent="0.2">
      <c r="D1152" s="58" t="str">
        <f>IFERROR(IF(F1152&lt;&gt;"pending","",IF(OR($B1152="",$B1152="(blank)"),"",VLOOKUP($B1152,'Email Marketing Raw Data'!$C:$O,10,0))),"")</f>
        <v/>
      </c>
      <c r="E1152" s="59" t="str">
        <f>IFERROR(IF(F1152&lt;&gt;"pending","",IF(OR($B1152="",$B1152="(blank)"),"",VLOOKUP($B1152,'Email Marketing Raw Data'!$C:$O,11,0))),"")</f>
        <v/>
      </c>
      <c r="F1152" s="54" t="str">
        <f>IFERROR(IF(OR($B1152="",$B1152="(blank)"),"",VLOOKUP($B1152,'Email Marketing Raw Data'!$C:$O,13,0)),"")</f>
        <v/>
      </c>
      <c r="G1152" s="55" t="str">
        <f>IFERROR(IF(OR($B1152="",$B1152="(blank)"),"",VLOOKUP($B1152,'Email Marketing Raw Data'!$C:$O,4,0)),"")</f>
        <v/>
      </c>
      <c r="H1152" s="55" t="str">
        <f>IFERROR(IF(OR($B1152="",$B1152="(blank)"),"",VLOOKUP($B1152,'Email Marketing Raw Data'!$C:$O,5,0)),"")</f>
        <v/>
      </c>
      <c r="I1152" s="55" t="str">
        <f>IFERROR(IF($G1152="","",VLOOKUP('Dashboard And Emails Automate'!$G1152,Database!$H:$N,3,0)),"")</f>
        <v/>
      </c>
      <c r="J1152" s="55" t="str">
        <f>IFERROR(IF($G1152="","",VLOOKUP('Dashboard And Emails Automate'!$G1152,Database!$H:$N,4,0)),"")</f>
        <v/>
      </c>
      <c r="K1152" s="55" t="str">
        <f>IFERROR(IF($G1152="","",VLOOKUP('Dashboard And Emails Automate'!$G1152,Database!$H:$N,5,0)),"")</f>
        <v/>
      </c>
      <c r="L1152" s="55" t="str">
        <f>IFERROR(IF($G1152="","",VLOOKUP('Dashboard And Emails Automate'!$G1152,Database!$H:$N,6,0)),"")</f>
        <v/>
      </c>
      <c r="M1152" s="55" t="str">
        <f>IFERROR(IF($G1152="","",VLOOKUP('Dashboard And Emails Automate'!$G1152,Database!$H:$N,7,0)),"")</f>
        <v/>
      </c>
      <c r="N1152" s="55" t="str">
        <f>IFERROR(IF(OR($B1152="",$B1152="(blank)"),"",VLOOKUP($B1152,'Email Marketing Raw Data'!$C:$O,6,0)),"")</f>
        <v/>
      </c>
      <c r="O1152" s="55" t="str">
        <f>IFERROR(IF(OR($B1152="",$B1152="(blank)"),"",VLOOKUP($B1152,'Email Marketing Raw Data'!$C:$O,7,0)),"")</f>
        <v/>
      </c>
      <c r="P1152" s="55" t="str">
        <f>IFERROR(IF(OR($B1152="",$B1152="(blank)"),"",VLOOKUP($B1152,'Email Marketing Raw Data'!$C:$O,8,0)),"")</f>
        <v/>
      </c>
      <c r="Q1152" s="62" t="str">
        <f>IFERROR(IF(OR($B1152="",$B1152="(blank)"),"",VLOOKUP($B1152,'Email Marketing Raw Data'!$C:$O,9,0)),"")</f>
        <v/>
      </c>
    </row>
    <row r="1153" spans="4:17" ht="12.75" customHeight="1" x14ac:dyDescent="0.2">
      <c r="D1153" s="58" t="str">
        <f>IFERROR(IF(F1153&lt;&gt;"pending","",IF(OR($B1153="",$B1153="(blank)"),"",VLOOKUP($B1153,'Email Marketing Raw Data'!$C:$O,10,0))),"")</f>
        <v/>
      </c>
      <c r="E1153" s="59" t="str">
        <f>IFERROR(IF(F1153&lt;&gt;"pending","",IF(OR($B1153="",$B1153="(blank)"),"",VLOOKUP($B1153,'Email Marketing Raw Data'!$C:$O,11,0))),"")</f>
        <v/>
      </c>
      <c r="F1153" s="54" t="str">
        <f>IFERROR(IF(OR($B1153="",$B1153="(blank)"),"",VLOOKUP($B1153,'Email Marketing Raw Data'!$C:$O,13,0)),"")</f>
        <v/>
      </c>
      <c r="G1153" s="55" t="str">
        <f>IFERROR(IF(OR($B1153="",$B1153="(blank)"),"",VLOOKUP($B1153,'Email Marketing Raw Data'!$C:$O,4,0)),"")</f>
        <v/>
      </c>
      <c r="H1153" s="55" t="str">
        <f>IFERROR(IF(OR($B1153="",$B1153="(blank)"),"",VLOOKUP($B1153,'Email Marketing Raw Data'!$C:$O,5,0)),"")</f>
        <v/>
      </c>
      <c r="I1153" s="55" t="str">
        <f>IFERROR(IF($G1153="","",VLOOKUP('Dashboard And Emails Automate'!$G1153,Database!$H:$N,3,0)),"")</f>
        <v/>
      </c>
      <c r="J1153" s="55" t="str">
        <f>IFERROR(IF($G1153="","",VLOOKUP('Dashboard And Emails Automate'!$G1153,Database!$H:$N,4,0)),"")</f>
        <v/>
      </c>
      <c r="K1153" s="55" t="str">
        <f>IFERROR(IF($G1153="","",VLOOKUP('Dashboard And Emails Automate'!$G1153,Database!$H:$N,5,0)),"")</f>
        <v/>
      </c>
      <c r="L1153" s="55" t="str">
        <f>IFERROR(IF($G1153="","",VLOOKUP('Dashboard And Emails Automate'!$G1153,Database!$H:$N,6,0)),"")</f>
        <v/>
      </c>
      <c r="M1153" s="55" t="str">
        <f>IFERROR(IF($G1153="","",VLOOKUP('Dashboard And Emails Automate'!$G1153,Database!$H:$N,7,0)),"")</f>
        <v/>
      </c>
      <c r="N1153" s="55" t="str">
        <f>IFERROR(IF(OR($B1153="",$B1153="(blank)"),"",VLOOKUP($B1153,'Email Marketing Raw Data'!$C:$O,6,0)),"")</f>
        <v/>
      </c>
      <c r="O1153" s="55" t="str">
        <f>IFERROR(IF(OR($B1153="",$B1153="(blank)"),"",VLOOKUP($B1153,'Email Marketing Raw Data'!$C:$O,7,0)),"")</f>
        <v/>
      </c>
      <c r="P1153" s="55" t="str">
        <f>IFERROR(IF(OR($B1153="",$B1153="(blank)"),"",VLOOKUP($B1153,'Email Marketing Raw Data'!$C:$O,8,0)),"")</f>
        <v/>
      </c>
      <c r="Q1153" s="62" t="str">
        <f>IFERROR(IF(OR($B1153="",$B1153="(blank)"),"",VLOOKUP($B1153,'Email Marketing Raw Data'!$C:$O,9,0)),"")</f>
        <v/>
      </c>
    </row>
    <row r="1154" spans="4:17" ht="12.75" customHeight="1" x14ac:dyDescent="0.2">
      <c r="D1154" s="58" t="str">
        <f>IFERROR(IF(F1154&lt;&gt;"pending","",IF(OR($B1154="",$B1154="(blank)"),"",VLOOKUP($B1154,'Email Marketing Raw Data'!$C:$O,10,0))),"")</f>
        <v/>
      </c>
      <c r="E1154" s="59" t="str">
        <f>IFERROR(IF(F1154&lt;&gt;"pending","",IF(OR($B1154="",$B1154="(blank)"),"",VLOOKUP($B1154,'Email Marketing Raw Data'!$C:$O,11,0))),"")</f>
        <v/>
      </c>
      <c r="F1154" s="54" t="str">
        <f>IFERROR(IF(OR($B1154="",$B1154="(blank)"),"",VLOOKUP($B1154,'Email Marketing Raw Data'!$C:$O,13,0)),"")</f>
        <v/>
      </c>
      <c r="G1154" s="55" t="str">
        <f>IFERROR(IF(OR($B1154="",$B1154="(blank)"),"",VLOOKUP($B1154,'Email Marketing Raw Data'!$C:$O,4,0)),"")</f>
        <v/>
      </c>
      <c r="H1154" s="55" t="str">
        <f>IFERROR(IF(OR($B1154="",$B1154="(blank)"),"",VLOOKUP($B1154,'Email Marketing Raw Data'!$C:$O,5,0)),"")</f>
        <v/>
      </c>
      <c r="I1154" s="55" t="str">
        <f>IFERROR(IF($G1154="","",VLOOKUP('Dashboard And Emails Automate'!$G1154,Database!$H:$N,3,0)),"")</f>
        <v/>
      </c>
      <c r="J1154" s="55" t="str">
        <f>IFERROR(IF($G1154="","",VLOOKUP('Dashboard And Emails Automate'!$G1154,Database!$H:$N,4,0)),"")</f>
        <v/>
      </c>
      <c r="K1154" s="55" t="str">
        <f>IFERROR(IF($G1154="","",VLOOKUP('Dashboard And Emails Automate'!$G1154,Database!$H:$N,5,0)),"")</f>
        <v/>
      </c>
      <c r="L1154" s="55" t="str">
        <f>IFERROR(IF($G1154="","",VLOOKUP('Dashboard And Emails Automate'!$G1154,Database!$H:$N,6,0)),"")</f>
        <v/>
      </c>
      <c r="M1154" s="55" t="str">
        <f>IFERROR(IF($G1154="","",VLOOKUP('Dashboard And Emails Automate'!$G1154,Database!$H:$N,7,0)),"")</f>
        <v/>
      </c>
      <c r="N1154" s="55" t="str">
        <f>IFERROR(IF(OR($B1154="",$B1154="(blank)"),"",VLOOKUP($B1154,'Email Marketing Raw Data'!$C:$O,6,0)),"")</f>
        <v/>
      </c>
      <c r="O1154" s="55" t="str">
        <f>IFERROR(IF(OR($B1154="",$B1154="(blank)"),"",VLOOKUP($B1154,'Email Marketing Raw Data'!$C:$O,7,0)),"")</f>
        <v/>
      </c>
      <c r="P1154" s="55" t="str">
        <f>IFERROR(IF(OR($B1154="",$B1154="(blank)"),"",VLOOKUP($B1154,'Email Marketing Raw Data'!$C:$O,8,0)),"")</f>
        <v/>
      </c>
      <c r="Q1154" s="62" t="str">
        <f>IFERROR(IF(OR($B1154="",$B1154="(blank)"),"",VLOOKUP($B1154,'Email Marketing Raw Data'!$C:$O,9,0)),"")</f>
        <v/>
      </c>
    </row>
    <row r="1155" spans="4:17" ht="12.75" customHeight="1" x14ac:dyDescent="0.2">
      <c r="D1155" s="58" t="str">
        <f>IFERROR(IF(F1155&lt;&gt;"pending","",IF(OR($B1155="",$B1155="(blank)"),"",VLOOKUP($B1155,'Email Marketing Raw Data'!$C:$O,10,0))),"")</f>
        <v/>
      </c>
      <c r="E1155" s="59" t="str">
        <f>IFERROR(IF(F1155&lt;&gt;"pending","",IF(OR($B1155="",$B1155="(blank)"),"",VLOOKUP($B1155,'Email Marketing Raw Data'!$C:$O,11,0))),"")</f>
        <v/>
      </c>
      <c r="F1155" s="54" t="str">
        <f>IFERROR(IF(OR($B1155="",$B1155="(blank)"),"",VLOOKUP($B1155,'Email Marketing Raw Data'!$C:$O,13,0)),"")</f>
        <v/>
      </c>
      <c r="G1155" s="55" t="str">
        <f>IFERROR(IF(OR($B1155="",$B1155="(blank)"),"",VLOOKUP($B1155,'Email Marketing Raw Data'!$C:$O,4,0)),"")</f>
        <v/>
      </c>
      <c r="H1155" s="55" t="str">
        <f>IFERROR(IF(OR($B1155="",$B1155="(blank)"),"",VLOOKUP($B1155,'Email Marketing Raw Data'!$C:$O,5,0)),"")</f>
        <v/>
      </c>
      <c r="I1155" s="55" t="str">
        <f>IFERROR(IF($G1155="","",VLOOKUP('Dashboard And Emails Automate'!$G1155,Database!$H:$N,3,0)),"")</f>
        <v/>
      </c>
      <c r="J1155" s="55" t="str">
        <f>IFERROR(IF($G1155="","",VLOOKUP('Dashboard And Emails Automate'!$G1155,Database!$H:$N,4,0)),"")</f>
        <v/>
      </c>
      <c r="K1155" s="55" t="str">
        <f>IFERROR(IF($G1155="","",VLOOKUP('Dashboard And Emails Automate'!$G1155,Database!$H:$N,5,0)),"")</f>
        <v/>
      </c>
      <c r="L1155" s="55" t="str">
        <f>IFERROR(IF($G1155="","",VLOOKUP('Dashboard And Emails Automate'!$G1155,Database!$H:$N,6,0)),"")</f>
        <v/>
      </c>
      <c r="M1155" s="55" t="str">
        <f>IFERROR(IF($G1155="","",VLOOKUP('Dashboard And Emails Automate'!$G1155,Database!$H:$N,7,0)),"")</f>
        <v/>
      </c>
      <c r="N1155" s="55" t="str">
        <f>IFERROR(IF(OR($B1155="",$B1155="(blank)"),"",VLOOKUP($B1155,'Email Marketing Raw Data'!$C:$O,6,0)),"")</f>
        <v/>
      </c>
      <c r="O1155" s="55" t="str">
        <f>IFERROR(IF(OR($B1155="",$B1155="(blank)"),"",VLOOKUP($B1155,'Email Marketing Raw Data'!$C:$O,7,0)),"")</f>
        <v/>
      </c>
      <c r="P1155" s="55" t="str">
        <f>IFERROR(IF(OR($B1155="",$B1155="(blank)"),"",VLOOKUP($B1155,'Email Marketing Raw Data'!$C:$O,8,0)),"")</f>
        <v/>
      </c>
      <c r="Q1155" s="62" t="str">
        <f>IFERROR(IF(OR($B1155="",$B1155="(blank)"),"",VLOOKUP($B1155,'Email Marketing Raw Data'!$C:$O,9,0)),"")</f>
        <v/>
      </c>
    </row>
    <row r="1156" spans="4:17" ht="12.75" customHeight="1" x14ac:dyDescent="0.2">
      <c r="D1156" s="58" t="str">
        <f>IFERROR(IF(F1156&lt;&gt;"pending","",IF(OR($B1156="",$B1156="(blank)"),"",VLOOKUP($B1156,'Email Marketing Raw Data'!$C:$O,10,0))),"")</f>
        <v/>
      </c>
      <c r="E1156" s="59" t="str">
        <f>IFERROR(IF(F1156&lt;&gt;"pending","",IF(OR($B1156="",$B1156="(blank)"),"",VLOOKUP($B1156,'Email Marketing Raw Data'!$C:$O,11,0))),"")</f>
        <v/>
      </c>
      <c r="F1156" s="54" t="str">
        <f>IFERROR(IF(OR($B1156="",$B1156="(blank)"),"",VLOOKUP($B1156,'Email Marketing Raw Data'!$C:$O,13,0)),"")</f>
        <v/>
      </c>
      <c r="G1156" s="55" t="str">
        <f>IFERROR(IF(OR($B1156="",$B1156="(blank)"),"",VLOOKUP($B1156,'Email Marketing Raw Data'!$C:$O,4,0)),"")</f>
        <v/>
      </c>
      <c r="H1156" s="55" t="str">
        <f>IFERROR(IF(OR($B1156="",$B1156="(blank)"),"",VLOOKUP($B1156,'Email Marketing Raw Data'!$C:$O,5,0)),"")</f>
        <v/>
      </c>
      <c r="I1156" s="55" t="str">
        <f>IFERROR(IF($G1156="","",VLOOKUP('Dashboard And Emails Automate'!$G1156,Database!$H:$N,3,0)),"")</f>
        <v/>
      </c>
      <c r="J1156" s="55" t="str">
        <f>IFERROR(IF($G1156="","",VLOOKUP('Dashboard And Emails Automate'!$G1156,Database!$H:$N,4,0)),"")</f>
        <v/>
      </c>
      <c r="K1156" s="55" t="str">
        <f>IFERROR(IF($G1156="","",VLOOKUP('Dashboard And Emails Automate'!$G1156,Database!$H:$N,5,0)),"")</f>
        <v/>
      </c>
      <c r="L1156" s="55" t="str">
        <f>IFERROR(IF($G1156="","",VLOOKUP('Dashboard And Emails Automate'!$G1156,Database!$H:$N,6,0)),"")</f>
        <v/>
      </c>
      <c r="M1156" s="55" t="str">
        <f>IFERROR(IF($G1156="","",VLOOKUP('Dashboard And Emails Automate'!$G1156,Database!$H:$N,7,0)),"")</f>
        <v/>
      </c>
      <c r="N1156" s="55" t="str">
        <f>IFERROR(IF(OR($B1156="",$B1156="(blank)"),"",VLOOKUP($B1156,'Email Marketing Raw Data'!$C:$O,6,0)),"")</f>
        <v/>
      </c>
      <c r="O1156" s="55" t="str">
        <f>IFERROR(IF(OR($B1156="",$B1156="(blank)"),"",VLOOKUP($B1156,'Email Marketing Raw Data'!$C:$O,7,0)),"")</f>
        <v/>
      </c>
      <c r="P1156" s="55" t="str">
        <f>IFERROR(IF(OR($B1156="",$B1156="(blank)"),"",VLOOKUP($B1156,'Email Marketing Raw Data'!$C:$O,8,0)),"")</f>
        <v/>
      </c>
      <c r="Q1156" s="62" t="str">
        <f>IFERROR(IF(OR($B1156="",$B1156="(blank)"),"",VLOOKUP($B1156,'Email Marketing Raw Data'!$C:$O,9,0)),"")</f>
        <v/>
      </c>
    </row>
    <row r="1157" spans="4:17" ht="12.75" customHeight="1" x14ac:dyDescent="0.2">
      <c r="D1157" s="58" t="str">
        <f>IFERROR(IF(F1157&lt;&gt;"pending","",IF(OR($B1157="",$B1157="(blank)"),"",VLOOKUP($B1157,'Email Marketing Raw Data'!$C:$O,10,0))),"")</f>
        <v/>
      </c>
      <c r="E1157" s="59" t="str">
        <f>IFERROR(IF(F1157&lt;&gt;"pending","",IF(OR($B1157="",$B1157="(blank)"),"",VLOOKUP($B1157,'Email Marketing Raw Data'!$C:$O,11,0))),"")</f>
        <v/>
      </c>
      <c r="F1157" s="54" t="str">
        <f>IFERROR(IF(OR($B1157="",$B1157="(blank)"),"",VLOOKUP($B1157,'Email Marketing Raw Data'!$C:$O,13,0)),"")</f>
        <v/>
      </c>
      <c r="G1157" s="55" t="str">
        <f>IFERROR(IF(OR($B1157="",$B1157="(blank)"),"",VLOOKUP($B1157,'Email Marketing Raw Data'!$C:$O,4,0)),"")</f>
        <v/>
      </c>
      <c r="H1157" s="55" t="str">
        <f>IFERROR(IF(OR($B1157="",$B1157="(blank)"),"",VLOOKUP($B1157,'Email Marketing Raw Data'!$C:$O,5,0)),"")</f>
        <v/>
      </c>
      <c r="I1157" s="55" t="str">
        <f>IFERROR(IF($G1157="","",VLOOKUP('Dashboard And Emails Automate'!$G1157,Database!$H:$N,3,0)),"")</f>
        <v/>
      </c>
      <c r="J1157" s="55" t="str">
        <f>IFERROR(IF($G1157="","",VLOOKUP('Dashboard And Emails Automate'!$G1157,Database!$H:$N,4,0)),"")</f>
        <v/>
      </c>
      <c r="K1157" s="55" t="str">
        <f>IFERROR(IF($G1157="","",VLOOKUP('Dashboard And Emails Automate'!$G1157,Database!$H:$N,5,0)),"")</f>
        <v/>
      </c>
      <c r="L1157" s="55" t="str">
        <f>IFERROR(IF($G1157="","",VLOOKUP('Dashboard And Emails Automate'!$G1157,Database!$H:$N,6,0)),"")</f>
        <v/>
      </c>
      <c r="M1157" s="55" t="str">
        <f>IFERROR(IF($G1157="","",VLOOKUP('Dashboard And Emails Automate'!$G1157,Database!$H:$N,7,0)),"")</f>
        <v/>
      </c>
      <c r="N1157" s="55" t="str">
        <f>IFERROR(IF(OR($B1157="",$B1157="(blank)"),"",VLOOKUP($B1157,'Email Marketing Raw Data'!$C:$O,6,0)),"")</f>
        <v/>
      </c>
      <c r="O1157" s="55" t="str">
        <f>IFERROR(IF(OR($B1157="",$B1157="(blank)"),"",VLOOKUP($B1157,'Email Marketing Raw Data'!$C:$O,7,0)),"")</f>
        <v/>
      </c>
      <c r="P1157" s="55" t="str">
        <f>IFERROR(IF(OR($B1157="",$B1157="(blank)"),"",VLOOKUP($B1157,'Email Marketing Raw Data'!$C:$O,8,0)),"")</f>
        <v/>
      </c>
      <c r="Q1157" s="62" t="str">
        <f>IFERROR(IF(OR($B1157="",$B1157="(blank)"),"",VLOOKUP($B1157,'Email Marketing Raw Data'!$C:$O,9,0)),"")</f>
        <v/>
      </c>
    </row>
    <row r="1158" spans="4:17" ht="12.75" customHeight="1" x14ac:dyDescent="0.2">
      <c r="D1158" s="58" t="str">
        <f>IFERROR(IF(F1158&lt;&gt;"pending","",IF(OR($B1158="",$B1158="(blank)"),"",VLOOKUP($B1158,'Email Marketing Raw Data'!$C:$O,10,0))),"")</f>
        <v/>
      </c>
      <c r="E1158" s="59" t="str">
        <f>IFERROR(IF(F1158&lt;&gt;"pending","",IF(OR($B1158="",$B1158="(blank)"),"",VLOOKUP($B1158,'Email Marketing Raw Data'!$C:$O,11,0))),"")</f>
        <v/>
      </c>
      <c r="F1158" s="54" t="str">
        <f>IFERROR(IF(OR($B1158="",$B1158="(blank)"),"",VLOOKUP($B1158,'Email Marketing Raw Data'!$C:$O,13,0)),"")</f>
        <v/>
      </c>
      <c r="G1158" s="55" t="str">
        <f>IFERROR(IF(OR($B1158="",$B1158="(blank)"),"",VLOOKUP($B1158,'Email Marketing Raw Data'!$C:$O,4,0)),"")</f>
        <v/>
      </c>
      <c r="H1158" s="55" t="str">
        <f>IFERROR(IF(OR($B1158="",$B1158="(blank)"),"",VLOOKUP($B1158,'Email Marketing Raw Data'!$C:$O,5,0)),"")</f>
        <v/>
      </c>
      <c r="I1158" s="55" t="str">
        <f>IFERROR(IF($G1158="","",VLOOKUP('Dashboard And Emails Automate'!$G1158,Database!$H:$N,3,0)),"")</f>
        <v/>
      </c>
      <c r="J1158" s="55" t="str">
        <f>IFERROR(IF($G1158="","",VLOOKUP('Dashboard And Emails Automate'!$G1158,Database!$H:$N,4,0)),"")</f>
        <v/>
      </c>
      <c r="K1158" s="55" t="str">
        <f>IFERROR(IF($G1158="","",VLOOKUP('Dashboard And Emails Automate'!$G1158,Database!$H:$N,5,0)),"")</f>
        <v/>
      </c>
      <c r="L1158" s="55" t="str">
        <f>IFERROR(IF($G1158="","",VLOOKUP('Dashboard And Emails Automate'!$G1158,Database!$H:$N,6,0)),"")</f>
        <v/>
      </c>
      <c r="M1158" s="55" t="str">
        <f>IFERROR(IF($G1158="","",VLOOKUP('Dashboard And Emails Automate'!$G1158,Database!$H:$N,7,0)),"")</f>
        <v/>
      </c>
      <c r="N1158" s="55" t="str">
        <f>IFERROR(IF(OR($B1158="",$B1158="(blank)"),"",VLOOKUP($B1158,'Email Marketing Raw Data'!$C:$O,6,0)),"")</f>
        <v/>
      </c>
      <c r="O1158" s="55" t="str">
        <f>IFERROR(IF(OR($B1158="",$B1158="(blank)"),"",VLOOKUP($B1158,'Email Marketing Raw Data'!$C:$O,7,0)),"")</f>
        <v/>
      </c>
      <c r="P1158" s="55" t="str">
        <f>IFERROR(IF(OR($B1158="",$B1158="(blank)"),"",VLOOKUP($B1158,'Email Marketing Raw Data'!$C:$O,8,0)),"")</f>
        <v/>
      </c>
      <c r="Q1158" s="62" t="str">
        <f>IFERROR(IF(OR($B1158="",$B1158="(blank)"),"",VLOOKUP($B1158,'Email Marketing Raw Data'!$C:$O,9,0)),"")</f>
        <v/>
      </c>
    </row>
    <row r="1159" spans="4:17" ht="12.75" customHeight="1" x14ac:dyDescent="0.2">
      <c r="D1159" s="58" t="str">
        <f>IFERROR(IF(F1159&lt;&gt;"pending","",IF(OR($B1159="",$B1159="(blank)"),"",VLOOKUP($B1159,'Email Marketing Raw Data'!$C:$O,10,0))),"")</f>
        <v/>
      </c>
      <c r="E1159" s="59" t="str">
        <f>IFERROR(IF(F1159&lt;&gt;"pending","",IF(OR($B1159="",$B1159="(blank)"),"",VLOOKUP($B1159,'Email Marketing Raw Data'!$C:$O,11,0))),"")</f>
        <v/>
      </c>
      <c r="F1159" s="54" t="str">
        <f>IFERROR(IF(OR($B1159="",$B1159="(blank)"),"",VLOOKUP($B1159,'Email Marketing Raw Data'!$C:$O,13,0)),"")</f>
        <v/>
      </c>
      <c r="G1159" s="55" t="str">
        <f>IFERROR(IF(OR($B1159="",$B1159="(blank)"),"",VLOOKUP($B1159,'Email Marketing Raw Data'!$C:$O,4,0)),"")</f>
        <v/>
      </c>
      <c r="H1159" s="55" t="str">
        <f>IFERROR(IF(OR($B1159="",$B1159="(blank)"),"",VLOOKUP($B1159,'Email Marketing Raw Data'!$C:$O,5,0)),"")</f>
        <v/>
      </c>
      <c r="I1159" s="55" t="str">
        <f>IFERROR(IF($G1159="","",VLOOKUP('Dashboard And Emails Automate'!$G1159,Database!$H:$N,3,0)),"")</f>
        <v/>
      </c>
      <c r="J1159" s="55" t="str">
        <f>IFERROR(IF($G1159="","",VLOOKUP('Dashboard And Emails Automate'!$G1159,Database!$H:$N,4,0)),"")</f>
        <v/>
      </c>
      <c r="K1159" s="55" t="str">
        <f>IFERROR(IF($G1159="","",VLOOKUP('Dashboard And Emails Automate'!$G1159,Database!$H:$N,5,0)),"")</f>
        <v/>
      </c>
      <c r="L1159" s="55" t="str">
        <f>IFERROR(IF($G1159="","",VLOOKUP('Dashboard And Emails Automate'!$G1159,Database!$H:$N,6,0)),"")</f>
        <v/>
      </c>
      <c r="M1159" s="55" t="str">
        <f>IFERROR(IF($G1159="","",VLOOKUP('Dashboard And Emails Automate'!$G1159,Database!$H:$N,7,0)),"")</f>
        <v/>
      </c>
      <c r="N1159" s="55" t="str">
        <f>IFERROR(IF(OR($B1159="",$B1159="(blank)"),"",VLOOKUP($B1159,'Email Marketing Raw Data'!$C:$O,6,0)),"")</f>
        <v/>
      </c>
      <c r="O1159" s="55" t="str">
        <f>IFERROR(IF(OR($B1159="",$B1159="(blank)"),"",VLOOKUP($B1159,'Email Marketing Raw Data'!$C:$O,7,0)),"")</f>
        <v/>
      </c>
      <c r="P1159" s="55" t="str">
        <f>IFERROR(IF(OR($B1159="",$B1159="(blank)"),"",VLOOKUP($B1159,'Email Marketing Raw Data'!$C:$O,8,0)),"")</f>
        <v/>
      </c>
      <c r="Q1159" s="62" t="str">
        <f>IFERROR(IF(OR($B1159="",$B1159="(blank)"),"",VLOOKUP($B1159,'Email Marketing Raw Data'!$C:$O,9,0)),"")</f>
        <v/>
      </c>
    </row>
    <row r="1160" spans="4:17" ht="12.75" customHeight="1" x14ac:dyDescent="0.2">
      <c r="D1160" s="58" t="str">
        <f>IFERROR(IF(F1160&lt;&gt;"pending","",IF(OR($B1160="",$B1160="(blank)"),"",VLOOKUP($B1160,'Email Marketing Raw Data'!$C:$O,10,0))),"")</f>
        <v/>
      </c>
      <c r="E1160" s="59" t="str">
        <f>IFERROR(IF(F1160&lt;&gt;"pending","",IF(OR($B1160="",$B1160="(blank)"),"",VLOOKUP($B1160,'Email Marketing Raw Data'!$C:$O,11,0))),"")</f>
        <v/>
      </c>
      <c r="F1160" s="54" t="str">
        <f>IFERROR(IF(OR($B1160="",$B1160="(blank)"),"",VLOOKUP($B1160,'Email Marketing Raw Data'!$C:$O,13,0)),"")</f>
        <v/>
      </c>
      <c r="G1160" s="55" t="str">
        <f>IFERROR(IF(OR($B1160="",$B1160="(blank)"),"",VLOOKUP($B1160,'Email Marketing Raw Data'!$C:$O,4,0)),"")</f>
        <v/>
      </c>
      <c r="H1160" s="55" t="str">
        <f>IFERROR(IF(OR($B1160="",$B1160="(blank)"),"",VLOOKUP($B1160,'Email Marketing Raw Data'!$C:$O,5,0)),"")</f>
        <v/>
      </c>
      <c r="I1160" s="55" t="str">
        <f>IFERROR(IF($G1160="","",VLOOKUP('Dashboard And Emails Automate'!$G1160,Database!$H:$N,3,0)),"")</f>
        <v/>
      </c>
      <c r="J1160" s="55" t="str">
        <f>IFERROR(IF($G1160="","",VLOOKUP('Dashboard And Emails Automate'!$G1160,Database!$H:$N,4,0)),"")</f>
        <v/>
      </c>
      <c r="K1160" s="55" t="str">
        <f>IFERROR(IF($G1160="","",VLOOKUP('Dashboard And Emails Automate'!$G1160,Database!$H:$N,5,0)),"")</f>
        <v/>
      </c>
      <c r="L1160" s="55" t="str">
        <f>IFERROR(IF($G1160="","",VLOOKUP('Dashboard And Emails Automate'!$G1160,Database!$H:$N,6,0)),"")</f>
        <v/>
      </c>
      <c r="M1160" s="55" t="str">
        <f>IFERROR(IF($G1160="","",VLOOKUP('Dashboard And Emails Automate'!$G1160,Database!$H:$N,7,0)),"")</f>
        <v/>
      </c>
      <c r="N1160" s="55" t="str">
        <f>IFERROR(IF(OR($B1160="",$B1160="(blank)"),"",VLOOKUP($B1160,'Email Marketing Raw Data'!$C:$O,6,0)),"")</f>
        <v/>
      </c>
      <c r="O1160" s="55" t="str">
        <f>IFERROR(IF(OR($B1160="",$B1160="(blank)"),"",VLOOKUP($B1160,'Email Marketing Raw Data'!$C:$O,7,0)),"")</f>
        <v/>
      </c>
      <c r="P1160" s="55" t="str">
        <f>IFERROR(IF(OR($B1160="",$B1160="(blank)"),"",VLOOKUP($B1160,'Email Marketing Raw Data'!$C:$O,8,0)),"")</f>
        <v/>
      </c>
      <c r="Q1160" s="62" t="str">
        <f>IFERROR(IF(OR($B1160="",$B1160="(blank)"),"",VLOOKUP($B1160,'Email Marketing Raw Data'!$C:$O,9,0)),"")</f>
        <v/>
      </c>
    </row>
    <row r="1161" spans="4:17" ht="12.75" customHeight="1" x14ac:dyDescent="0.2">
      <c r="D1161" s="58" t="str">
        <f>IFERROR(IF(F1161&lt;&gt;"pending","",IF(OR($B1161="",$B1161="(blank)"),"",VLOOKUP($B1161,'Email Marketing Raw Data'!$C:$O,10,0))),"")</f>
        <v/>
      </c>
      <c r="E1161" s="59" t="str">
        <f>IFERROR(IF(F1161&lt;&gt;"pending","",IF(OR($B1161="",$B1161="(blank)"),"",VLOOKUP($B1161,'Email Marketing Raw Data'!$C:$O,11,0))),"")</f>
        <v/>
      </c>
      <c r="F1161" s="54" t="str">
        <f>IFERROR(IF(OR($B1161="",$B1161="(blank)"),"",VLOOKUP($B1161,'Email Marketing Raw Data'!$C:$O,13,0)),"")</f>
        <v/>
      </c>
      <c r="G1161" s="55" t="str">
        <f>IFERROR(IF(OR($B1161="",$B1161="(blank)"),"",VLOOKUP($B1161,'Email Marketing Raw Data'!$C:$O,4,0)),"")</f>
        <v/>
      </c>
      <c r="H1161" s="55" t="str">
        <f>IFERROR(IF(OR($B1161="",$B1161="(blank)"),"",VLOOKUP($B1161,'Email Marketing Raw Data'!$C:$O,5,0)),"")</f>
        <v/>
      </c>
      <c r="I1161" s="55" t="str">
        <f>IFERROR(IF($G1161="","",VLOOKUP('Dashboard And Emails Automate'!$G1161,Database!$H:$N,3,0)),"")</f>
        <v/>
      </c>
      <c r="J1161" s="55" t="str">
        <f>IFERROR(IF($G1161="","",VLOOKUP('Dashboard And Emails Automate'!$G1161,Database!$H:$N,4,0)),"")</f>
        <v/>
      </c>
      <c r="K1161" s="55" t="str">
        <f>IFERROR(IF($G1161="","",VLOOKUP('Dashboard And Emails Automate'!$G1161,Database!$H:$N,5,0)),"")</f>
        <v/>
      </c>
      <c r="L1161" s="55" t="str">
        <f>IFERROR(IF($G1161="","",VLOOKUP('Dashboard And Emails Automate'!$G1161,Database!$H:$N,6,0)),"")</f>
        <v/>
      </c>
      <c r="M1161" s="55" t="str">
        <f>IFERROR(IF($G1161="","",VLOOKUP('Dashboard And Emails Automate'!$G1161,Database!$H:$N,7,0)),"")</f>
        <v/>
      </c>
      <c r="N1161" s="55" t="str">
        <f>IFERROR(IF(OR($B1161="",$B1161="(blank)"),"",VLOOKUP($B1161,'Email Marketing Raw Data'!$C:$O,6,0)),"")</f>
        <v/>
      </c>
      <c r="O1161" s="55" t="str">
        <f>IFERROR(IF(OR($B1161="",$B1161="(blank)"),"",VLOOKUP($B1161,'Email Marketing Raw Data'!$C:$O,7,0)),"")</f>
        <v/>
      </c>
      <c r="P1161" s="55" t="str">
        <f>IFERROR(IF(OR($B1161="",$B1161="(blank)"),"",VLOOKUP($B1161,'Email Marketing Raw Data'!$C:$O,8,0)),"")</f>
        <v/>
      </c>
      <c r="Q1161" s="62" t="str">
        <f>IFERROR(IF(OR($B1161="",$B1161="(blank)"),"",VLOOKUP($B1161,'Email Marketing Raw Data'!$C:$O,9,0)),"")</f>
        <v/>
      </c>
    </row>
    <row r="1162" spans="4:17" ht="12.75" customHeight="1" x14ac:dyDescent="0.2">
      <c r="D1162" s="58" t="str">
        <f>IFERROR(IF(F1162&lt;&gt;"pending","",IF(OR($B1162="",$B1162="(blank)"),"",VLOOKUP($B1162,'Email Marketing Raw Data'!$C:$O,10,0))),"")</f>
        <v/>
      </c>
      <c r="E1162" s="59" t="str">
        <f>IFERROR(IF(F1162&lt;&gt;"pending","",IF(OR($B1162="",$B1162="(blank)"),"",VLOOKUP($B1162,'Email Marketing Raw Data'!$C:$O,11,0))),"")</f>
        <v/>
      </c>
      <c r="F1162" s="54" t="str">
        <f>IFERROR(IF(OR($B1162="",$B1162="(blank)"),"",VLOOKUP($B1162,'Email Marketing Raw Data'!$C:$O,13,0)),"")</f>
        <v/>
      </c>
      <c r="G1162" s="55" t="str">
        <f>IFERROR(IF(OR($B1162="",$B1162="(blank)"),"",VLOOKUP($B1162,'Email Marketing Raw Data'!$C:$O,4,0)),"")</f>
        <v/>
      </c>
      <c r="H1162" s="55" t="str">
        <f>IFERROR(IF(OR($B1162="",$B1162="(blank)"),"",VLOOKUP($B1162,'Email Marketing Raw Data'!$C:$O,5,0)),"")</f>
        <v/>
      </c>
      <c r="I1162" s="55" t="str">
        <f>IFERROR(IF($G1162="","",VLOOKUP('Dashboard And Emails Automate'!$G1162,Database!$H:$N,3,0)),"")</f>
        <v/>
      </c>
      <c r="J1162" s="55" t="str">
        <f>IFERROR(IF($G1162="","",VLOOKUP('Dashboard And Emails Automate'!$G1162,Database!$H:$N,4,0)),"")</f>
        <v/>
      </c>
      <c r="K1162" s="55" t="str">
        <f>IFERROR(IF($G1162="","",VLOOKUP('Dashboard And Emails Automate'!$G1162,Database!$H:$N,5,0)),"")</f>
        <v/>
      </c>
      <c r="L1162" s="55" t="str">
        <f>IFERROR(IF($G1162="","",VLOOKUP('Dashboard And Emails Automate'!$G1162,Database!$H:$N,6,0)),"")</f>
        <v/>
      </c>
      <c r="M1162" s="55" t="str">
        <f>IFERROR(IF($G1162="","",VLOOKUP('Dashboard And Emails Automate'!$G1162,Database!$H:$N,7,0)),"")</f>
        <v/>
      </c>
      <c r="N1162" s="55" t="str">
        <f>IFERROR(IF(OR($B1162="",$B1162="(blank)"),"",VLOOKUP($B1162,'Email Marketing Raw Data'!$C:$O,6,0)),"")</f>
        <v/>
      </c>
      <c r="O1162" s="55" t="str">
        <f>IFERROR(IF(OR($B1162="",$B1162="(blank)"),"",VLOOKUP($B1162,'Email Marketing Raw Data'!$C:$O,7,0)),"")</f>
        <v/>
      </c>
      <c r="P1162" s="55" t="str">
        <f>IFERROR(IF(OR($B1162="",$B1162="(blank)"),"",VLOOKUP($B1162,'Email Marketing Raw Data'!$C:$O,8,0)),"")</f>
        <v/>
      </c>
      <c r="Q1162" s="62" t="str">
        <f>IFERROR(IF(OR($B1162="",$B1162="(blank)"),"",VLOOKUP($B1162,'Email Marketing Raw Data'!$C:$O,9,0)),"")</f>
        <v/>
      </c>
    </row>
    <row r="1163" spans="4:17" ht="12.75" customHeight="1" x14ac:dyDescent="0.2">
      <c r="D1163" s="58" t="str">
        <f>IFERROR(IF(F1163&lt;&gt;"pending","",IF(OR($B1163="",$B1163="(blank)"),"",VLOOKUP($B1163,'Email Marketing Raw Data'!$C:$O,10,0))),"")</f>
        <v/>
      </c>
      <c r="E1163" s="59" t="str">
        <f>IFERROR(IF(F1163&lt;&gt;"pending","",IF(OR($B1163="",$B1163="(blank)"),"",VLOOKUP($B1163,'Email Marketing Raw Data'!$C:$O,11,0))),"")</f>
        <v/>
      </c>
      <c r="F1163" s="54" t="str">
        <f>IFERROR(IF(OR($B1163="",$B1163="(blank)"),"",VLOOKUP($B1163,'Email Marketing Raw Data'!$C:$O,13,0)),"")</f>
        <v/>
      </c>
      <c r="G1163" s="55" t="str">
        <f>IFERROR(IF(OR($B1163="",$B1163="(blank)"),"",VLOOKUP($B1163,'Email Marketing Raw Data'!$C:$O,4,0)),"")</f>
        <v/>
      </c>
      <c r="H1163" s="55" t="str">
        <f>IFERROR(IF(OR($B1163="",$B1163="(blank)"),"",VLOOKUP($B1163,'Email Marketing Raw Data'!$C:$O,5,0)),"")</f>
        <v/>
      </c>
      <c r="I1163" s="55" t="str">
        <f>IFERROR(IF($G1163="","",VLOOKUP('Dashboard And Emails Automate'!$G1163,Database!$H:$N,3,0)),"")</f>
        <v/>
      </c>
      <c r="J1163" s="55" t="str">
        <f>IFERROR(IF($G1163="","",VLOOKUP('Dashboard And Emails Automate'!$G1163,Database!$H:$N,4,0)),"")</f>
        <v/>
      </c>
      <c r="K1163" s="55" t="str">
        <f>IFERROR(IF($G1163="","",VLOOKUP('Dashboard And Emails Automate'!$G1163,Database!$H:$N,5,0)),"")</f>
        <v/>
      </c>
      <c r="L1163" s="55" t="str">
        <f>IFERROR(IF($G1163="","",VLOOKUP('Dashboard And Emails Automate'!$G1163,Database!$H:$N,6,0)),"")</f>
        <v/>
      </c>
      <c r="M1163" s="55" t="str">
        <f>IFERROR(IF($G1163="","",VLOOKUP('Dashboard And Emails Automate'!$G1163,Database!$H:$N,7,0)),"")</f>
        <v/>
      </c>
      <c r="N1163" s="55" t="str">
        <f>IFERROR(IF(OR($B1163="",$B1163="(blank)"),"",VLOOKUP($B1163,'Email Marketing Raw Data'!$C:$O,6,0)),"")</f>
        <v/>
      </c>
      <c r="O1163" s="55" t="str">
        <f>IFERROR(IF(OR($B1163="",$B1163="(blank)"),"",VLOOKUP($B1163,'Email Marketing Raw Data'!$C:$O,7,0)),"")</f>
        <v/>
      </c>
      <c r="P1163" s="55" t="str">
        <f>IFERROR(IF(OR($B1163="",$B1163="(blank)"),"",VLOOKUP($B1163,'Email Marketing Raw Data'!$C:$O,8,0)),"")</f>
        <v/>
      </c>
      <c r="Q1163" s="62" t="str">
        <f>IFERROR(IF(OR($B1163="",$B1163="(blank)"),"",VLOOKUP($B1163,'Email Marketing Raw Data'!$C:$O,9,0)),"")</f>
        <v/>
      </c>
    </row>
    <row r="1164" spans="4:17" ht="12.75" customHeight="1" x14ac:dyDescent="0.2">
      <c r="D1164" s="58" t="str">
        <f>IFERROR(IF(F1164&lt;&gt;"pending","",IF(OR($B1164="",$B1164="(blank)"),"",VLOOKUP($B1164,'Email Marketing Raw Data'!$C:$O,10,0))),"")</f>
        <v/>
      </c>
      <c r="E1164" s="59" t="str">
        <f>IFERROR(IF(F1164&lt;&gt;"pending","",IF(OR($B1164="",$B1164="(blank)"),"",VLOOKUP($B1164,'Email Marketing Raw Data'!$C:$O,11,0))),"")</f>
        <v/>
      </c>
      <c r="F1164" s="54" t="str">
        <f>IFERROR(IF(OR($B1164="",$B1164="(blank)"),"",VLOOKUP($B1164,'Email Marketing Raw Data'!$C:$O,13,0)),"")</f>
        <v/>
      </c>
      <c r="G1164" s="55" t="str">
        <f>IFERROR(IF(OR($B1164="",$B1164="(blank)"),"",VLOOKUP($B1164,'Email Marketing Raw Data'!$C:$O,4,0)),"")</f>
        <v/>
      </c>
      <c r="H1164" s="55" t="str">
        <f>IFERROR(IF(OR($B1164="",$B1164="(blank)"),"",VLOOKUP($B1164,'Email Marketing Raw Data'!$C:$O,5,0)),"")</f>
        <v/>
      </c>
      <c r="I1164" s="55" t="str">
        <f>IFERROR(IF($G1164="","",VLOOKUP('Dashboard And Emails Automate'!$G1164,Database!$H:$N,3,0)),"")</f>
        <v/>
      </c>
      <c r="J1164" s="55" t="str">
        <f>IFERROR(IF($G1164="","",VLOOKUP('Dashboard And Emails Automate'!$G1164,Database!$H:$N,4,0)),"")</f>
        <v/>
      </c>
      <c r="K1164" s="55" t="str">
        <f>IFERROR(IF($G1164="","",VLOOKUP('Dashboard And Emails Automate'!$G1164,Database!$H:$N,5,0)),"")</f>
        <v/>
      </c>
      <c r="L1164" s="55" t="str">
        <f>IFERROR(IF($G1164="","",VLOOKUP('Dashboard And Emails Automate'!$G1164,Database!$H:$N,6,0)),"")</f>
        <v/>
      </c>
      <c r="M1164" s="55" t="str">
        <f>IFERROR(IF($G1164="","",VLOOKUP('Dashboard And Emails Automate'!$G1164,Database!$H:$N,7,0)),"")</f>
        <v/>
      </c>
      <c r="N1164" s="55" t="str">
        <f>IFERROR(IF(OR($B1164="",$B1164="(blank)"),"",VLOOKUP($B1164,'Email Marketing Raw Data'!$C:$O,6,0)),"")</f>
        <v/>
      </c>
      <c r="O1164" s="55" t="str">
        <f>IFERROR(IF(OR($B1164="",$B1164="(blank)"),"",VLOOKUP($B1164,'Email Marketing Raw Data'!$C:$O,7,0)),"")</f>
        <v/>
      </c>
      <c r="P1164" s="55" t="str">
        <f>IFERROR(IF(OR($B1164="",$B1164="(blank)"),"",VLOOKUP($B1164,'Email Marketing Raw Data'!$C:$O,8,0)),"")</f>
        <v/>
      </c>
      <c r="Q1164" s="62" t="str">
        <f>IFERROR(IF(OR($B1164="",$B1164="(blank)"),"",VLOOKUP($B1164,'Email Marketing Raw Data'!$C:$O,9,0)),"")</f>
        <v/>
      </c>
    </row>
    <row r="1165" spans="4:17" ht="12.75" customHeight="1" x14ac:dyDescent="0.2">
      <c r="D1165" s="58" t="str">
        <f>IFERROR(IF(F1165&lt;&gt;"pending","",IF(OR($B1165="",$B1165="(blank)"),"",VLOOKUP($B1165,'Email Marketing Raw Data'!$C:$O,10,0))),"")</f>
        <v/>
      </c>
      <c r="E1165" s="59" t="str">
        <f>IFERROR(IF(F1165&lt;&gt;"pending","",IF(OR($B1165="",$B1165="(blank)"),"",VLOOKUP($B1165,'Email Marketing Raw Data'!$C:$O,11,0))),"")</f>
        <v/>
      </c>
      <c r="F1165" s="54" t="str">
        <f>IFERROR(IF(OR($B1165="",$B1165="(blank)"),"",VLOOKUP($B1165,'Email Marketing Raw Data'!$C:$O,13,0)),"")</f>
        <v/>
      </c>
      <c r="G1165" s="55" t="str">
        <f>IFERROR(IF(OR($B1165="",$B1165="(blank)"),"",VLOOKUP($B1165,'Email Marketing Raw Data'!$C:$O,4,0)),"")</f>
        <v/>
      </c>
      <c r="H1165" s="55" t="str">
        <f>IFERROR(IF(OR($B1165="",$B1165="(blank)"),"",VLOOKUP($B1165,'Email Marketing Raw Data'!$C:$O,5,0)),"")</f>
        <v/>
      </c>
      <c r="I1165" s="55" t="str">
        <f>IFERROR(IF($G1165="","",VLOOKUP('Dashboard And Emails Automate'!$G1165,Database!$H:$N,3,0)),"")</f>
        <v/>
      </c>
      <c r="J1165" s="55" t="str">
        <f>IFERROR(IF($G1165="","",VLOOKUP('Dashboard And Emails Automate'!$G1165,Database!$H:$N,4,0)),"")</f>
        <v/>
      </c>
      <c r="K1165" s="55" t="str">
        <f>IFERROR(IF($G1165="","",VLOOKUP('Dashboard And Emails Automate'!$G1165,Database!$H:$N,5,0)),"")</f>
        <v/>
      </c>
      <c r="L1165" s="55" t="str">
        <f>IFERROR(IF($G1165="","",VLOOKUP('Dashboard And Emails Automate'!$G1165,Database!$H:$N,6,0)),"")</f>
        <v/>
      </c>
      <c r="M1165" s="55" t="str">
        <f>IFERROR(IF($G1165="","",VLOOKUP('Dashboard And Emails Automate'!$G1165,Database!$H:$N,7,0)),"")</f>
        <v/>
      </c>
      <c r="N1165" s="55" t="str">
        <f>IFERROR(IF(OR($B1165="",$B1165="(blank)"),"",VLOOKUP($B1165,'Email Marketing Raw Data'!$C:$O,6,0)),"")</f>
        <v/>
      </c>
      <c r="O1165" s="55" t="str">
        <f>IFERROR(IF(OR($B1165="",$B1165="(blank)"),"",VLOOKUP($B1165,'Email Marketing Raw Data'!$C:$O,7,0)),"")</f>
        <v/>
      </c>
      <c r="P1165" s="55" t="str">
        <f>IFERROR(IF(OR($B1165="",$B1165="(blank)"),"",VLOOKUP($B1165,'Email Marketing Raw Data'!$C:$O,8,0)),"")</f>
        <v/>
      </c>
      <c r="Q1165" s="62" t="str">
        <f>IFERROR(IF(OR($B1165="",$B1165="(blank)"),"",VLOOKUP($B1165,'Email Marketing Raw Data'!$C:$O,9,0)),"")</f>
        <v/>
      </c>
    </row>
    <row r="1166" spans="4:17" ht="12.75" customHeight="1" x14ac:dyDescent="0.2">
      <c r="D1166" s="58" t="str">
        <f>IFERROR(IF(F1166&lt;&gt;"pending","",IF(OR($B1166="",$B1166="(blank)"),"",VLOOKUP($B1166,'Email Marketing Raw Data'!$C:$O,10,0))),"")</f>
        <v/>
      </c>
      <c r="E1166" s="59" t="str">
        <f>IFERROR(IF(F1166&lt;&gt;"pending","",IF(OR($B1166="",$B1166="(blank)"),"",VLOOKUP($B1166,'Email Marketing Raw Data'!$C:$O,11,0))),"")</f>
        <v/>
      </c>
      <c r="F1166" s="54" t="str">
        <f>IFERROR(IF(OR($B1166="",$B1166="(blank)"),"",VLOOKUP($B1166,'Email Marketing Raw Data'!$C:$O,13,0)),"")</f>
        <v/>
      </c>
      <c r="G1166" s="55" t="str">
        <f>IFERROR(IF(OR($B1166="",$B1166="(blank)"),"",VLOOKUP($B1166,'Email Marketing Raw Data'!$C:$O,4,0)),"")</f>
        <v/>
      </c>
      <c r="H1166" s="55" t="str">
        <f>IFERROR(IF(OR($B1166="",$B1166="(blank)"),"",VLOOKUP($B1166,'Email Marketing Raw Data'!$C:$O,5,0)),"")</f>
        <v/>
      </c>
      <c r="I1166" s="55" t="str">
        <f>IFERROR(IF($G1166="","",VLOOKUP('Dashboard And Emails Automate'!$G1166,Database!$H:$N,3,0)),"")</f>
        <v/>
      </c>
      <c r="J1166" s="55" t="str">
        <f>IFERROR(IF($G1166="","",VLOOKUP('Dashboard And Emails Automate'!$G1166,Database!$H:$N,4,0)),"")</f>
        <v/>
      </c>
      <c r="K1166" s="55" t="str">
        <f>IFERROR(IF($G1166="","",VLOOKUP('Dashboard And Emails Automate'!$G1166,Database!$H:$N,5,0)),"")</f>
        <v/>
      </c>
      <c r="L1166" s="55" t="str">
        <f>IFERROR(IF($G1166="","",VLOOKUP('Dashboard And Emails Automate'!$G1166,Database!$H:$N,6,0)),"")</f>
        <v/>
      </c>
      <c r="M1166" s="55" t="str">
        <f>IFERROR(IF($G1166="","",VLOOKUP('Dashboard And Emails Automate'!$G1166,Database!$H:$N,7,0)),"")</f>
        <v/>
      </c>
      <c r="N1166" s="55" t="str">
        <f>IFERROR(IF(OR($B1166="",$B1166="(blank)"),"",VLOOKUP($B1166,'Email Marketing Raw Data'!$C:$O,6,0)),"")</f>
        <v/>
      </c>
      <c r="O1166" s="55" t="str">
        <f>IFERROR(IF(OR($B1166="",$B1166="(blank)"),"",VLOOKUP($B1166,'Email Marketing Raw Data'!$C:$O,7,0)),"")</f>
        <v/>
      </c>
      <c r="P1166" s="55" t="str">
        <f>IFERROR(IF(OR($B1166="",$B1166="(blank)"),"",VLOOKUP($B1166,'Email Marketing Raw Data'!$C:$O,8,0)),"")</f>
        <v/>
      </c>
      <c r="Q1166" s="62" t="str">
        <f>IFERROR(IF(OR($B1166="",$B1166="(blank)"),"",VLOOKUP($B1166,'Email Marketing Raw Data'!$C:$O,9,0)),"")</f>
        <v/>
      </c>
    </row>
    <row r="1167" spans="4:17" ht="12.75" customHeight="1" x14ac:dyDescent="0.2">
      <c r="D1167" s="58" t="str">
        <f>IFERROR(IF(F1167&lt;&gt;"pending","",IF(OR($B1167="",$B1167="(blank)"),"",VLOOKUP($B1167,'Email Marketing Raw Data'!$C:$O,10,0))),"")</f>
        <v/>
      </c>
      <c r="E1167" s="59" t="str">
        <f>IFERROR(IF(F1167&lt;&gt;"pending","",IF(OR($B1167="",$B1167="(blank)"),"",VLOOKUP($B1167,'Email Marketing Raw Data'!$C:$O,11,0))),"")</f>
        <v/>
      </c>
      <c r="F1167" s="54" t="str">
        <f>IFERROR(IF(OR($B1167="",$B1167="(blank)"),"",VLOOKUP($B1167,'Email Marketing Raw Data'!$C:$O,13,0)),"")</f>
        <v/>
      </c>
      <c r="G1167" s="55" t="str">
        <f>IFERROR(IF(OR($B1167="",$B1167="(blank)"),"",VLOOKUP($B1167,'Email Marketing Raw Data'!$C:$O,4,0)),"")</f>
        <v/>
      </c>
      <c r="H1167" s="55" t="str">
        <f>IFERROR(IF(OR($B1167="",$B1167="(blank)"),"",VLOOKUP($B1167,'Email Marketing Raw Data'!$C:$O,5,0)),"")</f>
        <v/>
      </c>
      <c r="I1167" s="55" t="str">
        <f>IFERROR(IF($G1167="","",VLOOKUP('Dashboard And Emails Automate'!$G1167,Database!$H:$N,3,0)),"")</f>
        <v/>
      </c>
      <c r="J1167" s="55" t="str">
        <f>IFERROR(IF($G1167="","",VLOOKUP('Dashboard And Emails Automate'!$G1167,Database!$H:$N,4,0)),"")</f>
        <v/>
      </c>
      <c r="K1167" s="55" t="str">
        <f>IFERROR(IF($G1167="","",VLOOKUP('Dashboard And Emails Automate'!$G1167,Database!$H:$N,5,0)),"")</f>
        <v/>
      </c>
      <c r="L1167" s="55" t="str">
        <f>IFERROR(IF($G1167="","",VLOOKUP('Dashboard And Emails Automate'!$G1167,Database!$H:$N,6,0)),"")</f>
        <v/>
      </c>
      <c r="M1167" s="55" t="str">
        <f>IFERROR(IF($G1167="","",VLOOKUP('Dashboard And Emails Automate'!$G1167,Database!$H:$N,7,0)),"")</f>
        <v/>
      </c>
      <c r="N1167" s="55" t="str">
        <f>IFERROR(IF(OR($B1167="",$B1167="(blank)"),"",VLOOKUP($B1167,'Email Marketing Raw Data'!$C:$O,6,0)),"")</f>
        <v/>
      </c>
      <c r="O1167" s="55" t="str">
        <f>IFERROR(IF(OR($B1167="",$B1167="(blank)"),"",VLOOKUP($B1167,'Email Marketing Raw Data'!$C:$O,7,0)),"")</f>
        <v/>
      </c>
      <c r="P1167" s="55" t="str">
        <f>IFERROR(IF(OR($B1167="",$B1167="(blank)"),"",VLOOKUP($B1167,'Email Marketing Raw Data'!$C:$O,8,0)),"")</f>
        <v/>
      </c>
      <c r="Q1167" s="62" t="str">
        <f>IFERROR(IF(OR($B1167="",$B1167="(blank)"),"",VLOOKUP($B1167,'Email Marketing Raw Data'!$C:$O,9,0)),"")</f>
        <v/>
      </c>
    </row>
    <row r="1168" spans="4:17" ht="12.75" customHeight="1" x14ac:dyDescent="0.2">
      <c r="D1168" s="58" t="str">
        <f>IFERROR(IF(F1168&lt;&gt;"pending","",IF(OR($B1168="",$B1168="(blank)"),"",VLOOKUP($B1168,'Email Marketing Raw Data'!$C:$O,10,0))),"")</f>
        <v/>
      </c>
      <c r="E1168" s="59" t="str">
        <f>IFERROR(IF(F1168&lt;&gt;"pending","",IF(OR($B1168="",$B1168="(blank)"),"",VLOOKUP($B1168,'Email Marketing Raw Data'!$C:$O,11,0))),"")</f>
        <v/>
      </c>
      <c r="F1168" s="54" t="str">
        <f>IFERROR(IF(OR($B1168="",$B1168="(blank)"),"",VLOOKUP($B1168,'Email Marketing Raw Data'!$C:$O,13,0)),"")</f>
        <v/>
      </c>
      <c r="G1168" s="55" t="str">
        <f>IFERROR(IF(OR($B1168="",$B1168="(blank)"),"",VLOOKUP($B1168,'Email Marketing Raw Data'!$C:$O,4,0)),"")</f>
        <v/>
      </c>
      <c r="H1168" s="55" t="str">
        <f>IFERROR(IF(OR($B1168="",$B1168="(blank)"),"",VLOOKUP($B1168,'Email Marketing Raw Data'!$C:$O,5,0)),"")</f>
        <v/>
      </c>
      <c r="I1168" s="55" t="str">
        <f>IFERROR(IF($G1168="","",VLOOKUP('Dashboard And Emails Automate'!$G1168,Database!$H:$N,3,0)),"")</f>
        <v/>
      </c>
      <c r="J1168" s="55" t="str">
        <f>IFERROR(IF($G1168="","",VLOOKUP('Dashboard And Emails Automate'!$G1168,Database!$H:$N,4,0)),"")</f>
        <v/>
      </c>
      <c r="K1168" s="55" t="str">
        <f>IFERROR(IF($G1168="","",VLOOKUP('Dashboard And Emails Automate'!$G1168,Database!$H:$N,5,0)),"")</f>
        <v/>
      </c>
      <c r="L1168" s="55" t="str">
        <f>IFERROR(IF($G1168="","",VLOOKUP('Dashboard And Emails Automate'!$G1168,Database!$H:$N,6,0)),"")</f>
        <v/>
      </c>
      <c r="M1168" s="55" t="str">
        <f>IFERROR(IF($G1168="","",VLOOKUP('Dashboard And Emails Automate'!$G1168,Database!$H:$N,7,0)),"")</f>
        <v/>
      </c>
      <c r="N1168" s="55" t="str">
        <f>IFERROR(IF(OR($B1168="",$B1168="(blank)"),"",VLOOKUP($B1168,'Email Marketing Raw Data'!$C:$O,6,0)),"")</f>
        <v/>
      </c>
      <c r="O1168" s="55" t="str">
        <f>IFERROR(IF(OR($B1168="",$B1168="(blank)"),"",VLOOKUP($B1168,'Email Marketing Raw Data'!$C:$O,7,0)),"")</f>
        <v/>
      </c>
      <c r="P1168" s="55" t="str">
        <f>IFERROR(IF(OR($B1168="",$B1168="(blank)"),"",VLOOKUP($B1168,'Email Marketing Raw Data'!$C:$O,8,0)),"")</f>
        <v/>
      </c>
      <c r="Q1168" s="62" t="str">
        <f>IFERROR(IF(OR($B1168="",$B1168="(blank)"),"",VLOOKUP($B1168,'Email Marketing Raw Data'!$C:$O,9,0)),"")</f>
        <v/>
      </c>
    </row>
    <row r="1169" spans="4:17" ht="12.75" customHeight="1" x14ac:dyDescent="0.2">
      <c r="D1169" s="58" t="str">
        <f>IFERROR(IF(F1169&lt;&gt;"pending","",IF(OR($B1169="",$B1169="(blank)"),"",VLOOKUP($B1169,'Email Marketing Raw Data'!$C:$O,10,0))),"")</f>
        <v/>
      </c>
      <c r="E1169" s="59" t="str">
        <f>IFERROR(IF(F1169&lt;&gt;"pending","",IF(OR($B1169="",$B1169="(blank)"),"",VLOOKUP($B1169,'Email Marketing Raw Data'!$C:$O,11,0))),"")</f>
        <v/>
      </c>
      <c r="F1169" s="54" t="str">
        <f>IFERROR(IF(OR($B1169="",$B1169="(blank)"),"",VLOOKUP($B1169,'Email Marketing Raw Data'!$C:$O,13,0)),"")</f>
        <v/>
      </c>
      <c r="G1169" s="55" t="str">
        <f>IFERROR(IF(OR($B1169="",$B1169="(blank)"),"",VLOOKUP($B1169,'Email Marketing Raw Data'!$C:$O,4,0)),"")</f>
        <v/>
      </c>
      <c r="H1169" s="55" t="str">
        <f>IFERROR(IF(OR($B1169="",$B1169="(blank)"),"",VLOOKUP($B1169,'Email Marketing Raw Data'!$C:$O,5,0)),"")</f>
        <v/>
      </c>
      <c r="I1169" s="55" t="str">
        <f>IFERROR(IF($G1169="","",VLOOKUP('Dashboard And Emails Automate'!$G1169,Database!$H:$N,3,0)),"")</f>
        <v/>
      </c>
      <c r="J1169" s="55" t="str">
        <f>IFERROR(IF($G1169="","",VLOOKUP('Dashboard And Emails Automate'!$G1169,Database!$H:$N,4,0)),"")</f>
        <v/>
      </c>
      <c r="K1169" s="55" t="str">
        <f>IFERROR(IF($G1169="","",VLOOKUP('Dashboard And Emails Automate'!$G1169,Database!$H:$N,5,0)),"")</f>
        <v/>
      </c>
      <c r="L1169" s="55" t="str">
        <f>IFERROR(IF($G1169="","",VLOOKUP('Dashboard And Emails Automate'!$G1169,Database!$H:$N,6,0)),"")</f>
        <v/>
      </c>
      <c r="M1169" s="55" t="str">
        <f>IFERROR(IF($G1169="","",VLOOKUP('Dashboard And Emails Automate'!$G1169,Database!$H:$N,7,0)),"")</f>
        <v/>
      </c>
      <c r="N1169" s="55" t="str">
        <f>IFERROR(IF(OR($B1169="",$B1169="(blank)"),"",VLOOKUP($B1169,'Email Marketing Raw Data'!$C:$O,6,0)),"")</f>
        <v/>
      </c>
      <c r="O1169" s="55" t="str">
        <f>IFERROR(IF(OR($B1169="",$B1169="(blank)"),"",VLOOKUP($B1169,'Email Marketing Raw Data'!$C:$O,7,0)),"")</f>
        <v/>
      </c>
      <c r="P1169" s="55" t="str">
        <f>IFERROR(IF(OR($B1169="",$B1169="(blank)"),"",VLOOKUP($B1169,'Email Marketing Raw Data'!$C:$O,8,0)),"")</f>
        <v/>
      </c>
      <c r="Q1169" s="62" t="str">
        <f>IFERROR(IF(OR($B1169="",$B1169="(blank)"),"",VLOOKUP($B1169,'Email Marketing Raw Data'!$C:$O,9,0)),"")</f>
        <v/>
      </c>
    </row>
    <row r="1170" spans="4:17" ht="12.75" customHeight="1" x14ac:dyDescent="0.2">
      <c r="D1170" s="58" t="str">
        <f>IFERROR(IF(F1170&lt;&gt;"pending","",IF(OR($B1170="",$B1170="(blank)"),"",VLOOKUP($B1170,'Email Marketing Raw Data'!$C:$O,10,0))),"")</f>
        <v/>
      </c>
      <c r="E1170" s="59" t="str">
        <f>IFERROR(IF(F1170&lt;&gt;"pending","",IF(OR($B1170="",$B1170="(blank)"),"",VLOOKUP($B1170,'Email Marketing Raw Data'!$C:$O,11,0))),"")</f>
        <v/>
      </c>
      <c r="F1170" s="54" t="str">
        <f>IFERROR(IF(OR($B1170="",$B1170="(blank)"),"",VLOOKUP($B1170,'Email Marketing Raw Data'!$C:$O,13,0)),"")</f>
        <v/>
      </c>
      <c r="G1170" s="55" t="str">
        <f>IFERROR(IF(OR($B1170="",$B1170="(blank)"),"",VLOOKUP($B1170,'Email Marketing Raw Data'!$C:$O,4,0)),"")</f>
        <v/>
      </c>
      <c r="H1170" s="55" t="str">
        <f>IFERROR(IF(OR($B1170="",$B1170="(blank)"),"",VLOOKUP($B1170,'Email Marketing Raw Data'!$C:$O,5,0)),"")</f>
        <v/>
      </c>
      <c r="I1170" s="55" t="str">
        <f>IFERROR(IF($G1170="","",VLOOKUP('Dashboard And Emails Automate'!$G1170,Database!$H:$N,3,0)),"")</f>
        <v/>
      </c>
      <c r="J1170" s="55" t="str">
        <f>IFERROR(IF($G1170="","",VLOOKUP('Dashboard And Emails Automate'!$G1170,Database!$H:$N,4,0)),"")</f>
        <v/>
      </c>
      <c r="K1170" s="55" t="str">
        <f>IFERROR(IF($G1170="","",VLOOKUP('Dashboard And Emails Automate'!$G1170,Database!$H:$N,5,0)),"")</f>
        <v/>
      </c>
      <c r="L1170" s="55" t="str">
        <f>IFERROR(IF($G1170="","",VLOOKUP('Dashboard And Emails Automate'!$G1170,Database!$H:$N,6,0)),"")</f>
        <v/>
      </c>
      <c r="M1170" s="55" t="str">
        <f>IFERROR(IF($G1170="","",VLOOKUP('Dashboard And Emails Automate'!$G1170,Database!$H:$N,7,0)),"")</f>
        <v/>
      </c>
      <c r="N1170" s="55" t="str">
        <f>IFERROR(IF(OR($B1170="",$B1170="(blank)"),"",VLOOKUP($B1170,'Email Marketing Raw Data'!$C:$O,6,0)),"")</f>
        <v/>
      </c>
      <c r="O1170" s="55" t="str">
        <f>IFERROR(IF(OR($B1170="",$B1170="(blank)"),"",VLOOKUP($B1170,'Email Marketing Raw Data'!$C:$O,7,0)),"")</f>
        <v/>
      </c>
      <c r="P1170" s="55" t="str">
        <f>IFERROR(IF(OR($B1170="",$B1170="(blank)"),"",VLOOKUP($B1170,'Email Marketing Raw Data'!$C:$O,8,0)),"")</f>
        <v/>
      </c>
      <c r="Q1170" s="62" t="str">
        <f>IFERROR(IF(OR($B1170="",$B1170="(blank)"),"",VLOOKUP($B1170,'Email Marketing Raw Data'!$C:$O,9,0)),"")</f>
        <v/>
      </c>
    </row>
    <row r="1171" spans="4:17" ht="12.75" customHeight="1" x14ac:dyDescent="0.2">
      <c r="D1171" s="58" t="str">
        <f>IFERROR(IF(F1171&lt;&gt;"pending","",IF(OR($B1171="",$B1171="(blank)"),"",VLOOKUP($B1171,'Email Marketing Raw Data'!$C:$O,10,0))),"")</f>
        <v/>
      </c>
      <c r="E1171" s="59" t="str">
        <f>IFERROR(IF(F1171&lt;&gt;"pending","",IF(OR($B1171="",$B1171="(blank)"),"",VLOOKUP($B1171,'Email Marketing Raw Data'!$C:$O,11,0))),"")</f>
        <v/>
      </c>
      <c r="F1171" s="54" t="str">
        <f>IFERROR(IF(OR($B1171="",$B1171="(blank)"),"",VLOOKUP($B1171,'Email Marketing Raw Data'!$C:$O,13,0)),"")</f>
        <v/>
      </c>
      <c r="G1171" s="55" t="str">
        <f>IFERROR(IF(OR($B1171="",$B1171="(blank)"),"",VLOOKUP($B1171,'Email Marketing Raw Data'!$C:$O,4,0)),"")</f>
        <v/>
      </c>
      <c r="H1171" s="55" t="str">
        <f>IFERROR(IF(OR($B1171="",$B1171="(blank)"),"",VLOOKUP($B1171,'Email Marketing Raw Data'!$C:$O,5,0)),"")</f>
        <v/>
      </c>
      <c r="I1171" s="55" t="str">
        <f>IFERROR(IF($G1171="","",VLOOKUP('Dashboard And Emails Automate'!$G1171,Database!$H:$N,3,0)),"")</f>
        <v/>
      </c>
      <c r="J1171" s="55" t="str">
        <f>IFERROR(IF($G1171="","",VLOOKUP('Dashboard And Emails Automate'!$G1171,Database!$H:$N,4,0)),"")</f>
        <v/>
      </c>
      <c r="K1171" s="55" t="str">
        <f>IFERROR(IF($G1171="","",VLOOKUP('Dashboard And Emails Automate'!$G1171,Database!$H:$N,5,0)),"")</f>
        <v/>
      </c>
      <c r="L1171" s="55" t="str">
        <f>IFERROR(IF($G1171="","",VLOOKUP('Dashboard And Emails Automate'!$G1171,Database!$H:$N,6,0)),"")</f>
        <v/>
      </c>
      <c r="M1171" s="55" t="str">
        <f>IFERROR(IF($G1171="","",VLOOKUP('Dashboard And Emails Automate'!$G1171,Database!$H:$N,7,0)),"")</f>
        <v/>
      </c>
      <c r="N1171" s="55" t="str">
        <f>IFERROR(IF(OR($B1171="",$B1171="(blank)"),"",VLOOKUP($B1171,'Email Marketing Raw Data'!$C:$O,6,0)),"")</f>
        <v/>
      </c>
      <c r="O1171" s="55" t="str">
        <f>IFERROR(IF(OR($B1171="",$B1171="(blank)"),"",VLOOKUP($B1171,'Email Marketing Raw Data'!$C:$O,7,0)),"")</f>
        <v/>
      </c>
      <c r="P1171" s="55" t="str">
        <f>IFERROR(IF(OR($B1171="",$B1171="(blank)"),"",VLOOKUP($B1171,'Email Marketing Raw Data'!$C:$O,8,0)),"")</f>
        <v/>
      </c>
      <c r="Q1171" s="62" t="str">
        <f>IFERROR(IF(OR($B1171="",$B1171="(blank)"),"",VLOOKUP($B1171,'Email Marketing Raw Data'!$C:$O,9,0)),"")</f>
        <v/>
      </c>
    </row>
    <row r="1172" spans="4:17" ht="12.75" customHeight="1" x14ac:dyDescent="0.2">
      <c r="D1172" s="58" t="str">
        <f>IFERROR(IF(F1172&lt;&gt;"pending","",IF(OR($B1172="",$B1172="(blank)"),"",VLOOKUP($B1172,'Email Marketing Raw Data'!$C:$O,10,0))),"")</f>
        <v/>
      </c>
      <c r="E1172" s="59" t="str">
        <f>IFERROR(IF(F1172&lt;&gt;"pending","",IF(OR($B1172="",$B1172="(blank)"),"",VLOOKUP($B1172,'Email Marketing Raw Data'!$C:$O,11,0))),"")</f>
        <v/>
      </c>
      <c r="F1172" s="54" t="str">
        <f>IFERROR(IF(OR($B1172="",$B1172="(blank)"),"",VLOOKUP($B1172,'Email Marketing Raw Data'!$C:$O,13,0)),"")</f>
        <v/>
      </c>
      <c r="G1172" s="55" t="str">
        <f>IFERROR(IF(OR($B1172="",$B1172="(blank)"),"",VLOOKUP($B1172,'Email Marketing Raw Data'!$C:$O,4,0)),"")</f>
        <v/>
      </c>
      <c r="H1172" s="55" t="str">
        <f>IFERROR(IF(OR($B1172="",$B1172="(blank)"),"",VLOOKUP($B1172,'Email Marketing Raw Data'!$C:$O,5,0)),"")</f>
        <v/>
      </c>
      <c r="I1172" s="55" t="str">
        <f>IFERROR(IF($G1172="","",VLOOKUP('Dashboard And Emails Automate'!$G1172,Database!$H:$N,3,0)),"")</f>
        <v/>
      </c>
      <c r="J1172" s="55" t="str">
        <f>IFERROR(IF($G1172="","",VLOOKUP('Dashboard And Emails Automate'!$G1172,Database!$H:$N,4,0)),"")</f>
        <v/>
      </c>
      <c r="K1172" s="55" t="str">
        <f>IFERROR(IF($G1172="","",VLOOKUP('Dashboard And Emails Automate'!$G1172,Database!$H:$N,5,0)),"")</f>
        <v/>
      </c>
      <c r="L1172" s="55" t="str">
        <f>IFERROR(IF($G1172="","",VLOOKUP('Dashboard And Emails Automate'!$G1172,Database!$H:$N,6,0)),"")</f>
        <v/>
      </c>
      <c r="M1172" s="55" t="str">
        <f>IFERROR(IF($G1172="","",VLOOKUP('Dashboard And Emails Automate'!$G1172,Database!$H:$N,7,0)),"")</f>
        <v/>
      </c>
      <c r="N1172" s="55" t="str">
        <f>IFERROR(IF(OR($B1172="",$B1172="(blank)"),"",VLOOKUP($B1172,'Email Marketing Raw Data'!$C:$O,6,0)),"")</f>
        <v/>
      </c>
      <c r="O1172" s="55" t="str">
        <f>IFERROR(IF(OR($B1172="",$B1172="(blank)"),"",VLOOKUP($B1172,'Email Marketing Raw Data'!$C:$O,7,0)),"")</f>
        <v/>
      </c>
      <c r="P1172" s="55" t="str">
        <f>IFERROR(IF(OR($B1172="",$B1172="(blank)"),"",VLOOKUP($B1172,'Email Marketing Raw Data'!$C:$O,8,0)),"")</f>
        <v/>
      </c>
      <c r="Q1172" s="62" t="str">
        <f>IFERROR(IF(OR($B1172="",$B1172="(blank)"),"",VLOOKUP($B1172,'Email Marketing Raw Data'!$C:$O,9,0)),"")</f>
        <v/>
      </c>
    </row>
    <row r="1173" spans="4:17" ht="12.75" customHeight="1" x14ac:dyDescent="0.2">
      <c r="D1173" s="58" t="str">
        <f>IFERROR(IF(F1173&lt;&gt;"pending","",IF(OR($B1173="",$B1173="(blank)"),"",VLOOKUP($B1173,'Email Marketing Raw Data'!$C:$O,10,0))),"")</f>
        <v/>
      </c>
      <c r="E1173" s="59" t="str">
        <f>IFERROR(IF(F1173&lt;&gt;"pending","",IF(OR($B1173="",$B1173="(blank)"),"",VLOOKUP($B1173,'Email Marketing Raw Data'!$C:$O,11,0))),"")</f>
        <v/>
      </c>
      <c r="F1173" s="54" t="str">
        <f>IFERROR(IF(OR($B1173="",$B1173="(blank)"),"",VLOOKUP($B1173,'Email Marketing Raw Data'!$C:$O,13,0)),"")</f>
        <v/>
      </c>
      <c r="G1173" s="55" t="str">
        <f>IFERROR(IF(OR($B1173="",$B1173="(blank)"),"",VLOOKUP($B1173,'Email Marketing Raw Data'!$C:$O,4,0)),"")</f>
        <v/>
      </c>
      <c r="H1173" s="55" t="str">
        <f>IFERROR(IF(OR($B1173="",$B1173="(blank)"),"",VLOOKUP($B1173,'Email Marketing Raw Data'!$C:$O,5,0)),"")</f>
        <v/>
      </c>
      <c r="I1173" s="55" t="str">
        <f>IFERROR(IF($G1173="","",VLOOKUP('Dashboard And Emails Automate'!$G1173,Database!$H:$N,3,0)),"")</f>
        <v/>
      </c>
      <c r="J1173" s="55" t="str">
        <f>IFERROR(IF($G1173="","",VLOOKUP('Dashboard And Emails Automate'!$G1173,Database!$H:$N,4,0)),"")</f>
        <v/>
      </c>
      <c r="K1173" s="55" t="str">
        <f>IFERROR(IF($G1173="","",VLOOKUP('Dashboard And Emails Automate'!$G1173,Database!$H:$N,5,0)),"")</f>
        <v/>
      </c>
      <c r="L1173" s="55" t="str">
        <f>IFERROR(IF($G1173="","",VLOOKUP('Dashboard And Emails Automate'!$G1173,Database!$H:$N,6,0)),"")</f>
        <v/>
      </c>
      <c r="M1173" s="55" t="str">
        <f>IFERROR(IF($G1173="","",VLOOKUP('Dashboard And Emails Automate'!$G1173,Database!$H:$N,7,0)),"")</f>
        <v/>
      </c>
      <c r="N1173" s="55" t="str">
        <f>IFERROR(IF(OR($B1173="",$B1173="(blank)"),"",VLOOKUP($B1173,'Email Marketing Raw Data'!$C:$O,6,0)),"")</f>
        <v/>
      </c>
      <c r="O1173" s="55" t="str">
        <f>IFERROR(IF(OR($B1173="",$B1173="(blank)"),"",VLOOKUP($B1173,'Email Marketing Raw Data'!$C:$O,7,0)),"")</f>
        <v/>
      </c>
      <c r="P1173" s="55" t="str">
        <f>IFERROR(IF(OR($B1173="",$B1173="(blank)"),"",VLOOKUP($B1173,'Email Marketing Raw Data'!$C:$O,8,0)),"")</f>
        <v/>
      </c>
      <c r="Q1173" s="62" t="str">
        <f>IFERROR(IF(OR($B1173="",$B1173="(blank)"),"",VLOOKUP($B1173,'Email Marketing Raw Data'!$C:$O,9,0)),"")</f>
        <v/>
      </c>
    </row>
    <row r="1174" spans="4:17" ht="12.75" customHeight="1" x14ac:dyDescent="0.2">
      <c r="D1174" s="58" t="str">
        <f>IFERROR(IF(F1174&lt;&gt;"pending","",IF(OR($B1174="",$B1174="(blank)"),"",VLOOKUP($B1174,'Email Marketing Raw Data'!$C:$O,10,0))),"")</f>
        <v/>
      </c>
      <c r="E1174" s="59" t="str">
        <f>IFERROR(IF(F1174&lt;&gt;"pending","",IF(OR($B1174="",$B1174="(blank)"),"",VLOOKUP($B1174,'Email Marketing Raw Data'!$C:$O,11,0))),"")</f>
        <v/>
      </c>
      <c r="F1174" s="54" t="str">
        <f>IFERROR(IF(OR($B1174="",$B1174="(blank)"),"",VLOOKUP($B1174,'Email Marketing Raw Data'!$C:$O,13,0)),"")</f>
        <v/>
      </c>
      <c r="G1174" s="55" t="str">
        <f>IFERROR(IF(OR($B1174="",$B1174="(blank)"),"",VLOOKUP($B1174,'Email Marketing Raw Data'!$C:$O,4,0)),"")</f>
        <v/>
      </c>
      <c r="H1174" s="55" t="str">
        <f>IFERROR(IF(OR($B1174="",$B1174="(blank)"),"",VLOOKUP($B1174,'Email Marketing Raw Data'!$C:$O,5,0)),"")</f>
        <v/>
      </c>
      <c r="I1174" s="55" t="str">
        <f>IFERROR(IF($G1174="","",VLOOKUP('Dashboard And Emails Automate'!$G1174,Database!$H:$N,3,0)),"")</f>
        <v/>
      </c>
      <c r="J1174" s="55" t="str">
        <f>IFERROR(IF($G1174="","",VLOOKUP('Dashboard And Emails Automate'!$G1174,Database!$H:$N,4,0)),"")</f>
        <v/>
      </c>
      <c r="K1174" s="55" t="str">
        <f>IFERROR(IF($G1174="","",VLOOKUP('Dashboard And Emails Automate'!$G1174,Database!$H:$N,5,0)),"")</f>
        <v/>
      </c>
      <c r="L1174" s="55" t="str">
        <f>IFERROR(IF($G1174="","",VLOOKUP('Dashboard And Emails Automate'!$G1174,Database!$H:$N,6,0)),"")</f>
        <v/>
      </c>
      <c r="M1174" s="55" t="str">
        <f>IFERROR(IF($G1174="","",VLOOKUP('Dashboard And Emails Automate'!$G1174,Database!$H:$N,7,0)),"")</f>
        <v/>
      </c>
      <c r="N1174" s="55" t="str">
        <f>IFERROR(IF(OR($B1174="",$B1174="(blank)"),"",VLOOKUP($B1174,'Email Marketing Raw Data'!$C:$O,6,0)),"")</f>
        <v/>
      </c>
      <c r="O1174" s="55" t="str">
        <f>IFERROR(IF(OR($B1174="",$B1174="(blank)"),"",VLOOKUP($B1174,'Email Marketing Raw Data'!$C:$O,7,0)),"")</f>
        <v/>
      </c>
      <c r="P1174" s="55" t="str">
        <f>IFERROR(IF(OR($B1174="",$B1174="(blank)"),"",VLOOKUP($B1174,'Email Marketing Raw Data'!$C:$O,8,0)),"")</f>
        <v/>
      </c>
      <c r="Q1174" s="62" t="str">
        <f>IFERROR(IF(OR($B1174="",$B1174="(blank)"),"",VLOOKUP($B1174,'Email Marketing Raw Data'!$C:$O,9,0)),"")</f>
        <v/>
      </c>
    </row>
    <row r="1175" spans="4:17" ht="12.75" customHeight="1" x14ac:dyDescent="0.2">
      <c r="D1175" s="58" t="str">
        <f>IFERROR(IF(F1175&lt;&gt;"pending","",IF(OR($B1175="",$B1175="(blank)"),"",VLOOKUP($B1175,'Email Marketing Raw Data'!$C:$O,10,0))),"")</f>
        <v/>
      </c>
      <c r="E1175" s="59" t="str">
        <f>IFERROR(IF(F1175&lt;&gt;"pending","",IF(OR($B1175="",$B1175="(blank)"),"",VLOOKUP($B1175,'Email Marketing Raw Data'!$C:$O,11,0))),"")</f>
        <v/>
      </c>
      <c r="F1175" s="54" t="str">
        <f>IFERROR(IF(OR($B1175="",$B1175="(blank)"),"",VLOOKUP($B1175,'Email Marketing Raw Data'!$C:$O,13,0)),"")</f>
        <v/>
      </c>
      <c r="G1175" s="55" t="str">
        <f>IFERROR(IF(OR($B1175="",$B1175="(blank)"),"",VLOOKUP($B1175,'Email Marketing Raw Data'!$C:$O,4,0)),"")</f>
        <v/>
      </c>
      <c r="H1175" s="55" t="str">
        <f>IFERROR(IF(OR($B1175="",$B1175="(blank)"),"",VLOOKUP($B1175,'Email Marketing Raw Data'!$C:$O,5,0)),"")</f>
        <v/>
      </c>
      <c r="I1175" s="55" t="str">
        <f>IFERROR(IF($G1175="","",VLOOKUP('Dashboard And Emails Automate'!$G1175,Database!$H:$N,3,0)),"")</f>
        <v/>
      </c>
      <c r="J1175" s="55" t="str">
        <f>IFERROR(IF($G1175="","",VLOOKUP('Dashboard And Emails Automate'!$G1175,Database!$H:$N,4,0)),"")</f>
        <v/>
      </c>
      <c r="K1175" s="55" t="str">
        <f>IFERROR(IF($G1175="","",VLOOKUP('Dashboard And Emails Automate'!$G1175,Database!$H:$N,5,0)),"")</f>
        <v/>
      </c>
      <c r="L1175" s="55" t="str">
        <f>IFERROR(IF($G1175="","",VLOOKUP('Dashboard And Emails Automate'!$G1175,Database!$H:$N,6,0)),"")</f>
        <v/>
      </c>
      <c r="M1175" s="55" t="str">
        <f>IFERROR(IF($G1175="","",VLOOKUP('Dashboard And Emails Automate'!$G1175,Database!$H:$N,7,0)),"")</f>
        <v/>
      </c>
      <c r="N1175" s="55" t="str">
        <f>IFERROR(IF(OR($B1175="",$B1175="(blank)"),"",VLOOKUP($B1175,'Email Marketing Raw Data'!$C:$O,6,0)),"")</f>
        <v/>
      </c>
      <c r="O1175" s="55" t="str">
        <f>IFERROR(IF(OR($B1175="",$B1175="(blank)"),"",VLOOKUP($B1175,'Email Marketing Raw Data'!$C:$O,7,0)),"")</f>
        <v/>
      </c>
      <c r="P1175" s="55" t="str">
        <f>IFERROR(IF(OR($B1175="",$B1175="(blank)"),"",VLOOKUP($B1175,'Email Marketing Raw Data'!$C:$O,8,0)),"")</f>
        <v/>
      </c>
      <c r="Q1175" s="62" t="str">
        <f>IFERROR(IF(OR($B1175="",$B1175="(blank)"),"",VLOOKUP($B1175,'Email Marketing Raw Data'!$C:$O,9,0)),"")</f>
        <v/>
      </c>
    </row>
    <row r="1176" spans="4:17" ht="12.75" customHeight="1" x14ac:dyDescent="0.2">
      <c r="D1176" s="58" t="str">
        <f>IFERROR(IF(F1176&lt;&gt;"pending","",IF(OR($B1176="",$B1176="(blank)"),"",VLOOKUP($B1176,'Email Marketing Raw Data'!$C:$O,10,0))),"")</f>
        <v/>
      </c>
      <c r="E1176" s="59" t="str">
        <f>IFERROR(IF(F1176&lt;&gt;"pending","",IF(OR($B1176="",$B1176="(blank)"),"",VLOOKUP($B1176,'Email Marketing Raw Data'!$C:$O,11,0))),"")</f>
        <v/>
      </c>
      <c r="F1176" s="54" t="str">
        <f>IFERROR(IF(OR($B1176="",$B1176="(blank)"),"",VLOOKUP($B1176,'Email Marketing Raw Data'!$C:$O,13,0)),"")</f>
        <v/>
      </c>
      <c r="G1176" s="55" t="str">
        <f>IFERROR(IF(OR($B1176="",$B1176="(blank)"),"",VLOOKUP($B1176,'Email Marketing Raw Data'!$C:$O,4,0)),"")</f>
        <v/>
      </c>
      <c r="H1176" s="55" t="str">
        <f>IFERROR(IF(OR($B1176="",$B1176="(blank)"),"",VLOOKUP($B1176,'Email Marketing Raw Data'!$C:$O,5,0)),"")</f>
        <v/>
      </c>
      <c r="I1176" s="55" t="str">
        <f>IFERROR(IF($G1176="","",VLOOKUP('Dashboard And Emails Automate'!$G1176,Database!$H:$N,3,0)),"")</f>
        <v/>
      </c>
      <c r="J1176" s="55" t="str">
        <f>IFERROR(IF($G1176="","",VLOOKUP('Dashboard And Emails Automate'!$G1176,Database!$H:$N,4,0)),"")</f>
        <v/>
      </c>
      <c r="K1176" s="55" t="str">
        <f>IFERROR(IF($G1176="","",VLOOKUP('Dashboard And Emails Automate'!$G1176,Database!$H:$N,5,0)),"")</f>
        <v/>
      </c>
      <c r="L1176" s="55" t="str">
        <f>IFERROR(IF($G1176="","",VLOOKUP('Dashboard And Emails Automate'!$G1176,Database!$H:$N,6,0)),"")</f>
        <v/>
      </c>
      <c r="M1176" s="55" t="str">
        <f>IFERROR(IF($G1176="","",VLOOKUP('Dashboard And Emails Automate'!$G1176,Database!$H:$N,7,0)),"")</f>
        <v/>
      </c>
      <c r="N1176" s="55" t="str">
        <f>IFERROR(IF(OR($B1176="",$B1176="(blank)"),"",VLOOKUP($B1176,'Email Marketing Raw Data'!$C:$O,6,0)),"")</f>
        <v/>
      </c>
      <c r="O1176" s="55" t="str">
        <f>IFERROR(IF(OR($B1176="",$B1176="(blank)"),"",VLOOKUP($B1176,'Email Marketing Raw Data'!$C:$O,7,0)),"")</f>
        <v/>
      </c>
      <c r="P1176" s="55" t="str">
        <f>IFERROR(IF(OR($B1176="",$B1176="(blank)"),"",VLOOKUP($B1176,'Email Marketing Raw Data'!$C:$O,8,0)),"")</f>
        <v/>
      </c>
      <c r="Q1176" s="62" t="str">
        <f>IFERROR(IF(OR($B1176="",$B1176="(blank)"),"",VLOOKUP($B1176,'Email Marketing Raw Data'!$C:$O,9,0)),"")</f>
        <v/>
      </c>
    </row>
    <row r="1177" spans="4:17" ht="12.75" customHeight="1" x14ac:dyDescent="0.2">
      <c r="D1177" s="58" t="str">
        <f>IFERROR(IF(F1177&lt;&gt;"pending","",IF(OR($B1177="",$B1177="(blank)"),"",VLOOKUP($B1177,'Email Marketing Raw Data'!$C:$O,10,0))),"")</f>
        <v/>
      </c>
      <c r="E1177" s="59" t="str">
        <f>IFERROR(IF(F1177&lt;&gt;"pending","",IF(OR($B1177="",$B1177="(blank)"),"",VLOOKUP($B1177,'Email Marketing Raw Data'!$C:$O,11,0))),"")</f>
        <v/>
      </c>
      <c r="F1177" s="54" t="str">
        <f>IFERROR(IF(OR($B1177="",$B1177="(blank)"),"",VLOOKUP($B1177,'Email Marketing Raw Data'!$C:$O,13,0)),"")</f>
        <v/>
      </c>
      <c r="G1177" s="55" t="str">
        <f>IFERROR(IF(OR($B1177="",$B1177="(blank)"),"",VLOOKUP($B1177,'Email Marketing Raw Data'!$C:$O,4,0)),"")</f>
        <v/>
      </c>
      <c r="H1177" s="55" t="str">
        <f>IFERROR(IF(OR($B1177="",$B1177="(blank)"),"",VLOOKUP($B1177,'Email Marketing Raw Data'!$C:$O,5,0)),"")</f>
        <v/>
      </c>
      <c r="I1177" s="55" t="str">
        <f>IFERROR(IF($G1177="","",VLOOKUP('Dashboard And Emails Automate'!$G1177,Database!$H:$N,3,0)),"")</f>
        <v/>
      </c>
      <c r="J1177" s="55" t="str">
        <f>IFERROR(IF($G1177="","",VLOOKUP('Dashboard And Emails Automate'!$G1177,Database!$H:$N,4,0)),"")</f>
        <v/>
      </c>
      <c r="K1177" s="55" t="str">
        <f>IFERROR(IF($G1177="","",VLOOKUP('Dashboard And Emails Automate'!$G1177,Database!$H:$N,5,0)),"")</f>
        <v/>
      </c>
      <c r="L1177" s="55" t="str">
        <f>IFERROR(IF($G1177="","",VLOOKUP('Dashboard And Emails Automate'!$G1177,Database!$H:$N,6,0)),"")</f>
        <v/>
      </c>
      <c r="M1177" s="55" t="str">
        <f>IFERROR(IF($G1177="","",VLOOKUP('Dashboard And Emails Automate'!$G1177,Database!$H:$N,7,0)),"")</f>
        <v/>
      </c>
      <c r="N1177" s="55" t="str">
        <f>IFERROR(IF(OR($B1177="",$B1177="(blank)"),"",VLOOKUP($B1177,'Email Marketing Raw Data'!$C:$O,6,0)),"")</f>
        <v/>
      </c>
      <c r="O1177" s="55" t="str">
        <f>IFERROR(IF(OR($B1177="",$B1177="(blank)"),"",VLOOKUP($B1177,'Email Marketing Raw Data'!$C:$O,7,0)),"")</f>
        <v/>
      </c>
      <c r="P1177" s="55" t="str">
        <f>IFERROR(IF(OR($B1177="",$B1177="(blank)"),"",VLOOKUP($B1177,'Email Marketing Raw Data'!$C:$O,8,0)),"")</f>
        <v/>
      </c>
      <c r="Q1177" s="62" t="str">
        <f>IFERROR(IF(OR($B1177="",$B1177="(blank)"),"",VLOOKUP($B1177,'Email Marketing Raw Data'!$C:$O,9,0)),"")</f>
        <v/>
      </c>
    </row>
    <row r="1178" spans="4:17" ht="12.75" customHeight="1" x14ac:dyDescent="0.2">
      <c r="D1178" s="58" t="str">
        <f>IFERROR(IF(F1178&lt;&gt;"pending","",IF(OR($B1178="",$B1178="(blank)"),"",VLOOKUP($B1178,'Email Marketing Raw Data'!$C:$O,10,0))),"")</f>
        <v/>
      </c>
      <c r="E1178" s="59" t="str">
        <f>IFERROR(IF(F1178&lt;&gt;"pending","",IF(OR($B1178="",$B1178="(blank)"),"",VLOOKUP($B1178,'Email Marketing Raw Data'!$C:$O,11,0))),"")</f>
        <v/>
      </c>
      <c r="F1178" s="54" t="str">
        <f>IFERROR(IF(OR($B1178="",$B1178="(blank)"),"",VLOOKUP($B1178,'Email Marketing Raw Data'!$C:$O,13,0)),"")</f>
        <v/>
      </c>
      <c r="G1178" s="55" t="str">
        <f>IFERROR(IF(OR($B1178="",$B1178="(blank)"),"",VLOOKUP($B1178,'Email Marketing Raw Data'!$C:$O,4,0)),"")</f>
        <v/>
      </c>
      <c r="H1178" s="55" t="str">
        <f>IFERROR(IF(OR($B1178="",$B1178="(blank)"),"",VLOOKUP($B1178,'Email Marketing Raw Data'!$C:$O,5,0)),"")</f>
        <v/>
      </c>
      <c r="I1178" s="55" t="str">
        <f>IFERROR(IF($G1178="","",VLOOKUP('Dashboard And Emails Automate'!$G1178,Database!$H:$N,3,0)),"")</f>
        <v/>
      </c>
      <c r="J1178" s="55" t="str">
        <f>IFERROR(IF($G1178="","",VLOOKUP('Dashboard And Emails Automate'!$G1178,Database!$H:$N,4,0)),"")</f>
        <v/>
      </c>
      <c r="K1178" s="55" t="str">
        <f>IFERROR(IF($G1178="","",VLOOKUP('Dashboard And Emails Automate'!$G1178,Database!$H:$N,5,0)),"")</f>
        <v/>
      </c>
      <c r="L1178" s="55" t="str">
        <f>IFERROR(IF($G1178="","",VLOOKUP('Dashboard And Emails Automate'!$G1178,Database!$H:$N,6,0)),"")</f>
        <v/>
      </c>
      <c r="M1178" s="55" t="str">
        <f>IFERROR(IF($G1178="","",VLOOKUP('Dashboard And Emails Automate'!$G1178,Database!$H:$N,7,0)),"")</f>
        <v/>
      </c>
      <c r="N1178" s="55" t="str">
        <f>IFERROR(IF(OR($B1178="",$B1178="(blank)"),"",VLOOKUP($B1178,'Email Marketing Raw Data'!$C:$O,6,0)),"")</f>
        <v/>
      </c>
      <c r="O1178" s="55" t="str">
        <f>IFERROR(IF(OR($B1178="",$B1178="(blank)"),"",VLOOKUP($B1178,'Email Marketing Raw Data'!$C:$O,7,0)),"")</f>
        <v/>
      </c>
      <c r="P1178" s="55" t="str">
        <f>IFERROR(IF(OR($B1178="",$B1178="(blank)"),"",VLOOKUP($B1178,'Email Marketing Raw Data'!$C:$O,8,0)),"")</f>
        <v/>
      </c>
      <c r="Q1178" s="62" t="str">
        <f>IFERROR(IF(OR($B1178="",$B1178="(blank)"),"",VLOOKUP($B1178,'Email Marketing Raw Data'!$C:$O,9,0)),"")</f>
        <v/>
      </c>
    </row>
    <row r="1179" spans="4:17" ht="12.75" customHeight="1" x14ac:dyDescent="0.2">
      <c r="D1179" s="58" t="str">
        <f>IFERROR(IF(F1179&lt;&gt;"pending","",IF(OR($B1179="",$B1179="(blank)"),"",VLOOKUP($B1179,'Email Marketing Raw Data'!$C:$O,10,0))),"")</f>
        <v/>
      </c>
      <c r="E1179" s="59" t="str">
        <f>IFERROR(IF(F1179&lt;&gt;"pending","",IF(OR($B1179="",$B1179="(blank)"),"",VLOOKUP($B1179,'Email Marketing Raw Data'!$C:$O,11,0))),"")</f>
        <v/>
      </c>
      <c r="F1179" s="54" t="str">
        <f>IFERROR(IF(OR($B1179="",$B1179="(blank)"),"",VLOOKUP($B1179,'Email Marketing Raw Data'!$C:$O,13,0)),"")</f>
        <v/>
      </c>
      <c r="G1179" s="55" t="str">
        <f>IFERROR(IF(OR($B1179="",$B1179="(blank)"),"",VLOOKUP($B1179,'Email Marketing Raw Data'!$C:$O,4,0)),"")</f>
        <v/>
      </c>
      <c r="H1179" s="55" t="str">
        <f>IFERROR(IF(OR($B1179="",$B1179="(blank)"),"",VLOOKUP($B1179,'Email Marketing Raw Data'!$C:$O,5,0)),"")</f>
        <v/>
      </c>
      <c r="I1179" s="55" t="str">
        <f>IFERROR(IF($G1179="","",VLOOKUP('Dashboard And Emails Automate'!$G1179,Database!$H:$N,3,0)),"")</f>
        <v/>
      </c>
      <c r="J1179" s="55" t="str">
        <f>IFERROR(IF($G1179="","",VLOOKUP('Dashboard And Emails Automate'!$G1179,Database!$H:$N,4,0)),"")</f>
        <v/>
      </c>
      <c r="K1179" s="55" t="str">
        <f>IFERROR(IF($G1179="","",VLOOKUP('Dashboard And Emails Automate'!$G1179,Database!$H:$N,5,0)),"")</f>
        <v/>
      </c>
      <c r="L1179" s="55" t="str">
        <f>IFERROR(IF($G1179="","",VLOOKUP('Dashboard And Emails Automate'!$G1179,Database!$H:$N,6,0)),"")</f>
        <v/>
      </c>
      <c r="M1179" s="55" t="str">
        <f>IFERROR(IF($G1179="","",VLOOKUP('Dashboard And Emails Automate'!$G1179,Database!$H:$N,7,0)),"")</f>
        <v/>
      </c>
      <c r="N1179" s="55" t="str">
        <f>IFERROR(IF(OR($B1179="",$B1179="(blank)"),"",VLOOKUP($B1179,'Email Marketing Raw Data'!$C:$O,6,0)),"")</f>
        <v/>
      </c>
      <c r="O1179" s="55" t="str">
        <f>IFERROR(IF(OR($B1179="",$B1179="(blank)"),"",VLOOKUP($B1179,'Email Marketing Raw Data'!$C:$O,7,0)),"")</f>
        <v/>
      </c>
      <c r="P1179" s="55" t="str">
        <f>IFERROR(IF(OR($B1179="",$B1179="(blank)"),"",VLOOKUP($B1179,'Email Marketing Raw Data'!$C:$O,8,0)),"")</f>
        <v/>
      </c>
      <c r="Q1179" s="62" t="str">
        <f>IFERROR(IF(OR($B1179="",$B1179="(blank)"),"",VLOOKUP($B1179,'Email Marketing Raw Data'!$C:$O,9,0)),"")</f>
        <v/>
      </c>
    </row>
    <row r="1180" spans="4:17" ht="12.75" customHeight="1" x14ac:dyDescent="0.2">
      <c r="D1180" s="58" t="str">
        <f>IFERROR(IF(F1180&lt;&gt;"pending","",IF(OR($B1180="",$B1180="(blank)"),"",VLOOKUP($B1180,'Email Marketing Raw Data'!$C:$O,10,0))),"")</f>
        <v/>
      </c>
      <c r="E1180" s="59" t="str">
        <f>IFERROR(IF(F1180&lt;&gt;"pending","",IF(OR($B1180="",$B1180="(blank)"),"",VLOOKUP($B1180,'Email Marketing Raw Data'!$C:$O,11,0))),"")</f>
        <v/>
      </c>
      <c r="F1180" s="54" t="str">
        <f>IFERROR(IF(OR($B1180="",$B1180="(blank)"),"",VLOOKUP($B1180,'Email Marketing Raw Data'!$C:$O,13,0)),"")</f>
        <v/>
      </c>
      <c r="G1180" s="55" t="str">
        <f>IFERROR(IF(OR($B1180="",$B1180="(blank)"),"",VLOOKUP($B1180,'Email Marketing Raw Data'!$C:$O,4,0)),"")</f>
        <v/>
      </c>
      <c r="H1180" s="55" t="str">
        <f>IFERROR(IF(OR($B1180="",$B1180="(blank)"),"",VLOOKUP($B1180,'Email Marketing Raw Data'!$C:$O,5,0)),"")</f>
        <v/>
      </c>
      <c r="I1180" s="55" t="str">
        <f>IFERROR(IF($G1180="","",VLOOKUP('Dashboard And Emails Automate'!$G1180,Database!$H:$N,3,0)),"")</f>
        <v/>
      </c>
      <c r="J1180" s="55" t="str">
        <f>IFERROR(IF($G1180="","",VLOOKUP('Dashboard And Emails Automate'!$G1180,Database!$H:$N,4,0)),"")</f>
        <v/>
      </c>
      <c r="K1180" s="55" t="str">
        <f>IFERROR(IF($G1180="","",VLOOKUP('Dashboard And Emails Automate'!$G1180,Database!$H:$N,5,0)),"")</f>
        <v/>
      </c>
      <c r="L1180" s="55" t="str">
        <f>IFERROR(IF($G1180="","",VLOOKUP('Dashboard And Emails Automate'!$G1180,Database!$H:$N,6,0)),"")</f>
        <v/>
      </c>
      <c r="M1180" s="55" t="str">
        <f>IFERROR(IF($G1180="","",VLOOKUP('Dashboard And Emails Automate'!$G1180,Database!$H:$N,7,0)),"")</f>
        <v/>
      </c>
      <c r="N1180" s="55" t="str">
        <f>IFERROR(IF(OR($B1180="",$B1180="(blank)"),"",VLOOKUP($B1180,'Email Marketing Raw Data'!$C:$O,6,0)),"")</f>
        <v/>
      </c>
      <c r="O1180" s="55" t="str">
        <f>IFERROR(IF(OR($B1180="",$B1180="(blank)"),"",VLOOKUP($B1180,'Email Marketing Raw Data'!$C:$O,7,0)),"")</f>
        <v/>
      </c>
      <c r="P1180" s="55" t="str">
        <f>IFERROR(IF(OR($B1180="",$B1180="(blank)"),"",VLOOKUP($B1180,'Email Marketing Raw Data'!$C:$O,8,0)),"")</f>
        <v/>
      </c>
      <c r="Q1180" s="62" t="str">
        <f>IFERROR(IF(OR($B1180="",$B1180="(blank)"),"",VLOOKUP($B1180,'Email Marketing Raw Data'!$C:$O,9,0)),"")</f>
        <v/>
      </c>
    </row>
    <row r="1181" spans="4:17" ht="12.75" customHeight="1" x14ac:dyDescent="0.2">
      <c r="D1181" s="58" t="str">
        <f>IFERROR(IF(F1181&lt;&gt;"pending","",IF(OR($B1181="",$B1181="(blank)"),"",VLOOKUP($B1181,'Email Marketing Raw Data'!$C:$O,10,0))),"")</f>
        <v/>
      </c>
      <c r="E1181" s="59" t="str">
        <f>IFERROR(IF(F1181&lt;&gt;"pending","",IF(OR($B1181="",$B1181="(blank)"),"",VLOOKUP($B1181,'Email Marketing Raw Data'!$C:$O,11,0))),"")</f>
        <v/>
      </c>
      <c r="F1181" s="54" t="str">
        <f>IFERROR(IF(OR($B1181="",$B1181="(blank)"),"",VLOOKUP($B1181,'Email Marketing Raw Data'!$C:$O,13,0)),"")</f>
        <v/>
      </c>
      <c r="G1181" s="55" t="str">
        <f>IFERROR(IF(OR($B1181="",$B1181="(blank)"),"",VLOOKUP($B1181,'Email Marketing Raw Data'!$C:$O,4,0)),"")</f>
        <v/>
      </c>
      <c r="H1181" s="55" t="str">
        <f>IFERROR(IF(OR($B1181="",$B1181="(blank)"),"",VLOOKUP($B1181,'Email Marketing Raw Data'!$C:$O,5,0)),"")</f>
        <v/>
      </c>
      <c r="I1181" s="55" t="str">
        <f>IFERROR(IF($G1181="","",VLOOKUP('Dashboard And Emails Automate'!$G1181,Database!$H:$N,3,0)),"")</f>
        <v/>
      </c>
      <c r="J1181" s="55" t="str">
        <f>IFERROR(IF($G1181="","",VLOOKUP('Dashboard And Emails Automate'!$G1181,Database!$H:$N,4,0)),"")</f>
        <v/>
      </c>
      <c r="K1181" s="55" t="str">
        <f>IFERROR(IF($G1181="","",VLOOKUP('Dashboard And Emails Automate'!$G1181,Database!$H:$N,5,0)),"")</f>
        <v/>
      </c>
      <c r="L1181" s="55" t="str">
        <f>IFERROR(IF($G1181="","",VLOOKUP('Dashboard And Emails Automate'!$G1181,Database!$H:$N,6,0)),"")</f>
        <v/>
      </c>
      <c r="M1181" s="55" t="str">
        <f>IFERROR(IF($G1181="","",VLOOKUP('Dashboard And Emails Automate'!$G1181,Database!$H:$N,7,0)),"")</f>
        <v/>
      </c>
      <c r="N1181" s="55" t="str">
        <f>IFERROR(IF(OR($B1181="",$B1181="(blank)"),"",VLOOKUP($B1181,'Email Marketing Raw Data'!$C:$O,6,0)),"")</f>
        <v/>
      </c>
      <c r="O1181" s="55" t="str">
        <f>IFERROR(IF(OR($B1181="",$B1181="(blank)"),"",VLOOKUP($B1181,'Email Marketing Raw Data'!$C:$O,7,0)),"")</f>
        <v/>
      </c>
      <c r="P1181" s="55" t="str">
        <f>IFERROR(IF(OR($B1181="",$B1181="(blank)"),"",VLOOKUP($B1181,'Email Marketing Raw Data'!$C:$O,8,0)),"")</f>
        <v/>
      </c>
      <c r="Q1181" s="62" t="str">
        <f>IFERROR(IF(OR($B1181="",$B1181="(blank)"),"",VLOOKUP($B1181,'Email Marketing Raw Data'!$C:$O,9,0)),"")</f>
        <v/>
      </c>
    </row>
    <row r="1182" spans="4:17" ht="12.75" customHeight="1" x14ac:dyDescent="0.2">
      <c r="D1182" s="58" t="str">
        <f>IFERROR(IF(F1182&lt;&gt;"pending","",IF(OR($B1182="",$B1182="(blank)"),"",VLOOKUP($B1182,'Email Marketing Raw Data'!$C:$O,10,0))),"")</f>
        <v/>
      </c>
      <c r="E1182" s="59" t="str">
        <f>IFERROR(IF(F1182&lt;&gt;"pending","",IF(OR($B1182="",$B1182="(blank)"),"",VLOOKUP($B1182,'Email Marketing Raw Data'!$C:$O,11,0))),"")</f>
        <v/>
      </c>
      <c r="F1182" s="54" t="str">
        <f>IFERROR(IF(OR($B1182="",$B1182="(blank)"),"",VLOOKUP($B1182,'Email Marketing Raw Data'!$C:$O,13,0)),"")</f>
        <v/>
      </c>
      <c r="G1182" s="55" t="str">
        <f>IFERROR(IF(OR($B1182="",$B1182="(blank)"),"",VLOOKUP($B1182,'Email Marketing Raw Data'!$C:$O,4,0)),"")</f>
        <v/>
      </c>
      <c r="H1182" s="55" t="str">
        <f>IFERROR(IF(OR($B1182="",$B1182="(blank)"),"",VLOOKUP($B1182,'Email Marketing Raw Data'!$C:$O,5,0)),"")</f>
        <v/>
      </c>
      <c r="I1182" s="55" t="str">
        <f>IFERROR(IF($G1182="","",VLOOKUP('Dashboard And Emails Automate'!$G1182,Database!$H:$N,3,0)),"")</f>
        <v/>
      </c>
      <c r="J1182" s="55" t="str">
        <f>IFERROR(IF($G1182="","",VLOOKUP('Dashboard And Emails Automate'!$G1182,Database!$H:$N,4,0)),"")</f>
        <v/>
      </c>
      <c r="K1182" s="55" t="str">
        <f>IFERROR(IF($G1182="","",VLOOKUP('Dashboard And Emails Automate'!$G1182,Database!$H:$N,5,0)),"")</f>
        <v/>
      </c>
      <c r="L1182" s="55" t="str">
        <f>IFERROR(IF($G1182="","",VLOOKUP('Dashboard And Emails Automate'!$G1182,Database!$H:$N,6,0)),"")</f>
        <v/>
      </c>
      <c r="M1182" s="55" t="str">
        <f>IFERROR(IF($G1182="","",VLOOKUP('Dashboard And Emails Automate'!$G1182,Database!$H:$N,7,0)),"")</f>
        <v/>
      </c>
      <c r="N1182" s="55" t="str">
        <f>IFERROR(IF(OR($B1182="",$B1182="(blank)"),"",VLOOKUP($B1182,'Email Marketing Raw Data'!$C:$O,6,0)),"")</f>
        <v/>
      </c>
      <c r="O1182" s="55" t="str">
        <f>IFERROR(IF(OR($B1182="",$B1182="(blank)"),"",VLOOKUP($B1182,'Email Marketing Raw Data'!$C:$O,7,0)),"")</f>
        <v/>
      </c>
      <c r="P1182" s="55" t="str">
        <f>IFERROR(IF(OR($B1182="",$B1182="(blank)"),"",VLOOKUP($B1182,'Email Marketing Raw Data'!$C:$O,8,0)),"")</f>
        <v/>
      </c>
      <c r="Q1182" s="62" t="str">
        <f>IFERROR(IF(OR($B1182="",$B1182="(blank)"),"",VLOOKUP($B1182,'Email Marketing Raw Data'!$C:$O,9,0)),"")</f>
        <v/>
      </c>
    </row>
    <row r="1183" spans="4:17" ht="12.75" customHeight="1" x14ac:dyDescent="0.2">
      <c r="D1183" s="58" t="str">
        <f>IFERROR(IF(F1183&lt;&gt;"pending","",IF(OR($B1183="",$B1183="(blank)"),"",VLOOKUP($B1183,'Email Marketing Raw Data'!$C:$O,10,0))),"")</f>
        <v/>
      </c>
      <c r="E1183" s="59" t="str">
        <f>IFERROR(IF(F1183&lt;&gt;"pending","",IF(OR($B1183="",$B1183="(blank)"),"",VLOOKUP($B1183,'Email Marketing Raw Data'!$C:$O,11,0))),"")</f>
        <v/>
      </c>
      <c r="F1183" s="54" t="str">
        <f>IFERROR(IF(OR($B1183="",$B1183="(blank)"),"",VLOOKUP($B1183,'Email Marketing Raw Data'!$C:$O,13,0)),"")</f>
        <v/>
      </c>
      <c r="G1183" s="55" t="str">
        <f>IFERROR(IF(OR($B1183="",$B1183="(blank)"),"",VLOOKUP($B1183,'Email Marketing Raw Data'!$C:$O,4,0)),"")</f>
        <v/>
      </c>
      <c r="H1183" s="55" t="str">
        <f>IFERROR(IF(OR($B1183="",$B1183="(blank)"),"",VLOOKUP($B1183,'Email Marketing Raw Data'!$C:$O,5,0)),"")</f>
        <v/>
      </c>
      <c r="I1183" s="55" t="str">
        <f>IFERROR(IF($G1183="","",VLOOKUP('Dashboard And Emails Automate'!$G1183,Database!$H:$N,3,0)),"")</f>
        <v/>
      </c>
      <c r="J1183" s="55" t="str">
        <f>IFERROR(IF($G1183="","",VLOOKUP('Dashboard And Emails Automate'!$G1183,Database!$H:$N,4,0)),"")</f>
        <v/>
      </c>
      <c r="K1183" s="55" t="str">
        <f>IFERROR(IF($G1183="","",VLOOKUP('Dashboard And Emails Automate'!$G1183,Database!$H:$N,5,0)),"")</f>
        <v/>
      </c>
      <c r="L1183" s="55" t="str">
        <f>IFERROR(IF($G1183="","",VLOOKUP('Dashboard And Emails Automate'!$G1183,Database!$H:$N,6,0)),"")</f>
        <v/>
      </c>
      <c r="M1183" s="55" t="str">
        <f>IFERROR(IF($G1183="","",VLOOKUP('Dashboard And Emails Automate'!$G1183,Database!$H:$N,7,0)),"")</f>
        <v/>
      </c>
      <c r="N1183" s="55" t="str">
        <f>IFERROR(IF(OR($B1183="",$B1183="(blank)"),"",VLOOKUP($B1183,'Email Marketing Raw Data'!$C:$O,6,0)),"")</f>
        <v/>
      </c>
      <c r="O1183" s="55" t="str">
        <f>IFERROR(IF(OR($B1183="",$B1183="(blank)"),"",VLOOKUP($B1183,'Email Marketing Raw Data'!$C:$O,7,0)),"")</f>
        <v/>
      </c>
      <c r="P1183" s="55" t="str">
        <f>IFERROR(IF(OR($B1183="",$B1183="(blank)"),"",VLOOKUP($B1183,'Email Marketing Raw Data'!$C:$O,8,0)),"")</f>
        <v/>
      </c>
      <c r="Q1183" s="62" t="str">
        <f>IFERROR(IF(OR($B1183="",$B1183="(blank)"),"",VLOOKUP($B1183,'Email Marketing Raw Data'!$C:$O,9,0)),"")</f>
        <v/>
      </c>
    </row>
    <row r="1184" spans="4:17" ht="12.75" customHeight="1" x14ac:dyDescent="0.2">
      <c r="D1184" s="58" t="str">
        <f>IFERROR(IF(F1184&lt;&gt;"pending","",IF(OR($B1184="",$B1184="(blank)"),"",VLOOKUP($B1184,'Email Marketing Raw Data'!$C:$O,10,0))),"")</f>
        <v/>
      </c>
      <c r="E1184" s="59" t="str">
        <f>IFERROR(IF(F1184&lt;&gt;"pending","",IF(OR($B1184="",$B1184="(blank)"),"",VLOOKUP($B1184,'Email Marketing Raw Data'!$C:$O,11,0))),"")</f>
        <v/>
      </c>
      <c r="F1184" s="54" t="str">
        <f>IFERROR(IF(OR($B1184="",$B1184="(blank)"),"",VLOOKUP($B1184,'Email Marketing Raw Data'!$C:$O,13,0)),"")</f>
        <v/>
      </c>
      <c r="G1184" s="55" t="str">
        <f>IFERROR(IF(OR($B1184="",$B1184="(blank)"),"",VLOOKUP($B1184,'Email Marketing Raw Data'!$C:$O,4,0)),"")</f>
        <v/>
      </c>
      <c r="H1184" s="55" t="str">
        <f>IFERROR(IF(OR($B1184="",$B1184="(blank)"),"",VLOOKUP($B1184,'Email Marketing Raw Data'!$C:$O,5,0)),"")</f>
        <v/>
      </c>
      <c r="I1184" s="55" t="str">
        <f>IFERROR(IF($G1184="","",VLOOKUP('Dashboard And Emails Automate'!$G1184,Database!$H:$N,3,0)),"")</f>
        <v/>
      </c>
      <c r="J1184" s="55" t="str">
        <f>IFERROR(IF($G1184="","",VLOOKUP('Dashboard And Emails Automate'!$G1184,Database!$H:$N,4,0)),"")</f>
        <v/>
      </c>
      <c r="K1184" s="55" t="str">
        <f>IFERROR(IF($G1184="","",VLOOKUP('Dashboard And Emails Automate'!$G1184,Database!$H:$N,5,0)),"")</f>
        <v/>
      </c>
      <c r="L1184" s="55" t="str">
        <f>IFERROR(IF($G1184="","",VLOOKUP('Dashboard And Emails Automate'!$G1184,Database!$H:$N,6,0)),"")</f>
        <v/>
      </c>
      <c r="M1184" s="55" t="str">
        <f>IFERROR(IF($G1184="","",VLOOKUP('Dashboard And Emails Automate'!$G1184,Database!$H:$N,7,0)),"")</f>
        <v/>
      </c>
      <c r="N1184" s="55" t="str">
        <f>IFERROR(IF(OR($B1184="",$B1184="(blank)"),"",VLOOKUP($B1184,'Email Marketing Raw Data'!$C:$O,6,0)),"")</f>
        <v/>
      </c>
      <c r="O1184" s="55" t="str">
        <f>IFERROR(IF(OR($B1184="",$B1184="(blank)"),"",VLOOKUP($B1184,'Email Marketing Raw Data'!$C:$O,7,0)),"")</f>
        <v/>
      </c>
      <c r="P1184" s="55" t="str">
        <f>IFERROR(IF(OR($B1184="",$B1184="(blank)"),"",VLOOKUP($B1184,'Email Marketing Raw Data'!$C:$O,8,0)),"")</f>
        <v/>
      </c>
      <c r="Q1184" s="62" t="str">
        <f>IFERROR(IF(OR($B1184="",$B1184="(blank)"),"",VLOOKUP($B1184,'Email Marketing Raw Data'!$C:$O,9,0)),"")</f>
        <v/>
      </c>
    </row>
    <row r="1185" spans="4:17" ht="12.75" customHeight="1" x14ac:dyDescent="0.2">
      <c r="D1185" s="58" t="str">
        <f>IFERROR(IF(F1185&lt;&gt;"pending","",IF(OR($B1185="",$B1185="(blank)"),"",VLOOKUP($B1185,'Email Marketing Raw Data'!$C:$O,10,0))),"")</f>
        <v/>
      </c>
      <c r="E1185" s="59" t="str">
        <f>IFERROR(IF(F1185&lt;&gt;"pending","",IF(OR($B1185="",$B1185="(blank)"),"",VLOOKUP($B1185,'Email Marketing Raw Data'!$C:$O,11,0))),"")</f>
        <v/>
      </c>
      <c r="F1185" s="54" t="str">
        <f>IFERROR(IF(OR($B1185="",$B1185="(blank)"),"",VLOOKUP($B1185,'Email Marketing Raw Data'!$C:$O,13,0)),"")</f>
        <v/>
      </c>
      <c r="G1185" s="55" t="str">
        <f>IFERROR(IF(OR($B1185="",$B1185="(blank)"),"",VLOOKUP($B1185,'Email Marketing Raw Data'!$C:$O,4,0)),"")</f>
        <v/>
      </c>
      <c r="H1185" s="55" t="str">
        <f>IFERROR(IF(OR($B1185="",$B1185="(blank)"),"",VLOOKUP($B1185,'Email Marketing Raw Data'!$C:$O,5,0)),"")</f>
        <v/>
      </c>
      <c r="I1185" s="55" t="str">
        <f>IFERROR(IF($G1185="","",VLOOKUP('Dashboard And Emails Automate'!$G1185,Database!$H:$N,3,0)),"")</f>
        <v/>
      </c>
      <c r="J1185" s="55" t="str">
        <f>IFERROR(IF($G1185="","",VLOOKUP('Dashboard And Emails Automate'!$G1185,Database!$H:$N,4,0)),"")</f>
        <v/>
      </c>
      <c r="K1185" s="55" t="str">
        <f>IFERROR(IF($G1185="","",VLOOKUP('Dashboard And Emails Automate'!$G1185,Database!$H:$N,5,0)),"")</f>
        <v/>
      </c>
      <c r="L1185" s="55" t="str">
        <f>IFERROR(IF($G1185="","",VLOOKUP('Dashboard And Emails Automate'!$G1185,Database!$H:$N,6,0)),"")</f>
        <v/>
      </c>
      <c r="M1185" s="55" t="str">
        <f>IFERROR(IF($G1185="","",VLOOKUP('Dashboard And Emails Automate'!$G1185,Database!$H:$N,7,0)),"")</f>
        <v/>
      </c>
      <c r="N1185" s="55" t="str">
        <f>IFERROR(IF(OR($B1185="",$B1185="(blank)"),"",VLOOKUP($B1185,'Email Marketing Raw Data'!$C:$O,6,0)),"")</f>
        <v/>
      </c>
      <c r="O1185" s="55" t="str">
        <f>IFERROR(IF(OR($B1185="",$B1185="(blank)"),"",VLOOKUP($B1185,'Email Marketing Raw Data'!$C:$O,7,0)),"")</f>
        <v/>
      </c>
      <c r="P1185" s="55" t="str">
        <f>IFERROR(IF(OR($B1185="",$B1185="(blank)"),"",VLOOKUP($B1185,'Email Marketing Raw Data'!$C:$O,8,0)),"")</f>
        <v/>
      </c>
      <c r="Q1185" s="62" t="str">
        <f>IFERROR(IF(OR($B1185="",$B1185="(blank)"),"",VLOOKUP($B1185,'Email Marketing Raw Data'!$C:$O,9,0)),"")</f>
        <v/>
      </c>
    </row>
    <row r="1186" spans="4:17" ht="12.75" customHeight="1" x14ac:dyDescent="0.2">
      <c r="D1186" s="58" t="str">
        <f>IFERROR(IF(F1186&lt;&gt;"pending","",IF(OR($B1186="",$B1186="(blank)"),"",VLOOKUP($B1186,'Email Marketing Raw Data'!$C:$O,10,0))),"")</f>
        <v/>
      </c>
      <c r="E1186" s="59" t="str">
        <f>IFERROR(IF(F1186&lt;&gt;"pending","",IF(OR($B1186="",$B1186="(blank)"),"",VLOOKUP($B1186,'Email Marketing Raw Data'!$C:$O,11,0))),"")</f>
        <v/>
      </c>
      <c r="F1186" s="54" t="str">
        <f>IFERROR(IF(OR($B1186="",$B1186="(blank)"),"",VLOOKUP($B1186,'Email Marketing Raw Data'!$C:$O,13,0)),"")</f>
        <v/>
      </c>
      <c r="G1186" s="55" t="str">
        <f>IFERROR(IF(OR($B1186="",$B1186="(blank)"),"",VLOOKUP($B1186,'Email Marketing Raw Data'!$C:$O,4,0)),"")</f>
        <v/>
      </c>
      <c r="H1186" s="55" t="str">
        <f>IFERROR(IF(OR($B1186="",$B1186="(blank)"),"",VLOOKUP($B1186,'Email Marketing Raw Data'!$C:$O,5,0)),"")</f>
        <v/>
      </c>
      <c r="I1186" s="55" t="str">
        <f>IFERROR(IF($G1186="","",VLOOKUP('Dashboard And Emails Automate'!$G1186,Database!$H:$N,3,0)),"")</f>
        <v/>
      </c>
      <c r="J1186" s="55" t="str">
        <f>IFERROR(IF($G1186="","",VLOOKUP('Dashboard And Emails Automate'!$G1186,Database!$H:$N,4,0)),"")</f>
        <v/>
      </c>
      <c r="K1186" s="55" t="str">
        <f>IFERROR(IF($G1186="","",VLOOKUP('Dashboard And Emails Automate'!$G1186,Database!$H:$N,5,0)),"")</f>
        <v/>
      </c>
      <c r="L1186" s="55" t="str">
        <f>IFERROR(IF($G1186="","",VLOOKUP('Dashboard And Emails Automate'!$G1186,Database!$H:$N,6,0)),"")</f>
        <v/>
      </c>
      <c r="M1186" s="55" t="str">
        <f>IFERROR(IF($G1186="","",VLOOKUP('Dashboard And Emails Automate'!$G1186,Database!$H:$N,7,0)),"")</f>
        <v/>
      </c>
      <c r="N1186" s="55" t="str">
        <f>IFERROR(IF(OR($B1186="",$B1186="(blank)"),"",VLOOKUP($B1186,'Email Marketing Raw Data'!$C:$O,6,0)),"")</f>
        <v/>
      </c>
      <c r="O1186" s="55" t="str">
        <f>IFERROR(IF(OR($B1186="",$B1186="(blank)"),"",VLOOKUP($B1186,'Email Marketing Raw Data'!$C:$O,7,0)),"")</f>
        <v/>
      </c>
      <c r="P1186" s="55" t="str">
        <f>IFERROR(IF(OR($B1186="",$B1186="(blank)"),"",VLOOKUP($B1186,'Email Marketing Raw Data'!$C:$O,8,0)),"")</f>
        <v/>
      </c>
      <c r="Q1186" s="62" t="str">
        <f>IFERROR(IF(OR($B1186="",$B1186="(blank)"),"",VLOOKUP($B1186,'Email Marketing Raw Data'!$C:$O,9,0)),"")</f>
        <v/>
      </c>
    </row>
    <row r="1187" spans="4:17" ht="12.75" customHeight="1" x14ac:dyDescent="0.2">
      <c r="D1187" s="58" t="str">
        <f>IFERROR(IF(F1187&lt;&gt;"pending","",IF(OR($B1187="",$B1187="(blank)"),"",VLOOKUP($B1187,'Email Marketing Raw Data'!$C:$O,10,0))),"")</f>
        <v/>
      </c>
      <c r="E1187" s="59" t="str">
        <f>IFERROR(IF(F1187&lt;&gt;"pending","",IF(OR($B1187="",$B1187="(blank)"),"",VLOOKUP($B1187,'Email Marketing Raw Data'!$C:$O,11,0))),"")</f>
        <v/>
      </c>
      <c r="F1187" s="54" t="str">
        <f>IFERROR(IF(OR($B1187="",$B1187="(blank)"),"",VLOOKUP($B1187,'Email Marketing Raw Data'!$C:$O,13,0)),"")</f>
        <v/>
      </c>
      <c r="G1187" s="55" t="str">
        <f>IFERROR(IF(OR($B1187="",$B1187="(blank)"),"",VLOOKUP($B1187,'Email Marketing Raw Data'!$C:$O,4,0)),"")</f>
        <v/>
      </c>
      <c r="H1187" s="55" t="str">
        <f>IFERROR(IF(OR($B1187="",$B1187="(blank)"),"",VLOOKUP($B1187,'Email Marketing Raw Data'!$C:$O,5,0)),"")</f>
        <v/>
      </c>
      <c r="I1187" s="55" t="str">
        <f>IFERROR(IF($G1187="","",VLOOKUP('Dashboard And Emails Automate'!$G1187,Database!$H:$N,3,0)),"")</f>
        <v/>
      </c>
      <c r="J1187" s="55" t="str">
        <f>IFERROR(IF($G1187="","",VLOOKUP('Dashboard And Emails Automate'!$G1187,Database!$H:$N,4,0)),"")</f>
        <v/>
      </c>
      <c r="K1187" s="55" t="str">
        <f>IFERROR(IF($G1187="","",VLOOKUP('Dashboard And Emails Automate'!$G1187,Database!$H:$N,5,0)),"")</f>
        <v/>
      </c>
      <c r="L1187" s="55" t="str">
        <f>IFERROR(IF($G1187="","",VLOOKUP('Dashboard And Emails Automate'!$G1187,Database!$H:$N,6,0)),"")</f>
        <v/>
      </c>
      <c r="M1187" s="55" t="str">
        <f>IFERROR(IF($G1187="","",VLOOKUP('Dashboard And Emails Automate'!$G1187,Database!$H:$N,7,0)),"")</f>
        <v/>
      </c>
      <c r="N1187" s="55" t="str">
        <f>IFERROR(IF(OR($B1187="",$B1187="(blank)"),"",VLOOKUP($B1187,'Email Marketing Raw Data'!$C:$O,6,0)),"")</f>
        <v/>
      </c>
      <c r="O1187" s="55" t="str">
        <f>IFERROR(IF(OR($B1187="",$B1187="(blank)"),"",VLOOKUP($B1187,'Email Marketing Raw Data'!$C:$O,7,0)),"")</f>
        <v/>
      </c>
      <c r="P1187" s="55" t="str">
        <f>IFERROR(IF(OR($B1187="",$B1187="(blank)"),"",VLOOKUP($B1187,'Email Marketing Raw Data'!$C:$O,8,0)),"")</f>
        <v/>
      </c>
      <c r="Q1187" s="62" t="str">
        <f>IFERROR(IF(OR($B1187="",$B1187="(blank)"),"",VLOOKUP($B1187,'Email Marketing Raw Data'!$C:$O,9,0)),"")</f>
        <v/>
      </c>
    </row>
    <row r="1188" spans="4:17" ht="12.75" customHeight="1" x14ac:dyDescent="0.2">
      <c r="D1188" s="58" t="str">
        <f>IFERROR(IF(F1188&lt;&gt;"pending","",IF(OR($B1188="",$B1188="(blank)"),"",VLOOKUP($B1188,'Email Marketing Raw Data'!$C:$O,10,0))),"")</f>
        <v/>
      </c>
      <c r="E1188" s="59" t="str">
        <f>IFERROR(IF(F1188&lt;&gt;"pending","",IF(OR($B1188="",$B1188="(blank)"),"",VLOOKUP($B1188,'Email Marketing Raw Data'!$C:$O,11,0))),"")</f>
        <v/>
      </c>
      <c r="F1188" s="54" t="str">
        <f>IFERROR(IF(OR($B1188="",$B1188="(blank)"),"",VLOOKUP($B1188,'Email Marketing Raw Data'!$C:$O,13,0)),"")</f>
        <v/>
      </c>
      <c r="G1188" s="55" t="str">
        <f>IFERROR(IF(OR($B1188="",$B1188="(blank)"),"",VLOOKUP($B1188,'Email Marketing Raw Data'!$C:$O,4,0)),"")</f>
        <v/>
      </c>
      <c r="H1188" s="55" t="str">
        <f>IFERROR(IF(OR($B1188="",$B1188="(blank)"),"",VLOOKUP($B1188,'Email Marketing Raw Data'!$C:$O,5,0)),"")</f>
        <v/>
      </c>
      <c r="I1188" s="55" t="str">
        <f>IFERROR(IF($G1188="","",VLOOKUP('Dashboard And Emails Automate'!$G1188,Database!$H:$N,3,0)),"")</f>
        <v/>
      </c>
      <c r="J1188" s="55" t="str">
        <f>IFERROR(IF($G1188="","",VLOOKUP('Dashboard And Emails Automate'!$G1188,Database!$H:$N,4,0)),"")</f>
        <v/>
      </c>
      <c r="K1188" s="55" t="str">
        <f>IFERROR(IF($G1188="","",VLOOKUP('Dashboard And Emails Automate'!$G1188,Database!$H:$N,5,0)),"")</f>
        <v/>
      </c>
      <c r="L1188" s="55" t="str">
        <f>IFERROR(IF($G1188="","",VLOOKUP('Dashboard And Emails Automate'!$G1188,Database!$H:$N,6,0)),"")</f>
        <v/>
      </c>
      <c r="M1188" s="55" t="str">
        <f>IFERROR(IF($G1188="","",VLOOKUP('Dashboard And Emails Automate'!$G1188,Database!$H:$N,7,0)),"")</f>
        <v/>
      </c>
      <c r="N1188" s="55" t="str">
        <f>IFERROR(IF(OR($B1188="",$B1188="(blank)"),"",VLOOKUP($B1188,'Email Marketing Raw Data'!$C:$O,6,0)),"")</f>
        <v/>
      </c>
      <c r="O1188" s="55" t="str">
        <f>IFERROR(IF(OR($B1188="",$B1188="(blank)"),"",VLOOKUP($B1188,'Email Marketing Raw Data'!$C:$O,7,0)),"")</f>
        <v/>
      </c>
      <c r="P1188" s="55" t="str">
        <f>IFERROR(IF(OR($B1188="",$B1188="(blank)"),"",VLOOKUP($B1188,'Email Marketing Raw Data'!$C:$O,8,0)),"")</f>
        <v/>
      </c>
      <c r="Q1188" s="62" t="str">
        <f>IFERROR(IF(OR($B1188="",$B1188="(blank)"),"",VLOOKUP($B1188,'Email Marketing Raw Data'!$C:$O,9,0)),"")</f>
        <v/>
      </c>
    </row>
    <row r="1189" spans="4:17" ht="12.75" customHeight="1" x14ac:dyDescent="0.2">
      <c r="D1189" s="58" t="str">
        <f>IFERROR(IF(F1189&lt;&gt;"pending","",IF(OR($B1189="",$B1189="(blank)"),"",VLOOKUP($B1189,'Email Marketing Raw Data'!$C:$O,10,0))),"")</f>
        <v/>
      </c>
      <c r="E1189" s="59" t="str">
        <f>IFERROR(IF(F1189&lt;&gt;"pending","",IF(OR($B1189="",$B1189="(blank)"),"",VLOOKUP($B1189,'Email Marketing Raw Data'!$C:$O,11,0))),"")</f>
        <v/>
      </c>
      <c r="F1189" s="54" t="str">
        <f>IFERROR(IF(OR($B1189="",$B1189="(blank)"),"",VLOOKUP($B1189,'Email Marketing Raw Data'!$C:$O,13,0)),"")</f>
        <v/>
      </c>
      <c r="G1189" s="55" t="str">
        <f>IFERROR(IF(OR($B1189="",$B1189="(blank)"),"",VLOOKUP($B1189,'Email Marketing Raw Data'!$C:$O,4,0)),"")</f>
        <v/>
      </c>
      <c r="H1189" s="55" t="str">
        <f>IFERROR(IF(OR($B1189="",$B1189="(blank)"),"",VLOOKUP($B1189,'Email Marketing Raw Data'!$C:$O,5,0)),"")</f>
        <v/>
      </c>
      <c r="I1189" s="55" t="str">
        <f>IFERROR(IF($G1189="","",VLOOKUP('Dashboard And Emails Automate'!$G1189,Database!$H:$N,3,0)),"")</f>
        <v/>
      </c>
      <c r="J1189" s="55" t="str">
        <f>IFERROR(IF($G1189="","",VLOOKUP('Dashboard And Emails Automate'!$G1189,Database!$H:$N,4,0)),"")</f>
        <v/>
      </c>
      <c r="K1189" s="55" t="str">
        <f>IFERROR(IF($G1189="","",VLOOKUP('Dashboard And Emails Automate'!$G1189,Database!$H:$N,5,0)),"")</f>
        <v/>
      </c>
      <c r="L1189" s="55" t="str">
        <f>IFERROR(IF($G1189="","",VLOOKUP('Dashboard And Emails Automate'!$G1189,Database!$H:$N,6,0)),"")</f>
        <v/>
      </c>
      <c r="M1189" s="55" t="str">
        <f>IFERROR(IF($G1189="","",VLOOKUP('Dashboard And Emails Automate'!$G1189,Database!$H:$N,7,0)),"")</f>
        <v/>
      </c>
      <c r="N1189" s="55" t="str">
        <f>IFERROR(IF(OR($B1189="",$B1189="(blank)"),"",VLOOKUP($B1189,'Email Marketing Raw Data'!$C:$O,6,0)),"")</f>
        <v/>
      </c>
      <c r="O1189" s="55" t="str">
        <f>IFERROR(IF(OR($B1189="",$B1189="(blank)"),"",VLOOKUP($B1189,'Email Marketing Raw Data'!$C:$O,7,0)),"")</f>
        <v/>
      </c>
      <c r="P1189" s="55" t="str">
        <f>IFERROR(IF(OR($B1189="",$B1189="(blank)"),"",VLOOKUP($B1189,'Email Marketing Raw Data'!$C:$O,8,0)),"")</f>
        <v/>
      </c>
      <c r="Q1189" s="62" t="str">
        <f>IFERROR(IF(OR($B1189="",$B1189="(blank)"),"",VLOOKUP($B1189,'Email Marketing Raw Data'!$C:$O,9,0)),"")</f>
        <v/>
      </c>
    </row>
    <row r="1190" spans="4:17" ht="12.75" customHeight="1" x14ac:dyDescent="0.2">
      <c r="D1190" s="58" t="str">
        <f>IFERROR(IF(F1190&lt;&gt;"pending","",IF(OR($B1190="",$B1190="(blank)"),"",VLOOKUP($B1190,'Email Marketing Raw Data'!$C:$O,10,0))),"")</f>
        <v/>
      </c>
      <c r="E1190" s="59" t="str">
        <f>IFERROR(IF(F1190&lt;&gt;"pending","",IF(OR($B1190="",$B1190="(blank)"),"",VLOOKUP($B1190,'Email Marketing Raw Data'!$C:$O,11,0))),"")</f>
        <v/>
      </c>
      <c r="F1190" s="54" t="str">
        <f>IFERROR(IF(OR($B1190="",$B1190="(blank)"),"",VLOOKUP($B1190,'Email Marketing Raw Data'!$C:$O,13,0)),"")</f>
        <v/>
      </c>
      <c r="G1190" s="55" t="str">
        <f>IFERROR(IF(OR($B1190="",$B1190="(blank)"),"",VLOOKUP($B1190,'Email Marketing Raw Data'!$C:$O,4,0)),"")</f>
        <v/>
      </c>
      <c r="H1190" s="55" t="str">
        <f>IFERROR(IF(OR($B1190="",$B1190="(blank)"),"",VLOOKUP($B1190,'Email Marketing Raw Data'!$C:$O,5,0)),"")</f>
        <v/>
      </c>
      <c r="I1190" s="55" t="str">
        <f>IFERROR(IF($G1190="","",VLOOKUP('Dashboard And Emails Automate'!$G1190,Database!$H:$N,3,0)),"")</f>
        <v/>
      </c>
      <c r="J1190" s="55" t="str">
        <f>IFERROR(IF($G1190="","",VLOOKUP('Dashboard And Emails Automate'!$G1190,Database!$H:$N,4,0)),"")</f>
        <v/>
      </c>
      <c r="K1190" s="55" t="str">
        <f>IFERROR(IF($G1190="","",VLOOKUP('Dashboard And Emails Automate'!$G1190,Database!$H:$N,5,0)),"")</f>
        <v/>
      </c>
      <c r="L1190" s="55" t="str">
        <f>IFERROR(IF($G1190="","",VLOOKUP('Dashboard And Emails Automate'!$G1190,Database!$H:$N,6,0)),"")</f>
        <v/>
      </c>
      <c r="M1190" s="55" t="str">
        <f>IFERROR(IF($G1190="","",VLOOKUP('Dashboard And Emails Automate'!$G1190,Database!$H:$N,7,0)),"")</f>
        <v/>
      </c>
      <c r="N1190" s="55" t="str">
        <f>IFERROR(IF(OR($B1190="",$B1190="(blank)"),"",VLOOKUP($B1190,'Email Marketing Raw Data'!$C:$O,6,0)),"")</f>
        <v/>
      </c>
      <c r="O1190" s="55" t="str">
        <f>IFERROR(IF(OR($B1190="",$B1190="(blank)"),"",VLOOKUP($B1190,'Email Marketing Raw Data'!$C:$O,7,0)),"")</f>
        <v/>
      </c>
      <c r="P1190" s="55" t="str">
        <f>IFERROR(IF(OR($B1190="",$B1190="(blank)"),"",VLOOKUP($B1190,'Email Marketing Raw Data'!$C:$O,8,0)),"")</f>
        <v/>
      </c>
      <c r="Q1190" s="62" t="str">
        <f>IFERROR(IF(OR($B1190="",$B1190="(blank)"),"",VLOOKUP($B1190,'Email Marketing Raw Data'!$C:$O,9,0)),"")</f>
        <v/>
      </c>
    </row>
    <row r="1191" spans="4:17" ht="12.75" customHeight="1" x14ac:dyDescent="0.2">
      <c r="D1191" s="58" t="str">
        <f>IFERROR(IF(F1191&lt;&gt;"pending","",IF(OR($B1191="",$B1191="(blank)"),"",VLOOKUP($B1191,'Email Marketing Raw Data'!$C:$O,10,0))),"")</f>
        <v/>
      </c>
      <c r="E1191" s="59" t="str">
        <f>IFERROR(IF(F1191&lt;&gt;"pending","",IF(OR($B1191="",$B1191="(blank)"),"",VLOOKUP($B1191,'Email Marketing Raw Data'!$C:$O,11,0))),"")</f>
        <v/>
      </c>
      <c r="F1191" s="54" t="str">
        <f>IFERROR(IF(OR($B1191="",$B1191="(blank)"),"",VLOOKUP($B1191,'Email Marketing Raw Data'!$C:$O,13,0)),"")</f>
        <v/>
      </c>
      <c r="G1191" s="55" t="str">
        <f>IFERROR(IF(OR($B1191="",$B1191="(blank)"),"",VLOOKUP($B1191,'Email Marketing Raw Data'!$C:$O,4,0)),"")</f>
        <v/>
      </c>
      <c r="H1191" s="55" t="str">
        <f>IFERROR(IF(OR($B1191="",$B1191="(blank)"),"",VLOOKUP($B1191,'Email Marketing Raw Data'!$C:$O,5,0)),"")</f>
        <v/>
      </c>
      <c r="I1191" s="55" t="str">
        <f>IFERROR(IF($G1191="","",VLOOKUP('Dashboard And Emails Automate'!$G1191,Database!$H:$N,3,0)),"")</f>
        <v/>
      </c>
      <c r="J1191" s="55" t="str">
        <f>IFERROR(IF($G1191="","",VLOOKUP('Dashboard And Emails Automate'!$G1191,Database!$H:$N,4,0)),"")</f>
        <v/>
      </c>
      <c r="K1191" s="55" t="str">
        <f>IFERROR(IF($G1191="","",VLOOKUP('Dashboard And Emails Automate'!$G1191,Database!$H:$N,5,0)),"")</f>
        <v/>
      </c>
      <c r="L1191" s="55" t="str">
        <f>IFERROR(IF($G1191="","",VLOOKUP('Dashboard And Emails Automate'!$G1191,Database!$H:$N,6,0)),"")</f>
        <v/>
      </c>
      <c r="M1191" s="55" t="str">
        <f>IFERROR(IF($G1191="","",VLOOKUP('Dashboard And Emails Automate'!$G1191,Database!$H:$N,7,0)),"")</f>
        <v/>
      </c>
      <c r="N1191" s="55" t="str">
        <f>IFERROR(IF(OR($B1191="",$B1191="(blank)"),"",VLOOKUP($B1191,'Email Marketing Raw Data'!$C:$O,6,0)),"")</f>
        <v/>
      </c>
      <c r="O1191" s="55" t="str">
        <f>IFERROR(IF(OR($B1191="",$B1191="(blank)"),"",VLOOKUP($B1191,'Email Marketing Raw Data'!$C:$O,7,0)),"")</f>
        <v/>
      </c>
      <c r="P1191" s="55" t="str">
        <f>IFERROR(IF(OR($B1191="",$B1191="(blank)"),"",VLOOKUP($B1191,'Email Marketing Raw Data'!$C:$O,8,0)),"")</f>
        <v/>
      </c>
      <c r="Q1191" s="62" t="str">
        <f>IFERROR(IF(OR($B1191="",$B1191="(blank)"),"",VLOOKUP($B1191,'Email Marketing Raw Data'!$C:$O,9,0)),"")</f>
        <v/>
      </c>
    </row>
    <row r="1192" spans="4:17" ht="12.75" customHeight="1" x14ac:dyDescent="0.2">
      <c r="D1192" s="58" t="str">
        <f>IFERROR(IF(F1192&lt;&gt;"pending","",IF(OR($B1192="",$B1192="(blank)"),"",VLOOKUP($B1192,'Email Marketing Raw Data'!$C:$O,10,0))),"")</f>
        <v/>
      </c>
      <c r="E1192" s="59" t="str">
        <f>IFERROR(IF(F1192&lt;&gt;"pending","",IF(OR($B1192="",$B1192="(blank)"),"",VLOOKUP($B1192,'Email Marketing Raw Data'!$C:$O,11,0))),"")</f>
        <v/>
      </c>
      <c r="F1192" s="54" t="str">
        <f>IFERROR(IF(OR($B1192="",$B1192="(blank)"),"",VLOOKUP($B1192,'Email Marketing Raw Data'!$C:$O,13,0)),"")</f>
        <v/>
      </c>
      <c r="G1192" s="55" t="str">
        <f>IFERROR(IF(OR($B1192="",$B1192="(blank)"),"",VLOOKUP($B1192,'Email Marketing Raw Data'!$C:$O,4,0)),"")</f>
        <v/>
      </c>
      <c r="H1192" s="55" t="str">
        <f>IFERROR(IF(OR($B1192="",$B1192="(blank)"),"",VLOOKUP($B1192,'Email Marketing Raw Data'!$C:$O,5,0)),"")</f>
        <v/>
      </c>
      <c r="I1192" s="55" t="str">
        <f>IFERROR(IF($G1192="","",VLOOKUP('Dashboard And Emails Automate'!$G1192,Database!$H:$N,3,0)),"")</f>
        <v/>
      </c>
      <c r="J1192" s="55" t="str">
        <f>IFERROR(IF($G1192="","",VLOOKUP('Dashboard And Emails Automate'!$G1192,Database!$H:$N,4,0)),"")</f>
        <v/>
      </c>
      <c r="K1192" s="55" t="str">
        <f>IFERROR(IF($G1192="","",VLOOKUP('Dashboard And Emails Automate'!$G1192,Database!$H:$N,5,0)),"")</f>
        <v/>
      </c>
      <c r="L1192" s="55" t="str">
        <f>IFERROR(IF($G1192="","",VLOOKUP('Dashboard And Emails Automate'!$G1192,Database!$H:$N,6,0)),"")</f>
        <v/>
      </c>
      <c r="M1192" s="55" t="str">
        <f>IFERROR(IF($G1192="","",VLOOKUP('Dashboard And Emails Automate'!$G1192,Database!$H:$N,7,0)),"")</f>
        <v/>
      </c>
      <c r="N1192" s="55" t="str">
        <f>IFERROR(IF(OR($B1192="",$B1192="(blank)"),"",VLOOKUP($B1192,'Email Marketing Raw Data'!$C:$O,6,0)),"")</f>
        <v/>
      </c>
      <c r="O1192" s="55" t="str">
        <f>IFERROR(IF(OR($B1192="",$B1192="(blank)"),"",VLOOKUP($B1192,'Email Marketing Raw Data'!$C:$O,7,0)),"")</f>
        <v/>
      </c>
      <c r="P1192" s="55" t="str">
        <f>IFERROR(IF(OR($B1192="",$B1192="(blank)"),"",VLOOKUP($B1192,'Email Marketing Raw Data'!$C:$O,8,0)),"")</f>
        <v/>
      </c>
      <c r="Q1192" s="62" t="str">
        <f>IFERROR(IF(OR($B1192="",$B1192="(blank)"),"",VLOOKUP($B1192,'Email Marketing Raw Data'!$C:$O,9,0)),"")</f>
        <v/>
      </c>
    </row>
    <row r="1193" spans="4:17" ht="12.75" customHeight="1" x14ac:dyDescent="0.2">
      <c r="D1193" s="58" t="str">
        <f>IFERROR(IF(F1193&lt;&gt;"pending","",IF(OR($B1193="",$B1193="(blank)"),"",VLOOKUP($B1193,'Email Marketing Raw Data'!$C:$O,10,0))),"")</f>
        <v/>
      </c>
      <c r="E1193" s="59" t="str">
        <f>IFERROR(IF(F1193&lt;&gt;"pending","",IF(OR($B1193="",$B1193="(blank)"),"",VLOOKUP($B1193,'Email Marketing Raw Data'!$C:$O,11,0))),"")</f>
        <v/>
      </c>
      <c r="F1193" s="54" t="str">
        <f>IFERROR(IF(OR($B1193="",$B1193="(blank)"),"",VLOOKUP($B1193,'Email Marketing Raw Data'!$C:$O,13,0)),"")</f>
        <v/>
      </c>
      <c r="G1193" s="55" t="str">
        <f>IFERROR(IF(OR($B1193="",$B1193="(blank)"),"",VLOOKUP($B1193,'Email Marketing Raw Data'!$C:$O,4,0)),"")</f>
        <v/>
      </c>
      <c r="H1193" s="55" t="str">
        <f>IFERROR(IF(OR($B1193="",$B1193="(blank)"),"",VLOOKUP($B1193,'Email Marketing Raw Data'!$C:$O,5,0)),"")</f>
        <v/>
      </c>
      <c r="I1193" s="55" t="str">
        <f>IFERROR(IF($G1193="","",VLOOKUP('Dashboard And Emails Automate'!$G1193,Database!$H:$N,3,0)),"")</f>
        <v/>
      </c>
      <c r="J1193" s="55" t="str">
        <f>IFERROR(IF($G1193="","",VLOOKUP('Dashboard And Emails Automate'!$G1193,Database!$H:$N,4,0)),"")</f>
        <v/>
      </c>
      <c r="K1193" s="55" t="str">
        <f>IFERROR(IF($G1193="","",VLOOKUP('Dashboard And Emails Automate'!$G1193,Database!$H:$N,5,0)),"")</f>
        <v/>
      </c>
      <c r="L1193" s="55" t="str">
        <f>IFERROR(IF($G1193="","",VLOOKUP('Dashboard And Emails Automate'!$G1193,Database!$H:$N,6,0)),"")</f>
        <v/>
      </c>
      <c r="M1193" s="55" t="str">
        <f>IFERROR(IF($G1193="","",VLOOKUP('Dashboard And Emails Automate'!$G1193,Database!$H:$N,7,0)),"")</f>
        <v/>
      </c>
      <c r="N1193" s="55" t="str">
        <f>IFERROR(IF(OR($B1193="",$B1193="(blank)"),"",VLOOKUP($B1193,'Email Marketing Raw Data'!$C:$O,6,0)),"")</f>
        <v/>
      </c>
      <c r="O1193" s="55" t="str">
        <f>IFERROR(IF(OR($B1193="",$B1193="(blank)"),"",VLOOKUP($B1193,'Email Marketing Raw Data'!$C:$O,7,0)),"")</f>
        <v/>
      </c>
      <c r="P1193" s="55" t="str">
        <f>IFERROR(IF(OR($B1193="",$B1193="(blank)"),"",VLOOKUP($B1193,'Email Marketing Raw Data'!$C:$O,8,0)),"")</f>
        <v/>
      </c>
      <c r="Q1193" s="62" t="str">
        <f>IFERROR(IF(OR($B1193="",$B1193="(blank)"),"",VLOOKUP($B1193,'Email Marketing Raw Data'!$C:$O,9,0)),"")</f>
        <v/>
      </c>
    </row>
    <row r="1194" spans="4:17" ht="12.75" customHeight="1" x14ac:dyDescent="0.2">
      <c r="D1194" s="58" t="str">
        <f>IFERROR(IF(F1194&lt;&gt;"pending","",IF(OR($B1194="",$B1194="(blank)"),"",VLOOKUP($B1194,'Email Marketing Raw Data'!$C:$O,10,0))),"")</f>
        <v/>
      </c>
      <c r="E1194" s="59" t="str">
        <f>IFERROR(IF(F1194&lt;&gt;"pending","",IF(OR($B1194="",$B1194="(blank)"),"",VLOOKUP($B1194,'Email Marketing Raw Data'!$C:$O,11,0))),"")</f>
        <v/>
      </c>
      <c r="F1194" s="54" t="str">
        <f>IFERROR(IF(OR($B1194="",$B1194="(blank)"),"",VLOOKUP($B1194,'Email Marketing Raw Data'!$C:$O,13,0)),"")</f>
        <v/>
      </c>
      <c r="G1194" s="55" t="str">
        <f>IFERROR(IF(OR($B1194="",$B1194="(blank)"),"",VLOOKUP($B1194,'Email Marketing Raw Data'!$C:$O,4,0)),"")</f>
        <v/>
      </c>
      <c r="H1194" s="55" t="str">
        <f>IFERROR(IF(OR($B1194="",$B1194="(blank)"),"",VLOOKUP($B1194,'Email Marketing Raw Data'!$C:$O,5,0)),"")</f>
        <v/>
      </c>
      <c r="I1194" s="55" t="str">
        <f>IFERROR(IF($G1194="","",VLOOKUP('Dashboard And Emails Automate'!$G1194,Database!$H:$N,3,0)),"")</f>
        <v/>
      </c>
      <c r="J1194" s="55" t="str">
        <f>IFERROR(IF($G1194="","",VLOOKUP('Dashboard And Emails Automate'!$G1194,Database!$H:$N,4,0)),"")</f>
        <v/>
      </c>
      <c r="K1194" s="55" t="str">
        <f>IFERROR(IF($G1194="","",VLOOKUP('Dashboard And Emails Automate'!$G1194,Database!$H:$N,5,0)),"")</f>
        <v/>
      </c>
      <c r="L1194" s="55" t="str">
        <f>IFERROR(IF($G1194="","",VLOOKUP('Dashboard And Emails Automate'!$G1194,Database!$H:$N,6,0)),"")</f>
        <v/>
      </c>
      <c r="M1194" s="55" t="str">
        <f>IFERROR(IF($G1194="","",VLOOKUP('Dashboard And Emails Automate'!$G1194,Database!$H:$N,7,0)),"")</f>
        <v/>
      </c>
      <c r="N1194" s="55" t="str">
        <f>IFERROR(IF(OR($B1194="",$B1194="(blank)"),"",VLOOKUP($B1194,'Email Marketing Raw Data'!$C:$O,6,0)),"")</f>
        <v/>
      </c>
      <c r="O1194" s="55" t="str">
        <f>IFERROR(IF(OR($B1194="",$B1194="(blank)"),"",VLOOKUP($B1194,'Email Marketing Raw Data'!$C:$O,7,0)),"")</f>
        <v/>
      </c>
      <c r="P1194" s="55" t="str">
        <f>IFERROR(IF(OR($B1194="",$B1194="(blank)"),"",VLOOKUP($B1194,'Email Marketing Raw Data'!$C:$O,8,0)),"")</f>
        <v/>
      </c>
      <c r="Q1194" s="62" t="str">
        <f>IFERROR(IF(OR($B1194="",$B1194="(blank)"),"",VLOOKUP($B1194,'Email Marketing Raw Data'!$C:$O,9,0)),"")</f>
        <v/>
      </c>
    </row>
    <row r="1195" spans="4:17" ht="12.75" customHeight="1" x14ac:dyDescent="0.2">
      <c r="D1195" s="58" t="str">
        <f>IFERROR(IF(F1195&lt;&gt;"pending","",IF(OR($B1195="",$B1195="(blank)"),"",VLOOKUP($B1195,'Email Marketing Raw Data'!$C:$O,10,0))),"")</f>
        <v/>
      </c>
      <c r="E1195" s="59" t="str">
        <f>IFERROR(IF(F1195&lt;&gt;"pending","",IF(OR($B1195="",$B1195="(blank)"),"",VLOOKUP($B1195,'Email Marketing Raw Data'!$C:$O,11,0))),"")</f>
        <v/>
      </c>
      <c r="F1195" s="54" t="str">
        <f>IFERROR(IF(OR($B1195="",$B1195="(blank)"),"",VLOOKUP($B1195,'Email Marketing Raw Data'!$C:$O,13,0)),"")</f>
        <v/>
      </c>
      <c r="G1195" s="55" t="str">
        <f>IFERROR(IF(OR($B1195="",$B1195="(blank)"),"",VLOOKUP($B1195,'Email Marketing Raw Data'!$C:$O,4,0)),"")</f>
        <v/>
      </c>
      <c r="H1195" s="55" t="str">
        <f>IFERROR(IF(OR($B1195="",$B1195="(blank)"),"",VLOOKUP($B1195,'Email Marketing Raw Data'!$C:$O,5,0)),"")</f>
        <v/>
      </c>
      <c r="I1195" s="55" t="str">
        <f>IFERROR(IF($G1195="","",VLOOKUP('Dashboard And Emails Automate'!$G1195,Database!$H:$N,3,0)),"")</f>
        <v/>
      </c>
      <c r="J1195" s="55" t="str">
        <f>IFERROR(IF($G1195="","",VLOOKUP('Dashboard And Emails Automate'!$G1195,Database!$H:$N,4,0)),"")</f>
        <v/>
      </c>
      <c r="K1195" s="55" t="str">
        <f>IFERROR(IF($G1195="","",VLOOKUP('Dashboard And Emails Automate'!$G1195,Database!$H:$N,5,0)),"")</f>
        <v/>
      </c>
      <c r="L1195" s="55" t="str">
        <f>IFERROR(IF($G1195="","",VLOOKUP('Dashboard And Emails Automate'!$G1195,Database!$H:$N,6,0)),"")</f>
        <v/>
      </c>
      <c r="M1195" s="55" t="str">
        <f>IFERROR(IF($G1195="","",VLOOKUP('Dashboard And Emails Automate'!$G1195,Database!$H:$N,7,0)),"")</f>
        <v/>
      </c>
      <c r="N1195" s="55" t="str">
        <f>IFERROR(IF(OR($B1195="",$B1195="(blank)"),"",VLOOKUP($B1195,'Email Marketing Raw Data'!$C:$O,6,0)),"")</f>
        <v/>
      </c>
      <c r="O1195" s="55" t="str">
        <f>IFERROR(IF(OR($B1195="",$B1195="(blank)"),"",VLOOKUP($B1195,'Email Marketing Raw Data'!$C:$O,7,0)),"")</f>
        <v/>
      </c>
      <c r="P1195" s="55" t="str">
        <f>IFERROR(IF(OR($B1195="",$B1195="(blank)"),"",VLOOKUP($B1195,'Email Marketing Raw Data'!$C:$O,8,0)),"")</f>
        <v/>
      </c>
      <c r="Q1195" s="62" t="str">
        <f>IFERROR(IF(OR($B1195="",$B1195="(blank)"),"",VLOOKUP($B1195,'Email Marketing Raw Data'!$C:$O,9,0)),"")</f>
        <v/>
      </c>
    </row>
    <row r="1196" spans="4:17" ht="12.75" customHeight="1" x14ac:dyDescent="0.2">
      <c r="D1196" s="58" t="str">
        <f>IFERROR(IF(F1196&lt;&gt;"pending","",IF(OR($B1196="",$B1196="(blank)"),"",VLOOKUP($B1196,'Email Marketing Raw Data'!$C:$O,10,0))),"")</f>
        <v/>
      </c>
      <c r="E1196" s="59" t="str">
        <f>IFERROR(IF(F1196&lt;&gt;"pending","",IF(OR($B1196="",$B1196="(blank)"),"",VLOOKUP($B1196,'Email Marketing Raw Data'!$C:$O,11,0))),"")</f>
        <v/>
      </c>
      <c r="F1196" s="54" t="str">
        <f>IFERROR(IF(OR($B1196="",$B1196="(blank)"),"",VLOOKUP($B1196,'Email Marketing Raw Data'!$C:$O,13,0)),"")</f>
        <v/>
      </c>
      <c r="G1196" s="55" t="str">
        <f>IFERROR(IF(OR($B1196="",$B1196="(blank)"),"",VLOOKUP($B1196,'Email Marketing Raw Data'!$C:$O,4,0)),"")</f>
        <v/>
      </c>
      <c r="H1196" s="55" t="str">
        <f>IFERROR(IF(OR($B1196="",$B1196="(blank)"),"",VLOOKUP($B1196,'Email Marketing Raw Data'!$C:$O,5,0)),"")</f>
        <v/>
      </c>
      <c r="I1196" s="55" t="str">
        <f>IFERROR(IF($G1196="","",VLOOKUP('Dashboard And Emails Automate'!$G1196,Database!$H:$N,3,0)),"")</f>
        <v/>
      </c>
      <c r="J1196" s="55" t="str">
        <f>IFERROR(IF($G1196="","",VLOOKUP('Dashboard And Emails Automate'!$G1196,Database!$H:$N,4,0)),"")</f>
        <v/>
      </c>
      <c r="K1196" s="55" t="str">
        <f>IFERROR(IF($G1196="","",VLOOKUP('Dashboard And Emails Automate'!$G1196,Database!$H:$N,5,0)),"")</f>
        <v/>
      </c>
      <c r="L1196" s="55" t="str">
        <f>IFERROR(IF($G1196="","",VLOOKUP('Dashboard And Emails Automate'!$G1196,Database!$H:$N,6,0)),"")</f>
        <v/>
      </c>
      <c r="M1196" s="55" t="str">
        <f>IFERROR(IF($G1196="","",VLOOKUP('Dashboard And Emails Automate'!$G1196,Database!$H:$N,7,0)),"")</f>
        <v/>
      </c>
      <c r="N1196" s="55" t="str">
        <f>IFERROR(IF(OR($B1196="",$B1196="(blank)"),"",VLOOKUP($B1196,'Email Marketing Raw Data'!$C:$O,6,0)),"")</f>
        <v/>
      </c>
      <c r="O1196" s="55" t="str">
        <f>IFERROR(IF(OR($B1196="",$B1196="(blank)"),"",VLOOKUP($B1196,'Email Marketing Raw Data'!$C:$O,7,0)),"")</f>
        <v/>
      </c>
      <c r="P1196" s="55" t="str">
        <f>IFERROR(IF(OR($B1196="",$B1196="(blank)"),"",VLOOKUP($B1196,'Email Marketing Raw Data'!$C:$O,8,0)),"")</f>
        <v/>
      </c>
      <c r="Q1196" s="62" t="str">
        <f>IFERROR(IF(OR($B1196="",$B1196="(blank)"),"",VLOOKUP($B1196,'Email Marketing Raw Data'!$C:$O,9,0)),"")</f>
        <v/>
      </c>
    </row>
    <row r="1197" spans="4:17" ht="12.75" customHeight="1" x14ac:dyDescent="0.2">
      <c r="D1197" s="58" t="str">
        <f>IFERROR(IF(F1197&lt;&gt;"pending","",IF(OR($B1197="",$B1197="(blank)"),"",VLOOKUP($B1197,'Email Marketing Raw Data'!$C:$O,10,0))),"")</f>
        <v/>
      </c>
      <c r="E1197" s="59" t="str">
        <f>IFERROR(IF(F1197&lt;&gt;"pending","",IF(OR($B1197="",$B1197="(blank)"),"",VLOOKUP($B1197,'Email Marketing Raw Data'!$C:$O,11,0))),"")</f>
        <v/>
      </c>
      <c r="F1197" s="54" t="str">
        <f>IFERROR(IF(OR($B1197="",$B1197="(blank)"),"",VLOOKUP($B1197,'Email Marketing Raw Data'!$C:$O,13,0)),"")</f>
        <v/>
      </c>
      <c r="G1197" s="55" t="str">
        <f>IFERROR(IF(OR($B1197="",$B1197="(blank)"),"",VLOOKUP($B1197,'Email Marketing Raw Data'!$C:$O,4,0)),"")</f>
        <v/>
      </c>
      <c r="H1197" s="55" t="str">
        <f>IFERROR(IF(OR($B1197="",$B1197="(blank)"),"",VLOOKUP($B1197,'Email Marketing Raw Data'!$C:$O,5,0)),"")</f>
        <v/>
      </c>
      <c r="I1197" s="55" t="str">
        <f>IFERROR(IF($G1197="","",VLOOKUP('Dashboard And Emails Automate'!$G1197,Database!$H:$N,3,0)),"")</f>
        <v/>
      </c>
      <c r="J1197" s="55" t="str">
        <f>IFERROR(IF($G1197="","",VLOOKUP('Dashboard And Emails Automate'!$G1197,Database!$H:$N,4,0)),"")</f>
        <v/>
      </c>
      <c r="K1197" s="55" t="str">
        <f>IFERROR(IF($G1197="","",VLOOKUP('Dashboard And Emails Automate'!$G1197,Database!$H:$N,5,0)),"")</f>
        <v/>
      </c>
      <c r="L1197" s="55" t="str">
        <f>IFERROR(IF($G1197="","",VLOOKUP('Dashboard And Emails Automate'!$G1197,Database!$H:$N,6,0)),"")</f>
        <v/>
      </c>
      <c r="M1197" s="55" t="str">
        <f>IFERROR(IF($G1197="","",VLOOKUP('Dashboard And Emails Automate'!$G1197,Database!$H:$N,7,0)),"")</f>
        <v/>
      </c>
      <c r="N1197" s="55" t="str">
        <f>IFERROR(IF(OR($B1197="",$B1197="(blank)"),"",VLOOKUP($B1197,'Email Marketing Raw Data'!$C:$O,6,0)),"")</f>
        <v/>
      </c>
      <c r="O1197" s="55" t="str">
        <f>IFERROR(IF(OR($B1197="",$B1197="(blank)"),"",VLOOKUP($B1197,'Email Marketing Raw Data'!$C:$O,7,0)),"")</f>
        <v/>
      </c>
      <c r="P1197" s="55" t="str">
        <f>IFERROR(IF(OR($B1197="",$B1197="(blank)"),"",VLOOKUP($B1197,'Email Marketing Raw Data'!$C:$O,8,0)),"")</f>
        <v/>
      </c>
      <c r="Q1197" s="62" t="str">
        <f>IFERROR(IF(OR($B1197="",$B1197="(blank)"),"",VLOOKUP($B1197,'Email Marketing Raw Data'!$C:$O,9,0)),"")</f>
        <v/>
      </c>
    </row>
    <row r="1198" spans="4:17" ht="12.75" customHeight="1" x14ac:dyDescent="0.2">
      <c r="D1198" s="58" t="str">
        <f>IFERROR(IF(F1198&lt;&gt;"pending","",IF(OR($B1198="",$B1198="(blank)"),"",VLOOKUP($B1198,'Email Marketing Raw Data'!$C:$O,10,0))),"")</f>
        <v/>
      </c>
      <c r="E1198" s="59" t="str">
        <f>IFERROR(IF(F1198&lt;&gt;"pending","",IF(OR($B1198="",$B1198="(blank)"),"",VLOOKUP($B1198,'Email Marketing Raw Data'!$C:$O,11,0))),"")</f>
        <v/>
      </c>
      <c r="F1198" s="54" t="str">
        <f>IFERROR(IF(OR($B1198="",$B1198="(blank)"),"",VLOOKUP($B1198,'Email Marketing Raw Data'!$C:$O,13,0)),"")</f>
        <v/>
      </c>
      <c r="G1198" s="55" t="str">
        <f>IFERROR(IF(OR($B1198="",$B1198="(blank)"),"",VLOOKUP($B1198,'Email Marketing Raw Data'!$C:$O,4,0)),"")</f>
        <v/>
      </c>
      <c r="H1198" s="55" t="str">
        <f>IFERROR(IF(OR($B1198="",$B1198="(blank)"),"",VLOOKUP($B1198,'Email Marketing Raw Data'!$C:$O,5,0)),"")</f>
        <v/>
      </c>
      <c r="I1198" s="55" t="str">
        <f>IFERROR(IF($G1198="","",VLOOKUP('Dashboard And Emails Automate'!$G1198,Database!$H:$N,3,0)),"")</f>
        <v/>
      </c>
      <c r="J1198" s="55" t="str">
        <f>IFERROR(IF($G1198="","",VLOOKUP('Dashboard And Emails Automate'!$G1198,Database!$H:$N,4,0)),"")</f>
        <v/>
      </c>
      <c r="K1198" s="55" t="str">
        <f>IFERROR(IF($G1198="","",VLOOKUP('Dashboard And Emails Automate'!$G1198,Database!$H:$N,5,0)),"")</f>
        <v/>
      </c>
      <c r="L1198" s="55" t="str">
        <f>IFERROR(IF($G1198="","",VLOOKUP('Dashboard And Emails Automate'!$G1198,Database!$H:$N,6,0)),"")</f>
        <v/>
      </c>
      <c r="M1198" s="55" t="str">
        <f>IFERROR(IF($G1198="","",VLOOKUP('Dashboard And Emails Automate'!$G1198,Database!$H:$N,7,0)),"")</f>
        <v/>
      </c>
      <c r="N1198" s="55" t="str">
        <f>IFERROR(IF(OR($B1198="",$B1198="(blank)"),"",VLOOKUP($B1198,'Email Marketing Raw Data'!$C:$O,6,0)),"")</f>
        <v/>
      </c>
      <c r="O1198" s="55" t="str">
        <f>IFERROR(IF(OR($B1198="",$B1198="(blank)"),"",VLOOKUP($B1198,'Email Marketing Raw Data'!$C:$O,7,0)),"")</f>
        <v/>
      </c>
      <c r="P1198" s="55" t="str">
        <f>IFERROR(IF(OR($B1198="",$B1198="(blank)"),"",VLOOKUP($B1198,'Email Marketing Raw Data'!$C:$O,8,0)),"")</f>
        <v/>
      </c>
      <c r="Q1198" s="62" t="str">
        <f>IFERROR(IF(OR($B1198="",$B1198="(blank)"),"",VLOOKUP($B1198,'Email Marketing Raw Data'!$C:$O,9,0)),"")</f>
        <v/>
      </c>
    </row>
    <row r="1199" spans="4:17" ht="12.75" customHeight="1" x14ac:dyDescent="0.2">
      <c r="D1199" s="58" t="str">
        <f>IFERROR(IF(F1199&lt;&gt;"pending","",IF(OR($B1199="",$B1199="(blank)"),"",VLOOKUP($B1199,'Email Marketing Raw Data'!$C:$O,10,0))),"")</f>
        <v/>
      </c>
      <c r="E1199" s="59" t="str">
        <f>IFERROR(IF(F1199&lt;&gt;"pending","",IF(OR($B1199="",$B1199="(blank)"),"",VLOOKUP($B1199,'Email Marketing Raw Data'!$C:$O,11,0))),"")</f>
        <v/>
      </c>
      <c r="F1199" s="54" t="str">
        <f>IFERROR(IF(OR($B1199="",$B1199="(blank)"),"",VLOOKUP($B1199,'Email Marketing Raw Data'!$C:$O,13,0)),"")</f>
        <v/>
      </c>
      <c r="G1199" s="55" t="str">
        <f>IFERROR(IF(OR($B1199="",$B1199="(blank)"),"",VLOOKUP($B1199,'Email Marketing Raw Data'!$C:$O,4,0)),"")</f>
        <v/>
      </c>
      <c r="H1199" s="55" t="str">
        <f>IFERROR(IF(OR($B1199="",$B1199="(blank)"),"",VLOOKUP($B1199,'Email Marketing Raw Data'!$C:$O,5,0)),"")</f>
        <v/>
      </c>
      <c r="I1199" s="55" t="str">
        <f>IFERROR(IF($G1199="","",VLOOKUP('Dashboard And Emails Automate'!$G1199,Database!$H:$N,3,0)),"")</f>
        <v/>
      </c>
      <c r="J1199" s="55" t="str">
        <f>IFERROR(IF($G1199="","",VLOOKUP('Dashboard And Emails Automate'!$G1199,Database!$H:$N,4,0)),"")</f>
        <v/>
      </c>
      <c r="K1199" s="55" t="str">
        <f>IFERROR(IF($G1199="","",VLOOKUP('Dashboard And Emails Automate'!$G1199,Database!$H:$N,5,0)),"")</f>
        <v/>
      </c>
      <c r="L1199" s="55" t="str">
        <f>IFERROR(IF($G1199="","",VLOOKUP('Dashboard And Emails Automate'!$G1199,Database!$H:$N,6,0)),"")</f>
        <v/>
      </c>
      <c r="M1199" s="55" t="str">
        <f>IFERROR(IF($G1199="","",VLOOKUP('Dashboard And Emails Automate'!$G1199,Database!$H:$N,7,0)),"")</f>
        <v/>
      </c>
      <c r="N1199" s="55" t="str">
        <f>IFERROR(IF(OR($B1199="",$B1199="(blank)"),"",VLOOKUP($B1199,'Email Marketing Raw Data'!$C:$O,6,0)),"")</f>
        <v/>
      </c>
      <c r="O1199" s="55" t="str">
        <f>IFERROR(IF(OR($B1199="",$B1199="(blank)"),"",VLOOKUP($B1199,'Email Marketing Raw Data'!$C:$O,7,0)),"")</f>
        <v/>
      </c>
      <c r="P1199" s="55" t="str">
        <f>IFERROR(IF(OR($B1199="",$B1199="(blank)"),"",VLOOKUP($B1199,'Email Marketing Raw Data'!$C:$O,8,0)),"")</f>
        <v/>
      </c>
      <c r="Q1199" s="62" t="str">
        <f>IFERROR(IF(OR($B1199="",$B1199="(blank)"),"",VLOOKUP($B1199,'Email Marketing Raw Data'!$C:$O,9,0)),"")</f>
        <v/>
      </c>
    </row>
    <row r="1200" spans="4:17" ht="12.75" customHeight="1" x14ac:dyDescent="0.2">
      <c r="D1200" s="58" t="str">
        <f>IFERROR(IF(F1200&lt;&gt;"pending","",IF(OR($B1200="",$B1200="(blank)"),"",VLOOKUP($B1200,'Email Marketing Raw Data'!$C:$O,10,0))),"")</f>
        <v/>
      </c>
      <c r="E1200" s="59" t="str">
        <f>IFERROR(IF(F1200&lt;&gt;"pending","",IF(OR($B1200="",$B1200="(blank)"),"",VLOOKUP($B1200,'Email Marketing Raw Data'!$C:$O,11,0))),"")</f>
        <v/>
      </c>
      <c r="F1200" s="54" t="str">
        <f>IFERROR(IF(OR($B1200="",$B1200="(blank)"),"",VLOOKUP($B1200,'Email Marketing Raw Data'!$C:$O,13,0)),"")</f>
        <v/>
      </c>
      <c r="G1200" s="55" t="str">
        <f>IFERROR(IF(OR($B1200="",$B1200="(blank)"),"",VLOOKUP($B1200,'Email Marketing Raw Data'!$C:$O,4,0)),"")</f>
        <v/>
      </c>
      <c r="H1200" s="55" t="str">
        <f>IFERROR(IF(OR($B1200="",$B1200="(blank)"),"",VLOOKUP($B1200,'Email Marketing Raw Data'!$C:$O,5,0)),"")</f>
        <v/>
      </c>
      <c r="I1200" s="55" t="str">
        <f>IFERROR(IF($G1200="","",VLOOKUP('Dashboard And Emails Automate'!$G1200,Database!$H:$N,3,0)),"")</f>
        <v/>
      </c>
      <c r="J1200" s="55" t="str">
        <f>IFERROR(IF($G1200="","",VLOOKUP('Dashboard And Emails Automate'!$G1200,Database!$H:$N,4,0)),"")</f>
        <v/>
      </c>
      <c r="K1200" s="55" t="str">
        <f>IFERROR(IF($G1200="","",VLOOKUP('Dashboard And Emails Automate'!$G1200,Database!$H:$N,5,0)),"")</f>
        <v/>
      </c>
      <c r="L1200" s="55" t="str">
        <f>IFERROR(IF($G1200="","",VLOOKUP('Dashboard And Emails Automate'!$G1200,Database!$H:$N,6,0)),"")</f>
        <v/>
      </c>
      <c r="M1200" s="55" t="str">
        <f>IFERROR(IF($G1200="","",VLOOKUP('Dashboard And Emails Automate'!$G1200,Database!$H:$N,7,0)),"")</f>
        <v/>
      </c>
      <c r="N1200" s="55" t="str">
        <f>IFERROR(IF(OR($B1200="",$B1200="(blank)"),"",VLOOKUP($B1200,'Email Marketing Raw Data'!$C:$O,6,0)),"")</f>
        <v/>
      </c>
      <c r="O1200" s="55" t="str">
        <f>IFERROR(IF(OR($B1200="",$B1200="(blank)"),"",VLOOKUP($B1200,'Email Marketing Raw Data'!$C:$O,7,0)),"")</f>
        <v/>
      </c>
      <c r="P1200" s="55" t="str">
        <f>IFERROR(IF(OR($B1200="",$B1200="(blank)"),"",VLOOKUP($B1200,'Email Marketing Raw Data'!$C:$O,8,0)),"")</f>
        <v/>
      </c>
      <c r="Q1200" s="62" t="str">
        <f>IFERROR(IF(OR($B1200="",$B1200="(blank)"),"",VLOOKUP($B1200,'Email Marketing Raw Data'!$C:$O,9,0)),"")</f>
        <v/>
      </c>
    </row>
    <row r="1201" spans="4:17" ht="12.75" customHeight="1" x14ac:dyDescent="0.2">
      <c r="D1201" s="58" t="str">
        <f>IFERROR(IF(F1201&lt;&gt;"pending","",IF(OR($B1201="",$B1201="(blank)"),"",VLOOKUP($B1201,'Email Marketing Raw Data'!$C:$O,10,0))),"")</f>
        <v/>
      </c>
      <c r="E1201" s="59" t="str">
        <f>IFERROR(IF(F1201&lt;&gt;"pending","",IF(OR($B1201="",$B1201="(blank)"),"",VLOOKUP($B1201,'Email Marketing Raw Data'!$C:$O,11,0))),"")</f>
        <v/>
      </c>
      <c r="F1201" s="54" t="str">
        <f>IFERROR(IF(OR($B1201="",$B1201="(blank)"),"",VLOOKUP($B1201,'Email Marketing Raw Data'!$C:$O,13,0)),"")</f>
        <v/>
      </c>
      <c r="G1201" s="55" t="str">
        <f>IFERROR(IF(OR($B1201="",$B1201="(blank)"),"",VLOOKUP($B1201,'Email Marketing Raw Data'!$C:$O,4,0)),"")</f>
        <v/>
      </c>
      <c r="H1201" s="55" t="str">
        <f>IFERROR(IF(OR($B1201="",$B1201="(blank)"),"",VLOOKUP($B1201,'Email Marketing Raw Data'!$C:$O,5,0)),"")</f>
        <v/>
      </c>
      <c r="I1201" s="55" t="str">
        <f>IFERROR(IF($G1201="","",VLOOKUP('Dashboard And Emails Automate'!$G1201,Database!$H:$N,3,0)),"")</f>
        <v/>
      </c>
      <c r="J1201" s="55" t="str">
        <f>IFERROR(IF($G1201="","",VLOOKUP('Dashboard And Emails Automate'!$G1201,Database!$H:$N,4,0)),"")</f>
        <v/>
      </c>
      <c r="K1201" s="55" t="str">
        <f>IFERROR(IF($G1201="","",VLOOKUP('Dashboard And Emails Automate'!$G1201,Database!$H:$N,5,0)),"")</f>
        <v/>
      </c>
      <c r="L1201" s="55" t="str">
        <f>IFERROR(IF($G1201="","",VLOOKUP('Dashboard And Emails Automate'!$G1201,Database!$H:$N,6,0)),"")</f>
        <v/>
      </c>
      <c r="M1201" s="55" t="str">
        <f>IFERROR(IF($G1201="","",VLOOKUP('Dashboard And Emails Automate'!$G1201,Database!$H:$N,7,0)),"")</f>
        <v/>
      </c>
      <c r="N1201" s="55" t="str">
        <f>IFERROR(IF(OR($B1201="",$B1201="(blank)"),"",VLOOKUP($B1201,'Email Marketing Raw Data'!$C:$O,6,0)),"")</f>
        <v/>
      </c>
      <c r="O1201" s="55" t="str">
        <f>IFERROR(IF(OR($B1201="",$B1201="(blank)"),"",VLOOKUP($B1201,'Email Marketing Raw Data'!$C:$O,7,0)),"")</f>
        <v/>
      </c>
      <c r="P1201" s="55" t="str">
        <f>IFERROR(IF(OR($B1201="",$B1201="(blank)"),"",VLOOKUP($B1201,'Email Marketing Raw Data'!$C:$O,8,0)),"")</f>
        <v/>
      </c>
      <c r="Q1201" s="62" t="str">
        <f>IFERROR(IF(OR($B1201="",$B1201="(blank)"),"",VLOOKUP($B1201,'Email Marketing Raw Data'!$C:$O,9,0)),"")</f>
        <v/>
      </c>
    </row>
    <row r="1202" spans="4:17" ht="12.75" customHeight="1" x14ac:dyDescent="0.2">
      <c r="D1202" s="58" t="str">
        <f>IFERROR(IF(F1202&lt;&gt;"pending","",IF(OR($B1202="",$B1202="(blank)"),"",VLOOKUP($B1202,'Email Marketing Raw Data'!$C:$O,10,0))),"")</f>
        <v/>
      </c>
      <c r="E1202" s="59" t="str">
        <f>IFERROR(IF(F1202&lt;&gt;"pending","",IF(OR($B1202="",$B1202="(blank)"),"",VLOOKUP($B1202,'Email Marketing Raw Data'!$C:$O,11,0))),"")</f>
        <v/>
      </c>
      <c r="F1202" s="54" t="str">
        <f>IFERROR(IF(OR($B1202="",$B1202="(blank)"),"",VLOOKUP($B1202,'Email Marketing Raw Data'!$C:$O,13,0)),"")</f>
        <v/>
      </c>
      <c r="G1202" s="55" t="str">
        <f>IFERROR(IF(OR($B1202="",$B1202="(blank)"),"",VLOOKUP($B1202,'Email Marketing Raw Data'!$C:$O,4,0)),"")</f>
        <v/>
      </c>
      <c r="H1202" s="55" t="str">
        <f>IFERROR(IF(OR($B1202="",$B1202="(blank)"),"",VLOOKUP($B1202,'Email Marketing Raw Data'!$C:$O,5,0)),"")</f>
        <v/>
      </c>
      <c r="I1202" s="55" t="str">
        <f>IFERROR(IF($G1202="","",VLOOKUP('Dashboard And Emails Automate'!$G1202,Database!$H:$N,3,0)),"")</f>
        <v/>
      </c>
      <c r="J1202" s="55" t="str">
        <f>IFERROR(IF($G1202="","",VLOOKUP('Dashboard And Emails Automate'!$G1202,Database!$H:$N,4,0)),"")</f>
        <v/>
      </c>
      <c r="K1202" s="55" t="str">
        <f>IFERROR(IF($G1202="","",VLOOKUP('Dashboard And Emails Automate'!$G1202,Database!$H:$N,5,0)),"")</f>
        <v/>
      </c>
      <c r="L1202" s="55" t="str">
        <f>IFERROR(IF($G1202="","",VLOOKUP('Dashboard And Emails Automate'!$G1202,Database!$H:$N,6,0)),"")</f>
        <v/>
      </c>
      <c r="M1202" s="55" t="str">
        <f>IFERROR(IF($G1202="","",VLOOKUP('Dashboard And Emails Automate'!$G1202,Database!$H:$N,7,0)),"")</f>
        <v/>
      </c>
      <c r="N1202" s="55" t="str">
        <f>IFERROR(IF(OR($B1202="",$B1202="(blank)"),"",VLOOKUP($B1202,'Email Marketing Raw Data'!$C:$O,6,0)),"")</f>
        <v/>
      </c>
      <c r="O1202" s="55" t="str">
        <f>IFERROR(IF(OR($B1202="",$B1202="(blank)"),"",VLOOKUP($B1202,'Email Marketing Raw Data'!$C:$O,7,0)),"")</f>
        <v/>
      </c>
      <c r="P1202" s="55" t="str">
        <f>IFERROR(IF(OR($B1202="",$B1202="(blank)"),"",VLOOKUP($B1202,'Email Marketing Raw Data'!$C:$O,8,0)),"")</f>
        <v/>
      </c>
      <c r="Q1202" s="62" t="str">
        <f>IFERROR(IF(OR($B1202="",$B1202="(blank)"),"",VLOOKUP($B1202,'Email Marketing Raw Data'!$C:$O,9,0)),"")</f>
        <v/>
      </c>
    </row>
    <row r="1203" spans="4:17" ht="12.75" customHeight="1" x14ac:dyDescent="0.2">
      <c r="D1203" s="58" t="str">
        <f>IFERROR(IF(F1203&lt;&gt;"pending","",IF(OR($B1203="",$B1203="(blank)"),"",VLOOKUP($B1203,'Email Marketing Raw Data'!$C:$O,10,0))),"")</f>
        <v/>
      </c>
      <c r="E1203" s="59" t="str">
        <f>IFERROR(IF(F1203&lt;&gt;"pending","",IF(OR($B1203="",$B1203="(blank)"),"",VLOOKUP($B1203,'Email Marketing Raw Data'!$C:$O,11,0))),"")</f>
        <v/>
      </c>
      <c r="F1203" s="54" t="str">
        <f>IFERROR(IF(OR($B1203="",$B1203="(blank)"),"",VLOOKUP($B1203,'Email Marketing Raw Data'!$C:$O,13,0)),"")</f>
        <v/>
      </c>
      <c r="G1203" s="55" t="str">
        <f>IFERROR(IF(OR($B1203="",$B1203="(blank)"),"",VLOOKUP($B1203,'Email Marketing Raw Data'!$C:$O,4,0)),"")</f>
        <v/>
      </c>
      <c r="H1203" s="55" t="str">
        <f>IFERROR(IF(OR($B1203="",$B1203="(blank)"),"",VLOOKUP($B1203,'Email Marketing Raw Data'!$C:$O,5,0)),"")</f>
        <v/>
      </c>
      <c r="I1203" s="55" t="str">
        <f>IFERROR(IF($G1203="","",VLOOKUP('Dashboard And Emails Automate'!$G1203,Database!$H:$N,3,0)),"")</f>
        <v/>
      </c>
      <c r="J1203" s="55" t="str">
        <f>IFERROR(IF($G1203="","",VLOOKUP('Dashboard And Emails Automate'!$G1203,Database!$H:$N,4,0)),"")</f>
        <v/>
      </c>
      <c r="K1203" s="55" t="str">
        <f>IFERROR(IF($G1203="","",VLOOKUP('Dashboard And Emails Automate'!$G1203,Database!$H:$N,5,0)),"")</f>
        <v/>
      </c>
      <c r="L1203" s="55" t="str">
        <f>IFERROR(IF($G1203="","",VLOOKUP('Dashboard And Emails Automate'!$G1203,Database!$H:$N,6,0)),"")</f>
        <v/>
      </c>
      <c r="M1203" s="55" t="str">
        <f>IFERROR(IF($G1203="","",VLOOKUP('Dashboard And Emails Automate'!$G1203,Database!$H:$N,7,0)),"")</f>
        <v/>
      </c>
      <c r="N1203" s="55" t="str">
        <f>IFERROR(IF(OR($B1203="",$B1203="(blank)"),"",VLOOKUP($B1203,'Email Marketing Raw Data'!$C:$O,6,0)),"")</f>
        <v/>
      </c>
      <c r="O1203" s="55" t="str">
        <f>IFERROR(IF(OR($B1203="",$B1203="(blank)"),"",VLOOKUP($B1203,'Email Marketing Raw Data'!$C:$O,7,0)),"")</f>
        <v/>
      </c>
      <c r="P1203" s="55" t="str">
        <f>IFERROR(IF(OR($B1203="",$B1203="(blank)"),"",VLOOKUP($B1203,'Email Marketing Raw Data'!$C:$O,8,0)),"")</f>
        <v/>
      </c>
      <c r="Q1203" s="62" t="str">
        <f>IFERROR(IF(OR($B1203="",$B1203="(blank)"),"",VLOOKUP($B1203,'Email Marketing Raw Data'!$C:$O,9,0)),"")</f>
        <v/>
      </c>
    </row>
    <row r="1204" spans="4:17" ht="12.75" customHeight="1" x14ac:dyDescent="0.2">
      <c r="D1204" s="58" t="str">
        <f>IFERROR(IF(F1204&lt;&gt;"pending","",IF(OR($B1204="",$B1204="(blank)"),"",VLOOKUP($B1204,'Email Marketing Raw Data'!$C:$O,10,0))),"")</f>
        <v/>
      </c>
      <c r="E1204" s="59" t="str">
        <f>IFERROR(IF(F1204&lt;&gt;"pending","",IF(OR($B1204="",$B1204="(blank)"),"",VLOOKUP($B1204,'Email Marketing Raw Data'!$C:$O,11,0))),"")</f>
        <v/>
      </c>
      <c r="F1204" s="54" t="str">
        <f>IFERROR(IF(OR($B1204="",$B1204="(blank)"),"",VLOOKUP($B1204,'Email Marketing Raw Data'!$C:$O,13,0)),"")</f>
        <v/>
      </c>
      <c r="G1204" s="55" t="str">
        <f>IFERROR(IF(OR($B1204="",$B1204="(blank)"),"",VLOOKUP($B1204,'Email Marketing Raw Data'!$C:$O,4,0)),"")</f>
        <v/>
      </c>
      <c r="H1204" s="55" t="str">
        <f>IFERROR(IF(OR($B1204="",$B1204="(blank)"),"",VLOOKUP($B1204,'Email Marketing Raw Data'!$C:$O,5,0)),"")</f>
        <v/>
      </c>
      <c r="I1204" s="55" t="str">
        <f>IFERROR(IF($G1204="","",VLOOKUP('Dashboard And Emails Automate'!$G1204,Database!$H:$N,3,0)),"")</f>
        <v/>
      </c>
      <c r="J1204" s="55" t="str">
        <f>IFERROR(IF($G1204="","",VLOOKUP('Dashboard And Emails Automate'!$G1204,Database!$H:$N,4,0)),"")</f>
        <v/>
      </c>
      <c r="K1204" s="55" t="str">
        <f>IFERROR(IF($G1204="","",VLOOKUP('Dashboard And Emails Automate'!$G1204,Database!$H:$N,5,0)),"")</f>
        <v/>
      </c>
      <c r="L1204" s="55" t="str">
        <f>IFERROR(IF($G1204="","",VLOOKUP('Dashboard And Emails Automate'!$G1204,Database!$H:$N,6,0)),"")</f>
        <v/>
      </c>
      <c r="M1204" s="55" t="str">
        <f>IFERROR(IF($G1204="","",VLOOKUP('Dashboard And Emails Automate'!$G1204,Database!$H:$N,7,0)),"")</f>
        <v/>
      </c>
      <c r="N1204" s="55" t="str">
        <f>IFERROR(IF(OR($B1204="",$B1204="(blank)"),"",VLOOKUP($B1204,'Email Marketing Raw Data'!$C:$O,6,0)),"")</f>
        <v/>
      </c>
      <c r="O1204" s="55" t="str">
        <f>IFERROR(IF(OR($B1204="",$B1204="(blank)"),"",VLOOKUP($B1204,'Email Marketing Raw Data'!$C:$O,7,0)),"")</f>
        <v/>
      </c>
      <c r="P1204" s="55" t="str">
        <f>IFERROR(IF(OR($B1204="",$B1204="(blank)"),"",VLOOKUP($B1204,'Email Marketing Raw Data'!$C:$O,8,0)),"")</f>
        <v/>
      </c>
      <c r="Q1204" s="62" t="str">
        <f>IFERROR(IF(OR($B1204="",$B1204="(blank)"),"",VLOOKUP($B1204,'Email Marketing Raw Data'!$C:$O,9,0)),"")</f>
        <v/>
      </c>
    </row>
    <row r="1205" spans="4:17" ht="12.75" customHeight="1" x14ac:dyDescent="0.2">
      <c r="D1205" s="58" t="str">
        <f>IFERROR(IF(F1205&lt;&gt;"pending","",IF(OR($B1205="",$B1205="(blank)"),"",VLOOKUP($B1205,'Email Marketing Raw Data'!$C:$O,10,0))),"")</f>
        <v/>
      </c>
      <c r="E1205" s="59" t="str">
        <f>IFERROR(IF(F1205&lt;&gt;"pending","",IF(OR($B1205="",$B1205="(blank)"),"",VLOOKUP($B1205,'Email Marketing Raw Data'!$C:$O,11,0))),"")</f>
        <v/>
      </c>
      <c r="F1205" s="54" t="str">
        <f>IFERROR(IF(OR($B1205="",$B1205="(blank)"),"",VLOOKUP($B1205,'Email Marketing Raw Data'!$C:$O,13,0)),"")</f>
        <v/>
      </c>
      <c r="G1205" s="55" t="str">
        <f>IFERROR(IF(OR($B1205="",$B1205="(blank)"),"",VLOOKUP($B1205,'Email Marketing Raw Data'!$C:$O,4,0)),"")</f>
        <v/>
      </c>
      <c r="H1205" s="55" t="str">
        <f>IFERROR(IF(OR($B1205="",$B1205="(blank)"),"",VLOOKUP($B1205,'Email Marketing Raw Data'!$C:$O,5,0)),"")</f>
        <v/>
      </c>
      <c r="I1205" s="55" t="str">
        <f>IFERROR(IF($G1205="","",VLOOKUP('Dashboard And Emails Automate'!$G1205,Database!$H:$N,3,0)),"")</f>
        <v/>
      </c>
      <c r="J1205" s="55" t="str">
        <f>IFERROR(IF($G1205="","",VLOOKUP('Dashboard And Emails Automate'!$G1205,Database!$H:$N,4,0)),"")</f>
        <v/>
      </c>
      <c r="K1205" s="55" t="str">
        <f>IFERROR(IF($G1205="","",VLOOKUP('Dashboard And Emails Automate'!$G1205,Database!$H:$N,5,0)),"")</f>
        <v/>
      </c>
      <c r="L1205" s="55" t="str">
        <f>IFERROR(IF($G1205="","",VLOOKUP('Dashboard And Emails Automate'!$G1205,Database!$H:$N,6,0)),"")</f>
        <v/>
      </c>
      <c r="M1205" s="55" t="str">
        <f>IFERROR(IF($G1205="","",VLOOKUP('Dashboard And Emails Automate'!$G1205,Database!$H:$N,7,0)),"")</f>
        <v/>
      </c>
      <c r="N1205" s="55" t="str">
        <f>IFERROR(IF(OR($B1205="",$B1205="(blank)"),"",VLOOKUP($B1205,'Email Marketing Raw Data'!$C:$O,6,0)),"")</f>
        <v/>
      </c>
      <c r="O1205" s="55" t="str">
        <f>IFERROR(IF(OR($B1205="",$B1205="(blank)"),"",VLOOKUP($B1205,'Email Marketing Raw Data'!$C:$O,7,0)),"")</f>
        <v/>
      </c>
      <c r="P1205" s="55" t="str">
        <f>IFERROR(IF(OR($B1205="",$B1205="(blank)"),"",VLOOKUP($B1205,'Email Marketing Raw Data'!$C:$O,8,0)),"")</f>
        <v/>
      </c>
      <c r="Q1205" s="62" t="str">
        <f>IFERROR(IF(OR($B1205="",$B1205="(blank)"),"",VLOOKUP($B1205,'Email Marketing Raw Data'!$C:$O,9,0)),"")</f>
        <v/>
      </c>
    </row>
    <row r="1206" spans="4:17" ht="12.75" customHeight="1" x14ac:dyDescent="0.2">
      <c r="D1206" s="58" t="str">
        <f>IFERROR(IF(F1206&lt;&gt;"pending","",IF(OR($B1206="",$B1206="(blank)"),"",VLOOKUP($B1206,'Email Marketing Raw Data'!$C:$O,10,0))),"")</f>
        <v/>
      </c>
      <c r="E1206" s="59" t="str">
        <f>IFERROR(IF(F1206&lt;&gt;"pending","",IF(OR($B1206="",$B1206="(blank)"),"",VLOOKUP($B1206,'Email Marketing Raw Data'!$C:$O,11,0))),"")</f>
        <v/>
      </c>
      <c r="F1206" s="54" t="str">
        <f>IFERROR(IF(OR($B1206="",$B1206="(blank)"),"",VLOOKUP($B1206,'Email Marketing Raw Data'!$C:$O,13,0)),"")</f>
        <v/>
      </c>
      <c r="G1206" s="55" t="str">
        <f>IFERROR(IF(OR($B1206="",$B1206="(blank)"),"",VLOOKUP($B1206,'Email Marketing Raw Data'!$C:$O,4,0)),"")</f>
        <v/>
      </c>
      <c r="H1206" s="55" t="str">
        <f>IFERROR(IF(OR($B1206="",$B1206="(blank)"),"",VLOOKUP($B1206,'Email Marketing Raw Data'!$C:$O,5,0)),"")</f>
        <v/>
      </c>
      <c r="I1206" s="55" t="str">
        <f>IFERROR(IF($G1206="","",VLOOKUP('Dashboard And Emails Automate'!$G1206,Database!$H:$N,3,0)),"")</f>
        <v/>
      </c>
      <c r="J1206" s="55" t="str">
        <f>IFERROR(IF($G1206="","",VLOOKUP('Dashboard And Emails Automate'!$G1206,Database!$H:$N,4,0)),"")</f>
        <v/>
      </c>
      <c r="K1206" s="55" t="str">
        <f>IFERROR(IF($G1206="","",VLOOKUP('Dashboard And Emails Automate'!$G1206,Database!$H:$N,5,0)),"")</f>
        <v/>
      </c>
      <c r="L1206" s="55" t="str">
        <f>IFERROR(IF($G1206="","",VLOOKUP('Dashboard And Emails Automate'!$G1206,Database!$H:$N,6,0)),"")</f>
        <v/>
      </c>
      <c r="M1206" s="55" t="str">
        <f>IFERROR(IF($G1206="","",VLOOKUP('Dashboard And Emails Automate'!$G1206,Database!$H:$N,7,0)),"")</f>
        <v/>
      </c>
      <c r="N1206" s="55" t="str">
        <f>IFERROR(IF(OR($B1206="",$B1206="(blank)"),"",VLOOKUP($B1206,'Email Marketing Raw Data'!$C:$O,6,0)),"")</f>
        <v/>
      </c>
      <c r="O1206" s="55" t="str">
        <f>IFERROR(IF(OR($B1206="",$B1206="(blank)"),"",VLOOKUP($B1206,'Email Marketing Raw Data'!$C:$O,7,0)),"")</f>
        <v/>
      </c>
      <c r="P1206" s="55" t="str">
        <f>IFERROR(IF(OR($B1206="",$B1206="(blank)"),"",VLOOKUP($B1206,'Email Marketing Raw Data'!$C:$O,8,0)),"")</f>
        <v/>
      </c>
      <c r="Q1206" s="62" t="str">
        <f>IFERROR(IF(OR($B1206="",$B1206="(blank)"),"",VLOOKUP($B1206,'Email Marketing Raw Data'!$C:$O,9,0)),"")</f>
        <v/>
      </c>
    </row>
    <row r="1207" spans="4:17" ht="12.75" customHeight="1" x14ac:dyDescent="0.2">
      <c r="D1207" s="58" t="str">
        <f>IFERROR(IF(F1207&lt;&gt;"pending","",IF(OR($B1207="",$B1207="(blank)"),"",VLOOKUP($B1207,'Email Marketing Raw Data'!$C:$O,10,0))),"")</f>
        <v/>
      </c>
      <c r="E1207" s="59" t="str">
        <f>IFERROR(IF(F1207&lt;&gt;"pending","",IF(OR($B1207="",$B1207="(blank)"),"",VLOOKUP($B1207,'Email Marketing Raw Data'!$C:$O,11,0))),"")</f>
        <v/>
      </c>
      <c r="F1207" s="54" t="str">
        <f>IFERROR(IF(OR($B1207="",$B1207="(blank)"),"",VLOOKUP($B1207,'Email Marketing Raw Data'!$C:$O,13,0)),"")</f>
        <v/>
      </c>
      <c r="G1207" s="55" t="str">
        <f>IFERROR(IF(OR($B1207="",$B1207="(blank)"),"",VLOOKUP($B1207,'Email Marketing Raw Data'!$C:$O,4,0)),"")</f>
        <v/>
      </c>
      <c r="H1207" s="55" t="str">
        <f>IFERROR(IF(OR($B1207="",$B1207="(blank)"),"",VLOOKUP($B1207,'Email Marketing Raw Data'!$C:$O,5,0)),"")</f>
        <v/>
      </c>
      <c r="I1207" s="55" t="str">
        <f>IFERROR(IF($G1207="","",VLOOKUP('Dashboard And Emails Automate'!$G1207,Database!$H:$N,3,0)),"")</f>
        <v/>
      </c>
      <c r="J1207" s="55" t="str">
        <f>IFERROR(IF($G1207="","",VLOOKUP('Dashboard And Emails Automate'!$G1207,Database!$H:$N,4,0)),"")</f>
        <v/>
      </c>
      <c r="K1207" s="55" t="str">
        <f>IFERROR(IF($G1207="","",VLOOKUP('Dashboard And Emails Automate'!$G1207,Database!$H:$N,5,0)),"")</f>
        <v/>
      </c>
      <c r="L1207" s="55" t="str">
        <f>IFERROR(IF($G1207="","",VLOOKUP('Dashboard And Emails Automate'!$G1207,Database!$H:$N,6,0)),"")</f>
        <v/>
      </c>
      <c r="M1207" s="55" t="str">
        <f>IFERROR(IF($G1207="","",VLOOKUP('Dashboard And Emails Automate'!$G1207,Database!$H:$N,7,0)),"")</f>
        <v/>
      </c>
      <c r="N1207" s="55" t="str">
        <f>IFERROR(IF(OR($B1207="",$B1207="(blank)"),"",VLOOKUP($B1207,'Email Marketing Raw Data'!$C:$O,6,0)),"")</f>
        <v/>
      </c>
      <c r="O1207" s="55" t="str">
        <f>IFERROR(IF(OR($B1207="",$B1207="(blank)"),"",VLOOKUP($B1207,'Email Marketing Raw Data'!$C:$O,7,0)),"")</f>
        <v/>
      </c>
      <c r="P1207" s="55" t="str">
        <f>IFERROR(IF(OR($B1207="",$B1207="(blank)"),"",VLOOKUP($B1207,'Email Marketing Raw Data'!$C:$O,8,0)),"")</f>
        <v/>
      </c>
      <c r="Q1207" s="62" t="str">
        <f>IFERROR(IF(OR($B1207="",$B1207="(blank)"),"",VLOOKUP($B1207,'Email Marketing Raw Data'!$C:$O,9,0)),"")</f>
        <v/>
      </c>
    </row>
    <row r="1208" spans="4:17" ht="12.75" customHeight="1" x14ac:dyDescent="0.2">
      <c r="D1208" s="58" t="str">
        <f>IFERROR(IF(F1208&lt;&gt;"pending","",IF(OR($B1208="",$B1208="(blank)"),"",VLOOKUP($B1208,'Email Marketing Raw Data'!$C:$O,10,0))),"")</f>
        <v/>
      </c>
      <c r="E1208" s="59" t="str">
        <f>IFERROR(IF(F1208&lt;&gt;"pending","",IF(OR($B1208="",$B1208="(blank)"),"",VLOOKUP($B1208,'Email Marketing Raw Data'!$C:$O,11,0))),"")</f>
        <v/>
      </c>
      <c r="F1208" s="54" t="str">
        <f>IFERROR(IF(OR($B1208="",$B1208="(blank)"),"",VLOOKUP($B1208,'Email Marketing Raw Data'!$C:$O,13,0)),"")</f>
        <v/>
      </c>
      <c r="G1208" s="55" t="str">
        <f>IFERROR(IF(OR($B1208="",$B1208="(blank)"),"",VLOOKUP($B1208,'Email Marketing Raw Data'!$C:$O,4,0)),"")</f>
        <v/>
      </c>
      <c r="H1208" s="55" t="str">
        <f>IFERROR(IF(OR($B1208="",$B1208="(blank)"),"",VLOOKUP($B1208,'Email Marketing Raw Data'!$C:$O,5,0)),"")</f>
        <v/>
      </c>
      <c r="I1208" s="55" t="str">
        <f>IFERROR(IF($G1208="","",VLOOKUP('Dashboard And Emails Automate'!$G1208,Database!$H:$N,3,0)),"")</f>
        <v/>
      </c>
      <c r="J1208" s="55" t="str">
        <f>IFERROR(IF($G1208="","",VLOOKUP('Dashboard And Emails Automate'!$G1208,Database!$H:$N,4,0)),"")</f>
        <v/>
      </c>
      <c r="K1208" s="55" t="str">
        <f>IFERROR(IF($G1208="","",VLOOKUP('Dashboard And Emails Automate'!$G1208,Database!$H:$N,5,0)),"")</f>
        <v/>
      </c>
      <c r="L1208" s="55" t="str">
        <f>IFERROR(IF($G1208="","",VLOOKUP('Dashboard And Emails Automate'!$G1208,Database!$H:$N,6,0)),"")</f>
        <v/>
      </c>
      <c r="M1208" s="55" t="str">
        <f>IFERROR(IF($G1208="","",VLOOKUP('Dashboard And Emails Automate'!$G1208,Database!$H:$N,7,0)),"")</f>
        <v/>
      </c>
      <c r="N1208" s="55" t="str">
        <f>IFERROR(IF(OR($B1208="",$B1208="(blank)"),"",VLOOKUP($B1208,'Email Marketing Raw Data'!$C:$O,6,0)),"")</f>
        <v/>
      </c>
      <c r="O1208" s="55" t="str">
        <f>IFERROR(IF(OR($B1208="",$B1208="(blank)"),"",VLOOKUP($B1208,'Email Marketing Raw Data'!$C:$O,7,0)),"")</f>
        <v/>
      </c>
      <c r="P1208" s="55" t="str">
        <f>IFERROR(IF(OR($B1208="",$B1208="(blank)"),"",VLOOKUP($B1208,'Email Marketing Raw Data'!$C:$O,8,0)),"")</f>
        <v/>
      </c>
      <c r="Q1208" s="62" t="str">
        <f>IFERROR(IF(OR($B1208="",$B1208="(blank)"),"",VLOOKUP($B1208,'Email Marketing Raw Data'!$C:$O,9,0)),"")</f>
        <v/>
      </c>
    </row>
    <row r="1209" spans="4:17" ht="12.75" customHeight="1" x14ac:dyDescent="0.2">
      <c r="D1209" s="58" t="str">
        <f>IFERROR(IF(F1209&lt;&gt;"pending","",IF(OR($B1209="",$B1209="(blank)"),"",VLOOKUP($B1209,'Email Marketing Raw Data'!$C:$O,10,0))),"")</f>
        <v/>
      </c>
      <c r="E1209" s="59" t="str">
        <f>IFERROR(IF(F1209&lt;&gt;"pending","",IF(OR($B1209="",$B1209="(blank)"),"",VLOOKUP($B1209,'Email Marketing Raw Data'!$C:$O,11,0))),"")</f>
        <v/>
      </c>
      <c r="F1209" s="54" t="str">
        <f>IFERROR(IF(OR($B1209="",$B1209="(blank)"),"",VLOOKUP($B1209,'Email Marketing Raw Data'!$C:$O,13,0)),"")</f>
        <v/>
      </c>
      <c r="G1209" s="55" t="str">
        <f>IFERROR(IF(OR($B1209="",$B1209="(blank)"),"",VLOOKUP($B1209,'Email Marketing Raw Data'!$C:$O,4,0)),"")</f>
        <v/>
      </c>
      <c r="H1209" s="55" t="str">
        <f>IFERROR(IF(OR($B1209="",$B1209="(blank)"),"",VLOOKUP($B1209,'Email Marketing Raw Data'!$C:$O,5,0)),"")</f>
        <v/>
      </c>
      <c r="I1209" s="55" t="str">
        <f>IFERROR(IF($G1209="","",VLOOKUP('Dashboard And Emails Automate'!$G1209,Database!$H:$N,3,0)),"")</f>
        <v/>
      </c>
      <c r="J1209" s="55" t="str">
        <f>IFERROR(IF($G1209="","",VLOOKUP('Dashboard And Emails Automate'!$G1209,Database!$H:$N,4,0)),"")</f>
        <v/>
      </c>
      <c r="K1209" s="55" t="str">
        <f>IFERROR(IF($G1209="","",VLOOKUP('Dashboard And Emails Automate'!$G1209,Database!$H:$N,5,0)),"")</f>
        <v/>
      </c>
      <c r="L1209" s="55" t="str">
        <f>IFERROR(IF($G1209="","",VLOOKUP('Dashboard And Emails Automate'!$G1209,Database!$H:$N,6,0)),"")</f>
        <v/>
      </c>
      <c r="M1209" s="55" t="str">
        <f>IFERROR(IF($G1209="","",VLOOKUP('Dashboard And Emails Automate'!$G1209,Database!$H:$N,7,0)),"")</f>
        <v/>
      </c>
      <c r="N1209" s="55" t="str">
        <f>IFERROR(IF(OR($B1209="",$B1209="(blank)"),"",VLOOKUP($B1209,'Email Marketing Raw Data'!$C:$O,6,0)),"")</f>
        <v/>
      </c>
      <c r="O1209" s="55" t="str">
        <f>IFERROR(IF(OR($B1209="",$B1209="(blank)"),"",VLOOKUP($B1209,'Email Marketing Raw Data'!$C:$O,7,0)),"")</f>
        <v/>
      </c>
      <c r="P1209" s="55" t="str">
        <f>IFERROR(IF(OR($B1209="",$B1209="(blank)"),"",VLOOKUP($B1209,'Email Marketing Raw Data'!$C:$O,8,0)),"")</f>
        <v/>
      </c>
      <c r="Q1209" s="62" t="str">
        <f>IFERROR(IF(OR($B1209="",$B1209="(blank)"),"",VLOOKUP($B1209,'Email Marketing Raw Data'!$C:$O,9,0)),"")</f>
        <v/>
      </c>
    </row>
    <row r="1210" spans="4:17" ht="12.75" customHeight="1" x14ac:dyDescent="0.2">
      <c r="D1210" s="58" t="str">
        <f>IFERROR(IF(F1210&lt;&gt;"pending","",IF(OR($B1210="",$B1210="(blank)"),"",VLOOKUP($B1210,'Email Marketing Raw Data'!$C:$O,10,0))),"")</f>
        <v/>
      </c>
      <c r="E1210" s="59" t="str">
        <f>IFERROR(IF(F1210&lt;&gt;"pending","",IF(OR($B1210="",$B1210="(blank)"),"",VLOOKUP($B1210,'Email Marketing Raw Data'!$C:$O,11,0))),"")</f>
        <v/>
      </c>
      <c r="F1210" s="54" t="str">
        <f>IFERROR(IF(OR($B1210="",$B1210="(blank)"),"",VLOOKUP($B1210,'Email Marketing Raw Data'!$C:$O,13,0)),"")</f>
        <v/>
      </c>
      <c r="G1210" s="55" t="str">
        <f>IFERROR(IF(OR($B1210="",$B1210="(blank)"),"",VLOOKUP($B1210,'Email Marketing Raw Data'!$C:$O,4,0)),"")</f>
        <v/>
      </c>
      <c r="H1210" s="55" t="str">
        <f>IFERROR(IF(OR($B1210="",$B1210="(blank)"),"",VLOOKUP($B1210,'Email Marketing Raw Data'!$C:$O,5,0)),"")</f>
        <v/>
      </c>
      <c r="I1210" s="55" t="str">
        <f>IFERROR(IF($G1210="","",VLOOKUP('Dashboard And Emails Automate'!$G1210,Database!$H:$N,3,0)),"")</f>
        <v/>
      </c>
      <c r="J1210" s="55" t="str">
        <f>IFERROR(IF($G1210="","",VLOOKUP('Dashboard And Emails Automate'!$G1210,Database!$H:$N,4,0)),"")</f>
        <v/>
      </c>
      <c r="K1210" s="55" t="str">
        <f>IFERROR(IF($G1210="","",VLOOKUP('Dashboard And Emails Automate'!$G1210,Database!$H:$N,5,0)),"")</f>
        <v/>
      </c>
      <c r="L1210" s="55" t="str">
        <f>IFERROR(IF($G1210="","",VLOOKUP('Dashboard And Emails Automate'!$G1210,Database!$H:$N,6,0)),"")</f>
        <v/>
      </c>
      <c r="M1210" s="55" t="str">
        <f>IFERROR(IF($G1210="","",VLOOKUP('Dashboard And Emails Automate'!$G1210,Database!$H:$N,7,0)),"")</f>
        <v/>
      </c>
      <c r="N1210" s="55" t="str">
        <f>IFERROR(IF(OR($B1210="",$B1210="(blank)"),"",VLOOKUP($B1210,'Email Marketing Raw Data'!$C:$O,6,0)),"")</f>
        <v/>
      </c>
      <c r="O1210" s="55" t="str">
        <f>IFERROR(IF(OR($B1210="",$B1210="(blank)"),"",VLOOKUP($B1210,'Email Marketing Raw Data'!$C:$O,7,0)),"")</f>
        <v/>
      </c>
      <c r="P1210" s="55" t="str">
        <f>IFERROR(IF(OR($B1210="",$B1210="(blank)"),"",VLOOKUP($B1210,'Email Marketing Raw Data'!$C:$O,8,0)),"")</f>
        <v/>
      </c>
      <c r="Q1210" s="62" t="str">
        <f>IFERROR(IF(OR($B1210="",$B1210="(blank)"),"",VLOOKUP($B1210,'Email Marketing Raw Data'!$C:$O,9,0)),"")</f>
        <v/>
      </c>
    </row>
    <row r="1211" spans="4:17" ht="12.75" customHeight="1" x14ac:dyDescent="0.2">
      <c r="D1211" s="58" t="str">
        <f>IFERROR(IF(F1211&lt;&gt;"pending","",IF(OR($B1211="",$B1211="(blank)"),"",VLOOKUP($B1211,'Email Marketing Raw Data'!$C:$O,10,0))),"")</f>
        <v/>
      </c>
      <c r="E1211" s="59" t="str">
        <f>IFERROR(IF(F1211&lt;&gt;"pending","",IF(OR($B1211="",$B1211="(blank)"),"",VLOOKUP($B1211,'Email Marketing Raw Data'!$C:$O,11,0))),"")</f>
        <v/>
      </c>
      <c r="F1211" s="54" t="str">
        <f>IFERROR(IF(OR($B1211="",$B1211="(blank)"),"",VLOOKUP($B1211,'Email Marketing Raw Data'!$C:$O,13,0)),"")</f>
        <v/>
      </c>
      <c r="G1211" s="55" t="str">
        <f>IFERROR(IF(OR($B1211="",$B1211="(blank)"),"",VLOOKUP($B1211,'Email Marketing Raw Data'!$C:$O,4,0)),"")</f>
        <v/>
      </c>
      <c r="H1211" s="55" t="str">
        <f>IFERROR(IF(OR($B1211="",$B1211="(blank)"),"",VLOOKUP($B1211,'Email Marketing Raw Data'!$C:$O,5,0)),"")</f>
        <v/>
      </c>
      <c r="I1211" s="55" t="str">
        <f>IFERROR(IF($G1211="","",VLOOKUP('Dashboard And Emails Automate'!$G1211,Database!$H:$N,3,0)),"")</f>
        <v/>
      </c>
      <c r="J1211" s="55" t="str">
        <f>IFERROR(IF($G1211="","",VLOOKUP('Dashboard And Emails Automate'!$G1211,Database!$H:$N,4,0)),"")</f>
        <v/>
      </c>
      <c r="K1211" s="55" t="str">
        <f>IFERROR(IF($G1211="","",VLOOKUP('Dashboard And Emails Automate'!$G1211,Database!$H:$N,5,0)),"")</f>
        <v/>
      </c>
      <c r="L1211" s="55" t="str">
        <f>IFERROR(IF($G1211="","",VLOOKUP('Dashboard And Emails Automate'!$G1211,Database!$H:$N,6,0)),"")</f>
        <v/>
      </c>
      <c r="M1211" s="55" t="str">
        <f>IFERROR(IF($G1211="","",VLOOKUP('Dashboard And Emails Automate'!$G1211,Database!$H:$N,7,0)),"")</f>
        <v/>
      </c>
      <c r="N1211" s="55" t="str">
        <f>IFERROR(IF(OR($B1211="",$B1211="(blank)"),"",VLOOKUP($B1211,'Email Marketing Raw Data'!$C:$O,6,0)),"")</f>
        <v/>
      </c>
      <c r="O1211" s="55" t="str">
        <f>IFERROR(IF(OR($B1211="",$B1211="(blank)"),"",VLOOKUP($B1211,'Email Marketing Raw Data'!$C:$O,7,0)),"")</f>
        <v/>
      </c>
      <c r="P1211" s="55" t="str">
        <f>IFERROR(IF(OR($B1211="",$B1211="(blank)"),"",VLOOKUP($B1211,'Email Marketing Raw Data'!$C:$O,8,0)),"")</f>
        <v/>
      </c>
      <c r="Q1211" s="62" t="str">
        <f>IFERROR(IF(OR($B1211="",$B1211="(blank)"),"",VLOOKUP($B1211,'Email Marketing Raw Data'!$C:$O,9,0)),"")</f>
        <v/>
      </c>
    </row>
    <row r="1212" spans="4:17" ht="12.75" customHeight="1" x14ac:dyDescent="0.2">
      <c r="D1212" s="58" t="str">
        <f>IFERROR(IF(F1212&lt;&gt;"pending","",IF(OR($B1212="",$B1212="(blank)"),"",VLOOKUP($B1212,'Email Marketing Raw Data'!$C:$O,10,0))),"")</f>
        <v/>
      </c>
      <c r="E1212" s="59" t="str">
        <f>IFERROR(IF(F1212&lt;&gt;"pending","",IF(OR($B1212="",$B1212="(blank)"),"",VLOOKUP($B1212,'Email Marketing Raw Data'!$C:$O,11,0))),"")</f>
        <v/>
      </c>
      <c r="F1212" s="54" t="str">
        <f>IFERROR(IF(OR($B1212="",$B1212="(blank)"),"",VLOOKUP($B1212,'Email Marketing Raw Data'!$C:$O,13,0)),"")</f>
        <v/>
      </c>
      <c r="G1212" s="55" t="str">
        <f>IFERROR(IF(OR($B1212="",$B1212="(blank)"),"",VLOOKUP($B1212,'Email Marketing Raw Data'!$C:$O,4,0)),"")</f>
        <v/>
      </c>
      <c r="H1212" s="55" t="str">
        <f>IFERROR(IF(OR($B1212="",$B1212="(blank)"),"",VLOOKUP($B1212,'Email Marketing Raw Data'!$C:$O,5,0)),"")</f>
        <v/>
      </c>
      <c r="I1212" s="55" t="str">
        <f>IFERROR(IF($G1212="","",VLOOKUP('Dashboard And Emails Automate'!$G1212,Database!$H:$N,3,0)),"")</f>
        <v/>
      </c>
      <c r="J1212" s="55" t="str">
        <f>IFERROR(IF($G1212="","",VLOOKUP('Dashboard And Emails Automate'!$G1212,Database!$H:$N,4,0)),"")</f>
        <v/>
      </c>
      <c r="K1212" s="55" t="str">
        <f>IFERROR(IF($G1212="","",VLOOKUP('Dashboard And Emails Automate'!$G1212,Database!$H:$N,5,0)),"")</f>
        <v/>
      </c>
      <c r="L1212" s="55" t="str">
        <f>IFERROR(IF($G1212="","",VLOOKUP('Dashboard And Emails Automate'!$G1212,Database!$H:$N,6,0)),"")</f>
        <v/>
      </c>
      <c r="M1212" s="55" t="str">
        <f>IFERROR(IF($G1212="","",VLOOKUP('Dashboard And Emails Automate'!$G1212,Database!$H:$N,7,0)),"")</f>
        <v/>
      </c>
      <c r="N1212" s="55" t="str">
        <f>IFERROR(IF(OR($B1212="",$B1212="(blank)"),"",VLOOKUP($B1212,'Email Marketing Raw Data'!$C:$O,6,0)),"")</f>
        <v/>
      </c>
      <c r="O1212" s="55" t="str">
        <f>IFERROR(IF(OR($B1212="",$B1212="(blank)"),"",VLOOKUP($B1212,'Email Marketing Raw Data'!$C:$O,7,0)),"")</f>
        <v/>
      </c>
      <c r="P1212" s="55" t="str">
        <f>IFERROR(IF(OR($B1212="",$B1212="(blank)"),"",VLOOKUP($B1212,'Email Marketing Raw Data'!$C:$O,8,0)),"")</f>
        <v/>
      </c>
      <c r="Q1212" s="62" t="str">
        <f>IFERROR(IF(OR($B1212="",$B1212="(blank)"),"",VLOOKUP($B1212,'Email Marketing Raw Data'!$C:$O,9,0)),"")</f>
        <v/>
      </c>
    </row>
    <row r="1213" spans="4:17" ht="12.75" customHeight="1" x14ac:dyDescent="0.2">
      <c r="D1213" s="58" t="str">
        <f>IFERROR(IF(F1213&lt;&gt;"pending","",IF(OR($B1213="",$B1213="(blank)"),"",VLOOKUP($B1213,'Email Marketing Raw Data'!$C:$O,10,0))),"")</f>
        <v/>
      </c>
      <c r="E1213" s="59" t="str">
        <f>IFERROR(IF(F1213&lt;&gt;"pending","",IF(OR($B1213="",$B1213="(blank)"),"",VLOOKUP($B1213,'Email Marketing Raw Data'!$C:$O,11,0))),"")</f>
        <v/>
      </c>
      <c r="F1213" s="54" t="str">
        <f>IFERROR(IF(OR($B1213="",$B1213="(blank)"),"",VLOOKUP($B1213,'Email Marketing Raw Data'!$C:$O,13,0)),"")</f>
        <v/>
      </c>
      <c r="G1213" s="55" t="str">
        <f>IFERROR(IF(OR($B1213="",$B1213="(blank)"),"",VLOOKUP($B1213,'Email Marketing Raw Data'!$C:$O,4,0)),"")</f>
        <v/>
      </c>
      <c r="H1213" s="55" t="str">
        <f>IFERROR(IF(OR($B1213="",$B1213="(blank)"),"",VLOOKUP($B1213,'Email Marketing Raw Data'!$C:$O,5,0)),"")</f>
        <v/>
      </c>
      <c r="I1213" s="55" t="str">
        <f>IFERROR(IF($G1213="","",VLOOKUP('Dashboard And Emails Automate'!$G1213,Database!$H:$N,3,0)),"")</f>
        <v/>
      </c>
      <c r="J1213" s="55" t="str">
        <f>IFERROR(IF($G1213="","",VLOOKUP('Dashboard And Emails Automate'!$G1213,Database!$H:$N,4,0)),"")</f>
        <v/>
      </c>
      <c r="K1213" s="55" t="str">
        <f>IFERROR(IF($G1213="","",VLOOKUP('Dashboard And Emails Automate'!$G1213,Database!$H:$N,5,0)),"")</f>
        <v/>
      </c>
      <c r="L1213" s="55" t="str">
        <f>IFERROR(IF($G1213="","",VLOOKUP('Dashboard And Emails Automate'!$G1213,Database!$H:$N,6,0)),"")</f>
        <v/>
      </c>
      <c r="M1213" s="55" t="str">
        <f>IFERROR(IF($G1213="","",VLOOKUP('Dashboard And Emails Automate'!$G1213,Database!$H:$N,7,0)),"")</f>
        <v/>
      </c>
      <c r="N1213" s="55" t="str">
        <f>IFERROR(IF(OR($B1213="",$B1213="(blank)"),"",VLOOKUP($B1213,'Email Marketing Raw Data'!$C:$O,6,0)),"")</f>
        <v/>
      </c>
      <c r="O1213" s="55" t="str">
        <f>IFERROR(IF(OR($B1213="",$B1213="(blank)"),"",VLOOKUP($B1213,'Email Marketing Raw Data'!$C:$O,7,0)),"")</f>
        <v/>
      </c>
      <c r="P1213" s="55" t="str">
        <f>IFERROR(IF(OR($B1213="",$B1213="(blank)"),"",VLOOKUP($B1213,'Email Marketing Raw Data'!$C:$O,8,0)),"")</f>
        <v/>
      </c>
      <c r="Q1213" s="62" t="str">
        <f>IFERROR(IF(OR($B1213="",$B1213="(blank)"),"",VLOOKUP($B1213,'Email Marketing Raw Data'!$C:$O,9,0)),"")</f>
        <v/>
      </c>
    </row>
    <row r="1214" spans="4:17" ht="12.75" customHeight="1" x14ac:dyDescent="0.2">
      <c r="D1214" s="58" t="str">
        <f>IFERROR(IF(F1214&lt;&gt;"pending","",IF(OR($B1214="",$B1214="(blank)"),"",VLOOKUP($B1214,'Email Marketing Raw Data'!$C:$O,10,0))),"")</f>
        <v/>
      </c>
      <c r="E1214" s="59" t="str">
        <f>IFERROR(IF(F1214&lt;&gt;"pending","",IF(OR($B1214="",$B1214="(blank)"),"",VLOOKUP($B1214,'Email Marketing Raw Data'!$C:$O,11,0))),"")</f>
        <v/>
      </c>
      <c r="F1214" s="54" t="str">
        <f>IFERROR(IF(OR($B1214="",$B1214="(blank)"),"",VLOOKUP($B1214,'Email Marketing Raw Data'!$C:$O,13,0)),"")</f>
        <v/>
      </c>
      <c r="G1214" s="55" t="str">
        <f>IFERROR(IF(OR($B1214="",$B1214="(blank)"),"",VLOOKUP($B1214,'Email Marketing Raw Data'!$C:$O,4,0)),"")</f>
        <v/>
      </c>
      <c r="H1214" s="55" t="str">
        <f>IFERROR(IF(OR($B1214="",$B1214="(blank)"),"",VLOOKUP($B1214,'Email Marketing Raw Data'!$C:$O,5,0)),"")</f>
        <v/>
      </c>
      <c r="I1214" s="55" t="str">
        <f>IFERROR(IF($G1214="","",VLOOKUP('Dashboard And Emails Automate'!$G1214,Database!$H:$N,3,0)),"")</f>
        <v/>
      </c>
      <c r="J1214" s="55" t="str">
        <f>IFERROR(IF($G1214="","",VLOOKUP('Dashboard And Emails Automate'!$G1214,Database!$H:$N,4,0)),"")</f>
        <v/>
      </c>
      <c r="K1214" s="55" t="str">
        <f>IFERROR(IF($G1214="","",VLOOKUP('Dashboard And Emails Automate'!$G1214,Database!$H:$N,5,0)),"")</f>
        <v/>
      </c>
      <c r="L1214" s="55" t="str">
        <f>IFERROR(IF($G1214="","",VLOOKUP('Dashboard And Emails Automate'!$G1214,Database!$H:$N,6,0)),"")</f>
        <v/>
      </c>
      <c r="M1214" s="55" t="str">
        <f>IFERROR(IF($G1214="","",VLOOKUP('Dashboard And Emails Automate'!$G1214,Database!$H:$N,7,0)),"")</f>
        <v/>
      </c>
      <c r="N1214" s="55" t="str">
        <f>IFERROR(IF(OR($B1214="",$B1214="(blank)"),"",VLOOKUP($B1214,'Email Marketing Raw Data'!$C:$O,6,0)),"")</f>
        <v/>
      </c>
      <c r="O1214" s="55" t="str">
        <f>IFERROR(IF(OR($B1214="",$B1214="(blank)"),"",VLOOKUP($B1214,'Email Marketing Raw Data'!$C:$O,7,0)),"")</f>
        <v/>
      </c>
      <c r="P1214" s="55" t="str">
        <f>IFERROR(IF(OR($B1214="",$B1214="(blank)"),"",VLOOKUP($B1214,'Email Marketing Raw Data'!$C:$O,8,0)),"")</f>
        <v/>
      </c>
      <c r="Q1214" s="62" t="str">
        <f>IFERROR(IF(OR($B1214="",$B1214="(blank)"),"",VLOOKUP($B1214,'Email Marketing Raw Data'!$C:$O,9,0)),"")</f>
        <v/>
      </c>
    </row>
    <row r="1215" spans="4:17" ht="12.75" customHeight="1" x14ac:dyDescent="0.2">
      <c r="D1215" s="58" t="str">
        <f>IFERROR(IF(F1215&lt;&gt;"pending","",IF(OR($B1215="",$B1215="(blank)"),"",VLOOKUP($B1215,'Email Marketing Raw Data'!$C:$O,10,0))),"")</f>
        <v/>
      </c>
      <c r="E1215" s="59" t="str">
        <f>IFERROR(IF(F1215&lt;&gt;"pending","",IF(OR($B1215="",$B1215="(blank)"),"",VLOOKUP($B1215,'Email Marketing Raw Data'!$C:$O,11,0))),"")</f>
        <v/>
      </c>
      <c r="F1215" s="54" t="str">
        <f>IFERROR(IF(OR($B1215="",$B1215="(blank)"),"",VLOOKUP($B1215,'Email Marketing Raw Data'!$C:$O,13,0)),"")</f>
        <v/>
      </c>
      <c r="G1215" s="55" t="str">
        <f>IFERROR(IF(OR($B1215="",$B1215="(blank)"),"",VLOOKUP($B1215,'Email Marketing Raw Data'!$C:$O,4,0)),"")</f>
        <v/>
      </c>
      <c r="H1215" s="55" t="str">
        <f>IFERROR(IF(OR($B1215="",$B1215="(blank)"),"",VLOOKUP($B1215,'Email Marketing Raw Data'!$C:$O,5,0)),"")</f>
        <v/>
      </c>
      <c r="I1215" s="55" t="str">
        <f>IFERROR(IF($G1215="","",VLOOKUP('Dashboard And Emails Automate'!$G1215,Database!$H:$N,3,0)),"")</f>
        <v/>
      </c>
      <c r="J1215" s="55" t="str">
        <f>IFERROR(IF($G1215="","",VLOOKUP('Dashboard And Emails Automate'!$G1215,Database!$H:$N,4,0)),"")</f>
        <v/>
      </c>
      <c r="K1215" s="55" t="str">
        <f>IFERROR(IF($G1215="","",VLOOKUP('Dashboard And Emails Automate'!$G1215,Database!$H:$N,5,0)),"")</f>
        <v/>
      </c>
      <c r="L1215" s="55" t="str">
        <f>IFERROR(IF($G1215="","",VLOOKUP('Dashboard And Emails Automate'!$G1215,Database!$H:$N,6,0)),"")</f>
        <v/>
      </c>
      <c r="M1215" s="55" t="str">
        <f>IFERROR(IF($G1215="","",VLOOKUP('Dashboard And Emails Automate'!$G1215,Database!$H:$N,7,0)),"")</f>
        <v/>
      </c>
      <c r="N1215" s="55" t="str">
        <f>IFERROR(IF(OR($B1215="",$B1215="(blank)"),"",VLOOKUP($B1215,'Email Marketing Raw Data'!$C:$O,6,0)),"")</f>
        <v/>
      </c>
      <c r="O1215" s="55" t="str">
        <f>IFERROR(IF(OR($B1215="",$B1215="(blank)"),"",VLOOKUP($B1215,'Email Marketing Raw Data'!$C:$O,7,0)),"")</f>
        <v/>
      </c>
      <c r="P1215" s="55" t="str">
        <f>IFERROR(IF(OR($B1215="",$B1215="(blank)"),"",VLOOKUP($B1215,'Email Marketing Raw Data'!$C:$O,8,0)),"")</f>
        <v/>
      </c>
      <c r="Q1215" s="62" t="str">
        <f>IFERROR(IF(OR($B1215="",$B1215="(blank)"),"",VLOOKUP($B1215,'Email Marketing Raw Data'!$C:$O,9,0)),"")</f>
        <v/>
      </c>
    </row>
    <row r="1216" spans="4:17" ht="12.75" customHeight="1" x14ac:dyDescent="0.2">
      <c r="D1216" s="58" t="str">
        <f>IFERROR(IF(F1216&lt;&gt;"pending","",IF(OR($B1216="",$B1216="(blank)"),"",VLOOKUP($B1216,'Email Marketing Raw Data'!$C:$O,10,0))),"")</f>
        <v/>
      </c>
      <c r="E1216" s="59" t="str">
        <f>IFERROR(IF(F1216&lt;&gt;"pending","",IF(OR($B1216="",$B1216="(blank)"),"",VLOOKUP($B1216,'Email Marketing Raw Data'!$C:$O,11,0))),"")</f>
        <v/>
      </c>
      <c r="F1216" s="54" t="str">
        <f>IFERROR(IF(OR($B1216="",$B1216="(blank)"),"",VLOOKUP($B1216,'Email Marketing Raw Data'!$C:$O,13,0)),"")</f>
        <v/>
      </c>
      <c r="G1216" s="55" t="str">
        <f>IFERROR(IF(OR($B1216="",$B1216="(blank)"),"",VLOOKUP($B1216,'Email Marketing Raw Data'!$C:$O,4,0)),"")</f>
        <v/>
      </c>
      <c r="H1216" s="55" t="str">
        <f>IFERROR(IF(OR($B1216="",$B1216="(blank)"),"",VLOOKUP($B1216,'Email Marketing Raw Data'!$C:$O,5,0)),"")</f>
        <v/>
      </c>
      <c r="I1216" s="55" t="str">
        <f>IFERROR(IF($G1216="","",VLOOKUP('Dashboard And Emails Automate'!$G1216,Database!$H:$N,3,0)),"")</f>
        <v/>
      </c>
      <c r="J1216" s="55" t="str">
        <f>IFERROR(IF($G1216="","",VLOOKUP('Dashboard And Emails Automate'!$G1216,Database!$H:$N,4,0)),"")</f>
        <v/>
      </c>
      <c r="K1216" s="55" t="str">
        <f>IFERROR(IF($G1216="","",VLOOKUP('Dashboard And Emails Automate'!$G1216,Database!$H:$N,5,0)),"")</f>
        <v/>
      </c>
      <c r="L1216" s="55" t="str">
        <f>IFERROR(IF($G1216="","",VLOOKUP('Dashboard And Emails Automate'!$G1216,Database!$H:$N,6,0)),"")</f>
        <v/>
      </c>
      <c r="M1216" s="55" t="str">
        <f>IFERROR(IF($G1216="","",VLOOKUP('Dashboard And Emails Automate'!$G1216,Database!$H:$N,7,0)),"")</f>
        <v/>
      </c>
      <c r="N1216" s="55" t="str">
        <f>IFERROR(IF(OR($B1216="",$B1216="(blank)"),"",VLOOKUP($B1216,'Email Marketing Raw Data'!$C:$O,6,0)),"")</f>
        <v/>
      </c>
      <c r="O1216" s="55" t="str">
        <f>IFERROR(IF(OR($B1216="",$B1216="(blank)"),"",VLOOKUP($B1216,'Email Marketing Raw Data'!$C:$O,7,0)),"")</f>
        <v/>
      </c>
      <c r="P1216" s="55" t="str">
        <f>IFERROR(IF(OR($B1216="",$B1216="(blank)"),"",VLOOKUP($B1216,'Email Marketing Raw Data'!$C:$O,8,0)),"")</f>
        <v/>
      </c>
      <c r="Q1216" s="62" t="str">
        <f>IFERROR(IF(OR($B1216="",$B1216="(blank)"),"",VLOOKUP($B1216,'Email Marketing Raw Data'!$C:$O,9,0)),"")</f>
        <v/>
      </c>
    </row>
    <row r="1217" spans="4:17" ht="12.75" customHeight="1" x14ac:dyDescent="0.2">
      <c r="D1217" s="58" t="str">
        <f>IFERROR(IF(F1217&lt;&gt;"pending","",IF(OR($B1217="",$B1217="(blank)"),"",VLOOKUP($B1217,'Email Marketing Raw Data'!$C:$O,10,0))),"")</f>
        <v/>
      </c>
      <c r="E1217" s="59" t="str">
        <f>IFERROR(IF(F1217&lt;&gt;"pending","",IF(OR($B1217="",$B1217="(blank)"),"",VLOOKUP($B1217,'Email Marketing Raw Data'!$C:$O,11,0))),"")</f>
        <v/>
      </c>
      <c r="F1217" s="54" t="str">
        <f>IFERROR(IF(OR($B1217="",$B1217="(blank)"),"",VLOOKUP($B1217,'Email Marketing Raw Data'!$C:$O,13,0)),"")</f>
        <v/>
      </c>
      <c r="G1217" s="55" t="str">
        <f>IFERROR(IF(OR($B1217="",$B1217="(blank)"),"",VLOOKUP($B1217,'Email Marketing Raw Data'!$C:$O,4,0)),"")</f>
        <v/>
      </c>
      <c r="H1217" s="55" t="str">
        <f>IFERROR(IF(OR($B1217="",$B1217="(blank)"),"",VLOOKUP($B1217,'Email Marketing Raw Data'!$C:$O,5,0)),"")</f>
        <v/>
      </c>
      <c r="I1217" s="55" t="str">
        <f>IFERROR(IF($G1217="","",VLOOKUP('Dashboard And Emails Automate'!$G1217,Database!$H:$N,3,0)),"")</f>
        <v/>
      </c>
      <c r="J1217" s="55" t="str">
        <f>IFERROR(IF($G1217="","",VLOOKUP('Dashboard And Emails Automate'!$G1217,Database!$H:$N,4,0)),"")</f>
        <v/>
      </c>
      <c r="K1217" s="55" t="str">
        <f>IFERROR(IF($G1217="","",VLOOKUP('Dashboard And Emails Automate'!$G1217,Database!$H:$N,5,0)),"")</f>
        <v/>
      </c>
      <c r="L1217" s="55" t="str">
        <f>IFERROR(IF($G1217="","",VLOOKUP('Dashboard And Emails Automate'!$G1217,Database!$H:$N,6,0)),"")</f>
        <v/>
      </c>
      <c r="M1217" s="55" t="str">
        <f>IFERROR(IF($G1217="","",VLOOKUP('Dashboard And Emails Automate'!$G1217,Database!$H:$N,7,0)),"")</f>
        <v/>
      </c>
      <c r="N1217" s="55" t="str">
        <f>IFERROR(IF(OR($B1217="",$B1217="(blank)"),"",VLOOKUP($B1217,'Email Marketing Raw Data'!$C:$O,6,0)),"")</f>
        <v/>
      </c>
      <c r="O1217" s="55" t="str">
        <f>IFERROR(IF(OR($B1217="",$B1217="(blank)"),"",VLOOKUP($B1217,'Email Marketing Raw Data'!$C:$O,7,0)),"")</f>
        <v/>
      </c>
      <c r="P1217" s="55" t="str">
        <f>IFERROR(IF(OR($B1217="",$B1217="(blank)"),"",VLOOKUP($B1217,'Email Marketing Raw Data'!$C:$O,8,0)),"")</f>
        <v/>
      </c>
      <c r="Q1217" s="62" t="str">
        <f>IFERROR(IF(OR($B1217="",$B1217="(blank)"),"",VLOOKUP($B1217,'Email Marketing Raw Data'!$C:$O,9,0)),"")</f>
        <v/>
      </c>
    </row>
    <row r="1218" spans="4:17" ht="12.75" customHeight="1" x14ac:dyDescent="0.2">
      <c r="D1218" s="58" t="str">
        <f>IFERROR(IF(F1218&lt;&gt;"pending","",IF(OR($B1218="",$B1218="(blank)"),"",VLOOKUP($B1218,'Email Marketing Raw Data'!$C:$O,10,0))),"")</f>
        <v/>
      </c>
      <c r="E1218" s="59" t="str">
        <f>IFERROR(IF(F1218&lt;&gt;"pending","",IF(OR($B1218="",$B1218="(blank)"),"",VLOOKUP($B1218,'Email Marketing Raw Data'!$C:$O,11,0))),"")</f>
        <v/>
      </c>
      <c r="F1218" s="54" t="str">
        <f>IFERROR(IF(OR($B1218="",$B1218="(blank)"),"",VLOOKUP($B1218,'Email Marketing Raw Data'!$C:$O,13,0)),"")</f>
        <v/>
      </c>
      <c r="G1218" s="55" t="str">
        <f>IFERROR(IF(OR($B1218="",$B1218="(blank)"),"",VLOOKUP($B1218,'Email Marketing Raw Data'!$C:$O,4,0)),"")</f>
        <v/>
      </c>
      <c r="H1218" s="55" t="str">
        <f>IFERROR(IF(OR($B1218="",$B1218="(blank)"),"",VLOOKUP($B1218,'Email Marketing Raw Data'!$C:$O,5,0)),"")</f>
        <v/>
      </c>
      <c r="I1218" s="55" t="str">
        <f>IFERROR(IF($G1218="","",VLOOKUP('Dashboard And Emails Automate'!$G1218,Database!$H:$N,3,0)),"")</f>
        <v/>
      </c>
      <c r="J1218" s="55" t="str">
        <f>IFERROR(IF($G1218="","",VLOOKUP('Dashboard And Emails Automate'!$G1218,Database!$H:$N,4,0)),"")</f>
        <v/>
      </c>
      <c r="K1218" s="55" t="str">
        <f>IFERROR(IF($G1218="","",VLOOKUP('Dashboard And Emails Automate'!$G1218,Database!$H:$N,5,0)),"")</f>
        <v/>
      </c>
      <c r="L1218" s="55" t="str">
        <f>IFERROR(IF($G1218="","",VLOOKUP('Dashboard And Emails Automate'!$G1218,Database!$H:$N,6,0)),"")</f>
        <v/>
      </c>
      <c r="M1218" s="55" t="str">
        <f>IFERROR(IF($G1218="","",VLOOKUP('Dashboard And Emails Automate'!$G1218,Database!$H:$N,7,0)),"")</f>
        <v/>
      </c>
      <c r="N1218" s="55" t="str">
        <f>IFERROR(IF(OR($B1218="",$B1218="(blank)"),"",VLOOKUP($B1218,'Email Marketing Raw Data'!$C:$O,6,0)),"")</f>
        <v/>
      </c>
      <c r="O1218" s="55" t="str">
        <f>IFERROR(IF(OR($B1218="",$B1218="(blank)"),"",VLOOKUP($B1218,'Email Marketing Raw Data'!$C:$O,7,0)),"")</f>
        <v/>
      </c>
      <c r="P1218" s="55" t="str">
        <f>IFERROR(IF(OR($B1218="",$B1218="(blank)"),"",VLOOKUP($B1218,'Email Marketing Raw Data'!$C:$O,8,0)),"")</f>
        <v/>
      </c>
      <c r="Q1218" s="62" t="str">
        <f>IFERROR(IF(OR($B1218="",$B1218="(blank)"),"",VLOOKUP($B1218,'Email Marketing Raw Data'!$C:$O,9,0)),"")</f>
        <v/>
      </c>
    </row>
    <row r="1219" spans="4:17" ht="12.75" customHeight="1" x14ac:dyDescent="0.2">
      <c r="D1219" s="58" t="str">
        <f>IFERROR(IF(F1219&lt;&gt;"pending","",IF(OR($B1219="",$B1219="(blank)"),"",VLOOKUP($B1219,'Email Marketing Raw Data'!$C:$O,10,0))),"")</f>
        <v/>
      </c>
      <c r="E1219" s="59" t="str">
        <f>IFERROR(IF(F1219&lt;&gt;"pending","",IF(OR($B1219="",$B1219="(blank)"),"",VLOOKUP($B1219,'Email Marketing Raw Data'!$C:$O,11,0))),"")</f>
        <v/>
      </c>
      <c r="F1219" s="54" t="str">
        <f>IFERROR(IF(OR($B1219="",$B1219="(blank)"),"",VLOOKUP($B1219,'Email Marketing Raw Data'!$C:$O,13,0)),"")</f>
        <v/>
      </c>
      <c r="G1219" s="55" t="str">
        <f>IFERROR(IF(OR($B1219="",$B1219="(blank)"),"",VLOOKUP($B1219,'Email Marketing Raw Data'!$C:$O,4,0)),"")</f>
        <v/>
      </c>
      <c r="H1219" s="55" t="str">
        <f>IFERROR(IF(OR($B1219="",$B1219="(blank)"),"",VLOOKUP($B1219,'Email Marketing Raw Data'!$C:$O,5,0)),"")</f>
        <v/>
      </c>
      <c r="I1219" s="55" t="str">
        <f>IFERROR(IF($G1219="","",VLOOKUP('Dashboard And Emails Automate'!$G1219,Database!$H:$N,3,0)),"")</f>
        <v/>
      </c>
      <c r="J1219" s="55" t="str">
        <f>IFERROR(IF($G1219="","",VLOOKUP('Dashboard And Emails Automate'!$G1219,Database!$H:$N,4,0)),"")</f>
        <v/>
      </c>
      <c r="K1219" s="55" t="str">
        <f>IFERROR(IF($G1219="","",VLOOKUP('Dashboard And Emails Automate'!$G1219,Database!$H:$N,5,0)),"")</f>
        <v/>
      </c>
      <c r="L1219" s="55" t="str">
        <f>IFERROR(IF($G1219="","",VLOOKUP('Dashboard And Emails Automate'!$G1219,Database!$H:$N,6,0)),"")</f>
        <v/>
      </c>
      <c r="M1219" s="55" t="str">
        <f>IFERROR(IF($G1219="","",VLOOKUP('Dashboard And Emails Automate'!$G1219,Database!$H:$N,7,0)),"")</f>
        <v/>
      </c>
      <c r="N1219" s="55" t="str">
        <f>IFERROR(IF(OR($B1219="",$B1219="(blank)"),"",VLOOKUP($B1219,'Email Marketing Raw Data'!$C:$O,6,0)),"")</f>
        <v/>
      </c>
      <c r="O1219" s="55" t="str">
        <f>IFERROR(IF(OR($B1219="",$B1219="(blank)"),"",VLOOKUP($B1219,'Email Marketing Raw Data'!$C:$O,7,0)),"")</f>
        <v/>
      </c>
      <c r="P1219" s="55" t="str">
        <f>IFERROR(IF(OR($B1219="",$B1219="(blank)"),"",VLOOKUP($B1219,'Email Marketing Raw Data'!$C:$O,8,0)),"")</f>
        <v/>
      </c>
      <c r="Q1219" s="62" t="str">
        <f>IFERROR(IF(OR($B1219="",$B1219="(blank)"),"",VLOOKUP($B1219,'Email Marketing Raw Data'!$C:$O,9,0)),"")</f>
        <v/>
      </c>
    </row>
    <row r="1220" spans="4:17" ht="12.75" customHeight="1" x14ac:dyDescent="0.2">
      <c r="D1220" s="58" t="str">
        <f>IFERROR(IF(F1220&lt;&gt;"pending","",IF(OR($B1220="",$B1220="(blank)"),"",VLOOKUP($B1220,'Email Marketing Raw Data'!$C:$O,10,0))),"")</f>
        <v/>
      </c>
      <c r="E1220" s="59" t="str">
        <f>IFERROR(IF(F1220&lt;&gt;"pending","",IF(OR($B1220="",$B1220="(blank)"),"",VLOOKUP($B1220,'Email Marketing Raw Data'!$C:$O,11,0))),"")</f>
        <v/>
      </c>
      <c r="F1220" s="54" t="str">
        <f>IFERROR(IF(OR($B1220="",$B1220="(blank)"),"",VLOOKUP($B1220,'Email Marketing Raw Data'!$C:$O,13,0)),"")</f>
        <v/>
      </c>
      <c r="G1220" s="55" t="str">
        <f>IFERROR(IF(OR($B1220="",$B1220="(blank)"),"",VLOOKUP($B1220,'Email Marketing Raw Data'!$C:$O,4,0)),"")</f>
        <v/>
      </c>
      <c r="H1220" s="55" t="str">
        <f>IFERROR(IF(OR($B1220="",$B1220="(blank)"),"",VLOOKUP($B1220,'Email Marketing Raw Data'!$C:$O,5,0)),"")</f>
        <v/>
      </c>
      <c r="I1220" s="55" t="str">
        <f>IFERROR(IF($G1220="","",VLOOKUP('Dashboard And Emails Automate'!$G1220,Database!$H:$N,3,0)),"")</f>
        <v/>
      </c>
      <c r="J1220" s="55" t="str">
        <f>IFERROR(IF($G1220="","",VLOOKUP('Dashboard And Emails Automate'!$G1220,Database!$H:$N,4,0)),"")</f>
        <v/>
      </c>
      <c r="K1220" s="55" t="str">
        <f>IFERROR(IF($G1220="","",VLOOKUP('Dashboard And Emails Automate'!$G1220,Database!$H:$N,5,0)),"")</f>
        <v/>
      </c>
      <c r="L1220" s="55" t="str">
        <f>IFERROR(IF($G1220="","",VLOOKUP('Dashboard And Emails Automate'!$G1220,Database!$H:$N,6,0)),"")</f>
        <v/>
      </c>
      <c r="M1220" s="55" t="str">
        <f>IFERROR(IF($G1220="","",VLOOKUP('Dashboard And Emails Automate'!$G1220,Database!$H:$N,7,0)),"")</f>
        <v/>
      </c>
      <c r="N1220" s="55" t="str">
        <f>IFERROR(IF(OR($B1220="",$B1220="(blank)"),"",VLOOKUP($B1220,'Email Marketing Raw Data'!$C:$O,6,0)),"")</f>
        <v/>
      </c>
      <c r="O1220" s="55" t="str">
        <f>IFERROR(IF(OR($B1220="",$B1220="(blank)"),"",VLOOKUP($B1220,'Email Marketing Raw Data'!$C:$O,7,0)),"")</f>
        <v/>
      </c>
      <c r="P1220" s="55" t="str">
        <f>IFERROR(IF(OR($B1220="",$B1220="(blank)"),"",VLOOKUP($B1220,'Email Marketing Raw Data'!$C:$O,8,0)),"")</f>
        <v/>
      </c>
      <c r="Q1220" s="62" t="str">
        <f>IFERROR(IF(OR($B1220="",$B1220="(blank)"),"",VLOOKUP($B1220,'Email Marketing Raw Data'!$C:$O,9,0)),"")</f>
        <v/>
      </c>
    </row>
    <row r="1221" spans="4:17" ht="12.75" customHeight="1" x14ac:dyDescent="0.2">
      <c r="D1221" s="58" t="str">
        <f>IFERROR(IF(F1221&lt;&gt;"pending","",IF(OR($B1221="",$B1221="(blank)"),"",VLOOKUP($B1221,'Email Marketing Raw Data'!$C:$O,10,0))),"")</f>
        <v/>
      </c>
      <c r="E1221" s="59" t="str">
        <f>IFERROR(IF(F1221&lt;&gt;"pending","",IF(OR($B1221="",$B1221="(blank)"),"",VLOOKUP($B1221,'Email Marketing Raw Data'!$C:$O,11,0))),"")</f>
        <v/>
      </c>
      <c r="F1221" s="54" t="str">
        <f>IFERROR(IF(OR($B1221="",$B1221="(blank)"),"",VLOOKUP($B1221,'Email Marketing Raw Data'!$C:$O,13,0)),"")</f>
        <v/>
      </c>
      <c r="G1221" s="55" t="str">
        <f>IFERROR(IF(OR($B1221="",$B1221="(blank)"),"",VLOOKUP($B1221,'Email Marketing Raw Data'!$C:$O,4,0)),"")</f>
        <v/>
      </c>
      <c r="H1221" s="55" t="str">
        <f>IFERROR(IF(OR($B1221="",$B1221="(blank)"),"",VLOOKUP($B1221,'Email Marketing Raw Data'!$C:$O,5,0)),"")</f>
        <v/>
      </c>
      <c r="I1221" s="55" t="str">
        <f>IFERROR(IF($G1221="","",VLOOKUP('Dashboard And Emails Automate'!$G1221,Database!$H:$N,3,0)),"")</f>
        <v/>
      </c>
      <c r="J1221" s="55" t="str">
        <f>IFERROR(IF($G1221="","",VLOOKUP('Dashboard And Emails Automate'!$G1221,Database!$H:$N,4,0)),"")</f>
        <v/>
      </c>
      <c r="K1221" s="55" t="str">
        <f>IFERROR(IF($G1221="","",VLOOKUP('Dashboard And Emails Automate'!$G1221,Database!$H:$N,5,0)),"")</f>
        <v/>
      </c>
      <c r="L1221" s="55" t="str">
        <f>IFERROR(IF($G1221="","",VLOOKUP('Dashboard And Emails Automate'!$G1221,Database!$H:$N,6,0)),"")</f>
        <v/>
      </c>
      <c r="M1221" s="55" t="str">
        <f>IFERROR(IF($G1221="","",VLOOKUP('Dashboard And Emails Automate'!$G1221,Database!$H:$N,7,0)),"")</f>
        <v/>
      </c>
      <c r="N1221" s="55" t="str">
        <f>IFERROR(IF(OR($B1221="",$B1221="(blank)"),"",VLOOKUP($B1221,'Email Marketing Raw Data'!$C:$O,6,0)),"")</f>
        <v/>
      </c>
      <c r="O1221" s="55" t="str">
        <f>IFERROR(IF(OR($B1221="",$B1221="(blank)"),"",VLOOKUP($B1221,'Email Marketing Raw Data'!$C:$O,7,0)),"")</f>
        <v/>
      </c>
      <c r="P1221" s="55" t="str">
        <f>IFERROR(IF(OR($B1221="",$B1221="(blank)"),"",VLOOKUP($B1221,'Email Marketing Raw Data'!$C:$O,8,0)),"")</f>
        <v/>
      </c>
      <c r="Q1221" s="62" t="str">
        <f>IFERROR(IF(OR($B1221="",$B1221="(blank)"),"",VLOOKUP($B1221,'Email Marketing Raw Data'!$C:$O,9,0)),"")</f>
        <v/>
      </c>
    </row>
    <row r="1222" spans="4:17" ht="12.75" customHeight="1" x14ac:dyDescent="0.2">
      <c r="D1222" s="58" t="str">
        <f>IFERROR(IF(F1222&lt;&gt;"pending","",IF(OR($B1222="",$B1222="(blank)"),"",VLOOKUP($B1222,'Email Marketing Raw Data'!$C:$O,10,0))),"")</f>
        <v/>
      </c>
      <c r="E1222" s="59" t="str">
        <f>IFERROR(IF(F1222&lt;&gt;"pending","",IF(OR($B1222="",$B1222="(blank)"),"",VLOOKUP($B1222,'Email Marketing Raw Data'!$C:$O,11,0))),"")</f>
        <v/>
      </c>
      <c r="F1222" s="54" t="str">
        <f>IFERROR(IF(OR($B1222="",$B1222="(blank)"),"",VLOOKUP($B1222,'Email Marketing Raw Data'!$C:$O,13,0)),"")</f>
        <v/>
      </c>
      <c r="G1222" s="55" t="str">
        <f>IFERROR(IF(OR($B1222="",$B1222="(blank)"),"",VLOOKUP($B1222,'Email Marketing Raw Data'!$C:$O,4,0)),"")</f>
        <v/>
      </c>
      <c r="H1222" s="55" t="str">
        <f>IFERROR(IF(OR($B1222="",$B1222="(blank)"),"",VLOOKUP($B1222,'Email Marketing Raw Data'!$C:$O,5,0)),"")</f>
        <v/>
      </c>
      <c r="I1222" s="55" t="str">
        <f>IFERROR(IF($G1222="","",VLOOKUP('Dashboard And Emails Automate'!$G1222,Database!$H:$N,3,0)),"")</f>
        <v/>
      </c>
      <c r="J1222" s="55" t="str">
        <f>IFERROR(IF($G1222="","",VLOOKUP('Dashboard And Emails Automate'!$G1222,Database!$H:$N,4,0)),"")</f>
        <v/>
      </c>
      <c r="K1222" s="55" t="str">
        <f>IFERROR(IF($G1222="","",VLOOKUP('Dashboard And Emails Automate'!$G1222,Database!$H:$N,5,0)),"")</f>
        <v/>
      </c>
      <c r="L1222" s="55" t="str">
        <f>IFERROR(IF($G1222="","",VLOOKUP('Dashboard And Emails Automate'!$G1222,Database!$H:$N,6,0)),"")</f>
        <v/>
      </c>
      <c r="M1222" s="55" t="str">
        <f>IFERROR(IF($G1222="","",VLOOKUP('Dashboard And Emails Automate'!$G1222,Database!$H:$N,7,0)),"")</f>
        <v/>
      </c>
      <c r="N1222" s="55" t="str">
        <f>IFERROR(IF(OR($B1222="",$B1222="(blank)"),"",VLOOKUP($B1222,'Email Marketing Raw Data'!$C:$O,6,0)),"")</f>
        <v/>
      </c>
      <c r="O1222" s="55" t="str">
        <f>IFERROR(IF(OR($B1222="",$B1222="(blank)"),"",VLOOKUP($B1222,'Email Marketing Raw Data'!$C:$O,7,0)),"")</f>
        <v/>
      </c>
      <c r="P1222" s="55" t="str">
        <f>IFERROR(IF(OR($B1222="",$B1222="(blank)"),"",VLOOKUP($B1222,'Email Marketing Raw Data'!$C:$O,8,0)),"")</f>
        <v/>
      </c>
      <c r="Q1222" s="62" t="str">
        <f>IFERROR(IF(OR($B1222="",$B1222="(blank)"),"",VLOOKUP($B1222,'Email Marketing Raw Data'!$C:$O,9,0)),"")</f>
        <v/>
      </c>
    </row>
    <row r="1223" spans="4:17" ht="12.75" customHeight="1" x14ac:dyDescent="0.2">
      <c r="D1223" s="58" t="str">
        <f>IFERROR(IF(F1223&lt;&gt;"pending","",IF(OR($B1223="",$B1223="(blank)"),"",VLOOKUP($B1223,'Email Marketing Raw Data'!$C:$O,10,0))),"")</f>
        <v/>
      </c>
      <c r="E1223" s="59" t="str">
        <f>IFERROR(IF(F1223&lt;&gt;"pending","",IF(OR($B1223="",$B1223="(blank)"),"",VLOOKUP($B1223,'Email Marketing Raw Data'!$C:$O,11,0))),"")</f>
        <v/>
      </c>
      <c r="F1223" s="54" t="str">
        <f>IFERROR(IF(OR($B1223="",$B1223="(blank)"),"",VLOOKUP($B1223,'Email Marketing Raw Data'!$C:$O,13,0)),"")</f>
        <v/>
      </c>
      <c r="G1223" s="55" t="str">
        <f>IFERROR(IF(OR($B1223="",$B1223="(blank)"),"",VLOOKUP($B1223,'Email Marketing Raw Data'!$C:$O,4,0)),"")</f>
        <v/>
      </c>
      <c r="H1223" s="55" t="str">
        <f>IFERROR(IF(OR($B1223="",$B1223="(blank)"),"",VLOOKUP($B1223,'Email Marketing Raw Data'!$C:$O,5,0)),"")</f>
        <v/>
      </c>
      <c r="I1223" s="55" t="str">
        <f>IFERROR(IF($G1223="","",VLOOKUP('Dashboard And Emails Automate'!$G1223,Database!$H:$N,3,0)),"")</f>
        <v/>
      </c>
      <c r="J1223" s="55" t="str">
        <f>IFERROR(IF($G1223="","",VLOOKUP('Dashboard And Emails Automate'!$G1223,Database!$H:$N,4,0)),"")</f>
        <v/>
      </c>
      <c r="K1223" s="55" t="str">
        <f>IFERROR(IF($G1223="","",VLOOKUP('Dashboard And Emails Automate'!$G1223,Database!$H:$N,5,0)),"")</f>
        <v/>
      </c>
      <c r="L1223" s="55" t="str">
        <f>IFERROR(IF($G1223="","",VLOOKUP('Dashboard And Emails Automate'!$G1223,Database!$H:$N,6,0)),"")</f>
        <v/>
      </c>
      <c r="M1223" s="55" t="str">
        <f>IFERROR(IF($G1223="","",VLOOKUP('Dashboard And Emails Automate'!$G1223,Database!$H:$N,7,0)),"")</f>
        <v/>
      </c>
      <c r="N1223" s="55" t="str">
        <f>IFERROR(IF(OR($B1223="",$B1223="(blank)"),"",VLOOKUP($B1223,'Email Marketing Raw Data'!$C:$O,6,0)),"")</f>
        <v/>
      </c>
      <c r="O1223" s="55" t="str">
        <f>IFERROR(IF(OR($B1223="",$B1223="(blank)"),"",VLOOKUP($B1223,'Email Marketing Raw Data'!$C:$O,7,0)),"")</f>
        <v/>
      </c>
      <c r="P1223" s="55" t="str">
        <f>IFERROR(IF(OR($B1223="",$B1223="(blank)"),"",VLOOKUP($B1223,'Email Marketing Raw Data'!$C:$O,8,0)),"")</f>
        <v/>
      </c>
      <c r="Q1223" s="62" t="str">
        <f>IFERROR(IF(OR($B1223="",$B1223="(blank)"),"",VLOOKUP($B1223,'Email Marketing Raw Data'!$C:$O,9,0)),"")</f>
        <v/>
      </c>
    </row>
    <row r="1224" spans="4:17" ht="12.75" customHeight="1" x14ac:dyDescent="0.2">
      <c r="D1224" s="58" t="str">
        <f>IFERROR(IF(F1224&lt;&gt;"pending","",IF(OR($B1224="",$B1224="(blank)"),"",VLOOKUP($B1224,'Email Marketing Raw Data'!$C:$O,10,0))),"")</f>
        <v/>
      </c>
      <c r="E1224" s="59" t="str">
        <f>IFERROR(IF(F1224&lt;&gt;"pending","",IF(OR($B1224="",$B1224="(blank)"),"",VLOOKUP($B1224,'Email Marketing Raw Data'!$C:$O,11,0))),"")</f>
        <v/>
      </c>
      <c r="F1224" s="54" t="str">
        <f>IFERROR(IF(OR($B1224="",$B1224="(blank)"),"",VLOOKUP($B1224,'Email Marketing Raw Data'!$C:$O,13,0)),"")</f>
        <v/>
      </c>
      <c r="G1224" s="55" t="str">
        <f>IFERROR(IF(OR($B1224="",$B1224="(blank)"),"",VLOOKUP($B1224,'Email Marketing Raw Data'!$C:$O,4,0)),"")</f>
        <v/>
      </c>
      <c r="H1224" s="55" t="str">
        <f>IFERROR(IF(OR($B1224="",$B1224="(blank)"),"",VLOOKUP($B1224,'Email Marketing Raw Data'!$C:$O,5,0)),"")</f>
        <v/>
      </c>
      <c r="I1224" s="55" t="str">
        <f>IFERROR(IF($G1224="","",VLOOKUP('Dashboard And Emails Automate'!$G1224,Database!$H:$N,3,0)),"")</f>
        <v/>
      </c>
      <c r="J1224" s="55" t="str">
        <f>IFERROR(IF($G1224="","",VLOOKUP('Dashboard And Emails Automate'!$G1224,Database!$H:$N,4,0)),"")</f>
        <v/>
      </c>
      <c r="K1224" s="55" t="str">
        <f>IFERROR(IF($G1224="","",VLOOKUP('Dashboard And Emails Automate'!$G1224,Database!$H:$N,5,0)),"")</f>
        <v/>
      </c>
      <c r="L1224" s="55" t="str">
        <f>IFERROR(IF($G1224="","",VLOOKUP('Dashboard And Emails Automate'!$G1224,Database!$H:$N,6,0)),"")</f>
        <v/>
      </c>
      <c r="M1224" s="55" t="str">
        <f>IFERROR(IF($G1224="","",VLOOKUP('Dashboard And Emails Automate'!$G1224,Database!$H:$N,7,0)),"")</f>
        <v/>
      </c>
      <c r="N1224" s="55" t="str">
        <f>IFERROR(IF(OR($B1224="",$B1224="(blank)"),"",VLOOKUP($B1224,'Email Marketing Raw Data'!$C:$O,6,0)),"")</f>
        <v/>
      </c>
      <c r="O1224" s="55" t="str">
        <f>IFERROR(IF(OR($B1224="",$B1224="(blank)"),"",VLOOKUP($B1224,'Email Marketing Raw Data'!$C:$O,7,0)),"")</f>
        <v/>
      </c>
      <c r="P1224" s="55" t="str">
        <f>IFERROR(IF(OR($B1224="",$B1224="(blank)"),"",VLOOKUP($B1224,'Email Marketing Raw Data'!$C:$O,8,0)),"")</f>
        <v/>
      </c>
      <c r="Q1224" s="62" t="str">
        <f>IFERROR(IF(OR($B1224="",$B1224="(blank)"),"",VLOOKUP($B1224,'Email Marketing Raw Data'!$C:$O,9,0)),"")</f>
        <v/>
      </c>
    </row>
    <row r="1225" spans="4:17" ht="12.75" customHeight="1" x14ac:dyDescent="0.2">
      <c r="D1225" s="58" t="str">
        <f>IFERROR(IF(F1225&lt;&gt;"pending","",IF(OR($B1225="",$B1225="(blank)"),"",VLOOKUP($B1225,'Email Marketing Raw Data'!$C:$O,10,0))),"")</f>
        <v/>
      </c>
      <c r="E1225" s="59" t="str">
        <f>IFERROR(IF(F1225&lt;&gt;"pending","",IF(OR($B1225="",$B1225="(blank)"),"",VLOOKUP($B1225,'Email Marketing Raw Data'!$C:$O,11,0))),"")</f>
        <v/>
      </c>
      <c r="F1225" s="54" t="str">
        <f>IFERROR(IF(OR($B1225="",$B1225="(blank)"),"",VLOOKUP($B1225,'Email Marketing Raw Data'!$C:$O,13,0)),"")</f>
        <v/>
      </c>
      <c r="G1225" s="55" t="str">
        <f>IFERROR(IF(OR($B1225="",$B1225="(blank)"),"",VLOOKUP($B1225,'Email Marketing Raw Data'!$C:$O,4,0)),"")</f>
        <v/>
      </c>
      <c r="H1225" s="55" t="str">
        <f>IFERROR(IF(OR($B1225="",$B1225="(blank)"),"",VLOOKUP($B1225,'Email Marketing Raw Data'!$C:$O,5,0)),"")</f>
        <v/>
      </c>
      <c r="I1225" s="55" t="str">
        <f>IFERROR(IF($G1225="","",VLOOKUP('Dashboard And Emails Automate'!$G1225,Database!$H:$N,3,0)),"")</f>
        <v/>
      </c>
      <c r="J1225" s="55" t="str">
        <f>IFERROR(IF($G1225="","",VLOOKUP('Dashboard And Emails Automate'!$G1225,Database!$H:$N,4,0)),"")</f>
        <v/>
      </c>
      <c r="K1225" s="55" t="str">
        <f>IFERROR(IF($G1225="","",VLOOKUP('Dashboard And Emails Automate'!$G1225,Database!$H:$N,5,0)),"")</f>
        <v/>
      </c>
      <c r="L1225" s="55" t="str">
        <f>IFERROR(IF($G1225="","",VLOOKUP('Dashboard And Emails Automate'!$G1225,Database!$H:$N,6,0)),"")</f>
        <v/>
      </c>
      <c r="M1225" s="55" t="str">
        <f>IFERROR(IF($G1225="","",VLOOKUP('Dashboard And Emails Automate'!$G1225,Database!$H:$N,7,0)),"")</f>
        <v/>
      </c>
      <c r="N1225" s="55" t="str">
        <f>IFERROR(IF(OR($B1225="",$B1225="(blank)"),"",VLOOKUP($B1225,'Email Marketing Raw Data'!$C:$O,6,0)),"")</f>
        <v/>
      </c>
      <c r="O1225" s="55" t="str">
        <f>IFERROR(IF(OR($B1225="",$B1225="(blank)"),"",VLOOKUP($B1225,'Email Marketing Raw Data'!$C:$O,7,0)),"")</f>
        <v/>
      </c>
      <c r="P1225" s="55" t="str">
        <f>IFERROR(IF(OR($B1225="",$B1225="(blank)"),"",VLOOKUP($B1225,'Email Marketing Raw Data'!$C:$O,8,0)),"")</f>
        <v/>
      </c>
      <c r="Q1225" s="62" t="str">
        <f>IFERROR(IF(OR($B1225="",$B1225="(blank)"),"",VLOOKUP($B1225,'Email Marketing Raw Data'!$C:$O,9,0)),"")</f>
        <v/>
      </c>
    </row>
    <row r="1226" spans="4:17" ht="12.75" customHeight="1" x14ac:dyDescent="0.2">
      <c r="D1226" s="58" t="str">
        <f>IFERROR(IF(F1226&lt;&gt;"pending","",IF(OR($B1226="",$B1226="(blank)"),"",VLOOKUP($B1226,'Email Marketing Raw Data'!$C:$O,10,0))),"")</f>
        <v/>
      </c>
      <c r="E1226" s="59" t="str">
        <f>IFERROR(IF(F1226&lt;&gt;"pending","",IF(OR($B1226="",$B1226="(blank)"),"",VLOOKUP($B1226,'Email Marketing Raw Data'!$C:$O,11,0))),"")</f>
        <v/>
      </c>
      <c r="F1226" s="54" t="str">
        <f>IFERROR(IF(OR($B1226="",$B1226="(blank)"),"",VLOOKUP($B1226,'Email Marketing Raw Data'!$C:$O,13,0)),"")</f>
        <v/>
      </c>
      <c r="G1226" s="55" t="str">
        <f>IFERROR(IF(OR($B1226="",$B1226="(blank)"),"",VLOOKUP($B1226,'Email Marketing Raw Data'!$C:$O,4,0)),"")</f>
        <v/>
      </c>
      <c r="H1226" s="55" t="str">
        <f>IFERROR(IF(OR($B1226="",$B1226="(blank)"),"",VLOOKUP($B1226,'Email Marketing Raw Data'!$C:$O,5,0)),"")</f>
        <v/>
      </c>
      <c r="I1226" s="55" t="str">
        <f>IFERROR(IF($G1226="","",VLOOKUP('Dashboard And Emails Automate'!$G1226,Database!$H:$N,3,0)),"")</f>
        <v/>
      </c>
      <c r="J1226" s="55" t="str">
        <f>IFERROR(IF($G1226="","",VLOOKUP('Dashboard And Emails Automate'!$G1226,Database!$H:$N,4,0)),"")</f>
        <v/>
      </c>
      <c r="K1226" s="55" t="str">
        <f>IFERROR(IF($G1226="","",VLOOKUP('Dashboard And Emails Automate'!$G1226,Database!$H:$N,5,0)),"")</f>
        <v/>
      </c>
      <c r="L1226" s="55" t="str">
        <f>IFERROR(IF($G1226="","",VLOOKUP('Dashboard And Emails Automate'!$G1226,Database!$H:$N,6,0)),"")</f>
        <v/>
      </c>
      <c r="M1226" s="55" t="str">
        <f>IFERROR(IF($G1226="","",VLOOKUP('Dashboard And Emails Automate'!$G1226,Database!$H:$N,7,0)),"")</f>
        <v/>
      </c>
      <c r="N1226" s="55" t="str">
        <f>IFERROR(IF(OR($B1226="",$B1226="(blank)"),"",VLOOKUP($B1226,'Email Marketing Raw Data'!$C:$O,6,0)),"")</f>
        <v/>
      </c>
      <c r="O1226" s="55" t="str">
        <f>IFERROR(IF(OR($B1226="",$B1226="(blank)"),"",VLOOKUP($B1226,'Email Marketing Raw Data'!$C:$O,7,0)),"")</f>
        <v/>
      </c>
      <c r="P1226" s="55" t="str">
        <f>IFERROR(IF(OR($B1226="",$B1226="(blank)"),"",VLOOKUP($B1226,'Email Marketing Raw Data'!$C:$O,8,0)),"")</f>
        <v/>
      </c>
      <c r="Q1226" s="62" t="str">
        <f>IFERROR(IF(OR($B1226="",$B1226="(blank)"),"",VLOOKUP($B1226,'Email Marketing Raw Data'!$C:$O,9,0)),"")</f>
        <v/>
      </c>
    </row>
    <row r="1227" spans="4:17" ht="12.75" customHeight="1" x14ac:dyDescent="0.2">
      <c r="D1227" s="58" t="str">
        <f>IFERROR(IF(F1227&lt;&gt;"pending","",IF(OR($B1227="",$B1227="(blank)"),"",VLOOKUP($B1227,'Email Marketing Raw Data'!$C:$O,10,0))),"")</f>
        <v/>
      </c>
      <c r="E1227" s="59" t="str">
        <f>IFERROR(IF(F1227&lt;&gt;"pending","",IF(OR($B1227="",$B1227="(blank)"),"",VLOOKUP($B1227,'Email Marketing Raw Data'!$C:$O,11,0))),"")</f>
        <v/>
      </c>
      <c r="F1227" s="54" t="str">
        <f>IFERROR(IF(OR($B1227="",$B1227="(blank)"),"",VLOOKUP($B1227,'Email Marketing Raw Data'!$C:$O,13,0)),"")</f>
        <v/>
      </c>
      <c r="G1227" s="55" t="str">
        <f>IFERROR(IF(OR($B1227="",$B1227="(blank)"),"",VLOOKUP($B1227,'Email Marketing Raw Data'!$C:$O,4,0)),"")</f>
        <v/>
      </c>
      <c r="H1227" s="55" t="str">
        <f>IFERROR(IF(OR($B1227="",$B1227="(blank)"),"",VLOOKUP($B1227,'Email Marketing Raw Data'!$C:$O,5,0)),"")</f>
        <v/>
      </c>
      <c r="I1227" s="55" t="str">
        <f>IFERROR(IF($G1227="","",VLOOKUP('Dashboard And Emails Automate'!$G1227,Database!$H:$N,3,0)),"")</f>
        <v/>
      </c>
      <c r="J1227" s="55" t="str">
        <f>IFERROR(IF($G1227="","",VLOOKUP('Dashboard And Emails Automate'!$G1227,Database!$H:$N,4,0)),"")</f>
        <v/>
      </c>
      <c r="K1227" s="55" t="str">
        <f>IFERROR(IF($G1227="","",VLOOKUP('Dashboard And Emails Automate'!$G1227,Database!$H:$N,5,0)),"")</f>
        <v/>
      </c>
      <c r="L1227" s="55" t="str">
        <f>IFERROR(IF($G1227="","",VLOOKUP('Dashboard And Emails Automate'!$G1227,Database!$H:$N,6,0)),"")</f>
        <v/>
      </c>
      <c r="M1227" s="55" t="str">
        <f>IFERROR(IF($G1227="","",VLOOKUP('Dashboard And Emails Automate'!$G1227,Database!$H:$N,7,0)),"")</f>
        <v/>
      </c>
      <c r="N1227" s="55" t="str">
        <f>IFERROR(IF(OR($B1227="",$B1227="(blank)"),"",VLOOKUP($B1227,'Email Marketing Raw Data'!$C:$O,6,0)),"")</f>
        <v/>
      </c>
      <c r="O1227" s="55" t="str">
        <f>IFERROR(IF(OR($B1227="",$B1227="(blank)"),"",VLOOKUP($B1227,'Email Marketing Raw Data'!$C:$O,7,0)),"")</f>
        <v/>
      </c>
      <c r="P1227" s="55" t="str">
        <f>IFERROR(IF(OR($B1227="",$B1227="(blank)"),"",VLOOKUP($B1227,'Email Marketing Raw Data'!$C:$O,8,0)),"")</f>
        <v/>
      </c>
      <c r="Q1227" s="62" t="str">
        <f>IFERROR(IF(OR($B1227="",$B1227="(blank)"),"",VLOOKUP($B1227,'Email Marketing Raw Data'!$C:$O,9,0)),"")</f>
        <v/>
      </c>
    </row>
    <row r="1228" spans="4:17" ht="12.75" customHeight="1" x14ac:dyDescent="0.2">
      <c r="D1228" s="58" t="str">
        <f>IFERROR(IF(F1228&lt;&gt;"pending","",IF(OR($B1228="",$B1228="(blank)"),"",VLOOKUP($B1228,'Email Marketing Raw Data'!$C:$O,10,0))),"")</f>
        <v/>
      </c>
      <c r="E1228" s="59" t="str">
        <f>IFERROR(IF(F1228&lt;&gt;"pending","",IF(OR($B1228="",$B1228="(blank)"),"",VLOOKUP($B1228,'Email Marketing Raw Data'!$C:$O,11,0))),"")</f>
        <v/>
      </c>
      <c r="F1228" s="54" t="str">
        <f>IFERROR(IF(OR($B1228="",$B1228="(blank)"),"",VLOOKUP($B1228,'Email Marketing Raw Data'!$C:$O,13,0)),"")</f>
        <v/>
      </c>
      <c r="G1228" s="55" t="str">
        <f>IFERROR(IF(OR($B1228="",$B1228="(blank)"),"",VLOOKUP($B1228,'Email Marketing Raw Data'!$C:$O,4,0)),"")</f>
        <v/>
      </c>
      <c r="H1228" s="55" t="str">
        <f>IFERROR(IF(OR($B1228="",$B1228="(blank)"),"",VLOOKUP($B1228,'Email Marketing Raw Data'!$C:$O,5,0)),"")</f>
        <v/>
      </c>
      <c r="I1228" s="55" t="str">
        <f>IFERROR(IF($G1228="","",VLOOKUP('Dashboard And Emails Automate'!$G1228,Database!$H:$N,3,0)),"")</f>
        <v/>
      </c>
      <c r="J1228" s="55" t="str">
        <f>IFERROR(IF($G1228="","",VLOOKUP('Dashboard And Emails Automate'!$G1228,Database!$H:$N,4,0)),"")</f>
        <v/>
      </c>
      <c r="K1228" s="55" t="str">
        <f>IFERROR(IF($G1228="","",VLOOKUP('Dashboard And Emails Automate'!$G1228,Database!$H:$N,5,0)),"")</f>
        <v/>
      </c>
      <c r="L1228" s="55" t="str">
        <f>IFERROR(IF($G1228="","",VLOOKUP('Dashboard And Emails Automate'!$G1228,Database!$H:$N,6,0)),"")</f>
        <v/>
      </c>
      <c r="M1228" s="55" t="str">
        <f>IFERROR(IF($G1228="","",VLOOKUP('Dashboard And Emails Automate'!$G1228,Database!$H:$N,7,0)),"")</f>
        <v/>
      </c>
      <c r="N1228" s="55" t="str">
        <f>IFERROR(IF(OR($B1228="",$B1228="(blank)"),"",VLOOKUP($B1228,'Email Marketing Raw Data'!$C:$O,6,0)),"")</f>
        <v/>
      </c>
      <c r="O1228" s="55" t="str">
        <f>IFERROR(IF(OR($B1228="",$B1228="(blank)"),"",VLOOKUP($B1228,'Email Marketing Raw Data'!$C:$O,7,0)),"")</f>
        <v/>
      </c>
      <c r="P1228" s="55" t="str">
        <f>IFERROR(IF(OR($B1228="",$B1228="(blank)"),"",VLOOKUP($B1228,'Email Marketing Raw Data'!$C:$O,8,0)),"")</f>
        <v/>
      </c>
      <c r="Q1228" s="62" t="str">
        <f>IFERROR(IF(OR($B1228="",$B1228="(blank)"),"",VLOOKUP($B1228,'Email Marketing Raw Data'!$C:$O,9,0)),"")</f>
        <v/>
      </c>
    </row>
    <row r="1229" spans="4:17" ht="12.75" customHeight="1" x14ac:dyDescent="0.2">
      <c r="D1229" s="58" t="str">
        <f>IFERROR(IF(F1229&lt;&gt;"pending","",IF(OR($B1229="",$B1229="(blank)"),"",VLOOKUP($B1229,'Email Marketing Raw Data'!$C:$O,10,0))),"")</f>
        <v/>
      </c>
      <c r="E1229" s="59" t="str">
        <f>IFERROR(IF(F1229&lt;&gt;"pending","",IF(OR($B1229="",$B1229="(blank)"),"",VLOOKUP($B1229,'Email Marketing Raw Data'!$C:$O,11,0))),"")</f>
        <v/>
      </c>
      <c r="F1229" s="54" t="str">
        <f>IFERROR(IF(OR($B1229="",$B1229="(blank)"),"",VLOOKUP($B1229,'Email Marketing Raw Data'!$C:$O,13,0)),"")</f>
        <v/>
      </c>
      <c r="G1229" s="55" t="str">
        <f>IFERROR(IF(OR($B1229="",$B1229="(blank)"),"",VLOOKUP($B1229,'Email Marketing Raw Data'!$C:$O,4,0)),"")</f>
        <v/>
      </c>
      <c r="H1229" s="55" t="str">
        <f>IFERROR(IF(OR($B1229="",$B1229="(blank)"),"",VLOOKUP($B1229,'Email Marketing Raw Data'!$C:$O,5,0)),"")</f>
        <v/>
      </c>
      <c r="I1229" s="55" t="str">
        <f>IFERROR(IF($G1229="","",VLOOKUP('Dashboard And Emails Automate'!$G1229,Database!$H:$N,3,0)),"")</f>
        <v/>
      </c>
      <c r="J1229" s="55" t="str">
        <f>IFERROR(IF($G1229="","",VLOOKUP('Dashboard And Emails Automate'!$G1229,Database!$H:$N,4,0)),"")</f>
        <v/>
      </c>
      <c r="K1229" s="55" t="str">
        <f>IFERROR(IF($G1229="","",VLOOKUP('Dashboard And Emails Automate'!$G1229,Database!$H:$N,5,0)),"")</f>
        <v/>
      </c>
      <c r="L1229" s="55" t="str">
        <f>IFERROR(IF($G1229="","",VLOOKUP('Dashboard And Emails Automate'!$G1229,Database!$H:$N,6,0)),"")</f>
        <v/>
      </c>
      <c r="M1229" s="55" t="str">
        <f>IFERROR(IF($G1229="","",VLOOKUP('Dashboard And Emails Automate'!$G1229,Database!$H:$N,7,0)),"")</f>
        <v/>
      </c>
      <c r="N1229" s="55" t="str">
        <f>IFERROR(IF(OR($B1229="",$B1229="(blank)"),"",VLOOKUP($B1229,'Email Marketing Raw Data'!$C:$O,6,0)),"")</f>
        <v/>
      </c>
      <c r="O1229" s="55" t="str">
        <f>IFERROR(IF(OR($B1229="",$B1229="(blank)"),"",VLOOKUP($B1229,'Email Marketing Raw Data'!$C:$O,7,0)),"")</f>
        <v/>
      </c>
      <c r="P1229" s="55" t="str">
        <f>IFERROR(IF(OR($B1229="",$B1229="(blank)"),"",VLOOKUP($B1229,'Email Marketing Raw Data'!$C:$O,8,0)),"")</f>
        <v/>
      </c>
      <c r="Q1229" s="62" t="str">
        <f>IFERROR(IF(OR($B1229="",$B1229="(blank)"),"",VLOOKUP($B1229,'Email Marketing Raw Data'!$C:$O,9,0)),"")</f>
        <v/>
      </c>
    </row>
    <row r="1230" spans="4:17" ht="12.75" customHeight="1" x14ac:dyDescent="0.2">
      <c r="D1230" s="58" t="str">
        <f>IFERROR(IF(F1230&lt;&gt;"pending","",IF(OR($B1230="",$B1230="(blank)"),"",VLOOKUP($B1230,'Email Marketing Raw Data'!$C:$O,10,0))),"")</f>
        <v/>
      </c>
      <c r="E1230" s="59" t="str">
        <f>IFERROR(IF(F1230&lt;&gt;"pending","",IF(OR($B1230="",$B1230="(blank)"),"",VLOOKUP($B1230,'Email Marketing Raw Data'!$C:$O,11,0))),"")</f>
        <v/>
      </c>
      <c r="F1230" s="54" t="str">
        <f>IFERROR(IF(OR($B1230="",$B1230="(blank)"),"",VLOOKUP($B1230,'Email Marketing Raw Data'!$C:$O,13,0)),"")</f>
        <v/>
      </c>
      <c r="G1230" s="55" t="str">
        <f>IFERROR(IF(OR($B1230="",$B1230="(blank)"),"",VLOOKUP($B1230,'Email Marketing Raw Data'!$C:$O,4,0)),"")</f>
        <v/>
      </c>
      <c r="H1230" s="55" t="str">
        <f>IFERROR(IF(OR($B1230="",$B1230="(blank)"),"",VLOOKUP($B1230,'Email Marketing Raw Data'!$C:$O,5,0)),"")</f>
        <v/>
      </c>
      <c r="I1230" s="55" t="str">
        <f>IFERROR(IF($G1230="","",VLOOKUP('Dashboard And Emails Automate'!$G1230,Database!$H:$N,3,0)),"")</f>
        <v/>
      </c>
      <c r="J1230" s="55" t="str">
        <f>IFERROR(IF($G1230="","",VLOOKUP('Dashboard And Emails Automate'!$G1230,Database!$H:$N,4,0)),"")</f>
        <v/>
      </c>
      <c r="K1230" s="55" t="str">
        <f>IFERROR(IF($G1230="","",VLOOKUP('Dashboard And Emails Automate'!$G1230,Database!$H:$N,5,0)),"")</f>
        <v/>
      </c>
      <c r="L1230" s="55" t="str">
        <f>IFERROR(IF($G1230="","",VLOOKUP('Dashboard And Emails Automate'!$G1230,Database!$H:$N,6,0)),"")</f>
        <v/>
      </c>
      <c r="M1230" s="55" t="str">
        <f>IFERROR(IF($G1230="","",VLOOKUP('Dashboard And Emails Automate'!$G1230,Database!$H:$N,7,0)),"")</f>
        <v/>
      </c>
      <c r="N1230" s="55" t="str">
        <f>IFERROR(IF(OR($B1230="",$B1230="(blank)"),"",VLOOKUP($B1230,'Email Marketing Raw Data'!$C:$O,6,0)),"")</f>
        <v/>
      </c>
      <c r="O1230" s="55" t="str">
        <f>IFERROR(IF(OR($B1230="",$B1230="(blank)"),"",VLOOKUP($B1230,'Email Marketing Raw Data'!$C:$O,7,0)),"")</f>
        <v/>
      </c>
      <c r="P1230" s="55" t="str">
        <f>IFERROR(IF(OR($B1230="",$B1230="(blank)"),"",VLOOKUP($B1230,'Email Marketing Raw Data'!$C:$O,8,0)),"")</f>
        <v/>
      </c>
      <c r="Q1230" s="62" t="str">
        <f>IFERROR(IF(OR($B1230="",$B1230="(blank)"),"",VLOOKUP($B1230,'Email Marketing Raw Data'!$C:$O,9,0)),"")</f>
        <v/>
      </c>
    </row>
    <row r="1231" spans="4:17" ht="12.75" customHeight="1" x14ac:dyDescent="0.2">
      <c r="D1231" s="58" t="str">
        <f>IFERROR(IF(F1231&lt;&gt;"pending","",IF(OR($B1231="",$B1231="(blank)"),"",VLOOKUP($B1231,'Email Marketing Raw Data'!$C:$O,10,0))),"")</f>
        <v/>
      </c>
      <c r="E1231" s="59" t="str">
        <f>IFERROR(IF(F1231&lt;&gt;"pending","",IF(OR($B1231="",$B1231="(blank)"),"",VLOOKUP($B1231,'Email Marketing Raw Data'!$C:$O,11,0))),"")</f>
        <v/>
      </c>
      <c r="F1231" s="54" t="str">
        <f>IFERROR(IF(OR($B1231="",$B1231="(blank)"),"",VLOOKUP($B1231,'Email Marketing Raw Data'!$C:$O,13,0)),"")</f>
        <v/>
      </c>
      <c r="G1231" s="55" t="str">
        <f>IFERROR(IF(OR($B1231="",$B1231="(blank)"),"",VLOOKUP($B1231,'Email Marketing Raw Data'!$C:$O,4,0)),"")</f>
        <v/>
      </c>
      <c r="H1231" s="55" t="str">
        <f>IFERROR(IF(OR($B1231="",$B1231="(blank)"),"",VLOOKUP($B1231,'Email Marketing Raw Data'!$C:$O,5,0)),"")</f>
        <v/>
      </c>
      <c r="I1231" s="55" t="str">
        <f>IFERROR(IF($G1231="","",VLOOKUP('Dashboard And Emails Automate'!$G1231,Database!$H:$N,3,0)),"")</f>
        <v/>
      </c>
      <c r="J1231" s="55" t="str">
        <f>IFERROR(IF($G1231="","",VLOOKUP('Dashboard And Emails Automate'!$G1231,Database!$H:$N,4,0)),"")</f>
        <v/>
      </c>
      <c r="K1231" s="55" t="str">
        <f>IFERROR(IF($G1231="","",VLOOKUP('Dashboard And Emails Automate'!$G1231,Database!$H:$N,5,0)),"")</f>
        <v/>
      </c>
      <c r="L1231" s="55" t="str">
        <f>IFERROR(IF($G1231="","",VLOOKUP('Dashboard And Emails Automate'!$G1231,Database!$H:$N,6,0)),"")</f>
        <v/>
      </c>
      <c r="M1231" s="55" t="str">
        <f>IFERROR(IF($G1231="","",VLOOKUP('Dashboard And Emails Automate'!$G1231,Database!$H:$N,7,0)),"")</f>
        <v/>
      </c>
      <c r="N1231" s="55" t="str">
        <f>IFERROR(IF(OR($B1231="",$B1231="(blank)"),"",VLOOKUP($B1231,'Email Marketing Raw Data'!$C:$O,6,0)),"")</f>
        <v/>
      </c>
      <c r="O1231" s="55" t="str">
        <f>IFERROR(IF(OR($B1231="",$B1231="(blank)"),"",VLOOKUP($B1231,'Email Marketing Raw Data'!$C:$O,7,0)),"")</f>
        <v/>
      </c>
      <c r="P1231" s="55" t="str">
        <f>IFERROR(IF(OR($B1231="",$B1231="(blank)"),"",VLOOKUP($B1231,'Email Marketing Raw Data'!$C:$O,8,0)),"")</f>
        <v/>
      </c>
      <c r="Q1231" s="62" t="str">
        <f>IFERROR(IF(OR($B1231="",$B1231="(blank)"),"",VLOOKUP($B1231,'Email Marketing Raw Data'!$C:$O,9,0)),"")</f>
        <v/>
      </c>
    </row>
    <row r="1232" spans="4:17" ht="12.75" customHeight="1" x14ac:dyDescent="0.2">
      <c r="D1232" s="58" t="str">
        <f>IFERROR(IF(F1232&lt;&gt;"pending","",IF(OR($B1232="",$B1232="(blank)"),"",VLOOKUP($B1232,'Email Marketing Raw Data'!$C:$O,10,0))),"")</f>
        <v/>
      </c>
      <c r="E1232" s="59" t="str">
        <f>IFERROR(IF(F1232&lt;&gt;"pending","",IF(OR($B1232="",$B1232="(blank)"),"",VLOOKUP($B1232,'Email Marketing Raw Data'!$C:$O,11,0))),"")</f>
        <v/>
      </c>
      <c r="F1232" s="54" t="str">
        <f>IFERROR(IF(OR($B1232="",$B1232="(blank)"),"",VLOOKUP($B1232,'Email Marketing Raw Data'!$C:$O,13,0)),"")</f>
        <v/>
      </c>
      <c r="G1232" s="55" t="str">
        <f>IFERROR(IF(OR($B1232="",$B1232="(blank)"),"",VLOOKUP($B1232,'Email Marketing Raw Data'!$C:$O,4,0)),"")</f>
        <v/>
      </c>
      <c r="H1232" s="55" t="str">
        <f>IFERROR(IF(OR($B1232="",$B1232="(blank)"),"",VLOOKUP($B1232,'Email Marketing Raw Data'!$C:$O,5,0)),"")</f>
        <v/>
      </c>
      <c r="I1232" s="55" t="str">
        <f>IFERROR(IF($G1232="","",VLOOKUP('Dashboard And Emails Automate'!$G1232,Database!$H:$N,3,0)),"")</f>
        <v/>
      </c>
      <c r="J1232" s="55" t="str">
        <f>IFERROR(IF($G1232="","",VLOOKUP('Dashboard And Emails Automate'!$G1232,Database!$H:$N,4,0)),"")</f>
        <v/>
      </c>
      <c r="K1232" s="55" t="str">
        <f>IFERROR(IF($G1232="","",VLOOKUP('Dashboard And Emails Automate'!$G1232,Database!$H:$N,5,0)),"")</f>
        <v/>
      </c>
      <c r="L1232" s="55" t="str">
        <f>IFERROR(IF($G1232="","",VLOOKUP('Dashboard And Emails Automate'!$G1232,Database!$H:$N,6,0)),"")</f>
        <v/>
      </c>
      <c r="M1232" s="55" t="str">
        <f>IFERROR(IF($G1232="","",VLOOKUP('Dashboard And Emails Automate'!$G1232,Database!$H:$N,7,0)),"")</f>
        <v/>
      </c>
      <c r="N1232" s="55" t="str">
        <f>IFERROR(IF(OR($B1232="",$B1232="(blank)"),"",VLOOKUP($B1232,'Email Marketing Raw Data'!$C:$O,6,0)),"")</f>
        <v/>
      </c>
      <c r="O1232" s="55" t="str">
        <f>IFERROR(IF(OR($B1232="",$B1232="(blank)"),"",VLOOKUP($B1232,'Email Marketing Raw Data'!$C:$O,7,0)),"")</f>
        <v/>
      </c>
      <c r="P1232" s="55" t="str">
        <f>IFERROR(IF(OR($B1232="",$B1232="(blank)"),"",VLOOKUP($B1232,'Email Marketing Raw Data'!$C:$O,8,0)),"")</f>
        <v/>
      </c>
      <c r="Q1232" s="62" t="str">
        <f>IFERROR(IF(OR($B1232="",$B1232="(blank)"),"",VLOOKUP($B1232,'Email Marketing Raw Data'!$C:$O,9,0)),"")</f>
        <v/>
      </c>
    </row>
    <row r="1233" spans="4:17" ht="12.75" customHeight="1" x14ac:dyDescent="0.2">
      <c r="D1233" s="58" t="str">
        <f>IFERROR(IF(F1233&lt;&gt;"pending","",IF(OR($B1233="",$B1233="(blank)"),"",VLOOKUP($B1233,'Email Marketing Raw Data'!$C:$O,10,0))),"")</f>
        <v/>
      </c>
      <c r="E1233" s="59" t="str">
        <f>IFERROR(IF(F1233&lt;&gt;"pending","",IF(OR($B1233="",$B1233="(blank)"),"",VLOOKUP($B1233,'Email Marketing Raw Data'!$C:$O,11,0))),"")</f>
        <v/>
      </c>
      <c r="F1233" s="54" t="str">
        <f>IFERROR(IF(OR($B1233="",$B1233="(blank)"),"",VLOOKUP($B1233,'Email Marketing Raw Data'!$C:$O,13,0)),"")</f>
        <v/>
      </c>
      <c r="G1233" s="55" t="str">
        <f>IFERROR(IF(OR($B1233="",$B1233="(blank)"),"",VLOOKUP($B1233,'Email Marketing Raw Data'!$C:$O,4,0)),"")</f>
        <v/>
      </c>
      <c r="H1233" s="55" t="str">
        <f>IFERROR(IF(OR($B1233="",$B1233="(blank)"),"",VLOOKUP($B1233,'Email Marketing Raw Data'!$C:$O,5,0)),"")</f>
        <v/>
      </c>
      <c r="I1233" s="55" t="str">
        <f>IFERROR(IF($G1233="","",VLOOKUP('Dashboard And Emails Automate'!$G1233,Database!$H:$N,3,0)),"")</f>
        <v/>
      </c>
      <c r="J1233" s="55" t="str">
        <f>IFERROR(IF($G1233="","",VLOOKUP('Dashboard And Emails Automate'!$G1233,Database!$H:$N,4,0)),"")</f>
        <v/>
      </c>
      <c r="K1233" s="55" t="str">
        <f>IFERROR(IF($G1233="","",VLOOKUP('Dashboard And Emails Automate'!$G1233,Database!$H:$N,5,0)),"")</f>
        <v/>
      </c>
      <c r="L1233" s="55" t="str">
        <f>IFERROR(IF($G1233="","",VLOOKUP('Dashboard And Emails Automate'!$G1233,Database!$H:$N,6,0)),"")</f>
        <v/>
      </c>
      <c r="M1233" s="55" t="str">
        <f>IFERROR(IF($G1233="","",VLOOKUP('Dashboard And Emails Automate'!$G1233,Database!$H:$N,7,0)),"")</f>
        <v/>
      </c>
      <c r="N1233" s="55" t="str">
        <f>IFERROR(IF(OR($B1233="",$B1233="(blank)"),"",VLOOKUP($B1233,'Email Marketing Raw Data'!$C:$O,6,0)),"")</f>
        <v/>
      </c>
      <c r="O1233" s="55" t="str">
        <f>IFERROR(IF(OR($B1233="",$B1233="(blank)"),"",VLOOKUP($B1233,'Email Marketing Raw Data'!$C:$O,7,0)),"")</f>
        <v/>
      </c>
      <c r="P1233" s="55" t="str">
        <f>IFERROR(IF(OR($B1233="",$B1233="(blank)"),"",VLOOKUP($B1233,'Email Marketing Raw Data'!$C:$O,8,0)),"")</f>
        <v/>
      </c>
      <c r="Q1233" s="62" t="str">
        <f>IFERROR(IF(OR($B1233="",$B1233="(blank)"),"",VLOOKUP($B1233,'Email Marketing Raw Data'!$C:$O,9,0)),"")</f>
        <v/>
      </c>
    </row>
    <row r="1234" spans="4:17" ht="12.75" customHeight="1" x14ac:dyDescent="0.2">
      <c r="D1234" s="58" t="str">
        <f>IFERROR(IF(F1234&lt;&gt;"pending","",IF(OR($B1234="",$B1234="(blank)"),"",VLOOKUP($B1234,'Email Marketing Raw Data'!$C:$O,10,0))),"")</f>
        <v/>
      </c>
      <c r="E1234" s="59" t="str">
        <f>IFERROR(IF(F1234&lt;&gt;"pending","",IF(OR($B1234="",$B1234="(blank)"),"",VLOOKUP($B1234,'Email Marketing Raw Data'!$C:$O,11,0))),"")</f>
        <v/>
      </c>
      <c r="F1234" s="54" t="str">
        <f>IFERROR(IF(OR($B1234="",$B1234="(blank)"),"",VLOOKUP($B1234,'Email Marketing Raw Data'!$C:$O,13,0)),"")</f>
        <v/>
      </c>
      <c r="G1234" s="55" t="str">
        <f>IFERROR(IF(OR($B1234="",$B1234="(blank)"),"",VLOOKUP($B1234,'Email Marketing Raw Data'!$C:$O,4,0)),"")</f>
        <v/>
      </c>
      <c r="H1234" s="55" t="str">
        <f>IFERROR(IF(OR($B1234="",$B1234="(blank)"),"",VLOOKUP($B1234,'Email Marketing Raw Data'!$C:$O,5,0)),"")</f>
        <v/>
      </c>
      <c r="I1234" s="55" t="str">
        <f>IFERROR(IF($G1234="","",VLOOKUP('Dashboard And Emails Automate'!$G1234,Database!$H:$N,3,0)),"")</f>
        <v/>
      </c>
      <c r="J1234" s="55" t="str">
        <f>IFERROR(IF($G1234="","",VLOOKUP('Dashboard And Emails Automate'!$G1234,Database!$H:$N,4,0)),"")</f>
        <v/>
      </c>
      <c r="K1234" s="55" t="str">
        <f>IFERROR(IF($G1234="","",VLOOKUP('Dashboard And Emails Automate'!$G1234,Database!$H:$N,5,0)),"")</f>
        <v/>
      </c>
      <c r="L1234" s="55" t="str">
        <f>IFERROR(IF($G1234="","",VLOOKUP('Dashboard And Emails Automate'!$G1234,Database!$H:$N,6,0)),"")</f>
        <v/>
      </c>
      <c r="M1234" s="55" t="str">
        <f>IFERROR(IF($G1234="","",VLOOKUP('Dashboard And Emails Automate'!$G1234,Database!$H:$N,7,0)),"")</f>
        <v/>
      </c>
      <c r="N1234" s="55" t="str">
        <f>IFERROR(IF(OR($B1234="",$B1234="(blank)"),"",VLOOKUP($B1234,'Email Marketing Raw Data'!$C:$O,6,0)),"")</f>
        <v/>
      </c>
      <c r="O1234" s="55" t="str">
        <f>IFERROR(IF(OR($B1234="",$B1234="(blank)"),"",VLOOKUP($B1234,'Email Marketing Raw Data'!$C:$O,7,0)),"")</f>
        <v/>
      </c>
      <c r="P1234" s="55" t="str">
        <f>IFERROR(IF(OR($B1234="",$B1234="(blank)"),"",VLOOKUP($B1234,'Email Marketing Raw Data'!$C:$O,8,0)),"")</f>
        <v/>
      </c>
      <c r="Q1234" s="62" t="str">
        <f>IFERROR(IF(OR($B1234="",$B1234="(blank)"),"",VLOOKUP($B1234,'Email Marketing Raw Data'!$C:$O,9,0)),"")</f>
        <v/>
      </c>
    </row>
    <row r="1235" spans="4:17" ht="12.75" customHeight="1" x14ac:dyDescent="0.2">
      <c r="D1235" s="58" t="str">
        <f>IFERROR(IF(F1235&lt;&gt;"pending","",IF(OR($B1235="",$B1235="(blank)"),"",VLOOKUP($B1235,'Email Marketing Raw Data'!$C:$O,10,0))),"")</f>
        <v/>
      </c>
      <c r="E1235" s="59" t="str">
        <f>IFERROR(IF(F1235&lt;&gt;"pending","",IF(OR($B1235="",$B1235="(blank)"),"",VLOOKUP($B1235,'Email Marketing Raw Data'!$C:$O,11,0))),"")</f>
        <v/>
      </c>
      <c r="F1235" s="54" t="str">
        <f>IFERROR(IF(OR($B1235="",$B1235="(blank)"),"",VLOOKUP($B1235,'Email Marketing Raw Data'!$C:$O,13,0)),"")</f>
        <v/>
      </c>
      <c r="G1235" s="55" t="str">
        <f>IFERROR(IF(OR($B1235="",$B1235="(blank)"),"",VLOOKUP($B1235,'Email Marketing Raw Data'!$C:$O,4,0)),"")</f>
        <v/>
      </c>
      <c r="H1235" s="55" t="str">
        <f>IFERROR(IF(OR($B1235="",$B1235="(blank)"),"",VLOOKUP($B1235,'Email Marketing Raw Data'!$C:$O,5,0)),"")</f>
        <v/>
      </c>
      <c r="I1235" s="55" t="str">
        <f>IFERROR(IF($G1235="","",VLOOKUP('Dashboard And Emails Automate'!$G1235,Database!$H:$N,3,0)),"")</f>
        <v/>
      </c>
      <c r="J1235" s="55" t="str">
        <f>IFERROR(IF($G1235="","",VLOOKUP('Dashboard And Emails Automate'!$G1235,Database!$H:$N,4,0)),"")</f>
        <v/>
      </c>
      <c r="K1235" s="55" t="str">
        <f>IFERROR(IF($G1235="","",VLOOKUP('Dashboard And Emails Automate'!$G1235,Database!$H:$N,5,0)),"")</f>
        <v/>
      </c>
      <c r="L1235" s="55" t="str">
        <f>IFERROR(IF($G1235="","",VLOOKUP('Dashboard And Emails Automate'!$G1235,Database!$H:$N,6,0)),"")</f>
        <v/>
      </c>
      <c r="M1235" s="55" t="str">
        <f>IFERROR(IF($G1235="","",VLOOKUP('Dashboard And Emails Automate'!$G1235,Database!$H:$N,7,0)),"")</f>
        <v/>
      </c>
      <c r="N1235" s="55" t="str">
        <f>IFERROR(IF(OR($B1235="",$B1235="(blank)"),"",VLOOKUP($B1235,'Email Marketing Raw Data'!$C:$O,6,0)),"")</f>
        <v/>
      </c>
      <c r="O1235" s="55" t="str">
        <f>IFERROR(IF(OR($B1235="",$B1235="(blank)"),"",VLOOKUP($B1235,'Email Marketing Raw Data'!$C:$O,7,0)),"")</f>
        <v/>
      </c>
      <c r="P1235" s="55" t="str">
        <f>IFERROR(IF(OR($B1235="",$B1235="(blank)"),"",VLOOKUP($B1235,'Email Marketing Raw Data'!$C:$O,8,0)),"")</f>
        <v/>
      </c>
      <c r="Q1235" s="62" t="str">
        <f>IFERROR(IF(OR($B1235="",$B1235="(blank)"),"",VLOOKUP($B1235,'Email Marketing Raw Data'!$C:$O,9,0)),"")</f>
        <v/>
      </c>
    </row>
    <row r="1236" spans="4:17" ht="12.75" customHeight="1" x14ac:dyDescent="0.2">
      <c r="D1236" s="58" t="str">
        <f>IFERROR(IF(F1236&lt;&gt;"pending","",IF(OR($B1236="",$B1236="(blank)"),"",VLOOKUP($B1236,'Email Marketing Raw Data'!$C:$O,10,0))),"")</f>
        <v/>
      </c>
      <c r="E1236" s="59" t="str">
        <f>IFERROR(IF(F1236&lt;&gt;"pending","",IF(OR($B1236="",$B1236="(blank)"),"",VLOOKUP($B1236,'Email Marketing Raw Data'!$C:$O,11,0))),"")</f>
        <v/>
      </c>
      <c r="F1236" s="54" t="str">
        <f>IFERROR(IF(OR($B1236="",$B1236="(blank)"),"",VLOOKUP($B1236,'Email Marketing Raw Data'!$C:$O,13,0)),"")</f>
        <v/>
      </c>
      <c r="G1236" s="55" t="str">
        <f>IFERROR(IF(OR($B1236="",$B1236="(blank)"),"",VLOOKUP($B1236,'Email Marketing Raw Data'!$C:$O,4,0)),"")</f>
        <v/>
      </c>
      <c r="H1236" s="55" t="str">
        <f>IFERROR(IF(OR($B1236="",$B1236="(blank)"),"",VLOOKUP($B1236,'Email Marketing Raw Data'!$C:$O,5,0)),"")</f>
        <v/>
      </c>
      <c r="I1236" s="55" t="str">
        <f>IFERROR(IF($G1236="","",VLOOKUP('Dashboard And Emails Automate'!$G1236,Database!$H:$N,3,0)),"")</f>
        <v/>
      </c>
      <c r="J1236" s="55" t="str">
        <f>IFERROR(IF($G1236="","",VLOOKUP('Dashboard And Emails Automate'!$G1236,Database!$H:$N,4,0)),"")</f>
        <v/>
      </c>
      <c r="K1236" s="55" t="str">
        <f>IFERROR(IF($G1236="","",VLOOKUP('Dashboard And Emails Automate'!$G1236,Database!$H:$N,5,0)),"")</f>
        <v/>
      </c>
      <c r="L1236" s="55" t="str">
        <f>IFERROR(IF($G1236="","",VLOOKUP('Dashboard And Emails Automate'!$G1236,Database!$H:$N,6,0)),"")</f>
        <v/>
      </c>
      <c r="M1236" s="55" t="str">
        <f>IFERROR(IF($G1236="","",VLOOKUP('Dashboard And Emails Automate'!$G1236,Database!$H:$N,7,0)),"")</f>
        <v/>
      </c>
      <c r="N1236" s="55" t="str">
        <f>IFERROR(IF(OR($B1236="",$B1236="(blank)"),"",VLOOKUP($B1236,'Email Marketing Raw Data'!$C:$O,6,0)),"")</f>
        <v/>
      </c>
      <c r="O1236" s="55" t="str">
        <f>IFERROR(IF(OR($B1236="",$B1236="(blank)"),"",VLOOKUP($B1236,'Email Marketing Raw Data'!$C:$O,7,0)),"")</f>
        <v/>
      </c>
      <c r="P1236" s="55" t="str">
        <f>IFERROR(IF(OR($B1236="",$B1236="(blank)"),"",VLOOKUP($B1236,'Email Marketing Raw Data'!$C:$O,8,0)),"")</f>
        <v/>
      </c>
      <c r="Q1236" s="62" t="str">
        <f>IFERROR(IF(OR($B1236="",$B1236="(blank)"),"",VLOOKUP($B1236,'Email Marketing Raw Data'!$C:$O,9,0)),"")</f>
        <v/>
      </c>
    </row>
    <row r="1237" spans="4:17" ht="12.75" customHeight="1" x14ac:dyDescent="0.2">
      <c r="D1237" s="58" t="str">
        <f>IFERROR(IF(F1237&lt;&gt;"pending","",IF(OR($B1237="",$B1237="(blank)"),"",VLOOKUP($B1237,'Email Marketing Raw Data'!$C:$O,10,0))),"")</f>
        <v/>
      </c>
      <c r="E1237" s="59" t="str">
        <f>IFERROR(IF(F1237&lt;&gt;"pending","",IF(OR($B1237="",$B1237="(blank)"),"",VLOOKUP($B1237,'Email Marketing Raw Data'!$C:$O,11,0))),"")</f>
        <v/>
      </c>
      <c r="F1237" s="54" t="str">
        <f>IFERROR(IF(OR($B1237="",$B1237="(blank)"),"",VLOOKUP($B1237,'Email Marketing Raw Data'!$C:$O,13,0)),"")</f>
        <v/>
      </c>
      <c r="G1237" s="55" t="str">
        <f>IFERROR(IF(OR($B1237="",$B1237="(blank)"),"",VLOOKUP($B1237,'Email Marketing Raw Data'!$C:$O,4,0)),"")</f>
        <v/>
      </c>
      <c r="H1237" s="55" t="str">
        <f>IFERROR(IF(OR($B1237="",$B1237="(blank)"),"",VLOOKUP($B1237,'Email Marketing Raw Data'!$C:$O,5,0)),"")</f>
        <v/>
      </c>
      <c r="I1237" s="55" t="str">
        <f>IFERROR(IF($G1237="","",VLOOKUP('Dashboard And Emails Automate'!$G1237,Database!$H:$N,3,0)),"")</f>
        <v/>
      </c>
      <c r="J1237" s="55" t="str">
        <f>IFERROR(IF($G1237="","",VLOOKUP('Dashboard And Emails Automate'!$G1237,Database!$H:$N,4,0)),"")</f>
        <v/>
      </c>
      <c r="K1237" s="55" t="str">
        <f>IFERROR(IF($G1237="","",VLOOKUP('Dashboard And Emails Automate'!$G1237,Database!$H:$N,5,0)),"")</f>
        <v/>
      </c>
      <c r="L1237" s="55" t="str">
        <f>IFERROR(IF($G1237="","",VLOOKUP('Dashboard And Emails Automate'!$G1237,Database!$H:$N,6,0)),"")</f>
        <v/>
      </c>
      <c r="M1237" s="55" t="str">
        <f>IFERROR(IF($G1237="","",VLOOKUP('Dashboard And Emails Automate'!$G1237,Database!$H:$N,7,0)),"")</f>
        <v/>
      </c>
      <c r="N1237" s="55" t="str">
        <f>IFERROR(IF(OR($B1237="",$B1237="(blank)"),"",VLOOKUP($B1237,'Email Marketing Raw Data'!$C:$O,6,0)),"")</f>
        <v/>
      </c>
      <c r="O1237" s="55" t="str">
        <f>IFERROR(IF(OR($B1237="",$B1237="(blank)"),"",VLOOKUP($B1237,'Email Marketing Raw Data'!$C:$O,7,0)),"")</f>
        <v/>
      </c>
      <c r="P1237" s="55" t="str">
        <f>IFERROR(IF(OR($B1237="",$B1237="(blank)"),"",VLOOKUP($B1237,'Email Marketing Raw Data'!$C:$O,8,0)),"")</f>
        <v/>
      </c>
      <c r="Q1237" s="62" t="str">
        <f>IFERROR(IF(OR($B1237="",$B1237="(blank)"),"",VLOOKUP($B1237,'Email Marketing Raw Data'!$C:$O,9,0)),"")</f>
        <v/>
      </c>
    </row>
    <row r="1238" spans="4:17" ht="12.75" customHeight="1" x14ac:dyDescent="0.2">
      <c r="D1238" s="58" t="str">
        <f>IFERROR(IF(F1238&lt;&gt;"pending","",IF(OR($B1238="",$B1238="(blank)"),"",VLOOKUP($B1238,'Email Marketing Raw Data'!$C:$O,10,0))),"")</f>
        <v/>
      </c>
      <c r="E1238" s="59" t="str">
        <f>IFERROR(IF(F1238&lt;&gt;"pending","",IF(OR($B1238="",$B1238="(blank)"),"",VLOOKUP($B1238,'Email Marketing Raw Data'!$C:$O,11,0))),"")</f>
        <v/>
      </c>
      <c r="F1238" s="54" t="str">
        <f>IFERROR(IF(OR($B1238="",$B1238="(blank)"),"",VLOOKUP($B1238,'Email Marketing Raw Data'!$C:$O,13,0)),"")</f>
        <v/>
      </c>
      <c r="G1238" s="55" t="str">
        <f>IFERROR(IF(OR($B1238="",$B1238="(blank)"),"",VLOOKUP($B1238,'Email Marketing Raw Data'!$C:$O,4,0)),"")</f>
        <v/>
      </c>
      <c r="H1238" s="55" t="str">
        <f>IFERROR(IF(OR($B1238="",$B1238="(blank)"),"",VLOOKUP($B1238,'Email Marketing Raw Data'!$C:$O,5,0)),"")</f>
        <v/>
      </c>
      <c r="I1238" s="55" t="str">
        <f>IFERROR(IF($G1238="","",VLOOKUP('Dashboard And Emails Automate'!$G1238,Database!$H:$N,3,0)),"")</f>
        <v/>
      </c>
      <c r="J1238" s="55" t="str">
        <f>IFERROR(IF($G1238="","",VLOOKUP('Dashboard And Emails Automate'!$G1238,Database!$H:$N,4,0)),"")</f>
        <v/>
      </c>
      <c r="K1238" s="55" t="str">
        <f>IFERROR(IF($G1238="","",VLOOKUP('Dashboard And Emails Automate'!$G1238,Database!$H:$N,5,0)),"")</f>
        <v/>
      </c>
      <c r="L1238" s="55" t="str">
        <f>IFERROR(IF($G1238="","",VLOOKUP('Dashboard And Emails Automate'!$G1238,Database!$H:$N,6,0)),"")</f>
        <v/>
      </c>
      <c r="M1238" s="55" t="str">
        <f>IFERROR(IF($G1238="","",VLOOKUP('Dashboard And Emails Automate'!$G1238,Database!$H:$N,7,0)),"")</f>
        <v/>
      </c>
      <c r="N1238" s="55" t="str">
        <f>IFERROR(IF(OR($B1238="",$B1238="(blank)"),"",VLOOKUP($B1238,'Email Marketing Raw Data'!$C:$O,6,0)),"")</f>
        <v/>
      </c>
      <c r="O1238" s="55" t="str">
        <f>IFERROR(IF(OR($B1238="",$B1238="(blank)"),"",VLOOKUP($B1238,'Email Marketing Raw Data'!$C:$O,7,0)),"")</f>
        <v/>
      </c>
      <c r="P1238" s="55" t="str">
        <f>IFERROR(IF(OR($B1238="",$B1238="(blank)"),"",VLOOKUP($B1238,'Email Marketing Raw Data'!$C:$O,8,0)),"")</f>
        <v/>
      </c>
      <c r="Q1238" s="62" t="str">
        <f>IFERROR(IF(OR($B1238="",$B1238="(blank)"),"",VLOOKUP($B1238,'Email Marketing Raw Data'!$C:$O,9,0)),"")</f>
        <v/>
      </c>
    </row>
    <row r="1239" spans="4:17" ht="12.75" customHeight="1" x14ac:dyDescent="0.2">
      <c r="D1239" s="58" t="str">
        <f>IFERROR(IF(F1239&lt;&gt;"pending","",IF(OR($B1239="",$B1239="(blank)"),"",VLOOKUP($B1239,'Email Marketing Raw Data'!$C:$O,10,0))),"")</f>
        <v/>
      </c>
      <c r="E1239" s="59" t="str">
        <f>IFERROR(IF(F1239&lt;&gt;"pending","",IF(OR($B1239="",$B1239="(blank)"),"",VLOOKUP($B1239,'Email Marketing Raw Data'!$C:$O,11,0))),"")</f>
        <v/>
      </c>
      <c r="F1239" s="54" t="str">
        <f>IFERROR(IF(OR($B1239="",$B1239="(blank)"),"",VLOOKUP($B1239,'Email Marketing Raw Data'!$C:$O,13,0)),"")</f>
        <v/>
      </c>
      <c r="G1239" s="55" t="str">
        <f>IFERROR(IF(OR($B1239="",$B1239="(blank)"),"",VLOOKUP($B1239,'Email Marketing Raw Data'!$C:$O,4,0)),"")</f>
        <v/>
      </c>
      <c r="H1239" s="55" t="str">
        <f>IFERROR(IF(OR($B1239="",$B1239="(blank)"),"",VLOOKUP($B1239,'Email Marketing Raw Data'!$C:$O,5,0)),"")</f>
        <v/>
      </c>
      <c r="I1239" s="55" t="str">
        <f>IFERROR(IF($G1239="","",VLOOKUP('Dashboard And Emails Automate'!$G1239,Database!$H:$N,3,0)),"")</f>
        <v/>
      </c>
      <c r="J1239" s="55" t="str">
        <f>IFERROR(IF($G1239="","",VLOOKUP('Dashboard And Emails Automate'!$G1239,Database!$H:$N,4,0)),"")</f>
        <v/>
      </c>
      <c r="K1239" s="55" t="str">
        <f>IFERROR(IF($G1239="","",VLOOKUP('Dashboard And Emails Automate'!$G1239,Database!$H:$N,5,0)),"")</f>
        <v/>
      </c>
      <c r="L1239" s="55" t="str">
        <f>IFERROR(IF($G1239="","",VLOOKUP('Dashboard And Emails Automate'!$G1239,Database!$H:$N,6,0)),"")</f>
        <v/>
      </c>
      <c r="M1239" s="55" t="str">
        <f>IFERROR(IF($G1239="","",VLOOKUP('Dashboard And Emails Automate'!$G1239,Database!$H:$N,7,0)),"")</f>
        <v/>
      </c>
      <c r="N1239" s="55" t="str">
        <f>IFERROR(IF(OR($B1239="",$B1239="(blank)"),"",VLOOKUP($B1239,'Email Marketing Raw Data'!$C:$O,6,0)),"")</f>
        <v/>
      </c>
      <c r="O1239" s="55" t="str">
        <f>IFERROR(IF(OR($B1239="",$B1239="(blank)"),"",VLOOKUP($B1239,'Email Marketing Raw Data'!$C:$O,7,0)),"")</f>
        <v/>
      </c>
      <c r="P1239" s="55" t="str">
        <f>IFERROR(IF(OR($B1239="",$B1239="(blank)"),"",VLOOKUP($B1239,'Email Marketing Raw Data'!$C:$O,8,0)),"")</f>
        <v/>
      </c>
      <c r="Q1239" s="62" t="str">
        <f>IFERROR(IF(OR($B1239="",$B1239="(blank)"),"",VLOOKUP($B1239,'Email Marketing Raw Data'!$C:$O,9,0)),"")</f>
        <v/>
      </c>
    </row>
    <row r="1240" spans="4:17" ht="12.75" customHeight="1" x14ac:dyDescent="0.2">
      <c r="D1240" s="58" t="str">
        <f>IFERROR(IF(F1240&lt;&gt;"pending","",IF(OR($B1240="",$B1240="(blank)"),"",VLOOKUP($B1240,'Email Marketing Raw Data'!$C:$O,10,0))),"")</f>
        <v/>
      </c>
      <c r="E1240" s="59" t="str">
        <f>IFERROR(IF(F1240&lt;&gt;"pending","",IF(OR($B1240="",$B1240="(blank)"),"",VLOOKUP($B1240,'Email Marketing Raw Data'!$C:$O,11,0))),"")</f>
        <v/>
      </c>
      <c r="F1240" s="54" t="str">
        <f>IFERROR(IF(OR($B1240="",$B1240="(blank)"),"",VLOOKUP($B1240,'Email Marketing Raw Data'!$C:$O,13,0)),"")</f>
        <v/>
      </c>
      <c r="G1240" s="55" t="str">
        <f>IFERROR(IF(OR($B1240="",$B1240="(blank)"),"",VLOOKUP($B1240,'Email Marketing Raw Data'!$C:$O,4,0)),"")</f>
        <v/>
      </c>
      <c r="H1240" s="55" t="str">
        <f>IFERROR(IF(OR($B1240="",$B1240="(blank)"),"",VLOOKUP($B1240,'Email Marketing Raw Data'!$C:$O,5,0)),"")</f>
        <v/>
      </c>
      <c r="I1240" s="55" t="str">
        <f>IFERROR(IF($G1240="","",VLOOKUP('Dashboard And Emails Automate'!$G1240,Database!$H:$N,3,0)),"")</f>
        <v/>
      </c>
      <c r="J1240" s="55" t="str">
        <f>IFERROR(IF($G1240="","",VLOOKUP('Dashboard And Emails Automate'!$G1240,Database!$H:$N,4,0)),"")</f>
        <v/>
      </c>
      <c r="K1240" s="55" t="str">
        <f>IFERROR(IF($G1240="","",VLOOKUP('Dashboard And Emails Automate'!$G1240,Database!$H:$N,5,0)),"")</f>
        <v/>
      </c>
      <c r="L1240" s="55" t="str">
        <f>IFERROR(IF($G1240="","",VLOOKUP('Dashboard And Emails Automate'!$G1240,Database!$H:$N,6,0)),"")</f>
        <v/>
      </c>
      <c r="M1240" s="55" t="str">
        <f>IFERROR(IF($G1240="","",VLOOKUP('Dashboard And Emails Automate'!$G1240,Database!$H:$N,7,0)),"")</f>
        <v/>
      </c>
      <c r="N1240" s="55" t="str">
        <f>IFERROR(IF(OR($B1240="",$B1240="(blank)"),"",VLOOKUP($B1240,'Email Marketing Raw Data'!$C:$O,6,0)),"")</f>
        <v/>
      </c>
      <c r="O1240" s="55" t="str">
        <f>IFERROR(IF(OR($B1240="",$B1240="(blank)"),"",VLOOKUP($B1240,'Email Marketing Raw Data'!$C:$O,7,0)),"")</f>
        <v/>
      </c>
      <c r="P1240" s="55" t="str">
        <f>IFERROR(IF(OR($B1240="",$B1240="(blank)"),"",VLOOKUP($B1240,'Email Marketing Raw Data'!$C:$O,8,0)),"")</f>
        <v/>
      </c>
      <c r="Q1240" s="62" t="str">
        <f>IFERROR(IF(OR($B1240="",$B1240="(blank)"),"",VLOOKUP($B1240,'Email Marketing Raw Data'!$C:$O,9,0)),"")</f>
        <v/>
      </c>
    </row>
    <row r="1241" spans="4:17" ht="12.75" customHeight="1" x14ac:dyDescent="0.2">
      <c r="D1241" s="58" t="str">
        <f>IFERROR(IF(F1241&lt;&gt;"pending","",IF(OR($B1241="",$B1241="(blank)"),"",VLOOKUP($B1241,'Email Marketing Raw Data'!$C:$O,10,0))),"")</f>
        <v/>
      </c>
      <c r="E1241" s="59" t="str">
        <f>IFERROR(IF(F1241&lt;&gt;"pending","",IF(OR($B1241="",$B1241="(blank)"),"",VLOOKUP($B1241,'Email Marketing Raw Data'!$C:$O,11,0))),"")</f>
        <v/>
      </c>
      <c r="F1241" s="54" t="str">
        <f>IFERROR(IF(OR($B1241="",$B1241="(blank)"),"",VLOOKUP($B1241,'Email Marketing Raw Data'!$C:$O,13,0)),"")</f>
        <v/>
      </c>
      <c r="G1241" s="55" t="str">
        <f>IFERROR(IF(OR($B1241="",$B1241="(blank)"),"",VLOOKUP($B1241,'Email Marketing Raw Data'!$C:$O,4,0)),"")</f>
        <v/>
      </c>
      <c r="H1241" s="55" t="str">
        <f>IFERROR(IF(OR($B1241="",$B1241="(blank)"),"",VLOOKUP($B1241,'Email Marketing Raw Data'!$C:$O,5,0)),"")</f>
        <v/>
      </c>
      <c r="I1241" s="55" t="str">
        <f>IFERROR(IF($G1241="","",VLOOKUP('Dashboard And Emails Automate'!$G1241,Database!$H:$N,3,0)),"")</f>
        <v/>
      </c>
      <c r="J1241" s="55" t="str">
        <f>IFERROR(IF($G1241="","",VLOOKUP('Dashboard And Emails Automate'!$G1241,Database!$H:$N,4,0)),"")</f>
        <v/>
      </c>
      <c r="K1241" s="55" t="str">
        <f>IFERROR(IF($G1241="","",VLOOKUP('Dashboard And Emails Automate'!$G1241,Database!$H:$N,5,0)),"")</f>
        <v/>
      </c>
      <c r="L1241" s="55" t="str">
        <f>IFERROR(IF($G1241="","",VLOOKUP('Dashboard And Emails Automate'!$G1241,Database!$H:$N,6,0)),"")</f>
        <v/>
      </c>
      <c r="M1241" s="55" t="str">
        <f>IFERROR(IF($G1241="","",VLOOKUP('Dashboard And Emails Automate'!$G1241,Database!$H:$N,7,0)),"")</f>
        <v/>
      </c>
      <c r="N1241" s="55" t="str">
        <f>IFERROR(IF(OR($B1241="",$B1241="(blank)"),"",VLOOKUP($B1241,'Email Marketing Raw Data'!$C:$O,6,0)),"")</f>
        <v/>
      </c>
      <c r="O1241" s="55" t="str">
        <f>IFERROR(IF(OR($B1241="",$B1241="(blank)"),"",VLOOKUP($B1241,'Email Marketing Raw Data'!$C:$O,7,0)),"")</f>
        <v/>
      </c>
      <c r="P1241" s="55" t="str">
        <f>IFERROR(IF(OR($B1241="",$B1241="(blank)"),"",VLOOKUP($B1241,'Email Marketing Raw Data'!$C:$O,8,0)),"")</f>
        <v/>
      </c>
      <c r="Q1241" s="62" t="str">
        <f>IFERROR(IF(OR($B1241="",$B1241="(blank)"),"",VLOOKUP($B1241,'Email Marketing Raw Data'!$C:$O,9,0)),"")</f>
        <v/>
      </c>
    </row>
    <row r="1242" spans="4:17" ht="12.75" customHeight="1" x14ac:dyDescent="0.2">
      <c r="D1242" s="58" t="str">
        <f>IFERROR(IF(F1242&lt;&gt;"pending","",IF(OR($B1242="",$B1242="(blank)"),"",VLOOKUP($B1242,'Email Marketing Raw Data'!$C:$O,10,0))),"")</f>
        <v/>
      </c>
      <c r="E1242" s="59" t="str">
        <f>IFERROR(IF(F1242&lt;&gt;"pending","",IF(OR($B1242="",$B1242="(blank)"),"",VLOOKUP($B1242,'Email Marketing Raw Data'!$C:$O,11,0))),"")</f>
        <v/>
      </c>
      <c r="F1242" s="54" t="str">
        <f>IFERROR(IF(OR($B1242="",$B1242="(blank)"),"",VLOOKUP($B1242,'Email Marketing Raw Data'!$C:$O,13,0)),"")</f>
        <v/>
      </c>
      <c r="G1242" s="55" t="str">
        <f>IFERROR(IF(OR($B1242="",$B1242="(blank)"),"",VLOOKUP($B1242,'Email Marketing Raw Data'!$C:$O,4,0)),"")</f>
        <v/>
      </c>
      <c r="H1242" s="55" t="str">
        <f>IFERROR(IF(OR($B1242="",$B1242="(blank)"),"",VLOOKUP($B1242,'Email Marketing Raw Data'!$C:$O,5,0)),"")</f>
        <v/>
      </c>
      <c r="I1242" s="55" t="str">
        <f>IFERROR(IF($G1242="","",VLOOKUP('Dashboard And Emails Automate'!$G1242,Database!$H:$N,3,0)),"")</f>
        <v/>
      </c>
      <c r="J1242" s="55" t="str">
        <f>IFERROR(IF($G1242="","",VLOOKUP('Dashboard And Emails Automate'!$G1242,Database!$H:$N,4,0)),"")</f>
        <v/>
      </c>
      <c r="K1242" s="55" t="str">
        <f>IFERROR(IF($G1242="","",VLOOKUP('Dashboard And Emails Automate'!$G1242,Database!$H:$N,5,0)),"")</f>
        <v/>
      </c>
      <c r="L1242" s="55" t="str">
        <f>IFERROR(IF($G1242="","",VLOOKUP('Dashboard And Emails Automate'!$G1242,Database!$H:$N,6,0)),"")</f>
        <v/>
      </c>
      <c r="M1242" s="55" t="str">
        <f>IFERROR(IF($G1242="","",VLOOKUP('Dashboard And Emails Automate'!$G1242,Database!$H:$N,7,0)),"")</f>
        <v/>
      </c>
      <c r="N1242" s="55" t="str">
        <f>IFERROR(IF(OR($B1242="",$B1242="(blank)"),"",VLOOKUP($B1242,'Email Marketing Raw Data'!$C:$O,6,0)),"")</f>
        <v/>
      </c>
      <c r="O1242" s="55" t="str">
        <f>IFERROR(IF(OR($B1242="",$B1242="(blank)"),"",VLOOKUP($B1242,'Email Marketing Raw Data'!$C:$O,7,0)),"")</f>
        <v/>
      </c>
      <c r="P1242" s="55" t="str">
        <f>IFERROR(IF(OR($B1242="",$B1242="(blank)"),"",VLOOKUP($B1242,'Email Marketing Raw Data'!$C:$O,8,0)),"")</f>
        <v/>
      </c>
      <c r="Q1242" s="62" t="str">
        <f>IFERROR(IF(OR($B1242="",$B1242="(blank)"),"",VLOOKUP($B1242,'Email Marketing Raw Data'!$C:$O,9,0)),"")</f>
        <v/>
      </c>
    </row>
    <row r="1243" spans="4:17" ht="12.75" customHeight="1" x14ac:dyDescent="0.2">
      <c r="D1243" s="58" t="str">
        <f>IFERROR(IF(F1243&lt;&gt;"pending","",IF(OR($B1243="",$B1243="(blank)"),"",VLOOKUP($B1243,'Email Marketing Raw Data'!$C:$O,10,0))),"")</f>
        <v/>
      </c>
      <c r="E1243" s="59" t="str">
        <f>IFERROR(IF(F1243&lt;&gt;"pending","",IF(OR($B1243="",$B1243="(blank)"),"",VLOOKUP($B1243,'Email Marketing Raw Data'!$C:$O,11,0))),"")</f>
        <v/>
      </c>
      <c r="F1243" s="54" t="str">
        <f>IFERROR(IF(OR($B1243="",$B1243="(blank)"),"",VLOOKUP($B1243,'Email Marketing Raw Data'!$C:$O,13,0)),"")</f>
        <v/>
      </c>
      <c r="G1243" s="55" t="str">
        <f>IFERROR(IF(OR($B1243="",$B1243="(blank)"),"",VLOOKUP($B1243,'Email Marketing Raw Data'!$C:$O,4,0)),"")</f>
        <v/>
      </c>
      <c r="H1243" s="55" t="str">
        <f>IFERROR(IF(OR($B1243="",$B1243="(blank)"),"",VLOOKUP($B1243,'Email Marketing Raw Data'!$C:$O,5,0)),"")</f>
        <v/>
      </c>
      <c r="I1243" s="55" t="str">
        <f>IFERROR(IF($G1243="","",VLOOKUP('Dashboard And Emails Automate'!$G1243,Database!$H:$N,3,0)),"")</f>
        <v/>
      </c>
      <c r="J1243" s="55" t="str">
        <f>IFERROR(IF($G1243="","",VLOOKUP('Dashboard And Emails Automate'!$G1243,Database!$H:$N,4,0)),"")</f>
        <v/>
      </c>
      <c r="K1243" s="55" t="str">
        <f>IFERROR(IF($G1243="","",VLOOKUP('Dashboard And Emails Automate'!$G1243,Database!$H:$N,5,0)),"")</f>
        <v/>
      </c>
      <c r="L1243" s="55" t="str">
        <f>IFERROR(IF($G1243="","",VLOOKUP('Dashboard And Emails Automate'!$G1243,Database!$H:$N,6,0)),"")</f>
        <v/>
      </c>
      <c r="M1243" s="55" t="str">
        <f>IFERROR(IF($G1243="","",VLOOKUP('Dashboard And Emails Automate'!$G1243,Database!$H:$N,7,0)),"")</f>
        <v/>
      </c>
      <c r="N1243" s="55" t="str">
        <f>IFERROR(IF(OR($B1243="",$B1243="(blank)"),"",VLOOKUP($B1243,'Email Marketing Raw Data'!$C:$O,6,0)),"")</f>
        <v/>
      </c>
      <c r="O1243" s="55" t="str">
        <f>IFERROR(IF(OR($B1243="",$B1243="(blank)"),"",VLOOKUP($B1243,'Email Marketing Raw Data'!$C:$O,7,0)),"")</f>
        <v/>
      </c>
      <c r="P1243" s="55" t="str">
        <f>IFERROR(IF(OR($B1243="",$B1243="(blank)"),"",VLOOKUP($B1243,'Email Marketing Raw Data'!$C:$O,8,0)),"")</f>
        <v/>
      </c>
      <c r="Q1243" s="62" t="str">
        <f>IFERROR(IF(OR($B1243="",$B1243="(blank)"),"",VLOOKUP($B1243,'Email Marketing Raw Data'!$C:$O,9,0)),"")</f>
        <v/>
      </c>
    </row>
    <row r="1244" spans="4:17" ht="12.75" customHeight="1" x14ac:dyDescent="0.2">
      <c r="D1244" s="58" t="str">
        <f>IFERROR(IF(F1244&lt;&gt;"pending","",IF(OR($B1244="",$B1244="(blank)"),"",VLOOKUP($B1244,'Email Marketing Raw Data'!$C:$O,10,0))),"")</f>
        <v/>
      </c>
      <c r="E1244" s="59" t="str">
        <f>IFERROR(IF(F1244&lt;&gt;"pending","",IF(OR($B1244="",$B1244="(blank)"),"",VLOOKUP($B1244,'Email Marketing Raw Data'!$C:$O,11,0))),"")</f>
        <v/>
      </c>
      <c r="F1244" s="54" t="str">
        <f>IFERROR(IF(OR($B1244="",$B1244="(blank)"),"",VLOOKUP($B1244,'Email Marketing Raw Data'!$C:$O,13,0)),"")</f>
        <v/>
      </c>
      <c r="G1244" s="55" t="str">
        <f>IFERROR(IF(OR($B1244="",$B1244="(blank)"),"",VLOOKUP($B1244,'Email Marketing Raw Data'!$C:$O,4,0)),"")</f>
        <v/>
      </c>
      <c r="H1244" s="55" t="str">
        <f>IFERROR(IF(OR($B1244="",$B1244="(blank)"),"",VLOOKUP($B1244,'Email Marketing Raw Data'!$C:$O,5,0)),"")</f>
        <v/>
      </c>
      <c r="I1244" s="55" t="str">
        <f>IFERROR(IF($G1244="","",VLOOKUP('Dashboard And Emails Automate'!$G1244,Database!$H:$N,3,0)),"")</f>
        <v/>
      </c>
      <c r="J1244" s="55" t="str">
        <f>IFERROR(IF($G1244="","",VLOOKUP('Dashboard And Emails Automate'!$G1244,Database!$H:$N,4,0)),"")</f>
        <v/>
      </c>
      <c r="K1244" s="55" t="str">
        <f>IFERROR(IF($G1244="","",VLOOKUP('Dashboard And Emails Automate'!$G1244,Database!$H:$N,5,0)),"")</f>
        <v/>
      </c>
      <c r="L1244" s="55" t="str">
        <f>IFERROR(IF($G1244="","",VLOOKUP('Dashboard And Emails Automate'!$G1244,Database!$H:$N,6,0)),"")</f>
        <v/>
      </c>
      <c r="M1244" s="55" t="str">
        <f>IFERROR(IF($G1244="","",VLOOKUP('Dashboard And Emails Automate'!$G1244,Database!$H:$N,7,0)),"")</f>
        <v/>
      </c>
      <c r="N1244" s="55" t="str">
        <f>IFERROR(IF(OR($B1244="",$B1244="(blank)"),"",VLOOKUP($B1244,'Email Marketing Raw Data'!$C:$O,6,0)),"")</f>
        <v/>
      </c>
      <c r="O1244" s="55" t="str">
        <f>IFERROR(IF(OR($B1244="",$B1244="(blank)"),"",VLOOKUP($B1244,'Email Marketing Raw Data'!$C:$O,7,0)),"")</f>
        <v/>
      </c>
      <c r="P1244" s="55" t="str">
        <f>IFERROR(IF(OR($B1244="",$B1244="(blank)"),"",VLOOKUP($B1244,'Email Marketing Raw Data'!$C:$O,8,0)),"")</f>
        <v/>
      </c>
      <c r="Q1244" s="62" t="str">
        <f>IFERROR(IF(OR($B1244="",$B1244="(blank)"),"",VLOOKUP($B1244,'Email Marketing Raw Data'!$C:$O,9,0)),"")</f>
        <v/>
      </c>
    </row>
    <row r="1245" spans="4:17" ht="12.75" customHeight="1" x14ac:dyDescent="0.2">
      <c r="D1245" s="58" t="str">
        <f>IFERROR(IF(F1245&lt;&gt;"pending","",IF(OR($B1245="",$B1245="(blank)"),"",VLOOKUP($B1245,'Email Marketing Raw Data'!$C:$O,10,0))),"")</f>
        <v/>
      </c>
      <c r="E1245" s="59" t="str">
        <f>IFERROR(IF(F1245&lt;&gt;"pending","",IF(OR($B1245="",$B1245="(blank)"),"",VLOOKUP($B1245,'Email Marketing Raw Data'!$C:$O,11,0))),"")</f>
        <v/>
      </c>
      <c r="F1245" s="54" t="str">
        <f>IFERROR(IF(OR($B1245="",$B1245="(blank)"),"",VLOOKUP($B1245,'Email Marketing Raw Data'!$C:$O,13,0)),"")</f>
        <v/>
      </c>
      <c r="G1245" s="55" t="str">
        <f>IFERROR(IF(OR($B1245="",$B1245="(blank)"),"",VLOOKUP($B1245,'Email Marketing Raw Data'!$C:$O,4,0)),"")</f>
        <v/>
      </c>
      <c r="H1245" s="55" t="str">
        <f>IFERROR(IF(OR($B1245="",$B1245="(blank)"),"",VLOOKUP($B1245,'Email Marketing Raw Data'!$C:$O,5,0)),"")</f>
        <v/>
      </c>
      <c r="I1245" s="55" t="str">
        <f>IFERROR(IF($G1245="","",VLOOKUP('Dashboard And Emails Automate'!$G1245,Database!$H:$N,3,0)),"")</f>
        <v/>
      </c>
      <c r="J1245" s="55" t="str">
        <f>IFERROR(IF($G1245="","",VLOOKUP('Dashboard And Emails Automate'!$G1245,Database!$H:$N,4,0)),"")</f>
        <v/>
      </c>
      <c r="K1245" s="55" t="str">
        <f>IFERROR(IF($G1245="","",VLOOKUP('Dashboard And Emails Automate'!$G1245,Database!$H:$N,5,0)),"")</f>
        <v/>
      </c>
      <c r="L1245" s="55" t="str">
        <f>IFERROR(IF($G1245="","",VLOOKUP('Dashboard And Emails Automate'!$G1245,Database!$H:$N,6,0)),"")</f>
        <v/>
      </c>
      <c r="M1245" s="55" t="str">
        <f>IFERROR(IF($G1245="","",VLOOKUP('Dashboard And Emails Automate'!$G1245,Database!$H:$N,7,0)),"")</f>
        <v/>
      </c>
      <c r="N1245" s="55" t="str">
        <f>IFERROR(IF(OR($B1245="",$B1245="(blank)"),"",VLOOKUP($B1245,'Email Marketing Raw Data'!$C:$O,6,0)),"")</f>
        <v/>
      </c>
      <c r="O1245" s="55" t="str">
        <f>IFERROR(IF(OR($B1245="",$B1245="(blank)"),"",VLOOKUP($B1245,'Email Marketing Raw Data'!$C:$O,7,0)),"")</f>
        <v/>
      </c>
      <c r="P1245" s="55" t="str">
        <f>IFERROR(IF(OR($B1245="",$B1245="(blank)"),"",VLOOKUP($B1245,'Email Marketing Raw Data'!$C:$O,8,0)),"")</f>
        <v/>
      </c>
      <c r="Q1245" s="62" t="str">
        <f>IFERROR(IF(OR($B1245="",$B1245="(blank)"),"",VLOOKUP($B1245,'Email Marketing Raw Data'!$C:$O,9,0)),"")</f>
        <v/>
      </c>
    </row>
    <row r="1246" spans="4:17" ht="12.75" customHeight="1" x14ac:dyDescent="0.2">
      <c r="D1246" s="58" t="str">
        <f>IFERROR(IF(F1246&lt;&gt;"pending","",IF(OR($B1246="",$B1246="(blank)"),"",VLOOKUP($B1246,'Email Marketing Raw Data'!$C:$O,10,0))),"")</f>
        <v/>
      </c>
      <c r="E1246" s="59" t="str">
        <f>IFERROR(IF(F1246&lt;&gt;"pending","",IF(OR($B1246="",$B1246="(blank)"),"",VLOOKUP($B1246,'Email Marketing Raw Data'!$C:$O,11,0))),"")</f>
        <v/>
      </c>
      <c r="F1246" s="54" t="str">
        <f>IFERROR(IF(OR($B1246="",$B1246="(blank)"),"",VLOOKUP($B1246,'Email Marketing Raw Data'!$C:$O,13,0)),"")</f>
        <v/>
      </c>
      <c r="G1246" s="55" t="str">
        <f>IFERROR(IF(OR($B1246="",$B1246="(blank)"),"",VLOOKUP($B1246,'Email Marketing Raw Data'!$C:$O,4,0)),"")</f>
        <v/>
      </c>
      <c r="H1246" s="55" t="str">
        <f>IFERROR(IF(OR($B1246="",$B1246="(blank)"),"",VLOOKUP($B1246,'Email Marketing Raw Data'!$C:$O,5,0)),"")</f>
        <v/>
      </c>
      <c r="I1246" s="55" t="str">
        <f>IFERROR(IF($G1246="","",VLOOKUP('Dashboard And Emails Automate'!$G1246,Database!$H:$N,3,0)),"")</f>
        <v/>
      </c>
      <c r="J1246" s="55" t="str">
        <f>IFERROR(IF($G1246="","",VLOOKUP('Dashboard And Emails Automate'!$G1246,Database!$H:$N,4,0)),"")</f>
        <v/>
      </c>
      <c r="K1246" s="55" t="str">
        <f>IFERROR(IF($G1246="","",VLOOKUP('Dashboard And Emails Automate'!$G1246,Database!$H:$N,5,0)),"")</f>
        <v/>
      </c>
      <c r="L1246" s="55" t="str">
        <f>IFERROR(IF($G1246="","",VLOOKUP('Dashboard And Emails Automate'!$G1246,Database!$H:$N,6,0)),"")</f>
        <v/>
      </c>
      <c r="M1246" s="55" t="str">
        <f>IFERROR(IF($G1246="","",VLOOKUP('Dashboard And Emails Automate'!$G1246,Database!$H:$N,7,0)),"")</f>
        <v/>
      </c>
      <c r="N1246" s="55" t="str">
        <f>IFERROR(IF(OR($B1246="",$B1246="(blank)"),"",VLOOKUP($B1246,'Email Marketing Raw Data'!$C:$O,6,0)),"")</f>
        <v/>
      </c>
      <c r="O1246" s="55" t="str">
        <f>IFERROR(IF(OR($B1246="",$B1246="(blank)"),"",VLOOKUP($B1246,'Email Marketing Raw Data'!$C:$O,7,0)),"")</f>
        <v/>
      </c>
      <c r="P1246" s="55" t="str">
        <f>IFERROR(IF(OR($B1246="",$B1246="(blank)"),"",VLOOKUP($B1246,'Email Marketing Raw Data'!$C:$O,8,0)),"")</f>
        <v/>
      </c>
      <c r="Q1246" s="62" t="str">
        <f>IFERROR(IF(OR($B1246="",$B1246="(blank)"),"",VLOOKUP($B1246,'Email Marketing Raw Data'!$C:$O,9,0)),"")</f>
        <v/>
      </c>
    </row>
    <row r="1247" spans="4:17" ht="12.75" customHeight="1" x14ac:dyDescent="0.2">
      <c r="D1247" s="58" t="str">
        <f>IFERROR(IF(F1247&lt;&gt;"pending","",IF(OR($B1247="",$B1247="(blank)"),"",VLOOKUP($B1247,'Email Marketing Raw Data'!$C:$O,10,0))),"")</f>
        <v/>
      </c>
      <c r="E1247" s="59" t="str">
        <f>IFERROR(IF(F1247&lt;&gt;"pending","",IF(OR($B1247="",$B1247="(blank)"),"",VLOOKUP($B1247,'Email Marketing Raw Data'!$C:$O,11,0))),"")</f>
        <v/>
      </c>
      <c r="F1247" s="54" t="str">
        <f>IFERROR(IF(OR($B1247="",$B1247="(blank)"),"",VLOOKUP($B1247,'Email Marketing Raw Data'!$C:$O,13,0)),"")</f>
        <v/>
      </c>
      <c r="G1247" s="55" t="str">
        <f>IFERROR(IF(OR($B1247="",$B1247="(blank)"),"",VLOOKUP($B1247,'Email Marketing Raw Data'!$C:$O,4,0)),"")</f>
        <v/>
      </c>
      <c r="H1247" s="55" t="str">
        <f>IFERROR(IF(OR($B1247="",$B1247="(blank)"),"",VLOOKUP($B1247,'Email Marketing Raw Data'!$C:$O,5,0)),"")</f>
        <v/>
      </c>
      <c r="I1247" s="55" t="str">
        <f>IFERROR(IF($G1247="","",VLOOKUP('Dashboard And Emails Automate'!$G1247,Database!$H:$N,3,0)),"")</f>
        <v/>
      </c>
      <c r="J1247" s="55" t="str">
        <f>IFERROR(IF($G1247="","",VLOOKUP('Dashboard And Emails Automate'!$G1247,Database!$H:$N,4,0)),"")</f>
        <v/>
      </c>
      <c r="K1247" s="55" t="str">
        <f>IFERROR(IF($G1247="","",VLOOKUP('Dashboard And Emails Automate'!$G1247,Database!$H:$N,5,0)),"")</f>
        <v/>
      </c>
      <c r="L1247" s="55" t="str">
        <f>IFERROR(IF($G1247="","",VLOOKUP('Dashboard And Emails Automate'!$G1247,Database!$H:$N,6,0)),"")</f>
        <v/>
      </c>
      <c r="M1247" s="55" t="str">
        <f>IFERROR(IF($G1247="","",VLOOKUP('Dashboard And Emails Automate'!$G1247,Database!$H:$N,7,0)),"")</f>
        <v/>
      </c>
      <c r="N1247" s="55" t="str">
        <f>IFERROR(IF(OR($B1247="",$B1247="(blank)"),"",VLOOKUP($B1247,'Email Marketing Raw Data'!$C:$O,6,0)),"")</f>
        <v/>
      </c>
      <c r="O1247" s="55" t="str">
        <f>IFERROR(IF(OR($B1247="",$B1247="(blank)"),"",VLOOKUP($B1247,'Email Marketing Raw Data'!$C:$O,7,0)),"")</f>
        <v/>
      </c>
      <c r="P1247" s="55" t="str">
        <f>IFERROR(IF(OR($B1247="",$B1247="(blank)"),"",VLOOKUP($B1247,'Email Marketing Raw Data'!$C:$O,8,0)),"")</f>
        <v/>
      </c>
      <c r="Q1247" s="62" t="str">
        <f>IFERROR(IF(OR($B1247="",$B1247="(blank)"),"",VLOOKUP($B1247,'Email Marketing Raw Data'!$C:$O,9,0)),"")</f>
        <v/>
      </c>
    </row>
    <row r="1248" spans="4:17" ht="12.75" customHeight="1" x14ac:dyDescent="0.2">
      <c r="D1248" s="58" t="str">
        <f>IFERROR(IF(F1248&lt;&gt;"pending","",IF(OR($B1248="",$B1248="(blank)"),"",VLOOKUP($B1248,'Email Marketing Raw Data'!$C:$O,10,0))),"")</f>
        <v/>
      </c>
      <c r="E1248" s="59" t="str">
        <f>IFERROR(IF(F1248&lt;&gt;"pending","",IF(OR($B1248="",$B1248="(blank)"),"",VLOOKUP($B1248,'Email Marketing Raw Data'!$C:$O,11,0))),"")</f>
        <v/>
      </c>
      <c r="F1248" s="54" t="str">
        <f>IFERROR(IF(OR($B1248="",$B1248="(blank)"),"",VLOOKUP($B1248,'Email Marketing Raw Data'!$C:$O,13,0)),"")</f>
        <v/>
      </c>
      <c r="G1248" s="55" t="str">
        <f>IFERROR(IF(OR($B1248="",$B1248="(blank)"),"",VLOOKUP($B1248,'Email Marketing Raw Data'!$C:$O,4,0)),"")</f>
        <v/>
      </c>
      <c r="H1248" s="55" t="str">
        <f>IFERROR(IF(OR($B1248="",$B1248="(blank)"),"",VLOOKUP($B1248,'Email Marketing Raw Data'!$C:$O,5,0)),"")</f>
        <v/>
      </c>
      <c r="I1248" s="55" t="str">
        <f>IFERROR(IF($G1248="","",VLOOKUP('Dashboard And Emails Automate'!$G1248,Database!$H:$N,3,0)),"")</f>
        <v/>
      </c>
      <c r="J1248" s="55" t="str">
        <f>IFERROR(IF($G1248="","",VLOOKUP('Dashboard And Emails Automate'!$G1248,Database!$H:$N,4,0)),"")</f>
        <v/>
      </c>
      <c r="K1248" s="55" t="str">
        <f>IFERROR(IF($G1248="","",VLOOKUP('Dashboard And Emails Automate'!$G1248,Database!$H:$N,5,0)),"")</f>
        <v/>
      </c>
      <c r="L1248" s="55" t="str">
        <f>IFERROR(IF($G1248="","",VLOOKUP('Dashboard And Emails Automate'!$G1248,Database!$H:$N,6,0)),"")</f>
        <v/>
      </c>
      <c r="M1248" s="55" t="str">
        <f>IFERROR(IF($G1248="","",VLOOKUP('Dashboard And Emails Automate'!$G1248,Database!$H:$N,7,0)),"")</f>
        <v/>
      </c>
      <c r="N1248" s="55" t="str">
        <f>IFERROR(IF(OR($B1248="",$B1248="(blank)"),"",VLOOKUP($B1248,'Email Marketing Raw Data'!$C:$O,6,0)),"")</f>
        <v/>
      </c>
      <c r="O1248" s="55" t="str">
        <f>IFERROR(IF(OR($B1248="",$B1248="(blank)"),"",VLOOKUP($B1248,'Email Marketing Raw Data'!$C:$O,7,0)),"")</f>
        <v/>
      </c>
      <c r="P1248" s="55" t="str">
        <f>IFERROR(IF(OR($B1248="",$B1248="(blank)"),"",VLOOKUP($B1248,'Email Marketing Raw Data'!$C:$O,8,0)),"")</f>
        <v/>
      </c>
      <c r="Q1248" s="62" t="str">
        <f>IFERROR(IF(OR($B1248="",$B1248="(blank)"),"",VLOOKUP($B1248,'Email Marketing Raw Data'!$C:$O,9,0)),"")</f>
        <v/>
      </c>
    </row>
    <row r="1249" spans="4:17" ht="12.75" customHeight="1" x14ac:dyDescent="0.2">
      <c r="D1249" s="58" t="str">
        <f>IFERROR(IF(F1249&lt;&gt;"pending","",IF(OR($B1249="",$B1249="(blank)"),"",VLOOKUP($B1249,'Email Marketing Raw Data'!$C:$O,10,0))),"")</f>
        <v/>
      </c>
      <c r="E1249" s="59" t="str">
        <f>IFERROR(IF(F1249&lt;&gt;"pending","",IF(OR($B1249="",$B1249="(blank)"),"",VLOOKUP($B1249,'Email Marketing Raw Data'!$C:$O,11,0))),"")</f>
        <v/>
      </c>
      <c r="F1249" s="54" t="str">
        <f>IFERROR(IF(OR($B1249="",$B1249="(blank)"),"",VLOOKUP($B1249,'Email Marketing Raw Data'!$C:$O,13,0)),"")</f>
        <v/>
      </c>
      <c r="G1249" s="55" t="str">
        <f>IFERROR(IF(OR($B1249="",$B1249="(blank)"),"",VLOOKUP($B1249,'Email Marketing Raw Data'!$C:$O,4,0)),"")</f>
        <v/>
      </c>
      <c r="H1249" s="55" t="str">
        <f>IFERROR(IF(OR($B1249="",$B1249="(blank)"),"",VLOOKUP($B1249,'Email Marketing Raw Data'!$C:$O,5,0)),"")</f>
        <v/>
      </c>
      <c r="I1249" s="55" t="str">
        <f>IFERROR(IF($G1249="","",VLOOKUP('Dashboard And Emails Automate'!$G1249,Database!$H:$N,3,0)),"")</f>
        <v/>
      </c>
      <c r="J1249" s="55" t="str">
        <f>IFERROR(IF($G1249="","",VLOOKUP('Dashboard And Emails Automate'!$G1249,Database!$H:$N,4,0)),"")</f>
        <v/>
      </c>
      <c r="K1249" s="55" t="str">
        <f>IFERROR(IF($G1249="","",VLOOKUP('Dashboard And Emails Automate'!$G1249,Database!$H:$N,5,0)),"")</f>
        <v/>
      </c>
      <c r="L1249" s="55" t="str">
        <f>IFERROR(IF($G1249="","",VLOOKUP('Dashboard And Emails Automate'!$G1249,Database!$H:$N,6,0)),"")</f>
        <v/>
      </c>
      <c r="M1249" s="55" t="str">
        <f>IFERROR(IF($G1249="","",VLOOKUP('Dashboard And Emails Automate'!$G1249,Database!$H:$N,7,0)),"")</f>
        <v/>
      </c>
      <c r="N1249" s="55" t="str">
        <f>IFERROR(IF(OR($B1249="",$B1249="(blank)"),"",VLOOKUP($B1249,'Email Marketing Raw Data'!$C:$O,6,0)),"")</f>
        <v/>
      </c>
      <c r="O1249" s="55" t="str">
        <f>IFERROR(IF(OR($B1249="",$B1249="(blank)"),"",VLOOKUP($B1249,'Email Marketing Raw Data'!$C:$O,7,0)),"")</f>
        <v/>
      </c>
      <c r="P1249" s="55" t="str">
        <f>IFERROR(IF(OR($B1249="",$B1249="(blank)"),"",VLOOKUP($B1249,'Email Marketing Raw Data'!$C:$O,8,0)),"")</f>
        <v/>
      </c>
      <c r="Q1249" s="62" t="str">
        <f>IFERROR(IF(OR($B1249="",$B1249="(blank)"),"",VLOOKUP($B1249,'Email Marketing Raw Data'!$C:$O,9,0)),"")</f>
        <v/>
      </c>
    </row>
    <row r="1250" spans="4:17" ht="12.75" customHeight="1" x14ac:dyDescent="0.2">
      <c r="D1250" s="58" t="str">
        <f>IFERROR(IF(F1250&lt;&gt;"pending","",IF(OR($B1250="",$B1250="(blank)"),"",VLOOKUP($B1250,'Email Marketing Raw Data'!$C:$O,10,0))),"")</f>
        <v/>
      </c>
      <c r="E1250" s="59" t="str">
        <f>IFERROR(IF(F1250&lt;&gt;"pending","",IF(OR($B1250="",$B1250="(blank)"),"",VLOOKUP($B1250,'Email Marketing Raw Data'!$C:$O,11,0))),"")</f>
        <v/>
      </c>
      <c r="F1250" s="54" t="str">
        <f>IFERROR(IF(OR($B1250="",$B1250="(blank)"),"",VLOOKUP($B1250,'Email Marketing Raw Data'!$C:$O,13,0)),"")</f>
        <v/>
      </c>
      <c r="G1250" s="55" t="str">
        <f>IFERROR(IF(OR($B1250="",$B1250="(blank)"),"",VLOOKUP($B1250,'Email Marketing Raw Data'!$C:$O,4,0)),"")</f>
        <v/>
      </c>
      <c r="H1250" s="55" t="str">
        <f>IFERROR(IF(OR($B1250="",$B1250="(blank)"),"",VLOOKUP($B1250,'Email Marketing Raw Data'!$C:$O,5,0)),"")</f>
        <v/>
      </c>
      <c r="I1250" s="55" t="str">
        <f>IFERROR(IF($G1250="","",VLOOKUP('Dashboard And Emails Automate'!$G1250,Database!$H:$N,3,0)),"")</f>
        <v/>
      </c>
      <c r="J1250" s="55" t="str">
        <f>IFERROR(IF($G1250="","",VLOOKUP('Dashboard And Emails Automate'!$G1250,Database!$H:$N,4,0)),"")</f>
        <v/>
      </c>
      <c r="K1250" s="55" t="str">
        <f>IFERROR(IF($G1250="","",VLOOKUP('Dashboard And Emails Automate'!$G1250,Database!$H:$N,5,0)),"")</f>
        <v/>
      </c>
      <c r="L1250" s="55" t="str">
        <f>IFERROR(IF($G1250="","",VLOOKUP('Dashboard And Emails Automate'!$G1250,Database!$H:$N,6,0)),"")</f>
        <v/>
      </c>
      <c r="M1250" s="55" t="str">
        <f>IFERROR(IF($G1250="","",VLOOKUP('Dashboard And Emails Automate'!$G1250,Database!$H:$N,7,0)),"")</f>
        <v/>
      </c>
      <c r="N1250" s="55" t="str">
        <f>IFERROR(IF(OR($B1250="",$B1250="(blank)"),"",VLOOKUP($B1250,'Email Marketing Raw Data'!$C:$O,6,0)),"")</f>
        <v/>
      </c>
      <c r="O1250" s="55" t="str">
        <f>IFERROR(IF(OR($B1250="",$B1250="(blank)"),"",VLOOKUP($B1250,'Email Marketing Raw Data'!$C:$O,7,0)),"")</f>
        <v/>
      </c>
      <c r="P1250" s="55" t="str">
        <f>IFERROR(IF(OR($B1250="",$B1250="(blank)"),"",VLOOKUP($B1250,'Email Marketing Raw Data'!$C:$O,8,0)),"")</f>
        <v/>
      </c>
      <c r="Q1250" s="62" t="str">
        <f>IFERROR(IF(OR($B1250="",$B1250="(blank)"),"",VLOOKUP($B1250,'Email Marketing Raw Data'!$C:$O,9,0)),"")</f>
        <v/>
      </c>
    </row>
    <row r="1251" spans="4:17" ht="12.75" customHeight="1" x14ac:dyDescent="0.2">
      <c r="D1251" s="58" t="str">
        <f>IFERROR(IF(F1251&lt;&gt;"pending","",IF(OR($B1251="",$B1251="(blank)"),"",VLOOKUP($B1251,'Email Marketing Raw Data'!$C:$O,10,0))),"")</f>
        <v/>
      </c>
      <c r="E1251" s="59" t="str">
        <f>IFERROR(IF(F1251&lt;&gt;"pending","",IF(OR($B1251="",$B1251="(blank)"),"",VLOOKUP($B1251,'Email Marketing Raw Data'!$C:$O,11,0))),"")</f>
        <v/>
      </c>
      <c r="F1251" s="54" t="str">
        <f>IFERROR(IF(OR($B1251="",$B1251="(blank)"),"",VLOOKUP($B1251,'Email Marketing Raw Data'!$C:$O,13,0)),"")</f>
        <v/>
      </c>
      <c r="G1251" s="55" t="str">
        <f>IFERROR(IF(OR($B1251="",$B1251="(blank)"),"",VLOOKUP($B1251,'Email Marketing Raw Data'!$C:$O,4,0)),"")</f>
        <v/>
      </c>
      <c r="H1251" s="55" t="str">
        <f>IFERROR(IF(OR($B1251="",$B1251="(blank)"),"",VLOOKUP($B1251,'Email Marketing Raw Data'!$C:$O,5,0)),"")</f>
        <v/>
      </c>
      <c r="I1251" s="55" t="str">
        <f>IFERROR(IF($G1251="","",VLOOKUP('Dashboard And Emails Automate'!$G1251,Database!$H:$N,3,0)),"")</f>
        <v/>
      </c>
      <c r="J1251" s="55" t="str">
        <f>IFERROR(IF($G1251="","",VLOOKUP('Dashboard And Emails Automate'!$G1251,Database!$H:$N,4,0)),"")</f>
        <v/>
      </c>
      <c r="K1251" s="55" t="str">
        <f>IFERROR(IF($G1251="","",VLOOKUP('Dashboard And Emails Automate'!$G1251,Database!$H:$N,5,0)),"")</f>
        <v/>
      </c>
      <c r="L1251" s="55" t="str">
        <f>IFERROR(IF($G1251="","",VLOOKUP('Dashboard And Emails Automate'!$G1251,Database!$H:$N,6,0)),"")</f>
        <v/>
      </c>
      <c r="M1251" s="55" t="str">
        <f>IFERROR(IF($G1251="","",VLOOKUP('Dashboard And Emails Automate'!$G1251,Database!$H:$N,7,0)),"")</f>
        <v/>
      </c>
      <c r="N1251" s="55" t="str">
        <f>IFERROR(IF(OR($B1251="",$B1251="(blank)"),"",VLOOKUP($B1251,'Email Marketing Raw Data'!$C:$O,6,0)),"")</f>
        <v/>
      </c>
      <c r="O1251" s="55" t="str">
        <f>IFERROR(IF(OR($B1251="",$B1251="(blank)"),"",VLOOKUP($B1251,'Email Marketing Raw Data'!$C:$O,7,0)),"")</f>
        <v/>
      </c>
      <c r="P1251" s="55" t="str">
        <f>IFERROR(IF(OR($B1251="",$B1251="(blank)"),"",VLOOKUP($B1251,'Email Marketing Raw Data'!$C:$O,8,0)),"")</f>
        <v/>
      </c>
      <c r="Q1251" s="62" t="str">
        <f>IFERROR(IF(OR($B1251="",$B1251="(blank)"),"",VLOOKUP($B1251,'Email Marketing Raw Data'!$C:$O,9,0)),"")</f>
        <v/>
      </c>
    </row>
    <row r="1252" spans="4:17" ht="12.75" customHeight="1" x14ac:dyDescent="0.2">
      <c r="D1252" s="58" t="str">
        <f>IFERROR(IF(F1252&lt;&gt;"pending","",IF(OR($B1252="",$B1252="(blank)"),"",VLOOKUP($B1252,'Email Marketing Raw Data'!$C:$O,10,0))),"")</f>
        <v/>
      </c>
      <c r="E1252" s="59" t="str">
        <f>IFERROR(IF(F1252&lt;&gt;"pending","",IF(OR($B1252="",$B1252="(blank)"),"",VLOOKUP($B1252,'Email Marketing Raw Data'!$C:$O,11,0))),"")</f>
        <v/>
      </c>
      <c r="F1252" s="54" t="str">
        <f>IFERROR(IF(OR($B1252="",$B1252="(blank)"),"",VLOOKUP($B1252,'Email Marketing Raw Data'!$C:$O,13,0)),"")</f>
        <v/>
      </c>
      <c r="G1252" s="55" t="str">
        <f>IFERROR(IF(OR($B1252="",$B1252="(blank)"),"",VLOOKUP($B1252,'Email Marketing Raw Data'!$C:$O,4,0)),"")</f>
        <v/>
      </c>
      <c r="H1252" s="55" t="str">
        <f>IFERROR(IF(OR($B1252="",$B1252="(blank)"),"",VLOOKUP($B1252,'Email Marketing Raw Data'!$C:$O,5,0)),"")</f>
        <v/>
      </c>
      <c r="I1252" s="55" t="str">
        <f>IFERROR(IF($G1252="","",VLOOKUP('Dashboard And Emails Automate'!$G1252,Database!$H:$N,3,0)),"")</f>
        <v/>
      </c>
      <c r="J1252" s="55" t="str">
        <f>IFERROR(IF($G1252="","",VLOOKUP('Dashboard And Emails Automate'!$G1252,Database!$H:$N,4,0)),"")</f>
        <v/>
      </c>
      <c r="K1252" s="55" t="str">
        <f>IFERROR(IF($G1252="","",VLOOKUP('Dashboard And Emails Automate'!$G1252,Database!$H:$N,5,0)),"")</f>
        <v/>
      </c>
      <c r="L1252" s="55" t="str">
        <f>IFERROR(IF($G1252="","",VLOOKUP('Dashboard And Emails Automate'!$G1252,Database!$H:$N,6,0)),"")</f>
        <v/>
      </c>
      <c r="M1252" s="55" t="str">
        <f>IFERROR(IF($G1252="","",VLOOKUP('Dashboard And Emails Automate'!$G1252,Database!$H:$N,7,0)),"")</f>
        <v/>
      </c>
      <c r="N1252" s="55" t="str">
        <f>IFERROR(IF(OR($B1252="",$B1252="(blank)"),"",VLOOKUP($B1252,'Email Marketing Raw Data'!$C:$O,6,0)),"")</f>
        <v/>
      </c>
      <c r="O1252" s="55" t="str">
        <f>IFERROR(IF(OR($B1252="",$B1252="(blank)"),"",VLOOKUP($B1252,'Email Marketing Raw Data'!$C:$O,7,0)),"")</f>
        <v/>
      </c>
      <c r="P1252" s="55" t="str">
        <f>IFERROR(IF(OR($B1252="",$B1252="(blank)"),"",VLOOKUP($B1252,'Email Marketing Raw Data'!$C:$O,8,0)),"")</f>
        <v/>
      </c>
      <c r="Q1252" s="62" t="str">
        <f>IFERROR(IF(OR($B1252="",$B1252="(blank)"),"",VLOOKUP($B1252,'Email Marketing Raw Data'!$C:$O,9,0)),"")</f>
        <v/>
      </c>
    </row>
    <row r="1253" spans="4:17" ht="12.75" customHeight="1" x14ac:dyDescent="0.2">
      <c r="D1253" s="58" t="str">
        <f>IFERROR(IF(F1253&lt;&gt;"pending","",IF(OR($B1253="",$B1253="(blank)"),"",VLOOKUP($B1253,'Email Marketing Raw Data'!$C:$O,10,0))),"")</f>
        <v/>
      </c>
      <c r="E1253" s="59" t="str">
        <f>IFERROR(IF(F1253&lt;&gt;"pending","",IF(OR($B1253="",$B1253="(blank)"),"",VLOOKUP($B1253,'Email Marketing Raw Data'!$C:$O,11,0))),"")</f>
        <v/>
      </c>
      <c r="F1253" s="54" t="str">
        <f>IFERROR(IF(OR($B1253="",$B1253="(blank)"),"",VLOOKUP($B1253,'Email Marketing Raw Data'!$C:$O,13,0)),"")</f>
        <v/>
      </c>
      <c r="G1253" s="55" t="str">
        <f>IFERROR(IF(OR($B1253="",$B1253="(blank)"),"",VLOOKUP($B1253,'Email Marketing Raw Data'!$C:$O,4,0)),"")</f>
        <v/>
      </c>
      <c r="H1253" s="55" t="str">
        <f>IFERROR(IF(OR($B1253="",$B1253="(blank)"),"",VLOOKUP($B1253,'Email Marketing Raw Data'!$C:$O,5,0)),"")</f>
        <v/>
      </c>
      <c r="I1253" s="55" t="str">
        <f>IFERROR(IF($G1253="","",VLOOKUP('Dashboard And Emails Automate'!$G1253,Database!$H:$N,3,0)),"")</f>
        <v/>
      </c>
      <c r="J1253" s="55" t="str">
        <f>IFERROR(IF($G1253="","",VLOOKUP('Dashboard And Emails Automate'!$G1253,Database!$H:$N,4,0)),"")</f>
        <v/>
      </c>
      <c r="K1253" s="55" t="str">
        <f>IFERROR(IF($G1253="","",VLOOKUP('Dashboard And Emails Automate'!$G1253,Database!$H:$N,5,0)),"")</f>
        <v/>
      </c>
      <c r="L1253" s="55" t="str">
        <f>IFERROR(IF($G1253="","",VLOOKUP('Dashboard And Emails Automate'!$G1253,Database!$H:$N,6,0)),"")</f>
        <v/>
      </c>
      <c r="M1253" s="55" t="str">
        <f>IFERROR(IF($G1253="","",VLOOKUP('Dashboard And Emails Automate'!$G1253,Database!$H:$N,7,0)),"")</f>
        <v/>
      </c>
      <c r="N1253" s="55" t="str">
        <f>IFERROR(IF(OR($B1253="",$B1253="(blank)"),"",VLOOKUP($B1253,'Email Marketing Raw Data'!$C:$O,6,0)),"")</f>
        <v/>
      </c>
      <c r="O1253" s="55" t="str">
        <f>IFERROR(IF(OR($B1253="",$B1253="(blank)"),"",VLOOKUP($B1253,'Email Marketing Raw Data'!$C:$O,7,0)),"")</f>
        <v/>
      </c>
      <c r="P1253" s="55" t="str">
        <f>IFERROR(IF(OR($B1253="",$B1253="(blank)"),"",VLOOKUP($B1253,'Email Marketing Raw Data'!$C:$O,8,0)),"")</f>
        <v/>
      </c>
      <c r="Q1253" s="62" t="str">
        <f>IFERROR(IF(OR($B1253="",$B1253="(blank)"),"",VLOOKUP($B1253,'Email Marketing Raw Data'!$C:$O,9,0)),"")</f>
        <v/>
      </c>
    </row>
    <row r="1254" spans="4:17" ht="12.75" customHeight="1" x14ac:dyDescent="0.2">
      <c r="D1254" s="58" t="str">
        <f>IFERROR(IF(F1254&lt;&gt;"pending","",IF(OR($B1254="",$B1254="(blank)"),"",VLOOKUP($B1254,'Email Marketing Raw Data'!$C:$O,10,0))),"")</f>
        <v/>
      </c>
      <c r="E1254" s="59" t="str">
        <f>IFERROR(IF(F1254&lt;&gt;"pending","",IF(OR($B1254="",$B1254="(blank)"),"",VLOOKUP($B1254,'Email Marketing Raw Data'!$C:$O,11,0))),"")</f>
        <v/>
      </c>
      <c r="F1254" s="54" t="str">
        <f>IFERROR(IF(OR($B1254="",$B1254="(blank)"),"",VLOOKUP($B1254,'Email Marketing Raw Data'!$C:$O,13,0)),"")</f>
        <v/>
      </c>
      <c r="G1254" s="55" t="str">
        <f>IFERROR(IF(OR($B1254="",$B1254="(blank)"),"",VLOOKUP($B1254,'Email Marketing Raw Data'!$C:$O,4,0)),"")</f>
        <v/>
      </c>
      <c r="H1254" s="55" t="str">
        <f>IFERROR(IF(OR($B1254="",$B1254="(blank)"),"",VLOOKUP($B1254,'Email Marketing Raw Data'!$C:$O,5,0)),"")</f>
        <v/>
      </c>
      <c r="I1254" s="55" t="str">
        <f>IFERROR(IF($G1254="","",VLOOKUP('Dashboard And Emails Automate'!$G1254,Database!$H:$N,3,0)),"")</f>
        <v/>
      </c>
      <c r="J1254" s="55" t="str">
        <f>IFERROR(IF($G1254="","",VLOOKUP('Dashboard And Emails Automate'!$G1254,Database!$H:$N,4,0)),"")</f>
        <v/>
      </c>
      <c r="K1254" s="55" t="str">
        <f>IFERROR(IF($G1254="","",VLOOKUP('Dashboard And Emails Automate'!$G1254,Database!$H:$N,5,0)),"")</f>
        <v/>
      </c>
      <c r="L1254" s="55" t="str">
        <f>IFERROR(IF($G1254="","",VLOOKUP('Dashboard And Emails Automate'!$G1254,Database!$H:$N,6,0)),"")</f>
        <v/>
      </c>
      <c r="M1254" s="55" t="str">
        <f>IFERROR(IF($G1254="","",VLOOKUP('Dashboard And Emails Automate'!$G1254,Database!$H:$N,7,0)),"")</f>
        <v/>
      </c>
      <c r="N1254" s="55" t="str">
        <f>IFERROR(IF(OR($B1254="",$B1254="(blank)"),"",VLOOKUP($B1254,'Email Marketing Raw Data'!$C:$O,6,0)),"")</f>
        <v/>
      </c>
      <c r="O1254" s="55" t="str">
        <f>IFERROR(IF(OR($B1254="",$B1254="(blank)"),"",VLOOKUP($B1254,'Email Marketing Raw Data'!$C:$O,7,0)),"")</f>
        <v/>
      </c>
      <c r="P1254" s="55" t="str">
        <f>IFERROR(IF(OR($B1254="",$B1254="(blank)"),"",VLOOKUP($B1254,'Email Marketing Raw Data'!$C:$O,8,0)),"")</f>
        <v/>
      </c>
      <c r="Q1254" s="62" t="str">
        <f>IFERROR(IF(OR($B1254="",$B1254="(blank)"),"",VLOOKUP($B1254,'Email Marketing Raw Data'!$C:$O,9,0)),"")</f>
        <v/>
      </c>
    </row>
    <row r="1255" spans="4:17" ht="12.75" customHeight="1" x14ac:dyDescent="0.2">
      <c r="D1255" s="58" t="str">
        <f>IFERROR(IF(F1255&lt;&gt;"pending","",IF(OR($B1255="",$B1255="(blank)"),"",VLOOKUP($B1255,'Email Marketing Raw Data'!$C:$O,10,0))),"")</f>
        <v/>
      </c>
      <c r="E1255" s="59" t="str">
        <f>IFERROR(IF(F1255&lt;&gt;"pending","",IF(OR($B1255="",$B1255="(blank)"),"",VLOOKUP($B1255,'Email Marketing Raw Data'!$C:$O,11,0))),"")</f>
        <v/>
      </c>
      <c r="F1255" s="54" t="str">
        <f>IFERROR(IF(OR($B1255="",$B1255="(blank)"),"",VLOOKUP($B1255,'Email Marketing Raw Data'!$C:$O,13,0)),"")</f>
        <v/>
      </c>
      <c r="G1255" s="55" t="str">
        <f>IFERROR(IF(OR($B1255="",$B1255="(blank)"),"",VLOOKUP($B1255,'Email Marketing Raw Data'!$C:$O,4,0)),"")</f>
        <v/>
      </c>
      <c r="H1255" s="55" t="str">
        <f>IFERROR(IF(OR($B1255="",$B1255="(blank)"),"",VLOOKUP($B1255,'Email Marketing Raw Data'!$C:$O,5,0)),"")</f>
        <v/>
      </c>
      <c r="I1255" s="55" t="str">
        <f>IFERROR(IF($G1255="","",VLOOKUP('Dashboard And Emails Automate'!$G1255,Database!$H:$N,3,0)),"")</f>
        <v/>
      </c>
      <c r="J1255" s="55" t="str">
        <f>IFERROR(IF($G1255="","",VLOOKUP('Dashboard And Emails Automate'!$G1255,Database!$H:$N,4,0)),"")</f>
        <v/>
      </c>
      <c r="K1255" s="55" t="str">
        <f>IFERROR(IF($G1255="","",VLOOKUP('Dashboard And Emails Automate'!$G1255,Database!$H:$N,5,0)),"")</f>
        <v/>
      </c>
      <c r="L1255" s="55" t="str">
        <f>IFERROR(IF($G1255="","",VLOOKUP('Dashboard And Emails Automate'!$G1255,Database!$H:$N,6,0)),"")</f>
        <v/>
      </c>
      <c r="M1255" s="55" t="str">
        <f>IFERROR(IF($G1255="","",VLOOKUP('Dashboard And Emails Automate'!$G1255,Database!$H:$N,7,0)),"")</f>
        <v/>
      </c>
      <c r="N1255" s="55" t="str">
        <f>IFERROR(IF(OR($B1255="",$B1255="(blank)"),"",VLOOKUP($B1255,'Email Marketing Raw Data'!$C:$O,6,0)),"")</f>
        <v/>
      </c>
      <c r="O1255" s="55" t="str">
        <f>IFERROR(IF(OR($B1255="",$B1255="(blank)"),"",VLOOKUP($B1255,'Email Marketing Raw Data'!$C:$O,7,0)),"")</f>
        <v/>
      </c>
      <c r="P1255" s="55" t="str">
        <f>IFERROR(IF(OR($B1255="",$B1255="(blank)"),"",VLOOKUP($B1255,'Email Marketing Raw Data'!$C:$O,8,0)),"")</f>
        <v/>
      </c>
      <c r="Q1255" s="62" t="str">
        <f>IFERROR(IF(OR($B1255="",$B1255="(blank)"),"",VLOOKUP($B1255,'Email Marketing Raw Data'!$C:$O,9,0)),"")</f>
        <v/>
      </c>
    </row>
    <row r="1256" spans="4:17" ht="12.75" customHeight="1" x14ac:dyDescent="0.2">
      <c r="D1256" s="58" t="str">
        <f>IFERROR(IF(F1256&lt;&gt;"pending","",IF(OR($B1256="",$B1256="(blank)"),"",VLOOKUP($B1256,'Email Marketing Raw Data'!$C:$O,10,0))),"")</f>
        <v/>
      </c>
      <c r="E1256" s="59" t="str">
        <f>IFERROR(IF(F1256&lt;&gt;"pending","",IF(OR($B1256="",$B1256="(blank)"),"",VLOOKUP($B1256,'Email Marketing Raw Data'!$C:$O,11,0))),"")</f>
        <v/>
      </c>
      <c r="F1256" s="54" t="str">
        <f>IFERROR(IF(OR($B1256="",$B1256="(blank)"),"",VLOOKUP($B1256,'Email Marketing Raw Data'!$C:$O,13,0)),"")</f>
        <v/>
      </c>
      <c r="G1256" s="55" t="str">
        <f>IFERROR(IF(OR($B1256="",$B1256="(blank)"),"",VLOOKUP($B1256,'Email Marketing Raw Data'!$C:$O,4,0)),"")</f>
        <v/>
      </c>
      <c r="H1256" s="55" t="str">
        <f>IFERROR(IF(OR($B1256="",$B1256="(blank)"),"",VLOOKUP($B1256,'Email Marketing Raw Data'!$C:$O,5,0)),"")</f>
        <v/>
      </c>
      <c r="I1256" s="55" t="str">
        <f>IFERROR(IF($G1256="","",VLOOKUP('Dashboard And Emails Automate'!$G1256,Database!$H:$N,3,0)),"")</f>
        <v/>
      </c>
      <c r="J1256" s="55" t="str">
        <f>IFERROR(IF($G1256="","",VLOOKUP('Dashboard And Emails Automate'!$G1256,Database!$H:$N,4,0)),"")</f>
        <v/>
      </c>
      <c r="K1256" s="55" t="str">
        <f>IFERROR(IF($G1256="","",VLOOKUP('Dashboard And Emails Automate'!$G1256,Database!$H:$N,5,0)),"")</f>
        <v/>
      </c>
      <c r="L1256" s="55" t="str">
        <f>IFERROR(IF($G1256="","",VLOOKUP('Dashboard And Emails Automate'!$G1256,Database!$H:$N,6,0)),"")</f>
        <v/>
      </c>
      <c r="M1256" s="55" t="str">
        <f>IFERROR(IF($G1256="","",VLOOKUP('Dashboard And Emails Automate'!$G1256,Database!$H:$N,7,0)),"")</f>
        <v/>
      </c>
      <c r="N1256" s="55" t="str">
        <f>IFERROR(IF(OR($B1256="",$B1256="(blank)"),"",VLOOKUP($B1256,'Email Marketing Raw Data'!$C:$O,6,0)),"")</f>
        <v/>
      </c>
      <c r="O1256" s="55" t="str">
        <f>IFERROR(IF(OR($B1256="",$B1256="(blank)"),"",VLOOKUP($B1256,'Email Marketing Raw Data'!$C:$O,7,0)),"")</f>
        <v/>
      </c>
      <c r="P1256" s="55" t="str">
        <f>IFERROR(IF(OR($B1256="",$B1256="(blank)"),"",VLOOKUP($B1256,'Email Marketing Raw Data'!$C:$O,8,0)),"")</f>
        <v/>
      </c>
      <c r="Q1256" s="62" t="str">
        <f>IFERROR(IF(OR($B1256="",$B1256="(blank)"),"",VLOOKUP($B1256,'Email Marketing Raw Data'!$C:$O,9,0)),"")</f>
        <v/>
      </c>
    </row>
    <row r="1257" spans="4:17" ht="12.75" customHeight="1" x14ac:dyDescent="0.2">
      <c r="D1257" s="58" t="str">
        <f>IFERROR(IF(F1257&lt;&gt;"pending","",IF(OR($B1257="",$B1257="(blank)"),"",VLOOKUP($B1257,'Email Marketing Raw Data'!$C:$O,10,0))),"")</f>
        <v/>
      </c>
      <c r="E1257" s="59" t="str">
        <f>IFERROR(IF(F1257&lt;&gt;"pending","",IF(OR($B1257="",$B1257="(blank)"),"",VLOOKUP($B1257,'Email Marketing Raw Data'!$C:$O,11,0))),"")</f>
        <v/>
      </c>
      <c r="F1257" s="54" t="str">
        <f>IFERROR(IF(OR($B1257="",$B1257="(blank)"),"",VLOOKUP($B1257,'Email Marketing Raw Data'!$C:$O,13,0)),"")</f>
        <v/>
      </c>
      <c r="G1257" s="55" t="str">
        <f>IFERROR(IF(OR($B1257="",$B1257="(blank)"),"",VLOOKUP($B1257,'Email Marketing Raw Data'!$C:$O,4,0)),"")</f>
        <v/>
      </c>
      <c r="H1257" s="55" t="str">
        <f>IFERROR(IF(OR($B1257="",$B1257="(blank)"),"",VLOOKUP($B1257,'Email Marketing Raw Data'!$C:$O,5,0)),"")</f>
        <v/>
      </c>
      <c r="I1257" s="55" t="str">
        <f>IFERROR(IF($G1257="","",VLOOKUP('Dashboard And Emails Automate'!$G1257,Database!$H:$N,3,0)),"")</f>
        <v/>
      </c>
      <c r="J1257" s="55" t="str">
        <f>IFERROR(IF($G1257="","",VLOOKUP('Dashboard And Emails Automate'!$G1257,Database!$H:$N,4,0)),"")</f>
        <v/>
      </c>
      <c r="K1257" s="55" t="str">
        <f>IFERROR(IF($G1257="","",VLOOKUP('Dashboard And Emails Automate'!$G1257,Database!$H:$N,5,0)),"")</f>
        <v/>
      </c>
      <c r="L1257" s="55" t="str">
        <f>IFERROR(IF($G1257="","",VLOOKUP('Dashboard And Emails Automate'!$G1257,Database!$H:$N,6,0)),"")</f>
        <v/>
      </c>
      <c r="M1257" s="55" t="str">
        <f>IFERROR(IF($G1257="","",VLOOKUP('Dashboard And Emails Automate'!$G1257,Database!$H:$N,7,0)),"")</f>
        <v/>
      </c>
      <c r="N1257" s="55" t="str">
        <f>IFERROR(IF(OR($B1257="",$B1257="(blank)"),"",VLOOKUP($B1257,'Email Marketing Raw Data'!$C:$O,6,0)),"")</f>
        <v/>
      </c>
      <c r="O1257" s="55" t="str">
        <f>IFERROR(IF(OR($B1257="",$B1257="(blank)"),"",VLOOKUP($B1257,'Email Marketing Raw Data'!$C:$O,7,0)),"")</f>
        <v/>
      </c>
      <c r="P1257" s="55" t="str">
        <f>IFERROR(IF(OR($B1257="",$B1257="(blank)"),"",VLOOKUP($B1257,'Email Marketing Raw Data'!$C:$O,8,0)),"")</f>
        <v/>
      </c>
      <c r="Q1257" s="62" t="str">
        <f>IFERROR(IF(OR($B1257="",$B1257="(blank)"),"",VLOOKUP($B1257,'Email Marketing Raw Data'!$C:$O,9,0)),"")</f>
        <v/>
      </c>
    </row>
    <row r="1258" spans="4:17" ht="12.75" customHeight="1" x14ac:dyDescent="0.2">
      <c r="D1258" s="58" t="str">
        <f>IFERROR(IF(F1258&lt;&gt;"pending","",IF(OR($B1258="",$B1258="(blank)"),"",VLOOKUP($B1258,'Email Marketing Raw Data'!$C:$O,10,0))),"")</f>
        <v/>
      </c>
      <c r="E1258" s="59" t="str">
        <f>IFERROR(IF(F1258&lt;&gt;"pending","",IF(OR($B1258="",$B1258="(blank)"),"",VLOOKUP($B1258,'Email Marketing Raw Data'!$C:$O,11,0))),"")</f>
        <v/>
      </c>
      <c r="F1258" s="54" t="str">
        <f>IFERROR(IF(OR($B1258="",$B1258="(blank)"),"",VLOOKUP($B1258,'Email Marketing Raw Data'!$C:$O,13,0)),"")</f>
        <v/>
      </c>
      <c r="G1258" s="55" t="str">
        <f>IFERROR(IF(OR($B1258="",$B1258="(blank)"),"",VLOOKUP($B1258,'Email Marketing Raw Data'!$C:$O,4,0)),"")</f>
        <v/>
      </c>
      <c r="H1258" s="55" t="str">
        <f>IFERROR(IF(OR($B1258="",$B1258="(blank)"),"",VLOOKUP($B1258,'Email Marketing Raw Data'!$C:$O,5,0)),"")</f>
        <v/>
      </c>
      <c r="I1258" s="55" t="str">
        <f>IFERROR(IF($G1258="","",VLOOKUP('Dashboard And Emails Automate'!$G1258,Database!$H:$N,3,0)),"")</f>
        <v/>
      </c>
      <c r="J1258" s="55" t="str">
        <f>IFERROR(IF($G1258="","",VLOOKUP('Dashboard And Emails Automate'!$G1258,Database!$H:$N,4,0)),"")</f>
        <v/>
      </c>
      <c r="K1258" s="55" t="str">
        <f>IFERROR(IF($G1258="","",VLOOKUP('Dashboard And Emails Automate'!$G1258,Database!$H:$N,5,0)),"")</f>
        <v/>
      </c>
      <c r="L1258" s="55" t="str">
        <f>IFERROR(IF($G1258="","",VLOOKUP('Dashboard And Emails Automate'!$G1258,Database!$H:$N,6,0)),"")</f>
        <v/>
      </c>
      <c r="M1258" s="55" t="str">
        <f>IFERROR(IF($G1258="","",VLOOKUP('Dashboard And Emails Automate'!$G1258,Database!$H:$N,7,0)),"")</f>
        <v/>
      </c>
      <c r="N1258" s="55" t="str">
        <f>IFERROR(IF(OR($B1258="",$B1258="(blank)"),"",VLOOKUP($B1258,'Email Marketing Raw Data'!$C:$O,6,0)),"")</f>
        <v/>
      </c>
      <c r="O1258" s="55" t="str">
        <f>IFERROR(IF(OR($B1258="",$B1258="(blank)"),"",VLOOKUP($B1258,'Email Marketing Raw Data'!$C:$O,7,0)),"")</f>
        <v/>
      </c>
      <c r="P1258" s="55" t="str">
        <f>IFERROR(IF(OR($B1258="",$B1258="(blank)"),"",VLOOKUP($B1258,'Email Marketing Raw Data'!$C:$O,8,0)),"")</f>
        <v/>
      </c>
      <c r="Q1258" s="62" t="str">
        <f>IFERROR(IF(OR($B1258="",$B1258="(blank)"),"",VLOOKUP($B1258,'Email Marketing Raw Data'!$C:$O,9,0)),"")</f>
        <v/>
      </c>
    </row>
    <row r="1259" spans="4:17" ht="12.75" customHeight="1" x14ac:dyDescent="0.2">
      <c r="D1259" s="58" t="str">
        <f>IFERROR(IF(F1259&lt;&gt;"pending","",IF(OR($B1259="",$B1259="(blank)"),"",VLOOKUP($B1259,'Email Marketing Raw Data'!$C:$O,10,0))),"")</f>
        <v/>
      </c>
      <c r="E1259" s="59" t="str">
        <f>IFERROR(IF(F1259&lt;&gt;"pending","",IF(OR($B1259="",$B1259="(blank)"),"",VLOOKUP($B1259,'Email Marketing Raw Data'!$C:$O,11,0))),"")</f>
        <v/>
      </c>
      <c r="F1259" s="54" t="str">
        <f>IFERROR(IF(OR($B1259="",$B1259="(blank)"),"",VLOOKUP($B1259,'Email Marketing Raw Data'!$C:$O,13,0)),"")</f>
        <v/>
      </c>
      <c r="G1259" s="55" t="str">
        <f>IFERROR(IF(OR($B1259="",$B1259="(blank)"),"",VLOOKUP($B1259,'Email Marketing Raw Data'!$C:$O,4,0)),"")</f>
        <v/>
      </c>
      <c r="H1259" s="55" t="str">
        <f>IFERROR(IF(OR($B1259="",$B1259="(blank)"),"",VLOOKUP($B1259,'Email Marketing Raw Data'!$C:$O,5,0)),"")</f>
        <v/>
      </c>
      <c r="I1259" s="55" t="str">
        <f>IFERROR(IF($G1259="","",VLOOKUP('Dashboard And Emails Automate'!$G1259,Database!$H:$N,3,0)),"")</f>
        <v/>
      </c>
      <c r="J1259" s="55" t="str">
        <f>IFERROR(IF($G1259="","",VLOOKUP('Dashboard And Emails Automate'!$G1259,Database!$H:$N,4,0)),"")</f>
        <v/>
      </c>
      <c r="K1259" s="55" t="str">
        <f>IFERROR(IF($G1259="","",VLOOKUP('Dashboard And Emails Automate'!$G1259,Database!$H:$N,5,0)),"")</f>
        <v/>
      </c>
      <c r="L1259" s="55" t="str">
        <f>IFERROR(IF($G1259="","",VLOOKUP('Dashboard And Emails Automate'!$G1259,Database!$H:$N,6,0)),"")</f>
        <v/>
      </c>
      <c r="M1259" s="55" t="str">
        <f>IFERROR(IF($G1259="","",VLOOKUP('Dashboard And Emails Automate'!$G1259,Database!$H:$N,7,0)),"")</f>
        <v/>
      </c>
      <c r="N1259" s="55" t="str">
        <f>IFERROR(IF(OR($B1259="",$B1259="(blank)"),"",VLOOKUP($B1259,'Email Marketing Raw Data'!$C:$O,6,0)),"")</f>
        <v/>
      </c>
      <c r="O1259" s="55" t="str">
        <f>IFERROR(IF(OR($B1259="",$B1259="(blank)"),"",VLOOKUP($B1259,'Email Marketing Raw Data'!$C:$O,7,0)),"")</f>
        <v/>
      </c>
      <c r="P1259" s="55" t="str">
        <f>IFERROR(IF(OR($B1259="",$B1259="(blank)"),"",VLOOKUP($B1259,'Email Marketing Raw Data'!$C:$O,8,0)),"")</f>
        <v/>
      </c>
      <c r="Q1259" s="62" t="str">
        <f>IFERROR(IF(OR($B1259="",$B1259="(blank)"),"",VLOOKUP($B1259,'Email Marketing Raw Data'!$C:$O,9,0)),"")</f>
        <v/>
      </c>
    </row>
    <row r="1260" spans="4:17" ht="12.75" customHeight="1" x14ac:dyDescent="0.2">
      <c r="D1260" s="58" t="str">
        <f>IFERROR(IF(F1260&lt;&gt;"pending","",IF(OR($B1260="",$B1260="(blank)"),"",VLOOKUP($B1260,'Email Marketing Raw Data'!$C:$O,10,0))),"")</f>
        <v/>
      </c>
      <c r="E1260" s="59" t="str">
        <f>IFERROR(IF(F1260&lt;&gt;"pending","",IF(OR($B1260="",$B1260="(blank)"),"",VLOOKUP($B1260,'Email Marketing Raw Data'!$C:$O,11,0))),"")</f>
        <v/>
      </c>
      <c r="F1260" s="54" t="str">
        <f>IFERROR(IF(OR($B1260="",$B1260="(blank)"),"",VLOOKUP($B1260,'Email Marketing Raw Data'!$C:$O,13,0)),"")</f>
        <v/>
      </c>
      <c r="G1260" s="55" t="str">
        <f>IFERROR(IF(OR($B1260="",$B1260="(blank)"),"",VLOOKUP($B1260,'Email Marketing Raw Data'!$C:$O,4,0)),"")</f>
        <v/>
      </c>
      <c r="H1260" s="55" t="str">
        <f>IFERROR(IF(OR($B1260="",$B1260="(blank)"),"",VLOOKUP($B1260,'Email Marketing Raw Data'!$C:$O,5,0)),"")</f>
        <v/>
      </c>
      <c r="I1260" s="55" t="str">
        <f>IFERROR(IF($G1260="","",VLOOKUP('Dashboard And Emails Automate'!$G1260,Database!$H:$N,3,0)),"")</f>
        <v/>
      </c>
      <c r="J1260" s="55" t="str">
        <f>IFERROR(IF($G1260="","",VLOOKUP('Dashboard And Emails Automate'!$G1260,Database!$H:$N,4,0)),"")</f>
        <v/>
      </c>
      <c r="K1260" s="55" t="str">
        <f>IFERROR(IF($G1260="","",VLOOKUP('Dashboard And Emails Automate'!$G1260,Database!$H:$N,5,0)),"")</f>
        <v/>
      </c>
      <c r="L1260" s="55" t="str">
        <f>IFERROR(IF($G1260="","",VLOOKUP('Dashboard And Emails Automate'!$G1260,Database!$H:$N,6,0)),"")</f>
        <v/>
      </c>
      <c r="M1260" s="55" t="str">
        <f>IFERROR(IF($G1260="","",VLOOKUP('Dashboard And Emails Automate'!$G1260,Database!$H:$N,7,0)),"")</f>
        <v/>
      </c>
      <c r="N1260" s="55" t="str">
        <f>IFERROR(IF(OR($B1260="",$B1260="(blank)"),"",VLOOKUP($B1260,'Email Marketing Raw Data'!$C:$O,6,0)),"")</f>
        <v/>
      </c>
      <c r="O1260" s="55" t="str">
        <f>IFERROR(IF(OR($B1260="",$B1260="(blank)"),"",VLOOKUP($B1260,'Email Marketing Raw Data'!$C:$O,7,0)),"")</f>
        <v/>
      </c>
      <c r="P1260" s="55" t="str">
        <f>IFERROR(IF(OR($B1260="",$B1260="(blank)"),"",VLOOKUP($B1260,'Email Marketing Raw Data'!$C:$O,8,0)),"")</f>
        <v/>
      </c>
      <c r="Q1260" s="62" t="str">
        <f>IFERROR(IF(OR($B1260="",$B1260="(blank)"),"",VLOOKUP($B1260,'Email Marketing Raw Data'!$C:$O,9,0)),"")</f>
        <v/>
      </c>
    </row>
    <row r="1261" spans="4:17" ht="12.75" customHeight="1" x14ac:dyDescent="0.2">
      <c r="D1261" s="58" t="str">
        <f>IFERROR(IF(F1261&lt;&gt;"pending","",IF(OR($B1261="",$B1261="(blank)"),"",VLOOKUP($B1261,'Email Marketing Raw Data'!$C:$O,10,0))),"")</f>
        <v/>
      </c>
      <c r="E1261" s="59" t="str">
        <f>IFERROR(IF(F1261&lt;&gt;"pending","",IF(OR($B1261="",$B1261="(blank)"),"",VLOOKUP($B1261,'Email Marketing Raw Data'!$C:$O,11,0))),"")</f>
        <v/>
      </c>
      <c r="F1261" s="54" t="str">
        <f>IFERROR(IF(OR($B1261="",$B1261="(blank)"),"",VLOOKUP($B1261,'Email Marketing Raw Data'!$C:$O,13,0)),"")</f>
        <v/>
      </c>
      <c r="G1261" s="55" t="str">
        <f>IFERROR(IF(OR($B1261="",$B1261="(blank)"),"",VLOOKUP($B1261,'Email Marketing Raw Data'!$C:$O,4,0)),"")</f>
        <v/>
      </c>
      <c r="H1261" s="55" t="str">
        <f>IFERROR(IF(OR($B1261="",$B1261="(blank)"),"",VLOOKUP($B1261,'Email Marketing Raw Data'!$C:$O,5,0)),"")</f>
        <v/>
      </c>
      <c r="I1261" s="55" t="str">
        <f>IFERROR(IF($G1261="","",VLOOKUP('Dashboard And Emails Automate'!$G1261,Database!$H:$N,3,0)),"")</f>
        <v/>
      </c>
      <c r="J1261" s="55" t="str">
        <f>IFERROR(IF($G1261="","",VLOOKUP('Dashboard And Emails Automate'!$G1261,Database!$H:$N,4,0)),"")</f>
        <v/>
      </c>
      <c r="K1261" s="55" t="str">
        <f>IFERROR(IF($G1261="","",VLOOKUP('Dashboard And Emails Automate'!$G1261,Database!$H:$N,5,0)),"")</f>
        <v/>
      </c>
      <c r="L1261" s="55" t="str">
        <f>IFERROR(IF($G1261="","",VLOOKUP('Dashboard And Emails Automate'!$G1261,Database!$H:$N,6,0)),"")</f>
        <v/>
      </c>
      <c r="M1261" s="55" t="str">
        <f>IFERROR(IF($G1261="","",VLOOKUP('Dashboard And Emails Automate'!$G1261,Database!$H:$N,7,0)),"")</f>
        <v/>
      </c>
      <c r="N1261" s="55" t="str">
        <f>IFERROR(IF(OR($B1261="",$B1261="(blank)"),"",VLOOKUP($B1261,'Email Marketing Raw Data'!$C:$O,6,0)),"")</f>
        <v/>
      </c>
      <c r="O1261" s="55" t="str">
        <f>IFERROR(IF(OR($B1261="",$B1261="(blank)"),"",VLOOKUP($B1261,'Email Marketing Raw Data'!$C:$O,7,0)),"")</f>
        <v/>
      </c>
      <c r="P1261" s="55" t="str">
        <f>IFERROR(IF(OR($B1261="",$B1261="(blank)"),"",VLOOKUP($B1261,'Email Marketing Raw Data'!$C:$O,8,0)),"")</f>
        <v/>
      </c>
      <c r="Q1261" s="62" t="str">
        <f>IFERROR(IF(OR($B1261="",$B1261="(blank)"),"",VLOOKUP($B1261,'Email Marketing Raw Data'!$C:$O,9,0)),"")</f>
        <v/>
      </c>
    </row>
    <row r="1262" spans="4:17" ht="12.75" customHeight="1" x14ac:dyDescent="0.2">
      <c r="D1262" s="58" t="str">
        <f>IFERROR(IF(F1262&lt;&gt;"pending","",IF(OR($B1262="",$B1262="(blank)"),"",VLOOKUP($B1262,'Email Marketing Raw Data'!$C:$O,10,0))),"")</f>
        <v/>
      </c>
      <c r="E1262" s="59" t="str">
        <f>IFERROR(IF(F1262&lt;&gt;"pending","",IF(OR($B1262="",$B1262="(blank)"),"",VLOOKUP($B1262,'Email Marketing Raw Data'!$C:$O,11,0))),"")</f>
        <v/>
      </c>
      <c r="F1262" s="54" t="str">
        <f>IFERROR(IF(OR($B1262="",$B1262="(blank)"),"",VLOOKUP($B1262,'Email Marketing Raw Data'!$C:$O,13,0)),"")</f>
        <v/>
      </c>
      <c r="G1262" s="55" t="str">
        <f>IFERROR(IF(OR($B1262="",$B1262="(blank)"),"",VLOOKUP($B1262,'Email Marketing Raw Data'!$C:$O,4,0)),"")</f>
        <v/>
      </c>
      <c r="H1262" s="55" t="str">
        <f>IFERROR(IF(OR($B1262="",$B1262="(blank)"),"",VLOOKUP($B1262,'Email Marketing Raw Data'!$C:$O,5,0)),"")</f>
        <v/>
      </c>
      <c r="I1262" s="55" t="str">
        <f>IFERROR(IF($G1262="","",VLOOKUP('Dashboard And Emails Automate'!$G1262,Database!$H:$N,3,0)),"")</f>
        <v/>
      </c>
      <c r="J1262" s="55" t="str">
        <f>IFERROR(IF($G1262="","",VLOOKUP('Dashboard And Emails Automate'!$G1262,Database!$H:$N,4,0)),"")</f>
        <v/>
      </c>
      <c r="K1262" s="55" t="str">
        <f>IFERROR(IF($G1262="","",VLOOKUP('Dashboard And Emails Automate'!$G1262,Database!$H:$N,5,0)),"")</f>
        <v/>
      </c>
      <c r="L1262" s="55" t="str">
        <f>IFERROR(IF($G1262="","",VLOOKUP('Dashboard And Emails Automate'!$G1262,Database!$H:$N,6,0)),"")</f>
        <v/>
      </c>
      <c r="M1262" s="55" t="str">
        <f>IFERROR(IF($G1262="","",VLOOKUP('Dashboard And Emails Automate'!$G1262,Database!$H:$N,7,0)),"")</f>
        <v/>
      </c>
      <c r="N1262" s="55" t="str">
        <f>IFERROR(IF(OR($B1262="",$B1262="(blank)"),"",VLOOKUP($B1262,'Email Marketing Raw Data'!$C:$O,6,0)),"")</f>
        <v/>
      </c>
      <c r="O1262" s="55" t="str">
        <f>IFERROR(IF(OR($B1262="",$B1262="(blank)"),"",VLOOKUP($B1262,'Email Marketing Raw Data'!$C:$O,7,0)),"")</f>
        <v/>
      </c>
      <c r="P1262" s="55" t="str">
        <f>IFERROR(IF(OR($B1262="",$B1262="(blank)"),"",VLOOKUP($B1262,'Email Marketing Raw Data'!$C:$O,8,0)),"")</f>
        <v/>
      </c>
      <c r="Q1262" s="62" t="str">
        <f>IFERROR(IF(OR($B1262="",$B1262="(blank)"),"",VLOOKUP($B1262,'Email Marketing Raw Data'!$C:$O,9,0)),"")</f>
        <v/>
      </c>
    </row>
    <row r="1263" spans="4:17" ht="12.75" customHeight="1" x14ac:dyDescent="0.2">
      <c r="D1263" s="58" t="str">
        <f>IFERROR(IF(F1263&lt;&gt;"pending","",IF(OR($B1263="",$B1263="(blank)"),"",VLOOKUP($B1263,'Email Marketing Raw Data'!$C:$O,10,0))),"")</f>
        <v/>
      </c>
      <c r="E1263" s="59" t="str">
        <f>IFERROR(IF(F1263&lt;&gt;"pending","",IF(OR($B1263="",$B1263="(blank)"),"",VLOOKUP($B1263,'Email Marketing Raw Data'!$C:$O,11,0))),"")</f>
        <v/>
      </c>
      <c r="F1263" s="54" t="str">
        <f>IFERROR(IF(OR($B1263="",$B1263="(blank)"),"",VLOOKUP($B1263,'Email Marketing Raw Data'!$C:$O,13,0)),"")</f>
        <v/>
      </c>
      <c r="G1263" s="55" t="str">
        <f>IFERROR(IF(OR($B1263="",$B1263="(blank)"),"",VLOOKUP($B1263,'Email Marketing Raw Data'!$C:$O,4,0)),"")</f>
        <v/>
      </c>
      <c r="H1263" s="55" t="str">
        <f>IFERROR(IF(OR($B1263="",$B1263="(blank)"),"",VLOOKUP($B1263,'Email Marketing Raw Data'!$C:$O,5,0)),"")</f>
        <v/>
      </c>
      <c r="I1263" s="55" t="str">
        <f>IFERROR(IF($G1263="","",VLOOKUP('Dashboard And Emails Automate'!$G1263,Database!$H:$N,3,0)),"")</f>
        <v/>
      </c>
      <c r="J1263" s="55" t="str">
        <f>IFERROR(IF($G1263="","",VLOOKUP('Dashboard And Emails Automate'!$G1263,Database!$H:$N,4,0)),"")</f>
        <v/>
      </c>
      <c r="K1263" s="55" t="str">
        <f>IFERROR(IF($G1263="","",VLOOKUP('Dashboard And Emails Automate'!$G1263,Database!$H:$N,5,0)),"")</f>
        <v/>
      </c>
      <c r="L1263" s="55" t="str">
        <f>IFERROR(IF($G1263="","",VLOOKUP('Dashboard And Emails Automate'!$G1263,Database!$H:$N,6,0)),"")</f>
        <v/>
      </c>
      <c r="M1263" s="55" t="str">
        <f>IFERROR(IF($G1263="","",VLOOKUP('Dashboard And Emails Automate'!$G1263,Database!$H:$N,7,0)),"")</f>
        <v/>
      </c>
      <c r="N1263" s="55" t="str">
        <f>IFERROR(IF(OR($B1263="",$B1263="(blank)"),"",VLOOKUP($B1263,'Email Marketing Raw Data'!$C:$O,6,0)),"")</f>
        <v/>
      </c>
      <c r="O1263" s="55" t="str">
        <f>IFERROR(IF(OR($B1263="",$B1263="(blank)"),"",VLOOKUP($B1263,'Email Marketing Raw Data'!$C:$O,7,0)),"")</f>
        <v/>
      </c>
      <c r="P1263" s="55" t="str">
        <f>IFERROR(IF(OR($B1263="",$B1263="(blank)"),"",VLOOKUP($B1263,'Email Marketing Raw Data'!$C:$O,8,0)),"")</f>
        <v/>
      </c>
      <c r="Q1263" s="62" t="str">
        <f>IFERROR(IF(OR($B1263="",$B1263="(blank)"),"",VLOOKUP($B1263,'Email Marketing Raw Data'!$C:$O,9,0)),"")</f>
        <v/>
      </c>
    </row>
    <row r="1264" spans="4:17" ht="12.75" customHeight="1" x14ac:dyDescent="0.2">
      <c r="D1264" s="58" t="str">
        <f>IFERROR(IF(F1264&lt;&gt;"pending","",IF(OR($B1264="",$B1264="(blank)"),"",VLOOKUP($B1264,'Email Marketing Raw Data'!$C:$O,10,0))),"")</f>
        <v/>
      </c>
      <c r="E1264" s="59" t="str">
        <f>IFERROR(IF(F1264&lt;&gt;"pending","",IF(OR($B1264="",$B1264="(blank)"),"",VLOOKUP($B1264,'Email Marketing Raw Data'!$C:$O,11,0))),"")</f>
        <v/>
      </c>
      <c r="F1264" s="54" t="str">
        <f>IFERROR(IF(OR($B1264="",$B1264="(blank)"),"",VLOOKUP($B1264,'Email Marketing Raw Data'!$C:$O,13,0)),"")</f>
        <v/>
      </c>
      <c r="G1264" s="55" t="str">
        <f>IFERROR(IF(OR($B1264="",$B1264="(blank)"),"",VLOOKUP($B1264,'Email Marketing Raw Data'!$C:$O,4,0)),"")</f>
        <v/>
      </c>
      <c r="H1264" s="55" t="str">
        <f>IFERROR(IF(OR($B1264="",$B1264="(blank)"),"",VLOOKUP($B1264,'Email Marketing Raw Data'!$C:$O,5,0)),"")</f>
        <v/>
      </c>
      <c r="I1264" s="55" t="str">
        <f>IFERROR(IF($G1264="","",VLOOKUP('Dashboard And Emails Automate'!$G1264,Database!$H:$N,3,0)),"")</f>
        <v/>
      </c>
      <c r="J1264" s="55" t="str">
        <f>IFERROR(IF($G1264="","",VLOOKUP('Dashboard And Emails Automate'!$G1264,Database!$H:$N,4,0)),"")</f>
        <v/>
      </c>
      <c r="K1264" s="55" t="str">
        <f>IFERROR(IF($G1264="","",VLOOKUP('Dashboard And Emails Automate'!$G1264,Database!$H:$N,5,0)),"")</f>
        <v/>
      </c>
      <c r="L1264" s="55" t="str">
        <f>IFERROR(IF($G1264="","",VLOOKUP('Dashboard And Emails Automate'!$G1264,Database!$H:$N,6,0)),"")</f>
        <v/>
      </c>
      <c r="M1264" s="55" t="str">
        <f>IFERROR(IF($G1264="","",VLOOKUP('Dashboard And Emails Automate'!$G1264,Database!$H:$N,7,0)),"")</f>
        <v/>
      </c>
      <c r="N1264" s="55" t="str">
        <f>IFERROR(IF(OR($B1264="",$B1264="(blank)"),"",VLOOKUP($B1264,'Email Marketing Raw Data'!$C:$O,6,0)),"")</f>
        <v/>
      </c>
      <c r="O1264" s="55" t="str">
        <f>IFERROR(IF(OR($B1264="",$B1264="(blank)"),"",VLOOKUP($B1264,'Email Marketing Raw Data'!$C:$O,7,0)),"")</f>
        <v/>
      </c>
      <c r="P1264" s="55" t="str">
        <f>IFERROR(IF(OR($B1264="",$B1264="(blank)"),"",VLOOKUP($B1264,'Email Marketing Raw Data'!$C:$O,8,0)),"")</f>
        <v/>
      </c>
      <c r="Q1264" s="62" t="str">
        <f>IFERROR(IF(OR($B1264="",$B1264="(blank)"),"",VLOOKUP($B1264,'Email Marketing Raw Data'!$C:$O,9,0)),"")</f>
        <v/>
      </c>
    </row>
    <row r="1265" spans="4:17" ht="12.75" customHeight="1" x14ac:dyDescent="0.2">
      <c r="D1265" s="58" t="str">
        <f>IFERROR(IF(F1265&lt;&gt;"pending","",IF(OR($B1265="",$B1265="(blank)"),"",VLOOKUP($B1265,'Email Marketing Raw Data'!$C:$O,10,0))),"")</f>
        <v/>
      </c>
      <c r="E1265" s="59" t="str">
        <f>IFERROR(IF(F1265&lt;&gt;"pending","",IF(OR($B1265="",$B1265="(blank)"),"",VLOOKUP($B1265,'Email Marketing Raw Data'!$C:$O,11,0))),"")</f>
        <v/>
      </c>
      <c r="F1265" s="54" t="str">
        <f>IFERROR(IF(OR($B1265="",$B1265="(blank)"),"",VLOOKUP($B1265,'Email Marketing Raw Data'!$C:$O,13,0)),"")</f>
        <v/>
      </c>
      <c r="G1265" s="55" t="str">
        <f>IFERROR(IF(OR($B1265="",$B1265="(blank)"),"",VLOOKUP($B1265,'Email Marketing Raw Data'!$C:$O,4,0)),"")</f>
        <v/>
      </c>
      <c r="H1265" s="55" t="str">
        <f>IFERROR(IF(OR($B1265="",$B1265="(blank)"),"",VLOOKUP($B1265,'Email Marketing Raw Data'!$C:$O,5,0)),"")</f>
        <v/>
      </c>
      <c r="I1265" s="55" t="str">
        <f>IFERROR(IF($G1265="","",VLOOKUP('Dashboard And Emails Automate'!$G1265,Database!$H:$N,3,0)),"")</f>
        <v/>
      </c>
      <c r="J1265" s="55" t="str">
        <f>IFERROR(IF($G1265="","",VLOOKUP('Dashboard And Emails Automate'!$G1265,Database!$H:$N,4,0)),"")</f>
        <v/>
      </c>
      <c r="K1265" s="55" t="str">
        <f>IFERROR(IF($G1265="","",VLOOKUP('Dashboard And Emails Automate'!$G1265,Database!$H:$N,5,0)),"")</f>
        <v/>
      </c>
      <c r="L1265" s="55" t="str">
        <f>IFERROR(IF($G1265="","",VLOOKUP('Dashboard And Emails Automate'!$G1265,Database!$H:$N,6,0)),"")</f>
        <v/>
      </c>
      <c r="M1265" s="55" t="str">
        <f>IFERROR(IF($G1265="","",VLOOKUP('Dashboard And Emails Automate'!$G1265,Database!$H:$N,7,0)),"")</f>
        <v/>
      </c>
      <c r="N1265" s="55" t="str">
        <f>IFERROR(IF(OR($B1265="",$B1265="(blank)"),"",VLOOKUP($B1265,'Email Marketing Raw Data'!$C:$O,6,0)),"")</f>
        <v/>
      </c>
      <c r="O1265" s="55" t="str">
        <f>IFERROR(IF(OR($B1265="",$B1265="(blank)"),"",VLOOKUP($B1265,'Email Marketing Raw Data'!$C:$O,7,0)),"")</f>
        <v/>
      </c>
      <c r="P1265" s="55" t="str">
        <f>IFERROR(IF(OR($B1265="",$B1265="(blank)"),"",VLOOKUP($B1265,'Email Marketing Raw Data'!$C:$O,8,0)),"")</f>
        <v/>
      </c>
      <c r="Q1265" s="62" t="str">
        <f>IFERROR(IF(OR($B1265="",$B1265="(blank)"),"",VLOOKUP($B1265,'Email Marketing Raw Data'!$C:$O,9,0)),"")</f>
        <v/>
      </c>
    </row>
    <row r="1266" spans="4:17" ht="12.75" customHeight="1" x14ac:dyDescent="0.2">
      <c r="D1266" s="58" t="str">
        <f>IFERROR(IF(F1266&lt;&gt;"pending","",IF(OR($B1266="",$B1266="(blank)"),"",VLOOKUP($B1266,'Email Marketing Raw Data'!$C:$O,10,0))),"")</f>
        <v/>
      </c>
      <c r="E1266" s="59" t="str">
        <f>IFERROR(IF(F1266&lt;&gt;"pending","",IF(OR($B1266="",$B1266="(blank)"),"",VLOOKUP($B1266,'Email Marketing Raw Data'!$C:$O,11,0))),"")</f>
        <v/>
      </c>
      <c r="F1266" s="54" t="str">
        <f>IFERROR(IF(OR($B1266="",$B1266="(blank)"),"",VLOOKUP($B1266,'Email Marketing Raw Data'!$C:$O,13,0)),"")</f>
        <v/>
      </c>
      <c r="G1266" s="55" t="str">
        <f>IFERROR(IF(OR($B1266="",$B1266="(blank)"),"",VLOOKUP($B1266,'Email Marketing Raw Data'!$C:$O,4,0)),"")</f>
        <v/>
      </c>
      <c r="H1266" s="55" t="str">
        <f>IFERROR(IF(OR($B1266="",$B1266="(blank)"),"",VLOOKUP($B1266,'Email Marketing Raw Data'!$C:$O,5,0)),"")</f>
        <v/>
      </c>
      <c r="I1266" s="55" t="str">
        <f>IFERROR(IF($G1266="","",VLOOKUP('Dashboard And Emails Automate'!$G1266,Database!$H:$N,3,0)),"")</f>
        <v/>
      </c>
      <c r="J1266" s="55" t="str">
        <f>IFERROR(IF($G1266="","",VLOOKUP('Dashboard And Emails Automate'!$G1266,Database!$H:$N,4,0)),"")</f>
        <v/>
      </c>
      <c r="K1266" s="55" t="str">
        <f>IFERROR(IF($G1266="","",VLOOKUP('Dashboard And Emails Automate'!$G1266,Database!$H:$N,5,0)),"")</f>
        <v/>
      </c>
      <c r="L1266" s="55" t="str">
        <f>IFERROR(IF($G1266="","",VLOOKUP('Dashboard And Emails Automate'!$G1266,Database!$H:$N,6,0)),"")</f>
        <v/>
      </c>
      <c r="M1266" s="55" t="str">
        <f>IFERROR(IF($G1266="","",VLOOKUP('Dashboard And Emails Automate'!$G1266,Database!$H:$N,7,0)),"")</f>
        <v/>
      </c>
      <c r="N1266" s="55" t="str">
        <f>IFERROR(IF(OR($B1266="",$B1266="(blank)"),"",VLOOKUP($B1266,'Email Marketing Raw Data'!$C:$O,6,0)),"")</f>
        <v/>
      </c>
      <c r="O1266" s="55" t="str">
        <f>IFERROR(IF(OR($B1266="",$B1266="(blank)"),"",VLOOKUP($B1266,'Email Marketing Raw Data'!$C:$O,7,0)),"")</f>
        <v/>
      </c>
      <c r="P1266" s="55" t="str">
        <f>IFERROR(IF(OR($B1266="",$B1266="(blank)"),"",VLOOKUP($B1266,'Email Marketing Raw Data'!$C:$O,8,0)),"")</f>
        <v/>
      </c>
      <c r="Q1266" s="62" t="str">
        <f>IFERROR(IF(OR($B1266="",$B1266="(blank)"),"",VLOOKUP($B1266,'Email Marketing Raw Data'!$C:$O,9,0)),"")</f>
        <v/>
      </c>
    </row>
    <row r="1267" spans="4:17" ht="12.75" customHeight="1" x14ac:dyDescent="0.2">
      <c r="D1267" s="58" t="str">
        <f>IFERROR(IF(F1267&lt;&gt;"pending","",IF(OR($B1267="",$B1267="(blank)"),"",VLOOKUP($B1267,'Email Marketing Raw Data'!$C:$O,10,0))),"")</f>
        <v/>
      </c>
      <c r="E1267" s="59" t="str">
        <f>IFERROR(IF(F1267&lt;&gt;"pending","",IF(OR($B1267="",$B1267="(blank)"),"",VLOOKUP($B1267,'Email Marketing Raw Data'!$C:$O,11,0))),"")</f>
        <v/>
      </c>
      <c r="F1267" s="54" t="str">
        <f>IFERROR(IF(OR($B1267="",$B1267="(blank)"),"",VLOOKUP($B1267,'Email Marketing Raw Data'!$C:$O,13,0)),"")</f>
        <v/>
      </c>
      <c r="G1267" s="55" t="str">
        <f>IFERROR(IF(OR($B1267="",$B1267="(blank)"),"",VLOOKUP($B1267,'Email Marketing Raw Data'!$C:$O,4,0)),"")</f>
        <v/>
      </c>
      <c r="H1267" s="55" t="str">
        <f>IFERROR(IF(OR($B1267="",$B1267="(blank)"),"",VLOOKUP($B1267,'Email Marketing Raw Data'!$C:$O,5,0)),"")</f>
        <v/>
      </c>
      <c r="I1267" s="55" t="str">
        <f>IFERROR(IF($G1267="","",VLOOKUP('Dashboard And Emails Automate'!$G1267,Database!$H:$N,3,0)),"")</f>
        <v/>
      </c>
      <c r="J1267" s="55" t="str">
        <f>IFERROR(IF($G1267="","",VLOOKUP('Dashboard And Emails Automate'!$G1267,Database!$H:$N,4,0)),"")</f>
        <v/>
      </c>
      <c r="K1267" s="55" t="str">
        <f>IFERROR(IF($G1267="","",VLOOKUP('Dashboard And Emails Automate'!$G1267,Database!$H:$N,5,0)),"")</f>
        <v/>
      </c>
      <c r="L1267" s="55" t="str">
        <f>IFERROR(IF($G1267="","",VLOOKUP('Dashboard And Emails Automate'!$G1267,Database!$H:$N,6,0)),"")</f>
        <v/>
      </c>
      <c r="M1267" s="55" t="str">
        <f>IFERROR(IF($G1267="","",VLOOKUP('Dashboard And Emails Automate'!$G1267,Database!$H:$N,7,0)),"")</f>
        <v/>
      </c>
      <c r="N1267" s="55" t="str">
        <f>IFERROR(IF(OR($B1267="",$B1267="(blank)"),"",VLOOKUP($B1267,'Email Marketing Raw Data'!$C:$O,6,0)),"")</f>
        <v/>
      </c>
      <c r="O1267" s="55" t="str">
        <f>IFERROR(IF(OR($B1267="",$B1267="(blank)"),"",VLOOKUP($B1267,'Email Marketing Raw Data'!$C:$O,7,0)),"")</f>
        <v/>
      </c>
      <c r="P1267" s="55" t="str">
        <f>IFERROR(IF(OR($B1267="",$B1267="(blank)"),"",VLOOKUP($B1267,'Email Marketing Raw Data'!$C:$O,8,0)),"")</f>
        <v/>
      </c>
      <c r="Q1267" s="62" t="str">
        <f>IFERROR(IF(OR($B1267="",$B1267="(blank)"),"",VLOOKUP($B1267,'Email Marketing Raw Data'!$C:$O,9,0)),"")</f>
        <v/>
      </c>
    </row>
    <row r="1268" spans="4:17" ht="12.75" customHeight="1" x14ac:dyDescent="0.2">
      <c r="D1268" s="58" t="str">
        <f>IFERROR(IF(F1268&lt;&gt;"pending","",IF(OR($B1268="",$B1268="(blank)"),"",VLOOKUP($B1268,'Email Marketing Raw Data'!$C:$O,10,0))),"")</f>
        <v/>
      </c>
      <c r="E1268" s="59" t="str">
        <f>IFERROR(IF(F1268&lt;&gt;"pending","",IF(OR($B1268="",$B1268="(blank)"),"",VLOOKUP($B1268,'Email Marketing Raw Data'!$C:$O,11,0))),"")</f>
        <v/>
      </c>
      <c r="F1268" s="54" t="str">
        <f>IFERROR(IF(OR($B1268="",$B1268="(blank)"),"",VLOOKUP($B1268,'Email Marketing Raw Data'!$C:$O,13,0)),"")</f>
        <v/>
      </c>
      <c r="G1268" s="55" t="str">
        <f>IFERROR(IF(OR($B1268="",$B1268="(blank)"),"",VLOOKUP($B1268,'Email Marketing Raw Data'!$C:$O,4,0)),"")</f>
        <v/>
      </c>
      <c r="H1268" s="55" t="str">
        <f>IFERROR(IF(OR($B1268="",$B1268="(blank)"),"",VLOOKUP($B1268,'Email Marketing Raw Data'!$C:$O,5,0)),"")</f>
        <v/>
      </c>
      <c r="I1268" s="55" t="str">
        <f>IFERROR(IF($G1268="","",VLOOKUP('Dashboard And Emails Automate'!$G1268,Database!$H:$N,3,0)),"")</f>
        <v/>
      </c>
      <c r="J1268" s="55" t="str">
        <f>IFERROR(IF($G1268="","",VLOOKUP('Dashboard And Emails Automate'!$G1268,Database!$H:$N,4,0)),"")</f>
        <v/>
      </c>
      <c r="K1268" s="55" t="str">
        <f>IFERROR(IF($G1268="","",VLOOKUP('Dashboard And Emails Automate'!$G1268,Database!$H:$N,5,0)),"")</f>
        <v/>
      </c>
      <c r="L1268" s="55" t="str">
        <f>IFERROR(IF($G1268="","",VLOOKUP('Dashboard And Emails Automate'!$G1268,Database!$H:$N,6,0)),"")</f>
        <v/>
      </c>
      <c r="M1268" s="55" t="str">
        <f>IFERROR(IF($G1268="","",VLOOKUP('Dashboard And Emails Automate'!$G1268,Database!$H:$N,7,0)),"")</f>
        <v/>
      </c>
      <c r="N1268" s="55" t="str">
        <f>IFERROR(IF(OR($B1268="",$B1268="(blank)"),"",VLOOKUP($B1268,'Email Marketing Raw Data'!$C:$O,6,0)),"")</f>
        <v/>
      </c>
      <c r="O1268" s="55" t="str">
        <f>IFERROR(IF(OR($B1268="",$B1268="(blank)"),"",VLOOKUP($B1268,'Email Marketing Raw Data'!$C:$O,7,0)),"")</f>
        <v/>
      </c>
      <c r="P1268" s="55" t="str">
        <f>IFERROR(IF(OR($B1268="",$B1268="(blank)"),"",VLOOKUP($B1268,'Email Marketing Raw Data'!$C:$O,8,0)),"")</f>
        <v/>
      </c>
      <c r="Q1268" s="62" t="str">
        <f>IFERROR(IF(OR($B1268="",$B1268="(blank)"),"",VLOOKUP($B1268,'Email Marketing Raw Data'!$C:$O,9,0)),"")</f>
        <v/>
      </c>
    </row>
    <row r="1269" spans="4:17" ht="12.75" customHeight="1" x14ac:dyDescent="0.2">
      <c r="D1269" s="58" t="str">
        <f>IFERROR(IF(F1269&lt;&gt;"pending","",IF(OR($B1269="",$B1269="(blank)"),"",VLOOKUP($B1269,'Email Marketing Raw Data'!$C:$O,10,0))),"")</f>
        <v/>
      </c>
      <c r="E1269" s="59" t="str">
        <f>IFERROR(IF(F1269&lt;&gt;"pending","",IF(OR($B1269="",$B1269="(blank)"),"",VLOOKUP($B1269,'Email Marketing Raw Data'!$C:$O,11,0))),"")</f>
        <v/>
      </c>
      <c r="F1269" s="54" t="str">
        <f>IFERROR(IF(OR($B1269="",$B1269="(blank)"),"",VLOOKUP($B1269,'Email Marketing Raw Data'!$C:$O,13,0)),"")</f>
        <v/>
      </c>
      <c r="G1269" s="55" t="str">
        <f>IFERROR(IF(OR($B1269="",$B1269="(blank)"),"",VLOOKUP($B1269,'Email Marketing Raw Data'!$C:$O,4,0)),"")</f>
        <v/>
      </c>
      <c r="H1269" s="55" t="str">
        <f>IFERROR(IF(OR($B1269="",$B1269="(blank)"),"",VLOOKUP($B1269,'Email Marketing Raw Data'!$C:$O,5,0)),"")</f>
        <v/>
      </c>
      <c r="I1269" s="55" t="str">
        <f>IFERROR(IF($G1269="","",VLOOKUP('Dashboard And Emails Automate'!$G1269,Database!$H:$N,3,0)),"")</f>
        <v/>
      </c>
      <c r="J1269" s="55" t="str">
        <f>IFERROR(IF($G1269="","",VLOOKUP('Dashboard And Emails Automate'!$G1269,Database!$H:$N,4,0)),"")</f>
        <v/>
      </c>
      <c r="K1269" s="55" t="str">
        <f>IFERROR(IF($G1269="","",VLOOKUP('Dashboard And Emails Automate'!$G1269,Database!$H:$N,5,0)),"")</f>
        <v/>
      </c>
      <c r="L1269" s="55" t="str">
        <f>IFERROR(IF($G1269="","",VLOOKUP('Dashboard And Emails Automate'!$G1269,Database!$H:$N,6,0)),"")</f>
        <v/>
      </c>
      <c r="M1269" s="55" t="str">
        <f>IFERROR(IF($G1269="","",VLOOKUP('Dashboard And Emails Automate'!$G1269,Database!$H:$N,7,0)),"")</f>
        <v/>
      </c>
      <c r="N1269" s="55" t="str">
        <f>IFERROR(IF(OR($B1269="",$B1269="(blank)"),"",VLOOKUP($B1269,'Email Marketing Raw Data'!$C:$O,6,0)),"")</f>
        <v/>
      </c>
      <c r="O1269" s="55" t="str">
        <f>IFERROR(IF(OR($B1269="",$B1269="(blank)"),"",VLOOKUP($B1269,'Email Marketing Raw Data'!$C:$O,7,0)),"")</f>
        <v/>
      </c>
      <c r="P1269" s="55" t="str">
        <f>IFERROR(IF(OR($B1269="",$B1269="(blank)"),"",VLOOKUP($B1269,'Email Marketing Raw Data'!$C:$O,8,0)),"")</f>
        <v/>
      </c>
      <c r="Q1269" s="62" t="str">
        <f>IFERROR(IF(OR($B1269="",$B1269="(blank)"),"",VLOOKUP($B1269,'Email Marketing Raw Data'!$C:$O,9,0)),"")</f>
        <v/>
      </c>
    </row>
    <row r="1270" spans="4:17" ht="12.75" customHeight="1" x14ac:dyDescent="0.2">
      <c r="D1270" s="58" t="str">
        <f>IFERROR(IF(F1270&lt;&gt;"pending","",IF(OR($B1270="",$B1270="(blank)"),"",VLOOKUP($B1270,'Email Marketing Raw Data'!$C:$O,10,0))),"")</f>
        <v/>
      </c>
      <c r="E1270" s="59" t="str">
        <f>IFERROR(IF(F1270&lt;&gt;"pending","",IF(OR($B1270="",$B1270="(blank)"),"",VLOOKUP($B1270,'Email Marketing Raw Data'!$C:$O,11,0))),"")</f>
        <v/>
      </c>
      <c r="F1270" s="54" t="str">
        <f>IFERROR(IF(OR($B1270="",$B1270="(blank)"),"",VLOOKUP($B1270,'Email Marketing Raw Data'!$C:$O,13,0)),"")</f>
        <v/>
      </c>
      <c r="G1270" s="55" t="str">
        <f>IFERROR(IF(OR($B1270="",$B1270="(blank)"),"",VLOOKUP($B1270,'Email Marketing Raw Data'!$C:$O,4,0)),"")</f>
        <v/>
      </c>
      <c r="H1270" s="55" t="str">
        <f>IFERROR(IF(OR($B1270="",$B1270="(blank)"),"",VLOOKUP($B1270,'Email Marketing Raw Data'!$C:$O,5,0)),"")</f>
        <v/>
      </c>
      <c r="I1270" s="55" t="str">
        <f>IFERROR(IF($G1270="","",VLOOKUP('Dashboard And Emails Automate'!$G1270,Database!$H:$N,3,0)),"")</f>
        <v/>
      </c>
      <c r="J1270" s="55" t="str">
        <f>IFERROR(IF($G1270="","",VLOOKUP('Dashboard And Emails Automate'!$G1270,Database!$H:$N,4,0)),"")</f>
        <v/>
      </c>
      <c r="K1270" s="55" t="str">
        <f>IFERROR(IF($G1270="","",VLOOKUP('Dashboard And Emails Automate'!$G1270,Database!$H:$N,5,0)),"")</f>
        <v/>
      </c>
      <c r="L1270" s="55" t="str">
        <f>IFERROR(IF($G1270="","",VLOOKUP('Dashboard And Emails Automate'!$G1270,Database!$H:$N,6,0)),"")</f>
        <v/>
      </c>
      <c r="M1270" s="55" t="str">
        <f>IFERROR(IF($G1270="","",VLOOKUP('Dashboard And Emails Automate'!$G1270,Database!$H:$N,7,0)),"")</f>
        <v/>
      </c>
      <c r="N1270" s="55" t="str">
        <f>IFERROR(IF(OR($B1270="",$B1270="(blank)"),"",VLOOKUP($B1270,'Email Marketing Raw Data'!$C:$O,6,0)),"")</f>
        <v/>
      </c>
      <c r="O1270" s="55" t="str">
        <f>IFERROR(IF(OR($B1270="",$B1270="(blank)"),"",VLOOKUP($B1270,'Email Marketing Raw Data'!$C:$O,7,0)),"")</f>
        <v/>
      </c>
      <c r="P1270" s="55" t="str">
        <f>IFERROR(IF(OR($B1270="",$B1270="(blank)"),"",VLOOKUP($B1270,'Email Marketing Raw Data'!$C:$O,8,0)),"")</f>
        <v/>
      </c>
      <c r="Q1270" s="62" t="str">
        <f>IFERROR(IF(OR($B1270="",$B1270="(blank)"),"",VLOOKUP($B1270,'Email Marketing Raw Data'!$C:$O,9,0)),"")</f>
        <v/>
      </c>
    </row>
    <row r="1271" spans="4:17" ht="12.75" customHeight="1" x14ac:dyDescent="0.2">
      <c r="D1271" s="58" t="str">
        <f>IFERROR(IF(F1271&lt;&gt;"pending","",IF(OR($B1271="",$B1271="(blank)"),"",VLOOKUP($B1271,'Email Marketing Raw Data'!$C:$O,10,0))),"")</f>
        <v/>
      </c>
      <c r="E1271" s="59" t="str">
        <f>IFERROR(IF(F1271&lt;&gt;"pending","",IF(OR($B1271="",$B1271="(blank)"),"",VLOOKUP($B1271,'Email Marketing Raw Data'!$C:$O,11,0))),"")</f>
        <v/>
      </c>
      <c r="F1271" s="54" t="str">
        <f>IFERROR(IF(OR($B1271="",$B1271="(blank)"),"",VLOOKUP($B1271,'Email Marketing Raw Data'!$C:$O,13,0)),"")</f>
        <v/>
      </c>
      <c r="G1271" s="55" t="str">
        <f>IFERROR(IF(OR($B1271="",$B1271="(blank)"),"",VLOOKUP($B1271,'Email Marketing Raw Data'!$C:$O,4,0)),"")</f>
        <v/>
      </c>
      <c r="H1271" s="55" t="str">
        <f>IFERROR(IF(OR($B1271="",$B1271="(blank)"),"",VLOOKUP($B1271,'Email Marketing Raw Data'!$C:$O,5,0)),"")</f>
        <v/>
      </c>
      <c r="I1271" s="55" t="str">
        <f>IFERROR(IF($G1271="","",VLOOKUP('Dashboard And Emails Automate'!$G1271,Database!$H:$N,3,0)),"")</f>
        <v/>
      </c>
      <c r="J1271" s="55" t="str">
        <f>IFERROR(IF($G1271="","",VLOOKUP('Dashboard And Emails Automate'!$G1271,Database!$H:$N,4,0)),"")</f>
        <v/>
      </c>
      <c r="K1271" s="55" t="str">
        <f>IFERROR(IF($G1271="","",VLOOKUP('Dashboard And Emails Automate'!$G1271,Database!$H:$N,5,0)),"")</f>
        <v/>
      </c>
      <c r="L1271" s="55" t="str">
        <f>IFERROR(IF($G1271="","",VLOOKUP('Dashboard And Emails Automate'!$G1271,Database!$H:$N,6,0)),"")</f>
        <v/>
      </c>
      <c r="M1271" s="55" t="str">
        <f>IFERROR(IF($G1271="","",VLOOKUP('Dashboard And Emails Automate'!$G1271,Database!$H:$N,7,0)),"")</f>
        <v/>
      </c>
      <c r="N1271" s="55" t="str">
        <f>IFERROR(IF(OR($B1271="",$B1271="(blank)"),"",VLOOKUP($B1271,'Email Marketing Raw Data'!$C:$O,6,0)),"")</f>
        <v/>
      </c>
      <c r="O1271" s="55" t="str">
        <f>IFERROR(IF(OR($B1271="",$B1271="(blank)"),"",VLOOKUP($B1271,'Email Marketing Raw Data'!$C:$O,7,0)),"")</f>
        <v/>
      </c>
      <c r="P1271" s="55" t="str">
        <f>IFERROR(IF(OR($B1271="",$B1271="(blank)"),"",VLOOKUP($B1271,'Email Marketing Raw Data'!$C:$O,8,0)),"")</f>
        <v/>
      </c>
      <c r="Q1271" s="62" t="str">
        <f>IFERROR(IF(OR($B1271="",$B1271="(blank)"),"",VLOOKUP($B1271,'Email Marketing Raw Data'!$C:$O,9,0)),"")</f>
        <v/>
      </c>
    </row>
    <row r="1272" spans="4:17" ht="12.75" customHeight="1" x14ac:dyDescent="0.2">
      <c r="D1272" s="58" t="str">
        <f>IFERROR(IF(F1272&lt;&gt;"pending","",IF(OR($B1272="",$B1272="(blank)"),"",VLOOKUP($B1272,'Email Marketing Raw Data'!$C:$O,10,0))),"")</f>
        <v/>
      </c>
      <c r="E1272" s="59" t="str">
        <f>IFERROR(IF(F1272&lt;&gt;"pending","",IF(OR($B1272="",$B1272="(blank)"),"",VLOOKUP($B1272,'Email Marketing Raw Data'!$C:$O,11,0))),"")</f>
        <v/>
      </c>
      <c r="F1272" s="54" t="str">
        <f>IFERROR(IF(OR($B1272="",$B1272="(blank)"),"",VLOOKUP($B1272,'Email Marketing Raw Data'!$C:$O,13,0)),"")</f>
        <v/>
      </c>
      <c r="G1272" s="55" t="str">
        <f>IFERROR(IF(OR($B1272="",$B1272="(blank)"),"",VLOOKUP($B1272,'Email Marketing Raw Data'!$C:$O,4,0)),"")</f>
        <v/>
      </c>
      <c r="H1272" s="55" t="str">
        <f>IFERROR(IF(OR($B1272="",$B1272="(blank)"),"",VLOOKUP($B1272,'Email Marketing Raw Data'!$C:$O,5,0)),"")</f>
        <v/>
      </c>
      <c r="I1272" s="55" t="str">
        <f>IFERROR(IF($G1272="","",VLOOKUP('Dashboard And Emails Automate'!$G1272,Database!$H:$N,3,0)),"")</f>
        <v/>
      </c>
      <c r="J1272" s="55" t="str">
        <f>IFERROR(IF($G1272="","",VLOOKUP('Dashboard And Emails Automate'!$G1272,Database!$H:$N,4,0)),"")</f>
        <v/>
      </c>
      <c r="K1272" s="55" t="str">
        <f>IFERROR(IF($G1272="","",VLOOKUP('Dashboard And Emails Automate'!$G1272,Database!$H:$N,5,0)),"")</f>
        <v/>
      </c>
      <c r="L1272" s="55" t="str">
        <f>IFERROR(IF($G1272="","",VLOOKUP('Dashboard And Emails Automate'!$G1272,Database!$H:$N,6,0)),"")</f>
        <v/>
      </c>
      <c r="M1272" s="55" t="str">
        <f>IFERROR(IF($G1272="","",VLOOKUP('Dashboard And Emails Automate'!$G1272,Database!$H:$N,7,0)),"")</f>
        <v/>
      </c>
      <c r="N1272" s="55" t="str">
        <f>IFERROR(IF(OR($B1272="",$B1272="(blank)"),"",VLOOKUP($B1272,'Email Marketing Raw Data'!$C:$O,6,0)),"")</f>
        <v/>
      </c>
      <c r="O1272" s="55" t="str">
        <f>IFERROR(IF(OR($B1272="",$B1272="(blank)"),"",VLOOKUP($B1272,'Email Marketing Raw Data'!$C:$O,7,0)),"")</f>
        <v/>
      </c>
      <c r="P1272" s="55" t="str">
        <f>IFERROR(IF(OR($B1272="",$B1272="(blank)"),"",VLOOKUP($B1272,'Email Marketing Raw Data'!$C:$O,8,0)),"")</f>
        <v/>
      </c>
      <c r="Q1272" s="62" t="str">
        <f>IFERROR(IF(OR($B1272="",$B1272="(blank)"),"",VLOOKUP($B1272,'Email Marketing Raw Data'!$C:$O,9,0)),"")</f>
        <v/>
      </c>
    </row>
    <row r="1273" spans="4:17" ht="12.75" customHeight="1" x14ac:dyDescent="0.2">
      <c r="D1273" s="58" t="str">
        <f>IFERROR(IF(F1273&lt;&gt;"pending","",IF(OR($B1273="",$B1273="(blank)"),"",VLOOKUP($B1273,'Email Marketing Raw Data'!$C:$O,10,0))),"")</f>
        <v/>
      </c>
      <c r="E1273" s="59" t="str">
        <f>IFERROR(IF(F1273&lt;&gt;"pending","",IF(OR($B1273="",$B1273="(blank)"),"",VLOOKUP($B1273,'Email Marketing Raw Data'!$C:$O,11,0))),"")</f>
        <v/>
      </c>
      <c r="F1273" s="54" t="str">
        <f>IFERROR(IF(OR($B1273="",$B1273="(blank)"),"",VLOOKUP($B1273,'Email Marketing Raw Data'!$C:$O,13,0)),"")</f>
        <v/>
      </c>
      <c r="G1273" s="55" t="str">
        <f>IFERROR(IF(OR($B1273="",$B1273="(blank)"),"",VLOOKUP($B1273,'Email Marketing Raw Data'!$C:$O,4,0)),"")</f>
        <v/>
      </c>
      <c r="H1273" s="55" t="str">
        <f>IFERROR(IF(OR($B1273="",$B1273="(blank)"),"",VLOOKUP($B1273,'Email Marketing Raw Data'!$C:$O,5,0)),"")</f>
        <v/>
      </c>
      <c r="I1273" s="55" t="str">
        <f>IFERROR(IF($G1273="","",VLOOKUP('Dashboard And Emails Automate'!$G1273,Database!$H:$N,3,0)),"")</f>
        <v/>
      </c>
      <c r="J1273" s="55" t="str">
        <f>IFERROR(IF($G1273="","",VLOOKUP('Dashboard And Emails Automate'!$G1273,Database!$H:$N,4,0)),"")</f>
        <v/>
      </c>
      <c r="K1273" s="55" t="str">
        <f>IFERROR(IF($G1273="","",VLOOKUP('Dashboard And Emails Automate'!$G1273,Database!$H:$N,5,0)),"")</f>
        <v/>
      </c>
      <c r="L1273" s="55" t="str">
        <f>IFERROR(IF($G1273="","",VLOOKUP('Dashboard And Emails Automate'!$G1273,Database!$H:$N,6,0)),"")</f>
        <v/>
      </c>
      <c r="M1273" s="55" t="str">
        <f>IFERROR(IF($G1273="","",VLOOKUP('Dashboard And Emails Automate'!$G1273,Database!$H:$N,7,0)),"")</f>
        <v/>
      </c>
      <c r="N1273" s="55" t="str">
        <f>IFERROR(IF(OR($B1273="",$B1273="(blank)"),"",VLOOKUP($B1273,'Email Marketing Raw Data'!$C:$O,6,0)),"")</f>
        <v/>
      </c>
      <c r="O1273" s="55" t="str">
        <f>IFERROR(IF(OR($B1273="",$B1273="(blank)"),"",VLOOKUP($B1273,'Email Marketing Raw Data'!$C:$O,7,0)),"")</f>
        <v/>
      </c>
      <c r="P1273" s="55" t="str">
        <f>IFERROR(IF(OR($B1273="",$B1273="(blank)"),"",VLOOKUP($B1273,'Email Marketing Raw Data'!$C:$O,8,0)),"")</f>
        <v/>
      </c>
      <c r="Q1273" s="62" t="str">
        <f>IFERROR(IF(OR($B1273="",$B1273="(blank)"),"",VLOOKUP($B1273,'Email Marketing Raw Data'!$C:$O,9,0)),"")</f>
        <v/>
      </c>
    </row>
    <row r="1274" spans="4:17" ht="12.75" customHeight="1" x14ac:dyDescent="0.2">
      <c r="D1274" s="58" t="str">
        <f>IFERROR(IF(F1274&lt;&gt;"pending","",IF(OR($B1274="",$B1274="(blank)"),"",VLOOKUP($B1274,'Email Marketing Raw Data'!$C:$O,10,0))),"")</f>
        <v/>
      </c>
      <c r="E1274" s="59" t="str">
        <f>IFERROR(IF(F1274&lt;&gt;"pending","",IF(OR($B1274="",$B1274="(blank)"),"",VLOOKUP($B1274,'Email Marketing Raw Data'!$C:$O,11,0))),"")</f>
        <v/>
      </c>
      <c r="F1274" s="54" t="str">
        <f>IFERROR(IF(OR($B1274="",$B1274="(blank)"),"",VLOOKUP($B1274,'Email Marketing Raw Data'!$C:$O,13,0)),"")</f>
        <v/>
      </c>
      <c r="G1274" s="55" t="str">
        <f>IFERROR(IF(OR($B1274="",$B1274="(blank)"),"",VLOOKUP($B1274,'Email Marketing Raw Data'!$C:$O,4,0)),"")</f>
        <v/>
      </c>
      <c r="H1274" s="55" t="str">
        <f>IFERROR(IF(OR($B1274="",$B1274="(blank)"),"",VLOOKUP($B1274,'Email Marketing Raw Data'!$C:$O,5,0)),"")</f>
        <v/>
      </c>
      <c r="I1274" s="55" t="str">
        <f>IFERROR(IF($G1274="","",VLOOKUP('Dashboard And Emails Automate'!$G1274,Database!$H:$N,3,0)),"")</f>
        <v/>
      </c>
      <c r="J1274" s="55" t="str">
        <f>IFERROR(IF($G1274="","",VLOOKUP('Dashboard And Emails Automate'!$G1274,Database!$H:$N,4,0)),"")</f>
        <v/>
      </c>
      <c r="K1274" s="55" t="str">
        <f>IFERROR(IF($G1274="","",VLOOKUP('Dashboard And Emails Automate'!$G1274,Database!$H:$N,5,0)),"")</f>
        <v/>
      </c>
      <c r="L1274" s="55" t="str">
        <f>IFERROR(IF($G1274="","",VLOOKUP('Dashboard And Emails Automate'!$G1274,Database!$H:$N,6,0)),"")</f>
        <v/>
      </c>
      <c r="M1274" s="55" t="str">
        <f>IFERROR(IF($G1274="","",VLOOKUP('Dashboard And Emails Automate'!$G1274,Database!$H:$N,7,0)),"")</f>
        <v/>
      </c>
      <c r="N1274" s="55" t="str">
        <f>IFERROR(IF(OR($B1274="",$B1274="(blank)"),"",VLOOKUP($B1274,'Email Marketing Raw Data'!$C:$O,6,0)),"")</f>
        <v/>
      </c>
      <c r="O1274" s="55" t="str">
        <f>IFERROR(IF(OR($B1274="",$B1274="(blank)"),"",VLOOKUP($B1274,'Email Marketing Raw Data'!$C:$O,7,0)),"")</f>
        <v/>
      </c>
      <c r="P1274" s="55" t="str">
        <f>IFERROR(IF(OR($B1274="",$B1274="(blank)"),"",VLOOKUP($B1274,'Email Marketing Raw Data'!$C:$O,8,0)),"")</f>
        <v/>
      </c>
      <c r="Q1274" s="62" t="str">
        <f>IFERROR(IF(OR($B1274="",$B1274="(blank)"),"",VLOOKUP($B1274,'Email Marketing Raw Data'!$C:$O,9,0)),"")</f>
        <v/>
      </c>
    </row>
    <row r="1275" spans="4:17" ht="12.75" customHeight="1" x14ac:dyDescent="0.2">
      <c r="D1275" s="58" t="str">
        <f>IFERROR(IF(F1275&lt;&gt;"pending","",IF(OR($B1275="",$B1275="(blank)"),"",VLOOKUP($B1275,'Email Marketing Raw Data'!$C:$O,10,0))),"")</f>
        <v/>
      </c>
      <c r="E1275" s="59" t="str">
        <f>IFERROR(IF(F1275&lt;&gt;"pending","",IF(OR($B1275="",$B1275="(blank)"),"",VLOOKUP($B1275,'Email Marketing Raw Data'!$C:$O,11,0))),"")</f>
        <v/>
      </c>
      <c r="F1275" s="54" t="str">
        <f>IFERROR(IF(OR($B1275="",$B1275="(blank)"),"",VLOOKUP($B1275,'Email Marketing Raw Data'!$C:$O,13,0)),"")</f>
        <v/>
      </c>
      <c r="G1275" s="55" t="str">
        <f>IFERROR(IF(OR($B1275="",$B1275="(blank)"),"",VLOOKUP($B1275,'Email Marketing Raw Data'!$C:$O,4,0)),"")</f>
        <v/>
      </c>
      <c r="H1275" s="55" t="str">
        <f>IFERROR(IF(OR($B1275="",$B1275="(blank)"),"",VLOOKUP($B1275,'Email Marketing Raw Data'!$C:$O,5,0)),"")</f>
        <v/>
      </c>
      <c r="I1275" s="55" t="str">
        <f>IFERROR(IF($G1275="","",VLOOKUP('Dashboard And Emails Automate'!$G1275,Database!$H:$N,3,0)),"")</f>
        <v/>
      </c>
      <c r="J1275" s="55" t="str">
        <f>IFERROR(IF($G1275="","",VLOOKUP('Dashboard And Emails Automate'!$G1275,Database!$H:$N,4,0)),"")</f>
        <v/>
      </c>
      <c r="K1275" s="55" t="str">
        <f>IFERROR(IF($G1275="","",VLOOKUP('Dashboard And Emails Automate'!$G1275,Database!$H:$N,5,0)),"")</f>
        <v/>
      </c>
      <c r="L1275" s="55" t="str">
        <f>IFERROR(IF($G1275="","",VLOOKUP('Dashboard And Emails Automate'!$G1275,Database!$H:$N,6,0)),"")</f>
        <v/>
      </c>
      <c r="M1275" s="55" t="str">
        <f>IFERROR(IF($G1275="","",VLOOKUP('Dashboard And Emails Automate'!$G1275,Database!$H:$N,7,0)),"")</f>
        <v/>
      </c>
      <c r="N1275" s="55" t="str">
        <f>IFERROR(IF(OR($B1275="",$B1275="(blank)"),"",VLOOKUP($B1275,'Email Marketing Raw Data'!$C:$O,6,0)),"")</f>
        <v/>
      </c>
      <c r="O1275" s="55" t="str">
        <f>IFERROR(IF(OR($B1275="",$B1275="(blank)"),"",VLOOKUP($B1275,'Email Marketing Raw Data'!$C:$O,7,0)),"")</f>
        <v/>
      </c>
      <c r="P1275" s="55" t="str">
        <f>IFERROR(IF(OR($B1275="",$B1275="(blank)"),"",VLOOKUP($B1275,'Email Marketing Raw Data'!$C:$O,8,0)),"")</f>
        <v/>
      </c>
      <c r="Q1275" s="62" t="str">
        <f>IFERROR(IF(OR($B1275="",$B1275="(blank)"),"",VLOOKUP($B1275,'Email Marketing Raw Data'!$C:$O,9,0)),"")</f>
        <v/>
      </c>
    </row>
    <row r="1276" spans="4:17" ht="12.75" customHeight="1" x14ac:dyDescent="0.2">
      <c r="D1276" s="58" t="str">
        <f>IFERROR(IF(F1276&lt;&gt;"pending","",IF(OR($B1276="",$B1276="(blank)"),"",VLOOKUP($B1276,'Email Marketing Raw Data'!$C:$O,10,0))),"")</f>
        <v/>
      </c>
      <c r="E1276" s="59" t="str">
        <f>IFERROR(IF(F1276&lt;&gt;"pending","",IF(OR($B1276="",$B1276="(blank)"),"",VLOOKUP($B1276,'Email Marketing Raw Data'!$C:$O,11,0))),"")</f>
        <v/>
      </c>
      <c r="F1276" s="54" t="str">
        <f>IFERROR(IF(OR($B1276="",$B1276="(blank)"),"",VLOOKUP($B1276,'Email Marketing Raw Data'!$C:$O,13,0)),"")</f>
        <v/>
      </c>
      <c r="G1276" s="55" t="str">
        <f>IFERROR(IF(OR($B1276="",$B1276="(blank)"),"",VLOOKUP($B1276,'Email Marketing Raw Data'!$C:$O,4,0)),"")</f>
        <v/>
      </c>
      <c r="H1276" s="55" t="str">
        <f>IFERROR(IF(OR($B1276="",$B1276="(blank)"),"",VLOOKUP($B1276,'Email Marketing Raw Data'!$C:$O,5,0)),"")</f>
        <v/>
      </c>
      <c r="I1276" s="55" t="str">
        <f>IFERROR(IF($G1276="","",VLOOKUP('Dashboard And Emails Automate'!$G1276,Database!$H:$N,3,0)),"")</f>
        <v/>
      </c>
      <c r="J1276" s="55" t="str">
        <f>IFERROR(IF($G1276="","",VLOOKUP('Dashboard And Emails Automate'!$G1276,Database!$H:$N,4,0)),"")</f>
        <v/>
      </c>
      <c r="K1276" s="55" t="str">
        <f>IFERROR(IF($G1276="","",VLOOKUP('Dashboard And Emails Automate'!$G1276,Database!$H:$N,5,0)),"")</f>
        <v/>
      </c>
      <c r="L1276" s="55" t="str">
        <f>IFERROR(IF($G1276="","",VLOOKUP('Dashboard And Emails Automate'!$G1276,Database!$H:$N,6,0)),"")</f>
        <v/>
      </c>
      <c r="M1276" s="55" t="str">
        <f>IFERROR(IF($G1276="","",VLOOKUP('Dashboard And Emails Automate'!$G1276,Database!$H:$N,7,0)),"")</f>
        <v/>
      </c>
      <c r="N1276" s="55" t="str">
        <f>IFERROR(IF(OR($B1276="",$B1276="(blank)"),"",VLOOKUP($B1276,'Email Marketing Raw Data'!$C:$O,6,0)),"")</f>
        <v/>
      </c>
      <c r="O1276" s="55" t="str">
        <f>IFERROR(IF(OR($B1276="",$B1276="(blank)"),"",VLOOKUP($B1276,'Email Marketing Raw Data'!$C:$O,7,0)),"")</f>
        <v/>
      </c>
      <c r="P1276" s="55" t="str">
        <f>IFERROR(IF(OR($B1276="",$B1276="(blank)"),"",VLOOKUP($B1276,'Email Marketing Raw Data'!$C:$O,8,0)),"")</f>
        <v/>
      </c>
      <c r="Q1276" s="62" t="str">
        <f>IFERROR(IF(OR($B1276="",$B1276="(blank)"),"",VLOOKUP($B1276,'Email Marketing Raw Data'!$C:$O,9,0)),"")</f>
        <v/>
      </c>
    </row>
    <row r="1277" spans="4:17" ht="12.75" customHeight="1" x14ac:dyDescent="0.2">
      <c r="D1277" s="58" t="str">
        <f>IFERROR(IF(F1277&lt;&gt;"pending","",IF(OR($B1277="",$B1277="(blank)"),"",VLOOKUP($B1277,'Email Marketing Raw Data'!$C:$O,10,0))),"")</f>
        <v/>
      </c>
      <c r="E1277" s="59" t="str">
        <f>IFERROR(IF(F1277&lt;&gt;"pending","",IF(OR($B1277="",$B1277="(blank)"),"",VLOOKUP($B1277,'Email Marketing Raw Data'!$C:$O,11,0))),"")</f>
        <v/>
      </c>
      <c r="F1277" s="54" t="str">
        <f>IFERROR(IF(OR($B1277="",$B1277="(blank)"),"",VLOOKUP($B1277,'Email Marketing Raw Data'!$C:$O,13,0)),"")</f>
        <v/>
      </c>
      <c r="G1277" s="55" t="str">
        <f>IFERROR(IF(OR($B1277="",$B1277="(blank)"),"",VLOOKUP($B1277,'Email Marketing Raw Data'!$C:$O,4,0)),"")</f>
        <v/>
      </c>
      <c r="H1277" s="55" t="str">
        <f>IFERROR(IF(OR($B1277="",$B1277="(blank)"),"",VLOOKUP($B1277,'Email Marketing Raw Data'!$C:$O,5,0)),"")</f>
        <v/>
      </c>
      <c r="I1277" s="55" t="str">
        <f>IFERROR(IF($G1277="","",VLOOKUP('Dashboard And Emails Automate'!$G1277,Database!$H:$N,3,0)),"")</f>
        <v/>
      </c>
      <c r="J1277" s="55" t="str">
        <f>IFERROR(IF($G1277="","",VLOOKUP('Dashboard And Emails Automate'!$G1277,Database!$H:$N,4,0)),"")</f>
        <v/>
      </c>
      <c r="K1277" s="55" t="str">
        <f>IFERROR(IF($G1277="","",VLOOKUP('Dashboard And Emails Automate'!$G1277,Database!$H:$N,5,0)),"")</f>
        <v/>
      </c>
      <c r="L1277" s="55" t="str">
        <f>IFERROR(IF($G1277="","",VLOOKUP('Dashboard And Emails Automate'!$G1277,Database!$H:$N,6,0)),"")</f>
        <v/>
      </c>
      <c r="M1277" s="55" t="str">
        <f>IFERROR(IF($G1277="","",VLOOKUP('Dashboard And Emails Automate'!$G1277,Database!$H:$N,7,0)),"")</f>
        <v/>
      </c>
      <c r="N1277" s="55" t="str">
        <f>IFERROR(IF(OR($B1277="",$B1277="(blank)"),"",VLOOKUP($B1277,'Email Marketing Raw Data'!$C:$O,6,0)),"")</f>
        <v/>
      </c>
      <c r="O1277" s="55" t="str">
        <f>IFERROR(IF(OR($B1277="",$B1277="(blank)"),"",VLOOKUP($B1277,'Email Marketing Raw Data'!$C:$O,7,0)),"")</f>
        <v/>
      </c>
      <c r="P1277" s="55" t="str">
        <f>IFERROR(IF(OR($B1277="",$B1277="(blank)"),"",VLOOKUP($B1277,'Email Marketing Raw Data'!$C:$O,8,0)),"")</f>
        <v/>
      </c>
      <c r="Q1277" s="62" t="str">
        <f>IFERROR(IF(OR($B1277="",$B1277="(blank)"),"",VLOOKUP($B1277,'Email Marketing Raw Data'!$C:$O,9,0)),"")</f>
        <v/>
      </c>
    </row>
    <row r="1278" spans="4:17" ht="12.75" customHeight="1" x14ac:dyDescent="0.2">
      <c r="D1278" s="58" t="str">
        <f>IFERROR(IF(F1278&lt;&gt;"pending","",IF(OR($B1278="",$B1278="(blank)"),"",VLOOKUP($B1278,'Email Marketing Raw Data'!$C:$O,10,0))),"")</f>
        <v/>
      </c>
      <c r="E1278" s="59" t="str">
        <f>IFERROR(IF(F1278&lt;&gt;"pending","",IF(OR($B1278="",$B1278="(blank)"),"",VLOOKUP($B1278,'Email Marketing Raw Data'!$C:$O,11,0))),"")</f>
        <v/>
      </c>
      <c r="F1278" s="54" t="str">
        <f>IFERROR(IF(OR($B1278="",$B1278="(blank)"),"",VLOOKUP($B1278,'Email Marketing Raw Data'!$C:$O,13,0)),"")</f>
        <v/>
      </c>
      <c r="G1278" s="55" t="str">
        <f>IFERROR(IF(OR($B1278="",$B1278="(blank)"),"",VLOOKUP($B1278,'Email Marketing Raw Data'!$C:$O,4,0)),"")</f>
        <v/>
      </c>
      <c r="H1278" s="55" t="str">
        <f>IFERROR(IF(OR($B1278="",$B1278="(blank)"),"",VLOOKUP($B1278,'Email Marketing Raw Data'!$C:$O,5,0)),"")</f>
        <v/>
      </c>
      <c r="I1278" s="55" t="str">
        <f>IFERROR(IF($G1278="","",VLOOKUP('Dashboard And Emails Automate'!$G1278,Database!$H:$N,3,0)),"")</f>
        <v/>
      </c>
      <c r="J1278" s="55" t="str">
        <f>IFERROR(IF($G1278="","",VLOOKUP('Dashboard And Emails Automate'!$G1278,Database!$H:$N,4,0)),"")</f>
        <v/>
      </c>
      <c r="K1278" s="55" t="str">
        <f>IFERROR(IF($G1278="","",VLOOKUP('Dashboard And Emails Automate'!$G1278,Database!$H:$N,5,0)),"")</f>
        <v/>
      </c>
      <c r="L1278" s="55" t="str">
        <f>IFERROR(IF($G1278="","",VLOOKUP('Dashboard And Emails Automate'!$G1278,Database!$H:$N,6,0)),"")</f>
        <v/>
      </c>
      <c r="M1278" s="55" t="str">
        <f>IFERROR(IF($G1278="","",VLOOKUP('Dashboard And Emails Automate'!$G1278,Database!$H:$N,7,0)),"")</f>
        <v/>
      </c>
      <c r="N1278" s="55" t="str">
        <f>IFERROR(IF(OR($B1278="",$B1278="(blank)"),"",VLOOKUP($B1278,'Email Marketing Raw Data'!$C:$O,6,0)),"")</f>
        <v/>
      </c>
      <c r="O1278" s="55" t="str">
        <f>IFERROR(IF(OR($B1278="",$B1278="(blank)"),"",VLOOKUP($B1278,'Email Marketing Raw Data'!$C:$O,7,0)),"")</f>
        <v/>
      </c>
      <c r="P1278" s="55" t="str">
        <f>IFERROR(IF(OR($B1278="",$B1278="(blank)"),"",VLOOKUP($B1278,'Email Marketing Raw Data'!$C:$O,8,0)),"")</f>
        <v/>
      </c>
      <c r="Q1278" s="62" t="str">
        <f>IFERROR(IF(OR($B1278="",$B1278="(blank)"),"",VLOOKUP($B1278,'Email Marketing Raw Data'!$C:$O,9,0)),"")</f>
        <v/>
      </c>
    </row>
    <row r="1279" spans="4:17" ht="12.75" customHeight="1" x14ac:dyDescent="0.2">
      <c r="D1279" s="58" t="str">
        <f>IFERROR(IF(F1279&lt;&gt;"pending","",IF(OR($B1279="",$B1279="(blank)"),"",VLOOKUP($B1279,'Email Marketing Raw Data'!$C:$O,10,0))),"")</f>
        <v/>
      </c>
      <c r="E1279" s="59" t="str">
        <f>IFERROR(IF(F1279&lt;&gt;"pending","",IF(OR($B1279="",$B1279="(blank)"),"",VLOOKUP($B1279,'Email Marketing Raw Data'!$C:$O,11,0))),"")</f>
        <v/>
      </c>
      <c r="F1279" s="54" t="str">
        <f>IFERROR(IF(OR($B1279="",$B1279="(blank)"),"",VLOOKUP($B1279,'Email Marketing Raw Data'!$C:$O,13,0)),"")</f>
        <v/>
      </c>
      <c r="G1279" s="55" t="str">
        <f>IFERROR(IF(OR($B1279="",$B1279="(blank)"),"",VLOOKUP($B1279,'Email Marketing Raw Data'!$C:$O,4,0)),"")</f>
        <v/>
      </c>
      <c r="H1279" s="55" t="str">
        <f>IFERROR(IF(OR($B1279="",$B1279="(blank)"),"",VLOOKUP($B1279,'Email Marketing Raw Data'!$C:$O,5,0)),"")</f>
        <v/>
      </c>
      <c r="I1279" s="55" t="str">
        <f>IFERROR(IF($G1279="","",VLOOKUP('Dashboard And Emails Automate'!$G1279,Database!$H:$N,3,0)),"")</f>
        <v/>
      </c>
      <c r="J1279" s="55" t="str">
        <f>IFERROR(IF($G1279="","",VLOOKUP('Dashboard And Emails Automate'!$G1279,Database!$H:$N,4,0)),"")</f>
        <v/>
      </c>
      <c r="K1279" s="55" t="str">
        <f>IFERROR(IF($G1279="","",VLOOKUP('Dashboard And Emails Automate'!$G1279,Database!$H:$N,5,0)),"")</f>
        <v/>
      </c>
      <c r="L1279" s="55" t="str">
        <f>IFERROR(IF($G1279="","",VLOOKUP('Dashboard And Emails Automate'!$G1279,Database!$H:$N,6,0)),"")</f>
        <v/>
      </c>
      <c r="M1279" s="55" t="str">
        <f>IFERROR(IF($G1279="","",VLOOKUP('Dashboard And Emails Automate'!$G1279,Database!$H:$N,7,0)),"")</f>
        <v/>
      </c>
      <c r="N1279" s="55" t="str">
        <f>IFERROR(IF(OR($B1279="",$B1279="(blank)"),"",VLOOKUP($B1279,'Email Marketing Raw Data'!$C:$O,6,0)),"")</f>
        <v/>
      </c>
      <c r="O1279" s="55" t="str">
        <f>IFERROR(IF(OR($B1279="",$B1279="(blank)"),"",VLOOKUP($B1279,'Email Marketing Raw Data'!$C:$O,7,0)),"")</f>
        <v/>
      </c>
      <c r="P1279" s="55" t="str">
        <f>IFERROR(IF(OR($B1279="",$B1279="(blank)"),"",VLOOKUP($B1279,'Email Marketing Raw Data'!$C:$O,8,0)),"")</f>
        <v/>
      </c>
      <c r="Q1279" s="62" t="str">
        <f>IFERROR(IF(OR($B1279="",$B1279="(blank)"),"",VLOOKUP($B1279,'Email Marketing Raw Data'!$C:$O,9,0)),"")</f>
        <v/>
      </c>
    </row>
    <row r="1280" spans="4:17" ht="12.75" customHeight="1" x14ac:dyDescent="0.2">
      <c r="D1280" s="58" t="str">
        <f>IFERROR(IF(F1280&lt;&gt;"pending","",IF(OR($B1280="",$B1280="(blank)"),"",VLOOKUP($B1280,'Email Marketing Raw Data'!$C:$O,10,0))),"")</f>
        <v/>
      </c>
      <c r="E1280" s="59" t="str">
        <f>IFERROR(IF(F1280&lt;&gt;"pending","",IF(OR($B1280="",$B1280="(blank)"),"",VLOOKUP($B1280,'Email Marketing Raw Data'!$C:$O,11,0))),"")</f>
        <v/>
      </c>
      <c r="F1280" s="54" t="str">
        <f>IFERROR(IF(OR($B1280="",$B1280="(blank)"),"",VLOOKUP($B1280,'Email Marketing Raw Data'!$C:$O,13,0)),"")</f>
        <v/>
      </c>
      <c r="G1280" s="55" t="str">
        <f>IFERROR(IF(OR($B1280="",$B1280="(blank)"),"",VLOOKUP($B1280,'Email Marketing Raw Data'!$C:$O,4,0)),"")</f>
        <v/>
      </c>
      <c r="H1280" s="55" t="str">
        <f>IFERROR(IF(OR($B1280="",$B1280="(blank)"),"",VLOOKUP($B1280,'Email Marketing Raw Data'!$C:$O,5,0)),"")</f>
        <v/>
      </c>
      <c r="I1280" s="55" t="str">
        <f>IFERROR(IF($G1280="","",VLOOKUP('Dashboard And Emails Automate'!$G1280,Database!$H:$N,3,0)),"")</f>
        <v/>
      </c>
      <c r="J1280" s="55" t="str">
        <f>IFERROR(IF($G1280="","",VLOOKUP('Dashboard And Emails Automate'!$G1280,Database!$H:$N,4,0)),"")</f>
        <v/>
      </c>
      <c r="K1280" s="55" t="str">
        <f>IFERROR(IF($G1280="","",VLOOKUP('Dashboard And Emails Automate'!$G1280,Database!$H:$N,5,0)),"")</f>
        <v/>
      </c>
      <c r="L1280" s="55" t="str">
        <f>IFERROR(IF($G1280="","",VLOOKUP('Dashboard And Emails Automate'!$G1280,Database!$H:$N,6,0)),"")</f>
        <v/>
      </c>
      <c r="M1280" s="55" t="str">
        <f>IFERROR(IF($G1280="","",VLOOKUP('Dashboard And Emails Automate'!$G1280,Database!$H:$N,7,0)),"")</f>
        <v/>
      </c>
      <c r="N1280" s="55" t="str">
        <f>IFERROR(IF(OR($B1280="",$B1280="(blank)"),"",VLOOKUP($B1280,'Email Marketing Raw Data'!$C:$O,6,0)),"")</f>
        <v/>
      </c>
      <c r="O1280" s="55" t="str">
        <f>IFERROR(IF(OR($B1280="",$B1280="(blank)"),"",VLOOKUP($B1280,'Email Marketing Raw Data'!$C:$O,7,0)),"")</f>
        <v/>
      </c>
      <c r="P1280" s="55" t="str">
        <f>IFERROR(IF(OR($B1280="",$B1280="(blank)"),"",VLOOKUP($B1280,'Email Marketing Raw Data'!$C:$O,8,0)),"")</f>
        <v/>
      </c>
      <c r="Q1280" s="62" t="str">
        <f>IFERROR(IF(OR($B1280="",$B1280="(blank)"),"",VLOOKUP($B1280,'Email Marketing Raw Data'!$C:$O,9,0)),"")</f>
        <v/>
      </c>
    </row>
    <row r="1281" spans="4:17" ht="12.75" customHeight="1" x14ac:dyDescent="0.2">
      <c r="D1281" s="58" t="str">
        <f>IFERROR(IF(F1281&lt;&gt;"pending","",IF(OR($B1281="",$B1281="(blank)"),"",VLOOKUP($B1281,'Email Marketing Raw Data'!$C:$O,10,0))),"")</f>
        <v/>
      </c>
      <c r="E1281" s="59" t="str">
        <f>IFERROR(IF(F1281&lt;&gt;"pending","",IF(OR($B1281="",$B1281="(blank)"),"",VLOOKUP($B1281,'Email Marketing Raw Data'!$C:$O,11,0))),"")</f>
        <v/>
      </c>
      <c r="F1281" s="54" t="str">
        <f>IFERROR(IF(OR($B1281="",$B1281="(blank)"),"",VLOOKUP($B1281,'Email Marketing Raw Data'!$C:$O,13,0)),"")</f>
        <v/>
      </c>
      <c r="G1281" s="55" t="str">
        <f>IFERROR(IF(OR($B1281="",$B1281="(blank)"),"",VLOOKUP($B1281,'Email Marketing Raw Data'!$C:$O,4,0)),"")</f>
        <v/>
      </c>
      <c r="H1281" s="55" t="str">
        <f>IFERROR(IF(OR($B1281="",$B1281="(blank)"),"",VLOOKUP($B1281,'Email Marketing Raw Data'!$C:$O,5,0)),"")</f>
        <v/>
      </c>
      <c r="I1281" s="55" t="str">
        <f>IFERROR(IF($G1281="","",VLOOKUP('Dashboard And Emails Automate'!$G1281,Database!$H:$N,3,0)),"")</f>
        <v/>
      </c>
      <c r="J1281" s="55" t="str">
        <f>IFERROR(IF($G1281="","",VLOOKUP('Dashboard And Emails Automate'!$G1281,Database!$H:$N,4,0)),"")</f>
        <v/>
      </c>
      <c r="K1281" s="55" t="str">
        <f>IFERROR(IF($G1281="","",VLOOKUP('Dashboard And Emails Automate'!$G1281,Database!$H:$N,5,0)),"")</f>
        <v/>
      </c>
      <c r="L1281" s="55" t="str">
        <f>IFERROR(IF($G1281="","",VLOOKUP('Dashboard And Emails Automate'!$G1281,Database!$H:$N,6,0)),"")</f>
        <v/>
      </c>
      <c r="M1281" s="55" t="str">
        <f>IFERROR(IF($G1281="","",VLOOKUP('Dashboard And Emails Automate'!$G1281,Database!$H:$N,7,0)),"")</f>
        <v/>
      </c>
      <c r="N1281" s="55" t="str">
        <f>IFERROR(IF(OR($B1281="",$B1281="(blank)"),"",VLOOKUP($B1281,'Email Marketing Raw Data'!$C:$O,6,0)),"")</f>
        <v/>
      </c>
      <c r="O1281" s="55" t="str">
        <f>IFERROR(IF(OR($B1281="",$B1281="(blank)"),"",VLOOKUP($B1281,'Email Marketing Raw Data'!$C:$O,7,0)),"")</f>
        <v/>
      </c>
      <c r="P1281" s="55" t="str">
        <f>IFERROR(IF(OR($B1281="",$B1281="(blank)"),"",VLOOKUP($B1281,'Email Marketing Raw Data'!$C:$O,8,0)),"")</f>
        <v/>
      </c>
      <c r="Q1281" s="62" t="str">
        <f>IFERROR(IF(OR($B1281="",$B1281="(blank)"),"",VLOOKUP($B1281,'Email Marketing Raw Data'!$C:$O,9,0)),"")</f>
        <v/>
      </c>
    </row>
    <row r="1282" spans="4:17" ht="12.75" customHeight="1" x14ac:dyDescent="0.2">
      <c r="D1282" s="58" t="str">
        <f>IFERROR(IF(F1282&lt;&gt;"pending","",IF(OR($B1282="",$B1282="(blank)"),"",VLOOKUP($B1282,'Email Marketing Raw Data'!$C:$O,10,0))),"")</f>
        <v/>
      </c>
      <c r="E1282" s="59" t="str">
        <f>IFERROR(IF(F1282&lt;&gt;"pending","",IF(OR($B1282="",$B1282="(blank)"),"",VLOOKUP($B1282,'Email Marketing Raw Data'!$C:$O,11,0))),"")</f>
        <v/>
      </c>
      <c r="F1282" s="54" t="str">
        <f>IFERROR(IF(OR($B1282="",$B1282="(blank)"),"",VLOOKUP($B1282,'Email Marketing Raw Data'!$C:$O,13,0)),"")</f>
        <v/>
      </c>
      <c r="G1282" s="55" t="str">
        <f>IFERROR(IF(OR($B1282="",$B1282="(blank)"),"",VLOOKUP($B1282,'Email Marketing Raw Data'!$C:$O,4,0)),"")</f>
        <v/>
      </c>
      <c r="H1282" s="55" t="str">
        <f>IFERROR(IF(OR($B1282="",$B1282="(blank)"),"",VLOOKUP($B1282,'Email Marketing Raw Data'!$C:$O,5,0)),"")</f>
        <v/>
      </c>
      <c r="I1282" s="55" t="str">
        <f>IFERROR(IF($G1282="","",VLOOKUP('Dashboard And Emails Automate'!$G1282,Database!$H:$N,3,0)),"")</f>
        <v/>
      </c>
      <c r="J1282" s="55" t="str">
        <f>IFERROR(IF($G1282="","",VLOOKUP('Dashboard And Emails Automate'!$G1282,Database!$H:$N,4,0)),"")</f>
        <v/>
      </c>
      <c r="K1282" s="55" t="str">
        <f>IFERROR(IF($G1282="","",VLOOKUP('Dashboard And Emails Automate'!$G1282,Database!$H:$N,5,0)),"")</f>
        <v/>
      </c>
      <c r="L1282" s="55" t="str">
        <f>IFERROR(IF($G1282="","",VLOOKUP('Dashboard And Emails Automate'!$G1282,Database!$H:$N,6,0)),"")</f>
        <v/>
      </c>
      <c r="M1282" s="55" t="str">
        <f>IFERROR(IF($G1282="","",VLOOKUP('Dashboard And Emails Automate'!$G1282,Database!$H:$N,7,0)),"")</f>
        <v/>
      </c>
      <c r="N1282" s="55" t="str">
        <f>IFERROR(IF(OR($B1282="",$B1282="(blank)"),"",VLOOKUP($B1282,'Email Marketing Raw Data'!$C:$O,6,0)),"")</f>
        <v/>
      </c>
      <c r="O1282" s="55" t="str">
        <f>IFERROR(IF(OR($B1282="",$B1282="(blank)"),"",VLOOKUP($B1282,'Email Marketing Raw Data'!$C:$O,7,0)),"")</f>
        <v/>
      </c>
      <c r="P1282" s="55" t="str">
        <f>IFERROR(IF(OR($B1282="",$B1282="(blank)"),"",VLOOKUP($B1282,'Email Marketing Raw Data'!$C:$O,8,0)),"")</f>
        <v/>
      </c>
      <c r="Q1282" s="62" t="str">
        <f>IFERROR(IF(OR($B1282="",$B1282="(blank)"),"",VLOOKUP($B1282,'Email Marketing Raw Data'!$C:$O,9,0)),"")</f>
        <v/>
      </c>
    </row>
    <row r="1283" spans="4:17" ht="12.75" customHeight="1" x14ac:dyDescent="0.2">
      <c r="D1283" s="58" t="str">
        <f>IFERROR(IF(F1283&lt;&gt;"pending","",IF(OR($B1283="",$B1283="(blank)"),"",VLOOKUP($B1283,'Email Marketing Raw Data'!$C:$O,10,0))),"")</f>
        <v/>
      </c>
      <c r="E1283" s="59" t="str">
        <f>IFERROR(IF(F1283&lt;&gt;"pending","",IF(OR($B1283="",$B1283="(blank)"),"",VLOOKUP($B1283,'Email Marketing Raw Data'!$C:$O,11,0))),"")</f>
        <v/>
      </c>
      <c r="F1283" s="54" t="str">
        <f>IFERROR(IF(OR($B1283="",$B1283="(blank)"),"",VLOOKUP($B1283,'Email Marketing Raw Data'!$C:$O,13,0)),"")</f>
        <v/>
      </c>
      <c r="G1283" s="55" t="str">
        <f>IFERROR(IF(OR($B1283="",$B1283="(blank)"),"",VLOOKUP($B1283,'Email Marketing Raw Data'!$C:$O,4,0)),"")</f>
        <v/>
      </c>
      <c r="H1283" s="55" t="str">
        <f>IFERROR(IF(OR($B1283="",$B1283="(blank)"),"",VLOOKUP($B1283,'Email Marketing Raw Data'!$C:$O,5,0)),"")</f>
        <v/>
      </c>
      <c r="I1283" s="55" t="str">
        <f>IFERROR(IF($G1283="","",VLOOKUP('Dashboard And Emails Automate'!$G1283,Database!$H:$N,3,0)),"")</f>
        <v/>
      </c>
      <c r="J1283" s="55" t="str">
        <f>IFERROR(IF($G1283="","",VLOOKUP('Dashboard And Emails Automate'!$G1283,Database!$H:$N,4,0)),"")</f>
        <v/>
      </c>
      <c r="K1283" s="55" t="str">
        <f>IFERROR(IF($G1283="","",VLOOKUP('Dashboard And Emails Automate'!$G1283,Database!$H:$N,5,0)),"")</f>
        <v/>
      </c>
      <c r="L1283" s="55" t="str">
        <f>IFERROR(IF($G1283="","",VLOOKUP('Dashboard And Emails Automate'!$G1283,Database!$H:$N,6,0)),"")</f>
        <v/>
      </c>
      <c r="M1283" s="55" t="str">
        <f>IFERROR(IF($G1283="","",VLOOKUP('Dashboard And Emails Automate'!$G1283,Database!$H:$N,7,0)),"")</f>
        <v/>
      </c>
      <c r="N1283" s="55" t="str">
        <f>IFERROR(IF(OR($B1283="",$B1283="(blank)"),"",VLOOKUP($B1283,'Email Marketing Raw Data'!$C:$O,6,0)),"")</f>
        <v/>
      </c>
      <c r="O1283" s="55" t="str">
        <f>IFERROR(IF(OR($B1283="",$B1283="(blank)"),"",VLOOKUP($B1283,'Email Marketing Raw Data'!$C:$O,7,0)),"")</f>
        <v/>
      </c>
      <c r="P1283" s="55" t="str">
        <f>IFERROR(IF(OR($B1283="",$B1283="(blank)"),"",VLOOKUP($B1283,'Email Marketing Raw Data'!$C:$O,8,0)),"")</f>
        <v/>
      </c>
      <c r="Q1283" s="62" t="str">
        <f>IFERROR(IF(OR($B1283="",$B1283="(blank)"),"",VLOOKUP($B1283,'Email Marketing Raw Data'!$C:$O,9,0)),"")</f>
        <v/>
      </c>
    </row>
    <row r="1284" spans="4:17" ht="12.75" customHeight="1" x14ac:dyDescent="0.2">
      <c r="D1284" s="58" t="str">
        <f>IFERROR(IF(F1284&lt;&gt;"pending","",IF(OR($B1284="",$B1284="(blank)"),"",VLOOKUP($B1284,'Email Marketing Raw Data'!$C:$O,10,0))),"")</f>
        <v/>
      </c>
      <c r="E1284" s="59" t="str">
        <f>IFERROR(IF(F1284&lt;&gt;"pending","",IF(OR($B1284="",$B1284="(blank)"),"",VLOOKUP($B1284,'Email Marketing Raw Data'!$C:$O,11,0))),"")</f>
        <v/>
      </c>
      <c r="F1284" s="54" t="str">
        <f>IFERROR(IF(OR($B1284="",$B1284="(blank)"),"",VLOOKUP($B1284,'Email Marketing Raw Data'!$C:$O,13,0)),"")</f>
        <v/>
      </c>
      <c r="G1284" s="55" t="str">
        <f>IFERROR(IF(OR($B1284="",$B1284="(blank)"),"",VLOOKUP($B1284,'Email Marketing Raw Data'!$C:$O,4,0)),"")</f>
        <v/>
      </c>
      <c r="H1284" s="55" t="str">
        <f>IFERROR(IF(OR($B1284="",$B1284="(blank)"),"",VLOOKUP($B1284,'Email Marketing Raw Data'!$C:$O,5,0)),"")</f>
        <v/>
      </c>
      <c r="I1284" s="55" t="str">
        <f>IFERROR(IF($G1284="","",VLOOKUP('Dashboard And Emails Automate'!$G1284,Database!$H:$N,3,0)),"")</f>
        <v/>
      </c>
      <c r="J1284" s="55" t="str">
        <f>IFERROR(IF($G1284="","",VLOOKUP('Dashboard And Emails Automate'!$G1284,Database!$H:$N,4,0)),"")</f>
        <v/>
      </c>
      <c r="K1284" s="55" t="str">
        <f>IFERROR(IF($G1284="","",VLOOKUP('Dashboard And Emails Automate'!$G1284,Database!$H:$N,5,0)),"")</f>
        <v/>
      </c>
      <c r="L1284" s="55" t="str">
        <f>IFERROR(IF($G1284="","",VLOOKUP('Dashboard And Emails Automate'!$G1284,Database!$H:$N,6,0)),"")</f>
        <v/>
      </c>
      <c r="M1284" s="55" t="str">
        <f>IFERROR(IF($G1284="","",VLOOKUP('Dashboard And Emails Automate'!$G1284,Database!$H:$N,7,0)),"")</f>
        <v/>
      </c>
      <c r="N1284" s="55" t="str">
        <f>IFERROR(IF(OR($B1284="",$B1284="(blank)"),"",VLOOKUP($B1284,'Email Marketing Raw Data'!$C:$O,6,0)),"")</f>
        <v/>
      </c>
      <c r="O1284" s="55" t="str">
        <f>IFERROR(IF(OR($B1284="",$B1284="(blank)"),"",VLOOKUP($B1284,'Email Marketing Raw Data'!$C:$O,7,0)),"")</f>
        <v/>
      </c>
      <c r="P1284" s="55" t="str">
        <f>IFERROR(IF(OR($B1284="",$B1284="(blank)"),"",VLOOKUP($B1284,'Email Marketing Raw Data'!$C:$O,8,0)),"")</f>
        <v/>
      </c>
      <c r="Q1284" s="62" t="str">
        <f>IFERROR(IF(OR($B1284="",$B1284="(blank)"),"",VLOOKUP($B1284,'Email Marketing Raw Data'!$C:$O,9,0)),"")</f>
        <v/>
      </c>
    </row>
    <row r="1285" spans="4:17" ht="12.75" customHeight="1" x14ac:dyDescent="0.2">
      <c r="D1285" s="58" t="str">
        <f>IFERROR(IF(F1285&lt;&gt;"pending","",IF(OR($B1285="",$B1285="(blank)"),"",VLOOKUP($B1285,'Email Marketing Raw Data'!$C:$O,10,0))),"")</f>
        <v/>
      </c>
      <c r="E1285" s="59" t="str">
        <f>IFERROR(IF(F1285&lt;&gt;"pending","",IF(OR($B1285="",$B1285="(blank)"),"",VLOOKUP($B1285,'Email Marketing Raw Data'!$C:$O,11,0))),"")</f>
        <v/>
      </c>
      <c r="F1285" s="54" t="str">
        <f>IFERROR(IF(OR($B1285="",$B1285="(blank)"),"",VLOOKUP($B1285,'Email Marketing Raw Data'!$C:$O,13,0)),"")</f>
        <v/>
      </c>
      <c r="G1285" s="55" t="str">
        <f>IFERROR(IF(OR($B1285="",$B1285="(blank)"),"",VLOOKUP($B1285,'Email Marketing Raw Data'!$C:$O,4,0)),"")</f>
        <v/>
      </c>
      <c r="H1285" s="55" t="str">
        <f>IFERROR(IF(OR($B1285="",$B1285="(blank)"),"",VLOOKUP($B1285,'Email Marketing Raw Data'!$C:$O,5,0)),"")</f>
        <v/>
      </c>
      <c r="I1285" s="55" t="str">
        <f>IFERROR(IF($G1285="","",VLOOKUP('Dashboard And Emails Automate'!$G1285,Database!$H:$N,3,0)),"")</f>
        <v/>
      </c>
      <c r="J1285" s="55" t="str">
        <f>IFERROR(IF($G1285="","",VLOOKUP('Dashboard And Emails Automate'!$G1285,Database!$H:$N,4,0)),"")</f>
        <v/>
      </c>
      <c r="K1285" s="55" t="str">
        <f>IFERROR(IF($G1285="","",VLOOKUP('Dashboard And Emails Automate'!$G1285,Database!$H:$N,5,0)),"")</f>
        <v/>
      </c>
      <c r="L1285" s="55" t="str">
        <f>IFERROR(IF($G1285="","",VLOOKUP('Dashboard And Emails Automate'!$G1285,Database!$H:$N,6,0)),"")</f>
        <v/>
      </c>
      <c r="M1285" s="55" t="str">
        <f>IFERROR(IF($G1285="","",VLOOKUP('Dashboard And Emails Automate'!$G1285,Database!$H:$N,7,0)),"")</f>
        <v/>
      </c>
      <c r="N1285" s="55" t="str">
        <f>IFERROR(IF(OR($B1285="",$B1285="(blank)"),"",VLOOKUP($B1285,'Email Marketing Raw Data'!$C:$O,6,0)),"")</f>
        <v/>
      </c>
      <c r="O1285" s="55" t="str">
        <f>IFERROR(IF(OR($B1285="",$B1285="(blank)"),"",VLOOKUP($B1285,'Email Marketing Raw Data'!$C:$O,7,0)),"")</f>
        <v/>
      </c>
      <c r="P1285" s="55" t="str">
        <f>IFERROR(IF(OR($B1285="",$B1285="(blank)"),"",VLOOKUP($B1285,'Email Marketing Raw Data'!$C:$O,8,0)),"")</f>
        <v/>
      </c>
      <c r="Q1285" s="62" t="str">
        <f>IFERROR(IF(OR($B1285="",$B1285="(blank)"),"",VLOOKUP($B1285,'Email Marketing Raw Data'!$C:$O,9,0)),"")</f>
        <v/>
      </c>
    </row>
    <row r="1286" spans="4:17" ht="12.75" customHeight="1" x14ac:dyDescent="0.2">
      <c r="D1286" s="58" t="str">
        <f>IFERROR(IF(F1286&lt;&gt;"pending","",IF(OR($B1286="",$B1286="(blank)"),"",VLOOKUP($B1286,'Email Marketing Raw Data'!$C:$O,10,0))),"")</f>
        <v/>
      </c>
      <c r="E1286" s="59" t="str">
        <f>IFERROR(IF(F1286&lt;&gt;"pending","",IF(OR($B1286="",$B1286="(blank)"),"",VLOOKUP($B1286,'Email Marketing Raw Data'!$C:$O,11,0))),"")</f>
        <v/>
      </c>
      <c r="F1286" s="54" t="str">
        <f>IFERROR(IF(OR($B1286="",$B1286="(blank)"),"",VLOOKUP($B1286,'Email Marketing Raw Data'!$C:$O,13,0)),"")</f>
        <v/>
      </c>
      <c r="G1286" s="55" t="str">
        <f>IFERROR(IF(OR($B1286="",$B1286="(blank)"),"",VLOOKUP($B1286,'Email Marketing Raw Data'!$C:$O,4,0)),"")</f>
        <v/>
      </c>
      <c r="H1286" s="55" t="str">
        <f>IFERROR(IF(OR($B1286="",$B1286="(blank)"),"",VLOOKUP($B1286,'Email Marketing Raw Data'!$C:$O,5,0)),"")</f>
        <v/>
      </c>
      <c r="I1286" s="55" t="str">
        <f>IFERROR(IF($G1286="","",VLOOKUP('Dashboard And Emails Automate'!$G1286,Database!$H:$N,3,0)),"")</f>
        <v/>
      </c>
      <c r="J1286" s="55" t="str">
        <f>IFERROR(IF($G1286="","",VLOOKUP('Dashboard And Emails Automate'!$G1286,Database!$H:$N,4,0)),"")</f>
        <v/>
      </c>
      <c r="K1286" s="55" t="str">
        <f>IFERROR(IF($G1286="","",VLOOKUP('Dashboard And Emails Automate'!$G1286,Database!$H:$N,5,0)),"")</f>
        <v/>
      </c>
      <c r="L1286" s="55" t="str">
        <f>IFERROR(IF($G1286="","",VLOOKUP('Dashboard And Emails Automate'!$G1286,Database!$H:$N,6,0)),"")</f>
        <v/>
      </c>
      <c r="M1286" s="55" t="str">
        <f>IFERROR(IF($G1286="","",VLOOKUP('Dashboard And Emails Automate'!$G1286,Database!$H:$N,7,0)),"")</f>
        <v/>
      </c>
      <c r="N1286" s="55" t="str">
        <f>IFERROR(IF(OR($B1286="",$B1286="(blank)"),"",VLOOKUP($B1286,'Email Marketing Raw Data'!$C:$O,6,0)),"")</f>
        <v/>
      </c>
      <c r="O1286" s="55" t="str">
        <f>IFERROR(IF(OR($B1286="",$B1286="(blank)"),"",VLOOKUP($B1286,'Email Marketing Raw Data'!$C:$O,7,0)),"")</f>
        <v/>
      </c>
      <c r="P1286" s="55" t="str">
        <f>IFERROR(IF(OR($B1286="",$B1286="(blank)"),"",VLOOKUP($B1286,'Email Marketing Raw Data'!$C:$O,8,0)),"")</f>
        <v/>
      </c>
      <c r="Q1286" s="62" t="str">
        <f>IFERROR(IF(OR($B1286="",$B1286="(blank)"),"",VLOOKUP($B1286,'Email Marketing Raw Data'!$C:$O,9,0)),"")</f>
        <v/>
      </c>
    </row>
    <row r="1287" spans="4:17" ht="12.75" customHeight="1" x14ac:dyDescent="0.2">
      <c r="D1287" s="58" t="str">
        <f>IFERROR(IF(F1287&lt;&gt;"pending","",IF(OR($B1287="",$B1287="(blank)"),"",VLOOKUP($B1287,'Email Marketing Raw Data'!$C:$O,10,0))),"")</f>
        <v/>
      </c>
      <c r="E1287" s="59" t="str">
        <f>IFERROR(IF(F1287&lt;&gt;"pending","",IF(OR($B1287="",$B1287="(blank)"),"",VLOOKUP($B1287,'Email Marketing Raw Data'!$C:$O,11,0))),"")</f>
        <v/>
      </c>
      <c r="F1287" s="54" t="str">
        <f>IFERROR(IF(OR($B1287="",$B1287="(blank)"),"",VLOOKUP($B1287,'Email Marketing Raw Data'!$C:$O,13,0)),"")</f>
        <v/>
      </c>
      <c r="G1287" s="55" t="str">
        <f>IFERROR(IF(OR($B1287="",$B1287="(blank)"),"",VLOOKUP($B1287,'Email Marketing Raw Data'!$C:$O,4,0)),"")</f>
        <v/>
      </c>
      <c r="H1287" s="55" t="str">
        <f>IFERROR(IF(OR($B1287="",$B1287="(blank)"),"",VLOOKUP($B1287,'Email Marketing Raw Data'!$C:$O,5,0)),"")</f>
        <v/>
      </c>
      <c r="I1287" s="55" t="str">
        <f>IFERROR(IF($G1287="","",VLOOKUP('Dashboard And Emails Automate'!$G1287,Database!$H:$N,3,0)),"")</f>
        <v/>
      </c>
      <c r="J1287" s="55" t="str">
        <f>IFERROR(IF($G1287="","",VLOOKUP('Dashboard And Emails Automate'!$G1287,Database!$H:$N,4,0)),"")</f>
        <v/>
      </c>
      <c r="K1287" s="55" t="str">
        <f>IFERROR(IF($G1287="","",VLOOKUP('Dashboard And Emails Automate'!$G1287,Database!$H:$N,5,0)),"")</f>
        <v/>
      </c>
      <c r="L1287" s="55" t="str">
        <f>IFERROR(IF($G1287="","",VLOOKUP('Dashboard And Emails Automate'!$G1287,Database!$H:$N,6,0)),"")</f>
        <v/>
      </c>
      <c r="M1287" s="55" t="str">
        <f>IFERROR(IF($G1287="","",VLOOKUP('Dashboard And Emails Automate'!$G1287,Database!$H:$N,7,0)),"")</f>
        <v/>
      </c>
      <c r="N1287" s="55" t="str">
        <f>IFERROR(IF(OR($B1287="",$B1287="(blank)"),"",VLOOKUP($B1287,'Email Marketing Raw Data'!$C:$O,6,0)),"")</f>
        <v/>
      </c>
      <c r="O1287" s="55" t="str">
        <f>IFERROR(IF(OR($B1287="",$B1287="(blank)"),"",VLOOKUP($B1287,'Email Marketing Raw Data'!$C:$O,7,0)),"")</f>
        <v/>
      </c>
      <c r="P1287" s="55" t="str">
        <f>IFERROR(IF(OR($B1287="",$B1287="(blank)"),"",VLOOKUP($B1287,'Email Marketing Raw Data'!$C:$O,8,0)),"")</f>
        <v/>
      </c>
      <c r="Q1287" s="62" t="str">
        <f>IFERROR(IF(OR($B1287="",$B1287="(blank)"),"",VLOOKUP($B1287,'Email Marketing Raw Data'!$C:$O,9,0)),"")</f>
        <v/>
      </c>
    </row>
    <row r="1288" spans="4:17" ht="12.75" customHeight="1" x14ac:dyDescent="0.2">
      <c r="D1288" s="58" t="str">
        <f>IFERROR(IF(F1288&lt;&gt;"pending","",IF(OR($B1288="",$B1288="(blank)"),"",VLOOKUP($B1288,'Email Marketing Raw Data'!$C:$O,10,0))),"")</f>
        <v/>
      </c>
      <c r="E1288" s="59" t="str">
        <f>IFERROR(IF(F1288&lt;&gt;"pending","",IF(OR($B1288="",$B1288="(blank)"),"",VLOOKUP($B1288,'Email Marketing Raw Data'!$C:$O,11,0))),"")</f>
        <v/>
      </c>
      <c r="F1288" s="54" t="str">
        <f>IFERROR(IF(OR($B1288="",$B1288="(blank)"),"",VLOOKUP($B1288,'Email Marketing Raw Data'!$C:$O,13,0)),"")</f>
        <v/>
      </c>
      <c r="G1288" s="55" t="str">
        <f>IFERROR(IF(OR($B1288="",$B1288="(blank)"),"",VLOOKUP($B1288,'Email Marketing Raw Data'!$C:$O,4,0)),"")</f>
        <v/>
      </c>
      <c r="H1288" s="55" t="str">
        <f>IFERROR(IF(OR($B1288="",$B1288="(blank)"),"",VLOOKUP($B1288,'Email Marketing Raw Data'!$C:$O,5,0)),"")</f>
        <v/>
      </c>
      <c r="I1288" s="55" t="str">
        <f>IFERROR(IF($G1288="","",VLOOKUP('Dashboard And Emails Automate'!$G1288,Database!$H:$N,3,0)),"")</f>
        <v/>
      </c>
      <c r="J1288" s="55" t="str">
        <f>IFERROR(IF($G1288="","",VLOOKUP('Dashboard And Emails Automate'!$G1288,Database!$H:$N,4,0)),"")</f>
        <v/>
      </c>
      <c r="K1288" s="55" t="str">
        <f>IFERROR(IF($G1288="","",VLOOKUP('Dashboard And Emails Automate'!$G1288,Database!$H:$N,5,0)),"")</f>
        <v/>
      </c>
      <c r="L1288" s="55" t="str">
        <f>IFERROR(IF($G1288="","",VLOOKUP('Dashboard And Emails Automate'!$G1288,Database!$H:$N,6,0)),"")</f>
        <v/>
      </c>
      <c r="M1288" s="55" t="str">
        <f>IFERROR(IF($G1288="","",VLOOKUP('Dashboard And Emails Automate'!$G1288,Database!$H:$N,7,0)),"")</f>
        <v/>
      </c>
      <c r="N1288" s="55" t="str">
        <f>IFERROR(IF(OR($B1288="",$B1288="(blank)"),"",VLOOKUP($B1288,'Email Marketing Raw Data'!$C:$O,6,0)),"")</f>
        <v/>
      </c>
      <c r="O1288" s="55" t="str">
        <f>IFERROR(IF(OR($B1288="",$B1288="(blank)"),"",VLOOKUP($B1288,'Email Marketing Raw Data'!$C:$O,7,0)),"")</f>
        <v/>
      </c>
      <c r="P1288" s="55" t="str">
        <f>IFERROR(IF(OR($B1288="",$B1288="(blank)"),"",VLOOKUP($B1288,'Email Marketing Raw Data'!$C:$O,8,0)),"")</f>
        <v/>
      </c>
      <c r="Q1288" s="62" t="str">
        <f>IFERROR(IF(OR($B1288="",$B1288="(blank)"),"",VLOOKUP($B1288,'Email Marketing Raw Data'!$C:$O,9,0)),"")</f>
        <v/>
      </c>
    </row>
    <row r="1289" spans="4:17" ht="12.75" customHeight="1" x14ac:dyDescent="0.2">
      <c r="D1289" s="58" t="str">
        <f>IFERROR(IF(F1289&lt;&gt;"pending","",IF(OR($B1289="",$B1289="(blank)"),"",VLOOKUP($B1289,'Email Marketing Raw Data'!$C:$O,10,0))),"")</f>
        <v/>
      </c>
      <c r="E1289" s="59" t="str">
        <f>IFERROR(IF(F1289&lt;&gt;"pending","",IF(OR($B1289="",$B1289="(blank)"),"",VLOOKUP($B1289,'Email Marketing Raw Data'!$C:$O,11,0))),"")</f>
        <v/>
      </c>
      <c r="F1289" s="54" t="str">
        <f>IFERROR(IF(OR($B1289="",$B1289="(blank)"),"",VLOOKUP($B1289,'Email Marketing Raw Data'!$C:$O,13,0)),"")</f>
        <v/>
      </c>
      <c r="G1289" s="55" t="str">
        <f>IFERROR(IF(OR($B1289="",$B1289="(blank)"),"",VLOOKUP($B1289,'Email Marketing Raw Data'!$C:$O,4,0)),"")</f>
        <v/>
      </c>
      <c r="H1289" s="55" t="str">
        <f>IFERROR(IF(OR($B1289="",$B1289="(blank)"),"",VLOOKUP($B1289,'Email Marketing Raw Data'!$C:$O,5,0)),"")</f>
        <v/>
      </c>
      <c r="I1289" s="55" t="str">
        <f>IFERROR(IF($G1289="","",VLOOKUP('Dashboard And Emails Automate'!$G1289,Database!$H:$N,3,0)),"")</f>
        <v/>
      </c>
      <c r="J1289" s="55" t="str">
        <f>IFERROR(IF($G1289="","",VLOOKUP('Dashboard And Emails Automate'!$G1289,Database!$H:$N,4,0)),"")</f>
        <v/>
      </c>
      <c r="K1289" s="55" t="str">
        <f>IFERROR(IF($G1289="","",VLOOKUP('Dashboard And Emails Automate'!$G1289,Database!$H:$N,5,0)),"")</f>
        <v/>
      </c>
      <c r="L1289" s="55" t="str">
        <f>IFERROR(IF($G1289="","",VLOOKUP('Dashboard And Emails Automate'!$G1289,Database!$H:$N,6,0)),"")</f>
        <v/>
      </c>
      <c r="M1289" s="55" t="str">
        <f>IFERROR(IF($G1289="","",VLOOKUP('Dashboard And Emails Automate'!$G1289,Database!$H:$N,7,0)),"")</f>
        <v/>
      </c>
      <c r="N1289" s="55" t="str">
        <f>IFERROR(IF(OR($B1289="",$B1289="(blank)"),"",VLOOKUP($B1289,'Email Marketing Raw Data'!$C:$O,6,0)),"")</f>
        <v/>
      </c>
      <c r="O1289" s="55" t="str">
        <f>IFERROR(IF(OR($B1289="",$B1289="(blank)"),"",VLOOKUP($B1289,'Email Marketing Raw Data'!$C:$O,7,0)),"")</f>
        <v/>
      </c>
      <c r="P1289" s="55" t="str">
        <f>IFERROR(IF(OR($B1289="",$B1289="(blank)"),"",VLOOKUP($B1289,'Email Marketing Raw Data'!$C:$O,8,0)),"")</f>
        <v/>
      </c>
      <c r="Q1289" s="62" t="str">
        <f>IFERROR(IF(OR($B1289="",$B1289="(blank)"),"",VLOOKUP($B1289,'Email Marketing Raw Data'!$C:$O,9,0)),"")</f>
        <v/>
      </c>
    </row>
    <row r="1290" spans="4:17" ht="12.75" customHeight="1" x14ac:dyDescent="0.2">
      <c r="D1290" s="58" t="str">
        <f>IFERROR(IF(F1290&lt;&gt;"pending","",IF(OR($B1290="",$B1290="(blank)"),"",VLOOKUP($B1290,'Email Marketing Raw Data'!$C:$O,10,0))),"")</f>
        <v/>
      </c>
      <c r="E1290" s="59" t="str">
        <f>IFERROR(IF(F1290&lt;&gt;"pending","",IF(OR($B1290="",$B1290="(blank)"),"",VLOOKUP($B1290,'Email Marketing Raw Data'!$C:$O,11,0))),"")</f>
        <v/>
      </c>
      <c r="F1290" s="54" t="str">
        <f>IFERROR(IF(OR($B1290="",$B1290="(blank)"),"",VLOOKUP($B1290,'Email Marketing Raw Data'!$C:$O,13,0)),"")</f>
        <v/>
      </c>
      <c r="G1290" s="55" t="str">
        <f>IFERROR(IF(OR($B1290="",$B1290="(blank)"),"",VLOOKUP($B1290,'Email Marketing Raw Data'!$C:$O,4,0)),"")</f>
        <v/>
      </c>
      <c r="H1290" s="55" t="str">
        <f>IFERROR(IF(OR($B1290="",$B1290="(blank)"),"",VLOOKUP($B1290,'Email Marketing Raw Data'!$C:$O,5,0)),"")</f>
        <v/>
      </c>
      <c r="I1290" s="55" t="str">
        <f>IFERROR(IF($G1290="","",VLOOKUP('Dashboard And Emails Automate'!$G1290,Database!$H:$N,3,0)),"")</f>
        <v/>
      </c>
      <c r="J1290" s="55" t="str">
        <f>IFERROR(IF($G1290="","",VLOOKUP('Dashboard And Emails Automate'!$G1290,Database!$H:$N,4,0)),"")</f>
        <v/>
      </c>
      <c r="K1290" s="55" t="str">
        <f>IFERROR(IF($G1290="","",VLOOKUP('Dashboard And Emails Automate'!$G1290,Database!$H:$N,5,0)),"")</f>
        <v/>
      </c>
      <c r="L1290" s="55" t="str">
        <f>IFERROR(IF($G1290="","",VLOOKUP('Dashboard And Emails Automate'!$G1290,Database!$H:$N,6,0)),"")</f>
        <v/>
      </c>
      <c r="M1290" s="55" t="str">
        <f>IFERROR(IF($G1290="","",VLOOKUP('Dashboard And Emails Automate'!$G1290,Database!$H:$N,7,0)),"")</f>
        <v/>
      </c>
      <c r="N1290" s="55" t="str">
        <f>IFERROR(IF(OR($B1290="",$B1290="(blank)"),"",VLOOKUP($B1290,'Email Marketing Raw Data'!$C:$O,6,0)),"")</f>
        <v/>
      </c>
      <c r="O1290" s="55" t="str">
        <f>IFERROR(IF(OR($B1290="",$B1290="(blank)"),"",VLOOKUP($B1290,'Email Marketing Raw Data'!$C:$O,7,0)),"")</f>
        <v/>
      </c>
      <c r="P1290" s="55" t="str">
        <f>IFERROR(IF(OR($B1290="",$B1290="(blank)"),"",VLOOKUP($B1290,'Email Marketing Raw Data'!$C:$O,8,0)),"")</f>
        <v/>
      </c>
      <c r="Q1290" s="62" t="str">
        <f>IFERROR(IF(OR($B1290="",$B1290="(blank)"),"",VLOOKUP($B1290,'Email Marketing Raw Data'!$C:$O,9,0)),"")</f>
        <v/>
      </c>
    </row>
    <row r="1291" spans="4:17" ht="12.75" customHeight="1" x14ac:dyDescent="0.2">
      <c r="D1291" s="58" t="str">
        <f>IFERROR(IF(F1291&lt;&gt;"pending","",IF(OR($B1291="",$B1291="(blank)"),"",VLOOKUP($B1291,'Email Marketing Raw Data'!$C:$O,10,0))),"")</f>
        <v/>
      </c>
      <c r="E1291" s="59" t="str">
        <f>IFERROR(IF(F1291&lt;&gt;"pending","",IF(OR($B1291="",$B1291="(blank)"),"",VLOOKUP($B1291,'Email Marketing Raw Data'!$C:$O,11,0))),"")</f>
        <v/>
      </c>
      <c r="F1291" s="54" t="str">
        <f>IFERROR(IF(OR($B1291="",$B1291="(blank)"),"",VLOOKUP($B1291,'Email Marketing Raw Data'!$C:$O,13,0)),"")</f>
        <v/>
      </c>
      <c r="G1291" s="55" t="str">
        <f>IFERROR(IF(OR($B1291="",$B1291="(blank)"),"",VLOOKUP($B1291,'Email Marketing Raw Data'!$C:$O,4,0)),"")</f>
        <v/>
      </c>
      <c r="H1291" s="55" t="str">
        <f>IFERROR(IF(OR($B1291="",$B1291="(blank)"),"",VLOOKUP($B1291,'Email Marketing Raw Data'!$C:$O,5,0)),"")</f>
        <v/>
      </c>
      <c r="I1291" s="55" t="str">
        <f>IFERROR(IF($G1291="","",VLOOKUP('Dashboard And Emails Automate'!$G1291,Database!$H:$N,3,0)),"")</f>
        <v/>
      </c>
      <c r="J1291" s="55" t="str">
        <f>IFERROR(IF($G1291="","",VLOOKUP('Dashboard And Emails Automate'!$G1291,Database!$H:$N,4,0)),"")</f>
        <v/>
      </c>
      <c r="K1291" s="55" t="str">
        <f>IFERROR(IF($G1291="","",VLOOKUP('Dashboard And Emails Automate'!$G1291,Database!$H:$N,5,0)),"")</f>
        <v/>
      </c>
      <c r="L1291" s="55" t="str">
        <f>IFERROR(IF($G1291="","",VLOOKUP('Dashboard And Emails Automate'!$G1291,Database!$H:$N,6,0)),"")</f>
        <v/>
      </c>
      <c r="M1291" s="55" t="str">
        <f>IFERROR(IF($G1291="","",VLOOKUP('Dashboard And Emails Automate'!$G1291,Database!$H:$N,7,0)),"")</f>
        <v/>
      </c>
      <c r="N1291" s="55" t="str">
        <f>IFERROR(IF(OR($B1291="",$B1291="(blank)"),"",VLOOKUP($B1291,'Email Marketing Raw Data'!$C:$O,6,0)),"")</f>
        <v/>
      </c>
      <c r="O1291" s="55" t="str">
        <f>IFERROR(IF(OR($B1291="",$B1291="(blank)"),"",VLOOKUP($B1291,'Email Marketing Raw Data'!$C:$O,7,0)),"")</f>
        <v/>
      </c>
      <c r="P1291" s="55" t="str">
        <f>IFERROR(IF(OR($B1291="",$B1291="(blank)"),"",VLOOKUP($B1291,'Email Marketing Raw Data'!$C:$O,8,0)),"")</f>
        <v/>
      </c>
      <c r="Q1291" s="62" t="str">
        <f>IFERROR(IF(OR($B1291="",$B1291="(blank)"),"",VLOOKUP($B1291,'Email Marketing Raw Data'!$C:$O,9,0)),"")</f>
        <v/>
      </c>
    </row>
    <row r="1292" spans="4:17" ht="12.75" customHeight="1" x14ac:dyDescent="0.2">
      <c r="D1292" s="58" t="str">
        <f>IFERROR(IF(F1292&lt;&gt;"pending","",IF(OR($B1292="",$B1292="(blank)"),"",VLOOKUP($B1292,'Email Marketing Raw Data'!$C:$O,10,0))),"")</f>
        <v/>
      </c>
      <c r="E1292" s="59" t="str">
        <f>IFERROR(IF(F1292&lt;&gt;"pending","",IF(OR($B1292="",$B1292="(blank)"),"",VLOOKUP($B1292,'Email Marketing Raw Data'!$C:$O,11,0))),"")</f>
        <v/>
      </c>
      <c r="F1292" s="54" t="str">
        <f>IFERROR(IF(OR($B1292="",$B1292="(blank)"),"",VLOOKUP($B1292,'Email Marketing Raw Data'!$C:$O,13,0)),"")</f>
        <v/>
      </c>
      <c r="G1292" s="55" t="str">
        <f>IFERROR(IF(OR($B1292="",$B1292="(blank)"),"",VLOOKUP($B1292,'Email Marketing Raw Data'!$C:$O,4,0)),"")</f>
        <v/>
      </c>
      <c r="H1292" s="55" t="str">
        <f>IFERROR(IF(OR($B1292="",$B1292="(blank)"),"",VLOOKUP($B1292,'Email Marketing Raw Data'!$C:$O,5,0)),"")</f>
        <v/>
      </c>
      <c r="I1292" s="55" t="str">
        <f>IFERROR(IF($G1292="","",VLOOKUP('Dashboard And Emails Automate'!$G1292,Database!$H:$N,3,0)),"")</f>
        <v/>
      </c>
      <c r="J1292" s="55" t="str">
        <f>IFERROR(IF($G1292="","",VLOOKUP('Dashboard And Emails Automate'!$G1292,Database!$H:$N,4,0)),"")</f>
        <v/>
      </c>
      <c r="K1292" s="55" t="str">
        <f>IFERROR(IF($G1292="","",VLOOKUP('Dashboard And Emails Automate'!$G1292,Database!$H:$N,5,0)),"")</f>
        <v/>
      </c>
      <c r="L1292" s="55" t="str">
        <f>IFERROR(IF($G1292="","",VLOOKUP('Dashboard And Emails Automate'!$G1292,Database!$H:$N,6,0)),"")</f>
        <v/>
      </c>
      <c r="M1292" s="55" t="str">
        <f>IFERROR(IF($G1292="","",VLOOKUP('Dashboard And Emails Automate'!$G1292,Database!$H:$N,7,0)),"")</f>
        <v/>
      </c>
      <c r="N1292" s="55" t="str">
        <f>IFERROR(IF(OR($B1292="",$B1292="(blank)"),"",VLOOKUP($B1292,'Email Marketing Raw Data'!$C:$O,6,0)),"")</f>
        <v/>
      </c>
      <c r="O1292" s="55" t="str">
        <f>IFERROR(IF(OR($B1292="",$B1292="(blank)"),"",VLOOKUP($B1292,'Email Marketing Raw Data'!$C:$O,7,0)),"")</f>
        <v/>
      </c>
      <c r="P1292" s="55" t="str">
        <f>IFERROR(IF(OR($B1292="",$B1292="(blank)"),"",VLOOKUP($B1292,'Email Marketing Raw Data'!$C:$O,8,0)),"")</f>
        <v/>
      </c>
      <c r="Q1292" s="62" t="str">
        <f>IFERROR(IF(OR($B1292="",$B1292="(blank)"),"",VLOOKUP($B1292,'Email Marketing Raw Data'!$C:$O,9,0)),"")</f>
        <v/>
      </c>
    </row>
    <row r="1293" spans="4:17" ht="12.75" customHeight="1" x14ac:dyDescent="0.2">
      <c r="D1293" s="58" t="str">
        <f>IFERROR(IF(F1293&lt;&gt;"pending","",IF(OR($B1293="",$B1293="(blank)"),"",VLOOKUP($B1293,'Email Marketing Raw Data'!$C:$O,10,0))),"")</f>
        <v/>
      </c>
      <c r="E1293" s="59" t="str">
        <f>IFERROR(IF(F1293&lt;&gt;"pending","",IF(OR($B1293="",$B1293="(blank)"),"",VLOOKUP($B1293,'Email Marketing Raw Data'!$C:$O,11,0))),"")</f>
        <v/>
      </c>
      <c r="F1293" s="54" t="str">
        <f>IFERROR(IF(OR($B1293="",$B1293="(blank)"),"",VLOOKUP($B1293,'Email Marketing Raw Data'!$C:$O,13,0)),"")</f>
        <v/>
      </c>
      <c r="G1293" s="55" t="str">
        <f>IFERROR(IF(OR($B1293="",$B1293="(blank)"),"",VLOOKUP($B1293,'Email Marketing Raw Data'!$C:$O,4,0)),"")</f>
        <v/>
      </c>
      <c r="H1293" s="55" t="str">
        <f>IFERROR(IF(OR($B1293="",$B1293="(blank)"),"",VLOOKUP($B1293,'Email Marketing Raw Data'!$C:$O,5,0)),"")</f>
        <v/>
      </c>
      <c r="I1293" s="55" t="str">
        <f>IFERROR(IF($G1293="","",VLOOKUP('Dashboard And Emails Automate'!$G1293,Database!$H:$N,3,0)),"")</f>
        <v/>
      </c>
      <c r="J1293" s="55" t="str">
        <f>IFERROR(IF($G1293="","",VLOOKUP('Dashboard And Emails Automate'!$G1293,Database!$H:$N,4,0)),"")</f>
        <v/>
      </c>
      <c r="K1293" s="55" t="str">
        <f>IFERROR(IF($G1293="","",VLOOKUP('Dashboard And Emails Automate'!$G1293,Database!$H:$N,5,0)),"")</f>
        <v/>
      </c>
      <c r="L1293" s="55" t="str">
        <f>IFERROR(IF($G1293="","",VLOOKUP('Dashboard And Emails Automate'!$G1293,Database!$H:$N,6,0)),"")</f>
        <v/>
      </c>
      <c r="M1293" s="55" t="str">
        <f>IFERROR(IF($G1293="","",VLOOKUP('Dashboard And Emails Automate'!$G1293,Database!$H:$N,7,0)),"")</f>
        <v/>
      </c>
      <c r="N1293" s="55" t="str">
        <f>IFERROR(IF(OR($B1293="",$B1293="(blank)"),"",VLOOKUP($B1293,'Email Marketing Raw Data'!$C:$O,6,0)),"")</f>
        <v/>
      </c>
      <c r="O1293" s="55" t="str">
        <f>IFERROR(IF(OR($B1293="",$B1293="(blank)"),"",VLOOKUP($B1293,'Email Marketing Raw Data'!$C:$O,7,0)),"")</f>
        <v/>
      </c>
      <c r="P1293" s="55" t="str">
        <f>IFERROR(IF(OR($B1293="",$B1293="(blank)"),"",VLOOKUP($B1293,'Email Marketing Raw Data'!$C:$O,8,0)),"")</f>
        <v/>
      </c>
      <c r="Q1293" s="62" t="str">
        <f>IFERROR(IF(OR($B1293="",$B1293="(blank)"),"",VLOOKUP($B1293,'Email Marketing Raw Data'!$C:$O,9,0)),"")</f>
        <v/>
      </c>
    </row>
    <row r="1294" spans="4:17" ht="12.75" customHeight="1" x14ac:dyDescent="0.2">
      <c r="D1294" s="58" t="str">
        <f>IFERROR(IF(F1294&lt;&gt;"pending","",IF(OR($B1294="",$B1294="(blank)"),"",VLOOKUP($B1294,'Email Marketing Raw Data'!$C:$O,10,0))),"")</f>
        <v/>
      </c>
      <c r="E1294" s="59" t="str">
        <f>IFERROR(IF(F1294&lt;&gt;"pending","",IF(OR($B1294="",$B1294="(blank)"),"",VLOOKUP($B1294,'Email Marketing Raw Data'!$C:$O,11,0))),"")</f>
        <v/>
      </c>
      <c r="F1294" s="54" t="str">
        <f>IFERROR(IF(OR($B1294="",$B1294="(blank)"),"",VLOOKUP($B1294,'Email Marketing Raw Data'!$C:$O,13,0)),"")</f>
        <v/>
      </c>
      <c r="G1294" s="55" t="str">
        <f>IFERROR(IF(OR($B1294="",$B1294="(blank)"),"",VLOOKUP($B1294,'Email Marketing Raw Data'!$C:$O,4,0)),"")</f>
        <v/>
      </c>
      <c r="H1294" s="55" t="str">
        <f>IFERROR(IF(OR($B1294="",$B1294="(blank)"),"",VLOOKUP($B1294,'Email Marketing Raw Data'!$C:$O,5,0)),"")</f>
        <v/>
      </c>
      <c r="I1294" s="55" t="str">
        <f>IFERROR(IF($G1294="","",VLOOKUP('Dashboard And Emails Automate'!$G1294,Database!$H:$N,3,0)),"")</f>
        <v/>
      </c>
      <c r="J1294" s="55" t="str">
        <f>IFERROR(IF($G1294="","",VLOOKUP('Dashboard And Emails Automate'!$G1294,Database!$H:$N,4,0)),"")</f>
        <v/>
      </c>
      <c r="K1294" s="55" t="str">
        <f>IFERROR(IF($G1294="","",VLOOKUP('Dashboard And Emails Automate'!$G1294,Database!$H:$N,5,0)),"")</f>
        <v/>
      </c>
      <c r="L1294" s="55" t="str">
        <f>IFERROR(IF($G1294="","",VLOOKUP('Dashboard And Emails Automate'!$G1294,Database!$H:$N,6,0)),"")</f>
        <v/>
      </c>
      <c r="M1294" s="55" t="str">
        <f>IFERROR(IF($G1294="","",VLOOKUP('Dashboard And Emails Automate'!$G1294,Database!$H:$N,7,0)),"")</f>
        <v/>
      </c>
      <c r="N1294" s="55" t="str">
        <f>IFERROR(IF(OR($B1294="",$B1294="(blank)"),"",VLOOKUP($B1294,'Email Marketing Raw Data'!$C:$O,6,0)),"")</f>
        <v/>
      </c>
      <c r="O1294" s="55" t="str">
        <f>IFERROR(IF(OR($B1294="",$B1294="(blank)"),"",VLOOKUP($B1294,'Email Marketing Raw Data'!$C:$O,7,0)),"")</f>
        <v/>
      </c>
      <c r="P1294" s="55" t="str">
        <f>IFERROR(IF(OR($B1294="",$B1294="(blank)"),"",VLOOKUP($B1294,'Email Marketing Raw Data'!$C:$O,8,0)),"")</f>
        <v/>
      </c>
      <c r="Q1294" s="62" t="str">
        <f>IFERROR(IF(OR($B1294="",$B1294="(blank)"),"",VLOOKUP($B1294,'Email Marketing Raw Data'!$C:$O,9,0)),"")</f>
        <v/>
      </c>
    </row>
    <row r="1295" spans="4:17" ht="12.75" customHeight="1" x14ac:dyDescent="0.2">
      <c r="D1295" s="58" t="str">
        <f>IFERROR(IF(F1295&lt;&gt;"pending","",IF(OR($B1295="",$B1295="(blank)"),"",VLOOKUP($B1295,'Email Marketing Raw Data'!$C:$O,10,0))),"")</f>
        <v/>
      </c>
      <c r="E1295" s="59" t="str">
        <f>IFERROR(IF(F1295&lt;&gt;"pending","",IF(OR($B1295="",$B1295="(blank)"),"",VLOOKUP($B1295,'Email Marketing Raw Data'!$C:$O,11,0))),"")</f>
        <v/>
      </c>
      <c r="F1295" s="54" t="str">
        <f>IFERROR(IF(OR($B1295="",$B1295="(blank)"),"",VLOOKUP($B1295,'Email Marketing Raw Data'!$C:$O,13,0)),"")</f>
        <v/>
      </c>
      <c r="G1295" s="55" t="str">
        <f>IFERROR(IF(OR($B1295="",$B1295="(blank)"),"",VLOOKUP($B1295,'Email Marketing Raw Data'!$C:$O,4,0)),"")</f>
        <v/>
      </c>
      <c r="H1295" s="55" t="str">
        <f>IFERROR(IF(OR($B1295="",$B1295="(blank)"),"",VLOOKUP($B1295,'Email Marketing Raw Data'!$C:$O,5,0)),"")</f>
        <v/>
      </c>
      <c r="I1295" s="55" t="str">
        <f>IFERROR(IF($G1295="","",VLOOKUP('Dashboard And Emails Automate'!$G1295,Database!$H:$N,3,0)),"")</f>
        <v/>
      </c>
      <c r="J1295" s="55" t="str">
        <f>IFERROR(IF($G1295="","",VLOOKUP('Dashboard And Emails Automate'!$G1295,Database!$H:$N,4,0)),"")</f>
        <v/>
      </c>
      <c r="K1295" s="55" t="str">
        <f>IFERROR(IF($G1295="","",VLOOKUP('Dashboard And Emails Automate'!$G1295,Database!$H:$N,5,0)),"")</f>
        <v/>
      </c>
      <c r="L1295" s="55" t="str">
        <f>IFERROR(IF($G1295="","",VLOOKUP('Dashboard And Emails Automate'!$G1295,Database!$H:$N,6,0)),"")</f>
        <v/>
      </c>
      <c r="M1295" s="55" t="str">
        <f>IFERROR(IF($G1295="","",VLOOKUP('Dashboard And Emails Automate'!$G1295,Database!$H:$N,7,0)),"")</f>
        <v/>
      </c>
      <c r="N1295" s="55" t="str">
        <f>IFERROR(IF(OR($B1295="",$B1295="(blank)"),"",VLOOKUP($B1295,'Email Marketing Raw Data'!$C:$O,6,0)),"")</f>
        <v/>
      </c>
      <c r="O1295" s="55" t="str">
        <f>IFERROR(IF(OR($B1295="",$B1295="(blank)"),"",VLOOKUP($B1295,'Email Marketing Raw Data'!$C:$O,7,0)),"")</f>
        <v/>
      </c>
      <c r="P1295" s="55" t="str">
        <f>IFERROR(IF(OR($B1295="",$B1295="(blank)"),"",VLOOKUP($B1295,'Email Marketing Raw Data'!$C:$O,8,0)),"")</f>
        <v/>
      </c>
      <c r="Q1295" s="62" t="str">
        <f>IFERROR(IF(OR($B1295="",$B1295="(blank)"),"",VLOOKUP($B1295,'Email Marketing Raw Data'!$C:$O,9,0)),"")</f>
        <v/>
      </c>
    </row>
    <row r="1296" spans="4:17" ht="12.75" customHeight="1" x14ac:dyDescent="0.2">
      <c r="D1296" s="58" t="str">
        <f>IFERROR(IF(F1296&lt;&gt;"pending","",IF(OR($B1296="",$B1296="(blank)"),"",VLOOKUP($B1296,'Email Marketing Raw Data'!$C:$O,10,0))),"")</f>
        <v/>
      </c>
      <c r="E1296" s="59" t="str">
        <f>IFERROR(IF(F1296&lt;&gt;"pending","",IF(OR($B1296="",$B1296="(blank)"),"",VLOOKUP($B1296,'Email Marketing Raw Data'!$C:$O,11,0))),"")</f>
        <v/>
      </c>
      <c r="F1296" s="54" t="str">
        <f>IFERROR(IF(OR($B1296="",$B1296="(blank)"),"",VLOOKUP($B1296,'Email Marketing Raw Data'!$C:$O,13,0)),"")</f>
        <v/>
      </c>
      <c r="G1296" s="55" t="str">
        <f>IFERROR(IF(OR($B1296="",$B1296="(blank)"),"",VLOOKUP($B1296,'Email Marketing Raw Data'!$C:$O,4,0)),"")</f>
        <v/>
      </c>
      <c r="H1296" s="55" t="str">
        <f>IFERROR(IF(OR($B1296="",$B1296="(blank)"),"",VLOOKUP($B1296,'Email Marketing Raw Data'!$C:$O,5,0)),"")</f>
        <v/>
      </c>
      <c r="I1296" s="55" t="str">
        <f>IFERROR(IF($G1296="","",VLOOKUP('Dashboard And Emails Automate'!$G1296,Database!$H:$N,3,0)),"")</f>
        <v/>
      </c>
      <c r="J1296" s="55" t="str">
        <f>IFERROR(IF($G1296="","",VLOOKUP('Dashboard And Emails Automate'!$G1296,Database!$H:$N,4,0)),"")</f>
        <v/>
      </c>
      <c r="K1296" s="55" t="str">
        <f>IFERROR(IF($G1296="","",VLOOKUP('Dashboard And Emails Automate'!$G1296,Database!$H:$N,5,0)),"")</f>
        <v/>
      </c>
      <c r="L1296" s="55" t="str">
        <f>IFERROR(IF($G1296="","",VLOOKUP('Dashboard And Emails Automate'!$G1296,Database!$H:$N,6,0)),"")</f>
        <v/>
      </c>
      <c r="M1296" s="55" t="str">
        <f>IFERROR(IF($G1296="","",VLOOKUP('Dashboard And Emails Automate'!$G1296,Database!$H:$N,7,0)),"")</f>
        <v/>
      </c>
      <c r="N1296" s="55" t="str">
        <f>IFERROR(IF(OR($B1296="",$B1296="(blank)"),"",VLOOKUP($B1296,'Email Marketing Raw Data'!$C:$O,6,0)),"")</f>
        <v/>
      </c>
      <c r="O1296" s="55" t="str">
        <f>IFERROR(IF(OR($B1296="",$B1296="(blank)"),"",VLOOKUP($B1296,'Email Marketing Raw Data'!$C:$O,7,0)),"")</f>
        <v/>
      </c>
      <c r="P1296" s="55" t="str">
        <f>IFERROR(IF(OR($B1296="",$B1296="(blank)"),"",VLOOKUP($B1296,'Email Marketing Raw Data'!$C:$O,8,0)),"")</f>
        <v/>
      </c>
      <c r="Q1296" s="62" t="str">
        <f>IFERROR(IF(OR($B1296="",$B1296="(blank)"),"",VLOOKUP($B1296,'Email Marketing Raw Data'!$C:$O,9,0)),"")</f>
        <v/>
      </c>
    </row>
    <row r="1297" spans="4:17" ht="12.75" customHeight="1" x14ac:dyDescent="0.2">
      <c r="D1297" s="58" t="str">
        <f>IFERROR(IF(F1297&lt;&gt;"pending","",IF(OR($B1297="",$B1297="(blank)"),"",VLOOKUP($B1297,'Email Marketing Raw Data'!$C:$O,10,0))),"")</f>
        <v/>
      </c>
      <c r="E1297" s="59" t="str">
        <f>IFERROR(IF(F1297&lt;&gt;"pending","",IF(OR($B1297="",$B1297="(blank)"),"",VLOOKUP($B1297,'Email Marketing Raw Data'!$C:$O,11,0))),"")</f>
        <v/>
      </c>
      <c r="F1297" s="54" t="str">
        <f>IFERROR(IF(OR($B1297="",$B1297="(blank)"),"",VLOOKUP($B1297,'Email Marketing Raw Data'!$C:$O,13,0)),"")</f>
        <v/>
      </c>
      <c r="G1297" s="55" t="str">
        <f>IFERROR(IF(OR($B1297="",$B1297="(blank)"),"",VLOOKUP($B1297,'Email Marketing Raw Data'!$C:$O,4,0)),"")</f>
        <v/>
      </c>
      <c r="H1297" s="55" t="str">
        <f>IFERROR(IF(OR($B1297="",$B1297="(blank)"),"",VLOOKUP($B1297,'Email Marketing Raw Data'!$C:$O,5,0)),"")</f>
        <v/>
      </c>
      <c r="I1297" s="55" t="str">
        <f>IFERROR(IF($G1297="","",VLOOKUP('Dashboard And Emails Automate'!$G1297,Database!$H:$N,3,0)),"")</f>
        <v/>
      </c>
      <c r="J1297" s="55" t="str">
        <f>IFERROR(IF($G1297="","",VLOOKUP('Dashboard And Emails Automate'!$G1297,Database!$H:$N,4,0)),"")</f>
        <v/>
      </c>
      <c r="K1297" s="55" t="str">
        <f>IFERROR(IF($G1297="","",VLOOKUP('Dashboard And Emails Automate'!$G1297,Database!$H:$N,5,0)),"")</f>
        <v/>
      </c>
      <c r="L1297" s="55" t="str">
        <f>IFERROR(IF($G1297="","",VLOOKUP('Dashboard And Emails Automate'!$G1297,Database!$H:$N,6,0)),"")</f>
        <v/>
      </c>
      <c r="M1297" s="55" t="str">
        <f>IFERROR(IF($G1297="","",VLOOKUP('Dashboard And Emails Automate'!$G1297,Database!$H:$N,7,0)),"")</f>
        <v/>
      </c>
      <c r="N1297" s="55" t="str">
        <f>IFERROR(IF(OR($B1297="",$B1297="(blank)"),"",VLOOKUP($B1297,'Email Marketing Raw Data'!$C:$O,6,0)),"")</f>
        <v/>
      </c>
      <c r="O1297" s="55" t="str">
        <f>IFERROR(IF(OR($B1297="",$B1297="(blank)"),"",VLOOKUP($B1297,'Email Marketing Raw Data'!$C:$O,7,0)),"")</f>
        <v/>
      </c>
      <c r="P1297" s="55" t="str">
        <f>IFERROR(IF(OR($B1297="",$B1297="(blank)"),"",VLOOKUP($B1297,'Email Marketing Raw Data'!$C:$O,8,0)),"")</f>
        <v/>
      </c>
      <c r="Q1297" s="62" t="str">
        <f>IFERROR(IF(OR($B1297="",$B1297="(blank)"),"",VLOOKUP($B1297,'Email Marketing Raw Data'!$C:$O,9,0)),"")</f>
        <v/>
      </c>
    </row>
    <row r="1298" spans="4:17" ht="12.75" customHeight="1" x14ac:dyDescent="0.2">
      <c r="D1298" s="58" t="str">
        <f>IFERROR(IF(F1298&lt;&gt;"pending","",IF(OR($B1298="",$B1298="(blank)"),"",VLOOKUP($B1298,'Email Marketing Raw Data'!$C:$O,10,0))),"")</f>
        <v/>
      </c>
      <c r="E1298" s="59" t="str">
        <f>IFERROR(IF(F1298&lt;&gt;"pending","",IF(OR($B1298="",$B1298="(blank)"),"",VLOOKUP($B1298,'Email Marketing Raw Data'!$C:$O,11,0))),"")</f>
        <v/>
      </c>
      <c r="F1298" s="54" t="str">
        <f>IFERROR(IF(OR($B1298="",$B1298="(blank)"),"",VLOOKUP($B1298,'Email Marketing Raw Data'!$C:$O,13,0)),"")</f>
        <v/>
      </c>
      <c r="G1298" s="55" t="str">
        <f>IFERROR(IF(OR($B1298="",$B1298="(blank)"),"",VLOOKUP($B1298,'Email Marketing Raw Data'!$C:$O,4,0)),"")</f>
        <v/>
      </c>
      <c r="H1298" s="55" t="str">
        <f>IFERROR(IF(OR($B1298="",$B1298="(blank)"),"",VLOOKUP($B1298,'Email Marketing Raw Data'!$C:$O,5,0)),"")</f>
        <v/>
      </c>
      <c r="I1298" s="55" t="str">
        <f>IFERROR(IF($G1298="","",VLOOKUP('Dashboard And Emails Automate'!$G1298,Database!$H:$N,3,0)),"")</f>
        <v/>
      </c>
      <c r="J1298" s="55" t="str">
        <f>IFERROR(IF($G1298="","",VLOOKUP('Dashboard And Emails Automate'!$G1298,Database!$H:$N,4,0)),"")</f>
        <v/>
      </c>
      <c r="K1298" s="55" t="str">
        <f>IFERROR(IF($G1298="","",VLOOKUP('Dashboard And Emails Automate'!$G1298,Database!$H:$N,5,0)),"")</f>
        <v/>
      </c>
      <c r="L1298" s="55" t="str">
        <f>IFERROR(IF($G1298="","",VLOOKUP('Dashboard And Emails Automate'!$G1298,Database!$H:$N,6,0)),"")</f>
        <v/>
      </c>
      <c r="M1298" s="55" t="str">
        <f>IFERROR(IF($G1298="","",VLOOKUP('Dashboard And Emails Automate'!$G1298,Database!$H:$N,7,0)),"")</f>
        <v/>
      </c>
      <c r="N1298" s="55" t="str">
        <f>IFERROR(IF(OR($B1298="",$B1298="(blank)"),"",VLOOKUP($B1298,'Email Marketing Raw Data'!$C:$O,6,0)),"")</f>
        <v/>
      </c>
      <c r="O1298" s="55" t="str">
        <f>IFERROR(IF(OR($B1298="",$B1298="(blank)"),"",VLOOKUP($B1298,'Email Marketing Raw Data'!$C:$O,7,0)),"")</f>
        <v/>
      </c>
      <c r="P1298" s="55" t="str">
        <f>IFERROR(IF(OR($B1298="",$B1298="(blank)"),"",VLOOKUP($B1298,'Email Marketing Raw Data'!$C:$O,8,0)),"")</f>
        <v/>
      </c>
      <c r="Q1298" s="62" t="str">
        <f>IFERROR(IF(OR($B1298="",$B1298="(blank)"),"",VLOOKUP($B1298,'Email Marketing Raw Data'!$C:$O,9,0)),"")</f>
        <v/>
      </c>
    </row>
    <row r="1299" spans="4:17" ht="12.75" customHeight="1" x14ac:dyDescent="0.2">
      <c r="D1299" s="58" t="str">
        <f>IFERROR(IF(F1299&lt;&gt;"pending","",IF(OR($B1299="",$B1299="(blank)"),"",VLOOKUP($B1299,'Email Marketing Raw Data'!$C:$O,10,0))),"")</f>
        <v/>
      </c>
      <c r="E1299" s="59" t="str">
        <f>IFERROR(IF(F1299&lt;&gt;"pending","",IF(OR($B1299="",$B1299="(blank)"),"",VLOOKUP($B1299,'Email Marketing Raw Data'!$C:$O,11,0))),"")</f>
        <v/>
      </c>
      <c r="F1299" s="54" t="str">
        <f>IFERROR(IF(OR($B1299="",$B1299="(blank)"),"",VLOOKUP($B1299,'Email Marketing Raw Data'!$C:$O,13,0)),"")</f>
        <v/>
      </c>
      <c r="G1299" s="55" t="str">
        <f>IFERROR(IF(OR($B1299="",$B1299="(blank)"),"",VLOOKUP($B1299,'Email Marketing Raw Data'!$C:$O,4,0)),"")</f>
        <v/>
      </c>
      <c r="H1299" s="55" t="str">
        <f>IFERROR(IF(OR($B1299="",$B1299="(blank)"),"",VLOOKUP($B1299,'Email Marketing Raw Data'!$C:$O,5,0)),"")</f>
        <v/>
      </c>
      <c r="I1299" s="55" t="str">
        <f>IFERROR(IF($G1299="","",VLOOKUP('Dashboard And Emails Automate'!$G1299,Database!$H:$N,3,0)),"")</f>
        <v/>
      </c>
      <c r="J1299" s="55" t="str">
        <f>IFERROR(IF($G1299="","",VLOOKUP('Dashboard And Emails Automate'!$G1299,Database!$H:$N,4,0)),"")</f>
        <v/>
      </c>
      <c r="K1299" s="55" t="str">
        <f>IFERROR(IF($G1299="","",VLOOKUP('Dashboard And Emails Automate'!$G1299,Database!$H:$N,5,0)),"")</f>
        <v/>
      </c>
      <c r="L1299" s="55" t="str">
        <f>IFERROR(IF($G1299="","",VLOOKUP('Dashboard And Emails Automate'!$G1299,Database!$H:$N,6,0)),"")</f>
        <v/>
      </c>
      <c r="M1299" s="55" t="str">
        <f>IFERROR(IF($G1299="","",VLOOKUP('Dashboard And Emails Automate'!$G1299,Database!$H:$N,7,0)),"")</f>
        <v/>
      </c>
      <c r="N1299" s="55" t="str">
        <f>IFERROR(IF(OR($B1299="",$B1299="(blank)"),"",VLOOKUP($B1299,'Email Marketing Raw Data'!$C:$O,6,0)),"")</f>
        <v/>
      </c>
      <c r="O1299" s="55" t="str">
        <f>IFERROR(IF(OR($B1299="",$B1299="(blank)"),"",VLOOKUP($B1299,'Email Marketing Raw Data'!$C:$O,7,0)),"")</f>
        <v/>
      </c>
      <c r="P1299" s="55" t="str">
        <f>IFERROR(IF(OR($B1299="",$B1299="(blank)"),"",VLOOKUP($B1299,'Email Marketing Raw Data'!$C:$O,8,0)),"")</f>
        <v/>
      </c>
      <c r="Q1299" s="62" t="str">
        <f>IFERROR(IF(OR($B1299="",$B1299="(blank)"),"",VLOOKUP($B1299,'Email Marketing Raw Data'!$C:$O,9,0)),"")</f>
        <v/>
      </c>
    </row>
    <row r="1300" spans="4:17" ht="12.75" customHeight="1" x14ac:dyDescent="0.2">
      <c r="D1300" s="58" t="str">
        <f>IFERROR(IF(F1300&lt;&gt;"pending","",IF(OR($B1300="",$B1300="(blank)"),"",VLOOKUP($B1300,'Email Marketing Raw Data'!$C:$O,10,0))),"")</f>
        <v/>
      </c>
      <c r="E1300" s="59" t="str">
        <f>IFERROR(IF(F1300&lt;&gt;"pending","",IF(OR($B1300="",$B1300="(blank)"),"",VLOOKUP($B1300,'Email Marketing Raw Data'!$C:$O,11,0))),"")</f>
        <v/>
      </c>
      <c r="F1300" s="54" t="str">
        <f>IFERROR(IF(OR($B1300="",$B1300="(blank)"),"",VLOOKUP($B1300,'Email Marketing Raw Data'!$C:$O,13,0)),"")</f>
        <v/>
      </c>
      <c r="G1300" s="55" t="str">
        <f>IFERROR(IF(OR($B1300="",$B1300="(blank)"),"",VLOOKUP($B1300,'Email Marketing Raw Data'!$C:$O,4,0)),"")</f>
        <v/>
      </c>
      <c r="H1300" s="55" t="str">
        <f>IFERROR(IF(OR($B1300="",$B1300="(blank)"),"",VLOOKUP($B1300,'Email Marketing Raw Data'!$C:$O,5,0)),"")</f>
        <v/>
      </c>
      <c r="I1300" s="55" t="str">
        <f>IFERROR(IF($G1300="","",VLOOKUP('Dashboard And Emails Automate'!$G1300,Database!$H:$N,3,0)),"")</f>
        <v/>
      </c>
      <c r="J1300" s="55" t="str">
        <f>IFERROR(IF($G1300="","",VLOOKUP('Dashboard And Emails Automate'!$G1300,Database!$H:$N,4,0)),"")</f>
        <v/>
      </c>
      <c r="K1300" s="55" t="str">
        <f>IFERROR(IF($G1300="","",VLOOKUP('Dashboard And Emails Automate'!$G1300,Database!$H:$N,5,0)),"")</f>
        <v/>
      </c>
      <c r="L1300" s="55" t="str">
        <f>IFERROR(IF($G1300="","",VLOOKUP('Dashboard And Emails Automate'!$G1300,Database!$H:$N,6,0)),"")</f>
        <v/>
      </c>
      <c r="M1300" s="55" t="str">
        <f>IFERROR(IF($G1300="","",VLOOKUP('Dashboard And Emails Automate'!$G1300,Database!$H:$N,7,0)),"")</f>
        <v/>
      </c>
      <c r="N1300" s="55" t="str">
        <f>IFERROR(IF(OR($B1300="",$B1300="(blank)"),"",VLOOKUP($B1300,'Email Marketing Raw Data'!$C:$O,6,0)),"")</f>
        <v/>
      </c>
      <c r="O1300" s="55" t="str">
        <f>IFERROR(IF(OR($B1300="",$B1300="(blank)"),"",VLOOKUP($B1300,'Email Marketing Raw Data'!$C:$O,7,0)),"")</f>
        <v/>
      </c>
      <c r="P1300" s="55" t="str">
        <f>IFERROR(IF(OR($B1300="",$B1300="(blank)"),"",VLOOKUP($B1300,'Email Marketing Raw Data'!$C:$O,8,0)),"")</f>
        <v/>
      </c>
      <c r="Q1300" s="62" t="str">
        <f>IFERROR(IF(OR($B1300="",$B1300="(blank)"),"",VLOOKUP($B1300,'Email Marketing Raw Data'!$C:$O,9,0)),"")</f>
        <v/>
      </c>
    </row>
    <row r="1301" spans="4:17" ht="12.75" customHeight="1" x14ac:dyDescent="0.2">
      <c r="D1301" s="58" t="str">
        <f>IFERROR(IF(F1301&lt;&gt;"pending","",IF(OR($B1301="",$B1301="(blank)"),"",VLOOKUP($B1301,'Email Marketing Raw Data'!$C:$O,10,0))),"")</f>
        <v/>
      </c>
      <c r="E1301" s="59" t="str">
        <f>IFERROR(IF(F1301&lt;&gt;"pending","",IF(OR($B1301="",$B1301="(blank)"),"",VLOOKUP($B1301,'Email Marketing Raw Data'!$C:$O,11,0))),"")</f>
        <v/>
      </c>
      <c r="F1301" s="54" t="str">
        <f>IFERROR(IF(OR($B1301="",$B1301="(blank)"),"",VLOOKUP($B1301,'Email Marketing Raw Data'!$C:$O,13,0)),"")</f>
        <v/>
      </c>
      <c r="G1301" s="55" t="str">
        <f>IFERROR(IF(OR($B1301="",$B1301="(blank)"),"",VLOOKUP($B1301,'Email Marketing Raw Data'!$C:$O,4,0)),"")</f>
        <v/>
      </c>
      <c r="H1301" s="55" t="str">
        <f>IFERROR(IF(OR($B1301="",$B1301="(blank)"),"",VLOOKUP($B1301,'Email Marketing Raw Data'!$C:$O,5,0)),"")</f>
        <v/>
      </c>
      <c r="I1301" s="55" t="str">
        <f>IFERROR(IF($G1301="","",VLOOKUP('Dashboard And Emails Automate'!$G1301,Database!$H:$N,3,0)),"")</f>
        <v/>
      </c>
      <c r="J1301" s="55" t="str">
        <f>IFERROR(IF($G1301="","",VLOOKUP('Dashboard And Emails Automate'!$G1301,Database!$H:$N,4,0)),"")</f>
        <v/>
      </c>
      <c r="K1301" s="55" t="str">
        <f>IFERROR(IF($G1301="","",VLOOKUP('Dashboard And Emails Automate'!$G1301,Database!$H:$N,5,0)),"")</f>
        <v/>
      </c>
      <c r="L1301" s="55" t="str">
        <f>IFERROR(IF($G1301="","",VLOOKUP('Dashboard And Emails Automate'!$G1301,Database!$H:$N,6,0)),"")</f>
        <v/>
      </c>
      <c r="M1301" s="55" t="str">
        <f>IFERROR(IF($G1301="","",VLOOKUP('Dashboard And Emails Automate'!$G1301,Database!$H:$N,7,0)),"")</f>
        <v/>
      </c>
      <c r="N1301" s="55" t="str">
        <f>IFERROR(IF(OR($B1301="",$B1301="(blank)"),"",VLOOKUP($B1301,'Email Marketing Raw Data'!$C:$O,6,0)),"")</f>
        <v/>
      </c>
      <c r="O1301" s="55" t="str">
        <f>IFERROR(IF(OR($B1301="",$B1301="(blank)"),"",VLOOKUP($B1301,'Email Marketing Raw Data'!$C:$O,7,0)),"")</f>
        <v/>
      </c>
      <c r="P1301" s="55" t="str">
        <f>IFERROR(IF(OR($B1301="",$B1301="(blank)"),"",VLOOKUP($B1301,'Email Marketing Raw Data'!$C:$O,8,0)),"")</f>
        <v/>
      </c>
      <c r="Q1301" s="62" t="str">
        <f>IFERROR(IF(OR($B1301="",$B1301="(blank)"),"",VLOOKUP($B1301,'Email Marketing Raw Data'!$C:$O,9,0)),"")</f>
        <v/>
      </c>
    </row>
    <row r="1302" spans="4:17" ht="12.75" customHeight="1" x14ac:dyDescent="0.2">
      <c r="D1302" s="58" t="str">
        <f>IFERROR(IF(F1302&lt;&gt;"pending","",IF(OR($B1302="",$B1302="(blank)"),"",VLOOKUP($B1302,'Email Marketing Raw Data'!$C:$O,10,0))),"")</f>
        <v/>
      </c>
      <c r="E1302" s="59" t="str">
        <f>IFERROR(IF(F1302&lt;&gt;"pending","",IF(OR($B1302="",$B1302="(blank)"),"",VLOOKUP($B1302,'Email Marketing Raw Data'!$C:$O,11,0))),"")</f>
        <v/>
      </c>
      <c r="F1302" s="54" t="str">
        <f>IFERROR(IF(OR($B1302="",$B1302="(blank)"),"",VLOOKUP($B1302,'Email Marketing Raw Data'!$C:$O,13,0)),"")</f>
        <v/>
      </c>
      <c r="G1302" s="55" t="str">
        <f>IFERROR(IF(OR($B1302="",$B1302="(blank)"),"",VLOOKUP($B1302,'Email Marketing Raw Data'!$C:$O,4,0)),"")</f>
        <v/>
      </c>
      <c r="H1302" s="55" t="str">
        <f>IFERROR(IF(OR($B1302="",$B1302="(blank)"),"",VLOOKUP($B1302,'Email Marketing Raw Data'!$C:$O,5,0)),"")</f>
        <v/>
      </c>
      <c r="I1302" s="55" t="str">
        <f>IFERROR(IF($G1302="","",VLOOKUP('Dashboard And Emails Automate'!$G1302,Database!$H:$N,3,0)),"")</f>
        <v/>
      </c>
      <c r="J1302" s="55" t="str">
        <f>IFERROR(IF($G1302="","",VLOOKUP('Dashboard And Emails Automate'!$G1302,Database!$H:$N,4,0)),"")</f>
        <v/>
      </c>
      <c r="K1302" s="55" t="str">
        <f>IFERROR(IF($G1302="","",VLOOKUP('Dashboard And Emails Automate'!$G1302,Database!$H:$N,5,0)),"")</f>
        <v/>
      </c>
      <c r="L1302" s="55" t="str">
        <f>IFERROR(IF($G1302="","",VLOOKUP('Dashboard And Emails Automate'!$G1302,Database!$H:$N,6,0)),"")</f>
        <v/>
      </c>
      <c r="M1302" s="55" t="str">
        <f>IFERROR(IF($G1302="","",VLOOKUP('Dashboard And Emails Automate'!$G1302,Database!$H:$N,7,0)),"")</f>
        <v/>
      </c>
      <c r="N1302" s="55" t="str">
        <f>IFERROR(IF(OR($B1302="",$B1302="(blank)"),"",VLOOKUP($B1302,'Email Marketing Raw Data'!$C:$O,6,0)),"")</f>
        <v/>
      </c>
      <c r="O1302" s="55" t="str">
        <f>IFERROR(IF(OR($B1302="",$B1302="(blank)"),"",VLOOKUP($B1302,'Email Marketing Raw Data'!$C:$O,7,0)),"")</f>
        <v/>
      </c>
      <c r="P1302" s="55" t="str">
        <f>IFERROR(IF(OR($B1302="",$B1302="(blank)"),"",VLOOKUP($B1302,'Email Marketing Raw Data'!$C:$O,8,0)),"")</f>
        <v/>
      </c>
      <c r="Q1302" s="62" t="str">
        <f>IFERROR(IF(OR($B1302="",$B1302="(blank)"),"",VLOOKUP($B1302,'Email Marketing Raw Data'!$C:$O,9,0)),"")</f>
        <v/>
      </c>
    </row>
    <row r="1303" spans="4:17" ht="12.75" customHeight="1" x14ac:dyDescent="0.2">
      <c r="D1303" s="58" t="str">
        <f>IFERROR(IF(F1303&lt;&gt;"pending","",IF(OR($B1303="",$B1303="(blank)"),"",VLOOKUP($B1303,'Email Marketing Raw Data'!$C:$O,10,0))),"")</f>
        <v/>
      </c>
      <c r="E1303" s="59" t="str">
        <f>IFERROR(IF(F1303&lt;&gt;"pending","",IF(OR($B1303="",$B1303="(blank)"),"",VLOOKUP($B1303,'Email Marketing Raw Data'!$C:$O,11,0))),"")</f>
        <v/>
      </c>
      <c r="F1303" s="54" t="str">
        <f>IFERROR(IF(OR($B1303="",$B1303="(blank)"),"",VLOOKUP($B1303,'Email Marketing Raw Data'!$C:$O,13,0)),"")</f>
        <v/>
      </c>
      <c r="G1303" s="55" t="str">
        <f>IFERROR(IF(OR($B1303="",$B1303="(blank)"),"",VLOOKUP($B1303,'Email Marketing Raw Data'!$C:$O,4,0)),"")</f>
        <v/>
      </c>
      <c r="H1303" s="55" t="str">
        <f>IFERROR(IF(OR($B1303="",$B1303="(blank)"),"",VLOOKUP($B1303,'Email Marketing Raw Data'!$C:$O,5,0)),"")</f>
        <v/>
      </c>
      <c r="I1303" s="55" t="str">
        <f>IFERROR(IF($G1303="","",VLOOKUP('Dashboard And Emails Automate'!$G1303,Database!$H:$N,3,0)),"")</f>
        <v/>
      </c>
      <c r="J1303" s="55" t="str">
        <f>IFERROR(IF($G1303="","",VLOOKUP('Dashboard And Emails Automate'!$G1303,Database!$H:$N,4,0)),"")</f>
        <v/>
      </c>
      <c r="K1303" s="55" t="str">
        <f>IFERROR(IF($G1303="","",VLOOKUP('Dashboard And Emails Automate'!$G1303,Database!$H:$N,5,0)),"")</f>
        <v/>
      </c>
      <c r="L1303" s="55" t="str">
        <f>IFERROR(IF($G1303="","",VLOOKUP('Dashboard And Emails Automate'!$G1303,Database!$H:$N,6,0)),"")</f>
        <v/>
      </c>
      <c r="M1303" s="55" t="str">
        <f>IFERROR(IF($G1303="","",VLOOKUP('Dashboard And Emails Automate'!$G1303,Database!$H:$N,7,0)),"")</f>
        <v/>
      </c>
      <c r="N1303" s="55" t="str">
        <f>IFERROR(IF(OR($B1303="",$B1303="(blank)"),"",VLOOKUP($B1303,'Email Marketing Raw Data'!$C:$O,6,0)),"")</f>
        <v/>
      </c>
      <c r="O1303" s="55" t="str">
        <f>IFERROR(IF(OR($B1303="",$B1303="(blank)"),"",VLOOKUP($B1303,'Email Marketing Raw Data'!$C:$O,7,0)),"")</f>
        <v/>
      </c>
      <c r="P1303" s="55" t="str">
        <f>IFERROR(IF(OR($B1303="",$B1303="(blank)"),"",VLOOKUP($B1303,'Email Marketing Raw Data'!$C:$O,8,0)),"")</f>
        <v/>
      </c>
      <c r="Q1303" s="62" t="str">
        <f>IFERROR(IF(OR($B1303="",$B1303="(blank)"),"",VLOOKUP($B1303,'Email Marketing Raw Data'!$C:$O,9,0)),"")</f>
        <v/>
      </c>
    </row>
    <row r="1304" spans="4:17" ht="12.75" customHeight="1" x14ac:dyDescent="0.2">
      <c r="D1304" s="58" t="str">
        <f>IFERROR(IF(F1304&lt;&gt;"pending","",IF(OR($B1304="",$B1304="(blank)"),"",VLOOKUP($B1304,'Email Marketing Raw Data'!$C:$O,10,0))),"")</f>
        <v/>
      </c>
      <c r="E1304" s="59" t="str">
        <f>IFERROR(IF(F1304&lt;&gt;"pending","",IF(OR($B1304="",$B1304="(blank)"),"",VLOOKUP($B1304,'Email Marketing Raw Data'!$C:$O,11,0))),"")</f>
        <v/>
      </c>
      <c r="F1304" s="54" t="str">
        <f>IFERROR(IF(OR($B1304="",$B1304="(blank)"),"",VLOOKUP($B1304,'Email Marketing Raw Data'!$C:$O,13,0)),"")</f>
        <v/>
      </c>
      <c r="G1304" s="55" t="str">
        <f>IFERROR(IF(OR($B1304="",$B1304="(blank)"),"",VLOOKUP($B1304,'Email Marketing Raw Data'!$C:$O,4,0)),"")</f>
        <v/>
      </c>
      <c r="H1304" s="55" t="str">
        <f>IFERROR(IF(OR($B1304="",$B1304="(blank)"),"",VLOOKUP($B1304,'Email Marketing Raw Data'!$C:$O,5,0)),"")</f>
        <v/>
      </c>
      <c r="I1304" s="55" t="str">
        <f>IFERROR(IF($G1304="","",VLOOKUP('Dashboard And Emails Automate'!$G1304,Database!$H:$N,3,0)),"")</f>
        <v/>
      </c>
      <c r="J1304" s="55" t="str">
        <f>IFERROR(IF($G1304="","",VLOOKUP('Dashboard And Emails Automate'!$G1304,Database!$H:$N,4,0)),"")</f>
        <v/>
      </c>
      <c r="K1304" s="55" t="str">
        <f>IFERROR(IF($G1304="","",VLOOKUP('Dashboard And Emails Automate'!$G1304,Database!$H:$N,5,0)),"")</f>
        <v/>
      </c>
      <c r="L1304" s="55" t="str">
        <f>IFERROR(IF($G1304="","",VLOOKUP('Dashboard And Emails Automate'!$G1304,Database!$H:$N,6,0)),"")</f>
        <v/>
      </c>
      <c r="M1304" s="55" t="str">
        <f>IFERROR(IF($G1304="","",VLOOKUP('Dashboard And Emails Automate'!$G1304,Database!$H:$N,7,0)),"")</f>
        <v/>
      </c>
      <c r="N1304" s="55" t="str">
        <f>IFERROR(IF(OR($B1304="",$B1304="(blank)"),"",VLOOKUP($B1304,'Email Marketing Raw Data'!$C:$O,6,0)),"")</f>
        <v/>
      </c>
      <c r="O1304" s="55" t="str">
        <f>IFERROR(IF(OR($B1304="",$B1304="(blank)"),"",VLOOKUP($B1304,'Email Marketing Raw Data'!$C:$O,7,0)),"")</f>
        <v/>
      </c>
      <c r="P1304" s="55" t="str">
        <f>IFERROR(IF(OR($B1304="",$B1304="(blank)"),"",VLOOKUP($B1304,'Email Marketing Raw Data'!$C:$O,8,0)),"")</f>
        <v/>
      </c>
      <c r="Q1304" s="62" t="str">
        <f>IFERROR(IF(OR($B1304="",$B1304="(blank)"),"",VLOOKUP($B1304,'Email Marketing Raw Data'!$C:$O,9,0)),"")</f>
        <v/>
      </c>
    </row>
    <row r="1305" spans="4:17" ht="12.75" customHeight="1" x14ac:dyDescent="0.2">
      <c r="D1305" s="58" t="str">
        <f>IFERROR(IF(F1305&lt;&gt;"pending","",IF(OR($B1305="",$B1305="(blank)"),"",VLOOKUP($B1305,'Email Marketing Raw Data'!$C:$O,10,0))),"")</f>
        <v/>
      </c>
      <c r="E1305" s="59" t="str">
        <f>IFERROR(IF(F1305&lt;&gt;"pending","",IF(OR($B1305="",$B1305="(blank)"),"",VLOOKUP($B1305,'Email Marketing Raw Data'!$C:$O,11,0))),"")</f>
        <v/>
      </c>
      <c r="F1305" s="54" t="str">
        <f>IFERROR(IF(OR($B1305="",$B1305="(blank)"),"",VLOOKUP($B1305,'Email Marketing Raw Data'!$C:$O,13,0)),"")</f>
        <v/>
      </c>
      <c r="G1305" s="55" t="str">
        <f>IFERROR(IF(OR($B1305="",$B1305="(blank)"),"",VLOOKUP($B1305,'Email Marketing Raw Data'!$C:$O,4,0)),"")</f>
        <v/>
      </c>
      <c r="H1305" s="55" t="str">
        <f>IFERROR(IF(OR($B1305="",$B1305="(blank)"),"",VLOOKUP($B1305,'Email Marketing Raw Data'!$C:$O,5,0)),"")</f>
        <v/>
      </c>
      <c r="I1305" s="55" t="str">
        <f>IFERROR(IF($G1305="","",VLOOKUP('Dashboard And Emails Automate'!$G1305,Database!$H:$N,3,0)),"")</f>
        <v/>
      </c>
      <c r="J1305" s="55" t="str">
        <f>IFERROR(IF($G1305="","",VLOOKUP('Dashboard And Emails Automate'!$G1305,Database!$H:$N,4,0)),"")</f>
        <v/>
      </c>
      <c r="K1305" s="55" t="str">
        <f>IFERROR(IF($G1305="","",VLOOKUP('Dashboard And Emails Automate'!$G1305,Database!$H:$N,5,0)),"")</f>
        <v/>
      </c>
      <c r="L1305" s="55" t="str">
        <f>IFERROR(IF($G1305="","",VLOOKUP('Dashboard And Emails Automate'!$G1305,Database!$H:$N,6,0)),"")</f>
        <v/>
      </c>
      <c r="M1305" s="55" t="str">
        <f>IFERROR(IF($G1305="","",VLOOKUP('Dashboard And Emails Automate'!$G1305,Database!$H:$N,7,0)),"")</f>
        <v/>
      </c>
      <c r="N1305" s="55" t="str">
        <f>IFERROR(IF(OR($B1305="",$B1305="(blank)"),"",VLOOKUP($B1305,'Email Marketing Raw Data'!$C:$O,6,0)),"")</f>
        <v/>
      </c>
      <c r="O1305" s="55" t="str">
        <f>IFERROR(IF(OR($B1305="",$B1305="(blank)"),"",VLOOKUP($B1305,'Email Marketing Raw Data'!$C:$O,7,0)),"")</f>
        <v/>
      </c>
      <c r="P1305" s="55" t="str">
        <f>IFERROR(IF(OR($B1305="",$B1305="(blank)"),"",VLOOKUP($B1305,'Email Marketing Raw Data'!$C:$O,8,0)),"")</f>
        <v/>
      </c>
      <c r="Q1305" s="62" t="str">
        <f>IFERROR(IF(OR($B1305="",$B1305="(blank)"),"",VLOOKUP($B1305,'Email Marketing Raw Data'!$C:$O,9,0)),"")</f>
        <v/>
      </c>
    </row>
    <row r="1306" spans="4:17" ht="12.75" customHeight="1" x14ac:dyDescent="0.2">
      <c r="D1306" s="58" t="str">
        <f>IFERROR(IF(F1306&lt;&gt;"pending","",IF(OR($B1306="",$B1306="(blank)"),"",VLOOKUP($B1306,'Email Marketing Raw Data'!$C:$O,10,0))),"")</f>
        <v/>
      </c>
      <c r="E1306" s="59" t="str">
        <f>IFERROR(IF(F1306&lt;&gt;"pending","",IF(OR($B1306="",$B1306="(blank)"),"",VLOOKUP($B1306,'Email Marketing Raw Data'!$C:$O,11,0))),"")</f>
        <v/>
      </c>
      <c r="F1306" s="54" t="str">
        <f>IFERROR(IF(OR($B1306="",$B1306="(blank)"),"",VLOOKUP($B1306,'Email Marketing Raw Data'!$C:$O,13,0)),"")</f>
        <v/>
      </c>
      <c r="G1306" s="55" t="str">
        <f>IFERROR(IF(OR($B1306="",$B1306="(blank)"),"",VLOOKUP($B1306,'Email Marketing Raw Data'!$C:$O,4,0)),"")</f>
        <v/>
      </c>
      <c r="H1306" s="55" t="str">
        <f>IFERROR(IF(OR($B1306="",$B1306="(blank)"),"",VLOOKUP($B1306,'Email Marketing Raw Data'!$C:$O,5,0)),"")</f>
        <v/>
      </c>
      <c r="I1306" s="55" t="str">
        <f>IFERROR(IF($G1306="","",VLOOKUP('Dashboard And Emails Automate'!$G1306,Database!$H:$N,3,0)),"")</f>
        <v/>
      </c>
      <c r="J1306" s="55" t="str">
        <f>IFERROR(IF($G1306="","",VLOOKUP('Dashboard And Emails Automate'!$G1306,Database!$H:$N,4,0)),"")</f>
        <v/>
      </c>
      <c r="K1306" s="55" t="str">
        <f>IFERROR(IF($G1306="","",VLOOKUP('Dashboard And Emails Automate'!$G1306,Database!$H:$N,5,0)),"")</f>
        <v/>
      </c>
      <c r="L1306" s="55" t="str">
        <f>IFERROR(IF($G1306="","",VLOOKUP('Dashboard And Emails Automate'!$G1306,Database!$H:$N,6,0)),"")</f>
        <v/>
      </c>
      <c r="M1306" s="55" t="str">
        <f>IFERROR(IF($G1306="","",VLOOKUP('Dashboard And Emails Automate'!$G1306,Database!$H:$N,7,0)),"")</f>
        <v/>
      </c>
      <c r="N1306" s="55" t="str">
        <f>IFERROR(IF(OR($B1306="",$B1306="(blank)"),"",VLOOKUP($B1306,'Email Marketing Raw Data'!$C:$O,6,0)),"")</f>
        <v/>
      </c>
      <c r="O1306" s="55" t="str">
        <f>IFERROR(IF(OR($B1306="",$B1306="(blank)"),"",VLOOKUP($B1306,'Email Marketing Raw Data'!$C:$O,7,0)),"")</f>
        <v/>
      </c>
      <c r="P1306" s="55" t="str">
        <f>IFERROR(IF(OR($B1306="",$B1306="(blank)"),"",VLOOKUP($B1306,'Email Marketing Raw Data'!$C:$O,8,0)),"")</f>
        <v/>
      </c>
      <c r="Q1306" s="62" t="str">
        <f>IFERROR(IF(OR($B1306="",$B1306="(blank)"),"",VLOOKUP($B1306,'Email Marketing Raw Data'!$C:$O,9,0)),"")</f>
        <v/>
      </c>
    </row>
    <row r="1307" spans="4:17" ht="12.75" customHeight="1" x14ac:dyDescent="0.2">
      <c r="D1307" s="58" t="str">
        <f>IFERROR(IF(F1307&lt;&gt;"pending","",IF(OR($B1307="",$B1307="(blank)"),"",VLOOKUP($B1307,'Email Marketing Raw Data'!$C:$O,10,0))),"")</f>
        <v/>
      </c>
      <c r="E1307" s="59" t="str">
        <f>IFERROR(IF(F1307&lt;&gt;"pending","",IF(OR($B1307="",$B1307="(blank)"),"",VLOOKUP($B1307,'Email Marketing Raw Data'!$C:$O,11,0))),"")</f>
        <v/>
      </c>
      <c r="F1307" s="54" t="str">
        <f>IFERROR(IF(OR($B1307="",$B1307="(blank)"),"",VLOOKUP($B1307,'Email Marketing Raw Data'!$C:$O,13,0)),"")</f>
        <v/>
      </c>
      <c r="G1307" s="55" t="str">
        <f>IFERROR(IF(OR($B1307="",$B1307="(blank)"),"",VLOOKUP($B1307,'Email Marketing Raw Data'!$C:$O,4,0)),"")</f>
        <v/>
      </c>
      <c r="H1307" s="55" t="str">
        <f>IFERROR(IF(OR($B1307="",$B1307="(blank)"),"",VLOOKUP($B1307,'Email Marketing Raw Data'!$C:$O,5,0)),"")</f>
        <v/>
      </c>
      <c r="I1307" s="55" t="str">
        <f>IFERROR(IF($G1307="","",VLOOKUP('Dashboard And Emails Automate'!$G1307,Database!$H:$N,3,0)),"")</f>
        <v/>
      </c>
      <c r="J1307" s="55" t="str">
        <f>IFERROR(IF($G1307="","",VLOOKUP('Dashboard And Emails Automate'!$G1307,Database!$H:$N,4,0)),"")</f>
        <v/>
      </c>
      <c r="K1307" s="55" t="str">
        <f>IFERROR(IF($G1307="","",VLOOKUP('Dashboard And Emails Automate'!$G1307,Database!$H:$N,5,0)),"")</f>
        <v/>
      </c>
      <c r="L1307" s="55" t="str">
        <f>IFERROR(IF($G1307="","",VLOOKUP('Dashboard And Emails Automate'!$G1307,Database!$H:$N,6,0)),"")</f>
        <v/>
      </c>
      <c r="M1307" s="55" t="str">
        <f>IFERROR(IF($G1307="","",VLOOKUP('Dashboard And Emails Automate'!$G1307,Database!$H:$N,7,0)),"")</f>
        <v/>
      </c>
      <c r="N1307" s="55" t="str">
        <f>IFERROR(IF(OR($B1307="",$B1307="(blank)"),"",VLOOKUP($B1307,'Email Marketing Raw Data'!$C:$O,6,0)),"")</f>
        <v/>
      </c>
      <c r="O1307" s="55" t="str">
        <f>IFERROR(IF(OR($B1307="",$B1307="(blank)"),"",VLOOKUP($B1307,'Email Marketing Raw Data'!$C:$O,7,0)),"")</f>
        <v/>
      </c>
      <c r="P1307" s="55" t="str">
        <f>IFERROR(IF(OR($B1307="",$B1307="(blank)"),"",VLOOKUP($B1307,'Email Marketing Raw Data'!$C:$O,8,0)),"")</f>
        <v/>
      </c>
      <c r="Q1307" s="62" t="str">
        <f>IFERROR(IF(OR($B1307="",$B1307="(blank)"),"",VLOOKUP($B1307,'Email Marketing Raw Data'!$C:$O,9,0)),"")</f>
        <v/>
      </c>
    </row>
    <row r="1308" spans="4:17" ht="12.75" customHeight="1" x14ac:dyDescent="0.2">
      <c r="D1308" s="58" t="str">
        <f>IFERROR(IF(F1308&lt;&gt;"pending","",IF(OR($B1308="",$B1308="(blank)"),"",VLOOKUP($B1308,'Email Marketing Raw Data'!$C:$O,10,0))),"")</f>
        <v/>
      </c>
      <c r="E1308" s="59" t="str">
        <f>IFERROR(IF(F1308&lt;&gt;"pending","",IF(OR($B1308="",$B1308="(blank)"),"",VLOOKUP($B1308,'Email Marketing Raw Data'!$C:$O,11,0))),"")</f>
        <v/>
      </c>
      <c r="F1308" s="54" t="str">
        <f>IFERROR(IF(OR($B1308="",$B1308="(blank)"),"",VLOOKUP($B1308,'Email Marketing Raw Data'!$C:$O,13,0)),"")</f>
        <v/>
      </c>
      <c r="G1308" s="55" t="str">
        <f>IFERROR(IF(OR($B1308="",$B1308="(blank)"),"",VLOOKUP($B1308,'Email Marketing Raw Data'!$C:$O,4,0)),"")</f>
        <v/>
      </c>
      <c r="H1308" s="55" t="str">
        <f>IFERROR(IF(OR($B1308="",$B1308="(blank)"),"",VLOOKUP($B1308,'Email Marketing Raw Data'!$C:$O,5,0)),"")</f>
        <v/>
      </c>
      <c r="I1308" s="55" t="str">
        <f>IFERROR(IF($G1308="","",VLOOKUP('Dashboard And Emails Automate'!$G1308,Database!$H:$N,3,0)),"")</f>
        <v/>
      </c>
      <c r="J1308" s="55" t="str">
        <f>IFERROR(IF($G1308="","",VLOOKUP('Dashboard And Emails Automate'!$G1308,Database!$H:$N,4,0)),"")</f>
        <v/>
      </c>
      <c r="K1308" s="55" t="str">
        <f>IFERROR(IF($G1308="","",VLOOKUP('Dashboard And Emails Automate'!$G1308,Database!$H:$N,5,0)),"")</f>
        <v/>
      </c>
      <c r="L1308" s="55" t="str">
        <f>IFERROR(IF($G1308="","",VLOOKUP('Dashboard And Emails Automate'!$G1308,Database!$H:$N,6,0)),"")</f>
        <v/>
      </c>
      <c r="M1308" s="55" t="str">
        <f>IFERROR(IF($G1308="","",VLOOKUP('Dashboard And Emails Automate'!$G1308,Database!$H:$N,7,0)),"")</f>
        <v/>
      </c>
      <c r="N1308" s="55" t="str">
        <f>IFERROR(IF(OR($B1308="",$B1308="(blank)"),"",VLOOKUP($B1308,'Email Marketing Raw Data'!$C:$O,6,0)),"")</f>
        <v/>
      </c>
      <c r="O1308" s="55" t="str">
        <f>IFERROR(IF(OR($B1308="",$B1308="(blank)"),"",VLOOKUP($B1308,'Email Marketing Raw Data'!$C:$O,7,0)),"")</f>
        <v/>
      </c>
      <c r="P1308" s="55" t="str">
        <f>IFERROR(IF(OR($B1308="",$B1308="(blank)"),"",VLOOKUP($B1308,'Email Marketing Raw Data'!$C:$O,8,0)),"")</f>
        <v/>
      </c>
      <c r="Q1308" s="62" t="str">
        <f>IFERROR(IF(OR($B1308="",$B1308="(blank)"),"",VLOOKUP($B1308,'Email Marketing Raw Data'!$C:$O,9,0)),"")</f>
        <v/>
      </c>
    </row>
    <row r="1309" spans="4:17" ht="12.75" customHeight="1" x14ac:dyDescent="0.2">
      <c r="D1309" s="58" t="str">
        <f>IFERROR(IF(F1309&lt;&gt;"pending","",IF(OR($B1309="",$B1309="(blank)"),"",VLOOKUP($B1309,'Email Marketing Raw Data'!$C:$O,10,0))),"")</f>
        <v/>
      </c>
      <c r="E1309" s="59" t="str">
        <f>IFERROR(IF(F1309&lt;&gt;"pending","",IF(OR($B1309="",$B1309="(blank)"),"",VLOOKUP($B1309,'Email Marketing Raw Data'!$C:$O,11,0))),"")</f>
        <v/>
      </c>
      <c r="F1309" s="54" t="str">
        <f>IFERROR(IF(OR($B1309="",$B1309="(blank)"),"",VLOOKUP($B1309,'Email Marketing Raw Data'!$C:$O,13,0)),"")</f>
        <v/>
      </c>
      <c r="G1309" s="55" t="str">
        <f>IFERROR(IF(OR($B1309="",$B1309="(blank)"),"",VLOOKUP($B1309,'Email Marketing Raw Data'!$C:$O,4,0)),"")</f>
        <v/>
      </c>
      <c r="H1309" s="55" t="str">
        <f>IFERROR(IF(OR($B1309="",$B1309="(blank)"),"",VLOOKUP($B1309,'Email Marketing Raw Data'!$C:$O,5,0)),"")</f>
        <v/>
      </c>
      <c r="I1309" s="55" t="str">
        <f>IFERROR(IF($G1309="","",VLOOKUP('Dashboard And Emails Automate'!$G1309,Database!$H:$N,3,0)),"")</f>
        <v/>
      </c>
      <c r="J1309" s="55" t="str">
        <f>IFERROR(IF($G1309="","",VLOOKUP('Dashboard And Emails Automate'!$G1309,Database!$H:$N,4,0)),"")</f>
        <v/>
      </c>
      <c r="K1309" s="55" t="str">
        <f>IFERROR(IF($G1309="","",VLOOKUP('Dashboard And Emails Automate'!$G1309,Database!$H:$N,5,0)),"")</f>
        <v/>
      </c>
      <c r="L1309" s="55" t="str">
        <f>IFERROR(IF($G1309="","",VLOOKUP('Dashboard And Emails Automate'!$G1309,Database!$H:$N,6,0)),"")</f>
        <v/>
      </c>
      <c r="M1309" s="55" t="str">
        <f>IFERROR(IF($G1309="","",VLOOKUP('Dashboard And Emails Automate'!$G1309,Database!$H:$N,7,0)),"")</f>
        <v/>
      </c>
      <c r="N1309" s="55" t="str">
        <f>IFERROR(IF(OR($B1309="",$B1309="(blank)"),"",VLOOKUP($B1309,'Email Marketing Raw Data'!$C:$O,6,0)),"")</f>
        <v/>
      </c>
      <c r="O1309" s="55" t="str">
        <f>IFERROR(IF(OR($B1309="",$B1309="(blank)"),"",VLOOKUP($B1309,'Email Marketing Raw Data'!$C:$O,7,0)),"")</f>
        <v/>
      </c>
      <c r="P1309" s="55" t="str">
        <f>IFERROR(IF(OR($B1309="",$B1309="(blank)"),"",VLOOKUP($B1309,'Email Marketing Raw Data'!$C:$O,8,0)),"")</f>
        <v/>
      </c>
      <c r="Q1309" s="62" t="str">
        <f>IFERROR(IF(OR($B1309="",$B1309="(blank)"),"",VLOOKUP($B1309,'Email Marketing Raw Data'!$C:$O,9,0)),"")</f>
        <v/>
      </c>
    </row>
    <row r="1310" spans="4:17" ht="12.75" customHeight="1" x14ac:dyDescent="0.2">
      <c r="D1310" s="58" t="str">
        <f>IFERROR(IF(F1310&lt;&gt;"pending","",IF(OR($B1310="",$B1310="(blank)"),"",VLOOKUP($B1310,'Email Marketing Raw Data'!$C:$O,10,0))),"")</f>
        <v/>
      </c>
      <c r="E1310" s="59" t="str">
        <f>IFERROR(IF(F1310&lt;&gt;"pending","",IF(OR($B1310="",$B1310="(blank)"),"",VLOOKUP($B1310,'Email Marketing Raw Data'!$C:$O,11,0))),"")</f>
        <v/>
      </c>
      <c r="F1310" s="54" t="str">
        <f>IFERROR(IF(OR($B1310="",$B1310="(blank)"),"",VLOOKUP($B1310,'Email Marketing Raw Data'!$C:$O,13,0)),"")</f>
        <v/>
      </c>
      <c r="G1310" s="55" t="str">
        <f>IFERROR(IF(OR($B1310="",$B1310="(blank)"),"",VLOOKUP($B1310,'Email Marketing Raw Data'!$C:$O,4,0)),"")</f>
        <v/>
      </c>
      <c r="H1310" s="55" t="str">
        <f>IFERROR(IF(OR($B1310="",$B1310="(blank)"),"",VLOOKUP($B1310,'Email Marketing Raw Data'!$C:$O,5,0)),"")</f>
        <v/>
      </c>
      <c r="I1310" s="55" t="str">
        <f>IFERROR(IF($G1310="","",VLOOKUP('Dashboard And Emails Automate'!$G1310,Database!$H:$N,3,0)),"")</f>
        <v/>
      </c>
      <c r="J1310" s="55" t="str">
        <f>IFERROR(IF($G1310="","",VLOOKUP('Dashboard And Emails Automate'!$G1310,Database!$H:$N,4,0)),"")</f>
        <v/>
      </c>
      <c r="K1310" s="55" t="str">
        <f>IFERROR(IF($G1310="","",VLOOKUP('Dashboard And Emails Automate'!$G1310,Database!$H:$N,5,0)),"")</f>
        <v/>
      </c>
      <c r="L1310" s="55" t="str">
        <f>IFERROR(IF($G1310="","",VLOOKUP('Dashboard And Emails Automate'!$G1310,Database!$H:$N,6,0)),"")</f>
        <v/>
      </c>
      <c r="M1310" s="55" t="str">
        <f>IFERROR(IF($G1310="","",VLOOKUP('Dashboard And Emails Automate'!$G1310,Database!$H:$N,7,0)),"")</f>
        <v/>
      </c>
      <c r="N1310" s="55" t="str">
        <f>IFERROR(IF(OR($B1310="",$B1310="(blank)"),"",VLOOKUP($B1310,'Email Marketing Raw Data'!$C:$O,6,0)),"")</f>
        <v/>
      </c>
      <c r="O1310" s="55" t="str">
        <f>IFERROR(IF(OR($B1310="",$B1310="(blank)"),"",VLOOKUP($B1310,'Email Marketing Raw Data'!$C:$O,7,0)),"")</f>
        <v/>
      </c>
      <c r="P1310" s="55" t="str">
        <f>IFERROR(IF(OR($B1310="",$B1310="(blank)"),"",VLOOKUP($B1310,'Email Marketing Raw Data'!$C:$O,8,0)),"")</f>
        <v/>
      </c>
      <c r="Q1310" s="62" t="str">
        <f>IFERROR(IF(OR($B1310="",$B1310="(blank)"),"",VLOOKUP($B1310,'Email Marketing Raw Data'!$C:$O,9,0)),"")</f>
        <v/>
      </c>
    </row>
    <row r="1311" spans="4:17" ht="12.75" customHeight="1" x14ac:dyDescent="0.2">
      <c r="D1311" s="58" t="str">
        <f>IFERROR(IF(F1311&lt;&gt;"pending","",IF(OR($B1311="",$B1311="(blank)"),"",VLOOKUP($B1311,'Email Marketing Raw Data'!$C:$O,10,0))),"")</f>
        <v/>
      </c>
      <c r="E1311" s="59" t="str">
        <f>IFERROR(IF(F1311&lt;&gt;"pending","",IF(OR($B1311="",$B1311="(blank)"),"",VLOOKUP($B1311,'Email Marketing Raw Data'!$C:$O,11,0))),"")</f>
        <v/>
      </c>
      <c r="F1311" s="54" t="str">
        <f>IFERROR(IF(OR($B1311="",$B1311="(blank)"),"",VLOOKUP($B1311,'Email Marketing Raw Data'!$C:$O,13,0)),"")</f>
        <v/>
      </c>
      <c r="G1311" s="55" t="str">
        <f>IFERROR(IF(OR($B1311="",$B1311="(blank)"),"",VLOOKUP($B1311,'Email Marketing Raw Data'!$C:$O,4,0)),"")</f>
        <v/>
      </c>
      <c r="H1311" s="55" t="str">
        <f>IFERROR(IF(OR($B1311="",$B1311="(blank)"),"",VLOOKUP($B1311,'Email Marketing Raw Data'!$C:$O,5,0)),"")</f>
        <v/>
      </c>
      <c r="I1311" s="55" t="str">
        <f>IFERROR(IF($G1311="","",VLOOKUP('Dashboard And Emails Automate'!$G1311,Database!$H:$N,3,0)),"")</f>
        <v/>
      </c>
      <c r="J1311" s="55" t="str">
        <f>IFERROR(IF($G1311="","",VLOOKUP('Dashboard And Emails Automate'!$G1311,Database!$H:$N,4,0)),"")</f>
        <v/>
      </c>
      <c r="K1311" s="55" t="str">
        <f>IFERROR(IF($G1311="","",VLOOKUP('Dashboard And Emails Automate'!$G1311,Database!$H:$N,5,0)),"")</f>
        <v/>
      </c>
      <c r="L1311" s="55" t="str">
        <f>IFERROR(IF($G1311="","",VLOOKUP('Dashboard And Emails Automate'!$G1311,Database!$H:$N,6,0)),"")</f>
        <v/>
      </c>
      <c r="M1311" s="55" t="str">
        <f>IFERROR(IF($G1311="","",VLOOKUP('Dashboard And Emails Automate'!$G1311,Database!$H:$N,7,0)),"")</f>
        <v/>
      </c>
      <c r="N1311" s="55" t="str">
        <f>IFERROR(IF(OR($B1311="",$B1311="(blank)"),"",VLOOKUP($B1311,'Email Marketing Raw Data'!$C:$O,6,0)),"")</f>
        <v/>
      </c>
      <c r="O1311" s="55" t="str">
        <f>IFERROR(IF(OR($B1311="",$B1311="(blank)"),"",VLOOKUP($B1311,'Email Marketing Raw Data'!$C:$O,7,0)),"")</f>
        <v/>
      </c>
      <c r="P1311" s="55" t="str">
        <f>IFERROR(IF(OR($B1311="",$B1311="(blank)"),"",VLOOKUP($B1311,'Email Marketing Raw Data'!$C:$O,8,0)),"")</f>
        <v/>
      </c>
      <c r="Q1311" s="62" t="str">
        <f>IFERROR(IF(OR($B1311="",$B1311="(blank)"),"",VLOOKUP($B1311,'Email Marketing Raw Data'!$C:$O,9,0)),"")</f>
        <v/>
      </c>
    </row>
    <row r="1312" spans="4:17" ht="12.75" customHeight="1" x14ac:dyDescent="0.2">
      <c r="D1312" s="58" t="str">
        <f>IFERROR(IF(F1312&lt;&gt;"pending","",IF(OR($B1312="",$B1312="(blank)"),"",VLOOKUP($B1312,'Email Marketing Raw Data'!$C:$O,10,0))),"")</f>
        <v/>
      </c>
      <c r="E1312" s="59" t="str">
        <f>IFERROR(IF(F1312&lt;&gt;"pending","",IF(OR($B1312="",$B1312="(blank)"),"",VLOOKUP($B1312,'Email Marketing Raw Data'!$C:$O,11,0))),"")</f>
        <v/>
      </c>
      <c r="F1312" s="54" t="str">
        <f>IFERROR(IF(OR($B1312="",$B1312="(blank)"),"",VLOOKUP($B1312,'Email Marketing Raw Data'!$C:$O,13,0)),"")</f>
        <v/>
      </c>
      <c r="G1312" s="55" t="str">
        <f>IFERROR(IF(OR($B1312="",$B1312="(blank)"),"",VLOOKUP($B1312,'Email Marketing Raw Data'!$C:$O,4,0)),"")</f>
        <v/>
      </c>
      <c r="H1312" s="55" t="str">
        <f>IFERROR(IF(OR($B1312="",$B1312="(blank)"),"",VLOOKUP($B1312,'Email Marketing Raw Data'!$C:$O,5,0)),"")</f>
        <v/>
      </c>
      <c r="I1312" s="55" t="str">
        <f>IFERROR(IF($G1312="","",VLOOKUP('Dashboard And Emails Automate'!$G1312,Database!$H:$N,3,0)),"")</f>
        <v/>
      </c>
      <c r="J1312" s="55" t="str">
        <f>IFERROR(IF($G1312="","",VLOOKUP('Dashboard And Emails Automate'!$G1312,Database!$H:$N,4,0)),"")</f>
        <v/>
      </c>
      <c r="K1312" s="55" t="str">
        <f>IFERROR(IF($G1312="","",VLOOKUP('Dashboard And Emails Automate'!$G1312,Database!$H:$N,5,0)),"")</f>
        <v/>
      </c>
      <c r="L1312" s="55" t="str">
        <f>IFERROR(IF($G1312="","",VLOOKUP('Dashboard And Emails Automate'!$G1312,Database!$H:$N,6,0)),"")</f>
        <v/>
      </c>
      <c r="M1312" s="55" t="str">
        <f>IFERROR(IF($G1312="","",VLOOKUP('Dashboard And Emails Automate'!$G1312,Database!$H:$N,7,0)),"")</f>
        <v/>
      </c>
      <c r="N1312" s="55" t="str">
        <f>IFERROR(IF(OR($B1312="",$B1312="(blank)"),"",VLOOKUP($B1312,'Email Marketing Raw Data'!$C:$O,6,0)),"")</f>
        <v/>
      </c>
      <c r="O1312" s="55" t="str">
        <f>IFERROR(IF(OR($B1312="",$B1312="(blank)"),"",VLOOKUP($B1312,'Email Marketing Raw Data'!$C:$O,7,0)),"")</f>
        <v/>
      </c>
      <c r="P1312" s="55" t="str">
        <f>IFERROR(IF(OR($B1312="",$B1312="(blank)"),"",VLOOKUP($B1312,'Email Marketing Raw Data'!$C:$O,8,0)),"")</f>
        <v/>
      </c>
      <c r="Q1312" s="62" t="str">
        <f>IFERROR(IF(OR($B1312="",$B1312="(blank)"),"",VLOOKUP($B1312,'Email Marketing Raw Data'!$C:$O,9,0)),"")</f>
        <v/>
      </c>
    </row>
    <row r="1313" spans="4:17" ht="12.75" customHeight="1" x14ac:dyDescent="0.2">
      <c r="D1313" s="58" t="str">
        <f>IFERROR(IF(F1313&lt;&gt;"pending","",IF(OR($B1313="",$B1313="(blank)"),"",VLOOKUP($B1313,'Email Marketing Raw Data'!$C:$O,10,0))),"")</f>
        <v/>
      </c>
      <c r="E1313" s="59" t="str">
        <f>IFERROR(IF(F1313&lt;&gt;"pending","",IF(OR($B1313="",$B1313="(blank)"),"",VLOOKUP($B1313,'Email Marketing Raw Data'!$C:$O,11,0))),"")</f>
        <v/>
      </c>
      <c r="F1313" s="54" t="str">
        <f>IFERROR(IF(OR($B1313="",$B1313="(blank)"),"",VLOOKUP($B1313,'Email Marketing Raw Data'!$C:$O,13,0)),"")</f>
        <v/>
      </c>
      <c r="G1313" s="55" t="str">
        <f>IFERROR(IF(OR($B1313="",$B1313="(blank)"),"",VLOOKUP($B1313,'Email Marketing Raw Data'!$C:$O,4,0)),"")</f>
        <v/>
      </c>
      <c r="H1313" s="55" t="str">
        <f>IFERROR(IF(OR($B1313="",$B1313="(blank)"),"",VLOOKUP($B1313,'Email Marketing Raw Data'!$C:$O,5,0)),"")</f>
        <v/>
      </c>
      <c r="I1313" s="55" t="str">
        <f>IFERROR(IF($G1313="","",VLOOKUP('Dashboard And Emails Automate'!$G1313,Database!$H:$N,3,0)),"")</f>
        <v/>
      </c>
      <c r="J1313" s="55" t="str">
        <f>IFERROR(IF($G1313="","",VLOOKUP('Dashboard And Emails Automate'!$G1313,Database!$H:$N,4,0)),"")</f>
        <v/>
      </c>
      <c r="K1313" s="55" t="str">
        <f>IFERROR(IF($G1313="","",VLOOKUP('Dashboard And Emails Automate'!$G1313,Database!$H:$N,5,0)),"")</f>
        <v/>
      </c>
      <c r="L1313" s="55" t="str">
        <f>IFERROR(IF($G1313="","",VLOOKUP('Dashboard And Emails Automate'!$G1313,Database!$H:$N,6,0)),"")</f>
        <v/>
      </c>
      <c r="M1313" s="55" t="str">
        <f>IFERROR(IF($G1313="","",VLOOKUP('Dashboard And Emails Automate'!$G1313,Database!$H:$N,7,0)),"")</f>
        <v/>
      </c>
      <c r="N1313" s="55" t="str">
        <f>IFERROR(IF(OR($B1313="",$B1313="(blank)"),"",VLOOKUP($B1313,'Email Marketing Raw Data'!$C:$O,6,0)),"")</f>
        <v/>
      </c>
      <c r="O1313" s="55" t="str">
        <f>IFERROR(IF(OR($B1313="",$B1313="(blank)"),"",VLOOKUP($B1313,'Email Marketing Raw Data'!$C:$O,7,0)),"")</f>
        <v/>
      </c>
      <c r="P1313" s="55" t="str">
        <f>IFERROR(IF(OR($B1313="",$B1313="(blank)"),"",VLOOKUP($B1313,'Email Marketing Raw Data'!$C:$O,8,0)),"")</f>
        <v/>
      </c>
      <c r="Q1313" s="62" t="str">
        <f>IFERROR(IF(OR($B1313="",$B1313="(blank)"),"",VLOOKUP($B1313,'Email Marketing Raw Data'!$C:$O,9,0)),"")</f>
        <v/>
      </c>
    </row>
    <row r="1314" spans="4:17" ht="12.75" customHeight="1" x14ac:dyDescent="0.2">
      <c r="D1314" s="58" t="str">
        <f>IFERROR(IF(F1314&lt;&gt;"pending","",IF(OR($B1314="",$B1314="(blank)"),"",VLOOKUP($B1314,'Email Marketing Raw Data'!$C:$O,10,0))),"")</f>
        <v/>
      </c>
      <c r="E1314" s="59" t="str">
        <f>IFERROR(IF(F1314&lt;&gt;"pending","",IF(OR($B1314="",$B1314="(blank)"),"",VLOOKUP($B1314,'Email Marketing Raw Data'!$C:$O,11,0))),"")</f>
        <v/>
      </c>
      <c r="F1314" s="54" t="str">
        <f>IFERROR(IF(OR($B1314="",$B1314="(blank)"),"",VLOOKUP($B1314,'Email Marketing Raw Data'!$C:$O,13,0)),"")</f>
        <v/>
      </c>
      <c r="G1314" s="55" t="str">
        <f>IFERROR(IF(OR($B1314="",$B1314="(blank)"),"",VLOOKUP($B1314,'Email Marketing Raw Data'!$C:$O,4,0)),"")</f>
        <v/>
      </c>
      <c r="H1314" s="55" t="str">
        <f>IFERROR(IF(OR($B1314="",$B1314="(blank)"),"",VLOOKUP($B1314,'Email Marketing Raw Data'!$C:$O,5,0)),"")</f>
        <v/>
      </c>
      <c r="I1314" s="55" t="str">
        <f>IFERROR(IF($G1314="","",VLOOKUP('Dashboard And Emails Automate'!$G1314,Database!$H:$N,3,0)),"")</f>
        <v/>
      </c>
      <c r="J1314" s="55" t="str">
        <f>IFERROR(IF($G1314="","",VLOOKUP('Dashboard And Emails Automate'!$G1314,Database!$H:$N,4,0)),"")</f>
        <v/>
      </c>
      <c r="K1314" s="55" t="str">
        <f>IFERROR(IF($G1314="","",VLOOKUP('Dashboard And Emails Automate'!$G1314,Database!$H:$N,5,0)),"")</f>
        <v/>
      </c>
      <c r="L1314" s="55" t="str">
        <f>IFERROR(IF($G1314="","",VLOOKUP('Dashboard And Emails Automate'!$G1314,Database!$H:$N,6,0)),"")</f>
        <v/>
      </c>
      <c r="M1314" s="55" t="str">
        <f>IFERROR(IF($G1314="","",VLOOKUP('Dashboard And Emails Automate'!$G1314,Database!$H:$N,7,0)),"")</f>
        <v/>
      </c>
      <c r="N1314" s="55" t="str">
        <f>IFERROR(IF(OR($B1314="",$B1314="(blank)"),"",VLOOKUP($B1314,'Email Marketing Raw Data'!$C:$O,6,0)),"")</f>
        <v/>
      </c>
      <c r="O1314" s="55" t="str">
        <f>IFERROR(IF(OR($B1314="",$B1314="(blank)"),"",VLOOKUP($B1314,'Email Marketing Raw Data'!$C:$O,7,0)),"")</f>
        <v/>
      </c>
      <c r="P1314" s="55" t="str">
        <f>IFERROR(IF(OR($B1314="",$B1314="(blank)"),"",VLOOKUP($B1314,'Email Marketing Raw Data'!$C:$O,8,0)),"")</f>
        <v/>
      </c>
      <c r="Q1314" s="62" t="str">
        <f>IFERROR(IF(OR($B1314="",$B1314="(blank)"),"",VLOOKUP($B1314,'Email Marketing Raw Data'!$C:$O,9,0)),"")</f>
        <v/>
      </c>
    </row>
    <row r="1315" spans="4:17" ht="12.75" customHeight="1" x14ac:dyDescent="0.2">
      <c r="D1315" s="58" t="str">
        <f>IFERROR(IF(F1315&lt;&gt;"pending","",IF(OR($B1315="",$B1315="(blank)"),"",VLOOKUP($B1315,'Email Marketing Raw Data'!$C:$O,10,0))),"")</f>
        <v/>
      </c>
      <c r="E1315" s="59" t="str">
        <f>IFERROR(IF(F1315&lt;&gt;"pending","",IF(OR($B1315="",$B1315="(blank)"),"",VLOOKUP($B1315,'Email Marketing Raw Data'!$C:$O,11,0))),"")</f>
        <v/>
      </c>
      <c r="F1315" s="54" t="str">
        <f>IFERROR(IF(OR($B1315="",$B1315="(blank)"),"",VLOOKUP($B1315,'Email Marketing Raw Data'!$C:$O,13,0)),"")</f>
        <v/>
      </c>
      <c r="G1315" s="55" t="str">
        <f>IFERROR(IF(OR($B1315="",$B1315="(blank)"),"",VLOOKUP($B1315,'Email Marketing Raw Data'!$C:$O,4,0)),"")</f>
        <v/>
      </c>
      <c r="H1315" s="55" t="str">
        <f>IFERROR(IF(OR($B1315="",$B1315="(blank)"),"",VLOOKUP($B1315,'Email Marketing Raw Data'!$C:$O,5,0)),"")</f>
        <v/>
      </c>
      <c r="I1315" s="55" t="str">
        <f>IFERROR(IF($G1315="","",VLOOKUP('Dashboard And Emails Automate'!$G1315,Database!$H:$N,3,0)),"")</f>
        <v/>
      </c>
      <c r="J1315" s="55" t="str">
        <f>IFERROR(IF($G1315="","",VLOOKUP('Dashboard And Emails Automate'!$G1315,Database!$H:$N,4,0)),"")</f>
        <v/>
      </c>
      <c r="K1315" s="55" t="str">
        <f>IFERROR(IF($G1315="","",VLOOKUP('Dashboard And Emails Automate'!$G1315,Database!$H:$N,5,0)),"")</f>
        <v/>
      </c>
      <c r="L1315" s="55" t="str">
        <f>IFERROR(IF($G1315="","",VLOOKUP('Dashboard And Emails Automate'!$G1315,Database!$H:$N,6,0)),"")</f>
        <v/>
      </c>
      <c r="M1315" s="55" t="str">
        <f>IFERROR(IF($G1315="","",VLOOKUP('Dashboard And Emails Automate'!$G1315,Database!$H:$N,7,0)),"")</f>
        <v/>
      </c>
      <c r="N1315" s="55" t="str">
        <f>IFERROR(IF(OR($B1315="",$B1315="(blank)"),"",VLOOKUP($B1315,'Email Marketing Raw Data'!$C:$O,6,0)),"")</f>
        <v/>
      </c>
      <c r="O1315" s="55" t="str">
        <f>IFERROR(IF(OR($B1315="",$B1315="(blank)"),"",VLOOKUP($B1315,'Email Marketing Raw Data'!$C:$O,7,0)),"")</f>
        <v/>
      </c>
      <c r="P1315" s="55" t="str">
        <f>IFERROR(IF(OR($B1315="",$B1315="(blank)"),"",VLOOKUP($B1315,'Email Marketing Raw Data'!$C:$O,8,0)),"")</f>
        <v/>
      </c>
      <c r="Q1315" s="62" t="str">
        <f>IFERROR(IF(OR($B1315="",$B1315="(blank)"),"",VLOOKUP($B1315,'Email Marketing Raw Data'!$C:$O,9,0)),"")</f>
        <v/>
      </c>
    </row>
    <row r="1316" spans="4:17" ht="12.75" customHeight="1" x14ac:dyDescent="0.2">
      <c r="D1316" s="58" t="str">
        <f>IFERROR(IF(F1316&lt;&gt;"pending","",IF(OR($B1316="",$B1316="(blank)"),"",VLOOKUP($B1316,'Email Marketing Raw Data'!$C:$O,10,0))),"")</f>
        <v/>
      </c>
      <c r="E1316" s="59" t="str">
        <f>IFERROR(IF(F1316&lt;&gt;"pending","",IF(OR($B1316="",$B1316="(blank)"),"",VLOOKUP($B1316,'Email Marketing Raw Data'!$C:$O,11,0))),"")</f>
        <v/>
      </c>
      <c r="F1316" s="54" t="str">
        <f>IFERROR(IF(OR($B1316="",$B1316="(blank)"),"",VLOOKUP($B1316,'Email Marketing Raw Data'!$C:$O,13,0)),"")</f>
        <v/>
      </c>
      <c r="G1316" s="55" t="str">
        <f>IFERROR(IF(OR($B1316="",$B1316="(blank)"),"",VLOOKUP($B1316,'Email Marketing Raw Data'!$C:$O,4,0)),"")</f>
        <v/>
      </c>
      <c r="H1316" s="55" t="str">
        <f>IFERROR(IF(OR($B1316="",$B1316="(blank)"),"",VLOOKUP($B1316,'Email Marketing Raw Data'!$C:$O,5,0)),"")</f>
        <v/>
      </c>
      <c r="I1316" s="55" t="str">
        <f>IFERROR(IF($G1316="","",VLOOKUP('Dashboard And Emails Automate'!$G1316,Database!$H:$N,3,0)),"")</f>
        <v/>
      </c>
      <c r="J1316" s="55" t="str">
        <f>IFERROR(IF($G1316="","",VLOOKUP('Dashboard And Emails Automate'!$G1316,Database!$H:$N,4,0)),"")</f>
        <v/>
      </c>
      <c r="K1316" s="55" t="str">
        <f>IFERROR(IF($G1316="","",VLOOKUP('Dashboard And Emails Automate'!$G1316,Database!$H:$N,5,0)),"")</f>
        <v/>
      </c>
      <c r="L1316" s="55" t="str">
        <f>IFERROR(IF($G1316="","",VLOOKUP('Dashboard And Emails Automate'!$G1316,Database!$H:$N,6,0)),"")</f>
        <v/>
      </c>
      <c r="M1316" s="55" t="str">
        <f>IFERROR(IF($G1316="","",VLOOKUP('Dashboard And Emails Automate'!$G1316,Database!$H:$N,7,0)),"")</f>
        <v/>
      </c>
      <c r="N1316" s="55" t="str">
        <f>IFERROR(IF(OR($B1316="",$B1316="(blank)"),"",VLOOKUP($B1316,'Email Marketing Raw Data'!$C:$O,6,0)),"")</f>
        <v/>
      </c>
      <c r="O1316" s="55" t="str">
        <f>IFERROR(IF(OR($B1316="",$B1316="(blank)"),"",VLOOKUP($B1316,'Email Marketing Raw Data'!$C:$O,7,0)),"")</f>
        <v/>
      </c>
      <c r="P1316" s="55" t="str">
        <f>IFERROR(IF(OR($B1316="",$B1316="(blank)"),"",VLOOKUP($B1316,'Email Marketing Raw Data'!$C:$O,8,0)),"")</f>
        <v/>
      </c>
      <c r="Q1316" s="62" t="str">
        <f>IFERROR(IF(OR($B1316="",$B1316="(blank)"),"",VLOOKUP($B1316,'Email Marketing Raw Data'!$C:$O,9,0)),"")</f>
        <v/>
      </c>
    </row>
    <row r="1317" spans="4:17" ht="12.75" customHeight="1" x14ac:dyDescent="0.2">
      <c r="D1317" s="58" t="str">
        <f>IFERROR(IF(F1317&lt;&gt;"pending","",IF(OR($B1317="",$B1317="(blank)"),"",VLOOKUP($B1317,'Email Marketing Raw Data'!$C:$O,10,0))),"")</f>
        <v/>
      </c>
      <c r="E1317" s="59" t="str">
        <f>IFERROR(IF(F1317&lt;&gt;"pending","",IF(OR($B1317="",$B1317="(blank)"),"",VLOOKUP($B1317,'Email Marketing Raw Data'!$C:$O,11,0))),"")</f>
        <v/>
      </c>
      <c r="F1317" s="54" t="str">
        <f>IFERROR(IF(OR($B1317="",$B1317="(blank)"),"",VLOOKUP($B1317,'Email Marketing Raw Data'!$C:$O,13,0)),"")</f>
        <v/>
      </c>
      <c r="G1317" s="55" t="str">
        <f>IFERROR(IF(OR($B1317="",$B1317="(blank)"),"",VLOOKUP($B1317,'Email Marketing Raw Data'!$C:$O,4,0)),"")</f>
        <v/>
      </c>
      <c r="H1317" s="55" t="str">
        <f>IFERROR(IF(OR($B1317="",$B1317="(blank)"),"",VLOOKUP($B1317,'Email Marketing Raw Data'!$C:$O,5,0)),"")</f>
        <v/>
      </c>
      <c r="I1317" s="55" t="str">
        <f>IFERROR(IF($G1317="","",VLOOKUP('Dashboard And Emails Automate'!$G1317,Database!$H:$N,3,0)),"")</f>
        <v/>
      </c>
      <c r="J1317" s="55" t="str">
        <f>IFERROR(IF($G1317="","",VLOOKUP('Dashboard And Emails Automate'!$G1317,Database!$H:$N,4,0)),"")</f>
        <v/>
      </c>
      <c r="K1317" s="55" t="str">
        <f>IFERROR(IF($G1317="","",VLOOKUP('Dashboard And Emails Automate'!$G1317,Database!$H:$N,5,0)),"")</f>
        <v/>
      </c>
      <c r="L1317" s="55" t="str">
        <f>IFERROR(IF($G1317="","",VLOOKUP('Dashboard And Emails Automate'!$G1317,Database!$H:$N,6,0)),"")</f>
        <v/>
      </c>
      <c r="M1317" s="55" t="str">
        <f>IFERROR(IF($G1317="","",VLOOKUP('Dashboard And Emails Automate'!$G1317,Database!$H:$N,7,0)),"")</f>
        <v/>
      </c>
      <c r="N1317" s="55" t="str">
        <f>IFERROR(IF(OR($B1317="",$B1317="(blank)"),"",VLOOKUP($B1317,'Email Marketing Raw Data'!$C:$O,6,0)),"")</f>
        <v/>
      </c>
      <c r="O1317" s="55" t="str">
        <f>IFERROR(IF(OR($B1317="",$B1317="(blank)"),"",VLOOKUP($B1317,'Email Marketing Raw Data'!$C:$O,7,0)),"")</f>
        <v/>
      </c>
      <c r="P1317" s="55" t="str">
        <f>IFERROR(IF(OR($B1317="",$B1317="(blank)"),"",VLOOKUP($B1317,'Email Marketing Raw Data'!$C:$O,8,0)),"")</f>
        <v/>
      </c>
      <c r="Q1317" s="62" t="str">
        <f>IFERROR(IF(OR($B1317="",$B1317="(blank)"),"",VLOOKUP($B1317,'Email Marketing Raw Data'!$C:$O,9,0)),"")</f>
        <v/>
      </c>
    </row>
    <row r="1318" spans="4:17" ht="12.75" customHeight="1" x14ac:dyDescent="0.2">
      <c r="D1318" s="58" t="str">
        <f>IFERROR(IF(F1318&lt;&gt;"pending","",IF(OR($B1318="",$B1318="(blank)"),"",VLOOKUP($B1318,'Email Marketing Raw Data'!$C:$O,10,0))),"")</f>
        <v/>
      </c>
      <c r="E1318" s="59" t="str">
        <f>IFERROR(IF(F1318&lt;&gt;"pending","",IF(OR($B1318="",$B1318="(blank)"),"",VLOOKUP($B1318,'Email Marketing Raw Data'!$C:$O,11,0))),"")</f>
        <v/>
      </c>
      <c r="F1318" s="54" t="str">
        <f>IFERROR(IF(OR($B1318="",$B1318="(blank)"),"",VLOOKUP($B1318,'Email Marketing Raw Data'!$C:$O,13,0)),"")</f>
        <v/>
      </c>
      <c r="G1318" s="55" t="str">
        <f>IFERROR(IF(OR($B1318="",$B1318="(blank)"),"",VLOOKUP($B1318,'Email Marketing Raw Data'!$C:$O,4,0)),"")</f>
        <v/>
      </c>
      <c r="H1318" s="55" t="str">
        <f>IFERROR(IF(OR($B1318="",$B1318="(blank)"),"",VLOOKUP($B1318,'Email Marketing Raw Data'!$C:$O,5,0)),"")</f>
        <v/>
      </c>
      <c r="I1318" s="55" t="str">
        <f>IFERROR(IF($G1318="","",VLOOKUP('Dashboard And Emails Automate'!$G1318,Database!$H:$N,3,0)),"")</f>
        <v/>
      </c>
      <c r="J1318" s="55" t="str">
        <f>IFERROR(IF($G1318="","",VLOOKUP('Dashboard And Emails Automate'!$G1318,Database!$H:$N,4,0)),"")</f>
        <v/>
      </c>
      <c r="K1318" s="55" t="str">
        <f>IFERROR(IF($G1318="","",VLOOKUP('Dashboard And Emails Automate'!$G1318,Database!$H:$N,5,0)),"")</f>
        <v/>
      </c>
      <c r="L1318" s="55" t="str">
        <f>IFERROR(IF($G1318="","",VLOOKUP('Dashboard And Emails Automate'!$G1318,Database!$H:$N,6,0)),"")</f>
        <v/>
      </c>
      <c r="M1318" s="55" t="str">
        <f>IFERROR(IF($G1318="","",VLOOKUP('Dashboard And Emails Automate'!$G1318,Database!$H:$N,7,0)),"")</f>
        <v/>
      </c>
      <c r="N1318" s="55" t="str">
        <f>IFERROR(IF(OR($B1318="",$B1318="(blank)"),"",VLOOKUP($B1318,'Email Marketing Raw Data'!$C:$O,6,0)),"")</f>
        <v/>
      </c>
      <c r="O1318" s="55" t="str">
        <f>IFERROR(IF(OR($B1318="",$B1318="(blank)"),"",VLOOKUP($B1318,'Email Marketing Raw Data'!$C:$O,7,0)),"")</f>
        <v/>
      </c>
      <c r="P1318" s="55" t="str">
        <f>IFERROR(IF(OR($B1318="",$B1318="(blank)"),"",VLOOKUP($B1318,'Email Marketing Raw Data'!$C:$O,8,0)),"")</f>
        <v/>
      </c>
      <c r="Q1318" s="62" t="str">
        <f>IFERROR(IF(OR($B1318="",$B1318="(blank)"),"",VLOOKUP($B1318,'Email Marketing Raw Data'!$C:$O,9,0)),"")</f>
        <v/>
      </c>
    </row>
    <row r="1319" spans="4:17" ht="12.75" customHeight="1" x14ac:dyDescent="0.2">
      <c r="D1319" s="58" t="str">
        <f>IFERROR(IF(F1319&lt;&gt;"pending","",IF(OR($B1319="",$B1319="(blank)"),"",VLOOKUP($B1319,'Email Marketing Raw Data'!$C:$O,10,0))),"")</f>
        <v/>
      </c>
      <c r="E1319" s="59" t="str">
        <f>IFERROR(IF(F1319&lt;&gt;"pending","",IF(OR($B1319="",$B1319="(blank)"),"",VLOOKUP($B1319,'Email Marketing Raw Data'!$C:$O,11,0))),"")</f>
        <v/>
      </c>
      <c r="F1319" s="54" t="str">
        <f>IFERROR(IF(OR($B1319="",$B1319="(blank)"),"",VLOOKUP($B1319,'Email Marketing Raw Data'!$C:$O,13,0)),"")</f>
        <v/>
      </c>
      <c r="G1319" s="55" t="str">
        <f>IFERROR(IF(OR($B1319="",$B1319="(blank)"),"",VLOOKUP($B1319,'Email Marketing Raw Data'!$C:$O,4,0)),"")</f>
        <v/>
      </c>
      <c r="H1319" s="55" t="str">
        <f>IFERROR(IF(OR($B1319="",$B1319="(blank)"),"",VLOOKUP($B1319,'Email Marketing Raw Data'!$C:$O,5,0)),"")</f>
        <v/>
      </c>
      <c r="I1319" s="55" t="str">
        <f>IFERROR(IF($G1319="","",VLOOKUP('Dashboard And Emails Automate'!$G1319,Database!$H:$N,3,0)),"")</f>
        <v/>
      </c>
      <c r="J1319" s="55" t="str">
        <f>IFERROR(IF($G1319="","",VLOOKUP('Dashboard And Emails Automate'!$G1319,Database!$H:$N,4,0)),"")</f>
        <v/>
      </c>
      <c r="K1319" s="55" t="str">
        <f>IFERROR(IF($G1319="","",VLOOKUP('Dashboard And Emails Automate'!$G1319,Database!$H:$N,5,0)),"")</f>
        <v/>
      </c>
      <c r="L1319" s="55" t="str">
        <f>IFERROR(IF($G1319="","",VLOOKUP('Dashboard And Emails Automate'!$G1319,Database!$H:$N,6,0)),"")</f>
        <v/>
      </c>
      <c r="M1319" s="55" t="str">
        <f>IFERROR(IF($G1319="","",VLOOKUP('Dashboard And Emails Automate'!$G1319,Database!$H:$N,7,0)),"")</f>
        <v/>
      </c>
      <c r="N1319" s="55" t="str">
        <f>IFERROR(IF(OR($B1319="",$B1319="(blank)"),"",VLOOKUP($B1319,'Email Marketing Raw Data'!$C:$O,6,0)),"")</f>
        <v/>
      </c>
      <c r="O1319" s="55" t="str">
        <f>IFERROR(IF(OR($B1319="",$B1319="(blank)"),"",VLOOKUP($B1319,'Email Marketing Raw Data'!$C:$O,7,0)),"")</f>
        <v/>
      </c>
      <c r="P1319" s="55" t="str">
        <f>IFERROR(IF(OR($B1319="",$B1319="(blank)"),"",VLOOKUP($B1319,'Email Marketing Raw Data'!$C:$O,8,0)),"")</f>
        <v/>
      </c>
      <c r="Q1319" s="62" t="str">
        <f>IFERROR(IF(OR($B1319="",$B1319="(blank)"),"",VLOOKUP($B1319,'Email Marketing Raw Data'!$C:$O,9,0)),"")</f>
        <v/>
      </c>
    </row>
    <row r="1320" spans="4:17" ht="12.75" customHeight="1" x14ac:dyDescent="0.2">
      <c r="D1320" s="58" t="str">
        <f>IFERROR(IF(F1320&lt;&gt;"pending","",IF(OR($B1320="",$B1320="(blank)"),"",VLOOKUP($B1320,'Email Marketing Raw Data'!$C:$O,10,0))),"")</f>
        <v/>
      </c>
      <c r="E1320" s="59" t="str">
        <f>IFERROR(IF(F1320&lt;&gt;"pending","",IF(OR($B1320="",$B1320="(blank)"),"",VLOOKUP($B1320,'Email Marketing Raw Data'!$C:$O,11,0))),"")</f>
        <v/>
      </c>
      <c r="F1320" s="54" t="str">
        <f>IFERROR(IF(OR($B1320="",$B1320="(blank)"),"",VLOOKUP($B1320,'Email Marketing Raw Data'!$C:$O,13,0)),"")</f>
        <v/>
      </c>
      <c r="G1320" s="55" t="str">
        <f>IFERROR(IF(OR($B1320="",$B1320="(blank)"),"",VLOOKUP($B1320,'Email Marketing Raw Data'!$C:$O,4,0)),"")</f>
        <v/>
      </c>
      <c r="H1320" s="55" t="str">
        <f>IFERROR(IF(OR($B1320="",$B1320="(blank)"),"",VLOOKUP($B1320,'Email Marketing Raw Data'!$C:$O,5,0)),"")</f>
        <v/>
      </c>
      <c r="I1320" s="55" t="str">
        <f>IFERROR(IF($G1320="","",VLOOKUP('Dashboard And Emails Automate'!$G1320,Database!$H:$N,3,0)),"")</f>
        <v/>
      </c>
      <c r="J1320" s="55" t="str">
        <f>IFERROR(IF($G1320="","",VLOOKUP('Dashboard And Emails Automate'!$G1320,Database!$H:$N,4,0)),"")</f>
        <v/>
      </c>
      <c r="K1320" s="55" t="str">
        <f>IFERROR(IF($G1320="","",VLOOKUP('Dashboard And Emails Automate'!$G1320,Database!$H:$N,5,0)),"")</f>
        <v/>
      </c>
      <c r="L1320" s="55" t="str">
        <f>IFERROR(IF($G1320="","",VLOOKUP('Dashboard And Emails Automate'!$G1320,Database!$H:$N,6,0)),"")</f>
        <v/>
      </c>
      <c r="M1320" s="55" t="str">
        <f>IFERROR(IF($G1320="","",VLOOKUP('Dashboard And Emails Automate'!$G1320,Database!$H:$N,7,0)),"")</f>
        <v/>
      </c>
      <c r="N1320" s="55" t="str">
        <f>IFERROR(IF(OR($B1320="",$B1320="(blank)"),"",VLOOKUP($B1320,'Email Marketing Raw Data'!$C:$O,6,0)),"")</f>
        <v/>
      </c>
      <c r="O1320" s="55" t="str">
        <f>IFERROR(IF(OR($B1320="",$B1320="(blank)"),"",VLOOKUP($B1320,'Email Marketing Raw Data'!$C:$O,7,0)),"")</f>
        <v/>
      </c>
      <c r="P1320" s="55" t="str">
        <f>IFERROR(IF(OR($B1320="",$B1320="(blank)"),"",VLOOKUP($B1320,'Email Marketing Raw Data'!$C:$O,8,0)),"")</f>
        <v/>
      </c>
      <c r="Q1320" s="62" t="str">
        <f>IFERROR(IF(OR($B1320="",$B1320="(blank)"),"",VLOOKUP($B1320,'Email Marketing Raw Data'!$C:$O,9,0)),"")</f>
        <v/>
      </c>
    </row>
    <row r="1321" spans="4:17" ht="12.75" customHeight="1" x14ac:dyDescent="0.2">
      <c r="D1321" s="58" t="str">
        <f>IFERROR(IF(F1321&lt;&gt;"pending","",IF(OR($B1321="",$B1321="(blank)"),"",VLOOKUP($B1321,'Email Marketing Raw Data'!$C:$O,10,0))),"")</f>
        <v/>
      </c>
      <c r="E1321" s="59" t="str">
        <f>IFERROR(IF(F1321&lt;&gt;"pending","",IF(OR($B1321="",$B1321="(blank)"),"",VLOOKUP($B1321,'Email Marketing Raw Data'!$C:$O,11,0))),"")</f>
        <v/>
      </c>
      <c r="F1321" s="54" t="str">
        <f>IFERROR(IF(OR($B1321="",$B1321="(blank)"),"",VLOOKUP($B1321,'Email Marketing Raw Data'!$C:$O,13,0)),"")</f>
        <v/>
      </c>
      <c r="G1321" s="55" t="str">
        <f>IFERROR(IF(OR($B1321="",$B1321="(blank)"),"",VLOOKUP($B1321,'Email Marketing Raw Data'!$C:$O,4,0)),"")</f>
        <v/>
      </c>
      <c r="H1321" s="55" t="str">
        <f>IFERROR(IF(OR($B1321="",$B1321="(blank)"),"",VLOOKUP($B1321,'Email Marketing Raw Data'!$C:$O,5,0)),"")</f>
        <v/>
      </c>
      <c r="I1321" s="55" t="str">
        <f>IFERROR(IF($G1321="","",VLOOKUP('Dashboard And Emails Automate'!$G1321,Database!$H:$N,3,0)),"")</f>
        <v/>
      </c>
      <c r="J1321" s="55" t="str">
        <f>IFERROR(IF($G1321="","",VLOOKUP('Dashboard And Emails Automate'!$G1321,Database!$H:$N,4,0)),"")</f>
        <v/>
      </c>
      <c r="K1321" s="55" t="str">
        <f>IFERROR(IF($G1321="","",VLOOKUP('Dashboard And Emails Automate'!$G1321,Database!$H:$N,5,0)),"")</f>
        <v/>
      </c>
      <c r="L1321" s="55" t="str">
        <f>IFERROR(IF($G1321="","",VLOOKUP('Dashboard And Emails Automate'!$G1321,Database!$H:$N,6,0)),"")</f>
        <v/>
      </c>
      <c r="M1321" s="55" t="str">
        <f>IFERROR(IF($G1321="","",VLOOKUP('Dashboard And Emails Automate'!$G1321,Database!$H:$N,7,0)),"")</f>
        <v/>
      </c>
      <c r="N1321" s="55" t="str">
        <f>IFERROR(IF(OR($B1321="",$B1321="(blank)"),"",VLOOKUP($B1321,'Email Marketing Raw Data'!$C:$O,6,0)),"")</f>
        <v/>
      </c>
      <c r="O1321" s="55" t="str">
        <f>IFERROR(IF(OR($B1321="",$B1321="(blank)"),"",VLOOKUP($B1321,'Email Marketing Raw Data'!$C:$O,7,0)),"")</f>
        <v/>
      </c>
      <c r="P1321" s="55" t="str">
        <f>IFERROR(IF(OR($B1321="",$B1321="(blank)"),"",VLOOKUP($B1321,'Email Marketing Raw Data'!$C:$O,8,0)),"")</f>
        <v/>
      </c>
      <c r="Q1321" s="62" t="str">
        <f>IFERROR(IF(OR($B1321="",$B1321="(blank)"),"",VLOOKUP($B1321,'Email Marketing Raw Data'!$C:$O,9,0)),"")</f>
        <v/>
      </c>
    </row>
    <row r="1322" spans="4:17" ht="12.75" customHeight="1" x14ac:dyDescent="0.2">
      <c r="D1322" s="58" t="str">
        <f>IFERROR(IF(F1322&lt;&gt;"pending","",IF(OR($B1322="",$B1322="(blank)"),"",VLOOKUP($B1322,'Email Marketing Raw Data'!$C:$O,10,0))),"")</f>
        <v/>
      </c>
      <c r="E1322" s="59" t="str">
        <f>IFERROR(IF(F1322&lt;&gt;"pending","",IF(OR($B1322="",$B1322="(blank)"),"",VLOOKUP($B1322,'Email Marketing Raw Data'!$C:$O,11,0))),"")</f>
        <v/>
      </c>
      <c r="F1322" s="54" t="str">
        <f>IFERROR(IF(OR($B1322="",$B1322="(blank)"),"",VLOOKUP($B1322,'Email Marketing Raw Data'!$C:$O,13,0)),"")</f>
        <v/>
      </c>
      <c r="G1322" s="55" t="str">
        <f>IFERROR(IF(OR($B1322="",$B1322="(blank)"),"",VLOOKUP($B1322,'Email Marketing Raw Data'!$C:$O,4,0)),"")</f>
        <v/>
      </c>
      <c r="H1322" s="55" t="str">
        <f>IFERROR(IF(OR($B1322="",$B1322="(blank)"),"",VLOOKUP($B1322,'Email Marketing Raw Data'!$C:$O,5,0)),"")</f>
        <v/>
      </c>
      <c r="I1322" s="55" t="str">
        <f>IFERROR(IF($G1322="","",VLOOKUP('Dashboard And Emails Automate'!$G1322,Database!$H:$N,3,0)),"")</f>
        <v/>
      </c>
      <c r="J1322" s="55" t="str">
        <f>IFERROR(IF($G1322="","",VLOOKUP('Dashboard And Emails Automate'!$G1322,Database!$H:$N,4,0)),"")</f>
        <v/>
      </c>
      <c r="K1322" s="55" t="str">
        <f>IFERROR(IF($G1322="","",VLOOKUP('Dashboard And Emails Automate'!$G1322,Database!$H:$N,5,0)),"")</f>
        <v/>
      </c>
      <c r="L1322" s="55" t="str">
        <f>IFERROR(IF($G1322="","",VLOOKUP('Dashboard And Emails Automate'!$G1322,Database!$H:$N,6,0)),"")</f>
        <v/>
      </c>
      <c r="M1322" s="55" t="str">
        <f>IFERROR(IF($G1322="","",VLOOKUP('Dashboard And Emails Automate'!$G1322,Database!$H:$N,7,0)),"")</f>
        <v/>
      </c>
      <c r="N1322" s="55" t="str">
        <f>IFERROR(IF(OR($B1322="",$B1322="(blank)"),"",VLOOKUP($B1322,'Email Marketing Raw Data'!$C:$O,6,0)),"")</f>
        <v/>
      </c>
      <c r="O1322" s="55" t="str">
        <f>IFERROR(IF(OR($B1322="",$B1322="(blank)"),"",VLOOKUP($B1322,'Email Marketing Raw Data'!$C:$O,7,0)),"")</f>
        <v/>
      </c>
      <c r="P1322" s="55" t="str">
        <f>IFERROR(IF(OR($B1322="",$B1322="(blank)"),"",VLOOKUP($B1322,'Email Marketing Raw Data'!$C:$O,8,0)),"")</f>
        <v/>
      </c>
      <c r="Q1322" s="62" t="str">
        <f>IFERROR(IF(OR($B1322="",$B1322="(blank)"),"",VLOOKUP($B1322,'Email Marketing Raw Data'!$C:$O,9,0)),"")</f>
        <v/>
      </c>
    </row>
    <row r="1323" spans="4:17" ht="12.75" customHeight="1" x14ac:dyDescent="0.2">
      <c r="D1323" s="58" t="str">
        <f>IFERROR(IF(F1323&lt;&gt;"pending","",IF(OR($B1323="",$B1323="(blank)"),"",VLOOKUP($B1323,'Email Marketing Raw Data'!$C:$O,10,0))),"")</f>
        <v/>
      </c>
      <c r="E1323" s="59" t="str">
        <f>IFERROR(IF(F1323&lt;&gt;"pending","",IF(OR($B1323="",$B1323="(blank)"),"",VLOOKUP($B1323,'Email Marketing Raw Data'!$C:$O,11,0))),"")</f>
        <v/>
      </c>
      <c r="F1323" s="54" t="str">
        <f>IFERROR(IF(OR($B1323="",$B1323="(blank)"),"",VLOOKUP($B1323,'Email Marketing Raw Data'!$C:$O,13,0)),"")</f>
        <v/>
      </c>
      <c r="G1323" s="55" t="str">
        <f>IFERROR(IF(OR($B1323="",$B1323="(blank)"),"",VLOOKUP($B1323,'Email Marketing Raw Data'!$C:$O,4,0)),"")</f>
        <v/>
      </c>
      <c r="H1323" s="55" t="str">
        <f>IFERROR(IF(OR($B1323="",$B1323="(blank)"),"",VLOOKUP($B1323,'Email Marketing Raw Data'!$C:$O,5,0)),"")</f>
        <v/>
      </c>
      <c r="I1323" s="55" t="str">
        <f>IFERROR(IF($G1323="","",VLOOKUP('Dashboard And Emails Automate'!$G1323,Database!$H:$N,3,0)),"")</f>
        <v/>
      </c>
      <c r="J1323" s="55" t="str">
        <f>IFERROR(IF($G1323="","",VLOOKUP('Dashboard And Emails Automate'!$G1323,Database!$H:$N,4,0)),"")</f>
        <v/>
      </c>
      <c r="K1323" s="55" t="str">
        <f>IFERROR(IF($G1323="","",VLOOKUP('Dashboard And Emails Automate'!$G1323,Database!$H:$N,5,0)),"")</f>
        <v/>
      </c>
      <c r="L1323" s="55" t="str">
        <f>IFERROR(IF($G1323="","",VLOOKUP('Dashboard And Emails Automate'!$G1323,Database!$H:$N,6,0)),"")</f>
        <v/>
      </c>
      <c r="M1323" s="55" t="str">
        <f>IFERROR(IF($G1323="","",VLOOKUP('Dashboard And Emails Automate'!$G1323,Database!$H:$N,7,0)),"")</f>
        <v/>
      </c>
      <c r="N1323" s="55" t="str">
        <f>IFERROR(IF(OR($B1323="",$B1323="(blank)"),"",VLOOKUP($B1323,'Email Marketing Raw Data'!$C:$O,6,0)),"")</f>
        <v/>
      </c>
      <c r="O1323" s="55" t="str">
        <f>IFERROR(IF(OR($B1323="",$B1323="(blank)"),"",VLOOKUP($B1323,'Email Marketing Raw Data'!$C:$O,7,0)),"")</f>
        <v/>
      </c>
      <c r="P1323" s="55" t="str">
        <f>IFERROR(IF(OR($B1323="",$B1323="(blank)"),"",VLOOKUP($B1323,'Email Marketing Raw Data'!$C:$O,8,0)),"")</f>
        <v/>
      </c>
      <c r="Q1323" s="62" t="str">
        <f>IFERROR(IF(OR($B1323="",$B1323="(blank)"),"",VLOOKUP($B1323,'Email Marketing Raw Data'!$C:$O,9,0)),"")</f>
        <v/>
      </c>
    </row>
    <row r="1324" spans="4:17" ht="12.75" customHeight="1" x14ac:dyDescent="0.2">
      <c r="D1324" s="58" t="str">
        <f>IFERROR(IF(F1324&lt;&gt;"pending","",IF(OR($B1324="",$B1324="(blank)"),"",VLOOKUP($B1324,'Email Marketing Raw Data'!$C:$O,10,0))),"")</f>
        <v/>
      </c>
      <c r="E1324" s="59" t="str">
        <f>IFERROR(IF(F1324&lt;&gt;"pending","",IF(OR($B1324="",$B1324="(blank)"),"",VLOOKUP($B1324,'Email Marketing Raw Data'!$C:$O,11,0))),"")</f>
        <v/>
      </c>
      <c r="F1324" s="54" t="str">
        <f>IFERROR(IF(OR($B1324="",$B1324="(blank)"),"",VLOOKUP($B1324,'Email Marketing Raw Data'!$C:$O,13,0)),"")</f>
        <v/>
      </c>
      <c r="G1324" s="55" t="str">
        <f>IFERROR(IF(OR($B1324="",$B1324="(blank)"),"",VLOOKUP($B1324,'Email Marketing Raw Data'!$C:$O,4,0)),"")</f>
        <v/>
      </c>
      <c r="H1324" s="55" t="str">
        <f>IFERROR(IF(OR($B1324="",$B1324="(blank)"),"",VLOOKUP($B1324,'Email Marketing Raw Data'!$C:$O,5,0)),"")</f>
        <v/>
      </c>
      <c r="I1324" s="55" t="str">
        <f>IFERROR(IF($G1324="","",VLOOKUP('Dashboard And Emails Automate'!$G1324,Database!$H:$N,3,0)),"")</f>
        <v/>
      </c>
      <c r="J1324" s="55" t="str">
        <f>IFERROR(IF($G1324="","",VLOOKUP('Dashboard And Emails Automate'!$G1324,Database!$H:$N,4,0)),"")</f>
        <v/>
      </c>
      <c r="K1324" s="55" t="str">
        <f>IFERROR(IF($G1324="","",VLOOKUP('Dashboard And Emails Automate'!$G1324,Database!$H:$N,5,0)),"")</f>
        <v/>
      </c>
      <c r="L1324" s="55" t="str">
        <f>IFERROR(IF($G1324="","",VLOOKUP('Dashboard And Emails Automate'!$G1324,Database!$H:$N,6,0)),"")</f>
        <v/>
      </c>
      <c r="M1324" s="55" t="str">
        <f>IFERROR(IF($G1324="","",VLOOKUP('Dashboard And Emails Automate'!$G1324,Database!$H:$N,7,0)),"")</f>
        <v/>
      </c>
      <c r="N1324" s="55" t="str">
        <f>IFERROR(IF(OR($B1324="",$B1324="(blank)"),"",VLOOKUP($B1324,'Email Marketing Raw Data'!$C:$O,6,0)),"")</f>
        <v/>
      </c>
      <c r="O1324" s="55" t="str">
        <f>IFERROR(IF(OR($B1324="",$B1324="(blank)"),"",VLOOKUP($B1324,'Email Marketing Raw Data'!$C:$O,7,0)),"")</f>
        <v/>
      </c>
      <c r="P1324" s="55" t="str">
        <f>IFERROR(IF(OR($B1324="",$B1324="(blank)"),"",VLOOKUP($B1324,'Email Marketing Raw Data'!$C:$O,8,0)),"")</f>
        <v/>
      </c>
      <c r="Q1324" s="62" t="str">
        <f>IFERROR(IF(OR($B1324="",$B1324="(blank)"),"",VLOOKUP($B1324,'Email Marketing Raw Data'!$C:$O,9,0)),"")</f>
        <v/>
      </c>
    </row>
    <row r="1325" spans="4:17" ht="12.75" customHeight="1" x14ac:dyDescent="0.2">
      <c r="D1325" s="58" t="str">
        <f>IFERROR(IF(F1325&lt;&gt;"pending","",IF(OR($B1325="",$B1325="(blank)"),"",VLOOKUP($B1325,'Email Marketing Raw Data'!$C:$O,10,0))),"")</f>
        <v/>
      </c>
      <c r="E1325" s="59" t="str">
        <f>IFERROR(IF(F1325&lt;&gt;"pending","",IF(OR($B1325="",$B1325="(blank)"),"",VLOOKUP($B1325,'Email Marketing Raw Data'!$C:$O,11,0))),"")</f>
        <v/>
      </c>
      <c r="F1325" s="54" t="str">
        <f>IFERROR(IF(OR($B1325="",$B1325="(blank)"),"",VLOOKUP($B1325,'Email Marketing Raw Data'!$C:$O,13,0)),"")</f>
        <v/>
      </c>
      <c r="G1325" s="55" t="str">
        <f>IFERROR(IF(OR($B1325="",$B1325="(blank)"),"",VLOOKUP($B1325,'Email Marketing Raw Data'!$C:$O,4,0)),"")</f>
        <v/>
      </c>
      <c r="H1325" s="55" t="str">
        <f>IFERROR(IF(OR($B1325="",$B1325="(blank)"),"",VLOOKUP($B1325,'Email Marketing Raw Data'!$C:$O,5,0)),"")</f>
        <v/>
      </c>
      <c r="I1325" s="55" t="str">
        <f>IFERROR(IF($G1325="","",VLOOKUP('Dashboard And Emails Automate'!$G1325,Database!$H:$N,3,0)),"")</f>
        <v/>
      </c>
      <c r="J1325" s="55" t="str">
        <f>IFERROR(IF($G1325="","",VLOOKUP('Dashboard And Emails Automate'!$G1325,Database!$H:$N,4,0)),"")</f>
        <v/>
      </c>
      <c r="K1325" s="55" t="str">
        <f>IFERROR(IF($G1325="","",VLOOKUP('Dashboard And Emails Automate'!$G1325,Database!$H:$N,5,0)),"")</f>
        <v/>
      </c>
      <c r="L1325" s="55" t="str">
        <f>IFERROR(IF($G1325="","",VLOOKUP('Dashboard And Emails Automate'!$G1325,Database!$H:$N,6,0)),"")</f>
        <v/>
      </c>
      <c r="M1325" s="55" t="str">
        <f>IFERROR(IF($G1325="","",VLOOKUP('Dashboard And Emails Automate'!$G1325,Database!$H:$N,7,0)),"")</f>
        <v/>
      </c>
      <c r="N1325" s="55" t="str">
        <f>IFERROR(IF(OR($B1325="",$B1325="(blank)"),"",VLOOKUP($B1325,'Email Marketing Raw Data'!$C:$O,6,0)),"")</f>
        <v/>
      </c>
      <c r="O1325" s="55" t="str">
        <f>IFERROR(IF(OR($B1325="",$B1325="(blank)"),"",VLOOKUP($B1325,'Email Marketing Raw Data'!$C:$O,7,0)),"")</f>
        <v/>
      </c>
      <c r="P1325" s="55" t="str">
        <f>IFERROR(IF(OR($B1325="",$B1325="(blank)"),"",VLOOKUP($B1325,'Email Marketing Raw Data'!$C:$O,8,0)),"")</f>
        <v/>
      </c>
      <c r="Q1325" s="62" t="str">
        <f>IFERROR(IF(OR($B1325="",$B1325="(blank)"),"",VLOOKUP($B1325,'Email Marketing Raw Data'!$C:$O,9,0)),"")</f>
        <v/>
      </c>
    </row>
    <row r="1326" spans="4:17" ht="12.75" customHeight="1" x14ac:dyDescent="0.2">
      <c r="D1326" s="58" t="str">
        <f>IFERROR(IF(F1326&lt;&gt;"pending","",IF(OR($B1326="",$B1326="(blank)"),"",VLOOKUP($B1326,'Email Marketing Raw Data'!$C:$O,10,0))),"")</f>
        <v/>
      </c>
      <c r="E1326" s="59" t="str">
        <f>IFERROR(IF(F1326&lt;&gt;"pending","",IF(OR($B1326="",$B1326="(blank)"),"",VLOOKUP($B1326,'Email Marketing Raw Data'!$C:$O,11,0))),"")</f>
        <v/>
      </c>
      <c r="F1326" s="54" t="str">
        <f>IFERROR(IF(OR($B1326="",$B1326="(blank)"),"",VLOOKUP($B1326,'Email Marketing Raw Data'!$C:$O,13,0)),"")</f>
        <v/>
      </c>
      <c r="G1326" s="55" t="str">
        <f>IFERROR(IF(OR($B1326="",$B1326="(blank)"),"",VLOOKUP($B1326,'Email Marketing Raw Data'!$C:$O,4,0)),"")</f>
        <v/>
      </c>
      <c r="H1326" s="55" t="str">
        <f>IFERROR(IF(OR($B1326="",$B1326="(blank)"),"",VLOOKUP($B1326,'Email Marketing Raw Data'!$C:$O,5,0)),"")</f>
        <v/>
      </c>
      <c r="I1326" s="55" t="str">
        <f>IFERROR(IF($G1326="","",VLOOKUP('Dashboard And Emails Automate'!$G1326,Database!$H:$N,3,0)),"")</f>
        <v/>
      </c>
      <c r="J1326" s="55" t="str">
        <f>IFERROR(IF($G1326="","",VLOOKUP('Dashboard And Emails Automate'!$G1326,Database!$H:$N,4,0)),"")</f>
        <v/>
      </c>
      <c r="K1326" s="55" t="str">
        <f>IFERROR(IF($G1326="","",VLOOKUP('Dashboard And Emails Automate'!$G1326,Database!$H:$N,5,0)),"")</f>
        <v/>
      </c>
      <c r="L1326" s="55" t="str">
        <f>IFERROR(IF($G1326="","",VLOOKUP('Dashboard And Emails Automate'!$G1326,Database!$H:$N,6,0)),"")</f>
        <v/>
      </c>
      <c r="M1326" s="55" t="str">
        <f>IFERROR(IF($G1326="","",VLOOKUP('Dashboard And Emails Automate'!$G1326,Database!$H:$N,7,0)),"")</f>
        <v/>
      </c>
      <c r="N1326" s="55" t="str">
        <f>IFERROR(IF(OR($B1326="",$B1326="(blank)"),"",VLOOKUP($B1326,'Email Marketing Raw Data'!$C:$O,6,0)),"")</f>
        <v/>
      </c>
      <c r="O1326" s="55" t="str">
        <f>IFERROR(IF(OR($B1326="",$B1326="(blank)"),"",VLOOKUP($B1326,'Email Marketing Raw Data'!$C:$O,7,0)),"")</f>
        <v/>
      </c>
      <c r="P1326" s="55" t="str">
        <f>IFERROR(IF(OR($B1326="",$B1326="(blank)"),"",VLOOKUP($B1326,'Email Marketing Raw Data'!$C:$O,8,0)),"")</f>
        <v/>
      </c>
      <c r="Q1326" s="62" t="str">
        <f>IFERROR(IF(OR($B1326="",$B1326="(blank)"),"",VLOOKUP($B1326,'Email Marketing Raw Data'!$C:$O,9,0)),"")</f>
        <v/>
      </c>
    </row>
    <row r="1327" spans="4:17" ht="12.75" customHeight="1" x14ac:dyDescent="0.2">
      <c r="D1327" s="58" t="str">
        <f>IFERROR(IF(F1327&lt;&gt;"pending","",IF(OR($B1327="",$B1327="(blank)"),"",VLOOKUP($B1327,'Email Marketing Raw Data'!$C:$O,10,0))),"")</f>
        <v/>
      </c>
      <c r="E1327" s="59" t="str">
        <f>IFERROR(IF(F1327&lt;&gt;"pending","",IF(OR($B1327="",$B1327="(blank)"),"",VLOOKUP($B1327,'Email Marketing Raw Data'!$C:$O,11,0))),"")</f>
        <v/>
      </c>
      <c r="F1327" s="54" t="str">
        <f>IFERROR(IF(OR($B1327="",$B1327="(blank)"),"",VLOOKUP($B1327,'Email Marketing Raw Data'!$C:$O,13,0)),"")</f>
        <v/>
      </c>
      <c r="G1327" s="55" t="str">
        <f>IFERROR(IF(OR($B1327="",$B1327="(blank)"),"",VLOOKUP($B1327,'Email Marketing Raw Data'!$C:$O,4,0)),"")</f>
        <v/>
      </c>
      <c r="H1327" s="55" t="str">
        <f>IFERROR(IF(OR($B1327="",$B1327="(blank)"),"",VLOOKUP($B1327,'Email Marketing Raw Data'!$C:$O,5,0)),"")</f>
        <v/>
      </c>
      <c r="I1327" s="55" t="str">
        <f>IFERROR(IF($G1327="","",VLOOKUP('Dashboard And Emails Automate'!$G1327,Database!$H:$N,3,0)),"")</f>
        <v/>
      </c>
      <c r="J1327" s="55" t="str">
        <f>IFERROR(IF($G1327="","",VLOOKUP('Dashboard And Emails Automate'!$G1327,Database!$H:$N,4,0)),"")</f>
        <v/>
      </c>
      <c r="K1327" s="55" t="str">
        <f>IFERROR(IF($G1327="","",VLOOKUP('Dashboard And Emails Automate'!$G1327,Database!$H:$N,5,0)),"")</f>
        <v/>
      </c>
      <c r="L1327" s="55" t="str">
        <f>IFERROR(IF($G1327="","",VLOOKUP('Dashboard And Emails Automate'!$G1327,Database!$H:$N,6,0)),"")</f>
        <v/>
      </c>
      <c r="M1327" s="55" t="str">
        <f>IFERROR(IF($G1327="","",VLOOKUP('Dashboard And Emails Automate'!$G1327,Database!$H:$N,7,0)),"")</f>
        <v/>
      </c>
      <c r="N1327" s="55" t="str">
        <f>IFERROR(IF(OR($B1327="",$B1327="(blank)"),"",VLOOKUP($B1327,'Email Marketing Raw Data'!$C:$O,6,0)),"")</f>
        <v/>
      </c>
      <c r="O1327" s="55" t="str">
        <f>IFERROR(IF(OR($B1327="",$B1327="(blank)"),"",VLOOKUP($B1327,'Email Marketing Raw Data'!$C:$O,7,0)),"")</f>
        <v/>
      </c>
      <c r="P1327" s="55" t="str">
        <f>IFERROR(IF(OR($B1327="",$B1327="(blank)"),"",VLOOKUP($B1327,'Email Marketing Raw Data'!$C:$O,8,0)),"")</f>
        <v/>
      </c>
      <c r="Q1327" s="62" t="str">
        <f>IFERROR(IF(OR($B1327="",$B1327="(blank)"),"",VLOOKUP($B1327,'Email Marketing Raw Data'!$C:$O,9,0)),"")</f>
        <v/>
      </c>
    </row>
    <row r="1328" spans="4:17" ht="12.75" customHeight="1" x14ac:dyDescent="0.2">
      <c r="D1328" s="58" t="str">
        <f>IFERROR(IF(F1328&lt;&gt;"pending","",IF(OR($B1328="",$B1328="(blank)"),"",VLOOKUP($B1328,'Email Marketing Raw Data'!$C:$O,10,0))),"")</f>
        <v/>
      </c>
      <c r="E1328" s="59" t="str">
        <f>IFERROR(IF(F1328&lt;&gt;"pending","",IF(OR($B1328="",$B1328="(blank)"),"",VLOOKUP($B1328,'Email Marketing Raw Data'!$C:$O,11,0))),"")</f>
        <v/>
      </c>
      <c r="F1328" s="54" t="str">
        <f>IFERROR(IF(OR($B1328="",$B1328="(blank)"),"",VLOOKUP($B1328,'Email Marketing Raw Data'!$C:$O,13,0)),"")</f>
        <v/>
      </c>
      <c r="G1328" s="55" t="str">
        <f>IFERROR(IF(OR($B1328="",$B1328="(blank)"),"",VLOOKUP($B1328,'Email Marketing Raw Data'!$C:$O,4,0)),"")</f>
        <v/>
      </c>
      <c r="H1328" s="55" t="str">
        <f>IFERROR(IF(OR($B1328="",$B1328="(blank)"),"",VLOOKUP($B1328,'Email Marketing Raw Data'!$C:$O,5,0)),"")</f>
        <v/>
      </c>
      <c r="I1328" s="55" t="str">
        <f>IFERROR(IF($G1328="","",VLOOKUP('Dashboard And Emails Automate'!$G1328,Database!$H:$N,3,0)),"")</f>
        <v/>
      </c>
      <c r="J1328" s="55" t="str">
        <f>IFERROR(IF($G1328="","",VLOOKUP('Dashboard And Emails Automate'!$G1328,Database!$H:$N,4,0)),"")</f>
        <v/>
      </c>
      <c r="K1328" s="55" t="str">
        <f>IFERROR(IF($G1328="","",VLOOKUP('Dashboard And Emails Automate'!$G1328,Database!$H:$N,5,0)),"")</f>
        <v/>
      </c>
      <c r="L1328" s="55" t="str">
        <f>IFERROR(IF($G1328="","",VLOOKUP('Dashboard And Emails Automate'!$G1328,Database!$H:$N,6,0)),"")</f>
        <v/>
      </c>
      <c r="M1328" s="55" t="str">
        <f>IFERROR(IF($G1328="","",VLOOKUP('Dashboard And Emails Automate'!$G1328,Database!$H:$N,7,0)),"")</f>
        <v/>
      </c>
      <c r="N1328" s="55" t="str">
        <f>IFERROR(IF(OR($B1328="",$B1328="(blank)"),"",VLOOKUP($B1328,'Email Marketing Raw Data'!$C:$O,6,0)),"")</f>
        <v/>
      </c>
      <c r="O1328" s="55" t="str">
        <f>IFERROR(IF(OR($B1328="",$B1328="(blank)"),"",VLOOKUP($B1328,'Email Marketing Raw Data'!$C:$O,7,0)),"")</f>
        <v/>
      </c>
      <c r="P1328" s="55" t="str">
        <f>IFERROR(IF(OR($B1328="",$B1328="(blank)"),"",VLOOKUP($B1328,'Email Marketing Raw Data'!$C:$O,8,0)),"")</f>
        <v/>
      </c>
      <c r="Q1328" s="62" t="str">
        <f>IFERROR(IF(OR($B1328="",$B1328="(blank)"),"",VLOOKUP($B1328,'Email Marketing Raw Data'!$C:$O,9,0)),"")</f>
        <v/>
      </c>
    </row>
    <row r="1329" spans="4:17" ht="12.75" customHeight="1" x14ac:dyDescent="0.2">
      <c r="D1329" s="58" t="str">
        <f>IFERROR(IF(F1329&lt;&gt;"pending","",IF(OR($B1329="",$B1329="(blank)"),"",VLOOKUP($B1329,'Email Marketing Raw Data'!$C:$O,10,0))),"")</f>
        <v/>
      </c>
      <c r="E1329" s="59" t="str">
        <f>IFERROR(IF(F1329&lt;&gt;"pending","",IF(OR($B1329="",$B1329="(blank)"),"",VLOOKUP($B1329,'Email Marketing Raw Data'!$C:$O,11,0))),"")</f>
        <v/>
      </c>
      <c r="F1329" s="54" t="str">
        <f>IFERROR(IF(OR($B1329="",$B1329="(blank)"),"",VLOOKUP($B1329,'Email Marketing Raw Data'!$C:$O,13,0)),"")</f>
        <v/>
      </c>
      <c r="G1329" s="55" t="str">
        <f>IFERROR(IF(OR($B1329="",$B1329="(blank)"),"",VLOOKUP($B1329,'Email Marketing Raw Data'!$C:$O,4,0)),"")</f>
        <v/>
      </c>
      <c r="H1329" s="55" t="str">
        <f>IFERROR(IF(OR($B1329="",$B1329="(blank)"),"",VLOOKUP($B1329,'Email Marketing Raw Data'!$C:$O,5,0)),"")</f>
        <v/>
      </c>
      <c r="I1329" s="55" t="str">
        <f>IFERROR(IF($G1329="","",VLOOKUP('Dashboard And Emails Automate'!$G1329,Database!$H:$N,3,0)),"")</f>
        <v/>
      </c>
      <c r="J1329" s="55" t="str">
        <f>IFERROR(IF($G1329="","",VLOOKUP('Dashboard And Emails Automate'!$G1329,Database!$H:$N,4,0)),"")</f>
        <v/>
      </c>
      <c r="K1329" s="55" t="str">
        <f>IFERROR(IF($G1329="","",VLOOKUP('Dashboard And Emails Automate'!$G1329,Database!$H:$N,5,0)),"")</f>
        <v/>
      </c>
      <c r="L1329" s="55" t="str">
        <f>IFERROR(IF($G1329="","",VLOOKUP('Dashboard And Emails Automate'!$G1329,Database!$H:$N,6,0)),"")</f>
        <v/>
      </c>
      <c r="M1329" s="55" t="str">
        <f>IFERROR(IF($G1329="","",VLOOKUP('Dashboard And Emails Automate'!$G1329,Database!$H:$N,7,0)),"")</f>
        <v/>
      </c>
      <c r="N1329" s="55" t="str">
        <f>IFERROR(IF(OR($B1329="",$B1329="(blank)"),"",VLOOKUP($B1329,'Email Marketing Raw Data'!$C:$O,6,0)),"")</f>
        <v/>
      </c>
      <c r="O1329" s="55" t="str">
        <f>IFERROR(IF(OR($B1329="",$B1329="(blank)"),"",VLOOKUP($B1329,'Email Marketing Raw Data'!$C:$O,7,0)),"")</f>
        <v/>
      </c>
      <c r="P1329" s="55" t="str">
        <f>IFERROR(IF(OR($B1329="",$B1329="(blank)"),"",VLOOKUP($B1329,'Email Marketing Raw Data'!$C:$O,8,0)),"")</f>
        <v/>
      </c>
      <c r="Q1329" s="62" t="str">
        <f>IFERROR(IF(OR($B1329="",$B1329="(blank)"),"",VLOOKUP($B1329,'Email Marketing Raw Data'!$C:$O,9,0)),"")</f>
        <v/>
      </c>
    </row>
    <row r="1330" spans="4:17" ht="12.75" customHeight="1" x14ac:dyDescent="0.2">
      <c r="D1330" s="58" t="str">
        <f>IFERROR(IF(F1330&lt;&gt;"pending","",IF(OR($B1330="",$B1330="(blank)"),"",VLOOKUP($B1330,'Email Marketing Raw Data'!$C:$O,10,0))),"")</f>
        <v/>
      </c>
      <c r="E1330" s="59" t="str">
        <f>IFERROR(IF(F1330&lt;&gt;"pending","",IF(OR($B1330="",$B1330="(blank)"),"",VLOOKUP($B1330,'Email Marketing Raw Data'!$C:$O,11,0))),"")</f>
        <v/>
      </c>
      <c r="F1330" s="54" t="str">
        <f>IFERROR(IF(OR($B1330="",$B1330="(blank)"),"",VLOOKUP($B1330,'Email Marketing Raw Data'!$C:$O,13,0)),"")</f>
        <v/>
      </c>
      <c r="G1330" s="55" t="str">
        <f>IFERROR(IF(OR($B1330="",$B1330="(blank)"),"",VLOOKUP($B1330,'Email Marketing Raw Data'!$C:$O,4,0)),"")</f>
        <v/>
      </c>
      <c r="H1330" s="55" t="str">
        <f>IFERROR(IF(OR($B1330="",$B1330="(blank)"),"",VLOOKUP($B1330,'Email Marketing Raw Data'!$C:$O,5,0)),"")</f>
        <v/>
      </c>
      <c r="I1330" s="55" t="str">
        <f>IFERROR(IF($G1330="","",VLOOKUP('Dashboard And Emails Automate'!$G1330,Database!$H:$N,3,0)),"")</f>
        <v/>
      </c>
      <c r="J1330" s="55" t="str">
        <f>IFERROR(IF($G1330="","",VLOOKUP('Dashboard And Emails Automate'!$G1330,Database!$H:$N,4,0)),"")</f>
        <v/>
      </c>
      <c r="K1330" s="55" t="str">
        <f>IFERROR(IF($G1330="","",VLOOKUP('Dashboard And Emails Automate'!$G1330,Database!$H:$N,5,0)),"")</f>
        <v/>
      </c>
      <c r="L1330" s="55" t="str">
        <f>IFERROR(IF($G1330="","",VLOOKUP('Dashboard And Emails Automate'!$G1330,Database!$H:$N,6,0)),"")</f>
        <v/>
      </c>
      <c r="M1330" s="55" t="str">
        <f>IFERROR(IF($G1330="","",VLOOKUP('Dashboard And Emails Automate'!$G1330,Database!$H:$N,7,0)),"")</f>
        <v/>
      </c>
      <c r="N1330" s="55" t="str">
        <f>IFERROR(IF(OR($B1330="",$B1330="(blank)"),"",VLOOKUP($B1330,'Email Marketing Raw Data'!$C:$O,6,0)),"")</f>
        <v/>
      </c>
      <c r="O1330" s="55" t="str">
        <f>IFERROR(IF(OR($B1330="",$B1330="(blank)"),"",VLOOKUP($B1330,'Email Marketing Raw Data'!$C:$O,7,0)),"")</f>
        <v/>
      </c>
      <c r="P1330" s="55" t="str">
        <f>IFERROR(IF(OR($B1330="",$B1330="(blank)"),"",VLOOKUP($B1330,'Email Marketing Raw Data'!$C:$O,8,0)),"")</f>
        <v/>
      </c>
      <c r="Q1330" s="62" t="str">
        <f>IFERROR(IF(OR($B1330="",$B1330="(blank)"),"",VLOOKUP($B1330,'Email Marketing Raw Data'!$C:$O,9,0)),"")</f>
        <v/>
      </c>
    </row>
    <row r="1331" spans="4:17" ht="12.75" customHeight="1" x14ac:dyDescent="0.2">
      <c r="D1331" s="58" t="str">
        <f>IFERROR(IF(F1331&lt;&gt;"pending","",IF(OR($B1331="",$B1331="(blank)"),"",VLOOKUP($B1331,'Email Marketing Raw Data'!$C:$O,10,0))),"")</f>
        <v/>
      </c>
      <c r="E1331" s="59" t="str">
        <f>IFERROR(IF(F1331&lt;&gt;"pending","",IF(OR($B1331="",$B1331="(blank)"),"",VLOOKUP($B1331,'Email Marketing Raw Data'!$C:$O,11,0))),"")</f>
        <v/>
      </c>
      <c r="F1331" s="54" t="str">
        <f>IFERROR(IF(OR($B1331="",$B1331="(blank)"),"",VLOOKUP($B1331,'Email Marketing Raw Data'!$C:$O,13,0)),"")</f>
        <v/>
      </c>
      <c r="G1331" s="55" t="str">
        <f>IFERROR(IF(OR($B1331="",$B1331="(blank)"),"",VLOOKUP($B1331,'Email Marketing Raw Data'!$C:$O,4,0)),"")</f>
        <v/>
      </c>
      <c r="H1331" s="55" t="str">
        <f>IFERROR(IF(OR($B1331="",$B1331="(blank)"),"",VLOOKUP($B1331,'Email Marketing Raw Data'!$C:$O,5,0)),"")</f>
        <v/>
      </c>
      <c r="I1331" s="55" t="str">
        <f>IFERROR(IF($G1331="","",VLOOKUP('Dashboard And Emails Automate'!$G1331,Database!$H:$N,3,0)),"")</f>
        <v/>
      </c>
      <c r="J1331" s="55" t="str">
        <f>IFERROR(IF($G1331="","",VLOOKUP('Dashboard And Emails Automate'!$G1331,Database!$H:$N,4,0)),"")</f>
        <v/>
      </c>
      <c r="K1331" s="55" t="str">
        <f>IFERROR(IF($G1331="","",VLOOKUP('Dashboard And Emails Automate'!$G1331,Database!$H:$N,5,0)),"")</f>
        <v/>
      </c>
      <c r="L1331" s="55" t="str">
        <f>IFERROR(IF($G1331="","",VLOOKUP('Dashboard And Emails Automate'!$G1331,Database!$H:$N,6,0)),"")</f>
        <v/>
      </c>
      <c r="M1331" s="55" t="str">
        <f>IFERROR(IF($G1331="","",VLOOKUP('Dashboard And Emails Automate'!$G1331,Database!$H:$N,7,0)),"")</f>
        <v/>
      </c>
      <c r="N1331" s="55" t="str">
        <f>IFERROR(IF(OR($B1331="",$B1331="(blank)"),"",VLOOKUP($B1331,'Email Marketing Raw Data'!$C:$O,6,0)),"")</f>
        <v/>
      </c>
      <c r="O1331" s="55" t="str">
        <f>IFERROR(IF(OR($B1331="",$B1331="(blank)"),"",VLOOKUP($B1331,'Email Marketing Raw Data'!$C:$O,7,0)),"")</f>
        <v/>
      </c>
      <c r="P1331" s="55" t="str">
        <f>IFERROR(IF(OR($B1331="",$B1331="(blank)"),"",VLOOKUP($B1331,'Email Marketing Raw Data'!$C:$O,8,0)),"")</f>
        <v/>
      </c>
      <c r="Q1331" s="62" t="str">
        <f>IFERROR(IF(OR($B1331="",$B1331="(blank)"),"",VLOOKUP($B1331,'Email Marketing Raw Data'!$C:$O,9,0)),"")</f>
        <v/>
      </c>
    </row>
    <row r="1332" spans="4:17" ht="12.75" customHeight="1" x14ac:dyDescent="0.2">
      <c r="D1332" s="58" t="str">
        <f>IFERROR(IF(F1332&lt;&gt;"pending","",IF(OR($B1332="",$B1332="(blank)"),"",VLOOKUP($B1332,'Email Marketing Raw Data'!$C:$O,10,0))),"")</f>
        <v/>
      </c>
      <c r="E1332" s="59" t="str">
        <f>IFERROR(IF(F1332&lt;&gt;"pending","",IF(OR($B1332="",$B1332="(blank)"),"",VLOOKUP($B1332,'Email Marketing Raw Data'!$C:$O,11,0))),"")</f>
        <v/>
      </c>
      <c r="F1332" s="54" t="str">
        <f>IFERROR(IF(OR($B1332="",$B1332="(blank)"),"",VLOOKUP($B1332,'Email Marketing Raw Data'!$C:$O,13,0)),"")</f>
        <v/>
      </c>
      <c r="G1332" s="55" t="str">
        <f>IFERROR(IF(OR($B1332="",$B1332="(blank)"),"",VLOOKUP($B1332,'Email Marketing Raw Data'!$C:$O,4,0)),"")</f>
        <v/>
      </c>
      <c r="H1332" s="55" t="str">
        <f>IFERROR(IF(OR($B1332="",$B1332="(blank)"),"",VLOOKUP($B1332,'Email Marketing Raw Data'!$C:$O,5,0)),"")</f>
        <v/>
      </c>
      <c r="I1332" s="55" t="str">
        <f>IFERROR(IF($G1332="","",VLOOKUP('Dashboard And Emails Automate'!$G1332,Database!$H:$N,3,0)),"")</f>
        <v/>
      </c>
      <c r="J1332" s="55" t="str">
        <f>IFERROR(IF($G1332="","",VLOOKUP('Dashboard And Emails Automate'!$G1332,Database!$H:$N,4,0)),"")</f>
        <v/>
      </c>
      <c r="K1332" s="55" t="str">
        <f>IFERROR(IF($G1332="","",VLOOKUP('Dashboard And Emails Automate'!$G1332,Database!$H:$N,5,0)),"")</f>
        <v/>
      </c>
      <c r="L1332" s="55" t="str">
        <f>IFERROR(IF($G1332="","",VLOOKUP('Dashboard And Emails Automate'!$G1332,Database!$H:$N,6,0)),"")</f>
        <v/>
      </c>
      <c r="M1332" s="55" t="str">
        <f>IFERROR(IF($G1332="","",VLOOKUP('Dashboard And Emails Automate'!$G1332,Database!$H:$N,7,0)),"")</f>
        <v/>
      </c>
      <c r="N1332" s="55" t="str">
        <f>IFERROR(IF(OR($B1332="",$B1332="(blank)"),"",VLOOKUP($B1332,'Email Marketing Raw Data'!$C:$O,6,0)),"")</f>
        <v/>
      </c>
      <c r="O1332" s="55" t="str">
        <f>IFERROR(IF(OR($B1332="",$B1332="(blank)"),"",VLOOKUP($B1332,'Email Marketing Raw Data'!$C:$O,7,0)),"")</f>
        <v/>
      </c>
      <c r="P1332" s="55" t="str">
        <f>IFERROR(IF(OR($B1332="",$B1332="(blank)"),"",VLOOKUP($B1332,'Email Marketing Raw Data'!$C:$O,8,0)),"")</f>
        <v/>
      </c>
      <c r="Q1332" s="62" t="str">
        <f>IFERROR(IF(OR($B1332="",$B1332="(blank)"),"",VLOOKUP($B1332,'Email Marketing Raw Data'!$C:$O,9,0)),"")</f>
        <v/>
      </c>
    </row>
    <row r="1333" spans="4:17" ht="12.75" customHeight="1" x14ac:dyDescent="0.2">
      <c r="D1333" s="58" t="str">
        <f>IFERROR(IF(F1333&lt;&gt;"pending","",IF(OR($B1333="",$B1333="(blank)"),"",VLOOKUP($B1333,'Email Marketing Raw Data'!$C:$O,10,0))),"")</f>
        <v/>
      </c>
      <c r="E1333" s="59" t="str">
        <f>IFERROR(IF(F1333&lt;&gt;"pending","",IF(OR($B1333="",$B1333="(blank)"),"",VLOOKUP($B1333,'Email Marketing Raw Data'!$C:$O,11,0))),"")</f>
        <v/>
      </c>
      <c r="F1333" s="54" t="str">
        <f>IFERROR(IF(OR($B1333="",$B1333="(blank)"),"",VLOOKUP($B1333,'Email Marketing Raw Data'!$C:$O,13,0)),"")</f>
        <v/>
      </c>
      <c r="G1333" s="55" t="str">
        <f>IFERROR(IF(OR($B1333="",$B1333="(blank)"),"",VLOOKUP($B1333,'Email Marketing Raw Data'!$C:$O,4,0)),"")</f>
        <v/>
      </c>
      <c r="H1333" s="55" t="str">
        <f>IFERROR(IF(OR($B1333="",$B1333="(blank)"),"",VLOOKUP($B1333,'Email Marketing Raw Data'!$C:$O,5,0)),"")</f>
        <v/>
      </c>
      <c r="I1333" s="55" t="str">
        <f>IFERROR(IF($G1333="","",VLOOKUP('Dashboard And Emails Automate'!$G1333,Database!$H:$N,3,0)),"")</f>
        <v/>
      </c>
      <c r="J1333" s="55" t="str">
        <f>IFERROR(IF($G1333="","",VLOOKUP('Dashboard And Emails Automate'!$G1333,Database!$H:$N,4,0)),"")</f>
        <v/>
      </c>
      <c r="K1333" s="55" t="str">
        <f>IFERROR(IF($G1333="","",VLOOKUP('Dashboard And Emails Automate'!$G1333,Database!$H:$N,5,0)),"")</f>
        <v/>
      </c>
      <c r="L1333" s="55" t="str">
        <f>IFERROR(IF($G1333="","",VLOOKUP('Dashboard And Emails Automate'!$G1333,Database!$H:$N,6,0)),"")</f>
        <v/>
      </c>
      <c r="M1333" s="55" t="str">
        <f>IFERROR(IF($G1333="","",VLOOKUP('Dashboard And Emails Automate'!$G1333,Database!$H:$N,7,0)),"")</f>
        <v/>
      </c>
      <c r="N1333" s="55" t="str">
        <f>IFERROR(IF(OR($B1333="",$B1333="(blank)"),"",VLOOKUP($B1333,'Email Marketing Raw Data'!$C:$O,6,0)),"")</f>
        <v/>
      </c>
      <c r="O1333" s="55" t="str">
        <f>IFERROR(IF(OR($B1333="",$B1333="(blank)"),"",VLOOKUP($B1333,'Email Marketing Raw Data'!$C:$O,7,0)),"")</f>
        <v/>
      </c>
      <c r="P1333" s="55" t="str">
        <f>IFERROR(IF(OR($B1333="",$B1333="(blank)"),"",VLOOKUP($B1333,'Email Marketing Raw Data'!$C:$O,8,0)),"")</f>
        <v/>
      </c>
      <c r="Q1333" s="62" t="str">
        <f>IFERROR(IF(OR($B1333="",$B1333="(blank)"),"",VLOOKUP($B1333,'Email Marketing Raw Data'!$C:$O,9,0)),"")</f>
        <v/>
      </c>
    </row>
    <row r="1334" spans="4:17" ht="12.75" customHeight="1" x14ac:dyDescent="0.2">
      <c r="D1334" s="58" t="str">
        <f>IFERROR(IF(F1334&lt;&gt;"pending","",IF(OR($B1334="",$B1334="(blank)"),"",VLOOKUP($B1334,'Email Marketing Raw Data'!$C:$O,10,0))),"")</f>
        <v/>
      </c>
      <c r="E1334" s="59" t="str">
        <f>IFERROR(IF(F1334&lt;&gt;"pending","",IF(OR($B1334="",$B1334="(blank)"),"",VLOOKUP($B1334,'Email Marketing Raw Data'!$C:$O,11,0))),"")</f>
        <v/>
      </c>
      <c r="F1334" s="54" t="str">
        <f>IFERROR(IF(OR($B1334="",$B1334="(blank)"),"",VLOOKUP($B1334,'Email Marketing Raw Data'!$C:$O,13,0)),"")</f>
        <v/>
      </c>
      <c r="G1334" s="55" t="str">
        <f>IFERROR(IF(OR($B1334="",$B1334="(blank)"),"",VLOOKUP($B1334,'Email Marketing Raw Data'!$C:$O,4,0)),"")</f>
        <v/>
      </c>
      <c r="H1334" s="55" t="str">
        <f>IFERROR(IF(OR($B1334="",$B1334="(blank)"),"",VLOOKUP($B1334,'Email Marketing Raw Data'!$C:$O,5,0)),"")</f>
        <v/>
      </c>
      <c r="I1334" s="55" t="str">
        <f>IFERROR(IF($G1334="","",VLOOKUP('Dashboard And Emails Automate'!$G1334,Database!$H:$N,3,0)),"")</f>
        <v/>
      </c>
      <c r="J1334" s="55" t="str">
        <f>IFERROR(IF($G1334="","",VLOOKUP('Dashboard And Emails Automate'!$G1334,Database!$H:$N,4,0)),"")</f>
        <v/>
      </c>
      <c r="K1334" s="55" t="str">
        <f>IFERROR(IF($G1334="","",VLOOKUP('Dashboard And Emails Automate'!$G1334,Database!$H:$N,5,0)),"")</f>
        <v/>
      </c>
      <c r="L1334" s="55" t="str">
        <f>IFERROR(IF($G1334="","",VLOOKUP('Dashboard And Emails Automate'!$G1334,Database!$H:$N,6,0)),"")</f>
        <v/>
      </c>
      <c r="M1334" s="55" t="str">
        <f>IFERROR(IF($G1334="","",VLOOKUP('Dashboard And Emails Automate'!$G1334,Database!$H:$N,7,0)),"")</f>
        <v/>
      </c>
      <c r="N1334" s="55" t="str">
        <f>IFERROR(IF(OR($B1334="",$B1334="(blank)"),"",VLOOKUP($B1334,'Email Marketing Raw Data'!$C:$O,6,0)),"")</f>
        <v/>
      </c>
      <c r="O1334" s="55" t="str">
        <f>IFERROR(IF(OR($B1334="",$B1334="(blank)"),"",VLOOKUP($B1334,'Email Marketing Raw Data'!$C:$O,7,0)),"")</f>
        <v/>
      </c>
      <c r="P1334" s="55" t="str">
        <f>IFERROR(IF(OR($B1334="",$B1334="(blank)"),"",VLOOKUP($B1334,'Email Marketing Raw Data'!$C:$O,8,0)),"")</f>
        <v/>
      </c>
      <c r="Q1334" s="62" t="str">
        <f>IFERROR(IF(OR($B1334="",$B1334="(blank)"),"",VLOOKUP($B1334,'Email Marketing Raw Data'!$C:$O,9,0)),"")</f>
        <v/>
      </c>
    </row>
    <row r="1335" spans="4:17" ht="12.75" customHeight="1" x14ac:dyDescent="0.2">
      <c r="D1335" s="58" t="str">
        <f>IFERROR(IF(F1335&lt;&gt;"pending","",IF(OR($B1335="",$B1335="(blank)"),"",VLOOKUP($B1335,'Email Marketing Raw Data'!$C:$O,10,0))),"")</f>
        <v/>
      </c>
      <c r="E1335" s="59" t="str">
        <f>IFERROR(IF(F1335&lt;&gt;"pending","",IF(OR($B1335="",$B1335="(blank)"),"",VLOOKUP($B1335,'Email Marketing Raw Data'!$C:$O,11,0))),"")</f>
        <v/>
      </c>
      <c r="F1335" s="54" t="str">
        <f>IFERROR(IF(OR($B1335="",$B1335="(blank)"),"",VLOOKUP($B1335,'Email Marketing Raw Data'!$C:$O,13,0)),"")</f>
        <v/>
      </c>
      <c r="G1335" s="55" t="str">
        <f>IFERROR(IF(OR($B1335="",$B1335="(blank)"),"",VLOOKUP($B1335,'Email Marketing Raw Data'!$C:$O,4,0)),"")</f>
        <v/>
      </c>
      <c r="H1335" s="55" t="str">
        <f>IFERROR(IF(OR($B1335="",$B1335="(blank)"),"",VLOOKUP($B1335,'Email Marketing Raw Data'!$C:$O,5,0)),"")</f>
        <v/>
      </c>
      <c r="I1335" s="55" t="str">
        <f>IFERROR(IF($G1335="","",VLOOKUP('Dashboard And Emails Automate'!$G1335,Database!$H:$N,3,0)),"")</f>
        <v/>
      </c>
      <c r="J1335" s="55" t="str">
        <f>IFERROR(IF($G1335="","",VLOOKUP('Dashboard And Emails Automate'!$G1335,Database!$H:$N,4,0)),"")</f>
        <v/>
      </c>
      <c r="K1335" s="55" t="str">
        <f>IFERROR(IF($G1335="","",VLOOKUP('Dashboard And Emails Automate'!$G1335,Database!$H:$N,5,0)),"")</f>
        <v/>
      </c>
      <c r="L1335" s="55" t="str">
        <f>IFERROR(IF($G1335="","",VLOOKUP('Dashboard And Emails Automate'!$G1335,Database!$H:$N,6,0)),"")</f>
        <v/>
      </c>
      <c r="M1335" s="55" t="str">
        <f>IFERROR(IF($G1335="","",VLOOKUP('Dashboard And Emails Automate'!$G1335,Database!$H:$N,7,0)),"")</f>
        <v/>
      </c>
      <c r="N1335" s="55" t="str">
        <f>IFERROR(IF(OR($B1335="",$B1335="(blank)"),"",VLOOKUP($B1335,'Email Marketing Raw Data'!$C:$O,6,0)),"")</f>
        <v/>
      </c>
      <c r="O1335" s="55" t="str">
        <f>IFERROR(IF(OR($B1335="",$B1335="(blank)"),"",VLOOKUP($B1335,'Email Marketing Raw Data'!$C:$O,7,0)),"")</f>
        <v/>
      </c>
      <c r="P1335" s="55" t="str">
        <f>IFERROR(IF(OR($B1335="",$B1335="(blank)"),"",VLOOKUP($B1335,'Email Marketing Raw Data'!$C:$O,8,0)),"")</f>
        <v/>
      </c>
      <c r="Q1335" s="62" t="str">
        <f>IFERROR(IF(OR($B1335="",$B1335="(blank)"),"",VLOOKUP($B1335,'Email Marketing Raw Data'!$C:$O,9,0)),"")</f>
        <v/>
      </c>
    </row>
    <row r="1336" spans="4:17" ht="12.75" customHeight="1" x14ac:dyDescent="0.2">
      <c r="D1336" s="58" t="str">
        <f>IFERROR(IF(F1336&lt;&gt;"pending","",IF(OR($B1336="",$B1336="(blank)"),"",VLOOKUP($B1336,'Email Marketing Raw Data'!$C:$O,10,0))),"")</f>
        <v/>
      </c>
      <c r="E1336" s="59" t="str">
        <f>IFERROR(IF(F1336&lt;&gt;"pending","",IF(OR($B1336="",$B1336="(blank)"),"",VLOOKUP($B1336,'Email Marketing Raw Data'!$C:$O,11,0))),"")</f>
        <v/>
      </c>
      <c r="F1336" s="54" t="str">
        <f>IFERROR(IF(OR($B1336="",$B1336="(blank)"),"",VLOOKUP($B1336,'Email Marketing Raw Data'!$C:$O,13,0)),"")</f>
        <v/>
      </c>
      <c r="G1336" s="55" t="str">
        <f>IFERROR(IF(OR($B1336="",$B1336="(blank)"),"",VLOOKUP($B1336,'Email Marketing Raw Data'!$C:$O,4,0)),"")</f>
        <v/>
      </c>
      <c r="H1336" s="55" t="str">
        <f>IFERROR(IF(OR($B1336="",$B1336="(blank)"),"",VLOOKUP($B1336,'Email Marketing Raw Data'!$C:$O,5,0)),"")</f>
        <v/>
      </c>
      <c r="I1336" s="55" t="str">
        <f>IFERROR(IF($G1336="","",VLOOKUP('Dashboard And Emails Automate'!$G1336,Database!$H:$N,3,0)),"")</f>
        <v/>
      </c>
      <c r="J1336" s="55" t="str">
        <f>IFERROR(IF($G1336="","",VLOOKUP('Dashboard And Emails Automate'!$G1336,Database!$H:$N,4,0)),"")</f>
        <v/>
      </c>
      <c r="K1336" s="55" t="str">
        <f>IFERROR(IF($G1336="","",VLOOKUP('Dashboard And Emails Automate'!$G1336,Database!$H:$N,5,0)),"")</f>
        <v/>
      </c>
      <c r="L1336" s="55" t="str">
        <f>IFERROR(IF($G1336="","",VLOOKUP('Dashboard And Emails Automate'!$G1336,Database!$H:$N,6,0)),"")</f>
        <v/>
      </c>
      <c r="M1336" s="55" t="str">
        <f>IFERROR(IF($G1336="","",VLOOKUP('Dashboard And Emails Automate'!$G1336,Database!$H:$N,7,0)),"")</f>
        <v/>
      </c>
      <c r="N1336" s="55" t="str">
        <f>IFERROR(IF(OR($B1336="",$B1336="(blank)"),"",VLOOKUP($B1336,'Email Marketing Raw Data'!$C:$O,6,0)),"")</f>
        <v/>
      </c>
      <c r="O1336" s="55" t="str">
        <f>IFERROR(IF(OR($B1336="",$B1336="(blank)"),"",VLOOKUP($B1336,'Email Marketing Raw Data'!$C:$O,7,0)),"")</f>
        <v/>
      </c>
      <c r="P1336" s="55" t="str">
        <f>IFERROR(IF(OR($B1336="",$B1336="(blank)"),"",VLOOKUP($B1336,'Email Marketing Raw Data'!$C:$O,8,0)),"")</f>
        <v/>
      </c>
      <c r="Q1336" s="62" t="str">
        <f>IFERROR(IF(OR($B1336="",$B1336="(blank)"),"",VLOOKUP($B1336,'Email Marketing Raw Data'!$C:$O,9,0)),"")</f>
        <v/>
      </c>
    </row>
    <row r="1337" spans="4:17" ht="12.75" customHeight="1" x14ac:dyDescent="0.2">
      <c r="D1337" s="58" t="str">
        <f>IFERROR(IF(F1337&lt;&gt;"pending","",IF(OR($B1337="",$B1337="(blank)"),"",VLOOKUP($B1337,'Email Marketing Raw Data'!$C:$O,10,0))),"")</f>
        <v/>
      </c>
      <c r="E1337" s="59" t="str">
        <f>IFERROR(IF(F1337&lt;&gt;"pending","",IF(OR($B1337="",$B1337="(blank)"),"",VLOOKUP($B1337,'Email Marketing Raw Data'!$C:$O,11,0))),"")</f>
        <v/>
      </c>
      <c r="F1337" s="54" t="str">
        <f>IFERROR(IF(OR($B1337="",$B1337="(blank)"),"",VLOOKUP($B1337,'Email Marketing Raw Data'!$C:$O,13,0)),"")</f>
        <v/>
      </c>
      <c r="G1337" s="55" t="str">
        <f>IFERROR(IF(OR($B1337="",$B1337="(blank)"),"",VLOOKUP($B1337,'Email Marketing Raw Data'!$C:$O,4,0)),"")</f>
        <v/>
      </c>
      <c r="H1337" s="55" t="str">
        <f>IFERROR(IF(OR($B1337="",$B1337="(blank)"),"",VLOOKUP($B1337,'Email Marketing Raw Data'!$C:$O,5,0)),"")</f>
        <v/>
      </c>
      <c r="I1337" s="55" t="str">
        <f>IFERROR(IF($G1337="","",VLOOKUP('Dashboard And Emails Automate'!$G1337,Database!$H:$N,3,0)),"")</f>
        <v/>
      </c>
      <c r="J1337" s="55" t="str">
        <f>IFERROR(IF($G1337="","",VLOOKUP('Dashboard And Emails Automate'!$G1337,Database!$H:$N,4,0)),"")</f>
        <v/>
      </c>
      <c r="K1337" s="55" t="str">
        <f>IFERROR(IF($G1337="","",VLOOKUP('Dashboard And Emails Automate'!$G1337,Database!$H:$N,5,0)),"")</f>
        <v/>
      </c>
      <c r="L1337" s="55" t="str">
        <f>IFERROR(IF($G1337="","",VLOOKUP('Dashboard And Emails Automate'!$G1337,Database!$H:$N,6,0)),"")</f>
        <v/>
      </c>
      <c r="M1337" s="55" t="str">
        <f>IFERROR(IF($G1337="","",VLOOKUP('Dashboard And Emails Automate'!$G1337,Database!$H:$N,7,0)),"")</f>
        <v/>
      </c>
      <c r="N1337" s="55" t="str">
        <f>IFERROR(IF(OR($B1337="",$B1337="(blank)"),"",VLOOKUP($B1337,'Email Marketing Raw Data'!$C:$O,6,0)),"")</f>
        <v/>
      </c>
      <c r="O1337" s="55" t="str">
        <f>IFERROR(IF(OR($B1337="",$B1337="(blank)"),"",VLOOKUP($B1337,'Email Marketing Raw Data'!$C:$O,7,0)),"")</f>
        <v/>
      </c>
      <c r="P1337" s="55" t="str">
        <f>IFERROR(IF(OR($B1337="",$B1337="(blank)"),"",VLOOKUP($B1337,'Email Marketing Raw Data'!$C:$O,8,0)),"")</f>
        <v/>
      </c>
      <c r="Q1337" s="62" t="str">
        <f>IFERROR(IF(OR($B1337="",$B1337="(blank)"),"",VLOOKUP($B1337,'Email Marketing Raw Data'!$C:$O,9,0)),"")</f>
        <v/>
      </c>
    </row>
    <row r="1338" spans="4:17" ht="12.75" customHeight="1" x14ac:dyDescent="0.2">
      <c r="D1338" s="58" t="str">
        <f>IFERROR(IF(F1338&lt;&gt;"pending","",IF(OR($B1338="",$B1338="(blank)"),"",VLOOKUP($B1338,'Email Marketing Raw Data'!$C:$O,10,0))),"")</f>
        <v/>
      </c>
      <c r="E1338" s="59" t="str">
        <f>IFERROR(IF(F1338&lt;&gt;"pending","",IF(OR($B1338="",$B1338="(blank)"),"",VLOOKUP($B1338,'Email Marketing Raw Data'!$C:$O,11,0))),"")</f>
        <v/>
      </c>
      <c r="F1338" s="54" t="str">
        <f>IFERROR(IF(OR($B1338="",$B1338="(blank)"),"",VLOOKUP($B1338,'Email Marketing Raw Data'!$C:$O,13,0)),"")</f>
        <v/>
      </c>
      <c r="G1338" s="55" t="str">
        <f>IFERROR(IF(OR($B1338="",$B1338="(blank)"),"",VLOOKUP($B1338,'Email Marketing Raw Data'!$C:$O,4,0)),"")</f>
        <v/>
      </c>
      <c r="H1338" s="55" t="str">
        <f>IFERROR(IF(OR($B1338="",$B1338="(blank)"),"",VLOOKUP($B1338,'Email Marketing Raw Data'!$C:$O,5,0)),"")</f>
        <v/>
      </c>
      <c r="I1338" s="55" t="str">
        <f>IFERROR(IF($G1338="","",VLOOKUP('Dashboard And Emails Automate'!$G1338,Database!$H:$N,3,0)),"")</f>
        <v/>
      </c>
      <c r="J1338" s="55" t="str">
        <f>IFERROR(IF($G1338="","",VLOOKUP('Dashboard And Emails Automate'!$G1338,Database!$H:$N,4,0)),"")</f>
        <v/>
      </c>
      <c r="K1338" s="55" t="str">
        <f>IFERROR(IF($G1338="","",VLOOKUP('Dashboard And Emails Automate'!$G1338,Database!$H:$N,5,0)),"")</f>
        <v/>
      </c>
      <c r="L1338" s="55" t="str">
        <f>IFERROR(IF($G1338="","",VLOOKUP('Dashboard And Emails Automate'!$G1338,Database!$H:$N,6,0)),"")</f>
        <v/>
      </c>
      <c r="M1338" s="55" t="str">
        <f>IFERROR(IF($G1338="","",VLOOKUP('Dashboard And Emails Automate'!$G1338,Database!$H:$N,7,0)),"")</f>
        <v/>
      </c>
      <c r="N1338" s="55" t="str">
        <f>IFERROR(IF(OR($B1338="",$B1338="(blank)"),"",VLOOKUP($B1338,'Email Marketing Raw Data'!$C:$O,6,0)),"")</f>
        <v/>
      </c>
      <c r="O1338" s="55" t="str">
        <f>IFERROR(IF(OR($B1338="",$B1338="(blank)"),"",VLOOKUP($B1338,'Email Marketing Raw Data'!$C:$O,7,0)),"")</f>
        <v/>
      </c>
      <c r="P1338" s="55" t="str">
        <f>IFERROR(IF(OR($B1338="",$B1338="(blank)"),"",VLOOKUP($B1338,'Email Marketing Raw Data'!$C:$O,8,0)),"")</f>
        <v/>
      </c>
      <c r="Q1338" s="62" t="str">
        <f>IFERROR(IF(OR($B1338="",$B1338="(blank)"),"",VLOOKUP($B1338,'Email Marketing Raw Data'!$C:$O,9,0)),"")</f>
        <v/>
      </c>
    </row>
    <row r="1339" spans="4:17" ht="12.75" customHeight="1" x14ac:dyDescent="0.2">
      <c r="D1339" s="58" t="str">
        <f>IFERROR(IF(F1339&lt;&gt;"pending","",IF(OR($B1339="",$B1339="(blank)"),"",VLOOKUP($B1339,'Email Marketing Raw Data'!$C:$O,10,0))),"")</f>
        <v/>
      </c>
      <c r="E1339" s="59" t="str">
        <f>IFERROR(IF(F1339&lt;&gt;"pending","",IF(OR($B1339="",$B1339="(blank)"),"",VLOOKUP($B1339,'Email Marketing Raw Data'!$C:$O,11,0))),"")</f>
        <v/>
      </c>
      <c r="F1339" s="54" t="str">
        <f>IFERROR(IF(OR($B1339="",$B1339="(blank)"),"",VLOOKUP($B1339,'Email Marketing Raw Data'!$C:$O,13,0)),"")</f>
        <v/>
      </c>
      <c r="G1339" s="55" t="str">
        <f>IFERROR(IF(OR($B1339="",$B1339="(blank)"),"",VLOOKUP($B1339,'Email Marketing Raw Data'!$C:$O,4,0)),"")</f>
        <v/>
      </c>
      <c r="H1339" s="55" t="str">
        <f>IFERROR(IF(OR($B1339="",$B1339="(blank)"),"",VLOOKUP($B1339,'Email Marketing Raw Data'!$C:$O,5,0)),"")</f>
        <v/>
      </c>
      <c r="I1339" s="55" t="str">
        <f>IFERROR(IF($G1339="","",VLOOKUP('Dashboard And Emails Automate'!$G1339,Database!$H:$N,3,0)),"")</f>
        <v/>
      </c>
      <c r="J1339" s="55" t="str">
        <f>IFERROR(IF($G1339="","",VLOOKUP('Dashboard And Emails Automate'!$G1339,Database!$H:$N,4,0)),"")</f>
        <v/>
      </c>
      <c r="K1339" s="55" t="str">
        <f>IFERROR(IF($G1339="","",VLOOKUP('Dashboard And Emails Automate'!$G1339,Database!$H:$N,5,0)),"")</f>
        <v/>
      </c>
      <c r="L1339" s="55" t="str">
        <f>IFERROR(IF($G1339="","",VLOOKUP('Dashboard And Emails Automate'!$G1339,Database!$H:$N,6,0)),"")</f>
        <v/>
      </c>
      <c r="M1339" s="55" t="str">
        <f>IFERROR(IF($G1339="","",VLOOKUP('Dashboard And Emails Automate'!$G1339,Database!$H:$N,7,0)),"")</f>
        <v/>
      </c>
      <c r="N1339" s="55" t="str">
        <f>IFERROR(IF(OR($B1339="",$B1339="(blank)"),"",VLOOKUP($B1339,'Email Marketing Raw Data'!$C:$O,6,0)),"")</f>
        <v/>
      </c>
      <c r="O1339" s="55" t="str">
        <f>IFERROR(IF(OR($B1339="",$B1339="(blank)"),"",VLOOKUP($B1339,'Email Marketing Raw Data'!$C:$O,7,0)),"")</f>
        <v/>
      </c>
      <c r="P1339" s="55" t="str">
        <f>IFERROR(IF(OR($B1339="",$B1339="(blank)"),"",VLOOKUP($B1339,'Email Marketing Raw Data'!$C:$O,8,0)),"")</f>
        <v/>
      </c>
      <c r="Q1339" s="62" t="str">
        <f>IFERROR(IF(OR($B1339="",$B1339="(blank)"),"",VLOOKUP($B1339,'Email Marketing Raw Data'!$C:$O,9,0)),"")</f>
        <v/>
      </c>
    </row>
    <row r="1340" spans="4:17" ht="12.75" customHeight="1" x14ac:dyDescent="0.2">
      <c r="D1340" s="58" t="str">
        <f>IFERROR(IF(F1340&lt;&gt;"pending","",IF(OR($B1340="",$B1340="(blank)"),"",VLOOKUP($B1340,'Email Marketing Raw Data'!$C:$O,10,0))),"")</f>
        <v/>
      </c>
      <c r="E1340" s="59" t="str">
        <f>IFERROR(IF(F1340&lt;&gt;"pending","",IF(OR($B1340="",$B1340="(blank)"),"",VLOOKUP($B1340,'Email Marketing Raw Data'!$C:$O,11,0))),"")</f>
        <v/>
      </c>
      <c r="F1340" s="54" t="str">
        <f>IFERROR(IF(OR($B1340="",$B1340="(blank)"),"",VLOOKUP($B1340,'Email Marketing Raw Data'!$C:$O,13,0)),"")</f>
        <v/>
      </c>
      <c r="G1340" s="55" t="str">
        <f>IFERROR(IF(OR($B1340="",$B1340="(blank)"),"",VLOOKUP($B1340,'Email Marketing Raw Data'!$C:$O,4,0)),"")</f>
        <v/>
      </c>
      <c r="H1340" s="55" t="str">
        <f>IFERROR(IF(OR($B1340="",$B1340="(blank)"),"",VLOOKUP($B1340,'Email Marketing Raw Data'!$C:$O,5,0)),"")</f>
        <v/>
      </c>
      <c r="I1340" s="55" t="str">
        <f>IFERROR(IF($G1340="","",VLOOKUP('Dashboard And Emails Automate'!$G1340,Database!$H:$N,3,0)),"")</f>
        <v/>
      </c>
      <c r="J1340" s="55" t="str">
        <f>IFERROR(IF($G1340="","",VLOOKUP('Dashboard And Emails Automate'!$G1340,Database!$H:$N,4,0)),"")</f>
        <v/>
      </c>
      <c r="K1340" s="55" t="str">
        <f>IFERROR(IF($G1340="","",VLOOKUP('Dashboard And Emails Automate'!$G1340,Database!$H:$N,5,0)),"")</f>
        <v/>
      </c>
      <c r="L1340" s="55" t="str">
        <f>IFERROR(IF($G1340="","",VLOOKUP('Dashboard And Emails Automate'!$G1340,Database!$H:$N,6,0)),"")</f>
        <v/>
      </c>
      <c r="M1340" s="55" t="str">
        <f>IFERROR(IF($G1340="","",VLOOKUP('Dashboard And Emails Automate'!$G1340,Database!$H:$N,7,0)),"")</f>
        <v/>
      </c>
      <c r="N1340" s="55" t="str">
        <f>IFERROR(IF(OR($B1340="",$B1340="(blank)"),"",VLOOKUP($B1340,'Email Marketing Raw Data'!$C:$O,6,0)),"")</f>
        <v/>
      </c>
      <c r="O1340" s="55" t="str">
        <f>IFERROR(IF(OR($B1340="",$B1340="(blank)"),"",VLOOKUP($B1340,'Email Marketing Raw Data'!$C:$O,7,0)),"")</f>
        <v/>
      </c>
      <c r="P1340" s="55" t="str">
        <f>IFERROR(IF(OR($B1340="",$B1340="(blank)"),"",VLOOKUP($B1340,'Email Marketing Raw Data'!$C:$O,8,0)),"")</f>
        <v/>
      </c>
      <c r="Q1340" s="62" t="str">
        <f>IFERROR(IF(OR($B1340="",$B1340="(blank)"),"",VLOOKUP($B1340,'Email Marketing Raw Data'!$C:$O,9,0)),"")</f>
        <v/>
      </c>
    </row>
    <row r="1341" spans="4:17" ht="12.75" customHeight="1" x14ac:dyDescent="0.2">
      <c r="D1341" s="58" t="str">
        <f>IFERROR(IF(F1341&lt;&gt;"pending","",IF(OR($B1341="",$B1341="(blank)"),"",VLOOKUP($B1341,'Email Marketing Raw Data'!$C:$O,10,0))),"")</f>
        <v/>
      </c>
      <c r="E1341" s="59" t="str">
        <f>IFERROR(IF(F1341&lt;&gt;"pending","",IF(OR($B1341="",$B1341="(blank)"),"",VLOOKUP($B1341,'Email Marketing Raw Data'!$C:$O,11,0))),"")</f>
        <v/>
      </c>
      <c r="F1341" s="54" t="str">
        <f>IFERROR(IF(OR($B1341="",$B1341="(blank)"),"",VLOOKUP($B1341,'Email Marketing Raw Data'!$C:$O,13,0)),"")</f>
        <v/>
      </c>
      <c r="G1341" s="55" t="str">
        <f>IFERROR(IF(OR($B1341="",$B1341="(blank)"),"",VLOOKUP($B1341,'Email Marketing Raw Data'!$C:$O,4,0)),"")</f>
        <v/>
      </c>
      <c r="H1341" s="55" t="str">
        <f>IFERROR(IF(OR($B1341="",$B1341="(blank)"),"",VLOOKUP($B1341,'Email Marketing Raw Data'!$C:$O,5,0)),"")</f>
        <v/>
      </c>
      <c r="I1341" s="55" t="str">
        <f>IFERROR(IF($G1341="","",VLOOKUP('Dashboard And Emails Automate'!$G1341,Database!$H:$N,3,0)),"")</f>
        <v/>
      </c>
      <c r="J1341" s="55" t="str">
        <f>IFERROR(IF($G1341="","",VLOOKUP('Dashboard And Emails Automate'!$G1341,Database!$H:$N,4,0)),"")</f>
        <v/>
      </c>
      <c r="K1341" s="55" t="str">
        <f>IFERROR(IF($G1341="","",VLOOKUP('Dashboard And Emails Automate'!$G1341,Database!$H:$N,5,0)),"")</f>
        <v/>
      </c>
      <c r="L1341" s="55" t="str">
        <f>IFERROR(IF($G1341="","",VLOOKUP('Dashboard And Emails Automate'!$G1341,Database!$H:$N,6,0)),"")</f>
        <v/>
      </c>
      <c r="M1341" s="55" t="str">
        <f>IFERROR(IF($G1341="","",VLOOKUP('Dashboard And Emails Automate'!$G1341,Database!$H:$N,7,0)),"")</f>
        <v/>
      </c>
      <c r="N1341" s="55" t="str">
        <f>IFERROR(IF(OR($B1341="",$B1341="(blank)"),"",VLOOKUP($B1341,'Email Marketing Raw Data'!$C:$O,6,0)),"")</f>
        <v/>
      </c>
      <c r="O1341" s="55" t="str">
        <f>IFERROR(IF(OR($B1341="",$B1341="(blank)"),"",VLOOKUP($B1341,'Email Marketing Raw Data'!$C:$O,7,0)),"")</f>
        <v/>
      </c>
      <c r="P1341" s="55" t="str">
        <f>IFERROR(IF(OR($B1341="",$B1341="(blank)"),"",VLOOKUP($B1341,'Email Marketing Raw Data'!$C:$O,8,0)),"")</f>
        <v/>
      </c>
      <c r="Q1341" s="62" t="str">
        <f>IFERROR(IF(OR($B1341="",$B1341="(blank)"),"",VLOOKUP($B1341,'Email Marketing Raw Data'!$C:$O,9,0)),"")</f>
        <v/>
      </c>
    </row>
    <row r="1342" spans="4:17" ht="12.75" customHeight="1" x14ac:dyDescent="0.2">
      <c r="D1342" s="58" t="str">
        <f>IFERROR(IF(F1342&lt;&gt;"pending","",IF(OR($B1342="",$B1342="(blank)"),"",VLOOKUP($B1342,'Email Marketing Raw Data'!$C:$O,10,0))),"")</f>
        <v/>
      </c>
      <c r="E1342" s="59" t="str">
        <f>IFERROR(IF(F1342&lt;&gt;"pending","",IF(OR($B1342="",$B1342="(blank)"),"",VLOOKUP($B1342,'Email Marketing Raw Data'!$C:$O,11,0))),"")</f>
        <v/>
      </c>
      <c r="F1342" s="54" t="str">
        <f>IFERROR(IF(OR($B1342="",$B1342="(blank)"),"",VLOOKUP($B1342,'Email Marketing Raw Data'!$C:$O,13,0)),"")</f>
        <v/>
      </c>
      <c r="G1342" s="55" t="str">
        <f>IFERROR(IF(OR($B1342="",$B1342="(blank)"),"",VLOOKUP($B1342,'Email Marketing Raw Data'!$C:$O,4,0)),"")</f>
        <v/>
      </c>
      <c r="H1342" s="55" t="str">
        <f>IFERROR(IF(OR($B1342="",$B1342="(blank)"),"",VLOOKUP($B1342,'Email Marketing Raw Data'!$C:$O,5,0)),"")</f>
        <v/>
      </c>
      <c r="I1342" s="55" t="str">
        <f>IFERROR(IF($G1342="","",VLOOKUP('Dashboard And Emails Automate'!$G1342,Database!$H:$N,3,0)),"")</f>
        <v/>
      </c>
      <c r="J1342" s="55" t="str">
        <f>IFERROR(IF($G1342="","",VLOOKUP('Dashboard And Emails Automate'!$G1342,Database!$H:$N,4,0)),"")</f>
        <v/>
      </c>
      <c r="K1342" s="55" t="str">
        <f>IFERROR(IF($G1342="","",VLOOKUP('Dashboard And Emails Automate'!$G1342,Database!$H:$N,5,0)),"")</f>
        <v/>
      </c>
      <c r="L1342" s="55" t="str">
        <f>IFERROR(IF($G1342="","",VLOOKUP('Dashboard And Emails Automate'!$G1342,Database!$H:$N,6,0)),"")</f>
        <v/>
      </c>
      <c r="M1342" s="55" t="str">
        <f>IFERROR(IF($G1342="","",VLOOKUP('Dashboard And Emails Automate'!$G1342,Database!$H:$N,7,0)),"")</f>
        <v/>
      </c>
      <c r="N1342" s="55" t="str">
        <f>IFERROR(IF(OR($B1342="",$B1342="(blank)"),"",VLOOKUP($B1342,'Email Marketing Raw Data'!$C:$O,6,0)),"")</f>
        <v/>
      </c>
      <c r="O1342" s="55" t="str">
        <f>IFERROR(IF(OR($B1342="",$B1342="(blank)"),"",VLOOKUP($B1342,'Email Marketing Raw Data'!$C:$O,7,0)),"")</f>
        <v/>
      </c>
      <c r="P1342" s="55" t="str">
        <f>IFERROR(IF(OR($B1342="",$B1342="(blank)"),"",VLOOKUP($B1342,'Email Marketing Raw Data'!$C:$O,8,0)),"")</f>
        <v/>
      </c>
      <c r="Q1342" s="62" t="str">
        <f>IFERROR(IF(OR($B1342="",$B1342="(blank)"),"",VLOOKUP($B1342,'Email Marketing Raw Data'!$C:$O,9,0)),"")</f>
        <v/>
      </c>
    </row>
    <row r="1343" spans="4:17" ht="12.75" customHeight="1" x14ac:dyDescent="0.2">
      <c r="D1343" s="58" t="str">
        <f>IFERROR(IF(F1343&lt;&gt;"pending","",IF(OR($B1343="",$B1343="(blank)"),"",VLOOKUP($B1343,'Email Marketing Raw Data'!$C:$O,10,0))),"")</f>
        <v/>
      </c>
      <c r="E1343" s="59" t="str">
        <f>IFERROR(IF(F1343&lt;&gt;"pending","",IF(OR($B1343="",$B1343="(blank)"),"",VLOOKUP($B1343,'Email Marketing Raw Data'!$C:$O,11,0))),"")</f>
        <v/>
      </c>
      <c r="F1343" s="54" t="str">
        <f>IFERROR(IF(OR($B1343="",$B1343="(blank)"),"",VLOOKUP($B1343,'Email Marketing Raw Data'!$C:$O,13,0)),"")</f>
        <v/>
      </c>
      <c r="G1343" s="55" t="str">
        <f>IFERROR(IF(OR($B1343="",$B1343="(blank)"),"",VLOOKUP($B1343,'Email Marketing Raw Data'!$C:$O,4,0)),"")</f>
        <v/>
      </c>
      <c r="H1343" s="55" t="str">
        <f>IFERROR(IF(OR($B1343="",$B1343="(blank)"),"",VLOOKUP($B1343,'Email Marketing Raw Data'!$C:$O,5,0)),"")</f>
        <v/>
      </c>
      <c r="I1343" s="55" t="str">
        <f>IFERROR(IF($G1343="","",VLOOKUP('Dashboard And Emails Automate'!$G1343,Database!$H:$N,3,0)),"")</f>
        <v/>
      </c>
      <c r="J1343" s="55" t="str">
        <f>IFERROR(IF($G1343="","",VLOOKUP('Dashboard And Emails Automate'!$G1343,Database!$H:$N,4,0)),"")</f>
        <v/>
      </c>
      <c r="K1343" s="55" t="str">
        <f>IFERROR(IF($G1343="","",VLOOKUP('Dashboard And Emails Automate'!$G1343,Database!$H:$N,5,0)),"")</f>
        <v/>
      </c>
      <c r="L1343" s="55" t="str">
        <f>IFERROR(IF($G1343="","",VLOOKUP('Dashboard And Emails Automate'!$G1343,Database!$H:$N,6,0)),"")</f>
        <v/>
      </c>
      <c r="M1343" s="55" t="str">
        <f>IFERROR(IF($G1343="","",VLOOKUP('Dashboard And Emails Automate'!$G1343,Database!$H:$N,7,0)),"")</f>
        <v/>
      </c>
      <c r="N1343" s="55" t="str">
        <f>IFERROR(IF(OR($B1343="",$B1343="(blank)"),"",VLOOKUP($B1343,'Email Marketing Raw Data'!$C:$O,6,0)),"")</f>
        <v/>
      </c>
      <c r="O1343" s="55" t="str">
        <f>IFERROR(IF(OR($B1343="",$B1343="(blank)"),"",VLOOKUP($B1343,'Email Marketing Raw Data'!$C:$O,7,0)),"")</f>
        <v/>
      </c>
      <c r="P1343" s="55" t="str">
        <f>IFERROR(IF(OR($B1343="",$B1343="(blank)"),"",VLOOKUP($B1343,'Email Marketing Raw Data'!$C:$O,8,0)),"")</f>
        <v/>
      </c>
      <c r="Q1343" s="62" t="str">
        <f>IFERROR(IF(OR($B1343="",$B1343="(blank)"),"",VLOOKUP($B1343,'Email Marketing Raw Data'!$C:$O,9,0)),"")</f>
        <v/>
      </c>
    </row>
    <row r="1344" spans="4:17" ht="12.75" customHeight="1" x14ac:dyDescent="0.2">
      <c r="D1344" s="58" t="str">
        <f>IFERROR(IF(F1344&lt;&gt;"pending","",IF(OR($B1344="",$B1344="(blank)"),"",VLOOKUP($B1344,'Email Marketing Raw Data'!$C:$O,10,0))),"")</f>
        <v/>
      </c>
      <c r="E1344" s="59" t="str">
        <f>IFERROR(IF(F1344&lt;&gt;"pending","",IF(OR($B1344="",$B1344="(blank)"),"",VLOOKUP($B1344,'Email Marketing Raw Data'!$C:$O,11,0))),"")</f>
        <v/>
      </c>
      <c r="F1344" s="54" t="str">
        <f>IFERROR(IF(OR($B1344="",$B1344="(blank)"),"",VLOOKUP($B1344,'Email Marketing Raw Data'!$C:$O,13,0)),"")</f>
        <v/>
      </c>
      <c r="G1344" s="55" t="str">
        <f>IFERROR(IF(OR($B1344="",$B1344="(blank)"),"",VLOOKUP($B1344,'Email Marketing Raw Data'!$C:$O,4,0)),"")</f>
        <v/>
      </c>
      <c r="H1344" s="55" t="str">
        <f>IFERROR(IF(OR($B1344="",$B1344="(blank)"),"",VLOOKUP($B1344,'Email Marketing Raw Data'!$C:$O,5,0)),"")</f>
        <v/>
      </c>
      <c r="I1344" s="55" t="str">
        <f>IFERROR(IF($G1344="","",VLOOKUP('Dashboard And Emails Automate'!$G1344,Database!$H:$N,3,0)),"")</f>
        <v/>
      </c>
      <c r="J1344" s="55" t="str">
        <f>IFERROR(IF($G1344="","",VLOOKUP('Dashboard And Emails Automate'!$G1344,Database!$H:$N,4,0)),"")</f>
        <v/>
      </c>
      <c r="K1344" s="55" t="str">
        <f>IFERROR(IF($G1344="","",VLOOKUP('Dashboard And Emails Automate'!$G1344,Database!$H:$N,5,0)),"")</f>
        <v/>
      </c>
      <c r="L1344" s="55" t="str">
        <f>IFERROR(IF($G1344="","",VLOOKUP('Dashboard And Emails Automate'!$G1344,Database!$H:$N,6,0)),"")</f>
        <v/>
      </c>
      <c r="M1344" s="55" t="str">
        <f>IFERROR(IF($G1344="","",VLOOKUP('Dashboard And Emails Automate'!$G1344,Database!$H:$N,7,0)),"")</f>
        <v/>
      </c>
      <c r="N1344" s="55" t="str">
        <f>IFERROR(IF(OR($B1344="",$B1344="(blank)"),"",VLOOKUP($B1344,'Email Marketing Raw Data'!$C:$O,6,0)),"")</f>
        <v/>
      </c>
      <c r="O1344" s="55" t="str">
        <f>IFERROR(IF(OR($B1344="",$B1344="(blank)"),"",VLOOKUP($B1344,'Email Marketing Raw Data'!$C:$O,7,0)),"")</f>
        <v/>
      </c>
      <c r="P1344" s="55" t="str">
        <f>IFERROR(IF(OR($B1344="",$B1344="(blank)"),"",VLOOKUP($B1344,'Email Marketing Raw Data'!$C:$O,8,0)),"")</f>
        <v/>
      </c>
      <c r="Q1344" s="62" t="str">
        <f>IFERROR(IF(OR($B1344="",$B1344="(blank)"),"",VLOOKUP($B1344,'Email Marketing Raw Data'!$C:$O,9,0)),"")</f>
        <v/>
      </c>
    </row>
    <row r="1345" spans="4:17" ht="12.75" customHeight="1" x14ac:dyDescent="0.2">
      <c r="D1345" s="58" t="str">
        <f>IFERROR(IF(F1345&lt;&gt;"pending","",IF(OR($B1345="",$B1345="(blank)"),"",VLOOKUP($B1345,'Email Marketing Raw Data'!$C:$O,10,0))),"")</f>
        <v/>
      </c>
      <c r="E1345" s="59" t="str">
        <f>IFERROR(IF(F1345&lt;&gt;"pending","",IF(OR($B1345="",$B1345="(blank)"),"",VLOOKUP($B1345,'Email Marketing Raw Data'!$C:$O,11,0))),"")</f>
        <v/>
      </c>
      <c r="F1345" s="54" t="str">
        <f>IFERROR(IF(OR($B1345="",$B1345="(blank)"),"",VLOOKUP($B1345,'Email Marketing Raw Data'!$C:$O,13,0)),"")</f>
        <v/>
      </c>
      <c r="G1345" s="55" t="str">
        <f>IFERROR(IF(OR($B1345="",$B1345="(blank)"),"",VLOOKUP($B1345,'Email Marketing Raw Data'!$C:$O,4,0)),"")</f>
        <v/>
      </c>
      <c r="H1345" s="55" t="str">
        <f>IFERROR(IF(OR($B1345="",$B1345="(blank)"),"",VLOOKUP($B1345,'Email Marketing Raw Data'!$C:$O,5,0)),"")</f>
        <v/>
      </c>
      <c r="I1345" s="55" t="str">
        <f>IFERROR(IF($G1345="","",VLOOKUP('Dashboard And Emails Automate'!$G1345,Database!$H:$N,3,0)),"")</f>
        <v/>
      </c>
      <c r="J1345" s="55" t="str">
        <f>IFERROR(IF($G1345="","",VLOOKUP('Dashboard And Emails Automate'!$G1345,Database!$H:$N,4,0)),"")</f>
        <v/>
      </c>
      <c r="K1345" s="55" t="str">
        <f>IFERROR(IF($G1345="","",VLOOKUP('Dashboard And Emails Automate'!$G1345,Database!$H:$N,5,0)),"")</f>
        <v/>
      </c>
      <c r="L1345" s="55" t="str">
        <f>IFERROR(IF($G1345="","",VLOOKUP('Dashboard And Emails Automate'!$G1345,Database!$H:$N,6,0)),"")</f>
        <v/>
      </c>
      <c r="M1345" s="55" t="str">
        <f>IFERROR(IF($G1345="","",VLOOKUP('Dashboard And Emails Automate'!$G1345,Database!$H:$N,7,0)),"")</f>
        <v/>
      </c>
      <c r="N1345" s="55" t="str">
        <f>IFERROR(IF(OR($B1345="",$B1345="(blank)"),"",VLOOKUP($B1345,'Email Marketing Raw Data'!$C:$O,6,0)),"")</f>
        <v/>
      </c>
      <c r="O1345" s="55" t="str">
        <f>IFERROR(IF(OR($B1345="",$B1345="(blank)"),"",VLOOKUP($B1345,'Email Marketing Raw Data'!$C:$O,7,0)),"")</f>
        <v/>
      </c>
      <c r="P1345" s="55" t="str">
        <f>IFERROR(IF(OR($B1345="",$B1345="(blank)"),"",VLOOKUP($B1345,'Email Marketing Raw Data'!$C:$O,8,0)),"")</f>
        <v/>
      </c>
      <c r="Q1345" s="62" t="str">
        <f>IFERROR(IF(OR($B1345="",$B1345="(blank)"),"",VLOOKUP($B1345,'Email Marketing Raw Data'!$C:$O,9,0)),"")</f>
        <v/>
      </c>
    </row>
    <row r="1346" spans="4:17" ht="12.75" customHeight="1" x14ac:dyDescent="0.2">
      <c r="D1346" s="58" t="str">
        <f>IFERROR(IF(F1346&lt;&gt;"pending","",IF(OR($B1346="",$B1346="(blank)"),"",VLOOKUP($B1346,'Email Marketing Raw Data'!$C:$O,10,0))),"")</f>
        <v/>
      </c>
      <c r="E1346" s="59" t="str">
        <f>IFERROR(IF(F1346&lt;&gt;"pending","",IF(OR($B1346="",$B1346="(blank)"),"",VLOOKUP($B1346,'Email Marketing Raw Data'!$C:$O,11,0))),"")</f>
        <v/>
      </c>
      <c r="F1346" s="54" t="str">
        <f>IFERROR(IF(OR($B1346="",$B1346="(blank)"),"",VLOOKUP($B1346,'Email Marketing Raw Data'!$C:$O,13,0)),"")</f>
        <v/>
      </c>
      <c r="G1346" s="55" t="str">
        <f>IFERROR(IF(OR($B1346="",$B1346="(blank)"),"",VLOOKUP($B1346,'Email Marketing Raw Data'!$C:$O,4,0)),"")</f>
        <v/>
      </c>
      <c r="H1346" s="55" t="str">
        <f>IFERROR(IF(OR($B1346="",$B1346="(blank)"),"",VLOOKUP($B1346,'Email Marketing Raw Data'!$C:$O,5,0)),"")</f>
        <v/>
      </c>
      <c r="I1346" s="55" t="str">
        <f>IFERROR(IF($G1346="","",VLOOKUP('Dashboard And Emails Automate'!$G1346,Database!$H:$N,3,0)),"")</f>
        <v/>
      </c>
      <c r="J1346" s="55" t="str">
        <f>IFERROR(IF($G1346="","",VLOOKUP('Dashboard And Emails Automate'!$G1346,Database!$H:$N,4,0)),"")</f>
        <v/>
      </c>
      <c r="K1346" s="55" t="str">
        <f>IFERROR(IF($G1346="","",VLOOKUP('Dashboard And Emails Automate'!$G1346,Database!$H:$N,5,0)),"")</f>
        <v/>
      </c>
      <c r="L1346" s="55" t="str">
        <f>IFERROR(IF($G1346="","",VLOOKUP('Dashboard And Emails Automate'!$G1346,Database!$H:$N,6,0)),"")</f>
        <v/>
      </c>
      <c r="M1346" s="55" t="str">
        <f>IFERROR(IF($G1346="","",VLOOKUP('Dashboard And Emails Automate'!$G1346,Database!$H:$N,7,0)),"")</f>
        <v/>
      </c>
      <c r="N1346" s="55" t="str">
        <f>IFERROR(IF(OR($B1346="",$B1346="(blank)"),"",VLOOKUP($B1346,'Email Marketing Raw Data'!$C:$O,6,0)),"")</f>
        <v/>
      </c>
      <c r="O1346" s="55" t="str">
        <f>IFERROR(IF(OR($B1346="",$B1346="(blank)"),"",VLOOKUP($B1346,'Email Marketing Raw Data'!$C:$O,7,0)),"")</f>
        <v/>
      </c>
      <c r="P1346" s="55" t="str">
        <f>IFERROR(IF(OR($B1346="",$B1346="(blank)"),"",VLOOKUP($B1346,'Email Marketing Raw Data'!$C:$O,8,0)),"")</f>
        <v/>
      </c>
      <c r="Q1346" s="62" t="str">
        <f>IFERROR(IF(OR($B1346="",$B1346="(blank)"),"",VLOOKUP($B1346,'Email Marketing Raw Data'!$C:$O,9,0)),"")</f>
        <v/>
      </c>
    </row>
    <row r="1347" spans="4:17" ht="12.75" customHeight="1" x14ac:dyDescent="0.2">
      <c r="D1347" s="58" t="str">
        <f>IFERROR(IF(F1347&lt;&gt;"pending","",IF(OR($B1347="",$B1347="(blank)"),"",VLOOKUP($B1347,'Email Marketing Raw Data'!$C:$O,10,0))),"")</f>
        <v/>
      </c>
      <c r="E1347" s="59" t="str">
        <f>IFERROR(IF(F1347&lt;&gt;"pending","",IF(OR($B1347="",$B1347="(blank)"),"",VLOOKUP($B1347,'Email Marketing Raw Data'!$C:$O,11,0))),"")</f>
        <v/>
      </c>
      <c r="F1347" s="54" t="str">
        <f>IFERROR(IF(OR($B1347="",$B1347="(blank)"),"",VLOOKUP($B1347,'Email Marketing Raw Data'!$C:$O,13,0)),"")</f>
        <v/>
      </c>
      <c r="G1347" s="55" t="str">
        <f>IFERROR(IF(OR($B1347="",$B1347="(blank)"),"",VLOOKUP($B1347,'Email Marketing Raw Data'!$C:$O,4,0)),"")</f>
        <v/>
      </c>
      <c r="H1347" s="55" t="str">
        <f>IFERROR(IF(OR($B1347="",$B1347="(blank)"),"",VLOOKUP($B1347,'Email Marketing Raw Data'!$C:$O,5,0)),"")</f>
        <v/>
      </c>
      <c r="I1347" s="55" t="str">
        <f>IFERROR(IF($G1347="","",VLOOKUP('Dashboard And Emails Automate'!$G1347,Database!$H:$N,3,0)),"")</f>
        <v/>
      </c>
      <c r="J1347" s="55" t="str">
        <f>IFERROR(IF($G1347="","",VLOOKUP('Dashboard And Emails Automate'!$G1347,Database!$H:$N,4,0)),"")</f>
        <v/>
      </c>
      <c r="K1347" s="55" t="str">
        <f>IFERROR(IF($G1347="","",VLOOKUP('Dashboard And Emails Automate'!$G1347,Database!$H:$N,5,0)),"")</f>
        <v/>
      </c>
      <c r="L1347" s="55" t="str">
        <f>IFERROR(IF($G1347="","",VLOOKUP('Dashboard And Emails Automate'!$G1347,Database!$H:$N,6,0)),"")</f>
        <v/>
      </c>
      <c r="M1347" s="55" t="str">
        <f>IFERROR(IF($G1347="","",VLOOKUP('Dashboard And Emails Automate'!$G1347,Database!$H:$N,7,0)),"")</f>
        <v/>
      </c>
      <c r="N1347" s="55" t="str">
        <f>IFERROR(IF(OR($B1347="",$B1347="(blank)"),"",VLOOKUP($B1347,'Email Marketing Raw Data'!$C:$O,6,0)),"")</f>
        <v/>
      </c>
      <c r="O1347" s="55" t="str">
        <f>IFERROR(IF(OR($B1347="",$B1347="(blank)"),"",VLOOKUP($B1347,'Email Marketing Raw Data'!$C:$O,7,0)),"")</f>
        <v/>
      </c>
      <c r="P1347" s="55" t="str">
        <f>IFERROR(IF(OR($B1347="",$B1347="(blank)"),"",VLOOKUP($B1347,'Email Marketing Raw Data'!$C:$O,8,0)),"")</f>
        <v/>
      </c>
      <c r="Q1347" s="62" t="str">
        <f>IFERROR(IF(OR($B1347="",$B1347="(blank)"),"",VLOOKUP($B1347,'Email Marketing Raw Data'!$C:$O,9,0)),"")</f>
        <v/>
      </c>
    </row>
    <row r="1348" spans="4:17" ht="12.75" customHeight="1" x14ac:dyDescent="0.2">
      <c r="D1348" s="58" t="str">
        <f>IFERROR(IF(F1348&lt;&gt;"pending","",IF(OR($B1348="",$B1348="(blank)"),"",VLOOKUP($B1348,'Email Marketing Raw Data'!$C:$O,10,0))),"")</f>
        <v/>
      </c>
      <c r="E1348" s="59" t="str">
        <f>IFERROR(IF(F1348&lt;&gt;"pending","",IF(OR($B1348="",$B1348="(blank)"),"",VLOOKUP($B1348,'Email Marketing Raw Data'!$C:$O,11,0))),"")</f>
        <v/>
      </c>
      <c r="F1348" s="54" t="str">
        <f>IFERROR(IF(OR($B1348="",$B1348="(blank)"),"",VLOOKUP($B1348,'Email Marketing Raw Data'!$C:$O,13,0)),"")</f>
        <v/>
      </c>
      <c r="G1348" s="55" t="str">
        <f>IFERROR(IF(OR($B1348="",$B1348="(blank)"),"",VLOOKUP($B1348,'Email Marketing Raw Data'!$C:$O,4,0)),"")</f>
        <v/>
      </c>
      <c r="H1348" s="55" t="str">
        <f>IFERROR(IF(OR($B1348="",$B1348="(blank)"),"",VLOOKUP($B1348,'Email Marketing Raw Data'!$C:$O,5,0)),"")</f>
        <v/>
      </c>
      <c r="I1348" s="55" t="str">
        <f>IFERROR(IF($G1348="","",VLOOKUP('Dashboard And Emails Automate'!$G1348,Database!$H:$N,3,0)),"")</f>
        <v/>
      </c>
      <c r="J1348" s="55" t="str">
        <f>IFERROR(IF($G1348="","",VLOOKUP('Dashboard And Emails Automate'!$G1348,Database!$H:$N,4,0)),"")</f>
        <v/>
      </c>
      <c r="K1348" s="55" t="str">
        <f>IFERROR(IF($G1348="","",VLOOKUP('Dashboard And Emails Automate'!$G1348,Database!$H:$N,5,0)),"")</f>
        <v/>
      </c>
      <c r="L1348" s="55" t="str">
        <f>IFERROR(IF($G1348="","",VLOOKUP('Dashboard And Emails Automate'!$G1348,Database!$H:$N,6,0)),"")</f>
        <v/>
      </c>
      <c r="M1348" s="55" t="str">
        <f>IFERROR(IF($G1348="","",VLOOKUP('Dashboard And Emails Automate'!$G1348,Database!$H:$N,7,0)),"")</f>
        <v/>
      </c>
      <c r="N1348" s="55" t="str">
        <f>IFERROR(IF(OR($B1348="",$B1348="(blank)"),"",VLOOKUP($B1348,'Email Marketing Raw Data'!$C:$O,6,0)),"")</f>
        <v/>
      </c>
      <c r="O1348" s="55" t="str">
        <f>IFERROR(IF(OR($B1348="",$B1348="(blank)"),"",VLOOKUP($B1348,'Email Marketing Raw Data'!$C:$O,7,0)),"")</f>
        <v/>
      </c>
      <c r="P1348" s="55" t="str">
        <f>IFERROR(IF(OR($B1348="",$B1348="(blank)"),"",VLOOKUP($B1348,'Email Marketing Raw Data'!$C:$O,8,0)),"")</f>
        <v/>
      </c>
      <c r="Q1348" s="62" t="str">
        <f>IFERROR(IF(OR($B1348="",$B1348="(blank)"),"",VLOOKUP($B1348,'Email Marketing Raw Data'!$C:$O,9,0)),"")</f>
        <v/>
      </c>
    </row>
    <row r="1349" spans="4:17" ht="12.75" customHeight="1" x14ac:dyDescent="0.2">
      <c r="D1349" s="58" t="str">
        <f>IFERROR(IF(F1349&lt;&gt;"pending","",IF(OR($B1349="",$B1349="(blank)"),"",VLOOKUP($B1349,'Email Marketing Raw Data'!$C:$O,10,0))),"")</f>
        <v/>
      </c>
      <c r="E1349" s="59" t="str">
        <f>IFERROR(IF(F1349&lt;&gt;"pending","",IF(OR($B1349="",$B1349="(blank)"),"",VLOOKUP($B1349,'Email Marketing Raw Data'!$C:$O,11,0))),"")</f>
        <v/>
      </c>
      <c r="F1349" s="54" t="str">
        <f>IFERROR(IF(OR($B1349="",$B1349="(blank)"),"",VLOOKUP($B1349,'Email Marketing Raw Data'!$C:$O,13,0)),"")</f>
        <v/>
      </c>
      <c r="G1349" s="55" t="str">
        <f>IFERROR(IF(OR($B1349="",$B1349="(blank)"),"",VLOOKUP($B1349,'Email Marketing Raw Data'!$C:$O,4,0)),"")</f>
        <v/>
      </c>
      <c r="H1349" s="55" t="str">
        <f>IFERROR(IF(OR($B1349="",$B1349="(blank)"),"",VLOOKUP($B1349,'Email Marketing Raw Data'!$C:$O,5,0)),"")</f>
        <v/>
      </c>
      <c r="I1349" s="55" t="str">
        <f>IFERROR(IF($G1349="","",VLOOKUP('Dashboard And Emails Automate'!$G1349,Database!$H:$N,3,0)),"")</f>
        <v/>
      </c>
      <c r="J1349" s="55" t="str">
        <f>IFERROR(IF($G1349="","",VLOOKUP('Dashboard And Emails Automate'!$G1349,Database!$H:$N,4,0)),"")</f>
        <v/>
      </c>
      <c r="K1349" s="55" t="str">
        <f>IFERROR(IF($G1349="","",VLOOKUP('Dashboard And Emails Automate'!$G1349,Database!$H:$N,5,0)),"")</f>
        <v/>
      </c>
      <c r="L1349" s="55" t="str">
        <f>IFERROR(IF($G1349="","",VLOOKUP('Dashboard And Emails Automate'!$G1349,Database!$H:$N,6,0)),"")</f>
        <v/>
      </c>
      <c r="M1349" s="55" t="str">
        <f>IFERROR(IF($G1349="","",VLOOKUP('Dashboard And Emails Automate'!$G1349,Database!$H:$N,7,0)),"")</f>
        <v/>
      </c>
      <c r="N1349" s="55" t="str">
        <f>IFERROR(IF(OR($B1349="",$B1349="(blank)"),"",VLOOKUP($B1349,'Email Marketing Raw Data'!$C:$O,6,0)),"")</f>
        <v/>
      </c>
      <c r="O1349" s="55" t="str">
        <f>IFERROR(IF(OR($B1349="",$B1349="(blank)"),"",VLOOKUP($B1349,'Email Marketing Raw Data'!$C:$O,7,0)),"")</f>
        <v/>
      </c>
      <c r="P1349" s="55" t="str">
        <f>IFERROR(IF(OR($B1349="",$B1349="(blank)"),"",VLOOKUP($B1349,'Email Marketing Raw Data'!$C:$O,8,0)),"")</f>
        <v/>
      </c>
      <c r="Q1349" s="62" t="str">
        <f>IFERROR(IF(OR($B1349="",$B1349="(blank)"),"",VLOOKUP($B1349,'Email Marketing Raw Data'!$C:$O,9,0)),"")</f>
        <v/>
      </c>
    </row>
    <row r="1350" spans="4:17" ht="12.75" customHeight="1" x14ac:dyDescent="0.2">
      <c r="D1350" s="58" t="str">
        <f>IFERROR(IF(F1350&lt;&gt;"pending","",IF(OR($B1350="",$B1350="(blank)"),"",VLOOKUP($B1350,'Email Marketing Raw Data'!$C:$O,10,0))),"")</f>
        <v/>
      </c>
      <c r="E1350" s="59" t="str">
        <f>IFERROR(IF(F1350&lt;&gt;"pending","",IF(OR($B1350="",$B1350="(blank)"),"",VLOOKUP($B1350,'Email Marketing Raw Data'!$C:$O,11,0))),"")</f>
        <v/>
      </c>
      <c r="F1350" s="54" t="str">
        <f>IFERROR(IF(OR($B1350="",$B1350="(blank)"),"",VLOOKUP($B1350,'Email Marketing Raw Data'!$C:$O,13,0)),"")</f>
        <v/>
      </c>
      <c r="G1350" s="55" t="str">
        <f>IFERROR(IF(OR($B1350="",$B1350="(blank)"),"",VLOOKUP($B1350,'Email Marketing Raw Data'!$C:$O,4,0)),"")</f>
        <v/>
      </c>
      <c r="H1350" s="55" t="str">
        <f>IFERROR(IF(OR($B1350="",$B1350="(blank)"),"",VLOOKUP($B1350,'Email Marketing Raw Data'!$C:$O,5,0)),"")</f>
        <v/>
      </c>
      <c r="I1350" s="55" t="str">
        <f>IFERROR(IF($G1350="","",VLOOKUP('Dashboard And Emails Automate'!$G1350,Database!$H:$N,3,0)),"")</f>
        <v/>
      </c>
      <c r="J1350" s="55" t="str">
        <f>IFERROR(IF($G1350="","",VLOOKUP('Dashboard And Emails Automate'!$G1350,Database!$H:$N,4,0)),"")</f>
        <v/>
      </c>
      <c r="K1350" s="55" t="str">
        <f>IFERROR(IF($G1350="","",VLOOKUP('Dashboard And Emails Automate'!$G1350,Database!$H:$N,5,0)),"")</f>
        <v/>
      </c>
      <c r="L1350" s="55" t="str">
        <f>IFERROR(IF($G1350="","",VLOOKUP('Dashboard And Emails Automate'!$G1350,Database!$H:$N,6,0)),"")</f>
        <v/>
      </c>
      <c r="M1350" s="55" t="str">
        <f>IFERROR(IF($G1350="","",VLOOKUP('Dashboard And Emails Automate'!$G1350,Database!$H:$N,7,0)),"")</f>
        <v/>
      </c>
      <c r="N1350" s="55" t="str">
        <f>IFERROR(IF(OR($B1350="",$B1350="(blank)"),"",VLOOKUP($B1350,'Email Marketing Raw Data'!$C:$O,6,0)),"")</f>
        <v/>
      </c>
      <c r="O1350" s="55" t="str">
        <f>IFERROR(IF(OR($B1350="",$B1350="(blank)"),"",VLOOKUP($B1350,'Email Marketing Raw Data'!$C:$O,7,0)),"")</f>
        <v/>
      </c>
      <c r="P1350" s="55" t="str">
        <f>IFERROR(IF(OR($B1350="",$B1350="(blank)"),"",VLOOKUP($B1350,'Email Marketing Raw Data'!$C:$O,8,0)),"")</f>
        <v/>
      </c>
      <c r="Q1350" s="62" t="str">
        <f>IFERROR(IF(OR($B1350="",$B1350="(blank)"),"",VLOOKUP($B1350,'Email Marketing Raw Data'!$C:$O,9,0)),"")</f>
        <v/>
      </c>
    </row>
    <row r="1351" spans="4:17" ht="12.75" customHeight="1" x14ac:dyDescent="0.2">
      <c r="D1351" s="58" t="str">
        <f>IFERROR(IF(F1351&lt;&gt;"pending","",IF(OR($B1351="",$B1351="(blank)"),"",VLOOKUP($B1351,'Email Marketing Raw Data'!$C:$O,10,0))),"")</f>
        <v/>
      </c>
      <c r="E1351" s="59" t="str">
        <f>IFERROR(IF(F1351&lt;&gt;"pending","",IF(OR($B1351="",$B1351="(blank)"),"",VLOOKUP($B1351,'Email Marketing Raw Data'!$C:$O,11,0))),"")</f>
        <v/>
      </c>
      <c r="F1351" s="54" t="str">
        <f>IFERROR(IF(OR($B1351="",$B1351="(blank)"),"",VLOOKUP($B1351,'Email Marketing Raw Data'!$C:$O,13,0)),"")</f>
        <v/>
      </c>
      <c r="G1351" s="55" t="str">
        <f>IFERROR(IF(OR($B1351="",$B1351="(blank)"),"",VLOOKUP($B1351,'Email Marketing Raw Data'!$C:$O,4,0)),"")</f>
        <v/>
      </c>
      <c r="H1351" s="55" t="str">
        <f>IFERROR(IF(OR($B1351="",$B1351="(blank)"),"",VLOOKUP($B1351,'Email Marketing Raw Data'!$C:$O,5,0)),"")</f>
        <v/>
      </c>
      <c r="I1351" s="55" t="str">
        <f>IFERROR(IF($G1351="","",VLOOKUP('Dashboard And Emails Automate'!$G1351,Database!$H:$N,3,0)),"")</f>
        <v/>
      </c>
      <c r="J1351" s="55" t="str">
        <f>IFERROR(IF($G1351="","",VLOOKUP('Dashboard And Emails Automate'!$G1351,Database!$H:$N,4,0)),"")</f>
        <v/>
      </c>
      <c r="K1351" s="55" t="str">
        <f>IFERROR(IF($G1351="","",VLOOKUP('Dashboard And Emails Automate'!$G1351,Database!$H:$N,5,0)),"")</f>
        <v/>
      </c>
      <c r="L1351" s="55" t="str">
        <f>IFERROR(IF($G1351="","",VLOOKUP('Dashboard And Emails Automate'!$G1351,Database!$H:$N,6,0)),"")</f>
        <v/>
      </c>
      <c r="M1351" s="55" t="str">
        <f>IFERROR(IF($G1351="","",VLOOKUP('Dashboard And Emails Automate'!$G1351,Database!$H:$N,7,0)),"")</f>
        <v/>
      </c>
      <c r="N1351" s="55" t="str">
        <f>IFERROR(IF(OR($B1351="",$B1351="(blank)"),"",VLOOKUP($B1351,'Email Marketing Raw Data'!$C:$O,6,0)),"")</f>
        <v/>
      </c>
      <c r="O1351" s="55" t="str">
        <f>IFERROR(IF(OR($B1351="",$B1351="(blank)"),"",VLOOKUP($B1351,'Email Marketing Raw Data'!$C:$O,7,0)),"")</f>
        <v/>
      </c>
      <c r="P1351" s="55" t="str">
        <f>IFERROR(IF(OR($B1351="",$B1351="(blank)"),"",VLOOKUP($B1351,'Email Marketing Raw Data'!$C:$O,8,0)),"")</f>
        <v/>
      </c>
      <c r="Q1351" s="62" t="str">
        <f>IFERROR(IF(OR($B1351="",$B1351="(blank)"),"",VLOOKUP($B1351,'Email Marketing Raw Data'!$C:$O,9,0)),"")</f>
        <v/>
      </c>
    </row>
    <row r="1352" spans="4:17" ht="12.75" customHeight="1" x14ac:dyDescent="0.2">
      <c r="D1352" s="58" t="str">
        <f>IFERROR(IF(F1352&lt;&gt;"pending","",IF(OR($B1352="",$B1352="(blank)"),"",VLOOKUP($B1352,'Email Marketing Raw Data'!$C:$O,10,0))),"")</f>
        <v/>
      </c>
      <c r="E1352" s="59" t="str">
        <f>IFERROR(IF(F1352&lt;&gt;"pending","",IF(OR($B1352="",$B1352="(blank)"),"",VLOOKUP($B1352,'Email Marketing Raw Data'!$C:$O,11,0))),"")</f>
        <v/>
      </c>
      <c r="F1352" s="54" t="str">
        <f>IFERROR(IF(OR($B1352="",$B1352="(blank)"),"",VLOOKUP($B1352,'Email Marketing Raw Data'!$C:$O,13,0)),"")</f>
        <v/>
      </c>
      <c r="G1352" s="55" t="str">
        <f>IFERROR(IF(OR($B1352="",$B1352="(blank)"),"",VLOOKUP($B1352,'Email Marketing Raw Data'!$C:$O,4,0)),"")</f>
        <v/>
      </c>
      <c r="H1352" s="55" t="str">
        <f>IFERROR(IF(OR($B1352="",$B1352="(blank)"),"",VLOOKUP($B1352,'Email Marketing Raw Data'!$C:$O,5,0)),"")</f>
        <v/>
      </c>
      <c r="I1352" s="55" t="str">
        <f>IFERROR(IF($G1352="","",VLOOKUP('Dashboard And Emails Automate'!$G1352,Database!$H:$N,3,0)),"")</f>
        <v/>
      </c>
      <c r="J1352" s="55" t="str">
        <f>IFERROR(IF($G1352="","",VLOOKUP('Dashboard And Emails Automate'!$G1352,Database!$H:$N,4,0)),"")</f>
        <v/>
      </c>
      <c r="K1352" s="55" t="str">
        <f>IFERROR(IF($G1352="","",VLOOKUP('Dashboard And Emails Automate'!$G1352,Database!$H:$N,5,0)),"")</f>
        <v/>
      </c>
      <c r="L1352" s="55" t="str">
        <f>IFERROR(IF($G1352="","",VLOOKUP('Dashboard And Emails Automate'!$G1352,Database!$H:$N,6,0)),"")</f>
        <v/>
      </c>
      <c r="M1352" s="55" t="str">
        <f>IFERROR(IF($G1352="","",VLOOKUP('Dashboard And Emails Automate'!$G1352,Database!$H:$N,7,0)),"")</f>
        <v/>
      </c>
      <c r="N1352" s="55" t="str">
        <f>IFERROR(IF(OR($B1352="",$B1352="(blank)"),"",VLOOKUP($B1352,'Email Marketing Raw Data'!$C:$O,6,0)),"")</f>
        <v/>
      </c>
      <c r="O1352" s="55" t="str">
        <f>IFERROR(IF(OR($B1352="",$B1352="(blank)"),"",VLOOKUP($B1352,'Email Marketing Raw Data'!$C:$O,7,0)),"")</f>
        <v/>
      </c>
      <c r="P1352" s="55" t="str">
        <f>IFERROR(IF(OR($B1352="",$B1352="(blank)"),"",VLOOKUP($B1352,'Email Marketing Raw Data'!$C:$O,8,0)),"")</f>
        <v/>
      </c>
      <c r="Q1352" s="62" t="str">
        <f>IFERROR(IF(OR($B1352="",$B1352="(blank)"),"",VLOOKUP($B1352,'Email Marketing Raw Data'!$C:$O,9,0)),"")</f>
        <v/>
      </c>
    </row>
    <row r="1353" spans="4:17" ht="12.75" customHeight="1" x14ac:dyDescent="0.2">
      <c r="D1353" s="58" t="str">
        <f>IFERROR(IF(F1353&lt;&gt;"pending","",IF(OR($B1353="",$B1353="(blank)"),"",VLOOKUP($B1353,'Email Marketing Raw Data'!$C:$O,10,0))),"")</f>
        <v/>
      </c>
      <c r="E1353" s="59" t="str">
        <f>IFERROR(IF(F1353&lt;&gt;"pending","",IF(OR($B1353="",$B1353="(blank)"),"",VLOOKUP($B1353,'Email Marketing Raw Data'!$C:$O,11,0))),"")</f>
        <v/>
      </c>
      <c r="F1353" s="54" t="str">
        <f>IFERROR(IF(OR($B1353="",$B1353="(blank)"),"",VLOOKUP($B1353,'Email Marketing Raw Data'!$C:$O,13,0)),"")</f>
        <v/>
      </c>
      <c r="G1353" s="55" t="str">
        <f>IFERROR(IF(OR($B1353="",$B1353="(blank)"),"",VLOOKUP($B1353,'Email Marketing Raw Data'!$C:$O,4,0)),"")</f>
        <v/>
      </c>
      <c r="H1353" s="55" t="str">
        <f>IFERROR(IF(OR($B1353="",$B1353="(blank)"),"",VLOOKUP($B1353,'Email Marketing Raw Data'!$C:$O,5,0)),"")</f>
        <v/>
      </c>
      <c r="I1353" s="55" t="str">
        <f>IFERROR(IF($G1353="","",VLOOKUP('Dashboard And Emails Automate'!$G1353,Database!$H:$N,3,0)),"")</f>
        <v/>
      </c>
      <c r="J1353" s="55" t="str">
        <f>IFERROR(IF($G1353="","",VLOOKUP('Dashboard And Emails Automate'!$G1353,Database!$H:$N,4,0)),"")</f>
        <v/>
      </c>
      <c r="K1353" s="55" t="str">
        <f>IFERROR(IF($G1353="","",VLOOKUP('Dashboard And Emails Automate'!$G1353,Database!$H:$N,5,0)),"")</f>
        <v/>
      </c>
      <c r="L1353" s="55" t="str">
        <f>IFERROR(IF($G1353="","",VLOOKUP('Dashboard And Emails Automate'!$G1353,Database!$H:$N,6,0)),"")</f>
        <v/>
      </c>
      <c r="M1353" s="55" t="str">
        <f>IFERROR(IF($G1353="","",VLOOKUP('Dashboard And Emails Automate'!$G1353,Database!$H:$N,7,0)),"")</f>
        <v/>
      </c>
      <c r="N1353" s="55" t="str">
        <f>IFERROR(IF(OR($B1353="",$B1353="(blank)"),"",VLOOKUP($B1353,'Email Marketing Raw Data'!$C:$O,6,0)),"")</f>
        <v/>
      </c>
      <c r="O1353" s="55" t="str">
        <f>IFERROR(IF(OR($B1353="",$B1353="(blank)"),"",VLOOKUP($B1353,'Email Marketing Raw Data'!$C:$O,7,0)),"")</f>
        <v/>
      </c>
      <c r="P1353" s="55" t="str">
        <f>IFERROR(IF(OR($B1353="",$B1353="(blank)"),"",VLOOKUP($B1353,'Email Marketing Raw Data'!$C:$O,8,0)),"")</f>
        <v/>
      </c>
      <c r="Q1353" s="62" t="str">
        <f>IFERROR(IF(OR($B1353="",$B1353="(blank)"),"",VLOOKUP($B1353,'Email Marketing Raw Data'!$C:$O,9,0)),"")</f>
        <v/>
      </c>
    </row>
    <row r="1354" spans="4:17" ht="12.75" customHeight="1" x14ac:dyDescent="0.2">
      <c r="D1354" s="58" t="str">
        <f>IFERROR(IF(F1354&lt;&gt;"pending","",IF(OR($B1354="",$B1354="(blank)"),"",VLOOKUP($B1354,'Email Marketing Raw Data'!$C:$O,10,0))),"")</f>
        <v/>
      </c>
      <c r="E1354" s="59" t="str">
        <f>IFERROR(IF(F1354&lt;&gt;"pending","",IF(OR($B1354="",$B1354="(blank)"),"",VLOOKUP($B1354,'Email Marketing Raw Data'!$C:$O,11,0))),"")</f>
        <v/>
      </c>
      <c r="F1354" s="54" t="str">
        <f>IFERROR(IF(OR($B1354="",$B1354="(blank)"),"",VLOOKUP($B1354,'Email Marketing Raw Data'!$C:$O,13,0)),"")</f>
        <v/>
      </c>
      <c r="G1354" s="55" t="str">
        <f>IFERROR(IF(OR($B1354="",$B1354="(blank)"),"",VLOOKUP($B1354,'Email Marketing Raw Data'!$C:$O,4,0)),"")</f>
        <v/>
      </c>
      <c r="H1354" s="55" t="str">
        <f>IFERROR(IF(OR($B1354="",$B1354="(blank)"),"",VLOOKUP($B1354,'Email Marketing Raw Data'!$C:$O,5,0)),"")</f>
        <v/>
      </c>
      <c r="I1354" s="55" t="str">
        <f>IFERROR(IF($G1354="","",VLOOKUP('Dashboard And Emails Automate'!$G1354,Database!$H:$N,3,0)),"")</f>
        <v/>
      </c>
      <c r="J1354" s="55" t="str">
        <f>IFERROR(IF($G1354="","",VLOOKUP('Dashboard And Emails Automate'!$G1354,Database!$H:$N,4,0)),"")</f>
        <v/>
      </c>
      <c r="K1354" s="55" t="str">
        <f>IFERROR(IF($G1354="","",VLOOKUP('Dashboard And Emails Automate'!$G1354,Database!$H:$N,5,0)),"")</f>
        <v/>
      </c>
      <c r="L1354" s="55" t="str">
        <f>IFERROR(IF($G1354="","",VLOOKUP('Dashboard And Emails Automate'!$G1354,Database!$H:$N,6,0)),"")</f>
        <v/>
      </c>
      <c r="M1354" s="55" t="str">
        <f>IFERROR(IF($G1354="","",VLOOKUP('Dashboard And Emails Automate'!$G1354,Database!$H:$N,7,0)),"")</f>
        <v/>
      </c>
      <c r="N1354" s="55" t="str">
        <f>IFERROR(IF(OR($B1354="",$B1354="(blank)"),"",VLOOKUP($B1354,'Email Marketing Raw Data'!$C:$O,6,0)),"")</f>
        <v/>
      </c>
      <c r="O1354" s="55" t="str">
        <f>IFERROR(IF(OR($B1354="",$B1354="(blank)"),"",VLOOKUP($B1354,'Email Marketing Raw Data'!$C:$O,7,0)),"")</f>
        <v/>
      </c>
      <c r="P1354" s="55" t="str">
        <f>IFERROR(IF(OR($B1354="",$B1354="(blank)"),"",VLOOKUP($B1354,'Email Marketing Raw Data'!$C:$O,8,0)),"")</f>
        <v/>
      </c>
      <c r="Q1354" s="62" t="str">
        <f>IFERROR(IF(OR($B1354="",$B1354="(blank)"),"",VLOOKUP($B1354,'Email Marketing Raw Data'!$C:$O,9,0)),"")</f>
        <v/>
      </c>
    </row>
    <row r="1355" spans="4:17" ht="12.75" customHeight="1" x14ac:dyDescent="0.2">
      <c r="D1355" s="58" t="str">
        <f>IFERROR(IF(F1355&lt;&gt;"pending","",IF(OR($B1355="",$B1355="(blank)"),"",VLOOKUP($B1355,'Email Marketing Raw Data'!$C:$O,10,0))),"")</f>
        <v/>
      </c>
      <c r="E1355" s="59" t="str">
        <f>IFERROR(IF(F1355&lt;&gt;"pending","",IF(OR($B1355="",$B1355="(blank)"),"",VLOOKUP($B1355,'Email Marketing Raw Data'!$C:$O,11,0))),"")</f>
        <v/>
      </c>
      <c r="F1355" s="54" t="str">
        <f>IFERROR(IF(OR($B1355="",$B1355="(blank)"),"",VLOOKUP($B1355,'Email Marketing Raw Data'!$C:$O,13,0)),"")</f>
        <v/>
      </c>
      <c r="G1355" s="55" t="str">
        <f>IFERROR(IF(OR($B1355="",$B1355="(blank)"),"",VLOOKUP($B1355,'Email Marketing Raw Data'!$C:$O,4,0)),"")</f>
        <v/>
      </c>
      <c r="H1355" s="55" t="str">
        <f>IFERROR(IF(OR($B1355="",$B1355="(blank)"),"",VLOOKUP($B1355,'Email Marketing Raw Data'!$C:$O,5,0)),"")</f>
        <v/>
      </c>
      <c r="I1355" s="55" t="str">
        <f>IFERROR(IF($G1355="","",VLOOKUP('Dashboard And Emails Automate'!$G1355,Database!$H:$N,3,0)),"")</f>
        <v/>
      </c>
      <c r="J1355" s="55" t="str">
        <f>IFERROR(IF($G1355="","",VLOOKUP('Dashboard And Emails Automate'!$G1355,Database!$H:$N,4,0)),"")</f>
        <v/>
      </c>
      <c r="K1355" s="55" t="str">
        <f>IFERROR(IF($G1355="","",VLOOKUP('Dashboard And Emails Automate'!$G1355,Database!$H:$N,5,0)),"")</f>
        <v/>
      </c>
      <c r="L1355" s="55" t="str">
        <f>IFERROR(IF($G1355="","",VLOOKUP('Dashboard And Emails Automate'!$G1355,Database!$H:$N,6,0)),"")</f>
        <v/>
      </c>
      <c r="M1355" s="55" t="str">
        <f>IFERROR(IF($G1355="","",VLOOKUP('Dashboard And Emails Automate'!$G1355,Database!$H:$N,7,0)),"")</f>
        <v/>
      </c>
      <c r="N1355" s="55" t="str">
        <f>IFERROR(IF(OR($B1355="",$B1355="(blank)"),"",VLOOKUP($B1355,'Email Marketing Raw Data'!$C:$O,6,0)),"")</f>
        <v/>
      </c>
      <c r="O1355" s="55" t="str">
        <f>IFERROR(IF(OR($B1355="",$B1355="(blank)"),"",VLOOKUP($B1355,'Email Marketing Raw Data'!$C:$O,7,0)),"")</f>
        <v/>
      </c>
      <c r="P1355" s="55" t="str">
        <f>IFERROR(IF(OR($B1355="",$B1355="(blank)"),"",VLOOKUP($B1355,'Email Marketing Raw Data'!$C:$O,8,0)),"")</f>
        <v/>
      </c>
      <c r="Q1355" s="62" t="str">
        <f>IFERROR(IF(OR($B1355="",$B1355="(blank)"),"",VLOOKUP($B1355,'Email Marketing Raw Data'!$C:$O,9,0)),"")</f>
        <v/>
      </c>
    </row>
    <row r="1356" spans="4:17" ht="12.75" customHeight="1" x14ac:dyDescent="0.2">
      <c r="D1356" s="58" t="str">
        <f>IFERROR(IF(F1356&lt;&gt;"pending","",IF(OR($B1356="",$B1356="(blank)"),"",VLOOKUP($B1356,'Email Marketing Raw Data'!$C:$O,10,0))),"")</f>
        <v/>
      </c>
      <c r="E1356" s="59" t="str">
        <f>IFERROR(IF(F1356&lt;&gt;"pending","",IF(OR($B1356="",$B1356="(blank)"),"",VLOOKUP($B1356,'Email Marketing Raw Data'!$C:$O,11,0))),"")</f>
        <v/>
      </c>
      <c r="F1356" s="54" t="str">
        <f>IFERROR(IF(OR($B1356="",$B1356="(blank)"),"",VLOOKUP($B1356,'Email Marketing Raw Data'!$C:$O,13,0)),"")</f>
        <v/>
      </c>
      <c r="G1356" s="55" t="str">
        <f>IFERROR(IF(OR($B1356="",$B1356="(blank)"),"",VLOOKUP($B1356,'Email Marketing Raw Data'!$C:$O,4,0)),"")</f>
        <v/>
      </c>
      <c r="H1356" s="55" t="str">
        <f>IFERROR(IF(OR($B1356="",$B1356="(blank)"),"",VLOOKUP($B1356,'Email Marketing Raw Data'!$C:$O,5,0)),"")</f>
        <v/>
      </c>
      <c r="I1356" s="55" t="str">
        <f>IFERROR(IF($G1356="","",VLOOKUP('Dashboard And Emails Automate'!$G1356,Database!$H:$N,3,0)),"")</f>
        <v/>
      </c>
      <c r="J1356" s="55" t="str">
        <f>IFERROR(IF($G1356="","",VLOOKUP('Dashboard And Emails Automate'!$G1356,Database!$H:$N,4,0)),"")</f>
        <v/>
      </c>
      <c r="K1356" s="55" t="str">
        <f>IFERROR(IF($G1356="","",VLOOKUP('Dashboard And Emails Automate'!$G1356,Database!$H:$N,5,0)),"")</f>
        <v/>
      </c>
      <c r="L1356" s="55" t="str">
        <f>IFERROR(IF($G1356="","",VLOOKUP('Dashboard And Emails Automate'!$G1356,Database!$H:$N,6,0)),"")</f>
        <v/>
      </c>
      <c r="M1356" s="55" t="str">
        <f>IFERROR(IF($G1356="","",VLOOKUP('Dashboard And Emails Automate'!$G1356,Database!$H:$N,7,0)),"")</f>
        <v/>
      </c>
      <c r="N1356" s="55" t="str">
        <f>IFERROR(IF(OR($B1356="",$B1356="(blank)"),"",VLOOKUP($B1356,'Email Marketing Raw Data'!$C:$O,6,0)),"")</f>
        <v/>
      </c>
      <c r="O1356" s="55" t="str">
        <f>IFERROR(IF(OR($B1356="",$B1356="(blank)"),"",VLOOKUP($B1356,'Email Marketing Raw Data'!$C:$O,7,0)),"")</f>
        <v/>
      </c>
      <c r="P1356" s="55" t="str">
        <f>IFERROR(IF(OR($B1356="",$B1356="(blank)"),"",VLOOKUP($B1356,'Email Marketing Raw Data'!$C:$O,8,0)),"")</f>
        <v/>
      </c>
      <c r="Q1356" s="62" t="str">
        <f>IFERROR(IF(OR($B1356="",$B1356="(blank)"),"",VLOOKUP($B1356,'Email Marketing Raw Data'!$C:$O,9,0)),"")</f>
        <v/>
      </c>
    </row>
    <row r="1357" spans="4:17" ht="12.75" customHeight="1" x14ac:dyDescent="0.2">
      <c r="D1357" s="58" t="str">
        <f>IFERROR(IF(F1357&lt;&gt;"pending","",IF(OR($B1357="",$B1357="(blank)"),"",VLOOKUP($B1357,'Email Marketing Raw Data'!$C:$O,10,0))),"")</f>
        <v/>
      </c>
      <c r="E1357" s="59" t="str">
        <f>IFERROR(IF(F1357&lt;&gt;"pending","",IF(OR($B1357="",$B1357="(blank)"),"",VLOOKUP($B1357,'Email Marketing Raw Data'!$C:$O,11,0))),"")</f>
        <v/>
      </c>
      <c r="F1357" s="54" t="str">
        <f>IFERROR(IF(OR($B1357="",$B1357="(blank)"),"",VLOOKUP($B1357,'Email Marketing Raw Data'!$C:$O,13,0)),"")</f>
        <v/>
      </c>
      <c r="G1357" s="55" t="str">
        <f>IFERROR(IF(OR($B1357="",$B1357="(blank)"),"",VLOOKUP($B1357,'Email Marketing Raw Data'!$C:$O,4,0)),"")</f>
        <v/>
      </c>
      <c r="H1357" s="55" t="str">
        <f>IFERROR(IF(OR($B1357="",$B1357="(blank)"),"",VLOOKUP($B1357,'Email Marketing Raw Data'!$C:$O,5,0)),"")</f>
        <v/>
      </c>
      <c r="I1357" s="55" t="str">
        <f>IFERROR(IF($G1357="","",VLOOKUP('Dashboard And Emails Automate'!$G1357,Database!$H:$N,3,0)),"")</f>
        <v/>
      </c>
      <c r="J1357" s="55" t="str">
        <f>IFERROR(IF($G1357="","",VLOOKUP('Dashboard And Emails Automate'!$G1357,Database!$H:$N,4,0)),"")</f>
        <v/>
      </c>
      <c r="K1357" s="55" t="str">
        <f>IFERROR(IF($G1357="","",VLOOKUP('Dashboard And Emails Automate'!$G1357,Database!$H:$N,5,0)),"")</f>
        <v/>
      </c>
      <c r="L1357" s="55" t="str">
        <f>IFERROR(IF($G1357="","",VLOOKUP('Dashboard And Emails Automate'!$G1357,Database!$H:$N,6,0)),"")</f>
        <v/>
      </c>
      <c r="M1357" s="55" t="str">
        <f>IFERROR(IF($G1357="","",VLOOKUP('Dashboard And Emails Automate'!$G1357,Database!$H:$N,7,0)),"")</f>
        <v/>
      </c>
      <c r="N1357" s="55" t="str">
        <f>IFERROR(IF(OR($B1357="",$B1357="(blank)"),"",VLOOKUP($B1357,'Email Marketing Raw Data'!$C:$O,6,0)),"")</f>
        <v/>
      </c>
      <c r="O1357" s="55" t="str">
        <f>IFERROR(IF(OR($B1357="",$B1357="(blank)"),"",VLOOKUP($B1357,'Email Marketing Raw Data'!$C:$O,7,0)),"")</f>
        <v/>
      </c>
      <c r="P1357" s="55" t="str">
        <f>IFERROR(IF(OR($B1357="",$B1357="(blank)"),"",VLOOKUP($B1357,'Email Marketing Raw Data'!$C:$O,8,0)),"")</f>
        <v/>
      </c>
      <c r="Q1357" s="62" t="str">
        <f>IFERROR(IF(OR($B1357="",$B1357="(blank)"),"",VLOOKUP($B1357,'Email Marketing Raw Data'!$C:$O,9,0)),"")</f>
        <v/>
      </c>
    </row>
    <row r="1358" spans="4:17" ht="12.75" customHeight="1" x14ac:dyDescent="0.2">
      <c r="D1358" s="58" t="str">
        <f>IFERROR(IF(F1358&lt;&gt;"pending","",IF(OR($B1358="",$B1358="(blank)"),"",VLOOKUP($B1358,'Email Marketing Raw Data'!$C:$O,10,0))),"")</f>
        <v/>
      </c>
      <c r="E1358" s="59" t="str">
        <f>IFERROR(IF(F1358&lt;&gt;"pending","",IF(OR($B1358="",$B1358="(blank)"),"",VLOOKUP($B1358,'Email Marketing Raw Data'!$C:$O,11,0))),"")</f>
        <v/>
      </c>
      <c r="F1358" s="54" t="str">
        <f>IFERROR(IF(OR($B1358="",$B1358="(blank)"),"",VLOOKUP($B1358,'Email Marketing Raw Data'!$C:$O,13,0)),"")</f>
        <v/>
      </c>
      <c r="G1358" s="55" t="str">
        <f>IFERROR(IF(OR($B1358="",$B1358="(blank)"),"",VLOOKUP($B1358,'Email Marketing Raw Data'!$C:$O,4,0)),"")</f>
        <v/>
      </c>
      <c r="H1358" s="55" t="str">
        <f>IFERROR(IF(OR($B1358="",$B1358="(blank)"),"",VLOOKUP($B1358,'Email Marketing Raw Data'!$C:$O,5,0)),"")</f>
        <v/>
      </c>
      <c r="I1358" s="55" t="str">
        <f>IFERROR(IF($G1358="","",VLOOKUP('Dashboard And Emails Automate'!$G1358,Database!$H:$N,3,0)),"")</f>
        <v/>
      </c>
      <c r="J1358" s="55" t="str">
        <f>IFERROR(IF($G1358="","",VLOOKUP('Dashboard And Emails Automate'!$G1358,Database!$H:$N,4,0)),"")</f>
        <v/>
      </c>
      <c r="K1358" s="55" t="str">
        <f>IFERROR(IF($G1358="","",VLOOKUP('Dashboard And Emails Automate'!$G1358,Database!$H:$N,5,0)),"")</f>
        <v/>
      </c>
      <c r="L1358" s="55" t="str">
        <f>IFERROR(IF($G1358="","",VLOOKUP('Dashboard And Emails Automate'!$G1358,Database!$H:$N,6,0)),"")</f>
        <v/>
      </c>
      <c r="M1358" s="55" t="str">
        <f>IFERROR(IF($G1358="","",VLOOKUP('Dashboard And Emails Automate'!$G1358,Database!$H:$N,7,0)),"")</f>
        <v/>
      </c>
      <c r="N1358" s="55" t="str">
        <f>IFERROR(IF(OR($B1358="",$B1358="(blank)"),"",VLOOKUP($B1358,'Email Marketing Raw Data'!$C:$O,6,0)),"")</f>
        <v/>
      </c>
      <c r="O1358" s="55" t="str">
        <f>IFERROR(IF(OR($B1358="",$B1358="(blank)"),"",VLOOKUP($B1358,'Email Marketing Raw Data'!$C:$O,7,0)),"")</f>
        <v/>
      </c>
      <c r="P1358" s="55" t="str">
        <f>IFERROR(IF(OR($B1358="",$B1358="(blank)"),"",VLOOKUP($B1358,'Email Marketing Raw Data'!$C:$O,8,0)),"")</f>
        <v/>
      </c>
      <c r="Q1358" s="62" t="str">
        <f>IFERROR(IF(OR($B1358="",$B1358="(blank)"),"",VLOOKUP($B1358,'Email Marketing Raw Data'!$C:$O,9,0)),"")</f>
        <v/>
      </c>
    </row>
    <row r="1359" spans="4:17" ht="12.75" customHeight="1" x14ac:dyDescent="0.2">
      <c r="D1359" s="58" t="str">
        <f>IFERROR(IF(F1359&lt;&gt;"pending","",IF(OR($B1359="",$B1359="(blank)"),"",VLOOKUP($B1359,'Email Marketing Raw Data'!$C:$O,10,0))),"")</f>
        <v/>
      </c>
      <c r="E1359" s="59" t="str">
        <f>IFERROR(IF(F1359&lt;&gt;"pending","",IF(OR($B1359="",$B1359="(blank)"),"",VLOOKUP($B1359,'Email Marketing Raw Data'!$C:$O,11,0))),"")</f>
        <v/>
      </c>
      <c r="F1359" s="54" t="str">
        <f>IFERROR(IF(OR($B1359="",$B1359="(blank)"),"",VLOOKUP($B1359,'Email Marketing Raw Data'!$C:$O,13,0)),"")</f>
        <v/>
      </c>
      <c r="G1359" s="55" t="str">
        <f>IFERROR(IF(OR($B1359="",$B1359="(blank)"),"",VLOOKUP($B1359,'Email Marketing Raw Data'!$C:$O,4,0)),"")</f>
        <v/>
      </c>
      <c r="H1359" s="55" t="str">
        <f>IFERROR(IF(OR($B1359="",$B1359="(blank)"),"",VLOOKUP($B1359,'Email Marketing Raw Data'!$C:$O,5,0)),"")</f>
        <v/>
      </c>
      <c r="I1359" s="55" t="str">
        <f>IFERROR(IF($G1359="","",VLOOKUP('Dashboard And Emails Automate'!$G1359,Database!$H:$N,3,0)),"")</f>
        <v/>
      </c>
      <c r="J1359" s="55" t="str">
        <f>IFERROR(IF($G1359="","",VLOOKUP('Dashboard And Emails Automate'!$G1359,Database!$H:$N,4,0)),"")</f>
        <v/>
      </c>
      <c r="K1359" s="55" t="str">
        <f>IFERROR(IF($G1359="","",VLOOKUP('Dashboard And Emails Automate'!$G1359,Database!$H:$N,5,0)),"")</f>
        <v/>
      </c>
      <c r="L1359" s="55" t="str">
        <f>IFERROR(IF($G1359="","",VLOOKUP('Dashboard And Emails Automate'!$G1359,Database!$H:$N,6,0)),"")</f>
        <v/>
      </c>
      <c r="M1359" s="55" t="str">
        <f>IFERROR(IF($G1359="","",VLOOKUP('Dashboard And Emails Automate'!$G1359,Database!$H:$N,7,0)),"")</f>
        <v/>
      </c>
      <c r="N1359" s="55" t="str">
        <f>IFERROR(IF(OR($B1359="",$B1359="(blank)"),"",VLOOKUP($B1359,'Email Marketing Raw Data'!$C:$O,6,0)),"")</f>
        <v/>
      </c>
      <c r="O1359" s="55" t="str">
        <f>IFERROR(IF(OR($B1359="",$B1359="(blank)"),"",VLOOKUP($B1359,'Email Marketing Raw Data'!$C:$O,7,0)),"")</f>
        <v/>
      </c>
      <c r="P1359" s="55" t="str">
        <f>IFERROR(IF(OR($B1359="",$B1359="(blank)"),"",VLOOKUP($B1359,'Email Marketing Raw Data'!$C:$O,8,0)),"")</f>
        <v/>
      </c>
      <c r="Q1359" s="62" t="str">
        <f>IFERROR(IF(OR($B1359="",$B1359="(blank)"),"",VLOOKUP($B1359,'Email Marketing Raw Data'!$C:$O,9,0)),"")</f>
        <v/>
      </c>
    </row>
    <row r="1360" spans="4:17" ht="12.75" customHeight="1" x14ac:dyDescent="0.2">
      <c r="D1360" s="58" t="str">
        <f>IFERROR(IF(F1360&lt;&gt;"pending","",IF(OR($B1360="",$B1360="(blank)"),"",VLOOKUP($B1360,'Email Marketing Raw Data'!$C:$O,10,0))),"")</f>
        <v/>
      </c>
      <c r="E1360" s="59" t="str">
        <f>IFERROR(IF(F1360&lt;&gt;"pending","",IF(OR($B1360="",$B1360="(blank)"),"",VLOOKUP($B1360,'Email Marketing Raw Data'!$C:$O,11,0))),"")</f>
        <v/>
      </c>
      <c r="F1360" s="54" t="str">
        <f>IFERROR(IF(OR($B1360="",$B1360="(blank)"),"",VLOOKUP($B1360,'Email Marketing Raw Data'!$C:$O,13,0)),"")</f>
        <v/>
      </c>
      <c r="G1360" s="55" t="str">
        <f>IFERROR(IF(OR($B1360="",$B1360="(blank)"),"",VLOOKUP($B1360,'Email Marketing Raw Data'!$C:$O,4,0)),"")</f>
        <v/>
      </c>
      <c r="H1360" s="55" t="str">
        <f>IFERROR(IF(OR($B1360="",$B1360="(blank)"),"",VLOOKUP($B1360,'Email Marketing Raw Data'!$C:$O,5,0)),"")</f>
        <v/>
      </c>
      <c r="I1360" s="55" t="str">
        <f>IFERROR(IF($G1360="","",VLOOKUP('Dashboard And Emails Automate'!$G1360,Database!$H:$N,3,0)),"")</f>
        <v/>
      </c>
      <c r="J1360" s="55" t="str">
        <f>IFERROR(IF($G1360="","",VLOOKUP('Dashboard And Emails Automate'!$G1360,Database!$H:$N,4,0)),"")</f>
        <v/>
      </c>
      <c r="K1360" s="55" t="str">
        <f>IFERROR(IF($G1360="","",VLOOKUP('Dashboard And Emails Automate'!$G1360,Database!$H:$N,5,0)),"")</f>
        <v/>
      </c>
      <c r="L1360" s="55" t="str">
        <f>IFERROR(IF($G1360="","",VLOOKUP('Dashboard And Emails Automate'!$G1360,Database!$H:$N,6,0)),"")</f>
        <v/>
      </c>
      <c r="M1360" s="55" t="str">
        <f>IFERROR(IF($G1360="","",VLOOKUP('Dashboard And Emails Automate'!$G1360,Database!$H:$N,7,0)),"")</f>
        <v/>
      </c>
      <c r="N1360" s="55" t="str">
        <f>IFERROR(IF(OR($B1360="",$B1360="(blank)"),"",VLOOKUP($B1360,'Email Marketing Raw Data'!$C:$O,6,0)),"")</f>
        <v/>
      </c>
      <c r="O1360" s="55" t="str">
        <f>IFERROR(IF(OR($B1360="",$B1360="(blank)"),"",VLOOKUP($B1360,'Email Marketing Raw Data'!$C:$O,7,0)),"")</f>
        <v/>
      </c>
      <c r="P1360" s="55" t="str">
        <f>IFERROR(IF(OR($B1360="",$B1360="(blank)"),"",VLOOKUP($B1360,'Email Marketing Raw Data'!$C:$O,8,0)),"")</f>
        <v/>
      </c>
      <c r="Q1360" s="62" t="str">
        <f>IFERROR(IF(OR($B1360="",$B1360="(blank)"),"",VLOOKUP($B1360,'Email Marketing Raw Data'!$C:$O,9,0)),"")</f>
        <v/>
      </c>
    </row>
    <row r="1361" spans="4:17" ht="12.75" customHeight="1" x14ac:dyDescent="0.2">
      <c r="D1361" s="58" t="str">
        <f>IFERROR(IF(F1361&lt;&gt;"pending","",IF(OR($B1361="",$B1361="(blank)"),"",VLOOKUP($B1361,'Email Marketing Raw Data'!$C:$O,10,0))),"")</f>
        <v/>
      </c>
      <c r="E1361" s="59" t="str">
        <f>IFERROR(IF(F1361&lt;&gt;"pending","",IF(OR($B1361="",$B1361="(blank)"),"",VLOOKUP($B1361,'Email Marketing Raw Data'!$C:$O,11,0))),"")</f>
        <v/>
      </c>
      <c r="F1361" s="54" t="str">
        <f>IFERROR(IF(OR($B1361="",$B1361="(blank)"),"",VLOOKUP($B1361,'Email Marketing Raw Data'!$C:$O,13,0)),"")</f>
        <v/>
      </c>
      <c r="G1361" s="55" t="str">
        <f>IFERROR(IF(OR($B1361="",$B1361="(blank)"),"",VLOOKUP($B1361,'Email Marketing Raw Data'!$C:$O,4,0)),"")</f>
        <v/>
      </c>
      <c r="H1361" s="55" t="str">
        <f>IFERROR(IF(OR($B1361="",$B1361="(blank)"),"",VLOOKUP($B1361,'Email Marketing Raw Data'!$C:$O,5,0)),"")</f>
        <v/>
      </c>
      <c r="I1361" s="55" t="str">
        <f>IFERROR(IF($G1361="","",VLOOKUP('Dashboard And Emails Automate'!$G1361,Database!$H:$N,3,0)),"")</f>
        <v/>
      </c>
      <c r="J1361" s="55" t="str">
        <f>IFERROR(IF($G1361="","",VLOOKUP('Dashboard And Emails Automate'!$G1361,Database!$H:$N,4,0)),"")</f>
        <v/>
      </c>
      <c r="K1361" s="55" t="str">
        <f>IFERROR(IF($G1361="","",VLOOKUP('Dashboard And Emails Automate'!$G1361,Database!$H:$N,5,0)),"")</f>
        <v/>
      </c>
      <c r="L1361" s="55" t="str">
        <f>IFERROR(IF($G1361="","",VLOOKUP('Dashboard And Emails Automate'!$G1361,Database!$H:$N,6,0)),"")</f>
        <v/>
      </c>
      <c r="M1361" s="55" t="str">
        <f>IFERROR(IF($G1361="","",VLOOKUP('Dashboard And Emails Automate'!$G1361,Database!$H:$N,7,0)),"")</f>
        <v/>
      </c>
      <c r="N1361" s="55" t="str">
        <f>IFERROR(IF(OR($B1361="",$B1361="(blank)"),"",VLOOKUP($B1361,'Email Marketing Raw Data'!$C:$O,6,0)),"")</f>
        <v/>
      </c>
      <c r="O1361" s="55" t="str">
        <f>IFERROR(IF(OR($B1361="",$B1361="(blank)"),"",VLOOKUP($B1361,'Email Marketing Raw Data'!$C:$O,7,0)),"")</f>
        <v/>
      </c>
      <c r="P1361" s="55" t="str">
        <f>IFERROR(IF(OR($B1361="",$B1361="(blank)"),"",VLOOKUP($B1361,'Email Marketing Raw Data'!$C:$O,8,0)),"")</f>
        <v/>
      </c>
      <c r="Q1361" s="62" t="str">
        <f>IFERROR(IF(OR($B1361="",$B1361="(blank)"),"",VLOOKUP($B1361,'Email Marketing Raw Data'!$C:$O,9,0)),"")</f>
        <v/>
      </c>
    </row>
    <row r="1362" spans="4:17" ht="12.75" customHeight="1" x14ac:dyDescent="0.2">
      <c r="D1362" s="58" t="str">
        <f>IFERROR(IF(F1362&lt;&gt;"pending","",IF(OR($B1362="",$B1362="(blank)"),"",VLOOKUP($B1362,'Email Marketing Raw Data'!$C:$O,10,0))),"")</f>
        <v/>
      </c>
      <c r="E1362" s="59" t="str">
        <f>IFERROR(IF(F1362&lt;&gt;"pending","",IF(OR($B1362="",$B1362="(blank)"),"",VLOOKUP($B1362,'Email Marketing Raw Data'!$C:$O,11,0))),"")</f>
        <v/>
      </c>
      <c r="F1362" s="54" t="str">
        <f>IFERROR(IF(OR($B1362="",$B1362="(blank)"),"",VLOOKUP($B1362,'Email Marketing Raw Data'!$C:$O,13,0)),"")</f>
        <v/>
      </c>
      <c r="G1362" s="55" t="str">
        <f>IFERROR(IF(OR($B1362="",$B1362="(blank)"),"",VLOOKUP($B1362,'Email Marketing Raw Data'!$C:$O,4,0)),"")</f>
        <v/>
      </c>
      <c r="H1362" s="55" t="str">
        <f>IFERROR(IF(OR($B1362="",$B1362="(blank)"),"",VLOOKUP($B1362,'Email Marketing Raw Data'!$C:$O,5,0)),"")</f>
        <v/>
      </c>
      <c r="I1362" s="55" t="str">
        <f>IFERROR(IF($G1362="","",VLOOKUP('Dashboard And Emails Automate'!$G1362,Database!$H:$N,3,0)),"")</f>
        <v/>
      </c>
      <c r="J1362" s="55" t="str">
        <f>IFERROR(IF($G1362="","",VLOOKUP('Dashboard And Emails Automate'!$G1362,Database!$H:$N,4,0)),"")</f>
        <v/>
      </c>
      <c r="K1362" s="55" t="str">
        <f>IFERROR(IF($G1362="","",VLOOKUP('Dashboard And Emails Automate'!$G1362,Database!$H:$N,5,0)),"")</f>
        <v/>
      </c>
      <c r="L1362" s="55" t="str">
        <f>IFERROR(IF($G1362="","",VLOOKUP('Dashboard And Emails Automate'!$G1362,Database!$H:$N,6,0)),"")</f>
        <v/>
      </c>
      <c r="M1362" s="55" t="str">
        <f>IFERROR(IF($G1362="","",VLOOKUP('Dashboard And Emails Automate'!$G1362,Database!$H:$N,7,0)),"")</f>
        <v/>
      </c>
      <c r="N1362" s="55" t="str">
        <f>IFERROR(IF(OR($B1362="",$B1362="(blank)"),"",VLOOKUP($B1362,'Email Marketing Raw Data'!$C:$O,6,0)),"")</f>
        <v/>
      </c>
      <c r="O1362" s="55" t="str">
        <f>IFERROR(IF(OR($B1362="",$B1362="(blank)"),"",VLOOKUP($B1362,'Email Marketing Raw Data'!$C:$O,7,0)),"")</f>
        <v/>
      </c>
      <c r="P1362" s="55" t="str">
        <f>IFERROR(IF(OR($B1362="",$B1362="(blank)"),"",VLOOKUP($B1362,'Email Marketing Raw Data'!$C:$O,8,0)),"")</f>
        <v/>
      </c>
      <c r="Q1362" s="62" t="str">
        <f>IFERROR(IF(OR($B1362="",$B1362="(blank)"),"",VLOOKUP($B1362,'Email Marketing Raw Data'!$C:$O,9,0)),"")</f>
        <v/>
      </c>
    </row>
    <row r="1363" spans="4:17" ht="12.75" customHeight="1" x14ac:dyDescent="0.2">
      <c r="D1363" s="58" t="str">
        <f>IFERROR(IF(F1363&lt;&gt;"pending","",IF(OR($B1363="",$B1363="(blank)"),"",VLOOKUP($B1363,'Email Marketing Raw Data'!$C:$O,10,0))),"")</f>
        <v/>
      </c>
      <c r="E1363" s="59" t="str">
        <f>IFERROR(IF(F1363&lt;&gt;"pending","",IF(OR($B1363="",$B1363="(blank)"),"",VLOOKUP($B1363,'Email Marketing Raw Data'!$C:$O,11,0))),"")</f>
        <v/>
      </c>
      <c r="F1363" s="54" t="str">
        <f>IFERROR(IF(OR($B1363="",$B1363="(blank)"),"",VLOOKUP($B1363,'Email Marketing Raw Data'!$C:$O,13,0)),"")</f>
        <v/>
      </c>
      <c r="G1363" s="55" t="str">
        <f>IFERROR(IF(OR($B1363="",$B1363="(blank)"),"",VLOOKUP($B1363,'Email Marketing Raw Data'!$C:$O,4,0)),"")</f>
        <v/>
      </c>
      <c r="H1363" s="55" t="str">
        <f>IFERROR(IF(OR($B1363="",$B1363="(blank)"),"",VLOOKUP($B1363,'Email Marketing Raw Data'!$C:$O,5,0)),"")</f>
        <v/>
      </c>
      <c r="I1363" s="55" t="str">
        <f>IFERROR(IF($G1363="","",VLOOKUP('Dashboard And Emails Automate'!$G1363,Database!$H:$N,3,0)),"")</f>
        <v/>
      </c>
      <c r="J1363" s="55" t="str">
        <f>IFERROR(IF($G1363="","",VLOOKUP('Dashboard And Emails Automate'!$G1363,Database!$H:$N,4,0)),"")</f>
        <v/>
      </c>
      <c r="K1363" s="55" t="str">
        <f>IFERROR(IF($G1363="","",VLOOKUP('Dashboard And Emails Automate'!$G1363,Database!$H:$N,5,0)),"")</f>
        <v/>
      </c>
      <c r="L1363" s="55" t="str">
        <f>IFERROR(IF($G1363="","",VLOOKUP('Dashboard And Emails Automate'!$G1363,Database!$H:$N,6,0)),"")</f>
        <v/>
      </c>
      <c r="M1363" s="55" t="str">
        <f>IFERROR(IF($G1363="","",VLOOKUP('Dashboard And Emails Automate'!$G1363,Database!$H:$N,7,0)),"")</f>
        <v/>
      </c>
      <c r="N1363" s="55" t="str">
        <f>IFERROR(IF(OR($B1363="",$B1363="(blank)"),"",VLOOKUP($B1363,'Email Marketing Raw Data'!$C:$O,6,0)),"")</f>
        <v/>
      </c>
      <c r="O1363" s="55" t="str">
        <f>IFERROR(IF(OR($B1363="",$B1363="(blank)"),"",VLOOKUP($B1363,'Email Marketing Raw Data'!$C:$O,7,0)),"")</f>
        <v/>
      </c>
      <c r="P1363" s="55" t="str">
        <f>IFERROR(IF(OR($B1363="",$B1363="(blank)"),"",VLOOKUP($B1363,'Email Marketing Raw Data'!$C:$O,8,0)),"")</f>
        <v/>
      </c>
      <c r="Q1363" s="62" t="str">
        <f>IFERROR(IF(OR($B1363="",$B1363="(blank)"),"",VLOOKUP($B1363,'Email Marketing Raw Data'!$C:$O,9,0)),"")</f>
        <v/>
      </c>
    </row>
    <row r="1364" spans="4:17" ht="12.75" customHeight="1" x14ac:dyDescent="0.2">
      <c r="D1364" s="58" t="str">
        <f>IFERROR(IF(F1364&lt;&gt;"pending","",IF(OR($B1364="",$B1364="(blank)"),"",VLOOKUP($B1364,'Email Marketing Raw Data'!$C:$O,10,0))),"")</f>
        <v/>
      </c>
      <c r="E1364" s="59" t="str">
        <f>IFERROR(IF(F1364&lt;&gt;"pending","",IF(OR($B1364="",$B1364="(blank)"),"",VLOOKUP($B1364,'Email Marketing Raw Data'!$C:$O,11,0))),"")</f>
        <v/>
      </c>
      <c r="F1364" s="54" t="str">
        <f>IFERROR(IF(OR($B1364="",$B1364="(blank)"),"",VLOOKUP($B1364,'Email Marketing Raw Data'!$C:$O,13,0)),"")</f>
        <v/>
      </c>
      <c r="G1364" s="55" t="str">
        <f>IFERROR(IF(OR($B1364="",$B1364="(blank)"),"",VLOOKUP($B1364,'Email Marketing Raw Data'!$C:$O,4,0)),"")</f>
        <v/>
      </c>
      <c r="H1364" s="55" t="str">
        <f>IFERROR(IF(OR($B1364="",$B1364="(blank)"),"",VLOOKUP($B1364,'Email Marketing Raw Data'!$C:$O,5,0)),"")</f>
        <v/>
      </c>
      <c r="I1364" s="55" t="str">
        <f>IFERROR(IF($G1364="","",VLOOKUP('Dashboard And Emails Automate'!$G1364,Database!$H:$N,3,0)),"")</f>
        <v/>
      </c>
      <c r="J1364" s="55" t="str">
        <f>IFERROR(IF($G1364="","",VLOOKUP('Dashboard And Emails Automate'!$G1364,Database!$H:$N,4,0)),"")</f>
        <v/>
      </c>
      <c r="K1364" s="55" t="str">
        <f>IFERROR(IF($G1364="","",VLOOKUP('Dashboard And Emails Automate'!$G1364,Database!$H:$N,5,0)),"")</f>
        <v/>
      </c>
      <c r="L1364" s="55" t="str">
        <f>IFERROR(IF($G1364="","",VLOOKUP('Dashboard And Emails Automate'!$G1364,Database!$H:$N,6,0)),"")</f>
        <v/>
      </c>
      <c r="M1364" s="55" t="str">
        <f>IFERROR(IF($G1364="","",VLOOKUP('Dashboard And Emails Automate'!$G1364,Database!$H:$N,7,0)),"")</f>
        <v/>
      </c>
      <c r="N1364" s="55" t="str">
        <f>IFERROR(IF(OR($B1364="",$B1364="(blank)"),"",VLOOKUP($B1364,'Email Marketing Raw Data'!$C:$O,6,0)),"")</f>
        <v/>
      </c>
      <c r="O1364" s="55" t="str">
        <f>IFERROR(IF(OR($B1364="",$B1364="(blank)"),"",VLOOKUP($B1364,'Email Marketing Raw Data'!$C:$O,7,0)),"")</f>
        <v/>
      </c>
      <c r="P1364" s="55" t="str">
        <f>IFERROR(IF(OR($B1364="",$B1364="(blank)"),"",VLOOKUP($B1364,'Email Marketing Raw Data'!$C:$O,8,0)),"")</f>
        <v/>
      </c>
      <c r="Q1364" s="62" t="str">
        <f>IFERROR(IF(OR($B1364="",$B1364="(blank)"),"",VLOOKUP($B1364,'Email Marketing Raw Data'!$C:$O,9,0)),"")</f>
        <v/>
      </c>
    </row>
    <row r="1365" spans="4:17" ht="12.75" customHeight="1" x14ac:dyDescent="0.2">
      <c r="D1365" s="58" t="str">
        <f>IFERROR(IF(F1365&lt;&gt;"pending","",IF(OR($B1365="",$B1365="(blank)"),"",VLOOKUP($B1365,'Email Marketing Raw Data'!$C:$O,10,0))),"")</f>
        <v/>
      </c>
      <c r="E1365" s="59" t="str">
        <f>IFERROR(IF(F1365&lt;&gt;"pending","",IF(OR($B1365="",$B1365="(blank)"),"",VLOOKUP($B1365,'Email Marketing Raw Data'!$C:$O,11,0))),"")</f>
        <v/>
      </c>
      <c r="F1365" s="54" t="str">
        <f>IFERROR(IF(OR($B1365="",$B1365="(blank)"),"",VLOOKUP($B1365,'Email Marketing Raw Data'!$C:$O,13,0)),"")</f>
        <v/>
      </c>
      <c r="G1365" s="55" t="str">
        <f>IFERROR(IF(OR($B1365="",$B1365="(blank)"),"",VLOOKUP($B1365,'Email Marketing Raw Data'!$C:$O,4,0)),"")</f>
        <v/>
      </c>
      <c r="H1365" s="55" t="str">
        <f>IFERROR(IF(OR($B1365="",$B1365="(blank)"),"",VLOOKUP($B1365,'Email Marketing Raw Data'!$C:$O,5,0)),"")</f>
        <v/>
      </c>
      <c r="I1365" s="55" t="str">
        <f>IFERROR(IF($G1365="","",VLOOKUP('Dashboard And Emails Automate'!$G1365,Database!$H:$N,3,0)),"")</f>
        <v/>
      </c>
      <c r="J1365" s="55" t="str">
        <f>IFERROR(IF($G1365="","",VLOOKUP('Dashboard And Emails Automate'!$G1365,Database!$H:$N,4,0)),"")</f>
        <v/>
      </c>
      <c r="K1365" s="55" t="str">
        <f>IFERROR(IF($G1365="","",VLOOKUP('Dashboard And Emails Automate'!$G1365,Database!$H:$N,5,0)),"")</f>
        <v/>
      </c>
      <c r="L1365" s="55" t="str">
        <f>IFERROR(IF($G1365="","",VLOOKUP('Dashboard And Emails Automate'!$G1365,Database!$H:$N,6,0)),"")</f>
        <v/>
      </c>
      <c r="M1365" s="55" t="str">
        <f>IFERROR(IF($G1365="","",VLOOKUP('Dashboard And Emails Automate'!$G1365,Database!$H:$N,7,0)),"")</f>
        <v/>
      </c>
      <c r="N1365" s="55" t="str">
        <f>IFERROR(IF(OR($B1365="",$B1365="(blank)"),"",VLOOKUP($B1365,'Email Marketing Raw Data'!$C:$O,6,0)),"")</f>
        <v/>
      </c>
      <c r="O1365" s="55" t="str">
        <f>IFERROR(IF(OR($B1365="",$B1365="(blank)"),"",VLOOKUP($B1365,'Email Marketing Raw Data'!$C:$O,7,0)),"")</f>
        <v/>
      </c>
      <c r="P1365" s="55" t="str">
        <f>IFERROR(IF(OR($B1365="",$B1365="(blank)"),"",VLOOKUP($B1365,'Email Marketing Raw Data'!$C:$O,8,0)),"")</f>
        <v/>
      </c>
      <c r="Q1365" s="62" t="str">
        <f>IFERROR(IF(OR($B1365="",$B1365="(blank)"),"",VLOOKUP($B1365,'Email Marketing Raw Data'!$C:$O,9,0)),"")</f>
        <v/>
      </c>
    </row>
    <row r="1366" spans="4:17" ht="12.75" customHeight="1" x14ac:dyDescent="0.2">
      <c r="D1366" s="58" t="str">
        <f>IFERROR(IF(F1366&lt;&gt;"pending","",IF(OR($B1366="",$B1366="(blank)"),"",VLOOKUP($B1366,'Email Marketing Raw Data'!$C:$O,10,0))),"")</f>
        <v/>
      </c>
      <c r="E1366" s="59" t="str">
        <f>IFERROR(IF(F1366&lt;&gt;"pending","",IF(OR($B1366="",$B1366="(blank)"),"",VLOOKUP($B1366,'Email Marketing Raw Data'!$C:$O,11,0))),"")</f>
        <v/>
      </c>
      <c r="F1366" s="54" t="str">
        <f>IFERROR(IF(OR($B1366="",$B1366="(blank)"),"",VLOOKUP($B1366,'Email Marketing Raw Data'!$C:$O,13,0)),"")</f>
        <v/>
      </c>
      <c r="G1366" s="55" t="str">
        <f>IFERROR(IF(OR($B1366="",$B1366="(blank)"),"",VLOOKUP($B1366,'Email Marketing Raw Data'!$C:$O,4,0)),"")</f>
        <v/>
      </c>
      <c r="H1366" s="55" t="str">
        <f>IFERROR(IF(OR($B1366="",$B1366="(blank)"),"",VLOOKUP($B1366,'Email Marketing Raw Data'!$C:$O,5,0)),"")</f>
        <v/>
      </c>
      <c r="I1366" s="55" t="str">
        <f>IFERROR(IF($G1366="","",VLOOKUP('Dashboard And Emails Automate'!$G1366,Database!$H:$N,3,0)),"")</f>
        <v/>
      </c>
      <c r="J1366" s="55" t="str">
        <f>IFERROR(IF($G1366="","",VLOOKUP('Dashboard And Emails Automate'!$G1366,Database!$H:$N,4,0)),"")</f>
        <v/>
      </c>
      <c r="K1366" s="55" t="str">
        <f>IFERROR(IF($G1366="","",VLOOKUP('Dashboard And Emails Automate'!$G1366,Database!$H:$N,5,0)),"")</f>
        <v/>
      </c>
      <c r="L1366" s="55" t="str">
        <f>IFERROR(IF($G1366="","",VLOOKUP('Dashboard And Emails Automate'!$G1366,Database!$H:$N,6,0)),"")</f>
        <v/>
      </c>
      <c r="M1366" s="55" t="str">
        <f>IFERROR(IF($G1366="","",VLOOKUP('Dashboard And Emails Automate'!$G1366,Database!$H:$N,7,0)),"")</f>
        <v/>
      </c>
      <c r="N1366" s="55" t="str">
        <f>IFERROR(IF(OR($B1366="",$B1366="(blank)"),"",VLOOKUP($B1366,'Email Marketing Raw Data'!$C:$O,6,0)),"")</f>
        <v/>
      </c>
      <c r="O1366" s="55" t="str">
        <f>IFERROR(IF(OR($B1366="",$B1366="(blank)"),"",VLOOKUP($B1366,'Email Marketing Raw Data'!$C:$O,7,0)),"")</f>
        <v/>
      </c>
      <c r="P1366" s="55" t="str">
        <f>IFERROR(IF(OR($B1366="",$B1366="(blank)"),"",VLOOKUP($B1366,'Email Marketing Raw Data'!$C:$O,8,0)),"")</f>
        <v/>
      </c>
      <c r="Q1366" s="62" t="str">
        <f>IFERROR(IF(OR($B1366="",$B1366="(blank)"),"",VLOOKUP($B1366,'Email Marketing Raw Data'!$C:$O,9,0)),"")</f>
        <v/>
      </c>
    </row>
    <row r="1367" spans="4:17" ht="12.75" customHeight="1" x14ac:dyDescent="0.2">
      <c r="D1367" s="58" t="str">
        <f>IFERROR(IF(F1367&lt;&gt;"pending","",IF(OR($B1367="",$B1367="(blank)"),"",VLOOKUP($B1367,'Email Marketing Raw Data'!$C:$O,10,0))),"")</f>
        <v/>
      </c>
      <c r="E1367" s="59" t="str">
        <f>IFERROR(IF(F1367&lt;&gt;"pending","",IF(OR($B1367="",$B1367="(blank)"),"",VLOOKUP($B1367,'Email Marketing Raw Data'!$C:$O,11,0))),"")</f>
        <v/>
      </c>
      <c r="F1367" s="54" t="str">
        <f>IFERROR(IF(OR($B1367="",$B1367="(blank)"),"",VLOOKUP($B1367,'Email Marketing Raw Data'!$C:$O,13,0)),"")</f>
        <v/>
      </c>
      <c r="G1367" s="55" t="str">
        <f>IFERROR(IF(OR($B1367="",$B1367="(blank)"),"",VLOOKUP($B1367,'Email Marketing Raw Data'!$C:$O,4,0)),"")</f>
        <v/>
      </c>
      <c r="H1367" s="55" t="str">
        <f>IFERROR(IF(OR($B1367="",$B1367="(blank)"),"",VLOOKUP($B1367,'Email Marketing Raw Data'!$C:$O,5,0)),"")</f>
        <v/>
      </c>
      <c r="I1367" s="55" t="str">
        <f>IFERROR(IF($G1367="","",VLOOKUP('Dashboard And Emails Automate'!$G1367,Database!$H:$N,3,0)),"")</f>
        <v/>
      </c>
      <c r="J1367" s="55" t="str">
        <f>IFERROR(IF($G1367="","",VLOOKUP('Dashboard And Emails Automate'!$G1367,Database!$H:$N,4,0)),"")</f>
        <v/>
      </c>
      <c r="K1367" s="55" t="str">
        <f>IFERROR(IF($G1367="","",VLOOKUP('Dashboard And Emails Automate'!$G1367,Database!$H:$N,5,0)),"")</f>
        <v/>
      </c>
      <c r="L1367" s="55" t="str">
        <f>IFERROR(IF($G1367="","",VLOOKUP('Dashboard And Emails Automate'!$G1367,Database!$H:$N,6,0)),"")</f>
        <v/>
      </c>
      <c r="M1367" s="55" t="str">
        <f>IFERROR(IF($G1367="","",VLOOKUP('Dashboard And Emails Automate'!$G1367,Database!$H:$N,7,0)),"")</f>
        <v/>
      </c>
      <c r="N1367" s="55" t="str">
        <f>IFERROR(IF(OR($B1367="",$B1367="(blank)"),"",VLOOKUP($B1367,'Email Marketing Raw Data'!$C:$O,6,0)),"")</f>
        <v/>
      </c>
      <c r="O1367" s="55" t="str">
        <f>IFERROR(IF(OR($B1367="",$B1367="(blank)"),"",VLOOKUP($B1367,'Email Marketing Raw Data'!$C:$O,7,0)),"")</f>
        <v/>
      </c>
      <c r="P1367" s="55" t="str">
        <f>IFERROR(IF(OR($B1367="",$B1367="(blank)"),"",VLOOKUP($B1367,'Email Marketing Raw Data'!$C:$O,8,0)),"")</f>
        <v/>
      </c>
      <c r="Q1367" s="62" t="str">
        <f>IFERROR(IF(OR($B1367="",$B1367="(blank)"),"",VLOOKUP($B1367,'Email Marketing Raw Data'!$C:$O,9,0)),"")</f>
        <v/>
      </c>
    </row>
    <row r="1368" spans="4:17" ht="12.75" customHeight="1" x14ac:dyDescent="0.2">
      <c r="D1368" s="58" t="str">
        <f>IFERROR(IF(F1368&lt;&gt;"pending","",IF(OR($B1368="",$B1368="(blank)"),"",VLOOKUP($B1368,'Email Marketing Raw Data'!$C:$O,10,0))),"")</f>
        <v/>
      </c>
      <c r="E1368" s="59" t="str">
        <f>IFERROR(IF(F1368&lt;&gt;"pending","",IF(OR($B1368="",$B1368="(blank)"),"",VLOOKUP($B1368,'Email Marketing Raw Data'!$C:$O,11,0))),"")</f>
        <v/>
      </c>
      <c r="F1368" s="54" t="str">
        <f>IFERROR(IF(OR($B1368="",$B1368="(blank)"),"",VLOOKUP($B1368,'Email Marketing Raw Data'!$C:$O,13,0)),"")</f>
        <v/>
      </c>
      <c r="G1368" s="55" t="str">
        <f>IFERROR(IF(OR($B1368="",$B1368="(blank)"),"",VLOOKUP($B1368,'Email Marketing Raw Data'!$C:$O,4,0)),"")</f>
        <v/>
      </c>
      <c r="H1368" s="55" t="str">
        <f>IFERROR(IF(OR($B1368="",$B1368="(blank)"),"",VLOOKUP($B1368,'Email Marketing Raw Data'!$C:$O,5,0)),"")</f>
        <v/>
      </c>
      <c r="I1368" s="55" t="str">
        <f>IFERROR(IF($G1368="","",VLOOKUP('Dashboard And Emails Automate'!$G1368,Database!$H:$N,3,0)),"")</f>
        <v/>
      </c>
      <c r="J1368" s="55" t="str">
        <f>IFERROR(IF($G1368="","",VLOOKUP('Dashboard And Emails Automate'!$G1368,Database!$H:$N,4,0)),"")</f>
        <v/>
      </c>
      <c r="K1368" s="55" t="str">
        <f>IFERROR(IF($G1368="","",VLOOKUP('Dashboard And Emails Automate'!$G1368,Database!$H:$N,5,0)),"")</f>
        <v/>
      </c>
      <c r="L1368" s="55" t="str">
        <f>IFERROR(IF($G1368="","",VLOOKUP('Dashboard And Emails Automate'!$G1368,Database!$H:$N,6,0)),"")</f>
        <v/>
      </c>
      <c r="M1368" s="55" t="str">
        <f>IFERROR(IF($G1368="","",VLOOKUP('Dashboard And Emails Automate'!$G1368,Database!$H:$N,7,0)),"")</f>
        <v/>
      </c>
      <c r="N1368" s="55" t="str">
        <f>IFERROR(IF(OR($B1368="",$B1368="(blank)"),"",VLOOKUP($B1368,'Email Marketing Raw Data'!$C:$O,6,0)),"")</f>
        <v/>
      </c>
      <c r="O1368" s="55" t="str">
        <f>IFERROR(IF(OR($B1368="",$B1368="(blank)"),"",VLOOKUP($B1368,'Email Marketing Raw Data'!$C:$O,7,0)),"")</f>
        <v/>
      </c>
      <c r="P1368" s="55" t="str">
        <f>IFERROR(IF(OR($B1368="",$B1368="(blank)"),"",VLOOKUP($B1368,'Email Marketing Raw Data'!$C:$O,8,0)),"")</f>
        <v/>
      </c>
      <c r="Q1368" s="62" t="str">
        <f>IFERROR(IF(OR($B1368="",$B1368="(blank)"),"",VLOOKUP($B1368,'Email Marketing Raw Data'!$C:$O,9,0)),"")</f>
        <v/>
      </c>
    </row>
    <row r="1369" spans="4:17" ht="12.75" customHeight="1" x14ac:dyDescent="0.2">
      <c r="D1369" s="58" t="str">
        <f>IFERROR(IF(F1369&lt;&gt;"pending","",IF(OR($B1369="",$B1369="(blank)"),"",VLOOKUP($B1369,'Email Marketing Raw Data'!$C:$O,10,0))),"")</f>
        <v/>
      </c>
      <c r="E1369" s="59" t="str">
        <f>IFERROR(IF(F1369&lt;&gt;"pending","",IF(OR($B1369="",$B1369="(blank)"),"",VLOOKUP($B1369,'Email Marketing Raw Data'!$C:$O,11,0))),"")</f>
        <v/>
      </c>
      <c r="F1369" s="54" t="str">
        <f>IFERROR(IF(OR($B1369="",$B1369="(blank)"),"",VLOOKUP($B1369,'Email Marketing Raw Data'!$C:$O,13,0)),"")</f>
        <v/>
      </c>
      <c r="G1369" s="55" t="str">
        <f>IFERROR(IF(OR($B1369="",$B1369="(blank)"),"",VLOOKUP($B1369,'Email Marketing Raw Data'!$C:$O,4,0)),"")</f>
        <v/>
      </c>
      <c r="H1369" s="55" t="str">
        <f>IFERROR(IF(OR($B1369="",$B1369="(blank)"),"",VLOOKUP($B1369,'Email Marketing Raw Data'!$C:$O,5,0)),"")</f>
        <v/>
      </c>
      <c r="I1369" s="55" t="str">
        <f>IFERROR(IF($G1369="","",VLOOKUP('Dashboard And Emails Automate'!$G1369,Database!$H:$N,3,0)),"")</f>
        <v/>
      </c>
      <c r="J1369" s="55" t="str">
        <f>IFERROR(IF($G1369="","",VLOOKUP('Dashboard And Emails Automate'!$G1369,Database!$H:$N,4,0)),"")</f>
        <v/>
      </c>
      <c r="K1369" s="55" t="str">
        <f>IFERROR(IF($G1369="","",VLOOKUP('Dashboard And Emails Automate'!$G1369,Database!$H:$N,5,0)),"")</f>
        <v/>
      </c>
      <c r="L1369" s="55" t="str">
        <f>IFERROR(IF($G1369="","",VLOOKUP('Dashboard And Emails Automate'!$G1369,Database!$H:$N,6,0)),"")</f>
        <v/>
      </c>
      <c r="M1369" s="55" t="str">
        <f>IFERROR(IF($G1369="","",VLOOKUP('Dashboard And Emails Automate'!$G1369,Database!$H:$N,7,0)),"")</f>
        <v/>
      </c>
      <c r="N1369" s="55" t="str">
        <f>IFERROR(IF(OR($B1369="",$B1369="(blank)"),"",VLOOKUP($B1369,'Email Marketing Raw Data'!$C:$O,6,0)),"")</f>
        <v/>
      </c>
      <c r="O1369" s="55" t="str">
        <f>IFERROR(IF(OR($B1369="",$B1369="(blank)"),"",VLOOKUP($B1369,'Email Marketing Raw Data'!$C:$O,7,0)),"")</f>
        <v/>
      </c>
      <c r="P1369" s="55" t="str">
        <f>IFERROR(IF(OR($B1369="",$B1369="(blank)"),"",VLOOKUP($B1369,'Email Marketing Raw Data'!$C:$O,8,0)),"")</f>
        <v/>
      </c>
      <c r="Q1369" s="62" t="str">
        <f>IFERROR(IF(OR($B1369="",$B1369="(blank)"),"",VLOOKUP($B1369,'Email Marketing Raw Data'!$C:$O,9,0)),"")</f>
        <v/>
      </c>
    </row>
    <row r="1370" spans="4:17" ht="12.75" customHeight="1" x14ac:dyDescent="0.2">
      <c r="D1370" s="58" t="str">
        <f>IFERROR(IF(F1370&lt;&gt;"pending","",IF(OR($B1370="",$B1370="(blank)"),"",VLOOKUP($B1370,'Email Marketing Raw Data'!$C:$O,10,0))),"")</f>
        <v/>
      </c>
      <c r="E1370" s="59" t="str">
        <f>IFERROR(IF(F1370&lt;&gt;"pending","",IF(OR($B1370="",$B1370="(blank)"),"",VLOOKUP($B1370,'Email Marketing Raw Data'!$C:$O,11,0))),"")</f>
        <v/>
      </c>
      <c r="F1370" s="54" t="str">
        <f>IFERROR(IF(OR($B1370="",$B1370="(blank)"),"",VLOOKUP($B1370,'Email Marketing Raw Data'!$C:$O,13,0)),"")</f>
        <v/>
      </c>
      <c r="G1370" s="55" t="str">
        <f>IFERROR(IF(OR($B1370="",$B1370="(blank)"),"",VLOOKUP($B1370,'Email Marketing Raw Data'!$C:$O,4,0)),"")</f>
        <v/>
      </c>
      <c r="H1370" s="55" t="str">
        <f>IFERROR(IF(OR($B1370="",$B1370="(blank)"),"",VLOOKUP($B1370,'Email Marketing Raw Data'!$C:$O,5,0)),"")</f>
        <v/>
      </c>
      <c r="I1370" s="55" t="str">
        <f>IFERROR(IF($G1370="","",VLOOKUP('Dashboard And Emails Automate'!$G1370,Database!$H:$N,3,0)),"")</f>
        <v/>
      </c>
      <c r="J1370" s="55" t="str">
        <f>IFERROR(IF($G1370="","",VLOOKUP('Dashboard And Emails Automate'!$G1370,Database!$H:$N,4,0)),"")</f>
        <v/>
      </c>
      <c r="K1370" s="55" t="str">
        <f>IFERROR(IF($G1370="","",VLOOKUP('Dashboard And Emails Automate'!$G1370,Database!$H:$N,5,0)),"")</f>
        <v/>
      </c>
      <c r="L1370" s="55" t="str">
        <f>IFERROR(IF($G1370="","",VLOOKUP('Dashboard And Emails Automate'!$G1370,Database!$H:$N,6,0)),"")</f>
        <v/>
      </c>
      <c r="M1370" s="55" t="str">
        <f>IFERROR(IF($G1370="","",VLOOKUP('Dashboard And Emails Automate'!$G1370,Database!$H:$N,7,0)),"")</f>
        <v/>
      </c>
      <c r="N1370" s="55" t="str">
        <f>IFERROR(IF(OR($B1370="",$B1370="(blank)"),"",VLOOKUP($B1370,'Email Marketing Raw Data'!$C:$O,6,0)),"")</f>
        <v/>
      </c>
      <c r="O1370" s="55" t="str">
        <f>IFERROR(IF(OR($B1370="",$B1370="(blank)"),"",VLOOKUP($B1370,'Email Marketing Raw Data'!$C:$O,7,0)),"")</f>
        <v/>
      </c>
      <c r="P1370" s="55" t="str">
        <f>IFERROR(IF(OR($B1370="",$B1370="(blank)"),"",VLOOKUP($B1370,'Email Marketing Raw Data'!$C:$O,8,0)),"")</f>
        <v/>
      </c>
      <c r="Q1370" s="62" t="str">
        <f>IFERROR(IF(OR($B1370="",$B1370="(blank)"),"",VLOOKUP($B1370,'Email Marketing Raw Data'!$C:$O,9,0)),"")</f>
        <v/>
      </c>
    </row>
    <row r="1371" spans="4:17" ht="12.75" customHeight="1" x14ac:dyDescent="0.2">
      <c r="D1371" s="58" t="str">
        <f>IFERROR(IF(F1371&lt;&gt;"pending","",IF(OR($B1371="",$B1371="(blank)"),"",VLOOKUP($B1371,'Email Marketing Raw Data'!$C:$O,10,0))),"")</f>
        <v/>
      </c>
      <c r="E1371" s="59" t="str">
        <f>IFERROR(IF(F1371&lt;&gt;"pending","",IF(OR($B1371="",$B1371="(blank)"),"",VLOOKUP($B1371,'Email Marketing Raw Data'!$C:$O,11,0))),"")</f>
        <v/>
      </c>
      <c r="F1371" s="54" t="str">
        <f>IFERROR(IF(OR($B1371="",$B1371="(blank)"),"",VLOOKUP($B1371,'Email Marketing Raw Data'!$C:$O,13,0)),"")</f>
        <v/>
      </c>
      <c r="G1371" s="55" t="str">
        <f>IFERROR(IF(OR($B1371="",$B1371="(blank)"),"",VLOOKUP($B1371,'Email Marketing Raw Data'!$C:$O,4,0)),"")</f>
        <v/>
      </c>
      <c r="H1371" s="55" t="str">
        <f>IFERROR(IF(OR($B1371="",$B1371="(blank)"),"",VLOOKUP($B1371,'Email Marketing Raw Data'!$C:$O,5,0)),"")</f>
        <v/>
      </c>
      <c r="I1371" s="55" t="str">
        <f>IFERROR(IF($G1371="","",VLOOKUP('Dashboard And Emails Automate'!$G1371,Database!$H:$N,3,0)),"")</f>
        <v/>
      </c>
      <c r="J1371" s="55" t="str">
        <f>IFERROR(IF($G1371="","",VLOOKUP('Dashboard And Emails Automate'!$G1371,Database!$H:$N,4,0)),"")</f>
        <v/>
      </c>
      <c r="K1371" s="55" t="str">
        <f>IFERROR(IF($G1371="","",VLOOKUP('Dashboard And Emails Automate'!$G1371,Database!$H:$N,5,0)),"")</f>
        <v/>
      </c>
      <c r="L1371" s="55" t="str">
        <f>IFERROR(IF($G1371="","",VLOOKUP('Dashboard And Emails Automate'!$G1371,Database!$H:$N,6,0)),"")</f>
        <v/>
      </c>
      <c r="M1371" s="55" t="str">
        <f>IFERROR(IF($G1371="","",VLOOKUP('Dashboard And Emails Automate'!$G1371,Database!$H:$N,7,0)),"")</f>
        <v/>
      </c>
      <c r="N1371" s="55" t="str">
        <f>IFERROR(IF(OR($B1371="",$B1371="(blank)"),"",VLOOKUP($B1371,'Email Marketing Raw Data'!$C:$O,6,0)),"")</f>
        <v/>
      </c>
      <c r="O1371" s="55" t="str">
        <f>IFERROR(IF(OR($B1371="",$B1371="(blank)"),"",VLOOKUP($B1371,'Email Marketing Raw Data'!$C:$O,7,0)),"")</f>
        <v/>
      </c>
      <c r="P1371" s="55" t="str">
        <f>IFERROR(IF(OR($B1371="",$B1371="(blank)"),"",VLOOKUP($B1371,'Email Marketing Raw Data'!$C:$O,8,0)),"")</f>
        <v/>
      </c>
      <c r="Q1371" s="62" t="str">
        <f>IFERROR(IF(OR($B1371="",$B1371="(blank)"),"",VLOOKUP($B1371,'Email Marketing Raw Data'!$C:$O,9,0)),"")</f>
        <v/>
      </c>
    </row>
    <row r="1372" spans="4:17" ht="12.75" customHeight="1" x14ac:dyDescent="0.2">
      <c r="D1372" s="58" t="str">
        <f>IFERROR(IF(F1372&lt;&gt;"pending","",IF(OR($B1372="",$B1372="(blank)"),"",VLOOKUP($B1372,'Email Marketing Raw Data'!$C:$O,10,0))),"")</f>
        <v/>
      </c>
      <c r="E1372" s="59" t="str">
        <f>IFERROR(IF(F1372&lt;&gt;"pending","",IF(OR($B1372="",$B1372="(blank)"),"",VLOOKUP($B1372,'Email Marketing Raw Data'!$C:$O,11,0))),"")</f>
        <v/>
      </c>
      <c r="F1372" s="54" t="str">
        <f>IFERROR(IF(OR($B1372="",$B1372="(blank)"),"",VLOOKUP($B1372,'Email Marketing Raw Data'!$C:$O,13,0)),"")</f>
        <v/>
      </c>
      <c r="G1372" s="55" t="str">
        <f>IFERROR(IF(OR($B1372="",$B1372="(blank)"),"",VLOOKUP($B1372,'Email Marketing Raw Data'!$C:$O,4,0)),"")</f>
        <v/>
      </c>
      <c r="H1372" s="55" t="str">
        <f>IFERROR(IF(OR($B1372="",$B1372="(blank)"),"",VLOOKUP($B1372,'Email Marketing Raw Data'!$C:$O,5,0)),"")</f>
        <v/>
      </c>
      <c r="I1372" s="55" t="str">
        <f>IFERROR(IF($G1372="","",VLOOKUP('Dashboard And Emails Automate'!$G1372,Database!$H:$N,3,0)),"")</f>
        <v/>
      </c>
      <c r="J1372" s="55" t="str">
        <f>IFERROR(IF($G1372="","",VLOOKUP('Dashboard And Emails Automate'!$G1372,Database!$H:$N,4,0)),"")</f>
        <v/>
      </c>
      <c r="K1372" s="55" t="str">
        <f>IFERROR(IF($G1372="","",VLOOKUP('Dashboard And Emails Automate'!$G1372,Database!$H:$N,5,0)),"")</f>
        <v/>
      </c>
      <c r="L1372" s="55" t="str">
        <f>IFERROR(IF($G1372="","",VLOOKUP('Dashboard And Emails Automate'!$G1372,Database!$H:$N,6,0)),"")</f>
        <v/>
      </c>
      <c r="M1372" s="55" t="str">
        <f>IFERROR(IF($G1372="","",VLOOKUP('Dashboard And Emails Automate'!$G1372,Database!$H:$N,7,0)),"")</f>
        <v/>
      </c>
      <c r="N1372" s="55" t="str">
        <f>IFERROR(IF(OR($B1372="",$B1372="(blank)"),"",VLOOKUP($B1372,'Email Marketing Raw Data'!$C:$O,6,0)),"")</f>
        <v/>
      </c>
      <c r="O1372" s="55" t="str">
        <f>IFERROR(IF(OR($B1372="",$B1372="(blank)"),"",VLOOKUP($B1372,'Email Marketing Raw Data'!$C:$O,7,0)),"")</f>
        <v/>
      </c>
      <c r="P1372" s="55" t="str">
        <f>IFERROR(IF(OR($B1372="",$B1372="(blank)"),"",VLOOKUP($B1372,'Email Marketing Raw Data'!$C:$O,8,0)),"")</f>
        <v/>
      </c>
      <c r="Q1372" s="62" t="str">
        <f>IFERROR(IF(OR($B1372="",$B1372="(blank)"),"",VLOOKUP($B1372,'Email Marketing Raw Data'!$C:$O,9,0)),"")</f>
        <v/>
      </c>
    </row>
    <row r="1373" spans="4:17" ht="12.75" customHeight="1" x14ac:dyDescent="0.2">
      <c r="D1373" s="58" t="str">
        <f>IFERROR(IF(F1373&lt;&gt;"pending","",IF(OR($B1373="",$B1373="(blank)"),"",VLOOKUP($B1373,'Email Marketing Raw Data'!$C:$O,10,0))),"")</f>
        <v/>
      </c>
      <c r="E1373" s="59" t="str">
        <f>IFERROR(IF(F1373&lt;&gt;"pending","",IF(OR($B1373="",$B1373="(blank)"),"",VLOOKUP($B1373,'Email Marketing Raw Data'!$C:$O,11,0))),"")</f>
        <v/>
      </c>
      <c r="F1373" s="54" t="str">
        <f>IFERROR(IF(OR($B1373="",$B1373="(blank)"),"",VLOOKUP($B1373,'Email Marketing Raw Data'!$C:$O,13,0)),"")</f>
        <v/>
      </c>
      <c r="G1373" s="55" t="str">
        <f>IFERROR(IF(OR($B1373="",$B1373="(blank)"),"",VLOOKUP($B1373,'Email Marketing Raw Data'!$C:$O,4,0)),"")</f>
        <v/>
      </c>
      <c r="H1373" s="55" t="str">
        <f>IFERROR(IF(OR($B1373="",$B1373="(blank)"),"",VLOOKUP($B1373,'Email Marketing Raw Data'!$C:$O,5,0)),"")</f>
        <v/>
      </c>
      <c r="I1373" s="55" t="str">
        <f>IFERROR(IF($G1373="","",VLOOKUP('Dashboard And Emails Automate'!$G1373,Database!$H:$N,3,0)),"")</f>
        <v/>
      </c>
      <c r="J1373" s="55" t="str">
        <f>IFERROR(IF($G1373="","",VLOOKUP('Dashboard And Emails Automate'!$G1373,Database!$H:$N,4,0)),"")</f>
        <v/>
      </c>
      <c r="K1373" s="55" t="str">
        <f>IFERROR(IF($G1373="","",VLOOKUP('Dashboard And Emails Automate'!$G1373,Database!$H:$N,5,0)),"")</f>
        <v/>
      </c>
      <c r="L1373" s="55" t="str">
        <f>IFERROR(IF($G1373="","",VLOOKUP('Dashboard And Emails Automate'!$G1373,Database!$H:$N,6,0)),"")</f>
        <v/>
      </c>
      <c r="M1373" s="55" t="str">
        <f>IFERROR(IF($G1373="","",VLOOKUP('Dashboard And Emails Automate'!$G1373,Database!$H:$N,7,0)),"")</f>
        <v/>
      </c>
      <c r="N1373" s="55" t="str">
        <f>IFERROR(IF(OR($B1373="",$B1373="(blank)"),"",VLOOKUP($B1373,'Email Marketing Raw Data'!$C:$O,6,0)),"")</f>
        <v/>
      </c>
      <c r="O1373" s="55" t="str">
        <f>IFERROR(IF(OR($B1373="",$B1373="(blank)"),"",VLOOKUP($B1373,'Email Marketing Raw Data'!$C:$O,7,0)),"")</f>
        <v/>
      </c>
      <c r="P1373" s="55" t="str">
        <f>IFERROR(IF(OR($B1373="",$B1373="(blank)"),"",VLOOKUP($B1373,'Email Marketing Raw Data'!$C:$O,8,0)),"")</f>
        <v/>
      </c>
      <c r="Q1373" s="62" t="str">
        <f>IFERROR(IF(OR($B1373="",$B1373="(blank)"),"",VLOOKUP($B1373,'Email Marketing Raw Data'!$C:$O,9,0)),"")</f>
        <v/>
      </c>
    </row>
    <row r="1374" spans="4:17" ht="12.75" customHeight="1" x14ac:dyDescent="0.2">
      <c r="D1374" s="58" t="str">
        <f>IFERROR(IF(F1374&lt;&gt;"pending","",IF(OR($B1374="",$B1374="(blank)"),"",VLOOKUP($B1374,'Email Marketing Raw Data'!$C:$O,10,0))),"")</f>
        <v/>
      </c>
      <c r="E1374" s="59" t="str">
        <f>IFERROR(IF(F1374&lt;&gt;"pending","",IF(OR($B1374="",$B1374="(blank)"),"",VLOOKUP($B1374,'Email Marketing Raw Data'!$C:$O,11,0))),"")</f>
        <v/>
      </c>
      <c r="F1374" s="54" t="str">
        <f>IFERROR(IF(OR($B1374="",$B1374="(blank)"),"",VLOOKUP($B1374,'Email Marketing Raw Data'!$C:$O,13,0)),"")</f>
        <v/>
      </c>
      <c r="G1374" s="55" t="str">
        <f>IFERROR(IF(OR($B1374="",$B1374="(blank)"),"",VLOOKUP($B1374,'Email Marketing Raw Data'!$C:$O,4,0)),"")</f>
        <v/>
      </c>
      <c r="H1374" s="55" t="str">
        <f>IFERROR(IF(OR($B1374="",$B1374="(blank)"),"",VLOOKUP($B1374,'Email Marketing Raw Data'!$C:$O,5,0)),"")</f>
        <v/>
      </c>
      <c r="I1374" s="55" t="str">
        <f>IFERROR(IF($G1374="","",VLOOKUP('Dashboard And Emails Automate'!$G1374,Database!$H:$N,3,0)),"")</f>
        <v/>
      </c>
      <c r="J1374" s="55" t="str">
        <f>IFERROR(IF($G1374="","",VLOOKUP('Dashboard And Emails Automate'!$G1374,Database!$H:$N,4,0)),"")</f>
        <v/>
      </c>
      <c r="K1374" s="55" t="str">
        <f>IFERROR(IF($G1374="","",VLOOKUP('Dashboard And Emails Automate'!$G1374,Database!$H:$N,5,0)),"")</f>
        <v/>
      </c>
      <c r="L1374" s="55" t="str">
        <f>IFERROR(IF($G1374="","",VLOOKUP('Dashboard And Emails Automate'!$G1374,Database!$H:$N,6,0)),"")</f>
        <v/>
      </c>
      <c r="M1374" s="55" t="str">
        <f>IFERROR(IF($G1374="","",VLOOKUP('Dashboard And Emails Automate'!$G1374,Database!$H:$N,7,0)),"")</f>
        <v/>
      </c>
      <c r="N1374" s="55" t="str">
        <f>IFERROR(IF(OR($B1374="",$B1374="(blank)"),"",VLOOKUP($B1374,'Email Marketing Raw Data'!$C:$O,6,0)),"")</f>
        <v/>
      </c>
      <c r="O1374" s="55" t="str">
        <f>IFERROR(IF(OR($B1374="",$B1374="(blank)"),"",VLOOKUP($B1374,'Email Marketing Raw Data'!$C:$O,7,0)),"")</f>
        <v/>
      </c>
      <c r="P1374" s="55" t="str">
        <f>IFERROR(IF(OR($B1374="",$B1374="(blank)"),"",VLOOKUP($B1374,'Email Marketing Raw Data'!$C:$O,8,0)),"")</f>
        <v/>
      </c>
      <c r="Q1374" s="62" t="str">
        <f>IFERROR(IF(OR($B1374="",$B1374="(blank)"),"",VLOOKUP($B1374,'Email Marketing Raw Data'!$C:$O,9,0)),"")</f>
        <v/>
      </c>
    </row>
    <row r="1375" spans="4:17" ht="12.75" customHeight="1" x14ac:dyDescent="0.2">
      <c r="D1375" s="58" t="str">
        <f>IFERROR(IF(F1375&lt;&gt;"pending","",IF(OR($B1375="",$B1375="(blank)"),"",VLOOKUP($B1375,'Email Marketing Raw Data'!$C:$O,10,0))),"")</f>
        <v/>
      </c>
      <c r="E1375" s="59" t="str">
        <f>IFERROR(IF(F1375&lt;&gt;"pending","",IF(OR($B1375="",$B1375="(blank)"),"",VLOOKUP($B1375,'Email Marketing Raw Data'!$C:$O,11,0))),"")</f>
        <v/>
      </c>
      <c r="F1375" s="54" t="str">
        <f>IFERROR(IF(OR($B1375="",$B1375="(blank)"),"",VLOOKUP($B1375,'Email Marketing Raw Data'!$C:$O,13,0)),"")</f>
        <v/>
      </c>
      <c r="G1375" s="55" t="str">
        <f>IFERROR(IF(OR($B1375="",$B1375="(blank)"),"",VLOOKUP($B1375,'Email Marketing Raw Data'!$C:$O,4,0)),"")</f>
        <v/>
      </c>
      <c r="H1375" s="55" t="str">
        <f>IFERROR(IF(OR($B1375="",$B1375="(blank)"),"",VLOOKUP($B1375,'Email Marketing Raw Data'!$C:$O,5,0)),"")</f>
        <v/>
      </c>
      <c r="I1375" s="55" t="str">
        <f>IFERROR(IF($G1375="","",VLOOKUP('Dashboard And Emails Automate'!$G1375,Database!$H:$N,3,0)),"")</f>
        <v/>
      </c>
      <c r="J1375" s="55" t="str">
        <f>IFERROR(IF($G1375="","",VLOOKUP('Dashboard And Emails Automate'!$G1375,Database!$H:$N,4,0)),"")</f>
        <v/>
      </c>
      <c r="K1375" s="55" t="str">
        <f>IFERROR(IF($G1375="","",VLOOKUP('Dashboard And Emails Automate'!$G1375,Database!$H:$N,5,0)),"")</f>
        <v/>
      </c>
      <c r="L1375" s="55" t="str">
        <f>IFERROR(IF($G1375="","",VLOOKUP('Dashboard And Emails Automate'!$G1375,Database!$H:$N,6,0)),"")</f>
        <v/>
      </c>
      <c r="M1375" s="55" t="str">
        <f>IFERROR(IF($G1375="","",VLOOKUP('Dashboard And Emails Automate'!$G1375,Database!$H:$N,7,0)),"")</f>
        <v/>
      </c>
      <c r="N1375" s="55" t="str">
        <f>IFERROR(IF(OR($B1375="",$B1375="(blank)"),"",VLOOKUP($B1375,'Email Marketing Raw Data'!$C:$O,6,0)),"")</f>
        <v/>
      </c>
      <c r="O1375" s="55" t="str">
        <f>IFERROR(IF(OR($B1375="",$B1375="(blank)"),"",VLOOKUP($B1375,'Email Marketing Raw Data'!$C:$O,7,0)),"")</f>
        <v/>
      </c>
      <c r="P1375" s="55" t="str">
        <f>IFERROR(IF(OR($B1375="",$B1375="(blank)"),"",VLOOKUP($B1375,'Email Marketing Raw Data'!$C:$O,8,0)),"")</f>
        <v/>
      </c>
      <c r="Q1375" s="62" t="str">
        <f>IFERROR(IF(OR($B1375="",$B1375="(blank)"),"",VLOOKUP($B1375,'Email Marketing Raw Data'!$C:$O,9,0)),"")</f>
        <v/>
      </c>
    </row>
    <row r="1376" spans="4:17" ht="12.75" customHeight="1" x14ac:dyDescent="0.2">
      <c r="D1376" s="58" t="str">
        <f>IFERROR(IF(F1376&lt;&gt;"pending","",IF(OR($B1376="",$B1376="(blank)"),"",VLOOKUP($B1376,'Email Marketing Raw Data'!$C:$O,10,0))),"")</f>
        <v/>
      </c>
      <c r="E1376" s="59" t="str">
        <f>IFERROR(IF(F1376&lt;&gt;"pending","",IF(OR($B1376="",$B1376="(blank)"),"",VLOOKUP($B1376,'Email Marketing Raw Data'!$C:$O,11,0))),"")</f>
        <v/>
      </c>
      <c r="F1376" s="54" t="str">
        <f>IFERROR(IF(OR($B1376="",$B1376="(blank)"),"",VLOOKUP($B1376,'Email Marketing Raw Data'!$C:$O,13,0)),"")</f>
        <v/>
      </c>
      <c r="G1376" s="55" t="str">
        <f>IFERROR(IF(OR($B1376="",$B1376="(blank)"),"",VLOOKUP($B1376,'Email Marketing Raw Data'!$C:$O,4,0)),"")</f>
        <v/>
      </c>
      <c r="H1376" s="55" t="str">
        <f>IFERROR(IF(OR($B1376="",$B1376="(blank)"),"",VLOOKUP($B1376,'Email Marketing Raw Data'!$C:$O,5,0)),"")</f>
        <v/>
      </c>
      <c r="I1376" s="55" t="str">
        <f>IFERROR(IF($G1376="","",VLOOKUP('Dashboard And Emails Automate'!$G1376,Database!$H:$N,3,0)),"")</f>
        <v/>
      </c>
      <c r="J1376" s="55" t="str">
        <f>IFERROR(IF($G1376="","",VLOOKUP('Dashboard And Emails Automate'!$G1376,Database!$H:$N,4,0)),"")</f>
        <v/>
      </c>
      <c r="K1376" s="55" t="str">
        <f>IFERROR(IF($G1376="","",VLOOKUP('Dashboard And Emails Automate'!$G1376,Database!$H:$N,5,0)),"")</f>
        <v/>
      </c>
      <c r="L1376" s="55" t="str">
        <f>IFERROR(IF($G1376="","",VLOOKUP('Dashboard And Emails Automate'!$G1376,Database!$H:$N,6,0)),"")</f>
        <v/>
      </c>
      <c r="M1376" s="55" t="str">
        <f>IFERROR(IF($G1376="","",VLOOKUP('Dashboard And Emails Automate'!$G1376,Database!$H:$N,7,0)),"")</f>
        <v/>
      </c>
      <c r="N1376" s="55" t="str">
        <f>IFERROR(IF(OR($B1376="",$B1376="(blank)"),"",VLOOKUP($B1376,'Email Marketing Raw Data'!$C:$O,6,0)),"")</f>
        <v/>
      </c>
      <c r="O1376" s="55" t="str">
        <f>IFERROR(IF(OR($B1376="",$B1376="(blank)"),"",VLOOKUP($B1376,'Email Marketing Raw Data'!$C:$O,7,0)),"")</f>
        <v/>
      </c>
      <c r="P1376" s="55" t="str">
        <f>IFERROR(IF(OR($B1376="",$B1376="(blank)"),"",VLOOKUP($B1376,'Email Marketing Raw Data'!$C:$O,8,0)),"")</f>
        <v/>
      </c>
      <c r="Q1376" s="62" t="str">
        <f>IFERROR(IF(OR($B1376="",$B1376="(blank)"),"",VLOOKUP($B1376,'Email Marketing Raw Data'!$C:$O,9,0)),"")</f>
        <v/>
      </c>
    </row>
    <row r="1377" spans="4:17" ht="12.75" customHeight="1" x14ac:dyDescent="0.2">
      <c r="D1377" s="58" t="str">
        <f>IFERROR(IF(F1377&lt;&gt;"pending","",IF(OR($B1377="",$B1377="(blank)"),"",VLOOKUP($B1377,'Email Marketing Raw Data'!$C:$O,10,0))),"")</f>
        <v/>
      </c>
      <c r="E1377" s="59" t="str">
        <f>IFERROR(IF(F1377&lt;&gt;"pending","",IF(OR($B1377="",$B1377="(blank)"),"",VLOOKUP($B1377,'Email Marketing Raw Data'!$C:$O,11,0))),"")</f>
        <v/>
      </c>
      <c r="F1377" s="54" t="str">
        <f>IFERROR(IF(OR($B1377="",$B1377="(blank)"),"",VLOOKUP($B1377,'Email Marketing Raw Data'!$C:$O,13,0)),"")</f>
        <v/>
      </c>
      <c r="G1377" s="55" t="str">
        <f>IFERROR(IF(OR($B1377="",$B1377="(blank)"),"",VLOOKUP($B1377,'Email Marketing Raw Data'!$C:$O,4,0)),"")</f>
        <v/>
      </c>
      <c r="H1377" s="55" t="str">
        <f>IFERROR(IF(OR($B1377="",$B1377="(blank)"),"",VLOOKUP($B1377,'Email Marketing Raw Data'!$C:$O,5,0)),"")</f>
        <v/>
      </c>
      <c r="I1377" s="55" t="str">
        <f>IFERROR(IF($G1377="","",VLOOKUP('Dashboard And Emails Automate'!$G1377,Database!$H:$N,3,0)),"")</f>
        <v/>
      </c>
      <c r="J1377" s="55" t="str">
        <f>IFERROR(IF($G1377="","",VLOOKUP('Dashboard And Emails Automate'!$G1377,Database!$H:$N,4,0)),"")</f>
        <v/>
      </c>
      <c r="K1377" s="55" t="str">
        <f>IFERROR(IF($G1377="","",VLOOKUP('Dashboard And Emails Automate'!$G1377,Database!$H:$N,5,0)),"")</f>
        <v/>
      </c>
      <c r="L1377" s="55" t="str">
        <f>IFERROR(IF($G1377="","",VLOOKUP('Dashboard And Emails Automate'!$G1377,Database!$H:$N,6,0)),"")</f>
        <v/>
      </c>
      <c r="M1377" s="55" t="str">
        <f>IFERROR(IF($G1377="","",VLOOKUP('Dashboard And Emails Automate'!$G1377,Database!$H:$N,7,0)),"")</f>
        <v/>
      </c>
      <c r="N1377" s="55" t="str">
        <f>IFERROR(IF(OR($B1377="",$B1377="(blank)"),"",VLOOKUP($B1377,'Email Marketing Raw Data'!$C:$O,6,0)),"")</f>
        <v/>
      </c>
      <c r="O1377" s="55" t="str">
        <f>IFERROR(IF(OR($B1377="",$B1377="(blank)"),"",VLOOKUP($B1377,'Email Marketing Raw Data'!$C:$O,7,0)),"")</f>
        <v/>
      </c>
      <c r="P1377" s="55" t="str">
        <f>IFERROR(IF(OR($B1377="",$B1377="(blank)"),"",VLOOKUP($B1377,'Email Marketing Raw Data'!$C:$O,8,0)),"")</f>
        <v/>
      </c>
      <c r="Q1377" s="62" t="str">
        <f>IFERROR(IF(OR($B1377="",$B1377="(blank)"),"",VLOOKUP($B1377,'Email Marketing Raw Data'!$C:$O,9,0)),"")</f>
        <v/>
      </c>
    </row>
    <row r="1378" spans="4:17" ht="12.75" customHeight="1" x14ac:dyDescent="0.2">
      <c r="D1378" s="58" t="str">
        <f>IFERROR(IF(F1378&lt;&gt;"pending","",IF(OR($B1378="",$B1378="(blank)"),"",VLOOKUP($B1378,'Email Marketing Raw Data'!$C:$O,10,0))),"")</f>
        <v/>
      </c>
      <c r="E1378" s="59" t="str">
        <f>IFERROR(IF(F1378&lt;&gt;"pending","",IF(OR($B1378="",$B1378="(blank)"),"",VLOOKUP($B1378,'Email Marketing Raw Data'!$C:$O,11,0))),"")</f>
        <v/>
      </c>
      <c r="F1378" s="54" t="str">
        <f>IFERROR(IF(OR($B1378="",$B1378="(blank)"),"",VLOOKUP($B1378,'Email Marketing Raw Data'!$C:$O,13,0)),"")</f>
        <v/>
      </c>
      <c r="G1378" s="55" t="str">
        <f>IFERROR(IF(OR($B1378="",$B1378="(blank)"),"",VLOOKUP($B1378,'Email Marketing Raw Data'!$C:$O,4,0)),"")</f>
        <v/>
      </c>
      <c r="H1378" s="55" t="str">
        <f>IFERROR(IF(OR($B1378="",$B1378="(blank)"),"",VLOOKUP($B1378,'Email Marketing Raw Data'!$C:$O,5,0)),"")</f>
        <v/>
      </c>
      <c r="I1378" s="55" t="str">
        <f>IFERROR(IF($G1378="","",VLOOKUP('Dashboard And Emails Automate'!$G1378,Database!$H:$N,3,0)),"")</f>
        <v/>
      </c>
      <c r="J1378" s="55" t="str">
        <f>IFERROR(IF($G1378="","",VLOOKUP('Dashboard And Emails Automate'!$G1378,Database!$H:$N,4,0)),"")</f>
        <v/>
      </c>
      <c r="K1378" s="55" t="str">
        <f>IFERROR(IF($G1378="","",VLOOKUP('Dashboard And Emails Automate'!$G1378,Database!$H:$N,5,0)),"")</f>
        <v/>
      </c>
      <c r="L1378" s="55" t="str">
        <f>IFERROR(IF($G1378="","",VLOOKUP('Dashboard And Emails Automate'!$G1378,Database!$H:$N,6,0)),"")</f>
        <v/>
      </c>
      <c r="M1378" s="55" t="str">
        <f>IFERROR(IF($G1378="","",VLOOKUP('Dashboard And Emails Automate'!$G1378,Database!$H:$N,7,0)),"")</f>
        <v/>
      </c>
      <c r="N1378" s="55" t="str">
        <f>IFERROR(IF(OR($B1378="",$B1378="(blank)"),"",VLOOKUP($B1378,'Email Marketing Raw Data'!$C:$O,6,0)),"")</f>
        <v/>
      </c>
      <c r="O1378" s="55" t="str">
        <f>IFERROR(IF(OR($B1378="",$B1378="(blank)"),"",VLOOKUP($B1378,'Email Marketing Raw Data'!$C:$O,7,0)),"")</f>
        <v/>
      </c>
      <c r="P1378" s="55" t="str">
        <f>IFERROR(IF(OR($B1378="",$B1378="(blank)"),"",VLOOKUP($B1378,'Email Marketing Raw Data'!$C:$O,8,0)),"")</f>
        <v/>
      </c>
      <c r="Q1378" s="62" t="str">
        <f>IFERROR(IF(OR($B1378="",$B1378="(blank)"),"",VLOOKUP($B1378,'Email Marketing Raw Data'!$C:$O,9,0)),"")</f>
        <v/>
      </c>
    </row>
    <row r="1379" spans="4:17" ht="12.75" customHeight="1" x14ac:dyDescent="0.2">
      <c r="D1379" s="58" t="str">
        <f>IFERROR(IF(F1379&lt;&gt;"pending","",IF(OR($B1379="",$B1379="(blank)"),"",VLOOKUP($B1379,'Email Marketing Raw Data'!$C:$O,10,0))),"")</f>
        <v/>
      </c>
      <c r="E1379" s="59" t="str">
        <f>IFERROR(IF(F1379&lt;&gt;"pending","",IF(OR($B1379="",$B1379="(blank)"),"",VLOOKUP($B1379,'Email Marketing Raw Data'!$C:$O,11,0))),"")</f>
        <v/>
      </c>
      <c r="F1379" s="54" t="str">
        <f>IFERROR(IF(OR($B1379="",$B1379="(blank)"),"",VLOOKUP($B1379,'Email Marketing Raw Data'!$C:$O,13,0)),"")</f>
        <v/>
      </c>
      <c r="G1379" s="55" t="str">
        <f>IFERROR(IF(OR($B1379="",$B1379="(blank)"),"",VLOOKUP($B1379,'Email Marketing Raw Data'!$C:$O,4,0)),"")</f>
        <v/>
      </c>
      <c r="H1379" s="55" t="str">
        <f>IFERROR(IF(OR($B1379="",$B1379="(blank)"),"",VLOOKUP($B1379,'Email Marketing Raw Data'!$C:$O,5,0)),"")</f>
        <v/>
      </c>
      <c r="I1379" s="55" t="str">
        <f>IFERROR(IF($G1379="","",VLOOKUP('Dashboard And Emails Automate'!$G1379,Database!$H:$N,3,0)),"")</f>
        <v/>
      </c>
      <c r="J1379" s="55" t="str">
        <f>IFERROR(IF($G1379="","",VLOOKUP('Dashboard And Emails Automate'!$G1379,Database!$H:$N,4,0)),"")</f>
        <v/>
      </c>
      <c r="K1379" s="55" t="str">
        <f>IFERROR(IF($G1379="","",VLOOKUP('Dashboard And Emails Automate'!$G1379,Database!$H:$N,5,0)),"")</f>
        <v/>
      </c>
      <c r="L1379" s="55" t="str">
        <f>IFERROR(IF($G1379="","",VLOOKUP('Dashboard And Emails Automate'!$G1379,Database!$H:$N,6,0)),"")</f>
        <v/>
      </c>
      <c r="M1379" s="55" t="str">
        <f>IFERROR(IF($G1379="","",VLOOKUP('Dashboard And Emails Automate'!$G1379,Database!$H:$N,7,0)),"")</f>
        <v/>
      </c>
      <c r="N1379" s="55" t="str">
        <f>IFERROR(IF(OR($B1379="",$B1379="(blank)"),"",VLOOKUP($B1379,'Email Marketing Raw Data'!$C:$O,6,0)),"")</f>
        <v/>
      </c>
      <c r="O1379" s="55" t="str">
        <f>IFERROR(IF(OR($B1379="",$B1379="(blank)"),"",VLOOKUP($B1379,'Email Marketing Raw Data'!$C:$O,7,0)),"")</f>
        <v/>
      </c>
      <c r="P1379" s="55" t="str">
        <f>IFERROR(IF(OR($B1379="",$B1379="(blank)"),"",VLOOKUP($B1379,'Email Marketing Raw Data'!$C:$O,8,0)),"")</f>
        <v/>
      </c>
      <c r="Q1379" s="62" t="str">
        <f>IFERROR(IF(OR($B1379="",$B1379="(blank)"),"",VLOOKUP($B1379,'Email Marketing Raw Data'!$C:$O,9,0)),"")</f>
        <v/>
      </c>
    </row>
    <row r="1380" spans="4:17" ht="12.75" customHeight="1" x14ac:dyDescent="0.2">
      <c r="D1380" s="58" t="str">
        <f>IFERROR(IF(F1380&lt;&gt;"pending","",IF(OR($B1380="",$B1380="(blank)"),"",VLOOKUP($B1380,'Email Marketing Raw Data'!$C:$O,10,0))),"")</f>
        <v/>
      </c>
      <c r="E1380" s="59" t="str">
        <f>IFERROR(IF(F1380&lt;&gt;"pending","",IF(OR($B1380="",$B1380="(blank)"),"",VLOOKUP($B1380,'Email Marketing Raw Data'!$C:$O,11,0))),"")</f>
        <v/>
      </c>
      <c r="F1380" s="54" t="str">
        <f>IFERROR(IF(OR($B1380="",$B1380="(blank)"),"",VLOOKUP($B1380,'Email Marketing Raw Data'!$C:$O,13,0)),"")</f>
        <v/>
      </c>
      <c r="G1380" s="55" t="str">
        <f>IFERROR(IF(OR($B1380="",$B1380="(blank)"),"",VLOOKUP($B1380,'Email Marketing Raw Data'!$C:$O,4,0)),"")</f>
        <v/>
      </c>
      <c r="H1380" s="55" t="str">
        <f>IFERROR(IF(OR($B1380="",$B1380="(blank)"),"",VLOOKUP($B1380,'Email Marketing Raw Data'!$C:$O,5,0)),"")</f>
        <v/>
      </c>
      <c r="I1380" s="55" t="str">
        <f>IFERROR(IF($G1380="","",VLOOKUP('Dashboard And Emails Automate'!$G1380,Database!$H:$N,3,0)),"")</f>
        <v/>
      </c>
      <c r="J1380" s="55" t="str">
        <f>IFERROR(IF($G1380="","",VLOOKUP('Dashboard And Emails Automate'!$G1380,Database!$H:$N,4,0)),"")</f>
        <v/>
      </c>
      <c r="K1380" s="55" t="str">
        <f>IFERROR(IF($G1380="","",VLOOKUP('Dashboard And Emails Automate'!$G1380,Database!$H:$N,5,0)),"")</f>
        <v/>
      </c>
      <c r="L1380" s="55" t="str">
        <f>IFERROR(IF($G1380="","",VLOOKUP('Dashboard And Emails Automate'!$G1380,Database!$H:$N,6,0)),"")</f>
        <v/>
      </c>
      <c r="M1380" s="55" t="str">
        <f>IFERROR(IF($G1380="","",VLOOKUP('Dashboard And Emails Automate'!$G1380,Database!$H:$N,7,0)),"")</f>
        <v/>
      </c>
      <c r="N1380" s="55" t="str">
        <f>IFERROR(IF(OR($B1380="",$B1380="(blank)"),"",VLOOKUP($B1380,'Email Marketing Raw Data'!$C:$O,6,0)),"")</f>
        <v/>
      </c>
      <c r="O1380" s="55" t="str">
        <f>IFERROR(IF(OR($B1380="",$B1380="(blank)"),"",VLOOKUP($B1380,'Email Marketing Raw Data'!$C:$O,7,0)),"")</f>
        <v/>
      </c>
      <c r="P1380" s="55" t="str">
        <f>IFERROR(IF(OR($B1380="",$B1380="(blank)"),"",VLOOKUP($B1380,'Email Marketing Raw Data'!$C:$O,8,0)),"")</f>
        <v/>
      </c>
      <c r="Q1380" s="62" t="str">
        <f>IFERROR(IF(OR($B1380="",$B1380="(blank)"),"",VLOOKUP($B1380,'Email Marketing Raw Data'!$C:$O,9,0)),"")</f>
        <v/>
      </c>
    </row>
    <row r="1381" spans="4:17" ht="12.75" customHeight="1" x14ac:dyDescent="0.2">
      <c r="D1381" s="58" t="str">
        <f>IFERROR(IF(F1381&lt;&gt;"pending","",IF(OR($B1381="",$B1381="(blank)"),"",VLOOKUP($B1381,'Email Marketing Raw Data'!$C:$O,10,0))),"")</f>
        <v/>
      </c>
      <c r="E1381" s="59" t="str">
        <f>IFERROR(IF(F1381&lt;&gt;"pending","",IF(OR($B1381="",$B1381="(blank)"),"",VLOOKUP($B1381,'Email Marketing Raw Data'!$C:$O,11,0))),"")</f>
        <v/>
      </c>
      <c r="F1381" s="54" t="str">
        <f>IFERROR(IF(OR($B1381="",$B1381="(blank)"),"",VLOOKUP($B1381,'Email Marketing Raw Data'!$C:$O,13,0)),"")</f>
        <v/>
      </c>
      <c r="G1381" s="55" t="str">
        <f>IFERROR(IF(OR($B1381="",$B1381="(blank)"),"",VLOOKUP($B1381,'Email Marketing Raw Data'!$C:$O,4,0)),"")</f>
        <v/>
      </c>
      <c r="H1381" s="55" t="str">
        <f>IFERROR(IF(OR($B1381="",$B1381="(blank)"),"",VLOOKUP($B1381,'Email Marketing Raw Data'!$C:$O,5,0)),"")</f>
        <v/>
      </c>
      <c r="I1381" s="55" t="str">
        <f>IFERROR(IF($G1381="","",VLOOKUP('Dashboard And Emails Automate'!$G1381,Database!$H:$N,3,0)),"")</f>
        <v/>
      </c>
      <c r="J1381" s="55" t="str">
        <f>IFERROR(IF($G1381="","",VLOOKUP('Dashboard And Emails Automate'!$G1381,Database!$H:$N,4,0)),"")</f>
        <v/>
      </c>
      <c r="K1381" s="55" t="str">
        <f>IFERROR(IF($G1381="","",VLOOKUP('Dashboard And Emails Automate'!$G1381,Database!$H:$N,5,0)),"")</f>
        <v/>
      </c>
      <c r="L1381" s="55" t="str">
        <f>IFERROR(IF($G1381="","",VLOOKUP('Dashboard And Emails Automate'!$G1381,Database!$H:$N,6,0)),"")</f>
        <v/>
      </c>
      <c r="M1381" s="55" t="str">
        <f>IFERROR(IF($G1381="","",VLOOKUP('Dashboard And Emails Automate'!$G1381,Database!$H:$N,7,0)),"")</f>
        <v/>
      </c>
      <c r="N1381" s="55" t="str">
        <f>IFERROR(IF(OR($B1381="",$B1381="(blank)"),"",VLOOKUP($B1381,'Email Marketing Raw Data'!$C:$O,6,0)),"")</f>
        <v/>
      </c>
      <c r="O1381" s="55" t="str">
        <f>IFERROR(IF(OR($B1381="",$B1381="(blank)"),"",VLOOKUP($B1381,'Email Marketing Raw Data'!$C:$O,7,0)),"")</f>
        <v/>
      </c>
      <c r="P1381" s="55" t="str">
        <f>IFERROR(IF(OR($B1381="",$B1381="(blank)"),"",VLOOKUP($B1381,'Email Marketing Raw Data'!$C:$O,8,0)),"")</f>
        <v/>
      </c>
      <c r="Q1381" s="62" t="str">
        <f>IFERROR(IF(OR($B1381="",$B1381="(blank)"),"",VLOOKUP($B1381,'Email Marketing Raw Data'!$C:$O,9,0)),"")</f>
        <v/>
      </c>
    </row>
    <row r="1382" spans="4:17" ht="12.75" customHeight="1" x14ac:dyDescent="0.2">
      <c r="D1382" s="58" t="str">
        <f>IFERROR(IF(F1382&lt;&gt;"pending","",IF(OR($B1382="",$B1382="(blank)"),"",VLOOKUP($B1382,'Email Marketing Raw Data'!$C:$O,10,0))),"")</f>
        <v/>
      </c>
      <c r="E1382" s="59" t="str">
        <f>IFERROR(IF(F1382&lt;&gt;"pending","",IF(OR($B1382="",$B1382="(blank)"),"",VLOOKUP($B1382,'Email Marketing Raw Data'!$C:$O,11,0))),"")</f>
        <v/>
      </c>
      <c r="F1382" s="54" t="str">
        <f>IFERROR(IF(OR($B1382="",$B1382="(blank)"),"",VLOOKUP($B1382,'Email Marketing Raw Data'!$C:$O,13,0)),"")</f>
        <v/>
      </c>
      <c r="G1382" s="55" t="str">
        <f>IFERROR(IF(OR($B1382="",$B1382="(blank)"),"",VLOOKUP($B1382,'Email Marketing Raw Data'!$C:$O,4,0)),"")</f>
        <v/>
      </c>
      <c r="H1382" s="55" t="str">
        <f>IFERROR(IF(OR($B1382="",$B1382="(blank)"),"",VLOOKUP($B1382,'Email Marketing Raw Data'!$C:$O,5,0)),"")</f>
        <v/>
      </c>
      <c r="I1382" s="55" t="str">
        <f>IFERROR(IF($G1382="","",VLOOKUP('Dashboard And Emails Automate'!$G1382,Database!$H:$N,3,0)),"")</f>
        <v/>
      </c>
      <c r="J1382" s="55" t="str">
        <f>IFERROR(IF($G1382="","",VLOOKUP('Dashboard And Emails Automate'!$G1382,Database!$H:$N,4,0)),"")</f>
        <v/>
      </c>
      <c r="K1382" s="55" t="str">
        <f>IFERROR(IF($G1382="","",VLOOKUP('Dashboard And Emails Automate'!$G1382,Database!$H:$N,5,0)),"")</f>
        <v/>
      </c>
      <c r="L1382" s="55" t="str">
        <f>IFERROR(IF($G1382="","",VLOOKUP('Dashboard And Emails Automate'!$G1382,Database!$H:$N,6,0)),"")</f>
        <v/>
      </c>
      <c r="M1382" s="55" t="str">
        <f>IFERROR(IF($G1382="","",VLOOKUP('Dashboard And Emails Automate'!$G1382,Database!$H:$N,7,0)),"")</f>
        <v/>
      </c>
      <c r="N1382" s="55" t="str">
        <f>IFERROR(IF(OR($B1382="",$B1382="(blank)"),"",VLOOKUP($B1382,'Email Marketing Raw Data'!$C:$O,6,0)),"")</f>
        <v/>
      </c>
      <c r="O1382" s="55" t="str">
        <f>IFERROR(IF(OR($B1382="",$B1382="(blank)"),"",VLOOKUP($B1382,'Email Marketing Raw Data'!$C:$O,7,0)),"")</f>
        <v/>
      </c>
      <c r="P1382" s="55" t="str">
        <f>IFERROR(IF(OR($B1382="",$B1382="(blank)"),"",VLOOKUP($B1382,'Email Marketing Raw Data'!$C:$O,8,0)),"")</f>
        <v/>
      </c>
      <c r="Q1382" s="62" t="str">
        <f>IFERROR(IF(OR($B1382="",$B1382="(blank)"),"",VLOOKUP($B1382,'Email Marketing Raw Data'!$C:$O,9,0)),"")</f>
        <v/>
      </c>
    </row>
    <row r="1383" spans="4:17" ht="12.75" customHeight="1" x14ac:dyDescent="0.2">
      <c r="D1383" s="58" t="str">
        <f>IFERROR(IF(F1383&lt;&gt;"pending","",IF(OR($B1383="",$B1383="(blank)"),"",VLOOKUP($B1383,'Email Marketing Raw Data'!$C:$O,10,0))),"")</f>
        <v/>
      </c>
      <c r="E1383" s="59" t="str">
        <f>IFERROR(IF(F1383&lt;&gt;"pending","",IF(OR($B1383="",$B1383="(blank)"),"",VLOOKUP($B1383,'Email Marketing Raw Data'!$C:$O,11,0))),"")</f>
        <v/>
      </c>
      <c r="F1383" s="54" t="str">
        <f>IFERROR(IF(OR($B1383="",$B1383="(blank)"),"",VLOOKUP($B1383,'Email Marketing Raw Data'!$C:$O,13,0)),"")</f>
        <v/>
      </c>
      <c r="G1383" s="55" t="str">
        <f>IFERROR(IF(OR($B1383="",$B1383="(blank)"),"",VLOOKUP($B1383,'Email Marketing Raw Data'!$C:$O,4,0)),"")</f>
        <v/>
      </c>
      <c r="H1383" s="55" t="str">
        <f>IFERROR(IF(OR($B1383="",$B1383="(blank)"),"",VLOOKUP($B1383,'Email Marketing Raw Data'!$C:$O,5,0)),"")</f>
        <v/>
      </c>
      <c r="I1383" s="55" t="str">
        <f>IFERROR(IF($G1383="","",VLOOKUP('Dashboard And Emails Automate'!$G1383,Database!$H:$N,3,0)),"")</f>
        <v/>
      </c>
      <c r="J1383" s="55" t="str">
        <f>IFERROR(IF($G1383="","",VLOOKUP('Dashboard And Emails Automate'!$G1383,Database!$H:$N,4,0)),"")</f>
        <v/>
      </c>
      <c r="K1383" s="55" t="str">
        <f>IFERROR(IF($G1383="","",VLOOKUP('Dashboard And Emails Automate'!$G1383,Database!$H:$N,5,0)),"")</f>
        <v/>
      </c>
      <c r="L1383" s="55" t="str">
        <f>IFERROR(IF($G1383="","",VLOOKUP('Dashboard And Emails Automate'!$G1383,Database!$H:$N,6,0)),"")</f>
        <v/>
      </c>
      <c r="M1383" s="55" t="str">
        <f>IFERROR(IF($G1383="","",VLOOKUP('Dashboard And Emails Automate'!$G1383,Database!$H:$N,7,0)),"")</f>
        <v/>
      </c>
      <c r="N1383" s="55" t="str">
        <f>IFERROR(IF(OR($B1383="",$B1383="(blank)"),"",VLOOKUP($B1383,'Email Marketing Raw Data'!$C:$O,6,0)),"")</f>
        <v/>
      </c>
      <c r="O1383" s="55" t="str">
        <f>IFERROR(IF(OR($B1383="",$B1383="(blank)"),"",VLOOKUP($B1383,'Email Marketing Raw Data'!$C:$O,7,0)),"")</f>
        <v/>
      </c>
      <c r="P1383" s="55" t="str">
        <f>IFERROR(IF(OR($B1383="",$B1383="(blank)"),"",VLOOKUP($B1383,'Email Marketing Raw Data'!$C:$O,8,0)),"")</f>
        <v/>
      </c>
      <c r="Q1383" s="62" t="str">
        <f>IFERROR(IF(OR($B1383="",$B1383="(blank)"),"",VLOOKUP($B1383,'Email Marketing Raw Data'!$C:$O,9,0)),"")</f>
        <v/>
      </c>
    </row>
    <row r="1384" spans="4:17" ht="12.75" customHeight="1" x14ac:dyDescent="0.2">
      <c r="D1384" s="58" t="str">
        <f>IFERROR(IF(F1384&lt;&gt;"pending","",IF(OR($B1384="",$B1384="(blank)"),"",VLOOKUP($B1384,'Email Marketing Raw Data'!$C:$O,10,0))),"")</f>
        <v/>
      </c>
      <c r="E1384" s="59" t="str">
        <f>IFERROR(IF(F1384&lt;&gt;"pending","",IF(OR($B1384="",$B1384="(blank)"),"",VLOOKUP($B1384,'Email Marketing Raw Data'!$C:$O,11,0))),"")</f>
        <v/>
      </c>
      <c r="F1384" s="54" t="str">
        <f>IFERROR(IF(OR($B1384="",$B1384="(blank)"),"",VLOOKUP($B1384,'Email Marketing Raw Data'!$C:$O,13,0)),"")</f>
        <v/>
      </c>
      <c r="G1384" s="55" t="str">
        <f>IFERROR(IF(OR($B1384="",$B1384="(blank)"),"",VLOOKUP($B1384,'Email Marketing Raw Data'!$C:$O,4,0)),"")</f>
        <v/>
      </c>
      <c r="H1384" s="55" t="str">
        <f>IFERROR(IF(OR($B1384="",$B1384="(blank)"),"",VLOOKUP($B1384,'Email Marketing Raw Data'!$C:$O,5,0)),"")</f>
        <v/>
      </c>
      <c r="I1384" s="55" t="str">
        <f>IFERROR(IF($G1384="","",VLOOKUP('Dashboard And Emails Automate'!$G1384,Database!$H:$N,3,0)),"")</f>
        <v/>
      </c>
      <c r="J1384" s="55" t="str">
        <f>IFERROR(IF($G1384="","",VLOOKUP('Dashboard And Emails Automate'!$G1384,Database!$H:$N,4,0)),"")</f>
        <v/>
      </c>
      <c r="K1384" s="55" t="str">
        <f>IFERROR(IF($G1384="","",VLOOKUP('Dashboard And Emails Automate'!$G1384,Database!$H:$N,5,0)),"")</f>
        <v/>
      </c>
      <c r="L1384" s="55" t="str">
        <f>IFERROR(IF($G1384="","",VLOOKUP('Dashboard And Emails Automate'!$G1384,Database!$H:$N,6,0)),"")</f>
        <v/>
      </c>
      <c r="M1384" s="55" t="str">
        <f>IFERROR(IF($G1384="","",VLOOKUP('Dashboard And Emails Automate'!$G1384,Database!$H:$N,7,0)),"")</f>
        <v/>
      </c>
      <c r="N1384" s="55" t="str">
        <f>IFERROR(IF(OR($B1384="",$B1384="(blank)"),"",VLOOKUP($B1384,'Email Marketing Raw Data'!$C:$O,6,0)),"")</f>
        <v/>
      </c>
      <c r="O1384" s="55" t="str">
        <f>IFERROR(IF(OR($B1384="",$B1384="(blank)"),"",VLOOKUP($B1384,'Email Marketing Raw Data'!$C:$O,7,0)),"")</f>
        <v/>
      </c>
      <c r="P1384" s="55" t="str">
        <f>IFERROR(IF(OR($B1384="",$B1384="(blank)"),"",VLOOKUP($B1384,'Email Marketing Raw Data'!$C:$O,8,0)),"")</f>
        <v/>
      </c>
      <c r="Q1384" s="62" t="str">
        <f>IFERROR(IF(OR($B1384="",$B1384="(blank)"),"",VLOOKUP($B1384,'Email Marketing Raw Data'!$C:$O,9,0)),"")</f>
        <v/>
      </c>
    </row>
    <row r="1385" spans="4:17" ht="12.75" customHeight="1" x14ac:dyDescent="0.2">
      <c r="D1385" s="58" t="str">
        <f>IFERROR(IF(F1385&lt;&gt;"pending","",IF(OR($B1385="",$B1385="(blank)"),"",VLOOKUP($B1385,'Email Marketing Raw Data'!$C:$O,10,0))),"")</f>
        <v/>
      </c>
      <c r="E1385" s="59" t="str">
        <f>IFERROR(IF(F1385&lt;&gt;"pending","",IF(OR($B1385="",$B1385="(blank)"),"",VLOOKUP($B1385,'Email Marketing Raw Data'!$C:$O,11,0))),"")</f>
        <v/>
      </c>
      <c r="F1385" s="54" t="str">
        <f>IFERROR(IF(OR($B1385="",$B1385="(blank)"),"",VLOOKUP($B1385,'Email Marketing Raw Data'!$C:$O,13,0)),"")</f>
        <v/>
      </c>
      <c r="G1385" s="55" t="str">
        <f>IFERROR(IF(OR($B1385="",$B1385="(blank)"),"",VLOOKUP($B1385,'Email Marketing Raw Data'!$C:$O,4,0)),"")</f>
        <v/>
      </c>
      <c r="H1385" s="55" t="str">
        <f>IFERROR(IF(OR($B1385="",$B1385="(blank)"),"",VLOOKUP($B1385,'Email Marketing Raw Data'!$C:$O,5,0)),"")</f>
        <v/>
      </c>
      <c r="I1385" s="55" t="str">
        <f>IFERROR(IF($G1385="","",VLOOKUP('Dashboard And Emails Automate'!$G1385,Database!$H:$N,3,0)),"")</f>
        <v/>
      </c>
      <c r="J1385" s="55" t="str">
        <f>IFERROR(IF($G1385="","",VLOOKUP('Dashboard And Emails Automate'!$G1385,Database!$H:$N,4,0)),"")</f>
        <v/>
      </c>
      <c r="K1385" s="55" t="str">
        <f>IFERROR(IF($G1385="","",VLOOKUP('Dashboard And Emails Automate'!$G1385,Database!$H:$N,5,0)),"")</f>
        <v/>
      </c>
      <c r="L1385" s="55" t="str">
        <f>IFERROR(IF($G1385="","",VLOOKUP('Dashboard And Emails Automate'!$G1385,Database!$H:$N,6,0)),"")</f>
        <v/>
      </c>
      <c r="M1385" s="55" t="str">
        <f>IFERROR(IF($G1385="","",VLOOKUP('Dashboard And Emails Automate'!$G1385,Database!$H:$N,7,0)),"")</f>
        <v/>
      </c>
      <c r="N1385" s="55" t="str">
        <f>IFERROR(IF(OR($B1385="",$B1385="(blank)"),"",VLOOKUP($B1385,'Email Marketing Raw Data'!$C:$O,6,0)),"")</f>
        <v/>
      </c>
      <c r="O1385" s="55" t="str">
        <f>IFERROR(IF(OR($B1385="",$B1385="(blank)"),"",VLOOKUP($B1385,'Email Marketing Raw Data'!$C:$O,7,0)),"")</f>
        <v/>
      </c>
      <c r="P1385" s="55" t="str">
        <f>IFERROR(IF(OR($B1385="",$B1385="(blank)"),"",VLOOKUP($B1385,'Email Marketing Raw Data'!$C:$O,8,0)),"")</f>
        <v/>
      </c>
      <c r="Q1385" s="62" t="str">
        <f>IFERROR(IF(OR($B1385="",$B1385="(blank)"),"",VLOOKUP($B1385,'Email Marketing Raw Data'!$C:$O,9,0)),"")</f>
        <v/>
      </c>
    </row>
    <row r="1386" spans="4:17" ht="12.75" customHeight="1" x14ac:dyDescent="0.2">
      <c r="D1386" s="58" t="str">
        <f>IFERROR(IF(F1386&lt;&gt;"pending","",IF(OR($B1386="",$B1386="(blank)"),"",VLOOKUP($B1386,'Email Marketing Raw Data'!$C:$O,10,0))),"")</f>
        <v/>
      </c>
      <c r="E1386" s="59" t="str">
        <f>IFERROR(IF(F1386&lt;&gt;"pending","",IF(OR($B1386="",$B1386="(blank)"),"",VLOOKUP($B1386,'Email Marketing Raw Data'!$C:$O,11,0))),"")</f>
        <v/>
      </c>
      <c r="F1386" s="54" t="str">
        <f>IFERROR(IF(OR($B1386="",$B1386="(blank)"),"",VLOOKUP($B1386,'Email Marketing Raw Data'!$C:$O,13,0)),"")</f>
        <v/>
      </c>
      <c r="G1386" s="55" t="str">
        <f>IFERROR(IF(OR($B1386="",$B1386="(blank)"),"",VLOOKUP($B1386,'Email Marketing Raw Data'!$C:$O,4,0)),"")</f>
        <v/>
      </c>
      <c r="H1386" s="55" t="str">
        <f>IFERROR(IF(OR($B1386="",$B1386="(blank)"),"",VLOOKUP($B1386,'Email Marketing Raw Data'!$C:$O,5,0)),"")</f>
        <v/>
      </c>
      <c r="I1386" s="55" t="str">
        <f>IFERROR(IF($G1386="","",VLOOKUP('Dashboard And Emails Automate'!$G1386,Database!$H:$N,3,0)),"")</f>
        <v/>
      </c>
      <c r="J1386" s="55" t="str">
        <f>IFERROR(IF($G1386="","",VLOOKUP('Dashboard And Emails Automate'!$G1386,Database!$H:$N,4,0)),"")</f>
        <v/>
      </c>
      <c r="K1386" s="55" t="str">
        <f>IFERROR(IF($G1386="","",VLOOKUP('Dashboard And Emails Automate'!$G1386,Database!$H:$N,5,0)),"")</f>
        <v/>
      </c>
      <c r="L1386" s="55" t="str">
        <f>IFERROR(IF($G1386="","",VLOOKUP('Dashboard And Emails Automate'!$G1386,Database!$H:$N,6,0)),"")</f>
        <v/>
      </c>
      <c r="M1386" s="55" t="str">
        <f>IFERROR(IF($G1386="","",VLOOKUP('Dashboard And Emails Automate'!$G1386,Database!$H:$N,7,0)),"")</f>
        <v/>
      </c>
      <c r="N1386" s="55" t="str">
        <f>IFERROR(IF(OR($B1386="",$B1386="(blank)"),"",VLOOKUP($B1386,'Email Marketing Raw Data'!$C:$O,6,0)),"")</f>
        <v/>
      </c>
      <c r="O1386" s="55" t="str">
        <f>IFERROR(IF(OR($B1386="",$B1386="(blank)"),"",VLOOKUP($B1386,'Email Marketing Raw Data'!$C:$O,7,0)),"")</f>
        <v/>
      </c>
      <c r="P1386" s="55" t="str">
        <f>IFERROR(IF(OR($B1386="",$B1386="(blank)"),"",VLOOKUP($B1386,'Email Marketing Raw Data'!$C:$O,8,0)),"")</f>
        <v/>
      </c>
      <c r="Q1386" s="62" t="str">
        <f>IFERROR(IF(OR($B1386="",$B1386="(blank)"),"",VLOOKUP($B1386,'Email Marketing Raw Data'!$C:$O,9,0)),"")</f>
        <v/>
      </c>
    </row>
    <row r="1387" spans="4:17" ht="12.75" customHeight="1" x14ac:dyDescent="0.2">
      <c r="D1387" s="58" t="str">
        <f>IFERROR(IF(F1387&lt;&gt;"pending","",IF(OR($B1387="",$B1387="(blank)"),"",VLOOKUP($B1387,'Email Marketing Raw Data'!$C:$O,10,0))),"")</f>
        <v/>
      </c>
      <c r="E1387" s="59" t="str">
        <f>IFERROR(IF(F1387&lt;&gt;"pending","",IF(OR($B1387="",$B1387="(blank)"),"",VLOOKUP($B1387,'Email Marketing Raw Data'!$C:$O,11,0))),"")</f>
        <v/>
      </c>
      <c r="F1387" s="54" t="str">
        <f>IFERROR(IF(OR($B1387="",$B1387="(blank)"),"",VLOOKUP($B1387,'Email Marketing Raw Data'!$C:$O,13,0)),"")</f>
        <v/>
      </c>
      <c r="G1387" s="55" t="str">
        <f>IFERROR(IF(OR($B1387="",$B1387="(blank)"),"",VLOOKUP($B1387,'Email Marketing Raw Data'!$C:$O,4,0)),"")</f>
        <v/>
      </c>
      <c r="H1387" s="55" t="str">
        <f>IFERROR(IF(OR($B1387="",$B1387="(blank)"),"",VLOOKUP($B1387,'Email Marketing Raw Data'!$C:$O,5,0)),"")</f>
        <v/>
      </c>
      <c r="I1387" s="55" t="str">
        <f>IFERROR(IF($G1387="","",VLOOKUP('Dashboard And Emails Automate'!$G1387,Database!$H:$N,3,0)),"")</f>
        <v/>
      </c>
      <c r="J1387" s="55" t="str">
        <f>IFERROR(IF($G1387="","",VLOOKUP('Dashboard And Emails Automate'!$G1387,Database!$H:$N,4,0)),"")</f>
        <v/>
      </c>
      <c r="K1387" s="55" t="str">
        <f>IFERROR(IF($G1387="","",VLOOKUP('Dashboard And Emails Automate'!$G1387,Database!$H:$N,5,0)),"")</f>
        <v/>
      </c>
      <c r="L1387" s="55" t="str">
        <f>IFERROR(IF($G1387="","",VLOOKUP('Dashboard And Emails Automate'!$G1387,Database!$H:$N,6,0)),"")</f>
        <v/>
      </c>
      <c r="M1387" s="55" t="str">
        <f>IFERROR(IF($G1387="","",VLOOKUP('Dashboard And Emails Automate'!$G1387,Database!$H:$N,7,0)),"")</f>
        <v/>
      </c>
      <c r="N1387" s="55" t="str">
        <f>IFERROR(IF(OR($B1387="",$B1387="(blank)"),"",VLOOKUP($B1387,'Email Marketing Raw Data'!$C:$O,6,0)),"")</f>
        <v/>
      </c>
      <c r="O1387" s="55" t="str">
        <f>IFERROR(IF(OR($B1387="",$B1387="(blank)"),"",VLOOKUP($B1387,'Email Marketing Raw Data'!$C:$O,7,0)),"")</f>
        <v/>
      </c>
      <c r="P1387" s="55" t="str">
        <f>IFERROR(IF(OR($B1387="",$B1387="(blank)"),"",VLOOKUP($B1387,'Email Marketing Raw Data'!$C:$O,8,0)),"")</f>
        <v/>
      </c>
      <c r="Q1387" s="62" t="str">
        <f>IFERROR(IF(OR($B1387="",$B1387="(blank)"),"",VLOOKUP($B1387,'Email Marketing Raw Data'!$C:$O,9,0)),"")</f>
        <v/>
      </c>
    </row>
    <row r="1388" spans="4:17" ht="12.75" customHeight="1" x14ac:dyDescent="0.2">
      <c r="D1388" s="58" t="str">
        <f>IFERROR(IF(F1388&lt;&gt;"pending","",IF(OR($B1388="",$B1388="(blank)"),"",VLOOKUP($B1388,'Email Marketing Raw Data'!$C:$O,10,0))),"")</f>
        <v/>
      </c>
      <c r="E1388" s="59" t="str">
        <f>IFERROR(IF(F1388&lt;&gt;"pending","",IF(OR($B1388="",$B1388="(blank)"),"",VLOOKUP($B1388,'Email Marketing Raw Data'!$C:$O,11,0))),"")</f>
        <v/>
      </c>
      <c r="F1388" s="54" t="str">
        <f>IFERROR(IF(OR($B1388="",$B1388="(blank)"),"",VLOOKUP($B1388,'Email Marketing Raw Data'!$C:$O,13,0)),"")</f>
        <v/>
      </c>
      <c r="G1388" s="55" t="str">
        <f>IFERROR(IF(OR($B1388="",$B1388="(blank)"),"",VLOOKUP($B1388,'Email Marketing Raw Data'!$C:$O,4,0)),"")</f>
        <v/>
      </c>
      <c r="H1388" s="55" t="str">
        <f>IFERROR(IF(OR($B1388="",$B1388="(blank)"),"",VLOOKUP($B1388,'Email Marketing Raw Data'!$C:$O,5,0)),"")</f>
        <v/>
      </c>
      <c r="I1388" s="55" t="str">
        <f>IFERROR(IF($G1388="","",VLOOKUP('Dashboard And Emails Automate'!$G1388,Database!$H:$N,3,0)),"")</f>
        <v/>
      </c>
      <c r="J1388" s="55" t="str">
        <f>IFERROR(IF($G1388="","",VLOOKUP('Dashboard And Emails Automate'!$G1388,Database!$H:$N,4,0)),"")</f>
        <v/>
      </c>
      <c r="K1388" s="55" t="str">
        <f>IFERROR(IF($G1388="","",VLOOKUP('Dashboard And Emails Automate'!$G1388,Database!$H:$N,5,0)),"")</f>
        <v/>
      </c>
      <c r="L1388" s="55" t="str">
        <f>IFERROR(IF($G1388="","",VLOOKUP('Dashboard And Emails Automate'!$G1388,Database!$H:$N,6,0)),"")</f>
        <v/>
      </c>
      <c r="M1388" s="55" t="str">
        <f>IFERROR(IF($G1388="","",VLOOKUP('Dashboard And Emails Automate'!$G1388,Database!$H:$N,7,0)),"")</f>
        <v/>
      </c>
      <c r="N1388" s="55" t="str">
        <f>IFERROR(IF(OR($B1388="",$B1388="(blank)"),"",VLOOKUP($B1388,'Email Marketing Raw Data'!$C:$O,6,0)),"")</f>
        <v/>
      </c>
      <c r="O1388" s="55" t="str">
        <f>IFERROR(IF(OR($B1388="",$B1388="(blank)"),"",VLOOKUP($B1388,'Email Marketing Raw Data'!$C:$O,7,0)),"")</f>
        <v/>
      </c>
      <c r="P1388" s="55" t="str">
        <f>IFERROR(IF(OR($B1388="",$B1388="(blank)"),"",VLOOKUP($B1388,'Email Marketing Raw Data'!$C:$O,8,0)),"")</f>
        <v/>
      </c>
      <c r="Q1388" s="62" t="str">
        <f>IFERROR(IF(OR($B1388="",$B1388="(blank)"),"",VLOOKUP($B1388,'Email Marketing Raw Data'!$C:$O,9,0)),"")</f>
        <v/>
      </c>
    </row>
    <row r="1389" spans="4:17" ht="12.75" customHeight="1" x14ac:dyDescent="0.2">
      <c r="D1389" s="58" t="str">
        <f>IFERROR(IF(F1389&lt;&gt;"pending","",IF(OR($B1389="",$B1389="(blank)"),"",VLOOKUP($B1389,'Email Marketing Raw Data'!$C:$O,10,0))),"")</f>
        <v/>
      </c>
      <c r="E1389" s="59" t="str">
        <f>IFERROR(IF(F1389&lt;&gt;"pending","",IF(OR($B1389="",$B1389="(blank)"),"",VLOOKUP($B1389,'Email Marketing Raw Data'!$C:$O,11,0))),"")</f>
        <v/>
      </c>
      <c r="F1389" s="54" t="str">
        <f>IFERROR(IF(OR($B1389="",$B1389="(blank)"),"",VLOOKUP($B1389,'Email Marketing Raw Data'!$C:$O,13,0)),"")</f>
        <v/>
      </c>
      <c r="G1389" s="55" t="str">
        <f>IFERROR(IF(OR($B1389="",$B1389="(blank)"),"",VLOOKUP($B1389,'Email Marketing Raw Data'!$C:$O,4,0)),"")</f>
        <v/>
      </c>
      <c r="H1389" s="55" t="str">
        <f>IFERROR(IF(OR($B1389="",$B1389="(blank)"),"",VLOOKUP($B1389,'Email Marketing Raw Data'!$C:$O,5,0)),"")</f>
        <v/>
      </c>
      <c r="I1389" s="55" t="str">
        <f>IFERROR(IF($G1389="","",VLOOKUP('Dashboard And Emails Automate'!$G1389,Database!$H:$N,3,0)),"")</f>
        <v/>
      </c>
      <c r="J1389" s="55" t="str">
        <f>IFERROR(IF($G1389="","",VLOOKUP('Dashboard And Emails Automate'!$G1389,Database!$H:$N,4,0)),"")</f>
        <v/>
      </c>
      <c r="K1389" s="55" t="str">
        <f>IFERROR(IF($G1389="","",VLOOKUP('Dashboard And Emails Automate'!$G1389,Database!$H:$N,5,0)),"")</f>
        <v/>
      </c>
      <c r="L1389" s="55" t="str">
        <f>IFERROR(IF($G1389="","",VLOOKUP('Dashboard And Emails Automate'!$G1389,Database!$H:$N,6,0)),"")</f>
        <v/>
      </c>
      <c r="M1389" s="55" t="str">
        <f>IFERROR(IF($G1389="","",VLOOKUP('Dashboard And Emails Automate'!$G1389,Database!$H:$N,7,0)),"")</f>
        <v/>
      </c>
      <c r="N1389" s="55" t="str">
        <f>IFERROR(IF(OR($B1389="",$B1389="(blank)"),"",VLOOKUP($B1389,'Email Marketing Raw Data'!$C:$O,6,0)),"")</f>
        <v/>
      </c>
      <c r="O1389" s="55" t="str">
        <f>IFERROR(IF(OR($B1389="",$B1389="(blank)"),"",VLOOKUP($B1389,'Email Marketing Raw Data'!$C:$O,7,0)),"")</f>
        <v/>
      </c>
      <c r="P1389" s="55" t="str">
        <f>IFERROR(IF(OR($B1389="",$B1389="(blank)"),"",VLOOKUP($B1389,'Email Marketing Raw Data'!$C:$O,8,0)),"")</f>
        <v/>
      </c>
      <c r="Q1389" s="62" t="str">
        <f>IFERROR(IF(OR($B1389="",$B1389="(blank)"),"",VLOOKUP($B1389,'Email Marketing Raw Data'!$C:$O,9,0)),"")</f>
        <v/>
      </c>
    </row>
    <row r="1390" spans="4:17" ht="12.75" customHeight="1" x14ac:dyDescent="0.2">
      <c r="D1390" s="58" t="str">
        <f>IFERROR(IF(F1390&lt;&gt;"pending","",IF(OR($B1390="",$B1390="(blank)"),"",VLOOKUP($B1390,'Email Marketing Raw Data'!$C:$O,10,0))),"")</f>
        <v/>
      </c>
      <c r="E1390" s="59" t="str">
        <f>IFERROR(IF(F1390&lt;&gt;"pending","",IF(OR($B1390="",$B1390="(blank)"),"",VLOOKUP($B1390,'Email Marketing Raw Data'!$C:$O,11,0))),"")</f>
        <v/>
      </c>
      <c r="F1390" s="54" t="str">
        <f>IFERROR(IF(OR($B1390="",$B1390="(blank)"),"",VLOOKUP($B1390,'Email Marketing Raw Data'!$C:$O,13,0)),"")</f>
        <v/>
      </c>
      <c r="G1390" s="55" t="str">
        <f>IFERROR(IF(OR($B1390="",$B1390="(blank)"),"",VLOOKUP($B1390,'Email Marketing Raw Data'!$C:$O,4,0)),"")</f>
        <v/>
      </c>
      <c r="H1390" s="55" t="str">
        <f>IFERROR(IF(OR($B1390="",$B1390="(blank)"),"",VLOOKUP($B1390,'Email Marketing Raw Data'!$C:$O,5,0)),"")</f>
        <v/>
      </c>
      <c r="I1390" s="55" t="str">
        <f>IFERROR(IF($G1390="","",VLOOKUP('Dashboard And Emails Automate'!$G1390,Database!$H:$N,3,0)),"")</f>
        <v/>
      </c>
      <c r="J1390" s="55" t="str">
        <f>IFERROR(IF($G1390="","",VLOOKUP('Dashboard And Emails Automate'!$G1390,Database!$H:$N,4,0)),"")</f>
        <v/>
      </c>
      <c r="K1390" s="55" t="str">
        <f>IFERROR(IF($G1390="","",VLOOKUP('Dashboard And Emails Automate'!$G1390,Database!$H:$N,5,0)),"")</f>
        <v/>
      </c>
      <c r="L1390" s="55" t="str">
        <f>IFERROR(IF($G1390="","",VLOOKUP('Dashboard And Emails Automate'!$G1390,Database!$H:$N,6,0)),"")</f>
        <v/>
      </c>
      <c r="M1390" s="55" t="str">
        <f>IFERROR(IF($G1390="","",VLOOKUP('Dashboard And Emails Automate'!$G1390,Database!$H:$N,7,0)),"")</f>
        <v/>
      </c>
      <c r="N1390" s="55" t="str">
        <f>IFERROR(IF(OR($B1390="",$B1390="(blank)"),"",VLOOKUP($B1390,'Email Marketing Raw Data'!$C:$O,6,0)),"")</f>
        <v/>
      </c>
      <c r="O1390" s="55" t="str">
        <f>IFERROR(IF(OR($B1390="",$B1390="(blank)"),"",VLOOKUP($B1390,'Email Marketing Raw Data'!$C:$O,7,0)),"")</f>
        <v/>
      </c>
      <c r="P1390" s="55" t="str">
        <f>IFERROR(IF(OR($B1390="",$B1390="(blank)"),"",VLOOKUP($B1390,'Email Marketing Raw Data'!$C:$O,8,0)),"")</f>
        <v/>
      </c>
      <c r="Q1390" s="62" t="str">
        <f>IFERROR(IF(OR($B1390="",$B1390="(blank)"),"",VLOOKUP($B1390,'Email Marketing Raw Data'!$C:$O,9,0)),"")</f>
        <v/>
      </c>
    </row>
    <row r="1391" spans="4:17" ht="12.75" customHeight="1" x14ac:dyDescent="0.2">
      <c r="D1391" s="58" t="str">
        <f>IFERROR(IF(F1391&lt;&gt;"pending","",IF(OR($B1391="",$B1391="(blank)"),"",VLOOKUP($B1391,'Email Marketing Raw Data'!$C:$O,10,0))),"")</f>
        <v/>
      </c>
      <c r="E1391" s="59" t="str">
        <f>IFERROR(IF(F1391&lt;&gt;"pending","",IF(OR($B1391="",$B1391="(blank)"),"",VLOOKUP($B1391,'Email Marketing Raw Data'!$C:$O,11,0))),"")</f>
        <v/>
      </c>
      <c r="F1391" s="54" t="str">
        <f>IFERROR(IF(OR($B1391="",$B1391="(blank)"),"",VLOOKUP($B1391,'Email Marketing Raw Data'!$C:$O,13,0)),"")</f>
        <v/>
      </c>
      <c r="G1391" s="55" t="str">
        <f>IFERROR(IF(OR($B1391="",$B1391="(blank)"),"",VLOOKUP($B1391,'Email Marketing Raw Data'!$C:$O,4,0)),"")</f>
        <v/>
      </c>
      <c r="H1391" s="55" t="str">
        <f>IFERROR(IF(OR($B1391="",$B1391="(blank)"),"",VLOOKUP($B1391,'Email Marketing Raw Data'!$C:$O,5,0)),"")</f>
        <v/>
      </c>
      <c r="I1391" s="55" t="str">
        <f>IFERROR(IF($G1391="","",VLOOKUP('Dashboard And Emails Automate'!$G1391,Database!$H:$N,3,0)),"")</f>
        <v/>
      </c>
      <c r="J1391" s="55" t="str">
        <f>IFERROR(IF($G1391="","",VLOOKUP('Dashboard And Emails Automate'!$G1391,Database!$H:$N,4,0)),"")</f>
        <v/>
      </c>
      <c r="K1391" s="55" t="str">
        <f>IFERROR(IF($G1391="","",VLOOKUP('Dashboard And Emails Automate'!$G1391,Database!$H:$N,5,0)),"")</f>
        <v/>
      </c>
      <c r="L1391" s="55" t="str">
        <f>IFERROR(IF($G1391="","",VLOOKUP('Dashboard And Emails Automate'!$G1391,Database!$H:$N,6,0)),"")</f>
        <v/>
      </c>
      <c r="M1391" s="55" t="str">
        <f>IFERROR(IF($G1391="","",VLOOKUP('Dashboard And Emails Automate'!$G1391,Database!$H:$N,7,0)),"")</f>
        <v/>
      </c>
      <c r="N1391" s="55" t="str">
        <f>IFERROR(IF(OR($B1391="",$B1391="(blank)"),"",VLOOKUP($B1391,'Email Marketing Raw Data'!$C:$O,6,0)),"")</f>
        <v/>
      </c>
      <c r="O1391" s="55" t="str">
        <f>IFERROR(IF(OR($B1391="",$B1391="(blank)"),"",VLOOKUP($B1391,'Email Marketing Raw Data'!$C:$O,7,0)),"")</f>
        <v/>
      </c>
      <c r="P1391" s="55" t="str">
        <f>IFERROR(IF(OR($B1391="",$B1391="(blank)"),"",VLOOKUP($B1391,'Email Marketing Raw Data'!$C:$O,8,0)),"")</f>
        <v/>
      </c>
      <c r="Q1391" s="62" t="str">
        <f>IFERROR(IF(OR($B1391="",$B1391="(blank)"),"",VLOOKUP($B1391,'Email Marketing Raw Data'!$C:$O,9,0)),"")</f>
        <v/>
      </c>
    </row>
    <row r="1392" spans="4:17" ht="12.75" customHeight="1" x14ac:dyDescent="0.2">
      <c r="D1392" s="58" t="str">
        <f>IFERROR(IF(F1392&lt;&gt;"pending","",IF(OR($B1392="",$B1392="(blank)"),"",VLOOKUP($B1392,'Email Marketing Raw Data'!$C:$O,10,0))),"")</f>
        <v/>
      </c>
      <c r="E1392" s="59" t="str">
        <f>IFERROR(IF(F1392&lt;&gt;"pending","",IF(OR($B1392="",$B1392="(blank)"),"",VLOOKUP($B1392,'Email Marketing Raw Data'!$C:$O,11,0))),"")</f>
        <v/>
      </c>
      <c r="F1392" s="54" t="str">
        <f>IFERROR(IF(OR($B1392="",$B1392="(blank)"),"",VLOOKUP($B1392,'Email Marketing Raw Data'!$C:$O,13,0)),"")</f>
        <v/>
      </c>
      <c r="G1392" s="55" t="str">
        <f>IFERROR(IF(OR($B1392="",$B1392="(blank)"),"",VLOOKUP($B1392,'Email Marketing Raw Data'!$C:$O,4,0)),"")</f>
        <v/>
      </c>
      <c r="H1392" s="55" t="str">
        <f>IFERROR(IF(OR($B1392="",$B1392="(blank)"),"",VLOOKUP($B1392,'Email Marketing Raw Data'!$C:$O,5,0)),"")</f>
        <v/>
      </c>
      <c r="I1392" s="55" t="str">
        <f>IFERROR(IF($G1392="","",VLOOKUP('Dashboard And Emails Automate'!$G1392,Database!$H:$N,3,0)),"")</f>
        <v/>
      </c>
      <c r="J1392" s="55" t="str">
        <f>IFERROR(IF($G1392="","",VLOOKUP('Dashboard And Emails Automate'!$G1392,Database!$H:$N,4,0)),"")</f>
        <v/>
      </c>
      <c r="K1392" s="55" t="str">
        <f>IFERROR(IF($G1392="","",VLOOKUP('Dashboard And Emails Automate'!$G1392,Database!$H:$N,5,0)),"")</f>
        <v/>
      </c>
      <c r="L1392" s="55" t="str">
        <f>IFERROR(IF($G1392="","",VLOOKUP('Dashboard And Emails Automate'!$G1392,Database!$H:$N,6,0)),"")</f>
        <v/>
      </c>
      <c r="M1392" s="55" t="str">
        <f>IFERROR(IF($G1392="","",VLOOKUP('Dashboard And Emails Automate'!$G1392,Database!$H:$N,7,0)),"")</f>
        <v/>
      </c>
      <c r="N1392" s="55" t="str">
        <f>IFERROR(IF(OR($B1392="",$B1392="(blank)"),"",VLOOKUP($B1392,'Email Marketing Raw Data'!$C:$O,6,0)),"")</f>
        <v/>
      </c>
      <c r="O1392" s="55" t="str">
        <f>IFERROR(IF(OR($B1392="",$B1392="(blank)"),"",VLOOKUP($B1392,'Email Marketing Raw Data'!$C:$O,7,0)),"")</f>
        <v/>
      </c>
      <c r="P1392" s="55" t="str">
        <f>IFERROR(IF(OR($B1392="",$B1392="(blank)"),"",VLOOKUP($B1392,'Email Marketing Raw Data'!$C:$O,8,0)),"")</f>
        <v/>
      </c>
      <c r="Q1392" s="62" t="str">
        <f>IFERROR(IF(OR($B1392="",$B1392="(blank)"),"",VLOOKUP($B1392,'Email Marketing Raw Data'!$C:$O,9,0)),"")</f>
        <v/>
      </c>
    </row>
    <row r="1393" spans="4:17" ht="12.75" customHeight="1" x14ac:dyDescent="0.2">
      <c r="D1393" s="58" t="str">
        <f>IFERROR(IF(F1393&lt;&gt;"pending","",IF(OR($B1393="",$B1393="(blank)"),"",VLOOKUP($B1393,'Email Marketing Raw Data'!$C:$O,10,0))),"")</f>
        <v/>
      </c>
      <c r="E1393" s="59" t="str">
        <f>IFERROR(IF(F1393&lt;&gt;"pending","",IF(OR($B1393="",$B1393="(blank)"),"",VLOOKUP($B1393,'Email Marketing Raw Data'!$C:$O,11,0))),"")</f>
        <v/>
      </c>
      <c r="F1393" s="54" t="str">
        <f>IFERROR(IF(OR($B1393="",$B1393="(blank)"),"",VLOOKUP($B1393,'Email Marketing Raw Data'!$C:$O,13,0)),"")</f>
        <v/>
      </c>
      <c r="G1393" s="55" t="str">
        <f>IFERROR(IF(OR($B1393="",$B1393="(blank)"),"",VLOOKUP($B1393,'Email Marketing Raw Data'!$C:$O,4,0)),"")</f>
        <v/>
      </c>
      <c r="H1393" s="55" t="str">
        <f>IFERROR(IF(OR($B1393="",$B1393="(blank)"),"",VLOOKUP($B1393,'Email Marketing Raw Data'!$C:$O,5,0)),"")</f>
        <v/>
      </c>
      <c r="I1393" s="55" t="str">
        <f>IFERROR(IF($G1393="","",VLOOKUP('Dashboard And Emails Automate'!$G1393,Database!$H:$N,3,0)),"")</f>
        <v/>
      </c>
      <c r="J1393" s="55" t="str">
        <f>IFERROR(IF($G1393="","",VLOOKUP('Dashboard And Emails Automate'!$G1393,Database!$H:$N,4,0)),"")</f>
        <v/>
      </c>
      <c r="K1393" s="55" t="str">
        <f>IFERROR(IF($G1393="","",VLOOKUP('Dashboard And Emails Automate'!$G1393,Database!$H:$N,5,0)),"")</f>
        <v/>
      </c>
      <c r="L1393" s="55" t="str">
        <f>IFERROR(IF($G1393="","",VLOOKUP('Dashboard And Emails Automate'!$G1393,Database!$H:$N,6,0)),"")</f>
        <v/>
      </c>
      <c r="M1393" s="55" t="str">
        <f>IFERROR(IF($G1393="","",VLOOKUP('Dashboard And Emails Automate'!$G1393,Database!$H:$N,7,0)),"")</f>
        <v/>
      </c>
      <c r="N1393" s="55" t="str">
        <f>IFERROR(IF(OR($B1393="",$B1393="(blank)"),"",VLOOKUP($B1393,'Email Marketing Raw Data'!$C:$O,6,0)),"")</f>
        <v/>
      </c>
      <c r="O1393" s="55" t="str">
        <f>IFERROR(IF(OR($B1393="",$B1393="(blank)"),"",VLOOKUP($B1393,'Email Marketing Raw Data'!$C:$O,7,0)),"")</f>
        <v/>
      </c>
      <c r="P1393" s="55" t="str">
        <f>IFERROR(IF(OR($B1393="",$B1393="(blank)"),"",VLOOKUP($B1393,'Email Marketing Raw Data'!$C:$O,8,0)),"")</f>
        <v/>
      </c>
      <c r="Q1393" s="62" t="str">
        <f>IFERROR(IF(OR($B1393="",$B1393="(blank)"),"",VLOOKUP($B1393,'Email Marketing Raw Data'!$C:$O,9,0)),"")</f>
        <v/>
      </c>
    </row>
    <row r="1394" spans="4:17" ht="12.75" customHeight="1" x14ac:dyDescent="0.2">
      <c r="D1394" s="58" t="str">
        <f>IFERROR(IF(F1394&lt;&gt;"pending","",IF(OR($B1394="",$B1394="(blank)"),"",VLOOKUP($B1394,'Email Marketing Raw Data'!$C:$O,10,0))),"")</f>
        <v/>
      </c>
      <c r="E1394" s="59" t="str">
        <f>IFERROR(IF(F1394&lt;&gt;"pending","",IF(OR($B1394="",$B1394="(blank)"),"",VLOOKUP($B1394,'Email Marketing Raw Data'!$C:$O,11,0))),"")</f>
        <v/>
      </c>
      <c r="F1394" s="54" t="str">
        <f>IFERROR(IF(OR($B1394="",$B1394="(blank)"),"",VLOOKUP($B1394,'Email Marketing Raw Data'!$C:$O,13,0)),"")</f>
        <v/>
      </c>
      <c r="G1394" s="55" t="str">
        <f>IFERROR(IF(OR($B1394="",$B1394="(blank)"),"",VLOOKUP($B1394,'Email Marketing Raw Data'!$C:$O,4,0)),"")</f>
        <v/>
      </c>
      <c r="H1394" s="55" t="str">
        <f>IFERROR(IF(OR($B1394="",$B1394="(blank)"),"",VLOOKUP($B1394,'Email Marketing Raw Data'!$C:$O,5,0)),"")</f>
        <v/>
      </c>
      <c r="I1394" s="55" t="str">
        <f>IFERROR(IF($G1394="","",VLOOKUP('Dashboard And Emails Automate'!$G1394,Database!$H:$N,3,0)),"")</f>
        <v/>
      </c>
      <c r="J1394" s="55" t="str">
        <f>IFERROR(IF($G1394="","",VLOOKUP('Dashboard And Emails Automate'!$G1394,Database!$H:$N,4,0)),"")</f>
        <v/>
      </c>
      <c r="K1394" s="55" t="str">
        <f>IFERROR(IF($G1394="","",VLOOKUP('Dashboard And Emails Automate'!$G1394,Database!$H:$N,5,0)),"")</f>
        <v/>
      </c>
      <c r="L1394" s="55" t="str">
        <f>IFERROR(IF($G1394="","",VLOOKUP('Dashboard And Emails Automate'!$G1394,Database!$H:$N,6,0)),"")</f>
        <v/>
      </c>
      <c r="M1394" s="55" t="str">
        <f>IFERROR(IF($G1394="","",VLOOKUP('Dashboard And Emails Automate'!$G1394,Database!$H:$N,7,0)),"")</f>
        <v/>
      </c>
      <c r="N1394" s="55" t="str">
        <f>IFERROR(IF(OR($B1394="",$B1394="(blank)"),"",VLOOKUP($B1394,'Email Marketing Raw Data'!$C:$O,6,0)),"")</f>
        <v/>
      </c>
      <c r="O1394" s="55" t="str">
        <f>IFERROR(IF(OR($B1394="",$B1394="(blank)"),"",VLOOKUP($B1394,'Email Marketing Raw Data'!$C:$O,7,0)),"")</f>
        <v/>
      </c>
      <c r="P1394" s="55" t="str">
        <f>IFERROR(IF(OR($B1394="",$B1394="(blank)"),"",VLOOKUP($B1394,'Email Marketing Raw Data'!$C:$O,8,0)),"")</f>
        <v/>
      </c>
      <c r="Q1394" s="62" t="str">
        <f>IFERROR(IF(OR($B1394="",$B1394="(blank)"),"",VLOOKUP($B1394,'Email Marketing Raw Data'!$C:$O,9,0)),"")</f>
        <v/>
      </c>
    </row>
    <row r="1395" spans="4:17" ht="12.75" customHeight="1" x14ac:dyDescent="0.2">
      <c r="D1395" s="58" t="str">
        <f>IFERROR(IF(F1395&lt;&gt;"pending","",IF(OR($B1395="",$B1395="(blank)"),"",VLOOKUP($B1395,'Email Marketing Raw Data'!$C:$O,10,0))),"")</f>
        <v/>
      </c>
      <c r="E1395" s="59" t="str">
        <f>IFERROR(IF(F1395&lt;&gt;"pending","",IF(OR($B1395="",$B1395="(blank)"),"",VLOOKUP($B1395,'Email Marketing Raw Data'!$C:$O,11,0))),"")</f>
        <v/>
      </c>
      <c r="F1395" s="54" t="str">
        <f>IFERROR(IF(OR($B1395="",$B1395="(blank)"),"",VLOOKUP($B1395,'Email Marketing Raw Data'!$C:$O,13,0)),"")</f>
        <v/>
      </c>
      <c r="G1395" s="55" t="str">
        <f>IFERROR(IF(OR($B1395="",$B1395="(blank)"),"",VLOOKUP($B1395,'Email Marketing Raw Data'!$C:$O,4,0)),"")</f>
        <v/>
      </c>
      <c r="H1395" s="55" t="str">
        <f>IFERROR(IF(OR($B1395="",$B1395="(blank)"),"",VLOOKUP($B1395,'Email Marketing Raw Data'!$C:$O,5,0)),"")</f>
        <v/>
      </c>
      <c r="I1395" s="55" t="str">
        <f>IFERROR(IF($G1395="","",VLOOKUP('Dashboard And Emails Automate'!$G1395,Database!$H:$N,3,0)),"")</f>
        <v/>
      </c>
      <c r="J1395" s="55" t="str">
        <f>IFERROR(IF($G1395="","",VLOOKUP('Dashboard And Emails Automate'!$G1395,Database!$H:$N,4,0)),"")</f>
        <v/>
      </c>
      <c r="K1395" s="55" t="str">
        <f>IFERROR(IF($G1395="","",VLOOKUP('Dashboard And Emails Automate'!$G1395,Database!$H:$N,5,0)),"")</f>
        <v/>
      </c>
      <c r="L1395" s="55" t="str">
        <f>IFERROR(IF($G1395="","",VLOOKUP('Dashboard And Emails Automate'!$G1395,Database!$H:$N,6,0)),"")</f>
        <v/>
      </c>
      <c r="M1395" s="55" t="str">
        <f>IFERROR(IF($G1395="","",VLOOKUP('Dashboard And Emails Automate'!$G1395,Database!$H:$N,7,0)),"")</f>
        <v/>
      </c>
      <c r="N1395" s="55" t="str">
        <f>IFERROR(IF(OR($B1395="",$B1395="(blank)"),"",VLOOKUP($B1395,'Email Marketing Raw Data'!$C:$O,6,0)),"")</f>
        <v/>
      </c>
      <c r="O1395" s="55" t="str">
        <f>IFERROR(IF(OR($B1395="",$B1395="(blank)"),"",VLOOKUP($B1395,'Email Marketing Raw Data'!$C:$O,7,0)),"")</f>
        <v/>
      </c>
      <c r="P1395" s="55" t="str">
        <f>IFERROR(IF(OR($B1395="",$B1395="(blank)"),"",VLOOKUP($B1395,'Email Marketing Raw Data'!$C:$O,8,0)),"")</f>
        <v/>
      </c>
      <c r="Q1395" s="62" t="str">
        <f>IFERROR(IF(OR($B1395="",$B1395="(blank)"),"",VLOOKUP($B1395,'Email Marketing Raw Data'!$C:$O,9,0)),"")</f>
        <v/>
      </c>
    </row>
    <row r="1396" spans="4:17" ht="12.75" customHeight="1" x14ac:dyDescent="0.2">
      <c r="D1396" s="58" t="str">
        <f>IFERROR(IF(F1396&lt;&gt;"pending","",IF(OR($B1396="",$B1396="(blank)"),"",VLOOKUP($B1396,'Email Marketing Raw Data'!$C:$O,10,0))),"")</f>
        <v/>
      </c>
      <c r="E1396" s="59" t="str">
        <f>IFERROR(IF(F1396&lt;&gt;"pending","",IF(OR($B1396="",$B1396="(blank)"),"",VLOOKUP($B1396,'Email Marketing Raw Data'!$C:$O,11,0))),"")</f>
        <v/>
      </c>
      <c r="F1396" s="54" t="str">
        <f>IFERROR(IF(OR($B1396="",$B1396="(blank)"),"",VLOOKUP($B1396,'Email Marketing Raw Data'!$C:$O,13,0)),"")</f>
        <v/>
      </c>
      <c r="G1396" s="55" t="str">
        <f>IFERROR(IF(OR($B1396="",$B1396="(blank)"),"",VLOOKUP($B1396,'Email Marketing Raw Data'!$C:$O,4,0)),"")</f>
        <v/>
      </c>
      <c r="H1396" s="55" t="str">
        <f>IFERROR(IF(OR($B1396="",$B1396="(blank)"),"",VLOOKUP($B1396,'Email Marketing Raw Data'!$C:$O,5,0)),"")</f>
        <v/>
      </c>
      <c r="I1396" s="55" t="str">
        <f>IFERROR(IF($G1396="","",VLOOKUP('Dashboard And Emails Automate'!$G1396,Database!$H:$N,3,0)),"")</f>
        <v/>
      </c>
      <c r="J1396" s="55" t="str">
        <f>IFERROR(IF($G1396="","",VLOOKUP('Dashboard And Emails Automate'!$G1396,Database!$H:$N,4,0)),"")</f>
        <v/>
      </c>
      <c r="K1396" s="55" t="str">
        <f>IFERROR(IF($G1396="","",VLOOKUP('Dashboard And Emails Automate'!$G1396,Database!$H:$N,5,0)),"")</f>
        <v/>
      </c>
      <c r="L1396" s="55" t="str">
        <f>IFERROR(IF($G1396="","",VLOOKUP('Dashboard And Emails Automate'!$G1396,Database!$H:$N,6,0)),"")</f>
        <v/>
      </c>
      <c r="M1396" s="55" t="str">
        <f>IFERROR(IF($G1396="","",VLOOKUP('Dashboard And Emails Automate'!$G1396,Database!$H:$N,7,0)),"")</f>
        <v/>
      </c>
      <c r="N1396" s="55" t="str">
        <f>IFERROR(IF(OR($B1396="",$B1396="(blank)"),"",VLOOKUP($B1396,'Email Marketing Raw Data'!$C:$O,6,0)),"")</f>
        <v/>
      </c>
      <c r="O1396" s="55" t="str">
        <f>IFERROR(IF(OR($B1396="",$B1396="(blank)"),"",VLOOKUP($B1396,'Email Marketing Raw Data'!$C:$O,7,0)),"")</f>
        <v/>
      </c>
      <c r="P1396" s="55" t="str">
        <f>IFERROR(IF(OR($B1396="",$B1396="(blank)"),"",VLOOKUP($B1396,'Email Marketing Raw Data'!$C:$O,8,0)),"")</f>
        <v/>
      </c>
      <c r="Q1396" s="62" t="str">
        <f>IFERROR(IF(OR($B1396="",$B1396="(blank)"),"",VLOOKUP($B1396,'Email Marketing Raw Data'!$C:$O,9,0)),"")</f>
        <v/>
      </c>
    </row>
    <row r="1397" spans="4:17" ht="12.75" customHeight="1" x14ac:dyDescent="0.2">
      <c r="D1397" s="58" t="str">
        <f>IFERROR(IF(F1397&lt;&gt;"pending","",IF(OR($B1397="",$B1397="(blank)"),"",VLOOKUP($B1397,'Email Marketing Raw Data'!$C:$O,10,0))),"")</f>
        <v/>
      </c>
      <c r="E1397" s="59" t="str">
        <f>IFERROR(IF(F1397&lt;&gt;"pending","",IF(OR($B1397="",$B1397="(blank)"),"",VLOOKUP($B1397,'Email Marketing Raw Data'!$C:$O,11,0))),"")</f>
        <v/>
      </c>
      <c r="F1397" s="54" t="str">
        <f>IFERROR(IF(OR($B1397="",$B1397="(blank)"),"",VLOOKUP($B1397,'Email Marketing Raw Data'!$C:$O,13,0)),"")</f>
        <v/>
      </c>
      <c r="G1397" s="55" t="str">
        <f>IFERROR(IF(OR($B1397="",$B1397="(blank)"),"",VLOOKUP($B1397,'Email Marketing Raw Data'!$C:$O,4,0)),"")</f>
        <v/>
      </c>
      <c r="H1397" s="55" t="str">
        <f>IFERROR(IF(OR($B1397="",$B1397="(blank)"),"",VLOOKUP($B1397,'Email Marketing Raw Data'!$C:$O,5,0)),"")</f>
        <v/>
      </c>
      <c r="I1397" s="55" t="str">
        <f>IFERROR(IF($G1397="","",VLOOKUP('Dashboard And Emails Automate'!$G1397,Database!$H:$N,3,0)),"")</f>
        <v/>
      </c>
      <c r="J1397" s="55" t="str">
        <f>IFERROR(IF($G1397="","",VLOOKUP('Dashboard And Emails Automate'!$G1397,Database!$H:$N,4,0)),"")</f>
        <v/>
      </c>
      <c r="K1397" s="55" t="str">
        <f>IFERROR(IF($G1397="","",VLOOKUP('Dashboard And Emails Automate'!$G1397,Database!$H:$N,5,0)),"")</f>
        <v/>
      </c>
      <c r="L1397" s="55" t="str">
        <f>IFERROR(IF($G1397="","",VLOOKUP('Dashboard And Emails Automate'!$G1397,Database!$H:$N,6,0)),"")</f>
        <v/>
      </c>
      <c r="M1397" s="55" t="str">
        <f>IFERROR(IF($G1397="","",VLOOKUP('Dashboard And Emails Automate'!$G1397,Database!$H:$N,7,0)),"")</f>
        <v/>
      </c>
      <c r="N1397" s="55" t="str">
        <f>IFERROR(IF(OR($B1397="",$B1397="(blank)"),"",VLOOKUP($B1397,'Email Marketing Raw Data'!$C:$O,6,0)),"")</f>
        <v/>
      </c>
      <c r="O1397" s="55" t="str">
        <f>IFERROR(IF(OR($B1397="",$B1397="(blank)"),"",VLOOKUP($B1397,'Email Marketing Raw Data'!$C:$O,7,0)),"")</f>
        <v/>
      </c>
      <c r="P1397" s="55" t="str">
        <f>IFERROR(IF(OR($B1397="",$B1397="(blank)"),"",VLOOKUP($B1397,'Email Marketing Raw Data'!$C:$O,8,0)),"")</f>
        <v/>
      </c>
      <c r="Q1397" s="62" t="str">
        <f>IFERROR(IF(OR($B1397="",$B1397="(blank)"),"",VLOOKUP($B1397,'Email Marketing Raw Data'!$C:$O,9,0)),"")</f>
        <v/>
      </c>
    </row>
    <row r="1398" spans="4:17" ht="12.75" customHeight="1" x14ac:dyDescent="0.2">
      <c r="D1398" s="58" t="str">
        <f>IFERROR(IF(F1398&lt;&gt;"pending","",IF(OR($B1398="",$B1398="(blank)"),"",VLOOKUP($B1398,'Email Marketing Raw Data'!$C:$O,10,0))),"")</f>
        <v/>
      </c>
      <c r="E1398" s="59" t="str">
        <f>IFERROR(IF(F1398&lt;&gt;"pending","",IF(OR($B1398="",$B1398="(blank)"),"",VLOOKUP($B1398,'Email Marketing Raw Data'!$C:$O,11,0))),"")</f>
        <v/>
      </c>
      <c r="F1398" s="54" t="str">
        <f>IFERROR(IF(OR($B1398="",$B1398="(blank)"),"",VLOOKUP($B1398,'Email Marketing Raw Data'!$C:$O,13,0)),"")</f>
        <v/>
      </c>
      <c r="G1398" s="55" t="str">
        <f>IFERROR(IF(OR($B1398="",$B1398="(blank)"),"",VLOOKUP($B1398,'Email Marketing Raw Data'!$C:$O,4,0)),"")</f>
        <v/>
      </c>
      <c r="H1398" s="55" t="str">
        <f>IFERROR(IF(OR($B1398="",$B1398="(blank)"),"",VLOOKUP($B1398,'Email Marketing Raw Data'!$C:$O,5,0)),"")</f>
        <v/>
      </c>
      <c r="I1398" s="55" t="str">
        <f>IFERROR(IF($G1398="","",VLOOKUP('Dashboard And Emails Automate'!$G1398,Database!$H:$N,3,0)),"")</f>
        <v/>
      </c>
      <c r="J1398" s="55" t="str">
        <f>IFERROR(IF($G1398="","",VLOOKUP('Dashboard And Emails Automate'!$G1398,Database!$H:$N,4,0)),"")</f>
        <v/>
      </c>
      <c r="K1398" s="55" t="str">
        <f>IFERROR(IF($G1398="","",VLOOKUP('Dashboard And Emails Automate'!$G1398,Database!$H:$N,5,0)),"")</f>
        <v/>
      </c>
      <c r="L1398" s="55" t="str">
        <f>IFERROR(IF($G1398="","",VLOOKUP('Dashboard And Emails Automate'!$G1398,Database!$H:$N,6,0)),"")</f>
        <v/>
      </c>
      <c r="M1398" s="55" t="str">
        <f>IFERROR(IF($G1398="","",VLOOKUP('Dashboard And Emails Automate'!$G1398,Database!$H:$N,7,0)),"")</f>
        <v/>
      </c>
      <c r="N1398" s="55" t="str">
        <f>IFERROR(IF(OR($B1398="",$B1398="(blank)"),"",VLOOKUP($B1398,'Email Marketing Raw Data'!$C:$O,6,0)),"")</f>
        <v/>
      </c>
      <c r="O1398" s="55" t="str">
        <f>IFERROR(IF(OR($B1398="",$B1398="(blank)"),"",VLOOKUP($B1398,'Email Marketing Raw Data'!$C:$O,7,0)),"")</f>
        <v/>
      </c>
      <c r="P1398" s="55" t="str">
        <f>IFERROR(IF(OR($B1398="",$B1398="(blank)"),"",VLOOKUP($B1398,'Email Marketing Raw Data'!$C:$O,8,0)),"")</f>
        <v/>
      </c>
      <c r="Q1398" s="62" t="str">
        <f>IFERROR(IF(OR($B1398="",$B1398="(blank)"),"",VLOOKUP($B1398,'Email Marketing Raw Data'!$C:$O,9,0)),"")</f>
        <v/>
      </c>
    </row>
    <row r="1399" spans="4:17" ht="12.75" customHeight="1" x14ac:dyDescent="0.2">
      <c r="D1399" s="58" t="str">
        <f>IFERROR(IF(F1399&lt;&gt;"pending","",IF(OR($B1399="",$B1399="(blank)"),"",VLOOKUP($B1399,'Email Marketing Raw Data'!$C:$O,10,0))),"")</f>
        <v/>
      </c>
      <c r="E1399" s="59" t="str">
        <f>IFERROR(IF(F1399&lt;&gt;"pending","",IF(OR($B1399="",$B1399="(blank)"),"",VLOOKUP($B1399,'Email Marketing Raw Data'!$C:$O,11,0))),"")</f>
        <v/>
      </c>
      <c r="F1399" s="54" t="str">
        <f>IFERROR(IF(OR($B1399="",$B1399="(blank)"),"",VLOOKUP($B1399,'Email Marketing Raw Data'!$C:$O,13,0)),"")</f>
        <v/>
      </c>
      <c r="G1399" s="55" t="str">
        <f>IFERROR(IF(OR($B1399="",$B1399="(blank)"),"",VLOOKUP($B1399,'Email Marketing Raw Data'!$C:$O,4,0)),"")</f>
        <v/>
      </c>
      <c r="H1399" s="55" t="str">
        <f>IFERROR(IF(OR($B1399="",$B1399="(blank)"),"",VLOOKUP($B1399,'Email Marketing Raw Data'!$C:$O,5,0)),"")</f>
        <v/>
      </c>
      <c r="I1399" s="55" t="str">
        <f>IFERROR(IF($G1399="","",VLOOKUP('Dashboard And Emails Automate'!$G1399,Database!$H:$N,3,0)),"")</f>
        <v/>
      </c>
      <c r="J1399" s="55" t="str">
        <f>IFERROR(IF($G1399="","",VLOOKUP('Dashboard And Emails Automate'!$G1399,Database!$H:$N,4,0)),"")</f>
        <v/>
      </c>
      <c r="K1399" s="55" t="str">
        <f>IFERROR(IF($G1399="","",VLOOKUP('Dashboard And Emails Automate'!$G1399,Database!$H:$N,5,0)),"")</f>
        <v/>
      </c>
      <c r="L1399" s="55" t="str">
        <f>IFERROR(IF($G1399="","",VLOOKUP('Dashboard And Emails Automate'!$G1399,Database!$H:$N,6,0)),"")</f>
        <v/>
      </c>
      <c r="M1399" s="55" t="str">
        <f>IFERROR(IF($G1399="","",VLOOKUP('Dashboard And Emails Automate'!$G1399,Database!$H:$N,7,0)),"")</f>
        <v/>
      </c>
      <c r="N1399" s="55" t="str">
        <f>IFERROR(IF(OR($B1399="",$B1399="(blank)"),"",VLOOKUP($B1399,'Email Marketing Raw Data'!$C:$O,6,0)),"")</f>
        <v/>
      </c>
      <c r="O1399" s="55" t="str">
        <f>IFERROR(IF(OR($B1399="",$B1399="(blank)"),"",VLOOKUP($B1399,'Email Marketing Raw Data'!$C:$O,7,0)),"")</f>
        <v/>
      </c>
      <c r="P1399" s="55" t="str">
        <f>IFERROR(IF(OR($B1399="",$B1399="(blank)"),"",VLOOKUP($B1399,'Email Marketing Raw Data'!$C:$O,8,0)),"")</f>
        <v/>
      </c>
      <c r="Q1399" s="62" t="str">
        <f>IFERROR(IF(OR($B1399="",$B1399="(blank)"),"",VLOOKUP($B1399,'Email Marketing Raw Data'!$C:$O,9,0)),"")</f>
        <v/>
      </c>
    </row>
    <row r="1400" spans="4:17" ht="12.75" customHeight="1" x14ac:dyDescent="0.2">
      <c r="D1400" s="58" t="str">
        <f>IFERROR(IF(F1400&lt;&gt;"pending","",IF(OR($B1400="",$B1400="(blank)"),"",VLOOKUP($B1400,'Email Marketing Raw Data'!$C:$O,10,0))),"")</f>
        <v/>
      </c>
      <c r="E1400" s="59" t="str">
        <f>IFERROR(IF(F1400&lt;&gt;"pending","",IF(OR($B1400="",$B1400="(blank)"),"",VLOOKUP($B1400,'Email Marketing Raw Data'!$C:$O,11,0))),"")</f>
        <v/>
      </c>
      <c r="F1400" s="54" t="str">
        <f>IFERROR(IF(OR($B1400="",$B1400="(blank)"),"",VLOOKUP($B1400,'Email Marketing Raw Data'!$C:$O,13,0)),"")</f>
        <v/>
      </c>
      <c r="G1400" s="55" t="str">
        <f>IFERROR(IF(OR($B1400="",$B1400="(blank)"),"",VLOOKUP($B1400,'Email Marketing Raw Data'!$C:$O,4,0)),"")</f>
        <v/>
      </c>
      <c r="H1400" s="55" t="str">
        <f>IFERROR(IF(OR($B1400="",$B1400="(blank)"),"",VLOOKUP($B1400,'Email Marketing Raw Data'!$C:$O,5,0)),"")</f>
        <v/>
      </c>
      <c r="I1400" s="55" t="str">
        <f>IFERROR(IF($G1400="","",VLOOKUP('Dashboard And Emails Automate'!$G1400,Database!$H:$N,3,0)),"")</f>
        <v/>
      </c>
      <c r="J1400" s="55" t="str">
        <f>IFERROR(IF($G1400="","",VLOOKUP('Dashboard And Emails Automate'!$G1400,Database!$H:$N,4,0)),"")</f>
        <v/>
      </c>
      <c r="K1400" s="55" t="str">
        <f>IFERROR(IF($G1400="","",VLOOKUP('Dashboard And Emails Automate'!$G1400,Database!$H:$N,5,0)),"")</f>
        <v/>
      </c>
      <c r="L1400" s="55" t="str">
        <f>IFERROR(IF($G1400="","",VLOOKUP('Dashboard And Emails Automate'!$G1400,Database!$H:$N,6,0)),"")</f>
        <v/>
      </c>
      <c r="M1400" s="55" t="str">
        <f>IFERROR(IF($G1400="","",VLOOKUP('Dashboard And Emails Automate'!$G1400,Database!$H:$N,7,0)),"")</f>
        <v/>
      </c>
      <c r="N1400" s="55" t="str">
        <f>IFERROR(IF(OR($B1400="",$B1400="(blank)"),"",VLOOKUP($B1400,'Email Marketing Raw Data'!$C:$O,6,0)),"")</f>
        <v/>
      </c>
      <c r="O1400" s="55" t="str">
        <f>IFERROR(IF(OR($B1400="",$B1400="(blank)"),"",VLOOKUP($B1400,'Email Marketing Raw Data'!$C:$O,7,0)),"")</f>
        <v/>
      </c>
      <c r="P1400" s="55" t="str">
        <f>IFERROR(IF(OR($B1400="",$B1400="(blank)"),"",VLOOKUP($B1400,'Email Marketing Raw Data'!$C:$O,8,0)),"")</f>
        <v/>
      </c>
      <c r="Q1400" s="62" t="str">
        <f>IFERROR(IF(OR($B1400="",$B1400="(blank)"),"",VLOOKUP($B1400,'Email Marketing Raw Data'!$C:$O,9,0)),"")</f>
        <v/>
      </c>
    </row>
    <row r="1401" spans="4:17" ht="12.75" customHeight="1" x14ac:dyDescent="0.2">
      <c r="D1401" s="58" t="str">
        <f>IFERROR(IF(F1401&lt;&gt;"pending","",IF(OR($B1401="",$B1401="(blank)"),"",VLOOKUP($B1401,'Email Marketing Raw Data'!$C:$O,10,0))),"")</f>
        <v/>
      </c>
      <c r="E1401" s="59" t="str">
        <f>IFERROR(IF(F1401&lt;&gt;"pending","",IF(OR($B1401="",$B1401="(blank)"),"",VLOOKUP($B1401,'Email Marketing Raw Data'!$C:$O,11,0))),"")</f>
        <v/>
      </c>
      <c r="F1401" s="54" t="str">
        <f>IFERROR(IF(OR($B1401="",$B1401="(blank)"),"",VLOOKUP($B1401,'Email Marketing Raw Data'!$C:$O,13,0)),"")</f>
        <v/>
      </c>
      <c r="G1401" s="55" t="str">
        <f>IFERROR(IF(OR($B1401="",$B1401="(blank)"),"",VLOOKUP($B1401,'Email Marketing Raw Data'!$C:$O,4,0)),"")</f>
        <v/>
      </c>
      <c r="H1401" s="55" t="str">
        <f>IFERROR(IF(OR($B1401="",$B1401="(blank)"),"",VLOOKUP($B1401,'Email Marketing Raw Data'!$C:$O,5,0)),"")</f>
        <v/>
      </c>
      <c r="I1401" s="55" t="str">
        <f>IFERROR(IF($G1401="","",VLOOKUP('Dashboard And Emails Automate'!$G1401,Database!$H:$N,3,0)),"")</f>
        <v/>
      </c>
      <c r="J1401" s="55" t="str">
        <f>IFERROR(IF($G1401="","",VLOOKUP('Dashboard And Emails Automate'!$G1401,Database!$H:$N,4,0)),"")</f>
        <v/>
      </c>
      <c r="K1401" s="55" t="str">
        <f>IFERROR(IF($G1401="","",VLOOKUP('Dashboard And Emails Automate'!$G1401,Database!$H:$N,5,0)),"")</f>
        <v/>
      </c>
      <c r="L1401" s="55" t="str">
        <f>IFERROR(IF($G1401="","",VLOOKUP('Dashboard And Emails Automate'!$G1401,Database!$H:$N,6,0)),"")</f>
        <v/>
      </c>
      <c r="M1401" s="55" t="str">
        <f>IFERROR(IF($G1401="","",VLOOKUP('Dashboard And Emails Automate'!$G1401,Database!$H:$N,7,0)),"")</f>
        <v/>
      </c>
      <c r="N1401" s="55" t="str">
        <f>IFERROR(IF(OR($B1401="",$B1401="(blank)"),"",VLOOKUP($B1401,'Email Marketing Raw Data'!$C:$O,6,0)),"")</f>
        <v/>
      </c>
      <c r="O1401" s="55" t="str">
        <f>IFERROR(IF(OR($B1401="",$B1401="(blank)"),"",VLOOKUP($B1401,'Email Marketing Raw Data'!$C:$O,7,0)),"")</f>
        <v/>
      </c>
      <c r="P1401" s="55" t="str">
        <f>IFERROR(IF(OR($B1401="",$B1401="(blank)"),"",VLOOKUP($B1401,'Email Marketing Raw Data'!$C:$O,8,0)),"")</f>
        <v/>
      </c>
      <c r="Q1401" s="62" t="str">
        <f>IFERROR(IF(OR($B1401="",$B1401="(blank)"),"",VLOOKUP($B1401,'Email Marketing Raw Data'!$C:$O,9,0)),"")</f>
        <v/>
      </c>
    </row>
    <row r="1402" spans="4:17" ht="12.75" customHeight="1" x14ac:dyDescent="0.2">
      <c r="D1402" s="58" t="str">
        <f>IFERROR(IF(F1402&lt;&gt;"pending","",IF(OR($B1402="",$B1402="(blank)"),"",VLOOKUP($B1402,'Email Marketing Raw Data'!$C:$O,10,0))),"")</f>
        <v/>
      </c>
      <c r="E1402" s="59" t="str">
        <f>IFERROR(IF(F1402&lt;&gt;"pending","",IF(OR($B1402="",$B1402="(blank)"),"",VLOOKUP($B1402,'Email Marketing Raw Data'!$C:$O,11,0))),"")</f>
        <v/>
      </c>
      <c r="F1402" s="54" t="str">
        <f>IFERROR(IF(OR($B1402="",$B1402="(blank)"),"",VLOOKUP($B1402,'Email Marketing Raw Data'!$C:$O,13,0)),"")</f>
        <v/>
      </c>
      <c r="G1402" s="55" t="str">
        <f>IFERROR(IF(OR($B1402="",$B1402="(blank)"),"",VLOOKUP($B1402,'Email Marketing Raw Data'!$C:$O,4,0)),"")</f>
        <v/>
      </c>
      <c r="H1402" s="55" t="str">
        <f>IFERROR(IF(OR($B1402="",$B1402="(blank)"),"",VLOOKUP($B1402,'Email Marketing Raw Data'!$C:$O,5,0)),"")</f>
        <v/>
      </c>
      <c r="I1402" s="55" t="str">
        <f>IFERROR(IF($G1402="","",VLOOKUP('Dashboard And Emails Automate'!$G1402,Database!$H:$N,3,0)),"")</f>
        <v/>
      </c>
      <c r="J1402" s="55" t="str">
        <f>IFERROR(IF($G1402="","",VLOOKUP('Dashboard And Emails Automate'!$G1402,Database!$H:$N,4,0)),"")</f>
        <v/>
      </c>
      <c r="K1402" s="55" t="str">
        <f>IFERROR(IF($G1402="","",VLOOKUP('Dashboard And Emails Automate'!$G1402,Database!$H:$N,5,0)),"")</f>
        <v/>
      </c>
      <c r="L1402" s="55" t="str">
        <f>IFERROR(IF($G1402="","",VLOOKUP('Dashboard And Emails Automate'!$G1402,Database!$H:$N,6,0)),"")</f>
        <v/>
      </c>
      <c r="M1402" s="55" t="str">
        <f>IFERROR(IF($G1402="","",VLOOKUP('Dashboard And Emails Automate'!$G1402,Database!$H:$N,7,0)),"")</f>
        <v/>
      </c>
      <c r="N1402" s="55" t="str">
        <f>IFERROR(IF(OR($B1402="",$B1402="(blank)"),"",VLOOKUP($B1402,'Email Marketing Raw Data'!$C:$O,6,0)),"")</f>
        <v/>
      </c>
      <c r="O1402" s="55" t="str">
        <f>IFERROR(IF(OR($B1402="",$B1402="(blank)"),"",VLOOKUP($B1402,'Email Marketing Raw Data'!$C:$O,7,0)),"")</f>
        <v/>
      </c>
      <c r="P1402" s="55" t="str">
        <f>IFERROR(IF(OR($B1402="",$B1402="(blank)"),"",VLOOKUP($B1402,'Email Marketing Raw Data'!$C:$O,8,0)),"")</f>
        <v/>
      </c>
      <c r="Q1402" s="62" t="str">
        <f>IFERROR(IF(OR($B1402="",$B1402="(blank)"),"",VLOOKUP($B1402,'Email Marketing Raw Data'!$C:$O,9,0)),"")</f>
        <v/>
      </c>
    </row>
    <row r="1403" spans="4:17" ht="12.75" customHeight="1" x14ac:dyDescent="0.2">
      <c r="D1403" s="58" t="str">
        <f>IFERROR(IF(F1403&lt;&gt;"pending","",IF(OR($B1403="",$B1403="(blank)"),"",VLOOKUP($B1403,'Email Marketing Raw Data'!$C:$O,10,0))),"")</f>
        <v/>
      </c>
      <c r="E1403" s="59" t="str">
        <f>IFERROR(IF(F1403&lt;&gt;"pending","",IF(OR($B1403="",$B1403="(blank)"),"",VLOOKUP($B1403,'Email Marketing Raw Data'!$C:$O,11,0))),"")</f>
        <v/>
      </c>
      <c r="F1403" s="54" t="str">
        <f>IFERROR(IF(OR($B1403="",$B1403="(blank)"),"",VLOOKUP($B1403,'Email Marketing Raw Data'!$C:$O,13,0)),"")</f>
        <v/>
      </c>
      <c r="G1403" s="55" t="str">
        <f>IFERROR(IF(OR($B1403="",$B1403="(blank)"),"",VLOOKUP($B1403,'Email Marketing Raw Data'!$C:$O,4,0)),"")</f>
        <v/>
      </c>
      <c r="H1403" s="55" t="str">
        <f>IFERROR(IF(OR($B1403="",$B1403="(blank)"),"",VLOOKUP($B1403,'Email Marketing Raw Data'!$C:$O,5,0)),"")</f>
        <v/>
      </c>
      <c r="I1403" s="55" t="str">
        <f>IFERROR(IF($G1403="","",VLOOKUP('Dashboard And Emails Automate'!$G1403,Database!$H:$N,3,0)),"")</f>
        <v/>
      </c>
      <c r="J1403" s="55" t="str">
        <f>IFERROR(IF($G1403="","",VLOOKUP('Dashboard And Emails Automate'!$G1403,Database!$H:$N,4,0)),"")</f>
        <v/>
      </c>
      <c r="K1403" s="55" t="str">
        <f>IFERROR(IF($G1403="","",VLOOKUP('Dashboard And Emails Automate'!$G1403,Database!$H:$N,5,0)),"")</f>
        <v/>
      </c>
      <c r="L1403" s="55" t="str">
        <f>IFERROR(IF($G1403="","",VLOOKUP('Dashboard And Emails Automate'!$G1403,Database!$H:$N,6,0)),"")</f>
        <v/>
      </c>
      <c r="M1403" s="55" t="str">
        <f>IFERROR(IF($G1403="","",VLOOKUP('Dashboard And Emails Automate'!$G1403,Database!$H:$N,7,0)),"")</f>
        <v/>
      </c>
      <c r="N1403" s="55" t="str">
        <f>IFERROR(IF(OR($B1403="",$B1403="(blank)"),"",VLOOKUP($B1403,'Email Marketing Raw Data'!$C:$O,6,0)),"")</f>
        <v/>
      </c>
      <c r="O1403" s="55" t="str">
        <f>IFERROR(IF(OR($B1403="",$B1403="(blank)"),"",VLOOKUP($B1403,'Email Marketing Raw Data'!$C:$O,7,0)),"")</f>
        <v/>
      </c>
      <c r="P1403" s="55" t="str">
        <f>IFERROR(IF(OR($B1403="",$B1403="(blank)"),"",VLOOKUP($B1403,'Email Marketing Raw Data'!$C:$O,8,0)),"")</f>
        <v/>
      </c>
      <c r="Q1403" s="62" t="str">
        <f>IFERROR(IF(OR($B1403="",$B1403="(blank)"),"",VLOOKUP($B1403,'Email Marketing Raw Data'!$C:$O,9,0)),"")</f>
        <v/>
      </c>
    </row>
    <row r="1404" spans="4:17" ht="12.75" customHeight="1" x14ac:dyDescent="0.2">
      <c r="D1404" s="58" t="str">
        <f>IFERROR(IF(F1404&lt;&gt;"pending","",IF(OR($B1404="",$B1404="(blank)"),"",VLOOKUP($B1404,'Email Marketing Raw Data'!$C:$O,10,0))),"")</f>
        <v/>
      </c>
      <c r="E1404" s="59" t="str">
        <f>IFERROR(IF(F1404&lt;&gt;"pending","",IF(OR($B1404="",$B1404="(blank)"),"",VLOOKUP($B1404,'Email Marketing Raw Data'!$C:$O,11,0))),"")</f>
        <v/>
      </c>
      <c r="F1404" s="54" t="str">
        <f>IFERROR(IF(OR($B1404="",$B1404="(blank)"),"",VLOOKUP($B1404,'Email Marketing Raw Data'!$C:$O,13,0)),"")</f>
        <v/>
      </c>
      <c r="G1404" s="55" t="str">
        <f>IFERROR(IF(OR($B1404="",$B1404="(blank)"),"",VLOOKUP($B1404,'Email Marketing Raw Data'!$C:$O,4,0)),"")</f>
        <v/>
      </c>
      <c r="H1404" s="55" t="str">
        <f>IFERROR(IF(OR($B1404="",$B1404="(blank)"),"",VLOOKUP($B1404,'Email Marketing Raw Data'!$C:$O,5,0)),"")</f>
        <v/>
      </c>
      <c r="I1404" s="55" t="str">
        <f>IFERROR(IF($G1404="","",VLOOKUP('Dashboard And Emails Automate'!$G1404,Database!$H:$N,3,0)),"")</f>
        <v/>
      </c>
      <c r="J1404" s="55" t="str">
        <f>IFERROR(IF($G1404="","",VLOOKUP('Dashboard And Emails Automate'!$G1404,Database!$H:$N,4,0)),"")</f>
        <v/>
      </c>
      <c r="K1404" s="55" t="str">
        <f>IFERROR(IF($G1404="","",VLOOKUP('Dashboard And Emails Automate'!$G1404,Database!$H:$N,5,0)),"")</f>
        <v/>
      </c>
      <c r="L1404" s="55" t="str">
        <f>IFERROR(IF($G1404="","",VLOOKUP('Dashboard And Emails Automate'!$G1404,Database!$H:$N,6,0)),"")</f>
        <v/>
      </c>
      <c r="M1404" s="55" t="str">
        <f>IFERROR(IF($G1404="","",VLOOKUP('Dashboard And Emails Automate'!$G1404,Database!$H:$N,7,0)),"")</f>
        <v/>
      </c>
      <c r="N1404" s="55" t="str">
        <f>IFERROR(IF(OR($B1404="",$B1404="(blank)"),"",VLOOKUP($B1404,'Email Marketing Raw Data'!$C:$O,6,0)),"")</f>
        <v/>
      </c>
      <c r="O1404" s="55" t="str">
        <f>IFERROR(IF(OR($B1404="",$B1404="(blank)"),"",VLOOKUP($B1404,'Email Marketing Raw Data'!$C:$O,7,0)),"")</f>
        <v/>
      </c>
      <c r="P1404" s="55" t="str">
        <f>IFERROR(IF(OR($B1404="",$B1404="(blank)"),"",VLOOKUP($B1404,'Email Marketing Raw Data'!$C:$O,8,0)),"")</f>
        <v/>
      </c>
      <c r="Q1404" s="62" t="str">
        <f>IFERROR(IF(OR($B1404="",$B1404="(blank)"),"",VLOOKUP($B1404,'Email Marketing Raw Data'!$C:$O,9,0)),"")</f>
        <v/>
      </c>
    </row>
    <row r="1405" spans="4:17" ht="12.75" customHeight="1" x14ac:dyDescent="0.2">
      <c r="D1405" s="58" t="str">
        <f>IFERROR(IF(F1405&lt;&gt;"pending","",IF(OR($B1405="",$B1405="(blank)"),"",VLOOKUP($B1405,'Email Marketing Raw Data'!$C:$O,10,0))),"")</f>
        <v/>
      </c>
      <c r="E1405" s="59" t="str">
        <f>IFERROR(IF(F1405&lt;&gt;"pending","",IF(OR($B1405="",$B1405="(blank)"),"",VLOOKUP($B1405,'Email Marketing Raw Data'!$C:$O,11,0))),"")</f>
        <v/>
      </c>
      <c r="F1405" s="54" t="str">
        <f>IFERROR(IF(OR($B1405="",$B1405="(blank)"),"",VLOOKUP($B1405,'Email Marketing Raw Data'!$C:$O,13,0)),"")</f>
        <v/>
      </c>
      <c r="G1405" s="55" t="str">
        <f>IFERROR(IF(OR($B1405="",$B1405="(blank)"),"",VLOOKUP($B1405,'Email Marketing Raw Data'!$C:$O,4,0)),"")</f>
        <v/>
      </c>
      <c r="H1405" s="55" t="str">
        <f>IFERROR(IF(OR($B1405="",$B1405="(blank)"),"",VLOOKUP($B1405,'Email Marketing Raw Data'!$C:$O,5,0)),"")</f>
        <v/>
      </c>
      <c r="I1405" s="55" t="str">
        <f>IFERROR(IF($G1405="","",VLOOKUP('Dashboard And Emails Automate'!$G1405,Database!$H:$N,3,0)),"")</f>
        <v/>
      </c>
      <c r="J1405" s="55" t="str">
        <f>IFERROR(IF($G1405="","",VLOOKUP('Dashboard And Emails Automate'!$G1405,Database!$H:$N,4,0)),"")</f>
        <v/>
      </c>
      <c r="K1405" s="55" t="str">
        <f>IFERROR(IF($G1405="","",VLOOKUP('Dashboard And Emails Automate'!$G1405,Database!$H:$N,5,0)),"")</f>
        <v/>
      </c>
      <c r="L1405" s="55" t="str">
        <f>IFERROR(IF($G1405="","",VLOOKUP('Dashboard And Emails Automate'!$G1405,Database!$H:$N,6,0)),"")</f>
        <v/>
      </c>
      <c r="M1405" s="55" t="str">
        <f>IFERROR(IF($G1405="","",VLOOKUP('Dashboard And Emails Automate'!$G1405,Database!$H:$N,7,0)),"")</f>
        <v/>
      </c>
      <c r="N1405" s="55" t="str">
        <f>IFERROR(IF(OR($B1405="",$B1405="(blank)"),"",VLOOKUP($B1405,'Email Marketing Raw Data'!$C:$O,6,0)),"")</f>
        <v/>
      </c>
      <c r="O1405" s="55" t="str">
        <f>IFERROR(IF(OR($B1405="",$B1405="(blank)"),"",VLOOKUP($B1405,'Email Marketing Raw Data'!$C:$O,7,0)),"")</f>
        <v/>
      </c>
      <c r="P1405" s="55" t="str">
        <f>IFERROR(IF(OR($B1405="",$B1405="(blank)"),"",VLOOKUP($B1405,'Email Marketing Raw Data'!$C:$O,8,0)),"")</f>
        <v/>
      </c>
      <c r="Q1405" s="62" t="str">
        <f>IFERROR(IF(OR($B1405="",$B1405="(blank)"),"",VLOOKUP($B1405,'Email Marketing Raw Data'!$C:$O,9,0)),"")</f>
        <v/>
      </c>
    </row>
    <row r="1406" spans="4:17" ht="12.75" customHeight="1" x14ac:dyDescent="0.2">
      <c r="D1406" s="58" t="str">
        <f>IFERROR(IF(F1406&lt;&gt;"pending","",IF(OR($B1406="",$B1406="(blank)"),"",VLOOKUP($B1406,'Email Marketing Raw Data'!$C:$O,10,0))),"")</f>
        <v/>
      </c>
      <c r="E1406" s="59" t="str">
        <f>IFERROR(IF(F1406&lt;&gt;"pending","",IF(OR($B1406="",$B1406="(blank)"),"",VLOOKUP($B1406,'Email Marketing Raw Data'!$C:$O,11,0))),"")</f>
        <v/>
      </c>
      <c r="F1406" s="54" t="str">
        <f>IFERROR(IF(OR($B1406="",$B1406="(blank)"),"",VLOOKUP($B1406,'Email Marketing Raw Data'!$C:$O,13,0)),"")</f>
        <v/>
      </c>
      <c r="G1406" s="55" t="str">
        <f>IFERROR(IF(OR($B1406="",$B1406="(blank)"),"",VLOOKUP($B1406,'Email Marketing Raw Data'!$C:$O,4,0)),"")</f>
        <v/>
      </c>
      <c r="H1406" s="55" t="str">
        <f>IFERROR(IF(OR($B1406="",$B1406="(blank)"),"",VLOOKUP($B1406,'Email Marketing Raw Data'!$C:$O,5,0)),"")</f>
        <v/>
      </c>
      <c r="I1406" s="55" t="str">
        <f>IFERROR(IF($G1406="","",VLOOKUP('Dashboard And Emails Automate'!$G1406,Database!$H:$N,3,0)),"")</f>
        <v/>
      </c>
      <c r="J1406" s="55" t="str">
        <f>IFERROR(IF($G1406="","",VLOOKUP('Dashboard And Emails Automate'!$G1406,Database!$H:$N,4,0)),"")</f>
        <v/>
      </c>
      <c r="K1406" s="55" t="str">
        <f>IFERROR(IF($G1406="","",VLOOKUP('Dashboard And Emails Automate'!$G1406,Database!$H:$N,5,0)),"")</f>
        <v/>
      </c>
      <c r="L1406" s="55" t="str">
        <f>IFERROR(IF($G1406="","",VLOOKUP('Dashboard And Emails Automate'!$G1406,Database!$H:$N,6,0)),"")</f>
        <v/>
      </c>
      <c r="M1406" s="55" t="str">
        <f>IFERROR(IF($G1406="","",VLOOKUP('Dashboard And Emails Automate'!$G1406,Database!$H:$N,7,0)),"")</f>
        <v/>
      </c>
      <c r="N1406" s="55" t="str">
        <f>IFERROR(IF(OR($B1406="",$B1406="(blank)"),"",VLOOKUP($B1406,'Email Marketing Raw Data'!$C:$O,6,0)),"")</f>
        <v/>
      </c>
      <c r="O1406" s="55" t="str">
        <f>IFERROR(IF(OR($B1406="",$B1406="(blank)"),"",VLOOKUP($B1406,'Email Marketing Raw Data'!$C:$O,7,0)),"")</f>
        <v/>
      </c>
      <c r="P1406" s="55" t="str">
        <f>IFERROR(IF(OR($B1406="",$B1406="(blank)"),"",VLOOKUP($B1406,'Email Marketing Raw Data'!$C:$O,8,0)),"")</f>
        <v/>
      </c>
      <c r="Q1406" s="62" t="str">
        <f>IFERROR(IF(OR($B1406="",$B1406="(blank)"),"",VLOOKUP($B1406,'Email Marketing Raw Data'!$C:$O,9,0)),"")</f>
        <v/>
      </c>
    </row>
    <row r="1407" spans="4:17" ht="12.75" customHeight="1" x14ac:dyDescent="0.2">
      <c r="D1407" s="58" t="str">
        <f>IFERROR(IF(F1407&lt;&gt;"pending","",IF(OR($B1407="",$B1407="(blank)"),"",VLOOKUP($B1407,'Email Marketing Raw Data'!$C:$O,10,0))),"")</f>
        <v/>
      </c>
      <c r="E1407" s="59" t="str">
        <f>IFERROR(IF(F1407&lt;&gt;"pending","",IF(OR($B1407="",$B1407="(blank)"),"",VLOOKUP($B1407,'Email Marketing Raw Data'!$C:$O,11,0))),"")</f>
        <v/>
      </c>
      <c r="F1407" s="54" t="str">
        <f>IFERROR(IF(OR($B1407="",$B1407="(blank)"),"",VLOOKUP($B1407,'Email Marketing Raw Data'!$C:$O,13,0)),"")</f>
        <v/>
      </c>
      <c r="G1407" s="55" t="str">
        <f>IFERROR(IF(OR($B1407="",$B1407="(blank)"),"",VLOOKUP($B1407,'Email Marketing Raw Data'!$C:$O,4,0)),"")</f>
        <v/>
      </c>
      <c r="H1407" s="55" t="str">
        <f>IFERROR(IF(OR($B1407="",$B1407="(blank)"),"",VLOOKUP($B1407,'Email Marketing Raw Data'!$C:$O,5,0)),"")</f>
        <v/>
      </c>
      <c r="I1407" s="55" t="str">
        <f>IFERROR(IF($G1407="","",VLOOKUP('Dashboard And Emails Automate'!$G1407,Database!$H:$N,3,0)),"")</f>
        <v/>
      </c>
      <c r="J1407" s="55" t="str">
        <f>IFERROR(IF($G1407="","",VLOOKUP('Dashboard And Emails Automate'!$G1407,Database!$H:$N,4,0)),"")</f>
        <v/>
      </c>
      <c r="K1407" s="55" t="str">
        <f>IFERROR(IF($G1407="","",VLOOKUP('Dashboard And Emails Automate'!$G1407,Database!$H:$N,5,0)),"")</f>
        <v/>
      </c>
      <c r="L1407" s="55" t="str">
        <f>IFERROR(IF($G1407="","",VLOOKUP('Dashboard And Emails Automate'!$G1407,Database!$H:$N,6,0)),"")</f>
        <v/>
      </c>
      <c r="M1407" s="55" t="str">
        <f>IFERROR(IF($G1407="","",VLOOKUP('Dashboard And Emails Automate'!$G1407,Database!$H:$N,7,0)),"")</f>
        <v/>
      </c>
      <c r="N1407" s="55" t="str">
        <f>IFERROR(IF(OR($B1407="",$B1407="(blank)"),"",VLOOKUP($B1407,'Email Marketing Raw Data'!$C:$O,6,0)),"")</f>
        <v/>
      </c>
      <c r="O1407" s="55" t="str">
        <f>IFERROR(IF(OR($B1407="",$B1407="(blank)"),"",VLOOKUP($B1407,'Email Marketing Raw Data'!$C:$O,7,0)),"")</f>
        <v/>
      </c>
      <c r="P1407" s="55" t="str">
        <f>IFERROR(IF(OR($B1407="",$B1407="(blank)"),"",VLOOKUP($B1407,'Email Marketing Raw Data'!$C:$O,8,0)),"")</f>
        <v/>
      </c>
      <c r="Q1407" s="62" t="str">
        <f>IFERROR(IF(OR($B1407="",$B1407="(blank)"),"",VLOOKUP($B1407,'Email Marketing Raw Data'!$C:$O,9,0)),"")</f>
        <v/>
      </c>
    </row>
    <row r="1408" spans="4:17" ht="12.75" customHeight="1" x14ac:dyDescent="0.2">
      <c r="D1408" s="58" t="str">
        <f>IFERROR(IF(F1408&lt;&gt;"pending","",IF(OR($B1408="",$B1408="(blank)"),"",VLOOKUP($B1408,'Email Marketing Raw Data'!$C:$O,10,0))),"")</f>
        <v/>
      </c>
      <c r="E1408" s="59" t="str">
        <f>IFERROR(IF(F1408&lt;&gt;"pending","",IF(OR($B1408="",$B1408="(blank)"),"",VLOOKUP($B1408,'Email Marketing Raw Data'!$C:$O,11,0))),"")</f>
        <v/>
      </c>
      <c r="F1408" s="54" t="str">
        <f>IFERROR(IF(OR($B1408="",$B1408="(blank)"),"",VLOOKUP($B1408,'Email Marketing Raw Data'!$C:$O,13,0)),"")</f>
        <v/>
      </c>
      <c r="G1408" s="55" t="str">
        <f>IFERROR(IF(OR($B1408="",$B1408="(blank)"),"",VLOOKUP($B1408,'Email Marketing Raw Data'!$C:$O,4,0)),"")</f>
        <v/>
      </c>
      <c r="H1408" s="55" t="str">
        <f>IFERROR(IF(OR($B1408="",$B1408="(blank)"),"",VLOOKUP($B1408,'Email Marketing Raw Data'!$C:$O,5,0)),"")</f>
        <v/>
      </c>
      <c r="I1408" s="55" t="str">
        <f>IFERROR(IF($G1408="","",VLOOKUP('Dashboard And Emails Automate'!$G1408,Database!$H:$N,3,0)),"")</f>
        <v/>
      </c>
      <c r="J1408" s="55" t="str">
        <f>IFERROR(IF($G1408="","",VLOOKUP('Dashboard And Emails Automate'!$G1408,Database!$H:$N,4,0)),"")</f>
        <v/>
      </c>
      <c r="K1408" s="55" t="str">
        <f>IFERROR(IF($G1408="","",VLOOKUP('Dashboard And Emails Automate'!$G1408,Database!$H:$N,5,0)),"")</f>
        <v/>
      </c>
      <c r="L1408" s="55" t="str">
        <f>IFERROR(IF($G1408="","",VLOOKUP('Dashboard And Emails Automate'!$G1408,Database!$H:$N,6,0)),"")</f>
        <v/>
      </c>
      <c r="M1408" s="55" t="str">
        <f>IFERROR(IF($G1408="","",VLOOKUP('Dashboard And Emails Automate'!$G1408,Database!$H:$N,7,0)),"")</f>
        <v/>
      </c>
      <c r="N1408" s="55" t="str">
        <f>IFERROR(IF(OR($B1408="",$B1408="(blank)"),"",VLOOKUP($B1408,'Email Marketing Raw Data'!$C:$O,6,0)),"")</f>
        <v/>
      </c>
      <c r="O1408" s="55" t="str">
        <f>IFERROR(IF(OR($B1408="",$B1408="(blank)"),"",VLOOKUP($B1408,'Email Marketing Raw Data'!$C:$O,7,0)),"")</f>
        <v/>
      </c>
      <c r="P1408" s="55" t="str">
        <f>IFERROR(IF(OR($B1408="",$B1408="(blank)"),"",VLOOKUP($B1408,'Email Marketing Raw Data'!$C:$O,8,0)),"")</f>
        <v/>
      </c>
      <c r="Q1408" s="62" t="str">
        <f>IFERROR(IF(OR($B1408="",$B1408="(blank)"),"",VLOOKUP($B1408,'Email Marketing Raw Data'!$C:$O,9,0)),"")</f>
        <v/>
      </c>
    </row>
    <row r="1409" spans="4:17" ht="12.75" customHeight="1" x14ac:dyDescent="0.2">
      <c r="D1409" s="58" t="str">
        <f>IFERROR(IF(F1409&lt;&gt;"pending","",IF(OR($B1409="",$B1409="(blank)"),"",VLOOKUP($B1409,'Email Marketing Raw Data'!$C:$O,10,0))),"")</f>
        <v/>
      </c>
      <c r="E1409" s="59" t="str">
        <f>IFERROR(IF(F1409&lt;&gt;"pending","",IF(OR($B1409="",$B1409="(blank)"),"",VLOOKUP($B1409,'Email Marketing Raw Data'!$C:$O,11,0))),"")</f>
        <v/>
      </c>
      <c r="F1409" s="54" t="str">
        <f>IFERROR(IF(OR($B1409="",$B1409="(blank)"),"",VLOOKUP($B1409,'Email Marketing Raw Data'!$C:$O,13,0)),"")</f>
        <v/>
      </c>
      <c r="G1409" s="55" t="str">
        <f>IFERROR(IF(OR($B1409="",$B1409="(blank)"),"",VLOOKUP($B1409,'Email Marketing Raw Data'!$C:$O,4,0)),"")</f>
        <v/>
      </c>
      <c r="H1409" s="55" t="str">
        <f>IFERROR(IF(OR($B1409="",$B1409="(blank)"),"",VLOOKUP($B1409,'Email Marketing Raw Data'!$C:$O,5,0)),"")</f>
        <v/>
      </c>
      <c r="I1409" s="55" t="str">
        <f>IFERROR(IF($G1409="","",VLOOKUP('Dashboard And Emails Automate'!$G1409,Database!$H:$N,3,0)),"")</f>
        <v/>
      </c>
      <c r="J1409" s="55" t="str">
        <f>IFERROR(IF($G1409="","",VLOOKUP('Dashboard And Emails Automate'!$G1409,Database!$H:$N,4,0)),"")</f>
        <v/>
      </c>
      <c r="K1409" s="55" t="str">
        <f>IFERROR(IF($G1409="","",VLOOKUP('Dashboard And Emails Automate'!$G1409,Database!$H:$N,5,0)),"")</f>
        <v/>
      </c>
      <c r="L1409" s="55" t="str">
        <f>IFERROR(IF($G1409="","",VLOOKUP('Dashboard And Emails Automate'!$G1409,Database!$H:$N,6,0)),"")</f>
        <v/>
      </c>
      <c r="M1409" s="55" t="str">
        <f>IFERROR(IF($G1409="","",VLOOKUP('Dashboard And Emails Automate'!$G1409,Database!$H:$N,7,0)),"")</f>
        <v/>
      </c>
      <c r="N1409" s="55" t="str">
        <f>IFERROR(IF(OR($B1409="",$B1409="(blank)"),"",VLOOKUP($B1409,'Email Marketing Raw Data'!$C:$O,6,0)),"")</f>
        <v/>
      </c>
      <c r="O1409" s="55" t="str">
        <f>IFERROR(IF(OR($B1409="",$B1409="(blank)"),"",VLOOKUP($B1409,'Email Marketing Raw Data'!$C:$O,7,0)),"")</f>
        <v/>
      </c>
      <c r="P1409" s="55" t="str">
        <f>IFERROR(IF(OR($B1409="",$B1409="(blank)"),"",VLOOKUP($B1409,'Email Marketing Raw Data'!$C:$O,8,0)),"")</f>
        <v/>
      </c>
      <c r="Q1409" s="62" t="str">
        <f>IFERROR(IF(OR($B1409="",$B1409="(blank)"),"",VLOOKUP($B1409,'Email Marketing Raw Data'!$C:$O,9,0)),"")</f>
        <v/>
      </c>
    </row>
    <row r="1410" spans="4:17" ht="12.75" customHeight="1" x14ac:dyDescent="0.2">
      <c r="D1410" s="58" t="str">
        <f>IFERROR(IF(F1410&lt;&gt;"pending","",IF(OR($B1410="",$B1410="(blank)"),"",VLOOKUP($B1410,'Email Marketing Raw Data'!$C:$O,10,0))),"")</f>
        <v/>
      </c>
      <c r="E1410" s="59" t="str">
        <f>IFERROR(IF(F1410&lt;&gt;"pending","",IF(OR($B1410="",$B1410="(blank)"),"",VLOOKUP($B1410,'Email Marketing Raw Data'!$C:$O,11,0))),"")</f>
        <v/>
      </c>
      <c r="F1410" s="54" t="str">
        <f>IFERROR(IF(OR($B1410="",$B1410="(blank)"),"",VLOOKUP($B1410,'Email Marketing Raw Data'!$C:$O,13,0)),"")</f>
        <v/>
      </c>
      <c r="G1410" s="55" t="str">
        <f>IFERROR(IF(OR($B1410="",$B1410="(blank)"),"",VLOOKUP($B1410,'Email Marketing Raw Data'!$C:$O,4,0)),"")</f>
        <v/>
      </c>
      <c r="H1410" s="55" t="str">
        <f>IFERROR(IF(OR($B1410="",$B1410="(blank)"),"",VLOOKUP($B1410,'Email Marketing Raw Data'!$C:$O,5,0)),"")</f>
        <v/>
      </c>
      <c r="I1410" s="55" t="str">
        <f>IFERROR(IF($G1410="","",VLOOKUP('Dashboard And Emails Automate'!$G1410,Database!$H:$N,3,0)),"")</f>
        <v/>
      </c>
      <c r="J1410" s="55" t="str">
        <f>IFERROR(IF($G1410="","",VLOOKUP('Dashboard And Emails Automate'!$G1410,Database!$H:$N,4,0)),"")</f>
        <v/>
      </c>
      <c r="K1410" s="55" t="str">
        <f>IFERROR(IF($G1410="","",VLOOKUP('Dashboard And Emails Automate'!$G1410,Database!$H:$N,5,0)),"")</f>
        <v/>
      </c>
      <c r="L1410" s="55" t="str">
        <f>IFERROR(IF($G1410="","",VLOOKUP('Dashboard And Emails Automate'!$G1410,Database!$H:$N,6,0)),"")</f>
        <v/>
      </c>
      <c r="M1410" s="55" t="str">
        <f>IFERROR(IF($G1410="","",VLOOKUP('Dashboard And Emails Automate'!$G1410,Database!$H:$N,7,0)),"")</f>
        <v/>
      </c>
      <c r="N1410" s="55" t="str">
        <f>IFERROR(IF(OR($B1410="",$B1410="(blank)"),"",VLOOKUP($B1410,'Email Marketing Raw Data'!$C:$O,6,0)),"")</f>
        <v/>
      </c>
      <c r="O1410" s="55" t="str">
        <f>IFERROR(IF(OR($B1410="",$B1410="(blank)"),"",VLOOKUP($B1410,'Email Marketing Raw Data'!$C:$O,7,0)),"")</f>
        <v/>
      </c>
      <c r="P1410" s="55" t="str">
        <f>IFERROR(IF(OR($B1410="",$B1410="(blank)"),"",VLOOKUP($B1410,'Email Marketing Raw Data'!$C:$O,8,0)),"")</f>
        <v/>
      </c>
      <c r="Q1410" s="62" t="str">
        <f>IFERROR(IF(OR($B1410="",$B1410="(blank)"),"",VLOOKUP($B1410,'Email Marketing Raw Data'!$C:$O,9,0)),"")</f>
        <v/>
      </c>
    </row>
    <row r="1411" spans="4:17" ht="12.75" customHeight="1" x14ac:dyDescent="0.2">
      <c r="D1411" s="58" t="str">
        <f>IFERROR(IF(F1411&lt;&gt;"pending","",IF(OR($B1411="",$B1411="(blank)"),"",VLOOKUP($B1411,'Email Marketing Raw Data'!$C:$O,10,0))),"")</f>
        <v/>
      </c>
      <c r="E1411" s="59" t="str">
        <f>IFERROR(IF(F1411&lt;&gt;"pending","",IF(OR($B1411="",$B1411="(blank)"),"",VLOOKUP($B1411,'Email Marketing Raw Data'!$C:$O,11,0))),"")</f>
        <v/>
      </c>
      <c r="F1411" s="54" t="str">
        <f>IFERROR(IF(OR($B1411="",$B1411="(blank)"),"",VLOOKUP($B1411,'Email Marketing Raw Data'!$C:$O,13,0)),"")</f>
        <v/>
      </c>
      <c r="G1411" s="55" t="str">
        <f>IFERROR(IF(OR($B1411="",$B1411="(blank)"),"",VLOOKUP($B1411,'Email Marketing Raw Data'!$C:$O,4,0)),"")</f>
        <v/>
      </c>
      <c r="H1411" s="55" t="str">
        <f>IFERROR(IF(OR($B1411="",$B1411="(blank)"),"",VLOOKUP($B1411,'Email Marketing Raw Data'!$C:$O,5,0)),"")</f>
        <v/>
      </c>
      <c r="I1411" s="55" t="str">
        <f>IFERROR(IF($G1411="","",VLOOKUP('Dashboard And Emails Automate'!$G1411,Database!$H:$N,3,0)),"")</f>
        <v/>
      </c>
      <c r="J1411" s="55" t="str">
        <f>IFERROR(IF($G1411="","",VLOOKUP('Dashboard And Emails Automate'!$G1411,Database!$H:$N,4,0)),"")</f>
        <v/>
      </c>
      <c r="K1411" s="55" t="str">
        <f>IFERROR(IF($G1411="","",VLOOKUP('Dashboard And Emails Automate'!$G1411,Database!$H:$N,5,0)),"")</f>
        <v/>
      </c>
      <c r="L1411" s="55" t="str">
        <f>IFERROR(IF($G1411="","",VLOOKUP('Dashboard And Emails Automate'!$G1411,Database!$H:$N,6,0)),"")</f>
        <v/>
      </c>
      <c r="M1411" s="55" t="str">
        <f>IFERROR(IF($G1411="","",VLOOKUP('Dashboard And Emails Automate'!$G1411,Database!$H:$N,7,0)),"")</f>
        <v/>
      </c>
      <c r="N1411" s="55" t="str">
        <f>IFERROR(IF(OR($B1411="",$B1411="(blank)"),"",VLOOKUP($B1411,'Email Marketing Raw Data'!$C:$O,6,0)),"")</f>
        <v/>
      </c>
      <c r="O1411" s="55" t="str">
        <f>IFERROR(IF(OR($B1411="",$B1411="(blank)"),"",VLOOKUP($B1411,'Email Marketing Raw Data'!$C:$O,7,0)),"")</f>
        <v/>
      </c>
      <c r="P1411" s="55" t="str">
        <f>IFERROR(IF(OR($B1411="",$B1411="(blank)"),"",VLOOKUP($B1411,'Email Marketing Raw Data'!$C:$O,8,0)),"")</f>
        <v/>
      </c>
      <c r="Q1411" s="62" t="str">
        <f>IFERROR(IF(OR($B1411="",$B1411="(blank)"),"",VLOOKUP($B1411,'Email Marketing Raw Data'!$C:$O,9,0)),"")</f>
        <v/>
      </c>
    </row>
    <row r="1412" spans="4:17" ht="12.75" customHeight="1" x14ac:dyDescent="0.2">
      <c r="D1412" s="58" t="str">
        <f>IFERROR(IF(F1412&lt;&gt;"pending","",IF(OR($B1412="",$B1412="(blank)"),"",VLOOKUP($B1412,'Email Marketing Raw Data'!$C:$O,10,0))),"")</f>
        <v/>
      </c>
      <c r="E1412" s="59" t="str">
        <f>IFERROR(IF(F1412&lt;&gt;"pending","",IF(OR($B1412="",$B1412="(blank)"),"",VLOOKUP($B1412,'Email Marketing Raw Data'!$C:$O,11,0))),"")</f>
        <v/>
      </c>
      <c r="F1412" s="54" t="str">
        <f>IFERROR(IF(OR($B1412="",$B1412="(blank)"),"",VLOOKUP($B1412,'Email Marketing Raw Data'!$C:$O,13,0)),"")</f>
        <v/>
      </c>
      <c r="G1412" s="55" t="str">
        <f>IFERROR(IF(OR($B1412="",$B1412="(blank)"),"",VLOOKUP($B1412,'Email Marketing Raw Data'!$C:$O,4,0)),"")</f>
        <v/>
      </c>
      <c r="H1412" s="55" t="str">
        <f>IFERROR(IF(OR($B1412="",$B1412="(blank)"),"",VLOOKUP($B1412,'Email Marketing Raw Data'!$C:$O,5,0)),"")</f>
        <v/>
      </c>
      <c r="I1412" s="55" t="str">
        <f>IFERROR(IF($G1412="","",VLOOKUP('Dashboard And Emails Automate'!$G1412,Database!$H:$N,3,0)),"")</f>
        <v/>
      </c>
      <c r="J1412" s="55" t="str">
        <f>IFERROR(IF($G1412="","",VLOOKUP('Dashboard And Emails Automate'!$G1412,Database!$H:$N,4,0)),"")</f>
        <v/>
      </c>
      <c r="K1412" s="55" t="str">
        <f>IFERROR(IF($G1412="","",VLOOKUP('Dashboard And Emails Automate'!$G1412,Database!$H:$N,5,0)),"")</f>
        <v/>
      </c>
      <c r="L1412" s="55" t="str">
        <f>IFERROR(IF($G1412="","",VLOOKUP('Dashboard And Emails Automate'!$G1412,Database!$H:$N,6,0)),"")</f>
        <v/>
      </c>
      <c r="M1412" s="55" t="str">
        <f>IFERROR(IF($G1412="","",VLOOKUP('Dashboard And Emails Automate'!$G1412,Database!$H:$N,7,0)),"")</f>
        <v/>
      </c>
      <c r="N1412" s="55" t="str">
        <f>IFERROR(IF(OR($B1412="",$B1412="(blank)"),"",VLOOKUP($B1412,'Email Marketing Raw Data'!$C:$O,6,0)),"")</f>
        <v/>
      </c>
      <c r="O1412" s="55" t="str">
        <f>IFERROR(IF(OR($B1412="",$B1412="(blank)"),"",VLOOKUP($B1412,'Email Marketing Raw Data'!$C:$O,7,0)),"")</f>
        <v/>
      </c>
      <c r="P1412" s="55" t="str">
        <f>IFERROR(IF(OR($B1412="",$B1412="(blank)"),"",VLOOKUP($B1412,'Email Marketing Raw Data'!$C:$O,8,0)),"")</f>
        <v/>
      </c>
      <c r="Q1412" s="62" t="str">
        <f>IFERROR(IF(OR($B1412="",$B1412="(blank)"),"",VLOOKUP($B1412,'Email Marketing Raw Data'!$C:$O,9,0)),"")</f>
        <v/>
      </c>
    </row>
    <row r="1413" spans="4:17" ht="12.75" customHeight="1" x14ac:dyDescent="0.2">
      <c r="D1413" s="58" t="str">
        <f>IFERROR(IF(F1413&lt;&gt;"pending","",IF(OR($B1413="",$B1413="(blank)"),"",VLOOKUP($B1413,'Email Marketing Raw Data'!$C:$O,10,0))),"")</f>
        <v/>
      </c>
      <c r="E1413" s="59" t="str">
        <f>IFERROR(IF(F1413&lt;&gt;"pending","",IF(OR($B1413="",$B1413="(blank)"),"",VLOOKUP($B1413,'Email Marketing Raw Data'!$C:$O,11,0))),"")</f>
        <v/>
      </c>
      <c r="F1413" s="54" t="str">
        <f>IFERROR(IF(OR($B1413="",$B1413="(blank)"),"",VLOOKUP($B1413,'Email Marketing Raw Data'!$C:$O,13,0)),"")</f>
        <v/>
      </c>
      <c r="G1413" s="55" t="str">
        <f>IFERROR(IF(OR($B1413="",$B1413="(blank)"),"",VLOOKUP($B1413,'Email Marketing Raw Data'!$C:$O,4,0)),"")</f>
        <v/>
      </c>
      <c r="H1413" s="55" t="str">
        <f>IFERROR(IF(OR($B1413="",$B1413="(blank)"),"",VLOOKUP($B1413,'Email Marketing Raw Data'!$C:$O,5,0)),"")</f>
        <v/>
      </c>
      <c r="I1413" s="55" t="str">
        <f>IFERROR(IF($G1413="","",VLOOKUP('Dashboard And Emails Automate'!$G1413,Database!$H:$N,3,0)),"")</f>
        <v/>
      </c>
      <c r="J1413" s="55" t="str">
        <f>IFERROR(IF($G1413="","",VLOOKUP('Dashboard And Emails Automate'!$G1413,Database!$H:$N,4,0)),"")</f>
        <v/>
      </c>
      <c r="K1413" s="55" t="str">
        <f>IFERROR(IF($G1413="","",VLOOKUP('Dashboard And Emails Automate'!$G1413,Database!$H:$N,5,0)),"")</f>
        <v/>
      </c>
      <c r="L1413" s="55" t="str">
        <f>IFERROR(IF($G1413="","",VLOOKUP('Dashboard And Emails Automate'!$G1413,Database!$H:$N,6,0)),"")</f>
        <v/>
      </c>
      <c r="M1413" s="55" t="str">
        <f>IFERROR(IF($G1413="","",VLOOKUP('Dashboard And Emails Automate'!$G1413,Database!$H:$N,7,0)),"")</f>
        <v/>
      </c>
      <c r="N1413" s="55" t="str">
        <f>IFERROR(IF(OR($B1413="",$B1413="(blank)"),"",VLOOKUP($B1413,'Email Marketing Raw Data'!$C:$O,6,0)),"")</f>
        <v/>
      </c>
      <c r="O1413" s="55" t="str">
        <f>IFERROR(IF(OR($B1413="",$B1413="(blank)"),"",VLOOKUP($B1413,'Email Marketing Raw Data'!$C:$O,7,0)),"")</f>
        <v/>
      </c>
      <c r="P1413" s="55" t="str">
        <f>IFERROR(IF(OR($B1413="",$B1413="(blank)"),"",VLOOKUP($B1413,'Email Marketing Raw Data'!$C:$O,8,0)),"")</f>
        <v/>
      </c>
      <c r="Q1413" s="62" t="str">
        <f>IFERROR(IF(OR($B1413="",$B1413="(blank)"),"",VLOOKUP($B1413,'Email Marketing Raw Data'!$C:$O,9,0)),"")</f>
        <v/>
      </c>
    </row>
    <row r="1414" spans="4:17" ht="12.75" customHeight="1" x14ac:dyDescent="0.2">
      <c r="D1414" s="58" t="str">
        <f>IFERROR(IF(F1414&lt;&gt;"pending","",IF(OR($B1414="",$B1414="(blank)"),"",VLOOKUP($B1414,'Email Marketing Raw Data'!$C:$O,10,0))),"")</f>
        <v/>
      </c>
      <c r="E1414" s="59" t="str">
        <f>IFERROR(IF(F1414&lt;&gt;"pending","",IF(OR($B1414="",$B1414="(blank)"),"",VLOOKUP($B1414,'Email Marketing Raw Data'!$C:$O,11,0))),"")</f>
        <v/>
      </c>
      <c r="F1414" s="54" t="str">
        <f>IFERROR(IF(OR($B1414="",$B1414="(blank)"),"",VLOOKUP($B1414,'Email Marketing Raw Data'!$C:$O,13,0)),"")</f>
        <v/>
      </c>
      <c r="G1414" s="55" t="str">
        <f>IFERROR(IF(OR($B1414="",$B1414="(blank)"),"",VLOOKUP($B1414,'Email Marketing Raw Data'!$C:$O,4,0)),"")</f>
        <v/>
      </c>
      <c r="H1414" s="55" t="str">
        <f>IFERROR(IF(OR($B1414="",$B1414="(blank)"),"",VLOOKUP($B1414,'Email Marketing Raw Data'!$C:$O,5,0)),"")</f>
        <v/>
      </c>
      <c r="I1414" s="55" t="str">
        <f>IFERROR(IF($G1414="","",VLOOKUP('Dashboard And Emails Automate'!$G1414,Database!$H:$N,3,0)),"")</f>
        <v/>
      </c>
      <c r="J1414" s="55" t="str">
        <f>IFERROR(IF($G1414="","",VLOOKUP('Dashboard And Emails Automate'!$G1414,Database!$H:$N,4,0)),"")</f>
        <v/>
      </c>
      <c r="K1414" s="55" t="str">
        <f>IFERROR(IF($G1414="","",VLOOKUP('Dashboard And Emails Automate'!$G1414,Database!$H:$N,5,0)),"")</f>
        <v/>
      </c>
      <c r="L1414" s="55" t="str">
        <f>IFERROR(IF($G1414="","",VLOOKUP('Dashboard And Emails Automate'!$G1414,Database!$H:$N,6,0)),"")</f>
        <v/>
      </c>
      <c r="M1414" s="55" t="str">
        <f>IFERROR(IF($G1414="","",VLOOKUP('Dashboard And Emails Automate'!$G1414,Database!$H:$N,7,0)),"")</f>
        <v/>
      </c>
      <c r="N1414" s="55" t="str">
        <f>IFERROR(IF(OR($B1414="",$B1414="(blank)"),"",VLOOKUP($B1414,'Email Marketing Raw Data'!$C:$O,6,0)),"")</f>
        <v/>
      </c>
      <c r="O1414" s="55" t="str">
        <f>IFERROR(IF(OR($B1414="",$B1414="(blank)"),"",VLOOKUP($B1414,'Email Marketing Raw Data'!$C:$O,7,0)),"")</f>
        <v/>
      </c>
      <c r="P1414" s="55" t="str">
        <f>IFERROR(IF(OR($B1414="",$B1414="(blank)"),"",VLOOKUP($B1414,'Email Marketing Raw Data'!$C:$O,8,0)),"")</f>
        <v/>
      </c>
      <c r="Q1414" s="62" t="str">
        <f>IFERROR(IF(OR($B1414="",$B1414="(blank)"),"",VLOOKUP($B1414,'Email Marketing Raw Data'!$C:$O,9,0)),"")</f>
        <v/>
      </c>
    </row>
    <row r="1415" spans="4:17" ht="12.75" customHeight="1" x14ac:dyDescent="0.2">
      <c r="D1415" s="58" t="str">
        <f>IFERROR(IF(F1415&lt;&gt;"pending","",IF(OR($B1415="",$B1415="(blank)"),"",VLOOKUP($B1415,'Email Marketing Raw Data'!$C:$O,10,0))),"")</f>
        <v/>
      </c>
      <c r="E1415" s="59" t="str">
        <f>IFERROR(IF(F1415&lt;&gt;"pending","",IF(OR($B1415="",$B1415="(blank)"),"",VLOOKUP($B1415,'Email Marketing Raw Data'!$C:$O,11,0))),"")</f>
        <v/>
      </c>
      <c r="F1415" s="54" t="str">
        <f>IFERROR(IF(OR($B1415="",$B1415="(blank)"),"",VLOOKUP($B1415,'Email Marketing Raw Data'!$C:$O,13,0)),"")</f>
        <v/>
      </c>
      <c r="G1415" s="55" t="str">
        <f>IFERROR(IF(OR($B1415="",$B1415="(blank)"),"",VLOOKUP($B1415,'Email Marketing Raw Data'!$C:$O,4,0)),"")</f>
        <v/>
      </c>
      <c r="H1415" s="55" t="str">
        <f>IFERROR(IF(OR($B1415="",$B1415="(blank)"),"",VLOOKUP($B1415,'Email Marketing Raw Data'!$C:$O,5,0)),"")</f>
        <v/>
      </c>
      <c r="I1415" s="55" t="str">
        <f>IFERROR(IF($G1415="","",VLOOKUP('Dashboard And Emails Automate'!$G1415,Database!$H:$N,3,0)),"")</f>
        <v/>
      </c>
      <c r="J1415" s="55" t="str">
        <f>IFERROR(IF($G1415="","",VLOOKUP('Dashboard And Emails Automate'!$G1415,Database!$H:$N,4,0)),"")</f>
        <v/>
      </c>
      <c r="K1415" s="55" t="str">
        <f>IFERROR(IF($G1415="","",VLOOKUP('Dashboard And Emails Automate'!$G1415,Database!$H:$N,5,0)),"")</f>
        <v/>
      </c>
      <c r="L1415" s="55" t="str">
        <f>IFERROR(IF($G1415="","",VLOOKUP('Dashboard And Emails Automate'!$G1415,Database!$H:$N,6,0)),"")</f>
        <v/>
      </c>
      <c r="M1415" s="55" t="str">
        <f>IFERROR(IF($G1415="","",VLOOKUP('Dashboard And Emails Automate'!$G1415,Database!$H:$N,7,0)),"")</f>
        <v/>
      </c>
      <c r="N1415" s="55" t="str">
        <f>IFERROR(IF(OR($B1415="",$B1415="(blank)"),"",VLOOKUP($B1415,'Email Marketing Raw Data'!$C:$O,6,0)),"")</f>
        <v/>
      </c>
      <c r="O1415" s="55" t="str">
        <f>IFERROR(IF(OR($B1415="",$B1415="(blank)"),"",VLOOKUP($B1415,'Email Marketing Raw Data'!$C:$O,7,0)),"")</f>
        <v/>
      </c>
      <c r="P1415" s="55" t="str">
        <f>IFERROR(IF(OR($B1415="",$B1415="(blank)"),"",VLOOKUP($B1415,'Email Marketing Raw Data'!$C:$O,8,0)),"")</f>
        <v/>
      </c>
      <c r="Q1415" s="62" t="str">
        <f>IFERROR(IF(OR($B1415="",$B1415="(blank)"),"",VLOOKUP($B1415,'Email Marketing Raw Data'!$C:$O,9,0)),"")</f>
        <v/>
      </c>
    </row>
    <row r="1416" spans="4:17" ht="12.75" customHeight="1" x14ac:dyDescent="0.2">
      <c r="D1416" s="58" t="str">
        <f>IFERROR(IF(F1416&lt;&gt;"pending","",IF(OR($B1416="",$B1416="(blank)"),"",VLOOKUP($B1416,'Email Marketing Raw Data'!$C:$O,10,0))),"")</f>
        <v/>
      </c>
      <c r="E1416" s="59" t="str">
        <f>IFERROR(IF(F1416&lt;&gt;"pending","",IF(OR($B1416="",$B1416="(blank)"),"",VLOOKUP($B1416,'Email Marketing Raw Data'!$C:$O,11,0))),"")</f>
        <v/>
      </c>
      <c r="F1416" s="54" t="str">
        <f>IFERROR(IF(OR($B1416="",$B1416="(blank)"),"",VLOOKUP($B1416,'Email Marketing Raw Data'!$C:$O,13,0)),"")</f>
        <v/>
      </c>
      <c r="G1416" s="55" t="str">
        <f>IFERROR(IF(OR($B1416="",$B1416="(blank)"),"",VLOOKUP($B1416,'Email Marketing Raw Data'!$C:$O,4,0)),"")</f>
        <v/>
      </c>
      <c r="H1416" s="55" t="str">
        <f>IFERROR(IF(OR($B1416="",$B1416="(blank)"),"",VLOOKUP($B1416,'Email Marketing Raw Data'!$C:$O,5,0)),"")</f>
        <v/>
      </c>
      <c r="I1416" s="55" t="str">
        <f>IFERROR(IF($G1416="","",VLOOKUP('Dashboard And Emails Automate'!$G1416,Database!$H:$N,3,0)),"")</f>
        <v/>
      </c>
      <c r="J1416" s="55" t="str">
        <f>IFERROR(IF($G1416="","",VLOOKUP('Dashboard And Emails Automate'!$G1416,Database!$H:$N,4,0)),"")</f>
        <v/>
      </c>
      <c r="K1416" s="55" t="str">
        <f>IFERROR(IF($G1416="","",VLOOKUP('Dashboard And Emails Automate'!$G1416,Database!$H:$N,5,0)),"")</f>
        <v/>
      </c>
      <c r="L1416" s="55" t="str">
        <f>IFERROR(IF($G1416="","",VLOOKUP('Dashboard And Emails Automate'!$G1416,Database!$H:$N,6,0)),"")</f>
        <v/>
      </c>
      <c r="M1416" s="55" t="str">
        <f>IFERROR(IF($G1416="","",VLOOKUP('Dashboard And Emails Automate'!$G1416,Database!$H:$N,7,0)),"")</f>
        <v/>
      </c>
      <c r="N1416" s="55" t="str">
        <f>IFERROR(IF(OR($B1416="",$B1416="(blank)"),"",VLOOKUP($B1416,'Email Marketing Raw Data'!$C:$O,6,0)),"")</f>
        <v/>
      </c>
      <c r="O1416" s="55" t="str">
        <f>IFERROR(IF(OR($B1416="",$B1416="(blank)"),"",VLOOKUP($B1416,'Email Marketing Raw Data'!$C:$O,7,0)),"")</f>
        <v/>
      </c>
      <c r="P1416" s="55" t="str">
        <f>IFERROR(IF(OR($B1416="",$B1416="(blank)"),"",VLOOKUP($B1416,'Email Marketing Raw Data'!$C:$O,8,0)),"")</f>
        <v/>
      </c>
      <c r="Q1416" s="62" t="str">
        <f>IFERROR(IF(OR($B1416="",$B1416="(blank)"),"",VLOOKUP($B1416,'Email Marketing Raw Data'!$C:$O,9,0)),"")</f>
        <v/>
      </c>
    </row>
    <row r="1417" spans="4:17" ht="12.75" customHeight="1" x14ac:dyDescent="0.2">
      <c r="D1417" s="58" t="str">
        <f>IFERROR(IF(F1417&lt;&gt;"pending","",IF(OR($B1417="",$B1417="(blank)"),"",VLOOKUP($B1417,'Email Marketing Raw Data'!$C:$O,10,0))),"")</f>
        <v/>
      </c>
      <c r="E1417" s="59" t="str">
        <f>IFERROR(IF(F1417&lt;&gt;"pending","",IF(OR($B1417="",$B1417="(blank)"),"",VLOOKUP($B1417,'Email Marketing Raw Data'!$C:$O,11,0))),"")</f>
        <v/>
      </c>
      <c r="F1417" s="54" t="str">
        <f>IFERROR(IF(OR($B1417="",$B1417="(blank)"),"",VLOOKUP($B1417,'Email Marketing Raw Data'!$C:$O,13,0)),"")</f>
        <v/>
      </c>
      <c r="G1417" s="55" t="str">
        <f>IFERROR(IF(OR($B1417="",$B1417="(blank)"),"",VLOOKUP($B1417,'Email Marketing Raw Data'!$C:$O,4,0)),"")</f>
        <v/>
      </c>
      <c r="H1417" s="55" t="str">
        <f>IFERROR(IF(OR($B1417="",$B1417="(blank)"),"",VLOOKUP($B1417,'Email Marketing Raw Data'!$C:$O,5,0)),"")</f>
        <v/>
      </c>
      <c r="I1417" s="55" t="str">
        <f>IFERROR(IF($G1417="","",VLOOKUP('Dashboard And Emails Automate'!$G1417,Database!$H:$N,3,0)),"")</f>
        <v/>
      </c>
      <c r="J1417" s="55" t="str">
        <f>IFERROR(IF($G1417="","",VLOOKUP('Dashboard And Emails Automate'!$G1417,Database!$H:$N,4,0)),"")</f>
        <v/>
      </c>
      <c r="K1417" s="55" t="str">
        <f>IFERROR(IF($G1417="","",VLOOKUP('Dashboard And Emails Automate'!$G1417,Database!$H:$N,5,0)),"")</f>
        <v/>
      </c>
      <c r="L1417" s="55" t="str">
        <f>IFERROR(IF($G1417="","",VLOOKUP('Dashboard And Emails Automate'!$G1417,Database!$H:$N,6,0)),"")</f>
        <v/>
      </c>
      <c r="M1417" s="55" t="str">
        <f>IFERROR(IF($G1417="","",VLOOKUP('Dashboard And Emails Automate'!$G1417,Database!$H:$N,7,0)),"")</f>
        <v/>
      </c>
      <c r="N1417" s="55" t="str">
        <f>IFERROR(IF(OR($B1417="",$B1417="(blank)"),"",VLOOKUP($B1417,'Email Marketing Raw Data'!$C:$O,6,0)),"")</f>
        <v/>
      </c>
      <c r="O1417" s="55" t="str">
        <f>IFERROR(IF(OR($B1417="",$B1417="(blank)"),"",VLOOKUP($B1417,'Email Marketing Raw Data'!$C:$O,7,0)),"")</f>
        <v/>
      </c>
      <c r="P1417" s="55" t="str">
        <f>IFERROR(IF(OR($B1417="",$B1417="(blank)"),"",VLOOKUP($B1417,'Email Marketing Raw Data'!$C:$O,8,0)),"")</f>
        <v/>
      </c>
      <c r="Q1417" s="62" t="str">
        <f>IFERROR(IF(OR($B1417="",$B1417="(blank)"),"",VLOOKUP($B1417,'Email Marketing Raw Data'!$C:$O,9,0)),"")</f>
        <v/>
      </c>
    </row>
    <row r="1418" spans="4:17" ht="12.75" customHeight="1" x14ac:dyDescent="0.2">
      <c r="D1418" s="58" t="str">
        <f>IFERROR(IF(F1418&lt;&gt;"pending","",IF(OR($B1418="",$B1418="(blank)"),"",VLOOKUP($B1418,'Email Marketing Raw Data'!$C:$O,10,0))),"")</f>
        <v/>
      </c>
      <c r="E1418" s="59" t="str">
        <f>IFERROR(IF(F1418&lt;&gt;"pending","",IF(OR($B1418="",$B1418="(blank)"),"",VLOOKUP($B1418,'Email Marketing Raw Data'!$C:$O,11,0))),"")</f>
        <v/>
      </c>
      <c r="F1418" s="54" t="str">
        <f>IFERROR(IF(OR($B1418="",$B1418="(blank)"),"",VLOOKUP($B1418,'Email Marketing Raw Data'!$C:$O,13,0)),"")</f>
        <v/>
      </c>
      <c r="G1418" s="55" t="str">
        <f>IFERROR(IF(OR($B1418="",$B1418="(blank)"),"",VLOOKUP($B1418,'Email Marketing Raw Data'!$C:$O,4,0)),"")</f>
        <v/>
      </c>
      <c r="H1418" s="55" t="str">
        <f>IFERROR(IF(OR($B1418="",$B1418="(blank)"),"",VLOOKUP($B1418,'Email Marketing Raw Data'!$C:$O,5,0)),"")</f>
        <v/>
      </c>
      <c r="I1418" s="55" t="str">
        <f>IFERROR(IF($G1418="","",VLOOKUP('Dashboard And Emails Automate'!$G1418,Database!$H:$N,3,0)),"")</f>
        <v/>
      </c>
      <c r="J1418" s="55" t="str">
        <f>IFERROR(IF($G1418="","",VLOOKUP('Dashboard And Emails Automate'!$G1418,Database!$H:$N,4,0)),"")</f>
        <v/>
      </c>
      <c r="K1418" s="55" t="str">
        <f>IFERROR(IF($G1418="","",VLOOKUP('Dashboard And Emails Automate'!$G1418,Database!$H:$N,5,0)),"")</f>
        <v/>
      </c>
      <c r="L1418" s="55" t="str">
        <f>IFERROR(IF($G1418="","",VLOOKUP('Dashboard And Emails Automate'!$G1418,Database!$H:$N,6,0)),"")</f>
        <v/>
      </c>
      <c r="M1418" s="55" t="str">
        <f>IFERROR(IF($G1418="","",VLOOKUP('Dashboard And Emails Automate'!$G1418,Database!$H:$N,7,0)),"")</f>
        <v/>
      </c>
      <c r="N1418" s="55" t="str">
        <f>IFERROR(IF(OR($B1418="",$B1418="(blank)"),"",VLOOKUP($B1418,'Email Marketing Raw Data'!$C:$O,6,0)),"")</f>
        <v/>
      </c>
      <c r="O1418" s="55" t="str">
        <f>IFERROR(IF(OR($B1418="",$B1418="(blank)"),"",VLOOKUP($B1418,'Email Marketing Raw Data'!$C:$O,7,0)),"")</f>
        <v/>
      </c>
      <c r="P1418" s="55" t="str">
        <f>IFERROR(IF(OR($B1418="",$B1418="(blank)"),"",VLOOKUP($B1418,'Email Marketing Raw Data'!$C:$O,8,0)),"")</f>
        <v/>
      </c>
      <c r="Q1418" s="62" t="str">
        <f>IFERROR(IF(OR($B1418="",$B1418="(blank)"),"",VLOOKUP($B1418,'Email Marketing Raw Data'!$C:$O,9,0)),"")</f>
        <v/>
      </c>
    </row>
    <row r="1419" spans="4:17" ht="12.75" customHeight="1" x14ac:dyDescent="0.2">
      <c r="D1419" s="58" t="str">
        <f>IFERROR(IF(F1419&lt;&gt;"pending","",IF(OR($B1419="",$B1419="(blank)"),"",VLOOKUP($B1419,'Email Marketing Raw Data'!$C:$O,10,0))),"")</f>
        <v/>
      </c>
      <c r="E1419" s="59" t="str">
        <f>IFERROR(IF(F1419&lt;&gt;"pending","",IF(OR($B1419="",$B1419="(blank)"),"",VLOOKUP($B1419,'Email Marketing Raw Data'!$C:$O,11,0))),"")</f>
        <v/>
      </c>
      <c r="F1419" s="54" t="str">
        <f>IFERROR(IF(OR($B1419="",$B1419="(blank)"),"",VLOOKUP($B1419,'Email Marketing Raw Data'!$C:$O,13,0)),"")</f>
        <v/>
      </c>
      <c r="G1419" s="55" t="str">
        <f>IFERROR(IF(OR($B1419="",$B1419="(blank)"),"",VLOOKUP($B1419,'Email Marketing Raw Data'!$C:$O,4,0)),"")</f>
        <v/>
      </c>
      <c r="H1419" s="55" t="str">
        <f>IFERROR(IF(OR($B1419="",$B1419="(blank)"),"",VLOOKUP($B1419,'Email Marketing Raw Data'!$C:$O,5,0)),"")</f>
        <v/>
      </c>
      <c r="I1419" s="55" t="str">
        <f>IFERROR(IF($G1419="","",VLOOKUP('Dashboard And Emails Automate'!$G1419,Database!$H:$N,3,0)),"")</f>
        <v/>
      </c>
      <c r="J1419" s="55" t="str">
        <f>IFERROR(IF($G1419="","",VLOOKUP('Dashboard And Emails Automate'!$G1419,Database!$H:$N,4,0)),"")</f>
        <v/>
      </c>
      <c r="K1419" s="55" t="str">
        <f>IFERROR(IF($G1419="","",VLOOKUP('Dashboard And Emails Automate'!$G1419,Database!$H:$N,5,0)),"")</f>
        <v/>
      </c>
      <c r="L1419" s="55" t="str">
        <f>IFERROR(IF($G1419="","",VLOOKUP('Dashboard And Emails Automate'!$G1419,Database!$H:$N,6,0)),"")</f>
        <v/>
      </c>
      <c r="M1419" s="55" t="str">
        <f>IFERROR(IF($G1419="","",VLOOKUP('Dashboard And Emails Automate'!$G1419,Database!$H:$N,7,0)),"")</f>
        <v/>
      </c>
      <c r="N1419" s="55" t="str">
        <f>IFERROR(IF(OR($B1419="",$B1419="(blank)"),"",VLOOKUP($B1419,'Email Marketing Raw Data'!$C:$O,6,0)),"")</f>
        <v/>
      </c>
      <c r="O1419" s="55" t="str">
        <f>IFERROR(IF(OR($B1419="",$B1419="(blank)"),"",VLOOKUP($B1419,'Email Marketing Raw Data'!$C:$O,7,0)),"")</f>
        <v/>
      </c>
      <c r="P1419" s="55" t="str">
        <f>IFERROR(IF(OR($B1419="",$B1419="(blank)"),"",VLOOKUP($B1419,'Email Marketing Raw Data'!$C:$O,8,0)),"")</f>
        <v/>
      </c>
      <c r="Q1419" s="62" t="str">
        <f>IFERROR(IF(OR($B1419="",$B1419="(blank)"),"",VLOOKUP($B1419,'Email Marketing Raw Data'!$C:$O,9,0)),"")</f>
        <v/>
      </c>
    </row>
    <row r="1420" spans="4:17" ht="12.75" customHeight="1" x14ac:dyDescent="0.2">
      <c r="D1420" s="58" t="str">
        <f>IFERROR(IF(F1420&lt;&gt;"pending","",IF(OR($B1420="",$B1420="(blank)"),"",VLOOKUP($B1420,'Email Marketing Raw Data'!$C:$O,10,0))),"")</f>
        <v/>
      </c>
      <c r="E1420" s="59" t="str">
        <f>IFERROR(IF(F1420&lt;&gt;"pending","",IF(OR($B1420="",$B1420="(blank)"),"",VLOOKUP($B1420,'Email Marketing Raw Data'!$C:$O,11,0))),"")</f>
        <v/>
      </c>
      <c r="F1420" s="54" t="str">
        <f>IFERROR(IF(OR($B1420="",$B1420="(blank)"),"",VLOOKUP($B1420,'Email Marketing Raw Data'!$C:$O,13,0)),"")</f>
        <v/>
      </c>
      <c r="G1420" s="55" t="str">
        <f>IFERROR(IF(OR($B1420="",$B1420="(blank)"),"",VLOOKUP($B1420,'Email Marketing Raw Data'!$C:$O,4,0)),"")</f>
        <v/>
      </c>
      <c r="H1420" s="55" t="str">
        <f>IFERROR(IF(OR($B1420="",$B1420="(blank)"),"",VLOOKUP($B1420,'Email Marketing Raw Data'!$C:$O,5,0)),"")</f>
        <v/>
      </c>
      <c r="I1420" s="55" t="str">
        <f>IFERROR(IF($G1420="","",VLOOKUP('Dashboard And Emails Automate'!$G1420,Database!$H:$N,3,0)),"")</f>
        <v/>
      </c>
      <c r="J1420" s="55" t="str">
        <f>IFERROR(IF($G1420="","",VLOOKUP('Dashboard And Emails Automate'!$G1420,Database!$H:$N,4,0)),"")</f>
        <v/>
      </c>
      <c r="K1420" s="55" t="str">
        <f>IFERROR(IF($G1420="","",VLOOKUP('Dashboard And Emails Automate'!$G1420,Database!$H:$N,5,0)),"")</f>
        <v/>
      </c>
      <c r="L1420" s="55" t="str">
        <f>IFERROR(IF($G1420="","",VLOOKUP('Dashboard And Emails Automate'!$G1420,Database!$H:$N,6,0)),"")</f>
        <v/>
      </c>
      <c r="M1420" s="55" t="str">
        <f>IFERROR(IF($G1420="","",VLOOKUP('Dashboard And Emails Automate'!$G1420,Database!$H:$N,7,0)),"")</f>
        <v/>
      </c>
      <c r="N1420" s="55" t="str">
        <f>IFERROR(IF(OR($B1420="",$B1420="(blank)"),"",VLOOKUP($B1420,'Email Marketing Raw Data'!$C:$O,6,0)),"")</f>
        <v/>
      </c>
      <c r="O1420" s="55" t="str">
        <f>IFERROR(IF(OR($B1420="",$B1420="(blank)"),"",VLOOKUP($B1420,'Email Marketing Raw Data'!$C:$O,7,0)),"")</f>
        <v/>
      </c>
      <c r="P1420" s="55" t="str">
        <f>IFERROR(IF(OR($B1420="",$B1420="(blank)"),"",VLOOKUP($B1420,'Email Marketing Raw Data'!$C:$O,8,0)),"")</f>
        <v/>
      </c>
      <c r="Q1420" s="62" t="str">
        <f>IFERROR(IF(OR($B1420="",$B1420="(blank)"),"",VLOOKUP($B1420,'Email Marketing Raw Data'!$C:$O,9,0)),"")</f>
        <v/>
      </c>
    </row>
    <row r="1421" spans="4:17" ht="12.75" customHeight="1" x14ac:dyDescent="0.2">
      <c r="D1421" s="58" t="str">
        <f>IFERROR(IF(F1421&lt;&gt;"pending","",IF(OR($B1421="",$B1421="(blank)"),"",VLOOKUP($B1421,'Email Marketing Raw Data'!$C:$O,10,0))),"")</f>
        <v/>
      </c>
      <c r="E1421" s="59" t="str">
        <f>IFERROR(IF(F1421&lt;&gt;"pending","",IF(OR($B1421="",$B1421="(blank)"),"",VLOOKUP($B1421,'Email Marketing Raw Data'!$C:$O,11,0))),"")</f>
        <v/>
      </c>
      <c r="F1421" s="54" t="str">
        <f>IFERROR(IF(OR($B1421="",$B1421="(blank)"),"",VLOOKUP($B1421,'Email Marketing Raw Data'!$C:$O,13,0)),"")</f>
        <v/>
      </c>
      <c r="G1421" s="55" t="str">
        <f>IFERROR(IF(OR($B1421="",$B1421="(blank)"),"",VLOOKUP($B1421,'Email Marketing Raw Data'!$C:$O,4,0)),"")</f>
        <v/>
      </c>
      <c r="H1421" s="55" t="str">
        <f>IFERROR(IF(OR($B1421="",$B1421="(blank)"),"",VLOOKUP($B1421,'Email Marketing Raw Data'!$C:$O,5,0)),"")</f>
        <v/>
      </c>
      <c r="I1421" s="55" t="str">
        <f>IFERROR(IF($G1421="","",VLOOKUP('Dashboard And Emails Automate'!$G1421,Database!$H:$N,3,0)),"")</f>
        <v/>
      </c>
      <c r="J1421" s="55" t="str">
        <f>IFERROR(IF($G1421="","",VLOOKUP('Dashboard And Emails Automate'!$G1421,Database!$H:$N,4,0)),"")</f>
        <v/>
      </c>
      <c r="K1421" s="55" t="str">
        <f>IFERROR(IF($G1421="","",VLOOKUP('Dashboard And Emails Automate'!$G1421,Database!$H:$N,5,0)),"")</f>
        <v/>
      </c>
      <c r="L1421" s="55" t="str">
        <f>IFERROR(IF($G1421="","",VLOOKUP('Dashboard And Emails Automate'!$G1421,Database!$H:$N,6,0)),"")</f>
        <v/>
      </c>
      <c r="M1421" s="55" t="str">
        <f>IFERROR(IF($G1421="","",VLOOKUP('Dashboard And Emails Automate'!$G1421,Database!$H:$N,7,0)),"")</f>
        <v/>
      </c>
      <c r="N1421" s="55" t="str">
        <f>IFERROR(IF(OR($B1421="",$B1421="(blank)"),"",VLOOKUP($B1421,'Email Marketing Raw Data'!$C:$O,6,0)),"")</f>
        <v/>
      </c>
      <c r="O1421" s="55" t="str">
        <f>IFERROR(IF(OR($B1421="",$B1421="(blank)"),"",VLOOKUP($B1421,'Email Marketing Raw Data'!$C:$O,7,0)),"")</f>
        <v/>
      </c>
      <c r="P1421" s="55" t="str">
        <f>IFERROR(IF(OR($B1421="",$B1421="(blank)"),"",VLOOKUP($B1421,'Email Marketing Raw Data'!$C:$O,8,0)),"")</f>
        <v/>
      </c>
      <c r="Q1421" s="62" t="str">
        <f>IFERROR(IF(OR($B1421="",$B1421="(blank)"),"",VLOOKUP($B1421,'Email Marketing Raw Data'!$C:$O,9,0)),"")</f>
        <v/>
      </c>
    </row>
    <row r="1422" spans="4:17" ht="12.75" customHeight="1" x14ac:dyDescent="0.2">
      <c r="D1422" s="58" t="str">
        <f>IFERROR(IF(F1422&lt;&gt;"pending","",IF(OR($B1422="",$B1422="(blank)"),"",VLOOKUP($B1422,'Email Marketing Raw Data'!$C:$O,10,0))),"")</f>
        <v/>
      </c>
      <c r="E1422" s="59" t="str">
        <f>IFERROR(IF(F1422&lt;&gt;"pending","",IF(OR($B1422="",$B1422="(blank)"),"",VLOOKUP($B1422,'Email Marketing Raw Data'!$C:$O,11,0))),"")</f>
        <v/>
      </c>
      <c r="F1422" s="54" t="str">
        <f>IFERROR(IF(OR($B1422="",$B1422="(blank)"),"",VLOOKUP($B1422,'Email Marketing Raw Data'!$C:$O,13,0)),"")</f>
        <v/>
      </c>
      <c r="G1422" s="55" t="str">
        <f>IFERROR(IF(OR($B1422="",$B1422="(blank)"),"",VLOOKUP($B1422,'Email Marketing Raw Data'!$C:$O,4,0)),"")</f>
        <v/>
      </c>
      <c r="H1422" s="55" t="str">
        <f>IFERROR(IF(OR($B1422="",$B1422="(blank)"),"",VLOOKUP($B1422,'Email Marketing Raw Data'!$C:$O,5,0)),"")</f>
        <v/>
      </c>
      <c r="I1422" s="55" t="str">
        <f>IFERROR(IF($G1422="","",VLOOKUP('Dashboard And Emails Automate'!$G1422,Database!$H:$N,3,0)),"")</f>
        <v/>
      </c>
      <c r="J1422" s="55" t="str">
        <f>IFERROR(IF($G1422="","",VLOOKUP('Dashboard And Emails Automate'!$G1422,Database!$H:$N,4,0)),"")</f>
        <v/>
      </c>
      <c r="K1422" s="55" t="str">
        <f>IFERROR(IF($G1422="","",VLOOKUP('Dashboard And Emails Automate'!$G1422,Database!$H:$N,5,0)),"")</f>
        <v/>
      </c>
      <c r="L1422" s="55" t="str">
        <f>IFERROR(IF($G1422="","",VLOOKUP('Dashboard And Emails Automate'!$G1422,Database!$H:$N,6,0)),"")</f>
        <v/>
      </c>
      <c r="M1422" s="55" t="str">
        <f>IFERROR(IF($G1422="","",VLOOKUP('Dashboard And Emails Automate'!$G1422,Database!$H:$N,7,0)),"")</f>
        <v/>
      </c>
      <c r="N1422" s="55" t="str">
        <f>IFERROR(IF(OR($B1422="",$B1422="(blank)"),"",VLOOKUP($B1422,'Email Marketing Raw Data'!$C:$O,6,0)),"")</f>
        <v/>
      </c>
      <c r="O1422" s="55" t="str">
        <f>IFERROR(IF(OR($B1422="",$B1422="(blank)"),"",VLOOKUP($B1422,'Email Marketing Raw Data'!$C:$O,7,0)),"")</f>
        <v/>
      </c>
      <c r="P1422" s="55" t="str">
        <f>IFERROR(IF(OR($B1422="",$B1422="(blank)"),"",VLOOKUP($B1422,'Email Marketing Raw Data'!$C:$O,8,0)),"")</f>
        <v/>
      </c>
      <c r="Q1422" s="62" t="str">
        <f>IFERROR(IF(OR($B1422="",$B1422="(blank)"),"",VLOOKUP($B1422,'Email Marketing Raw Data'!$C:$O,9,0)),"")</f>
        <v/>
      </c>
    </row>
    <row r="1423" spans="4:17" ht="12.75" customHeight="1" x14ac:dyDescent="0.2">
      <c r="D1423" s="58" t="str">
        <f>IFERROR(IF(F1423&lt;&gt;"pending","",IF(OR($B1423="",$B1423="(blank)"),"",VLOOKUP($B1423,'Email Marketing Raw Data'!$C:$O,10,0))),"")</f>
        <v/>
      </c>
      <c r="E1423" s="59" t="str">
        <f>IFERROR(IF(F1423&lt;&gt;"pending","",IF(OR($B1423="",$B1423="(blank)"),"",VLOOKUP($B1423,'Email Marketing Raw Data'!$C:$O,11,0))),"")</f>
        <v/>
      </c>
      <c r="F1423" s="54" t="str">
        <f>IFERROR(IF(OR($B1423="",$B1423="(blank)"),"",VLOOKUP($B1423,'Email Marketing Raw Data'!$C:$O,13,0)),"")</f>
        <v/>
      </c>
      <c r="G1423" s="55" t="str">
        <f>IFERROR(IF(OR($B1423="",$B1423="(blank)"),"",VLOOKUP($B1423,'Email Marketing Raw Data'!$C:$O,4,0)),"")</f>
        <v/>
      </c>
      <c r="H1423" s="55" t="str">
        <f>IFERROR(IF(OR($B1423="",$B1423="(blank)"),"",VLOOKUP($B1423,'Email Marketing Raw Data'!$C:$O,5,0)),"")</f>
        <v/>
      </c>
      <c r="I1423" s="55" t="str">
        <f>IFERROR(IF($G1423="","",VLOOKUP('Dashboard And Emails Automate'!$G1423,Database!$H:$N,3,0)),"")</f>
        <v/>
      </c>
      <c r="J1423" s="55" t="str">
        <f>IFERROR(IF($G1423="","",VLOOKUP('Dashboard And Emails Automate'!$G1423,Database!$H:$N,4,0)),"")</f>
        <v/>
      </c>
      <c r="K1423" s="55" t="str">
        <f>IFERROR(IF($G1423="","",VLOOKUP('Dashboard And Emails Automate'!$G1423,Database!$H:$N,5,0)),"")</f>
        <v/>
      </c>
      <c r="L1423" s="55" t="str">
        <f>IFERROR(IF($G1423="","",VLOOKUP('Dashboard And Emails Automate'!$G1423,Database!$H:$N,6,0)),"")</f>
        <v/>
      </c>
      <c r="M1423" s="55" t="str">
        <f>IFERROR(IF($G1423="","",VLOOKUP('Dashboard And Emails Automate'!$G1423,Database!$H:$N,7,0)),"")</f>
        <v/>
      </c>
      <c r="N1423" s="55" t="str">
        <f>IFERROR(IF(OR($B1423="",$B1423="(blank)"),"",VLOOKUP($B1423,'Email Marketing Raw Data'!$C:$O,6,0)),"")</f>
        <v/>
      </c>
      <c r="O1423" s="55" t="str">
        <f>IFERROR(IF(OR($B1423="",$B1423="(blank)"),"",VLOOKUP($B1423,'Email Marketing Raw Data'!$C:$O,7,0)),"")</f>
        <v/>
      </c>
      <c r="P1423" s="55" t="str">
        <f>IFERROR(IF(OR($B1423="",$B1423="(blank)"),"",VLOOKUP($B1423,'Email Marketing Raw Data'!$C:$O,8,0)),"")</f>
        <v/>
      </c>
      <c r="Q1423" s="62" t="str">
        <f>IFERROR(IF(OR($B1423="",$B1423="(blank)"),"",VLOOKUP($B1423,'Email Marketing Raw Data'!$C:$O,9,0)),"")</f>
        <v/>
      </c>
    </row>
    <row r="1424" spans="4:17" ht="12.75" customHeight="1" x14ac:dyDescent="0.2">
      <c r="D1424" s="58" t="str">
        <f>IFERROR(IF(F1424&lt;&gt;"pending","",IF(OR($B1424="",$B1424="(blank)"),"",VLOOKUP($B1424,'Email Marketing Raw Data'!$C:$O,10,0))),"")</f>
        <v/>
      </c>
      <c r="E1424" s="59" t="str">
        <f>IFERROR(IF(F1424&lt;&gt;"pending","",IF(OR($B1424="",$B1424="(blank)"),"",VLOOKUP($B1424,'Email Marketing Raw Data'!$C:$O,11,0))),"")</f>
        <v/>
      </c>
      <c r="F1424" s="54" t="str">
        <f>IFERROR(IF(OR($B1424="",$B1424="(blank)"),"",VLOOKUP($B1424,'Email Marketing Raw Data'!$C:$O,13,0)),"")</f>
        <v/>
      </c>
      <c r="G1424" s="55" t="str">
        <f>IFERROR(IF(OR($B1424="",$B1424="(blank)"),"",VLOOKUP($B1424,'Email Marketing Raw Data'!$C:$O,4,0)),"")</f>
        <v/>
      </c>
      <c r="H1424" s="55" t="str">
        <f>IFERROR(IF(OR($B1424="",$B1424="(blank)"),"",VLOOKUP($B1424,'Email Marketing Raw Data'!$C:$O,5,0)),"")</f>
        <v/>
      </c>
      <c r="I1424" s="55" t="str">
        <f>IFERROR(IF($G1424="","",VLOOKUP('Dashboard And Emails Automate'!$G1424,Database!$H:$N,3,0)),"")</f>
        <v/>
      </c>
      <c r="J1424" s="55" t="str">
        <f>IFERROR(IF($G1424="","",VLOOKUP('Dashboard And Emails Automate'!$G1424,Database!$H:$N,4,0)),"")</f>
        <v/>
      </c>
      <c r="K1424" s="55" t="str">
        <f>IFERROR(IF($G1424="","",VLOOKUP('Dashboard And Emails Automate'!$G1424,Database!$H:$N,5,0)),"")</f>
        <v/>
      </c>
      <c r="L1424" s="55" t="str">
        <f>IFERROR(IF($G1424="","",VLOOKUP('Dashboard And Emails Automate'!$G1424,Database!$H:$N,6,0)),"")</f>
        <v/>
      </c>
      <c r="M1424" s="55" t="str">
        <f>IFERROR(IF($G1424="","",VLOOKUP('Dashboard And Emails Automate'!$G1424,Database!$H:$N,7,0)),"")</f>
        <v/>
      </c>
      <c r="N1424" s="55" t="str">
        <f>IFERROR(IF(OR($B1424="",$B1424="(blank)"),"",VLOOKUP($B1424,'Email Marketing Raw Data'!$C:$O,6,0)),"")</f>
        <v/>
      </c>
      <c r="O1424" s="55" t="str">
        <f>IFERROR(IF(OR($B1424="",$B1424="(blank)"),"",VLOOKUP($B1424,'Email Marketing Raw Data'!$C:$O,7,0)),"")</f>
        <v/>
      </c>
      <c r="P1424" s="55" t="str">
        <f>IFERROR(IF(OR($B1424="",$B1424="(blank)"),"",VLOOKUP($B1424,'Email Marketing Raw Data'!$C:$O,8,0)),"")</f>
        <v/>
      </c>
      <c r="Q1424" s="62" t="str">
        <f>IFERROR(IF(OR($B1424="",$B1424="(blank)"),"",VLOOKUP($B1424,'Email Marketing Raw Data'!$C:$O,9,0)),"")</f>
        <v/>
      </c>
    </row>
    <row r="1425" spans="4:17" ht="12.75" customHeight="1" x14ac:dyDescent="0.2">
      <c r="D1425" s="58" t="str">
        <f>IFERROR(IF(F1425&lt;&gt;"pending","",IF(OR($B1425="",$B1425="(blank)"),"",VLOOKUP($B1425,'Email Marketing Raw Data'!$C:$O,10,0))),"")</f>
        <v/>
      </c>
      <c r="E1425" s="59" t="str">
        <f>IFERROR(IF(F1425&lt;&gt;"pending","",IF(OR($B1425="",$B1425="(blank)"),"",VLOOKUP($B1425,'Email Marketing Raw Data'!$C:$O,11,0))),"")</f>
        <v/>
      </c>
      <c r="F1425" s="54" t="str">
        <f>IFERROR(IF(OR($B1425="",$B1425="(blank)"),"",VLOOKUP($B1425,'Email Marketing Raw Data'!$C:$O,13,0)),"")</f>
        <v/>
      </c>
      <c r="G1425" s="55" t="str">
        <f>IFERROR(IF(OR($B1425="",$B1425="(blank)"),"",VLOOKUP($B1425,'Email Marketing Raw Data'!$C:$O,4,0)),"")</f>
        <v/>
      </c>
      <c r="H1425" s="55" t="str">
        <f>IFERROR(IF(OR($B1425="",$B1425="(blank)"),"",VLOOKUP($B1425,'Email Marketing Raw Data'!$C:$O,5,0)),"")</f>
        <v/>
      </c>
      <c r="I1425" s="55" t="str">
        <f>IFERROR(IF($G1425="","",VLOOKUP('Dashboard And Emails Automate'!$G1425,Database!$H:$N,3,0)),"")</f>
        <v/>
      </c>
      <c r="J1425" s="55" t="str">
        <f>IFERROR(IF($G1425="","",VLOOKUP('Dashboard And Emails Automate'!$G1425,Database!$H:$N,4,0)),"")</f>
        <v/>
      </c>
      <c r="K1425" s="55" t="str">
        <f>IFERROR(IF($G1425="","",VLOOKUP('Dashboard And Emails Automate'!$G1425,Database!$H:$N,5,0)),"")</f>
        <v/>
      </c>
      <c r="L1425" s="55" t="str">
        <f>IFERROR(IF($G1425="","",VLOOKUP('Dashboard And Emails Automate'!$G1425,Database!$H:$N,6,0)),"")</f>
        <v/>
      </c>
      <c r="M1425" s="55" t="str">
        <f>IFERROR(IF($G1425="","",VLOOKUP('Dashboard And Emails Automate'!$G1425,Database!$H:$N,7,0)),"")</f>
        <v/>
      </c>
      <c r="N1425" s="55" t="str">
        <f>IFERROR(IF(OR($B1425="",$B1425="(blank)"),"",VLOOKUP($B1425,'Email Marketing Raw Data'!$C:$O,6,0)),"")</f>
        <v/>
      </c>
      <c r="O1425" s="55" t="str">
        <f>IFERROR(IF(OR($B1425="",$B1425="(blank)"),"",VLOOKUP($B1425,'Email Marketing Raw Data'!$C:$O,7,0)),"")</f>
        <v/>
      </c>
      <c r="P1425" s="55" t="str">
        <f>IFERROR(IF(OR($B1425="",$B1425="(blank)"),"",VLOOKUP($B1425,'Email Marketing Raw Data'!$C:$O,8,0)),"")</f>
        <v/>
      </c>
      <c r="Q1425" s="62" t="str">
        <f>IFERROR(IF(OR($B1425="",$B1425="(blank)"),"",VLOOKUP($B1425,'Email Marketing Raw Data'!$C:$O,9,0)),"")</f>
        <v/>
      </c>
    </row>
    <row r="1426" spans="4:17" ht="12.75" customHeight="1" x14ac:dyDescent="0.2">
      <c r="D1426" s="58" t="str">
        <f>IFERROR(IF(F1426&lt;&gt;"pending","",IF(OR($B1426="",$B1426="(blank)"),"",VLOOKUP($B1426,'Email Marketing Raw Data'!$C:$O,10,0))),"")</f>
        <v/>
      </c>
      <c r="E1426" s="59" t="str">
        <f>IFERROR(IF(F1426&lt;&gt;"pending","",IF(OR($B1426="",$B1426="(blank)"),"",VLOOKUP($B1426,'Email Marketing Raw Data'!$C:$O,11,0))),"")</f>
        <v/>
      </c>
      <c r="F1426" s="54" t="str">
        <f>IFERROR(IF(OR($B1426="",$B1426="(blank)"),"",VLOOKUP($B1426,'Email Marketing Raw Data'!$C:$O,13,0)),"")</f>
        <v/>
      </c>
      <c r="G1426" s="55" t="str">
        <f>IFERROR(IF(OR($B1426="",$B1426="(blank)"),"",VLOOKUP($B1426,'Email Marketing Raw Data'!$C:$O,4,0)),"")</f>
        <v/>
      </c>
      <c r="H1426" s="55" t="str">
        <f>IFERROR(IF(OR($B1426="",$B1426="(blank)"),"",VLOOKUP($B1426,'Email Marketing Raw Data'!$C:$O,5,0)),"")</f>
        <v/>
      </c>
      <c r="I1426" s="55" t="str">
        <f>IFERROR(IF($G1426="","",VLOOKUP('Dashboard And Emails Automate'!$G1426,Database!$H:$N,3,0)),"")</f>
        <v/>
      </c>
      <c r="J1426" s="55" t="str">
        <f>IFERROR(IF($G1426="","",VLOOKUP('Dashboard And Emails Automate'!$G1426,Database!$H:$N,4,0)),"")</f>
        <v/>
      </c>
      <c r="K1426" s="55" t="str">
        <f>IFERROR(IF($G1426="","",VLOOKUP('Dashboard And Emails Automate'!$G1426,Database!$H:$N,5,0)),"")</f>
        <v/>
      </c>
      <c r="L1426" s="55" t="str">
        <f>IFERROR(IF($G1426="","",VLOOKUP('Dashboard And Emails Automate'!$G1426,Database!$H:$N,6,0)),"")</f>
        <v/>
      </c>
      <c r="M1426" s="55" t="str">
        <f>IFERROR(IF($G1426="","",VLOOKUP('Dashboard And Emails Automate'!$G1426,Database!$H:$N,7,0)),"")</f>
        <v/>
      </c>
      <c r="N1426" s="55" t="str">
        <f>IFERROR(IF(OR($B1426="",$B1426="(blank)"),"",VLOOKUP($B1426,'Email Marketing Raw Data'!$C:$O,6,0)),"")</f>
        <v/>
      </c>
      <c r="O1426" s="55" t="str">
        <f>IFERROR(IF(OR($B1426="",$B1426="(blank)"),"",VLOOKUP($B1426,'Email Marketing Raw Data'!$C:$O,7,0)),"")</f>
        <v/>
      </c>
      <c r="P1426" s="55" t="str">
        <f>IFERROR(IF(OR($B1426="",$B1426="(blank)"),"",VLOOKUP($B1426,'Email Marketing Raw Data'!$C:$O,8,0)),"")</f>
        <v/>
      </c>
      <c r="Q1426" s="62" t="str">
        <f>IFERROR(IF(OR($B1426="",$B1426="(blank)"),"",VLOOKUP($B1426,'Email Marketing Raw Data'!$C:$O,9,0)),"")</f>
        <v/>
      </c>
    </row>
    <row r="1427" spans="4:17" ht="12.75" customHeight="1" x14ac:dyDescent="0.2">
      <c r="D1427" s="58" t="str">
        <f>IFERROR(IF(F1427&lt;&gt;"pending","",IF(OR($B1427="",$B1427="(blank)"),"",VLOOKUP($B1427,'Email Marketing Raw Data'!$C:$O,10,0))),"")</f>
        <v/>
      </c>
      <c r="E1427" s="59" t="str">
        <f>IFERROR(IF(F1427&lt;&gt;"pending","",IF(OR($B1427="",$B1427="(blank)"),"",VLOOKUP($B1427,'Email Marketing Raw Data'!$C:$O,11,0))),"")</f>
        <v/>
      </c>
      <c r="F1427" s="54" t="str">
        <f>IFERROR(IF(OR($B1427="",$B1427="(blank)"),"",VLOOKUP($B1427,'Email Marketing Raw Data'!$C:$O,13,0)),"")</f>
        <v/>
      </c>
      <c r="G1427" s="55" t="str">
        <f>IFERROR(IF(OR($B1427="",$B1427="(blank)"),"",VLOOKUP($B1427,'Email Marketing Raw Data'!$C:$O,4,0)),"")</f>
        <v/>
      </c>
      <c r="H1427" s="55" t="str">
        <f>IFERROR(IF(OR($B1427="",$B1427="(blank)"),"",VLOOKUP($B1427,'Email Marketing Raw Data'!$C:$O,5,0)),"")</f>
        <v/>
      </c>
      <c r="I1427" s="55" t="str">
        <f>IFERROR(IF($G1427="","",VLOOKUP('Dashboard And Emails Automate'!$G1427,Database!$H:$N,3,0)),"")</f>
        <v/>
      </c>
      <c r="J1427" s="55" t="str">
        <f>IFERROR(IF($G1427="","",VLOOKUP('Dashboard And Emails Automate'!$G1427,Database!$H:$N,4,0)),"")</f>
        <v/>
      </c>
      <c r="K1427" s="55" t="str">
        <f>IFERROR(IF($G1427="","",VLOOKUP('Dashboard And Emails Automate'!$G1427,Database!$H:$N,5,0)),"")</f>
        <v/>
      </c>
      <c r="L1427" s="55" t="str">
        <f>IFERROR(IF($G1427="","",VLOOKUP('Dashboard And Emails Automate'!$G1427,Database!$H:$N,6,0)),"")</f>
        <v/>
      </c>
      <c r="M1427" s="55" t="str">
        <f>IFERROR(IF($G1427="","",VLOOKUP('Dashboard And Emails Automate'!$G1427,Database!$H:$N,7,0)),"")</f>
        <v/>
      </c>
      <c r="N1427" s="55" t="str">
        <f>IFERROR(IF(OR($B1427="",$B1427="(blank)"),"",VLOOKUP($B1427,'Email Marketing Raw Data'!$C:$O,6,0)),"")</f>
        <v/>
      </c>
      <c r="O1427" s="55" t="str">
        <f>IFERROR(IF(OR($B1427="",$B1427="(blank)"),"",VLOOKUP($B1427,'Email Marketing Raw Data'!$C:$O,7,0)),"")</f>
        <v/>
      </c>
      <c r="P1427" s="55" t="str">
        <f>IFERROR(IF(OR($B1427="",$B1427="(blank)"),"",VLOOKUP($B1427,'Email Marketing Raw Data'!$C:$O,8,0)),"")</f>
        <v/>
      </c>
      <c r="Q1427" s="62" t="str">
        <f>IFERROR(IF(OR($B1427="",$B1427="(blank)"),"",VLOOKUP($B1427,'Email Marketing Raw Data'!$C:$O,9,0)),"")</f>
        <v/>
      </c>
    </row>
    <row r="1428" spans="4:17" ht="12.75" customHeight="1" x14ac:dyDescent="0.2">
      <c r="D1428" s="58" t="str">
        <f>IFERROR(IF(F1428&lt;&gt;"pending","",IF(OR($B1428="",$B1428="(blank)"),"",VLOOKUP($B1428,'Email Marketing Raw Data'!$C:$O,10,0))),"")</f>
        <v/>
      </c>
      <c r="E1428" s="59" t="str">
        <f>IFERROR(IF(F1428&lt;&gt;"pending","",IF(OR($B1428="",$B1428="(blank)"),"",VLOOKUP($B1428,'Email Marketing Raw Data'!$C:$O,11,0))),"")</f>
        <v/>
      </c>
      <c r="F1428" s="54" t="str">
        <f>IFERROR(IF(OR($B1428="",$B1428="(blank)"),"",VLOOKUP($B1428,'Email Marketing Raw Data'!$C:$O,13,0)),"")</f>
        <v/>
      </c>
      <c r="G1428" s="55" t="str">
        <f>IFERROR(IF(OR($B1428="",$B1428="(blank)"),"",VLOOKUP($B1428,'Email Marketing Raw Data'!$C:$O,4,0)),"")</f>
        <v/>
      </c>
      <c r="H1428" s="55" t="str">
        <f>IFERROR(IF(OR($B1428="",$B1428="(blank)"),"",VLOOKUP($B1428,'Email Marketing Raw Data'!$C:$O,5,0)),"")</f>
        <v/>
      </c>
      <c r="I1428" s="55" t="str">
        <f>IFERROR(IF($G1428="","",VLOOKUP('Dashboard And Emails Automate'!$G1428,Database!$H:$N,3,0)),"")</f>
        <v/>
      </c>
      <c r="J1428" s="55" t="str">
        <f>IFERROR(IF($G1428="","",VLOOKUP('Dashboard And Emails Automate'!$G1428,Database!$H:$N,4,0)),"")</f>
        <v/>
      </c>
      <c r="K1428" s="55" t="str">
        <f>IFERROR(IF($G1428="","",VLOOKUP('Dashboard And Emails Automate'!$G1428,Database!$H:$N,5,0)),"")</f>
        <v/>
      </c>
      <c r="L1428" s="55" t="str">
        <f>IFERROR(IF($G1428="","",VLOOKUP('Dashboard And Emails Automate'!$G1428,Database!$H:$N,6,0)),"")</f>
        <v/>
      </c>
      <c r="M1428" s="55" t="str">
        <f>IFERROR(IF($G1428="","",VLOOKUP('Dashboard And Emails Automate'!$G1428,Database!$H:$N,7,0)),"")</f>
        <v/>
      </c>
      <c r="N1428" s="55" t="str">
        <f>IFERROR(IF(OR($B1428="",$B1428="(blank)"),"",VLOOKUP($B1428,'Email Marketing Raw Data'!$C:$O,6,0)),"")</f>
        <v/>
      </c>
      <c r="O1428" s="55" t="str">
        <f>IFERROR(IF(OR($B1428="",$B1428="(blank)"),"",VLOOKUP($B1428,'Email Marketing Raw Data'!$C:$O,7,0)),"")</f>
        <v/>
      </c>
      <c r="P1428" s="55" t="str">
        <f>IFERROR(IF(OR($B1428="",$B1428="(blank)"),"",VLOOKUP($B1428,'Email Marketing Raw Data'!$C:$O,8,0)),"")</f>
        <v/>
      </c>
      <c r="Q1428" s="62" t="str">
        <f>IFERROR(IF(OR($B1428="",$B1428="(blank)"),"",VLOOKUP($B1428,'Email Marketing Raw Data'!$C:$O,9,0)),"")</f>
        <v/>
      </c>
    </row>
    <row r="1429" spans="4:17" ht="12.75" customHeight="1" x14ac:dyDescent="0.2">
      <c r="D1429" s="58" t="str">
        <f>IFERROR(IF(F1429&lt;&gt;"pending","",IF(OR($B1429="",$B1429="(blank)"),"",VLOOKUP($B1429,'Email Marketing Raw Data'!$C:$O,10,0))),"")</f>
        <v/>
      </c>
      <c r="E1429" s="59" t="str">
        <f>IFERROR(IF(F1429&lt;&gt;"pending","",IF(OR($B1429="",$B1429="(blank)"),"",VLOOKUP($B1429,'Email Marketing Raw Data'!$C:$O,11,0))),"")</f>
        <v/>
      </c>
      <c r="F1429" s="54" t="str">
        <f>IFERROR(IF(OR($B1429="",$B1429="(blank)"),"",VLOOKUP($B1429,'Email Marketing Raw Data'!$C:$O,13,0)),"")</f>
        <v/>
      </c>
      <c r="G1429" s="55" t="str">
        <f>IFERROR(IF(OR($B1429="",$B1429="(blank)"),"",VLOOKUP($B1429,'Email Marketing Raw Data'!$C:$O,4,0)),"")</f>
        <v/>
      </c>
      <c r="H1429" s="55" t="str">
        <f>IFERROR(IF(OR($B1429="",$B1429="(blank)"),"",VLOOKUP($B1429,'Email Marketing Raw Data'!$C:$O,5,0)),"")</f>
        <v/>
      </c>
      <c r="I1429" s="55" t="str">
        <f>IFERROR(IF($G1429="","",VLOOKUP('Dashboard And Emails Automate'!$G1429,Database!$H:$N,3,0)),"")</f>
        <v/>
      </c>
      <c r="J1429" s="55" t="str">
        <f>IFERROR(IF($G1429="","",VLOOKUP('Dashboard And Emails Automate'!$G1429,Database!$H:$N,4,0)),"")</f>
        <v/>
      </c>
      <c r="K1429" s="55" t="str">
        <f>IFERROR(IF($G1429="","",VLOOKUP('Dashboard And Emails Automate'!$G1429,Database!$H:$N,5,0)),"")</f>
        <v/>
      </c>
      <c r="L1429" s="55" t="str">
        <f>IFERROR(IF($G1429="","",VLOOKUP('Dashboard And Emails Automate'!$G1429,Database!$H:$N,6,0)),"")</f>
        <v/>
      </c>
      <c r="M1429" s="55" t="str">
        <f>IFERROR(IF($G1429="","",VLOOKUP('Dashboard And Emails Automate'!$G1429,Database!$H:$N,7,0)),"")</f>
        <v/>
      </c>
      <c r="N1429" s="55" t="str">
        <f>IFERROR(IF(OR($B1429="",$B1429="(blank)"),"",VLOOKUP($B1429,'Email Marketing Raw Data'!$C:$O,6,0)),"")</f>
        <v/>
      </c>
      <c r="O1429" s="55" t="str">
        <f>IFERROR(IF(OR($B1429="",$B1429="(blank)"),"",VLOOKUP($B1429,'Email Marketing Raw Data'!$C:$O,7,0)),"")</f>
        <v/>
      </c>
      <c r="P1429" s="55" t="str">
        <f>IFERROR(IF(OR($B1429="",$B1429="(blank)"),"",VLOOKUP($B1429,'Email Marketing Raw Data'!$C:$O,8,0)),"")</f>
        <v/>
      </c>
      <c r="Q1429" s="62" t="str">
        <f>IFERROR(IF(OR($B1429="",$B1429="(blank)"),"",VLOOKUP($B1429,'Email Marketing Raw Data'!$C:$O,9,0)),"")</f>
        <v/>
      </c>
    </row>
    <row r="1430" spans="4:17" ht="12.75" customHeight="1" x14ac:dyDescent="0.2">
      <c r="D1430" s="58" t="str">
        <f>IFERROR(IF(F1430&lt;&gt;"pending","",IF(OR($B1430="",$B1430="(blank)"),"",VLOOKUP($B1430,'Email Marketing Raw Data'!$C:$O,10,0))),"")</f>
        <v/>
      </c>
      <c r="E1430" s="59" t="str">
        <f>IFERROR(IF(F1430&lt;&gt;"pending","",IF(OR($B1430="",$B1430="(blank)"),"",VLOOKUP($B1430,'Email Marketing Raw Data'!$C:$O,11,0))),"")</f>
        <v/>
      </c>
      <c r="F1430" s="54" t="str">
        <f>IFERROR(IF(OR($B1430="",$B1430="(blank)"),"",VLOOKUP($B1430,'Email Marketing Raw Data'!$C:$O,13,0)),"")</f>
        <v/>
      </c>
      <c r="G1430" s="55" t="str">
        <f>IFERROR(IF(OR($B1430="",$B1430="(blank)"),"",VLOOKUP($B1430,'Email Marketing Raw Data'!$C:$O,4,0)),"")</f>
        <v/>
      </c>
      <c r="H1430" s="55" t="str">
        <f>IFERROR(IF(OR($B1430="",$B1430="(blank)"),"",VLOOKUP($B1430,'Email Marketing Raw Data'!$C:$O,5,0)),"")</f>
        <v/>
      </c>
      <c r="I1430" s="55" t="str">
        <f>IFERROR(IF($G1430="","",VLOOKUP('Dashboard And Emails Automate'!$G1430,Database!$H:$N,3,0)),"")</f>
        <v/>
      </c>
      <c r="J1430" s="55" t="str">
        <f>IFERROR(IF($G1430="","",VLOOKUP('Dashboard And Emails Automate'!$G1430,Database!$H:$N,4,0)),"")</f>
        <v/>
      </c>
      <c r="K1430" s="55" t="str">
        <f>IFERROR(IF($G1430="","",VLOOKUP('Dashboard And Emails Automate'!$G1430,Database!$H:$N,5,0)),"")</f>
        <v/>
      </c>
      <c r="L1430" s="55" t="str">
        <f>IFERROR(IF($G1430="","",VLOOKUP('Dashboard And Emails Automate'!$G1430,Database!$H:$N,6,0)),"")</f>
        <v/>
      </c>
      <c r="M1430" s="55" t="str">
        <f>IFERROR(IF($G1430="","",VLOOKUP('Dashboard And Emails Automate'!$G1430,Database!$H:$N,7,0)),"")</f>
        <v/>
      </c>
      <c r="N1430" s="55" t="str">
        <f>IFERROR(IF(OR($B1430="",$B1430="(blank)"),"",VLOOKUP($B1430,'Email Marketing Raw Data'!$C:$O,6,0)),"")</f>
        <v/>
      </c>
      <c r="O1430" s="55" t="str">
        <f>IFERROR(IF(OR($B1430="",$B1430="(blank)"),"",VLOOKUP($B1430,'Email Marketing Raw Data'!$C:$O,7,0)),"")</f>
        <v/>
      </c>
      <c r="P1430" s="55" t="str">
        <f>IFERROR(IF(OR($B1430="",$B1430="(blank)"),"",VLOOKUP($B1430,'Email Marketing Raw Data'!$C:$O,8,0)),"")</f>
        <v/>
      </c>
      <c r="Q1430" s="62" t="str">
        <f>IFERROR(IF(OR($B1430="",$B1430="(blank)"),"",VLOOKUP($B1430,'Email Marketing Raw Data'!$C:$O,9,0)),"")</f>
        <v/>
      </c>
    </row>
    <row r="1431" spans="4:17" ht="12.75" customHeight="1" x14ac:dyDescent="0.2">
      <c r="D1431" s="58" t="str">
        <f>IFERROR(IF(F1431&lt;&gt;"pending","",IF(OR($B1431="",$B1431="(blank)"),"",VLOOKUP($B1431,'Email Marketing Raw Data'!$C:$O,10,0))),"")</f>
        <v/>
      </c>
      <c r="E1431" s="59" t="str">
        <f>IFERROR(IF(F1431&lt;&gt;"pending","",IF(OR($B1431="",$B1431="(blank)"),"",VLOOKUP($B1431,'Email Marketing Raw Data'!$C:$O,11,0))),"")</f>
        <v/>
      </c>
      <c r="F1431" s="54" t="str">
        <f>IFERROR(IF(OR($B1431="",$B1431="(blank)"),"",VLOOKUP($B1431,'Email Marketing Raw Data'!$C:$O,13,0)),"")</f>
        <v/>
      </c>
      <c r="G1431" s="55" t="str">
        <f>IFERROR(IF(OR($B1431="",$B1431="(blank)"),"",VLOOKUP($B1431,'Email Marketing Raw Data'!$C:$O,4,0)),"")</f>
        <v/>
      </c>
      <c r="H1431" s="55" t="str">
        <f>IFERROR(IF(OR($B1431="",$B1431="(blank)"),"",VLOOKUP($B1431,'Email Marketing Raw Data'!$C:$O,5,0)),"")</f>
        <v/>
      </c>
      <c r="I1431" s="55" t="str">
        <f>IFERROR(IF($G1431="","",VLOOKUP('Dashboard And Emails Automate'!$G1431,Database!$H:$N,3,0)),"")</f>
        <v/>
      </c>
      <c r="J1431" s="55" t="str">
        <f>IFERROR(IF($G1431="","",VLOOKUP('Dashboard And Emails Automate'!$G1431,Database!$H:$N,4,0)),"")</f>
        <v/>
      </c>
      <c r="K1431" s="55" t="str">
        <f>IFERROR(IF($G1431="","",VLOOKUP('Dashboard And Emails Automate'!$G1431,Database!$H:$N,5,0)),"")</f>
        <v/>
      </c>
      <c r="L1431" s="55" t="str">
        <f>IFERROR(IF($G1431="","",VLOOKUP('Dashboard And Emails Automate'!$G1431,Database!$H:$N,6,0)),"")</f>
        <v/>
      </c>
      <c r="M1431" s="55" t="str">
        <f>IFERROR(IF($G1431="","",VLOOKUP('Dashboard And Emails Automate'!$G1431,Database!$H:$N,7,0)),"")</f>
        <v/>
      </c>
      <c r="N1431" s="55" t="str">
        <f>IFERROR(IF(OR($B1431="",$B1431="(blank)"),"",VLOOKUP($B1431,'Email Marketing Raw Data'!$C:$O,6,0)),"")</f>
        <v/>
      </c>
      <c r="O1431" s="55" t="str">
        <f>IFERROR(IF(OR($B1431="",$B1431="(blank)"),"",VLOOKUP($B1431,'Email Marketing Raw Data'!$C:$O,7,0)),"")</f>
        <v/>
      </c>
      <c r="P1431" s="55" t="str">
        <f>IFERROR(IF(OR($B1431="",$B1431="(blank)"),"",VLOOKUP($B1431,'Email Marketing Raw Data'!$C:$O,8,0)),"")</f>
        <v/>
      </c>
      <c r="Q1431" s="62" t="str">
        <f>IFERROR(IF(OR($B1431="",$B1431="(blank)"),"",VLOOKUP($B1431,'Email Marketing Raw Data'!$C:$O,9,0)),"")</f>
        <v/>
      </c>
    </row>
    <row r="1432" spans="4:17" ht="12.75" customHeight="1" x14ac:dyDescent="0.2">
      <c r="D1432" s="58" t="str">
        <f>IFERROR(IF(F1432&lt;&gt;"pending","",IF(OR($B1432="",$B1432="(blank)"),"",VLOOKUP($B1432,'Email Marketing Raw Data'!$C:$O,10,0))),"")</f>
        <v/>
      </c>
      <c r="E1432" s="59" t="str">
        <f>IFERROR(IF(F1432&lt;&gt;"pending","",IF(OR($B1432="",$B1432="(blank)"),"",VLOOKUP($B1432,'Email Marketing Raw Data'!$C:$O,11,0))),"")</f>
        <v/>
      </c>
      <c r="F1432" s="54" t="str">
        <f>IFERROR(IF(OR($B1432="",$B1432="(blank)"),"",VLOOKUP($B1432,'Email Marketing Raw Data'!$C:$O,13,0)),"")</f>
        <v/>
      </c>
      <c r="G1432" s="55" t="str">
        <f>IFERROR(IF(OR($B1432="",$B1432="(blank)"),"",VLOOKUP($B1432,'Email Marketing Raw Data'!$C:$O,4,0)),"")</f>
        <v/>
      </c>
      <c r="H1432" s="55" t="str">
        <f>IFERROR(IF(OR($B1432="",$B1432="(blank)"),"",VLOOKUP($B1432,'Email Marketing Raw Data'!$C:$O,5,0)),"")</f>
        <v/>
      </c>
      <c r="I1432" s="55" t="str">
        <f>IFERROR(IF($G1432="","",VLOOKUP('Dashboard And Emails Automate'!$G1432,Database!$H:$N,3,0)),"")</f>
        <v/>
      </c>
      <c r="J1432" s="55" t="str">
        <f>IFERROR(IF($G1432="","",VLOOKUP('Dashboard And Emails Automate'!$G1432,Database!$H:$N,4,0)),"")</f>
        <v/>
      </c>
      <c r="K1432" s="55" t="str">
        <f>IFERROR(IF($G1432="","",VLOOKUP('Dashboard And Emails Automate'!$G1432,Database!$H:$N,5,0)),"")</f>
        <v/>
      </c>
      <c r="L1432" s="55" t="str">
        <f>IFERROR(IF($G1432="","",VLOOKUP('Dashboard And Emails Automate'!$G1432,Database!$H:$N,6,0)),"")</f>
        <v/>
      </c>
      <c r="M1432" s="55" t="str">
        <f>IFERROR(IF($G1432="","",VLOOKUP('Dashboard And Emails Automate'!$G1432,Database!$H:$N,7,0)),"")</f>
        <v/>
      </c>
      <c r="N1432" s="55" t="str">
        <f>IFERROR(IF(OR($B1432="",$B1432="(blank)"),"",VLOOKUP($B1432,'Email Marketing Raw Data'!$C:$O,6,0)),"")</f>
        <v/>
      </c>
      <c r="O1432" s="55" t="str">
        <f>IFERROR(IF(OR($B1432="",$B1432="(blank)"),"",VLOOKUP($B1432,'Email Marketing Raw Data'!$C:$O,7,0)),"")</f>
        <v/>
      </c>
      <c r="P1432" s="55" t="str">
        <f>IFERROR(IF(OR($B1432="",$B1432="(blank)"),"",VLOOKUP($B1432,'Email Marketing Raw Data'!$C:$O,8,0)),"")</f>
        <v/>
      </c>
      <c r="Q1432" s="62" t="str">
        <f>IFERROR(IF(OR($B1432="",$B1432="(blank)"),"",VLOOKUP($B1432,'Email Marketing Raw Data'!$C:$O,9,0)),"")</f>
        <v/>
      </c>
    </row>
    <row r="1433" spans="4:17" ht="12.75" customHeight="1" x14ac:dyDescent="0.2">
      <c r="D1433" s="58" t="str">
        <f>IFERROR(IF(F1433&lt;&gt;"pending","",IF(OR($B1433="",$B1433="(blank)"),"",VLOOKUP($B1433,'Email Marketing Raw Data'!$C:$O,10,0))),"")</f>
        <v/>
      </c>
      <c r="E1433" s="59" t="str">
        <f>IFERROR(IF(F1433&lt;&gt;"pending","",IF(OR($B1433="",$B1433="(blank)"),"",VLOOKUP($B1433,'Email Marketing Raw Data'!$C:$O,11,0))),"")</f>
        <v/>
      </c>
      <c r="F1433" s="54" t="str">
        <f>IFERROR(IF(OR($B1433="",$B1433="(blank)"),"",VLOOKUP($B1433,'Email Marketing Raw Data'!$C:$O,13,0)),"")</f>
        <v/>
      </c>
      <c r="G1433" s="55" t="str">
        <f>IFERROR(IF(OR($B1433="",$B1433="(blank)"),"",VLOOKUP($B1433,'Email Marketing Raw Data'!$C:$O,4,0)),"")</f>
        <v/>
      </c>
      <c r="H1433" s="55" t="str">
        <f>IFERROR(IF(OR($B1433="",$B1433="(blank)"),"",VLOOKUP($B1433,'Email Marketing Raw Data'!$C:$O,5,0)),"")</f>
        <v/>
      </c>
      <c r="I1433" s="55" t="str">
        <f>IFERROR(IF($G1433="","",VLOOKUP('Dashboard And Emails Automate'!$G1433,Database!$H:$N,3,0)),"")</f>
        <v/>
      </c>
      <c r="J1433" s="55" t="str">
        <f>IFERROR(IF($G1433="","",VLOOKUP('Dashboard And Emails Automate'!$G1433,Database!$H:$N,4,0)),"")</f>
        <v/>
      </c>
      <c r="K1433" s="55" t="str">
        <f>IFERROR(IF($G1433="","",VLOOKUP('Dashboard And Emails Automate'!$G1433,Database!$H:$N,5,0)),"")</f>
        <v/>
      </c>
      <c r="L1433" s="55" t="str">
        <f>IFERROR(IF($G1433="","",VLOOKUP('Dashboard And Emails Automate'!$G1433,Database!$H:$N,6,0)),"")</f>
        <v/>
      </c>
      <c r="M1433" s="55" t="str">
        <f>IFERROR(IF($G1433="","",VLOOKUP('Dashboard And Emails Automate'!$G1433,Database!$H:$N,7,0)),"")</f>
        <v/>
      </c>
      <c r="N1433" s="55" t="str">
        <f>IFERROR(IF(OR($B1433="",$B1433="(blank)"),"",VLOOKUP($B1433,'Email Marketing Raw Data'!$C:$O,6,0)),"")</f>
        <v/>
      </c>
      <c r="O1433" s="55" t="str">
        <f>IFERROR(IF(OR($B1433="",$B1433="(blank)"),"",VLOOKUP($B1433,'Email Marketing Raw Data'!$C:$O,7,0)),"")</f>
        <v/>
      </c>
      <c r="P1433" s="55" t="str">
        <f>IFERROR(IF(OR($B1433="",$B1433="(blank)"),"",VLOOKUP($B1433,'Email Marketing Raw Data'!$C:$O,8,0)),"")</f>
        <v/>
      </c>
      <c r="Q1433" s="62" t="str">
        <f>IFERROR(IF(OR($B1433="",$B1433="(blank)"),"",VLOOKUP($B1433,'Email Marketing Raw Data'!$C:$O,9,0)),"")</f>
        <v/>
      </c>
    </row>
    <row r="1434" spans="4:17" ht="12.75" customHeight="1" x14ac:dyDescent="0.2">
      <c r="D1434" s="58" t="str">
        <f>IFERROR(IF(F1434&lt;&gt;"pending","",IF(OR($B1434="",$B1434="(blank)"),"",VLOOKUP($B1434,'Email Marketing Raw Data'!$C:$O,10,0))),"")</f>
        <v/>
      </c>
      <c r="E1434" s="59" t="str">
        <f>IFERROR(IF(F1434&lt;&gt;"pending","",IF(OR($B1434="",$B1434="(blank)"),"",VLOOKUP($B1434,'Email Marketing Raw Data'!$C:$O,11,0))),"")</f>
        <v/>
      </c>
      <c r="F1434" s="54" t="str">
        <f>IFERROR(IF(OR($B1434="",$B1434="(blank)"),"",VLOOKUP($B1434,'Email Marketing Raw Data'!$C:$O,13,0)),"")</f>
        <v/>
      </c>
      <c r="G1434" s="55" t="str">
        <f>IFERROR(IF(OR($B1434="",$B1434="(blank)"),"",VLOOKUP($B1434,'Email Marketing Raw Data'!$C:$O,4,0)),"")</f>
        <v/>
      </c>
      <c r="H1434" s="55" t="str">
        <f>IFERROR(IF(OR($B1434="",$B1434="(blank)"),"",VLOOKUP($B1434,'Email Marketing Raw Data'!$C:$O,5,0)),"")</f>
        <v/>
      </c>
      <c r="I1434" s="55" t="str">
        <f>IFERROR(IF($G1434="","",VLOOKUP('Dashboard And Emails Automate'!$G1434,Database!$H:$N,3,0)),"")</f>
        <v/>
      </c>
      <c r="J1434" s="55" t="str">
        <f>IFERROR(IF($G1434="","",VLOOKUP('Dashboard And Emails Automate'!$G1434,Database!$H:$N,4,0)),"")</f>
        <v/>
      </c>
      <c r="K1434" s="55" t="str">
        <f>IFERROR(IF($G1434="","",VLOOKUP('Dashboard And Emails Automate'!$G1434,Database!$H:$N,5,0)),"")</f>
        <v/>
      </c>
      <c r="L1434" s="55" t="str">
        <f>IFERROR(IF($G1434="","",VLOOKUP('Dashboard And Emails Automate'!$G1434,Database!$H:$N,6,0)),"")</f>
        <v/>
      </c>
      <c r="M1434" s="55" t="str">
        <f>IFERROR(IF($G1434="","",VLOOKUP('Dashboard And Emails Automate'!$G1434,Database!$H:$N,7,0)),"")</f>
        <v/>
      </c>
      <c r="N1434" s="55" t="str">
        <f>IFERROR(IF(OR($B1434="",$B1434="(blank)"),"",VLOOKUP($B1434,'Email Marketing Raw Data'!$C:$O,6,0)),"")</f>
        <v/>
      </c>
      <c r="O1434" s="55" t="str">
        <f>IFERROR(IF(OR($B1434="",$B1434="(blank)"),"",VLOOKUP($B1434,'Email Marketing Raw Data'!$C:$O,7,0)),"")</f>
        <v/>
      </c>
      <c r="P1434" s="55" t="str">
        <f>IFERROR(IF(OR($B1434="",$B1434="(blank)"),"",VLOOKUP($B1434,'Email Marketing Raw Data'!$C:$O,8,0)),"")</f>
        <v/>
      </c>
      <c r="Q1434" s="62" t="str">
        <f>IFERROR(IF(OR($B1434="",$B1434="(blank)"),"",VLOOKUP($B1434,'Email Marketing Raw Data'!$C:$O,9,0)),"")</f>
        <v/>
      </c>
    </row>
    <row r="1435" spans="4:17" ht="12.75" customHeight="1" x14ac:dyDescent="0.2">
      <c r="D1435" s="58" t="str">
        <f>IFERROR(IF(F1435&lt;&gt;"pending","",IF(OR($B1435="",$B1435="(blank)"),"",VLOOKUP($B1435,'Email Marketing Raw Data'!$C:$O,10,0))),"")</f>
        <v/>
      </c>
      <c r="E1435" s="59" t="str">
        <f>IFERROR(IF(F1435&lt;&gt;"pending","",IF(OR($B1435="",$B1435="(blank)"),"",VLOOKUP($B1435,'Email Marketing Raw Data'!$C:$O,11,0))),"")</f>
        <v/>
      </c>
      <c r="F1435" s="54" t="str">
        <f>IFERROR(IF(OR($B1435="",$B1435="(blank)"),"",VLOOKUP($B1435,'Email Marketing Raw Data'!$C:$O,13,0)),"")</f>
        <v/>
      </c>
      <c r="G1435" s="55" t="str">
        <f>IFERROR(IF(OR($B1435="",$B1435="(blank)"),"",VLOOKUP($B1435,'Email Marketing Raw Data'!$C:$O,4,0)),"")</f>
        <v/>
      </c>
      <c r="H1435" s="55" t="str">
        <f>IFERROR(IF(OR($B1435="",$B1435="(blank)"),"",VLOOKUP($B1435,'Email Marketing Raw Data'!$C:$O,5,0)),"")</f>
        <v/>
      </c>
      <c r="I1435" s="55" t="str">
        <f>IFERROR(IF($G1435="","",VLOOKUP('Dashboard And Emails Automate'!$G1435,Database!$H:$N,3,0)),"")</f>
        <v/>
      </c>
      <c r="J1435" s="55" t="str">
        <f>IFERROR(IF($G1435="","",VLOOKUP('Dashboard And Emails Automate'!$G1435,Database!$H:$N,4,0)),"")</f>
        <v/>
      </c>
      <c r="K1435" s="55" t="str">
        <f>IFERROR(IF($G1435="","",VLOOKUP('Dashboard And Emails Automate'!$G1435,Database!$H:$N,5,0)),"")</f>
        <v/>
      </c>
      <c r="L1435" s="55" t="str">
        <f>IFERROR(IF($G1435="","",VLOOKUP('Dashboard And Emails Automate'!$G1435,Database!$H:$N,6,0)),"")</f>
        <v/>
      </c>
      <c r="M1435" s="55" t="str">
        <f>IFERROR(IF($G1435="","",VLOOKUP('Dashboard And Emails Automate'!$G1435,Database!$H:$N,7,0)),"")</f>
        <v/>
      </c>
      <c r="N1435" s="55" t="str">
        <f>IFERROR(IF(OR($B1435="",$B1435="(blank)"),"",VLOOKUP($B1435,'Email Marketing Raw Data'!$C:$O,6,0)),"")</f>
        <v/>
      </c>
      <c r="O1435" s="55" t="str">
        <f>IFERROR(IF(OR($B1435="",$B1435="(blank)"),"",VLOOKUP($B1435,'Email Marketing Raw Data'!$C:$O,7,0)),"")</f>
        <v/>
      </c>
      <c r="P1435" s="55" t="str">
        <f>IFERROR(IF(OR($B1435="",$B1435="(blank)"),"",VLOOKUP($B1435,'Email Marketing Raw Data'!$C:$O,8,0)),"")</f>
        <v/>
      </c>
      <c r="Q1435" s="62" t="str">
        <f>IFERROR(IF(OR($B1435="",$B1435="(blank)"),"",VLOOKUP($B1435,'Email Marketing Raw Data'!$C:$O,9,0)),"")</f>
        <v/>
      </c>
    </row>
    <row r="1436" spans="4:17" ht="12.75" customHeight="1" x14ac:dyDescent="0.2">
      <c r="D1436" s="58" t="str">
        <f>IFERROR(IF(F1436&lt;&gt;"pending","",IF(OR($B1436="",$B1436="(blank)"),"",VLOOKUP($B1436,'Email Marketing Raw Data'!$C:$O,10,0))),"")</f>
        <v/>
      </c>
      <c r="E1436" s="59" t="str">
        <f>IFERROR(IF(F1436&lt;&gt;"pending","",IF(OR($B1436="",$B1436="(blank)"),"",VLOOKUP($B1436,'Email Marketing Raw Data'!$C:$O,11,0))),"")</f>
        <v/>
      </c>
      <c r="F1436" s="54" t="str">
        <f>IFERROR(IF(OR($B1436="",$B1436="(blank)"),"",VLOOKUP($B1436,'Email Marketing Raw Data'!$C:$O,13,0)),"")</f>
        <v/>
      </c>
      <c r="G1436" s="55" t="str">
        <f>IFERROR(IF(OR($B1436="",$B1436="(blank)"),"",VLOOKUP($B1436,'Email Marketing Raw Data'!$C:$O,4,0)),"")</f>
        <v/>
      </c>
      <c r="H1436" s="55" t="str">
        <f>IFERROR(IF(OR($B1436="",$B1436="(blank)"),"",VLOOKUP($B1436,'Email Marketing Raw Data'!$C:$O,5,0)),"")</f>
        <v/>
      </c>
      <c r="I1436" s="55" t="str">
        <f>IFERROR(IF($G1436="","",VLOOKUP('Dashboard And Emails Automate'!$G1436,Database!$H:$N,3,0)),"")</f>
        <v/>
      </c>
      <c r="J1436" s="55" t="str">
        <f>IFERROR(IF($G1436="","",VLOOKUP('Dashboard And Emails Automate'!$G1436,Database!$H:$N,4,0)),"")</f>
        <v/>
      </c>
      <c r="K1436" s="55" t="str">
        <f>IFERROR(IF($G1436="","",VLOOKUP('Dashboard And Emails Automate'!$G1436,Database!$H:$N,5,0)),"")</f>
        <v/>
      </c>
      <c r="L1436" s="55" t="str">
        <f>IFERROR(IF($G1436="","",VLOOKUP('Dashboard And Emails Automate'!$G1436,Database!$H:$N,6,0)),"")</f>
        <v/>
      </c>
      <c r="M1436" s="55" t="str">
        <f>IFERROR(IF($G1436="","",VLOOKUP('Dashboard And Emails Automate'!$G1436,Database!$H:$N,7,0)),"")</f>
        <v/>
      </c>
      <c r="N1436" s="55" t="str">
        <f>IFERROR(IF(OR($B1436="",$B1436="(blank)"),"",VLOOKUP($B1436,'Email Marketing Raw Data'!$C:$O,6,0)),"")</f>
        <v/>
      </c>
      <c r="O1436" s="55" t="str">
        <f>IFERROR(IF(OR($B1436="",$B1436="(blank)"),"",VLOOKUP($B1436,'Email Marketing Raw Data'!$C:$O,7,0)),"")</f>
        <v/>
      </c>
      <c r="P1436" s="55" t="str">
        <f>IFERROR(IF(OR($B1436="",$B1436="(blank)"),"",VLOOKUP($B1436,'Email Marketing Raw Data'!$C:$O,8,0)),"")</f>
        <v/>
      </c>
      <c r="Q1436" s="62" t="str">
        <f>IFERROR(IF(OR($B1436="",$B1436="(blank)"),"",VLOOKUP($B1436,'Email Marketing Raw Data'!$C:$O,9,0)),"")</f>
        <v/>
      </c>
    </row>
    <row r="1437" spans="4:17" ht="12.75" customHeight="1" x14ac:dyDescent="0.2">
      <c r="D1437" s="58" t="str">
        <f>IFERROR(IF(F1437&lt;&gt;"pending","",IF(OR($B1437="",$B1437="(blank)"),"",VLOOKUP($B1437,'Email Marketing Raw Data'!$C:$O,10,0))),"")</f>
        <v/>
      </c>
      <c r="E1437" s="59" t="str">
        <f>IFERROR(IF(F1437&lt;&gt;"pending","",IF(OR($B1437="",$B1437="(blank)"),"",VLOOKUP($B1437,'Email Marketing Raw Data'!$C:$O,11,0))),"")</f>
        <v/>
      </c>
      <c r="F1437" s="54" t="str">
        <f>IFERROR(IF(OR($B1437="",$B1437="(blank)"),"",VLOOKUP($B1437,'Email Marketing Raw Data'!$C:$O,13,0)),"")</f>
        <v/>
      </c>
      <c r="G1437" s="55" t="str">
        <f>IFERROR(IF(OR($B1437="",$B1437="(blank)"),"",VLOOKUP($B1437,'Email Marketing Raw Data'!$C:$O,4,0)),"")</f>
        <v/>
      </c>
      <c r="H1437" s="55" t="str">
        <f>IFERROR(IF(OR($B1437="",$B1437="(blank)"),"",VLOOKUP($B1437,'Email Marketing Raw Data'!$C:$O,5,0)),"")</f>
        <v/>
      </c>
      <c r="I1437" s="55" t="str">
        <f>IFERROR(IF($G1437="","",VLOOKUP('Dashboard And Emails Automate'!$G1437,Database!$H:$N,3,0)),"")</f>
        <v/>
      </c>
      <c r="J1437" s="55" t="str">
        <f>IFERROR(IF($G1437="","",VLOOKUP('Dashboard And Emails Automate'!$G1437,Database!$H:$N,4,0)),"")</f>
        <v/>
      </c>
      <c r="K1437" s="55" t="str">
        <f>IFERROR(IF($G1437="","",VLOOKUP('Dashboard And Emails Automate'!$G1437,Database!$H:$N,5,0)),"")</f>
        <v/>
      </c>
      <c r="L1437" s="55" t="str">
        <f>IFERROR(IF($G1437="","",VLOOKUP('Dashboard And Emails Automate'!$G1437,Database!$H:$N,6,0)),"")</f>
        <v/>
      </c>
      <c r="M1437" s="55" t="str">
        <f>IFERROR(IF($G1437="","",VLOOKUP('Dashboard And Emails Automate'!$G1437,Database!$H:$N,7,0)),"")</f>
        <v/>
      </c>
      <c r="N1437" s="55" t="str">
        <f>IFERROR(IF(OR($B1437="",$B1437="(blank)"),"",VLOOKUP($B1437,'Email Marketing Raw Data'!$C:$O,6,0)),"")</f>
        <v/>
      </c>
      <c r="O1437" s="55" t="str">
        <f>IFERROR(IF(OR($B1437="",$B1437="(blank)"),"",VLOOKUP($B1437,'Email Marketing Raw Data'!$C:$O,7,0)),"")</f>
        <v/>
      </c>
      <c r="P1437" s="55" t="str">
        <f>IFERROR(IF(OR($B1437="",$B1437="(blank)"),"",VLOOKUP($B1437,'Email Marketing Raw Data'!$C:$O,8,0)),"")</f>
        <v/>
      </c>
      <c r="Q1437" s="62" t="str">
        <f>IFERROR(IF(OR($B1437="",$B1437="(blank)"),"",VLOOKUP($B1437,'Email Marketing Raw Data'!$C:$O,9,0)),"")</f>
        <v/>
      </c>
    </row>
    <row r="1438" spans="4:17" ht="12.75" customHeight="1" x14ac:dyDescent="0.2">
      <c r="D1438" s="58" t="str">
        <f>IFERROR(IF(F1438&lt;&gt;"pending","",IF(OR($B1438="",$B1438="(blank)"),"",VLOOKUP($B1438,'Email Marketing Raw Data'!$C:$O,10,0))),"")</f>
        <v/>
      </c>
      <c r="E1438" s="59" t="str">
        <f>IFERROR(IF(F1438&lt;&gt;"pending","",IF(OR($B1438="",$B1438="(blank)"),"",VLOOKUP($B1438,'Email Marketing Raw Data'!$C:$O,11,0))),"")</f>
        <v/>
      </c>
      <c r="F1438" s="54" t="str">
        <f>IFERROR(IF(OR($B1438="",$B1438="(blank)"),"",VLOOKUP($B1438,'Email Marketing Raw Data'!$C:$O,13,0)),"")</f>
        <v/>
      </c>
      <c r="G1438" s="55" t="str">
        <f>IFERROR(IF(OR($B1438="",$B1438="(blank)"),"",VLOOKUP($B1438,'Email Marketing Raw Data'!$C:$O,4,0)),"")</f>
        <v/>
      </c>
      <c r="H1438" s="55" t="str">
        <f>IFERROR(IF(OR($B1438="",$B1438="(blank)"),"",VLOOKUP($B1438,'Email Marketing Raw Data'!$C:$O,5,0)),"")</f>
        <v/>
      </c>
      <c r="I1438" s="55" t="str">
        <f>IFERROR(IF($G1438="","",VLOOKUP('Dashboard And Emails Automate'!$G1438,Database!$H:$N,3,0)),"")</f>
        <v/>
      </c>
      <c r="J1438" s="55" t="str">
        <f>IFERROR(IF($G1438="","",VLOOKUP('Dashboard And Emails Automate'!$G1438,Database!$H:$N,4,0)),"")</f>
        <v/>
      </c>
      <c r="K1438" s="55" t="str">
        <f>IFERROR(IF($G1438="","",VLOOKUP('Dashboard And Emails Automate'!$G1438,Database!$H:$N,5,0)),"")</f>
        <v/>
      </c>
      <c r="L1438" s="55" t="str">
        <f>IFERROR(IF($G1438="","",VLOOKUP('Dashboard And Emails Automate'!$G1438,Database!$H:$N,6,0)),"")</f>
        <v/>
      </c>
      <c r="M1438" s="55" t="str">
        <f>IFERROR(IF($G1438="","",VLOOKUP('Dashboard And Emails Automate'!$G1438,Database!$H:$N,7,0)),"")</f>
        <v/>
      </c>
      <c r="N1438" s="55" t="str">
        <f>IFERROR(IF(OR($B1438="",$B1438="(blank)"),"",VLOOKUP($B1438,'Email Marketing Raw Data'!$C:$O,6,0)),"")</f>
        <v/>
      </c>
      <c r="O1438" s="55" t="str">
        <f>IFERROR(IF(OR($B1438="",$B1438="(blank)"),"",VLOOKUP($B1438,'Email Marketing Raw Data'!$C:$O,7,0)),"")</f>
        <v/>
      </c>
      <c r="P1438" s="55" t="str">
        <f>IFERROR(IF(OR($B1438="",$B1438="(blank)"),"",VLOOKUP($B1438,'Email Marketing Raw Data'!$C:$O,8,0)),"")</f>
        <v/>
      </c>
      <c r="Q1438" s="62" t="str">
        <f>IFERROR(IF(OR($B1438="",$B1438="(blank)"),"",VLOOKUP($B1438,'Email Marketing Raw Data'!$C:$O,9,0)),"")</f>
        <v/>
      </c>
    </row>
    <row r="1439" spans="4:17" ht="12.75" customHeight="1" x14ac:dyDescent="0.2">
      <c r="D1439" s="58" t="str">
        <f>IFERROR(IF(F1439&lt;&gt;"pending","",IF(OR($B1439="",$B1439="(blank)"),"",VLOOKUP($B1439,'Email Marketing Raw Data'!$C:$O,10,0))),"")</f>
        <v/>
      </c>
      <c r="E1439" s="59" t="str">
        <f>IFERROR(IF(F1439&lt;&gt;"pending","",IF(OR($B1439="",$B1439="(blank)"),"",VLOOKUP($B1439,'Email Marketing Raw Data'!$C:$O,11,0))),"")</f>
        <v/>
      </c>
      <c r="F1439" s="54" t="str">
        <f>IFERROR(IF(OR($B1439="",$B1439="(blank)"),"",VLOOKUP($B1439,'Email Marketing Raw Data'!$C:$O,13,0)),"")</f>
        <v/>
      </c>
      <c r="G1439" s="55" t="str">
        <f>IFERROR(IF(OR($B1439="",$B1439="(blank)"),"",VLOOKUP($B1439,'Email Marketing Raw Data'!$C:$O,4,0)),"")</f>
        <v/>
      </c>
      <c r="H1439" s="55" t="str">
        <f>IFERROR(IF(OR($B1439="",$B1439="(blank)"),"",VLOOKUP($B1439,'Email Marketing Raw Data'!$C:$O,5,0)),"")</f>
        <v/>
      </c>
      <c r="I1439" s="55" t="str">
        <f>IFERROR(IF($G1439="","",VLOOKUP('Dashboard And Emails Automate'!$G1439,Database!$H:$N,3,0)),"")</f>
        <v/>
      </c>
      <c r="J1439" s="55" t="str">
        <f>IFERROR(IF($G1439="","",VLOOKUP('Dashboard And Emails Automate'!$G1439,Database!$H:$N,4,0)),"")</f>
        <v/>
      </c>
      <c r="K1439" s="55" t="str">
        <f>IFERROR(IF($G1439="","",VLOOKUP('Dashboard And Emails Automate'!$G1439,Database!$H:$N,5,0)),"")</f>
        <v/>
      </c>
      <c r="L1439" s="55" t="str">
        <f>IFERROR(IF($G1439="","",VLOOKUP('Dashboard And Emails Automate'!$G1439,Database!$H:$N,6,0)),"")</f>
        <v/>
      </c>
      <c r="M1439" s="55" t="str">
        <f>IFERROR(IF($G1439="","",VLOOKUP('Dashboard And Emails Automate'!$G1439,Database!$H:$N,7,0)),"")</f>
        <v/>
      </c>
      <c r="N1439" s="55" t="str">
        <f>IFERROR(IF(OR($B1439="",$B1439="(blank)"),"",VLOOKUP($B1439,'Email Marketing Raw Data'!$C:$O,6,0)),"")</f>
        <v/>
      </c>
      <c r="O1439" s="55" t="str">
        <f>IFERROR(IF(OR($B1439="",$B1439="(blank)"),"",VLOOKUP($B1439,'Email Marketing Raw Data'!$C:$O,7,0)),"")</f>
        <v/>
      </c>
      <c r="P1439" s="55" t="str">
        <f>IFERROR(IF(OR($B1439="",$B1439="(blank)"),"",VLOOKUP($B1439,'Email Marketing Raw Data'!$C:$O,8,0)),"")</f>
        <v/>
      </c>
      <c r="Q1439" s="62" t="str">
        <f>IFERROR(IF(OR($B1439="",$B1439="(blank)"),"",VLOOKUP($B1439,'Email Marketing Raw Data'!$C:$O,9,0)),"")</f>
        <v/>
      </c>
    </row>
    <row r="1440" spans="4:17" ht="12.75" customHeight="1" x14ac:dyDescent="0.2">
      <c r="D1440" s="58" t="str">
        <f>IFERROR(IF(F1440&lt;&gt;"pending","",IF(OR($B1440="",$B1440="(blank)"),"",VLOOKUP($B1440,'Email Marketing Raw Data'!$C:$O,10,0))),"")</f>
        <v/>
      </c>
      <c r="E1440" s="59" t="str">
        <f>IFERROR(IF(F1440&lt;&gt;"pending","",IF(OR($B1440="",$B1440="(blank)"),"",VLOOKUP($B1440,'Email Marketing Raw Data'!$C:$O,11,0))),"")</f>
        <v/>
      </c>
      <c r="F1440" s="54" t="str">
        <f>IFERROR(IF(OR($B1440="",$B1440="(blank)"),"",VLOOKUP($B1440,'Email Marketing Raw Data'!$C:$O,13,0)),"")</f>
        <v/>
      </c>
      <c r="G1440" s="55" t="str">
        <f>IFERROR(IF(OR($B1440="",$B1440="(blank)"),"",VLOOKUP($B1440,'Email Marketing Raw Data'!$C:$O,4,0)),"")</f>
        <v/>
      </c>
      <c r="H1440" s="55" t="str">
        <f>IFERROR(IF(OR($B1440="",$B1440="(blank)"),"",VLOOKUP($B1440,'Email Marketing Raw Data'!$C:$O,5,0)),"")</f>
        <v/>
      </c>
      <c r="I1440" s="55" t="str">
        <f>IFERROR(IF($G1440="","",VLOOKUP('Dashboard And Emails Automate'!$G1440,Database!$H:$N,3,0)),"")</f>
        <v/>
      </c>
      <c r="J1440" s="55" t="str">
        <f>IFERROR(IF($G1440="","",VLOOKUP('Dashboard And Emails Automate'!$G1440,Database!$H:$N,4,0)),"")</f>
        <v/>
      </c>
      <c r="K1440" s="55" t="str">
        <f>IFERROR(IF($G1440="","",VLOOKUP('Dashboard And Emails Automate'!$G1440,Database!$H:$N,5,0)),"")</f>
        <v/>
      </c>
      <c r="L1440" s="55" t="str">
        <f>IFERROR(IF($G1440="","",VLOOKUP('Dashboard And Emails Automate'!$G1440,Database!$H:$N,6,0)),"")</f>
        <v/>
      </c>
      <c r="M1440" s="55" t="str">
        <f>IFERROR(IF($G1440="","",VLOOKUP('Dashboard And Emails Automate'!$G1440,Database!$H:$N,7,0)),"")</f>
        <v/>
      </c>
      <c r="N1440" s="55" t="str">
        <f>IFERROR(IF(OR($B1440="",$B1440="(blank)"),"",VLOOKUP($B1440,'Email Marketing Raw Data'!$C:$O,6,0)),"")</f>
        <v/>
      </c>
      <c r="O1440" s="55" t="str">
        <f>IFERROR(IF(OR($B1440="",$B1440="(blank)"),"",VLOOKUP($B1440,'Email Marketing Raw Data'!$C:$O,7,0)),"")</f>
        <v/>
      </c>
      <c r="P1440" s="55" t="str">
        <f>IFERROR(IF(OR($B1440="",$B1440="(blank)"),"",VLOOKUP($B1440,'Email Marketing Raw Data'!$C:$O,8,0)),"")</f>
        <v/>
      </c>
      <c r="Q1440" s="62" t="str">
        <f>IFERROR(IF(OR($B1440="",$B1440="(blank)"),"",VLOOKUP($B1440,'Email Marketing Raw Data'!$C:$O,9,0)),"")</f>
        <v/>
      </c>
    </row>
    <row r="1441" spans="4:17" ht="12.75" customHeight="1" x14ac:dyDescent="0.2">
      <c r="D1441" s="58" t="str">
        <f>IFERROR(IF(F1441&lt;&gt;"pending","",IF(OR($B1441="",$B1441="(blank)"),"",VLOOKUP($B1441,'Email Marketing Raw Data'!$C:$O,10,0))),"")</f>
        <v/>
      </c>
      <c r="E1441" s="59" t="str">
        <f>IFERROR(IF(F1441&lt;&gt;"pending","",IF(OR($B1441="",$B1441="(blank)"),"",VLOOKUP($B1441,'Email Marketing Raw Data'!$C:$O,11,0))),"")</f>
        <v/>
      </c>
      <c r="F1441" s="54" t="str">
        <f>IFERROR(IF(OR($B1441="",$B1441="(blank)"),"",VLOOKUP($B1441,'Email Marketing Raw Data'!$C:$O,13,0)),"")</f>
        <v/>
      </c>
      <c r="G1441" s="55" t="str">
        <f>IFERROR(IF(OR($B1441="",$B1441="(blank)"),"",VLOOKUP($B1441,'Email Marketing Raw Data'!$C:$O,4,0)),"")</f>
        <v/>
      </c>
      <c r="H1441" s="55" t="str">
        <f>IFERROR(IF(OR($B1441="",$B1441="(blank)"),"",VLOOKUP($B1441,'Email Marketing Raw Data'!$C:$O,5,0)),"")</f>
        <v/>
      </c>
      <c r="I1441" s="55" t="str">
        <f>IFERROR(IF($G1441="","",VLOOKUP('Dashboard And Emails Automate'!$G1441,Database!$H:$N,3,0)),"")</f>
        <v/>
      </c>
      <c r="J1441" s="55" t="str">
        <f>IFERROR(IF($G1441="","",VLOOKUP('Dashboard And Emails Automate'!$G1441,Database!$H:$N,4,0)),"")</f>
        <v/>
      </c>
      <c r="K1441" s="55" t="str">
        <f>IFERROR(IF($G1441="","",VLOOKUP('Dashboard And Emails Automate'!$G1441,Database!$H:$N,5,0)),"")</f>
        <v/>
      </c>
      <c r="L1441" s="55" t="str">
        <f>IFERROR(IF($G1441="","",VLOOKUP('Dashboard And Emails Automate'!$G1441,Database!$H:$N,6,0)),"")</f>
        <v/>
      </c>
      <c r="M1441" s="55" t="str">
        <f>IFERROR(IF($G1441="","",VLOOKUP('Dashboard And Emails Automate'!$G1441,Database!$H:$N,7,0)),"")</f>
        <v/>
      </c>
      <c r="N1441" s="55" t="str">
        <f>IFERROR(IF(OR($B1441="",$B1441="(blank)"),"",VLOOKUP($B1441,'Email Marketing Raw Data'!$C:$O,6,0)),"")</f>
        <v/>
      </c>
      <c r="O1441" s="55" t="str">
        <f>IFERROR(IF(OR($B1441="",$B1441="(blank)"),"",VLOOKUP($B1441,'Email Marketing Raw Data'!$C:$O,7,0)),"")</f>
        <v/>
      </c>
      <c r="P1441" s="55" t="str">
        <f>IFERROR(IF(OR($B1441="",$B1441="(blank)"),"",VLOOKUP($B1441,'Email Marketing Raw Data'!$C:$O,8,0)),"")</f>
        <v/>
      </c>
      <c r="Q1441" s="62" t="str">
        <f>IFERROR(IF(OR($B1441="",$B1441="(blank)"),"",VLOOKUP($B1441,'Email Marketing Raw Data'!$C:$O,9,0)),"")</f>
        <v/>
      </c>
    </row>
    <row r="1442" spans="4:17" ht="12.75" customHeight="1" x14ac:dyDescent="0.2">
      <c r="D1442" s="58" t="str">
        <f>IFERROR(IF(F1442&lt;&gt;"pending","",IF(OR($B1442="",$B1442="(blank)"),"",VLOOKUP($B1442,'Email Marketing Raw Data'!$C:$O,10,0))),"")</f>
        <v/>
      </c>
      <c r="E1442" s="59" t="str">
        <f>IFERROR(IF(F1442&lt;&gt;"pending","",IF(OR($B1442="",$B1442="(blank)"),"",VLOOKUP($B1442,'Email Marketing Raw Data'!$C:$O,11,0))),"")</f>
        <v/>
      </c>
      <c r="F1442" s="54" t="str">
        <f>IFERROR(IF(OR($B1442="",$B1442="(blank)"),"",VLOOKUP($B1442,'Email Marketing Raw Data'!$C:$O,13,0)),"")</f>
        <v/>
      </c>
      <c r="G1442" s="55" t="str">
        <f>IFERROR(IF(OR($B1442="",$B1442="(blank)"),"",VLOOKUP($B1442,'Email Marketing Raw Data'!$C:$O,4,0)),"")</f>
        <v/>
      </c>
      <c r="H1442" s="55" t="str">
        <f>IFERROR(IF(OR($B1442="",$B1442="(blank)"),"",VLOOKUP($B1442,'Email Marketing Raw Data'!$C:$O,5,0)),"")</f>
        <v/>
      </c>
      <c r="I1442" s="55" t="str">
        <f>IFERROR(IF($G1442="","",VLOOKUP('Dashboard And Emails Automate'!$G1442,Database!$H:$N,3,0)),"")</f>
        <v/>
      </c>
      <c r="J1442" s="55" t="str">
        <f>IFERROR(IF($G1442="","",VLOOKUP('Dashboard And Emails Automate'!$G1442,Database!$H:$N,4,0)),"")</f>
        <v/>
      </c>
      <c r="K1442" s="55" t="str">
        <f>IFERROR(IF($G1442="","",VLOOKUP('Dashboard And Emails Automate'!$G1442,Database!$H:$N,5,0)),"")</f>
        <v/>
      </c>
      <c r="L1442" s="55" t="str">
        <f>IFERROR(IF($G1442="","",VLOOKUP('Dashboard And Emails Automate'!$G1442,Database!$H:$N,6,0)),"")</f>
        <v/>
      </c>
      <c r="M1442" s="55" t="str">
        <f>IFERROR(IF($G1442="","",VLOOKUP('Dashboard And Emails Automate'!$G1442,Database!$H:$N,7,0)),"")</f>
        <v/>
      </c>
      <c r="N1442" s="55" t="str">
        <f>IFERROR(IF(OR($B1442="",$B1442="(blank)"),"",VLOOKUP($B1442,'Email Marketing Raw Data'!$C:$O,6,0)),"")</f>
        <v/>
      </c>
      <c r="O1442" s="55" t="str">
        <f>IFERROR(IF(OR($B1442="",$B1442="(blank)"),"",VLOOKUP($B1442,'Email Marketing Raw Data'!$C:$O,7,0)),"")</f>
        <v/>
      </c>
      <c r="P1442" s="55" t="str">
        <f>IFERROR(IF(OR($B1442="",$B1442="(blank)"),"",VLOOKUP($B1442,'Email Marketing Raw Data'!$C:$O,8,0)),"")</f>
        <v/>
      </c>
      <c r="Q1442" s="62" t="str">
        <f>IFERROR(IF(OR($B1442="",$B1442="(blank)"),"",VLOOKUP($B1442,'Email Marketing Raw Data'!$C:$O,9,0)),"")</f>
        <v/>
      </c>
    </row>
    <row r="1443" spans="4:17" ht="12.75" customHeight="1" x14ac:dyDescent="0.2">
      <c r="D1443" s="58" t="str">
        <f>IFERROR(IF(F1443&lt;&gt;"pending","",IF(OR($B1443="",$B1443="(blank)"),"",VLOOKUP($B1443,'Email Marketing Raw Data'!$C:$O,10,0))),"")</f>
        <v/>
      </c>
      <c r="E1443" s="59" t="str">
        <f>IFERROR(IF(F1443&lt;&gt;"pending","",IF(OR($B1443="",$B1443="(blank)"),"",VLOOKUP($B1443,'Email Marketing Raw Data'!$C:$O,11,0))),"")</f>
        <v/>
      </c>
      <c r="F1443" s="54" t="str">
        <f>IFERROR(IF(OR($B1443="",$B1443="(blank)"),"",VLOOKUP($B1443,'Email Marketing Raw Data'!$C:$O,13,0)),"")</f>
        <v/>
      </c>
      <c r="G1443" s="55" t="str">
        <f>IFERROR(IF(OR($B1443="",$B1443="(blank)"),"",VLOOKUP($B1443,'Email Marketing Raw Data'!$C:$O,4,0)),"")</f>
        <v/>
      </c>
      <c r="H1443" s="55" t="str">
        <f>IFERROR(IF(OR($B1443="",$B1443="(blank)"),"",VLOOKUP($B1443,'Email Marketing Raw Data'!$C:$O,5,0)),"")</f>
        <v/>
      </c>
      <c r="I1443" s="55" t="str">
        <f>IFERROR(IF($G1443="","",VLOOKUP('Dashboard And Emails Automate'!$G1443,Database!$H:$N,3,0)),"")</f>
        <v/>
      </c>
      <c r="J1443" s="55" t="str">
        <f>IFERROR(IF($G1443="","",VLOOKUP('Dashboard And Emails Automate'!$G1443,Database!$H:$N,4,0)),"")</f>
        <v/>
      </c>
      <c r="K1443" s="55" t="str">
        <f>IFERROR(IF($G1443="","",VLOOKUP('Dashboard And Emails Automate'!$G1443,Database!$H:$N,5,0)),"")</f>
        <v/>
      </c>
      <c r="L1443" s="55" t="str">
        <f>IFERROR(IF($G1443="","",VLOOKUP('Dashboard And Emails Automate'!$G1443,Database!$H:$N,6,0)),"")</f>
        <v/>
      </c>
      <c r="M1443" s="55" t="str">
        <f>IFERROR(IF($G1443="","",VLOOKUP('Dashboard And Emails Automate'!$G1443,Database!$H:$N,7,0)),"")</f>
        <v/>
      </c>
      <c r="N1443" s="55" t="str">
        <f>IFERROR(IF(OR($B1443="",$B1443="(blank)"),"",VLOOKUP($B1443,'Email Marketing Raw Data'!$C:$O,6,0)),"")</f>
        <v/>
      </c>
      <c r="O1443" s="55" t="str">
        <f>IFERROR(IF(OR($B1443="",$B1443="(blank)"),"",VLOOKUP($B1443,'Email Marketing Raw Data'!$C:$O,7,0)),"")</f>
        <v/>
      </c>
      <c r="P1443" s="55" t="str">
        <f>IFERROR(IF(OR($B1443="",$B1443="(blank)"),"",VLOOKUP($B1443,'Email Marketing Raw Data'!$C:$O,8,0)),"")</f>
        <v/>
      </c>
      <c r="Q1443" s="62" t="str">
        <f>IFERROR(IF(OR($B1443="",$B1443="(blank)"),"",VLOOKUP($B1443,'Email Marketing Raw Data'!$C:$O,9,0)),"")</f>
        <v/>
      </c>
    </row>
    <row r="1444" spans="4:17" ht="12.75" customHeight="1" x14ac:dyDescent="0.2">
      <c r="D1444" s="58" t="str">
        <f>IFERROR(IF(F1444&lt;&gt;"pending","",IF(OR($B1444="",$B1444="(blank)"),"",VLOOKUP($B1444,'Email Marketing Raw Data'!$C:$O,10,0))),"")</f>
        <v/>
      </c>
      <c r="E1444" s="59" t="str">
        <f>IFERROR(IF(F1444&lt;&gt;"pending","",IF(OR($B1444="",$B1444="(blank)"),"",VLOOKUP($B1444,'Email Marketing Raw Data'!$C:$O,11,0))),"")</f>
        <v/>
      </c>
      <c r="F1444" s="54" t="str">
        <f>IFERROR(IF(OR($B1444="",$B1444="(blank)"),"",VLOOKUP($B1444,'Email Marketing Raw Data'!$C:$O,13,0)),"")</f>
        <v/>
      </c>
      <c r="G1444" s="55" t="str">
        <f>IFERROR(IF(OR($B1444="",$B1444="(blank)"),"",VLOOKUP($B1444,'Email Marketing Raw Data'!$C:$O,4,0)),"")</f>
        <v/>
      </c>
      <c r="H1444" s="55" t="str">
        <f>IFERROR(IF(OR($B1444="",$B1444="(blank)"),"",VLOOKUP($B1444,'Email Marketing Raw Data'!$C:$O,5,0)),"")</f>
        <v/>
      </c>
      <c r="I1444" s="55" t="str">
        <f>IFERROR(IF($G1444="","",VLOOKUP('Dashboard And Emails Automate'!$G1444,Database!$H:$N,3,0)),"")</f>
        <v/>
      </c>
      <c r="J1444" s="55" t="str">
        <f>IFERROR(IF($G1444="","",VLOOKUP('Dashboard And Emails Automate'!$G1444,Database!$H:$N,4,0)),"")</f>
        <v/>
      </c>
      <c r="K1444" s="55" t="str">
        <f>IFERROR(IF($G1444="","",VLOOKUP('Dashboard And Emails Automate'!$G1444,Database!$H:$N,5,0)),"")</f>
        <v/>
      </c>
      <c r="L1444" s="55" t="str">
        <f>IFERROR(IF($G1444="","",VLOOKUP('Dashboard And Emails Automate'!$G1444,Database!$H:$N,6,0)),"")</f>
        <v/>
      </c>
      <c r="M1444" s="55" t="str">
        <f>IFERROR(IF($G1444="","",VLOOKUP('Dashboard And Emails Automate'!$G1444,Database!$H:$N,7,0)),"")</f>
        <v/>
      </c>
      <c r="N1444" s="55" t="str">
        <f>IFERROR(IF(OR($B1444="",$B1444="(blank)"),"",VLOOKUP($B1444,'Email Marketing Raw Data'!$C:$O,6,0)),"")</f>
        <v/>
      </c>
      <c r="O1444" s="55" t="str">
        <f>IFERROR(IF(OR($B1444="",$B1444="(blank)"),"",VLOOKUP($B1444,'Email Marketing Raw Data'!$C:$O,7,0)),"")</f>
        <v/>
      </c>
      <c r="P1444" s="55" t="str">
        <f>IFERROR(IF(OR($B1444="",$B1444="(blank)"),"",VLOOKUP($B1444,'Email Marketing Raw Data'!$C:$O,8,0)),"")</f>
        <v/>
      </c>
      <c r="Q1444" s="62" t="str">
        <f>IFERROR(IF(OR($B1444="",$B1444="(blank)"),"",VLOOKUP($B1444,'Email Marketing Raw Data'!$C:$O,9,0)),"")</f>
        <v/>
      </c>
    </row>
    <row r="1445" spans="4:17" ht="12.75" customHeight="1" x14ac:dyDescent="0.2">
      <c r="D1445" s="58" t="str">
        <f>IFERROR(IF(F1445&lt;&gt;"pending","",IF(OR($B1445="",$B1445="(blank)"),"",VLOOKUP($B1445,'Email Marketing Raw Data'!$C:$O,10,0))),"")</f>
        <v/>
      </c>
      <c r="E1445" s="59" t="str">
        <f>IFERROR(IF(F1445&lt;&gt;"pending","",IF(OR($B1445="",$B1445="(blank)"),"",VLOOKUP($B1445,'Email Marketing Raw Data'!$C:$O,11,0))),"")</f>
        <v/>
      </c>
      <c r="F1445" s="54" t="str">
        <f>IFERROR(IF(OR($B1445="",$B1445="(blank)"),"",VLOOKUP($B1445,'Email Marketing Raw Data'!$C:$O,13,0)),"")</f>
        <v/>
      </c>
      <c r="G1445" s="55" t="str">
        <f>IFERROR(IF(OR($B1445="",$B1445="(blank)"),"",VLOOKUP($B1445,'Email Marketing Raw Data'!$C:$O,4,0)),"")</f>
        <v/>
      </c>
      <c r="H1445" s="55" t="str">
        <f>IFERROR(IF(OR($B1445="",$B1445="(blank)"),"",VLOOKUP($B1445,'Email Marketing Raw Data'!$C:$O,5,0)),"")</f>
        <v/>
      </c>
      <c r="I1445" s="55" t="str">
        <f>IFERROR(IF($G1445="","",VLOOKUP('Dashboard And Emails Automate'!$G1445,Database!$H:$N,3,0)),"")</f>
        <v/>
      </c>
      <c r="J1445" s="55" t="str">
        <f>IFERROR(IF($G1445="","",VLOOKUP('Dashboard And Emails Automate'!$G1445,Database!$H:$N,4,0)),"")</f>
        <v/>
      </c>
      <c r="K1445" s="55" t="str">
        <f>IFERROR(IF($G1445="","",VLOOKUP('Dashboard And Emails Automate'!$G1445,Database!$H:$N,5,0)),"")</f>
        <v/>
      </c>
      <c r="L1445" s="55" t="str">
        <f>IFERROR(IF($G1445="","",VLOOKUP('Dashboard And Emails Automate'!$G1445,Database!$H:$N,6,0)),"")</f>
        <v/>
      </c>
      <c r="M1445" s="55" t="str">
        <f>IFERROR(IF($G1445="","",VLOOKUP('Dashboard And Emails Automate'!$G1445,Database!$H:$N,7,0)),"")</f>
        <v/>
      </c>
      <c r="N1445" s="55" t="str">
        <f>IFERROR(IF(OR($B1445="",$B1445="(blank)"),"",VLOOKUP($B1445,'Email Marketing Raw Data'!$C:$O,6,0)),"")</f>
        <v/>
      </c>
      <c r="O1445" s="55" t="str">
        <f>IFERROR(IF(OR($B1445="",$B1445="(blank)"),"",VLOOKUP($B1445,'Email Marketing Raw Data'!$C:$O,7,0)),"")</f>
        <v/>
      </c>
      <c r="P1445" s="55" t="str">
        <f>IFERROR(IF(OR($B1445="",$B1445="(blank)"),"",VLOOKUP($B1445,'Email Marketing Raw Data'!$C:$O,8,0)),"")</f>
        <v/>
      </c>
      <c r="Q1445" s="62" t="str">
        <f>IFERROR(IF(OR($B1445="",$B1445="(blank)"),"",VLOOKUP($B1445,'Email Marketing Raw Data'!$C:$O,9,0)),"")</f>
        <v/>
      </c>
    </row>
    <row r="1446" spans="4:17" ht="12.75" customHeight="1" x14ac:dyDescent="0.2">
      <c r="D1446" s="58" t="str">
        <f>IFERROR(IF(F1446&lt;&gt;"pending","",IF(OR($B1446="",$B1446="(blank)"),"",VLOOKUP($B1446,'Email Marketing Raw Data'!$C:$O,10,0))),"")</f>
        <v/>
      </c>
      <c r="E1446" s="59" t="str">
        <f>IFERROR(IF(F1446&lt;&gt;"pending","",IF(OR($B1446="",$B1446="(blank)"),"",VLOOKUP($B1446,'Email Marketing Raw Data'!$C:$O,11,0))),"")</f>
        <v/>
      </c>
      <c r="F1446" s="54" t="str">
        <f>IFERROR(IF(OR($B1446="",$B1446="(blank)"),"",VLOOKUP($B1446,'Email Marketing Raw Data'!$C:$O,13,0)),"")</f>
        <v/>
      </c>
      <c r="G1446" s="55" t="str">
        <f>IFERROR(IF(OR($B1446="",$B1446="(blank)"),"",VLOOKUP($B1446,'Email Marketing Raw Data'!$C:$O,4,0)),"")</f>
        <v/>
      </c>
      <c r="H1446" s="55" t="str">
        <f>IFERROR(IF(OR($B1446="",$B1446="(blank)"),"",VLOOKUP($B1446,'Email Marketing Raw Data'!$C:$O,5,0)),"")</f>
        <v/>
      </c>
      <c r="I1446" s="55" t="str">
        <f>IFERROR(IF($G1446="","",VLOOKUP('Dashboard And Emails Automate'!$G1446,Database!$H:$N,3,0)),"")</f>
        <v/>
      </c>
      <c r="J1446" s="55" t="str">
        <f>IFERROR(IF($G1446="","",VLOOKUP('Dashboard And Emails Automate'!$G1446,Database!$H:$N,4,0)),"")</f>
        <v/>
      </c>
      <c r="K1446" s="55" t="str">
        <f>IFERROR(IF($G1446="","",VLOOKUP('Dashboard And Emails Automate'!$G1446,Database!$H:$N,5,0)),"")</f>
        <v/>
      </c>
      <c r="L1446" s="55" t="str">
        <f>IFERROR(IF($G1446="","",VLOOKUP('Dashboard And Emails Automate'!$G1446,Database!$H:$N,6,0)),"")</f>
        <v/>
      </c>
      <c r="M1446" s="55" t="str">
        <f>IFERROR(IF($G1446="","",VLOOKUP('Dashboard And Emails Automate'!$G1446,Database!$H:$N,7,0)),"")</f>
        <v/>
      </c>
      <c r="N1446" s="55" t="str">
        <f>IFERROR(IF(OR($B1446="",$B1446="(blank)"),"",VLOOKUP($B1446,'Email Marketing Raw Data'!$C:$O,6,0)),"")</f>
        <v/>
      </c>
      <c r="O1446" s="55" t="str">
        <f>IFERROR(IF(OR($B1446="",$B1446="(blank)"),"",VLOOKUP($B1446,'Email Marketing Raw Data'!$C:$O,7,0)),"")</f>
        <v/>
      </c>
      <c r="P1446" s="55" t="str">
        <f>IFERROR(IF(OR($B1446="",$B1446="(blank)"),"",VLOOKUP($B1446,'Email Marketing Raw Data'!$C:$O,8,0)),"")</f>
        <v/>
      </c>
      <c r="Q1446" s="62" t="str">
        <f>IFERROR(IF(OR($B1446="",$B1446="(blank)"),"",VLOOKUP($B1446,'Email Marketing Raw Data'!$C:$O,9,0)),"")</f>
        <v/>
      </c>
    </row>
    <row r="1447" spans="4:17" ht="12.75" customHeight="1" x14ac:dyDescent="0.2">
      <c r="D1447" s="58" t="str">
        <f>IFERROR(IF(F1447&lt;&gt;"pending","",IF(OR($B1447="",$B1447="(blank)"),"",VLOOKUP($B1447,'Email Marketing Raw Data'!$C:$O,10,0))),"")</f>
        <v/>
      </c>
      <c r="E1447" s="59" t="str">
        <f>IFERROR(IF(F1447&lt;&gt;"pending","",IF(OR($B1447="",$B1447="(blank)"),"",VLOOKUP($B1447,'Email Marketing Raw Data'!$C:$O,11,0))),"")</f>
        <v/>
      </c>
      <c r="F1447" s="54" t="str">
        <f>IFERROR(IF(OR($B1447="",$B1447="(blank)"),"",VLOOKUP($B1447,'Email Marketing Raw Data'!$C:$O,13,0)),"")</f>
        <v/>
      </c>
      <c r="G1447" s="55" t="str">
        <f>IFERROR(IF(OR($B1447="",$B1447="(blank)"),"",VLOOKUP($B1447,'Email Marketing Raw Data'!$C:$O,4,0)),"")</f>
        <v/>
      </c>
      <c r="H1447" s="55" t="str">
        <f>IFERROR(IF(OR($B1447="",$B1447="(blank)"),"",VLOOKUP($B1447,'Email Marketing Raw Data'!$C:$O,5,0)),"")</f>
        <v/>
      </c>
      <c r="I1447" s="55" t="str">
        <f>IFERROR(IF($G1447="","",VLOOKUP('Dashboard And Emails Automate'!$G1447,Database!$H:$N,3,0)),"")</f>
        <v/>
      </c>
      <c r="J1447" s="55" t="str">
        <f>IFERROR(IF($G1447="","",VLOOKUP('Dashboard And Emails Automate'!$G1447,Database!$H:$N,4,0)),"")</f>
        <v/>
      </c>
      <c r="K1447" s="55" t="str">
        <f>IFERROR(IF($G1447="","",VLOOKUP('Dashboard And Emails Automate'!$G1447,Database!$H:$N,5,0)),"")</f>
        <v/>
      </c>
      <c r="L1447" s="55" t="str">
        <f>IFERROR(IF($G1447="","",VLOOKUP('Dashboard And Emails Automate'!$G1447,Database!$H:$N,6,0)),"")</f>
        <v/>
      </c>
      <c r="M1447" s="55" t="str">
        <f>IFERROR(IF($G1447="","",VLOOKUP('Dashboard And Emails Automate'!$G1447,Database!$H:$N,7,0)),"")</f>
        <v/>
      </c>
      <c r="N1447" s="55" t="str">
        <f>IFERROR(IF(OR($B1447="",$B1447="(blank)"),"",VLOOKUP($B1447,'Email Marketing Raw Data'!$C:$O,6,0)),"")</f>
        <v/>
      </c>
      <c r="O1447" s="55" t="str">
        <f>IFERROR(IF(OR($B1447="",$B1447="(blank)"),"",VLOOKUP($B1447,'Email Marketing Raw Data'!$C:$O,7,0)),"")</f>
        <v/>
      </c>
      <c r="P1447" s="55" t="str">
        <f>IFERROR(IF(OR($B1447="",$B1447="(blank)"),"",VLOOKUP($B1447,'Email Marketing Raw Data'!$C:$O,8,0)),"")</f>
        <v/>
      </c>
      <c r="Q1447" s="62" t="str">
        <f>IFERROR(IF(OR($B1447="",$B1447="(blank)"),"",VLOOKUP($B1447,'Email Marketing Raw Data'!$C:$O,9,0)),"")</f>
        <v/>
      </c>
    </row>
    <row r="1448" spans="4:17" ht="12.75" customHeight="1" x14ac:dyDescent="0.2">
      <c r="D1448" s="58" t="str">
        <f>IFERROR(IF(F1448&lt;&gt;"pending","",IF(OR($B1448="",$B1448="(blank)"),"",VLOOKUP($B1448,'Email Marketing Raw Data'!$C:$O,10,0))),"")</f>
        <v/>
      </c>
      <c r="E1448" s="59" t="str">
        <f>IFERROR(IF(F1448&lt;&gt;"pending","",IF(OR($B1448="",$B1448="(blank)"),"",VLOOKUP($B1448,'Email Marketing Raw Data'!$C:$O,11,0))),"")</f>
        <v/>
      </c>
      <c r="F1448" s="54" t="str">
        <f>IFERROR(IF(OR($B1448="",$B1448="(blank)"),"",VLOOKUP($B1448,'Email Marketing Raw Data'!$C:$O,13,0)),"")</f>
        <v/>
      </c>
      <c r="G1448" s="55" t="str">
        <f>IFERROR(IF(OR($B1448="",$B1448="(blank)"),"",VLOOKUP($B1448,'Email Marketing Raw Data'!$C:$O,4,0)),"")</f>
        <v/>
      </c>
      <c r="H1448" s="55" t="str">
        <f>IFERROR(IF(OR($B1448="",$B1448="(blank)"),"",VLOOKUP($B1448,'Email Marketing Raw Data'!$C:$O,5,0)),"")</f>
        <v/>
      </c>
      <c r="I1448" s="55" t="str">
        <f>IFERROR(IF($G1448="","",VLOOKUP('Dashboard And Emails Automate'!$G1448,Database!$H:$N,3,0)),"")</f>
        <v/>
      </c>
      <c r="J1448" s="55" t="str">
        <f>IFERROR(IF($G1448="","",VLOOKUP('Dashboard And Emails Automate'!$G1448,Database!$H:$N,4,0)),"")</f>
        <v/>
      </c>
      <c r="K1448" s="55" t="str">
        <f>IFERROR(IF($G1448="","",VLOOKUP('Dashboard And Emails Automate'!$G1448,Database!$H:$N,5,0)),"")</f>
        <v/>
      </c>
      <c r="L1448" s="55" t="str">
        <f>IFERROR(IF($G1448="","",VLOOKUP('Dashboard And Emails Automate'!$G1448,Database!$H:$N,6,0)),"")</f>
        <v/>
      </c>
      <c r="M1448" s="55" t="str">
        <f>IFERROR(IF($G1448="","",VLOOKUP('Dashboard And Emails Automate'!$G1448,Database!$H:$N,7,0)),"")</f>
        <v/>
      </c>
      <c r="N1448" s="55" t="str">
        <f>IFERROR(IF(OR($B1448="",$B1448="(blank)"),"",VLOOKUP($B1448,'Email Marketing Raw Data'!$C:$O,6,0)),"")</f>
        <v/>
      </c>
      <c r="O1448" s="55" t="str">
        <f>IFERROR(IF(OR($B1448="",$B1448="(blank)"),"",VLOOKUP($B1448,'Email Marketing Raw Data'!$C:$O,7,0)),"")</f>
        <v/>
      </c>
      <c r="P1448" s="55" t="str">
        <f>IFERROR(IF(OR($B1448="",$B1448="(blank)"),"",VLOOKUP($B1448,'Email Marketing Raw Data'!$C:$O,8,0)),"")</f>
        <v/>
      </c>
      <c r="Q1448" s="62" t="str">
        <f>IFERROR(IF(OR($B1448="",$B1448="(blank)"),"",VLOOKUP($B1448,'Email Marketing Raw Data'!$C:$O,9,0)),"")</f>
        <v/>
      </c>
    </row>
    <row r="1449" spans="4:17" ht="12.75" customHeight="1" x14ac:dyDescent="0.2">
      <c r="D1449" s="58" t="str">
        <f>IFERROR(IF(F1449&lt;&gt;"pending","",IF(OR($B1449="",$B1449="(blank)"),"",VLOOKUP($B1449,'Email Marketing Raw Data'!$C:$O,10,0))),"")</f>
        <v/>
      </c>
      <c r="E1449" s="59" t="str">
        <f>IFERROR(IF(F1449&lt;&gt;"pending","",IF(OR($B1449="",$B1449="(blank)"),"",VLOOKUP($B1449,'Email Marketing Raw Data'!$C:$O,11,0))),"")</f>
        <v/>
      </c>
      <c r="F1449" s="54" t="str">
        <f>IFERROR(IF(OR($B1449="",$B1449="(blank)"),"",VLOOKUP($B1449,'Email Marketing Raw Data'!$C:$O,13,0)),"")</f>
        <v/>
      </c>
      <c r="G1449" s="55" t="str">
        <f>IFERROR(IF(OR($B1449="",$B1449="(blank)"),"",VLOOKUP($B1449,'Email Marketing Raw Data'!$C:$O,4,0)),"")</f>
        <v/>
      </c>
      <c r="H1449" s="55" t="str">
        <f>IFERROR(IF(OR($B1449="",$B1449="(blank)"),"",VLOOKUP($B1449,'Email Marketing Raw Data'!$C:$O,5,0)),"")</f>
        <v/>
      </c>
      <c r="I1449" s="55" t="str">
        <f>IFERROR(IF($G1449="","",VLOOKUP('Dashboard And Emails Automate'!$G1449,Database!$H:$N,3,0)),"")</f>
        <v/>
      </c>
      <c r="J1449" s="55" t="str">
        <f>IFERROR(IF($G1449="","",VLOOKUP('Dashboard And Emails Automate'!$G1449,Database!$H:$N,4,0)),"")</f>
        <v/>
      </c>
      <c r="K1449" s="55" t="str">
        <f>IFERROR(IF($G1449="","",VLOOKUP('Dashboard And Emails Automate'!$G1449,Database!$H:$N,5,0)),"")</f>
        <v/>
      </c>
      <c r="L1449" s="55" t="str">
        <f>IFERROR(IF($G1449="","",VLOOKUP('Dashboard And Emails Automate'!$G1449,Database!$H:$N,6,0)),"")</f>
        <v/>
      </c>
      <c r="M1449" s="55" t="str">
        <f>IFERROR(IF($G1449="","",VLOOKUP('Dashboard And Emails Automate'!$G1449,Database!$H:$N,7,0)),"")</f>
        <v/>
      </c>
      <c r="N1449" s="55" t="str">
        <f>IFERROR(IF(OR($B1449="",$B1449="(blank)"),"",VLOOKUP($B1449,'Email Marketing Raw Data'!$C:$O,6,0)),"")</f>
        <v/>
      </c>
      <c r="O1449" s="55" t="str">
        <f>IFERROR(IF(OR($B1449="",$B1449="(blank)"),"",VLOOKUP($B1449,'Email Marketing Raw Data'!$C:$O,7,0)),"")</f>
        <v/>
      </c>
      <c r="P1449" s="55" t="str">
        <f>IFERROR(IF(OR($B1449="",$B1449="(blank)"),"",VLOOKUP($B1449,'Email Marketing Raw Data'!$C:$O,8,0)),"")</f>
        <v/>
      </c>
      <c r="Q1449" s="62" t="str">
        <f>IFERROR(IF(OR($B1449="",$B1449="(blank)"),"",VLOOKUP($B1449,'Email Marketing Raw Data'!$C:$O,9,0)),"")</f>
        <v/>
      </c>
    </row>
    <row r="1450" spans="4:17" ht="12.75" customHeight="1" x14ac:dyDescent="0.2">
      <c r="D1450" s="58" t="str">
        <f>IFERROR(IF(F1450&lt;&gt;"pending","",IF(OR($B1450="",$B1450="(blank)"),"",VLOOKUP($B1450,'Email Marketing Raw Data'!$C:$O,10,0))),"")</f>
        <v/>
      </c>
      <c r="E1450" s="59" t="str">
        <f>IFERROR(IF(F1450&lt;&gt;"pending","",IF(OR($B1450="",$B1450="(blank)"),"",VLOOKUP($B1450,'Email Marketing Raw Data'!$C:$O,11,0))),"")</f>
        <v/>
      </c>
      <c r="F1450" s="54" t="str">
        <f>IFERROR(IF(OR($B1450="",$B1450="(blank)"),"",VLOOKUP($B1450,'Email Marketing Raw Data'!$C:$O,13,0)),"")</f>
        <v/>
      </c>
      <c r="G1450" s="55" t="str">
        <f>IFERROR(IF(OR($B1450="",$B1450="(blank)"),"",VLOOKUP($B1450,'Email Marketing Raw Data'!$C:$O,4,0)),"")</f>
        <v/>
      </c>
      <c r="H1450" s="55" t="str">
        <f>IFERROR(IF(OR($B1450="",$B1450="(blank)"),"",VLOOKUP($B1450,'Email Marketing Raw Data'!$C:$O,5,0)),"")</f>
        <v/>
      </c>
      <c r="I1450" s="55" t="str">
        <f>IFERROR(IF($G1450="","",VLOOKUP('Dashboard And Emails Automate'!$G1450,Database!$H:$N,3,0)),"")</f>
        <v/>
      </c>
      <c r="J1450" s="55" t="str">
        <f>IFERROR(IF($G1450="","",VLOOKUP('Dashboard And Emails Automate'!$G1450,Database!$H:$N,4,0)),"")</f>
        <v/>
      </c>
      <c r="K1450" s="55" t="str">
        <f>IFERROR(IF($G1450="","",VLOOKUP('Dashboard And Emails Automate'!$G1450,Database!$H:$N,5,0)),"")</f>
        <v/>
      </c>
      <c r="L1450" s="55" t="str">
        <f>IFERROR(IF($G1450="","",VLOOKUP('Dashboard And Emails Automate'!$G1450,Database!$H:$N,6,0)),"")</f>
        <v/>
      </c>
      <c r="M1450" s="55" t="str">
        <f>IFERROR(IF($G1450="","",VLOOKUP('Dashboard And Emails Automate'!$G1450,Database!$H:$N,7,0)),"")</f>
        <v/>
      </c>
      <c r="N1450" s="55" t="str">
        <f>IFERROR(IF(OR($B1450="",$B1450="(blank)"),"",VLOOKUP($B1450,'Email Marketing Raw Data'!$C:$O,6,0)),"")</f>
        <v/>
      </c>
      <c r="O1450" s="55" t="str">
        <f>IFERROR(IF(OR($B1450="",$B1450="(blank)"),"",VLOOKUP($B1450,'Email Marketing Raw Data'!$C:$O,7,0)),"")</f>
        <v/>
      </c>
      <c r="P1450" s="55" t="str">
        <f>IFERROR(IF(OR($B1450="",$B1450="(blank)"),"",VLOOKUP($B1450,'Email Marketing Raw Data'!$C:$O,8,0)),"")</f>
        <v/>
      </c>
      <c r="Q1450" s="62" t="str">
        <f>IFERROR(IF(OR($B1450="",$B1450="(blank)"),"",VLOOKUP($B1450,'Email Marketing Raw Data'!$C:$O,9,0)),"")</f>
        <v/>
      </c>
    </row>
    <row r="1451" spans="4:17" ht="12.75" customHeight="1" x14ac:dyDescent="0.2">
      <c r="D1451" s="58" t="str">
        <f>IFERROR(IF(F1451&lt;&gt;"pending","",IF(OR($B1451="",$B1451="(blank)"),"",VLOOKUP($B1451,'Email Marketing Raw Data'!$C:$O,10,0))),"")</f>
        <v/>
      </c>
      <c r="E1451" s="59" t="str">
        <f>IFERROR(IF(F1451&lt;&gt;"pending","",IF(OR($B1451="",$B1451="(blank)"),"",VLOOKUP($B1451,'Email Marketing Raw Data'!$C:$O,11,0))),"")</f>
        <v/>
      </c>
      <c r="F1451" s="54" t="str">
        <f>IFERROR(IF(OR($B1451="",$B1451="(blank)"),"",VLOOKUP($B1451,'Email Marketing Raw Data'!$C:$O,13,0)),"")</f>
        <v/>
      </c>
      <c r="G1451" s="55" t="str">
        <f>IFERROR(IF(OR($B1451="",$B1451="(blank)"),"",VLOOKUP($B1451,'Email Marketing Raw Data'!$C:$O,4,0)),"")</f>
        <v/>
      </c>
      <c r="H1451" s="55" t="str">
        <f>IFERROR(IF(OR($B1451="",$B1451="(blank)"),"",VLOOKUP($B1451,'Email Marketing Raw Data'!$C:$O,5,0)),"")</f>
        <v/>
      </c>
      <c r="I1451" s="55" t="str">
        <f>IFERROR(IF($G1451="","",VLOOKUP('Dashboard And Emails Automate'!$G1451,Database!$H:$N,3,0)),"")</f>
        <v/>
      </c>
      <c r="J1451" s="55" t="str">
        <f>IFERROR(IF($G1451="","",VLOOKUP('Dashboard And Emails Automate'!$G1451,Database!$H:$N,4,0)),"")</f>
        <v/>
      </c>
      <c r="K1451" s="55" t="str">
        <f>IFERROR(IF($G1451="","",VLOOKUP('Dashboard And Emails Automate'!$G1451,Database!$H:$N,5,0)),"")</f>
        <v/>
      </c>
      <c r="L1451" s="55" t="str">
        <f>IFERROR(IF($G1451="","",VLOOKUP('Dashboard And Emails Automate'!$G1451,Database!$H:$N,6,0)),"")</f>
        <v/>
      </c>
      <c r="M1451" s="55" t="str">
        <f>IFERROR(IF($G1451="","",VLOOKUP('Dashboard And Emails Automate'!$G1451,Database!$H:$N,7,0)),"")</f>
        <v/>
      </c>
      <c r="N1451" s="55" t="str">
        <f>IFERROR(IF(OR($B1451="",$B1451="(blank)"),"",VLOOKUP($B1451,'Email Marketing Raw Data'!$C:$O,6,0)),"")</f>
        <v/>
      </c>
      <c r="O1451" s="55" t="str">
        <f>IFERROR(IF(OR($B1451="",$B1451="(blank)"),"",VLOOKUP($B1451,'Email Marketing Raw Data'!$C:$O,7,0)),"")</f>
        <v/>
      </c>
      <c r="P1451" s="55" t="str">
        <f>IFERROR(IF(OR($B1451="",$B1451="(blank)"),"",VLOOKUP($B1451,'Email Marketing Raw Data'!$C:$O,8,0)),"")</f>
        <v/>
      </c>
      <c r="Q1451" s="62" t="str">
        <f>IFERROR(IF(OR($B1451="",$B1451="(blank)"),"",VLOOKUP($B1451,'Email Marketing Raw Data'!$C:$O,9,0)),"")</f>
        <v/>
      </c>
    </row>
    <row r="1452" spans="4:17" ht="12.75" customHeight="1" x14ac:dyDescent="0.2">
      <c r="D1452" s="58" t="str">
        <f>IFERROR(IF(F1452&lt;&gt;"pending","",IF(OR($B1452="",$B1452="(blank)"),"",VLOOKUP($B1452,'Email Marketing Raw Data'!$C:$O,10,0))),"")</f>
        <v/>
      </c>
      <c r="E1452" s="59" t="str">
        <f>IFERROR(IF(F1452&lt;&gt;"pending","",IF(OR($B1452="",$B1452="(blank)"),"",VLOOKUP($B1452,'Email Marketing Raw Data'!$C:$O,11,0))),"")</f>
        <v/>
      </c>
      <c r="F1452" s="54" t="str">
        <f>IFERROR(IF(OR($B1452="",$B1452="(blank)"),"",VLOOKUP($B1452,'Email Marketing Raw Data'!$C:$O,13,0)),"")</f>
        <v/>
      </c>
      <c r="G1452" s="55" t="str">
        <f>IFERROR(IF(OR($B1452="",$B1452="(blank)"),"",VLOOKUP($B1452,'Email Marketing Raw Data'!$C:$O,4,0)),"")</f>
        <v/>
      </c>
      <c r="H1452" s="55" t="str">
        <f>IFERROR(IF(OR($B1452="",$B1452="(blank)"),"",VLOOKUP($B1452,'Email Marketing Raw Data'!$C:$O,5,0)),"")</f>
        <v/>
      </c>
      <c r="I1452" s="55" t="str">
        <f>IFERROR(IF($G1452="","",VLOOKUP('Dashboard And Emails Automate'!$G1452,Database!$H:$N,3,0)),"")</f>
        <v/>
      </c>
      <c r="J1452" s="55" t="str">
        <f>IFERROR(IF($G1452="","",VLOOKUP('Dashboard And Emails Automate'!$G1452,Database!$H:$N,4,0)),"")</f>
        <v/>
      </c>
      <c r="K1452" s="55" t="str">
        <f>IFERROR(IF($G1452="","",VLOOKUP('Dashboard And Emails Automate'!$G1452,Database!$H:$N,5,0)),"")</f>
        <v/>
      </c>
      <c r="L1452" s="55" t="str">
        <f>IFERROR(IF($G1452="","",VLOOKUP('Dashboard And Emails Automate'!$G1452,Database!$H:$N,6,0)),"")</f>
        <v/>
      </c>
      <c r="M1452" s="55" t="str">
        <f>IFERROR(IF($G1452="","",VLOOKUP('Dashboard And Emails Automate'!$G1452,Database!$H:$N,7,0)),"")</f>
        <v/>
      </c>
      <c r="N1452" s="55" t="str">
        <f>IFERROR(IF(OR($B1452="",$B1452="(blank)"),"",VLOOKUP($B1452,'Email Marketing Raw Data'!$C:$O,6,0)),"")</f>
        <v/>
      </c>
      <c r="O1452" s="55" t="str">
        <f>IFERROR(IF(OR($B1452="",$B1452="(blank)"),"",VLOOKUP($B1452,'Email Marketing Raw Data'!$C:$O,7,0)),"")</f>
        <v/>
      </c>
      <c r="P1452" s="55" t="str">
        <f>IFERROR(IF(OR($B1452="",$B1452="(blank)"),"",VLOOKUP($B1452,'Email Marketing Raw Data'!$C:$O,8,0)),"")</f>
        <v/>
      </c>
      <c r="Q1452" s="62" t="str">
        <f>IFERROR(IF(OR($B1452="",$B1452="(blank)"),"",VLOOKUP($B1452,'Email Marketing Raw Data'!$C:$O,9,0)),"")</f>
        <v/>
      </c>
    </row>
    <row r="1453" spans="4:17" ht="12.75" customHeight="1" x14ac:dyDescent="0.2">
      <c r="D1453" s="58" t="str">
        <f>IFERROR(IF(F1453&lt;&gt;"pending","",IF(OR($B1453="",$B1453="(blank)"),"",VLOOKUP($B1453,'Email Marketing Raw Data'!$C:$O,10,0))),"")</f>
        <v/>
      </c>
      <c r="E1453" s="59" t="str">
        <f>IFERROR(IF(F1453&lt;&gt;"pending","",IF(OR($B1453="",$B1453="(blank)"),"",VLOOKUP($B1453,'Email Marketing Raw Data'!$C:$O,11,0))),"")</f>
        <v/>
      </c>
      <c r="F1453" s="54" t="str">
        <f>IFERROR(IF(OR($B1453="",$B1453="(blank)"),"",VLOOKUP($B1453,'Email Marketing Raw Data'!$C:$O,13,0)),"")</f>
        <v/>
      </c>
      <c r="G1453" s="55" t="str">
        <f>IFERROR(IF(OR($B1453="",$B1453="(blank)"),"",VLOOKUP($B1453,'Email Marketing Raw Data'!$C:$O,4,0)),"")</f>
        <v/>
      </c>
      <c r="H1453" s="55" t="str">
        <f>IFERROR(IF(OR($B1453="",$B1453="(blank)"),"",VLOOKUP($B1453,'Email Marketing Raw Data'!$C:$O,5,0)),"")</f>
        <v/>
      </c>
      <c r="I1453" s="55" t="str">
        <f>IFERROR(IF($G1453="","",VLOOKUP('Dashboard And Emails Automate'!$G1453,Database!$H:$N,3,0)),"")</f>
        <v/>
      </c>
      <c r="J1453" s="55" t="str">
        <f>IFERROR(IF($G1453="","",VLOOKUP('Dashboard And Emails Automate'!$G1453,Database!$H:$N,4,0)),"")</f>
        <v/>
      </c>
      <c r="K1453" s="55" t="str">
        <f>IFERROR(IF($G1453="","",VLOOKUP('Dashboard And Emails Automate'!$G1453,Database!$H:$N,5,0)),"")</f>
        <v/>
      </c>
      <c r="L1453" s="55" t="str">
        <f>IFERROR(IF($G1453="","",VLOOKUP('Dashboard And Emails Automate'!$G1453,Database!$H:$N,6,0)),"")</f>
        <v/>
      </c>
      <c r="M1453" s="55" t="str">
        <f>IFERROR(IF($G1453="","",VLOOKUP('Dashboard And Emails Automate'!$G1453,Database!$H:$N,7,0)),"")</f>
        <v/>
      </c>
      <c r="N1453" s="55" t="str">
        <f>IFERROR(IF(OR($B1453="",$B1453="(blank)"),"",VLOOKUP($B1453,'Email Marketing Raw Data'!$C:$O,6,0)),"")</f>
        <v/>
      </c>
      <c r="O1453" s="55" t="str">
        <f>IFERROR(IF(OR($B1453="",$B1453="(blank)"),"",VLOOKUP($B1453,'Email Marketing Raw Data'!$C:$O,7,0)),"")</f>
        <v/>
      </c>
      <c r="P1453" s="55" t="str">
        <f>IFERROR(IF(OR($B1453="",$B1453="(blank)"),"",VLOOKUP($B1453,'Email Marketing Raw Data'!$C:$O,8,0)),"")</f>
        <v/>
      </c>
      <c r="Q1453" s="62" t="str">
        <f>IFERROR(IF(OR($B1453="",$B1453="(blank)"),"",VLOOKUP($B1453,'Email Marketing Raw Data'!$C:$O,9,0)),"")</f>
        <v/>
      </c>
    </row>
    <row r="1454" spans="4:17" ht="12.75" customHeight="1" x14ac:dyDescent="0.2">
      <c r="D1454" s="58" t="str">
        <f>IFERROR(IF(F1454&lt;&gt;"pending","",IF(OR($B1454="",$B1454="(blank)"),"",VLOOKUP($B1454,'Email Marketing Raw Data'!$C:$O,10,0))),"")</f>
        <v/>
      </c>
      <c r="E1454" s="59" t="str">
        <f>IFERROR(IF(F1454&lt;&gt;"pending","",IF(OR($B1454="",$B1454="(blank)"),"",VLOOKUP($B1454,'Email Marketing Raw Data'!$C:$O,11,0))),"")</f>
        <v/>
      </c>
      <c r="F1454" s="54" t="str">
        <f>IFERROR(IF(OR($B1454="",$B1454="(blank)"),"",VLOOKUP($B1454,'Email Marketing Raw Data'!$C:$O,13,0)),"")</f>
        <v/>
      </c>
      <c r="G1454" s="55" t="str">
        <f>IFERROR(IF(OR($B1454="",$B1454="(blank)"),"",VLOOKUP($B1454,'Email Marketing Raw Data'!$C:$O,4,0)),"")</f>
        <v/>
      </c>
      <c r="H1454" s="55" t="str">
        <f>IFERROR(IF(OR($B1454="",$B1454="(blank)"),"",VLOOKUP($B1454,'Email Marketing Raw Data'!$C:$O,5,0)),"")</f>
        <v/>
      </c>
      <c r="I1454" s="55" t="str">
        <f>IFERROR(IF($G1454="","",VLOOKUP('Dashboard And Emails Automate'!$G1454,Database!$H:$N,3,0)),"")</f>
        <v/>
      </c>
      <c r="J1454" s="55" t="str">
        <f>IFERROR(IF($G1454="","",VLOOKUP('Dashboard And Emails Automate'!$G1454,Database!$H:$N,4,0)),"")</f>
        <v/>
      </c>
      <c r="K1454" s="55" t="str">
        <f>IFERROR(IF($G1454="","",VLOOKUP('Dashboard And Emails Automate'!$G1454,Database!$H:$N,5,0)),"")</f>
        <v/>
      </c>
      <c r="L1454" s="55" t="str">
        <f>IFERROR(IF($G1454="","",VLOOKUP('Dashboard And Emails Automate'!$G1454,Database!$H:$N,6,0)),"")</f>
        <v/>
      </c>
      <c r="M1454" s="55" t="str">
        <f>IFERROR(IF($G1454="","",VLOOKUP('Dashboard And Emails Automate'!$G1454,Database!$H:$N,7,0)),"")</f>
        <v/>
      </c>
      <c r="N1454" s="55" t="str">
        <f>IFERROR(IF(OR($B1454="",$B1454="(blank)"),"",VLOOKUP($B1454,'Email Marketing Raw Data'!$C:$O,6,0)),"")</f>
        <v/>
      </c>
      <c r="O1454" s="55" t="str">
        <f>IFERROR(IF(OR($B1454="",$B1454="(blank)"),"",VLOOKUP($B1454,'Email Marketing Raw Data'!$C:$O,7,0)),"")</f>
        <v/>
      </c>
      <c r="P1454" s="55" t="str">
        <f>IFERROR(IF(OR($B1454="",$B1454="(blank)"),"",VLOOKUP($B1454,'Email Marketing Raw Data'!$C:$O,8,0)),"")</f>
        <v/>
      </c>
      <c r="Q1454" s="62" t="str">
        <f>IFERROR(IF(OR($B1454="",$B1454="(blank)"),"",VLOOKUP($B1454,'Email Marketing Raw Data'!$C:$O,9,0)),"")</f>
        <v/>
      </c>
    </row>
    <row r="1455" spans="4:17" ht="12.75" customHeight="1" x14ac:dyDescent="0.2">
      <c r="D1455" s="58" t="str">
        <f>IFERROR(IF(F1455&lt;&gt;"pending","",IF(OR($B1455="",$B1455="(blank)"),"",VLOOKUP($B1455,'Email Marketing Raw Data'!$C:$O,10,0))),"")</f>
        <v/>
      </c>
      <c r="E1455" s="59" t="str">
        <f>IFERROR(IF(F1455&lt;&gt;"pending","",IF(OR($B1455="",$B1455="(blank)"),"",VLOOKUP($B1455,'Email Marketing Raw Data'!$C:$O,11,0))),"")</f>
        <v/>
      </c>
      <c r="F1455" s="54" t="str">
        <f>IFERROR(IF(OR($B1455="",$B1455="(blank)"),"",VLOOKUP($B1455,'Email Marketing Raw Data'!$C:$O,13,0)),"")</f>
        <v/>
      </c>
      <c r="G1455" s="55" t="str">
        <f>IFERROR(IF(OR($B1455="",$B1455="(blank)"),"",VLOOKUP($B1455,'Email Marketing Raw Data'!$C:$O,4,0)),"")</f>
        <v/>
      </c>
      <c r="H1455" s="55" t="str">
        <f>IFERROR(IF(OR($B1455="",$B1455="(blank)"),"",VLOOKUP($B1455,'Email Marketing Raw Data'!$C:$O,5,0)),"")</f>
        <v/>
      </c>
      <c r="I1455" s="55" t="str">
        <f>IFERROR(IF($G1455="","",VLOOKUP('Dashboard And Emails Automate'!$G1455,Database!$H:$N,3,0)),"")</f>
        <v/>
      </c>
      <c r="J1455" s="55" t="str">
        <f>IFERROR(IF($G1455="","",VLOOKUP('Dashboard And Emails Automate'!$G1455,Database!$H:$N,4,0)),"")</f>
        <v/>
      </c>
      <c r="K1455" s="55" t="str">
        <f>IFERROR(IF($G1455="","",VLOOKUP('Dashboard And Emails Automate'!$G1455,Database!$H:$N,5,0)),"")</f>
        <v/>
      </c>
      <c r="L1455" s="55" t="str">
        <f>IFERROR(IF($G1455="","",VLOOKUP('Dashboard And Emails Automate'!$G1455,Database!$H:$N,6,0)),"")</f>
        <v/>
      </c>
      <c r="M1455" s="55" t="str">
        <f>IFERROR(IF($G1455="","",VLOOKUP('Dashboard And Emails Automate'!$G1455,Database!$H:$N,7,0)),"")</f>
        <v/>
      </c>
      <c r="N1455" s="55" t="str">
        <f>IFERROR(IF(OR($B1455="",$B1455="(blank)"),"",VLOOKUP($B1455,'Email Marketing Raw Data'!$C:$O,6,0)),"")</f>
        <v/>
      </c>
      <c r="O1455" s="55" t="str">
        <f>IFERROR(IF(OR($B1455="",$B1455="(blank)"),"",VLOOKUP($B1455,'Email Marketing Raw Data'!$C:$O,7,0)),"")</f>
        <v/>
      </c>
      <c r="P1455" s="55" t="str">
        <f>IFERROR(IF(OR($B1455="",$B1455="(blank)"),"",VLOOKUP($B1455,'Email Marketing Raw Data'!$C:$O,8,0)),"")</f>
        <v/>
      </c>
      <c r="Q1455" s="62" t="str">
        <f>IFERROR(IF(OR($B1455="",$B1455="(blank)"),"",VLOOKUP($B1455,'Email Marketing Raw Data'!$C:$O,9,0)),"")</f>
        <v/>
      </c>
    </row>
    <row r="1456" spans="4:17" ht="12.75" customHeight="1" x14ac:dyDescent="0.2">
      <c r="D1456" s="58" t="str">
        <f>IFERROR(IF(F1456&lt;&gt;"pending","",IF(OR($B1456="",$B1456="(blank)"),"",VLOOKUP($B1456,'Email Marketing Raw Data'!$C:$O,10,0))),"")</f>
        <v/>
      </c>
      <c r="E1456" s="59" t="str">
        <f>IFERROR(IF(F1456&lt;&gt;"pending","",IF(OR($B1456="",$B1456="(blank)"),"",VLOOKUP($B1456,'Email Marketing Raw Data'!$C:$O,11,0))),"")</f>
        <v/>
      </c>
      <c r="F1456" s="54" t="str">
        <f>IFERROR(IF(OR($B1456="",$B1456="(blank)"),"",VLOOKUP($B1456,'Email Marketing Raw Data'!$C:$O,13,0)),"")</f>
        <v/>
      </c>
      <c r="G1456" s="55" t="str">
        <f>IFERROR(IF(OR($B1456="",$B1456="(blank)"),"",VLOOKUP($B1456,'Email Marketing Raw Data'!$C:$O,4,0)),"")</f>
        <v/>
      </c>
      <c r="H1456" s="55" t="str">
        <f>IFERROR(IF(OR($B1456="",$B1456="(blank)"),"",VLOOKUP($B1456,'Email Marketing Raw Data'!$C:$O,5,0)),"")</f>
        <v/>
      </c>
      <c r="I1456" s="55" t="str">
        <f>IFERROR(IF($G1456="","",VLOOKUP('Dashboard And Emails Automate'!$G1456,Database!$H:$N,3,0)),"")</f>
        <v/>
      </c>
      <c r="J1456" s="55" t="str">
        <f>IFERROR(IF($G1456="","",VLOOKUP('Dashboard And Emails Automate'!$G1456,Database!$H:$N,4,0)),"")</f>
        <v/>
      </c>
      <c r="K1456" s="55" t="str">
        <f>IFERROR(IF($G1456="","",VLOOKUP('Dashboard And Emails Automate'!$G1456,Database!$H:$N,5,0)),"")</f>
        <v/>
      </c>
      <c r="L1456" s="55" t="str">
        <f>IFERROR(IF($G1456="","",VLOOKUP('Dashboard And Emails Automate'!$G1456,Database!$H:$N,6,0)),"")</f>
        <v/>
      </c>
      <c r="M1456" s="55" t="str">
        <f>IFERROR(IF($G1456="","",VLOOKUP('Dashboard And Emails Automate'!$G1456,Database!$H:$N,7,0)),"")</f>
        <v/>
      </c>
      <c r="N1456" s="55" t="str">
        <f>IFERROR(IF(OR($B1456="",$B1456="(blank)"),"",VLOOKUP($B1456,'Email Marketing Raw Data'!$C:$O,6,0)),"")</f>
        <v/>
      </c>
      <c r="O1456" s="55" t="str">
        <f>IFERROR(IF(OR($B1456="",$B1456="(blank)"),"",VLOOKUP($B1456,'Email Marketing Raw Data'!$C:$O,7,0)),"")</f>
        <v/>
      </c>
      <c r="P1456" s="55" t="str">
        <f>IFERROR(IF(OR($B1456="",$B1456="(blank)"),"",VLOOKUP($B1456,'Email Marketing Raw Data'!$C:$O,8,0)),"")</f>
        <v/>
      </c>
      <c r="Q1456" s="62" t="str">
        <f>IFERROR(IF(OR($B1456="",$B1456="(blank)"),"",VLOOKUP($B1456,'Email Marketing Raw Data'!$C:$O,9,0)),"")</f>
        <v/>
      </c>
    </row>
    <row r="1457" spans="4:17" ht="12.75" customHeight="1" x14ac:dyDescent="0.2">
      <c r="D1457" s="58" t="str">
        <f>IFERROR(IF(F1457&lt;&gt;"pending","",IF(OR($B1457="",$B1457="(blank)"),"",VLOOKUP($B1457,'Email Marketing Raw Data'!$C:$O,10,0))),"")</f>
        <v/>
      </c>
      <c r="E1457" s="59" t="str">
        <f>IFERROR(IF(F1457&lt;&gt;"pending","",IF(OR($B1457="",$B1457="(blank)"),"",VLOOKUP($B1457,'Email Marketing Raw Data'!$C:$O,11,0))),"")</f>
        <v/>
      </c>
      <c r="F1457" s="54" t="str">
        <f>IFERROR(IF(OR($B1457="",$B1457="(blank)"),"",VLOOKUP($B1457,'Email Marketing Raw Data'!$C:$O,13,0)),"")</f>
        <v/>
      </c>
      <c r="G1457" s="55" t="str">
        <f>IFERROR(IF(OR($B1457="",$B1457="(blank)"),"",VLOOKUP($B1457,'Email Marketing Raw Data'!$C:$O,4,0)),"")</f>
        <v/>
      </c>
      <c r="H1457" s="55" t="str">
        <f>IFERROR(IF(OR($B1457="",$B1457="(blank)"),"",VLOOKUP($B1457,'Email Marketing Raw Data'!$C:$O,5,0)),"")</f>
        <v/>
      </c>
      <c r="I1457" s="55" t="str">
        <f>IFERROR(IF($G1457="","",VLOOKUP('Dashboard And Emails Automate'!$G1457,Database!$H:$N,3,0)),"")</f>
        <v/>
      </c>
      <c r="J1457" s="55" t="str">
        <f>IFERROR(IF($G1457="","",VLOOKUP('Dashboard And Emails Automate'!$G1457,Database!$H:$N,4,0)),"")</f>
        <v/>
      </c>
      <c r="K1457" s="55" t="str">
        <f>IFERROR(IF($G1457="","",VLOOKUP('Dashboard And Emails Automate'!$G1457,Database!$H:$N,5,0)),"")</f>
        <v/>
      </c>
      <c r="L1457" s="55" t="str">
        <f>IFERROR(IF($G1457="","",VLOOKUP('Dashboard And Emails Automate'!$G1457,Database!$H:$N,6,0)),"")</f>
        <v/>
      </c>
      <c r="M1457" s="55" t="str">
        <f>IFERROR(IF($G1457="","",VLOOKUP('Dashboard And Emails Automate'!$G1457,Database!$H:$N,7,0)),"")</f>
        <v/>
      </c>
      <c r="N1457" s="55" t="str">
        <f>IFERROR(IF(OR($B1457="",$B1457="(blank)"),"",VLOOKUP($B1457,'Email Marketing Raw Data'!$C:$O,6,0)),"")</f>
        <v/>
      </c>
      <c r="O1457" s="55" t="str">
        <f>IFERROR(IF(OR($B1457="",$B1457="(blank)"),"",VLOOKUP($B1457,'Email Marketing Raw Data'!$C:$O,7,0)),"")</f>
        <v/>
      </c>
      <c r="P1457" s="55" t="str">
        <f>IFERROR(IF(OR($B1457="",$B1457="(blank)"),"",VLOOKUP($B1457,'Email Marketing Raw Data'!$C:$O,8,0)),"")</f>
        <v/>
      </c>
      <c r="Q1457" s="62" t="str">
        <f>IFERROR(IF(OR($B1457="",$B1457="(blank)"),"",VLOOKUP($B1457,'Email Marketing Raw Data'!$C:$O,9,0)),"")</f>
        <v/>
      </c>
    </row>
    <row r="1458" spans="4:17" ht="12.75" customHeight="1" x14ac:dyDescent="0.2">
      <c r="D1458" s="58" t="str">
        <f>IFERROR(IF(F1458&lt;&gt;"pending","",IF(OR($B1458="",$B1458="(blank)"),"",VLOOKUP($B1458,'Email Marketing Raw Data'!$C:$O,10,0))),"")</f>
        <v/>
      </c>
      <c r="E1458" s="59" t="str">
        <f>IFERROR(IF(F1458&lt;&gt;"pending","",IF(OR($B1458="",$B1458="(blank)"),"",VLOOKUP($B1458,'Email Marketing Raw Data'!$C:$O,11,0))),"")</f>
        <v/>
      </c>
      <c r="F1458" s="54" t="str">
        <f>IFERROR(IF(OR($B1458="",$B1458="(blank)"),"",VLOOKUP($B1458,'Email Marketing Raw Data'!$C:$O,13,0)),"")</f>
        <v/>
      </c>
      <c r="G1458" s="55" t="str">
        <f>IFERROR(IF(OR($B1458="",$B1458="(blank)"),"",VLOOKUP($B1458,'Email Marketing Raw Data'!$C:$O,4,0)),"")</f>
        <v/>
      </c>
      <c r="H1458" s="55" t="str">
        <f>IFERROR(IF(OR($B1458="",$B1458="(blank)"),"",VLOOKUP($B1458,'Email Marketing Raw Data'!$C:$O,5,0)),"")</f>
        <v/>
      </c>
      <c r="I1458" s="55" t="str">
        <f>IFERROR(IF($G1458="","",VLOOKUP('Dashboard And Emails Automate'!$G1458,Database!$H:$N,3,0)),"")</f>
        <v/>
      </c>
      <c r="J1458" s="55" t="str">
        <f>IFERROR(IF($G1458="","",VLOOKUP('Dashboard And Emails Automate'!$G1458,Database!$H:$N,4,0)),"")</f>
        <v/>
      </c>
      <c r="K1458" s="55" t="str">
        <f>IFERROR(IF($G1458="","",VLOOKUP('Dashboard And Emails Automate'!$G1458,Database!$H:$N,5,0)),"")</f>
        <v/>
      </c>
      <c r="L1458" s="55" t="str">
        <f>IFERROR(IF($G1458="","",VLOOKUP('Dashboard And Emails Automate'!$G1458,Database!$H:$N,6,0)),"")</f>
        <v/>
      </c>
      <c r="M1458" s="55" t="str">
        <f>IFERROR(IF($G1458="","",VLOOKUP('Dashboard And Emails Automate'!$G1458,Database!$H:$N,7,0)),"")</f>
        <v/>
      </c>
      <c r="N1458" s="55" t="str">
        <f>IFERROR(IF(OR($B1458="",$B1458="(blank)"),"",VLOOKUP($B1458,'Email Marketing Raw Data'!$C:$O,6,0)),"")</f>
        <v/>
      </c>
      <c r="O1458" s="55" t="str">
        <f>IFERROR(IF(OR($B1458="",$B1458="(blank)"),"",VLOOKUP($B1458,'Email Marketing Raw Data'!$C:$O,7,0)),"")</f>
        <v/>
      </c>
      <c r="P1458" s="55" t="str">
        <f>IFERROR(IF(OR($B1458="",$B1458="(blank)"),"",VLOOKUP($B1458,'Email Marketing Raw Data'!$C:$O,8,0)),"")</f>
        <v/>
      </c>
      <c r="Q1458" s="62" t="str">
        <f>IFERROR(IF(OR($B1458="",$B1458="(blank)"),"",VLOOKUP($B1458,'Email Marketing Raw Data'!$C:$O,9,0)),"")</f>
        <v/>
      </c>
    </row>
    <row r="1459" spans="4:17" ht="12.75" customHeight="1" x14ac:dyDescent="0.2">
      <c r="D1459" s="58" t="str">
        <f>IFERROR(IF(F1459&lt;&gt;"pending","",IF(OR($B1459="",$B1459="(blank)"),"",VLOOKUP($B1459,'Email Marketing Raw Data'!$C:$O,10,0))),"")</f>
        <v/>
      </c>
      <c r="E1459" s="59" t="str">
        <f>IFERROR(IF(F1459&lt;&gt;"pending","",IF(OR($B1459="",$B1459="(blank)"),"",VLOOKUP($B1459,'Email Marketing Raw Data'!$C:$O,11,0))),"")</f>
        <v/>
      </c>
      <c r="F1459" s="54" t="str">
        <f>IFERROR(IF(OR($B1459="",$B1459="(blank)"),"",VLOOKUP($B1459,'Email Marketing Raw Data'!$C:$O,13,0)),"")</f>
        <v/>
      </c>
      <c r="G1459" s="55" t="str">
        <f>IFERROR(IF(OR($B1459="",$B1459="(blank)"),"",VLOOKUP($B1459,'Email Marketing Raw Data'!$C:$O,4,0)),"")</f>
        <v/>
      </c>
      <c r="H1459" s="55" t="str">
        <f>IFERROR(IF(OR($B1459="",$B1459="(blank)"),"",VLOOKUP($B1459,'Email Marketing Raw Data'!$C:$O,5,0)),"")</f>
        <v/>
      </c>
      <c r="I1459" s="55" t="str">
        <f>IFERROR(IF($G1459="","",VLOOKUP('Dashboard And Emails Automate'!$G1459,Database!$H:$N,3,0)),"")</f>
        <v/>
      </c>
      <c r="J1459" s="55" t="str">
        <f>IFERROR(IF($G1459="","",VLOOKUP('Dashboard And Emails Automate'!$G1459,Database!$H:$N,4,0)),"")</f>
        <v/>
      </c>
      <c r="K1459" s="55" t="str">
        <f>IFERROR(IF($G1459="","",VLOOKUP('Dashboard And Emails Automate'!$G1459,Database!$H:$N,5,0)),"")</f>
        <v/>
      </c>
      <c r="L1459" s="55" t="str">
        <f>IFERROR(IF($G1459="","",VLOOKUP('Dashboard And Emails Automate'!$G1459,Database!$H:$N,6,0)),"")</f>
        <v/>
      </c>
      <c r="M1459" s="55" t="str">
        <f>IFERROR(IF($G1459="","",VLOOKUP('Dashboard And Emails Automate'!$G1459,Database!$H:$N,7,0)),"")</f>
        <v/>
      </c>
      <c r="N1459" s="55" t="str">
        <f>IFERROR(IF(OR($B1459="",$B1459="(blank)"),"",VLOOKUP($B1459,'Email Marketing Raw Data'!$C:$O,6,0)),"")</f>
        <v/>
      </c>
      <c r="O1459" s="55" t="str">
        <f>IFERROR(IF(OR($B1459="",$B1459="(blank)"),"",VLOOKUP($B1459,'Email Marketing Raw Data'!$C:$O,7,0)),"")</f>
        <v/>
      </c>
      <c r="P1459" s="55" t="str">
        <f>IFERROR(IF(OR($B1459="",$B1459="(blank)"),"",VLOOKUP($B1459,'Email Marketing Raw Data'!$C:$O,8,0)),"")</f>
        <v/>
      </c>
      <c r="Q1459" s="62" t="str">
        <f>IFERROR(IF(OR($B1459="",$B1459="(blank)"),"",VLOOKUP($B1459,'Email Marketing Raw Data'!$C:$O,9,0)),"")</f>
        <v/>
      </c>
    </row>
    <row r="1460" spans="4:17" ht="12.75" customHeight="1" x14ac:dyDescent="0.2">
      <c r="D1460" s="58" t="str">
        <f>IFERROR(IF(F1460&lt;&gt;"pending","",IF(OR($B1460="",$B1460="(blank)"),"",VLOOKUP($B1460,'Email Marketing Raw Data'!$C:$O,10,0))),"")</f>
        <v/>
      </c>
      <c r="E1460" s="59" t="str">
        <f>IFERROR(IF(F1460&lt;&gt;"pending","",IF(OR($B1460="",$B1460="(blank)"),"",VLOOKUP($B1460,'Email Marketing Raw Data'!$C:$O,11,0))),"")</f>
        <v/>
      </c>
      <c r="F1460" s="54" t="str">
        <f>IFERROR(IF(OR($B1460="",$B1460="(blank)"),"",VLOOKUP($B1460,'Email Marketing Raw Data'!$C:$O,13,0)),"")</f>
        <v/>
      </c>
      <c r="G1460" s="55" t="str">
        <f>IFERROR(IF(OR($B1460="",$B1460="(blank)"),"",VLOOKUP($B1460,'Email Marketing Raw Data'!$C:$O,4,0)),"")</f>
        <v/>
      </c>
      <c r="H1460" s="55" t="str">
        <f>IFERROR(IF(OR($B1460="",$B1460="(blank)"),"",VLOOKUP($B1460,'Email Marketing Raw Data'!$C:$O,5,0)),"")</f>
        <v/>
      </c>
      <c r="I1460" s="55" t="str">
        <f>IFERROR(IF($G1460="","",VLOOKUP('Dashboard And Emails Automate'!$G1460,Database!$H:$N,3,0)),"")</f>
        <v/>
      </c>
      <c r="J1460" s="55" t="str">
        <f>IFERROR(IF($G1460="","",VLOOKUP('Dashboard And Emails Automate'!$G1460,Database!$H:$N,4,0)),"")</f>
        <v/>
      </c>
      <c r="K1460" s="55" t="str">
        <f>IFERROR(IF($G1460="","",VLOOKUP('Dashboard And Emails Automate'!$G1460,Database!$H:$N,5,0)),"")</f>
        <v/>
      </c>
      <c r="L1460" s="55" t="str">
        <f>IFERROR(IF($G1460="","",VLOOKUP('Dashboard And Emails Automate'!$G1460,Database!$H:$N,6,0)),"")</f>
        <v/>
      </c>
      <c r="M1460" s="55" t="str">
        <f>IFERROR(IF($G1460="","",VLOOKUP('Dashboard And Emails Automate'!$G1460,Database!$H:$N,7,0)),"")</f>
        <v/>
      </c>
      <c r="N1460" s="55" t="str">
        <f>IFERROR(IF(OR($B1460="",$B1460="(blank)"),"",VLOOKUP($B1460,'Email Marketing Raw Data'!$C:$O,6,0)),"")</f>
        <v/>
      </c>
      <c r="O1460" s="55" t="str">
        <f>IFERROR(IF(OR($B1460="",$B1460="(blank)"),"",VLOOKUP($B1460,'Email Marketing Raw Data'!$C:$O,7,0)),"")</f>
        <v/>
      </c>
      <c r="P1460" s="55" t="str">
        <f>IFERROR(IF(OR($B1460="",$B1460="(blank)"),"",VLOOKUP($B1460,'Email Marketing Raw Data'!$C:$O,8,0)),"")</f>
        <v/>
      </c>
      <c r="Q1460" s="62" t="str">
        <f>IFERROR(IF(OR($B1460="",$B1460="(blank)"),"",VLOOKUP($B1460,'Email Marketing Raw Data'!$C:$O,9,0)),"")</f>
        <v/>
      </c>
    </row>
    <row r="1461" spans="4:17" ht="12.75" customHeight="1" x14ac:dyDescent="0.2">
      <c r="D1461" s="58" t="str">
        <f>IFERROR(IF(F1461&lt;&gt;"pending","",IF(OR($B1461="",$B1461="(blank)"),"",VLOOKUP($B1461,'Email Marketing Raw Data'!$C:$O,10,0))),"")</f>
        <v/>
      </c>
      <c r="E1461" s="59" t="str">
        <f>IFERROR(IF(F1461&lt;&gt;"pending","",IF(OR($B1461="",$B1461="(blank)"),"",VLOOKUP($B1461,'Email Marketing Raw Data'!$C:$O,11,0))),"")</f>
        <v/>
      </c>
      <c r="F1461" s="54" t="str">
        <f>IFERROR(IF(OR($B1461="",$B1461="(blank)"),"",VLOOKUP($B1461,'Email Marketing Raw Data'!$C:$O,13,0)),"")</f>
        <v/>
      </c>
      <c r="G1461" s="55" t="str">
        <f>IFERROR(IF(OR($B1461="",$B1461="(blank)"),"",VLOOKUP($B1461,'Email Marketing Raw Data'!$C:$O,4,0)),"")</f>
        <v/>
      </c>
      <c r="H1461" s="55" t="str">
        <f>IFERROR(IF(OR($B1461="",$B1461="(blank)"),"",VLOOKUP($B1461,'Email Marketing Raw Data'!$C:$O,5,0)),"")</f>
        <v/>
      </c>
      <c r="I1461" s="55" t="str">
        <f>IFERROR(IF($G1461="","",VLOOKUP('Dashboard And Emails Automate'!$G1461,Database!$H:$N,3,0)),"")</f>
        <v/>
      </c>
      <c r="J1461" s="55" t="str">
        <f>IFERROR(IF($G1461="","",VLOOKUP('Dashboard And Emails Automate'!$G1461,Database!$H:$N,4,0)),"")</f>
        <v/>
      </c>
      <c r="K1461" s="55" t="str">
        <f>IFERROR(IF($G1461="","",VLOOKUP('Dashboard And Emails Automate'!$G1461,Database!$H:$N,5,0)),"")</f>
        <v/>
      </c>
      <c r="L1461" s="55" t="str">
        <f>IFERROR(IF($G1461="","",VLOOKUP('Dashboard And Emails Automate'!$G1461,Database!$H:$N,6,0)),"")</f>
        <v/>
      </c>
      <c r="M1461" s="55" t="str">
        <f>IFERROR(IF($G1461="","",VLOOKUP('Dashboard And Emails Automate'!$G1461,Database!$H:$N,7,0)),"")</f>
        <v/>
      </c>
      <c r="N1461" s="55" t="str">
        <f>IFERROR(IF(OR($B1461="",$B1461="(blank)"),"",VLOOKUP($B1461,'Email Marketing Raw Data'!$C:$O,6,0)),"")</f>
        <v/>
      </c>
      <c r="O1461" s="55" t="str">
        <f>IFERROR(IF(OR($B1461="",$B1461="(blank)"),"",VLOOKUP($B1461,'Email Marketing Raw Data'!$C:$O,7,0)),"")</f>
        <v/>
      </c>
      <c r="P1461" s="55" t="str">
        <f>IFERROR(IF(OR($B1461="",$B1461="(blank)"),"",VLOOKUP($B1461,'Email Marketing Raw Data'!$C:$O,8,0)),"")</f>
        <v/>
      </c>
      <c r="Q1461" s="62" t="str">
        <f>IFERROR(IF(OR($B1461="",$B1461="(blank)"),"",VLOOKUP($B1461,'Email Marketing Raw Data'!$C:$O,9,0)),"")</f>
        <v/>
      </c>
    </row>
    <row r="1462" spans="4:17" ht="12.75" customHeight="1" x14ac:dyDescent="0.2">
      <c r="D1462" s="58" t="str">
        <f>IFERROR(IF(F1462&lt;&gt;"pending","",IF(OR($B1462="",$B1462="(blank)"),"",VLOOKUP($B1462,'Email Marketing Raw Data'!$C:$O,10,0))),"")</f>
        <v/>
      </c>
      <c r="E1462" s="59" t="str">
        <f>IFERROR(IF(F1462&lt;&gt;"pending","",IF(OR($B1462="",$B1462="(blank)"),"",VLOOKUP($B1462,'Email Marketing Raw Data'!$C:$O,11,0))),"")</f>
        <v/>
      </c>
      <c r="F1462" s="54" t="str">
        <f>IFERROR(IF(OR($B1462="",$B1462="(blank)"),"",VLOOKUP($B1462,'Email Marketing Raw Data'!$C:$O,13,0)),"")</f>
        <v/>
      </c>
      <c r="G1462" s="55" t="str">
        <f>IFERROR(IF(OR($B1462="",$B1462="(blank)"),"",VLOOKUP($B1462,'Email Marketing Raw Data'!$C:$O,4,0)),"")</f>
        <v/>
      </c>
      <c r="H1462" s="55" t="str">
        <f>IFERROR(IF(OR($B1462="",$B1462="(blank)"),"",VLOOKUP($B1462,'Email Marketing Raw Data'!$C:$O,5,0)),"")</f>
        <v/>
      </c>
      <c r="I1462" s="55" t="str">
        <f>IFERROR(IF($G1462="","",VLOOKUP('Dashboard And Emails Automate'!$G1462,Database!$H:$N,3,0)),"")</f>
        <v/>
      </c>
      <c r="J1462" s="55" t="str">
        <f>IFERROR(IF($G1462="","",VLOOKUP('Dashboard And Emails Automate'!$G1462,Database!$H:$N,4,0)),"")</f>
        <v/>
      </c>
      <c r="K1462" s="55" t="str">
        <f>IFERROR(IF($G1462="","",VLOOKUP('Dashboard And Emails Automate'!$G1462,Database!$H:$N,5,0)),"")</f>
        <v/>
      </c>
      <c r="L1462" s="55" t="str">
        <f>IFERROR(IF($G1462="","",VLOOKUP('Dashboard And Emails Automate'!$G1462,Database!$H:$N,6,0)),"")</f>
        <v/>
      </c>
      <c r="M1462" s="55" t="str">
        <f>IFERROR(IF($G1462="","",VLOOKUP('Dashboard And Emails Automate'!$G1462,Database!$H:$N,7,0)),"")</f>
        <v/>
      </c>
      <c r="N1462" s="55" t="str">
        <f>IFERROR(IF(OR($B1462="",$B1462="(blank)"),"",VLOOKUP($B1462,'Email Marketing Raw Data'!$C:$O,6,0)),"")</f>
        <v/>
      </c>
      <c r="O1462" s="55" t="str">
        <f>IFERROR(IF(OR($B1462="",$B1462="(blank)"),"",VLOOKUP($B1462,'Email Marketing Raw Data'!$C:$O,7,0)),"")</f>
        <v/>
      </c>
      <c r="P1462" s="55" t="str">
        <f>IFERROR(IF(OR($B1462="",$B1462="(blank)"),"",VLOOKUP($B1462,'Email Marketing Raw Data'!$C:$O,8,0)),"")</f>
        <v/>
      </c>
      <c r="Q1462" s="62" t="str">
        <f>IFERROR(IF(OR($B1462="",$B1462="(blank)"),"",VLOOKUP($B1462,'Email Marketing Raw Data'!$C:$O,9,0)),"")</f>
        <v/>
      </c>
    </row>
    <row r="1463" spans="4:17" ht="12.75" customHeight="1" x14ac:dyDescent="0.2">
      <c r="D1463" s="58" t="str">
        <f>IFERROR(IF(F1463&lt;&gt;"pending","",IF(OR($B1463="",$B1463="(blank)"),"",VLOOKUP($B1463,'Email Marketing Raw Data'!$C:$O,10,0))),"")</f>
        <v/>
      </c>
      <c r="E1463" s="59" t="str">
        <f>IFERROR(IF(F1463&lt;&gt;"pending","",IF(OR($B1463="",$B1463="(blank)"),"",VLOOKUP($B1463,'Email Marketing Raw Data'!$C:$O,11,0))),"")</f>
        <v/>
      </c>
      <c r="F1463" s="54" t="str">
        <f>IFERROR(IF(OR($B1463="",$B1463="(blank)"),"",VLOOKUP($B1463,'Email Marketing Raw Data'!$C:$O,13,0)),"")</f>
        <v/>
      </c>
      <c r="G1463" s="55" t="str">
        <f>IFERROR(IF(OR($B1463="",$B1463="(blank)"),"",VLOOKUP($B1463,'Email Marketing Raw Data'!$C:$O,4,0)),"")</f>
        <v/>
      </c>
      <c r="H1463" s="55" t="str">
        <f>IFERROR(IF(OR($B1463="",$B1463="(blank)"),"",VLOOKUP($B1463,'Email Marketing Raw Data'!$C:$O,5,0)),"")</f>
        <v/>
      </c>
      <c r="I1463" s="55" t="str">
        <f>IFERROR(IF($G1463="","",VLOOKUP('Dashboard And Emails Automate'!$G1463,Database!$H:$N,3,0)),"")</f>
        <v/>
      </c>
      <c r="J1463" s="55" t="str">
        <f>IFERROR(IF($G1463="","",VLOOKUP('Dashboard And Emails Automate'!$G1463,Database!$H:$N,4,0)),"")</f>
        <v/>
      </c>
      <c r="K1463" s="55" t="str">
        <f>IFERROR(IF($G1463="","",VLOOKUP('Dashboard And Emails Automate'!$G1463,Database!$H:$N,5,0)),"")</f>
        <v/>
      </c>
      <c r="L1463" s="55" t="str">
        <f>IFERROR(IF($G1463="","",VLOOKUP('Dashboard And Emails Automate'!$G1463,Database!$H:$N,6,0)),"")</f>
        <v/>
      </c>
      <c r="M1463" s="55" t="str">
        <f>IFERROR(IF($G1463="","",VLOOKUP('Dashboard And Emails Automate'!$G1463,Database!$H:$N,7,0)),"")</f>
        <v/>
      </c>
      <c r="N1463" s="55" t="str">
        <f>IFERROR(IF(OR($B1463="",$B1463="(blank)"),"",VLOOKUP($B1463,'Email Marketing Raw Data'!$C:$O,6,0)),"")</f>
        <v/>
      </c>
      <c r="O1463" s="55" t="str">
        <f>IFERROR(IF(OR($B1463="",$B1463="(blank)"),"",VLOOKUP($B1463,'Email Marketing Raw Data'!$C:$O,7,0)),"")</f>
        <v/>
      </c>
      <c r="P1463" s="55" t="str">
        <f>IFERROR(IF(OR($B1463="",$B1463="(blank)"),"",VLOOKUP($B1463,'Email Marketing Raw Data'!$C:$O,8,0)),"")</f>
        <v/>
      </c>
      <c r="Q1463" s="62" t="str">
        <f>IFERROR(IF(OR($B1463="",$B1463="(blank)"),"",VLOOKUP($B1463,'Email Marketing Raw Data'!$C:$O,9,0)),"")</f>
        <v/>
      </c>
    </row>
    <row r="1464" spans="4:17" ht="12.75" customHeight="1" x14ac:dyDescent="0.2">
      <c r="D1464" s="58" t="str">
        <f>IFERROR(IF(F1464&lt;&gt;"pending","",IF(OR($B1464="",$B1464="(blank)"),"",VLOOKUP($B1464,'Email Marketing Raw Data'!$C:$O,10,0))),"")</f>
        <v/>
      </c>
      <c r="E1464" s="59" t="str">
        <f>IFERROR(IF(F1464&lt;&gt;"pending","",IF(OR($B1464="",$B1464="(blank)"),"",VLOOKUP($B1464,'Email Marketing Raw Data'!$C:$O,11,0))),"")</f>
        <v/>
      </c>
      <c r="F1464" s="54" t="str">
        <f>IFERROR(IF(OR($B1464="",$B1464="(blank)"),"",VLOOKUP($B1464,'Email Marketing Raw Data'!$C:$O,13,0)),"")</f>
        <v/>
      </c>
      <c r="G1464" s="55" t="str">
        <f>IFERROR(IF(OR($B1464="",$B1464="(blank)"),"",VLOOKUP($B1464,'Email Marketing Raw Data'!$C:$O,4,0)),"")</f>
        <v/>
      </c>
      <c r="H1464" s="55" t="str">
        <f>IFERROR(IF(OR($B1464="",$B1464="(blank)"),"",VLOOKUP($B1464,'Email Marketing Raw Data'!$C:$O,5,0)),"")</f>
        <v/>
      </c>
      <c r="I1464" s="55" t="str">
        <f>IFERROR(IF($G1464="","",VLOOKUP('Dashboard And Emails Automate'!$G1464,Database!$H:$N,3,0)),"")</f>
        <v/>
      </c>
      <c r="J1464" s="55" t="str">
        <f>IFERROR(IF($G1464="","",VLOOKUP('Dashboard And Emails Automate'!$G1464,Database!$H:$N,4,0)),"")</f>
        <v/>
      </c>
      <c r="K1464" s="55" t="str">
        <f>IFERROR(IF($G1464="","",VLOOKUP('Dashboard And Emails Automate'!$G1464,Database!$H:$N,5,0)),"")</f>
        <v/>
      </c>
      <c r="L1464" s="55" t="str">
        <f>IFERROR(IF($G1464="","",VLOOKUP('Dashboard And Emails Automate'!$G1464,Database!$H:$N,6,0)),"")</f>
        <v/>
      </c>
      <c r="M1464" s="55" t="str">
        <f>IFERROR(IF($G1464="","",VLOOKUP('Dashboard And Emails Automate'!$G1464,Database!$H:$N,7,0)),"")</f>
        <v/>
      </c>
      <c r="N1464" s="55" t="str">
        <f>IFERROR(IF(OR($B1464="",$B1464="(blank)"),"",VLOOKUP($B1464,'Email Marketing Raw Data'!$C:$O,6,0)),"")</f>
        <v/>
      </c>
      <c r="O1464" s="55" t="str">
        <f>IFERROR(IF(OR($B1464="",$B1464="(blank)"),"",VLOOKUP($B1464,'Email Marketing Raw Data'!$C:$O,7,0)),"")</f>
        <v/>
      </c>
      <c r="P1464" s="55" t="str">
        <f>IFERROR(IF(OR($B1464="",$B1464="(blank)"),"",VLOOKUP($B1464,'Email Marketing Raw Data'!$C:$O,8,0)),"")</f>
        <v/>
      </c>
      <c r="Q1464" s="62" t="str">
        <f>IFERROR(IF(OR($B1464="",$B1464="(blank)"),"",VLOOKUP($B1464,'Email Marketing Raw Data'!$C:$O,9,0)),"")</f>
        <v/>
      </c>
    </row>
    <row r="1465" spans="4:17" ht="12.75" customHeight="1" x14ac:dyDescent="0.2">
      <c r="D1465" s="58" t="str">
        <f>IFERROR(IF(F1465&lt;&gt;"pending","",IF(OR($B1465="",$B1465="(blank)"),"",VLOOKUP($B1465,'Email Marketing Raw Data'!$C:$O,10,0))),"")</f>
        <v/>
      </c>
      <c r="E1465" s="59" t="str">
        <f>IFERROR(IF(F1465&lt;&gt;"pending","",IF(OR($B1465="",$B1465="(blank)"),"",VLOOKUP($B1465,'Email Marketing Raw Data'!$C:$O,11,0))),"")</f>
        <v/>
      </c>
      <c r="F1465" s="54" t="str">
        <f>IFERROR(IF(OR($B1465="",$B1465="(blank)"),"",VLOOKUP($B1465,'Email Marketing Raw Data'!$C:$O,13,0)),"")</f>
        <v/>
      </c>
      <c r="G1465" s="55" t="str">
        <f>IFERROR(IF(OR($B1465="",$B1465="(blank)"),"",VLOOKUP($B1465,'Email Marketing Raw Data'!$C:$O,4,0)),"")</f>
        <v/>
      </c>
      <c r="H1465" s="55" t="str">
        <f>IFERROR(IF(OR($B1465="",$B1465="(blank)"),"",VLOOKUP($B1465,'Email Marketing Raw Data'!$C:$O,5,0)),"")</f>
        <v/>
      </c>
      <c r="I1465" s="55" t="str">
        <f>IFERROR(IF($G1465="","",VLOOKUP('Dashboard And Emails Automate'!$G1465,Database!$H:$N,3,0)),"")</f>
        <v/>
      </c>
      <c r="J1465" s="55" t="str">
        <f>IFERROR(IF($G1465="","",VLOOKUP('Dashboard And Emails Automate'!$G1465,Database!$H:$N,4,0)),"")</f>
        <v/>
      </c>
      <c r="K1465" s="55" t="str">
        <f>IFERROR(IF($G1465="","",VLOOKUP('Dashboard And Emails Automate'!$G1465,Database!$H:$N,5,0)),"")</f>
        <v/>
      </c>
      <c r="L1465" s="55" t="str">
        <f>IFERROR(IF($G1465="","",VLOOKUP('Dashboard And Emails Automate'!$G1465,Database!$H:$N,6,0)),"")</f>
        <v/>
      </c>
      <c r="M1465" s="55" t="str">
        <f>IFERROR(IF($G1465="","",VLOOKUP('Dashboard And Emails Automate'!$G1465,Database!$H:$N,7,0)),"")</f>
        <v/>
      </c>
      <c r="N1465" s="55" t="str">
        <f>IFERROR(IF(OR($B1465="",$B1465="(blank)"),"",VLOOKUP($B1465,'Email Marketing Raw Data'!$C:$O,6,0)),"")</f>
        <v/>
      </c>
      <c r="O1465" s="55" t="str">
        <f>IFERROR(IF(OR($B1465="",$B1465="(blank)"),"",VLOOKUP($B1465,'Email Marketing Raw Data'!$C:$O,7,0)),"")</f>
        <v/>
      </c>
      <c r="P1465" s="55" t="str">
        <f>IFERROR(IF(OR($B1465="",$B1465="(blank)"),"",VLOOKUP($B1465,'Email Marketing Raw Data'!$C:$O,8,0)),"")</f>
        <v/>
      </c>
      <c r="Q1465" s="62" t="str">
        <f>IFERROR(IF(OR($B1465="",$B1465="(blank)"),"",VLOOKUP($B1465,'Email Marketing Raw Data'!$C:$O,9,0)),"")</f>
        <v/>
      </c>
    </row>
    <row r="1466" spans="4:17" ht="12.75" customHeight="1" x14ac:dyDescent="0.2">
      <c r="D1466" s="58" t="str">
        <f>IFERROR(IF(F1466&lt;&gt;"pending","",IF(OR($B1466="",$B1466="(blank)"),"",VLOOKUP($B1466,'Email Marketing Raw Data'!$C:$O,10,0))),"")</f>
        <v/>
      </c>
      <c r="E1466" s="59" t="str">
        <f>IFERROR(IF(F1466&lt;&gt;"pending","",IF(OR($B1466="",$B1466="(blank)"),"",VLOOKUP($B1466,'Email Marketing Raw Data'!$C:$O,11,0))),"")</f>
        <v/>
      </c>
      <c r="F1466" s="54" t="str">
        <f>IFERROR(IF(OR($B1466="",$B1466="(blank)"),"",VLOOKUP($B1466,'Email Marketing Raw Data'!$C:$O,13,0)),"")</f>
        <v/>
      </c>
      <c r="G1466" s="55" t="str">
        <f>IFERROR(IF(OR($B1466="",$B1466="(blank)"),"",VLOOKUP($B1466,'Email Marketing Raw Data'!$C:$O,4,0)),"")</f>
        <v/>
      </c>
      <c r="H1466" s="55" t="str">
        <f>IFERROR(IF(OR($B1466="",$B1466="(blank)"),"",VLOOKUP($B1466,'Email Marketing Raw Data'!$C:$O,5,0)),"")</f>
        <v/>
      </c>
      <c r="I1466" s="55" t="str">
        <f>IFERROR(IF($G1466="","",VLOOKUP('Dashboard And Emails Automate'!$G1466,Database!$H:$N,3,0)),"")</f>
        <v/>
      </c>
      <c r="J1466" s="55" t="str">
        <f>IFERROR(IF($G1466="","",VLOOKUP('Dashboard And Emails Automate'!$G1466,Database!$H:$N,4,0)),"")</f>
        <v/>
      </c>
      <c r="K1466" s="55" t="str">
        <f>IFERROR(IF($G1466="","",VLOOKUP('Dashboard And Emails Automate'!$G1466,Database!$H:$N,5,0)),"")</f>
        <v/>
      </c>
      <c r="L1466" s="55" t="str">
        <f>IFERROR(IF($G1466="","",VLOOKUP('Dashboard And Emails Automate'!$G1466,Database!$H:$N,6,0)),"")</f>
        <v/>
      </c>
      <c r="M1466" s="55" t="str">
        <f>IFERROR(IF($G1466="","",VLOOKUP('Dashboard And Emails Automate'!$G1466,Database!$H:$N,7,0)),"")</f>
        <v/>
      </c>
      <c r="N1466" s="55" t="str">
        <f>IFERROR(IF(OR($B1466="",$B1466="(blank)"),"",VLOOKUP($B1466,'Email Marketing Raw Data'!$C:$O,6,0)),"")</f>
        <v/>
      </c>
      <c r="O1466" s="55" t="str">
        <f>IFERROR(IF(OR($B1466="",$B1466="(blank)"),"",VLOOKUP($B1466,'Email Marketing Raw Data'!$C:$O,7,0)),"")</f>
        <v/>
      </c>
      <c r="P1466" s="55" t="str">
        <f>IFERROR(IF(OR($B1466="",$B1466="(blank)"),"",VLOOKUP($B1466,'Email Marketing Raw Data'!$C:$O,8,0)),"")</f>
        <v/>
      </c>
      <c r="Q1466" s="62" t="str">
        <f>IFERROR(IF(OR($B1466="",$B1466="(blank)"),"",VLOOKUP($B1466,'Email Marketing Raw Data'!$C:$O,9,0)),"")</f>
        <v/>
      </c>
    </row>
    <row r="1467" spans="4:17" ht="12.75" customHeight="1" x14ac:dyDescent="0.2">
      <c r="D1467" s="58" t="str">
        <f>IFERROR(IF(F1467&lt;&gt;"pending","",IF(OR($B1467="",$B1467="(blank)"),"",VLOOKUP($B1467,'Email Marketing Raw Data'!$C:$O,10,0))),"")</f>
        <v/>
      </c>
      <c r="E1467" s="59" t="str">
        <f>IFERROR(IF(F1467&lt;&gt;"pending","",IF(OR($B1467="",$B1467="(blank)"),"",VLOOKUP($B1467,'Email Marketing Raw Data'!$C:$O,11,0))),"")</f>
        <v/>
      </c>
      <c r="F1467" s="54" t="str">
        <f>IFERROR(IF(OR($B1467="",$B1467="(blank)"),"",VLOOKUP($B1467,'Email Marketing Raw Data'!$C:$O,13,0)),"")</f>
        <v/>
      </c>
      <c r="G1467" s="55" t="str">
        <f>IFERROR(IF(OR($B1467="",$B1467="(blank)"),"",VLOOKUP($B1467,'Email Marketing Raw Data'!$C:$O,4,0)),"")</f>
        <v/>
      </c>
      <c r="H1467" s="55" t="str">
        <f>IFERROR(IF(OR($B1467="",$B1467="(blank)"),"",VLOOKUP($B1467,'Email Marketing Raw Data'!$C:$O,5,0)),"")</f>
        <v/>
      </c>
      <c r="I1467" s="55" t="str">
        <f>IFERROR(IF($G1467="","",VLOOKUP('Dashboard And Emails Automate'!$G1467,Database!$H:$N,3,0)),"")</f>
        <v/>
      </c>
      <c r="J1467" s="55" t="str">
        <f>IFERROR(IF($G1467="","",VLOOKUP('Dashboard And Emails Automate'!$G1467,Database!$H:$N,4,0)),"")</f>
        <v/>
      </c>
      <c r="K1467" s="55" t="str">
        <f>IFERROR(IF($G1467="","",VLOOKUP('Dashboard And Emails Automate'!$G1467,Database!$H:$N,5,0)),"")</f>
        <v/>
      </c>
      <c r="L1467" s="55" t="str">
        <f>IFERROR(IF($G1467="","",VLOOKUP('Dashboard And Emails Automate'!$G1467,Database!$H:$N,6,0)),"")</f>
        <v/>
      </c>
      <c r="M1467" s="55" t="str">
        <f>IFERROR(IF($G1467="","",VLOOKUP('Dashboard And Emails Automate'!$G1467,Database!$H:$N,7,0)),"")</f>
        <v/>
      </c>
      <c r="N1467" s="55" t="str">
        <f>IFERROR(IF(OR($B1467="",$B1467="(blank)"),"",VLOOKUP($B1467,'Email Marketing Raw Data'!$C:$O,6,0)),"")</f>
        <v/>
      </c>
      <c r="O1467" s="55" t="str">
        <f>IFERROR(IF(OR($B1467="",$B1467="(blank)"),"",VLOOKUP($B1467,'Email Marketing Raw Data'!$C:$O,7,0)),"")</f>
        <v/>
      </c>
      <c r="P1467" s="55" t="str">
        <f>IFERROR(IF(OR($B1467="",$B1467="(blank)"),"",VLOOKUP($B1467,'Email Marketing Raw Data'!$C:$O,8,0)),"")</f>
        <v/>
      </c>
      <c r="Q1467" s="62" t="str">
        <f>IFERROR(IF(OR($B1467="",$B1467="(blank)"),"",VLOOKUP($B1467,'Email Marketing Raw Data'!$C:$O,9,0)),"")</f>
        <v/>
      </c>
    </row>
    <row r="1468" spans="4:17" ht="12.75" customHeight="1" x14ac:dyDescent="0.2">
      <c r="D1468" s="58" t="str">
        <f>IFERROR(IF(F1468&lt;&gt;"pending","",IF(OR($B1468="",$B1468="(blank)"),"",VLOOKUP($B1468,'Email Marketing Raw Data'!$C:$O,10,0))),"")</f>
        <v/>
      </c>
      <c r="E1468" s="59" t="str">
        <f>IFERROR(IF(F1468&lt;&gt;"pending","",IF(OR($B1468="",$B1468="(blank)"),"",VLOOKUP($B1468,'Email Marketing Raw Data'!$C:$O,11,0))),"")</f>
        <v/>
      </c>
      <c r="F1468" s="54" t="str">
        <f>IFERROR(IF(OR($B1468="",$B1468="(blank)"),"",VLOOKUP($B1468,'Email Marketing Raw Data'!$C:$O,13,0)),"")</f>
        <v/>
      </c>
      <c r="G1468" s="55" t="str">
        <f>IFERROR(IF(OR($B1468="",$B1468="(blank)"),"",VLOOKUP($B1468,'Email Marketing Raw Data'!$C:$O,4,0)),"")</f>
        <v/>
      </c>
      <c r="H1468" s="55" t="str">
        <f>IFERROR(IF(OR($B1468="",$B1468="(blank)"),"",VLOOKUP($B1468,'Email Marketing Raw Data'!$C:$O,5,0)),"")</f>
        <v/>
      </c>
      <c r="I1468" s="55" t="str">
        <f>IFERROR(IF($G1468="","",VLOOKUP('Dashboard And Emails Automate'!$G1468,Database!$H:$N,3,0)),"")</f>
        <v/>
      </c>
      <c r="J1468" s="55" t="str">
        <f>IFERROR(IF($G1468="","",VLOOKUP('Dashboard And Emails Automate'!$G1468,Database!$H:$N,4,0)),"")</f>
        <v/>
      </c>
      <c r="K1468" s="55" t="str">
        <f>IFERROR(IF($G1468="","",VLOOKUP('Dashboard And Emails Automate'!$G1468,Database!$H:$N,5,0)),"")</f>
        <v/>
      </c>
      <c r="L1468" s="55" t="str">
        <f>IFERROR(IF($G1468="","",VLOOKUP('Dashboard And Emails Automate'!$G1468,Database!$H:$N,6,0)),"")</f>
        <v/>
      </c>
      <c r="M1468" s="55" t="str">
        <f>IFERROR(IF($G1468="","",VLOOKUP('Dashboard And Emails Automate'!$G1468,Database!$H:$N,7,0)),"")</f>
        <v/>
      </c>
      <c r="N1468" s="55" t="str">
        <f>IFERROR(IF(OR($B1468="",$B1468="(blank)"),"",VLOOKUP($B1468,'Email Marketing Raw Data'!$C:$O,6,0)),"")</f>
        <v/>
      </c>
      <c r="O1468" s="55" t="str">
        <f>IFERROR(IF(OR($B1468="",$B1468="(blank)"),"",VLOOKUP($B1468,'Email Marketing Raw Data'!$C:$O,7,0)),"")</f>
        <v/>
      </c>
      <c r="P1468" s="55" t="str">
        <f>IFERROR(IF(OR($B1468="",$B1468="(blank)"),"",VLOOKUP($B1468,'Email Marketing Raw Data'!$C:$O,8,0)),"")</f>
        <v/>
      </c>
      <c r="Q1468" s="62" t="str">
        <f>IFERROR(IF(OR($B1468="",$B1468="(blank)"),"",VLOOKUP($B1468,'Email Marketing Raw Data'!$C:$O,9,0)),"")</f>
        <v/>
      </c>
    </row>
    <row r="1469" spans="4:17" ht="12.75" customHeight="1" x14ac:dyDescent="0.2">
      <c r="D1469" s="58" t="str">
        <f>IFERROR(IF(F1469&lt;&gt;"pending","",IF(OR($B1469="",$B1469="(blank)"),"",VLOOKUP($B1469,'Email Marketing Raw Data'!$C:$O,10,0))),"")</f>
        <v/>
      </c>
      <c r="E1469" s="59" t="str">
        <f>IFERROR(IF(F1469&lt;&gt;"pending","",IF(OR($B1469="",$B1469="(blank)"),"",VLOOKUP($B1469,'Email Marketing Raw Data'!$C:$O,11,0))),"")</f>
        <v/>
      </c>
      <c r="F1469" s="54" t="str">
        <f>IFERROR(IF(OR($B1469="",$B1469="(blank)"),"",VLOOKUP($B1469,'Email Marketing Raw Data'!$C:$O,13,0)),"")</f>
        <v/>
      </c>
      <c r="G1469" s="55" t="str">
        <f>IFERROR(IF(OR($B1469="",$B1469="(blank)"),"",VLOOKUP($B1469,'Email Marketing Raw Data'!$C:$O,4,0)),"")</f>
        <v/>
      </c>
      <c r="H1469" s="55" t="str">
        <f>IFERROR(IF(OR($B1469="",$B1469="(blank)"),"",VLOOKUP($B1469,'Email Marketing Raw Data'!$C:$O,5,0)),"")</f>
        <v/>
      </c>
      <c r="I1469" s="55" t="str">
        <f>IFERROR(IF($G1469="","",VLOOKUP('Dashboard And Emails Automate'!$G1469,Database!$H:$N,3,0)),"")</f>
        <v/>
      </c>
      <c r="J1469" s="55" t="str">
        <f>IFERROR(IF($G1469="","",VLOOKUP('Dashboard And Emails Automate'!$G1469,Database!$H:$N,4,0)),"")</f>
        <v/>
      </c>
      <c r="K1469" s="55" t="str">
        <f>IFERROR(IF($G1469="","",VLOOKUP('Dashboard And Emails Automate'!$G1469,Database!$H:$N,5,0)),"")</f>
        <v/>
      </c>
      <c r="L1469" s="55" t="str">
        <f>IFERROR(IF($G1469="","",VLOOKUP('Dashboard And Emails Automate'!$G1469,Database!$H:$N,6,0)),"")</f>
        <v/>
      </c>
      <c r="M1469" s="55" t="str">
        <f>IFERROR(IF($G1469="","",VLOOKUP('Dashboard And Emails Automate'!$G1469,Database!$H:$N,7,0)),"")</f>
        <v/>
      </c>
      <c r="N1469" s="55" t="str">
        <f>IFERROR(IF(OR($B1469="",$B1469="(blank)"),"",VLOOKUP($B1469,'Email Marketing Raw Data'!$C:$O,6,0)),"")</f>
        <v/>
      </c>
      <c r="O1469" s="55" t="str">
        <f>IFERROR(IF(OR($B1469="",$B1469="(blank)"),"",VLOOKUP($B1469,'Email Marketing Raw Data'!$C:$O,7,0)),"")</f>
        <v/>
      </c>
      <c r="P1469" s="55" t="str">
        <f>IFERROR(IF(OR($B1469="",$B1469="(blank)"),"",VLOOKUP($B1469,'Email Marketing Raw Data'!$C:$O,8,0)),"")</f>
        <v/>
      </c>
      <c r="Q1469" s="62" t="str">
        <f>IFERROR(IF(OR($B1469="",$B1469="(blank)"),"",VLOOKUP($B1469,'Email Marketing Raw Data'!$C:$O,9,0)),"")</f>
        <v/>
      </c>
    </row>
    <row r="1470" spans="4:17" ht="12.75" customHeight="1" x14ac:dyDescent="0.2">
      <c r="D1470" s="58" t="str">
        <f>IFERROR(IF(F1470&lt;&gt;"pending","",IF(OR($B1470="",$B1470="(blank)"),"",VLOOKUP($B1470,'Email Marketing Raw Data'!$C:$O,10,0))),"")</f>
        <v/>
      </c>
      <c r="E1470" s="59" t="str">
        <f>IFERROR(IF(F1470&lt;&gt;"pending","",IF(OR($B1470="",$B1470="(blank)"),"",VLOOKUP($B1470,'Email Marketing Raw Data'!$C:$O,11,0))),"")</f>
        <v/>
      </c>
      <c r="F1470" s="54" t="str">
        <f>IFERROR(IF(OR($B1470="",$B1470="(blank)"),"",VLOOKUP($B1470,'Email Marketing Raw Data'!$C:$O,13,0)),"")</f>
        <v/>
      </c>
      <c r="G1470" s="55" t="str">
        <f>IFERROR(IF(OR($B1470="",$B1470="(blank)"),"",VLOOKUP($B1470,'Email Marketing Raw Data'!$C:$O,4,0)),"")</f>
        <v/>
      </c>
      <c r="H1470" s="55" t="str">
        <f>IFERROR(IF(OR($B1470="",$B1470="(blank)"),"",VLOOKUP($B1470,'Email Marketing Raw Data'!$C:$O,5,0)),"")</f>
        <v/>
      </c>
      <c r="I1470" s="55" t="str">
        <f>IFERROR(IF($G1470="","",VLOOKUP('Dashboard And Emails Automate'!$G1470,Database!$H:$N,3,0)),"")</f>
        <v/>
      </c>
      <c r="J1470" s="55" t="str">
        <f>IFERROR(IF($G1470="","",VLOOKUP('Dashboard And Emails Automate'!$G1470,Database!$H:$N,4,0)),"")</f>
        <v/>
      </c>
      <c r="K1470" s="55" t="str">
        <f>IFERROR(IF($G1470="","",VLOOKUP('Dashboard And Emails Automate'!$G1470,Database!$H:$N,5,0)),"")</f>
        <v/>
      </c>
      <c r="L1470" s="55" t="str">
        <f>IFERROR(IF($G1470="","",VLOOKUP('Dashboard And Emails Automate'!$G1470,Database!$H:$N,6,0)),"")</f>
        <v/>
      </c>
      <c r="M1470" s="55" t="str">
        <f>IFERROR(IF($G1470="","",VLOOKUP('Dashboard And Emails Automate'!$G1470,Database!$H:$N,7,0)),"")</f>
        <v/>
      </c>
      <c r="N1470" s="55" t="str">
        <f>IFERROR(IF(OR($B1470="",$B1470="(blank)"),"",VLOOKUP($B1470,'Email Marketing Raw Data'!$C:$O,6,0)),"")</f>
        <v/>
      </c>
      <c r="O1470" s="55" t="str">
        <f>IFERROR(IF(OR($B1470="",$B1470="(blank)"),"",VLOOKUP($B1470,'Email Marketing Raw Data'!$C:$O,7,0)),"")</f>
        <v/>
      </c>
      <c r="P1470" s="55" t="str">
        <f>IFERROR(IF(OR($B1470="",$B1470="(blank)"),"",VLOOKUP($B1470,'Email Marketing Raw Data'!$C:$O,8,0)),"")</f>
        <v/>
      </c>
      <c r="Q1470" s="62" t="str">
        <f>IFERROR(IF(OR($B1470="",$B1470="(blank)"),"",VLOOKUP($B1470,'Email Marketing Raw Data'!$C:$O,9,0)),"")</f>
        <v/>
      </c>
    </row>
    <row r="1471" spans="4:17" ht="12.75" customHeight="1" x14ac:dyDescent="0.2">
      <c r="D1471" s="58" t="str">
        <f>IFERROR(IF(F1471&lt;&gt;"pending","",IF(OR($B1471="",$B1471="(blank)"),"",VLOOKUP($B1471,'Email Marketing Raw Data'!$C:$O,10,0))),"")</f>
        <v/>
      </c>
      <c r="E1471" s="59" t="str">
        <f>IFERROR(IF(F1471&lt;&gt;"pending","",IF(OR($B1471="",$B1471="(blank)"),"",VLOOKUP($B1471,'Email Marketing Raw Data'!$C:$O,11,0))),"")</f>
        <v/>
      </c>
      <c r="F1471" s="54" t="str">
        <f>IFERROR(IF(OR($B1471="",$B1471="(blank)"),"",VLOOKUP($B1471,'Email Marketing Raw Data'!$C:$O,13,0)),"")</f>
        <v/>
      </c>
      <c r="G1471" s="55" t="str">
        <f>IFERROR(IF(OR($B1471="",$B1471="(blank)"),"",VLOOKUP($B1471,'Email Marketing Raw Data'!$C:$O,4,0)),"")</f>
        <v/>
      </c>
      <c r="H1471" s="55" t="str">
        <f>IFERROR(IF(OR($B1471="",$B1471="(blank)"),"",VLOOKUP($B1471,'Email Marketing Raw Data'!$C:$O,5,0)),"")</f>
        <v/>
      </c>
      <c r="I1471" s="55" t="str">
        <f>IFERROR(IF($G1471="","",VLOOKUP('Dashboard And Emails Automate'!$G1471,Database!$H:$N,3,0)),"")</f>
        <v/>
      </c>
      <c r="J1471" s="55" t="str">
        <f>IFERROR(IF($G1471="","",VLOOKUP('Dashboard And Emails Automate'!$G1471,Database!$H:$N,4,0)),"")</f>
        <v/>
      </c>
      <c r="K1471" s="55" t="str">
        <f>IFERROR(IF($G1471="","",VLOOKUP('Dashboard And Emails Automate'!$G1471,Database!$H:$N,5,0)),"")</f>
        <v/>
      </c>
      <c r="L1471" s="55" t="str">
        <f>IFERROR(IF($G1471="","",VLOOKUP('Dashboard And Emails Automate'!$G1471,Database!$H:$N,6,0)),"")</f>
        <v/>
      </c>
      <c r="M1471" s="55" t="str">
        <f>IFERROR(IF($G1471="","",VLOOKUP('Dashboard And Emails Automate'!$G1471,Database!$H:$N,7,0)),"")</f>
        <v/>
      </c>
      <c r="N1471" s="55" t="str">
        <f>IFERROR(IF(OR($B1471="",$B1471="(blank)"),"",VLOOKUP($B1471,'Email Marketing Raw Data'!$C:$O,6,0)),"")</f>
        <v/>
      </c>
      <c r="O1471" s="55" t="str">
        <f>IFERROR(IF(OR($B1471="",$B1471="(blank)"),"",VLOOKUP($B1471,'Email Marketing Raw Data'!$C:$O,7,0)),"")</f>
        <v/>
      </c>
      <c r="P1471" s="55" t="str">
        <f>IFERROR(IF(OR($B1471="",$B1471="(blank)"),"",VLOOKUP($B1471,'Email Marketing Raw Data'!$C:$O,8,0)),"")</f>
        <v/>
      </c>
      <c r="Q1471" s="62" t="str">
        <f>IFERROR(IF(OR($B1471="",$B1471="(blank)"),"",VLOOKUP($B1471,'Email Marketing Raw Data'!$C:$O,9,0)),"")</f>
        <v/>
      </c>
    </row>
    <row r="1472" spans="4:17" ht="12.75" customHeight="1" x14ac:dyDescent="0.2">
      <c r="D1472" s="58" t="str">
        <f>IFERROR(IF(F1472&lt;&gt;"pending","",IF(OR($B1472="",$B1472="(blank)"),"",VLOOKUP($B1472,'Email Marketing Raw Data'!$C:$O,10,0))),"")</f>
        <v/>
      </c>
      <c r="E1472" s="59" t="str">
        <f>IFERROR(IF(F1472&lt;&gt;"pending","",IF(OR($B1472="",$B1472="(blank)"),"",VLOOKUP($B1472,'Email Marketing Raw Data'!$C:$O,11,0))),"")</f>
        <v/>
      </c>
      <c r="F1472" s="54" t="str">
        <f>IFERROR(IF(OR($B1472="",$B1472="(blank)"),"",VLOOKUP($B1472,'Email Marketing Raw Data'!$C:$O,13,0)),"")</f>
        <v/>
      </c>
      <c r="G1472" s="55" t="str">
        <f>IFERROR(IF(OR($B1472="",$B1472="(blank)"),"",VLOOKUP($B1472,'Email Marketing Raw Data'!$C:$O,4,0)),"")</f>
        <v/>
      </c>
      <c r="H1472" s="55" t="str">
        <f>IFERROR(IF(OR($B1472="",$B1472="(blank)"),"",VLOOKUP($B1472,'Email Marketing Raw Data'!$C:$O,5,0)),"")</f>
        <v/>
      </c>
      <c r="I1472" s="55" t="str">
        <f>IFERROR(IF($G1472="","",VLOOKUP('Dashboard And Emails Automate'!$G1472,Database!$H:$N,3,0)),"")</f>
        <v/>
      </c>
      <c r="J1472" s="55" t="str">
        <f>IFERROR(IF($G1472="","",VLOOKUP('Dashboard And Emails Automate'!$G1472,Database!$H:$N,4,0)),"")</f>
        <v/>
      </c>
      <c r="K1472" s="55" t="str">
        <f>IFERROR(IF($G1472="","",VLOOKUP('Dashboard And Emails Automate'!$G1472,Database!$H:$N,5,0)),"")</f>
        <v/>
      </c>
      <c r="L1472" s="55" t="str">
        <f>IFERROR(IF($G1472="","",VLOOKUP('Dashboard And Emails Automate'!$G1472,Database!$H:$N,6,0)),"")</f>
        <v/>
      </c>
      <c r="M1472" s="55" t="str">
        <f>IFERROR(IF($G1472="","",VLOOKUP('Dashboard And Emails Automate'!$G1472,Database!$H:$N,7,0)),"")</f>
        <v/>
      </c>
      <c r="N1472" s="55" t="str">
        <f>IFERROR(IF(OR($B1472="",$B1472="(blank)"),"",VLOOKUP($B1472,'Email Marketing Raw Data'!$C:$O,6,0)),"")</f>
        <v/>
      </c>
      <c r="O1472" s="55" t="str">
        <f>IFERROR(IF(OR($B1472="",$B1472="(blank)"),"",VLOOKUP($B1472,'Email Marketing Raw Data'!$C:$O,7,0)),"")</f>
        <v/>
      </c>
      <c r="P1472" s="55" t="str">
        <f>IFERROR(IF(OR($B1472="",$B1472="(blank)"),"",VLOOKUP($B1472,'Email Marketing Raw Data'!$C:$O,8,0)),"")</f>
        <v/>
      </c>
      <c r="Q1472" s="62" t="str">
        <f>IFERROR(IF(OR($B1472="",$B1472="(blank)"),"",VLOOKUP($B1472,'Email Marketing Raw Data'!$C:$O,9,0)),"")</f>
        <v/>
      </c>
    </row>
    <row r="1473" spans="4:17" ht="12.75" customHeight="1" x14ac:dyDescent="0.2">
      <c r="D1473" s="58" t="str">
        <f>IFERROR(IF(F1473&lt;&gt;"pending","",IF(OR($B1473="",$B1473="(blank)"),"",VLOOKUP($B1473,'Email Marketing Raw Data'!$C:$O,10,0))),"")</f>
        <v/>
      </c>
      <c r="E1473" s="59" t="str">
        <f>IFERROR(IF(F1473&lt;&gt;"pending","",IF(OR($B1473="",$B1473="(blank)"),"",VLOOKUP($B1473,'Email Marketing Raw Data'!$C:$O,11,0))),"")</f>
        <v/>
      </c>
      <c r="F1473" s="54" t="str">
        <f>IFERROR(IF(OR($B1473="",$B1473="(blank)"),"",VLOOKUP($B1473,'Email Marketing Raw Data'!$C:$O,13,0)),"")</f>
        <v/>
      </c>
      <c r="G1473" s="55" t="str">
        <f>IFERROR(IF(OR($B1473="",$B1473="(blank)"),"",VLOOKUP($B1473,'Email Marketing Raw Data'!$C:$O,4,0)),"")</f>
        <v/>
      </c>
      <c r="H1473" s="55" t="str">
        <f>IFERROR(IF(OR($B1473="",$B1473="(blank)"),"",VLOOKUP($B1473,'Email Marketing Raw Data'!$C:$O,5,0)),"")</f>
        <v/>
      </c>
      <c r="I1473" s="55" t="str">
        <f>IFERROR(IF($G1473="","",VLOOKUP('Dashboard And Emails Automate'!$G1473,Database!$H:$N,3,0)),"")</f>
        <v/>
      </c>
      <c r="J1473" s="55" t="str">
        <f>IFERROR(IF($G1473="","",VLOOKUP('Dashboard And Emails Automate'!$G1473,Database!$H:$N,4,0)),"")</f>
        <v/>
      </c>
      <c r="K1473" s="55" t="str">
        <f>IFERROR(IF($G1473="","",VLOOKUP('Dashboard And Emails Automate'!$G1473,Database!$H:$N,5,0)),"")</f>
        <v/>
      </c>
      <c r="L1473" s="55" t="str">
        <f>IFERROR(IF($G1473="","",VLOOKUP('Dashboard And Emails Automate'!$G1473,Database!$H:$N,6,0)),"")</f>
        <v/>
      </c>
      <c r="M1473" s="55" t="str">
        <f>IFERROR(IF($G1473="","",VLOOKUP('Dashboard And Emails Automate'!$G1473,Database!$H:$N,7,0)),"")</f>
        <v/>
      </c>
      <c r="N1473" s="55" t="str">
        <f>IFERROR(IF(OR($B1473="",$B1473="(blank)"),"",VLOOKUP($B1473,'Email Marketing Raw Data'!$C:$O,6,0)),"")</f>
        <v/>
      </c>
      <c r="O1473" s="55" t="str">
        <f>IFERROR(IF(OR($B1473="",$B1473="(blank)"),"",VLOOKUP($B1473,'Email Marketing Raw Data'!$C:$O,7,0)),"")</f>
        <v/>
      </c>
      <c r="P1473" s="55" t="str">
        <f>IFERROR(IF(OR($B1473="",$B1473="(blank)"),"",VLOOKUP($B1473,'Email Marketing Raw Data'!$C:$O,8,0)),"")</f>
        <v/>
      </c>
      <c r="Q1473" s="62" t="str">
        <f>IFERROR(IF(OR($B1473="",$B1473="(blank)"),"",VLOOKUP($B1473,'Email Marketing Raw Data'!$C:$O,9,0)),"")</f>
        <v/>
      </c>
    </row>
    <row r="1474" spans="4:17" ht="12.75" customHeight="1" x14ac:dyDescent="0.2">
      <c r="D1474" s="58" t="str">
        <f>IFERROR(IF(F1474&lt;&gt;"pending","",IF(OR($B1474="",$B1474="(blank)"),"",VLOOKUP($B1474,'Email Marketing Raw Data'!$C:$O,10,0))),"")</f>
        <v/>
      </c>
      <c r="E1474" s="59" t="str">
        <f>IFERROR(IF(F1474&lt;&gt;"pending","",IF(OR($B1474="",$B1474="(blank)"),"",VLOOKUP($B1474,'Email Marketing Raw Data'!$C:$O,11,0))),"")</f>
        <v/>
      </c>
      <c r="F1474" s="54" t="str">
        <f>IFERROR(IF(OR($B1474="",$B1474="(blank)"),"",VLOOKUP($B1474,'Email Marketing Raw Data'!$C:$O,13,0)),"")</f>
        <v/>
      </c>
      <c r="G1474" s="55" t="str">
        <f>IFERROR(IF(OR($B1474="",$B1474="(blank)"),"",VLOOKUP($B1474,'Email Marketing Raw Data'!$C:$O,4,0)),"")</f>
        <v/>
      </c>
      <c r="H1474" s="55" t="str">
        <f>IFERROR(IF(OR($B1474="",$B1474="(blank)"),"",VLOOKUP($B1474,'Email Marketing Raw Data'!$C:$O,5,0)),"")</f>
        <v/>
      </c>
      <c r="I1474" s="55" t="str">
        <f>IFERROR(IF($G1474="","",VLOOKUP('Dashboard And Emails Automate'!$G1474,Database!$H:$N,3,0)),"")</f>
        <v/>
      </c>
      <c r="J1474" s="55" t="str">
        <f>IFERROR(IF($G1474="","",VLOOKUP('Dashboard And Emails Automate'!$G1474,Database!$H:$N,4,0)),"")</f>
        <v/>
      </c>
      <c r="K1474" s="55" t="str">
        <f>IFERROR(IF($G1474="","",VLOOKUP('Dashboard And Emails Automate'!$G1474,Database!$H:$N,5,0)),"")</f>
        <v/>
      </c>
      <c r="L1474" s="55" t="str">
        <f>IFERROR(IF($G1474="","",VLOOKUP('Dashboard And Emails Automate'!$G1474,Database!$H:$N,6,0)),"")</f>
        <v/>
      </c>
      <c r="M1474" s="55" t="str">
        <f>IFERROR(IF($G1474="","",VLOOKUP('Dashboard And Emails Automate'!$G1474,Database!$H:$N,7,0)),"")</f>
        <v/>
      </c>
      <c r="N1474" s="55" t="str">
        <f>IFERROR(IF(OR($B1474="",$B1474="(blank)"),"",VLOOKUP($B1474,'Email Marketing Raw Data'!$C:$O,6,0)),"")</f>
        <v/>
      </c>
      <c r="O1474" s="55" t="str">
        <f>IFERROR(IF(OR($B1474="",$B1474="(blank)"),"",VLOOKUP($B1474,'Email Marketing Raw Data'!$C:$O,7,0)),"")</f>
        <v/>
      </c>
      <c r="P1474" s="55" t="str">
        <f>IFERROR(IF(OR($B1474="",$B1474="(blank)"),"",VLOOKUP($B1474,'Email Marketing Raw Data'!$C:$O,8,0)),"")</f>
        <v/>
      </c>
      <c r="Q1474" s="62" t="str">
        <f>IFERROR(IF(OR($B1474="",$B1474="(blank)"),"",VLOOKUP($B1474,'Email Marketing Raw Data'!$C:$O,9,0)),"")</f>
        <v/>
      </c>
    </row>
    <row r="1475" spans="4:17" ht="12.75" customHeight="1" x14ac:dyDescent="0.2">
      <c r="D1475" s="58" t="str">
        <f>IFERROR(IF(F1475&lt;&gt;"pending","",IF(OR($B1475="",$B1475="(blank)"),"",VLOOKUP($B1475,'Email Marketing Raw Data'!$C:$O,10,0))),"")</f>
        <v/>
      </c>
      <c r="E1475" s="59" t="str">
        <f>IFERROR(IF(F1475&lt;&gt;"pending","",IF(OR($B1475="",$B1475="(blank)"),"",VLOOKUP($B1475,'Email Marketing Raw Data'!$C:$O,11,0))),"")</f>
        <v/>
      </c>
      <c r="F1475" s="54" t="str">
        <f>IFERROR(IF(OR($B1475="",$B1475="(blank)"),"",VLOOKUP($B1475,'Email Marketing Raw Data'!$C:$O,13,0)),"")</f>
        <v/>
      </c>
      <c r="G1475" s="55" t="str">
        <f>IFERROR(IF(OR($B1475="",$B1475="(blank)"),"",VLOOKUP($B1475,'Email Marketing Raw Data'!$C:$O,4,0)),"")</f>
        <v/>
      </c>
      <c r="H1475" s="55" t="str">
        <f>IFERROR(IF(OR($B1475="",$B1475="(blank)"),"",VLOOKUP($B1475,'Email Marketing Raw Data'!$C:$O,5,0)),"")</f>
        <v/>
      </c>
      <c r="I1475" s="55" t="str">
        <f>IFERROR(IF($G1475="","",VLOOKUP('Dashboard And Emails Automate'!$G1475,Database!$H:$N,3,0)),"")</f>
        <v/>
      </c>
      <c r="J1475" s="55" t="str">
        <f>IFERROR(IF($G1475="","",VLOOKUP('Dashboard And Emails Automate'!$G1475,Database!$H:$N,4,0)),"")</f>
        <v/>
      </c>
      <c r="K1475" s="55" t="str">
        <f>IFERROR(IF($G1475="","",VLOOKUP('Dashboard And Emails Automate'!$G1475,Database!$H:$N,5,0)),"")</f>
        <v/>
      </c>
      <c r="L1475" s="55" t="str">
        <f>IFERROR(IF($G1475="","",VLOOKUP('Dashboard And Emails Automate'!$G1475,Database!$H:$N,6,0)),"")</f>
        <v/>
      </c>
      <c r="M1475" s="55" t="str">
        <f>IFERROR(IF($G1475="","",VLOOKUP('Dashboard And Emails Automate'!$G1475,Database!$H:$N,7,0)),"")</f>
        <v/>
      </c>
      <c r="N1475" s="55" t="str">
        <f>IFERROR(IF(OR($B1475="",$B1475="(blank)"),"",VLOOKUP($B1475,'Email Marketing Raw Data'!$C:$O,6,0)),"")</f>
        <v/>
      </c>
      <c r="O1475" s="55" t="str">
        <f>IFERROR(IF(OR($B1475="",$B1475="(blank)"),"",VLOOKUP($B1475,'Email Marketing Raw Data'!$C:$O,7,0)),"")</f>
        <v/>
      </c>
      <c r="P1475" s="55" t="str">
        <f>IFERROR(IF(OR($B1475="",$B1475="(blank)"),"",VLOOKUP($B1475,'Email Marketing Raw Data'!$C:$O,8,0)),"")</f>
        <v/>
      </c>
      <c r="Q1475" s="62" t="str">
        <f>IFERROR(IF(OR($B1475="",$B1475="(blank)"),"",VLOOKUP($B1475,'Email Marketing Raw Data'!$C:$O,9,0)),"")</f>
        <v/>
      </c>
    </row>
    <row r="1476" spans="4:17" ht="12.75" customHeight="1" x14ac:dyDescent="0.2">
      <c r="D1476" s="58" t="str">
        <f>IFERROR(IF(F1476&lt;&gt;"pending","",IF(OR($B1476="",$B1476="(blank)"),"",VLOOKUP($B1476,'Email Marketing Raw Data'!$C:$O,10,0))),"")</f>
        <v/>
      </c>
      <c r="E1476" s="59" t="str">
        <f>IFERROR(IF(F1476&lt;&gt;"pending","",IF(OR($B1476="",$B1476="(blank)"),"",VLOOKUP($B1476,'Email Marketing Raw Data'!$C:$O,11,0))),"")</f>
        <v/>
      </c>
      <c r="F1476" s="54" t="str">
        <f>IFERROR(IF(OR($B1476="",$B1476="(blank)"),"",VLOOKUP($B1476,'Email Marketing Raw Data'!$C:$O,13,0)),"")</f>
        <v/>
      </c>
      <c r="G1476" s="55" t="str">
        <f>IFERROR(IF(OR($B1476="",$B1476="(blank)"),"",VLOOKUP($B1476,'Email Marketing Raw Data'!$C:$O,4,0)),"")</f>
        <v/>
      </c>
      <c r="H1476" s="55" t="str">
        <f>IFERROR(IF(OR($B1476="",$B1476="(blank)"),"",VLOOKUP($B1476,'Email Marketing Raw Data'!$C:$O,5,0)),"")</f>
        <v/>
      </c>
      <c r="I1476" s="55" t="str">
        <f>IFERROR(IF($G1476="","",VLOOKUP('Dashboard And Emails Automate'!$G1476,Database!$H:$N,3,0)),"")</f>
        <v/>
      </c>
      <c r="J1476" s="55" t="str">
        <f>IFERROR(IF($G1476="","",VLOOKUP('Dashboard And Emails Automate'!$G1476,Database!$H:$N,4,0)),"")</f>
        <v/>
      </c>
      <c r="K1476" s="55" t="str">
        <f>IFERROR(IF($G1476="","",VLOOKUP('Dashboard And Emails Automate'!$G1476,Database!$H:$N,5,0)),"")</f>
        <v/>
      </c>
      <c r="L1476" s="55" t="str">
        <f>IFERROR(IF($G1476="","",VLOOKUP('Dashboard And Emails Automate'!$G1476,Database!$H:$N,6,0)),"")</f>
        <v/>
      </c>
      <c r="M1476" s="55" t="str">
        <f>IFERROR(IF($G1476="","",VLOOKUP('Dashboard And Emails Automate'!$G1476,Database!$H:$N,7,0)),"")</f>
        <v/>
      </c>
      <c r="N1476" s="55" t="str">
        <f>IFERROR(IF(OR($B1476="",$B1476="(blank)"),"",VLOOKUP($B1476,'Email Marketing Raw Data'!$C:$O,6,0)),"")</f>
        <v/>
      </c>
      <c r="O1476" s="55" t="str">
        <f>IFERROR(IF(OR($B1476="",$B1476="(blank)"),"",VLOOKUP($B1476,'Email Marketing Raw Data'!$C:$O,7,0)),"")</f>
        <v/>
      </c>
      <c r="P1476" s="55" t="str">
        <f>IFERROR(IF(OR($B1476="",$B1476="(blank)"),"",VLOOKUP($B1476,'Email Marketing Raw Data'!$C:$O,8,0)),"")</f>
        <v/>
      </c>
      <c r="Q1476" s="62" t="str">
        <f>IFERROR(IF(OR($B1476="",$B1476="(blank)"),"",VLOOKUP($B1476,'Email Marketing Raw Data'!$C:$O,9,0)),"")</f>
        <v/>
      </c>
    </row>
    <row r="1477" spans="4:17" ht="12.75" customHeight="1" x14ac:dyDescent="0.2">
      <c r="D1477" s="58" t="str">
        <f>IFERROR(IF(F1477&lt;&gt;"pending","",IF(OR($B1477="",$B1477="(blank)"),"",VLOOKUP($B1477,'Email Marketing Raw Data'!$C:$O,10,0))),"")</f>
        <v/>
      </c>
      <c r="E1477" s="59" t="str">
        <f>IFERROR(IF(F1477&lt;&gt;"pending","",IF(OR($B1477="",$B1477="(blank)"),"",VLOOKUP($B1477,'Email Marketing Raw Data'!$C:$O,11,0))),"")</f>
        <v/>
      </c>
      <c r="F1477" s="54" t="str">
        <f>IFERROR(IF(OR($B1477="",$B1477="(blank)"),"",VLOOKUP($B1477,'Email Marketing Raw Data'!$C:$O,13,0)),"")</f>
        <v/>
      </c>
      <c r="G1477" s="55" t="str">
        <f>IFERROR(IF(OR($B1477="",$B1477="(blank)"),"",VLOOKUP($B1477,'Email Marketing Raw Data'!$C:$O,4,0)),"")</f>
        <v/>
      </c>
      <c r="H1477" s="55" t="str">
        <f>IFERROR(IF(OR($B1477="",$B1477="(blank)"),"",VLOOKUP($B1477,'Email Marketing Raw Data'!$C:$O,5,0)),"")</f>
        <v/>
      </c>
      <c r="I1477" s="55" t="str">
        <f>IFERROR(IF($G1477="","",VLOOKUP('Dashboard And Emails Automate'!$G1477,Database!$H:$N,3,0)),"")</f>
        <v/>
      </c>
      <c r="J1477" s="55" t="str">
        <f>IFERROR(IF($G1477="","",VLOOKUP('Dashboard And Emails Automate'!$G1477,Database!$H:$N,4,0)),"")</f>
        <v/>
      </c>
      <c r="K1477" s="55" t="str">
        <f>IFERROR(IF($G1477="","",VLOOKUP('Dashboard And Emails Automate'!$G1477,Database!$H:$N,5,0)),"")</f>
        <v/>
      </c>
      <c r="L1477" s="55" t="str">
        <f>IFERROR(IF($G1477="","",VLOOKUP('Dashboard And Emails Automate'!$G1477,Database!$H:$N,6,0)),"")</f>
        <v/>
      </c>
      <c r="M1477" s="55" t="str">
        <f>IFERROR(IF($G1477="","",VLOOKUP('Dashboard And Emails Automate'!$G1477,Database!$H:$N,7,0)),"")</f>
        <v/>
      </c>
      <c r="N1477" s="55" t="str">
        <f>IFERROR(IF(OR($B1477="",$B1477="(blank)"),"",VLOOKUP($B1477,'Email Marketing Raw Data'!$C:$O,6,0)),"")</f>
        <v/>
      </c>
      <c r="O1477" s="55" t="str">
        <f>IFERROR(IF(OR($B1477="",$B1477="(blank)"),"",VLOOKUP($B1477,'Email Marketing Raw Data'!$C:$O,7,0)),"")</f>
        <v/>
      </c>
      <c r="P1477" s="55" t="str">
        <f>IFERROR(IF(OR($B1477="",$B1477="(blank)"),"",VLOOKUP($B1477,'Email Marketing Raw Data'!$C:$O,8,0)),"")</f>
        <v/>
      </c>
      <c r="Q1477" s="62" t="str">
        <f>IFERROR(IF(OR($B1477="",$B1477="(blank)"),"",VLOOKUP($B1477,'Email Marketing Raw Data'!$C:$O,9,0)),"")</f>
        <v/>
      </c>
    </row>
    <row r="1478" spans="4:17" ht="12.75" customHeight="1" x14ac:dyDescent="0.2">
      <c r="D1478" s="58" t="str">
        <f>IFERROR(IF(F1478&lt;&gt;"pending","",IF(OR($B1478="",$B1478="(blank)"),"",VLOOKUP($B1478,'Email Marketing Raw Data'!$C:$O,10,0))),"")</f>
        <v/>
      </c>
      <c r="E1478" s="59" t="str">
        <f>IFERROR(IF(F1478&lt;&gt;"pending","",IF(OR($B1478="",$B1478="(blank)"),"",VLOOKUP($B1478,'Email Marketing Raw Data'!$C:$O,11,0))),"")</f>
        <v/>
      </c>
      <c r="F1478" s="54" t="str">
        <f>IFERROR(IF(OR($B1478="",$B1478="(blank)"),"",VLOOKUP($B1478,'Email Marketing Raw Data'!$C:$O,13,0)),"")</f>
        <v/>
      </c>
      <c r="G1478" s="55" t="str">
        <f>IFERROR(IF(OR($B1478="",$B1478="(blank)"),"",VLOOKUP($B1478,'Email Marketing Raw Data'!$C:$O,4,0)),"")</f>
        <v/>
      </c>
      <c r="H1478" s="55" t="str">
        <f>IFERROR(IF(OR($B1478="",$B1478="(blank)"),"",VLOOKUP($B1478,'Email Marketing Raw Data'!$C:$O,5,0)),"")</f>
        <v/>
      </c>
      <c r="I1478" s="55" t="str">
        <f>IFERROR(IF($G1478="","",VLOOKUP('Dashboard And Emails Automate'!$G1478,Database!$H:$N,3,0)),"")</f>
        <v/>
      </c>
      <c r="J1478" s="55" t="str">
        <f>IFERROR(IF($G1478="","",VLOOKUP('Dashboard And Emails Automate'!$G1478,Database!$H:$N,4,0)),"")</f>
        <v/>
      </c>
      <c r="K1478" s="55" t="str">
        <f>IFERROR(IF($G1478="","",VLOOKUP('Dashboard And Emails Automate'!$G1478,Database!$H:$N,5,0)),"")</f>
        <v/>
      </c>
      <c r="L1478" s="55" t="str">
        <f>IFERROR(IF($G1478="","",VLOOKUP('Dashboard And Emails Automate'!$G1478,Database!$H:$N,6,0)),"")</f>
        <v/>
      </c>
      <c r="M1478" s="55" t="str">
        <f>IFERROR(IF($G1478="","",VLOOKUP('Dashboard And Emails Automate'!$G1478,Database!$H:$N,7,0)),"")</f>
        <v/>
      </c>
      <c r="N1478" s="55" t="str">
        <f>IFERROR(IF(OR($B1478="",$B1478="(blank)"),"",VLOOKUP($B1478,'Email Marketing Raw Data'!$C:$O,6,0)),"")</f>
        <v/>
      </c>
      <c r="O1478" s="55" t="str">
        <f>IFERROR(IF(OR($B1478="",$B1478="(blank)"),"",VLOOKUP($B1478,'Email Marketing Raw Data'!$C:$O,7,0)),"")</f>
        <v/>
      </c>
      <c r="P1478" s="55" t="str">
        <f>IFERROR(IF(OR($B1478="",$B1478="(blank)"),"",VLOOKUP($B1478,'Email Marketing Raw Data'!$C:$O,8,0)),"")</f>
        <v/>
      </c>
      <c r="Q1478" s="62" t="str">
        <f>IFERROR(IF(OR($B1478="",$B1478="(blank)"),"",VLOOKUP($B1478,'Email Marketing Raw Data'!$C:$O,9,0)),"")</f>
        <v/>
      </c>
    </row>
    <row r="1479" spans="4:17" ht="12.75" customHeight="1" x14ac:dyDescent="0.2">
      <c r="D1479" s="58" t="str">
        <f>IFERROR(IF(F1479&lt;&gt;"pending","",IF(OR($B1479="",$B1479="(blank)"),"",VLOOKUP($B1479,'Email Marketing Raw Data'!$C:$O,10,0))),"")</f>
        <v/>
      </c>
      <c r="E1479" s="59" t="str">
        <f>IFERROR(IF(F1479&lt;&gt;"pending","",IF(OR($B1479="",$B1479="(blank)"),"",VLOOKUP($B1479,'Email Marketing Raw Data'!$C:$O,11,0))),"")</f>
        <v/>
      </c>
      <c r="F1479" s="54" t="str">
        <f>IFERROR(IF(OR($B1479="",$B1479="(blank)"),"",VLOOKUP($B1479,'Email Marketing Raw Data'!$C:$O,13,0)),"")</f>
        <v/>
      </c>
      <c r="G1479" s="55" t="str">
        <f>IFERROR(IF(OR($B1479="",$B1479="(blank)"),"",VLOOKUP($B1479,'Email Marketing Raw Data'!$C:$O,4,0)),"")</f>
        <v/>
      </c>
      <c r="H1479" s="55" t="str">
        <f>IFERROR(IF(OR($B1479="",$B1479="(blank)"),"",VLOOKUP($B1479,'Email Marketing Raw Data'!$C:$O,5,0)),"")</f>
        <v/>
      </c>
      <c r="I1479" s="55" t="str">
        <f>IFERROR(IF($G1479="","",VLOOKUP('Dashboard And Emails Automate'!$G1479,Database!$H:$N,3,0)),"")</f>
        <v/>
      </c>
      <c r="J1479" s="55" t="str">
        <f>IFERROR(IF($G1479="","",VLOOKUP('Dashboard And Emails Automate'!$G1479,Database!$H:$N,4,0)),"")</f>
        <v/>
      </c>
      <c r="K1479" s="55" t="str">
        <f>IFERROR(IF($G1479="","",VLOOKUP('Dashboard And Emails Automate'!$G1479,Database!$H:$N,5,0)),"")</f>
        <v/>
      </c>
      <c r="L1479" s="55" t="str">
        <f>IFERROR(IF($G1479="","",VLOOKUP('Dashboard And Emails Automate'!$G1479,Database!$H:$N,6,0)),"")</f>
        <v/>
      </c>
      <c r="M1479" s="55" t="str">
        <f>IFERROR(IF($G1479="","",VLOOKUP('Dashboard And Emails Automate'!$G1479,Database!$H:$N,7,0)),"")</f>
        <v/>
      </c>
      <c r="N1479" s="55" t="str">
        <f>IFERROR(IF(OR($B1479="",$B1479="(blank)"),"",VLOOKUP($B1479,'Email Marketing Raw Data'!$C:$O,6,0)),"")</f>
        <v/>
      </c>
      <c r="O1479" s="55" t="str">
        <f>IFERROR(IF(OR($B1479="",$B1479="(blank)"),"",VLOOKUP($B1479,'Email Marketing Raw Data'!$C:$O,7,0)),"")</f>
        <v/>
      </c>
      <c r="P1479" s="55" t="str">
        <f>IFERROR(IF(OR($B1479="",$B1479="(blank)"),"",VLOOKUP($B1479,'Email Marketing Raw Data'!$C:$O,8,0)),"")</f>
        <v/>
      </c>
      <c r="Q1479" s="62" t="str">
        <f>IFERROR(IF(OR($B1479="",$B1479="(blank)"),"",VLOOKUP($B1479,'Email Marketing Raw Data'!$C:$O,9,0)),"")</f>
        <v/>
      </c>
    </row>
    <row r="1480" spans="4:17" ht="12.75" customHeight="1" x14ac:dyDescent="0.2">
      <c r="D1480" s="58" t="str">
        <f>IFERROR(IF(F1480&lt;&gt;"pending","",IF(OR($B1480="",$B1480="(blank)"),"",VLOOKUP($B1480,'Email Marketing Raw Data'!$C:$O,10,0))),"")</f>
        <v/>
      </c>
      <c r="E1480" s="59" t="str">
        <f>IFERROR(IF(F1480&lt;&gt;"pending","",IF(OR($B1480="",$B1480="(blank)"),"",VLOOKUP($B1480,'Email Marketing Raw Data'!$C:$O,11,0))),"")</f>
        <v/>
      </c>
      <c r="F1480" s="54" t="str">
        <f>IFERROR(IF(OR($B1480="",$B1480="(blank)"),"",VLOOKUP($B1480,'Email Marketing Raw Data'!$C:$O,13,0)),"")</f>
        <v/>
      </c>
      <c r="G1480" s="55" t="str">
        <f>IFERROR(IF(OR($B1480="",$B1480="(blank)"),"",VLOOKUP($B1480,'Email Marketing Raw Data'!$C:$O,4,0)),"")</f>
        <v/>
      </c>
      <c r="H1480" s="55" t="str">
        <f>IFERROR(IF(OR($B1480="",$B1480="(blank)"),"",VLOOKUP($B1480,'Email Marketing Raw Data'!$C:$O,5,0)),"")</f>
        <v/>
      </c>
      <c r="I1480" s="55" t="str">
        <f>IFERROR(IF($G1480="","",VLOOKUP('Dashboard And Emails Automate'!$G1480,Database!$H:$N,3,0)),"")</f>
        <v/>
      </c>
      <c r="J1480" s="55" t="str">
        <f>IFERROR(IF($G1480="","",VLOOKUP('Dashboard And Emails Automate'!$G1480,Database!$H:$N,4,0)),"")</f>
        <v/>
      </c>
      <c r="K1480" s="55" t="str">
        <f>IFERROR(IF($G1480="","",VLOOKUP('Dashboard And Emails Automate'!$G1480,Database!$H:$N,5,0)),"")</f>
        <v/>
      </c>
      <c r="L1480" s="55" t="str">
        <f>IFERROR(IF($G1480="","",VLOOKUP('Dashboard And Emails Automate'!$G1480,Database!$H:$N,6,0)),"")</f>
        <v/>
      </c>
      <c r="M1480" s="55" t="str">
        <f>IFERROR(IF($G1480="","",VLOOKUP('Dashboard And Emails Automate'!$G1480,Database!$H:$N,7,0)),"")</f>
        <v/>
      </c>
      <c r="N1480" s="55" t="str">
        <f>IFERROR(IF(OR($B1480="",$B1480="(blank)"),"",VLOOKUP($B1480,'Email Marketing Raw Data'!$C:$O,6,0)),"")</f>
        <v/>
      </c>
      <c r="O1480" s="55" t="str">
        <f>IFERROR(IF(OR($B1480="",$B1480="(blank)"),"",VLOOKUP($B1480,'Email Marketing Raw Data'!$C:$O,7,0)),"")</f>
        <v/>
      </c>
      <c r="P1480" s="55" t="str">
        <f>IFERROR(IF(OR($B1480="",$B1480="(blank)"),"",VLOOKUP($B1480,'Email Marketing Raw Data'!$C:$O,8,0)),"")</f>
        <v/>
      </c>
      <c r="Q1480" s="62" t="str">
        <f>IFERROR(IF(OR($B1480="",$B1480="(blank)"),"",VLOOKUP($B1480,'Email Marketing Raw Data'!$C:$O,9,0)),"")</f>
        <v/>
      </c>
    </row>
    <row r="1481" spans="4:17" ht="12.75" customHeight="1" x14ac:dyDescent="0.2">
      <c r="D1481" s="58" t="str">
        <f>IFERROR(IF(F1481&lt;&gt;"pending","",IF(OR($B1481="",$B1481="(blank)"),"",VLOOKUP($B1481,'Email Marketing Raw Data'!$C:$O,10,0))),"")</f>
        <v/>
      </c>
      <c r="E1481" s="59" t="str">
        <f>IFERROR(IF(F1481&lt;&gt;"pending","",IF(OR($B1481="",$B1481="(blank)"),"",VLOOKUP($B1481,'Email Marketing Raw Data'!$C:$O,11,0))),"")</f>
        <v/>
      </c>
      <c r="F1481" s="54" t="str">
        <f>IFERROR(IF(OR($B1481="",$B1481="(blank)"),"",VLOOKUP($B1481,'Email Marketing Raw Data'!$C:$O,13,0)),"")</f>
        <v/>
      </c>
      <c r="G1481" s="55" t="str">
        <f>IFERROR(IF(OR($B1481="",$B1481="(blank)"),"",VLOOKUP($B1481,'Email Marketing Raw Data'!$C:$O,4,0)),"")</f>
        <v/>
      </c>
      <c r="H1481" s="55" t="str">
        <f>IFERROR(IF(OR($B1481="",$B1481="(blank)"),"",VLOOKUP($B1481,'Email Marketing Raw Data'!$C:$O,5,0)),"")</f>
        <v/>
      </c>
      <c r="I1481" s="55" t="str">
        <f>IFERROR(IF($G1481="","",VLOOKUP('Dashboard And Emails Automate'!$G1481,Database!$H:$N,3,0)),"")</f>
        <v/>
      </c>
      <c r="J1481" s="55" t="str">
        <f>IFERROR(IF($G1481="","",VLOOKUP('Dashboard And Emails Automate'!$G1481,Database!$H:$N,4,0)),"")</f>
        <v/>
      </c>
      <c r="K1481" s="55" t="str">
        <f>IFERROR(IF($G1481="","",VLOOKUP('Dashboard And Emails Automate'!$G1481,Database!$H:$N,5,0)),"")</f>
        <v/>
      </c>
      <c r="L1481" s="55" t="str">
        <f>IFERROR(IF($G1481="","",VLOOKUP('Dashboard And Emails Automate'!$G1481,Database!$H:$N,6,0)),"")</f>
        <v/>
      </c>
      <c r="M1481" s="55" t="str">
        <f>IFERROR(IF($G1481="","",VLOOKUP('Dashboard And Emails Automate'!$G1481,Database!$H:$N,7,0)),"")</f>
        <v/>
      </c>
      <c r="N1481" s="55" t="str">
        <f>IFERROR(IF(OR($B1481="",$B1481="(blank)"),"",VLOOKUP($B1481,'Email Marketing Raw Data'!$C:$O,6,0)),"")</f>
        <v/>
      </c>
      <c r="O1481" s="55" t="str">
        <f>IFERROR(IF(OR($B1481="",$B1481="(blank)"),"",VLOOKUP($B1481,'Email Marketing Raw Data'!$C:$O,7,0)),"")</f>
        <v/>
      </c>
      <c r="P1481" s="55" t="str">
        <f>IFERROR(IF(OR($B1481="",$B1481="(blank)"),"",VLOOKUP($B1481,'Email Marketing Raw Data'!$C:$O,8,0)),"")</f>
        <v/>
      </c>
      <c r="Q1481" s="62" t="str">
        <f>IFERROR(IF(OR($B1481="",$B1481="(blank)"),"",VLOOKUP($B1481,'Email Marketing Raw Data'!$C:$O,9,0)),"")</f>
        <v/>
      </c>
    </row>
    <row r="1482" spans="4:17" ht="12.75" customHeight="1" x14ac:dyDescent="0.2">
      <c r="D1482" s="58" t="str">
        <f>IFERROR(IF(F1482&lt;&gt;"pending","",IF(OR($B1482="",$B1482="(blank)"),"",VLOOKUP($B1482,'Email Marketing Raw Data'!$C:$O,10,0))),"")</f>
        <v/>
      </c>
      <c r="E1482" s="59" t="str">
        <f>IFERROR(IF(F1482&lt;&gt;"pending","",IF(OR($B1482="",$B1482="(blank)"),"",VLOOKUP($B1482,'Email Marketing Raw Data'!$C:$O,11,0))),"")</f>
        <v/>
      </c>
      <c r="F1482" s="54" t="str">
        <f>IFERROR(IF(OR($B1482="",$B1482="(blank)"),"",VLOOKUP($B1482,'Email Marketing Raw Data'!$C:$O,13,0)),"")</f>
        <v/>
      </c>
      <c r="G1482" s="55" t="str">
        <f>IFERROR(IF(OR($B1482="",$B1482="(blank)"),"",VLOOKUP($B1482,'Email Marketing Raw Data'!$C:$O,4,0)),"")</f>
        <v/>
      </c>
      <c r="H1482" s="55" t="str">
        <f>IFERROR(IF(OR($B1482="",$B1482="(blank)"),"",VLOOKUP($B1482,'Email Marketing Raw Data'!$C:$O,5,0)),"")</f>
        <v/>
      </c>
      <c r="I1482" s="55" t="str">
        <f>IFERROR(IF($G1482="","",VLOOKUP('Dashboard And Emails Automate'!$G1482,Database!$H:$N,3,0)),"")</f>
        <v/>
      </c>
      <c r="J1482" s="55" t="str">
        <f>IFERROR(IF($G1482="","",VLOOKUP('Dashboard And Emails Automate'!$G1482,Database!$H:$N,4,0)),"")</f>
        <v/>
      </c>
      <c r="K1482" s="55" t="str">
        <f>IFERROR(IF($G1482="","",VLOOKUP('Dashboard And Emails Automate'!$G1482,Database!$H:$N,5,0)),"")</f>
        <v/>
      </c>
      <c r="L1482" s="55" t="str">
        <f>IFERROR(IF($G1482="","",VLOOKUP('Dashboard And Emails Automate'!$G1482,Database!$H:$N,6,0)),"")</f>
        <v/>
      </c>
      <c r="M1482" s="55" t="str">
        <f>IFERROR(IF($G1482="","",VLOOKUP('Dashboard And Emails Automate'!$G1482,Database!$H:$N,7,0)),"")</f>
        <v/>
      </c>
      <c r="N1482" s="55" t="str">
        <f>IFERROR(IF(OR($B1482="",$B1482="(blank)"),"",VLOOKUP($B1482,'Email Marketing Raw Data'!$C:$O,6,0)),"")</f>
        <v/>
      </c>
      <c r="O1482" s="55" t="str">
        <f>IFERROR(IF(OR($B1482="",$B1482="(blank)"),"",VLOOKUP($B1482,'Email Marketing Raw Data'!$C:$O,7,0)),"")</f>
        <v/>
      </c>
      <c r="P1482" s="55" t="str">
        <f>IFERROR(IF(OR($B1482="",$B1482="(blank)"),"",VLOOKUP($B1482,'Email Marketing Raw Data'!$C:$O,8,0)),"")</f>
        <v/>
      </c>
      <c r="Q1482" s="62" t="str">
        <f>IFERROR(IF(OR($B1482="",$B1482="(blank)"),"",VLOOKUP($B1482,'Email Marketing Raw Data'!$C:$O,9,0)),"")</f>
        <v/>
      </c>
    </row>
    <row r="1483" spans="4:17" ht="12.75" customHeight="1" x14ac:dyDescent="0.2">
      <c r="D1483" s="58" t="str">
        <f>IFERROR(IF(F1483&lt;&gt;"pending","",IF(OR($B1483="",$B1483="(blank)"),"",VLOOKUP($B1483,'Email Marketing Raw Data'!$C:$O,10,0))),"")</f>
        <v/>
      </c>
      <c r="E1483" s="59" t="str">
        <f>IFERROR(IF(F1483&lt;&gt;"pending","",IF(OR($B1483="",$B1483="(blank)"),"",VLOOKUP($B1483,'Email Marketing Raw Data'!$C:$O,11,0))),"")</f>
        <v/>
      </c>
      <c r="F1483" s="54" t="str">
        <f>IFERROR(IF(OR($B1483="",$B1483="(blank)"),"",VLOOKUP($B1483,'Email Marketing Raw Data'!$C:$O,13,0)),"")</f>
        <v/>
      </c>
      <c r="G1483" s="55" t="str">
        <f>IFERROR(IF(OR($B1483="",$B1483="(blank)"),"",VLOOKUP($B1483,'Email Marketing Raw Data'!$C:$O,4,0)),"")</f>
        <v/>
      </c>
      <c r="H1483" s="55" t="str">
        <f>IFERROR(IF(OR($B1483="",$B1483="(blank)"),"",VLOOKUP($B1483,'Email Marketing Raw Data'!$C:$O,5,0)),"")</f>
        <v/>
      </c>
      <c r="I1483" s="55" t="str">
        <f>IFERROR(IF($G1483="","",VLOOKUP('Dashboard And Emails Automate'!$G1483,Database!$H:$N,3,0)),"")</f>
        <v/>
      </c>
      <c r="J1483" s="55" t="str">
        <f>IFERROR(IF($G1483="","",VLOOKUP('Dashboard And Emails Automate'!$G1483,Database!$H:$N,4,0)),"")</f>
        <v/>
      </c>
      <c r="K1483" s="55" t="str">
        <f>IFERROR(IF($G1483="","",VLOOKUP('Dashboard And Emails Automate'!$G1483,Database!$H:$N,5,0)),"")</f>
        <v/>
      </c>
      <c r="L1483" s="55" t="str">
        <f>IFERROR(IF($G1483="","",VLOOKUP('Dashboard And Emails Automate'!$G1483,Database!$H:$N,6,0)),"")</f>
        <v/>
      </c>
      <c r="M1483" s="55" t="str">
        <f>IFERROR(IF($G1483="","",VLOOKUP('Dashboard And Emails Automate'!$G1483,Database!$H:$N,7,0)),"")</f>
        <v/>
      </c>
      <c r="N1483" s="55" t="str">
        <f>IFERROR(IF(OR($B1483="",$B1483="(blank)"),"",VLOOKUP($B1483,'Email Marketing Raw Data'!$C:$O,6,0)),"")</f>
        <v/>
      </c>
      <c r="O1483" s="55" t="str">
        <f>IFERROR(IF(OR($B1483="",$B1483="(blank)"),"",VLOOKUP($B1483,'Email Marketing Raw Data'!$C:$O,7,0)),"")</f>
        <v/>
      </c>
      <c r="P1483" s="55" t="str">
        <f>IFERROR(IF(OR($B1483="",$B1483="(blank)"),"",VLOOKUP($B1483,'Email Marketing Raw Data'!$C:$O,8,0)),"")</f>
        <v/>
      </c>
      <c r="Q1483" s="62" t="str">
        <f>IFERROR(IF(OR($B1483="",$B1483="(blank)"),"",VLOOKUP($B1483,'Email Marketing Raw Data'!$C:$O,9,0)),"")</f>
        <v/>
      </c>
    </row>
    <row r="1484" spans="4:17" ht="12.75" customHeight="1" x14ac:dyDescent="0.2">
      <c r="D1484" s="58" t="str">
        <f>IFERROR(IF(F1484&lt;&gt;"pending","",IF(OR($B1484="",$B1484="(blank)"),"",VLOOKUP($B1484,'Email Marketing Raw Data'!$C:$O,10,0))),"")</f>
        <v/>
      </c>
      <c r="E1484" s="59" t="str">
        <f>IFERROR(IF(F1484&lt;&gt;"pending","",IF(OR($B1484="",$B1484="(blank)"),"",VLOOKUP($B1484,'Email Marketing Raw Data'!$C:$O,11,0))),"")</f>
        <v/>
      </c>
      <c r="F1484" s="54" t="str">
        <f>IFERROR(IF(OR($B1484="",$B1484="(blank)"),"",VLOOKUP($B1484,'Email Marketing Raw Data'!$C:$O,13,0)),"")</f>
        <v/>
      </c>
      <c r="G1484" s="55" t="str">
        <f>IFERROR(IF(OR($B1484="",$B1484="(blank)"),"",VLOOKUP($B1484,'Email Marketing Raw Data'!$C:$O,4,0)),"")</f>
        <v/>
      </c>
      <c r="H1484" s="55" t="str">
        <f>IFERROR(IF(OR($B1484="",$B1484="(blank)"),"",VLOOKUP($B1484,'Email Marketing Raw Data'!$C:$O,5,0)),"")</f>
        <v/>
      </c>
      <c r="I1484" s="55" t="str">
        <f>IFERROR(IF($G1484="","",VLOOKUP('Dashboard And Emails Automate'!$G1484,Database!$H:$N,3,0)),"")</f>
        <v/>
      </c>
      <c r="J1484" s="55" t="str">
        <f>IFERROR(IF($G1484="","",VLOOKUP('Dashboard And Emails Automate'!$G1484,Database!$H:$N,4,0)),"")</f>
        <v/>
      </c>
      <c r="K1484" s="55" t="str">
        <f>IFERROR(IF($G1484="","",VLOOKUP('Dashboard And Emails Automate'!$G1484,Database!$H:$N,5,0)),"")</f>
        <v/>
      </c>
      <c r="L1484" s="55" t="str">
        <f>IFERROR(IF($G1484="","",VLOOKUP('Dashboard And Emails Automate'!$G1484,Database!$H:$N,6,0)),"")</f>
        <v/>
      </c>
      <c r="M1484" s="55" t="str">
        <f>IFERROR(IF($G1484="","",VLOOKUP('Dashboard And Emails Automate'!$G1484,Database!$H:$N,7,0)),"")</f>
        <v/>
      </c>
      <c r="N1484" s="55" t="str">
        <f>IFERROR(IF(OR($B1484="",$B1484="(blank)"),"",VLOOKUP($B1484,'Email Marketing Raw Data'!$C:$O,6,0)),"")</f>
        <v/>
      </c>
      <c r="O1484" s="55" t="str">
        <f>IFERROR(IF(OR($B1484="",$B1484="(blank)"),"",VLOOKUP($B1484,'Email Marketing Raw Data'!$C:$O,7,0)),"")</f>
        <v/>
      </c>
      <c r="P1484" s="55" t="str">
        <f>IFERROR(IF(OR($B1484="",$B1484="(blank)"),"",VLOOKUP($B1484,'Email Marketing Raw Data'!$C:$O,8,0)),"")</f>
        <v/>
      </c>
      <c r="Q1484" s="62" t="str">
        <f>IFERROR(IF(OR($B1484="",$B1484="(blank)"),"",VLOOKUP($B1484,'Email Marketing Raw Data'!$C:$O,9,0)),"")</f>
        <v/>
      </c>
    </row>
    <row r="1485" spans="4:17" ht="12.75" customHeight="1" x14ac:dyDescent="0.2">
      <c r="D1485" s="58" t="str">
        <f>IFERROR(IF(F1485&lt;&gt;"pending","",IF(OR($B1485="",$B1485="(blank)"),"",VLOOKUP($B1485,'Email Marketing Raw Data'!$C:$O,10,0))),"")</f>
        <v/>
      </c>
      <c r="E1485" s="59" t="str">
        <f>IFERROR(IF(F1485&lt;&gt;"pending","",IF(OR($B1485="",$B1485="(blank)"),"",VLOOKUP($B1485,'Email Marketing Raw Data'!$C:$O,11,0))),"")</f>
        <v/>
      </c>
      <c r="F1485" s="54" t="str">
        <f>IFERROR(IF(OR($B1485="",$B1485="(blank)"),"",VLOOKUP($B1485,'Email Marketing Raw Data'!$C:$O,13,0)),"")</f>
        <v/>
      </c>
      <c r="G1485" s="55" t="str">
        <f>IFERROR(IF(OR($B1485="",$B1485="(blank)"),"",VLOOKUP($B1485,'Email Marketing Raw Data'!$C:$O,4,0)),"")</f>
        <v/>
      </c>
      <c r="H1485" s="55" t="str">
        <f>IFERROR(IF(OR($B1485="",$B1485="(blank)"),"",VLOOKUP($B1485,'Email Marketing Raw Data'!$C:$O,5,0)),"")</f>
        <v/>
      </c>
      <c r="I1485" s="55" t="str">
        <f>IFERROR(IF($G1485="","",VLOOKUP('Dashboard And Emails Automate'!$G1485,Database!$H:$N,3,0)),"")</f>
        <v/>
      </c>
      <c r="J1485" s="55" t="str">
        <f>IFERROR(IF($G1485="","",VLOOKUP('Dashboard And Emails Automate'!$G1485,Database!$H:$N,4,0)),"")</f>
        <v/>
      </c>
      <c r="K1485" s="55" t="str">
        <f>IFERROR(IF($G1485="","",VLOOKUP('Dashboard And Emails Automate'!$G1485,Database!$H:$N,5,0)),"")</f>
        <v/>
      </c>
      <c r="L1485" s="55" t="str">
        <f>IFERROR(IF($G1485="","",VLOOKUP('Dashboard And Emails Automate'!$G1485,Database!$H:$N,6,0)),"")</f>
        <v/>
      </c>
      <c r="M1485" s="55" t="str">
        <f>IFERROR(IF($G1485="","",VLOOKUP('Dashboard And Emails Automate'!$G1485,Database!$H:$N,7,0)),"")</f>
        <v/>
      </c>
      <c r="N1485" s="55" t="str">
        <f>IFERROR(IF(OR($B1485="",$B1485="(blank)"),"",VLOOKUP($B1485,'Email Marketing Raw Data'!$C:$O,6,0)),"")</f>
        <v/>
      </c>
      <c r="O1485" s="55" t="str">
        <f>IFERROR(IF(OR($B1485="",$B1485="(blank)"),"",VLOOKUP($B1485,'Email Marketing Raw Data'!$C:$O,7,0)),"")</f>
        <v/>
      </c>
      <c r="P1485" s="55" t="str">
        <f>IFERROR(IF(OR($B1485="",$B1485="(blank)"),"",VLOOKUP($B1485,'Email Marketing Raw Data'!$C:$O,8,0)),"")</f>
        <v/>
      </c>
      <c r="Q1485" s="62" t="str">
        <f>IFERROR(IF(OR($B1485="",$B1485="(blank)"),"",VLOOKUP($B1485,'Email Marketing Raw Data'!$C:$O,9,0)),"")</f>
        <v/>
      </c>
    </row>
    <row r="1486" spans="4:17" ht="12.75" customHeight="1" x14ac:dyDescent="0.2">
      <c r="D1486" s="58" t="str">
        <f>IFERROR(IF(F1486&lt;&gt;"pending","",IF(OR($B1486="",$B1486="(blank)"),"",VLOOKUP($B1486,'Email Marketing Raw Data'!$C:$O,10,0))),"")</f>
        <v/>
      </c>
      <c r="E1486" s="59" t="str">
        <f>IFERROR(IF(F1486&lt;&gt;"pending","",IF(OR($B1486="",$B1486="(blank)"),"",VLOOKUP($B1486,'Email Marketing Raw Data'!$C:$O,11,0))),"")</f>
        <v/>
      </c>
      <c r="F1486" s="54" t="str">
        <f>IFERROR(IF(OR($B1486="",$B1486="(blank)"),"",VLOOKUP($B1486,'Email Marketing Raw Data'!$C:$O,13,0)),"")</f>
        <v/>
      </c>
      <c r="G1486" s="55" t="str">
        <f>IFERROR(IF(OR($B1486="",$B1486="(blank)"),"",VLOOKUP($B1486,'Email Marketing Raw Data'!$C:$O,4,0)),"")</f>
        <v/>
      </c>
      <c r="H1486" s="55" t="str">
        <f>IFERROR(IF(OR($B1486="",$B1486="(blank)"),"",VLOOKUP($B1486,'Email Marketing Raw Data'!$C:$O,5,0)),"")</f>
        <v/>
      </c>
      <c r="I1486" s="55" t="str">
        <f>IFERROR(IF($G1486="","",VLOOKUP('Dashboard And Emails Automate'!$G1486,Database!$H:$N,3,0)),"")</f>
        <v/>
      </c>
      <c r="J1486" s="55" t="str">
        <f>IFERROR(IF($G1486="","",VLOOKUP('Dashboard And Emails Automate'!$G1486,Database!$H:$N,4,0)),"")</f>
        <v/>
      </c>
      <c r="K1486" s="55" t="str">
        <f>IFERROR(IF($G1486="","",VLOOKUP('Dashboard And Emails Automate'!$G1486,Database!$H:$N,5,0)),"")</f>
        <v/>
      </c>
      <c r="L1486" s="55" t="str">
        <f>IFERROR(IF($G1486="","",VLOOKUP('Dashboard And Emails Automate'!$G1486,Database!$H:$N,6,0)),"")</f>
        <v/>
      </c>
      <c r="M1486" s="55" t="str">
        <f>IFERROR(IF($G1486="","",VLOOKUP('Dashboard And Emails Automate'!$G1486,Database!$H:$N,7,0)),"")</f>
        <v/>
      </c>
      <c r="N1486" s="55" t="str">
        <f>IFERROR(IF(OR($B1486="",$B1486="(blank)"),"",VLOOKUP($B1486,'Email Marketing Raw Data'!$C:$O,6,0)),"")</f>
        <v/>
      </c>
      <c r="O1486" s="55" t="str">
        <f>IFERROR(IF(OR($B1486="",$B1486="(blank)"),"",VLOOKUP($B1486,'Email Marketing Raw Data'!$C:$O,7,0)),"")</f>
        <v/>
      </c>
      <c r="P1486" s="55" t="str">
        <f>IFERROR(IF(OR($B1486="",$B1486="(blank)"),"",VLOOKUP($B1486,'Email Marketing Raw Data'!$C:$O,8,0)),"")</f>
        <v/>
      </c>
      <c r="Q1486" s="62" t="str">
        <f>IFERROR(IF(OR($B1486="",$B1486="(blank)"),"",VLOOKUP($B1486,'Email Marketing Raw Data'!$C:$O,9,0)),"")</f>
        <v/>
      </c>
    </row>
    <row r="1487" spans="4:17" ht="12.75" customHeight="1" x14ac:dyDescent="0.2">
      <c r="D1487" s="58" t="str">
        <f>IFERROR(IF(F1487&lt;&gt;"pending","",IF(OR($B1487="",$B1487="(blank)"),"",VLOOKUP($B1487,'Email Marketing Raw Data'!$C:$O,10,0))),"")</f>
        <v/>
      </c>
      <c r="E1487" s="59" t="str">
        <f>IFERROR(IF(F1487&lt;&gt;"pending","",IF(OR($B1487="",$B1487="(blank)"),"",VLOOKUP($B1487,'Email Marketing Raw Data'!$C:$O,11,0))),"")</f>
        <v/>
      </c>
      <c r="F1487" s="54" t="str">
        <f>IFERROR(IF(OR($B1487="",$B1487="(blank)"),"",VLOOKUP($B1487,'Email Marketing Raw Data'!$C:$O,13,0)),"")</f>
        <v/>
      </c>
      <c r="G1487" s="55" t="str">
        <f>IFERROR(IF(OR($B1487="",$B1487="(blank)"),"",VLOOKUP($B1487,'Email Marketing Raw Data'!$C:$O,4,0)),"")</f>
        <v/>
      </c>
      <c r="H1487" s="55" t="str">
        <f>IFERROR(IF(OR($B1487="",$B1487="(blank)"),"",VLOOKUP($B1487,'Email Marketing Raw Data'!$C:$O,5,0)),"")</f>
        <v/>
      </c>
      <c r="I1487" s="55" t="str">
        <f>IFERROR(IF($G1487="","",VLOOKUP('Dashboard And Emails Automate'!$G1487,Database!$H:$N,3,0)),"")</f>
        <v/>
      </c>
      <c r="J1487" s="55" t="str">
        <f>IFERROR(IF($G1487="","",VLOOKUP('Dashboard And Emails Automate'!$G1487,Database!$H:$N,4,0)),"")</f>
        <v/>
      </c>
      <c r="K1487" s="55" t="str">
        <f>IFERROR(IF($G1487="","",VLOOKUP('Dashboard And Emails Automate'!$G1487,Database!$H:$N,5,0)),"")</f>
        <v/>
      </c>
      <c r="L1487" s="55" t="str">
        <f>IFERROR(IF($G1487="","",VLOOKUP('Dashboard And Emails Automate'!$G1487,Database!$H:$N,6,0)),"")</f>
        <v/>
      </c>
      <c r="M1487" s="55" t="str">
        <f>IFERROR(IF($G1487="","",VLOOKUP('Dashboard And Emails Automate'!$G1487,Database!$H:$N,7,0)),"")</f>
        <v/>
      </c>
      <c r="N1487" s="55" t="str">
        <f>IFERROR(IF(OR($B1487="",$B1487="(blank)"),"",VLOOKUP($B1487,'Email Marketing Raw Data'!$C:$O,6,0)),"")</f>
        <v/>
      </c>
      <c r="O1487" s="55" t="str">
        <f>IFERROR(IF(OR($B1487="",$B1487="(blank)"),"",VLOOKUP($B1487,'Email Marketing Raw Data'!$C:$O,7,0)),"")</f>
        <v/>
      </c>
      <c r="P1487" s="55" t="str">
        <f>IFERROR(IF(OR($B1487="",$B1487="(blank)"),"",VLOOKUP($B1487,'Email Marketing Raw Data'!$C:$O,8,0)),"")</f>
        <v/>
      </c>
      <c r="Q1487" s="62" t="str">
        <f>IFERROR(IF(OR($B1487="",$B1487="(blank)"),"",VLOOKUP($B1487,'Email Marketing Raw Data'!$C:$O,9,0)),"")</f>
        <v/>
      </c>
    </row>
    <row r="1488" spans="4:17" ht="12.75" customHeight="1" x14ac:dyDescent="0.2">
      <c r="D1488" s="58" t="str">
        <f>IFERROR(IF(F1488&lt;&gt;"pending","",IF(OR($B1488="",$B1488="(blank)"),"",VLOOKUP($B1488,'Email Marketing Raw Data'!$C:$O,10,0))),"")</f>
        <v/>
      </c>
      <c r="E1488" s="59" t="str">
        <f>IFERROR(IF(F1488&lt;&gt;"pending","",IF(OR($B1488="",$B1488="(blank)"),"",VLOOKUP($B1488,'Email Marketing Raw Data'!$C:$O,11,0))),"")</f>
        <v/>
      </c>
      <c r="F1488" s="54" t="str">
        <f>IFERROR(IF(OR($B1488="",$B1488="(blank)"),"",VLOOKUP($B1488,'Email Marketing Raw Data'!$C:$O,13,0)),"")</f>
        <v/>
      </c>
      <c r="G1488" s="55" t="str">
        <f>IFERROR(IF(OR($B1488="",$B1488="(blank)"),"",VLOOKUP($B1488,'Email Marketing Raw Data'!$C:$O,4,0)),"")</f>
        <v/>
      </c>
      <c r="H1488" s="55" t="str">
        <f>IFERROR(IF(OR($B1488="",$B1488="(blank)"),"",VLOOKUP($B1488,'Email Marketing Raw Data'!$C:$O,5,0)),"")</f>
        <v/>
      </c>
      <c r="I1488" s="55" t="str">
        <f>IFERROR(IF($G1488="","",VLOOKUP('Dashboard And Emails Automate'!$G1488,Database!$H:$N,3,0)),"")</f>
        <v/>
      </c>
      <c r="J1488" s="55" t="str">
        <f>IFERROR(IF($G1488="","",VLOOKUP('Dashboard And Emails Automate'!$G1488,Database!$H:$N,4,0)),"")</f>
        <v/>
      </c>
      <c r="K1488" s="55" t="str">
        <f>IFERROR(IF($G1488="","",VLOOKUP('Dashboard And Emails Automate'!$G1488,Database!$H:$N,5,0)),"")</f>
        <v/>
      </c>
      <c r="L1488" s="55" t="str">
        <f>IFERROR(IF($G1488="","",VLOOKUP('Dashboard And Emails Automate'!$G1488,Database!$H:$N,6,0)),"")</f>
        <v/>
      </c>
      <c r="M1488" s="55" t="str">
        <f>IFERROR(IF($G1488="","",VLOOKUP('Dashboard And Emails Automate'!$G1488,Database!$H:$N,7,0)),"")</f>
        <v/>
      </c>
      <c r="N1488" s="55" t="str">
        <f>IFERROR(IF(OR($B1488="",$B1488="(blank)"),"",VLOOKUP($B1488,'Email Marketing Raw Data'!$C:$O,6,0)),"")</f>
        <v/>
      </c>
      <c r="O1488" s="55" t="str">
        <f>IFERROR(IF(OR($B1488="",$B1488="(blank)"),"",VLOOKUP($B1488,'Email Marketing Raw Data'!$C:$O,7,0)),"")</f>
        <v/>
      </c>
      <c r="P1488" s="55" t="str">
        <f>IFERROR(IF(OR($B1488="",$B1488="(blank)"),"",VLOOKUP($B1488,'Email Marketing Raw Data'!$C:$O,8,0)),"")</f>
        <v/>
      </c>
      <c r="Q1488" s="62" t="str">
        <f>IFERROR(IF(OR($B1488="",$B1488="(blank)"),"",VLOOKUP($B1488,'Email Marketing Raw Data'!$C:$O,9,0)),"")</f>
        <v/>
      </c>
    </row>
    <row r="1489" spans="4:17" ht="12.75" customHeight="1" x14ac:dyDescent="0.2">
      <c r="D1489" s="58" t="str">
        <f>IFERROR(IF(F1489&lt;&gt;"pending","",IF(OR($B1489="",$B1489="(blank)"),"",VLOOKUP($B1489,'Email Marketing Raw Data'!$C:$O,10,0))),"")</f>
        <v/>
      </c>
      <c r="E1489" s="59" t="str">
        <f>IFERROR(IF(F1489&lt;&gt;"pending","",IF(OR($B1489="",$B1489="(blank)"),"",VLOOKUP($B1489,'Email Marketing Raw Data'!$C:$O,11,0))),"")</f>
        <v/>
      </c>
      <c r="F1489" s="54" t="str">
        <f>IFERROR(IF(OR($B1489="",$B1489="(blank)"),"",VLOOKUP($B1489,'Email Marketing Raw Data'!$C:$O,13,0)),"")</f>
        <v/>
      </c>
      <c r="G1489" s="55" t="str">
        <f>IFERROR(IF(OR($B1489="",$B1489="(blank)"),"",VLOOKUP($B1489,'Email Marketing Raw Data'!$C:$O,4,0)),"")</f>
        <v/>
      </c>
      <c r="H1489" s="55" t="str">
        <f>IFERROR(IF(OR($B1489="",$B1489="(blank)"),"",VLOOKUP($B1489,'Email Marketing Raw Data'!$C:$O,5,0)),"")</f>
        <v/>
      </c>
      <c r="I1489" s="55" t="str">
        <f>IFERROR(IF($G1489="","",VLOOKUP('Dashboard And Emails Automate'!$G1489,Database!$H:$N,3,0)),"")</f>
        <v/>
      </c>
      <c r="J1489" s="55" t="str">
        <f>IFERROR(IF($G1489="","",VLOOKUP('Dashboard And Emails Automate'!$G1489,Database!$H:$N,4,0)),"")</f>
        <v/>
      </c>
      <c r="K1489" s="55" t="str">
        <f>IFERROR(IF($G1489="","",VLOOKUP('Dashboard And Emails Automate'!$G1489,Database!$H:$N,5,0)),"")</f>
        <v/>
      </c>
      <c r="L1489" s="55" t="str">
        <f>IFERROR(IF($G1489="","",VLOOKUP('Dashboard And Emails Automate'!$G1489,Database!$H:$N,6,0)),"")</f>
        <v/>
      </c>
      <c r="M1489" s="55" t="str">
        <f>IFERROR(IF($G1489="","",VLOOKUP('Dashboard And Emails Automate'!$G1489,Database!$H:$N,7,0)),"")</f>
        <v/>
      </c>
      <c r="N1489" s="55" t="str">
        <f>IFERROR(IF(OR($B1489="",$B1489="(blank)"),"",VLOOKUP($B1489,'Email Marketing Raw Data'!$C:$O,6,0)),"")</f>
        <v/>
      </c>
      <c r="O1489" s="55" t="str">
        <f>IFERROR(IF(OR($B1489="",$B1489="(blank)"),"",VLOOKUP($B1489,'Email Marketing Raw Data'!$C:$O,7,0)),"")</f>
        <v/>
      </c>
      <c r="P1489" s="55" t="str">
        <f>IFERROR(IF(OR($B1489="",$B1489="(blank)"),"",VLOOKUP($B1489,'Email Marketing Raw Data'!$C:$O,8,0)),"")</f>
        <v/>
      </c>
      <c r="Q1489" s="62" t="str">
        <f>IFERROR(IF(OR($B1489="",$B1489="(blank)"),"",VLOOKUP($B1489,'Email Marketing Raw Data'!$C:$O,9,0)),"")</f>
        <v/>
      </c>
    </row>
    <row r="1490" spans="4:17" ht="12.75" customHeight="1" x14ac:dyDescent="0.2">
      <c r="D1490" s="58" t="str">
        <f>IFERROR(IF(F1490&lt;&gt;"pending","",IF(OR($B1490="",$B1490="(blank)"),"",VLOOKUP($B1490,'Email Marketing Raw Data'!$C:$O,10,0))),"")</f>
        <v/>
      </c>
      <c r="E1490" s="59" t="str">
        <f>IFERROR(IF(F1490&lt;&gt;"pending","",IF(OR($B1490="",$B1490="(blank)"),"",VLOOKUP($B1490,'Email Marketing Raw Data'!$C:$O,11,0))),"")</f>
        <v/>
      </c>
      <c r="F1490" s="54" t="str">
        <f>IFERROR(IF(OR($B1490="",$B1490="(blank)"),"",VLOOKUP($B1490,'Email Marketing Raw Data'!$C:$O,13,0)),"")</f>
        <v/>
      </c>
      <c r="G1490" s="55" t="str">
        <f>IFERROR(IF(OR($B1490="",$B1490="(blank)"),"",VLOOKUP($B1490,'Email Marketing Raw Data'!$C:$O,4,0)),"")</f>
        <v/>
      </c>
      <c r="H1490" s="55" t="str">
        <f>IFERROR(IF(OR($B1490="",$B1490="(blank)"),"",VLOOKUP($B1490,'Email Marketing Raw Data'!$C:$O,5,0)),"")</f>
        <v/>
      </c>
      <c r="I1490" s="55" t="str">
        <f>IFERROR(IF($G1490="","",VLOOKUP('Dashboard And Emails Automate'!$G1490,Database!$H:$N,3,0)),"")</f>
        <v/>
      </c>
      <c r="J1490" s="55" t="str">
        <f>IFERROR(IF($G1490="","",VLOOKUP('Dashboard And Emails Automate'!$G1490,Database!$H:$N,4,0)),"")</f>
        <v/>
      </c>
      <c r="K1490" s="55" t="str">
        <f>IFERROR(IF($G1490="","",VLOOKUP('Dashboard And Emails Automate'!$G1490,Database!$H:$N,5,0)),"")</f>
        <v/>
      </c>
      <c r="L1490" s="55" t="str">
        <f>IFERROR(IF($G1490="","",VLOOKUP('Dashboard And Emails Automate'!$G1490,Database!$H:$N,6,0)),"")</f>
        <v/>
      </c>
      <c r="M1490" s="55" t="str">
        <f>IFERROR(IF($G1490="","",VLOOKUP('Dashboard And Emails Automate'!$G1490,Database!$H:$N,7,0)),"")</f>
        <v/>
      </c>
      <c r="N1490" s="55" t="str">
        <f>IFERROR(IF(OR($B1490="",$B1490="(blank)"),"",VLOOKUP($B1490,'Email Marketing Raw Data'!$C:$O,6,0)),"")</f>
        <v/>
      </c>
      <c r="O1490" s="55" t="str">
        <f>IFERROR(IF(OR($B1490="",$B1490="(blank)"),"",VLOOKUP($B1490,'Email Marketing Raw Data'!$C:$O,7,0)),"")</f>
        <v/>
      </c>
      <c r="P1490" s="55" t="str">
        <f>IFERROR(IF(OR($B1490="",$B1490="(blank)"),"",VLOOKUP($B1490,'Email Marketing Raw Data'!$C:$O,8,0)),"")</f>
        <v/>
      </c>
      <c r="Q1490" s="62" t="str">
        <f>IFERROR(IF(OR($B1490="",$B1490="(blank)"),"",VLOOKUP($B1490,'Email Marketing Raw Data'!$C:$O,9,0)),"")</f>
        <v/>
      </c>
    </row>
    <row r="1491" spans="4:17" ht="12.75" customHeight="1" x14ac:dyDescent="0.2">
      <c r="D1491" s="58" t="str">
        <f>IFERROR(IF(F1491&lt;&gt;"pending","",IF(OR($B1491="",$B1491="(blank)"),"",VLOOKUP($B1491,'Email Marketing Raw Data'!$C:$O,10,0))),"")</f>
        <v/>
      </c>
      <c r="E1491" s="59" t="str">
        <f>IFERROR(IF(F1491&lt;&gt;"pending","",IF(OR($B1491="",$B1491="(blank)"),"",VLOOKUP($B1491,'Email Marketing Raw Data'!$C:$O,11,0))),"")</f>
        <v/>
      </c>
      <c r="F1491" s="54" t="str">
        <f>IFERROR(IF(OR($B1491="",$B1491="(blank)"),"",VLOOKUP($B1491,'Email Marketing Raw Data'!$C:$O,13,0)),"")</f>
        <v/>
      </c>
      <c r="G1491" s="55" t="str">
        <f>IFERROR(IF(OR($B1491="",$B1491="(blank)"),"",VLOOKUP($B1491,'Email Marketing Raw Data'!$C:$O,4,0)),"")</f>
        <v/>
      </c>
      <c r="H1491" s="55" t="str">
        <f>IFERROR(IF(OR($B1491="",$B1491="(blank)"),"",VLOOKUP($B1491,'Email Marketing Raw Data'!$C:$O,5,0)),"")</f>
        <v/>
      </c>
      <c r="I1491" s="55" t="str">
        <f>IFERROR(IF($G1491="","",VLOOKUP('Dashboard And Emails Automate'!$G1491,Database!$H:$N,3,0)),"")</f>
        <v/>
      </c>
      <c r="J1491" s="55" t="str">
        <f>IFERROR(IF($G1491="","",VLOOKUP('Dashboard And Emails Automate'!$G1491,Database!$H:$N,4,0)),"")</f>
        <v/>
      </c>
      <c r="K1491" s="55" t="str">
        <f>IFERROR(IF($G1491="","",VLOOKUP('Dashboard And Emails Automate'!$G1491,Database!$H:$N,5,0)),"")</f>
        <v/>
      </c>
      <c r="L1491" s="55" t="str">
        <f>IFERROR(IF($G1491="","",VLOOKUP('Dashboard And Emails Automate'!$G1491,Database!$H:$N,6,0)),"")</f>
        <v/>
      </c>
      <c r="M1491" s="55" t="str">
        <f>IFERROR(IF($G1491="","",VLOOKUP('Dashboard And Emails Automate'!$G1491,Database!$H:$N,7,0)),"")</f>
        <v/>
      </c>
      <c r="N1491" s="55" t="str">
        <f>IFERROR(IF(OR($B1491="",$B1491="(blank)"),"",VLOOKUP($B1491,'Email Marketing Raw Data'!$C:$O,6,0)),"")</f>
        <v/>
      </c>
      <c r="O1491" s="55" t="str">
        <f>IFERROR(IF(OR($B1491="",$B1491="(blank)"),"",VLOOKUP($B1491,'Email Marketing Raw Data'!$C:$O,7,0)),"")</f>
        <v/>
      </c>
      <c r="P1491" s="55" t="str">
        <f>IFERROR(IF(OR($B1491="",$B1491="(blank)"),"",VLOOKUP($B1491,'Email Marketing Raw Data'!$C:$O,8,0)),"")</f>
        <v/>
      </c>
      <c r="Q1491" s="62" t="str">
        <f>IFERROR(IF(OR($B1491="",$B1491="(blank)"),"",VLOOKUP($B1491,'Email Marketing Raw Data'!$C:$O,9,0)),"")</f>
        <v/>
      </c>
    </row>
    <row r="1492" spans="4:17" ht="12.75" customHeight="1" x14ac:dyDescent="0.2">
      <c r="D1492" s="58" t="str">
        <f>IFERROR(IF(F1492&lt;&gt;"pending","",IF(OR($B1492="",$B1492="(blank)"),"",VLOOKUP($B1492,'Email Marketing Raw Data'!$C:$O,10,0))),"")</f>
        <v/>
      </c>
      <c r="E1492" s="59" t="str">
        <f>IFERROR(IF(F1492&lt;&gt;"pending","",IF(OR($B1492="",$B1492="(blank)"),"",VLOOKUP($B1492,'Email Marketing Raw Data'!$C:$O,11,0))),"")</f>
        <v/>
      </c>
      <c r="F1492" s="54" t="str">
        <f>IFERROR(IF(OR($B1492="",$B1492="(blank)"),"",VLOOKUP($B1492,'Email Marketing Raw Data'!$C:$O,13,0)),"")</f>
        <v/>
      </c>
      <c r="G1492" s="55" t="str">
        <f>IFERROR(IF(OR($B1492="",$B1492="(blank)"),"",VLOOKUP($B1492,'Email Marketing Raw Data'!$C:$O,4,0)),"")</f>
        <v/>
      </c>
      <c r="H1492" s="55" t="str">
        <f>IFERROR(IF(OR($B1492="",$B1492="(blank)"),"",VLOOKUP($B1492,'Email Marketing Raw Data'!$C:$O,5,0)),"")</f>
        <v/>
      </c>
      <c r="I1492" s="55" t="str">
        <f>IFERROR(IF($G1492="","",VLOOKUP('Dashboard And Emails Automate'!$G1492,Database!$H:$N,3,0)),"")</f>
        <v/>
      </c>
      <c r="J1492" s="55" t="str">
        <f>IFERROR(IF($G1492="","",VLOOKUP('Dashboard And Emails Automate'!$G1492,Database!$H:$N,4,0)),"")</f>
        <v/>
      </c>
      <c r="K1492" s="55" t="str">
        <f>IFERROR(IF($G1492="","",VLOOKUP('Dashboard And Emails Automate'!$G1492,Database!$H:$N,5,0)),"")</f>
        <v/>
      </c>
      <c r="L1492" s="55" t="str">
        <f>IFERROR(IF($G1492="","",VLOOKUP('Dashboard And Emails Automate'!$G1492,Database!$H:$N,6,0)),"")</f>
        <v/>
      </c>
      <c r="M1492" s="55" t="str">
        <f>IFERROR(IF($G1492="","",VLOOKUP('Dashboard And Emails Automate'!$G1492,Database!$H:$N,7,0)),"")</f>
        <v/>
      </c>
      <c r="N1492" s="55" t="str">
        <f>IFERROR(IF(OR($B1492="",$B1492="(blank)"),"",VLOOKUP($B1492,'Email Marketing Raw Data'!$C:$O,6,0)),"")</f>
        <v/>
      </c>
      <c r="O1492" s="55" t="str">
        <f>IFERROR(IF(OR($B1492="",$B1492="(blank)"),"",VLOOKUP($B1492,'Email Marketing Raw Data'!$C:$O,7,0)),"")</f>
        <v/>
      </c>
      <c r="P1492" s="55" t="str">
        <f>IFERROR(IF(OR($B1492="",$B1492="(blank)"),"",VLOOKUP($B1492,'Email Marketing Raw Data'!$C:$O,8,0)),"")</f>
        <v/>
      </c>
      <c r="Q1492" s="62" t="str">
        <f>IFERROR(IF(OR($B1492="",$B1492="(blank)"),"",VLOOKUP($B1492,'Email Marketing Raw Data'!$C:$O,9,0)),"")</f>
        <v/>
      </c>
    </row>
    <row r="1493" spans="4:17" ht="12.75" customHeight="1" x14ac:dyDescent="0.2">
      <c r="D1493" s="58" t="str">
        <f>IFERROR(IF(F1493&lt;&gt;"pending","",IF(OR($B1493="",$B1493="(blank)"),"",VLOOKUP($B1493,'Email Marketing Raw Data'!$C:$O,10,0))),"")</f>
        <v/>
      </c>
      <c r="E1493" s="59" t="str">
        <f>IFERROR(IF(F1493&lt;&gt;"pending","",IF(OR($B1493="",$B1493="(blank)"),"",VLOOKUP($B1493,'Email Marketing Raw Data'!$C:$O,11,0))),"")</f>
        <v/>
      </c>
      <c r="F1493" s="54" t="str">
        <f>IFERROR(IF(OR($B1493="",$B1493="(blank)"),"",VLOOKUP($B1493,'Email Marketing Raw Data'!$C:$O,13,0)),"")</f>
        <v/>
      </c>
      <c r="G1493" s="55" t="str">
        <f>IFERROR(IF(OR($B1493="",$B1493="(blank)"),"",VLOOKUP($B1493,'Email Marketing Raw Data'!$C:$O,4,0)),"")</f>
        <v/>
      </c>
      <c r="H1493" s="55" t="str">
        <f>IFERROR(IF(OR($B1493="",$B1493="(blank)"),"",VLOOKUP($B1493,'Email Marketing Raw Data'!$C:$O,5,0)),"")</f>
        <v/>
      </c>
      <c r="I1493" s="55" t="str">
        <f>IFERROR(IF($G1493="","",VLOOKUP('Dashboard And Emails Automate'!$G1493,Database!$H:$N,3,0)),"")</f>
        <v/>
      </c>
      <c r="J1493" s="55" t="str">
        <f>IFERROR(IF($G1493="","",VLOOKUP('Dashboard And Emails Automate'!$G1493,Database!$H:$N,4,0)),"")</f>
        <v/>
      </c>
      <c r="K1493" s="55" t="str">
        <f>IFERROR(IF($G1493="","",VLOOKUP('Dashboard And Emails Automate'!$G1493,Database!$H:$N,5,0)),"")</f>
        <v/>
      </c>
      <c r="L1493" s="55" t="str">
        <f>IFERROR(IF($G1493="","",VLOOKUP('Dashboard And Emails Automate'!$G1493,Database!$H:$N,6,0)),"")</f>
        <v/>
      </c>
      <c r="M1493" s="55" t="str">
        <f>IFERROR(IF($G1493="","",VLOOKUP('Dashboard And Emails Automate'!$G1493,Database!$H:$N,7,0)),"")</f>
        <v/>
      </c>
      <c r="N1493" s="55" t="str">
        <f>IFERROR(IF(OR($B1493="",$B1493="(blank)"),"",VLOOKUP($B1493,'Email Marketing Raw Data'!$C:$O,6,0)),"")</f>
        <v/>
      </c>
      <c r="O1493" s="55" t="str">
        <f>IFERROR(IF(OR($B1493="",$B1493="(blank)"),"",VLOOKUP($B1493,'Email Marketing Raw Data'!$C:$O,7,0)),"")</f>
        <v/>
      </c>
      <c r="P1493" s="55" t="str">
        <f>IFERROR(IF(OR($B1493="",$B1493="(blank)"),"",VLOOKUP($B1493,'Email Marketing Raw Data'!$C:$O,8,0)),"")</f>
        <v/>
      </c>
      <c r="Q1493" s="62" t="str">
        <f>IFERROR(IF(OR($B1493="",$B1493="(blank)"),"",VLOOKUP($B1493,'Email Marketing Raw Data'!$C:$O,9,0)),"")</f>
        <v/>
      </c>
    </row>
    <row r="1494" spans="4:17" ht="12.75" customHeight="1" x14ac:dyDescent="0.2">
      <c r="D1494" s="58" t="str">
        <f>IFERROR(IF(F1494&lt;&gt;"pending","",IF(OR($B1494="",$B1494="(blank)"),"",VLOOKUP($B1494,'Email Marketing Raw Data'!$C:$O,10,0))),"")</f>
        <v/>
      </c>
      <c r="E1494" s="59" t="str">
        <f>IFERROR(IF(F1494&lt;&gt;"pending","",IF(OR($B1494="",$B1494="(blank)"),"",VLOOKUP($B1494,'Email Marketing Raw Data'!$C:$O,11,0))),"")</f>
        <v/>
      </c>
      <c r="F1494" s="54" t="str">
        <f>IFERROR(IF(OR($B1494="",$B1494="(blank)"),"",VLOOKUP($B1494,'Email Marketing Raw Data'!$C:$O,13,0)),"")</f>
        <v/>
      </c>
      <c r="G1494" s="55" t="str">
        <f>IFERROR(IF(OR($B1494="",$B1494="(blank)"),"",VLOOKUP($B1494,'Email Marketing Raw Data'!$C:$O,4,0)),"")</f>
        <v/>
      </c>
      <c r="H1494" s="55" t="str">
        <f>IFERROR(IF(OR($B1494="",$B1494="(blank)"),"",VLOOKUP($B1494,'Email Marketing Raw Data'!$C:$O,5,0)),"")</f>
        <v/>
      </c>
      <c r="I1494" s="55" t="str">
        <f>IFERROR(IF($G1494="","",VLOOKUP('Dashboard And Emails Automate'!$G1494,Database!$H:$N,3,0)),"")</f>
        <v/>
      </c>
      <c r="J1494" s="55" t="str">
        <f>IFERROR(IF($G1494="","",VLOOKUP('Dashboard And Emails Automate'!$G1494,Database!$H:$N,4,0)),"")</f>
        <v/>
      </c>
      <c r="K1494" s="55" t="str">
        <f>IFERROR(IF($G1494="","",VLOOKUP('Dashboard And Emails Automate'!$G1494,Database!$H:$N,5,0)),"")</f>
        <v/>
      </c>
      <c r="L1494" s="55" t="str">
        <f>IFERROR(IF($G1494="","",VLOOKUP('Dashboard And Emails Automate'!$G1494,Database!$H:$N,6,0)),"")</f>
        <v/>
      </c>
      <c r="M1494" s="55" t="str">
        <f>IFERROR(IF($G1494="","",VLOOKUP('Dashboard And Emails Automate'!$G1494,Database!$H:$N,7,0)),"")</f>
        <v/>
      </c>
      <c r="N1494" s="55" t="str">
        <f>IFERROR(IF(OR($B1494="",$B1494="(blank)"),"",VLOOKUP($B1494,'Email Marketing Raw Data'!$C:$O,6,0)),"")</f>
        <v/>
      </c>
      <c r="O1494" s="55" t="str">
        <f>IFERROR(IF(OR($B1494="",$B1494="(blank)"),"",VLOOKUP($B1494,'Email Marketing Raw Data'!$C:$O,7,0)),"")</f>
        <v/>
      </c>
      <c r="P1494" s="55" t="str">
        <f>IFERROR(IF(OR($B1494="",$B1494="(blank)"),"",VLOOKUP($B1494,'Email Marketing Raw Data'!$C:$O,8,0)),"")</f>
        <v/>
      </c>
      <c r="Q1494" s="62" t="str">
        <f>IFERROR(IF(OR($B1494="",$B1494="(blank)"),"",VLOOKUP($B1494,'Email Marketing Raw Data'!$C:$O,9,0)),"")</f>
        <v/>
      </c>
    </row>
    <row r="1495" spans="4:17" ht="12.75" customHeight="1" x14ac:dyDescent="0.2">
      <c r="D1495" s="58" t="str">
        <f>IFERROR(IF(F1495&lt;&gt;"pending","",IF(OR($B1495="",$B1495="(blank)"),"",VLOOKUP($B1495,'Email Marketing Raw Data'!$C:$O,10,0))),"")</f>
        <v/>
      </c>
      <c r="E1495" s="59" t="str">
        <f>IFERROR(IF(F1495&lt;&gt;"pending","",IF(OR($B1495="",$B1495="(blank)"),"",VLOOKUP($B1495,'Email Marketing Raw Data'!$C:$O,11,0))),"")</f>
        <v/>
      </c>
      <c r="F1495" s="54" t="str">
        <f>IFERROR(IF(OR($B1495="",$B1495="(blank)"),"",VLOOKUP($B1495,'Email Marketing Raw Data'!$C:$O,13,0)),"")</f>
        <v/>
      </c>
      <c r="G1495" s="55" t="str">
        <f>IFERROR(IF(OR($B1495="",$B1495="(blank)"),"",VLOOKUP($B1495,'Email Marketing Raw Data'!$C:$O,4,0)),"")</f>
        <v/>
      </c>
      <c r="H1495" s="55" t="str">
        <f>IFERROR(IF(OR($B1495="",$B1495="(blank)"),"",VLOOKUP($B1495,'Email Marketing Raw Data'!$C:$O,5,0)),"")</f>
        <v/>
      </c>
      <c r="I1495" s="55" t="str">
        <f>IFERROR(IF($G1495="","",VLOOKUP('Dashboard And Emails Automate'!$G1495,Database!$H:$N,3,0)),"")</f>
        <v/>
      </c>
      <c r="J1495" s="55" t="str">
        <f>IFERROR(IF($G1495="","",VLOOKUP('Dashboard And Emails Automate'!$G1495,Database!$H:$N,4,0)),"")</f>
        <v/>
      </c>
      <c r="K1495" s="55" t="str">
        <f>IFERROR(IF($G1495="","",VLOOKUP('Dashboard And Emails Automate'!$G1495,Database!$H:$N,5,0)),"")</f>
        <v/>
      </c>
      <c r="L1495" s="55" t="str">
        <f>IFERROR(IF($G1495="","",VLOOKUP('Dashboard And Emails Automate'!$G1495,Database!$H:$N,6,0)),"")</f>
        <v/>
      </c>
      <c r="M1495" s="55" t="str">
        <f>IFERROR(IF($G1495="","",VLOOKUP('Dashboard And Emails Automate'!$G1495,Database!$H:$N,7,0)),"")</f>
        <v/>
      </c>
      <c r="N1495" s="55" t="str">
        <f>IFERROR(IF(OR($B1495="",$B1495="(blank)"),"",VLOOKUP($B1495,'Email Marketing Raw Data'!$C:$O,6,0)),"")</f>
        <v/>
      </c>
      <c r="O1495" s="55" t="str">
        <f>IFERROR(IF(OR($B1495="",$B1495="(blank)"),"",VLOOKUP($B1495,'Email Marketing Raw Data'!$C:$O,7,0)),"")</f>
        <v/>
      </c>
      <c r="P1495" s="55" t="str">
        <f>IFERROR(IF(OR($B1495="",$B1495="(blank)"),"",VLOOKUP($B1495,'Email Marketing Raw Data'!$C:$O,8,0)),"")</f>
        <v/>
      </c>
      <c r="Q1495" s="62" t="str">
        <f>IFERROR(IF(OR($B1495="",$B1495="(blank)"),"",VLOOKUP($B1495,'Email Marketing Raw Data'!$C:$O,9,0)),"")</f>
        <v/>
      </c>
    </row>
    <row r="1496" spans="4:17" ht="12.75" customHeight="1" x14ac:dyDescent="0.2">
      <c r="D1496" s="58" t="str">
        <f>IFERROR(IF(F1496&lt;&gt;"pending","",IF(OR($B1496="",$B1496="(blank)"),"",VLOOKUP($B1496,'Email Marketing Raw Data'!$C:$O,10,0))),"")</f>
        <v/>
      </c>
      <c r="E1496" s="59" t="str">
        <f>IFERROR(IF(F1496&lt;&gt;"pending","",IF(OR($B1496="",$B1496="(blank)"),"",VLOOKUP($B1496,'Email Marketing Raw Data'!$C:$O,11,0))),"")</f>
        <v/>
      </c>
      <c r="F1496" s="54" t="str">
        <f>IFERROR(IF(OR($B1496="",$B1496="(blank)"),"",VLOOKUP($B1496,'Email Marketing Raw Data'!$C:$O,13,0)),"")</f>
        <v/>
      </c>
      <c r="G1496" s="55" t="str">
        <f>IFERROR(IF(OR($B1496="",$B1496="(blank)"),"",VLOOKUP($B1496,'Email Marketing Raw Data'!$C:$O,4,0)),"")</f>
        <v/>
      </c>
      <c r="H1496" s="55" t="str">
        <f>IFERROR(IF(OR($B1496="",$B1496="(blank)"),"",VLOOKUP($B1496,'Email Marketing Raw Data'!$C:$O,5,0)),"")</f>
        <v/>
      </c>
      <c r="I1496" s="55" t="str">
        <f>IFERROR(IF($G1496="","",VLOOKUP('Dashboard And Emails Automate'!$G1496,Database!$H:$N,3,0)),"")</f>
        <v/>
      </c>
      <c r="J1496" s="55" t="str">
        <f>IFERROR(IF($G1496="","",VLOOKUP('Dashboard And Emails Automate'!$G1496,Database!$H:$N,4,0)),"")</f>
        <v/>
      </c>
      <c r="K1496" s="55" t="str">
        <f>IFERROR(IF($G1496="","",VLOOKUP('Dashboard And Emails Automate'!$G1496,Database!$H:$N,5,0)),"")</f>
        <v/>
      </c>
      <c r="L1496" s="55" t="str">
        <f>IFERROR(IF($G1496="","",VLOOKUP('Dashboard And Emails Automate'!$G1496,Database!$H:$N,6,0)),"")</f>
        <v/>
      </c>
      <c r="M1496" s="55" t="str">
        <f>IFERROR(IF($G1496="","",VLOOKUP('Dashboard And Emails Automate'!$G1496,Database!$H:$N,7,0)),"")</f>
        <v/>
      </c>
      <c r="N1496" s="55" t="str">
        <f>IFERROR(IF(OR($B1496="",$B1496="(blank)"),"",VLOOKUP($B1496,'Email Marketing Raw Data'!$C:$O,6,0)),"")</f>
        <v/>
      </c>
      <c r="O1496" s="55" t="str">
        <f>IFERROR(IF(OR($B1496="",$B1496="(blank)"),"",VLOOKUP($B1496,'Email Marketing Raw Data'!$C:$O,7,0)),"")</f>
        <v/>
      </c>
      <c r="P1496" s="55" t="str">
        <f>IFERROR(IF(OR($B1496="",$B1496="(blank)"),"",VLOOKUP($B1496,'Email Marketing Raw Data'!$C:$O,8,0)),"")</f>
        <v/>
      </c>
      <c r="Q1496" s="62" t="str">
        <f>IFERROR(IF(OR($B1496="",$B1496="(blank)"),"",VLOOKUP($B1496,'Email Marketing Raw Data'!$C:$O,9,0)),"")</f>
        <v/>
      </c>
    </row>
    <row r="1497" spans="4:17" ht="12.75" customHeight="1" x14ac:dyDescent="0.2">
      <c r="D1497" s="58" t="str">
        <f>IFERROR(IF(F1497&lt;&gt;"pending","",IF(OR($B1497="",$B1497="(blank)"),"",VLOOKUP($B1497,'Email Marketing Raw Data'!$C:$O,10,0))),"")</f>
        <v/>
      </c>
      <c r="E1497" s="59" t="str">
        <f>IFERROR(IF(F1497&lt;&gt;"pending","",IF(OR($B1497="",$B1497="(blank)"),"",VLOOKUP($B1497,'Email Marketing Raw Data'!$C:$O,11,0))),"")</f>
        <v/>
      </c>
      <c r="F1497" s="54" t="str">
        <f>IFERROR(IF(OR($B1497="",$B1497="(blank)"),"",VLOOKUP($B1497,'Email Marketing Raw Data'!$C:$O,13,0)),"")</f>
        <v/>
      </c>
      <c r="G1497" s="55" t="str">
        <f>IFERROR(IF(OR($B1497="",$B1497="(blank)"),"",VLOOKUP($B1497,'Email Marketing Raw Data'!$C:$O,4,0)),"")</f>
        <v/>
      </c>
      <c r="H1497" s="55" t="str">
        <f>IFERROR(IF(OR($B1497="",$B1497="(blank)"),"",VLOOKUP($B1497,'Email Marketing Raw Data'!$C:$O,5,0)),"")</f>
        <v/>
      </c>
      <c r="I1497" s="55" t="str">
        <f>IFERROR(IF($G1497="","",VLOOKUP('Dashboard And Emails Automate'!$G1497,Database!$H:$N,3,0)),"")</f>
        <v/>
      </c>
      <c r="J1497" s="55" t="str">
        <f>IFERROR(IF($G1497="","",VLOOKUP('Dashboard And Emails Automate'!$G1497,Database!$H:$N,4,0)),"")</f>
        <v/>
      </c>
      <c r="K1497" s="55" t="str">
        <f>IFERROR(IF($G1497="","",VLOOKUP('Dashboard And Emails Automate'!$G1497,Database!$H:$N,5,0)),"")</f>
        <v/>
      </c>
      <c r="L1497" s="55" t="str">
        <f>IFERROR(IF($G1497="","",VLOOKUP('Dashboard And Emails Automate'!$G1497,Database!$H:$N,6,0)),"")</f>
        <v/>
      </c>
      <c r="M1497" s="55" t="str">
        <f>IFERROR(IF($G1497="","",VLOOKUP('Dashboard And Emails Automate'!$G1497,Database!$H:$N,7,0)),"")</f>
        <v/>
      </c>
      <c r="N1497" s="55" t="str">
        <f>IFERROR(IF(OR($B1497="",$B1497="(blank)"),"",VLOOKUP($B1497,'Email Marketing Raw Data'!$C:$O,6,0)),"")</f>
        <v/>
      </c>
      <c r="O1497" s="55" t="str">
        <f>IFERROR(IF(OR($B1497="",$B1497="(blank)"),"",VLOOKUP($B1497,'Email Marketing Raw Data'!$C:$O,7,0)),"")</f>
        <v/>
      </c>
      <c r="P1497" s="55" t="str">
        <f>IFERROR(IF(OR($B1497="",$B1497="(blank)"),"",VLOOKUP($B1497,'Email Marketing Raw Data'!$C:$O,8,0)),"")</f>
        <v/>
      </c>
      <c r="Q1497" s="62" t="str">
        <f>IFERROR(IF(OR($B1497="",$B1497="(blank)"),"",VLOOKUP($B1497,'Email Marketing Raw Data'!$C:$O,9,0)),"")</f>
        <v/>
      </c>
    </row>
    <row r="1498" spans="4:17" ht="12.75" customHeight="1" x14ac:dyDescent="0.2">
      <c r="D1498" s="58" t="str">
        <f>IFERROR(IF(F1498&lt;&gt;"pending","",IF(OR($B1498="",$B1498="(blank)"),"",VLOOKUP($B1498,'Email Marketing Raw Data'!$C:$O,10,0))),"")</f>
        <v/>
      </c>
      <c r="E1498" s="59" t="str">
        <f>IFERROR(IF(F1498&lt;&gt;"pending","",IF(OR($B1498="",$B1498="(blank)"),"",VLOOKUP($B1498,'Email Marketing Raw Data'!$C:$O,11,0))),"")</f>
        <v/>
      </c>
      <c r="F1498" s="54" t="str">
        <f>IFERROR(IF(OR($B1498="",$B1498="(blank)"),"",VLOOKUP($B1498,'Email Marketing Raw Data'!$C:$O,13,0)),"")</f>
        <v/>
      </c>
      <c r="G1498" s="55" t="str">
        <f>IFERROR(IF(OR($B1498="",$B1498="(blank)"),"",VLOOKUP($B1498,'Email Marketing Raw Data'!$C:$O,4,0)),"")</f>
        <v/>
      </c>
      <c r="H1498" s="55" t="str">
        <f>IFERROR(IF(OR($B1498="",$B1498="(blank)"),"",VLOOKUP($B1498,'Email Marketing Raw Data'!$C:$O,5,0)),"")</f>
        <v/>
      </c>
      <c r="I1498" s="55" t="str">
        <f>IFERROR(IF($G1498="","",VLOOKUP('Dashboard And Emails Automate'!$G1498,Database!$H:$N,3,0)),"")</f>
        <v/>
      </c>
      <c r="J1498" s="55" t="str">
        <f>IFERROR(IF($G1498="","",VLOOKUP('Dashboard And Emails Automate'!$G1498,Database!$H:$N,4,0)),"")</f>
        <v/>
      </c>
      <c r="K1498" s="55" t="str">
        <f>IFERROR(IF($G1498="","",VLOOKUP('Dashboard And Emails Automate'!$G1498,Database!$H:$N,5,0)),"")</f>
        <v/>
      </c>
      <c r="L1498" s="55" t="str">
        <f>IFERROR(IF($G1498="","",VLOOKUP('Dashboard And Emails Automate'!$G1498,Database!$H:$N,6,0)),"")</f>
        <v/>
      </c>
      <c r="M1498" s="55" t="str">
        <f>IFERROR(IF($G1498="","",VLOOKUP('Dashboard And Emails Automate'!$G1498,Database!$H:$N,7,0)),"")</f>
        <v/>
      </c>
      <c r="N1498" s="55" t="str">
        <f>IFERROR(IF(OR($B1498="",$B1498="(blank)"),"",VLOOKUP($B1498,'Email Marketing Raw Data'!$C:$O,6,0)),"")</f>
        <v/>
      </c>
      <c r="O1498" s="55" t="str">
        <f>IFERROR(IF(OR($B1498="",$B1498="(blank)"),"",VLOOKUP($B1498,'Email Marketing Raw Data'!$C:$O,7,0)),"")</f>
        <v/>
      </c>
      <c r="P1498" s="55" t="str">
        <f>IFERROR(IF(OR($B1498="",$B1498="(blank)"),"",VLOOKUP($B1498,'Email Marketing Raw Data'!$C:$O,8,0)),"")</f>
        <v/>
      </c>
      <c r="Q1498" s="62" t="str">
        <f>IFERROR(IF(OR($B1498="",$B1498="(blank)"),"",VLOOKUP($B1498,'Email Marketing Raw Data'!$C:$O,9,0)),"")</f>
        <v/>
      </c>
    </row>
    <row r="1499" spans="4:17" ht="12.75" customHeight="1" x14ac:dyDescent="0.2">
      <c r="D1499" s="58" t="str">
        <f>IFERROR(IF(F1499&lt;&gt;"pending","",IF(OR($B1499="",$B1499="(blank)"),"",VLOOKUP($B1499,'Email Marketing Raw Data'!$C:$O,10,0))),"")</f>
        <v/>
      </c>
      <c r="E1499" s="59" t="str">
        <f>IFERROR(IF(F1499&lt;&gt;"pending","",IF(OR($B1499="",$B1499="(blank)"),"",VLOOKUP($B1499,'Email Marketing Raw Data'!$C:$O,11,0))),"")</f>
        <v/>
      </c>
      <c r="F1499" s="54" t="str">
        <f>IFERROR(IF(OR($B1499="",$B1499="(blank)"),"",VLOOKUP($B1499,'Email Marketing Raw Data'!$C:$O,13,0)),"")</f>
        <v/>
      </c>
      <c r="G1499" s="55" t="str">
        <f>IFERROR(IF(OR($B1499="",$B1499="(blank)"),"",VLOOKUP($B1499,'Email Marketing Raw Data'!$C:$O,4,0)),"")</f>
        <v/>
      </c>
      <c r="H1499" s="55" t="str">
        <f>IFERROR(IF(OR($B1499="",$B1499="(blank)"),"",VLOOKUP($B1499,'Email Marketing Raw Data'!$C:$O,5,0)),"")</f>
        <v/>
      </c>
      <c r="I1499" s="55" t="str">
        <f>IFERROR(IF($G1499="","",VLOOKUP('Dashboard And Emails Automate'!$G1499,Database!$H:$N,3,0)),"")</f>
        <v/>
      </c>
      <c r="J1499" s="55" t="str">
        <f>IFERROR(IF($G1499="","",VLOOKUP('Dashboard And Emails Automate'!$G1499,Database!$H:$N,4,0)),"")</f>
        <v/>
      </c>
      <c r="K1499" s="55" t="str">
        <f>IFERROR(IF($G1499="","",VLOOKUP('Dashboard And Emails Automate'!$G1499,Database!$H:$N,5,0)),"")</f>
        <v/>
      </c>
      <c r="L1499" s="55" t="str">
        <f>IFERROR(IF($G1499="","",VLOOKUP('Dashboard And Emails Automate'!$G1499,Database!$H:$N,6,0)),"")</f>
        <v/>
      </c>
      <c r="M1499" s="55" t="str">
        <f>IFERROR(IF($G1499="","",VLOOKUP('Dashboard And Emails Automate'!$G1499,Database!$H:$N,7,0)),"")</f>
        <v/>
      </c>
      <c r="N1499" s="55" t="str">
        <f>IFERROR(IF(OR($B1499="",$B1499="(blank)"),"",VLOOKUP($B1499,'Email Marketing Raw Data'!$C:$O,6,0)),"")</f>
        <v/>
      </c>
      <c r="O1499" s="55" t="str">
        <f>IFERROR(IF(OR($B1499="",$B1499="(blank)"),"",VLOOKUP($B1499,'Email Marketing Raw Data'!$C:$O,7,0)),"")</f>
        <v/>
      </c>
      <c r="P1499" s="55" t="str">
        <f>IFERROR(IF(OR($B1499="",$B1499="(blank)"),"",VLOOKUP($B1499,'Email Marketing Raw Data'!$C:$O,8,0)),"")</f>
        <v/>
      </c>
      <c r="Q1499" s="62" t="str">
        <f>IFERROR(IF(OR($B1499="",$B1499="(blank)"),"",VLOOKUP($B1499,'Email Marketing Raw Data'!$C:$O,9,0)),"")</f>
        <v/>
      </c>
    </row>
    <row r="1500" spans="4:17" ht="12.75" customHeight="1" x14ac:dyDescent="0.2">
      <c r="D1500" s="58" t="str">
        <f>IFERROR(IF(F1500&lt;&gt;"pending","",IF(OR($B1500="",$B1500="(blank)"),"",VLOOKUP($B1500,'Email Marketing Raw Data'!$C:$O,10,0))),"")</f>
        <v/>
      </c>
      <c r="E1500" s="59" t="str">
        <f>IFERROR(IF(F1500&lt;&gt;"pending","",IF(OR($B1500="",$B1500="(blank)"),"",VLOOKUP($B1500,'Email Marketing Raw Data'!$C:$O,11,0))),"")</f>
        <v/>
      </c>
      <c r="F1500" s="54" t="str">
        <f>IFERROR(IF(OR($B1500="",$B1500="(blank)"),"",VLOOKUP($B1500,'Email Marketing Raw Data'!$C:$O,13,0)),"")</f>
        <v/>
      </c>
      <c r="G1500" s="55" t="str">
        <f>IFERROR(IF(OR($B1500="",$B1500="(blank)"),"",VLOOKUP($B1500,'Email Marketing Raw Data'!$C:$O,4,0)),"")</f>
        <v/>
      </c>
      <c r="H1500" s="55" t="str">
        <f>IFERROR(IF(OR($B1500="",$B1500="(blank)"),"",VLOOKUP($B1500,'Email Marketing Raw Data'!$C:$O,5,0)),"")</f>
        <v/>
      </c>
      <c r="I1500" s="55" t="str">
        <f>IFERROR(IF($G1500="","",VLOOKUP('Dashboard And Emails Automate'!$G1500,Database!$H:$N,3,0)),"")</f>
        <v/>
      </c>
      <c r="J1500" s="55" t="str">
        <f>IFERROR(IF($G1500="","",VLOOKUP('Dashboard And Emails Automate'!$G1500,Database!$H:$N,4,0)),"")</f>
        <v/>
      </c>
      <c r="K1500" s="55" t="str">
        <f>IFERROR(IF($G1500="","",VLOOKUP('Dashboard And Emails Automate'!$G1500,Database!$H:$N,5,0)),"")</f>
        <v/>
      </c>
      <c r="L1500" s="55" t="str">
        <f>IFERROR(IF($G1500="","",VLOOKUP('Dashboard And Emails Automate'!$G1500,Database!$H:$N,6,0)),"")</f>
        <v/>
      </c>
      <c r="M1500" s="55" t="str">
        <f>IFERROR(IF($G1500="","",VLOOKUP('Dashboard And Emails Automate'!$G1500,Database!$H:$N,7,0)),"")</f>
        <v/>
      </c>
      <c r="N1500" s="55" t="str">
        <f>IFERROR(IF(OR($B1500="",$B1500="(blank)"),"",VLOOKUP($B1500,'Email Marketing Raw Data'!$C:$O,6,0)),"")</f>
        <v/>
      </c>
      <c r="O1500" s="55" t="str">
        <f>IFERROR(IF(OR($B1500="",$B1500="(blank)"),"",VLOOKUP($B1500,'Email Marketing Raw Data'!$C:$O,7,0)),"")</f>
        <v/>
      </c>
      <c r="P1500" s="55" t="str">
        <f>IFERROR(IF(OR($B1500="",$B1500="(blank)"),"",VLOOKUP($B1500,'Email Marketing Raw Data'!$C:$O,8,0)),"")</f>
        <v/>
      </c>
      <c r="Q1500" s="62" t="str">
        <f>IFERROR(IF(OR($B1500="",$B1500="(blank)"),"",VLOOKUP($B1500,'Email Marketing Raw Data'!$C:$O,9,0)),"")</f>
        <v/>
      </c>
    </row>
    <row r="1501" spans="4:17" ht="12.75" customHeight="1" x14ac:dyDescent="0.2">
      <c r="D1501" s="58" t="str">
        <f>IFERROR(IF(F1501&lt;&gt;"pending","",IF(OR($B1501="",$B1501="(blank)"),"",VLOOKUP($B1501,'Email Marketing Raw Data'!$C:$O,10,0))),"")</f>
        <v/>
      </c>
      <c r="E1501" s="59" t="str">
        <f>IFERROR(IF(F1501&lt;&gt;"pending","",IF(OR($B1501="",$B1501="(blank)"),"",VLOOKUP($B1501,'Email Marketing Raw Data'!$C:$O,11,0))),"")</f>
        <v/>
      </c>
      <c r="F1501" s="54" t="str">
        <f>IFERROR(IF(OR($B1501="",$B1501="(blank)"),"",VLOOKUP($B1501,'Email Marketing Raw Data'!$C:$O,13,0)),"")</f>
        <v/>
      </c>
      <c r="G1501" s="55" t="str">
        <f>IFERROR(IF(OR($B1501="",$B1501="(blank)"),"",VLOOKUP($B1501,'Email Marketing Raw Data'!$C:$O,4,0)),"")</f>
        <v/>
      </c>
      <c r="H1501" s="55" t="str">
        <f>IFERROR(IF(OR($B1501="",$B1501="(blank)"),"",VLOOKUP($B1501,'Email Marketing Raw Data'!$C:$O,5,0)),"")</f>
        <v/>
      </c>
      <c r="I1501" s="55" t="str">
        <f>IFERROR(IF($G1501="","",VLOOKUP('Dashboard And Emails Automate'!$G1501,Database!$H:$N,3,0)),"")</f>
        <v/>
      </c>
      <c r="J1501" s="55" t="str">
        <f>IFERROR(IF($G1501="","",VLOOKUP('Dashboard And Emails Automate'!$G1501,Database!$H:$N,4,0)),"")</f>
        <v/>
      </c>
      <c r="K1501" s="55" t="str">
        <f>IFERROR(IF($G1501="","",VLOOKUP('Dashboard And Emails Automate'!$G1501,Database!$H:$N,5,0)),"")</f>
        <v/>
      </c>
      <c r="L1501" s="55" t="str">
        <f>IFERROR(IF($G1501="","",VLOOKUP('Dashboard And Emails Automate'!$G1501,Database!$H:$N,6,0)),"")</f>
        <v/>
      </c>
      <c r="M1501" s="55" t="str">
        <f>IFERROR(IF($G1501="","",VLOOKUP('Dashboard And Emails Automate'!$G1501,Database!$H:$N,7,0)),"")</f>
        <v/>
      </c>
      <c r="N1501" s="55" t="str">
        <f>IFERROR(IF(OR($B1501="",$B1501="(blank)"),"",VLOOKUP($B1501,'Email Marketing Raw Data'!$C:$O,6,0)),"")</f>
        <v/>
      </c>
      <c r="O1501" s="55" t="str">
        <f>IFERROR(IF(OR($B1501="",$B1501="(blank)"),"",VLOOKUP($B1501,'Email Marketing Raw Data'!$C:$O,7,0)),"")</f>
        <v/>
      </c>
      <c r="P1501" s="55" t="str">
        <f>IFERROR(IF(OR($B1501="",$B1501="(blank)"),"",VLOOKUP($B1501,'Email Marketing Raw Data'!$C:$O,8,0)),"")</f>
        <v/>
      </c>
      <c r="Q1501" s="62" t="str">
        <f>IFERROR(IF(OR($B1501="",$B1501="(blank)"),"",VLOOKUP($B1501,'Email Marketing Raw Data'!$C:$O,9,0)),"")</f>
        <v/>
      </c>
    </row>
    <row r="1502" spans="4:17" ht="12.75" customHeight="1" x14ac:dyDescent="0.2">
      <c r="D1502" s="58" t="str">
        <f>IFERROR(IF(F1502&lt;&gt;"pending","",IF(OR($B1502="",$B1502="(blank)"),"",VLOOKUP($B1502,'Email Marketing Raw Data'!$C:$O,10,0))),"")</f>
        <v/>
      </c>
      <c r="E1502" s="59" t="str">
        <f>IFERROR(IF(F1502&lt;&gt;"pending","",IF(OR($B1502="",$B1502="(blank)"),"",VLOOKUP($B1502,'Email Marketing Raw Data'!$C:$O,11,0))),"")</f>
        <v/>
      </c>
      <c r="F1502" s="54" t="str">
        <f>IFERROR(IF(OR($B1502="",$B1502="(blank)"),"",VLOOKUP($B1502,'Email Marketing Raw Data'!$C:$O,13,0)),"")</f>
        <v/>
      </c>
      <c r="G1502" s="55" t="str">
        <f>IFERROR(IF(OR($B1502="",$B1502="(blank)"),"",VLOOKUP($B1502,'Email Marketing Raw Data'!$C:$O,4,0)),"")</f>
        <v/>
      </c>
      <c r="H1502" s="55" t="str">
        <f>IFERROR(IF(OR($B1502="",$B1502="(blank)"),"",VLOOKUP($B1502,'Email Marketing Raw Data'!$C:$O,5,0)),"")</f>
        <v/>
      </c>
      <c r="I1502" s="55" t="str">
        <f>IFERROR(IF($G1502="","",VLOOKUP('Dashboard And Emails Automate'!$G1502,Database!$H:$N,3,0)),"")</f>
        <v/>
      </c>
      <c r="J1502" s="55" t="str">
        <f>IFERROR(IF($G1502="","",VLOOKUP('Dashboard And Emails Automate'!$G1502,Database!$H:$N,4,0)),"")</f>
        <v/>
      </c>
      <c r="K1502" s="55" t="str">
        <f>IFERROR(IF($G1502="","",VLOOKUP('Dashboard And Emails Automate'!$G1502,Database!$H:$N,5,0)),"")</f>
        <v/>
      </c>
      <c r="L1502" s="55" t="str">
        <f>IFERROR(IF($G1502="","",VLOOKUP('Dashboard And Emails Automate'!$G1502,Database!$H:$N,6,0)),"")</f>
        <v/>
      </c>
      <c r="M1502" s="55" t="str">
        <f>IFERROR(IF($G1502="","",VLOOKUP('Dashboard And Emails Automate'!$G1502,Database!$H:$N,7,0)),"")</f>
        <v/>
      </c>
      <c r="N1502" s="55" t="str">
        <f>IFERROR(IF(OR($B1502="",$B1502="(blank)"),"",VLOOKUP($B1502,'Email Marketing Raw Data'!$C:$O,6,0)),"")</f>
        <v/>
      </c>
      <c r="O1502" s="55" t="str">
        <f>IFERROR(IF(OR($B1502="",$B1502="(blank)"),"",VLOOKUP($B1502,'Email Marketing Raw Data'!$C:$O,7,0)),"")</f>
        <v/>
      </c>
      <c r="P1502" s="55" t="str">
        <f>IFERROR(IF(OR($B1502="",$B1502="(blank)"),"",VLOOKUP($B1502,'Email Marketing Raw Data'!$C:$O,8,0)),"")</f>
        <v/>
      </c>
      <c r="Q1502" s="62" t="str">
        <f>IFERROR(IF(OR($B1502="",$B1502="(blank)"),"",VLOOKUP($B1502,'Email Marketing Raw Data'!$C:$O,9,0)),"")</f>
        <v/>
      </c>
    </row>
    <row r="1503" spans="4:17" ht="12.75" customHeight="1" x14ac:dyDescent="0.2">
      <c r="D1503" s="58" t="str">
        <f>IFERROR(IF(F1503&lt;&gt;"pending","",IF(OR($B1503="",$B1503="(blank)"),"",VLOOKUP($B1503,'Email Marketing Raw Data'!$C:$O,10,0))),"")</f>
        <v/>
      </c>
      <c r="E1503" s="59" t="str">
        <f>IFERROR(IF(F1503&lt;&gt;"pending","",IF(OR($B1503="",$B1503="(blank)"),"",VLOOKUP($B1503,'Email Marketing Raw Data'!$C:$O,11,0))),"")</f>
        <v/>
      </c>
      <c r="F1503" s="54" t="str">
        <f>IFERROR(IF(OR($B1503="",$B1503="(blank)"),"",VLOOKUP($B1503,'Email Marketing Raw Data'!$C:$O,13,0)),"")</f>
        <v/>
      </c>
      <c r="G1503" s="55" t="str">
        <f>IFERROR(IF(OR($B1503="",$B1503="(blank)"),"",VLOOKUP($B1503,'Email Marketing Raw Data'!$C:$O,4,0)),"")</f>
        <v/>
      </c>
      <c r="H1503" s="55" t="str">
        <f>IFERROR(IF(OR($B1503="",$B1503="(blank)"),"",VLOOKUP($B1503,'Email Marketing Raw Data'!$C:$O,5,0)),"")</f>
        <v/>
      </c>
      <c r="I1503" s="55" t="str">
        <f>IFERROR(IF($G1503="","",VLOOKUP('Dashboard And Emails Automate'!$G1503,Database!$H:$N,3,0)),"")</f>
        <v/>
      </c>
      <c r="J1503" s="55" t="str">
        <f>IFERROR(IF($G1503="","",VLOOKUP('Dashboard And Emails Automate'!$G1503,Database!$H:$N,4,0)),"")</f>
        <v/>
      </c>
      <c r="K1503" s="55" t="str">
        <f>IFERROR(IF($G1503="","",VLOOKUP('Dashboard And Emails Automate'!$G1503,Database!$H:$N,5,0)),"")</f>
        <v/>
      </c>
      <c r="L1503" s="55" t="str">
        <f>IFERROR(IF($G1503="","",VLOOKUP('Dashboard And Emails Automate'!$G1503,Database!$H:$N,6,0)),"")</f>
        <v/>
      </c>
      <c r="M1503" s="55" t="str">
        <f>IFERROR(IF($G1503="","",VLOOKUP('Dashboard And Emails Automate'!$G1503,Database!$H:$N,7,0)),"")</f>
        <v/>
      </c>
      <c r="N1503" s="55" t="str">
        <f>IFERROR(IF(OR($B1503="",$B1503="(blank)"),"",VLOOKUP($B1503,'Email Marketing Raw Data'!$C:$O,6,0)),"")</f>
        <v/>
      </c>
      <c r="O1503" s="55" t="str">
        <f>IFERROR(IF(OR($B1503="",$B1503="(blank)"),"",VLOOKUP($B1503,'Email Marketing Raw Data'!$C:$O,7,0)),"")</f>
        <v/>
      </c>
      <c r="P1503" s="55" t="str">
        <f>IFERROR(IF(OR($B1503="",$B1503="(blank)"),"",VLOOKUP($B1503,'Email Marketing Raw Data'!$C:$O,8,0)),"")</f>
        <v/>
      </c>
      <c r="Q1503" s="62" t="str">
        <f>IFERROR(IF(OR($B1503="",$B1503="(blank)"),"",VLOOKUP($B1503,'Email Marketing Raw Data'!$C:$O,9,0)),"")</f>
        <v/>
      </c>
    </row>
    <row r="1504" spans="4:17" ht="12.75" customHeight="1" x14ac:dyDescent="0.2">
      <c r="D1504" s="58" t="str">
        <f>IFERROR(IF(F1504&lt;&gt;"pending","",IF(OR($B1504="",$B1504="(blank)"),"",VLOOKUP($B1504,'Email Marketing Raw Data'!$C:$O,10,0))),"")</f>
        <v/>
      </c>
      <c r="E1504" s="59" t="str">
        <f>IFERROR(IF(F1504&lt;&gt;"pending","",IF(OR($B1504="",$B1504="(blank)"),"",VLOOKUP($B1504,'Email Marketing Raw Data'!$C:$O,11,0))),"")</f>
        <v/>
      </c>
      <c r="F1504" s="54" t="str">
        <f>IFERROR(IF(OR($B1504="",$B1504="(blank)"),"",VLOOKUP($B1504,'Email Marketing Raw Data'!$C:$O,13,0)),"")</f>
        <v/>
      </c>
      <c r="G1504" s="55" t="str">
        <f>IFERROR(IF(OR($B1504="",$B1504="(blank)"),"",VLOOKUP($B1504,'Email Marketing Raw Data'!$C:$O,4,0)),"")</f>
        <v/>
      </c>
      <c r="H1504" s="55" t="str">
        <f>IFERROR(IF(OR($B1504="",$B1504="(blank)"),"",VLOOKUP($B1504,'Email Marketing Raw Data'!$C:$O,5,0)),"")</f>
        <v/>
      </c>
      <c r="I1504" s="55" t="str">
        <f>IFERROR(IF($G1504="","",VLOOKUP('Dashboard And Emails Automate'!$G1504,Database!$H:$N,3,0)),"")</f>
        <v/>
      </c>
      <c r="J1504" s="55" t="str">
        <f>IFERROR(IF($G1504="","",VLOOKUP('Dashboard And Emails Automate'!$G1504,Database!$H:$N,4,0)),"")</f>
        <v/>
      </c>
      <c r="K1504" s="55" t="str">
        <f>IFERROR(IF($G1504="","",VLOOKUP('Dashboard And Emails Automate'!$G1504,Database!$H:$N,5,0)),"")</f>
        <v/>
      </c>
      <c r="L1504" s="55" t="str">
        <f>IFERROR(IF($G1504="","",VLOOKUP('Dashboard And Emails Automate'!$G1504,Database!$H:$N,6,0)),"")</f>
        <v/>
      </c>
      <c r="M1504" s="55" t="str">
        <f>IFERROR(IF($G1504="","",VLOOKUP('Dashboard And Emails Automate'!$G1504,Database!$H:$N,7,0)),"")</f>
        <v/>
      </c>
      <c r="N1504" s="55" t="str">
        <f>IFERROR(IF(OR($B1504="",$B1504="(blank)"),"",VLOOKUP($B1504,'Email Marketing Raw Data'!$C:$O,6,0)),"")</f>
        <v/>
      </c>
      <c r="O1504" s="55" t="str">
        <f>IFERROR(IF(OR($B1504="",$B1504="(blank)"),"",VLOOKUP($B1504,'Email Marketing Raw Data'!$C:$O,7,0)),"")</f>
        <v/>
      </c>
      <c r="P1504" s="55" t="str">
        <f>IFERROR(IF(OR($B1504="",$B1504="(blank)"),"",VLOOKUP($B1504,'Email Marketing Raw Data'!$C:$O,8,0)),"")</f>
        <v/>
      </c>
      <c r="Q1504" s="62" t="str">
        <f>IFERROR(IF(OR($B1504="",$B1504="(blank)"),"",VLOOKUP($B1504,'Email Marketing Raw Data'!$C:$O,9,0)),"")</f>
        <v/>
      </c>
    </row>
    <row r="1505" spans="4:17" ht="12.75" customHeight="1" x14ac:dyDescent="0.2">
      <c r="D1505" s="58" t="str">
        <f>IFERROR(IF(F1505&lt;&gt;"pending","",IF(OR($B1505="",$B1505="(blank)"),"",VLOOKUP($B1505,'Email Marketing Raw Data'!$C:$O,10,0))),"")</f>
        <v/>
      </c>
      <c r="E1505" s="59" t="str">
        <f>IFERROR(IF(F1505&lt;&gt;"pending","",IF(OR($B1505="",$B1505="(blank)"),"",VLOOKUP($B1505,'Email Marketing Raw Data'!$C:$O,11,0))),"")</f>
        <v/>
      </c>
      <c r="F1505" s="54" t="str">
        <f>IFERROR(IF(OR($B1505="",$B1505="(blank)"),"",VLOOKUP($B1505,'Email Marketing Raw Data'!$C:$O,13,0)),"")</f>
        <v/>
      </c>
      <c r="G1505" s="55" t="str">
        <f>IFERROR(IF(OR($B1505="",$B1505="(blank)"),"",VLOOKUP($B1505,'Email Marketing Raw Data'!$C:$O,4,0)),"")</f>
        <v/>
      </c>
      <c r="H1505" s="55" t="str">
        <f>IFERROR(IF(OR($B1505="",$B1505="(blank)"),"",VLOOKUP($B1505,'Email Marketing Raw Data'!$C:$O,5,0)),"")</f>
        <v/>
      </c>
      <c r="I1505" s="55" t="str">
        <f>IFERROR(IF($G1505="","",VLOOKUP('Dashboard And Emails Automate'!$G1505,Database!$H:$N,3,0)),"")</f>
        <v/>
      </c>
      <c r="J1505" s="55" t="str">
        <f>IFERROR(IF($G1505="","",VLOOKUP('Dashboard And Emails Automate'!$G1505,Database!$H:$N,4,0)),"")</f>
        <v/>
      </c>
      <c r="K1505" s="55" t="str">
        <f>IFERROR(IF($G1505="","",VLOOKUP('Dashboard And Emails Automate'!$G1505,Database!$H:$N,5,0)),"")</f>
        <v/>
      </c>
      <c r="L1505" s="55" t="str">
        <f>IFERROR(IF($G1505="","",VLOOKUP('Dashboard And Emails Automate'!$G1505,Database!$H:$N,6,0)),"")</f>
        <v/>
      </c>
      <c r="M1505" s="55" t="str">
        <f>IFERROR(IF($G1505="","",VLOOKUP('Dashboard And Emails Automate'!$G1505,Database!$H:$N,7,0)),"")</f>
        <v/>
      </c>
      <c r="N1505" s="55" t="str">
        <f>IFERROR(IF(OR($B1505="",$B1505="(blank)"),"",VLOOKUP($B1505,'Email Marketing Raw Data'!$C:$O,6,0)),"")</f>
        <v/>
      </c>
      <c r="O1505" s="55" t="str">
        <f>IFERROR(IF(OR($B1505="",$B1505="(blank)"),"",VLOOKUP($B1505,'Email Marketing Raw Data'!$C:$O,7,0)),"")</f>
        <v/>
      </c>
      <c r="P1505" s="55" t="str">
        <f>IFERROR(IF(OR($B1505="",$B1505="(blank)"),"",VLOOKUP($B1505,'Email Marketing Raw Data'!$C:$O,8,0)),"")</f>
        <v/>
      </c>
      <c r="Q1505" s="62" t="str">
        <f>IFERROR(IF(OR($B1505="",$B1505="(blank)"),"",VLOOKUP($B1505,'Email Marketing Raw Data'!$C:$O,9,0)),"")</f>
        <v/>
      </c>
    </row>
    <row r="1506" spans="4:17" ht="12.75" customHeight="1" x14ac:dyDescent="0.2">
      <c r="D1506" s="58" t="str">
        <f>IFERROR(IF(F1506&lt;&gt;"pending","",IF(OR($B1506="",$B1506="(blank)"),"",VLOOKUP($B1506,'Email Marketing Raw Data'!$C:$O,10,0))),"")</f>
        <v/>
      </c>
      <c r="E1506" s="59" t="str">
        <f>IFERROR(IF(F1506&lt;&gt;"pending","",IF(OR($B1506="",$B1506="(blank)"),"",VLOOKUP($B1506,'Email Marketing Raw Data'!$C:$O,11,0))),"")</f>
        <v/>
      </c>
      <c r="F1506" s="54" t="str">
        <f>IFERROR(IF(OR($B1506="",$B1506="(blank)"),"",VLOOKUP($B1506,'Email Marketing Raw Data'!$C:$O,13,0)),"")</f>
        <v/>
      </c>
      <c r="G1506" s="55" t="str">
        <f>IFERROR(IF(OR($B1506="",$B1506="(blank)"),"",VLOOKUP($B1506,'Email Marketing Raw Data'!$C:$O,4,0)),"")</f>
        <v/>
      </c>
      <c r="H1506" s="55" t="str">
        <f>IFERROR(IF(OR($B1506="",$B1506="(blank)"),"",VLOOKUP($B1506,'Email Marketing Raw Data'!$C:$O,5,0)),"")</f>
        <v/>
      </c>
      <c r="I1506" s="55" t="str">
        <f>IFERROR(IF($G1506="","",VLOOKUP('Dashboard And Emails Automate'!$G1506,Database!$H:$N,3,0)),"")</f>
        <v/>
      </c>
      <c r="J1506" s="55" t="str">
        <f>IFERROR(IF($G1506="","",VLOOKUP('Dashboard And Emails Automate'!$G1506,Database!$H:$N,4,0)),"")</f>
        <v/>
      </c>
      <c r="K1506" s="55" t="str">
        <f>IFERROR(IF($G1506="","",VLOOKUP('Dashboard And Emails Automate'!$G1506,Database!$H:$N,5,0)),"")</f>
        <v/>
      </c>
      <c r="L1506" s="55" t="str">
        <f>IFERROR(IF($G1506="","",VLOOKUP('Dashboard And Emails Automate'!$G1506,Database!$H:$N,6,0)),"")</f>
        <v/>
      </c>
      <c r="M1506" s="55" t="str">
        <f>IFERROR(IF($G1506="","",VLOOKUP('Dashboard And Emails Automate'!$G1506,Database!$H:$N,7,0)),"")</f>
        <v/>
      </c>
      <c r="N1506" s="55" t="str">
        <f>IFERROR(IF(OR($B1506="",$B1506="(blank)"),"",VLOOKUP($B1506,'Email Marketing Raw Data'!$C:$O,6,0)),"")</f>
        <v/>
      </c>
      <c r="O1506" s="55" t="str">
        <f>IFERROR(IF(OR($B1506="",$B1506="(blank)"),"",VLOOKUP($B1506,'Email Marketing Raw Data'!$C:$O,7,0)),"")</f>
        <v/>
      </c>
      <c r="P1506" s="55" t="str">
        <f>IFERROR(IF(OR($B1506="",$B1506="(blank)"),"",VLOOKUP($B1506,'Email Marketing Raw Data'!$C:$O,8,0)),"")</f>
        <v/>
      </c>
      <c r="Q1506" s="62" t="str">
        <f>IFERROR(IF(OR($B1506="",$B1506="(blank)"),"",VLOOKUP($B1506,'Email Marketing Raw Data'!$C:$O,9,0)),"")</f>
        <v/>
      </c>
    </row>
    <row r="1507" spans="4:17" ht="12.75" customHeight="1" x14ac:dyDescent="0.2">
      <c r="D1507" s="58" t="str">
        <f>IFERROR(IF(F1507&lt;&gt;"pending","",IF(OR($B1507="",$B1507="(blank)"),"",VLOOKUP($B1507,'Email Marketing Raw Data'!$C:$O,10,0))),"")</f>
        <v/>
      </c>
      <c r="E1507" s="59" t="str">
        <f>IFERROR(IF(F1507&lt;&gt;"pending","",IF(OR($B1507="",$B1507="(blank)"),"",VLOOKUP($B1507,'Email Marketing Raw Data'!$C:$O,11,0))),"")</f>
        <v/>
      </c>
      <c r="F1507" s="54" t="str">
        <f>IFERROR(IF(OR($B1507="",$B1507="(blank)"),"",VLOOKUP($B1507,'Email Marketing Raw Data'!$C:$O,13,0)),"")</f>
        <v/>
      </c>
      <c r="G1507" s="55" t="str">
        <f>IFERROR(IF(OR($B1507="",$B1507="(blank)"),"",VLOOKUP($B1507,'Email Marketing Raw Data'!$C:$O,4,0)),"")</f>
        <v/>
      </c>
      <c r="H1507" s="55" t="str">
        <f>IFERROR(IF(OR($B1507="",$B1507="(blank)"),"",VLOOKUP($B1507,'Email Marketing Raw Data'!$C:$O,5,0)),"")</f>
        <v/>
      </c>
      <c r="I1507" s="55" t="str">
        <f>IFERROR(IF($G1507="","",VLOOKUP('Dashboard And Emails Automate'!$G1507,Database!$H:$N,3,0)),"")</f>
        <v/>
      </c>
      <c r="J1507" s="55" t="str">
        <f>IFERROR(IF($G1507="","",VLOOKUP('Dashboard And Emails Automate'!$G1507,Database!$H:$N,4,0)),"")</f>
        <v/>
      </c>
      <c r="K1507" s="55" t="str">
        <f>IFERROR(IF($G1507="","",VLOOKUP('Dashboard And Emails Automate'!$G1507,Database!$H:$N,5,0)),"")</f>
        <v/>
      </c>
      <c r="L1507" s="55" t="str">
        <f>IFERROR(IF($G1507="","",VLOOKUP('Dashboard And Emails Automate'!$G1507,Database!$H:$N,6,0)),"")</f>
        <v/>
      </c>
      <c r="M1507" s="55" t="str">
        <f>IFERROR(IF($G1507="","",VLOOKUP('Dashboard And Emails Automate'!$G1507,Database!$H:$N,7,0)),"")</f>
        <v/>
      </c>
      <c r="N1507" s="55" t="str">
        <f>IFERROR(IF(OR($B1507="",$B1507="(blank)"),"",VLOOKUP($B1507,'Email Marketing Raw Data'!$C:$O,6,0)),"")</f>
        <v/>
      </c>
      <c r="O1507" s="55" t="str">
        <f>IFERROR(IF(OR($B1507="",$B1507="(blank)"),"",VLOOKUP($B1507,'Email Marketing Raw Data'!$C:$O,7,0)),"")</f>
        <v/>
      </c>
      <c r="P1507" s="55" t="str">
        <f>IFERROR(IF(OR($B1507="",$B1507="(blank)"),"",VLOOKUP($B1507,'Email Marketing Raw Data'!$C:$O,8,0)),"")</f>
        <v/>
      </c>
      <c r="Q1507" s="62" t="str">
        <f>IFERROR(IF(OR($B1507="",$B1507="(blank)"),"",VLOOKUP($B1507,'Email Marketing Raw Data'!$C:$O,9,0)),"")</f>
        <v/>
      </c>
    </row>
    <row r="1508" spans="4:17" ht="12.75" customHeight="1" x14ac:dyDescent="0.2">
      <c r="D1508" s="58" t="str">
        <f>IFERROR(IF(F1508&lt;&gt;"pending","",IF(OR($B1508="",$B1508="(blank)"),"",VLOOKUP($B1508,'Email Marketing Raw Data'!$C:$O,10,0))),"")</f>
        <v/>
      </c>
      <c r="E1508" s="59" t="str">
        <f>IFERROR(IF(F1508&lt;&gt;"pending","",IF(OR($B1508="",$B1508="(blank)"),"",VLOOKUP($B1508,'Email Marketing Raw Data'!$C:$O,11,0))),"")</f>
        <v/>
      </c>
      <c r="F1508" s="54" t="str">
        <f>IFERROR(IF(OR($B1508="",$B1508="(blank)"),"",VLOOKUP($B1508,'Email Marketing Raw Data'!$C:$O,13,0)),"")</f>
        <v/>
      </c>
      <c r="G1508" s="55" t="str">
        <f>IFERROR(IF(OR($B1508="",$B1508="(blank)"),"",VLOOKUP($B1508,'Email Marketing Raw Data'!$C:$O,4,0)),"")</f>
        <v/>
      </c>
      <c r="H1508" s="55" t="str">
        <f>IFERROR(IF(OR($B1508="",$B1508="(blank)"),"",VLOOKUP($B1508,'Email Marketing Raw Data'!$C:$O,5,0)),"")</f>
        <v/>
      </c>
      <c r="I1508" s="55" t="str">
        <f>IFERROR(IF($G1508="","",VLOOKUP('Dashboard And Emails Automate'!$G1508,Database!$H:$N,3,0)),"")</f>
        <v/>
      </c>
      <c r="J1508" s="55" t="str">
        <f>IFERROR(IF($G1508="","",VLOOKUP('Dashboard And Emails Automate'!$G1508,Database!$H:$N,4,0)),"")</f>
        <v/>
      </c>
      <c r="K1508" s="55" t="str">
        <f>IFERROR(IF($G1508="","",VLOOKUP('Dashboard And Emails Automate'!$G1508,Database!$H:$N,5,0)),"")</f>
        <v/>
      </c>
      <c r="L1508" s="55" t="str">
        <f>IFERROR(IF($G1508="","",VLOOKUP('Dashboard And Emails Automate'!$G1508,Database!$H:$N,6,0)),"")</f>
        <v/>
      </c>
      <c r="M1508" s="55" t="str">
        <f>IFERROR(IF($G1508="","",VLOOKUP('Dashboard And Emails Automate'!$G1508,Database!$H:$N,7,0)),"")</f>
        <v/>
      </c>
      <c r="N1508" s="55" t="str">
        <f>IFERROR(IF(OR($B1508="",$B1508="(blank)"),"",VLOOKUP($B1508,'Email Marketing Raw Data'!$C:$O,6,0)),"")</f>
        <v/>
      </c>
      <c r="O1508" s="55" t="str">
        <f>IFERROR(IF(OR($B1508="",$B1508="(blank)"),"",VLOOKUP($B1508,'Email Marketing Raw Data'!$C:$O,7,0)),"")</f>
        <v/>
      </c>
      <c r="P1508" s="55" t="str">
        <f>IFERROR(IF(OR($B1508="",$B1508="(blank)"),"",VLOOKUP($B1508,'Email Marketing Raw Data'!$C:$O,8,0)),"")</f>
        <v/>
      </c>
      <c r="Q1508" s="62" t="str">
        <f>IFERROR(IF(OR($B1508="",$B1508="(blank)"),"",VLOOKUP($B1508,'Email Marketing Raw Data'!$C:$O,9,0)),"")</f>
        <v/>
      </c>
    </row>
    <row r="1509" spans="4:17" ht="12.75" customHeight="1" x14ac:dyDescent="0.2">
      <c r="D1509" s="58" t="str">
        <f>IFERROR(IF(F1509&lt;&gt;"pending","",IF(OR($B1509="",$B1509="(blank)"),"",VLOOKUP($B1509,'Email Marketing Raw Data'!$C:$O,10,0))),"")</f>
        <v/>
      </c>
      <c r="E1509" s="59" t="str">
        <f>IFERROR(IF(F1509&lt;&gt;"pending","",IF(OR($B1509="",$B1509="(blank)"),"",VLOOKUP($B1509,'Email Marketing Raw Data'!$C:$O,11,0))),"")</f>
        <v/>
      </c>
      <c r="F1509" s="54" t="str">
        <f>IFERROR(IF(OR($B1509="",$B1509="(blank)"),"",VLOOKUP($B1509,'Email Marketing Raw Data'!$C:$O,13,0)),"")</f>
        <v/>
      </c>
      <c r="G1509" s="55" t="str">
        <f>IFERROR(IF(OR($B1509="",$B1509="(blank)"),"",VLOOKUP($B1509,'Email Marketing Raw Data'!$C:$O,4,0)),"")</f>
        <v/>
      </c>
      <c r="H1509" s="55" t="str">
        <f>IFERROR(IF(OR($B1509="",$B1509="(blank)"),"",VLOOKUP($B1509,'Email Marketing Raw Data'!$C:$O,5,0)),"")</f>
        <v/>
      </c>
      <c r="I1509" s="55" t="str">
        <f>IFERROR(IF($G1509="","",VLOOKUP('Dashboard And Emails Automate'!$G1509,Database!$H:$N,3,0)),"")</f>
        <v/>
      </c>
      <c r="J1509" s="55" t="str">
        <f>IFERROR(IF($G1509="","",VLOOKUP('Dashboard And Emails Automate'!$G1509,Database!$H:$N,4,0)),"")</f>
        <v/>
      </c>
      <c r="K1509" s="55" t="str">
        <f>IFERROR(IF($G1509="","",VLOOKUP('Dashboard And Emails Automate'!$G1509,Database!$H:$N,5,0)),"")</f>
        <v/>
      </c>
      <c r="L1509" s="55" t="str">
        <f>IFERROR(IF($G1509="","",VLOOKUP('Dashboard And Emails Automate'!$G1509,Database!$H:$N,6,0)),"")</f>
        <v/>
      </c>
      <c r="M1509" s="55" t="str">
        <f>IFERROR(IF($G1509="","",VLOOKUP('Dashboard And Emails Automate'!$G1509,Database!$H:$N,7,0)),"")</f>
        <v/>
      </c>
      <c r="N1509" s="55" t="str">
        <f>IFERROR(IF(OR($B1509="",$B1509="(blank)"),"",VLOOKUP($B1509,'Email Marketing Raw Data'!$C:$O,6,0)),"")</f>
        <v/>
      </c>
      <c r="O1509" s="55" t="str">
        <f>IFERROR(IF(OR($B1509="",$B1509="(blank)"),"",VLOOKUP($B1509,'Email Marketing Raw Data'!$C:$O,7,0)),"")</f>
        <v/>
      </c>
      <c r="P1509" s="55" t="str">
        <f>IFERROR(IF(OR($B1509="",$B1509="(blank)"),"",VLOOKUP($B1509,'Email Marketing Raw Data'!$C:$O,8,0)),"")</f>
        <v/>
      </c>
      <c r="Q1509" s="62" t="str">
        <f>IFERROR(IF(OR($B1509="",$B1509="(blank)"),"",VLOOKUP($B1509,'Email Marketing Raw Data'!$C:$O,9,0)),"")</f>
        <v/>
      </c>
    </row>
    <row r="1510" spans="4:17" ht="12.75" customHeight="1" x14ac:dyDescent="0.2">
      <c r="D1510" s="58" t="str">
        <f>IFERROR(IF(F1510&lt;&gt;"pending","",IF(OR($B1510="",$B1510="(blank)"),"",VLOOKUP($B1510,'Email Marketing Raw Data'!$C:$O,10,0))),"")</f>
        <v/>
      </c>
      <c r="E1510" s="59" t="str">
        <f>IFERROR(IF(F1510&lt;&gt;"pending","",IF(OR($B1510="",$B1510="(blank)"),"",VLOOKUP($B1510,'Email Marketing Raw Data'!$C:$O,11,0))),"")</f>
        <v/>
      </c>
      <c r="F1510" s="54" t="str">
        <f>IFERROR(IF(OR($B1510="",$B1510="(blank)"),"",VLOOKUP($B1510,'Email Marketing Raw Data'!$C:$O,13,0)),"")</f>
        <v/>
      </c>
      <c r="G1510" s="55" t="str">
        <f>IFERROR(IF(OR($B1510="",$B1510="(blank)"),"",VLOOKUP($B1510,'Email Marketing Raw Data'!$C:$O,4,0)),"")</f>
        <v/>
      </c>
      <c r="H1510" s="55" t="str">
        <f>IFERROR(IF(OR($B1510="",$B1510="(blank)"),"",VLOOKUP($B1510,'Email Marketing Raw Data'!$C:$O,5,0)),"")</f>
        <v/>
      </c>
      <c r="I1510" s="55" t="str">
        <f>IFERROR(IF($G1510="","",VLOOKUP('Dashboard And Emails Automate'!$G1510,Database!$H:$N,3,0)),"")</f>
        <v/>
      </c>
      <c r="J1510" s="55" t="str">
        <f>IFERROR(IF($G1510="","",VLOOKUP('Dashboard And Emails Automate'!$G1510,Database!$H:$N,4,0)),"")</f>
        <v/>
      </c>
      <c r="K1510" s="55" t="str">
        <f>IFERROR(IF($G1510="","",VLOOKUP('Dashboard And Emails Automate'!$G1510,Database!$H:$N,5,0)),"")</f>
        <v/>
      </c>
      <c r="L1510" s="55" t="str">
        <f>IFERROR(IF($G1510="","",VLOOKUP('Dashboard And Emails Automate'!$G1510,Database!$H:$N,6,0)),"")</f>
        <v/>
      </c>
      <c r="M1510" s="55" t="str">
        <f>IFERROR(IF($G1510="","",VLOOKUP('Dashboard And Emails Automate'!$G1510,Database!$H:$N,7,0)),"")</f>
        <v/>
      </c>
      <c r="N1510" s="55" t="str">
        <f>IFERROR(IF(OR($B1510="",$B1510="(blank)"),"",VLOOKUP($B1510,'Email Marketing Raw Data'!$C:$O,6,0)),"")</f>
        <v/>
      </c>
      <c r="O1510" s="55" t="str">
        <f>IFERROR(IF(OR($B1510="",$B1510="(blank)"),"",VLOOKUP($B1510,'Email Marketing Raw Data'!$C:$O,7,0)),"")</f>
        <v/>
      </c>
      <c r="P1510" s="55" t="str">
        <f>IFERROR(IF(OR($B1510="",$B1510="(blank)"),"",VLOOKUP($B1510,'Email Marketing Raw Data'!$C:$O,8,0)),"")</f>
        <v/>
      </c>
      <c r="Q1510" s="62" t="str">
        <f>IFERROR(IF(OR($B1510="",$B1510="(blank)"),"",VLOOKUP($B1510,'Email Marketing Raw Data'!$C:$O,9,0)),"")</f>
        <v/>
      </c>
    </row>
    <row r="1511" spans="4:17" ht="12.75" customHeight="1" x14ac:dyDescent="0.2">
      <c r="D1511" s="58" t="str">
        <f>IFERROR(IF(F1511&lt;&gt;"pending","",IF(OR($B1511="",$B1511="(blank)"),"",VLOOKUP($B1511,'Email Marketing Raw Data'!$C:$O,10,0))),"")</f>
        <v/>
      </c>
      <c r="E1511" s="59" t="str">
        <f>IFERROR(IF(F1511&lt;&gt;"pending","",IF(OR($B1511="",$B1511="(blank)"),"",VLOOKUP($B1511,'Email Marketing Raw Data'!$C:$O,11,0))),"")</f>
        <v/>
      </c>
      <c r="F1511" s="54" t="str">
        <f>IFERROR(IF(OR($B1511="",$B1511="(blank)"),"",VLOOKUP($B1511,'Email Marketing Raw Data'!$C:$O,13,0)),"")</f>
        <v/>
      </c>
      <c r="G1511" s="55" t="str">
        <f>IFERROR(IF(OR($B1511="",$B1511="(blank)"),"",VLOOKUP($B1511,'Email Marketing Raw Data'!$C:$O,4,0)),"")</f>
        <v/>
      </c>
      <c r="H1511" s="55" t="str">
        <f>IFERROR(IF(OR($B1511="",$B1511="(blank)"),"",VLOOKUP($B1511,'Email Marketing Raw Data'!$C:$O,5,0)),"")</f>
        <v/>
      </c>
      <c r="I1511" s="55" t="str">
        <f>IFERROR(IF($G1511="","",VLOOKUP('Dashboard And Emails Automate'!$G1511,Database!$H:$N,3,0)),"")</f>
        <v/>
      </c>
      <c r="J1511" s="55" t="str">
        <f>IFERROR(IF($G1511="","",VLOOKUP('Dashboard And Emails Automate'!$G1511,Database!$H:$N,4,0)),"")</f>
        <v/>
      </c>
      <c r="K1511" s="55" t="str">
        <f>IFERROR(IF($G1511="","",VLOOKUP('Dashboard And Emails Automate'!$G1511,Database!$H:$N,5,0)),"")</f>
        <v/>
      </c>
      <c r="L1511" s="55" t="str">
        <f>IFERROR(IF($G1511="","",VLOOKUP('Dashboard And Emails Automate'!$G1511,Database!$H:$N,6,0)),"")</f>
        <v/>
      </c>
      <c r="M1511" s="55" t="str">
        <f>IFERROR(IF($G1511="","",VLOOKUP('Dashboard And Emails Automate'!$G1511,Database!$H:$N,7,0)),"")</f>
        <v/>
      </c>
      <c r="N1511" s="55" t="str">
        <f>IFERROR(IF(OR($B1511="",$B1511="(blank)"),"",VLOOKUP($B1511,'Email Marketing Raw Data'!$C:$O,6,0)),"")</f>
        <v/>
      </c>
      <c r="O1511" s="55" t="str">
        <f>IFERROR(IF(OR($B1511="",$B1511="(blank)"),"",VLOOKUP($B1511,'Email Marketing Raw Data'!$C:$O,7,0)),"")</f>
        <v/>
      </c>
      <c r="P1511" s="55" t="str">
        <f>IFERROR(IF(OR($B1511="",$B1511="(blank)"),"",VLOOKUP($B1511,'Email Marketing Raw Data'!$C:$O,8,0)),"")</f>
        <v/>
      </c>
      <c r="Q1511" s="62" t="str">
        <f>IFERROR(IF(OR($B1511="",$B1511="(blank)"),"",VLOOKUP($B1511,'Email Marketing Raw Data'!$C:$O,9,0)),"")</f>
        <v/>
      </c>
    </row>
    <row r="1512" spans="4:17" ht="12.75" customHeight="1" x14ac:dyDescent="0.2">
      <c r="D1512" s="58" t="str">
        <f>IFERROR(IF(F1512&lt;&gt;"pending","",IF(OR($B1512="",$B1512="(blank)"),"",VLOOKUP($B1512,'Email Marketing Raw Data'!$C:$O,10,0))),"")</f>
        <v/>
      </c>
      <c r="E1512" s="59" t="str">
        <f>IFERROR(IF(F1512&lt;&gt;"pending","",IF(OR($B1512="",$B1512="(blank)"),"",VLOOKUP($B1512,'Email Marketing Raw Data'!$C:$O,11,0))),"")</f>
        <v/>
      </c>
      <c r="F1512" s="54" t="str">
        <f>IFERROR(IF(OR($B1512="",$B1512="(blank)"),"",VLOOKUP($B1512,'Email Marketing Raw Data'!$C:$O,13,0)),"")</f>
        <v/>
      </c>
      <c r="G1512" s="55" t="str">
        <f>IFERROR(IF(OR($B1512="",$B1512="(blank)"),"",VLOOKUP($B1512,'Email Marketing Raw Data'!$C:$O,4,0)),"")</f>
        <v/>
      </c>
      <c r="H1512" s="55" t="str">
        <f>IFERROR(IF(OR($B1512="",$B1512="(blank)"),"",VLOOKUP($B1512,'Email Marketing Raw Data'!$C:$O,5,0)),"")</f>
        <v/>
      </c>
      <c r="I1512" s="55" t="str">
        <f>IFERROR(IF($G1512="","",VLOOKUP('Dashboard And Emails Automate'!$G1512,Database!$H:$N,3,0)),"")</f>
        <v/>
      </c>
      <c r="J1512" s="55" t="str">
        <f>IFERROR(IF($G1512="","",VLOOKUP('Dashboard And Emails Automate'!$G1512,Database!$H:$N,4,0)),"")</f>
        <v/>
      </c>
      <c r="K1512" s="55" t="str">
        <f>IFERROR(IF($G1512="","",VLOOKUP('Dashboard And Emails Automate'!$G1512,Database!$H:$N,5,0)),"")</f>
        <v/>
      </c>
      <c r="L1512" s="55" t="str">
        <f>IFERROR(IF($G1512="","",VLOOKUP('Dashboard And Emails Automate'!$G1512,Database!$H:$N,6,0)),"")</f>
        <v/>
      </c>
      <c r="M1512" s="55" t="str">
        <f>IFERROR(IF($G1512="","",VLOOKUP('Dashboard And Emails Automate'!$G1512,Database!$H:$N,7,0)),"")</f>
        <v/>
      </c>
      <c r="N1512" s="55" t="str">
        <f>IFERROR(IF(OR($B1512="",$B1512="(blank)"),"",VLOOKUP($B1512,'Email Marketing Raw Data'!$C:$O,6,0)),"")</f>
        <v/>
      </c>
      <c r="O1512" s="55" t="str">
        <f>IFERROR(IF(OR($B1512="",$B1512="(blank)"),"",VLOOKUP($B1512,'Email Marketing Raw Data'!$C:$O,7,0)),"")</f>
        <v/>
      </c>
      <c r="P1512" s="55" t="str">
        <f>IFERROR(IF(OR($B1512="",$B1512="(blank)"),"",VLOOKUP($B1512,'Email Marketing Raw Data'!$C:$O,8,0)),"")</f>
        <v/>
      </c>
      <c r="Q1512" s="62" t="str">
        <f>IFERROR(IF(OR($B1512="",$B1512="(blank)"),"",VLOOKUP($B1512,'Email Marketing Raw Data'!$C:$O,9,0)),"")</f>
        <v/>
      </c>
    </row>
    <row r="1513" spans="4:17" ht="12.75" customHeight="1" x14ac:dyDescent="0.2">
      <c r="D1513" s="58" t="str">
        <f>IFERROR(IF(F1513&lt;&gt;"pending","",IF(OR($B1513="",$B1513="(blank)"),"",VLOOKUP($B1513,'Email Marketing Raw Data'!$C:$O,10,0))),"")</f>
        <v/>
      </c>
      <c r="E1513" s="59" t="str">
        <f>IFERROR(IF(F1513&lt;&gt;"pending","",IF(OR($B1513="",$B1513="(blank)"),"",VLOOKUP($B1513,'Email Marketing Raw Data'!$C:$O,11,0))),"")</f>
        <v/>
      </c>
      <c r="F1513" s="54" t="str">
        <f>IFERROR(IF(OR($B1513="",$B1513="(blank)"),"",VLOOKUP($B1513,'Email Marketing Raw Data'!$C:$O,13,0)),"")</f>
        <v/>
      </c>
      <c r="G1513" s="55" t="str">
        <f>IFERROR(IF(OR($B1513="",$B1513="(blank)"),"",VLOOKUP($B1513,'Email Marketing Raw Data'!$C:$O,4,0)),"")</f>
        <v/>
      </c>
      <c r="H1513" s="55" t="str">
        <f>IFERROR(IF(OR($B1513="",$B1513="(blank)"),"",VLOOKUP($B1513,'Email Marketing Raw Data'!$C:$O,5,0)),"")</f>
        <v/>
      </c>
      <c r="I1513" s="55" t="str">
        <f>IFERROR(IF($G1513="","",VLOOKUP('Dashboard And Emails Automate'!$G1513,Database!$H:$N,3,0)),"")</f>
        <v/>
      </c>
      <c r="J1513" s="55" t="str">
        <f>IFERROR(IF($G1513="","",VLOOKUP('Dashboard And Emails Automate'!$G1513,Database!$H:$N,4,0)),"")</f>
        <v/>
      </c>
      <c r="K1513" s="55" t="str">
        <f>IFERROR(IF($G1513="","",VLOOKUP('Dashboard And Emails Automate'!$G1513,Database!$H:$N,5,0)),"")</f>
        <v/>
      </c>
      <c r="L1513" s="55" t="str">
        <f>IFERROR(IF($G1513="","",VLOOKUP('Dashboard And Emails Automate'!$G1513,Database!$H:$N,6,0)),"")</f>
        <v/>
      </c>
      <c r="M1513" s="55" t="str">
        <f>IFERROR(IF($G1513="","",VLOOKUP('Dashboard And Emails Automate'!$G1513,Database!$H:$N,7,0)),"")</f>
        <v/>
      </c>
      <c r="N1513" s="55" t="str">
        <f>IFERROR(IF(OR($B1513="",$B1513="(blank)"),"",VLOOKUP($B1513,'Email Marketing Raw Data'!$C:$O,6,0)),"")</f>
        <v/>
      </c>
      <c r="O1513" s="55" t="str">
        <f>IFERROR(IF(OR($B1513="",$B1513="(blank)"),"",VLOOKUP($B1513,'Email Marketing Raw Data'!$C:$O,7,0)),"")</f>
        <v/>
      </c>
      <c r="P1513" s="55" t="str">
        <f>IFERROR(IF(OR($B1513="",$B1513="(blank)"),"",VLOOKUP($B1513,'Email Marketing Raw Data'!$C:$O,8,0)),"")</f>
        <v/>
      </c>
      <c r="Q1513" s="62" t="str">
        <f>IFERROR(IF(OR($B1513="",$B1513="(blank)"),"",VLOOKUP($B1513,'Email Marketing Raw Data'!$C:$O,9,0)),"")</f>
        <v/>
      </c>
    </row>
    <row r="1514" spans="4:17" ht="12.75" customHeight="1" x14ac:dyDescent="0.2">
      <c r="D1514" s="58" t="str">
        <f>IFERROR(IF(F1514&lt;&gt;"pending","",IF(OR($B1514="",$B1514="(blank)"),"",VLOOKUP($B1514,'Email Marketing Raw Data'!$C:$O,10,0))),"")</f>
        <v/>
      </c>
      <c r="E1514" s="59" t="str">
        <f>IFERROR(IF(F1514&lt;&gt;"pending","",IF(OR($B1514="",$B1514="(blank)"),"",VLOOKUP($B1514,'Email Marketing Raw Data'!$C:$O,11,0))),"")</f>
        <v/>
      </c>
      <c r="F1514" s="54" t="str">
        <f>IFERROR(IF(OR($B1514="",$B1514="(blank)"),"",VLOOKUP($B1514,'Email Marketing Raw Data'!$C:$O,13,0)),"")</f>
        <v/>
      </c>
      <c r="G1514" s="55" t="str">
        <f>IFERROR(IF(OR($B1514="",$B1514="(blank)"),"",VLOOKUP($B1514,'Email Marketing Raw Data'!$C:$O,4,0)),"")</f>
        <v/>
      </c>
      <c r="H1514" s="55" t="str">
        <f>IFERROR(IF(OR($B1514="",$B1514="(blank)"),"",VLOOKUP($B1514,'Email Marketing Raw Data'!$C:$O,5,0)),"")</f>
        <v/>
      </c>
      <c r="I1514" s="55" t="str">
        <f>IFERROR(IF($G1514="","",VLOOKUP('Dashboard And Emails Automate'!$G1514,Database!$H:$N,3,0)),"")</f>
        <v/>
      </c>
      <c r="J1514" s="55" t="str">
        <f>IFERROR(IF($G1514="","",VLOOKUP('Dashboard And Emails Automate'!$G1514,Database!$H:$N,4,0)),"")</f>
        <v/>
      </c>
      <c r="K1514" s="55" t="str">
        <f>IFERROR(IF($G1514="","",VLOOKUP('Dashboard And Emails Automate'!$G1514,Database!$H:$N,5,0)),"")</f>
        <v/>
      </c>
      <c r="L1514" s="55" t="str">
        <f>IFERROR(IF($G1514="","",VLOOKUP('Dashboard And Emails Automate'!$G1514,Database!$H:$N,6,0)),"")</f>
        <v/>
      </c>
      <c r="M1514" s="55" t="str">
        <f>IFERROR(IF($G1514="","",VLOOKUP('Dashboard And Emails Automate'!$G1514,Database!$H:$N,7,0)),"")</f>
        <v/>
      </c>
      <c r="N1514" s="55" t="str">
        <f>IFERROR(IF(OR($B1514="",$B1514="(blank)"),"",VLOOKUP($B1514,'Email Marketing Raw Data'!$C:$O,6,0)),"")</f>
        <v/>
      </c>
      <c r="O1514" s="55" t="str">
        <f>IFERROR(IF(OR($B1514="",$B1514="(blank)"),"",VLOOKUP($B1514,'Email Marketing Raw Data'!$C:$O,7,0)),"")</f>
        <v/>
      </c>
      <c r="P1514" s="55" t="str">
        <f>IFERROR(IF(OR($B1514="",$B1514="(blank)"),"",VLOOKUP($B1514,'Email Marketing Raw Data'!$C:$O,8,0)),"")</f>
        <v/>
      </c>
      <c r="Q1514" s="62" t="str">
        <f>IFERROR(IF(OR($B1514="",$B1514="(blank)"),"",VLOOKUP($B1514,'Email Marketing Raw Data'!$C:$O,9,0)),"")</f>
        <v/>
      </c>
    </row>
    <row r="1515" spans="4:17" ht="12.75" customHeight="1" x14ac:dyDescent="0.2">
      <c r="D1515" s="58" t="str">
        <f>IFERROR(IF(F1515&lt;&gt;"pending","",IF(OR($B1515="",$B1515="(blank)"),"",VLOOKUP($B1515,'Email Marketing Raw Data'!$C:$O,10,0))),"")</f>
        <v/>
      </c>
      <c r="E1515" s="59" t="str">
        <f>IFERROR(IF(F1515&lt;&gt;"pending","",IF(OR($B1515="",$B1515="(blank)"),"",VLOOKUP($B1515,'Email Marketing Raw Data'!$C:$O,11,0))),"")</f>
        <v/>
      </c>
      <c r="F1515" s="54" t="str">
        <f>IFERROR(IF(OR($B1515="",$B1515="(blank)"),"",VLOOKUP($B1515,'Email Marketing Raw Data'!$C:$O,13,0)),"")</f>
        <v/>
      </c>
      <c r="G1515" s="55" t="str">
        <f>IFERROR(IF(OR($B1515="",$B1515="(blank)"),"",VLOOKUP($B1515,'Email Marketing Raw Data'!$C:$O,4,0)),"")</f>
        <v/>
      </c>
      <c r="H1515" s="55" t="str">
        <f>IFERROR(IF(OR($B1515="",$B1515="(blank)"),"",VLOOKUP($B1515,'Email Marketing Raw Data'!$C:$O,5,0)),"")</f>
        <v/>
      </c>
      <c r="I1515" s="55" t="str">
        <f>IFERROR(IF($G1515="","",VLOOKUP('Dashboard And Emails Automate'!$G1515,Database!$H:$N,3,0)),"")</f>
        <v/>
      </c>
      <c r="J1515" s="55" t="str">
        <f>IFERROR(IF($G1515="","",VLOOKUP('Dashboard And Emails Automate'!$G1515,Database!$H:$N,4,0)),"")</f>
        <v/>
      </c>
      <c r="K1515" s="55" t="str">
        <f>IFERROR(IF($G1515="","",VLOOKUP('Dashboard And Emails Automate'!$G1515,Database!$H:$N,5,0)),"")</f>
        <v/>
      </c>
      <c r="L1515" s="55" t="str">
        <f>IFERROR(IF($G1515="","",VLOOKUP('Dashboard And Emails Automate'!$G1515,Database!$H:$N,6,0)),"")</f>
        <v/>
      </c>
      <c r="M1515" s="55" t="str">
        <f>IFERROR(IF($G1515="","",VLOOKUP('Dashboard And Emails Automate'!$G1515,Database!$H:$N,7,0)),"")</f>
        <v/>
      </c>
      <c r="N1515" s="55" t="str">
        <f>IFERROR(IF(OR($B1515="",$B1515="(blank)"),"",VLOOKUP($B1515,'Email Marketing Raw Data'!$C:$O,6,0)),"")</f>
        <v/>
      </c>
      <c r="O1515" s="55" t="str">
        <f>IFERROR(IF(OR($B1515="",$B1515="(blank)"),"",VLOOKUP($B1515,'Email Marketing Raw Data'!$C:$O,7,0)),"")</f>
        <v/>
      </c>
      <c r="P1515" s="55" t="str">
        <f>IFERROR(IF(OR($B1515="",$B1515="(blank)"),"",VLOOKUP($B1515,'Email Marketing Raw Data'!$C:$O,8,0)),"")</f>
        <v/>
      </c>
      <c r="Q1515" s="62" t="str">
        <f>IFERROR(IF(OR($B1515="",$B1515="(blank)"),"",VLOOKUP($B1515,'Email Marketing Raw Data'!$C:$O,9,0)),"")</f>
        <v/>
      </c>
    </row>
    <row r="1516" spans="4:17" ht="12.75" customHeight="1" x14ac:dyDescent="0.2">
      <c r="D1516" s="58" t="str">
        <f>IFERROR(IF(F1516&lt;&gt;"pending","",IF(OR($B1516="",$B1516="(blank)"),"",VLOOKUP($B1516,'Email Marketing Raw Data'!$C:$O,10,0))),"")</f>
        <v/>
      </c>
      <c r="E1516" s="59" t="str">
        <f>IFERROR(IF(F1516&lt;&gt;"pending","",IF(OR($B1516="",$B1516="(blank)"),"",VLOOKUP($B1516,'Email Marketing Raw Data'!$C:$O,11,0))),"")</f>
        <v/>
      </c>
      <c r="F1516" s="54" t="str">
        <f>IFERROR(IF(OR($B1516="",$B1516="(blank)"),"",VLOOKUP($B1516,'Email Marketing Raw Data'!$C:$O,13,0)),"")</f>
        <v/>
      </c>
      <c r="G1516" s="55" t="str">
        <f>IFERROR(IF(OR($B1516="",$B1516="(blank)"),"",VLOOKUP($B1516,'Email Marketing Raw Data'!$C:$O,4,0)),"")</f>
        <v/>
      </c>
      <c r="H1516" s="55" t="str">
        <f>IFERROR(IF(OR($B1516="",$B1516="(blank)"),"",VLOOKUP($B1516,'Email Marketing Raw Data'!$C:$O,5,0)),"")</f>
        <v/>
      </c>
      <c r="I1516" s="55" t="str">
        <f>IFERROR(IF($G1516="","",VLOOKUP('Dashboard And Emails Automate'!$G1516,Database!$H:$N,3,0)),"")</f>
        <v/>
      </c>
      <c r="J1516" s="55" t="str">
        <f>IFERROR(IF($G1516="","",VLOOKUP('Dashboard And Emails Automate'!$G1516,Database!$H:$N,4,0)),"")</f>
        <v/>
      </c>
      <c r="K1516" s="55" t="str">
        <f>IFERROR(IF($G1516="","",VLOOKUP('Dashboard And Emails Automate'!$G1516,Database!$H:$N,5,0)),"")</f>
        <v/>
      </c>
      <c r="L1516" s="55" t="str">
        <f>IFERROR(IF($G1516="","",VLOOKUP('Dashboard And Emails Automate'!$G1516,Database!$H:$N,6,0)),"")</f>
        <v/>
      </c>
      <c r="M1516" s="55" t="str">
        <f>IFERROR(IF($G1516="","",VLOOKUP('Dashboard And Emails Automate'!$G1516,Database!$H:$N,7,0)),"")</f>
        <v/>
      </c>
      <c r="N1516" s="55" t="str">
        <f>IFERROR(IF(OR($B1516="",$B1516="(blank)"),"",VLOOKUP($B1516,'Email Marketing Raw Data'!$C:$O,6,0)),"")</f>
        <v/>
      </c>
      <c r="O1516" s="55" t="str">
        <f>IFERROR(IF(OR($B1516="",$B1516="(blank)"),"",VLOOKUP($B1516,'Email Marketing Raw Data'!$C:$O,7,0)),"")</f>
        <v/>
      </c>
      <c r="P1516" s="55" t="str">
        <f>IFERROR(IF(OR($B1516="",$B1516="(blank)"),"",VLOOKUP($B1516,'Email Marketing Raw Data'!$C:$O,8,0)),"")</f>
        <v/>
      </c>
      <c r="Q1516" s="62" t="str">
        <f>IFERROR(IF(OR($B1516="",$B1516="(blank)"),"",VLOOKUP($B1516,'Email Marketing Raw Data'!$C:$O,9,0)),"")</f>
        <v/>
      </c>
    </row>
    <row r="1517" spans="4:17" ht="12.75" customHeight="1" x14ac:dyDescent="0.2">
      <c r="D1517" s="58" t="str">
        <f>IFERROR(IF(F1517&lt;&gt;"pending","",IF(OR($B1517="",$B1517="(blank)"),"",VLOOKUP($B1517,'Email Marketing Raw Data'!$C:$O,10,0))),"")</f>
        <v/>
      </c>
      <c r="E1517" s="59" t="str">
        <f>IFERROR(IF(F1517&lt;&gt;"pending","",IF(OR($B1517="",$B1517="(blank)"),"",VLOOKUP($B1517,'Email Marketing Raw Data'!$C:$O,11,0))),"")</f>
        <v/>
      </c>
      <c r="F1517" s="54" t="str">
        <f>IFERROR(IF(OR($B1517="",$B1517="(blank)"),"",VLOOKUP($B1517,'Email Marketing Raw Data'!$C:$O,13,0)),"")</f>
        <v/>
      </c>
      <c r="G1517" s="55" t="str">
        <f>IFERROR(IF(OR($B1517="",$B1517="(blank)"),"",VLOOKUP($B1517,'Email Marketing Raw Data'!$C:$O,4,0)),"")</f>
        <v/>
      </c>
      <c r="H1517" s="55" t="str">
        <f>IFERROR(IF(OR($B1517="",$B1517="(blank)"),"",VLOOKUP($B1517,'Email Marketing Raw Data'!$C:$O,5,0)),"")</f>
        <v/>
      </c>
      <c r="I1517" s="55" t="str">
        <f>IFERROR(IF($G1517="","",VLOOKUP('Dashboard And Emails Automate'!$G1517,Database!$H:$N,3,0)),"")</f>
        <v/>
      </c>
      <c r="J1517" s="55" t="str">
        <f>IFERROR(IF($G1517="","",VLOOKUP('Dashboard And Emails Automate'!$G1517,Database!$H:$N,4,0)),"")</f>
        <v/>
      </c>
      <c r="K1517" s="55" t="str">
        <f>IFERROR(IF($G1517="","",VLOOKUP('Dashboard And Emails Automate'!$G1517,Database!$H:$N,5,0)),"")</f>
        <v/>
      </c>
      <c r="L1517" s="55" t="str">
        <f>IFERROR(IF($G1517="","",VLOOKUP('Dashboard And Emails Automate'!$G1517,Database!$H:$N,6,0)),"")</f>
        <v/>
      </c>
      <c r="M1517" s="55" t="str">
        <f>IFERROR(IF($G1517="","",VLOOKUP('Dashboard And Emails Automate'!$G1517,Database!$H:$N,7,0)),"")</f>
        <v/>
      </c>
      <c r="N1517" s="55" t="str">
        <f>IFERROR(IF(OR($B1517="",$B1517="(blank)"),"",VLOOKUP($B1517,'Email Marketing Raw Data'!$C:$O,6,0)),"")</f>
        <v/>
      </c>
      <c r="O1517" s="55" t="str">
        <f>IFERROR(IF(OR($B1517="",$B1517="(blank)"),"",VLOOKUP($B1517,'Email Marketing Raw Data'!$C:$O,7,0)),"")</f>
        <v/>
      </c>
      <c r="P1517" s="55" t="str">
        <f>IFERROR(IF(OR($B1517="",$B1517="(blank)"),"",VLOOKUP($B1517,'Email Marketing Raw Data'!$C:$O,8,0)),"")</f>
        <v/>
      </c>
      <c r="Q1517" s="62" t="str">
        <f>IFERROR(IF(OR($B1517="",$B1517="(blank)"),"",VLOOKUP($B1517,'Email Marketing Raw Data'!$C:$O,9,0)),"")</f>
        <v/>
      </c>
    </row>
    <row r="1518" spans="4:17" ht="12.75" customHeight="1" x14ac:dyDescent="0.2">
      <c r="D1518" s="58" t="str">
        <f>IFERROR(IF(F1518&lt;&gt;"pending","",IF(OR($B1518="",$B1518="(blank)"),"",VLOOKUP($B1518,'Email Marketing Raw Data'!$C:$O,10,0))),"")</f>
        <v/>
      </c>
      <c r="E1518" s="59" t="str">
        <f>IFERROR(IF(F1518&lt;&gt;"pending","",IF(OR($B1518="",$B1518="(blank)"),"",VLOOKUP($B1518,'Email Marketing Raw Data'!$C:$O,11,0))),"")</f>
        <v/>
      </c>
      <c r="F1518" s="54" t="str">
        <f>IFERROR(IF(OR($B1518="",$B1518="(blank)"),"",VLOOKUP($B1518,'Email Marketing Raw Data'!$C:$O,13,0)),"")</f>
        <v/>
      </c>
      <c r="G1518" s="55" t="str">
        <f>IFERROR(IF(OR($B1518="",$B1518="(blank)"),"",VLOOKUP($B1518,'Email Marketing Raw Data'!$C:$O,4,0)),"")</f>
        <v/>
      </c>
      <c r="H1518" s="55" t="str">
        <f>IFERROR(IF(OR($B1518="",$B1518="(blank)"),"",VLOOKUP($B1518,'Email Marketing Raw Data'!$C:$O,5,0)),"")</f>
        <v/>
      </c>
      <c r="I1518" s="55" t="str">
        <f>IFERROR(IF($G1518="","",VLOOKUP('Dashboard And Emails Automate'!$G1518,Database!$H:$N,3,0)),"")</f>
        <v/>
      </c>
      <c r="J1518" s="55" t="str">
        <f>IFERROR(IF($G1518="","",VLOOKUP('Dashboard And Emails Automate'!$G1518,Database!$H:$N,4,0)),"")</f>
        <v/>
      </c>
      <c r="K1518" s="55" t="str">
        <f>IFERROR(IF($G1518="","",VLOOKUP('Dashboard And Emails Automate'!$G1518,Database!$H:$N,5,0)),"")</f>
        <v/>
      </c>
      <c r="L1518" s="55" t="str">
        <f>IFERROR(IF($G1518="","",VLOOKUP('Dashboard And Emails Automate'!$G1518,Database!$H:$N,6,0)),"")</f>
        <v/>
      </c>
      <c r="M1518" s="55" t="str">
        <f>IFERROR(IF($G1518="","",VLOOKUP('Dashboard And Emails Automate'!$G1518,Database!$H:$N,7,0)),"")</f>
        <v/>
      </c>
      <c r="N1518" s="55" t="str">
        <f>IFERROR(IF(OR($B1518="",$B1518="(blank)"),"",VLOOKUP($B1518,'Email Marketing Raw Data'!$C:$O,6,0)),"")</f>
        <v/>
      </c>
      <c r="O1518" s="55" t="str">
        <f>IFERROR(IF(OR($B1518="",$B1518="(blank)"),"",VLOOKUP($B1518,'Email Marketing Raw Data'!$C:$O,7,0)),"")</f>
        <v/>
      </c>
      <c r="P1518" s="55" t="str">
        <f>IFERROR(IF(OR($B1518="",$B1518="(blank)"),"",VLOOKUP($B1518,'Email Marketing Raw Data'!$C:$O,8,0)),"")</f>
        <v/>
      </c>
      <c r="Q1518" s="62" t="str">
        <f>IFERROR(IF(OR($B1518="",$B1518="(blank)"),"",VLOOKUP($B1518,'Email Marketing Raw Data'!$C:$O,9,0)),"")</f>
        <v/>
      </c>
    </row>
    <row r="1519" spans="4:17" ht="12.75" customHeight="1" x14ac:dyDescent="0.2">
      <c r="D1519" s="58" t="str">
        <f>IFERROR(IF(F1519&lt;&gt;"pending","",IF(OR($B1519="",$B1519="(blank)"),"",VLOOKUP($B1519,'Email Marketing Raw Data'!$C:$O,10,0))),"")</f>
        <v/>
      </c>
      <c r="E1519" s="59" t="str">
        <f>IFERROR(IF(F1519&lt;&gt;"pending","",IF(OR($B1519="",$B1519="(blank)"),"",VLOOKUP($B1519,'Email Marketing Raw Data'!$C:$O,11,0))),"")</f>
        <v/>
      </c>
      <c r="F1519" s="54" t="str">
        <f>IFERROR(IF(OR($B1519="",$B1519="(blank)"),"",VLOOKUP($B1519,'Email Marketing Raw Data'!$C:$O,13,0)),"")</f>
        <v/>
      </c>
      <c r="G1519" s="55" t="str">
        <f>IFERROR(IF(OR($B1519="",$B1519="(blank)"),"",VLOOKUP($B1519,'Email Marketing Raw Data'!$C:$O,4,0)),"")</f>
        <v/>
      </c>
      <c r="H1519" s="55" t="str">
        <f>IFERROR(IF(OR($B1519="",$B1519="(blank)"),"",VLOOKUP($B1519,'Email Marketing Raw Data'!$C:$O,5,0)),"")</f>
        <v/>
      </c>
      <c r="I1519" s="55" t="str">
        <f>IFERROR(IF($G1519="","",VLOOKUP('Dashboard And Emails Automate'!$G1519,Database!$H:$N,3,0)),"")</f>
        <v/>
      </c>
      <c r="J1519" s="55" t="str">
        <f>IFERROR(IF($G1519="","",VLOOKUP('Dashboard And Emails Automate'!$G1519,Database!$H:$N,4,0)),"")</f>
        <v/>
      </c>
      <c r="K1519" s="55" t="str">
        <f>IFERROR(IF($G1519="","",VLOOKUP('Dashboard And Emails Automate'!$G1519,Database!$H:$N,5,0)),"")</f>
        <v/>
      </c>
      <c r="L1519" s="55" t="str">
        <f>IFERROR(IF($G1519="","",VLOOKUP('Dashboard And Emails Automate'!$G1519,Database!$H:$N,6,0)),"")</f>
        <v/>
      </c>
      <c r="M1519" s="55" t="str">
        <f>IFERROR(IF($G1519="","",VLOOKUP('Dashboard And Emails Automate'!$G1519,Database!$H:$N,7,0)),"")</f>
        <v/>
      </c>
      <c r="N1519" s="55" t="str">
        <f>IFERROR(IF(OR($B1519="",$B1519="(blank)"),"",VLOOKUP($B1519,'Email Marketing Raw Data'!$C:$O,6,0)),"")</f>
        <v/>
      </c>
      <c r="O1519" s="55" t="str">
        <f>IFERROR(IF(OR($B1519="",$B1519="(blank)"),"",VLOOKUP($B1519,'Email Marketing Raw Data'!$C:$O,7,0)),"")</f>
        <v/>
      </c>
      <c r="P1519" s="55" t="str">
        <f>IFERROR(IF(OR($B1519="",$B1519="(blank)"),"",VLOOKUP($B1519,'Email Marketing Raw Data'!$C:$O,8,0)),"")</f>
        <v/>
      </c>
      <c r="Q1519" s="62" t="str">
        <f>IFERROR(IF(OR($B1519="",$B1519="(blank)"),"",VLOOKUP($B1519,'Email Marketing Raw Data'!$C:$O,9,0)),"")</f>
        <v/>
      </c>
    </row>
    <row r="1520" spans="4:17" ht="12.75" customHeight="1" x14ac:dyDescent="0.2">
      <c r="D1520" s="58" t="str">
        <f>IFERROR(IF(F1520&lt;&gt;"pending","",IF(OR($B1520="",$B1520="(blank)"),"",VLOOKUP($B1520,'Email Marketing Raw Data'!$C:$O,10,0))),"")</f>
        <v/>
      </c>
      <c r="E1520" s="59" t="str">
        <f>IFERROR(IF(F1520&lt;&gt;"pending","",IF(OR($B1520="",$B1520="(blank)"),"",VLOOKUP($B1520,'Email Marketing Raw Data'!$C:$O,11,0))),"")</f>
        <v/>
      </c>
      <c r="F1520" s="54" t="str">
        <f>IFERROR(IF(OR($B1520="",$B1520="(blank)"),"",VLOOKUP($B1520,'Email Marketing Raw Data'!$C:$O,13,0)),"")</f>
        <v/>
      </c>
      <c r="G1520" s="55" t="str">
        <f>IFERROR(IF(OR($B1520="",$B1520="(blank)"),"",VLOOKUP($B1520,'Email Marketing Raw Data'!$C:$O,4,0)),"")</f>
        <v/>
      </c>
      <c r="H1520" s="55" t="str">
        <f>IFERROR(IF(OR($B1520="",$B1520="(blank)"),"",VLOOKUP($B1520,'Email Marketing Raw Data'!$C:$O,5,0)),"")</f>
        <v/>
      </c>
      <c r="I1520" s="55" t="str">
        <f>IFERROR(IF($G1520="","",VLOOKUP('Dashboard And Emails Automate'!$G1520,Database!$H:$N,3,0)),"")</f>
        <v/>
      </c>
      <c r="J1520" s="55" t="str">
        <f>IFERROR(IF($G1520="","",VLOOKUP('Dashboard And Emails Automate'!$G1520,Database!$H:$N,4,0)),"")</f>
        <v/>
      </c>
      <c r="K1520" s="55" t="str">
        <f>IFERROR(IF($G1520="","",VLOOKUP('Dashboard And Emails Automate'!$G1520,Database!$H:$N,5,0)),"")</f>
        <v/>
      </c>
      <c r="L1520" s="55" t="str">
        <f>IFERROR(IF($G1520="","",VLOOKUP('Dashboard And Emails Automate'!$G1520,Database!$H:$N,6,0)),"")</f>
        <v/>
      </c>
      <c r="M1520" s="55" t="str">
        <f>IFERROR(IF($G1520="","",VLOOKUP('Dashboard And Emails Automate'!$G1520,Database!$H:$N,7,0)),"")</f>
        <v/>
      </c>
      <c r="N1520" s="55" t="str">
        <f>IFERROR(IF(OR($B1520="",$B1520="(blank)"),"",VLOOKUP($B1520,'Email Marketing Raw Data'!$C:$O,6,0)),"")</f>
        <v/>
      </c>
      <c r="O1520" s="55" t="str">
        <f>IFERROR(IF(OR($B1520="",$B1520="(blank)"),"",VLOOKUP($B1520,'Email Marketing Raw Data'!$C:$O,7,0)),"")</f>
        <v/>
      </c>
      <c r="P1520" s="55" t="str">
        <f>IFERROR(IF(OR($B1520="",$B1520="(blank)"),"",VLOOKUP($B1520,'Email Marketing Raw Data'!$C:$O,8,0)),"")</f>
        <v/>
      </c>
      <c r="Q1520" s="62" t="str">
        <f>IFERROR(IF(OR($B1520="",$B1520="(blank)"),"",VLOOKUP($B1520,'Email Marketing Raw Data'!$C:$O,9,0)),"")</f>
        <v/>
      </c>
    </row>
    <row r="1521" spans="4:17" ht="12.75" customHeight="1" x14ac:dyDescent="0.2">
      <c r="D1521" s="58" t="str">
        <f>IFERROR(IF(F1521&lt;&gt;"pending","",IF(OR($B1521="",$B1521="(blank)"),"",VLOOKUP($B1521,'Email Marketing Raw Data'!$C:$O,10,0))),"")</f>
        <v/>
      </c>
      <c r="E1521" s="59" t="str">
        <f>IFERROR(IF(F1521&lt;&gt;"pending","",IF(OR($B1521="",$B1521="(blank)"),"",VLOOKUP($B1521,'Email Marketing Raw Data'!$C:$O,11,0))),"")</f>
        <v/>
      </c>
      <c r="F1521" s="54" t="str">
        <f>IFERROR(IF(OR($B1521="",$B1521="(blank)"),"",VLOOKUP($B1521,'Email Marketing Raw Data'!$C:$O,13,0)),"")</f>
        <v/>
      </c>
      <c r="G1521" s="55" t="str">
        <f>IFERROR(IF(OR($B1521="",$B1521="(blank)"),"",VLOOKUP($B1521,'Email Marketing Raw Data'!$C:$O,4,0)),"")</f>
        <v/>
      </c>
      <c r="H1521" s="55" t="str">
        <f>IFERROR(IF(OR($B1521="",$B1521="(blank)"),"",VLOOKUP($B1521,'Email Marketing Raw Data'!$C:$O,5,0)),"")</f>
        <v/>
      </c>
      <c r="I1521" s="55" t="str">
        <f>IFERROR(IF($G1521="","",VLOOKUP('Dashboard And Emails Automate'!$G1521,Database!$H:$N,3,0)),"")</f>
        <v/>
      </c>
      <c r="J1521" s="55" t="str">
        <f>IFERROR(IF($G1521="","",VLOOKUP('Dashboard And Emails Automate'!$G1521,Database!$H:$N,4,0)),"")</f>
        <v/>
      </c>
      <c r="K1521" s="55" t="str">
        <f>IFERROR(IF($G1521="","",VLOOKUP('Dashboard And Emails Automate'!$G1521,Database!$H:$N,5,0)),"")</f>
        <v/>
      </c>
      <c r="L1521" s="55" t="str">
        <f>IFERROR(IF($G1521="","",VLOOKUP('Dashboard And Emails Automate'!$G1521,Database!$H:$N,6,0)),"")</f>
        <v/>
      </c>
      <c r="M1521" s="55" t="str">
        <f>IFERROR(IF($G1521="","",VLOOKUP('Dashboard And Emails Automate'!$G1521,Database!$H:$N,7,0)),"")</f>
        <v/>
      </c>
      <c r="N1521" s="55" t="str">
        <f>IFERROR(IF(OR($B1521="",$B1521="(blank)"),"",VLOOKUP($B1521,'Email Marketing Raw Data'!$C:$O,6,0)),"")</f>
        <v/>
      </c>
      <c r="O1521" s="55" t="str">
        <f>IFERROR(IF(OR($B1521="",$B1521="(blank)"),"",VLOOKUP($B1521,'Email Marketing Raw Data'!$C:$O,7,0)),"")</f>
        <v/>
      </c>
      <c r="P1521" s="55" t="str">
        <f>IFERROR(IF(OR($B1521="",$B1521="(blank)"),"",VLOOKUP($B1521,'Email Marketing Raw Data'!$C:$O,8,0)),"")</f>
        <v/>
      </c>
      <c r="Q1521" s="62" t="str">
        <f>IFERROR(IF(OR($B1521="",$B1521="(blank)"),"",VLOOKUP($B1521,'Email Marketing Raw Data'!$C:$O,9,0)),"")</f>
        <v/>
      </c>
    </row>
    <row r="1522" spans="4:17" ht="12.75" customHeight="1" x14ac:dyDescent="0.2">
      <c r="D1522" s="58" t="str">
        <f>IFERROR(IF(F1522&lt;&gt;"pending","",IF(OR($B1522="",$B1522="(blank)"),"",VLOOKUP($B1522,'Email Marketing Raw Data'!$C:$O,10,0))),"")</f>
        <v/>
      </c>
      <c r="E1522" s="59" t="str">
        <f>IFERROR(IF(F1522&lt;&gt;"pending","",IF(OR($B1522="",$B1522="(blank)"),"",VLOOKUP($B1522,'Email Marketing Raw Data'!$C:$O,11,0))),"")</f>
        <v/>
      </c>
      <c r="F1522" s="54" t="str">
        <f>IFERROR(IF(OR($B1522="",$B1522="(blank)"),"",VLOOKUP($B1522,'Email Marketing Raw Data'!$C:$O,13,0)),"")</f>
        <v/>
      </c>
      <c r="G1522" s="55" t="str">
        <f>IFERROR(IF(OR($B1522="",$B1522="(blank)"),"",VLOOKUP($B1522,'Email Marketing Raw Data'!$C:$O,4,0)),"")</f>
        <v/>
      </c>
      <c r="H1522" s="55" t="str">
        <f>IFERROR(IF(OR($B1522="",$B1522="(blank)"),"",VLOOKUP($B1522,'Email Marketing Raw Data'!$C:$O,5,0)),"")</f>
        <v/>
      </c>
      <c r="I1522" s="55" t="str">
        <f>IFERROR(IF($G1522="","",VLOOKUP('Dashboard And Emails Automate'!$G1522,Database!$H:$N,3,0)),"")</f>
        <v/>
      </c>
      <c r="J1522" s="55" t="str">
        <f>IFERROR(IF($G1522="","",VLOOKUP('Dashboard And Emails Automate'!$G1522,Database!$H:$N,4,0)),"")</f>
        <v/>
      </c>
      <c r="K1522" s="55" t="str">
        <f>IFERROR(IF($G1522="","",VLOOKUP('Dashboard And Emails Automate'!$G1522,Database!$H:$N,5,0)),"")</f>
        <v/>
      </c>
      <c r="L1522" s="55" t="str">
        <f>IFERROR(IF($G1522="","",VLOOKUP('Dashboard And Emails Automate'!$G1522,Database!$H:$N,6,0)),"")</f>
        <v/>
      </c>
      <c r="M1522" s="55" t="str">
        <f>IFERROR(IF($G1522="","",VLOOKUP('Dashboard And Emails Automate'!$G1522,Database!$H:$N,7,0)),"")</f>
        <v/>
      </c>
      <c r="N1522" s="55" t="str">
        <f>IFERROR(IF(OR($B1522="",$B1522="(blank)"),"",VLOOKUP($B1522,'Email Marketing Raw Data'!$C:$O,6,0)),"")</f>
        <v/>
      </c>
      <c r="O1522" s="55" t="str">
        <f>IFERROR(IF(OR($B1522="",$B1522="(blank)"),"",VLOOKUP($B1522,'Email Marketing Raw Data'!$C:$O,7,0)),"")</f>
        <v/>
      </c>
      <c r="P1522" s="55" t="str">
        <f>IFERROR(IF(OR($B1522="",$B1522="(blank)"),"",VLOOKUP($B1522,'Email Marketing Raw Data'!$C:$O,8,0)),"")</f>
        <v/>
      </c>
      <c r="Q1522" s="62" t="str">
        <f>IFERROR(IF(OR($B1522="",$B1522="(blank)"),"",VLOOKUP($B1522,'Email Marketing Raw Data'!$C:$O,9,0)),"")</f>
        <v/>
      </c>
    </row>
    <row r="1523" spans="4:17" ht="12.75" customHeight="1" x14ac:dyDescent="0.2">
      <c r="D1523" s="58" t="str">
        <f>IFERROR(IF(F1523&lt;&gt;"pending","",IF(OR($B1523="",$B1523="(blank)"),"",VLOOKUP($B1523,'Email Marketing Raw Data'!$C:$O,10,0))),"")</f>
        <v/>
      </c>
      <c r="E1523" s="59" t="str">
        <f>IFERROR(IF(F1523&lt;&gt;"pending","",IF(OR($B1523="",$B1523="(blank)"),"",VLOOKUP($B1523,'Email Marketing Raw Data'!$C:$O,11,0))),"")</f>
        <v/>
      </c>
      <c r="F1523" s="54" t="str">
        <f>IFERROR(IF(OR($B1523="",$B1523="(blank)"),"",VLOOKUP($B1523,'Email Marketing Raw Data'!$C:$O,13,0)),"")</f>
        <v/>
      </c>
      <c r="G1523" s="55" t="str">
        <f>IFERROR(IF(OR($B1523="",$B1523="(blank)"),"",VLOOKUP($B1523,'Email Marketing Raw Data'!$C:$O,4,0)),"")</f>
        <v/>
      </c>
      <c r="H1523" s="55" t="str">
        <f>IFERROR(IF(OR($B1523="",$B1523="(blank)"),"",VLOOKUP($B1523,'Email Marketing Raw Data'!$C:$O,5,0)),"")</f>
        <v/>
      </c>
      <c r="I1523" s="55" t="str">
        <f>IFERROR(IF($G1523="","",VLOOKUP('Dashboard And Emails Automate'!$G1523,Database!$H:$N,3,0)),"")</f>
        <v/>
      </c>
      <c r="J1523" s="55" t="str">
        <f>IFERROR(IF($G1523="","",VLOOKUP('Dashboard And Emails Automate'!$G1523,Database!$H:$N,4,0)),"")</f>
        <v/>
      </c>
      <c r="K1523" s="55" t="str">
        <f>IFERROR(IF($G1523="","",VLOOKUP('Dashboard And Emails Automate'!$G1523,Database!$H:$N,5,0)),"")</f>
        <v/>
      </c>
      <c r="L1523" s="55" t="str">
        <f>IFERROR(IF($G1523="","",VLOOKUP('Dashboard And Emails Automate'!$G1523,Database!$H:$N,6,0)),"")</f>
        <v/>
      </c>
      <c r="M1523" s="55" t="str">
        <f>IFERROR(IF($G1523="","",VLOOKUP('Dashboard And Emails Automate'!$G1523,Database!$H:$N,7,0)),"")</f>
        <v/>
      </c>
      <c r="N1523" s="55" t="str">
        <f>IFERROR(IF(OR($B1523="",$B1523="(blank)"),"",VLOOKUP($B1523,'Email Marketing Raw Data'!$C:$O,6,0)),"")</f>
        <v/>
      </c>
      <c r="O1523" s="55" t="str">
        <f>IFERROR(IF(OR($B1523="",$B1523="(blank)"),"",VLOOKUP($B1523,'Email Marketing Raw Data'!$C:$O,7,0)),"")</f>
        <v/>
      </c>
      <c r="P1523" s="55" t="str">
        <f>IFERROR(IF(OR($B1523="",$B1523="(blank)"),"",VLOOKUP($B1523,'Email Marketing Raw Data'!$C:$O,8,0)),"")</f>
        <v/>
      </c>
      <c r="Q1523" s="62" t="str">
        <f>IFERROR(IF(OR($B1523="",$B1523="(blank)"),"",VLOOKUP($B1523,'Email Marketing Raw Data'!$C:$O,9,0)),"")</f>
        <v/>
      </c>
    </row>
    <row r="1524" spans="4:17" ht="12.75" customHeight="1" x14ac:dyDescent="0.2">
      <c r="D1524" s="58" t="str">
        <f>IFERROR(IF(F1524&lt;&gt;"pending","",IF(OR($B1524="",$B1524="(blank)"),"",VLOOKUP($B1524,'Email Marketing Raw Data'!$C:$O,10,0))),"")</f>
        <v/>
      </c>
      <c r="E1524" s="59" t="str">
        <f>IFERROR(IF(F1524&lt;&gt;"pending","",IF(OR($B1524="",$B1524="(blank)"),"",VLOOKUP($B1524,'Email Marketing Raw Data'!$C:$O,11,0))),"")</f>
        <v/>
      </c>
      <c r="F1524" s="54" t="str">
        <f>IFERROR(IF(OR($B1524="",$B1524="(blank)"),"",VLOOKUP($B1524,'Email Marketing Raw Data'!$C:$O,13,0)),"")</f>
        <v/>
      </c>
      <c r="G1524" s="55" t="str">
        <f>IFERROR(IF(OR($B1524="",$B1524="(blank)"),"",VLOOKUP($B1524,'Email Marketing Raw Data'!$C:$O,4,0)),"")</f>
        <v/>
      </c>
      <c r="H1524" s="55" t="str">
        <f>IFERROR(IF(OR($B1524="",$B1524="(blank)"),"",VLOOKUP($B1524,'Email Marketing Raw Data'!$C:$O,5,0)),"")</f>
        <v/>
      </c>
      <c r="I1524" s="55" t="str">
        <f>IFERROR(IF($G1524="","",VLOOKUP('Dashboard And Emails Automate'!$G1524,Database!$H:$N,3,0)),"")</f>
        <v/>
      </c>
      <c r="J1524" s="55" t="str">
        <f>IFERROR(IF($G1524="","",VLOOKUP('Dashboard And Emails Automate'!$G1524,Database!$H:$N,4,0)),"")</f>
        <v/>
      </c>
      <c r="K1524" s="55" t="str">
        <f>IFERROR(IF($G1524="","",VLOOKUP('Dashboard And Emails Automate'!$G1524,Database!$H:$N,5,0)),"")</f>
        <v/>
      </c>
      <c r="L1524" s="55" t="str">
        <f>IFERROR(IF($G1524="","",VLOOKUP('Dashboard And Emails Automate'!$G1524,Database!$H:$N,6,0)),"")</f>
        <v/>
      </c>
      <c r="M1524" s="55" t="str">
        <f>IFERROR(IF($G1524="","",VLOOKUP('Dashboard And Emails Automate'!$G1524,Database!$H:$N,7,0)),"")</f>
        <v/>
      </c>
      <c r="N1524" s="55" t="str">
        <f>IFERROR(IF(OR($B1524="",$B1524="(blank)"),"",VLOOKUP($B1524,'Email Marketing Raw Data'!$C:$O,6,0)),"")</f>
        <v/>
      </c>
      <c r="O1524" s="55" t="str">
        <f>IFERROR(IF(OR($B1524="",$B1524="(blank)"),"",VLOOKUP($B1524,'Email Marketing Raw Data'!$C:$O,7,0)),"")</f>
        <v/>
      </c>
      <c r="P1524" s="55" t="str">
        <f>IFERROR(IF(OR($B1524="",$B1524="(blank)"),"",VLOOKUP($B1524,'Email Marketing Raw Data'!$C:$O,8,0)),"")</f>
        <v/>
      </c>
      <c r="Q1524" s="62" t="str">
        <f>IFERROR(IF(OR($B1524="",$B1524="(blank)"),"",VLOOKUP($B1524,'Email Marketing Raw Data'!$C:$O,9,0)),"")</f>
        <v/>
      </c>
    </row>
    <row r="1525" spans="4:17" ht="12.75" customHeight="1" x14ac:dyDescent="0.2">
      <c r="D1525" s="58" t="str">
        <f>IFERROR(IF(F1525&lt;&gt;"pending","",IF(OR($B1525="",$B1525="(blank)"),"",VLOOKUP($B1525,'Email Marketing Raw Data'!$C:$O,10,0))),"")</f>
        <v/>
      </c>
      <c r="E1525" s="59" t="str">
        <f>IFERROR(IF(F1525&lt;&gt;"pending","",IF(OR($B1525="",$B1525="(blank)"),"",VLOOKUP($B1525,'Email Marketing Raw Data'!$C:$O,11,0))),"")</f>
        <v/>
      </c>
      <c r="F1525" s="54" t="str">
        <f>IFERROR(IF(OR($B1525="",$B1525="(blank)"),"",VLOOKUP($B1525,'Email Marketing Raw Data'!$C:$O,13,0)),"")</f>
        <v/>
      </c>
      <c r="G1525" s="55" t="str">
        <f>IFERROR(IF(OR($B1525="",$B1525="(blank)"),"",VLOOKUP($B1525,'Email Marketing Raw Data'!$C:$O,4,0)),"")</f>
        <v/>
      </c>
      <c r="H1525" s="55" t="str">
        <f>IFERROR(IF(OR($B1525="",$B1525="(blank)"),"",VLOOKUP($B1525,'Email Marketing Raw Data'!$C:$O,5,0)),"")</f>
        <v/>
      </c>
      <c r="I1525" s="55" t="str">
        <f>IFERROR(IF($G1525="","",VLOOKUP('Dashboard And Emails Automate'!$G1525,Database!$H:$N,3,0)),"")</f>
        <v/>
      </c>
      <c r="J1525" s="55" t="str">
        <f>IFERROR(IF($G1525="","",VLOOKUP('Dashboard And Emails Automate'!$G1525,Database!$H:$N,4,0)),"")</f>
        <v/>
      </c>
      <c r="K1525" s="55" t="str">
        <f>IFERROR(IF($G1525="","",VLOOKUP('Dashboard And Emails Automate'!$G1525,Database!$H:$N,5,0)),"")</f>
        <v/>
      </c>
      <c r="L1525" s="55" t="str">
        <f>IFERROR(IF($G1525="","",VLOOKUP('Dashboard And Emails Automate'!$G1525,Database!$H:$N,6,0)),"")</f>
        <v/>
      </c>
      <c r="M1525" s="55" t="str">
        <f>IFERROR(IF($G1525="","",VLOOKUP('Dashboard And Emails Automate'!$G1525,Database!$H:$N,7,0)),"")</f>
        <v/>
      </c>
      <c r="N1525" s="55" t="str">
        <f>IFERROR(IF(OR($B1525="",$B1525="(blank)"),"",VLOOKUP($B1525,'Email Marketing Raw Data'!$C:$O,6,0)),"")</f>
        <v/>
      </c>
      <c r="O1525" s="55" t="str">
        <f>IFERROR(IF(OR($B1525="",$B1525="(blank)"),"",VLOOKUP($B1525,'Email Marketing Raw Data'!$C:$O,7,0)),"")</f>
        <v/>
      </c>
      <c r="P1525" s="55" t="str">
        <f>IFERROR(IF(OR($B1525="",$B1525="(blank)"),"",VLOOKUP($B1525,'Email Marketing Raw Data'!$C:$O,8,0)),"")</f>
        <v/>
      </c>
      <c r="Q1525" s="62" t="str">
        <f>IFERROR(IF(OR($B1525="",$B1525="(blank)"),"",VLOOKUP($B1525,'Email Marketing Raw Data'!$C:$O,9,0)),"")</f>
        <v/>
      </c>
    </row>
    <row r="1526" spans="4:17" ht="12.75" customHeight="1" x14ac:dyDescent="0.2">
      <c r="D1526" s="58" t="str">
        <f>IFERROR(IF(F1526&lt;&gt;"pending","",IF(OR($B1526="",$B1526="(blank)"),"",VLOOKUP($B1526,'Email Marketing Raw Data'!$C:$O,10,0))),"")</f>
        <v/>
      </c>
      <c r="E1526" s="59" t="str">
        <f>IFERROR(IF(F1526&lt;&gt;"pending","",IF(OR($B1526="",$B1526="(blank)"),"",VLOOKUP($B1526,'Email Marketing Raw Data'!$C:$O,11,0))),"")</f>
        <v/>
      </c>
      <c r="F1526" s="54" t="str">
        <f>IFERROR(IF(OR($B1526="",$B1526="(blank)"),"",VLOOKUP($B1526,'Email Marketing Raw Data'!$C:$O,13,0)),"")</f>
        <v/>
      </c>
      <c r="G1526" s="55" t="str">
        <f>IFERROR(IF(OR($B1526="",$B1526="(blank)"),"",VLOOKUP($B1526,'Email Marketing Raw Data'!$C:$O,4,0)),"")</f>
        <v/>
      </c>
      <c r="H1526" s="55" t="str">
        <f>IFERROR(IF(OR($B1526="",$B1526="(blank)"),"",VLOOKUP($B1526,'Email Marketing Raw Data'!$C:$O,5,0)),"")</f>
        <v/>
      </c>
      <c r="I1526" s="55" t="str">
        <f>IFERROR(IF($G1526="","",VLOOKUP('Dashboard And Emails Automate'!$G1526,Database!$H:$N,3,0)),"")</f>
        <v/>
      </c>
      <c r="J1526" s="55" t="str">
        <f>IFERROR(IF($G1526="","",VLOOKUP('Dashboard And Emails Automate'!$G1526,Database!$H:$N,4,0)),"")</f>
        <v/>
      </c>
      <c r="K1526" s="55" t="str">
        <f>IFERROR(IF($G1526="","",VLOOKUP('Dashboard And Emails Automate'!$G1526,Database!$H:$N,5,0)),"")</f>
        <v/>
      </c>
      <c r="L1526" s="55" t="str">
        <f>IFERROR(IF($G1526="","",VLOOKUP('Dashboard And Emails Automate'!$G1526,Database!$H:$N,6,0)),"")</f>
        <v/>
      </c>
      <c r="M1526" s="55" t="str">
        <f>IFERROR(IF($G1526="","",VLOOKUP('Dashboard And Emails Automate'!$G1526,Database!$H:$N,7,0)),"")</f>
        <v/>
      </c>
      <c r="N1526" s="55" t="str">
        <f>IFERROR(IF(OR($B1526="",$B1526="(blank)"),"",VLOOKUP($B1526,'Email Marketing Raw Data'!$C:$O,6,0)),"")</f>
        <v/>
      </c>
      <c r="O1526" s="55" t="str">
        <f>IFERROR(IF(OR($B1526="",$B1526="(blank)"),"",VLOOKUP($B1526,'Email Marketing Raw Data'!$C:$O,7,0)),"")</f>
        <v/>
      </c>
      <c r="P1526" s="55" t="str">
        <f>IFERROR(IF(OR($B1526="",$B1526="(blank)"),"",VLOOKUP($B1526,'Email Marketing Raw Data'!$C:$O,8,0)),"")</f>
        <v/>
      </c>
      <c r="Q1526" s="62" t="str">
        <f>IFERROR(IF(OR($B1526="",$B1526="(blank)"),"",VLOOKUP($B1526,'Email Marketing Raw Data'!$C:$O,9,0)),"")</f>
        <v/>
      </c>
    </row>
    <row r="1527" spans="4:17" ht="12.75" customHeight="1" x14ac:dyDescent="0.2">
      <c r="D1527" s="58" t="str">
        <f>IFERROR(IF(F1527&lt;&gt;"pending","",IF(OR($B1527="",$B1527="(blank)"),"",VLOOKUP($B1527,'Email Marketing Raw Data'!$C:$O,10,0))),"")</f>
        <v/>
      </c>
      <c r="E1527" s="59" t="str">
        <f>IFERROR(IF(F1527&lt;&gt;"pending","",IF(OR($B1527="",$B1527="(blank)"),"",VLOOKUP($B1527,'Email Marketing Raw Data'!$C:$O,11,0))),"")</f>
        <v/>
      </c>
      <c r="F1527" s="54" t="str">
        <f>IFERROR(IF(OR($B1527="",$B1527="(blank)"),"",VLOOKUP($B1527,'Email Marketing Raw Data'!$C:$O,13,0)),"")</f>
        <v/>
      </c>
      <c r="G1527" s="55" t="str">
        <f>IFERROR(IF(OR($B1527="",$B1527="(blank)"),"",VLOOKUP($B1527,'Email Marketing Raw Data'!$C:$O,4,0)),"")</f>
        <v/>
      </c>
      <c r="H1527" s="55" t="str">
        <f>IFERROR(IF(OR($B1527="",$B1527="(blank)"),"",VLOOKUP($B1527,'Email Marketing Raw Data'!$C:$O,5,0)),"")</f>
        <v/>
      </c>
      <c r="I1527" s="55" t="str">
        <f>IFERROR(IF($G1527="","",VLOOKUP('Dashboard And Emails Automate'!$G1527,Database!$H:$N,3,0)),"")</f>
        <v/>
      </c>
      <c r="J1527" s="55" t="str">
        <f>IFERROR(IF($G1527="","",VLOOKUP('Dashboard And Emails Automate'!$G1527,Database!$H:$N,4,0)),"")</f>
        <v/>
      </c>
      <c r="K1527" s="55" t="str">
        <f>IFERROR(IF($G1527="","",VLOOKUP('Dashboard And Emails Automate'!$G1527,Database!$H:$N,5,0)),"")</f>
        <v/>
      </c>
      <c r="L1527" s="55" t="str">
        <f>IFERROR(IF($G1527="","",VLOOKUP('Dashboard And Emails Automate'!$G1527,Database!$H:$N,6,0)),"")</f>
        <v/>
      </c>
      <c r="M1527" s="55" t="str">
        <f>IFERROR(IF($G1527="","",VLOOKUP('Dashboard And Emails Automate'!$G1527,Database!$H:$N,7,0)),"")</f>
        <v/>
      </c>
      <c r="N1527" s="55" t="str">
        <f>IFERROR(IF(OR($B1527="",$B1527="(blank)"),"",VLOOKUP($B1527,'Email Marketing Raw Data'!$C:$O,6,0)),"")</f>
        <v/>
      </c>
      <c r="O1527" s="55" t="str">
        <f>IFERROR(IF(OR($B1527="",$B1527="(blank)"),"",VLOOKUP($B1527,'Email Marketing Raw Data'!$C:$O,7,0)),"")</f>
        <v/>
      </c>
      <c r="P1527" s="55" t="str">
        <f>IFERROR(IF(OR($B1527="",$B1527="(blank)"),"",VLOOKUP($B1527,'Email Marketing Raw Data'!$C:$O,8,0)),"")</f>
        <v/>
      </c>
      <c r="Q1527" s="62" t="str">
        <f>IFERROR(IF(OR($B1527="",$B1527="(blank)"),"",VLOOKUP($B1527,'Email Marketing Raw Data'!$C:$O,9,0)),"")</f>
        <v/>
      </c>
    </row>
    <row r="1528" spans="4:17" ht="12.75" customHeight="1" x14ac:dyDescent="0.2">
      <c r="D1528" s="58" t="str">
        <f>IFERROR(IF(F1528&lt;&gt;"pending","",IF(OR($B1528="",$B1528="(blank)"),"",VLOOKUP($B1528,'Email Marketing Raw Data'!$C:$O,10,0))),"")</f>
        <v/>
      </c>
      <c r="E1528" s="59" t="str">
        <f>IFERROR(IF(F1528&lt;&gt;"pending","",IF(OR($B1528="",$B1528="(blank)"),"",VLOOKUP($B1528,'Email Marketing Raw Data'!$C:$O,11,0))),"")</f>
        <v/>
      </c>
      <c r="F1528" s="54" t="str">
        <f>IFERROR(IF(OR($B1528="",$B1528="(blank)"),"",VLOOKUP($B1528,'Email Marketing Raw Data'!$C:$O,13,0)),"")</f>
        <v/>
      </c>
      <c r="G1528" s="55" t="str">
        <f>IFERROR(IF(OR($B1528="",$B1528="(blank)"),"",VLOOKUP($B1528,'Email Marketing Raw Data'!$C:$O,4,0)),"")</f>
        <v/>
      </c>
      <c r="H1528" s="55" t="str">
        <f>IFERROR(IF(OR($B1528="",$B1528="(blank)"),"",VLOOKUP($B1528,'Email Marketing Raw Data'!$C:$O,5,0)),"")</f>
        <v/>
      </c>
      <c r="I1528" s="55" t="str">
        <f>IFERROR(IF($G1528="","",VLOOKUP('Dashboard And Emails Automate'!$G1528,Database!$H:$N,3,0)),"")</f>
        <v/>
      </c>
      <c r="J1528" s="55" t="str">
        <f>IFERROR(IF($G1528="","",VLOOKUP('Dashboard And Emails Automate'!$G1528,Database!$H:$N,4,0)),"")</f>
        <v/>
      </c>
      <c r="K1528" s="55" t="str">
        <f>IFERROR(IF($G1528="","",VLOOKUP('Dashboard And Emails Automate'!$G1528,Database!$H:$N,5,0)),"")</f>
        <v/>
      </c>
      <c r="L1528" s="55" t="str">
        <f>IFERROR(IF($G1528="","",VLOOKUP('Dashboard And Emails Automate'!$G1528,Database!$H:$N,6,0)),"")</f>
        <v/>
      </c>
      <c r="M1528" s="55" t="str">
        <f>IFERROR(IF($G1528="","",VLOOKUP('Dashboard And Emails Automate'!$G1528,Database!$H:$N,7,0)),"")</f>
        <v/>
      </c>
      <c r="N1528" s="55" t="str">
        <f>IFERROR(IF(OR($B1528="",$B1528="(blank)"),"",VLOOKUP($B1528,'Email Marketing Raw Data'!$C:$O,6,0)),"")</f>
        <v/>
      </c>
      <c r="O1528" s="55" t="str">
        <f>IFERROR(IF(OR($B1528="",$B1528="(blank)"),"",VLOOKUP($B1528,'Email Marketing Raw Data'!$C:$O,7,0)),"")</f>
        <v/>
      </c>
      <c r="P1528" s="55" t="str">
        <f>IFERROR(IF(OR($B1528="",$B1528="(blank)"),"",VLOOKUP($B1528,'Email Marketing Raw Data'!$C:$O,8,0)),"")</f>
        <v/>
      </c>
      <c r="Q1528" s="62" t="str">
        <f>IFERROR(IF(OR($B1528="",$B1528="(blank)"),"",VLOOKUP($B1528,'Email Marketing Raw Data'!$C:$O,9,0)),"")</f>
        <v/>
      </c>
    </row>
    <row r="1529" spans="4:17" ht="12.75" customHeight="1" x14ac:dyDescent="0.2">
      <c r="D1529" s="58" t="str">
        <f>IFERROR(IF(F1529&lt;&gt;"pending","",IF(OR($B1529="",$B1529="(blank)"),"",VLOOKUP($B1529,'Email Marketing Raw Data'!$C:$O,10,0))),"")</f>
        <v/>
      </c>
      <c r="E1529" s="59" t="str">
        <f>IFERROR(IF(F1529&lt;&gt;"pending","",IF(OR($B1529="",$B1529="(blank)"),"",VLOOKUP($B1529,'Email Marketing Raw Data'!$C:$O,11,0))),"")</f>
        <v/>
      </c>
      <c r="F1529" s="54" t="str">
        <f>IFERROR(IF(OR($B1529="",$B1529="(blank)"),"",VLOOKUP($B1529,'Email Marketing Raw Data'!$C:$O,13,0)),"")</f>
        <v/>
      </c>
      <c r="G1529" s="55" t="str">
        <f>IFERROR(IF(OR($B1529="",$B1529="(blank)"),"",VLOOKUP($B1529,'Email Marketing Raw Data'!$C:$O,4,0)),"")</f>
        <v/>
      </c>
      <c r="H1529" s="55" t="str">
        <f>IFERROR(IF(OR($B1529="",$B1529="(blank)"),"",VLOOKUP($B1529,'Email Marketing Raw Data'!$C:$O,5,0)),"")</f>
        <v/>
      </c>
      <c r="I1529" s="55" t="str">
        <f>IFERROR(IF($G1529="","",VLOOKUP('Dashboard And Emails Automate'!$G1529,Database!$H:$N,3,0)),"")</f>
        <v/>
      </c>
      <c r="J1529" s="55" t="str">
        <f>IFERROR(IF($G1529="","",VLOOKUP('Dashboard And Emails Automate'!$G1529,Database!$H:$N,4,0)),"")</f>
        <v/>
      </c>
      <c r="K1529" s="55" t="str">
        <f>IFERROR(IF($G1529="","",VLOOKUP('Dashboard And Emails Automate'!$G1529,Database!$H:$N,5,0)),"")</f>
        <v/>
      </c>
      <c r="L1529" s="55" t="str">
        <f>IFERROR(IF($G1529="","",VLOOKUP('Dashboard And Emails Automate'!$G1529,Database!$H:$N,6,0)),"")</f>
        <v/>
      </c>
      <c r="M1529" s="55" t="str">
        <f>IFERROR(IF($G1529="","",VLOOKUP('Dashboard And Emails Automate'!$G1529,Database!$H:$N,7,0)),"")</f>
        <v/>
      </c>
      <c r="N1529" s="55" t="str">
        <f>IFERROR(IF(OR($B1529="",$B1529="(blank)"),"",VLOOKUP($B1529,'Email Marketing Raw Data'!$C:$O,6,0)),"")</f>
        <v/>
      </c>
      <c r="O1529" s="55" t="str">
        <f>IFERROR(IF(OR($B1529="",$B1529="(blank)"),"",VLOOKUP($B1529,'Email Marketing Raw Data'!$C:$O,7,0)),"")</f>
        <v/>
      </c>
      <c r="P1529" s="55" t="str">
        <f>IFERROR(IF(OR($B1529="",$B1529="(blank)"),"",VLOOKUP($B1529,'Email Marketing Raw Data'!$C:$O,8,0)),"")</f>
        <v/>
      </c>
      <c r="Q1529" s="62" t="str">
        <f>IFERROR(IF(OR($B1529="",$B1529="(blank)"),"",VLOOKUP($B1529,'Email Marketing Raw Data'!$C:$O,9,0)),"")</f>
        <v/>
      </c>
    </row>
    <row r="1530" spans="4:17" ht="12.75" customHeight="1" x14ac:dyDescent="0.2">
      <c r="D1530" s="58" t="str">
        <f>IFERROR(IF(F1530&lt;&gt;"pending","",IF(OR($B1530="",$B1530="(blank)"),"",VLOOKUP($B1530,'Email Marketing Raw Data'!$C:$O,10,0))),"")</f>
        <v/>
      </c>
      <c r="E1530" s="59" t="str">
        <f>IFERROR(IF(F1530&lt;&gt;"pending","",IF(OR($B1530="",$B1530="(blank)"),"",VLOOKUP($B1530,'Email Marketing Raw Data'!$C:$O,11,0))),"")</f>
        <v/>
      </c>
      <c r="F1530" s="54" t="str">
        <f>IFERROR(IF(OR($B1530="",$B1530="(blank)"),"",VLOOKUP($B1530,'Email Marketing Raw Data'!$C:$O,13,0)),"")</f>
        <v/>
      </c>
      <c r="G1530" s="55" t="str">
        <f>IFERROR(IF(OR($B1530="",$B1530="(blank)"),"",VLOOKUP($B1530,'Email Marketing Raw Data'!$C:$O,4,0)),"")</f>
        <v/>
      </c>
      <c r="H1530" s="55" t="str">
        <f>IFERROR(IF(OR($B1530="",$B1530="(blank)"),"",VLOOKUP($B1530,'Email Marketing Raw Data'!$C:$O,5,0)),"")</f>
        <v/>
      </c>
      <c r="I1530" s="55" t="str">
        <f>IFERROR(IF($G1530="","",VLOOKUP('Dashboard And Emails Automate'!$G1530,Database!$H:$N,3,0)),"")</f>
        <v/>
      </c>
      <c r="J1530" s="55" t="str">
        <f>IFERROR(IF($G1530="","",VLOOKUP('Dashboard And Emails Automate'!$G1530,Database!$H:$N,4,0)),"")</f>
        <v/>
      </c>
      <c r="K1530" s="55" t="str">
        <f>IFERROR(IF($G1530="","",VLOOKUP('Dashboard And Emails Automate'!$G1530,Database!$H:$N,5,0)),"")</f>
        <v/>
      </c>
      <c r="L1530" s="55" t="str">
        <f>IFERROR(IF($G1530="","",VLOOKUP('Dashboard And Emails Automate'!$G1530,Database!$H:$N,6,0)),"")</f>
        <v/>
      </c>
      <c r="M1530" s="55" t="str">
        <f>IFERROR(IF($G1530="","",VLOOKUP('Dashboard And Emails Automate'!$G1530,Database!$H:$N,7,0)),"")</f>
        <v/>
      </c>
      <c r="N1530" s="55" t="str">
        <f>IFERROR(IF(OR($B1530="",$B1530="(blank)"),"",VLOOKUP($B1530,'Email Marketing Raw Data'!$C:$O,6,0)),"")</f>
        <v/>
      </c>
      <c r="O1530" s="55" t="str">
        <f>IFERROR(IF(OR($B1530="",$B1530="(blank)"),"",VLOOKUP($B1530,'Email Marketing Raw Data'!$C:$O,7,0)),"")</f>
        <v/>
      </c>
      <c r="P1530" s="55" t="str">
        <f>IFERROR(IF(OR($B1530="",$B1530="(blank)"),"",VLOOKUP($B1530,'Email Marketing Raw Data'!$C:$O,8,0)),"")</f>
        <v/>
      </c>
      <c r="Q1530" s="62" t="str">
        <f>IFERROR(IF(OR($B1530="",$B1530="(blank)"),"",VLOOKUP($B1530,'Email Marketing Raw Data'!$C:$O,9,0)),"")</f>
        <v/>
      </c>
    </row>
    <row r="1531" spans="4:17" ht="12.75" customHeight="1" x14ac:dyDescent="0.2">
      <c r="D1531" s="58" t="str">
        <f>IFERROR(IF(F1531&lt;&gt;"pending","",IF(OR($B1531="",$B1531="(blank)"),"",VLOOKUP($B1531,'Email Marketing Raw Data'!$C:$O,10,0))),"")</f>
        <v/>
      </c>
      <c r="E1531" s="59" t="str">
        <f>IFERROR(IF(F1531&lt;&gt;"pending","",IF(OR($B1531="",$B1531="(blank)"),"",VLOOKUP($B1531,'Email Marketing Raw Data'!$C:$O,11,0))),"")</f>
        <v/>
      </c>
      <c r="F1531" s="54" t="str">
        <f>IFERROR(IF(OR($B1531="",$B1531="(blank)"),"",VLOOKUP($B1531,'Email Marketing Raw Data'!$C:$O,13,0)),"")</f>
        <v/>
      </c>
      <c r="G1531" s="55" t="str">
        <f>IFERROR(IF(OR($B1531="",$B1531="(blank)"),"",VLOOKUP($B1531,'Email Marketing Raw Data'!$C:$O,4,0)),"")</f>
        <v/>
      </c>
      <c r="H1531" s="55" t="str">
        <f>IFERROR(IF(OR($B1531="",$B1531="(blank)"),"",VLOOKUP($B1531,'Email Marketing Raw Data'!$C:$O,5,0)),"")</f>
        <v/>
      </c>
      <c r="I1531" s="55" t="str">
        <f>IFERROR(IF($G1531="","",VLOOKUP('Dashboard And Emails Automate'!$G1531,Database!$H:$N,3,0)),"")</f>
        <v/>
      </c>
      <c r="J1531" s="55" t="str">
        <f>IFERROR(IF($G1531="","",VLOOKUP('Dashboard And Emails Automate'!$G1531,Database!$H:$N,4,0)),"")</f>
        <v/>
      </c>
      <c r="K1531" s="55" t="str">
        <f>IFERROR(IF($G1531="","",VLOOKUP('Dashboard And Emails Automate'!$G1531,Database!$H:$N,5,0)),"")</f>
        <v/>
      </c>
      <c r="L1531" s="55" t="str">
        <f>IFERROR(IF($G1531="","",VLOOKUP('Dashboard And Emails Automate'!$G1531,Database!$H:$N,6,0)),"")</f>
        <v/>
      </c>
      <c r="M1531" s="55" t="str">
        <f>IFERROR(IF($G1531="","",VLOOKUP('Dashboard And Emails Automate'!$G1531,Database!$H:$N,7,0)),"")</f>
        <v/>
      </c>
      <c r="N1531" s="55" t="str">
        <f>IFERROR(IF(OR($B1531="",$B1531="(blank)"),"",VLOOKUP($B1531,'Email Marketing Raw Data'!$C:$O,6,0)),"")</f>
        <v/>
      </c>
      <c r="O1531" s="55" t="str">
        <f>IFERROR(IF(OR($B1531="",$B1531="(blank)"),"",VLOOKUP($B1531,'Email Marketing Raw Data'!$C:$O,7,0)),"")</f>
        <v/>
      </c>
      <c r="P1531" s="55" t="str">
        <f>IFERROR(IF(OR($B1531="",$B1531="(blank)"),"",VLOOKUP($B1531,'Email Marketing Raw Data'!$C:$O,8,0)),"")</f>
        <v/>
      </c>
      <c r="Q1531" s="62" t="str">
        <f>IFERROR(IF(OR($B1531="",$B1531="(blank)"),"",VLOOKUP($B1531,'Email Marketing Raw Data'!$C:$O,9,0)),"")</f>
        <v/>
      </c>
    </row>
    <row r="1532" spans="4:17" ht="12.75" customHeight="1" x14ac:dyDescent="0.2">
      <c r="D1532" s="58" t="str">
        <f>IFERROR(IF(F1532&lt;&gt;"pending","",IF(OR($B1532="",$B1532="(blank)"),"",VLOOKUP($B1532,'Email Marketing Raw Data'!$C:$O,10,0))),"")</f>
        <v/>
      </c>
      <c r="E1532" s="59" t="str">
        <f>IFERROR(IF(F1532&lt;&gt;"pending","",IF(OR($B1532="",$B1532="(blank)"),"",VLOOKUP($B1532,'Email Marketing Raw Data'!$C:$O,11,0))),"")</f>
        <v/>
      </c>
      <c r="F1532" s="54" t="str">
        <f>IFERROR(IF(OR($B1532="",$B1532="(blank)"),"",VLOOKUP($B1532,'Email Marketing Raw Data'!$C:$O,13,0)),"")</f>
        <v/>
      </c>
      <c r="G1532" s="55" t="str">
        <f>IFERROR(IF(OR($B1532="",$B1532="(blank)"),"",VLOOKUP($B1532,'Email Marketing Raw Data'!$C:$O,4,0)),"")</f>
        <v/>
      </c>
      <c r="H1532" s="55" t="str">
        <f>IFERROR(IF(OR($B1532="",$B1532="(blank)"),"",VLOOKUP($B1532,'Email Marketing Raw Data'!$C:$O,5,0)),"")</f>
        <v/>
      </c>
      <c r="I1532" s="55" t="str">
        <f>IFERROR(IF($G1532="","",VLOOKUP('Dashboard And Emails Automate'!$G1532,Database!$H:$N,3,0)),"")</f>
        <v/>
      </c>
      <c r="J1532" s="55" t="str">
        <f>IFERROR(IF($G1532="","",VLOOKUP('Dashboard And Emails Automate'!$G1532,Database!$H:$N,4,0)),"")</f>
        <v/>
      </c>
      <c r="K1532" s="55" t="str">
        <f>IFERROR(IF($G1532="","",VLOOKUP('Dashboard And Emails Automate'!$G1532,Database!$H:$N,5,0)),"")</f>
        <v/>
      </c>
      <c r="L1532" s="55" t="str">
        <f>IFERROR(IF($G1532="","",VLOOKUP('Dashboard And Emails Automate'!$G1532,Database!$H:$N,6,0)),"")</f>
        <v/>
      </c>
      <c r="M1532" s="55" t="str">
        <f>IFERROR(IF($G1532="","",VLOOKUP('Dashboard And Emails Automate'!$G1532,Database!$H:$N,7,0)),"")</f>
        <v/>
      </c>
      <c r="N1532" s="55" t="str">
        <f>IFERROR(IF(OR($B1532="",$B1532="(blank)"),"",VLOOKUP($B1532,'Email Marketing Raw Data'!$C:$O,6,0)),"")</f>
        <v/>
      </c>
      <c r="O1532" s="55" t="str">
        <f>IFERROR(IF(OR($B1532="",$B1532="(blank)"),"",VLOOKUP($B1532,'Email Marketing Raw Data'!$C:$O,7,0)),"")</f>
        <v/>
      </c>
      <c r="P1532" s="55" t="str">
        <f>IFERROR(IF(OR($B1532="",$B1532="(blank)"),"",VLOOKUP($B1532,'Email Marketing Raw Data'!$C:$O,8,0)),"")</f>
        <v/>
      </c>
      <c r="Q1532" s="62" t="str">
        <f>IFERROR(IF(OR($B1532="",$B1532="(blank)"),"",VLOOKUP($B1532,'Email Marketing Raw Data'!$C:$O,9,0)),"")</f>
        <v/>
      </c>
    </row>
    <row r="1533" spans="4:17" ht="12.75" customHeight="1" x14ac:dyDescent="0.2">
      <c r="D1533" s="58" t="str">
        <f>IFERROR(IF(F1533&lt;&gt;"pending","",IF(OR($B1533="",$B1533="(blank)"),"",VLOOKUP($B1533,'Email Marketing Raw Data'!$C:$O,10,0))),"")</f>
        <v/>
      </c>
      <c r="E1533" s="59" t="str">
        <f>IFERROR(IF(F1533&lt;&gt;"pending","",IF(OR($B1533="",$B1533="(blank)"),"",VLOOKUP($B1533,'Email Marketing Raw Data'!$C:$O,11,0))),"")</f>
        <v/>
      </c>
      <c r="F1533" s="54" t="str">
        <f>IFERROR(IF(OR($B1533="",$B1533="(blank)"),"",VLOOKUP($B1533,'Email Marketing Raw Data'!$C:$O,13,0)),"")</f>
        <v/>
      </c>
      <c r="G1533" s="55" t="str">
        <f>IFERROR(IF(OR($B1533="",$B1533="(blank)"),"",VLOOKUP($B1533,'Email Marketing Raw Data'!$C:$O,4,0)),"")</f>
        <v/>
      </c>
      <c r="H1533" s="55" t="str">
        <f>IFERROR(IF(OR($B1533="",$B1533="(blank)"),"",VLOOKUP($B1533,'Email Marketing Raw Data'!$C:$O,5,0)),"")</f>
        <v/>
      </c>
      <c r="I1533" s="55" t="str">
        <f>IFERROR(IF($G1533="","",VLOOKUP('Dashboard And Emails Automate'!$G1533,Database!$H:$N,3,0)),"")</f>
        <v/>
      </c>
      <c r="J1533" s="55" t="str">
        <f>IFERROR(IF($G1533="","",VLOOKUP('Dashboard And Emails Automate'!$G1533,Database!$H:$N,4,0)),"")</f>
        <v/>
      </c>
      <c r="K1533" s="55" t="str">
        <f>IFERROR(IF($G1533="","",VLOOKUP('Dashboard And Emails Automate'!$G1533,Database!$H:$N,5,0)),"")</f>
        <v/>
      </c>
      <c r="L1533" s="55" t="str">
        <f>IFERROR(IF($G1533="","",VLOOKUP('Dashboard And Emails Automate'!$G1533,Database!$H:$N,6,0)),"")</f>
        <v/>
      </c>
      <c r="M1533" s="55" t="str">
        <f>IFERROR(IF($G1533="","",VLOOKUP('Dashboard And Emails Automate'!$G1533,Database!$H:$N,7,0)),"")</f>
        <v/>
      </c>
      <c r="N1533" s="55" t="str">
        <f>IFERROR(IF(OR($B1533="",$B1533="(blank)"),"",VLOOKUP($B1533,'Email Marketing Raw Data'!$C:$O,6,0)),"")</f>
        <v/>
      </c>
      <c r="O1533" s="55" t="str">
        <f>IFERROR(IF(OR($B1533="",$B1533="(blank)"),"",VLOOKUP($B1533,'Email Marketing Raw Data'!$C:$O,7,0)),"")</f>
        <v/>
      </c>
      <c r="P1533" s="55" t="str">
        <f>IFERROR(IF(OR($B1533="",$B1533="(blank)"),"",VLOOKUP($B1533,'Email Marketing Raw Data'!$C:$O,8,0)),"")</f>
        <v/>
      </c>
      <c r="Q1533" s="62" t="str">
        <f>IFERROR(IF(OR($B1533="",$B1533="(blank)"),"",VLOOKUP($B1533,'Email Marketing Raw Data'!$C:$O,9,0)),"")</f>
        <v/>
      </c>
    </row>
    <row r="1534" spans="4:17" ht="12.75" customHeight="1" x14ac:dyDescent="0.2">
      <c r="D1534" s="58" t="str">
        <f>IFERROR(IF(F1534&lt;&gt;"pending","",IF(OR($B1534="",$B1534="(blank)"),"",VLOOKUP($B1534,'Email Marketing Raw Data'!$C:$O,10,0))),"")</f>
        <v/>
      </c>
      <c r="E1534" s="59" t="str">
        <f>IFERROR(IF(F1534&lt;&gt;"pending","",IF(OR($B1534="",$B1534="(blank)"),"",VLOOKUP($B1534,'Email Marketing Raw Data'!$C:$O,11,0))),"")</f>
        <v/>
      </c>
      <c r="F1534" s="54" t="str">
        <f>IFERROR(IF(OR($B1534="",$B1534="(blank)"),"",VLOOKUP($B1534,'Email Marketing Raw Data'!$C:$O,13,0)),"")</f>
        <v/>
      </c>
      <c r="G1534" s="55" t="str">
        <f>IFERROR(IF(OR($B1534="",$B1534="(blank)"),"",VLOOKUP($B1534,'Email Marketing Raw Data'!$C:$O,4,0)),"")</f>
        <v/>
      </c>
      <c r="H1534" s="55" t="str">
        <f>IFERROR(IF(OR($B1534="",$B1534="(blank)"),"",VLOOKUP($B1534,'Email Marketing Raw Data'!$C:$O,5,0)),"")</f>
        <v/>
      </c>
      <c r="I1534" s="55" t="str">
        <f>IFERROR(IF($G1534="","",VLOOKUP('Dashboard And Emails Automate'!$G1534,Database!$H:$N,3,0)),"")</f>
        <v/>
      </c>
      <c r="J1534" s="55" t="str">
        <f>IFERROR(IF($G1534="","",VLOOKUP('Dashboard And Emails Automate'!$G1534,Database!$H:$N,4,0)),"")</f>
        <v/>
      </c>
      <c r="K1534" s="55" t="str">
        <f>IFERROR(IF($G1534="","",VLOOKUP('Dashboard And Emails Automate'!$G1534,Database!$H:$N,5,0)),"")</f>
        <v/>
      </c>
      <c r="L1534" s="55" t="str">
        <f>IFERROR(IF($G1534="","",VLOOKUP('Dashboard And Emails Automate'!$G1534,Database!$H:$N,6,0)),"")</f>
        <v/>
      </c>
      <c r="M1534" s="55" t="str">
        <f>IFERROR(IF($G1534="","",VLOOKUP('Dashboard And Emails Automate'!$G1534,Database!$H:$N,7,0)),"")</f>
        <v/>
      </c>
      <c r="N1534" s="55" t="str">
        <f>IFERROR(IF(OR($B1534="",$B1534="(blank)"),"",VLOOKUP($B1534,'Email Marketing Raw Data'!$C:$O,6,0)),"")</f>
        <v/>
      </c>
      <c r="O1534" s="55" t="str">
        <f>IFERROR(IF(OR($B1534="",$B1534="(blank)"),"",VLOOKUP($B1534,'Email Marketing Raw Data'!$C:$O,7,0)),"")</f>
        <v/>
      </c>
      <c r="P1534" s="55" t="str">
        <f>IFERROR(IF(OR($B1534="",$B1534="(blank)"),"",VLOOKUP($B1534,'Email Marketing Raw Data'!$C:$O,8,0)),"")</f>
        <v/>
      </c>
      <c r="Q1534" s="62" t="str">
        <f>IFERROR(IF(OR($B1534="",$B1534="(blank)"),"",VLOOKUP($B1534,'Email Marketing Raw Data'!$C:$O,9,0)),"")</f>
        <v/>
      </c>
    </row>
    <row r="1535" spans="4:17" ht="12.75" customHeight="1" x14ac:dyDescent="0.2">
      <c r="D1535" s="58" t="str">
        <f>IFERROR(IF(F1535&lt;&gt;"pending","",IF(OR($B1535="",$B1535="(blank)"),"",VLOOKUP($B1535,'Email Marketing Raw Data'!$C:$O,10,0))),"")</f>
        <v/>
      </c>
      <c r="E1535" s="59" t="str">
        <f>IFERROR(IF(F1535&lt;&gt;"pending","",IF(OR($B1535="",$B1535="(blank)"),"",VLOOKUP($B1535,'Email Marketing Raw Data'!$C:$O,11,0))),"")</f>
        <v/>
      </c>
      <c r="F1535" s="54" t="str">
        <f>IFERROR(IF(OR($B1535="",$B1535="(blank)"),"",VLOOKUP($B1535,'Email Marketing Raw Data'!$C:$O,13,0)),"")</f>
        <v/>
      </c>
      <c r="G1535" s="55" t="str">
        <f>IFERROR(IF(OR($B1535="",$B1535="(blank)"),"",VLOOKUP($B1535,'Email Marketing Raw Data'!$C:$O,4,0)),"")</f>
        <v/>
      </c>
      <c r="H1535" s="55" t="str">
        <f>IFERROR(IF(OR($B1535="",$B1535="(blank)"),"",VLOOKUP($B1535,'Email Marketing Raw Data'!$C:$O,5,0)),"")</f>
        <v/>
      </c>
      <c r="I1535" s="55" t="str">
        <f>IFERROR(IF($G1535="","",VLOOKUP('Dashboard And Emails Automate'!$G1535,Database!$H:$N,3,0)),"")</f>
        <v/>
      </c>
      <c r="J1535" s="55" t="str">
        <f>IFERROR(IF($G1535="","",VLOOKUP('Dashboard And Emails Automate'!$G1535,Database!$H:$N,4,0)),"")</f>
        <v/>
      </c>
      <c r="K1535" s="55" t="str">
        <f>IFERROR(IF($G1535="","",VLOOKUP('Dashboard And Emails Automate'!$G1535,Database!$H:$N,5,0)),"")</f>
        <v/>
      </c>
      <c r="L1535" s="55" t="str">
        <f>IFERROR(IF($G1535="","",VLOOKUP('Dashboard And Emails Automate'!$G1535,Database!$H:$N,6,0)),"")</f>
        <v/>
      </c>
      <c r="M1535" s="55" t="str">
        <f>IFERROR(IF($G1535="","",VLOOKUP('Dashboard And Emails Automate'!$G1535,Database!$H:$N,7,0)),"")</f>
        <v/>
      </c>
      <c r="N1535" s="55" t="str">
        <f>IFERROR(IF(OR($B1535="",$B1535="(blank)"),"",VLOOKUP($B1535,'Email Marketing Raw Data'!$C:$O,6,0)),"")</f>
        <v/>
      </c>
      <c r="O1535" s="55" t="str">
        <f>IFERROR(IF(OR($B1535="",$B1535="(blank)"),"",VLOOKUP($B1535,'Email Marketing Raw Data'!$C:$O,7,0)),"")</f>
        <v/>
      </c>
      <c r="P1535" s="55" t="str">
        <f>IFERROR(IF(OR($B1535="",$B1535="(blank)"),"",VLOOKUP($B1535,'Email Marketing Raw Data'!$C:$O,8,0)),"")</f>
        <v/>
      </c>
      <c r="Q1535" s="62" t="str">
        <f>IFERROR(IF(OR($B1535="",$B1535="(blank)"),"",VLOOKUP($B1535,'Email Marketing Raw Data'!$C:$O,9,0)),"")</f>
        <v/>
      </c>
    </row>
    <row r="1536" spans="4:17" ht="12.75" customHeight="1" x14ac:dyDescent="0.2">
      <c r="D1536" s="58" t="str">
        <f>IFERROR(IF(F1536&lt;&gt;"pending","",IF(OR($B1536="",$B1536="(blank)"),"",VLOOKUP($B1536,'Email Marketing Raw Data'!$C:$O,10,0))),"")</f>
        <v/>
      </c>
      <c r="E1536" s="59" t="str">
        <f>IFERROR(IF(F1536&lt;&gt;"pending","",IF(OR($B1536="",$B1536="(blank)"),"",VLOOKUP($B1536,'Email Marketing Raw Data'!$C:$O,11,0))),"")</f>
        <v/>
      </c>
      <c r="F1536" s="54" t="str">
        <f>IFERROR(IF(OR($B1536="",$B1536="(blank)"),"",VLOOKUP($B1536,'Email Marketing Raw Data'!$C:$O,13,0)),"")</f>
        <v/>
      </c>
      <c r="G1536" s="55" t="str">
        <f>IFERROR(IF(OR($B1536="",$B1536="(blank)"),"",VLOOKUP($B1536,'Email Marketing Raw Data'!$C:$O,4,0)),"")</f>
        <v/>
      </c>
      <c r="H1536" s="55" t="str">
        <f>IFERROR(IF(OR($B1536="",$B1536="(blank)"),"",VLOOKUP($B1536,'Email Marketing Raw Data'!$C:$O,5,0)),"")</f>
        <v/>
      </c>
      <c r="I1536" s="55" t="str">
        <f>IFERROR(IF($G1536="","",VLOOKUP('Dashboard And Emails Automate'!$G1536,Database!$H:$N,3,0)),"")</f>
        <v/>
      </c>
      <c r="J1536" s="55" t="str">
        <f>IFERROR(IF($G1536="","",VLOOKUP('Dashboard And Emails Automate'!$G1536,Database!$H:$N,4,0)),"")</f>
        <v/>
      </c>
      <c r="K1536" s="55" t="str">
        <f>IFERROR(IF($G1536="","",VLOOKUP('Dashboard And Emails Automate'!$G1536,Database!$H:$N,5,0)),"")</f>
        <v/>
      </c>
      <c r="L1536" s="55" t="str">
        <f>IFERROR(IF($G1536="","",VLOOKUP('Dashboard And Emails Automate'!$G1536,Database!$H:$N,6,0)),"")</f>
        <v/>
      </c>
      <c r="M1536" s="55" t="str">
        <f>IFERROR(IF($G1536="","",VLOOKUP('Dashboard And Emails Automate'!$G1536,Database!$H:$N,7,0)),"")</f>
        <v/>
      </c>
      <c r="N1536" s="55" t="str">
        <f>IFERROR(IF(OR($B1536="",$B1536="(blank)"),"",VLOOKUP($B1536,'Email Marketing Raw Data'!$C:$O,6,0)),"")</f>
        <v/>
      </c>
      <c r="O1536" s="55" t="str">
        <f>IFERROR(IF(OR($B1536="",$B1536="(blank)"),"",VLOOKUP($B1536,'Email Marketing Raw Data'!$C:$O,7,0)),"")</f>
        <v/>
      </c>
      <c r="P1536" s="55" t="str">
        <f>IFERROR(IF(OR($B1536="",$B1536="(blank)"),"",VLOOKUP($B1536,'Email Marketing Raw Data'!$C:$O,8,0)),"")</f>
        <v/>
      </c>
      <c r="Q1536" s="62" t="str">
        <f>IFERROR(IF(OR($B1536="",$B1536="(blank)"),"",VLOOKUP($B1536,'Email Marketing Raw Data'!$C:$O,9,0)),"")</f>
        <v/>
      </c>
    </row>
    <row r="1537" spans="4:17" ht="12.75" customHeight="1" x14ac:dyDescent="0.2">
      <c r="D1537" s="58" t="str">
        <f>IFERROR(IF(F1537&lt;&gt;"pending","",IF(OR($B1537="",$B1537="(blank)"),"",VLOOKUP($B1537,'Email Marketing Raw Data'!$C:$O,10,0))),"")</f>
        <v/>
      </c>
      <c r="E1537" s="59" t="str">
        <f>IFERROR(IF(F1537&lt;&gt;"pending","",IF(OR($B1537="",$B1537="(blank)"),"",VLOOKUP($B1537,'Email Marketing Raw Data'!$C:$O,11,0))),"")</f>
        <v/>
      </c>
      <c r="F1537" s="54" t="str">
        <f>IFERROR(IF(OR($B1537="",$B1537="(blank)"),"",VLOOKUP($B1537,'Email Marketing Raw Data'!$C:$O,13,0)),"")</f>
        <v/>
      </c>
      <c r="G1537" s="55" t="str">
        <f>IFERROR(IF(OR($B1537="",$B1537="(blank)"),"",VLOOKUP($B1537,'Email Marketing Raw Data'!$C:$O,4,0)),"")</f>
        <v/>
      </c>
      <c r="H1537" s="55" t="str">
        <f>IFERROR(IF(OR($B1537="",$B1537="(blank)"),"",VLOOKUP($B1537,'Email Marketing Raw Data'!$C:$O,5,0)),"")</f>
        <v/>
      </c>
      <c r="I1537" s="55" t="str">
        <f>IFERROR(IF($G1537="","",VLOOKUP('Dashboard And Emails Automate'!$G1537,Database!$H:$N,3,0)),"")</f>
        <v/>
      </c>
      <c r="J1537" s="55" t="str">
        <f>IFERROR(IF($G1537="","",VLOOKUP('Dashboard And Emails Automate'!$G1537,Database!$H:$N,4,0)),"")</f>
        <v/>
      </c>
      <c r="K1537" s="55" t="str">
        <f>IFERROR(IF($G1537="","",VLOOKUP('Dashboard And Emails Automate'!$G1537,Database!$H:$N,5,0)),"")</f>
        <v/>
      </c>
      <c r="L1537" s="55" t="str">
        <f>IFERROR(IF($G1537="","",VLOOKUP('Dashboard And Emails Automate'!$G1537,Database!$H:$N,6,0)),"")</f>
        <v/>
      </c>
      <c r="M1537" s="55" t="str">
        <f>IFERROR(IF($G1537="","",VLOOKUP('Dashboard And Emails Automate'!$G1537,Database!$H:$N,7,0)),"")</f>
        <v/>
      </c>
      <c r="N1537" s="55" t="str">
        <f>IFERROR(IF(OR($B1537="",$B1537="(blank)"),"",VLOOKUP($B1537,'Email Marketing Raw Data'!$C:$O,6,0)),"")</f>
        <v/>
      </c>
      <c r="O1537" s="55" t="str">
        <f>IFERROR(IF(OR($B1537="",$B1537="(blank)"),"",VLOOKUP($B1537,'Email Marketing Raw Data'!$C:$O,7,0)),"")</f>
        <v/>
      </c>
      <c r="P1537" s="55" t="str">
        <f>IFERROR(IF(OR($B1537="",$B1537="(blank)"),"",VLOOKUP($B1537,'Email Marketing Raw Data'!$C:$O,8,0)),"")</f>
        <v/>
      </c>
      <c r="Q1537" s="62" t="str">
        <f>IFERROR(IF(OR($B1537="",$B1537="(blank)"),"",VLOOKUP($B1537,'Email Marketing Raw Data'!$C:$O,9,0)),"")</f>
        <v/>
      </c>
    </row>
    <row r="1538" spans="4:17" ht="12.75" customHeight="1" x14ac:dyDescent="0.2">
      <c r="D1538" s="58" t="str">
        <f>IFERROR(IF(F1538&lt;&gt;"pending","",IF(OR($B1538="",$B1538="(blank)"),"",VLOOKUP($B1538,'Email Marketing Raw Data'!$C:$O,10,0))),"")</f>
        <v/>
      </c>
      <c r="E1538" s="59" t="str">
        <f>IFERROR(IF(F1538&lt;&gt;"pending","",IF(OR($B1538="",$B1538="(blank)"),"",VLOOKUP($B1538,'Email Marketing Raw Data'!$C:$O,11,0))),"")</f>
        <v/>
      </c>
      <c r="F1538" s="54" t="str">
        <f>IFERROR(IF(OR($B1538="",$B1538="(blank)"),"",VLOOKUP($B1538,'Email Marketing Raw Data'!$C:$O,13,0)),"")</f>
        <v/>
      </c>
      <c r="G1538" s="55" t="str">
        <f>IFERROR(IF(OR($B1538="",$B1538="(blank)"),"",VLOOKUP($B1538,'Email Marketing Raw Data'!$C:$O,4,0)),"")</f>
        <v/>
      </c>
      <c r="H1538" s="55" t="str">
        <f>IFERROR(IF(OR($B1538="",$B1538="(blank)"),"",VLOOKUP($B1538,'Email Marketing Raw Data'!$C:$O,5,0)),"")</f>
        <v/>
      </c>
      <c r="I1538" s="55" t="str">
        <f>IFERROR(IF($G1538="","",VLOOKUP('Dashboard And Emails Automate'!$G1538,Database!$H:$N,3,0)),"")</f>
        <v/>
      </c>
      <c r="J1538" s="55" t="str">
        <f>IFERROR(IF($G1538="","",VLOOKUP('Dashboard And Emails Automate'!$G1538,Database!$H:$N,4,0)),"")</f>
        <v/>
      </c>
      <c r="K1538" s="55" t="str">
        <f>IFERROR(IF($G1538="","",VLOOKUP('Dashboard And Emails Automate'!$G1538,Database!$H:$N,5,0)),"")</f>
        <v/>
      </c>
      <c r="L1538" s="55" t="str">
        <f>IFERROR(IF($G1538="","",VLOOKUP('Dashboard And Emails Automate'!$G1538,Database!$H:$N,6,0)),"")</f>
        <v/>
      </c>
      <c r="M1538" s="55" t="str">
        <f>IFERROR(IF($G1538="","",VLOOKUP('Dashboard And Emails Automate'!$G1538,Database!$H:$N,7,0)),"")</f>
        <v/>
      </c>
      <c r="N1538" s="55" t="str">
        <f>IFERROR(IF(OR($B1538="",$B1538="(blank)"),"",VLOOKUP($B1538,'Email Marketing Raw Data'!$C:$O,6,0)),"")</f>
        <v/>
      </c>
      <c r="O1538" s="55" t="str">
        <f>IFERROR(IF(OR($B1538="",$B1538="(blank)"),"",VLOOKUP($B1538,'Email Marketing Raw Data'!$C:$O,7,0)),"")</f>
        <v/>
      </c>
      <c r="P1538" s="55" t="str">
        <f>IFERROR(IF(OR($B1538="",$B1538="(blank)"),"",VLOOKUP($B1538,'Email Marketing Raw Data'!$C:$O,8,0)),"")</f>
        <v/>
      </c>
      <c r="Q1538" s="62" t="str">
        <f>IFERROR(IF(OR($B1538="",$B1538="(blank)"),"",VLOOKUP($B1538,'Email Marketing Raw Data'!$C:$O,9,0)),"")</f>
        <v/>
      </c>
    </row>
    <row r="1539" spans="4:17" ht="12.75" customHeight="1" x14ac:dyDescent="0.2">
      <c r="D1539" s="58" t="str">
        <f>IFERROR(IF(F1539&lt;&gt;"pending","",IF(OR($B1539="",$B1539="(blank)"),"",VLOOKUP($B1539,'Email Marketing Raw Data'!$C:$O,10,0))),"")</f>
        <v/>
      </c>
      <c r="E1539" s="59" t="str">
        <f>IFERROR(IF(F1539&lt;&gt;"pending","",IF(OR($B1539="",$B1539="(blank)"),"",VLOOKUP($B1539,'Email Marketing Raw Data'!$C:$O,11,0))),"")</f>
        <v/>
      </c>
      <c r="F1539" s="54" t="str">
        <f>IFERROR(IF(OR($B1539="",$B1539="(blank)"),"",VLOOKUP($B1539,'Email Marketing Raw Data'!$C:$O,13,0)),"")</f>
        <v/>
      </c>
      <c r="G1539" s="55" t="str">
        <f>IFERROR(IF(OR($B1539="",$B1539="(blank)"),"",VLOOKUP($B1539,'Email Marketing Raw Data'!$C:$O,4,0)),"")</f>
        <v/>
      </c>
      <c r="H1539" s="55" t="str">
        <f>IFERROR(IF(OR($B1539="",$B1539="(blank)"),"",VLOOKUP($B1539,'Email Marketing Raw Data'!$C:$O,5,0)),"")</f>
        <v/>
      </c>
      <c r="I1539" s="55" t="str">
        <f>IFERROR(IF($G1539="","",VLOOKUP('Dashboard And Emails Automate'!$G1539,Database!$H:$N,3,0)),"")</f>
        <v/>
      </c>
      <c r="J1539" s="55" t="str">
        <f>IFERROR(IF($G1539="","",VLOOKUP('Dashboard And Emails Automate'!$G1539,Database!$H:$N,4,0)),"")</f>
        <v/>
      </c>
      <c r="K1539" s="55" t="str">
        <f>IFERROR(IF($G1539="","",VLOOKUP('Dashboard And Emails Automate'!$G1539,Database!$H:$N,5,0)),"")</f>
        <v/>
      </c>
      <c r="L1539" s="55" t="str">
        <f>IFERROR(IF($G1539="","",VLOOKUP('Dashboard And Emails Automate'!$G1539,Database!$H:$N,6,0)),"")</f>
        <v/>
      </c>
      <c r="M1539" s="55" t="str">
        <f>IFERROR(IF($G1539="","",VLOOKUP('Dashboard And Emails Automate'!$G1539,Database!$H:$N,7,0)),"")</f>
        <v/>
      </c>
      <c r="N1539" s="55" t="str">
        <f>IFERROR(IF(OR($B1539="",$B1539="(blank)"),"",VLOOKUP($B1539,'Email Marketing Raw Data'!$C:$O,6,0)),"")</f>
        <v/>
      </c>
      <c r="O1539" s="55" t="str">
        <f>IFERROR(IF(OR($B1539="",$B1539="(blank)"),"",VLOOKUP($B1539,'Email Marketing Raw Data'!$C:$O,7,0)),"")</f>
        <v/>
      </c>
      <c r="P1539" s="55" t="str">
        <f>IFERROR(IF(OR($B1539="",$B1539="(blank)"),"",VLOOKUP($B1539,'Email Marketing Raw Data'!$C:$O,8,0)),"")</f>
        <v/>
      </c>
      <c r="Q1539" s="62" t="str">
        <f>IFERROR(IF(OR($B1539="",$B1539="(blank)"),"",VLOOKUP($B1539,'Email Marketing Raw Data'!$C:$O,9,0)),"")</f>
        <v/>
      </c>
    </row>
    <row r="1540" spans="4:17" ht="12.75" customHeight="1" x14ac:dyDescent="0.2">
      <c r="D1540" s="58" t="str">
        <f>IFERROR(IF(F1540&lt;&gt;"pending","",IF(OR($B1540="",$B1540="(blank)"),"",VLOOKUP($B1540,'Email Marketing Raw Data'!$C:$O,10,0))),"")</f>
        <v/>
      </c>
      <c r="E1540" s="59" t="str">
        <f>IFERROR(IF(F1540&lt;&gt;"pending","",IF(OR($B1540="",$B1540="(blank)"),"",VLOOKUP($B1540,'Email Marketing Raw Data'!$C:$O,11,0))),"")</f>
        <v/>
      </c>
      <c r="F1540" s="54" t="str">
        <f>IFERROR(IF(OR($B1540="",$B1540="(blank)"),"",VLOOKUP($B1540,'Email Marketing Raw Data'!$C:$O,13,0)),"")</f>
        <v/>
      </c>
      <c r="G1540" s="55" t="str">
        <f>IFERROR(IF(OR($B1540="",$B1540="(blank)"),"",VLOOKUP($B1540,'Email Marketing Raw Data'!$C:$O,4,0)),"")</f>
        <v/>
      </c>
      <c r="H1540" s="55" t="str">
        <f>IFERROR(IF(OR($B1540="",$B1540="(blank)"),"",VLOOKUP($B1540,'Email Marketing Raw Data'!$C:$O,5,0)),"")</f>
        <v/>
      </c>
      <c r="I1540" s="55" t="str">
        <f>IFERROR(IF($G1540="","",VLOOKUP('Dashboard And Emails Automate'!$G1540,Database!$H:$N,3,0)),"")</f>
        <v/>
      </c>
      <c r="J1540" s="55" t="str">
        <f>IFERROR(IF($G1540="","",VLOOKUP('Dashboard And Emails Automate'!$G1540,Database!$H:$N,4,0)),"")</f>
        <v/>
      </c>
      <c r="K1540" s="55" t="str">
        <f>IFERROR(IF($G1540="","",VLOOKUP('Dashboard And Emails Automate'!$G1540,Database!$H:$N,5,0)),"")</f>
        <v/>
      </c>
      <c r="L1540" s="55" t="str">
        <f>IFERROR(IF($G1540="","",VLOOKUP('Dashboard And Emails Automate'!$G1540,Database!$H:$N,6,0)),"")</f>
        <v/>
      </c>
      <c r="M1540" s="55" t="str">
        <f>IFERROR(IF($G1540="","",VLOOKUP('Dashboard And Emails Automate'!$G1540,Database!$H:$N,7,0)),"")</f>
        <v/>
      </c>
      <c r="N1540" s="55" t="str">
        <f>IFERROR(IF(OR($B1540="",$B1540="(blank)"),"",VLOOKUP($B1540,'Email Marketing Raw Data'!$C:$O,6,0)),"")</f>
        <v/>
      </c>
      <c r="O1540" s="55" t="str">
        <f>IFERROR(IF(OR($B1540="",$B1540="(blank)"),"",VLOOKUP($B1540,'Email Marketing Raw Data'!$C:$O,7,0)),"")</f>
        <v/>
      </c>
      <c r="P1540" s="55" t="str">
        <f>IFERROR(IF(OR($B1540="",$B1540="(blank)"),"",VLOOKUP($B1540,'Email Marketing Raw Data'!$C:$O,8,0)),"")</f>
        <v/>
      </c>
      <c r="Q1540" s="62" t="str">
        <f>IFERROR(IF(OR($B1540="",$B1540="(blank)"),"",VLOOKUP($B1540,'Email Marketing Raw Data'!$C:$O,9,0)),"")</f>
        <v/>
      </c>
    </row>
    <row r="1541" spans="4:17" ht="12.75" customHeight="1" x14ac:dyDescent="0.2">
      <c r="D1541" s="58" t="str">
        <f>IFERROR(IF(F1541&lt;&gt;"pending","",IF(OR($B1541="",$B1541="(blank)"),"",VLOOKUP($B1541,'Email Marketing Raw Data'!$C:$O,10,0))),"")</f>
        <v/>
      </c>
      <c r="E1541" s="59" t="str">
        <f>IFERROR(IF(F1541&lt;&gt;"pending","",IF(OR($B1541="",$B1541="(blank)"),"",VLOOKUP($B1541,'Email Marketing Raw Data'!$C:$O,11,0))),"")</f>
        <v/>
      </c>
      <c r="F1541" s="54" t="str">
        <f>IFERROR(IF(OR($B1541="",$B1541="(blank)"),"",VLOOKUP($B1541,'Email Marketing Raw Data'!$C:$O,13,0)),"")</f>
        <v/>
      </c>
      <c r="G1541" s="55" t="str">
        <f>IFERROR(IF(OR($B1541="",$B1541="(blank)"),"",VLOOKUP($B1541,'Email Marketing Raw Data'!$C:$O,4,0)),"")</f>
        <v/>
      </c>
      <c r="H1541" s="55" t="str">
        <f>IFERROR(IF(OR($B1541="",$B1541="(blank)"),"",VLOOKUP($B1541,'Email Marketing Raw Data'!$C:$O,5,0)),"")</f>
        <v/>
      </c>
      <c r="I1541" s="55" t="str">
        <f>IFERROR(IF($G1541="","",VLOOKUP('Dashboard And Emails Automate'!$G1541,Database!$H:$N,3,0)),"")</f>
        <v/>
      </c>
      <c r="J1541" s="55" t="str">
        <f>IFERROR(IF($G1541="","",VLOOKUP('Dashboard And Emails Automate'!$G1541,Database!$H:$N,4,0)),"")</f>
        <v/>
      </c>
      <c r="K1541" s="55" t="str">
        <f>IFERROR(IF($G1541="","",VLOOKUP('Dashboard And Emails Automate'!$G1541,Database!$H:$N,5,0)),"")</f>
        <v/>
      </c>
      <c r="L1541" s="55" t="str">
        <f>IFERROR(IF($G1541="","",VLOOKUP('Dashboard And Emails Automate'!$G1541,Database!$H:$N,6,0)),"")</f>
        <v/>
      </c>
      <c r="M1541" s="55" t="str">
        <f>IFERROR(IF($G1541="","",VLOOKUP('Dashboard And Emails Automate'!$G1541,Database!$H:$N,7,0)),"")</f>
        <v/>
      </c>
      <c r="N1541" s="55" t="str">
        <f>IFERROR(IF(OR($B1541="",$B1541="(blank)"),"",VLOOKUP($B1541,'Email Marketing Raw Data'!$C:$O,6,0)),"")</f>
        <v/>
      </c>
      <c r="O1541" s="55" t="str">
        <f>IFERROR(IF(OR($B1541="",$B1541="(blank)"),"",VLOOKUP($B1541,'Email Marketing Raw Data'!$C:$O,7,0)),"")</f>
        <v/>
      </c>
      <c r="P1541" s="55" t="str">
        <f>IFERROR(IF(OR($B1541="",$B1541="(blank)"),"",VLOOKUP($B1541,'Email Marketing Raw Data'!$C:$O,8,0)),"")</f>
        <v/>
      </c>
      <c r="Q1541" s="62" t="str">
        <f>IFERROR(IF(OR($B1541="",$B1541="(blank)"),"",VLOOKUP($B1541,'Email Marketing Raw Data'!$C:$O,9,0)),"")</f>
        <v/>
      </c>
    </row>
    <row r="1542" spans="4:17" ht="12.75" customHeight="1" x14ac:dyDescent="0.2">
      <c r="D1542" s="58" t="str">
        <f>IFERROR(IF(F1542&lt;&gt;"pending","",IF(OR($B1542="",$B1542="(blank)"),"",VLOOKUP($B1542,'Email Marketing Raw Data'!$C:$O,10,0))),"")</f>
        <v/>
      </c>
      <c r="E1542" s="59" t="str">
        <f>IFERROR(IF(F1542&lt;&gt;"pending","",IF(OR($B1542="",$B1542="(blank)"),"",VLOOKUP($B1542,'Email Marketing Raw Data'!$C:$O,11,0))),"")</f>
        <v/>
      </c>
      <c r="F1542" s="54" t="str">
        <f>IFERROR(IF(OR($B1542="",$B1542="(blank)"),"",VLOOKUP($B1542,'Email Marketing Raw Data'!$C:$O,13,0)),"")</f>
        <v/>
      </c>
      <c r="G1542" s="55" t="str">
        <f>IFERROR(IF(OR($B1542="",$B1542="(blank)"),"",VLOOKUP($B1542,'Email Marketing Raw Data'!$C:$O,4,0)),"")</f>
        <v/>
      </c>
      <c r="H1542" s="55" t="str">
        <f>IFERROR(IF(OR($B1542="",$B1542="(blank)"),"",VLOOKUP($B1542,'Email Marketing Raw Data'!$C:$O,5,0)),"")</f>
        <v/>
      </c>
      <c r="I1542" s="55" t="str">
        <f>IFERROR(IF($G1542="","",VLOOKUP('Dashboard And Emails Automate'!$G1542,Database!$H:$N,3,0)),"")</f>
        <v/>
      </c>
      <c r="J1542" s="55" t="str">
        <f>IFERROR(IF($G1542="","",VLOOKUP('Dashboard And Emails Automate'!$G1542,Database!$H:$N,4,0)),"")</f>
        <v/>
      </c>
      <c r="K1542" s="55" t="str">
        <f>IFERROR(IF($G1542="","",VLOOKUP('Dashboard And Emails Automate'!$G1542,Database!$H:$N,5,0)),"")</f>
        <v/>
      </c>
      <c r="L1542" s="55" t="str">
        <f>IFERROR(IF($G1542="","",VLOOKUP('Dashboard And Emails Automate'!$G1542,Database!$H:$N,6,0)),"")</f>
        <v/>
      </c>
      <c r="M1542" s="55" t="str">
        <f>IFERROR(IF($G1542="","",VLOOKUP('Dashboard And Emails Automate'!$G1542,Database!$H:$N,7,0)),"")</f>
        <v/>
      </c>
      <c r="N1542" s="55" t="str">
        <f>IFERROR(IF(OR($B1542="",$B1542="(blank)"),"",VLOOKUP($B1542,'Email Marketing Raw Data'!$C:$O,6,0)),"")</f>
        <v/>
      </c>
      <c r="O1542" s="55" t="str">
        <f>IFERROR(IF(OR($B1542="",$B1542="(blank)"),"",VLOOKUP($B1542,'Email Marketing Raw Data'!$C:$O,7,0)),"")</f>
        <v/>
      </c>
      <c r="P1542" s="55" t="str">
        <f>IFERROR(IF(OR($B1542="",$B1542="(blank)"),"",VLOOKUP($B1542,'Email Marketing Raw Data'!$C:$O,8,0)),"")</f>
        <v/>
      </c>
      <c r="Q1542" s="62" t="str">
        <f>IFERROR(IF(OR($B1542="",$B1542="(blank)"),"",VLOOKUP($B1542,'Email Marketing Raw Data'!$C:$O,9,0)),"")</f>
        <v/>
      </c>
    </row>
    <row r="1543" spans="4:17" ht="12.75" customHeight="1" x14ac:dyDescent="0.2">
      <c r="D1543" s="58" t="str">
        <f>IFERROR(IF(F1543&lt;&gt;"pending","",IF(OR($B1543="",$B1543="(blank)"),"",VLOOKUP($B1543,'Email Marketing Raw Data'!$C:$O,10,0))),"")</f>
        <v/>
      </c>
      <c r="E1543" s="59" t="str">
        <f>IFERROR(IF(F1543&lt;&gt;"pending","",IF(OR($B1543="",$B1543="(blank)"),"",VLOOKUP($B1543,'Email Marketing Raw Data'!$C:$O,11,0))),"")</f>
        <v/>
      </c>
      <c r="F1543" s="54" t="str">
        <f>IFERROR(IF(OR($B1543="",$B1543="(blank)"),"",VLOOKUP($B1543,'Email Marketing Raw Data'!$C:$O,13,0)),"")</f>
        <v/>
      </c>
      <c r="G1543" s="55" t="str">
        <f>IFERROR(IF(OR($B1543="",$B1543="(blank)"),"",VLOOKUP($B1543,'Email Marketing Raw Data'!$C:$O,4,0)),"")</f>
        <v/>
      </c>
      <c r="H1543" s="55" t="str">
        <f>IFERROR(IF(OR($B1543="",$B1543="(blank)"),"",VLOOKUP($B1543,'Email Marketing Raw Data'!$C:$O,5,0)),"")</f>
        <v/>
      </c>
      <c r="I1543" s="55" t="str">
        <f>IFERROR(IF($G1543="","",VLOOKUP('Dashboard And Emails Automate'!$G1543,Database!$H:$N,3,0)),"")</f>
        <v/>
      </c>
      <c r="J1543" s="55" t="str">
        <f>IFERROR(IF($G1543="","",VLOOKUP('Dashboard And Emails Automate'!$G1543,Database!$H:$N,4,0)),"")</f>
        <v/>
      </c>
      <c r="K1543" s="55" t="str">
        <f>IFERROR(IF($G1543="","",VLOOKUP('Dashboard And Emails Automate'!$G1543,Database!$H:$N,5,0)),"")</f>
        <v/>
      </c>
      <c r="L1543" s="55" t="str">
        <f>IFERROR(IF($G1543="","",VLOOKUP('Dashboard And Emails Automate'!$G1543,Database!$H:$N,6,0)),"")</f>
        <v/>
      </c>
      <c r="M1543" s="55" t="str">
        <f>IFERROR(IF($G1543="","",VLOOKUP('Dashboard And Emails Automate'!$G1543,Database!$H:$N,7,0)),"")</f>
        <v/>
      </c>
      <c r="N1543" s="55" t="str">
        <f>IFERROR(IF(OR($B1543="",$B1543="(blank)"),"",VLOOKUP($B1543,'Email Marketing Raw Data'!$C:$O,6,0)),"")</f>
        <v/>
      </c>
      <c r="O1543" s="55" t="str">
        <f>IFERROR(IF(OR($B1543="",$B1543="(blank)"),"",VLOOKUP($B1543,'Email Marketing Raw Data'!$C:$O,7,0)),"")</f>
        <v/>
      </c>
      <c r="P1543" s="55" t="str">
        <f>IFERROR(IF(OR($B1543="",$B1543="(blank)"),"",VLOOKUP($B1543,'Email Marketing Raw Data'!$C:$O,8,0)),"")</f>
        <v/>
      </c>
      <c r="Q1543" s="62" t="str">
        <f>IFERROR(IF(OR($B1543="",$B1543="(blank)"),"",VLOOKUP($B1543,'Email Marketing Raw Data'!$C:$O,9,0)),"")</f>
        <v/>
      </c>
    </row>
    <row r="1544" spans="4:17" ht="12.75" customHeight="1" x14ac:dyDescent="0.2">
      <c r="D1544" s="58" t="str">
        <f>IFERROR(IF(F1544&lt;&gt;"pending","",IF(OR($B1544="",$B1544="(blank)"),"",VLOOKUP($B1544,'Email Marketing Raw Data'!$C:$O,10,0))),"")</f>
        <v/>
      </c>
      <c r="E1544" s="59" t="str">
        <f>IFERROR(IF(F1544&lt;&gt;"pending","",IF(OR($B1544="",$B1544="(blank)"),"",VLOOKUP($B1544,'Email Marketing Raw Data'!$C:$O,11,0))),"")</f>
        <v/>
      </c>
      <c r="F1544" s="54" t="str">
        <f>IFERROR(IF(OR($B1544="",$B1544="(blank)"),"",VLOOKUP($B1544,'Email Marketing Raw Data'!$C:$O,13,0)),"")</f>
        <v/>
      </c>
      <c r="G1544" s="55" t="str">
        <f>IFERROR(IF(OR($B1544="",$B1544="(blank)"),"",VLOOKUP($B1544,'Email Marketing Raw Data'!$C:$O,4,0)),"")</f>
        <v/>
      </c>
      <c r="H1544" s="55" t="str">
        <f>IFERROR(IF(OR($B1544="",$B1544="(blank)"),"",VLOOKUP($B1544,'Email Marketing Raw Data'!$C:$O,5,0)),"")</f>
        <v/>
      </c>
      <c r="I1544" s="55" t="str">
        <f>IFERROR(IF($G1544="","",VLOOKUP('Dashboard And Emails Automate'!$G1544,Database!$H:$N,3,0)),"")</f>
        <v/>
      </c>
      <c r="J1544" s="55" t="str">
        <f>IFERROR(IF($G1544="","",VLOOKUP('Dashboard And Emails Automate'!$G1544,Database!$H:$N,4,0)),"")</f>
        <v/>
      </c>
      <c r="K1544" s="55" t="str">
        <f>IFERROR(IF($G1544="","",VLOOKUP('Dashboard And Emails Automate'!$G1544,Database!$H:$N,5,0)),"")</f>
        <v/>
      </c>
      <c r="L1544" s="55" t="str">
        <f>IFERROR(IF($G1544="","",VLOOKUP('Dashboard And Emails Automate'!$G1544,Database!$H:$N,6,0)),"")</f>
        <v/>
      </c>
      <c r="M1544" s="55" t="str">
        <f>IFERROR(IF($G1544="","",VLOOKUP('Dashboard And Emails Automate'!$G1544,Database!$H:$N,7,0)),"")</f>
        <v/>
      </c>
      <c r="N1544" s="55" t="str">
        <f>IFERROR(IF(OR($B1544="",$B1544="(blank)"),"",VLOOKUP($B1544,'Email Marketing Raw Data'!$C:$O,6,0)),"")</f>
        <v/>
      </c>
      <c r="O1544" s="55" t="str">
        <f>IFERROR(IF(OR($B1544="",$B1544="(blank)"),"",VLOOKUP($B1544,'Email Marketing Raw Data'!$C:$O,7,0)),"")</f>
        <v/>
      </c>
      <c r="P1544" s="55" t="str">
        <f>IFERROR(IF(OR($B1544="",$B1544="(blank)"),"",VLOOKUP($B1544,'Email Marketing Raw Data'!$C:$O,8,0)),"")</f>
        <v/>
      </c>
      <c r="Q1544" s="62" t="str">
        <f>IFERROR(IF(OR($B1544="",$B1544="(blank)"),"",VLOOKUP($B1544,'Email Marketing Raw Data'!$C:$O,9,0)),"")</f>
        <v/>
      </c>
    </row>
    <row r="1545" spans="4:17" ht="12.75" customHeight="1" x14ac:dyDescent="0.2">
      <c r="D1545" s="58" t="str">
        <f>IFERROR(IF(F1545&lt;&gt;"pending","",IF(OR($B1545="",$B1545="(blank)"),"",VLOOKUP($B1545,'Email Marketing Raw Data'!$C:$O,10,0))),"")</f>
        <v/>
      </c>
      <c r="E1545" s="59" t="str">
        <f>IFERROR(IF(F1545&lt;&gt;"pending","",IF(OR($B1545="",$B1545="(blank)"),"",VLOOKUP($B1545,'Email Marketing Raw Data'!$C:$O,11,0))),"")</f>
        <v/>
      </c>
      <c r="F1545" s="54" t="str">
        <f>IFERROR(IF(OR($B1545="",$B1545="(blank)"),"",VLOOKUP($B1545,'Email Marketing Raw Data'!$C:$O,13,0)),"")</f>
        <v/>
      </c>
      <c r="G1545" s="55" t="str">
        <f>IFERROR(IF(OR($B1545="",$B1545="(blank)"),"",VLOOKUP($B1545,'Email Marketing Raw Data'!$C:$O,4,0)),"")</f>
        <v/>
      </c>
      <c r="H1545" s="55" t="str">
        <f>IFERROR(IF(OR($B1545="",$B1545="(blank)"),"",VLOOKUP($B1545,'Email Marketing Raw Data'!$C:$O,5,0)),"")</f>
        <v/>
      </c>
      <c r="I1545" s="55" t="str">
        <f>IFERROR(IF($G1545="","",VLOOKUP('Dashboard And Emails Automate'!$G1545,Database!$H:$N,3,0)),"")</f>
        <v/>
      </c>
      <c r="J1545" s="55" t="str">
        <f>IFERROR(IF($G1545="","",VLOOKUP('Dashboard And Emails Automate'!$G1545,Database!$H:$N,4,0)),"")</f>
        <v/>
      </c>
      <c r="K1545" s="55" t="str">
        <f>IFERROR(IF($G1545="","",VLOOKUP('Dashboard And Emails Automate'!$G1545,Database!$H:$N,5,0)),"")</f>
        <v/>
      </c>
      <c r="L1545" s="55" t="str">
        <f>IFERROR(IF($G1545="","",VLOOKUP('Dashboard And Emails Automate'!$G1545,Database!$H:$N,6,0)),"")</f>
        <v/>
      </c>
      <c r="M1545" s="55" t="str">
        <f>IFERROR(IF($G1545="","",VLOOKUP('Dashboard And Emails Automate'!$G1545,Database!$H:$N,7,0)),"")</f>
        <v/>
      </c>
      <c r="N1545" s="55" t="str">
        <f>IFERROR(IF(OR($B1545="",$B1545="(blank)"),"",VLOOKUP($B1545,'Email Marketing Raw Data'!$C:$O,6,0)),"")</f>
        <v/>
      </c>
      <c r="O1545" s="55" t="str">
        <f>IFERROR(IF(OR($B1545="",$B1545="(blank)"),"",VLOOKUP($B1545,'Email Marketing Raw Data'!$C:$O,7,0)),"")</f>
        <v/>
      </c>
      <c r="P1545" s="55" t="str">
        <f>IFERROR(IF(OR($B1545="",$B1545="(blank)"),"",VLOOKUP($B1545,'Email Marketing Raw Data'!$C:$O,8,0)),"")</f>
        <v/>
      </c>
      <c r="Q1545" s="62" t="str">
        <f>IFERROR(IF(OR($B1545="",$B1545="(blank)"),"",VLOOKUP($B1545,'Email Marketing Raw Data'!$C:$O,9,0)),"")</f>
        <v/>
      </c>
    </row>
    <row r="1546" spans="4:17" ht="12.75" customHeight="1" x14ac:dyDescent="0.2">
      <c r="D1546" s="58" t="str">
        <f>IFERROR(IF(F1546&lt;&gt;"pending","",IF(OR($B1546="",$B1546="(blank)"),"",VLOOKUP($B1546,'Email Marketing Raw Data'!$C:$O,10,0))),"")</f>
        <v/>
      </c>
      <c r="E1546" s="59" t="str">
        <f>IFERROR(IF(F1546&lt;&gt;"pending","",IF(OR($B1546="",$B1546="(blank)"),"",VLOOKUP($B1546,'Email Marketing Raw Data'!$C:$O,11,0))),"")</f>
        <v/>
      </c>
      <c r="F1546" s="54" t="str">
        <f>IFERROR(IF(OR($B1546="",$B1546="(blank)"),"",VLOOKUP($B1546,'Email Marketing Raw Data'!$C:$O,13,0)),"")</f>
        <v/>
      </c>
      <c r="G1546" s="55" t="str">
        <f>IFERROR(IF(OR($B1546="",$B1546="(blank)"),"",VLOOKUP($B1546,'Email Marketing Raw Data'!$C:$O,4,0)),"")</f>
        <v/>
      </c>
      <c r="H1546" s="55" t="str">
        <f>IFERROR(IF(OR($B1546="",$B1546="(blank)"),"",VLOOKUP($B1546,'Email Marketing Raw Data'!$C:$O,5,0)),"")</f>
        <v/>
      </c>
      <c r="I1546" s="55" t="str">
        <f>IFERROR(IF($G1546="","",VLOOKUP('Dashboard And Emails Automate'!$G1546,Database!$H:$N,3,0)),"")</f>
        <v/>
      </c>
      <c r="J1546" s="55" t="str">
        <f>IFERROR(IF($G1546="","",VLOOKUP('Dashboard And Emails Automate'!$G1546,Database!$H:$N,4,0)),"")</f>
        <v/>
      </c>
      <c r="K1546" s="55" t="str">
        <f>IFERROR(IF($G1546="","",VLOOKUP('Dashboard And Emails Automate'!$G1546,Database!$H:$N,5,0)),"")</f>
        <v/>
      </c>
      <c r="L1546" s="55" t="str">
        <f>IFERROR(IF($G1546="","",VLOOKUP('Dashboard And Emails Automate'!$G1546,Database!$H:$N,6,0)),"")</f>
        <v/>
      </c>
      <c r="M1546" s="55" t="str">
        <f>IFERROR(IF($G1546="","",VLOOKUP('Dashboard And Emails Automate'!$G1546,Database!$H:$N,7,0)),"")</f>
        <v/>
      </c>
      <c r="N1546" s="55" t="str">
        <f>IFERROR(IF(OR($B1546="",$B1546="(blank)"),"",VLOOKUP($B1546,'Email Marketing Raw Data'!$C:$O,6,0)),"")</f>
        <v/>
      </c>
      <c r="O1546" s="55" t="str">
        <f>IFERROR(IF(OR($B1546="",$B1546="(blank)"),"",VLOOKUP($B1546,'Email Marketing Raw Data'!$C:$O,7,0)),"")</f>
        <v/>
      </c>
      <c r="P1546" s="55" t="str">
        <f>IFERROR(IF(OR($B1546="",$B1546="(blank)"),"",VLOOKUP($B1546,'Email Marketing Raw Data'!$C:$O,8,0)),"")</f>
        <v/>
      </c>
      <c r="Q1546" s="62" t="str">
        <f>IFERROR(IF(OR($B1546="",$B1546="(blank)"),"",VLOOKUP($B1546,'Email Marketing Raw Data'!$C:$O,9,0)),"")</f>
        <v/>
      </c>
    </row>
    <row r="1547" spans="4:17" ht="12.75" customHeight="1" x14ac:dyDescent="0.2">
      <c r="D1547" s="58" t="str">
        <f>IFERROR(IF(F1547&lt;&gt;"pending","",IF(OR($B1547="",$B1547="(blank)"),"",VLOOKUP($B1547,'Email Marketing Raw Data'!$C:$O,10,0))),"")</f>
        <v/>
      </c>
      <c r="E1547" s="59" t="str">
        <f>IFERROR(IF(F1547&lt;&gt;"pending","",IF(OR($B1547="",$B1547="(blank)"),"",VLOOKUP($B1547,'Email Marketing Raw Data'!$C:$O,11,0))),"")</f>
        <v/>
      </c>
      <c r="F1547" s="54" t="str">
        <f>IFERROR(IF(OR($B1547="",$B1547="(blank)"),"",VLOOKUP($B1547,'Email Marketing Raw Data'!$C:$O,13,0)),"")</f>
        <v/>
      </c>
      <c r="G1547" s="55" t="str">
        <f>IFERROR(IF(OR($B1547="",$B1547="(blank)"),"",VLOOKUP($B1547,'Email Marketing Raw Data'!$C:$O,4,0)),"")</f>
        <v/>
      </c>
      <c r="H1547" s="55" t="str">
        <f>IFERROR(IF(OR($B1547="",$B1547="(blank)"),"",VLOOKUP($B1547,'Email Marketing Raw Data'!$C:$O,5,0)),"")</f>
        <v/>
      </c>
      <c r="I1547" s="55" t="str">
        <f>IFERROR(IF($G1547="","",VLOOKUP('Dashboard And Emails Automate'!$G1547,Database!$H:$N,3,0)),"")</f>
        <v/>
      </c>
      <c r="J1547" s="55" t="str">
        <f>IFERROR(IF($G1547="","",VLOOKUP('Dashboard And Emails Automate'!$G1547,Database!$H:$N,4,0)),"")</f>
        <v/>
      </c>
      <c r="K1547" s="55" t="str">
        <f>IFERROR(IF($G1547="","",VLOOKUP('Dashboard And Emails Automate'!$G1547,Database!$H:$N,5,0)),"")</f>
        <v/>
      </c>
      <c r="L1547" s="55" t="str">
        <f>IFERROR(IF($G1547="","",VLOOKUP('Dashboard And Emails Automate'!$G1547,Database!$H:$N,6,0)),"")</f>
        <v/>
      </c>
      <c r="M1547" s="55" t="str">
        <f>IFERROR(IF($G1547="","",VLOOKUP('Dashboard And Emails Automate'!$G1547,Database!$H:$N,7,0)),"")</f>
        <v/>
      </c>
      <c r="N1547" s="55" t="str">
        <f>IFERROR(IF(OR($B1547="",$B1547="(blank)"),"",VLOOKUP($B1547,'Email Marketing Raw Data'!$C:$O,6,0)),"")</f>
        <v/>
      </c>
      <c r="O1547" s="55" t="str">
        <f>IFERROR(IF(OR($B1547="",$B1547="(blank)"),"",VLOOKUP($B1547,'Email Marketing Raw Data'!$C:$O,7,0)),"")</f>
        <v/>
      </c>
      <c r="P1547" s="55" t="str">
        <f>IFERROR(IF(OR($B1547="",$B1547="(blank)"),"",VLOOKUP($B1547,'Email Marketing Raw Data'!$C:$O,8,0)),"")</f>
        <v/>
      </c>
      <c r="Q1547" s="62" t="str">
        <f>IFERROR(IF(OR($B1547="",$B1547="(blank)"),"",VLOOKUP($B1547,'Email Marketing Raw Data'!$C:$O,9,0)),"")</f>
        <v/>
      </c>
    </row>
    <row r="1548" spans="4:17" ht="12.75" customHeight="1" x14ac:dyDescent="0.2">
      <c r="D1548" s="58" t="str">
        <f>IFERROR(IF(F1548&lt;&gt;"pending","",IF(OR($B1548="",$B1548="(blank)"),"",VLOOKUP($B1548,'Email Marketing Raw Data'!$C:$O,10,0))),"")</f>
        <v/>
      </c>
      <c r="E1548" s="59" t="str">
        <f>IFERROR(IF(F1548&lt;&gt;"pending","",IF(OR($B1548="",$B1548="(blank)"),"",VLOOKUP($B1548,'Email Marketing Raw Data'!$C:$O,11,0))),"")</f>
        <v/>
      </c>
      <c r="F1548" s="54" t="str">
        <f>IFERROR(IF(OR($B1548="",$B1548="(blank)"),"",VLOOKUP($B1548,'Email Marketing Raw Data'!$C:$O,13,0)),"")</f>
        <v/>
      </c>
      <c r="G1548" s="55" t="str">
        <f>IFERROR(IF(OR($B1548="",$B1548="(blank)"),"",VLOOKUP($B1548,'Email Marketing Raw Data'!$C:$O,4,0)),"")</f>
        <v/>
      </c>
      <c r="H1548" s="55" t="str">
        <f>IFERROR(IF(OR($B1548="",$B1548="(blank)"),"",VLOOKUP($B1548,'Email Marketing Raw Data'!$C:$O,5,0)),"")</f>
        <v/>
      </c>
      <c r="I1548" s="55" t="str">
        <f>IFERROR(IF($G1548="","",VLOOKUP('Dashboard And Emails Automate'!$G1548,Database!$H:$N,3,0)),"")</f>
        <v/>
      </c>
      <c r="J1548" s="55" t="str">
        <f>IFERROR(IF($G1548="","",VLOOKUP('Dashboard And Emails Automate'!$G1548,Database!$H:$N,4,0)),"")</f>
        <v/>
      </c>
      <c r="K1548" s="55" t="str">
        <f>IFERROR(IF($G1548="","",VLOOKUP('Dashboard And Emails Automate'!$G1548,Database!$H:$N,5,0)),"")</f>
        <v/>
      </c>
      <c r="L1548" s="55" t="str">
        <f>IFERROR(IF($G1548="","",VLOOKUP('Dashboard And Emails Automate'!$G1548,Database!$H:$N,6,0)),"")</f>
        <v/>
      </c>
      <c r="M1548" s="55" t="str">
        <f>IFERROR(IF($G1548="","",VLOOKUP('Dashboard And Emails Automate'!$G1548,Database!$H:$N,7,0)),"")</f>
        <v/>
      </c>
      <c r="N1548" s="55" t="str">
        <f>IFERROR(IF(OR($B1548="",$B1548="(blank)"),"",VLOOKUP($B1548,'Email Marketing Raw Data'!$C:$O,6,0)),"")</f>
        <v/>
      </c>
      <c r="O1548" s="55" t="str">
        <f>IFERROR(IF(OR($B1548="",$B1548="(blank)"),"",VLOOKUP($B1548,'Email Marketing Raw Data'!$C:$O,7,0)),"")</f>
        <v/>
      </c>
      <c r="P1548" s="55" t="str">
        <f>IFERROR(IF(OR($B1548="",$B1548="(blank)"),"",VLOOKUP($B1548,'Email Marketing Raw Data'!$C:$O,8,0)),"")</f>
        <v/>
      </c>
      <c r="Q1548" s="62" t="str">
        <f>IFERROR(IF(OR($B1548="",$B1548="(blank)"),"",VLOOKUP($B1548,'Email Marketing Raw Data'!$C:$O,9,0)),"")</f>
        <v/>
      </c>
    </row>
    <row r="1549" spans="4:17" ht="12.75" customHeight="1" x14ac:dyDescent="0.2">
      <c r="D1549" s="58" t="str">
        <f>IFERROR(IF(F1549&lt;&gt;"pending","",IF(OR($B1549="",$B1549="(blank)"),"",VLOOKUP($B1549,'Email Marketing Raw Data'!$C:$O,10,0))),"")</f>
        <v/>
      </c>
      <c r="E1549" s="59" t="str">
        <f>IFERROR(IF(F1549&lt;&gt;"pending","",IF(OR($B1549="",$B1549="(blank)"),"",VLOOKUP($B1549,'Email Marketing Raw Data'!$C:$O,11,0))),"")</f>
        <v/>
      </c>
      <c r="F1549" s="54" t="str">
        <f>IFERROR(IF(OR($B1549="",$B1549="(blank)"),"",VLOOKUP($B1549,'Email Marketing Raw Data'!$C:$O,13,0)),"")</f>
        <v/>
      </c>
      <c r="G1549" s="55" t="str">
        <f>IFERROR(IF(OR($B1549="",$B1549="(blank)"),"",VLOOKUP($B1549,'Email Marketing Raw Data'!$C:$O,4,0)),"")</f>
        <v/>
      </c>
      <c r="H1549" s="55" t="str">
        <f>IFERROR(IF(OR($B1549="",$B1549="(blank)"),"",VLOOKUP($B1549,'Email Marketing Raw Data'!$C:$O,5,0)),"")</f>
        <v/>
      </c>
      <c r="I1549" s="55" t="str">
        <f>IFERROR(IF($G1549="","",VLOOKUP('Dashboard And Emails Automate'!$G1549,Database!$H:$N,3,0)),"")</f>
        <v/>
      </c>
      <c r="J1549" s="55" t="str">
        <f>IFERROR(IF($G1549="","",VLOOKUP('Dashboard And Emails Automate'!$G1549,Database!$H:$N,4,0)),"")</f>
        <v/>
      </c>
      <c r="K1549" s="55" t="str">
        <f>IFERROR(IF($G1549="","",VLOOKUP('Dashboard And Emails Automate'!$G1549,Database!$H:$N,5,0)),"")</f>
        <v/>
      </c>
      <c r="L1549" s="55" t="str">
        <f>IFERROR(IF($G1549="","",VLOOKUP('Dashboard And Emails Automate'!$G1549,Database!$H:$N,6,0)),"")</f>
        <v/>
      </c>
      <c r="M1549" s="55" t="str">
        <f>IFERROR(IF($G1549="","",VLOOKUP('Dashboard And Emails Automate'!$G1549,Database!$H:$N,7,0)),"")</f>
        <v/>
      </c>
      <c r="N1549" s="55" t="str">
        <f>IFERROR(IF(OR($B1549="",$B1549="(blank)"),"",VLOOKUP($B1549,'Email Marketing Raw Data'!$C:$O,6,0)),"")</f>
        <v/>
      </c>
      <c r="O1549" s="55" t="str">
        <f>IFERROR(IF(OR($B1549="",$B1549="(blank)"),"",VLOOKUP($B1549,'Email Marketing Raw Data'!$C:$O,7,0)),"")</f>
        <v/>
      </c>
      <c r="P1549" s="55" t="str">
        <f>IFERROR(IF(OR($B1549="",$B1549="(blank)"),"",VLOOKUP($B1549,'Email Marketing Raw Data'!$C:$O,8,0)),"")</f>
        <v/>
      </c>
      <c r="Q1549" s="62" t="str">
        <f>IFERROR(IF(OR($B1549="",$B1549="(blank)"),"",VLOOKUP($B1549,'Email Marketing Raw Data'!$C:$O,9,0)),"")</f>
        <v/>
      </c>
    </row>
    <row r="1550" spans="4:17" ht="12.75" customHeight="1" x14ac:dyDescent="0.2">
      <c r="D1550" s="58" t="str">
        <f>IFERROR(IF(F1550&lt;&gt;"pending","",IF(OR($B1550="",$B1550="(blank)"),"",VLOOKUP($B1550,'Email Marketing Raw Data'!$C:$O,10,0))),"")</f>
        <v/>
      </c>
      <c r="E1550" s="59" t="str">
        <f>IFERROR(IF(F1550&lt;&gt;"pending","",IF(OR($B1550="",$B1550="(blank)"),"",VLOOKUP($B1550,'Email Marketing Raw Data'!$C:$O,11,0))),"")</f>
        <v/>
      </c>
      <c r="F1550" s="54" t="str">
        <f>IFERROR(IF(OR($B1550="",$B1550="(blank)"),"",VLOOKUP($B1550,'Email Marketing Raw Data'!$C:$O,13,0)),"")</f>
        <v/>
      </c>
      <c r="G1550" s="55" t="str">
        <f>IFERROR(IF(OR($B1550="",$B1550="(blank)"),"",VLOOKUP($B1550,'Email Marketing Raw Data'!$C:$O,4,0)),"")</f>
        <v/>
      </c>
      <c r="H1550" s="55" t="str">
        <f>IFERROR(IF(OR($B1550="",$B1550="(blank)"),"",VLOOKUP($B1550,'Email Marketing Raw Data'!$C:$O,5,0)),"")</f>
        <v/>
      </c>
      <c r="I1550" s="55" t="str">
        <f>IFERROR(IF($G1550="","",VLOOKUP('Dashboard And Emails Automate'!$G1550,Database!$H:$N,3,0)),"")</f>
        <v/>
      </c>
      <c r="J1550" s="55" t="str">
        <f>IFERROR(IF($G1550="","",VLOOKUP('Dashboard And Emails Automate'!$G1550,Database!$H:$N,4,0)),"")</f>
        <v/>
      </c>
      <c r="K1550" s="55" t="str">
        <f>IFERROR(IF($G1550="","",VLOOKUP('Dashboard And Emails Automate'!$G1550,Database!$H:$N,5,0)),"")</f>
        <v/>
      </c>
      <c r="L1550" s="55" t="str">
        <f>IFERROR(IF($G1550="","",VLOOKUP('Dashboard And Emails Automate'!$G1550,Database!$H:$N,6,0)),"")</f>
        <v/>
      </c>
      <c r="M1550" s="55" t="str">
        <f>IFERROR(IF($G1550="","",VLOOKUP('Dashboard And Emails Automate'!$G1550,Database!$H:$N,7,0)),"")</f>
        <v/>
      </c>
      <c r="N1550" s="55" t="str">
        <f>IFERROR(IF(OR($B1550="",$B1550="(blank)"),"",VLOOKUP($B1550,'Email Marketing Raw Data'!$C:$O,6,0)),"")</f>
        <v/>
      </c>
      <c r="O1550" s="55" t="str">
        <f>IFERROR(IF(OR($B1550="",$B1550="(blank)"),"",VLOOKUP($B1550,'Email Marketing Raw Data'!$C:$O,7,0)),"")</f>
        <v/>
      </c>
      <c r="P1550" s="55" t="str">
        <f>IFERROR(IF(OR($B1550="",$B1550="(blank)"),"",VLOOKUP($B1550,'Email Marketing Raw Data'!$C:$O,8,0)),"")</f>
        <v/>
      </c>
      <c r="Q1550" s="62" t="str">
        <f>IFERROR(IF(OR($B1550="",$B1550="(blank)"),"",VLOOKUP($B1550,'Email Marketing Raw Data'!$C:$O,9,0)),"")</f>
        <v/>
      </c>
    </row>
    <row r="1551" spans="4:17" ht="12.75" customHeight="1" x14ac:dyDescent="0.2">
      <c r="D1551" s="58" t="str">
        <f>IFERROR(IF(F1551&lt;&gt;"pending","",IF(OR($B1551="",$B1551="(blank)"),"",VLOOKUP($B1551,'Email Marketing Raw Data'!$C:$O,10,0))),"")</f>
        <v/>
      </c>
      <c r="E1551" s="59" t="str">
        <f>IFERROR(IF(F1551&lt;&gt;"pending","",IF(OR($B1551="",$B1551="(blank)"),"",VLOOKUP($B1551,'Email Marketing Raw Data'!$C:$O,11,0))),"")</f>
        <v/>
      </c>
      <c r="F1551" s="54" t="str">
        <f>IFERROR(IF(OR($B1551="",$B1551="(blank)"),"",VLOOKUP($B1551,'Email Marketing Raw Data'!$C:$O,13,0)),"")</f>
        <v/>
      </c>
      <c r="G1551" s="55" t="str">
        <f>IFERROR(IF(OR($B1551="",$B1551="(blank)"),"",VLOOKUP($B1551,'Email Marketing Raw Data'!$C:$O,4,0)),"")</f>
        <v/>
      </c>
      <c r="H1551" s="55" t="str">
        <f>IFERROR(IF(OR($B1551="",$B1551="(blank)"),"",VLOOKUP($B1551,'Email Marketing Raw Data'!$C:$O,5,0)),"")</f>
        <v/>
      </c>
      <c r="I1551" s="55" t="str">
        <f>IFERROR(IF($G1551="","",VLOOKUP('Dashboard And Emails Automate'!$G1551,Database!$H:$N,3,0)),"")</f>
        <v/>
      </c>
      <c r="J1551" s="55" t="str">
        <f>IFERROR(IF($G1551="","",VLOOKUP('Dashboard And Emails Automate'!$G1551,Database!$H:$N,4,0)),"")</f>
        <v/>
      </c>
      <c r="K1551" s="55" t="str">
        <f>IFERROR(IF($G1551="","",VLOOKUP('Dashboard And Emails Automate'!$G1551,Database!$H:$N,5,0)),"")</f>
        <v/>
      </c>
      <c r="L1551" s="55" t="str">
        <f>IFERROR(IF($G1551="","",VLOOKUP('Dashboard And Emails Automate'!$G1551,Database!$H:$N,6,0)),"")</f>
        <v/>
      </c>
      <c r="M1551" s="55" t="str">
        <f>IFERROR(IF($G1551="","",VLOOKUP('Dashboard And Emails Automate'!$G1551,Database!$H:$N,7,0)),"")</f>
        <v/>
      </c>
      <c r="N1551" s="55" t="str">
        <f>IFERROR(IF(OR($B1551="",$B1551="(blank)"),"",VLOOKUP($B1551,'Email Marketing Raw Data'!$C:$O,6,0)),"")</f>
        <v/>
      </c>
      <c r="O1551" s="55" t="str">
        <f>IFERROR(IF(OR($B1551="",$B1551="(blank)"),"",VLOOKUP($B1551,'Email Marketing Raw Data'!$C:$O,7,0)),"")</f>
        <v/>
      </c>
      <c r="P1551" s="55" t="str">
        <f>IFERROR(IF(OR($B1551="",$B1551="(blank)"),"",VLOOKUP($B1551,'Email Marketing Raw Data'!$C:$O,8,0)),"")</f>
        <v/>
      </c>
      <c r="Q1551" s="62" t="str">
        <f>IFERROR(IF(OR($B1551="",$B1551="(blank)"),"",VLOOKUP($B1551,'Email Marketing Raw Data'!$C:$O,9,0)),"")</f>
        <v/>
      </c>
    </row>
    <row r="1552" spans="4:17" ht="12.75" customHeight="1" x14ac:dyDescent="0.2">
      <c r="D1552" s="58" t="str">
        <f>IFERROR(IF(F1552&lt;&gt;"pending","",IF(OR($B1552="",$B1552="(blank)"),"",VLOOKUP($B1552,'Email Marketing Raw Data'!$C:$O,10,0))),"")</f>
        <v/>
      </c>
      <c r="E1552" s="59" t="str">
        <f>IFERROR(IF(F1552&lt;&gt;"pending","",IF(OR($B1552="",$B1552="(blank)"),"",VLOOKUP($B1552,'Email Marketing Raw Data'!$C:$O,11,0))),"")</f>
        <v/>
      </c>
      <c r="F1552" s="54" t="str">
        <f>IFERROR(IF(OR($B1552="",$B1552="(blank)"),"",VLOOKUP($B1552,'Email Marketing Raw Data'!$C:$O,13,0)),"")</f>
        <v/>
      </c>
      <c r="G1552" s="55" t="str">
        <f>IFERROR(IF(OR($B1552="",$B1552="(blank)"),"",VLOOKUP($B1552,'Email Marketing Raw Data'!$C:$O,4,0)),"")</f>
        <v/>
      </c>
      <c r="H1552" s="55" t="str">
        <f>IFERROR(IF(OR($B1552="",$B1552="(blank)"),"",VLOOKUP($B1552,'Email Marketing Raw Data'!$C:$O,5,0)),"")</f>
        <v/>
      </c>
      <c r="I1552" s="55" t="str">
        <f>IFERROR(IF($G1552="","",VLOOKUP('Dashboard And Emails Automate'!$G1552,Database!$H:$N,3,0)),"")</f>
        <v/>
      </c>
      <c r="J1552" s="55" t="str">
        <f>IFERROR(IF($G1552="","",VLOOKUP('Dashboard And Emails Automate'!$G1552,Database!$H:$N,4,0)),"")</f>
        <v/>
      </c>
      <c r="K1552" s="55" t="str">
        <f>IFERROR(IF($G1552="","",VLOOKUP('Dashboard And Emails Automate'!$G1552,Database!$H:$N,5,0)),"")</f>
        <v/>
      </c>
      <c r="L1552" s="55" t="str">
        <f>IFERROR(IF($G1552="","",VLOOKUP('Dashboard And Emails Automate'!$G1552,Database!$H:$N,6,0)),"")</f>
        <v/>
      </c>
      <c r="M1552" s="55" t="str">
        <f>IFERROR(IF($G1552="","",VLOOKUP('Dashboard And Emails Automate'!$G1552,Database!$H:$N,7,0)),"")</f>
        <v/>
      </c>
      <c r="N1552" s="55" t="str">
        <f>IFERROR(IF(OR($B1552="",$B1552="(blank)"),"",VLOOKUP($B1552,'Email Marketing Raw Data'!$C:$O,6,0)),"")</f>
        <v/>
      </c>
      <c r="O1552" s="55" t="str">
        <f>IFERROR(IF(OR($B1552="",$B1552="(blank)"),"",VLOOKUP($B1552,'Email Marketing Raw Data'!$C:$O,7,0)),"")</f>
        <v/>
      </c>
      <c r="P1552" s="55" t="str">
        <f>IFERROR(IF(OR($B1552="",$B1552="(blank)"),"",VLOOKUP($B1552,'Email Marketing Raw Data'!$C:$O,8,0)),"")</f>
        <v/>
      </c>
      <c r="Q1552" s="62" t="str">
        <f>IFERROR(IF(OR($B1552="",$B1552="(blank)"),"",VLOOKUP($B1552,'Email Marketing Raw Data'!$C:$O,9,0)),"")</f>
        <v/>
      </c>
    </row>
    <row r="1553" spans="4:17" ht="12.75" customHeight="1" x14ac:dyDescent="0.2">
      <c r="D1553" s="58" t="str">
        <f>IFERROR(IF(F1553&lt;&gt;"pending","",IF(OR($B1553="",$B1553="(blank)"),"",VLOOKUP($B1553,'Email Marketing Raw Data'!$C:$O,10,0))),"")</f>
        <v/>
      </c>
      <c r="E1553" s="59" t="str">
        <f>IFERROR(IF(F1553&lt;&gt;"pending","",IF(OR($B1553="",$B1553="(blank)"),"",VLOOKUP($B1553,'Email Marketing Raw Data'!$C:$O,11,0))),"")</f>
        <v/>
      </c>
      <c r="F1553" s="54" t="str">
        <f>IFERROR(IF(OR($B1553="",$B1553="(blank)"),"",VLOOKUP($B1553,'Email Marketing Raw Data'!$C:$O,13,0)),"")</f>
        <v/>
      </c>
      <c r="G1553" s="55" t="str">
        <f>IFERROR(IF(OR($B1553="",$B1553="(blank)"),"",VLOOKUP($B1553,'Email Marketing Raw Data'!$C:$O,4,0)),"")</f>
        <v/>
      </c>
      <c r="H1553" s="55" t="str">
        <f>IFERROR(IF(OR($B1553="",$B1553="(blank)"),"",VLOOKUP($B1553,'Email Marketing Raw Data'!$C:$O,5,0)),"")</f>
        <v/>
      </c>
      <c r="I1553" s="55" t="str">
        <f>IFERROR(IF($G1553="","",VLOOKUP('Dashboard And Emails Automate'!$G1553,Database!$H:$N,3,0)),"")</f>
        <v/>
      </c>
      <c r="J1553" s="55" t="str">
        <f>IFERROR(IF($G1553="","",VLOOKUP('Dashboard And Emails Automate'!$G1553,Database!$H:$N,4,0)),"")</f>
        <v/>
      </c>
      <c r="K1553" s="55" t="str">
        <f>IFERROR(IF($G1553="","",VLOOKUP('Dashboard And Emails Automate'!$G1553,Database!$H:$N,5,0)),"")</f>
        <v/>
      </c>
      <c r="L1553" s="55" t="str">
        <f>IFERROR(IF($G1553="","",VLOOKUP('Dashboard And Emails Automate'!$G1553,Database!$H:$N,6,0)),"")</f>
        <v/>
      </c>
      <c r="M1553" s="55" t="str">
        <f>IFERROR(IF($G1553="","",VLOOKUP('Dashboard And Emails Automate'!$G1553,Database!$H:$N,7,0)),"")</f>
        <v/>
      </c>
      <c r="N1553" s="55" t="str">
        <f>IFERROR(IF(OR($B1553="",$B1553="(blank)"),"",VLOOKUP($B1553,'Email Marketing Raw Data'!$C:$O,6,0)),"")</f>
        <v/>
      </c>
      <c r="O1553" s="55" t="str">
        <f>IFERROR(IF(OR($B1553="",$B1553="(blank)"),"",VLOOKUP($B1553,'Email Marketing Raw Data'!$C:$O,7,0)),"")</f>
        <v/>
      </c>
      <c r="P1553" s="55" t="str">
        <f>IFERROR(IF(OR($B1553="",$B1553="(blank)"),"",VLOOKUP($B1553,'Email Marketing Raw Data'!$C:$O,8,0)),"")</f>
        <v/>
      </c>
      <c r="Q1553" s="62" t="str">
        <f>IFERROR(IF(OR($B1553="",$B1553="(blank)"),"",VLOOKUP($B1553,'Email Marketing Raw Data'!$C:$O,9,0)),"")</f>
        <v/>
      </c>
    </row>
    <row r="1554" spans="4:17" ht="12.75" customHeight="1" x14ac:dyDescent="0.2">
      <c r="D1554" s="58" t="str">
        <f>IFERROR(IF(F1554&lt;&gt;"pending","",IF(OR($B1554="",$B1554="(blank)"),"",VLOOKUP($B1554,'Email Marketing Raw Data'!$C:$O,10,0))),"")</f>
        <v/>
      </c>
      <c r="E1554" s="59" t="str">
        <f>IFERROR(IF(F1554&lt;&gt;"pending","",IF(OR($B1554="",$B1554="(blank)"),"",VLOOKUP($B1554,'Email Marketing Raw Data'!$C:$O,11,0))),"")</f>
        <v/>
      </c>
      <c r="F1554" s="54" t="str">
        <f>IFERROR(IF(OR($B1554="",$B1554="(blank)"),"",VLOOKUP($B1554,'Email Marketing Raw Data'!$C:$O,13,0)),"")</f>
        <v/>
      </c>
      <c r="G1554" s="55" t="str">
        <f>IFERROR(IF(OR($B1554="",$B1554="(blank)"),"",VLOOKUP($B1554,'Email Marketing Raw Data'!$C:$O,4,0)),"")</f>
        <v/>
      </c>
      <c r="H1554" s="55" t="str">
        <f>IFERROR(IF(OR($B1554="",$B1554="(blank)"),"",VLOOKUP($B1554,'Email Marketing Raw Data'!$C:$O,5,0)),"")</f>
        <v/>
      </c>
      <c r="I1554" s="55" t="str">
        <f>IFERROR(IF($G1554="","",VLOOKUP('Dashboard And Emails Automate'!$G1554,Database!$H:$N,3,0)),"")</f>
        <v/>
      </c>
      <c r="J1554" s="55" t="str">
        <f>IFERROR(IF($G1554="","",VLOOKUP('Dashboard And Emails Automate'!$G1554,Database!$H:$N,4,0)),"")</f>
        <v/>
      </c>
      <c r="K1554" s="55" t="str">
        <f>IFERROR(IF($G1554="","",VLOOKUP('Dashboard And Emails Automate'!$G1554,Database!$H:$N,5,0)),"")</f>
        <v/>
      </c>
      <c r="L1554" s="55" t="str">
        <f>IFERROR(IF($G1554="","",VLOOKUP('Dashboard And Emails Automate'!$G1554,Database!$H:$N,6,0)),"")</f>
        <v/>
      </c>
      <c r="M1554" s="55" t="str">
        <f>IFERROR(IF($G1554="","",VLOOKUP('Dashboard And Emails Automate'!$G1554,Database!$H:$N,7,0)),"")</f>
        <v/>
      </c>
      <c r="N1554" s="55" t="str">
        <f>IFERROR(IF(OR($B1554="",$B1554="(blank)"),"",VLOOKUP($B1554,'Email Marketing Raw Data'!$C:$O,6,0)),"")</f>
        <v/>
      </c>
      <c r="O1554" s="55" t="str">
        <f>IFERROR(IF(OR($B1554="",$B1554="(blank)"),"",VLOOKUP($B1554,'Email Marketing Raw Data'!$C:$O,7,0)),"")</f>
        <v/>
      </c>
      <c r="P1554" s="55" t="str">
        <f>IFERROR(IF(OR($B1554="",$B1554="(blank)"),"",VLOOKUP($B1554,'Email Marketing Raw Data'!$C:$O,8,0)),"")</f>
        <v/>
      </c>
      <c r="Q1554" s="62" t="str">
        <f>IFERROR(IF(OR($B1554="",$B1554="(blank)"),"",VLOOKUP($B1554,'Email Marketing Raw Data'!$C:$O,9,0)),"")</f>
        <v/>
      </c>
    </row>
    <row r="1555" spans="4:17" ht="12.75" customHeight="1" x14ac:dyDescent="0.2">
      <c r="D1555" s="58" t="str">
        <f>IFERROR(IF(F1555&lt;&gt;"pending","",IF(OR($B1555="",$B1555="(blank)"),"",VLOOKUP($B1555,'Email Marketing Raw Data'!$C:$O,10,0))),"")</f>
        <v/>
      </c>
      <c r="E1555" s="59" t="str">
        <f>IFERROR(IF(F1555&lt;&gt;"pending","",IF(OR($B1555="",$B1555="(blank)"),"",VLOOKUP($B1555,'Email Marketing Raw Data'!$C:$O,11,0))),"")</f>
        <v/>
      </c>
      <c r="F1555" s="54" t="str">
        <f>IFERROR(IF(OR($B1555="",$B1555="(blank)"),"",VLOOKUP($B1555,'Email Marketing Raw Data'!$C:$O,13,0)),"")</f>
        <v/>
      </c>
      <c r="G1555" s="55" t="str">
        <f>IFERROR(IF(OR($B1555="",$B1555="(blank)"),"",VLOOKUP($B1555,'Email Marketing Raw Data'!$C:$O,4,0)),"")</f>
        <v/>
      </c>
      <c r="H1555" s="55" t="str">
        <f>IFERROR(IF(OR($B1555="",$B1555="(blank)"),"",VLOOKUP($B1555,'Email Marketing Raw Data'!$C:$O,5,0)),"")</f>
        <v/>
      </c>
      <c r="I1555" s="55" t="str">
        <f>IFERROR(IF($G1555="","",VLOOKUP('Dashboard And Emails Automate'!$G1555,Database!$H:$N,3,0)),"")</f>
        <v/>
      </c>
      <c r="J1555" s="55" t="str">
        <f>IFERROR(IF($G1555="","",VLOOKUP('Dashboard And Emails Automate'!$G1555,Database!$H:$N,4,0)),"")</f>
        <v/>
      </c>
      <c r="K1555" s="55" t="str">
        <f>IFERROR(IF($G1555="","",VLOOKUP('Dashboard And Emails Automate'!$G1555,Database!$H:$N,5,0)),"")</f>
        <v/>
      </c>
      <c r="L1555" s="55" t="str">
        <f>IFERROR(IF($G1555="","",VLOOKUP('Dashboard And Emails Automate'!$G1555,Database!$H:$N,6,0)),"")</f>
        <v/>
      </c>
      <c r="M1555" s="55" t="str">
        <f>IFERROR(IF($G1555="","",VLOOKUP('Dashboard And Emails Automate'!$G1555,Database!$H:$N,7,0)),"")</f>
        <v/>
      </c>
      <c r="N1555" s="55" t="str">
        <f>IFERROR(IF(OR($B1555="",$B1555="(blank)"),"",VLOOKUP($B1555,'Email Marketing Raw Data'!$C:$O,6,0)),"")</f>
        <v/>
      </c>
      <c r="O1555" s="55" t="str">
        <f>IFERROR(IF(OR($B1555="",$B1555="(blank)"),"",VLOOKUP($B1555,'Email Marketing Raw Data'!$C:$O,7,0)),"")</f>
        <v/>
      </c>
      <c r="P1555" s="55" t="str">
        <f>IFERROR(IF(OR($B1555="",$B1555="(blank)"),"",VLOOKUP($B1555,'Email Marketing Raw Data'!$C:$O,8,0)),"")</f>
        <v/>
      </c>
      <c r="Q1555" s="62" t="str">
        <f>IFERROR(IF(OR($B1555="",$B1555="(blank)"),"",VLOOKUP($B1555,'Email Marketing Raw Data'!$C:$O,9,0)),"")</f>
        <v/>
      </c>
    </row>
    <row r="1556" spans="4:17" ht="12.75" customHeight="1" x14ac:dyDescent="0.2">
      <c r="D1556" s="58" t="str">
        <f>IFERROR(IF(F1556&lt;&gt;"pending","",IF(OR($B1556="",$B1556="(blank)"),"",VLOOKUP($B1556,'Email Marketing Raw Data'!$C:$O,10,0))),"")</f>
        <v/>
      </c>
      <c r="E1556" s="59" t="str">
        <f>IFERROR(IF(F1556&lt;&gt;"pending","",IF(OR($B1556="",$B1556="(blank)"),"",VLOOKUP($B1556,'Email Marketing Raw Data'!$C:$O,11,0))),"")</f>
        <v/>
      </c>
      <c r="F1556" s="54" t="str">
        <f>IFERROR(IF(OR($B1556="",$B1556="(blank)"),"",VLOOKUP($B1556,'Email Marketing Raw Data'!$C:$O,13,0)),"")</f>
        <v/>
      </c>
      <c r="G1556" s="55" t="str">
        <f>IFERROR(IF(OR($B1556="",$B1556="(blank)"),"",VLOOKUP($B1556,'Email Marketing Raw Data'!$C:$O,4,0)),"")</f>
        <v/>
      </c>
      <c r="H1556" s="55" t="str">
        <f>IFERROR(IF(OR($B1556="",$B1556="(blank)"),"",VLOOKUP($B1556,'Email Marketing Raw Data'!$C:$O,5,0)),"")</f>
        <v/>
      </c>
      <c r="I1556" s="55" t="str">
        <f>IFERROR(IF($G1556="","",VLOOKUP('Dashboard And Emails Automate'!$G1556,Database!$H:$N,3,0)),"")</f>
        <v/>
      </c>
      <c r="J1556" s="55" t="str">
        <f>IFERROR(IF($G1556="","",VLOOKUP('Dashboard And Emails Automate'!$G1556,Database!$H:$N,4,0)),"")</f>
        <v/>
      </c>
      <c r="K1556" s="55" t="str">
        <f>IFERROR(IF($G1556="","",VLOOKUP('Dashboard And Emails Automate'!$G1556,Database!$H:$N,5,0)),"")</f>
        <v/>
      </c>
      <c r="L1556" s="55" t="str">
        <f>IFERROR(IF($G1556="","",VLOOKUP('Dashboard And Emails Automate'!$G1556,Database!$H:$N,6,0)),"")</f>
        <v/>
      </c>
      <c r="M1556" s="55" t="str">
        <f>IFERROR(IF($G1556="","",VLOOKUP('Dashboard And Emails Automate'!$G1556,Database!$H:$N,7,0)),"")</f>
        <v/>
      </c>
      <c r="N1556" s="55" t="str">
        <f>IFERROR(IF(OR($B1556="",$B1556="(blank)"),"",VLOOKUP($B1556,'Email Marketing Raw Data'!$C:$O,6,0)),"")</f>
        <v/>
      </c>
      <c r="O1556" s="55" t="str">
        <f>IFERROR(IF(OR($B1556="",$B1556="(blank)"),"",VLOOKUP($B1556,'Email Marketing Raw Data'!$C:$O,7,0)),"")</f>
        <v/>
      </c>
      <c r="P1556" s="55" t="str">
        <f>IFERROR(IF(OR($B1556="",$B1556="(blank)"),"",VLOOKUP($B1556,'Email Marketing Raw Data'!$C:$O,8,0)),"")</f>
        <v/>
      </c>
      <c r="Q1556" s="62" t="str">
        <f>IFERROR(IF(OR($B1556="",$B1556="(blank)"),"",VLOOKUP($B1556,'Email Marketing Raw Data'!$C:$O,9,0)),"")</f>
        <v/>
      </c>
    </row>
    <row r="1557" spans="4:17" ht="12.75" customHeight="1" x14ac:dyDescent="0.2">
      <c r="D1557" s="58" t="str">
        <f>IFERROR(IF(F1557&lt;&gt;"pending","",IF(OR($B1557="",$B1557="(blank)"),"",VLOOKUP($B1557,'Email Marketing Raw Data'!$C:$O,10,0))),"")</f>
        <v/>
      </c>
      <c r="E1557" s="59" t="str">
        <f>IFERROR(IF(F1557&lt;&gt;"pending","",IF(OR($B1557="",$B1557="(blank)"),"",VLOOKUP($B1557,'Email Marketing Raw Data'!$C:$O,11,0))),"")</f>
        <v/>
      </c>
      <c r="F1557" s="54" t="str">
        <f>IFERROR(IF(OR($B1557="",$B1557="(blank)"),"",VLOOKUP($B1557,'Email Marketing Raw Data'!$C:$O,13,0)),"")</f>
        <v/>
      </c>
      <c r="G1557" s="55" t="str">
        <f>IFERROR(IF(OR($B1557="",$B1557="(blank)"),"",VLOOKUP($B1557,'Email Marketing Raw Data'!$C:$O,4,0)),"")</f>
        <v/>
      </c>
      <c r="H1557" s="55" t="str">
        <f>IFERROR(IF(OR($B1557="",$B1557="(blank)"),"",VLOOKUP($B1557,'Email Marketing Raw Data'!$C:$O,5,0)),"")</f>
        <v/>
      </c>
      <c r="I1557" s="55" t="str">
        <f>IFERROR(IF($G1557="","",VLOOKUP('Dashboard And Emails Automate'!$G1557,Database!$H:$N,3,0)),"")</f>
        <v/>
      </c>
      <c r="J1557" s="55" t="str">
        <f>IFERROR(IF($G1557="","",VLOOKUP('Dashboard And Emails Automate'!$G1557,Database!$H:$N,4,0)),"")</f>
        <v/>
      </c>
      <c r="K1557" s="55" t="str">
        <f>IFERROR(IF($G1557="","",VLOOKUP('Dashboard And Emails Automate'!$G1557,Database!$H:$N,5,0)),"")</f>
        <v/>
      </c>
      <c r="L1557" s="55" t="str">
        <f>IFERROR(IF($G1557="","",VLOOKUP('Dashboard And Emails Automate'!$G1557,Database!$H:$N,6,0)),"")</f>
        <v/>
      </c>
      <c r="M1557" s="55" t="str">
        <f>IFERROR(IF($G1557="","",VLOOKUP('Dashboard And Emails Automate'!$G1557,Database!$H:$N,7,0)),"")</f>
        <v/>
      </c>
      <c r="N1557" s="55" t="str">
        <f>IFERROR(IF(OR($B1557="",$B1557="(blank)"),"",VLOOKUP($B1557,'Email Marketing Raw Data'!$C:$O,6,0)),"")</f>
        <v/>
      </c>
      <c r="O1557" s="55" t="str">
        <f>IFERROR(IF(OR($B1557="",$B1557="(blank)"),"",VLOOKUP($B1557,'Email Marketing Raw Data'!$C:$O,7,0)),"")</f>
        <v/>
      </c>
      <c r="P1557" s="55" t="str">
        <f>IFERROR(IF(OR($B1557="",$B1557="(blank)"),"",VLOOKUP($B1557,'Email Marketing Raw Data'!$C:$O,8,0)),"")</f>
        <v/>
      </c>
      <c r="Q1557" s="62" t="str">
        <f>IFERROR(IF(OR($B1557="",$B1557="(blank)"),"",VLOOKUP($B1557,'Email Marketing Raw Data'!$C:$O,9,0)),"")</f>
        <v/>
      </c>
    </row>
    <row r="1558" spans="4:17" ht="12.75" customHeight="1" x14ac:dyDescent="0.2">
      <c r="D1558" s="58" t="str">
        <f>IFERROR(IF(F1558&lt;&gt;"pending","",IF(OR($B1558="",$B1558="(blank)"),"",VLOOKUP($B1558,'Email Marketing Raw Data'!$C:$O,10,0))),"")</f>
        <v/>
      </c>
      <c r="E1558" s="59" t="str">
        <f>IFERROR(IF(F1558&lt;&gt;"pending","",IF(OR($B1558="",$B1558="(blank)"),"",VLOOKUP($B1558,'Email Marketing Raw Data'!$C:$O,11,0))),"")</f>
        <v/>
      </c>
      <c r="F1558" s="54" t="str">
        <f>IFERROR(IF(OR($B1558="",$B1558="(blank)"),"",VLOOKUP($B1558,'Email Marketing Raw Data'!$C:$O,13,0)),"")</f>
        <v/>
      </c>
      <c r="G1558" s="55" t="str">
        <f>IFERROR(IF(OR($B1558="",$B1558="(blank)"),"",VLOOKUP($B1558,'Email Marketing Raw Data'!$C:$O,4,0)),"")</f>
        <v/>
      </c>
      <c r="H1558" s="55" t="str">
        <f>IFERROR(IF(OR($B1558="",$B1558="(blank)"),"",VLOOKUP($B1558,'Email Marketing Raw Data'!$C:$O,5,0)),"")</f>
        <v/>
      </c>
      <c r="I1558" s="55" t="str">
        <f>IFERROR(IF($G1558="","",VLOOKUP('Dashboard And Emails Automate'!$G1558,Database!$H:$N,3,0)),"")</f>
        <v/>
      </c>
      <c r="J1558" s="55" t="str">
        <f>IFERROR(IF($G1558="","",VLOOKUP('Dashboard And Emails Automate'!$G1558,Database!$H:$N,4,0)),"")</f>
        <v/>
      </c>
      <c r="K1558" s="55" t="str">
        <f>IFERROR(IF($G1558="","",VLOOKUP('Dashboard And Emails Automate'!$G1558,Database!$H:$N,5,0)),"")</f>
        <v/>
      </c>
      <c r="L1558" s="55" t="str">
        <f>IFERROR(IF($G1558="","",VLOOKUP('Dashboard And Emails Automate'!$G1558,Database!$H:$N,6,0)),"")</f>
        <v/>
      </c>
      <c r="M1558" s="55" t="str">
        <f>IFERROR(IF($G1558="","",VLOOKUP('Dashboard And Emails Automate'!$G1558,Database!$H:$N,7,0)),"")</f>
        <v/>
      </c>
      <c r="N1558" s="55" t="str">
        <f>IFERROR(IF(OR($B1558="",$B1558="(blank)"),"",VLOOKUP($B1558,'Email Marketing Raw Data'!$C:$O,6,0)),"")</f>
        <v/>
      </c>
      <c r="O1558" s="55" t="str">
        <f>IFERROR(IF(OR($B1558="",$B1558="(blank)"),"",VLOOKUP($B1558,'Email Marketing Raw Data'!$C:$O,7,0)),"")</f>
        <v/>
      </c>
      <c r="P1558" s="55" t="str">
        <f>IFERROR(IF(OR($B1558="",$B1558="(blank)"),"",VLOOKUP($B1558,'Email Marketing Raw Data'!$C:$O,8,0)),"")</f>
        <v/>
      </c>
      <c r="Q1558" s="62" t="str">
        <f>IFERROR(IF(OR($B1558="",$B1558="(blank)"),"",VLOOKUP($B1558,'Email Marketing Raw Data'!$C:$O,9,0)),"")</f>
        <v/>
      </c>
    </row>
    <row r="1559" spans="4:17" ht="12.75" customHeight="1" x14ac:dyDescent="0.2">
      <c r="D1559" s="58" t="str">
        <f>IFERROR(IF(F1559&lt;&gt;"pending","",IF(OR($B1559="",$B1559="(blank)"),"",VLOOKUP($B1559,'Email Marketing Raw Data'!$C:$O,10,0))),"")</f>
        <v/>
      </c>
      <c r="E1559" s="59" t="str">
        <f>IFERROR(IF(F1559&lt;&gt;"pending","",IF(OR($B1559="",$B1559="(blank)"),"",VLOOKUP($B1559,'Email Marketing Raw Data'!$C:$O,11,0))),"")</f>
        <v/>
      </c>
      <c r="F1559" s="54" t="str">
        <f>IFERROR(IF(OR($B1559="",$B1559="(blank)"),"",VLOOKUP($B1559,'Email Marketing Raw Data'!$C:$O,13,0)),"")</f>
        <v/>
      </c>
      <c r="G1559" s="55" t="str">
        <f>IFERROR(IF(OR($B1559="",$B1559="(blank)"),"",VLOOKUP($B1559,'Email Marketing Raw Data'!$C:$O,4,0)),"")</f>
        <v/>
      </c>
      <c r="H1559" s="55" t="str">
        <f>IFERROR(IF(OR($B1559="",$B1559="(blank)"),"",VLOOKUP($B1559,'Email Marketing Raw Data'!$C:$O,5,0)),"")</f>
        <v/>
      </c>
      <c r="I1559" s="55" t="str">
        <f>IFERROR(IF($G1559="","",VLOOKUP('Dashboard And Emails Automate'!$G1559,Database!$H:$N,3,0)),"")</f>
        <v/>
      </c>
      <c r="J1559" s="55" t="str">
        <f>IFERROR(IF($G1559="","",VLOOKUP('Dashboard And Emails Automate'!$G1559,Database!$H:$N,4,0)),"")</f>
        <v/>
      </c>
      <c r="K1559" s="55" t="str">
        <f>IFERROR(IF($G1559="","",VLOOKUP('Dashboard And Emails Automate'!$G1559,Database!$H:$N,5,0)),"")</f>
        <v/>
      </c>
      <c r="L1559" s="55" t="str">
        <f>IFERROR(IF($G1559="","",VLOOKUP('Dashboard And Emails Automate'!$G1559,Database!$H:$N,6,0)),"")</f>
        <v/>
      </c>
      <c r="M1559" s="55" t="str">
        <f>IFERROR(IF($G1559="","",VLOOKUP('Dashboard And Emails Automate'!$G1559,Database!$H:$N,7,0)),"")</f>
        <v/>
      </c>
      <c r="N1559" s="55" t="str">
        <f>IFERROR(IF(OR($B1559="",$B1559="(blank)"),"",VLOOKUP($B1559,'Email Marketing Raw Data'!$C:$O,6,0)),"")</f>
        <v/>
      </c>
      <c r="O1559" s="55" t="str">
        <f>IFERROR(IF(OR($B1559="",$B1559="(blank)"),"",VLOOKUP($B1559,'Email Marketing Raw Data'!$C:$O,7,0)),"")</f>
        <v/>
      </c>
      <c r="P1559" s="55" t="str">
        <f>IFERROR(IF(OR($B1559="",$B1559="(blank)"),"",VLOOKUP($B1559,'Email Marketing Raw Data'!$C:$O,8,0)),"")</f>
        <v/>
      </c>
      <c r="Q1559" s="62" t="str">
        <f>IFERROR(IF(OR($B1559="",$B1559="(blank)"),"",VLOOKUP($B1559,'Email Marketing Raw Data'!$C:$O,9,0)),"")</f>
        <v/>
      </c>
    </row>
    <row r="1560" spans="4:17" ht="12.75" customHeight="1" x14ac:dyDescent="0.2">
      <c r="D1560" s="58" t="str">
        <f>IFERROR(IF(F1560&lt;&gt;"pending","",IF(OR($B1560="",$B1560="(blank)"),"",VLOOKUP($B1560,'Email Marketing Raw Data'!$C:$O,10,0))),"")</f>
        <v/>
      </c>
      <c r="E1560" s="59" t="str">
        <f>IFERROR(IF(F1560&lt;&gt;"pending","",IF(OR($B1560="",$B1560="(blank)"),"",VLOOKUP($B1560,'Email Marketing Raw Data'!$C:$O,11,0))),"")</f>
        <v/>
      </c>
      <c r="F1560" s="54" t="str">
        <f>IFERROR(IF(OR($B1560="",$B1560="(blank)"),"",VLOOKUP($B1560,'Email Marketing Raw Data'!$C:$O,13,0)),"")</f>
        <v/>
      </c>
      <c r="G1560" s="55" t="str">
        <f>IFERROR(IF(OR($B1560="",$B1560="(blank)"),"",VLOOKUP($B1560,'Email Marketing Raw Data'!$C:$O,4,0)),"")</f>
        <v/>
      </c>
      <c r="H1560" s="55" t="str">
        <f>IFERROR(IF(OR($B1560="",$B1560="(blank)"),"",VLOOKUP($B1560,'Email Marketing Raw Data'!$C:$O,5,0)),"")</f>
        <v/>
      </c>
      <c r="I1560" s="55" t="str">
        <f>IFERROR(IF($G1560="","",VLOOKUP('Dashboard And Emails Automate'!$G1560,Database!$H:$N,3,0)),"")</f>
        <v/>
      </c>
      <c r="J1560" s="55" t="str">
        <f>IFERROR(IF($G1560="","",VLOOKUP('Dashboard And Emails Automate'!$G1560,Database!$H:$N,4,0)),"")</f>
        <v/>
      </c>
      <c r="K1560" s="55" t="str">
        <f>IFERROR(IF($G1560="","",VLOOKUP('Dashboard And Emails Automate'!$G1560,Database!$H:$N,5,0)),"")</f>
        <v/>
      </c>
      <c r="L1560" s="55" t="str">
        <f>IFERROR(IF($G1560="","",VLOOKUP('Dashboard And Emails Automate'!$G1560,Database!$H:$N,6,0)),"")</f>
        <v/>
      </c>
      <c r="M1560" s="55" t="str">
        <f>IFERROR(IF($G1560="","",VLOOKUP('Dashboard And Emails Automate'!$G1560,Database!$H:$N,7,0)),"")</f>
        <v/>
      </c>
      <c r="N1560" s="55" t="str">
        <f>IFERROR(IF(OR($B1560="",$B1560="(blank)"),"",VLOOKUP($B1560,'Email Marketing Raw Data'!$C:$O,6,0)),"")</f>
        <v/>
      </c>
      <c r="O1560" s="55" t="str">
        <f>IFERROR(IF(OR($B1560="",$B1560="(blank)"),"",VLOOKUP($B1560,'Email Marketing Raw Data'!$C:$O,7,0)),"")</f>
        <v/>
      </c>
      <c r="P1560" s="55" t="str">
        <f>IFERROR(IF(OR($B1560="",$B1560="(blank)"),"",VLOOKUP($B1560,'Email Marketing Raw Data'!$C:$O,8,0)),"")</f>
        <v/>
      </c>
      <c r="Q1560" s="62" t="str">
        <f>IFERROR(IF(OR($B1560="",$B1560="(blank)"),"",VLOOKUP($B1560,'Email Marketing Raw Data'!$C:$O,9,0)),"")</f>
        <v/>
      </c>
    </row>
    <row r="1561" spans="4:17" ht="12.75" customHeight="1" x14ac:dyDescent="0.2">
      <c r="D1561" s="58" t="str">
        <f>IFERROR(IF(F1561&lt;&gt;"pending","",IF(OR($B1561="",$B1561="(blank)"),"",VLOOKUP($B1561,'Email Marketing Raw Data'!$C:$O,10,0))),"")</f>
        <v/>
      </c>
      <c r="E1561" s="59" t="str">
        <f>IFERROR(IF(F1561&lt;&gt;"pending","",IF(OR($B1561="",$B1561="(blank)"),"",VLOOKUP($B1561,'Email Marketing Raw Data'!$C:$O,11,0))),"")</f>
        <v/>
      </c>
      <c r="F1561" s="54" t="str">
        <f>IFERROR(IF(OR($B1561="",$B1561="(blank)"),"",VLOOKUP($B1561,'Email Marketing Raw Data'!$C:$O,13,0)),"")</f>
        <v/>
      </c>
      <c r="G1561" s="55" t="str">
        <f>IFERROR(IF(OR($B1561="",$B1561="(blank)"),"",VLOOKUP($B1561,'Email Marketing Raw Data'!$C:$O,4,0)),"")</f>
        <v/>
      </c>
      <c r="H1561" s="55" t="str">
        <f>IFERROR(IF(OR($B1561="",$B1561="(blank)"),"",VLOOKUP($B1561,'Email Marketing Raw Data'!$C:$O,5,0)),"")</f>
        <v/>
      </c>
      <c r="I1561" s="55" t="str">
        <f>IFERROR(IF($G1561="","",VLOOKUP('Dashboard And Emails Automate'!$G1561,Database!$H:$N,3,0)),"")</f>
        <v/>
      </c>
      <c r="J1561" s="55" t="str">
        <f>IFERROR(IF($G1561="","",VLOOKUP('Dashboard And Emails Automate'!$G1561,Database!$H:$N,4,0)),"")</f>
        <v/>
      </c>
      <c r="K1561" s="55" t="str">
        <f>IFERROR(IF($G1561="","",VLOOKUP('Dashboard And Emails Automate'!$G1561,Database!$H:$N,5,0)),"")</f>
        <v/>
      </c>
      <c r="L1561" s="55" t="str">
        <f>IFERROR(IF($G1561="","",VLOOKUP('Dashboard And Emails Automate'!$G1561,Database!$H:$N,6,0)),"")</f>
        <v/>
      </c>
      <c r="M1561" s="55" t="str">
        <f>IFERROR(IF($G1561="","",VLOOKUP('Dashboard And Emails Automate'!$G1561,Database!$H:$N,7,0)),"")</f>
        <v/>
      </c>
      <c r="N1561" s="55" t="str">
        <f>IFERROR(IF(OR($B1561="",$B1561="(blank)"),"",VLOOKUP($B1561,'Email Marketing Raw Data'!$C:$O,6,0)),"")</f>
        <v/>
      </c>
      <c r="O1561" s="55" t="str">
        <f>IFERROR(IF(OR($B1561="",$B1561="(blank)"),"",VLOOKUP($B1561,'Email Marketing Raw Data'!$C:$O,7,0)),"")</f>
        <v/>
      </c>
      <c r="P1561" s="55" t="str">
        <f>IFERROR(IF(OR($B1561="",$B1561="(blank)"),"",VLOOKUP($B1561,'Email Marketing Raw Data'!$C:$O,8,0)),"")</f>
        <v/>
      </c>
      <c r="Q1561" s="62" t="str">
        <f>IFERROR(IF(OR($B1561="",$B1561="(blank)"),"",VLOOKUP($B1561,'Email Marketing Raw Data'!$C:$O,9,0)),"")</f>
        <v/>
      </c>
    </row>
    <row r="1562" spans="4:17" ht="12.75" customHeight="1" x14ac:dyDescent="0.2">
      <c r="D1562" s="58" t="str">
        <f>IFERROR(IF(F1562&lt;&gt;"pending","",IF(OR($B1562="",$B1562="(blank)"),"",VLOOKUP($B1562,'Email Marketing Raw Data'!$C:$O,10,0))),"")</f>
        <v/>
      </c>
      <c r="E1562" s="59" t="str">
        <f>IFERROR(IF(F1562&lt;&gt;"pending","",IF(OR($B1562="",$B1562="(blank)"),"",VLOOKUP($B1562,'Email Marketing Raw Data'!$C:$O,11,0))),"")</f>
        <v/>
      </c>
      <c r="F1562" s="54" t="str">
        <f>IFERROR(IF(OR($B1562="",$B1562="(blank)"),"",VLOOKUP($B1562,'Email Marketing Raw Data'!$C:$O,13,0)),"")</f>
        <v/>
      </c>
      <c r="G1562" s="55" t="str">
        <f>IFERROR(IF(OR($B1562="",$B1562="(blank)"),"",VLOOKUP($B1562,'Email Marketing Raw Data'!$C:$O,4,0)),"")</f>
        <v/>
      </c>
      <c r="H1562" s="55" t="str">
        <f>IFERROR(IF(OR($B1562="",$B1562="(blank)"),"",VLOOKUP($B1562,'Email Marketing Raw Data'!$C:$O,5,0)),"")</f>
        <v/>
      </c>
      <c r="I1562" s="55" t="str">
        <f>IFERROR(IF($G1562="","",VLOOKUP('Dashboard And Emails Automate'!$G1562,Database!$H:$N,3,0)),"")</f>
        <v/>
      </c>
      <c r="J1562" s="55" t="str">
        <f>IFERROR(IF($G1562="","",VLOOKUP('Dashboard And Emails Automate'!$G1562,Database!$H:$N,4,0)),"")</f>
        <v/>
      </c>
      <c r="K1562" s="55" t="str">
        <f>IFERROR(IF($G1562="","",VLOOKUP('Dashboard And Emails Automate'!$G1562,Database!$H:$N,5,0)),"")</f>
        <v/>
      </c>
      <c r="L1562" s="55" t="str">
        <f>IFERROR(IF($G1562="","",VLOOKUP('Dashboard And Emails Automate'!$G1562,Database!$H:$N,6,0)),"")</f>
        <v/>
      </c>
      <c r="M1562" s="55" t="str">
        <f>IFERROR(IF($G1562="","",VLOOKUP('Dashboard And Emails Automate'!$G1562,Database!$H:$N,7,0)),"")</f>
        <v/>
      </c>
      <c r="N1562" s="55" t="str">
        <f>IFERROR(IF(OR($B1562="",$B1562="(blank)"),"",VLOOKUP($B1562,'Email Marketing Raw Data'!$C:$O,6,0)),"")</f>
        <v/>
      </c>
      <c r="O1562" s="55" t="str">
        <f>IFERROR(IF(OR($B1562="",$B1562="(blank)"),"",VLOOKUP($B1562,'Email Marketing Raw Data'!$C:$O,7,0)),"")</f>
        <v/>
      </c>
      <c r="P1562" s="55" t="str">
        <f>IFERROR(IF(OR($B1562="",$B1562="(blank)"),"",VLOOKUP($B1562,'Email Marketing Raw Data'!$C:$O,8,0)),"")</f>
        <v/>
      </c>
      <c r="Q1562" s="62" t="str">
        <f>IFERROR(IF(OR($B1562="",$B1562="(blank)"),"",VLOOKUP($B1562,'Email Marketing Raw Data'!$C:$O,9,0)),"")</f>
        <v/>
      </c>
    </row>
    <row r="1563" spans="4:17" ht="12.75" customHeight="1" x14ac:dyDescent="0.2">
      <c r="D1563" s="58" t="str">
        <f>IFERROR(IF(F1563&lt;&gt;"pending","",IF(OR($B1563="",$B1563="(blank)"),"",VLOOKUP($B1563,'Email Marketing Raw Data'!$C:$O,10,0))),"")</f>
        <v/>
      </c>
      <c r="E1563" s="59" t="str">
        <f>IFERROR(IF(F1563&lt;&gt;"pending","",IF(OR($B1563="",$B1563="(blank)"),"",VLOOKUP($B1563,'Email Marketing Raw Data'!$C:$O,11,0))),"")</f>
        <v/>
      </c>
      <c r="F1563" s="54" t="str">
        <f>IFERROR(IF(OR($B1563="",$B1563="(blank)"),"",VLOOKUP($B1563,'Email Marketing Raw Data'!$C:$O,13,0)),"")</f>
        <v/>
      </c>
      <c r="G1563" s="55" t="str">
        <f>IFERROR(IF(OR($B1563="",$B1563="(blank)"),"",VLOOKUP($B1563,'Email Marketing Raw Data'!$C:$O,4,0)),"")</f>
        <v/>
      </c>
      <c r="H1563" s="55" t="str">
        <f>IFERROR(IF(OR($B1563="",$B1563="(blank)"),"",VLOOKUP($B1563,'Email Marketing Raw Data'!$C:$O,5,0)),"")</f>
        <v/>
      </c>
      <c r="I1563" s="55" t="str">
        <f>IFERROR(IF($G1563="","",VLOOKUP('Dashboard And Emails Automate'!$G1563,Database!$H:$N,3,0)),"")</f>
        <v/>
      </c>
      <c r="J1563" s="55" t="str">
        <f>IFERROR(IF($G1563="","",VLOOKUP('Dashboard And Emails Automate'!$G1563,Database!$H:$N,4,0)),"")</f>
        <v/>
      </c>
      <c r="K1563" s="55" t="str">
        <f>IFERROR(IF($G1563="","",VLOOKUP('Dashboard And Emails Automate'!$G1563,Database!$H:$N,5,0)),"")</f>
        <v/>
      </c>
      <c r="L1563" s="55" t="str">
        <f>IFERROR(IF($G1563="","",VLOOKUP('Dashboard And Emails Automate'!$G1563,Database!$H:$N,6,0)),"")</f>
        <v/>
      </c>
      <c r="M1563" s="55" t="str">
        <f>IFERROR(IF($G1563="","",VLOOKUP('Dashboard And Emails Automate'!$G1563,Database!$H:$N,7,0)),"")</f>
        <v/>
      </c>
      <c r="N1563" s="55" t="str">
        <f>IFERROR(IF(OR($B1563="",$B1563="(blank)"),"",VLOOKUP($B1563,'Email Marketing Raw Data'!$C:$O,6,0)),"")</f>
        <v/>
      </c>
      <c r="O1563" s="55" t="str">
        <f>IFERROR(IF(OR($B1563="",$B1563="(blank)"),"",VLOOKUP($B1563,'Email Marketing Raw Data'!$C:$O,7,0)),"")</f>
        <v/>
      </c>
      <c r="P1563" s="55" t="str">
        <f>IFERROR(IF(OR($B1563="",$B1563="(blank)"),"",VLOOKUP($B1563,'Email Marketing Raw Data'!$C:$O,8,0)),"")</f>
        <v/>
      </c>
      <c r="Q1563" s="62" t="str">
        <f>IFERROR(IF(OR($B1563="",$B1563="(blank)"),"",VLOOKUP($B1563,'Email Marketing Raw Data'!$C:$O,9,0)),"")</f>
        <v/>
      </c>
    </row>
    <row r="1564" spans="4:17" ht="12.75" customHeight="1" x14ac:dyDescent="0.2">
      <c r="D1564" s="58" t="str">
        <f>IFERROR(IF(F1564&lt;&gt;"pending","",IF(OR($B1564="",$B1564="(blank)"),"",VLOOKUP($B1564,'Email Marketing Raw Data'!$C:$O,10,0))),"")</f>
        <v/>
      </c>
      <c r="E1564" s="59" t="str">
        <f>IFERROR(IF(F1564&lt;&gt;"pending","",IF(OR($B1564="",$B1564="(blank)"),"",VLOOKUP($B1564,'Email Marketing Raw Data'!$C:$O,11,0))),"")</f>
        <v/>
      </c>
      <c r="F1564" s="54" t="str">
        <f>IFERROR(IF(OR($B1564="",$B1564="(blank)"),"",VLOOKUP($B1564,'Email Marketing Raw Data'!$C:$O,13,0)),"")</f>
        <v/>
      </c>
      <c r="G1564" s="55" t="str">
        <f>IFERROR(IF(OR($B1564="",$B1564="(blank)"),"",VLOOKUP($B1564,'Email Marketing Raw Data'!$C:$O,4,0)),"")</f>
        <v/>
      </c>
      <c r="H1564" s="55" t="str">
        <f>IFERROR(IF(OR($B1564="",$B1564="(blank)"),"",VLOOKUP($B1564,'Email Marketing Raw Data'!$C:$O,5,0)),"")</f>
        <v/>
      </c>
      <c r="I1564" s="55" t="str">
        <f>IFERROR(IF($G1564="","",VLOOKUP('Dashboard And Emails Automate'!$G1564,Database!$H:$N,3,0)),"")</f>
        <v/>
      </c>
      <c r="J1564" s="55" t="str">
        <f>IFERROR(IF($G1564="","",VLOOKUP('Dashboard And Emails Automate'!$G1564,Database!$H:$N,4,0)),"")</f>
        <v/>
      </c>
      <c r="K1564" s="55" t="str">
        <f>IFERROR(IF($G1564="","",VLOOKUP('Dashboard And Emails Automate'!$G1564,Database!$H:$N,5,0)),"")</f>
        <v/>
      </c>
      <c r="L1564" s="55" t="str">
        <f>IFERROR(IF($G1564="","",VLOOKUP('Dashboard And Emails Automate'!$G1564,Database!$H:$N,6,0)),"")</f>
        <v/>
      </c>
      <c r="M1564" s="55" t="str">
        <f>IFERROR(IF($G1564="","",VLOOKUP('Dashboard And Emails Automate'!$G1564,Database!$H:$N,7,0)),"")</f>
        <v/>
      </c>
      <c r="N1564" s="55" t="str">
        <f>IFERROR(IF(OR($B1564="",$B1564="(blank)"),"",VLOOKUP($B1564,'Email Marketing Raw Data'!$C:$O,6,0)),"")</f>
        <v/>
      </c>
      <c r="O1564" s="55" t="str">
        <f>IFERROR(IF(OR($B1564="",$B1564="(blank)"),"",VLOOKUP($B1564,'Email Marketing Raw Data'!$C:$O,7,0)),"")</f>
        <v/>
      </c>
      <c r="P1564" s="55" t="str">
        <f>IFERROR(IF(OR($B1564="",$B1564="(blank)"),"",VLOOKUP($B1564,'Email Marketing Raw Data'!$C:$O,8,0)),"")</f>
        <v/>
      </c>
      <c r="Q1564" s="62" t="str">
        <f>IFERROR(IF(OR($B1564="",$B1564="(blank)"),"",VLOOKUP($B1564,'Email Marketing Raw Data'!$C:$O,9,0)),"")</f>
        <v/>
      </c>
    </row>
    <row r="1565" spans="4:17" ht="12.75" customHeight="1" x14ac:dyDescent="0.2">
      <c r="D1565" s="58" t="str">
        <f>IFERROR(IF(F1565&lt;&gt;"pending","",IF(OR($B1565="",$B1565="(blank)"),"",VLOOKUP($B1565,'Email Marketing Raw Data'!$C:$O,10,0))),"")</f>
        <v/>
      </c>
      <c r="E1565" s="59" t="str">
        <f>IFERROR(IF(F1565&lt;&gt;"pending","",IF(OR($B1565="",$B1565="(blank)"),"",VLOOKUP($B1565,'Email Marketing Raw Data'!$C:$O,11,0))),"")</f>
        <v/>
      </c>
      <c r="F1565" s="54" t="str">
        <f>IFERROR(IF(OR($B1565="",$B1565="(blank)"),"",VLOOKUP($B1565,'Email Marketing Raw Data'!$C:$O,13,0)),"")</f>
        <v/>
      </c>
      <c r="G1565" s="55" t="str">
        <f>IFERROR(IF(OR($B1565="",$B1565="(blank)"),"",VLOOKUP($B1565,'Email Marketing Raw Data'!$C:$O,4,0)),"")</f>
        <v/>
      </c>
      <c r="H1565" s="55" t="str">
        <f>IFERROR(IF(OR($B1565="",$B1565="(blank)"),"",VLOOKUP($B1565,'Email Marketing Raw Data'!$C:$O,5,0)),"")</f>
        <v/>
      </c>
      <c r="I1565" s="55" t="str">
        <f>IFERROR(IF($G1565="","",VLOOKUP('Dashboard And Emails Automate'!$G1565,Database!$H:$N,3,0)),"")</f>
        <v/>
      </c>
      <c r="J1565" s="55" t="str">
        <f>IFERROR(IF($G1565="","",VLOOKUP('Dashboard And Emails Automate'!$G1565,Database!$H:$N,4,0)),"")</f>
        <v/>
      </c>
      <c r="K1565" s="55" t="str">
        <f>IFERROR(IF($G1565="","",VLOOKUP('Dashboard And Emails Automate'!$G1565,Database!$H:$N,5,0)),"")</f>
        <v/>
      </c>
      <c r="L1565" s="55" t="str">
        <f>IFERROR(IF($G1565="","",VLOOKUP('Dashboard And Emails Automate'!$G1565,Database!$H:$N,6,0)),"")</f>
        <v/>
      </c>
      <c r="M1565" s="55" t="str">
        <f>IFERROR(IF($G1565="","",VLOOKUP('Dashboard And Emails Automate'!$G1565,Database!$H:$N,7,0)),"")</f>
        <v/>
      </c>
      <c r="N1565" s="55" t="str">
        <f>IFERROR(IF(OR($B1565="",$B1565="(blank)"),"",VLOOKUP($B1565,'Email Marketing Raw Data'!$C:$O,6,0)),"")</f>
        <v/>
      </c>
      <c r="O1565" s="55" t="str">
        <f>IFERROR(IF(OR($B1565="",$B1565="(blank)"),"",VLOOKUP($B1565,'Email Marketing Raw Data'!$C:$O,7,0)),"")</f>
        <v/>
      </c>
      <c r="P1565" s="55" t="str">
        <f>IFERROR(IF(OR($B1565="",$B1565="(blank)"),"",VLOOKUP($B1565,'Email Marketing Raw Data'!$C:$O,8,0)),"")</f>
        <v/>
      </c>
      <c r="Q1565" s="62" t="str">
        <f>IFERROR(IF(OR($B1565="",$B1565="(blank)"),"",VLOOKUP($B1565,'Email Marketing Raw Data'!$C:$O,9,0)),"")</f>
        <v/>
      </c>
    </row>
    <row r="1566" spans="4:17" ht="12.75" customHeight="1" x14ac:dyDescent="0.2">
      <c r="D1566" s="58" t="str">
        <f>IFERROR(IF(F1566&lt;&gt;"pending","",IF(OR($B1566="",$B1566="(blank)"),"",VLOOKUP($B1566,'Email Marketing Raw Data'!$C:$O,10,0))),"")</f>
        <v/>
      </c>
      <c r="E1566" s="59" t="str">
        <f>IFERROR(IF(F1566&lt;&gt;"pending","",IF(OR($B1566="",$B1566="(blank)"),"",VLOOKUP($B1566,'Email Marketing Raw Data'!$C:$O,11,0))),"")</f>
        <v/>
      </c>
      <c r="F1566" s="54" t="str">
        <f>IFERROR(IF(OR($B1566="",$B1566="(blank)"),"",VLOOKUP($B1566,'Email Marketing Raw Data'!$C:$O,13,0)),"")</f>
        <v/>
      </c>
      <c r="G1566" s="55" t="str">
        <f>IFERROR(IF(OR($B1566="",$B1566="(blank)"),"",VLOOKUP($B1566,'Email Marketing Raw Data'!$C:$O,4,0)),"")</f>
        <v/>
      </c>
      <c r="H1566" s="55" t="str">
        <f>IFERROR(IF(OR($B1566="",$B1566="(blank)"),"",VLOOKUP($B1566,'Email Marketing Raw Data'!$C:$O,5,0)),"")</f>
        <v/>
      </c>
      <c r="I1566" s="55" t="str">
        <f>IFERROR(IF($G1566="","",VLOOKUP('Dashboard And Emails Automate'!$G1566,Database!$H:$N,3,0)),"")</f>
        <v/>
      </c>
      <c r="J1566" s="55" t="str">
        <f>IFERROR(IF($G1566="","",VLOOKUP('Dashboard And Emails Automate'!$G1566,Database!$H:$N,4,0)),"")</f>
        <v/>
      </c>
      <c r="K1566" s="55" t="str">
        <f>IFERROR(IF($G1566="","",VLOOKUP('Dashboard And Emails Automate'!$G1566,Database!$H:$N,5,0)),"")</f>
        <v/>
      </c>
      <c r="L1566" s="55" t="str">
        <f>IFERROR(IF($G1566="","",VLOOKUP('Dashboard And Emails Automate'!$G1566,Database!$H:$N,6,0)),"")</f>
        <v/>
      </c>
      <c r="M1566" s="55" t="str">
        <f>IFERROR(IF($G1566="","",VLOOKUP('Dashboard And Emails Automate'!$G1566,Database!$H:$N,7,0)),"")</f>
        <v/>
      </c>
      <c r="N1566" s="55" t="str">
        <f>IFERROR(IF(OR($B1566="",$B1566="(blank)"),"",VLOOKUP($B1566,'Email Marketing Raw Data'!$C:$O,6,0)),"")</f>
        <v/>
      </c>
      <c r="O1566" s="55" t="str">
        <f>IFERROR(IF(OR($B1566="",$B1566="(blank)"),"",VLOOKUP($B1566,'Email Marketing Raw Data'!$C:$O,7,0)),"")</f>
        <v/>
      </c>
      <c r="P1566" s="55" t="str">
        <f>IFERROR(IF(OR($B1566="",$B1566="(blank)"),"",VLOOKUP($B1566,'Email Marketing Raw Data'!$C:$O,8,0)),"")</f>
        <v/>
      </c>
      <c r="Q1566" s="62" t="str">
        <f>IFERROR(IF(OR($B1566="",$B1566="(blank)"),"",VLOOKUP($B1566,'Email Marketing Raw Data'!$C:$O,9,0)),"")</f>
        <v/>
      </c>
    </row>
    <row r="1567" spans="4:17" ht="12.75" customHeight="1" x14ac:dyDescent="0.2">
      <c r="D1567" s="58" t="str">
        <f>IFERROR(IF(F1567&lt;&gt;"pending","",IF(OR($B1567="",$B1567="(blank)"),"",VLOOKUP($B1567,'Email Marketing Raw Data'!$C:$O,10,0))),"")</f>
        <v/>
      </c>
      <c r="E1567" s="59" t="str">
        <f>IFERROR(IF(F1567&lt;&gt;"pending","",IF(OR($B1567="",$B1567="(blank)"),"",VLOOKUP($B1567,'Email Marketing Raw Data'!$C:$O,11,0))),"")</f>
        <v/>
      </c>
      <c r="F1567" s="54" t="str">
        <f>IFERROR(IF(OR($B1567="",$B1567="(blank)"),"",VLOOKUP($B1567,'Email Marketing Raw Data'!$C:$O,13,0)),"")</f>
        <v/>
      </c>
      <c r="G1567" s="55" t="str">
        <f>IFERROR(IF(OR($B1567="",$B1567="(blank)"),"",VLOOKUP($B1567,'Email Marketing Raw Data'!$C:$O,4,0)),"")</f>
        <v/>
      </c>
      <c r="H1567" s="55" t="str">
        <f>IFERROR(IF(OR($B1567="",$B1567="(blank)"),"",VLOOKUP($B1567,'Email Marketing Raw Data'!$C:$O,5,0)),"")</f>
        <v/>
      </c>
      <c r="I1567" s="55" t="str">
        <f>IFERROR(IF($G1567="","",VLOOKUP('Dashboard And Emails Automate'!$G1567,Database!$H:$N,3,0)),"")</f>
        <v/>
      </c>
      <c r="J1567" s="55" t="str">
        <f>IFERROR(IF($G1567="","",VLOOKUP('Dashboard And Emails Automate'!$G1567,Database!$H:$N,4,0)),"")</f>
        <v/>
      </c>
      <c r="K1567" s="55" t="str">
        <f>IFERROR(IF($G1567="","",VLOOKUP('Dashboard And Emails Automate'!$G1567,Database!$H:$N,5,0)),"")</f>
        <v/>
      </c>
      <c r="L1567" s="55" t="str">
        <f>IFERROR(IF($G1567="","",VLOOKUP('Dashboard And Emails Automate'!$G1567,Database!$H:$N,6,0)),"")</f>
        <v/>
      </c>
      <c r="M1567" s="55" t="str">
        <f>IFERROR(IF($G1567="","",VLOOKUP('Dashboard And Emails Automate'!$G1567,Database!$H:$N,7,0)),"")</f>
        <v/>
      </c>
      <c r="N1567" s="55" t="str">
        <f>IFERROR(IF(OR($B1567="",$B1567="(blank)"),"",VLOOKUP($B1567,'Email Marketing Raw Data'!$C:$O,6,0)),"")</f>
        <v/>
      </c>
      <c r="O1567" s="55" t="str">
        <f>IFERROR(IF(OR($B1567="",$B1567="(blank)"),"",VLOOKUP($B1567,'Email Marketing Raw Data'!$C:$O,7,0)),"")</f>
        <v/>
      </c>
      <c r="P1567" s="55" t="str">
        <f>IFERROR(IF(OR($B1567="",$B1567="(blank)"),"",VLOOKUP($B1567,'Email Marketing Raw Data'!$C:$O,8,0)),"")</f>
        <v/>
      </c>
      <c r="Q1567" s="62" t="str">
        <f>IFERROR(IF(OR($B1567="",$B1567="(blank)"),"",VLOOKUP($B1567,'Email Marketing Raw Data'!$C:$O,9,0)),"")</f>
        <v/>
      </c>
    </row>
    <row r="1568" spans="4:17" ht="12.75" customHeight="1" x14ac:dyDescent="0.2">
      <c r="D1568" s="58" t="str">
        <f>IFERROR(IF(F1568&lt;&gt;"pending","",IF(OR($B1568="",$B1568="(blank)"),"",VLOOKUP($B1568,'Email Marketing Raw Data'!$C:$O,10,0))),"")</f>
        <v/>
      </c>
      <c r="E1568" s="59" t="str">
        <f>IFERROR(IF(F1568&lt;&gt;"pending","",IF(OR($B1568="",$B1568="(blank)"),"",VLOOKUP($B1568,'Email Marketing Raw Data'!$C:$O,11,0))),"")</f>
        <v/>
      </c>
      <c r="F1568" s="54" t="str">
        <f>IFERROR(IF(OR($B1568="",$B1568="(blank)"),"",VLOOKUP($B1568,'Email Marketing Raw Data'!$C:$O,13,0)),"")</f>
        <v/>
      </c>
      <c r="G1568" s="55" t="str">
        <f>IFERROR(IF(OR($B1568="",$B1568="(blank)"),"",VLOOKUP($B1568,'Email Marketing Raw Data'!$C:$O,4,0)),"")</f>
        <v/>
      </c>
      <c r="H1568" s="55" t="str">
        <f>IFERROR(IF(OR($B1568="",$B1568="(blank)"),"",VLOOKUP($B1568,'Email Marketing Raw Data'!$C:$O,5,0)),"")</f>
        <v/>
      </c>
      <c r="I1568" s="55" t="str">
        <f>IFERROR(IF($G1568="","",VLOOKUP('Dashboard And Emails Automate'!$G1568,Database!$H:$N,3,0)),"")</f>
        <v/>
      </c>
      <c r="J1568" s="55" t="str">
        <f>IFERROR(IF($G1568="","",VLOOKUP('Dashboard And Emails Automate'!$G1568,Database!$H:$N,4,0)),"")</f>
        <v/>
      </c>
      <c r="K1568" s="55" t="str">
        <f>IFERROR(IF($G1568="","",VLOOKUP('Dashboard And Emails Automate'!$G1568,Database!$H:$N,5,0)),"")</f>
        <v/>
      </c>
      <c r="L1568" s="55" t="str">
        <f>IFERROR(IF($G1568="","",VLOOKUP('Dashboard And Emails Automate'!$G1568,Database!$H:$N,6,0)),"")</f>
        <v/>
      </c>
      <c r="M1568" s="55" t="str">
        <f>IFERROR(IF($G1568="","",VLOOKUP('Dashboard And Emails Automate'!$G1568,Database!$H:$N,7,0)),"")</f>
        <v/>
      </c>
      <c r="N1568" s="55" t="str">
        <f>IFERROR(IF(OR($B1568="",$B1568="(blank)"),"",VLOOKUP($B1568,'Email Marketing Raw Data'!$C:$O,6,0)),"")</f>
        <v/>
      </c>
      <c r="O1568" s="55" t="str">
        <f>IFERROR(IF(OR($B1568="",$B1568="(blank)"),"",VLOOKUP($B1568,'Email Marketing Raw Data'!$C:$O,7,0)),"")</f>
        <v/>
      </c>
      <c r="P1568" s="55" t="str">
        <f>IFERROR(IF(OR($B1568="",$B1568="(blank)"),"",VLOOKUP($B1568,'Email Marketing Raw Data'!$C:$O,8,0)),"")</f>
        <v/>
      </c>
      <c r="Q1568" s="62" t="str">
        <f>IFERROR(IF(OR($B1568="",$B1568="(blank)"),"",VLOOKUP($B1568,'Email Marketing Raw Data'!$C:$O,9,0)),"")</f>
        <v/>
      </c>
    </row>
    <row r="1569" spans="4:17" ht="12.75" customHeight="1" x14ac:dyDescent="0.2">
      <c r="D1569" s="58" t="str">
        <f>IFERROR(IF(F1569&lt;&gt;"pending","",IF(OR($B1569="",$B1569="(blank)"),"",VLOOKUP($B1569,'Email Marketing Raw Data'!$C:$O,10,0))),"")</f>
        <v/>
      </c>
      <c r="E1569" s="59" t="str">
        <f>IFERROR(IF(F1569&lt;&gt;"pending","",IF(OR($B1569="",$B1569="(blank)"),"",VLOOKUP($B1569,'Email Marketing Raw Data'!$C:$O,11,0))),"")</f>
        <v/>
      </c>
      <c r="F1569" s="54" t="str">
        <f>IFERROR(IF(OR($B1569="",$B1569="(blank)"),"",VLOOKUP($B1569,'Email Marketing Raw Data'!$C:$O,13,0)),"")</f>
        <v/>
      </c>
      <c r="G1569" s="55" t="str">
        <f>IFERROR(IF(OR($B1569="",$B1569="(blank)"),"",VLOOKUP($B1569,'Email Marketing Raw Data'!$C:$O,4,0)),"")</f>
        <v/>
      </c>
      <c r="H1569" s="55" t="str">
        <f>IFERROR(IF(OR($B1569="",$B1569="(blank)"),"",VLOOKUP($B1569,'Email Marketing Raw Data'!$C:$O,5,0)),"")</f>
        <v/>
      </c>
      <c r="I1569" s="55" t="str">
        <f>IFERROR(IF($G1569="","",VLOOKUP('Dashboard And Emails Automate'!$G1569,Database!$H:$N,3,0)),"")</f>
        <v/>
      </c>
      <c r="J1569" s="55" t="str">
        <f>IFERROR(IF($G1569="","",VLOOKUP('Dashboard And Emails Automate'!$G1569,Database!$H:$N,4,0)),"")</f>
        <v/>
      </c>
      <c r="K1569" s="55" t="str">
        <f>IFERROR(IF($G1569="","",VLOOKUP('Dashboard And Emails Automate'!$G1569,Database!$H:$N,5,0)),"")</f>
        <v/>
      </c>
      <c r="L1569" s="55" t="str">
        <f>IFERROR(IF($G1569="","",VLOOKUP('Dashboard And Emails Automate'!$G1569,Database!$H:$N,6,0)),"")</f>
        <v/>
      </c>
      <c r="M1569" s="55" t="str">
        <f>IFERROR(IF($G1569="","",VLOOKUP('Dashboard And Emails Automate'!$G1569,Database!$H:$N,7,0)),"")</f>
        <v/>
      </c>
      <c r="N1569" s="55" t="str">
        <f>IFERROR(IF(OR($B1569="",$B1569="(blank)"),"",VLOOKUP($B1569,'Email Marketing Raw Data'!$C:$O,6,0)),"")</f>
        <v/>
      </c>
      <c r="O1569" s="55" t="str">
        <f>IFERROR(IF(OR($B1569="",$B1569="(blank)"),"",VLOOKUP($B1569,'Email Marketing Raw Data'!$C:$O,7,0)),"")</f>
        <v/>
      </c>
      <c r="P1569" s="55" t="str">
        <f>IFERROR(IF(OR($B1569="",$B1569="(blank)"),"",VLOOKUP($B1569,'Email Marketing Raw Data'!$C:$O,8,0)),"")</f>
        <v/>
      </c>
      <c r="Q1569" s="62" t="str">
        <f>IFERROR(IF(OR($B1569="",$B1569="(blank)"),"",VLOOKUP($B1569,'Email Marketing Raw Data'!$C:$O,9,0)),"")</f>
        <v/>
      </c>
    </row>
    <row r="1570" spans="4:17" ht="12.75" customHeight="1" x14ac:dyDescent="0.2">
      <c r="D1570" s="58" t="str">
        <f>IFERROR(IF(F1570&lt;&gt;"pending","",IF(OR($B1570="",$B1570="(blank)"),"",VLOOKUP($B1570,'Email Marketing Raw Data'!$C:$O,10,0))),"")</f>
        <v/>
      </c>
      <c r="E1570" s="59" t="str">
        <f>IFERROR(IF(F1570&lt;&gt;"pending","",IF(OR($B1570="",$B1570="(blank)"),"",VLOOKUP($B1570,'Email Marketing Raw Data'!$C:$O,11,0))),"")</f>
        <v/>
      </c>
      <c r="F1570" s="54" t="str">
        <f>IFERROR(IF(OR($B1570="",$B1570="(blank)"),"",VLOOKUP($B1570,'Email Marketing Raw Data'!$C:$O,13,0)),"")</f>
        <v/>
      </c>
      <c r="G1570" s="55" t="str">
        <f>IFERROR(IF(OR($B1570="",$B1570="(blank)"),"",VLOOKUP($B1570,'Email Marketing Raw Data'!$C:$O,4,0)),"")</f>
        <v/>
      </c>
      <c r="H1570" s="55" t="str">
        <f>IFERROR(IF(OR($B1570="",$B1570="(blank)"),"",VLOOKUP($B1570,'Email Marketing Raw Data'!$C:$O,5,0)),"")</f>
        <v/>
      </c>
      <c r="I1570" s="55" t="str">
        <f>IFERROR(IF($G1570="","",VLOOKUP('Dashboard And Emails Automate'!$G1570,Database!$H:$N,3,0)),"")</f>
        <v/>
      </c>
      <c r="J1570" s="55" t="str">
        <f>IFERROR(IF($G1570="","",VLOOKUP('Dashboard And Emails Automate'!$G1570,Database!$H:$N,4,0)),"")</f>
        <v/>
      </c>
      <c r="K1570" s="55" t="str">
        <f>IFERROR(IF($G1570="","",VLOOKUP('Dashboard And Emails Automate'!$G1570,Database!$H:$N,5,0)),"")</f>
        <v/>
      </c>
      <c r="L1570" s="55" t="str">
        <f>IFERROR(IF($G1570="","",VLOOKUP('Dashboard And Emails Automate'!$G1570,Database!$H:$N,6,0)),"")</f>
        <v/>
      </c>
      <c r="M1570" s="55" t="str">
        <f>IFERROR(IF($G1570="","",VLOOKUP('Dashboard And Emails Automate'!$G1570,Database!$H:$N,7,0)),"")</f>
        <v/>
      </c>
      <c r="N1570" s="55" t="str">
        <f>IFERROR(IF(OR($B1570="",$B1570="(blank)"),"",VLOOKUP($B1570,'Email Marketing Raw Data'!$C:$O,6,0)),"")</f>
        <v/>
      </c>
      <c r="O1570" s="55" t="str">
        <f>IFERROR(IF(OR($B1570="",$B1570="(blank)"),"",VLOOKUP($B1570,'Email Marketing Raw Data'!$C:$O,7,0)),"")</f>
        <v/>
      </c>
      <c r="P1570" s="55" t="str">
        <f>IFERROR(IF(OR($B1570="",$B1570="(blank)"),"",VLOOKUP($B1570,'Email Marketing Raw Data'!$C:$O,8,0)),"")</f>
        <v/>
      </c>
      <c r="Q1570" s="62" t="str">
        <f>IFERROR(IF(OR($B1570="",$B1570="(blank)"),"",VLOOKUP($B1570,'Email Marketing Raw Data'!$C:$O,9,0)),"")</f>
        <v/>
      </c>
    </row>
    <row r="1571" spans="4:17" ht="12.75" customHeight="1" x14ac:dyDescent="0.2">
      <c r="D1571" s="58" t="str">
        <f>IFERROR(IF(F1571&lt;&gt;"pending","",IF(OR($B1571="",$B1571="(blank)"),"",VLOOKUP($B1571,'Email Marketing Raw Data'!$C:$O,10,0))),"")</f>
        <v/>
      </c>
      <c r="E1571" s="59" t="str">
        <f>IFERROR(IF(F1571&lt;&gt;"pending","",IF(OR($B1571="",$B1571="(blank)"),"",VLOOKUP($B1571,'Email Marketing Raw Data'!$C:$O,11,0))),"")</f>
        <v/>
      </c>
      <c r="F1571" s="54" t="str">
        <f>IFERROR(IF(OR($B1571="",$B1571="(blank)"),"",VLOOKUP($B1571,'Email Marketing Raw Data'!$C:$O,13,0)),"")</f>
        <v/>
      </c>
      <c r="G1571" s="55" t="str">
        <f>IFERROR(IF(OR($B1571="",$B1571="(blank)"),"",VLOOKUP($B1571,'Email Marketing Raw Data'!$C:$O,4,0)),"")</f>
        <v/>
      </c>
      <c r="H1571" s="55" t="str">
        <f>IFERROR(IF(OR($B1571="",$B1571="(blank)"),"",VLOOKUP($B1571,'Email Marketing Raw Data'!$C:$O,5,0)),"")</f>
        <v/>
      </c>
      <c r="I1571" s="55" t="str">
        <f>IFERROR(IF($G1571="","",VLOOKUP('Dashboard And Emails Automate'!$G1571,Database!$H:$N,3,0)),"")</f>
        <v/>
      </c>
      <c r="J1571" s="55" t="str">
        <f>IFERROR(IF($G1571="","",VLOOKUP('Dashboard And Emails Automate'!$G1571,Database!$H:$N,4,0)),"")</f>
        <v/>
      </c>
      <c r="K1571" s="55" t="str">
        <f>IFERROR(IF($G1571="","",VLOOKUP('Dashboard And Emails Automate'!$G1571,Database!$H:$N,5,0)),"")</f>
        <v/>
      </c>
      <c r="L1571" s="55" t="str">
        <f>IFERROR(IF($G1571="","",VLOOKUP('Dashboard And Emails Automate'!$G1571,Database!$H:$N,6,0)),"")</f>
        <v/>
      </c>
      <c r="M1571" s="55" t="str">
        <f>IFERROR(IF($G1571="","",VLOOKUP('Dashboard And Emails Automate'!$G1571,Database!$H:$N,7,0)),"")</f>
        <v/>
      </c>
      <c r="N1571" s="55" t="str">
        <f>IFERROR(IF(OR($B1571="",$B1571="(blank)"),"",VLOOKUP($B1571,'Email Marketing Raw Data'!$C:$O,6,0)),"")</f>
        <v/>
      </c>
      <c r="O1571" s="55" t="str">
        <f>IFERROR(IF(OR($B1571="",$B1571="(blank)"),"",VLOOKUP($B1571,'Email Marketing Raw Data'!$C:$O,7,0)),"")</f>
        <v/>
      </c>
      <c r="P1571" s="55" t="str">
        <f>IFERROR(IF(OR($B1571="",$B1571="(blank)"),"",VLOOKUP($B1571,'Email Marketing Raw Data'!$C:$O,8,0)),"")</f>
        <v/>
      </c>
      <c r="Q1571" s="62" t="str">
        <f>IFERROR(IF(OR($B1571="",$B1571="(blank)"),"",VLOOKUP($B1571,'Email Marketing Raw Data'!$C:$O,9,0)),"")</f>
        <v/>
      </c>
    </row>
    <row r="1572" spans="4:17" ht="12.75" customHeight="1" x14ac:dyDescent="0.2">
      <c r="D1572" s="58" t="str">
        <f>IFERROR(IF(F1572&lt;&gt;"pending","",IF(OR($B1572="",$B1572="(blank)"),"",VLOOKUP($B1572,'Email Marketing Raw Data'!$C:$O,10,0))),"")</f>
        <v/>
      </c>
      <c r="E1572" s="59" t="str">
        <f>IFERROR(IF(F1572&lt;&gt;"pending","",IF(OR($B1572="",$B1572="(blank)"),"",VLOOKUP($B1572,'Email Marketing Raw Data'!$C:$O,11,0))),"")</f>
        <v/>
      </c>
      <c r="F1572" s="54" t="str">
        <f>IFERROR(IF(OR($B1572="",$B1572="(blank)"),"",VLOOKUP($B1572,'Email Marketing Raw Data'!$C:$O,13,0)),"")</f>
        <v/>
      </c>
      <c r="G1572" s="55" t="str">
        <f>IFERROR(IF(OR($B1572="",$B1572="(blank)"),"",VLOOKUP($B1572,'Email Marketing Raw Data'!$C:$O,4,0)),"")</f>
        <v/>
      </c>
      <c r="H1572" s="55" t="str">
        <f>IFERROR(IF(OR($B1572="",$B1572="(blank)"),"",VLOOKUP($B1572,'Email Marketing Raw Data'!$C:$O,5,0)),"")</f>
        <v/>
      </c>
      <c r="I1572" s="55" t="str">
        <f>IFERROR(IF($G1572="","",VLOOKUP('Dashboard And Emails Automate'!$G1572,Database!$H:$N,3,0)),"")</f>
        <v/>
      </c>
      <c r="J1572" s="55" t="str">
        <f>IFERROR(IF($G1572="","",VLOOKUP('Dashboard And Emails Automate'!$G1572,Database!$H:$N,4,0)),"")</f>
        <v/>
      </c>
      <c r="K1572" s="55" t="str">
        <f>IFERROR(IF($G1572="","",VLOOKUP('Dashboard And Emails Automate'!$G1572,Database!$H:$N,5,0)),"")</f>
        <v/>
      </c>
      <c r="L1572" s="55" t="str">
        <f>IFERROR(IF($G1572="","",VLOOKUP('Dashboard And Emails Automate'!$G1572,Database!$H:$N,6,0)),"")</f>
        <v/>
      </c>
      <c r="M1572" s="55" t="str">
        <f>IFERROR(IF($G1572="","",VLOOKUP('Dashboard And Emails Automate'!$G1572,Database!$H:$N,7,0)),"")</f>
        <v/>
      </c>
      <c r="N1572" s="55" t="str">
        <f>IFERROR(IF(OR($B1572="",$B1572="(blank)"),"",VLOOKUP($B1572,'Email Marketing Raw Data'!$C:$O,6,0)),"")</f>
        <v/>
      </c>
      <c r="O1572" s="55" t="str">
        <f>IFERROR(IF(OR($B1572="",$B1572="(blank)"),"",VLOOKUP($B1572,'Email Marketing Raw Data'!$C:$O,7,0)),"")</f>
        <v/>
      </c>
      <c r="P1572" s="55" t="str">
        <f>IFERROR(IF(OR($B1572="",$B1572="(blank)"),"",VLOOKUP($B1572,'Email Marketing Raw Data'!$C:$O,8,0)),"")</f>
        <v/>
      </c>
      <c r="Q1572" s="62" t="str">
        <f>IFERROR(IF(OR($B1572="",$B1572="(blank)"),"",VLOOKUP($B1572,'Email Marketing Raw Data'!$C:$O,9,0)),"")</f>
        <v/>
      </c>
    </row>
    <row r="1573" spans="4:17" ht="12.75" customHeight="1" x14ac:dyDescent="0.2">
      <c r="D1573" s="58" t="str">
        <f>IFERROR(IF(F1573&lt;&gt;"pending","",IF(OR($B1573="",$B1573="(blank)"),"",VLOOKUP($B1573,'Email Marketing Raw Data'!$C:$O,10,0))),"")</f>
        <v/>
      </c>
      <c r="E1573" s="59" t="str">
        <f>IFERROR(IF(F1573&lt;&gt;"pending","",IF(OR($B1573="",$B1573="(blank)"),"",VLOOKUP($B1573,'Email Marketing Raw Data'!$C:$O,11,0))),"")</f>
        <v/>
      </c>
      <c r="F1573" s="54" t="str">
        <f>IFERROR(IF(OR($B1573="",$B1573="(blank)"),"",VLOOKUP($B1573,'Email Marketing Raw Data'!$C:$O,13,0)),"")</f>
        <v/>
      </c>
      <c r="G1573" s="55" t="str">
        <f>IFERROR(IF(OR($B1573="",$B1573="(blank)"),"",VLOOKUP($B1573,'Email Marketing Raw Data'!$C:$O,4,0)),"")</f>
        <v/>
      </c>
      <c r="H1573" s="55" t="str">
        <f>IFERROR(IF(OR($B1573="",$B1573="(blank)"),"",VLOOKUP($B1573,'Email Marketing Raw Data'!$C:$O,5,0)),"")</f>
        <v/>
      </c>
      <c r="I1573" s="55" t="str">
        <f>IFERROR(IF($G1573="","",VLOOKUP('Dashboard And Emails Automate'!$G1573,Database!$H:$N,3,0)),"")</f>
        <v/>
      </c>
      <c r="J1573" s="55" t="str">
        <f>IFERROR(IF($G1573="","",VLOOKUP('Dashboard And Emails Automate'!$G1573,Database!$H:$N,4,0)),"")</f>
        <v/>
      </c>
      <c r="K1573" s="55" t="str">
        <f>IFERROR(IF($G1573="","",VLOOKUP('Dashboard And Emails Automate'!$G1573,Database!$H:$N,5,0)),"")</f>
        <v/>
      </c>
      <c r="L1573" s="55" t="str">
        <f>IFERROR(IF($G1573="","",VLOOKUP('Dashboard And Emails Automate'!$G1573,Database!$H:$N,6,0)),"")</f>
        <v/>
      </c>
      <c r="M1573" s="55" t="str">
        <f>IFERROR(IF($G1573="","",VLOOKUP('Dashboard And Emails Automate'!$G1573,Database!$H:$N,7,0)),"")</f>
        <v/>
      </c>
      <c r="N1573" s="55" t="str">
        <f>IFERROR(IF(OR($B1573="",$B1573="(blank)"),"",VLOOKUP($B1573,'Email Marketing Raw Data'!$C:$O,6,0)),"")</f>
        <v/>
      </c>
      <c r="O1573" s="55" t="str">
        <f>IFERROR(IF(OR($B1573="",$B1573="(blank)"),"",VLOOKUP($B1573,'Email Marketing Raw Data'!$C:$O,7,0)),"")</f>
        <v/>
      </c>
      <c r="P1573" s="55" t="str">
        <f>IFERROR(IF(OR($B1573="",$B1573="(blank)"),"",VLOOKUP($B1573,'Email Marketing Raw Data'!$C:$O,8,0)),"")</f>
        <v/>
      </c>
      <c r="Q1573" s="62" t="str">
        <f>IFERROR(IF(OR($B1573="",$B1573="(blank)"),"",VLOOKUP($B1573,'Email Marketing Raw Data'!$C:$O,9,0)),"")</f>
        <v/>
      </c>
    </row>
    <row r="1574" spans="4:17" ht="12.75" customHeight="1" x14ac:dyDescent="0.2">
      <c r="D1574" s="58" t="str">
        <f>IFERROR(IF(F1574&lt;&gt;"pending","",IF(OR($B1574="",$B1574="(blank)"),"",VLOOKUP($B1574,'Email Marketing Raw Data'!$C:$O,10,0))),"")</f>
        <v/>
      </c>
      <c r="E1574" s="59" t="str">
        <f>IFERROR(IF(F1574&lt;&gt;"pending","",IF(OR($B1574="",$B1574="(blank)"),"",VLOOKUP($B1574,'Email Marketing Raw Data'!$C:$O,11,0))),"")</f>
        <v/>
      </c>
      <c r="F1574" s="54" t="str">
        <f>IFERROR(IF(OR($B1574="",$B1574="(blank)"),"",VLOOKUP($B1574,'Email Marketing Raw Data'!$C:$O,13,0)),"")</f>
        <v/>
      </c>
      <c r="G1574" s="55" t="str">
        <f>IFERROR(IF(OR($B1574="",$B1574="(blank)"),"",VLOOKUP($B1574,'Email Marketing Raw Data'!$C:$O,4,0)),"")</f>
        <v/>
      </c>
      <c r="H1574" s="55" t="str">
        <f>IFERROR(IF(OR($B1574="",$B1574="(blank)"),"",VLOOKUP($B1574,'Email Marketing Raw Data'!$C:$O,5,0)),"")</f>
        <v/>
      </c>
      <c r="I1574" s="55" t="str">
        <f>IFERROR(IF($G1574="","",VLOOKUP('Dashboard And Emails Automate'!$G1574,Database!$H:$N,3,0)),"")</f>
        <v/>
      </c>
      <c r="J1574" s="55" t="str">
        <f>IFERROR(IF($G1574="","",VLOOKUP('Dashboard And Emails Automate'!$G1574,Database!$H:$N,4,0)),"")</f>
        <v/>
      </c>
      <c r="K1574" s="55" t="str">
        <f>IFERROR(IF($G1574="","",VLOOKUP('Dashboard And Emails Automate'!$G1574,Database!$H:$N,5,0)),"")</f>
        <v/>
      </c>
      <c r="L1574" s="55" t="str">
        <f>IFERROR(IF($G1574="","",VLOOKUP('Dashboard And Emails Automate'!$G1574,Database!$H:$N,6,0)),"")</f>
        <v/>
      </c>
      <c r="M1574" s="55" t="str">
        <f>IFERROR(IF($G1574="","",VLOOKUP('Dashboard And Emails Automate'!$G1574,Database!$H:$N,7,0)),"")</f>
        <v/>
      </c>
      <c r="N1574" s="55" t="str">
        <f>IFERROR(IF(OR($B1574="",$B1574="(blank)"),"",VLOOKUP($B1574,'Email Marketing Raw Data'!$C:$O,6,0)),"")</f>
        <v/>
      </c>
      <c r="O1574" s="55" t="str">
        <f>IFERROR(IF(OR($B1574="",$B1574="(blank)"),"",VLOOKUP($B1574,'Email Marketing Raw Data'!$C:$O,7,0)),"")</f>
        <v/>
      </c>
      <c r="P1574" s="55" t="str">
        <f>IFERROR(IF(OR($B1574="",$B1574="(blank)"),"",VLOOKUP($B1574,'Email Marketing Raw Data'!$C:$O,8,0)),"")</f>
        <v/>
      </c>
      <c r="Q1574" s="62" t="str">
        <f>IFERROR(IF(OR($B1574="",$B1574="(blank)"),"",VLOOKUP($B1574,'Email Marketing Raw Data'!$C:$O,9,0)),"")</f>
        <v/>
      </c>
    </row>
    <row r="1575" spans="4:17" ht="12.75" customHeight="1" x14ac:dyDescent="0.2">
      <c r="D1575" s="58" t="str">
        <f>IFERROR(IF(F1575&lt;&gt;"pending","",IF(OR($B1575="",$B1575="(blank)"),"",VLOOKUP($B1575,'Email Marketing Raw Data'!$C:$O,10,0))),"")</f>
        <v/>
      </c>
      <c r="E1575" s="59" t="str">
        <f>IFERROR(IF(F1575&lt;&gt;"pending","",IF(OR($B1575="",$B1575="(blank)"),"",VLOOKUP($B1575,'Email Marketing Raw Data'!$C:$O,11,0))),"")</f>
        <v/>
      </c>
      <c r="F1575" s="54" t="str">
        <f>IFERROR(IF(OR($B1575="",$B1575="(blank)"),"",VLOOKUP($B1575,'Email Marketing Raw Data'!$C:$O,13,0)),"")</f>
        <v/>
      </c>
      <c r="G1575" s="55" t="str">
        <f>IFERROR(IF(OR($B1575="",$B1575="(blank)"),"",VLOOKUP($B1575,'Email Marketing Raw Data'!$C:$O,4,0)),"")</f>
        <v/>
      </c>
      <c r="H1575" s="55" t="str">
        <f>IFERROR(IF(OR($B1575="",$B1575="(blank)"),"",VLOOKUP($B1575,'Email Marketing Raw Data'!$C:$O,5,0)),"")</f>
        <v/>
      </c>
      <c r="I1575" s="55" t="str">
        <f>IFERROR(IF($G1575="","",VLOOKUP('Dashboard And Emails Automate'!$G1575,Database!$H:$N,3,0)),"")</f>
        <v/>
      </c>
      <c r="J1575" s="55" t="str">
        <f>IFERROR(IF($G1575="","",VLOOKUP('Dashboard And Emails Automate'!$G1575,Database!$H:$N,4,0)),"")</f>
        <v/>
      </c>
      <c r="K1575" s="55" t="str">
        <f>IFERROR(IF($G1575="","",VLOOKUP('Dashboard And Emails Automate'!$G1575,Database!$H:$N,5,0)),"")</f>
        <v/>
      </c>
      <c r="L1575" s="55" t="str">
        <f>IFERROR(IF($G1575="","",VLOOKUP('Dashboard And Emails Automate'!$G1575,Database!$H:$N,6,0)),"")</f>
        <v/>
      </c>
      <c r="M1575" s="55" t="str">
        <f>IFERROR(IF($G1575="","",VLOOKUP('Dashboard And Emails Automate'!$G1575,Database!$H:$N,7,0)),"")</f>
        <v/>
      </c>
      <c r="N1575" s="55" t="str">
        <f>IFERROR(IF(OR($B1575="",$B1575="(blank)"),"",VLOOKUP($B1575,'Email Marketing Raw Data'!$C:$O,6,0)),"")</f>
        <v/>
      </c>
      <c r="O1575" s="55" t="str">
        <f>IFERROR(IF(OR($B1575="",$B1575="(blank)"),"",VLOOKUP($B1575,'Email Marketing Raw Data'!$C:$O,7,0)),"")</f>
        <v/>
      </c>
      <c r="P1575" s="55" t="str">
        <f>IFERROR(IF(OR($B1575="",$B1575="(blank)"),"",VLOOKUP($B1575,'Email Marketing Raw Data'!$C:$O,8,0)),"")</f>
        <v/>
      </c>
      <c r="Q1575" s="62" t="str">
        <f>IFERROR(IF(OR($B1575="",$B1575="(blank)"),"",VLOOKUP($B1575,'Email Marketing Raw Data'!$C:$O,9,0)),"")</f>
        <v/>
      </c>
    </row>
    <row r="1576" spans="4:17" ht="12.75" customHeight="1" x14ac:dyDescent="0.2">
      <c r="D1576" s="58" t="str">
        <f>IFERROR(IF(F1576&lt;&gt;"pending","",IF(OR($B1576="",$B1576="(blank)"),"",VLOOKUP($B1576,'Email Marketing Raw Data'!$C:$O,10,0))),"")</f>
        <v/>
      </c>
      <c r="E1576" s="59" t="str">
        <f>IFERROR(IF(F1576&lt;&gt;"pending","",IF(OR($B1576="",$B1576="(blank)"),"",VLOOKUP($B1576,'Email Marketing Raw Data'!$C:$O,11,0))),"")</f>
        <v/>
      </c>
      <c r="F1576" s="54" t="str">
        <f>IFERROR(IF(OR($B1576="",$B1576="(blank)"),"",VLOOKUP($B1576,'Email Marketing Raw Data'!$C:$O,13,0)),"")</f>
        <v/>
      </c>
      <c r="G1576" s="55" t="str">
        <f>IFERROR(IF(OR($B1576="",$B1576="(blank)"),"",VLOOKUP($B1576,'Email Marketing Raw Data'!$C:$O,4,0)),"")</f>
        <v/>
      </c>
      <c r="H1576" s="55" t="str">
        <f>IFERROR(IF(OR($B1576="",$B1576="(blank)"),"",VLOOKUP($B1576,'Email Marketing Raw Data'!$C:$O,5,0)),"")</f>
        <v/>
      </c>
      <c r="I1576" s="55" t="str">
        <f>IFERROR(IF($G1576="","",VLOOKUP('Dashboard And Emails Automate'!$G1576,Database!$H:$N,3,0)),"")</f>
        <v/>
      </c>
      <c r="J1576" s="55" t="str">
        <f>IFERROR(IF($G1576="","",VLOOKUP('Dashboard And Emails Automate'!$G1576,Database!$H:$N,4,0)),"")</f>
        <v/>
      </c>
      <c r="K1576" s="55" t="str">
        <f>IFERROR(IF($G1576="","",VLOOKUP('Dashboard And Emails Automate'!$G1576,Database!$H:$N,5,0)),"")</f>
        <v/>
      </c>
      <c r="L1576" s="55" t="str">
        <f>IFERROR(IF($G1576="","",VLOOKUP('Dashboard And Emails Automate'!$G1576,Database!$H:$N,6,0)),"")</f>
        <v/>
      </c>
      <c r="M1576" s="55" t="str">
        <f>IFERROR(IF($G1576="","",VLOOKUP('Dashboard And Emails Automate'!$G1576,Database!$H:$N,7,0)),"")</f>
        <v/>
      </c>
      <c r="N1576" s="55" t="str">
        <f>IFERROR(IF(OR($B1576="",$B1576="(blank)"),"",VLOOKUP($B1576,'Email Marketing Raw Data'!$C:$O,6,0)),"")</f>
        <v/>
      </c>
      <c r="O1576" s="55" t="str">
        <f>IFERROR(IF(OR($B1576="",$B1576="(blank)"),"",VLOOKUP($B1576,'Email Marketing Raw Data'!$C:$O,7,0)),"")</f>
        <v/>
      </c>
      <c r="P1576" s="55" t="str">
        <f>IFERROR(IF(OR($B1576="",$B1576="(blank)"),"",VLOOKUP($B1576,'Email Marketing Raw Data'!$C:$O,8,0)),"")</f>
        <v/>
      </c>
      <c r="Q1576" s="62" t="str">
        <f>IFERROR(IF(OR($B1576="",$B1576="(blank)"),"",VLOOKUP($B1576,'Email Marketing Raw Data'!$C:$O,9,0)),"")</f>
        <v/>
      </c>
    </row>
    <row r="1577" spans="4:17" ht="12.75" customHeight="1" x14ac:dyDescent="0.2">
      <c r="D1577" s="58" t="str">
        <f>IFERROR(IF(F1577&lt;&gt;"pending","",IF(OR($B1577="",$B1577="(blank)"),"",VLOOKUP($B1577,'Email Marketing Raw Data'!$C:$O,10,0))),"")</f>
        <v/>
      </c>
      <c r="E1577" s="59" t="str">
        <f>IFERROR(IF(F1577&lt;&gt;"pending","",IF(OR($B1577="",$B1577="(blank)"),"",VLOOKUP($B1577,'Email Marketing Raw Data'!$C:$O,11,0))),"")</f>
        <v/>
      </c>
      <c r="F1577" s="54" t="str">
        <f>IFERROR(IF(OR($B1577="",$B1577="(blank)"),"",VLOOKUP($B1577,'Email Marketing Raw Data'!$C:$O,13,0)),"")</f>
        <v/>
      </c>
      <c r="G1577" s="55" t="str">
        <f>IFERROR(IF(OR($B1577="",$B1577="(blank)"),"",VLOOKUP($B1577,'Email Marketing Raw Data'!$C:$O,4,0)),"")</f>
        <v/>
      </c>
      <c r="H1577" s="55" t="str">
        <f>IFERROR(IF(OR($B1577="",$B1577="(blank)"),"",VLOOKUP($B1577,'Email Marketing Raw Data'!$C:$O,5,0)),"")</f>
        <v/>
      </c>
      <c r="I1577" s="55" t="str">
        <f>IFERROR(IF($G1577="","",VLOOKUP('Dashboard And Emails Automate'!$G1577,Database!$H:$N,3,0)),"")</f>
        <v/>
      </c>
      <c r="J1577" s="55" t="str">
        <f>IFERROR(IF($G1577="","",VLOOKUP('Dashboard And Emails Automate'!$G1577,Database!$H:$N,4,0)),"")</f>
        <v/>
      </c>
      <c r="K1577" s="55" t="str">
        <f>IFERROR(IF($G1577="","",VLOOKUP('Dashboard And Emails Automate'!$G1577,Database!$H:$N,5,0)),"")</f>
        <v/>
      </c>
      <c r="L1577" s="55" t="str">
        <f>IFERROR(IF($G1577="","",VLOOKUP('Dashboard And Emails Automate'!$G1577,Database!$H:$N,6,0)),"")</f>
        <v/>
      </c>
      <c r="M1577" s="55" t="str">
        <f>IFERROR(IF($G1577="","",VLOOKUP('Dashboard And Emails Automate'!$G1577,Database!$H:$N,7,0)),"")</f>
        <v/>
      </c>
      <c r="N1577" s="55" t="str">
        <f>IFERROR(IF(OR($B1577="",$B1577="(blank)"),"",VLOOKUP($B1577,'Email Marketing Raw Data'!$C:$O,6,0)),"")</f>
        <v/>
      </c>
      <c r="O1577" s="55" t="str">
        <f>IFERROR(IF(OR($B1577="",$B1577="(blank)"),"",VLOOKUP($B1577,'Email Marketing Raw Data'!$C:$O,7,0)),"")</f>
        <v/>
      </c>
      <c r="P1577" s="55" t="str">
        <f>IFERROR(IF(OR($B1577="",$B1577="(blank)"),"",VLOOKUP($B1577,'Email Marketing Raw Data'!$C:$O,8,0)),"")</f>
        <v/>
      </c>
      <c r="Q1577" s="62" t="str">
        <f>IFERROR(IF(OR($B1577="",$B1577="(blank)"),"",VLOOKUP($B1577,'Email Marketing Raw Data'!$C:$O,9,0)),"")</f>
        <v/>
      </c>
    </row>
    <row r="1578" spans="4:17" ht="12.75" customHeight="1" x14ac:dyDescent="0.2">
      <c r="D1578" s="58" t="str">
        <f>IFERROR(IF(F1578&lt;&gt;"pending","",IF(OR($B1578="",$B1578="(blank)"),"",VLOOKUP($B1578,'Email Marketing Raw Data'!$C:$O,10,0))),"")</f>
        <v/>
      </c>
      <c r="E1578" s="59" t="str">
        <f>IFERROR(IF(F1578&lt;&gt;"pending","",IF(OR($B1578="",$B1578="(blank)"),"",VLOOKUP($B1578,'Email Marketing Raw Data'!$C:$O,11,0))),"")</f>
        <v/>
      </c>
      <c r="F1578" s="54" t="str">
        <f>IFERROR(IF(OR($B1578="",$B1578="(blank)"),"",VLOOKUP($B1578,'Email Marketing Raw Data'!$C:$O,13,0)),"")</f>
        <v/>
      </c>
      <c r="G1578" s="55" t="str">
        <f>IFERROR(IF(OR($B1578="",$B1578="(blank)"),"",VLOOKUP($B1578,'Email Marketing Raw Data'!$C:$O,4,0)),"")</f>
        <v/>
      </c>
      <c r="H1578" s="55" t="str">
        <f>IFERROR(IF(OR($B1578="",$B1578="(blank)"),"",VLOOKUP($B1578,'Email Marketing Raw Data'!$C:$O,5,0)),"")</f>
        <v/>
      </c>
      <c r="I1578" s="55" t="str">
        <f>IFERROR(IF($G1578="","",VLOOKUP('Dashboard And Emails Automate'!$G1578,Database!$H:$N,3,0)),"")</f>
        <v/>
      </c>
      <c r="J1578" s="55" t="str">
        <f>IFERROR(IF($G1578="","",VLOOKUP('Dashboard And Emails Automate'!$G1578,Database!$H:$N,4,0)),"")</f>
        <v/>
      </c>
      <c r="K1578" s="55" t="str">
        <f>IFERROR(IF($G1578="","",VLOOKUP('Dashboard And Emails Automate'!$G1578,Database!$H:$N,5,0)),"")</f>
        <v/>
      </c>
      <c r="L1578" s="55" t="str">
        <f>IFERROR(IF($G1578="","",VLOOKUP('Dashboard And Emails Automate'!$G1578,Database!$H:$N,6,0)),"")</f>
        <v/>
      </c>
      <c r="M1578" s="55" t="str">
        <f>IFERROR(IF($G1578="","",VLOOKUP('Dashboard And Emails Automate'!$G1578,Database!$H:$N,7,0)),"")</f>
        <v/>
      </c>
      <c r="N1578" s="55" t="str">
        <f>IFERROR(IF(OR($B1578="",$B1578="(blank)"),"",VLOOKUP($B1578,'Email Marketing Raw Data'!$C:$O,6,0)),"")</f>
        <v/>
      </c>
      <c r="O1578" s="55" t="str">
        <f>IFERROR(IF(OR($B1578="",$B1578="(blank)"),"",VLOOKUP($B1578,'Email Marketing Raw Data'!$C:$O,7,0)),"")</f>
        <v/>
      </c>
      <c r="P1578" s="55" t="str">
        <f>IFERROR(IF(OR($B1578="",$B1578="(blank)"),"",VLOOKUP($B1578,'Email Marketing Raw Data'!$C:$O,8,0)),"")</f>
        <v/>
      </c>
      <c r="Q1578" s="62" t="str">
        <f>IFERROR(IF(OR($B1578="",$B1578="(blank)"),"",VLOOKUP($B1578,'Email Marketing Raw Data'!$C:$O,9,0)),"")</f>
        <v/>
      </c>
    </row>
    <row r="1579" spans="4:17" ht="12.75" customHeight="1" x14ac:dyDescent="0.2">
      <c r="D1579" s="58" t="str">
        <f>IFERROR(IF(F1579&lt;&gt;"pending","",IF(OR($B1579="",$B1579="(blank)"),"",VLOOKUP($B1579,'Email Marketing Raw Data'!$C:$O,10,0))),"")</f>
        <v/>
      </c>
      <c r="E1579" s="59" t="str">
        <f>IFERROR(IF(F1579&lt;&gt;"pending","",IF(OR($B1579="",$B1579="(blank)"),"",VLOOKUP($B1579,'Email Marketing Raw Data'!$C:$O,11,0))),"")</f>
        <v/>
      </c>
      <c r="F1579" s="54" t="str">
        <f>IFERROR(IF(OR($B1579="",$B1579="(blank)"),"",VLOOKUP($B1579,'Email Marketing Raw Data'!$C:$O,13,0)),"")</f>
        <v/>
      </c>
      <c r="G1579" s="55" t="str">
        <f>IFERROR(IF(OR($B1579="",$B1579="(blank)"),"",VLOOKUP($B1579,'Email Marketing Raw Data'!$C:$O,4,0)),"")</f>
        <v/>
      </c>
      <c r="H1579" s="55" t="str">
        <f>IFERROR(IF(OR($B1579="",$B1579="(blank)"),"",VLOOKUP($B1579,'Email Marketing Raw Data'!$C:$O,5,0)),"")</f>
        <v/>
      </c>
      <c r="I1579" s="55" t="str">
        <f>IFERROR(IF($G1579="","",VLOOKUP('Dashboard And Emails Automate'!$G1579,Database!$H:$N,3,0)),"")</f>
        <v/>
      </c>
      <c r="J1579" s="55" t="str">
        <f>IFERROR(IF($G1579="","",VLOOKUP('Dashboard And Emails Automate'!$G1579,Database!$H:$N,4,0)),"")</f>
        <v/>
      </c>
      <c r="K1579" s="55" t="str">
        <f>IFERROR(IF($G1579="","",VLOOKUP('Dashboard And Emails Automate'!$G1579,Database!$H:$N,5,0)),"")</f>
        <v/>
      </c>
      <c r="L1579" s="55" t="str">
        <f>IFERROR(IF($G1579="","",VLOOKUP('Dashboard And Emails Automate'!$G1579,Database!$H:$N,6,0)),"")</f>
        <v/>
      </c>
      <c r="M1579" s="55" t="str">
        <f>IFERROR(IF($G1579="","",VLOOKUP('Dashboard And Emails Automate'!$G1579,Database!$H:$N,7,0)),"")</f>
        <v/>
      </c>
      <c r="N1579" s="55" t="str">
        <f>IFERROR(IF(OR($B1579="",$B1579="(blank)"),"",VLOOKUP($B1579,'Email Marketing Raw Data'!$C:$O,6,0)),"")</f>
        <v/>
      </c>
      <c r="O1579" s="55" t="str">
        <f>IFERROR(IF(OR($B1579="",$B1579="(blank)"),"",VLOOKUP($B1579,'Email Marketing Raw Data'!$C:$O,7,0)),"")</f>
        <v/>
      </c>
      <c r="P1579" s="55" t="str">
        <f>IFERROR(IF(OR($B1579="",$B1579="(blank)"),"",VLOOKUP($B1579,'Email Marketing Raw Data'!$C:$O,8,0)),"")</f>
        <v/>
      </c>
      <c r="Q1579" s="62" t="str">
        <f>IFERROR(IF(OR($B1579="",$B1579="(blank)"),"",VLOOKUP($B1579,'Email Marketing Raw Data'!$C:$O,9,0)),"")</f>
        <v/>
      </c>
    </row>
    <row r="1580" spans="4:17" ht="12.75" customHeight="1" x14ac:dyDescent="0.2">
      <c r="D1580" s="58" t="str">
        <f>IFERROR(IF(F1580&lt;&gt;"pending","",IF(OR($B1580="",$B1580="(blank)"),"",VLOOKUP($B1580,'Email Marketing Raw Data'!$C:$O,10,0))),"")</f>
        <v/>
      </c>
      <c r="E1580" s="59" t="str">
        <f>IFERROR(IF(F1580&lt;&gt;"pending","",IF(OR($B1580="",$B1580="(blank)"),"",VLOOKUP($B1580,'Email Marketing Raw Data'!$C:$O,11,0))),"")</f>
        <v/>
      </c>
      <c r="F1580" s="54" t="str">
        <f>IFERROR(IF(OR($B1580="",$B1580="(blank)"),"",VLOOKUP($B1580,'Email Marketing Raw Data'!$C:$O,13,0)),"")</f>
        <v/>
      </c>
      <c r="G1580" s="55" t="str">
        <f>IFERROR(IF(OR($B1580="",$B1580="(blank)"),"",VLOOKUP($B1580,'Email Marketing Raw Data'!$C:$O,4,0)),"")</f>
        <v/>
      </c>
      <c r="H1580" s="55" t="str">
        <f>IFERROR(IF(OR($B1580="",$B1580="(blank)"),"",VLOOKUP($B1580,'Email Marketing Raw Data'!$C:$O,5,0)),"")</f>
        <v/>
      </c>
      <c r="I1580" s="55" t="str">
        <f>IFERROR(IF($G1580="","",VLOOKUP('Dashboard And Emails Automate'!$G1580,Database!$H:$N,3,0)),"")</f>
        <v/>
      </c>
      <c r="J1580" s="55" t="str">
        <f>IFERROR(IF($G1580="","",VLOOKUP('Dashboard And Emails Automate'!$G1580,Database!$H:$N,4,0)),"")</f>
        <v/>
      </c>
      <c r="K1580" s="55" t="str">
        <f>IFERROR(IF($G1580="","",VLOOKUP('Dashboard And Emails Automate'!$G1580,Database!$H:$N,5,0)),"")</f>
        <v/>
      </c>
      <c r="L1580" s="55" t="str">
        <f>IFERROR(IF($G1580="","",VLOOKUP('Dashboard And Emails Automate'!$G1580,Database!$H:$N,6,0)),"")</f>
        <v/>
      </c>
      <c r="M1580" s="55" t="str">
        <f>IFERROR(IF($G1580="","",VLOOKUP('Dashboard And Emails Automate'!$G1580,Database!$H:$N,7,0)),"")</f>
        <v/>
      </c>
      <c r="N1580" s="55" t="str">
        <f>IFERROR(IF(OR($B1580="",$B1580="(blank)"),"",VLOOKUP($B1580,'Email Marketing Raw Data'!$C:$O,6,0)),"")</f>
        <v/>
      </c>
      <c r="O1580" s="55" t="str">
        <f>IFERROR(IF(OR($B1580="",$B1580="(blank)"),"",VLOOKUP($B1580,'Email Marketing Raw Data'!$C:$O,7,0)),"")</f>
        <v/>
      </c>
      <c r="P1580" s="55" t="str">
        <f>IFERROR(IF(OR($B1580="",$B1580="(blank)"),"",VLOOKUP($B1580,'Email Marketing Raw Data'!$C:$O,8,0)),"")</f>
        <v/>
      </c>
      <c r="Q1580" s="62" t="str">
        <f>IFERROR(IF(OR($B1580="",$B1580="(blank)"),"",VLOOKUP($B1580,'Email Marketing Raw Data'!$C:$O,9,0)),"")</f>
        <v/>
      </c>
    </row>
    <row r="1581" spans="4:17" ht="12.75" customHeight="1" x14ac:dyDescent="0.2">
      <c r="D1581" s="58" t="str">
        <f>IFERROR(IF(F1581&lt;&gt;"pending","",IF(OR($B1581="",$B1581="(blank)"),"",VLOOKUP($B1581,'Email Marketing Raw Data'!$C:$O,10,0))),"")</f>
        <v/>
      </c>
      <c r="E1581" s="59" t="str">
        <f>IFERROR(IF(F1581&lt;&gt;"pending","",IF(OR($B1581="",$B1581="(blank)"),"",VLOOKUP($B1581,'Email Marketing Raw Data'!$C:$O,11,0))),"")</f>
        <v/>
      </c>
      <c r="F1581" s="54" t="str">
        <f>IFERROR(IF(OR($B1581="",$B1581="(blank)"),"",VLOOKUP($B1581,'Email Marketing Raw Data'!$C:$O,13,0)),"")</f>
        <v/>
      </c>
      <c r="G1581" s="55" t="str">
        <f>IFERROR(IF(OR($B1581="",$B1581="(blank)"),"",VLOOKUP($B1581,'Email Marketing Raw Data'!$C:$O,4,0)),"")</f>
        <v/>
      </c>
      <c r="H1581" s="55" t="str">
        <f>IFERROR(IF(OR($B1581="",$B1581="(blank)"),"",VLOOKUP($B1581,'Email Marketing Raw Data'!$C:$O,5,0)),"")</f>
        <v/>
      </c>
      <c r="I1581" s="55" t="str">
        <f>IFERROR(IF($G1581="","",VLOOKUP('Dashboard And Emails Automate'!$G1581,Database!$H:$N,3,0)),"")</f>
        <v/>
      </c>
      <c r="J1581" s="55" t="str">
        <f>IFERROR(IF($G1581="","",VLOOKUP('Dashboard And Emails Automate'!$G1581,Database!$H:$N,4,0)),"")</f>
        <v/>
      </c>
      <c r="K1581" s="55" t="str">
        <f>IFERROR(IF($G1581="","",VLOOKUP('Dashboard And Emails Automate'!$G1581,Database!$H:$N,5,0)),"")</f>
        <v/>
      </c>
      <c r="L1581" s="55" t="str">
        <f>IFERROR(IF($G1581="","",VLOOKUP('Dashboard And Emails Automate'!$G1581,Database!$H:$N,6,0)),"")</f>
        <v/>
      </c>
      <c r="M1581" s="55" t="str">
        <f>IFERROR(IF($G1581="","",VLOOKUP('Dashboard And Emails Automate'!$G1581,Database!$H:$N,7,0)),"")</f>
        <v/>
      </c>
      <c r="N1581" s="55" t="str">
        <f>IFERROR(IF(OR($B1581="",$B1581="(blank)"),"",VLOOKUP($B1581,'Email Marketing Raw Data'!$C:$O,6,0)),"")</f>
        <v/>
      </c>
      <c r="O1581" s="55" t="str">
        <f>IFERROR(IF(OR($B1581="",$B1581="(blank)"),"",VLOOKUP($B1581,'Email Marketing Raw Data'!$C:$O,7,0)),"")</f>
        <v/>
      </c>
      <c r="P1581" s="55" t="str">
        <f>IFERROR(IF(OR($B1581="",$B1581="(blank)"),"",VLOOKUP($B1581,'Email Marketing Raw Data'!$C:$O,8,0)),"")</f>
        <v/>
      </c>
      <c r="Q1581" s="62" t="str">
        <f>IFERROR(IF(OR($B1581="",$B1581="(blank)"),"",VLOOKUP($B1581,'Email Marketing Raw Data'!$C:$O,9,0)),"")</f>
        <v/>
      </c>
    </row>
    <row r="1582" spans="4:17" ht="12.75" customHeight="1" x14ac:dyDescent="0.2">
      <c r="D1582" s="58" t="str">
        <f>IFERROR(IF(F1582&lt;&gt;"pending","",IF(OR($B1582="",$B1582="(blank)"),"",VLOOKUP($B1582,'Email Marketing Raw Data'!$C:$O,10,0))),"")</f>
        <v/>
      </c>
      <c r="E1582" s="59" t="str">
        <f>IFERROR(IF(F1582&lt;&gt;"pending","",IF(OR($B1582="",$B1582="(blank)"),"",VLOOKUP($B1582,'Email Marketing Raw Data'!$C:$O,11,0))),"")</f>
        <v/>
      </c>
      <c r="F1582" s="54" t="str">
        <f>IFERROR(IF(OR($B1582="",$B1582="(blank)"),"",VLOOKUP($B1582,'Email Marketing Raw Data'!$C:$O,13,0)),"")</f>
        <v/>
      </c>
      <c r="G1582" s="55" t="str">
        <f>IFERROR(IF(OR($B1582="",$B1582="(blank)"),"",VLOOKUP($B1582,'Email Marketing Raw Data'!$C:$O,4,0)),"")</f>
        <v/>
      </c>
      <c r="H1582" s="55" t="str">
        <f>IFERROR(IF(OR($B1582="",$B1582="(blank)"),"",VLOOKUP($B1582,'Email Marketing Raw Data'!$C:$O,5,0)),"")</f>
        <v/>
      </c>
      <c r="I1582" s="55" t="str">
        <f>IFERROR(IF($G1582="","",VLOOKUP('Dashboard And Emails Automate'!$G1582,Database!$H:$N,3,0)),"")</f>
        <v/>
      </c>
      <c r="J1582" s="55" t="str">
        <f>IFERROR(IF($G1582="","",VLOOKUP('Dashboard And Emails Automate'!$G1582,Database!$H:$N,4,0)),"")</f>
        <v/>
      </c>
      <c r="K1582" s="55" t="str">
        <f>IFERROR(IF($G1582="","",VLOOKUP('Dashboard And Emails Automate'!$G1582,Database!$H:$N,5,0)),"")</f>
        <v/>
      </c>
      <c r="L1582" s="55" t="str">
        <f>IFERROR(IF($G1582="","",VLOOKUP('Dashboard And Emails Automate'!$G1582,Database!$H:$N,6,0)),"")</f>
        <v/>
      </c>
      <c r="M1582" s="55" t="str">
        <f>IFERROR(IF($G1582="","",VLOOKUP('Dashboard And Emails Automate'!$G1582,Database!$H:$N,7,0)),"")</f>
        <v/>
      </c>
      <c r="N1582" s="55" t="str">
        <f>IFERROR(IF(OR($B1582="",$B1582="(blank)"),"",VLOOKUP($B1582,'Email Marketing Raw Data'!$C:$O,6,0)),"")</f>
        <v/>
      </c>
      <c r="O1582" s="55" t="str">
        <f>IFERROR(IF(OR($B1582="",$B1582="(blank)"),"",VLOOKUP($B1582,'Email Marketing Raw Data'!$C:$O,7,0)),"")</f>
        <v/>
      </c>
      <c r="P1582" s="55" t="str">
        <f>IFERROR(IF(OR($B1582="",$B1582="(blank)"),"",VLOOKUP($B1582,'Email Marketing Raw Data'!$C:$O,8,0)),"")</f>
        <v/>
      </c>
      <c r="Q1582" s="62" t="str">
        <f>IFERROR(IF(OR($B1582="",$B1582="(blank)"),"",VLOOKUP($B1582,'Email Marketing Raw Data'!$C:$O,9,0)),"")</f>
        <v/>
      </c>
    </row>
    <row r="1583" spans="4:17" ht="12.75" customHeight="1" x14ac:dyDescent="0.2">
      <c r="D1583" s="58" t="str">
        <f>IFERROR(IF(F1583&lt;&gt;"pending","",IF(OR($B1583="",$B1583="(blank)"),"",VLOOKUP($B1583,'Email Marketing Raw Data'!$C:$O,10,0))),"")</f>
        <v/>
      </c>
      <c r="E1583" s="59" t="str">
        <f>IFERROR(IF(F1583&lt;&gt;"pending","",IF(OR($B1583="",$B1583="(blank)"),"",VLOOKUP($B1583,'Email Marketing Raw Data'!$C:$O,11,0))),"")</f>
        <v/>
      </c>
      <c r="F1583" s="54" t="str">
        <f>IFERROR(IF(OR($B1583="",$B1583="(blank)"),"",VLOOKUP($B1583,'Email Marketing Raw Data'!$C:$O,13,0)),"")</f>
        <v/>
      </c>
      <c r="G1583" s="55" t="str">
        <f>IFERROR(IF(OR($B1583="",$B1583="(blank)"),"",VLOOKUP($B1583,'Email Marketing Raw Data'!$C:$O,4,0)),"")</f>
        <v/>
      </c>
      <c r="H1583" s="55" t="str">
        <f>IFERROR(IF(OR($B1583="",$B1583="(blank)"),"",VLOOKUP($B1583,'Email Marketing Raw Data'!$C:$O,5,0)),"")</f>
        <v/>
      </c>
      <c r="I1583" s="55" t="str">
        <f>IFERROR(IF($G1583="","",VLOOKUP('Dashboard And Emails Automate'!$G1583,Database!$H:$N,3,0)),"")</f>
        <v/>
      </c>
      <c r="J1583" s="55" t="str">
        <f>IFERROR(IF($G1583="","",VLOOKUP('Dashboard And Emails Automate'!$G1583,Database!$H:$N,4,0)),"")</f>
        <v/>
      </c>
      <c r="K1583" s="55" t="str">
        <f>IFERROR(IF($G1583="","",VLOOKUP('Dashboard And Emails Automate'!$G1583,Database!$H:$N,5,0)),"")</f>
        <v/>
      </c>
      <c r="L1583" s="55" t="str">
        <f>IFERROR(IF($G1583="","",VLOOKUP('Dashboard And Emails Automate'!$G1583,Database!$H:$N,6,0)),"")</f>
        <v/>
      </c>
      <c r="M1583" s="55" t="str">
        <f>IFERROR(IF($G1583="","",VLOOKUP('Dashboard And Emails Automate'!$G1583,Database!$H:$N,7,0)),"")</f>
        <v/>
      </c>
      <c r="N1583" s="55" t="str">
        <f>IFERROR(IF(OR($B1583="",$B1583="(blank)"),"",VLOOKUP($B1583,'Email Marketing Raw Data'!$C:$O,6,0)),"")</f>
        <v/>
      </c>
      <c r="O1583" s="55" t="str">
        <f>IFERROR(IF(OR($B1583="",$B1583="(blank)"),"",VLOOKUP($B1583,'Email Marketing Raw Data'!$C:$O,7,0)),"")</f>
        <v/>
      </c>
      <c r="P1583" s="55" t="str">
        <f>IFERROR(IF(OR($B1583="",$B1583="(blank)"),"",VLOOKUP($B1583,'Email Marketing Raw Data'!$C:$O,8,0)),"")</f>
        <v/>
      </c>
      <c r="Q1583" s="62" t="str">
        <f>IFERROR(IF(OR($B1583="",$B1583="(blank)"),"",VLOOKUP($B1583,'Email Marketing Raw Data'!$C:$O,9,0)),"")</f>
        <v/>
      </c>
    </row>
    <row r="1584" spans="4:17" ht="12.75" customHeight="1" x14ac:dyDescent="0.2">
      <c r="D1584" s="58" t="str">
        <f>IFERROR(IF(F1584&lt;&gt;"pending","",IF(OR($B1584="",$B1584="(blank)"),"",VLOOKUP($B1584,'Email Marketing Raw Data'!$C:$O,10,0))),"")</f>
        <v/>
      </c>
      <c r="E1584" s="59" t="str">
        <f>IFERROR(IF(F1584&lt;&gt;"pending","",IF(OR($B1584="",$B1584="(blank)"),"",VLOOKUP($B1584,'Email Marketing Raw Data'!$C:$O,11,0))),"")</f>
        <v/>
      </c>
      <c r="F1584" s="54" t="str">
        <f>IFERROR(IF(OR($B1584="",$B1584="(blank)"),"",VLOOKUP($B1584,'Email Marketing Raw Data'!$C:$O,13,0)),"")</f>
        <v/>
      </c>
      <c r="G1584" s="55" t="str">
        <f>IFERROR(IF(OR($B1584="",$B1584="(blank)"),"",VLOOKUP($B1584,'Email Marketing Raw Data'!$C:$O,4,0)),"")</f>
        <v/>
      </c>
      <c r="H1584" s="55" t="str">
        <f>IFERROR(IF(OR($B1584="",$B1584="(blank)"),"",VLOOKUP($B1584,'Email Marketing Raw Data'!$C:$O,5,0)),"")</f>
        <v/>
      </c>
      <c r="I1584" s="55" t="str">
        <f>IFERROR(IF($G1584="","",VLOOKUP('Dashboard And Emails Automate'!$G1584,Database!$H:$N,3,0)),"")</f>
        <v/>
      </c>
      <c r="J1584" s="55" t="str">
        <f>IFERROR(IF($G1584="","",VLOOKUP('Dashboard And Emails Automate'!$G1584,Database!$H:$N,4,0)),"")</f>
        <v/>
      </c>
      <c r="K1584" s="55" t="str">
        <f>IFERROR(IF($G1584="","",VLOOKUP('Dashboard And Emails Automate'!$G1584,Database!$H:$N,5,0)),"")</f>
        <v/>
      </c>
      <c r="L1584" s="55" t="str">
        <f>IFERROR(IF($G1584="","",VLOOKUP('Dashboard And Emails Automate'!$G1584,Database!$H:$N,6,0)),"")</f>
        <v/>
      </c>
      <c r="M1584" s="55" t="str">
        <f>IFERROR(IF($G1584="","",VLOOKUP('Dashboard And Emails Automate'!$G1584,Database!$H:$N,7,0)),"")</f>
        <v/>
      </c>
      <c r="N1584" s="55" t="str">
        <f>IFERROR(IF(OR($B1584="",$B1584="(blank)"),"",VLOOKUP($B1584,'Email Marketing Raw Data'!$C:$O,6,0)),"")</f>
        <v/>
      </c>
      <c r="O1584" s="55" t="str">
        <f>IFERROR(IF(OR($B1584="",$B1584="(blank)"),"",VLOOKUP($B1584,'Email Marketing Raw Data'!$C:$O,7,0)),"")</f>
        <v/>
      </c>
      <c r="P1584" s="55" t="str">
        <f>IFERROR(IF(OR($B1584="",$B1584="(blank)"),"",VLOOKUP($B1584,'Email Marketing Raw Data'!$C:$O,8,0)),"")</f>
        <v/>
      </c>
      <c r="Q1584" s="62" t="str">
        <f>IFERROR(IF(OR($B1584="",$B1584="(blank)"),"",VLOOKUP($B1584,'Email Marketing Raw Data'!$C:$O,9,0)),"")</f>
        <v/>
      </c>
    </row>
    <row r="1585" spans="4:17" ht="12.75" customHeight="1" x14ac:dyDescent="0.2">
      <c r="D1585" s="58" t="str">
        <f>IFERROR(IF(F1585&lt;&gt;"pending","",IF(OR($B1585="",$B1585="(blank)"),"",VLOOKUP($B1585,'Email Marketing Raw Data'!$C:$O,10,0))),"")</f>
        <v/>
      </c>
      <c r="E1585" s="59" t="str">
        <f>IFERROR(IF(F1585&lt;&gt;"pending","",IF(OR($B1585="",$B1585="(blank)"),"",VLOOKUP($B1585,'Email Marketing Raw Data'!$C:$O,11,0))),"")</f>
        <v/>
      </c>
      <c r="F1585" s="54" t="str">
        <f>IFERROR(IF(OR($B1585="",$B1585="(blank)"),"",VLOOKUP($B1585,'Email Marketing Raw Data'!$C:$O,13,0)),"")</f>
        <v/>
      </c>
      <c r="G1585" s="55" t="str">
        <f>IFERROR(IF(OR($B1585="",$B1585="(blank)"),"",VLOOKUP($B1585,'Email Marketing Raw Data'!$C:$O,4,0)),"")</f>
        <v/>
      </c>
      <c r="H1585" s="55" t="str">
        <f>IFERROR(IF(OR($B1585="",$B1585="(blank)"),"",VLOOKUP($B1585,'Email Marketing Raw Data'!$C:$O,5,0)),"")</f>
        <v/>
      </c>
      <c r="I1585" s="55" t="str">
        <f>IFERROR(IF($G1585="","",VLOOKUP('Dashboard And Emails Automate'!$G1585,Database!$H:$N,3,0)),"")</f>
        <v/>
      </c>
      <c r="J1585" s="55" t="str">
        <f>IFERROR(IF($G1585="","",VLOOKUP('Dashboard And Emails Automate'!$G1585,Database!$H:$N,4,0)),"")</f>
        <v/>
      </c>
      <c r="K1585" s="55" t="str">
        <f>IFERROR(IF($G1585="","",VLOOKUP('Dashboard And Emails Automate'!$G1585,Database!$H:$N,5,0)),"")</f>
        <v/>
      </c>
      <c r="L1585" s="55" t="str">
        <f>IFERROR(IF($G1585="","",VLOOKUP('Dashboard And Emails Automate'!$G1585,Database!$H:$N,6,0)),"")</f>
        <v/>
      </c>
      <c r="M1585" s="55" t="str">
        <f>IFERROR(IF($G1585="","",VLOOKUP('Dashboard And Emails Automate'!$G1585,Database!$H:$N,7,0)),"")</f>
        <v/>
      </c>
      <c r="N1585" s="55" t="str">
        <f>IFERROR(IF(OR($B1585="",$B1585="(blank)"),"",VLOOKUP($B1585,'Email Marketing Raw Data'!$C:$O,6,0)),"")</f>
        <v/>
      </c>
      <c r="O1585" s="55" t="str">
        <f>IFERROR(IF(OR($B1585="",$B1585="(blank)"),"",VLOOKUP($B1585,'Email Marketing Raw Data'!$C:$O,7,0)),"")</f>
        <v/>
      </c>
      <c r="P1585" s="55" t="str">
        <f>IFERROR(IF(OR($B1585="",$B1585="(blank)"),"",VLOOKUP($B1585,'Email Marketing Raw Data'!$C:$O,8,0)),"")</f>
        <v/>
      </c>
      <c r="Q1585" s="62" t="str">
        <f>IFERROR(IF(OR($B1585="",$B1585="(blank)"),"",VLOOKUP($B1585,'Email Marketing Raw Data'!$C:$O,9,0)),"")</f>
        <v/>
      </c>
    </row>
    <row r="1586" spans="4:17" ht="12.75" customHeight="1" x14ac:dyDescent="0.2">
      <c r="D1586" s="58" t="str">
        <f>IFERROR(IF(F1586&lt;&gt;"pending","",IF(OR($B1586="",$B1586="(blank)"),"",VLOOKUP($B1586,'Email Marketing Raw Data'!$C:$O,10,0))),"")</f>
        <v/>
      </c>
      <c r="E1586" s="59" t="str">
        <f>IFERROR(IF(F1586&lt;&gt;"pending","",IF(OR($B1586="",$B1586="(blank)"),"",VLOOKUP($B1586,'Email Marketing Raw Data'!$C:$O,11,0))),"")</f>
        <v/>
      </c>
      <c r="F1586" s="54" t="str">
        <f>IFERROR(IF(OR($B1586="",$B1586="(blank)"),"",VLOOKUP($B1586,'Email Marketing Raw Data'!$C:$O,13,0)),"")</f>
        <v/>
      </c>
      <c r="G1586" s="55" t="str">
        <f>IFERROR(IF(OR($B1586="",$B1586="(blank)"),"",VLOOKUP($B1586,'Email Marketing Raw Data'!$C:$O,4,0)),"")</f>
        <v/>
      </c>
      <c r="H1586" s="55" t="str">
        <f>IFERROR(IF(OR($B1586="",$B1586="(blank)"),"",VLOOKUP($B1586,'Email Marketing Raw Data'!$C:$O,5,0)),"")</f>
        <v/>
      </c>
      <c r="I1586" s="55" t="str">
        <f>IFERROR(IF($G1586="","",VLOOKUP('Dashboard And Emails Automate'!$G1586,Database!$H:$N,3,0)),"")</f>
        <v/>
      </c>
      <c r="J1586" s="55" t="str">
        <f>IFERROR(IF($G1586="","",VLOOKUP('Dashboard And Emails Automate'!$G1586,Database!$H:$N,4,0)),"")</f>
        <v/>
      </c>
      <c r="K1586" s="55" t="str">
        <f>IFERROR(IF($G1586="","",VLOOKUP('Dashboard And Emails Automate'!$G1586,Database!$H:$N,5,0)),"")</f>
        <v/>
      </c>
      <c r="L1586" s="55" t="str">
        <f>IFERROR(IF($G1586="","",VLOOKUP('Dashboard And Emails Automate'!$G1586,Database!$H:$N,6,0)),"")</f>
        <v/>
      </c>
      <c r="M1586" s="55" t="str">
        <f>IFERROR(IF($G1586="","",VLOOKUP('Dashboard And Emails Automate'!$G1586,Database!$H:$N,7,0)),"")</f>
        <v/>
      </c>
      <c r="N1586" s="55" t="str">
        <f>IFERROR(IF(OR($B1586="",$B1586="(blank)"),"",VLOOKUP($B1586,'Email Marketing Raw Data'!$C:$O,6,0)),"")</f>
        <v/>
      </c>
      <c r="O1586" s="55" t="str">
        <f>IFERROR(IF(OR($B1586="",$B1586="(blank)"),"",VLOOKUP($B1586,'Email Marketing Raw Data'!$C:$O,7,0)),"")</f>
        <v/>
      </c>
      <c r="P1586" s="55" t="str">
        <f>IFERROR(IF(OR($B1586="",$B1586="(blank)"),"",VLOOKUP($B1586,'Email Marketing Raw Data'!$C:$O,8,0)),"")</f>
        <v/>
      </c>
      <c r="Q1586" s="62" t="str">
        <f>IFERROR(IF(OR($B1586="",$B1586="(blank)"),"",VLOOKUP($B1586,'Email Marketing Raw Data'!$C:$O,9,0)),"")</f>
        <v/>
      </c>
    </row>
    <row r="1587" spans="4:17" ht="12.75" customHeight="1" x14ac:dyDescent="0.2">
      <c r="D1587" s="58" t="str">
        <f>IFERROR(IF(F1587&lt;&gt;"pending","",IF(OR($B1587="",$B1587="(blank)"),"",VLOOKUP($B1587,'Email Marketing Raw Data'!$C:$O,10,0))),"")</f>
        <v/>
      </c>
      <c r="E1587" s="59" t="str">
        <f>IFERROR(IF(F1587&lt;&gt;"pending","",IF(OR($B1587="",$B1587="(blank)"),"",VLOOKUP($B1587,'Email Marketing Raw Data'!$C:$O,11,0))),"")</f>
        <v/>
      </c>
      <c r="F1587" s="54" t="str">
        <f>IFERROR(IF(OR($B1587="",$B1587="(blank)"),"",VLOOKUP($B1587,'Email Marketing Raw Data'!$C:$O,13,0)),"")</f>
        <v/>
      </c>
      <c r="G1587" s="55" t="str">
        <f>IFERROR(IF(OR($B1587="",$B1587="(blank)"),"",VLOOKUP($B1587,'Email Marketing Raw Data'!$C:$O,4,0)),"")</f>
        <v/>
      </c>
      <c r="H1587" s="55" t="str">
        <f>IFERROR(IF(OR($B1587="",$B1587="(blank)"),"",VLOOKUP($B1587,'Email Marketing Raw Data'!$C:$O,5,0)),"")</f>
        <v/>
      </c>
      <c r="I1587" s="55" t="str">
        <f>IFERROR(IF($G1587="","",VLOOKUP('Dashboard And Emails Automate'!$G1587,Database!$H:$N,3,0)),"")</f>
        <v/>
      </c>
      <c r="J1587" s="55" t="str">
        <f>IFERROR(IF($G1587="","",VLOOKUP('Dashboard And Emails Automate'!$G1587,Database!$H:$N,4,0)),"")</f>
        <v/>
      </c>
      <c r="K1587" s="55" t="str">
        <f>IFERROR(IF($G1587="","",VLOOKUP('Dashboard And Emails Automate'!$G1587,Database!$H:$N,5,0)),"")</f>
        <v/>
      </c>
      <c r="L1587" s="55" t="str">
        <f>IFERROR(IF($G1587="","",VLOOKUP('Dashboard And Emails Automate'!$G1587,Database!$H:$N,6,0)),"")</f>
        <v/>
      </c>
      <c r="M1587" s="55" t="str">
        <f>IFERROR(IF($G1587="","",VLOOKUP('Dashboard And Emails Automate'!$G1587,Database!$H:$N,7,0)),"")</f>
        <v/>
      </c>
      <c r="N1587" s="55" t="str">
        <f>IFERROR(IF(OR($B1587="",$B1587="(blank)"),"",VLOOKUP($B1587,'Email Marketing Raw Data'!$C:$O,6,0)),"")</f>
        <v/>
      </c>
      <c r="O1587" s="55" t="str">
        <f>IFERROR(IF(OR($B1587="",$B1587="(blank)"),"",VLOOKUP($B1587,'Email Marketing Raw Data'!$C:$O,7,0)),"")</f>
        <v/>
      </c>
      <c r="P1587" s="55" t="str">
        <f>IFERROR(IF(OR($B1587="",$B1587="(blank)"),"",VLOOKUP($B1587,'Email Marketing Raw Data'!$C:$O,8,0)),"")</f>
        <v/>
      </c>
      <c r="Q1587" s="62" t="str">
        <f>IFERROR(IF(OR($B1587="",$B1587="(blank)"),"",VLOOKUP($B1587,'Email Marketing Raw Data'!$C:$O,9,0)),"")</f>
        <v/>
      </c>
    </row>
    <row r="1588" spans="4:17" ht="12.75" customHeight="1" x14ac:dyDescent="0.2">
      <c r="D1588" s="58" t="str">
        <f>IFERROR(IF(F1588&lt;&gt;"pending","",IF(OR($B1588="",$B1588="(blank)"),"",VLOOKUP($B1588,'Email Marketing Raw Data'!$C:$O,10,0))),"")</f>
        <v/>
      </c>
      <c r="E1588" s="59" t="str">
        <f>IFERROR(IF(F1588&lt;&gt;"pending","",IF(OR($B1588="",$B1588="(blank)"),"",VLOOKUP($B1588,'Email Marketing Raw Data'!$C:$O,11,0))),"")</f>
        <v/>
      </c>
      <c r="F1588" s="54" t="str">
        <f>IFERROR(IF(OR($B1588="",$B1588="(blank)"),"",VLOOKUP($B1588,'Email Marketing Raw Data'!$C:$O,13,0)),"")</f>
        <v/>
      </c>
      <c r="G1588" s="55" t="str">
        <f>IFERROR(IF(OR($B1588="",$B1588="(blank)"),"",VLOOKUP($B1588,'Email Marketing Raw Data'!$C:$O,4,0)),"")</f>
        <v/>
      </c>
      <c r="H1588" s="55" t="str">
        <f>IFERROR(IF(OR($B1588="",$B1588="(blank)"),"",VLOOKUP($B1588,'Email Marketing Raw Data'!$C:$O,5,0)),"")</f>
        <v/>
      </c>
      <c r="I1588" s="55" t="str">
        <f>IFERROR(IF($G1588="","",VLOOKUP('Dashboard And Emails Automate'!$G1588,Database!$H:$N,3,0)),"")</f>
        <v/>
      </c>
      <c r="J1588" s="55" t="str">
        <f>IFERROR(IF($G1588="","",VLOOKUP('Dashboard And Emails Automate'!$G1588,Database!$H:$N,4,0)),"")</f>
        <v/>
      </c>
      <c r="K1588" s="55" t="str">
        <f>IFERROR(IF($G1588="","",VLOOKUP('Dashboard And Emails Automate'!$G1588,Database!$H:$N,5,0)),"")</f>
        <v/>
      </c>
      <c r="L1588" s="55" t="str">
        <f>IFERROR(IF($G1588="","",VLOOKUP('Dashboard And Emails Automate'!$G1588,Database!$H:$N,6,0)),"")</f>
        <v/>
      </c>
      <c r="M1588" s="55" t="str">
        <f>IFERROR(IF($G1588="","",VLOOKUP('Dashboard And Emails Automate'!$G1588,Database!$H:$N,7,0)),"")</f>
        <v/>
      </c>
      <c r="N1588" s="55" t="str">
        <f>IFERROR(IF(OR($B1588="",$B1588="(blank)"),"",VLOOKUP($B1588,'Email Marketing Raw Data'!$C:$O,6,0)),"")</f>
        <v/>
      </c>
      <c r="O1588" s="55" t="str">
        <f>IFERROR(IF(OR($B1588="",$B1588="(blank)"),"",VLOOKUP($B1588,'Email Marketing Raw Data'!$C:$O,7,0)),"")</f>
        <v/>
      </c>
      <c r="P1588" s="55" t="str">
        <f>IFERROR(IF(OR($B1588="",$B1588="(blank)"),"",VLOOKUP($B1588,'Email Marketing Raw Data'!$C:$O,8,0)),"")</f>
        <v/>
      </c>
      <c r="Q1588" s="62" t="str">
        <f>IFERROR(IF(OR($B1588="",$B1588="(blank)"),"",VLOOKUP($B1588,'Email Marketing Raw Data'!$C:$O,9,0)),"")</f>
        <v/>
      </c>
    </row>
    <row r="1589" spans="4:17" ht="12.75" customHeight="1" x14ac:dyDescent="0.2">
      <c r="D1589" s="58" t="str">
        <f>IFERROR(IF(F1589&lt;&gt;"pending","",IF(OR($B1589="",$B1589="(blank)"),"",VLOOKUP($B1589,'Email Marketing Raw Data'!$C:$O,10,0))),"")</f>
        <v/>
      </c>
      <c r="E1589" s="59" t="str">
        <f>IFERROR(IF(F1589&lt;&gt;"pending","",IF(OR($B1589="",$B1589="(blank)"),"",VLOOKUP($B1589,'Email Marketing Raw Data'!$C:$O,11,0))),"")</f>
        <v/>
      </c>
      <c r="F1589" s="54" t="str">
        <f>IFERROR(IF(OR($B1589="",$B1589="(blank)"),"",VLOOKUP($B1589,'Email Marketing Raw Data'!$C:$O,13,0)),"")</f>
        <v/>
      </c>
      <c r="G1589" s="55" t="str">
        <f>IFERROR(IF(OR($B1589="",$B1589="(blank)"),"",VLOOKUP($B1589,'Email Marketing Raw Data'!$C:$O,4,0)),"")</f>
        <v/>
      </c>
      <c r="H1589" s="55" t="str">
        <f>IFERROR(IF(OR($B1589="",$B1589="(blank)"),"",VLOOKUP($B1589,'Email Marketing Raw Data'!$C:$O,5,0)),"")</f>
        <v/>
      </c>
      <c r="I1589" s="55" t="str">
        <f>IFERROR(IF($G1589="","",VLOOKUP('Dashboard And Emails Automate'!$G1589,Database!$H:$N,3,0)),"")</f>
        <v/>
      </c>
      <c r="J1589" s="55" t="str">
        <f>IFERROR(IF($G1589="","",VLOOKUP('Dashboard And Emails Automate'!$G1589,Database!$H:$N,4,0)),"")</f>
        <v/>
      </c>
      <c r="K1589" s="55" t="str">
        <f>IFERROR(IF($G1589="","",VLOOKUP('Dashboard And Emails Automate'!$G1589,Database!$H:$N,5,0)),"")</f>
        <v/>
      </c>
      <c r="L1589" s="55" t="str">
        <f>IFERROR(IF($G1589="","",VLOOKUP('Dashboard And Emails Automate'!$G1589,Database!$H:$N,6,0)),"")</f>
        <v/>
      </c>
      <c r="M1589" s="55" t="str">
        <f>IFERROR(IF($G1589="","",VLOOKUP('Dashboard And Emails Automate'!$G1589,Database!$H:$N,7,0)),"")</f>
        <v/>
      </c>
      <c r="N1589" s="55" t="str">
        <f>IFERROR(IF(OR($B1589="",$B1589="(blank)"),"",VLOOKUP($B1589,'Email Marketing Raw Data'!$C:$O,6,0)),"")</f>
        <v/>
      </c>
      <c r="O1589" s="55" t="str">
        <f>IFERROR(IF(OR($B1589="",$B1589="(blank)"),"",VLOOKUP($B1589,'Email Marketing Raw Data'!$C:$O,7,0)),"")</f>
        <v/>
      </c>
      <c r="P1589" s="55" t="str">
        <f>IFERROR(IF(OR($B1589="",$B1589="(blank)"),"",VLOOKUP($B1589,'Email Marketing Raw Data'!$C:$O,8,0)),"")</f>
        <v/>
      </c>
      <c r="Q1589" s="62" t="str">
        <f>IFERROR(IF(OR($B1589="",$B1589="(blank)"),"",VLOOKUP($B1589,'Email Marketing Raw Data'!$C:$O,9,0)),"")</f>
        <v/>
      </c>
    </row>
    <row r="1590" spans="4:17" ht="12.75" customHeight="1" x14ac:dyDescent="0.2">
      <c r="D1590" s="58" t="str">
        <f>IFERROR(IF(F1590&lt;&gt;"pending","",IF(OR($B1590="",$B1590="(blank)"),"",VLOOKUP($B1590,'Email Marketing Raw Data'!$C:$O,10,0))),"")</f>
        <v/>
      </c>
      <c r="E1590" s="59" t="str">
        <f>IFERROR(IF(F1590&lt;&gt;"pending","",IF(OR($B1590="",$B1590="(blank)"),"",VLOOKUP($B1590,'Email Marketing Raw Data'!$C:$O,11,0))),"")</f>
        <v/>
      </c>
      <c r="F1590" s="54" t="str">
        <f>IFERROR(IF(OR($B1590="",$B1590="(blank)"),"",VLOOKUP($B1590,'Email Marketing Raw Data'!$C:$O,13,0)),"")</f>
        <v/>
      </c>
      <c r="G1590" s="55" t="str">
        <f>IFERROR(IF(OR($B1590="",$B1590="(blank)"),"",VLOOKUP($B1590,'Email Marketing Raw Data'!$C:$O,4,0)),"")</f>
        <v/>
      </c>
      <c r="H1590" s="55" t="str">
        <f>IFERROR(IF(OR($B1590="",$B1590="(blank)"),"",VLOOKUP($B1590,'Email Marketing Raw Data'!$C:$O,5,0)),"")</f>
        <v/>
      </c>
      <c r="I1590" s="55" t="str">
        <f>IFERROR(IF($G1590="","",VLOOKUP('Dashboard And Emails Automate'!$G1590,Database!$H:$N,3,0)),"")</f>
        <v/>
      </c>
      <c r="J1590" s="55" t="str">
        <f>IFERROR(IF($G1590="","",VLOOKUP('Dashboard And Emails Automate'!$G1590,Database!$H:$N,4,0)),"")</f>
        <v/>
      </c>
      <c r="K1590" s="55" t="str">
        <f>IFERROR(IF($G1590="","",VLOOKUP('Dashboard And Emails Automate'!$G1590,Database!$H:$N,5,0)),"")</f>
        <v/>
      </c>
      <c r="L1590" s="55" t="str">
        <f>IFERROR(IF($G1590="","",VLOOKUP('Dashboard And Emails Automate'!$G1590,Database!$H:$N,6,0)),"")</f>
        <v/>
      </c>
      <c r="M1590" s="55" t="str">
        <f>IFERROR(IF($G1590="","",VLOOKUP('Dashboard And Emails Automate'!$G1590,Database!$H:$N,7,0)),"")</f>
        <v/>
      </c>
      <c r="N1590" s="55" t="str">
        <f>IFERROR(IF(OR($B1590="",$B1590="(blank)"),"",VLOOKUP($B1590,'Email Marketing Raw Data'!$C:$O,6,0)),"")</f>
        <v/>
      </c>
      <c r="O1590" s="55" t="str">
        <f>IFERROR(IF(OR($B1590="",$B1590="(blank)"),"",VLOOKUP($B1590,'Email Marketing Raw Data'!$C:$O,7,0)),"")</f>
        <v/>
      </c>
      <c r="P1590" s="55" t="str">
        <f>IFERROR(IF(OR($B1590="",$B1590="(blank)"),"",VLOOKUP($B1590,'Email Marketing Raw Data'!$C:$O,8,0)),"")</f>
        <v/>
      </c>
      <c r="Q1590" s="62" t="str">
        <f>IFERROR(IF(OR($B1590="",$B1590="(blank)"),"",VLOOKUP($B1590,'Email Marketing Raw Data'!$C:$O,9,0)),"")</f>
        <v/>
      </c>
    </row>
    <row r="1591" spans="4:17" ht="12.75" customHeight="1" x14ac:dyDescent="0.2">
      <c r="D1591" s="58" t="str">
        <f>IFERROR(IF(F1591&lt;&gt;"pending","",IF(OR($B1591="",$B1591="(blank)"),"",VLOOKUP($B1591,'Email Marketing Raw Data'!$C:$O,10,0))),"")</f>
        <v/>
      </c>
      <c r="E1591" s="59" t="str">
        <f>IFERROR(IF(F1591&lt;&gt;"pending","",IF(OR($B1591="",$B1591="(blank)"),"",VLOOKUP($B1591,'Email Marketing Raw Data'!$C:$O,11,0))),"")</f>
        <v/>
      </c>
      <c r="F1591" s="54" t="str">
        <f>IFERROR(IF(OR($B1591="",$B1591="(blank)"),"",VLOOKUP($B1591,'Email Marketing Raw Data'!$C:$O,13,0)),"")</f>
        <v/>
      </c>
      <c r="G1591" s="55" t="str">
        <f>IFERROR(IF(OR($B1591="",$B1591="(blank)"),"",VLOOKUP($B1591,'Email Marketing Raw Data'!$C:$O,4,0)),"")</f>
        <v/>
      </c>
      <c r="H1591" s="55" t="str">
        <f>IFERROR(IF(OR($B1591="",$B1591="(blank)"),"",VLOOKUP($B1591,'Email Marketing Raw Data'!$C:$O,5,0)),"")</f>
        <v/>
      </c>
      <c r="I1591" s="55" t="str">
        <f>IFERROR(IF($G1591="","",VLOOKUP('Dashboard And Emails Automate'!$G1591,Database!$H:$N,3,0)),"")</f>
        <v/>
      </c>
      <c r="J1591" s="55" t="str">
        <f>IFERROR(IF($G1591="","",VLOOKUP('Dashboard And Emails Automate'!$G1591,Database!$H:$N,4,0)),"")</f>
        <v/>
      </c>
      <c r="K1591" s="55" t="str">
        <f>IFERROR(IF($G1591="","",VLOOKUP('Dashboard And Emails Automate'!$G1591,Database!$H:$N,5,0)),"")</f>
        <v/>
      </c>
      <c r="L1591" s="55" t="str">
        <f>IFERROR(IF($G1591="","",VLOOKUP('Dashboard And Emails Automate'!$G1591,Database!$H:$N,6,0)),"")</f>
        <v/>
      </c>
      <c r="M1591" s="55" t="str">
        <f>IFERROR(IF($G1591="","",VLOOKUP('Dashboard And Emails Automate'!$G1591,Database!$H:$N,7,0)),"")</f>
        <v/>
      </c>
      <c r="N1591" s="55" t="str">
        <f>IFERROR(IF(OR($B1591="",$B1591="(blank)"),"",VLOOKUP($B1591,'Email Marketing Raw Data'!$C:$O,6,0)),"")</f>
        <v/>
      </c>
      <c r="O1591" s="55" t="str">
        <f>IFERROR(IF(OR($B1591="",$B1591="(blank)"),"",VLOOKUP($B1591,'Email Marketing Raw Data'!$C:$O,7,0)),"")</f>
        <v/>
      </c>
      <c r="P1591" s="55" t="str">
        <f>IFERROR(IF(OR($B1591="",$B1591="(blank)"),"",VLOOKUP($B1591,'Email Marketing Raw Data'!$C:$O,8,0)),"")</f>
        <v/>
      </c>
      <c r="Q1591" s="62" t="str">
        <f>IFERROR(IF(OR($B1591="",$B1591="(blank)"),"",VLOOKUP($B1591,'Email Marketing Raw Data'!$C:$O,9,0)),"")</f>
        <v/>
      </c>
    </row>
    <row r="1592" spans="4:17" ht="12.75" customHeight="1" x14ac:dyDescent="0.2">
      <c r="D1592" s="58" t="str">
        <f>IFERROR(IF(F1592&lt;&gt;"pending","",IF(OR($B1592="",$B1592="(blank)"),"",VLOOKUP($B1592,'Email Marketing Raw Data'!$C:$O,10,0))),"")</f>
        <v/>
      </c>
      <c r="E1592" s="59" t="str">
        <f>IFERROR(IF(F1592&lt;&gt;"pending","",IF(OR($B1592="",$B1592="(blank)"),"",VLOOKUP($B1592,'Email Marketing Raw Data'!$C:$O,11,0))),"")</f>
        <v/>
      </c>
      <c r="F1592" s="54" t="str">
        <f>IFERROR(IF(OR($B1592="",$B1592="(blank)"),"",VLOOKUP($B1592,'Email Marketing Raw Data'!$C:$O,13,0)),"")</f>
        <v/>
      </c>
      <c r="G1592" s="55" t="str">
        <f>IFERROR(IF(OR($B1592="",$B1592="(blank)"),"",VLOOKUP($B1592,'Email Marketing Raw Data'!$C:$O,4,0)),"")</f>
        <v/>
      </c>
      <c r="H1592" s="55" t="str">
        <f>IFERROR(IF(OR($B1592="",$B1592="(blank)"),"",VLOOKUP($B1592,'Email Marketing Raw Data'!$C:$O,5,0)),"")</f>
        <v/>
      </c>
      <c r="I1592" s="55" t="str">
        <f>IFERROR(IF($G1592="","",VLOOKUP('Dashboard And Emails Automate'!$G1592,Database!$H:$N,3,0)),"")</f>
        <v/>
      </c>
      <c r="J1592" s="55" t="str">
        <f>IFERROR(IF($G1592="","",VLOOKUP('Dashboard And Emails Automate'!$G1592,Database!$H:$N,4,0)),"")</f>
        <v/>
      </c>
      <c r="K1592" s="55" t="str">
        <f>IFERROR(IF($G1592="","",VLOOKUP('Dashboard And Emails Automate'!$G1592,Database!$H:$N,5,0)),"")</f>
        <v/>
      </c>
      <c r="L1592" s="55" t="str">
        <f>IFERROR(IF($G1592="","",VLOOKUP('Dashboard And Emails Automate'!$G1592,Database!$H:$N,6,0)),"")</f>
        <v/>
      </c>
      <c r="M1592" s="55" t="str">
        <f>IFERROR(IF($G1592="","",VLOOKUP('Dashboard And Emails Automate'!$G1592,Database!$H:$N,7,0)),"")</f>
        <v/>
      </c>
      <c r="N1592" s="55" t="str">
        <f>IFERROR(IF(OR($B1592="",$B1592="(blank)"),"",VLOOKUP($B1592,'Email Marketing Raw Data'!$C:$O,6,0)),"")</f>
        <v/>
      </c>
      <c r="O1592" s="55" t="str">
        <f>IFERROR(IF(OR($B1592="",$B1592="(blank)"),"",VLOOKUP($B1592,'Email Marketing Raw Data'!$C:$O,7,0)),"")</f>
        <v/>
      </c>
      <c r="P1592" s="55" t="str">
        <f>IFERROR(IF(OR($B1592="",$B1592="(blank)"),"",VLOOKUP($B1592,'Email Marketing Raw Data'!$C:$O,8,0)),"")</f>
        <v/>
      </c>
      <c r="Q1592" s="62" t="str">
        <f>IFERROR(IF(OR($B1592="",$B1592="(blank)"),"",VLOOKUP($B1592,'Email Marketing Raw Data'!$C:$O,9,0)),"")</f>
        <v/>
      </c>
    </row>
    <row r="1593" spans="4:17" ht="12.75" customHeight="1" x14ac:dyDescent="0.2">
      <c r="D1593" s="58" t="str">
        <f>IFERROR(IF(F1593&lt;&gt;"pending","",IF(OR($B1593="",$B1593="(blank)"),"",VLOOKUP($B1593,'Email Marketing Raw Data'!$C:$O,10,0))),"")</f>
        <v/>
      </c>
      <c r="E1593" s="59" t="str">
        <f>IFERROR(IF(F1593&lt;&gt;"pending","",IF(OR($B1593="",$B1593="(blank)"),"",VLOOKUP($B1593,'Email Marketing Raw Data'!$C:$O,11,0))),"")</f>
        <v/>
      </c>
      <c r="F1593" s="54" t="str">
        <f>IFERROR(IF(OR($B1593="",$B1593="(blank)"),"",VLOOKUP($B1593,'Email Marketing Raw Data'!$C:$O,13,0)),"")</f>
        <v/>
      </c>
      <c r="G1593" s="55" t="str">
        <f>IFERROR(IF(OR($B1593="",$B1593="(blank)"),"",VLOOKUP($B1593,'Email Marketing Raw Data'!$C:$O,4,0)),"")</f>
        <v/>
      </c>
      <c r="H1593" s="55" t="str">
        <f>IFERROR(IF(OR($B1593="",$B1593="(blank)"),"",VLOOKUP($B1593,'Email Marketing Raw Data'!$C:$O,5,0)),"")</f>
        <v/>
      </c>
      <c r="I1593" s="55" t="str">
        <f>IFERROR(IF($G1593="","",VLOOKUP('Dashboard And Emails Automate'!$G1593,Database!$H:$N,3,0)),"")</f>
        <v/>
      </c>
      <c r="J1593" s="55" t="str">
        <f>IFERROR(IF($G1593="","",VLOOKUP('Dashboard And Emails Automate'!$G1593,Database!$H:$N,4,0)),"")</f>
        <v/>
      </c>
      <c r="K1593" s="55" t="str">
        <f>IFERROR(IF($G1593="","",VLOOKUP('Dashboard And Emails Automate'!$G1593,Database!$H:$N,5,0)),"")</f>
        <v/>
      </c>
      <c r="L1593" s="55" t="str">
        <f>IFERROR(IF($G1593="","",VLOOKUP('Dashboard And Emails Automate'!$G1593,Database!$H:$N,6,0)),"")</f>
        <v/>
      </c>
      <c r="M1593" s="55" t="str">
        <f>IFERROR(IF($G1593="","",VLOOKUP('Dashboard And Emails Automate'!$G1593,Database!$H:$N,7,0)),"")</f>
        <v/>
      </c>
      <c r="N1593" s="55" t="str">
        <f>IFERROR(IF(OR($B1593="",$B1593="(blank)"),"",VLOOKUP($B1593,'Email Marketing Raw Data'!$C:$O,6,0)),"")</f>
        <v/>
      </c>
      <c r="O1593" s="55" t="str">
        <f>IFERROR(IF(OR($B1593="",$B1593="(blank)"),"",VLOOKUP($B1593,'Email Marketing Raw Data'!$C:$O,7,0)),"")</f>
        <v/>
      </c>
      <c r="P1593" s="55" t="str">
        <f>IFERROR(IF(OR($B1593="",$B1593="(blank)"),"",VLOOKUP($B1593,'Email Marketing Raw Data'!$C:$O,8,0)),"")</f>
        <v/>
      </c>
      <c r="Q1593" s="62" t="str">
        <f>IFERROR(IF(OR($B1593="",$B1593="(blank)"),"",VLOOKUP($B1593,'Email Marketing Raw Data'!$C:$O,9,0)),"")</f>
        <v/>
      </c>
    </row>
    <row r="1594" spans="4:17" ht="12.75" customHeight="1" x14ac:dyDescent="0.2">
      <c r="D1594" s="58" t="str">
        <f>IFERROR(IF(F1594&lt;&gt;"pending","",IF(OR($B1594="",$B1594="(blank)"),"",VLOOKUP($B1594,'Email Marketing Raw Data'!$C:$O,10,0))),"")</f>
        <v/>
      </c>
      <c r="E1594" s="59" t="str">
        <f>IFERROR(IF(F1594&lt;&gt;"pending","",IF(OR($B1594="",$B1594="(blank)"),"",VLOOKUP($B1594,'Email Marketing Raw Data'!$C:$O,11,0))),"")</f>
        <v/>
      </c>
      <c r="F1594" s="54" t="str">
        <f>IFERROR(IF(OR($B1594="",$B1594="(blank)"),"",VLOOKUP($B1594,'Email Marketing Raw Data'!$C:$O,13,0)),"")</f>
        <v/>
      </c>
      <c r="G1594" s="55" t="str">
        <f>IFERROR(IF(OR($B1594="",$B1594="(blank)"),"",VLOOKUP($B1594,'Email Marketing Raw Data'!$C:$O,4,0)),"")</f>
        <v/>
      </c>
      <c r="H1594" s="55" t="str">
        <f>IFERROR(IF(OR($B1594="",$B1594="(blank)"),"",VLOOKUP($B1594,'Email Marketing Raw Data'!$C:$O,5,0)),"")</f>
        <v/>
      </c>
      <c r="I1594" s="55" t="str">
        <f>IFERROR(IF($G1594="","",VLOOKUP('Dashboard And Emails Automate'!$G1594,Database!$H:$N,3,0)),"")</f>
        <v/>
      </c>
      <c r="J1594" s="55" t="str">
        <f>IFERROR(IF($G1594="","",VLOOKUP('Dashboard And Emails Automate'!$G1594,Database!$H:$N,4,0)),"")</f>
        <v/>
      </c>
      <c r="K1594" s="55" t="str">
        <f>IFERROR(IF($G1594="","",VLOOKUP('Dashboard And Emails Automate'!$G1594,Database!$H:$N,5,0)),"")</f>
        <v/>
      </c>
      <c r="L1594" s="55" t="str">
        <f>IFERROR(IF($G1594="","",VLOOKUP('Dashboard And Emails Automate'!$G1594,Database!$H:$N,6,0)),"")</f>
        <v/>
      </c>
      <c r="M1594" s="55" t="str">
        <f>IFERROR(IF($G1594="","",VLOOKUP('Dashboard And Emails Automate'!$G1594,Database!$H:$N,7,0)),"")</f>
        <v/>
      </c>
      <c r="N1594" s="55" t="str">
        <f>IFERROR(IF(OR($B1594="",$B1594="(blank)"),"",VLOOKUP($B1594,'Email Marketing Raw Data'!$C:$O,6,0)),"")</f>
        <v/>
      </c>
      <c r="O1594" s="55" t="str">
        <f>IFERROR(IF(OR($B1594="",$B1594="(blank)"),"",VLOOKUP($B1594,'Email Marketing Raw Data'!$C:$O,7,0)),"")</f>
        <v/>
      </c>
      <c r="P1594" s="55" t="str">
        <f>IFERROR(IF(OR($B1594="",$B1594="(blank)"),"",VLOOKUP($B1594,'Email Marketing Raw Data'!$C:$O,8,0)),"")</f>
        <v/>
      </c>
      <c r="Q1594" s="62" t="str">
        <f>IFERROR(IF(OR($B1594="",$B1594="(blank)"),"",VLOOKUP($B1594,'Email Marketing Raw Data'!$C:$O,9,0)),"")</f>
        <v/>
      </c>
    </row>
    <row r="1595" spans="4:17" ht="12.75" customHeight="1" x14ac:dyDescent="0.2">
      <c r="D1595" s="58" t="str">
        <f>IFERROR(IF(F1595&lt;&gt;"pending","",IF(OR($B1595="",$B1595="(blank)"),"",VLOOKUP($B1595,'Email Marketing Raw Data'!$C:$O,10,0))),"")</f>
        <v/>
      </c>
      <c r="E1595" s="59" t="str">
        <f>IFERROR(IF(F1595&lt;&gt;"pending","",IF(OR($B1595="",$B1595="(blank)"),"",VLOOKUP($B1595,'Email Marketing Raw Data'!$C:$O,11,0))),"")</f>
        <v/>
      </c>
      <c r="F1595" s="54" t="str">
        <f>IFERROR(IF(OR($B1595="",$B1595="(blank)"),"",VLOOKUP($B1595,'Email Marketing Raw Data'!$C:$O,13,0)),"")</f>
        <v/>
      </c>
      <c r="G1595" s="55" t="str">
        <f>IFERROR(IF(OR($B1595="",$B1595="(blank)"),"",VLOOKUP($B1595,'Email Marketing Raw Data'!$C:$O,4,0)),"")</f>
        <v/>
      </c>
      <c r="H1595" s="55" t="str">
        <f>IFERROR(IF(OR($B1595="",$B1595="(blank)"),"",VLOOKUP($B1595,'Email Marketing Raw Data'!$C:$O,5,0)),"")</f>
        <v/>
      </c>
      <c r="I1595" s="55" t="str">
        <f>IFERROR(IF($G1595="","",VLOOKUP('Dashboard And Emails Automate'!$G1595,Database!$H:$N,3,0)),"")</f>
        <v/>
      </c>
      <c r="J1595" s="55" t="str">
        <f>IFERROR(IF($G1595="","",VLOOKUP('Dashboard And Emails Automate'!$G1595,Database!$H:$N,4,0)),"")</f>
        <v/>
      </c>
      <c r="K1595" s="55" t="str">
        <f>IFERROR(IF($G1595="","",VLOOKUP('Dashboard And Emails Automate'!$G1595,Database!$H:$N,5,0)),"")</f>
        <v/>
      </c>
      <c r="L1595" s="55" t="str">
        <f>IFERROR(IF($G1595="","",VLOOKUP('Dashboard And Emails Automate'!$G1595,Database!$H:$N,6,0)),"")</f>
        <v/>
      </c>
      <c r="M1595" s="55" t="str">
        <f>IFERROR(IF($G1595="","",VLOOKUP('Dashboard And Emails Automate'!$G1595,Database!$H:$N,7,0)),"")</f>
        <v/>
      </c>
      <c r="N1595" s="55" t="str">
        <f>IFERROR(IF(OR($B1595="",$B1595="(blank)"),"",VLOOKUP($B1595,'Email Marketing Raw Data'!$C:$O,6,0)),"")</f>
        <v/>
      </c>
      <c r="O1595" s="55" t="str">
        <f>IFERROR(IF(OR($B1595="",$B1595="(blank)"),"",VLOOKUP($B1595,'Email Marketing Raw Data'!$C:$O,7,0)),"")</f>
        <v/>
      </c>
      <c r="P1595" s="55" t="str">
        <f>IFERROR(IF(OR($B1595="",$B1595="(blank)"),"",VLOOKUP($B1595,'Email Marketing Raw Data'!$C:$O,8,0)),"")</f>
        <v/>
      </c>
      <c r="Q1595" s="62" t="str">
        <f>IFERROR(IF(OR($B1595="",$B1595="(blank)"),"",VLOOKUP($B1595,'Email Marketing Raw Data'!$C:$O,9,0)),"")</f>
        <v/>
      </c>
    </row>
    <row r="1596" spans="4:17" ht="12.75" customHeight="1" x14ac:dyDescent="0.2">
      <c r="D1596" s="58" t="str">
        <f>IFERROR(IF(F1596&lt;&gt;"pending","",IF(OR($B1596="",$B1596="(blank)"),"",VLOOKUP($B1596,'Email Marketing Raw Data'!$C:$O,10,0))),"")</f>
        <v/>
      </c>
      <c r="E1596" s="59" t="str">
        <f>IFERROR(IF(F1596&lt;&gt;"pending","",IF(OR($B1596="",$B1596="(blank)"),"",VLOOKUP($B1596,'Email Marketing Raw Data'!$C:$O,11,0))),"")</f>
        <v/>
      </c>
      <c r="F1596" s="54" t="str">
        <f>IFERROR(IF(OR($B1596="",$B1596="(blank)"),"",VLOOKUP($B1596,'Email Marketing Raw Data'!$C:$O,13,0)),"")</f>
        <v/>
      </c>
      <c r="G1596" s="55" t="str">
        <f>IFERROR(IF(OR($B1596="",$B1596="(blank)"),"",VLOOKUP($B1596,'Email Marketing Raw Data'!$C:$O,4,0)),"")</f>
        <v/>
      </c>
      <c r="H1596" s="55" t="str">
        <f>IFERROR(IF(OR($B1596="",$B1596="(blank)"),"",VLOOKUP($B1596,'Email Marketing Raw Data'!$C:$O,5,0)),"")</f>
        <v/>
      </c>
      <c r="I1596" s="55" t="str">
        <f>IFERROR(IF($G1596="","",VLOOKUP('Dashboard And Emails Automate'!$G1596,Database!$H:$N,3,0)),"")</f>
        <v/>
      </c>
      <c r="J1596" s="55" t="str">
        <f>IFERROR(IF($G1596="","",VLOOKUP('Dashboard And Emails Automate'!$G1596,Database!$H:$N,4,0)),"")</f>
        <v/>
      </c>
      <c r="K1596" s="55" t="str">
        <f>IFERROR(IF($G1596="","",VLOOKUP('Dashboard And Emails Automate'!$G1596,Database!$H:$N,5,0)),"")</f>
        <v/>
      </c>
      <c r="L1596" s="55" t="str">
        <f>IFERROR(IF($G1596="","",VLOOKUP('Dashboard And Emails Automate'!$G1596,Database!$H:$N,6,0)),"")</f>
        <v/>
      </c>
      <c r="M1596" s="55" t="str">
        <f>IFERROR(IF($G1596="","",VLOOKUP('Dashboard And Emails Automate'!$G1596,Database!$H:$N,7,0)),"")</f>
        <v/>
      </c>
      <c r="N1596" s="55" t="str">
        <f>IFERROR(IF(OR($B1596="",$B1596="(blank)"),"",VLOOKUP($B1596,'Email Marketing Raw Data'!$C:$O,6,0)),"")</f>
        <v/>
      </c>
      <c r="O1596" s="55" t="str">
        <f>IFERROR(IF(OR($B1596="",$B1596="(blank)"),"",VLOOKUP($B1596,'Email Marketing Raw Data'!$C:$O,7,0)),"")</f>
        <v/>
      </c>
      <c r="P1596" s="55" t="str">
        <f>IFERROR(IF(OR($B1596="",$B1596="(blank)"),"",VLOOKUP($B1596,'Email Marketing Raw Data'!$C:$O,8,0)),"")</f>
        <v/>
      </c>
      <c r="Q1596" s="62" t="str">
        <f>IFERROR(IF(OR($B1596="",$B1596="(blank)"),"",VLOOKUP($B1596,'Email Marketing Raw Data'!$C:$O,9,0)),"")</f>
        <v/>
      </c>
    </row>
    <row r="1597" spans="4:17" ht="12.75" customHeight="1" x14ac:dyDescent="0.2">
      <c r="D1597" s="58" t="str">
        <f>IFERROR(IF(F1597&lt;&gt;"pending","",IF(OR($B1597="",$B1597="(blank)"),"",VLOOKUP($B1597,'Email Marketing Raw Data'!$C:$O,10,0))),"")</f>
        <v/>
      </c>
      <c r="E1597" s="59" t="str">
        <f>IFERROR(IF(F1597&lt;&gt;"pending","",IF(OR($B1597="",$B1597="(blank)"),"",VLOOKUP($B1597,'Email Marketing Raw Data'!$C:$O,11,0))),"")</f>
        <v/>
      </c>
      <c r="F1597" s="54" t="str">
        <f>IFERROR(IF(OR($B1597="",$B1597="(blank)"),"",VLOOKUP($B1597,'Email Marketing Raw Data'!$C:$O,13,0)),"")</f>
        <v/>
      </c>
      <c r="G1597" s="55" t="str">
        <f>IFERROR(IF(OR($B1597="",$B1597="(blank)"),"",VLOOKUP($B1597,'Email Marketing Raw Data'!$C:$O,4,0)),"")</f>
        <v/>
      </c>
      <c r="H1597" s="55" t="str">
        <f>IFERROR(IF(OR($B1597="",$B1597="(blank)"),"",VLOOKUP($B1597,'Email Marketing Raw Data'!$C:$O,5,0)),"")</f>
        <v/>
      </c>
      <c r="I1597" s="55" t="str">
        <f>IFERROR(IF($G1597="","",VLOOKUP('Dashboard And Emails Automate'!$G1597,Database!$H:$N,3,0)),"")</f>
        <v/>
      </c>
      <c r="J1597" s="55" t="str">
        <f>IFERROR(IF($G1597="","",VLOOKUP('Dashboard And Emails Automate'!$G1597,Database!$H:$N,4,0)),"")</f>
        <v/>
      </c>
      <c r="K1597" s="55" t="str">
        <f>IFERROR(IF($G1597="","",VLOOKUP('Dashboard And Emails Automate'!$G1597,Database!$H:$N,5,0)),"")</f>
        <v/>
      </c>
      <c r="L1597" s="55" t="str">
        <f>IFERROR(IF($G1597="","",VLOOKUP('Dashboard And Emails Automate'!$G1597,Database!$H:$N,6,0)),"")</f>
        <v/>
      </c>
      <c r="M1597" s="55" t="str">
        <f>IFERROR(IF($G1597="","",VLOOKUP('Dashboard And Emails Automate'!$G1597,Database!$H:$N,7,0)),"")</f>
        <v/>
      </c>
      <c r="N1597" s="55" t="str">
        <f>IFERROR(IF(OR($B1597="",$B1597="(blank)"),"",VLOOKUP($B1597,'Email Marketing Raw Data'!$C:$O,6,0)),"")</f>
        <v/>
      </c>
      <c r="O1597" s="55" t="str">
        <f>IFERROR(IF(OR($B1597="",$B1597="(blank)"),"",VLOOKUP($B1597,'Email Marketing Raw Data'!$C:$O,7,0)),"")</f>
        <v/>
      </c>
      <c r="P1597" s="55" t="str">
        <f>IFERROR(IF(OR($B1597="",$B1597="(blank)"),"",VLOOKUP($B1597,'Email Marketing Raw Data'!$C:$O,8,0)),"")</f>
        <v/>
      </c>
      <c r="Q1597" s="62" t="str">
        <f>IFERROR(IF(OR($B1597="",$B1597="(blank)"),"",VLOOKUP($B1597,'Email Marketing Raw Data'!$C:$O,9,0)),"")</f>
        <v/>
      </c>
    </row>
    <row r="1598" spans="4:17" ht="12.75" customHeight="1" x14ac:dyDescent="0.2">
      <c r="D1598" s="58" t="str">
        <f>IFERROR(IF(F1598&lt;&gt;"pending","",IF(OR($B1598="",$B1598="(blank)"),"",VLOOKUP($B1598,'Email Marketing Raw Data'!$C:$O,10,0))),"")</f>
        <v/>
      </c>
      <c r="E1598" s="59" t="str">
        <f>IFERROR(IF(F1598&lt;&gt;"pending","",IF(OR($B1598="",$B1598="(blank)"),"",VLOOKUP($B1598,'Email Marketing Raw Data'!$C:$O,11,0))),"")</f>
        <v/>
      </c>
      <c r="F1598" s="54" t="str">
        <f>IFERROR(IF(OR($B1598="",$B1598="(blank)"),"",VLOOKUP($B1598,'Email Marketing Raw Data'!$C:$O,13,0)),"")</f>
        <v/>
      </c>
      <c r="G1598" s="55" t="str">
        <f>IFERROR(IF(OR($B1598="",$B1598="(blank)"),"",VLOOKUP($B1598,'Email Marketing Raw Data'!$C:$O,4,0)),"")</f>
        <v/>
      </c>
      <c r="H1598" s="55" t="str">
        <f>IFERROR(IF(OR($B1598="",$B1598="(blank)"),"",VLOOKUP($B1598,'Email Marketing Raw Data'!$C:$O,5,0)),"")</f>
        <v/>
      </c>
      <c r="I1598" s="55" t="str">
        <f>IFERROR(IF($G1598="","",VLOOKUP('Dashboard And Emails Automate'!$G1598,Database!$H:$N,3,0)),"")</f>
        <v/>
      </c>
      <c r="J1598" s="55" t="str">
        <f>IFERROR(IF($G1598="","",VLOOKUP('Dashboard And Emails Automate'!$G1598,Database!$H:$N,4,0)),"")</f>
        <v/>
      </c>
      <c r="K1598" s="55" t="str">
        <f>IFERROR(IF($G1598="","",VLOOKUP('Dashboard And Emails Automate'!$G1598,Database!$H:$N,5,0)),"")</f>
        <v/>
      </c>
      <c r="L1598" s="55" t="str">
        <f>IFERROR(IF($G1598="","",VLOOKUP('Dashboard And Emails Automate'!$G1598,Database!$H:$N,6,0)),"")</f>
        <v/>
      </c>
      <c r="M1598" s="55" t="str">
        <f>IFERROR(IF($G1598="","",VLOOKUP('Dashboard And Emails Automate'!$G1598,Database!$H:$N,7,0)),"")</f>
        <v/>
      </c>
      <c r="N1598" s="55" t="str">
        <f>IFERROR(IF(OR($B1598="",$B1598="(blank)"),"",VLOOKUP($B1598,'Email Marketing Raw Data'!$C:$O,6,0)),"")</f>
        <v/>
      </c>
      <c r="O1598" s="55" t="str">
        <f>IFERROR(IF(OR($B1598="",$B1598="(blank)"),"",VLOOKUP($B1598,'Email Marketing Raw Data'!$C:$O,7,0)),"")</f>
        <v/>
      </c>
      <c r="P1598" s="55" t="str">
        <f>IFERROR(IF(OR($B1598="",$B1598="(blank)"),"",VLOOKUP($B1598,'Email Marketing Raw Data'!$C:$O,8,0)),"")</f>
        <v/>
      </c>
      <c r="Q1598" s="62" t="str">
        <f>IFERROR(IF(OR($B1598="",$B1598="(blank)"),"",VLOOKUP($B1598,'Email Marketing Raw Data'!$C:$O,9,0)),"")</f>
        <v/>
      </c>
    </row>
    <row r="1599" spans="4:17" ht="12.75" customHeight="1" x14ac:dyDescent="0.2">
      <c r="D1599" s="58" t="str">
        <f>IFERROR(IF(F1599&lt;&gt;"pending","",IF(OR($B1599="",$B1599="(blank)"),"",VLOOKUP($B1599,'Email Marketing Raw Data'!$C:$O,10,0))),"")</f>
        <v/>
      </c>
      <c r="E1599" s="59" t="str">
        <f>IFERROR(IF(F1599&lt;&gt;"pending","",IF(OR($B1599="",$B1599="(blank)"),"",VLOOKUP($B1599,'Email Marketing Raw Data'!$C:$O,11,0))),"")</f>
        <v/>
      </c>
      <c r="F1599" s="54" t="str">
        <f>IFERROR(IF(OR($B1599="",$B1599="(blank)"),"",VLOOKUP($B1599,'Email Marketing Raw Data'!$C:$O,13,0)),"")</f>
        <v/>
      </c>
      <c r="G1599" s="55" t="str">
        <f>IFERROR(IF(OR($B1599="",$B1599="(blank)"),"",VLOOKUP($B1599,'Email Marketing Raw Data'!$C:$O,4,0)),"")</f>
        <v/>
      </c>
      <c r="H1599" s="55" t="str">
        <f>IFERROR(IF(OR($B1599="",$B1599="(blank)"),"",VLOOKUP($B1599,'Email Marketing Raw Data'!$C:$O,5,0)),"")</f>
        <v/>
      </c>
      <c r="I1599" s="55" t="str">
        <f>IFERROR(IF($G1599="","",VLOOKUP('Dashboard And Emails Automate'!$G1599,Database!$H:$N,3,0)),"")</f>
        <v/>
      </c>
      <c r="J1599" s="55" t="str">
        <f>IFERROR(IF($G1599="","",VLOOKUP('Dashboard And Emails Automate'!$G1599,Database!$H:$N,4,0)),"")</f>
        <v/>
      </c>
      <c r="K1599" s="55" t="str">
        <f>IFERROR(IF($G1599="","",VLOOKUP('Dashboard And Emails Automate'!$G1599,Database!$H:$N,5,0)),"")</f>
        <v/>
      </c>
      <c r="L1599" s="55" t="str">
        <f>IFERROR(IF($G1599="","",VLOOKUP('Dashboard And Emails Automate'!$G1599,Database!$H:$N,6,0)),"")</f>
        <v/>
      </c>
      <c r="M1599" s="55" t="str">
        <f>IFERROR(IF($G1599="","",VLOOKUP('Dashboard And Emails Automate'!$G1599,Database!$H:$N,7,0)),"")</f>
        <v/>
      </c>
      <c r="N1599" s="55" t="str">
        <f>IFERROR(IF(OR($B1599="",$B1599="(blank)"),"",VLOOKUP($B1599,'Email Marketing Raw Data'!$C:$O,6,0)),"")</f>
        <v/>
      </c>
      <c r="O1599" s="55" t="str">
        <f>IFERROR(IF(OR($B1599="",$B1599="(blank)"),"",VLOOKUP($B1599,'Email Marketing Raw Data'!$C:$O,7,0)),"")</f>
        <v/>
      </c>
      <c r="P1599" s="55" t="str">
        <f>IFERROR(IF(OR($B1599="",$B1599="(blank)"),"",VLOOKUP($B1599,'Email Marketing Raw Data'!$C:$O,8,0)),"")</f>
        <v/>
      </c>
      <c r="Q1599" s="62" t="str">
        <f>IFERROR(IF(OR($B1599="",$B1599="(blank)"),"",VLOOKUP($B1599,'Email Marketing Raw Data'!$C:$O,9,0)),"")</f>
        <v/>
      </c>
    </row>
    <row r="1600" spans="4:17" ht="12.75" customHeight="1" x14ac:dyDescent="0.2">
      <c r="D1600" s="58" t="str">
        <f>IFERROR(IF(F1600&lt;&gt;"pending","",IF(OR($B1600="",$B1600="(blank)"),"",VLOOKUP($B1600,'Email Marketing Raw Data'!$C:$O,10,0))),"")</f>
        <v/>
      </c>
      <c r="E1600" s="59" t="str">
        <f>IFERROR(IF(F1600&lt;&gt;"pending","",IF(OR($B1600="",$B1600="(blank)"),"",VLOOKUP($B1600,'Email Marketing Raw Data'!$C:$O,11,0))),"")</f>
        <v/>
      </c>
      <c r="F1600" s="54" t="str">
        <f>IFERROR(IF(OR($B1600="",$B1600="(blank)"),"",VLOOKUP($B1600,'Email Marketing Raw Data'!$C:$O,13,0)),"")</f>
        <v/>
      </c>
      <c r="G1600" s="55" t="str">
        <f>IFERROR(IF(OR($B1600="",$B1600="(blank)"),"",VLOOKUP($B1600,'Email Marketing Raw Data'!$C:$O,4,0)),"")</f>
        <v/>
      </c>
      <c r="H1600" s="55" t="str">
        <f>IFERROR(IF(OR($B1600="",$B1600="(blank)"),"",VLOOKUP($B1600,'Email Marketing Raw Data'!$C:$O,5,0)),"")</f>
        <v/>
      </c>
      <c r="I1600" s="55" t="str">
        <f>IFERROR(IF($G1600="","",VLOOKUP('Dashboard And Emails Automate'!$G1600,Database!$H:$N,3,0)),"")</f>
        <v/>
      </c>
      <c r="J1600" s="55" t="str">
        <f>IFERROR(IF($G1600="","",VLOOKUP('Dashboard And Emails Automate'!$G1600,Database!$H:$N,4,0)),"")</f>
        <v/>
      </c>
      <c r="K1600" s="55" t="str">
        <f>IFERROR(IF($G1600="","",VLOOKUP('Dashboard And Emails Automate'!$G1600,Database!$H:$N,5,0)),"")</f>
        <v/>
      </c>
      <c r="L1600" s="55" t="str">
        <f>IFERROR(IF($G1600="","",VLOOKUP('Dashboard And Emails Automate'!$G1600,Database!$H:$N,6,0)),"")</f>
        <v/>
      </c>
      <c r="M1600" s="55" t="str">
        <f>IFERROR(IF($G1600="","",VLOOKUP('Dashboard And Emails Automate'!$G1600,Database!$H:$N,7,0)),"")</f>
        <v/>
      </c>
      <c r="N1600" s="55" t="str">
        <f>IFERROR(IF(OR($B1600="",$B1600="(blank)"),"",VLOOKUP($B1600,'Email Marketing Raw Data'!$C:$O,6,0)),"")</f>
        <v/>
      </c>
      <c r="O1600" s="55" t="str">
        <f>IFERROR(IF(OR($B1600="",$B1600="(blank)"),"",VLOOKUP($B1600,'Email Marketing Raw Data'!$C:$O,7,0)),"")</f>
        <v/>
      </c>
      <c r="P1600" s="55" t="str">
        <f>IFERROR(IF(OR($B1600="",$B1600="(blank)"),"",VLOOKUP($B1600,'Email Marketing Raw Data'!$C:$O,8,0)),"")</f>
        <v/>
      </c>
      <c r="Q1600" s="62" t="str">
        <f>IFERROR(IF(OR($B1600="",$B1600="(blank)"),"",VLOOKUP($B1600,'Email Marketing Raw Data'!$C:$O,9,0)),"")</f>
        <v/>
      </c>
    </row>
    <row r="1601" spans="4:17" ht="12.75" customHeight="1" x14ac:dyDescent="0.2">
      <c r="D1601" s="58" t="str">
        <f>IFERROR(IF(F1601&lt;&gt;"pending","",IF(OR($B1601="",$B1601="(blank)"),"",VLOOKUP($B1601,'Email Marketing Raw Data'!$C:$O,10,0))),"")</f>
        <v/>
      </c>
      <c r="E1601" s="59" t="str">
        <f>IFERROR(IF(F1601&lt;&gt;"pending","",IF(OR($B1601="",$B1601="(blank)"),"",VLOOKUP($B1601,'Email Marketing Raw Data'!$C:$O,11,0))),"")</f>
        <v/>
      </c>
      <c r="F1601" s="54" t="str">
        <f>IFERROR(IF(OR($B1601="",$B1601="(blank)"),"",VLOOKUP($B1601,'Email Marketing Raw Data'!$C:$O,13,0)),"")</f>
        <v/>
      </c>
      <c r="G1601" s="55" t="str">
        <f>IFERROR(IF(OR($B1601="",$B1601="(blank)"),"",VLOOKUP($B1601,'Email Marketing Raw Data'!$C:$O,4,0)),"")</f>
        <v/>
      </c>
      <c r="H1601" s="55" t="str">
        <f>IFERROR(IF(OR($B1601="",$B1601="(blank)"),"",VLOOKUP($B1601,'Email Marketing Raw Data'!$C:$O,5,0)),"")</f>
        <v/>
      </c>
      <c r="I1601" s="55" t="str">
        <f>IFERROR(IF($G1601="","",VLOOKUP('Dashboard And Emails Automate'!$G1601,Database!$H:$N,3,0)),"")</f>
        <v/>
      </c>
      <c r="J1601" s="55" t="str">
        <f>IFERROR(IF($G1601="","",VLOOKUP('Dashboard And Emails Automate'!$G1601,Database!$H:$N,4,0)),"")</f>
        <v/>
      </c>
      <c r="K1601" s="55" t="str">
        <f>IFERROR(IF($G1601="","",VLOOKUP('Dashboard And Emails Automate'!$G1601,Database!$H:$N,5,0)),"")</f>
        <v/>
      </c>
      <c r="L1601" s="55" t="str">
        <f>IFERROR(IF($G1601="","",VLOOKUP('Dashboard And Emails Automate'!$G1601,Database!$H:$N,6,0)),"")</f>
        <v/>
      </c>
      <c r="M1601" s="55" t="str">
        <f>IFERROR(IF($G1601="","",VLOOKUP('Dashboard And Emails Automate'!$G1601,Database!$H:$N,7,0)),"")</f>
        <v/>
      </c>
      <c r="N1601" s="55" t="str">
        <f>IFERROR(IF(OR($B1601="",$B1601="(blank)"),"",VLOOKUP($B1601,'Email Marketing Raw Data'!$C:$O,6,0)),"")</f>
        <v/>
      </c>
      <c r="O1601" s="55" t="str">
        <f>IFERROR(IF(OR($B1601="",$B1601="(blank)"),"",VLOOKUP($B1601,'Email Marketing Raw Data'!$C:$O,7,0)),"")</f>
        <v/>
      </c>
      <c r="P1601" s="55" t="str">
        <f>IFERROR(IF(OR($B1601="",$B1601="(blank)"),"",VLOOKUP($B1601,'Email Marketing Raw Data'!$C:$O,8,0)),"")</f>
        <v/>
      </c>
      <c r="Q1601" s="62" t="str">
        <f>IFERROR(IF(OR($B1601="",$B1601="(blank)"),"",VLOOKUP($B1601,'Email Marketing Raw Data'!$C:$O,9,0)),"")</f>
        <v/>
      </c>
    </row>
    <row r="1602" spans="4:17" ht="12.75" customHeight="1" x14ac:dyDescent="0.2">
      <c r="D1602" s="58" t="str">
        <f>IFERROR(IF(F1602&lt;&gt;"pending","",IF(OR($B1602="",$B1602="(blank)"),"",VLOOKUP($B1602,'Email Marketing Raw Data'!$C:$O,10,0))),"")</f>
        <v/>
      </c>
      <c r="E1602" s="59" t="str">
        <f>IFERROR(IF(F1602&lt;&gt;"pending","",IF(OR($B1602="",$B1602="(blank)"),"",VLOOKUP($B1602,'Email Marketing Raw Data'!$C:$O,11,0))),"")</f>
        <v/>
      </c>
      <c r="F1602" s="54" t="str">
        <f>IFERROR(IF(OR($B1602="",$B1602="(blank)"),"",VLOOKUP($B1602,'Email Marketing Raw Data'!$C:$O,13,0)),"")</f>
        <v/>
      </c>
      <c r="G1602" s="55" t="str">
        <f>IFERROR(IF(OR($B1602="",$B1602="(blank)"),"",VLOOKUP($B1602,'Email Marketing Raw Data'!$C:$O,4,0)),"")</f>
        <v/>
      </c>
      <c r="H1602" s="55" t="str">
        <f>IFERROR(IF(OR($B1602="",$B1602="(blank)"),"",VLOOKUP($B1602,'Email Marketing Raw Data'!$C:$O,5,0)),"")</f>
        <v/>
      </c>
      <c r="I1602" s="55" t="str">
        <f>IFERROR(IF($G1602="","",VLOOKUP('Dashboard And Emails Automate'!$G1602,Database!$H:$N,3,0)),"")</f>
        <v/>
      </c>
      <c r="J1602" s="55" t="str">
        <f>IFERROR(IF($G1602="","",VLOOKUP('Dashboard And Emails Automate'!$G1602,Database!$H:$N,4,0)),"")</f>
        <v/>
      </c>
      <c r="K1602" s="55" t="str">
        <f>IFERROR(IF($G1602="","",VLOOKUP('Dashboard And Emails Automate'!$G1602,Database!$H:$N,5,0)),"")</f>
        <v/>
      </c>
      <c r="L1602" s="55" t="str">
        <f>IFERROR(IF($G1602="","",VLOOKUP('Dashboard And Emails Automate'!$G1602,Database!$H:$N,6,0)),"")</f>
        <v/>
      </c>
      <c r="M1602" s="55" t="str">
        <f>IFERROR(IF($G1602="","",VLOOKUP('Dashboard And Emails Automate'!$G1602,Database!$H:$N,7,0)),"")</f>
        <v/>
      </c>
      <c r="N1602" s="55" t="str">
        <f>IFERROR(IF(OR($B1602="",$B1602="(blank)"),"",VLOOKUP($B1602,'Email Marketing Raw Data'!$C:$O,6,0)),"")</f>
        <v/>
      </c>
      <c r="O1602" s="55" t="str">
        <f>IFERROR(IF(OR($B1602="",$B1602="(blank)"),"",VLOOKUP($B1602,'Email Marketing Raw Data'!$C:$O,7,0)),"")</f>
        <v/>
      </c>
      <c r="P1602" s="55" t="str">
        <f>IFERROR(IF(OR($B1602="",$B1602="(blank)"),"",VLOOKUP($B1602,'Email Marketing Raw Data'!$C:$O,8,0)),"")</f>
        <v/>
      </c>
      <c r="Q1602" s="62" t="str">
        <f>IFERROR(IF(OR($B1602="",$B1602="(blank)"),"",VLOOKUP($B1602,'Email Marketing Raw Data'!$C:$O,9,0)),"")</f>
        <v/>
      </c>
    </row>
    <row r="1603" spans="4:17" ht="12.75" customHeight="1" x14ac:dyDescent="0.2">
      <c r="D1603" s="58" t="str">
        <f>IFERROR(IF(F1603&lt;&gt;"pending","",IF(OR($B1603="",$B1603="(blank)"),"",VLOOKUP($B1603,'Email Marketing Raw Data'!$C:$O,10,0))),"")</f>
        <v/>
      </c>
      <c r="E1603" s="59" t="str">
        <f>IFERROR(IF(F1603&lt;&gt;"pending","",IF(OR($B1603="",$B1603="(blank)"),"",VLOOKUP($B1603,'Email Marketing Raw Data'!$C:$O,11,0))),"")</f>
        <v/>
      </c>
      <c r="F1603" s="54" t="str">
        <f>IFERROR(IF(OR($B1603="",$B1603="(blank)"),"",VLOOKUP($B1603,'Email Marketing Raw Data'!$C:$O,13,0)),"")</f>
        <v/>
      </c>
      <c r="G1603" s="55" t="str">
        <f>IFERROR(IF(OR($B1603="",$B1603="(blank)"),"",VLOOKUP($B1603,'Email Marketing Raw Data'!$C:$O,4,0)),"")</f>
        <v/>
      </c>
      <c r="H1603" s="55" t="str">
        <f>IFERROR(IF(OR($B1603="",$B1603="(blank)"),"",VLOOKUP($B1603,'Email Marketing Raw Data'!$C:$O,5,0)),"")</f>
        <v/>
      </c>
      <c r="I1603" s="55" t="str">
        <f>IFERROR(IF($G1603="","",VLOOKUP('Dashboard And Emails Automate'!$G1603,Database!$H:$N,3,0)),"")</f>
        <v/>
      </c>
      <c r="J1603" s="55" t="str">
        <f>IFERROR(IF($G1603="","",VLOOKUP('Dashboard And Emails Automate'!$G1603,Database!$H:$N,4,0)),"")</f>
        <v/>
      </c>
      <c r="K1603" s="55" t="str">
        <f>IFERROR(IF($G1603="","",VLOOKUP('Dashboard And Emails Automate'!$G1603,Database!$H:$N,5,0)),"")</f>
        <v/>
      </c>
      <c r="L1603" s="55" t="str">
        <f>IFERROR(IF($G1603="","",VLOOKUP('Dashboard And Emails Automate'!$G1603,Database!$H:$N,6,0)),"")</f>
        <v/>
      </c>
      <c r="M1603" s="55" t="str">
        <f>IFERROR(IF($G1603="","",VLOOKUP('Dashboard And Emails Automate'!$G1603,Database!$H:$N,7,0)),"")</f>
        <v/>
      </c>
      <c r="N1603" s="55" t="str">
        <f>IFERROR(IF(OR($B1603="",$B1603="(blank)"),"",VLOOKUP($B1603,'Email Marketing Raw Data'!$C:$O,6,0)),"")</f>
        <v/>
      </c>
      <c r="O1603" s="55" t="str">
        <f>IFERROR(IF(OR($B1603="",$B1603="(blank)"),"",VLOOKUP($B1603,'Email Marketing Raw Data'!$C:$O,7,0)),"")</f>
        <v/>
      </c>
      <c r="P1603" s="55" t="str">
        <f>IFERROR(IF(OR($B1603="",$B1603="(blank)"),"",VLOOKUP($B1603,'Email Marketing Raw Data'!$C:$O,8,0)),"")</f>
        <v/>
      </c>
      <c r="Q1603" s="62" t="str">
        <f>IFERROR(IF(OR($B1603="",$B1603="(blank)"),"",VLOOKUP($B1603,'Email Marketing Raw Data'!$C:$O,9,0)),"")</f>
        <v/>
      </c>
    </row>
    <row r="1604" spans="4:17" ht="12.75" customHeight="1" x14ac:dyDescent="0.2">
      <c r="D1604" s="58" t="str">
        <f>IFERROR(IF(F1604&lt;&gt;"pending","",IF(OR($B1604="",$B1604="(blank)"),"",VLOOKUP($B1604,'Email Marketing Raw Data'!$C:$O,10,0))),"")</f>
        <v/>
      </c>
      <c r="E1604" s="59" t="str">
        <f>IFERROR(IF(F1604&lt;&gt;"pending","",IF(OR($B1604="",$B1604="(blank)"),"",VLOOKUP($B1604,'Email Marketing Raw Data'!$C:$O,11,0))),"")</f>
        <v/>
      </c>
      <c r="F1604" s="54" t="str">
        <f>IFERROR(IF(OR($B1604="",$B1604="(blank)"),"",VLOOKUP($B1604,'Email Marketing Raw Data'!$C:$O,13,0)),"")</f>
        <v/>
      </c>
      <c r="G1604" s="55" t="str">
        <f>IFERROR(IF(OR($B1604="",$B1604="(blank)"),"",VLOOKUP($B1604,'Email Marketing Raw Data'!$C:$O,4,0)),"")</f>
        <v/>
      </c>
      <c r="H1604" s="55" t="str">
        <f>IFERROR(IF(OR($B1604="",$B1604="(blank)"),"",VLOOKUP($B1604,'Email Marketing Raw Data'!$C:$O,5,0)),"")</f>
        <v/>
      </c>
      <c r="I1604" s="55" t="str">
        <f>IFERROR(IF($G1604="","",VLOOKUP('Dashboard And Emails Automate'!$G1604,Database!$H:$N,3,0)),"")</f>
        <v/>
      </c>
      <c r="J1604" s="55" t="str">
        <f>IFERROR(IF($G1604="","",VLOOKUP('Dashboard And Emails Automate'!$G1604,Database!$H:$N,4,0)),"")</f>
        <v/>
      </c>
      <c r="K1604" s="55" t="str">
        <f>IFERROR(IF($G1604="","",VLOOKUP('Dashboard And Emails Automate'!$G1604,Database!$H:$N,5,0)),"")</f>
        <v/>
      </c>
      <c r="L1604" s="55" t="str">
        <f>IFERROR(IF($G1604="","",VLOOKUP('Dashboard And Emails Automate'!$G1604,Database!$H:$N,6,0)),"")</f>
        <v/>
      </c>
      <c r="M1604" s="55" t="str">
        <f>IFERROR(IF($G1604="","",VLOOKUP('Dashboard And Emails Automate'!$G1604,Database!$H:$N,7,0)),"")</f>
        <v/>
      </c>
      <c r="N1604" s="55" t="str">
        <f>IFERROR(IF(OR($B1604="",$B1604="(blank)"),"",VLOOKUP($B1604,'Email Marketing Raw Data'!$C:$O,6,0)),"")</f>
        <v/>
      </c>
      <c r="O1604" s="55" t="str">
        <f>IFERROR(IF(OR($B1604="",$B1604="(blank)"),"",VLOOKUP($B1604,'Email Marketing Raw Data'!$C:$O,7,0)),"")</f>
        <v/>
      </c>
      <c r="P1604" s="55" t="str">
        <f>IFERROR(IF(OR($B1604="",$B1604="(blank)"),"",VLOOKUP($B1604,'Email Marketing Raw Data'!$C:$O,8,0)),"")</f>
        <v/>
      </c>
      <c r="Q1604" s="62" t="str">
        <f>IFERROR(IF(OR($B1604="",$B1604="(blank)"),"",VLOOKUP($B1604,'Email Marketing Raw Data'!$C:$O,9,0)),"")</f>
        <v/>
      </c>
    </row>
    <row r="1605" spans="4:17" ht="12.75" customHeight="1" x14ac:dyDescent="0.2">
      <c r="D1605" s="58" t="str">
        <f>IFERROR(IF(F1605&lt;&gt;"pending","",IF(OR($B1605="",$B1605="(blank)"),"",VLOOKUP($B1605,'Email Marketing Raw Data'!$C:$O,10,0))),"")</f>
        <v/>
      </c>
      <c r="E1605" s="59" t="str">
        <f>IFERROR(IF(F1605&lt;&gt;"pending","",IF(OR($B1605="",$B1605="(blank)"),"",VLOOKUP($B1605,'Email Marketing Raw Data'!$C:$O,11,0))),"")</f>
        <v/>
      </c>
      <c r="F1605" s="54" t="str">
        <f>IFERROR(IF(OR($B1605="",$B1605="(blank)"),"",VLOOKUP($B1605,'Email Marketing Raw Data'!$C:$O,13,0)),"")</f>
        <v/>
      </c>
      <c r="G1605" s="55" t="str">
        <f>IFERROR(IF(OR($B1605="",$B1605="(blank)"),"",VLOOKUP($B1605,'Email Marketing Raw Data'!$C:$O,4,0)),"")</f>
        <v/>
      </c>
      <c r="H1605" s="55" t="str">
        <f>IFERROR(IF(OR($B1605="",$B1605="(blank)"),"",VLOOKUP($B1605,'Email Marketing Raw Data'!$C:$O,5,0)),"")</f>
        <v/>
      </c>
      <c r="I1605" s="55" t="str">
        <f>IFERROR(IF($G1605="","",VLOOKUP('Dashboard And Emails Automate'!$G1605,Database!$H:$N,3,0)),"")</f>
        <v/>
      </c>
      <c r="J1605" s="55" t="str">
        <f>IFERROR(IF($G1605="","",VLOOKUP('Dashboard And Emails Automate'!$G1605,Database!$H:$N,4,0)),"")</f>
        <v/>
      </c>
      <c r="K1605" s="55" t="str">
        <f>IFERROR(IF($G1605="","",VLOOKUP('Dashboard And Emails Automate'!$G1605,Database!$H:$N,5,0)),"")</f>
        <v/>
      </c>
      <c r="L1605" s="55" t="str">
        <f>IFERROR(IF($G1605="","",VLOOKUP('Dashboard And Emails Automate'!$G1605,Database!$H:$N,6,0)),"")</f>
        <v/>
      </c>
      <c r="M1605" s="55" t="str">
        <f>IFERROR(IF($G1605="","",VLOOKUP('Dashboard And Emails Automate'!$G1605,Database!$H:$N,7,0)),"")</f>
        <v/>
      </c>
      <c r="N1605" s="55" t="str">
        <f>IFERROR(IF(OR($B1605="",$B1605="(blank)"),"",VLOOKUP($B1605,'Email Marketing Raw Data'!$C:$O,6,0)),"")</f>
        <v/>
      </c>
      <c r="O1605" s="55" t="str">
        <f>IFERROR(IF(OR($B1605="",$B1605="(blank)"),"",VLOOKUP($B1605,'Email Marketing Raw Data'!$C:$O,7,0)),"")</f>
        <v/>
      </c>
      <c r="P1605" s="55" t="str">
        <f>IFERROR(IF(OR($B1605="",$B1605="(blank)"),"",VLOOKUP($B1605,'Email Marketing Raw Data'!$C:$O,8,0)),"")</f>
        <v/>
      </c>
      <c r="Q1605" s="62" t="str">
        <f>IFERROR(IF(OR($B1605="",$B1605="(blank)"),"",VLOOKUP($B1605,'Email Marketing Raw Data'!$C:$O,9,0)),"")</f>
        <v/>
      </c>
    </row>
    <row r="1606" spans="4:17" ht="12.75" customHeight="1" x14ac:dyDescent="0.2">
      <c r="D1606" s="58" t="str">
        <f>IFERROR(IF(F1606&lt;&gt;"pending","",IF(OR($B1606="",$B1606="(blank)"),"",VLOOKUP($B1606,'Email Marketing Raw Data'!$C:$O,10,0))),"")</f>
        <v/>
      </c>
      <c r="E1606" s="59" t="str">
        <f>IFERROR(IF(F1606&lt;&gt;"pending","",IF(OR($B1606="",$B1606="(blank)"),"",VLOOKUP($B1606,'Email Marketing Raw Data'!$C:$O,11,0))),"")</f>
        <v/>
      </c>
      <c r="F1606" s="54" t="str">
        <f>IFERROR(IF(OR($B1606="",$B1606="(blank)"),"",VLOOKUP($B1606,'Email Marketing Raw Data'!$C:$O,13,0)),"")</f>
        <v/>
      </c>
      <c r="G1606" s="55" t="str">
        <f>IFERROR(IF(OR($B1606="",$B1606="(blank)"),"",VLOOKUP($B1606,'Email Marketing Raw Data'!$C:$O,4,0)),"")</f>
        <v/>
      </c>
      <c r="H1606" s="55" t="str">
        <f>IFERROR(IF(OR($B1606="",$B1606="(blank)"),"",VLOOKUP($B1606,'Email Marketing Raw Data'!$C:$O,5,0)),"")</f>
        <v/>
      </c>
      <c r="I1606" s="55" t="str">
        <f>IFERROR(IF($G1606="","",VLOOKUP('Dashboard And Emails Automate'!$G1606,Database!$H:$N,3,0)),"")</f>
        <v/>
      </c>
      <c r="J1606" s="55" t="str">
        <f>IFERROR(IF($G1606="","",VLOOKUP('Dashboard And Emails Automate'!$G1606,Database!$H:$N,4,0)),"")</f>
        <v/>
      </c>
      <c r="K1606" s="55" t="str">
        <f>IFERROR(IF($G1606="","",VLOOKUP('Dashboard And Emails Automate'!$G1606,Database!$H:$N,5,0)),"")</f>
        <v/>
      </c>
      <c r="L1606" s="55" t="str">
        <f>IFERROR(IF($G1606="","",VLOOKUP('Dashboard And Emails Automate'!$G1606,Database!$H:$N,6,0)),"")</f>
        <v/>
      </c>
      <c r="M1606" s="55" t="str">
        <f>IFERROR(IF($G1606="","",VLOOKUP('Dashboard And Emails Automate'!$G1606,Database!$H:$N,7,0)),"")</f>
        <v/>
      </c>
      <c r="N1606" s="55" t="str">
        <f>IFERROR(IF(OR($B1606="",$B1606="(blank)"),"",VLOOKUP($B1606,'Email Marketing Raw Data'!$C:$O,6,0)),"")</f>
        <v/>
      </c>
      <c r="O1606" s="55" t="str">
        <f>IFERROR(IF(OR($B1606="",$B1606="(blank)"),"",VLOOKUP($B1606,'Email Marketing Raw Data'!$C:$O,7,0)),"")</f>
        <v/>
      </c>
      <c r="P1606" s="55" t="str">
        <f>IFERROR(IF(OR($B1606="",$B1606="(blank)"),"",VLOOKUP($B1606,'Email Marketing Raw Data'!$C:$O,8,0)),"")</f>
        <v/>
      </c>
      <c r="Q1606" s="62" t="str">
        <f>IFERROR(IF(OR($B1606="",$B1606="(blank)"),"",VLOOKUP($B1606,'Email Marketing Raw Data'!$C:$O,9,0)),"")</f>
        <v/>
      </c>
    </row>
    <row r="1607" spans="4:17" ht="12.75" customHeight="1" x14ac:dyDescent="0.2">
      <c r="D1607" s="58" t="str">
        <f>IFERROR(IF(F1607&lt;&gt;"pending","",IF(OR($B1607="",$B1607="(blank)"),"",VLOOKUP($B1607,'Email Marketing Raw Data'!$C:$O,10,0))),"")</f>
        <v/>
      </c>
      <c r="E1607" s="59" t="str">
        <f>IFERROR(IF(F1607&lt;&gt;"pending","",IF(OR($B1607="",$B1607="(blank)"),"",VLOOKUP($B1607,'Email Marketing Raw Data'!$C:$O,11,0))),"")</f>
        <v/>
      </c>
      <c r="F1607" s="54" t="str">
        <f>IFERROR(IF(OR($B1607="",$B1607="(blank)"),"",VLOOKUP($B1607,'Email Marketing Raw Data'!$C:$O,13,0)),"")</f>
        <v/>
      </c>
      <c r="G1607" s="55" t="str">
        <f>IFERROR(IF(OR($B1607="",$B1607="(blank)"),"",VLOOKUP($B1607,'Email Marketing Raw Data'!$C:$O,4,0)),"")</f>
        <v/>
      </c>
      <c r="H1607" s="55" t="str">
        <f>IFERROR(IF(OR($B1607="",$B1607="(blank)"),"",VLOOKUP($B1607,'Email Marketing Raw Data'!$C:$O,5,0)),"")</f>
        <v/>
      </c>
      <c r="I1607" s="55" t="str">
        <f>IFERROR(IF($G1607="","",VLOOKUP('Dashboard And Emails Automate'!$G1607,Database!$H:$N,3,0)),"")</f>
        <v/>
      </c>
      <c r="J1607" s="55" t="str">
        <f>IFERROR(IF($G1607="","",VLOOKUP('Dashboard And Emails Automate'!$G1607,Database!$H:$N,4,0)),"")</f>
        <v/>
      </c>
      <c r="K1607" s="55" t="str">
        <f>IFERROR(IF($G1607="","",VLOOKUP('Dashboard And Emails Automate'!$G1607,Database!$H:$N,5,0)),"")</f>
        <v/>
      </c>
      <c r="L1607" s="55" t="str">
        <f>IFERROR(IF($G1607="","",VLOOKUP('Dashboard And Emails Automate'!$G1607,Database!$H:$N,6,0)),"")</f>
        <v/>
      </c>
      <c r="M1607" s="55" t="str">
        <f>IFERROR(IF($G1607="","",VLOOKUP('Dashboard And Emails Automate'!$G1607,Database!$H:$N,7,0)),"")</f>
        <v/>
      </c>
      <c r="N1607" s="55" t="str">
        <f>IFERROR(IF(OR($B1607="",$B1607="(blank)"),"",VLOOKUP($B1607,'Email Marketing Raw Data'!$C:$O,6,0)),"")</f>
        <v/>
      </c>
      <c r="O1607" s="55" t="str">
        <f>IFERROR(IF(OR($B1607="",$B1607="(blank)"),"",VLOOKUP($B1607,'Email Marketing Raw Data'!$C:$O,7,0)),"")</f>
        <v/>
      </c>
      <c r="P1607" s="55" t="str">
        <f>IFERROR(IF(OR($B1607="",$B1607="(blank)"),"",VLOOKUP($B1607,'Email Marketing Raw Data'!$C:$O,8,0)),"")</f>
        <v/>
      </c>
      <c r="Q1607" s="62" t="str">
        <f>IFERROR(IF(OR($B1607="",$B1607="(blank)"),"",VLOOKUP($B1607,'Email Marketing Raw Data'!$C:$O,9,0)),"")</f>
        <v/>
      </c>
    </row>
    <row r="1608" spans="4:17" ht="12.75" customHeight="1" x14ac:dyDescent="0.2">
      <c r="D1608" s="58" t="str">
        <f>IFERROR(IF(F1608&lt;&gt;"pending","",IF(OR($B1608="",$B1608="(blank)"),"",VLOOKUP($B1608,'Email Marketing Raw Data'!$C:$O,10,0))),"")</f>
        <v/>
      </c>
      <c r="E1608" s="59" t="str">
        <f>IFERROR(IF(F1608&lt;&gt;"pending","",IF(OR($B1608="",$B1608="(blank)"),"",VLOOKUP($B1608,'Email Marketing Raw Data'!$C:$O,11,0))),"")</f>
        <v/>
      </c>
      <c r="F1608" s="54" t="str">
        <f>IFERROR(IF(OR($B1608="",$B1608="(blank)"),"",VLOOKUP($B1608,'Email Marketing Raw Data'!$C:$O,13,0)),"")</f>
        <v/>
      </c>
      <c r="G1608" s="55" t="str">
        <f>IFERROR(IF(OR($B1608="",$B1608="(blank)"),"",VLOOKUP($B1608,'Email Marketing Raw Data'!$C:$O,4,0)),"")</f>
        <v/>
      </c>
      <c r="H1608" s="55" t="str">
        <f>IFERROR(IF(OR($B1608="",$B1608="(blank)"),"",VLOOKUP($B1608,'Email Marketing Raw Data'!$C:$O,5,0)),"")</f>
        <v/>
      </c>
      <c r="I1608" s="55" t="str">
        <f>IFERROR(IF($G1608="","",VLOOKUP('Dashboard And Emails Automate'!$G1608,Database!$H:$N,3,0)),"")</f>
        <v/>
      </c>
      <c r="J1608" s="55" t="str">
        <f>IFERROR(IF($G1608="","",VLOOKUP('Dashboard And Emails Automate'!$G1608,Database!$H:$N,4,0)),"")</f>
        <v/>
      </c>
      <c r="K1608" s="55" t="str">
        <f>IFERROR(IF($G1608="","",VLOOKUP('Dashboard And Emails Automate'!$G1608,Database!$H:$N,5,0)),"")</f>
        <v/>
      </c>
      <c r="L1608" s="55" t="str">
        <f>IFERROR(IF($G1608="","",VLOOKUP('Dashboard And Emails Automate'!$G1608,Database!$H:$N,6,0)),"")</f>
        <v/>
      </c>
      <c r="M1608" s="55" t="str">
        <f>IFERROR(IF($G1608="","",VLOOKUP('Dashboard And Emails Automate'!$G1608,Database!$H:$N,7,0)),"")</f>
        <v/>
      </c>
      <c r="N1608" s="55" t="str">
        <f>IFERROR(IF(OR($B1608="",$B1608="(blank)"),"",VLOOKUP($B1608,'Email Marketing Raw Data'!$C:$O,6,0)),"")</f>
        <v/>
      </c>
      <c r="O1608" s="55" t="str">
        <f>IFERROR(IF(OR($B1608="",$B1608="(blank)"),"",VLOOKUP($B1608,'Email Marketing Raw Data'!$C:$O,7,0)),"")</f>
        <v/>
      </c>
      <c r="P1608" s="55" t="str">
        <f>IFERROR(IF(OR($B1608="",$B1608="(blank)"),"",VLOOKUP($B1608,'Email Marketing Raw Data'!$C:$O,8,0)),"")</f>
        <v/>
      </c>
      <c r="Q1608" s="62" t="str">
        <f>IFERROR(IF(OR($B1608="",$B1608="(blank)"),"",VLOOKUP($B1608,'Email Marketing Raw Data'!$C:$O,9,0)),"")</f>
        <v/>
      </c>
    </row>
    <row r="1609" spans="4:17" ht="12.75" customHeight="1" x14ac:dyDescent="0.2">
      <c r="D1609" s="58" t="str">
        <f>IFERROR(IF(F1609&lt;&gt;"pending","",IF(OR($B1609="",$B1609="(blank)"),"",VLOOKUP($B1609,'Email Marketing Raw Data'!$C:$O,10,0))),"")</f>
        <v/>
      </c>
      <c r="E1609" s="59" t="str">
        <f>IFERROR(IF(F1609&lt;&gt;"pending","",IF(OR($B1609="",$B1609="(blank)"),"",VLOOKUP($B1609,'Email Marketing Raw Data'!$C:$O,11,0))),"")</f>
        <v/>
      </c>
      <c r="F1609" s="54" t="str">
        <f>IFERROR(IF(OR($B1609="",$B1609="(blank)"),"",VLOOKUP($B1609,'Email Marketing Raw Data'!$C:$O,13,0)),"")</f>
        <v/>
      </c>
      <c r="G1609" s="55" t="str">
        <f>IFERROR(IF(OR($B1609="",$B1609="(blank)"),"",VLOOKUP($B1609,'Email Marketing Raw Data'!$C:$O,4,0)),"")</f>
        <v/>
      </c>
      <c r="H1609" s="55" t="str">
        <f>IFERROR(IF(OR($B1609="",$B1609="(blank)"),"",VLOOKUP($B1609,'Email Marketing Raw Data'!$C:$O,5,0)),"")</f>
        <v/>
      </c>
      <c r="I1609" s="55" t="str">
        <f>IFERROR(IF($G1609="","",VLOOKUP('Dashboard And Emails Automate'!$G1609,Database!$H:$N,3,0)),"")</f>
        <v/>
      </c>
      <c r="J1609" s="55" t="str">
        <f>IFERROR(IF($G1609="","",VLOOKUP('Dashboard And Emails Automate'!$G1609,Database!$H:$N,4,0)),"")</f>
        <v/>
      </c>
      <c r="K1609" s="55" t="str">
        <f>IFERROR(IF($G1609="","",VLOOKUP('Dashboard And Emails Automate'!$G1609,Database!$H:$N,5,0)),"")</f>
        <v/>
      </c>
      <c r="L1609" s="55" t="str">
        <f>IFERROR(IF($G1609="","",VLOOKUP('Dashboard And Emails Automate'!$G1609,Database!$H:$N,6,0)),"")</f>
        <v/>
      </c>
      <c r="M1609" s="55" t="str">
        <f>IFERROR(IF($G1609="","",VLOOKUP('Dashboard And Emails Automate'!$G1609,Database!$H:$N,7,0)),"")</f>
        <v/>
      </c>
      <c r="N1609" s="55" t="str">
        <f>IFERROR(IF(OR($B1609="",$B1609="(blank)"),"",VLOOKUP($B1609,'Email Marketing Raw Data'!$C:$O,6,0)),"")</f>
        <v/>
      </c>
      <c r="O1609" s="55" t="str">
        <f>IFERROR(IF(OR($B1609="",$B1609="(blank)"),"",VLOOKUP($B1609,'Email Marketing Raw Data'!$C:$O,7,0)),"")</f>
        <v/>
      </c>
      <c r="P1609" s="55" t="str">
        <f>IFERROR(IF(OR($B1609="",$B1609="(blank)"),"",VLOOKUP($B1609,'Email Marketing Raw Data'!$C:$O,8,0)),"")</f>
        <v/>
      </c>
      <c r="Q1609" s="62" t="str">
        <f>IFERROR(IF(OR($B1609="",$B1609="(blank)"),"",VLOOKUP($B1609,'Email Marketing Raw Data'!$C:$O,9,0)),"")</f>
        <v/>
      </c>
    </row>
    <row r="1610" spans="4:17" ht="12.75" customHeight="1" x14ac:dyDescent="0.2">
      <c r="D1610" s="58" t="str">
        <f>IFERROR(IF(F1610&lt;&gt;"pending","",IF(OR($B1610="",$B1610="(blank)"),"",VLOOKUP($B1610,'Email Marketing Raw Data'!$C:$O,10,0))),"")</f>
        <v/>
      </c>
      <c r="E1610" s="59" t="str">
        <f>IFERROR(IF(F1610&lt;&gt;"pending","",IF(OR($B1610="",$B1610="(blank)"),"",VLOOKUP($B1610,'Email Marketing Raw Data'!$C:$O,11,0))),"")</f>
        <v/>
      </c>
      <c r="F1610" s="54" t="str">
        <f>IFERROR(IF(OR($B1610="",$B1610="(blank)"),"",VLOOKUP($B1610,'Email Marketing Raw Data'!$C:$O,13,0)),"")</f>
        <v/>
      </c>
      <c r="G1610" s="55" t="str">
        <f>IFERROR(IF(OR($B1610="",$B1610="(blank)"),"",VLOOKUP($B1610,'Email Marketing Raw Data'!$C:$O,4,0)),"")</f>
        <v/>
      </c>
      <c r="H1610" s="55" t="str">
        <f>IFERROR(IF(OR($B1610="",$B1610="(blank)"),"",VLOOKUP($B1610,'Email Marketing Raw Data'!$C:$O,5,0)),"")</f>
        <v/>
      </c>
      <c r="I1610" s="55" t="str">
        <f>IFERROR(IF($G1610="","",VLOOKUP('Dashboard And Emails Automate'!$G1610,Database!$H:$N,3,0)),"")</f>
        <v/>
      </c>
      <c r="J1610" s="55" t="str">
        <f>IFERROR(IF($G1610="","",VLOOKUP('Dashboard And Emails Automate'!$G1610,Database!$H:$N,4,0)),"")</f>
        <v/>
      </c>
      <c r="K1610" s="55" t="str">
        <f>IFERROR(IF($G1610="","",VLOOKUP('Dashboard And Emails Automate'!$G1610,Database!$H:$N,5,0)),"")</f>
        <v/>
      </c>
      <c r="L1610" s="55" t="str">
        <f>IFERROR(IF($G1610="","",VLOOKUP('Dashboard And Emails Automate'!$G1610,Database!$H:$N,6,0)),"")</f>
        <v/>
      </c>
      <c r="M1610" s="55" t="str">
        <f>IFERROR(IF($G1610="","",VLOOKUP('Dashboard And Emails Automate'!$G1610,Database!$H:$N,7,0)),"")</f>
        <v/>
      </c>
      <c r="N1610" s="55" t="str">
        <f>IFERROR(IF(OR($B1610="",$B1610="(blank)"),"",VLOOKUP($B1610,'Email Marketing Raw Data'!$C:$O,6,0)),"")</f>
        <v/>
      </c>
      <c r="O1610" s="55" t="str">
        <f>IFERROR(IF(OR($B1610="",$B1610="(blank)"),"",VLOOKUP($B1610,'Email Marketing Raw Data'!$C:$O,7,0)),"")</f>
        <v/>
      </c>
      <c r="P1610" s="55" t="str">
        <f>IFERROR(IF(OR($B1610="",$B1610="(blank)"),"",VLOOKUP($B1610,'Email Marketing Raw Data'!$C:$O,8,0)),"")</f>
        <v/>
      </c>
      <c r="Q1610" s="62" t="str">
        <f>IFERROR(IF(OR($B1610="",$B1610="(blank)"),"",VLOOKUP($B1610,'Email Marketing Raw Data'!$C:$O,9,0)),"")</f>
        <v/>
      </c>
    </row>
    <row r="1611" spans="4:17" ht="12.75" customHeight="1" x14ac:dyDescent="0.2">
      <c r="D1611" s="58" t="str">
        <f>IFERROR(IF(F1611&lt;&gt;"pending","",IF(OR($B1611="",$B1611="(blank)"),"",VLOOKUP($B1611,'Email Marketing Raw Data'!$C:$O,10,0))),"")</f>
        <v/>
      </c>
      <c r="E1611" s="59" t="str">
        <f>IFERROR(IF(F1611&lt;&gt;"pending","",IF(OR($B1611="",$B1611="(blank)"),"",VLOOKUP($B1611,'Email Marketing Raw Data'!$C:$O,11,0))),"")</f>
        <v/>
      </c>
      <c r="F1611" s="54" t="str">
        <f>IFERROR(IF(OR($B1611="",$B1611="(blank)"),"",VLOOKUP($B1611,'Email Marketing Raw Data'!$C:$O,13,0)),"")</f>
        <v/>
      </c>
      <c r="G1611" s="55" t="str">
        <f>IFERROR(IF(OR($B1611="",$B1611="(blank)"),"",VLOOKUP($B1611,'Email Marketing Raw Data'!$C:$O,4,0)),"")</f>
        <v/>
      </c>
      <c r="H1611" s="55" t="str">
        <f>IFERROR(IF(OR($B1611="",$B1611="(blank)"),"",VLOOKUP($B1611,'Email Marketing Raw Data'!$C:$O,5,0)),"")</f>
        <v/>
      </c>
      <c r="I1611" s="55" t="str">
        <f>IFERROR(IF($G1611="","",VLOOKUP('Dashboard And Emails Automate'!$G1611,Database!$H:$N,3,0)),"")</f>
        <v/>
      </c>
      <c r="J1611" s="55" t="str">
        <f>IFERROR(IF($G1611="","",VLOOKUP('Dashboard And Emails Automate'!$G1611,Database!$H:$N,4,0)),"")</f>
        <v/>
      </c>
      <c r="K1611" s="55" t="str">
        <f>IFERROR(IF($G1611="","",VLOOKUP('Dashboard And Emails Automate'!$G1611,Database!$H:$N,5,0)),"")</f>
        <v/>
      </c>
      <c r="L1611" s="55" t="str">
        <f>IFERROR(IF($G1611="","",VLOOKUP('Dashboard And Emails Automate'!$G1611,Database!$H:$N,6,0)),"")</f>
        <v/>
      </c>
      <c r="M1611" s="55" t="str">
        <f>IFERROR(IF($G1611="","",VLOOKUP('Dashboard And Emails Automate'!$G1611,Database!$H:$N,7,0)),"")</f>
        <v/>
      </c>
      <c r="N1611" s="55" t="str">
        <f>IFERROR(IF(OR($B1611="",$B1611="(blank)"),"",VLOOKUP($B1611,'Email Marketing Raw Data'!$C:$O,6,0)),"")</f>
        <v/>
      </c>
      <c r="O1611" s="55" t="str">
        <f>IFERROR(IF(OR($B1611="",$B1611="(blank)"),"",VLOOKUP($B1611,'Email Marketing Raw Data'!$C:$O,7,0)),"")</f>
        <v/>
      </c>
      <c r="P1611" s="55" t="str">
        <f>IFERROR(IF(OR($B1611="",$B1611="(blank)"),"",VLOOKUP($B1611,'Email Marketing Raw Data'!$C:$O,8,0)),"")</f>
        <v/>
      </c>
      <c r="Q1611" s="62" t="str">
        <f>IFERROR(IF(OR($B1611="",$B1611="(blank)"),"",VLOOKUP($B1611,'Email Marketing Raw Data'!$C:$O,9,0)),"")</f>
        <v/>
      </c>
    </row>
    <row r="1612" spans="4:17" ht="12.75" customHeight="1" x14ac:dyDescent="0.2">
      <c r="D1612" s="58" t="str">
        <f>IFERROR(IF(F1612&lt;&gt;"pending","",IF(OR($B1612="",$B1612="(blank)"),"",VLOOKUP($B1612,'Email Marketing Raw Data'!$C:$O,10,0))),"")</f>
        <v/>
      </c>
      <c r="E1612" s="59" t="str">
        <f>IFERROR(IF(F1612&lt;&gt;"pending","",IF(OR($B1612="",$B1612="(blank)"),"",VLOOKUP($B1612,'Email Marketing Raw Data'!$C:$O,11,0))),"")</f>
        <v/>
      </c>
      <c r="F1612" s="54" t="str">
        <f>IFERROR(IF(OR($B1612="",$B1612="(blank)"),"",VLOOKUP($B1612,'Email Marketing Raw Data'!$C:$O,13,0)),"")</f>
        <v/>
      </c>
      <c r="G1612" s="55" t="str">
        <f>IFERROR(IF(OR($B1612="",$B1612="(blank)"),"",VLOOKUP($B1612,'Email Marketing Raw Data'!$C:$O,4,0)),"")</f>
        <v/>
      </c>
      <c r="H1612" s="55" t="str">
        <f>IFERROR(IF(OR($B1612="",$B1612="(blank)"),"",VLOOKUP($B1612,'Email Marketing Raw Data'!$C:$O,5,0)),"")</f>
        <v/>
      </c>
      <c r="I1612" s="55" t="str">
        <f>IFERROR(IF($G1612="","",VLOOKUP('Dashboard And Emails Automate'!$G1612,Database!$H:$N,3,0)),"")</f>
        <v/>
      </c>
      <c r="J1612" s="55" t="str">
        <f>IFERROR(IF($G1612="","",VLOOKUP('Dashboard And Emails Automate'!$G1612,Database!$H:$N,4,0)),"")</f>
        <v/>
      </c>
      <c r="K1612" s="55" t="str">
        <f>IFERROR(IF($G1612="","",VLOOKUP('Dashboard And Emails Automate'!$G1612,Database!$H:$N,5,0)),"")</f>
        <v/>
      </c>
      <c r="L1612" s="55" t="str">
        <f>IFERROR(IF($G1612="","",VLOOKUP('Dashboard And Emails Automate'!$G1612,Database!$H:$N,6,0)),"")</f>
        <v/>
      </c>
      <c r="M1612" s="55" t="str">
        <f>IFERROR(IF($G1612="","",VLOOKUP('Dashboard And Emails Automate'!$G1612,Database!$H:$N,7,0)),"")</f>
        <v/>
      </c>
      <c r="N1612" s="55" t="str">
        <f>IFERROR(IF(OR($B1612="",$B1612="(blank)"),"",VLOOKUP($B1612,'Email Marketing Raw Data'!$C:$O,6,0)),"")</f>
        <v/>
      </c>
      <c r="O1612" s="55" t="str">
        <f>IFERROR(IF(OR($B1612="",$B1612="(blank)"),"",VLOOKUP($B1612,'Email Marketing Raw Data'!$C:$O,7,0)),"")</f>
        <v/>
      </c>
      <c r="P1612" s="55" t="str">
        <f>IFERROR(IF(OR($B1612="",$B1612="(blank)"),"",VLOOKUP($B1612,'Email Marketing Raw Data'!$C:$O,8,0)),"")</f>
        <v/>
      </c>
      <c r="Q1612" s="62" t="str">
        <f>IFERROR(IF(OR($B1612="",$B1612="(blank)"),"",VLOOKUP($B1612,'Email Marketing Raw Data'!$C:$O,9,0)),"")</f>
        <v/>
      </c>
    </row>
    <row r="1613" spans="4:17" ht="12.75" customHeight="1" x14ac:dyDescent="0.2">
      <c r="D1613" s="58" t="str">
        <f>IFERROR(IF(F1613&lt;&gt;"pending","",IF(OR($B1613="",$B1613="(blank)"),"",VLOOKUP($B1613,'Email Marketing Raw Data'!$C:$O,10,0))),"")</f>
        <v/>
      </c>
      <c r="E1613" s="59" t="str">
        <f>IFERROR(IF(F1613&lt;&gt;"pending","",IF(OR($B1613="",$B1613="(blank)"),"",VLOOKUP($B1613,'Email Marketing Raw Data'!$C:$O,11,0))),"")</f>
        <v/>
      </c>
      <c r="F1613" s="54" t="str">
        <f>IFERROR(IF(OR($B1613="",$B1613="(blank)"),"",VLOOKUP($B1613,'Email Marketing Raw Data'!$C:$O,13,0)),"")</f>
        <v/>
      </c>
      <c r="G1613" s="55" t="str">
        <f>IFERROR(IF(OR($B1613="",$B1613="(blank)"),"",VLOOKUP($B1613,'Email Marketing Raw Data'!$C:$O,4,0)),"")</f>
        <v/>
      </c>
      <c r="H1613" s="55" t="str">
        <f>IFERROR(IF(OR($B1613="",$B1613="(blank)"),"",VLOOKUP($B1613,'Email Marketing Raw Data'!$C:$O,5,0)),"")</f>
        <v/>
      </c>
      <c r="I1613" s="55" t="str">
        <f>IFERROR(IF($G1613="","",VLOOKUP('Dashboard And Emails Automate'!$G1613,Database!$H:$N,3,0)),"")</f>
        <v/>
      </c>
      <c r="J1613" s="55" t="str">
        <f>IFERROR(IF($G1613="","",VLOOKUP('Dashboard And Emails Automate'!$G1613,Database!$H:$N,4,0)),"")</f>
        <v/>
      </c>
      <c r="K1613" s="55" t="str">
        <f>IFERROR(IF($G1613="","",VLOOKUP('Dashboard And Emails Automate'!$G1613,Database!$H:$N,5,0)),"")</f>
        <v/>
      </c>
      <c r="L1613" s="55" t="str">
        <f>IFERROR(IF($G1613="","",VLOOKUP('Dashboard And Emails Automate'!$G1613,Database!$H:$N,6,0)),"")</f>
        <v/>
      </c>
      <c r="M1613" s="55" t="str">
        <f>IFERROR(IF($G1613="","",VLOOKUP('Dashboard And Emails Automate'!$G1613,Database!$H:$N,7,0)),"")</f>
        <v/>
      </c>
      <c r="N1613" s="55" t="str">
        <f>IFERROR(IF(OR($B1613="",$B1613="(blank)"),"",VLOOKUP($B1613,'Email Marketing Raw Data'!$C:$O,6,0)),"")</f>
        <v/>
      </c>
      <c r="O1613" s="55" t="str">
        <f>IFERROR(IF(OR($B1613="",$B1613="(blank)"),"",VLOOKUP($B1613,'Email Marketing Raw Data'!$C:$O,7,0)),"")</f>
        <v/>
      </c>
      <c r="P1613" s="55" t="str">
        <f>IFERROR(IF(OR($B1613="",$B1613="(blank)"),"",VLOOKUP($B1613,'Email Marketing Raw Data'!$C:$O,8,0)),"")</f>
        <v/>
      </c>
      <c r="Q1613" s="62" t="str">
        <f>IFERROR(IF(OR($B1613="",$B1613="(blank)"),"",VLOOKUP($B1613,'Email Marketing Raw Data'!$C:$O,9,0)),"")</f>
        <v/>
      </c>
    </row>
    <row r="1614" spans="4:17" ht="12.75" customHeight="1" x14ac:dyDescent="0.2">
      <c r="D1614" s="58" t="str">
        <f>IFERROR(IF(F1614&lt;&gt;"pending","",IF(OR($B1614="",$B1614="(blank)"),"",VLOOKUP($B1614,'Email Marketing Raw Data'!$C:$O,10,0))),"")</f>
        <v/>
      </c>
      <c r="E1614" s="59" t="str">
        <f>IFERROR(IF(F1614&lt;&gt;"pending","",IF(OR($B1614="",$B1614="(blank)"),"",VLOOKUP($B1614,'Email Marketing Raw Data'!$C:$O,11,0))),"")</f>
        <v/>
      </c>
      <c r="F1614" s="54" t="str">
        <f>IFERROR(IF(OR($B1614="",$B1614="(blank)"),"",VLOOKUP($B1614,'Email Marketing Raw Data'!$C:$O,13,0)),"")</f>
        <v/>
      </c>
      <c r="G1614" s="55" t="str">
        <f>IFERROR(IF(OR($B1614="",$B1614="(blank)"),"",VLOOKUP($B1614,'Email Marketing Raw Data'!$C:$O,4,0)),"")</f>
        <v/>
      </c>
      <c r="H1614" s="55" t="str">
        <f>IFERROR(IF(OR($B1614="",$B1614="(blank)"),"",VLOOKUP($B1614,'Email Marketing Raw Data'!$C:$O,5,0)),"")</f>
        <v/>
      </c>
      <c r="I1614" s="55" t="str">
        <f>IFERROR(IF($G1614="","",VLOOKUP('Dashboard And Emails Automate'!$G1614,Database!$H:$N,3,0)),"")</f>
        <v/>
      </c>
      <c r="J1614" s="55" t="str">
        <f>IFERROR(IF($G1614="","",VLOOKUP('Dashboard And Emails Automate'!$G1614,Database!$H:$N,4,0)),"")</f>
        <v/>
      </c>
      <c r="K1614" s="55" t="str">
        <f>IFERROR(IF($G1614="","",VLOOKUP('Dashboard And Emails Automate'!$G1614,Database!$H:$N,5,0)),"")</f>
        <v/>
      </c>
      <c r="L1614" s="55" t="str">
        <f>IFERROR(IF($G1614="","",VLOOKUP('Dashboard And Emails Automate'!$G1614,Database!$H:$N,6,0)),"")</f>
        <v/>
      </c>
      <c r="M1614" s="55" t="str">
        <f>IFERROR(IF($G1614="","",VLOOKUP('Dashboard And Emails Automate'!$G1614,Database!$H:$N,7,0)),"")</f>
        <v/>
      </c>
      <c r="N1614" s="55" t="str">
        <f>IFERROR(IF(OR($B1614="",$B1614="(blank)"),"",VLOOKUP($B1614,'Email Marketing Raw Data'!$C:$O,6,0)),"")</f>
        <v/>
      </c>
      <c r="O1614" s="55" t="str">
        <f>IFERROR(IF(OR($B1614="",$B1614="(blank)"),"",VLOOKUP($B1614,'Email Marketing Raw Data'!$C:$O,7,0)),"")</f>
        <v/>
      </c>
      <c r="P1614" s="55" t="str">
        <f>IFERROR(IF(OR($B1614="",$B1614="(blank)"),"",VLOOKUP($B1614,'Email Marketing Raw Data'!$C:$O,8,0)),"")</f>
        <v/>
      </c>
      <c r="Q1614" s="62" t="str">
        <f>IFERROR(IF(OR($B1614="",$B1614="(blank)"),"",VLOOKUP($B1614,'Email Marketing Raw Data'!$C:$O,9,0)),"")</f>
        <v/>
      </c>
    </row>
    <row r="1615" spans="4:17" ht="12.75" customHeight="1" x14ac:dyDescent="0.2">
      <c r="D1615" s="58" t="str">
        <f>IFERROR(IF(F1615&lt;&gt;"pending","",IF(OR($B1615="",$B1615="(blank)"),"",VLOOKUP($B1615,'Email Marketing Raw Data'!$C:$O,10,0))),"")</f>
        <v/>
      </c>
      <c r="E1615" s="59" t="str">
        <f>IFERROR(IF(F1615&lt;&gt;"pending","",IF(OR($B1615="",$B1615="(blank)"),"",VLOOKUP($B1615,'Email Marketing Raw Data'!$C:$O,11,0))),"")</f>
        <v/>
      </c>
      <c r="F1615" s="54" t="str">
        <f>IFERROR(IF(OR($B1615="",$B1615="(blank)"),"",VLOOKUP($B1615,'Email Marketing Raw Data'!$C:$O,13,0)),"")</f>
        <v/>
      </c>
      <c r="G1615" s="55" t="str">
        <f>IFERROR(IF(OR($B1615="",$B1615="(blank)"),"",VLOOKUP($B1615,'Email Marketing Raw Data'!$C:$O,4,0)),"")</f>
        <v/>
      </c>
      <c r="H1615" s="55" t="str">
        <f>IFERROR(IF(OR($B1615="",$B1615="(blank)"),"",VLOOKUP($B1615,'Email Marketing Raw Data'!$C:$O,5,0)),"")</f>
        <v/>
      </c>
      <c r="I1615" s="55" t="str">
        <f>IFERROR(IF($G1615="","",VLOOKUP('Dashboard And Emails Automate'!$G1615,Database!$H:$N,3,0)),"")</f>
        <v/>
      </c>
      <c r="J1615" s="55" t="str">
        <f>IFERROR(IF($G1615="","",VLOOKUP('Dashboard And Emails Automate'!$G1615,Database!$H:$N,4,0)),"")</f>
        <v/>
      </c>
      <c r="K1615" s="55" t="str">
        <f>IFERROR(IF($G1615="","",VLOOKUP('Dashboard And Emails Automate'!$G1615,Database!$H:$N,5,0)),"")</f>
        <v/>
      </c>
      <c r="L1615" s="55" t="str">
        <f>IFERROR(IF($G1615="","",VLOOKUP('Dashboard And Emails Automate'!$G1615,Database!$H:$N,6,0)),"")</f>
        <v/>
      </c>
      <c r="M1615" s="55" t="str">
        <f>IFERROR(IF($G1615="","",VLOOKUP('Dashboard And Emails Automate'!$G1615,Database!$H:$N,7,0)),"")</f>
        <v/>
      </c>
      <c r="N1615" s="55" t="str">
        <f>IFERROR(IF(OR($B1615="",$B1615="(blank)"),"",VLOOKUP($B1615,'Email Marketing Raw Data'!$C:$O,6,0)),"")</f>
        <v/>
      </c>
      <c r="O1615" s="55" t="str">
        <f>IFERROR(IF(OR($B1615="",$B1615="(blank)"),"",VLOOKUP($B1615,'Email Marketing Raw Data'!$C:$O,7,0)),"")</f>
        <v/>
      </c>
      <c r="P1615" s="55" t="str">
        <f>IFERROR(IF(OR($B1615="",$B1615="(blank)"),"",VLOOKUP($B1615,'Email Marketing Raw Data'!$C:$O,8,0)),"")</f>
        <v/>
      </c>
      <c r="Q1615" s="62" t="str">
        <f>IFERROR(IF(OR($B1615="",$B1615="(blank)"),"",VLOOKUP($B1615,'Email Marketing Raw Data'!$C:$O,9,0)),"")</f>
        <v/>
      </c>
    </row>
    <row r="1616" spans="4:17" ht="12.75" customHeight="1" x14ac:dyDescent="0.2">
      <c r="D1616" s="58" t="str">
        <f>IFERROR(IF(F1616&lt;&gt;"pending","",IF(OR($B1616="",$B1616="(blank)"),"",VLOOKUP($B1616,'Email Marketing Raw Data'!$C:$O,10,0))),"")</f>
        <v/>
      </c>
      <c r="E1616" s="59" t="str">
        <f>IFERROR(IF(F1616&lt;&gt;"pending","",IF(OR($B1616="",$B1616="(blank)"),"",VLOOKUP($B1616,'Email Marketing Raw Data'!$C:$O,11,0))),"")</f>
        <v/>
      </c>
      <c r="F1616" s="54" t="str">
        <f>IFERROR(IF(OR($B1616="",$B1616="(blank)"),"",VLOOKUP($B1616,'Email Marketing Raw Data'!$C:$O,13,0)),"")</f>
        <v/>
      </c>
      <c r="G1616" s="55" t="str">
        <f>IFERROR(IF(OR($B1616="",$B1616="(blank)"),"",VLOOKUP($B1616,'Email Marketing Raw Data'!$C:$O,4,0)),"")</f>
        <v/>
      </c>
      <c r="H1616" s="55" t="str">
        <f>IFERROR(IF(OR($B1616="",$B1616="(blank)"),"",VLOOKUP($B1616,'Email Marketing Raw Data'!$C:$O,5,0)),"")</f>
        <v/>
      </c>
      <c r="I1616" s="55" t="str">
        <f>IFERROR(IF($G1616="","",VLOOKUP('Dashboard And Emails Automate'!$G1616,Database!$H:$N,3,0)),"")</f>
        <v/>
      </c>
      <c r="J1616" s="55" t="str">
        <f>IFERROR(IF($G1616="","",VLOOKUP('Dashboard And Emails Automate'!$G1616,Database!$H:$N,4,0)),"")</f>
        <v/>
      </c>
      <c r="K1616" s="55" t="str">
        <f>IFERROR(IF($G1616="","",VLOOKUP('Dashboard And Emails Automate'!$G1616,Database!$H:$N,5,0)),"")</f>
        <v/>
      </c>
      <c r="L1616" s="55" t="str">
        <f>IFERROR(IF($G1616="","",VLOOKUP('Dashboard And Emails Automate'!$G1616,Database!$H:$N,6,0)),"")</f>
        <v/>
      </c>
      <c r="M1616" s="55" t="str">
        <f>IFERROR(IF($G1616="","",VLOOKUP('Dashboard And Emails Automate'!$G1616,Database!$H:$N,7,0)),"")</f>
        <v/>
      </c>
      <c r="N1616" s="55" t="str">
        <f>IFERROR(IF(OR($B1616="",$B1616="(blank)"),"",VLOOKUP($B1616,'Email Marketing Raw Data'!$C:$O,6,0)),"")</f>
        <v/>
      </c>
      <c r="O1616" s="55" t="str">
        <f>IFERROR(IF(OR($B1616="",$B1616="(blank)"),"",VLOOKUP($B1616,'Email Marketing Raw Data'!$C:$O,7,0)),"")</f>
        <v/>
      </c>
      <c r="P1616" s="55" t="str">
        <f>IFERROR(IF(OR($B1616="",$B1616="(blank)"),"",VLOOKUP($B1616,'Email Marketing Raw Data'!$C:$O,8,0)),"")</f>
        <v/>
      </c>
      <c r="Q1616" s="62" t="str">
        <f>IFERROR(IF(OR($B1616="",$B1616="(blank)"),"",VLOOKUP($B1616,'Email Marketing Raw Data'!$C:$O,9,0)),"")</f>
        <v/>
      </c>
    </row>
    <row r="1617" spans="4:17" ht="12.75" customHeight="1" x14ac:dyDescent="0.2">
      <c r="D1617" s="58" t="str">
        <f>IFERROR(IF(F1617&lt;&gt;"pending","",IF(OR($B1617="",$B1617="(blank)"),"",VLOOKUP($B1617,'Email Marketing Raw Data'!$C:$O,10,0))),"")</f>
        <v/>
      </c>
      <c r="E1617" s="59" t="str">
        <f>IFERROR(IF(F1617&lt;&gt;"pending","",IF(OR($B1617="",$B1617="(blank)"),"",VLOOKUP($B1617,'Email Marketing Raw Data'!$C:$O,11,0))),"")</f>
        <v/>
      </c>
      <c r="F1617" s="54" t="str">
        <f>IFERROR(IF(OR($B1617="",$B1617="(blank)"),"",VLOOKUP($B1617,'Email Marketing Raw Data'!$C:$O,13,0)),"")</f>
        <v/>
      </c>
      <c r="G1617" s="55" t="str">
        <f>IFERROR(IF(OR($B1617="",$B1617="(blank)"),"",VLOOKUP($B1617,'Email Marketing Raw Data'!$C:$O,4,0)),"")</f>
        <v/>
      </c>
      <c r="H1617" s="55" t="str">
        <f>IFERROR(IF(OR($B1617="",$B1617="(blank)"),"",VLOOKUP($B1617,'Email Marketing Raw Data'!$C:$O,5,0)),"")</f>
        <v/>
      </c>
      <c r="I1617" s="55" t="str">
        <f>IFERROR(IF($G1617="","",VLOOKUP('Dashboard And Emails Automate'!$G1617,Database!$H:$N,3,0)),"")</f>
        <v/>
      </c>
      <c r="J1617" s="55" t="str">
        <f>IFERROR(IF($G1617="","",VLOOKUP('Dashboard And Emails Automate'!$G1617,Database!$H:$N,4,0)),"")</f>
        <v/>
      </c>
      <c r="K1617" s="55" t="str">
        <f>IFERROR(IF($G1617="","",VLOOKUP('Dashboard And Emails Automate'!$G1617,Database!$H:$N,5,0)),"")</f>
        <v/>
      </c>
      <c r="L1617" s="55" t="str">
        <f>IFERROR(IF($G1617="","",VLOOKUP('Dashboard And Emails Automate'!$G1617,Database!$H:$N,6,0)),"")</f>
        <v/>
      </c>
      <c r="M1617" s="55" t="str">
        <f>IFERROR(IF($G1617="","",VLOOKUP('Dashboard And Emails Automate'!$G1617,Database!$H:$N,7,0)),"")</f>
        <v/>
      </c>
      <c r="N1617" s="55" t="str">
        <f>IFERROR(IF(OR($B1617="",$B1617="(blank)"),"",VLOOKUP($B1617,'Email Marketing Raw Data'!$C:$O,6,0)),"")</f>
        <v/>
      </c>
      <c r="O1617" s="55" t="str">
        <f>IFERROR(IF(OR($B1617="",$B1617="(blank)"),"",VLOOKUP($B1617,'Email Marketing Raw Data'!$C:$O,7,0)),"")</f>
        <v/>
      </c>
      <c r="P1617" s="55" t="str">
        <f>IFERROR(IF(OR($B1617="",$B1617="(blank)"),"",VLOOKUP($B1617,'Email Marketing Raw Data'!$C:$O,8,0)),"")</f>
        <v/>
      </c>
      <c r="Q1617" s="62" t="str">
        <f>IFERROR(IF(OR($B1617="",$B1617="(blank)"),"",VLOOKUP($B1617,'Email Marketing Raw Data'!$C:$O,9,0)),"")</f>
        <v/>
      </c>
    </row>
    <row r="1618" spans="4:17" ht="12.75" customHeight="1" x14ac:dyDescent="0.2">
      <c r="D1618" s="58" t="str">
        <f>IFERROR(IF(F1618&lt;&gt;"pending","",IF(OR($B1618="",$B1618="(blank)"),"",VLOOKUP($B1618,'Email Marketing Raw Data'!$C:$O,10,0))),"")</f>
        <v/>
      </c>
      <c r="E1618" s="59" t="str">
        <f>IFERROR(IF(F1618&lt;&gt;"pending","",IF(OR($B1618="",$B1618="(blank)"),"",VLOOKUP($B1618,'Email Marketing Raw Data'!$C:$O,11,0))),"")</f>
        <v/>
      </c>
      <c r="F1618" s="54" t="str">
        <f>IFERROR(IF(OR($B1618="",$B1618="(blank)"),"",VLOOKUP($B1618,'Email Marketing Raw Data'!$C:$O,13,0)),"")</f>
        <v/>
      </c>
      <c r="G1618" s="55" t="str">
        <f>IFERROR(IF(OR($B1618="",$B1618="(blank)"),"",VLOOKUP($B1618,'Email Marketing Raw Data'!$C:$O,4,0)),"")</f>
        <v/>
      </c>
      <c r="H1618" s="55" t="str">
        <f>IFERROR(IF(OR($B1618="",$B1618="(blank)"),"",VLOOKUP($B1618,'Email Marketing Raw Data'!$C:$O,5,0)),"")</f>
        <v/>
      </c>
      <c r="I1618" s="55" t="str">
        <f>IFERROR(IF($G1618="","",VLOOKUP('Dashboard And Emails Automate'!$G1618,Database!$H:$N,3,0)),"")</f>
        <v/>
      </c>
      <c r="J1618" s="55" t="str">
        <f>IFERROR(IF($G1618="","",VLOOKUP('Dashboard And Emails Automate'!$G1618,Database!$H:$N,4,0)),"")</f>
        <v/>
      </c>
      <c r="K1618" s="55" t="str">
        <f>IFERROR(IF($G1618="","",VLOOKUP('Dashboard And Emails Automate'!$G1618,Database!$H:$N,5,0)),"")</f>
        <v/>
      </c>
      <c r="L1618" s="55" t="str">
        <f>IFERROR(IF($G1618="","",VLOOKUP('Dashboard And Emails Automate'!$G1618,Database!$H:$N,6,0)),"")</f>
        <v/>
      </c>
      <c r="M1618" s="55" t="str">
        <f>IFERROR(IF($G1618="","",VLOOKUP('Dashboard And Emails Automate'!$G1618,Database!$H:$N,7,0)),"")</f>
        <v/>
      </c>
      <c r="N1618" s="55" t="str">
        <f>IFERROR(IF(OR($B1618="",$B1618="(blank)"),"",VLOOKUP($B1618,'Email Marketing Raw Data'!$C:$O,6,0)),"")</f>
        <v/>
      </c>
      <c r="O1618" s="55" t="str">
        <f>IFERROR(IF(OR($B1618="",$B1618="(blank)"),"",VLOOKUP($B1618,'Email Marketing Raw Data'!$C:$O,7,0)),"")</f>
        <v/>
      </c>
      <c r="P1618" s="55" t="str">
        <f>IFERROR(IF(OR($B1618="",$B1618="(blank)"),"",VLOOKUP($B1618,'Email Marketing Raw Data'!$C:$O,8,0)),"")</f>
        <v/>
      </c>
      <c r="Q1618" s="62" t="str">
        <f>IFERROR(IF(OR($B1618="",$B1618="(blank)"),"",VLOOKUP($B1618,'Email Marketing Raw Data'!$C:$O,9,0)),"")</f>
        <v/>
      </c>
    </row>
    <row r="1619" spans="4:17" ht="12.75" customHeight="1" x14ac:dyDescent="0.2">
      <c r="D1619" s="58" t="str">
        <f>IFERROR(IF(F1619&lt;&gt;"pending","",IF(OR($B1619="",$B1619="(blank)"),"",VLOOKUP($B1619,'Email Marketing Raw Data'!$C:$O,10,0))),"")</f>
        <v/>
      </c>
      <c r="E1619" s="59" t="str">
        <f>IFERROR(IF(F1619&lt;&gt;"pending","",IF(OR($B1619="",$B1619="(blank)"),"",VLOOKUP($B1619,'Email Marketing Raw Data'!$C:$O,11,0))),"")</f>
        <v/>
      </c>
      <c r="F1619" s="54" t="str">
        <f>IFERROR(IF(OR($B1619="",$B1619="(blank)"),"",VLOOKUP($B1619,'Email Marketing Raw Data'!$C:$O,13,0)),"")</f>
        <v/>
      </c>
      <c r="G1619" s="55" t="str">
        <f>IFERROR(IF(OR($B1619="",$B1619="(blank)"),"",VLOOKUP($B1619,'Email Marketing Raw Data'!$C:$O,4,0)),"")</f>
        <v/>
      </c>
      <c r="H1619" s="55" t="str">
        <f>IFERROR(IF(OR($B1619="",$B1619="(blank)"),"",VLOOKUP($B1619,'Email Marketing Raw Data'!$C:$O,5,0)),"")</f>
        <v/>
      </c>
      <c r="I1619" s="55" t="str">
        <f>IFERROR(IF($G1619="","",VLOOKUP('Dashboard And Emails Automate'!$G1619,Database!$H:$N,3,0)),"")</f>
        <v/>
      </c>
      <c r="J1619" s="55" t="str">
        <f>IFERROR(IF($G1619="","",VLOOKUP('Dashboard And Emails Automate'!$G1619,Database!$H:$N,4,0)),"")</f>
        <v/>
      </c>
      <c r="K1619" s="55" t="str">
        <f>IFERROR(IF($G1619="","",VLOOKUP('Dashboard And Emails Automate'!$G1619,Database!$H:$N,5,0)),"")</f>
        <v/>
      </c>
      <c r="L1619" s="55" t="str">
        <f>IFERROR(IF($G1619="","",VLOOKUP('Dashboard And Emails Automate'!$G1619,Database!$H:$N,6,0)),"")</f>
        <v/>
      </c>
      <c r="M1619" s="55" t="str">
        <f>IFERROR(IF($G1619="","",VLOOKUP('Dashboard And Emails Automate'!$G1619,Database!$H:$N,7,0)),"")</f>
        <v/>
      </c>
      <c r="N1619" s="55" t="str">
        <f>IFERROR(IF(OR($B1619="",$B1619="(blank)"),"",VLOOKUP($B1619,'Email Marketing Raw Data'!$C:$O,6,0)),"")</f>
        <v/>
      </c>
      <c r="O1619" s="55" t="str">
        <f>IFERROR(IF(OR($B1619="",$B1619="(blank)"),"",VLOOKUP($B1619,'Email Marketing Raw Data'!$C:$O,7,0)),"")</f>
        <v/>
      </c>
      <c r="P1619" s="55" t="str">
        <f>IFERROR(IF(OR($B1619="",$B1619="(blank)"),"",VLOOKUP($B1619,'Email Marketing Raw Data'!$C:$O,8,0)),"")</f>
        <v/>
      </c>
      <c r="Q1619" s="62" t="str">
        <f>IFERROR(IF(OR($B1619="",$B1619="(blank)"),"",VLOOKUP($B1619,'Email Marketing Raw Data'!$C:$O,9,0)),"")</f>
        <v/>
      </c>
    </row>
    <row r="1620" spans="4:17" ht="12.75" customHeight="1" x14ac:dyDescent="0.2">
      <c r="D1620" s="58" t="str">
        <f>IFERROR(IF(F1620&lt;&gt;"pending","",IF(OR($B1620="",$B1620="(blank)"),"",VLOOKUP($B1620,'Email Marketing Raw Data'!$C:$O,10,0))),"")</f>
        <v/>
      </c>
      <c r="E1620" s="59" t="str">
        <f>IFERROR(IF(F1620&lt;&gt;"pending","",IF(OR($B1620="",$B1620="(blank)"),"",VLOOKUP($B1620,'Email Marketing Raw Data'!$C:$O,11,0))),"")</f>
        <v/>
      </c>
      <c r="F1620" s="54" t="str">
        <f>IFERROR(IF(OR($B1620="",$B1620="(blank)"),"",VLOOKUP($B1620,'Email Marketing Raw Data'!$C:$O,13,0)),"")</f>
        <v/>
      </c>
      <c r="G1620" s="55" t="str">
        <f>IFERROR(IF(OR($B1620="",$B1620="(blank)"),"",VLOOKUP($B1620,'Email Marketing Raw Data'!$C:$O,4,0)),"")</f>
        <v/>
      </c>
      <c r="H1620" s="55" t="str">
        <f>IFERROR(IF(OR($B1620="",$B1620="(blank)"),"",VLOOKUP($B1620,'Email Marketing Raw Data'!$C:$O,5,0)),"")</f>
        <v/>
      </c>
      <c r="I1620" s="55" t="str">
        <f>IFERROR(IF($G1620="","",VLOOKUP('Dashboard And Emails Automate'!$G1620,Database!$H:$N,3,0)),"")</f>
        <v/>
      </c>
      <c r="J1620" s="55" t="str">
        <f>IFERROR(IF($G1620="","",VLOOKUP('Dashboard And Emails Automate'!$G1620,Database!$H:$N,4,0)),"")</f>
        <v/>
      </c>
      <c r="K1620" s="55" t="str">
        <f>IFERROR(IF($G1620="","",VLOOKUP('Dashboard And Emails Automate'!$G1620,Database!$H:$N,5,0)),"")</f>
        <v/>
      </c>
      <c r="L1620" s="55" t="str">
        <f>IFERROR(IF($G1620="","",VLOOKUP('Dashboard And Emails Automate'!$G1620,Database!$H:$N,6,0)),"")</f>
        <v/>
      </c>
      <c r="M1620" s="55" t="str">
        <f>IFERROR(IF($G1620="","",VLOOKUP('Dashboard And Emails Automate'!$G1620,Database!$H:$N,7,0)),"")</f>
        <v/>
      </c>
      <c r="N1620" s="55" t="str">
        <f>IFERROR(IF(OR($B1620="",$B1620="(blank)"),"",VLOOKUP($B1620,'Email Marketing Raw Data'!$C:$O,6,0)),"")</f>
        <v/>
      </c>
      <c r="O1620" s="55" t="str">
        <f>IFERROR(IF(OR($B1620="",$B1620="(blank)"),"",VLOOKUP($B1620,'Email Marketing Raw Data'!$C:$O,7,0)),"")</f>
        <v/>
      </c>
      <c r="P1620" s="55" t="str">
        <f>IFERROR(IF(OR($B1620="",$B1620="(blank)"),"",VLOOKUP($B1620,'Email Marketing Raw Data'!$C:$O,8,0)),"")</f>
        <v/>
      </c>
      <c r="Q1620" s="62" t="str">
        <f>IFERROR(IF(OR($B1620="",$B1620="(blank)"),"",VLOOKUP($B1620,'Email Marketing Raw Data'!$C:$O,9,0)),"")</f>
        <v/>
      </c>
    </row>
    <row r="1621" spans="4:17" ht="12.75" customHeight="1" x14ac:dyDescent="0.2">
      <c r="D1621" s="58" t="str">
        <f>IFERROR(IF(F1621&lt;&gt;"pending","",IF(OR($B1621="",$B1621="(blank)"),"",VLOOKUP($B1621,'Email Marketing Raw Data'!$C:$O,10,0))),"")</f>
        <v/>
      </c>
      <c r="E1621" s="59" t="str">
        <f>IFERROR(IF(F1621&lt;&gt;"pending","",IF(OR($B1621="",$B1621="(blank)"),"",VLOOKUP($B1621,'Email Marketing Raw Data'!$C:$O,11,0))),"")</f>
        <v/>
      </c>
      <c r="F1621" s="54" t="str">
        <f>IFERROR(IF(OR($B1621="",$B1621="(blank)"),"",VLOOKUP($B1621,'Email Marketing Raw Data'!$C:$O,13,0)),"")</f>
        <v/>
      </c>
      <c r="G1621" s="55" t="str">
        <f>IFERROR(IF(OR($B1621="",$B1621="(blank)"),"",VLOOKUP($B1621,'Email Marketing Raw Data'!$C:$O,4,0)),"")</f>
        <v/>
      </c>
      <c r="H1621" s="55" t="str">
        <f>IFERROR(IF(OR($B1621="",$B1621="(blank)"),"",VLOOKUP($B1621,'Email Marketing Raw Data'!$C:$O,5,0)),"")</f>
        <v/>
      </c>
      <c r="I1621" s="55" t="str">
        <f>IFERROR(IF($G1621="","",VLOOKUP('Dashboard And Emails Automate'!$G1621,Database!$H:$N,3,0)),"")</f>
        <v/>
      </c>
      <c r="J1621" s="55" t="str">
        <f>IFERROR(IF($G1621="","",VLOOKUP('Dashboard And Emails Automate'!$G1621,Database!$H:$N,4,0)),"")</f>
        <v/>
      </c>
      <c r="K1621" s="55" t="str">
        <f>IFERROR(IF($G1621="","",VLOOKUP('Dashboard And Emails Automate'!$G1621,Database!$H:$N,5,0)),"")</f>
        <v/>
      </c>
      <c r="L1621" s="55" t="str">
        <f>IFERROR(IF($G1621="","",VLOOKUP('Dashboard And Emails Automate'!$G1621,Database!$H:$N,6,0)),"")</f>
        <v/>
      </c>
      <c r="M1621" s="55" t="str">
        <f>IFERROR(IF($G1621="","",VLOOKUP('Dashboard And Emails Automate'!$G1621,Database!$H:$N,7,0)),"")</f>
        <v/>
      </c>
      <c r="N1621" s="55" t="str">
        <f>IFERROR(IF(OR($B1621="",$B1621="(blank)"),"",VLOOKUP($B1621,'Email Marketing Raw Data'!$C:$O,6,0)),"")</f>
        <v/>
      </c>
      <c r="O1621" s="55" t="str">
        <f>IFERROR(IF(OR($B1621="",$B1621="(blank)"),"",VLOOKUP($B1621,'Email Marketing Raw Data'!$C:$O,7,0)),"")</f>
        <v/>
      </c>
      <c r="P1621" s="55" t="str">
        <f>IFERROR(IF(OR($B1621="",$B1621="(blank)"),"",VLOOKUP($B1621,'Email Marketing Raw Data'!$C:$O,8,0)),"")</f>
        <v/>
      </c>
      <c r="Q1621" s="62" t="str">
        <f>IFERROR(IF(OR($B1621="",$B1621="(blank)"),"",VLOOKUP($B1621,'Email Marketing Raw Data'!$C:$O,9,0)),"")</f>
        <v/>
      </c>
    </row>
    <row r="1622" spans="4:17" ht="12.75" customHeight="1" x14ac:dyDescent="0.2">
      <c r="D1622" s="58" t="str">
        <f>IFERROR(IF(F1622&lt;&gt;"pending","",IF(OR($B1622="",$B1622="(blank)"),"",VLOOKUP($B1622,'Email Marketing Raw Data'!$C:$O,10,0))),"")</f>
        <v/>
      </c>
      <c r="E1622" s="59" t="str">
        <f>IFERROR(IF(F1622&lt;&gt;"pending","",IF(OR($B1622="",$B1622="(blank)"),"",VLOOKUP($B1622,'Email Marketing Raw Data'!$C:$O,11,0))),"")</f>
        <v/>
      </c>
      <c r="F1622" s="54" t="str">
        <f>IFERROR(IF(OR($B1622="",$B1622="(blank)"),"",VLOOKUP($B1622,'Email Marketing Raw Data'!$C:$O,13,0)),"")</f>
        <v/>
      </c>
      <c r="G1622" s="55" t="str">
        <f>IFERROR(IF(OR($B1622="",$B1622="(blank)"),"",VLOOKUP($B1622,'Email Marketing Raw Data'!$C:$O,4,0)),"")</f>
        <v/>
      </c>
      <c r="H1622" s="55" t="str">
        <f>IFERROR(IF(OR($B1622="",$B1622="(blank)"),"",VLOOKUP($B1622,'Email Marketing Raw Data'!$C:$O,5,0)),"")</f>
        <v/>
      </c>
      <c r="I1622" s="55" t="str">
        <f>IFERROR(IF($G1622="","",VLOOKUP('Dashboard And Emails Automate'!$G1622,Database!$H:$N,3,0)),"")</f>
        <v/>
      </c>
      <c r="J1622" s="55" t="str">
        <f>IFERROR(IF($G1622="","",VLOOKUP('Dashboard And Emails Automate'!$G1622,Database!$H:$N,4,0)),"")</f>
        <v/>
      </c>
      <c r="K1622" s="55" t="str">
        <f>IFERROR(IF($G1622="","",VLOOKUP('Dashboard And Emails Automate'!$G1622,Database!$H:$N,5,0)),"")</f>
        <v/>
      </c>
      <c r="L1622" s="55" t="str">
        <f>IFERROR(IF($G1622="","",VLOOKUP('Dashboard And Emails Automate'!$G1622,Database!$H:$N,6,0)),"")</f>
        <v/>
      </c>
      <c r="M1622" s="55" t="str">
        <f>IFERROR(IF($G1622="","",VLOOKUP('Dashboard And Emails Automate'!$G1622,Database!$H:$N,7,0)),"")</f>
        <v/>
      </c>
      <c r="N1622" s="55" t="str">
        <f>IFERROR(IF(OR($B1622="",$B1622="(blank)"),"",VLOOKUP($B1622,'Email Marketing Raw Data'!$C:$O,6,0)),"")</f>
        <v/>
      </c>
      <c r="O1622" s="55" t="str">
        <f>IFERROR(IF(OR($B1622="",$B1622="(blank)"),"",VLOOKUP($B1622,'Email Marketing Raw Data'!$C:$O,7,0)),"")</f>
        <v/>
      </c>
      <c r="P1622" s="55" t="str">
        <f>IFERROR(IF(OR($B1622="",$B1622="(blank)"),"",VLOOKUP($B1622,'Email Marketing Raw Data'!$C:$O,8,0)),"")</f>
        <v/>
      </c>
      <c r="Q1622" s="62" t="str">
        <f>IFERROR(IF(OR($B1622="",$B1622="(blank)"),"",VLOOKUP($B1622,'Email Marketing Raw Data'!$C:$O,9,0)),"")</f>
        <v/>
      </c>
    </row>
    <row r="1623" spans="4:17" ht="12.75" customHeight="1" x14ac:dyDescent="0.2">
      <c r="D1623" s="58" t="str">
        <f>IFERROR(IF(F1623&lt;&gt;"pending","",IF(OR($B1623="",$B1623="(blank)"),"",VLOOKUP($B1623,'Email Marketing Raw Data'!$C:$O,10,0))),"")</f>
        <v/>
      </c>
      <c r="E1623" s="59" t="str">
        <f>IFERROR(IF(F1623&lt;&gt;"pending","",IF(OR($B1623="",$B1623="(blank)"),"",VLOOKUP($B1623,'Email Marketing Raw Data'!$C:$O,11,0))),"")</f>
        <v/>
      </c>
      <c r="F1623" s="54" t="str">
        <f>IFERROR(IF(OR($B1623="",$B1623="(blank)"),"",VLOOKUP($B1623,'Email Marketing Raw Data'!$C:$O,13,0)),"")</f>
        <v/>
      </c>
      <c r="G1623" s="55" t="str">
        <f>IFERROR(IF(OR($B1623="",$B1623="(blank)"),"",VLOOKUP($B1623,'Email Marketing Raw Data'!$C:$O,4,0)),"")</f>
        <v/>
      </c>
      <c r="H1623" s="55" t="str">
        <f>IFERROR(IF(OR($B1623="",$B1623="(blank)"),"",VLOOKUP($B1623,'Email Marketing Raw Data'!$C:$O,5,0)),"")</f>
        <v/>
      </c>
      <c r="I1623" s="55" t="str">
        <f>IFERROR(IF($G1623="","",VLOOKUP('Dashboard And Emails Automate'!$G1623,Database!$H:$N,3,0)),"")</f>
        <v/>
      </c>
      <c r="J1623" s="55" t="str">
        <f>IFERROR(IF($G1623="","",VLOOKUP('Dashboard And Emails Automate'!$G1623,Database!$H:$N,4,0)),"")</f>
        <v/>
      </c>
      <c r="K1623" s="55" t="str">
        <f>IFERROR(IF($G1623="","",VLOOKUP('Dashboard And Emails Automate'!$G1623,Database!$H:$N,5,0)),"")</f>
        <v/>
      </c>
      <c r="L1623" s="55" t="str">
        <f>IFERROR(IF($G1623="","",VLOOKUP('Dashboard And Emails Automate'!$G1623,Database!$H:$N,6,0)),"")</f>
        <v/>
      </c>
      <c r="M1623" s="55" t="str">
        <f>IFERROR(IF($G1623="","",VLOOKUP('Dashboard And Emails Automate'!$G1623,Database!$H:$N,7,0)),"")</f>
        <v/>
      </c>
      <c r="N1623" s="55" t="str">
        <f>IFERROR(IF(OR($B1623="",$B1623="(blank)"),"",VLOOKUP($B1623,'Email Marketing Raw Data'!$C:$O,6,0)),"")</f>
        <v/>
      </c>
      <c r="O1623" s="55" t="str">
        <f>IFERROR(IF(OR($B1623="",$B1623="(blank)"),"",VLOOKUP($B1623,'Email Marketing Raw Data'!$C:$O,7,0)),"")</f>
        <v/>
      </c>
      <c r="P1623" s="55" t="str">
        <f>IFERROR(IF(OR($B1623="",$B1623="(blank)"),"",VLOOKUP($B1623,'Email Marketing Raw Data'!$C:$O,8,0)),"")</f>
        <v/>
      </c>
      <c r="Q1623" s="62" t="str">
        <f>IFERROR(IF(OR($B1623="",$B1623="(blank)"),"",VLOOKUP($B1623,'Email Marketing Raw Data'!$C:$O,9,0)),"")</f>
        <v/>
      </c>
    </row>
    <row r="1624" spans="4:17" ht="12.75" customHeight="1" x14ac:dyDescent="0.2">
      <c r="D1624" s="58" t="str">
        <f>IFERROR(IF(F1624&lt;&gt;"pending","",IF(OR($B1624="",$B1624="(blank)"),"",VLOOKUP($B1624,'Email Marketing Raw Data'!$C:$O,10,0))),"")</f>
        <v/>
      </c>
      <c r="E1624" s="59" t="str">
        <f>IFERROR(IF(F1624&lt;&gt;"pending","",IF(OR($B1624="",$B1624="(blank)"),"",VLOOKUP($B1624,'Email Marketing Raw Data'!$C:$O,11,0))),"")</f>
        <v/>
      </c>
      <c r="F1624" s="54" t="str">
        <f>IFERROR(IF(OR($B1624="",$B1624="(blank)"),"",VLOOKUP($B1624,'Email Marketing Raw Data'!$C:$O,13,0)),"")</f>
        <v/>
      </c>
      <c r="G1624" s="55" t="str">
        <f>IFERROR(IF(OR($B1624="",$B1624="(blank)"),"",VLOOKUP($B1624,'Email Marketing Raw Data'!$C:$O,4,0)),"")</f>
        <v/>
      </c>
      <c r="H1624" s="55" t="str">
        <f>IFERROR(IF(OR($B1624="",$B1624="(blank)"),"",VLOOKUP($B1624,'Email Marketing Raw Data'!$C:$O,5,0)),"")</f>
        <v/>
      </c>
      <c r="I1624" s="55" t="str">
        <f>IFERROR(IF($G1624="","",VLOOKUP('Dashboard And Emails Automate'!$G1624,Database!$H:$N,3,0)),"")</f>
        <v/>
      </c>
      <c r="J1624" s="55" t="str">
        <f>IFERROR(IF($G1624="","",VLOOKUP('Dashboard And Emails Automate'!$G1624,Database!$H:$N,4,0)),"")</f>
        <v/>
      </c>
      <c r="K1624" s="55" t="str">
        <f>IFERROR(IF($G1624="","",VLOOKUP('Dashboard And Emails Automate'!$G1624,Database!$H:$N,5,0)),"")</f>
        <v/>
      </c>
      <c r="L1624" s="55" t="str">
        <f>IFERROR(IF($G1624="","",VLOOKUP('Dashboard And Emails Automate'!$G1624,Database!$H:$N,6,0)),"")</f>
        <v/>
      </c>
      <c r="M1624" s="55" t="str">
        <f>IFERROR(IF($G1624="","",VLOOKUP('Dashboard And Emails Automate'!$G1624,Database!$H:$N,7,0)),"")</f>
        <v/>
      </c>
      <c r="N1624" s="55" t="str">
        <f>IFERROR(IF(OR($B1624="",$B1624="(blank)"),"",VLOOKUP($B1624,'Email Marketing Raw Data'!$C:$O,6,0)),"")</f>
        <v/>
      </c>
      <c r="O1624" s="55" t="str">
        <f>IFERROR(IF(OR($B1624="",$B1624="(blank)"),"",VLOOKUP($B1624,'Email Marketing Raw Data'!$C:$O,7,0)),"")</f>
        <v/>
      </c>
      <c r="P1624" s="55" t="str">
        <f>IFERROR(IF(OR($B1624="",$B1624="(blank)"),"",VLOOKUP($B1624,'Email Marketing Raw Data'!$C:$O,8,0)),"")</f>
        <v/>
      </c>
      <c r="Q1624" s="62" t="str">
        <f>IFERROR(IF(OR($B1624="",$B1624="(blank)"),"",VLOOKUP($B1624,'Email Marketing Raw Data'!$C:$O,9,0)),"")</f>
        <v/>
      </c>
    </row>
    <row r="1625" spans="4:17" ht="12.75" customHeight="1" x14ac:dyDescent="0.2">
      <c r="D1625" s="58" t="str">
        <f>IFERROR(IF(F1625&lt;&gt;"pending","",IF(OR($B1625="",$B1625="(blank)"),"",VLOOKUP($B1625,'Email Marketing Raw Data'!$C:$O,10,0))),"")</f>
        <v/>
      </c>
      <c r="E1625" s="59" t="str">
        <f>IFERROR(IF(F1625&lt;&gt;"pending","",IF(OR($B1625="",$B1625="(blank)"),"",VLOOKUP($B1625,'Email Marketing Raw Data'!$C:$O,11,0))),"")</f>
        <v/>
      </c>
      <c r="F1625" s="54" t="str">
        <f>IFERROR(IF(OR($B1625="",$B1625="(blank)"),"",VLOOKUP($B1625,'Email Marketing Raw Data'!$C:$O,13,0)),"")</f>
        <v/>
      </c>
      <c r="G1625" s="55" t="str">
        <f>IFERROR(IF(OR($B1625="",$B1625="(blank)"),"",VLOOKUP($B1625,'Email Marketing Raw Data'!$C:$O,4,0)),"")</f>
        <v/>
      </c>
      <c r="H1625" s="55" t="str">
        <f>IFERROR(IF(OR($B1625="",$B1625="(blank)"),"",VLOOKUP($B1625,'Email Marketing Raw Data'!$C:$O,5,0)),"")</f>
        <v/>
      </c>
      <c r="I1625" s="55" t="str">
        <f>IFERROR(IF($G1625="","",VLOOKUP('Dashboard And Emails Automate'!$G1625,Database!$H:$N,3,0)),"")</f>
        <v/>
      </c>
      <c r="J1625" s="55" t="str">
        <f>IFERROR(IF($G1625="","",VLOOKUP('Dashboard And Emails Automate'!$G1625,Database!$H:$N,4,0)),"")</f>
        <v/>
      </c>
      <c r="K1625" s="55" t="str">
        <f>IFERROR(IF($G1625="","",VLOOKUP('Dashboard And Emails Automate'!$G1625,Database!$H:$N,5,0)),"")</f>
        <v/>
      </c>
      <c r="L1625" s="55" t="str">
        <f>IFERROR(IF($G1625="","",VLOOKUP('Dashboard And Emails Automate'!$G1625,Database!$H:$N,6,0)),"")</f>
        <v/>
      </c>
      <c r="M1625" s="55" t="str">
        <f>IFERROR(IF($G1625="","",VLOOKUP('Dashboard And Emails Automate'!$G1625,Database!$H:$N,7,0)),"")</f>
        <v/>
      </c>
      <c r="N1625" s="55" t="str">
        <f>IFERROR(IF(OR($B1625="",$B1625="(blank)"),"",VLOOKUP($B1625,'Email Marketing Raw Data'!$C:$O,6,0)),"")</f>
        <v/>
      </c>
      <c r="O1625" s="55" t="str">
        <f>IFERROR(IF(OR($B1625="",$B1625="(blank)"),"",VLOOKUP($B1625,'Email Marketing Raw Data'!$C:$O,7,0)),"")</f>
        <v/>
      </c>
      <c r="P1625" s="55" t="str">
        <f>IFERROR(IF(OR($B1625="",$B1625="(blank)"),"",VLOOKUP($B1625,'Email Marketing Raw Data'!$C:$O,8,0)),"")</f>
        <v/>
      </c>
      <c r="Q1625" s="62" t="str">
        <f>IFERROR(IF(OR($B1625="",$B1625="(blank)"),"",VLOOKUP($B1625,'Email Marketing Raw Data'!$C:$O,9,0)),"")</f>
        <v/>
      </c>
    </row>
    <row r="1626" spans="4:17" ht="12.75" customHeight="1" x14ac:dyDescent="0.2">
      <c r="D1626" s="58" t="str">
        <f>IFERROR(IF(F1626&lt;&gt;"pending","",IF(OR($B1626="",$B1626="(blank)"),"",VLOOKUP($B1626,'Email Marketing Raw Data'!$C:$O,10,0))),"")</f>
        <v/>
      </c>
      <c r="E1626" s="59" t="str">
        <f>IFERROR(IF(F1626&lt;&gt;"pending","",IF(OR($B1626="",$B1626="(blank)"),"",VLOOKUP($B1626,'Email Marketing Raw Data'!$C:$O,11,0))),"")</f>
        <v/>
      </c>
      <c r="F1626" s="54" t="str">
        <f>IFERROR(IF(OR($B1626="",$B1626="(blank)"),"",VLOOKUP($B1626,'Email Marketing Raw Data'!$C:$O,13,0)),"")</f>
        <v/>
      </c>
      <c r="G1626" s="55" t="str">
        <f>IFERROR(IF(OR($B1626="",$B1626="(blank)"),"",VLOOKUP($B1626,'Email Marketing Raw Data'!$C:$O,4,0)),"")</f>
        <v/>
      </c>
      <c r="H1626" s="55" t="str">
        <f>IFERROR(IF(OR($B1626="",$B1626="(blank)"),"",VLOOKUP($B1626,'Email Marketing Raw Data'!$C:$O,5,0)),"")</f>
        <v/>
      </c>
      <c r="I1626" s="55" t="str">
        <f>IFERROR(IF($G1626="","",VLOOKUP('Dashboard And Emails Automate'!$G1626,Database!$H:$N,3,0)),"")</f>
        <v/>
      </c>
      <c r="J1626" s="55" t="str">
        <f>IFERROR(IF($G1626="","",VLOOKUP('Dashboard And Emails Automate'!$G1626,Database!$H:$N,4,0)),"")</f>
        <v/>
      </c>
      <c r="K1626" s="55" t="str">
        <f>IFERROR(IF($G1626="","",VLOOKUP('Dashboard And Emails Automate'!$G1626,Database!$H:$N,5,0)),"")</f>
        <v/>
      </c>
      <c r="L1626" s="55" t="str">
        <f>IFERROR(IF($G1626="","",VLOOKUP('Dashboard And Emails Automate'!$G1626,Database!$H:$N,6,0)),"")</f>
        <v/>
      </c>
      <c r="M1626" s="55" t="str">
        <f>IFERROR(IF($G1626="","",VLOOKUP('Dashboard And Emails Automate'!$G1626,Database!$H:$N,7,0)),"")</f>
        <v/>
      </c>
      <c r="N1626" s="55" t="str">
        <f>IFERROR(IF(OR($B1626="",$B1626="(blank)"),"",VLOOKUP($B1626,'Email Marketing Raw Data'!$C:$O,6,0)),"")</f>
        <v/>
      </c>
      <c r="O1626" s="55" t="str">
        <f>IFERROR(IF(OR($B1626="",$B1626="(blank)"),"",VLOOKUP($B1626,'Email Marketing Raw Data'!$C:$O,7,0)),"")</f>
        <v/>
      </c>
      <c r="P1626" s="55" t="str">
        <f>IFERROR(IF(OR($B1626="",$B1626="(blank)"),"",VLOOKUP($B1626,'Email Marketing Raw Data'!$C:$O,8,0)),"")</f>
        <v/>
      </c>
      <c r="Q1626" s="62" t="str">
        <f>IFERROR(IF(OR($B1626="",$B1626="(blank)"),"",VLOOKUP($B1626,'Email Marketing Raw Data'!$C:$O,9,0)),"")</f>
        <v/>
      </c>
    </row>
    <row r="1627" spans="4:17" ht="12.75" customHeight="1" x14ac:dyDescent="0.2">
      <c r="D1627" s="58" t="str">
        <f>IFERROR(IF(F1627&lt;&gt;"pending","",IF(OR($B1627="",$B1627="(blank)"),"",VLOOKUP($B1627,'Email Marketing Raw Data'!$C:$O,10,0))),"")</f>
        <v/>
      </c>
      <c r="E1627" s="59" t="str">
        <f>IFERROR(IF(F1627&lt;&gt;"pending","",IF(OR($B1627="",$B1627="(blank)"),"",VLOOKUP($B1627,'Email Marketing Raw Data'!$C:$O,11,0))),"")</f>
        <v/>
      </c>
      <c r="F1627" s="54" t="str">
        <f>IFERROR(IF(OR($B1627="",$B1627="(blank)"),"",VLOOKUP($B1627,'Email Marketing Raw Data'!$C:$O,13,0)),"")</f>
        <v/>
      </c>
      <c r="G1627" s="55" t="str">
        <f>IFERROR(IF(OR($B1627="",$B1627="(blank)"),"",VLOOKUP($B1627,'Email Marketing Raw Data'!$C:$O,4,0)),"")</f>
        <v/>
      </c>
      <c r="H1627" s="55" t="str">
        <f>IFERROR(IF(OR($B1627="",$B1627="(blank)"),"",VLOOKUP($B1627,'Email Marketing Raw Data'!$C:$O,5,0)),"")</f>
        <v/>
      </c>
      <c r="I1627" s="55" t="str">
        <f>IFERROR(IF($G1627="","",VLOOKUP('Dashboard And Emails Automate'!$G1627,Database!$H:$N,3,0)),"")</f>
        <v/>
      </c>
      <c r="J1627" s="55" t="str">
        <f>IFERROR(IF($G1627="","",VLOOKUP('Dashboard And Emails Automate'!$G1627,Database!$H:$N,4,0)),"")</f>
        <v/>
      </c>
      <c r="K1627" s="55" t="str">
        <f>IFERROR(IF($G1627="","",VLOOKUP('Dashboard And Emails Automate'!$G1627,Database!$H:$N,5,0)),"")</f>
        <v/>
      </c>
      <c r="L1627" s="55" t="str">
        <f>IFERROR(IF($G1627="","",VLOOKUP('Dashboard And Emails Automate'!$G1627,Database!$H:$N,6,0)),"")</f>
        <v/>
      </c>
      <c r="M1627" s="55" t="str">
        <f>IFERROR(IF($G1627="","",VLOOKUP('Dashboard And Emails Automate'!$G1627,Database!$H:$N,7,0)),"")</f>
        <v/>
      </c>
      <c r="N1627" s="55" t="str">
        <f>IFERROR(IF(OR($B1627="",$B1627="(blank)"),"",VLOOKUP($B1627,'Email Marketing Raw Data'!$C:$O,6,0)),"")</f>
        <v/>
      </c>
      <c r="O1627" s="55" t="str">
        <f>IFERROR(IF(OR($B1627="",$B1627="(blank)"),"",VLOOKUP($B1627,'Email Marketing Raw Data'!$C:$O,7,0)),"")</f>
        <v/>
      </c>
      <c r="P1627" s="55" t="str">
        <f>IFERROR(IF(OR($B1627="",$B1627="(blank)"),"",VLOOKUP($B1627,'Email Marketing Raw Data'!$C:$O,8,0)),"")</f>
        <v/>
      </c>
      <c r="Q1627" s="62" t="str">
        <f>IFERROR(IF(OR($B1627="",$B1627="(blank)"),"",VLOOKUP($B1627,'Email Marketing Raw Data'!$C:$O,9,0)),"")</f>
        <v/>
      </c>
    </row>
    <row r="1628" spans="4:17" ht="12.75" customHeight="1" x14ac:dyDescent="0.2">
      <c r="D1628" s="58" t="str">
        <f>IFERROR(IF(F1628&lt;&gt;"pending","",IF(OR($B1628="",$B1628="(blank)"),"",VLOOKUP($B1628,'Email Marketing Raw Data'!$C:$O,10,0))),"")</f>
        <v/>
      </c>
      <c r="E1628" s="59" t="str">
        <f>IFERROR(IF(F1628&lt;&gt;"pending","",IF(OR($B1628="",$B1628="(blank)"),"",VLOOKUP($B1628,'Email Marketing Raw Data'!$C:$O,11,0))),"")</f>
        <v/>
      </c>
      <c r="F1628" s="54" t="str">
        <f>IFERROR(IF(OR($B1628="",$B1628="(blank)"),"",VLOOKUP($B1628,'Email Marketing Raw Data'!$C:$O,13,0)),"")</f>
        <v/>
      </c>
      <c r="G1628" s="55" t="str">
        <f>IFERROR(IF(OR($B1628="",$B1628="(blank)"),"",VLOOKUP($B1628,'Email Marketing Raw Data'!$C:$O,4,0)),"")</f>
        <v/>
      </c>
      <c r="H1628" s="55" t="str">
        <f>IFERROR(IF(OR($B1628="",$B1628="(blank)"),"",VLOOKUP($B1628,'Email Marketing Raw Data'!$C:$O,5,0)),"")</f>
        <v/>
      </c>
      <c r="I1628" s="55" t="str">
        <f>IFERROR(IF($G1628="","",VLOOKUP('Dashboard And Emails Automate'!$G1628,Database!$H:$N,3,0)),"")</f>
        <v/>
      </c>
      <c r="J1628" s="55" t="str">
        <f>IFERROR(IF($G1628="","",VLOOKUP('Dashboard And Emails Automate'!$G1628,Database!$H:$N,4,0)),"")</f>
        <v/>
      </c>
      <c r="K1628" s="55" t="str">
        <f>IFERROR(IF($G1628="","",VLOOKUP('Dashboard And Emails Automate'!$G1628,Database!$H:$N,5,0)),"")</f>
        <v/>
      </c>
      <c r="L1628" s="55" t="str">
        <f>IFERROR(IF($G1628="","",VLOOKUP('Dashboard And Emails Automate'!$G1628,Database!$H:$N,6,0)),"")</f>
        <v/>
      </c>
      <c r="M1628" s="55" t="str">
        <f>IFERROR(IF($G1628="","",VLOOKUP('Dashboard And Emails Automate'!$G1628,Database!$H:$N,7,0)),"")</f>
        <v/>
      </c>
      <c r="N1628" s="55" t="str">
        <f>IFERROR(IF(OR($B1628="",$B1628="(blank)"),"",VLOOKUP($B1628,'Email Marketing Raw Data'!$C:$O,6,0)),"")</f>
        <v/>
      </c>
      <c r="O1628" s="55" t="str">
        <f>IFERROR(IF(OR($B1628="",$B1628="(blank)"),"",VLOOKUP($B1628,'Email Marketing Raw Data'!$C:$O,7,0)),"")</f>
        <v/>
      </c>
      <c r="P1628" s="55" t="str">
        <f>IFERROR(IF(OR($B1628="",$B1628="(blank)"),"",VLOOKUP($B1628,'Email Marketing Raw Data'!$C:$O,8,0)),"")</f>
        <v/>
      </c>
      <c r="Q1628" s="62" t="str">
        <f>IFERROR(IF(OR($B1628="",$B1628="(blank)"),"",VLOOKUP($B1628,'Email Marketing Raw Data'!$C:$O,9,0)),"")</f>
        <v/>
      </c>
    </row>
    <row r="1629" spans="4:17" ht="12.75" customHeight="1" x14ac:dyDescent="0.2">
      <c r="D1629" s="58" t="str">
        <f>IFERROR(IF(F1629&lt;&gt;"pending","",IF(OR($B1629="",$B1629="(blank)"),"",VLOOKUP($B1629,'Email Marketing Raw Data'!$C:$O,10,0))),"")</f>
        <v/>
      </c>
      <c r="E1629" s="59" t="str">
        <f>IFERROR(IF(F1629&lt;&gt;"pending","",IF(OR($B1629="",$B1629="(blank)"),"",VLOOKUP($B1629,'Email Marketing Raw Data'!$C:$O,11,0))),"")</f>
        <v/>
      </c>
      <c r="F1629" s="54" t="str">
        <f>IFERROR(IF(OR($B1629="",$B1629="(blank)"),"",VLOOKUP($B1629,'Email Marketing Raw Data'!$C:$O,13,0)),"")</f>
        <v/>
      </c>
      <c r="G1629" s="55" t="str">
        <f>IFERROR(IF(OR($B1629="",$B1629="(blank)"),"",VLOOKUP($B1629,'Email Marketing Raw Data'!$C:$O,4,0)),"")</f>
        <v/>
      </c>
      <c r="H1629" s="55" t="str">
        <f>IFERROR(IF(OR($B1629="",$B1629="(blank)"),"",VLOOKUP($B1629,'Email Marketing Raw Data'!$C:$O,5,0)),"")</f>
        <v/>
      </c>
      <c r="I1629" s="55" t="str">
        <f>IFERROR(IF($G1629="","",VLOOKUP('Dashboard And Emails Automate'!$G1629,Database!$H:$N,3,0)),"")</f>
        <v/>
      </c>
      <c r="J1629" s="55" t="str">
        <f>IFERROR(IF($G1629="","",VLOOKUP('Dashboard And Emails Automate'!$G1629,Database!$H:$N,4,0)),"")</f>
        <v/>
      </c>
      <c r="K1629" s="55" t="str">
        <f>IFERROR(IF($G1629="","",VLOOKUP('Dashboard And Emails Automate'!$G1629,Database!$H:$N,5,0)),"")</f>
        <v/>
      </c>
      <c r="L1629" s="55" t="str">
        <f>IFERROR(IF($G1629="","",VLOOKUP('Dashboard And Emails Automate'!$G1629,Database!$H:$N,6,0)),"")</f>
        <v/>
      </c>
      <c r="M1629" s="55" t="str">
        <f>IFERROR(IF($G1629="","",VLOOKUP('Dashboard And Emails Automate'!$G1629,Database!$H:$N,7,0)),"")</f>
        <v/>
      </c>
      <c r="N1629" s="55" t="str">
        <f>IFERROR(IF(OR($B1629="",$B1629="(blank)"),"",VLOOKUP($B1629,'Email Marketing Raw Data'!$C:$O,6,0)),"")</f>
        <v/>
      </c>
      <c r="O1629" s="55" t="str">
        <f>IFERROR(IF(OR($B1629="",$B1629="(blank)"),"",VLOOKUP($B1629,'Email Marketing Raw Data'!$C:$O,7,0)),"")</f>
        <v/>
      </c>
      <c r="P1629" s="55" t="str">
        <f>IFERROR(IF(OR($B1629="",$B1629="(blank)"),"",VLOOKUP($B1629,'Email Marketing Raw Data'!$C:$O,8,0)),"")</f>
        <v/>
      </c>
      <c r="Q1629" s="62" t="str">
        <f>IFERROR(IF(OR($B1629="",$B1629="(blank)"),"",VLOOKUP($B1629,'Email Marketing Raw Data'!$C:$O,9,0)),"")</f>
        <v/>
      </c>
    </row>
    <row r="1630" spans="4:17" ht="12.75" customHeight="1" x14ac:dyDescent="0.2">
      <c r="D1630" s="58" t="str">
        <f>IFERROR(IF(F1630&lt;&gt;"pending","",IF(OR($B1630="",$B1630="(blank)"),"",VLOOKUP($B1630,'Email Marketing Raw Data'!$C:$O,10,0))),"")</f>
        <v/>
      </c>
      <c r="E1630" s="59" t="str">
        <f>IFERROR(IF(F1630&lt;&gt;"pending","",IF(OR($B1630="",$B1630="(blank)"),"",VLOOKUP($B1630,'Email Marketing Raw Data'!$C:$O,11,0))),"")</f>
        <v/>
      </c>
      <c r="F1630" s="54" t="str">
        <f>IFERROR(IF(OR($B1630="",$B1630="(blank)"),"",VLOOKUP($B1630,'Email Marketing Raw Data'!$C:$O,13,0)),"")</f>
        <v/>
      </c>
      <c r="G1630" s="55" t="str">
        <f>IFERROR(IF(OR($B1630="",$B1630="(blank)"),"",VLOOKUP($B1630,'Email Marketing Raw Data'!$C:$O,4,0)),"")</f>
        <v/>
      </c>
      <c r="H1630" s="55" t="str">
        <f>IFERROR(IF(OR($B1630="",$B1630="(blank)"),"",VLOOKUP($B1630,'Email Marketing Raw Data'!$C:$O,5,0)),"")</f>
        <v/>
      </c>
      <c r="I1630" s="55" t="str">
        <f>IFERROR(IF($G1630="","",VLOOKUP('Dashboard And Emails Automate'!$G1630,Database!$H:$N,3,0)),"")</f>
        <v/>
      </c>
      <c r="J1630" s="55" t="str">
        <f>IFERROR(IF($G1630="","",VLOOKUP('Dashboard And Emails Automate'!$G1630,Database!$H:$N,4,0)),"")</f>
        <v/>
      </c>
      <c r="K1630" s="55" t="str">
        <f>IFERROR(IF($G1630="","",VLOOKUP('Dashboard And Emails Automate'!$G1630,Database!$H:$N,5,0)),"")</f>
        <v/>
      </c>
      <c r="L1630" s="55" t="str">
        <f>IFERROR(IF($G1630="","",VLOOKUP('Dashboard And Emails Automate'!$G1630,Database!$H:$N,6,0)),"")</f>
        <v/>
      </c>
      <c r="M1630" s="55" t="str">
        <f>IFERROR(IF($G1630="","",VLOOKUP('Dashboard And Emails Automate'!$G1630,Database!$H:$N,7,0)),"")</f>
        <v/>
      </c>
      <c r="N1630" s="55" t="str">
        <f>IFERROR(IF(OR($B1630="",$B1630="(blank)"),"",VLOOKUP($B1630,'Email Marketing Raw Data'!$C:$O,6,0)),"")</f>
        <v/>
      </c>
      <c r="O1630" s="55" t="str">
        <f>IFERROR(IF(OR($B1630="",$B1630="(blank)"),"",VLOOKUP($B1630,'Email Marketing Raw Data'!$C:$O,7,0)),"")</f>
        <v/>
      </c>
      <c r="P1630" s="55" t="str">
        <f>IFERROR(IF(OR($B1630="",$B1630="(blank)"),"",VLOOKUP($B1630,'Email Marketing Raw Data'!$C:$O,8,0)),"")</f>
        <v/>
      </c>
      <c r="Q1630" s="62" t="str">
        <f>IFERROR(IF(OR($B1630="",$B1630="(blank)"),"",VLOOKUP($B1630,'Email Marketing Raw Data'!$C:$O,9,0)),"")</f>
        <v/>
      </c>
    </row>
    <row r="1631" spans="4:17" ht="12.75" customHeight="1" x14ac:dyDescent="0.2">
      <c r="D1631" s="58" t="str">
        <f>IFERROR(IF(F1631&lt;&gt;"pending","",IF(OR($B1631="",$B1631="(blank)"),"",VLOOKUP($B1631,'Email Marketing Raw Data'!$C:$O,10,0))),"")</f>
        <v/>
      </c>
      <c r="E1631" s="59" t="str">
        <f>IFERROR(IF(F1631&lt;&gt;"pending","",IF(OR($B1631="",$B1631="(blank)"),"",VLOOKUP($B1631,'Email Marketing Raw Data'!$C:$O,11,0))),"")</f>
        <v/>
      </c>
      <c r="F1631" s="54" t="str">
        <f>IFERROR(IF(OR($B1631="",$B1631="(blank)"),"",VLOOKUP($B1631,'Email Marketing Raw Data'!$C:$O,13,0)),"")</f>
        <v/>
      </c>
      <c r="G1631" s="55" t="str">
        <f>IFERROR(IF(OR($B1631="",$B1631="(blank)"),"",VLOOKUP($B1631,'Email Marketing Raw Data'!$C:$O,4,0)),"")</f>
        <v/>
      </c>
      <c r="H1631" s="55" t="str">
        <f>IFERROR(IF(OR($B1631="",$B1631="(blank)"),"",VLOOKUP($B1631,'Email Marketing Raw Data'!$C:$O,5,0)),"")</f>
        <v/>
      </c>
      <c r="I1631" s="55" t="str">
        <f>IFERROR(IF($G1631="","",VLOOKUP('Dashboard And Emails Automate'!$G1631,Database!$H:$N,3,0)),"")</f>
        <v/>
      </c>
      <c r="J1631" s="55" t="str">
        <f>IFERROR(IF($G1631="","",VLOOKUP('Dashboard And Emails Automate'!$G1631,Database!$H:$N,4,0)),"")</f>
        <v/>
      </c>
      <c r="K1631" s="55" t="str">
        <f>IFERROR(IF($G1631="","",VLOOKUP('Dashboard And Emails Automate'!$G1631,Database!$H:$N,5,0)),"")</f>
        <v/>
      </c>
      <c r="L1631" s="55" t="str">
        <f>IFERROR(IF($G1631="","",VLOOKUP('Dashboard And Emails Automate'!$G1631,Database!$H:$N,6,0)),"")</f>
        <v/>
      </c>
      <c r="M1631" s="55" t="str">
        <f>IFERROR(IF($G1631="","",VLOOKUP('Dashboard And Emails Automate'!$G1631,Database!$H:$N,7,0)),"")</f>
        <v/>
      </c>
      <c r="N1631" s="55" t="str">
        <f>IFERROR(IF(OR($B1631="",$B1631="(blank)"),"",VLOOKUP($B1631,'Email Marketing Raw Data'!$C:$O,6,0)),"")</f>
        <v/>
      </c>
      <c r="O1631" s="55" t="str">
        <f>IFERROR(IF(OR($B1631="",$B1631="(blank)"),"",VLOOKUP($B1631,'Email Marketing Raw Data'!$C:$O,7,0)),"")</f>
        <v/>
      </c>
      <c r="P1631" s="55" t="str">
        <f>IFERROR(IF(OR($B1631="",$B1631="(blank)"),"",VLOOKUP($B1631,'Email Marketing Raw Data'!$C:$O,8,0)),"")</f>
        <v/>
      </c>
      <c r="Q1631" s="62" t="str">
        <f>IFERROR(IF(OR($B1631="",$B1631="(blank)"),"",VLOOKUP($B1631,'Email Marketing Raw Data'!$C:$O,9,0)),"")</f>
        <v/>
      </c>
    </row>
    <row r="1632" spans="4:17" ht="12.75" customHeight="1" x14ac:dyDescent="0.2">
      <c r="D1632" s="58" t="str">
        <f>IFERROR(IF(F1632&lt;&gt;"pending","",IF(OR($B1632="",$B1632="(blank)"),"",VLOOKUP($B1632,'Email Marketing Raw Data'!$C:$O,10,0))),"")</f>
        <v/>
      </c>
      <c r="E1632" s="59" t="str">
        <f>IFERROR(IF(F1632&lt;&gt;"pending","",IF(OR($B1632="",$B1632="(blank)"),"",VLOOKUP($B1632,'Email Marketing Raw Data'!$C:$O,11,0))),"")</f>
        <v/>
      </c>
      <c r="F1632" s="54" t="str">
        <f>IFERROR(IF(OR($B1632="",$B1632="(blank)"),"",VLOOKUP($B1632,'Email Marketing Raw Data'!$C:$O,13,0)),"")</f>
        <v/>
      </c>
      <c r="G1632" s="55" t="str">
        <f>IFERROR(IF(OR($B1632="",$B1632="(blank)"),"",VLOOKUP($B1632,'Email Marketing Raw Data'!$C:$O,4,0)),"")</f>
        <v/>
      </c>
      <c r="H1632" s="55" t="str">
        <f>IFERROR(IF(OR($B1632="",$B1632="(blank)"),"",VLOOKUP($B1632,'Email Marketing Raw Data'!$C:$O,5,0)),"")</f>
        <v/>
      </c>
      <c r="I1632" s="55" t="str">
        <f>IFERROR(IF($G1632="","",VLOOKUP('Dashboard And Emails Automate'!$G1632,Database!$H:$N,3,0)),"")</f>
        <v/>
      </c>
      <c r="J1632" s="55" t="str">
        <f>IFERROR(IF($G1632="","",VLOOKUP('Dashboard And Emails Automate'!$G1632,Database!$H:$N,4,0)),"")</f>
        <v/>
      </c>
      <c r="K1632" s="55" t="str">
        <f>IFERROR(IF($G1632="","",VLOOKUP('Dashboard And Emails Automate'!$G1632,Database!$H:$N,5,0)),"")</f>
        <v/>
      </c>
      <c r="L1632" s="55" t="str">
        <f>IFERROR(IF($G1632="","",VLOOKUP('Dashboard And Emails Automate'!$G1632,Database!$H:$N,6,0)),"")</f>
        <v/>
      </c>
      <c r="M1632" s="55" t="str">
        <f>IFERROR(IF($G1632="","",VLOOKUP('Dashboard And Emails Automate'!$G1632,Database!$H:$N,7,0)),"")</f>
        <v/>
      </c>
      <c r="N1632" s="55" t="str">
        <f>IFERROR(IF(OR($B1632="",$B1632="(blank)"),"",VLOOKUP($B1632,'Email Marketing Raw Data'!$C:$O,6,0)),"")</f>
        <v/>
      </c>
      <c r="O1632" s="55" t="str">
        <f>IFERROR(IF(OR($B1632="",$B1632="(blank)"),"",VLOOKUP($B1632,'Email Marketing Raw Data'!$C:$O,7,0)),"")</f>
        <v/>
      </c>
      <c r="P1632" s="55" t="str">
        <f>IFERROR(IF(OR($B1632="",$B1632="(blank)"),"",VLOOKUP($B1632,'Email Marketing Raw Data'!$C:$O,8,0)),"")</f>
        <v/>
      </c>
      <c r="Q1632" s="62" t="str">
        <f>IFERROR(IF(OR($B1632="",$B1632="(blank)"),"",VLOOKUP($B1632,'Email Marketing Raw Data'!$C:$O,9,0)),"")</f>
        <v/>
      </c>
    </row>
    <row r="1633" spans="4:17" ht="12.75" customHeight="1" x14ac:dyDescent="0.2">
      <c r="D1633" s="58" t="str">
        <f>IFERROR(IF(F1633&lt;&gt;"pending","",IF(OR($B1633="",$B1633="(blank)"),"",VLOOKUP($B1633,'Email Marketing Raw Data'!$C:$O,10,0))),"")</f>
        <v/>
      </c>
      <c r="E1633" s="59" t="str">
        <f>IFERROR(IF(F1633&lt;&gt;"pending","",IF(OR($B1633="",$B1633="(blank)"),"",VLOOKUP($B1633,'Email Marketing Raw Data'!$C:$O,11,0))),"")</f>
        <v/>
      </c>
      <c r="F1633" s="54" t="str">
        <f>IFERROR(IF(OR($B1633="",$B1633="(blank)"),"",VLOOKUP($B1633,'Email Marketing Raw Data'!$C:$O,13,0)),"")</f>
        <v/>
      </c>
      <c r="G1633" s="55" t="str">
        <f>IFERROR(IF(OR($B1633="",$B1633="(blank)"),"",VLOOKUP($B1633,'Email Marketing Raw Data'!$C:$O,4,0)),"")</f>
        <v/>
      </c>
      <c r="H1633" s="55" t="str">
        <f>IFERROR(IF(OR($B1633="",$B1633="(blank)"),"",VLOOKUP($B1633,'Email Marketing Raw Data'!$C:$O,5,0)),"")</f>
        <v/>
      </c>
      <c r="I1633" s="55" t="str">
        <f>IFERROR(IF($G1633="","",VLOOKUP('Dashboard And Emails Automate'!$G1633,Database!$H:$N,3,0)),"")</f>
        <v/>
      </c>
      <c r="J1633" s="55" t="str">
        <f>IFERROR(IF($G1633="","",VLOOKUP('Dashboard And Emails Automate'!$G1633,Database!$H:$N,4,0)),"")</f>
        <v/>
      </c>
      <c r="K1633" s="55" t="str">
        <f>IFERROR(IF($G1633="","",VLOOKUP('Dashboard And Emails Automate'!$G1633,Database!$H:$N,5,0)),"")</f>
        <v/>
      </c>
      <c r="L1633" s="55" t="str">
        <f>IFERROR(IF($G1633="","",VLOOKUP('Dashboard And Emails Automate'!$G1633,Database!$H:$N,6,0)),"")</f>
        <v/>
      </c>
      <c r="M1633" s="55" t="str">
        <f>IFERROR(IF($G1633="","",VLOOKUP('Dashboard And Emails Automate'!$G1633,Database!$H:$N,7,0)),"")</f>
        <v/>
      </c>
      <c r="N1633" s="55" t="str">
        <f>IFERROR(IF(OR($B1633="",$B1633="(blank)"),"",VLOOKUP($B1633,'Email Marketing Raw Data'!$C:$O,6,0)),"")</f>
        <v/>
      </c>
      <c r="O1633" s="55" t="str">
        <f>IFERROR(IF(OR($B1633="",$B1633="(blank)"),"",VLOOKUP($B1633,'Email Marketing Raw Data'!$C:$O,7,0)),"")</f>
        <v/>
      </c>
      <c r="P1633" s="55" t="str">
        <f>IFERROR(IF(OR($B1633="",$B1633="(blank)"),"",VLOOKUP($B1633,'Email Marketing Raw Data'!$C:$O,8,0)),"")</f>
        <v/>
      </c>
      <c r="Q1633" s="62" t="str">
        <f>IFERROR(IF(OR($B1633="",$B1633="(blank)"),"",VLOOKUP($B1633,'Email Marketing Raw Data'!$C:$O,9,0)),"")</f>
        <v/>
      </c>
    </row>
    <row r="1634" spans="4:17" ht="12.75" customHeight="1" x14ac:dyDescent="0.2">
      <c r="D1634" s="58" t="str">
        <f>IFERROR(IF(F1634&lt;&gt;"pending","",IF(OR($B1634="",$B1634="(blank)"),"",VLOOKUP($B1634,'Email Marketing Raw Data'!$C:$O,10,0))),"")</f>
        <v/>
      </c>
      <c r="E1634" s="59" t="str">
        <f>IFERROR(IF(F1634&lt;&gt;"pending","",IF(OR($B1634="",$B1634="(blank)"),"",VLOOKUP($B1634,'Email Marketing Raw Data'!$C:$O,11,0))),"")</f>
        <v/>
      </c>
      <c r="F1634" s="54" t="str">
        <f>IFERROR(IF(OR($B1634="",$B1634="(blank)"),"",VLOOKUP($B1634,'Email Marketing Raw Data'!$C:$O,13,0)),"")</f>
        <v/>
      </c>
      <c r="G1634" s="55" t="str">
        <f>IFERROR(IF(OR($B1634="",$B1634="(blank)"),"",VLOOKUP($B1634,'Email Marketing Raw Data'!$C:$O,4,0)),"")</f>
        <v/>
      </c>
      <c r="H1634" s="55" t="str">
        <f>IFERROR(IF(OR($B1634="",$B1634="(blank)"),"",VLOOKUP($B1634,'Email Marketing Raw Data'!$C:$O,5,0)),"")</f>
        <v/>
      </c>
      <c r="I1634" s="55" t="str">
        <f>IFERROR(IF($G1634="","",VLOOKUP('Dashboard And Emails Automate'!$G1634,Database!$H:$N,3,0)),"")</f>
        <v/>
      </c>
      <c r="J1634" s="55" t="str">
        <f>IFERROR(IF($G1634="","",VLOOKUP('Dashboard And Emails Automate'!$G1634,Database!$H:$N,4,0)),"")</f>
        <v/>
      </c>
      <c r="K1634" s="55" t="str">
        <f>IFERROR(IF($G1634="","",VLOOKUP('Dashboard And Emails Automate'!$G1634,Database!$H:$N,5,0)),"")</f>
        <v/>
      </c>
      <c r="L1634" s="55" t="str">
        <f>IFERROR(IF($G1634="","",VLOOKUP('Dashboard And Emails Automate'!$G1634,Database!$H:$N,6,0)),"")</f>
        <v/>
      </c>
      <c r="M1634" s="55" t="str">
        <f>IFERROR(IF($G1634="","",VLOOKUP('Dashboard And Emails Automate'!$G1634,Database!$H:$N,7,0)),"")</f>
        <v/>
      </c>
      <c r="N1634" s="55" t="str">
        <f>IFERROR(IF(OR($B1634="",$B1634="(blank)"),"",VLOOKUP($B1634,'Email Marketing Raw Data'!$C:$O,6,0)),"")</f>
        <v/>
      </c>
      <c r="O1634" s="55" t="str">
        <f>IFERROR(IF(OR($B1634="",$B1634="(blank)"),"",VLOOKUP($B1634,'Email Marketing Raw Data'!$C:$O,7,0)),"")</f>
        <v/>
      </c>
      <c r="P1634" s="55" t="str">
        <f>IFERROR(IF(OR($B1634="",$B1634="(blank)"),"",VLOOKUP($B1634,'Email Marketing Raw Data'!$C:$O,8,0)),"")</f>
        <v/>
      </c>
      <c r="Q1634" s="62" t="str">
        <f>IFERROR(IF(OR($B1634="",$B1634="(blank)"),"",VLOOKUP($B1634,'Email Marketing Raw Data'!$C:$O,9,0)),"")</f>
        <v/>
      </c>
    </row>
    <row r="1635" spans="4:17" ht="12.75" customHeight="1" x14ac:dyDescent="0.2">
      <c r="D1635" s="58" t="str">
        <f>IFERROR(IF(F1635&lt;&gt;"pending","",IF(OR($B1635="",$B1635="(blank)"),"",VLOOKUP($B1635,'Email Marketing Raw Data'!$C:$O,10,0))),"")</f>
        <v/>
      </c>
      <c r="E1635" s="59" t="str">
        <f>IFERROR(IF(F1635&lt;&gt;"pending","",IF(OR($B1635="",$B1635="(blank)"),"",VLOOKUP($B1635,'Email Marketing Raw Data'!$C:$O,11,0))),"")</f>
        <v/>
      </c>
      <c r="F1635" s="54" t="str">
        <f>IFERROR(IF(OR($B1635="",$B1635="(blank)"),"",VLOOKUP($B1635,'Email Marketing Raw Data'!$C:$O,13,0)),"")</f>
        <v/>
      </c>
      <c r="G1635" s="55" t="str">
        <f>IFERROR(IF(OR($B1635="",$B1635="(blank)"),"",VLOOKUP($B1635,'Email Marketing Raw Data'!$C:$O,4,0)),"")</f>
        <v/>
      </c>
      <c r="H1635" s="55" t="str">
        <f>IFERROR(IF(OR($B1635="",$B1635="(blank)"),"",VLOOKUP($B1635,'Email Marketing Raw Data'!$C:$O,5,0)),"")</f>
        <v/>
      </c>
      <c r="I1635" s="55" t="str">
        <f>IFERROR(IF($G1635="","",VLOOKUP('Dashboard And Emails Automate'!$G1635,Database!$H:$N,3,0)),"")</f>
        <v/>
      </c>
      <c r="J1635" s="55" t="str">
        <f>IFERROR(IF($G1635="","",VLOOKUP('Dashboard And Emails Automate'!$G1635,Database!$H:$N,4,0)),"")</f>
        <v/>
      </c>
      <c r="K1635" s="55" t="str">
        <f>IFERROR(IF($G1635="","",VLOOKUP('Dashboard And Emails Automate'!$G1635,Database!$H:$N,5,0)),"")</f>
        <v/>
      </c>
      <c r="L1635" s="55" t="str">
        <f>IFERROR(IF($G1635="","",VLOOKUP('Dashboard And Emails Automate'!$G1635,Database!$H:$N,6,0)),"")</f>
        <v/>
      </c>
      <c r="M1635" s="55" t="str">
        <f>IFERROR(IF($G1635="","",VLOOKUP('Dashboard And Emails Automate'!$G1635,Database!$H:$N,7,0)),"")</f>
        <v/>
      </c>
      <c r="N1635" s="55" t="str">
        <f>IFERROR(IF(OR($B1635="",$B1635="(blank)"),"",VLOOKUP($B1635,'Email Marketing Raw Data'!$C:$O,6,0)),"")</f>
        <v/>
      </c>
      <c r="O1635" s="55" t="str">
        <f>IFERROR(IF(OR($B1635="",$B1635="(blank)"),"",VLOOKUP($B1635,'Email Marketing Raw Data'!$C:$O,7,0)),"")</f>
        <v/>
      </c>
      <c r="P1635" s="55" t="str">
        <f>IFERROR(IF(OR($B1635="",$B1635="(blank)"),"",VLOOKUP($B1635,'Email Marketing Raw Data'!$C:$O,8,0)),"")</f>
        <v/>
      </c>
      <c r="Q1635" s="62" t="str">
        <f>IFERROR(IF(OR($B1635="",$B1635="(blank)"),"",VLOOKUP($B1635,'Email Marketing Raw Data'!$C:$O,9,0)),"")</f>
        <v/>
      </c>
    </row>
    <row r="1636" spans="4:17" ht="12.75" customHeight="1" x14ac:dyDescent="0.2">
      <c r="D1636" s="58" t="str">
        <f>IFERROR(IF(F1636&lt;&gt;"pending","",IF(OR($B1636="",$B1636="(blank)"),"",VLOOKUP($B1636,'Email Marketing Raw Data'!$C:$O,10,0))),"")</f>
        <v/>
      </c>
      <c r="E1636" s="59" t="str">
        <f>IFERROR(IF(F1636&lt;&gt;"pending","",IF(OR($B1636="",$B1636="(blank)"),"",VLOOKUP($B1636,'Email Marketing Raw Data'!$C:$O,11,0))),"")</f>
        <v/>
      </c>
      <c r="F1636" s="54" t="str">
        <f>IFERROR(IF(OR($B1636="",$B1636="(blank)"),"",VLOOKUP($B1636,'Email Marketing Raw Data'!$C:$O,13,0)),"")</f>
        <v/>
      </c>
      <c r="G1636" s="55" t="str">
        <f>IFERROR(IF(OR($B1636="",$B1636="(blank)"),"",VLOOKUP($B1636,'Email Marketing Raw Data'!$C:$O,4,0)),"")</f>
        <v/>
      </c>
      <c r="H1636" s="55" t="str">
        <f>IFERROR(IF(OR($B1636="",$B1636="(blank)"),"",VLOOKUP($B1636,'Email Marketing Raw Data'!$C:$O,5,0)),"")</f>
        <v/>
      </c>
      <c r="I1636" s="55" t="str">
        <f>IFERROR(IF($G1636="","",VLOOKUP('Dashboard And Emails Automate'!$G1636,Database!$H:$N,3,0)),"")</f>
        <v/>
      </c>
      <c r="J1636" s="55" t="str">
        <f>IFERROR(IF($G1636="","",VLOOKUP('Dashboard And Emails Automate'!$G1636,Database!$H:$N,4,0)),"")</f>
        <v/>
      </c>
      <c r="K1636" s="55" t="str">
        <f>IFERROR(IF($G1636="","",VLOOKUP('Dashboard And Emails Automate'!$G1636,Database!$H:$N,5,0)),"")</f>
        <v/>
      </c>
      <c r="L1636" s="55" t="str">
        <f>IFERROR(IF($G1636="","",VLOOKUP('Dashboard And Emails Automate'!$G1636,Database!$H:$N,6,0)),"")</f>
        <v/>
      </c>
      <c r="M1636" s="55" t="str">
        <f>IFERROR(IF($G1636="","",VLOOKUP('Dashboard And Emails Automate'!$G1636,Database!$H:$N,7,0)),"")</f>
        <v/>
      </c>
      <c r="N1636" s="55" t="str">
        <f>IFERROR(IF(OR($B1636="",$B1636="(blank)"),"",VLOOKUP($B1636,'Email Marketing Raw Data'!$C:$O,6,0)),"")</f>
        <v/>
      </c>
      <c r="O1636" s="55" t="str">
        <f>IFERROR(IF(OR($B1636="",$B1636="(blank)"),"",VLOOKUP($B1636,'Email Marketing Raw Data'!$C:$O,7,0)),"")</f>
        <v/>
      </c>
      <c r="P1636" s="55" t="str">
        <f>IFERROR(IF(OR($B1636="",$B1636="(blank)"),"",VLOOKUP($B1636,'Email Marketing Raw Data'!$C:$O,8,0)),"")</f>
        <v/>
      </c>
      <c r="Q1636" s="62" t="str">
        <f>IFERROR(IF(OR($B1636="",$B1636="(blank)"),"",VLOOKUP($B1636,'Email Marketing Raw Data'!$C:$O,9,0)),"")</f>
        <v/>
      </c>
    </row>
    <row r="1637" spans="4:17" ht="12.75" customHeight="1" x14ac:dyDescent="0.2">
      <c r="D1637" s="58" t="str">
        <f>IFERROR(IF(F1637&lt;&gt;"pending","",IF(OR($B1637="",$B1637="(blank)"),"",VLOOKUP($B1637,'Email Marketing Raw Data'!$C:$O,10,0))),"")</f>
        <v/>
      </c>
      <c r="E1637" s="59" t="str">
        <f>IFERROR(IF(F1637&lt;&gt;"pending","",IF(OR($B1637="",$B1637="(blank)"),"",VLOOKUP($B1637,'Email Marketing Raw Data'!$C:$O,11,0))),"")</f>
        <v/>
      </c>
      <c r="F1637" s="54" t="str">
        <f>IFERROR(IF(OR($B1637="",$B1637="(blank)"),"",VLOOKUP($B1637,'Email Marketing Raw Data'!$C:$O,13,0)),"")</f>
        <v/>
      </c>
      <c r="G1637" s="55" t="str">
        <f>IFERROR(IF(OR($B1637="",$B1637="(blank)"),"",VLOOKUP($B1637,'Email Marketing Raw Data'!$C:$O,4,0)),"")</f>
        <v/>
      </c>
      <c r="H1637" s="55" t="str">
        <f>IFERROR(IF(OR($B1637="",$B1637="(blank)"),"",VLOOKUP($B1637,'Email Marketing Raw Data'!$C:$O,5,0)),"")</f>
        <v/>
      </c>
      <c r="I1637" s="55" t="str">
        <f>IFERROR(IF($G1637="","",VLOOKUP('Dashboard And Emails Automate'!$G1637,Database!$H:$N,3,0)),"")</f>
        <v/>
      </c>
      <c r="J1637" s="55" t="str">
        <f>IFERROR(IF($G1637="","",VLOOKUP('Dashboard And Emails Automate'!$G1637,Database!$H:$N,4,0)),"")</f>
        <v/>
      </c>
      <c r="K1637" s="55" t="str">
        <f>IFERROR(IF($G1637="","",VLOOKUP('Dashboard And Emails Automate'!$G1637,Database!$H:$N,5,0)),"")</f>
        <v/>
      </c>
      <c r="L1637" s="55" t="str">
        <f>IFERROR(IF($G1637="","",VLOOKUP('Dashboard And Emails Automate'!$G1637,Database!$H:$N,6,0)),"")</f>
        <v/>
      </c>
      <c r="M1637" s="55" t="str">
        <f>IFERROR(IF($G1637="","",VLOOKUP('Dashboard And Emails Automate'!$G1637,Database!$H:$N,7,0)),"")</f>
        <v/>
      </c>
      <c r="N1637" s="55" t="str">
        <f>IFERROR(IF(OR($B1637="",$B1637="(blank)"),"",VLOOKUP($B1637,'Email Marketing Raw Data'!$C:$O,6,0)),"")</f>
        <v/>
      </c>
      <c r="O1637" s="55" t="str">
        <f>IFERROR(IF(OR($B1637="",$B1637="(blank)"),"",VLOOKUP($B1637,'Email Marketing Raw Data'!$C:$O,7,0)),"")</f>
        <v/>
      </c>
      <c r="P1637" s="55" t="str">
        <f>IFERROR(IF(OR($B1637="",$B1637="(blank)"),"",VLOOKUP($B1637,'Email Marketing Raw Data'!$C:$O,8,0)),"")</f>
        <v/>
      </c>
      <c r="Q1637" s="62" t="str">
        <f>IFERROR(IF(OR($B1637="",$B1637="(blank)"),"",VLOOKUP($B1637,'Email Marketing Raw Data'!$C:$O,9,0)),"")</f>
        <v/>
      </c>
    </row>
    <row r="1638" spans="4:17" ht="12.75" customHeight="1" x14ac:dyDescent="0.2">
      <c r="D1638" s="58" t="str">
        <f>IFERROR(IF(F1638&lt;&gt;"pending","",IF(OR($B1638="",$B1638="(blank)"),"",VLOOKUP($B1638,'Email Marketing Raw Data'!$C:$O,10,0))),"")</f>
        <v/>
      </c>
      <c r="E1638" s="59" t="str">
        <f>IFERROR(IF(F1638&lt;&gt;"pending","",IF(OR($B1638="",$B1638="(blank)"),"",VLOOKUP($B1638,'Email Marketing Raw Data'!$C:$O,11,0))),"")</f>
        <v/>
      </c>
      <c r="F1638" s="54" t="str">
        <f>IFERROR(IF(OR($B1638="",$B1638="(blank)"),"",VLOOKUP($B1638,'Email Marketing Raw Data'!$C:$O,13,0)),"")</f>
        <v/>
      </c>
      <c r="G1638" s="55" t="str">
        <f>IFERROR(IF(OR($B1638="",$B1638="(blank)"),"",VLOOKUP($B1638,'Email Marketing Raw Data'!$C:$O,4,0)),"")</f>
        <v/>
      </c>
      <c r="H1638" s="55" t="str">
        <f>IFERROR(IF(OR($B1638="",$B1638="(blank)"),"",VLOOKUP($B1638,'Email Marketing Raw Data'!$C:$O,5,0)),"")</f>
        <v/>
      </c>
      <c r="I1638" s="55" t="str">
        <f>IFERROR(IF($G1638="","",VLOOKUP('Dashboard And Emails Automate'!$G1638,Database!$H:$N,3,0)),"")</f>
        <v/>
      </c>
      <c r="J1638" s="55" t="str">
        <f>IFERROR(IF($G1638="","",VLOOKUP('Dashboard And Emails Automate'!$G1638,Database!$H:$N,4,0)),"")</f>
        <v/>
      </c>
      <c r="K1638" s="55" t="str">
        <f>IFERROR(IF($G1638="","",VLOOKUP('Dashboard And Emails Automate'!$G1638,Database!$H:$N,5,0)),"")</f>
        <v/>
      </c>
      <c r="L1638" s="55" t="str">
        <f>IFERROR(IF($G1638="","",VLOOKUP('Dashboard And Emails Automate'!$G1638,Database!$H:$N,6,0)),"")</f>
        <v/>
      </c>
      <c r="M1638" s="55" t="str">
        <f>IFERROR(IF($G1638="","",VLOOKUP('Dashboard And Emails Automate'!$G1638,Database!$H:$N,7,0)),"")</f>
        <v/>
      </c>
      <c r="N1638" s="55" t="str">
        <f>IFERROR(IF(OR($B1638="",$B1638="(blank)"),"",VLOOKUP($B1638,'Email Marketing Raw Data'!$C:$O,6,0)),"")</f>
        <v/>
      </c>
      <c r="O1638" s="55" t="str">
        <f>IFERROR(IF(OR($B1638="",$B1638="(blank)"),"",VLOOKUP($B1638,'Email Marketing Raw Data'!$C:$O,7,0)),"")</f>
        <v/>
      </c>
      <c r="P1638" s="55" t="str">
        <f>IFERROR(IF(OR($B1638="",$B1638="(blank)"),"",VLOOKUP($B1638,'Email Marketing Raw Data'!$C:$O,8,0)),"")</f>
        <v/>
      </c>
      <c r="Q1638" s="62" t="str">
        <f>IFERROR(IF(OR($B1638="",$B1638="(blank)"),"",VLOOKUP($B1638,'Email Marketing Raw Data'!$C:$O,9,0)),"")</f>
        <v/>
      </c>
    </row>
    <row r="1639" spans="4:17" ht="12.75" customHeight="1" x14ac:dyDescent="0.2">
      <c r="D1639" s="58" t="str">
        <f>IFERROR(IF(F1639&lt;&gt;"pending","",IF(OR($B1639="",$B1639="(blank)"),"",VLOOKUP($B1639,'Email Marketing Raw Data'!$C:$O,10,0))),"")</f>
        <v/>
      </c>
      <c r="E1639" s="59" t="str">
        <f>IFERROR(IF(F1639&lt;&gt;"pending","",IF(OR($B1639="",$B1639="(blank)"),"",VLOOKUP($B1639,'Email Marketing Raw Data'!$C:$O,11,0))),"")</f>
        <v/>
      </c>
      <c r="F1639" s="54" t="str">
        <f>IFERROR(IF(OR($B1639="",$B1639="(blank)"),"",VLOOKUP($B1639,'Email Marketing Raw Data'!$C:$O,13,0)),"")</f>
        <v/>
      </c>
      <c r="G1639" s="55" t="str">
        <f>IFERROR(IF(OR($B1639="",$B1639="(blank)"),"",VLOOKUP($B1639,'Email Marketing Raw Data'!$C:$O,4,0)),"")</f>
        <v/>
      </c>
      <c r="H1639" s="55" t="str">
        <f>IFERROR(IF(OR($B1639="",$B1639="(blank)"),"",VLOOKUP($B1639,'Email Marketing Raw Data'!$C:$O,5,0)),"")</f>
        <v/>
      </c>
      <c r="I1639" s="55" t="str">
        <f>IFERROR(IF($G1639="","",VLOOKUP('Dashboard And Emails Automate'!$G1639,Database!$H:$N,3,0)),"")</f>
        <v/>
      </c>
      <c r="J1639" s="55" t="str">
        <f>IFERROR(IF($G1639="","",VLOOKUP('Dashboard And Emails Automate'!$G1639,Database!$H:$N,4,0)),"")</f>
        <v/>
      </c>
      <c r="K1639" s="55" t="str">
        <f>IFERROR(IF($G1639="","",VLOOKUP('Dashboard And Emails Automate'!$G1639,Database!$H:$N,5,0)),"")</f>
        <v/>
      </c>
      <c r="L1639" s="55" t="str">
        <f>IFERROR(IF($G1639="","",VLOOKUP('Dashboard And Emails Automate'!$G1639,Database!$H:$N,6,0)),"")</f>
        <v/>
      </c>
      <c r="M1639" s="55" t="str">
        <f>IFERROR(IF($G1639="","",VLOOKUP('Dashboard And Emails Automate'!$G1639,Database!$H:$N,7,0)),"")</f>
        <v/>
      </c>
      <c r="N1639" s="55" t="str">
        <f>IFERROR(IF(OR($B1639="",$B1639="(blank)"),"",VLOOKUP($B1639,'Email Marketing Raw Data'!$C:$O,6,0)),"")</f>
        <v/>
      </c>
      <c r="O1639" s="55" t="str">
        <f>IFERROR(IF(OR($B1639="",$B1639="(blank)"),"",VLOOKUP($B1639,'Email Marketing Raw Data'!$C:$O,7,0)),"")</f>
        <v/>
      </c>
      <c r="P1639" s="55" t="str">
        <f>IFERROR(IF(OR($B1639="",$B1639="(blank)"),"",VLOOKUP($B1639,'Email Marketing Raw Data'!$C:$O,8,0)),"")</f>
        <v/>
      </c>
      <c r="Q1639" s="62" t="str">
        <f>IFERROR(IF(OR($B1639="",$B1639="(blank)"),"",VLOOKUP($B1639,'Email Marketing Raw Data'!$C:$O,9,0)),"")</f>
        <v/>
      </c>
    </row>
    <row r="1640" spans="4:17" ht="12.75" customHeight="1" x14ac:dyDescent="0.2">
      <c r="D1640" s="58" t="str">
        <f>IFERROR(IF(F1640&lt;&gt;"pending","",IF(OR($B1640="",$B1640="(blank)"),"",VLOOKUP($B1640,'Email Marketing Raw Data'!$C:$O,10,0))),"")</f>
        <v/>
      </c>
      <c r="E1640" s="59" t="str">
        <f>IFERROR(IF(F1640&lt;&gt;"pending","",IF(OR($B1640="",$B1640="(blank)"),"",VLOOKUP($B1640,'Email Marketing Raw Data'!$C:$O,11,0))),"")</f>
        <v/>
      </c>
      <c r="F1640" s="54" t="str">
        <f>IFERROR(IF(OR($B1640="",$B1640="(blank)"),"",VLOOKUP($B1640,'Email Marketing Raw Data'!$C:$O,13,0)),"")</f>
        <v/>
      </c>
      <c r="G1640" s="55" t="str">
        <f>IFERROR(IF(OR($B1640="",$B1640="(blank)"),"",VLOOKUP($B1640,'Email Marketing Raw Data'!$C:$O,4,0)),"")</f>
        <v/>
      </c>
      <c r="H1640" s="55" t="str">
        <f>IFERROR(IF(OR($B1640="",$B1640="(blank)"),"",VLOOKUP($B1640,'Email Marketing Raw Data'!$C:$O,5,0)),"")</f>
        <v/>
      </c>
      <c r="I1640" s="55" t="str">
        <f>IFERROR(IF($G1640="","",VLOOKUP('Dashboard And Emails Automate'!$G1640,Database!$H:$N,3,0)),"")</f>
        <v/>
      </c>
      <c r="J1640" s="55" t="str">
        <f>IFERROR(IF($G1640="","",VLOOKUP('Dashboard And Emails Automate'!$G1640,Database!$H:$N,4,0)),"")</f>
        <v/>
      </c>
      <c r="K1640" s="55" t="str">
        <f>IFERROR(IF($G1640="","",VLOOKUP('Dashboard And Emails Automate'!$G1640,Database!$H:$N,5,0)),"")</f>
        <v/>
      </c>
      <c r="L1640" s="55" t="str">
        <f>IFERROR(IF($G1640="","",VLOOKUP('Dashboard And Emails Automate'!$G1640,Database!$H:$N,6,0)),"")</f>
        <v/>
      </c>
      <c r="M1640" s="55" t="str">
        <f>IFERROR(IF($G1640="","",VLOOKUP('Dashboard And Emails Automate'!$G1640,Database!$H:$N,7,0)),"")</f>
        <v/>
      </c>
      <c r="N1640" s="55" t="str">
        <f>IFERROR(IF(OR($B1640="",$B1640="(blank)"),"",VLOOKUP($B1640,'Email Marketing Raw Data'!$C:$O,6,0)),"")</f>
        <v/>
      </c>
      <c r="O1640" s="55" t="str">
        <f>IFERROR(IF(OR($B1640="",$B1640="(blank)"),"",VLOOKUP($B1640,'Email Marketing Raw Data'!$C:$O,7,0)),"")</f>
        <v/>
      </c>
      <c r="P1640" s="55" t="str">
        <f>IFERROR(IF(OR($B1640="",$B1640="(blank)"),"",VLOOKUP($B1640,'Email Marketing Raw Data'!$C:$O,8,0)),"")</f>
        <v/>
      </c>
      <c r="Q1640" s="62" t="str">
        <f>IFERROR(IF(OR($B1640="",$B1640="(blank)"),"",VLOOKUP($B1640,'Email Marketing Raw Data'!$C:$O,9,0)),"")</f>
        <v/>
      </c>
    </row>
    <row r="1641" spans="4:17" ht="12.75" customHeight="1" x14ac:dyDescent="0.2">
      <c r="D1641" s="58" t="str">
        <f>IFERROR(IF(F1641&lt;&gt;"pending","",IF(OR($B1641="",$B1641="(blank)"),"",VLOOKUP($B1641,'Email Marketing Raw Data'!$C:$O,10,0))),"")</f>
        <v/>
      </c>
      <c r="E1641" s="59" t="str">
        <f>IFERROR(IF(F1641&lt;&gt;"pending","",IF(OR($B1641="",$B1641="(blank)"),"",VLOOKUP($B1641,'Email Marketing Raw Data'!$C:$O,11,0))),"")</f>
        <v/>
      </c>
      <c r="F1641" s="54" t="str">
        <f>IFERROR(IF(OR($B1641="",$B1641="(blank)"),"",VLOOKUP($B1641,'Email Marketing Raw Data'!$C:$O,13,0)),"")</f>
        <v/>
      </c>
      <c r="G1641" s="55" t="str">
        <f>IFERROR(IF(OR($B1641="",$B1641="(blank)"),"",VLOOKUP($B1641,'Email Marketing Raw Data'!$C:$O,4,0)),"")</f>
        <v/>
      </c>
      <c r="H1641" s="55" t="str">
        <f>IFERROR(IF(OR($B1641="",$B1641="(blank)"),"",VLOOKUP($B1641,'Email Marketing Raw Data'!$C:$O,5,0)),"")</f>
        <v/>
      </c>
      <c r="I1641" s="55" t="str">
        <f>IFERROR(IF($G1641="","",VLOOKUP('Dashboard And Emails Automate'!$G1641,Database!$H:$N,3,0)),"")</f>
        <v/>
      </c>
      <c r="J1641" s="55" t="str">
        <f>IFERROR(IF($G1641="","",VLOOKUP('Dashboard And Emails Automate'!$G1641,Database!$H:$N,4,0)),"")</f>
        <v/>
      </c>
      <c r="K1641" s="55" t="str">
        <f>IFERROR(IF($G1641="","",VLOOKUP('Dashboard And Emails Automate'!$G1641,Database!$H:$N,5,0)),"")</f>
        <v/>
      </c>
      <c r="L1641" s="55" t="str">
        <f>IFERROR(IF($G1641="","",VLOOKUP('Dashboard And Emails Automate'!$G1641,Database!$H:$N,6,0)),"")</f>
        <v/>
      </c>
      <c r="M1641" s="55" t="str">
        <f>IFERROR(IF($G1641="","",VLOOKUP('Dashboard And Emails Automate'!$G1641,Database!$H:$N,7,0)),"")</f>
        <v/>
      </c>
      <c r="N1641" s="55" t="str">
        <f>IFERROR(IF(OR($B1641="",$B1641="(blank)"),"",VLOOKUP($B1641,'Email Marketing Raw Data'!$C:$O,6,0)),"")</f>
        <v/>
      </c>
      <c r="O1641" s="55" t="str">
        <f>IFERROR(IF(OR($B1641="",$B1641="(blank)"),"",VLOOKUP($B1641,'Email Marketing Raw Data'!$C:$O,7,0)),"")</f>
        <v/>
      </c>
      <c r="P1641" s="55" t="str">
        <f>IFERROR(IF(OR($B1641="",$B1641="(blank)"),"",VLOOKUP($B1641,'Email Marketing Raw Data'!$C:$O,8,0)),"")</f>
        <v/>
      </c>
      <c r="Q1641" s="62" t="str">
        <f>IFERROR(IF(OR($B1641="",$B1641="(blank)"),"",VLOOKUP($B1641,'Email Marketing Raw Data'!$C:$O,9,0)),"")</f>
        <v/>
      </c>
    </row>
    <row r="1642" spans="4:17" ht="12.75" customHeight="1" x14ac:dyDescent="0.2">
      <c r="D1642" s="58" t="str">
        <f>IFERROR(IF(F1642&lt;&gt;"pending","",IF(OR($B1642="",$B1642="(blank)"),"",VLOOKUP($B1642,'Email Marketing Raw Data'!$C:$O,10,0))),"")</f>
        <v/>
      </c>
      <c r="E1642" s="59" t="str">
        <f>IFERROR(IF(F1642&lt;&gt;"pending","",IF(OR($B1642="",$B1642="(blank)"),"",VLOOKUP($B1642,'Email Marketing Raw Data'!$C:$O,11,0))),"")</f>
        <v/>
      </c>
      <c r="F1642" s="54" t="str">
        <f>IFERROR(IF(OR($B1642="",$B1642="(blank)"),"",VLOOKUP($B1642,'Email Marketing Raw Data'!$C:$O,13,0)),"")</f>
        <v/>
      </c>
      <c r="G1642" s="55" t="str">
        <f>IFERROR(IF(OR($B1642="",$B1642="(blank)"),"",VLOOKUP($B1642,'Email Marketing Raw Data'!$C:$O,4,0)),"")</f>
        <v/>
      </c>
      <c r="H1642" s="55" t="str">
        <f>IFERROR(IF(OR($B1642="",$B1642="(blank)"),"",VLOOKUP($B1642,'Email Marketing Raw Data'!$C:$O,5,0)),"")</f>
        <v/>
      </c>
      <c r="I1642" s="55" t="str">
        <f>IFERROR(IF($G1642="","",VLOOKUP('Dashboard And Emails Automate'!$G1642,Database!$H:$N,3,0)),"")</f>
        <v/>
      </c>
      <c r="J1642" s="55" t="str">
        <f>IFERROR(IF($G1642="","",VLOOKUP('Dashboard And Emails Automate'!$G1642,Database!$H:$N,4,0)),"")</f>
        <v/>
      </c>
      <c r="K1642" s="55" t="str">
        <f>IFERROR(IF($G1642="","",VLOOKUP('Dashboard And Emails Automate'!$G1642,Database!$H:$N,5,0)),"")</f>
        <v/>
      </c>
      <c r="L1642" s="55" t="str">
        <f>IFERROR(IF($G1642="","",VLOOKUP('Dashboard And Emails Automate'!$G1642,Database!$H:$N,6,0)),"")</f>
        <v/>
      </c>
      <c r="M1642" s="55" t="str">
        <f>IFERROR(IF($G1642="","",VLOOKUP('Dashboard And Emails Automate'!$G1642,Database!$H:$N,7,0)),"")</f>
        <v/>
      </c>
      <c r="N1642" s="55" t="str">
        <f>IFERROR(IF(OR($B1642="",$B1642="(blank)"),"",VLOOKUP($B1642,'Email Marketing Raw Data'!$C:$O,6,0)),"")</f>
        <v/>
      </c>
      <c r="O1642" s="55" t="str">
        <f>IFERROR(IF(OR($B1642="",$B1642="(blank)"),"",VLOOKUP($B1642,'Email Marketing Raw Data'!$C:$O,7,0)),"")</f>
        <v/>
      </c>
      <c r="P1642" s="55" t="str">
        <f>IFERROR(IF(OR($B1642="",$B1642="(blank)"),"",VLOOKUP($B1642,'Email Marketing Raw Data'!$C:$O,8,0)),"")</f>
        <v/>
      </c>
      <c r="Q1642" s="62" t="str">
        <f>IFERROR(IF(OR($B1642="",$B1642="(blank)"),"",VLOOKUP($B1642,'Email Marketing Raw Data'!$C:$O,9,0)),"")</f>
        <v/>
      </c>
    </row>
    <row r="1643" spans="4:17" ht="12.75" customHeight="1" x14ac:dyDescent="0.2">
      <c r="D1643" s="58" t="str">
        <f>IFERROR(IF(F1643&lt;&gt;"pending","",IF(OR($B1643="",$B1643="(blank)"),"",VLOOKUP($B1643,'Email Marketing Raw Data'!$C:$O,10,0))),"")</f>
        <v/>
      </c>
      <c r="E1643" s="59" t="str">
        <f>IFERROR(IF(F1643&lt;&gt;"pending","",IF(OR($B1643="",$B1643="(blank)"),"",VLOOKUP($B1643,'Email Marketing Raw Data'!$C:$O,11,0))),"")</f>
        <v/>
      </c>
      <c r="F1643" s="54" t="str">
        <f>IFERROR(IF(OR($B1643="",$B1643="(blank)"),"",VLOOKUP($B1643,'Email Marketing Raw Data'!$C:$O,13,0)),"")</f>
        <v/>
      </c>
      <c r="G1643" s="55" t="str">
        <f>IFERROR(IF(OR($B1643="",$B1643="(blank)"),"",VLOOKUP($B1643,'Email Marketing Raw Data'!$C:$O,4,0)),"")</f>
        <v/>
      </c>
      <c r="H1643" s="55" t="str">
        <f>IFERROR(IF(OR($B1643="",$B1643="(blank)"),"",VLOOKUP($B1643,'Email Marketing Raw Data'!$C:$O,5,0)),"")</f>
        <v/>
      </c>
      <c r="I1643" s="55" t="str">
        <f>IFERROR(IF($G1643="","",VLOOKUP('Dashboard And Emails Automate'!$G1643,Database!$H:$N,3,0)),"")</f>
        <v/>
      </c>
      <c r="J1643" s="55" t="str">
        <f>IFERROR(IF($G1643="","",VLOOKUP('Dashboard And Emails Automate'!$G1643,Database!$H:$N,4,0)),"")</f>
        <v/>
      </c>
      <c r="K1643" s="55" t="str">
        <f>IFERROR(IF($G1643="","",VLOOKUP('Dashboard And Emails Automate'!$G1643,Database!$H:$N,5,0)),"")</f>
        <v/>
      </c>
      <c r="L1643" s="55" t="str">
        <f>IFERROR(IF($G1643="","",VLOOKUP('Dashboard And Emails Automate'!$G1643,Database!$H:$N,6,0)),"")</f>
        <v/>
      </c>
      <c r="M1643" s="55" t="str">
        <f>IFERROR(IF($G1643="","",VLOOKUP('Dashboard And Emails Automate'!$G1643,Database!$H:$N,7,0)),"")</f>
        <v/>
      </c>
      <c r="N1643" s="55" t="str">
        <f>IFERROR(IF(OR($B1643="",$B1643="(blank)"),"",VLOOKUP($B1643,'Email Marketing Raw Data'!$C:$O,6,0)),"")</f>
        <v/>
      </c>
      <c r="O1643" s="55" t="str">
        <f>IFERROR(IF(OR($B1643="",$B1643="(blank)"),"",VLOOKUP($B1643,'Email Marketing Raw Data'!$C:$O,7,0)),"")</f>
        <v/>
      </c>
      <c r="P1643" s="55" t="str">
        <f>IFERROR(IF(OR($B1643="",$B1643="(blank)"),"",VLOOKUP($B1643,'Email Marketing Raw Data'!$C:$O,8,0)),"")</f>
        <v/>
      </c>
      <c r="Q1643" s="62" t="str">
        <f>IFERROR(IF(OR($B1643="",$B1643="(blank)"),"",VLOOKUP($B1643,'Email Marketing Raw Data'!$C:$O,9,0)),"")</f>
        <v/>
      </c>
    </row>
    <row r="1644" spans="4:17" ht="12.75" customHeight="1" x14ac:dyDescent="0.2">
      <c r="D1644" s="58" t="str">
        <f>IFERROR(IF(F1644&lt;&gt;"pending","",IF(OR($B1644="",$B1644="(blank)"),"",VLOOKUP($B1644,'Email Marketing Raw Data'!$C:$O,10,0))),"")</f>
        <v/>
      </c>
      <c r="E1644" s="59" t="str">
        <f>IFERROR(IF(F1644&lt;&gt;"pending","",IF(OR($B1644="",$B1644="(blank)"),"",VLOOKUP($B1644,'Email Marketing Raw Data'!$C:$O,11,0))),"")</f>
        <v/>
      </c>
      <c r="F1644" s="54" t="str">
        <f>IFERROR(IF(OR($B1644="",$B1644="(blank)"),"",VLOOKUP($B1644,'Email Marketing Raw Data'!$C:$O,13,0)),"")</f>
        <v/>
      </c>
      <c r="G1644" s="55" t="str">
        <f>IFERROR(IF(OR($B1644="",$B1644="(blank)"),"",VLOOKUP($B1644,'Email Marketing Raw Data'!$C:$O,4,0)),"")</f>
        <v/>
      </c>
      <c r="H1644" s="55" t="str">
        <f>IFERROR(IF(OR($B1644="",$B1644="(blank)"),"",VLOOKUP($B1644,'Email Marketing Raw Data'!$C:$O,5,0)),"")</f>
        <v/>
      </c>
      <c r="I1644" s="55" t="str">
        <f>IFERROR(IF($G1644="","",VLOOKUP('Dashboard And Emails Automate'!$G1644,Database!$H:$N,3,0)),"")</f>
        <v/>
      </c>
      <c r="J1644" s="55" t="str">
        <f>IFERROR(IF($G1644="","",VLOOKUP('Dashboard And Emails Automate'!$G1644,Database!$H:$N,4,0)),"")</f>
        <v/>
      </c>
      <c r="K1644" s="55" t="str">
        <f>IFERROR(IF($G1644="","",VLOOKUP('Dashboard And Emails Automate'!$G1644,Database!$H:$N,5,0)),"")</f>
        <v/>
      </c>
      <c r="L1644" s="55" t="str">
        <f>IFERROR(IF($G1644="","",VLOOKUP('Dashboard And Emails Automate'!$G1644,Database!$H:$N,6,0)),"")</f>
        <v/>
      </c>
      <c r="M1644" s="55" t="str">
        <f>IFERROR(IF($G1644="","",VLOOKUP('Dashboard And Emails Automate'!$G1644,Database!$H:$N,7,0)),"")</f>
        <v/>
      </c>
      <c r="N1644" s="55" t="str">
        <f>IFERROR(IF(OR($B1644="",$B1644="(blank)"),"",VLOOKUP($B1644,'Email Marketing Raw Data'!$C:$O,6,0)),"")</f>
        <v/>
      </c>
      <c r="O1644" s="55" t="str">
        <f>IFERROR(IF(OR($B1644="",$B1644="(blank)"),"",VLOOKUP($B1644,'Email Marketing Raw Data'!$C:$O,7,0)),"")</f>
        <v/>
      </c>
      <c r="P1644" s="55" t="str">
        <f>IFERROR(IF(OR($B1644="",$B1644="(blank)"),"",VLOOKUP($B1644,'Email Marketing Raw Data'!$C:$O,8,0)),"")</f>
        <v/>
      </c>
      <c r="Q1644" s="62" t="str">
        <f>IFERROR(IF(OR($B1644="",$B1644="(blank)"),"",VLOOKUP($B1644,'Email Marketing Raw Data'!$C:$O,9,0)),"")</f>
        <v/>
      </c>
    </row>
    <row r="1645" spans="4:17" ht="12.75" customHeight="1" x14ac:dyDescent="0.2">
      <c r="D1645" s="58" t="str">
        <f>IFERROR(IF(F1645&lt;&gt;"pending","",IF(OR($B1645="",$B1645="(blank)"),"",VLOOKUP($B1645,'Email Marketing Raw Data'!$C:$O,10,0))),"")</f>
        <v/>
      </c>
      <c r="E1645" s="59" t="str">
        <f>IFERROR(IF(F1645&lt;&gt;"pending","",IF(OR($B1645="",$B1645="(blank)"),"",VLOOKUP($B1645,'Email Marketing Raw Data'!$C:$O,11,0))),"")</f>
        <v/>
      </c>
      <c r="F1645" s="54" t="str">
        <f>IFERROR(IF(OR($B1645="",$B1645="(blank)"),"",VLOOKUP($B1645,'Email Marketing Raw Data'!$C:$O,13,0)),"")</f>
        <v/>
      </c>
      <c r="G1645" s="55" t="str">
        <f>IFERROR(IF(OR($B1645="",$B1645="(blank)"),"",VLOOKUP($B1645,'Email Marketing Raw Data'!$C:$O,4,0)),"")</f>
        <v/>
      </c>
      <c r="H1645" s="55" t="str">
        <f>IFERROR(IF(OR($B1645="",$B1645="(blank)"),"",VLOOKUP($B1645,'Email Marketing Raw Data'!$C:$O,5,0)),"")</f>
        <v/>
      </c>
      <c r="I1645" s="55" t="str">
        <f>IFERROR(IF($G1645="","",VLOOKUP('Dashboard And Emails Automate'!$G1645,Database!$H:$N,3,0)),"")</f>
        <v/>
      </c>
      <c r="J1645" s="55" t="str">
        <f>IFERROR(IF($G1645="","",VLOOKUP('Dashboard And Emails Automate'!$G1645,Database!$H:$N,4,0)),"")</f>
        <v/>
      </c>
      <c r="K1645" s="55" t="str">
        <f>IFERROR(IF($G1645="","",VLOOKUP('Dashboard And Emails Automate'!$G1645,Database!$H:$N,5,0)),"")</f>
        <v/>
      </c>
      <c r="L1645" s="55" t="str">
        <f>IFERROR(IF($G1645="","",VLOOKUP('Dashboard And Emails Automate'!$G1645,Database!$H:$N,6,0)),"")</f>
        <v/>
      </c>
      <c r="M1645" s="55" t="str">
        <f>IFERROR(IF($G1645="","",VLOOKUP('Dashboard And Emails Automate'!$G1645,Database!$H:$N,7,0)),"")</f>
        <v/>
      </c>
      <c r="N1645" s="55" t="str">
        <f>IFERROR(IF(OR($B1645="",$B1645="(blank)"),"",VLOOKUP($B1645,'Email Marketing Raw Data'!$C:$O,6,0)),"")</f>
        <v/>
      </c>
      <c r="O1645" s="55" t="str">
        <f>IFERROR(IF(OR($B1645="",$B1645="(blank)"),"",VLOOKUP($B1645,'Email Marketing Raw Data'!$C:$O,7,0)),"")</f>
        <v/>
      </c>
      <c r="P1645" s="55" t="str">
        <f>IFERROR(IF(OR($B1645="",$B1645="(blank)"),"",VLOOKUP($B1645,'Email Marketing Raw Data'!$C:$O,8,0)),"")</f>
        <v/>
      </c>
      <c r="Q1645" s="62" t="str">
        <f>IFERROR(IF(OR($B1645="",$B1645="(blank)"),"",VLOOKUP($B1645,'Email Marketing Raw Data'!$C:$O,9,0)),"")</f>
        <v/>
      </c>
    </row>
    <row r="1646" spans="4:17" ht="12.75" customHeight="1" x14ac:dyDescent="0.2">
      <c r="D1646" s="58" t="str">
        <f>IFERROR(IF(F1646&lt;&gt;"pending","",IF(OR($B1646="",$B1646="(blank)"),"",VLOOKUP($B1646,'Email Marketing Raw Data'!$C:$O,10,0))),"")</f>
        <v/>
      </c>
      <c r="E1646" s="59" t="str">
        <f>IFERROR(IF(F1646&lt;&gt;"pending","",IF(OR($B1646="",$B1646="(blank)"),"",VLOOKUP($B1646,'Email Marketing Raw Data'!$C:$O,11,0))),"")</f>
        <v/>
      </c>
      <c r="F1646" s="54" t="str">
        <f>IFERROR(IF(OR($B1646="",$B1646="(blank)"),"",VLOOKUP($B1646,'Email Marketing Raw Data'!$C:$O,13,0)),"")</f>
        <v/>
      </c>
      <c r="G1646" s="55" t="str">
        <f>IFERROR(IF(OR($B1646="",$B1646="(blank)"),"",VLOOKUP($B1646,'Email Marketing Raw Data'!$C:$O,4,0)),"")</f>
        <v/>
      </c>
      <c r="H1646" s="55" t="str">
        <f>IFERROR(IF(OR($B1646="",$B1646="(blank)"),"",VLOOKUP($B1646,'Email Marketing Raw Data'!$C:$O,5,0)),"")</f>
        <v/>
      </c>
      <c r="I1646" s="55" t="str">
        <f>IFERROR(IF($G1646="","",VLOOKUP('Dashboard And Emails Automate'!$G1646,Database!$H:$N,3,0)),"")</f>
        <v/>
      </c>
      <c r="J1646" s="55" t="str">
        <f>IFERROR(IF($G1646="","",VLOOKUP('Dashboard And Emails Automate'!$G1646,Database!$H:$N,4,0)),"")</f>
        <v/>
      </c>
      <c r="K1646" s="55" t="str">
        <f>IFERROR(IF($G1646="","",VLOOKUP('Dashboard And Emails Automate'!$G1646,Database!$H:$N,5,0)),"")</f>
        <v/>
      </c>
      <c r="L1646" s="55" t="str">
        <f>IFERROR(IF($G1646="","",VLOOKUP('Dashboard And Emails Automate'!$G1646,Database!$H:$N,6,0)),"")</f>
        <v/>
      </c>
      <c r="M1646" s="55" t="str">
        <f>IFERROR(IF($G1646="","",VLOOKUP('Dashboard And Emails Automate'!$G1646,Database!$H:$N,7,0)),"")</f>
        <v/>
      </c>
      <c r="N1646" s="55" t="str">
        <f>IFERROR(IF(OR($B1646="",$B1646="(blank)"),"",VLOOKUP($B1646,'Email Marketing Raw Data'!$C:$O,6,0)),"")</f>
        <v/>
      </c>
      <c r="O1646" s="55" t="str">
        <f>IFERROR(IF(OR($B1646="",$B1646="(blank)"),"",VLOOKUP($B1646,'Email Marketing Raw Data'!$C:$O,7,0)),"")</f>
        <v/>
      </c>
      <c r="P1646" s="55" t="str">
        <f>IFERROR(IF(OR($B1646="",$B1646="(blank)"),"",VLOOKUP($B1646,'Email Marketing Raw Data'!$C:$O,8,0)),"")</f>
        <v/>
      </c>
      <c r="Q1646" s="62" t="str">
        <f>IFERROR(IF(OR($B1646="",$B1646="(blank)"),"",VLOOKUP($B1646,'Email Marketing Raw Data'!$C:$O,9,0)),"")</f>
        <v/>
      </c>
    </row>
    <row r="1647" spans="4:17" ht="12.75" customHeight="1" x14ac:dyDescent="0.2">
      <c r="D1647" s="58" t="str">
        <f>IFERROR(IF(F1647&lt;&gt;"pending","",IF(OR($B1647="",$B1647="(blank)"),"",VLOOKUP($B1647,'Email Marketing Raw Data'!$C:$O,10,0))),"")</f>
        <v/>
      </c>
      <c r="E1647" s="59" t="str">
        <f>IFERROR(IF(F1647&lt;&gt;"pending","",IF(OR($B1647="",$B1647="(blank)"),"",VLOOKUP($B1647,'Email Marketing Raw Data'!$C:$O,11,0))),"")</f>
        <v/>
      </c>
      <c r="F1647" s="54" t="str">
        <f>IFERROR(IF(OR($B1647="",$B1647="(blank)"),"",VLOOKUP($B1647,'Email Marketing Raw Data'!$C:$O,13,0)),"")</f>
        <v/>
      </c>
      <c r="G1647" s="55" t="str">
        <f>IFERROR(IF(OR($B1647="",$B1647="(blank)"),"",VLOOKUP($B1647,'Email Marketing Raw Data'!$C:$O,4,0)),"")</f>
        <v/>
      </c>
      <c r="H1647" s="55" t="str">
        <f>IFERROR(IF(OR($B1647="",$B1647="(blank)"),"",VLOOKUP($B1647,'Email Marketing Raw Data'!$C:$O,5,0)),"")</f>
        <v/>
      </c>
      <c r="I1647" s="55" t="str">
        <f>IFERROR(IF($G1647="","",VLOOKUP('Dashboard And Emails Automate'!$G1647,Database!$H:$N,3,0)),"")</f>
        <v/>
      </c>
      <c r="J1647" s="55" t="str">
        <f>IFERROR(IF($G1647="","",VLOOKUP('Dashboard And Emails Automate'!$G1647,Database!$H:$N,4,0)),"")</f>
        <v/>
      </c>
      <c r="K1647" s="55" t="str">
        <f>IFERROR(IF($G1647="","",VLOOKUP('Dashboard And Emails Automate'!$G1647,Database!$H:$N,5,0)),"")</f>
        <v/>
      </c>
      <c r="L1647" s="55" t="str">
        <f>IFERROR(IF($G1647="","",VLOOKUP('Dashboard And Emails Automate'!$G1647,Database!$H:$N,6,0)),"")</f>
        <v/>
      </c>
      <c r="M1647" s="55" t="str">
        <f>IFERROR(IF($G1647="","",VLOOKUP('Dashboard And Emails Automate'!$G1647,Database!$H:$N,7,0)),"")</f>
        <v/>
      </c>
      <c r="N1647" s="55" t="str">
        <f>IFERROR(IF(OR($B1647="",$B1647="(blank)"),"",VLOOKUP($B1647,'Email Marketing Raw Data'!$C:$O,6,0)),"")</f>
        <v/>
      </c>
      <c r="O1647" s="55" t="str">
        <f>IFERROR(IF(OR($B1647="",$B1647="(blank)"),"",VLOOKUP($B1647,'Email Marketing Raw Data'!$C:$O,7,0)),"")</f>
        <v/>
      </c>
      <c r="P1647" s="55" t="str">
        <f>IFERROR(IF(OR($B1647="",$B1647="(blank)"),"",VLOOKUP($B1647,'Email Marketing Raw Data'!$C:$O,8,0)),"")</f>
        <v/>
      </c>
      <c r="Q1647" s="62" t="str">
        <f>IFERROR(IF(OR($B1647="",$B1647="(blank)"),"",VLOOKUP($B1647,'Email Marketing Raw Data'!$C:$O,9,0)),"")</f>
        <v/>
      </c>
    </row>
    <row r="1648" spans="4:17" ht="12.75" customHeight="1" x14ac:dyDescent="0.2">
      <c r="D1648" s="58" t="str">
        <f>IFERROR(IF(F1648&lt;&gt;"pending","",IF(OR($B1648="",$B1648="(blank)"),"",VLOOKUP($B1648,'Email Marketing Raw Data'!$C:$O,10,0))),"")</f>
        <v/>
      </c>
      <c r="E1648" s="59" t="str">
        <f>IFERROR(IF(F1648&lt;&gt;"pending","",IF(OR($B1648="",$B1648="(blank)"),"",VLOOKUP($B1648,'Email Marketing Raw Data'!$C:$O,11,0))),"")</f>
        <v/>
      </c>
      <c r="F1648" s="54" t="str">
        <f>IFERROR(IF(OR($B1648="",$B1648="(blank)"),"",VLOOKUP($B1648,'Email Marketing Raw Data'!$C:$O,13,0)),"")</f>
        <v/>
      </c>
      <c r="G1648" s="55" t="str">
        <f>IFERROR(IF(OR($B1648="",$B1648="(blank)"),"",VLOOKUP($B1648,'Email Marketing Raw Data'!$C:$O,4,0)),"")</f>
        <v/>
      </c>
      <c r="H1648" s="55" t="str">
        <f>IFERROR(IF(OR($B1648="",$B1648="(blank)"),"",VLOOKUP($B1648,'Email Marketing Raw Data'!$C:$O,5,0)),"")</f>
        <v/>
      </c>
      <c r="I1648" s="55" t="str">
        <f>IFERROR(IF($G1648="","",VLOOKUP('Dashboard And Emails Automate'!$G1648,Database!$H:$N,3,0)),"")</f>
        <v/>
      </c>
      <c r="J1648" s="55" t="str">
        <f>IFERROR(IF($G1648="","",VLOOKUP('Dashboard And Emails Automate'!$G1648,Database!$H:$N,4,0)),"")</f>
        <v/>
      </c>
      <c r="K1648" s="55" t="str">
        <f>IFERROR(IF($G1648="","",VLOOKUP('Dashboard And Emails Automate'!$G1648,Database!$H:$N,5,0)),"")</f>
        <v/>
      </c>
      <c r="L1648" s="55" t="str">
        <f>IFERROR(IF($G1648="","",VLOOKUP('Dashboard And Emails Automate'!$G1648,Database!$H:$N,6,0)),"")</f>
        <v/>
      </c>
      <c r="M1648" s="55" t="str">
        <f>IFERROR(IF($G1648="","",VLOOKUP('Dashboard And Emails Automate'!$G1648,Database!$H:$N,7,0)),"")</f>
        <v/>
      </c>
      <c r="N1648" s="55" t="str">
        <f>IFERROR(IF(OR($B1648="",$B1648="(blank)"),"",VLOOKUP($B1648,'Email Marketing Raw Data'!$C:$O,6,0)),"")</f>
        <v/>
      </c>
      <c r="O1648" s="55" t="str">
        <f>IFERROR(IF(OR($B1648="",$B1648="(blank)"),"",VLOOKUP($B1648,'Email Marketing Raw Data'!$C:$O,7,0)),"")</f>
        <v/>
      </c>
      <c r="P1648" s="55" t="str">
        <f>IFERROR(IF(OR($B1648="",$B1648="(blank)"),"",VLOOKUP($B1648,'Email Marketing Raw Data'!$C:$O,8,0)),"")</f>
        <v/>
      </c>
      <c r="Q1648" s="62" t="str">
        <f>IFERROR(IF(OR($B1648="",$B1648="(blank)"),"",VLOOKUP($B1648,'Email Marketing Raw Data'!$C:$O,9,0)),"")</f>
        <v/>
      </c>
    </row>
    <row r="1649" spans="4:17" ht="12.75" customHeight="1" x14ac:dyDescent="0.2">
      <c r="D1649" s="58" t="str">
        <f>IFERROR(IF(F1649&lt;&gt;"pending","",IF(OR($B1649="",$B1649="(blank)"),"",VLOOKUP($B1649,'Email Marketing Raw Data'!$C:$O,10,0))),"")</f>
        <v/>
      </c>
      <c r="E1649" s="59" t="str">
        <f>IFERROR(IF(F1649&lt;&gt;"pending","",IF(OR($B1649="",$B1649="(blank)"),"",VLOOKUP($B1649,'Email Marketing Raw Data'!$C:$O,11,0))),"")</f>
        <v/>
      </c>
      <c r="F1649" s="54" t="str">
        <f>IFERROR(IF(OR($B1649="",$B1649="(blank)"),"",VLOOKUP($B1649,'Email Marketing Raw Data'!$C:$O,13,0)),"")</f>
        <v/>
      </c>
      <c r="G1649" s="55" t="str">
        <f>IFERROR(IF(OR($B1649="",$B1649="(blank)"),"",VLOOKUP($B1649,'Email Marketing Raw Data'!$C:$O,4,0)),"")</f>
        <v/>
      </c>
      <c r="H1649" s="55" t="str">
        <f>IFERROR(IF(OR($B1649="",$B1649="(blank)"),"",VLOOKUP($B1649,'Email Marketing Raw Data'!$C:$O,5,0)),"")</f>
        <v/>
      </c>
      <c r="I1649" s="55" t="str">
        <f>IFERROR(IF($G1649="","",VLOOKUP('Dashboard And Emails Automate'!$G1649,Database!$H:$N,3,0)),"")</f>
        <v/>
      </c>
      <c r="J1649" s="55" t="str">
        <f>IFERROR(IF($G1649="","",VLOOKUP('Dashboard And Emails Automate'!$G1649,Database!$H:$N,4,0)),"")</f>
        <v/>
      </c>
      <c r="K1649" s="55" t="str">
        <f>IFERROR(IF($G1649="","",VLOOKUP('Dashboard And Emails Automate'!$G1649,Database!$H:$N,5,0)),"")</f>
        <v/>
      </c>
      <c r="L1649" s="55" t="str">
        <f>IFERROR(IF($G1649="","",VLOOKUP('Dashboard And Emails Automate'!$G1649,Database!$H:$N,6,0)),"")</f>
        <v/>
      </c>
      <c r="M1649" s="55" t="str">
        <f>IFERROR(IF($G1649="","",VLOOKUP('Dashboard And Emails Automate'!$G1649,Database!$H:$N,7,0)),"")</f>
        <v/>
      </c>
      <c r="N1649" s="55" t="str">
        <f>IFERROR(IF(OR($B1649="",$B1649="(blank)"),"",VLOOKUP($B1649,'Email Marketing Raw Data'!$C:$O,6,0)),"")</f>
        <v/>
      </c>
      <c r="O1649" s="55" t="str">
        <f>IFERROR(IF(OR($B1649="",$B1649="(blank)"),"",VLOOKUP($B1649,'Email Marketing Raw Data'!$C:$O,7,0)),"")</f>
        <v/>
      </c>
      <c r="P1649" s="55" t="str">
        <f>IFERROR(IF(OR($B1649="",$B1649="(blank)"),"",VLOOKUP($B1649,'Email Marketing Raw Data'!$C:$O,8,0)),"")</f>
        <v/>
      </c>
      <c r="Q1649" s="62" t="str">
        <f>IFERROR(IF(OR($B1649="",$B1649="(blank)"),"",VLOOKUP($B1649,'Email Marketing Raw Data'!$C:$O,9,0)),"")</f>
        <v/>
      </c>
    </row>
    <row r="1650" spans="4:17" ht="12.75" customHeight="1" x14ac:dyDescent="0.2">
      <c r="D1650" s="58" t="str">
        <f>IFERROR(IF(F1650&lt;&gt;"pending","",IF(OR($B1650="",$B1650="(blank)"),"",VLOOKUP($B1650,'Email Marketing Raw Data'!$C:$O,10,0))),"")</f>
        <v/>
      </c>
      <c r="E1650" s="59" t="str">
        <f>IFERROR(IF(F1650&lt;&gt;"pending","",IF(OR($B1650="",$B1650="(blank)"),"",VLOOKUP($B1650,'Email Marketing Raw Data'!$C:$O,11,0))),"")</f>
        <v/>
      </c>
      <c r="F1650" s="54" t="str">
        <f>IFERROR(IF(OR($B1650="",$B1650="(blank)"),"",VLOOKUP($B1650,'Email Marketing Raw Data'!$C:$O,13,0)),"")</f>
        <v/>
      </c>
      <c r="G1650" s="55" t="str">
        <f>IFERROR(IF(OR($B1650="",$B1650="(blank)"),"",VLOOKUP($B1650,'Email Marketing Raw Data'!$C:$O,4,0)),"")</f>
        <v/>
      </c>
      <c r="H1650" s="55" t="str">
        <f>IFERROR(IF(OR($B1650="",$B1650="(blank)"),"",VLOOKUP($B1650,'Email Marketing Raw Data'!$C:$O,5,0)),"")</f>
        <v/>
      </c>
      <c r="I1650" s="55" t="str">
        <f>IFERROR(IF($G1650="","",VLOOKUP('Dashboard And Emails Automate'!$G1650,Database!$H:$N,3,0)),"")</f>
        <v/>
      </c>
      <c r="J1650" s="55" t="str">
        <f>IFERROR(IF($G1650="","",VLOOKUP('Dashboard And Emails Automate'!$G1650,Database!$H:$N,4,0)),"")</f>
        <v/>
      </c>
      <c r="K1650" s="55" t="str">
        <f>IFERROR(IF($G1650="","",VLOOKUP('Dashboard And Emails Automate'!$G1650,Database!$H:$N,5,0)),"")</f>
        <v/>
      </c>
      <c r="L1650" s="55" t="str">
        <f>IFERROR(IF($G1650="","",VLOOKUP('Dashboard And Emails Automate'!$G1650,Database!$H:$N,6,0)),"")</f>
        <v/>
      </c>
      <c r="M1650" s="55" t="str">
        <f>IFERROR(IF($G1650="","",VLOOKUP('Dashboard And Emails Automate'!$G1650,Database!$H:$N,7,0)),"")</f>
        <v/>
      </c>
      <c r="N1650" s="55" t="str">
        <f>IFERROR(IF(OR($B1650="",$B1650="(blank)"),"",VLOOKUP($B1650,'Email Marketing Raw Data'!$C:$O,6,0)),"")</f>
        <v/>
      </c>
      <c r="O1650" s="55" t="str">
        <f>IFERROR(IF(OR($B1650="",$B1650="(blank)"),"",VLOOKUP($B1650,'Email Marketing Raw Data'!$C:$O,7,0)),"")</f>
        <v/>
      </c>
      <c r="P1650" s="55" t="str">
        <f>IFERROR(IF(OR($B1650="",$B1650="(blank)"),"",VLOOKUP($B1650,'Email Marketing Raw Data'!$C:$O,8,0)),"")</f>
        <v/>
      </c>
      <c r="Q1650" s="62" t="str">
        <f>IFERROR(IF(OR($B1650="",$B1650="(blank)"),"",VLOOKUP($B1650,'Email Marketing Raw Data'!$C:$O,9,0)),"")</f>
        <v/>
      </c>
    </row>
    <row r="1651" spans="4:17" ht="12.75" customHeight="1" x14ac:dyDescent="0.2">
      <c r="D1651" s="58" t="str">
        <f>IFERROR(IF(F1651&lt;&gt;"pending","",IF(OR($B1651="",$B1651="(blank)"),"",VLOOKUP($B1651,'Email Marketing Raw Data'!$C:$O,10,0))),"")</f>
        <v/>
      </c>
      <c r="E1651" s="59" t="str">
        <f>IFERROR(IF(F1651&lt;&gt;"pending","",IF(OR($B1651="",$B1651="(blank)"),"",VLOOKUP($B1651,'Email Marketing Raw Data'!$C:$O,11,0))),"")</f>
        <v/>
      </c>
      <c r="F1651" s="54" t="str">
        <f>IFERROR(IF(OR($B1651="",$B1651="(blank)"),"",VLOOKUP($B1651,'Email Marketing Raw Data'!$C:$O,13,0)),"")</f>
        <v/>
      </c>
      <c r="G1651" s="55" t="str">
        <f>IFERROR(IF(OR($B1651="",$B1651="(blank)"),"",VLOOKUP($B1651,'Email Marketing Raw Data'!$C:$O,4,0)),"")</f>
        <v/>
      </c>
      <c r="H1651" s="55" t="str">
        <f>IFERROR(IF(OR($B1651="",$B1651="(blank)"),"",VLOOKUP($B1651,'Email Marketing Raw Data'!$C:$O,5,0)),"")</f>
        <v/>
      </c>
      <c r="I1651" s="55" t="str">
        <f>IFERROR(IF($G1651="","",VLOOKUP('Dashboard And Emails Automate'!$G1651,Database!$H:$N,3,0)),"")</f>
        <v/>
      </c>
      <c r="J1651" s="55" t="str">
        <f>IFERROR(IF($G1651="","",VLOOKUP('Dashboard And Emails Automate'!$G1651,Database!$H:$N,4,0)),"")</f>
        <v/>
      </c>
      <c r="K1651" s="55" t="str">
        <f>IFERROR(IF($G1651="","",VLOOKUP('Dashboard And Emails Automate'!$G1651,Database!$H:$N,5,0)),"")</f>
        <v/>
      </c>
      <c r="L1651" s="55" t="str">
        <f>IFERROR(IF($G1651="","",VLOOKUP('Dashboard And Emails Automate'!$G1651,Database!$H:$N,6,0)),"")</f>
        <v/>
      </c>
      <c r="M1651" s="55" t="str">
        <f>IFERROR(IF($G1651="","",VLOOKUP('Dashboard And Emails Automate'!$G1651,Database!$H:$N,7,0)),"")</f>
        <v/>
      </c>
      <c r="N1651" s="55" t="str">
        <f>IFERROR(IF(OR($B1651="",$B1651="(blank)"),"",VLOOKUP($B1651,'Email Marketing Raw Data'!$C:$O,6,0)),"")</f>
        <v/>
      </c>
      <c r="O1651" s="55" t="str">
        <f>IFERROR(IF(OR($B1651="",$B1651="(blank)"),"",VLOOKUP($B1651,'Email Marketing Raw Data'!$C:$O,7,0)),"")</f>
        <v/>
      </c>
      <c r="P1651" s="55" t="str">
        <f>IFERROR(IF(OR($B1651="",$B1651="(blank)"),"",VLOOKUP($B1651,'Email Marketing Raw Data'!$C:$O,8,0)),"")</f>
        <v/>
      </c>
      <c r="Q1651" s="62" t="str">
        <f>IFERROR(IF(OR($B1651="",$B1651="(blank)"),"",VLOOKUP($B1651,'Email Marketing Raw Data'!$C:$O,9,0)),"")</f>
        <v/>
      </c>
    </row>
    <row r="1652" spans="4:17" ht="12.75" customHeight="1" x14ac:dyDescent="0.2">
      <c r="D1652" s="58" t="str">
        <f>IFERROR(IF(F1652&lt;&gt;"pending","",IF(OR($B1652="",$B1652="(blank)"),"",VLOOKUP($B1652,'Email Marketing Raw Data'!$C:$O,10,0))),"")</f>
        <v/>
      </c>
      <c r="E1652" s="59" t="str">
        <f>IFERROR(IF(F1652&lt;&gt;"pending","",IF(OR($B1652="",$B1652="(blank)"),"",VLOOKUP($B1652,'Email Marketing Raw Data'!$C:$O,11,0))),"")</f>
        <v/>
      </c>
      <c r="F1652" s="54" t="str">
        <f>IFERROR(IF(OR($B1652="",$B1652="(blank)"),"",VLOOKUP($B1652,'Email Marketing Raw Data'!$C:$O,13,0)),"")</f>
        <v/>
      </c>
      <c r="G1652" s="55" t="str">
        <f>IFERROR(IF(OR($B1652="",$B1652="(blank)"),"",VLOOKUP($B1652,'Email Marketing Raw Data'!$C:$O,4,0)),"")</f>
        <v/>
      </c>
      <c r="H1652" s="55" t="str">
        <f>IFERROR(IF(OR($B1652="",$B1652="(blank)"),"",VLOOKUP($B1652,'Email Marketing Raw Data'!$C:$O,5,0)),"")</f>
        <v/>
      </c>
      <c r="I1652" s="55" t="str">
        <f>IFERROR(IF($G1652="","",VLOOKUP('Dashboard And Emails Automate'!$G1652,Database!$H:$N,3,0)),"")</f>
        <v/>
      </c>
      <c r="J1652" s="55" t="str">
        <f>IFERROR(IF($G1652="","",VLOOKUP('Dashboard And Emails Automate'!$G1652,Database!$H:$N,4,0)),"")</f>
        <v/>
      </c>
      <c r="K1652" s="55" t="str">
        <f>IFERROR(IF($G1652="","",VLOOKUP('Dashboard And Emails Automate'!$G1652,Database!$H:$N,5,0)),"")</f>
        <v/>
      </c>
      <c r="L1652" s="55" t="str">
        <f>IFERROR(IF($G1652="","",VLOOKUP('Dashboard And Emails Automate'!$G1652,Database!$H:$N,6,0)),"")</f>
        <v/>
      </c>
      <c r="M1652" s="55" t="str">
        <f>IFERROR(IF($G1652="","",VLOOKUP('Dashboard And Emails Automate'!$G1652,Database!$H:$N,7,0)),"")</f>
        <v/>
      </c>
      <c r="N1652" s="55" t="str">
        <f>IFERROR(IF(OR($B1652="",$B1652="(blank)"),"",VLOOKUP($B1652,'Email Marketing Raw Data'!$C:$O,6,0)),"")</f>
        <v/>
      </c>
      <c r="O1652" s="55" t="str">
        <f>IFERROR(IF(OR($B1652="",$B1652="(blank)"),"",VLOOKUP($B1652,'Email Marketing Raw Data'!$C:$O,7,0)),"")</f>
        <v/>
      </c>
      <c r="P1652" s="55" t="str">
        <f>IFERROR(IF(OR($B1652="",$B1652="(blank)"),"",VLOOKUP($B1652,'Email Marketing Raw Data'!$C:$O,8,0)),"")</f>
        <v/>
      </c>
      <c r="Q1652" s="62" t="str">
        <f>IFERROR(IF(OR($B1652="",$B1652="(blank)"),"",VLOOKUP($B1652,'Email Marketing Raw Data'!$C:$O,9,0)),"")</f>
        <v/>
      </c>
    </row>
    <row r="1653" spans="4:17" ht="12.75" customHeight="1" x14ac:dyDescent="0.2">
      <c r="D1653" s="58" t="str">
        <f>IFERROR(IF(F1653&lt;&gt;"pending","",IF(OR($B1653="",$B1653="(blank)"),"",VLOOKUP($B1653,'Email Marketing Raw Data'!$C:$O,10,0))),"")</f>
        <v/>
      </c>
      <c r="E1653" s="59" t="str">
        <f>IFERROR(IF(F1653&lt;&gt;"pending","",IF(OR($B1653="",$B1653="(blank)"),"",VLOOKUP($B1653,'Email Marketing Raw Data'!$C:$O,11,0))),"")</f>
        <v/>
      </c>
      <c r="F1653" s="54" t="str">
        <f>IFERROR(IF(OR($B1653="",$B1653="(blank)"),"",VLOOKUP($B1653,'Email Marketing Raw Data'!$C:$O,13,0)),"")</f>
        <v/>
      </c>
      <c r="G1653" s="55" t="str">
        <f>IFERROR(IF(OR($B1653="",$B1653="(blank)"),"",VLOOKUP($B1653,'Email Marketing Raw Data'!$C:$O,4,0)),"")</f>
        <v/>
      </c>
      <c r="H1653" s="55" t="str">
        <f>IFERROR(IF(OR($B1653="",$B1653="(blank)"),"",VLOOKUP($B1653,'Email Marketing Raw Data'!$C:$O,5,0)),"")</f>
        <v/>
      </c>
      <c r="I1653" s="55" t="str">
        <f>IFERROR(IF($G1653="","",VLOOKUP('Dashboard And Emails Automate'!$G1653,Database!$H:$N,3,0)),"")</f>
        <v/>
      </c>
      <c r="J1653" s="55" t="str">
        <f>IFERROR(IF($G1653="","",VLOOKUP('Dashboard And Emails Automate'!$G1653,Database!$H:$N,4,0)),"")</f>
        <v/>
      </c>
      <c r="K1653" s="55" t="str">
        <f>IFERROR(IF($G1653="","",VLOOKUP('Dashboard And Emails Automate'!$G1653,Database!$H:$N,5,0)),"")</f>
        <v/>
      </c>
      <c r="L1653" s="55" t="str">
        <f>IFERROR(IF($G1653="","",VLOOKUP('Dashboard And Emails Automate'!$G1653,Database!$H:$N,6,0)),"")</f>
        <v/>
      </c>
      <c r="M1653" s="55" t="str">
        <f>IFERROR(IF($G1653="","",VLOOKUP('Dashboard And Emails Automate'!$G1653,Database!$H:$N,7,0)),"")</f>
        <v/>
      </c>
      <c r="N1653" s="55" t="str">
        <f>IFERROR(IF(OR($B1653="",$B1653="(blank)"),"",VLOOKUP($B1653,'Email Marketing Raw Data'!$C:$O,6,0)),"")</f>
        <v/>
      </c>
      <c r="O1653" s="55" t="str">
        <f>IFERROR(IF(OR($B1653="",$B1653="(blank)"),"",VLOOKUP($B1653,'Email Marketing Raw Data'!$C:$O,7,0)),"")</f>
        <v/>
      </c>
      <c r="P1653" s="55" t="str">
        <f>IFERROR(IF(OR($B1653="",$B1653="(blank)"),"",VLOOKUP($B1653,'Email Marketing Raw Data'!$C:$O,8,0)),"")</f>
        <v/>
      </c>
      <c r="Q1653" s="62" t="str">
        <f>IFERROR(IF(OR($B1653="",$B1653="(blank)"),"",VLOOKUP($B1653,'Email Marketing Raw Data'!$C:$O,9,0)),"")</f>
        <v/>
      </c>
    </row>
    <row r="1654" spans="4:17" ht="12.75" customHeight="1" x14ac:dyDescent="0.2">
      <c r="D1654" s="58" t="str">
        <f>IFERROR(IF(F1654&lt;&gt;"pending","",IF(OR($B1654="",$B1654="(blank)"),"",VLOOKUP($B1654,'Email Marketing Raw Data'!$C:$O,10,0))),"")</f>
        <v/>
      </c>
      <c r="E1654" s="59" t="str">
        <f>IFERROR(IF(F1654&lt;&gt;"pending","",IF(OR($B1654="",$B1654="(blank)"),"",VLOOKUP($B1654,'Email Marketing Raw Data'!$C:$O,11,0))),"")</f>
        <v/>
      </c>
      <c r="F1654" s="54" t="str">
        <f>IFERROR(IF(OR($B1654="",$B1654="(blank)"),"",VLOOKUP($B1654,'Email Marketing Raw Data'!$C:$O,13,0)),"")</f>
        <v/>
      </c>
      <c r="G1654" s="55" t="str">
        <f>IFERROR(IF(OR($B1654="",$B1654="(blank)"),"",VLOOKUP($B1654,'Email Marketing Raw Data'!$C:$O,4,0)),"")</f>
        <v/>
      </c>
      <c r="H1654" s="55" t="str">
        <f>IFERROR(IF(OR($B1654="",$B1654="(blank)"),"",VLOOKUP($B1654,'Email Marketing Raw Data'!$C:$O,5,0)),"")</f>
        <v/>
      </c>
      <c r="I1654" s="55" t="str">
        <f>IFERROR(IF($G1654="","",VLOOKUP('Dashboard And Emails Automate'!$G1654,Database!$H:$N,3,0)),"")</f>
        <v/>
      </c>
      <c r="J1654" s="55" t="str">
        <f>IFERROR(IF($G1654="","",VLOOKUP('Dashboard And Emails Automate'!$G1654,Database!$H:$N,4,0)),"")</f>
        <v/>
      </c>
      <c r="K1654" s="55" t="str">
        <f>IFERROR(IF($G1654="","",VLOOKUP('Dashboard And Emails Automate'!$G1654,Database!$H:$N,5,0)),"")</f>
        <v/>
      </c>
      <c r="L1654" s="55" t="str">
        <f>IFERROR(IF($G1654="","",VLOOKUP('Dashboard And Emails Automate'!$G1654,Database!$H:$N,6,0)),"")</f>
        <v/>
      </c>
      <c r="M1654" s="55" t="str">
        <f>IFERROR(IF($G1654="","",VLOOKUP('Dashboard And Emails Automate'!$G1654,Database!$H:$N,7,0)),"")</f>
        <v/>
      </c>
      <c r="N1654" s="55" t="str">
        <f>IFERROR(IF(OR($B1654="",$B1654="(blank)"),"",VLOOKUP($B1654,'Email Marketing Raw Data'!$C:$O,6,0)),"")</f>
        <v/>
      </c>
      <c r="O1654" s="55" t="str">
        <f>IFERROR(IF(OR($B1654="",$B1654="(blank)"),"",VLOOKUP($B1654,'Email Marketing Raw Data'!$C:$O,7,0)),"")</f>
        <v/>
      </c>
      <c r="P1654" s="55" t="str">
        <f>IFERROR(IF(OR($B1654="",$B1654="(blank)"),"",VLOOKUP($B1654,'Email Marketing Raw Data'!$C:$O,8,0)),"")</f>
        <v/>
      </c>
      <c r="Q1654" s="62" t="str">
        <f>IFERROR(IF(OR($B1654="",$B1654="(blank)"),"",VLOOKUP($B1654,'Email Marketing Raw Data'!$C:$O,9,0)),"")</f>
        <v/>
      </c>
    </row>
    <row r="1655" spans="4:17" ht="12.75" customHeight="1" x14ac:dyDescent="0.2">
      <c r="D1655" s="58" t="str">
        <f>IFERROR(IF(F1655&lt;&gt;"pending","",IF(OR($B1655="",$B1655="(blank)"),"",VLOOKUP($B1655,'Email Marketing Raw Data'!$C:$O,10,0))),"")</f>
        <v/>
      </c>
      <c r="E1655" s="59" t="str">
        <f>IFERROR(IF(F1655&lt;&gt;"pending","",IF(OR($B1655="",$B1655="(blank)"),"",VLOOKUP($B1655,'Email Marketing Raw Data'!$C:$O,11,0))),"")</f>
        <v/>
      </c>
      <c r="F1655" s="54" t="str">
        <f>IFERROR(IF(OR($B1655="",$B1655="(blank)"),"",VLOOKUP($B1655,'Email Marketing Raw Data'!$C:$O,13,0)),"")</f>
        <v/>
      </c>
      <c r="G1655" s="55" t="str">
        <f>IFERROR(IF(OR($B1655="",$B1655="(blank)"),"",VLOOKUP($B1655,'Email Marketing Raw Data'!$C:$O,4,0)),"")</f>
        <v/>
      </c>
      <c r="H1655" s="55" t="str">
        <f>IFERROR(IF(OR($B1655="",$B1655="(blank)"),"",VLOOKUP($B1655,'Email Marketing Raw Data'!$C:$O,5,0)),"")</f>
        <v/>
      </c>
      <c r="I1655" s="55" t="str">
        <f>IFERROR(IF($G1655="","",VLOOKUP('Dashboard And Emails Automate'!$G1655,Database!$H:$N,3,0)),"")</f>
        <v/>
      </c>
      <c r="J1655" s="55" t="str">
        <f>IFERROR(IF($G1655="","",VLOOKUP('Dashboard And Emails Automate'!$G1655,Database!$H:$N,4,0)),"")</f>
        <v/>
      </c>
      <c r="K1655" s="55" t="str">
        <f>IFERROR(IF($G1655="","",VLOOKUP('Dashboard And Emails Automate'!$G1655,Database!$H:$N,5,0)),"")</f>
        <v/>
      </c>
      <c r="L1655" s="55" t="str">
        <f>IFERROR(IF($G1655="","",VLOOKUP('Dashboard And Emails Automate'!$G1655,Database!$H:$N,6,0)),"")</f>
        <v/>
      </c>
      <c r="M1655" s="55" t="str">
        <f>IFERROR(IF($G1655="","",VLOOKUP('Dashboard And Emails Automate'!$G1655,Database!$H:$N,7,0)),"")</f>
        <v/>
      </c>
      <c r="N1655" s="55" t="str">
        <f>IFERROR(IF(OR($B1655="",$B1655="(blank)"),"",VLOOKUP($B1655,'Email Marketing Raw Data'!$C:$O,6,0)),"")</f>
        <v/>
      </c>
      <c r="O1655" s="55" t="str">
        <f>IFERROR(IF(OR($B1655="",$B1655="(blank)"),"",VLOOKUP($B1655,'Email Marketing Raw Data'!$C:$O,7,0)),"")</f>
        <v/>
      </c>
      <c r="P1655" s="55" t="str">
        <f>IFERROR(IF(OR($B1655="",$B1655="(blank)"),"",VLOOKUP($B1655,'Email Marketing Raw Data'!$C:$O,8,0)),"")</f>
        <v/>
      </c>
      <c r="Q1655" s="62" t="str">
        <f>IFERROR(IF(OR($B1655="",$B1655="(blank)"),"",VLOOKUP($B1655,'Email Marketing Raw Data'!$C:$O,9,0)),"")</f>
        <v/>
      </c>
    </row>
    <row r="1656" spans="4:17" ht="12.75" customHeight="1" x14ac:dyDescent="0.2">
      <c r="D1656" s="58" t="str">
        <f>IFERROR(IF(F1656&lt;&gt;"pending","",IF(OR($B1656="",$B1656="(blank)"),"",VLOOKUP($B1656,'Email Marketing Raw Data'!$C:$O,10,0))),"")</f>
        <v/>
      </c>
      <c r="E1656" s="59" t="str">
        <f>IFERROR(IF(F1656&lt;&gt;"pending","",IF(OR($B1656="",$B1656="(blank)"),"",VLOOKUP($B1656,'Email Marketing Raw Data'!$C:$O,11,0))),"")</f>
        <v/>
      </c>
      <c r="F1656" s="54" t="str">
        <f>IFERROR(IF(OR($B1656="",$B1656="(blank)"),"",VLOOKUP($B1656,'Email Marketing Raw Data'!$C:$O,13,0)),"")</f>
        <v/>
      </c>
      <c r="G1656" s="55" t="str">
        <f>IFERROR(IF(OR($B1656="",$B1656="(blank)"),"",VLOOKUP($B1656,'Email Marketing Raw Data'!$C:$O,4,0)),"")</f>
        <v/>
      </c>
      <c r="H1656" s="55" t="str">
        <f>IFERROR(IF(OR($B1656="",$B1656="(blank)"),"",VLOOKUP($B1656,'Email Marketing Raw Data'!$C:$O,5,0)),"")</f>
        <v/>
      </c>
      <c r="I1656" s="55" t="str">
        <f>IFERROR(IF($G1656="","",VLOOKUP('Dashboard And Emails Automate'!$G1656,Database!$H:$N,3,0)),"")</f>
        <v/>
      </c>
      <c r="J1656" s="55" t="str">
        <f>IFERROR(IF($G1656="","",VLOOKUP('Dashboard And Emails Automate'!$G1656,Database!$H:$N,4,0)),"")</f>
        <v/>
      </c>
      <c r="K1656" s="55" t="str">
        <f>IFERROR(IF($G1656="","",VLOOKUP('Dashboard And Emails Automate'!$G1656,Database!$H:$N,5,0)),"")</f>
        <v/>
      </c>
      <c r="L1656" s="55" t="str">
        <f>IFERROR(IF($G1656="","",VLOOKUP('Dashboard And Emails Automate'!$G1656,Database!$H:$N,6,0)),"")</f>
        <v/>
      </c>
      <c r="M1656" s="55" t="str">
        <f>IFERROR(IF($G1656="","",VLOOKUP('Dashboard And Emails Automate'!$G1656,Database!$H:$N,7,0)),"")</f>
        <v/>
      </c>
      <c r="N1656" s="55" t="str">
        <f>IFERROR(IF(OR($B1656="",$B1656="(blank)"),"",VLOOKUP($B1656,'Email Marketing Raw Data'!$C:$O,6,0)),"")</f>
        <v/>
      </c>
      <c r="O1656" s="55" t="str">
        <f>IFERROR(IF(OR($B1656="",$B1656="(blank)"),"",VLOOKUP($B1656,'Email Marketing Raw Data'!$C:$O,7,0)),"")</f>
        <v/>
      </c>
      <c r="P1656" s="55" t="str">
        <f>IFERROR(IF(OR($B1656="",$B1656="(blank)"),"",VLOOKUP($B1656,'Email Marketing Raw Data'!$C:$O,8,0)),"")</f>
        <v/>
      </c>
      <c r="Q1656" s="62" t="str">
        <f>IFERROR(IF(OR($B1656="",$B1656="(blank)"),"",VLOOKUP($B1656,'Email Marketing Raw Data'!$C:$O,9,0)),"")</f>
        <v/>
      </c>
    </row>
    <row r="1657" spans="4:17" ht="12.75" customHeight="1" x14ac:dyDescent="0.2">
      <c r="D1657" s="58" t="str">
        <f>IFERROR(IF(F1657&lt;&gt;"pending","",IF(OR($B1657="",$B1657="(blank)"),"",VLOOKUP($B1657,'Email Marketing Raw Data'!$C:$O,10,0))),"")</f>
        <v/>
      </c>
      <c r="E1657" s="59" t="str">
        <f>IFERROR(IF(F1657&lt;&gt;"pending","",IF(OR($B1657="",$B1657="(blank)"),"",VLOOKUP($B1657,'Email Marketing Raw Data'!$C:$O,11,0))),"")</f>
        <v/>
      </c>
      <c r="F1657" s="54" t="str">
        <f>IFERROR(IF(OR($B1657="",$B1657="(blank)"),"",VLOOKUP($B1657,'Email Marketing Raw Data'!$C:$O,13,0)),"")</f>
        <v/>
      </c>
      <c r="G1657" s="55" t="str">
        <f>IFERROR(IF(OR($B1657="",$B1657="(blank)"),"",VLOOKUP($B1657,'Email Marketing Raw Data'!$C:$O,4,0)),"")</f>
        <v/>
      </c>
      <c r="H1657" s="55" t="str">
        <f>IFERROR(IF(OR($B1657="",$B1657="(blank)"),"",VLOOKUP($B1657,'Email Marketing Raw Data'!$C:$O,5,0)),"")</f>
        <v/>
      </c>
      <c r="I1657" s="55" t="str">
        <f>IFERROR(IF($G1657="","",VLOOKUP('Dashboard And Emails Automate'!$G1657,Database!$H:$N,3,0)),"")</f>
        <v/>
      </c>
      <c r="J1657" s="55" t="str">
        <f>IFERROR(IF($G1657="","",VLOOKUP('Dashboard And Emails Automate'!$G1657,Database!$H:$N,4,0)),"")</f>
        <v/>
      </c>
      <c r="K1657" s="55" t="str">
        <f>IFERROR(IF($G1657="","",VLOOKUP('Dashboard And Emails Automate'!$G1657,Database!$H:$N,5,0)),"")</f>
        <v/>
      </c>
      <c r="L1657" s="55" t="str">
        <f>IFERROR(IF($G1657="","",VLOOKUP('Dashboard And Emails Automate'!$G1657,Database!$H:$N,6,0)),"")</f>
        <v/>
      </c>
      <c r="M1657" s="55" t="str">
        <f>IFERROR(IF($G1657="","",VLOOKUP('Dashboard And Emails Automate'!$G1657,Database!$H:$N,7,0)),"")</f>
        <v/>
      </c>
      <c r="N1657" s="55" t="str">
        <f>IFERROR(IF(OR($B1657="",$B1657="(blank)"),"",VLOOKUP($B1657,'Email Marketing Raw Data'!$C:$O,6,0)),"")</f>
        <v/>
      </c>
      <c r="O1657" s="55" t="str">
        <f>IFERROR(IF(OR($B1657="",$B1657="(blank)"),"",VLOOKUP($B1657,'Email Marketing Raw Data'!$C:$O,7,0)),"")</f>
        <v/>
      </c>
      <c r="P1657" s="55" t="str">
        <f>IFERROR(IF(OR($B1657="",$B1657="(blank)"),"",VLOOKUP($B1657,'Email Marketing Raw Data'!$C:$O,8,0)),"")</f>
        <v/>
      </c>
      <c r="Q1657" s="62" t="str">
        <f>IFERROR(IF(OR($B1657="",$B1657="(blank)"),"",VLOOKUP($B1657,'Email Marketing Raw Data'!$C:$O,9,0)),"")</f>
        <v/>
      </c>
    </row>
    <row r="1658" spans="4:17" ht="12.75" customHeight="1" x14ac:dyDescent="0.2">
      <c r="D1658" s="58" t="str">
        <f>IFERROR(IF(F1658&lt;&gt;"pending","",IF(OR($B1658="",$B1658="(blank)"),"",VLOOKUP($B1658,'Email Marketing Raw Data'!$C:$O,10,0))),"")</f>
        <v/>
      </c>
      <c r="E1658" s="59" t="str">
        <f>IFERROR(IF(F1658&lt;&gt;"pending","",IF(OR($B1658="",$B1658="(blank)"),"",VLOOKUP($B1658,'Email Marketing Raw Data'!$C:$O,11,0))),"")</f>
        <v/>
      </c>
      <c r="F1658" s="54" t="str">
        <f>IFERROR(IF(OR($B1658="",$B1658="(blank)"),"",VLOOKUP($B1658,'Email Marketing Raw Data'!$C:$O,13,0)),"")</f>
        <v/>
      </c>
      <c r="G1658" s="55" t="str">
        <f>IFERROR(IF(OR($B1658="",$B1658="(blank)"),"",VLOOKUP($B1658,'Email Marketing Raw Data'!$C:$O,4,0)),"")</f>
        <v/>
      </c>
      <c r="H1658" s="55" t="str">
        <f>IFERROR(IF(OR($B1658="",$B1658="(blank)"),"",VLOOKUP($B1658,'Email Marketing Raw Data'!$C:$O,5,0)),"")</f>
        <v/>
      </c>
      <c r="I1658" s="55" t="str">
        <f>IFERROR(IF($G1658="","",VLOOKUP('Dashboard And Emails Automate'!$G1658,Database!$H:$N,3,0)),"")</f>
        <v/>
      </c>
      <c r="J1658" s="55" t="str">
        <f>IFERROR(IF($G1658="","",VLOOKUP('Dashboard And Emails Automate'!$G1658,Database!$H:$N,4,0)),"")</f>
        <v/>
      </c>
      <c r="K1658" s="55" t="str">
        <f>IFERROR(IF($G1658="","",VLOOKUP('Dashboard And Emails Automate'!$G1658,Database!$H:$N,5,0)),"")</f>
        <v/>
      </c>
      <c r="L1658" s="55" t="str">
        <f>IFERROR(IF($G1658="","",VLOOKUP('Dashboard And Emails Automate'!$G1658,Database!$H:$N,6,0)),"")</f>
        <v/>
      </c>
      <c r="M1658" s="55" t="str">
        <f>IFERROR(IF($G1658="","",VLOOKUP('Dashboard And Emails Automate'!$G1658,Database!$H:$N,7,0)),"")</f>
        <v/>
      </c>
      <c r="N1658" s="55" t="str">
        <f>IFERROR(IF(OR($B1658="",$B1658="(blank)"),"",VLOOKUP($B1658,'Email Marketing Raw Data'!$C:$O,6,0)),"")</f>
        <v/>
      </c>
      <c r="O1658" s="55" t="str">
        <f>IFERROR(IF(OR($B1658="",$B1658="(blank)"),"",VLOOKUP($B1658,'Email Marketing Raw Data'!$C:$O,7,0)),"")</f>
        <v/>
      </c>
      <c r="P1658" s="55" t="str">
        <f>IFERROR(IF(OR($B1658="",$B1658="(blank)"),"",VLOOKUP($B1658,'Email Marketing Raw Data'!$C:$O,8,0)),"")</f>
        <v/>
      </c>
      <c r="Q1658" s="62" t="str">
        <f>IFERROR(IF(OR($B1658="",$B1658="(blank)"),"",VLOOKUP($B1658,'Email Marketing Raw Data'!$C:$O,9,0)),"")</f>
        <v/>
      </c>
    </row>
    <row r="1659" spans="4:17" ht="12.75" customHeight="1" x14ac:dyDescent="0.2">
      <c r="D1659" s="58" t="str">
        <f>IFERROR(IF(F1659&lt;&gt;"pending","",IF(OR($B1659="",$B1659="(blank)"),"",VLOOKUP($B1659,'Email Marketing Raw Data'!$C:$O,10,0))),"")</f>
        <v/>
      </c>
      <c r="E1659" s="59" t="str">
        <f>IFERROR(IF(F1659&lt;&gt;"pending","",IF(OR($B1659="",$B1659="(blank)"),"",VLOOKUP($B1659,'Email Marketing Raw Data'!$C:$O,11,0))),"")</f>
        <v/>
      </c>
      <c r="F1659" s="54" t="str">
        <f>IFERROR(IF(OR($B1659="",$B1659="(blank)"),"",VLOOKUP($B1659,'Email Marketing Raw Data'!$C:$O,13,0)),"")</f>
        <v/>
      </c>
      <c r="G1659" s="55" t="str">
        <f>IFERROR(IF(OR($B1659="",$B1659="(blank)"),"",VLOOKUP($B1659,'Email Marketing Raw Data'!$C:$O,4,0)),"")</f>
        <v/>
      </c>
      <c r="H1659" s="55" t="str">
        <f>IFERROR(IF(OR($B1659="",$B1659="(blank)"),"",VLOOKUP($B1659,'Email Marketing Raw Data'!$C:$O,5,0)),"")</f>
        <v/>
      </c>
      <c r="I1659" s="55" t="str">
        <f>IFERROR(IF($G1659="","",VLOOKUP('Dashboard And Emails Automate'!$G1659,Database!$H:$N,3,0)),"")</f>
        <v/>
      </c>
      <c r="J1659" s="55" t="str">
        <f>IFERROR(IF($G1659="","",VLOOKUP('Dashboard And Emails Automate'!$G1659,Database!$H:$N,4,0)),"")</f>
        <v/>
      </c>
      <c r="K1659" s="55" t="str">
        <f>IFERROR(IF($G1659="","",VLOOKUP('Dashboard And Emails Automate'!$G1659,Database!$H:$N,5,0)),"")</f>
        <v/>
      </c>
      <c r="L1659" s="55" t="str">
        <f>IFERROR(IF($G1659="","",VLOOKUP('Dashboard And Emails Automate'!$G1659,Database!$H:$N,6,0)),"")</f>
        <v/>
      </c>
      <c r="M1659" s="55" t="str">
        <f>IFERROR(IF($G1659="","",VLOOKUP('Dashboard And Emails Automate'!$G1659,Database!$H:$N,7,0)),"")</f>
        <v/>
      </c>
      <c r="N1659" s="55" t="str">
        <f>IFERROR(IF(OR($B1659="",$B1659="(blank)"),"",VLOOKUP($B1659,'Email Marketing Raw Data'!$C:$O,6,0)),"")</f>
        <v/>
      </c>
      <c r="O1659" s="55" t="str">
        <f>IFERROR(IF(OR($B1659="",$B1659="(blank)"),"",VLOOKUP($B1659,'Email Marketing Raw Data'!$C:$O,7,0)),"")</f>
        <v/>
      </c>
      <c r="P1659" s="55" t="str">
        <f>IFERROR(IF(OR($B1659="",$B1659="(blank)"),"",VLOOKUP($B1659,'Email Marketing Raw Data'!$C:$O,8,0)),"")</f>
        <v/>
      </c>
      <c r="Q1659" s="62" t="str">
        <f>IFERROR(IF(OR($B1659="",$B1659="(blank)"),"",VLOOKUP($B1659,'Email Marketing Raw Data'!$C:$O,9,0)),"")</f>
        <v/>
      </c>
    </row>
    <row r="1660" spans="4:17" ht="12.75" customHeight="1" x14ac:dyDescent="0.2">
      <c r="D1660" s="58" t="str">
        <f>IFERROR(IF(F1660&lt;&gt;"pending","",IF(OR($B1660="",$B1660="(blank)"),"",VLOOKUP($B1660,'Email Marketing Raw Data'!$C:$O,10,0))),"")</f>
        <v/>
      </c>
      <c r="E1660" s="59" t="str">
        <f>IFERROR(IF(F1660&lt;&gt;"pending","",IF(OR($B1660="",$B1660="(blank)"),"",VLOOKUP($B1660,'Email Marketing Raw Data'!$C:$O,11,0))),"")</f>
        <v/>
      </c>
      <c r="F1660" s="54" t="str">
        <f>IFERROR(IF(OR($B1660="",$B1660="(blank)"),"",VLOOKUP($B1660,'Email Marketing Raw Data'!$C:$O,13,0)),"")</f>
        <v/>
      </c>
      <c r="G1660" s="55" t="str">
        <f>IFERROR(IF(OR($B1660="",$B1660="(blank)"),"",VLOOKUP($B1660,'Email Marketing Raw Data'!$C:$O,4,0)),"")</f>
        <v/>
      </c>
      <c r="H1660" s="55" t="str">
        <f>IFERROR(IF(OR($B1660="",$B1660="(blank)"),"",VLOOKUP($B1660,'Email Marketing Raw Data'!$C:$O,5,0)),"")</f>
        <v/>
      </c>
      <c r="I1660" s="55" t="str">
        <f>IFERROR(IF($G1660="","",VLOOKUP('Dashboard And Emails Automate'!$G1660,Database!$H:$N,3,0)),"")</f>
        <v/>
      </c>
      <c r="J1660" s="55" t="str">
        <f>IFERROR(IF($G1660="","",VLOOKUP('Dashboard And Emails Automate'!$G1660,Database!$H:$N,4,0)),"")</f>
        <v/>
      </c>
      <c r="K1660" s="55" t="str">
        <f>IFERROR(IF($G1660="","",VLOOKUP('Dashboard And Emails Automate'!$G1660,Database!$H:$N,5,0)),"")</f>
        <v/>
      </c>
      <c r="L1660" s="55" t="str">
        <f>IFERROR(IF($G1660="","",VLOOKUP('Dashboard And Emails Automate'!$G1660,Database!$H:$N,6,0)),"")</f>
        <v/>
      </c>
      <c r="M1660" s="55" t="str">
        <f>IFERROR(IF($G1660="","",VLOOKUP('Dashboard And Emails Automate'!$G1660,Database!$H:$N,7,0)),"")</f>
        <v/>
      </c>
      <c r="N1660" s="55" t="str">
        <f>IFERROR(IF(OR($B1660="",$B1660="(blank)"),"",VLOOKUP($B1660,'Email Marketing Raw Data'!$C:$O,6,0)),"")</f>
        <v/>
      </c>
      <c r="O1660" s="55" t="str">
        <f>IFERROR(IF(OR($B1660="",$B1660="(blank)"),"",VLOOKUP($B1660,'Email Marketing Raw Data'!$C:$O,7,0)),"")</f>
        <v/>
      </c>
      <c r="P1660" s="55" t="str">
        <f>IFERROR(IF(OR($B1660="",$B1660="(blank)"),"",VLOOKUP($B1660,'Email Marketing Raw Data'!$C:$O,8,0)),"")</f>
        <v/>
      </c>
      <c r="Q1660" s="62" t="str">
        <f>IFERROR(IF(OR($B1660="",$B1660="(blank)"),"",VLOOKUP($B1660,'Email Marketing Raw Data'!$C:$O,9,0)),"")</f>
        <v/>
      </c>
    </row>
    <row r="1661" spans="4:17" ht="12.75" customHeight="1" x14ac:dyDescent="0.2">
      <c r="D1661" s="58" t="str">
        <f>IFERROR(IF(F1661&lt;&gt;"pending","",IF(OR($B1661="",$B1661="(blank)"),"",VLOOKUP($B1661,'Email Marketing Raw Data'!$C:$O,10,0))),"")</f>
        <v/>
      </c>
      <c r="E1661" s="59" t="str">
        <f>IFERROR(IF(F1661&lt;&gt;"pending","",IF(OR($B1661="",$B1661="(blank)"),"",VLOOKUP($B1661,'Email Marketing Raw Data'!$C:$O,11,0))),"")</f>
        <v/>
      </c>
      <c r="F1661" s="54" t="str">
        <f>IFERROR(IF(OR($B1661="",$B1661="(blank)"),"",VLOOKUP($B1661,'Email Marketing Raw Data'!$C:$O,13,0)),"")</f>
        <v/>
      </c>
      <c r="G1661" s="55" t="str">
        <f>IFERROR(IF(OR($B1661="",$B1661="(blank)"),"",VLOOKUP($B1661,'Email Marketing Raw Data'!$C:$O,4,0)),"")</f>
        <v/>
      </c>
      <c r="H1661" s="55" t="str">
        <f>IFERROR(IF(OR($B1661="",$B1661="(blank)"),"",VLOOKUP($B1661,'Email Marketing Raw Data'!$C:$O,5,0)),"")</f>
        <v/>
      </c>
      <c r="I1661" s="55" t="str">
        <f>IFERROR(IF($G1661="","",VLOOKUP('Dashboard And Emails Automate'!$G1661,Database!$H:$N,3,0)),"")</f>
        <v/>
      </c>
      <c r="J1661" s="55" t="str">
        <f>IFERROR(IF($G1661="","",VLOOKUP('Dashboard And Emails Automate'!$G1661,Database!$H:$N,4,0)),"")</f>
        <v/>
      </c>
      <c r="K1661" s="55" t="str">
        <f>IFERROR(IF($G1661="","",VLOOKUP('Dashboard And Emails Automate'!$G1661,Database!$H:$N,5,0)),"")</f>
        <v/>
      </c>
      <c r="L1661" s="55" t="str">
        <f>IFERROR(IF($G1661="","",VLOOKUP('Dashboard And Emails Automate'!$G1661,Database!$H:$N,6,0)),"")</f>
        <v/>
      </c>
      <c r="M1661" s="55" t="str">
        <f>IFERROR(IF($G1661="","",VLOOKUP('Dashboard And Emails Automate'!$G1661,Database!$H:$N,7,0)),"")</f>
        <v/>
      </c>
      <c r="N1661" s="55" t="str">
        <f>IFERROR(IF(OR($B1661="",$B1661="(blank)"),"",VLOOKUP($B1661,'Email Marketing Raw Data'!$C:$O,6,0)),"")</f>
        <v/>
      </c>
      <c r="O1661" s="55" t="str">
        <f>IFERROR(IF(OR($B1661="",$B1661="(blank)"),"",VLOOKUP($B1661,'Email Marketing Raw Data'!$C:$O,7,0)),"")</f>
        <v/>
      </c>
      <c r="P1661" s="55" t="str">
        <f>IFERROR(IF(OR($B1661="",$B1661="(blank)"),"",VLOOKUP($B1661,'Email Marketing Raw Data'!$C:$O,8,0)),"")</f>
        <v/>
      </c>
      <c r="Q1661" s="62" t="str">
        <f>IFERROR(IF(OR($B1661="",$B1661="(blank)"),"",VLOOKUP($B1661,'Email Marketing Raw Data'!$C:$O,9,0)),"")</f>
        <v/>
      </c>
    </row>
    <row r="1662" spans="4:17" ht="12.75" customHeight="1" x14ac:dyDescent="0.2">
      <c r="D1662" s="58" t="str">
        <f>IFERROR(IF(F1662&lt;&gt;"pending","",IF(OR($B1662="",$B1662="(blank)"),"",VLOOKUP($B1662,'Email Marketing Raw Data'!$C:$O,10,0))),"")</f>
        <v/>
      </c>
      <c r="E1662" s="59" t="str">
        <f>IFERROR(IF(F1662&lt;&gt;"pending","",IF(OR($B1662="",$B1662="(blank)"),"",VLOOKUP($B1662,'Email Marketing Raw Data'!$C:$O,11,0))),"")</f>
        <v/>
      </c>
      <c r="F1662" s="54" t="str">
        <f>IFERROR(IF(OR($B1662="",$B1662="(blank)"),"",VLOOKUP($B1662,'Email Marketing Raw Data'!$C:$O,13,0)),"")</f>
        <v/>
      </c>
      <c r="G1662" s="55" t="str">
        <f>IFERROR(IF(OR($B1662="",$B1662="(blank)"),"",VLOOKUP($B1662,'Email Marketing Raw Data'!$C:$O,4,0)),"")</f>
        <v/>
      </c>
      <c r="H1662" s="55" t="str">
        <f>IFERROR(IF(OR($B1662="",$B1662="(blank)"),"",VLOOKUP($B1662,'Email Marketing Raw Data'!$C:$O,5,0)),"")</f>
        <v/>
      </c>
      <c r="I1662" s="55" t="str">
        <f>IFERROR(IF($G1662="","",VLOOKUP('Dashboard And Emails Automate'!$G1662,Database!$H:$N,3,0)),"")</f>
        <v/>
      </c>
      <c r="J1662" s="55" t="str">
        <f>IFERROR(IF($G1662="","",VLOOKUP('Dashboard And Emails Automate'!$G1662,Database!$H:$N,4,0)),"")</f>
        <v/>
      </c>
      <c r="K1662" s="55" t="str">
        <f>IFERROR(IF($G1662="","",VLOOKUP('Dashboard And Emails Automate'!$G1662,Database!$H:$N,5,0)),"")</f>
        <v/>
      </c>
      <c r="L1662" s="55" t="str">
        <f>IFERROR(IF($G1662="","",VLOOKUP('Dashboard And Emails Automate'!$G1662,Database!$H:$N,6,0)),"")</f>
        <v/>
      </c>
      <c r="M1662" s="55" t="str">
        <f>IFERROR(IF($G1662="","",VLOOKUP('Dashboard And Emails Automate'!$G1662,Database!$H:$N,7,0)),"")</f>
        <v/>
      </c>
      <c r="N1662" s="55" t="str">
        <f>IFERROR(IF(OR($B1662="",$B1662="(blank)"),"",VLOOKUP($B1662,'Email Marketing Raw Data'!$C:$O,6,0)),"")</f>
        <v/>
      </c>
      <c r="O1662" s="55" t="str">
        <f>IFERROR(IF(OR($B1662="",$B1662="(blank)"),"",VLOOKUP($B1662,'Email Marketing Raw Data'!$C:$O,7,0)),"")</f>
        <v/>
      </c>
      <c r="P1662" s="55" t="str">
        <f>IFERROR(IF(OR($B1662="",$B1662="(blank)"),"",VLOOKUP($B1662,'Email Marketing Raw Data'!$C:$O,8,0)),"")</f>
        <v/>
      </c>
      <c r="Q1662" s="62" t="str">
        <f>IFERROR(IF(OR($B1662="",$B1662="(blank)"),"",VLOOKUP($B1662,'Email Marketing Raw Data'!$C:$O,9,0)),"")</f>
        <v/>
      </c>
    </row>
    <row r="1663" spans="4:17" ht="12.75" customHeight="1" x14ac:dyDescent="0.2">
      <c r="D1663" s="58" t="str">
        <f>IFERROR(IF(F1663&lt;&gt;"pending","",IF(OR($B1663="",$B1663="(blank)"),"",VLOOKUP($B1663,'Email Marketing Raw Data'!$C:$O,10,0))),"")</f>
        <v/>
      </c>
      <c r="E1663" s="59" t="str">
        <f>IFERROR(IF(F1663&lt;&gt;"pending","",IF(OR($B1663="",$B1663="(blank)"),"",VLOOKUP($B1663,'Email Marketing Raw Data'!$C:$O,11,0))),"")</f>
        <v/>
      </c>
      <c r="F1663" s="54" t="str">
        <f>IFERROR(IF(OR($B1663="",$B1663="(blank)"),"",VLOOKUP($B1663,'Email Marketing Raw Data'!$C:$O,13,0)),"")</f>
        <v/>
      </c>
      <c r="G1663" s="55" t="str">
        <f>IFERROR(IF(OR($B1663="",$B1663="(blank)"),"",VLOOKUP($B1663,'Email Marketing Raw Data'!$C:$O,4,0)),"")</f>
        <v/>
      </c>
      <c r="H1663" s="55" t="str">
        <f>IFERROR(IF(OR($B1663="",$B1663="(blank)"),"",VLOOKUP($B1663,'Email Marketing Raw Data'!$C:$O,5,0)),"")</f>
        <v/>
      </c>
      <c r="I1663" s="55" t="str">
        <f>IFERROR(IF($G1663="","",VLOOKUP('Dashboard And Emails Automate'!$G1663,Database!$H:$N,3,0)),"")</f>
        <v/>
      </c>
      <c r="J1663" s="55" t="str">
        <f>IFERROR(IF($G1663="","",VLOOKUP('Dashboard And Emails Automate'!$G1663,Database!$H:$N,4,0)),"")</f>
        <v/>
      </c>
      <c r="K1663" s="55" t="str">
        <f>IFERROR(IF($G1663="","",VLOOKUP('Dashboard And Emails Automate'!$G1663,Database!$H:$N,5,0)),"")</f>
        <v/>
      </c>
      <c r="L1663" s="55" t="str">
        <f>IFERROR(IF($G1663="","",VLOOKUP('Dashboard And Emails Automate'!$G1663,Database!$H:$N,6,0)),"")</f>
        <v/>
      </c>
      <c r="M1663" s="55" t="str">
        <f>IFERROR(IF($G1663="","",VLOOKUP('Dashboard And Emails Automate'!$G1663,Database!$H:$N,7,0)),"")</f>
        <v/>
      </c>
      <c r="N1663" s="55" t="str">
        <f>IFERROR(IF(OR($B1663="",$B1663="(blank)"),"",VLOOKUP($B1663,'Email Marketing Raw Data'!$C:$O,6,0)),"")</f>
        <v/>
      </c>
      <c r="O1663" s="55" t="str">
        <f>IFERROR(IF(OR($B1663="",$B1663="(blank)"),"",VLOOKUP($B1663,'Email Marketing Raw Data'!$C:$O,7,0)),"")</f>
        <v/>
      </c>
      <c r="P1663" s="55" t="str">
        <f>IFERROR(IF(OR($B1663="",$B1663="(blank)"),"",VLOOKUP($B1663,'Email Marketing Raw Data'!$C:$O,8,0)),"")</f>
        <v/>
      </c>
      <c r="Q1663" s="62" t="str">
        <f>IFERROR(IF(OR($B1663="",$B1663="(blank)"),"",VLOOKUP($B1663,'Email Marketing Raw Data'!$C:$O,9,0)),"")</f>
        <v/>
      </c>
    </row>
    <row r="1664" spans="4:17" ht="12.75" customHeight="1" x14ac:dyDescent="0.2">
      <c r="D1664" s="58" t="str">
        <f>IFERROR(IF(F1664&lt;&gt;"pending","",IF(OR($B1664="",$B1664="(blank)"),"",VLOOKUP($B1664,'Email Marketing Raw Data'!$C:$O,10,0))),"")</f>
        <v/>
      </c>
      <c r="E1664" s="59" t="str">
        <f>IFERROR(IF(F1664&lt;&gt;"pending","",IF(OR($B1664="",$B1664="(blank)"),"",VLOOKUP($B1664,'Email Marketing Raw Data'!$C:$O,11,0))),"")</f>
        <v/>
      </c>
      <c r="F1664" s="54" t="str">
        <f>IFERROR(IF(OR($B1664="",$B1664="(blank)"),"",VLOOKUP($B1664,'Email Marketing Raw Data'!$C:$O,13,0)),"")</f>
        <v/>
      </c>
      <c r="G1664" s="55" t="str">
        <f>IFERROR(IF(OR($B1664="",$B1664="(blank)"),"",VLOOKUP($B1664,'Email Marketing Raw Data'!$C:$O,4,0)),"")</f>
        <v/>
      </c>
      <c r="H1664" s="55" t="str">
        <f>IFERROR(IF(OR($B1664="",$B1664="(blank)"),"",VLOOKUP($B1664,'Email Marketing Raw Data'!$C:$O,5,0)),"")</f>
        <v/>
      </c>
      <c r="I1664" s="55" t="str">
        <f>IFERROR(IF($G1664="","",VLOOKUP('Dashboard And Emails Automate'!$G1664,Database!$H:$N,3,0)),"")</f>
        <v/>
      </c>
      <c r="J1664" s="55" t="str">
        <f>IFERROR(IF($G1664="","",VLOOKUP('Dashboard And Emails Automate'!$G1664,Database!$H:$N,4,0)),"")</f>
        <v/>
      </c>
      <c r="K1664" s="55" t="str">
        <f>IFERROR(IF($G1664="","",VLOOKUP('Dashboard And Emails Automate'!$G1664,Database!$H:$N,5,0)),"")</f>
        <v/>
      </c>
      <c r="L1664" s="55" t="str">
        <f>IFERROR(IF($G1664="","",VLOOKUP('Dashboard And Emails Automate'!$G1664,Database!$H:$N,6,0)),"")</f>
        <v/>
      </c>
      <c r="M1664" s="55" t="str">
        <f>IFERROR(IF($G1664="","",VLOOKUP('Dashboard And Emails Automate'!$G1664,Database!$H:$N,7,0)),"")</f>
        <v/>
      </c>
      <c r="N1664" s="55" t="str">
        <f>IFERROR(IF(OR($B1664="",$B1664="(blank)"),"",VLOOKUP($B1664,'Email Marketing Raw Data'!$C:$O,6,0)),"")</f>
        <v/>
      </c>
      <c r="O1664" s="55" t="str">
        <f>IFERROR(IF(OR($B1664="",$B1664="(blank)"),"",VLOOKUP($B1664,'Email Marketing Raw Data'!$C:$O,7,0)),"")</f>
        <v/>
      </c>
      <c r="P1664" s="55" t="str">
        <f>IFERROR(IF(OR($B1664="",$B1664="(blank)"),"",VLOOKUP($B1664,'Email Marketing Raw Data'!$C:$O,8,0)),"")</f>
        <v/>
      </c>
      <c r="Q1664" s="62" t="str">
        <f>IFERROR(IF(OR($B1664="",$B1664="(blank)"),"",VLOOKUP($B1664,'Email Marketing Raw Data'!$C:$O,9,0)),"")</f>
        <v/>
      </c>
    </row>
    <row r="1665" spans="4:17" ht="12.75" customHeight="1" x14ac:dyDescent="0.2">
      <c r="D1665" s="58" t="str">
        <f>IFERROR(IF(F1665&lt;&gt;"pending","",IF(OR($B1665="",$B1665="(blank)"),"",VLOOKUP($B1665,'Email Marketing Raw Data'!$C:$O,10,0))),"")</f>
        <v/>
      </c>
      <c r="E1665" s="59" t="str">
        <f>IFERROR(IF(F1665&lt;&gt;"pending","",IF(OR($B1665="",$B1665="(blank)"),"",VLOOKUP($B1665,'Email Marketing Raw Data'!$C:$O,11,0))),"")</f>
        <v/>
      </c>
      <c r="F1665" s="54" t="str">
        <f>IFERROR(IF(OR($B1665="",$B1665="(blank)"),"",VLOOKUP($B1665,'Email Marketing Raw Data'!$C:$O,13,0)),"")</f>
        <v/>
      </c>
      <c r="G1665" s="55" t="str">
        <f>IFERROR(IF(OR($B1665="",$B1665="(blank)"),"",VLOOKUP($B1665,'Email Marketing Raw Data'!$C:$O,4,0)),"")</f>
        <v/>
      </c>
      <c r="H1665" s="55" t="str">
        <f>IFERROR(IF(OR($B1665="",$B1665="(blank)"),"",VLOOKUP($B1665,'Email Marketing Raw Data'!$C:$O,5,0)),"")</f>
        <v/>
      </c>
      <c r="I1665" s="55" t="str">
        <f>IFERROR(IF($G1665="","",VLOOKUP('Dashboard And Emails Automate'!$G1665,Database!$H:$N,3,0)),"")</f>
        <v/>
      </c>
      <c r="J1665" s="55" t="str">
        <f>IFERROR(IF($G1665="","",VLOOKUP('Dashboard And Emails Automate'!$G1665,Database!$H:$N,4,0)),"")</f>
        <v/>
      </c>
      <c r="K1665" s="55" t="str">
        <f>IFERROR(IF($G1665="","",VLOOKUP('Dashboard And Emails Automate'!$G1665,Database!$H:$N,5,0)),"")</f>
        <v/>
      </c>
      <c r="L1665" s="55" t="str">
        <f>IFERROR(IF($G1665="","",VLOOKUP('Dashboard And Emails Automate'!$G1665,Database!$H:$N,6,0)),"")</f>
        <v/>
      </c>
      <c r="M1665" s="55" t="str">
        <f>IFERROR(IF($G1665="","",VLOOKUP('Dashboard And Emails Automate'!$G1665,Database!$H:$N,7,0)),"")</f>
        <v/>
      </c>
      <c r="N1665" s="55" t="str">
        <f>IFERROR(IF(OR($B1665="",$B1665="(blank)"),"",VLOOKUP($B1665,'Email Marketing Raw Data'!$C:$O,6,0)),"")</f>
        <v/>
      </c>
      <c r="O1665" s="55" t="str">
        <f>IFERROR(IF(OR($B1665="",$B1665="(blank)"),"",VLOOKUP($B1665,'Email Marketing Raw Data'!$C:$O,7,0)),"")</f>
        <v/>
      </c>
      <c r="P1665" s="55" t="str">
        <f>IFERROR(IF(OR($B1665="",$B1665="(blank)"),"",VLOOKUP($B1665,'Email Marketing Raw Data'!$C:$O,8,0)),"")</f>
        <v/>
      </c>
      <c r="Q1665" s="62" t="str">
        <f>IFERROR(IF(OR($B1665="",$B1665="(blank)"),"",VLOOKUP($B1665,'Email Marketing Raw Data'!$C:$O,9,0)),"")</f>
        <v/>
      </c>
    </row>
    <row r="1666" spans="4:17" ht="12.75" customHeight="1" x14ac:dyDescent="0.2">
      <c r="D1666" s="58" t="str">
        <f>IFERROR(IF(F1666&lt;&gt;"pending","",IF(OR($B1666="",$B1666="(blank)"),"",VLOOKUP($B1666,'Email Marketing Raw Data'!$C:$O,10,0))),"")</f>
        <v/>
      </c>
      <c r="E1666" s="59" t="str">
        <f>IFERROR(IF(F1666&lt;&gt;"pending","",IF(OR($B1666="",$B1666="(blank)"),"",VLOOKUP($B1666,'Email Marketing Raw Data'!$C:$O,11,0))),"")</f>
        <v/>
      </c>
      <c r="F1666" s="54" t="str">
        <f>IFERROR(IF(OR($B1666="",$B1666="(blank)"),"",VLOOKUP($B1666,'Email Marketing Raw Data'!$C:$O,13,0)),"")</f>
        <v/>
      </c>
      <c r="G1666" s="55" t="str">
        <f>IFERROR(IF(OR($B1666="",$B1666="(blank)"),"",VLOOKUP($B1666,'Email Marketing Raw Data'!$C:$O,4,0)),"")</f>
        <v/>
      </c>
      <c r="H1666" s="55" t="str">
        <f>IFERROR(IF(OR($B1666="",$B1666="(blank)"),"",VLOOKUP($B1666,'Email Marketing Raw Data'!$C:$O,5,0)),"")</f>
        <v/>
      </c>
      <c r="I1666" s="55" t="str">
        <f>IFERROR(IF($G1666="","",VLOOKUP('Dashboard And Emails Automate'!$G1666,Database!$H:$N,3,0)),"")</f>
        <v/>
      </c>
      <c r="J1666" s="55" t="str">
        <f>IFERROR(IF($G1666="","",VLOOKUP('Dashboard And Emails Automate'!$G1666,Database!$H:$N,4,0)),"")</f>
        <v/>
      </c>
      <c r="K1666" s="55" t="str">
        <f>IFERROR(IF($G1666="","",VLOOKUP('Dashboard And Emails Automate'!$G1666,Database!$H:$N,5,0)),"")</f>
        <v/>
      </c>
      <c r="L1666" s="55" t="str">
        <f>IFERROR(IF($G1666="","",VLOOKUP('Dashboard And Emails Automate'!$G1666,Database!$H:$N,6,0)),"")</f>
        <v/>
      </c>
      <c r="M1666" s="55" t="str">
        <f>IFERROR(IF($G1666="","",VLOOKUP('Dashboard And Emails Automate'!$G1666,Database!$H:$N,7,0)),"")</f>
        <v/>
      </c>
      <c r="N1666" s="55" t="str">
        <f>IFERROR(IF(OR($B1666="",$B1666="(blank)"),"",VLOOKUP($B1666,'Email Marketing Raw Data'!$C:$O,6,0)),"")</f>
        <v/>
      </c>
      <c r="O1666" s="55" t="str">
        <f>IFERROR(IF(OR($B1666="",$B1666="(blank)"),"",VLOOKUP($B1666,'Email Marketing Raw Data'!$C:$O,7,0)),"")</f>
        <v/>
      </c>
      <c r="P1666" s="55" t="str">
        <f>IFERROR(IF(OR($B1666="",$B1666="(blank)"),"",VLOOKUP($B1666,'Email Marketing Raw Data'!$C:$O,8,0)),"")</f>
        <v/>
      </c>
      <c r="Q1666" s="62" t="str">
        <f>IFERROR(IF(OR($B1666="",$B1666="(blank)"),"",VLOOKUP($B1666,'Email Marketing Raw Data'!$C:$O,9,0)),"")</f>
        <v/>
      </c>
    </row>
    <row r="1667" spans="4:17" ht="12.75" customHeight="1" x14ac:dyDescent="0.2">
      <c r="D1667" s="58" t="str">
        <f>IFERROR(IF(F1667&lt;&gt;"pending","",IF(OR($B1667="",$B1667="(blank)"),"",VLOOKUP($B1667,'Email Marketing Raw Data'!$C:$O,10,0))),"")</f>
        <v/>
      </c>
      <c r="E1667" s="59" t="str">
        <f>IFERROR(IF(F1667&lt;&gt;"pending","",IF(OR($B1667="",$B1667="(blank)"),"",VLOOKUP($B1667,'Email Marketing Raw Data'!$C:$O,11,0))),"")</f>
        <v/>
      </c>
      <c r="F1667" s="54" t="str">
        <f>IFERROR(IF(OR($B1667="",$B1667="(blank)"),"",VLOOKUP($B1667,'Email Marketing Raw Data'!$C:$O,13,0)),"")</f>
        <v/>
      </c>
      <c r="G1667" s="55" t="str">
        <f>IFERROR(IF(OR($B1667="",$B1667="(blank)"),"",VLOOKUP($B1667,'Email Marketing Raw Data'!$C:$O,4,0)),"")</f>
        <v/>
      </c>
      <c r="H1667" s="55" t="str">
        <f>IFERROR(IF(OR($B1667="",$B1667="(blank)"),"",VLOOKUP($B1667,'Email Marketing Raw Data'!$C:$O,5,0)),"")</f>
        <v/>
      </c>
      <c r="I1667" s="55" t="str">
        <f>IFERROR(IF($G1667="","",VLOOKUP('Dashboard And Emails Automate'!$G1667,Database!$H:$N,3,0)),"")</f>
        <v/>
      </c>
      <c r="J1667" s="55" t="str">
        <f>IFERROR(IF($G1667="","",VLOOKUP('Dashboard And Emails Automate'!$G1667,Database!$H:$N,4,0)),"")</f>
        <v/>
      </c>
      <c r="K1667" s="55" t="str">
        <f>IFERROR(IF($G1667="","",VLOOKUP('Dashboard And Emails Automate'!$G1667,Database!$H:$N,5,0)),"")</f>
        <v/>
      </c>
      <c r="L1667" s="55" t="str">
        <f>IFERROR(IF($G1667="","",VLOOKUP('Dashboard And Emails Automate'!$G1667,Database!$H:$N,6,0)),"")</f>
        <v/>
      </c>
      <c r="M1667" s="55" t="str">
        <f>IFERROR(IF($G1667="","",VLOOKUP('Dashboard And Emails Automate'!$G1667,Database!$H:$N,7,0)),"")</f>
        <v/>
      </c>
      <c r="N1667" s="55" t="str">
        <f>IFERROR(IF(OR($B1667="",$B1667="(blank)"),"",VLOOKUP($B1667,'Email Marketing Raw Data'!$C:$O,6,0)),"")</f>
        <v/>
      </c>
      <c r="O1667" s="55" t="str">
        <f>IFERROR(IF(OR($B1667="",$B1667="(blank)"),"",VLOOKUP($B1667,'Email Marketing Raw Data'!$C:$O,7,0)),"")</f>
        <v/>
      </c>
      <c r="P1667" s="55" t="str">
        <f>IFERROR(IF(OR($B1667="",$B1667="(blank)"),"",VLOOKUP($B1667,'Email Marketing Raw Data'!$C:$O,8,0)),"")</f>
        <v/>
      </c>
      <c r="Q1667" s="62" t="str">
        <f>IFERROR(IF(OR($B1667="",$B1667="(blank)"),"",VLOOKUP($B1667,'Email Marketing Raw Data'!$C:$O,9,0)),"")</f>
        <v/>
      </c>
    </row>
    <row r="1668" spans="4:17" ht="12.75" customHeight="1" x14ac:dyDescent="0.2">
      <c r="D1668" s="58" t="str">
        <f>IFERROR(IF(F1668&lt;&gt;"pending","",IF(OR($B1668="",$B1668="(blank)"),"",VLOOKUP($B1668,'Email Marketing Raw Data'!$C:$O,10,0))),"")</f>
        <v/>
      </c>
      <c r="E1668" s="59" t="str">
        <f>IFERROR(IF(F1668&lt;&gt;"pending","",IF(OR($B1668="",$B1668="(blank)"),"",VLOOKUP($B1668,'Email Marketing Raw Data'!$C:$O,11,0))),"")</f>
        <v/>
      </c>
      <c r="F1668" s="54" t="str">
        <f>IFERROR(IF(OR($B1668="",$B1668="(blank)"),"",VLOOKUP($B1668,'Email Marketing Raw Data'!$C:$O,13,0)),"")</f>
        <v/>
      </c>
      <c r="G1668" s="55" t="str">
        <f>IFERROR(IF(OR($B1668="",$B1668="(blank)"),"",VLOOKUP($B1668,'Email Marketing Raw Data'!$C:$O,4,0)),"")</f>
        <v/>
      </c>
      <c r="H1668" s="55" t="str">
        <f>IFERROR(IF(OR($B1668="",$B1668="(blank)"),"",VLOOKUP($B1668,'Email Marketing Raw Data'!$C:$O,5,0)),"")</f>
        <v/>
      </c>
      <c r="I1668" s="55" t="str">
        <f>IFERROR(IF($G1668="","",VLOOKUP('Dashboard And Emails Automate'!$G1668,Database!$H:$N,3,0)),"")</f>
        <v/>
      </c>
      <c r="J1668" s="55" t="str">
        <f>IFERROR(IF($G1668="","",VLOOKUP('Dashboard And Emails Automate'!$G1668,Database!$H:$N,4,0)),"")</f>
        <v/>
      </c>
      <c r="K1668" s="55" t="str">
        <f>IFERROR(IF($G1668="","",VLOOKUP('Dashboard And Emails Automate'!$G1668,Database!$H:$N,5,0)),"")</f>
        <v/>
      </c>
      <c r="L1668" s="55" t="str">
        <f>IFERROR(IF($G1668="","",VLOOKUP('Dashboard And Emails Automate'!$G1668,Database!$H:$N,6,0)),"")</f>
        <v/>
      </c>
      <c r="M1668" s="55" t="str">
        <f>IFERROR(IF($G1668="","",VLOOKUP('Dashboard And Emails Automate'!$G1668,Database!$H:$N,7,0)),"")</f>
        <v/>
      </c>
      <c r="N1668" s="55" t="str">
        <f>IFERROR(IF(OR($B1668="",$B1668="(blank)"),"",VLOOKUP($B1668,'Email Marketing Raw Data'!$C:$O,6,0)),"")</f>
        <v/>
      </c>
      <c r="O1668" s="55" t="str">
        <f>IFERROR(IF(OR($B1668="",$B1668="(blank)"),"",VLOOKUP($B1668,'Email Marketing Raw Data'!$C:$O,7,0)),"")</f>
        <v/>
      </c>
      <c r="P1668" s="55" t="str">
        <f>IFERROR(IF(OR($B1668="",$B1668="(blank)"),"",VLOOKUP($B1668,'Email Marketing Raw Data'!$C:$O,8,0)),"")</f>
        <v/>
      </c>
      <c r="Q1668" s="62" t="str">
        <f>IFERROR(IF(OR($B1668="",$B1668="(blank)"),"",VLOOKUP($B1668,'Email Marketing Raw Data'!$C:$O,9,0)),"")</f>
        <v/>
      </c>
    </row>
    <row r="1669" spans="4:17" ht="12.75" customHeight="1" x14ac:dyDescent="0.2">
      <c r="D1669" s="58" t="str">
        <f>IFERROR(IF(F1669&lt;&gt;"pending","",IF(OR($B1669="",$B1669="(blank)"),"",VLOOKUP($B1669,'Email Marketing Raw Data'!$C:$O,10,0))),"")</f>
        <v/>
      </c>
      <c r="E1669" s="59" t="str">
        <f>IFERROR(IF(F1669&lt;&gt;"pending","",IF(OR($B1669="",$B1669="(blank)"),"",VLOOKUP($B1669,'Email Marketing Raw Data'!$C:$O,11,0))),"")</f>
        <v/>
      </c>
      <c r="F1669" s="54" t="str">
        <f>IFERROR(IF(OR($B1669="",$B1669="(blank)"),"",VLOOKUP($B1669,'Email Marketing Raw Data'!$C:$O,13,0)),"")</f>
        <v/>
      </c>
      <c r="G1669" s="55" t="str">
        <f>IFERROR(IF(OR($B1669="",$B1669="(blank)"),"",VLOOKUP($B1669,'Email Marketing Raw Data'!$C:$O,4,0)),"")</f>
        <v/>
      </c>
      <c r="H1669" s="55" t="str">
        <f>IFERROR(IF(OR($B1669="",$B1669="(blank)"),"",VLOOKUP($B1669,'Email Marketing Raw Data'!$C:$O,5,0)),"")</f>
        <v/>
      </c>
      <c r="I1669" s="55" t="str">
        <f>IFERROR(IF($G1669="","",VLOOKUP('Dashboard And Emails Automate'!$G1669,Database!$H:$N,3,0)),"")</f>
        <v/>
      </c>
      <c r="J1669" s="55" t="str">
        <f>IFERROR(IF($G1669="","",VLOOKUP('Dashboard And Emails Automate'!$G1669,Database!$H:$N,4,0)),"")</f>
        <v/>
      </c>
      <c r="K1669" s="55" t="str">
        <f>IFERROR(IF($G1669="","",VLOOKUP('Dashboard And Emails Automate'!$G1669,Database!$H:$N,5,0)),"")</f>
        <v/>
      </c>
      <c r="L1669" s="55" t="str">
        <f>IFERROR(IF($G1669="","",VLOOKUP('Dashboard And Emails Automate'!$G1669,Database!$H:$N,6,0)),"")</f>
        <v/>
      </c>
      <c r="M1669" s="55" t="str">
        <f>IFERROR(IF($G1669="","",VLOOKUP('Dashboard And Emails Automate'!$G1669,Database!$H:$N,7,0)),"")</f>
        <v/>
      </c>
      <c r="N1669" s="55" t="str">
        <f>IFERROR(IF(OR($B1669="",$B1669="(blank)"),"",VLOOKUP($B1669,'Email Marketing Raw Data'!$C:$O,6,0)),"")</f>
        <v/>
      </c>
      <c r="O1669" s="55" t="str">
        <f>IFERROR(IF(OR($B1669="",$B1669="(blank)"),"",VLOOKUP($B1669,'Email Marketing Raw Data'!$C:$O,7,0)),"")</f>
        <v/>
      </c>
      <c r="P1669" s="55" t="str">
        <f>IFERROR(IF(OR($B1669="",$B1669="(blank)"),"",VLOOKUP($B1669,'Email Marketing Raw Data'!$C:$O,8,0)),"")</f>
        <v/>
      </c>
      <c r="Q1669" s="62" t="str">
        <f>IFERROR(IF(OR($B1669="",$B1669="(blank)"),"",VLOOKUP($B1669,'Email Marketing Raw Data'!$C:$O,9,0)),"")</f>
        <v/>
      </c>
    </row>
    <row r="1670" spans="4:17" ht="12.75" customHeight="1" x14ac:dyDescent="0.2">
      <c r="D1670" s="58" t="str">
        <f>IFERROR(IF(F1670&lt;&gt;"pending","",IF(OR($B1670="",$B1670="(blank)"),"",VLOOKUP($B1670,'Email Marketing Raw Data'!$C:$O,10,0))),"")</f>
        <v/>
      </c>
      <c r="E1670" s="59" t="str">
        <f>IFERROR(IF(F1670&lt;&gt;"pending","",IF(OR($B1670="",$B1670="(blank)"),"",VLOOKUP($B1670,'Email Marketing Raw Data'!$C:$O,11,0))),"")</f>
        <v/>
      </c>
      <c r="F1670" s="54" t="str">
        <f>IFERROR(IF(OR($B1670="",$B1670="(blank)"),"",VLOOKUP($B1670,'Email Marketing Raw Data'!$C:$O,13,0)),"")</f>
        <v/>
      </c>
      <c r="G1670" s="55" t="str">
        <f>IFERROR(IF(OR($B1670="",$B1670="(blank)"),"",VLOOKUP($B1670,'Email Marketing Raw Data'!$C:$O,4,0)),"")</f>
        <v/>
      </c>
      <c r="H1670" s="55" t="str">
        <f>IFERROR(IF(OR($B1670="",$B1670="(blank)"),"",VLOOKUP($B1670,'Email Marketing Raw Data'!$C:$O,5,0)),"")</f>
        <v/>
      </c>
      <c r="I1670" s="55" t="str">
        <f>IFERROR(IF($G1670="","",VLOOKUP('Dashboard And Emails Automate'!$G1670,Database!$H:$N,3,0)),"")</f>
        <v/>
      </c>
      <c r="J1670" s="55" t="str">
        <f>IFERROR(IF($G1670="","",VLOOKUP('Dashboard And Emails Automate'!$G1670,Database!$H:$N,4,0)),"")</f>
        <v/>
      </c>
      <c r="K1670" s="55" t="str">
        <f>IFERROR(IF($G1670="","",VLOOKUP('Dashboard And Emails Automate'!$G1670,Database!$H:$N,5,0)),"")</f>
        <v/>
      </c>
      <c r="L1670" s="55" t="str">
        <f>IFERROR(IF($G1670="","",VLOOKUP('Dashboard And Emails Automate'!$G1670,Database!$H:$N,6,0)),"")</f>
        <v/>
      </c>
      <c r="M1670" s="55" t="str">
        <f>IFERROR(IF($G1670="","",VLOOKUP('Dashboard And Emails Automate'!$G1670,Database!$H:$N,7,0)),"")</f>
        <v/>
      </c>
      <c r="N1670" s="55" t="str">
        <f>IFERROR(IF(OR($B1670="",$B1670="(blank)"),"",VLOOKUP($B1670,'Email Marketing Raw Data'!$C:$O,6,0)),"")</f>
        <v/>
      </c>
      <c r="O1670" s="55" t="str">
        <f>IFERROR(IF(OR($B1670="",$B1670="(blank)"),"",VLOOKUP($B1670,'Email Marketing Raw Data'!$C:$O,7,0)),"")</f>
        <v/>
      </c>
      <c r="P1670" s="55" t="str">
        <f>IFERROR(IF(OR($B1670="",$B1670="(blank)"),"",VLOOKUP($B1670,'Email Marketing Raw Data'!$C:$O,8,0)),"")</f>
        <v/>
      </c>
      <c r="Q1670" s="62" t="str">
        <f>IFERROR(IF(OR($B1670="",$B1670="(blank)"),"",VLOOKUP($B1670,'Email Marketing Raw Data'!$C:$O,9,0)),"")</f>
        <v/>
      </c>
    </row>
    <row r="1671" spans="4:17" ht="12.75" customHeight="1" x14ac:dyDescent="0.2">
      <c r="D1671" s="58" t="str">
        <f>IFERROR(IF(F1671&lt;&gt;"pending","",IF(OR($B1671="",$B1671="(blank)"),"",VLOOKUP($B1671,'Email Marketing Raw Data'!$C:$O,10,0))),"")</f>
        <v/>
      </c>
      <c r="E1671" s="59" t="str">
        <f>IFERROR(IF(F1671&lt;&gt;"pending","",IF(OR($B1671="",$B1671="(blank)"),"",VLOOKUP($B1671,'Email Marketing Raw Data'!$C:$O,11,0))),"")</f>
        <v/>
      </c>
      <c r="F1671" s="54" t="str">
        <f>IFERROR(IF(OR($B1671="",$B1671="(blank)"),"",VLOOKUP($B1671,'Email Marketing Raw Data'!$C:$O,13,0)),"")</f>
        <v/>
      </c>
      <c r="G1671" s="55" t="str">
        <f>IFERROR(IF(OR($B1671="",$B1671="(blank)"),"",VLOOKUP($B1671,'Email Marketing Raw Data'!$C:$O,4,0)),"")</f>
        <v/>
      </c>
      <c r="H1671" s="55" t="str">
        <f>IFERROR(IF(OR($B1671="",$B1671="(blank)"),"",VLOOKUP($B1671,'Email Marketing Raw Data'!$C:$O,5,0)),"")</f>
        <v/>
      </c>
      <c r="I1671" s="55" t="str">
        <f>IFERROR(IF($G1671="","",VLOOKUP('Dashboard And Emails Automate'!$G1671,Database!$H:$N,3,0)),"")</f>
        <v/>
      </c>
      <c r="J1671" s="55" t="str">
        <f>IFERROR(IF($G1671="","",VLOOKUP('Dashboard And Emails Automate'!$G1671,Database!$H:$N,4,0)),"")</f>
        <v/>
      </c>
      <c r="K1671" s="55" t="str">
        <f>IFERROR(IF($G1671="","",VLOOKUP('Dashboard And Emails Automate'!$G1671,Database!$H:$N,5,0)),"")</f>
        <v/>
      </c>
      <c r="L1671" s="55" t="str">
        <f>IFERROR(IF($G1671="","",VLOOKUP('Dashboard And Emails Automate'!$G1671,Database!$H:$N,6,0)),"")</f>
        <v/>
      </c>
      <c r="M1671" s="55" t="str">
        <f>IFERROR(IF($G1671="","",VLOOKUP('Dashboard And Emails Automate'!$G1671,Database!$H:$N,7,0)),"")</f>
        <v/>
      </c>
      <c r="N1671" s="55" t="str">
        <f>IFERROR(IF(OR($B1671="",$B1671="(blank)"),"",VLOOKUP($B1671,'Email Marketing Raw Data'!$C:$O,6,0)),"")</f>
        <v/>
      </c>
      <c r="O1671" s="55" t="str">
        <f>IFERROR(IF(OR($B1671="",$B1671="(blank)"),"",VLOOKUP($B1671,'Email Marketing Raw Data'!$C:$O,7,0)),"")</f>
        <v/>
      </c>
      <c r="P1671" s="55" t="str">
        <f>IFERROR(IF(OR($B1671="",$B1671="(blank)"),"",VLOOKUP($B1671,'Email Marketing Raw Data'!$C:$O,8,0)),"")</f>
        <v/>
      </c>
      <c r="Q1671" s="62" t="str">
        <f>IFERROR(IF(OR($B1671="",$B1671="(blank)"),"",VLOOKUP($B1671,'Email Marketing Raw Data'!$C:$O,9,0)),"")</f>
        <v/>
      </c>
    </row>
    <row r="1672" spans="4:17" ht="12.75" customHeight="1" x14ac:dyDescent="0.2">
      <c r="D1672" s="58" t="str">
        <f>IFERROR(IF(F1672&lt;&gt;"pending","",IF(OR($B1672="",$B1672="(blank)"),"",VLOOKUP($B1672,'Email Marketing Raw Data'!$C:$O,10,0))),"")</f>
        <v/>
      </c>
      <c r="E1672" s="59" t="str">
        <f>IFERROR(IF(F1672&lt;&gt;"pending","",IF(OR($B1672="",$B1672="(blank)"),"",VLOOKUP($B1672,'Email Marketing Raw Data'!$C:$O,11,0))),"")</f>
        <v/>
      </c>
      <c r="F1672" s="54" t="str">
        <f>IFERROR(IF(OR($B1672="",$B1672="(blank)"),"",VLOOKUP($B1672,'Email Marketing Raw Data'!$C:$O,13,0)),"")</f>
        <v/>
      </c>
      <c r="G1672" s="55" t="str">
        <f>IFERROR(IF(OR($B1672="",$B1672="(blank)"),"",VLOOKUP($B1672,'Email Marketing Raw Data'!$C:$O,4,0)),"")</f>
        <v/>
      </c>
      <c r="H1672" s="55" t="str">
        <f>IFERROR(IF(OR($B1672="",$B1672="(blank)"),"",VLOOKUP($B1672,'Email Marketing Raw Data'!$C:$O,5,0)),"")</f>
        <v/>
      </c>
      <c r="I1672" s="55" t="str">
        <f>IFERROR(IF($G1672="","",VLOOKUP('Dashboard And Emails Automate'!$G1672,Database!$H:$N,3,0)),"")</f>
        <v/>
      </c>
      <c r="J1672" s="55" t="str">
        <f>IFERROR(IF($G1672="","",VLOOKUP('Dashboard And Emails Automate'!$G1672,Database!$H:$N,4,0)),"")</f>
        <v/>
      </c>
      <c r="K1672" s="55" t="str">
        <f>IFERROR(IF($G1672="","",VLOOKUP('Dashboard And Emails Automate'!$G1672,Database!$H:$N,5,0)),"")</f>
        <v/>
      </c>
      <c r="L1672" s="55" t="str">
        <f>IFERROR(IF($G1672="","",VLOOKUP('Dashboard And Emails Automate'!$G1672,Database!$H:$N,6,0)),"")</f>
        <v/>
      </c>
      <c r="M1672" s="55" t="str">
        <f>IFERROR(IF($G1672="","",VLOOKUP('Dashboard And Emails Automate'!$G1672,Database!$H:$N,7,0)),"")</f>
        <v/>
      </c>
      <c r="N1672" s="55" t="str">
        <f>IFERROR(IF(OR($B1672="",$B1672="(blank)"),"",VLOOKUP($B1672,'Email Marketing Raw Data'!$C:$O,6,0)),"")</f>
        <v/>
      </c>
      <c r="O1672" s="55" t="str">
        <f>IFERROR(IF(OR($B1672="",$B1672="(blank)"),"",VLOOKUP($B1672,'Email Marketing Raw Data'!$C:$O,7,0)),"")</f>
        <v/>
      </c>
      <c r="P1672" s="55" t="str">
        <f>IFERROR(IF(OR($B1672="",$B1672="(blank)"),"",VLOOKUP($B1672,'Email Marketing Raw Data'!$C:$O,8,0)),"")</f>
        <v/>
      </c>
      <c r="Q1672" s="62" t="str">
        <f>IFERROR(IF(OR($B1672="",$B1672="(blank)"),"",VLOOKUP($B1672,'Email Marketing Raw Data'!$C:$O,9,0)),"")</f>
        <v/>
      </c>
    </row>
    <row r="1673" spans="4:17" ht="12.75" customHeight="1" x14ac:dyDescent="0.2">
      <c r="D1673" s="58" t="str">
        <f>IFERROR(IF(F1673&lt;&gt;"pending","",IF(OR($B1673="",$B1673="(blank)"),"",VLOOKUP($B1673,'Email Marketing Raw Data'!$C:$O,10,0))),"")</f>
        <v/>
      </c>
      <c r="E1673" s="59" t="str">
        <f>IFERROR(IF(F1673&lt;&gt;"pending","",IF(OR($B1673="",$B1673="(blank)"),"",VLOOKUP($B1673,'Email Marketing Raw Data'!$C:$O,11,0))),"")</f>
        <v/>
      </c>
      <c r="F1673" s="54" t="str">
        <f>IFERROR(IF(OR($B1673="",$B1673="(blank)"),"",VLOOKUP($B1673,'Email Marketing Raw Data'!$C:$O,13,0)),"")</f>
        <v/>
      </c>
      <c r="G1673" s="55" t="str">
        <f>IFERROR(IF(OR($B1673="",$B1673="(blank)"),"",VLOOKUP($B1673,'Email Marketing Raw Data'!$C:$O,4,0)),"")</f>
        <v/>
      </c>
      <c r="H1673" s="55" t="str">
        <f>IFERROR(IF(OR($B1673="",$B1673="(blank)"),"",VLOOKUP($B1673,'Email Marketing Raw Data'!$C:$O,5,0)),"")</f>
        <v/>
      </c>
      <c r="I1673" s="55" t="str">
        <f>IFERROR(IF($G1673="","",VLOOKUP('Dashboard And Emails Automate'!$G1673,Database!$H:$N,3,0)),"")</f>
        <v/>
      </c>
      <c r="J1673" s="55" t="str">
        <f>IFERROR(IF($G1673="","",VLOOKUP('Dashboard And Emails Automate'!$G1673,Database!$H:$N,4,0)),"")</f>
        <v/>
      </c>
      <c r="K1673" s="55" t="str">
        <f>IFERROR(IF($G1673="","",VLOOKUP('Dashboard And Emails Automate'!$G1673,Database!$H:$N,5,0)),"")</f>
        <v/>
      </c>
      <c r="L1673" s="55" t="str">
        <f>IFERROR(IF($G1673="","",VLOOKUP('Dashboard And Emails Automate'!$G1673,Database!$H:$N,6,0)),"")</f>
        <v/>
      </c>
      <c r="M1673" s="55" t="str">
        <f>IFERROR(IF($G1673="","",VLOOKUP('Dashboard And Emails Automate'!$G1673,Database!$H:$N,7,0)),"")</f>
        <v/>
      </c>
      <c r="N1673" s="55" t="str">
        <f>IFERROR(IF(OR($B1673="",$B1673="(blank)"),"",VLOOKUP($B1673,'Email Marketing Raw Data'!$C:$O,6,0)),"")</f>
        <v/>
      </c>
      <c r="O1673" s="55" t="str">
        <f>IFERROR(IF(OR($B1673="",$B1673="(blank)"),"",VLOOKUP($B1673,'Email Marketing Raw Data'!$C:$O,7,0)),"")</f>
        <v/>
      </c>
      <c r="P1673" s="55" t="str">
        <f>IFERROR(IF(OR($B1673="",$B1673="(blank)"),"",VLOOKUP($B1673,'Email Marketing Raw Data'!$C:$O,8,0)),"")</f>
        <v/>
      </c>
      <c r="Q1673" s="62" t="str">
        <f>IFERROR(IF(OR($B1673="",$B1673="(blank)"),"",VLOOKUP($B1673,'Email Marketing Raw Data'!$C:$O,9,0)),"")</f>
        <v/>
      </c>
    </row>
    <row r="1674" spans="4:17" ht="12.75" customHeight="1" x14ac:dyDescent="0.2">
      <c r="D1674" s="58" t="str">
        <f>IFERROR(IF(F1674&lt;&gt;"pending","",IF(OR($B1674="",$B1674="(blank)"),"",VLOOKUP($B1674,'Email Marketing Raw Data'!$C:$O,10,0))),"")</f>
        <v/>
      </c>
      <c r="E1674" s="59" t="str">
        <f>IFERROR(IF(F1674&lt;&gt;"pending","",IF(OR($B1674="",$B1674="(blank)"),"",VLOOKUP($B1674,'Email Marketing Raw Data'!$C:$O,11,0))),"")</f>
        <v/>
      </c>
      <c r="F1674" s="54" t="str">
        <f>IFERROR(IF(OR($B1674="",$B1674="(blank)"),"",VLOOKUP($B1674,'Email Marketing Raw Data'!$C:$O,13,0)),"")</f>
        <v/>
      </c>
      <c r="G1674" s="55" t="str">
        <f>IFERROR(IF(OR($B1674="",$B1674="(blank)"),"",VLOOKUP($B1674,'Email Marketing Raw Data'!$C:$O,4,0)),"")</f>
        <v/>
      </c>
      <c r="H1674" s="55" t="str">
        <f>IFERROR(IF(OR($B1674="",$B1674="(blank)"),"",VLOOKUP($B1674,'Email Marketing Raw Data'!$C:$O,5,0)),"")</f>
        <v/>
      </c>
      <c r="I1674" s="55" t="str">
        <f>IFERROR(IF($G1674="","",VLOOKUP('Dashboard And Emails Automate'!$G1674,Database!$H:$N,3,0)),"")</f>
        <v/>
      </c>
      <c r="J1674" s="55" t="str">
        <f>IFERROR(IF($G1674="","",VLOOKUP('Dashboard And Emails Automate'!$G1674,Database!$H:$N,4,0)),"")</f>
        <v/>
      </c>
      <c r="K1674" s="55" t="str">
        <f>IFERROR(IF($G1674="","",VLOOKUP('Dashboard And Emails Automate'!$G1674,Database!$H:$N,5,0)),"")</f>
        <v/>
      </c>
      <c r="L1674" s="55" t="str">
        <f>IFERROR(IF($G1674="","",VLOOKUP('Dashboard And Emails Automate'!$G1674,Database!$H:$N,6,0)),"")</f>
        <v/>
      </c>
      <c r="M1674" s="55" t="str">
        <f>IFERROR(IF($G1674="","",VLOOKUP('Dashboard And Emails Automate'!$G1674,Database!$H:$N,7,0)),"")</f>
        <v/>
      </c>
      <c r="N1674" s="55" t="str">
        <f>IFERROR(IF(OR($B1674="",$B1674="(blank)"),"",VLOOKUP($B1674,'Email Marketing Raw Data'!$C:$O,6,0)),"")</f>
        <v/>
      </c>
      <c r="O1674" s="55" t="str">
        <f>IFERROR(IF(OR($B1674="",$B1674="(blank)"),"",VLOOKUP($B1674,'Email Marketing Raw Data'!$C:$O,7,0)),"")</f>
        <v/>
      </c>
      <c r="P1674" s="55" t="str">
        <f>IFERROR(IF(OR($B1674="",$B1674="(blank)"),"",VLOOKUP($B1674,'Email Marketing Raw Data'!$C:$O,8,0)),"")</f>
        <v/>
      </c>
      <c r="Q1674" s="62" t="str">
        <f>IFERROR(IF(OR($B1674="",$B1674="(blank)"),"",VLOOKUP($B1674,'Email Marketing Raw Data'!$C:$O,9,0)),"")</f>
        <v/>
      </c>
    </row>
    <row r="1675" spans="4:17" ht="12.75" customHeight="1" x14ac:dyDescent="0.2">
      <c r="D1675" s="58" t="str">
        <f>IFERROR(IF(F1675&lt;&gt;"pending","",IF(OR($B1675="",$B1675="(blank)"),"",VLOOKUP($B1675,'Email Marketing Raw Data'!$C:$O,10,0))),"")</f>
        <v/>
      </c>
      <c r="E1675" s="59" t="str">
        <f>IFERROR(IF(F1675&lt;&gt;"pending","",IF(OR($B1675="",$B1675="(blank)"),"",VLOOKUP($B1675,'Email Marketing Raw Data'!$C:$O,11,0))),"")</f>
        <v/>
      </c>
      <c r="F1675" s="54" t="str">
        <f>IFERROR(IF(OR($B1675="",$B1675="(blank)"),"",VLOOKUP($B1675,'Email Marketing Raw Data'!$C:$O,13,0)),"")</f>
        <v/>
      </c>
      <c r="G1675" s="55" t="str">
        <f>IFERROR(IF(OR($B1675="",$B1675="(blank)"),"",VLOOKUP($B1675,'Email Marketing Raw Data'!$C:$O,4,0)),"")</f>
        <v/>
      </c>
      <c r="H1675" s="55" t="str">
        <f>IFERROR(IF(OR($B1675="",$B1675="(blank)"),"",VLOOKUP($B1675,'Email Marketing Raw Data'!$C:$O,5,0)),"")</f>
        <v/>
      </c>
      <c r="I1675" s="55" t="str">
        <f>IFERROR(IF($G1675="","",VLOOKUP('Dashboard And Emails Automate'!$G1675,Database!$H:$N,3,0)),"")</f>
        <v/>
      </c>
      <c r="J1675" s="55" t="str">
        <f>IFERROR(IF($G1675="","",VLOOKUP('Dashboard And Emails Automate'!$G1675,Database!$H:$N,4,0)),"")</f>
        <v/>
      </c>
      <c r="K1675" s="55" t="str">
        <f>IFERROR(IF($G1675="","",VLOOKUP('Dashboard And Emails Automate'!$G1675,Database!$H:$N,5,0)),"")</f>
        <v/>
      </c>
      <c r="L1675" s="55" t="str">
        <f>IFERROR(IF($G1675="","",VLOOKUP('Dashboard And Emails Automate'!$G1675,Database!$H:$N,6,0)),"")</f>
        <v/>
      </c>
      <c r="M1675" s="55" t="str">
        <f>IFERROR(IF($G1675="","",VLOOKUP('Dashboard And Emails Automate'!$G1675,Database!$H:$N,7,0)),"")</f>
        <v/>
      </c>
      <c r="N1675" s="55" t="str">
        <f>IFERROR(IF(OR($B1675="",$B1675="(blank)"),"",VLOOKUP($B1675,'Email Marketing Raw Data'!$C:$O,6,0)),"")</f>
        <v/>
      </c>
      <c r="O1675" s="55" t="str">
        <f>IFERROR(IF(OR($B1675="",$B1675="(blank)"),"",VLOOKUP($B1675,'Email Marketing Raw Data'!$C:$O,7,0)),"")</f>
        <v/>
      </c>
      <c r="P1675" s="55" t="str">
        <f>IFERROR(IF(OR($B1675="",$B1675="(blank)"),"",VLOOKUP($B1675,'Email Marketing Raw Data'!$C:$O,8,0)),"")</f>
        <v/>
      </c>
      <c r="Q1675" s="62" t="str">
        <f>IFERROR(IF(OR($B1675="",$B1675="(blank)"),"",VLOOKUP($B1675,'Email Marketing Raw Data'!$C:$O,9,0)),"")</f>
        <v/>
      </c>
    </row>
    <row r="1676" spans="4:17" ht="12.75" customHeight="1" x14ac:dyDescent="0.2">
      <c r="D1676" s="58" t="str">
        <f>IFERROR(IF(F1676&lt;&gt;"pending","",IF(OR($B1676="",$B1676="(blank)"),"",VLOOKUP($B1676,'Email Marketing Raw Data'!$C:$O,10,0))),"")</f>
        <v/>
      </c>
      <c r="E1676" s="59" t="str">
        <f>IFERROR(IF(F1676&lt;&gt;"pending","",IF(OR($B1676="",$B1676="(blank)"),"",VLOOKUP($B1676,'Email Marketing Raw Data'!$C:$O,11,0))),"")</f>
        <v/>
      </c>
      <c r="F1676" s="54" t="str">
        <f>IFERROR(IF(OR($B1676="",$B1676="(blank)"),"",VLOOKUP($B1676,'Email Marketing Raw Data'!$C:$O,13,0)),"")</f>
        <v/>
      </c>
      <c r="G1676" s="55" t="str">
        <f>IFERROR(IF(OR($B1676="",$B1676="(blank)"),"",VLOOKUP($B1676,'Email Marketing Raw Data'!$C:$O,4,0)),"")</f>
        <v/>
      </c>
      <c r="H1676" s="55" t="str">
        <f>IFERROR(IF(OR($B1676="",$B1676="(blank)"),"",VLOOKUP($B1676,'Email Marketing Raw Data'!$C:$O,5,0)),"")</f>
        <v/>
      </c>
      <c r="I1676" s="55" t="str">
        <f>IFERROR(IF($G1676="","",VLOOKUP('Dashboard And Emails Automate'!$G1676,Database!$H:$N,3,0)),"")</f>
        <v/>
      </c>
      <c r="J1676" s="55" t="str">
        <f>IFERROR(IF($G1676="","",VLOOKUP('Dashboard And Emails Automate'!$G1676,Database!$H:$N,4,0)),"")</f>
        <v/>
      </c>
      <c r="K1676" s="55" t="str">
        <f>IFERROR(IF($G1676="","",VLOOKUP('Dashboard And Emails Automate'!$G1676,Database!$H:$N,5,0)),"")</f>
        <v/>
      </c>
      <c r="L1676" s="55" t="str">
        <f>IFERROR(IF($G1676="","",VLOOKUP('Dashboard And Emails Automate'!$G1676,Database!$H:$N,6,0)),"")</f>
        <v/>
      </c>
      <c r="M1676" s="55" t="str">
        <f>IFERROR(IF($G1676="","",VLOOKUP('Dashboard And Emails Automate'!$G1676,Database!$H:$N,7,0)),"")</f>
        <v/>
      </c>
      <c r="N1676" s="55" t="str">
        <f>IFERROR(IF(OR($B1676="",$B1676="(blank)"),"",VLOOKUP($B1676,'Email Marketing Raw Data'!$C:$O,6,0)),"")</f>
        <v/>
      </c>
      <c r="O1676" s="55" t="str">
        <f>IFERROR(IF(OR($B1676="",$B1676="(blank)"),"",VLOOKUP($B1676,'Email Marketing Raw Data'!$C:$O,7,0)),"")</f>
        <v/>
      </c>
      <c r="P1676" s="55" t="str">
        <f>IFERROR(IF(OR($B1676="",$B1676="(blank)"),"",VLOOKUP($B1676,'Email Marketing Raw Data'!$C:$O,8,0)),"")</f>
        <v/>
      </c>
      <c r="Q1676" s="62" t="str">
        <f>IFERROR(IF(OR($B1676="",$B1676="(blank)"),"",VLOOKUP($B1676,'Email Marketing Raw Data'!$C:$O,9,0)),"")</f>
        <v/>
      </c>
    </row>
    <row r="1677" spans="4:17" ht="12.75" customHeight="1" x14ac:dyDescent="0.2">
      <c r="D1677" s="58" t="str">
        <f>IFERROR(IF(F1677&lt;&gt;"pending","",IF(OR($B1677="",$B1677="(blank)"),"",VLOOKUP($B1677,'Email Marketing Raw Data'!$C:$O,10,0))),"")</f>
        <v/>
      </c>
      <c r="E1677" s="59" t="str">
        <f>IFERROR(IF(F1677&lt;&gt;"pending","",IF(OR($B1677="",$B1677="(blank)"),"",VLOOKUP($B1677,'Email Marketing Raw Data'!$C:$O,11,0))),"")</f>
        <v/>
      </c>
      <c r="F1677" s="54" t="str">
        <f>IFERROR(IF(OR($B1677="",$B1677="(blank)"),"",VLOOKUP($B1677,'Email Marketing Raw Data'!$C:$O,13,0)),"")</f>
        <v/>
      </c>
      <c r="G1677" s="55" t="str">
        <f>IFERROR(IF(OR($B1677="",$B1677="(blank)"),"",VLOOKUP($B1677,'Email Marketing Raw Data'!$C:$O,4,0)),"")</f>
        <v/>
      </c>
      <c r="H1677" s="55" t="str">
        <f>IFERROR(IF(OR($B1677="",$B1677="(blank)"),"",VLOOKUP($B1677,'Email Marketing Raw Data'!$C:$O,5,0)),"")</f>
        <v/>
      </c>
      <c r="I1677" s="55" t="str">
        <f>IFERROR(IF($G1677="","",VLOOKUP('Dashboard And Emails Automate'!$G1677,Database!$H:$N,3,0)),"")</f>
        <v/>
      </c>
      <c r="J1677" s="55" t="str">
        <f>IFERROR(IF($G1677="","",VLOOKUP('Dashboard And Emails Automate'!$G1677,Database!$H:$N,4,0)),"")</f>
        <v/>
      </c>
      <c r="K1677" s="55" t="str">
        <f>IFERROR(IF($G1677="","",VLOOKUP('Dashboard And Emails Automate'!$G1677,Database!$H:$N,5,0)),"")</f>
        <v/>
      </c>
      <c r="L1677" s="55" t="str">
        <f>IFERROR(IF($G1677="","",VLOOKUP('Dashboard And Emails Automate'!$G1677,Database!$H:$N,6,0)),"")</f>
        <v/>
      </c>
      <c r="M1677" s="55" t="str">
        <f>IFERROR(IF($G1677="","",VLOOKUP('Dashboard And Emails Automate'!$G1677,Database!$H:$N,7,0)),"")</f>
        <v/>
      </c>
      <c r="N1677" s="55" t="str">
        <f>IFERROR(IF(OR($B1677="",$B1677="(blank)"),"",VLOOKUP($B1677,'Email Marketing Raw Data'!$C:$O,6,0)),"")</f>
        <v/>
      </c>
      <c r="O1677" s="55" t="str">
        <f>IFERROR(IF(OR($B1677="",$B1677="(blank)"),"",VLOOKUP($B1677,'Email Marketing Raw Data'!$C:$O,7,0)),"")</f>
        <v/>
      </c>
      <c r="P1677" s="55" t="str">
        <f>IFERROR(IF(OR($B1677="",$B1677="(blank)"),"",VLOOKUP($B1677,'Email Marketing Raw Data'!$C:$O,8,0)),"")</f>
        <v/>
      </c>
      <c r="Q1677" s="62" t="str">
        <f>IFERROR(IF(OR($B1677="",$B1677="(blank)"),"",VLOOKUP($B1677,'Email Marketing Raw Data'!$C:$O,9,0)),"")</f>
        <v/>
      </c>
    </row>
    <row r="1678" spans="4:17" ht="12.75" customHeight="1" x14ac:dyDescent="0.2">
      <c r="D1678" s="58" t="str">
        <f>IFERROR(IF(F1678&lt;&gt;"pending","",IF(OR($B1678="",$B1678="(blank)"),"",VLOOKUP($B1678,'Email Marketing Raw Data'!$C:$O,10,0))),"")</f>
        <v/>
      </c>
      <c r="E1678" s="59" t="str">
        <f>IFERROR(IF(F1678&lt;&gt;"pending","",IF(OR($B1678="",$B1678="(blank)"),"",VLOOKUP($B1678,'Email Marketing Raw Data'!$C:$O,11,0))),"")</f>
        <v/>
      </c>
      <c r="F1678" s="54" t="str">
        <f>IFERROR(IF(OR($B1678="",$B1678="(blank)"),"",VLOOKUP($B1678,'Email Marketing Raw Data'!$C:$O,13,0)),"")</f>
        <v/>
      </c>
      <c r="G1678" s="55" t="str">
        <f>IFERROR(IF(OR($B1678="",$B1678="(blank)"),"",VLOOKUP($B1678,'Email Marketing Raw Data'!$C:$O,4,0)),"")</f>
        <v/>
      </c>
      <c r="H1678" s="55" t="str">
        <f>IFERROR(IF(OR($B1678="",$B1678="(blank)"),"",VLOOKUP($B1678,'Email Marketing Raw Data'!$C:$O,5,0)),"")</f>
        <v/>
      </c>
      <c r="I1678" s="55" t="str">
        <f>IFERROR(IF($G1678="","",VLOOKUP('Dashboard And Emails Automate'!$G1678,Database!$H:$N,3,0)),"")</f>
        <v/>
      </c>
      <c r="J1678" s="55" t="str">
        <f>IFERROR(IF($G1678="","",VLOOKUP('Dashboard And Emails Automate'!$G1678,Database!$H:$N,4,0)),"")</f>
        <v/>
      </c>
      <c r="K1678" s="55" t="str">
        <f>IFERROR(IF($G1678="","",VLOOKUP('Dashboard And Emails Automate'!$G1678,Database!$H:$N,5,0)),"")</f>
        <v/>
      </c>
      <c r="L1678" s="55" t="str">
        <f>IFERROR(IF($G1678="","",VLOOKUP('Dashboard And Emails Automate'!$G1678,Database!$H:$N,6,0)),"")</f>
        <v/>
      </c>
      <c r="M1678" s="55" t="str">
        <f>IFERROR(IF($G1678="","",VLOOKUP('Dashboard And Emails Automate'!$G1678,Database!$H:$N,7,0)),"")</f>
        <v/>
      </c>
      <c r="N1678" s="55" t="str">
        <f>IFERROR(IF(OR($B1678="",$B1678="(blank)"),"",VLOOKUP($B1678,'Email Marketing Raw Data'!$C:$O,6,0)),"")</f>
        <v/>
      </c>
      <c r="O1678" s="55" t="str">
        <f>IFERROR(IF(OR($B1678="",$B1678="(blank)"),"",VLOOKUP($B1678,'Email Marketing Raw Data'!$C:$O,7,0)),"")</f>
        <v/>
      </c>
      <c r="P1678" s="55" t="str">
        <f>IFERROR(IF(OR($B1678="",$B1678="(blank)"),"",VLOOKUP($B1678,'Email Marketing Raw Data'!$C:$O,8,0)),"")</f>
        <v/>
      </c>
      <c r="Q1678" s="62" t="str">
        <f>IFERROR(IF(OR($B1678="",$B1678="(blank)"),"",VLOOKUP($B1678,'Email Marketing Raw Data'!$C:$O,9,0)),"")</f>
        <v/>
      </c>
    </row>
    <row r="1679" spans="4:17" ht="12.75" customHeight="1" x14ac:dyDescent="0.2">
      <c r="D1679" s="58" t="str">
        <f>IFERROR(IF(F1679&lt;&gt;"pending","",IF(OR($B1679="",$B1679="(blank)"),"",VLOOKUP($B1679,'Email Marketing Raw Data'!$C:$O,10,0))),"")</f>
        <v/>
      </c>
      <c r="E1679" s="59" t="str">
        <f>IFERROR(IF(F1679&lt;&gt;"pending","",IF(OR($B1679="",$B1679="(blank)"),"",VLOOKUP($B1679,'Email Marketing Raw Data'!$C:$O,11,0))),"")</f>
        <v/>
      </c>
      <c r="F1679" s="54" t="str">
        <f>IFERROR(IF(OR($B1679="",$B1679="(blank)"),"",VLOOKUP($B1679,'Email Marketing Raw Data'!$C:$O,13,0)),"")</f>
        <v/>
      </c>
      <c r="G1679" s="55" t="str">
        <f>IFERROR(IF(OR($B1679="",$B1679="(blank)"),"",VLOOKUP($B1679,'Email Marketing Raw Data'!$C:$O,4,0)),"")</f>
        <v/>
      </c>
      <c r="H1679" s="55" t="str">
        <f>IFERROR(IF(OR($B1679="",$B1679="(blank)"),"",VLOOKUP($B1679,'Email Marketing Raw Data'!$C:$O,5,0)),"")</f>
        <v/>
      </c>
      <c r="I1679" s="55" t="str">
        <f>IFERROR(IF($G1679="","",VLOOKUP('Dashboard And Emails Automate'!$G1679,Database!$H:$N,3,0)),"")</f>
        <v/>
      </c>
      <c r="J1679" s="55" t="str">
        <f>IFERROR(IF($G1679="","",VLOOKUP('Dashboard And Emails Automate'!$G1679,Database!$H:$N,4,0)),"")</f>
        <v/>
      </c>
      <c r="K1679" s="55" t="str">
        <f>IFERROR(IF($G1679="","",VLOOKUP('Dashboard And Emails Automate'!$G1679,Database!$H:$N,5,0)),"")</f>
        <v/>
      </c>
      <c r="L1679" s="55" t="str">
        <f>IFERROR(IF($G1679="","",VLOOKUP('Dashboard And Emails Automate'!$G1679,Database!$H:$N,6,0)),"")</f>
        <v/>
      </c>
      <c r="M1679" s="55" t="str">
        <f>IFERROR(IF($G1679="","",VLOOKUP('Dashboard And Emails Automate'!$G1679,Database!$H:$N,7,0)),"")</f>
        <v/>
      </c>
      <c r="N1679" s="55" t="str">
        <f>IFERROR(IF(OR($B1679="",$B1679="(blank)"),"",VLOOKUP($B1679,'Email Marketing Raw Data'!$C:$O,6,0)),"")</f>
        <v/>
      </c>
      <c r="O1679" s="55" t="str">
        <f>IFERROR(IF(OR($B1679="",$B1679="(blank)"),"",VLOOKUP($B1679,'Email Marketing Raw Data'!$C:$O,7,0)),"")</f>
        <v/>
      </c>
      <c r="P1679" s="55" t="str">
        <f>IFERROR(IF(OR($B1679="",$B1679="(blank)"),"",VLOOKUP($B1679,'Email Marketing Raw Data'!$C:$O,8,0)),"")</f>
        <v/>
      </c>
      <c r="Q1679" s="62" t="str">
        <f>IFERROR(IF(OR($B1679="",$B1679="(blank)"),"",VLOOKUP($B1679,'Email Marketing Raw Data'!$C:$O,9,0)),"")</f>
        <v/>
      </c>
    </row>
    <row r="1680" spans="4:17" ht="12.75" customHeight="1" x14ac:dyDescent="0.2">
      <c r="D1680" s="58" t="str">
        <f>IFERROR(IF(F1680&lt;&gt;"pending","",IF(OR($B1680="",$B1680="(blank)"),"",VLOOKUP($B1680,'Email Marketing Raw Data'!$C:$O,10,0))),"")</f>
        <v/>
      </c>
      <c r="E1680" s="59" t="str">
        <f>IFERROR(IF(F1680&lt;&gt;"pending","",IF(OR($B1680="",$B1680="(blank)"),"",VLOOKUP($B1680,'Email Marketing Raw Data'!$C:$O,11,0))),"")</f>
        <v/>
      </c>
      <c r="F1680" s="54" t="str">
        <f>IFERROR(IF(OR($B1680="",$B1680="(blank)"),"",VLOOKUP($B1680,'Email Marketing Raw Data'!$C:$O,13,0)),"")</f>
        <v/>
      </c>
      <c r="G1680" s="55" t="str">
        <f>IFERROR(IF(OR($B1680="",$B1680="(blank)"),"",VLOOKUP($B1680,'Email Marketing Raw Data'!$C:$O,4,0)),"")</f>
        <v/>
      </c>
      <c r="H1680" s="55" t="str">
        <f>IFERROR(IF(OR($B1680="",$B1680="(blank)"),"",VLOOKUP($B1680,'Email Marketing Raw Data'!$C:$O,5,0)),"")</f>
        <v/>
      </c>
      <c r="I1680" s="55" t="str">
        <f>IFERROR(IF($G1680="","",VLOOKUP('Dashboard And Emails Automate'!$G1680,Database!$H:$N,3,0)),"")</f>
        <v/>
      </c>
      <c r="J1680" s="55" t="str">
        <f>IFERROR(IF($G1680="","",VLOOKUP('Dashboard And Emails Automate'!$G1680,Database!$H:$N,4,0)),"")</f>
        <v/>
      </c>
      <c r="K1680" s="55" t="str">
        <f>IFERROR(IF($G1680="","",VLOOKUP('Dashboard And Emails Automate'!$G1680,Database!$H:$N,5,0)),"")</f>
        <v/>
      </c>
      <c r="L1680" s="55" t="str">
        <f>IFERROR(IF($G1680="","",VLOOKUP('Dashboard And Emails Automate'!$G1680,Database!$H:$N,6,0)),"")</f>
        <v/>
      </c>
      <c r="M1680" s="55" t="str">
        <f>IFERROR(IF($G1680="","",VLOOKUP('Dashboard And Emails Automate'!$G1680,Database!$H:$N,7,0)),"")</f>
        <v/>
      </c>
      <c r="N1680" s="55" t="str">
        <f>IFERROR(IF(OR($B1680="",$B1680="(blank)"),"",VLOOKUP($B1680,'Email Marketing Raw Data'!$C:$O,6,0)),"")</f>
        <v/>
      </c>
      <c r="O1680" s="55" t="str">
        <f>IFERROR(IF(OR($B1680="",$B1680="(blank)"),"",VLOOKUP($B1680,'Email Marketing Raw Data'!$C:$O,7,0)),"")</f>
        <v/>
      </c>
      <c r="P1680" s="55" t="str">
        <f>IFERROR(IF(OR($B1680="",$B1680="(blank)"),"",VLOOKUP($B1680,'Email Marketing Raw Data'!$C:$O,8,0)),"")</f>
        <v/>
      </c>
      <c r="Q1680" s="62" t="str">
        <f>IFERROR(IF(OR($B1680="",$B1680="(blank)"),"",VLOOKUP($B1680,'Email Marketing Raw Data'!$C:$O,9,0)),"")</f>
        <v/>
      </c>
    </row>
    <row r="1681" spans="4:17" ht="12.75" customHeight="1" x14ac:dyDescent="0.2">
      <c r="D1681" s="58" t="str">
        <f>IFERROR(IF(F1681&lt;&gt;"pending","",IF(OR($B1681="",$B1681="(blank)"),"",VLOOKUP($B1681,'Email Marketing Raw Data'!$C:$O,10,0))),"")</f>
        <v/>
      </c>
      <c r="E1681" s="59" t="str">
        <f>IFERROR(IF(F1681&lt;&gt;"pending","",IF(OR($B1681="",$B1681="(blank)"),"",VLOOKUP($B1681,'Email Marketing Raw Data'!$C:$O,11,0))),"")</f>
        <v/>
      </c>
      <c r="F1681" s="54" t="str">
        <f>IFERROR(IF(OR($B1681="",$B1681="(blank)"),"",VLOOKUP($B1681,'Email Marketing Raw Data'!$C:$O,13,0)),"")</f>
        <v/>
      </c>
      <c r="G1681" s="55" t="str">
        <f>IFERROR(IF(OR($B1681="",$B1681="(blank)"),"",VLOOKUP($B1681,'Email Marketing Raw Data'!$C:$O,4,0)),"")</f>
        <v/>
      </c>
      <c r="H1681" s="55" t="str">
        <f>IFERROR(IF(OR($B1681="",$B1681="(blank)"),"",VLOOKUP($B1681,'Email Marketing Raw Data'!$C:$O,5,0)),"")</f>
        <v/>
      </c>
      <c r="I1681" s="55" t="str">
        <f>IFERROR(IF($G1681="","",VLOOKUP('Dashboard And Emails Automate'!$G1681,Database!$H:$N,3,0)),"")</f>
        <v/>
      </c>
      <c r="J1681" s="55" t="str">
        <f>IFERROR(IF($G1681="","",VLOOKUP('Dashboard And Emails Automate'!$G1681,Database!$H:$N,4,0)),"")</f>
        <v/>
      </c>
      <c r="K1681" s="55" t="str">
        <f>IFERROR(IF($G1681="","",VLOOKUP('Dashboard And Emails Automate'!$G1681,Database!$H:$N,5,0)),"")</f>
        <v/>
      </c>
      <c r="L1681" s="55" t="str">
        <f>IFERROR(IF($G1681="","",VLOOKUP('Dashboard And Emails Automate'!$G1681,Database!$H:$N,6,0)),"")</f>
        <v/>
      </c>
      <c r="M1681" s="55" t="str">
        <f>IFERROR(IF($G1681="","",VLOOKUP('Dashboard And Emails Automate'!$G1681,Database!$H:$N,7,0)),"")</f>
        <v/>
      </c>
      <c r="N1681" s="55" t="str">
        <f>IFERROR(IF(OR($B1681="",$B1681="(blank)"),"",VLOOKUP($B1681,'Email Marketing Raw Data'!$C:$O,6,0)),"")</f>
        <v/>
      </c>
      <c r="O1681" s="55" t="str">
        <f>IFERROR(IF(OR($B1681="",$B1681="(blank)"),"",VLOOKUP($B1681,'Email Marketing Raw Data'!$C:$O,7,0)),"")</f>
        <v/>
      </c>
      <c r="P1681" s="55" t="str">
        <f>IFERROR(IF(OR($B1681="",$B1681="(blank)"),"",VLOOKUP($B1681,'Email Marketing Raw Data'!$C:$O,8,0)),"")</f>
        <v/>
      </c>
      <c r="Q1681" s="62" t="str">
        <f>IFERROR(IF(OR($B1681="",$B1681="(blank)"),"",VLOOKUP($B1681,'Email Marketing Raw Data'!$C:$O,9,0)),"")</f>
        <v/>
      </c>
    </row>
    <row r="1682" spans="4:17" ht="12.75" customHeight="1" x14ac:dyDescent="0.2">
      <c r="D1682" s="58" t="str">
        <f>IFERROR(IF(F1682&lt;&gt;"pending","",IF(OR($B1682="",$B1682="(blank)"),"",VLOOKUP($B1682,'Email Marketing Raw Data'!$C:$O,10,0))),"")</f>
        <v/>
      </c>
      <c r="E1682" s="59" t="str">
        <f>IFERROR(IF(F1682&lt;&gt;"pending","",IF(OR($B1682="",$B1682="(blank)"),"",VLOOKUP($B1682,'Email Marketing Raw Data'!$C:$O,11,0))),"")</f>
        <v/>
      </c>
      <c r="F1682" s="54" t="str">
        <f>IFERROR(IF(OR($B1682="",$B1682="(blank)"),"",VLOOKUP($B1682,'Email Marketing Raw Data'!$C:$O,13,0)),"")</f>
        <v/>
      </c>
      <c r="G1682" s="55" t="str">
        <f>IFERROR(IF(OR($B1682="",$B1682="(blank)"),"",VLOOKUP($B1682,'Email Marketing Raw Data'!$C:$O,4,0)),"")</f>
        <v/>
      </c>
      <c r="H1682" s="55" t="str">
        <f>IFERROR(IF(OR($B1682="",$B1682="(blank)"),"",VLOOKUP($B1682,'Email Marketing Raw Data'!$C:$O,5,0)),"")</f>
        <v/>
      </c>
      <c r="I1682" s="55" t="str">
        <f>IFERROR(IF($G1682="","",VLOOKUP('Dashboard And Emails Automate'!$G1682,Database!$H:$N,3,0)),"")</f>
        <v/>
      </c>
      <c r="J1682" s="55" t="str">
        <f>IFERROR(IF($G1682="","",VLOOKUP('Dashboard And Emails Automate'!$G1682,Database!$H:$N,4,0)),"")</f>
        <v/>
      </c>
      <c r="K1682" s="55" t="str">
        <f>IFERROR(IF($G1682="","",VLOOKUP('Dashboard And Emails Automate'!$G1682,Database!$H:$N,5,0)),"")</f>
        <v/>
      </c>
      <c r="L1682" s="55" t="str">
        <f>IFERROR(IF($G1682="","",VLOOKUP('Dashboard And Emails Automate'!$G1682,Database!$H:$N,6,0)),"")</f>
        <v/>
      </c>
      <c r="M1682" s="55" t="str">
        <f>IFERROR(IF($G1682="","",VLOOKUP('Dashboard And Emails Automate'!$G1682,Database!$H:$N,7,0)),"")</f>
        <v/>
      </c>
      <c r="N1682" s="55" t="str">
        <f>IFERROR(IF(OR($B1682="",$B1682="(blank)"),"",VLOOKUP($B1682,'Email Marketing Raw Data'!$C:$O,6,0)),"")</f>
        <v/>
      </c>
      <c r="O1682" s="55" t="str">
        <f>IFERROR(IF(OR($B1682="",$B1682="(blank)"),"",VLOOKUP($B1682,'Email Marketing Raw Data'!$C:$O,7,0)),"")</f>
        <v/>
      </c>
      <c r="P1682" s="55" t="str">
        <f>IFERROR(IF(OR($B1682="",$B1682="(blank)"),"",VLOOKUP($B1682,'Email Marketing Raw Data'!$C:$O,8,0)),"")</f>
        <v/>
      </c>
      <c r="Q1682" s="62" t="str">
        <f>IFERROR(IF(OR($B1682="",$B1682="(blank)"),"",VLOOKUP($B1682,'Email Marketing Raw Data'!$C:$O,9,0)),"")</f>
        <v/>
      </c>
    </row>
    <row r="1683" spans="4:17" ht="12.75" customHeight="1" x14ac:dyDescent="0.2">
      <c r="D1683" s="58" t="str">
        <f>IFERROR(IF(F1683&lt;&gt;"pending","",IF(OR($B1683="",$B1683="(blank)"),"",VLOOKUP($B1683,'Email Marketing Raw Data'!$C:$O,10,0))),"")</f>
        <v/>
      </c>
      <c r="E1683" s="59" t="str">
        <f>IFERROR(IF(F1683&lt;&gt;"pending","",IF(OR($B1683="",$B1683="(blank)"),"",VLOOKUP($B1683,'Email Marketing Raw Data'!$C:$O,11,0))),"")</f>
        <v/>
      </c>
      <c r="F1683" s="54" t="str">
        <f>IFERROR(IF(OR($B1683="",$B1683="(blank)"),"",VLOOKUP($B1683,'Email Marketing Raw Data'!$C:$O,13,0)),"")</f>
        <v/>
      </c>
      <c r="G1683" s="55" t="str">
        <f>IFERROR(IF(OR($B1683="",$B1683="(blank)"),"",VLOOKUP($B1683,'Email Marketing Raw Data'!$C:$O,4,0)),"")</f>
        <v/>
      </c>
      <c r="H1683" s="55" t="str">
        <f>IFERROR(IF(OR($B1683="",$B1683="(blank)"),"",VLOOKUP($B1683,'Email Marketing Raw Data'!$C:$O,5,0)),"")</f>
        <v/>
      </c>
      <c r="I1683" s="55" t="str">
        <f>IFERROR(IF($G1683="","",VLOOKUP('Dashboard And Emails Automate'!$G1683,Database!$H:$N,3,0)),"")</f>
        <v/>
      </c>
      <c r="J1683" s="55" t="str">
        <f>IFERROR(IF($G1683="","",VLOOKUP('Dashboard And Emails Automate'!$G1683,Database!$H:$N,4,0)),"")</f>
        <v/>
      </c>
      <c r="K1683" s="55" t="str">
        <f>IFERROR(IF($G1683="","",VLOOKUP('Dashboard And Emails Automate'!$G1683,Database!$H:$N,5,0)),"")</f>
        <v/>
      </c>
      <c r="L1683" s="55" t="str">
        <f>IFERROR(IF($G1683="","",VLOOKUP('Dashboard And Emails Automate'!$G1683,Database!$H:$N,6,0)),"")</f>
        <v/>
      </c>
      <c r="M1683" s="55" t="str">
        <f>IFERROR(IF($G1683="","",VLOOKUP('Dashboard And Emails Automate'!$G1683,Database!$H:$N,7,0)),"")</f>
        <v/>
      </c>
      <c r="N1683" s="55" t="str">
        <f>IFERROR(IF(OR($B1683="",$B1683="(blank)"),"",VLOOKUP($B1683,'Email Marketing Raw Data'!$C:$O,6,0)),"")</f>
        <v/>
      </c>
      <c r="O1683" s="55" t="str">
        <f>IFERROR(IF(OR($B1683="",$B1683="(blank)"),"",VLOOKUP($B1683,'Email Marketing Raw Data'!$C:$O,7,0)),"")</f>
        <v/>
      </c>
      <c r="P1683" s="55" t="str">
        <f>IFERROR(IF(OR($B1683="",$B1683="(blank)"),"",VLOOKUP($B1683,'Email Marketing Raw Data'!$C:$O,8,0)),"")</f>
        <v/>
      </c>
      <c r="Q1683" s="62" t="str">
        <f>IFERROR(IF(OR($B1683="",$B1683="(blank)"),"",VLOOKUP($B1683,'Email Marketing Raw Data'!$C:$O,9,0)),"")</f>
        <v/>
      </c>
    </row>
    <row r="1684" spans="4:17" ht="12.75" customHeight="1" x14ac:dyDescent="0.2">
      <c r="D1684" s="58" t="str">
        <f>IFERROR(IF(F1684&lt;&gt;"pending","",IF(OR($B1684="",$B1684="(blank)"),"",VLOOKUP($B1684,'Email Marketing Raw Data'!$C:$O,10,0))),"")</f>
        <v/>
      </c>
      <c r="E1684" s="59" t="str">
        <f>IFERROR(IF(F1684&lt;&gt;"pending","",IF(OR($B1684="",$B1684="(blank)"),"",VLOOKUP($B1684,'Email Marketing Raw Data'!$C:$O,11,0))),"")</f>
        <v/>
      </c>
      <c r="F1684" s="54" t="str">
        <f>IFERROR(IF(OR($B1684="",$B1684="(blank)"),"",VLOOKUP($B1684,'Email Marketing Raw Data'!$C:$O,13,0)),"")</f>
        <v/>
      </c>
      <c r="G1684" s="55" t="str">
        <f>IFERROR(IF(OR($B1684="",$B1684="(blank)"),"",VLOOKUP($B1684,'Email Marketing Raw Data'!$C:$O,4,0)),"")</f>
        <v/>
      </c>
      <c r="H1684" s="55" t="str">
        <f>IFERROR(IF(OR($B1684="",$B1684="(blank)"),"",VLOOKUP($B1684,'Email Marketing Raw Data'!$C:$O,5,0)),"")</f>
        <v/>
      </c>
      <c r="I1684" s="55" t="str">
        <f>IFERROR(IF($G1684="","",VLOOKUP('Dashboard And Emails Automate'!$G1684,Database!$H:$N,3,0)),"")</f>
        <v/>
      </c>
      <c r="J1684" s="55" t="str">
        <f>IFERROR(IF($G1684="","",VLOOKUP('Dashboard And Emails Automate'!$G1684,Database!$H:$N,4,0)),"")</f>
        <v/>
      </c>
      <c r="K1684" s="55" t="str">
        <f>IFERROR(IF($G1684="","",VLOOKUP('Dashboard And Emails Automate'!$G1684,Database!$H:$N,5,0)),"")</f>
        <v/>
      </c>
      <c r="L1684" s="55" t="str">
        <f>IFERROR(IF($G1684="","",VLOOKUP('Dashboard And Emails Automate'!$G1684,Database!$H:$N,6,0)),"")</f>
        <v/>
      </c>
      <c r="M1684" s="55" t="str">
        <f>IFERROR(IF($G1684="","",VLOOKUP('Dashboard And Emails Automate'!$G1684,Database!$H:$N,7,0)),"")</f>
        <v/>
      </c>
      <c r="N1684" s="55" t="str">
        <f>IFERROR(IF(OR($B1684="",$B1684="(blank)"),"",VLOOKUP($B1684,'Email Marketing Raw Data'!$C:$O,6,0)),"")</f>
        <v/>
      </c>
      <c r="O1684" s="55" t="str">
        <f>IFERROR(IF(OR($B1684="",$B1684="(blank)"),"",VLOOKUP($B1684,'Email Marketing Raw Data'!$C:$O,7,0)),"")</f>
        <v/>
      </c>
      <c r="P1684" s="55" t="str">
        <f>IFERROR(IF(OR($B1684="",$B1684="(blank)"),"",VLOOKUP($B1684,'Email Marketing Raw Data'!$C:$O,8,0)),"")</f>
        <v/>
      </c>
      <c r="Q1684" s="62" t="str">
        <f>IFERROR(IF(OR($B1684="",$B1684="(blank)"),"",VLOOKUP($B1684,'Email Marketing Raw Data'!$C:$O,9,0)),"")</f>
        <v/>
      </c>
    </row>
    <row r="1685" spans="4:17" ht="12.75" customHeight="1" x14ac:dyDescent="0.2">
      <c r="D1685" s="58" t="str">
        <f>IFERROR(IF(F1685&lt;&gt;"pending","",IF(OR($B1685="",$B1685="(blank)"),"",VLOOKUP($B1685,'Email Marketing Raw Data'!$C:$O,10,0))),"")</f>
        <v/>
      </c>
      <c r="E1685" s="59" t="str">
        <f>IFERROR(IF(F1685&lt;&gt;"pending","",IF(OR($B1685="",$B1685="(blank)"),"",VLOOKUP($B1685,'Email Marketing Raw Data'!$C:$O,11,0))),"")</f>
        <v/>
      </c>
      <c r="F1685" s="54" t="str">
        <f>IFERROR(IF(OR($B1685="",$B1685="(blank)"),"",VLOOKUP($B1685,'Email Marketing Raw Data'!$C:$O,13,0)),"")</f>
        <v/>
      </c>
      <c r="G1685" s="55" t="str">
        <f>IFERROR(IF(OR($B1685="",$B1685="(blank)"),"",VLOOKUP($B1685,'Email Marketing Raw Data'!$C:$O,4,0)),"")</f>
        <v/>
      </c>
      <c r="H1685" s="55" t="str">
        <f>IFERROR(IF(OR($B1685="",$B1685="(blank)"),"",VLOOKUP($B1685,'Email Marketing Raw Data'!$C:$O,5,0)),"")</f>
        <v/>
      </c>
      <c r="I1685" s="55" t="str">
        <f>IFERROR(IF($G1685="","",VLOOKUP('Dashboard And Emails Automate'!$G1685,Database!$H:$N,3,0)),"")</f>
        <v/>
      </c>
      <c r="J1685" s="55" t="str">
        <f>IFERROR(IF($G1685="","",VLOOKUP('Dashboard And Emails Automate'!$G1685,Database!$H:$N,4,0)),"")</f>
        <v/>
      </c>
      <c r="K1685" s="55" t="str">
        <f>IFERROR(IF($G1685="","",VLOOKUP('Dashboard And Emails Automate'!$G1685,Database!$H:$N,5,0)),"")</f>
        <v/>
      </c>
      <c r="L1685" s="55" t="str">
        <f>IFERROR(IF($G1685="","",VLOOKUP('Dashboard And Emails Automate'!$G1685,Database!$H:$N,6,0)),"")</f>
        <v/>
      </c>
      <c r="M1685" s="55" t="str">
        <f>IFERROR(IF($G1685="","",VLOOKUP('Dashboard And Emails Automate'!$G1685,Database!$H:$N,7,0)),"")</f>
        <v/>
      </c>
      <c r="N1685" s="55" t="str">
        <f>IFERROR(IF(OR($B1685="",$B1685="(blank)"),"",VLOOKUP($B1685,'Email Marketing Raw Data'!$C:$O,6,0)),"")</f>
        <v/>
      </c>
      <c r="O1685" s="55" t="str">
        <f>IFERROR(IF(OR($B1685="",$B1685="(blank)"),"",VLOOKUP($B1685,'Email Marketing Raw Data'!$C:$O,7,0)),"")</f>
        <v/>
      </c>
      <c r="P1685" s="55" t="str">
        <f>IFERROR(IF(OR($B1685="",$B1685="(blank)"),"",VLOOKUP($B1685,'Email Marketing Raw Data'!$C:$O,8,0)),"")</f>
        <v/>
      </c>
      <c r="Q1685" s="62" t="str">
        <f>IFERROR(IF(OR($B1685="",$B1685="(blank)"),"",VLOOKUP($B1685,'Email Marketing Raw Data'!$C:$O,9,0)),"")</f>
        <v/>
      </c>
    </row>
    <row r="1686" spans="4:17" ht="12.75" customHeight="1" x14ac:dyDescent="0.2">
      <c r="D1686" s="58" t="str">
        <f>IFERROR(IF(F1686&lt;&gt;"pending","",IF(OR($B1686="",$B1686="(blank)"),"",VLOOKUP($B1686,'Email Marketing Raw Data'!$C:$O,10,0))),"")</f>
        <v/>
      </c>
      <c r="E1686" s="59" t="str">
        <f>IFERROR(IF(F1686&lt;&gt;"pending","",IF(OR($B1686="",$B1686="(blank)"),"",VLOOKUP($B1686,'Email Marketing Raw Data'!$C:$O,11,0))),"")</f>
        <v/>
      </c>
      <c r="F1686" s="54" t="str">
        <f>IFERROR(IF(OR($B1686="",$B1686="(blank)"),"",VLOOKUP($B1686,'Email Marketing Raw Data'!$C:$O,13,0)),"")</f>
        <v/>
      </c>
      <c r="G1686" s="55" t="str">
        <f>IFERROR(IF(OR($B1686="",$B1686="(blank)"),"",VLOOKUP($B1686,'Email Marketing Raw Data'!$C:$O,4,0)),"")</f>
        <v/>
      </c>
      <c r="H1686" s="55" t="str">
        <f>IFERROR(IF(OR($B1686="",$B1686="(blank)"),"",VLOOKUP($B1686,'Email Marketing Raw Data'!$C:$O,5,0)),"")</f>
        <v/>
      </c>
      <c r="I1686" s="55" t="str">
        <f>IFERROR(IF($G1686="","",VLOOKUP('Dashboard And Emails Automate'!$G1686,Database!$H:$N,3,0)),"")</f>
        <v/>
      </c>
      <c r="J1686" s="55" t="str">
        <f>IFERROR(IF($G1686="","",VLOOKUP('Dashboard And Emails Automate'!$G1686,Database!$H:$N,4,0)),"")</f>
        <v/>
      </c>
      <c r="K1686" s="55" t="str">
        <f>IFERROR(IF($G1686="","",VLOOKUP('Dashboard And Emails Automate'!$G1686,Database!$H:$N,5,0)),"")</f>
        <v/>
      </c>
      <c r="L1686" s="55" t="str">
        <f>IFERROR(IF($G1686="","",VLOOKUP('Dashboard And Emails Automate'!$G1686,Database!$H:$N,6,0)),"")</f>
        <v/>
      </c>
      <c r="M1686" s="55" t="str">
        <f>IFERROR(IF($G1686="","",VLOOKUP('Dashboard And Emails Automate'!$G1686,Database!$H:$N,7,0)),"")</f>
        <v/>
      </c>
      <c r="N1686" s="55" t="str">
        <f>IFERROR(IF(OR($B1686="",$B1686="(blank)"),"",VLOOKUP($B1686,'Email Marketing Raw Data'!$C:$O,6,0)),"")</f>
        <v/>
      </c>
      <c r="O1686" s="55" t="str">
        <f>IFERROR(IF(OR($B1686="",$B1686="(blank)"),"",VLOOKUP($B1686,'Email Marketing Raw Data'!$C:$O,7,0)),"")</f>
        <v/>
      </c>
      <c r="P1686" s="55" t="str">
        <f>IFERROR(IF(OR($B1686="",$B1686="(blank)"),"",VLOOKUP($B1686,'Email Marketing Raw Data'!$C:$O,8,0)),"")</f>
        <v/>
      </c>
      <c r="Q1686" s="62" t="str">
        <f>IFERROR(IF(OR($B1686="",$B1686="(blank)"),"",VLOOKUP($B1686,'Email Marketing Raw Data'!$C:$O,9,0)),"")</f>
        <v/>
      </c>
    </row>
    <row r="1687" spans="4:17" ht="12.75" customHeight="1" x14ac:dyDescent="0.2">
      <c r="D1687" s="58" t="str">
        <f>IFERROR(IF(F1687&lt;&gt;"pending","",IF(OR($B1687="",$B1687="(blank)"),"",VLOOKUP($B1687,'Email Marketing Raw Data'!$C:$O,10,0))),"")</f>
        <v/>
      </c>
      <c r="E1687" s="59" t="str">
        <f>IFERROR(IF(F1687&lt;&gt;"pending","",IF(OR($B1687="",$B1687="(blank)"),"",VLOOKUP($B1687,'Email Marketing Raw Data'!$C:$O,11,0))),"")</f>
        <v/>
      </c>
      <c r="F1687" s="54" t="str">
        <f>IFERROR(IF(OR($B1687="",$B1687="(blank)"),"",VLOOKUP($B1687,'Email Marketing Raw Data'!$C:$O,13,0)),"")</f>
        <v/>
      </c>
      <c r="G1687" s="55" t="str">
        <f>IFERROR(IF(OR($B1687="",$B1687="(blank)"),"",VLOOKUP($B1687,'Email Marketing Raw Data'!$C:$O,4,0)),"")</f>
        <v/>
      </c>
      <c r="H1687" s="55" t="str">
        <f>IFERROR(IF(OR($B1687="",$B1687="(blank)"),"",VLOOKUP($B1687,'Email Marketing Raw Data'!$C:$O,5,0)),"")</f>
        <v/>
      </c>
      <c r="I1687" s="55" t="str">
        <f>IFERROR(IF($G1687="","",VLOOKUP('Dashboard And Emails Automate'!$G1687,Database!$H:$N,3,0)),"")</f>
        <v/>
      </c>
      <c r="J1687" s="55" t="str">
        <f>IFERROR(IF($G1687="","",VLOOKUP('Dashboard And Emails Automate'!$G1687,Database!$H:$N,4,0)),"")</f>
        <v/>
      </c>
      <c r="K1687" s="55" t="str">
        <f>IFERROR(IF($G1687="","",VLOOKUP('Dashboard And Emails Automate'!$G1687,Database!$H:$N,5,0)),"")</f>
        <v/>
      </c>
      <c r="L1687" s="55" t="str">
        <f>IFERROR(IF($G1687="","",VLOOKUP('Dashboard And Emails Automate'!$G1687,Database!$H:$N,6,0)),"")</f>
        <v/>
      </c>
      <c r="M1687" s="55" t="str">
        <f>IFERROR(IF($G1687="","",VLOOKUP('Dashboard And Emails Automate'!$G1687,Database!$H:$N,7,0)),"")</f>
        <v/>
      </c>
      <c r="N1687" s="55" t="str">
        <f>IFERROR(IF(OR($B1687="",$B1687="(blank)"),"",VLOOKUP($B1687,'Email Marketing Raw Data'!$C:$O,6,0)),"")</f>
        <v/>
      </c>
      <c r="O1687" s="55" t="str">
        <f>IFERROR(IF(OR($B1687="",$B1687="(blank)"),"",VLOOKUP($B1687,'Email Marketing Raw Data'!$C:$O,7,0)),"")</f>
        <v/>
      </c>
      <c r="P1687" s="55" t="str">
        <f>IFERROR(IF(OR($B1687="",$B1687="(blank)"),"",VLOOKUP($B1687,'Email Marketing Raw Data'!$C:$O,8,0)),"")</f>
        <v/>
      </c>
      <c r="Q1687" s="62" t="str">
        <f>IFERROR(IF(OR($B1687="",$B1687="(blank)"),"",VLOOKUP($B1687,'Email Marketing Raw Data'!$C:$O,9,0)),"")</f>
        <v/>
      </c>
    </row>
    <row r="1688" spans="4:17" ht="12.75" customHeight="1" x14ac:dyDescent="0.2">
      <c r="D1688" s="58" t="str">
        <f>IFERROR(IF(F1688&lt;&gt;"pending","",IF(OR($B1688="",$B1688="(blank)"),"",VLOOKUP($B1688,'Email Marketing Raw Data'!$C:$O,10,0))),"")</f>
        <v/>
      </c>
      <c r="E1688" s="59" t="str">
        <f>IFERROR(IF(F1688&lt;&gt;"pending","",IF(OR($B1688="",$B1688="(blank)"),"",VLOOKUP($B1688,'Email Marketing Raw Data'!$C:$O,11,0))),"")</f>
        <v/>
      </c>
      <c r="F1688" s="54" t="str">
        <f>IFERROR(IF(OR($B1688="",$B1688="(blank)"),"",VLOOKUP($B1688,'Email Marketing Raw Data'!$C:$O,13,0)),"")</f>
        <v/>
      </c>
      <c r="G1688" s="55" t="str">
        <f>IFERROR(IF(OR($B1688="",$B1688="(blank)"),"",VLOOKUP($B1688,'Email Marketing Raw Data'!$C:$O,4,0)),"")</f>
        <v/>
      </c>
      <c r="H1688" s="55" t="str">
        <f>IFERROR(IF(OR($B1688="",$B1688="(blank)"),"",VLOOKUP($B1688,'Email Marketing Raw Data'!$C:$O,5,0)),"")</f>
        <v/>
      </c>
      <c r="I1688" s="55" t="str">
        <f>IFERROR(IF($G1688="","",VLOOKUP('Dashboard And Emails Automate'!$G1688,Database!$H:$N,3,0)),"")</f>
        <v/>
      </c>
      <c r="J1688" s="55" t="str">
        <f>IFERROR(IF($G1688="","",VLOOKUP('Dashboard And Emails Automate'!$G1688,Database!$H:$N,4,0)),"")</f>
        <v/>
      </c>
      <c r="K1688" s="55" t="str">
        <f>IFERROR(IF($G1688="","",VLOOKUP('Dashboard And Emails Automate'!$G1688,Database!$H:$N,5,0)),"")</f>
        <v/>
      </c>
      <c r="L1688" s="55" t="str">
        <f>IFERROR(IF($G1688="","",VLOOKUP('Dashboard And Emails Automate'!$G1688,Database!$H:$N,6,0)),"")</f>
        <v/>
      </c>
      <c r="M1688" s="55" t="str">
        <f>IFERROR(IF($G1688="","",VLOOKUP('Dashboard And Emails Automate'!$G1688,Database!$H:$N,7,0)),"")</f>
        <v/>
      </c>
      <c r="N1688" s="55" t="str">
        <f>IFERROR(IF(OR($B1688="",$B1688="(blank)"),"",VLOOKUP($B1688,'Email Marketing Raw Data'!$C:$O,6,0)),"")</f>
        <v/>
      </c>
      <c r="O1688" s="55" t="str">
        <f>IFERROR(IF(OR($B1688="",$B1688="(blank)"),"",VLOOKUP($B1688,'Email Marketing Raw Data'!$C:$O,7,0)),"")</f>
        <v/>
      </c>
      <c r="P1688" s="55" t="str">
        <f>IFERROR(IF(OR($B1688="",$B1688="(blank)"),"",VLOOKUP($B1688,'Email Marketing Raw Data'!$C:$O,8,0)),"")</f>
        <v/>
      </c>
      <c r="Q1688" s="62" t="str">
        <f>IFERROR(IF(OR($B1688="",$B1688="(blank)"),"",VLOOKUP($B1688,'Email Marketing Raw Data'!$C:$O,9,0)),"")</f>
        <v/>
      </c>
    </row>
    <row r="1689" spans="4:17" ht="12.75" customHeight="1" x14ac:dyDescent="0.2">
      <c r="D1689" s="58" t="str">
        <f>IFERROR(IF(F1689&lt;&gt;"pending","",IF(OR($B1689="",$B1689="(blank)"),"",VLOOKUP($B1689,'Email Marketing Raw Data'!$C:$O,10,0))),"")</f>
        <v/>
      </c>
      <c r="E1689" s="59" t="str">
        <f>IFERROR(IF(F1689&lt;&gt;"pending","",IF(OR($B1689="",$B1689="(blank)"),"",VLOOKUP($B1689,'Email Marketing Raw Data'!$C:$O,11,0))),"")</f>
        <v/>
      </c>
      <c r="F1689" s="54" t="str">
        <f>IFERROR(IF(OR($B1689="",$B1689="(blank)"),"",VLOOKUP($B1689,'Email Marketing Raw Data'!$C:$O,13,0)),"")</f>
        <v/>
      </c>
      <c r="G1689" s="55" t="str">
        <f>IFERROR(IF(OR($B1689="",$B1689="(blank)"),"",VLOOKUP($B1689,'Email Marketing Raw Data'!$C:$O,4,0)),"")</f>
        <v/>
      </c>
      <c r="H1689" s="55" t="str">
        <f>IFERROR(IF(OR($B1689="",$B1689="(blank)"),"",VLOOKUP($B1689,'Email Marketing Raw Data'!$C:$O,5,0)),"")</f>
        <v/>
      </c>
      <c r="I1689" s="55" t="str">
        <f>IFERROR(IF($G1689="","",VLOOKUP('Dashboard And Emails Automate'!$G1689,Database!$H:$N,3,0)),"")</f>
        <v/>
      </c>
      <c r="J1689" s="55" t="str">
        <f>IFERROR(IF($G1689="","",VLOOKUP('Dashboard And Emails Automate'!$G1689,Database!$H:$N,4,0)),"")</f>
        <v/>
      </c>
      <c r="K1689" s="55" t="str">
        <f>IFERROR(IF($G1689="","",VLOOKUP('Dashboard And Emails Automate'!$G1689,Database!$H:$N,5,0)),"")</f>
        <v/>
      </c>
      <c r="L1689" s="55" t="str">
        <f>IFERROR(IF($G1689="","",VLOOKUP('Dashboard And Emails Automate'!$G1689,Database!$H:$N,6,0)),"")</f>
        <v/>
      </c>
      <c r="M1689" s="55" t="str">
        <f>IFERROR(IF($G1689="","",VLOOKUP('Dashboard And Emails Automate'!$G1689,Database!$H:$N,7,0)),"")</f>
        <v/>
      </c>
      <c r="N1689" s="55" t="str">
        <f>IFERROR(IF(OR($B1689="",$B1689="(blank)"),"",VLOOKUP($B1689,'Email Marketing Raw Data'!$C:$O,6,0)),"")</f>
        <v/>
      </c>
      <c r="O1689" s="55" t="str">
        <f>IFERROR(IF(OR($B1689="",$B1689="(blank)"),"",VLOOKUP($B1689,'Email Marketing Raw Data'!$C:$O,7,0)),"")</f>
        <v/>
      </c>
      <c r="P1689" s="55" t="str">
        <f>IFERROR(IF(OR($B1689="",$B1689="(blank)"),"",VLOOKUP($B1689,'Email Marketing Raw Data'!$C:$O,8,0)),"")</f>
        <v/>
      </c>
      <c r="Q1689" s="62" t="str">
        <f>IFERROR(IF(OR($B1689="",$B1689="(blank)"),"",VLOOKUP($B1689,'Email Marketing Raw Data'!$C:$O,9,0)),"")</f>
        <v/>
      </c>
    </row>
    <row r="1690" spans="4:17" ht="12.75" customHeight="1" x14ac:dyDescent="0.2">
      <c r="D1690" s="58" t="str">
        <f>IFERROR(IF(F1690&lt;&gt;"pending","",IF(OR($B1690="",$B1690="(blank)"),"",VLOOKUP($B1690,'Email Marketing Raw Data'!$C:$O,10,0))),"")</f>
        <v/>
      </c>
      <c r="E1690" s="59" t="str">
        <f>IFERROR(IF(F1690&lt;&gt;"pending","",IF(OR($B1690="",$B1690="(blank)"),"",VLOOKUP($B1690,'Email Marketing Raw Data'!$C:$O,11,0))),"")</f>
        <v/>
      </c>
      <c r="F1690" s="54" t="str">
        <f>IFERROR(IF(OR($B1690="",$B1690="(blank)"),"",VLOOKUP($B1690,'Email Marketing Raw Data'!$C:$O,13,0)),"")</f>
        <v/>
      </c>
      <c r="G1690" s="55" t="str">
        <f>IFERROR(IF(OR($B1690="",$B1690="(blank)"),"",VLOOKUP($B1690,'Email Marketing Raw Data'!$C:$O,4,0)),"")</f>
        <v/>
      </c>
      <c r="H1690" s="55" t="str">
        <f>IFERROR(IF(OR($B1690="",$B1690="(blank)"),"",VLOOKUP($B1690,'Email Marketing Raw Data'!$C:$O,5,0)),"")</f>
        <v/>
      </c>
      <c r="I1690" s="55" t="str">
        <f>IFERROR(IF($G1690="","",VLOOKUP('Dashboard And Emails Automate'!$G1690,Database!$H:$N,3,0)),"")</f>
        <v/>
      </c>
      <c r="J1690" s="55" t="str">
        <f>IFERROR(IF($G1690="","",VLOOKUP('Dashboard And Emails Automate'!$G1690,Database!$H:$N,4,0)),"")</f>
        <v/>
      </c>
      <c r="K1690" s="55" t="str">
        <f>IFERROR(IF($G1690="","",VLOOKUP('Dashboard And Emails Automate'!$G1690,Database!$H:$N,5,0)),"")</f>
        <v/>
      </c>
      <c r="L1690" s="55" t="str">
        <f>IFERROR(IF($G1690="","",VLOOKUP('Dashboard And Emails Automate'!$G1690,Database!$H:$N,6,0)),"")</f>
        <v/>
      </c>
      <c r="M1690" s="55" t="str">
        <f>IFERROR(IF($G1690="","",VLOOKUP('Dashboard And Emails Automate'!$G1690,Database!$H:$N,7,0)),"")</f>
        <v/>
      </c>
      <c r="N1690" s="55" t="str">
        <f>IFERROR(IF(OR($B1690="",$B1690="(blank)"),"",VLOOKUP($B1690,'Email Marketing Raw Data'!$C:$O,6,0)),"")</f>
        <v/>
      </c>
      <c r="O1690" s="55" t="str">
        <f>IFERROR(IF(OR($B1690="",$B1690="(blank)"),"",VLOOKUP($B1690,'Email Marketing Raw Data'!$C:$O,7,0)),"")</f>
        <v/>
      </c>
      <c r="P1690" s="55" t="str">
        <f>IFERROR(IF(OR($B1690="",$B1690="(blank)"),"",VLOOKUP($B1690,'Email Marketing Raw Data'!$C:$O,8,0)),"")</f>
        <v/>
      </c>
      <c r="Q1690" s="62" t="str">
        <f>IFERROR(IF(OR($B1690="",$B1690="(blank)"),"",VLOOKUP($B1690,'Email Marketing Raw Data'!$C:$O,9,0)),"")</f>
        <v/>
      </c>
    </row>
    <row r="1691" spans="4:17" ht="12.75" customHeight="1" x14ac:dyDescent="0.2">
      <c r="D1691" s="58" t="str">
        <f>IFERROR(IF(F1691&lt;&gt;"pending","",IF(OR($B1691="",$B1691="(blank)"),"",VLOOKUP($B1691,'Email Marketing Raw Data'!$C:$O,10,0))),"")</f>
        <v/>
      </c>
      <c r="E1691" s="59" t="str">
        <f>IFERROR(IF(F1691&lt;&gt;"pending","",IF(OR($B1691="",$B1691="(blank)"),"",VLOOKUP($B1691,'Email Marketing Raw Data'!$C:$O,11,0))),"")</f>
        <v/>
      </c>
      <c r="F1691" s="54" t="str">
        <f>IFERROR(IF(OR($B1691="",$B1691="(blank)"),"",VLOOKUP($B1691,'Email Marketing Raw Data'!$C:$O,13,0)),"")</f>
        <v/>
      </c>
      <c r="G1691" s="55" t="str">
        <f>IFERROR(IF(OR($B1691="",$B1691="(blank)"),"",VLOOKUP($B1691,'Email Marketing Raw Data'!$C:$O,4,0)),"")</f>
        <v/>
      </c>
      <c r="H1691" s="55" t="str">
        <f>IFERROR(IF(OR($B1691="",$B1691="(blank)"),"",VLOOKUP($B1691,'Email Marketing Raw Data'!$C:$O,5,0)),"")</f>
        <v/>
      </c>
      <c r="I1691" s="55" t="str">
        <f>IFERROR(IF($G1691="","",VLOOKUP('Dashboard And Emails Automate'!$G1691,Database!$H:$N,3,0)),"")</f>
        <v/>
      </c>
      <c r="J1691" s="55" t="str">
        <f>IFERROR(IF($G1691="","",VLOOKUP('Dashboard And Emails Automate'!$G1691,Database!$H:$N,4,0)),"")</f>
        <v/>
      </c>
      <c r="K1691" s="55" t="str">
        <f>IFERROR(IF($G1691="","",VLOOKUP('Dashboard And Emails Automate'!$G1691,Database!$H:$N,5,0)),"")</f>
        <v/>
      </c>
      <c r="L1691" s="55" t="str">
        <f>IFERROR(IF($G1691="","",VLOOKUP('Dashboard And Emails Automate'!$G1691,Database!$H:$N,6,0)),"")</f>
        <v/>
      </c>
      <c r="M1691" s="55" t="str">
        <f>IFERROR(IF($G1691="","",VLOOKUP('Dashboard And Emails Automate'!$G1691,Database!$H:$N,7,0)),"")</f>
        <v/>
      </c>
      <c r="N1691" s="55" t="str">
        <f>IFERROR(IF(OR($B1691="",$B1691="(blank)"),"",VLOOKUP($B1691,'Email Marketing Raw Data'!$C:$O,6,0)),"")</f>
        <v/>
      </c>
      <c r="O1691" s="55" t="str">
        <f>IFERROR(IF(OR($B1691="",$B1691="(blank)"),"",VLOOKUP($B1691,'Email Marketing Raw Data'!$C:$O,7,0)),"")</f>
        <v/>
      </c>
      <c r="P1691" s="55" t="str">
        <f>IFERROR(IF(OR($B1691="",$B1691="(blank)"),"",VLOOKUP($B1691,'Email Marketing Raw Data'!$C:$O,8,0)),"")</f>
        <v/>
      </c>
      <c r="Q1691" s="62" t="str">
        <f>IFERROR(IF(OR($B1691="",$B1691="(blank)"),"",VLOOKUP($B1691,'Email Marketing Raw Data'!$C:$O,9,0)),"")</f>
        <v/>
      </c>
    </row>
    <row r="1692" spans="4:17" ht="12.75" customHeight="1" x14ac:dyDescent="0.2">
      <c r="D1692" s="58" t="str">
        <f>IFERROR(IF(F1692&lt;&gt;"pending","",IF(OR($B1692="",$B1692="(blank)"),"",VLOOKUP($B1692,'Email Marketing Raw Data'!$C:$O,10,0))),"")</f>
        <v/>
      </c>
      <c r="E1692" s="59" t="str">
        <f>IFERROR(IF(F1692&lt;&gt;"pending","",IF(OR($B1692="",$B1692="(blank)"),"",VLOOKUP($B1692,'Email Marketing Raw Data'!$C:$O,11,0))),"")</f>
        <v/>
      </c>
      <c r="F1692" s="54" t="str">
        <f>IFERROR(IF(OR($B1692="",$B1692="(blank)"),"",VLOOKUP($B1692,'Email Marketing Raw Data'!$C:$O,13,0)),"")</f>
        <v/>
      </c>
      <c r="G1692" s="55" t="str">
        <f>IFERROR(IF(OR($B1692="",$B1692="(blank)"),"",VLOOKUP($B1692,'Email Marketing Raw Data'!$C:$O,4,0)),"")</f>
        <v/>
      </c>
      <c r="H1692" s="55" t="str">
        <f>IFERROR(IF(OR($B1692="",$B1692="(blank)"),"",VLOOKUP($B1692,'Email Marketing Raw Data'!$C:$O,5,0)),"")</f>
        <v/>
      </c>
      <c r="I1692" s="55" t="str">
        <f>IFERROR(IF($G1692="","",VLOOKUP('Dashboard And Emails Automate'!$G1692,Database!$H:$N,3,0)),"")</f>
        <v/>
      </c>
      <c r="J1692" s="55" t="str">
        <f>IFERROR(IF($G1692="","",VLOOKUP('Dashboard And Emails Automate'!$G1692,Database!$H:$N,4,0)),"")</f>
        <v/>
      </c>
      <c r="K1692" s="55" t="str">
        <f>IFERROR(IF($G1692="","",VLOOKUP('Dashboard And Emails Automate'!$G1692,Database!$H:$N,5,0)),"")</f>
        <v/>
      </c>
      <c r="L1692" s="55" t="str">
        <f>IFERROR(IF($G1692="","",VLOOKUP('Dashboard And Emails Automate'!$G1692,Database!$H:$N,6,0)),"")</f>
        <v/>
      </c>
      <c r="M1692" s="55" t="str">
        <f>IFERROR(IF($G1692="","",VLOOKUP('Dashboard And Emails Automate'!$G1692,Database!$H:$N,7,0)),"")</f>
        <v/>
      </c>
      <c r="N1692" s="55" t="str">
        <f>IFERROR(IF(OR($B1692="",$B1692="(blank)"),"",VLOOKUP($B1692,'Email Marketing Raw Data'!$C:$O,6,0)),"")</f>
        <v/>
      </c>
      <c r="O1692" s="55" t="str">
        <f>IFERROR(IF(OR($B1692="",$B1692="(blank)"),"",VLOOKUP($B1692,'Email Marketing Raw Data'!$C:$O,7,0)),"")</f>
        <v/>
      </c>
      <c r="P1692" s="55" t="str">
        <f>IFERROR(IF(OR($B1692="",$B1692="(blank)"),"",VLOOKUP($B1692,'Email Marketing Raw Data'!$C:$O,8,0)),"")</f>
        <v/>
      </c>
      <c r="Q1692" s="62" t="str">
        <f>IFERROR(IF(OR($B1692="",$B1692="(blank)"),"",VLOOKUP($B1692,'Email Marketing Raw Data'!$C:$O,9,0)),"")</f>
        <v/>
      </c>
    </row>
    <row r="1693" spans="4:17" ht="12.75" customHeight="1" x14ac:dyDescent="0.2">
      <c r="D1693" s="58" t="str">
        <f>IFERROR(IF(F1693&lt;&gt;"pending","",IF(OR($B1693="",$B1693="(blank)"),"",VLOOKUP($B1693,'Email Marketing Raw Data'!$C:$O,10,0))),"")</f>
        <v/>
      </c>
      <c r="E1693" s="59" t="str">
        <f>IFERROR(IF(F1693&lt;&gt;"pending","",IF(OR($B1693="",$B1693="(blank)"),"",VLOOKUP($B1693,'Email Marketing Raw Data'!$C:$O,11,0))),"")</f>
        <v/>
      </c>
      <c r="F1693" s="54" t="str">
        <f>IFERROR(IF(OR($B1693="",$B1693="(blank)"),"",VLOOKUP($B1693,'Email Marketing Raw Data'!$C:$O,13,0)),"")</f>
        <v/>
      </c>
      <c r="G1693" s="55" t="str">
        <f>IFERROR(IF(OR($B1693="",$B1693="(blank)"),"",VLOOKUP($B1693,'Email Marketing Raw Data'!$C:$O,4,0)),"")</f>
        <v/>
      </c>
      <c r="H1693" s="55" t="str">
        <f>IFERROR(IF(OR($B1693="",$B1693="(blank)"),"",VLOOKUP($B1693,'Email Marketing Raw Data'!$C:$O,5,0)),"")</f>
        <v/>
      </c>
      <c r="I1693" s="55" t="str">
        <f>IFERROR(IF($G1693="","",VLOOKUP('Dashboard And Emails Automate'!$G1693,Database!$H:$N,3,0)),"")</f>
        <v/>
      </c>
      <c r="J1693" s="55" t="str">
        <f>IFERROR(IF($G1693="","",VLOOKUP('Dashboard And Emails Automate'!$G1693,Database!$H:$N,4,0)),"")</f>
        <v/>
      </c>
      <c r="K1693" s="55" t="str">
        <f>IFERROR(IF($G1693="","",VLOOKUP('Dashboard And Emails Automate'!$G1693,Database!$H:$N,5,0)),"")</f>
        <v/>
      </c>
      <c r="L1693" s="55" t="str">
        <f>IFERROR(IF($G1693="","",VLOOKUP('Dashboard And Emails Automate'!$G1693,Database!$H:$N,6,0)),"")</f>
        <v/>
      </c>
      <c r="M1693" s="55" t="str">
        <f>IFERROR(IF($G1693="","",VLOOKUP('Dashboard And Emails Automate'!$G1693,Database!$H:$N,7,0)),"")</f>
        <v/>
      </c>
      <c r="N1693" s="55" t="str">
        <f>IFERROR(IF(OR($B1693="",$B1693="(blank)"),"",VLOOKUP($B1693,'Email Marketing Raw Data'!$C:$O,6,0)),"")</f>
        <v/>
      </c>
      <c r="O1693" s="55" t="str">
        <f>IFERROR(IF(OR($B1693="",$B1693="(blank)"),"",VLOOKUP($B1693,'Email Marketing Raw Data'!$C:$O,7,0)),"")</f>
        <v/>
      </c>
      <c r="P1693" s="55" t="str">
        <f>IFERROR(IF(OR($B1693="",$B1693="(blank)"),"",VLOOKUP($B1693,'Email Marketing Raw Data'!$C:$O,8,0)),"")</f>
        <v/>
      </c>
      <c r="Q1693" s="62" t="str">
        <f>IFERROR(IF(OR($B1693="",$B1693="(blank)"),"",VLOOKUP($B1693,'Email Marketing Raw Data'!$C:$O,9,0)),"")</f>
        <v/>
      </c>
    </row>
    <row r="1694" spans="4:17" ht="12.75" customHeight="1" x14ac:dyDescent="0.2">
      <c r="D1694" s="58" t="str">
        <f>IFERROR(IF(F1694&lt;&gt;"pending","",IF(OR($B1694="",$B1694="(blank)"),"",VLOOKUP($B1694,'Email Marketing Raw Data'!$C:$O,10,0))),"")</f>
        <v/>
      </c>
      <c r="E1694" s="59" t="str">
        <f>IFERROR(IF(F1694&lt;&gt;"pending","",IF(OR($B1694="",$B1694="(blank)"),"",VLOOKUP($B1694,'Email Marketing Raw Data'!$C:$O,11,0))),"")</f>
        <v/>
      </c>
      <c r="F1694" s="54" t="str">
        <f>IFERROR(IF(OR($B1694="",$B1694="(blank)"),"",VLOOKUP($B1694,'Email Marketing Raw Data'!$C:$O,13,0)),"")</f>
        <v/>
      </c>
      <c r="G1694" s="55" t="str">
        <f>IFERROR(IF(OR($B1694="",$B1694="(blank)"),"",VLOOKUP($B1694,'Email Marketing Raw Data'!$C:$O,4,0)),"")</f>
        <v/>
      </c>
      <c r="H1694" s="55" t="str">
        <f>IFERROR(IF(OR($B1694="",$B1694="(blank)"),"",VLOOKUP($B1694,'Email Marketing Raw Data'!$C:$O,5,0)),"")</f>
        <v/>
      </c>
      <c r="I1694" s="55" t="str">
        <f>IFERROR(IF($G1694="","",VLOOKUP('Dashboard And Emails Automate'!$G1694,Database!$H:$N,3,0)),"")</f>
        <v/>
      </c>
      <c r="J1694" s="55" t="str">
        <f>IFERROR(IF($G1694="","",VLOOKUP('Dashboard And Emails Automate'!$G1694,Database!$H:$N,4,0)),"")</f>
        <v/>
      </c>
      <c r="K1694" s="55" t="str">
        <f>IFERROR(IF($G1694="","",VLOOKUP('Dashboard And Emails Automate'!$G1694,Database!$H:$N,5,0)),"")</f>
        <v/>
      </c>
      <c r="L1694" s="55" t="str">
        <f>IFERROR(IF($G1694="","",VLOOKUP('Dashboard And Emails Automate'!$G1694,Database!$H:$N,6,0)),"")</f>
        <v/>
      </c>
      <c r="M1694" s="55" t="str">
        <f>IFERROR(IF($G1694="","",VLOOKUP('Dashboard And Emails Automate'!$G1694,Database!$H:$N,7,0)),"")</f>
        <v/>
      </c>
      <c r="N1694" s="55" t="str">
        <f>IFERROR(IF(OR($B1694="",$B1694="(blank)"),"",VLOOKUP($B1694,'Email Marketing Raw Data'!$C:$O,6,0)),"")</f>
        <v/>
      </c>
      <c r="O1694" s="55" t="str">
        <f>IFERROR(IF(OR($B1694="",$B1694="(blank)"),"",VLOOKUP($B1694,'Email Marketing Raw Data'!$C:$O,7,0)),"")</f>
        <v/>
      </c>
      <c r="P1694" s="55" t="str">
        <f>IFERROR(IF(OR($B1694="",$B1694="(blank)"),"",VLOOKUP($B1694,'Email Marketing Raw Data'!$C:$O,8,0)),"")</f>
        <v/>
      </c>
      <c r="Q1694" s="62" t="str">
        <f>IFERROR(IF(OR($B1694="",$B1694="(blank)"),"",VLOOKUP($B1694,'Email Marketing Raw Data'!$C:$O,9,0)),"")</f>
        <v/>
      </c>
    </row>
    <row r="1695" spans="4:17" ht="12.75" customHeight="1" x14ac:dyDescent="0.2">
      <c r="D1695" s="58" t="str">
        <f>IFERROR(IF(F1695&lt;&gt;"pending","",IF(OR($B1695="",$B1695="(blank)"),"",VLOOKUP($B1695,'Email Marketing Raw Data'!$C:$O,10,0))),"")</f>
        <v/>
      </c>
      <c r="E1695" s="59" t="str">
        <f>IFERROR(IF(F1695&lt;&gt;"pending","",IF(OR($B1695="",$B1695="(blank)"),"",VLOOKUP($B1695,'Email Marketing Raw Data'!$C:$O,11,0))),"")</f>
        <v/>
      </c>
      <c r="F1695" s="54" t="str">
        <f>IFERROR(IF(OR($B1695="",$B1695="(blank)"),"",VLOOKUP($B1695,'Email Marketing Raw Data'!$C:$O,13,0)),"")</f>
        <v/>
      </c>
      <c r="G1695" s="55" t="str">
        <f>IFERROR(IF(OR($B1695="",$B1695="(blank)"),"",VLOOKUP($B1695,'Email Marketing Raw Data'!$C:$O,4,0)),"")</f>
        <v/>
      </c>
      <c r="H1695" s="55" t="str">
        <f>IFERROR(IF(OR($B1695="",$B1695="(blank)"),"",VLOOKUP($B1695,'Email Marketing Raw Data'!$C:$O,5,0)),"")</f>
        <v/>
      </c>
      <c r="I1695" s="55" t="str">
        <f>IFERROR(IF($G1695="","",VLOOKUP('Dashboard And Emails Automate'!$G1695,Database!$H:$N,3,0)),"")</f>
        <v/>
      </c>
      <c r="J1695" s="55" t="str">
        <f>IFERROR(IF($G1695="","",VLOOKUP('Dashboard And Emails Automate'!$G1695,Database!$H:$N,4,0)),"")</f>
        <v/>
      </c>
      <c r="K1695" s="55" t="str">
        <f>IFERROR(IF($G1695="","",VLOOKUP('Dashboard And Emails Automate'!$G1695,Database!$H:$N,5,0)),"")</f>
        <v/>
      </c>
      <c r="L1695" s="55" t="str">
        <f>IFERROR(IF($G1695="","",VLOOKUP('Dashboard And Emails Automate'!$G1695,Database!$H:$N,6,0)),"")</f>
        <v/>
      </c>
      <c r="M1695" s="55" t="str">
        <f>IFERROR(IF($G1695="","",VLOOKUP('Dashboard And Emails Automate'!$G1695,Database!$H:$N,7,0)),"")</f>
        <v/>
      </c>
      <c r="N1695" s="55" t="str">
        <f>IFERROR(IF(OR($B1695="",$B1695="(blank)"),"",VLOOKUP($B1695,'Email Marketing Raw Data'!$C:$O,6,0)),"")</f>
        <v/>
      </c>
      <c r="O1695" s="55" t="str">
        <f>IFERROR(IF(OR($B1695="",$B1695="(blank)"),"",VLOOKUP($B1695,'Email Marketing Raw Data'!$C:$O,7,0)),"")</f>
        <v/>
      </c>
      <c r="P1695" s="55" t="str">
        <f>IFERROR(IF(OR($B1695="",$B1695="(blank)"),"",VLOOKUP($B1695,'Email Marketing Raw Data'!$C:$O,8,0)),"")</f>
        <v/>
      </c>
      <c r="Q1695" s="62" t="str">
        <f>IFERROR(IF(OR($B1695="",$B1695="(blank)"),"",VLOOKUP($B1695,'Email Marketing Raw Data'!$C:$O,9,0)),"")</f>
        <v/>
      </c>
    </row>
    <row r="1696" spans="4:17" ht="12.75" customHeight="1" x14ac:dyDescent="0.2">
      <c r="D1696" s="58" t="str">
        <f>IFERROR(IF(F1696&lt;&gt;"pending","",IF(OR($B1696="",$B1696="(blank)"),"",VLOOKUP($B1696,'Email Marketing Raw Data'!$C:$O,10,0))),"")</f>
        <v/>
      </c>
      <c r="E1696" s="59" t="str">
        <f>IFERROR(IF(F1696&lt;&gt;"pending","",IF(OR($B1696="",$B1696="(blank)"),"",VLOOKUP($B1696,'Email Marketing Raw Data'!$C:$O,11,0))),"")</f>
        <v/>
      </c>
      <c r="F1696" s="54" t="str">
        <f>IFERROR(IF(OR($B1696="",$B1696="(blank)"),"",VLOOKUP($B1696,'Email Marketing Raw Data'!$C:$O,13,0)),"")</f>
        <v/>
      </c>
      <c r="G1696" s="55" t="str">
        <f>IFERROR(IF(OR($B1696="",$B1696="(blank)"),"",VLOOKUP($B1696,'Email Marketing Raw Data'!$C:$O,4,0)),"")</f>
        <v/>
      </c>
      <c r="H1696" s="55" t="str">
        <f>IFERROR(IF(OR($B1696="",$B1696="(blank)"),"",VLOOKUP($B1696,'Email Marketing Raw Data'!$C:$O,5,0)),"")</f>
        <v/>
      </c>
      <c r="I1696" s="55" t="str">
        <f>IFERROR(IF($G1696="","",VLOOKUP('Dashboard And Emails Automate'!$G1696,Database!$H:$N,3,0)),"")</f>
        <v/>
      </c>
      <c r="J1696" s="55" t="str">
        <f>IFERROR(IF($G1696="","",VLOOKUP('Dashboard And Emails Automate'!$G1696,Database!$H:$N,4,0)),"")</f>
        <v/>
      </c>
      <c r="K1696" s="55" t="str">
        <f>IFERROR(IF($G1696="","",VLOOKUP('Dashboard And Emails Automate'!$G1696,Database!$H:$N,5,0)),"")</f>
        <v/>
      </c>
      <c r="L1696" s="55" t="str">
        <f>IFERROR(IF($G1696="","",VLOOKUP('Dashboard And Emails Automate'!$G1696,Database!$H:$N,6,0)),"")</f>
        <v/>
      </c>
      <c r="M1696" s="55" t="str">
        <f>IFERROR(IF($G1696="","",VLOOKUP('Dashboard And Emails Automate'!$G1696,Database!$H:$N,7,0)),"")</f>
        <v/>
      </c>
      <c r="N1696" s="55" t="str">
        <f>IFERROR(IF(OR($B1696="",$B1696="(blank)"),"",VLOOKUP($B1696,'Email Marketing Raw Data'!$C:$O,6,0)),"")</f>
        <v/>
      </c>
      <c r="O1696" s="55" t="str">
        <f>IFERROR(IF(OR($B1696="",$B1696="(blank)"),"",VLOOKUP($B1696,'Email Marketing Raw Data'!$C:$O,7,0)),"")</f>
        <v/>
      </c>
      <c r="P1696" s="55" t="str">
        <f>IFERROR(IF(OR($B1696="",$B1696="(blank)"),"",VLOOKUP($B1696,'Email Marketing Raw Data'!$C:$O,8,0)),"")</f>
        <v/>
      </c>
      <c r="Q1696" s="62" t="str">
        <f>IFERROR(IF(OR($B1696="",$B1696="(blank)"),"",VLOOKUP($B1696,'Email Marketing Raw Data'!$C:$O,9,0)),"")</f>
        <v/>
      </c>
    </row>
    <row r="1697" spans="4:17" ht="12.75" customHeight="1" x14ac:dyDescent="0.2">
      <c r="D1697" s="58" t="str">
        <f>IFERROR(IF(F1697&lt;&gt;"pending","",IF(OR($B1697="",$B1697="(blank)"),"",VLOOKUP($B1697,'Email Marketing Raw Data'!$C:$O,10,0))),"")</f>
        <v/>
      </c>
      <c r="E1697" s="59" t="str">
        <f>IFERROR(IF(F1697&lt;&gt;"pending","",IF(OR($B1697="",$B1697="(blank)"),"",VLOOKUP($B1697,'Email Marketing Raw Data'!$C:$O,11,0))),"")</f>
        <v/>
      </c>
      <c r="F1697" s="54" t="str">
        <f>IFERROR(IF(OR($B1697="",$B1697="(blank)"),"",VLOOKUP($B1697,'Email Marketing Raw Data'!$C:$O,13,0)),"")</f>
        <v/>
      </c>
      <c r="G1697" s="55" t="str">
        <f>IFERROR(IF(OR($B1697="",$B1697="(blank)"),"",VLOOKUP($B1697,'Email Marketing Raw Data'!$C:$O,4,0)),"")</f>
        <v/>
      </c>
      <c r="H1697" s="55" t="str">
        <f>IFERROR(IF(OR($B1697="",$B1697="(blank)"),"",VLOOKUP($B1697,'Email Marketing Raw Data'!$C:$O,5,0)),"")</f>
        <v/>
      </c>
      <c r="I1697" s="55" t="str">
        <f>IFERROR(IF($G1697="","",VLOOKUP('Dashboard And Emails Automate'!$G1697,Database!$H:$N,3,0)),"")</f>
        <v/>
      </c>
      <c r="J1697" s="55" t="str">
        <f>IFERROR(IF($G1697="","",VLOOKUP('Dashboard And Emails Automate'!$G1697,Database!$H:$N,4,0)),"")</f>
        <v/>
      </c>
      <c r="K1697" s="55" t="str">
        <f>IFERROR(IF($G1697="","",VLOOKUP('Dashboard And Emails Automate'!$G1697,Database!$H:$N,5,0)),"")</f>
        <v/>
      </c>
      <c r="L1697" s="55" t="str">
        <f>IFERROR(IF($G1697="","",VLOOKUP('Dashboard And Emails Automate'!$G1697,Database!$H:$N,6,0)),"")</f>
        <v/>
      </c>
      <c r="M1697" s="55" t="str">
        <f>IFERROR(IF($G1697="","",VLOOKUP('Dashboard And Emails Automate'!$G1697,Database!$H:$N,7,0)),"")</f>
        <v/>
      </c>
      <c r="N1697" s="55" t="str">
        <f>IFERROR(IF(OR($B1697="",$B1697="(blank)"),"",VLOOKUP($B1697,'Email Marketing Raw Data'!$C:$O,6,0)),"")</f>
        <v/>
      </c>
      <c r="O1697" s="55" t="str">
        <f>IFERROR(IF(OR($B1697="",$B1697="(blank)"),"",VLOOKUP($B1697,'Email Marketing Raw Data'!$C:$O,7,0)),"")</f>
        <v/>
      </c>
      <c r="P1697" s="55" t="str">
        <f>IFERROR(IF(OR($B1697="",$B1697="(blank)"),"",VLOOKUP($B1697,'Email Marketing Raw Data'!$C:$O,8,0)),"")</f>
        <v/>
      </c>
      <c r="Q1697" s="62" t="str">
        <f>IFERROR(IF(OR($B1697="",$B1697="(blank)"),"",VLOOKUP($B1697,'Email Marketing Raw Data'!$C:$O,9,0)),"")</f>
        <v/>
      </c>
    </row>
    <row r="1698" spans="4:17" ht="12.75" customHeight="1" x14ac:dyDescent="0.2">
      <c r="D1698" s="58" t="str">
        <f>IFERROR(IF(F1698&lt;&gt;"pending","",IF(OR($B1698="",$B1698="(blank)"),"",VLOOKUP($B1698,'Email Marketing Raw Data'!$C:$O,10,0))),"")</f>
        <v/>
      </c>
      <c r="E1698" s="59" t="str">
        <f>IFERROR(IF(F1698&lt;&gt;"pending","",IF(OR($B1698="",$B1698="(blank)"),"",VLOOKUP($B1698,'Email Marketing Raw Data'!$C:$O,11,0))),"")</f>
        <v/>
      </c>
      <c r="F1698" s="54" t="str">
        <f>IFERROR(IF(OR($B1698="",$B1698="(blank)"),"",VLOOKUP($B1698,'Email Marketing Raw Data'!$C:$O,13,0)),"")</f>
        <v/>
      </c>
      <c r="G1698" s="55" t="str">
        <f>IFERROR(IF(OR($B1698="",$B1698="(blank)"),"",VLOOKUP($B1698,'Email Marketing Raw Data'!$C:$O,4,0)),"")</f>
        <v/>
      </c>
      <c r="H1698" s="55" t="str">
        <f>IFERROR(IF(OR($B1698="",$B1698="(blank)"),"",VLOOKUP($B1698,'Email Marketing Raw Data'!$C:$O,5,0)),"")</f>
        <v/>
      </c>
      <c r="I1698" s="55" t="str">
        <f>IFERROR(IF($G1698="","",VLOOKUP('Dashboard And Emails Automate'!$G1698,Database!$H:$N,3,0)),"")</f>
        <v/>
      </c>
      <c r="J1698" s="55" t="str">
        <f>IFERROR(IF($G1698="","",VLOOKUP('Dashboard And Emails Automate'!$G1698,Database!$H:$N,4,0)),"")</f>
        <v/>
      </c>
      <c r="K1698" s="55" t="str">
        <f>IFERROR(IF($G1698="","",VLOOKUP('Dashboard And Emails Automate'!$G1698,Database!$H:$N,5,0)),"")</f>
        <v/>
      </c>
      <c r="L1698" s="55" t="str">
        <f>IFERROR(IF($G1698="","",VLOOKUP('Dashboard And Emails Automate'!$G1698,Database!$H:$N,6,0)),"")</f>
        <v/>
      </c>
      <c r="M1698" s="55" t="str">
        <f>IFERROR(IF($G1698="","",VLOOKUP('Dashboard And Emails Automate'!$G1698,Database!$H:$N,7,0)),"")</f>
        <v/>
      </c>
      <c r="N1698" s="55" t="str">
        <f>IFERROR(IF(OR($B1698="",$B1698="(blank)"),"",VLOOKUP($B1698,'Email Marketing Raw Data'!$C:$O,6,0)),"")</f>
        <v/>
      </c>
      <c r="O1698" s="55" t="str">
        <f>IFERROR(IF(OR($B1698="",$B1698="(blank)"),"",VLOOKUP($B1698,'Email Marketing Raw Data'!$C:$O,7,0)),"")</f>
        <v/>
      </c>
      <c r="P1698" s="55" t="str">
        <f>IFERROR(IF(OR($B1698="",$B1698="(blank)"),"",VLOOKUP($B1698,'Email Marketing Raw Data'!$C:$O,8,0)),"")</f>
        <v/>
      </c>
      <c r="Q1698" s="62" t="str">
        <f>IFERROR(IF(OR($B1698="",$B1698="(blank)"),"",VLOOKUP($B1698,'Email Marketing Raw Data'!$C:$O,9,0)),"")</f>
        <v/>
      </c>
    </row>
    <row r="1699" spans="4:17" ht="12.75" customHeight="1" x14ac:dyDescent="0.2">
      <c r="D1699" s="58" t="str">
        <f>IFERROR(IF(F1699&lt;&gt;"pending","",IF(OR($B1699="",$B1699="(blank)"),"",VLOOKUP($B1699,'Email Marketing Raw Data'!$C:$O,10,0))),"")</f>
        <v/>
      </c>
      <c r="E1699" s="59" t="str">
        <f>IFERROR(IF(F1699&lt;&gt;"pending","",IF(OR($B1699="",$B1699="(blank)"),"",VLOOKUP($B1699,'Email Marketing Raw Data'!$C:$O,11,0))),"")</f>
        <v/>
      </c>
      <c r="F1699" s="54" t="str">
        <f>IFERROR(IF(OR($B1699="",$B1699="(blank)"),"",VLOOKUP($B1699,'Email Marketing Raw Data'!$C:$O,13,0)),"")</f>
        <v/>
      </c>
      <c r="G1699" s="55" t="str">
        <f>IFERROR(IF(OR($B1699="",$B1699="(blank)"),"",VLOOKUP($B1699,'Email Marketing Raw Data'!$C:$O,4,0)),"")</f>
        <v/>
      </c>
      <c r="H1699" s="55" t="str">
        <f>IFERROR(IF(OR($B1699="",$B1699="(blank)"),"",VLOOKUP($B1699,'Email Marketing Raw Data'!$C:$O,5,0)),"")</f>
        <v/>
      </c>
      <c r="I1699" s="55" t="str">
        <f>IFERROR(IF($G1699="","",VLOOKUP('Dashboard And Emails Automate'!$G1699,Database!$H:$N,3,0)),"")</f>
        <v/>
      </c>
      <c r="J1699" s="55" t="str">
        <f>IFERROR(IF($G1699="","",VLOOKUP('Dashboard And Emails Automate'!$G1699,Database!$H:$N,4,0)),"")</f>
        <v/>
      </c>
      <c r="K1699" s="55" t="str">
        <f>IFERROR(IF($G1699="","",VLOOKUP('Dashboard And Emails Automate'!$G1699,Database!$H:$N,5,0)),"")</f>
        <v/>
      </c>
      <c r="L1699" s="55" t="str">
        <f>IFERROR(IF($G1699="","",VLOOKUP('Dashboard And Emails Automate'!$G1699,Database!$H:$N,6,0)),"")</f>
        <v/>
      </c>
      <c r="M1699" s="55" t="str">
        <f>IFERROR(IF($G1699="","",VLOOKUP('Dashboard And Emails Automate'!$G1699,Database!$H:$N,7,0)),"")</f>
        <v/>
      </c>
      <c r="N1699" s="55" t="str">
        <f>IFERROR(IF(OR($B1699="",$B1699="(blank)"),"",VLOOKUP($B1699,'Email Marketing Raw Data'!$C:$O,6,0)),"")</f>
        <v/>
      </c>
      <c r="O1699" s="55" t="str">
        <f>IFERROR(IF(OR($B1699="",$B1699="(blank)"),"",VLOOKUP($B1699,'Email Marketing Raw Data'!$C:$O,7,0)),"")</f>
        <v/>
      </c>
      <c r="P1699" s="55" t="str">
        <f>IFERROR(IF(OR($B1699="",$B1699="(blank)"),"",VLOOKUP($B1699,'Email Marketing Raw Data'!$C:$O,8,0)),"")</f>
        <v/>
      </c>
      <c r="Q1699" s="62" t="str">
        <f>IFERROR(IF(OR($B1699="",$B1699="(blank)"),"",VLOOKUP($B1699,'Email Marketing Raw Data'!$C:$O,9,0)),"")</f>
        <v/>
      </c>
    </row>
    <row r="1700" spans="4:17" ht="12.75" customHeight="1" x14ac:dyDescent="0.2">
      <c r="D1700" s="58" t="str">
        <f>IFERROR(IF(F1700&lt;&gt;"pending","",IF(OR($B1700="",$B1700="(blank)"),"",VLOOKUP($B1700,'Email Marketing Raw Data'!$C:$O,10,0))),"")</f>
        <v/>
      </c>
      <c r="E1700" s="59" t="str">
        <f>IFERROR(IF(F1700&lt;&gt;"pending","",IF(OR($B1700="",$B1700="(blank)"),"",VLOOKUP($B1700,'Email Marketing Raw Data'!$C:$O,11,0))),"")</f>
        <v/>
      </c>
      <c r="F1700" s="54" t="str">
        <f>IFERROR(IF(OR($B1700="",$B1700="(blank)"),"",VLOOKUP($B1700,'Email Marketing Raw Data'!$C:$O,13,0)),"")</f>
        <v/>
      </c>
      <c r="G1700" s="55" t="str">
        <f>IFERROR(IF(OR($B1700="",$B1700="(blank)"),"",VLOOKUP($B1700,'Email Marketing Raw Data'!$C:$O,4,0)),"")</f>
        <v/>
      </c>
      <c r="H1700" s="55" t="str">
        <f>IFERROR(IF(OR($B1700="",$B1700="(blank)"),"",VLOOKUP($B1700,'Email Marketing Raw Data'!$C:$O,5,0)),"")</f>
        <v/>
      </c>
      <c r="I1700" s="55" t="str">
        <f>IFERROR(IF($G1700="","",VLOOKUP('Dashboard And Emails Automate'!$G1700,Database!$H:$N,3,0)),"")</f>
        <v/>
      </c>
      <c r="J1700" s="55" t="str">
        <f>IFERROR(IF($G1700="","",VLOOKUP('Dashboard And Emails Automate'!$G1700,Database!$H:$N,4,0)),"")</f>
        <v/>
      </c>
      <c r="K1700" s="55" t="str">
        <f>IFERROR(IF($G1700="","",VLOOKUP('Dashboard And Emails Automate'!$G1700,Database!$H:$N,5,0)),"")</f>
        <v/>
      </c>
      <c r="L1700" s="55" t="str">
        <f>IFERROR(IF($G1700="","",VLOOKUP('Dashboard And Emails Automate'!$G1700,Database!$H:$N,6,0)),"")</f>
        <v/>
      </c>
      <c r="M1700" s="55" t="str">
        <f>IFERROR(IF($G1700="","",VLOOKUP('Dashboard And Emails Automate'!$G1700,Database!$H:$N,7,0)),"")</f>
        <v/>
      </c>
      <c r="N1700" s="55" t="str">
        <f>IFERROR(IF(OR($B1700="",$B1700="(blank)"),"",VLOOKUP($B1700,'Email Marketing Raw Data'!$C:$O,6,0)),"")</f>
        <v/>
      </c>
      <c r="O1700" s="55" t="str">
        <f>IFERROR(IF(OR($B1700="",$B1700="(blank)"),"",VLOOKUP($B1700,'Email Marketing Raw Data'!$C:$O,7,0)),"")</f>
        <v/>
      </c>
      <c r="P1700" s="55" t="str">
        <f>IFERROR(IF(OR($B1700="",$B1700="(blank)"),"",VLOOKUP($B1700,'Email Marketing Raw Data'!$C:$O,8,0)),"")</f>
        <v/>
      </c>
      <c r="Q1700" s="62" t="str">
        <f>IFERROR(IF(OR($B1700="",$B1700="(blank)"),"",VLOOKUP($B1700,'Email Marketing Raw Data'!$C:$O,9,0)),"")</f>
        <v/>
      </c>
    </row>
    <row r="1701" spans="4:17" ht="12.75" customHeight="1" x14ac:dyDescent="0.2">
      <c r="D1701" s="58" t="str">
        <f>IFERROR(IF(F1701&lt;&gt;"pending","",IF(OR($B1701="",$B1701="(blank)"),"",VLOOKUP($B1701,'Email Marketing Raw Data'!$C:$O,10,0))),"")</f>
        <v/>
      </c>
      <c r="E1701" s="59" t="str">
        <f>IFERROR(IF(F1701&lt;&gt;"pending","",IF(OR($B1701="",$B1701="(blank)"),"",VLOOKUP($B1701,'Email Marketing Raw Data'!$C:$O,11,0))),"")</f>
        <v/>
      </c>
      <c r="F1701" s="54" t="str">
        <f>IFERROR(IF(OR($B1701="",$B1701="(blank)"),"",VLOOKUP($B1701,'Email Marketing Raw Data'!$C:$O,13,0)),"")</f>
        <v/>
      </c>
      <c r="G1701" s="55" t="str">
        <f>IFERROR(IF(OR($B1701="",$B1701="(blank)"),"",VLOOKUP($B1701,'Email Marketing Raw Data'!$C:$O,4,0)),"")</f>
        <v/>
      </c>
      <c r="H1701" s="55" t="str">
        <f>IFERROR(IF(OR($B1701="",$B1701="(blank)"),"",VLOOKUP($B1701,'Email Marketing Raw Data'!$C:$O,5,0)),"")</f>
        <v/>
      </c>
      <c r="I1701" s="55" t="str">
        <f>IFERROR(IF($G1701="","",VLOOKUP('Dashboard And Emails Automate'!$G1701,Database!$H:$N,3,0)),"")</f>
        <v/>
      </c>
      <c r="J1701" s="55" t="str">
        <f>IFERROR(IF($G1701="","",VLOOKUP('Dashboard And Emails Automate'!$G1701,Database!$H:$N,4,0)),"")</f>
        <v/>
      </c>
      <c r="K1701" s="55" t="str">
        <f>IFERROR(IF($G1701="","",VLOOKUP('Dashboard And Emails Automate'!$G1701,Database!$H:$N,5,0)),"")</f>
        <v/>
      </c>
      <c r="L1701" s="55" t="str">
        <f>IFERROR(IF($G1701="","",VLOOKUP('Dashboard And Emails Automate'!$G1701,Database!$H:$N,6,0)),"")</f>
        <v/>
      </c>
      <c r="M1701" s="55" t="str">
        <f>IFERROR(IF($G1701="","",VLOOKUP('Dashboard And Emails Automate'!$G1701,Database!$H:$N,7,0)),"")</f>
        <v/>
      </c>
      <c r="N1701" s="55" t="str">
        <f>IFERROR(IF(OR($B1701="",$B1701="(blank)"),"",VLOOKUP($B1701,'Email Marketing Raw Data'!$C:$O,6,0)),"")</f>
        <v/>
      </c>
      <c r="O1701" s="55" t="str">
        <f>IFERROR(IF(OR($B1701="",$B1701="(blank)"),"",VLOOKUP($B1701,'Email Marketing Raw Data'!$C:$O,7,0)),"")</f>
        <v/>
      </c>
      <c r="P1701" s="55" t="str">
        <f>IFERROR(IF(OR($B1701="",$B1701="(blank)"),"",VLOOKUP($B1701,'Email Marketing Raw Data'!$C:$O,8,0)),"")</f>
        <v/>
      </c>
      <c r="Q1701" s="62" t="str">
        <f>IFERROR(IF(OR($B1701="",$B1701="(blank)"),"",VLOOKUP($B1701,'Email Marketing Raw Data'!$C:$O,9,0)),"")</f>
        <v/>
      </c>
    </row>
    <row r="1702" spans="4:17" ht="12.75" customHeight="1" x14ac:dyDescent="0.2">
      <c r="D1702" s="58" t="str">
        <f>IFERROR(IF(F1702&lt;&gt;"pending","",IF(OR($B1702="",$B1702="(blank)"),"",VLOOKUP($B1702,'Email Marketing Raw Data'!$C:$O,10,0))),"")</f>
        <v/>
      </c>
      <c r="E1702" s="59" t="str">
        <f>IFERROR(IF(F1702&lt;&gt;"pending","",IF(OR($B1702="",$B1702="(blank)"),"",VLOOKUP($B1702,'Email Marketing Raw Data'!$C:$O,11,0))),"")</f>
        <v/>
      </c>
      <c r="F1702" s="54" t="str">
        <f>IFERROR(IF(OR($B1702="",$B1702="(blank)"),"",VLOOKUP($B1702,'Email Marketing Raw Data'!$C:$O,13,0)),"")</f>
        <v/>
      </c>
      <c r="G1702" s="55" t="str">
        <f>IFERROR(IF(OR($B1702="",$B1702="(blank)"),"",VLOOKUP($B1702,'Email Marketing Raw Data'!$C:$O,4,0)),"")</f>
        <v/>
      </c>
      <c r="H1702" s="55" t="str">
        <f>IFERROR(IF(OR($B1702="",$B1702="(blank)"),"",VLOOKUP($B1702,'Email Marketing Raw Data'!$C:$O,5,0)),"")</f>
        <v/>
      </c>
      <c r="I1702" s="55" t="str">
        <f>IFERROR(IF($G1702="","",VLOOKUP('Dashboard And Emails Automate'!$G1702,Database!$H:$N,3,0)),"")</f>
        <v/>
      </c>
      <c r="J1702" s="55" t="str">
        <f>IFERROR(IF($G1702="","",VLOOKUP('Dashboard And Emails Automate'!$G1702,Database!$H:$N,4,0)),"")</f>
        <v/>
      </c>
      <c r="K1702" s="55" t="str">
        <f>IFERROR(IF($G1702="","",VLOOKUP('Dashboard And Emails Automate'!$G1702,Database!$H:$N,5,0)),"")</f>
        <v/>
      </c>
      <c r="L1702" s="55" t="str">
        <f>IFERROR(IF($G1702="","",VLOOKUP('Dashboard And Emails Automate'!$G1702,Database!$H:$N,6,0)),"")</f>
        <v/>
      </c>
      <c r="M1702" s="55" t="str">
        <f>IFERROR(IF($G1702="","",VLOOKUP('Dashboard And Emails Automate'!$G1702,Database!$H:$N,7,0)),"")</f>
        <v/>
      </c>
      <c r="N1702" s="55" t="str">
        <f>IFERROR(IF(OR($B1702="",$B1702="(blank)"),"",VLOOKUP($B1702,'Email Marketing Raw Data'!$C:$O,6,0)),"")</f>
        <v/>
      </c>
      <c r="O1702" s="55" t="str">
        <f>IFERROR(IF(OR($B1702="",$B1702="(blank)"),"",VLOOKUP($B1702,'Email Marketing Raw Data'!$C:$O,7,0)),"")</f>
        <v/>
      </c>
      <c r="P1702" s="55" t="str">
        <f>IFERROR(IF(OR($B1702="",$B1702="(blank)"),"",VLOOKUP($B1702,'Email Marketing Raw Data'!$C:$O,8,0)),"")</f>
        <v/>
      </c>
      <c r="Q1702" s="62" t="str">
        <f>IFERROR(IF(OR($B1702="",$B1702="(blank)"),"",VLOOKUP($B1702,'Email Marketing Raw Data'!$C:$O,9,0)),"")</f>
        <v/>
      </c>
    </row>
    <row r="1703" spans="4:17" ht="12.75" customHeight="1" x14ac:dyDescent="0.2">
      <c r="D1703" s="58" t="str">
        <f>IFERROR(IF(F1703&lt;&gt;"pending","",IF(OR($B1703="",$B1703="(blank)"),"",VLOOKUP($B1703,'Email Marketing Raw Data'!$C:$O,10,0))),"")</f>
        <v/>
      </c>
      <c r="E1703" s="59" t="str">
        <f>IFERROR(IF(F1703&lt;&gt;"pending","",IF(OR($B1703="",$B1703="(blank)"),"",VLOOKUP($B1703,'Email Marketing Raw Data'!$C:$O,11,0))),"")</f>
        <v/>
      </c>
      <c r="F1703" s="54" t="str">
        <f>IFERROR(IF(OR($B1703="",$B1703="(blank)"),"",VLOOKUP($B1703,'Email Marketing Raw Data'!$C:$O,13,0)),"")</f>
        <v/>
      </c>
      <c r="G1703" s="55" t="str">
        <f>IFERROR(IF(OR($B1703="",$B1703="(blank)"),"",VLOOKUP($B1703,'Email Marketing Raw Data'!$C:$O,4,0)),"")</f>
        <v/>
      </c>
      <c r="H1703" s="55" t="str">
        <f>IFERROR(IF(OR($B1703="",$B1703="(blank)"),"",VLOOKUP($B1703,'Email Marketing Raw Data'!$C:$O,5,0)),"")</f>
        <v/>
      </c>
      <c r="I1703" s="55" t="str">
        <f>IFERROR(IF($G1703="","",VLOOKUP('Dashboard And Emails Automate'!$G1703,Database!$H:$N,3,0)),"")</f>
        <v/>
      </c>
      <c r="J1703" s="55" t="str">
        <f>IFERROR(IF($G1703="","",VLOOKUP('Dashboard And Emails Automate'!$G1703,Database!$H:$N,4,0)),"")</f>
        <v/>
      </c>
      <c r="K1703" s="55" t="str">
        <f>IFERROR(IF($G1703="","",VLOOKUP('Dashboard And Emails Automate'!$G1703,Database!$H:$N,5,0)),"")</f>
        <v/>
      </c>
      <c r="L1703" s="55" t="str">
        <f>IFERROR(IF($G1703="","",VLOOKUP('Dashboard And Emails Automate'!$G1703,Database!$H:$N,6,0)),"")</f>
        <v/>
      </c>
      <c r="M1703" s="55" t="str">
        <f>IFERROR(IF($G1703="","",VLOOKUP('Dashboard And Emails Automate'!$G1703,Database!$H:$N,7,0)),"")</f>
        <v/>
      </c>
      <c r="N1703" s="55" t="str">
        <f>IFERROR(IF(OR($B1703="",$B1703="(blank)"),"",VLOOKUP($B1703,'Email Marketing Raw Data'!$C:$O,6,0)),"")</f>
        <v/>
      </c>
      <c r="O1703" s="55" t="str">
        <f>IFERROR(IF(OR($B1703="",$B1703="(blank)"),"",VLOOKUP($B1703,'Email Marketing Raw Data'!$C:$O,7,0)),"")</f>
        <v/>
      </c>
      <c r="P1703" s="55" t="str">
        <f>IFERROR(IF(OR($B1703="",$B1703="(blank)"),"",VLOOKUP($B1703,'Email Marketing Raw Data'!$C:$O,8,0)),"")</f>
        <v/>
      </c>
      <c r="Q1703" s="62" t="str">
        <f>IFERROR(IF(OR($B1703="",$B1703="(blank)"),"",VLOOKUP($B1703,'Email Marketing Raw Data'!$C:$O,9,0)),"")</f>
        <v/>
      </c>
    </row>
    <row r="1704" spans="4:17" ht="12.75" customHeight="1" x14ac:dyDescent="0.2">
      <c r="D1704" s="58" t="str">
        <f>IFERROR(IF(F1704&lt;&gt;"pending","",IF(OR($B1704="",$B1704="(blank)"),"",VLOOKUP($B1704,'Email Marketing Raw Data'!$C:$O,10,0))),"")</f>
        <v/>
      </c>
      <c r="E1704" s="59" t="str">
        <f>IFERROR(IF(F1704&lt;&gt;"pending","",IF(OR($B1704="",$B1704="(blank)"),"",VLOOKUP($B1704,'Email Marketing Raw Data'!$C:$O,11,0))),"")</f>
        <v/>
      </c>
      <c r="F1704" s="54" t="str">
        <f>IFERROR(IF(OR($B1704="",$B1704="(blank)"),"",VLOOKUP($B1704,'Email Marketing Raw Data'!$C:$O,13,0)),"")</f>
        <v/>
      </c>
      <c r="G1704" s="55" t="str">
        <f>IFERROR(IF(OR($B1704="",$B1704="(blank)"),"",VLOOKUP($B1704,'Email Marketing Raw Data'!$C:$O,4,0)),"")</f>
        <v/>
      </c>
      <c r="H1704" s="55" t="str">
        <f>IFERROR(IF(OR($B1704="",$B1704="(blank)"),"",VLOOKUP($B1704,'Email Marketing Raw Data'!$C:$O,5,0)),"")</f>
        <v/>
      </c>
      <c r="I1704" s="55" t="str">
        <f>IFERROR(IF($G1704="","",VLOOKUP('Dashboard And Emails Automate'!$G1704,Database!$H:$N,3,0)),"")</f>
        <v/>
      </c>
      <c r="J1704" s="55" t="str">
        <f>IFERROR(IF($G1704="","",VLOOKUP('Dashboard And Emails Automate'!$G1704,Database!$H:$N,4,0)),"")</f>
        <v/>
      </c>
      <c r="K1704" s="55" t="str">
        <f>IFERROR(IF($G1704="","",VLOOKUP('Dashboard And Emails Automate'!$G1704,Database!$H:$N,5,0)),"")</f>
        <v/>
      </c>
      <c r="L1704" s="55" t="str">
        <f>IFERROR(IF($G1704="","",VLOOKUP('Dashboard And Emails Automate'!$G1704,Database!$H:$N,6,0)),"")</f>
        <v/>
      </c>
      <c r="M1704" s="55" t="str">
        <f>IFERROR(IF($G1704="","",VLOOKUP('Dashboard And Emails Automate'!$G1704,Database!$H:$N,7,0)),"")</f>
        <v/>
      </c>
      <c r="N1704" s="55" t="str">
        <f>IFERROR(IF(OR($B1704="",$B1704="(blank)"),"",VLOOKUP($B1704,'Email Marketing Raw Data'!$C:$O,6,0)),"")</f>
        <v/>
      </c>
      <c r="O1704" s="55" t="str">
        <f>IFERROR(IF(OR($B1704="",$B1704="(blank)"),"",VLOOKUP($B1704,'Email Marketing Raw Data'!$C:$O,7,0)),"")</f>
        <v/>
      </c>
      <c r="P1704" s="55" t="str">
        <f>IFERROR(IF(OR($B1704="",$B1704="(blank)"),"",VLOOKUP($B1704,'Email Marketing Raw Data'!$C:$O,8,0)),"")</f>
        <v/>
      </c>
      <c r="Q1704" s="62" t="str">
        <f>IFERROR(IF(OR($B1704="",$B1704="(blank)"),"",VLOOKUP($B1704,'Email Marketing Raw Data'!$C:$O,9,0)),"")</f>
        <v/>
      </c>
    </row>
    <row r="1705" spans="4:17" ht="12.75" customHeight="1" x14ac:dyDescent="0.2">
      <c r="D1705" s="58" t="str">
        <f>IFERROR(IF(F1705&lt;&gt;"pending","",IF(OR($B1705="",$B1705="(blank)"),"",VLOOKUP($B1705,'Email Marketing Raw Data'!$C:$O,10,0))),"")</f>
        <v/>
      </c>
      <c r="E1705" s="59" t="str">
        <f>IFERROR(IF(F1705&lt;&gt;"pending","",IF(OR($B1705="",$B1705="(blank)"),"",VLOOKUP($B1705,'Email Marketing Raw Data'!$C:$O,11,0))),"")</f>
        <v/>
      </c>
      <c r="F1705" s="54" t="str">
        <f>IFERROR(IF(OR($B1705="",$B1705="(blank)"),"",VLOOKUP($B1705,'Email Marketing Raw Data'!$C:$O,13,0)),"")</f>
        <v/>
      </c>
      <c r="G1705" s="55" t="str">
        <f>IFERROR(IF(OR($B1705="",$B1705="(blank)"),"",VLOOKUP($B1705,'Email Marketing Raw Data'!$C:$O,4,0)),"")</f>
        <v/>
      </c>
      <c r="H1705" s="55" t="str">
        <f>IFERROR(IF(OR($B1705="",$B1705="(blank)"),"",VLOOKUP($B1705,'Email Marketing Raw Data'!$C:$O,5,0)),"")</f>
        <v/>
      </c>
      <c r="I1705" s="55" t="str">
        <f>IFERROR(IF($G1705="","",VLOOKUP('Dashboard And Emails Automate'!$G1705,Database!$H:$N,3,0)),"")</f>
        <v/>
      </c>
      <c r="J1705" s="55" t="str">
        <f>IFERROR(IF($G1705="","",VLOOKUP('Dashboard And Emails Automate'!$G1705,Database!$H:$N,4,0)),"")</f>
        <v/>
      </c>
      <c r="K1705" s="55" t="str">
        <f>IFERROR(IF($G1705="","",VLOOKUP('Dashboard And Emails Automate'!$G1705,Database!$H:$N,5,0)),"")</f>
        <v/>
      </c>
      <c r="L1705" s="55" t="str">
        <f>IFERROR(IF($G1705="","",VLOOKUP('Dashboard And Emails Automate'!$G1705,Database!$H:$N,6,0)),"")</f>
        <v/>
      </c>
      <c r="M1705" s="55" t="str">
        <f>IFERROR(IF($G1705="","",VLOOKUP('Dashboard And Emails Automate'!$G1705,Database!$H:$N,7,0)),"")</f>
        <v/>
      </c>
      <c r="N1705" s="55" t="str">
        <f>IFERROR(IF(OR($B1705="",$B1705="(blank)"),"",VLOOKUP($B1705,'Email Marketing Raw Data'!$C:$O,6,0)),"")</f>
        <v/>
      </c>
      <c r="O1705" s="55" t="str">
        <f>IFERROR(IF(OR($B1705="",$B1705="(blank)"),"",VLOOKUP($B1705,'Email Marketing Raw Data'!$C:$O,7,0)),"")</f>
        <v/>
      </c>
      <c r="P1705" s="55" t="str">
        <f>IFERROR(IF(OR($B1705="",$B1705="(blank)"),"",VLOOKUP($B1705,'Email Marketing Raw Data'!$C:$O,8,0)),"")</f>
        <v/>
      </c>
      <c r="Q1705" s="62" t="str">
        <f>IFERROR(IF(OR($B1705="",$B1705="(blank)"),"",VLOOKUP($B1705,'Email Marketing Raw Data'!$C:$O,9,0)),"")</f>
        <v/>
      </c>
    </row>
    <row r="1706" spans="4:17" ht="12.75" customHeight="1" x14ac:dyDescent="0.2">
      <c r="D1706" s="58" t="str">
        <f>IFERROR(IF(F1706&lt;&gt;"pending","",IF(OR($B1706="",$B1706="(blank)"),"",VLOOKUP($B1706,'Email Marketing Raw Data'!$C:$O,10,0))),"")</f>
        <v/>
      </c>
      <c r="E1706" s="59" t="str">
        <f>IFERROR(IF(F1706&lt;&gt;"pending","",IF(OR($B1706="",$B1706="(blank)"),"",VLOOKUP($B1706,'Email Marketing Raw Data'!$C:$O,11,0))),"")</f>
        <v/>
      </c>
      <c r="F1706" s="54" t="str">
        <f>IFERROR(IF(OR($B1706="",$B1706="(blank)"),"",VLOOKUP($B1706,'Email Marketing Raw Data'!$C:$O,13,0)),"")</f>
        <v/>
      </c>
      <c r="G1706" s="55" t="str">
        <f>IFERROR(IF(OR($B1706="",$B1706="(blank)"),"",VLOOKUP($B1706,'Email Marketing Raw Data'!$C:$O,4,0)),"")</f>
        <v/>
      </c>
      <c r="H1706" s="55" t="str">
        <f>IFERROR(IF(OR($B1706="",$B1706="(blank)"),"",VLOOKUP($B1706,'Email Marketing Raw Data'!$C:$O,5,0)),"")</f>
        <v/>
      </c>
      <c r="I1706" s="55" t="str">
        <f>IFERROR(IF($G1706="","",VLOOKUP('Dashboard And Emails Automate'!$G1706,Database!$H:$N,3,0)),"")</f>
        <v/>
      </c>
      <c r="J1706" s="55" t="str">
        <f>IFERROR(IF($G1706="","",VLOOKUP('Dashboard And Emails Automate'!$G1706,Database!$H:$N,4,0)),"")</f>
        <v/>
      </c>
      <c r="K1706" s="55" t="str">
        <f>IFERROR(IF($G1706="","",VLOOKUP('Dashboard And Emails Automate'!$G1706,Database!$H:$N,5,0)),"")</f>
        <v/>
      </c>
      <c r="L1706" s="55" t="str">
        <f>IFERROR(IF($G1706="","",VLOOKUP('Dashboard And Emails Automate'!$G1706,Database!$H:$N,6,0)),"")</f>
        <v/>
      </c>
      <c r="M1706" s="55" t="str">
        <f>IFERROR(IF($G1706="","",VLOOKUP('Dashboard And Emails Automate'!$G1706,Database!$H:$N,7,0)),"")</f>
        <v/>
      </c>
      <c r="N1706" s="55" t="str">
        <f>IFERROR(IF(OR($B1706="",$B1706="(blank)"),"",VLOOKUP($B1706,'Email Marketing Raw Data'!$C:$O,6,0)),"")</f>
        <v/>
      </c>
      <c r="O1706" s="55" t="str">
        <f>IFERROR(IF(OR($B1706="",$B1706="(blank)"),"",VLOOKUP($B1706,'Email Marketing Raw Data'!$C:$O,7,0)),"")</f>
        <v/>
      </c>
      <c r="P1706" s="55" t="str">
        <f>IFERROR(IF(OR($B1706="",$B1706="(blank)"),"",VLOOKUP($B1706,'Email Marketing Raw Data'!$C:$O,8,0)),"")</f>
        <v/>
      </c>
      <c r="Q1706" s="62" t="str">
        <f>IFERROR(IF(OR($B1706="",$B1706="(blank)"),"",VLOOKUP($B1706,'Email Marketing Raw Data'!$C:$O,9,0)),"")</f>
        <v/>
      </c>
    </row>
    <row r="1707" spans="4:17" ht="12.75" customHeight="1" x14ac:dyDescent="0.2">
      <c r="D1707" s="58" t="str">
        <f>IFERROR(IF(F1707&lt;&gt;"pending","",IF(OR($B1707="",$B1707="(blank)"),"",VLOOKUP($B1707,'Email Marketing Raw Data'!$C:$O,10,0))),"")</f>
        <v/>
      </c>
      <c r="E1707" s="59" t="str">
        <f>IFERROR(IF(F1707&lt;&gt;"pending","",IF(OR($B1707="",$B1707="(blank)"),"",VLOOKUP($B1707,'Email Marketing Raw Data'!$C:$O,11,0))),"")</f>
        <v/>
      </c>
      <c r="F1707" s="54" t="str">
        <f>IFERROR(IF(OR($B1707="",$B1707="(blank)"),"",VLOOKUP($B1707,'Email Marketing Raw Data'!$C:$O,13,0)),"")</f>
        <v/>
      </c>
      <c r="G1707" s="55" t="str">
        <f>IFERROR(IF(OR($B1707="",$B1707="(blank)"),"",VLOOKUP($B1707,'Email Marketing Raw Data'!$C:$O,4,0)),"")</f>
        <v/>
      </c>
      <c r="H1707" s="55" t="str">
        <f>IFERROR(IF(OR($B1707="",$B1707="(blank)"),"",VLOOKUP($B1707,'Email Marketing Raw Data'!$C:$O,5,0)),"")</f>
        <v/>
      </c>
      <c r="I1707" s="55" t="str">
        <f>IFERROR(IF($G1707="","",VLOOKUP('Dashboard And Emails Automate'!$G1707,Database!$H:$N,3,0)),"")</f>
        <v/>
      </c>
      <c r="J1707" s="55" t="str">
        <f>IFERROR(IF($G1707="","",VLOOKUP('Dashboard And Emails Automate'!$G1707,Database!$H:$N,4,0)),"")</f>
        <v/>
      </c>
      <c r="K1707" s="55" t="str">
        <f>IFERROR(IF($G1707="","",VLOOKUP('Dashboard And Emails Automate'!$G1707,Database!$H:$N,5,0)),"")</f>
        <v/>
      </c>
      <c r="L1707" s="55" t="str">
        <f>IFERROR(IF($G1707="","",VLOOKUP('Dashboard And Emails Automate'!$G1707,Database!$H:$N,6,0)),"")</f>
        <v/>
      </c>
      <c r="M1707" s="55" t="str">
        <f>IFERROR(IF($G1707="","",VLOOKUP('Dashboard And Emails Automate'!$G1707,Database!$H:$N,7,0)),"")</f>
        <v/>
      </c>
      <c r="N1707" s="55" t="str">
        <f>IFERROR(IF(OR($B1707="",$B1707="(blank)"),"",VLOOKUP($B1707,'Email Marketing Raw Data'!$C:$O,6,0)),"")</f>
        <v/>
      </c>
      <c r="O1707" s="55" t="str">
        <f>IFERROR(IF(OR($B1707="",$B1707="(blank)"),"",VLOOKUP($B1707,'Email Marketing Raw Data'!$C:$O,7,0)),"")</f>
        <v/>
      </c>
      <c r="P1707" s="55" t="str">
        <f>IFERROR(IF(OR($B1707="",$B1707="(blank)"),"",VLOOKUP($B1707,'Email Marketing Raw Data'!$C:$O,8,0)),"")</f>
        <v/>
      </c>
      <c r="Q1707" s="62" t="str">
        <f>IFERROR(IF(OR($B1707="",$B1707="(blank)"),"",VLOOKUP($B1707,'Email Marketing Raw Data'!$C:$O,9,0)),"")</f>
        <v/>
      </c>
    </row>
    <row r="1708" spans="4:17" ht="12.75" customHeight="1" x14ac:dyDescent="0.2">
      <c r="D1708" s="58" t="str">
        <f>IFERROR(IF(F1708&lt;&gt;"pending","",IF(OR($B1708="",$B1708="(blank)"),"",VLOOKUP($B1708,'Email Marketing Raw Data'!$C:$O,10,0))),"")</f>
        <v/>
      </c>
      <c r="E1708" s="59" t="str">
        <f>IFERROR(IF(F1708&lt;&gt;"pending","",IF(OR($B1708="",$B1708="(blank)"),"",VLOOKUP($B1708,'Email Marketing Raw Data'!$C:$O,11,0))),"")</f>
        <v/>
      </c>
      <c r="F1708" s="54" t="str">
        <f>IFERROR(IF(OR($B1708="",$B1708="(blank)"),"",VLOOKUP($B1708,'Email Marketing Raw Data'!$C:$O,13,0)),"")</f>
        <v/>
      </c>
      <c r="G1708" s="55" t="str">
        <f>IFERROR(IF(OR($B1708="",$B1708="(blank)"),"",VLOOKUP($B1708,'Email Marketing Raw Data'!$C:$O,4,0)),"")</f>
        <v/>
      </c>
      <c r="H1708" s="55" t="str">
        <f>IFERROR(IF(OR($B1708="",$B1708="(blank)"),"",VLOOKUP($B1708,'Email Marketing Raw Data'!$C:$O,5,0)),"")</f>
        <v/>
      </c>
      <c r="I1708" s="55" t="str">
        <f>IFERROR(IF($G1708="","",VLOOKUP('Dashboard And Emails Automate'!$G1708,Database!$H:$N,3,0)),"")</f>
        <v/>
      </c>
      <c r="J1708" s="55" t="str">
        <f>IFERROR(IF($G1708="","",VLOOKUP('Dashboard And Emails Automate'!$G1708,Database!$H:$N,4,0)),"")</f>
        <v/>
      </c>
      <c r="K1708" s="55" t="str">
        <f>IFERROR(IF($G1708="","",VLOOKUP('Dashboard And Emails Automate'!$G1708,Database!$H:$N,5,0)),"")</f>
        <v/>
      </c>
      <c r="L1708" s="55" t="str">
        <f>IFERROR(IF($G1708="","",VLOOKUP('Dashboard And Emails Automate'!$G1708,Database!$H:$N,6,0)),"")</f>
        <v/>
      </c>
      <c r="M1708" s="55" t="str">
        <f>IFERROR(IF($G1708="","",VLOOKUP('Dashboard And Emails Automate'!$G1708,Database!$H:$N,7,0)),"")</f>
        <v/>
      </c>
      <c r="N1708" s="55" t="str">
        <f>IFERROR(IF(OR($B1708="",$B1708="(blank)"),"",VLOOKUP($B1708,'Email Marketing Raw Data'!$C:$O,6,0)),"")</f>
        <v/>
      </c>
      <c r="O1708" s="55" t="str">
        <f>IFERROR(IF(OR($B1708="",$B1708="(blank)"),"",VLOOKUP($B1708,'Email Marketing Raw Data'!$C:$O,7,0)),"")</f>
        <v/>
      </c>
      <c r="P1708" s="55" t="str">
        <f>IFERROR(IF(OR($B1708="",$B1708="(blank)"),"",VLOOKUP($B1708,'Email Marketing Raw Data'!$C:$O,8,0)),"")</f>
        <v/>
      </c>
      <c r="Q1708" s="62" t="str">
        <f>IFERROR(IF(OR($B1708="",$B1708="(blank)"),"",VLOOKUP($B1708,'Email Marketing Raw Data'!$C:$O,9,0)),"")</f>
        <v/>
      </c>
    </row>
    <row r="1709" spans="4:17" ht="12.75" customHeight="1" x14ac:dyDescent="0.2">
      <c r="D1709" s="58" t="str">
        <f>IFERROR(IF(F1709&lt;&gt;"pending","",IF(OR($B1709="",$B1709="(blank)"),"",VLOOKUP($B1709,'Email Marketing Raw Data'!$C:$O,10,0))),"")</f>
        <v/>
      </c>
      <c r="E1709" s="59" t="str">
        <f>IFERROR(IF(F1709&lt;&gt;"pending","",IF(OR($B1709="",$B1709="(blank)"),"",VLOOKUP($B1709,'Email Marketing Raw Data'!$C:$O,11,0))),"")</f>
        <v/>
      </c>
      <c r="F1709" s="54" t="str">
        <f>IFERROR(IF(OR($B1709="",$B1709="(blank)"),"",VLOOKUP($B1709,'Email Marketing Raw Data'!$C:$O,13,0)),"")</f>
        <v/>
      </c>
      <c r="G1709" s="55" t="str">
        <f>IFERROR(IF(OR($B1709="",$B1709="(blank)"),"",VLOOKUP($B1709,'Email Marketing Raw Data'!$C:$O,4,0)),"")</f>
        <v/>
      </c>
      <c r="H1709" s="55" t="str">
        <f>IFERROR(IF(OR($B1709="",$B1709="(blank)"),"",VLOOKUP($B1709,'Email Marketing Raw Data'!$C:$O,5,0)),"")</f>
        <v/>
      </c>
      <c r="I1709" s="55" t="str">
        <f>IFERROR(IF($G1709="","",VLOOKUP('Dashboard And Emails Automate'!$G1709,Database!$H:$N,3,0)),"")</f>
        <v/>
      </c>
      <c r="J1709" s="55" t="str">
        <f>IFERROR(IF($G1709="","",VLOOKUP('Dashboard And Emails Automate'!$G1709,Database!$H:$N,4,0)),"")</f>
        <v/>
      </c>
      <c r="K1709" s="55" t="str">
        <f>IFERROR(IF($G1709="","",VLOOKUP('Dashboard And Emails Automate'!$G1709,Database!$H:$N,5,0)),"")</f>
        <v/>
      </c>
      <c r="L1709" s="55" t="str">
        <f>IFERROR(IF($G1709="","",VLOOKUP('Dashboard And Emails Automate'!$G1709,Database!$H:$N,6,0)),"")</f>
        <v/>
      </c>
      <c r="M1709" s="55" t="str">
        <f>IFERROR(IF($G1709="","",VLOOKUP('Dashboard And Emails Automate'!$G1709,Database!$H:$N,7,0)),"")</f>
        <v/>
      </c>
      <c r="N1709" s="55" t="str">
        <f>IFERROR(IF(OR($B1709="",$B1709="(blank)"),"",VLOOKUP($B1709,'Email Marketing Raw Data'!$C:$O,6,0)),"")</f>
        <v/>
      </c>
      <c r="O1709" s="55" t="str">
        <f>IFERROR(IF(OR($B1709="",$B1709="(blank)"),"",VLOOKUP($B1709,'Email Marketing Raw Data'!$C:$O,7,0)),"")</f>
        <v/>
      </c>
      <c r="P1709" s="55" t="str">
        <f>IFERROR(IF(OR($B1709="",$B1709="(blank)"),"",VLOOKUP($B1709,'Email Marketing Raw Data'!$C:$O,8,0)),"")</f>
        <v/>
      </c>
      <c r="Q1709" s="62" t="str">
        <f>IFERROR(IF(OR($B1709="",$B1709="(blank)"),"",VLOOKUP($B1709,'Email Marketing Raw Data'!$C:$O,9,0)),"")</f>
        <v/>
      </c>
    </row>
    <row r="1710" spans="4:17" ht="12.75" customHeight="1" x14ac:dyDescent="0.2">
      <c r="D1710" s="58" t="str">
        <f>IFERROR(IF(F1710&lt;&gt;"pending","",IF(OR($B1710="",$B1710="(blank)"),"",VLOOKUP($B1710,'Email Marketing Raw Data'!$C:$O,10,0))),"")</f>
        <v/>
      </c>
      <c r="E1710" s="59" t="str">
        <f>IFERROR(IF(F1710&lt;&gt;"pending","",IF(OR($B1710="",$B1710="(blank)"),"",VLOOKUP($B1710,'Email Marketing Raw Data'!$C:$O,11,0))),"")</f>
        <v/>
      </c>
      <c r="F1710" s="54" t="str">
        <f>IFERROR(IF(OR($B1710="",$B1710="(blank)"),"",VLOOKUP($B1710,'Email Marketing Raw Data'!$C:$O,13,0)),"")</f>
        <v/>
      </c>
      <c r="G1710" s="55" t="str">
        <f>IFERROR(IF(OR($B1710="",$B1710="(blank)"),"",VLOOKUP($B1710,'Email Marketing Raw Data'!$C:$O,4,0)),"")</f>
        <v/>
      </c>
      <c r="H1710" s="55" t="str">
        <f>IFERROR(IF(OR($B1710="",$B1710="(blank)"),"",VLOOKUP($B1710,'Email Marketing Raw Data'!$C:$O,5,0)),"")</f>
        <v/>
      </c>
      <c r="I1710" s="55" t="str">
        <f>IFERROR(IF($G1710="","",VLOOKUP('Dashboard And Emails Automate'!$G1710,Database!$H:$N,3,0)),"")</f>
        <v/>
      </c>
      <c r="J1710" s="55" t="str">
        <f>IFERROR(IF($G1710="","",VLOOKUP('Dashboard And Emails Automate'!$G1710,Database!$H:$N,4,0)),"")</f>
        <v/>
      </c>
      <c r="K1710" s="55" t="str">
        <f>IFERROR(IF($G1710="","",VLOOKUP('Dashboard And Emails Automate'!$G1710,Database!$H:$N,5,0)),"")</f>
        <v/>
      </c>
      <c r="L1710" s="55" t="str">
        <f>IFERROR(IF($G1710="","",VLOOKUP('Dashboard And Emails Automate'!$G1710,Database!$H:$N,6,0)),"")</f>
        <v/>
      </c>
      <c r="M1710" s="55" t="str">
        <f>IFERROR(IF($G1710="","",VLOOKUP('Dashboard And Emails Automate'!$G1710,Database!$H:$N,7,0)),"")</f>
        <v/>
      </c>
      <c r="N1710" s="55" t="str">
        <f>IFERROR(IF(OR($B1710="",$B1710="(blank)"),"",VLOOKUP($B1710,'Email Marketing Raw Data'!$C:$O,6,0)),"")</f>
        <v/>
      </c>
      <c r="O1710" s="55" t="str">
        <f>IFERROR(IF(OR($B1710="",$B1710="(blank)"),"",VLOOKUP($B1710,'Email Marketing Raw Data'!$C:$O,7,0)),"")</f>
        <v/>
      </c>
      <c r="P1710" s="55" t="str">
        <f>IFERROR(IF(OR($B1710="",$B1710="(blank)"),"",VLOOKUP($B1710,'Email Marketing Raw Data'!$C:$O,8,0)),"")</f>
        <v/>
      </c>
      <c r="Q1710" s="62" t="str">
        <f>IFERROR(IF(OR($B1710="",$B1710="(blank)"),"",VLOOKUP($B1710,'Email Marketing Raw Data'!$C:$O,9,0)),"")</f>
        <v/>
      </c>
    </row>
    <row r="1711" spans="4:17" ht="12.75" customHeight="1" x14ac:dyDescent="0.2">
      <c r="D1711" s="58" t="str">
        <f>IFERROR(IF(F1711&lt;&gt;"pending","",IF(OR($B1711="",$B1711="(blank)"),"",VLOOKUP($B1711,'Email Marketing Raw Data'!$C:$O,10,0))),"")</f>
        <v/>
      </c>
      <c r="E1711" s="59" t="str">
        <f>IFERROR(IF(F1711&lt;&gt;"pending","",IF(OR($B1711="",$B1711="(blank)"),"",VLOOKUP($B1711,'Email Marketing Raw Data'!$C:$O,11,0))),"")</f>
        <v/>
      </c>
      <c r="F1711" s="54" t="str">
        <f>IFERROR(IF(OR($B1711="",$B1711="(blank)"),"",VLOOKUP($B1711,'Email Marketing Raw Data'!$C:$O,13,0)),"")</f>
        <v/>
      </c>
      <c r="G1711" s="55" t="str">
        <f>IFERROR(IF(OR($B1711="",$B1711="(blank)"),"",VLOOKUP($B1711,'Email Marketing Raw Data'!$C:$O,4,0)),"")</f>
        <v/>
      </c>
      <c r="H1711" s="55" t="str">
        <f>IFERROR(IF(OR($B1711="",$B1711="(blank)"),"",VLOOKUP($B1711,'Email Marketing Raw Data'!$C:$O,5,0)),"")</f>
        <v/>
      </c>
      <c r="I1711" s="55" t="str">
        <f>IFERROR(IF($G1711="","",VLOOKUP('Dashboard And Emails Automate'!$G1711,Database!$H:$N,3,0)),"")</f>
        <v/>
      </c>
      <c r="J1711" s="55" t="str">
        <f>IFERROR(IF($G1711="","",VLOOKUP('Dashboard And Emails Automate'!$G1711,Database!$H:$N,4,0)),"")</f>
        <v/>
      </c>
      <c r="K1711" s="55" t="str">
        <f>IFERROR(IF($G1711="","",VLOOKUP('Dashboard And Emails Automate'!$G1711,Database!$H:$N,5,0)),"")</f>
        <v/>
      </c>
      <c r="L1711" s="55" t="str">
        <f>IFERROR(IF($G1711="","",VLOOKUP('Dashboard And Emails Automate'!$G1711,Database!$H:$N,6,0)),"")</f>
        <v/>
      </c>
      <c r="M1711" s="55" t="str">
        <f>IFERROR(IF($G1711="","",VLOOKUP('Dashboard And Emails Automate'!$G1711,Database!$H:$N,7,0)),"")</f>
        <v/>
      </c>
      <c r="N1711" s="55" t="str">
        <f>IFERROR(IF(OR($B1711="",$B1711="(blank)"),"",VLOOKUP($B1711,'Email Marketing Raw Data'!$C:$O,6,0)),"")</f>
        <v/>
      </c>
      <c r="O1711" s="55" t="str">
        <f>IFERROR(IF(OR($B1711="",$B1711="(blank)"),"",VLOOKUP($B1711,'Email Marketing Raw Data'!$C:$O,7,0)),"")</f>
        <v/>
      </c>
      <c r="P1711" s="55" t="str">
        <f>IFERROR(IF(OR($B1711="",$B1711="(blank)"),"",VLOOKUP($B1711,'Email Marketing Raw Data'!$C:$O,8,0)),"")</f>
        <v/>
      </c>
      <c r="Q1711" s="62" t="str">
        <f>IFERROR(IF(OR($B1711="",$B1711="(blank)"),"",VLOOKUP($B1711,'Email Marketing Raw Data'!$C:$O,9,0)),"")</f>
        <v/>
      </c>
    </row>
    <row r="1712" spans="4:17" ht="12.75" customHeight="1" x14ac:dyDescent="0.2">
      <c r="D1712" s="58" t="str">
        <f>IFERROR(IF(F1712&lt;&gt;"pending","",IF(OR($B1712="",$B1712="(blank)"),"",VLOOKUP($B1712,'Email Marketing Raw Data'!$C:$O,10,0))),"")</f>
        <v/>
      </c>
      <c r="E1712" s="59" t="str">
        <f>IFERROR(IF(F1712&lt;&gt;"pending","",IF(OR($B1712="",$B1712="(blank)"),"",VLOOKUP($B1712,'Email Marketing Raw Data'!$C:$O,11,0))),"")</f>
        <v/>
      </c>
      <c r="F1712" s="54" t="str">
        <f>IFERROR(IF(OR($B1712="",$B1712="(blank)"),"",VLOOKUP($B1712,'Email Marketing Raw Data'!$C:$O,13,0)),"")</f>
        <v/>
      </c>
      <c r="G1712" s="55" t="str">
        <f>IFERROR(IF(OR($B1712="",$B1712="(blank)"),"",VLOOKUP($B1712,'Email Marketing Raw Data'!$C:$O,4,0)),"")</f>
        <v/>
      </c>
      <c r="H1712" s="55" t="str">
        <f>IFERROR(IF(OR($B1712="",$B1712="(blank)"),"",VLOOKUP($B1712,'Email Marketing Raw Data'!$C:$O,5,0)),"")</f>
        <v/>
      </c>
      <c r="I1712" s="55" t="str">
        <f>IFERROR(IF($G1712="","",VLOOKUP('Dashboard And Emails Automate'!$G1712,Database!$H:$N,3,0)),"")</f>
        <v/>
      </c>
      <c r="J1712" s="55" t="str">
        <f>IFERROR(IF($G1712="","",VLOOKUP('Dashboard And Emails Automate'!$G1712,Database!$H:$N,4,0)),"")</f>
        <v/>
      </c>
      <c r="K1712" s="55" t="str">
        <f>IFERROR(IF($G1712="","",VLOOKUP('Dashboard And Emails Automate'!$G1712,Database!$H:$N,5,0)),"")</f>
        <v/>
      </c>
      <c r="L1712" s="55" t="str">
        <f>IFERROR(IF($G1712="","",VLOOKUP('Dashboard And Emails Automate'!$G1712,Database!$H:$N,6,0)),"")</f>
        <v/>
      </c>
      <c r="M1712" s="55" t="str">
        <f>IFERROR(IF($G1712="","",VLOOKUP('Dashboard And Emails Automate'!$G1712,Database!$H:$N,7,0)),"")</f>
        <v/>
      </c>
      <c r="N1712" s="55" t="str">
        <f>IFERROR(IF(OR($B1712="",$B1712="(blank)"),"",VLOOKUP($B1712,'Email Marketing Raw Data'!$C:$O,6,0)),"")</f>
        <v/>
      </c>
      <c r="O1712" s="55" t="str">
        <f>IFERROR(IF(OR($B1712="",$B1712="(blank)"),"",VLOOKUP($B1712,'Email Marketing Raw Data'!$C:$O,7,0)),"")</f>
        <v/>
      </c>
      <c r="P1712" s="55" t="str">
        <f>IFERROR(IF(OR($B1712="",$B1712="(blank)"),"",VLOOKUP($B1712,'Email Marketing Raw Data'!$C:$O,8,0)),"")</f>
        <v/>
      </c>
      <c r="Q1712" s="62" t="str">
        <f>IFERROR(IF(OR($B1712="",$B1712="(blank)"),"",VLOOKUP($B1712,'Email Marketing Raw Data'!$C:$O,9,0)),"")</f>
        <v/>
      </c>
    </row>
    <row r="1713" spans="4:17" ht="12.75" customHeight="1" x14ac:dyDescent="0.2">
      <c r="D1713" s="58" t="str">
        <f>IFERROR(IF(F1713&lt;&gt;"pending","",IF(OR($B1713="",$B1713="(blank)"),"",VLOOKUP($B1713,'Email Marketing Raw Data'!$C:$O,10,0))),"")</f>
        <v/>
      </c>
      <c r="E1713" s="59" t="str">
        <f>IFERROR(IF(F1713&lt;&gt;"pending","",IF(OR($B1713="",$B1713="(blank)"),"",VLOOKUP($B1713,'Email Marketing Raw Data'!$C:$O,11,0))),"")</f>
        <v/>
      </c>
      <c r="F1713" s="54" t="str">
        <f>IFERROR(IF(OR($B1713="",$B1713="(blank)"),"",VLOOKUP($B1713,'Email Marketing Raw Data'!$C:$O,13,0)),"")</f>
        <v/>
      </c>
      <c r="G1713" s="55" t="str">
        <f>IFERROR(IF(OR($B1713="",$B1713="(blank)"),"",VLOOKUP($B1713,'Email Marketing Raw Data'!$C:$O,4,0)),"")</f>
        <v/>
      </c>
      <c r="H1713" s="55" t="str">
        <f>IFERROR(IF(OR($B1713="",$B1713="(blank)"),"",VLOOKUP($B1713,'Email Marketing Raw Data'!$C:$O,5,0)),"")</f>
        <v/>
      </c>
      <c r="I1713" s="55" t="str">
        <f>IFERROR(IF($G1713="","",VLOOKUP('Dashboard And Emails Automate'!$G1713,Database!$H:$N,3,0)),"")</f>
        <v/>
      </c>
      <c r="J1713" s="55" t="str">
        <f>IFERROR(IF($G1713="","",VLOOKUP('Dashboard And Emails Automate'!$G1713,Database!$H:$N,4,0)),"")</f>
        <v/>
      </c>
      <c r="K1713" s="55" t="str">
        <f>IFERROR(IF($G1713="","",VLOOKUP('Dashboard And Emails Automate'!$G1713,Database!$H:$N,5,0)),"")</f>
        <v/>
      </c>
      <c r="L1713" s="55" t="str">
        <f>IFERROR(IF($G1713="","",VLOOKUP('Dashboard And Emails Automate'!$G1713,Database!$H:$N,6,0)),"")</f>
        <v/>
      </c>
      <c r="M1713" s="55" t="str">
        <f>IFERROR(IF($G1713="","",VLOOKUP('Dashboard And Emails Automate'!$G1713,Database!$H:$N,7,0)),"")</f>
        <v/>
      </c>
      <c r="N1713" s="55" t="str">
        <f>IFERROR(IF(OR($B1713="",$B1713="(blank)"),"",VLOOKUP($B1713,'Email Marketing Raw Data'!$C:$O,6,0)),"")</f>
        <v/>
      </c>
      <c r="O1713" s="55" t="str">
        <f>IFERROR(IF(OR($B1713="",$B1713="(blank)"),"",VLOOKUP($B1713,'Email Marketing Raw Data'!$C:$O,7,0)),"")</f>
        <v/>
      </c>
      <c r="P1713" s="55" t="str">
        <f>IFERROR(IF(OR($B1713="",$B1713="(blank)"),"",VLOOKUP($B1713,'Email Marketing Raw Data'!$C:$O,8,0)),"")</f>
        <v/>
      </c>
      <c r="Q1713" s="62" t="str">
        <f>IFERROR(IF(OR($B1713="",$B1713="(blank)"),"",VLOOKUP($B1713,'Email Marketing Raw Data'!$C:$O,9,0)),"")</f>
        <v/>
      </c>
    </row>
    <row r="1714" spans="4:17" ht="12.75" customHeight="1" x14ac:dyDescent="0.2">
      <c r="D1714" s="58" t="str">
        <f>IFERROR(IF(F1714&lt;&gt;"pending","",IF(OR($B1714="",$B1714="(blank)"),"",VLOOKUP($B1714,'Email Marketing Raw Data'!$C:$O,10,0))),"")</f>
        <v/>
      </c>
      <c r="E1714" s="59" t="str">
        <f>IFERROR(IF(F1714&lt;&gt;"pending","",IF(OR($B1714="",$B1714="(blank)"),"",VLOOKUP($B1714,'Email Marketing Raw Data'!$C:$O,11,0))),"")</f>
        <v/>
      </c>
      <c r="F1714" s="54" t="str">
        <f>IFERROR(IF(OR($B1714="",$B1714="(blank)"),"",VLOOKUP($B1714,'Email Marketing Raw Data'!$C:$O,13,0)),"")</f>
        <v/>
      </c>
      <c r="G1714" s="55" t="str">
        <f>IFERROR(IF(OR($B1714="",$B1714="(blank)"),"",VLOOKUP($B1714,'Email Marketing Raw Data'!$C:$O,4,0)),"")</f>
        <v/>
      </c>
      <c r="H1714" s="55" t="str">
        <f>IFERROR(IF(OR($B1714="",$B1714="(blank)"),"",VLOOKUP($B1714,'Email Marketing Raw Data'!$C:$O,5,0)),"")</f>
        <v/>
      </c>
      <c r="I1714" s="55" t="str">
        <f>IFERROR(IF($G1714="","",VLOOKUP('Dashboard And Emails Automate'!$G1714,Database!$H:$N,3,0)),"")</f>
        <v/>
      </c>
      <c r="J1714" s="55" t="str">
        <f>IFERROR(IF($G1714="","",VLOOKUP('Dashboard And Emails Automate'!$G1714,Database!$H:$N,4,0)),"")</f>
        <v/>
      </c>
      <c r="K1714" s="55" t="str">
        <f>IFERROR(IF($G1714="","",VLOOKUP('Dashboard And Emails Automate'!$G1714,Database!$H:$N,5,0)),"")</f>
        <v/>
      </c>
      <c r="L1714" s="55" t="str">
        <f>IFERROR(IF($G1714="","",VLOOKUP('Dashboard And Emails Automate'!$G1714,Database!$H:$N,6,0)),"")</f>
        <v/>
      </c>
      <c r="M1714" s="55" t="str">
        <f>IFERROR(IF($G1714="","",VLOOKUP('Dashboard And Emails Automate'!$G1714,Database!$H:$N,7,0)),"")</f>
        <v/>
      </c>
      <c r="N1714" s="55" t="str">
        <f>IFERROR(IF(OR($B1714="",$B1714="(blank)"),"",VLOOKUP($B1714,'Email Marketing Raw Data'!$C:$O,6,0)),"")</f>
        <v/>
      </c>
      <c r="O1714" s="55" t="str">
        <f>IFERROR(IF(OR($B1714="",$B1714="(blank)"),"",VLOOKUP($B1714,'Email Marketing Raw Data'!$C:$O,7,0)),"")</f>
        <v/>
      </c>
      <c r="P1714" s="55" t="str">
        <f>IFERROR(IF(OR($B1714="",$B1714="(blank)"),"",VLOOKUP($B1714,'Email Marketing Raw Data'!$C:$O,8,0)),"")</f>
        <v/>
      </c>
      <c r="Q1714" s="62" t="str">
        <f>IFERROR(IF(OR($B1714="",$B1714="(blank)"),"",VLOOKUP($B1714,'Email Marketing Raw Data'!$C:$O,9,0)),"")</f>
        <v/>
      </c>
    </row>
    <row r="1715" spans="4:17" ht="12.75" customHeight="1" x14ac:dyDescent="0.2">
      <c r="D1715" s="58" t="str">
        <f>IFERROR(IF(F1715&lt;&gt;"pending","",IF(OR($B1715="",$B1715="(blank)"),"",VLOOKUP($B1715,'Email Marketing Raw Data'!$C:$O,10,0))),"")</f>
        <v/>
      </c>
      <c r="E1715" s="59" t="str">
        <f>IFERROR(IF(F1715&lt;&gt;"pending","",IF(OR($B1715="",$B1715="(blank)"),"",VLOOKUP($B1715,'Email Marketing Raw Data'!$C:$O,11,0))),"")</f>
        <v/>
      </c>
      <c r="F1715" s="54" t="str">
        <f>IFERROR(IF(OR($B1715="",$B1715="(blank)"),"",VLOOKUP($B1715,'Email Marketing Raw Data'!$C:$O,13,0)),"")</f>
        <v/>
      </c>
      <c r="G1715" s="55" t="str">
        <f>IFERROR(IF(OR($B1715="",$B1715="(blank)"),"",VLOOKUP($B1715,'Email Marketing Raw Data'!$C:$O,4,0)),"")</f>
        <v/>
      </c>
      <c r="H1715" s="55" t="str">
        <f>IFERROR(IF(OR($B1715="",$B1715="(blank)"),"",VLOOKUP($B1715,'Email Marketing Raw Data'!$C:$O,5,0)),"")</f>
        <v/>
      </c>
      <c r="I1715" s="55" t="str">
        <f>IFERROR(IF($G1715="","",VLOOKUP('Dashboard And Emails Automate'!$G1715,Database!$H:$N,3,0)),"")</f>
        <v/>
      </c>
      <c r="J1715" s="55" t="str">
        <f>IFERROR(IF($G1715="","",VLOOKUP('Dashboard And Emails Automate'!$G1715,Database!$H:$N,4,0)),"")</f>
        <v/>
      </c>
      <c r="K1715" s="55" t="str">
        <f>IFERROR(IF($G1715="","",VLOOKUP('Dashboard And Emails Automate'!$G1715,Database!$H:$N,5,0)),"")</f>
        <v/>
      </c>
      <c r="L1715" s="55" t="str">
        <f>IFERROR(IF($G1715="","",VLOOKUP('Dashboard And Emails Automate'!$G1715,Database!$H:$N,6,0)),"")</f>
        <v/>
      </c>
      <c r="M1715" s="55" t="str">
        <f>IFERROR(IF($G1715="","",VLOOKUP('Dashboard And Emails Automate'!$G1715,Database!$H:$N,7,0)),"")</f>
        <v/>
      </c>
      <c r="N1715" s="55" t="str">
        <f>IFERROR(IF(OR($B1715="",$B1715="(blank)"),"",VLOOKUP($B1715,'Email Marketing Raw Data'!$C:$O,6,0)),"")</f>
        <v/>
      </c>
      <c r="O1715" s="55" t="str">
        <f>IFERROR(IF(OR($B1715="",$B1715="(blank)"),"",VLOOKUP($B1715,'Email Marketing Raw Data'!$C:$O,7,0)),"")</f>
        <v/>
      </c>
      <c r="P1715" s="55" t="str">
        <f>IFERROR(IF(OR($B1715="",$B1715="(blank)"),"",VLOOKUP($B1715,'Email Marketing Raw Data'!$C:$O,8,0)),"")</f>
        <v/>
      </c>
      <c r="Q1715" s="62" t="str">
        <f>IFERROR(IF(OR($B1715="",$B1715="(blank)"),"",VLOOKUP($B1715,'Email Marketing Raw Data'!$C:$O,9,0)),"")</f>
        <v/>
      </c>
    </row>
    <row r="1716" spans="4:17" ht="12.75" customHeight="1" x14ac:dyDescent="0.2">
      <c r="D1716" s="58" t="str">
        <f>IFERROR(IF(F1716&lt;&gt;"pending","",IF(OR($B1716="",$B1716="(blank)"),"",VLOOKUP($B1716,'Email Marketing Raw Data'!$C:$O,10,0))),"")</f>
        <v/>
      </c>
      <c r="E1716" s="59" t="str">
        <f>IFERROR(IF(F1716&lt;&gt;"pending","",IF(OR($B1716="",$B1716="(blank)"),"",VLOOKUP($B1716,'Email Marketing Raw Data'!$C:$O,11,0))),"")</f>
        <v/>
      </c>
      <c r="F1716" s="54" t="str">
        <f>IFERROR(IF(OR($B1716="",$B1716="(blank)"),"",VLOOKUP($B1716,'Email Marketing Raw Data'!$C:$O,13,0)),"")</f>
        <v/>
      </c>
      <c r="G1716" s="55" t="str">
        <f>IFERROR(IF(OR($B1716="",$B1716="(blank)"),"",VLOOKUP($B1716,'Email Marketing Raw Data'!$C:$O,4,0)),"")</f>
        <v/>
      </c>
      <c r="H1716" s="55" t="str">
        <f>IFERROR(IF(OR($B1716="",$B1716="(blank)"),"",VLOOKUP($B1716,'Email Marketing Raw Data'!$C:$O,5,0)),"")</f>
        <v/>
      </c>
      <c r="I1716" s="55" t="str">
        <f>IFERROR(IF($G1716="","",VLOOKUP('Dashboard And Emails Automate'!$G1716,Database!$H:$N,3,0)),"")</f>
        <v/>
      </c>
      <c r="J1716" s="55" t="str">
        <f>IFERROR(IF($G1716="","",VLOOKUP('Dashboard And Emails Automate'!$G1716,Database!$H:$N,4,0)),"")</f>
        <v/>
      </c>
      <c r="K1716" s="55" t="str">
        <f>IFERROR(IF($G1716="","",VLOOKUP('Dashboard And Emails Automate'!$G1716,Database!$H:$N,5,0)),"")</f>
        <v/>
      </c>
      <c r="L1716" s="55" t="str">
        <f>IFERROR(IF($G1716="","",VLOOKUP('Dashboard And Emails Automate'!$G1716,Database!$H:$N,6,0)),"")</f>
        <v/>
      </c>
      <c r="M1716" s="55" t="str">
        <f>IFERROR(IF($G1716="","",VLOOKUP('Dashboard And Emails Automate'!$G1716,Database!$H:$N,7,0)),"")</f>
        <v/>
      </c>
      <c r="N1716" s="55" t="str">
        <f>IFERROR(IF(OR($B1716="",$B1716="(blank)"),"",VLOOKUP($B1716,'Email Marketing Raw Data'!$C:$O,6,0)),"")</f>
        <v/>
      </c>
      <c r="O1716" s="55" t="str">
        <f>IFERROR(IF(OR($B1716="",$B1716="(blank)"),"",VLOOKUP($B1716,'Email Marketing Raw Data'!$C:$O,7,0)),"")</f>
        <v/>
      </c>
      <c r="P1716" s="55" t="str">
        <f>IFERROR(IF(OR($B1716="",$B1716="(blank)"),"",VLOOKUP($B1716,'Email Marketing Raw Data'!$C:$O,8,0)),"")</f>
        <v/>
      </c>
      <c r="Q1716" s="62" t="str">
        <f>IFERROR(IF(OR($B1716="",$B1716="(blank)"),"",VLOOKUP($B1716,'Email Marketing Raw Data'!$C:$O,9,0)),"")</f>
        <v/>
      </c>
    </row>
    <row r="1717" spans="4:17" ht="12.75" customHeight="1" x14ac:dyDescent="0.2">
      <c r="D1717" s="58" t="str">
        <f>IFERROR(IF(F1717&lt;&gt;"pending","",IF(OR($B1717="",$B1717="(blank)"),"",VLOOKUP($B1717,'Email Marketing Raw Data'!$C:$O,10,0))),"")</f>
        <v/>
      </c>
      <c r="E1717" s="59" t="str">
        <f>IFERROR(IF(F1717&lt;&gt;"pending","",IF(OR($B1717="",$B1717="(blank)"),"",VLOOKUP($B1717,'Email Marketing Raw Data'!$C:$O,11,0))),"")</f>
        <v/>
      </c>
      <c r="F1717" s="54" t="str">
        <f>IFERROR(IF(OR($B1717="",$B1717="(blank)"),"",VLOOKUP($B1717,'Email Marketing Raw Data'!$C:$O,13,0)),"")</f>
        <v/>
      </c>
      <c r="G1717" s="55" t="str">
        <f>IFERROR(IF(OR($B1717="",$B1717="(blank)"),"",VLOOKUP($B1717,'Email Marketing Raw Data'!$C:$O,4,0)),"")</f>
        <v/>
      </c>
      <c r="H1717" s="55" t="str">
        <f>IFERROR(IF(OR($B1717="",$B1717="(blank)"),"",VLOOKUP($B1717,'Email Marketing Raw Data'!$C:$O,5,0)),"")</f>
        <v/>
      </c>
      <c r="I1717" s="55" t="str">
        <f>IFERROR(IF($G1717="","",VLOOKUP('Dashboard And Emails Automate'!$G1717,Database!$H:$N,3,0)),"")</f>
        <v/>
      </c>
      <c r="J1717" s="55" t="str">
        <f>IFERROR(IF($G1717="","",VLOOKUP('Dashboard And Emails Automate'!$G1717,Database!$H:$N,4,0)),"")</f>
        <v/>
      </c>
      <c r="K1717" s="55" t="str">
        <f>IFERROR(IF($G1717="","",VLOOKUP('Dashboard And Emails Automate'!$G1717,Database!$H:$N,5,0)),"")</f>
        <v/>
      </c>
      <c r="L1717" s="55" t="str">
        <f>IFERROR(IF($G1717="","",VLOOKUP('Dashboard And Emails Automate'!$G1717,Database!$H:$N,6,0)),"")</f>
        <v/>
      </c>
      <c r="M1717" s="55" t="str">
        <f>IFERROR(IF($G1717="","",VLOOKUP('Dashboard And Emails Automate'!$G1717,Database!$H:$N,7,0)),"")</f>
        <v/>
      </c>
      <c r="N1717" s="55" t="str">
        <f>IFERROR(IF(OR($B1717="",$B1717="(blank)"),"",VLOOKUP($B1717,'Email Marketing Raw Data'!$C:$O,6,0)),"")</f>
        <v/>
      </c>
      <c r="O1717" s="55" t="str">
        <f>IFERROR(IF(OR($B1717="",$B1717="(blank)"),"",VLOOKUP($B1717,'Email Marketing Raw Data'!$C:$O,7,0)),"")</f>
        <v/>
      </c>
      <c r="P1717" s="55" t="str">
        <f>IFERROR(IF(OR($B1717="",$B1717="(blank)"),"",VLOOKUP($B1717,'Email Marketing Raw Data'!$C:$O,8,0)),"")</f>
        <v/>
      </c>
      <c r="Q1717" s="62" t="str">
        <f>IFERROR(IF(OR($B1717="",$B1717="(blank)"),"",VLOOKUP($B1717,'Email Marketing Raw Data'!$C:$O,9,0)),"")</f>
        <v/>
      </c>
    </row>
    <row r="1718" spans="4:17" ht="12.75" customHeight="1" x14ac:dyDescent="0.2">
      <c r="D1718" s="58" t="str">
        <f>IFERROR(IF(F1718&lt;&gt;"pending","",IF(OR($B1718="",$B1718="(blank)"),"",VLOOKUP($B1718,'Email Marketing Raw Data'!$C:$O,10,0))),"")</f>
        <v/>
      </c>
      <c r="E1718" s="59" t="str">
        <f>IFERROR(IF(F1718&lt;&gt;"pending","",IF(OR($B1718="",$B1718="(blank)"),"",VLOOKUP($B1718,'Email Marketing Raw Data'!$C:$O,11,0))),"")</f>
        <v/>
      </c>
      <c r="F1718" s="54" t="str">
        <f>IFERROR(IF(OR($B1718="",$B1718="(blank)"),"",VLOOKUP($B1718,'Email Marketing Raw Data'!$C:$O,13,0)),"")</f>
        <v/>
      </c>
      <c r="G1718" s="55" t="str">
        <f>IFERROR(IF(OR($B1718="",$B1718="(blank)"),"",VLOOKUP($B1718,'Email Marketing Raw Data'!$C:$O,4,0)),"")</f>
        <v/>
      </c>
      <c r="H1718" s="55" t="str">
        <f>IFERROR(IF(OR($B1718="",$B1718="(blank)"),"",VLOOKUP($B1718,'Email Marketing Raw Data'!$C:$O,5,0)),"")</f>
        <v/>
      </c>
      <c r="I1718" s="55" t="str">
        <f>IFERROR(IF($G1718="","",VLOOKUP('Dashboard And Emails Automate'!$G1718,Database!$H:$N,3,0)),"")</f>
        <v/>
      </c>
      <c r="J1718" s="55" t="str">
        <f>IFERROR(IF($G1718="","",VLOOKUP('Dashboard And Emails Automate'!$G1718,Database!$H:$N,4,0)),"")</f>
        <v/>
      </c>
      <c r="K1718" s="55" t="str">
        <f>IFERROR(IF($G1718="","",VLOOKUP('Dashboard And Emails Automate'!$G1718,Database!$H:$N,5,0)),"")</f>
        <v/>
      </c>
      <c r="L1718" s="55" t="str">
        <f>IFERROR(IF($G1718="","",VLOOKUP('Dashboard And Emails Automate'!$G1718,Database!$H:$N,6,0)),"")</f>
        <v/>
      </c>
      <c r="M1718" s="55" t="str">
        <f>IFERROR(IF($G1718="","",VLOOKUP('Dashboard And Emails Automate'!$G1718,Database!$H:$N,7,0)),"")</f>
        <v/>
      </c>
      <c r="N1718" s="55" t="str">
        <f>IFERROR(IF(OR($B1718="",$B1718="(blank)"),"",VLOOKUP($B1718,'Email Marketing Raw Data'!$C:$O,6,0)),"")</f>
        <v/>
      </c>
      <c r="O1718" s="55" t="str">
        <f>IFERROR(IF(OR($B1718="",$B1718="(blank)"),"",VLOOKUP($B1718,'Email Marketing Raw Data'!$C:$O,7,0)),"")</f>
        <v/>
      </c>
      <c r="P1718" s="55" t="str">
        <f>IFERROR(IF(OR($B1718="",$B1718="(blank)"),"",VLOOKUP($B1718,'Email Marketing Raw Data'!$C:$O,8,0)),"")</f>
        <v/>
      </c>
      <c r="Q1718" s="62" t="str">
        <f>IFERROR(IF(OR($B1718="",$B1718="(blank)"),"",VLOOKUP($B1718,'Email Marketing Raw Data'!$C:$O,9,0)),"")</f>
        <v/>
      </c>
    </row>
    <row r="1719" spans="4:17" ht="12.75" customHeight="1" x14ac:dyDescent="0.2">
      <c r="D1719" s="58" t="str">
        <f>IFERROR(IF(F1719&lt;&gt;"pending","",IF(OR($B1719="",$B1719="(blank)"),"",VLOOKUP($B1719,'Email Marketing Raw Data'!$C:$O,10,0))),"")</f>
        <v/>
      </c>
      <c r="E1719" s="59" t="str">
        <f>IFERROR(IF(F1719&lt;&gt;"pending","",IF(OR($B1719="",$B1719="(blank)"),"",VLOOKUP($B1719,'Email Marketing Raw Data'!$C:$O,11,0))),"")</f>
        <v/>
      </c>
      <c r="F1719" s="54" t="str">
        <f>IFERROR(IF(OR($B1719="",$B1719="(blank)"),"",VLOOKUP($B1719,'Email Marketing Raw Data'!$C:$O,13,0)),"")</f>
        <v/>
      </c>
      <c r="G1719" s="55" t="str">
        <f>IFERROR(IF(OR($B1719="",$B1719="(blank)"),"",VLOOKUP($B1719,'Email Marketing Raw Data'!$C:$O,4,0)),"")</f>
        <v/>
      </c>
      <c r="H1719" s="55" t="str">
        <f>IFERROR(IF(OR($B1719="",$B1719="(blank)"),"",VLOOKUP($B1719,'Email Marketing Raw Data'!$C:$O,5,0)),"")</f>
        <v/>
      </c>
      <c r="I1719" s="55" t="str">
        <f>IFERROR(IF($G1719="","",VLOOKUP('Dashboard And Emails Automate'!$G1719,Database!$H:$N,3,0)),"")</f>
        <v/>
      </c>
      <c r="J1719" s="55" t="str">
        <f>IFERROR(IF($G1719="","",VLOOKUP('Dashboard And Emails Automate'!$G1719,Database!$H:$N,4,0)),"")</f>
        <v/>
      </c>
      <c r="K1719" s="55" t="str">
        <f>IFERROR(IF($G1719="","",VLOOKUP('Dashboard And Emails Automate'!$G1719,Database!$H:$N,5,0)),"")</f>
        <v/>
      </c>
      <c r="L1719" s="55" t="str">
        <f>IFERROR(IF($G1719="","",VLOOKUP('Dashboard And Emails Automate'!$G1719,Database!$H:$N,6,0)),"")</f>
        <v/>
      </c>
      <c r="M1719" s="55" t="str">
        <f>IFERROR(IF($G1719="","",VLOOKUP('Dashboard And Emails Automate'!$G1719,Database!$H:$N,7,0)),"")</f>
        <v/>
      </c>
      <c r="N1719" s="55" t="str">
        <f>IFERROR(IF(OR($B1719="",$B1719="(blank)"),"",VLOOKUP($B1719,'Email Marketing Raw Data'!$C:$O,6,0)),"")</f>
        <v/>
      </c>
      <c r="O1719" s="55" t="str">
        <f>IFERROR(IF(OR($B1719="",$B1719="(blank)"),"",VLOOKUP($B1719,'Email Marketing Raw Data'!$C:$O,7,0)),"")</f>
        <v/>
      </c>
      <c r="P1719" s="55" t="str">
        <f>IFERROR(IF(OR($B1719="",$B1719="(blank)"),"",VLOOKUP($B1719,'Email Marketing Raw Data'!$C:$O,8,0)),"")</f>
        <v/>
      </c>
      <c r="Q1719" s="62" t="str">
        <f>IFERROR(IF(OR($B1719="",$B1719="(blank)"),"",VLOOKUP($B1719,'Email Marketing Raw Data'!$C:$O,9,0)),"")</f>
        <v/>
      </c>
    </row>
    <row r="1720" spans="4:17" ht="12.75" customHeight="1" x14ac:dyDescent="0.2">
      <c r="D1720" s="58" t="str">
        <f>IFERROR(IF(F1720&lt;&gt;"pending","",IF(OR($B1720="",$B1720="(blank)"),"",VLOOKUP($B1720,'Email Marketing Raw Data'!$C:$O,10,0))),"")</f>
        <v/>
      </c>
      <c r="E1720" s="59" t="str">
        <f>IFERROR(IF(F1720&lt;&gt;"pending","",IF(OR($B1720="",$B1720="(blank)"),"",VLOOKUP($B1720,'Email Marketing Raw Data'!$C:$O,11,0))),"")</f>
        <v/>
      </c>
      <c r="F1720" s="54" t="str">
        <f>IFERROR(IF(OR($B1720="",$B1720="(blank)"),"",VLOOKUP($B1720,'Email Marketing Raw Data'!$C:$O,13,0)),"")</f>
        <v/>
      </c>
      <c r="G1720" s="55" t="str">
        <f>IFERROR(IF(OR($B1720="",$B1720="(blank)"),"",VLOOKUP($B1720,'Email Marketing Raw Data'!$C:$O,4,0)),"")</f>
        <v/>
      </c>
      <c r="H1720" s="55" t="str">
        <f>IFERROR(IF(OR($B1720="",$B1720="(blank)"),"",VLOOKUP($B1720,'Email Marketing Raw Data'!$C:$O,5,0)),"")</f>
        <v/>
      </c>
      <c r="I1720" s="55" t="str">
        <f>IFERROR(IF($G1720="","",VLOOKUP('Dashboard And Emails Automate'!$G1720,Database!$H:$N,3,0)),"")</f>
        <v/>
      </c>
      <c r="J1720" s="55" t="str">
        <f>IFERROR(IF($G1720="","",VLOOKUP('Dashboard And Emails Automate'!$G1720,Database!$H:$N,4,0)),"")</f>
        <v/>
      </c>
      <c r="K1720" s="55" t="str">
        <f>IFERROR(IF($G1720="","",VLOOKUP('Dashboard And Emails Automate'!$G1720,Database!$H:$N,5,0)),"")</f>
        <v/>
      </c>
      <c r="L1720" s="55" t="str">
        <f>IFERROR(IF($G1720="","",VLOOKUP('Dashboard And Emails Automate'!$G1720,Database!$H:$N,6,0)),"")</f>
        <v/>
      </c>
      <c r="M1720" s="55" t="str">
        <f>IFERROR(IF($G1720="","",VLOOKUP('Dashboard And Emails Automate'!$G1720,Database!$H:$N,7,0)),"")</f>
        <v/>
      </c>
      <c r="N1720" s="55" t="str">
        <f>IFERROR(IF(OR($B1720="",$B1720="(blank)"),"",VLOOKUP($B1720,'Email Marketing Raw Data'!$C:$O,6,0)),"")</f>
        <v/>
      </c>
      <c r="O1720" s="55" t="str">
        <f>IFERROR(IF(OR($B1720="",$B1720="(blank)"),"",VLOOKUP($B1720,'Email Marketing Raw Data'!$C:$O,7,0)),"")</f>
        <v/>
      </c>
      <c r="P1720" s="55" t="str">
        <f>IFERROR(IF(OR($B1720="",$B1720="(blank)"),"",VLOOKUP($B1720,'Email Marketing Raw Data'!$C:$O,8,0)),"")</f>
        <v/>
      </c>
      <c r="Q1720" s="62" t="str">
        <f>IFERROR(IF(OR($B1720="",$B1720="(blank)"),"",VLOOKUP($B1720,'Email Marketing Raw Data'!$C:$O,9,0)),"")</f>
        <v/>
      </c>
    </row>
    <row r="1721" spans="4:17" ht="12.75" customHeight="1" x14ac:dyDescent="0.2">
      <c r="D1721" s="58" t="str">
        <f>IFERROR(IF(F1721&lt;&gt;"pending","",IF(OR($B1721="",$B1721="(blank)"),"",VLOOKUP($B1721,'Email Marketing Raw Data'!$C:$O,10,0))),"")</f>
        <v/>
      </c>
      <c r="E1721" s="59" t="str">
        <f>IFERROR(IF(F1721&lt;&gt;"pending","",IF(OR($B1721="",$B1721="(blank)"),"",VLOOKUP($B1721,'Email Marketing Raw Data'!$C:$O,11,0))),"")</f>
        <v/>
      </c>
      <c r="F1721" s="54" t="str">
        <f>IFERROR(IF(OR($B1721="",$B1721="(blank)"),"",VLOOKUP($B1721,'Email Marketing Raw Data'!$C:$O,13,0)),"")</f>
        <v/>
      </c>
      <c r="G1721" s="55" t="str">
        <f>IFERROR(IF(OR($B1721="",$B1721="(blank)"),"",VLOOKUP($B1721,'Email Marketing Raw Data'!$C:$O,4,0)),"")</f>
        <v/>
      </c>
      <c r="H1721" s="55" t="str">
        <f>IFERROR(IF(OR($B1721="",$B1721="(blank)"),"",VLOOKUP($B1721,'Email Marketing Raw Data'!$C:$O,5,0)),"")</f>
        <v/>
      </c>
      <c r="I1721" s="55" t="str">
        <f>IFERROR(IF($G1721="","",VLOOKUP('Dashboard And Emails Automate'!$G1721,Database!$H:$N,3,0)),"")</f>
        <v/>
      </c>
      <c r="J1721" s="55" t="str">
        <f>IFERROR(IF($G1721="","",VLOOKUP('Dashboard And Emails Automate'!$G1721,Database!$H:$N,4,0)),"")</f>
        <v/>
      </c>
      <c r="K1721" s="55" t="str">
        <f>IFERROR(IF($G1721="","",VLOOKUP('Dashboard And Emails Automate'!$G1721,Database!$H:$N,5,0)),"")</f>
        <v/>
      </c>
      <c r="L1721" s="55" t="str">
        <f>IFERROR(IF($G1721="","",VLOOKUP('Dashboard And Emails Automate'!$G1721,Database!$H:$N,6,0)),"")</f>
        <v/>
      </c>
      <c r="M1721" s="55" t="str">
        <f>IFERROR(IF($G1721="","",VLOOKUP('Dashboard And Emails Automate'!$G1721,Database!$H:$N,7,0)),"")</f>
        <v/>
      </c>
      <c r="N1721" s="55" t="str">
        <f>IFERROR(IF(OR($B1721="",$B1721="(blank)"),"",VLOOKUP($B1721,'Email Marketing Raw Data'!$C:$O,6,0)),"")</f>
        <v/>
      </c>
      <c r="O1721" s="55" t="str">
        <f>IFERROR(IF(OR($B1721="",$B1721="(blank)"),"",VLOOKUP($B1721,'Email Marketing Raw Data'!$C:$O,7,0)),"")</f>
        <v/>
      </c>
      <c r="P1721" s="55" t="str">
        <f>IFERROR(IF(OR($B1721="",$B1721="(blank)"),"",VLOOKUP($B1721,'Email Marketing Raw Data'!$C:$O,8,0)),"")</f>
        <v/>
      </c>
      <c r="Q1721" s="62" t="str">
        <f>IFERROR(IF(OR($B1721="",$B1721="(blank)"),"",VLOOKUP($B1721,'Email Marketing Raw Data'!$C:$O,9,0)),"")</f>
        <v/>
      </c>
    </row>
    <row r="1722" spans="4:17" ht="12.75" customHeight="1" x14ac:dyDescent="0.2">
      <c r="D1722" s="58" t="str">
        <f>IFERROR(IF(F1722&lt;&gt;"pending","",IF(OR($B1722="",$B1722="(blank)"),"",VLOOKUP($B1722,'Email Marketing Raw Data'!$C:$O,10,0))),"")</f>
        <v/>
      </c>
      <c r="E1722" s="59" t="str">
        <f>IFERROR(IF(F1722&lt;&gt;"pending","",IF(OR($B1722="",$B1722="(blank)"),"",VLOOKUP($B1722,'Email Marketing Raw Data'!$C:$O,11,0))),"")</f>
        <v/>
      </c>
      <c r="F1722" s="54" t="str">
        <f>IFERROR(IF(OR($B1722="",$B1722="(blank)"),"",VLOOKUP($B1722,'Email Marketing Raw Data'!$C:$O,13,0)),"")</f>
        <v/>
      </c>
      <c r="G1722" s="55" t="str">
        <f>IFERROR(IF(OR($B1722="",$B1722="(blank)"),"",VLOOKUP($B1722,'Email Marketing Raw Data'!$C:$O,4,0)),"")</f>
        <v/>
      </c>
      <c r="H1722" s="55" t="str">
        <f>IFERROR(IF(OR($B1722="",$B1722="(blank)"),"",VLOOKUP($B1722,'Email Marketing Raw Data'!$C:$O,5,0)),"")</f>
        <v/>
      </c>
      <c r="I1722" s="55" t="str">
        <f>IFERROR(IF($G1722="","",VLOOKUP('Dashboard And Emails Automate'!$G1722,Database!$H:$N,3,0)),"")</f>
        <v/>
      </c>
      <c r="J1722" s="55" t="str">
        <f>IFERROR(IF($G1722="","",VLOOKUP('Dashboard And Emails Automate'!$G1722,Database!$H:$N,4,0)),"")</f>
        <v/>
      </c>
      <c r="K1722" s="55" t="str">
        <f>IFERROR(IF($G1722="","",VLOOKUP('Dashboard And Emails Automate'!$G1722,Database!$H:$N,5,0)),"")</f>
        <v/>
      </c>
      <c r="L1722" s="55" t="str">
        <f>IFERROR(IF($G1722="","",VLOOKUP('Dashboard And Emails Automate'!$G1722,Database!$H:$N,6,0)),"")</f>
        <v/>
      </c>
      <c r="M1722" s="55" t="str">
        <f>IFERROR(IF($G1722="","",VLOOKUP('Dashboard And Emails Automate'!$G1722,Database!$H:$N,7,0)),"")</f>
        <v/>
      </c>
      <c r="N1722" s="55" t="str">
        <f>IFERROR(IF(OR($B1722="",$B1722="(blank)"),"",VLOOKUP($B1722,'Email Marketing Raw Data'!$C:$O,6,0)),"")</f>
        <v/>
      </c>
      <c r="O1722" s="55" t="str">
        <f>IFERROR(IF(OR($B1722="",$B1722="(blank)"),"",VLOOKUP($B1722,'Email Marketing Raw Data'!$C:$O,7,0)),"")</f>
        <v/>
      </c>
      <c r="P1722" s="55" t="str">
        <f>IFERROR(IF(OR($B1722="",$B1722="(blank)"),"",VLOOKUP($B1722,'Email Marketing Raw Data'!$C:$O,8,0)),"")</f>
        <v/>
      </c>
      <c r="Q1722" s="62" t="str">
        <f>IFERROR(IF(OR($B1722="",$B1722="(blank)"),"",VLOOKUP($B1722,'Email Marketing Raw Data'!$C:$O,9,0)),"")</f>
        <v/>
      </c>
    </row>
    <row r="1723" spans="4:17" ht="12.75" customHeight="1" x14ac:dyDescent="0.2">
      <c r="D1723" s="58" t="str">
        <f>IFERROR(IF(F1723&lt;&gt;"pending","",IF(OR($B1723="",$B1723="(blank)"),"",VLOOKUP($B1723,'Email Marketing Raw Data'!$C:$O,10,0))),"")</f>
        <v/>
      </c>
      <c r="E1723" s="59" t="str">
        <f>IFERROR(IF(F1723&lt;&gt;"pending","",IF(OR($B1723="",$B1723="(blank)"),"",VLOOKUP($B1723,'Email Marketing Raw Data'!$C:$O,11,0))),"")</f>
        <v/>
      </c>
      <c r="F1723" s="54" t="str">
        <f>IFERROR(IF(OR($B1723="",$B1723="(blank)"),"",VLOOKUP($B1723,'Email Marketing Raw Data'!$C:$O,13,0)),"")</f>
        <v/>
      </c>
      <c r="G1723" s="55" t="str">
        <f>IFERROR(IF(OR($B1723="",$B1723="(blank)"),"",VLOOKUP($B1723,'Email Marketing Raw Data'!$C:$O,4,0)),"")</f>
        <v/>
      </c>
      <c r="H1723" s="55" t="str">
        <f>IFERROR(IF(OR($B1723="",$B1723="(blank)"),"",VLOOKUP($B1723,'Email Marketing Raw Data'!$C:$O,5,0)),"")</f>
        <v/>
      </c>
      <c r="I1723" s="55" t="str">
        <f>IFERROR(IF($G1723="","",VLOOKUP('Dashboard And Emails Automate'!$G1723,Database!$H:$N,3,0)),"")</f>
        <v/>
      </c>
      <c r="J1723" s="55" t="str">
        <f>IFERROR(IF($G1723="","",VLOOKUP('Dashboard And Emails Automate'!$G1723,Database!$H:$N,4,0)),"")</f>
        <v/>
      </c>
      <c r="K1723" s="55" t="str">
        <f>IFERROR(IF($G1723="","",VLOOKUP('Dashboard And Emails Automate'!$G1723,Database!$H:$N,5,0)),"")</f>
        <v/>
      </c>
      <c r="L1723" s="55" t="str">
        <f>IFERROR(IF($G1723="","",VLOOKUP('Dashboard And Emails Automate'!$G1723,Database!$H:$N,6,0)),"")</f>
        <v/>
      </c>
      <c r="M1723" s="55" t="str">
        <f>IFERROR(IF($G1723="","",VLOOKUP('Dashboard And Emails Automate'!$G1723,Database!$H:$N,7,0)),"")</f>
        <v/>
      </c>
      <c r="N1723" s="55" t="str">
        <f>IFERROR(IF(OR($B1723="",$B1723="(blank)"),"",VLOOKUP($B1723,'Email Marketing Raw Data'!$C:$O,6,0)),"")</f>
        <v/>
      </c>
      <c r="O1723" s="55" t="str">
        <f>IFERROR(IF(OR($B1723="",$B1723="(blank)"),"",VLOOKUP($B1723,'Email Marketing Raw Data'!$C:$O,7,0)),"")</f>
        <v/>
      </c>
      <c r="P1723" s="55" t="str">
        <f>IFERROR(IF(OR($B1723="",$B1723="(blank)"),"",VLOOKUP($B1723,'Email Marketing Raw Data'!$C:$O,8,0)),"")</f>
        <v/>
      </c>
      <c r="Q1723" s="62" t="str">
        <f>IFERROR(IF(OR($B1723="",$B1723="(blank)"),"",VLOOKUP($B1723,'Email Marketing Raw Data'!$C:$O,9,0)),"")</f>
        <v/>
      </c>
    </row>
    <row r="1724" spans="4:17" ht="12.75" customHeight="1" x14ac:dyDescent="0.2">
      <c r="D1724" s="58" t="str">
        <f>IFERROR(IF(F1724&lt;&gt;"pending","",IF(OR($B1724="",$B1724="(blank)"),"",VLOOKUP($B1724,'Email Marketing Raw Data'!$C:$O,10,0))),"")</f>
        <v/>
      </c>
      <c r="E1724" s="59" t="str">
        <f>IFERROR(IF(F1724&lt;&gt;"pending","",IF(OR($B1724="",$B1724="(blank)"),"",VLOOKUP($B1724,'Email Marketing Raw Data'!$C:$O,11,0))),"")</f>
        <v/>
      </c>
      <c r="F1724" s="54" t="str">
        <f>IFERROR(IF(OR($B1724="",$B1724="(blank)"),"",VLOOKUP($B1724,'Email Marketing Raw Data'!$C:$O,13,0)),"")</f>
        <v/>
      </c>
      <c r="G1724" s="55" t="str">
        <f>IFERROR(IF(OR($B1724="",$B1724="(blank)"),"",VLOOKUP($B1724,'Email Marketing Raw Data'!$C:$O,4,0)),"")</f>
        <v/>
      </c>
      <c r="H1724" s="55" t="str">
        <f>IFERROR(IF(OR($B1724="",$B1724="(blank)"),"",VLOOKUP($B1724,'Email Marketing Raw Data'!$C:$O,5,0)),"")</f>
        <v/>
      </c>
      <c r="I1724" s="55" t="str">
        <f>IFERROR(IF($G1724="","",VLOOKUP('Dashboard And Emails Automate'!$G1724,Database!$H:$N,3,0)),"")</f>
        <v/>
      </c>
      <c r="J1724" s="55" t="str">
        <f>IFERROR(IF($G1724="","",VLOOKUP('Dashboard And Emails Automate'!$G1724,Database!$H:$N,4,0)),"")</f>
        <v/>
      </c>
      <c r="K1724" s="55" t="str">
        <f>IFERROR(IF($G1724="","",VLOOKUP('Dashboard And Emails Automate'!$G1724,Database!$H:$N,5,0)),"")</f>
        <v/>
      </c>
      <c r="L1724" s="55" t="str">
        <f>IFERROR(IF($G1724="","",VLOOKUP('Dashboard And Emails Automate'!$G1724,Database!$H:$N,6,0)),"")</f>
        <v/>
      </c>
      <c r="M1724" s="55" t="str">
        <f>IFERROR(IF($G1724="","",VLOOKUP('Dashboard And Emails Automate'!$G1724,Database!$H:$N,7,0)),"")</f>
        <v/>
      </c>
      <c r="N1724" s="55" t="str">
        <f>IFERROR(IF(OR($B1724="",$B1724="(blank)"),"",VLOOKUP($B1724,'Email Marketing Raw Data'!$C:$O,6,0)),"")</f>
        <v/>
      </c>
      <c r="O1724" s="55" t="str">
        <f>IFERROR(IF(OR($B1724="",$B1724="(blank)"),"",VLOOKUP($B1724,'Email Marketing Raw Data'!$C:$O,7,0)),"")</f>
        <v/>
      </c>
      <c r="P1724" s="55" t="str">
        <f>IFERROR(IF(OR($B1724="",$B1724="(blank)"),"",VLOOKUP($B1724,'Email Marketing Raw Data'!$C:$O,8,0)),"")</f>
        <v/>
      </c>
      <c r="Q1724" s="62" t="str">
        <f>IFERROR(IF(OR($B1724="",$B1724="(blank)"),"",VLOOKUP($B1724,'Email Marketing Raw Data'!$C:$O,9,0)),"")</f>
        <v/>
      </c>
    </row>
    <row r="1725" spans="4:17" ht="12.75" customHeight="1" x14ac:dyDescent="0.2">
      <c r="D1725" s="58" t="str">
        <f>IFERROR(IF(F1725&lt;&gt;"pending","",IF(OR($B1725="",$B1725="(blank)"),"",VLOOKUP($B1725,'Email Marketing Raw Data'!$C:$O,10,0))),"")</f>
        <v/>
      </c>
      <c r="E1725" s="59" t="str">
        <f>IFERROR(IF(F1725&lt;&gt;"pending","",IF(OR($B1725="",$B1725="(blank)"),"",VLOOKUP($B1725,'Email Marketing Raw Data'!$C:$O,11,0))),"")</f>
        <v/>
      </c>
      <c r="F1725" s="54" t="str">
        <f>IFERROR(IF(OR($B1725="",$B1725="(blank)"),"",VLOOKUP($B1725,'Email Marketing Raw Data'!$C:$O,13,0)),"")</f>
        <v/>
      </c>
      <c r="G1725" s="55" t="str">
        <f>IFERROR(IF(OR($B1725="",$B1725="(blank)"),"",VLOOKUP($B1725,'Email Marketing Raw Data'!$C:$O,4,0)),"")</f>
        <v/>
      </c>
      <c r="H1725" s="55" t="str">
        <f>IFERROR(IF(OR($B1725="",$B1725="(blank)"),"",VLOOKUP($B1725,'Email Marketing Raw Data'!$C:$O,5,0)),"")</f>
        <v/>
      </c>
      <c r="I1725" s="55" t="str">
        <f>IFERROR(IF($G1725="","",VLOOKUP('Dashboard And Emails Automate'!$G1725,Database!$H:$N,3,0)),"")</f>
        <v/>
      </c>
      <c r="J1725" s="55" t="str">
        <f>IFERROR(IF($G1725="","",VLOOKUP('Dashboard And Emails Automate'!$G1725,Database!$H:$N,4,0)),"")</f>
        <v/>
      </c>
      <c r="K1725" s="55" t="str">
        <f>IFERROR(IF($G1725="","",VLOOKUP('Dashboard And Emails Automate'!$G1725,Database!$H:$N,5,0)),"")</f>
        <v/>
      </c>
      <c r="L1725" s="55" t="str">
        <f>IFERROR(IF($G1725="","",VLOOKUP('Dashboard And Emails Automate'!$G1725,Database!$H:$N,6,0)),"")</f>
        <v/>
      </c>
      <c r="M1725" s="55" t="str">
        <f>IFERROR(IF($G1725="","",VLOOKUP('Dashboard And Emails Automate'!$G1725,Database!$H:$N,7,0)),"")</f>
        <v/>
      </c>
      <c r="N1725" s="55" t="str">
        <f>IFERROR(IF(OR($B1725="",$B1725="(blank)"),"",VLOOKUP($B1725,'Email Marketing Raw Data'!$C:$O,6,0)),"")</f>
        <v/>
      </c>
      <c r="O1725" s="55" t="str">
        <f>IFERROR(IF(OR($B1725="",$B1725="(blank)"),"",VLOOKUP($B1725,'Email Marketing Raw Data'!$C:$O,7,0)),"")</f>
        <v/>
      </c>
      <c r="P1725" s="55" t="str">
        <f>IFERROR(IF(OR($B1725="",$B1725="(blank)"),"",VLOOKUP($B1725,'Email Marketing Raw Data'!$C:$O,8,0)),"")</f>
        <v/>
      </c>
      <c r="Q1725" s="62" t="str">
        <f>IFERROR(IF(OR($B1725="",$B1725="(blank)"),"",VLOOKUP($B1725,'Email Marketing Raw Data'!$C:$O,9,0)),"")</f>
        <v/>
      </c>
    </row>
    <row r="1726" spans="4:17" ht="12.75" customHeight="1" x14ac:dyDescent="0.2">
      <c r="D1726" s="58" t="str">
        <f>IFERROR(IF(F1726&lt;&gt;"pending","",IF(OR($B1726="",$B1726="(blank)"),"",VLOOKUP($B1726,'Email Marketing Raw Data'!$C:$O,10,0))),"")</f>
        <v/>
      </c>
      <c r="E1726" s="59" t="str">
        <f>IFERROR(IF(F1726&lt;&gt;"pending","",IF(OR($B1726="",$B1726="(blank)"),"",VLOOKUP($B1726,'Email Marketing Raw Data'!$C:$O,11,0))),"")</f>
        <v/>
      </c>
      <c r="F1726" s="54" t="str">
        <f>IFERROR(IF(OR($B1726="",$B1726="(blank)"),"",VLOOKUP($B1726,'Email Marketing Raw Data'!$C:$O,13,0)),"")</f>
        <v/>
      </c>
      <c r="G1726" s="55" t="str">
        <f>IFERROR(IF(OR($B1726="",$B1726="(blank)"),"",VLOOKUP($B1726,'Email Marketing Raw Data'!$C:$O,4,0)),"")</f>
        <v/>
      </c>
      <c r="H1726" s="55" t="str">
        <f>IFERROR(IF(OR($B1726="",$B1726="(blank)"),"",VLOOKUP($B1726,'Email Marketing Raw Data'!$C:$O,5,0)),"")</f>
        <v/>
      </c>
      <c r="I1726" s="55" t="str">
        <f>IFERROR(IF($G1726="","",VLOOKUP('Dashboard And Emails Automate'!$G1726,Database!$H:$N,3,0)),"")</f>
        <v/>
      </c>
      <c r="J1726" s="55" t="str">
        <f>IFERROR(IF($G1726="","",VLOOKUP('Dashboard And Emails Automate'!$G1726,Database!$H:$N,4,0)),"")</f>
        <v/>
      </c>
      <c r="K1726" s="55" t="str">
        <f>IFERROR(IF($G1726="","",VLOOKUP('Dashboard And Emails Automate'!$G1726,Database!$H:$N,5,0)),"")</f>
        <v/>
      </c>
      <c r="L1726" s="55" t="str">
        <f>IFERROR(IF($G1726="","",VLOOKUP('Dashboard And Emails Automate'!$G1726,Database!$H:$N,6,0)),"")</f>
        <v/>
      </c>
      <c r="M1726" s="55" t="str">
        <f>IFERROR(IF($G1726="","",VLOOKUP('Dashboard And Emails Automate'!$G1726,Database!$H:$N,7,0)),"")</f>
        <v/>
      </c>
      <c r="N1726" s="55" t="str">
        <f>IFERROR(IF(OR($B1726="",$B1726="(blank)"),"",VLOOKUP($B1726,'Email Marketing Raw Data'!$C:$O,6,0)),"")</f>
        <v/>
      </c>
      <c r="O1726" s="55" t="str">
        <f>IFERROR(IF(OR($B1726="",$B1726="(blank)"),"",VLOOKUP($B1726,'Email Marketing Raw Data'!$C:$O,7,0)),"")</f>
        <v/>
      </c>
      <c r="P1726" s="55" t="str">
        <f>IFERROR(IF(OR($B1726="",$B1726="(blank)"),"",VLOOKUP($B1726,'Email Marketing Raw Data'!$C:$O,8,0)),"")</f>
        <v/>
      </c>
      <c r="Q1726" s="62" t="str">
        <f>IFERROR(IF(OR($B1726="",$B1726="(blank)"),"",VLOOKUP($B1726,'Email Marketing Raw Data'!$C:$O,9,0)),"")</f>
        <v/>
      </c>
    </row>
    <row r="1727" spans="4:17" ht="12.75" customHeight="1" x14ac:dyDescent="0.2">
      <c r="D1727" s="58" t="str">
        <f>IFERROR(IF(F1727&lt;&gt;"pending","",IF(OR($B1727="",$B1727="(blank)"),"",VLOOKUP($B1727,'Email Marketing Raw Data'!$C:$O,10,0))),"")</f>
        <v/>
      </c>
      <c r="E1727" s="59" t="str">
        <f>IFERROR(IF(F1727&lt;&gt;"pending","",IF(OR($B1727="",$B1727="(blank)"),"",VLOOKUP($B1727,'Email Marketing Raw Data'!$C:$O,11,0))),"")</f>
        <v/>
      </c>
      <c r="F1727" s="54" t="str">
        <f>IFERROR(IF(OR($B1727="",$B1727="(blank)"),"",VLOOKUP($B1727,'Email Marketing Raw Data'!$C:$O,13,0)),"")</f>
        <v/>
      </c>
      <c r="G1727" s="55" t="str">
        <f>IFERROR(IF(OR($B1727="",$B1727="(blank)"),"",VLOOKUP($B1727,'Email Marketing Raw Data'!$C:$O,4,0)),"")</f>
        <v/>
      </c>
      <c r="H1727" s="55" t="str">
        <f>IFERROR(IF(OR($B1727="",$B1727="(blank)"),"",VLOOKUP($B1727,'Email Marketing Raw Data'!$C:$O,5,0)),"")</f>
        <v/>
      </c>
      <c r="I1727" s="55" t="str">
        <f>IFERROR(IF($G1727="","",VLOOKUP('Dashboard And Emails Automate'!$G1727,Database!$H:$N,3,0)),"")</f>
        <v/>
      </c>
      <c r="J1727" s="55" t="str">
        <f>IFERROR(IF($G1727="","",VLOOKUP('Dashboard And Emails Automate'!$G1727,Database!$H:$N,4,0)),"")</f>
        <v/>
      </c>
      <c r="K1727" s="55" t="str">
        <f>IFERROR(IF($G1727="","",VLOOKUP('Dashboard And Emails Automate'!$G1727,Database!$H:$N,5,0)),"")</f>
        <v/>
      </c>
      <c r="L1727" s="55" t="str">
        <f>IFERROR(IF($G1727="","",VLOOKUP('Dashboard And Emails Automate'!$G1727,Database!$H:$N,6,0)),"")</f>
        <v/>
      </c>
      <c r="M1727" s="55" t="str">
        <f>IFERROR(IF($G1727="","",VLOOKUP('Dashboard And Emails Automate'!$G1727,Database!$H:$N,7,0)),"")</f>
        <v/>
      </c>
      <c r="N1727" s="55" t="str">
        <f>IFERROR(IF(OR($B1727="",$B1727="(blank)"),"",VLOOKUP($B1727,'Email Marketing Raw Data'!$C:$O,6,0)),"")</f>
        <v/>
      </c>
      <c r="O1727" s="55" t="str">
        <f>IFERROR(IF(OR($B1727="",$B1727="(blank)"),"",VLOOKUP($B1727,'Email Marketing Raw Data'!$C:$O,7,0)),"")</f>
        <v/>
      </c>
      <c r="P1727" s="55" t="str">
        <f>IFERROR(IF(OR($B1727="",$B1727="(blank)"),"",VLOOKUP($B1727,'Email Marketing Raw Data'!$C:$O,8,0)),"")</f>
        <v/>
      </c>
      <c r="Q1727" s="62" t="str">
        <f>IFERROR(IF(OR($B1727="",$B1727="(blank)"),"",VLOOKUP($B1727,'Email Marketing Raw Data'!$C:$O,9,0)),"")</f>
        <v/>
      </c>
    </row>
    <row r="1728" spans="4:17" ht="12.75" customHeight="1" x14ac:dyDescent="0.2">
      <c r="D1728" s="58" t="str">
        <f>IFERROR(IF(F1728&lt;&gt;"pending","",IF(OR($B1728="",$B1728="(blank)"),"",VLOOKUP($B1728,'Email Marketing Raw Data'!$C:$O,10,0))),"")</f>
        <v/>
      </c>
      <c r="E1728" s="59" t="str">
        <f>IFERROR(IF(F1728&lt;&gt;"pending","",IF(OR($B1728="",$B1728="(blank)"),"",VLOOKUP($B1728,'Email Marketing Raw Data'!$C:$O,11,0))),"")</f>
        <v/>
      </c>
      <c r="F1728" s="54" t="str">
        <f>IFERROR(IF(OR($B1728="",$B1728="(blank)"),"",VLOOKUP($B1728,'Email Marketing Raw Data'!$C:$O,13,0)),"")</f>
        <v/>
      </c>
      <c r="G1728" s="55" t="str">
        <f>IFERROR(IF(OR($B1728="",$B1728="(blank)"),"",VLOOKUP($B1728,'Email Marketing Raw Data'!$C:$O,4,0)),"")</f>
        <v/>
      </c>
      <c r="H1728" s="55" t="str">
        <f>IFERROR(IF(OR($B1728="",$B1728="(blank)"),"",VLOOKUP($B1728,'Email Marketing Raw Data'!$C:$O,5,0)),"")</f>
        <v/>
      </c>
      <c r="I1728" s="55" t="str">
        <f>IFERROR(IF($G1728="","",VLOOKUP('Dashboard And Emails Automate'!$G1728,Database!$H:$N,3,0)),"")</f>
        <v/>
      </c>
      <c r="J1728" s="55" t="str">
        <f>IFERROR(IF($G1728="","",VLOOKUP('Dashboard And Emails Automate'!$G1728,Database!$H:$N,4,0)),"")</f>
        <v/>
      </c>
      <c r="K1728" s="55" t="str">
        <f>IFERROR(IF($G1728="","",VLOOKUP('Dashboard And Emails Automate'!$G1728,Database!$H:$N,5,0)),"")</f>
        <v/>
      </c>
      <c r="L1728" s="55" t="str">
        <f>IFERROR(IF($G1728="","",VLOOKUP('Dashboard And Emails Automate'!$G1728,Database!$H:$N,6,0)),"")</f>
        <v/>
      </c>
      <c r="M1728" s="55" t="str">
        <f>IFERROR(IF($G1728="","",VLOOKUP('Dashboard And Emails Automate'!$G1728,Database!$H:$N,7,0)),"")</f>
        <v/>
      </c>
      <c r="N1728" s="55" t="str">
        <f>IFERROR(IF(OR($B1728="",$B1728="(blank)"),"",VLOOKUP($B1728,'Email Marketing Raw Data'!$C:$O,6,0)),"")</f>
        <v/>
      </c>
      <c r="O1728" s="55" t="str">
        <f>IFERROR(IF(OR($B1728="",$B1728="(blank)"),"",VLOOKUP($B1728,'Email Marketing Raw Data'!$C:$O,7,0)),"")</f>
        <v/>
      </c>
      <c r="P1728" s="55" t="str">
        <f>IFERROR(IF(OR($B1728="",$B1728="(blank)"),"",VLOOKUP($B1728,'Email Marketing Raw Data'!$C:$O,8,0)),"")</f>
        <v/>
      </c>
      <c r="Q1728" s="62" t="str">
        <f>IFERROR(IF(OR($B1728="",$B1728="(blank)"),"",VLOOKUP($B1728,'Email Marketing Raw Data'!$C:$O,9,0)),"")</f>
        <v/>
      </c>
    </row>
    <row r="1729" spans="4:17" ht="12.75" customHeight="1" x14ac:dyDescent="0.2">
      <c r="D1729" s="58" t="str">
        <f>IFERROR(IF(F1729&lt;&gt;"pending","",IF(OR($B1729="",$B1729="(blank)"),"",VLOOKUP($B1729,'Email Marketing Raw Data'!$C:$O,10,0))),"")</f>
        <v/>
      </c>
      <c r="E1729" s="59" t="str">
        <f>IFERROR(IF(F1729&lt;&gt;"pending","",IF(OR($B1729="",$B1729="(blank)"),"",VLOOKUP($B1729,'Email Marketing Raw Data'!$C:$O,11,0))),"")</f>
        <v/>
      </c>
      <c r="F1729" s="54" t="str">
        <f>IFERROR(IF(OR($B1729="",$B1729="(blank)"),"",VLOOKUP($B1729,'Email Marketing Raw Data'!$C:$O,13,0)),"")</f>
        <v/>
      </c>
      <c r="G1729" s="55" t="str">
        <f>IFERROR(IF(OR($B1729="",$B1729="(blank)"),"",VLOOKUP($B1729,'Email Marketing Raw Data'!$C:$O,4,0)),"")</f>
        <v/>
      </c>
      <c r="H1729" s="55" t="str">
        <f>IFERROR(IF(OR($B1729="",$B1729="(blank)"),"",VLOOKUP($B1729,'Email Marketing Raw Data'!$C:$O,5,0)),"")</f>
        <v/>
      </c>
      <c r="I1729" s="55" t="str">
        <f>IFERROR(IF($G1729="","",VLOOKUP('Dashboard And Emails Automate'!$G1729,Database!$H:$N,3,0)),"")</f>
        <v/>
      </c>
      <c r="J1729" s="55" t="str">
        <f>IFERROR(IF($G1729="","",VLOOKUP('Dashboard And Emails Automate'!$G1729,Database!$H:$N,4,0)),"")</f>
        <v/>
      </c>
      <c r="K1729" s="55" t="str">
        <f>IFERROR(IF($G1729="","",VLOOKUP('Dashboard And Emails Automate'!$G1729,Database!$H:$N,5,0)),"")</f>
        <v/>
      </c>
      <c r="L1729" s="55" t="str">
        <f>IFERROR(IF($G1729="","",VLOOKUP('Dashboard And Emails Automate'!$G1729,Database!$H:$N,6,0)),"")</f>
        <v/>
      </c>
      <c r="M1729" s="55" t="str">
        <f>IFERROR(IF($G1729="","",VLOOKUP('Dashboard And Emails Automate'!$G1729,Database!$H:$N,7,0)),"")</f>
        <v/>
      </c>
      <c r="N1729" s="55" t="str">
        <f>IFERROR(IF(OR($B1729="",$B1729="(blank)"),"",VLOOKUP($B1729,'Email Marketing Raw Data'!$C:$O,6,0)),"")</f>
        <v/>
      </c>
      <c r="O1729" s="55" t="str">
        <f>IFERROR(IF(OR($B1729="",$B1729="(blank)"),"",VLOOKUP($B1729,'Email Marketing Raw Data'!$C:$O,7,0)),"")</f>
        <v/>
      </c>
      <c r="P1729" s="55" t="str">
        <f>IFERROR(IF(OR($B1729="",$B1729="(blank)"),"",VLOOKUP($B1729,'Email Marketing Raw Data'!$C:$O,8,0)),"")</f>
        <v/>
      </c>
      <c r="Q1729" s="62" t="str">
        <f>IFERROR(IF(OR($B1729="",$B1729="(blank)"),"",VLOOKUP($B1729,'Email Marketing Raw Data'!$C:$O,9,0)),"")</f>
        <v/>
      </c>
    </row>
    <row r="1730" spans="4:17" ht="12.75" customHeight="1" x14ac:dyDescent="0.2">
      <c r="D1730" s="58" t="str">
        <f>IFERROR(IF(F1730&lt;&gt;"pending","",IF(OR($B1730="",$B1730="(blank)"),"",VLOOKUP($B1730,'Email Marketing Raw Data'!$C:$O,10,0))),"")</f>
        <v/>
      </c>
      <c r="E1730" s="59" t="str">
        <f>IFERROR(IF(F1730&lt;&gt;"pending","",IF(OR($B1730="",$B1730="(blank)"),"",VLOOKUP($B1730,'Email Marketing Raw Data'!$C:$O,11,0))),"")</f>
        <v/>
      </c>
      <c r="F1730" s="54" t="str">
        <f>IFERROR(IF(OR($B1730="",$B1730="(blank)"),"",VLOOKUP($B1730,'Email Marketing Raw Data'!$C:$O,13,0)),"")</f>
        <v/>
      </c>
      <c r="G1730" s="55" t="str">
        <f>IFERROR(IF(OR($B1730="",$B1730="(blank)"),"",VLOOKUP($B1730,'Email Marketing Raw Data'!$C:$O,4,0)),"")</f>
        <v/>
      </c>
      <c r="H1730" s="55" t="str">
        <f>IFERROR(IF(OR($B1730="",$B1730="(blank)"),"",VLOOKUP($B1730,'Email Marketing Raw Data'!$C:$O,5,0)),"")</f>
        <v/>
      </c>
      <c r="I1730" s="55" t="str">
        <f>IFERROR(IF($G1730="","",VLOOKUP('Dashboard And Emails Automate'!$G1730,Database!$H:$N,3,0)),"")</f>
        <v/>
      </c>
      <c r="J1730" s="55" t="str">
        <f>IFERROR(IF($G1730="","",VLOOKUP('Dashboard And Emails Automate'!$G1730,Database!$H:$N,4,0)),"")</f>
        <v/>
      </c>
      <c r="K1730" s="55" t="str">
        <f>IFERROR(IF($G1730="","",VLOOKUP('Dashboard And Emails Automate'!$G1730,Database!$H:$N,5,0)),"")</f>
        <v/>
      </c>
      <c r="L1730" s="55" t="str">
        <f>IFERROR(IF($G1730="","",VLOOKUP('Dashboard And Emails Automate'!$G1730,Database!$H:$N,6,0)),"")</f>
        <v/>
      </c>
      <c r="M1730" s="55" t="str">
        <f>IFERROR(IF($G1730="","",VLOOKUP('Dashboard And Emails Automate'!$G1730,Database!$H:$N,7,0)),"")</f>
        <v/>
      </c>
      <c r="N1730" s="55" t="str">
        <f>IFERROR(IF(OR($B1730="",$B1730="(blank)"),"",VLOOKUP($B1730,'Email Marketing Raw Data'!$C:$O,6,0)),"")</f>
        <v/>
      </c>
      <c r="O1730" s="55" t="str">
        <f>IFERROR(IF(OR($B1730="",$B1730="(blank)"),"",VLOOKUP($B1730,'Email Marketing Raw Data'!$C:$O,7,0)),"")</f>
        <v/>
      </c>
      <c r="P1730" s="55" t="str">
        <f>IFERROR(IF(OR($B1730="",$B1730="(blank)"),"",VLOOKUP($B1730,'Email Marketing Raw Data'!$C:$O,8,0)),"")</f>
        <v/>
      </c>
      <c r="Q1730" s="62" t="str">
        <f>IFERROR(IF(OR($B1730="",$B1730="(blank)"),"",VLOOKUP($B1730,'Email Marketing Raw Data'!$C:$O,9,0)),"")</f>
        <v/>
      </c>
    </row>
    <row r="1731" spans="4:17" ht="12.75" customHeight="1" x14ac:dyDescent="0.2">
      <c r="D1731" s="58" t="str">
        <f>IFERROR(IF(F1731&lt;&gt;"pending","",IF(OR($B1731="",$B1731="(blank)"),"",VLOOKUP($B1731,'Email Marketing Raw Data'!$C:$O,10,0))),"")</f>
        <v/>
      </c>
      <c r="E1731" s="59" t="str">
        <f>IFERROR(IF(F1731&lt;&gt;"pending","",IF(OR($B1731="",$B1731="(blank)"),"",VLOOKUP($B1731,'Email Marketing Raw Data'!$C:$O,11,0))),"")</f>
        <v/>
      </c>
      <c r="F1731" s="54" t="str">
        <f>IFERROR(IF(OR($B1731="",$B1731="(blank)"),"",VLOOKUP($B1731,'Email Marketing Raw Data'!$C:$O,13,0)),"")</f>
        <v/>
      </c>
      <c r="G1731" s="55" t="str">
        <f>IFERROR(IF(OR($B1731="",$B1731="(blank)"),"",VLOOKUP($B1731,'Email Marketing Raw Data'!$C:$O,4,0)),"")</f>
        <v/>
      </c>
      <c r="H1731" s="55" t="str">
        <f>IFERROR(IF(OR($B1731="",$B1731="(blank)"),"",VLOOKUP($B1731,'Email Marketing Raw Data'!$C:$O,5,0)),"")</f>
        <v/>
      </c>
      <c r="I1731" s="55" t="str">
        <f>IFERROR(IF($G1731="","",VLOOKUP('Dashboard And Emails Automate'!$G1731,Database!$H:$N,3,0)),"")</f>
        <v/>
      </c>
      <c r="J1731" s="55" t="str">
        <f>IFERROR(IF($G1731="","",VLOOKUP('Dashboard And Emails Automate'!$G1731,Database!$H:$N,4,0)),"")</f>
        <v/>
      </c>
      <c r="K1731" s="55" t="str">
        <f>IFERROR(IF($G1731="","",VLOOKUP('Dashboard And Emails Automate'!$G1731,Database!$H:$N,5,0)),"")</f>
        <v/>
      </c>
      <c r="L1731" s="55" t="str">
        <f>IFERROR(IF($G1731="","",VLOOKUP('Dashboard And Emails Automate'!$G1731,Database!$H:$N,6,0)),"")</f>
        <v/>
      </c>
      <c r="M1731" s="55" t="str">
        <f>IFERROR(IF($G1731="","",VLOOKUP('Dashboard And Emails Automate'!$G1731,Database!$H:$N,7,0)),"")</f>
        <v/>
      </c>
      <c r="N1731" s="55" t="str">
        <f>IFERROR(IF(OR($B1731="",$B1731="(blank)"),"",VLOOKUP($B1731,'Email Marketing Raw Data'!$C:$O,6,0)),"")</f>
        <v/>
      </c>
      <c r="O1731" s="55" t="str">
        <f>IFERROR(IF(OR($B1731="",$B1731="(blank)"),"",VLOOKUP($B1731,'Email Marketing Raw Data'!$C:$O,7,0)),"")</f>
        <v/>
      </c>
      <c r="P1731" s="55" t="str">
        <f>IFERROR(IF(OR($B1731="",$B1731="(blank)"),"",VLOOKUP($B1731,'Email Marketing Raw Data'!$C:$O,8,0)),"")</f>
        <v/>
      </c>
      <c r="Q1731" s="62" t="str">
        <f>IFERROR(IF(OR($B1731="",$B1731="(blank)"),"",VLOOKUP($B1731,'Email Marketing Raw Data'!$C:$O,9,0)),"")</f>
        <v/>
      </c>
    </row>
    <row r="1732" spans="4:17" ht="12.75" customHeight="1" x14ac:dyDescent="0.2">
      <c r="D1732" s="58" t="str">
        <f>IFERROR(IF(F1732&lt;&gt;"pending","",IF(OR($B1732="",$B1732="(blank)"),"",VLOOKUP($B1732,'Email Marketing Raw Data'!$C:$O,10,0))),"")</f>
        <v/>
      </c>
      <c r="E1732" s="59" t="str">
        <f>IFERROR(IF(F1732&lt;&gt;"pending","",IF(OR($B1732="",$B1732="(blank)"),"",VLOOKUP($B1732,'Email Marketing Raw Data'!$C:$O,11,0))),"")</f>
        <v/>
      </c>
      <c r="F1732" s="54" t="str">
        <f>IFERROR(IF(OR($B1732="",$B1732="(blank)"),"",VLOOKUP($B1732,'Email Marketing Raw Data'!$C:$O,13,0)),"")</f>
        <v/>
      </c>
      <c r="G1732" s="55" t="str">
        <f>IFERROR(IF(OR($B1732="",$B1732="(blank)"),"",VLOOKUP($B1732,'Email Marketing Raw Data'!$C:$O,4,0)),"")</f>
        <v/>
      </c>
      <c r="H1732" s="55" t="str">
        <f>IFERROR(IF(OR($B1732="",$B1732="(blank)"),"",VLOOKUP($B1732,'Email Marketing Raw Data'!$C:$O,5,0)),"")</f>
        <v/>
      </c>
      <c r="I1732" s="55" t="str">
        <f>IFERROR(IF($G1732="","",VLOOKUP('Dashboard And Emails Automate'!$G1732,Database!$H:$N,3,0)),"")</f>
        <v/>
      </c>
      <c r="J1732" s="55" t="str">
        <f>IFERROR(IF($G1732="","",VLOOKUP('Dashboard And Emails Automate'!$G1732,Database!$H:$N,4,0)),"")</f>
        <v/>
      </c>
      <c r="K1732" s="55" t="str">
        <f>IFERROR(IF($G1732="","",VLOOKUP('Dashboard And Emails Automate'!$G1732,Database!$H:$N,5,0)),"")</f>
        <v/>
      </c>
      <c r="L1732" s="55" t="str">
        <f>IFERROR(IF($G1732="","",VLOOKUP('Dashboard And Emails Automate'!$G1732,Database!$H:$N,6,0)),"")</f>
        <v/>
      </c>
      <c r="M1732" s="55" t="str">
        <f>IFERROR(IF($G1732="","",VLOOKUP('Dashboard And Emails Automate'!$G1732,Database!$H:$N,7,0)),"")</f>
        <v/>
      </c>
      <c r="N1732" s="55" t="str">
        <f>IFERROR(IF(OR($B1732="",$B1732="(blank)"),"",VLOOKUP($B1732,'Email Marketing Raw Data'!$C:$O,6,0)),"")</f>
        <v/>
      </c>
      <c r="O1732" s="55" t="str">
        <f>IFERROR(IF(OR($B1732="",$B1732="(blank)"),"",VLOOKUP($B1732,'Email Marketing Raw Data'!$C:$O,7,0)),"")</f>
        <v/>
      </c>
      <c r="P1732" s="55" t="str">
        <f>IFERROR(IF(OR($B1732="",$B1732="(blank)"),"",VLOOKUP($B1732,'Email Marketing Raw Data'!$C:$O,8,0)),"")</f>
        <v/>
      </c>
      <c r="Q1732" s="62" t="str">
        <f>IFERROR(IF(OR($B1732="",$B1732="(blank)"),"",VLOOKUP($B1732,'Email Marketing Raw Data'!$C:$O,9,0)),"")</f>
        <v/>
      </c>
    </row>
    <row r="1733" spans="4:17" ht="12.75" customHeight="1" x14ac:dyDescent="0.2">
      <c r="D1733" s="58" t="str">
        <f>IFERROR(IF(F1733&lt;&gt;"pending","",IF(OR($B1733="",$B1733="(blank)"),"",VLOOKUP($B1733,'Email Marketing Raw Data'!$C:$O,10,0))),"")</f>
        <v/>
      </c>
      <c r="E1733" s="59" t="str">
        <f>IFERROR(IF(F1733&lt;&gt;"pending","",IF(OR($B1733="",$B1733="(blank)"),"",VLOOKUP($B1733,'Email Marketing Raw Data'!$C:$O,11,0))),"")</f>
        <v/>
      </c>
      <c r="F1733" s="54" t="str">
        <f>IFERROR(IF(OR($B1733="",$B1733="(blank)"),"",VLOOKUP($B1733,'Email Marketing Raw Data'!$C:$O,13,0)),"")</f>
        <v/>
      </c>
      <c r="G1733" s="55" t="str">
        <f>IFERROR(IF(OR($B1733="",$B1733="(blank)"),"",VLOOKUP($B1733,'Email Marketing Raw Data'!$C:$O,4,0)),"")</f>
        <v/>
      </c>
      <c r="H1733" s="55" t="str">
        <f>IFERROR(IF(OR($B1733="",$B1733="(blank)"),"",VLOOKUP($B1733,'Email Marketing Raw Data'!$C:$O,5,0)),"")</f>
        <v/>
      </c>
      <c r="I1733" s="55" t="str">
        <f>IFERROR(IF($G1733="","",VLOOKUP('Dashboard And Emails Automate'!$G1733,Database!$H:$N,3,0)),"")</f>
        <v/>
      </c>
      <c r="J1733" s="55" t="str">
        <f>IFERROR(IF($G1733="","",VLOOKUP('Dashboard And Emails Automate'!$G1733,Database!$H:$N,4,0)),"")</f>
        <v/>
      </c>
      <c r="K1733" s="55" t="str">
        <f>IFERROR(IF($G1733="","",VLOOKUP('Dashboard And Emails Automate'!$G1733,Database!$H:$N,5,0)),"")</f>
        <v/>
      </c>
      <c r="L1733" s="55" t="str">
        <f>IFERROR(IF($G1733="","",VLOOKUP('Dashboard And Emails Automate'!$G1733,Database!$H:$N,6,0)),"")</f>
        <v/>
      </c>
      <c r="M1733" s="55" t="str">
        <f>IFERROR(IF($G1733="","",VLOOKUP('Dashboard And Emails Automate'!$G1733,Database!$H:$N,7,0)),"")</f>
        <v/>
      </c>
      <c r="N1733" s="55" t="str">
        <f>IFERROR(IF(OR($B1733="",$B1733="(blank)"),"",VLOOKUP($B1733,'Email Marketing Raw Data'!$C:$O,6,0)),"")</f>
        <v/>
      </c>
      <c r="O1733" s="55" t="str">
        <f>IFERROR(IF(OR($B1733="",$B1733="(blank)"),"",VLOOKUP($B1733,'Email Marketing Raw Data'!$C:$O,7,0)),"")</f>
        <v/>
      </c>
      <c r="P1733" s="55" t="str">
        <f>IFERROR(IF(OR($B1733="",$B1733="(blank)"),"",VLOOKUP($B1733,'Email Marketing Raw Data'!$C:$O,8,0)),"")</f>
        <v/>
      </c>
      <c r="Q1733" s="62" t="str">
        <f>IFERROR(IF(OR($B1733="",$B1733="(blank)"),"",VLOOKUP($B1733,'Email Marketing Raw Data'!$C:$O,9,0)),"")</f>
        <v/>
      </c>
    </row>
    <row r="1734" spans="4:17" ht="12.75" customHeight="1" x14ac:dyDescent="0.2">
      <c r="D1734" s="58" t="str">
        <f>IFERROR(IF(F1734&lt;&gt;"pending","",IF(OR($B1734="",$B1734="(blank)"),"",VLOOKUP($B1734,'Email Marketing Raw Data'!$C:$O,10,0))),"")</f>
        <v/>
      </c>
      <c r="E1734" s="59" t="str">
        <f>IFERROR(IF(F1734&lt;&gt;"pending","",IF(OR($B1734="",$B1734="(blank)"),"",VLOOKUP($B1734,'Email Marketing Raw Data'!$C:$O,11,0))),"")</f>
        <v/>
      </c>
      <c r="F1734" s="54" t="str">
        <f>IFERROR(IF(OR($B1734="",$B1734="(blank)"),"",VLOOKUP($B1734,'Email Marketing Raw Data'!$C:$O,13,0)),"")</f>
        <v/>
      </c>
      <c r="G1734" s="55" t="str">
        <f>IFERROR(IF(OR($B1734="",$B1734="(blank)"),"",VLOOKUP($B1734,'Email Marketing Raw Data'!$C:$O,4,0)),"")</f>
        <v/>
      </c>
      <c r="H1734" s="55" t="str">
        <f>IFERROR(IF(OR($B1734="",$B1734="(blank)"),"",VLOOKUP($B1734,'Email Marketing Raw Data'!$C:$O,5,0)),"")</f>
        <v/>
      </c>
      <c r="I1734" s="55" t="str">
        <f>IFERROR(IF($G1734="","",VLOOKUP('Dashboard And Emails Automate'!$G1734,Database!$H:$N,3,0)),"")</f>
        <v/>
      </c>
      <c r="J1734" s="55" t="str">
        <f>IFERROR(IF($G1734="","",VLOOKUP('Dashboard And Emails Automate'!$G1734,Database!$H:$N,4,0)),"")</f>
        <v/>
      </c>
      <c r="K1734" s="55" t="str">
        <f>IFERROR(IF($G1734="","",VLOOKUP('Dashboard And Emails Automate'!$G1734,Database!$H:$N,5,0)),"")</f>
        <v/>
      </c>
      <c r="L1734" s="55" t="str">
        <f>IFERROR(IF($G1734="","",VLOOKUP('Dashboard And Emails Automate'!$G1734,Database!$H:$N,6,0)),"")</f>
        <v/>
      </c>
      <c r="M1734" s="55" t="str">
        <f>IFERROR(IF($G1734="","",VLOOKUP('Dashboard And Emails Automate'!$G1734,Database!$H:$N,7,0)),"")</f>
        <v/>
      </c>
      <c r="N1734" s="55" t="str">
        <f>IFERROR(IF(OR($B1734="",$B1734="(blank)"),"",VLOOKUP($B1734,'Email Marketing Raw Data'!$C:$O,6,0)),"")</f>
        <v/>
      </c>
      <c r="O1734" s="55" t="str">
        <f>IFERROR(IF(OR($B1734="",$B1734="(blank)"),"",VLOOKUP($B1734,'Email Marketing Raw Data'!$C:$O,7,0)),"")</f>
        <v/>
      </c>
      <c r="P1734" s="55" t="str">
        <f>IFERROR(IF(OR($B1734="",$B1734="(blank)"),"",VLOOKUP($B1734,'Email Marketing Raw Data'!$C:$O,8,0)),"")</f>
        <v/>
      </c>
      <c r="Q1734" s="62" t="str">
        <f>IFERROR(IF(OR($B1734="",$B1734="(blank)"),"",VLOOKUP($B1734,'Email Marketing Raw Data'!$C:$O,9,0)),"")</f>
        <v/>
      </c>
    </row>
    <row r="1735" spans="4:17" ht="12.75" customHeight="1" x14ac:dyDescent="0.2">
      <c r="D1735" s="58" t="str">
        <f>IFERROR(IF(F1735&lt;&gt;"pending","",IF(OR($B1735="",$B1735="(blank)"),"",VLOOKUP($B1735,'Email Marketing Raw Data'!$C:$O,10,0))),"")</f>
        <v/>
      </c>
      <c r="E1735" s="59" t="str">
        <f>IFERROR(IF(F1735&lt;&gt;"pending","",IF(OR($B1735="",$B1735="(blank)"),"",VLOOKUP($B1735,'Email Marketing Raw Data'!$C:$O,11,0))),"")</f>
        <v/>
      </c>
      <c r="F1735" s="54" t="str">
        <f>IFERROR(IF(OR($B1735="",$B1735="(blank)"),"",VLOOKUP($B1735,'Email Marketing Raw Data'!$C:$O,13,0)),"")</f>
        <v/>
      </c>
      <c r="G1735" s="55" t="str">
        <f>IFERROR(IF(OR($B1735="",$B1735="(blank)"),"",VLOOKUP($B1735,'Email Marketing Raw Data'!$C:$O,4,0)),"")</f>
        <v/>
      </c>
      <c r="H1735" s="55" t="str">
        <f>IFERROR(IF(OR($B1735="",$B1735="(blank)"),"",VLOOKUP($B1735,'Email Marketing Raw Data'!$C:$O,5,0)),"")</f>
        <v/>
      </c>
      <c r="I1735" s="55" t="str">
        <f>IFERROR(IF($G1735="","",VLOOKUP('Dashboard And Emails Automate'!$G1735,Database!$H:$N,3,0)),"")</f>
        <v/>
      </c>
      <c r="J1735" s="55" t="str">
        <f>IFERROR(IF($G1735="","",VLOOKUP('Dashboard And Emails Automate'!$G1735,Database!$H:$N,4,0)),"")</f>
        <v/>
      </c>
      <c r="K1735" s="55" t="str">
        <f>IFERROR(IF($G1735="","",VLOOKUP('Dashboard And Emails Automate'!$G1735,Database!$H:$N,5,0)),"")</f>
        <v/>
      </c>
      <c r="L1735" s="55" t="str">
        <f>IFERROR(IF($G1735="","",VLOOKUP('Dashboard And Emails Automate'!$G1735,Database!$H:$N,6,0)),"")</f>
        <v/>
      </c>
      <c r="M1735" s="55" t="str">
        <f>IFERROR(IF($G1735="","",VLOOKUP('Dashboard And Emails Automate'!$G1735,Database!$H:$N,7,0)),"")</f>
        <v/>
      </c>
      <c r="N1735" s="55" t="str">
        <f>IFERROR(IF(OR($B1735="",$B1735="(blank)"),"",VLOOKUP($B1735,'Email Marketing Raw Data'!$C:$O,6,0)),"")</f>
        <v/>
      </c>
      <c r="O1735" s="55" t="str">
        <f>IFERROR(IF(OR($B1735="",$B1735="(blank)"),"",VLOOKUP($B1735,'Email Marketing Raw Data'!$C:$O,7,0)),"")</f>
        <v/>
      </c>
      <c r="P1735" s="55" t="str">
        <f>IFERROR(IF(OR($B1735="",$B1735="(blank)"),"",VLOOKUP($B1735,'Email Marketing Raw Data'!$C:$O,8,0)),"")</f>
        <v/>
      </c>
      <c r="Q1735" s="62" t="str">
        <f>IFERROR(IF(OR($B1735="",$B1735="(blank)"),"",VLOOKUP($B1735,'Email Marketing Raw Data'!$C:$O,9,0)),"")</f>
        <v/>
      </c>
    </row>
    <row r="1736" spans="4:17" ht="12.75" customHeight="1" x14ac:dyDescent="0.2">
      <c r="D1736" s="58" t="str">
        <f>IFERROR(IF(F1736&lt;&gt;"pending","",IF(OR($B1736="",$B1736="(blank)"),"",VLOOKUP($B1736,'Email Marketing Raw Data'!$C:$O,10,0))),"")</f>
        <v/>
      </c>
      <c r="E1736" s="59" t="str">
        <f>IFERROR(IF(F1736&lt;&gt;"pending","",IF(OR($B1736="",$B1736="(blank)"),"",VLOOKUP($B1736,'Email Marketing Raw Data'!$C:$O,11,0))),"")</f>
        <v/>
      </c>
      <c r="F1736" s="54" t="str">
        <f>IFERROR(IF(OR($B1736="",$B1736="(blank)"),"",VLOOKUP($B1736,'Email Marketing Raw Data'!$C:$O,13,0)),"")</f>
        <v/>
      </c>
      <c r="G1736" s="55" t="str">
        <f>IFERROR(IF(OR($B1736="",$B1736="(blank)"),"",VLOOKUP($B1736,'Email Marketing Raw Data'!$C:$O,4,0)),"")</f>
        <v/>
      </c>
      <c r="H1736" s="55" t="str">
        <f>IFERROR(IF(OR($B1736="",$B1736="(blank)"),"",VLOOKUP($B1736,'Email Marketing Raw Data'!$C:$O,5,0)),"")</f>
        <v/>
      </c>
      <c r="I1736" s="55" t="str">
        <f>IFERROR(IF($G1736="","",VLOOKUP('Dashboard And Emails Automate'!$G1736,Database!$H:$N,3,0)),"")</f>
        <v/>
      </c>
      <c r="J1736" s="55" t="str">
        <f>IFERROR(IF($G1736="","",VLOOKUP('Dashboard And Emails Automate'!$G1736,Database!$H:$N,4,0)),"")</f>
        <v/>
      </c>
      <c r="K1736" s="55" t="str">
        <f>IFERROR(IF($G1736="","",VLOOKUP('Dashboard And Emails Automate'!$G1736,Database!$H:$N,5,0)),"")</f>
        <v/>
      </c>
      <c r="L1736" s="55" t="str">
        <f>IFERROR(IF($G1736="","",VLOOKUP('Dashboard And Emails Automate'!$G1736,Database!$H:$N,6,0)),"")</f>
        <v/>
      </c>
      <c r="M1736" s="55" t="str">
        <f>IFERROR(IF($G1736="","",VLOOKUP('Dashboard And Emails Automate'!$G1736,Database!$H:$N,7,0)),"")</f>
        <v/>
      </c>
      <c r="N1736" s="55" t="str">
        <f>IFERROR(IF(OR($B1736="",$B1736="(blank)"),"",VLOOKUP($B1736,'Email Marketing Raw Data'!$C:$O,6,0)),"")</f>
        <v/>
      </c>
      <c r="O1736" s="55" t="str">
        <f>IFERROR(IF(OR($B1736="",$B1736="(blank)"),"",VLOOKUP($B1736,'Email Marketing Raw Data'!$C:$O,7,0)),"")</f>
        <v/>
      </c>
      <c r="P1736" s="55" t="str">
        <f>IFERROR(IF(OR($B1736="",$B1736="(blank)"),"",VLOOKUP($B1736,'Email Marketing Raw Data'!$C:$O,8,0)),"")</f>
        <v/>
      </c>
      <c r="Q1736" s="62" t="str">
        <f>IFERROR(IF(OR($B1736="",$B1736="(blank)"),"",VLOOKUP($B1736,'Email Marketing Raw Data'!$C:$O,9,0)),"")</f>
        <v/>
      </c>
    </row>
    <row r="1737" spans="4:17" ht="12.75" customHeight="1" x14ac:dyDescent="0.2">
      <c r="D1737" s="58" t="str">
        <f>IFERROR(IF(F1737&lt;&gt;"pending","",IF(OR($B1737="",$B1737="(blank)"),"",VLOOKUP($B1737,'Email Marketing Raw Data'!$C:$O,10,0))),"")</f>
        <v/>
      </c>
      <c r="E1737" s="59" t="str">
        <f>IFERROR(IF(F1737&lt;&gt;"pending","",IF(OR($B1737="",$B1737="(blank)"),"",VLOOKUP($B1737,'Email Marketing Raw Data'!$C:$O,11,0))),"")</f>
        <v/>
      </c>
      <c r="F1737" s="54" t="str">
        <f>IFERROR(IF(OR($B1737="",$B1737="(blank)"),"",VLOOKUP($B1737,'Email Marketing Raw Data'!$C:$O,13,0)),"")</f>
        <v/>
      </c>
      <c r="G1737" s="55" t="str">
        <f>IFERROR(IF(OR($B1737="",$B1737="(blank)"),"",VLOOKUP($B1737,'Email Marketing Raw Data'!$C:$O,4,0)),"")</f>
        <v/>
      </c>
      <c r="H1737" s="55" t="str">
        <f>IFERROR(IF(OR($B1737="",$B1737="(blank)"),"",VLOOKUP($B1737,'Email Marketing Raw Data'!$C:$O,5,0)),"")</f>
        <v/>
      </c>
      <c r="I1737" s="55" t="str">
        <f>IFERROR(IF($G1737="","",VLOOKUP('Dashboard And Emails Automate'!$G1737,Database!$H:$N,3,0)),"")</f>
        <v/>
      </c>
      <c r="J1737" s="55" t="str">
        <f>IFERROR(IF($G1737="","",VLOOKUP('Dashboard And Emails Automate'!$G1737,Database!$H:$N,4,0)),"")</f>
        <v/>
      </c>
      <c r="K1737" s="55" t="str">
        <f>IFERROR(IF($G1737="","",VLOOKUP('Dashboard And Emails Automate'!$G1737,Database!$H:$N,5,0)),"")</f>
        <v/>
      </c>
      <c r="L1737" s="55" t="str">
        <f>IFERROR(IF($G1737="","",VLOOKUP('Dashboard And Emails Automate'!$G1737,Database!$H:$N,6,0)),"")</f>
        <v/>
      </c>
      <c r="M1737" s="55" t="str">
        <f>IFERROR(IF($G1737="","",VLOOKUP('Dashboard And Emails Automate'!$G1737,Database!$H:$N,7,0)),"")</f>
        <v/>
      </c>
      <c r="N1737" s="55" t="str">
        <f>IFERROR(IF(OR($B1737="",$B1737="(blank)"),"",VLOOKUP($B1737,'Email Marketing Raw Data'!$C:$O,6,0)),"")</f>
        <v/>
      </c>
      <c r="O1737" s="55" t="str">
        <f>IFERROR(IF(OR($B1737="",$B1737="(blank)"),"",VLOOKUP($B1737,'Email Marketing Raw Data'!$C:$O,7,0)),"")</f>
        <v/>
      </c>
      <c r="P1737" s="55" t="str">
        <f>IFERROR(IF(OR($B1737="",$B1737="(blank)"),"",VLOOKUP($B1737,'Email Marketing Raw Data'!$C:$O,8,0)),"")</f>
        <v/>
      </c>
      <c r="Q1737" s="62" t="str">
        <f>IFERROR(IF(OR($B1737="",$B1737="(blank)"),"",VLOOKUP($B1737,'Email Marketing Raw Data'!$C:$O,9,0)),"")</f>
        <v/>
      </c>
    </row>
    <row r="1738" spans="4:17" ht="12.75" customHeight="1" x14ac:dyDescent="0.2">
      <c r="D1738" s="58" t="str">
        <f>IFERROR(IF(F1738&lt;&gt;"pending","",IF(OR($B1738="",$B1738="(blank)"),"",VLOOKUP($B1738,'Email Marketing Raw Data'!$C:$O,10,0))),"")</f>
        <v/>
      </c>
      <c r="E1738" s="59" t="str">
        <f>IFERROR(IF(F1738&lt;&gt;"pending","",IF(OR($B1738="",$B1738="(blank)"),"",VLOOKUP($B1738,'Email Marketing Raw Data'!$C:$O,11,0))),"")</f>
        <v/>
      </c>
      <c r="F1738" s="54" t="str">
        <f>IFERROR(IF(OR($B1738="",$B1738="(blank)"),"",VLOOKUP($B1738,'Email Marketing Raw Data'!$C:$O,13,0)),"")</f>
        <v/>
      </c>
      <c r="G1738" s="55" t="str">
        <f>IFERROR(IF(OR($B1738="",$B1738="(blank)"),"",VLOOKUP($B1738,'Email Marketing Raw Data'!$C:$O,4,0)),"")</f>
        <v/>
      </c>
      <c r="H1738" s="55" t="str">
        <f>IFERROR(IF(OR($B1738="",$B1738="(blank)"),"",VLOOKUP($B1738,'Email Marketing Raw Data'!$C:$O,5,0)),"")</f>
        <v/>
      </c>
      <c r="I1738" s="55" t="str">
        <f>IFERROR(IF($G1738="","",VLOOKUP('Dashboard And Emails Automate'!$G1738,Database!$H:$N,3,0)),"")</f>
        <v/>
      </c>
      <c r="J1738" s="55" t="str">
        <f>IFERROR(IF($G1738="","",VLOOKUP('Dashboard And Emails Automate'!$G1738,Database!$H:$N,4,0)),"")</f>
        <v/>
      </c>
      <c r="K1738" s="55" t="str">
        <f>IFERROR(IF($G1738="","",VLOOKUP('Dashboard And Emails Automate'!$G1738,Database!$H:$N,5,0)),"")</f>
        <v/>
      </c>
      <c r="L1738" s="55" t="str">
        <f>IFERROR(IF($G1738="","",VLOOKUP('Dashboard And Emails Automate'!$G1738,Database!$H:$N,6,0)),"")</f>
        <v/>
      </c>
      <c r="M1738" s="55" t="str">
        <f>IFERROR(IF($G1738="","",VLOOKUP('Dashboard And Emails Automate'!$G1738,Database!$H:$N,7,0)),"")</f>
        <v/>
      </c>
      <c r="N1738" s="55" t="str">
        <f>IFERROR(IF(OR($B1738="",$B1738="(blank)"),"",VLOOKUP($B1738,'Email Marketing Raw Data'!$C:$O,6,0)),"")</f>
        <v/>
      </c>
      <c r="O1738" s="55" t="str">
        <f>IFERROR(IF(OR($B1738="",$B1738="(blank)"),"",VLOOKUP($B1738,'Email Marketing Raw Data'!$C:$O,7,0)),"")</f>
        <v/>
      </c>
      <c r="P1738" s="55" t="str">
        <f>IFERROR(IF(OR($B1738="",$B1738="(blank)"),"",VLOOKUP($B1738,'Email Marketing Raw Data'!$C:$O,8,0)),"")</f>
        <v/>
      </c>
      <c r="Q1738" s="62" t="str">
        <f>IFERROR(IF(OR($B1738="",$B1738="(blank)"),"",VLOOKUP($B1738,'Email Marketing Raw Data'!$C:$O,9,0)),"")</f>
        <v/>
      </c>
    </row>
    <row r="1739" spans="4:17" ht="12.75" customHeight="1" x14ac:dyDescent="0.2">
      <c r="D1739" s="58" t="str">
        <f>IFERROR(IF(F1739&lt;&gt;"pending","",IF(OR($B1739="",$B1739="(blank)"),"",VLOOKUP($B1739,'Email Marketing Raw Data'!$C:$O,10,0))),"")</f>
        <v/>
      </c>
      <c r="E1739" s="59" t="str">
        <f>IFERROR(IF(F1739&lt;&gt;"pending","",IF(OR($B1739="",$B1739="(blank)"),"",VLOOKUP($B1739,'Email Marketing Raw Data'!$C:$O,11,0))),"")</f>
        <v/>
      </c>
      <c r="F1739" s="54" t="str">
        <f>IFERROR(IF(OR($B1739="",$B1739="(blank)"),"",VLOOKUP($B1739,'Email Marketing Raw Data'!$C:$O,13,0)),"")</f>
        <v/>
      </c>
      <c r="G1739" s="55" t="str">
        <f>IFERROR(IF(OR($B1739="",$B1739="(blank)"),"",VLOOKUP($B1739,'Email Marketing Raw Data'!$C:$O,4,0)),"")</f>
        <v/>
      </c>
      <c r="H1739" s="55" t="str">
        <f>IFERROR(IF(OR($B1739="",$B1739="(blank)"),"",VLOOKUP($B1739,'Email Marketing Raw Data'!$C:$O,5,0)),"")</f>
        <v/>
      </c>
      <c r="I1739" s="55" t="str">
        <f>IFERROR(IF($G1739="","",VLOOKUP('Dashboard And Emails Automate'!$G1739,Database!$H:$N,3,0)),"")</f>
        <v/>
      </c>
      <c r="J1739" s="55" t="str">
        <f>IFERROR(IF($G1739="","",VLOOKUP('Dashboard And Emails Automate'!$G1739,Database!$H:$N,4,0)),"")</f>
        <v/>
      </c>
      <c r="K1739" s="55" t="str">
        <f>IFERROR(IF($G1739="","",VLOOKUP('Dashboard And Emails Automate'!$G1739,Database!$H:$N,5,0)),"")</f>
        <v/>
      </c>
      <c r="L1739" s="55" t="str">
        <f>IFERROR(IF($G1739="","",VLOOKUP('Dashboard And Emails Automate'!$G1739,Database!$H:$N,6,0)),"")</f>
        <v/>
      </c>
      <c r="M1739" s="55" t="str">
        <f>IFERROR(IF($G1739="","",VLOOKUP('Dashboard And Emails Automate'!$G1739,Database!$H:$N,7,0)),"")</f>
        <v/>
      </c>
      <c r="N1739" s="55" t="str">
        <f>IFERROR(IF(OR($B1739="",$B1739="(blank)"),"",VLOOKUP($B1739,'Email Marketing Raw Data'!$C:$O,6,0)),"")</f>
        <v/>
      </c>
      <c r="O1739" s="55" t="str">
        <f>IFERROR(IF(OR($B1739="",$B1739="(blank)"),"",VLOOKUP($B1739,'Email Marketing Raw Data'!$C:$O,7,0)),"")</f>
        <v/>
      </c>
      <c r="P1739" s="55" t="str">
        <f>IFERROR(IF(OR($B1739="",$B1739="(blank)"),"",VLOOKUP($B1739,'Email Marketing Raw Data'!$C:$O,8,0)),"")</f>
        <v/>
      </c>
      <c r="Q1739" s="62" t="str">
        <f>IFERROR(IF(OR($B1739="",$B1739="(blank)"),"",VLOOKUP($B1739,'Email Marketing Raw Data'!$C:$O,9,0)),"")</f>
        <v/>
      </c>
    </row>
    <row r="1740" spans="4:17" ht="12.75" customHeight="1" x14ac:dyDescent="0.2">
      <c r="D1740" s="58" t="str">
        <f>IFERROR(IF(F1740&lt;&gt;"pending","",IF(OR($B1740="",$B1740="(blank)"),"",VLOOKUP($B1740,'Email Marketing Raw Data'!$C:$O,10,0))),"")</f>
        <v/>
      </c>
      <c r="E1740" s="59" t="str">
        <f>IFERROR(IF(F1740&lt;&gt;"pending","",IF(OR($B1740="",$B1740="(blank)"),"",VLOOKUP($B1740,'Email Marketing Raw Data'!$C:$O,11,0))),"")</f>
        <v/>
      </c>
      <c r="F1740" s="54" t="str">
        <f>IFERROR(IF(OR($B1740="",$B1740="(blank)"),"",VLOOKUP($B1740,'Email Marketing Raw Data'!$C:$O,13,0)),"")</f>
        <v/>
      </c>
      <c r="G1740" s="55" t="str">
        <f>IFERROR(IF(OR($B1740="",$B1740="(blank)"),"",VLOOKUP($B1740,'Email Marketing Raw Data'!$C:$O,4,0)),"")</f>
        <v/>
      </c>
      <c r="H1740" s="55" t="str">
        <f>IFERROR(IF(OR($B1740="",$B1740="(blank)"),"",VLOOKUP($B1740,'Email Marketing Raw Data'!$C:$O,5,0)),"")</f>
        <v/>
      </c>
      <c r="I1740" s="55" t="str">
        <f>IFERROR(IF($G1740="","",VLOOKUP('Dashboard And Emails Automate'!$G1740,Database!$H:$N,3,0)),"")</f>
        <v/>
      </c>
      <c r="J1740" s="55" t="str">
        <f>IFERROR(IF($G1740="","",VLOOKUP('Dashboard And Emails Automate'!$G1740,Database!$H:$N,4,0)),"")</f>
        <v/>
      </c>
      <c r="K1740" s="55" t="str">
        <f>IFERROR(IF($G1740="","",VLOOKUP('Dashboard And Emails Automate'!$G1740,Database!$H:$N,5,0)),"")</f>
        <v/>
      </c>
      <c r="L1740" s="55" t="str">
        <f>IFERROR(IF($G1740="","",VLOOKUP('Dashboard And Emails Automate'!$G1740,Database!$H:$N,6,0)),"")</f>
        <v/>
      </c>
      <c r="M1740" s="55" t="str">
        <f>IFERROR(IF($G1740="","",VLOOKUP('Dashboard And Emails Automate'!$G1740,Database!$H:$N,7,0)),"")</f>
        <v/>
      </c>
      <c r="N1740" s="55" t="str">
        <f>IFERROR(IF(OR($B1740="",$B1740="(blank)"),"",VLOOKUP($B1740,'Email Marketing Raw Data'!$C:$O,6,0)),"")</f>
        <v/>
      </c>
      <c r="O1740" s="55" t="str">
        <f>IFERROR(IF(OR($B1740="",$B1740="(blank)"),"",VLOOKUP($B1740,'Email Marketing Raw Data'!$C:$O,7,0)),"")</f>
        <v/>
      </c>
      <c r="P1740" s="55" t="str">
        <f>IFERROR(IF(OR($B1740="",$B1740="(blank)"),"",VLOOKUP($B1740,'Email Marketing Raw Data'!$C:$O,8,0)),"")</f>
        <v/>
      </c>
      <c r="Q1740" s="62" t="str">
        <f>IFERROR(IF(OR($B1740="",$B1740="(blank)"),"",VLOOKUP($B1740,'Email Marketing Raw Data'!$C:$O,9,0)),"")</f>
        <v/>
      </c>
    </row>
    <row r="1741" spans="4:17" ht="12.75" customHeight="1" x14ac:dyDescent="0.2">
      <c r="D1741" s="58" t="str">
        <f>IFERROR(IF(F1741&lt;&gt;"pending","",IF(OR($B1741="",$B1741="(blank)"),"",VLOOKUP($B1741,'Email Marketing Raw Data'!$C:$O,10,0))),"")</f>
        <v/>
      </c>
      <c r="E1741" s="59" t="str">
        <f>IFERROR(IF(F1741&lt;&gt;"pending","",IF(OR($B1741="",$B1741="(blank)"),"",VLOOKUP($B1741,'Email Marketing Raw Data'!$C:$O,11,0))),"")</f>
        <v/>
      </c>
      <c r="F1741" s="54" t="str">
        <f>IFERROR(IF(OR($B1741="",$B1741="(blank)"),"",VLOOKUP($B1741,'Email Marketing Raw Data'!$C:$O,13,0)),"")</f>
        <v/>
      </c>
      <c r="G1741" s="55" t="str">
        <f>IFERROR(IF(OR($B1741="",$B1741="(blank)"),"",VLOOKUP($B1741,'Email Marketing Raw Data'!$C:$O,4,0)),"")</f>
        <v/>
      </c>
      <c r="H1741" s="55" t="str">
        <f>IFERROR(IF(OR($B1741="",$B1741="(blank)"),"",VLOOKUP($B1741,'Email Marketing Raw Data'!$C:$O,5,0)),"")</f>
        <v/>
      </c>
      <c r="I1741" s="55" t="str">
        <f>IFERROR(IF($G1741="","",VLOOKUP('Dashboard And Emails Automate'!$G1741,Database!$H:$N,3,0)),"")</f>
        <v/>
      </c>
      <c r="J1741" s="55" t="str">
        <f>IFERROR(IF($G1741="","",VLOOKUP('Dashboard And Emails Automate'!$G1741,Database!$H:$N,4,0)),"")</f>
        <v/>
      </c>
      <c r="K1741" s="55" t="str">
        <f>IFERROR(IF($G1741="","",VLOOKUP('Dashboard And Emails Automate'!$G1741,Database!$H:$N,5,0)),"")</f>
        <v/>
      </c>
      <c r="L1741" s="55" t="str">
        <f>IFERROR(IF($G1741="","",VLOOKUP('Dashboard And Emails Automate'!$G1741,Database!$H:$N,6,0)),"")</f>
        <v/>
      </c>
      <c r="M1741" s="55" t="str">
        <f>IFERROR(IF($G1741="","",VLOOKUP('Dashboard And Emails Automate'!$G1741,Database!$H:$N,7,0)),"")</f>
        <v/>
      </c>
      <c r="N1741" s="55" t="str">
        <f>IFERROR(IF(OR($B1741="",$B1741="(blank)"),"",VLOOKUP($B1741,'Email Marketing Raw Data'!$C:$O,6,0)),"")</f>
        <v/>
      </c>
      <c r="O1741" s="55" t="str">
        <f>IFERROR(IF(OR($B1741="",$B1741="(blank)"),"",VLOOKUP($B1741,'Email Marketing Raw Data'!$C:$O,7,0)),"")</f>
        <v/>
      </c>
      <c r="P1741" s="55" t="str">
        <f>IFERROR(IF(OR($B1741="",$B1741="(blank)"),"",VLOOKUP($B1741,'Email Marketing Raw Data'!$C:$O,8,0)),"")</f>
        <v/>
      </c>
      <c r="Q1741" s="62" t="str">
        <f>IFERROR(IF(OR($B1741="",$B1741="(blank)"),"",VLOOKUP($B1741,'Email Marketing Raw Data'!$C:$O,9,0)),"")</f>
        <v/>
      </c>
    </row>
    <row r="1742" spans="4:17" ht="12.75" customHeight="1" x14ac:dyDescent="0.2">
      <c r="D1742" s="58" t="str">
        <f>IFERROR(IF(F1742&lt;&gt;"pending","",IF(OR($B1742="",$B1742="(blank)"),"",VLOOKUP($B1742,'Email Marketing Raw Data'!$C:$O,10,0))),"")</f>
        <v/>
      </c>
      <c r="E1742" s="59" t="str">
        <f>IFERROR(IF(F1742&lt;&gt;"pending","",IF(OR($B1742="",$B1742="(blank)"),"",VLOOKUP($B1742,'Email Marketing Raw Data'!$C:$O,11,0))),"")</f>
        <v/>
      </c>
      <c r="F1742" s="54" t="str">
        <f>IFERROR(IF(OR($B1742="",$B1742="(blank)"),"",VLOOKUP($B1742,'Email Marketing Raw Data'!$C:$O,13,0)),"")</f>
        <v/>
      </c>
      <c r="G1742" s="55" t="str">
        <f>IFERROR(IF(OR($B1742="",$B1742="(blank)"),"",VLOOKUP($B1742,'Email Marketing Raw Data'!$C:$O,4,0)),"")</f>
        <v/>
      </c>
      <c r="H1742" s="55" t="str">
        <f>IFERROR(IF(OR($B1742="",$B1742="(blank)"),"",VLOOKUP($B1742,'Email Marketing Raw Data'!$C:$O,5,0)),"")</f>
        <v/>
      </c>
      <c r="I1742" s="55" t="str">
        <f>IFERROR(IF($G1742="","",VLOOKUP('Dashboard And Emails Automate'!$G1742,Database!$H:$N,3,0)),"")</f>
        <v/>
      </c>
      <c r="J1742" s="55" t="str">
        <f>IFERROR(IF($G1742="","",VLOOKUP('Dashboard And Emails Automate'!$G1742,Database!$H:$N,4,0)),"")</f>
        <v/>
      </c>
      <c r="K1742" s="55" t="str">
        <f>IFERROR(IF($G1742="","",VLOOKUP('Dashboard And Emails Automate'!$G1742,Database!$H:$N,5,0)),"")</f>
        <v/>
      </c>
      <c r="L1742" s="55" t="str">
        <f>IFERROR(IF($G1742="","",VLOOKUP('Dashboard And Emails Automate'!$G1742,Database!$H:$N,6,0)),"")</f>
        <v/>
      </c>
      <c r="M1742" s="55" t="str">
        <f>IFERROR(IF($G1742="","",VLOOKUP('Dashboard And Emails Automate'!$G1742,Database!$H:$N,7,0)),"")</f>
        <v/>
      </c>
      <c r="N1742" s="55" t="str">
        <f>IFERROR(IF(OR($B1742="",$B1742="(blank)"),"",VLOOKUP($B1742,'Email Marketing Raw Data'!$C:$O,6,0)),"")</f>
        <v/>
      </c>
      <c r="O1742" s="55" t="str">
        <f>IFERROR(IF(OR($B1742="",$B1742="(blank)"),"",VLOOKUP($B1742,'Email Marketing Raw Data'!$C:$O,7,0)),"")</f>
        <v/>
      </c>
      <c r="P1742" s="55" t="str">
        <f>IFERROR(IF(OR($B1742="",$B1742="(blank)"),"",VLOOKUP($B1742,'Email Marketing Raw Data'!$C:$O,8,0)),"")</f>
        <v/>
      </c>
      <c r="Q1742" s="62" t="str">
        <f>IFERROR(IF(OR($B1742="",$B1742="(blank)"),"",VLOOKUP($B1742,'Email Marketing Raw Data'!$C:$O,9,0)),"")</f>
        <v/>
      </c>
    </row>
    <row r="1743" spans="4:17" ht="12.75" customHeight="1" x14ac:dyDescent="0.2">
      <c r="D1743" s="58" t="str">
        <f>IFERROR(IF(F1743&lt;&gt;"pending","",IF(OR($B1743="",$B1743="(blank)"),"",VLOOKUP($B1743,'Email Marketing Raw Data'!$C:$O,10,0))),"")</f>
        <v/>
      </c>
      <c r="E1743" s="59" t="str">
        <f>IFERROR(IF(F1743&lt;&gt;"pending","",IF(OR($B1743="",$B1743="(blank)"),"",VLOOKUP($B1743,'Email Marketing Raw Data'!$C:$O,11,0))),"")</f>
        <v/>
      </c>
      <c r="F1743" s="54" t="str">
        <f>IFERROR(IF(OR($B1743="",$B1743="(blank)"),"",VLOOKUP($B1743,'Email Marketing Raw Data'!$C:$O,13,0)),"")</f>
        <v/>
      </c>
      <c r="G1743" s="55" t="str">
        <f>IFERROR(IF(OR($B1743="",$B1743="(blank)"),"",VLOOKUP($B1743,'Email Marketing Raw Data'!$C:$O,4,0)),"")</f>
        <v/>
      </c>
      <c r="H1743" s="55" t="str">
        <f>IFERROR(IF(OR($B1743="",$B1743="(blank)"),"",VLOOKUP($B1743,'Email Marketing Raw Data'!$C:$O,5,0)),"")</f>
        <v/>
      </c>
      <c r="I1743" s="55" t="str">
        <f>IFERROR(IF($G1743="","",VLOOKUP('Dashboard And Emails Automate'!$G1743,Database!$H:$N,3,0)),"")</f>
        <v/>
      </c>
      <c r="J1743" s="55" t="str">
        <f>IFERROR(IF($G1743="","",VLOOKUP('Dashboard And Emails Automate'!$G1743,Database!$H:$N,4,0)),"")</f>
        <v/>
      </c>
      <c r="K1743" s="55" t="str">
        <f>IFERROR(IF($G1743="","",VLOOKUP('Dashboard And Emails Automate'!$G1743,Database!$H:$N,5,0)),"")</f>
        <v/>
      </c>
      <c r="L1743" s="55" t="str">
        <f>IFERROR(IF($G1743="","",VLOOKUP('Dashboard And Emails Automate'!$G1743,Database!$H:$N,6,0)),"")</f>
        <v/>
      </c>
      <c r="M1743" s="55" t="str">
        <f>IFERROR(IF($G1743="","",VLOOKUP('Dashboard And Emails Automate'!$G1743,Database!$H:$N,7,0)),"")</f>
        <v/>
      </c>
      <c r="N1743" s="55" t="str">
        <f>IFERROR(IF(OR($B1743="",$B1743="(blank)"),"",VLOOKUP($B1743,'Email Marketing Raw Data'!$C:$O,6,0)),"")</f>
        <v/>
      </c>
      <c r="O1743" s="55" t="str">
        <f>IFERROR(IF(OR($B1743="",$B1743="(blank)"),"",VLOOKUP($B1743,'Email Marketing Raw Data'!$C:$O,7,0)),"")</f>
        <v/>
      </c>
      <c r="P1743" s="55" t="str">
        <f>IFERROR(IF(OR($B1743="",$B1743="(blank)"),"",VLOOKUP($B1743,'Email Marketing Raw Data'!$C:$O,8,0)),"")</f>
        <v/>
      </c>
      <c r="Q1743" s="62" t="str">
        <f>IFERROR(IF(OR($B1743="",$B1743="(blank)"),"",VLOOKUP($B1743,'Email Marketing Raw Data'!$C:$O,9,0)),"")</f>
        <v/>
      </c>
    </row>
    <row r="1744" spans="4:17" ht="12.75" customHeight="1" x14ac:dyDescent="0.2">
      <c r="D1744" s="58" t="str">
        <f>IFERROR(IF(F1744&lt;&gt;"pending","",IF(OR($B1744="",$B1744="(blank)"),"",VLOOKUP($B1744,'Email Marketing Raw Data'!$C:$O,10,0))),"")</f>
        <v/>
      </c>
      <c r="E1744" s="59" t="str">
        <f>IFERROR(IF(F1744&lt;&gt;"pending","",IF(OR($B1744="",$B1744="(blank)"),"",VLOOKUP($B1744,'Email Marketing Raw Data'!$C:$O,11,0))),"")</f>
        <v/>
      </c>
      <c r="F1744" s="54" t="str">
        <f>IFERROR(IF(OR($B1744="",$B1744="(blank)"),"",VLOOKUP($B1744,'Email Marketing Raw Data'!$C:$O,13,0)),"")</f>
        <v/>
      </c>
      <c r="G1744" s="55" t="str">
        <f>IFERROR(IF(OR($B1744="",$B1744="(blank)"),"",VLOOKUP($B1744,'Email Marketing Raw Data'!$C:$O,4,0)),"")</f>
        <v/>
      </c>
      <c r="H1744" s="55" t="str">
        <f>IFERROR(IF(OR($B1744="",$B1744="(blank)"),"",VLOOKUP($B1744,'Email Marketing Raw Data'!$C:$O,5,0)),"")</f>
        <v/>
      </c>
      <c r="I1744" s="55" t="str">
        <f>IFERROR(IF($G1744="","",VLOOKUP('Dashboard And Emails Automate'!$G1744,Database!$H:$N,3,0)),"")</f>
        <v/>
      </c>
      <c r="J1744" s="55" t="str">
        <f>IFERROR(IF($G1744="","",VLOOKUP('Dashboard And Emails Automate'!$G1744,Database!$H:$N,4,0)),"")</f>
        <v/>
      </c>
      <c r="K1744" s="55" t="str">
        <f>IFERROR(IF($G1744="","",VLOOKUP('Dashboard And Emails Automate'!$G1744,Database!$H:$N,5,0)),"")</f>
        <v/>
      </c>
      <c r="L1744" s="55" t="str">
        <f>IFERROR(IF($G1744="","",VLOOKUP('Dashboard And Emails Automate'!$G1744,Database!$H:$N,6,0)),"")</f>
        <v/>
      </c>
      <c r="M1744" s="55" t="str">
        <f>IFERROR(IF($G1744="","",VLOOKUP('Dashboard And Emails Automate'!$G1744,Database!$H:$N,7,0)),"")</f>
        <v/>
      </c>
      <c r="N1744" s="55" t="str">
        <f>IFERROR(IF(OR($B1744="",$B1744="(blank)"),"",VLOOKUP($B1744,'Email Marketing Raw Data'!$C:$O,6,0)),"")</f>
        <v/>
      </c>
      <c r="O1744" s="55" t="str">
        <f>IFERROR(IF(OR($B1744="",$B1744="(blank)"),"",VLOOKUP($B1744,'Email Marketing Raw Data'!$C:$O,7,0)),"")</f>
        <v/>
      </c>
      <c r="P1744" s="55" t="str">
        <f>IFERROR(IF(OR($B1744="",$B1744="(blank)"),"",VLOOKUP($B1744,'Email Marketing Raw Data'!$C:$O,8,0)),"")</f>
        <v/>
      </c>
      <c r="Q1744" s="62" t="str">
        <f>IFERROR(IF(OR($B1744="",$B1744="(blank)"),"",VLOOKUP($B1744,'Email Marketing Raw Data'!$C:$O,9,0)),"")</f>
        <v/>
      </c>
    </row>
    <row r="1745" spans="4:17" ht="12.75" customHeight="1" x14ac:dyDescent="0.2">
      <c r="D1745" s="58" t="str">
        <f>IFERROR(IF(F1745&lt;&gt;"pending","",IF(OR($B1745="",$B1745="(blank)"),"",VLOOKUP($B1745,'Email Marketing Raw Data'!$C:$O,10,0))),"")</f>
        <v/>
      </c>
      <c r="E1745" s="59" t="str">
        <f>IFERROR(IF(F1745&lt;&gt;"pending","",IF(OR($B1745="",$B1745="(blank)"),"",VLOOKUP($B1745,'Email Marketing Raw Data'!$C:$O,11,0))),"")</f>
        <v/>
      </c>
      <c r="F1745" s="54" t="str">
        <f>IFERROR(IF(OR($B1745="",$B1745="(blank)"),"",VLOOKUP($B1745,'Email Marketing Raw Data'!$C:$O,13,0)),"")</f>
        <v/>
      </c>
      <c r="G1745" s="55" t="str">
        <f>IFERROR(IF(OR($B1745="",$B1745="(blank)"),"",VLOOKUP($B1745,'Email Marketing Raw Data'!$C:$O,4,0)),"")</f>
        <v/>
      </c>
      <c r="H1745" s="55" t="str">
        <f>IFERROR(IF(OR($B1745="",$B1745="(blank)"),"",VLOOKUP($B1745,'Email Marketing Raw Data'!$C:$O,5,0)),"")</f>
        <v/>
      </c>
      <c r="I1745" s="55" t="str">
        <f>IFERROR(IF($G1745="","",VLOOKUP('Dashboard And Emails Automate'!$G1745,Database!$H:$N,3,0)),"")</f>
        <v/>
      </c>
      <c r="J1745" s="55" t="str">
        <f>IFERROR(IF($G1745="","",VLOOKUP('Dashboard And Emails Automate'!$G1745,Database!$H:$N,4,0)),"")</f>
        <v/>
      </c>
      <c r="K1745" s="55" t="str">
        <f>IFERROR(IF($G1745="","",VLOOKUP('Dashboard And Emails Automate'!$G1745,Database!$H:$N,5,0)),"")</f>
        <v/>
      </c>
      <c r="L1745" s="55" t="str">
        <f>IFERROR(IF($G1745="","",VLOOKUP('Dashboard And Emails Automate'!$G1745,Database!$H:$N,6,0)),"")</f>
        <v/>
      </c>
      <c r="M1745" s="55" t="str">
        <f>IFERROR(IF($G1745="","",VLOOKUP('Dashboard And Emails Automate'!$G1745,Database!$H:$N,7,0)),"")</f>
        <v/>
      </c>
      <c r="N1745" s="55" t="str">
        <f>IFERROR(IF(OR($B1745="",$B1745="(blank)"),"",VLOOKUP($B1745,'Email Marketing Raw Data'!$C:$O,6,0)),"")</f>
        <v/>
      </c>
      <c r="O1745" s="55" t="str">
        <f>IFERROR(IF(OR($B1745="",$B1745="(blank)"),"",VLOOKUP($B1745,'Email Marketing Raw Data'!$C:$O,7,0)),"")</f>
        <v/>
      </c>
      <c r="P1745" s="55" t="str">
        <f>IFERROR(IF(OR($B1745="",$B1745="(blank)"),"",VLOOKUP($B1745,'Email Marketing Raw Data'!$C:$O,8,0)),"")</f>
        <v/>
      </c>
      <c r="Q1745" s="62" t="str">
        <f>IFERROR(IF(OR($B1745="",$B1745="(blank)"),"",VLOOKUP($B1745,'Email Marketing Raw Data'!$C:$O,9,0)),"")</f>
        <v/>
      </c>
    </row>
    <row r="1746" spans="4:17" ht="12.75" customHeight="1" x14ac:dyDescent="0.2">
      <c r="D1746" s="58" t="str">
        <f>IFERROR(IF(F1746&lt;&gt;"pending","",IF(OR($B1746="",$B1746="(blank)"),"",VLOOKUP($B1746,'Email Marketing Raw Data'!$C:$O,10,0))),"")</f>
        <v/>
      </c>
      <c r="E1746" s="59" t="str">
        <f>IFERROR(IF(F1746&lt;&gt;"pending","",IF(OR($B1746="",$B1746="(blank)"),"",VLOOKUP($B1746,'Email Marketing Raw Data'!$C:$O,11,0))),"")</f>
        <v/>
      </c>
      <c r="F1746" s="54" t="str">
        <f>IFERROR(IF(OR($B1746="",$B1746="(blank)"),"",VLOOKUP($B1746,'Email Marketing Raw Data'!$C:$O,13,0)),"")</f>
        <v/>
      </c>
      <c r="G1746" s="55" t="str">
        <f>IFERROR(IF(OR($B1746="",$B1746="(blank)"),"",VLOOKUP($B1746,'Email Marketing Raw Data'!$C:$O,4,0)),"")</f>
        <v/>
      </c>
      <c r="H1746" s="55" t="str">
        <f>IFERROR(IF(OR($B1746="",$B1746="(blank)"),"",VLOOKUP($B1746,'Email Marketing Raw Data'!$C:$O,5,0)),"")</f>
        <v/>
      </c>
      <c r="I1746" s="55" t="str">
        <f>IFERROR(IF($G1746="","",VLOOKUP('Dashboard And Emails Automate'!$G1746,Database!$H:$N,3,0)),"")</f>
        <v/>
      </c>
      <c r="J1746" s="55" t="str">
        <f>IFERROR(IF($G1746="","",VLOOKUP('Dashboard And Emails Automate'!$G1746,Database!$H:$N,4,0)),"")</f>
        <v/>
      </c>
      <c r="K1746" s="55" t="str">
        <f>IFERROR(IF($G1746="","",VLOOKUP('Dashboard And Emails Automate'!$G1746,Database!$H:$N,5,0)),"")</f>
        <v/>
      </c>
      <c r="L1746" s="55" t="str">
        <f>IFERROR(IF($G1746="","",VLOOKUP('Dashboard And Emails Automate'!$G1746,Database!$H:$N,6,0)),"")</f>
        <v/>
      </c>
      <c r="M1746" s="55" t="str">
        <f>IFERROR(IF($G1746="","",VLOOKUP('Dashboard And Emails Automate'!$G1746,Database!$H:$N,7,0)),"")</f>
        <v/>
      </c>
      <c r="N1746" s="55" t="str">
        <f>IFERROR(IF(OR($B1746="",$B1746="(blank)"),"",VLOOKUP($B1746,'Email Marketing Raw Data'!$C:$O,6,0)),"")</f>
        <v/>
      </c>
      <c r="O1746" s="55" t="str">
        <f>IFERROR(IF(OR($B1746="",$B1746="(blank)"),"",VLOOKUP($B1746,'Email Marketing Raw Data'!$C:$O,7,0)),"")</f>
        <v/>
      </c>
      <c r="P1746" s="55" t="str">
        <f>IFERROR(IF(OR($B1746="",$B1746="(blank)"),"",VLOOKUP($B1746,'Email Marketing Raw Data'!$C:$O,8,0)),"")</f>
        <v/>
      </c>
      <c r="Q1746" s="62" t="str">
        <f>IFERROR(IF(OR($B1746="",$B1746="(blank)"),"",VLOOKUP($B1746,'Email Marketing Raw Data'!$C:$O,9,0)),"")</f>
        <v/>
      </c>
    </row>
    <row r="1747" spans="4:17" ht="12.75" customHeight="1" x14ac:dyDescent="0.2">
      <c r="D1747" s="58" t="str">
        <f>IFERROR(IF(F1747&lt;&gt;"pending","",IF(OR($B1747="",$B1747="(blank)"),"",VLOOKUP($B1747,'Email Marketing Raw Data'!$C:$O,10,0))),"")</f>
        <v/>
      </c>
      <c r="E1747" s="59" t="str">
        <f>IFERROR(IF(F1747&lt;&gt;"pending","",IF(OR($B1747="",$B1747="(blank)"),"",VLOOKUP($B1747,'Email Marketing Raw Data'!$C:$O,11,0))),"")</f>
        <v/>
      </c>
      <c r="F1747" s="54" t="str">
        <f>IFERROR(IF(OR($B1747="",$B1747="(blank)"),"",VLOOKUP($B1747,'Email Marketing Raw Data'!$C:$O,13,0)),"")</f>
        <v/>
      </c>
      <c r="G1747" s="55" t="str">
        <f>IFERROR(IF(OR($B1747="",$B1747="(blank)"),"",VLOOKUP($B1747,'Email Marketing Raw Data'!$C:$O,4,0)),"")</f>
        <v/>
      </c>
      <c r="H1747" s="55" t="str">
        <f>IFERROR(IF(OR($B1747="",$B1747="(blank)"),"",VLOOKUP($B1747,'Email Marketing Raw Data'!$C:$O,5,0)),"")</f>
        <v/>
      </c>
      <c r="I1747" s="55" t="str">
        <f>IFERROR(IF($G1747="","",VLOOKUP('Dashboard And Emails Automate'!$G1747,Database!$H:$N,3,0)),"")</f>
        <v/>
      </c>
      <c r="J1747" s="55" t="str">
        <f>IFERROR(IF($G1747="","",VLOOKUP('Dashboard And Emails Automate'!$G1747,Database!$H:$N,4,0)),"")</f>
        <v/>
      </c>
      <c r="K1747" s="55" t="str">
        <f>IFERROR(IF($G1747="","",VLOOKUP('Dashboard And Emails Automate'!$G1747,Database!$H:$N,5,0)),"")</f>
        <v/>
      </c>
      <c r="L1747" s="55" t="str">
        <f>IFERROR(IF($G1747="","",VLOOKUP('Dashboard And Emails Automate'!$G1747,Database!$H:$N,6,0)),"")</f>
        <v/>
      </c>
      <c r="M1747" s="55" t="str">
        <f>IFERROR(IF($G1747="","",VLOOKUP('Dashboard And Emails Automate'!$G1747,Database!$H:$N,7,0)),"")</f>
        <v/>
      </c>
      <c r="N1747" s="55" t="str">
        <f>IFERROR(IF(OR($B1747="",$B1747="(blank)"),"",VLOOKUP($B1747,'Email Marketing Raw Data'!$C:$O,6,0)),"")</f>
        <v/>
      </c>
      <c r="O1747" s="55" t="str">
        <f>IFERROR(IF(OR($B1747="",$B1747="(blank)"),"",VLOOKUP($B1747,'Email Marketing Raw Data'!$C:$O,7,0)),"")</f>
        <v/>
      </c>
      <c r="P1747" s="55" t="str">
        <f>IFERROR(IF(OR($B1747="",$B1747="(blank)"),"",VLOOKUP($B1747,'Email Marketing Raw Data'!$C:$O,8,0)),"")</f>
        <v/>
      </c>
      <c r="Q1747" s="62" t="str">
        <f>IFERROR(IF(OR($B1747="",$B1747="(blank)"),"",VLOOKUP($B1747,'Email Marketing Raw Data'!$C:$O,9,0)),"")</f>
        <v/>
      </c>
    </row>
    <row r="1748" spans="4:17" ht="12.75" customHeight="1" x14ac:dyDescent="0.2">
      <c r="D1748" s="58" t="str">
        <f>IFERROR(IF(F1748&lt;&gt;"pending","",IF(OR($B1748="",$B1748="(blank)"),"",VLOOKUP($B1748,'Email Marketing Raw Data'!$C:$O,10,0))),"")</f>
        <v/>
      </c>
      <c r="E1748" s="59" t="str">
        <f>IFERROR(IF(F1748&lt;&gt;"pending","",IF(OR($B1748="",$B1748="(blank)"),"",VLOOKUP($B1748,'Email Marketing Raw Data'!$C:$O,11,0))),"")</f>
        <v/>
      </c>
      <c r="F1748" s="54" t="str">
        <f>IFERROR(IF(OR($B1748="",$B1748="(blank)"),"",VLOOKUP($B1748,'Email Marketing Raw Data'!$C:$O,13,0)),"")</f>
        <v/>
      </c>
      <c r="G1748" s="55" t="str">
        <f>IFERROR(IF(OR($B1748="",$B1748="(blank)"),"",VLOOKUP($B1748,'Email Marketing Raw Data'!$C:$O,4,0)),"")</f>
        <v/>
      </c>
      <c r="H1748" s="55" t="str">
        <f>IFERROR(IF(OR($B1748="",$B1748="(blank)"),"",VLOOKUP($B1748,'Email Marketing Raw Data'!$C:$O,5,0)),"")</f>
        <v/>
      </c>
      <c r="I1748" s="55" t="str">
        <f>IFERROR(IF($G1748="","",VLOOKUP('Dashboard And Emails Automate'!$G1748,Database!$H:$N,3,0)),"")</f>
        <v/>
      </c>
      <c r="J1748" s="55" t="str">
        <f>IFERROR(IF($G1748="","",VLOOKUP('Dashboard And Emails Automate'!$G1748,Database!$H:$N,4,0)),"")</f>
        <v/>
      </c>
      <c r="K1748" s="55" t="str">
        <f>IFERROR(IF($G1748="","",VLOOKUP('Dashboard And Emails Automate'!$G1748,Database!$H:$N,5,0)),"")</f>
        <v/>
      </c>
      <c r="L1748" s="55" t="str">
        <f>IFERROR(IF($G1748="","",VLOOKUP('Dashboard And Emails Automate'!$G1748,Database!$H:$N,6,0)),"")</f>
        <v/>
      </c>
      <c r="M1748" s="55" t="str">
        <f>IFERROR(IF($G1748="","",VLOOKUP('Dashboard And Emails Automate'!$G1748,Database!$H:$N,7,0)),"")</f>
        <v/>
      </c>
      <c r="N1748" s="55" t="str">
        <f>IFERROR(IF(OR($B1748="",$B1748="(blank)"),"",VLOOKUP($B1748,'Email Marketing Raw Data'!$C:$O,6,0)),"")</f>
        <v/>
      </c>
      <c r="O1748" s="55" t="str">
        <f>IFERROR(IF(OR($B1748="",$B1748="(blank)"),"",VLOOKUP($B1748,'Email Marketing Raw Data'!$C:$O,7,0)),"")</f>
        <v/>
      </c>
      <c r="P1748" s="55" t="str">
        <f>IFERROR(IF(OR($B1748="",$B1748="(blank)"),"",VLOOKUP($B1748,'Email Marketing Raw Data'!$C:$O,8,0)),"")</f>
        <v/>
      </c>
      <c r="Q1748" s="62" t="str">
        <f>IFERROR(IF(OR($B1748="",$B1748="(blank)"),"",VLOOKUP($B1748,'Email Marketing Raw Data'!$C:$O,9,0)),"")</f>
        <v/>
      </c>
    </row>
    <row r="1749" spans="4:17" ht="12.75" customHeight="1" x14ac:dyDescent="0.2">
      <c r="D1749" s="58" t="str">
        <f>IFERROR(IF(F1749&lt;&gt;"pending","",IF(OR($B1749="",$B1749="(blank)"),"",VLOOKUP($B1749,'Email Marketing Raw Data'!$C:$O,10,0))),"")</f>
        <v/>
      </c>
      <c r="E1749" s="59" t="str">
        <f>IFERROR(IF(F1749&lt;&gt;"pending","",IF(OR($B1749="",$B1749="(blank)"),"",VLOOKUP($B1749,'Email Marketing Raw Data'!$C:$O,11,0))),"")</f>
        <v/>
      </c>
      <c r="F1749" s="54" t="str">
        <f>IFERROR(IF(OR($B1749="",$B1749="(blank)"),"",VLOOKUP($B1749,'Email Marketing Raw Data'!$C:$O,13,0)),"")</f>
        <v/>
      </c>
      <c r="G1749" s="55" t="str">
        <f>IFERROR(IF(OR($B1749="",$B1749="(blank)"),"",VLOOKUP($B1749,'Email Marketing Raw Data'!$C:$O,4,0)),"")</f>
        <v/>
      </c>
      <c r="H1749" s="55" t="str">
        <f>IFERROR(IF(OR($B1749="",$B1749="(blank)"),"",VLOOKUP($B1749,'Email Marketing Raw Data'!$C:$O,5,0)),"")</f>
        <v/>
      </c>
      <c r="I1749" s="55" t="str">
        <f>IFERROR(IF($G1749="","",VLOOKUP('Dashboard And Emails Automate'!$G1749,Database!$H:$N,3,0)),"")</f>
        <v/>
      </c>
      <c r="J1749" s="55" t="str">
        <f>IFERROR(IF($G1749="","",VLOOKUP('Dashboard And Emails Automate'!$G1749,Database!$H:$N,4,0)),"")</f>
        <v/>
      </c>
      <c r="K1749" s="55" t="str">
        <f>IFERROR(IF($G1749="","",VLOOKUP('Dashboard And Emails Automate'!$G1749,Database!$H:$N,5,0)),"")</f>
        <v/>
      </c>
      <c r="L1749" s="55" t="str">
        <f>IFERROR(IF($G1749="","",VLOOKUP('Dashboard And Emails Automate'!$G1749,Database!$H:$N,6,0)),"")</f>
        <v/>
      </c>
      <c r="M1749" s="55" t="str">
        <f>IFERROR(IF($G1749="","",VLOOKUP('Dashboard And Emails Automate'!$G1749,Database!$H:$N,7,0)),"")</f>
        <v/>
      </c>
      <c r="N1749" s="55" t="str">
        <f>IFERROR(IF(OR($B1749="",$B1749="(blank)"),"",VLOOKUP($B1749,'Email Marketing Raw Data'!$C:$O,6,0)),"")</f>
        <v/>
      </c>
      <c r="O1749" s="55" t="str">
        <f>IFERROR(IF(OR($B1749="",$B1749="(blank)"),"",VLOOKUP($B1749,'Email Marketing Raw Data'!$C:$O,7,0)),"")</f>
        <v/>
      </c>
      <c r="P1749" s="55" t="str">
        <f>IFERROR(IF(OR($B1749="",$B1749="(blank)"),"",VLOOKUP($B1749,'Email Marketing Raw Data'!$C:$O,8,0)),"")</f>
        <v/>
      </c>
      <c r="Q1749" s="62" t="str">
        <f>IFERROR(IF(OR($B1749="",$B1749="(blank)"),"",VLOOKUP($B1749,'Email Marketing Raw Data'!$C:$O,9,0)),"")</f>
        <v/>
      </c>
    </row>
    <row r="1750" spans="4:17" ht="12.75" customHeight="1" x14ac:dyDescent="0.2">
      <c r="D1750" s="58" t="str">
        <f>IFERROR(IF(F1750&lt;&gt;"pending","",IF(OR($B1750="",$B1750="(blank)"),"",VLOOKUP($B1750,'Email Marketing Raw Data'!$C:$O,10,0))),"")</f>
        <v/>
      </c>
      <c r="E1750" s="59" t="str">
        <f>IFERROR(IF(F1750&lt;&gt;"pending","",IF(OR($B1750="",$B1750="(blank)"),"",VLOOKUP($B1750,'Email Marketing Raw Data'!$C:$O,11,0))),"")</f>
        <v/>
      </c>
      <c r="F1750" s="54" t="str">
        <f>IFERROR(IF(OR($B1750="",$B1750="(blank)"),"",VLOOKUP($B1750,'Email Marketing Raw Data'!$C:$O,13,0)),"")</f>
        <v/>
      </c>
      <c r="G1750" s="55" t="str">
        <f>IFERROR(IF(OR($B1750="",$B1750="(blank)"),"",VLOOKUP($B1750,'Email Marketing Raw Data'!$C:$O,4,0)),"")</f>
        <v/>
      </c>
      <c r="H1750" s="55" t="str">
        <f>IFERROR(IF(OR($B1750="",$B1750="(blank)"),"",VLOOKUP($B1750,'Email Marketing Raw Data'!$C:$O,5,0)),"")</f>
        <v/>
      </c>
      <c r="I1750" s="55" t="str">
        <f>IFERROR(IF($G1750="","",VLOOKUP('Dashboard And Emails Automate'!$G1750,Database!$H:$N,3,0)),"")</f>
        <v/>
      </c>
      <c r="J1750" s="55" t="str">
        <f>IFERROR(IF($G1750="","",VLOOKUP('Dashboard And Emails Automate'!$G1750,Database!$H:$N,4,0)),"")</f>
        <v/>
      </c>
      <c r="K1750" s="55" t="str">
        <f>IFERROR(IF($G1750="","",VLOOKUP('Dashboard And Emails Automate'!$G1750,Database!$H:$N,5,0)),"")</f>
        <v/>
      </c>
      <c r="L1750" s="55" t="str">
        <f>IFERROR(IF($G1750="","",VLOOKUP('Dashboard And Emails Automate'!$G1750,Database!$H:$N,6,0)),"")</f>
        <v/>
      </c>
      <c r="M1750" s="55" t="str">
        <f>IFERROR(IF($G1750="","",VLOOKUP('Dashboard And Emails Automate'!$G1750,Database!$H:$N,7,0)),"")</f>
        <v/>
      </c>
      <c r="N1750" s="55" t="str">
        <f>IFERROR(IF(OR($B1750="",$B1750="(blank)"),"",VLOOKUP($B1750,'Email Marketing Raw Data'!$C:$O,6,0)),"")</f>
        <v/>
      </c>
      <c r="O1750" s="55" t="str">
        <f>IFERROR(IF(OR($B1750="",$B1750="(blank)"),"",VLOOKUP($B1750,'Email Marketing Raw Data'!$C:$O,7,0)),"")</f>
        <v/>
      </c>
      <c r="P1750" s="55" t="str">
        <f>IFERROR(IF(OR($B1750="",$B1750="(blank)"),"",VLOOKUP($B1750,'Email Marketing Raw Data'!$C:$O,8,0)),"")</f>
        <v/>
      </c>
      <c r="Q1750" s="62" t="str">
        <f>IFERROR(IF(OR($B1750="",$B1750="(blank)"),"",VLOOKUP($B1750,'Email Marketing Raw Data'!$C:$O,9,0)),"")</f>
        <v/>
      </c>
    </row>
    <row r="1751" spans="4:17" ht="12.75" customHeight="1" x14ac:dyDescent="0.2">
      <c r="D1751" s="58" t="str">
        <f>IFERROR(IF(F1751&lt;&gt;"pending","",IF(OR($B1751="",$B1751="(blank)"),"",VLOOKUP($B1751,'Email Marketing Raw Data'!$C:$O,10,0))),"")</f>
        <v/>
      </c>
      <c r="E1751" s="59" t="str">
        <f>IFERROR(IF(F1751&lt;&gt;"pending","",IF(OR($B1751="",$B1751="(blank)"),"",VLOOKUP($B1751,'Email Marketing Raw Data'!$C:$O,11,0))),"")</f>
        <v/>
      </c>
      <c r="F1751" s="54" t="str">
        <f>IFERROR(IF(OR($B1751="",$B1751="(blank)"),"",VLOOKUP($B1751,'Email Marketing Raw Data'!$C:$O,13,0)),"")</f>
        <v/>
      </c>
      <c r="G1751" s="55" t="str">
        <f>IFERROR(IF(OR($B1751="",$B1751="(blank)"),"",VLOOKUP($B1751,'Email Marketing Raw Data'!$C:$O,4,0)),"")</f>
        <v/>
      </c>
      <c r="H1751" s="55" t="str">
        <f>IFERROR(IF(OR($B1751="",$B1751="(blank)"),"",VLOOKUP($B1751,'Email Marketing Raw Data'!$C:$O,5,0)),"")</f>
        <v/>
      </c>
      <c r="I1751" s="55" t="str">
        <f>IFERROR(IF($G1751="","",VLOOKUP('Dashboard And Emails Automate'!$G1751,Database!$H:$N,3,0)),"")</f>
        <v/>
      </c>
      <c r="J1751" s="55" t="str">
        <f>IFERROR(IF($G1751="","",VLOOKUP('Dashboard And Emails Automate'!$G1751,Database!$H:$N,4,0)),"")</f>
        <v/>
      </c>
      <c r="K1751" s="55" t="str">
        <f>IFERROR(IF($G1751="","",VLOOKUP('Dashboard And Emails Automate'!$G1751,Database!$H:$N,5,0)),"")</f>
        <v/>
      </c>
      <c r="L1751" s="55" t="str">
        <f>IFERROR(IF($G1751="","",VLOOKUP('Dashboard And Emails Automate'!$G1751,Database!$H:$N,6,0)),"")</f>
        <v/>
      </c>
      <c r="M1751" s="55" t="str">
        <f>IFERROR(IF($G1751="","",VLOOKUP('Dashboard And Emails Automate'!$G1751,Database!$H:$N,7,0)),"")</f>
        <v/>
      </c>
      <c r="N1751" s="55" t="str">
        <f>IFERROR(IF(OR($B1751="",$B1751="(blank)"),"",VLOOKUP($B1751,'Email Marketing Raw Data'!$C:$O,6,0)),"")</f>
        <v/>
      </c>
      <c r="O1751" s="55" t="str">
        <f>IFERROR(IF(OR($B1751="",$B1751="(blank)"),"",VLOOKUP($B1751,'Email Marketing Raw Data'!$C:$O,7,0)),"")</f>
        <v/>
      </c>
      <c r="P1751" s="55" t="str">
        <f>IFERROR(IF(OR($B1751="",$B1751="(blank)"),"",VLOOKUP($B1751,'Email Marketing Raw Data'!$C:$O,8,0)),"")</f>
        <v/>
      </c>
      <c r="Q1751" s="62" t="str">
        <f>IFERROR(IF(OR($B1751="",$B1751="(blank)"),"",VLOOKUP($B1751,'Email Marketing Raw Data'!$C:$O,9,0)),"")</f>
        <v/>
      </c>
    </row>
    <row r="1752" spans="4:17" ht="12.75" customHeight="1" x14ac:dyDescent="0.2">
      <c r="D1752" s="58" t="str">
        <f>IFERROR(IF(F1752&lt;&gt;"pending","",IF(OR($B1752="",$B1752="(blank)"),"",VLOOKUP($B1752,'Email Marketing Raw Data'!$C:$O,10,0))),"")</f>
        <v/>
      </c>
      <c r="E1752" s="59" t="str">
        <f>IFERROR(IF(F1752&lt;&gt;"pending","",IF(OR($B1752="",$B1752="(blank)"),"",VLOOKUP($B1752,'Email Marketing Raw Data'!$C:$O,11,0))),"")</f>
        <v/>
      </c>
      <c r="F1752" s="54" t="str">
        <f>IFERROR(IF(OR($B1752="",$B1752="(blank)"),"",VLOOKUP($B1752,'Email Marketing Raw Data'!$C:$O,13,0)),"")</f>
        <v/>
      </c>
      <c r="G1752" s="55" t="str">
        <f>IFERROR(IF(OR($B1752="",$B1752="(blank)"),"",VLOOKUP($B1752,'Email Marketing Raw Data'!$C:$O,4,0)),"")</f>
        <v/>
      </c>
      <c r="H1752" s="55" t="str">
        <f>IFERROR(IF(OR($B1752="",$B1752="(blank)"),"",VLOOKUP($B1752,'Email Marketing Raw Data'!$C:$O,5,0)),"")</f>
        <v/>
      </c>
      <c r="I1752" s="55" t="str">
        <f>IFERROR(IF($G1752="","",VLOOKUP('Dashboard And Emails Automate'!$G1752,Database!$H:$N,3,0)),"")</f>
        <v/>
      </c>
      <c r="J1752" s="55" t="str">
        <f>IFERROR(IF($G1752="","",VLOOKUP('Dashboard And Emails Automate'!$G1752,Database!$H:$N,4,0)),"")</f>
        <v/>
      </c>
      <c r="K1752" s="55" t="str">
        <f>IFERROR(IF($G1752="","",VLOOKUP('Dashboard And Emails Automate'!$G1752,Database!$H:$N,5,0)),"")</f>
        <v/>
      </c>
      <c r="L1752" s="55" t="str">
        <f>IFERROR(IF($G1752="","",VLOOKUP('Dashboard And Emails Automate'!$G1752,Database!$H:$N,6,0)),"")</f>
        <v/>
      </c>
      <c r="M1752" s="55" t="str">
        <f>IFERROR(IF($G1752="","",VLOOKUP('Dashboard And Emails Automate'!$G1752,Database!$H:$N,7,0)),"")</f>
        <v/>
      </c>
      <c r="N1752" s="55" t="str">
        <f>IFERROR(IF(OR($B1752="",$B1752="(blank)"),"",VLOOKUP($B1752,'Email Marketing Raw Data'!$C:$O,6,0)),"")</f>
        <v/>
      </c>
      <c r="O1752" s="55" t="str">
        <f>IFERROR(IF(OR($B1752="",$B1752="(blank)"),"",VLOOKUP($B1752,'Email Marketing Raw Data'!$C:$O,7,0)),"")</f>
        <v/>
      </c>
      <c r="P1752" s="55" t="str">
        <f>IFERROR(IF(OR($B1752="",$B1752="(blank)"),"",VLOOKUP($B1752,'Email Marketing Raw Data'!$C:$O,8,0)),"")</f>
        <v/>
      </c>
      <c r="Q1752" s="62" t="str">
        <f>IFERROR(IF(OR($B1752="",$B1752="(blank)"),"",VLOOKUP($B1752,'Email Marketing Raw Data'!$C:$O,9,0)),"")</f>
        <v/>
      </c>
    </row>
    <row r="1753" spans="4:17" ht="12.75" customHeight="1" x14ac:dyDescent="0.2">
      <c r="D1753" s="58" t="str">
        <f>IFERROR(IF(F1753&lt;&gt;"pending","",IF(OR($B1753="",$B1753="(blank)"),"",VLOOKUP($B1753,'Email Marketing Raw Data'!$C:$O,10,0))),"")</f>
        <v/>
      </c>
      <c r="E1753" s="59" t="str">
        <f>IFERROR(IF(F1753&lt;&gt;"pending","",IF(OR($B1753="",$B1753="(blank)"),"",VLOOKUP($B1753,'Email Marketing Raw Data'!$C:$O,11,0))),"")</f>
        <v/>
      </c>
      <c r="F1753" s="54" t="str">
        <f>IFERROR(IF(OR($B1753="",$B1753="(blank)"),"",VLOOKUP($B1753,'Email Marketing Raw Data'!$C:$O,13,0)),"")</f>
        <v/>
      </c>
      <c r="G1753" s="55" t="str">
        <f>IFERROR(IF(OR($B1753="",$B1753="(blank)"),"",VLOOKUP($B1753,'Email Marketing Raw Data'!$C:$O,4,0)),"")</f>
        <v/>
      </c>
      <c r="H1753" s="55" t="str">
        <f>IFERROR(IF(OR($B1753="",$B1753="(blank)"),"",VLOOKUP($B1753,'Email Marketing Raw Data'!$C:$O,5,0)),"")</f>
        <v/>
      </c>
      <c r="I1753" s="55" t="str">
        <f>IFERROR(IF($G1753="","",VLOOKUP('Dashboard And Emails Automate'!$G1753,Database!$H:$N,3,0)),"")</f>
        <v/>
      </c>
      <c r="J1753" s="55" t="str">
        <f>IFERROR(IF($G1753="","",VLOOKUP('Dashboard And Emails Automate'!$G1753,Database!$H:$N,4,0)),"")</f>
        <v/>
      </c>
      <c r="K1753" s="55" t="str">
        <f>IFERROR(IF($G1753="","",VLOOKUP('Dashboard And Emails Automate'!$G1753,Database!$H:$N,5,0)),"")</f>
        <v/>
      </c>
      <c r="L1753" s="55" t="str">
        <f>IFERROR(IF($G1753="","",VLOOKUP('Dashboard And Emails Automate'!$G1753,Database!$H:$N,6,0)),"")</f>
        <v/>
      </c>
      <c r="M1753" s="55" t="str">
        <f>IFERROR(IF($G1753="","",VLOOKUP('Dashboard And Emails Automate'!$G1753,Database!$H:$N,7,0)),"")</f>
        <v/>
      </c>
      <c r="N1753" s="55" t="str">
        <f>IFERROR(IF(OR($B1753="",$B1753="(blank)"),"",VLOOKUP($B1753,'Email Marketing Raw Data'!$C:$O,6,0)),"")</f>
        <v/>
      </c>
      <c r="O1753" s="55" t="str">
        <f>IFERROR(IF(OR($B1753="",$B1753="(blank)"),"",VLOOKUP($B1753,'Email Marketing Raw Data'!$C:$O,7,0)),"")</f>
        <v/>
      </c>
      <c r="P1753" s="55" t="str">
        <f>IFERROR(IF(OR($B1753="",$B1753="(blank)"),"",VLOOKUP($B1753,'Email Marketing Raw Data'!$C:$O,8,0)),"")</f>
        <v/>
      </c>
      <c r="Q1753" s="62" t="str">
        <f>IFERROR(IF(OR($B1753="",$B1753="(blank)"),"",VLOOKUP($B1753,'Email Marketing Raw Data'!$C:$O,9,0)),"")</f>
        <v/>
      </c>
    </row>
    <row r="1754" spans="4:17" ht="12.75" customHeight="1" x14ac:dyDescent="0.2">
      <c r="D1754" s="58" t="str">
        <f>IFERROR(IF(F1754&lt;&gt;"pending","",IF(OR($B1754="",$B1754="(blank)"),"",VLOOKUP($B1754,'Email Marketing Raw Data'!$C:$O,10,0))),"")</f>
        <v/>
      </c>
      <c r="E1754" s="59" t="str">
        <f>IFERROR(IF(F1754&lt;&gt;"pending","",IF(OR($B1754="",$B1754="(blank)"),"",VLOOKUP($B1754,'Email Marketing Raw Data'!$C:$O,11,0))),"")</f>
        <v/>
      </c>
      <c r="F1754" s="54" t="str">
        <f>IFERROR(IF(OR($B1754="",$B1754="(blank)"),"",VLOOKUP($B1754,'Email Marketing Raw Data'!$C:$O,13,0)),"")</f>
        <v/>
      </c>
      <c r="G1754" s="55" t="str">
        <f>IFERROR(IF(OR($B1754="",$B1754="(blank)"),"",VLOOKUP($B1754,'Email Marketing Raw Data'!$C:$O,4,0)),"")</f>
        <v/>
      </c>
      <c r="H1754" s="55" t="str">
        <f>IFERROR(IF(OR($B1754="",$B1754="(blank)"),"",VLOOKUP($B1754,'Email Marketing Raw Data'!$C:$O,5,0)),"")</f>
        <v/>
      </c>
      <c r="I1754" s="55" t="str">
        <f>IFERROR(IF($G1754="","",VLOOKUP('Dashboard And Emails Automate'!$G1754,Database!$H:$N,3,0)),"")</f>
        <v/>
      </c>
      <c r="J1754" s="55" t="str">
        <f>IFERROR(IF($G1754="","",VLOOKUP('Dashboard And Emails Automate'!$G1754,Database!$H:$N,4,0)),"")</f>
        <v/>
      </c>
      <c r="K1754" s="55" t="str">
        <f>IFERROR(IF($G1754="","",VLOOKUP('Dashboard And Emails Automate'!$G1754,Database!$H:$N,5,0)),"")</f>
        <v/>
      </c>
      <c r="L1754" s="55" t="str">
        <f>IFERROR(IF($G1754="","",VLOOKUP('Dashboard And Emails Automate'!$G1754,Database!$H:$N,6,0)),"")</f>
        <v/>
      </c>
      <c r="M1754" s="55" t="str">
        <f>IFERROR(IF($G1754="","",VLOOKUP('Dashboard And Emails Automate'!$G1754,Database!$H:$N,7,0)),"")</f>
        <v/>
      </c>
      <c r="N1754" s="55" t="str">
        <f>IFERROR(IF(OR($B1754="",$B1754="(blank)"),"",VLOOKUP($B1754,'Email Marketing Raw Data'!$C:$O,6,0)),"")</f>
        <v/>
      </c>
      <c r="O1754" s="55" t="str">
        <f>IFERROR(IF(OR($B1754="",$B1754="(blank)"),"",VLOOKUP($B1754,'Email Marketing Raw Data'!$C:$O,7,0)),"")</f>
        <v/>
      </c>
      <c r="P1754" s="55" t="str">
        <f>IFERROR(IF(OR($B1754="",$B1754="(blank)"),"",VLOOKUP($B1754,'Email Marketing Raw Data'!$C:$O,8,0)),"")</f>
        <v/>
      </c>
      <c r="Q1754" s="62" t="str">
        <f>IFERROR(IF(OR($B1754="",$B1754="(blank)"),"",VLOOKUP($B1754,'Email Marketing Raw Data'!$C:$O,9,0)),"")</f>
        <v/>
      </c>
    </row>
    <row r="1755" spans="4:17" ht="12.75" customHeight="1" x14ac:dyDescent="0.2">
      <c r="D1755" s="58" t="str">
        <f>IFERROR(IF(F1755&lt;&gt;"pending","",IF(OR($B1755="",$B1755="(blank)"),"",VLOOKUP($B1755,'Email Marketing Raw Data'!$C:$O,10,0))),"")</f>
        <v/>
      </c>
      <c r="E1755" s="59" t="str">
        <f>IFERROR(IF(F1755&lt;&gt;"pending","",IF(OR($B1755="",$B1755="(blank)"),"",VLOOKUP($B1755,'Email Marketing Raw Data'!$C:$O,11,0))),"")</f>
        <v/>
      </c>
      <c r="F1755" s="54" t="str">
        <f>IFERROR(IF(OR($B1755="",$B1755="(blank)"),"",VLOOKUP($B1755,'Email Marketing Raw Data'!$C:$O,13,0)),"")</f>
        <v/>
      </c>
      <c r="G1755" s="55" t="str">
        <f>IFERROR(IF(OR($B1755="",$B1755="(blank)"),"",VLOOKUP($B1755,'Email Marketing Raw Data'!$C:$O,4,0)),"")</f>
        <v/>
      </c>
      <c r="H1755" s="55" t="str">
        <f>IFERROR(IF(OR($B1755="",$B1755="(blank)"),"",VLOOKUP($B1755,'Email Marketing Raw Data'!$C:$O,5,0)),"")</f>
        <v/>
      </c>
      <c r="I1755" s="55" t="str">
        <f>IFERROR(IF($G1755="","",VLOOKUP('Dashboard And Emails Automate'!$G1755,Database!$H:$N,3,0)),"")</f>
        <v/>
      </c>
      <c r="J1755" s="55" t="str">
        <f>IFERROR(IF($G1755="","",VLOOKUP('Dashboard And Emails Automate'!$G1755,Database!$H:$N,4,0)),"")</f>
        <v/>
      </c>
      <c r="K1755" s="55" t="str">
        <f>IFERROR(IF($G1755="","",VLOOKUP('Dashboard And Emails Automate'!$G1755,Database!$H:$N,5,0)),"")</f>
        <v/>
      </c>
      <c r="L1755" s="55" t="str">
        <f>IFERROR(IF($G1755="","",VLOOKUP('Dashboard And Emails Automate'!$G1755,Database!$H:$N,6,0)),"")</f>
        <v/>
      </c>
      <c r="M1755" s="55" t="str">
        <f>IFERROR(IF($G1755="","",VLOOKUP('Dashboard And Emails Automate'!$G1755,Database!$H:$N,7,0)),"")</f>
        <v/>
      </c>
      <c r="N1755" s="55" t="str">
        <f>IFERROR(IF(OR($B1755="",$B1755="(blank)"),"",VLOOKUP($B1755,'Email Marketing Raw Data'!$C:$O,6,0)),"")</f>
        <v/>
      </c>
      <c r="O1755" s="55" t="str">
        <f>IFERROR(IF(OR($B1755="",$B1755="(blank)"),"",VLOOKUP($B1755,'Email Marketing Raw Data'!$C:$O,7,0)),"")</f>
        <v/>
      </c>
      <c r="P1755" s="55" t="str">
        <f>IFERROR(IF(OR($B1755="",$B1755="(blank)"),"",VLOOKUP($B1755,'Email Marketing Raw Data'!$C:$O,8,0)),"")</f>
        <v/>
      </c>
      <c r="Q1755" s="62" t="str">
        <f>IFERROR(IF(OR($B1755="",$B1755="(blank)"),"",VLOOKUP($B1755,'Email Marketing Raw Data'!$C:$O,9,0)),"")</f>
        <v/>
      </c>
    </row>
    <row r="1756" spans="4:17" ht="12.75" customHeight="1" x14ac:dyDescent="0.2">
      <c r="D1756" s="58" t="str">
        <f>IFERROR(IF(F1756&lt;&gt;"pending","",IF(OR($B1756="",$B1756="(blank)"),"",VLOOKUP($B1756,'Email Marketing Raw Data'!$C:$O,10,0))),"")</f>
        <v/>
      </c>
      <c r="E1756" s="59" t="str">
        <f>IFERROR(IF(F1756&lt;&gt;"pending","",IF(OR($B1756="",$B1756="(blank)"),"",VLOOKUP($B1756,'Email Marketing Raw Data'!$C:$O,11,0))),"")</f>
        <v/>
      </c>
      <c r="F1756" s="54" t="str">
        <f>IFERROR(IF(OR($B1756="",$B1756="(blank)"),"",VLOOKUP($B1756,'Email Marketing Raw Data'!$C:$O,13,0)),"")</f>
        <v/>
      </c>
      <c r="G1756" s="55" t="str">
        <f>IFERROR(IF(OR($B1756="",$B1756="(blank)"),"",VLOOKUP($B1756,'Email Marketing Raw Data'!$C:$O,4,0)),"")</f>
        <v/>
      </c>
      <c r="H1756" s="55" t="str">
        <f>IFERROR(IF(OR($B1756="",$B1756="(blank)"),"",VLOOKUP($B1756,'Email Marketing Raw Data'!$C:$O,5,0)),"")</f>
        <v/>
      </c>
      <c r="I1756" s="55" t="str">
        <f>IFERROR(IF($G1756="","",VLOOKUP('Dashboard And Emails Automate'!$G1756,Database!$H:$N,3,0)),"")</f>
        <v/>
      </c>
      <c r="J1756" s="55" t="str">
        <f>IFERROR(IF($G1756="","",VLOOKUP('Dashboard And Emails Automate'!$G1756,Database!$H:$N,4,0)),"")</f>
        <v/>
      </c>
      <c r="K1756" s="55" t="str">
        <f>IFERROR(IF($G1756="","",VLOOKUP('Dashboard And Emails Automate'!$G1756,Database!$H:$N,5,0)),"")</f>
        <v/>
      </c>
      <c r="L1756" s="55" t="str">
        <f>IFERROR(IF($G1756="","",VLOOKUP('Dashboard And Emails Automate'!$G1756,Database!$H:$N,6,0)),"")</f>
        <v/>
      </c>
      <c r="M1756" s="55" t="str">
        <f>IFERROR(IF($G1756="","",VLOOKUP('Dashboard And Emails Automate'!$G1756,Database!$H:$N,7,0)),"")</f>
        <v/>
      </c>
      <c r="N1756" s="55" t="str">
        <f>IFERROR(IF(OR($B1756="",$B1756="(blank)"),"",VLOOKUP($B1756,'Email Marketing Raw Data'!$C:$O,6,0)),"")</f>
        <v/>
      </c>
      <c r="O1756" s="55" t="str">
        <f>IFERROR(IF(OR($B1756="",$B1756="(blank)"),"",VLOOKUP($B1756,'Email Marketing Raw Data'!$C:$O,7,0)),"")</f>
        <v/>
      </c>
      <c r="P1756" s="55" t="str">
        <f>IFERROR(IF(OR($B1756="",$B1756="(blank)"),"",VLOOKUP($B1756,'Email Marketing Raw Data'!$C:$O,8,0)),"")</f>
        <v/>
      </c>
      <c r="Q1756" s="62" t="str">
        <f>IFERROR(IF(OR($B1756="",$B1756="(blank)"),"",VLOOKUP($B1756,'Email Marketing Raw Data'!$C:$O,9,0)),"")</f>
        <v/>
      </c>
    </row>
    <row r="1757" spans="4:17" ht="12.75" customHeight="1" x14ac:dyDescent="0.2">
      <c r="D1757" s="58" t="str">
        <f>IFERROR(IF(F1757&lt;&gt;"pending","",IF(OR($B1757="",$B1757="(blank)"),"",VLOOKUP($B1757,'Email Marketing Raw Data'!$C:$O,10,0))),"")</f>
        <v/>
      </c>
      <c r="E1757" s="59" t="str">
        <f>IFERROR(IF(F1757&lt;&gt;"pending","",IF(OR($B1757="",$B1757="(blank)"),"",VLOOKUP($B1757,'Email Marketing Raw Data'!$C:$O,11,0))),"")</f>
        <v/>
      </c>
      <c r="F1757" s="54" t="str">
        <f>IFERROR(IF(OR($B1757="",$B1757="(blank)"),"",VLOOKUP($B1757,'Email Marketing Raw Data'!$C:$O,13,0)),"")</f>
        <v/>
      </c>
      <c r="G1757" s="55" t="str">
        <f>IFERROR(IF(OR($B1757="",$B1757="(blank)"),"",VLOOKUP($B1757,'Email Marketing Raw Data'!$C:$O,4,0)),"")</f>
        <v/>
      </c>
      <c r="H1757" s="55" t="str">
        <f>IFERROR(IF(OR($B1757="",$B1757="(blank)"),"",VLOOKUP($B1757,'Email Marketing Raw Data'!$C:$O,5,0)),"")</f>
        <v/>
      </c>
      <c r="I1757" s="55" t="str">
        <f>IFERROR(IF($G1757="","",VLOOKUP('Dashboard And Emails Automate'!$G1757,Database!$H:$N,3,0)),"")</f>
        <v/>
      </c>
      <c r="J1757" s="55" t="str">
        <f>IFERROR(IF($G1757="","",VLOOKUP('Dashboard And Emails Automate'!$G1757,Database!$H:$N,4,0)),"")</f>
        <v/>
      </c>
      <c r="K1757" s="55" t="str">
        <f>IFERROR(IF($G1757="","",VLOOKUP('Dashboard And Emails Automate'!$G1757,Database!$H:$N,5,0)),"")</f>
        <v/>
      </c>
      <c r="L1757" s="55" t="str">
        <f>IFERROR(IF($G1757="","",VLOOKUP('Dashboard And Emails Automate'!$G1757,Database!$H:$N,6,0)),"")</f>
        <v/>
      </c>
      <c r="M1757" s="55" t="str">
        <f>IFERROR(IF($G1757="","",VLOOKUP('Dashboard And Emails Automate'!$G1757,Database!$H:$N,7,0)),"")</f>
        <v/>
      </c>
      <c r="N1757" s="55" t="str">
        <f>IFERROR(IF(OR($B1757="",$B1757="(blank)"),"",VLOOKUP($B1757,'Email Marketing Raw Data'!$C:$O,6,0)),"")</f>
        <v/>
      </c>
      <c r="O1757" s="55" t="str">
        <f>IFERROR(IF(OR($B1757="",$B1757="(blank)"),"",VLOOKUP($B1757,'Email Marketing Raw Data'!$C:$O,7,0)),"")</f>
        <v/>
      </c>
      <c r="P1757" s="55" t="str">
        <f>IFERROR(IF(OR($B1757="",$B1757="(blank)"),"",VLOOKUP($B1757,'Email Marketing Raw Data'!$C:$O,8,0)),"")</f>
        <v/>
      </c>
      <c r="Q1757" s="62" t="str">
        <f>IFERROR(IF(OR($B1757="",$B1757="(blank)"),"",VLOOKUP($B1757,'Email Marketing Raw Data'!$C:$O,9,0)),"")</f>
        <v/>
      </c>
    </row>
    <row r="1758" spans="4:17" ht="12.75" customHeight="1" x14ac:dyDescent="0.2">
      <c r="D1758" s="58" t="str">
        <f>IFERROR(IF(F1758&lt;&gt;"pending","",IF(OR($B1758="",$B1758="(blank)"),"",VLOOKUP($B1758,'Email Marketing Raw Data'!$C:$O,10,0))),"")</f>
        <v/>
      </c>
      <c r="E1758" s="59" t="str">
        <f>IFERROR(IF(F1758&lt;&gt;"pending","",IF(OR($B1758="",$B1758="(blank)"),"",VLOOKUP($B1758,'Email Marketing Raw Data'!$C:$O,11,0))),"")</f>
        <v/>
      </c>
      <c r="F1758" s="54" t="str">
        <f>IFERROR(IF(OR($B1758="",$B1758="(blank)"),"",VLOOKUP($B1758,'Email Marketing Raw Data'!$C:$O,13,0)),"")</f>
        <v/>
      </c>
      <c r="G1758" s="55" t="str">
        <f>IFERROR(IF(OR($B1758="",$B1758="(blank)"),"",VLOOKUP($B1758,'Email Marketing Raw Data'!$C:$O,4,0)),"")</f>
        <v/>
      </c>
      <c r="H1758" s="55" t="str">
        <f>IFERROR(IF(OR($B1758="",$B1758="(blank)"),"",VLOOKUP($B1758,'Email Marketing Raw Data'!$C:$O,5,0)),"")</f>
        <v/>
      </c>
      <c r="I1758" s="55" t="str">
        <f>IFERROR(IF($G1758="","",VLOOKUP('Dashboard And Emails Automate'!$G1758,Database!$H:$N,3,0)),"")</f>
        <v/>
      </c>
      <c r="J1758" s="55" t="str">
        <f>IFERROR(IF($G1758="","",VLOOKUP('Dashboard And Emails Automate'!$G1758,Database!$H:$N,4,0)),"")</f>
        <v/>
      </c>
      <c r="K1758" s="55" t="str">
        <f>IFERROR(IF($G1758="","",VLOOKUP('Dashboard And Emails Automate'!$G1758,Database!$H:$N,5,0)),"")</f>
        <v/>
      </c>
      <c r="L1758" s="55" t="str">
        <f>IFERROR(IF($G1758="","",VLOOKUP('Dashboard And Emails Automate'!$G1758,Database!$H:$N,6,0)),"")</f>
        <v/>
      </c>
      <c r="M1758" s="55" t="str">
        <f>IFERROR(IF($G1758="","",VLOOKUP('Dashboard And Emails Automate'!$G1758,Database!$H:$N,7,0)),"")</f>
        <v/>
      </c>
      <c r="N1758" s="55" t="str">
        <f>IFERROR(IF(OR($B1758="",$B1758="(blank)"),"",VLOOKUP($B1758,'Email Marketing Raw Data'!$C:$O,6,0)),"")</f>
        <v/>
      </c>
      <c r="O1758" s="55" t="str">
        <f>IFERROR(IF(OR($B1758="",$B1758="(blank)"),"",VLOOKUP($B1758,'Email Marketing Raw Data'!$C:$O,7,0)),"")</f>
        <v/>
      </c>
      <c r="P1758" s="55" t="str">
        <f>IFERROR(IF(OR($B1758="",$B1758="(blank)"),"",VLOOKUP($B1758,'Email Marketing Raw Data'!$C:$O,8,0)),"")</f>
        <v/>
      </c>
      <c r="Q1758" s="62" t="str">
        <f>IFERROR(IF(OR($B1758="",$B1758="(blank)"),"",VLOOKUP($B1758,'Email Marketing Raw Data'!$C:$O,9,0)),"")</f>
        <v/>
      </c>
    </row>
    <row r="1759" spans="4:17" ht="12.75" customHeight="1" x14ac:dyDescent="0.2">
      <c r="D1759" s="58" t="str">
        <f>IFERROR(IF(F1759&lt;&gt;"pending","",IF(OR($B1759="",$B1759="(blank)"),"",VLOOKUP($B1759,'Email Marketing Raw Data'!$C:$O,10,0))),"")</f>
        <v/>
      </c>
      <c r="E1759" s="59" t="str">
        <f>IFERROR(IF(F1759&lt;&gt;"pending","",IF(OR($B1759="",$B1759="(blank)"),"",VLOOKUP($B1759,'Email Marketing Raw Data'!$C:$O,11,0))),"")</f>
        <v/>
      </c>
      <c r="F1759" s="54" t="str">
        <f>IFERROR(IF(OR($B1759="",$B1759="(blank)"),"",VLOOKUP($B1759,'Email Marketing Raw Data'!$C:$O,13,0)),"")</f>
        <v/>
      </c>
      <c r="G1759" s="55" t="str">
        <f>IFERROR(IF(OR($B1759="",$B1759="(blank)"),"",VLOOKUP($B1759,'Email Marketing Raw Data'!$C:$O,4,0)),"")</f>
        <v/>
      </c>
      <c r="H1759" s="55" t="str">
        <f>IFERROR(IF(OR($B1759="",$B1759="(blank)"),"",VLOOKUP($B1759,'Email Marketing Raw Data'!$C:$O,5,0)),"")</f>
        <v/>
      </c>
      <c r="I1759" s="55" t="str">
        <f>IFERROR(IF($G1759="","",VLOOKUP('Dashboard And Emails Automate'!$G1759,Database!$H:$N,3,0)),"")</f>
        <v/>
      </c>
      <c r="J1759" s="55" t="str">
        <f>IFERROR(IF($G1759="","",VLOOKUP('Dashboard And Emails Automate'!$G1759,Database!$H:$N,4,0)),"")</f>
        <v/>
      </c>
      <c r="K1759" s="55" t="str">
        <f>IFERROR(IF($G1759="","",VLOOKUP('Dashboard And Emails Automate'!$G1759,Database!$H:$N,5,0)),"")</f>
        <v/>
      </c>
      <c r="L1759" s="55" t="str">
        <f>IFERROR(IF($G1759="","",VLOOKUP('Dashboard And Emails Automate'!$G1759,Database!$H:$N,6,0)),"")</f>
        <v/>
      </c>
      <c r="M1759" s="55" t="str">
        <f>IFERROR(IF($G1759="","",VLOOKUP('Dashboard And Emails Automate'!$G1759,Database!$H:$N,7,0)),"")</f>
        <v/>
      </c>
      <c r="N1759" s="55" t="str">
        <f>IFERROR(IF(OR($B1759="",$B1759="(blank)"),"",VLOOKUP($B1759,'Email Marketing Raw Data'!$C:$O,6,0)),"")</f>
        <v/>
      </c>
      <c r="O1759" s="55" t="str">
        <f>IFERROR(IF(OR($B1759="",$B1759="(blank)"),"",VLOOKUP($B1759,'Email Marketing Raw Data'!$C:$O,7,0)),"")</f>
        <v/>
      </c>
      <c r="P1759" s="55" t="str">
        <f>IFERROR(IF(OR($B1759="",$B1759="(blank)"),"",VLOOKUP($B1759,'Email Marketing Raw Data'!$C:$O,8,0)),"")</f>
        <v/>
      </c>
      <c r="Q1759" s="62" t="str">
        <f>IFERROR(IF(OR($B1759="",$B1759="(blank)"),"",VLOOKUP($B1759,'Email Marketing Raw Data'!$C:$O,9,0)),"")</f>
        <v/>
      </c>
    </row>
    <row r="1760" spans="4:17" ht="12.75" customHeight="1" x14ac:dyDescent="0.2">
      <c r="D1760" s="58" t="str">
        <f>IFERROR(IF(F1760&lt;&gt;"pending","",IF(OR($B1760="",$B1760="(blank)"),"",VLOOKUP($B1760,'Email Marketing Raw Data'!$C:$O,10,0))),"")</f>
        <v/>
      </c>
      <c r="E1760" s="59" t="str">
        <f>IFERROR(IF(F1760&lt;&gt;"pending","",IF(OR($B1760="",$B1760="(blank)"),"",VLOOKUP($B1760,'Email Marketing Raw Data'!$C:$O,11,0))),"")</f>
        <v/>
      </c>
      <c r="F1760" s="54" t="str">
        <f>IFERROR(IF(OR($B1760="",$B1760="(blank)"),"",VLOOKUP($B1760,'Email Marketing Raw Data'!$C:$O,13,0)),"")</f>
        <v/>
      </c>
      <c r="G1760" s="55" t="str">
        <f>IFERROR(IF(OR($B1760="",$B1760="(blank)"),"",VLOOKUP($B1760,'Email Marketing Raw Data'!$C:$O,4,0)),"")</f>
        <v/>
      </c>
      <c r="H1760" s="55" t="str">
        <f>IFERROR(IF(OR($B1760="",$B1760="(blank)"),"",VLOOKUP($B1760,'Email Marketing Raw Data'!$C:$O,5,0)),"")</f>
        <v/>
      </c>
      <c r="I1760" s="55" t="str">
        <f>IFERROR(IF($G1760="","",VLOOKUP('Dashboard And Emails Automate'!$G1760,Database!$H:$N,3,0)),"")</f>
        <v/>
      </c>
      <c r="J1760" s="55" t="str">
        <f>IFERROR(IF($G1760="","",VLOOKUP('Dashboard And Emails Automate'!$G1760,Database!$H:$N,4,0)),"")</f>
        <v/>
      </c>
      <c r="K1760" s="55" t="str">
        <f>IFERROR(IF($G1760="","",VLOOKUP('Dashboard And Emails Automate'!$G1760,Database!$H:$N,5,0)),"")</f>
        <v/>
      </c>
      <c r="L1760" s="55" t="str">
        <f>IFERROR(IF($G1760="","",VLOOKUP('Dashboard And Emails Automate'!$G1760,Database!$H:$N,6,0)),"")</f>
        <v/>
      </c>
      <c r="M1760" s="55" t="str">
        <f>IFERROR(IF($G1760="","",VLOOKUP('Dashboard And Emails Automate'!$G1760,Database!$H:$N,7,0)),"")</f>
        <v/>
      </c>
      <c r="N1760" s="55" t="str">
        <f>IFERROR(IF(OR($B1760="",$B1760="(blank)"),"",VLOOKUP($B1760,'Email Marketing Raw Data'!$C:$O,6,0)),"")</f>
        <v/>
      </c>
      <c r="O1760" s="55" t="str">
        <f>IFERROR(IF(OR($B1760="",$B1760="(blank)"),"",VLOOKUP($B1760,'Email Marketing Raw Data'!$C:$O,7,0)),"")</f>
        <v/>
      </c>
      <c r="P1760" s="55" t="str">
        <f>IFERROR(IF(OR($B1760="",$B1760="(blank)"),"",VLOOKUP($B1760,'Email Marketing Raw Data'!$C:$O,8,0)),"")</f>
        <v/>
      </c>
      <c r="Q1760" s="62" t="str">
        <f>IFERROR(IF(OR($B1760="",$B1760="(blank)"),"",VLOOKUP($B1760,'Email Marketing Raw Data'!$C:$O,9,0)),"")</f>
        <v/>
      </c>
    </row>
    <row r="1761" spans="4:17" ht="12.75" customHeight="1" x14ac:dyDescent="0.2">
      <c r="D1761" s="58" t="str">
        <f>IFERROR(IF(F1761&lt;&gt;"pending","",IF(OR($B1761="",$B1761="(blank)"),"",VLOOKUP($B1761,'Email Marketing Raw Data'!$C:$O,10,0))),"")</f>
        <v/>
      </c>
      <c r="E1761" s="59" t="str">
        <f>IFERROR(IF(F1761&lt;&gt;"pending","",IF(OR($B1761="",$B1761="(blank)"),"",VLOOKUP($B1761,'Email Marketing Raw Data'!$C:$O,11,0))),"")</f>
        <v/>
      </c>
      <c r="F1761" s="54" t="str">
        <f>IFERROR(IF(OR($B1761="",$B1761="(blank)"),"",VLOOKUP($B1761,'Email Marketing Raw Data'!$C:$O,13,0)),"")</f>
        <v/>
      </c>
      <c r="G1761" s="55" t="str">
        <f>IFERROR(IF(OR($B1761="",$B1761="(blank)"),"",VLOOKUP($B1761,'Email Marketing Raw Data'!$C:$O,4,0)),"")</f>
        <v/>
      </c>
      <c r="H1761" s="55" t="str">
        <f>IFERROR(IF(OR($B1761="",$B1761="(blank)"),"",VLOOKUP($B1761,'Email Marketing Raw Data'!$C:$O,5,0)),"")</f>
        <v/>
      </c>
      <c r="I1761" s="55" t="str">
        <f>IFERROR(IF($G1761="","",VLOOKUP('Dashboard And Emails Automate'!$G1761,Database!$H:$N,3,0)),"")</f>
        <v/>
      </c>
      <c r="J1761" s="55" t="str">
        <f>IFERROR(IF($G1761="","",VLOOKUP('Dashboard And Emails Automate'!$G1761,Database!$H:$N,4,0)),"")</f>
        <v/>
      </c>
      <c r="K1761" s="55" t="str">
        <f>IFERROR(IF($G1761="","",VLOOKUP('Dashboard And Emails Automate'!$G1761,Database!$H:$N,5,0)),"")</f>
        <v/>
      </c>
      <c r="L1761" s="55" t="str">
        <f>IFERROR(IF($G1761="","",VLOOKUP('Dashboard And Emails Automate'!$G1761,Database!$H:$N,6,0)),"")</f>
        <v/>
      </c>
      <c r="M1761" s="55" t="str">
        <f>IFERROR(IF($G1761="","",VLOOKUP('Dashboard And Emails Automate'!$G1761,Database!$H:$N,7,0)),"")</f>
        <v/>
      </c>
      <c r="N1761" s="55" t="str">
        <f>IFERROR(IF(OR($B1761="",$B1761="(blank)"),"",VLOOKUP($B1761,'Email Marketing Raw Data'!$C:$O,6,0)),"")</f>
        <v/>
      </c>
      <c r="O1761" s="55" t="str">
        <f>IFERROR(IF(OR($B1761="",$B1761="(blank)"),"",VLOOKUP($B1761,'Email Marketing Raw Data'!$C:$O,7,0)),"")</f>
        <v/>
      </c>
      <c r="P1761" s="55" t="str">
        <f>IFERROR(IF(OR($B1761="",$B1761="(blank)"),"",VLOOKUP($B1761,'Email Marketing Raw Data'!$C:$O,8,0)),"")</f>
        <v/>
      </c>
      <c r="Q1761" s="62" t="str">
        <f>IFERROR(IF(OR($B1761="",$B1761="(blank)"),"",VLOOKUP($B1761,'Email Marketing Raw Data'!$C:$O,9,0)),"")</f>
        <v/>
      </c>
    </row>
    <row r="1762" spans="4:17" ht="12.75" customHeight="1" x14ac:dyDescent="0.2">
      <c r="D1762" s="58" t="str">
        <f>IFERROR(IF(F1762&lt;&gt;"pending","",IF(OR($B1762="",$B1762="(blank)"),"",VLOOKUP($B1762,'Email Marketing Raw Data'!$C:$O,10,0))),"")</f>
        <v/>
      </c>
      <c r="E1762" s="59" t="str">
        <f>IFERROR(IF(F1762&lt;&gt;"pending","",IF(OR($B1762="",$B1762="(blank)"),"",VLOOKUP($B1762,'Email Marketing Raw Data'!$C:$O,11,0))),"")</f>
        <v/>
      </c>
      <c r="F1762" s="54" t="str">
        <f>IFERROR(IF(OR($B1762="",$B1762="(blank)"),"",VLOOKUP($B1762,'Email Marketing Raw Data'!$C:$O,13,0)),"")</f>
        <v/>
      </c>
      <c r="G1762" s="55" t="str">
        <f>IFERROR(IF(OR($B1762="",$B1762="(blank)"),"",VLOOKUP($B1762,'Email Marketing Raw Data'!$C:$O,4,0)),"")</f>
        <v/>
      </c>
      <c r="H1762" s="55" t="str">
        <f>IFERROR(IF(OR($B1762="",$B1762="(blank)"),"",VLOOKUP($B1762,'Email Marketing Raw Data'!$C:$O,5,0)),"")</f>
        <v/>
      </c>
      <c r="I1762" s="55" t="str">
        <f>IFERROR(IF($G1762="","",VLOOKUP('Dashboard And Emails Automate'!$G1762,Database!$H:$N,3,0)),"")</f>
        <v/>
      </c>
      <c r="J1762" s="55" t="str">
        <f>IFERROR(IF($G1762="","",VLOOKUP('Dashboard And Emails Automate'!$G1762,Database!$H:$N,4,0)),"")</f>
        <v/>
      </c>
      <c r="K1762" s="55" t="str">
        <f>IFERROR(IF($G1762="","",VLOOKUP('Dashboard And Emails Automate'!$G1762,Database!$H:$N,5,0)),"")</f>
        <v/>
      </c>
      <c r="L1762" s="55" t="str">
        <f>IFERROR(IF($G1762="","",VLOOKUP('Dashboard And Emails Automate'!$G1762,Database!$H:$N,6,0)),"")</f>
        <v/>
      </c>
      <c r="M1762" s="55" t="str">
        <f>IFERROR(IF($G1762="","",VLOOKUP('Dashboard And Emails Automate'!$G1762,Database!$H:$N,7,0)),"")</f>
        <v/>
      </c>
      <c r="N1762" s="55" t="str">
        <f>IFERROR(IF(OR($B1762="",$B1762="(blank)"),"",VLOOKUP($B1762,'Email Marketing Raw Data'!$C:$O,6,0)),"")</f>
        <v/>
      </c>
      <c r="O1762" s="55" t="str">
        <f>IFERROR(IF(OR($B1762="",$B1762="(blank)"),"",VLOOKUP($B1762,'Email Marketing Raw Data'!$C:$O,7,0)),"")</f>
        <v/>
      </c>
      <c r="P1762" s="55" t="str">
        <f>IFERROR(IF(OR($B1762="",$B1762="(blank)"),"",VLOOKUP($B1762,'Email Marketing Raw Data'!$C:$O,8,0)),"")</f>
        <v/>
      </c>
      <c r="Q1762" s="62" t="str">
        <f>IFERROR(IF(OR($B1762="",$B1762="(blank)"),"",VLOOKUP($B1762,'Email Marketing Raw Data'!$C:$O,9,0)),"")</f>
        <v/>
      </c>
    </row>
    <row r="1763" spans="4:17" ht="12.75" customHeight="1" x14ac:dyDescent="0.2">
      <c r="D1763" s="58" t="str">
        <f>IFERROR(IF(F1763&lt;&gt;"pending","",IF(OR($B1763="",$B1763="(blank)"),"",VLOOKUP($B1763,'Email Marketing Raw Data'!$C:$O,10,0))),"")</f>
        <v/>
      </c>
      <c r="E1763" s="59" t="str">
        <f>IFERROR(IF(F1763&lt;&gt;"pending","",IF(OR($B1763="",$B1763="(blank)"),"",VLOOKUP($B1763,'Email Marketing Raw Data'!$C:$O,11,0))),"")</f>
        <v/>
      </c>
      <c r="F1763" s="54" t="str">
        <f>IFERROR(IF(OR($B1763="",$B1763="(blank)"),"",VLOOKUP($B1763,'Email Marketing Raw Data'!$C:$O,13,0)),"")</f>
        <v/>
      </c>
      <c r="G1763" s="55" t="str">
        <f>IFERROR(IF(OR($B1763="",$B1763="(blank)"),"",VLOOKUP($B1763,'Email Marketing Raw Data'!$C:$O,4,0)),"")</f>
        <v/>
      </c>
      <c r="H1763" s="55" t="str">
        <f>IFERROR(IF(OR($B1763="",$B1763="(blank)"),"",VLOOKUP($B1763,'Email Marketing Raw Data'!$C:$O,5,0)),"")</f>
        <v/>
      </c>
      <c r="I1763" s="55" t="str">
        <f>IFERROR(IF($G1763="","",VLOOKUP('Dashboard And Emails Automate'!$G1763,Database!$H:$N,3,0)),"")</f>
        <v/>
      </c>
      <c r="J1763" s="55" t="str">
        <f>IFERROR(IF($G1763="","",VLOOKUP('Dashboard And Emails Automate'!$G1763,Database!$H:$N,4,0)),"")</f>
        <v/>
      </c>
      <c r="K1763" s="55" t="str">
        <f>IFERROR(IF($G1763="","",VLOOKUP('Dashboard And Emails Automate'!$G1763,Database!$H:$N,5,0)),"")</f>
        <v/>
      </c>
      <c r="L1763" s="55" t="str">
        <f>IFERROR(IF($G1763="","",VLOOKUP('Dashboard And Emails Automate'!$G1763,Database!$H:$N,6,0)),"")</f>
        <v/>
      </c>
      <c r="M1763" s="55" t="str">
        <f>IFERROR(IF($G1763="","",VLOOKUP('Dashboard And Emails Automate'!$G1763,Database!$H:$N,7,0)),"")</f>
        <v/>
      </c>
      <c r="N1763" s="55" t="str">
        <f>IFERROR(IF(OR($B1763="",$B1763="(blank)"),"",VLOOKUP($B1763,'Email Marketing Raw Data'!$C:$O,6,0)),"")</f>
        <v/>
      </c>
      <c r="O1763" s="55" t="str">
        <f>IFERROR(IF(OR($B1763="",$B1763="(blank)"),"",VLOOKUP($B1763,'Email Marketing Raw Data'!$C:$O,7,0)),"")</f>
        <v/>
      </c>
      <c r="P1763" s="55" t="str">
        <f>IFERROR(IF(OR($B1763="",$B1763="(blank)"),"",VLOOKUP($B1763,'Email Marketing Raw Data'!$C:$O,8,0)),"")</f>
        <v/>
      </c>
      <c r="Q1763" s="62" t="str">
        <f>IFERROR(IF(OR($B1763="",$B1763="(blank)"),"",VLOOKUP($B1763,'Email Marketing Raw Data'!$C:$O,9,0)),"")</f>
        <v/>
      </c>
    </row>
    <row r="1764" spans="4:17" ht="12.75" customHeight="1" x14ac:dyDescent="0.2">
      <c r="D1764" s="58" t="str">
        <f>IFERROR(IF(F1764&lt;&gt;"pending","",IF(OR($B1764="",$B1764="(blank)"),"",VLOOKUP($B1764,'Email Marketing Raw Data'!$C:$O,10,0))),"")</f>
        <v/>
      </c>
      <c r="E1764" s="59" t="str">
        <f>IFERROR(IF(F1764&lt;&gt;"pending","",IF(OR($B1764="",$B1764="(blank)"),"",VLOOKUP($B1764,'Email Marketing Raw Data'!$C:$O,11,0))),"")</f>
        <v/>
      </c>
      <c r="F1764" s="54" t="str">
        <f>IFERROR(IF(OR($B1764="",$B1764="(blank)"),"",VLOOKUP($B1764,'Email Marketing Raw Data'!$C:$O,13,0)),"")</f>
        <v/>
      </c>
      <c r="G1764" s="55" t="str">
        <f>IFERROR(IF(OR($B1764="",$B1764="(blank)"),"",VLOOKUP($B1764,'Email Marketing Raw Data'!$C:$O,4,0)),"")</f>
        <v/>
      </c>
      <c r="H1764" s="55" t="str">
        <f>IFERROR(IF(OR($B1764="",$B1764="(blank)"),"",VLOOKUP($B1764,'Email Marketing Raw Data'!$C:$O,5,0)),"")</f>
        <v/>
      </c>
      <c r="I1764" s="55" t="str">
        <f>IFERROR(IF($G1764="","",VLOOKUP('Dashboard And Emails Automate'!$G1764,Database!$H:$N,3,0)),"")</f>
        <v/>
      </c>
      <c r="J1764" s="55" t="str">
        <f>IFERROR(IF($G1764="","",VLOOKUP('Dashboard And Emails Automate'!$G1764,Database!$H:$N,4,0)),"")</f>
        <v/>
      </c>
      <c r="K1764" s="55" t="str">
        <f>IFERROR(IF($G1764="","",VLOOKUP('Dashboard And Emails Automate'!$G1764,Database!$H:$N,5,0)),"")</f>
        <v/>
      </c>
      <c r="L1764" s="55" t="str">
        <f>IFERROR(IF($G1764="","",VLOOKUP('Dashboard And Emails Automate'!$G1764,Database!$H:$N,6,0)),"")</f>
        <v/>
      </c>
      <c r="M1764" s="55" t="str">
        <f>IFERROR(IF($G1764="","",VLOOKUP('Dashboard And Emails Automate'!$G1764,Database!$H:$N,7,0)),"")</f>
        <v/>
      </c>
      <c r="N1764" s="55" t="str">
        <f>IFERROR(IF(OR($B1764="",$B1764="(blank)"),"",VLOOKUP($B1764,'Email Marketing Raw Data'!$C:$O,6,0)),"")</f>
        <v/>
      </c>
      <c r="O1764" s="55" t="str">
        <f>IFERROR(IF(OR($B1764="",$B1764="(blank)"),"",VLOOKUP($B1764,'Email Marketing Raw Data'!$C:$O,7,0)),"")</f>
        <v/>
      </c>
      <c r="P1764" s="55" t="str">
        <f>IFERROR(IF(OR($B1764="",$B1764="(blank)"),"",VLOOKUP($B1764,'Email Marketing Raw Data'!$C:$O,8,0)),"")</f>
        <v/>
      </c>
      <c r="Q1764" s="62" t="str">
        <f>IFERROR(IF(OR($B1764="",$B1764="(blank)"),"",VLOOKUP($B1764,'Email Marketing Raw Data'!$C:$O,9,0)),"")</f>
        <v/>
      </c>
    </row>
    <row r="1765" spans="4:17" ht="12.75" customHeight="1" x14ac:dyDescent="0.2">
      <c r="D1765" s="58" t="str">
        <f>IFERROR(IF(F1765&lt;&gt;"pending","",IF(OR($B1765="",$B1765="(blank)"),"",VLOOKUP($B1765,'Email Marketing Raw Data'!$C:$O,10,0))),"")</f>
        <v/>
      </c>
      <c r="E1765" s="59" t="str">
        <f>IFERROR(IF(F1765&lt;&gt;"pending","",IF(OR($B1765="",$B1765="(blank)"),"",VLOOKUP($B1765,'Email Marketing Raw Data'!$C:$O,11,0))),"")</f>
        <v/>
      </c>
      <c r="F1765" s="54" t="str">
        <f>IFERROR(IF(OR($B1765="",$B1765="(blank)"),"",VLOOKUP($B1765,'Email Marketing Raw Data'!$C:$O,13,0)),"")</f>
        <v/>
      </c>
      <c r="G1765" s="55" t="str">
        <f>IFERROR(IF(OR($B1765="",$B1765="(blank)"),"",VLOOKUP($B1765,'Email Marketing Raw Data'!$C:$O,4,0)),"")</f>
        <v/>
      </c>
      <c r="H1765" s="55" t="str">
        <f>IFERROR(IF(OR($B1765="",$B1765="(blank)"),"",VLOOKUP($B1765,'Email Marketing Raw Data'!$C:$O,5,0)),"")</f>
        <v/>
      </c>
      <c r="I1765" s="55" t="str">
        <f>IFERROR(IF($G1765="","",VLOOKUP('Dashboard And Emails Automate'!$G1765,Database!$H:$N,3,0)),"")</f>
        <v/>
      </c>
      <c r="J1765" s="55" t="str">
        <f>IFERROR(IF($G1765="","",VLOOKUP('Dashboard And Emails Automate'!$G1765,Database!$H:$N,4,0)),"")</f>
        <v/>
      </c>
      <c r="K1765" s="55" t="str">
        <f>IFERROR(IF($G1765="","",VLOOKUP('Dashboard And Emails Automate'!$G1765,Database!$H:$N,5,0)),"")</f>
        <v/>
      </c>
      <c r="L1765" s="55" t="str">
        <f>IFERROR(IF($G1765="","",VLOOKUP('Dashboard And Emails Automate'!$G1765,Database!$H:$N,6,0)),"")</f>
        <v/>
      </c>
      <c r="M1765" s="55" t="str">
        <f>IFERROR(IF($G1765="","",VLOOKUP('Dashboard And Emails Automate'!$G1765,Database!$H:$N,7,0)),"")</f>
        <v/>
      </c>
      <c r="N1765" s="55" t="str">
        <f>IFERROR(IF(OR($B1765="",$B1765="(blank)"),"",VLOOKUP($B1765,'Email Marketing Raw Data'!$C:$O,6,0)),"")</f>
        <v/>
      </c>
      <c r="O1765" s="55" t="str">
        <f>IFERROR(IF(OR($B1765="",$B1765="(blank)"),"",VLOOKUP($B1765,'Email Marketing Raw Data'!$C:$O,7,0)),"")</f>
        <v/>
      </c>
      <c r="P1765" s="55" t="str">
        <f>IFERROR(IF(OR($B1765="",$B1765="(blank)"),"",VLOOKUP($B1765,'Email Marketing Raw Data'!$C:$O,8,0)),"")</f>
        <v/>
      </c>
      <c r="Q1765" s="62" t="str">
        <f>IFERROR(IF(OR($B1765="",$B1765="(blank)"),"",VLOOKUP($B1765,'Email Marketing Raw Data'!$C:$O,9,0)),"")</f>
        <v/>
      </c>
    </row>
    <row r="1766" spans="4:17" ht="12.75" customHeight="1" x14ac:dyDescent="0.2">
      <c r="D1766" s="58" t="str">
        <f>IFERROR(IF(F1766&lt;&gt;"pending","",IF(OR($B1766="",$B1766="(blank)"),"",VLOOKUP($B1766,'Email Marketing Raw Data'!$C:$O,10,0))),"")</f>
        <v/>
      </c>
      <c r="E1766" s="59" t="str">
        <f>IFERROR(IF(F1766&lt;&gt;"pending","",IF(OR($B1766="",$B1766="(blank)"),"",VLOOKUP($B1766,'Email Marketing Raw Data'!$C:$O,11,0))),"")</f>
        <v/>
      </c>
      <c r="F1766" s="54" t="str">
        <f>IFERROR(IF(OR($B1766="",$B1766="(blank)"),"",VLOOKUP($B1766,'Email Marketing Raw Data'!$C:$O,13,0)),"")</f>
        <v/>
      </c>
      <c r="G1766" s="55" t="str">
        <f>IFERROR(IF(OR($B1766="",$B1766="(blank)"),"",VLOOKUP($B1766,'Email Marketing Raw Data'!$C:$O,4,0)),"")</f>
        <v/>
      </c>
      <c r="H1766" s="55" t="str">
        <f>IFERROR(IF(OR($B1766="",$B1766="(blank)"),"",VLOOKUP($B1766,'Email Marketing Raw Data'!$C:$O,5,0)),"")</f>
        <v/>
      </c>
      <c r="I1766" s="55" t="str">
        <f>IFERROR(IF($G1766="","",VLOOKUP('Dashboard And Emails Automate'!$G1766,Database!$H:$N,3,0)),"")</f>
        <v/>
      </c>
      <c r="J1766" s="55" t="str">
        <f>IFERROR(IF($G1766="","",VLOOKUP('Dashboard And Emails Automate'!$G1766,Database!$H:$N,4,0)),"")</f>
        <v/>
      </c>
      <c r="K1766" s="55" t="str">
        <f>IFERROR(IF($G1766="","",VLOOKUP('Dashboard And Emails Automate'!$G1766,Database!$H:$N,5,0)),"")</f>
        <v/>
      </c>
      <c r="L1766" s="55" t="str">
        <f>IFERROR(IF($G1766="","",VLOOKUP('Dashboard And Emails Automate'!$G1766,Database!$H:$N,6,0)),"")</f>
        <v/>
      </c>
      <c r="M1766" s="55" t="str">
        <f>IFERROR(IF($G1766="","",VLOOKUP('Dashboard And Emails Automate'!$G1766,Database!$H:$N,7,0)),"")</f>
        <v/>
      </c>
      <c r="N1766" s="55" t="str">
        <f>IFERROR(IF(OR($B1766="",$B1766="(blank)"),"",VLOOKUP($B1766,'Email Marketing Raw Data'!$C:$O,6,0)),"")</f>
        <v/>
      </c>
      <c r="O1766" s="55" t="str">
        <f>IFERROR(IF(OR($B1766="",$B1766="(blank)"),"",VLOOKUP($B1766,'Email Marketing Raw Data'!$C:$O,7,0)),"")</f>
        <v/>
      </c>
      <c r="P1766" s="55" t="str">
        <f>IFERROR(IF(OR($B1766="",$B1766="(blank)"),"",VLOOKUP($B1766,'Email Marketing Raw Data'!$C:$O,8,0)),"")</f>
        <v/>
      </c>
      <c r="Q1766" s="62" t="str">
        <f>IFERROR(IF(OR($B1766="",$B1766="(blank)"),"",VLOOKUP($B1766,'Email Marketing Raw Data'!$C:$O,9,0)),"")</f>
        <v/>
      </c>
    </row>
    <row r="1767" spans="4:17" ht="12.75" customHeight="1" x14ac:dyDescent="0.2">
      <c r="D1767" s="58" t="str">
        <f>IFERROR(IF(F1767&lt;&gt;"pending","",IF(OR($B1767="",$B1767="(blank)"),"",VLOOKUP($B1767,'Email Marketing Raw Data'!$C:$O,10,0))),"")</f>
        <v/>
      </c>
      <c r="E1767" s="59" t="str">
        <f>IFERROR(IF(F1767&lt;&gt;"pending","",IF(OR($B1767="",$B1767="(blank)"),"",VLOOKUP($B1767,'Email Marketing Raw Data'!$C:$O,11,0))),"")</f>
        <v/>
      </c>
      <c r="F1767" s="54" t="str">
        <f>IFERROR(IF(OR($B1767="",$B1767="(blank)"),"",VLOOKUP($B1767,'Email Marketing Raw Data'!$C:$O,13,0)),"")</f>
        <v/>
      </c>
      <c r="G1767" s="55" t="str">
        <f>IFERROR(IF(OR($B1767="",$B1767="(blank)"),"",VLOOKUP($B1767,'Email Marketing Raw Data'!$C:$O,4,0)),"")</f>
        <v/>
      </c>
      <c r="H1767" s="55" t="str">
        <f>IFERROR(IF(OR($B1767="",$B1767="(blank)"),"",VLOOKUP($B1767,'Email Marketing Raw Data'!$C:$O,5,0)),"")</f>
        <v/>
      </c>
      <c r="I1767" s="55" t="str">
        <f>IFERROR(IF($G1767="","",VLOOKUP('Dashboard And Emails Automate'!$G1767,Database!$H:$N,3,0)),"")</f>
        <v/>
      </c>
      <c r="J1767" s="55" t="str">
        <f>IFERROR(IF($G1767="","",VLOOKUP('Dashboard And Emails Automate'!$G1767,Database!$H:$N,4,0)),"")</f>
        <v/>
      </c>
      <c r="K1767" s="55" t="str">
        <f>IFERROR(IF($G1767="","",VLOOKUP('Dashboard And Emails Automate'!$G1767,Database!$H:$N,5,0)),"")</f>
        <v/>
      </c>
      <c r="L1767" s="55" t="str">
        <f>IFERROR(IF($G1767="","",VLOOKUP('Dashboard And Emails Automate'!$G1767,Database!$H:$N,6,0)),"")</f>
        <v/>
      </c>
      <c r="M1767" s="55" t="str">
        <f>IFERROR(IF($G1767="","",VLOOKUP('Dashboard And Emails Automate'!$G1767,Database!$H:$N,7,0)),"")</f>
        <v/>
      </c>
      <c r="N1767" s="55" t="str">
        <f>IFERROR(IF(OR($B1767="",$B1767="(blank)"),"",VLOOKUP($B1767,'Email Marketing Raw Data'!$C:$O,6,0)),"")</f>
        <v/>
      </c>
      <c r="O1767" s="55" t="str">
        <f>IFERROR(IF(OR($B1767="",$B1767="(blank)"),"",VLOOKUP($B1767,'Email Marketing Raw Data'!$C:$O,7,0)),"")</f>
        <v/>
      </c>
      <c r="P1767" s="55" t="str">
        <f>IFERROR(IF(OR($B1767="",$B1767="(blank)"),"",VLOOKUP($B1767,'Email Marketing Raw Data'!$C:$O,8,0)),"")</f>
        <v/>
      </c>
      <c r="Q1767" s="62" t="str">
        <f>IFERROR(IF(OR($B1767="",$B1767="(blank)"),"",VLOOKUP($B1767,'Email Marketing Raw Data'!$C:$O,9,0)),"")</f>
        <v/>
      </c>
    </row>
    <row r="1768" spans="4:17" ht="12.75" customHeight="1" x14ac:dyDescent="0.2">
      <c r="D1768" s="58" t="str">
        <f>IFERROR(IF(F1768&lt;&gt;"pending","",IF(OR($B1768="",$B1768="(blank)"),"",VLOOKUP($B1768,'Email Marketing Raw Data'!$C:$O,10,0))),"")</f>
        <v/>
      </c>
      <c r="E1768" s="59" t="str">
        <f>IFERROR(IF(F1768&lt;&gt;"pending","",IF(OR($B1768="",$B1768="(blank)"),"",VLOOKUP($B1768,'Email Marketing Raw Data'!$C:$O,11,0))),"")</f>
        <v/>
      </c>
      <c r="F1768" s="54" t="str">
        <f>IFERROR(IF(OR($B1768="",$B1768="(blank)"),"",VLOOKUP($B1768,'Email Marketing Raw Data'!$C:$O,13,0)),"")</f>
        <v/>
      </c>
      <c r="G1768" s="55" t="str">
        <f>IFERROR(IF(OR($B1768="",$B1768="(blank)"),"",VLOOKUP($B1768,'Email Marketing Raw Data'!$C:$O,4,0)),"")</f>
        <v/>
      </c>
      <c r="H1768" s="55" t="str">
        <f>IFERROR(IF(OR($B1768="",$B1768="(blank)"),"",VLOOKUP($B1768,'Email Marketing Raw Data'!$C:$O,5,0)),"")</f>
        <v/>
      </c>
      <c r="I1768" s="55" t="str">
        <f>IFERROR(IF($G1768="","",VLOOKUP('Dashboard And Emails Automate'!$G1768,Database!$H:$N,3,0)),"")</f>
        <v/>
      </c>
      <c r="J1768" s="55" t="str">
        <f>IFERROR(IF($G1768="","",VLOOKUP('Dashboard And Emails Automate'!$G1768,Database!$H:$N,4,0)),"")</f>
        <v/>
      </c>
      <c r="K1768" s="55" t="str">
        <f>IFERROR(IF($G1768="","",VLOOKUP('Dashboard And Emails Automate'!$G1768,Database!$H:$N,5,0)),"")</f>
        <v/>
      </c>
      <c r="L1768" s="55" t="str">
        <f>IFERROR(IF($G1768="","",VLOOKUP('Dashboard And Emails Automate'!$G1768,Database!$H:$N,6,0)),"")</f>
        <v/>
      </c>
      <c r="M1768" s="55" t="str">
        <f>IFERROR(IF($G1768="","",VLOOKUP('Dashboard And Emails Automate'!$G1768,Database!$H:$N,7,0)),"")</f>
        <v/>
      </c>
      <c r="N1768" s="55" t="str">
        <f>IFERROR(IF(OR($B1768="",$B1768="(blank)"),"",VLOOKUP($B1768,'Email Marketing Raw Data'!$C:$O,6,0)),"")</f>
        <v/>
      </c>
      <c r="O1768" s="55" t="str">
        <f>IFERROR(IF(OR($B1768="",$B1768="(blank)"),"",VLOOKUP($B1768,'Email Marketing Raw Data'!$C:$O,7,0)),"")</f>
        <v/>
      </c>
      <c r="P1768" s="55" t="str">
        <f>IFERROR(IF(OR($B1768="",$B1768="(blank)"),"",VLOOKUP($B1768,'Email Marketing Raw Data'!$C:$O,8,0)),"")</f>
        <v/>
      </c>
      <c r="Q1768" s="62" t="str">
        <f>IFERROR(IF(OR($B1768="",$B1768="(blank)"),"",VLOOKUP($B1768,'Email Marketing Raw Data'!$C:$O,9,0)),"")</f>
        <v/>
      </c>
    </row>
    <row r="1769" spans="4:17" ht="12.75" customHeight="1" x14ac:dyDescent="0.2">
      <c r="D1769" s="58" t="str">
        <f>IFERROR(IF(F1769&lt;&gt;"pending","",IF(OR($B1769="",$B1769="(blank)"),"",VLOOKUP($B1769,'Email Marketing Raw Data'!$C:$O,10,0))),"")</f>
        <v/>
      </c>
      <c r="E1769" s="59" t="str">
        <f>IFERROR(IF(F1769&lt;&gt;"pending","",IF(OR($B1769="",$B1769="(blank)"),"",VLOOKUP($B1769,'Email Marketing Raw Data'!$C:$O,11,0))),"")</f>
        <v/>
      </c>
      <c r="F1769" s="54" t="str">
        <f>IFERROR(IF(OR($B1769="",$B1769="(blank)"),"",VLOOKUP($B1769,'Email Marketing Raw Data'!$C:$O,13,0)),"")</f>
        <v/>
      </c>
      <c r="G1769" s="55" t="str">
        <f>IFERROR(IF(OR($B1769="",$B1769="(blank)"),"",VLOOKUP($B1769,'Email Marketing Raw Data'!$C:$O,4,0)),"")</f>
        <v/>
      </c>
      <c r="H1769" s="55" t="str">
        <f>IFERROR(IF(OR($B1769="",$B1769="(blank)"),"",VLOOKUP($B1769,'Email Marketing Raw Data'!$C:$O,5,0)),"")</f>
        <v/>
      </c>
      <c r="I1769" s="55" t="str">
        <f>IFERROR(IF($G1769="","",VLOOKUP('Dashboard And Emails Automate'!$G1769,Database!$H:$N,3,0)),"")</f>
        <v/>
      </c>
      <c r="J1769" s="55" t="str">
        <f>IFERROR(IF($G1769="","",VLOOKUP('Dashboard And Emails Automate'!$G1769,Database!$H:$N,4,0)),"")</f>
        <v/>
      </c>
      <c r="K1769" s="55" t="str">
        <f>IFERROR(IF($G1769="","",VLOOKUP('Dashboard And Emails Automate'!$G1769,Database!$H:$N,5,0)),"")</f>
        <v/>
      </c>
      <c r="L1769" s="55" t="str">
        <f>IFERROR(IF($G1769="","",VLOOKUP('Dashboard And Emails Automate'!$G1769,Database!$H:$N,6,0)),"")</f>
        <v/>
      </c>
      <c r="M1769" s="55" t="str">
        <f>IFERROR(IF($G1769="","",VLOOKUP('Dashboard And Emails Automate'!$G1769,Database!$H:$N,7,0)),"")</f>
        <v/>
      </c>
      <c r="N1769" s="55" t="str">
        <f>IFERROR(IF(OR($B1769="",$B1769="(blank)"),"",VLOOKUP($B1769,'Email Marketing Raw Data'!$C:$O,6,0)),"")</f>
        <v/>
      </c>
      <c r="O1769" s="55" t="str">
        <f>IFERROR(IF(OR($B1769="",$B1769="(blank)"),"",VLOOKUP($B1769,'Email Marketing Raw Data'!$C:$O,7,0)),"")</f>
        <v/>
      </c>
      <c r="P1769" s="55" t="str">
        <f>IFERROR(IF(OR($B1769="",$B1769="(blank)"),"",VLOOKUP($B1769,'Email Marketing Raw Data'!$C:$O,8,0)),"")</f>
        <v/>
      </c>
      <c r="Q1769" s="62" t="str">
        <f>IFERROR(IF(OR($B1769="",$B1769="(blank)"),"",VLOOKUP($B1769,'Email Marketing Raw Data'!$C:$O,9,0)),"")</f>
        <v/>
      </c>
    </row>
    <row r="1770" spans="4:17" ht="12.75" customHeight="1" x14ac:dyDescent="0.2">
      <c r="D1770" s="58" t="str">
        <f>IFERROR(IF(F1770&lt;&gt;"pending","",IF(OR($B1770="",$B1770="(blank)"),"",VLOOKUP($B1770,'Email Marketing Raw Data'!$C:$O,10,0))),"")</f>
        <v/>
      </c>
      <c r="E1770" s="59" t="str">
        <f>IFERROR(IF(F1770&lt;&gt;"pending","",IF(OR($B1770="",$B1770="(blank)"),"",VLOOKUP($B1770,'Email Marketing Raw Data'!$C:$O,11,0))),"")</f>
        <v/>
      </c>
      <c r="F1770" s="54" t="str">
        <f>IFERROR(IF(OR($B1770="",$B1770="(blank)"),"",VLOOKUP($B1770,'Email Marketing Raw Data'!$C:$O,13,0)),"")</f>
        <v/>
      </c>
      <c r="G1770" s="55" t="str">
        <f>IFERROR(IF(OR($B1770="",$B1770="(blank)"),"",VLOOKUP($B1770,'Email Marketing Raw Data'!$C:$O,4,0)),"")</f>
        <v/>
      </c>
      <c r="H1770" s="55" t="str">
        <f>IFERROR(IF(OR($B1770="",$B1770="(blank)"),"",VLOOKUP($B1770,'Email Marketing Raw Data'!$C:$O,5,0)),"")</f>
        <v/>
      </c>
      <c r="I1770" s="55" t="str">
        <f>IFERROR(IF($G1770="","",VLOOKUP('Dashboard And Emails Automate'!$G1770,Database!$H:$N,3,0)),"")</f>
        <v/>
      </c>
      <c r="J1770" s="55" t="str">
        <f>IFERROR(IF($G1770="","",VLOOKUP('Dashboard And Emails Automate'!$G1770,Database!$H:$N,4,0)),"")</f>
        <v/>
      </c>
      <c r="K1770" s="55" t="str">
        <f>IFERROR(IF($G1770="","",VLOOKUP('Dashboard And Emails Automate'!$G1770,Database!$H:$N,5,0)),"")</f>
        <v/>
      </c>
      <c r="L1770" s="55" t="str">
        <f>IFERROR(IF($G1770="","",VLOOKUP('Dashboard And Emails Automate'!$G1770,Database!$H:$N,6,0)),"")</f>
        <v/>
      </c>
      <c r="M1770" s="55" t="str">
        <f>IFERROR(IF($G1770="","",VLOOKUP('Dashboard And Emails Automate'!$G1770,Database!$H:$N,7,0)),"")</f>
        <v/>
      </c>
      <c r="N1770" s="55" t="str">
        <f>IFERROR(IF(OR($B1770="",$B1770="(blank)"),"",VLOOKUP($B1770,'Email Marketing Raw Data'!$C:$O,6,0)),"")</f>
        <v/>
      </c>
      <c r="O1770" s="55" t="str">
        <f>IFERROR(IF(OR($B1770="",$B1770="(blank)"),"",VLOOKUP($B1770,'Email Marketing Raw Data'!$C:$O,7,0)),"")</f>
        <v/>
      </c>
      <c r="P1770" s="55" t="str">
        <f>IFERROR(IF(OR($B1770="",$B1770="(blank)"),"",VLOOKUP($B1770,'Email Marketing Raw Data'!$C:$O,8,0)),"")</f>
        <v/>
      </c>
      <c r="Q1770" s="62" t="str">
        <f>IFERROR(IF(OR($B1770="",$B1770="(blank)"),"",VLOOKUP($B1770,'Email Marketing Raw Data'!$C:$O,9,0)),"")</f>
        <v/>
      </c>
    </row>
    <row r="1771" spans="4:17" ht="12.75" customHeight="1" x14ac:dyDescent="0.2">
      <c r="D1771" s="58" t="str">
        <f>IFERROR(IF(F1771&lt;&gt;"pending","",IF(OR($B1771="",$B1771="(blank)"),"",VLOOKUP($B1771,'Email Marketing Raw Data'!$C:$O,10,0))),"")</f>
        <v/>
      </c>
      <c r="E1771" s="59" t="str">
        <f>IFERROR(IF(F1771&lt;&gt;"pending","",IF(OR($B1771="",$B1771="(blank)"),"",VLOOKUP($B1771,'Email Marketing Raw Data'!$C:$O,11,0))),"")</f>
        <v/>
      </c>
      <c r="F1771" s="54" t="str">
        <f>IFERROR(IF(OR($B1771="",$B1771="(blank)"),"",VLOOKUP($B1771,'Email Marketing Raw Data'!$C:$O,13,0)),"")</f>
        <v/>
      </c>
      <c r="G1771" s="55" t="str">
        <f>IFERROR(IF(OR($B1771="",$B1771="(blank)"),"",VLOOKUP($B1771,'Email Marketing Raw Data'!$C:$O,4,0)),"")</f>
        <v/>
      </c>
      <c r="H1771" s="55" t="str">
        <f>IFERROR(IF(OR($B1771="",$B1771="(blank)"),"",VLOOKUP($B1771,'Email Marketing Raw Data'!$C:$O,5,0)),"")</f>
        <v/>
      </c>
      <c r="I1771" s="55" t="str">
        <f>IFERROR(IF($G1771="","",VLOOKUP('Dashboard And Emails Automate'!$G1771,Database!$H:$N,3,0)),"")</f>
        <v/>
      </c>
      <c r="J1771" s="55" t="str">
        <f>IFERROR(IF($G1771="","",VLOOKUP('Dashboard And Emails Automate'!$G1771,Database!$H:$N,4,0)),"")</f>
        <v/>
      </c>
      <c r="K1771" s="55" t="str">
        <f>IFERROR(IF($G1771="","",VLOOKUP('Dashboard And Emails Automate'!$G1771,Database!$H:$N,5,0)),"")</f>
        <v/>
      </c>
      <c r="L1771" s="55" t="str">
        <f>IFERROR(IF($G1771="","",VLOOKUP('Dashboard And Emails Automate'!$G1771,Database!$H:$N,6,0)),"")</f>
        <v/>
      </c>
      <c r="M1771" s="55" t="str">
        <f>IFERROR(IF($G1771="","",VLOOKUP('Dashboard And Emails Automate'!$G1771,Database!$H:$N,7,0)),"")</f>
        <v/>
      </c>
      <c r="N1771" s="55" t="str">
        <f>IFERROR(IF(OR($B1771="",$B1771="(blank)"),"",VLOOKUP($B1771,'Email Marketing Raw Data'!$C:$O,6,0)),"")</f>
        <v/>
      </c>
      <c r="O1771" s="55" t="str">
        <f>IFERROR(IF(OR($B1771="",$B1771="(blank)"),"",VLOOKUP($B1771,'Email Marketing Raw Data'!$C:$O,7,0)),"")</f>
        <v/>
      </c>
      <c r="P1771" s="55" t="str">
        <f>IFERROR(IF(OR($B1771="",$B1771="(blank)"),"",VLOOKUP($B1771,'Email Marketing Raw Data'!$C:$O,8,0)),"")</f>
        <v/>
      </c>
      <c r="Q1771" s="62" t="str">
        <f>IFERROR(IF(OR($B1771="",$B1771="(blank)"),"",VLOOKUP($B1771,'Email Marketing Raw Data'!$C:$O,9,0)),"")</f>
        <v/>
      </c>
    </row>
    <row r="1772" spans="4:17" ht="12.75" customHeight="1" x14ac:dyDescent="0.2">
      <c r="D1772" s="58" t="str">
        <f>IFERROR(IF(F1772&lt;&gt;"pending","",IF(OR($B1772="",$B1772="(blank)"),"",VLOOKUP($B1772,'Email Marketing Raw Data'!$C:$O,10,0))),"")</f>
        <v/>
      </c>
      <c r="E1772" s="59" t="str">
        <f>IFERROR(IF(F1772&lt;&gt;"pending","",IF(OR($B1772="",$B1772="(blank)"),"",VLOOKUP($B1772,'Email Marketing Raw Data'!$C:$O,11,0))),"")</f>
        <v/>
      </c>
      <c r="F1772" s="54" t="str">
        <f>IFERROR(IF(OR($B1772="",$B1772="(blank)"),"",VLOOKUP($B1772,'Email Marketing Raw Data'!$C:$O,13,0)),"")</f>
        <v/>
      </c>
      <c r="G1772" s="55" t="str">
        <f>IFERROR(IF(OR($B1772="",$B1772="(blank)"),"",VLOOKUP($B1772,'Email Marketing Raw Data'!$C:$O,4,0)),"")</f>
        <v/>
      </c>
      <c r="H1772" s="55" t="str">
        <f>IFERROR(IF(OR($B1772="",$B1772="(blank)"),"",VLOOKUP($B1772,'Email Marketing Raw Data'!$C:$O,5,0)),"")</f>
        <v/>
      </c>
      <c r="I1772" s="55" t="str">
        <f>IFERROR(IF($G1772="","",VLOOKUP('Dashboard And Emails Automate'!$G1772,Database!$H:$N,3,0)),"")</f>
        <v/>
      </c>
      <c r="J1772" s="55" t="str">
        <f>IFERROR(IF($G1772="","",VLOOKUP('Dashboard And Emails Automate'!$G1772,Database!$H:$N,4,0)),"")</f>
        <v/>
      </c>
      <c r="K1772" s="55" t="str">
        <f>IFERROR(IF($G1772="","",VLOOKUP('Dashboard And Emails Automate'!$G1772,Database!$H:$N,5,0)),"")</f>
        <v/>
      </c>
      <c r="L1772" s="55" t="str">
        <f>IFERROR(IF($G1772="","",VLOOKUP('Dashboard And Emails Automate'!$G1772,Database!$H:$N,6,0)),"")</f>
        <v/>
      </c>
      <c r="M1772" s="55" t="str">
        <f>IFERROR(IF($G1772="","",VLOOKUP('Dashboard And Emails Automate'!$G1772,Database!$H:$N,7,0)),"")</f>
        <v/>
      </c>
      <c r="N1772" s="55" t="str">
        <f>IFERROR(IF(OR($B1772="",$B1772="(blank)"),"",VLOOKUP($B1772,'Email Marketing Raw Data'!$C:$O,6,0)),"")</f>
        <v/>
      </c>
      <c r="O1772" s="55" t="str">
        <f>IFERROR(IF(OR($B1772="",$B1772="(blank)"),"",VLOOKUP($B1772,'Email Marketing Raw Data'!$C:$O,7,0)),"")</f>
        <v/>
      </c>
      <c r="P1772" s="55" t="str">
        <f>IFERROR(IF(OR($B1772="",$B1772="(blank)"),"",VLOOKUP($B1772,'Email Marketing Raw Data'!$C:$O,8,0)),"")</f>
        <v/>
      </c>
      <c r="Q1772" s="62" t="str">
        <f>IFERROR(IF(OR($B1772="",$B1772="(blank)"),"",VLOOKUP($B1772,'Email Marketing Raw Data'!$C:$O,9,0)),"")</f>
        <v/>
      </c>
    </row>
    <row r="1773" spans="4:17" ht="12.75" customHeight="1" x14ac:dyDescent="0.2">
      <c r="D1773" s="58" t="str">
        <f>IFERROR(IF(F1773&lt;&gt;"pending","",IF(OR($B1773="",$B1773="(blank)"),"",VLOOKUP($B1773,'Email Marketing Raw Data'!$C:$O,10,0))),"")</f>
        <v/>
      </c>
      <c r="E1773" s="59" t="str">
        <f>IFERROR(IF(F1773&lt;&gt;"pending","",IF(OR($B1773="",$B1773="(blank)"),"",VLOOKUP($B1773,'Email Marketing Raw Data'!$C:$O,11,0))),"")</f>
        <v/>
      </c>
      <c r="F1773" s="54" t="str">
        <f>IFERROR(IF(OR($B1773="",$B1773="(blank)"),"",VLOOKUP($B1773,'Email Marketing Raw Data'!$C:$O,13,0)),"")</f>
        <v/>
      </c>
      <c r="G1773" s="55" t="str">
        <f>IFERROR(IF(OR($B1773="",$B1773="(blank)"),"",VLOOKUP($B1773,'Email Marketing Raw Data'!$C:$O,4,0)),"")</f>
        <v/>
      </c>
      <c r="H1773" s="55" t="str">
        <f>IFERROR(IF(OR($B1773="",$B1773="(blank)"),"",VLOOKUP($B1773,'Email Marketing Raw Data'!$C:$O,5,0)),"")</f>
        <v/>
      </c>
      <c r="I1773" s="55" t="str">
        <f>IFERROR(IF($G1773="","",VLOOKUP('Dashboard And Emails Automate'!$G1773,Database!$H:$N,3,0)),"")</f>
        <v/>
      </c>
      <c r="J1773" s="55" t="str">
        <f>IFERROR(IF($G1773="","",VLOOKUP('Dashboard And Emails Automate'!$G1773,Database!$H:$N,4,0)),"")</f>
        <v/>
      </c>
      <c r="K1773" s="55" t="str">
        <f>IFERROR(IF($G1773="","",VLOOKUP('Dashboard And Emails Automate'!$G1773,Database!$H:$N,5,0)),"")</f>
        <v/>
      </c>
      <c r="L1773" s="55" t="str">
        <f>IFERROR(IF($G1773="","",VLOOKUP('Dashboard And Emails Automate'!$G1773,Database!$H:$N,6,0)),"")</f>
        <v/>
      </c>
      <c r="M1773" s="55" t="str">
        <f>IFERROR(IF($G1773="","",VLOOKUP('Dashboard And Emails Automate'!$G1773,Database!$H:$N,7,0)),"")</f>
        <v/>
      </c>
      <c r="N1773" s="55" t="str">
        <f>IFERROR(IF(OR($B1773="",$B1773="(blank)"),"",VLOOKUP($B1773,'Email Marketing Raw Data'!$C:$O,6,0)),"")</f>
        <v/>
      </c>
      <c r="O1773" s="55" t="str">
        <f>IFERROR(IF(OR($B1773="",$B1773="(blank)"),"",VLOOKUP($B1773,'Email Marketing Raw Data'!$C:$O,7,0)),"")</f>
        <v/>
      </c>
      <c r="P1773" s="55" t="str">
        <f>IFERROR(IF(OR($B1773="",$B1773="(blank)"),"",VLOOKUP($B1773,'Email Marketing Raw Data'!$C:$O,8,0)),"")</f>
        <v/>
      </c>
      <c r="Q1773" s="62" t="str">
        <f>IFERROR(IF(OR($B1773="",$B1773="(blank)"),"",VLOOKUP($B1773,'Email Marketing Raw Data'!$C:$O,9,0)),"")</f>
        <v/>
      </c>
    </row>
    <row r="1774" spans="4:17" ht="12.75" customHeight="1" x14ac:dyDescent="0.2">
      <c r="D1774" s="58" t="str">
        <f>IFERROR(IF(F1774&lt;&gt;"pending","",IF(OR($B1774="",$B1774="(blank)"),"",VLOOKUP($B1774,'Email Marketing Raw Data'!$C:$O,10,0))),"")</f>
        <v/>
      </c>
      <c r="E1774" s="59" t="str">
        <f>IFERROR(IF(F1774&lt;&gt;"pending","",IF(OR($B1774="",$B1774="(blank)"),"",VLOOKUP($B1774,'Email Marketing Raw Data'!$C:$O,11,0))),"")</f>
        <v/>
      </c>
      <c r="F1774" s="54" t="str">
        <f>IFERROR(IF(OR($B1774="",$B1774="(blank)"),"",VLOOKUP($B1774,'Email Marketing Raw Data'!$C:$O,13,0)),"")</f>
        <v/>
      </c>
      <c r="G1774" s="55" t="str">
        <f>IFERROR(IF(OR($B1774="",$B1774="(blank)"),"",VLOOKUP($B1774,'Email Marketing Raw Data'!$C:$O,4,0)),"")</f>
        <v/>
      </c>
      <c r="H1774" s="55" t="str">
        <f>IFERROR(IF(OR($B1774="",$B1774="(blank)"),"",VLOOKUP($B1774,'Email Marketing Raw Data'!$C:$O,5,0)),"")</f>
        <v/>
      </c>
      <c r="I1774" s="55" t="str">
        <f>IFERROR(IF($G1774="","",VLOOKUP('Dashboard And Emails Automate'!$G1774,Database!$H:$N,3,0)),"")</f>
        <v/>
      </c>
      <c r="J1774" s="55" t="str">
        <f>IFERROR(IF($G1774="","",VLOOKUP('Dashboard And Emails Automate'!$G1774,Database!$H:$N,4,0)),"")</f>
        <v/>
      </c>
      <c r="K1774" s="55" t="str">
        <f>IFERROR(IF($G1774="","",VLOOKUP('Dashboard And Emails Automate'!$G1774,Database!$H:$N,5,0)),"")</f>
        <v/>
      </c>
      <c r="L1774" s="55" t="str">
        <f>IFERROR(IF($G1774="","",VLOOKUP('Dashboard And Emails Automate'!$G1774,Database!$H:$N,6,0)),"")</f>
        <v/>
      </c>
      <c r="M1774" s="55" t="str">
        <f>IFERROR(IF($G1774="","",VLOOKUP('Dashboard And Emails Automate'!$G1774,Database!$H:$N,7,0)),"")</f>
        <v/>
      </c>
      <c r="N1774" s="55" t="str">
        <f>IFERROR(IF(OR($B1774="",$B1774="(blank)"),"",VLOOKUP($B1774,'Email Marketing Raw Data'!$C:$O,6,0)),"")</f>
        <v/>
      </c>
      <c r="O1774" s="55" t="str">
        <f>IFERROR(IF(OR($B1774="",$B1774="(blank)"),"",VLOOKUP($B1774,'Email Marketing Raw Data'!$C:$O,7,0)),"")</f>
        <v/>
      </c>
      <c r="P1774" s="55" t="str">
        <f>IFERROR(IF(OR($B1774="",$B1774="(blank)"),"",VLOOKUP($B1774,'Email Marketing Raw Data'!$C:$O,8,0)),"")</f>
        <v/>
      </c>
      <c r="Q1774" s="62" t="str">
        <f>IFERROR(IF(OR($B1774="",$B1774="(blank)"),"",VLOOKUP($B1774,'Email Marketing Raw Data'!$C:$O,9,0)),"")</f>
        <v/>
      </c>
    </row>
    <row r="1775" spans="4:17" ht="12.75" customHeight="1" x14ac:dyDescent="0.2">
      <c r="D1775" s="58" t="str">
        <f>IFERROR(IF(F1775&lt;&gt;"pending","",IF(OR($B1775="",$B1775="(blank)"),"",VLOOKUP($B1775,'Email Marketing Raw Data'!$C:$O,10,0))),"")</f>
        <v/>
      </c>
      <c r="E1775" s="59" t="str">
        <f>IFERROR(IF(F1775&lt;&gt;"pending","",IF(OR($B1775="",$B1775="(blank)"),"",VLOOKUP($B1775,'Email Marketing Raw Data'!$C:$O,11,0))),"")</f>
        <v/>
      </c>
      <c r="F1775" s="54" t="str">
        <f>IFERROR(IF(OR($B1775="",$B1775="(blank)"),"",VLOOKUP($B1775,'Email Marketing Raw Data'!$C:$O,13,0)),"")</f>
        <v/>
      </c>
      <c r="G1775" s="55" t="str">
        <f>IFERROR(IF(OR($B1775="",$B1775="(blank)"),"",VLOOKUP($B1775,'Email Marketing Raw Data'!$C:$O,4,0)),"")</f>
        <v/>
      </c>
      <c r="H1775" s="55" t="str">
        <f>IFERROR(IF(OR($B1775="",$B1775="(blank)"),"",VLOOKUP($B1775,'Email Marketing Raw Data'!$C:$O,5,0)),"")</f>
        <v/>
      </c>
      <c r="I1775" s="55" t="str">
        <f>IFERROR(IF($G1775="","",VLOOKUP('Dashboard And Emails Automate'!$G1775,Database!$H:$N,3,0)),"")</f>
        <v/>
      </c>
      <c r="J1775" s="55" t="str">
        <f>IFERROR(IF($G1775="","",VLOOKUP('Dashboard And Emails Automate'!$G1775,Database!$H:$N,4,0)),"")</f>
        <v/>
      </c>
      <c r="K1775" s="55" t="str">
        <f>IFERROR(IF($G1775="","",VLOOKUP('Dashboard And Emails Automate'!$G1775,Database!$H:$N,5,0)),"")</f>
        <v/>
      </c>
      <c r="L1775" s="55" t="str">
        <f>IFERROR(IF($G1775="","",VLOOKUP('Dashboard And Emails Automate'!$G1775,Database!$H:$N,6,0)),"")</f>
        <v/>
      </c>
      <c r="M1775" s="55" t="str">
        <f>IFERROR(IF($G1775="","",VLOOKUP('Dashboard And Emails Automate'!$G1775,Database!$H:$N,7,0)),"")</f>
        <v/>
      </c>
      <c r="N1775" s="55" t="str">
        <f>IFERROR(IF(OR($B1775="",$B1775="(blank)"),"",VLOOKUP($B1775,'Email Marketing Raw Data'!$C:$O,6,0)),"")</f>
        <v/>
      </c>
      <c r="O1775" s="55" t="str">
        <f>IFERROR(IF(OR($B1775="",$B1775="(blank)"),"",VLOOKUP($B1775,'Email Marketing Raw Data'!$C:$O,7,0)),"")</f>
        <v/>
      </c>
      <c r="P1775" s="55" t="str">
        <f>IFERROR(IF(OR($B1775="",$B1775="(blank)"),"",VLOOKUP($B1775,'Email Marketing Raw Data'!$C:$O,8,0)),"")</f>
        <v/>
      </c>
      <c r="Q1775" s="62" t="str">
        <f>IFERROR(IF(OR($B1775="",$B1775="(blank)"),"",VLOOKUP($B1775,'Email Marketing Raw Data'!$C:$O,9,0)),"")</f>
        <v/>
      </c>
    </row>
    <row r="1776" spans="4:17" ht="12.75" customHeight="1" x14ac:dyDescent="0.2">
      <c r="D1776" s="58" t="str">
        <f>IFERROR(IF(F1776&lt;&gt;"pending","",IF(OR($B1776="",$B1776="(blank)"),"",VLOOKUP($B1776,'Email Marketing Raw Data'!$C:$O,10,0))),"")</f>
        <v/>
      </c>
      <c r="E1776" s="59" t="str">
        <f>IFERROR(IF(F1776&lt;&gt;"pending","",IF(OR($B1776="",$B1776="(blank)"),"",VLOOKUP($B1776,'Email Marketing Raw Data'!$C:$O,11,0))),"")</f>
        <v/>
      </c>
      <c r="F1776" s="54" t="str">
        <f>IFERROR(IF(OR($B1776="",$B1776="(blank)"),"",VLOOKUP($B1776,'Email Marketing Raw Data'!$C:$O,13,0)),"")</f>
        <v/>
      </c>
      <c r="G1776" s="55" t="str">
        <f>IFERROR(IF(OR($B1776="",$B1776="(blank)"),"",VLOOKUP($B1776,'Email Marketing Raw Data'!$C:$O,4,0)),"")</f>
        <v/>
      </c>
      <c r="H1776" s="55" t="str">
        <f>IFERROR(IF(OR($B1776="",$B1776="(blank)"),"",VLOOKUP($B1776,'Email Marketing Raw Data'!$C:$O,5,0)),"")</f>
        <v/>
      </c>
      <c r="I1776" s="55" t="str">
        <f>IFERROR(IF($G1776="","",VLOOKUP('Dashboard And Emails Automate'!$G1776,Database!$H:$N,3,0)),"")</f>
        <v/>
      </c>
      <c r="J1776" s="55" t="str">
        <f>IFERROR(IF($G1776="","",VLOOKUP('Dashboard And Emails Automate'!$G1776,Database!$H:$N,4,0)),"")</f>
        <v/>
      </c>
      <c r="K1776" s="55" t="str">
        <f>IFERROR(IF($G1776="","",VLOOKUP('Dashboard And Emails Automate'!$G1776,Database!$H:$N,5,0)),"")</f>
        <v/>
      </c>
      <c r="L1776" s="55" t="str">
        <f>IFERROR(IF($G1776="","",VLOOKUP('Dashboard And Emails Automate'!$G1776,Database!$H:$N,6,0)),"")</f>
        <v/>
      </c>
      <c r="M1776" s="55" t="str">
        <f>IFERROR(IF($G1776="","",VLOOKUP('Dashboard And Emails Automate'!$G1776,Database!$H:$N,7,0)),"")</f>
        <v/>
      </c>
      <c r="N1776" s="55" t="str">
        <f>IFERROR(IF(OR($B1776="",$B1776="(blank)"),"",VLOOKUP($B1776,'Email Marketing Raw Data'!$C:$O,6,0)),"")</f>
        <v/>
      </c>
      <c r="O1776" s="55" t="str">
        <f>IFERROR(IF(OR($B1776="",$B1776="(blank)"),"",VLOOKUP($B1776,'Email Marketing Raw Data'!$C:$O,7,0)),"")</f>
        <v/>
      </c>
      <c r="P1776" s="55" t="str">
        <f>IFERROR(IF(OR($B1776="",$B1776="(blank)"),"",VLOOKUP($B1776,'Email Marketing Raw Data'!$C:$O,8,0)),"")</f>
        <v/>
      </c>
      <c r="Q1776" s="62" t="str">
        <f>IFERROR(IF(OR($B1776="",$B1776="(blank)"),"",VLOOKUP($B1776,'Email Marketing Raw Data'!$C:$O,9,0)),"")</f>
        <v/>
      </c>
    </row>
    <row r="1777" spans="4:17" ht="12.75" customHeight="1" x14ac:dyDescent="0.2">
      <c r="D1777" s="58" t="str">
        <f>IFERROR(IF(F1777&lt;&gt;"pending","",IF(OR($B1777="",$B1777="(blank)"),"",VLOOKUP($B1777,'Email Marketing Raw Data'!$C:$O,10,0))),"")</f>
        <v/>
      </c>
      <c r="E1777" s="59" t="str">
        <f>IFERROR(IF(F1777&lt;&gt;"pending","",IF(OR($B1777="",$B1777="(blank)"),"",VLOOKUP($B1777,'Email Marketing Raw Data'!$C:$O,11,0))),"")</f>
        <v/>
      </c>
      <c r="F1777" s="54" t="str">
        <f>IFERROR(IF(OR($B1777="",$B1777="(blank)"),"",VLOOKUP($B1777,'Email Marketing Raw Data'!$C:$O,13,0)),"")</f>
        <v/>
      </c>
      <c r="G1777" s="55" t="str">
        <f>IFERROR(IF(OR($B1777="",$B1777="(blank)"),"",VLOOKUP($B1777,'Email Marketing Raw Data'!$C:$O,4,0)),"")</f>
        <v/>
      </c>
      <c r="H1777" s="55" t="str">
        <f>IFERROR(IF(OR($B1777="",$B1777="(blank)"),"",VLOOKUP($B1777,'Email Marketing Raw Data'!$C:$O,5,0)),"")</f>
        <v/>
      </c>
      <c r="I1777" s="55" t="str">
        <f>IFERROR(IF($G1777="","",VLOOKUP('Dashboard And Emails Automate'!$G1777,Database!$H:$N,3,0)),"")</f>
        <v/>
      </c>
      <c r="J1777" s="55" t="str">
        <f>IFERROR(IF($G1777="","",VLOOKUP('Dashboard And Emails Automate'!$G1777,Database!$H:$N,4,0)),"")</f>
        <v/>
      </c>
      <c r="K1777" s="55" t="str">
        <f>IFERROR(IF($G1777="","",VLOOKUP('Dashboard And Emails Automate'!$G1777,Database!$H:$N,5,0)),"")</f>
        <v/>
      </c>
      <c r="L1777" s="55" t="str">
        <f>IFERROR(IF($G1777="","",VLOOKUP('Dashboard And Emails Automate'!$G1777,Database!$H:$N,6,0)),"")</f>
        <v/>
      </c>
      <c r="M1777" s="55" t="str">
        <f>IFERROR(IF($G1777="","",VLOOKUP('Dashboard And Emails Automate'!$G1777,Database!$H:$N,7,0)),"")</f>
        <v/>
      </c>
      <c r="N1777" s="55" t="str">
        <f>IFERROR(IF(OR($B1777="",$B1777="(blank)"),"",VLOOKUP($B1777,'Email Marketing Raw Data'!$C:$O,6,0)),"")</f>
        <v/>
      </c>
      <c r="O1777" s="55" t="str">
        <f>IFERROR(IF(OR($B1777="",$B1777="(blank)"),"",VLOOKUP($B1777,'Email Marketing Raw Data'!$C:$O,7,0)),"")</f>
        <v/>
      </c>
      <c r="P1777" s="55" t="str">
        <f>IFERROR(IF(OR($B1777="",$B1777="(blank)"),"",VLOOKUP($B1777,'Email Marketing Raw Data'!$C:$O,8,0)),"")</f>
        <v/>
      </c>
      <c r="Q1777" s="62" t="str">
        <f>IFERROR(IF(OR($B1777="",$B1777="(blank)"),"",VLOOKUP($B1777,'Email Marketing Raw Data'!$C:$O,9,0)),"")</f>
        <v/>
      </c>
    </row>
    <row r="1778" spans="4:17" ht="12.75" customHeight="1" x14ac:dyDescent="0.2">
      <c r="D1778" s="58" t="str">
        <f>IFERROR(IF(F1778&lt;&gt;"pending","",IF(OR($B1778="",$B1778="(blank)"),"",VLOOKUP($B1778,'Email Marketing Raw Data'!$C:$O,10,0))),"")</f>
        <v/>
      </c>
      <c r="E1778" s="59" t="str">
        <f>IFERROR(IF(F1778&lt;&gt;"pending","",IF(OR($B1778="",$B1778="(blank)"),"",VLOOKUP($B1778,'Email Marketing Raw Data'!$C:$O,11,0))),"")</f>
        <v/>
      </c>
      <c r="F1778" s="54" t="str">
        <f>IFERROR(IF(OR($B1778="",$B1778="(blank)"),"",VLOOKUP($B1778,'Email Marketing Raw Data'!$C:$O,13,0)),"")</f>
        <v/>
      </c>
      <c r="G1778" s="55" t="str">
        <f>IFERROR(IF(OR($B1778="",$B1778="(blank)"),"",VLOOKUP($B1778,'Email Marketing Raw Data'!$C:$O,4,0)),"")</f>
        <v/>
      </c>
      <c r="H1778" s="55" t="str">
        <f>IFERROR(IF(OR($B1778="",$B1778="(blank)"),"",VLOOKUP($B1778,'Email Marketing Raw Data'!$C:$O,5,0)),"")</f>
        <v/>
      </c>
      <c r="I1778" s="55" t="str">
        <f>IFERROR(IF($G1778="","",VLOOKUP('Dashboard And Emails Automate'!$G1778,Database!$H:$N,3,0)),"")</f>
        <v/>
      </c>
      <c r="J1778" s="55" t="str">
        <f>IFERROR(IF($G1778="","",VLOOKUP('Dashboard And Emails Automate'!$G1778,Database!$H:$N,4,0)),"")</f>
        <v/>
      </c>
      <c r="K1778" s="55" t="str">
        <f>IFERROR(IF($G1778="","",VLOOKUP('Dashboard And Emails Automate'!$G1778,Database!$H:$N,5,0)),"")</f>
        <v/>
      </c>
      <c r="L1778" s="55" t="str">
        <f>IFERROR(IF($G1778="","",VLOOKUP('Dashboard And Emails Automate'!$G1778,Database!$H:$N,6,0)),"")</f>
        <v/>
      </c>
      <c r="M1778" s="55" t="str">
        <f>IFERROR(IF($G1778="","",VLOOKUP('Dashboard And Emails Automate'!$G1778,Database!$H:$N,7,0)),"")</f>
        <v/>
      </c>
      <c r="N1778" s="55" t="str">
        <f>IFERROR(IF(OR($B1778="",$B1778="(blank)"),"",VLOOKUP($B1778,'Email Marketing Raw Data'!$C:$O,6,0)),"")</f>
        <v/>
      </c>
      <c r="O1778" s="55" t="str">
        <f>IFERROR(IF(OR($B1778="",$B1778="(blank)"),"",VLOOKUP($B1778,'Email Marketing Raw Data'!$C:$O,7,0)),"")</f>
        <v/>
      </c>
      <c r="P1778" s="55" t="str">
        <f>IFERROR(IF(OR($B1778="",$B1778="(blank)"),"",VLOOKUP($B1778,'Email Marketing Raw Data'!$C:$O,8,0)),"")</f>
        <v/>
      </c>
      <c r="Q1778" s="62" t="str">
        <f>IFERROR(IF(OR($B1778="",$B1778="(blank)"),"",VLOOKUP($B1778,'Email Marketing Raw Data'!$C:$O,9,0)),"")</f>
        <v/>
      </c>
    </row>
    <row r="1779" spans="4:17" ht="12.75" customHeight="1" x14ac:dyDescent="0.2">
      <c r="D1779" s="58" t="str">
        <f>IFERROR(IF(F1779&lt;&gt;"pending","",IF(OR($B1779="",$B1779="(blank)"),"",VLOOKUP($B1779,'Email Marketing Raw Data'!$C:$O,10,0))),"")</f>
        <v/>
      </c>
      <c r="E1779" s="59" t="str">
        <f>IFERROR(IF(F1779&lt;&gt;"pending","",IF(OR($B1779="",$B1779="(blank)"),"",VLOOKUP($B1779,'Email Marketing Raw Data'!$C:$O,11,0))),"")</f>
        <v/>
      </c>
      <c r="F1779" s="54" t="str">
        <f>IFERROR(IF(OR($B1779="",$B1779="(blank)"),"",VLOOKUP($B1779,'Email Marketing Raw Data'!$C:$O,13,0)),"")</f>
        <v/>
      </c>
      <c r="G1779" s="55" t="str">
        <f>IFERROR(IF(OR($B1779="",$B1779="(blank)"),"",VLOOKUP($B1779,'Email Marketing Raw Data'!$C:$O,4,0)),"")</f>
        <v/>
      </c>
      <c r="H1779" s="55" t="str">
        <f>IFERROR(IF(OR($B1779="",$B1779="(blank)"),"",VLOOKUP($B1779,'Email Marketing Raw Data'!$C:$O,5,0)),"")</f>
        <v/>
      </c>
      <c r="I1779" s="55" t="str">
        <f>IFERROR(IF($G1779="","",VLOOKUP('Dashboard And Emails Automate'!$G1779,Database!$H:$N,3,0)),"")</f>
        <v/>
      </c>
      <c r="J1779" s="55" t="str">
        <f>IFERROR(IF($G1779="","",VLOOKUP('Dashboard And Emails Automate'!$G1779,Database!$H:$N,4,0)),"")</f>
        <v/>
      </c>
      <c r="K1779" s="55" t="str">
        <f>IFERROR(IF($G1779="","",VLOOKUP('Dashboard And Emails Automate'!$G1779,Database!$H:$N,5,0)),"")</f>
        <v/>
      </c>
      <c r="L1779" s="55" t="str">
        <f>IFERROR(IF($G1779="","",VLOOKUP('Dashboard And Emails Automate'!$G1779,Database!$H:$N,6,0)),"")</f>
        <v/>
      </c>
      <c r="M1779" s="55" t="str">
        <f>IFERROR(IF($G1779="","",VLOOKUP('Dashboard And Emails Automate'!$G1779,Database!$H:$N,7,0)),"")</f>
        <v/>
      </c>
      <c r="N1779" s="55" t="str">
        <f>IFERROR(IF(OR($B1779="",$B1779="(blank)"),"",VLOOKUP($B1779,'Email Marketing Raw Data'!$C:$O,6,0)),"")</f>
        <v/>
      </c>
      <c r="O1779" s="55" t="str">
        <f>IFERROR(IF(OR($B1779="",$B1779="(blank)"),"",VLOOKUP($B1779,'Email Marketing Raw Data'!$C:$O,7,0)),"")</f>
        <v/>
      </c>
      <c r="P1779" s="55" t="str">
        <f>IFERROR(IF(OR($B1779="",$B1779="(blank)"),"",VLOOKUP($B1779,'Email Marketing Raw Data'!$C:$O,8,0)),"")</f>
        <v/>
      </c>
      <c r="Q1779" s="62" t="str">
        <f>IFERROR(IF(OR($B1779="",$B1779="(blank)"),"",VLOOKUP($B1779,'Email Marketing Raw Data'!$C:$O,9,0)),"")</f>
        <v/>
      </c>
    </row>
    <row r="1780" spans="4:17" ht="12.75" customHeight="1" x14ac:dyDescent="0.2">
      <c r="D1780" s="58" t="str">
        <f>IFERROR(IF(F1780&lt;&gt;"pending","",IF(OR($B1780="",$B1780="(blank)"),"",VLOOKUP($B1780,'Email Marketing Raw Data'!$C:$O,10,0))),"")</f>
        <v/>
      </c>
      <c r="E1780" s="59" t="str">
        <f>IFERROR(IF(F1780&lt;&gt;"pending","",IF(OR($B1780="",$B1780="(blank)"),"",VLOOKUP($B1780,'Email Marketing Raw Data'!$C:$O,11,0))),"")</f>
        <v/>
      </c>
      <c r="F1780" s="54" t="str">
        <f>IFERROR(IF(OR($B1780="",$B1780="(blank)"),"",VLOOKUP($B1780,'Email Marketing Raw Data'!$C:$O,13,0)),"")</f>
        <v/>
      </c>
      <c r="G1780" s="55" t="str">
        <f>IFERROR(IF(OR($B1780="",$B1780="(blank)"),"",VLOOKUP($B1780,'Email Marketing Raw Data'!$C:$O,4,0)),"")</f>
        <v/>
      </c>
      <c r="H1780" s="55" t="str">
        <f>IFERROR(IF(OR($B1780="",$B1780="(blank)"),"",VLOOKUP($B1780,'Email Marketing Raw Data'!$C:$O,5,0)),"")</f>
        <v/>
      </c>
      <c r="I1780" s="55" t="str">
        <f>IFERROR(IF($G1780="","",VLOOKUP('Dashboard And Emails Automate'!$G1780,Database!$H:$N,3,0)),"")</f>
        <v/>
      </c>
      <c r="J1780" s="55" t="str">
        <f>IFERROR(IF($G1780="","",VLOOKUP('Dashboard And Emails Automate'!$G1780,Database!$H:$N,4,0)),"")</f>
        <v/>
      </c>
      <c r="K1780" s="55" t="str">
        <f>IFERROR(IF($G1780="","",VLOOKUP('Dashboard And Emails Automate'!$G1780,Database!$H:$N,5,0)),"")</f>
        <v/>
      </c>
      <c r="L1780" s="55" t="str">
        <f>IFERROR(IF($G1780="","",VLOOKUP('Dashboard And Emails Automate'!$G1780,Database!$H:$N,6,0)),"")</f>
        <v/>
      </c>
      <c r="M1780" s="55" t="str">
        <f>IFERROR(IF($G1780="","",VLOOKUP('Dashboard And Emails Automate'!$G1780,Database!$H:$N,7,0)),"")</f>
        <v/>
      </c>
      <c r="N1780" s="55" t="str">
        <f>IFERROR(IF(OR($B1780="",$B1780="(blank)"),"",VLOOKUP($B1780,'Email Marketing Raw Data'!$C:$O,6,0)),"")</f>
        <v/>
      </c>
      <c r="O1780" s="55" t="str">
        <f>IFERROR(IF(OR($B1780="",$B1780="(blank)"),"",VLOOKUP($B1780,'Email Marketing Raw Data'!$C:$O,7,0)),"")</f>
        <v/>
      </c>
      <c r="P1780" s="55" t="str">
        <f>IFERROR(IF(OR($B1780="",$B1780="(blank)"),"",VLOOKUP($B1780,'Email Marketing Raw Data'!$C:$O,8,0)),"")</f>
        <v/>
      </c>
      <c r="Q1780" s="62" t="str">
        <f>IFERROR(IF(OR($B1780="",$B1780="(blank)"),"",VLOOKUP($B1780,'Email Marketing Raw Data'!$C:$O,9,0)),"")</f>
        <v/>
      </c>
    </row>
    <row r="1781" spans="4:17" ht="12.75" customHeight="1" x14ac:dyDescent="0.2">
      <c r="D1781" s="58" t="str">
        <f>IFERROR(IF(F1781&lt;&gt;"pending","",IF(OR($B1781="",$B1781="(blank)"),"",VLOOKUP($B1781,'Email Marketing Raw Data'!$C:$O,10,0))),"")</f>
        <v/>
      </c>
      <c r="E1781" s="59" t="str">
        <f>IFERROR(IF(F1781&lt;&gt;"pending","",IF(OR($B1781="",$B1781="(blank)"),"",VLOOKUP($B1781,'Email Marketing Raw Data'!$C:$O,11,0))),"")</f>
        <v/>
      </c>
      <c r="F1781" s="54" t="str">
        <f>IFERROR(IF(OR($B1781="",$B1781="(blank)"),"",VLOOKUP($B1781,'Email Marketing Raw Data'!$C:$O,13,0)),"")</f>
        <v/>
      </c>
      <c r="G1781" s="55" t="str">
        <f>IFERROR(IF(OR($B1781="",$B1781="(blank)"),"",VLOOKUP($B1781,'Email Marketing Raw Data'!$C:$O,4,0)),"")</f>
        <v/>
      </c>
      <c r="H1781" s="55" t="str">
        <f>IFERROR(IF(OR($B1781="",$B1781="(blank)"),"",VLOOKUP($B1781,'Email Marketing Raw Data'!$C:$O,5,0)),"")</f>
        <v/>
      </c>
      <c r="I1781" s="55" t="str">
        <f>IFERROR(IF($G1781="","",VLOOKUP('Dashboard And Emails Automate'!$G1781,Database!$H:$N,3,0)),"")</f>
        <v/>
      </c>
      <c r="J1781" s="55" t="str">
        <f>IFERROR(IF($G1781="","",VLOOKUP('Dashboard And Emails Automate'!$G1781,Database!$H:$N,4,0)),"")</f>
        <v/>
      </c>
      <c r="K1781" s="55" t="str">
        <f>IFERROR(IF($G1781="","",VLOOKUP('Dashboard And Emails Automate'!$G1781,Database!$H:$N,5,0)),"")</f>
        <v/>
      </c>
      <c r="L1781" s="55" t="str">
        <f>IFERROR(IF($G1781="","",VLOOKUP('Dashboard And Emails Automate'!$G1781,Database!$H:$N,6,0)),"")</f>
        <v/>
      </c>
      <c r="M1781" s="55" t="str">
        <f>IFERROR(IF($G1781="","",VLOOKUP('Dashboard And Emails Automate'!$G1781,Database!$H:$N,7,0)),"")</f>
        <v/>
      </c>
      <c r="N1781" s="55" t="str">
        <f>IFERROR(IF(OR($B1781="",$B1781="(blank)"),"",VLOOKUP($B1781,'Email Marketing Raw Data'!$C:$O,6,0)),"")</f>
        <v/>
      </c>
      <c r="O1781" s="55" t="str">
        <f>IFERROR(IF(OR($B1781="",$B1781="(blank)"),"",VLOOKUP($B1781,'Email Marketing Raw Data'!$C:$O,7,0)),"")</f>
        <v/>
      </c>
      <c r="P1781" s="55" t="str">
        <f>IFERROR(IF(OR($B1781="",$B1781="(blank)"),"",VLOOKUP($B1781,'Email Marketing Raw Data'!$C:$O,8,0)),"")</f>
        <v/>
      </c>
      <c r="Q1781" s="62" t="str">
        <f>IFERROR(IF(OR($B1781="",$B1781="(blank)"),"",VLOOKUP($B1781,'Email Marketing Raw Data'!$C:$O,9,0)),"")</f>
        <v/>
      </c>
    </row>
    <row r="1782" spans="4:17" ht="12.75" customHeight="1" x14ac:dyDescent="0.2">
      <c r="D1782" s="58" t="str">
        <f>IFERROR(IF(F1782&lt;&gt;"pending","",IF(OR($B1782="",$B1782="(blank)"),"",VLOOKUP($B1782,'Email Marketing Raw Data'!$C:$O,10,0))),"")</f>
        <v/>
      </c>
      <c r="E1782" s="59" t="str">
        <f>IFERROR(IF(F1782&lt;&gt;"pending","",IF(OR($B1782="",$B1782="(blank)"),"",VLOOKUP($B1782,'Email Marketing Raw Data'!$C:$O,11,0))),"")</f>
        <v/>
      </c>
      <c r="F1782" s="54" t="str">
        <f>IFERROR(IF(OR($B1782="",$B1782="(blank)"),"",VLOOKUP($B1782,'Email Marketing Raw Data'!$C:$O,13,0)),"")</f>
        <v/>
      </c>
      <c r="G1782" s="55" t="str">
        <f>IFERROR(IF(OR($B1782="",$B1782="(blank)"),"",VLOOKUP($B1782,'Email Marketing Raw Data'!$C:$O,4,0)),"")</f>
        <v/>
      </c>
      <c r="H1782" s="55" t="str">
        <f>IFERROR(IF(OR($B1782="",$B1782="(blank)"),"",VLOOKUP($B1782,'Email Marketing Raw Data'!$C:$O,5,0)),"")</f>
        <v/>
      </c>
      <c r="I1782" s="55" t="str">
        <f>IFERROR(IF($G1782="","",VLOOKUP('Dashboard And Emails Automate'!$G1782,Database!$H:$N,3,0)),"")</f>
        <v/>
      </c>
      <c r="J1782" s="55" t="str">
        <f>IFERROR(IF($G1782="","",VLOOKUP('Dashboard And Emails Automate'!$G1782,Database!$H:$N,4,0)),"")</f>
        <v/>
      </c>
      <c r="K1782" s="55" t="str">
        <f>IFERROR(IF($G1782="","",VLOOKUP('Dashboard And Emails Automate'!$G1782,Database!$H:$N,5,0)),"")</f>
        <v/>
      </c>
      <c r="L1782" s="55" t="str">
        <f>IFERROR(IF($G1782="","",VLOOKUP('Dashboard And Emails Automate'!$G1782,Database!$H:$N,6,0)),"")</f>
        <v/>
      </c>
      <c r="M1782" s="55" t="str">
        <f>IFERROR(IF($G1782="","",VLOOKUP('Dashboard And Emails Automate'!$G1782,Database!$H:$N,7,0)),"")</f>
        <v/>
      </c>
      <c r="N1782" s="55" t="str">
        <f>IFERROR(IF(OR($B1782="",$B1782="(blank)"),"",VLOOKUP($B1782,'Email Marketing Raw Data'!$C:$O,6,0)),"")</f>
        <v/>
      </c>
      <c r="O1782" s="55" t="str">
        <f>IFERROR(IF(OR($B1782="",$B1782="(blank)"),"",VLOOKUP($B1782,'Email Marketing Raw Data'!$C:$O,7,0)),"")</f>
        <v/>
      </c>
      <c r="P1782" s="55" t="str">
        <f>IFERROR(IF(OR($B1782="",$B1782="(blank)"),"",VLOOKUP($B1782,'Email Marketing Raw Data'!$C:$O,8,0)),"")</f>
        <v/>
      </c>
      <c r="Q1782" s="62" t="str">
        <f>IFERROR(IF(OR($B1782="",$B1782="(blank)"),"",VLOOKUP($B1782,'Email Marketing Raw Data'!$C:$O,9,0)),"")</f>
        <v/>
      </c>
    </row>
    <row r="1783" spans="4:17" ht="12.75" customHeight="1" x14ac:dyDescent="0.2">
      <c r="D1783" s="58" t="str">
        <f>IFERROR(IF(F1783&lt;&gt;"pending","",IF(OR($B1783="",$B1783="(blank)"),"",VLOOKUP($B1783,'Email Marketing Raw Data'!$C:$O,10,0))),"")</f>
        <v/>
      </c>
      <c r="E1783" s="59" t="str">
        <f>IFERROR(IF(F1783&lt;&gt;"pending","",IF(OR($B1783="",$B1783="(blank)"),"",VLOOKUP($B1783,'Email Marketing Raw Data'!$C:$O,11,0))),"")</f>
        <v/>
      </c>
      <c r="F1783" s="54" t="str">
        <f>IFERROR(IF(OR($B1783="",$B1783="(blank)"),"",VLOOKUP($B1783,'Email Marketing Raw Data'!$C:$O,13,0)),"")</f>
        <v/>
      </c>
      <c r="G1783" s="55" t="str">
        <f>IFERROR(IF(OR($B1783="",$B1783="(blank)"),"",VLOOKUP($B1783,'Email Marketing Raw Data'!$C:$O,4,0)),"")</f>
        <v/>
      </c>
      <c r="H1783" s="55" t="str">
        <f>IFERROR(IF(OR($B1783="",$B1783="(blank)"),"",VLOOKUP($B1783,'Email Marketing Raw Data'!$C:$O,5,0)),"")</f>
        <v/>
      </c>
      <c r="I1783" s="55" t="str">
        <f>IFERROR(IF($G1783="","",VLOOKUP('Dashboard And Emails Automate'!$G1783,Database!$H:$N,3,0)),"")</f>
        <v/>
      </c>
      <c r="J1783" s="55" t="str">
        <f>IFERROR(IF($G1783="","",VLOOKUP('Dashboard And Emails Automate'!$G1783,Database!$H:$N,4,0)),"")</f>
        <v/>
      </c>
      <c r="K1783" s="55" t="str">
        <f>IFERROR(IF($G1783="","",VLOOKUP('Dashboard And Emails Automate'!$G1783,Database!$H:$N,5,0)),"")</f>
        <v/>
      </c>
      <c r="L1783" s="55" t="str">
        <f>IFERROR(IF($G1783="","",VLOOKUP('Dashboard And Emails Automate'!$G1783,Database!$H:$N,6,0)),"")</f>
        <v/>
      </c>
      <c r="M1783" s="55" t="str">
        <f>IFERROR(IF($G1783="","",VLOOKUP('Dashboard And Emails Automate'!$G1783,Database!$H:$N,7,0)),"")</f>
        <v/>
      </c>
      <c r="N1783" s="55" t="str">
        <f>IFERROR(IF(OR($B1783="",$B1783="(blank)"),"",VLOOKUP($B1783,'Email Marketing Raw Data'!$C:$O,6,0)),"")</f>
        <v/>
      </c>
      <c r="O1783" s="55" t="str">
        <f>IFERROR(IF(OR($B1783="",$B1783="(blank)"),"",VLOOKUP($B1783,'Email Marketing Raw Data'!$C:$O,7,0)),"")</f>
        <v/>
      </c>
      <c r="P1783" s="55" t="str">
        <f>IFERROR(IF(OR($B1783="",$B1783="(blank)"),"",VLOOKUP($B1783,'Email Marketing Raw Data'!$C:$O,8,0)),"")</f>
        <v/>
      </c>
      <c r="Q1783" s="62" t="str">
        <f>IFERROR(IF(OR($B1783="",$B1783="(blank)"),"",VLOOKUP($B1783,'Email Marketing Raw Data'!$C:$O,9,0)),"")</f>
        <v/>
      </c>
    </row>
    <row r="1784" spans="4:17" ht="12.75" customHeight="1" x14ac:dyDescent="0.2">
      <c r="D1784" s="58" t="str">
        <f>IFERROR(IF(F1784&lt;&gt;"pending","",IF(OR($B1784="",$B1784="(blank)"),"",VLOOKUP($B1784,'Email Marketing Raw Data'!$C:$O,10,0))),"")</f>
        <v/>
      </c>
      <c r="E1784" s="59" t="str">
        <f>IFERROR(IF(F1784&lt;&gt;"pending","",IF(OR($B1784="",$B1784="(blank)"),"",VLOOKUP($B1784,'Email Marketing Raw Data'!$C:$O,11,0))),"")</f>
        <v/>
      </c>
      <c r="F1784" s="54" t="str">
        <f>IFERROR(IF(OR($B1784="",$B1784="(blank)"),"",VLOOKUP($B1784,'Email Marketing Raw Data'!$C:$O,13,0)),"")</f>
        <v/>
      </c>
      <c r="G1784" s="55" t="str">
        <f>IFERROR(IF(OR($B1784="",$B1784="(blank)"),"",VLOOKUP($B1784,'Email Marketing Raw Data'!$C:$O,4,0)),"")</f>
        <v/>
      </c>
      <c r="H1784" s="55" t="str">
        <f>IFERROR(IF(OR($B1784="",$B1784="(blank)"),"",VLOOKUP($B1784,'Email Marketing Raw Data'!$C:$O,5,0)),"")</f>
        <v/>
      </c>
      <c r="I1784" s="55" t="str">
        <f>IFERROR(IF($G1784="","",VLOOKUP('Dashboard And Emails Automate'!$G1784,Database!$H:$N,3,0)),"")</f>
        <v/>
      </c>
      <c r="J1784" s="55" t="str">
        <f>IFERROR(IF($G1784="","",VLOOKUP('Dashboard And Emails Automate'!$G1784,Database!$H:$N,4,0)),"")</f>
        <v/>
      </c>
      <c r="K1784" s="55" t="str">
        <f>IFERROR(IF($G1784="","",VLOOKUP('Dashboard And Emails Automate'!$G1784,Database!$H:$N,5,0)),"")</f>
        <v/>
      </c>
      <c r="L1784" s="55" t="str">
        <f>IFERROR(IF($G1784="","",VLOOKUP('Dashboard And Emails Automate'!$G1784,Database!$H:$N,6,0)),"")</f>
        <v/>
      </c>
      <c r="M1784" s="55" t="str">
        <f>IFERROR(IF($G1784="","",VLOOKUP('Dashboard And Emails Automate'!$G1784,Database!$H:$N,7,0)),"")</f>
        <v/>
      </c>
      <c r="N1784" s="55" t="str">
        <f>IFERROR(IF(OR($B1784="",$B1784="(blank)"),"",VLOOKUP($B1784,'Email Marketing Raw Data'!$C:$O,6,0)),"")</f>
        <v/>
      </c>
      <c r="O1784" s="55" t="str">
        <f>IFERROR(IF(OR($B1784="",$B1784="(blank)"),"",VLOOKUP($B1784,'Email Marketing Raw Data'!$C:$O,7,0)),"")</f>
        <v/>
      </c>
      <c r="P1784" s="55" t="str">
        <f>IFERROR(IF(OR($B1784="",$B1784="(blank)"),"",VLOOKUP($B1784,'Email Marketing Raw Data'!$C:$O,8,0)),"")</f>
        <v/>
      </c>
      <c r="Q1784" s="62" t="str">
        <f>IFERROR(IF(OR($B1784="",$B1784="(blank)"),"",VLOOKUP($B1784,'Email Marketing Raw Data'!$C:$O,9,0)),"")</f>
        <v/>
      </c>
    </row>
    <row r="1785" spans="4:17" ht="12.75" customHeight="1" x14ac:dyDescent="0.2">
      <c r="D1785" s="58" t="str">
        <f>IFERROR(IF(F1785&lt;&gt;"pending","",IF(OR($B1785="",$B1785="(blank)"),"",VLOOKUP($B1785,'Email Marketing Raw Data'!$C:$O,10,0))),"")</f>
        <v/>
      </c>
      <c r="E1785" s="59" t="str">
        <f>IFERROR(IF(F1785&lt;&gt;"pending","",IF(OR($B1785="",$B1785="(blank)"),"",VLOOKUP($B1785,'Email Marketing Raw Data'!$C:$O,11,0))),"")</f>
        <v/>
      </c>
      <c r="F1785" s="54" t="str">
        <f>IFERROR(IF(OR($B1785="",$B1785="(blank)"),"",VLOOKUP($B1785,'Email Marketing Raw Data'!$C:$O,13,0)),"")</f>
        <v/>
      </c>
      <c r="G1785" s="55" t="str">
        <f>IFERROR(IF(OR($B1785="",$B1785="(blank)"),"",VLOOKUP($B1785,'Email Marketing Raw Data'!$C:$O,4,0)),"")</f>
        <v/>
      </c>
      <c r="H1785" s="55" t="str">
        <f>IFERROR(IF(OR($B1785="",$B1785="(blank)"),"",VLOOKUP($B1785,'Email Marketing Raw Data'!$C:$O,5,0)),"")</f>
        <v/>
      </c>
      <c r="I1785" s="55" t="str">
        <f>IFERROR(IF($G1785="","",VLOOKUP('Dashboard And Emails Automate'!$G1785,Database!$H:$N,3,0)),"")</f>
        <v/>
      </c>
      <c r="J1785" s="55" t="str">
        <f>IFERROR(IF($G1785="","",VLOOKUP('Dashboard And Emails Automate'!$G1785,Database!$H:$N,4,0)),"")</f>
        <v/>
      </c>
      <c r="K1785" s="55" t="str">
        <f>IFERROR(IF($G1785="","",VLOOKUP('Dashboard And Emails Automate'!$G1785,Database!$H:$N,5,0)),"")</f>
        <v/>
      </c>
      <c r="L1785" s="55" t="str">
        <f>IFERROR(IF($G1785="","",VLOOKUP('Dashboard And Emails Automate'!$G1785,Database!$H:$N,6,0)),"")</f>
        <v/>
      </c>
      <c r="M1785" s="55" t="str">
        <f>IFERROR(IF($G1785="","",VLOOKUP('Dashboard And Emails Automate'!$G1785,Database!$H:$N,7,0)),"")</f>
        <v/>
      </c>
      <c r="N1785" s="55" t="str">
        <f>IFERROR(IF(OR($B1785="",$B1785="(blank)"),"",VLOOKUP($B1785,'Email Marketing Raw Data'!$C:$O,6,0)),"")</f>
        <v/>
      </c>
      <c r="O1785" s="55" t="str">
        <f>IFERROR(IF(OR($B1785="",$B1785="(blank)"),"",VLOOKUP($B1785,'Email Marketing Raw Data'!$C:$O,7,0)),"")</f>
        <v/>
      </c>
      <c r="P1785" s="55" t="str">
        <f>IFERROR(IF(OR($B1785="",$B1785="(blank)"),"",VLOOKUP($B1785,'Email Marketing Raw Data'!$C:$O,8,0)),"")</f>
        <v/>
      </c>
      <c r="Q1785" s="62" t="str">
        <f>IFERROR(IF(OR($B1785="",$B1785="(blank)"),"",VLOOKUP($B1785,'Email Marketing Raw Data'!$C:$O,9,0)),"")</f>
        <v/>
      </c>
    </row>
    <row r="1786" spans="4:17" ht="12.75" customHeight="1" x14ac:dyDescent="0.2">
      <c r="D1786" s="58" t="str">
        <f>IFERROR(IF(F1786&lt;&gt;"pending","",IF(OR($B1786="",$B1786="(blank)"),"",VLOOKUP($B1786,'Email Marketing Raw Data'!$C:$O,10,0))),"")</f>
        <v/>
      </c>
      <c r="E1786" s="59" t="str">
        <f>IFERROR(IF(F1786&lt;&gt;"pending","",IF(OR($B1786="",$B1786="(blank)"),"",VLOOKUP($B1786,'Email Marketing Raw Data'!$C:$O,11,0))),"")</f>
        <v/>
      </c>
      <c r="F1786" s="54" t="str">
        <f>IFERROR(IF(OR($B1786="",$B1786="(blank)"),"",VLOOKUP($B1786,'Email Marketing Raw Data'!$C:$O,13,0)),"")</f>
        <v/>
      </c>
      <c r="G1786" s="55" t="str">
        <f>IFERROR(IF(OR($B1786="",$B1786="(blank)"),"",VLOOKUP($B1786,'Email Marketing Raw Data'!$C:$O,4,0)),"")</f>
        <v/>
      </c>
      <c r="H1786" s="55" t="str">
        <f>IFERROR(IF(OR($B1786="",$B1786="(blank)"),"",VLOOKUP($B1786,'Email Marketing Raw Data'!$C:$O,5,0)),"")</f>
        <v/>
      </c>
      <c r="I1786" s="55" t="str">
        <f>IFERROR(IF($G1786="","",VLOOKUP('Dashboard And Emails Automate'!$G1786,Database!$H:$N,3,0)),"")</f>
        <v/>
      </c>
      <c r="J1786" s="55" t="str">
        <f>IFERROR(IF($G1786="","",VLOOKUP('Dashboard And Emails Automate'!$G1786,Database!$H:$N,4,0)),"")</f>
        <v/>
      </c>
      <c r="K1786" s="55" t="str">
        <f>IFERROR(IF($G1786="","",VLOOKUP('Dashboard And Emails Automate'!$G1786,Database!$H:$N,5,0)),"")</f>
        <v/>
      </c>
      <c r="L1786" s="55" t="str">
        <f>IFERROR(IF($G1786="","",VLOOKUP('Dashboard And Emails Automate'!$G1786,Database!$H:$N,6,0)),"")</f>
        <v/>
      </c>
      <c r="M1786" s="55" t="str">
        <f>IFERROR(IF($G1786="","",VLOOKUP('Dashboard And Emails Automate'!$G1786,Database!$H:$N,7,0)),"")</f>
        <v/>
      </c>
      <c r="N1786" s="55" t="str">
        <f>IFERROR(IF(OR($B1786="",$B1786="(blank)"),"",VLOOKUP($B1786,'Email Marketing Raw Data'!$C:$O,6,0)),"")</f>
        <v/>
      </c>
      <c r="O1786" s="55" t="str">
        <f>IFERROR(IF(OR($B1786="",$B1786="(blank)"),"",VLOOKUP($B1786,'Email Marketing Raw Data'!$C:$O,7,0)),"")</f>
        <v/>
      </c>
      <c r="P1786" s="55" t="str">
        <f>IFERROR(IF(OR($B1786="",$B1786="(blank)"),"",VLOOKUP($B1786,'Email Marketing Raw Data'!$C:$O,8,0)),"")</f>
        <v/>
      </c>
      <c r="Q1786" s="62" t="str">
        <f>IFERROR(IF(OR($B1786="",$B1786="(blank)"),"",VLOOKUP($B1786,'Email Marketing Raw Data'!$C:$O,9,0)),"")</f>
        <v/>
      </c>
    </row>
    <row r="1787" spans="4:17" ht="12.75" customHeight="1" x14ac:dyDescent="0.2">
      <c r="D1787" s="58" t="str">
        <f>IFERROR(IF(F1787&lt;&gt;"pending","",IF(OR($B1787="",$B1787="(blank)"),"",VLOOKUP($B1787,'Email Marketing Raw Data'!$C:$O,10,0))),"")</f>
        <v/>
      </c>
      <c r="E1787" s="59" t="str">
        <f>IFERROR(IF(F1787&lt;&gt;"pending","",IF(OR($B1787="",$B1787="(blank)"),"",VLOOKUP($B1787,'Email Marketing Raw Data'!$C:$O,11,0))),"")</f>
        <v/>
      </c>
      <c r="F1787" s="54" t="str">
        <f>IFERROR(IF(OR($B1787="",$B1787="(blank)"),"",VLOOKUP($B1787,'Email Marketing Raw Data'!$C:$O,13,0)),"")</f>
        <v/>
      </c>
      <c r="G1787" s="55" t="str">
        <f>IFERROR(IF(OR($B1787="",$B1787="(blank)"),"",VLOOKUP($B1787,'Email Marketing Raw Data'!$C:$O,4,0)),"")</f>
        <v/>
      </c>
      <c r="H1787" s="55" t="str">
        <f>IFERROR(IF(OR($B1787="",$B1787="(blank)"),"",VLOOKUP($B1787,'Email Marketing Raw Data'!$C:$O,5,0)),"")</f>
        <v/>
      </c>
      <c r="I1787" s="55" t="str">
        <f>IFERROR(IF($G1787="","",VLOOKUP('Dashboard And Emails Automate'!$G1787,Database!$H:$N,3,0)),"")</f>
        <v/>
      </c>
      <c r="J1787" s="55" t="str">
        <f>IFERROR(IF($G1787="","",VLOOKUP('Dashboard And Emails Automate'!$G1787,Database!$H:$N,4,0)),"")</f>
        <v/>
      </c>
      <c r="K1787" s="55" t="str">
        <f>IFERROR(IF($G1787="","",VLOOKUP('Dashboard And Emails Automate'!$G1787,Database!$H:$N,5,0)),"")</f>
        <v/>
      </c>
      <c r="L1787" s="55" t="str">
        <f>IFERROR(IF($G1787="","",VLOOKUP('Dashboard And Emails Automate'!$G1787,Database!$H:$N,6,0)),"")</f>
        <v/>
      </c>
      <c r="M1787" s="55" t="str">
        <f>IFERROR(IF($G1787="","",VLOOKUP('Dashboard And Emails Automate'!$G1787,Database!$H:$N,7,0)),"")</f>
        <v/>
      </c>
      <c r="N1787" s="55" t="str">
        <f>IFERROR(IF(OR($B1787="",$B1787="(blank)"),"",VLOOKUP($B1787,'Email Marketing Raw Data'!$C:$O,6,0)),"")</f>
        <v/>
      </c>
      <c r="O1787" s="55" t="str">
        <f>IFERROR(IF(OR($B1787="",$B1787="(blank)"),"",VLOOKUP($B1787,'Email Marketing Raw Data'!$C:$O,7,0)),"")</f>
        <v/>
      </c>
      <c r="P1787" s="55" t="str">
        <f>IFERROR(IF(OR($B1787="",$B1787="(blank)"),"",VLOOKUP($B1787,'Email Marketing Raw Data'!$C:$O,8,0)),"")</f>
        <v/>
      </c>
      <c r="Q1787" s="62" t="str">
        <f>IFERROR(IF(OR($B1787="",$B1787="(blank)"),"",VLOOKUP($B1787,'Email Marketing Raw Data'!$C:$O,9,0)),"")</f>
        <v/>
      </c>
    </row>
    <row r="1788" spans="4:17" ht="12.75" customHeight="1" x14ac:dyDescent="0.2">
      <c r="D1788" s="58" t="str">
        <f>IFERROR(IF(F1788&lt;&gt;"pending","",IF(OR($B1788="",$B1788="(blank)"),"",VLOOKUP($B1788,'Email Marketing Raw Data'!$C:$O,10,0))),"")</f>
        <v/>
      </c>
      <c r="E1788" s="59" t="str">
        <f>IFERROR(IF(F1788&lt;&gt;"pending","",IF(OR($B1788="",$B1788="(blank)"),"",VLOOKUP($B1788,'Email Marketing Raw Data'!$C:$O,11,0))),"")</f>
        <v/>
      </c>
      <c r="F1788" s="54" t="str">
        <f>IFERROR(IF(OR($B1788="",$B1788="(blank)"),"",VLOOKUP($B1788,'Email Marketing Raw Data'!$C:$O,13,0)),"")</f>
        <v/>
      </c>
      <c r="G1788" s="55" t="str">
        <f>IFERROR(IF(OR($B1788="",$B1788="(blank)"),"",VLOOKUP($B1788,'Email Marketing Raw Data'!$C:$O,4,0)),"")</f>
        <v/>
      </c>
      <c r="H1788" s="55" t="str">
        <f>IFERROR(IF(OR($B1788="",$B1788="(blank)"),"",VLOOKUP($B1788,'Email Marketing Raw Data'!$C:$O,5,0)),"")</f>
        <v/>
      </c>
      <c r="I1788" s="55" t="str">
        <f>IFERROR(IF($G1788="","",VLOOKUP('Dashboard And Emails Automate'!$G1788,Database!$H:$N,3,0)),"")</f>
        <v/>
      </c>
      <c r="J1788" s="55" t="str">
        <f>IFERROR(IF($G1788="","",VLOOKUP('Dashboard And Emails Automate'!$G1788,Database!$H:$N,4,0)),"")</f>
        <v/>
      </c>
      <c r="K1788" s="55" t="str">
        <f>IFERROR(IF($G1788="","",VLOOKUP('Dashboard And Emails Automate'!$G1788,Database!$H:$N,5,0)),"")</f>
        <v/>
      </c>
      <c r="L1788" s="55" t="str">
        <f>IFERROR(IF($G1788="","",VLOOKUP('Dashboard And Emails Automate'!$G1788,Database!$H:$N,6,0)),"")</f>
        <v/>
      </c>
      <c r="M1788" s="55" t="str">
        <f>IFERROR(IF($G1788="","",VLOOKUP('Dashboard And Emails Automate'!$G1788,Database!$H:$N,7,0)),"")</f>
        <v/>
      </c>
      <c r="N1788" s="55" t="str">
        <f>IFERROR(IF(OR($B1788="",$B1788="(blank)"),"",VLOOKUP($B1788,'Email Marketing Raw Data'!$C:$O,6,0)),"")</f>
        <v/>
      </c>
      <c r="O1788" s="55" t="str">
        <f>IFERROR(IF(OR($B1788="",$B1788="(blank)"),"",VLOOKUP($B1788,'Email Marketing Raw Data'!$C:$O,7,0)),"")</f>
        <v/>
      </c>
      <c r="P1788" s="55" t="str">
        <f>IFERROR(IF(OR($B1788="",$B1788="(blank)"),"",VLOOKUP($B1788,'Email Marketing Raw Data'!$C:$O,8,0)),"")</f>
        <v/>
      </c>
      <c r="Q1788" s="62" t="str">
        <f>IFERROR(IF(OR($B1788="",$B1788="(blank)"),"",VLOOKUP($B1788,'Email Marketing Raw Data'!$C:$O,9,0)),"")</f>
        <v/>
      </c>
    </row>
    <row r="1789" spans="4:17" ht="12.75" customHeight="1" x14ac:dyDescent="0.2">
      <c r="D1789" s="58" t="str">
        <f>IFERROR(IF(F1789&lt;&gt;"pending","",IF(OR($B1789="",$B1789="(blank)"),"",VLOOKUP($B1789,'Email Marketing Raw Data'!$C:$O,10,0))),"")</f>
        <v/>
      </c>
      <c r="E1789" s="59" t="str">
        <f>IFERROR(IF(F1789&lt;&gt;"pending","",IF(OR($B1789="",$B1789="(blank)"),"",VLOOKUP($B1789,'Email Marketing Raw Data'!$C:$O,11,0))),"")</f>
        <v/>
      </c>
      <c r="F1789" s="54" t="str">
        <f>IFERROR(IF(OR($B1789="",$B1789="(blank)"),"",VLOOKUP($B1789,'Email Marketing Raw Data'!$C:$O,13,0)),"")</f>
        <v/>
      </c>
      <c r="G1789" s="55" t="str">
        <f>IFERROR(IF(OR($B1789="",$B1789="(blank)"),"",VLOOKUP($B1789,'Email Marketing Raw Data'!$C:$O,4,0)),"")</f>
        <v/>
      </c>
      <c r="H1789" s="55" t="str">
        <f>IFERROR(IF(OR($B1789="",$B1789="(blank)"),"",VLOOKUP($B1789,'Email Marketing Raw Data'!$C:$O,5,0)),"")</f>
        <v/>
      </c>
      <c r="I1789" s="55" t="str">
        <f>IFERROR(IF($G1789="","",VLOOKUP('Dashboard And Emails Automate'!$G1789,Database!$H:$N,3,0)),"")</f>
        <v/>
      </c>
      <c r="J1789" s="55" t="str">
        <f>IFERROR(IF($G1789="","",VLOOKUP('Dashboard And Emails Automate'!$G1789,Database!$H:$N,4,0)),"")</f>
        <v/>
      </c>
      <c r="K1789" s="55" t="str">
        <f>IFERROR(IF($G1789="","",VLOOKUP('Dashboard And Emails Automate'!$G1789,Database!$H:$N,5,0)),"")</f>
        <v/>
      </c>
      <c r="L1789" s="55" t="str">
        <f>IFERROR(IF($G1789="","",VLOOKUP('Dashboard And Emails Automate'!$G1789,Database!$H:$N,6,0)),"")</f>
        <v/>
      </c>
      <c r="M1789" s="55" t="str">
        <f>IFERROR(IF($G1789="","",VLOOKUP('Dashboard And Emails Automate'!$G1789,Database!$H:$N,7,0)),"")</f>
        <v/>
      </c>
      <c r="N1789" s="55" t="str">
        <f>IFERROR(IF(OR($B1789="",$B1789="(blank)"),"",VLOOKUP($B1789,'Email Marketing Raw Data'!$C:$O,6,0)),"")</f>
        <v/>
      </c>
      <c r="O1789" s="55" t="str">
        <f>IFERROR(IF(OR($B1789="",$B1789="(blank)"),"",VLOOKUP($B1789,'Email Marketing Raw Data'!$C:$O,7,0)),"")</f>
        <v/>
      </c>
      <c r="P1789" s="55" t="str">
        <f>IFERROR(IF(OR($B1789="",$B1789="(blank)"),"",VLOOKUP($B1789,'Email Marketing Raw Data'!$C:$O,8,0)),"")</f>
        <v/>
      </c>
      <c r="Q1789" s="62" t="str">
        <f>IFERROR(IF(OR($B1789="",$B1789="(blank)"),"",VLOOKUP($B1789,'Email Marketing Raw Data'!$C:$O,9,0)),"")</f>
        <v/>
      </c>
    </row>
    <row r="1790" spans="4:17" ht="12.75" customHeight="1" x14ac:dyDescent="0.2">
      <c r="D1790" s="58" t="str">
        <f>IFERROR(IF(F1790&lt;&gt;"pending","",IF(OR($B1790="",$B1790="(blank)"),"",VLOOKUP($B1790,'Email Marketing Raw Data'!$C:$O,10,0))),"")</f>
        <v/>
      </c>
      <c r="E1790" s="59" t="str">
        <f>IFERROR(IF(F1790&lt;&gt;"pending","",IF(OR($B1790="",$B1790="(blank)"),"",VLOOKUP($B1790,'Email Marketing Raw Data'!$C:$O,11,0))),"")</f>
        <v/>
      </c>
      <c r="F1790" s="54" t="str">
        <f>IFERROR(IF(OR($B1790="",$B1790="(blank)"),"",VLOOKUP($B1790,'Email Marketing Raw Data'!$C:$O,13,0)),"")</f>
        <v/>
      </c>
      <c r="G1790" s="55" t="str">
        <f>IFERROR(IF(OR($B1790="",$B1790="(blank)"),"",VLOOKUP($B1790,'Email Marketing Raw Data'!$C:$O,4,0)),"")</f>
        <v/>
      </c>
      <c r="H1790" s="55" t="str">
        <f>IFERROR(IF(OR($B1790="",$B1790="(blank)"),"",VLOOKUP($B1790,'Email Marketing Raw Data'!$C:$O,5,0)),"")</f>
        <v/>
      </c>
      <c r="I1790" s="55" t="str">
        <f>IFERROR(IF($G1790="","",VLOOKUP('Dashboard And Emails Automate'!$G1790,Database!$H:$N,3,0)),"")</f>
        <v/>
      </c>
      <c r="J1790" s="55" t="str">
        <f>IFERROR(IF($G1790="","",VLOOKUP('Dashboard And Emails Automate'!$G1790,Database!$H:$N,4,0)),"")</f>
        <v/>
      </c>
      <c r="K1790" s="55" t="str">
        <f>IFERROR(IF($G1790="","",VLOOKUP('Dashboard And Emails Automate'!$G1790,Database!$H:$N,5,0)),"")</f>
        <v/>
      </c>
      <c r="L1790" s="55" t="str">
        <f>IFERROR(IF($G1790="","",VLOOKUP('Dashboard And Emails Automate'!$G1790,Database!$H:$N,6,0)),"")</f>
        <v/>
      </c>
      <c r="M1790" s="55" t="str">
        <f>IFERROR(IF($G1790="","",VLOOKUP('Dashboard And Emails Automate'!$G1790,Database!$H:$N,7,0)),"")</f>
        <v/>
      </c>
      <c r="N1790" s="55" t="str">
        <f>IFERROR(IF(OR($B1790="",$B1790="(blank)"),"",VLOOKUP($B1790,'Email Marketing Raw Data'!$C:$O,6,0)),"")</f>
        <v/>
      </c>
      <c r="O1790" s="55" t="str">
        <f>IFERROR(IF(OR($B1790="",$B1790="(blank)"),"",VLOOKUP($B1790,'Email Marketing Raw Data'!$C:$O,7,0)),"")</f>
        <v/>
      </c>
      <c r="P1790" s="55" t="str">
        <f>IFERROR(IF(OR($B1790="",$B1790="(blank)"),"",VLOOKUP($B1790,'Email Marketing Raw Data'!$C:$O,8,0)),"")</f>
        <v/>
      </c>
      <c r="Q1790" s="62" t="str">
        <f>IFERROR(IF(OR($B1790="",$B1790="(blank)"),"",VLOOKUP($B1790,'Email Marketing Raw Data'!$C:$O,9,0)),"")</f>
        <v/>
      </c>
    </row>
    <row r="1791" spans="4:17" ht="12.75" customHeight="1" x14ac:dyDescent="0.2">
      <c r="D1791" s="58" t="str">
        <f>IFERROR(IF(F1791&lt;&gt;"pending","",IF(OR($B1791="",$B1791="(blank)"),"",VLOOKUP($B1791,'Email Marketing Raw Data'!$C:$O,10,0))),"")</f>
        <v/>
      </c>
      <c r="E1791" s="59" t="str">
        <f>IFERROR(IF(F1791&lt;&gt;"pending","",IF(OR($B1791="",$B1791="(blank)"),"",VLOOKUP($B1791,'Email Marketing Raw Data'!$C:$O,11,0))),"")</f>
        <v/>
      </c>
      <c r="F1791" s="54" t="str">
        <f>IFERROR(IF(OR($B1791="",$B1791="(blank)"),"",VLOOKUP($B1791,'Email Marketing Raw Data'!$C:$O,13,0)),"")</f>
        <v/>
      </c>
      <c r="G1791" s="55" t="str">
        <f>IFERROR(IF(OR($B1791="",$B1791="(blank)"),"",VLOOKUP($B1791,'Email Marketing Raw Data'!$C:$O,4,0)),"")</f>
        <v/>
      </c>
      <c r="H1791" s="55" t="str">
        <f>IFERROR(IF(OR($B1791="",$B1791="(blank)"),"",VLOOKUP($B1791,'Email Marketing Raw Data'!$C:$O,5,0)),"")</f>
        <v/>
      </c>
      <c r="I1791" s="55" t="str">
        <f>IFERROR(IF($G1791="","",VLOOKUP('Dashboard And Emails Automate'!$G1791,Database!$H:$N,3,0)),"")</f>
        <v/>
      </c>
      <c r="J1791" s="55" t="str">
        <f>IFERROR(IF($G1791="","",VLOOKUP('Dashboard And Emails Automate'!$G1791,Database!$H:$N,4,0)),"")</f>
        <v/>
      </c>
      <c r="K1791" s="55" t="str">
        <f>IFERROR(IF($G1791="","",VLOOKUP('Dashboard And Emails Automate'!$G1791,Database!$H:$N,5,0)),"")</f>
        <v/>
      </c>
      <c r="L1791" s="55" t="str">
        <f>IFERROR(IF($G1791="","",VLOOKUP('Dashboard And Emails Automate'!$G1791,Database!$H:$N,6,0)),"")</f>
        <v/>
      </c>
      <c r="M1791" s="55" t="str">
        <f>IFERROR(IF($G1791="","",VLOOKUP('Dashboard And Emails Automate'!$G1791,Database!$H:$N,7,0)),"")</f>
        <v/>
      </c>
      <c r="N1791" s="55" t="str">
        <f>IFERROR(IF(OR($B1791="",$B1791="(blank)"),"",VLOOKUP($B1791,'Email Marketing Raw Data'!$C:$O,6,0)),"")</f>
        <v/>
      </c>
      <c r="O1791" s="55" t="str">
        <f>IFERROR(IF(OR($B1791="",$B1791="(blank)"),"",VLOOKUP($B1791,'Email Marketing Raw Data'!$C:$O,7,0)),"")</f>
        <v/>
      </c>
      <c r="P1791" s="55" t="str">
        <f>IFERROR(IF(OR($B1791="",$B1791="(blank)"),"",VLOOKUP($B1791,'Email Marketing Raw Data'!$C:$O,8,0)),"")</f>
        <v/>
      </c>
      <c r="Q1791" s="62" t="str">
        <f>IFERROR(IF(OR($B1791="",$B1791="(blank)"),"",VLOOKUP($B1791,'Email Marketing Raw Data'!$C:$O,9,0)),"")</f>
        <v/>
      </c>
    </row>
    <row r="1792" spans="4:17" ht="12.75" customHeight="1" x14ac:dyDescent="0.2">
      <c r="D1792" s="58" t="str">
        <f>IFERROR(IF(F1792&lt;&gt;"pending","",IF(OR($B1792="",$B1792="(blank)"),"",VLOOKUP($B1792,'Email Marketing Raw Data'!$C:$O,10,0))),"")</f>
        <v/>
      </c>
      <c r="E1792" s="59" t="str">
        <f>IFERROR(IF(F1792&lt;&gt;"pending","",IF(OR($B1792="",$B1792="(blank)"),"",VLOOKUP($B1792,'Email Marketing Raw Data'!$C:$O,11,0))),"")</f>
        <v/>
      </c>
      <c r="F1792" s="54" t="str">
        <f>IFERROR(IF(OR($B1792="",$B1792="(blank)"),"",VLOOKUP($B1792,'Email Marketing Raw Data'!$C:$O,13,0)),"")</f>
        <v/>
      </c>
      <c r="G1792" s="55" t="str">
        <f>IFERROR(IF(OR($B1792="",$B1792="(blank)"),"",VLOOKUP($B1792,'Email Marketing Raw Data'!$C:$O,4,0)),"")</f>
        <v/>
      </c>
      <c r="H1792" s="55" t="str">
        <f>IFERROR(IF(OR($B1792="",$B1792="(blank)"),"",VLOOKUP($B1792,'Email Marketing Raw Data'!$C:$O,5,0)),"")</f>
        <v/>
      </c>
      <c r="I1792" s="55" t="str">
        <f>IFERROR(IF($G1792="","",VLOOKUP('Dashboard And Emails Automate'!$G1792,Database!$H:$N,3,0)),"")</f>
        <v/>
      </c>
      <c r="J1792" s="55" t="str">
        <f>IFERROR(IF($G1792="","",VLOOKUP('Dashboard And Emails Automate'!$G1792,Database!$H:$N,4,0)),"")</f>
        <v/>
      </c>
      <c r="K1792" s="55" t="str">
        <f>IFERROR(IF($G1792="","",VLOOKUP('Dashboard And Emails Automate'!$G1792,Database!$H:$N,5,0)),"")</f>
        <v/>
      </c>
      <c r="L1792" s="55" t="str">
        <f>IFERROR(IF($G1792="","",VLOOKUP('Dashboard And Emails Automate'!$G1792,Database!$H:$N,6,0)),"")</f>
        <v/>
      </c>
      <c r="M1792" s="55" t="str">
        <f>IFERROR(IF($G1792="","",VLOOKUP('Dashboard And Emails Automate'!$G1792,Database!$H:$N,7,0)),"")</f>
        <v/>
      </c>
      <c r="N1792" s="55" t="str">
        <f>IFERROR(IF(OR($B1792="",$B1792="(blank)"),"",VLOOKUP($B1792,'Email Marketing Raw Data'!$C:$O,6,0)),"")</f>
        <v/>
      </c>
      <c r="O1792" s="55" t="str">
        <f>IFERROR(IF(OR($B1792="",$B1792="(blank)"),"",VLOOKUP($B1792,'Email Marketing Raw Data'!$C:$O,7,0)),"")</f>
        <v/>
      </c>
      <c r="P1792" s="55" t="str">
        <f>IFERROR(IF(OR($B1792="",$B1792="(blank)"),"",VLOOKUP($B1792,'Email Marketing Raw Data'!$C:$O,8,0)),"")</f>
        <v/>
      </c>
      <c r="Q1792" s="62" t="str">
        <f>IFERROR(IF(OR($B1792="",$B1792="(blank)"),"",VLOOKUP($B1792,'Email Marketing Raw Data'!$C:$O,9,0)),"")</f>
        <v/>
      </c>
    </row>
    <row r="1793" spans="4:17" ht="12.75" customHeight="1" x14ac:dyDescent="0.2">
      <c r="D1793" s="58" t="str">
        <f>IFERROR(IF(F1793&lt;&gt;"pending","",IF(OR($B1793="",$B1793="(blank)"),"",VLOOKUP($B1793,'Email Marketing Raw Data'!$C:$O,10,0))),"")</f>
        <v/>
      </c>
      <c r="E1793" s="59" t="str">
        <f>IFERROR(IF(F1793&lt;&gt;"pending","",IF(OR($B1793="",$B1793="(blank)"),"",VLOOKUP($B1793,'Email Marketing Raw Data'!$C:$O,11,0))),"")</f>
        <v/>
      </c>
      <c r="F1793" s="54" t="str">
        <f>IFERROR(IF(OR($B1793="",$B1793="(blank)"),"",VLOOKUP($B1793,'Email Marketing Raw Data'!$C:$O,13,0)),"")</f>
        <v/>
      </c>
      <c r="G1793" s="55" t="str">
        <f>IFERROR(IF(OR($B1793="",$B1793="(blank)"),"",VLOOKUP($B1793,'Email Marketing Raw Data'!$C:$O,4,0)),"")</f>
        <v/>
      </c>
      <c r="H1793" s="55" t="str">
        <f>IFERROR(IF(OR($B1793="",$B1793="(blank)"),"",VLOOKUP($B1793,'Email Marketing Raw Data'!$C:$O,5,0)),"")</f>
        <v/>
      </c>
      <c r="I1793" s="55" t="str">
        <f>IFERROR(IF($G1793="","",VLOOKUP('Dashboard And Emails Automate'!$G1793,Database!$H:$N,3,0)),"")</f>
        <v/>
      </c>
      <c r="J1793" s="55" t="str">
        <f>IFERROR(IF($G1793="","",VLOOKUP('Dashboard And Emails Automate'!$G1793,Database!$H:$N,4,0)),"")</f>
        <v/>
      </c>
      <c r="K1793" s="55" t="str">
        <f>IFERROR(IF($G1793="","",VLOOKUP('Dashboard And Emails Automate'!$G1793,Database!$H:$N,5,0)),"")</f>
        <v/>
      </c>
      <c r="L1793" s="55" t="str">
        <f>IFERROR(IF($G1793="","",VLOOKUP('Dashboard And Emails Automate'!$G1793,Database!$H:$N,6,0)),"")</f>
        <v/>
      </c>
      <c r="M1793" s="55" t="str">
        <f>IFERROR(IF($G1793="","",VLOOKUP('Dashboard And Emails Automate'!$G1793,Database!$H:$N,7,0)),"")</f>
        <v/>
      </c>
      <c r="N1793" s="55" t="str">
        <f>IFERROR(IF(OR($B1793="",$B1793="(blank)"),"",VLOOKUP($B1793,'Email Marketing Raw Data'!$C:$O,6,0)),"")</f>
        <v/>
      </c>
      <c r="O1793" s="55" t="str">
        <f>IFERROR(IF(OR($B1793="",$B1793="(blank)"),"",VLOOKUP($B1793,'Email Marketing Raw Data'!$C:$O,7,0)),"")</f>
        <v/>
      </c>
      <c r="P1793" s="55" t="str">
        <f>IFERROR(IF(OR($B1793="",$B1793="(blank)"),"",VLOOKUP($B1793,'Email Marketing Raw Data'!$C:$O,8,0)),"")</f>
        <v/>
      </c>
      <c r="Q1793" s="62" t="str">
        <f>IFERROR(IF(OR($B1793="",$B1793="(blank)"),"",VLOOKUP($B1793,'Email Marketing Raw Data'!$C:$O,9,0)),"")</f>
        <v/>
      </c>
    </row>
    <row r="1794" spans="4:17" ht="12.75" customHeight="1" x14ac:dyDescent="0.2">
      <c r="D1794" s="58" t="str">
        <f>IFERROR(IF(F1794&lt;&gt;"pending","",IF(OR($B1794="",$B1794="(blank)"),"",VLOOKUP($B1794,'Email Marketing Raw Data'!$C:$O,10,0))),"")</f>
        <v/>
      </c>
      <c r="E1794" s="59" t="str">
        <f>IFERROR(IF(F1794&lt;&gt;"pending","",IF(OR($B1794="",$B1794="(blank)"),"",VLOOKUP($B1794,'Email Marketing Raw Data'!$C:$O,11,0))),"")</f>
        <v/>
      </c>
      <c r="F1794" s="54" t="str">
        <f>IFERROR(IF(OR($B1794="",$B1794="(blank)"),"",VLOOKUP($B1794,'Email Marketing Raw Data'!$C:$O,13,0)),"")</f>
        <v/>
      </c>
      <c r="G1794" s="55" t="str">
        <f>IFERROR(IF(OR($B1794="",$B1794="(blank)"),"",VLOOKUP($B1794,'Email Marketing Raw Data'!$C:$O,4,0)),"")</f>
        <v/>
      </c>
      <c r="H1794" s="55" t="str">
        <f>IFERROR(IF(OR($B1794="",$B1794="(blank)"),"",VLOOKUP($B1794,'Email Marketing Raw Data'!$C:$O,5,0)),"")</f>
        <v/>
      </c>
      <c r="I1794" s="55" t="str">
        <f>IFERROR(IF($G1794="","",VLOOKUP('Dashboard And Emails Automate'!$G1794,Database!$H:$N,3,0)),"")</f>
        <v/>
      </c>
      <c r="J1794" s="55" t="str">
        <f>IFERROR(IF($G1794="","",VLOOKUP('Dashboard And Emails Automate'!$G1794,Database!$H:$N,4,0)),"")</f>
        <v/>
      </c>
      <c r="K1794" s="55" t="str">
        <f>IFERROR(IF($G1794="","",VLOOKUP('Dashboard And Emails Automate'!$G1794,Database!$H:$N,5,0)),"")</f>
        <v/>
      </c>
      <c r="L1794" s="55" t="str">
        <f>IFERROR(IF($G1794="","",VLOOKUP('Dashboard And Emails Automate'!$G1794,Database!$H:$N,6,0)),"")</f>
        <v/>
      </c>
      <c r="M1794" s="55" t="str">
        <f>IFERROR(IF($G1794="","",VLOOKUP('Dashboard And Emails Automate'!$G1794,Database!$H:$N,7,0)),"")</f>
        <v/>
      </c>
      <c r="N1794" s="55" t="str">
        <f>IFERROR(IF(OR($B1794="",$B1794="(blank)"),"",VLOOKUP($B1794,'Email Marketing Raw Data'!$C:$O,6,0)),"")</f>
        <v/>
      </c>
      <c r="O1794" s="55" t="str">
        <f>IFERROR(IF(OR($B1794="",$B1794="(blank)"),"",VLOOKUP($B1794,'Email Marketing Raw Data'!$C:$O,7,0)),"")</f>
        <v/>
      </c>
      <c r="P1794" s="55" t="str">
        <f>IFERROR(IF(OR($B1794="",$B1794="(blank)"),"",VLOOKUP($B1794,'Email Marketing Raw Data'!$C:$O,8,0)),"")</f>
        <v/>
      </c>
      <c r="Q1794" s="62" t="str">
        <f>IFERROR(IF(OR($B1794="",$B1794="(blank)"),"",VLOOKUP($B1794,'Email Marketing Raw Data'!$C:$O,9,0)),"")</f>
        <v/>
      </c>
    </row>
    <row r="1795" spans="4:17" ht="12.75" customHeight="1" x14ac:dyDescent="0.2">
      <c r="D1795" s="58" t="str">
        <f>IFERROR(IF(F1795&lt;&gt;"pending","",IF(OR($B1795="",$B1795="(blank)"),"",VLOOKUP($B1795,'Email Marketing Raw Data'!$C:$O,10,0))),"")</f>
        <v/>
      </c>
      <c r="E1795" s="59" t="str">
        <f>IFERROR(IF(F1795&lt;&gt;"pending","",IF(OR($B1795="",$B1795="(blank)"),"",VLOOKUP($B1795,'Email Marketing Raw Data'!$C:$O,11,0))),"")</f>
        <v/>
      </c>
      <c r="F1795" s="54" t="str">
        <f>IFERROR(IF(OR($B1795="",$B1795="(blank)"),"",VLOOKUP($B1795,'Email Marketing Raw Data'!$C:$O,13,0)),"")</f>
        <v/>
      </c>
      <c r="G1795" s="55" t="str">
        <f>IFERROR(IF(OR($B1795="",$B1795="(blank)"),"",VLOOKUP($B1795,'Email Marketing Raw Data'!$C:$O,4,0)),"")</f>
        <v/>
      </c>
      <c r="H1795" s="55" t="str">
        <f>IFERROR(IF(OR($B1795="",$B1795="(blank)"),"",VLOOKUP($B1795,'Email Marketing Raw Data'!$C:$O,5,0)),"")</f>
        <v/>
      </c>
      <c r="I1795" s="55" t="str">
        <f>IFERROR(IF($G1795="","",VLOOKUP('Dashboard And Emails Automate'!$G1795,Database!$H:$N,3,0)),"")</f>
        <v/>
      </c>
      <c r="J1795" s="55" t="str">
        <f>IFERROR(IF($G1795="","",VLOOKUP('Dashboard And Emails Automate'!$G1795,Database!$H:$N,4,0)),"")</f>
        <v/>
      </c>
      <c r="K1795" s="55" t="str">
        <f>IFERROR(IF($G1795="","",VLOOKUP('Dashboard And Emails Automate'!$G1795,Database!$H:$N,5,0)),"")</f>
        <v/>
      </c>
      <c r="L1795" s="55" t="str">
        <f>IFERROR(IF($G1795="","",VLOOKUP('Dashboard And Emails Automate'!$G1795,Database!$H:$N,6,0)),"")</f>
        <v/>
      </c>
      <c r="M1795" s="55" t="str">
        <f>IFERROR(IF($G1795="","",VLOOKUP('Dashboard And Emails Automate'!$G1795,Database!$H:$N,7,0)),"")</f>
        <v/>
      </c>
      <c r="N1795" s="55" t="str">
        <f>IFERROR(IF(OR($B1795="",$B1795="(blank)"),"",VLOOKUP($B1795,'Email Marketing Raw Data'!$C:$O,6,0)),"")</f>
        <v/>
      </c>
      <c r="O1795" s="55" t="str">
        <f>IFERROR(IF(OR($B1795="",$B1795="(blank)"),"",VLOOKUP($B1795,'Email Marketing Raw Data'!$C:$O,7,0)),"")</f>
        <v/>
      </c>
      <c r="P1795" s="55" t="str">
        <f>IFERROR(IF(OR($B1795="",$B1795="(blank)"),"",VLOOKUP($B1795,'Email Marketing Raw Data'!$C:$O,8,0)),"")</f>
        <v/>
      </c>
      <c r="Q1795" s="62" t="str">
        <f>IFERROR(IF(OR($B1795="",$B1795="(blank)"),"",VLOOKUP($B1795,'Email Marketing Raw Data'!$C:$O,9,0)),"")</f>
        <v/>
      </c>
    </row>
    <row r="1796" spans="4:17" ht="12.75" customHeight="1" x14ac:dyDescent="0.2">
      <c r="D1796" s="58" t="str">
        <f>IFERROR(IF(F1796&lt;&gt;"pending","",IF(OR($B1796="",$B1796="(blank)"),"",VLOOKUP($B1796,'Email Marketing Raw Data'!$C:$O,10,0))),"")</f>
        <v/>
      </c>
      <c r="E1796" s="59" t="str">
        <f>IFERROR(IF(F1796&lt;&gt;"pending","",IF(OR($B1796="",$B1796="(blank)"),"",VLOOKUP($B1796,'Email Marketing Raw Data'!$C:$O,11,0))),"")</f>
        <v/>
      </c>
      <c r="F1796" s="54" t="str">
        <f>IFERROR(IF(OR($B1796="",$B1796="(blank)"),"",VLOOKUP($B1796,'Email Marketing Raw Data'!$C:$O,13,0)),"")</f>
        <v/>
      </c>
      <c r="G1796" s="55" t="str">
        <f>IFERROR(IF(OR($B1796="",$B1796="(blank)"),"",VLOOKUP($B1796,'Email Marketing Raw Data'!$C:$O,4,0)),"")</f>
        <v/>
      </c>
      <c r="H1796" s="55" t="str">
        <f>IFERROR(IF(OR($B1796="",$B1796="(blank)"),"",VLOOKUP($B1796,'Email Marketing Raw Data'!$C:$O,5,0)),"")</f>
        <v/>
      </c>
      <c r="I1796" s="55" t="str">
        <f>IFERROR(IF($G1796="","",VLOOKUP('Dashboard And Emails Automate'!$G1796,Database!$H:$N,3,0)),"")</f>
        <v/>
      </c>
      <c r="J1796" s="55" t="str">
        <f>IFERROR(IF($G1796="","",VLOOKUP('Dashboard And Emails Automate'!$G1796,Database!$H:$N,4,0)),"")</f>
        <v/>
      </c>
      <c r="K1796" s="55" t="str">
        <f>IFERROR(IF($G1796="","",VLOOKUP('Dashboard And Emails Automate'!$G1796,Database!$H:$N,5,0)),"")</f>
        <v/>
      </c>
      <c r="L1796" s="55" t="str">
        <f>IFERROR(IF($G1796="","",VLOOKUP('Dashboard And Emails Automate'!$G1796,Database!$H:$N,6,0)),"")</f>
        <v/>
      </c>
      <c r="M1796" s="55" t="str">
        <f>IFERROR(IF($G1796="","",VLOOKUP('Dashboard And Emails Automate'!$G1796,Database!$H:$N,7,0)),"")</f>
        <v/>
      </c>
      <c r="N1796" s="55" t="str">
        <f>IFERROR(IF(OR($B1796="",$B1796="(blank)"),"",VLOOKUP($B1796,'Email Marketing Raw Data'!$C:$O,6,0)),"")</f>
        <v/>
      </c>
      <c r="O1796" s="55" t="str">
        <f>IFERROR(IF(OR($B1796="",$B1796="(blank)"),"",VLOOKUP($B1796,'Email Marketing Raw Data'!$C:$O,7,0)),"")</f>
        <v/>
      </c>
      <c r="P1796" s="55" t="str">
        <f>IFERROR(IF(OR($B1796="",$B1796="(blank)"),"",VLOOKUP($B1796,'Email Marketing Raw Data'!$C:$O,8,0)),"")</f>
        <v/>
      </c>
      <c r="Q1796" s="62" t="str">
        <f>IFERROR(IF(OR($B1796="",$B1796="(blank)"),"",VLOOKUP($B1796,'Email Marketing Raw Data'!$C:$O,9,0)),"")</f>
        <v/>
      </c>
    </row>
    <row r="1797" spans="4:17" ht="12.75" customHeight="1" x14ac:dyDescent="0.2">
      <c r="D1797" s="58" t="str">
        <f>IFERROR(IF(F1797&lt;&gt;"pending","",IF(OR($B1797="",$B1797="(blank)"),"",VLOOKUP($B1797,'Email Marketing Raw Data'!$C:$O,10,0))),"")</f>
        <v/>
      </c>
      <c r="E1797" s="59" t="str">
        <f>IFERROR(IF(F1797&lt;&gt;"pending","",IF(OR($B1797="",$B1797="(blank)"),"",VLOOKUP($B1797,'Email Marketing Raw Data'!$C:$O,11,0))),"")</f>
        <v/>
      </c>
      <c r="F1797" s="54" t="str">
        <f>IFERROR(IF(OR($B1797="",$B1797="(blank)"),"",VLOOKUP($B1797,'Email Marketing Raw Data'!$C:$O,13,0)),"")</f>
        <v/>
      </c>
      <c r="G1797" s="55" t="str">
        <f>IFERROR(IF(OR($B1797="",$B1797="(blank)"),"",VLOOKUP($B1797,'Email Marketing Raw Data'!$C:$O,4,0)),"")</f>
        <v/>
      </c>
      <c r="H1797" s="55" t="str">
        <f>IFERROR(IF(OR($B1797="",$B1797="(blank)"),"",VLOOKUP($B1797,'Email Marketing Raw Data'!$C:$O,5,0)),"")</f>
        <v/>
      </c>
      <c r="I1797" s="55" t="str">
        <f>IFERROR(IF($G1797="","",VLOOKUP('Dashboard And Emails Automate'!$G1797,Database!$H:$N,3,0)),"")</f>
        <v/>
      </c>
      <c r="J1797" s="55" t="str">
        <f>IFERROR(IF($G1797="","",VLOOKUP('Dashboard And Emails Automate'!$G1797,Database!$H:$N,4,0)),"")</f>
        <v/>
      </c>
      <c r="K1797" s="55" t="str">
        <f>IFERROR(IF($G1797="","",VLOOKUP('Dashboard And Emails Automate'!$G1797,Database!$H:$N,5,0)),"")</f>
        <v/>
      </c>
      <c r="L1797" s="55" t="str">
        <f>IFERROR(IF($G1797="","",VLOOKUP('Dashboard And Emails Automate'!$G1797,Database!$H:$N,6,0)),"")</f>
        <v/>
      </c>
      <c r="M1797" s="55" t="str">
        <f>IFERROR(IF($G1797="","",VLOOKUP('Dashboard And Emails Automate'!$G1797,Database!$H:$N,7,0)),"")</f>
        <v/>
      </c>
      <c r="N1797" s="55" t="str">
        <f>IFERROR(IF(OR($B1797="",$B1797="(blank)"),"",VLOOKUP($B1797,'Email Marketing Raw Data'!$C:$O,6,0)),"")</f>
        <v/>
      </c>
      <c r="O1797" s="55" t="str">
        <f>IFERROR(IF(OR($B1797="",$B1797="(blank)"),"",VLOOKUP($B1797,'Email Marketing Raw Data'!$C:$O,7,0)),"")</f>
        <v/>
      </c>
      <c r="P1797" s="55" t="str">
        <f>IFERROR(IF(OR($B1797="",$B1797="(blank)"),"",VLOOKUP($B1797,'Email Marketing Raw Data'!$C:$O,8,0)),"")</f>
        <v/>
      </c>
      <c r="Q1797" s="62" t="str">
        <f>IFERROR(IF(OR($B1797="",$B1797="(blank)"),"",VLOOKUP($B1797,'Email Marketing Raw Data'!$C:$O,9,0)),"")</f>
        <v/>
      </c>
    </row>
    <row r="1798" spans="4:17" ht="12.75" customHeight="1" x14ac:dyDescent="0.2">
      <c r="D1798" s="58" t="str">
        <f>IFERROR(IF(F1798&lt;&gt;"pending","",IF(OR($B1798="",$B1798="(blank)"),"",VLOOKUP($B1798,'Email Marketing Raw Data'!$C:$O,10,0))),"")</f>
        <v/>
      </c>
      <c r="E1798" s="59" t="str">
        <f>IFERROR(IF(F1798&lt;&gt;"pending","",IF(OR($B1798="",$B1798="(blank)"),"",VLOOKUP($B1798,'Email Marketing Raw Data'!$C:$O,11,0))),"")</f>
        <v/>
      </c>
      <c r="F1798" s="54" t="str">
        <f>IFERROR(IF(OR($B1798="",$B1798="(blank)"),"",VLOOKUP($B1798,'Email Marketing Raw Data'!$C:$O,13,0)),"")</f>
        <v/>
      </c>
      <c r="G1798" s="55" t="str">
        <f>IFERROR(IF(OR($B1798="",$B1798="(blank)"),"",VLOOKUP($B1798,'Email Marketing Raw Data'!$C:$O,4,0)),"")</f>
        <v/>
      </c>
      <c r="H1798" s="55" t="str">
        <f>IFERROR(IF(OR($B1798="",$B1798="(blank)"),"",VLOOKUP($B1798,'Email Marketing Raw Data'!$C:$O,5,0)),"")</f>
        <v/>
      </c>
      <c r="I1798" s="55" t="str">
        <f>IFERROR(IF($G1798="","",VLOOKUP('Dashboard And Emails Automate'!$G1798,Database!$H:$N,3,0)),"")</f>
        <v/>
      </c>
      <c r="J1798" s="55" t="str">
        <f>IFERROR(IF($G1798="","",VLOOKUP('Dashboard And Emails Automate'!$G1798,Database!$H:$N,4,0)),"")</f>
        <v/>
      </c>
      <c r="K1798" s="55" t="str">
        <f>IFERROR(IF($G1798="","",VLOOKUP('Dashboard And Emails Automate'!$G1798,Database!$H:$N,5,0)),"")</f>
        <v/>
      </c>
      <c r="L1798" s="55" t="str">
        <f>IFERROR(IF($G1798="","",VLOOKUP('Dashboard And Emails Automate'!$G1798,Database!$H:$N,6,0)),"")</f>
        <v/>
      </c>
      <c r="M1798" s="55" t="str">
        <f>IFERROR(IF($G1798="","",VLOOKUP('Dashboard And Emails Automate'!$G1798,Database!$H:$N,7,0)),"")</f>
        <v/>
      </c>
      <c r="N1798" s="55" t="str">
        <f>IFERROR(IF(OR($B1798="",$B1798="(blank)"),"",VLOOKUP($B1798,'Email Marketing Raw Data'!$C:$O,6,0)),"")</f>
        <v/>
      </c>
      <c r="O1798" s="55" t="str">
        <f>IFERROR(IF(OR($B1798="",$B1798="(blank)"),"",VLOOKUP($B1798,'Email Marketing Raw Data'!$C:$O,7,0)),"")</f>
        <v/>
      </c>
      <c r="P1798" s="55" t="str">
        <f>IFERROR(IF(OR($B1798="",$B1798="(blank)"),"",VLOOKUP($B1798,'Email Marketing Raw Data'!$C:$O,8,0)),"")</f>
        <v/>
      </c>
      <c r="Q1798" s="62" t="str">
        <f>IFERROR(IF(OR($B1798="",$B1798="(blank)"),"",VLOOKUP($B1798,'Email Marketing Raw Data'!$C:$O,9,0)),"")</f>
        <v/>
      </c>
    </row>
    <row r="1799" spans="4:17" ht="12.75" customHeight="1" x14ac:dyDescent="0.2">
      <c r="D1799" s="58" t="str">
        <f>IFERROR(IF(F1799&lt;&gt;"pending","",IF(OR($B1799="",$B1799="(blank)"),"",VLOOKUP($B1799,'Email Marketing Raw Data'!$C:$O,10,0))),"")</f>
        <v/>
      </c>
      <c r="E1799" s="59" t="str">
        <f>IFERROR(IF(F1799&lt;&gt;"pending","",IF(OR($B1799="",$B1799="(blank)"),"",VLOOKUP($B1799,'Email Marketing Raw Data'!$C:$O,11,0))),"")</f>
        <v/>
      </c>
      <c r="F1799" s="54" t="str">
        <f>IFERROR(IF(OR($B1799="",$B1799="(blank)"),"",VLOOKUP($B1799,'Email Marketing Raw Data'!$C:$O,13,0)),"")</f>
        <v/>
      </c>
      <c r="G1799" s="55" t="str">
        <f>IFERROR(IF(OR($B1799="",$B1799="(blank)"),"",VLOOKUP($B1799,'Email Marketing Raw Data'!$C:$O,4,0)),"")</f>
        <v/>
      </c>
      <c r="H1799" s="55" t="str">
        <f>IFERROR(IF(OR($B1799="",$B1799="(blank)"),"",VLOOKUP($B1799,'Email Marketing Raw Data'!$C:$O,5,0)),"")</f>
        <v/>
      </c>
      <c r="I1799" s="55" t="str">
        <f>IFERROR(IF($G1799="","",VLOOKUP('Dashboard And Emails Automate'!$G1799,Database!$H:$N,3,0)),"")</f>
        <v/>
      </c>
      <c r="J1799" s="55" t="str">
        <f>IFERROR(IF($G1799="","",VLOOKUP('Dashboard And Emails Automate'!$G1799,Database!$H:$N,4,0)),"")</f>
        <v/>
      </c>
      <c r="K1799" s="55" t="str">
        <f>IFERROR(IF($G1799="","",VLOOKUP('Dashboard And Emails Automate'!$G1799,Database!$H:$N,5,0)),"")</f>
        <v/>
      </c>
      <c r="L1799" s="55" t="str">
        <f>IFERROR(IF($G1799="","",VLOOKUP('Dashboard And Emails Automate'!$G1799,Database!$H:$N,6,0)),"")</f>
        <v/>
      </c>
      <c r="M1799" s="55" t="str">
        <f>IFERROR(IF($G1799="","",VLOOKUP('Dashboard And Emails Automate'!$G1799,Database!$H:$N,7,0)),"")</f>
        <v/>
      </c>
      <c r="N1799" s="55" t="str">
        <f>IFERROR(IF(OR($B1799="",$B1799="(blank)"),"",VLOOKUP($B1799,'Email Marketing Raw Data'!$C:$O,6,0)),"")</f>
        <v/>
      </c>
      <c r="O1799" s="55" t="str">
        <f>IFERROR(IF(OR($B1799="",$B1799="(blank)"),"",VLOOKUP($B1799,'Email Marketing Raw Data'!$C:$O,7,0)),"")</f>
        <v/>
      </c>
      <c r="P1799" s="55" t="str">
        <f>IFERROR(IF(OR($B1799="",$B1799="(blank)"),"",VLOOKUP($B1799,'Email Marketing Raw Data'!$C:$O,8,0)),"")</f>
        <v/>
      </c>
      <c r="Q1799" s="62" t="str">
        <f>IFERROR(IF(OR($B1799="",$B1799="(blank)"),"",VLOOKUP($B1799,'Email Marketing Raw Data'!$C:$O,9,0)),"")</f>
        <v/>
      </c>
    </row>
    <row r="1800" spans="4:17" ht="12.75" customHeight="1" x14ac:dyDescent="0.2">
      <c r="D1800" s="58" t="str">
        <f>IFERROR(IF(F1800&lt;&gt;"pending","",IF(OR($B1800="",$B1800="(blank)"),"",VLOOKUP($B1800,'Email Marketing Raw Data'!$C:$O,10,0))),"")</f>
        <v/>
      </c>
      <c r="E1800" s="59" t="str">
        <f>IFERROR(IF(F1800&lt;&gt;"pending","",IF(OR($B1800="",$B1800="(blank)"),"",VLOOKUP($B1800,'Email Marketing Raw Data'!$C:$O,11,0))),"")</f>
        <v/>
      </c>
      <c r="F1800" s="54" t="str">
        <f>IFERROR(IF(OR($B1800="",$B1800="(blank)"),"",VLOOKUP($B1800,'Email Marketing Raw Data'!$C:$O,13,0)),"")</f>
        <v/>
      </c>
      <c r="G1800" s="55" t="str">
        <f>IFERROR(IF(OR($B1800="",$B1800="(blank)"),"",VLOOKUP($B1800,'Email Marketing Raw Data'!$C:$O,4,0)),"")</f>
        <v/>
      </c>
      <c r="H1800" s="55" t="str">
        <f>IFERROR(IF(OR($B1800="",$B1800="(blank)"),"",VLOOKUP($B1800,'Email Marketing Raw Data'!$C:$O,5,0)),"")</f>
        <v/>
      </c>
      <c r="I1800" s="55" t="str">
        <f>IFERROR(IF($G1800="","",VLOOKUP('Dashboard And Emails Automate'!$G1800,Database!$H:$N,3,0)),"")</f>
        <v/>
      </c>
      <c r="J1800" s="55" t="str">
        <f>IFERROR(IF($G1800="","",VLOOKUP('Dashboard And Emails Automate'!$G1800,Database!$H:$N,4,0)),"")</f>
        <v/>
      </c>
      <c r="K1800" s="55" t="str">
        <f>IFERROR(IF($G1800="","",VLOOKUP('Dashboard And Emails Automate'!$G1800,Database!$H:$N,5,0)),"")</f>
        <v/>
      </c>
      <c r="L1800" s="55" t="str">
        <f>IFERROR(IF($G1800="","",VLOOKUP('Dashboard And Emails Automate'!$G1800,Database!$H:$N,6,0)),"")</f>
        <v/>
      </c>
      <c r="M1800" s="55" t="str">
        <f>IFERROR(IF($G1800="","",VLOOKUP('Dashboard And Emails Automate'!$G1800,Database!$H:$N,7,0)),"")</f>
        <v/>
      </c>
      <c r="N1800" s="55" t="str">
        <f>IFERROR(IF(OR($B1800="",$B1800="(blank)"),"",VLOOKUP($B1800,'Email Marketing Raw Data'!$C:$O,6,0)),"")</f>
        <v/>
      </c>
      <c r="O1800" s="55" t="str">
        <f>IFERROR(IF(OR($B1800="",$B1800="(blank)"),"",VLOOKUP($B1800,'Email Marketing Raw Data'!$C:$O,7,0)),"")</f>
        <v/>
      </c>
      <c r="P1800" s="55" t="str">
        <f>IFERROR(IF(OR($B1800="",$B1800="(blank)"),"",VLOOKUP($B1800,'Email Marketing Raw Data'!$C:$O,8,0)),"")</f>
        <v/>
      </c>
      <c r="Q1800" s="62" t="str">
        <f>IFERROR(IF(OR($B1800="",$B1800="(blank)"),"",VLOOKUP($B1800,'Email Marketing Raw Data'!$C:$O,9,0)),"")</f>
        <v/>
      </c>
    </row>
    <row r="1801" spans="4:17" ht="12.75" customHeight="1" x14ac:dyDescent="0.2">
      <c r="D1801" s="58" t="str">
        <f>IFERROR(IF(F1801&lt;&gt;"pending","",IF(OR($B1801="",$B1801="(blank)"),"",VLOOKUP($B1801,'Email Marketing Raw Data'!$C:$O,10,0))),"")</f>
        <v/>
      </c>
      <c r="E1801" s="59" t="str">
        <f>IFERROR(IF(F1801&lt;&gt;"pending","",IF(OR($B1801="",$B1801="(blank)"),"",VLOOKUP($B1801,'Email Marketing Raw Data'!$C:$O,11,0))),"")</f>
        <v/>
      </c>
      <c r="F1801" s="54" t="str">
        <f>IFERROR(IF(OR($B1801="",$B1801="(blank)"),"",VLOOKUP($B1801,'Email Marketing Raw Data'!$C:$O,13,0)),"")</f>
        <v/>
      </c>
      <c r="G1801" s="55" t="str">
        <f>IFERROR(IF(OR($B1801="",$B1801="(blank)"),"",VLOOKUP($B1801,'Email Marketing Raw Data'!$C:$O,4,0)),"")</f>
        <v/>
      </c>
      <c r="H1801" s="55" t="str">
        <f>IFERROR(IF(OR($B1801="",$B1801="(blank)"),"",VLOOKUP($B1801,'Email Marketing Raw Data'!$C:$O,5,0)),"")</f>
        <v/>
      </c>
      <c r="I1801" s="55" t="str">
        <f>IFERROR(IF($G1801="","",VLOOKUP('Dashboard And Emails Automate'!$G1801,Database!$H:$N,3,0)),"")</f>
        <v/>
      </c>
      <c r="J1801" s="55" t="str">
        <f>IFERROR(IF($G1801="","",VLOOKUP('Dashboard And Emails Automate'!$G1801,Database!$H:$N,4,0)),"")</f>
        <v/>
      </c>
      <c r="K1801" s="55" t="str">
        <f>IFERROR(IF($G1801="","",VLOOKUP('Dashboard And Emails Automate'!$G1801,Database!$H:$N,5,0)),"")</f>
        <v/>
      </c>
      <c r="L1801" s="55" t="str">
        <f>IFERROR(IF($G1801="","",VLOOKUP('Dashboard And Emails Automate'!$G1801,Database!$H:$N,6,0)),"")</f>
        <v/>
      </c>
      <c r="M1801" s="55" t="str">
        <f>IFERROR(IF($G1801="","",VLOOKUP('Dashboard And Emails Automate'!$G1801,Database!$H:$N,7,0)),"")</f>
        <v/>
      </c>
      <c r="N1801" s="55" t="str">
        <f>IFERROR(IF(OR($B1801="",$B1801="(blank)"),"",VLOOKUP($B1801,'Email Marketing Raw Data'!$C:$O,6,0)),"")</f>
        <v/>
      </c>
      <c r="O1801" s="55" t="str">
        <f>IFERROR(IF(OR($B1801="",$B1801="(blank)"),"",VLOOKUP($B1801,'Email Marketing Raw Data'!$C:$O,7,0)),"")</f>
        <v/>
      </c>
      <c r="P1801" s="55" t="str">
        <f>IFERROR(IF(OR($B1801="",$B1801="(blank)"),"",VLOOKUP($B1801,'Email Marketing Raw Data'!$C:$O,8,0)),"")</f>
        <v/>
      </c>
      <c r="Q1801" s="62" t="str">
        <f>IFERROR(IF(OR($B1801="",$B1801="(blank)"),"",VLOOKUP($B1801,'Email Marketing Raw Data'!$C:$O,9,0)),"")</f>
        <v/>
      </c>
    </row>
    <row r="1802" spans="4:17" ht="12.75" customHeight="1" x14ac:dyDescent="0.2">
      <c r="D1802" s="58" t="str">
        <f>IFERROR(IF(F1802&lt;&gt;"pending","",IF(OR($B1802="",$B1802="(blank)"),"",VLOOKUP($B1802,'Email Marketing Raw Data'!$C:$O,10,0))),"")</f>
        <v/>
      </c>
      <c r="E1802" s="59" t="str">
        <f>IFERROR(IF(F1802&lt;&gt;"pending","",IF(OR($B1802="",$B1802="(blank)"),"",VLOOKUP($B1802,'Email Marketing Raw Data'!$C:$O,11,0))),"")</f>
        <v/>
      </c>
      <c r="F1802" s="54" t="str">
        <f>IFERROR(IF(OR($B1802="",$B1802="(blank)"),"",VLOOKUP($B1802,'Email Marketing Raw Data'!$C:$O,13,0)),"")</f>
        <v/>
      </c>
      <c r="G1802" s="55" t="str">
        <f>IFERROR(IF(OR($B1802="",$B1802="(blank)"),"",VLOOKUP($B1802,'Email Marketing Raw Data'!$C:$O,4,0)),"")</f>
        <v/>
      </c>
      <c r="H1802" s="55" t="str">
        <f>IFERROR(IF(OR($B1802="",$B1802="(blank)"),"",VLOOKUP($B1802,'Email Marketing Raw Data'!$C:$O,5,0)),"")</f>
        <v/>
      </c>
      <c r="I1802" s="55" t="str">
        <f>IFERROR(IF($G1802="","",VLOOKUP('Dashboard And Emails Automate'!$G1802,Database!$H:$N,3,0)),"")</f>
        <v/>
      </c>
      <c r="J1802" s="55" t="str">
        <f>IFERROR(IF($G1802="","",VLOOKUP('Dashboard And Emails Automate'!$G1802,Database!$H:$N,4,0)),"")</f>
        <v/>
      </c>
      <c r="K1802" s="55" t="str">
        <f>IFERROR(IF($G1802="","",VLOOKUP('Dashboard And Emails Automate'!$G1802,Database!$H:$N,5,0)),"")</f>
        <v/>
      </c>
      <c r="L1802" s="55" t="str">
        <f>IFERROR(IF($G1802="","",VLOOKUP('Dashboard And Emails Automate'!$G1802,Database!$H:$N,6,0)),"")</f>
        <v/>
      </c>
      <c r="M1802" s="55" t="str">
        <f>IFERROR(IF($G1802="","",VLOOKUP('Dashboard And Emails Automate'!$G1802,Database!$H:$N,7,0)),"")</f>
        <v/>
      </c>
      <c r="N1802" s="55" t="str">
        <f>IFERROR(IF(OR($B1802="",$B1802="(blank)"),"",VLOOKUP($B1802,'Email Marketing Raw Data'!$C:$O,6,0)),"")</f>
        <v/>
      </c>
      <c r="O1802" s="55" t="str">
        <f>IFERROR(IF(OR($B1802="",$B1802="(blank)"),"",VLOOKUP($B1802,'Email Marketing Raw Data'!$C:$O,7,0)),"")</f>
        <v/>
      </c>
      <c r="P1802" s="55" t="str">
        <f>IFERROR(IF(OR($B1802="",$B1802="(blank)"),"",VLOOKUP($B1802,'Email Marketing Raw Data'!$C:$O,8,0)),"")</f>
        <v/>
      </c>
      <c r="Q1802" s="62" t="str">
        <f>IFERROR(IF(OR($B1802="",$B1802="(blank)"),"",VLOOKUP($B1802,'Email Marketing Raw Data'!$C:$O,9,0)),"")</f>
        <v/>
      </c>
    </row>
    <row r="1803" spans="4:17" ht="12.75" customHeight="1" x14ac:dyDescent="0.2">
      <c r="D1803" s="58" t="str">
        <f>IFERROR(IF(F1803&lt;&gt;"pending","",IF(OR($B1803="",$B1803="(blank)"),"",VLOOKUP($B1803,'Email Marketing Raw Data'!$C:$O,10,0))),"")</f>
        <v/>
      </c>
      <c r="E1803" s="59" t="str">
        <f>IFERROR(IF(F1803&lt;&gt;"pending","",IF(OR($B1803="",$B1803="(blank)"),"",VLOOKUP($B1803,'Email Marketing Raw Data'!$C:$O,11,0))),"")</f>
        <v/>
      </c>
      <c r="F1803" s="54" t="str">
        <f>IFERROR(IF(OR($B1803="",$B1803="(blank)"),"",VLOOKUP($B1803,'Email Marketing Raw Data'!$C:$O,13,0)),"")</f>
        <v/>
      </c>
      <c r="G1803" s="55" t="str">
        <f>IFERROR(IF(OR($B1803="",$B1803="(blank)"),"",VLOOKUP($B1803,'Email Marketing Raw Data'!$C:$O,4,0)),"")</f>
        <v/>
      </c>
      <c r="H1803" s="55" t="str">
        <f>IFERROR(IF(OR($B1803="",$B1803="(blank)"),"",VLOOKUP($B1803,'Email Marketing Raw Data'!$C:$O,5,0)),"")</f>
        <v/>
      </c>
      <c r="I1803" s="55" t="str">
        <f>IFERROR(IF($G1803="","",VLOOKUP('Dashboard And Emails Automate'!$G1803,Database!$H:$N,3,0)),"")</f>
        <v/>
      </c>
      <c r="J1803" s="55" t="str">
        <f>IFERROR(IF($G1803="","",VLOOKUP('Dashboard And Emails Automate'!$G1803,Database!$H:$N,4,0)),"")</f>
        <v/>
      </c>
      <c r="K1803" s="55" t="str">
        <f>IFERROR(IF($G1803="","",VLOOKUP('Dashboard And Emails Automate'!$G1803,Database!$H:$N,5,0)),"")</f>
        <v/>
      </c>
      <c r="L1803" s="55" t="str">
        <f>IFERROR(IF($G1803="","",VLOOKUP('Dashboard And Emails Automate'!$G1803,Database!$H:$N,6,0)),"")</f>
        <v/>
      </c>
      <c r="M1803" s="55" t="str">
        <f>IFERROR(IF($G1803="","",VLOOKUP('Dashboard And Emails Automate'!$G1803,Database!$H:$N,7,0)),"")</f>
        <v/>
      </c>
      <c r="N1803" s="55" t="str">
        <f>IFERROR(IF(OR($B1803="",$B1803="(blank)"),"",VLOOKUP($B1803,'Email Marketing Raw Data'!$C:$O,6,0)),"")</f>
        <v/>
      </c>
      <c r="O1803" s="55" t="str">
        <f>IFERROR(IF(OR($B1803="",$B1803="(blank)"),"",VLOOKUP($B1803,'Email Marketing Raw Data'!$C:$O,7,0)),"")</f>
        <v/>
      </c>
      <c r="P1803" s="55" t="str">
        <f>IFERROR(IF(OR($B1803="",$B1803="(blank)"),"",VLOOKUP($B1803,'Email Marketing Raw Data'!$C:$O,8,0)),"")</f>
        <v/>
      </c>
      <c r="Q1803" s="62" t="str">
        <f>IFERROR(IF(OR($B1803="",$B1803="(blank)"),"",VLOOKUP($B1803,'Email Marketing Raw Data'!$C:$O,9,0)),"")</f>
        <v/>
      </c>
    </row>
    <row r="1804" spans="4:17" ht="12.75" customHeight="1" x14ac:dyDescent="0.2">
      <c r="D1804" s="58" t="str">
        <f>IFERROR(IF(F1804&lt;&gt;"pending","",IF(OR($B1804="",$B1804="(blank)"),"",VLOOKUP($B1804,'Email Marketing Raw Data'!$C:$O,10,0))),"")</f>
        <v/>
      </c>
      <c r="E1804" s="59" t="str">
        <f>IFERROR(IF(F1804&lt;&gt;"pending","",IF(OR($B1804="",$B1804="(blank)"),"",VLOOKUP($B1804,'Email Marketing Raw Data'!$C:$O,11,0))),"")</f>
        <v/>
      </c>
      <c r="F1804" s="54" t="str">
        <f>IFERROR(IF(OR($B1804="",$B1804="(blank)"),"",VLOOKUP($B1804,'Email Marketing Raw Data'!$C:$O,13,0)),"")</f>
        <v/>
      </c>
      <c r="G1804" s="55" t="str">
        <f>IFERROR(IF(OR($B1804="",$B1804="(blank)"),"",VLOOKUP($B1804,'Email Marketing Raw Data'!$C:$O,4,0)),"")</f>
        <v/>
      </c>
      <c r="H1804" s="55" t="str">
        <f>IFERROR(IF(OR($B1804="",$B1804="(blank)"),"",VLOOKUP($B1804,'Email Marketing Raw Data'!$C:$O,5,0)),"")</f>
        <v/>
      </c>
      <c r="I1804" s="55" t="str">
        <f>IFERROR(IF($G1804="","",VLOOKUP('Dashboard And Emails Automate'!$G1804,Database!$H:$N,3,0)),"")</f>
        <v/>
      </c>
      <c r="J1804" s="55" t="str">
        <f>IFERROR(IF($G1804="","",VLOOKUP('Dashboard And Emails Automate'!$G1804,Database!$H:$N,4,0)),"")</f>
        <v/>
      </c>
      <c r="K1804" s="55" t="str">
        <f>IFERROR(IF($G1804="","",VLOOKUP('Dashboard And Emails Automate'!$G1804,Database!$H:$N,5,0)),"")</f>
        <v/>
      </c>
      <c r="L1804" s="55" t="str">
        <f>IFERROR(IF($G1804="","",VLOOKUP('Dashboard And Emails Automate'!$G1804,Database!$H:$N,6,0)),"")</f>
        <v/>
      </c>
      <c r="M1804" s="55" t="str">
        <f>IFERROR(IF($G1804="","",VLOOKUP('Dashboard And Emails Automate'!$G1804,Database!$H:$N,7,0)),"")</f>
        <v/>
      </c>
      <c r="N1804" s="55" t="str">
        <f>IFERROR(IF(OR($B1804="",$B1804="(blank)"),"",VLOOKUP($B1804,'Email Marketing Raw Data'!$C:$O,6,0)),"")</f>
        <v/>
      </c>
      <c r="O1804" s="55" t="str">
        <f>IFERROR(IF(OR($B1804="",$B1804="(blank)"),"",VLOOKUP($B1804,'Email Marketing Raw Data'!$C:$O,7,0)),"")</f>
        <v/>
      </c>
      <c r="P1804" s="55" t="str">
        <f>IFERROR(IF(OR($B1804="",$B1804="(blank)"),"",VLOOKUP($B1804,'Email Marketing Raw Data'!$C:$O,8,0)),"")</f>
        <v/>
      </c>
      <c r="Q1804" s="62" t="str">
        <f>IFERROR(IF(OR($B1804="",$B1804="(blank)"),"",VLOOKUP($B1804,'Email Marketing Raw Data'!$C:$O,9,0)),"")</f>
        <v/>
      </c>
    </row>
    <row r="1805" spans="4:17" ht="12.75" customHeight="1" x14ac:dyDescent="0.2">
      <c r="D1805" s="58" t="str">
        <f>IFERROR(IF(F1805&lt;&gt;"pending","",IF(OR($B1805="",$B1805="(blank)"),"",VLOOKUP($B1805,'Email Marketing Raw Data'!$C:$O,10,0))),"")</f>
        <v/>
      </c>
      <c r="E1805" s="59" t="str">
        <f>IFERROR(IF(F1805&lt;&gt;"pending","",IF(OR($B1805="",$B1805="(blank)"),"",VLOOKUP($B1805,'Email Marketing Raw Data'!$C:$O,11,0))),"")</f>
        <v/>
      </c>
      <c r="F1805" s="54" t="str">
        <f>IFERROR(IF(OR($B1805="",$B1805="(blank)"),"",VLOOKUP($B1805,'Email Marketing Raw Data'!$C:$O,13,0)),"")</f>
        <v/>
      </c>
      <c r="G1805" s="55" t="str">
        <f>IFERROR(IF(OR($B1805="",$B1805="(blank)"),"",VLOOKUP($B1805,'Email Marketing Raw Data'!$C:$O,4,0)),"")</f>
        <v/>
      </c>
      <c r="H1805" s="55" t="str">
        <f>IFERROR(IF(OR($B1805="",$B1805="(blank)"),"",VLOOKUP($B1805,'Email Marketing Raw Data'!$C:$O,5,0)),"")</f>
        <v/>
      </c>
      <c r="I1805" s="55" t="str">
        <f>IFERROR(IF($G1805="","",VLOOKUP('Dashboard And Emails Automate'!$G1805,Database!$H:$N,3,0)),"")</f>
        <v/>
      </c>
      <c r="J1805" s="55" t="str">
        <f>IFERROR(IF($G1805="","",VLOOKUP('Dashboard And Emails Automate'!$G1805,Database!$H:$N,4,0)),"")</f>
        <v/>
      </c>
      <c r="K1805" s="55" t="str">
        <f>IFERROR(IF($G1805="","",VLOOKUP('Dashboard And Emails Automate'!$G1805,Database!$H:$N,5,0)),"")</f>
        <v/>
      </c>
      <c r="L1805" s="55" t="str">
        <f>IFERROR(IF($G1805="","",VLOOKUP('Dashboard And Emails Automate'!$G1805,Database!$H:$N,6,0)),"")</f>
        <v/>
      </c>
      <c r="M1805" s="55" t="str">
        <f>IFERROR(IF($G1805="","",VLOOKUP('Dashboard And Emails Automate'!$G1805,Database!$H:$N,7,0)),"")</f>
        <v/>
      </c>
      <c r="N1805" s="55" t="str">
        <f>IFERROR(IF(OR($B1805="",$B1805="(blank)"),"",VLOOKUP($B1805,'Email Marketing Raw Data'!$C:$O,6,0)),"")</f>
        <v/>
      </c>
      <c r="O1805" s="55" t="str">
        <f>IFERROR(IF(OR($B1805="",$B1805="(blank)"),"",VLOOKUP($B1805,'Email Marketing Raw Data'!$C:$O,7,0)),"")</f>
        <v/>
      </c>
      <c r="P1805" s="55" t="str">
        <f>IFERROR(IF(OR($B1805="",$B1805="(blank)"),"",VLOOKUP($B1805,'Email Marketing Raw Data'!$C:$O,8,0)),"")</f>
        <v/>
      </c>
      <c r="Q1805" s="62" t="str">
        <f>IFERROR(IF(OR($B1805="",$B1805="(blank)"),"",VLOOKUP($B1805,'Email Marketing Raw Data'!$C:$O,9,0)),"")</f>
        <v/>
      </c>
    </row>
    <row r="1806" spans="4:17" ht="12.75" customHeight="1" x14ac:dyDescent="0.2">
      <c r="D1806" s="58" t="str">
        <f>IFERROR(IF(F1806&lt;&gt;"pending","",IF(OR($B1806="",$B1806="(blank)"),"",VLOOKUP($B1806,'Email Marketing Raw Data'!$C:$O,10,0))),"")</f>
        <v/>
      </c>
      <c r="E1806" s="59" t="str">
        <f>IFERROR(IF(F1806&lt;&gt;"pending","",IF(OR($B1806="",$B1806="(blank)"),"",VLOOKUP($B1806,'Email Marketing Raw Data'!$C:$O,11,0))),"")</f>
        <v/>
      </c>
      <c r="F1806" s="54" t="str">
        <f>IFERROR(IF(OR($B1806="",$B1806="(blank)"),"",VLOOKUP($B1806,'Email Marketing Raw Data'!$C:$O,13,0)),"")</f>
        <v/>
      </c>
      <c r="G1806" s="55" t="str">
        <f>IFERROR(IF(OR($B1806="",$B1806="(blank)"),"",VLOOKUP($B1806,'Email Marketing Raw Data'!$C:$O,4,0)),"")</f>
        <v/>
      </c>
      <c r="H1806" s="55" t="str">
        <f>IFERROR(IF(OR($B1806="",$B1806="(blank)"),"",VLOOKUP($B1806,'Email Marketing Raw Data'!$C:$O,5,0)),"")</f>
        <v/>
      </c>
      <c r="I1806" s="55" t="str">
        <f>IFERROR(IF($G1806="","",VLOOKUP('Dashboard And Emails Automate'!$G1806,Database!$H:$N,3,0)),"")</f>
        <v/>
      </c>
      <c r="J1806" s="55" t="str">
        <f>IFERROR(IF($G1806="","",VLOOKUP('Dashboard And Emails Automate'!$G1806,Database!$H:$N,4,0)),"")</f>
        <v/>
      </c>
      <c r="K1806" s="55" t="str">
        <f>IFERROR(IF($G1806="","",VLOOKUP('Dashboard And Emails Automate'!$G1806,Database!$H:$N,5,0)),"")</f>
        <v/>
      </c>
      <c r="L1806" s="55" t="str">
        <f>IFERROR(IF($G1806="","",VLOOKUP('Dashboard And Emails Automate'!$G1806,Database!$H:$N,6,0)),"")</f>
        <v/>
      </c>
      <c r="M1806" s="55" t="str">
        <f>IFERROR(IF($G1806="","",VLOOKUP('Dashboard And Emails Automate'!$G1806,Database!$H:$N,7,0)),"")</f>
        <v/>
      </c>
      <c r="N1806" s="55" t="str">
        <f>IFERROR(IF(OR($B1806="",$B1806="(blank)"),"",VLOOKUP($B1806,'Email Marketing Raw Data'!$C:$O,6,0)),"")</f>
        <v/>
      </c>
      <c r="O1806" s="55" t="str">
        <f>IFERROR(IF(OR($B1806="",$B1806="(blank)"),"",VLOOKUP($B1806,'Email Marketing Raw Data'!$C:$O,7,0)),"")</f>
        <v/>
      </c>
      <c r="P1806" s="55" t="str">
        <f>IFERROR(IF(OR($B1806="",$B1806="(blank)"),"",VLOOKUP($B1806,'Email Marketing Raw Data'!$C:$O,8,0)),"")</f>
        <v/>
      </c>
      <c r="Q1806" s="62" t="str">
        <f>IFERROR(IF(OR($B1806="",$B1806="(blank)"),"",VLOOKUP($B1806,'Email Marketing Raw Data'!$C:$O,9,0)),"")</f>
        <v/>
      </c>
    </row>
    <row r="1807" spans="4:17" ht="12.75" customHeight="1" x14ac:dyDescent="0.2">
      <c r="D1807" s="58" t="str">
        <f>IFERROR(IF(F1807&lt;&gt;"pending","",IF(OR($B1807="",$B1807="(blank)"),"",VLOOKUP($B1807,'Email Marketing Raw Data'!$C:$O,10,0))),"")</f>
        <v/>
      </c>
      <c r="E1807" s="59" t="str">
        <f>IFERROR(IF(F1807&lt;&gt;"pending","",IF(OR($B1807="",$B1807="(blank)"),"",VLOOKUP($B1807,'Email Marketing Raw Data'!$C:$O,11,0))),"")</f>
        <v/>
      </c>
      <c r="F1807" s="54" t="str">
        <f>IFERROR(IF(OR($B1807="",$B1807="(blank)"),"",VLOOKUP($B1807,'Email Marketing Raw Data'!$C:$O,13,0)),"")</f>
        <v/>
      </c>
      <c r="G1807" s="55" t="str">
        <f>IFERROR(IF(OR($B1807="",$B1807="(blank)"),"",VLOOKUP($B1807,'Email Marketing Raw Data'!$C:$O,4,0)),"")</f>
        <v/>
      </c>
      <c r="H1807" s="55" t="str">
        <f>IFERROR(IF(OR($B1807="",$B1807="(blank)"),"",VLOOKUP($B1807,'Email Marketing Raw Data'!$C:$O,5,0)),"")</f>
        <v/>
      </c>
      <c r="I1807" s="55" t="str">
        <f>IFERROR(IF($G1807="","",VLOOKUP('Dashboard And Emails Automate'!$G1807,Database!$H:$N,3,0)),"")</f>
        <v/>
      </c>
      <c r="J1807" s="55" t="str">
        <f>IFERROR(IF($G1807="","",VLOOKUP('Dashboard And Emails Automate'!$G1807,Database!$H:$N,4,0)),"")</f>
        <v/>
      </c>
      <c r="K1807" s="55" t="str">
        <f>IFERROR(IF($G1807="","",VLOOKUP('Dashboard And Emails Automate'!$G1807,Database!$H:$N,5,0)),"")</f>
        <v/>
      </c>
      <c r="L1807" s="55" t="str">
        <f>IFERROR(IF($G1807="","",VLOOKUP('Dashboard And Emails Automate'!$G1807,Database!$H:$N,6,0)),"")</f>
        <v/>
      </c>
      <c r="M1807" s="55" t="str">
        <f>IFERROR(IF($G1807="","",VLOOKUP('Dashboard And Emails Automate'!$G1807,Database!$H:$N,7,0)),"")</f>
        <v/>
      </c>
      <c r="N1807" s="55" t="str">
        <f>IFERROR(IF(OR($B1807="",$B1807="(blank)"),"",VLOOKUP($B1807,'Email Marketing Raw Data'!$C:$O,6,0)),"")</f>
        <v/>
      </c>
      <c r="O1807" s="55" t="str">
        <f>IFERROR(IF(OR($B1807="",$B1807="(blank)"),"",VLOOKUP($B1807,'Email Marketing Raw Data'!$C:$O,7,0)),"")</f>
        <v/>
      </c>
      <c r="P1807" s="55" t="str">
        <f>IFERROR(IF(OR($B1807="",$B1807="(blank)"),"",VLOOKUP($B1807,'Email Marketing Raw Data'!$C:$O,8,0)),"")</f>
        <v/>
      </c>
      <c r="Q1807" s="62" t="str">
        <f>IFERROR(IF(OR($B1807="",$B1807="(blank)"),"",VLOOKUP($B1807,'Email Marketing Raw Data'!$C:$O,9,0)),"")</f>
        <v/>
      </c>
    </row>
    <row r="1808" spans="4:17" ht="12.75" customHeight="1" x14ac:dyDescent="0.2">
      <c r="D1808" s="58" t="str">
        <f>IFERROR(IF(F1808&lt;&gt;"pending","",IF(OR($B1808="",$B1808="(blank)"),"",VLOOKUP($B1808,'Email Marketing Raw Data'!$C:$O,10,0))),"")</f>
        <v/>
      </c>
      <c r="E1808" s="59" t="str">
        <f>IFERROR(IF(F1808&lt;&gt;"pending","",IF(OR($B1808="",$B1808="(blank)"),"",VLOOKUP($B1808,'Email Marketing Raw Data'!$C:$O,11,0))),"")</f>
        <v/>
      </c>
      <c r="F1808" s="54" t="str">
        <f>IFERROR(IF(OR($B1808="",$B1808="(blank)"),"",VLOOKUP($B1808,'Email Marketing Raw Data'!$C:$O,13,0)),"")</f>
        <v/>
      </c>
      <c r="G1808" s="55" t="str">
        <f>IFERROR(IF(OR($B1808="",$B1808="(blank)"),"",VLOOKUP($B1808,'Email Marketing Raw Data'!$C:$O,4,0)),"")</f>
        <v/>
      </c>
      <c r="H1808" s="55" t="str">
        <f>IFERROR(IF(OR($B1808="",$B1808="(blank)"),"",VLOOKUP($B1808,'Email Marketing Raw Data'!$C:$O,5,0)),"")</f>
        <v/>
      </c>
      <c r="I1808" s="55" t="str">
        <f>IFERROR(IF($G1808="","",VLOOKUP('Dashboard And Emails Automate'!$G1808,Database!$H:$N,3,0)),"")</f>
        <v/>
      </c>
      <c r="J1808" s="55" t="str">
        <f>IFERROR(IF($G1808="","",VLOOKUP('Dashboard And Emails Automate'!$G1808,Database!$H:$N,4,0)),"")</f>
        <v/>
      </c>
      <c r="K1808" s="55" t="str">
        <f>IFERROR(IF($G1808="","",VLOOKUP('Dashboard And Emails Automate'!$G1808,Database!$H:$N,5,0)),"")</f>
        <v/>
      </c>
      <c r="L1808" s="55" t="str">
        <f>IFERROR(IF($G1808="","",VLOOKUP('Dashboard And Emails Automate'!$G1808,Database!$H:$N,6,0)),"")</f>
        <v/>
      </c>
      <c r="M1808" s="55" t="str">
        <f>IFERROR(IF($G1808="","",VLOOKUP('Dashboard And Emails Automate'!$G1808,Database!$H:$N,7,0)),"")</f>
        <v/>
      </c>
      <c r="N1808" s="55" t="str">
        <f>IFERROR(IF(OR($B1808="",$B1808="(blank)"),"",VLOOKUP($B1808,'Email Marketing Raw Data'!$C:$O,6,0)),"")</f>
        <v/>
      </c>
      <c r="O1808" s="55" t="str">
        <f>IFERROR(IF(OR($B1808="",$B1808="(blank)"),"",VLOOKUP($B1808,'Email Marketing Raw Data'!$C:$O,7,0)),"")</f>
        <v/>
      </c>
      <c r="P1808" s="55" t="str">
        <f>IFERROR(IF(OR($B1808="",$B1808="(blank)"),"",VLOOKUP($B1808,'Email Marketing Raw Data'!$C:$O,8,0)),"")</f>
        <v/>
      </c>
      <c r="Q1808" s="62" t="str">
        <f>IFERROR(IF(OR($B1808="",$B1808="(blank)"),"",VLOOKUP($B1808,'Email Marketing Raw Data'!$C:$O,9,0)),"")</f>
        <v/>
      </c>
    </row>
    <row r="1809" spans="4:17" ht="12.75" customHeight="1" x14ac:dyDescent="0.2">
      <c r="D1809" s="58" t="str">
        <f>IFERROR(IF(F1809&lt;&gt;"pending","",IF(OR($B1809="",$B1809="(blank)"),"",VLOOKUP($B1809,'Email Marketing Raw Data'!$C:$O,10,0))),"")</f>
        <v/>
      </c>
      <c r="E1809" s="59" t="str">
        <f>IFERROR(IF(F1809&lt;&gt;"pending","",IF(OR($B1809="",$B1809="(blank)"),"",VLOOKUP($B1809,'Email Marketing Raw Data'!$C:$O,11,0))),"")</f>
        <v/>
      </c>
      <c r="F1809" s="54" t="str">
        <f>IFERROR(IF(OR($B1809="",$B1809="(blank)"),"",VLOOKUP($B1809,'Email Marketing Raw Data'!$C:$O,13,0)),"")</f>
        <v/>
      </c>
      <c r="G1809" s="55" t="str">
        <f>IFERROR(IF(OR($B1809="",$B1809="(blank)"),"",VLOOKUP($B1809,'Email Marketing Raw Data'!$C:$O,4,0)),"")</f>
        <v/>
      </c>
      <c r="H1809" s="55" t="str">
        <f>IFERROR(IF(OR($B1809="",$B1809="(blank)"),"",VLOOKUP($B1809,'Email Marketing Raw Data'!$C:$O,5,0)),"")</f>
        <v/>
      </c>
      <c r="I1809" s="55" t="str">
        <f>IFERROR(IF($G1809="","",VLOOKUP('Dashboard And Emails Automate'!$G1809,Database!$H:$N,3,0)),"")</f>
        <v/>
      </c>
      <c r="J1809" s="55" t="str">
        <f>IFERROR(IF($G1809="","",VLOOKUP('Dashboard And Emails Automate'!$G1809,Database!$H:$N,4,0)),"")</f>
        <v/>
      </c>
      <c r="K1809" s="55" t="str">
        <f>IFERROR(IF($G1809="","",VLOOKUP('Dashboard And Emails Automate'!$G1809,Database!$H:$N,5,0)),"")</f>
        <v/>
      </c>
      <c r="L1809" s="55" t="str">
        <f>IFERROR(IF($G1809="","",VLOOKUP('Dashboard And Emails Automate'!$G1809,Database!$H:$N,6,0)),"")</f>
        <v/>
      </c>
      <c r="M1809" s="55" t="str">
        <f>IFERROR(IF($G1809="","",VLOOKUP('Dashboard And Emails Automate'!$G1809,Database!$H:$N,7,0)),"")</f>
        <v/>
      </c>
      <c r="N1809" s="55" t="str">
        <f>IFERROR(IF(OR($B1809="",$B1809="(blank)"),"",VLOOKUP($B1809,'Email Marketing Raw Data'!$C:$O,6,0)),"")</f>
        <v/>
      </c>
      <c r="O1809" s="55" t="str">
        <f>IFERROR(IF(OR($B1809="",$B1809="(blank)"),"",VLOOKUP($B1809,'Email Marketing Raw Data'!$C:$O,7,0)),"")</f>
        <v/>
      </c>
      <c r="P1809" s="55" t="str">
        <f>IFERROR(IF(OR($B1809="",$B1809="(blank)"),"",VLOOKUP($B1809,'Email Marketing Raw Data'!$C:$O,8,0)),"")</f>
        <v/>
      </c>
      <c r="Q1809" s="62" t="str">
        <f>IFERROR(IF(OR($B1809="",$B1809="(blank)"),"",VLOOKUP($B1809,'Email Marketing Raw Data'!$C:$O,9,0)),"")</f>
        <v/>
      </c>
    </row>
    <row r="1810" spans="4:17" ht="12.75" customHeight="1" x14ac:dyDescent="0.2">
      <c r="D1810" s="58" t="str">
        <f>IFERROR(IF(F1810&lt;&gt;"pending","",IF(OR($B1810="",$B1810="(blank)"),"",VLOOKUP($B1810,'Email Marketing Raw Data'!$C:$O,10,0))),"")</f>
        <v/>
      </c>
      <c r="E1810" s="59" t="str">
        <f>IFERROR(IF(F1810&lt;&gt;"pending","",IF(OR($B1810="",$B1810="(blank)"),"",VLOOKUP($B1810,'Email Marketing Raw Data'!$C:$O,11,0))),"")</f>
        <v/>
      </c>
      <c r="F1810" s="54" t="str">
        <f>IFERROR(IF(OR($B1810="",$B1810="(blank)"),"",VLOOKUP($B1810,'Email Marketing Raw Data'!$C:$O,13,0)),"")</f>
        <v/>
      </c>
      <c r="G1810" s="55" t="str">
        <f>IFERROR(IF(OR($B1810="",$B1810="(blank)"),"",VLOOKUP($B1810,'Email Marketing Raw Data'!$C:$O,4,0)),"")</f>
        <v/>
      </c>
      <c r="H1810" s="55" t="str">
        <f>IFERROR(IF(OR($B1810="",$B1810="(blank)"),"",VLOOKUP($B1810,'Email Marketing Raw Data'!$C:$O,5,0)),"")</f>
        <v/>
      </c>
      <c r="I1810" s="55" t="str">
        <f>IFERROR(IF($G1810="","",VLOOKUP('Dashboard And Emails Automate'!$G1810,Database!$H:$N,3,0)),"")</f>
        <v/>
      </c>
      <c r="J1810" s="55" t="str">
        <f>IFERROR(IF($G1810="","",VLOOKUP('Dashboard And Emails Automate'!$G1810,Database!$H:$N,4,0)),"")</f>
        <v/>
      </c>
      <c r="K1810" s="55" t="str">
        <f>IFERROR(IF($G1810="","",VLOOKUP('Dashboard And Emails Automate'!$G1810,Database!$H:$N,5,0)),"")</f>
        <v/>
      </c>
      <c r="L1810" s="55" t="str">
        <f>IFERROR(IF($G1810="","",VLOOKUP('Dashboard And Emails Automate'!$G1810,Database!$H:$N,6,0)),"")</f>
        <v/>
      </c>
      <c r="M1810" s="55" t="str">
        <f>IFERROR(IF($G1810="","",VLOOKUP('Dashboard And Emails Automate'!$G1810,Database!$H:$N,7,0)),"")</f>
        <v/>
      </c>
      <c r="N1810" s="55" t="str">
        <f>IFERROR(IF(OR($B1810="",$B1810="(blank)"),"",VLOOKUP($B1810,'Email Marketing Raw Data'!$C:$O,6,0)),"")</f>
        <v/>
      </c>
      <c r="O1810" s="55" t="str">
        <f>IFERROR(IF(OR($B1810="",$B1810="(blank)"),"",VLOOKUP($B1810,'Email Marketing Raw Data'!$C:$O,7,0)),"")</f>
        <v/>
      </c>
      <c r="P1810" s="55" t="str">
        <f>IFERROR(IF(OR($B1810="",$B1810="(blank)"),"",VLOOKUP($B1810,'Email Marketing Raw Data'!$C:$O,8,0)),"")</f>
        <v/>
      </c>
      <c r="Q1810" s="62" t="str">
        <f>IFERROR(IF(OR($B1810="",$B1810="(blank)"),"",VLOOKUP($B1810,'Email Marketing Raw Data'!$C:$O,9,0)),"")</f>
        <v/>
      </c>
    </row>
    <row r="1811" spans="4:17" ht="12.75" customHeight="1" x14ac:dyDescent="0.2">
      <c r="D1811" s="58" t="str">
        <f>IFERROR(IF(F1811&lt;&gt;"pending","",IF(OR($B1811="",$B1811="(blank)"),"",VLOOKUP($B1811,'Email Marketing Raw Data'!$C:$O,10,0))),"")</f>
        <v/>
      </c>
      <c r="E1811" s="59" t="str">
        <f>IFERROR(IF(F1811&lt;&gt;"pending","",IF(OR($B1811="",$B1811="(blank)"),"",VLOOKUP($B1811,'Email Marketing Raw Data'!$C:$O,11,0))),"")</f>
        <v/>
      </c>
      <c r="F1811" s="54" t="str">
        <f>IFERROR(IF(OR($B1811="",$B1811="(blank)"),"",VLOOKUP($B1811,'Email Marketing Raw Data'!$C:$O,13,0)),"")</f>
        <v/>
      </c>
      <c r="G1811" s="55" t="str">
        <f>IFERROR(IF(OR($B1811="",$B1811="(blank)"),"",VLOOKUP($B1811,'Email Marketing Raw Data'!$C:$O,4,0)),"")</f>
        <v/>
      </c>
      <c r="H1811" s="55" t="str">
        <f>IFERROR(IF(OR($B1811="",$B1811="(blank)"),"",VLOOKUP($B1811,'Email Marketing Raw Data'!$C:$O,5,0)),"")</f>
        <v/>
      </c>
      <c r="I1811" s="55" t="str">
        <f>IFERROR(IF($G1811="","",VLOOKUP('Dashboard And Emails Automate'!$G1811,Database!$H:$N,3,0)),"")</f>
        <v/>
      </c>
      <c r="J1811" s="55" t="str">
        <f>IFERROR(IF($G1811="","",VLOOKUP('Dashboard And Emails Automate'!$G1811,Database!$H:$N,4,0)),"")</f>
        <v/>
      </c>
      <c r="K1811" s="55" t="str">
        <f>IFERROR(IF($G1811="","",VLOOKUP('Dashboard And Emails Automate'!$G1811,Database!$H:$N,5,0)),"")</f>
        <v/>
      </c>
      <c r="L1811" s="55" t="str">
        <f>IFERROR(IF($G1811="","",VLOOKUP('Dashboard And Emails Automate'!$G1811,Database!$H:$N,6,0)),"")</f>
        <v/>
      </c>
      <c r="M1811" s="55" t="str">
        <f>IFERROR(IF($G1811="","",VLOOKUP('Dashboard And Emails Automate'!$G1811,Database!$H:$N,7,0)),"")</f>
        <v/>
      </c>
      <c r="N1811" s="55" t="str">
        <f>IFERROR(IF(OR($B1811="",$B1811="(blank)"),"",VLOOKUP($B1811,'Email Marketing Raw Data'!$C:$O,6,0)),"")</f>
        <v/>
      </c>
      <c r="O1811" s="55" t="str">
        <f>IFERROR(IF(OR($B1811="",$B1811="(blank)"),"",VLOOKUP($B1811,'Email Marketing Raw Data'!$C:$O,7,0)),"")</f>
        <v/>
      </c>
      <c r="P1811" s="55" t="str">
        <f>IFERROR(IF(OR($B1811="",$B1811="(blank)"),"",VLOOKUP($B1811,'Email Marketing Raw Data'!$C:$O,8,0)),"")</f>
        <v/>
      </c>
      <c r="Q1811" s="62" t="str">
        <f>IFERROR(IF(OR($B1811="",$B1811="(blank)"),"",VLOOKUP($B1811,'Email Marketing Raw Data'!$C:$O,9,0)),"")</f>
        <v/>
      </c>
    </row>
    <row r="1812" spans="4:17" ht="12.75" customHeight="1" x14ac:dyDescent="0.2">
      <c r="D1812" s="58" t="str">
        <f>IFERROR(IF(F1812&lt;&gt;"pending","",IF(OR($B1812="",$B1812="(blank)"),"",VLOOKUP($B1812,'Email Marketing Raw Data'!$C:$O,10,0))),"")</f>
        <v/>
      </c>
      <c r="E1812" s="59" t="str">
        <f>IFERROR(IF(F1812&lt;&gt;"pending","",IF(OR($B1812="",$B1812="(blank)"),"",VLOOKUP($B1812,'Email Marketing Raw Data'!$C:$O,11,0))),"")</f>
        <v/>
      </c>
      <c r="F1812" s="54" t="str">
        <f>IFERROR(IF(OR($B1812="",$B1812="(blank)"),"",VLOOKUP($B1812,'Email Marketing Raw Data'!$C:$O,13,0)),"")</f>
        <v/>
      </c>
      <c r="G1812" s="55" t="str">
        <f>IFERROR(IF(OR($B1812="",$B1812="(blank)"),"",VLOOKUP($B1812,'Email Marketing Raw Data'!$C:$O,4,0)),"")</f>
        <v/>
      </c>
      <c r="H1812" s="55" t="str">
        <f>IFERROR(IF(OR($B1812="",$B1812="(blank)"),"",VLOOKUP($B1812,'Email Marketing Raw Data'!$C:$O,5,0)),"")</f>
        <v/>
      </c>
      <c r="I1812" s="55" t="str">
        <f>IFERROR(IF($G1812="","",VLOOKUP('Dashboard And Emails Automate'!$G1812,Database!$H:$N,3,0)),"")</f>
        <v/>
      </c>
      <c r="J1812" s="55" t="str">
        <f>IFERROR(IF($G1812="","",VLOOKUP('Dashboard And Emails Automate'!$G1812,Database!$H:$N,4,0)),"")</f>
        <v/>
      </c>
      <c r="K1812" s="55" t="str">
        <f>IFERROR(IF($G1812="","",VLOOKUP('Dashboard And Emails Automate'!$G1812,Database!$H:$N,5,0)),"")</f>
        <v/>
      </c>
      <c r="L1812" s="55" t="str">
        <f>IFERROR(IF($G1812="","",VLOOKUP('Dashboard And Emails Automate'!$G1812,Database!$H:$N,6,0)),"")</f>
        <v/>
      </c>
      <c r="M1812" s="55" t="str">
        <f>IFERROR(IF($G1812="","",VLOOKUP('Dashboard And Emails Automate'!$G1812,Database!$H:$N,7,0)),"")</f>
        <v/>
      </c>
      <c r="N1812" s="55" t="str">
        <f>IFERROR(IF(OR($B1812="",$B1812="(blank)"),"",VLOOKUP($B1812,'Email Marketing Raw Data'!$C:$O,6,0)),"")</f>
        <v/>
      </c>
      <c r="O1812" s="55" t="str">
        <f>IFERROR(IF(OR($B1812="",$B1812="(blank)"),"",VLOOKUP($B1812,'Email Marketing Raw Data'!$C:$O,7,0)),"")</f>
        <v/>
      </c>
      <c r="P1812" s="55" t="str">
        <f>IFERROR(IF(OR($B1812="",$B1812="(blank)"),"",VLOOKUP($B1812,'Email Marketing Raw Data'!$C:$O,8,0)),"")</f>
        <v/>
      </c>
      <c r="Q1812" s="62" t="str">
        <f>IFERROR(IF(OR($B1812="",$B1812="(blank)"),"",VLOOKUP($B1812,'Email Marketing Raw Data'!$C:$O,9,0)),"")</f>
        <v/>
      </c>
    </row>
    <row r="1813" spans="4:17" ht="12.75" customHeight="1" x14ac:dyDescent="0.2">
      <c r="D1813" s="58" t="str">
        <f>IFERROR(IF(F1813&lt;&gt;"pending","",IF(OR($B1813="",$B1813="(blank)"),"",VLOOKUP($B1813,'Email Marketing Raw Data'!$C:$O,10,0))),"")</f>
        <v/>
      </c>
      <c r="E1813" s="59" t="str">
        <f>IFERROR(IF(F1813&lt;&gt;"pending","",IF(OR($B1813="",$B1813="(blank)"),"",VLOOKUP($B1813,'Email Marketing Raw Data'!$C:$O,11,0))),"")</f>
        <v/>
      </c>
      <c r="F1813" s="54" t="str">
        <f>IFERROR(IF(OR($B1813="",$B1813="(blank)"),"",VLOOKUP($B1813,'Email Marketing Raw Data'!$C:$O,13,0)),"")</f>
        <v/>
      </c>
      <c r="G1813" s="55" t="str">
        <f>IFERROR(IF(OR($B1813="",$B1813="(blank)"),"",VLOOKUP($B1813,'Email Marketing Raw Data'!$C:$O,4,0)),"")</f>
        <v/>
      </c>
      <c r="H1813" s="55" t="str">
        <f>IFERROR(IF(OR($B1813="",$B1813="(blank)"),"",VLOOKUP($B1813,'Email Marketing Raw Data'!$C:$O,5,0)),"")</f>
        <v/>
      </c>
      <c r="I1813" s="55" t="str">
        <f>IFERROR(IF($G1813="","",VLOOKUP('Dashboard And Emails Automate'!$G1813,Database!$H:$N,3,0)),"")</f>
        <v/>
      </c>
      <c r="J1813" s="55" t="str">
        <f>IFERROR(IF($G1813="","",VLOOKUP('Dashboard And Emails Automate'!$G1813,Database!$H:$N,4,0)),"")</f>
        <v/>
      </c>
      <c r="K1813" s="55" t="str">
        <f>IFERROR(IF($G1813="","",VLOOKUP('Dashboard And Emails Automate'!$G1813,Database!$H:$N,5,0)),"")</f>
        <v/>
      </c>
      <c r="L1813" s="55" t="str">
        <f>IFERROR(IF($G1813="","",VLOOKUP('Dashboard And Emails Automate'!$G1813,Database!$H:$N,6,0)),"")</f>
        <v/>
      </c>
      <c r="M1813" s="55" t="str">
        <f>IFERROR(IF($G1813="","",VLOOKUP('Dashboard And Emails Automate'!$G1813,Database!$H:$N,7,0)),"")</f>
        <v/>
      </c>
      <c r="N1813" s="55" t="str">
        <f>IFERROR(IF(OR($B1813="",$B1813="(blank)"),"",VLOOKUP($B1813,'Email Marketing Raw Data'!$C:$O,6,0)),"")</f>
        <v/>
      </c>
      <c r="O1813" s="55" t="str">
        <f>IFERROR(IF(OR($B1813="",$B1813="(blank)"),"",VLOOKUP($B1813,'Email Marketing Raw Data'!$C:$O,7,0)),"")</f>
        <v/>
      </c>
      <c r="P1813" s="55" t="str">
        <f>IFERROR(IF(OR($B1813="",$B1813="(blank)"),"",VLOOKUP($B1813,'Email Marketing Raw Data'!$C:$O,8,0)),"")</f>
        <v/>
      </c>
      <c r="Q1813" s="62" t="str">
        <f>IFERROR(IF(OR($B1813="",$B1813="(blank)"),"",VLOOKUP($B1813,'Email Marketing Raw Data'!$C:$O,9,0)),"")</f>
        <v/>
      </c>
    </row>
    <row r="1814" spans="4:17" ht="12.75" customHeight="1" x14ac:dyDescent="0.2">
      <c r="D1814" s="58" t="str">
        <f>IFERROR(IF(F1814&lt;&gt;"pending","",IF(OR($B1814="",$B1814="(blank)"),"",VLOOKUP($B1814,'Email Marketing Raw Data'!$C:$O,10,0))),"")</f>
        <v/>
      </c>
      <c r="E1814" s="59" t="str">
        <f>IFERROR(IF(F1814&lt;&gt;"pending","",IF(OR($B1814="",$B1814="(blank)"),"",VLOOKUP($B1814,'Email Marketing Raw Data'!$C:$O,11,0))),"")</f>
        <v/>
      </c>
      <c r="F1814" s="54" t="str">
        <f>IFERROR(IF(OR($B1814="",$B1814="(blank)"),"",VLOOKUP($B1814,'Email Marketing Raw Data'!$C:$O,13,0)),"")</f>
        <v/>
      </c>
      <c r="G1814" s="55" t="str">
        <f>IFERROR(IF(OR($B1814="",$B1814="(blank)"),"",VLOOKUP($B1814,'Email Marketing Raw Data'!$C:$O,4,0)),"")</f>
        <v/>
      </c>
      <c r="H1814" s="55" t="str">
        <f>IFERROR(IF(OR($B1814="",$B1814="(blank)"),"",VLOOKUP($B1814,'Email Marketing Raw Data'!$C:$O,5,0)),"")</f>
        <v/>
      </c>
      <c r="I1814" s="55" t="str">
        <f>IFERROR(IF($G1814="","",VLOOKUP('Dashboard And Emails Automate'!$G1814,Database!$H:$N,3,0)),"")</f>
        <v/>
      </c>
      <c r="J1814" s="55" t="str">
        <f>IFERROR(IF($G1814="","",VLOOKUP('Dashboard And Emails Automate'!$G1814,Database!$H:$N,4,0)),"")</f>
        <v/>
      </c>
      <c r="K1814" s="55" t="str">
        <f>IFERROR(IF($G1814="","",VLOOKUP('Dashboard And Emails Automate'!$G1814,Database!$H:$N,5,0)),"")</f>
        <v/>
      </c>
      <c r="L1814" s="55" t="str">
        <f>IFERROR(IF($G1814="","",VLOOKUP('Dashboard And Emails Automate'!$G1814,Database!$H:$N,6,0)),"")</f>
        <v/>
      </c>
      <c r="M1814" s="55" t="str">
        <f>IFERROR(IF($G1814="","",VLOOKUP('Dashboard And Emails Automate'!$G1814,Database!$H:$N,7,0)),"")</f>
        <v/>
      </c>
      <c r="N1814" s="55" t="str">
        <f>IFERROR(IF(OR($B1814="",$B1814="(blank)"),"",VLOOKUP($B1814,'Email Marketing Raw Data'!$C:$O,6,0)),"")</f>
        <v/>
      </c>
      <c r="O1814" s="55" t="str">
        <f>IFERROR(IF(OR($B1814="",$B1814="(blank)"),"",VLOOKUP($B1814,'Email Marketing Raw Data'!$C:$O,7,0)),"")</f>
        <v/>
      </c>
      <c r="P1814" s="55" t="str">
        <f>IFERROR(IF(OR($B1814="",$B1814="(blank)"),"",VLOOKUP($B1814,'Email Marketing Raw Data'!$C:$O,8,0)),"")</f>
        <v/>
      </c>
      <c r="Q1814" s="62" t="str">
        <f>IFERROR(IF(OR($B1814="",$B1814="(blank)"),"",VLOOKUP($B1814,'Email Marketing Raw Data'!$C:$O,9,0)),"")</f>
        <v/>
      </c>
    </row>
    <row r="1815" spans="4:17" ht="12.75" customHeight="1" x14ac:dyDescent="0.2">
      <c r="D1815" s="58" t="str">
        <f>IFERROR(IF(F1815&lt;&gt;"pending","",IF(OR($B1815="",$B1815="(blank)"),"",VLOOKUP($B1815,'Email Marketing Raw Data'!$C:$O,10,0))),"")</f>
        <v/>
      </c>
      <c r="E1815" s="59" t="str">
        <f>IFERROR(IF(F1815&lt;&gt;"pending","",IF(OR($B1815="",$B1815="(blank)"),"",VLOOKUP($B1815,'Email Marketing Raw Data'!$C:$O,11,0))),"")</f>
        <v/>
      </c>
      <c r="F1815" s="54" t="str">
        <f>IFERROR(IF(OR($B1815="",$B1815="(blank)"),"",VLOOKUP($B1815,'Email Marketing Raw Data'!$C:$O,13,0)),"")</f>
        <v/>
      </c>
      <c r="G1815" s="55" t="str">
        <f>IFERROR(IF(OR($B1815="",$B1815="(blank)"),"",VLOOKUP($B1815,'Email Marketing Raw Data'!$C:$O,4,0)),"")</f>
        <v/>
      </c>
      <c r="H1815" s="55" t="str">
        <f>IFERROR(IF(OR($B1815="",$B1815="(blank)"),"",VLOOKUP($B1815,'Email Marketing Raw Data'!$C:$O,5,0)),"")</f>
        <v/>
      </c>
      <c r="I1815" s="55" t="str">
        <f>IFERROR(IF($G1815="","",VLOOKUP('Dashboard And Emails Automate'!$G1815,Database!$H:$N,3,0)),"")</f>
        <v/>
      </c>
      <c r="J1815" s="55" t="str">
        <f>IFERROR(IF($G1815="","",VLOOKUP('Dashboard And Emails Automate'!$G1815,Database!$H:$N,4,0)),"")</f>
        <v/>
      </c>
      <c r="K1815" s="55" t="str">
        <f>IFERROR(IF($G1815="","",VLOOKUP('Dashboard And Emails Automate'!$G1815,Database!$H:$N,5,0)),"")</f>
        <v/>
      </c>
      <c r="L1815" s="55" t="str">
        <f>IFERROR(IF($G1815="","",VLOOKUP('Dashboard And Emails Automate'!$G1815,Database!$H:$N,6,0)),"")</f>
        <v/>
      </c>
      <c r="M1815" s="55" t="str">
        <f>IFERROR(IF($G1815="","",VLOOKUP('Dashboard And Emails Automate'!$G1815,Database!$H:$N,7,0)),"")</f>
        <v/>
      </c>
      <c r="N1815" s="55" t="str">
        <f>IFERROR(IF(OR($B1815="",$B1815="(blank)"),"",VLOOKUP($B1815,'Email Marketing Raw Data'!$C:$O,6,0)),"")</f>
        <v/>
      </c>
      <c r="O1815" s="55" t="str">
        <f>IFERROR(IF(OR($B1815="",$B1815="(blank)"),"",VLOOKUP($B1815,'Email Marketing Raw Data'!$C:$O,7,0)),"")</f>
        <v/>
      </c>
      <c r="P1815" s="55" t="str">
        <f>IFERROR(IF(OR($B1815="",$B1815="(blank)"),"",VLOOKUP($B1815,'Email Marketing Raw Data'!$C:$O,8,0)),"")</f>
        <v/>
      </c>
      <c r="Q1815" s="62" t="str">
        <f>IFERROR(IF(OR($B1815="",$B1815="(blank)"),"",VLOOKUP($B1815,'Email Marketing Raw Data'!$C:$O,9,0)),"")</f>
        <v/>
      </c>
    </row>
    <row r="1816" spans="4:17" ht="12.75" customHeight="1" x14ac:dyDescent="0.2">
      <c r="D1816" s="58" t="str">
        <f>IFERROR(IF(F1816&lt;&gt;"pending","",IF(OR($B1816="",$B1816="(blank)"),"",VLOOKUP($B1816,'Email Marketing Raw Data'!$C:$O,10,0))),"")</f>
        <v/>
      </c>
      <c r="E1816" s="59" t="str">
        <f>IFERROR(IF(F1816&lt;&gt;"pending","",IF(OR($B1816="",$B1816="(blank)"),"",VLOOKUP($B1816,'Email Marketing Raw Data'!$C:$O,11,0))),"")</f>
        <v/>
      </c>
      <c r="F1816" s="54" t="str">
        <f>IFERROR(IF(OR($B1816="",$B1816="(blank)"),"",VLOOKUP($B1816,'Email Marketing Raw Data'!$C:$O,13,0)),"")</f>
        <v/>
      </c>
      <c r="G1816" s="55" t="str">
        <f>IFERROR(IF(OR($B1816="",$B1816="(blank)"),"",VLOOKUP($B1816,'Email Marketing Raw Data'!$C:$O,4,0)),"")</f>
        <v/>
      </c>
      <c r="H1816" s="55" t="str">
        <f>IFERROR(IF(OR($B1816="",$B1816="(blank)"),"",VLOOKUP($B1816,'Email Marketing Raw Data'!$C:$O,5,0)),"")</f>
        <v/>
      </c>
      <c r="I1816" s="55" t="str">
        <f>IFERROR(IF($G1816="","",VLOOKUP('Dashboard And Emails Automate'!$G1816,Database!$H:$N,3,0)),"")</f>
        <v/>
      </c>
      <c r="J1816" s="55" t="str">
        <f>IFERROR(IF($G1816="","",VLOOKUP('Dashboard And Emails Automate'!$G1816,Database!$H:$N,4,0)),"")</f>
        <v/>
      </c>
      <c r="K1816" s="55" t="str">
        <f>IFERROR(IF($G1816="","",VLOOKUP('Dashboard And Emails Automate'!$G1816,Database!$H:$N,5,0)),"")</f>
        <v/>
      </c>
      <c r="L1816" s="55" t="str">
        <f>IFERROR(IF($G1816="","",VLOOKUP('Dashboard And Emails Automate'!$G1816,Database!$H:$N,6,0)),"")</f>
        <v/>
      </c>
      <c r="M1816" s="55" t="str">
        <f>IFERROR(IF($G1816="","",VLOOKUP('Dashboard And Emails Automate'!$G1816,Database!$H:$N,7,0)),"")</f>
        <v/>
      </c>
      <c r="N1816" s="55" t="str">
        <f>IFERROR(IF(OR($B1816="",$B1816="(blank)"),"",VLOOKUP($B1816,'Email Marketing Raw Data'!$C:$O,6,0)),"")</f>
        <v/>
      </c>
      <c r="O1816" s="55" t="str">
        <f>IFERROR(IF(OR($B1816="",$B1816="(blank)"),"",VLOOKUP($B1816,'Email Marketing Raw Data'!$C:$O,7,0)),"")</f>
        <v/>
      </c>
      <c r="P1816" s="55" t="str">
        <f>IFERROR(IF(OR($B1816="",$B1816="(blank)"),"",VLOOKUP($B1816,'Email Marketing Raw Data'!$C:$O,8,0)),"")</f>
        <v/>
      </c>
      <c r="Q1816" s="62" t="str">
        <f>IFERROR(IF(OR($B1816="",$B1816="(blank)"),"",VLOOKUP($B1816,'Email Marketing Raw Data'!$C:$O,9,0)),"")</f>
        <v/>
      </c>
    </row>
    <row r="1817" spans="4:17" ht="12.75" customHeight="1" x14ac:dyDescent="0.2">
      <c r="D1817" s="58" t="str">
        <f>IFERROR(IF(F1817&lt;&gt;"pending","",IF(OR($B1817="",$B1817="(blank)"),"",VLOOKUP($B1817,'Email Marketing Raw Data'!$C:$O,10,0))),"")</f>
        <v/>
      </c>
      <c r="E1817" s="59" t="str">
        <f>IFERROR(IF(F1817&lt;&gt;"pending","",IF(OR($B1817="",$B1817="(blank)"),"",VLOOKUP($B1817,'Email Marketing Raw Data'!$C:$O,11,0))),"")</f>
        <v/>
      </c>
      <c r="F1817" s="54" t="str">
        <f>IFERROR(IF(OR($B1817="",$B1817="(blank)"),"",VLOOKUP($B1817,'Email Marketing Raw Data'!$C:$O,13,0)),"")</f>
        <v/>
      </c>
      <c r="G1817" s="55" t="str">
        <f>IFERROR(IF(OR($B1817="",$B1817="(blank)"),"",VLOOKUP($B1817,'Email Marketing Raw Data'!$C:$O,4,0)),"")</f>
        <v/>
      </c>
      <c r="H1817" s="55" t="str">
        <f>IFERROR(IF(OR($B1817="",$B1817="(blank)"),"",VLOOKUP($B1817,'Email Marketing Raw Data'!$C:$O,5,0)),"")</f>
        <v/>
      </c>
      <c r="I1817" s="55" t="str">
        <f>IFERROR(IF($G1817="","",VLOOKUP('Dashboard And Emails Automate'!$G1817,Database!$H:$N,3,0)),"")</f>
        <v/>
      </c>
      <c r="J1817" s="55" t="str">
        <f>IFERROR(IF($G1817="","",VLOOKUP('Dashboard And Emails Automate'!$G1817,Database!$H:$N,4,0)),"")</f>
        <v/>
      </c>
      <c r="K1817" s="55" t="str">
        <f>IFERROR(IF($G1817="","",VLOOKUP('Dashboard And Emails Automate'!$G1817,Database!$H:$N,5,0)),"")</f>
        <v/>
      </c>
      <c r="L1817" s="55" t="str">
        <f>IFERROR(IF($G1817="","",VLOOKUP('Dashboard And Emails Automate'!$G1817,Database!$H:$N,6,0)),"")</f>
        <v/>
      </c>
      <c r="M1817" s="55" t="str">
        <f>IFERROR(IF($G1817="","",VLOOKUP('Dashboard And Emails Automate'!$G1817,Database!$H:$N,7,0)),"")</f>
        <v/>
      </c>
      <c r="N1817" s="55" t="str">
        <f>IFERROR(IF(OR($B1817="",$B1817="(blank)"),"",VLOOKUP($B1817,'Email Marketing Raw Data'!$C:$O,6,0)),"")</f>
        <v/>
      </c>
      <c r="O1817" s="55" t="str">
        <f>IFERROR(IF(OR($B1817="",$B1817="(blank)"),"",VLOOKUP($B1817,'Email Marketing Raw Data'!$C:$O,7,0)),"")</f>
        <v/>
      </c>
      <c r="P1817" s="55" t="str">
        <f>IFERROR(IF(OR($B1817="",$B1817="(blank)"),"",VLOOKUP($B1817,'Email Marketing Raw Data'!$C:$O,8,0)),"")</f>
        <v/>
      </c>
      <c r="Q1817" s="62" t="str">
        <f>IFERROR(IF(OR($B1817="",$B1817="(blank)"),"",VLOOKUP($B1817,'Email Marketing Raw Data'!$C:$O,9,0)),"")</f>
        <v/>
      </c>
    </row>
    <row r="1818" spans="4:17" ht="12.75" customHeight="1" x14ac:dyDescent="0.2">
      <c r="D1818" s="58" t="str">
        <f>IFERROR(IF(F1818&lt;&gt;"pending","",IF(OR($B1818="",$B1818="(blank)"),"",VLOOKUP($B1818,'Email Marketing Raw Data'!$C:$O,10,0))),"")</f>
        <v/>
      </c>
      <c r="E1818" s="59" t="str">
        <f>IFERROR(IF(F1818&lt;&gt;"pending","",IF(OR($B1818="",$B1818="(blank)"),"",VLOOKUP($B1818,'Email Marketing Raw Data'!$C:$O,11,0))),"")</f>
        <v/>
      </c>
      <c r="F1818" s="54" t="str">
        <f>IFERROR(IF(OR($B1818="",$B1818="(blank)"),"",VLOOKUP($B1818,'Email Marketing Raw Data'!$C:$O,13,0)),"")</f>
        <v/>
      </c>
      <c r="G1818" s="55" t="str">
        <f>IFERROR(IF(OR($B1818="",$B1818="(blank)"),"",VLOOKUP($B1818,'Email Marketing Raw Data'!$C:$O,4,0)),"")</f>
        <v/>
      </c>
      <c r="H1818" s="55" t="str">
        <f>IFERROR(IF(OR($B1818="",$B1818="(blank)"),"",VLOOKUP($B1818,'Email Marketing Raw Data'!$C:$O,5,0)),"")</f>
        <v/>
      </c>
      <c r="I1818" s="55" t="str">
        <f>IFERROR(IF($G1818="","",VLOOKUP('Dashboard And Emails Automate'!$G1818,Database!$H:$N,3,0)),"")</f>
        <v/>
      </c>
      <c r="J1818" s="55" t="str">
        <f>IFERROR(IF($G1818="","",VLOOKUP('Dashboard And Emails Automate'!$G1818,Database!$H:$N,4,0)),"")</f>
        <v/>
      </c>
      <c r="K1818" s="55" t="str">
        <f>IFERROR(IF($G1818="","",VLOOKUP('Dashboard And Emails Automate'!$G1818,Database!$H:$N,5,0)),"")</f>
        <v/>
      </c>
      <c r="L1818" s="55" t="str">
        <f>IFERROR(IF($G1818="","",VLOOKUP('Dashboard And Emails Automate'!$G1818,Database!$H:$N,6,0)),"")</f>
        <v/>
      </c>
      <c r="M1818" s="55" t="str">
        <f>IFERROR(IF($G1818="","",VLOOKUP('Dashboard And Emails Automate'!$G1818,Database!$H:$N,7,0)),"")</f>
        <v/>
      </c>
      <c r="N1818" s="55" t="str">
        <f>IFERROR(IF(OR($B1818="",$B1818="(blank)"),"",VLOOKUP($B1818,'Email Marketing Raw Data'!$C:$O,6,0)),"")</f>
        <v/>
      </c>
      <c r="O1818" s="55" t="str">
        <f>IFERROR(IF(OR($B1818="",$B1818="(blank)"),"",VLOOKUP($B1818,'Email Marketing Raw Data'!$C:$O,7,0)),"")</f>
        <v/>
      </c>
      <c r="P1818" s="55" t="str">
        <f>IFERROR(IF(OR($B1818="",$B1818="(blank)"),"",VLOOKUP($B1818,'Email Marketing Raw Data'!$C:$O,8,0)),"")</f>
        <v/>
      </c>
      <c r="Q1818" s="62" t="str">
        <f>IFERROR(IF(OR($B1818="",$B1818="(blank)"),"",VLOOKUP($B1818,'Email Marketing Raw Data'!$C:$O,9,0)),"")</f>
        <v/>
      </c>
    </row>
    <row r="1819" spans="4:17" ht="12.75" customHeight="1" x14ac:dyDescent="0.2">
      <c r="D1819" s="58" t="str">
        <f>IFERROR(IF(F1819&lt;&gt;"pending","",IF(OR($B1819="",$B1819="(blank)"),"",VLOOKUP($B1819,'Email Marketing Raw Data'!$C:$O,10,0))),"")</f>
        <v/>
      </c>
      <c r="E1819" s="59" t="str">
        <f>IFERROR(IF(F1819&lt;&gt;"pending","",IF(OR($B1819="",$B1819="(blank)"),"",VLOOKUP($B1819,'Email Marketing Raw Data'!$C:$O,11,0))),"")</f>
        <v/>
      </c>
      <c r="F1819" s="54" t="str">
        <f>IFERROR(IF(OR($B1819="",$B1819="(blank)"),"",VLOOKUP($B1819,'Email Marketing Raw Data'!$C:$O,13,0)),"")</f>
        <v/>
      </c>
      <c r="G1819" s="55" t="str">
        <f>IFERROR(IF(OR($B1819="",$B1819="(blank)"),"",VLOOKUP($B1819,'Email Marketing Raw Data'!$C:$O,4,0)),"")</f>
        <v/>
      </c>
      <c r="H1819" s="55" t="str">
        <f>IFERROR(IF(OR($B1819="",$B1819="(blank)"),"",VLOOKUP($B1819,'Email Marketing Raw Data'!$C:$O,5,0)),"")</f>
        <v/>
      </c>
      <c r="I1819" s="55" t="str">
        <f>IFERROR(IF($G1819="","",VLOOKUP('Dashboard And Emails Automate'!$G1819,Database!$H:$N,3,0)),"")</f>
        <v/>
      </c>
      <c r="J1819" s="55" t="str">
        <f>IFERROR(IF($G1819="","",VLOOKUP('Dashboard And Emails Automate'!$G1819,Database!$H:$N,4,0)),"")</f>
        <v/>
      </c>
      <c r="K1819" s="55" t="str">
        <f>IFERROR(IF($G1819="","",VLOOKUP('Dashboard And Emails Automate'!$G1819,Database!$H:$N,5,0)),"")</f>
        <v/>
      </c>
      <c r="L1819" s="55" t="str">
        <f>IFERROR(IF($G1819="","",VLOOKUP('Dashboard And Emails Automate'!$G1819,Database!$H:$N,6,0)),"")</f>
        <v/>
      </c>
      <c r="M1819" s="55" t="str">
        <f>IFERROR(IF($G1819="","",VLOOKUP('Dashboard And Emails Automate'!$G1819,Database!$H:$N,7,0)),"")</f>
        <v/>
      </c>
      <c r="N1819" s="55" t="str">
        <f>IFERROR(IF(OR($B1819="",$B1819="(blank)"),"",VLOOKUP($B1819,'Email Marketing Raw Data'!$C:$O,6,0)),"")</f>
        <v/>
      </c>
      <c r="O1819" s="55" t="str">
        <f>IFERROR(IF(OR($B1819="",$B1819="(blank)"),"",VLOOKUP($B1819,'Email Marketing Raw Data'!$C:$O,7,0)),"")</f>
        <v/>
      </c>
      <c r="P1819" s="55" t="str">
        <f>IFERROR(IF(OR($B1819="",$B1819="(blank)"),"",VLOOKUP($B1819,'Email Marketing Raw Data'!$C:$O,8,0)),"")</f>
        <v/>
      </c>
      <c r="Q1819" s="62" t="str">
        <f>IFERROR(IF(OR($B1819="",$B1819="(blank)"),"",VLOOKUP($B1819,'Email Marketing Raw Data'!$C:$O,9,0)),"")</f>
        <v/>
      </c>
    </row>
    <row r="1820" spans="4:17" ht="12.75" customHeight="1" x14ac:dyDescent="0.2">
      <c r="D1820" s="58" t="str">
        <f>IFERROR(IF(F1820&lt;&gt;"pending","",IF(OR($B1820="",$B1820="(blank)"),"",VLOOKUP($B1820,'Email Marketing Raw Data'!$C:$O,10,0))),"")</f>
        <v/>
      </c>
      <c r="E1820" s="59" t="str">
        <f>IFERROR(IF(F1820&lt;&gt;"pending","",IF(OR($B1820="",$B1820="(blank)"),"",VLOOKUP($B1820,'Email Marketing Raw Data'!$C:$O,11,0))),"")</f>
        <v/>
      </c>
      <c r="F1820" s="54" t="str">
        <f>IFERROR(IF(OR($B1820="",$B1820="(blank)"),"",VLOOKUP($B1820,'Email Marketing Raw Data'!$C:$O,13,0)),"")</f>
        <v/>
      </c>
      <c r="G1820" s="55" t="str">
        <f>IFERROR(IF(OR($B1820="",$B1820="(blank)"),"",VLOOKUP($B1820,'Email Marketing Raw Data'!$C:$O,4,0)),"")</f>
        <v/>
      </c>
      <c r="H1820" s="55" t="str">
        <f>IFERROR(IF(OR($B1820="",$B1820="(blank)"),"",VLOOKUP($B1820,'Email Marketing Raw Data'!$C:$O,5,0)),"")</f>
        <v/>
      </c>
      <c r="I1820" s="55" t="str">
        <f>IFERROR(IF($G1820="","",VLOOKUP('Dashboard And Emails Automate'!$G1820,Database!$H:$N,3,0)),"")</f>
        <v/>
      </c>
      <c r="J1820" s="55" t="str">
        <f>IFERROR(IF($G1820="","",VLOOKUP('Dashboard And Emails Automate'!$G1820,Database!$H:$N,4,0)),"")</f>
        <v/>
      </c>
      <c r="K1820" s="55" t="str">
        <f>IFERROR(IF($G1820="","",VLOOKUP('Dashboard And Emails Automate'!$G1820,Database!$H:$N,5,0)),"")</f>
        <v/>
      </c>
      <c r="L1820" s="55" t="str">
        <f>IFERROR(IF($G1820="","",VLOOKUP('Dashboard And Emails Automate'!$G1820,Database!$H:$N,6,0)),"")</f>
        <v/>
      </c>
      <c r="M1820" s="55" t="str">
        <f>IFERROR(IF($G1820="","",VLOOKUP('Dashboard And Emails Automate'!$G1820,Database!$H:$N,7,0)),"")</f>
        <v/>
      </c>
      <c r="N1820" s="55" t="str">
        <f>IFERROR(IF(OR($B1820="",$B1820="(blank)"),"",VLOOKUP($B1820,'Email Marketing Raw Data'!$C:$O,6,0)),"")</f>
        <v/>
      </c>
      <c r="O1820" s="55" t="str">
        <f>IFERROR(IF(OR($B1820="",$B1820="(blank)"),"",VLOOKUP($B1820,'Email Marketing Raw Data'!$C:$O,7,0)),"")</f>
        <v/>
      </c>
      <c r="P1820" s="55" t="str">
        <f>IFERROR(IF(OR($B1820="",$B1820="(blank)"),"",VLOOKUP($B1820,'Email Marketing Raw Data'!$C:$O,8,0)),"")</f>
        <v/>
      </c>
      <c r="Q1820" s="62" t="str">
        <f>IFERROR(IF(OR($B1820="",$B1820="(blank)"),"",VLOOKUP($B1820,'Email Marketing Raw Data'!$C:$O,9,0)),"")</f>
        <v/>
      </c>
    </row>
    <row r="1821" spans="4:17" ht="12.75" customHeight="1" x14ac:dyDescent="0.2">
      <c r="D1821" s="58" t="str">
        <f>IFERROR(IF(F1821&lt;&gt;"pending","",IF(OR($B1821="",$B1821="(blank)"),"",VLOOKUP($B1821,'Email Marketing Raw Data'!$C:$O,10,0))),"")</f>
        <v/>
      </c>
      <c r="E1821" s="59" t="str">
        <f>IFERROR(IF(F1821&lt;&gt;"pending","",IF(OR($B1821="",$B1821="(blank)"),"",VLOOKUP($B1821,'Email Marketing Raw Data'!$C:$O,11,0))),"")</f>
        <v/>
      </c>
      <c r="F1821" s="54" t="str">
        <f>IFERROR(IF(OR($B1821="",$B1821="(blank)"),"",VLOOKUP($B1821,'Email Marketing Raw Data'!$C:$O,13,0)),"")</f>
        <v/>
      </c>
      <c r="G1821" s="55" t="str">
        <f>IFERROR(IF(OR($B1821="",$B1821="(blank)"),"",VLOOKUP($B1821,'Email Marketing Raw Data'!$C:$O,4,0)),"")</f>
        <v/>
      </c>
      <c r="H1821" s="55" t="str">
        <f>IFERROR(IF(OR($B1821="",$B1821="(blank)"),"",VLOOKUP($B1821,'Email Marketing Raw Data'!$C:$O,5,0)),"")</f>
        <v/>
      </c>
      <c r="I1821" s="55" t="str">
        <f>IFERROR(IF($G1821="","",VLOOKUP('Dashboard And Emails Automate'!$G1821,Database!$H:$N,3,0)),"")</f>
        <v/>
      </c>
      <c r="J1821" s="55" t="str">
        <f>IFERROR(IF($G1821="","",VLOOKUP('Dashboard And Emails Automate'!$G1821,Database!$H:$N,4,0)),"")</f>
        <v/>
      </c>
      <c r="K1821" s="55" t="str">
        <f>IFERROR(IF($G1821="","",VLOOKUP('Dashboard And Emails Automate'!$G1821,Database!$H:$N,5,0)),"")</f>
        <v/>
      </c>
      <c r="L1821" s="55" t="str">
        <f>IFERROR(IF($G1821="","",VLOOKUP('Dashboard And Emails Automate'!$G1821,Database!$H:$N,6,0)),"")</f>
        <v/>
      </c>
      <c r="M1821" s="55" t="str">
        <f>IFERROR(IF($G1821="","",VLOOKUP('Dashboard And Emails Automate'!$G1821,Database!$H:$N,7,0)),"")</f>
        <v/>
      </c>
      <c r="N1821" s="55" t="str">
        <f>IFERROR(IF(OR($B1821="",$B1821="(blank)"),"",VLOOKUP($B1821,'Email Marketing Raw Data'!$C:$O,6,0)),"")</f>
        <v/>
      </c>
      <c r="O1821" s="55" t="str">
        <f>IFERROR(IF(OR($B1821="",$B1821="(blank)"),"",VLOOKUP($B1821,'Email Marketing Raw Data'!$C:$O,7,0)),"")</f>
        <v/>
      </c>
      <c r="P1821" s="55" t="str">
        <f>IFERROR(IF(OR($B1821="",$B1821="(blank)"),"",VLOOKUP($B1821,'Email Marketing Raw Data'!$C:$O,8,0)),"")</f>
        <v/>
      </c>
      <c r="Q1821" s="62" t="str">
        <f>IFERROR(IF(OR($B1821="",$B1821="(blank)"),"",VLOOKUP($B1821,'Email Marketing Raw Data'!$C:$O,9,0)),"")</f>
        <v/>
      </c>
    </row>
    <row r="1822" spans="4:17" ht="12.75" customHeight="1" x14ac:dyDescent="0.2">
      <c r="D1822" s="58" t="str">
        <f>IFERROR(IF(F1822&lt;&gt;"pending","",IF(OR($B1822="",$B1822="(blank)"),"",VLOOKUP($B1822,'Email Marketing Raw Data'!$C:$O,10,0))),"")</f>
        <v/>
      </c>
      <c r="E1822" s="59" t="str">
        <f>IFERROR(IF(F1822&lt;&gt;"pending","",IF(OR($B1822="",$B1822="(blank)"),"",VLOOKUP($B1822,'Email Marketing Raw Data'!$C:$O,11,0))),"")</f>
        <v/>
      </c>
      <c r="F1822" s="54" t="str">
        <f>IFERROR(IF(OR($B1822="",$B1822="(blank)"),"",VLOOKUP($B1822,'Email Marketing Raw Data'!$C:$O,13,0)),"")</f>
        <v/>
      </c>
      <c r="G1822" s="55" t="str">
        <f>IFERROR(IF(OR($B1822="",$B1822="(blank)"),"",VLOOKUP($B1822,'Email Marketing Raw Data'!$C:$O,4,0)),"")</f>
        <v/>
      </c>
      <c r="H1822" s="55" t="str">
        <f>IFERROR(IF(OR($B1822="",$B1822="(blank)"),"",VLOOKUP($B1822,'Email Marketing Raw Data'!$C:$O,5,0)),"")</f>
        <v/>
      </c>
      <c r="I1822" s="55" t="str">
        <f>IFERROR(IF($G1822="","",VLOOKUP('Dashboard And Emails Automate'!$G1822,Database!$H:$N,3,0)),"")</f>
        <v/>
      </c>
      <c r="J1822" s="55" t="str">
        <f>IFERROR(IF($G1822="","",VLOOKUP('Dashboard And Emails Automate'!$G1822,Database!$H:$N,4,0)),"")</f>
        <v/>
      </c>
      <c r="K1822" s="55" t="str">
        <f>IFERROR(IF($G1822="","",VLOOKUP('Dashboard And Emails Automate'!$G1822,Database!$H:$N,5,0)),"")</f>
        <v/>
      </c>
      <c r="L1822" s="55" t="str">
        <f>IFERROR(IF($G1822="","",VLOOKUP('Dashboard And Emails Automate'!$G1822,Database!$H:$N,6,0)),"")</f>
        <v/>
      </c>
      <c r="M1822" s="55" t="str">
        <f>IFERROR(IF($G1822="","",VLOOKUP('Dashboard And Emails Automate'!$G1822,Database!$H:$N,7,0)),"")</f>
        <v/>
      </c>
      <c r="N1822" s="55" t="str">
        <f>IFERROR(IF(OR($B1822="",$B1822="(blank)"),"",VLOOKUP($B1822,'Email Marketing Raw Data'!$C:$O,6,0)),"")</f>
        <v/>
      </c>
      <c r="O1822" s="55" t="str">
        <f>IFERROR(IF(OR($B1822="",$B1822="(blank)"),"",VLOOKUP($B1822,'Email Marketing Raw Data'!$C:$O,7,0)),"")</f>
        <v/>
      </c>
      <c r="P1822" s="55" t="str">
        <f>IFERROR(IF(OR($B1822="",$B1822="(blank)"),"",VLOOKUP($B1822,'Email Marketing Raw Data'!$C:$O,8,0)),"")</f>
        <v/>
      </c>
      <c r="Q1822" s="62" t="str">
        <f>IFERROR(IF(OR($B1822="",$B1822="(blank)"),"",VLOOKUP($B1822,'Email Marketing Raw Data'!$C:$O,9,0)),"")</f>
        <v/>
      </c>
    </row>
    <row r="1823" spans="4:17" ht="12.75" customHeight="1" x14ac:dyDescent="0.2">
      <c r="D1823" s="58" t="str">
        <f>IFERROR(IF(F1823&lt;&gt;"pending","",IF(OR($B1823="",$B1823="(blank)"),"",VLOOKUP($B1823,'Email Marketing Raw Data'!$C:$O,10,0))),"")</f>
        <v/>
      </c>
      <c r="E1823" s="59" t="str">
        <f>IFERROR(IF(F1823&lt;&gt;"pending","",IF(OR($B1823="",$B1823="(blank)"),"",VLOOKUP($B1823,'Email Marketing Raw Data'!$C:$O,11,0))),"")</f>
        <v/>
      </c>
      <c r="F1823" s="54" t="str">
        <f>IFERROR(IF(OR($B1823="",$B1823="(blank)"),"",VLOOKUP($B1823,'Email Marketing Raw Data'!$C:$O,13,0)),"")</f>
        <v/>
      </c>
      <c r="G1823" s="55" t="str">
        <f>IFERROR(IF(OR($B1823="",$B1823="(blank)"),"",VLOOKUP($B1823,'Email Marketing Raw Data'!$C:$O,4,0)),"")</f>
        <v/>
      </c>
      <c r="H1823" s="55" t="str">
        <f>IFERROR(IF(OR($B1823="",$B1823="(blank)"),"",VLOOKUP($B1823,'Email Marketing Raw Data'!$C:$O,5,0)),"")</f>
        <v/>
      </c>
      <c r="I1823" s="55" t="str">
        <f>IFERROR(IF($G1823="","",VLOOKUP('Dashboard And Emails Automate'!$G1823,Database!$H:$N,3,0)),"")</f>
        <v/>
      </c>
      <c r="J1823" s="55" t="str">
        <f>IFERROR(IF($G1823="","",VLOOKUP('Dashboard And Emails Automate'!$G1823,Database!$H:$N,4,0)),"")</f>
        <v/>
      </c>
      <c r="K1823" s="55" t="str">
        <f>IFERROR(IF($G1823="","",VLOOKUP('Dashboard And Emails Automate'!$G1823,Database!$H:$N,5,0)),"")</f>
        <v/>
      </c>
      <c r="L1823" s="55" t="str">
        <f>IFERROR(IF($G1823="","",VLOOKUP('Dashboard And Emails Automate'!$G1823,Database!$H:$N,6,0)),"")</f>
        <v/>
      </c>
      <c r="M1823" s="55" t="str">
        <f>IFERROR(IF($G1823="","",VLOOKUP('Dashboard And Emails Automate'!$G1823,Database!$H:$N,7,0)),"")</f>
        <v/>
      </c>
      <c r="N1823" s="55" t="str">
        <f>IFERROR(IF(OR($B1823="",$B1823="(blank)"),"",VLOOKUP($B1823,'Email Marketing Raw Data'!$C:$O,6,0)),"")</f>
        <v/>
      </c>
      <c r="O1823" s="55" t="str">
        <f>IFERROR(IF(OR($B1823="",$B1823="(blank)"),"",VLOOKUP($B1823,'Email Marketing Raw Data'!$C:$O,7,0)),"")</f>
        <v/>
      </c>
      <c r="P1823" s="55" t="str">
        <f>IFERROR(IF(OR($B1823="",$B1823="(blank)"),"",VLOOKUP($B1823,'Email Marketing Raw Data'!$C:$O,8,0)),"")</f>
        <v/>
      </c>
      <c r="Q1823" s="62" t="str">
        <f>IFERROR(IF(OR($B1823="",$B1823="(blank)"),"",VLOOKUP($B1823,'Email Marketing Raw Data'!$C:$O,9,0)),"")</f>
        <v/>
      </c>
    </row>
    <row r="1824" spans="4:17" ht="12.75" customHeight="1" x14ac:dyDescent="0.2">
      <c r="D1824" s="58" t="str">
        <f>IFERROR(IF(F1824&lt;&gt;"pending","",IF(OR($B1824="",$B1824="(blank)"),"",VLOOKUP($B1824,'Email Marketing Raw Data'!$C:$O,10,0))),"")</f>
        <v/>
      </c>
      <c r="E1824" s="59" t="str">
        <f>IFERROR(IF(F1824&lt;&gt;"pending","",IF(OR($B1824="",$B1824="(blank)"),"",VLOOKUP($B1824,'Email Marketing Raw Data'!$C:$O,11,0))),"")</f>
        <v/>
      </c>
      <c r="F1824" s="54" t="str">
        <f>IFERROR(IF(OR($B1824="",$B1824="(blank)"),"",VLOOKUP($B1824,'Email Marketing Raw Data'!$C:$O,13,0)),"")</f>
        <v/>
      </c>
      <c r="G1824" s="55" t="str">
        <f>IFERROR(IF(OR($B1824="",$B1824="(blank)"),"",VLOOKUP($B1824,'Email Marketing Raw Data'!$C:$O,4,0)),"")</f>
        <v/>
      </c>
      <c r="H1824" s="55" t="str">
        <f>IFERROR(IF(OR($B1824="",$B1824="(blank)"),"",VLOOKUP($B1824,'Email Marketing Raw Data'!$C:$O,5,0)),"")</f>
        <v/>
      </c>
      <c r="I1824" s="55" t="str">
        <f>IFERROR(IF($G1824="","",VLOOKUP('Dashboard And Emails Automate'!$G1824,Database!$H:$N,3,0)),"")</f>
        <v/>
      </c>
      <c r="J1824" s="55" t="str">
        <f>IFERROR(IF($G1824="","",VLOOKUP('Dashboard And Emails Automate'!$G1824,Database!$H:$N,4,0)),"")</f>
        <v/>
      </c>
      <c r="K1824" s="55" t="str">
        <f>IFERROR(IF($G1824="","",VLOOKUP('Dashboard And Emails Automate'!$G1824,Database!$H:$N,5,0)),"")</f>
        <v/>
      </c>
      <c r="L1824" s="55" t="str">
        <f>IFERROR(IF($G1824="","",VLOOKUP('Dashboard And Emails Automate'!$G1824,Database!$H:$N,6,0)),"")</f>
        <v/>
      </c>
      <c r="M1824" s="55" t="str">
        <f>IFERROR(IF($G1824="","",VLOOKUP('Dashboard And Emails Automate'!$G1824,Database!$H:$N,7,0)),"")</f>
        <v/>
      </c>
      <c r="N1824" s="55" t="str">
        <f>IFERROR(IF(OR($B1824="",$B1824="(blank)"),"",VLOOKUP($B1824,'Email Marketing Raw Data'!$C:$O,6,0)),"")</f>
        <v/>
      </c>
      <c r="O1824" s="55" t="str">
        <f>IFERROR(IF(OR($B1824="",$B1824="(blank)"),"",VLOOKUP($B1824,'Email Marketing Raw Data'!$C:$O,7,0)),"")</f>
        <v/>
      </c>
      <c r="P1824" s="55" t="str">
        <f>IFERROR(IF(OR($B1824="",$B1824="(blank)"),"",VLOOKUP($B1824,'Email Marketing Raw Data'!$C:$O,8,0)),"")</f>
        <v/>
      </c>
      <c r="Q1824" s="62" t="str">
        <f>IFERROR(IF(OR($B1824="",$B1824="(blank)"),"",VLOOKUP($B1824,'Email Marketing Raw Data'!$C:$O,9,0)),"")</f>
        <v/>
      </c>
    </row>
    <row r="1825" spans="4:17" ht="12.75" customHeight="1" x14ac:dyDescent="0.2">
      <c r="D1825" s="58" t="str">
        <f>IFERROR(IF(F1825&lt;&gt;"pending","",IF(OR($B1825="",$B1825="(blank)"),"",VLOOKUP($B1825,'Email Marketing Raw Data'!$C:$O,10,0))),"")</f>
        <v/>
      </c>
      <c r="E1825" s="59" t="str">
        <f>IFERROR(IF(F1825&lt;&gt;"pending","",IF(OR($B1825="",$B1825="(blank)"),"",VLOOKUP($B1825,'Email Marketing Raw Data'!$C:$O,11,0))),"")</f>
        <v/>
      </c>
      <c r="F1825" s="54" t="str">
        <f>IFERROR(IF(OR($B1825="",$B1825="(blank)"),"",VLOOKUP($B1825,'Email Marketing Raw Data'!$C:$O,13,0)),"")</f>
        <v/>
      </c>
      <c r="G1825" s="55" t="str">
        <f>IFERROR(IF(OR($B1825="",$B1825="(blank)"),"",VLOOKUP($B1825,'Email Marketing Raw Data'!$C:$O,4,0)),"")</f>
        <v/>
      </c>
      <c r="H1825" s="55" t="str">
        <f>IFERROR(IF(OR($B1825="",$B1825="(blank)"),"",VLOOKUP($B1825,'Email Marketing Raw Data'!$C:$O,5,0)),"")</f>
        <v/>
      </c>
      <c r="I1825" s="55" t="str">
        <f>IFERROR(IF($G1825="","",VLOOKUP('Dashboard And Emails Automate'!$G1825,Database!$H:$N,3,0)),"")</f>
        <v/>
      </c>
      <c r="J1825" s="55" t="str">
        <f>IFERROR(IF($G1825="","",VLOOKUP('Dashboard And Emails Automate'!$G1825,Database!$H:$N,4,0)),"")</f>
        <v/>
      </c>
      <c r="K1825" s="55" t="str">
        <f>IFERROR(IF($G1825="","",VLOOKUP('Dashboard And Emails Automate'!$G1825,Database!$H:$N,5,0)),"")</f>
        <v/>
      </c>
      <c r="L1825" s="55" t="str">
        <f>IFERROR(IF($G1825="","",VLOOKUP('Dashboard And Emails Automate'!$G1825,Database!$H:$N,6,0)),"")</f>
        <v/>
      </c>
      <c r="M1825" s="55" t="str">
        <f>IFERROR(IF($G1825="","",VLOOKUP('Dashboard And Emails Automate'!$G1825,Database!$H:$N,7,0)),"")</f>
        <v/>
      </c>
      <c r="N1825" s="55" t="str">
        <f>IFERROR(IF(OR($B1825="",$B1825="(blank)"),"",VLOOKUP($B1825,'Email Marketing Raw Data'!$C:$O,6,0)),"")</f>
        <v/>
      </c>
      <c r="O1825" s="55" t="str">
        <f>IFERROR(IF(OR($B1825="",$B1825="(blank)"),"",VLOOKUP($B1825,'Email Marketing Raw Data'!$C:$O,7,0)),"")</f>
        <v/>
      </c>
      <c r="P1825" s="55" t="str">
        <f>IFERROR(IF(OR($B1825="",$B1825="(blank)"),"",VLOOKUP($B1825,'Email Marketing Raw Data'!$C:$O,8,0)),"")</f>
        <v/>
      </c>
      <c r="Q1825" s="62" t="str">
        <f>IFERROR(IF(OR($B1825="",$B1825="(blank)"),"",VLOOKUP($B1825,'Email Marketing Raw Data'!$C:$O,9,0)),"")</f>
        <v/>
      </c>
    </row>
    <row r="1826" spans="4:17" ht="12.75" customHeight="1" x14ac:dyDescent="0.2">
      <c r="D1826" s="58" t="str">
        <f>IFERROR(IF(F1826&lt;&gt;"pending","",IF(OR($B1826="",$B1826="(blank)"),"",VLOOKUP($B1826,'Email Marketing Raw Data'!$C:$O,10,0))),"")</f>
        <v/>
      </c>
      <c r="E1826" s="59" t="str">
        <f>IFERROR(IF(F1826&lt;&gt;"pending","",IF(OR($B1826="",$B1826="(blank)"),"",VLOOKUP($B1826,'Email Marketing Raw Data'!$C:$O,11,0))),"")</f>
        <v/>
      </c>
      <c r="F1826" s="54" t="str">
        <f>IFERROR(IF(OR($B1826="",$B1826="(blank)"),"",VLOOKUP($B1826,'Email Marketing Raw Data'!$C:$O,13,0)),"")</f>
        <v/>
      </c>
      <c r="G1826" s="55" t="str">
        <f>IFERROR(IF(OR($B1826="",$B1826="(blank)"),"",VLOOKUP($B1826,'Email Marketing Raw Data'!$C:$O,4,0)),"")</f>
        <v/>
      </c>
      <c r="H1826" s="55" t="str">
        <f>IFERROR(IF(OR($B1826="",$B1826="(blank)"),"",VLOOKUP($B1826,'Email Marketing Raw Data'!$C:$O,5,0)),"")</f>
        <v/>
      </c>
      <c r="I1826" s="55" t="str">
        <f>IFERROR(IF($G1826="","",VLOOKUP('Dashboard And Emails Automate'!$G1826,Database!$H:$N,3,0)),"")</f>
        <v/>
      </c>
      <c r="J1826" s="55" t="str">
        <f>IFERROR(IF($G1826="","",VLOOKUP('Dashboard And Emails Automate'!$G1826,Database!$H:$N,4,0)),"")</f>
        <v/>
      </c>
      <c r="K1826" s="55" t="str">
        <f>IFERROR(IF($G1826="","",VLOOKUP('Dashboard And Emails Automate'!$G1826,Database!$H:$N,5,0)),"")</f>
        <v/>
      </c>
      <c r="L1826" s="55" t="str">
        <f>IFERROR(IF($G1826="","",VLOOKUP('Dashboard And Emails Automate'!$G1826,Database!$H:$N,6,0)),"")</f>
        <v/>
      </c>
      <c r="M1826" s="55" t="str">
        <f>IFERROR(IF($G1826="","",VLOOKUP('Dashboard And Emails Automate'!$G1826,Database!$H:$N,7,0)),"")</f>
        <v/>
      </c>
      <c r="N1826" s="55" t="str">
        <f>IFERROR(IF(OR($B1826="",$B1826="(blank)"),"",VLOOKUP($B1826,'Email Marketing Raw Data'!$C:$O,6,0)),"")</f>
        <v/>
      </c>
      <c r="O1826" s="55" t="str">
        <f>IFERROR(IF(OR($B1826="",$B1826="(blank)"),"",VLOOKUP($B1826,'Email Marketing Raw Data'!$C:$O,7,0)),"")</f>
        <v/>
      </c>
      <c r="P1826" s="55" t="str">
        <f>IFERROR(IF(OR($B1826="",$B1826="(blank)"),"",VLOOKUP($B1826,'Email Marketing Raw Data'!$C:$O,8,0)),"")</f>
        <v/>
      </c>
      <c r="Q1826" s="62" t="str">
        <f>IFERROR(IF(OR($B1826="",$B1826="(blank)"),"",VLOOKUP($B1826,'Email Marketing Raw Data'!$C:$O,9,0)),"")</f>
        <v/>
      </c>
    </row>
    <row r="1827" spans="4:17" ht="12.75" customHeight="1" x14ac:dyDescent="0.2">
      <c r="D1827" s="58" t="str">
        <f>IFERROR(IF(F1827&lt;&gt;"pending","",IF(OR($B1827="",$B1827="(blank)"),"",VLOOKUP($B1827,'Email Marketing Raw Data'!$C:$O,10,0))),"")</f>
        <v/>
      </c>
      <c r="E1827" s="59" t="str">
        <f>IFERROR(IF(F1827&lt;&gt;"pending","",IF(OR($B1827="",$B1827="(blank)"),"",VLOOKUP($B1827,'Email Marketing Raw Data'!$C:$O,11,0))),"")</f>
        <v/>
      </c>
      <c r="F1827" s="54" t="str">
        <f>IFERROR(IF(OR($B1827="",$B1827="(blank)"),"",VLOOKUP($B1827,'Email Marketing Raw Data'!$C:$O,13,0)),"")</f>
        <v/>
      </c>
      <c r="G1827" s="55" t="str">
        <f>IFERROR(IF(OR($B1827="",$B1827="(blank)"),"",VLOOKUP($B1827,'Email Marketing Raw Data'!$C:$O,4,0)),"")</f>
        <v/>
      </c>
      <c r="H1827" s="55" t="str">
        <f>IFERROR(IF(OR($B1827="",$B1827="(blank)"),"",VLOOKUP($B1827,'Email Marketing Raw Data'!$C:$O,5,0)),"")</f>
        <v/>
      </c>
      <c r="I1827" s="55" t="str">
        <f>IFERROR(IF($G1827="","",VLOOKUP('Dashboard And Emails Automate'!$G1827,Database!$H:$N,3,0)),"")</f>
        <v/>
      </c>
      <c r="J1827" s="55" t="str">
        <f>IFERROR(IF($G1827="","",VLOOKUP('Dashboard And Emails Automate'!$G1827,Database!$H:$N,4,0)),"")</f>
        <v/>
      </c>
      <c r="K1827" s="55" t="str">
        <f>IFERROR(IF($G1827="","",VLOOKUP('Dashboard And Emails Automate'!$G1827,Database!$H:$N,5,0)),"")</f>
        <v/>
      </c>
      <c r="L1827" s="55" t="str">
        <f>IFERROR(IF($G1827="","",VLOOKUP('Dashboard And Emails Automate'!$G1827,Database!$H:$N,6,0)),"")</f>
        <v/>
      </c>
      <c r="M1827" s="55" t="str">
        <f>IFERROR(IF($G1827="","",VLOOKUP('Dashboard And Emails Automate'!$G1827,Database!$H:$N,7,0)),"")</f>
        <v/>
      </c>
      <c r="N1827" s="55" t="str">
        <f>IFERROR(IF(OR($B1827="",$B1827="(blank)"),"",VLOOKUP($B1827,'Email Marketing Raw Data'!$C:$O,6,0)),"")</f>
        <v/>
      </c>
      <c r="O1827" s="55" t="str">
        <f>IFERROR(IF(OR($B1827="",$B1827="(blank)"),"",VLOOKUP($B1827,'Email Marketing Raw Data'!$C:$O,7,0)),"")</f>
        <v/>
      </c>
      <c r="P1827" s="55" t="str">
        <f>IFERROR(IF(OR($B1827="",$B1827="(blank)"),"",VLOOKUP($B1827,'Email Marketing Raw Data'!$C:$O,8,0)),"")</f>
        <v/>
      </c>
      <c r="Q1827" s="62" t="str">
        <f>IFERROR(IF(OR($B1827="",$B1827="(blank)"),"",VLOOKUP($B1827,'Email Marketing Raw Data'!$C:$O,9,0)),"")</f>
        <v/>
      </c>
    </row>
    <row r="1828" spans="4:17" ht="12.75" customHeight="1" x14ac:dyDescent="0.2">
      <c r="D1828" s="58" t="str">
        <f>IFERROR(IF(F1828&lt;&gt;"pending","",IF(OR($B1828="",$B1828="(blank)"),"",VLOOKUP($B1828,'Email Marketing Raw Data'!$C:$O,10,0))),"")</f>
        <v/>
      </c>
      <c r="E1828" s="59" t="str">
        <f>IFERROR(IF(F1828&lt;&gt;"pending","",IF(OR($B1828="",$B1828="(blank)"),"",VLOOKUP($B1828,'Email Marketing Raw Data'!$C:$O,11,0))),"")</f>
        <v/>
      </c>
      <c r="F1828" s="54" t="str">
        <f>IFERROR(IF(OR($B1828="",$B1828="(blank)"),"",VLOOKUP($B1828,'Email Marketing Raw Data'!$C:$O,13,0)),"")</f>
        <v/>
      </c>
      <c r="G1828" s="55" t="str">
        <f>IFERROR(IF(OR($B1828="",$B1828="(blank)"),"",VLOOKUP($B1828,'Email Marketing Raw Data'!$C:$O,4,0)),"")</f>
        <v/>
      </c>
      <c r="H1828" s="55" t="str">
        <f>IFERROR(IF(OR($B1828="",$B1828="(blank)"),"",VLOOKUP($B1828,'Email Marketing Raw Data'!$C:$O,5,0)),"")</f>
        <v/>
      </c>
      <c r="I1828" s="55" t="str">
        <f>IFERROR(IF($G1828="","",VLOOKUP('Dashboard And Emails Automate'!$G1828,Database!$H:$N,3,0)),"")</f>
        <v/>
      </c>
      <c r="J1828" s="55" t="str">
        <f>IFERROR(IF($G1828="","",VLOOKUP('Dashboard And Emails Automate'!$G1828,Database!$H:$N,4,0)),"")</f>
        <v/>
      </c>
      <c r="K1828" s="55" t="str">
        <f>IFERROR(IF($G1828="","",VLOOKUP('Dashboard And Emails Automate'!$G1828,Database!$H:$N,5,0)),"")</f>
        <v/>
      </c>
      <c r="L1828" s="55" t="str">
        <f>IFERROR(IF($G1828="","",VLOOKUP('Dashboard And Emails Automate'!$G1828,Database!$H:$N,6,0)),"")</f>
        <v/>
      </c>
      <c r="M1828" s="55" t="str">
        <f>IFERROR(IF($G1828="","",VLOOKUP('Dashboard And Emails Automate'!$G1828,Database!$H:$N,7,0)),"")</f>
        <v/>
      </c>
      <c r="N1828" s="55" t="str">
        <f>IFERROR(IF(OR($B1828="",$B1828="(blank)"),"",VLOOKUP($B1828,'Email Marketing Raw Data'!$C:$O,6,0)),"")</f>
        <v/>
      </c>
      <c r="O1828" s="55" t="str">
        <f>IFERROR(IF(OR($B1828="",$B1828="(blank)"),"",VLOOKUP($B1828,'Email Marketing Raw Data'!$C:$O,7,0)),"")</f>
        <v/>
      </c>
      <c r="P1828" s="55" t="str">
        <f>IFERROR(IF(OR($B1828="",$B1828="(blank)"),"",VLOOKUP($B1828,'Email Marketing Raw Data'!$C:$O,8,0)),"")</f>
        <v/>
      </c>
      <c r="Q1828" s="62" t="str">
        <f>IFERROR(IF(OR($B1828="",$B1828="(blank)"),"",VLOOKUP($B1828,'Email Marketing Raw Data'!$C:$O,9,0)),"")</f>
        <v/>
      </c>
    </row>
    <row r="1829" spans="4:17" ht="12.75" customHeight="1" x14ac:dyDescent="0.2">
      <c r="D1829" s="58" t="str">
        <f>IFERROR(IF(F1829&lt;&gt;"pending","",IF(OR($B1829="",$B1829="(blank)"),"",VLOOKUP($B1829,'Email Marketing Raw Data'!$C:$O,10,0))),"")</f>
        <v/>
      </c>
      <c r="E1829" s="59" t="str">
        <f>IFERROR(IF(F1829&lt;&gt;"pending","",IF(OR($B1829="",$B1829="(blank)"),"",VLOOKUP($B1829,'Email Marketing Raw Data'!$C:$O,11,0))),"")</f>
        <v/>
      </c>
      <c r="F1829" s="54" t="str">
        <f>IFERROR(IF(OR($B1829="",$B1829="(blank)"),"",VLOOKUP($B1829,'Email Marketing Raw Data'!$C:$O,13,0)),"")</f>
        <v/>
      </c>
      <c r="G1829" s="55" t="str">
        <f>IFERROR(IF(OR($B1829="",$B1829="(blank)"),"",VLOOKUP($B1829,'Email Marketing Raw Data'!$C:$O,4,0)),"")</f>
        <v/>
      </c>
      <c r="H1829" s="55" t="str">
        <f>IFERROR(IF(OR($B1829="",$B1829="(blank)"),"",VLOOKUP($B1829,'Email Marketing Raw Data'!$C:$O,5,0)),"")</f>
        <v/>
      </c>
      <c r="I1829" s="55" t="str">
        <f>IFERROR(IF($G1829="","",VLOOKUP('Dashboard And Emails Automate'!$G1829,Database!$H:$N,3,0)),"")</f>
        <v/>
      </c>
      <c r="J1829" s="55" t="str">
        <f>IFERROR(IF($G1829="","",VLOOKUP('Dashboard And Emails Automate'!$G1829,Database!$H:$N,4,0)),"")</f>
        <v/>
      </c>
      <c r="K1829" s="55" t="str">
        <f>IFERROR(IF($G1829="","",VLOOKUP('Dashboard And Emails Automate'!$G1829,Database!$H:$N,5,0)),"")</f>
        <v/>
      </c>
      <c r="L1829" s="55" t="str">
        <f>IFERROR(IF($G1829="","",VLOOKUP('Dashboard And Emails Automate'!$G1829,Database!$H:$N,6,0)),"")</f>
        <v/>
      </c>
      <c r="M1829" s="55" t="str">
        <f>IFERROR(IF($G1829="","",VLOOKUP('Dashboard And Emails Automate'!$G1829,Database!$H:$N,7,0)),"")</f>
        <v/>
      </c>
      <c r="N1829" s="55" t="str">
        <f>IFERROR(IF(OR($B1829="",$B1829="(blank)"),"",VLOOKUP($B1829,'Email Marketing Raw Data'!$C:$O,6,0)),"")</f>
        <v/>
      </c>
      <c r="O1829" s="55" t="str">
        <f>IFERROR(IF(OR($B1829="",$B1829="(blank)"),"",VLOOKUP($B1829,'Email Marketing Raw Data'!$C:$O,7,0)),"")</f>
        <v/>
      </c>
      <c r="P1829" s="55" t="str">
        <f>IFERROR(IF(OR($B1829="",$B1829="(blank)"),"",VLOOKUP($B1829,'Email Marketing Raw Data'!$C:$O,8,0)),"")</f>
        <v/>
      </c>
      <c r="Q1829" s="62" t="str">
        <f>IFERROR(IF(OR($B1829="",$B1829="(blank)"),"",VLOOKUP($B1829,'Email Marketing Raw Data'!$C:$O,9,0)),"")</f>
        <v/>
      </c>
    </row>
    <row r="1830" spans="4:17" ht="12.75" customHeight="1" x14ac:dyDescent="0.2">
      <c r="D1830" s="58" t="str">
        <f>IFERROR(IF(F1830&lt;&gt;"pending","",IF(OR($B1830="",$B1830="(blank)"),"",VLOOKUP($B1830,'Email Marketing Raw Data'!$C:$O,10,0))),"")</f>
        <v/>
      </c>
      <c r="E1830" s="59" t="str">
        <f>IFERROR(IF(F1830&lt;&gt;"pending","",IF(OR($B1830="",$B1830="(blank)"),"",VLOOKUP($B1830,'Email Marketing Raw Data'!$C:$O,11,0))),"")</f>
        <v/>
      </c>
      <c r="F1830" s="54" t="str">
        <f>IFERROR(IF(OR($B1830="",$B1830="(blank)"),"",VLOOKUP($B1830,'Email Marketing Raw Data'!$C:$O,13,0)),"")</f>
        <v/>
      </c>
      <c r="G1830" s="55" t="str">
        <f>IFERROR(IF(OR($B1830="",$B1830="(blank)"),"",VLOOKUP($B1830,'Email Marketing Raw Data'!$C:$O,4,0)),"")</f>
        <v/>
      </c>
      <c r="H1830" s="55" t="str">
        <f>IFERROR(IF(OR($B1830="",$B1830="(blank)"),"",VLOOKUP($B1830,'Email Marketing Raw Data'!$C:$O,5,0)),"")</f>
        <v/>
      </c>
      <c r="I1830" s="55" t="str">
        <f>IFERROR(IF($G1830="","",VLOOKUP('Dashboard And Emails Automate'!$G1830,Database!$H:$N,3,0)),"")</f>
        <v/>
      </c>
      <c r="J1830" s="55" t="str">
        <f>IFERROR(IF($G1830="","",VLOOKUP('Dashboard And Emails Automate'!$G1830,Database!$H:$N,4,0)),"")</f>
        <v/>
      </c>
      <c r="K1830" s="55" t="str">
        <f>IFERROR(IF($G1830="","",VLOOKUP('Dashboard And Emails Automate'!$G1830,Database!$H:$N,5,0)),"")</f>
        <v/>
      </c>
      <c r="L1830" s="55" t="str">
        <f>IFERROR(IF($G1830="","",VLOOKUP('Dashboard And Emails Automate'!$G1830,Database!$H:$N,6,0)),"")</f>
        <v/>
      </c>
      <c r="M1830" s="55" t="str">
        <f>IFERROR(IF($G1830="","",VLOOKUP('Dashboard And Emails Automate'!$G1830,Database!$H:$N,7,0)),"")</f>
        <v/>
      </c>
      <c r="N1830" s="55" t="str">
        <f>IFERROR(IF(OR($B1830="",$B1830="(blank)"),"",VLOOKUP($B1830,'Email Marketing Raw Data'!$C:$O,6,0)),"")</f>
        <v/>
      </c>
      <c r="O1830" s="55" t="str">
        <f>IFERROR(IF(OR($B1830="",$B1830="(blank)"),"",VLOOKUP($B1830,'Email Marketing Raw Data'!$C:$O,7,0)),"")</f>
        <v/>
      </c>
      <c r="P1830" s="55" t="str">
        <f>IFERROR(IF(OR($B1830="",$B1830="(blank)"),"",VLOOKUP($B1830,'Email Marketing Raw Data'!$C:$O,8,0)),"")</f>
        <v/>
      </c>
      <c r="Q1830" s="62" t="str">
        <f>IFERROR(IF(OR($B1830="",$B1830="(blank)"),"",VLOOKUP($B1830,'Email Marketing Raw Data'!$C:$O,9,0)),"")</f>
        <v/>
      </c>
    </row>
    <row r="1831" spans="4:17" ht="12.75" customHeight="1" x14ac:dyDescent="0.2">
      <c r="D1831" s="58" t="str">
        <f>IFERROR(IF(F1831&lt;&gt;"pending","",IF(OR($B1831="",$B1831="(blank)"),"",VLOOKUP($B1831,'Email Marketing Raw Data'!$C:$O,10,0))),"")</f>
        <v/>
      </c>
      <c r="E1831" s="59" t="str">
        <f>IFERROR(IF(F1831&lt;&gt;"pending","",IF(OR($B1831="",$B1831="(blank)"),"",VLOOKUP($B1831,'Email Marketing Raw Data'!$C:$O,11,0))),"")</f>
        <v/>
      </c>
      <c r="F1831" s="54" t="str">
        <f>IFERROR(IF(OR($B1831="",$B1831="(blank)"),"",VLOOKUP($B1831,'Email Marketing Raw Data'!$C:$O,13,0)),"")</f>
        <v/>
      </c>
      <c r="G1831" s="55" t="str">
        <f>IFERROR(IF(OR($B1831="",$B1831="(blank)"),"",VLOOKUP($B1831,'Email Marketing Raw Data'!$C:$O,4,0)),"")</f>
        <v/>
      </c>
      <c r="H1831" s="55" t="str">
        <f>IFERROR(IF(OR($B1831="",$B1831="(blank)"),"",VLOOKUP($B1831,'Email Marketing Raw Data'!$C:$O,5,0)),"")</f>
        <v/>
      </c>
      <c r="I1831" s="55" t="str">
        <f>IFERROR(IF($G1831="","",VLOOKUP('Dashboard And Emails Automate'!$G1831,Database!$H:$N,3,0)),"")</f>
        <v/>
      </c>
      <c r="J1831" s="55" t="str">
        <f>IFERROR(IF($G1831="","",VLOOKUP('Dashboard And Emails Automate'!$G1831,Database!$H:$N,4,0)),"")</f>
        <v/>
      </c>
      <c r="K1831" s="55" t="str">
        <f>IFERROR(IF($G1831="","",VLOOKUP('Dashboard And Emails Automate'!$G1831,Database!$H:$N,5,0)),"")</f>
        <v/>
      </c>
      <c r="L1831" s="55" t="str">
        <f>IFERROR(IF($G1831="","",VLOOKUP('Dashboard And Emails Automate'!$G1831,Database!$H:$N,6,0)),"")</f>
        <v/>
      </c>
      <c r="M1831" s="55" t="str">
        <f>IFERROR(IF($G1831="","",VLOOKUP('Dashboard And Emails Automate'!$G1831,Database!$H:$N,7,0)),"")</f>
        <v/>
      </c>
      <c r="N1831" s="55" t="str">
        <f>IFERROR(IF(OR($B1831="",$B1831="(blank)"),"",VLOOKUP($B1831,'Email Marketing Raw Data'!$C:$O,6,0)),"")</f>
        <v/>
      </c>
      <c r="O1831" s="55" t="str">
        <f>IFERROR(IF(OR($B1831="",$B1831="(blank)"),"",VLOOKUP($B1831,'Email Marketing Raw Data'!$C:$O,7,0)),"")</f>
        <v/>
      </c>
      <c r="P1831" s="55" t="str">
        <f>IFERROR(IF(OR($B1831="",$B1831="(blank)"),"",VLOOKUP($B1831,'Email Marketing Raw Data'!$C:$O,8,0)),"")</f>
        <v/>
      </c>
      <c r="Q1831" s="62" t="str">
        <f>IFERROR(IF(OR($B1831="",$B1831="(blank)"),"",VLOOKUP($B1831,'Email Marketing Raw Data'!$C:$O,9,0)),"")</f>
        <v/>
      </c>
    </row>
    <row r="1832" spans="4:17" ht="12.75" customHeight="1" x14ac:dyDescent="0.2">
      <c r="D1832" s="58" t="str">
        <f>IFERROR(IF(F1832&lt;&gt;"pending","",IF(OR($B1832="",$B1832="(blank)"),"",VLOOKUP($B1832,'Email Marketing Raw Data'!$C:$O,10,0))),"")</f>
        <v/>
      </c>
      <c r="E1832" s="59" t="str">
        <f>IFERROR(IF(F1832&lt;&gt;"pending","",IF(OR($B1832="",$B1832="(blank)"),"",VLOOKUP($B1832,'Email Marketing Raw Data'!$C:$O,11,0))),"")</f>
        <v/>
      </c>
      <c r="F1832" s="54" t="str">
        <f>IFERROR(IF(OR($B1832="",$B1832="(blank)"),"",VLOOKUP($B1832,'Email Marketing Raw Data'!$C:$O,13,0)),"")</f>
        <v/>
      </c>
      <c r="G1832" s="55" t="str">
        <f>IFERROR(IF(OR($B1832="",$B1832="(blank)"),"",VLOOKUP($B1832,'Email Marketing Raw Data'!$C:$O,4,0)),"")</f>
        <v/>
      </c>
      <c r="H1832" s="55" t="str">
        <f>IFERROR(IF(OR($B1832="",$B1832="(blank)"),"",VLOOKUP($B1832,'Email Marketing Raw Data'!$C:$O,5,0)),"")</f>
        <v/>
      </c>
      <c r="I1832" s="55" t="str">
        <f>IFERROR(IF($G1832="","",VLOOKUP('Dashboard And Emails Automate'!$G1832,Database!$H:$N,3,0)),"")</f>
        <v/>
      </c>
      <c r="J1832" s="55" t="str">
        <f>IFERROR(IF($G1832="","",VLOOKUP('Dashboard And Emails Automate'!$G1832,Database!$H:$N,4,0)),"")</f>
        <v/>
      </c>
      <c r="K1832" s="55" t="str">
        <f>IFERROR(IF($G1832="","",VLOOKUP('Dashboard And Emails Automate'!$G1832,Database!$H:$N,5,0)),"")</f>
        <v/>
      </c>
      <c r="L1832" s="55" t="str">
        <f>IFERROR(IF($G1832="","",VLOOKUP('Dashboard And Emails Automate'!$G1832,Database!$H:$N,6,0)),"")</f>
        <v/>
      </c>
      <c r="M1832" s="55" t="str">
        <f>IFERROR(IF($G1832="","",VLOOKUP('Dashboard And Emails Automate'!$G1832,Database!$H:$N,7,0)),"")</f>
        <v/>
      </c>
      <c r="N1832" s="55" t="str">
        <f>IFERROR(IF(OR($B1832="",$B1832="(blank)"),"",VLOOKUP($B1832,'Email Marketing Raw Data'!$C:$O,6,0)),"")</f>
        <v/>
      </c>
      <c r="O1832" s="55" t="str">
        <f>IFERROR(IF(OR($B1832="",$B1832="(blank)"),"",VLOOKUP($B1832,'Email Marketing Raw Data'!$C:$O,7,0)),"")</f>
        <v/>
      </c>
      <c r="P1832" s="55" t="str">
        <f>IFERROR(IF(OR($B1832="",$B1832="(blank)"),"",VLOOKUP($B1832,'Email Marketing Raw Data'!$C:$O,8,0)),"")</f>
        <v/>
      </c>
      <c r="Q1832" s="62" t="str">
        <f>IFERROR(IF(OR($B1832="",$B1832="(blank)"),"",VLOOKUP($B1832,'Email Marketing Raw Data'!$C:$O,9,0)),"")</f>
        <v/>
      </c>
    </row>
    <row r="1833" spans="4:17" ht="12.75" customHeight="1" x14ac:dyDescent="0.2">
      <c r="D1833" s="58" t="str">
        <f>IFERROR(IF(F1833&lt;&gt;"pending","",IF(OR($B1833="",$B1833="(blank)"),"",VLOOKUP($B1833,'Email Marketing Raw Data'!$C:$O,10,0))),"")</f>
        <v/>
      </c>
      <c r="E1833" s="59" t="str">
        <f>IFERROR(IF(F1833&lt;&gt;"pending","",IF(OR($B1833="",$B1833="(blank)"),"",VLOOKUP($B1833,'Email Marketing Raw Data'!$C:$O,11,0))),"")</f>
        <v/>
      </c>
      <c r="F1833" s="54" t="str">
        <f>IFERROR(IF(OR($B1833="",$B1833="(blank)"),"",VLOOKUP($B1833,'Email Marketing Raw Data'!$C:$O,13,0)),"")</f>
        <v/>
      </c>
      <c r="G1833" s="55" t="str">
        <f>IFERROR(IF(OR($B1833="",$B1833="(blank)"),"",VLOOKUP($B1833,'Email Marketing Raw Data'!$C:$O,4,0)),"")</f>
        <v/>
      </c>
      <c r="H1833" s="55" t="str">
        <f>IFERROR(IF(OR($B1833="",$B1833="(blank)"),"",VLOOKUP($B1833,'Email Marketing Raw Data'!$C:$O,5,0)),"")</f>
        <v/>
      </c>
      <c r="I1833" s="55" t="str">
        <f>IFERROR(IF($G1833="","",VLOOKUP('Dashboard And Emails Automate'!$G1833,Database!$H:$N,3,0)),"")</f>
        <v/>
      </c>
      <c r="J1833" s="55" t="str">
        <f>IFERROR(IF($G1833="","",VLOOKUP('Dashboard And Emails Automate'!$G1833,Database!$H:$N,4,0)),"")</f>
        <v/>
      </c>
      <c r="K1833" s="55" t="str">
        <f>IFERROR(IF($G1833="","",VLOOKUP('Dashboard And Emails Automate'!$G1833,Database!$H:$N,5,0)),"")</f>
        <v/>
      </c>
      <c r="L1833" s="55" t="str">
        <f>IFERROR(IF($G1833="","",VLOOKUP('Dashboard And Emails Automate'!$G1833,Database!$H:$N,6,0)),"")</f>
        <v/>
      </c>
      <c r="M1833" s="55" t="str">
        <f>IFERROR(IF($G1833="","",VLOOKUP('Dashboard And Emails Automate'!$G1833,Database!$H:$N,7,0)),"")</f>
        <v/>
      </c>
      <c r="N1833" s="55" t="str">
        <f>IFERROR(IF(OR($B1833="",$B1833="(blank)"),"",VLOOKUP($B1833,'Email Marketing Raw Data'!$C:$O,6,0)),"")</f>
        <v/>
      </c>
      <c r="O1833" s="55" t="str">
        <f>IFERROR(IF(OR($B1833="",$B1833="(blank)"),"",VLOOKUP($B1833,'Email Marketing Raw Data'!$C:$O,7,0)),"")</f>
        <v/>
      </c>
      <c r="P1833" s="55" t="str">
        <f>IFERROR(IF(OR($B1833="",$B1833="(blank)"),"",VLOOKUP($B1833,'Email Marketing Raw Data'!$C:$O,8,0)),"")</f>
        <v/>
      </c>
      <c r="Q1833" s="62" t="str">
        <f>IFERROR(IF(OR($B1833="",$B1833="(blank)"),"",VLOOKUP($B1833,'Email Marketing Raw Data'!$C:$O,9,0)),"")</f>
        <v/>
      </c>
    </row>
    <row r="1834" spans="4:17" ht="12.75" customHeight="1" x14ac:dyDescent="0.2">
      <c r="D1834" s="58" t="str">
        <f>IFERROR(IF(F1834&lt;&gt;"pending","",IF(OR($B1834="",$B1834="(blank)"),"",VLOOKUP($B1834,'Email Marketing Raw Data'!$C:$O,10,0))),"")</f>
        <v/>
      </c>
      <c r="E1834" s="59" t="str">
        <f>IFERROR(IF(F1834&lt;&gt;"pending","",IF(OR($B1834="",$B1834="(blank)"),"",VLOOKUP($B1834,'Email Marketing Raw Data'!$C:$O,11,0))),"")</f>
        <v/>
      </c>
      <c r="F1834" s="54" t="str">
        <f>IFERROR(IF(OR($B1834="",$B1834="(blank)"),"",VLOOKUP($B1834,'Email Marketing Raw Data'!$C:$O,13,0)),"")</f>
        <v/>
      </c>
      <c r="G1834" s="55" t="str">
        <f>IFERROR(IF(OR($B1834="",$B1834="(blank)"),"",VLOOKUP($B1834,'Email Marketing Raw Data'!$C:$O,4,0)),"")</f>
        <v/>
      </c>
      <c r="H1834" s="55" t="str">
        <f>IFERROR(IF(OR($B1834="",$B1834="(blank)"),"",VLOOKUP($B1834,'Email Marketing Raw Data'!$C:$O,5,0)),"")</f>
        <v/>
      </c>
      <c r="I1834" s="55" t="str">
        <f>IFERROR(IF($G1834="","",VLOOKUP('Dashboard And Emails Automate'!$G1834,Database!$H:$N,3,0)),"")</f>
        <v/>
      </c>
      <c r="J1834" s="55" t="str">
        <f>IFERROR(IF($G1834="","",VLOOKUP('Dashboard And Emails Automate'!$G1834,Database!$H:$N,4,0)),"")</f>
        <v/>
      </c>
      <c r="K1834" s="55" t="str">
        <f>IFERROR(IF($G1834="","",VLOOKUP('Dashboard And Emails Automate'!$G1834,Database!$H:$N,5,0)),"")</f>
        <v/>
      </c>
      <c r="L1834" s="55" t="str">
        <f>IFERROR(IF($G1834="","",VLOOKUP('Dashboard And Emails Automate'!$G1834,Database!$H:$N,6,0)),"")</f>
        <v/>
      </c>
      <c r="M1834" s="55" t="str">
        <f>IFERROR(IF($G1834="","",VLOOKUP('Dashboard And Emails Automate'!$G1834,Database!$H:$N,7,0)),"")</f>
        <v/>
      </c>
      <c r="N1834" s="55" t="str">
        <f>IFERROR(IF(OR($B1834="",$B1834="(blank)"),"",VLOOKUP($B1834,'Email Marketing Raw Data'!$C:$O,6,0)),"")</f>
        <v/>
      </c>
      <c r="O1834" s="55" t="str">
        <f>IFERROR(IF(OR($B1834="",$B1834="(blank)"),"",VLOOKUP($B1834,'Email Marketing Raw Data'!$C:$O,7,0)),"")</f>
        <v/>
      </c>
      <c r="P1834" s="55" t="str">
        <f>IFERROR(IF(OR($B1834="",$B1834="(blank)"),"",VLOOKUP($B1834,'Email Marketing Raw Data'!$C:$O,8,0)),"")</f>
        <v/>
      </c>
      <c r="Q1834" s="62" t="str">
        <f>IFERROR(IF(OR($B1834="",$B1834="(blank)"),"",VLOOKUP($B1834,'Email Marketing Raw Data'!$C:$O,9,0)),"")</f>
        <v/>
      </c>
    </row>
    <row r="1835" spans="4:17" ht="12.75" customHeight="1" x14ac:dyDescent="0.2">
      <c r="D1835" s="58" t="str">
        <f>IFERROR(IF(F1835&lt;&gt;"pending","",IF(OR($B1835="",$B1835="(blank)"),"",VLOOKUP($B1835,'Email Marketing Raw Data'!$C:$O,10,0))),"")</f>
        <v/>
      </c>
      <c r="E1835" s="59" t="str">
        <f>IFERROR(IF(F1835&lt;&gt;"pending","",IF(OR($B1835="",$B1835="(blank)"),"",VLOOKUP($B1835,'Email Marketing Raw Data'!$C:$O,11,0))),"")</f>
        <v/>
      </c>
      <c r="F1835" s="54" t="str">
        <f>IFERROR(IF(OR($B1835="",$B1835="(blank)"),"",VLOOKUP($B1835,'Email Marketing Raw Data'!$C:$O,13,0)),"")</f>
        <v/>
      </c>
      <c r="G1835" s="55" t="str">
        <f>IFERROR(IF(OR($B1835="",$B1835="(blank)"),"",VLOOKUP($B1835,'Email Marketing Raw Data'!$C:$O,4,0)),"")</f>
        <v/>
      </c>
      <c r="H1835" s="55" t="str">
        <f>IFERROR(IF(OR($B1835="",$B1835="(blank)"),"",VLOOKUP($B1835,'Email Marketing Raw Data'!$C:$O,5,0)),"")</f>
        <v/>
      </c>
      <c r="I1835" s="55" t="str">
        <f>IFERROR(IF($G1835="","",VLOOKUP('Dashboard And Emails Automate'!$G1835,Database!$H:$N,3,0)),"")</f>
        <v/>
      </c>
      <c r="J1835" s="55" t="str">
        <f>IFERROR(IF($G1835="","",VLOOKUP('Dashboard And Emails Automate'!$G1835,Database!$H:$N,4,0)),"")</f>
        <v/>
      </c>
      <c r="K1835" s="55" t="str">
        <f>IFERROR(IF($G1835="","",VLOOKUP('Dashboard And Emails Automate'!$G1835,Database!$H:$N,5,0)),"")</f>
        <v/>
      </c>
      <c r="L1835" s="55" t="str">
        <f>IFERROR(IF($G1835="","",VLOOKUP('Dashboard And Emails Automate'!$G1835,Database!$H:$N,6,0)),"")</f>
        <v/>
      </c>
      <c r="M1835" s="55" t="str">
        <f>IFERROR(IF($G1835="","",VLOOKUP('Dashboard And Emails Automate'!$G1835,Database!$H:$N,7,0)),"")</f>
        <v/>
      </c>
      <c r="N1835" s="55" t="str">
        <f>IFERROR(IF(OR($B1835="",$B1835="(blank)"),"",VLOOKUP($B1835,'Email Marketing Raw Data'!$C:$O,6,0)),"")</f>
        <v/>
      </c>
      <c r="O1835" s="55" t="str">
        <f>IFERROR(IF(OR($B1835="",$B1835="(blank)"),"",VLOOKUP($B1835,'Email Marketing Raw Data'!$C:$O,7,0)),"")</f>
        <v/>
      </c>
      <c r="P1835" s="55" t="str">
        <f>IFERROR(IF(OR($B1835="",$B1835="(blank)"),"",VLOOKUP($B1835,'Email Marketing Raw Data'!$C:$O,8,0)),"")</f>
        <v/>
      </c>
      <c r="Q1835" s="62" t="str">
        <f>IFERROR(IF(OR($B1835="",$B1835="(blank)"),"",VLOOKUP($B1835,'Email Marketing Raw Data'!$C:$O,9,0)),"")</f>
        <v/>
      </c>
    </row>
    <row r="1836" spans="4:17" ht="12.75" customHeight="1" x14ac:dyDescent="0.2">
      <c r="D1836" s="58" t="str">
        <f>IFERROR(IF(F1836&lt;&gt;"pending","",IF(OR($B1836="",$B1836="(blank)"),"",VLOOKUP($B1836,'Email Marketing Raw Data'!$C:$O,10,0))),"")</f>
        <v/>
      </c>
      <c r="E1836" s="59" t="str">
        <f>IFERROR(IF(F1836&lt;&gt;"pending","",IF(OR($B1836="",$B1836="(blank)"),"",VLOOKUP($B1836,'Email Marketing Raw Data'!$C:$O,11,0))),"")</f>
        <v/>
      </c>
      <c r="F1836" s="54" t="str">
        <f>IFERROR(IF(OR($B1836="",$B1836="(blank)"),"",VLOOKUP($B1836,'Email Marketing Raw Data'!$C:$O,13,0)),"")</f>
        <v/>
      </c>
      <c r="G1836" s="55" t="str">
        <f>IFERROR(IF(OR($B1836="",$B1836="(blank)"),"",VLOOKUP($B1836,'Email Marketing Raw Data'!$C:$O,4,0)),"")</f>
        <v/>
      </c>
      <c r="H1836" s="55" t="str">
        <f>IFERROR(IF(OR($B1836="",$B1836="(blank)"),"",VLOOKUP($B1836,'Email Marketing Raw Data'!$C:$O,5,0)),"")</f>
        <v/>
      </c>
      <c r="I1836" s="55" t="str">
        <f>IFERROR(IF($G1836="","",VLOOKUP('Dashboard And Emails Automate'!$G1836,Database!$H:$N,3,0)),"")</f>
        <v/>
      </c>
      <c r="J1836" s="55" t="str">
        <f>IFERROR(IF($G1836="","",VLOOKUP('Dashboard And Emails Automate'!$G1836,Database!$H:$N,4,0)),"")</f>
        <v/>
      </c>
      <c r="K1836" s="55" t="str">
        <f>IFERROR(IF($G1836="","",VLOOKUP('Dashboard And Emails Automate'!$G1836,Database!$H:$N,5,0)),"")</f>
        <v/>
      </c>
      <c r="L1836" s="55" t="str">
        <f>IFERROR(IF($G1836="","",VLOOKUP('Dashboard And Emails Automate'!$G1836,Database!$H:$N,6,0)),"")</f>
        <v/>
      </c>
      <c r="M1836" s="55" t="str">
        <f>IFERROR(IF($G1836="","",VLOOKUP('Dashboard And Emails Automate'!$G1836,Database!$H:$N,7,0)),"")</f>
        <v/>
      </c>
      <c r="N1836" s="55" t="str">
        <f>IFERROR(IF(OR($B1836="",$B1836="(blank)"),"",VLOOKUP($B1836,'Email Marketing Raw Data'!$C:$O,6,0)),"")</f>
        <v/>
      </c>
      <c r="O1836" s="55" t="str">
        <f>IFERROR(IF(OR($B1836="",$B1836="(blank)"),"",VLOOKUP($B1836,'Email Marketing Raw Data'!$C:$O,7,0)),"")</f>
        <v/>
      </c>
      <c r="P1836" s="55" t="str">
        <f>IFERROR(IF(OR($B1836="",$B1836="(blank)"),"",VLOOKUP($B1836,'Email Marketing Raw Data'!$C:$O,8,0)),"")</f>
        <v/>
      </c>
      <c r="Q1836" s="62" t="str">
        <f>IFERROR(IF(OR($B1836="",$B1836="(blank)"),"",VLOOKUP($B1836,'Email Marketing Raw Data'!$C:$O,9,0)),"")</f>
        <v/>
      </c>
    </row>
    <row r="1837" spans="4:17" ht="12.75" customHeight="1" x14ac:dyDescent="0.2">
      <c r="D1837" s="58" t="str">
        <f>IFERROR(IF(F1837&lt;&gt;"pending","",IF(OR($B1837="",$B1837="(blank)"),"",VLOOKUP($B1837,'Email Marketing Raw Data'!$C:$O,10,0))),"")</f>
        <v/>
      </c>
      <c r="E1837" s="59" t="str">
        <f>IFERROR(IF(F1837&lt;&gt;"pending","",IF(OR($B1837="",$B1837="(blank)"),"",VLOOKUP($B1837,'Email Marketing Raw Data'!$C:$O,11,0))),"")</f>
        <v/>
      </c>
      <c r="F1837" s="54" t="str">
        <f>IFERROR(IF(OR($B1837="",$B1837="(blank)"),"",VLOOKUP($B1837,'Email Marketing Raw Data'!$C:$O,13,0)),"")</f>
        <v/>
      </c>
      <c r="G1837" s="55" t="str">
        <f>IFERROR(IF(OR($B1837="",$B1837="(blank)"),"",VLOOKUP($B1837,'Email Marketing Raw Data'!$C:$O,4,0)),"")</f>
        <v/>
      </c>
      <c r="H1837" s="55" t="str">
        <f>IFERROR(IF(OR($B1837="",$B1837="(blank)"),"",VLOOKUP($B1837,'Email Marketing Raw Data'!$C:$O,5,0)),"")</f>
        <v/>
      </c>
      <c r="I1837" s="55" t="str">
        <f>IFERROR(IF($G1837="","",VLOOKUP('Dashboard And Emails Automate'!$G1837,Database!$H:$N,3,0)),"")</f>
        <v/>
      </c>
      <c r="J1837" s="55" t="str">
        <f>IFERROR(IF($G1837="","",VLOOKUP('Dashboard And Emails Automate'!$G1837,Database!$H:$N,4,0)),"")</f>
        <v/>
      </c>
      <c r="K1837" s="55" t="str">
        <f>IFERROR(IF($G1837="","",VLOOKUP('Dashboard And Emails Automate'!$G1837,Database!$H:$N,5,0)),"")</f>
        <v/>
      </c>
      <c r="L1837" s="55" t="str">
        <f>IFERROR(IF($G1837="","",VLOOKUP('Dashboard And Emails Automate'!$G1837,Database!$H:$N,6,0)),"")</f>
        <v/>
      </c>
      <c r="M1837" s="55" t="str">
        <f>IFERROR(IF($G1837="","",VLOOKUP('Dashboard And Emails Automate'!$G1837,Database!$H:$N,7,0)),"")</f>
        <v/>
      </c>
      <c r="N1837" s="55" t="str">
        <f>IFERROR(IF(OR($B1837="",$B1837="(blank)"),"",VLOOKUP($B1837,'Email Marketing Raw Data'!$C:$O,6,0)),"")</f>
        <v/>
      </c>
      <c r="O1837" s="55" t="str">
        <f>IFERROR(IF(OR($B1837="",$B1837="(blank)"),"",VLOOKUP($B1837,'Email Marketing Raw Data'!$C:$O,7,0)),"")</f>
        <v/>
      </c>
      <c r="P1837" s="55" t="str">
        <f>IFERROR(IF(OR($B1837="",$B1837="(blank)"),"",VLOOKUP($B1837,'Email Marketing Raw Data'!$C:$O,8,0)),"")</f>
        <v/>
      </c>
      <c r="Q1837" s="62" t="str">
        <f>IFERROR(IF(OR($B1837="",$B1837="(blank)"),"",VLOOKUP($B1837,'Email Marketing Raw Data'!$C:$O,9,0)),"")</f>
        <v/>
      </c>
    </row>
    <row r="1838" spans="4:17" ht="12.75" customHeight="1" x14ac:dyDescent="0.2">
      <c r="D1838" s="58" t="str">
        <f>IFERROR(IF(F1838&lt;&gt;"pending","",IF(OR($B1838="",$B1838="(blank)"),"",VLOOKUP($B1838,'Email Marketing Raw Data'!$C:$O,10,0))),"")</f>
        <v/>
      </c>
      <c r="E1838" s="59" t="str">
        <f>IFERROR(IF(F1838&lt;&gt;"pending","",IF(OR($B1838="",$B1838="(blank)"),"",VLOOKUP($B1838,'Email Marketing Raw Data'!$C:$O,11,0))),"")</f>
        <v/>
      </c>
      <c r="F1838" s="54" t="str">
        <f>IFERROR(IF(OR($B1838="",$B1838="(blank)"),"",VLOOKUP($B1838,'Email Marketing Raw Data'!$C:$O,13,0)),"")</f>
        <v/>
      </c>
      <c r="G1838" s="55" t="str">
        <f>IFERROR(IF(OR($B1838="",$B1838="(blank)"),"",VLOOKUP($B1838,'Email Marketing Raw Data'!$C:$O,4,0)),"")</f>
        <v/>
      </c>
      <c r="H1838" s="55" t="str">
        <f>IFERROR(IF(OR($B1838="",$B1838="(blank)"),"",VLOOKUP($B1838,'Email Marketing Raw Data'!$C:$O,5,0)),"")</f>
        <v/>
      </c>
      <c r="I1838" s="55" t="str">
        <f>IFERROR(IF($G1838="","",VLOOKUP('Dashboard And Emails Automate'!$G1838,Database!$H:$N,3,0)),"")</f>
        <v/>
      </c>
      <c r="J1838" s="55" t="str">
        <f>IFERROR(IF($G1838="","",VLOOKUP('Dashboard And Emails Automate'!$G1838,Database!$H:$N,4,0)),"")</f>
        <v/>
      </c>
      <c r="K1838" s="55" t="str">
        <f>IFERROR(IF($G1838="","",VLOOKUP('Dashboard And Emails Automate'!$G1838,Database!$H:$N,5,0)),"")</f>
        <v/>
      </c>
      <c r="L1838" s="55" t="str">
        <f>IFERROR(IF($G1838="","",VLOOKUP('Dashboard And Emails Automate'!$G1838,Database!$H:$N,6,0)),"")</f>
        <v/>
      </c>
      <c r="M1838" s="55" t="str">
        <f>IFERROR(IF($G1838="","",VLOOKUP('Dashboard And Emails Automate'!$G1838,Database!$H:$N,7,0)),"")</f>
        <v/>
      </c>
      <c r="N1838" s="55" t="str">
        <f>IFERROR(IF(OR($B1838="",$B1838="(blank)"),"",VLOOKUP($B1838,'Email Marketing Raw Data'!$C:$O,6,0)),"")</f>
        <v/>
      </c>
      <c r="O1838" s="55" t="str">
        <f>IFERROR(IF(OR($B1838="",$B1838="(blank)"),"",VLOOKUP($B1838,'Email Marketing Raw Data'!$C:$O,7,0)),"")</f>
        <v/>
      </c>
      <c r="P1838" s="55" t="str">
        <f>IFERROR(IF(OR($B1838="",$B1838="(blank)"),"",VLOOKUP($B1838,'Email Marketing Raw Data'!$C:$O,8,0)),"")</f>
        <v/>
      </c>
      <c r="Q1838" s="62" t="str">
        <f>IFERROR(IF(OR($B1838="",$B1838="(blank)"),"",VLOOKUP($B1838,'Email Marketing Raw Data'!$C:$O,9,0)),"")</f>
        <v/>
      </c>
    </row>
    <row r="1839" spans="4:17" ht="12.75" customHeight="1" x14ac:dyDescent="0.2">
      <c r="D1839" s="58" t="str">
        <f>IFERROR(IF(F1839&lt;&gt;"pending","",IF(OR($B1839="",$B1839="(blank)"),"",VLOOKUP($B1839,'Email Marketing Raw Data'!$C:$O,10,0))),"")</f>
        <v/>
      </c>
      <c r="E1839" s="59" t="str">
        <f>IFERROR(IF(F1839&lt;&gt;"pending","",IF(OR($B1839="",$B1839="(blank)"),"",VLOOKUP($B1839,'Email Marketing Raw Data'!$C:$O,11,0))),"")</f>
        <v/>
      </c>
      <c r="F1839" s="54" t="str">
        <f>IFERROR(IF(OR($B1839="",$B1839="(blank)"),"",VLOOKUP($B1839,'Email Marketing Raw Data'!$C:$O,13,0)),"")</f>
        <v/>
      </c>
      <c r="G1839" s="55" t="str">
        <f>IFERROR(IF(OR($B1839="",$B1839="(blank)"),"",VLOOKUP($B1839,'Email Marketing Raw Data'!$C:$O,4,0)),"")</f>
        <v/>
      </c>
      <c r="H1839" s="55" t="str">
        <f>IFERROR(IF(OR($B1839="",$B1839="(blank)"),"",VLOOKUP($B1839,'Email Marketing Raw Data'!$C:$O,5,0)),"")</f>
        <v/>
      </c>
      <c r="I1839" s="55" t="str">
        <f>IFERROR(IF($G1839="","",VLOOKUP('Dashboard And Emails Automate'!$G1839,Database!$H:$N,3,0)),"")</f>
        <v/>
      </c>
      <c r="J1839" s="55" t="str">
        <f>IFERROR(IF($G1839="","",VLOOKUP('Dashboard And Emails Automate'!$G1839,Database!$H:$N,4,0)),"")</f>
        <v/>
      </c>
      <c r="K1839" s="55" t="str">
        <f>IFERROR(IF($G1839="","",VLOOKUP('Dashboard And Emails Automate'!$G1839,Database!$H:$N,5,0)),"")</f>
        <v/>
      </c>
      <c r="L1839" s="55" t="str">
        <f>IFERROR(IF($G1839="","",VLOOKUP('Dashboard And Emails Automate'!$G1839,Database!$H:$N,6,0)),"")</f>
        <v/>
      </c>
      <c r="M1839" s="55" t="str">
        <f>IFERROR(IF($G1839="","",VLOOKUP('Dashboard And Emails Automate'!$G1839,Database!$H:$N,7,0)),"")</f>
        <v/>
      </c>
      <c r="N1839" s="55" t="str">
        <f>IFERROR(IF(OR($B1839="",$B1839="(blank)"),"",VLOOKUP($B1839,'Email Marketing Raw Data'!$C:$O,6,0)),"")</f>
        <v/>
      </c>
      <c r="O1839" s="55" t="str">
        <f>IFERROR(IF(OR($B1839="",$B1839="(blank)"),"",VLOOKUP($B1839,'Email Marketing Raw Data'!$C:$O,7,0)),"")</f>
        <v/>
      </c>
      <c r="P1839" s="55" t="str">
        <f>IFERROR(IF(OR($B1839="",$B1839="(blank)"),"",VLOOKUP($B1839,'Email Marketing Raw Data'!$C:$O,8,0)),"")</f>
        <v/>
      </c>
      <c r="Q1839" s="62" t="str">
        <f>IFERROR(IF(OR($B1839="",$B1839="(blank)"),"",VLOOKUP($B1839,'Email Marketing Raw Data'!$C:$O,9,0)),"")</f>
        <v/>
      </c>
    </row>
    <row r="1840" spans="4:17" ht="12.75" customHeight="1" x14ac:dyDescent="0.2">
      <c r="D1840" s="58" t="str">
        <f>IFERROR(IF(F1840&lt;&gt;"pending","",IF(OR($B1840="",$B1840="(blank)"),"",VLOOKUP($B1840,'Email Marketing Raw Data'!$C:$O,10,0))),"")</f>
        <v/>
      </c>
      <c r="E1840" s="59" t="str">
        <f>IFERROR(IF(F1840&lt;&gt;"pending","",IF(OR($B1840="",$B1840="(blank)"),"",VLOOKUP($B1840,'Email Marketing Raw Data'!$C:$O,11,0))),"")</f>
        <v/>
      </c>
      <c r="F1840" s="54" t="str">
        <f>IFERROR(IF(OR($B1840="",$B1840="(blank)"),"",VLOOKUP($B1840,'Email Marketing Raw Data'!$C:$O,13,0)),"")</f>
        <v/>
      </c>
      <c r="G1840" s="55" t="str">
        <f>IFERROR(IF(OR($B1840="",$B1840="(blank)"),"",VLOOKUP($B1840,'Email Marketing Raw Data'!$C:$O,4,0)),"")</f>
        <v/>
      </c>
      <c r="H1840" s="55" t="str">
        <f>IFERROR(IF(OR($B1840="",$B1840="(blank)"),"",VLOOKUP($B1840,'Email Marketing Raw Data'!$C:$O,5,0)),"")</f>
        <v/>
      </c>
      <c r="I1840" s="55" t="str">
        <f>IFERROR(IF($G1840="","",VLOOKUP('Dashboard And Emails Automate'!$G1840,Database!$H:$N,3,0)),"")</f>
        <v/>
      </c>
      <c r="J1840" s="55" t="str">
        <f>IFERROR(IF($G1840="","",VLOOKUP('Dashboard And Emails Automate'!$G1840,Database!$H:$N,4,0)),"")</f>
        <v/>
      </c>
      <c r="K1840" s="55" t="str">
        <f>IFERROR(IF($G1840="","",VLOOKUP('Dashboard And Emails Automate'!$G1840,Database!$H:$N,5,0)),"")</f>
        <v/>
      </c>
      <c r="L1840" s="55" t="str">
        <f>IFERROR(IF($G1840="","",VLOOKUP('Dashboard And Emails Automate'!$G1840,Database!$H:$N,6,0)),"")</f>
        <v/>
      </c>
      <c r="M1840" s="55" t="str">
        <f>IFERROR(IF($G1840="","",VLOOKUP('Dashboard And Emails Automate'!$G1840,Database!$H:$N,7,0)),"")</f>
        <v/>
      </c>
      <c r="N1840" s="55" t="str">
        <f>IFERROR(IF(OR($B1840="",$B1840="(blank)"),"",VLOOKUP($B1840,'Email Marketing Raw Data'!$C:$O,6,0)),"")</f>
        <v/>
      </c>
      <c r="O1840" s="55" t="str">
        <f>IFERROR(IF(OR($B1840="",$B1840="(blank)"),"",VLOOKUP($B1840,'Email Marketing Raw Data'!$C:$O,7,0)),"")</f>
        <v/>
      </c>
      <c r="P1840" s="55" t="str">
        <f>IFERROR(IF(OR($B1840="",$B1840="(blank)"),"",VLOOKUP($B1840,'Email Marketing Raw Data'!$C:$O,8,0)),"")</f>
        <v/>
      </c>
      <c r="Q1840" s="62" t="str">
        <f>IFERROR(IF(OR($B1840="",$B1840="(blank)"),"",VLOOKUP($B1840,'Email Marketing Raw Data'!$C:$O,9,0)),"")</f>
        <v/>
      </c>
    </row>
    <row r="1841" spans="4:17" ht="12.75" customHeight="1" x14ac:dyDescent="0.2">
      <c r="D1841" s="58" t="str">
        <f>IFERROR(IF(F1841&lt;&gt;"pending","",IF(OR($B1841="",$B1841="(blank)"),"",VLOOKUP($B1841,'Email Marketing Raw Data'!$C:$O,10,0))),"")</f>
        <v/>
      </c>
      <c r="E1841" s="59" t="str">
        <f>IFERROR(IF(F1841&lt;&gt;"pending","",IF(OR($B1841="",$B1841="(blank)"),"",VLOOKUP($B1841,'Email Marketing Raw Data'!$C:$O,11,0))),"")</f>
        <v/>
      </c>
      <c r="F1841" s="54" t="str">
        <f>IFERROR(IF(OR($B1841="",$B1841="(blank)"),"",VLOOKUP($B1841,'Email Marketing Raw Data'!$C:$O,13,0)),"")</f>
        <v/>
      </c>
      <c r="G1841" s="55" t="str">
        <f>IFERROR(IF(OR($B1841="",$B1841="(blank)"),"",VLOOKUP($B1841,'Email Marketing Raw Data'!$C:$O,4,0)),"")</f>
        <v/>
      </c>
      <c r="H1841" s="55" t="str">
        <f>IFERROR(IF(OR($B1841="",$B1841="(blank)"),"",VLOOKUP($B1841,'Email Marketing Raw Data'!$C:$O,5,0)),"")</f>
        <v/>
      </c>
      <c r="I1841" s="55" t="str">
        <f>IFERROR(IF($G1841="","",VLOOKUP('Dashboard And Emails Automate'!$G1841,Database!$H:$N,3,0)),"")</f>
        <v/>
      </c>
      <c r="J1841" s="55" t="str">
        <f>IFERROR(IF($G1841="","",VLOOKUP('Dashboard And Emails Automate'!$G1841,Database!$H:$N,4,0)),"")</f>
        <v/>
      </c>
      <c r="K1841" s="55" t="str">
        <f>IFERROR(IF($G1841="","",VLOOKUP('Dashboard And Emails Automate'!$G1841,Database!$H:$N,5,0)),"")</f>
        <v/>
      </c>
      <c r="L1841" s="55" t="str">
        <f>IFERROR(IF($G1841="","",VLOOKUP('Dashboard And Emails Automate'!$G1841,Database!$H:$N,6,0)),"")</f>
        <v/>
      </c>
      <c r="M1841" s="55" t="str">
        <f>IFERROR(IF($G1841="","",VLOOKUP('Dashboard And Emails Automate'!$G1841,Database!$H:$N,7,0)),"")</f>
        <v/>
      </c>
      <c r="N1841" s="55" t="str">
        <f>IFERROR(IF(OR($B1841="",$B1841="(blank)"),"",VLOOKUP($B1841,'Email Marketing Raw Data'!$C:$O,6,0)),"")</f>
        <v/>
      </c>
      <c r="O1841" s="55" t="str">
        <f>IFERROR(IF(OR($B1841="",$B1841="(blank)"),"",VLOOKUP($B1841,'Email Marketing Raw Data'!$C:$O,7,0)),"")</f>
        <v/>
      </c>
      <c r="P1841" s="55" t="str">
        <f>IFERROR(IF(OR($B1841="",$B1841="(blank)"),"",VLOOKUP($B1841,'Email Marketing Raw Data'!$C:$O,8,0)),"")</f>
        <v/>
      </c>
      <c r="Q1841" s="62" t="str">
        <f>IFERROR(IF(OR($B1841="",$B1841="(blank)"),"",VLOOKUP($B1841,'Email Marketing Raw Data'!$C:$O,9,0)),"")</f>
        <v/>
      </c>
    </row>
    <row r="1842" spans="4:17" ht="12.75" customHeight="1" x14ac:dyDescent="0.2">
      <c r="D1842" s="58" t="str">
        <f>IFERROR(IF(F1842&lt;&gt;"pending","",IF(OR($B1842="",$B1842="(blank)"),"",VLOOKUP($B1842,'Email Marketing Raw Data'!$C:$O,10,0))),"")</f>
        <v/>
      </c>
      <c r="E1842" s="59" t="str">
        <f>IFERROR(IF(F1842&lt;&gt;"pending","",IF(OR($B1842="",$B1842="(blank)"),"",VLOOKUP($B1842,'Email Marketing Raw Data'!$C:$O,11,0))),"")</f>
        <v/>
      </c>
      <c r="F1842" s="54" t="str">
        <f>IFERROR(IF(OR($B1842="",$B1842="(blank)"),"",VLOOKUP($B1842,'Email Marketing Raw Data'!$C:$O,13,0)),"")</f>
        <v/>
      </c>
      <c r="G1842" s="55" t="str">
        <f>IFERROR(IF(OR($B1842="",$B1842="(blank)"),"",VLOOKUP($B1842,'Email Marketing Raw Data'!$C:$O,4,0)),"")</f>
        <v/>
      </c>
      <c r="H1842" s="55" t="str">
        <f>IFERROR(IF(OR($B1842="",$B1842="(blank)"),"",VLOOKUP($B1842,'Email Marketing Raw Data'!$C:$O,5,0)),"")</f>
        <v/>
      </c>
      <c r="I1842" s="55" t="str">
        <f>IFERROR(IF($G1842="","",VLOOKUP('Dashboard And Emails Automate'!$G1842,Database!$H:$N,3,0)),"")</f>
        <v/>
      </c>
      <c r="J1842" s="55" t="str">
        <f>IFERROR(IF($G1842="","",VLOOKUP('Dashboard And Emails Automate'!$G1842,Database!$H:$N,4,0)),"")</f>
        <v/>
      </c>
      <c r="K1842" s="55" t="str">
        <f>IFERROR(IF($G1842="","",VLOOKUP('Dashboard And Emails Automate'!$G1842,Database!$H:$N,5,0)),"")</f>
        <v/>
      </c>
      <c r="L1842" s="55" t="str">
        <f>IFERROR(IF($G1842="","",VLOOKUP('Dashboard And Emails Automate'!$G1842,Database!$H:$N,6,0)),"")</f>
        <v/>
      </c>
      <c r="M1842" s="55" t="str">
        <f>IFERROR(IF($G1842="","",VLOOKUP('Dashboard And Emails Automate'!$G1842,Database!$H:$N,7,0)),"")</f>
        <v/>
      </c>
      <c r="N1842" s="55" t="str">
        <f>IFERROR(IF(OR($B1842="",$B1842="(blank)"),"",VLOOKUP($B1842,'Email Marketing Raw Data'!$C:$O,6,0)),"")</f>
        <v/>
      </c>
      <c r="O1842" s="55" t="str">
        <f>IFERROR(IF(OR($B1842="",$B1842="(blank)"),"",VLOOKUP($B1842,'Email Marketing Raw Data'!$C:$O,7,0)),"")</f>
        <v/>
      </c>
      <c r="P1842" s="55" t="str">
        <f>IFERROR(IF(OR($B1842="",$B1842="(blank)"),"",VLOOKUP($B1842,'Email Marketing Raw Data'!$C:$O,8,0)),"")</f>
        <v/>
      </c>
      <c r="Q1842" s="62" t="str">
        <f>IFERROR(IF(OR($B1842="",$B1842="(blank)"),"",VLOOKUP($B1842,'Email Marketing Raw Data'!$C:$O,9,0)),"")</f>
        <v/>
      </c>
    </row>
    <row r="1843" spans="4:17" ht="12.75" customHeight="1" x14ac:dyDescent="0.2">
      <c r="D1843" s="58" t="str">
        <f>IFERROR(IF(F1843&lt;&gt;"pending","",IF(OR($B1843="",$B1843="(blank)"),"",VLOOKUP($B1843,'Email Marketing Raw Data'!$C:$O,10,0))),"")</f>
        <v/>
      </c>
      <c r="E1843" s="59" t="str">
        <f>IFERROR(IF(F1843&lt;&gt;"pending","",IF(OR($B1843="",$B1843="(blank)"),"",VLOOKUP($B1843,'Email Marketing Raw Data'!$C:$O,11,0))),"")</f>
        <v/>
      </c>
      <c r="F1843" s="54" t="str">
        <f>IFERROR(IF(OR($B1843="",$B1843="(blank)"),"",VLOOKUP($B1843,'Email Marketing Raw Data'!$C:$O,13,0)),"")</f>
        <v/>
      </c>
      <c r="G1843" s="55" t="str">
        <f>IFERROR(IF(OR($B1843="",$B1843="(blank)"),"",VLOOKUP($B1843,'Email Marketing Raw Data'!$C:$O,4,0)),"")</f>
        <v/>
      </c>
      <c r="H1843" s="55" t="str">
        <f>IFERROR(IF(OR($B1843="",$B1843="(blank)"),"",VLOOKUP($B1843,'Email Marketing Raw Data'!$C:$O,5,0)),"")</f>
        <v/>
      </c>
      <c r="I1843" s="55" t="str">
        <f>IFERROR(IF($G1843="","",VLOOKUP('Dashboard And Emails Automate'!$G1843,Database!$H:$N,3,0)),"")</f>
        <v/>
      </c>
      <c r="J1843" s="55" t="str">
        <f>IFERROR(IF($G1843="","",VLOOKUP('Dashboard And Emails Automate'!$G1843,Database!$H:$N,4,0)),"")</f>
        <v/>
      </c>
      <c r="K1843" s="55" t="str">
        <f>IFERROR(IF($G1843="","",VLOOKUP('Dashboard And Emails Automate'!$G1843,Database!$H:$N,5,0)),"")</f>
        <v/>
      </c>
      <c r="L1843" s="55" t="str">
        <f>IFERROR(IF($G1843="","",VLOOKUP('Dashboard And Emails Automate'!$G1843,Database!$H:$N,6,0)),"")</f>
        <v/>
      </c>
      <c r="M1843" s="55" t="str">
        <f>IFERROR(IF($G1843="","",VLOOKUP('Dashboard And Emails Automate'!$G1843,Database!$H:$N,7,0)),"")</f>
        <v/>
      </c>
      <c r="N1843" s="55" t="str">
        <f>IFERROR(IF(OR($B1843="",$B1843="(blank)"),"",VLOOKUP($B1843,'Email Marketing Raw Data'!$C:$O,6,0)),"")</f>
        <v/>
      </c>
      <c r="O1843" s="55" t="str">
        <f>IFERROR(IF(OR($B1843="",$B1843="(blank)"),"",VLOOKUP($B1843,'Email Marketing Raw Data'!$C:$O,7,0)),"")</f>
        <v/>
      </c>
      <c r="P1843" s="55" t="str">
        <f>IFERROR(IF(OR($B1843="",$B1843="(blank)"),"",VLOOKUP($B1843,'Email Marketing Raw Data'!$C:$O,8,0)),"")</f>
        <v/>
      </c>
      <c r="Q1843" s="62" t="str">
        <f>IFERROR(IF(OR($B1843="",$B1843="(blank)"),"",VLOOKUP($B1843,'Email Marketing Raw Data'!$C:$O,9,0)),"")</f>
        <v/>
      </c>
    </row>
    <row r="1844" spans="4:17" ht="12.75" customHeight="1" x14ac:dyDescent="0.2">
      <c r="D1844" s="58" t="str">
        <f>IFERROR(IF(F1844&lt;&gt;"pending","",IF(OR($B1844="",$B1844="(blank)"),"",VLOOKUP($B1844,'Email Marketing Raw Data'!$C:$O,10,0))),"")</f>
        <v/>
      </c>
      <c r="E1844" s="59" t="str">
        <f>IFERROR(IF(F1844&lt;&gt;"pending","",IF(OR($B1844="",$B1844="(blank)"),"",VLOOKUP($B1844,'Email Marketing Raw Data'!$C:$O,11,0))),"")</f>
        <v/>
      </c>
      <c r="F1844" s="54" t="str">
        <f>IFERROR(IF(OR($B1844="",$B1844="(blank)"),"",VLOOKUP($B1844,'Email Marketing Raw Data'!$C:$O,13,0)),"")</f>
        <v/>
      </c>
      <c r="G1844" s="55" t="str">
        <f>IFERROR(IF(OR($B1844="",$B1844="(blank)"),"",VLOOKUP($B1844,'Email Marketing Raw Data'!$C:$O,4,0)),"")</f>
        <v/>
      </c>
      <c r="H1844" s="55" t="str">
        <f>IFERROR(IF(OR($B1844="",$B1844="(blank)"),"",VLOOKUP($B1844,'Email Marketing Raw Data'!$C:$O,5,0)),"")</f>
        <v/>
      </c>
      <c r="I1844" s="55" t="str">
        <f>IFERROR(IF($G1844="","",VLOOKUP('Dashboard And Emails Automate'!$G1844,Database!$H:$N,3,0)),"")</f>
        <v/>
      </c>
      <c r="J1844" s="55" t="str">
        <f>IFERROR(IF($G1844="","",VLOOKUP('Dashboard And Emails Automate'!$G1844,Database!$H:$N,4,0)),"")</f>
        <v/>
      </c>
      <c r="K1844" s="55" t="str">
        <f>IFERROR(IF($G1844="","",VLOOKUP('Dashboard And Emails Automate'!$G1844,Database!$H:$N,5,0)),"")</f>
        <v/>
      </c>
      <c r="L1844" s="55" t="str">
        <f>IFERROR(IF($G1844="","",VLOOKUP('Dashboard And Emails Automate'!$G1844,Database!$H:$N,6,0)),"")</f>
        <v/>
      </c>
      <c r="M1844" s="55" t="str">
        <f>IFERROR(IF($G1844="","",VLOOKUP('Dashboard And Emails Automate'!$G1844,Database!$H:$N,7,0)),"")</f>
        <v/>
      </c>
      <c r="N1844" s="55" t="str">
        <f>IFERROR(IF(OR($B1844="",$B1844="(blank)"),"",VLOOKUP($B1844,'Email Marketing Raw Data'!$C:$O,6,0)),"")</f>
        <v/>
      </c>
      <c r="O1844" s="55" t="str">
        <f>IFERROR(IF(OR($B1844="",$B1844="(blank)"),"",VLOOKUP($B1844,'Email Marketing Raw Data'!$C:$O,7,0)),"")</f>
        <v/>
      </c>
      <c r="P1844" s="55" t="str">
        <f>IFERROR(IF(OR($B1844="",$B1844="(blank)"),"",VLOOKUP($B1844,'Email Marketing Raw Data'!$C:$O,8,0)),"")</f>
        <v/>
      </c>
      <c r="Q1844" s="62" t="str">
        <f>IFERROR(IF(OR($B1844="",$B1844="(blank)"),"",VLOOKUP($B1844,'Email Marketing Raw Data'!$C:$O,9,0)),"")</f>
        <v/>
      </c>
    </row>
    <row r="1845" spans="4:17" ht="12.75" customHeight="1" x14ac:dyDescent="0.2">
      <c r="D1845" s="58" t="str">
        <f>IFERROR(IF(F1845&lt;&gt;"pending","",IF(OR($B1845="",$B1845="(blank)"),"",VLOOKUP($B1845,'Email Marketing Raw Data'!$C:$O,10,0))),"")</f>
        <v/>
      </c>
      <c r="E1845" s="59" t="str">
        <f>IFERROR(IF(F1845&lt;&gt;"pending","",IF(OR($B1845="",$B1845="(blank)"),"",VLOOKUP($B1845,'Email Marketing Raw Data'!$C:$O,11,0))),"")</f>
        <v/>
      </c>
      <c r="F1845" s="54" t="str">
        <f>IFERROR(IF(OR($B1845="",$B1845="(blank)"),"",VLOOKUP($B1845,'Email Marketing Raw Data'!$C:$O,13,0)),"")</f>
        <v/>
      </c>
      <c r="G1845" s="55" t="str">
        <f>IFERROR(IF(OR($B1845="",$B1845="(blank)"),"",VLOOKUP($B1845,'Email Marketing Raw Data'!$C:$O,4,0)),"")</f>
        <v/>
      </c>
      <c r="H1845" s="55" t="str">
        <f>IFERROR(IF(OR($B1845="",$B1845="(blank)"),"",VLOOKUP($B1845,'Email Marketing Raw Data'!$C:$O,5,0)),"")</f>
        <v/>
      </c>
      <c r="I1845" s="55" t="str">
        <f>IFERROR(IF($G1845="","",VLOOKUP('Dashboard And Emails Automate'!$G1845,Database!$H:$N,3,0)),"")</f>
        <v/>
      </c>
      <c r="J1845" s="55" t="str">
        <f>IFERROR(IF($G1845="","",VLOOKUP('Dashboard And Emails Automate'!$G1845,Database!$H:$N,4,0)),"")</f>
        <v/>
      </c>
      <c r="K1845" s="55" t="str">
        <f>IFERROR(IF($G1845="","",VLOOKUP('Dashboard And Emails Automate'!$G1845,Database!$H:$N,5,0)),"")</f>
        <v/>
      </c>
      <c r="L1845" s="55" t="str">
        <f>IFERROR(IF($G1845="","",VLOOKUP('Dashboard And Emails Automate'!$G1845,Database!$H:$N,6,0)),"")</f>
        <v/>
      </c>
      <c r="M1845" s="55" t="str">
        <f>IFERROR(IF($G1845="","",VLOOKUP('Dashboard And Emails Automate'!$G1845,Database!$H:$N,7,0)),"")</f>
        <v/>
      </c>
      <c r="N1845" s="55" t="str">
        <f>IFERROR(IF(OR($B1845="",$B1845="(blank)"),"",VLOOKUP($B1845,'Email Marketing Raw Data'!$C:$O,6,0)),"")</f>
        <v/>
      </c>
      <c r="O1845" s="55" t="str">
        <f>IFERROR(IF(OR($B1845="",$B1845="(blank)"),"",VLOOKUP($B1845,'Email Marketing Raw Data'!$C:$O,7,0)),"")</f>
        <v/>
      </c>
      <c r="P1845" s="55" t="str">
        <f>IFERROR(IF(OR($B1845="",$B1845="(blank)"),"",VLOOKUP($B1845,'Email Marketing Raw Data'!$C:$O,8,0)),"")</f>
        <v/>
      </c>
      <c r="Q1845" s="62" t="str">
        <f>IFERROR(IF(OR($B1845="",$B1845="(blank)"),"",VLOOKUP($B1845,'Email Marketing Raw Data'!$C:$O,9,0)),"")</f>
        <v/>
      </c>
    </row>
    <row r="1846" spans="4:17" ht="12.75" customHeight="1" x14ac:dyDescent="0.2">
      <c r="D1846" s="58" t="str">
        <f>IFERROR(IF(F1846&lt;&gt;"pending","",IF(OR($B1846="",$B1846="(blank)"),"",VLOOKUP($B1846,'Email Marketing Raw Data'!$C:$O,10,0))),"")</f>
        <v/>
      </c>
      <c r="E1846" s="59" t="str">
        <f>IFERROR(IF(F1846&lt;&gt;"pending","",IF(OR($B1846="",$B1846="(blank)"),"",VLOOKUP($B1846,'Email Marketing Raw Data'!$C:$O,11,0))),"")</f>
        <v/>
      </c>
      <c r="F1846" s="54" t="str">
        <f>IFERROR(IF(OR($B1846="",$B1846="(blank)"),"",VLOOKUP($B1846,'Email Marketing Raw Data'!$C:$O,13,0)),"")</f>
        <v/>
      </c>
      <c r="G1846" s="55" t="str">
        <f>IFERROR(IF(OR($B1846="",$B1846="(blank)"),"",VLOOKUP($B1846,'Email Marketing Raw Data'!$C:$O,4,0)),"")</f>
        <v/>
      </c>
      <c r="H1846" s="55" t="str">
        <f>IFERROR(IF(OR($B1846="",$B1846="(blank)"),"",VLOOKUP($B1846,'Email Marketing Raw Data'!$C:$O,5,0)),"")</f>
        <v/>
      </c>
      <c r="I1846" s="55" t="str">
        <f>IFERROR(IF($G1846="","",VLOOKUP('Dashboard And Emails Automate'!$G1846,Database!$H:$N,3,0)),"")</f>
        <v/>
      </c>
      <c r="J1846" s="55" t="str">
        <f>IFERROR(IF($G1846="","",VLOOKUP('Dashboard And Emails Automate'!$G1846,Database!$H:$N,4,0)),"")</f>
        <v/>
      </c>
      <c r="K1846" s="55" t="str">
        <f>IFERROR(IF($G1846="","",VLOOKUP('Dashboard And Emails Automate'!$G1846,Database!$H:$N,5,0)),"")</f>
        <v/>
      </c>
      <c r="L1846" s="55" t="str">
        <f>IFERROR(IF($G1846="","",VLOOKUP('Dashboard And Emails Automate'!$G1846,Database!$H:$N,6,0)),"")</f>
        <v/>
      </c>
      <c r="M1846" s="55" t="str">
        <f>IFERROR(IF($G1846="","",VLOOKUP('Dashboard And Emails Automate'!$G1846,Database!$H:$N,7,0)),"")</f>
        <v/>
      </c>
      <c r="N1846" s="55" t="str">
        <f>IFERROR(IF(OR($B1846="",$B1846="(blank)"),"",VLOOKUP($B1846,'Email Marketing Raw Data'!$C:$O,6,0)),"")</f>
        <v/>
      </c>
      <c r="O1846" s="55" t="str">
        <f>IFERROR(IF(OR($B1846="",$B1846="(blank)"),"",VLOOKUP($B1846,'Email Marketing Raw Data'!$C:$O,7,0)),"")</f>
        <v/>
      </c>
      <c r="P1846" s="55" t="str">
        <f>IFERROR(IF(OR($B1846="",$B1846="(blank)"),"",VLOOKUP($B1846,'Email Marketing Raw Data'!$C:$O,8,0)),"")</f>
        <v/>
      </c>
      <c r="Q1846" s="62" t="str">
        <f>IFERROR(IF(OR($B1846="",$B1846="(blank)"),"",VLOOKUP($B1846,'Email Marketing Raw Data'!$C:$O,9,0)),"")</f>
        <v/>
      </c>
    </row>
    <row r="1847" spans="4:17" ht="12.75" customHeight="1" x14ac:dyDescent="0.2">
      <c r="D1847" s="58" t="str">
        <f>IFERROR(IF(F1847&lt;&gt;"pending","",IF(OR($B1847="",$B1847="(blank)"),"",VLOOKUP($B1847,'Email Marketing Raw Data'!$C:$O,10,0))),"")</f>
        <v/>
      </c>
      <c r="E1847" s="59" t="str">
        <f>IFERROR(IF(F1847&lt;&gt;"pending","",IF(OR($B1847="",$B1847="(blank)"),"",VLOOKUP($B1847,'Email Marketing Raw Data'!$C:$O,11,0))),"")</f>
        <v/>
      </c>
      <c r="F1847" s="54" t="str">
        <f>IFERROR(IF(OR($B1847="",$B1847="(blank)"),"",VLOOKUP($B1847,'Email Marketing Raw Data'!$C:$O,13,0)),"")</f>
        <v/>
      </c>
      <c r="G1847" s="55" t="str">
        <f>IFERROR(IF(OR($B1847="",$B1847="(blank)"),"",VLOOKUP($B1847,'Email Marketing Raw Data'!$C:$O,4,0)),"")</f>
        <v/>
      </c>
      <c r="H1847" s="55" t="str">
        <f>IFERROR(IF(OR($B1847="",$B1847="(blank)"),"",VLOOKUP($B1847,'Email Marketing Raw Data'!$C:$O,5,0)),"")</f>
        <v/>
      </c>
      <c r="I1847" s="55" t="str">
        <f>IFERROR(IF($G1847="","",VLOOKUP('Dashboard And Emails Automate'!$G1847,Database!$H:$N,3,0)),"")</f>
        <v/>
      </c>
      <c r="J1847" s="55" t="str">
        <f>IFERROR(IF($G1847="","",VLOOKUP('Dashboard And Emails Automate'!$G1847,Database!$H:$N,4,0)),"")</f>
        <v/>
      </c>
      <c r="K1847" s="55" t="str">
        <f>IFERROR(IF($G1847="","",VLOOKUP('Dashboard And Emails Automate'!$G1847,Database!$H:$N,5,0)),"")</f>
        <v/>
      </c>
      <c r="L1847" s="55" t="str">
        <f>IFERROR(IF($G1847="","",VLOOKUP('Dashboard And Emails Automate'!$G1847,Database!$H:$N,6,0)),"")</f>
        <v/>
      </c>
      <c r="M1847" s="55" t="str">
        <f>IFERROR(IF($G1847="","",VLOOKUP('Dashboard And Emails Automate'!$G1847,Database!$H:$N,7,0)),"")</f>
        <v/>
      </c>
      <c r="N1847" s="55" t="str">
        <f>IFERROR(IF(OR($B1847="",$B1847="(blank)"),"",VLOOKUP($B1847,'Email Marketing Raw Data'!$C:$O,6,0)),"")</f>
        <v/>
      </c>
      <c r="O1847" s="55" t="str">
        <f>IFERROR(IF(OR($B1847="",$B1847="(blank)"),"",VLOOKUP($B1847,'Email Marketing Raw Data'!$C:$O,7,0)),"")</f>
        <v/>
      </c>
      <c r="P1847" s="55" t="str">
        <f>IFERROR(IF(OR($B1847="",$B1847="(blank)"),"",VLOOKUP($B1847,'Email Marketing Raw Data'!$C:$O,8,0)),"")</f>
        <v/>
      </c>
      <c r="Q1847" s="62" t="str">
        <f>IFERROR(IF(OR($B1847="",$B1847="(blank)"),"",VLOOKUP($B1847,'Email Marketing Raw Data'!$C:$O,9,0)),"")</f>
        <v/>
      </c>
    </row>
    <row r="1848" spans="4:17" ht="12.75" customHeight="1" x14ac:dyDescent="0.2">
      <c r="D1848" s="58" t="str">
        <f>IFERROR(IF(F1848&lt;&gt;"pending","",IF(OR($B1848="",$B1848="(blank)"),"",VLOOKUP($B1848,'Email Marketing Raw Data'!$C:$O,10,0))),"")</f>
        <v/>
      </c>
      <c r="E1848" s="59" t="str">
        <f>IFERROR(IF(F1848&lt;&gt;"pending","",IF(OR($B1848="",$B1848="(blank)"),"",VLOOKUP($B1848,'Email Marketing Raw Data'!$C:$O,11,0))),"")</f>
        <v/>
      </c>
      <c r="F1848" s="54" t="str">
        <f>IFERROR(IF(OR($B1848="",$B1848="(blank)"),"",VLOOKUP($B1848,'Email Marketing Raw Data'!$C:$O,13,0)),"")</f>
        <v/>
      </c>
      <c r="G1848" s="55" t="str">
        <f>IFERROR(IF(OR($B1848="",$B1848="(blank)"),"",VLOOKUP($B1848,'Email Marketing Raw Data'!$C:$O,4,0)),"")</f>
        <v/>
      </c>
      <c r="H1848" s="55" t="str">
        <f>IFERROR(IF(OR($B1848="",$B1848="(blank)"),"",VLOOKUP($B1848,'Email Marketing Raw Data'!$C:$O,5,0)),"")</f>
        <v/>
      </c>
      <c r="I1848" s="55" t="str">
        <f>IFERROR(IF($G1848="","",VLOOKUP('Dashboard And Emails Automate'!$G1848,Database!$H:$N,3,0)),"")</f>
        <v/>
      </c>
      <c r="J1848" s="55" t="str">
        <f>IFERROR(IF($G1848="","",VLOOKUP('Dashboard And Emails Automate'!$G1848,Database!$H:$N,4,0)),"")</f>
        <v/>
      </c>
      <c r="K1848" s="55" t="str">
        <f>IFERROR(IF($G1848="","",VLOOKUP('Dashboard And Emails Automate'!$G1848,Database!$H:$N,5,0)),"")</f>
        <v/>
      </c>
      <c r="L1848" s="55" t="str">
        <f>IFERROR(IF($G1848="","",VLOOKUP('Dashboard And Emails Automate'!$G1848,Database!$H:$N,6,0)),"")</f>
        <v/>
      </c>
      <c r="M1848" s="55" t="str">
        <f>IFERROR(IF($G1848="","",VLOOKUP('Dashboard And Emails Automate'!$G1848,Database!$H:$N,7,0)),"")</f>
        <v/>
      </c>
      <c r="N1848" s="55" t="str">
        <f>IFERROR(IF(OR($B1848="",$B1848="(blank)"),"",VLOOKUP($B1848,'Email Marketing Raw Data'!$C:$O,6,0)),"")</f>
        <v/>
      </c>
      <c r="O1848" s="55" t="str">
        <f>IFERROR(IF(OR($B1848="",$B1848="(blank)"),"",VLOOKUP($B1848,'Email Marketing Raw Data'!$C:$O,7,0)),"")</f>
        <v/>
      </c>
      <c r="P1848" s="55" t="str">
        <f>IFERROR(IF(OR($B1848="",$B1848="(blank)"),"",VLOOKUP($B1848,'Email Marketing Raw Data'!$C:$O,8,0)),"")</f>
        <v/>
      </c>
      <c r="Q1848" s="62" t="str">
        <f>IFERROR(IF(OR($B1848="",$B1848="(blank)"),"",VLOOKUP($B1848,'Email Marketing Raw Data'!$C:$O,9,0)),"")</f>
        <v/>
      </c>
    </row>
    <row r="1849" spans="4:17" ht="12.75" customHeight="1" x14ac:dyDescent="0.2">
      <c r="D1849" s="58" t="str">
        <f>IFERROR(IF(F1849&lt;&gt;"pending","",IF(OR($B1849="",$B1849="(blank)"),"",VLOOKUP($B1849,'Email Marketing Raw Data'!$C:$O,10,0))),"")</f>
        <v/>
      </c>
      <c r="E1849" s="59" t="str">
        <f>IFERROR(IF(F1849&lt;&gt;"pending","",IF(OR($B1849="",$B1849="(blank)"),"",VLOOKUP($B1849,'Email Marketing Raw Data'!$C:$O,11,0))),"")</f>
        <v/>
      </c>
      <c r="F1849" s="54" t="str">
        <f>IFERROR(IF(OR($B1849="",$B1849="(blank)"),"",VLOOKUP($B1849,'Email Marketing Raw Data'!$C:$O,13,0)),"")</f>
        <v/>
      </c>
      <c r="G1849" s="55" t="str">
        <f>IFERROR(IF(OR($B1849="",$B1849="(blank)"),"",VLOOKUP($B1849,'Email Marketing Raw Data'!$C:$O,4,0)),"")</f>
        <v/>
      </c>
      <c r="H1849" s="55" t="str">
        <f>IFERROR(IF(OR($B1849="",$B1849="(blank)"),"",VLOOKUP($B1849,'Email Marketing Raw Data'!$C:$O,5,0)),"")</f>
        <v/>
      </c>
      <c r="I1849" s="55" t="str">
        <f>IFERROR(IF($G1849="","",VLOOKUP('Dashboard And Emails Automate'!$G1849,Database!$H:$N,3,0)),"")</f>
        <v/>
      </c>
      <c r="J1849" s="55" t="str">
        <f>IFERROR(IF($G1849="","",VLOOKUP('Dashboard And Emails Automate'!$G1849,Database!$H:$N,4,0)),"")</f>
        <v/>
      </c>
      <c r="K1849" s="55" t="str">
        <f>IFERROR(IF($G1849="","",VLOOKUP('Dashboard And Emails Automate'!$G1849,Database!$H:$N,5,0)),"")</f>
        <v/>
      </c>
      <c r="L1849" s="55" t="str">
        <f>IFERROR(IF($G1849="","",VLOOKUP('Dashboard And Emails Automate'!$G1849,Database!$H:$N,6,0)),"")</f>
        <v/>
      </c>
      <c r="M1849" s="55" t="str">
        <f>IFERROR(IF($G1849="","",VLOOKUP('Dashboard And Emails Automate'!$G1849,Database!$H:$N,7,0)),"")</f>
        <v/>
      </c>
      <c r="N1849" s="55" t="str">
        <f>IFERROR(IF(OR($B1849="",$B1849="(blank)"),"",VLOOKUP($B1849,'Email Marketing Raw Data'!$C:$O,6,0)),"")</f>
        <v/>
      </c>
      <c r="O1849" s="55" t="str">
        <f>IFERROR(IF(OR($B1849="",$B1849="(blank)"),"",VLOOKUP($B1849,'Email Marketing Raw Data'!$C:$O,7,0)),"")</f>
        <v/>
      </c>
      <c r="P1849" s="55" t="str">
        <f>IFERROR(IF(OR($B1849="",$B1849="(blank)"),"",VLOOKUP($B1849,'Email Marketing Raw Data'!$C:$O,8,0)),"")</f>
        <v/>
      </c>
      <c r="Q1849" s="62" t="str">
        <f>IFERROR(IF(OR($B1849="",$B1849="(blank)"),"",VLOOKUP($B1849,'Email Marketing Raw Data'!$C:$O,9,0)),"")</f>
        <v/>
      </c>
    </row>
    <row r="1850" spans="4:17" ht="12.75" customHeight="1" x14ac:dyDescent="0.2">
      <c r="D1850" s="58" t="str">
        <f>IFERROR(IF(F1850&lt;&gt;"pending","",IF(OR($B1850="",$B1850="(blank)"),"",VLOOKUP($B1850,'Email Marketing Raw Data'!$C:$O,10,0))),"")</f>
        <v/>
      </c>
      <c r="E1850" s="59" t="str">
        <f>IFERROR(IF(F1850&lt;&gt;"pending","",IF(OR($B1850="",$B1850="(blank)"),"",VLOOKUP($B1850,'Email Marketing Raw Data'!$C:$O,11,0))),"")</f>
        <v/>
      </c>
      <c r="F1850" s="54" t="str">
        <f>IFERROR(IF(OR($B1850="",$B1850="(blank)"),"",VLOOKUP($B1850,'Email Marketing Raw Data'!$C:$O,13,0)),"")</f>
        <v/>
      </c>
      <c r="G1850" s="55" t="str">
        <f>IFERROR(IF(OR($B1850="",$B1850="(blank)"),"",VLOOKUP($B1850,'Email Marketing Raw Data'!$C:$O,4,0)),"")</f>
        <v/>
      </c>
      <c r="H1850" s="55" t="str">
        <f>IFERROR(IF(OR($B1850="",$B1850="(blank)"),"",VLOOKUP($B1850,'Email Marketing Raw Data'!$C:$O,5,0)),"")</f>
        <v/>
      </c>
      <c r="I1850" s="55" t="str">
        <f>IFERROR(IF($G1850="","",VLOOKUP('Dashboard And Emails Automate'!$G1850,Database!$H:$N,3,0)),"")</f>
        <v/>
      </c>
      <c r="J1850" s="55" t="str">
        <f>IFERROR(IF($G1850="","",VLOOKUP('Dashboard And Emails Automate'!$G1850,Database!$H:$N,4,0)),"")</f>
        <v/>
      </c>
      <c r="K1850" s="55" t="str">
        <f>IFERROR(IF($G1850="","",VLOOKUP('Dashboard And Emails Automate'!$G1850,Database!$H:$N,5,0)),"")</f>
        <v/>
      </c>
      <c r="L1850" s="55" t="str">
        <f>IFERROR(IF($G1850="","",VLOOKUP('Dashboard And Emails Automate'!$G1850,Database!$H:$N,6,0)),"")</f>
        <v/>
      </c>
      <c r="M1850" s="55" t="str">
        <f>IFERROR(IF($G1850="","",VLOOKUP('Dashboard And Emails Automate'!$G1850,Database!$H:$N,7,0)),"")</f>
        <v/>
      </c>
      <c r="N1850" s="55" t="str">
        <f>IFERROR(IF(OR($B1850="",$B1850="(blank)"),"",VLOOKUP($B1850,'Email Marketing Raw Data'!$C:$O,6,0)),"")</f>
        <v/>
      </c>
      <c r="O1850" s="55" t="str">
        <f>IFERROR(IF(OR($B1850="",$B1850="(blank)"),"",VLOOKUP($B1850,'Email Marketing Raw Data'!$C:$O,7,0)),"")</f>
        <v/>
      </c>
      <c r="P1850" s="55" t="str">
        <f>IFERROR(IF(OR($B1850="",$B1850="(blank)"),"",VLOOKUP($B1850,'Email Marketing Raw Data'!$C:$O,8,0)),"")</f>
        <v/>
      </c>
      <c r="Q1850" s="62" t="str">
        <f>IFERROR(IF(OR($B1850="",$B1850="(blank)"),"",VLOOKUP($B1850,'Email Marketing Raw Data'!$C:$O,9,0)),"")</f>
        <v/>
      </c>
    </row>
    <row r="1851" spans="4:17" ht="12.75" customHeight="1" x14ac:dyDescent="0.2">
      <c r="D1851" s="58" t="str">
        <f>IFERROR(IF(F1851&lt;&gt;"pending","",IF(OR($B1851="",$B1851="(blank)"),"",VLOOKUP($B1851,'Email Marketing Raw Data'!$C:$O,10,0))),"")</f>
        <v/>
      </c>
      <c r="E1851" s="59" t="str">
        <f>IFERROR(IF(F1851&lt;&gt;"pending","",IF(OR($B1851="",$B1851="(blank)"),"",VLOOKUP($B1851,'Email Marketing Raw Data'!$C:$O,11,0))),"")</f>
        <v/>
      </c>
      <c r="F1851" s="54" t="str">
        <f>IFERROR(IF(OR($B1851="",$B1851="(blank)"),"",VLOOKUP($B1851,'Email Marketing Raw Data'!$C:$O,13,0)),"")</f>
        <v/>
      </c>
      <c r="G1851" s="55" t="str">
        <f>IFERROR(IF(OR($B1851="",$B1851="(blank)"),"",VLOOKUP($B1851,'Email Marketing Raw Data'!$C:$O,4,0)),"")</f>
        <v/>
      </c>
      <c r="H1851" s="55" t="str">
        <f>IFERROR(IF(OR($B1851="",$B1851="(blank)"),"",VLOOKUP($B1851,'Email Marketing Raw Data'!$C:$O,5,0)),"")</f>
        <v/>
      </c>
      <c r="I1851" s="55" t="str">
        <f>IFERROR(IF($G1851="","",VLOOKUP('Dashboard And Emails Automate'!$G1851,Database!$H:$N,3,0)),"")</f>
        <v/>
      </c>
      <c r="J1851" s="55" t="str">
        <f>IFERROR(IF($G1851="","",VLOOKUP('Dashboard And Emails Automate'!$G1851,Database!$H:$N,4,0)),"")</f>
        <v/>
      </c>
      <c r="K1851" s="55" t="str">
        <f>IFERROR(IF($G1851="","",VLOOKUP('Dashboard And Emails Automate'!$G1851,Database!$H:$N,5,0)),"")</f>
        <v/>
      </c>
      <c r="L1851" s="55" t="str">
        <f>IFERROR(IF($G1851="","",VLOOKUP('Dashboard And Emails Automate'!$G1851,Database!$H:$N,6,0)),"")</f>
        <v/>
      </c>
      <c r="M1851" s="55" t="str">
        <f>IFERROR(IF($G1851="","",VLOOKUP('Dashboard And Emails Automate'!$G1851,Database!$H:$N,7,0)),"")</f>
        <v/>
      </c>
      <c r="N1851" s="55" t="str">
        <f>IFERROR(IF(OR($B1851="",$B1851="(blank)"),"",VLOOKUP($B1851,'Email Marketing Raw Data'!$C:$O,6,0)),"")</f>
        <v/>
      </c>
      <c r="O1851" s="55" t="str">
        <f>IFERROR(IF(OR($B1851="",$B1851="(blank)"),"",VLOOKUP($B1851,'Email Marketing Raw Data'!$C:$O,7,0)),"")</f>
        <v/>
      </c>
      <c r="P1851" s="55" t="str">
        <f>IFERROR(IF(OR($B1851="",$B1851="(blank)"),"",VLOOKUP($B1851,'Email Marketing Raw Data'!$C:$O,8,0)),"")</f>
        <v/>
      </c>
      <c r="Q1851" s="62" t="str">
        <f>IFERROR(IF(OR($B1851="",$B1851="(blank)"),"",VLOOKUP($B1851,'Email Marketing Raw Data'!$C:$O,9,0)),"")</f>
        <v/>
      </c>
    </row>
    <row r="1852" spans="4:17" ht="12.75" customHeight="1" x14ac:dyDescent="0.2">
      <c r="D1852" s="58" t="str">
        <f>IFERROR(IF(F1852&lt;&gt;"pending","",IF(OR($B1852="",$B1852="(blank)"),"",VLOOKUP($B1852,'Email Marketing Raw Data'!$C:$O,10,0))),"")</f>
        <v/>
      </c>
      <c r="E1852" s="59" t="str">
        <f>IFERROR(IF(F1852&lt;&gt;"pending","",IF(OR($B1852="",$B1852="(blank)"),"",VLOOKUP($B1852,'Email Marketing Raw Data'!$C:$O,11,0))),"")</f>
        <v/>
      </c>
      <c r="F1852" s="54" t="str">
        <f>IFERROR(IF(OR($B1852="",$B1852="(blank)"),"",VLOOKUP($B1852,'Email Marketing Raw Data'!$C:$O,13,0)),"")</f>
        <v/>
      </c>
      <c r="G1852" s="55" t="str">
        <f>IFERROR(IF(OR($B1852="",$B1852="(blank)"),"",VLOOKUP($B1852,'Email Marketing Raw Data'!$C:$O,4,0)),"")</f>
        <v/>
      </c>
      <c r="H1852" s="55" t="str">
        <f>IFERROR(IF(OR($B1852="",$B1852="(blank)"),"",VLOOKUP($B1852,'Email Marketing Raw Data'!$C:$O,5,0)),"")</f>
        <v/>
      </c>
      <c r="I1852" s="55" t="str">
        <f>IFERROR(IF($G1852="","",VLOOKUP('Dashboard And Emails Automate'!$G1852,Database!$H:$N,3,0)),"")</f>
        <v/>
      </c>
      <c r="J1852" s="55" t="str">
        <f>IFERROR(IF($G1852="","",VLOOKUP('Dashboard And Emails Automate'!$G1852,Database!$H:$N,4,0)),"")</f>
        <v/>
      </c>
      <c r="K1852" s="55" t="str">
        <f>IFERROR(IF($G1852="","",VLOOKUP('Dashboard And Emails Automate'!$G1852,Database!$H:$N,5,0)),"")</f>
        <v/>
      </c>
      <c r="L1852" s="55" t="str">
        <f>IFERROR(IF($G1852="","",VLOOKUP('Dashboard And Emails Automate'!$G1852,Database!$H:$N,6,0)),"")</f>
        <v/>
      </c>
      <c r="M1852" s="55" t="str">
        <f>IFERROR(IF($G1852="","",VLOOKUP('Dashboard And Emails Automate'!$G1852,Database!$H:$N,7,0)),"")</f>
        <v/>
      </c>
      <c r="N1852" s="55" t="str">
        <f>IFERROR(IF(OR($B1852="",$B1852="(blank)"),"",VLOOKUP($B1852,'Email Marketing Raw Data'!$C:$O,6,0)),"")</f>
        <v/>
      </c>
      <c r="O1852" s="55" t="str">
        <f>IFERROR(IF(OR($B1852="",$B1852="(blank)"),"",VLOOKUP($B1852,'Email Marketing Raw Data'!$C:$O,7,0)),"")</f>
        <v/>
      </c>
      <c r="P1852" s="55" t="str">
        <f>IFERROR(IF(OR($B1852="",$B1852="(blank)"),"",VLOOKUP($B1852,'Email Marketing Raw Data'!$C:$O,8,0)),"")</f>
        <v/>
      </c>
      <c r="Q1852" s="62" t="str">
        <f>IFERROR(IF(OR($B1852="",$B1852="(blank)"),"",VLOOKUP($B1852,'Email Marketing Raw Data'!$C:$O,9,0)),"")</f>
        <v/>
      </c>
    </row>
    <row r="1853" spans="4:17" ht="12.75" customHeight="1" x14ac:dyDescent="0.2">
      <c r="D1853" s="58" t="str">
        <f>IFERROR(IF(F1853&lt;&gt;"pending","",IF(OR($B1853="",$B1853="(blank)"),"",VLOOKUP($B1853,'Email Marketing Raw Data'!$C:$O,10,0))),"")</f>
        <v/>
      </c>
      <c r="E1853" s="59" t="str">
        <f>IFERROR(IF(F1853&lt;&gt;"pending","",IF(OR($B1853="",$B1853="(blank)"),"",VLOOKUP($B1853,'Email Marketing Raw Data'!$C:$O,11,0))),"")</f>
        <v/>
      </c>
      <c r="F1853" s="54" t="str">
        <f>IFERROR(IF(OR($B1853="",$B1853="(blank)"),"",VLOOKUP($B1853,'Email Marketing Raw Data'!$C:$O,13,0)),"")</f>
        <v/>
      </c>
      <c r="G1853" s="55" t="str">
        <f>IFERROR(IF(OR($B1853="",$B1853="(blank)"),"",VLOOKUP($B1853,'Email Marketing Raw Data'!$C:$O,4,0)),"")</f>
        <v/>
      </c>
      <c r="H1853" s="55" t="str">
        <f>IFERROR(IF(OR($B1853="",$B1853="(blank)"),"",VLOOKUP($B1853,'Email Marketing Raw Data'!$C:$O,5,0)),"")</f>
        <v/>
      </c>
      <c r="I1853" s="55" t="str">
        <f>IFERROR(IF($G1853="","",VLOOKUP('Dashboard And Emails Automate'!$G1853,Database!$H:$N,3,0)),"")</f>
        <v/>
      </c>
      <c r="J1853" s="55" t="str">
        <f>IFERROR(IF($G1853="","",VLOOKUP('Dashboard And Emails Automate'!$G1853,Database!$H:$N,4,0)),"")</f>
        <v/>
      </c>
      <c r="K1853" s="55" t="str">
        <f>IFERROR(IF($G1853="","",VLOOKUP('Dashboard And Emails Automate'!$G1853,Database!$H:$N,5,0)),"")</f>
        <v/>
      </c>
      <c r="L1853" s="55" t="str">
        <f>IFERROR(IF($G1853="","",VLOOKUP('Dashboard And Emails Automate'!$G1853,Database!$H:$N,6,0)),"")</f>
        <v/>
      </c>
      <c r="M1853" s="55" t="str">
        <f>IFERROR(IF($G1853="","",VLOOKUP('Dashboard And Emails Automate'!$G1853,Database!$H:$N,7,0)),"")</f>
        <v/>
      </c>
      <c r="N1853" s="55" t="str">
        <f>IFERROR(IF(OR($B1853="",$B1853="(blank)"),"",VLOOKUP($B1853,'Email Marketing Raw Data'!$C:$O,6,0)),"")</f>
        <v/>
      </c>
      <c r="O1853" s="55" t="str">
        <f>IFERROR(IF(OR($B1853="",$B1853="(blank)"),"",VLOOKUP($B1853,'Email Marketing Raw Data'!$C:$O,7,0)),"")</f>
        <v/>
      </c>
      <c r="P1853" s="55" t="str">
        <f>IFERROR(IF(OR($B1853="",$B1853="(blank)"),"",VLOOKUP($B1853,'Email Marketing Raw Data'!$C:$O,8,0)),"")</f>
        <v/>
      </c>
      <c r="Q1853" s="62" t="str">
        <f>IFERROR(IF(OR($B1853="",$B1853="(blank)"),"",VLOOKUP($B1853,'Email Marketing Raw Data'!$C:$O,9,0)),"")</f>
        <v/>
      </c>
    </row>
    <row r="1854" spans="4:17" ht="12.75" customHeight="1" x14ac:dyDescent="0.2">
      <c r="D1854" s="58" t="str">
        <f>IFERROR(IF(F1854&lt;&gt;"pending","",IF(OR($B1854="",$B1854="(blank)"),"",VLOOKUP($B1854,'Email Marketing Raw Data'!$C:$O,10,0))),"")</f>
        <v/>
      </c>
      <c r="E1854" s="59" t="str">
        <f>IFERROR(IF(F1854&lt;&gt;"pending","",IF(OR($B1854="",$B1854="(blank)"),"",VLOOKUP($B1854,'Email Marketing Raw Data'!$C:$O,11,0))),"")</f>
        <v/>
      </c>
      <c r="F1854" s="54" t="str">
        <f>IFERROR(IF(OR($B1854="",$B1854="(blank)"),"",VLOOKUP($B1854,'Email Marketing Raw Data'!$C:$O,13,0)),"")</f>
        <v/>
      </c>
      <c r="G1854" s="55" t="str">
        <f>IFERROR(IF(OR($B1854="",$B1854="(blank)"),"",VLOOKUP($B1854,'Email Marketing Raw Data'!$C:$O,4,0)),"")</f>
        <v/>
      </c>
      <c r="H1854" s="55" t="str">
        <f>IFERROR(IF(OR($B1854="",$B1854="(blank)"),"",VLOOKUP($B1854,'Email Marketing Raw Data'!$C:$O,5,0)),"")</f>
        <v/>
      </c>
      <c r="I1854" s="55" t="str">
        <f>IFERROR(IF($G1854="","",VLOOKUP('Dashboard And Emails Automate'!$G1854,Database!$H:$N,3,0)),"")</f>
        <v/>
      </c>
      <c r="J1854" s="55" t="str">
        <f>IFERROR(IF($G1854="","",VLOOKUP('Dashboard And Emails Automate'!$G1854,Database!$H:$N,4,0)),"")</f>
        <v/>
      </c>
      <c r="K1854" s="55" t="str">
        <f>IFERROR(IF($G1854="","",VLOOKUP('Dashboard And Emails Automate'!$G1854,Database!$H:$N,5,0)),"")</f>
        <v/>
      </c>
      <c r="L1854" s="55" t="str">
        <f>IFERROR(IF($G1854="","",VLOOKUP('Dashboard And Emails Automate'!$G1854,Database!$H:$N,6,0)),"")</f>
        <v/>
      </c>
      <c r="M1854" s="55" t="str">
        <f>IFERROR(IF($G1854="","",VLOOKUP('Dashboard And Emails Automate'!$G1854,Database!$H:$N,7,0)),"")</f>
        <v/>
      </c>
      <c r="N1854" s="55" t="str">
        <f>IFERROR(IF(OR($B1854="",$B1854="(blank)"),"",VLOOKUP($B1854,'Email Marketing Raw Data'!$C:$O,6,0)),"")</f>
        <v/>
      </c>
      <c r="O1854" s="55" t="str">
        <f>IFERROR(IF(OR($B1854="",$B1854="(blank)"),"",VLOOKUP($B1854,'Email Marketing Raw Data'!$C:$O,7,0)),"")</f>
        <v/>
      </c>
      <c r="P1854" s="55" t="str">
        <f>IFERROR(IF(OR($B1854="",$B1854="(blank)"),"",VLOOKUP($B1854,'Email Marketing Raw Data'!$C:$O,8,0)),"")</f>
        <v/>
      </c>
      <c r="Q1854" s="62" t="str">
        <f>IFERROR(IF(OR($B1854="",$B1854="(blank)"),"",VLOOKUP($B1854,'Email Marketing Raw Data'!$C:$O,9,0)),"")</f>
        <v/>
      </c>
    </row>
    <row r="1855" spans="4:17" ht="12.75" customHeight="1" x14ac:dyDescent="0.2">
      <c r="D1855" s="58" t="str">
        <f>IFERROR(IF(F1855&lt;&gt;"pending","",IF(OR($B1855="",$B1855="(blank)"),"",VLOOKUP($B1855,'Email Marketing Raw Data'!$C:$O,10,0))),"")</f>
        <v/>
      </c>
      <c r="E1855" s="59" t="str">
        <f>IFERROR(IF(F1855&lt;&gt;"pending","",IF(OR($B1855="",$B1855="(blank)"),"",VLOOKUP($B1855,'Email Marketing Raw Data'!$C:$O,11,0))),"")</f>
        <v/>
      </c>
      <c r="F1855" s="54" t="str">
        <f>IFERROR(IF(OR($B1855="",$B1855="(blank)"),"",VLOOKUP($B1855,'Email Marketing Raw Data'!$C:$O,13,0)),"")</f>
        <v/>
      </c>
      <c r="G1855" s="55" t="str">
        <f>IFERROR(IF(OR($B1855="",$B1855="(blank)"),"",VLOOKUP($B1855,'Email Marketing Raw Data'!$C:$O,4,0)),"")</f>
        <v/>
      </c>
      <c r="H1855" s="55" t="str">
        <f>IFERROR(IF(OR($B1855="",$B1855="(blank)"),"",VLOOKUP($B1855,'Email Marketing Raw Data'!$C:$O,5,0)),"")</f>
        <v/>
      </c>
      <c r="I1855" s="55" t="str">
        <f>IFERROR(IF($G1855="","",VLOOKUP('Dashboard And Emails Automate'!$G1855,Database!$H:$N,3,0)),"")</f>
        <v/>
      </c>
      <c r="J1855" s="55" t="str">
        <f>IFERROR(IF($G1855="","",VLOOKUP('Dashboard And Emails Automate'!$G1855,Database!$H:$N,4,0)),"")</f>
        <v/>
      </c>
      <c r="K1855" s="55" t="str">
        <f>IFERROR(IF($G1855="","",VLOOKUP('Dashboard And Emails Automate'!$G1855,Database!$H:$N,5,0)),"")</f>
        <v/>
      </c>
      <c r="L1855" s="55" t="str">
        <f>IFERROR(IF($G1855="","",VLOOKUP('Dashboard And Emails Automate'!$G1855,Database!$H:$N,6,0)),"")</f>
        <v/>
      </c>
      <c r="M1855" s="55" t="str">
        <f>IFERROR(IF($G1855="","",VLOOKUP('Dashboard And Emails Automate'!$G1855,Database!$H:$N,7,0)),"")</f>
        <v/>
      </c>
      <c r="N1855" s="55" t="str">
        <f>IFERROR(IF(OR($B1855="",$B1855="(blank)"),"",VLOOKUP($B1855,'Email Marketing Raw Data'!$C:$O,6,0)),"")</f>
        <v/>
      </c>
      <c r="O1855" s="55" t="str">
        <f>IFERROR(IF(OR($B1855="",$B1855="(blank)"),"",VLOOKUP($B1855,'Email Marketing Raw Data'!$C:$O,7,0)),"")</f>
        <v/>
      </c>
      <c r="P1855" s="55" t="str">
        <f>IFERROR(IF(OR($B1855="",$B1855="(blank)"),"",VLOOKUP($B1855,'Email Marketing Raw Data'!$C:$O,8,0)),"")</f>
        <v/>
      </c>
      <c r="Q1855" s="62" t="str">
        <f>IFERROR(IF(OR($B1855="",$B1855="(blank)"),"",VLOOKUP($B1855,'Email Marketing Raw Data'!$C:$O,9,0)),"")</f>
        <v/>
      </c>
    </row>
    <row r="1856" spans="4:17" ht="12.75" customHeight="1" x14ac:dyDescent="0.2">
      <c r="D1856" s="58" t="str">
        <f>IFERROR(IF(F1856&lt;&gt;"pending","",IF(OR($B1856="",$B1856="(blank)"),"",VLOOKUP($B1856,'Email Marketing Raw Data'!$C:$O,10,0))),"")</f>
        <v/>
      </c>
      <c r="E1856" s="59" t="str">
        <f>IFERROR(IF(F1856&lt;&gt;"pending","",IF(OR($B1856="",$B1856="(blank)"),"",VLOOKUP($B1856,'Email Marketing Raw Data'!$C:$O,11,0))),"")</f>
        <v/>
      </c>
      <c r="F1856" s="54" t="str">
        <f>IFERROR(IF(OR($B1856="",$B1856="(blank)"),"",VLOOKUP($B1856,'Email Marketing Raw Data'!$C:$O,13,0)),"")</f>
        <v/>
      </c>
      <c r="G1856" s="55" t="str">
        <f>IFERROR(IF(OR($B1856="",$B1856="(blank)"),"",VLOOKUP($B1856,'Email Marketing Raw Data'!$C:$O,4,0)),"")</f>
        <v/>
      </c>
      <c r="H1856" s="55" t="str">
        <f>IFERROR(IF(OR($B1856="",$B1856="(blank)"),"",VLOOKUP($B1856,'Email Marketing Raw Data'!$C:$O,5,0)),"")</f>
        <v/>
      </c>
      <c r="I1856" s="55" t="str">
        <f>IFERROR(IF($G1856="","",VLOOKUP('Dashboard And Emails Automate'!$G1856,Database!$H:$N,3,0)),"")</f>
        <v/>
      </c>
      <c r="J1856" s="55" t="str">
        <f>IFERROR(IF($G1856="","",VLOOKUP('Dashboard And Emails Automate'!$G1856,Database!$H:$N,4,0)),"")</f>
        <v/>
      </c>
      <c r="K1856" s="55" t="str">
        <f>IFERROR(IF($G1856="","",VLOOKUP('Dashboard And Emails Automate'!$G1856,Database!$H:$N,5,0)),"")</f>
        <v/>
      </c>
      <c r="L1856" s="55" t="str">
        <f>IFERROR(IF($G1856="","",VLOOKUP('Dashboard And Emails Automate'!$G1856,Database!$H:$N,6,0)),"")</f>
        <v/>
      </c>
      <c r="M1856" s="55" t="str">
        <f>IFERROR(IF($G1856="","",VLOOKUP('Dashboard And Emails Automate'!$G1856,Database!$H:$N,7,0)),"")</f>
        <v/>
      </c>
      <c r="N1856" s="55" t="str">
        <f>IFERROR(IF(OR($B1856="",$B1856="(blank)"),"",VLOOKUP($B1856,'Email Marketing Raw Data'!$C:$O,6,0)),"")</f>
        <v/>
      </c>
      <c r="O1856" s="55" t="str">
        <f>IFERROR(IF(OR($B1856="",$B1856="(blank)"),"",VLOOKUP($B1856,'Email Marketing Raw Data'!$C:$O,7,0)),"")</f>
        <v/>
      </c>
      <c r="P1856" s="55" t="str">
        <f>IFERROR(IF(OR($B1856="",$B1856="(blank)"),"",VLOOKUP($B1856,'Email Marketing Raw Data'!$C:$O,8,0)),"")</f>
        <v/>
      </c>
      <c r="Q1856" s="62" t="str">
        <f>IFERROR(IF(OR($B1856="",$B1856="(blank)"),"",VLOOKUP($B1856,'Email Marketing Raw Data'!$C:$O,9,0)),"")</f>
        <v/>
      </c>
    </row>
    <row r="1857" spans="4:17" ht="12.75" customHeight="1" x14ac:dyDescent="0.2">
      <c r="D1857" s="58" t="str">
        <f>IFERROR(IF(F1857&lt;&gt;"pending","",IF(OR($B1857="",$B1857="(blank)"),"",VLOOKUP($B1857,'Email Marketing Raw Data'!$C:$O,10,0))),"")</f>
        <v/>
      </c>
      <c r="E1857" s="59" t="str">
        <f>IFERROR(IF(F1857&lt;&gt;"pending","",IF(OR($B1857="",$B1857="(blank)"),"",VLOOKUP($B1857,'Email Marketing Raw Data'!$C:$O,11,0))),"")</f>
        <v/>
      </c>
      <c r="F1857" s="54" t="str">
        <f>IFERROR(IF(OR($B1857="",$B1857="(blank)"),"",VLOOKUP($B1857,'Email Marketing Raw Data'!$C:$O,13,0)),"")</f>
        <v/>
      </c>
      <c r="G1857" s="55" t="str">
        <f>IFERROR(IF(OR($B1857="",$B1857="(blank)"),"",VLOOKUP($B1857,'Email Marketing Raw Data'!$C:$O,4,0)),"")</f>
        <v/>
      </c>
      <c r="H1857" s="55" t="str">
        <f>IFERROR(IF(OR($B1857="",$B1857="(blank)"),"",VLOOKUP($B1857,'Email Marketing Raw Data'!$C:$O,5,0)),"")</f>
        <v/>
      </c>
      <c r="I1857" s="55" t="str">
        <f>IFERROR(IF($G1857="","",VLOOKUP('Dashboard And Emails Automate'!$G1857,Database!$H:$N,3,0)),"")</f>
        <v/>
      </c>
      <c r="J1857" s="55" t="str">
        <f>IFERROR(IF($G1857="","",VLOOKUP('Dashboard And Emails Automate'!$G1857,Database!$H:$N,4,0)),"")</f>
        <v/>
      </c>
      <c r="K1857" s="55" t="str">
        <f>IFERROR(IF($G1857="","",VLOOKUP('Dashboard And Emails Automate'!$G1857,Database!$H:$N,5,0)),"")</f>
        <v/>
      </c>
      <c r="L1857" s="55" t="str">
        <f>IFERROR(IF($G1857="","",VLOOKUP('Dashboard And Emails Automate'!$G1857,Database!$H:$N,6,0)),"")</f>
        <v/>
      </c>
      <c r="M1857" s="55" t="str">
        <f>IFERROR(IF($G1857="","",VLOOKUP('Dashboard And Emails Automate'!$G1857,Database!$H:$N,7,0)),"")</f>
        <v/>
      </c>
      <c r="N1857" s="55" t="str">
        <f>IFERROR(IF(OR($B1857="",$B1857="(blank)"),"",VLOOKUP($B1857,'Email Marketing Raw Data'!$C:$O,6,0)),"")</f>
        <v/>
      </c>
      <c r="O1857" s="55" t="str">
        <f>IFERROR(IF(OR($B1857="",$B1857="(blank)"),"",VLOOKUP($B1857,'Email Marketing Raw Data'!$C:$O,7,0)),"")</f>
        <v/>
      </c>
      <c r="P1857" s="55" t="str">
        <f>IFERROR(IF(OR($B1857="",$B1857="(blank)"),"",VLOOKUP($B1857,'Email Marketing Raw Data'!$C:$O,8,0)),"")</f>
        <v/>
      </c>
      <c r="Q1857" s="62" t="str">
        <f>IFERROR(IF(OR($B1857="",$B1857="(blank)"),"",VLOOKUP($B1857,'Email Marketing Raw Data'!$C:$O,9,0)),"")</f>
        <v/>
      </c>
    </row>
    <row r="1858" spans="4:17" ht="12.75" customHeight="1" x14ac:dyDescent="0.2">
      <c r="D1858" s="58" t="str">
        <f>IFERROR(IF(F1858&lt;&gt;"pending","",IF(OR($B1858="",$B1858="(blank)"),"",VLOOKUP($B1858,'Email Marketing Raw Data'!$C:$O,10,0))),"")</f>
        <v/>
      </c>
      <c r="E1858" s="59" t="str">
        <f>IFERROR(IF(F1858&lt;&gt;"pending","",IF(OR($B1858="",$B1858="(blank)"),"",VLOOKUP($B1858,'Email Marketing Raw Data'!$C:$O,11,0))),"")</f>
        <v/>
      </c>
      <c r="F1858" s="54" t="str">
        <f>IFERROR(IF(OR($B1858="",$B1858="(blank)"),"",VLOOKUP($B1858,'Email Marketing Raw Data'!$C:$O,13,0)),"")</f>
        <v/>
      </c>
      <c r="G1858" s="55" t="str">
        <f>IFERROR(IF(OR($B1858="",$B1858="(blank)"),"",VLOOKUP($B1858,'Email Marketing Raw Data'!$C:$O,4,0)),"")</f>
        <v/>
      </c>
      <c r="H1858" s="55" t="str">
        <f>IFERROR(IF(OR($B1858="",$B1858="(blank)"),"",VLOOKUP($B1858,'Email Marketing Raw Data'!$C:$O,5,0)),"")</f>
        <v/>
      </c>
      <c r="I1858" s="55" t="str">
        <f>IFERROR(IF($G1858="","",VLOOKUP('Dashboard And Emails Automate'!$G1858,Database!$H:$N,3,0)),"")</f>
        <v/>
      </c>
      <c r="J1858" s="55" t="str">
        <f>IFERROR(IF($G1858="","",VLOOKUP('Dashboard And Emails Automate'!$G1858,Database!$H:$N,4,0)),"")</f>
        <v/>
      </c>
      <c r="K1858" s="55" t="str">
        <f>IFERROR(IF($G1858="","",VLOOKUP('Dashboard And Emails Automate'!$G1858,Database!$H:$N,5,0)),"")</f>
        <v/>
      </c>
      <c r="L1858" s="55" t="str">
        <f>IFERROR(IF($G1858="","",VLOOKUP('Dashboard And Emails Automate'!$G1858,Database!$H:$N,6,0)),"")</f>
        <v/>
      </c>
      <c r="M1858" s="55" t="str">
        <f>IFERROR(IF($G1858="","",VLOOKUP('Dashboard And Emails Automate'!$G1858,Database!$H:$N,7,0)),"")</f>
        <v/>
      </c>
      <c r="N1858" s="55" t="str">
        <f>IFERROR(IF(OR($B1858="",$B1858="(blank)"),"",VLOOKUP($B1858,'Email Marketing Raw Data'!$C:$O,6,0)),"")</f>
        <v/>
      </c>
      <c r="O1858" s="55" t="str">
        <f>IFERROR(IF(OR($B1858="",$B1858="(blank)"),"",VLOOKUP($B1858,'Email Marketing Raw Data'!$C:$O,7,0)),"")</f>
        <v/>
      </c>
      <c r="P1858" s="55" t="str">
        <f>IFERROR(IF(OR($B1858="",$B1858="(blank)"),"",VLOOKUP($B1858,'Email Marketing Raw Data'!$C:$O,8,0)),"")</f>
        <v/>
      </c>
      <c r="Q1858" s="62" t="str">
        <f>IFERROR(IF(OR($B1858="",$B1858="(blank)"),"",VLOOKUP($B1858,'Email Marketing Raw Data'!$C:$O,9,0)),"")</f>
        <v/>
      </c>
    </row>
    <row r="1859" spans="4:17" ht="12.75" customHeight="1" x14ac:dyDescent="0.2">
      <c r="D1859" s="58" t="str">
        <f>IFERROR(IF(F1859&lt;&gt;"pending","",IF(OR($B1859="",$B1859="(blank)"),"",VLOOKUP($B1859,'Email Marketing Raw Data'!$C:$O,10,0))),"")</f>
        <v/>
      </c>
      <c r="E1859" s="59" t="str">
        <f>IFERROR(IF(F1859&lt;&gt;"pending","",IF(OR($B1859="",$B1859="(blank)"),"",VLOOKUP($B1859,'Email Marketing Raw Data'!$C:$O,11,0))),"")</f>
        <v/>
      </c>
      <c r="F1859" s="54" t="str">
        <f>IFERROR(IF(OR($B1859="",$B1859="(blank)"),"",VLOOKUP($B1859,'Email Marketing Raw Data'!$C:$O,13,0)),"")</f>
        <v/>
      </c>
      <c r="G1859" s="55" t="str">
        <f>IFERROR(IF(OR($B1859="",$B1859="(blank)"),"",VLOOKUP($B1859,'Email Marketing Raw Data'!$C:$O,4,0)),"")</f>
        <v/>
      </c>
      <c r="H1859" s="55" t="str">
        <f>IFERROR(IF(OR($B1859="",$B1859="(blank)"),"",VLOOKUP($B1859,'Email Marketing Raw Data'!$C:$O,5,0)),"")</f>
        <v/>
      </c>
      <c r="I1859" s="55" t="str">
        <f>IFERROR(IF($G1859="","",VLOOKUP('Dashboard And Emails Automate'!$G1859,Database!$H:$N,3,0)),"")</f>
        <v/>
      </c>
      <c r="J1859" s="55" t="str">
        <f>IFERROR(IF($G1859="","",VLOOKUP('Dashboard And Emails Automate'!$G1859,Database!$H:$N,4,0)),"")</f>
        <v/>
      </c>
      <c r="K1859" s="55" t="str">
        <f>IFERROR(IF($G1859="","",VLOOKUP('Dashboard And Emails Automate'!$G1859,Database!$H:$N,5,0)),"")</f>
        <v/>
      </c>
      <c r="L1859" s="55" t="str">
        <f>IFERROR(IF($G1859="","",VLOOKUP('Dashboard And Emails Automate'!$G1859,Database!$H:$N,6,0)),"")</f>
        <v/>
      </c>
      <c r="M1859" s="55" t="str">
        <f>IFERROR(IF($G1859="","",VLOOKUP('Dashboard And Emails Automate'!$G1859,Database!$H:$N,7,0)),"")</f>
        <v/>
      </c>
      <c r="N1859" s="55" t="str">
        <f>IFERROR(IF(OR($B1859="",$B1859="(blank)"),"",VLOOKUP($B1859,'Email Marketing Raw Data'!$C:$O,6,0)),"")</f>
        <v/>
      </c>
      <c r="O1859" s="55" t="str">
        <f>IFERROR(IF(OR($B1859="",$B1859="(blank)"),"",VLOOKUP($B1859,'Email Marketing Raw Data'!$C:$O,7,0)),"")</f>
        <v/>
      </c>
      <c r="P1859" s="55" t="str">
        <f>IFERROR(IF(OR($B1859="",$B1859="(blank)"),"",VLOOKUP($B1859,'Email Marketing Raw Data'!$C:$O,8,0)),"")</f>
        <v/>
      </c>
      <c r="Q1859" s="62" t="str">
        <f>IFERROR(IF(OR($B1859="",$B1859="(blank)"),"",VLOOKUP($B1859,'Email Marketing Raw Data'!$C:$O,9,0)),"")</f>
        <v/>
      </c>
    </row>
    <row r="1860" spans="4:17" ht="12.75" customHeight="1" x14ac:dyDescent="0.2">
      <c r="D1860" s="58" t="str">
        <f>IFERROR(IF(F1860&lt;&gt;"pending","",IF(OR($B1860="",$B1860="(blank)"),"",VLOOKUP($B1860,'Email Marketing Raw Data'!$C:$O,10,0))),"")</f>
        <v/>
      </c>
      <c r="E1860" s="59" t="str">
        <f>IFERROR(IF(F1860&lt;&gt;"pending","",IF(OR($B1860="",$B1860="(blank)"),"",VLOOKUP($B1860,'Email Marketing Raw Data'!$C:$O,11,0))),"")</f>
        <v/>
      </c>
      <c r="F1860" s="54" t="str">
        <f>IFERROR(IF(OR($B1860="",$B1860="(blank)"),"",VLOOKUP($B1860,'Email Marketing Raw Data'!$C:$O,13,0)),"")</f>
        <v/>
      </c>
      <c r="G1860" s="55" t="str">
        <f>IFERROR(IF(OR($B1860="",$B1860="(blank)"),"",VLOOKUP($B1860,'Email Marketing Raw Data'!$C:$O,4,0)),"")</f>
        <v/>
      </c>
      <c r="H1860" s="55" t="str">
        <f>IFERROR(IF(OR($B1860="",$B1860="(blank)"),"",VLOOKUP($B1860,'Email Marketing Raw Data'!$C:$O,5,0)),"")</f>
        <v/>
      </c>
      <c r="I1860" s="55" t="str">
        <f>IFERROR(IF($G1860="","",VLOOKUP('Dashboard And Emails Automate'!$G1860,Database!$H:$N,3,0)),"")</f>
        <v/>
      </c>
      <c r="J1860" s="55" t="str">
        <f>IFERROR(IF($G1860="","",VLOOKUP('Dashboard And Emails Automate'!$G1860,Database!$H:$N,4,0)),"")</f>
        <v/>
      </c>
      <c r="K1860" s="55" t="str">
        <f>IFERROR(IF($G1860="","",VLOOKUP('Dashboard And Emails Automate'!$G1860,Database!$H:$N,5,0)),"")</f>
        <v/>
      </c>
      <c r="L1860" s="55" t="str">
        <f>IFERROR(IF($G1860="","",VLOOKUP('Dashboard And Emails Automate'!$G1860,Database!$H:$N,6,0)),"")</f>
        <v/>
      </c>
      <c r="M1860" s="55" t="str">
        <f>IFERROR(IF($G1860="","",VLOOKUP('Dashboard And Emails Automate'!$G1860,Database!$H:$N,7,0)),"")</f>
        <v/>
      </c>
      <c r="N1860" s="55" t="str">
        <f>IFERROR(IF(OR($B1860="",$B1860="(blank)"),"",VLOOKUP($B1860,'Email Marketing Raw Data'!$C:$O,6,0)),"")</f>
        <v/>
      </c>
      <c r="O1860" s="55" t="str">
        <f>IFERROR(IF(OR($B1860="",$B1860="(blank)"),"",VLOOKUP($B1860,'Email Marketing Raw Data'!$C:$O,7,0)),"")</f>
        <v/>
      </c>
      <c r="P1860" s="55" t="str">
        <f>IFERROR(IF(OR($B1860="",$B1860="(blank)"),"",VLOOKUP($B1860,'Email Marketing Raw Data'!$C:$O,8,0)),"")</f>
        <v/>
      </c>
      <c r="Q1860" s="62" t="str">
        <f>IFERROR(IF(OR($B1860="",$B1860="(blank)"),"",VLOOKUP($B1860,'Email Marketing Raw Data'!$C:$O,9,0)),"")</f>
        <v/>
      </c>
    </row>
    <row r="1861" spans="4:17" ht="12.75" customHeight="1" x14ac:dyDescent="0.2">
      <c r="D1861" s="58" t="str">
        <f>IFERROR(IF(F1861&lt;&gt;"pending","",IF(OR($B1861="",$B1861="(blank)"),"",VLOOKUP($B1861,'Email Marketing Raw Data'!$C:$O,10,0))),"")</f>
        <v/>
      </c>
      <c r="E1861" s="59" t="str">
        <f>IFERROR(IF(F1861&lt;&gt;"pending","",IF(OR($B1861="",$B1861="(blank)"),"",VLOOKUP($B1861,'Email Marketing Raw Data'!$C:$O,11,0))),"")</f>
        <v/>
      </c>
      <c r="F1861" s="54" t="str">
        <f>IFERROR(IF(OR($B1861="",$B1861="(blank)"),"",VLOOKUP($B1861,'Email Marketing Raw Data'!$C:$O,13,0)),"")</f>
        <v/>
      </c>
      <c r="G1861" s="55" t="str">
        <f>IFERROR(IF(OR($B1861="",$B1861="(blank)"),"",VLOOKUP($B1861,'Email Marketing Raw Data'!$C:$O,4,0)),"")</f>
        <v/>
      </c>
      <c r="H1861" s="55" t="str">
        <f>IFERROR(IF(OR($B1861="",$B1861="(blank)"),"",VLOOKUP($B1861,'Email Marketing Raw Data'!$C:$O,5,0)),"")</f>
        <v/>
      </c>
      <c r="I1861" s="55" t="str">
        <f>IFERROR(IF($G1861="","",VLOOKUP('Dashboard And Emails Automate'!$G1861,Database!$H:$N,3,0)),"")</f>
        <v/>
      </c>
      <c r="J1861" s="55" t="str">
        <f>IFERROR(IF($G1861="","",VLOOKUP('Dashboard And Emails Automate'!$G1861,Database!$H:$N,4,0)),"")</f>
        <v/>
      </c>
      <c r="K1861" s="55" t="str">
        <f>IFERROR(IF($G1861="","",VLOOKUP('Dashboard And Emails Automate'!$G1861,Database!$H:$N,5,0)),"")</f>
        <v/>
      </c>
      <c r="L1861" s="55" t="str">
        <f>IFERROR(IF($G1861="","",VLOOKUP('Dashboard And Emails Automate'!$G1861,Database!$H:$N,6,0)),"")</f>
        <v/>
      </c>
      <c r="M1861" s="55" t="str">
        <f>IFERROR(IF($G1861="","",VLOOKUP('Dashboard And Emails Automate'!$G1861,Database!$H:$N,7,0)),"")</f>
        <v/>
      </c>
      <c r="N1861" s="55" t="str">
        <f>IFERROR(IF(OR($B1861="",$B1861="(blank)"),"",VLOOKUP($B1861,'Email Marketing Raw Data'!$C:$O,6,0)),"")</f>
        <v/>
      </c>
      <c r="O1861" s="55" t="str">
        <f>IFERROR(IF(OR($B1861="",$B1861="(blank)"),"",VLOOKUP($B1861,'Email Marketing Raw Data'!$C:$O,7,0)),"")</f>
        <v/>
      </c>
      <c r="P1861" s="55" t="str">
        <f>IFERROR(IF(OR($B1861="",$B1861="(blank)"),"",VLOOKUP($B1861,'Email Marketing Raw Data'!$C:$O,8,0)),"")</f>
        <v/>
      </c>
      <c r="Q1861" s="62" t="str">
        <f>IFERROR(IF(OR($B1861="",$B1861="(blank)"),"",VLOOKUP($B1861,'Email Marketing Raw Data'!$C:$O,9,0)),"")</f>
        <v/>
      </c>
    </row>
    <row r="1862" spans="4:17" ht="12.75" customHeight="1" x14ac:dyDescent="0.2">
      <c r="D1862" s="58" t="str">
        <f>IFERROR(IF(F1862&lt;&gt;"pending","",IF(OR($B1862="",$B1862="(blank)"),"",VLOOKUP($B1862,'Email Marketing Raw Data'!$C:$O,10,0))),"")</f>
        <v/>
      </c>
      <c r="E1862" s="59" t="str">
        <f>IFERROR(IF(F1862&lt;&gt;"pending","",IF(OR($B1862="",$B1862="(blank)"),"",VLOOKUP($B1862,'Email Marketing Raw Data'!$C:$O,11,0))),"")</f>
        <v/>
      </c>
      <c r="F1862" s="54" t="str">
        <f>IFERROR(IF(OR($B1862="",$B1862="(blank)"),"",VLOOKUP($B1862,'Email Marketing Raw Data'!$C:$O,13,0)),"")</f>
        <v/>
      </c>
      <c r="G1862" s="55" t="str">
        <f>IFERROR(IF(OR($B1862="",$B1862="(blank)"),"",VLOOKUP($B1862,'Email Marketing Raw Data'!$C:$O,4,0)),"")</f>
        <v/>
      </c>
      <c r="H1862" s="55" t="str">
        <f>IFERROR(IF(OR($B1862="",$B1862="(blank)"),"",VLOOKUP($B1862,'Email Marketing Raw Data'!$C:$O,5,0)),"")</f>
        <v/>
      </c>
      <c r="I1862" s="55" t="str">
        <f>IFERROR(IF($G1862="","",VLOOKUP('Dashboard And Emails Automate'!$G1862,Database!$H:$N,3,0)),"")</f>
        <v/>
      </c>
      <c r="J1862" s="55" t="str">
        <f>IFERROR(IF($G1862="","",VLOOKUP('Dashboard And Emails Automate'!$G1862,Database!$H:$N,4,0)),"")</f>
        <v/>
      </c>
      <c r="K1862" s="55" t="str">
        <f>IFERROR(IF($G1862="","",VLOOKUP('Dashboard And Emails Automate'!$G1862,Database!$H:$N,5,0)),"")</f>
        <v/>
      </c>
      <c r="L1862" s="55" t="str">
        <f>IFERROR(IF($G1862="","",VLOOKUP('Dashboard And Emails Automate'!$G1862,Database!$H:$N,6,0)),"")</f>
        <v/>
      </c>
      <c r="M1862" s="55" t="str">
        <f>IFERROR(IF($G1862="","",VLOOKUP('Dashboard And Emails Automate'!$G1862,Database!$H:$N,7,0)),"")</f>
        <v/>
      </c>
      <c r="N1862" s="55" t="str">
        <f>IFERROR(IF(OR($B1862="",$B1862="(blank)"),"",VLOOKUP($B1862,'Email Marketing Raw Data'!$C:$O,6,0)),"")</f>
        <v/>
      </c>
      <c r="O1862" s="55" t="str">
        <f>IFERROR(IF(OR($B1862="",$B1862="(blank)"),"",VLOOKUP($B1862,'Email Marketing Raw Data'!$C:$O,7,0)),"")</f>
        <v/>
      </c>
      <c r="P1862" s="55" t="str">
        <f>IFERROR(IF(OR($B1862="",$B1862="(blank)"),"",VLOOKUP($B1862,'Email Marketing Raw Data'!$C:$O,8,0)),"")</f>
        <v/>
      </c>
      <c r="Q1862" s="62" t="str">
        <f>IFERROR(IF(OR($B1862="",$B1862="(blank)"),"",VLOOKUP($B1862,'Email Marketing Raw Data'!$C:$O,9,0)),"")</f>
        <v/>
      </c>
    </row>
    <row r="1863" spans="4:17" ht="12.75" customHeight="1" x14ac:dyDescent="0.2">
      <c r="D1863" s="58" t="str">
        <f>IFERROR(IF(F1863&lt;&gt;"pending","",IF(OR($B1863="",$B1863="(blank)"),"",VLOOKUP($B1863,'Email Marketing Raw Data'!$C:$O,10,0))),"")</f>
        <v/>
      </c>
      <c r="E1863" s="59" t="str">
        <f>IFERROR(IF(F1863&lt;&gt;"pending","",IF(OR($B1863="",$B1863="(blank)"),"",VLOOKUP($B1863,'Email Marketing Raw Data'!$C:$O,11,0))),"")</f>
        <v/>
      </c>
      <c r="F1863" s="54" t="str">
        <f>IFERROR(IF(OR($B1863="",$B1863="(blank)"),"",VLOOKUP($B1863,'Email Marketing Raw Data'!$C:$O,13,0)),"")</f>
        <v/>
      </c>
      <c r="G1863" s="55" t="str">
        <f>IFERROR(IF(OR($B1863="",$B1863="(blank)"),"",VLOOKUP($B1863,'Email Marketing Raw Data'!$C:$O,4,0)),"")</f>
        <v/>
      </c>
      <c r="H1863" s="55" t="str">
        <f>IFERROR(IF(OR($B1863="",$B1863="(blank)"),"",VLOOKUP($B1863,'Email Marketing Raw Data'!$C:$O,5,0)),"")</f>
        <v/>
      </c>
      <c r="I1863" s="55" t="str">
        <f>IFERROR(IF($G1863="","",VLOOKUP('Dashboard And Emails Automate'!$G1863,Database!$H:$N,3,0)),"")</f>
        <v/>
      </c>
      <c r="J1863" s="55" t="str">
        <f>IFERROR(IF($G1863="","",VLOOKUP('Dashboard And Emails Automate'!$G1863,Database!$H:$N,4,0)),"")</f>
        <v/>
      </c>
      <c r="K1863" s="55" t="str">
        <f>IFERROR(IF($G1863="","",VLOOKUP('Dashboard And Emails Automate'!$G1863,Database!$H:$N,5,0)),"")</f>
        <v/>
      </c>
      <c r="L1863" s="55" t="str">
        <f>IFERROR(IF($G1863="","",VLOOKUP('Dashboard And Emails Automate'!$G1863,Database!$H:$N,6,0)),"")</f>
        <v/>
      </c>
      <c r="M1863" s="55" t="str">
        <f>IFERROR(IF($G1863="","",VLOOKUP('Dashboard And Emails Automate'!$G1863,Database!$H:$N,7,0)),"")</f>
        <v/>
      </c>
      <c r="N1863" s="55" t="str">
        <f>IFERROR(IF(OR($B1863="",$B1863="(blank)"),"",VLOOKUP($B1863,'Email Marketing Raw Data'!$C:$O,6,0)),"")</f>
        <v/>
      </c>
      <c r="O1863" s="55" t="str">
        <f>IFERROR(IF(OR($B1863="",$B1863="(blank)"),"",VLOOKUP($B1863,'Email Marketing Raw Data'!$C:$O,7,0)),"")</f>
        <v/>
      </c>
      <c r="P1863" s="55" t="str">
        <f>IFERROR(IF(OR($B1863="",$B1863="(blank)"),"",VLOOKUP($B1863,'Email Marketing Raw Data'!$C:$O,8,0)),"")</f>
        <v/>
      </c>
      <c r="Q1863" s="62" t="str">
        <f>IFERROR(IF(OR($B1863="",$B1863="(blank)"),"",VLOOKUP($B1863,'Email Marketing Raw Data'!$C:$O,9,0)),"")</f>
        <v/>
      </c>
    </row>
    <row r="1864" spans="4:17" ht="12.75" customHeight="1" x14ac:dyDescent="0.2">
      <c r="D1864" s="58" t="str">
        <f>IFERROR(IF(F1864&lt;&gt;"pending","",IF(OR($B1864="",$B1864="(blank)"),"",VLOOKUP($B1864,'Email Marketing Raw Data'!$C:$O,10,0))),"")</f>
        <v/>
      </c>
      <c r="E1864" s="59" t="str">
        <f>IFERROR(IF(F1864&lt;&gt;"pending","",IF(OR($B1864="",$B1864="(blank)"),"",VLOOKUP($B1864,'Email Marketing Raw Data'!$C:$O,11,0))),"")</f>
        <v/>
      </c>
      <c r="F1864" s="54" t="str">
        <f>IFERROR(IF(OR($B1864="",$B1864="(blank)"),"",VLOOKUP($B1864,'Email Marketing Raw Data'!$C:$O,13,0)),"")</f>
        <v/>
      </c>
      <c r="G1864" s="55" t="str">
        <f>IFERROR(IF(OR($B1864="",$B1864="(blank)"),"",VLOOKUP($B1864,'Email Marketing Raw Data'!$C:$O,4,0)),"")</f>
        <v/>
      </c>
      <c r="H1864" s="55" t="str">
        <f>IFERROR(IF(OR($B1864="",$B1864="(blank)"),"",VLOOKUP($B1864,'Email Marketing Raw Data'!$C:$O,5,0)),"")</f>
        <v/>
      </c>
      <c r="I1864" s="55" t="str">
        <f>IFERROR(IF($G1864="","",VLOOKUP('Dashboard And Emails Automate'!$G1864,Database!$H:$N,3,0)),"")</f>
        <v/>
      </c>
      <c r="J1864" s="55" t="str">
        <f>IFERROR(IF($G1864="","",VLOOKUP('Dashboard And Emails Automate'!$G1864,Database!$H:$N,4,0)),"")</f>
        <v/>
      </c>
      <c r="K1864" s="55" t="str">
        <f>IFERROR(IF($G1864="","",VLOOKUP('Dashboard And Emails Automate'!$G1864,Database!$H:$N,5,0)),"")</f>
        <v/>
      </c>
      <c r="L1864" s="55" t="str">
        <f>IFERROR(IF($G1864="","",VLOOKUP('Dashboard And Emails Automate'!$G1864,Database!$H:$N,6,0)),"")</f>
        <v/>
      </c>
      <c r="M1864" s="55" t="str">
        <f>IFERROR(IF($G1864="","",VLOOKUP('Dashboard And Emails Automate'!$G1864,Database!$H:$N,7,0)),"")</f>
        <v/>
      </c>
      <c r="N1864" s="55" t="str">
        <f>IFERROR(IF(OR($B1864="",$B1864="(blank)"),"",VLOOKUP($B1864,'Email Marketing Raw Data'!$C:$O,6,0)),"")</f>
        <v/>
      </c>
      <c r="O1864" s="55" t="str">
        <f>IFERROR(IF(OR($B1864="",$B1864="(blank)"),"",VLOOKUP($B1864,'Email Marketing Raw Data'!$C:$O,7,0)),"")</f>
        <v/>
      </c>
      <c r="P1864" s="55" t="str">
        <f>IFERROR(IF(OR($B1864="",$B1864="(blank)"),"",VLOOKUP($B1864,'Email Marketing Raw Data'!$C:$O,8,0)),"")</f>
        <v/>
      </c>
      <c r="Q1864" s="62" t="str">
        <f>IFERROR(IF(OR($B1864="",$B1864="(blank)"),"",VLOOKUP($B1864,'Email Marketing Raw Data'!$C:$O,9,0)),"")</f>
        <v/>
      </c>
    </row>
    <row r="1865" spans="4:17" ht="12.75" customHeight="1" x14ac:dyDescent="0.2">
      <c r="D1865" s="58" t="str">
        <f>IFERROR(IF(F1865&lt;&gt;"pending","",IF(OR($B1865="",$B1865="(blank)"),"",VLOOKUP($B1865,'Email Marketing Raw Data'!$C:$O,10,0))),"")</f>
        <v/>
      </c>
      <c r="E1865" s="59" t="str">
        <f>IFERROR(IF(F1865&lt;&gt;"pending","",IF(OR($B1865="",$B1865="(blank)"),"",VLOOKUP($B1865,'Email Marketing Raw Data'!$C:$O,11,0))),"")</f>
        <v/>
      </c>
      <c r="F1865" s="54" t="str">
        <f>IFERROR(IF(OR($B1865="",$B1865="(blank)"),"",VLOOKUP($B1865,'Email Marketing Raw Data'!$C:$O,13,0)),"")</f>
        <v/>
      </c>
      <c r="G1865" s="55" t="str">
        <f>IFERROR(IF(OR($B1865="",$B1865="(blank)"),"",VLOOKUP($B1865,'Email Marketing Raw Data'!$C:$O,4,0)),"")</f>
        <v/>
      </c>
      <c r="H1865" s="55" t="str">
        <f>IFERROR(IF(OR($B1865="",$B1865="(blank)"),"",VLOOKUP($B1865,'Email Marketing Raw Data'!$C:$O,5,0)),"")</f>
        <v/>
      </c>
      <c r="I1865" s="55" t="str">
        <f>IFERROR(IF($G1865="","",VLOOKUP('Dashboard And Emails Automate'!$G1865,Database!$H:$N,3,0)),"")</f>
        <v/>
      </c>
      <c r="J1865" s="55" t="str">
        <f>IFERROR(IF($G1865="","",VLOOKUP('Dashboard And Emails Automate'!$G1865,Database!$H:$N,4,0)),"")</f>
        <v/>
      </c>
      <c r="K1865" s="55" t="str">
        <f>IFERROR(IF($G1865="","",VLOOKUP('Dashboard And Emails Automate'!$G1865,Database!$H:$N,5,0)),"")</f>
        <v/>
      </c>
      <c r="L1865" s="55" t="str">
        <f>IFERROR(IF($G1865="","",VLOOKUP('Dashboard And Emails Automate'!$G1865,Database!$H:$N,6,0)),"")</f>
        <v/>
      </c>
      <c r="M1865" s="55" t="str">
        <f>IFERROR(IF($G1865="","",VLOOKUP('Dashboard And Emails Automate'!$G1865,Database!$H:$N,7,0)),"")</f>
        <v/>
      </c>
      <c r="N1865" s="55" t="str">
        <f>IFERROR(IF(OR($B1865="",$B1865="(blank)"),"",VLOOKUP($B1865,'Email Marketing Raw Data'!$C:$O,6,0)),"")</f>
        <v/>
      </c>
      <c r="O1865" s="55" t="str">
        <f>IFERROR(IF(OR($B1865="",$B1865="(blank)"),"",VLOOKUP($B1865,'Email Marketing Raw Data'!$C:$O,7,0)),"")</f>
        <v/>
      </c>
      <c r="P1865" s="55" t="str">
        <f>IFERROR(IF(OR($B1865="",$B1865="(blank)"),"",VLOOKUP($B1865,'Email Marketing Raw Data'!$C:$O,8,0)),"")</f>
        <v/>
      </c>
      <c r="Q1865" s="62" t="str">
        <f>IFERROR(IF(OR($B1865="",$B1865="(blank)"),"",VLOOKUP($B1865,'Email Marketing Raw Data'!$C:$O,9,0)),"")</f>
        <v/>
      </c>
    </row>
    <row r="1866" spans="4:17" ht="12.75" customHeight="1" x14ac:dyDescent="0.2">
      <c r="D1866" s="58" t="str">
        <f>IFERROR(IF(F1866&lt;&gt;"pending","",IF(OR($B1866="",$B1866="(blank)"),"",VLOOKUP($B1866,'Email Marketing Raw Data'!$C:$O,10,0))),"")</f>
        <v/>
      </c>
      <c r="E1866" s="59" t="str">
        <f>IFERROR(IF(F1866&lt;&gt;"pending","",IF(OR($B1866="",$B1866="(blank)"),"",VLOOKUP($B1866,'Email Marketing Raw Data'!$C:$O,11,0))),"")</f>
        <v/>
      </c>
      <c r="F1866" s="54" t="str">
        <f>IFERROR(IF(OR($B1866="",$B1866="(blank)"),"",VLOOKUP($B1866,'Email Marketing Raw Data'!$C:$O,13,0)),"")</f>
        <v/>
      </c>
      <c r="G1866" s="55" t="str">
        <f>IFERROR(IF(OR($B1866="",$B1866="(blank)"),"",VLOOKUP($B1866,'Email Marketing Raw Data'!$C:$O,4,0)),"")</f>
        <v/>
      </c>
      <c r="H1866" s="55" t="str">
        <f>IFERROR(IF(OR($B1866="",$B1866="(blank)"),"",VLOOKUP($B1866,'Email Marketing Raw Data'!$C:$O,5,0)),"")</f>
        <v/>
      </c>
      <c r="I1866" s="55" t="str">
        <f>IFERROR(IF($G1866="","",VLOOKUP('Dashboard And Emails Automate'!$G1866,Database!$H:$N,3,0)),"")</f>
        <v/>
      </c>
      <c r="J1866" s="55" t="str">
        <f>IFERROR(IF($G1866="","",VLOOKUP('Dashboard And Emails Automate'!$G1866,Database!$H:$N,4,0)),"")</f>
        <v/>
      </c>
      <c r="K1866" s="55" t="str">
        <f>IFERROR(IF($G1866="","",VLOOKUP('Dashboard And Emails Automate'!$G1866,Database!$H:$N,5,0)),"")</f>
        <v/>
      </c>
      <c r="L1866" s="55" t="str">
        <f>IFERROR(IF($G1866="","",VLOOKUP('Dashboard And Emails Automate'!$G1866,Database!$H:$N,6,0)),"")</f>
        <v/>
      </c>
      <c r="M1866" s="55" t="str">
        <f>IFERROR(IF($G1866="","",VLOOKUP('Dashboard And Emails Automate'!$G1866,Database!$H:$N,7,0)),"")</f>
        <v/>
      </c>
      <c r="N1866" s="55" t="str">
        <f>IFERROR(IF(OR($B1866="",$B1866="(blank)"),"",VLOOKUP($B1866,'Email Marketing Raw Data'!$C:$O,6,0)),"")</f>
        <v/>
      </c>
      <c r="O1866" s="55" t="str">
        <f>IFERROR(IF(OR($B1866="",$B1866="(blank)"),"",VLOOKUP($B1866,'Email Marketing Raw Data'!$C:$O,7,0)),"")</f>
        <v/>
      </c>
      <c r="P1866" s="55" t="str">
        <f>IFERROR(IF(OR($B1866="",$B1866="(blank)"),"",VLOOKUP($B1866,'Email Marketing Raw Data'!$C:$O,8,0)),"")</f>
        <v/>
      </c>
      <c r="Q1866" s="62" t="str">
        <f>IFERROR(IF(OR($B1866="",$B1866="(blank)"),"",VLOOKUP($B1866,'Email Marketing Raw Data'!$C:$O,9,0)),"")</f>
        <v/>
      </c>
    </row>
    <row r="1867" spans="4:17" ht="12.75" customHeight="1" x14ac:dyDescent="0.2">
      <c r="D1867" s="58" t="str">
        <f>IFERROR(IF(F1867&lt;&gt;"pending","",IF(OR($B1867="",$B1867="(blank)"),"",VLOOKUP($B1867,'Email Marketing Raw Data'!$C:$O,10,0))),"")</f>
        <v/>
      </c>
      <c r="E1867" s="59" t="str">
        <f>IFERROR(IF(F1867&lt;&gt;"pending","",IF(OR($B1867="",$B1867="(blank)"),"",VLOOKUP($B1867,'Email Marketing Raw Data'!$C:$O,11,0))),"")</f>
        <v/>
      </c>
      <c r="F1867" s="54" t="str">
        <f>IFERROR(IF(OR($B1867="",$B1867="(blank)"),"",VLOOKUP($B1867,'Email Marketing Raw Data'!$C:$O,13,0)),"")</f>
        <v/>
      </c>
      <c r="G1867" s="55" t="str">
        <f>IFERROR(IF(OR($B1867="",$B1867="(blank)"),"",VLOOKUP($B1867,'Email Marketing Raw Data'!$C:$O,4,0)),"")</f>
        <v/>
      </c>
      <c r="H1867" s="55" t="str">
        <f>IFERROR(IF(OR($B1867="",$B1867="(blank)"),"",VLOOKUP($B1867,'Email Marketing Raw Data'!$C:$O,5,0)),"")</f>
        <v/>
      </c>
      <c r="I1867" s="55" t="str">
        <f>IFERROR(IF($G1867="","",VLOOKUP('Dashboard And Emails Automate'!$G1867,Database!$H:$N,3,0)),"")</f>
        <v/>
      </c>
      <c r="J1867" s="55" t="str">
        <f>IFERROR(IF($G1867="","",VLOOKUP('Dashboard And Emails Automate'!$G1867,Database!$H:$N,4,0)),"")</f>
        <v/>
      </c>
      <c r="K1867" s="55" t="str">
        <f>IFERROR(IF($G1867="","",VLOOKUP('Dashboard And Emails Automate'!$G1867,Database!$H:$N,5,0)),"")</f>
        <v/>
      </c>
      <c r="L1867" s="55" t="str">
        <f>IFERROR(IF($G1867="","",VLOOKUP('Dashboard And Emails Automate'!$G1867,Database!$H:$N,6,0)),"")</f>
        <v/>
      </c>
      <c r="M1867" s="55" t="str">
        <f>IFERROR(IF($G1867="","",VLOOKUP('Dashboard And Emails Automate'!$G1867,Database!$H:$N,7,0)),"")</f>
        <v/>
      </c>
      <c r="N1867" s="55" t="str">
        <f>IFERROR(IF(OR($B1867="",$B1867="(blank)"),"",VLOOKUP($B1867,'Email Marketing Raw Data'!$C:$O,6,0)),"")</f>
        <v/>
      </c>
      <c r="O1867" s="55" t="str">
        <f>IFERROR(IF(OR($B1867="",$B1867="(blank)"),"",VLOOKUP($B1867,'Email Marketing Raw Data'!$C:$O,7,0)),"")</f>
        <v/>
      </c>
      <c r="P1867" s="55" t="str">
        <f>IFERROR(IF(OR($B1867="",$B1867="(blank)"),"",VLOOKUP($B1867,'Email Marketing Raw Data'!$C:$O,8,0)),"")</f>
        <v/>
      </c>
      <c r="Q1867" s="62" t="str">
        <f>IFERROR(IF(OR($B1867="",$B1867="(blank)"),"",VLOOKUP($B1867,'Email Marketing Raw Data'!$C:$O,9,0)),"")</f>
        <v/>
      </c>
    </row>
    <row r="1868" spans="4:17" ht="12.75" customHeight="1" x14ac:dyDescent="0.2">
      <c r="D1868" s="58" t="str">
        <f>IFERROR(IF(F1868&lt;&gt;"pending","",IF(OR($B1868="",$B1868="(blank)"),"",VLOOKUP($B1868,'Email Marketing Raw Data'!$C:$O,10,0))),"")</f>
        <v/>
      </c>
      <c r="E1868" s="59" t="str">
        <f>IFERROR(IF(F1868&lt;&gt;"pending","",IF(OR($B1868="",$B1868="(blank)"),"",VLOOKUP($B1868,'Email Marketing Raw Data'!$C:$O,11,0))),"")</f>
        <v/>
      </c>
      <c r="F1868" s="54" t="str">
        <f>IFERROR(IF(OR($B1868="",$B1868="(blank)"),"",VLOOKUP($B1868,'Email Marketing Raw Data'!$C:$O,13,0)),"")</f>
        <v/>
      </c>
      <c r="G1868" s="55" t="str">
        <f>IFERROR(IF(OR($B1868="",$B1868="(blank)"),"",VLOOKUP($B1868,'Email Marketing Raw Data'!$C:$O,4,0)),"")</f>
        <v/>
      </c>
      <c r="H1868" s="55" t="str">
        <f>IFERROR(IF(OR($B1868="",$B1868="(blank)"),"",VLOOKUP($B1868,'Email Marketing Raw Data'!$C:$O,5,0)),"")</f>
        <v/>
      </c>
      <c r="I1868" s="55" t="str">
        <f>IFERROR(IF($G1868="","",VLOOKUP('Dashboard And Emails Automate'!$G1868,Database!$H:$N,3,0)),"")</f>
        <v/>
      </c>
      <c r="J1868" s="55" t="str">
        <f>IFERROR(IF($G1868="","",VLOOKUP('Dashboard And Emails Automate'!$G1868,Database!$H:$N,4,0)),"")</f>
        <v/>
      </c>
      <c r="K1868" s="55" t="str">
        <f>IFERROR(IF($G1868="","",VLOOKUP('Dashboard And Emails Automate'!$G1868,Database!$H:$N,5,0)),"")</f>
        <v/>
      </c>
      <c r="L1868" s="55" t="str">
        <f>IFERROR(IF($G1868="","",VLOOKUP('Dashboard And Emails Automate'!$G1868,Database!$H:$N,6,0)),"")</f>
        <v/>
      </c>
      <c r="M1868" s="55" t="str">
        <f>IFERROR(IF($G1868="","",VLOOKUP('Dashboard And Emails Automate'!$G1868,Database!$H:$N,7,0)),"")</f>
        <v/>
      </c>
      <c r="N1868" s="55" t="str">
        <f>IFERROR(IF(OR($B1868="",$B1868="(blank)"),"",VLOOKUP($B1868,'Email Marketing Raw Data'!$C:$O,6,0)),"")</f>
        <v/>
      </c>
      <c r="O1868" s="55" t="str">
        <f>IFERROR(IF(OR($B1868="",$B1868="(blank)"),"",VLOOKUP($B1868,'Email Marketing Raw Data'!$C:$O,7,0)),"")</f>
        <v/>
      </c>
      <c r="P1868" s="55" t="str">
        <f>IFERROR(IF(OR($B1868="",$B1868="(blank)"),"",VLOOKUP($B1868,'Email Marketing Raw Data'!$C:$O,8,0)),"")</f>
        <v/>
      </c>
      <c r="Q1868" s="62" t="str">
        <f>IFERROR(IF(OR($B1868="",$B1868="(blank)"),"",VLOOKUP($B1868,'Email Marketing Raw Data'!$C:$O,9,0)),"")</f>
        <v/>
      </c>
    </row>
    <row r="1869" spans="4:17" ht="12.75" customHeight="1" x14ac:dyDescent="0.2">
      <c r="D1869" s="58" t="str">
        <f>IFERROR(IF(F1869&lt;&gt;"pending","",IF(OR($B1869="",$B1869="(blank)"),"",VLOOKUP($B1869,'Email Marketing Raw Data'!$C:$O,10,0))),"")</f>
        <v/>
      </c>
      <c r="E1869" s="59" t="str">
        <f>IFERROR(IF(F1869&lt;&gt;"pending","",IF(OR($B1869="",$B1869="(blank)"),"",VLOOKUP($B1869,'Email Marketing Raw Data'!$C:$O,11,0))),"")</f>
        <v/>
      </c>
      <c r="F1869" s="54" t="str">
        <f>IFERROR(IF(OR($B1869="",$B1869="(blank)"),"",VLOOKUP($B1869,'Email Marketing Raw Data'!$C:$O,13,0)),"")</f>
        <v/>
      </c>
      <c r="G1869" s="55" t="str">
        <f>IFERROR(IF(OR($B1869="",$B1869="(blank)"),"",VLOOKUP($B1869,'Email Marketing Raw Data'!$C:$O,4,0)),"")</f>
        <v/>
      </c>
      <c r="H1869" s="55" t="str">
        <f>IFERROR(IF(OR($B1869="",$B1869="(blank)"),"",VLOOKUP($B1869,'Email Marketing Raw Data'!$C:$O,5,0)),"")</f>
        <v/>
      </c>
      <c r="I1869" s="55" t="str">
        <f>IFERROR(IF($G1869="","",VLOOKUP('Dashboard And Emails Automate'!$G1869,Database!$H:$N,3,0)),"")</f>
        <v/>
      </c>
      <c r="J1869" s="55" t="str">
        <f>IFERROR(IF($G1869="","",VLOOKUP('Dashboard And Emails Automate'!$G1869,Database!$H:$N,4,0)),"")</f>
        <v/>
      </c>
      <c r="K1869" s="55" t="str">
        <f>IFERROR(IF($G1869="","",VLOOKUP('Dashboard And Emails Automate'!$G1869,Database!$H:$N,5,0)),"")</f>
        <v/>
      </c>
      <c r="L1869" s="55" t="str">
        <f>IFERROR(IF($G1869="","",VLOOKUP('Dashboard And Emails Automate'!$G1869,Database!$H:$N,6,0)),"")</f>
        <v/>
      </c>
      <c r="M1869" s="55" t="str">
        <f>IFERROR(IF($G1869="","",VLOOKUP('Dashboard And Emails Automate'!$G1869,Database!$H:$N,7,0)),"")</f>
        <v/>
      </c>
      <c r="N1869" s="55" t="str">
        <f>IFERROR(IF(OR($B1869="",$B1869="(blank)"),"",VLOOKUP($B1869,'Email Marketing Raw Data'!$C:$O,6,0)),"")</f>
        <v/>
      </c>
      <c r="O1869" s="55" t="str">
        <f>IFERROR(IF(OR($B1869="",$B1869="(blank)"),"",VLOOKUP($B1869,'Email Marketing Raw Data'!$C:$O,7,0)),"")</f>
        <v/>
      </c>
      <c r="P1869" s="55" t="str">
        <f>IFERROR(IF(OR($B1869="",$B1869="(blank)"),"",VLOOKUP($B1869,'Email Marketing Raw Data'!$C:$O,8,0)),"")</f>
        <v/>
      </c>
      <c r="Q1869" s="62" t="str">
        <f>IFERROR(IF(OR($B1869="",$B1869="(blank)"),"",VLOOKUP($B1869,'Email Marketing Raw Data'!$C:$O,9,0)),"")</f>
        <v/>
      </c>
    </row>
    <row r="1870" spans="4:17" ht="12.75" customHeight="1" x14ac:dyDescent="0.2">
      <c r="D1870" s="58" t="str">
        <f>IFERROR(IF(F1870&lt;&gt;"pending","",IF(OR($B1870="",$B1870="(blank)"),"",VLOOKUP($B1870,'Email Marketing Raw Data'!$C:$O,10,0))),"")</f>
        <v/>
      </c>
      <c r="E1870" s="59" t="str">
        <f>IFERROR(IF(F1870&lt;&gt;"pending","",IF(OR($B1870="",$B1870="(blank)"),"",VLOOKUP($B1870,'Email Marketing Raw Data'!$C:$O,11,0))),"")</f>
        <v/>
      </c>
      <c r="F1870" s="54" t="str">
        <f>IFERROR(IF(OR($B1870="",$B1870="(blank)"),"",VLOOKUP($B1870,'Email Marketing Raw Data'!$C:$O,13,0)),"")</f>
        <v/>
      </c>
      <c r="G1870" s="55" t="str">
        <f>IFERROR(IF(OR($B1870="",$B1870="(blank)"),"",VLOOKUP($B1870,'Email Marketing Raw Data'!$C:$O,4,0)),"")</f>
        <v/>
      </c>
      <c r="H1870" s="55" t="str">
        <f>IFERROR(IF(OR($B1870="",$B1870="(blank)"),"",VLOOKUP($B1870,'Email Marketing Raw Data'!$C:$O,5,0)),"")</f>
        <v/>
      </c>
      <c r="I1870" s="55" t="str">
        <f>IFERROR(IF($G1870="","",VLOOKUP('Dashboard And Emails Automate'!$G1870,Database!$H:$N,3,0)),"")</f>
        <v/>
      </c>
      <c r="J1870" s="55" t="str">
        <f>IFERROR(IF($G1870="","",VLOOKUP('Dashboard And Emails Automate'!$G1870,Database!$H:$N,4,0)),"")</f>
        <v/>
      </c>
      <c r="K1870" s="55" t="str">
        <f>IFERROR(IF($G1870="","",VLOOKUP('Dashboard And Emails Automate'!$G1870,Database!$H:$N,5,0)),"")</f>
        <v/>
      </c>
      <c r="L1870" s="55" t="str">
        <f>IFERROR(IF($G1870="","",VLOOKUP('Dashboard And Emails Automate'!$G1870,Database!$H:$N,6,0)),"")</f>
        <v/>
      </c>
      <c r="M1870" s="55" t="str">
        <f>IFERROR(IF($G1870="","",VLOOKUP('Dashboard And Emails Automate'!$G1870,Database!$H:$N,7,0)),"")</f>
        <v/>
      </c>
      <c r="N1870" s="55" t="str">
        <f>IFERROR(IF(OR($B1870="",$B1870="(blank)"),"",VLOOKUP($B1870,'Email Marketing Raw Data'!$C:$O,6,0)),"")</f>
        <v/>
      </c>
      <c r="O1870" s="55" t="str">
        <f>IFERROR(IF(OR($B1870="",$B1870="(blank)"),"",VLOOKUP($B1870,'Email Marketing Raw Data'!$C:$O,7,0)),"")</f>
        <v/>
      </c>
      <c r="P1870" s="55" t="str">
        <f>IFERROR(IF(OR($B1870="",$B1870="(blank)"),"",VLOOKUP($B1870,'Email Marketing Raw Data'!$C:$O,8,0)),"")</f>
        <v/>
      </c>
      <c r="Q1870" s="62" t="str">
        <f>IFERROR(IF(OR($B1870="",$B1870="(blank)"),"",VLOOKUP($B1870,'Email Marketing Raw Data'!$C:$O,9,0)),"")</f>
        <v/>
      </c>
    </row>
    <row r="1871" spans="4:17" ht="12.75" customHeight="1" x14ac:dyDescent="0.2">
      <c r="D1871" s="58" t="str">
        <f>IFERROR(IF(F1871&lt;&gt;"pending","",IF(OR($B1871="",$B1871="(blank)"),"",VLOOKUP($B1871,'Email Marketing Raw Data'!$C:$O,10,0))),"")</f>
        <v/>
      </c>
      <c r="E1871" s="59" t="str">
        <f>IFERROR(IF(F1871&lt;&gt;"pending","",IF(OR($B1871="",$B1871="(blank)"),"",VLOOKUP($B1871,'Email Marketing Raw Data'!$C:$O,11,0))),"")</f>
        <v/>
      </c>
      <c r="F1871" s="54" t="str">
        <f>IFERROR(IF(OR($B1871="",$B1871="(blank)"),"",VLOOKUP($B1871,'Email Marketing Raw Data'!$C:$O,13,0)),"")</f>
        <v/>
      </c>
      <c r="G1871" s="55" t="str">
        <f>IFERROR(IF(OR($B1871="",$B1871="(blank)"),"",VLOOKUP($B1871,'Email Marketing Raw Data'!$C:$O,4,0)),"")</f>
        <v/>
      </c>
      <c r="H1871" s="55" t="str">
        <f>IFERROR(IF(OR($B1871="",$B1871="(blank)"),"",VLOOKUP($B1871,'Email Marketing Raw Data'!$C:$O,5,0)),"")</f>
        <v/>
      </c>
      <c r="I1871" s="55" t="str">
        <f>IFERROR(IF($G1871="","",VLOOKUP('Dashboard And Emails Automate'!$G1871,Database!$H:$N,3,0)),"")</f>
        <v/>
      </c>
      <c r="J1871" s="55" t="str">
        <f>IFERROR(IF($G1871="","",VLOOKUP('Dashboard And Emails Automate'!$G1871,Database!$H:$N,4,0)),"")</f>
        <v/>
      </c>
      <c r="K1871" s="55" t="str">
        <f>IFERROR(IF($G1871="","",VLOOKUP('Dashboard And Emails Automate'!$G1871,Database!$H:$N,5,0)),"")</f>
        <v/>
      </c>
      <c r="L1871" s="55" t="str">
        <f>IFERROR(IF($G1871="","",VLOOKUP('Dashboard And Emails Automate'!$G1871,Database!$H:$N,6,0)),"")</f>
        <v/>
      </c>
      <c r="M1871" s="55" t="str">
        <f>IFERROR(IF($G1871="","",VLOOKUP('Dashboard And Emails Automate'!$G1871,Database!$H:$N,7,0)),"")</f>
        <v/>
      </c>
      <c r="N1871" s="55" t="str">
        <f>IFERROR(IF(OR($B1871="",$B1871="(blank)"),"",VLOOKUP($B1871,'Email Marketing Raw Data'!$C:$O,6,0)),"")</f>
        <v/>
      </c>
      <c r="O1871" s="55" t="str">
        <f>IFERROR(IF(OR($B1871="",$B1871="(blank)"),"",VLOOKUP($B1871,'Email Marketing Raw Data'!$C:$O,7,0)),"")</f>
        <v/>
      </c>
      <c r="P1871" s="55" t="str">
        <f>IFERROR(IF(OR($B1871="",$B1871="(blank)"),"",VLOOKUP($B1871,'Email Marketing Raw Data'!$C:$O,8,0)),"")</f>
        <v/>
      </c>
      <c r="Q1871" s="62" t="str">
        <f>IFERROR(IF(OR($B1871="",$B1871="(blank)"),"",VLOOKUP($B1871,'Email Marketing Raw Data'!$C:$O,9,0)),"")</f>
        <v/>
      </c>
    </row>
    <row r="1872" spans="4:17" ht="12.75" customHeight="1" x14ac:dyDescent="0.2">
      <c r="D1872" s="58" t="str">
        <f>IFERROR(IF(F1872&lt;&gt;"pending","",IF(OR($B1872="",$B1872="(blank)"),"",VLOOKUP($B1872,'Email Marketing Raw Data'!$C:$O,10,0))),"")</f>
        <v/>
      </c>
      <c r="E1872" s="59" t="str">
        <f>IFERROR(IF(F1872&lt;&gt;"pending","",IF(OR($B1872="",$B1872="(blank)"),"",VLOOKUP($B1872,'Email Marketing Raw Data'!$C:$O,11,0))),"")</f>
        <v/>
      </c>
      <c r="F1872" s="54" t="str">
        <f>IFERROR(IF(OR($B1872="",$B1872="(blank)"),"",VLOOKUP($B1872,'Email Marketing Raw Data'!$C:$O,13,0)),"")</f>
        <v/>
      </c>
      <c r="G1872" s="55" t="str">
        <f>IFERROR(IF(OR($B1872="",$B1872="(blank)"),"",VLOOKUP($B1872,'Email Marketing Raw Data'!$C:$O,4,0)),"")</f>
        <v/>
      </c>
      <c r="H1872" s="55" t="str">
        <f>IFERROR(IF(OR($B1872="",$B1872="(blank)"),"",VLOOKUP($B1872,'Email Marketing Raw Data'!$C:$O,5,0)),"")</f>
        <v/>
      </c>
      <c r="I1872" s="55" t="str">
        <f>IFERROR(IF($G1872="","",VLOOKUP('Dashboard And Emails Automate'!$G1872,Database!$H:$N,3,0)),"")</f>
        <v/>
      </c>
      <c r="J1872" s="55" t="str">
        <f>IFERROR(IF($G1872="","",VLOOKUP('Dashboard And Emails Automate'!$G1872,Database!$H:$N,4,0)),"")</f>
        <v/>
      </c>
      <c r="K1872" s="55" t="str">
        <f>IFERROR(IF($G1872="","",VLOOKUP('Dashboard And Emails Automate'!$G1872,Database!$H:$N,5,0)),"")</f>
        <v/>
      </c>
      <c r="L1872" s="55" t="str">
        <f>IFERROR(IF($G1872="","",VLOOKUP('Dashboard And Emails Automate'!$G1872,Database!$H:$N,6,0)),"")</f>
        <v/>
      </c>
      <c r="M1872" s="55" t="str">
        <f>IFERROR(IF($G1872="","",VLOOKUP('Dashboard And Emails Automate'!$G1872,Database!$H:$N,7,0)),"")</f>
        <v/>
      </c>
      <c r="N1872" s="55" t="str">
        <f>IFERROR(IF(OR($B1872="",$B1872="(blank)"),"",VLOOKUP($B1872,'Email Marketing Raw Data'!$C:$O,6,0)),"")</f>
        <v/>
      </c>
      <c r="O1872" s="55" t="str">
        <f>IFERROR(IF(OR($B1872="",$B1872="(blank)"),"",VLOOKUP($B1872,'Email Marketing Raw Data'!$C:$O,7,0)),"")</f>
        <v/>
      </c>
      <c r="P1872" s="55" t="str">
        <f>IFERROR(IF(OR($B1872="",$B1872="(blank)"),"",VLOOKUP($B1872,'Email Marketing Raw Data'!$C:$O,8,0)),"")</f>
        <v/>
      </c>
      <c r="Q1872" s="62" t="str">
        <f>IFERROR(IF(OR($B1872="",$B1872="(blank)"),"",VLOOKUP($B1872,'Email Marketing Raw Data'!$C:$O,9,0)),"")</f>
        <v/>
      </c>
    </row>
    <row r="1873" spans="4:17" ht="12.75" customHeight="1" x14ac:dyDescent="0.2">
      <c r="D1873" s="58" t="str">
        <f>IFERROR(IF(F1873&lt;&gt;"pending","",IF(OR($B1873="",$B1873="(blank)"),"",VLOOKUP($B1873,'Email Marketing Raw Data'!$C:$O,10,0))),"")</f>
        <v/>
      </c>
      <c r="E1873" s="59" t="str">
        <f>IFERROR(IF(F1873&lt;&gt;"pending","",IF(OR($B1873="",$B1873="(blank)"),"",VLOOKUP($B1873,'Email Marketing Raw Data'!$C:$O,11,0))),"")</f>
        <v/>
      </c>
      <c r="F1873" s="54" t="str">
        <f>IFERROR(IF(OR($B1873="",$B1873="(blank)"),"",VLOOKUP($B1873,'Email Marketing Raw Data'!$C:$O,13,0)),"")</f>
        <v/>
      </c>
      <c r="G1873" s="55" t="str">
        <f>IFERROR(IF(OR($B1873="",$B1873="(blank)"),"",VLOOKUP($B1873,'Email Marketing Raw Data'!$C:$O,4,0)),"")</f>
        <v/>
      </c>
      <c r="H1873" s="55" t="str">
        <f>IFERROR(IF(OR($B1873="",$B1873="(blank)"),"",VLOOKUP($B1873,'Email Marketing Raw Data'!$C:$O,5,0)),"")</f>
        <v/>
      </c>
      <c r="I1873" s="55" t="str">
        <f>IFERROR(IF($G1873="","",VLOOKUP('Dashboard And Emails Automate'!$G1873,Database!$H:$N,3,0)),"")</f>
        <v/>
      </c>
      <c r="J1873" s="55" t="str">
        <f>IFERROR(IF($G1873="","",VLOOKUP('Dashboard And Emails Automate'!$G1873,Database!$H:$N,4,0)),"")</f>
        <v/>
      </c>
      <c r="K1873" s="55" t="str">
        <f>IFERROR(IF($G1873="","",VLOOKUP('Dashboard And Emails Automate'!$G1873,Database!$H:$N,5,0)),"")</f>
        <v/>
      </c>
      <c r="L1873" s="55" t="str">
        <f>IFERROR(IF($G1873="","",VLOOKUP('Dashboard And Emails Automate'!$G1873,Database!$H:$N,6,0)),"")</f>
        <v/>
      </c>
      <c r="M1873" s="55" t="str">
        <f>IFERROR(IF($G1873="","",VLOOKUP('Dashboard And Emails Automate'!$G1873,Database!$H:$N,7,0)),"")</f>
        <v/>
      </c>
      <c r="N1873" s="55" t="str">
        <f>IFERROR(IF(OR($B1873="",$B1873="(blank)"),"",VLOOKUP($B1873,'Email Marketing Raw Data'!$C:$O,6,0)),"")</f>
        <v/>
      </c>
      <c r="O1873" s="55" t="str">
        <f>IFERROR(IF(OR($B1873="",$B1873="(blank)"),"",VLOOKUP($B1873,'Email Marketing Raw Data'!$C:$O,7,0)),"")</f>
        <v/>
      </c>
      <c r="P1873" s="55" t="str">
        <f>IFERROR(IF(OR($B1873="",$B1873="(blank)"),"",VLOOKUP($B1873,'Email Marketing Raw Data'!$C:$O,8,0)),"")</f>
        <v/>
      </c>
      <c r="Q1873" s="62" t="str">
        <f>IFERROR(IF(OR($B1873="",$B1873="(blank)"),"",VLOOKUP($B1873,'Email Marketing Raw Data'!$C:$O,9,0)),"")</f>
        <v/>
      </c>
    </row>
    <row r="1874" spans="4:17" ht="12.75" customHeight="1" x14ac:dyDescent="0.2">
      <c r="D1874" s="58" t="str">
        <f>IFERROR(IF(F1874&lt;&gt;"pending","",IF(OR($B1874="",$B1874="(blank)"),"",VLOOKUP($B1874,'Email Marketing Raw Data'!$C:$O,10,0))),"")</f>
        <v/>
      </c>
      <c r="E1874" s="59" t="str">
        <f>IFERROR(IF(F1874&lt;&gt;"pending","",IF(OR($B1874="",$B1874="(blank)"),"",VLOOKUP($B1874,'Email Marketing Raw Data'!$C:$O,11,0))),"")</f>
        <v/>
      </c>
      <c r="F1874" s="54" t="str">
        <f>IFERROR(IF(OR($B1874="",$B1874="(blank)"),"",VLOOKUP($B1874,'Email Marketing Raw Data'!$C:$O,13,0)),"")</f>
        <v/>
      </c>
      <c r="G1874" s="55" t="str">
        <f>IFERROR(IF(OR($B1874="",$B1874="(blank)"),"",VLOOKUP($B1874,'Email Marketing Raw Data'!$C:$O,4,0)),"")</f>
        <v/>
      </c>
      <c r="H1874" s="55" t="str">
        <f>IFERROR(IF(OR($B1874="",$B1874="(blank)"),"",VLOOKUP($B1874,'Email Marketing Raw Data'!$C:$O,5,0)),"")</f>
        <v/>
      </c>
      <c r="I1874" s="55" t="str">
        <f>IFERROR(IF($G1874="","",VLOOKUP('Dashboard And Emails Automate'!$G1874,Database!$H:$N,3,0)),"")</f>
        <v/>
      </c>
      <c r="J1874" s="55" t="str">
        <f>IFERROR(IF($G1874="","",VLOOKUP('Dashboard And Emails Automate'!$G1874,Database!$H:$N,4,0)),"")</f>
        <v/>
      </c>
      <c r="K1874" s="55" t="str">
        <f>IFERROR(IF($G1874="","",VLOOKUP('Dashboard And Emails Automate'!$G1874,Database!$H:$N,5,0)),"")</f>
        <v/>
      </c>
      <c r="L1874" s="55" t="str">
        <f>IFERROR(IF($G1874="","",VLOOKUP('Dashboard And Emails Automate'!$G1874,Database!$H:$N,6,0)),"")</f>
        <v/>
      </c>
      <c r="M1874" s="55" t="str">
        <f>IFERROR(IF($G1874="","",VLOOKUP('Dashboard And Emails Automate'!$G1874,Database!$H:$N,7,0)),"")</f>
        <v/>
      </c>
      <c r="N1874" s="55" t="str">
        <f>IFERROR(IF(OR($B1874="",$B1874="(blank)"),"",VLOOKUP($B1874,'Email Marketing Raw Data'!$C:$O,6,0)),"")</f>
        <v/>
      </c>
      <c r="O1874" s="55" t="str">
        <f>IFERROR(IF(OR($B1874="",$B1874="(blank)"),"",VLOOKUP($B1874,'Email Marketing Raw Data'!$C:$O,7,0)),"")</f>
        <v/>
      </c>
      <c r="P1874" s="55" t="str">
        <f>IFERROR(IF(OR($B1874="",$B1874="(blank)"),"",VLOOKUP($B1874,'Email Marketing Raw Data'!$C:$O,8,0)),"")</f>
        <v/>
      </c>
      <c r="Q1874" s="62" t="str">
        <f>IFERROR(IF(OR($B1874="",$B1874="(blank)"),"",VLOOKUP($B1874,'Email Marketing Raw Data'!$C:$O,9,0)),"")</f>
        <v/>
      </c>
    </row>
    <row r="1875" spans="4:17" ht="12.75" customHeight="1" x14ac:dyDescent="0.2">
      <c r="D1875" s="58" t="str">
        <f>IFERROR(IF(F1875&lt;&gt;"pending","",IF(OR($B1875="",$B1875="(blank)"),"",VLOOKUP($B1875,'Email Marketing Raw Data'!$C:$O,10,0))),"")</f>
        <v/>
      </c>
      <c r="E1875" s="59" t="str">
        <f>IFERROR(IF(F1875&lt;&gt;"pending","",IF(OR($B1875="",$B1875="(blank)"),"",VLOOKUP($B1875,'Email Marketing Raw Data'!$C:$O,11,0))),"")</f>
        <v/>
      </c>
      <c r="F1875" s="54" t="str">
        <f>IFERROR(IF(OR($B1875="",$B1875="(blank)"),"",VLOOKUP($B1875,'Email Marketing Raw Data'!$C:$O,13,0)),"")</f>
        <v/>
      </c>
      <c r="G1875" s="55" t="str">
        <f>IFERROR(IF(OR($B1875="",$B1875="(blank)"),"",VLOOKUP($B1875,'Email Marketing Raw Data'!$C:$O,4,0)),"")</f>
        <v/>
      </c>
      <c r="H1875" s="55" t="str">
        <f>IFERROR(IF(OR($B1875="",$B1875="(blank)"),"",VLOOKUP($B1875,'Email Marketing Raw Data'!$C:$O,5,0)),"")</f>
        <v/>
      </c>
      <c r="I1875" s="55" t="str">
        <f>IFERROR(IF($G1875="","",VLOOKUP('Dashboard And Emails Automate'!$G1875,Database!$H:$N,3,0)),"")</f>
        <v/>
      </c>
      <c r="J1875" s="55" t="str">
        <f>IFERROR(IF($G1875="","",VLOOKUP('Dashboard And Emails Automate'!$G1875,Database!$H:$N,4,0)),"")</f>
        <v/>
      </c>
      <c r="K1875" s="55" t="str">
        <f>IFERROR(IF($G1875="","",VLOOKUP('Dashboard And Emails Automate'!$G1875,Database!$H:$N,5,0)),"")</f>
        <v/>
      </c>
      <c r="L1875" s="55" t="str">
        <f>IFERROR(IF($G1875="","",VLOOKUP('Dashboard And Emails Automate'!$G1875,Database!$H:$N,6,0)),"")</f>
        <v/>
      </c>
      <c r="M1875" s="55" t="str">
        <f>IFERROR(IF($G1875="","",VLOOKUP('Dashboard And Emails Automate'!$G1875,Database!$H:$N,7,0)),"")</f>
        <v/>
      </c>
      <c r="N1875" s="55" t="str">
        <f>IFERROR(IF(OR($B1875="",$B1875="(blank)"),"",VLOOKUP($B1875,'Email Marketing Raw Data'!$C:$O,6,0)),"")</f>
        <v/>
      </c>
      <c r="O1875" s="55" t="str">
        <f>IFERROR(IF(OR($B1875="",$B1875="(blank)"),"",VLOOKUP($B1875,'Email Marketing Raw Data'!$C:$O,7,0)),"")</f>
        <v/>
      </c>
      <c r="P1875" s="55" t="str">
        <f>IFERROR(IF(OR($B1875="",$B1875="(blank)"),"",VLOOKUP($B1875,'Email Marketing Raw Data'!$C:$O,8,0)),"")</f>
        <v/>
      </c>
      <c r="Q1875" s="62" t="str">
        <f>IFERROR(IF(OR($B1875="",$B1875="(blank)"),"",VLOOKUP($B1875,'Email Marketing Raw Data'!$C:$O,9,0)),"")</f>
        <v/>
      </c>
    </row>
    <row r="1876" spans="4:17" ht="12.75" customHeight="1" x14ac:dyDescent="0.2">
      <c r="D1876" s="58" t="str">
        <f>IFERROR(IF(F1876&lt;&gt;"pending","",IF(OR($B1876="",$B1876="(blank)"),"",VLOOKUP($B1876,'Email Marketing Raw Data'!$C:$O,10,0))),"")</f>
        <v/>
      </c>
      <c r="E1876" s="59" t="str">
        <f>IFERROR(IF(F1876&lt;&gt;"pending","",IF(OR($B1876="",$B1876="(blank)"),"",VLOOKUP($B1876,'Email Marketing Raw Data'!$C:$O,11,0))),"")</f>
        <v/>
      </c>
      <c r="F1876" s="54" t="str">
        <f>IFERROR(IF(OR($B1876="",$B1876="(blank)"),"",VLOOKUP($B1876,'Email Marketing Raw Data'!$C:$O,13,0)),"")</f>
        <v/>
      </c>
      <c r="G1876" s="55" t="str">
        <f>IFERROR(IF(OR($B1876="",$B1876="(blank)"),"",VLOOKUP($B1876,'Email Marketing Raw Data'!$C:$O,4,0)),"")</f>
        <v/>
      </c>
      <c r="H1876" s="55" t="str">
        <f>IFERROR(IF(OR($B1876="",$B1876="(blank)"),"",VLOOKUP($B1876,'Email Marketing Raw Data'!$C:$O,5,0)),"")</f>
        <v/>
      </c>
      <c r="I1876" s="55" t="str">
        <f>IFERROR(IF($G1876="","",VLOOKUP('Dashboard And Emails Automate'!$G1876,Database!$H:$N,3,0)),"")</f>
        <v/>
      </c>
      <c r="J1876" s="55" t="str">
        <f>IFERROR(IF($G1876="","",VLOOKUP('Dashboard And Emails Automate'!$G1876,Database!$H:$N,4,0)),"")</f>
        <v/>
      </c>
      <c r="K1876" s="55" t="str">
        <f>IFERROR(IF($G1876="","",VLOOKUP('Dashboard And Emails Automate'!$G1876,Database!$H:$N,5,0)),"")</f>
        <v/>
      </c>
      <c r="L1876" s="55" t="str">
        <f>IFERROR(IF($G1876="","",VLOOKUP('Dashboard And Emails Automate'!$G1876,Database!$H:$N,6,0)),"")</f>
        <v/>
      </c>
      <c r="M1876" s="55" t="str">
        <f>IFERROR(IF($G1876="","",VLOOKUP('Dashboard And Emails Automate'!$G1876,Database!$H:$N,7,0)),"")</f>
        <v/>
      </c>
      <c r="N1876" s="55" t="str">
        <f>IFERROR(IF(OR($B1876="",$B1876="(blank)"),"",VLOOKUP($B1876,'Email Marketing Raw Data'!$C:$O,6,0)),"")</f>
        <v/>
      </c>
      <c r="O1876" s="55" t="str">
        <f>IFERROR(IF(OR($B1876="",$B1876="(blank)"),"",VLOOKUP($B1876,'Email Marketing Raw Data'!$C:$O,7,0)),"")</f>
        <v/>
      </c>
      <c r="P1876" s="55" t="str">
        <f>IFERROR(IF(OR($B1876="",$B1876="(blank)"),"",VLOOKUP($B1876,'Email Marketing Raw Data'!$C:$O,8,0)),"")</f>
        <v/>
      </c>
      <c r="Q1876" s="62" t="str">
        <f>IFERROR(IF(OR($B1876="",$B1876="(blank)"),"",VLOOKUP($B1876,'Email Marketing Raw Data'!$C:$O,9,0)),"")</f>
        <v/>
      </c>
    </row>
    <row r="1877" spans="4:17" ht="12.75" customHeight="1" x14ac:dyDescent="0.2">
      <c r="D1877" s="58" t="str">
        <f>IFERROR(IF(F1877&lt;&gt;"pending","",IF(OR($B1877="",$B1877="(blank)"),"",VLOOKUP($B1877,'Email Marketing Raw Data'!$C:$O,10,0))),"")</f>
        <v/>
      </c>
      <c r="E1877" s="59" t="str">
        <f>IFERROR(IF(F1877&lt;&gt;"pending","",IF(OR($B1877="",$B1877="(blank)"),"",VLOOKUP($B1877,'Email Marketing Raw Data'!$C:$O,11,0))),"")</f>
        <v/>
      </c>
      <c r="F1877" s="54" t="str">
        <f>IFERROR(IF(OR($B1877="",$B1877="(blank)"),"",VLOOKUP($B1877,'Email Marketing Raw Data'!$C:$O,13,0)),"")</f>
        <v/>
      </c>
      <c r="G1877" s="55" t="str">
        <f>IFERROR(IF(OR($B1877="",$B1877="(blank)"),"",VLOOKUP($B1877,'Email Marketing Raw Data'!$C:$O,4,0)),"")</f>
        <v/>
      </c>
      <c r="H1877" s="55" t="str">
        <f>IFERROR(IF(OR($B1877="",$B1877="(blank)"),"",VLOOKUP($B1877,'Email Marketing Raw Data'!$C:$O,5,0)),"")</f>
        <v/>
      </c>
      <c r="I1877" s="55" t="str">
        <f>IFERROR(IF($G1877="","",VLOOKUP('Dashboard And Emails Automate'!$G1877,Database!$H:$N,3,0)),"")</f>
        <v/>
      </c>
      <c r="J1877" s="55" t="str">
        <f>IFERROR(IF($G1877="","",VLOOKUP('Dashboard And Emails Automate'!$G1877,Database!$H:$N,4,0)),"")</f>
        <v/>
      </c>
      <c r="K1877" s="55" t="str">
        <f>IFERROR(IF($G1877="","",VLOOKUP('Dashboard And Emails Automate'!$G1877,Database!$H:$N,5,0)),"")</f>
        <v/>
      </c>
      <c r="L1877" s="55" t="str">
        <f>IFERROR(IF($G1877="","",VLOOKUP('Dashboard And Emails Automate'!$G1877,Database!$H:$N,6,0)),"")</f>
        <v/>
      </c>
      <c r="M1877" s="55" t="str">
        <f>IFERROR(IF($G1877="","",VLOOKUP('Dashboard And Emails Automate'!$G1877,Database!$H:$N,7,0)),"")</f>
        <v/>
      </c>
      <c r="N1877" s="55" t="str">
        <f>IFERROR(IF(OR($B1877="",$B1877="(blank)"),"",VLOOKUP($B1877,'Email Marketing Raw Data'!$C:$O,6,0)),"")</f>
        <v/>
      </c>
      <c r="O1877" s="55" t="str">
        <f>IFERROR(IF(OR($B1877="",$B1877="(blank)"),"",VLOOKUP($B1877,'Email Marketing Raw Data'!$C:$O,7,0)),"")</f>
        <v/>
      </c>
      <c r="P1877" s="55" t="str">
        <f>IFERROR(IF(OR($B1877="",$B1877="(blank)"),"",VLOOKUP($B1877,'Email Marketing Raw Data'!$C:$O,8,0)),"")</f>
        <v/>
      </c>
      <c r="Q1877" s="62" t="str">
        <f>IFERROR(IF(OR($B1877="",$B1877="(blank)"),"",VLOOKUP($B1877,'Email Marketing Raw Data'!$C:$O,9,0)),"")</f>
        <v/>
      </c>
    </row>
    <row r="1878" spans="4:17" ht="12.75" customHeight="1" x14ac:dyDescent="0.2">
      <c r="D1878" s="58" t="str">
        <f>IFERROR(IF(F1878&lt;&gt;"pending","",IF(OR($B1878="",$B1878="(blank)"),"",VLOOKUP($B1878,'Email Marketing Raw Data'!$C:$O,10,0))),"")</f>
        <v/>
      </c>
      <c r="E1878" s="59" t="str">
        <f>IFERROR(IF(F1878&lt;&gt;"pending","",IF(OR($B1878="",$B1878="(blank)"),"",VLOOKUP($B1878,'Email Marketing Raw Data'!$C:$O,11,0))),"")</f>
        <v/>
      </c>
      <c r="F1878" s="54" t="str">
        <f>IFERROR(IF(OR($B1878="",$B1878="(blank)"),"",VLOOKUP($B1878,'Email Marketing Raw Data'!$C:$O,13,0)),"")</f>
        <v/>
      </c>
      <c r="G1878" s="55" t="str">
        <f>IFERROR(IF(OR($B1878="",$B1878="(blank)"),"",VLOOKUP($B1878,'Email Marketing Raw Data'!$C:$O,4,0)),"")</f>
        <v/>
      </c>
      <c r="H1878" s="55" t="str">
        <f>IFERROR(IF(OR($B1878="",$B1878="(blank)"),"",VLOOKUP($B1878,'Email Marketing Raw Data'!$C:$O,5,0)),"")</f>
        <v/>
      </c>
      <c r="I1878" s="55" t="str">
        <f>IFERROR(IF($G1878="","",VLOOKUP('Dashboard And Emails Automate'!$G1878,Database!$H:$N,3,0)),"")</f>
        <v/>
      </c>
      <c r="J1878" s="55" t="str">
        <f>IFERROR(IF($G1878="","",VLOOKUP('Dashboard And Emails Automate'!$G1878,Database!$H:$N,4,0)),"")</f>
        <v/>
      </c>
      <c r="K1878" s="55" t="str">
        <f>IFERROR(IF($G1878="","",VLOOKUP('Dashboard And Emails Automate'!$G1878,Database!$H:$N,5,0)),"")</f>
        <v/>
      </c>
      <c r="L1878" s="55" t="str">
        <f>IFERROR(IF($G1878="","",VLOOKUP('Dashboard And Emails Automate'!$G1878,Database!$H:$N,6,0)),"")</f>
        <v/>
      </c>
      <c r="M1878" s="55" t="str">
        <f>IFERROR(IF($G1878="","",VLOOKUP('Dashboard And Emails Automate'!$G1878,Database!$H:$N,7,0)),"")</f>
        <v/>
      </c>
      <c r="N1878" s="55" t="str">
        <f>IFERROR(IF(OR($B1878="",$B1878="(blank)"),"",VLOOKUP($B1878,'Email Marketing Raw Data'!$C:$O,6,0)),"")</f>
        <v/>
      </c>
      <c r="O1878" s="55" t="str">
        <f>IFERROR(IF(OR($B1878="",$B1878="(blank)"),"",VLOOKUP($B1878,'Email Marketing Raw Data'!$C:$O,7,0)),"")</f>
        <v/>
      </c>
      <c r="P1878" s="55" t="str">
        <f>IFERROR(IF(OR($B1878="",$B1878="(blank)"),"",VLOOKUP($B1878,'Email Marketing Raw Data'!$C:$O,8,0)),"")</f>
        <v/>
      </c>
      <c r="Q1878" s="62" t="str">
        <f>IFERROR(IF(OR($B1878="",$B1878="(blank)"),"",VLOOKUP($B1878,'Email Marketing Raw Data'!$C:$O,9,0)),"")</f>
        <v/>
      </c>
    </row>
    <row r="1879" spans="4:17" ht="12.75" customHeight="1" x14ac:dyDescent="0.2">
      <c r="D1879" s="58" t="str">
        <f>IFERROR(IF(F1879&lt;&gt;"pending","",IF(OR($B1879="",$B1879="(blank)"),"",VLOOKUP($B1879,'Email Marketing Raw Data'!$C:$O,10,0))),"")</f>
        <v/>
      </c>
      <c r="E1879" s="59" t="str">
        <f>IFERROR(IF(F1879&lt;&gt;"pending","",IF(OR($B1879="",$B1879="(blank)"),"",VLOOKUP($B1879,'Email Marketing Raw Data'!$C:$O,11,0))),"")</f>
        <v/>
      </c>
      <c r="F1879" s="54" t="str">
        <f>IFERROR(IF(OR($B1879="",$B1879="(blank)"),"",VLOOKUP($B1879,'Email Marketing Raw Data'!$C:$O,13,0)),"")</f>
        <v/>
      </c>
      <c r="G1879" s="55" t="str">
        <f>IFERROR(IF(OR($B1879="",$B1879="(blank)"),"",VLOOKUP($B1879,'Email Marketing Raw Data'!$C:$O,4,0)),"")</f>
        <v/>
      </c>
      <c r="H1879" s="55" t="str">
        <f>IFERROR(IF(OR($B1879="",$B1879="(blank)"),"",VLOOKUP($B1879,'Email Marketing Raw Data'!$C:$O,5,0)),"")</f>
        <v/>
      </c>
      <c r="I1879" s="55" t="str">
        <f>IFERROR(IF($G1879="","",VLOOKUP('Dashboard And Emails Automate'!$G1879,Database!$H:$N,3,0)),"")</f>
        <v/>
      </c>
      <c r="J1879" s="55" t="str">
        <f>IFERROR(IF($G1879="","",VLOOKUP('Dashboard And Emails Automate'!$G1879,Database!$H:$N,4,0)),"")</f>
        <v/>
      </c>
      <c r="K1879" s="55" t="str">
        <f>IFERROR(IF($G1879="","",VLOOKUP('Dashboard And Emails Automate'!$G1879,Database!$H:$N,5,0)),"")</f>
        <v/>
      </c>
      <c r="L1879" s="55" t="str">
        <f>IFERROR(IF($G1879="","",VLOOKUP('Dashboard And Emails Automate'!$G1879,Database!$H:$N,6,0)),"")</f>
        <v/>
      </c>
      <c r="M1879" s="55" t="str">
        <f>IFERROR(IF($G1879="","",VLOOKUP('Dashboard And Emails Automate'!$G1879,Database!$H:$N,7,0)),"")</f>
        <v/>
      </c>
      <c r="N1879" s="55" t="str">
        <f>IFERROR(IF(OR($B1879="",$B1879="(blank)"),"",VLOOKUP($B1879,'Email Marketing Raw Data'!$C:$O,6,0)),"")</f>
        <v/>
      </c>
      <c r="O1879" s="55" t="str">
        <f>IFERROR(IF(OR($B1879="",$B1879="(blank)"),"",VLOOKUP($B1879,'Email Marketing Raw Data'!$C:$O,7,0)),"")</f>
        <v/>
      </c>
      <c r="P1879" s="55" t="str">
        <f>IFERROR(IF(OR($B1879="",$B1879="(blank)"),"",VLOOKUP($B1879,'Email Marketing Raw Data'!$C:$O,8,0)),"")</f>
        <v/>
      </c>
      <c r="Q1879" s="62" t="str">
        <f>IFERROR(IF(OR($B1879="",$B1879="(blank)"),"",VLOOKUP($B1879,'Email Marketing Raw Data'!$C:$O,9,0)),"")</f>
        <v/>
      </c>
    </row>
    <row r="1880" spans="4:17" ht="12.75" customHeight="1" x14ac:dyDescent="0.2">
      <c r="D1880" s="58" t="str">
        <f>IFERROR(IF(F1880&lt;&gt;"pending","",IF(OR($B1880="",$B1880="(blank)"),"",VLOOKUP($B1880,'Email Marketing Raw Data'!$C:$O,10,0))),"")</f>
        <v/>
      </c>
      <c r="E1880" s="59" t="str">
        <f>IFERROR(IF(F1880&lt;&gt;"pending","",IF(OR($B1880="",$B1880="(blank)"),"",VLOOKUP($B1880,'Email Marketing Raw Data'!$C:$O,11,0))),"")</f>
        <v/>
      </c>
      <c r="F1880" s="54" t="str">
        <f>IFERROR(IF(OR($B1880="",$B1880="(blank)"),"",VLOOKUP($B1880,'Email Marketing Raw Data'!$C:$O,13,0)),"")</f>
        <v/>
      </c>
      <c r="G1880" s="55" t="str">
        <f>IFERROR(IF(OR($B1880="",$B1880="(blank)"),"",VLOOKUP($B1880,'Email Marketing Raw Data'!$C:$O,4,0)),"")</f>
        <v/>
      </c>
      <c r="H1880" s="55" t="str">
        <f>IFERROR(IF(OR($B1880="",$B1880="(blank)"),"",VLOOKUP($B1880,'Email Marketing Raw Data'!$C:$O,5,0)),"")</f>
        <v/>
      </c>
      <c r="I1880" s="55" t="str">
        <f>IFERROR(IF($G1880="","",VLOOKUP('Dashboard And Emails Automate'!$G1880,Database!$H:$N,3,0)),"")</f>
        <v/>
      </c>
      <c r="J1880" s="55" t="str">
        <f>IFERROR(IF($G1880="","",VLOOKUP('Dashboard And Emails Automate'!$G1880,Database!$H:$N,4,0)),"")</f>
        <v/>
      </c>
      <c r="K1880" s="55" t="str">
        <f>IFERROR(IF($G1880="","",VLOOKUP('Dashboard And Emails Automate'!$G1880,Database!$H:$N,5,0)),"")</f>
        <v/>
      </c>
      <c r="L1880" s="55" t="str">
        <f>IFERROR(IF($G1880="","",VLOOKUP('Dashboard And Emails Automate'!$G1880,Database!$H:$N,6,0)),"")</f>
        <v/>
      </c>
      <c r="M1880" s="55" t="str">
        <f>IFERROR(IF($G1880="","",VLOOKUP('Dashboard And Emails Automate'!$G1880,Database!$H:$N,7,0)),"")</f>
        <v/>
      </c>
      <c r="N1880" s="55" t="str">
        <f>IFERROR(IF(OR($B1880="",$B1880="(blank)"),"",VLOOKUP($B1880,'Email Marketing Raw Data'!$C:$O,6,0)),"")</f>
        <v/>
      </c>
      <c r="O1880" s="55" t="str">
        <f>IFERROR(IF(OR($B1880="",$B1880="(blank)"),"",VLOOKUP($B1880,'Email Marketing Raw Data'!$C:$O,7,0)),"")</f>
        <v/>
      </c>
      <c r="P1880" s="55" t="str">
        <f>IFERROR(IF(OR($B1880="",$B1880="(blank)"),"",VLOOKUP($B1880,'Email Marketing Raw Data'!$C:$O,8,0)),"")</f>
        <v/>
      </c>
      <c r="Q1880" s="62" t="str">
        <f>IFERROR(IF(OR($B1880="",$B1880="(blank)"),"",VLOOKUP($B1880,'Email Marketing Raw Data'!$C:$O,9,0)),"")</f>
        <v/>
      </c>
    </row>
    <row r="1881" spans="4:17" ht="12.75" customHeight="1" x14ac:dyDescent="0.2">
      <c r="D1881" s="58" t="str">
        <f>IFERROR(IF(F1881&lt;&gt;"pending","",IF(OR($B1881="",$B1881="(blank)"),"",VLOOKUP($B1881,'Email Marketing Raw Data'!$C:$O,10,0))),"")</f>
        <v/>
      </c>
      <c r="E1881" s="59" t="str">
        <f>IFERROR(IF(F1881&lt;&gt;"pending","",IF(OR($B1881="",$B1881="(blank)"),"",VLOOKUP($B1881,'Email Marketing Raw Data'!$C:$O,11,0))),"")</f>
        <v/>
      </c>
      <c r="F1881" s="54" t="str">
        <f>IFERROR(IF(OR($B1881="",$B1881="(blank)"),"",VLOOKUP($B1881,'Email Marketing Raw Data'!$C:$O,13,0)),"")</f>
        <v/>
      </c>
      <c r="G1881" s="55" t="str">
        <f>IFERROR(IF(OR($B1881="",$B1881="(blank)"),"",VLOOKUP($B1881,'Email Marketing Raw Data'!$C:$O,4,0)),"")</f>
        <v/>
      </c>
      <c r="H1881" s="55" t="str">
        <f>IFERROR(IF(OR($B1881="",$B1881="(blank)"),"",VLOOKUP($B1881,'Email Marketing Raw Data'!$C:$O,5,0)),"")</f>
        <v/>
      </c>
      <c r="I1881" s="55" t="str">
        <f>IFERROR(IF($G1881="","",VLOOKUP('Dashboard And Emails Automate'!$G1881,Database!$H:$N,3,0)),"")</f>
        <v/>
      </c>
      <c r="J1881" s="55" t="str">
        <f>IFERROR(IF($G1881="","",VLOOKUP('Dashboard And Emails Automate'!$G1881,Database!$H:$N,4,0)),"")</f>
        <v/>
      </c>
      <c r="K1881" s="55" t="str">
        <f>IFERROR(IF($G1881="","",VLOOKUP('Dashboard And Emails Automate'!$G1881,Database!$H:$N,5,0)),"")</f>
        <v/>
      </c>
      <c r="L1881" s="55" t="str">
        <f>IFERROR(IF($G1881="","",VLOOKUP('Dashboard And Emails Automate'!$G1881,Database!$H:$N,6,0)),"")</f>
        <v/>
      </c>
      <c r="M1881" s="55" t="str">
        <f>IFERROR(IF($G1881="","",VLOOKUP('Dashboard And Emails Automate'!$G1881,Database!$H:$N,7,0)),"")</f>
        <v/>
      </c>
      <c r="N1881" s="55" t="str">
        <f>IFERROR(IF(OR($B1881="",$B1881="(blank)"),"",VLOOKUP($B1881,'Email Marketing Raw Data'!$C:$O,6,0)),"")</f>
        <v/>
      </c>
      <c r="O1881" s="55" t="str">
        <f>IFERROR(IF(OR($B1881="",$B1881="(blank)"),"",VLOOKUP($B1881,'Email Marketing Raw Data'!$C:$O,7,0)),"")</f>
        <v/>
      </c>
      <c r="P1881" s="55" t="str">
        <f>IFERROR(IF(OR($B1881="",$B1881="(blank)"),"",VLOOKUP($B1881,'Email Marketing Raw Data'!$C:$O,8,0)),"")</f>
        <v/>
      </c>
      <c r="Q1881" s="62" t="str">
        <f>IFERROR(IF(OR($B1881="",$B1881="(blank)"),"",VLOOKUP($B1881,'Email Marketing Raw Data'!$C:$O,9,0)),"")</f>
        <v/>
      </c>
    </row>
    <row r="1882" spans="4:17" ht="12.75" customHeight="1" x14ac:dyDescent="0.2">
      <c r="D1882" s="58" t="str">
        <f>IFERROR(IF(F1882&lt;&gt;"pending","",IF(OR($B1882="",$B1882="(blank)"),"",VLOOKUP($B1882,'Email Marketing Raw Data'!$C:$O,10,0))),"")</f>
        <v/>
      </c>
      <c r="E1882" s="59" t="str">
        <f>IFERROR(IF(F1882&lt;&gt;"pending","",IF(OR($B1882="",$B1882="(blank)"),"",VLOOKUP($B1882,'Email Marketing Raw Data'!$C:$O,11,0))),"")</f>
        <v/>
      </c>
      <c r="F1882" s="54" t="str">
        <f>IFERROR(IF(OR($B1882="",$B1882="(blank)"),"",VLOOKUP($B1882,'Email Marketing Raw Data'!$C:$O,13,0)),"")</f>
        <v/>
      </c>
      <c r="G1882" s="55" t="str">
        <f>IFERROR(IF(OR($B1882="",$B1882="(blank)"),"",VLOOKUP($B1882,'Email Marketing Raw Data'!$C:$O,4,0)),"")</f>
        <v/>
      </c>
      <c r="H1882" s="55" t="str">
        <f>IFERROR(IF(OR($B1882="",$B1882="(blank)"),"",VLOOKUP($B1882,'Email Marketing Raw Data'!$C:$O,5,0)),"")</f>
        <v/>
      </c>
      <c r="I1882" s="55" t="str">
        <f>IFERROR(IF($G1882="","",VLOOKUP('Dashboard And Emails Automate'!$G1882,Database!$H:$N,3,0)),"")</f>
        <v/>
      </c>
      <c r="J1882" s="55" t="str">
        <f>IFERROR(IF($G1882="","",VLOOKUP('Dashboard And Emails Automate'!$G1882,Database!$H:$N,4,0)),"")</f>
        <v/>
      </c>
      <c r="K1882" s="55" t="str">
        <f>IFERROR(IF($G1882="","",VLOOKUP('Dashboard And Emails Automate'!$G1882,Database!$H:$N,5,0)),"")</f>
        <v/>
      </c>
      <c r="L1882" s="55" t="str">
        <f>IFERROR(IF($G1882="","",VLOOKUP('Dashboard And Emails Automate'!$G1882,Database!$H:$N,6,0)),"")</f>
        <v/>
      </c>
      <c r="M1882" s="55" t="str">
        <f>IFERROR(IF($G1882="","",VLOOKUP('Dashboard And Emails Automate'!$G1882,Database!$H:$N,7,0)),"")</f>
        <v/>
      </c>
      <c r="N1882" s="55" t="str">
        <f>IFERROR(IF(OR($B1882="",$B1882="(blank)"),"",VLOOKUP($B1882,'Email Marketing Raw Data'!$C:$O,6,0)),"")</f>
        <v/>
      </c>
      <c r="O1882" s="55" t="str">
        <f>IFERROR(IF(OR($B1882="",$B1882="(blank)"),"",VLOOKUP($B1882,'Email Marketing Raw Data'!$C:$O,7,0)),"")</f>
        <v/>
      </c>
      <c r="P1882" s="55" t="str">
        <f>IFERROR(IF(OR($B1882="",$B1882="(blank)"),"",VLOOKUP($B1882,'Email Marketing Raw Data'!$C:$O,8,0)),"")</f>
        <v/>
      </c>
      <c r="Q1882" s="62" t="str">
        <f>IFERROR(IF(OR($B1882="",$B1882="(blank)"),"",VLOOKUP($B1882,'Email Marketing Raw Data'!$C:$O,9,0)),"")</f>
        <v/>
      </c>
    </row>
    <row r="1883" spans="4:17" ht="12.75" customHeight="1" x14ac:dyDescent="0.2">
      <c r="D1883" s="58" t="str">
        <f>IFERROR(IF(F1883&lt;&gt;"pending","",IF(OR($B1883="",$B1883="(blank)"),"",VLOOKUP($B1883,'Email Marketing Raw Data'!$C:$O,10,0))),"")</f>
        <v/>
      </c>
      <c r="E1883" s="59" t="str">
        <f>IFERROR(IF(F1883&lt;&gt;"pending","",IF(OR($B1883="",$B1883="(blank)"),"",VLOOKUP($B1883,'Email Marketing Raw Data'!$C:$O,11,0))),"")</f>
        <v/>
      </c>
      <c r="F1883" s="54" t="str">
        <f>IFERROR(IF(OR($B1883="",$B1883="(blank)"),"",VLOOKUP($B1883,'Email Marketing Raw Data'!$C:$O,13,0)),"")</f>
        <v/>
      </c>
      <c r="G1883" s="55" t="str">
        <f>IFERROR(IF(OR($B1883="",$B1883="(blank)"),"",VLOOKUP($B1883,'Email Marketing Raw Data'!$C:$O,4,0)),"")</f>
        <v/>
      </c>
      <c r="H1883" s="55" t="str">
        <f>IFERROR(IF(OR($B1883="",$B1883="(blank)"),"",VLOOKUP($B1883,'Email Marketing Raw Data'!$C:$O,5,0)),"")</f>
        <v/>
      </c>
      <c r="I1883" s="55" t="str">
        <f>IFERROR(IF($G1883="","",VLOOKUP('Dashboard And Emails Automate'!$G1883,Database!$H:$N,3,0)),"")</f>
        <v/>
      </c>
      <c r="J1883" s="55" t="str">
        <f>IFERROR(IF($G1883="","",VLOOKUP('Dashboard And Emails Automate'!$G1883,Database!$H:$N,4,0)),"")</f>
        <v/>
      </c>
      <c r="K1883" s="55" t="str">
        <f>IFERROR(IF($G1883="","",VLOOKUP('Dashboard And Emails Automate'!$G1883,Database!$H:$N,5,0)),"")</f>
        <v/>
      </c>
      <c r="L1883" s="55" t="str">
        <f>IFERROR(IF($G1883="","",VLOOKUP('Dashboard And Emails Automate'!$G1883,Database!$H:$N,6,0)),"")</f>
        <v/>
      </c>
      <c r="M1883" s="55" t="str">
        <f>IFERROR(IF($G1883="","",VLOOKUP('Dashboard And Emails Automate'!$G1883,Database!$H:$N,7,0)),"")</f>
        <v/>
      </c>
      <c r="N1883" s="55" t="str">
        <f>IFERROR(IF(OR($B1883="",$B1883="(blank)"),"",VLOOKUP($B1883,'Email Marketing Raw Data'!$C:$O,6,0)),"")</f>
        <v/>
      </c>
      <c r="O1883" s="55" t="str">
        <f>IFERROR(IF(OR($B1883="",$B1883="(blank)"),"",VLOOKUP($B1883,'Email Marketing Raw Data'!$C:$O,7,0)),"")</f>
        <v/>
      </c>
      <c r="P1883" s="55" t="str">
        <f>IFERROR(IF(OR($B1883="",$B1883="(blank)"),"",VLOOKUP($B1883,'Email Marketing Raw Data'!$C:$O,8,0)),"")</f>
        <v/>
      </c>
      <c r="Q1883" s="62" t="str">
        <f>IFERROR(IF(OR($B1883="",$B1883="(blank)"),"",VLOOKUP($B1883,'Email Marketing Raw Data'!$C:$O,9,0)),"")</f>
        <v/>
      </c>
    </row>
    <row r="1884" spans="4:17" ht="12.75" customHeight="1" x14ac:dyDescent="0.2">
      <c r="D1884" s="58" t="str">
        <f>IFERROR(IF(F1884&lt;&gt;"pending","",IF(OR($B1884="",$B1884="(blank)"),"",VLOOKUP($B1884,'Email Marketing Raw Data'!$C:$O,10,0))),"")</f>
        <v/>
      </c>
      <c r="E1884" s="59" t="str">
        <f>IFERROR(IF(F1884&lt;&gt;"pending","",IF(OR($B1884="",$B1884="(blank)"),"",VLOOKUP($B1884,'Email Marketing Raw Data'!$C:$O,11,0))),"")</f>
        <v/>
      </c>
      <c r="F1884" s="54" t="str">
        <f>IFERROR(IF(OR($B1884="",$B1884="(blank)"),"",VLOOKUP($B1884,'Email Marketing Raw Data'!$C:$O,13,0)),"")</f>
        <v/>
      </c>
      <c r="G1884" s="55" t="str">
        <f>IFERROR(IF(OR($B1884="",$B1884="(blank)"),"",VLOOKUP($B1884,'Email Marketing Raw Data'!$C:$O,4,0)),"")</f>
        <v/>
      </c>
      <c r="H1884" s="55" t="str">
        <f>IFERROR(IF(OR($B1884="",$B1884="(blank)"),"",VLOOKUP($B1884,'Email Marketing Raw Data'!$C:$O,5,0)),"")</f>
        <v/>
      </c>
      <c r="I1884" s="55" t="str">
        <f>IFERROR(IF($G1884="","",VLOOKUP('Dashboard And Emails Automate'!$G1884,Database!$H:$N,3,0)),"")</f>
        <v/>
      </c>
      <c r="J1884" s="55" t="str">
        <f>IFERROR(IF($G1884="","",VLOOKUP('Dashboard And Emails Automate'!$G1884,Database!$H:$N,4,0)),"")</f>
        <v/>
      </c>
      <c r="K1884" s="55" t="str">
        <f>IFERROR(IF($G1884="","",VLOOKUP('Dashboard And Emails Automate'!$G1884,Database!$H:$N,5,0)),"")</f>
        <v/>
      </c>
      <c r="L1884" s="55" t="str">
        <f>IFERROR(IF($G1884="","",VLOOKUP('Dashboard And Emails Automate'!$G1884,Database!$H:$N,6,0)),"")</f>
        <v/>
      </c>
      <c r="M1884" s="55" t="str">
        <f>IFERROR(IF($G1884="","",VLOOKUP('Dashboard And Emails Automate'!$G1884,Database!$H:$N,7,0)),"")</f>
        <v/>
      </c>
      <c r="N1884" s="55" t="str">
        <f>IFERROR(IF(OR($B1884="",$B1884="(blank)"),"",VLOOKUP($B1884,'Email Marketing Raw Data'!$C:$O,6,0)),"")</f>
        <v/>
      </c>
      <c r="O1884" s="55" t="str">
        <f>IFERROR(IF(OR($B1884="",$B1884="(blank)"),"",VLOOKUP($B1884,'Email Marketing Raw Data'!$C:$O,7,0)),"")</f>
        <v/>
      </c>
      <c r="P1884" s="55" t="str">
        <f>IFERROR(IF(OR($B1884="",$B1884="(blank)"),"",VLOOKUP($B1884,'Email Marketing Raw Data'!$C:$O,8,0)),"")</f>
        <v/>
      </c>
      <c r="Q1884" s="62" t="str">
        <f>IFERROR(IF(OR($B1884="",$B1884="(blank)"),"",VLOOKUP($B1884,'Email Marketing Raw Data'!$C:$O,9,0)),"")</f>
        <v/>
      </c>
    </row>
    <row r="1885" spans="4:17" ht="12.75" customHeight="1" x14ac:dyDescent="0.2">
      <c r="D1885" s="58" t="str">
        <f>IFERROR(IF(F1885&lt;&gt;"pending","",IF(OR($B1885="",$B1885="(blank)"),"",VLOOKUP($B1885,'Email Marketing Raw Data'!$C:$O,10,0))),"")</f>
        <v/>
      </c>
      <c r="E1885" s="59" t="str">
        <f>IFERROR(IF(F1885&lt;&gt;"pending","",IF(OR($B1885="",$B1885="(blank)"),"",VLOOKUP($B1885,'Email Marketing Raw Data'!$C:$O,11,0))),"")</f>
        <v/>
      </c>
      <c r="F1885" s="54" t="str">
        <f>IFERROR(IF(OR($B1885="",$B1885="(blank)"),"",VLOOKUP($B1885,'Email Marketing Raw Data'!$C:$O,13,0)),"")</f>
        <v/>
      </c>
      <c r="G1885" s="55" t="str">
        <f>IFERROR(IF(OR($B1885="",$B1885="(blank)"),"",VLOOKUP($B1885,'Email Marketing Raw Data'!$C:$O,4,0)),"")</f>
        <v/>
      </c>
      <c r="H1885" s="55" t="str">
        <f>IFERROR(IF(OR($B1885="",$B1885="(blank)"),"",VLOOKUP($B1885,'Email Marketing Raw Data'!$C:$O,5,0)),"")</f>
        <v/>
      </c>
      <c r="I1885" s="55" t="str">
        <f>IFERROR(IF($G1885="","",VLOOKUP('Dashboard And Emails Automate'!$G1885,Database!$H:$N,3,0)),"")</f>
        <v/>
      </c>
      <c r="J1885" s="55" t="str">
        <f>IFERROR(IF($G1885="","",VLOOKUP('Dashboard And Emails Automate'!$G1885,Database!$H:$N,4,0)),"")</f>
        <v/>
      </c>
      <c r="K1885" s="55" t="str">
        <f>IFERROR(IF($G1885="","",VLOOKUP('Dashboard And Emails Automate'!$G1885,Database!$H:$N,5,0)),"")</f>
        <v/>
      </c>
      <c r="L1885" s="55" t="str">
        <f>IFERROR(IF($G1885="","",VLOOKUP('Dashboard And Emails Automate'!$G1885,Database!$H:$N,6,0)),"")</f>
        <v/>
      </c>
      <c r="M1885" s="55" t="str">
        <f>IFERROR(IF($G1885="","",VLOOKUP('Dashboard And Emails Automate'!$G1885,Database!$H:$N,7,0)),"")</f>
        <v/>
      </c>
      <c r="N1885" s="55" t="str">
        <f>IFERROR(IF(OR($B1885="",$B1885="(blank)"),"",VLOOKUP($B1885,'Email Marketing Raw Data'!$C:$O,6,0)),"")</f>
        <v/>
      </c>
      <c r="O1885" s="55" t="str">
        <f>IFERROR(IF(OR($B1885="",$B1885="(blank)"),"",VLOOKUP($B1885,'Email Marketing Raw Data'!$C:$O,7,0)),"")</f>
        <v/>
      </c>
      <c r="P1885" s="55" t="str">
        <f>IFERROR(IF(OR($B1885="",$B1885="(blank)"),"",VLOOKUP($B1885,'Email Marketing Raw Data'!$C:$O,8,0)),"")</f>
        <v/>
      </c>
      <c r="Q1885" s="62" t="str">
        <f>IFERROR(IF(OR($B1885="",$B1885="(blank)"),"",VLOOKUP($B1885,'Email Marketing Raw Data'!$C:$O,9,0)),"")</f>
        <v/>
      </c>
    </row>
    <row r="1886" spans="4:17" ht="12.75" customHeight="1" x14ac:dyDescent="0.2">
      <c r="D1886" s="58" t="str">
        <f>IFERROR(IF(F1886&lt;&gt;"pending","",IF(OR($B1886="",$B1886="(blank)"),"",VLOOKUP($B1886,'Email Marketing Raw Data'!$C:$O,10,0))),"")</f>
        <v/>
      </c>
      <c r="E1886" s="59" t="str">
        <f>IFERROR(IF(F1886&lt;&gt;"pending","",IF(OR($B1886="",$B1886="(blank)"),"",VLOOKUP($B1886,'Email Marketing Raw Data'!$C:$O,11,0))),"")</f>
        <v/>
      </c>
      <c r="F1886" s="54" t="str">
        <f>IFERROR(IF(OR($B1886="",$B1886="(blank)"),"",VLOOKUP($B1886,'Email Marketing Raw Data'!$C:$O,13,0)),"")</f>
        <v/>
      </c>
      <c r="G1886" s="55" t="str">
        <f>IFERROR(IF(OR($B1886="",$B1886="(blank)"),"",VLOOKUP($B1886,'Email Marketing Raw Data'!$C:$O,4,0)),"")</f>
        <v/>
      </c>
      <c r="H1886" s="55" t="str">
        <f>IFERROR(IF(OR($B1886="",$B1886="(blank)"),"",VLOOKUP($B1886,'Email Marketing Raw Data'!$C:$O,5,0)),"")</f>
        <v/>
      </c>
      <c r="I1886" s="55" t="str">
        <f>IFERROR(IF($G1886="","",VLOOKUP('Dashboard And Emails Automate'!$G1886,Database!$H:$N,3,0)),"")</f>
        <v/>
      </c>
      <c r="J1886" s="55" t="str">
        <f>IFERROR(IF($G1886="","",VLOOKUP('Dashboard And Emails Automate'!$G1886,Database!$H:$N,4,0)),"")</f>
        <v/>
      </c>
      <c r="K1886" s="55" t="str">
        <f>IFERROR(IF($G1886="","",VLOOKUP('Dashboard And Emails Automate'!$G1886,Database!$H:$N,5,0)),"")</f>
        <v/>
      </c>
      <c r="L1886" s="55" t="str">
        <f>IFERROR(IF($G1886="","",VLOOKUP('Dashboard And Emails Automate'!$G1886,Database!$H:$N,6,0)),"")</f>
        <v/>
      </c>
      <c r="M1886" s="55" t="str">
        <f>IFERROR(IF($G1886="","",VLOOKUP('Dashboard And Emails Automate'!$G1886,Database!$H:$N,7,0)),"")</f>
        <v/>
      </c>
      <c r="N1886" s="55" t="str">
        <f>IFERROR(IF(OR($B1886="",$B1886="(blank)"),"",VLOOKUP($B1886,'Email Marketing Raw Data'!$C:$O,6,0)),"")</f>
        <v/>
      </c>
      <c r="O1886" s="55" t="str">
        <f>IFERROR(IF(OR($B1886="",$B1886="(blank)"),"",VLOOKUP($B1886,'Email Marketing Raw Data'!$C:$O,7,0)),"")</f>
        <v/>
      </c>
      <c r="P1886" s="55" t="str">
        <f>IFERROR(IF(OR($B1886="",$B1886="(blank)"),"",VLOOKUP($B1886,'Email Marketing Raw Data'!$C:$O,8,0)),"")</f>
        <v/>
      </c>
      <c r="Q1886" s="62" t="str">
        <f>IFERROR(IF(OR($B1886="",$B1886="(blank)"),"",VLOOKUP($B1886,'Email Marketing Raw Data'!$C:$O,9,0)),"")</f>
        <v/>
      </c>
    </row>
    <row r="1887" spans="4:17" ht="12.75" customHeight="1" x14ac:dyDescent="0.2">
      <c r="D1887" s="58" t="str">
        <f>IFERROR(IF(F1887&lt;&gt;"pending","",IF(OR($B1887="",$B1887="(blank)"),"",VLOOKUP($B1887,'Email Marketing Raw Data'!$C:$O,10,0))),"")</f>
        <v/>
      </c>
      <c r="E1887" s="59" t="str">
        <f>IFERROR(IF(F1887&lt;&gt;"pending","",IF(OR($B1887="",$B1887="(blank)"),"",VLOOKUP($B1887,'Email Marketing Raw Data'!$C:$O,11,0))),"")</f>
        <v/>
      </c>
      <c r="F1887" s="54" t="str">
        <f>IFERROR(IF(OR($B1887="",$B1887="(blank)"),"",VLOOKUP($B1887,'Email Marketing Raw Data'!$C:$O,13,0)),"")</f>
        <v/>
      </c>
      <c r="G1887" s="55" t="str">
        <f>IFERROR(IF(OR($B1887="",$B1887="(blank)"),"",VLOOKUP($B1887,'Email Marketing Raw Data'!$C:$O,4,0)),"")</f>
        <v/>
      </c>
      <c r="H1887" s="55" t="str">
        <f>IFERROR(IF(OR($B1887="",$B1887="(blank)"),"",VLOOKUP($B1887,'Email Marketing Raw Data'!$C:$O,5,0)),"")</f>
        <v/>
      </c>
      <c r="I1887" s="55" t="str">
        <f>IFERROR(IF($G1887="","",VLOOKUP('Dashboard And Emails Automate'!$G1887,Database!$H:$N,3,0)),"")</f>
        <v/>
      </c>
      <c r="J1887" s="55" t="str">
        <f>IFERROR(IF($G1887="","",VLOOKUP('Dashboard And Emails Automate'!$G1887,Database!$H:$N,4,0)),"")</f>
        <v/>
      </c>
      <c r="K1887" s="55" t="str">
        <f>IFERROR(IF($G1887="","",VLOOKUP('Dashboard And Emails Automate'!$G1887,Database!$H:$N,5,0)),"")</f>
        <v/>
      </c>
      <c r="L1887" s="55" t="str">
        <f>IFERROR(IF($G1887="","",VLOOKUP('Dashboard And Emails Automate'!$G1887,Database!$H:$N,6,0)),"")</f>
        <v/>
      </c>
      <c r="M1887" s="55" t="str">
        <f>IFERROR(IF($G1887="","",VLOOKUP('Dashboard And Emails Automate'!$G1887,Database!$H:$N,7,0)),"")</f>
        <v/>
      </c>
      <c r="N1887" s="55" t="str">
        <f>IFERROR(IF(OR($B1887="",$B1887="(blank)"),"",VLOOKUP($B1887,'Email Marketing Raw Data'!$C:$O,6,0)),"")</f>
        <v/>
      </c>
      <c r="O1887" s="55" t="str">
        <f>IFERROR(IF(OR($B1887="",$B1887="(blank)"),"",VLOOKUP($B1887,'Email Marketing Raw Data'!$C:$O,7,0)),"")</f>
        <v/>
      </c>
      <c r="P1887" s="55" t="str">
        <f>IFERROR(IF(OR($B1887="",$B1887="(blank)"),"",VLOOKUP($B1887,'Email Marketing Raw Data'!$C:$O,8,0)),"")</f>
        <v/>
      </c>
      <c r="Q1887" s="62" t="str">
        <f>IFERROR(IF(OR($B1887="",$B1887="(blank)"),"",VLOOKUP($B1887,'Email Marketing Raw Data'!$C:$O,9,0)),"")</f>
        <v/>
      </c>
    </row>
    <row r="1888" spans="4:17" ht="12.75" customHeight="1" x14ac:dyDescent="0.2">
      <c r="D1888" s="58" t="str">
        <f>IFERROR(IF(F1888&lt;&gt;"pending","",IF(OR($B1888="",$B1888="(blank)"),"",VLOOKUP($B1888,'Email Marketing Raw Data'!$C:$O,10,0))),"")</f>
        <v/>
      </c>
      <c r="E1888" s="59" t="str">
        <f>IFERROR(IF(F1888&lt;&gt;"pending","",IF(OR($B1888="",$B1888="(blank)"),"",VLOOKUP($B1888,'Email Marketing Raw Data'!$C:$O,11,0))),"")</f>
        <v/>
      </c>
      <c r="F1888" s="54" t="str">
        <f>IFERROR(IF(OR($B1888="",$B1888="(blank)"),"",VLOOKUP($B1888,'Email Marketing Raw Data'!$C:$O,13,0)),"")</f>
        <v/>
      </c>
      <c r="G1888" s="55" t="str">
        <f>IFERROR(IF(OR($B1888="",$B1888="(blank)"),"",VLOOKUP($B1888,'Email Marketing Raw Data'!$C:$O,4,0)),"")</f>
        <v/>
      </c>
      <c r="H1888" s="55" t="str">
        <f>IFERROR(IF(OR($B1888="",$B1888="(blank)"),"",VLOOKUP($B1888,'Email Marketing Raw Data'!$C:$O,5,0)),"")</f>
        <v/>
      </c>
      <c r="I1888" s="55" t="str">
        <f>IFERROR(IF($G1888="","",VLOOKUP('Dashboard And Emails Automate'!$G1888,Database!$H:$N,3,0)),"")</f>
        <v/>
      </c>
      <c r="J1888" s="55" t="str">
        <f>IFERROR(IF($G1888="","",VLOOKUP('Dashboard And Emails Automate'!$G1888,Database!$H:$N,4,0)),"")</f>
        <v/>
      </c>
      <c r="K1888" s="55" t="str">
        <f>IFERROR(IF($G1888="","",VLOOKUP('Dashboard And Emails Automate'!$G1888,Database!$H:$N,5,0)),"")</f>
        <v/>
      </c>
      <c r="L1888" s="55" t="str">
        <f>IFERROR(IF($G1888="","",VLOOKUP('Dashboard And Emails Automate'!$G1888,Database!$H:$N,6,0)),"")</f>
        <v/>
      </c>
      <c r="M1888" s="55" t="str">
        <f>IFERROR(IF($G1888="","",VLOOKUP('Dashboard And Emails Automate'!$G1888,Database!$H:$N,7,0)),"")</f>
        <v/>
      </c>
      <c r="N1888" s="55" t="str">
        <f>IFERROR(IF(OR($B1888="",$B1888="(blank)"),"",VLOOKUP($B1888,'Email Marketing Raw Data'!$C:$O,6,0)),"")</f>
        <v/>
      </c>
      <c r="O1888" s="55" t="str">
        <f>IFERROR(IF(OR($B1888="",$B1888="(blank)"),"",VLOOKUP($B1888,'Email Marketing Raw Data'!$C:$O,7,0)),"")</f>
        <v/>
      </c>
      <c r="P1888" s="55" t="str">
        <f>IFERROR(IF(OR($B1888="",$B1888="(blank)"),"",VLOOKUP($B1888,'Email Marketing Raw Data'!$C:$O,8,0)),"")</f>
        <v/>
      </c>
      <c r="Q1888" s="62" t="str">
        <f>IFERROR(IF(OR($B1888="",$B1888="(blank)"),"",VLOOKUP($B1888,'Email Marketing Raw Data'!$C:$O,9,0)),"")</f>
        <v/>
      </c>
    </row>
    <row r="1889" spans="4:17" ht="12.75" customHeight="1" x14ac:dyDescent="0.2">
      <c r="D1889" s="58" t="str">
        <f>IFERROR(IF(F1889&lt;&gt;"pending","",IF(OR($B1889="",$B1889="(blank)"),"",VLOOKUP($B1889,'Email Marketing Raw Data'!$C:$O,10,0))),"")</f>
        <v/>
      </c>
      <c r="E1889" s="59" t="str">
        <f>IFERROR(IF(F1889&lt;&gt;"pending","",IF(OR($B1889="",$B1889="(blank)"),"",VLOOKUP($B1889,'Email Marketing Raw Data'!$C:$O,11,0))),"")</f>
        <v/>
      </c>
      <c r="F1889" s="54" t="str">
        <f>IFERROR(IF(OR($B1889="",$B1889="(blank)"),"",VLOOKUP($B1889,'Email Marketing Raw Data'!$C:$O,13,0)),"")</f>
        <v/>
      </c>
      <c r="G1889" s="55" t="str">
        <f>IFERROR(IF(OR($B1889="",$B1889="(blank)"),"",VLOOKUP($B1889,'Email Marketing Raw Data'!$C:$O,4,0)),"")</f>
        <v/>
      </c>
      <c r="H1889" s="55" t="str">
        <f>IFERROR(IF(OR($B1889="",$B1889="(blank)"),"",VLOOKUP($B1889,'Email Marketing Raw Data'!$C:$O,5,0)),"")</f>
        <v/>
      </c>
      <c r="I1889" s="55" t="str">
        <f>IFERROR(IF($G1889="","",VLOOKUP('Dashboard And Emails Automate'!$G1889,Database!$H:$N,3,0)),"")</f>
        <v/>
      </c>
      <c r="J1889" s="55" t="str">
        <f>IFERROR(IF($G1889="","",VLOOKUP('Dashboard And Emails Automate'!$G1889,Database!$H:$N,4,0)),"")</f>
        <v/>
      </c>
      <c r="K1889" s="55" t="str">
        <f>IFERROR(IF($G1889="","",VLOOKUP('Dashboard And Emails Automate'!$G1889,Database!$H:$N,5,0)),"")</f>
        <v/>
      </c>
      <c r="L1889" s="55" t="str">
        <f>IFERROR(IF($G1889="","",VLOOKUP('Dashboard And Emails Automate'!$G1889,Database!$H:$N,6,0)),"")</f>
        <v/>
      </c>
      <c r="M1889" s="55" t="str">
        <f>IFERROR(IF($G1889="","",VLOOKUP('Dashboard And Emails Automate'!$G1889,Database!$H:$N,7,0)),"")</f>
        <v/>
      </c>
      <c r="N1889" s="55" t="str">
        <f>IFERROR(IF(OR($B1889="",$B1889="(blank)"),"",VLOOKUP($B1889,'Email Marketing Raw Data'!$C:$O,6,0)),"")</f>
        <v/>
      </c>
      <c r="O1889" s="55" t="str">
        <f>IFERROR(IF(OR($B1889="",$B1889="(blank)"),"",VLOOKUP($B1889,'Email Marketing Raw Data'!$C:$O,7,0)),"")</f>
        <v/>
      </c>
      <c r="P1889" s="55" t="str">
        <f>IFERROR(IF(OR($B1889="",$B1889="(blank)"),"",VLOOKUP($B1889,'Email Marketing Raw Data'!$C:$O,8,0)),"")</f>
        <v/>
      </c>
      <c r="Q1889" s="62" t="str">
        <f>IFERROR(IF(OR($B1889="",$B1889="(blank)"),"",VLOOKUP($B1889,'Email Marketing Raw Data'!$C:$O,9,0)),"")</f>
        <v/>
      </c>
    </row>
    <row r="1890" spans="4:17" ht="12.75" customHeight="1" x14ac:dyDescent="0.2">
      <c r="D1890" s="58" t="str">
        <f>IFERROR(IF(F1890&lt;&gt;"pending","",IF(OR($B1890="",$B1890="(blank)"),"",VLOOKUP($B1890,'Email Marketing Raw Data'!$C:$O,10,0))),"")</f>
        <v/>
      </c>
      <c r="E1890" s="59" t="str">
        <f>IFERROR(IF(F1890&lt;&gt;"pending","",IF(OR($B1890="",$B1890="(blank)"),"",VLOOKUP($B1890,'Email Marketing Raw Data'!$C:$O,11,0))),"")</f>
        <v/>
      </c>
      <c r="F1890" s="54" t="str">
        <f>IFERROR(IF(OR($B1890="",$B1890="(blank)"),"",VLOOKUP($B1890,'Email Marketing Raw Data'!$C:$O,13,0)),"")</f>
        <v/>
      </c>
      <c r="G1890" s="55" t="str">
        <f>IFERROR(IF(OR($B1890="",$B1890="(blank)"),"",VLOOKUP($B1890,'Email Marketing Raw Data'!$C:$O,4,0)),"")</f>
        <v/>
      </c>
      <c r="H1890" s="55" t="str">
        <f>IFERROR(IF(OR($B1890="",$B1890="(blank)"),"",VLOOKUP($B1890,'Email Marketing Raw Data'!$C:$O,5,0)),"")</f>
        <v/>
      </c>
      <c r="I1890" s="55" t="str">
        <f>IFERROR(IF($G1890="","",VLOOKUP('Dashboard And Emails Automate'!$G1890,Database!$H:$N,3,0)),"")</f>
        <v/>
      </c>
      <c r="J1890" s="55" t="str">
        <f>IFERROR(IF($G1890="","",VLOOKUP('Dashboard And Emails Automate'!$G1890,Database!$H:$N,4,0)),"")</f>
        <v/>
      </c>
      <c r="K1890" s="55" t="str">
        <f>IFERROR(IF($G1890="","",VLOOKUP('Dashboard And Emails Automate'!$G1890,Database!$H:$N,5,0)),"")</f>
        <v/>
      </c>
      <c r="L1890" s="55" t="str">
        <f>IFERROR(IF($G1890="","",VLOOKUP('Dashboard And Emails Automate'!$G1890,Database!$H:$N,6,0)),"")</f>
        <v/>
      </c>
      <c r="M1890" s="55" t="str">
        <f>IFERROR(IF($G1890="","",VLOOKUP('Dashboard And Emails Automate'!$G1890,Database!$H:$N,7,0)),"")</f>
        <v/>
      </c>
      <c r="N1890" s="55" t="str">
        <f>IFERROR(IF(OR($B1890="",$B1890="(blank)"),"",VLOOKUP($B1890,'Email Marketing Raw Data'!$C:$O,6,0)),"")</f>
        <v/>
      </c>
      <c r="O1890" s="55" t="str">
        <f>IFERROR(IF(OR($B1890="",$B1890="(blank)"),"",VLOOKUP($B1890,'Email Marketing Raw Data'!$C:$O,7,0)),"")</f>
        <v/>
      </c>
      <c r="P1890" s="55" t="str">
        <f>IFERROR(IF(OR($B1890="",$B1890="(blank)"),"",VLOOKUP($B1890,'Email Marketing Raw Data'!$C:$O,8,0)),"")</f>
        <v/>
      </c>
      <c r="Q1890" s="62" t="str">
        <f>IFERROR(IF(OR($B1890="",$B1890="(blank)"),"",VLOOKUP($B1890,'Email Marketing Raw Data'!$C:$O,9,0)),"")</f>
        <v/>
      </c>
    </row>
    <row r="1891" spans="4:17" ht="12.75" customHeight="1" x14ac:dyDescent="0.2">
      <c r="D1891" s="58" t="str">
        <f>IFERROR(IF(F1891&lt;&gt;"pending","",IF(OR($B1891="",$B1891="(blank)"),"",VLOOKUP($B1891,'Email Marketing Raw Data'!$C:$O,10,0))),"")</f>
        <v/>
      </c>
      <c r="E1891" s="59" t="str">
        <f>IFERROR(IF(F1891&lt;&gt;"pending","",IF(OR($B1891="",$B1891="(blank)"),"",VLOOKUP($B1891,'Email Marketing Raw Data'!$C:$O,11,0))),"")</f>
        <v/>
      </c>
      <c r="F1891" s="54" t="str">
        <f>IFERROR(IF(OR($B1891="",$B1891="(blank)"),"",VLOOKUP($B1891,'Email Marketing Raw Data'!$C:$O,13,0)),"")</f>
        <v/>
      </c>
      <c r="G1891" s="55" t="str">
        <f>IFERROR(IF(OR($B1891="",$B1891="(blank)"),"",VLOOKUP($B1891,'Email Marketing Raw Data'!$C:$O,4,0)),"")</f>
        <v/>
      </c>
      <c r="H1891" s="55" t="str">
        <f>IFERROR(IF(OR($B1891="",$B1891="(blank)"),"",VLOOKUP($B1891,'Email Marketing Raw Data'!$C:$O,5,0)),"")</f>
        <v/>
      </c>
      <c r="I1891" s="55" t="str">
        <f>IFERROR(IF($G1891="","",VLOOKUP('Dashboard And Emails Automate'!$G1891,Database!$H:$N,3,0)),"")</f>
        <v/>
      </c>
      <c r="J1891" s="55" t="str">
        <f>IFERROR(IF($G1891="","",VLOOKUP('Dashboard And Emails Automate'!$G1891,Database!$H:$N,4,0)),"")</f>
        <v/>
      </c>
      <c r="K1891" s="55" t="str">
        <f>IFERROR(IF($G1891="","",VLOOKUP('Dashboard And Emails Automate'!$G1891,Database!$H:$N,5,0)),"")</f>
        <v/>
      </c>
      <c r="L1891" s="55" t="str">
        <f>IFERROR(IF($G1891="","",VLOOKUP('Dashboard And Emails Automate'!$G1891,Database!$H:$N,6,0)),"")</f>
        <v/>
      </c>
      <c r="M1891" s="55" t="str">
        <f>IFERROR(IF($G1891="","",VLOOKUP('Dashboard And Emails Automate'!$G1891,Database!$H:$N,7,0)),"")</f>
        <v/>
      </c>
      <c r="N1891" s="55" t="str">
        <f>IFERROR(IF(OR($B1891="",$B1891="(blank)"),"",VLOOKUP($B1891,'Email Marketing Raw Data'!$C:$O,6,0)),"")</f>
        <v/>
      </c>
      <c r="O1891" s="55" t="str">
        <f>IFERROR(IF(OR($B1891="",$B1891="(blank)"),"",VLOOKUP($B1891,'Email Marketing Raw Data'!$C:$O,7,0)),"")</f>
        <v/>
      </c>
      <c r="P1891" s="55" t="str">
        <f>IFERROR(IF(OR($B1891="",$B1891="(blank)"),"",VLOOKUP($B1891,'Email Marketing Raw Data'!$C:$O,8,0)),"")</f>
        <v/>
      </c>
      <c r="Q1891" s="62" t="str">
        <f>IFERROR(IF(OR($B1891="",$B1891="(blank)"),"",VLOOKUP($B1891,'Email Marketing Raw Data'!$C:$O,9,0)),"")</f>
        <v/>
      </c>
    </row>
    <row r="1892" spans="4:17" ht="12.75" customHeight="1" x14ac:dyDescent="0.2">
      <c r="D1892" s="58" t="str">
        <f>IFERROR(IF(F1892&lt;&gt;"pending","",IF(OR($B1892="",$B1892="(blank)"),"",VLOOKUP($B1892,'Email Marketing Raw Data'!$C:$O,10,0))),"")</f>
        <v/>
      </c>
      <c r="E1892" s="59" t="str">
        <f>IFERROR(IF(F1892&lt;&gt;"pending","",IF(OR($B1892="",$B1892="(blank)"),"",VLOOKUP($B1892,'Email Marketing Raw Data'!$C:$O,11,0))),"")</f>
        <v/>
      </c>
      <c r="F1892" s="54" t="str">
        <f>IFERROR(IF(OR($B1892="",$B1892="(blank)"),"",VLOOKUP($B1892,'Email Marketing Raw Data'!$C:$O,13,0)),"")</f>
        <v/>
      </c>
      <c r="G1892" s="55" t="str">
        <f>IFERROR(IF(OR($B1892="",$B1892="(blank)"),"",VLOOKUP($B1892,'Email Marketing Raw Data'!$C:$O,4,0)),"")</f>
        <v/>
      </c>
      <c r="H1892" s="55" t="str">
        <f>IFERROR(IF(OR($B1892="",$B1892="(blank)"),"",VLOOKUP($B1892,'Email Marketing Raw Data'!$C:$O,5,0)),"")</f>
        <v/>
      </c>
      <c r="I1892" s="55" t="str">
        <f>IFERROR(IF($G1892="","",VLOOKUP('Dashboard And Emails Automate'!$G1892,Database!$H:$N,3,0)),"")</f>
        <v/>
      </c>
      <c r="J1892" s="55" t="str">
        <f>IFERROR(IF($G1892="","",VLOOKUP('Dashboard And Emails Automate'!$G1892,Database!$H:$N,4,0)),"")</f>
        <v/>
      </c>
      <c r="K1892" s="55" t="str">
        <f>IFERROR(IF($G1892="","",VLOOKUP('Dashboard And Emails Automate'!$G1892,Database!$H:$N,5,0)),"")</f>
        <v/>
      </c>
      <c r="L1892" s="55" t="str">
        <f>IFERROR(IF($G1892="","",VLOOKUP('Dashboard And Emails Automate'!$G1892,Database!$H:$N,6,0)),"")</f>
        <v/>
      </c>
      <c r="M1892" s="55" t="str">
        <f>IFERROR(IF($G1892="","",VLOOKUP('Dashboard And Emails Automate'!$G1892,Database!$H:$N,7,0)),"")</f>
        <v/>
      </c>
      <c r="N1892" s="55" t="str">
        <f>IFERROR(IF(OR($B1892="",$B1892="(blank)"),"",VLOOKUP($B1892,'Email Marketing Raw Data'!$C:$O,6,0)),"")</f>
        <v/>
      </c>
      <c r="O1892" s="55" t="str">
        <f>IFERROR(IF(OR($B1892="",$B1892="(blank)"),"",VLOOKUP($B1892,'Email Marketing Raw Data'!$C:$O,7,0)),"")</f>
        <v/>
      </c>
      <c r="P1892" s="55" t="str">
        <f>IFERROR(IF(OR($B1892="",$B1892="(blank)"),"",VLOOKUP($B1892,'Email Marketing Raw Data'!$C:$O,8,0)),"")</f>
        <v/>
      </c>
      <c r="Q1892" s="62" t="str">
        <f>IFERROR(IF(OR($B1892="",$B1892="(blank)"),"",VLOOKUP($B1892,'Email Marketing Raw Data'!$C:$O,9,0)),"")</f>
        <v/>
      </c>
    </row>
    <row r="1893" spans="4:17" ht="12.75" customHeight="1" x14ac:dyDescent="0.2">
      <c r="D1893" s="58" t="str">
        <f>IFERROR(IF(F1893&lt;&gt;"pending","",IF(OR($B1893="",$B1893="(blank)"),"",VLOOKUP($B1893,'Email Marketing Raw Data'!$C:$O,10,0))),"")</f>
        <v/>
      </c>
      <c r="E1893" s="59" t="str">
        <f>IFERROR(IF(F1893&lt;&gt;"pending","",IF(OR($B1893="",$B1893="(blank)"),"",VLOOKUP($B1893,'Email Marketing Raw Data'!$C:$O,11,0))),"")</f>
        <v/>
      </c>
      <c r="F1893" s="54" t="str">
        <f>IFERROR(IF(OR($B1893="",$B1893="(blank)"),"",VLOOKUP($B1893,'Email Marketing Raw Data'!$C:$O,13,0)),"")</f>
        <v/>
      </c>
      <c r="G1893" s="55" t="str">
        <f>IFERROR(IF(OR($B1893="",$B1893="(blank)"),"",VLOOKUP($B1893,'Email Marketing Raw Data'!$C:$O,4,0)),"")</f>
        <v/>
      </c>
      <c r="H1893" s="55" t="str">
        <f>IFERROR(IF(OR($B1893="",$B1893="(blank)"),"",VLOOKUP($B1893,'Email Marketing Raw Data'!$C:$O,5,0)),"")</f>
        <v/>
      </c>
      <c r="I1893" s="55" t="str">
        <f>IFERROR(IF($G1893="","",VLOOKUP('Dashboard And Emails Automate'!$G1893,Database!$H:$N,3,0)),"")</f>
        <v/>
      </c>
      <c r="J1893" s="55" t="str">
        <f>IFERROR(IF($G1893="","",VLOOKUP('Dashboard And Emails Automate'!$G1893,Database!$H:$N,4,0)),"")</f>
        <v/>
      </c>
      <c r="K1893" s="55" t="str">
        <f>IFERROR(IF($G1893="","",VLOOKUP('Dashboard And Emails Automate'!$G1893,Database!$H:$N,5,0)),"")</f>
        <v/>
      </c>
      <c r="L1893" s="55" t="str">
        <f>IFERROR(IF($G1893="","",VLOOKUP('Dashboard And Emails Automate'!$G1893,Database!$H:$N,6,0)),"")</f>
        <v/>
      </c>
      <c r="M1893" s="55" t="str">
        <f>IFERROR(IF($G1893="","",VLOOKUP('Dashboard And Emails Automate'!$G1893,Database!$H:$N,7,0)),"")</f>
        <v/>
      </c>
      <c r="N1893" s="55" t="str">
        <f>IFERROR(IF(OR($B1893="",$B1893="(blank)"),"",VLOOKUP($B1893,'Email Marketing Raw Data'!$C:$O,6,0)),"")</f>
        <v/>
      </c>
      <c r="O1893" s="55" t="str">
        <f>IFERROR(IF(OR($B1893="",$B1893="(blank)"),"",VLOOKUP($B1893,'Email Marketing Raw Data'!$C:$O,7,0)),"")</f>
        <v/>
      </c>
      <c r="P1893" s="55" t="str">
        <f>IFERROR(IF(OR($B1893="",$B1893="(blank)"),"",VLOOKUP($B1893,'Email Marketing Raw Data'!$C:$O,8,0)),"")</f>
        <v/>
      </c>
      <c r="Q1893" s="62" t="str">
        <f>IFERROR(IF(OR($B1893="",$B1893="(blank)"),"",VLOOKUP($B1893,'Email Marketing Raw Data'!$C:$O,9,0)),"")</f>
        <v/>
      </c>
    </row>
    <row r="1894" spans="4:17" ht="12.75" customHeight="1" x14ac:dyDescent="0.2">
      <c r="D1894" s="58" t="str">
        <f>IFERROR(IF(F1894&lt;&gt;"pending","",IF(OR($B1894="",$B1894="(blank)"),"",VLOOKUP($B1894,'Email Marketing Raw Data'!$C:$O,10,0))),"")</f>
        <v/>
      </c>
      <c r="E1894" s="59" t="str">
        <f>IFERROR(IF(F1894&lt;&gt;"pending","",IF(OR($B1894="",$B1894="(blank)"),"",VLOOKUP($B1894,'Email Marketing Raw Data'!$C:$O,11,0))),"")</f>
        <v/>
      </c>
      <c r="F1894" s="54" t="str">
        <f>IFERROR(IF(OR($B1894="",$B1894="(blank)"),"",VLOOKUP($B1894,'Email Marketing Raw Data'!$C:$O,13,0)),"")</f>
        <v/>
      </c>
      <c r="G1894" s="55" t="str">
        <f>IFERROR(IF(OR($B1894="",$B1894="(blank)"),"",VLOOKUP($B1894,'Email Marketing Raw Data'!$C:$O,4,0)),"")</f>
        <v/>
      </c>
      <c r="H1894" s="55" t="str">
        <f>IFERROR(IF(OR($B1894="",$B1894="(blank)"),"",VLOOKUP($B1894,'Email Marketing Raw Data'!$C:$O,5,0)),"")</f>
        <v/>
      </c>
      <c r="I1894" s="55" t="str">
        <f>IFERROR(IF($G1894="","",VLOOKUP('Dashboard And Emails Automate'!$G1894,Database!$H:$N,3,0)),"")</f>
        <v/>
      </c>
      <c r="J1894" s="55" t="str">
        <f>IFERROR(IF($G1894="","",VLOOKUP('Dashboard And Emails Automate'!$G1894,Database!$H:$N,4,0)),"")</f>
        <v/>
      </c>
      <c r="K1894" s="55" t="str">
        <f>IFERROR(IF($G1894="","",VLOOKUP('Dashboard And Emails Automate'!$G1894,Database!$H:$N,5,0)),"")</f>
        <v/>
      </c>
      <c r="L1894" s="55" t="str">
        <f>IFERROR(IF($G1894="","",VLOOKUP('Dashboard And Emails Automate'!$G1894,Database!$H:$N,6,0)),"")</f>
        <v/>
      </c>
      <c r="M1894" s="55" t="str">
        <f>IFERROR(IF($G1894="","",VLOOKUP('Dashboard And Emails Automate'!$G1894,Database!$H:$N,7,0)),"")</f>
        <v/>
      </c>
      <c r="N1894" s="55" t="str">
        <f>IFERROR(IF(OR($B1894="",$B1894="(blank)"),"",VLOOKUP($B1894,'Email Marketing Raw Data'!$C:$O,6,0)),"")</f>
        <v/>
      </c>
      <c r="O1894" s="55" t="str">
        <f>IFERROR(IF(OR($B1894="",$B1894="(blank)"),"",VLOOKUP($B1894,'Email Marketing Raw Data'!$C:$O,7,0)),"")</f>
        <v/>
      </c>
      <c r="P1894" s="55" t="str">
        <f>IFERROR(IF(OR($B1894="",$B1894="(blank)"),"",VLOOKUP($B1894,'Email Marketing Raw Data'!$C:$O,8,0)),"")</f>
        <v/>
      </c>
      <c r="Q1894" s="62" t="str">
        <f>IFERROR(IF(OR($B1894="",$B1894="(blank)"),"",VLOOKUP($B1894,'Email Marketing Raw Data'!$C:$O,9,0)),"")</f>
        <v/>
      </c>
    </row>
    <row r="1895" spans="4:17" ht="12.75" customHeight="1" x14ac:dyDescent="0.2">
      <c r="D1895" s="58" t="str">
        <f>IFERROR(IF(F1895&lt;&gt;"pending","",IF(OR($B1895="",$B1895="(blank)"),"",VLOOKUP($B1895,'Email Marketing Raw Data'!$C:$O,10,0))),"")</f>
        <v/>
      </c>
      <c r="E1895" s="59" t="str">
        <f>IFERROR(IF(F1895&lt;&gt;"pending","",IF(OR($B1895="",$B1895="(blank)"),"",VLOOKUP($B1895,'Email Marketing Raw Data'!$C:$O,11,0))),"")</f>
        <v/>
      </c>
      <c r="F1895" s="54" t="str">
        <f>IFERROR(IF(OR($B1895="",$B1895="(blank)"),"",VLOOKUP($B1895,'Email Marketing Raw Data'!$C:$O,13,0)),"")</f>
        <v/>
      </c>
      <c r="G1895" s="55" t="str">
        <f>IFERROR(IF(OR($B1895="",$B1895="(blank)"),"",VLOOKUP($B1895,'Email Marketing Raw Data'!$C:$O,4,0)),"")</f>
        <v/>
      </c>
      <c r="H1895" s="55" t="str">
        <f>IFERROR(IF(OR($B1895="",$B1895="(blank)"),"",VLOOKUP($B1895,'Email Marketing Raw Data'!$C:$O,5,0)),"")</f>
        <v/>
      </c>
      <c r="I1895" s="55" t="str">
        <f>IFERROR(IF($G1895="","",VLOOKUP('Dashboard And Emails Automate'!$G1895,Database!$H:$N,3,0)),"")</f>
        <v/>
      </c>
      <c r="J1895" s="55" t="str">
        <f>IFERROR(IF($G1895="","",VLOOKUP('Dashboard And Emails Automate'!$G1895,Database!$H:$N,4,0)),"")</f>
        <v/>
      </c>
      <c r="K1895" s="55" t="str">
        <f>IFERROR(IF($G1895="","",VLOOKUP('Dashboard And Emails Automate'!$G1895,Database!$H:$N,5,0)),"")</f>
        <v/>
      </c>
      <c r="L1895" s="55" t="str">
        <f>IFERROR(IF($G1895="","",VLOOKUP('Dashboard And Emails Automate'!$G1895,Database!$H:$N,6,0)),"")</f>
        <v/>
      </c>
      <c r="M1895" s="55" t="str">
        <f>IFERROR(IF($G1895="","",VLOOKUP('Dashboard And Emails Automate'!$G1895,Database!$H:$N,7,0)),"")</f>
        <v/>
      </c>
      <c r="N1895" s="55" t="str">
        <f>IFERROR(IF(OR($B1895="",$B1895="(blank)"),"",VLOOKUP($B1895,'Email Marketing Raw Data'!$C:$O,6,0)),"")</f>
        <v/>
      </c>
      <c r="O1895" s="55" t="str">
        <f>IFERROR(IF(OR($B1895="",$B1895="(blank)"),"",VLOOKUP($B1895,'Email Marketing Raw Data'!$C:$O,7,0)),"")</f>
        <v/>
      </c>
      <c r="P1895" s="55" t="str">
        <f>IFERROR(IF(OR($B1895="",$B1895="(blank)"),"",VLOOKUP($B1895,'Email Marketing Raw Data'!$C:$O,8,0)),"")</f>
        <v/>
      </c>
      <c r="Q1895" s="62" t="str">
        <f>IFERROR(IF(OR($B1895="",$B1895="(blank)"),"",VLOOKUP($B1895,'Email Marketing Raw Data'!$C:$O,9,0)),"")</f>
        <v/>
      </c>
    </row>
    <row r="1896" spans="4:17" ht="12.75" customHeight="1" x14ac:dyDescent="0.2">
      <c r="D1896" s="58" t="str">
        <f>IFERROR(IF(F1896&lt;&gt;"pending","",IF(OR($B1896="",$B1896="(blank)"),"",VLOOKUP($B1896,'Email Marketing Raw Data'!$C:$O,10,0))),"")</f>
        <v/>
      </c>
      <c r="E1896" s="59" t="str">
        <f>IFERROR(IF(F1896&lt;&gt;"pending","",IF(OR($B1896="",$B1896="(blank)"),"",VLOOKUP($B1896,'Email Marketing Raw Data'!$C:$O,11,0))),"")</f>
        <v/>
      </c>
      <c r="F1896" s="54" t="str">
        <f>IFERROR(IF(OR($B1896="",$B1896="(blank)"),"",VLOOKUP($B1896,'Email Marketing Raw Data'!$C:$O,13,0)),"")</f>
        <v/>
      </c>
      <c r="G1896" s="55" t="str">
        <f>IFERROR(IF(OR($B1896="",$B1896="(blank)"),"",VLOOKUP($B1896,'Email Marketing Raw Data'!$C:$O,4,0)),"")</f>
        <v/>
      </c>
      <c r="H1896" s="55" t="str">
        <f>IFERROR(IF(OR($B1896="",$B1896="(blank)"),"",VLOOKUP($B1896,'Email Marketing Raw Data'!$C:$O,5,0)),"")</f>
        <v/>
      </c>
      <c r="I1896" s="55" t="str">
        <f>IFERROR(IF($G1896="","",VLOOKUP('Dashboard And Emails Automate'!$G1896,Database!$H:$N,3,0)),"")</f>
        <v/>
      </c>
      <c r="J1896" s="55" t="str">
        <f>IFERROR(IF($G1896="","",VLOOKUP('Dashboard And Emails Automate'!$G1896,Database!$H:$N,4,0)),"")</f>
        <v/>
      </c>
      <c r="K1896" s="55" t="str">
        <f>IFERROR(IF($G1896="","",VLOOKUP('Dashboard And Emails Automate'!$G1896,Database!$H:$N,5,0)),"")</f>
        <v/>
      </c>
      <c r="L1896" s="55" t="str">
        <f>IFERROR(IF($G1896="","",VLOOKUP('Dashboard And Emails Automate'!$G1896,Database!$H:$N,6,0)),"")</f>
        <v/>
      </c>
      <c r="M1896" s="55" t="str">
        <f>IFERROR(IF($G1896="","",VLOOKUP('Dashboard And Emails Automate'!$G1896,Database!$H:$N,7,0)),"")</f>
        <v/>
      </c>
      <c r="N1896" s="55" t="str">
        <f>IFERROR(IF(OR($B1896="",$B1896="(blank)"),"",VLOOKUP($B1896,'Email Marketing Raw Data'!$C:$O,6,0)),"")</f>
        <v/>
      </c>
      <c r="O1896" s="55" t="str">
        <f>IFERROR(IF(OR($B1896="",$B1896="(blank)"),"",VLOOKUP($B1896,'Email Marketing Raw Data'!$C:$O,7,0)),"")</f>
        <v/>
      </c>
      <c r="P1896" s="55" t="str">
        <f>IFERROR(IF(OR($B1896="",$B1896="(blank)"),"",VLOOKUP($B1896,'Email Marketing Raw Data'!$C:$O,8,0)),"")</f>
        <v/>
      </c>
      <c r="Q1896" s="62" t="str">
        <f>IFERROR(IF(OR($B1896="",$B1896="(blank)"),"",VLOOKUP($B1896,'Email Marketing Raw Data'!$C:$O,9,0)),"")</f>
        <v/>
      </c>
    </row>
    <row r="1897" spans="4:17" ht="12.75" customHeight="1" x14ac:dyDescent="0.2">
      <c r="D1897" s="58" t="str">
        <f>IFERROR(IF(F1897&lt;&gt;"pending","",IF(OR($B1897="",$B1897="(blank)"),"",VLOOKUP($B1897,'Email Marketing Raw Data'!$C:$O,10,0))),"")</f>
        <v/>
      </c>
      <c r="E1897" s="59" t="str">
        <f>IFERROR(IF(F1897&lt;&gt;"pending","",IF(OR($B1897="",$B1897="(blank)"),"",VLOOKUP($B1897,'Email Marketing Raw Data'!$C:$O,11,0))),"")</f>
        <v/>
      </c>
      <c r="F1897" s="54" t="str">
        <f>IFERROR(IF(OR($B1897="",$B1897="(blank)"),"",VLOOKUP($B1897,'Email Marketing Raw Data'!$C:$O,13,0)),"")</f>
        <v/>
      </c>
      <c r="G1897" s="55" t="str">
        <f>IFERROR(IF(OR($B1897="",$B1897="(blank)"),"",VLOOKUP($B1897,'Email Marketing Raw Data'!$C:$O,4,0)),"")</f>
        <v/>
      </c>
      <c r="H1897" s="55" t="str">
        <f>IFERROR(IF(OR($B1897="",$B1897="(blank)"),"",VLOOKUP($B1897,'Email Marketing Raw Data'!$C:$O,5,0)),"")</f>
        <v/>
      </c>
      <c r="I1897" s="55" t="str">
        <f>IFERROR(IF($G1897="","",VLOOKUP('Dashboard And Emails Automate'!$G1897,Database!$H:$N,3,0)),"")</f>
        <v/>
      </c>
      <c r="J1897" s="55" t="str">
        <f>IFERROR(IF($G1897="","",VLOOKUP('Dashboard And Emails Automate'!$G1897,Database!$H:$N,4,0)),"")</f>
        <v/>
      </c>
      <c r="K1897" s="55" t="str">
        <f>IFERROR(IF($G1897="","",VLOOKUP('Dashboard And Emails Automate'!$G1897,Database!$H:$N,5,0)),"")</f>
        <v/>
      </c>
      <c r="L1897" s="55" t="str">
        <f>IFERROR(IF($G1897="","",VLOOKUP('Dashboard And Emails Automate'!$G1897,Database!$H:$N,6,0)),"")</f>
        <v/>
      </c>
      <c r="M1897" s="55" t="str">
        <f>IFERROR(IF($G1897="","",VLOOKUP('Dashboard And Emails Automate'!$G1897,Database!$H:$N,7,0)),"")</f>
        <v/>
      </c>
      <c r="N1897" s="55" t="str">
        <f>IFERROR(IF(OR($B1897="",$B1897="(blank)"),"",VLOOKUP($B1897,'Email Marketing Raw Data'!$C:$O,6,0)),"")</f>
        <v/>
      </c>
      <c r="O1897" s="55" t="str">
        <f>IFERROR(IF(OR($B1897="",$B1897="(blank)"),"",VLOOKUP($B1897,'Email Marketing Raw Data'!$C:$O,7,0)),"")</f>
        <v/>
      </c>
      <c r="P1897" s="55" t="str">
        <f>IFERROR(IF(OR($B1897="",$B1897="(blank)"),"",VLOOKUP($B1897,'Email Marketing Raw Data'!$C:$O,8,0)),"")</f>
        <v/>
      </c>
      <c r="Q1897" s="62" t="str">
        <f>IFERROR(IF(OR($B1897="",$B1897="(blank)"),"",VLOOKUP($B1897,'Email Marketing Raw Data'!$C:$O,9,0)),"")</f>
        <v/>
      </c>
    </row>
    <row r="1898" spans="4:17" ht="12.75" customHeight="1" x14ac:dyDescent="0.2">
      <c r="D1898" s="58" t="str">
        <f>IFERROR(IF(F1898&lt;&gt;"pending","",IF(OR($B1898="",$B1898="(blank)"),"",VLOOKUP($B1898,'Email Marketing Raw Data'!$C:$O,10,0))),"")</f>
        <v/>
      </c>
      <c r="E1898" s="59" t="str">
        <f>IFERROR(IF(F1898&lt;&gt;"pending","",IF(OR($B1898="",$B1898="(blank)"),"",VLOOKUP($B1898,'Email Marketing Raw Data'!$C:$O,11,0))),"")</f>
        <v/>
      </c>
      <c r="F1898" s="54" t="str">
        <f>IFERROR(IF(OR($B1898="",$B1898="(blank)"),"",VLOOKUP($B1898,'Email Marketing Raw Data'!$C:$O,13,0)),"")</f>
        <v/>
      </c>
      <c r="G1898" s="55" t="str">
        <f>IFERROR(IF(OR($B1898="",$B1898="(blank)"),"",VLOOKUP($B1898,'Email Marketing Raw Data'!$C:$O,4,0)),"")</f>
        <v/>
      </c>
      <c r="H1898" s="55" t="str">
        <f>IFERROR(IF(OR($B1898="",$B1898="(blank)"),"",VLOOKUP($B1898,'Email Marketing Raw Data'!$C:$O,5,0)),"")</f>
        <v/>
      </c>
      <c r="I1898" s="55" t="str">
        <f>IFERROR(IF($G1898="","",VLOOKUP('Dashboard And Emails Automate'!$G1898,Database!$H:$N,3,0)),"")</f>
        <v/>
      </c>
      <c r="J1898" s="55" t="str">
        <f>IFERROR(IF($G1898="","",VLOOKUP('Dashboard And Emails Automate'!$G1898,Database!$H:$N,4,0)),"")</f>
        <v/>
      </c>
      <c r="K1898" s="55" t="str">
        <f>IFERROR(IF($G1898="","",VLOOKUP('Dashboard And Emails Automate'!$G1898,Database!$H:$N,5,0)),"")</f>
        <v/>
      </c>
      <c r="L1898" s="55" t="str">
        <f>IFERROR(IF($G1898="","",VLOOKUP('Dashboard And Emails Automate'!$G1898,Database!$H:$N,6,0)),"")</f>
        <v/>
      </c>
      <c r="M1898" s="55" t="str">
        <f>IFERROR(IF($G1898="","",VLOOKUP('Dashboard And Emails Automate'!$G1898,Database!$H:$N,7,0)),"")</f>
        <v/>
      </c>
      <c r="N1898" s="55" t="str">
        <f>IFERROR(IF(OR($B1898="",$B1898="(blank)"),"",VLOOKUP($B1898,'Email Marketing Raw Data'!$C:$O,6,0)),"")</f>
        <v/>
      </c>
      <c r="O1898" s="55" t="str">
        <f>IFERROR(IF(OR($B1898="",$B1898="(blank)"),"",VLOOKUP($B1898,'Email Marketing Raw Data'!$C:$O,7,0)),"")</f>
        <v/>
      </c>
      <c r="P1898" s="55" t="str">
        <f>IFERROR(IF(OR($B1898="",$B1898="(blank)"),"",VLOOKUP($B1898,'Email Marketing Raw Data'!$C:$O,8,0)),"")</f>
        <v/>
      </c>
      <c r="Q1898" s="62" t="str">
        <f>IFERROR(IF(OR($B1898="",$B1898="(blank)"),"",VLOOKUP($B1898,'Email Marketing Raw Data'!$C:$O,9,0)),"")</f>
        <v/>
      </c>
    </row>
    <row r="1899" spans="4:17" ht="12.75" customHeight="1" x14ac:dyDescent="0.2">
      <c r="D1899" s="58" t="str">
        <f>IFERROR(IF(F1899&lt;&gt;"pending","",IF(OR($B1899="",$B1899="(blank)"),"",VLOOKUP($B1899,'Email Marketing Raw Data'!$C:$O,10,0))),"")</f>
        <v/>
      </c>
      <c r="E1899" s="59" t="str">
        <f>IFERROR(IF(F1899&lt;&gt;"pending","",IF(OR($B1899="",$B1899="(blank)"),"",VLOOKUP($B1899,'Email Marketing Raw Data'!$C:$O,11,0))),"")</f>
        <v/>
      </c>
      <c r="F1899" s="54" t="str">
        <f>IFERROR(IF(OR($B1899="",$B1899="(blank)"),"",VLOOKUP($B1899,'Email Marketing Raw Data'!$C:$O,13,0)),"")</f>
        <v/>
      </c>
      <c r="G1899" s="55" t="str">
        <f>IFERROR(IF(OR($B1899="",$B1899="(blank)"),"",VLOOKUP($B1899,'Email Marketing Raw Data'!$C:$O,4,0)),"")</f>
        <v/>
      </c>
      <c r="H1899" s="55" t="str">
        <f>IFERROR(IF(OR($B1899="",$B1899="(blank)"),"",VLOOKUP($B1899,'Email Marketing Raw Data'!$C:$O,5,0)),"")</f>
        <v/>
      </c>
      <c r="I1899" s="55" t="str">
        <f>IFERROR(IF($G1899="","",VLOOKUP('Dashboard And Emails Automate'!$G1899,Database!$H:$N,3,0)),"")</f>
        <v/>
      </c>
      <c r="J1899" s="55" t="str">
        <f>IFERROR(IF($G1899="","",VLOOKUP('Dashboard And Emails Automate'!$G1899,Database!$H:$N,4,0)),"")</f>
        <v/>
      </c>
      <c r="K1899" s="55" t="str">
        <f>IFERROR(IF($G1899="","",VLOOKUP('Dashboard And Emails Automate'!$G1899,Database!$H:$N,5,0)),"")</f>
        <v/>
      </c>
      <c r="L1899" s="55" t="str">
        <f>IFERROR(IF($G1899="","",VLOOKUP('Dashboard And Emails Automate'!$G1899,Database!$H:$N,6,0)),"")</f>
        <v/>
      </c>
      <c r="M1899" s="55" t="str">
        <f>IFERROR(IF($G1899="","",VLOOKUP('Dashboard And Emails Automate'!$G1899,Database!$H:$N,7,0)),"")</f>
        <v/>
      </c>
      <c r="N1899" s="55" t="str">
        <f>IFERROR(IF(OR($B1899="",$B1899="(blank)"),"",VLOOKUP($B1899,'Email Marketing Raw Data'!$C:$O,6,0)),"")</f>
        <v/>
      </c>
      <c r="O1899" s="55" t="str">
        <f>IFERROR(IF(OR($B1899="",$B1899="(blank)"),"",VLOOKUP($B1899,'Email Marketing Raw Data'!$C:$O,7,0)),"")</f>
        <v/>
      </c>
      <c r="P1899" s="55" t="str">
        <f>IFERROR(IF(OR($B1899="",$B1899="(blank)"),"",VLOOKUP($B1899,'Email Marketing Raw Data'!$C:$O,8,0)),"")</f>
        <v/>
      </c>
      <c r="Q1899" s="62" t="str">
        <f>IFERROR(IF(OR($B1899="",$B1899="(blank)"),"",VLOOKUP($B1899,'Email Marketing Raw Data'!$C:$O,9,0)),"")</f>
        <v/>
      </c>
    </row>
    <row r="1900" spans="4:17" ht="12.75" customHeight="1" x14ac:dyDescent="0.2">
      <c r="D1900" s="58" t="str">
        <f>IFERROR(IF(F1900&lt;&gt;"pending","",IF(OR($B1900="",$B1900="(blank)"),"",VLOOKUP($B1900,'Email Marketing Raw Data'!$C:$O,10,0))),"")</f>
        <v/>
      </c>
      <c r="E1900" s="59" t="str">
        <f>IFERROR(IF(F1900&lt;&gt;"pending","",IF(OR($B1900="",$B1900="(blank)"),"",VLOOKUP($B1900,'Email Marketing Raw Data'!$C:$O,11,0))),"")</f>
        <v/>
      </c>
      <c r="F1900" s="54" t="str">
        <f>IFERROR(IF(OR($B1900="",$B1900="(blank)"),"",VLOOKUP($B1900,'Email Marketing Raw Data'!$C:$O,13,0)),"")</f>
        <v/>
      </c>
      <c r="G1900" s="55" t="str">
        <f>IFERROR(IF(OR($B1900="",$B1900="(blank)"),"",VLOOKUP($B1900,'Email Marketing Raw Data'!$C:$O,4,0)),"")</f>
        <v/>
      </c>
      <c r="H1900" s="55" t="str">
        <f>IFERROR(IF(OR($B1900="",$B1900="(blank)"),"",VLOOKUP($B1900,'Email Marketing Raw Data'!$C:$O,5,0)),"")</f>
        <v/>
      </c>
      <c r="I1900" s="55" t="str">
        <f>IFERROR(IF($G1900="","",VLOOKUP('Dashboard And Emails Automate'!$G1900,Database!$H:$N,3,0)),"")</f>
        <v/>
      </c>
      <c r="J1900" s="55" t="str">
        <f>IFERROR(IF($G1900="","",VLOOKUP('Dashboard And Emails Automate'!$G1900,Database!$H:$N,4,0)),"")</f>
        <v/>
      </c>
      <c r="K1900" s="55" t="str">
        <f>IFERROR(IF($G1900="","",VLOOKUP('Dashboard And Emails Automate'!$G1900,Database!$H:$N,5,0)),"")</f>
        <v/>
      </c>
      <c r="L1900" s="55" t="str">
        <f>IFERROR(IF($G1900="","",VLOOKUP('Dashboard And Emails Automate'!$G1900,Database!$H:$N,6,0)),"")</f>
        <v/>
      </c>
      <c r="M1900" s="55" t="str">
        <f>IFERROR(IF($G1900="","",VLOOKUP('Dashboard And Emails Automate'!$G1900,Database!$H:$N,7,0)),"")</f>
        <v/>
      </c>
      <c r="N1900" s="55" t="str">
        <f>IFERROR(IF(OR($B1900="",$B1900="(blank)"),"",VLOOKUP($B1900,'Email Marketing Raw Data'!$C:$O,6,0)),"")</f>
        <v/>
      </c>
      <c r="O1900" s="55" t="str">
        <f>IFERROR(IF(OR($B1900="",$B1900="(blank)"),"",VLOOKUP($B1900,'Email Marketing Raw Data'!$C:$O,7,0)),"")</f>
        <v/>
      </c>
      <c r="P1900" s="55" t="str">
        <f>IFERROR(IF(OR($B1900="",$B1900="(blank)"),"",VLOOKUP($B1900,'Email Marketing Raw Data'!$C:$O,8,0)),"")</f>
        <v/>
      </c>
      <c r="Q1900" s="62" t="str">
        <f>IFERROR(IF(OR($B1900="",$B1900="(blank)"),"",VLOOKUP($B1900,'Email Marketing Raw Data'!$C:$O,9,0)),"")</f>
        <v/>
      </c>
    </row>
    <row r="1901" spans="4:17" ht="12.75" customHeight="1" x14ac:dyDescent="0.2">
      <c r="D1901" s="58" t="str">
        <f>IFERROR(IF(F1901&lt;&gt;"pending","",IF(OR($B1901="",$B1901="(blank)"),"",VLOOKUP($B1901,'Email Marketing Raw Data'!$C:$O,10,0))),"")</f>
        <v/>
      </c>
      <c r="E1901" s="59" t="str">
        <f>IFERROR(IF(F1901&lt;&gt;"pending","",IF(OR($B1901="",$B1901="(blank)"),"",VLOOKUP($B1901,'Email Marketing Raw Data'!$C:$O,11,0))),"")</f>
        <v/>
      </c>
      <c r="F1901" s="54" t="str">
        <f>IFERROR(IF(OR($B1901="",$B1901="(blank)"),"",VLOOKUP($B1901,'Email Marketing Raw Data'!$C:$O,13,0)),"")</f>
        <v/>
      </c>
      <c r="G1901" s="55" t="str">
        <f>IFERROR(IF(OR($B1901="",$B1901="(blank)"),"",VLOOKUP($B1901,'Email Marketing Raw Data'!$C:$O,4,0)),"")</f>
        <v/>
      </c>
      <c r="H1901" s="55" t="str">
        <f>IFERROR(IF(OR($B1901="",$B1901="(blank)"),"",VLOOKUP($B1901,'Email Marketing Raw Data'!$C:$O,5,0)),"")</f>
        <v/>
      </c>
      <c r="I1901" s="55" t="str">
        <f>IFERROR(IF($G1901="","",VLOOKUP('Dashboard And Emails Automate'!$G1901,Database!$H:$N,3,0)),"")</f>
        <v/>
      </c>
      <c r="J1901" s="55" t="str">
        <f>IFERROR(IF($G1901="","",VLOOKUP('Dashboard And Emails Automate'!$G1901,Database!$H:$N,4,0)),"")</f>
        <v/>
      </c>
      <c r="K1901" s="55" t="str">
        <f>IFERROR(IF($G1901="","",VLOOKUP('Dashboard And Emails Automate'!$G1901,Database!$H:$N,5,0)),"")</f>
        <v/>
      </c>
      <c r="L1901" s="55" t="str">
        <f>IFERROR(IF($G1901="","",VLOOKUP('Dashboard And Emails Automate'!$G1901,Database!$H:$N,6,0)),"")</f>
        <v/>
      </c>
      <c r="M1901" s="55" t="str">
        <f>IFERROR(IF($G1901="","",VLOOKUP('Dashboard And Emails Automate'!$G1901,Database!$H:$N,7,0)),"")</f>
        <v/>
      </c>
      <c r="N1901" s="55" t="str">
        <f>IFERROR(IF(OR($B1901="",$B1901="(blank)"),"",VLOOKUP($B1901,'Email Marketing Raw Data'!$C:$O,6,0)),"")</f>
        <v/>
      </c>
      <c r="O1901" s="55" t="str">
        <f>IFERROR(IF(OR($B1901="",$B1901="(blank)"),"",VLOOKUP($B1901,'Email Marketing Raw Data'!$C:$O,7,0)),"")</f>
        <v/>
      </c>
      <c r="P1901" s="55" t="str">
        <f>IFERROR(IF(OR($B1901="",$B1901="(blank)"),"",VLOOKUP($B1901,'Email Marketing Raw Data'!$C:$O,8,0)),"")</f>
        <v/>
      </c>
      <c r="Q1901" s="62" t="str">
        <f>IFERROR(IF(OR($B1901="",$B1901="(blank)"),"",VLOOKUP($B1901,'Email Marketing Raw Data'!$C:$O,9,0)),"")</f>
        <v/>
      </c>
    </row>
    <row r="1902" spans="4:17" ht="12.75" customHeight="1" x14ac:dyDescent="0.2">
      <c r="D1902" s="58" t="str">
        <f>IFERROR(IF(F1902&lt;&gt;"pending","",IF(OR($B1902="",$B1902="(blank)"),"",VLOOKUP($B1902,'Email Marketing Raw Data'!$C:$O,10,0))),"")</f>
        <v/>
      </c>
      <c r="E1902" s="59" t="str">
        <f>IFERROR(IF(F1902&lt;&gt;"pending","",IF(OR($B1902="",$B1902="(blank)"),"",VLOOKUP($B1902,'Email Marketing Raw Data'!$C:$O,11,0))),"")</f>
        <v/>
      </c>
      <c r="F1902" s="54" t="str">
        <f>IFERROR(IF(OR($B1902="",$B1902="(blank)"),"",VLOOKUP($B1902,'Email Marketing Raw Data'!$C:$O,13,0)),"")</f>
        <v/>
      </c>
      <c r="G1902" s="55" t="str">
        <f>IFERROR(IF(OR($B1902="",$B1902="(blank)"),"",VLOOKUP($B1902,'Email Marketing Raw Data'!$C:$O,4,0)),"")</f>
        <v/>
      </c>
      <c r="H1902" s="55" t="str">
        <f>IFERROR(IF(OR($B1902="",$B1902="(blank)"),"",VLOOKUP($B1902,'Email Marketing Raw Data'!$C:$O,5,0)),"")</f>
        <v/>
      </c>
      <c r="I1902" s="55" t="str">
        <f>IFERROR(IF($G1902="","",VLOOKUP('Dashboard And Emails Automate'!$G1902,Database!$H:$N,3,0)),"")</f>
        <v/>
      </c>
      <c r="J1902" s="55" t="str">
        <f>IFERROR(IF($G1902="","",VLOOKUP('Dashboard And Emails Automate'!$G1902,Database!$H:$N,4,0)),"")</f>
        <v/>
      </c>
      <c r="K1902" s="55" t="str">
        <f>IFERROR(IF($G1902="","",VLOOKUP('Dashboard And Emails Automate'!$G1902,Database!$H:$N,5,0)),"")</f>
        <v/>
      </c>
      <c r="L1902" s="55" t="str">
        <f>IFERROR(IF($G1902="","",VLOOKUP('Dashboard And Emails Automate'!$G1902,Database!$H:$N,6,0)),"")</f>
        <v/>
      </c>
      <c r="M1902" s="55" t="str">
        <f>IFERROR(IF($G1902="","",VLOOKUP('Dashboard And Emails Automate'!$G1902,Database!$H:$N,7,0)),"")</f>
        <v/>
      </c>
      <c r="N1902" s="55" t="str">
        <f>IFERROR(IF(OR($B1902="",$B1902="(blank)"),"",VLOOKUP($B1902,'Email Marketing Raw Data'!$C:$O,6,0)),"")</f>
        <v/>
      </c>
      <c r="O1902" s="55" t="str">
        <f>IFERROR(IF(OR($B1902="",$B1902="(blank)"),"",VLOOKUP($B1902,'Email Marketing Raw Data'!$C:$O,7,0)),"")</f>
        <v/>
      </c>
      <c r="P1902" s="55" t="str">
        <f>IFERROR(IF(OR($B1902="",$B1902="(blank)"),"",VLOOKUP($B1902,'Email Marketing Raw Data'!$C:$O,8,0)),"")</f>
        <v/>
      </c>
      <c r="Q1902" s="62" t="str">
        <f>IFERROR(IF(OR($B1902="",$B1902="(blank)"),"",VLOOKUP($B1902,'Email Marketing Raw Data'!$C:$O,9,0)),"")</f>
        <v/>
      </c>
    </row>
    <row r="1903" spans="4:17" ht="12.75" customHeight="1" x14ac:dyDescent="0.2">
      <c r="D1903" s="58" t="str">
        <f>IFERROR(IF(F1903&lt;&gt;"pending","",IF(OR($B1903="",$B1903="(blank)"),"",VLOOKUP($B1903,'Email Marketing Raw Data'!$C:$O,10,0))),"")</f>
        <v/>
      </c>
      <c r="E1903" s="59" t="str">
        <f>IFERROR(IF(F1903&lt;&gt;"pending","",IF(OR($B1903="",$B1903="(blank)"),"",VLOOKUP($B1903,'Email Marketing Raw Data'!$C:$O,11,0))),"")</f>
        <v/>
      </c>
      <c r="F1903" s="54" t="str">
        <f>IFERROR(IF(OR($B1903="",$B1903="(blank)"),"",VLOOKUP($B1903,'Email Marketing Raw Data'!$C:$O,13,0)),"")</f>
        <v/>
      </c>
      <c r="G1903" s="55" t="str">
        <f>IFERROR(IF(OR($B1903="",$B1903="(blank)"),"",VLOOKUP($B1903,'Email Marketing Raw Data'!$C:$O,4,0)),"")</f>
        <v/>
      </c>
      <c r="H1903" s="55" t="str">
        <f>IFERROR(IF(OR($B1903="",$B1903="(blank)"),"",VLOOKUP($B1903,'Email Marketing Raw Data'!$C:$O,5,0)),"")</f>
        <v/>
      </c>
      <c r="I1903" s="55" t="str">
        <f>IFERROR(IF($G1903="","",VLOOKUP('Dashboard And Emails Automate'!$G1903,Database!$H:$N,3,0)),"")</f>
        <v/>
      </c>
      <c r="J1903" s="55" t="str">
        <f>IFERROR(IF($G1903="","",VLOOKUP('Dashboard And Emails Automate'!$G1903,Database!$H:$N,4,0)),"")</f>
        <v/>
      </c>
      <c r="K1903" s="55" t="str">
        <f>IFERROR(IF($G1903="","",VLOOKUP('Dashboard And Emails Automate'!$G1903,Database!$H:$N,5,0)),"")</f>
        <v/>
      </c>
      <c r="L1903" s="55" t="str">
        <f>IFERROR(IF($G1903="","",VLOOKUP('Dashboard And Emails Automate'!$G1903,Database!$H:$N,6,0)),"")</f>
        <v/>
      </c>
      <c r="M1903" s="55" t="str">
        <f>IFERROR(IF($G1903="","",VLOOKUP('Dashboard And Emails Automate'!$G1903,Database!$H:$N,7,0)),"")</f>
        <v/>
      </c>
      <c r="N1903" s="55" t="str">
        <f>IFERROR(IF(OR($B1903="",$B1903="(blank)"),"",VLOOKUP($B1903,'Email Marketing Raw Data'!$C:$O,6,0)),"")</f>
        <v/>
      </c>
      <c r="O1903" s="55" t="str">
        <f>IFERROR(IF(OR($B1903="",$B1903="(blank)"),"",VLOOKUP($B1903,'Email Marketing Raw Data'!$C:$O,7,0)),"")</f>
        <v/>
      </c>
      <c r="P1903" s="55" t="str">
        <f>IFERROR(IF(OR($B1903="",$B1903="(blank)"),"",VLOOKUP($B1903,'Email Marketing Raw Data'!$C:$O,8,0)),"")</f>
        <v/>
      </c>
      <c r="Q1903" s="62" t="str">
        <f>IFERROR(IF(OR($B1903="",$B1903="(blank)"),"",VLOOKUP($B1903,'Email Marketing Raw Data'!$C:$O,9,0)),"")</f>
        <v/>
      </c>
    </row>
    <row r="1904" spans="4:17" ht="12.75" customHeight="1" x14ac:dyDescent="0.2">
      <c r="D1904" s="58" t="str">
        <f>IFERROR(IF(F1904&lt;&gt;"pending","",IF(OR($B1904="",$B1904="(blank)"),"",VLOOKUP($B1904,'Email Marketing Raw Data'!$C:$O,10,0))),"")</f>
        <v/>
      </c>
      <c r="E1904" s="59" t="str">
        <f>IFERROR(IF(F1904&lt;&gt;"pending","",IF(OR($B1904="",$B1904="(blank)"),"",VLOOKUP($B1904,'Email Marketing Raw Data'!$C:$O,11,0))),"")</f>
        <v/>
      </c>
      <c r="F1904" s="54" t="str">
        <f>IFERROR(IF(OR($B1904="",$B1904="(blank)"),"",VLOOKUP($B1904,'Email Marketing Raw Data'!$C:$O,13,0)),"")</f>
        <v/>
      </c>
      <c r="G1904" s="55" t="str">
        <f>IFERROR(IF(OR($B1904="",$B1904="(blank)"),"",VLOOKUP($B1904,'Email Marketing Raw Data'!$C:$O,4,0)),"")</f>
        <v/>
      </c>
      <c r="H1904" s="55" t="str">
        <f>IFERROR(IF(OR($B1904="",$B1904="(blank)"),"",VLOOKUP($B1904,'Email Marketing Raw Data'!$C:$O,5,0)),"")</f>
        <v/>
      </c>
      <c r="I1904" s="55" t="str">
        <f>IFERROR(IF($G1904="","",VLOOKUP('Dashboard And Emails Automate'!$G1904,Database!$H:$N,3,0)),"")</f>
        <v/>
      </c>
      <c r="J1904" s="55" t="str">
        <f>IFERROR(IF($G1904="","",VLOOKUP('Dashboard And Emails Automate'!$G1904,Database!$H:$N,4,0)),"")</f>
        <v/>
      </c>
      <c r="K1904" s="55" t="str">
        <f>IFERROR(IF($G1904="","",VLOOKUP('Dashboard And Emails Automate'!$G1904,Database!$H:$N,5,0)),"")</f>
        <v/>
      </c>
      <c r="L1904" s="55" t="str">
        <f>IFERROR(IF($G1904="","",VLOOKUP('Dashboard And Emails Automate'!$G1904,Database!$H:$N,6,0)),"")</f>
        <v/>
      </c>
      <c r="M1904" s="55" t="str">
        <f>IFERROR(IF($G1904="","",VLOOKUP('Dashboard And Emails Automate'!$G1904,Database!$H:$N,7,0)),"")</f>
        <v/>
      </c>
      <c r="N1904" s="55" t="str">
        <f>IFERROR(IF(OR($B1904="",$B1904="(blank)"),"",VLOOKUP($B1904,'Email Marketing Raw Data'!$C:$O,6,0)),"")</f>
        <v/>
      </c>
      <c r="O1904" s="55" t="str">
        <f>IFERROR(IF(OR($B1904="",$B1904="(blank)"),"",VLOOKUP($B1904,'Email Marketing Raw Data'!$C:$O,7,0)),"")</f>
        <v/>
      </c>
      <c r="P1904" s="55" t="str">
        <f>IFERROR(IF(OR($B1904="",$B1904="(blank)"),"",VLOOKUP($B1904,'Email Marketing Raw Data'!$C:$O,8,0)),"")</f>
        <v/>
      </c>
      <c r="Q1904" s="62" t="str">
        <f>IFERROR(IF(OR($B1904="",$B1904="(blank)"),"",VLOOKUP($B1904,'Email Marketing Raw Data'!$C:$O,9,0)),"")</f>
        <v/>
      </c>
    </row>
    <row r="1905" spans="4:17" ht="12.75" customHeight="1" x14ac:dyDescent="0.2">
      <c r="D1905" s="58" t="str">
        <f>IFERROR(IF(F1905&lt;&gt;"pending","",IF(OR($B1905="",$B1905="(blank)"),"",VLOOKUP($B1905,'Email Marketing Raw Data'!$C:$O,10,0))),"")</f>
        <v/>
      </c>
      <c r="E1905" s="59" t="str">
        <f>IFERROR(IF(F1905&lt;&gt;"pending","",IF(OR($B1905="",$B1905="(blank)"),"",VLOOKUP($B1905,'Email Marketing Raw Data'!$C:$O,11,0))),"")</f>
        <v/>
      </c>
      <c r="F1905" s="54" t="str">
        <f>IFERROR(IF(OR($B1905="",$B1905="(blank)"),"",VLOOKUP($B1905,'Email Marketing Raw Data'!$C:$O,13,0)),"")</f>
        <v/>
      </c>
      <c r="G1905" s="55" t="str">
        <f>IFERROR(IF(OR($B1905="",$B1905="(blank)"),"",VLOOKUP($B1905,'Email Marketing Raw Data'!$C:$O,4,0)),"")</f>
        <v/>
      </c>
      <c r="H1905" s="55" t="str">
        <f>IFERROR(IF(OR($B1905="",$B1905="(blank)"),"",VLOOKUP($B1905,'Email Marketing Raw Data'!$C:$O,5,0)),"")</f>
        <v/>
      </c>
      <c r="I1905" s="55" t="str">
        <f>IFERROR(IF($G1905="","",VLOOKUP('Dashboard And Emails Automate'!$G1905,Database!$H:$N,3,0)),"")</f>
        <v/>
      </c>
      <c r="J1905" s="55" t="str">
        <f>IFERROR(IF($G1905="","",VLOOKUP('Dashboard And Emails Automate'!$G1905,Database!$H:$N,4,0)),"")</f>
        <v/>
      </c>
      <c r="K1905" s="55" t="str">
        <f>IFERROR(IF($G1905="","",VLOOKUP('Dashboard And Emails Automate'!$G1905,Database!$H:$N,5,0)),"")</f>
        <v/>
      </c>
      <c r="L1905" s="55" t="str">
        <f>IFERROR(IF($G1905="","",VLOOKUP('Dashboard And Emails Automate'!$G1905,Database!$H:$N,6,0)),"")</f>
        <v/>
      </c>
      <c r="M1905" s="55" t="str">
        <f>IFERROR(IF($G1905="","",VLOOKUP('Dashboard And Emails Automate'!$G1905,Database!$H:$N,7,0)),"")</f>
        <v/>
      </c>
      <c r="N1905" s="55" t="str">
        <f>IFERROR(IF(OR($B1905="",$B1905="(blank)"),"",VLOOKUP($B1905,'Email Marketing Raw Data'!$C:$O,6,0)),"")</f>
        <v/>
      </c>
      <c r="O1905" s="55" t="str">
        <f>IFERROR(IF(OR($B1905="",$B1905="(blank)"),"",VLOOKUP($B1905,'Email Marketing Raw Data'!$C:$O,7,0)),"")</f>
        <v/>
      </c>
      <c r="P1905" s="55" t="str">
        <f>IFERROR(IF(OR($B1905="",$B1905="(blank)"),"",VLOOKUP($B1905,'Email Marketing Raw Data'!$C:$O,8,0)),"")</f>
        <v/>
      </c>
      <c r="Q1905" s="62" t="str">
        <f>IFERROR(IF(OR($B1905="",$B1905="(blank)"),"",VLOOKUP($B1905,'Email Marketing Raw Data'!$C:$O,9,0)),"")</f>
        <v/>
      </c>
    </row>
    <row r="1906" spans="4:17" ht="12.75" customHeight="1" x14ac:dyDescent="0.2">
      <c r="D1906" s="58" t="str">
        <f>IFERROR(IF(F1906&lt;&gt;"pending","",IF(OR($B1906="",$B1906="(blank)"),"",VLOOKUP($B1906,'Email Marketing Raw Data'!$C:$O,10,0))),"")</f>
        <v/>
      </c>
      <c r="E1906" s="59" t="str">
        <f>IFERROR(IF(F1906&lt;&gt;"pending","",IF(OR($B1906="",$B1906="(blank)"),"",VLOOKUP($B1906,'Email Marketing Raw Data'!$C:$O,11,0))),"")</f>
        <v/>
      </c>
      <c r="F1906" s="54" t="str">
        <f>IFERROR(IF(OR($B1906="",$B1906="(blank)"),"",VLOOKUP($B1906,'Email Marketing Raw Data'!$C:$O,13,0)),"")</f>
        <v/>
      </c>
      <c r="G1906" s="55" t="str">
        <f>IFERROR(IF(OR($B1906="",$B1906="(blank)"),"",VLOOKUP($B1906,'Email Marketing Raw Data'!$C:$O,4,0)),"")</f>
        <v/>
      </c>
      <c r="H1906" s="55" t="str">
        <f>IFERROR(IF(OR($B1906="",$B1906="(blank)"),"",VLOOKUP($B1906,'Email Marketing Raw Data'!$C:$O,5,0)),"")</f>
        <v/>
      </c>
      <c r="I1906" s="55" t="str">
        <f>IFERROR(IF($G1906="","",VLOOKUP('Dashboard And Emails Automate'!$G1906,Database!$H:$N,3,0)),"")</f>
        <v/>
      </c>
      <c r="J1906" s="55" t="str">
        <f>IFERROR(IF($G1906="","",VLOOKUP('Dashboard And Emails Automate'!$G1906,Database!$H:$N,4,0)),"")</f>
        <v/>
      </c>
      <c r="K1906" s="55" t="str">
        <f>IFERROR(IF($G1906="","",VLOOKUP('Dashboard And Emails Automate'!$G1906,Database!$H:$N,5,0)),"")</f>
        <v/>
      </c>
      <c r="L1906" s="55" t="str">
        <f>IFERROR(IF($G1906="","",VLOOKUP('Dashboard And Emails Automate'!$G1906,Database!$H:$N,6,0)),"")</f>
        <v/>
      </c>
      <c r="M1906" s="55" t="str">
        <f>IFERROR(IF($G1906="","",VLOOKUP('Dashboard And Emails Automate'!$G1906,Database!$H:$N,7,0)),"")</f>
        <v/>
      </c>
      <c r="N1906" s="55" t="str">
        <f>IFERROR(IF(OR($B1906="",$B1906="(blank)"),"",VLOOKUP($B1906,'Email Marketing Raw Data'!$C:$O,6,0)),"")</f>
        <v/>
      </c>
      <c r="O1906" s="55" t="str">
        <f>IFERROR(IF(OR($B1906="",$B1906="(blank)"),"",VLOOKUP($B1906,'Email Marketing Raw Data'!$C:$O,7,0)),"")</f>
        <v/>
      </c>
      <c r="P1906" s="55" t="str">
        <f>IFERROR(IF(OR($B1906="",$B1906="(blank)"),"",VLOOKUP($B1906,'Email Marketing Raw Data'!$C:$O,8,0)),"")</f>
        <v/>
      </c>
      <c r="Q1906" s="62" t="str">
        <f>IFERROR(IF(OR($B1906="",$B1906="(blank)"),"",VLOOKUP($B1906,'Email Marketing Raw Data'!$C:$O,9,0)),"")</f>
        <v/>
      </c>
    </row>
    <row r="1907" spans="4:17" ht="12.75" customHeight="1" x14ac:dyDescent="0.2">
      <c r="D1907" s="58" t="str">
        <f>IFERROR(IF(F1907&lt;&gt;"pending","",IF(OR($B1907="",$B1907="(blank)"),"",VLOOKUP($B1907,'Email Marketing Raw Data'!$C:$O,10,0))),"")</f>
        <v/>
      </c>
      <c r="E1907" s="59" t="str">
        <f>IFERROR(IF(F1907&lt;&gt;"pending","",IF(OR($B1907="",$B1907="(blank)"),"",VLOOKUP($B1907,'Email Marketing Raw Data'!$C:$O,11,0))),"")</f>
        <v/>
      </c>
      <c r="F1907" s="54" t="str">
        <f>IFERROR(IF(OR($B1907="",$B1907="(blank)"),"",VLOOKUP($B1907,'Email Marketing Raw Data'!$C:$O,13,0)),"")</f>
        <v/>
      </c>
      <c r="G1907" s="55" t="str">
        <f>IFERROR(IF(OR($B1907="",$B1907="(blank)"),"",VLOOKUP($B1907,'Email Marketing Raw Data'!$C:$O,4,0)),"")</f>
        <v/>
      </c>
      <c r="H1907" s="55" t="str">
        <f>IFERROR(IF(OR($B1907="",$B1907="(blank)"),"",VLOOKUP($B1907,'Email Marketing Raw Data'!$C:$O,5,0)),"")</f>
        <v/>
      </c>
      <c r="I1907" s="55" t="str">
        <f>IFERROR(IF($G1907="","",VLOOKUP('Dashboard And Emails Automate'!$G1907,Database!$H:$N,3,0)),"")</f>
        <v/>
      </c>
      <c r="J1907" s="55" t="str">
        <f>IFERROR(IF($G1907="","",VLOOKUP('Dashboard And Emails Automate'!$G1907,Database!$H:$N,4,0)),"")</f>
        <v/>
      </c>
      <c r="K1907" s="55" t="str">
        <f>IFERROR(IF($G1907="","",VLOOKUP('Dashboard And Emails Automate'!$G1907,Database!$H:$N,5,0)),"")</f>
        <v/>
      </c>
      <c r="L1907" s="55" t="str">
        <f>IFERROR(IF($G1907="","",VLOOKUP('Dashboard And Emails Automate'!$G1907,Database!$H:$N,6,0)),"")</f>
        <v/>
      </c>
      <c r="M1907" s="55" t="str">
        <f>IFERROR(IF($G1907="","",VLOOKUP('Dashboard And Emails Automate'!$G1907,Database!$H:$N,7,0)),"")</f>
        <v/>
      </c>
      <c r="N1907" s="55" t="str">
        <f>IFERROR(IF(OR($B1907="",$B1907="(blank)"),"",VLOOKUP($B1907,'Email Marketing Raw Data'!$C:$O,6,0)),"")</f>
        <v/>
      </c>
      <c r="O1907" s="55" t="str">
        <f>IFERROR(IF(OR($B1907="",$B1907="(blank)"),"",VLOOKUP($B1907,'Email Marketing Raw Data'!$C:$O,7,0)),"")</f>
        <v/>
      </c>
      <c r="P1907" s="55" t="str">
        <f>IFERROR(IF(OR($B1907="",$B1907="(blank)"),"",VLOOKUP($B1907,'Email Marketing Raw Data'!$C:$O,8,0)),"")</f>
        <v/>
      </c>
      <c r="Q1907" s="62" t="str">
        <f>IFERROR(IF(OR($B1907="",$B1907="(blank)"),"",VLOOKUP($B1907,'Email Marketing Raw Data'!$C:$O,9,0)),"")</f>
        <v/>
      </c>
    </row>
    <row r="1908" spans="4:17" ht="12.75" customHeight="1" x14ac:dyDescent="0.2">
      <c r="D1908" s="58" t="str">
        <f>IFERROR(IF(F1908&lt;&gt;"pending","",IF(OR($B1908="",$B1908="(blank)"),"",VLOOKUP($B1908,'Email Marketing Raw Data'!$C:$O,10,0))),"")</f>
        <v/>
      </c>
      <c r="E1908" s="59" t="str">
        <f>IFERROR(IF(F1908&lt;&gt;"pending","",IF(OR($B1908="",$B1908="(blank)"),"",VLOOKUP($B1908,'Email Marketing Raw Data'!$C:$O,11,0))),"")</f>
        <v/>
      </c>
      <c r="F1908" s="54" t="str">
        <f>IFERROR(IF(OR($B1908="",$B1908="(blank)"),"",VLOOKUP($B1908,'Email Marketing Raw Data'!$C:$O,13,0)),"")</f>
        <v/>
      </c>
      <c r="G1908" s="55" t="str">
        <f>IFERROR(IF(OR($B1908="",$B1908="(blank)"),"",VLOOKUP($B1908,'Email Marketing Raw Data'!$C:$O,4,0)),"")</f>
        <v/>
      </c>
      <c r="H1908" s="55" t="str">
        <f>IFERROR(IF(OR($B1908="",$B1908="(blank)"),"",VLOOKUP($B1908,'Email Marketing Raw Data'!$C:$O,5,0)),"")</f>
        <v/>
      </c>
      <c r="I1908" s="55" t="str">
        <f>IFERROR(IF($G1908="","",VLOOKUP('Dashboard And Emails Automate'!$G1908,Database!$H:$N,3,0)),"")</f>
        <v/>
      </c>
      <c r="J1908" s="55" t="str">
        <f>IFERROR(IF($G1908="","",VLOOKUP('Dashboard And Emails Automate'!$G1908,Database!$H:$N,4,0)),"")</f>
        <v/>
      </c>
      <c r="K1908" s="55" t="str">
        <f>IFERROR(IF($G1908="","",VLOOKUP('Dashboard And Emails Automate'!$G1908,Database!$H:$N,5,0)),"")</f>
        <v/>
      </c>
      <c r="L1908" s="55" t="str">
        <f>IFERROR(IF($G1908="","",VLOOKUP('Dashboard And Emails Automate'!$G1908,Database!$H:$N,6,0)),"")</f>
        <v/>
      </c>
      <c r="M1908" s="55" t="str">
        <f>IFERROR(IF($G1908="","",VLOOKUP('Dashboard And Emails Automate'!$G1908,Database!$H:$N,7,0)),"")</f>
        <v/>
      </c>
      <c r="N1908" s="55" t="str">
        <f>IFERROR(IF(OR($B1908="",$B1908="(blank)"),"",VLOOKUP($B1908,'Email Marketing Raw Data'!$C:$O,6,0)),"")</f>
        <v/>
      </c>
      <c r="O1908" s="55" t="str">
        <f>IFERROR(IF(OR($B1908="",$B1908="(blank)"),"",VLOOKUP($B1908,'Email Marketing Raw Data'!$C:$O,7,0)),"")</f>
        <v/>
      </c>
      <c r="P1908" s="55" t="str">
        <f>IFERROR(IF(OR($B1908="",$B1908="(blank)"),"",VLOOKUP($B1908,'Email Marketing Raw Data'!$C:$O,8,0)),"")</f>
        <v/>
      </c>
      <c r="Q1908" s="62" t="str">
        <f>IFERROR(IF(OR($B1908="",$B1908="(blank)"),"",VLOOKUP($B1908,'Email Marketing Raw Data'!$C:$O,9,0)),"")</f>
        <v/>
      </c>
    </row>
    <row r="1909" spans="4:17" ht="12.75" customHeight="1" x14ac:dyDescent="0.2">
      <c r="D1909" s="58" t="str">
        <f>IFERROR(IF(F1909&lt;&gt;"pending","",IF(OR($B1909="",$B1909="(blank)"),"",VLOOKUP($B1909,'Email Marketing Raw Data'!$C:$O,10,0))),"")</f>
        <v/>
      </c>
      <c r="E1909" s="59" t="str">
        <f>IFERROR(IF(F1909&lt;&gt;"pending","",IF(OR($B1909="",$B1909="(blank)"),"",VLOOKUP($B1909,'Email Marketing Raw Data'!$C:$O,11,0))),"")</f>
        <v/>
      </c>
      <c r="F1909" s="54" t="str">
        <f>IFERROR(IF(OR($B1909="",$B1909="(blank)"),"",VLOOKUP($B1909,'Email Marketing Raw Data'!$C:$O,13,0)),"")</f>
        <v/>
      </c>
      <c r="G1909" s="55" t="str">
        <f>IFERROR(IF(OR($B1909="",$B1909="(blank)"),"",VLOOKUP($B1909,'Email Marketing Raw Data'!$C:$O,4,0)),"")</f>
        <v/>
      </c>
      <c r="H1909" s="55" t="str">
        <f>IFERROR(IF(OR($B1909="",$B1909="(blank)"),"",VLOOKUP($B1909,'Email Marketing Raw Data'!$C:$O,5,0)),"")</f>
        <v/>
      </c>
      <c r="I1909" s="55" t="str">
        <f>IFERROR(IF($G1909="","",VLOOKUP('Dashboard And Emails Automate'!$G1909,Database!$H:$N,3,0)),"")</f>
        <v/>
      </c>
      <c r="J1909" s="55" t="str">
        <f>IFERROR(IF($G1909="","",VLOOKUP('Dashboard And Emails Automate'!$G1909,Database!$H:$N,4,0)),"")</f>
        <v/>
      </c>
      <c r="K1909" s="55" t="str">
        <f>IFERROR(IF($G1909="","",VLOOKUP('Dashboard And Emails Automate'!$G1909,Database!$H:$N,5,0)),"")</f>
        <v/>
      </c>
      <c r="L1909" s="55" t="str">
        <f>IFERROR(IF($G1909="","",VLOOKUP('Dashboard And Emails Automate'!$G1909,Database!$H:$N,6,0)),"")</f>
        <v/>
      </c>
      <c r="M1909" s="55" t="str">
        <f>IFERROR(IF($G1909="","",VLOOKUP('Dashboard And Emails Automate'!$G1909,Database!$H:$N,7,0)),"")</f>
        <v/>
      </c>
      <c r="N1909" s="55" t="str">
        <f>IFERROR(IF(OR($B1909="",$B1909="(blank)"),"",VLOOKUP($B1909,'Email Marketing Raw Data'!$C:$O,6,0)),"")</f>
        <v/>
      </c>
      <c r="O1909" s="55" t="str">
        <f>IFERROR(IF(OR($B1909="",$B1909="(blank)"),"",VLOOKUP($B1909,'Email Marketing Raw Data'!$C:$O,7,0)),"")</f>
        <v/>
      </c>
      <c r="P1909" s="55" t="str">
        <f>IFERROR(IF(OR($B1909="",$B1909="(blank)"),"",VLOOKUP($B1909,'Email Marketing Raw Data'!$C:$O,8,0)),"")</f>
        <v/>
      </c>
      <c r="Q1909" s="62" t="str">
        <f>IFERROR(IF(OR($B1909="",$B1909="(blank)"),"",VLOOKUP($B1909,'Email Marketing Raw Data'!$C:$O,9,0)),"")</f>
        <v/>
      </c>
    </row>
    <row r="1910" spans="4:17" ht="12.75" customHeight="1" x14ac:dyDescent="0.2">
      <c r="D1910" s="58" t="str">
        <f>IFERROR(IF(F1910&lt;&gt;"pending","",IF(OR($B1910="",$B1910="(blank)"),"",VLOOKUP($B1910,'Email Marketing Raw Data'!$C:$O,10,0))),"")</f>
        <v/>
      </c>
      <c r="E1910" s="59" t="str">
        <f>IFERROR(IF(F1910&lt;&gt;"pending","",IF(OR($B1910="",$B1910="(blank)"),"",VLOOKUP($B1910,'Email Marketing Raw Data'!$C:$O,11,0))),"")</f>
        <v/>
      </c>
      <c r="F1910" s="54" t="str">
        <f>IFERROR(IF(OR($B1910="",$B1910="(blank)"),"",VLOOKUP($B1910,'Email Marketing Raw Data'!$C:$O,13,0)),"")</f>
        <v/>
      </c>
      <c r="G1910" s="55" t="str">
        <f>IFERROR(IF(OR($B1910="",$B1910="(blank)"),"",VLOOKUP($B1910,'Email Marketing Raw Data'!$C:$O,4,0)),"")</f>
        <v/>
      </c>
      <c r="H1910" s="55" t="str">
        <f>IFERROR(IF(OR($B1910="",$B1910="(blank)"),"",VLOOKUP($B1910,'Email Marketing Raw Data'!$C:$O,5,0)),"")</f>
        <v/>
      </c>
      <c r="I1910" s="55" t="str">
        <f>IFERROR(IF($G1910="","",VLOOKUP('Dashboard And Emails Automate'!$G1910,Database!$H:$N,3,0)),"")</f>
        <v/>
      </c>
      <c r="J1910" s="55" t="str">
        <f>IFERROR(IF($G1910="","",VLOOKUP('Dashboard And Emails Automate'!$G1910,Database!$H:$N,4,0)),"")</f>
        <v/>
      </c>
      <c r="K1910" s="55" t="str">
        <f>IFERROR(IF($G1910="","",VLOOKUP('Dashboard And Emails Automate'!$G1910,Database!$H:$N,5,0)),"")</f>
        <v/>
      </c>
      <c r="L1910" s="55" t="str">
        <f>IFERROR(IF($G1910="","",VLOOKUP('Dashboard And Emails Automate'!$G1910,Database!$H:$N,6,0)),"")</f>
        <v/>
      </c>
      <c r="M1910" s="55" t="str">
        <f>IFERROR(IF($G1910="","",VLOOKUP('Dashboard And Emails Automate'!$G1910,Database!$H:$N,7,0)),"")</f>
        <v/>
      </c>
      <c r="N1910" s="55" t="str">
        <f>IFERROR(IF(OR($B1910="",$B1910="(blank)"),"",VLOOKUP($B1910,'Email Marketing Raw Data'!$C:$O,6,0)),"")</f>
        <v/>
      </c>
      <c r="O1910" s="55" t="str">
        <f>IFERROR(IF(OR($B1910="",$B1910="(blank)"),"",VLOOKUP($B1910,'Email Marketing Raw Data'!$C:$O,7,0)),"")</f>
        <v/>
      </c>
      <c r="P1910" s="55" t="str">
        <f>IFERROR(IF(OR($B1910="",$B1910="(blank)"),"",VLOOKUP($B1910,'Email Marketing Raw Data'!$C:$O,8,0)),"")</f>
        <v/>
      </c>
      <c r="Q1910" s="62" t="str">
        <f>IFERROR(IF(OR($B1910="",$B1910="(blank)"),"",VLOOKUP($B1910,'Email Marketing Raw Data'!$C:$O,9,0)),"")</f>
        <v/>
      </c>
    </row>
    <row r="1911" spans="4:17" ht="12.75" customHeight="1" x14ac:dyDescent="0.2">
      <c r="D1911" s="58" t="str">
        <f>IFERROR(IF(F1911&lt;&gt;"pending","",IF(OR($B1911="",$B1911="(blank)"),"",VLOOKUP($B1911,'Email Marketing Raw Data'!$C:$O,10,0))),"")</f>
        <v/>
      </c>
      <c r="E1911" s="59" t="str">
        <f>IFERROR(IF(F1911&lt;&gt;"pending","",IF(OR($B1911="",$B1911="(blank)"),"",VLOOKUP($B1911,'Email Marketing Raw Data'!$C:$O,11,0))),"")</f>
        <v/>
      </c>
      <c r="F1911" s="54" t="str">
        <f>IFERROR(IF(OR($B1911="",$B1911="(blank)"),"",VLOOKUP($B1911,'Email Marketing Raw Data'!$C:$O,13,0)),"")</f>
        <v/>
      </c>
      <c r="G1911" s="55" t="str">
        <f>IFERROR(IF(OR($B1911="",$B1911="(blank)"),"",VLOOKUP($B1911,'Email Marketing Raw Data'!$C:$O,4,0)),"")</f>
        <v/>
      </c>
      <c r="H1911" s="55" t="str">
        <f>IFERROR(IF(OR($B1911="",$B1911="(blank)"),"",VLOOKUP($B1911,'Email Marketing Raw Data'!$C:$O,5,0)),"")</f>
        <v/>
      </c>
      <c r="I1911" s="55" t="str">
        <f>IFERROR(IF($G1911="","",VLOOKUP('Dashboard And Emails Automate'!$G1911,Database!$H:$N,3,0)),"")</f>
        <v/>
      </c>
      <c r="J1911" s="55" t="str">
        <f>IFERROR(IF($G1911="","",VLOOKUP('Dashboard And Emails Automate'!$G1911,Database!$H:$N,4,0)),"")</f>
        <v/>
      </c>
      <c r="K1911" s="55" t="str">
        <f>IFERROR(IF($G1911="","",VLOOKUP('Dashboard And Emails Automate'!$G1911,Database!$H:$N,5,0)),"")</f>
        <v/>
      </c>
      <c r="L1911" s="55" t="str">
        <f>IFERROR(IF($G1911="","",VLOOKUP('Dashboard And Emails Automate'!$G1911,Database!$H:$N,6,0)),"")</f>
        <v/>
      </c>
      <c r="M1911" s="55" t="str">
        <f>IFERROR(IF($G1911="","",VLOOKUP('Dashboard And Emails Automate'!$G1911,Database!$H:$N,7,0)),"")</f>
        <v/>
      </c>
      <c r="N1911" s="55" t="str">
        <f>IFERROR(IF(OR($B1911="",$B1911="(blank)"),"",VLOOKUP($B1911,'Email Marketing Raw Data'!$C:$O,6,0)),"")</f>
        <v/>
      </c>
      <c r="O1911" s="55" t="str">
        <f>IFERROR(IF(OR($B1911="",$B1911="(blank)"),"",VLOOKUP($B1911,'Email Marketing Raw Data'!$C:$O,7,0)),"")</f>
        <v/>
      </c>
      <c r="P1911" s="55" t="str">
        <f>IFERROR(IF(OR($B1911="",$B1911="(blank)"),"",VLOOKUP($B1911,'Email Marketing Raw Data'!$C:$O,8,0)),"")</f>
        <v/>
      </c>
      <c r="Q1911" s="62" t="str">
        <f>IFERROR(IF(OR($B1911="",$B1911="(blank)"),"",VLOOKUP($B1911,'Email Marketing Raw Data'!$C:$O,9,0)),"")</f>
        <v/>
      </c>
    </row>
    <row r="1912" spans="4:17" ht="12.75" customHeight="1" x14ac:dyDescent="0.2">
      <c r="D1912" s="58" t="str">
        <f>IFERROR(IF(F1912&lt;&gt;"pending","",IF(OR($B1912="",$B1912="(blank)"),"",VLOOKUP($B1912,'Email Marketing Raw Data'!$C:$O,10,0))),"")</f>
        <v/>
      </c>
      <c r="E1912" s="59" t="str">
        <f>IFERROR(IF(F1912&lt;&gt;"pending","",IF(OR($B1912="",$B1912="(blank)"),"",VLOOKUP($B1912,'Email Marketing Raw Data'!$C:$O,11,0))),"")</f>
        <v/>
      </c>
      <c r="F1912" s="54" t="str">
        <f>IFERROR(IF(OR($B1912="",$B1912="(blank)"),"",VLOOKUP($B1912,'Email Marketing Raw Data'!$C:$O,13,0)),"")</f>
        <v/>
      </c>
      <c r="G1912" s="55" t="str">
        <f>IFERROR(IF(OR($B1912="",$B1912="(blank)"),"",VLOOKUP($B1912,'Email Marketing Raw Data'!$C:$O,4,0)),"")</f>
        <v/>
      </c>
      <c r="H1912" s="55" t="str">
        <f>IFERROR(IF(OR($B1912="",$B1912="(blank)"),"",VLOOKUP($B1912,'Email Marketing Raw Data'!$C:$O,5,0)),"")</f>
        <v/>
      </c>
      <c r="I1912" s="55" t="str">
        <f>IFERROR(IF($G1912="","",VLOOKUP('Dashboard And Emails Automate'!$G1912,Database!$H:$N,3,0)),"")</f>
        <v/>
      </c>
      <c r="J1912" s="55" t="str">
        <f>IFERROR(IF($G1912="","",VLOOKUP('Dashboard And Emails Automate'!$G1912,Database!$H:$N,4,0)),"")</f>
        <v/>
      </c>
      <c r="K1912" s="55" t="str">
        <f>IFERROR(IF($G1912="","",VLOOKUP('Dashboard And Emails Automate'!$G1912,Database!$H:$N,5,0)),"")</f>
        <v/>
      </c>
      <c r="L1912" s="55" t="str">
        <f>IFERROR(IF($G1912="","",VLOOKUP('Dashboard And Emails Automate'!$G1912,Database!$H:$N,6,0)),"")</f>
        <v/>
      </c>
      <c r="M1912" s="55" t="str">
        <f>IFERROR(IF($G1912="","",VLOOKUP('Dashboard And Emails Automate'!$G1912,Database!$H:$N,7,0)),"")</f>
        <v/>
      </c>
      <c r="N1912" s="55" t="str">
        <f>IFERROR(IF(OR($B1912="",$B1912="(blank)"),"",VLOOKUP($B1912,'Email Marketing Raw Data'!$C:$O,6,0)),"")</f>
        <v/>
      </c>
      <c r="O1912" s="55" t="str">
        <f>IFERROR(IF(OR($B1912="",$B1912="(blank)"),"",VLOOKUP($B1912,'Email Marketing Raw Data'!$C:$O,7,0)),"")</f>
        <v/>
      </c>
      <c r="P1912" s="55" t="str">
        <f>IFERROR(IF(OR($B1912="",$B1912="(blank)"),"",VLOOKUP($B1912,'Email Marketing Raw Data'!$C:$O,8,0)),"")</f>
        <v/>
      </c>
      <c r="Q1912" s="62" t="str">
        <f>IFERROR(IF(OR($B1912="",$B1912="(blank)"),"",VLOOKUP($B1912,'Email Marketing Raw Data'!$C:$O,9,0)),"")</f>
        <v/>
      </c>
    </row>
    <row r="1913" spans="4:17" ht="12.75" customHeight="1" x14ac:dyDescent="0.2">
      <c r="D1913" s="58" t="str">
        <f>IFERROR(IF(F1913&lt;&gt;"pending","",IF(OR($B1913="",$B1913="(blank)"),"",VLOOKUP($B1913,'Email Marketing Raw Data'!$C:$O,10,0))),"")</f>
        <v/>
      </c>
      <c r="E1913" s="59" t="str">
        <f>IFERROR(IF(F1913&lt;&gt;"pending","",IF(OR($B1913="",$B1913="(blank)"),"",VLOOKUP($B1913,'Email Marketing Raw Data'!$C:$O,11,0))),"")</f>
        <v/>
      </c>
      <c r="F1913" s="54" t="str">
        <f>IFERROR(IF(OR($B1913="",$B1913="(blank)"),"",VLOOKUP($B1913,'Email Marketing Raw Data'!$C:$O,13,0)),"")</f>
        <v/>
      </c>
      <c r="G1913" s="55" t="str">
        <f>IFERROR(IF(OR($B1913="",$B1913="(blank)"),"",VLOOKUP($B1913,'Email Marketing Raw Data'!$C:$O,4,0)),"")</f>
        <v/>
      </c>
      <c r="H1913" s="55" t="str">
        <f>IFERROR(IF(OR($B1913="",$B1913="(blank)"),"",VLOOKUP($B1913,'Email Marketing Raw Data'!$C:$O,5,0)),"")</f>
        <v/>
      </c>
      <c r="I1913" s="55" t="str">
        <f>IFERROR(IF($G1913="","",VLOOKUP('Dashboard And Emails Automate'!$G1913,Database!$H:$N,3,0)),"")</f>
        <v/>
      </c>
      <c r="J1913" s="55" t="str">
        <f>IFERROR(IF($G1913="","",VLOOKUP('Dashboard And Emails Automate'!$G1913,Database!$H:$N,4,0)),"")</f>
        <v/>
      </c>
      <c r="K1913" s="55" t="str">
        <f>IFERROR(IF($G1913="","",VLOOKUP('Dashboard And Emails Automate'!$G1913,Database!$H:$N,5,0)),"")</f>
        <v/>
      </c>
      <c r="L1913" s="55" t="str">
        <f>IFERROR(IF($G1913="","",VLOOKUP('Dashboard And Emails Automate'!$G1913,Database!$H:$N,6,0)),"")</f>
        <v/>
      </c>
      <c r="M1913" s="55" t="str">
        <f>IFERROR(IF($G1913="","",VLOOKUP('Dashboard And Emails Automate'!$G1913,Database!$H:$N,7,0)),"")</f>
        <v/>
      </c>
      <c r="N1913" s="55" t="str">
        <f>IFERROR(IF(OR($B1913="",$B1913="(blank)"),"",VLOOKUP($B1913,'Email Marketing Raw Data'!$C:$O,6,0)),"")</f>
        <v/>
      </c>
      <c r="O1913" s="55" t="str">
        <f>IFERROR(IF(OR($B1913="",$B1913="(blank)"),"",VLOOKUP($B1913,'Email Marketing Raw Data'!$C:$O,7,0)),"")</f>
        <v/>
      </c>
      <c r="P1913" s="55" t="str">
        <f>IFERROR(IF(OR($B1913="",$B1913="(blank)"),"",VLOOKUP($B1913,'Email Marketing Raw Data'!$C:$O,8,0)),"")</f>
        <v/>
      </c>
      <c r="Q1913" s="62" t="str">
        <f>IFERROR(IF(OR($B1913="",$B1913="(blank)"),"",VLOOKUP($B1913,'Email Marketing Raw Data'!$C:$O,9,0)),"")</f>
        <v/>
      </c>
    </row>
    <row r="1914" spans="4:17" ht="12.75" customHeight="1" x14ac:dyDescent="0.2">
      <c r="D1914" s="58" t="str">
        <f>IFERROR(IF(F1914&lt;&gt;"pending","",IF(OR($B1914="",$B1914="(blank)"),"",VLOOKUP($B1914,'Email Marketing Raw Data'!$C:$O,10,0))),"")</f>
        <v/>
      </c>
      <c r="E1914" s="59" t="str">
        <f>IFERROR(IF(F1914&lt;&gt;"pending","",IF(OR($B1914="",$B1914="(blank)"),"",VLOOKUP($B1914,'Email Marketing Raw Data'!$C:$O,11,0))),"")</f>
        <v/>
      </c>
      <c r="F1914" s="54" t="str">
        <f>IFERROR(IF(OR($B1914="",$B1914="(blank)"),"",VLOOKUP($B1914,'Email Marketing Raw Data'!$C:$O,13,0)),"")</f>
        <v/>
      </c>
      <c r="G1914" s="55" t="str">
        <f>IFERROR(IF(OR($B1914="",$B1914="(blank)"),"",VLOOKUP($B1914,'Email Marketing Raw Data'!$C:$O,4,0)),"")</f>
        <v/>
      </c>
      <c r="H1914" s="55" t="str">
        <f>IFERROR(IF(OR($B1914="",$B1914="(blank)"),"",VLOOKUP($B1914,'Email Marketing Raw Data'!$C:$O,5,0)),"")</f>
        <v/>
      </c>
      <c r="I1914" s="55" t="str">
        <f>IFERROR(IF($G1914="","",VLOOKUP('Dashboard And Emails Automate'!$G1914,Database!$H:$N,3,0)),"")</f>
        <v/>
      </c>
      <c r="J1914" s="55" t="str">
        <f>IFERROR(IF($G1914="","",VLOOKUP('Dashboard And Emails Automate'!$G1914,Database!$H:$N,4,0)),"")</f>
        <v/>
      </c>
      <c r="K1914" s="55" t="str">
        <f>IFERROR(IF($G1914="","",VLOOKUP('Dashboard And Emails Automate'!$G1914,Database!$H:$N,5,0)),"")</f>
        <v/>
      </c>
      <c r="L1914" s="55" t="str">
        <f>IFERROR(IF($G1914="","",VLOOKUP('Dashboard And Emails Automate'!$G1914,Database!$H:$N,6,0)),"")</f>
        <v/>
      </c>
      <c r="M1914" s="55" t="str">
        <f>IFERROR(IF($G1914="","",VLOOKUP('Dashboard And Emails Automate'!$G1914,Database!$H:$N,7,0)),"")</f>
        <v/>
      </c>
      <c r="N1914" s="55" t="str">
        <f>IFERROR(IF(OR($B1914="",$B1914="(blank)"),"",VLOOKUP($B1914,'Email Marketing Raw Data'!$C:$O,6,0)),"")</f>
        <v/>
      </c>
      <c r="O1914" s="55" t="str">
        <f>IFERROR(IF(OR($B1914="",$B1914="(blank)"),"",VLOOKUP($B1914,'Email Marketing Raw Data'!$C:$O,7,0)),"")</f>
        <v/>
      </c>
      <c r="P1914" s="55" t="str">
        <f>IFERROR(IF(OR($B1914="",$B1914="(blank)"),"",VLOOKUP($B1914,'Email Marketing Raw Data'!$C:$O,8,0)),"")</f>
        <v/>
      </c>
      <c r="Q1914" s="62" t="str">
        <f>IFERROR(IF(OR($B1914="",$B1914="(blank)"),"",VLOOKUP($B1914,'Email Marketing Raw Data'!$C:$O,9,0)),"")</f>
        <v/>
      </c>
    </row>
    <row r="1915" spans="4:17" ht="12.75" customHeight="1" x14ac:dyDescent="0.2">
      <c r="D1915" s="58" t="str">
        <f>IFERROR(IF(F1915&lt;&gt;"pending","",IF(OR($B1915="",$B1915="(blank)"),"",VLOOKUP($B1915,'Email Marketing Raw Data'!$C:$O,10,0))),"")</f>
        <v/>
      </c>
      <c r="E1915" s="59" t="str">
        <f>IFERROR(IF(F1915&lt;&gt;"pending","",IF(OR($B1915="",$B1915="(blank)"),"",VLOOKUP($B1915,'Email Marketing Raw Data'!$C:$O,11,0))),"")</f>
        <v/>
      </c>
      <c r="F1915" s="54" t="str">
        <f>IFERROR(IF(OR($B1915="",$B1915="(blank)"),"",VLOOKUP($B1915,'Email Marketing Raw Data'!$C:$O,13,0)),"")</f>
        <v/>
      </c>
      <c r="G1915" s="55" t="str">
        <f>IFERROR(IF(OR($B1915="",$B1915="(blank)"),"",VLOOKUP($B1915,'Email Marketing Raw Data'!$C:$O,4,0)),"")</f>
        <v/>
      </c>
      <c r="H1915" s="55" t="str">
        <f>IFERROR(IF(OR($B1915="",$B1915="(blank)"),"",VLOOKUP($B1915,'Email Marketing Raw Data'!$C:$O,5,0)),"")</f>
        <v/>
      </c>
      <c r="I1915" s="55" t="str">
        <f>IFERROR(IF($G1915="","",VLOOKUP('Dashboard And Emails Automate'!$G1915,Database!$H:$N,3,0)),"")</f>
        <v/>
      </c>
      <c r="J1915" s="55" t="str">
        <f>IFERROR(IF($G1915="","",VLOOKUP('Dashboard And Emails Automate'!$G1915,Database!$H:$N,4,0)),"")</f>
        <v/>
      </c>
      <c r="K1915" s="55" t="str">
        <f>IFERROR(IF($G1915="","",VLOOKUP('Dashboard And Emails Automate'!$G1915,Database!$H:$N,5,0)),"")</f>
        <v/>
      </c>
      <c r="L1915" s="55" t="str">
        <f>IFERROR(IF($G1915="","",VLOOKUP('Dashboard And Emails Automate'!$G1915,Database!$H:$N,6,0)),"")</f>
        <v/>
      </c>
      <c r="M1915" s="55" t="str">
        <f>IFERROR(IF($G1915="","",VLOOKUP('Dashboard And Emails Automate'!$G1915,Database!$H:$N,7,0)),"")</f>
        <v/>
      </c>
      <c r="N1915" s="55" t="str">
        <f>IFERROR(IF(OR($B1915="",$B1915="(blank)"),"",VLOOKUP($B1915,'Email Marketing Raw Data'!$C:$O,6,0)),"")</f>
        <v/>
      </c>
      <c r="O1915" s="55" t="str">
        <f>IFERROR(IF(OR($B1915="",$B1915="(blank)"),"",VLOOKUP($B1915,'Email Marketing Raw Data'!$C:$O,7,0)),"")</f>
        <v/>
      </c>
      <c r="P1915" s="55" t="str">
        <f>IFERROR(IF(OR($B1915="",$B1915="(blank)"),"",VLOOKUP($B1915,'Email Marketing Raw Data'!$C:$O,8,0)),"")</f>
        <v/>
      </c>
      <c r="Q1915" s="62" t="str">
        <f>IFERROR(IF(OR($B1915="",$B1915="(blank)"),"",VLOOKUP($B1915,'Email Marketing Raw Data'!$C:$O,9,0)),"")</f>
        <v/>
      </c>
    </row>
    <row r="1916" spans="4:17" ht="12.75" customHeight="1" x14ac:dyDescent="0.2">
      <c r="D1916" s="58" t="str">
        <f>IFERROR(IF(F1916&lt;&gt;"pending","",IF(OR($B1916="",$B1916="(blank)"),"",VLOOKUP($B1916,'Email Marketing Raw Data'!$C:$O,10,0))),"")</f>
        <v/>
      </c>
      <c r="E1916" s="59" t="str">
        <f>IFERROR(IF(F1916&lt;&gt;"pending","",IF(OR($B1916="",$B1916="(blank)"),"",VLOOKUP($B1916,'Email Marketing Raw Data'!$C:$O,11,0))),"")</f>
        <v/>
      </c>
      <c r="F1916" s="54" t="str">
        <f>IFERROR(IF(OR($B1916="",$B1916="(blank)"),"",VLOOKUP($B1916,'Email Marketing Raw Data'!$C:$O,13,0)),"")</f>
        <v/>
      </c>
      <c r="G1916" s="55" t="str">
        <f>IFERROR(IF(OR($B1916="",$B1916="(blank)"),"",VLOOKUP($B1916,'Email Marketing Raw Data'!$C:$O,4,0)),"")</f>
        <v/>
      </c>
      <c r="H1916" s="55" t="str">
        <f>IFERROR(IF(OR($B1916="",$B1916="(blank)"),"",VLOOKUP($B1916,'Email Marketing Raw Data'!$C:$O,5,0)),"")</f>
        <v/>
      </c>
      <c r="I1916" s="55" t="str">
        <f>IFERROR(IF($G1916="","",VLOOKUP('Dashboard And Emails Automate'!$G1916,Database!$H:$N,3,0)),"")</f>
        <v/>
      </c>
      <c r="J1916" s="55" t="str">
        <f>IFERROR(IF($G1916="","",VLOOKUP('Dashboard And Emails Automate'!$G1916,Database!$H:$N,4,0)),"")</f>
        <v/>
      </c>
      <c r="K1916" s="55" t="str">
        <f>IFERROR(IF($G1916="","",VLOOKUP('Dashboard And Emails Automate'!$G1916,Database!$H:$N,5,0)),"")</f>
        <v/>
      </c>
      <c r="L1916" s="55" t="str">
        <f>IFERROR(IF($G1916="","",VLOOKUP('Dashboard And Emails Automate'!$G1916,Database!$H:$N,6,0)),"")</f>
        <v/>
      </c>
      <c r="M1916" s="55" t="str">
        <f>IFERROR(IF($G1916="","",VLOOKUP('Dashboard And Emails Automate'!$G1916,Database!$H:$N,7,0)),"")</f>
        <v/>
      </c>
      <c r="N1916" s="55" t="str">
        <f>IFERROR(IF(OR($B1916="",$B1916="(blank)"),"",VLOOKUP($B1916,'Email Marketing Raw Data'!$C:$O,6,0)),"")</f>
        <v/>
      </c>
      <c r="O1916" s="55" t="str">
        <f>IFERROR(IF(OR($B1916="",$B1916="(blank)"),"",VLOOKUP($B1916,'Email Marketing Raw Data'!$C:$O,7,0)),"")</f>
        <v/>
      </c>
      <c r="P1916" s="55" t="str">
        <f>IFERROR(IF(OR($B1916="",$B1916="(blank)"),"",VLOOKUP($B1916,'Email Marketing Raw Data'!$C:$O,8,0)),"")</f>
        <v/>
      </c>
      <c r="Q1916" s="62" t="str">
        <f>IFERROR(IF(OR($B1916="",$B1916="(blank)"),"",VLOOKUP($B1916,'Email Marketing Raw Data'!$C:$O,9,0)),"")</f>
        <v/>
      </c>
    </row>
    <row r="1917" spans="4:17" ht="12.75" customHeight="1" x14ac:dyDescent="0.2">
      <c r="D1917" s="58" t="str">
        <f>IFERROR(IF(F1917&lt;&gt;"pending","",IF(OR($B1917="",$B1917="(blank)"),"",VLOOKUP($B1917,'Email Marketing Raw Data'!$C:$O,10,0))),"")</f>
        <v/>
      </c>
      <c r="E1917" s="59" t="str">
        <f>IFERROR(IF(F1917&lt;&gt;"pending","",IF(OR($B1917="",$B1917="(blank)"),"",VLOOKUP($B1917,'Email Marketing Raw Data'!$C:$O,11,0))),"")</f>
        <v/>
      </c>
      <c r="F1917" s="54" t="str">
        <f>IFERROR(IF(OR($B1917="",$B1917="(blank)"),"",VLOOKUP($B1917,'Email Marketing Raw Data'!$C:$O,13,0)),"")</f>
        <v/>
      </c>
      <c r="G1917" s="55" t="str">
        <f>IFERROR(IF(OR($B1917="",$B1917="(blank)"),"",VLOOKUP($B1917,'Email Marketing Raw Data'!$C:$O,4,0)),"")</f>
        <v/>
      </c>
      <c r="H1917" s="55" t="str">
        <f>IFERROR(IF(OR($B1917="",$B1917="(blank)"),"",VLOOKUP($B1917,'Email Marketing Raw Data'!$C:$O,5,0)),"")</f>
        <v/>
      </c>
      <c r="I1917" s="55" t="str">
        <f>IFERROR(IF($G1917="","",VLOOKUP('Dashboard And Emails Automate'!$G1917,Database!$H:$N,3,0)),"")</f>
        <v/>
      </c>
      <c r="J1917" s="55" t="str">
        <f>IFERROR(IF($G1917="","",VLOOKUP('Dashboard And Emails Automate'!$G1917,Database!$H:$N,4,0)),"")</f>
        <v/>
      </c>
      <c r="K1917" s="55" t="str">
        <f>IFERROR(IF($G1917="","",VLOOKUP('Dashboard And Emails Automate'!$G1917,Database!$H:$N,5,0)),"")</f>
        <v/>
      </c>
      <c r="L1917" s="55" t="str">
        <f>IFERROR(IF($G1917="","",VLOOKUP('Dashboard And Emails Automate'!$G1917,Database!$H:$N,6,0)),"")</f>
        <v/>
      </c>
      <c r="M1917" s="55" t="str">
        <f>IFERROR(IF($G1917="","",VLOOKUP('Dashboard And Emails Automate'!$G1917,Database!$H:$N,7,0)),"")</f>
        <v/>
      </c>
      <c r="N1917" s="55" t="str">
        <f>IFERROR(IF(OR($B1917="",$B1917="(blank)"),"",VLOOKUP($B1917,'Email Marketing Raw Data'!$C:$O,6,0)),"")</f>
        <v/>
      </c>
      <c r="O1917" s="55" t="str">
        <f>IFERROR(IF(OR($B1917="",$B1917="(blank)"),"",VLOOKUP($B1917,'Email Marketing Raw Data'!$C:$O,7,0)),"")</f>
        <v/>
      </c>
      <c r="P1917" s="55" t="str">
        <f>IFERROR(IF(OR($B1917="",$B1917="(blank)"),"",VLOOKUP($B1917,'Email Marketing Raw Data'!$C:$O,8,0)),"")</f>
        <v/>
      </c>
      <c r="Q1917" s="62" t="str">
        <f>IFERROR(IF(OR($B1917="",$B1917="(blank)"),"",VLOOKUP($B1917,'Email Marketing Raw Data'!$C:$O,9,0)),"")</f>
        <v/>
      </c>
    </row>
    <row r="1918" spans="4:17" ht="12.75" customHeight="1" x14ac:dyDescent="0.2">
      <c r="D1918" s="58" t="str">
        <f>IFERROR(IF(F1918&lt;&gt;"pending","",IF(OR($B1918="",$B1918="(blank)"),"",VLOOKUP($B1918,'Email Marketing Raw Data'!$C:$O,10,0))),"")</f>
        <v/>
      </c>
      <c r="E1918" s="59" t="str">
        <f>IFERROR(IF(F1918&lt;&gt;"pending","",IF(OR($B1918="",$B1918="(blank)"),"",VLOOKUP($B1918,'Email Marketing Raw Data'!$C:$O,11,0))),"")</f>
        <v/>
      </c>
      <c r="F1918" s="54" t="str">
        <f>IFERROR(IF(OR($B1918="",$B1918="(blank)"),"",VLOOKUP($B1918,'Email Marketing Raw Data'!$C:$O,13,0)),"")</f>
        <v/>
      </c>
      <c r="G1918" s="55" t="str">
        <f>IFERROR(IF(OR($B1918="",$B1918="(blank)"),"",VLOOKUP($B1918,'Email Marketing Raw Data'!$C:$O,4,0)),"")</f>
        <v/>
      </c>
      <c r="H1918" s="55" t="str">
        <f>IFERROR(IF(OR($B1918="",$B1918="(blank)"),"",VLOOKUP($B1918,'Email Marketing Raw Data'!$C:$O,5,0)),"")</f>
        <v/>
      </c>
      <c r="I1918" s="55" t="str">
        <f>IFERROR(IF($G1918="","",VLOOKUP('Dashboard And Emails Automate'!$G1918,Database!$H:$N,3,0)),"")</f>
        <v/>
      </c>
      <c r="J1918" s="55" t="str">
        <f>IFERROR(IF($G1918="","",VLOOKUP('Dashboard And Emails Automate'!$G1918,Database!$H:$N,4,0)),"")</f>
        <v/>
      </c>
      <c r="K1918" s="55" t="str">
        <f>IFERROR(IF($G1918="","",VLOOKUP('Dashboard And Emails Automate'!$G1918,Database!$H:$N,5,0)),"")</f>
        <v/>
      </c>
      <c r="L1918" s="55" t="str">
        <f>IFERROR(IF($G1918="","",VLOOKUP('Dashboard And Emails Automate'!$G1918,Database!$H:$N,6,0)),"")</f>
        <v/>
      </c>
      <c r="M1918" s="55" t="str">
        <f>IFERROR(IF($G1918="","",VLOOKUP('Dashboard And Emails Automate'!$G1918,Database!$H:$N,7,0)),"")</f>
        <v/>
      </c>
      <c r="N1918" s="55" t="str">
        <f>IFERROR(IF(OR($B1918="",$B1918="(blank)"),"",VLOOKUP($B1918,'Email Marketing Raw Data'!$C:$O,6,0)),"")</f>
        <v/>
      </c>
      <c r="O1918" s="55" t="str">
        <f>IFERROR(IF(OR($B1918="",$B1918="(blank)"),"",VLOOKUP($B1918,'Email Marketing Raw Data'!$C:$O,7,0)),"")</f>
        <v/>
      </c>
      <c r="P1918" s="55" t="str">
        <f>IFERROR(IF(OR($B1918="",$B1918="(blank)"),"",VLOOKUP($B1918,'Email Marketing Raw Data'!$C:$O,8,0)),"")</f>
        <v/>
      </c>
      <c r="Q1918" s="62" t="str">
        <f>IFERROR(IF(OR($B1918="",$B1918="(blank)"),"",VLOOKUP($B1918,'Email Marketing Raw Data'!$C:$O,9,0)),"")</f>
        <v/>
      </c>
    </row>
    <row r="1919" spans="4:17" ht="12.75" customHeight="1" x14ac:dyDescent="0.2">
      <c r="D1919" s="58" t="str">
        <f>IFERROR(IF(F1919&lt;&gt;"pending","",IF(OR($B1919="",$B1919="(blank)"),"",VLOOKUP($B1919,'Email Marketing Raw Data'!$C:$O,10,0))),"")</f>
        <v/>
      </c>
      <c r="E1919" s="59" t="str">
        <f>IFERROR(IF(F1919&lt;&gt;"pending","",IF(OR($B1919="",$B1919="(blank)"),"",VLOOKUP($B1919,'Email Marketing Raw Data'!$C:$O,11,0))),"")</f>
        <v/>
      </c>
      <c r="F1919" s="54" t="str">
        <f>IFERROR(IF(OR($B1919="",$B1919="(blank)"),"",VLOOKUP($B1919,'Email Marketing Raw Data'!$C:$O,13,0)),"")</f>
        <v/>
      </c>
      <c r="G1919" s="55" t="str">
        <f>IFERROR(IF(OR($B1919="",$B1919="(blank)"),"",VLOOKUP($B1919,'Email Marketing Raw Data'!$C:$O,4,0)),"")</f>
        <v/>
      </c>
      <c r="H1919" s="55" t="str">
        <f>IFERROR(IF(OR($B1919="",$B1919="(blank)"),"",VLOOKUP($B1919,'Email Marketing Raw Data'!$C:$O,5,0)),"")</f>
        <v/>
      </c>
      <c r="I1919" s="55" t="str">
        <f>IFERROR(IF($G1919="","",VLOOKUP('Dashboard And Emails Automate'!$G1919,Database!$H:$N,3,0)),"")</f>
        <v/>
      </c>
      <c r="J1919" s="55" t="str">
        <f>IFERROR(IF($G1919="","",VLOOKUP('Dashboard And Emails Automate'!$G1919,Database!$H:$N,4,0)),"")</f>
        <v/>
      </c>
      <c r="K1919" s="55" t="str">
        <f>IFERROR(IF($G1919="","",VLOOKUP('Dashboard And Emails Automate'!$G1919,Database!$H:$N,5,0)),"")</f>
        <v/>
      </c>
      <c r="L1919" s="55" t="str">
        <f>IFERROR(IF($G1919="","",VLOOKUP('Dashboard And Emails Automate'!$G1919,Database!$H:$N,6,0)),"")</f>
        <v/>
      </c>
      <c r="M1919" s="55" t="str">
        <f>IFERROR(IF($G1919="","",VLOOKUP('Dashboard And Emails Automate'!$G1919,Database!$H:$N,7,0)),"")</f>
        <v/>
      </c>
      <c r="N1919" s="55" t="str">
        <f>IFERROR(IF(OR($B1919="",$B1919="(blank)"),"",VLOOKUP($B1919,'Email Marketing Raw Data'!$C:$O,6,0)),"")</f>
        <v/>
      </c>
      <c r="O1919" s="55" t="str">
        <f>IFERROR(IF(OR($B1919="",$B1919="(blank)"),"",VLOOKUP($B1919,'Email Marketing Raw Data'!$C:$O,7,0)),"")</f>
        <v/>
      </c>
      <c r="P1919" s="55" t="str">
        <f>IFERROR(IF(OR($B1919="",$B1919="(blank)"),"",VLOOKUP($B1919,'Email Marketing Raw Data'!$C:$O,8,0)),"")</f>
        <v/>
      </c>
      <c r="Q1919" s="62" t="str">
        <f>IFERROR(IF(OR($B1919="",$B1919="(blank)"),"",VLOOKUP($B1919,'Email Marketing Raw Data'!$C:$O,9,0)),"")</f>
        <v/>
      </c>
    </row>
    <row r="1920" spans="4:17" ht="12.75" customHeight="1" x14ac:dyDescent="0.2">
      <c r="D1920" s="58" t="str">
        <f>IFERROR(IF(F1920&lt;&gt;"pending","",IF(OR($B1920="",$B1920="(blank)"),"",VLOOKUP($B1920,'Email Marketing Raw Data'!$C:$O,10,0))),"")</f>
        <v/>
      </c>
      <c r="E1920" s="59" t="str">
        <f>IFERROR(IF(F1920&lt;&gt;"pending","",IF(OR($B1920="",$B1920="(blank)"),"",VLOOKUP($B1920,'Email Marketing Raw Data'!$C:$O,11,0))),"")</f>
        <v/>
      </c>
      <c r="F1920" s="54" t="str">
        <f>IFERROR(IF(OR($B1920="",$B1920="(blank)"),"",VLOOKUP($B1920,'Email Marketing Raw Data'!$C:$O,13,0)),"")</f>
        <v/>
      </c>
      <c r="G1920" s="55" t="str">
        <f>IFERROR(IF(OR($B1920="",$B1920="(blank)"),"",VLOOKUP($B1920,'Email Marketing Raw Data'!$C:$O,4,0)),"")</f>
        <v/>
      </c>
      <c r="H1920" s="55" t="str">
        <f>IFERROR(IF(OR($B1920="",$B1920="(blank)"),"",VLOOKUP($B1920,'Email Marketing Raw Data'!$C:$O,5,0)),"")</f>
        <v/>
      </c>
      <c r="I1920" s="55" t="str">
        <f>IFERROR(IF($G1920="","",VLOOKUP('Dashboard And Emails Automate'!$G1920,Database!$H:$N,3,0)),"")</f>
        <v/>
      </c>
      <c r="J1920" s="55" t="str">
        <f>IFERROR(IF($G1920="","",VLOOKUP('Dashboard And Emails Automate'!$G1920,Database!$H:$N,4,0)),"")</f>
        <v/>
      </c>
      <c r="K1920" s="55" t="str">
        <f>IFERROR(IF($G1920="","",VLOOKUP('Dashboard And Emails Automate'!$G1920,Database!$H:$N,5,0)),"")</f>
        <v/>
      </c>
      <c r="L1920" s="55" t="str">
        <f>IFERROR(IF($G1920="","",VLOOKUP('Dashboard And Emails Automate'!$G1920,Database!$H:$N,6,0)),"")</f>
        <v/>
      </c>
      <c r="M1920" s="55" t="str">
        <f>IFERROR(IF($G1920="","",VLOOKUP('Dashboard And Emails Automate'!$G1920,Database!$H:$N,7,0)),"")</f>
        <v/>
      </c>
      <c r="N1920" s="55" t="str">
        <f>IFERROR(IF(OR($B1920="",$B1920="(blank)"),"",VLOOKUP($B1920,'Email Marketing Raw Data'!$C:$O,6,0)),"")</f>
        <v/>
      </c>
      <c r="O1920" s="55" t="str">
        <f>IFERROR(IF(OR($B1920="",$B1920="(blank)"),"",VLOOKUP($B1920,'Email Marketing Raw Data'!$C:$O,7,0)),"")</f>
        <v/>
      </c>
      <c r="P1920" s="55" t="str">
        <f>IFERROR(IF(OR($B1920="",$B1920="(blank)"),"",VLOOKUP($B1920,'Email Marketing Raw Data'!$C:$O,8,0)),"")</f>
        <v/>
      </c>
      <c r="Q1920" s="62" t="str">
        <f>IFERROR(IF(OR($B1920="",$B1920="(blank)"),"",VLOOKUP($B1920,'Email Marketing Raw Data'!$C:$O,9,0)),"")</f>
        <v/>
      </c>
    </row>
    <row r="1921" spans="4:17" ht="12.75" customHeight="1" x14ac:dyDescent="0.2">
      <c r="D1921" s="58" t="str">
        <f>IFERROR(IF(F1921&lt;&gt;"pending","",IF(OR($B1921="",$B1921="(blank)"),"",VLOOKUP($B1921,'Email Marketing Raw Data'!$C:$O,10,0))),"")</f>
        <v/>
      </c>
      <c r="E1921" s="59" t="str">
        <f>IFERROR(IF(F1921&lt;&gt;"pending","",IF(OR($B1921="",$B1921="(blank)"),"",VLOOKUP($B1921,'Email Marketing Raw Data'!$C:$O,11,0))),"")</f>
        <v/>
      </c>
      <c r="F1921" s="54" t="str">
        <f>IFERROR(IF(OR($B1921="",$B1921="(blank)"),"",VLOOKUP($B1921,'Email Marketing Raw Data'!$C:$O,13,0)),"")</f>
        <v/>
      </c>
      <c r="G1921" s="55" t="str">
        <f>IFERROR(IF(OR($B1921="",$B1921="(blank)"),"",VLOOKUP($B1921,'Email Marketing Raw Data'!$C:$O,4,0)),"")</f>
        <v/>
      </c>
      <c r="H1921" s="55" t="str">
        <f>IFERROR(IF(OR($B1921="",$B1921="(blank)"),"",VLOOKUP($B1921,'Email Marketing Raw Data'!$C:$O,5,0)),"")</f>
        <v/>
      </c>
      <c r="I1921" s="55" t="str">
        <f>IFERROR(IF($G1921="","",VLOOKUP('Dashboard And Emails Automate'!$G1921,Database!$H:$N,3,0)),"")</f>
        <v/>
      </c>
      <c r="J1921" s="55" t="str">
        <f>IFERROR(IF($G1921="","",VLOOKUP('Dashboard And Emails Automate'!$G1921,Database!$H:$N,4,0)),"")</f>
        <v/>
      </c>
      <c r="K1921" s="55" t="str">
        <f>IFERROR(IF($G1921="","",VLOOKUP('Dashboard And Emails Automate'!$G1921,Database!$H:$N,5,0)),"")</f>
        <v/>
      </c>
      <c r="L1921" s="55" t="str">
        <f>IFERROR(IF($G1921="","",VLOOKUP('Dashboard And Emails Automate'!$G1921,Database!$H:$N,6,0)),"")</f>
        <v/>
      </c>
      <c r="M1921" s="55" t="str">
        <f>IFERROR(IF($G1921="","",VLOOKUP('Dashboard And Emails Automate'!$G1921,Database!$H:$N,7,0)),"")</f>
        <v/>
      </c>
      <c r="N1921" s="55" t="str">
        <f>IFERROR(IF(OR($B1921="",$B1921="(blank)"),"",VLOOKUP($B1921,'Email Marketing Raw Data'!$C:$O,6,0)),"")</f>
        <v/>
      </c>
      <c r="O1921" s="55" t="str">
        <f>IFERROR(IF(OR($B1921="",$B1921="(blank)"),"",VLOOKUP($B1921,'Email Marketing Raw Data'!$C:$O,7,0)),"")</f>
        <v/>
      </c>
      <c r="P1921" s="55" t="str">
        <f>IFERROR(IF(OR($B1921="",$B1921="(blank)"),"",VLOOKUP($B1921,'Email Marketing Raw Data'!$C:$O,8,0)),"")</f>
        <v/>
      </c>
      <c r="Q1921" s="62" t="str">
        <f>IFERROR(IF(OR($B1921="",$B1921="(blank)"),"",VLOOKUP($B1921,'Email Marketing Raw Data'!$C:$O,9,0)),"")</f>
        <v/>
      </c>
    </row>
    <row r="1922" spans="4:17" ht="12.75" customHeight="1" x14ac:dyDescent="0.2">
      <c r="D1922" s="58" t="str">
        <f>IFERROR(IF(F1922&lt;&gt;"pending","",IF(OR($B1922="",$B1922="(blank)"),"",VLOOKUP($B1922,'Email Marketing Raw Data'!$C:$O,10,0))),"")</f>
        <v/>
      </c>
      <c r="E1922" s="59" t="str">
        <f>IFERROR(IF(F1922&lt;&gt;"pending","",IF(OR($B1922="",$B1922="(blank)"),"",VLOOKUP($B1922,'Email Marketing Raw Data'!$C:$O,11,0))),"")</f>
        <v/>
      </c>
      <c r="F1922" s="54" t="str">
        <f>IFERROR(IF(OR($B1922="",$B1922="(blank)"),"",VLOOKUP($B1922,'Email Marketing Raw Data'!$C:$O,13,0)),"")</f>
        <v/>
      </c>
      <c r="G1922" s="55" t="str">
        <f>IFERROR(IF(OR($B1922="",$B1922="(blank)"),"",VLOOKUP($B1922,'Email Marketing Raw Data'!$C:$O,4,0)),"")</f>
        <v/>
      </c>
      <c r="H1922" s="55" t="str">
        <f>IFERROR(IF(OR($B1922="",$B1922="(blank)"),"",VLOOKUP($B1922,'Email Marketing Raw Data'!$C:$O,5,0)),"")</f>
        <v/>
      </c>
      <c r="I1922" s="55" t="str">
        <f>IFERROR(IF($G1922="","",VLOOKUP('Dashboard And Emails Automate'!$G1922,Database!$H:$N,3,0)),"")</f>
        <v/>
      </c>
      <c r="J1922" s="55" t="str">
        <f>IFERROR(IF($G1922="","",VLOOKUP('Dashboard And Emails Automate'!$G1922,Database!$H:$N,4,0)),"")</f>
        <v/>
      </c>
      <c r="K1922" s="55" t="str">
        <f>IFERROR(IF($G1922="","",VLOOKUP('Dashboard And Emails Automate'!$G1922,Database!$H:$N,5,0)),"")</f>
        <v/>
      </c>
      <c r="L1922" s="55" t="str">
        <f>IFERROR(IF($G1922="","",VLOOKUP('Dashboard And Emails Automate'!$G1922,Database!$H:$N,6,0)),"")</f>
        <v/>
      </c>
      <c r="M1922" s="55" t="str">
        <f>IFERROR(IF($G1922="","",VLOOKUP('Dashboard And Emails Automate'!$G1922,Database!$H:$N,7,0)),"")</f>
        <v/>
      </c>
      <c r="N1922" s="55" t="str">
        <f>IFERROR(IF(OR($B1922="",$B1922="(blank)"),"",VLOOKUP($B1922,'Email Marketing Raw Data'!$C:$O,6,0)),"")</f>
        <v/>
      </c>
      <c r="O1922" s="55" t="str">
        <f>IFERROR(IF(OR($B1922="",$B1922="(blank)"),"",VLOOKUP($B1922,'Email Marketing Raw Data'!$C:$O,7,0)),"")</f>
        <v/>
      </c>
      <c r="P1922" s="55" t="str">
        <f>IFERROR(IF(OR($B1922="",$B1922="(blank)"),"",VLOOKUP($B1922,'Email Marketing Raw Data'!$C:$O,8,0)),"")</f>
        <v/>
      </c>
      <c r="Q1922" s="62" t="str">
        <f>IFERROR(IF(OR($B1922="",$B1922="(blank)"),"",VLOOKUP($B1922,'Email Marketing Raw Data'!$C:$O,9,0)),"")</f>
        <v/>
      </c>
    </row>
    <row r="1923" spans="4:17" ht="12.75" customHeight="1" x14ac:dyDescent="0.2">
      <c r="D1923" s="58" t="str">
        <f>IFERROR(IF(F1923&lt;&gt;"pending","",IF(OR($B1923="",$B1923="(blank)"),"",VLOOKUP($B1923,'Email Marketing Raw Data'!$C:$O,10,0))),"")</f>
        <v/>
      </c>
      <c r="E1923" s="59" t="str">
        <f>IFERROR(IF(F1923&lt;&gt;"pending","",IF(OR($B1923="",$B1923="(blank)"),"",VLOOKUP($B1923,'Email Marketing Raw Data'!$C:$O,11,0))),"")</f>
        <v/>
      </c>
      <c r="F1923" s="54" t="str">
        <f>IFERROR(IF(OR($B1923="",$B1923="(blank)"),"",VLOOKUP($B1923,'Email Marketing Raw Data'!$C:$O,13,0)),"")</f>
        <v/>
      </c>
      <c r="G1923" s="55" t="str">
        <f>IFERROR(IF(OR($B1923="",$B1923="(blank)"),"",VLOOKUP($B1923,'Email Marketing Raw Data'!$C:$O,4,0)),"")</f>
        <v/>
      </c>
      <c r="H1923" s="55" t="str">
        <f>IFERROR(IF(OR($B1923="",$B1923="(blank)"),"",VLOOKUP($B1923,'Email Marketing Raw Data'!$C:$O,5,0)),"")</f>
        <v/>
      </c>
      <c r="I1923" s="55" t="str">
        <f>IFERROR(IF($G1923="","",VLOOKUP('Dashboard And Emails Automate'!$G1923,Database!$H:$N,3,0)),"")</f>
        <v/>
      </c>
      <c r="J1923" s="55" t="str">
        <f>IFERROR(IF($G1923="","",VLOOKUP('Dashboard And Emails Automate'!$G1923,Database!$H:$N,4,0)),"")</f>
        <v/>
      </c>
      <c r="K1923" s="55" t="str">
        <f>IFERROR(IF($G1923="","",VLOOKUP('Dashboard And Emails Automate'!$G1923,Database!$H:$N,5,0)),"")</f>
        <v/>
      </c>
      <c r="L1923" s="55" t="str">
        <f>IFERROR(IF($G1923="","",VLOOKUP('Dashboard And Emails Automate'!$G1923,Database!$H:$N,6,0)),"")</f>
        <v/>
      </c>
      <c r="M1923" s="55" t="str">
        <f>IFERROR(IF($G1923="","",VLOOKUP('Dashboard And Emails Automate'!$G1923,Database!$H:$N,7,0)),"")</f>
        <v/>
      </c>
      <c r="N1923" s="55" t="str">
        <f>IFERROR(IF(OR($B1923="",$B1923="(blank)"),"",VLOOKUP($B1923,'Email Marketing Raw Data'!$C:$O,6,0)),"")</f>
        <v/>
      </c>
      <c r="O1923" s="55" t="str">
        <f>IFERROR(IF(OR($B1923="",$B1923="(blank)"),"",VLOOKUP($B1923,'Email Marketing Raw Data'!$C:$O,7,0)),"")</f>
        <v/>
      </c>
      <c r="P1923" s="55" t="str">
        <f>IFERROR(IF(OR($B1923="",$B1923="(blank)"),"",VLOOKUP($B1923,'Email Marketing Raw Data'!$C:$O,8,0)),"")</f>
        <v/>
      </c>
      <c r="Q1923" s="62" t="str">
        <f>IFERROR(IF(OR($B1923="",$B1923="(blank)"),"",VLOOKUP($B1923,'Email Marketing Raw Data'!$C:$O,9,0)),"")</f>
        <v/>
      </c>
    </row>
    <row r="1924" spans="4:17" ht="12.75" customHeight="1" x14ac:dyDescent="0.2">
      <c r="D1924" s="58" t="str">
        <f>IFERROR(IF(F1924&lt;&gt;"pending","",IF(OR($B1924="",$B1924="(blank)"),"",VLOOKUP($B1924,'Email Marketing Raw Data'!$C:$O,10,0))),"")</f>
        <v/>
      </c>
      <c r="E1924" s="59" t="str">
        <f>IFERROR(IF(F1924&lt;&gt;"pending","",IF(OR($B1924="",$B1924="(blank)"),"",VLOOKUP($B1924,'Email Marketing Raw Data'!$C:$O,11,0))),"")</f>
        <v/>
      </c>
      <c r="F1924" s="54" t="str">
        <f>IFERROR(IF(OR($B1924="",$B1924="(blank)"),"",VLOOKUP($B1924,'Email Marketing Raw Data'!$C:$O,13,0)),"")</f>
        <v/>
      </c>
      <c r="G1924" s="55" t="str">
        <f>IFERROR(IF(OR($B1924="",$B1924="(blank)"),"",VLOOKUP($B1924,'Email Marketing Raw Data'!$C:$O,4,0)),"")</f>
        <v/>
      </c>
      <c r="H1924" s="55" t="str">
        <f>IFERROR(IF(OR($B1924="",$B1924="(blank)"),"",VLOOKUP($B1924,'Email Marketing Raw Data'!$C:$O,5,0)),"")</f>
        <v/>
      </c>
      <c r="I1924" s="55" t="str">
        <f>IFERROR(IF($G1924="","",VLOOKUP('Dashboard And Emails Automate'!$G1924,Database!$H:$N,3,0)),"")</f>
        <v/>
      </c>
      <c r="J1924" s="55" t="str">
        <f>IFERROR(IF($G1924="","",VLOOKUP('Dashboard And Emails Automate'!$G1924,Database!$H:$N,4,0)),"")</f>
        <v/>
      </c>
      <c r="K1924" s="55" t="str">
        <f>IFERROR(IF($G1924="","",VLOOKUP('Dashboard And Emails Automate'!$G1924,Database!$H:$N,5,0)),"")</f>
        <v/>
      </c>
      <c r="L1924" s="55" t="str">
        <f>IFERROR(IF($G1924="","",VLOOKUP('Dashboard And Emails Automate'!$G1924,Database!$H:$N,6,0)),"")</f>
        <v/>
      </c>
      <c r="M1924" s="55" t="str">
        <f>IFERROR(IF($G1924="","",VLOOKUP('Dashboard And Emails Automate'!$G1924,Database!$H:$N,7,0)),"")</f>
        <v/>
      </c>
      <c r="N1924" s="55" t="str">
        <f>IFERROR(IF(OR($B1924="",$B1924="(blank)"),"",VLOOKUP($B1924,'Email Marketing Raw Data'!$C:$O,6,0)),"")</f>
        <v/>
      </c>
      <c r="O1924" s="55" t="str">
        <f>IFERROR(IF(OR($B1924="",$B1924="(blank)"),"",VLOOKUP($B1924,'Email Marketing Raw Data'!$C:$O,7,0)),"")</f>
        <v/>
      </c>
      <c r="P1924" s="55" t="str">
        <f>IFERROR(IF(OR($B1924="",$B1924="(blank)"),"",VLOOKUP($B1924,'Email Marketing Raw Data'!$C:$O,8,0)),"")</f>
        <v/>
      </c>
      <c r="Q1924" s="62" t="str">
        <f>IFERROR(IF(OR($B1924="",$B1924="(blank)"),"",VLOOKUP($B1924,'Email Marketing Raw Data'!$C:$O,9,0)),"")</f>
        <v/>
      </c>
    </row>
    <row r="1925" spans="4:17" ht="12.75" customHeight="1" x14ac:dyDescent="0.2">
      <c r="D1925" s="58" t="str">
        <f>IFERROR(IF(F1925&lt;&gt;"pending","",IF(OR($B1925="",$B1925="(blank)"),"",VLOOKUP($B1925,'Email Marketing Raw Data'!$C:$O,10,0))),"")</f>
        <v/>
      </c>
      <c r="E1925" s="59" t="str">
        <f>IFERROR(IF(F1925&lt;&gt;"pending","",IF(OR($B1925="",$B1925="(blank)"),"",VLOOKUP($B1925,'Email Marketing Raw Data'!$C:$O,11,0))),"")</f>
        <v/>
      </c>
      <c r="F1925" s="54" t="str">
        <f>IFERROR(IF(OR($B1925="",$B1925="(blank)"),"",VLOOKUP($B1925,'Email Marketing Raw Data'!$C:$O,13,0)),"")</f>
        <v/>
      </c>
      <c r="G1925" s="55" t="str">
        <f>IFERROR(IF(OR($B1925="",$B1925="(blank)"),"",VLOOKUP($B1925,'Email Marketing Raw Data'!$C:$O,4,0)),"")</f>
        <v/>
      </c>
      <c r="H1925" s="55" t="str">
        <f>IFERROR(IF(OR($B1925="",$B1925="(blank)"),"",VLOOKUP($B1925,'Email Marketing Raw Data'!$C:$O,5,0)),"")</f>
        <v/>
      </c>
      <c r="I1925" s="55" t="str">
        <f>IFERROR(IF($G1925="","",VLOOKUP('Dashboard And Emails Automate'!$G1925,Database!$H:$N,3,0)),"")</f>
        <v/>
      </c>
      <c r="J1925" s="55" t="str">
        <f>IFERROR(IF($G1925="","",VLOOKUP('Dashboard And Emails Automate'!$G1925,Database!$H:$N,4,0)),"")</f>
        <v/>
      </c>
      <c r="K1925" s="55" t="str">
        <f>IFERROR(IF($G1925="","",VLOOKUP('Dashboard And Emails Automate'!$G1925,Database!$H:$N,5,0)),"")</f>
        <v/>
      </c>
      <c r="L1925" s="55" t="str">
        <f>IFERROR(IF($G1925="","",VLOOKUP('Dashboard And Emails Automate'!$G1925,Database!$H:$N,6,0)),"")</f>
        <v/>
      </c>
      <c r="M1925" s="55" t="str">
        <f>IFERROR(IF($G1925="","",VLOOKUP('Dashboard And Emails Automate'!$G1925,Database!$H:$N,7,0)),"")</f>
        <v/>
      </c>
      <c r="N1925" s="55" t="str">
        <f>IFERROR(IF(OR($B1925="",$B1925="(blank)"),"",VLOOKUP($B1925,'Email Marketing Raw Data'!$C:$O,6,0)),"")</f>
        <v/>
      </c>
      <c r="O1925" s="55" t="str">
        <f>IFERROR(IF(OR($B1925="",$B1925="(blank)"),"",VLOOKUP($B1925,'Email Marketing Raw Data'!$C:$O,7,0)),"")</f>
        <v/>
      </c>
      <c r="P1925" s="55" t="str">
        <f>IFERROR(IF(OR($B1925="",$B1925="(blank)"),"",VLOOKUP($B1925,'Email Marketing Raw Data'!$C:$O,8,0)),"")</f>
        <v/>
      </c>
      <c r="Q1925" s="62" t="str">
        <f>IFERROR(IF(OR($B1925="",$B1925="(blank)"),"",VLOOKUP($B1925,'Email Marketing Raw Data'!$C:$O,9,0)),"")</f>
        <v/>
      </c>
    </row>
    <row r="1926" spans="4:17" ht="12.75" customHeight="1" x14ac:dyDescent="0.2">
      <c r="D1926" s="58" t="str">
        <f>IFERROR(IF(F1926&lt;&gt;"pending","",IF(OR($B1926="",$B1926="(blank)"),"",VLOOKUP($B1926,'Email Marketing Raw Data'!$C:$O,10,0))),"")</f>
        <v/>
      </c>
      <c r="E1926" s="59" t="str">
        <f>IFERROR(IF(F1926&lt;&gt;"pending","",IF(OR($B1926="",$B1926="(blank)"),"",VLOOKUP($B1926,'Email Marketing Raw Data'!$C:$O,11,0))),"")</f>
        <v/>
      </c>
      <c r="F1926" s="54" t="str">
        <f>IFERROR(IF(OR($B1926="",$B1926="(blank)"),"",VLOOKUP($B1926,'Email Marketing Raw Data'!$C:$O,13,0)),"")</f>
        <v/>
      </c>
      <c r="G1926" s="55" t="str">
        <f>IFERROR(IF(OR($B1926="",$B1926="(blank)"),"",VLOOKUP($B1926,'Email Marketing Raw Data'!$C:$O,4,0)),"")</f>
        <v/>
      </c>
      <c r="H1926" s="55" t="str">
        <f>IFERROR(IF(OR($B1926="",$B1926="(blank)"),"",VLOOKUP($B1926,'Email Marketing Raw Data'!$C:$O,5,0)),"")</f>
        <v/>
      </c>
      <c r="I1926" s="55" t="str">
        <f>IFERROR(IF($G1926="","",VLOOKUP('Dashboard And Emails Automate'!$G1926,Database!$H:$N,3,0)),"")</f>
        <v/>
      </c>
      <c r="J1926" s="55" t="str">
        <f>IFERROR(IF($G1926="","",VLOOKUP('Dashboard And Emails Automate'!$G1926,Database!$H:$N,4,0)),"")</f>
        <v/>
      </c>
      <c r="K1926" s="55" t="str">
        <f>IFERROR(IF($G1926="","",VLOOKUP('Dashboard And Emails Automate'!$G1926,Database!$H:$N,5,0)),"")</f>
        <v/>
      </c>
      <c r="L1926" s="55" t="str">
        <f>IFERROR(IF($G1926="","",VLOOKUP('Dashboard And Emails Automate'!$G1926,Database!$H:$N,6,0)),"")</f>
        <v/>
      </c>
      <c r="M1926" s="55" t="str">
        <f>IFERROR(IF($G1926="","",VLOOKUP('Dashboard And Emails Automate'!$G1926,Database!$H:$N,7,0)),"")</f>
        <v/>
      </c>
      <c r="N1926" s="55" t="str">
        <f>IFERROR(IF(OR($B1926="",$B1926="(blank)"),"",VLOOKUP($B1926,'Email Marketing Raw Data'!$C:$O,6,0)),"")</f>
        <v/>
      </c>
      <c r="O1926" s="55" t="str">
        <f>IFERROR(IF(OR($B1926="",$B1926="(blank)"),"",VLOOKUP($B1926,'Email Marketing Raw Data'!$C:$O,7,0)),"")</f>
        <v/>
      </c>
      <c r="P1926" s="55" t="str">
        <f>IFERROR(IF(OR($B1926="",$B1926="(blank)"),"",VLOOKUP($B1926,'Email Marketing Raw Data'!$C:$O,8,0)),"")</f>
        <v/>
      </c>
      <c r="Q1926" s="62" t="str">
        <f>IFERROR(IF(OR($B1926="",$B1926="(blank)"),"",VLOOKUP($B1926,'Email Marketing Raw Data'!$C:$O,9,0)),"")</f>
        <v/>
      </c>
    </row>
    <row r="1927" spans="4:17" ht="12.75" customHeight="1" x14ac:dyDescent="0.2">
      <c r="D1927" s="58" t="str">
        <f>IFERROR(IF(F1927&lt;&gt;"pending","",IF(OR($B1927="",$B1927="(blank)"),"",VLOOKUP($B1927,'Email Marketing Raw Data'!$C:$O,10,0))),"")</f>
        <v/>
      </c>
      <c r="E1927" s="59" t="str">
        <f>IFERROR(IF(F1927&lt;&gt;"pending","",IF(OR($B1927="",$B1927="(blank)"),"",VLOOKUP($B1927,'Email Marketing Raw Data'!$C:$O,11,0))),"")</f>
        <v/>
      </c>
      <c r="F1927" s="54" t="str">
        <f>IFERROR(IF(OR($B1927="",$B1927="(blank)"),"",VLOOKUP($B1927,'Email Marketing Raw Data'!$C:$O,13,0)),"")</f>
        <v/>
      </c>
      <c r="G1927" s="55" t="str">
        <f>IFERROR(IF(OR($B1927="",$B1927="(blank)"),"",VLOOKUP($B1927,'Email Marketing Raw Data'!$C:$O,4,0)),"")</f>
        <v/>
      </c>
      <c r="H1927" s="55" t="str">
        <f>IFERROR(IF(OR($B1927="",$B1927="(blank)"),"",VLOOKUP($B1927,'Email Marketing Raw Data'!$C:$O,5,0)),"")</f>
        <v/>
      </c>
      <c r="I1927" s="55" t="str">
        <f>IFERROR(IF($G1927="","",VLOOKUP('Dashboard And Emails Automate'!$G1927,Database!$H:$N,3,0)),"")</f>
        <v/>
      </c>
      <c r="J1927" s="55" t="str">
        <f>IFERROR(IF($G1927="","",VLOOKUP('Dashboard And Emails Automate'!$G1927,Database!$H:$N,4,0)),"")</f>
        <v/>
      </c>
      <c r="K1927" s="55" t="str">
        <f>IFERROR(IF($G1927="","",VLOOKUP('Dashboard And Emails Automate'!$G1927,Database!$H:$N,5,0)),"")</f>
        <v/>
      </c>
      <c r="L1927" s="55" t="str">
        <f>IFERROR(IF($G1927="","",VLOOKUP('Dashboard And Emails Automate'!$G1927,Database!$H:$N,6,0)),"")</f>
        <v/>
      </c>
      <c r="M1927" s="55" t="str">
        <f>IFERROR(IF($G1927="","",VLOOKUP('Dashboard And Emails Automate'!$G1927,Database!$H:$N,7,0)),"")</f>
        <v/>
      </c>
      <c r="N1927" s="55" t="str">
        <f>IFERROR(IF(OR($B1927="",$B1927="(blank)"),"",VLOOKUP($B1927,'Email Marketing Raw Data'!$C:$O,6,0)),"")</f>
        <v/>
      </c>
      <c r="O1927" s="55" t="str">
        <f>IFERROR(IF(OR($B1927="",$B1927="(blank)"),"",VLOOKUP($B1927,'Email Marketing Raw Data'!$C:$O,7,0)),"")</f>
        <v/>
      </c>
      <c r="P1927" s="55" t="str">
        <f>IFERROR(IF(OR($B1927="",$B1927="(blank)"),"",VLOOKUP($B1927,'Email Marketing Raw Data'!$C:$O,8,0)),"")</f>
        <v/>
      </c>
      <c r="Q1927" s="62" t="str">
        <f>IFERROR(IF(OR($B1927="",$B1927="(blank)"),"",VLOOKUP($B1927,'Email Marketing Raw Data'!$C:$O,9,0)),"")</f>
        <v/>
      </c>
    </row>
    <row r="1928" spans="4:17" ht="12.75" customHeight="1" x14ac:dyDescent="0.2">
      <c r="D1928" s="58" t="str">
        <f>IFERROR(IF(F1928&lt;&gt;"pending","",IF(OR($B1928="",$B1928="(blank)"),"",VLOOKUP($B1928,'Email Marketing Raw Data'!$C:$O,10,0))),"")</f>
        <v/>
      </c>
      <c r="E1928" s="59" t="str">
        <f>IFERROR(IF(F1928&lt;&gt;"pending","",IF(OR($B1928="",$B1928="(blank)"),"",VLOOKUP($B1928,'Email Marketing Raw Data'!$C:$O,11,0))),"")</f>
        <v/>
      </c>
      <c r="F1928" s="54" t="str">
        <f>IFERROR(IF(OR($B1928="",$B1928="(blank)"),"",VLOOKUP($B1928,'Email Marketing Raw Data'!$C:$O,13,0)),"")</f>
        <v/>
      </c>
      <c r="G1928" s="55" t="str">
        <f>IFERROR(IF(OR($B1928="",$B1928="(blank)"),"",VLOOKUP($B1928,'Email Marketing Raw Data'!$C:$O,4,0)),"")</f>
        <v/>
      </c>
      <c r="H1928" s="55" t="str">
        <f>IFERROR(IF(OR($B1928="",$B1928="(blank)"),"",VLOOKUP($B1928,'Email Marketing Raw Data'!$C:$O,5,0)),"")</f>
        <v/>
      </c>
      <c r="I1928" s="55" t="str">
        <f>IFERROR(IF($G1928="","",VLOOKUP('Dashboard And Emails Automate'!$G1928,Database!$H:$N,3,0)),"")</f>
        <v/>
      </c>
      <c r="J1928" s="55" t="str">
        <f>IFERROR(IF($G1928="","",VLOOKUP('Dashboard And Emails Automate'!$G1928,Database!$H:$N,4,0)),"")</f>
        <v/>
      </c>
      <c r="K1928" s="55" t="str">
        <f>IFERROR(IF($G1928="","",VLOOKUP('Dashboard And Emails Automate'!$G1928,Database!$H:$N,5,0)),"")</f>
        <v/>
      </c>
      <c r="L1928" s="55" t="str">
        <f>IFERROR(IF($G1928="","",VLOOKUP('Dashboard And Emails Automate'!$G1928,Database!$H:$N,6,0)),"")</f>
        <v/>
      </c>
      <c r="M1928" s="55" t="str">
        <f>IFERROR(IF($G1928="","",VLOOKUP('Dashboard And Emails Automate'!$G1928,Database!$H:$N,7,0)),"")</f>
        <v/>
      </c>
      <c r="N1928" s="55" t="str">
        <f>IFERROR(IF(OR($B1928="",$B1928="(blank)"),"",VLOOKUP($B1928,'Email Marketing Raw Data'!$C:$O,6,0)),"")</f>
        <v/>
      </c>
      <c r="O1928" s="55" t="str">
        <f>IFERROR(IF(OR($B1928="",$B1928="(blank)"),"",VLOOKUP($B1928,'Email Marketing Raw Data'!$C:$O,7,0)),"")</f>
        <v/>
      </c>
      <c r="P1928" s="55" t="str">
        <f>IFERROR(IF(OR($B1928="",$B1928="(blank)"),"",VLOOKUP($B1928,'Email Marketing Raw Data'!$C:$O,8,0)),"")</f>
        <v/>
      </c>
      <c r="Q1928" s="62" t="str">
        <f>IFERROR(IF(OR($B1928="",$B1928="(blank)"),"",VLOOKUP($B1928,'Email Marketing Raw Data'!$C:$O,9,0)),"")</f>
        <v/>
      </c>
    </row>
    <row r="1929" spans="4:17" ht="12.75" customHeight="1" x14ac:dyDescent="0.2">
      <c r="D1929" s="58" t="str">
        <f>IFERROR(IF(F1929&lt;&gt;"pending","",IF(OR($B1929="",$B1929="(blank)"),"",VLOOKUP($B1929,'Email Marketing Raw Data'!$C:$O,10,0))),"")</f>
        <v/>
      </c>
      <c r="E1929" s="59" t="str">
        <f>IFERROR(IF(F1929&lt;&gt;"pending","",IF(OR($B1929="",$B1929="(blank)"),"",VLOOKUP($B1929,'Email Marketing Raw Data'!$C:$O,11,0))),"")</f>
        <v/>
      </c>
      <c r="F1929" s="54" t="str">
        <f>IFERROR(IF(OR($B1929="",$B1929="(blank)"),"",VLOOKUP($B1929,'Email Marketing Raw Data'!$C:$O,13,0)),"")</f>
        <v/>
      </c>
      <c r="G1929" s="55" t="str">
        <f>IFERROR(IF(OR($B1929="",$B1929="(blank)"),"",VLOOKUP($B1929,'Email Marketing Raw Data'!$C:$O,4,0)),"")</f>
        <v/>
      </c>
      <c r="H1929" s="55" t="str">
        <f>IFERROR(IF(OR($B1929="",$B1929="(blank)"),"",VLOOKUP($B1929,'Email Marketing Raw Data'!$C:$O,5,0)),"")</f>
        <v/>
      </c>
      <c r="I1929" s="55" t="str">
        <f>IFERROR(IF($G1929="","",VLOOKUP('Dashboard And Emails Automate'!$G1929,Database!$H:$N,3,0)),"")</f>
        <v/>
      </c>
      <c r="J1929" s="55" t="str">
        <f>IFERROR(IF($G1929="","",VLOOKUP('Dashboard And Emails Automate'!$G1929,Database!$H:$N,4,0)),"")</f>
        <v/>
      </c>
      <c r="K1929" s="55" t="str">
        <f>IFERROR(IF($G1929="","",VLOOKUP('Dashboard And Emails Automate'!$G1929,Database!$H:$N,5,0)),"")</f>
        <v/>
      </c>
      <c r="L1929" s="55" t="str">
        <f>IFERROR(IF($G1929="","",VLOOKUP('Dashboard And Emails Automate'!$G1929,Database!$H:$N,6,0)),"")</f>
        <v/>
      </c>
      <c r="M1929" s="55" t="str">
        <f>IFERROR(IF($G1929="","",VLOOKUP('Dashboard And Emails Automate'!$G1929,Database!$H:$N,7,0)),"")</f>
        <v/>
      </c>
      <c r="N1929" s="55" t="str">
        <f>IFERROR(IF(OR($B1929="",$B1929="(blank)"),"",VLOOKUP($B1929,'Email Marketing Raw Data'!$C:$O,6,0)),"")</f>
        <v/>
      </c>
      <c r="O1929" s="55" t="str">
        <f>IFERROR(IF(OR($B1929="",$B1929="(blank)"),"",VLOOKUP($B1929,'Email Marketing Raw Data'!$C:$O,7,0)),"")</f>
        <v/>
      </c>
      <c r="P1929" s="55" t="str">
        <f>IFERROR(IF(OR($B1929="",$B1929="(blank)"),"",VLOOKUP($B1929,'Email Marketing Raw Data'!$C:$O,8,0)),"")</f>
        <v/>
      </c>
      <c r="Q1929" s="62" t="str">
        <f>IFERROR(IF(OR($B1929="",$B1929="(blank)"),"",VLOOKUP($B1929,'Email Marketing Raw Data'!$C:$O,9,0)),"")</f>
        <v/>
      </c>
    </row>
    <row r="1930" spans="4:17" ht="12.75" customHeight="1" x14ac:dyDescent="0.2">
      <c r="D1930" s="58" t="str">
        <f>IFERROR(IF(F1930&lt;&gt;"pending","",IF(OR($B1930="",$B1930="(blank)"),"",VLOOKUP($B1930,'Email Marketing Raw Data'!$C:$O,10,0))),"")</f>
        <v/>
      </c>
      <c r="E1930" s="59" t="str">
        <f>IFERROR(IF(F1930&lt;&gt;"pending","",IF(OR($B1930="",$B1930="(blank)"),"",VLOOKUP($B1930,'Email Marketing Raw Data'!$C:$O,11,0))),"")</f>
        <v/>
      </c>
      <c r="F1930" s="54" t="str">
        <f>IFERROR(IF(OR($B1930="",$B1930="(blank)"),"",VLOOKUP($B1930,'Email Marketing Raw Data'!$C:$O,13,0)),"")</f>
        <v/>
      </c>
      <c r="G1930" s="55" t="str">
        <f>IFERROR(IF(OR($B1930="",$B1930="(blank)"),"",VLOOKUP($B1930,'Email Marketing Raw Data'!$C:$O,4,0)),"")</f>
        <v/>
      </c>
      <c r="H1930" s="55" t="str">
        <f>IFERROR(IF(OR($B1930="",$B1930="(blank)"),"",VLOOKUP($B1930,'Email Marketing Raw Data'!$C:$O,5,0)),"")</f>
        <v/>
      </c>
      <c r="I1930" s="55" t="str">
        <f>IFERROR(IF($G1930="","",VLOOKUP('Dashboard And Emails Automate'!$G1930,Database!$H:$N,3,0)),"")</f>
        <v/>
      </c>
      <c r="J1930" s="55" t="str">
        <f>IFERROR(IF($G1930="","",VLOOKUP('Dashboard And Emails Automate'!$G1930,Database!$H:$N,4,0)),"")</f>
        <v/>
      </c>
      <c r="K1930" s="55" t="str">
        <f>IFERROR(IF($G1930="","",VLOOKUP('Dashboard And Emails Automate'!$G1930,Database!$H:$N,5,0)),"")</f>
        <v/>
      </c>
      <c r="L1930" s="55" t="str">
        <f>IFERROR(IF($G1930="","",VLOOKUP('Dashboard And Emails Automate'!$G1930,Database!$H:$N,6,0)),"")</f>
        <v/>
      </c>
      <c r="M1930" s="55" t="str">
        <f>IFERROR(IF($G1930="","",VLOOKUP('Dashboard And Emails Automate'!$G1930,Database!$H:$N,7,0)),"")</f>
        <v/>
      </c>
      <c r="N1930" s="55" t="str">
        <f>IFERROR(IF(OR($B1930="",$B1930="(blank)"),"",VLOOKUP($B1930,'Email Marketing Raw Data'!$C:$O,6,0)),"")</f>
        <v/>
      </c>
      <c r="O1930" s="55" t="str">
        <f>IFERROR(IF(OR($B1930="",$B1930="(blank)"),"",VLOOKUP($B1930,'Email Marketing Raw Data'!$C:$O,7,0)),"")</f>
        <v/>
      </c>
      <c r="P1930" s="55" t="str">
        <f>IFERROR(IF(OR($B1930="",$B1930="(blank)"),"",VLOOKUP($B1930,'Email Marketing Raw Data'!$C:$O,8,0)),"")</f>
        <v/>
      </c>
      <c r="Q1930" s="62" t="str">
        <f>IFERROR(IF(OR($B1930="",$B1930="(blank)"),"",VLOOKUP($B1930,'Email Marketing Raw Data'!$C:$O,9,0)),"")</f>
        <v/>
      </c>
    </row>
    <row r="1931" spans="4:17" ht="12.75" customHeight="1" x14ac:dyDescent="0.2">
      <c r="D1931" s="58" t="str">
        <f>IFERROR(IF(F1931&lt;&gt;"pending","",IF(OR($B1931="",$B1931="(blank)"),"",VLOOKUP($B1931,'Email Marketing Raw Data'!$C:$O,10,0))),"")</f>
        <v/>
      </c>
      <c r="E1931" s="59" t="str">
        <f>IFERROR(IF(F1931&lt;&gt;"pending","",IF(OR($B1931="",$B1931="(blank)"),"",VLOOKUP($B1931,'Email Marketing Raw Data'!$C:$O,11,0))),"")</f>
        <v/>
      </c>
      <c r="F1931" s="54" t="str">
        <f>IFERROR(IF(OR($B1931="",$B1931="(blank)"),"",VLOOKUP($B1931,'Email Marketing Raw Data'!$C:$O,13,0)),"")</f>
        <v/>
      </c>
      <c r="G1931" s="55" t="str">
        <f>IFERROR(IF(OR($B1931="",$B1931="(blank)"),"",VLOOKUP($B1931,'Email Marketing Raw Data'!$C:$O,4,0)),"")</f>
        <v/>
      </c>
      <c r="H1931" s="55" t="str">
        <f>IFERROR(IF(OR($B1931="",$B1931="(blank)"),"",VLOOKUP($B1931,'Email Marketing Raw Data'!$C:$O,5,0)),"")</f>
        <v/>
      </c>
      <c r="I1931" s="55" t="str">
        <f>IFERROR(IF($G1931="","",VLOOKUP('Dashboard And Emails Automate'!$G1931,Database!$H:$N,3,0)),"")</f>
        <v/>
      </c>
      <c r="J1931" s="55" t="str">
        <f>IFERROR(IF($G1931="","",VLOOKUP('Dashboard And Emails Automate'!$G1931,Database!$H:$N,4,0)),"")</f>
        <v/>
      </c>
      <c r="K1931" s="55" t="str">
        <f>IFERROR(IF($G1931="","",VLOOKUP('Dashboard And Emails Automate'!$G1931,Database!$H:$N,5,0)),"")</f>
        <v/>
      </c>
      <c r="L1931" s="55" t="str">
        <f>IFERROR(IF($G1931="","",VLOOKUP('Dashboard And Emails Automate'!$G1931,Database!$H:$N,6,0)),"")</f>
        <v/>
      </c>
      <c r="M1931" s="55" t="str">
        <f>IFERROR(IF($G1931="","",VLOOKUP('Dashboard And Emails Automate'!$G1931,Database!$H:$N,7,0)),"")</f>
        <v/>
      </c>
      <c r="N1931" s="55" t="str">
        <f>IFERROR(IF(OR($B1931="",$B1931="(blank)"),"",VLOOKUP($B1931,'Email Marketing Raw Data'!$C:$O,6,0)),"")</f>
        <v/>
      </c>
      <c r="O1931" s="55" t="str">
        <f>IFERROR(IF(OR($B1931="",$B1931="(blank)"),"",VLOOKUP($B1931,'Email Marketing Raw Data'!$C:$O,7,0)),"")</f>
        <v/>
      </c>
      <c r="P1931" s="55" t="str">
        <f>IFERROR(IF(OR($B1931="",$B1931="(blank)"),"",VLOOKUP($B1931,'Email Marketing Raw Data'!$C:$O,8,0)),"")</f>
        <v/>
      </c>
      <c r="Q1931" s="62" t="str">
        <f>IFERROR(IF(OR($B1931="",$B1931="(blank)"),"",VLOOKUP($B1931,'Email Marketing Raw Data'!$C:$O,9,0)),"")</f>
        <v/>
      </c>
    </row>
    <row r="1932" spans="4:17" ht="12.75" customHeight="1" x14ac:dyDescent="0.2">
      <c r="D1932" s="58" t="str">
        <f>IFERROR(IF(F1932&lt;&gt;"pending","",IF(OR($B1932="",$B1932="(blank)"),"",VLOOKUP($B1932,'Email Marketing Raw Data'!$C:$O,10,0))),"")</f>
        <v/>
      </c>
      <c r="E1932" s="59" t="str">
        <f>IFERROR(IF(F1932&lt;&gt;"pending","",IF(OR($B1932="",$B1932="(blank)"),"",VLOOKUP($B1932,'Email Marketing Raw Data'!$C:$O,11,0))),"")</f>
        <v/>
      </c>
      <c r="F1932" s="54" t="str">
        <f>IFERROR(IF(OR($B1932="",$B1932="(blank)"),"",VLOOKUP($B1932,'Email Marketing Raw Data'!$C:$O,13,0)),"")</f>
        <v/>
      </c>
      <c r="G1932" s="55" t="str">
        <f>IFERROR(IF(OR($B1932="",$B1932="(blank)"),"",VLOOKUP($B1932,'Email Marketing Raw Data'!$C:$O,4,0)),"")</f>
        <v/>
      </c>
      <c r="H1932" s="55" t="str">
        <f>IFERROR(IF(OR($B1932="",$B1932="(blank)"),"",VLOOKUP($B1932,'Email Marketing Raw Data'!$C:$O,5,0)),"")</f>
        <v/>
      </c>
      <c r="I1932" s="55" t="str">
        <f>IFERROR(IF($G1932="","",VLOOKUP('Dashboard And Emails Automate'!$G1932,Database!$H:$N,3,0)),"")</f>
        <v/>
      </c>
      <c r="J1932" s="55" t="str">
        <f>IFERROR(IF($G1932="","",VLOOKUP('Dashboard And Emails Automate'!$G1932,Database!$H:$N,4,0)),"")</f>
        <v/>
      </c>
      <c r="K1932" s="55" t="str">
        <f>IFERROR(IF($G1932="","",VLOOKUP('Dashboard And Emails Automate'!$G1932,Database!$H:$N,5,0)),"")</f>
        <v/>
      </c>
      <c r="L1932" s="55" t="str">
        <f>IFERROR(IF($G1932="","",VLOOKUP('Dashboard And Emails Automate'!$G1932,Database!$H:$N,6,0)),"")</f>
        <v/>
      </c>
      <c r="M1932" s="55" t="str">
        <f>IFERROR(IF($G1932="","",VLOOKUP('Dashboard And Emails Automate'!$G1932,Database!$H:$N,7,0)),"")</f>
        <v/>
      </c>
      <c r="N1932" s="55" t="str">
        <f>IFERROR(IF(OR($B1932="",$B1932="(blank)"),"",VLOOKUP($B1932,'Email Marketing Raw Data'!$C:$O,6,0)),"")</f>
        <v/>
      </c>
      <c r="O1932" s="55" t="str">
        <f>IFERROR(IF(OR($B1932="",$B1932="(blank)"),"",VLOOKUP($B1932,'Email Marketing Raw Data'!$C:$O,7,0)),"")</f>
        <v/>
      </c>
      <c r="P1932" s="55" t="str">
        <f>IFERROR(IF(OR($B1932="",$B1932="(blank)"),"",VLOOKUP($B1932,'Email Marketing Raw Data'!$C:$O,8,0)),"")</f>
        <v/>
      </c>
      <c r="Q1932" s="62" t="str">
        <f>IFERROR(IF(OR($B1932="",$B1932="(blank)"),"",VLOOKUP($B1932,'Email Marketing Raw Data'!$C:$O,9,0)),"")</f>
        <v/>
      </c>
    </row>
    <row r="1933" spans="4:17" ht="12.75" customHeight="1" x14ac:dyDescent="0.2">
      <c r="D1933" s="58" t="str">
        <f>IFERROR(IF(F1933&lt;&gt;"pending","",IF(OR($B1933="",$B1933="(blank)"),"",VLOOKUP($B1933,'Email Marketing Raw Data'!$C:$O,10,0))),"")</f>
        <v/>
      </c>
      <c r="E1933" s="59" t="str">
        <f>IFERROR(IF(F1933&lt;&gt;"pending","",IF(OR($B1933="",$B1933="(blank)"),"",VLOOKUP($B1933,'Email Marketing Raw Data'!$C:$O,11,0))),"")</f>
        <v/>
      </c>
      <c r="F1933" s="54" t="str">
        <f>IFERROR(IF(OR($B1933="",$B1933="(blank)"),"",VLOOKUP($B1933,'Email Marketing Raw Data'!$C:$O,13,0)),"")</f>
        <v/>
      </c>
      <c r="G1933" s="55" t="str">
        <f>IFERROR(IF(OR($B1933="",$B1933="(blank)"),"",VLOOKUP($B1933,'Email Marketing Raw Data'!$C:$O,4,0)),"")</f>
        <v/>
      </c>
      <c r="H1933" s="55" t="str">
        <f>IFERROR(IF(OR($B1933="",$B1933="(blank)"),"",VLOOKUP($B1933,'Email Marketing Raw Data'!$C:$O,5,0)),"")</f>
        <v/>
      </c>
      <c r="I1933" s="55" t="str">
        <f>IFERROR(IF($G1933="","",VLOOKUP('Dashboard And Emails Automate'!$G1933,Database!$H:$N,3,0)),"")</f>
        <v/>
      </c>
      <c r="J1933" s="55" t="str">
        <f>IFERROR(IF($G1933="","",VLOOKUP('Dashboard And Emails Automate'!$G1933,Database!$H:$N,4,0)),"")</f>
        <v/>
      </c>
      <c r="K1933" s="55" t="str">
        <f>IFERROR(IF($G1933="","",VLOOKUP('Dashboard And Emails Automate'!$G1933,Database!$H:$N,5,0)),"")</f>
        <v/>
      </c>
      <c r="L1933" s="55" t="str">
        <f>IFERROR(IF($G1933="","",VLOOKUP('Dashboard And Emails Automate'!$G1933,Database!$H:$N,6,0)),"")</f>
        <v/>
      </c>
      <c r="M1933" s="55" t="str">
        <f>IFERROR(IF($G1933="","",VLOOKUP('Dashboard And Emails Automate'!$G1933,Database!$H:$N,7,0)),"")</f>
        <v/>
      </c>
      <c r="N1933" s="55" t="str">
        <f>IFERROR(IF(OR($B1933="",$B1933="(blank)"),"",VLOOKUP($B1933,'Email Marketing Raw Data'!$C:$O,6,0)),"")</f>
        <v/>
      </c>
      <c r="O1933" s="55" t="str">
        <f>IFERROR(IF(OR($B1933="",$B1933="(blank)"),"",VLOOKUP($B1933,'Email Marketing Raw Data'!$C:$O,7,0)),"")</f>
        <v/>
      </c>
      <c r="P1933" s="55" t="str">
        <f>IFERROR(IF(OR($B1933="",$B1933="(blank)"),"",VLOOKUP($B1933,'Email Marketing Raw Data'!$C:$O,8,0)),"")</f>
        <v/>
      </c>
      <c r="Q1933" s="62" t="str">
        <f>IFERROR(IF(OR($B1933="",$B1933="(blank)"),"",VLOOKUP($B1933,'Email Marketing Raw Data'!$C:$O,9,0)),"")</f>
        <v/>
      </c>
    </row>
    <row r="1934" spans="4:17" ht="12.75" customHeight="1" x14ac:dyDescent="0.2">
      <c r="D1934" s="58" t="str">
        <f>IFERROR(IF(F1934&lt;&gt;"pending","",IF(OR($B1934="",$B1934="(blank)"),"",VLOOKUP($B1934,'Email Marketing Raw Data'!$C:$O,10,0))),"")</f>
        <v/>
      </c>
      <c r="E1934" s="59" t="str">
        <f>IFERROR(IF(F1934&lt;&gt;"pending","",IF(OR($B1934="",$B1934="(blank)"),"",VLOOKUP($B1934,'Email Marketing Raw Data'!$C:$O,11,0))),"")</f>
        <v/>
      </c>
      <c r="F1934" s="54" t="str">
        <f>IFERROR(IF(OR($B1934="",$B1934="(blank)"),"",VLOOKUP($B1934,'Email Marketing Raw Data'!$C:$O,13,0)),"")</f>
        <v/>
      </c>
      <c r="G1934" s="55" t="str">
        <f>IFERROR(IF(OR($B1934="",$B1934="(blank)"),"",VLOOKUP($B1934,'Email Marketing Raw Data'!$C:$O,4,0)),"")</f>
        <v/>
      </c>
      <c r="H1934" s="55" t="str">
        <f>IFERROR(IF(OR($B1934="",$B1934="(blank)"),"",VLOOKUP($B1934,'Email Marketing Raw Data'!$C:$O,5,0)),"")</f>
        <v/>
      </c>
      <c r="I1934" s="55" t="str">
        <f>IFERROR(IF($G1934="","",VLOOKUP('Dashboard And Emails Automate'!$G1934,Database!$H:$N,3,0)),"")</f>
        <v/>
      </c>
      <c r="J1934" s="55" t="str">
        <f>IFERROR(IF($G1934="","",VLOOKUP('Dashboard And Emails Automate'!$G1934,Database!$H:$N,4,0)),"")</f>
        <v/>
      </c>
      <c r="K1934" s="55" t="str">
        <f>IFERROR(IF($G1934="","",VLOOKUP('Dashboard And Emails Automate'!$G1934,Database!$H:$N,5,0)),"")</f>
        <v/>
      </c>
      <c r="L1934" s="55" t="str">
        <f>IFERROR(IF($G1934="","",VLOOKUP('Dashboard And Emails Automate'!$G1934,Database!$H:$N,6,0)),"")</f>
        <v/>
      </c>
      <c r="M1934" s="55" t="str">
        <f>IFERROR(IF($G1934="","",VLOOKUP('Dashboard And Emails Automate'!$G1934,Database!$H:$N,7,0)),"")</f>
        <v/>
      </c>
      <c r="N1934" s="55" t="str">
        <f>IFERROR(IF(OR($B1934="",$B1934="(blank)"),"",VLOOKUP($B1934,'Email Marketing Raw Data'!$C:$O,6,0)),"")</f>
        <v/>
      </c>
      <c r="O1934" s="55" t="str">
        <f>IFERROR(IF(OR($B1934="",$B1934="(blank)"),"",VLOOKUP($B1934,'Email Marketing Raw Data'!$C:$O,7,0)),"")</f>
        <v/>
      </c>
      <c r="P1934" s="55" t="str">
        <f>IFERROR(IF(OR($B1934="",$B1934="(blank)"),"",VLOOKUP($B1934,'Email Marketing Raw Data'!$C:$O,8,0)),"")</f>
        <v/>
      </c>
      <c r="Q1934" s="62" t="str">
        <f>IFERROR(IF(OR($B1934="",$B1934="(blank)"),"",VLOOKUP($B1934,'Email Marketing Raw Data'!$C:$O,9,0)),"")</f>
        <v/>
      </c>
    </row>
    <row r="1935" spans="4:17" ht="12.75" customHeight="1" x14ac:dyDescent="0.2">
      <c r="D1935" s="58" t="str">
        <f>IFERROR(IF(F1935&lt;&gt;"pending","",IF(OR($B1935="",$B1935="(blank)"),"",VLOOKUP($B1935,'Email Marketing Raw Data'!$C:$O,10,0))),"")</f>
        <v/>
      </c>
      <c r="E1935" s="59" t="str">
        <f>IFERROR(IF(F1935&lt;&gt;"pending","",IF(OR($B1935="",$B1935="(blank)"),"",VLOOKUP($B1935,'Email Marketing Raw Data'!$C:$O,11,0))),"")</f>
        <v/>
      </c>
      <c r="F1935" s="54" t="str">
        <f>IFERROR(IF(OR($B1935="",$B1935="(blank)"),"",VLOOKUP($B1935,'Email Marketing Raw Data'!$C:$O,13,0)),"")</f>
        <v/>
      </c>
      <c r="G1935" s="55" t="str">
        <f>IFERROR(IF(OR($B1935="",$B1935="(blank)"),"",VLOOKUP($B1935,'Email Marketing Raw Data'!$C:$O,4,0)),"")</f>
        <v/>
      </c>
      <c r="H1935" s="55" t="str">
        <f>IFERROR(IF(OR($B1935="",$B1935="(blank)"),"",VLOOKUP($B1935,'Email Marketing Raw Data'!$C:$O,5,0)),"")</f>
        <v/>
      </c>
      <c r="I1935" s="55" t="str">
        <f>IFERROR(IF($G1935="","",VLOOKUP('Dashboard And Emails Automate'!$G1935,Database!$H:$N,3,0)),"")</f>
        <v/>
      </c>
      <c r="J1935" s="55" t="str">
        <f>IFERROR(IF($G1935="","",VLOOKUP('Dashboard And Emails Automate'!$G1935,Database!$H:$N,4,0)),"")</f>
        <v/>
      </c>
      <c r="K1935" s="55" t="str">
        <f>IFERROR(IF($G1935="","",VLOOKUP('Dashboard And Emails Automate'!$G1935,Database!$H:$N,5,0)),"")</f>
        <v/>
      </c>
      <c r="L1935" s="55" t="str">
        <f>IFERROR(IF($G1935="","",VLOOKUP('Dashboard And Emails Automate'!$G1935,Database!$H:$N,6,0)),"")</f>
        <v/>
      </c>
      <c r="M1935" s="55" t="str">
        <f>IFERROR(IF($G1935="","",VLOOKUP('Dashboard And Emails Automate'!$G1935,Database!$H:$N,7,0)),"")</f>
        <v/>
      </c>
      <c r="N1935" s="55" t="str">
        <f>IFERROR(IF(OR($B1935="",$B1935="(blank)"),"",VLOOKUP($B1935,'Email Marketing Raw Data'!$C:$O,6,0)),"")</f>
        <v/>
      </c>
      <c r="O1935" s="55" t="str">
        <f>IFERROR(IF(OR($B1935="",$B1935="(blank)"),"",VLOOKUP($B1935,'Email Marketing Raw Data'!$C:$O,7,0)),"")</f>
        <v/>
      </c>
      <c r="P1935" s="55" t="str">
        <f>IFERROR(IF(OR($B1935="",$B1935="(blank)"),"",VLOOKUP($B1935,'Email Marketing Raw Data'!$C:$O,8,0)),"")</f>
        <v/>
      </c>
      <c r="Q1935" s="62" t="str">
        <f>IFERROR(IF(OR($B1935="",$B1935="(blank)"),"",VLOOKUP($B1935,'Email Marketing Raw Data'!$C:$O,9,0)),"")</f>
        <v/>
      </c>
    </row>
    <row r="1936" spans="4:17" ht="12.75" customHeight="1" x14ac:dyDescent="0.2">
      <c r="D1936" s="58" t="str">
        <f>IFERROR(IF(F1936&lt;&gt;"pending","",IF(OR($B1936="",$B1936="(blank)"),"",VLOOKUP($B1936,'Email Marketing Raw Data'!$C:$O,10,0))),"")</f>
        <v/>
      </c>
      <c r="E1936" s="59" t="str">
        <f>IFERROR(IF(F1936&lt;&gt;"pending","",IF(OR($B1936="",$B1936="(blank)"),"",VLOOKUP($B1936,'Email Marketing Raw Data'!$C:$O,11,0))),"")</f>
        <v/>
      </c>
      <c r="F1936" s="54" t="str">
        <f>IFERROR(IF(OR($B1936="",$B1936="(blank)"),"",VLOOKUP($B1936,'Email Marketing Raw Data'!$C:$O,13,0)),"")</f>
        <v/>
      </c>
      <c r="G1936" s="55" t="str">
        <f>IFERROR(IF(OR($B1936="",$B1936="(blank)"),"",VLOOKUP($B1936,'Email Marketing Raw Data'!$C:$O,4,0)),"")</f>
        <v/>
      </c>
      <c r="H1936" s="55" t="str">
        <f>IFERROR(IF(OR($B1936="",$B1936="(blank)"),"",VLOOKUP($B1936,'Email Marketing Raw Data'!$C:$O,5,0)),"")</f>
        <v/>
      </c>
      <c r="I1936" s="55" t="str">
        <f>IFERROR(IF($G1936="","",VLOOKUP('Dashboard And Emails Automate'!$G1936,Database!$H:$N,3,0)),"")</f>
        <v/>
      </c>
      <c r="J1936" s="55" t="str">
        <f>IFERROR(IF($G1936="","",VLOOKUP('Dashboard And Emails Automate'!$G1936,Database!$H:$N,4,0)),"")</f>
        <v/>
      </c>
      <c r="K1936" s="55" t="str">
        <f>IFERROR(IF($G1936="","",VLOOKUP('Dashboard And Emails Automate'!$G1936,Database!$H:$N,5,0)),"")</f>
        <v/>
      </c>
      <c r="L1936" s="55" t="str">
        <f>IFERROR(IF($G1936="","",VLOOKUP('Dashboard And Emails Automate'!$G1936,Database!$H:$N,6,0)),"")</f>
        <v/>
      </c>
      <c r="M1936" s="55" t="str">
        <f>IFERROR(IF($G1936="","",VLOOKUP('Dashboard And Emails Automate'!$G1936,Database!$H:$N,7,0)),"")</f>
        <v/>
      </c>
      <c r="N1936" s="55" t="str">
        <f>IFERROR(IF(OR($B1936="",$B1936="(blank)"),"",VLOOKUP($B1936,'Email Marketing Raw Data'!$C:$O,6,0)),"")</f>
        <v/>
      </c>
      <c r="O1936" s="55" t="str">
        <f>IFERROR(IF(OR($B1936="",$B1936="(blank)"),"",VLOOKUP($B1936,'Email Marketing Raw Data'!$C:$O,7,0)),"")</f>
        <v/>
      </c>
      <c r="P1936" s="55" t="str">
        <f>IFERROR(IF(OR($B1936="",$B1936="(blank)"),"",VLOOKUP($B1936,'Email Marketing Raw Data'!$C:$O,8,0)),"")</f>
        <v/>
      </c>
      <c r="Q1936" s="62" t="str">
        <f>IFERROR(IF(OR($B1936="",$B1936="(blank)"),"",VLOOKUP($B1936,'Email Marketing Raw Data'!$C:$O,9,0)),"")</f>
        <v/>
      </c>
    </row>
    <row r="1937" spans="4:17" ht="12.75" customHeight="1" x14ac:dyDescent="0.2">
      <c r="D1937" s="58" t="str">
        <f>IFERROR(IF(F1937&lt;&gt;"pending","",IF(OR($B1937="",$B1937="(blank)"),"",VLOOKUP($B1937,'Email Marketing Raw Data'!$C:$O,10,0))),"")</f>
        <v/>
      </c>
      <c r="E1937" s="59" t="str">
        <f>IFERROR(IF(F1937&lt;&gt;"pending","",IF(OR($B1937="",$B1937="(blank)"),"",VLOOKUP($B1937,'Email Marketing Raw Data'!$C:$O,11,0))),"")</f>
        <v/>
      </c>
      <c r="F1937" s="54" t="str">
        <f>IFERROR(IF(OR($B1937="",$B1937="(blank)"),"",VLOOKUP($B1937,'Email Marketing Raw Data'!$C:$O,13,0)),"")</f>
        <v/>
      </c>
      <c r="G1937" s="55" t="str">
        <f>IFERROR(IF(OR($B1937="",$B1937="(blank)"),"",VLOOKUP($B1937,'Email Marketing Raw Data'!$C:$O,4,0)),"")</f>
        <v/>
      </c>
      <c r="H1937" s="55" t="str">
        <f>IFERROR(IF(OR($B1937="",$B1937="(blank)"),"",VLOOKUP($B1937,'Email Marketing Raw Data'!$C:$O,5,0)),"")</f>
        <v/>
      </c>
      <c r="I1937" s="55" t="str">
        <f>IFERROR(IF($G1937="","",VLOOKUP('Dashboard And Emails Automate'!$G1937,Database!$H:$N,3,0)),"")</f>
        <v/>
      </c>
      <c r="J1937" s="55" t="str">
        <f>IFERROR(IF($G1937="","",VLOOKUP('Dashboard And Emails Automate'!$G1937,Database!$H:$N,4,0)),"")</f>
        <v/>
      </c>
      <c r="K1937" s="55" t="str">
        <f>IFERROR(IF($G1937="","",VLOOKUP('Dashboard And Emails Automate'!$G1937,Database!$H:$N,5,0)),"")</f>
        <v/>
      </c>
      <c r="L1937" s="55" t="str">
        <f>IFERROR(IF($G1937="","",VLOOKUP('Dashboard And Emails Automate'!$G1937,Database!$H:$N,6,0)),"")</f>
        <v/>
      </c>
      <c r="M1937" s="55" t="str">
        <f>IFERROR(IF($G1937="","",VLOOKUP('Dashboard And Emails Automate'!$G1937,Database!$H:$N,7,0)),"")</f>
        <v/>
      </c>
      <c r="N1937" s="55" t="str">
        <f>IFERROR(IF(OR($B1937="",$B1937="(blank)"),"",VLOOKUP($B1937,'Email Marketing Raw Data'!$C:$O,6,0)),"")</f>
        <v/>
      </c>
      <c r="O1937" s="55" t="str">
        <f>IFERROR(IF(OR($B1937="",$B1937="(blank)"),"",VLOOKUP($B1937,'Email Marketing Raw Data'!$C:$O,7,0)),"")</f>
        <v/>
      </c>
      <c r="P1937" s="55" t="str">
        <f>IFERROR(IF(OR($B1937="",$B1937="(blank)"),"",VLOOKUP($B1937,'Email Marketing Raw Data'!$C:$O,8,0)),"")</f>
        <v/>
      </c>
      <c r="Q1937" s="62" t="str">
        <f>IFERROR(IF(OR($B1937="",$B1937="(blank)"),"",VLOOKUP($B1937,'Email Marketing Raw Data'!$C:$O,9,0)),"")</f>
        <v/>
      </c>
    </row>
    <row r="1938" spans="4:17" ht="12.75" customHeight="1" x14ac:dyDescent="0.2">
      <c r="D1938" s="58" t="str">
        <f>IFERROR(IF(F1938&lt;&gt;"pending","",IF(OR($B1938="",$B1938="(blank)"),"",VLOOKUP($B1938,'Email Marketing Raw Data'!$C:$O,10,0))),"")</f>
        <v/>
      </c>
      <c r="E1938" s="59" t="str">
        <f>IFERROR(IF(F1938&lt;&gt;"pending","",IF(OR($B1938="",$B1938="(blank)"),"",VLOOKUP($B1938,'Email Marketing Raw Data'!$C:$O,11,0))),"")</f>
        <v/>
      </c>
      <c r="F1938" s="54" t="str">
        <f>IFERROR(IF(OR($B1938="",$B1938="(blank)"),"",VLOOKUP($B1938,'Email Marketing Raw Data'!$C:$O,13,0)),"")</f>
        <v/>
      </c>
      <c r="G1938" s="55" t="str">
        <f>IFERROR(IF(OR($B1938="",$B1938="(blank)"),"",VLOOKUP($B1938,'Email Marketing Raw Data'!$C:$O,4,0)),"")</f>
        <v/>
      </c>
      <c r="H1938" s="55" t="str">
        <f>IFERROR(IF(OR($B1938="",$B1938="(blank)"),"",VLOOKUP($B1938,'Email Marketing Raw Data'!$C:$O,5,0)),"")</f>
        <v/>
      </c>
      <c r="I1938" s="55" t="str">
        <f>IFERROR(IF($G1938="","",VLOOKUP('Dashboard And Emails Automate'!$G1938,Database!$H:$N,3,0)),"")</f>
        <v/>
      </c>
      <c r="J1938" s="55" t="str">
        <f>IFERROR(IF($G1938="","",VLOOKUP('Dashboard And Emails Automate'!$G1938,Database!$H:$N,4,0)),"")</f>
        <v/>
      </c>
      <c r="K1938" s="55" t="str">
        <f>IFERROR(IF($G1938="","",VLOOKUP('Dashboard And Emails Automate'!$G1938,Database!$H:$N,5,0)),"")</f>
        <v/>
      </c>
      <c r="L1938" s="55" t="str">
        <f>IFERROR(IF($G1938="","",VLOOKUP('Dashboard And Emails Automate'!$G1938,Database!$H:$N,6,0)),"")</f>
        <v/>
      </c>
      <c r="M1938" s="55" t="str">
        <f>IFERROR(IF($G1938="","",VLOOKUP('Dashboard And Emails Automate'!$G1938,Database!$H:$N,7,0)),"")</f>
        <v/>
      </c>
      <c r="N1938" s="55" t="str">
        <f>IFERROR(IF(OR($B1938="",$B1938="(blank)"),"",VLOOKUP($B1938,'Email Marketing Raw Data'!$C:$O,6,0)),"")</f>
        <v/>
      </c>
      <c r="O1938" s="55" t="str">
        <f>IFERROR(IF(OR($B1938="",$B1938="(blank)"),"",VLOOKUP($B1938,'Email Marketing Raw Data'!$C:$O,7,0)),"")</f>
        <v/>
      </c>
      <c r="P1938" s="55" t="str">
        <f>IFERROR(IF(OR($B1938="",$B1938="(blank)"),"",VLOOKUP($B1938,'Email Marketing Raw Data'!$C:$O,8,0)),"")</f>
        <v/>
      </c>
      <c r="Q1938" s="62" t="str">
        <f>IFERROR(IF(OR($B1938="",$B1938="(blank)"),"",VLOOKUP($B1938,'Email Marketing Raw Data'!$C:$O,9,0)),"")</f>
        <v/>
      </c>
    </row>
    <row r="1939" spans="4:17" ht="12.75" customHeight="1" x14ac:dyDescent="0.2">
      <c r="D1939" s="58" t="str">
        <f>IFERROR(IF(F1939&lt;&gt;"pending","",IF(OR($B1939="",$B1939="(blank)"),"",VLOOKUP($B1939,'Email Marketing Raw Data'!$C:$O,10,0))),"")</f>
        <v/>
      </c>
      <c r="E1939" s="59" t="str">
        <f>IFERROR(IF(F1939&lt;&gt;"pending","",IF(OR($B1939="",$B1939="(blank)"),"",VLOOKUP($B1939,'Email Marketing Raw Data'!$C:$O,11,0))),"")</f>
        <v/>
      </c>
      <c r="F1939" s="54" t="str">
        <f>IFERROR(IF(OR($B1939="",$B1939="(blank)"),"",VLOOKUP($B1939,'Email Marketing Raw Data'!$C:$O,13,0)),"")</f>
        <v/>
      </c>
      <c r="G1939" s="55" t="str">
        <f>IFERROR(IF(OR($B1939="",$B1939="(blank)"),"",VLOOKUP($B1939,'Email Marketing Raw Data'!$C:$O,4,0)),"")</f>
        <v/>
      </c>
      <c r="H1939" s="55" t="str">
        <f>IFERROR(IF(OR($B1939="",$B1939="(blank)"),"",VLOOKUP($B1939,'Email Marketing Raw Data'!$C:$O,5,0)),"")</f>
        <v/>
      </c>
      <c r="I1939" s="55" t="str">
        <f>IFERROR(IF($G1939="","",VLOOKUP('Dashboard And Emails Automate'!$G1939,Database!$H:$N,3,0)),"")</f>
        <v/>
      </c>
      <c r="J1939" s="55" t="str">
        <f>IFERROR(IF($G1939="","",VLOOKUP('Dashboard And Emails Automate'!$G1939,Database!$H:$N,4,0)),"")</f>
        <v/>
      </c>
      <c r="K1939" s="55" t="str">
        <f>IFERROR(IF($G1939="","",VLOOKUP('Dashboard And Emails Automate'!$G1939,Database!$H:$N,5,0)),"")</f>
        <v/>
      </c>
      <c r="L1939" s="55" t="str">
        <f>IFERROR(IF($G1939="","",VLOOKUP('Dashboard And Emails Automate'!$G1939,Database!$H:$N,6,0)),"")</f>
        <v/>
      </c>
      <c r="M1939" s="55" t="str">
        <f>IFERROR(IF($G1939="","",VLOOKUP('Dashboard And Emails Automate'!$G1939,Database!$H:$N,7,0)),"")</f>
        <v/>
      </c>
      <c r="N1939" s="55" t="str">
        <f>IFERROR(IF(OR($B1939="",$B1939="(blank)"),"",VLOOKUP($B1939,'Email Marketing Raw Data'!$C:$O,6,0)),"")</f>
        <v/>
      </c>
      <c r="O1939" s="55" t="str">
        <f>IFERROR(IF(OR($B1939="",$B1939="(blank)"),"",VLOOKUP($B1939,'Email Marketing Raw Data'!$C:$O,7,0)),"")</f>
        <v/>
      </c>
      <c r="P1939" s="55" t="str">
        <f>IFERROR(IF(OR($B1939="",$B1939="(blank)"),"",VLOOKUP($B1939,'Email Marketing Raw Data'!$C:$O,8,0)),"")</f>
        <v/>
      </c>
      <c r="Q1939" s="62" t="str">
        <f>IFERROR(IF(OR($B1939="",$B1939="(blank)"),"",VLOOKUP($B1939,'Email Marketing Raw Data'!$C:$O,9,0)),"")</f>
        <v/>
      </c>
    </row>
    <row r="1940" spans="4:17" ht="12.75" customHeight="1" x14ac:dyDescent="0.2">
      <c r="D1940" s="58" t="str">
        <f>IFERROR(IF(F1940&lt;&gt;"pending","",IF(OR($B1940="",$B1940="(blank)"),"",VLOOKUP($B1940,'Email Marketing Raw Data'!$C:$O,10,0))),"")</f>
        <v/>
      </c>
      <c r="E1940" s="59" t="str">
        <f>IFERROR(IF(F1940&lt;&gt;"pending","",IF(OR($B1940="",$B1940="(blank)"),"",VLOOKUP($B1940,'Email Marketing Raw Data'!$C:$O,11,0))),"")</f>
        <v/>
      </c>
      <c r="F1940" s="54" t="str">
        <f>IFERROR(IF(OR($B1940="",$B1940="(blank)"),"",VLOOKUP($B1940,'Email Marketing Raw Data'!$C:$O,13,0)),"")</f>
        <v/>
      </c>
      <c r="G1940" s="55" t="str">
        <f>IFERROR(IF(OR($B1940="",$B1940="(blank)"),"",VLOOKUP($B1940,'Email Marketing Raw Data'!$C:$O,4,0)),"")</f>
        <v/>
      </c>
      <c r="H1940" s="55" t="str">
        <f>IFERROR(IF(OR($B1940="",$B1940="(blank)"),"",VLOOKUP($B1940,'Email Marketing Raw Data'!$C:$O,5,0)),"")</f>
        <v/>
      </c>
      <c r="I1940" s="55" t="str">
        <f>IFERROR(IF($G1940="","",VLOOKUP('Dashboard And Emails Automate'!$G1940,Database!$H:$N,3,0)),"")</f>
        <v/>
      </c>
      <c r="J1940" s="55" t="str">
        <f>IFERROR(IF($G1940="","",VLOOKUP('Dashboard And Emails Automate'!$G1940,Database!$H:$N,4,0)),"")</f>
        <v/>
      </c>
      <c r="K1940" s="55" t="str">
        <f>IFERROR(IF($G1940="","",VLOOKUP('Dashboard And Emails Automate'!$G1940,Database!$H:$N,5,0)),"")</f>
        <v/>
      </c>
      <c r="L1940" s="55" t="str">
        <f>IFERROR(IF($G1940="","",VLOOKUP('Dashboard And Emails Automate'!$G1940,Database!$H:$N,6,0)),"")</f>
        <v/>
      </c>
      <c r="M1940" s="55" t="str">
        <f>IFERROR(IF($G1940="","",VLOOKUP('Dashboard And Emails Automate'!$G1940,Database!$H:$N,7,0)),"")</f>
        <v/>
      </c>
      <c r="N1940" s="55" t="str">
        <f>IFERROR(IF(OR($B1940="",$B1940="(blank)"),"",VLOOKUP($B1940,'Email Marketing Raw Data'!$C:$O,6,0)),"")</f>
        <v/>
      </c>
      <c r="O1940" s="55" t="str">
        <f>IFERROR(IF(OR($B1940="",$B1940="(blank)"),"",VLOOKUP($B1940,'Email Marketing Raw Data'!$C:$O,7,0)),"")</f>
        <v/>
      </c>
      <c r="P1940" s="55" t="str">
        <f>IFERROR(IF(OR($B1940="",$B1940="(blank)"),"",VLOOKUP($B1940,'Email Marketing Raw Data'!$C:$O,8,0)),"")</f>
        <v/>
      </c>
      <c r="Q1940" s="62" t="str">
        <f>IFERROR(IF(OR($B1940="",$B1940="(blank)"),"",VLOOKUP($B1940,'Email Marketing Raw Data'!$C:$O,9,0)),"")</f>
        <v/>
      </c>
    </row>
    <row r="1941" spans="4:17" ht="12.75" customHeight="1" x14ac:dyDescent="0.2">
      <c r="D1941" s="58" t="str">
        <f>IFERROR(IF(F1941&lt;&gt;"pending","",IF(OR($B1941="",$B1941="(blank)"),"",VLOOKUP($B1941,'Email Marketing Raw Data'!$C:$O,10,0))),"")</f>
        <v/>
      </c>
      <c r="E1941" s="59" t="str">
        <f>IFERROR(IF(F1941&lt;&gt;"pending","",IF(OR($B1941="",$B1941="(blank)"),"",VLOOKUP($B1941,'Email Marketing Raw Data'!$C:$O,11,0))),"")</f>
        <v/>
      </c>
      <c r="F1941" s="54" t="str">
        <f>IFERROR(IF(OR($B1941="",$B1941="(blank)"),"",VLOOKUP($B1941,'Email Marketing Raw Data'!$C:$O,13,0)),"")</f>
        <v/>
      </c>
      <c r="G1941" s="55" t="str">
        <f>IFERROR(IF(OR($B1941="",$B1941="(blank)"),"",VLOOKUP($B1941,'Email Marketing Raw Data'!$C:$O,4,0)),"")</f>
        <v/>
      </c>
      <c r="H1941" s="55" t="str">
        <f>IFERROR(IF(OR($B1941="",$B1941="(blank)"),"",VLOOKUP($B1941,'Email Marketing Raw Data'!$C:$O,5,0)),"")</f>
        <v/>
      </c>
      <c r="I1941" s="55" t="str">
        <f>IFERROR(IF($G1941="","",VLOOKUP('Dashboard And Emails Automate'!$G1941,Database!$H:$N,3,0)),"")</f>
        <v/>
      </c>
      <c r="J1941" s="55" t="str">
        <f>IFERROR(IF($G1941="","",VLOOKUP('Dashboard And Emails Automate'!$G1941,Database!$H:$N,4,0)),"")</f>
        <v/>
      </c>
      <c r="K1941" s="55" t="str">
        <f>IFERROR(IF($G1941="","",VLOOKUP('Dashboard And Emails Automate'!$G1941,Database!$H:$N,5,0)),"")</f>
        <v/>
      </c>
      <c r="L1941" s="55" t="str">
        <f>IFERROR(IF($G1941="","",VLOOKUP('Dashboard And Emails Automate'!$G1941,Database!$H:$N,6,0)),"")</f>
        <v/>
      </c>
      <c r="M1941" s="55" t="str">
        <f>IFERROR(IF($G1941="","",VLOOKUP('Dashboard And Emails Automate'!$G1941,Database!$H:$N,7,0)),"")</f>
        <v/>
      </c>
      <c r="N1941" s="55" t="str">
        <f>IFERROR(IF(OR($B1941="",$B1941="(blank)"),"",VLOOKUP($B1941,'Email Marketing Raw Data'!$C:$O,6,0)),"")</f>
        <v/>
      </c>
      <c r="O1941" s="55" t="str">
        <f>IFERROR(IF(OR($B1941="",$B1941="(blank)"),"",VLOOKUP($B1941,'Email Marketing Raw Data'!$C:$O,7,0)),"")</f>
        <v/>
      </c>
      <c r="P1941" s="55" t="str">
        <f>IFERROR(IF(OR($B1941="",$B1941="(blank)"),"",VLOOKUP($B1941,'Email Marketing Raw Data'!$C:$O,8,0)),"")</f>
        <v/>
      </c>
      <c r="Q1941" s="62" t="str">
        <f>IFERROR(IF(OR($B1941="",$B1941="(blank)"),"",VLOOKUP($B1941,'Email Marketing Raw Data'!$C:$O,9,0)),"")</f>
        <v/>
      </c>
    </row>
    <row r="1942" spans="4:17" ht="12.75" customHeight="1" x14ac:dyDescent="0.2">
      <c r="D1942" s="58" t="str">
        <f>IFERROR(IF(F1942&lt;&gt;"pending","",IF(OR($B1942="",$B1942="(blank)"),"",VLOOKUP($B1942,'Email Marketing Raw Data'!$C:$O,10,0))),"")</f>
        <v/>
      </c>
      <c r="E1942" s="59" t="str">
        <f>IFERROR(IF(F1942&lt;&gt;"pending","",IF(OR($B1942="",$B1942="(blank)"),"",VLOOKUP($B1942,'Email Marketing Raw Data'!$C:$O,11,0))),"")</f>
        <v/>
      </c>
      <c r="F1942" s="54" t="str">
        <f>IFERROR(IF(OR($B1942="",$B1942="(blank)"),"",VLOOKUP($B1942,'Email Marketing Raw Data'!$C:$O,13,0)),"")</f>
        <v/>
      </c>
      <c r="G1942" s="55" t="str">
        <f>IFERROR(IF(OR($B1942="",$B1942="(blank)"),"",VLOOKUP($B1942,'Email Marketing Raw Data'!$C:$O,4,0)),"")</f>
        <v/>
      </c>
      <c r="H1942" s="55" t="str">
        <f>IFERROR(IF(OR($B1942="",$B1942="(blank)"),"",VLOOKUP($B1942,'Email Marketing Raw Data'!$C:$O,5,0)),"")</f>
        <v/>
      </c>
      <c r="I1942" s="55" t="str">
        <f>IFERROR(IF($G1942="","",VLOOKUP('Dashboard And Emails Automate'!$G1942,Database!$H:$N,3,0)),"")</f>
        <v/>
      </c>
      <c r="J1942" s="55" t="str">
        <f>IFERROR(IF($G1942="","",VLOOKUP('Dashboard And Emails Automate'!$G1942,Database!$H:$N,4,0)),"")</f>
        <v/>
      </c>
      <c r="K1942" s="55" t="str">
        <f>IFERROR(IF($G1942="","",VLOOKUP('Dashboard And Emails Automate'!$G1942,Database!$H:$N,5,0)),"")</f>
        <v/>
      </c>
      <c r="L1942" s="55" t="str">
        <f>IFERROR(IF($G1942="","",VLOOKUP('Dashboard And Emails Automate'!$G1942,Database!$H:$N,6,0)),"")</f>
        <v/>
      </c>
      <c r="M1942" s="55" t="str">
        <f>IFERROR(IF($G1942="","",VLOOKUP('Dashboard And Emails Automate'!$G1942,Database!$H:$N,7,0)),"")</f>
        <v/>
      </c>
      <c r="N1942" s="55" t="str">
        <f>IFERROR(IF(OR($B1942="",$B1942="(blank)"),"",VLOOKUP($B1942,'Email Marketing Raw Data'!$C:$O,6,0)),"")</f>
        <v/>
      </c>
      <c r="O1942" s="55" t="str">
        <f>IFERROR(IF(OR($B1942="",$B1942="(blank)"),"",VLOOKUP($B1942,'Email Marketing Raw Data'!$C:$O,7,0)),"")</f>
        <v/>
      </c>
      <c r="P1942" s="55" t="str">
        <f>IFERROR(IF(OR($B1942="",$B1942="(blank)"),"",VLOOKUP($B1942,'Email Marketing Raw Data'!$C:$O,8,0)),"")</f>
        <v/>
      </c>
      <c r="Q1942" s="62" t="str">
        <f>IFERROR(IF(OR($B1942="",$B1942="(blank)"),"",VLOOKUP($B1942,'Email Marketing Raw Data'!$C:$O,9,0)),"")</f>
        <v/>
      </c>
    </row>
    <row r="1943" spans="4:17" ht="12.75" customHeight="1" x14ac:dyDescent="0.2">
      <c r="D1943" s="58" t="str">
        <f>IFERROR(IF(F1943&lt;&gt;"pending","",IF(OR($B1943="",$B1943="(blank)"),"",VLOOKUP($B1943,'Email Marketing Raw Data'!$C:$O,10,0))),"")</f>
        <v/>
      </c>
      <c r="E1943" s="59" t="str">
        <f>IFERROR(IF(F1943&lt;&gt;"pending","",IF(OR($B1943="",$B1943="(blank)"),"",VLOOKUP($B1943,'Email Marketing Raw Data'!$C:$O,11,0))),"")</f>
        <v/>
      </c>
      <c r="F1943" s="54" t="str">
        <f>IFERROR(IF(OR($B1943="",$B1943="(blank)"),"",VLOOKUP($B1943,'Email Marketing Raw Data'!$C:$O,13,0)),"")</f>
        <v/>
      </c>
      <c r="G1943" s="55" t="str">
        <f>IFERROR(IF(OR($B1943="",$B1943="(blank)"),"",VLOOKUP($B1943,'Email Marketing Raw Data'!$C:$O,4,0)),"")</f>
        <v/>
      </c>
      <c r="H1943" s="55" t="str">
        <f>IFERROR(IF(OR($B1943="",$B1943="(blank)"),"",VLOOKUP($B1943,'Email Marketing Raw Data'!$C:$O,5,0)),"")</f>
        <v/>
      </c>
      <c r="I1943" s="55" t="str">
        <f>IFERROR(IF($G1943="","",VLOOKUP('Dashboard And Emails Automate'!$G1943,Database!$H:$N,3,0)),"")</f>
        <v/>
      </c>
      <c r="J1943" s="55" t="str">
        <f>IFERROR(IF($G1943="","",VLOOKUP('Dashboard And Emails Automate'!$G1943,Database!$H:$N,4,0)),"")</f>
        <v/>
      </c>
      <c r="K1943" s="55" t="str">
        <f>IFERROR(IF($G1943="","",VLOOKUP('Dashboard And Emails Automate'!$G1943,Database!$H:$N,5,0)),"")</f>
        <v/>
      </c>
      <c r="L1943" s="55" t="str">
        <f>IFERROR(IF($G1943="","",VLOOKUP('Dashboard And Emails Automate'!$G1943,Database!$H:$N,6,0)),"")</f>
        <v/>
      </c>
      <c r="M1943" s="55" t="str">
        <f>IFERROR(IF($G1943="","",VLOOKUP('Dashboard And Emails Automate'!$G1943,Database!$H:$N,7,0)),"")</f>
        <v/>
      </c>
      <c r="N1943" s="55" t="str">
        <f>IFERROR(IF(OR($B1943="",$B1943="(blank)"),"",VLOOKUP($B1943,'Email Marketing Raw Data'!$C:$O,6,0)),"")</f>
        <v/>
      </c>
      <c r="O1943" s="55" t="str">
        <f>IFERROR(IF(OR($B1943="",$B1943="(blank)"),"",VLOOKUP($B1943,'Email Marketing Raw Data'!$C:$O,7,0)),"")</f>
        <v/>
      </c>
      <c r="P1943" s="55" t="str">
        <f>IFERROR(IF(OR($B1943="",$B1943="(blank)"),"",VLOOKUP($B1943,'Email Marketing Raw Data'!$C:$O,8,0)),"")</f>
        <v/>
      </c>
      <c r="Q1943" s="62" t="str">
        <f>IFERROR(IF(OR($B1943="",$B1943="(blank)"),"",VLOOKUP($B1943,'Email Marketing Raw Data'!$C:$O,9,0)),"")</f>
        <v/>
      </c>
    </row>
    <row r="1944" spans="4:17" ht="12.75" customHeight="1" x14ac:dyDescent="0.2">
      <c r="D1944" s="58" t="str">
        <f>IFERROR(IF(F1944&lt;&gt;"pending","",IF(OR($B1944="",$B1944="(blank)"),"",VLOOKUP($B1944,'Email Marketing Raw Data'!$C:$O,10,0))),"")</f>
        <v/>
      </c>
      <c r="E1944" s="59" t="str">
        <f>IFERROR(IF(F1944&lt;&gt;"pending","",IF(OR($B1944="",$B1944="(blank)"),"",VLOOKUP($B1944,'Email Marketing Raw Data'!$C:$O,11,0))),"")</f>
        <v/>
      </c>
      <c r="F1944" s="54" t="str">
        <f>IFERROR(IF(OR($B1944="",$B1944="(blank)"),"",VLOOKUP($B1944,'Email Marketing Raw Data'!$C:$O,13,0)),"")</f>
        <v/>
      </c>
      <c r="G1944" s="55" t="str">
        <f>IFERROR(IF(OR($B1944="",$B1944="(blank)"),"",VLOOKUP($B1944,'Email Marketing Raw Data'!$C:$O,4,0)),"")</f>
        <v/>
      </c>
      <c r="H1944" s="55" t="str">
        <f>IFERROR(IF(OR($B1944="",$B1944="(blank)"),"",VLOOKUP($B1944,'Email Marketing Raw Data'!$C:$O,5,0)),"")</f>
        <v/>
      </c>
      <c r="I1944" s="55" t="str">
        <f>IFERROR(IF($G1944="","",VLOOKUP('Dashboard And Emails Automate'!$G1944,Database!$H:$N,3,0)),"")</f>
        <v/>
      </c>
      <c r="J1944" s="55" t="str">
        <f>IFERROR(IF($G1944="","",VLOOKUP('Dashboard And Emails Automate'!$G1944,Database!$H:$N,4,0)),"")</f>
        <v/>
      </c>
      <c r="K1944" s="55" t="str">
        <f>IFERROR(IF($G1944="","",VLOOKUP('Dashboard And Emails Automate'!$G1944,Database!$H:$N,5,0)),"")</f>
        <v/>
      </c>
      <c r="L1944" s="55" t="str">
        <f>IFERROR(IF($G1944="","",VLOOKUP('Dashboard And Emails Automate'!$G1944,Database!$H:$N,6,0)),"")</f>
        <v/>
      </c>
      <c r="M1944" s="55" t="str">
        <f>IFERROR(IF($G1944="","",VLOOKUP('Dashboard And Emails Automate'!$G1944,Database!$H:$N,7,0)),"")</f>
        <v/>
      </c>
      <c r="N1944" s="55" t="str">
        <f>IFERROR(IF(OR($B1944="",$B1944="(blank)"),"",VLOOKUP($B1944,'Email Marketing Raw Data'!$C:$O,6,0)),"")</f>
        <v/>
      </c>
      <c r="O1944" s="55" t="str">
        <f>IFERROR(IF(OR($B1944="",$B1944="(blank)"),"",VLOOKUP($B1944,'Email Marketing Raw Data'!$C:$O,7,0)),"")</f>
        <v/>
      </c>
      <c r="P1944" s="55" t="str">
        <f>IFERROR(IF(OR($B1944="",$B1944="(blank)"),"",VLOOKUP($B1944,'Email Marketing Raw Data'!$C:$O,8,0)),"")</f>
        <v/>
      </c>
      <c r="Q1944" s="62" t="str">
        <f>IFERROR(IF(OR($B1944="",$B1944="(blank)"),"",VLOOKUP($B1944,'Email Marketing Raw Data'!$C:$O,9,0)),"")</f>
        <v/>
      </c>
    </row>
    <row r="1945" spans="4:17" ht="12.75" customHeight="1" x14ac:dyDescent="0.2">
      <c r="D1945" s="58" t="str">
        <f>IFERROR(IF(F1945&lt;&gt;"pending","",IF(OR($B1945="",$B1945="(blank)"),"",VLOOKUP($B1945,'Email Marketing Raw Data'!$C:$O,10,0))),"")</f>
        <v/>
      </c>
      <c r="E1945" s="59" t="str">
        <f>IFERROR(IF(F1945&lt;&gt;"pending","",IF(OR($B1945="",$B1945="(blank)"),"",VLOOKUP($B1945,'Email Marketing Raw Data'!$C:$O,11,0))),"")</f>
        <v/>
      </c>
      <c r="F1945" s="54" t="str">
        <f>IFERROR(IF(OR($B1945="",$B1945="(blank)"),"",VLOOKUP($B1945,'Email Marketing Raw Data'!$C:$O,13,0)),"")</f>
        <v/>
      </c>
      <c r="G1945" s="55" t="str">
        <f>IFERROR(IF(OR($B1945="",$B1945="(blank)"),"",VLOOKUP($B1945,'Email Marketing Raw Data'!$C:$O,4,0)),"")</f>
        <v/>
      </c>
      <c r="H1945" s="55" t="str">
        <f>IFERROR(IF(OR($B1945="",$B1945="(blank)"),"",VLOOKUP($B1945,'Email Marketing Raw Data'!$C:$O,5,0)),"")</f>
        <v/>
      </c>
      <c r="I1945" s="55" t="str">
        <f>IFERROR(IF($G1945="","",VLOOKUP('Dashboard And Emails Automate'!$G1945,Database!$H:$N,3,0)),"")</f>
        <v/>
      </c>
      <c r="J1945" s="55" t="str">
        <f>IFERROR(IF($G1945="","",VLOOKUP('Dashboard And Emails Automate'!$G1945,Database!$H:$N,4,0)),"")</f>
        <v/>
      </c>
      <c r="K1945" s="55" t="str">
        <f>IFERROR(IF($G1945="","",VLOOKUP('Dashboard And Emails Automate'!$G1945,Database!$H:$N,5,0)),"")</f>
        <v/>
      </c>
      <c r="L1945" s="55" t="str">
        <f>IFERROR(IF($G1945="","",VLOOKUP('Dashboard And Emails Automate'!$G1945,Database!$H:$N,6,0)),"")</f>
        <v/>
      </c>
      <c r="M1945" s="55" t="str">
        <f>IFERROR(IF($G1945="","",VLOOKUP('Dashboard And Emails Automate'!$G1945,Database!$H:$N,7,0)),"")</f>
        <v/>
      </c>
      <c r="N1945" s="55" t="str">
        <f>IFERROR(IF(OR($B1945="",$B1945="(blank)"),"",VLOOKUP($B1945,'Email Marketing Raw Data'!$C:$O,6,0)),"")</f>
        <v/>
      </c>
      <c r="O1945" s="55" t="str">
        <f>IFERROR(IF(OR($B1945="",$B1945="(blank)"),"",VLOOKUP($B1945,'Email Marketing Raw Data'!$C:$O,7,0)),"")</f>
        <v/>
      </c>
      <c r="P1945" s="55" t="str">
        <f>IFERROR(IF(OR($B1945="",$B1945="(blank)"),"",VLOOKUP($B1945,'Email Marketing Raw Data'!$C:$O,8,0)),"")</f>
        <v/>
      </c>
      <c r="Q1945" s="62" t="str">
        <f>IFERROR(IF(OR($B1945="",$B1945="(blank)"),"",VLOOKUP($B1945,'Email Marketing Raw Data'!$C:$O,9,0)),"")</f>
        <v/>
      </c>
    </row>
    <row r="1946" spans="4:17" ht="12.75" customHeight="1" x14ac:dyDescent="0.2">
      <c r="D1946" s="58" t="str">
        <f>IFERROR(IF(F1946&lt;&gt;"pending","",IF(OR($B1946="",$B1946="(blank)"),"",VLOOKUP($B1946,'Email Marketing Raw Data'!$C:$O,10,0))),"")</f>
        <v/>
      </c>
      <c r="E1946" s="59" t="str">
        <f>IFERROR(IF(F1946&lt;&gt;"pending","",IF(OR($B1946="",$B1946="(blank)"),"",VLOOKUP($B1946,'Email Marketing Raw Data'!$C:$O,11,0))),"")</f>
        <v/>
      </c>
      <c r="F1946" s="54" t="str">
        <f>IFERROR(IF(OR($B1946="",$B1946="(blank)"),"",VLOOKUP($B1946,'Email Marketing Raw Data'!$C:$O,13,0)),"")</f>
        <v/>
      </c>
      <c r="G1946" s="55" t="str">
        <f>IFERROR(IF(OR($B1946="",$B1946="(blank)"),"",VLOOKUP($B1946,'Email Marketing Raw Data'!$C:$O,4,0)),"")</f>
        <v/>
      </c>
      <c r="H1946" s="55" t="str">
        <f>IFERROR(IF(OR($B1946="",$B1946="(blank)"),"",VLOOKUP($B1946,'Email Marketing Raw Data'!$C:$O,5,0)),"")</f>
        <v/>
      </c>
      <c r="I1946" s="55" t="str">
        <f>IFERROR(IF($G1946="","",VLOOKUP('Dashboard And Emails Automate'!$G1946,Database!$H:$N,3,0)),"")</f>
        <v/>
      </c>
      <c r="J1946" s="55" t="str">
        <f>IFERROR(IF($G1946="","",VLOOKUP('Dashboard And Emails Automate'!$G1946,Database!$H:$N,4,0)),"")</f>
        <v/>
      </c>
      <c r="K1946" s="55" t="str">
        <f>IFERROR(IF($G1946="","",VLOOKUP('Dashboard And Emails Automate'!$G1946,Database!$H:$N,5,0)),"")</f>
        <v/>
      </c>
      <c r="L1946" s="55" t="str">
        <f>IFERROR(IF($G1946="","",VLOOKUP('Dashboard And Emails Automate'!$G1946,Database!$H:$N,6,0)),"")</f>
        <v/>
      </c>
      <c r="M1946" s="55" t="str">
        <f>IFERROR(IF($G1946="","",VLOOKUP('Dashboard And Emails Automate'!$G1946,Database!$H:$N,7,0)),"")</f>
        <v/>
      </c>
      <c r="N1946" s="55" t="str">
        <f>IFERROR(IF(OR($B1946="",$B1946="(blank)"),"",VLOOKUP($B1946,'Email Marketing Raw Data'!$C:$O,6,0)),"")</f>
        <v/>
      </c>
      <c r="O1946" s="55" t="str">
        <f>IFERROR(IF(OR($B1946="",$B1946="(blank)"),"",VLOOKUP($B1946,'Email Marketing Raw Data'!$C:$O,7,0)),"")</f>
        <v/>
      </c>
      <c r="P1946" s="55" t="str">
        <f>IFERROR(IF(OR($B1946="",$B1946="(blank)"),"",VLOOKUP($B1946,'Email Marketing Raw Data'!$C:$O,8,0)),"")</f>
        <v/>
      </c>
      <c r="Q1946" s="62" t="str">
        <f>IFERROR(IF(OR($B1946="",$B1946="(blank)"),"",VLOOKUP($B1946,'Email Marketing Raw Data'!$C:$O,9,0)),"")</f>
        <v/>
      </c>
    </row>
    <row r="1947" spans="4:17" ht="12.75" customHeight="1" x14ac:dyDescent="0.2">
      <c r="D1947" s="58" t="str">
        <f>IFERROR(IF(F1947&lt;&gt;"pending","",IF(OR($B1947="",$B1947="(blank)"),"",VLOOKUP($B1947,'Email Marketing Raw Data'!$C:$O,10,0))),"")</f>
        <v/>
      </c>
      <c r="E1947" s="59" t="str">
        <f>IFERROR(IF(F1947&lt;&gt;"pending","",IF(OR($B1947="",$B1947="(blank)"),"",VLOOKUP($B1947,'Email Marketing Raw Data'!$C:$O,11,0))),"")</f>
        <v/>
      </c>
      <c r="F1947" s="54" t="str">
        <f>IFERROR(IF(OR($B1947="",$B1947="(blank)"),"",VLOOKUP($B1947,'Email Marketing Raw Data'!$C:$O,13,0)),"")</f>
        <v/>
      </c>
      <c r="G1947" s="55" t="str">
        <f>IFERROR(IF(OR($B1947="",$B1947="(blank)"),"",VLOOKUP($B1947,'Email Marketing Raw Data'!$C:$O,4,0)),"")</f>
        <v/>
      </c>
      <c r="H1947" s="55" t="str">
        <f>IFERROR(IF(OR($B1947="",$B1947="(blank)"),"",VLOOKUP($B1947,'Email Marketing Raw Data'!$C:$O,5,0)),"")</f>
        <v/>
      </c>
      <c r="I1947" s="55" t="str">
        <f>IFERROR(IF($G1947="","",VLOOKUP('Dashboard And Emails Automate'!$G1947,Database!$H:$N,3,0)),"")</f>
        <v/>
      </c>
      <c r="J1947" s="55" t="str">
        <f>IFERROR(IF($G1947="","",VLOOKUP('Dashboard And Emails Automate'!$G1947,Database!$H:$N,4,0)),"")</f>
        <v/>
      </c>
      <c r="K1947" s="55" t="str">
        <f>IFERROR(IF($G1947="","",VLOOKUP('Dashboard And Emails Automate'!$G1947,Database!$H:$N,5,0)),"")</f>
        <v/>
      </c>
      <c r="L1947" s="55" t="str">
        <f>IFERROR(IF($G1947="","",VLOOKUP('Dashboard And Emails Automate'!$G1947,Database!$H:$N,6,0)),"")</f>
        <v/>
      </c>
      <c r="M1947" s="55" t="str">
        <f>IFERROR(IF($G1947="","",VLOOKUP('Dashboard And Emails Automate'!$G1947,Database!$H:$N,7,0)),"")</f>
        <v/>
      </c>
      <c r="N1947" s="55" t="str">
        <f>IFERROR(IF(OR($B1947="",$B1947="(blank)"),"",VLOOKUP($B1947,'Email Marketing Raw Data'!$C:$O,6,0)),"")</f>
        <v/>
      </c>
      <c r="O1947" s="55" t="str">
        <f>IFERROR(IF(OR($B1947="",$B1947="(blank)"),"",VLOOKUP($B1947,'Email Marketing Raw Data'!$C:$O,7,0)),"")</f>
        <v/>
      </c>
      <c r="P1947" s="55" t="str">
        <f>IFERROR(IF(OR($B1947="",$B1947="(blank)"),"",VLOOKUP($B1947,'Email Marketing Raw Data'!$C:$O,8,0)),"")</f>
        <v/>
      </c>
      <c r="Q1947" s="62" t="str">
        <f>IFERROR(IF(OR($B1947="",$B1947="(blank)"),"",VLOOKUP($B1947,'Email Marketing Raw Data'!$C:$O,9,0)),"")</f>
        <v/>
      </c>
    </row>
    <row r="1948" spans="4:17" ht="12.75" customHeight="1" x14ac:dyDescent="0.2">
      <c r="D1948" s="58" t="str">
        <f>IFERROR(IF(F1948&lt;&gt;"pending","",IF(OR($B1948="",$B1948="(blank)"),"",VLOOKUP($B1948,'Email Marketing Raw Data'!$C:$O,10,0))),"")</f>
        <v/>
      </c>
      <c r="E1948" s="59" t="str">
        <f>IFERROR(IF(F1948&lt;&gt;"pending","",IF(OR($B1948="",$B1948="(blank)"),"",VLOOKUP($B1948,'Email Marketing Raw Data'!$C:$O,11,0))),"")</f>
        <v/>
      </c>
      <c r="F1948" s="54" t="str">
        <f>IFERROR(IF(OR($B1948="",$B1948="(blank)"),"",VLOOKUP($B1948,'Email Marketing Raw Data'!$C:$O,13,0)),"")</f>
        <v/>
      </c>
      <c r="G1948" s="55" t="str">
        <f>IFERROR(IF(OR($B1948="",$B1948="(blank)"),"",VLOOKUP($B1948,'Email Marketing Raw Data'!$C:$O,4,0)),"")</f>
        <v/>
      </c>
      <c r="H1948" s="55" t="str">
        <f>IFERROR(IF(OR($B1948="",$B1948="(blank)"),"",VLOOKUP($B1948,'Email Marketing Raw Data'!$C:$O,5,0)),"")</f>
        <v/>
      </c>
      <c r="I1948" s="55" t="str">
        <f>IFERROR(IF($G1948="","",VLOOKUP('Dashboard And Emails Automate'!$G1948,Database!$H:$N,3,0)),"")</f>
        <v/>
      </c>
      <c r="J1948" s="55" t="str">
        <f>IFERROR(IF($G1948="","",VLOOKUP('Dashboard And Emails Automate'!$G1948,Database!$H:$N,4,0)),"")</f>
        <v/>
      </c>
      <c r="K1948" s="55" t="str">
        <f>IFERROR(IF($G1948="","",VLOOKUP('Dashboard And Emails Automate'!$G1948,Database!$H:$N,5,0)),"")</f>
        <v/>
      </c>
      <c r="L1948" s="55" t="str">
        <f>IFERROR(IF($G1948="","",VLOOKUP('Dashboard And Emails Automate'!$G1948,Database!$H:$N,6,0)),"")</f>
        <v/>
      </c>
      <c r="M1948" s="55" t="str">
        <f>IFERROR(IF($G1948="","",VLOOKUP('Dashboard And Emails Automate'!$G1948,Database!$H:$N,7,0)),"")</f>
        <v/>
      </c>
      <c r="N1948" s="55" t="str">
        <f>IFERROR(IF(OR($B1948="",$B1948="(blank)"),"",VLOOKUP($B1948,'Email Marketing Raw Data'!$C:$O,6,0)),"")</f>
        <v/>
      </c>
      <c r="O1948" s="55" t="str">
        <f>IFERROR(IF(OR($B1948="",$B1948="(blank)"),"",VLOOKUP($B1948,'Email Marketing Raw Data'!$C:$O,7,0)),"")</f>
        <v/>
      </c>
      <c r="P1948" s="55" t="str">
        <f>IFERROR(IF(OR($B1948="",$B1948="(blank)"),"",VLOOKUP($B1948,'Email Marketing Raw Data'!$C:$O,8,0)),"")</f>
        <v/>
      </c>
      <c r="Q1948" s="62" t="str">
        <f>IFERROR(IF(OR($B1948="",$B1948="(blank)"),"",VLOOKUP($B1948,'Email Marketing Raw Data'!$C:$O,9,0)),"")</f>
        <v/>
      </c>
    </row>
    <row r="1949" spans="4:17" ht="12.75" customHeight="1" x14ac:dyDescent="0.2">
      <c r="D1949" s="58" t="str">
        <f>IFERROR(IF(F1949&lt;&gt;"pending","",IF(OR($B1949="",$B1949="(blank)"),"",VLOOKUP($B1949,'Email Marketing Raw Data'!$C:$O,10,0))),"")</f>
        <v/>
      </c>
      <c r="E1949" s="59" t="str">
        <f>IFERROR(IF(F1949&lt;&gt;"pending","",IF(OR($B1949="",$B1949="(blank)"),"",VLOOKUP($B1949,'Email Marketing Raw Data'!$C:$O,11,0))),"")</f>
        <v/>
      </c>
      <c r="F1949" s="54" t="str">
        <f>IFERROR(IF(OR($B1949="",$B1949="(blank)"),"",VLOOKUP($B1949,'Email Marketing Raw Data'!$C:$O,13,0)),"")</f>
        <v/>
      </c>
      <c r="G1949" s="55" t="str">
        <f>IFERROR(IF(OR($B1949="",$B1949="(blank)"),"",VLOOKUP($B1949,'Email Marketing Raw Data'!$C:$O,4,0)),"")</f>
        <v/>
      </c>
      <c r="H1949" s="55" t="str">
        <f>IFERROR(IF(OR($B1949="",$B1949="(blank)"),"",VLOOKUP($B1949,'Email Marketing Raw Data'!$C:$O,5,0)),"")</f>
        <v/>
      </c>
      <c r="I1949" s="55" t="str">
        <f>IFERROR(IF($G1949="","",VLOOKUP('Dashboard And Emails Automate'!$G1949,Database!$H:$N,3,0)),"")</f>
        <v/>
      </c>
      <c r="J1949" s="55" t="str">
        <f>IFERROR(IF($G1949="","",VLOOKUP('Dashboard And Emails Automate'!$G1949,Database!$H:$N,4,0)),"")</f>
        <v/>
      </c>
      <c r="K1949" s="55" t="str">
        <f>IFERROR(IF($G1949="","",VLOOKUP('Dashboard And Emails Automate'!$G1949,Database!$H:$N,5,0)),"")</f>
        <v/>
      </c>
      <c r="L1949" s="55" t="str">
        <f>IFERROR(IF($G1949="","",VLOOKUP('Dashboard And Emails Automate'!$G1949,Database!$H:$N,6,0)),"")</f>
        <v/>
      </c>
      <c r="M1949" s="55" t="str">
        <f>IFERROR(IF($G1949="","",VLOOKUP('Dashboard And Emails Automate'!$G1949,Database!$H:$N,7,0)),"")</f>
        <v/>
      </c>
      <c r="N1949" s="55" t="str">
        <f>IFERROR(IF(OR($B1949="",$B1949="(blank)"),"",VLOOKUP($B1949,'Email Marketing Raw Data'!$C:$O,6,0)),"")</f>
        <v/>
      </c>
      <c r="O1949" s="55" t="str">
        <f>IFERROR(IF(OR($B1949="",$B1949="(blank)"),"",VLOOKUP($B1949,'Email Marketing Raw Data'!$C:$O,7,0)),"")</f>
        <v/>
      </c>
      <c r="P1949" s="55" t="str">
        <f>IFERROR(IF(OR($B1949="",$B1949="(blank)"),"",VLOOKUP($B1949,'Email Marketing Raw Data'!$C:$O,8,0)),"")</f>
        <v/>
      </c>
      <c r="Q1949" s="62" t="str">
        <f>IFERROR(IF(OR($B1949="",$B1949="(blank)"),"",VLOOKUP($B1949,'Email Marketing Raw Data'!$C:$O,9,0)),"")</f>
        <v/>
      </c>
    </row>
    <row r="1950" spans="4:17" ht="12.75" customHeight="1" x14ac:dyDescent="0.2">
      <c r="D1950" s="58" t="str">
        <f>IFERROR(IF(F1950&lt;&gt;"pending","",IF(OR($B1950="",$B1950="(blank)"),"",VLOOKUP($B1950,'Email Marketing Raw Data'!$C:$O,10,0))),"")</f>
        <v/>
      </c>
      <c r="E1950" s="59" t="str">
        <f>IFERROR(IF(F1950&lt;&gt;"pending","",IF(OR($B1950="",$B1950="(blank)"),"",VLOOKUP($B1950,'Email Marketing Raw Data'!$C:$O,11,0))),"")</f>
        <v/>
      </c>
      <c r="F1950" s="54" t="str">
        <f>IFERROR(IF(OR($B1950="",$B1950="(blank)"),"",VLOOKUP($B1950,'Email Marketing Raw Data'!$C:$O,13,0)),"")</f>
        <v/>
      </c>
      <c r="G1950" s="55" t="str">
        <f>IFERROR(IF(OR($B1950="",$B1950="(blank)"),"",VLOOKUP($B1950,'Email Marketing Raw Data'!$C:$O,4,0)),"")</f>
        <v/>
      </c>
      <c r="H1950" s="55" t="str">
        <f>IFERROR(IF(OR($B1950="",$B1950="(blank)"),"",VLOOKUP($B1950,'Email Marketing Raw Data'!$C:$O,5,0)),"")</f>
        <v/>
      </c>
      <c r="I1950" s="55" t="str">
        <f>IFERROR(IF($G1950="","",VLOOKUP('Dashboard And Emails Automate'!$G1950,Database!$H:$N,3,0)),"")</f>
        <v/>
      </c>
      <c r="J1950" s="55" t="str">
        <f>IFERROR(IF($G1950="","",VLOOKUP('Dashboard And Emails Automate'!$G1950,Database!$H:$N,4,0)),"")</f>
        <v/>
      </c>
      <c r="K1950" s="55" t="str">
        <f>IFERROR(IF($G1950="","",VLOOKUP('Dashboard And Emails Automate'!$G1950,Database!$H:$N,5,0)),"")</f>
        <v/>
      </c>
      <c r="L1950" s="55" t="str">
        <f>IFERROR(IF($G1950="","",VLOOKUP('Dashboard And Emails Automate'!$G1950,Database!$H:$N,6,0)),"")</f>
        <v/>
      </c>
      <c r="M1950" s="55" t="str">
        <f>IFERROR(IF($G1950="","",VLOOKUP('Dashboard And Emails Automate'!$G1950,Database!$H:$N,7,0)),"")</f>
        <v/>
      </c>
      <c r="N1950" s="55" t="str">
        <f>IFERROR(IF(OR($B1950="",$B1950="(blank)"),"",VLOOKUP($B1950,'Email Marketing Raw Data'!$C:$O,6,0)),"")</f>
        <v/>
      </c>
      <c r="O1950" s="55" t="str">
        <f>IFERROR(IF(OR($B1950="",$B1950="(blank)"),"",VLOOKUP($B1950,'Email Marketing Raw Data'!$C:$O,7,0)),"")</f>
        <v/>
      </c>
      <c r="P1950" s="55" t="str">
        <f>IFERROR(IF(OR($B1950="",$B1950="(blank)"),"",VLOOKUP($B1950,'Email Marketing Raw Data'!$C:$O,8,0)),"")</f>
        <v/>
      </c>
      <c r="Q1950" s="62" t="str">
        <f>IFERROR(IF(OR($B1950="",$B1950="(blank)"),"",VLOOKUP($B1950,'Email Marketing Raw Data'!$C:$O,9,0)),"")</f>
        <v/>
      </c>
    </row>
    <row r="1951" spans="4:17" ht="12.75" customHeight="1" x14ac:dyDescent="0.2">
      <c r="D1951" s="58" t="str">
        <f>IFERROR(IF(F1951&lt;&gt;"pending","",IF(OR($B1951="",$B1951="(blank)"),"",VLOOKUP($B1951,'Email Marketing Raw Data'!$C:$O,10,0))),"")</f>
        <v/>
      </c>
      <c r="E1951" s="59" t="str">
        <f>IFERROR(IF(F1951&lt;&gt;"pending","",IF(OR($B1951="",$B1951="(blank)"),"",VLOOKUP($B1951,'Email Marketing Raw Data'!$C:$O,11,0))),"")</f>
        <v/>
      </c>
      <c r="F1951" s="54" t="str">
        <f>IFERROR(IF(OR($B1951="",$B1951="(blank)"),"",VLOOKUP($B1951,'Email Marketing Raw Data'!$C:$O,13,0)),"")</f>
        <v/>
      </c>
      <c r="G1951" s="55" t="str">
        <f>IFERROR(IF(OR($B1951="",$B1951="(blank)"),"",VLOOKUP($B1951,'Email Marketing Raw Data'!$C:$O,4,0)),"")</f>
        <v/>
      </c>
      <c r="H1951" s="55" t="str">
        <f>IFERROR(IF(OR($B1951="",$B1951="(blank)"),"",VLOOKUP($B1951,'Email Marketing Raw Data'!$C:$O,5,0)),"")</f>
        <v/>
      </c>
      <c r="I1951" s="55" t="str">
        <f>IFERROR(IF($G1951="","",VLOOKUP('Dashboard And Emails Automate'!$G1951,Database!$H:$N,3,0)),"")</f>
        <v/>
      </c>
      <c r="J1951" s="55" t="str">
        <f>IFERROR(IF($G1951="","",VLOOKUP('Dashboard And Emails Automate'!$G1951,Database!$H:$N,4,0)),"")</f>
        <v/>
      </c>
      <c r="K1951" s="55" t="str">
        <f>IFERROR(IF($G1951="","",VLOOKUP('Dashboard And Emails Automate'!$G1951,Database!$H:$N,5,0)),"")</f>
        <v/>
      </c>
      <c r="L1951" s="55" t="str">
        <f>IFERROR(IF($G1951="","",VLOOKUP('Dashboard And Emails Automate'!$G1951,Database!$H:$N,6,0)),"")</f>
        <v/>
      </c>
      <c r="M1951" s="55" t="str">
        <f>IFERROR(IF($G1951="","",VLOOKUP('Dashboard And Emails Automate'!$G1951,Database!$H:$N,7,0)),"")</f>
        <v/>
      </c>
      <c r="N1951" s="55" t="str">
        <f>IFERROR(IF(OR($B1951="",$B1951="(blank)"),"",VLOOKUP($B1951,'Email Marketing Raw Data'!$C:$O,6,0)),"")</f>
        <v/>
      </c>
      <c r="O1951" s="55" t="str">
        <f>IFERROR(IF(OR($B1951="",$B1951="(blank)"),"",VLOOKUP($B1951,'Email Marketing Raw Data'!$C:$O,7,0)),"")</f>
        <v/>
      </c>
      <c r="P1951" s="55" t="str">
        <f>IFERROR(IF(OR($B1951="",$B1951="(blank)"),"",VLOOKUP($B1951,'Email Marketing Raw Data'!$C:$O,8,0)),"")</f>
        <v/>
      </c>
      <c r="Q1951" s="62" t="str">
        <f>IFERROR(IF(OR($B1951="",$B1951="(blank)"),"",VLOOKUP($B1951,'Email Marketing Raw Data'!$C:$O,9,0)),"")</f>
        <v/>
      </c>
    </row>
    <row r="1952" spans="4:17" ht="12.75" customHeight="1" x14ac:dyDescent="0.2">
      <c r="D1952" s="58" t="str">
        <f>IFERROR(IF(F1952&lt;&gt;"pending","",IF(OR($B1952="",$B1952="(blank)"),"",VLOOKUP($B1952,'Email Marketing Raw Data'!$C:$O,10,0))),"")</f>
        <v/>
      </c>
      <c r="E1952" s="59" t="str">
        <f>IFERROR(IF(F1952&lt;&gt;"pending","",IF(OR($B1952="",$B1952="(blank)"),"",VLOOKUP($B1952,'Email Marketing Raw Data'!$C:$O,11,0))),"")</f>
        <v/>
      </c>
      <c r="F1952" s="54" t="str">
        <f>IFERROR(IF(OR($B1952="",$B1952="(blank)"),"",VLOOKUP($B1952,'Email Marketing Raw Data'!$C:$O,13,0)),"")</f>
        <v/>
      </c>
      <c r="G1952" s="55" t="str">
        <f>IFERROR(IF(OR($B1952="",$B1952="(blank)"),"",VLOOKUP($B1952,'Email Marketing Raw Data'!$C:$O,4,0)),"")</f>
        <v/>
      </c>
      <c r="H1952" s="55" t="str">
        <f>IFERROR(IF(OR($B1952="",$B1952="(blank)"),"",VLOOKUP($B1952,'Email Marketing Raw Data'!$C:$O,5,0)),"")</f>
        <v/>
      </c>
      <c r="I1952" s="55" t="str">
        <f>IFERROR(IF($G1952="","",VLOOKUP('Dashboard And Emails Automate'!$G1952,Database!$H:$N,3,0)),"")</f>
        <v/>
      </c>
      <c r="J1952" s="55" t="str">
        <f>IFERROR(IF($G1952="","",VLOOKUP('Dashboard And Emails Automate'!$G1952,Database!$H:$N,4,0)),"")</f>
        <v/>
      </c>
      <c r="K1952" s="55" t="str">
        <f>IFERROR(IF($G1952="","",VLOOKUP('Dashboard And Emails Automate'!$G1952,Database!$H:$N,5,0)),"")</f>
        <v/>
      </c>
      <c r="L1952" s="55" t="str">
        <f>IFERROR(IF($G1952="","",VLOOKUP('Dashboard And Emails Automate'!$G1952,Database!$H:$N,6,0)),"")</f>
        <v/>
      </c>
      <c r="M1952" s="55" t="str">
        <f>IFERROR(IF($G1952="","",VLOOKUP('Dashboard And Emails Automate'!$G1952,Database!$H:$N,7,0)),"")</f>
        <v/>
      </c>
      <c r="N1952" s="55" t="str">
        <f>IFERROR(IF(OR($B1952="",$B1952="(blank)"),"",VLOOKUP($B1952,'Email Marketing Raw Data'!$C:$O,6,0)),"")</f>
        <v/>
      </c>
      <c r="O1952" s="55" t="str">
        <f>IFERROR(IF(OR($B1952="",$B1952="(blank)"),"",VLOOKUP($B1952,'Email Marketing Raw Data'!$C:$O,7,0)),"")</f>
        <v/>
      </c>
      <c r="P1952" s="55" t="str">
        <f>IFERROR(IF(OR($B1952="",$B1952="(blank)"),"",VLOOKUP($B1952,'Email Marketing Raw Data'!$C:$O,8,0)),"")</f>
        <v/>
      </c>
      <c r="Q1952" s="62" t="str">
        <f>IFERROR(IF(OR($B1952="",$B1952="(blank)"),"",VLOOKUP($B1952,'Email Marketing Raw Data'!$C:$O,9,0)),"")</f>
        <v/>
      </c>
    </row>
    <row r="1953" spans="4:17" ht="12.75" customHeight="1" x14ac:dyDescent="0.2">
      <c r="D1953" s="58" t="str">
        <f>IFERROR(IF(F1953&lt;&gt;"pending","",IF(OR($B1953="",$B1953="(blank)"),"",VLOOKUP($B1953,'Email Marketing Raw Data'!$C:$O,10,0))),"")</f>
        <v/>
      </c>
      <c r="E1953" s="59" t="str">
        <f>IFERROR(IF(F1953&lt;&gt;"pending","",IF(OR($B1953="",$B1953="(blank)"),"",VLOOKUP($B1953,'Email Marketing Raw Data'!$C:$O,11,0))),"")</f>
        <v/>
      </c>
      <c r="F1953" s="54" t="str">
        <f>IFERROR(IF(OR($B1953="",$B1953="(blank)"),"",VLOOKUP($B1953,'Email Marketing Raw Data'!$C:$O,13,0)),"")</f>
        <v/>
      </c>
      <c r="G1953" s="55" t="str">
        <f>IFERROR(IF(OR($B1953="",$B1953="(blank)"),"",VLOOKUP($B1953,'Email Marketing Raw Data'!$C:$O,4,0)),"")</f>
        <v/>
      </c>
      <c r="H1953" s="55" t="str">
        <f>IFERROR(IF(OR($B1953="",$B1953="(blank)"),"",VLOOKUP($B1953,'Email Marketing Raw Data'!$C:$O,5,0)),"")</f>
        <v/>
      </c>
      <c r="I1953" s="55" t="str">
        <f>IFERROR(IF($G1953="","",VLOOKUP('Dashboard And Emails Automate'!$G1953,Database!$H:$N,3,0)),"")</f>
        <v/>
      </c>
      <c r="J1953" s="55" t="str">
        <f>IFERROR(IF($G1953="","",VLOOKUP('Dashboard And Emails Automate'!$G1953,Database!$H:$N,4,0)),"")</f>
        <v/>
      </c>
      <c r="K1953" s="55" t="str">
        <f>IFERROR(IF($G1953="","",VLOOKUP('Dashboard And Emails Automate'!$G1953,Database!$H:$N,5,0)),"")</f>
        <v/>
      </c>
      <c r="L1953" s="55" t="str">
        <f>IFERROR(IF($G1953="","",VLOOKUP('Dashboard And Emails Automate'!$G1953,Database!$H:$N,6,0)),"")</f>
        <v/>
      </c>
      <c r="M1953" s="55" t="str">
        <f>IFERROR(IF($G1953="","",VLOOKUP('Dashboard And Emails Automate'!$G1953,Database!$H:$N,7,0)),"")</f>
        <v/>
      </c>
      <c r="N1953" s="55" t="str">
        <f>IFERROR(IF(OR($B1953="",$B1953="(blank)"),"",VLOOKUP($B1953,'Email Marketing Raw Data'!$C:$O,6,0)),"")</f>
        <v/>
      </c>
      <c r="O1953" s="55" t="str">
        <f>IFERROR(IF(OR($B1953="",$B1953="(blank)"),"",VLOOKUP($B1953,'Email Marketing Raw Data'!$C:$O,7,0)),"")</f>
        <v/>
      </c>
      <c r="P1953" s="55" t="str">
        <f>IFERROR(IF(OR($B1953="",$B1953="(blank)"),"",VLOOKUP($B1953,'Email Marketing Raw Data'!$C:$O,8,0)),"")</f>
        <v/>
      </c>
      <c r="Q1953" s="62" t="str">
        <f>IFERROR(IF(OR($B1953="",$B1953="(blank)"),"",VLOOKUP($B1953,'Email Marketing Raw Data'!$C:$O,9,0)),"")</f>
        <v/>
      </c>
    </row>
    <row r="1954" spans="4:17" ht="12.75" customHeight="1" x14ac:dyDescent="0.2">
      <c r="D1954" s="58" t="str">
        <f>IFERROR(IF(F1954&lt;&gt;"pending","",IF(OR($B1954="",$B1954="(blank)"),"",VLOOKUP($B1954,'Email Marketing Raw Data'!$C:$O,10,0))),"")</f>
        <v/>
      </c>
      <c r="E1954" s="59" t="str">
        <f>IFERROR(IF(F1954&lt;&gt;"pending","",IF(OR($B1954="",$B1954="(blank)"),"",VLOOKUP($B1954,'Email Marketing Raw Data'!$C:$O,11,0))),"")</f>
        <v/>
      </c>
      <c r="F1954" s="54" t="str">
        <f>IFERROR(IF(OR($B1954="",$B1954="(blank)"),"",VLOOKUP($B1954,'Email Marketing Raw Data'!$C:$O,13,0)),"")</f>
        <v/>
      </c>
      <c r="G1954" s="55" t="str">
        <f>IFERROR(IF(OR($B1954="",$B1954="(blank)"),"",VLOOKUP($B1954,'Email Marketing Raw Data'!$C:$O,4,0)),"")</f>
        <v/>
      </c>
      <c r="H1954" s="55" t="str">
        <f>IFERROR(IF(OR($B1954="",$B1954="(blank)"),"",VLOOKUP($B1954,'Email Marketing Raw Data'!$C:$O,5,0)),"")</f>
        <v/>
      </c>
      <c r="I1954" s="55" t="str">
        <f>IFERROR(IF($G1954="","",VLOOKUP('Dashboard And Emails Automate'!$G1954,Database!$H:$N,3,0)),"")</f>
        <v/>
      </c>
      <c r="J1954" s="55" t="str">
        <f>IFERROR(IF($G1954="","",VLOOKUP('Dashboard And Emails Automate'!$G1954,Database!$H:$N,4,0)),"")</f>
        <v/>
      </c>
      <c r="K1954" s="55" t="str">
        <f>IFERROR(IF($G1954="","",VLOOKUP('Dashboard And Emails Automate'!$G1954,Database!$H:$N,5,0)),"")</f>
        <v/>
      </c>
      <c r="L1954" s="55" t="str">
        <f>IFERROR(IF($G1954="","",VLOOKUP('Dashboard And Emails Automate'!$G1954,Database!$H:$N,6,0)),"")</f>
        <v/>
      </c>
      <c r="M1954" s="55" t="str">
        <f>IFERROR(IF($G1954="","",VLOOKUP('Dashboard And Emails Automate'!$G1954,Database!$H:$N,7,0)),"")</f>
        <v/>
      </c>
      <c r="N1954" s="55" t="str">
        <f>IFERROR(IF(OR($B1954="",$B1954="(blank)"),"",VLOOKUP($B1954,'Email Marketing Raw Data'!$C:$O,6,0)),"")</f>
        <v/>
      </c>
      <c r="O1954" s="55" t="str">
        <f>IFERROR(IF(OR($B1954="",$B1954="(blank)"),"",VLOOKUP($B1954,'Email Marketing Raw Data'!$C:$O,7,0)),"")</f>
        <v/>
      </c>
      <c r="P1954" s="55" t="str">
        <f>IFERROR(IF(OR($B1954="",$B1954="(blank)"),"",VLOOKUP($B1954,'Email Marketing Raw Data'!$C:$O,8,0)),"")</f>
        <v/>
      </c>
      <c r="Q1954" s="62" t="str">
        <f>IFERROR(IF(OR($B1954="",$B1954="(blank)"),"",VLOOKUP($B1954,'Email Marketing Raw Data'!$C:$O,9,0)),"")</f>
        <v/>
      </c>
    </row>
    <row r="1955" spans="4:17" ht="12.75" customHeight="1" x14ac:dyDescent="0.2">
      <c r="D1955" s="58" t="str">
        <f>IFERROR(IF(F1955&lt;&gt;"pending","",IF(OR($B1955="",$B1955="(blank)"),"",VLOOKUP($B1955,'Email Marketing Raw Data'!$C:$O,10,0))),"")</f>
        <v/>
      </c>
      <c r="E1955" s="59" t="str">
        <f>IFERROR(IF(F1955&lt;&gt;"pending","",IF(OR($B1955="",$B1955="(blank)"),"",VLOOKUP($B1955,'Email Marketing Raw Data'!$C:$O,11,0))),"")</f>
        <v/>
      </c>
      <c r="F1955" s="54" t="str">
        <f>IFERROR(IF(OR($B1955="",$B1955="(blank)"),"",VLOOKUP($B1955,'Email Marketing Raw Data'!$C:$O,13,0)),"")</f>
        <v/>
      </c>
      <c r="G1955" s="55" t="str">
        <f>IFERROR(IF(OR($B1955="",$B1955="(blank)"),"",VLOOKUP($B1955,'Email Marketing Raw Data'!$C:$O,4,0)),"")</f>
        <v/>
      </c>
      <c r="H1955" s="55" t="str">
        <f>IFERROR(IF(OR($B1955="",$B1955="(blank)"),"",VLOOKUP($B1955,'Email Marketing Raw Data'!$C:$O,5,0)),"")</f>
        <v/>
      </c>
      <c r="I1955" s="55" t="str">
        <f>IFERROR(IF($G1955="","",VLOOKUP('Dashboard And Emails Automate'!$G1955,Database!$H:$N,3,0)),"")</f>
        <v/>
      </c>
      <c r="J1955" s="55" t="str">
        <f>IFERROR(IF($G1955="","",VLOOKUP('Dashboard And Emails Automate'!$G1955,Database!$H:$N,4,0)),"")</f>
        <v/>
      </c>
      <c r="K1955" s="55" t="str">
        <f>IFERROR(IF($G1955="","",VLOOKUP('Dashboard And Emails Automate'!$G1955,Database!$H:$N,5,0)),"")</f>
        <v/>
      </c>
      <c r="L1955" s="55" t="str">
        <f>IFERROR(IF($G1955="","",VLOOKUP('Dashboard And Emails Automate'!$G1955,Database!$H:$N,6,0)),"")</f>
        <v/>
      </c>
      <c r="M1955" s="55" t="str">
        <f>IFERROR(IF($G1955="","",VLOOKUP('Dashboard And Emails Automate'!$G1955,Database!$H:$N,7,0)),"")</f>
        <v/>
      </c>
      <c r="N1955" s="55" t="str">
        <f>IFERROR(IF(OR($B1955="",$B1955="(blank)"),"",VLOOKUP($B1955,'Email Marketing Raw Data'!$C:$O,6,0)),"")</f>
        <v/>
      </c>
      <c r="O1955" s="55" t="str">
        <f>IFERROR(IF(OR($B1955="",$B1955="(blank)"),"",VLOOKUP($B1955,'Email Marketing Raw Data'!$C:$O,7,0)),"")</f>
        <v/>
      </c>
      <c r="P1955" s="55" t="str">
        <f>IFERROR(IF(OR($B1955="",$B1955="(blank)"),"",VLOOKUP($B1955,'Email Marketing Raw Data'!$C:$O,8,0)),"")</f>
        <v/>
      </c>
      <c r="Q1955" s="62" t="str">
        <f>IFERROR(IF(OR($B1955="",$B1955="(blank)"),"",VLOOKUP($B1955,'Email Marketing Raw Data'!$C:$O,9,0)),"")</f>
        <v/>
      </c>
    </row>
    <row r="1956" spans="4:17" ht="12.75" customHeight="1" x14ac:dyDescent="0.2">
      <c r="D1956" s="58" t="str">
        <f>IFERROR(IF(F1956&lt;&gt;"pending","",IF(OR($B1956="",$B1956="(blank)"),"",VLOOKUP($B1956,'Email Marketing Raw Data'!$C:$O,10,0))),"")</f>
        <v/>
      </c>
      <c r="E1956" s="59" t="str">
        <f>IFERROR(IF(F1956&lt;&gt;"pending","",IF(OR($B1956="",$B1956="(blank)"),"",VLOOKUP($B1956,'Email Marketing Raw Data'!$C:$O,11,0))),"")</f>
        <v/>
      </c>
      <c r="F1956" s="54" t="str">
        <f>IFERROR(IF(OR($B1956="",$B1956="(blank)"),"",VLOOKUP($B1956,'Email Marketing Raw Data'!$C:$O,13,0)),"")</f>
        <v/>
      </c>
      <c r="G1956" s="55" t="str">
        <f>IFERROR(IF(OR($B1956="",$B1956="(blank)"),"",VLOOKUP($B1956,'Email Marketing Raw Data'!$C:$O,4,0)),"")</f>
        <v/>
      </c>
      <c r="H1956" s="55" t="str">
        <f>IFERROR(IF(OR($B1956="",$B1956="(blank)"),"",VLOOKUP($B1956,'Email Marketing Raw Data'!$C:$O,5,0)),"")</f>
        <v/>
      </c>
      <c r="I1956" s="55" t="str">
        <f>IFERROR(IF($G1956="","",VLOOKUP('Dashboard And Emails Automate'!$G1956,Database!$H:$N,3,0)),"")</f>
        <v/>
      </c>
      <c r="J1956" s="55" t="str">
        <f>IFERROR(IF($G1956="","",VLOOKUP('Dashboard And Emails Automate'!$G1956,Database!$H:$N,4,0)),"")</f>
        <v/>
      </c>
      <c r="K1956" s="55" t="str">
        <f>IFERROR(IF($G1956="","",VLOOKUP('Dashboard And Emails Automate'!$G1956,Database!$H:$N,5,0)),"")</f>
        <v/>
      </c>
      <c r="L1956" s="55" t="str">
        <f>IFERROR(IF($G1956="","",VLOOKUP('Dashboard And Emails Automate'!$G1956,Database!$H:$N,6,0)),"")</f>
        <v/>
      </c>
      <c r="M1956" s="55" t="str">
        <f>IFERROR(IF($G1956="","",VLOOKUP('Dashboard And Emails Automate'!$G1956,Database!$H:$N,7,0)),"")</f>
        <v/>
      </c>
      <c r="N1956" s="55" t="str">
        <f>IFERROR(IF(OR($B1956="",$B1956="(blank)"),"",VLOOKUP($B1956,'Email Marketing Raw Data'!$C:$O,6,0)),"")</f>
        <v/>
      </c>
      <c r="O1956" s="55" t="str">
        <f>IFERROR(IF(OR($B1956="",$B1956="(blank)"),"",VLOOKUP($B1956,'Email Marketing Raw Data'!$C:$O,7,0)),"")</f>
        <v/>
      </c>
      <c r="P1956" s="55" t="str">
        <f>IFERROR(IF(OR($B1956="",$B1956="(blank)"),"",VLOOKUP($B1956,'Email Marketing Raw Data'!$C:$O,8,0)),"")</f>
        <v/>
      </c>
      <c r="Q1956" s="62" t="str">
        <f>IFERROR(IF(OR($B1956="",$B1956="(blank)"),"",VLOOKUP($B1956,'Email Marketing Raw Data'!$C:$O,9,0)),"")</f>
        <v/>
      </c>
    </row>
    <row r="1957" spans="4:17" ht="12.75" customHeight="1" x14ac:dyDescent="0.2">
      <c r="D1957" s="58" t="str">
        <f>IFERROR(IF(F1957&lt;&gt;"pending","",IF(OR($B1957="",$B1957="(blank)"),"",VLOOKUP($B1957,'Email Marketing Raw Data'!$C:$O,10,0))),"")</f>
        <v/>
      </c>
      <c r="E1957" s="59" t="str">
        <f>IFERROR(IF(F1957&lt;&gt;"pending","",IF(OR($B1957="",$B1957="(blank)"),"",VLOOKUP($B1957,'Email Marketing Raw Data'!$C:$O,11,0))),"")</f>
        <v/>
      </c>
      <c r="F1957" s="54" t="str">
        <f>IFERROR(IF(OR($B1957="",$B1957="(blank)"),"",VLOOKUP($B1957,'Email Marketing Raw Data'!$C:$O,13,0)),"")</f>
        <v/>
      </c>
      <c r="G1957" s="55" t="str">
        <f>IFERROR(IF(OR($B1957="",$B1957="(blank)"),"",VLOOKUP($B1957,'Email Marketing Raw Data'!$C:$O,4,0)),"")</f>
        <v/>
      </c>
      <c r="H1957" s="55" t="str">
        <f>IFERROR(IF(OR($B1957="",$B1957="(blank)"),"",VLOOKUP($B1957,'Email Marketing Raw Data'!$C:$O,5,0)),"")</f>
        <v/>
      </c>
      <c r="I1957" s="55" t="str">
        <f>IFERROR(IF($G1957="","",VLOOKUP('Dashboard And Emails Automate'!$G1957,Database!$H:$N,3,0)),"")</f>
        <v/>
      </c>
      <c r="J1957" s="55" t="str">
        <f>IFERROR(IF($G1957="","",VLOOKUP('Dashboard And Emails Automate'!$G1957,Database!$H:$N,4,0)),"")</f>
        <v/>
      </c>
      <c r="K1957" s="55" t="str">
        <f>IFERROR(IF($G1957="","",VLOOKUP('Dashboard And Emails Automate'!$G1957,Database!$H:$N,5,0)),"")</f>
        <v/>
      </c>
      <c r="L1957" s="55" t="str">
        <f>IFERROR(IF($G1957="","",VLOOKUP('Dashboard And Emails Automate'!$G1957,Database!$H:$N,6,0)),"")</f>
        <v/>
      </c>
      <c r="M1957" s="55" t="str">
        <f>IFERROR(IF($G1957="","",VLOOKUP('Dashboard And Emails Automate'!$G1957,Database!$H:$N,7,0)),"")</f>
        <v/>
      </c>
      <c r="N1957" s="55" t="str">
        <f>IFERROR(IF(OR($B1957="",$B1957="(blank)"),"",VLOOKUP($B1957,'Email Marketing Raw Data'!$C:$O,6,0)),"")</f>
        <v/>
      </c>
      <c r="O1957" s="55" t="str">
        <f>IFERROR(IF(OR($B1957="",$B1957="(blank)"),"",VLOOKUP($B1957,'Email Marketing Raw Data'!$C:$O,7,0)),"")</f>
        <v/>
      </c>
      <c r="P1957" s="55" t="str">
        <f>IFERROR(IF(OR($B1957="",$B1957="(blank)"),"",VLOOKUP($B1957,'Email Marketing Raw Data'!$C:$O,8,0)),"")</f>
        <v/>
      </c>
      <c r="Q1957" s="62" t="str">
        <f>IFERROR(IF(OR($B1957="",$B1957="(blank)"),"",VLOOKUP($B1957,'Email Marketing Raw Data'!$C:$O,9,0)),"")</f>
        <v/>
      </c>
    </row>
    <row r="1958" spans="4:17" ht="12.75" customHeight="1" x14ac:dyDescent="0.2">
      <c r="D1958" s="58" t="str">
        <f>IFERROR(IF(F1958&lt;&gt;"pending","",IF(OR($B1958="",$B1958="(blank)"),"",VLOOKUP($B1958,'Email Marketing Raw Data'!$C:$O,10,0))),"")</f>
        <v/>
      </c>
      <c r="E1958" s="59" t="str">
        <f>IFERROR(IF(F1958&lt;&gt;"pending","",IF(OR($B1958="",$B1958="(blank)"),"",VLOOKUP($B1958,'Email Marketing Raw Data'!$C:$O,11,0))),"")</f>
        <v/>
      </c>
      <c r="F1958" s="54" t="str">
        <f>IFERROR(IF(OR($B1958="",$B1958="(blank)"),"",VLOOKUP($B1958,'Email Marketing Raw Data'!$C:$O,13,0)),"")</f>
        <v/>
      </c>
      <c r="G1958" s="55" t="str">
        <f>IFERROR(IF(OR($B1958="",$B1958="(blank)"),"",VLOOKUP($B1958,'Email Marketing Raw Data'!$C:$O,4,0)),"")</f>
        <v/>
      </c>
      <c r="H1958" s="55" t="str">
        <f>IFERROR(IF(OR($B1958="",$B1958="(blank)"),"",VLOOKUP($B1958,'Email Marketing Raw Data'!$C:$O,5,0)),"")</f>
        <v/>
      </c>
      <c r="I1958" s="55" t="str">
        <f>IFERROR(IF($G1958="","",VLOOKUP('Dashboard And Emails Automate'!$G1958,Database!$H:$N,3,0)),"")</f>
        <v/>
      </c>
      <c r="J1958" s="55" t="str">
        <f>IFERROR(IF($G1958="","",VLOOKUP('Dashboard And Emails Automate'!$G1958,Database!$H:$N,4,0)),"")</f>
        <v/>
      </c>
      <c r="K1958" s="55" t="str">
        <f>IFERROR(IF($G1958="","",VLOOKUP('Dashboard And Emails Automate'!$G1958,Database!$H:$N,5,0)),"")</f>
        <v/>
      </c>
      <c r="L1958" s="55" t="str">
        <f>IFERROR(IF($G1958="","",VLOOKUP('Dashboard And Emails Automate'!$G1958,Database!$H:$N,6,0)),"")</f>
        <v/>
      </c>
      <c r="M1958" s="55" t="str">
        <f>IFERROR(IF($G1958="","",VLOOKUP('Dashboard And Emails Automate'!$G1958,Database!$H:$N,7,0)),"")</f>
        <v/>
      </c>
      <c r="N1958" s="55" t="str">
        <f>IFERROR(IF(OR($B1958="",$B1958="(blank)"),"",VLOOKUP($B1958,'Email Marketing Raw Data'!$C:$O,6,0)),"")</f>
        <v/>
      </c>
      <c r="O1958" s="55" t="str">
        <f>IFERROR(IF(OR($B1958="",$B1958="(blank)"),"",VLOOKUP($B1958,'Email Marketing Raw Data'!$C:$O,7,0)),"")</f>
        <v/>
      </c>
      <c r="P1958" s="55" t="str">
        <f>IFERROR(IF(OR($B1958="",$B1958="(blank)"),"",VLOOKUP($B1958,'Email Marketing Raw Data'!$C:$O,8,0)),"")</f>
        <v/>
      </c>
      <c r="Q1958" s="62" t="str">
        <f>IFERROR(IF(OR($B1958="",$B1958="(blank)"),"",VLOOKUP($B1958,'Email Marketing Raw Data'!$C:$O,9,0)),"")</f>
        <v/>
      </c>
    </row>
    <row r="1959" spans="4:17" ht="12.75" customHeight="1" x14ac:dyDescent="0.2">
      <c r="D1959" s="58" t="str">
        <f>IFERROR(IF(F1959&lt;&gt;"pending","",IF(OR($B1959="",$B1959="(blank)"),"",VLOOKUP($B1959,'Email Marketing Raw Data'!$C:$O,10,0))),"")</f>
        <v/>
      </c>
      <c r="E1959" s="59" t="str">
        <f>IFERROR(IF(F1959&lt;&gt;"pending","",IF(OR($B1959="",$B1959="(blank)"),"",VLOOKUP($B1959,'Email Marketing Raw Data'!$C:$O,11,0))),"")</f>
        <v/>
      </c>
      <c r="F1959" s="54" t="str">
        <f>IFERROR(IF(OR($B1959="",$B1959="(blank)"),"",VLOOKUP($B1959,'Email Marketing Raw Data'!$C:$O,13,0)),"")</f>
        <v/>
      </c>
      <c r="G1959" s="55" t="str">
        <f>IFERROR(IF(OR($B1959="",$B1959="(blank)"),"",VLOOKUP($B1959,'Email Marketing Raw Data'!$C:$O,4,0)),"")</f>
        <v/>
      </c>
      <c r="H1959" s="55" t="str">
        <f>IFERROR(IF(OR($B1959="",$B1959="(blank)"),"",VLOOKUP($B1959,'Email Marketing Raw Data'!$C:$O,5,0)),"")</f>
        <v/>
      </c>
      <c r="I1959" s="55" t="str">
        <f>IFERROR(IF($G1959="","",VLOOKUP('Dashboard And Emails Automate'!$G1959,Database!$H:$N,3,0)),"")</f>
        <v/>
      </c>
      <c r="J1959" s="55" t="str">
        <f>IFERROR(IF($G1959="","",VLOOKUP('Dashboard And Emails Automate'!$G1959,Database!$H:$N,4,0)),"")</f>
        <v/>
      </c>
      <c r="K1959" s="55" t="str">
        <f>IFERROR(IF($G1959="","",VLOOKUP('Dashboard And Emails Automate'!$G1959,Database!$H:$N,5,0)),"")</f>
        <v/>
      </c>
      <c r="L1959" s="55" t="str">
        <f>IFERROR(IF($G1959="","",VLOOKUP('Dashboard And Emails Automate'!$G1959,Database!$H:$N,6,0)),"")</f>
        <v/>
      </c>
      <c r="M1959" s="55" t="str">
        <f>IFERROR(IF($G1959="","",VLOOKUP('Dashboard And Emails Automate'!$G1959,Database!$H:$N,7,0)),"")</f>
        <v/>
      </c>
      <c r="N1959" s="55" t="str">
        <f>IFERROR(IF(OR($B1959="",$B1959="(blank)"),"",VLOOKUP($B1959,'Email Marketing Raw Data'!$C:$O,6,0)),"")</f>
        <v/>
      </c>
      <c r="O1959" s="55" t="str">
        <f>IFERROR(IF(OR($B1959="",$B1959="(blank)"),"",VLOOKUP($B1959,'Email Marketing Raw Data'!$C:$O,7,0)),"")</f>
        <v/>
      </c>
      <c r="P1959" s="55" t="str">
        <f>IFERROR(IF(OR($B1959="",$B1959="(blank)"),"",VLOOKUP($B1959,'Email Marketing Raw Data'!$C:$O,8,0)),"")</f>
        <v/>
      </c>
      <c r="Q1959" s="62" t="str">
        <f>IFERROR(IF(OR($B1959="",$B1959="(blank)"),"",VLOOKUP($B1959,'Email Marketing Raw Data'!$C:$O,9,0)),"")</f>
        <v/>
      </c>
    </row>
    <row r="1960" spans="4:17" ht="12.75" customHeight="1" x14ac:dyDescent="0.2">
      <c r="D1960" s="58" t="str">
        <f>IFERROR(IF(F1960&lt;&gt;"pending","",IF(OR($B1960="",$B1960="(blank)"),"",VLOOKUP($B1960,'Email Marketing Raw Data'!$C:$O,10,0))),"")</f>
        <v/>
      </c>
      <c r="E1960" s="59" t="str">
        <f>IFERROR(IF(F1960&lt;&gt;"pending","",IF(OR($B1960="",$B1960="(blank)"),"",VLOOKUP($B1960,'Email Marketing Raw Data'!$C:$O,11,0))),"")</f>
        <v/>
      </c>
      <c r="F1960" s="54" t="str">
        <f>IFERROR(IF(OR($B1960="",$B1960="(blank)"),"",VLOOKUP($B1960,'Email Marketing Raw Data'!$C:$O,13,0)),"")</f>
        <v/>
      </c>
      <c r="G1960" s="55" t="str">
        <f>IFERROR(IF(OR($B1960="",$B1960="(blank)"),"",VLOOKUP($B1960,'Email Marketing Raw Data'!$C:$O,4,0)),"")</f>
        <v/>
      </c>
      <c r="H1960" s="55" t="str">
        <f>IFERROR(IF(OR($B1960="",$B1960="(blank)"),"",VLOOKUP($B1960,'Email Marketing Raw Data'!$C:$O,5,0)),"")</f>
        <v/>
      </c>
      <c r="I1960" s="55" t="str">
        <f>IFERROR(IF($G1960="","",VLOOKUP('Dashboard And Emails Automate'!$G1960,Database!$H:$N,3,0)),"")</f>
        <v/>
      </c>
      <c r="J1960" s="55" t="str">
        <f>IFERROR(IF($G1960="","",VLOOKUP('Dashboard And Emails Automate'!$G1960,Database!$H:$N,4,0)),"")</f>
        <v/>
      </c>
      <c r="K1960" s="55" t="str">
        <f>IFERROR(IF($G1960="","",VLOOKUP('Dashboard And Emails Automate'!$G1960,Database!$H:$N,5,0)),"")</f>
        <v/>
      </c>
      <c r="L1960" s="55" t="str">
        <f>IFERROR(IF($G1960="","",VLOOKUP('Dashboard And Emails Automate'!$G1960,Database!$H:$N,6,0)),"")</f>
        <v/>
      </c>
      <c r="M1960" s="55" t="str">
        <f>IFERROR(IF($G1960="","",VLOOKUP('Dashboard And Emails Automate'!$G1960,Database!$H:$N,7,0)),"")</f>
        <v/>
      </c>
      <c r="N1960" s="55" t="str">
        <f>IFERROR(IF(OR($B1960="",$B1960="(blank)"),"",VLOOKUP($B1960,'Email Marketing Raw Data'!$C:$O,6,0)),"")</f>
        <v/>
      </c>
      <c r="O1960" s="55" t="str">
        <f>IFERROR(IF(OR($B1960="",$B1960="(blank)"),"",VLOOKUP($B1960,'Email Marketing Raw Data'!$C:$O,7,0)),"")</f>
        <v/>
      </c>
      <c r="P1960" s="55" t="str">
        <f>IFERROR(IF(OR($B1960="",$B1960="(blank)"),"",VLOOKUP($B1960,'Email Marketing Raw Data'!$C:$O,8,0)),"")</f>
        <v/>
      </c>
      <c r="Q1960" s="62" t="str">
        <f>IFERROR(IF(OR($B1960="",$B1960="(blank)"),"",VLOOKUP($B1960,'Email Marketing Raw Data'!$C:$O,9,0)),"")</f>
        <v/>
      </c>
    </row>
    <row r="1961" spans="4:17" ht="12.75" customHeight="1" x14ac:dyDescent="0.2">
      <c r="D1961" s="58" t="str">
        <f>IFERROR(IF(F1961&lt;&gt;"pending","",IF(OR($B1961="",$B1961="(blank)"),"",VLOOKUP($B1961,'Email Marketing Raw Data'!$C:$O,10,0))),"")</f>
        <v/>
      </c>
      <c r="E1961" s="59" t="str">
        <f>IFERROR(IF(F1961&lt;&gt;"pending","",IF(OR($B1961="",$B1961="(blank)"),"",VLOOKUP($B1961,'Email Marketing Raw Data'!$C:$O,11,0))),"")</f>
        <v/>
      </c>
      <c r="F1961" s="54" t="str">
        <f>IFERROR(IF(OR($B1961="",$B1961="(blank)"),"",VLOOKUP($B1961,'Email Marketing Raw Data'!$C:$O,13,0)),"")</f>
        <v/>
      </c>
      <c r="G1961" s="55" t="str">
        <f>IFERROR(IF(OR($B1961="",$B1961="(blank)"),"",VLOOKUP($B1961,'Email Marketing Raw Data'!$C:$O,4,0)),"")</f>
        <v/>
      </c>
      <c r="H1961" s="55" t="str">
        <f>IFERROR(IF(OR($B1961="",$B1961="(blank)"),"",VLOOKUP($B1961,'Email Marketing Raw Data'!$C:$O,5,0)),"")</f>
        <v/>
      </c>
      <c r="I1961" s="55" t="str">
        <f>IFERROR(IF($G1961="","",VLOOKUP('Dashboard And Emails Automate'!$G1961,Database!$H:$N,3,0)),"")</f>
        <v/>
      </c>
      <c r="J1961" s="55" t="str">
        <f>IFERROR(IF($G1961="","",VLOOKUP('Dashboard And Emails Automate'!$G1961,Database!$H:$N,4,0)),"")</f>
        <v/>
      </c>
      <c r="K1961" s="55" t="str">
        <f>IFERROR(IF($G1961="","",VLOOKUP('Dashboard And Emails Automate'!$G1961,Database!$H:$N,5,0)),"")</f>
        <v/>
      </c>
      <c r="L1961" s="55" t="str">
        <f>IFERROR(IF($G1961="","",VLOOKUP('Dashboard And Emails Automate'!$G1961,Database!$H:$N,6,0)),"")</f>
        <v/>
      </c>
      <c r="M1961" s="55" t="str">
        <f>IFERROR(IF($G1961="","",VLOOKUP('Dashboard And Emails Automate'!$G1961,Database!$H:$N,7,0)),"")</f>
        <v/>
      </c>
      <c r="N1961" s="55" t="str">
        <f>IFERROR(IF(OR($B1961="",$B1961="(blank)"),"",VLOOKUP($B1961,'Email Marketing Raw Data'!$C:$O,6,0)),"")</f>
        <v/>
      </c>
      <c r="O1961" s="55" t="str">
        <f>IFERROR(IF(OR($B1961="",$B1961="(blank)"),"",VLOOKUP($B1961,'Email Marketing Raw Data'!$C:$O,7,0)),"")</f>
        <v/>
      </c>
      <c r="P1961" s="55" t="str">
        <f>IFERROR(IF(OR($B1961="",$B1961="(blank)"),"",VLOOKUP($B1961,'Email Marketing Raw Data'!$C:$O,8,0)),"")</f>
        <v/>
      </c>
      <c r="Q1961" s="62" t="str">
        <f>IFERROR(IF(OR($B1961="",$B1961="(blank)"),"",VLOOKUP($B1961,'Email Marketing Raw Data'!$C:$O,9,0)),"")</f>
        <v/>
      </c>
    </row>
    <row r="1962" spans="4:17" ht="12.75" customHeight="1" x14ac:dyDescent="0.2">
      <c r="D1962" s="58" t="str">
        <f>IFERROR(IF(F1962&lt;&gt;"pending","",IF(OR($B1962="",$B1962="(blank)"),"",VLOOKUP($B1962,'Email Marketing Raw Data'!$C:$O,10,0))),"")</f>
        <v/>
      </c>
      <c r="E1962" s="59" t="str">
        <f>IFERROR(IF(F1962&lt;&gt;"pending","",IF(OR($B1962="",$B1962="(blank)"),"",VLOOKUP($B1962,'Email Marketing Raw Data'!$C:$O,11,0))),"")</f>
        <v/>
      </c>
      <c r="F1962" s="54" t="str">
        <f>IFERROR(IF(OR($B1962="",$B1962="(blank)"),"",VLOOKUP($B1962,'Email Marketing Raw Data'!$C:$O,13,0)),"")</f>
        <v/>
      </c>
      <c r="G1962" s="55" t="str">
        <f>IFERROR(IF(OR($B1962="",$B1962="(blank)"),"",VLOOKUP($B1962,'Email Marketing Raw Data'!$C:$O,4,0)),"")</f>
        <v/>
      </c>
      <c r="H1962" s="55" t="str">
        <f>IFERROR(IF(OR($B1962="",$B1962="(blank)"),"",VLOOKUP($B1962,'Email Marketing Raw Data'!$C:$O,5,0)),"")</f>
        <v/>
      </c>
      <c r="I1962" s="55" t="str">
        <f>IFERROR(IF($G1962="","",VLOOKUP('Dashboard And Emails Automate'!$G1962,Database!$H:$N,3,0)),"")</f>
        <v/>
      </c>
      <c r="J1962" s="55" t="str">
        <f>IFERROR(IF($G1962="","",VLOOKUP('Dashboard And Emails Automate'!$G1962,Database!$H:$N,4,0)),"")</f>
        <v/>
      </c>
      <c r="K1962" s="55" t="str">
        <f>IFERROR(IF($G1962="","",VLOOKUP('Dashboard And Emails Automate'!$G1962,Database!$H:$N,5,0)),"")</f>
        <v/>
      </c>
      <c r="L1962" s="55" t="str">
        <f>IFERROR(IF($G1962="","",VLOOKUP('Dashboard And Emails Automate'!$G1962,Database!$H:$N,6,0)),"")</f>
        <v/>
      </c>
      <c r="M1962" s="55" t="str">
        <f>IFERROR(IF($G1962="","",VLOOKUP('Dashboard And Emails Automate'!$G1962,Database!$H:$N,7,0)),"")</f>
        <v/>
      </c>
      <c r="N1962" s="55" t="str">
        <f>IFERROR(IF(OR($B1962="",$B1962="(blank)"),"",VLOOKUP($B1962,'Email Marketing Raw Data'!$C:$O,6,0)),"")</f>
        <v/>
      </c>
      <c r="O1962" s="55" t="str">
        <f>IFERROR(IF(OR($B1962="",$B1962="(blank)"),"",VLOOKUP($B1962,'Email Marketing Raw Data'!$C:$O,7,0)),"")</f>
        <v/>
      </c>
      <c r="P1962" s="55" t="str">
        <f>IFERROR(IF(OR($B1962="",$B1962="(blank)"),"",VLOOKUP($B1962,'Email Marketing Raw Data'!$C:$O,8,0)),"")</f>
        <v/>
      </c>
      <c r="Q1962" s="62" t="str">
        <f>IFERROR(IF(OR($B1962="",$B1962="(blank)"),"",VLOOKUP($B1962,'Email Marketing Raw Data'!$C:$O,9,0)),"")</f>
        <v/>
      </c>
    </row>
    <row r="1963" spans="4:17" ht="12.75" customHeight="1" x14ac:dyDescent="0.2">
      <c r="D1963" s="58" t="str">
        <f>IFERROR(IF(F1963&lt;&gt;"pending","",IF(OR($B1963="",$B1963="(blank)"),"",VLOOKUP($B1963,'Email Marketing Raw Data'!$C:$O,10,0))),"")</f>
        <v/>
      </c>
      <c r="E1963" s="59" t="str">
        <f>IFERROR(IF(F1963&lt;&gt;"pending","",IF(OR($B1963="",$B1963="(blank)"),"",VLOOKUP($B1963,'Email Marketing Raw Data'!$C:$O,11,0))),"")</f>
        <v/>
      </c>
      <c r="F1963" s="54" t="str">
        <f>IFERROR(IF(OR($B1963="",$B1963="(blank)"),"",VLOOKUP($B1963,'Email Marketing Raw Data'!$C:$O,13,0)),"")</f>
        <v/>
      </c>
      <c r="G1963" s="55" t="str">
        <f>IFERROR(IF(OR($B1963="",$B1963="(blank)"),"",VLOOKUP($B1963,'Email Marketing Raw Data'!$C:$O,4,0)),"")</f>
        <v/>
      </c>
      <c r="H1963" s="55" t="str">
        <f>IFERROR(IF(OR($B1963="",$B1963="(blank)"),"",VLOOKUP($B1963,'Email Marketing Raw Data'!$C:$O,5,0)),"")</f>
        <v/>
      </c>
      <c r="I1963" s="55" t="str">
        <f>IFERROR(IF($G1963="","",VLOOKUP('Dashboard And Emails Automate'!$G1963,Database!$H:$N,3,0)),"")</f>
        <v/>
      </c>
      <c r="J1963" s="55" t="str">
        <f>IFERROR(IF($G1963="","",VLOOKUP('Dashboard And Emails Automate'!$G1963,Database!$H:$N,4,0)),"")</f>
        <v/>
      </c>
      <c r="K1963" s="55" t="str">
        <f>IFERROR(IF($G1963="","",VLOOKUP('Dashboard And Emails Automate'!$G1963,Database!$H:$N,5,0)),"")</f>
        <v/>
      </c>
      <c r="L1963" s="55" t="str">
        <f>IFERROR(IF($G1963="","",VLOOKUP('Dashboard And Emails Automate'!$G1963,Database!$H:$N,6,0)),"")</f>
        <v/>
      </c>
      <c r="M1963" s="55" t="str">
        <f>IFERROR(IF($G1963="","",VLOOKUP('Dashboard And Emails Automate'!$G1963,Database!$H:$N,7,0)),"")</f>
        <v/>
      </c>
      <c r="N1963" s="55" t="str">
        <f>IFERROR(IF(OR($B1963="",$B1963="(blank)"),"",VLOOKUP($B1963,'Email Marketing Raw Data'!$C:$O,6,0)),"")</f>
        <v/>
      </c>
      <c r="O1963" s="55" t="str">
        <f>IFERROR(IF(OR($B1963="",$B1963="(blank)"),"",VLOOKUP($B1963,'Email Marketing Raw Data'!$C:$O,7,0)),"")</f>
        <v/>
      </c>
      <c r="P1963" s="55" t="str">
        <f>IFERROR(IF(OR($B1963="",$B1963="(blank)"),"",VLOOKUP($B1963,'Email Marketing Raw Data'!$C:$O,8,0)),"")</f>
        <v/>
      </c>
      <c r="Q1963" s="62" t="str">
        <f>IFERROR(IF(OR($B1963="",$B1963="(blank)"),"",VLOOKUP($B1963,'Email Marketing Raw Data'!$C:$O,9,0)),"")</f>
        <v/>
      </c>
    </row>
    <row r="1964" spans="4:17" ht="12.75" customHeight="1" x14ac:dyDescent="0.2">
      <c r="D1964" s="58" t="str">
        <f>IFERROR(IF(F1964&lt;&gt;"pending","",IF(OR($B1964="",$B1964="(blank)"),"",VLOOKUP($B1964,'Email Marketing Raw Data'!$C:$O,10,0))),"")</f>
        <v/>
      </c>
      <c r="E1964" s="59" t="str">
        <f>IFERROR(IF(F1964&lt;&gt;"pending","",IF(OR($B1964="",$B1964="(blank)"),"",VLOOKUP($B1964,'Email Marketing Raw Data'!$C:$O,11,0))),"")</f>
        <v/>
      </c>
      <c r="F1964" s="54" t="str">
        <f>IFERROR(IF(OR($B1964="",$B1964="(blank)"),"",VLOOKUP($B1964,'Email Marketing Raw Data'!$C:$O,13,0)),"")</f>
        <v/>
      </c>
      <c r="G1964" s="55" t="str">
        <f>IFERROR(IF(OR($B1964="",$B1964="(blank)"),"",VLOOKUP($B1964,'Email Marketing Raw Data'!$C:$O,4,0)),"")</f>
        <v/>
      </c>
      <c r="H1964" s="55" t="str">
        <f>IFERROR(IF(OR($B1964="",$B1964="(blank)"),"",VLOOKUP($B1964,'Email Marketing Raw Data'!$C:$O,5,0)),"")</f>
        <v/>
      </c>
      <c r="I1964" s="55" t="str">
        <f>IFERROR(IF($G1964="","",VLOOKUP('Dashboard And Emails Automate'!$G1964,Database!$H:$N,3,0)),"")</f>
        <v/>
      </c>
      <c r="J1964" s="55" t="str">
        <f>IFERROR(IF($G1964="","",VLOOKUP('Dashboard And Emails Automate'!$G1964,Database!$H:$N,4,0)),"")</f>
        <v/>
      </c>
      <c r="K1964" s="55" t="str">
        <f>IFERROR(IF($G1964="","",VLOOKUP('Dashboard And Emails Automate'!$G1964,Database!$H:$N,5,0)),"")</f>
        <v/>
      </c>
      <c r="L1964" s="55" t="str">
        <f>IFERROR(IF($G1964="","",VLOOKUP('Dashboard And Emails Automate'!$G1964,Database!$H:$N,6,0)),"")</f>
        <v/>
      </c>
      <c r="M1964" s="55" t="str">
        <f>IFERROR(IF($G1964="","",VLOOKUP('Dashboard And Emails Automate'!$G1964,Database!$H:$N,7,0)),"")</f>
        <v/>
      </c>
      <c r="N1964" s="55" t="str">
        <f>IFERROR(IF(OR($B1964="",$B1964="(blank)"),"",VLOOKUP($B1964,'Email Marketing Raw Data'!$C:$O,6,0)),"")</f>
        <v/>
      </c>
      <c r="O1964" s="55" t="str">
        <f>IFERROR(IF(OR($B1964="",$B1964="(blank)"),"",VLOOKUP($B1964,'Email Marketing Raw Data'!$C:$O,7,0)),"")</f>
        <v/>
      </c>
      <c r="P1964" s="55" t="str">
        <f>IFERROR(IF(OR($B1964="",$B1964="(blank)"),"",VLOOKUP($B1964,'Email Marketing Raw Data'!$C:$O,8,0)),"")</f>
        <v/>
      </c>
      <c r="Q1964" s="62" t="str">
        <f>IFERROR(IF(OR($B1964="",$B1964="(blank)"),"",VLOOKUP($B1964,'Email Marketing Raw Data'!$C:$O,9,0)),"")</f>
        <v/>
      </c>
    </row>
    <row r="1965" spans="4:17" ht="12.75" customHeight="1" x14ac:dyDescent="0.2">
      <c r="D1965" s="58" t="str">
        <f>IFERROR(IF(F1965&lt;&gt;"pending","",IF(OR($B1965="",$B1965="(blank)"),"",VLOOKUP($B1965,'Email Marketing Raw Data'!$C:$O,10,0))),"")</f>
        <v/>
      </c>
      <c r="E1965" s="59" t="str">
        <f>IFERROR(IF(F1965&lt;&gt;"pending","",IF(OR($B1965="",$B1965="(blank)"),"",VLOOKUP($B1965,'Email Marketing Raw Data'!$C:$O,11,0))),"")</f>
        <v/>
      </c>
      <c r="F1965" s="54" t="str">
        <f>IFERROR(IF(OR($B1965="",$B1965="(blank)"),"",VLOOKUP($B1965,'Email Marketing Raw Data'!$C:$O,13,0)),"")</f>
        <v/>
      </c>
      <c r="G1965" s="55" t="str">
        <f>IFERROR(IF(OR($B1965="",$B1965="(blank)"),"",VLOOKUP($B1965,'Email Marketing Raw Data'!$C:$O,4,0)),"")</f>
        <v/>
      </c>
      <c r="H1965" s="55" t="str">
        <f>IFERROR(IF(OR($B1965="",$B1965="(blank)"),"",VLOOKUP($B1965,'Email Marketing Raw Data'!$C:$O,5,0)),"")</f>
        <v/>
      </c>
      <c r="I1965" s="55" t="str">
        <f>IFERROR(IF($G1965="","",VLOOKUP('Dashboard And Emails Automate'!$G1965,Database!$H:$N,3,0)),"")</f>
        <v/>
      </c>
      <c r="J1965" s="55" t="str">
        <f>IFERROR(IF($G1965="","",VLOOKUP('Dashboard And Emails Automate'!$G1965,Database!$H:$N,4,0)),"")</f>
        <v/>
      </c>
      <c r="K1965" s="55" t="str">
        <f>IFERROR(IF($G1965="","",VLOOKUP('Dashboard And Emails Automate'!$G1965,Database!$H:$N,5,0)),"")</f>
        <v/>
      </c>
      <c r="L1965" s="55" t="str">
        <f>IFERROR(IF($G1965="","",VLOOKUP('Dashboard And Emails Automate'!$G1965,Database!$H:$N,6,0)),"")</f>
        <v/>
      </c>
      <c r="M1965" s="55" t="str">
        <f>IFERROR(IF($G1965="","",VLOOKUP('Dashboard And Emails Automate'!$G1965,Database!$H:$N,7,0)),"")</f>
        <v/>
      </c>
      <c r="N1965" s="55" t="str">
        <f>IFERROR(IF(OR($B1965="",$B1965="(blank)"),"",VLOOKUP($B1965,'Email Marketing Raw Data'!$C:$O,6,0)),"")</f>
        <v/>
      </c>
      <c r="O1965" s="55" t="str">
        <f>IFERROR(IF(OR($B1965="",$B1965="(blank)"),"",VLOOKUP($B1965,'Email Marketing Raw Data'!$C:$O,7,0)),"")</f>
        <v/>
      </c>
      <c r="P1965" s="55" t="str">
        <f>IFERROR(IF(OR($B1965="",$B1965="(blank)"),"",VLOOKUP($B1965,'Email Marketing Raw Data'!$C:$O,8,0)),"")</f>
        <v/>
      </c>
      <c r="Q1965" s="62" t="str">
        <f>IFERROR(IF(OR($B1965="",$B1965="(blank)"),"",VLOOKUP($B1965,'Email Marketing Raw Data'!$C:$O,9,0)),"")</f>
        <v/>
      </c>
    </row>
    <row r="1966" spans="4:17" ht="12.75" customHeight="1" x14ac:dyDescent="0.2">
      <c r="D1966" s="58" t="str">
        <f>IFERROR(IF(F1966&lt;&gt;"pending","",IF(OR($B1966="",$B1966="(blank)"),"",VLOOKUP($B1966,'Email Marketing Raw Data'!$C:$O,10,0))),"")</f>
        <v/>
      </c>
      <c r="E1966" s="59" t="str">
        <f>IFERROR(IF(F1966&lt;&gt;"pending","",IF(OR($B1966="",$B1966="(blank)"),"",VLOOKUP($B1966,'Email Marketing Raw Data'!$C:$O,11,0))),"")</f>
        <v/>
      </c>
      <c r="F1966" s="54" t="str">
        <f>IFERROR(IF(OR($B1966="",$B1966="(blank)"),"",VLOOKUP($B1966,'Email Marketing Raw Data'!$C:$O,13,0)),"")</f>
        <v/>
      </c>
      <c r="G1966" s="55" t="str">
        <f>IFERROR(IF(OR($B1966="",$B1966="(blank)"),"",VLOOKUP($B1966,'Email Marketing Raw Data'!$C:$O,4,0)),"")</f>
        <v/>
      </c>
      <c r="H1966" s="55" t="str">
        <f>IFERROR(IF(OR($B1966="",$B1966="(blank)"),"",VLOOKUP($B1966,'Email Marketing Raw Data'!$C:$O,5,0)),"")</f>
        <v/>
      </c>
      <c r="I1966" s="55" t="str">
        <f>IFERROR(IF($G1966="","",VLOOKUP('Dashboard And Emails Automate'!$G1966,Database!$H:$N,3,0)),"")</f>
        <v/>
      </c>
      <c r="J1966" s="55" t="str">
        <f>IFERROR(IF($G1966="","",VLOOKUP('Dashboard And Emails Automate'!$G1966,Database!$H:$N,4,0)),"")</f>
        <v/>
      </c>
      <c r="K1966" s="55" t="str">
        <f>IFERROR(IF($G1966="","",VLOOKUP('Dashboard And Emails Automate'!$G1966,Database!$H:$N,5,0)),"")</f>
        <v/>
      </c>
      <c r="L1966" s="55" t="str">
        <f>IFERROR(IF($G1966="","",VLOOKUP('Dashboard And Emails Automate'!$G1966,Database!$H:$N,6,0)),"")</f>
        <v/>
      </c>
      <c r="M1966" s="55" t="str">
        <f>IFERROR(IF($G1966="","",VLOOKUP('Dashboard And Emails Automate'!$G1966,Database!$H:$N,7,0)),"")</f>
        <v/>
      </c>
      <c r="N1966" s="55" t="str">
        <f>IFERROR(IF(OR($B1966="",$B1966="(blank)"),"",VLOOKUP($B1966,'Email Marketing Raw Data'!$C:$O,6,0)),"")</f>
        <v/>
      </c>
      <c r="O1966" s="55" t="str">
        <f>IFERROR(IF(OR($B1966="",$B1966="(blank)"),"",VLOOKUP($B1966,'Email Marketing Raw Data'!$C:$O,7,0)),"")</f>
        <v/>
      </c>
      <c r="P1966" s="55" t="str">
        <f>IFERROR(IF(OR($B1966="",$B1966="(blank)"),"",VLOOKUP($B1966,'Email Marketing Raw Data'!$C:$O,8,0)),"")</f>
        <v/>
      </c>
      <c r="Q1966" s="62" t="str">
        <f>IFERROR(IF(OR($B1966="",$B1966="(blank)"),"",VLOOKUP($B1966,'Email Marketing Raw Data'!$C:$O,9,0)),"")</f>
        <v/>
      </c>
    </row>
    <row r="1967" spans="4:17" ht="12.75" customHeight="1" x14ac:dyDescent="0.2">
      <c r="D1967" s="58" t="str">
        <f>IFERROR(IF(F1967&lt;&gt;"pending","",IF(OR($B1967="",$B1967="(blank)"),"",VLOOKUP($B1967,'Email Marketing Raw Data'!$C:$O,10,0))),"")</f>
        <v/>
      </c>
      <c r="E1967" s="59" t="str">
        <f>IFERROR(IF(F1967&lt;&gt;"pending","",IF(OR($B1967="",$B1967="(blank)"),"",VLOOKUP($B1967,'Email Marketing Raw Data'!$C:$O,11,0))),"")</f>
        <v/>
      </c>
      <c r="F1967" s="54" t="str">
        <f>IFERROR(IF(OR($B1967="",$B1967="(blank)"),"",VLOOKUP($B1967,'Email Marketing Raw Data'!$C:$O,13,0)),"")</f>
        <v/>
      </c>
      <c r="G1967" s="55" t="str">
        <f>IFERROR(IF(OR($B1967="",$B1967="(blank)"),"",VLOOKUP($B1967,'Email Marketing Raw Data'!$C:$O,4,0)),"")</f>
        <v/>
      </c>
      <c r="H1967" s="55" t="str">
        <f>IFERROR(IF(OR($B1967="",$B1967="(blank)"),"",VLOOKUP($B1967,'Email Marketing Raw Data'!$C:$O,5,0)),"")</f>
        <v/>
      </c>
      <c r="I1967" s="55" t="str">
        <f>IFERROR(IF($G1967="","",VLOOKUP('Dashboard And Emails Automate'!$G1967,Database!$H:$N,3,0)),"")</f>
        <v/>
      </c>
      <c r="J1967" s="55" t="str">
        <f>IFERROR(IF($G1967="","",VLOOKUP('Dashboard And Emails Automate'!$G1967,Database!$H:$N,4,0)),"")</f>
        <v/>
      </c>
      <c r="K1967" s="55" t="str">
        <f>IFERROR(IF($G1967="","",VLOOKUP('Dashboard And Emails Automate'!$G1967,Database!$H:$N,5,0)),"")</f>
        <v/>
      </c>
      <c r="L1967" s="55" t="str">
        <f>IFERROR(IF($G1967="","",VLOOKUP('Dashboard And Emails Automate'!$G1967,Database!$H:$N,6,0)),"")</f>
        <v/>
      </c>
      <c r="M1967" s="55" t="str">
        <f>IFERROR(IF($G1967="","",VLOOKUP('Dashboard And Emails Automate'!$G1967,Database!$H:$N,7,0)),"")</f>
        <v/>
      </c>
      <c r="N1967" s="55" t="str">
        <f>IFERROR(IF(OR($B1967="",$B1967="(blank)"),"",VLOOKUP($B1967,'Email Marketing Raw Data'!$C:$O,6,0)),"")</f>
        <v/>
      </c>
      <c r="O1967" s="55" t="str">
        <f>IFERROR(IF(OR($B1967="",$B1967="(blank)"),"",VLOOKUP($B1967,'Email Marketing Raw Data'!$C:$O,7,0)),"")</f>
        <v/>
      </c>
      <c r="P1967" s="55" t="str">
        <f>IFERROR(IF(OR($B1967="",$B1967="(blank)"),"",VLOOKUP($B1967,'Email Marketing Raw Data'!$C:$O,8,0)),"")</f>
        <v/>
      </c>
      <c r="Q1967" s="62" t="str">
        <f>IFERROR(IF(OR($B1967="",$B1967="(blank)"),"",VLOOKUP($B1967,'Email Marketing Raw Data'!$C:$O,9,0)),"")</f>
        <v/>
      </c>
    </row>
    <row r="1968" spans="4:17" ht="12.75" customHeight="1" x14ac:dyDescent="0.2">
      <c r="D1968" s="58" t="str">
        <f>IFERROR(IF(F1968&lt;&gt;"pending","",IF(OR($B1968="",$B1968="(blank)"),"",VLOOKUP($B1968,'Email Marketing Raw Data'!$C:$O,10,0))),"")</f>
        <v/>
      </c>
      <c r="E1968" s="59" t="str">
        <f>IFERROR(IF(F1968&lt;&gt;"pending","",IF(OR($B1968="",$B1968="(blank)"),"",VLOOKUP($B1968,'Email Marketing Raw Data'!$C:$O,11,0))),"")</f>
        <v/>
      </c>
      <c r="F1968" s="54" t="str">
        <f>IFERROR(IF(OR($B1968="",$B1968="(blank)"),"",VLOOKUP($B1968,'Email Marketing Raw Data'!$C:$O,13,0)),"")</f>
        <v/>
      </c>
      <c r="G1968" s="55" t="str">
        <f>IFERROR(IF(OR($B1968="",$B1968="(blank)"),"",VLOOKUP($B1968,'Email Marketing Raw Data'!$C:$O,4,0)),"")</f>
        <v/>
      </c>
      <c r="H1968" s="55" t="str">
        <f>IFERROR(IF(OR($B1968="",$B1968="(blank)"),"",VLOOKUP($B1968,'Email Marketing Raw Data'!$C:$O,5,0)),"")</f>
        <v/>
      </c>
      <c r="I1968" s="55" t="str">
        <f>IFERROR(IF($G1968="","",VLOOKUP('Dashboard And Emails Automate'!$G1968,Database!$H:$N,3,0)),"")</f>
        <v/>
      </c>
      <c r="J1968" s="55" t="str">
        <f>IFERROR(IF($G1968="","",VLOOKUP('Dashboard And Emails Automate'!$G1968,Database!$H:$N,4,0)),"")</f>
        <v/>
      </c>
      <c r="K1968" s="55" t="str">
        <f>IFERROR(IF($G1968="","",VLOOKUP('Dashboard And Emails Automate'!$G1968,Database!$H:$N,5,0)),"")</f>
        <v/>
      </c>
      <c r="L1968" s="55" t="str">
        <f>IFERROR(IF($G1968="","",VLOOKUP('Dashboard And Emails Automate'!$G1968,Database!$H:$N,6,0)),"")</f>
        <v/>
      </c>
      <c r="M1968" s="55" t="str">
        <f>IFERROR(IF($G1968="","",VLOOKUP('Dashboard And Emails Automate'!$G1968,Database!$H:$N,7,0)),"")</f>
        <v/>
      </c>
      <c r="N1968" s="55" t="str">
        <f>IFERROR(IF(OR($B1968="",$B1968="(blank)"),"",VLOOKUP($B1968,'Email Marketing Raw Data'!$C:$O,6,0)),"")</f>
        <v/>
      </c>
      <c r="O1968" s="55" t="str">
        <f>IFERROR(IF(OR($B1968="",$B1968="(blank)"),"",VLOOKUP($B1968,'Email Marketing Raw Data'!$C:$O,7,0)),"")</f>
        <v/>
      </c>
      <c r="P1968" s="55" t="str">
        <f>IFERROR(IF(OR($B1968="",$B1968="(blank)"),"",VLOOKUP($B1968,'Email Marketing Raw Data'!$C:$O,8,0)),"")</f>
        <v/>
      </c>
      <c r="Q1968" s="62" t="str">
        <f>IFERROR(IF(OR($B1968="",$B1968="(blank)"),"",VLOOKUP($B1968,'Email Marketing Raw Data'!$C:$O,9,0)),"")</f>
        <v/>
      </c>
    </row>
    <row r="1969" spans="4:17" ht="12.75" customHeight="1" x14ac:dyDescent="0.2">
      <c r="D1969" s="58" t="str">
        <f>IFERROR(IF(F1969&lt;&gt;"pending","",IF(OR($B1969="",$B1969="(blank)"),"",VLOOKUP($B1969,'Email Marketing Raw Data'!$C:$O,10,0))),"")</f>
        <v/>
      </c>
      <c r="E1969" s="59" t="str">
        <f>IFERROR(IF(F1969&lt;&gt;"pending","",IF(OR($B1969="",$B1969="(blank)"),"",VLOOKUP($B1969,'Email Marketing Raw Data'!$C:$O,11,0))),"")</f>
        <v/>
      </c>
      <c r="F1969" s="54" t="str">
        <f>IFERROR(IF(OR($B1969="",$B1969="(blank)"),"",VLOOKUP($B1969,'Email Marketing Raw Data'!$C:$O,13,0)),"")</f>
        <v/>
      </c>
      <c r="G1969" s="55" t="str">
        <f>IFERROR(IF(OR($B1969="",$B1969="(blank)"),"",VLOOKUP($B1969,'Email Marketing Raw Data'!$C:$O,4,0)),"")</f>
        <v/>
      </c>
      <c r="H1969" s="55" t="str">
        <f>IFERROR(IF(OR($B1969="",$B1969="(blank)"),"",VLOOKUP($B1969,'Email Marketing Raw Data'!$C:$O,5,0)),"")</f>
        <v/>
      </c>
      <c r="I1969" s="55" t="str">
        <f>IFERROR(IF($G1969="","",VLOOKUP('Dashboard And Emails Automate'!$G1969,Database!$H:$N,3,0)),"")</f>
        <v/>
      </c>
      <c r="J1969" s="55" t="str">
        <f>IFERROR(IF($G1969="","",VLOOKUP('Dashboard And Emails Automate'!$G1969,Database!$H:$N,4,0)),"")</f>
        <v/>
      </c>
      <c r="K1969" s="55" t="str">
        <f>IFERROR(IF($G1969="","",VLOOKUP('Dashboard And Emails Automate'!$G1969,Database!$H:$N,5,0)),"")</f>
        <v/>
      </c>
      <c r="L1969" s="55" t="str">
        <f>IFERROR(IF($G1969="","",VLOOKUP('Dashboard And Emails Automate'!$G1969,Database!$H:$N,6,0)),"")</f>
        <v/>
      </c>
      <c r="M1969" s="55" t="str">
        <f>IFERROR(IF($G1969="","",VLOOKUP('Dashboard And Emails Automate'!$G1969,Database!$H:$N,7,0)),"")</f>
        <v/>
      </c>
      <c r="N1969" s="55" t="str">
        <f>IFERROR(IF(OR($B1969="",$B1969="(blank)"),"",VLOOKUP($B1969,'Email Marketing Raw Data'!$C:$O,6,0)),"")</f>
        <v/>
      </c>
      <c r="O1969" s="55" t="str">
        <f>IFERROR(IF(OR($B1969="",$B1969="(blank)"),"",VLOOKUP($B1969,'Email Marketing Raw Data'!$C:$O,7,0)),"")</f>
        <v/>
      </c>
      <c r="P1969" s="55" t="str">
        <f>IFERROR(IF(OR($B1969="",$B1969="(blank)"),"",VLOOKUP($B1969,'Email Marketing Raw Data'!$C:$O,8,0)),"")</f>
        <v/>
      </c>
      <c r="Q1969" s="62" t="str">
        <f>IFERROR(IF(OR($B1969="",$B1969="(blank)"),"",VLOOKUP($B1969,'Email Marketing Raw Data'!$C:$O,9,0)),"")</f>
        <v/>
      </c>
    </row>
    <row r="1970" spans="4:17" ht="12.75" customHeight="1" x14ac:dyDescent="0.2">
      <c r="D1970" s="58" t="str">
        <f>IFERROR(IF(F1970&lt;&gt;"pending","",IF(OR($B1970="",$B1970="(blank)"),"",VLOOKUP($B1970,'Email Marketing Raw Data'!$C:$O,10,0))),"")</f>
        <v/>
      </c>
      <c r="E1970" s="59" t="str">
        <f>IFERROR(IF(F1970&lt;&gt;"pending","",IF(OR($B1970="",$B1970="(blank)"),"",VLOOKUP($B1970,'Email Marketing Raw Data'!$C:$O,11,0))),"")</f>
        <v/>
      </c>
      <c r="F1970" s="54" t="str">
        <f>IFERROR(IF(OR($B1970="",$B1970="(blank)"),"",VLOOKUP($B1970,'Email Marketing Raw Data'!$C:$O,13,0)),"")</f>
        <v/>
      </c>
      <c r="G1970" s="55" t="str">
        <f>IFERROR(IF(OR($B1970="",$B1970="(blank)"),"",VLOOKUP($B1970,'Email Marketing Raw Data'!$C:$O,4,0)),"")</f>
        <v/>
      </c>
      <c r="H1970" s="55" t="str">
        <f>IFERROR(IF(OR($B1970="",$B1970="(blank)"),"",VLOOKUP($B1970,'Email Marketing Raw Data'!$C:$O,5,0)),"")</f>
        <v/>
      </c>
      <c r="I1970" s="55" t="str">
        <f>IFERROR(IF($G1970="","",VLOOKUP('Dashboard And Emails Automate'!$G1970,Database!$H:$N,3,0)),"")</f>
        <v/>
      </c>
      <c r="J1970" s="55" t="str">
        <f>IFERROR(IF($G1970="","",VLOOKUP('Dashboard And Emails Automate'!$G1970,Database!$H:$N,4,0)),"")</f>
        <v/>
      </c>
      <c r="K1970" s="55" t="str">
        <f>IFERROR(IF($G1970="","",VLOOKUP('Dashboard And Emails Automate'!$G1970,Database!$H:$N,5,0)),"")</f>
        <v/>
      </c>
      <c r="L1970" s="55" t="str">
        <f>IFERROR(IF($G1970="","",VLOOKUP('Dashboard And Emails Automate'!$G1970,Database!$H:$N,6,0)),"")</f>
        <v/>
      </c>
      <c r="M1970" s="55" t="str">
        <f>IFERROR(IF($G1970="","",VLOOKUP('Dashboard And Emails Automate'!$G1970,Database!$H:$N,7,0)),"")</f>
        <v/>
      </c>
      <c r="N1970" s="55" t="str">
        <f>IFERROR(IF(OR($B1970="",$B1970="(blank)"),"",VLOOKUP($B1970,'Email Marketing Raw Data'!$C:$O,6,0)),"")</f>
        <v/>
      </c>
      <c r="O1970" s="55" t="str">
        <f>IFERROR(IF(OR($B1970="",$B1970="(blank)"),"",VLOOKUP($B1970,'Email Marketing Raw Data'!$C:$O,7,0)),"")</f>
        <v/>
      </c>
      <c r="P1970" s="55" t="str">
        <f>IFERROR(IF(OR($B1970="",$B1970="(blank)"),"",VLOOKUP($B1970,'Email Marketing Raw Data'!$C:$O,8,0)),"")</f>
        <v/>
      </c>
      <c r="Q1970" s="62" t="str">
        <f>IFERROR(IF(OR($B1970="",$B1970="(blank)"),"",VLOOKUP($B1970,'Email Marketing Raw Data'!$C:$O,9,0)),"")</f>
        <v/>
      </c>
    </row>
    <row r="1971" spans="4:17" ht="12.75" customHeight="1" x14ac:dyDescent="0.2">
      <c r="D1971" s="58" t="str">
        <f>IFERROR(IF(F1971&lt;&gt;"pending","",IF(OR($B1971="",$B1971="(blank)"),"",VLOOKUP($B1971,'Email Marketing Raw Data'!$C:$O,10,0))),"")</f>
        <v/>
      </c>
      <c r="E1971" s="59" t="str">
        <f>IFERROR(IF(F1971&lt;&gt;"pending","",IF(OR($B1971="",$B1971="(blank)"),"",VLOOKUP($B1971,'Email Marketing Raw Data'!$C:$O,11,0))),"")</f>
        <v/>
      </c>
      <c r="F1971" s="54" t="str">
        <f>IFERROR(IF(OR($B1971="",$B1971="(blank)"),"",VLOOKUP($B1971,'Email Marketing Raw Data'!$C:$O,13,0)),"")</f>
        <v/>
      </c>
      <c r="G1971" s="55" t="str">
        <f>IFERROR(IF(OR($B1971="",$B1971="(blank)"),"",VLOOKUP($B1971,'Email Marketing Raw Data'!$C:$O,4,0)),"")</f>
        <v/>
      </c>
      <c r="H1971" s="55" t="str">
        <f>IFERROR(IF(OR($B1971="",$B1971="(blank)"),"",VLOOKUP($B1971,'Email Marketing Raw Data'!$C:$O,5,0)),"")</f>
        <v/>
      </c>
      <c r="I1971" s="55" t="str">
        <f>IFERROR(IF($G1971="","",VLOOKUP('Dashboard And Emails Automate'!$G1971,Database!$H:$N,3,0)),"")</f>
        <v/>
      </c>
      <c r="J1971" s="55" t="str">
        <f>IFERROR(IF($G1971="","",VLOOKUP('Dashboard And Emails Automate'!$G1971,Database!$H:$N,4,0)),"")</f>
        <v/>
      </c>
      <c r="K1971" s="55" t="str">
        <f>IFERROR(IF($G1971="","",VLOOKUP('Dashboard And Emails Automate'!$G1971,Database!$H:$N,5,0)),"")</f>
        <v/>
      </c>
      <c r="L1971" s="55" t="str">
        <f>IFERROR(IF($G1971="","",VLOOKUP('Dashboard And Emails Automate'!$G1971,Database!$H:$N,6,0)),"")</f>
        <v/>
      </c>
      <c r="M1971" s="55" t="str">
        <f>IFERROR(IF($G1971="","",VLOOKUP('Dashboard And Emails Automate'!$G1971,Database!$H:$N,7,0)),"")</f>
        <v/>
      </c>
      <c r="N1971" s="55" t="str">
        <f>IFERROR(IF(OR($B1971="",$B1971="(blank)"),"",VLOOKUP($B1971,'Email Marketing Raw Data'!$C:$O,6,0)),"")</f>
        <v/>
      </c>
      <c r="O1971" s="55" t="str">
        <f>IFERROR(IF(OR($B1971="",$B1971="(blank)"),"",VLOOKUP($B1971,'Email Marketing Raw Data'!$C:$O,7,0)),"")</f>
        <v/>
      </c>
      <c r="P1971" s="55" t="str">
        <f>IFERROR(IF(OR($B1971="",$B1971="(blank)"),"",VLOOKUP($B1971,'Email Marketing Raw Data'!$C:$O,8,0)),"")</f>
        <v/>
      </c>
      <c r="Q1971" s="62" t="str">
        <f>IFERROR(IF(OR($B1971="",$B1971="(blank)"),"",VLOOKUP($B1971,'Email Marketing Raw Data'!$C:$O,9,0)),"")</f>
        <v/>
      </c>
    </row>
    <row r="1972" spans="4:17" ht="12.75" customHeight="1" x14ac:dyDescent="0.2">
      <c r="D1972" s="58" t="str">
        <f>IFERROR(IF(F1972&lt;&gt;"pending","",IF(OR($B1972="",$B1972="(blank)"),"",VLOOKUP($B1972,'Email Marketing Raw Data'!$C:$O,10,0))),"")</f>
        <v/>
      </c>
      <c r="E1972" s="59" t="str">
        <f>IFERROR(IF(F1972&lt;&gt;"pending","",IF(OR($B1972="",$B1972="(blank)"),"",VLOOKUP($B1972,'Email Marketing Raw Data'!$C:$O,11,0))),"")</f>
        <v/>
      </c>
      <c r="F1972" s="54" t="str">
        <f>IFERROR(IF(OR($B1972="",$B1972="(blank)"),"",VLOOKUP($B1972,'Email Marketing Raw Data'!$C:$O,13,0)),"")</f>
        <v/>
      </c>
      <c r="G1972" s="55" t="str">
        <f>IFERROR(IF(OR($B1972="",$B1972="(blank)"),"",VLOOKUP($B1972,'Email Marketing Raw Data'!$C:$O,4,0)),"")</f>
        <v/>
      </c>
      <c r="H1972" s="55" t="str">
        <f>IFERROR(IF(OR($B1972="",$B1972="(blank)"),"",VLOOKUP($B1972,'Email Marketing Raw Data'!$C:$O,5,0)),"")</f>
        <v/>
      </c>
      <c r="I1972" s="55" t="str">
        <f>IFERROR(IF($G1972="","",VLOOKUP('Dashboard And Emails Automate'!$G1972,Database!$H:$N,3,0)),"")</f>
        <v/>
      </c>
      <c r="J1972" s="55" t="str">
        <f>IFERROR(IF($G1972="","",VLOOKUP('Dashboard And Emails Automate'!$G1972,Database!$H:$N,4,0)),"")</f>
        <v/>
      </c>
      <c r="K1972" s="55" t="str">
        <f>IFERROR(IF($G1972="","",VLOOKUP('Dashboard And Emails Automate'!$G1972,Database!$H:$N,5,0)),"")</f>
        <v/>
      </c>
      <c r="L1972" s="55" t="str">
        <f>IFERROR(IF($G1972="","",VLOOKUP('Dashboard And Emails Automate'!$G1972,Database!$H:$N,6,0)),"")</f>
        <v/>
      </c>
      <c r="M1972" s="55" t="str">
        <f>IFERROR(IF($G1972="","",VLOOKUP('Dashboard And Emails Automate'!$G1972,Database!$H:$N,7,0)),"")</f>
        <v/>
      </c>
      <c r="N1972" s="55" t="str">
        <f>IFERROR(IF(OR($B1972="",$B1972="(blank)"),"",VLOOKUP($B1972,'Email Marketing Raw Data'!$C:$O,6,0)),"")</f>
        <v/>
      </c>
      <c r="O1972" s="55" t="str">
        <f>IFERROR(IF(OR($B1972="",$B1972="(blank)"),"",VLOOKUP($B1972,'Email Marketing Raw Data'!$C:$O,7,0)),"")</f>
        <v/>
      </c>
      <c r="P1972" s="55" t="str">
        <f>IFERROR(IF(OR($B1972="",$B1972="(blank)"),"",VLOOKUP($B1972,'Email Marketing Raw Data'!$C:$O,8,0)),"")</f>
        <v/>
      </c>
      <c r="Q1972" s="62" t="str">
        <f>IFERROR(IF(OR($B1972="",$B1972="(blank)"),"",VLOOKUP($B1972,'Email Marketing Raw Data'!$C:$O,9,0)),"")</f>
        <v/>
      </c>
    </row>
    <row r="1973" spans="4:17" ht="12.75" customHeight="1" x14ac:dyDescent="0.2">
      <c r="D1973" s="58" t="str">
        <f>IFERROR(IF(F1973&lt;&gt;"pending","",IF(OR($B1973="",$B1973="(blank)"),"",VLOOKUP($B1973,'Email Marketing Raw Data'!$C:$O,10,0))),"")</f>
        <v/>
      </c>
      <c r="E1973" s="59" t="str">
        <f>IFERROR(IF(F1973&lt;&gt;"pending","",IF(OR($B1973="",$B1973="(blank)"),"",VLOOKUP($B1973,'Email Marketing Raw Data'!$C:$O,11,0))),"")</f>
        <v/>
      </c>
      <c r="F1973" s="54" t="str">
        <f>IFERROR(IF(OR($B1973="",$B1973="(blank)"),"",VLOOKUP($B1973,'Email Marketing Raw Data'!$C:$O,13,0)),"")</f>
        <v/>
      </c>
      <c r="G1973" s="55" t="str">
        <f>IFERROR(IF(OR($B1973="",$B1973="(blank)"),"",VLOOKUP($B1973,'Email Marketing Raw Data'!$C:$O,4,0)),"")</f>
        <v/>
      </c>
      <c r="H1973" s="55" t="str">
        <f>IFERROR(IF(OR($B1973="",$B1973="(blank)"),"",VLOOKUP($B1973,'Email Marketing Raw Data'!$C:$O,5,0)),"")</f>
        <v/>
      </c>
      <c r="I1973" s="55" t="str">
        <f>IFERROR(IF($G1973="","",VLOOKUP('Dashboard And Emails Automate'!$G1973,Database!$H:$N,3,0)),"")</f>
        <v/>
      </c>
      <c r="J1973" s="55" t="str">
        <f>IFERROR(IF($G1973="","",VLOOKUP('Dashboard And Emails Automate'!$G1973,Database!$H:$N,4,0)),"")</f>
        <v/>
      </c>
      <c r="K1973" s="55" t="str">
        <f>IFERROR(IF($G1973="","",VLOOKUP('Dashboard And Emails Automate'!$G1973,Database!$H:$N,5,0)),"")</f>
        <v/>
      </c>
      <c r="L1973" s="55" t="str">
        <f>IFERROR(IF($G1973="","",VLOOKUP('Dashboard And Emails Automate'!$G1973,Database!$H:$N,6,0)),"")</f>
        <v/>
      </c>
      <c r="M1973" s="55" t="str">
        <f>IFERROR(IF($G1973="","",VLOOKUP('Dashboard And Emails Automate'!$G1973,Database!$H:$N,7,0)),"")</f>
        <v/>
      </c>
      <c r="N1973" s="55" t="str">
        <f>IFERROR(IF(OR($B1973="",$B1973="(blank)"),"",VLOOKUP($B1973,'Email Marketing Raw Data'!$C:$O,6,0)),"")</f>
        <v/>
      </c>
      <c r="O1973" s="55" t="str">
        <f>IFERROR(IF(OR($B1973="",$B1973="(blank)"),"",VLOOKUP($B1973,'Email Marketing Raw Data'!$C:$O,7,0)),"")</f>
        <v/>
      </c>
      <c r="P1973" s="55" t="str">
        <f>IFERROR(IF(OR($B1973="",$B1973="(blank)"),"",VLOOKUP($B1973,'Email Marketing Raw Data'!$C:$O,8,0)),"")</f>
        <v/>
      </c>
      <c r="Q1973" s="62" t="str">
        <f>IFERROR(IF(OR($B1973="",$B1973="(blank)"),"",VLOOKUP($B1973,'Email Marketing Raw Data'!$C:$O,9,0)),"")</f>
        <v/>
      </c>
    </row>
    <row r="1974" spans="4:17" ht="12.75" customHeight="1" x14ac:dyDescent="0.2">
      <c r="D1974" s="58" t="str">
        <f>IFERROR(IF(F1974&lt;&gt;"pending","",IF(OR($B1974="",$B1974="(blank)"),"",VLOOKUP($B1974,'Email Marketing Raw Data'!$C:$O,10,0))),"")</f>
        <v/>
      </c>
      <c r="E1974" s="59" t="str">
        <f>IFERROR(IF(F1974&lt;&gt;"pending","",IF(OR($B1974="",$B1974="(blank)"),"",VLOOKUP($B1974,'Email Marketing Raw Data'!$C:$O,11,0))),"")</f>
        <v/>
      </c>
      <c r="F1974" s="54" t="str">
        <f>IFERROR(IF(OR($B1974="",$B1974="(blank)"),"",VLOOKUP($B1974,'Email Marketing Raw Data'!$C:$O,13,0)),"")</f>
        <v/>
      </c>
      <c r="G1974" s="55" t="str">
        <f>IFERROR(IF(OR($B1974="",$B1974="(blank)"),"",VLOOKUP($B1974,'Email Marketing Raw Data'!$C:$O,4,0)),"")</f>
        <v/>
      </c>
      <c r="H1974" s="55" t="str">
        <f>IFERROR(IF(OR($B1974="",$B1974="(blank)"),"",VLOOKUP($B1974,'Email Marketing Raw Data'!$C:$O,5,0)),"")</f>
        <v/>
      </c>
      <c r="I1974" s="55" t="str">
        <f>IFERROR(IF($G1974="","",VLOOKUP('Dashboard And Emails Automate'!$G1974,Database!$H:$N,3,0)),"")</f>
        <v/>
      </c>
      <c r="J1974" s="55" t="str">
        <f>IFERROR(IF($G1974="","",VLOOKUP('Dashboard And Emails Automate'!$G1974,Database!$H:$N,4,0)),"")</f>
        <v/>
      </c>
      <c r="K1974" s="55" t="str">
        <f>IFERROR(IF($G1974="","",VLOOKUP('Dashboard And Emails Automate'!$G1974,Database!$H:$N,5,0)),"")</f>
        <v/>
      </c>
      <c r="L1974" s="55" t="str">
        <f>IFERROR(IF($G1974="","",VLOOKUP('Dashboard And Emails Automate'!$G1974,Database!$H:$N,6,0)),"")</f>
        <v/>
      </c>
      <c r="M1974" s="55" t="str">
        <f>IFERROR(IF($G1974="","",VLOOKUP('Dashboard And Emails Automate'!$G1974,Database!$H:$N,7,0)),"")</f>
        <v/>
      </c>
      <c r="N1974" s="55" t="str">
        <f>IFERROR(IF(OR($B1974="",$B1974="(blank)"),"",VLOOKUP($B1974,'Email Marketing Raw Data'!$C:$O,6,0)),"")</f>
        <v/>
      </c>
      <c r="O1974" s="55" t="str">
        <f>IFERROR(IF(OR($B1974="",$B1974="(blank)"),"",VLOOKUP($B1974,'Email Marketing Raw Data'!$C:$O,7,0)),"")</f>
        <v/>
      </c>
      <c r="P1974" s="55" t="str">
        <f>IFERROR(IF(OR($B1974="",$B1974="(blank)"),"",VLOOKUP($B1974,'Email Marketing Raw Data'!$C:$O,8,0)),"")</f>
        <v/>
      </c>
      <c r="Q1974" s="62" t="str">
        <f>IFERROR(IF(OR($B1974="",$B1974="(blank)"),"",VLOOKUP($B1974,'Email Marketing Raw Data'!$C:$O,9,0)),"")</f>
        <v/>
      </c>
    </row>
    <row r="1975" spans="4:17" ht="12.75" customHeight="1" x14ac:dyDescent="0.2">
      <c r="D1975" s="58" t="str">
        <f>IFERROR(IF(F1975&lt;&gt;"pending","",IF(OR($B1975="",$B1975="(blank)"),"",VLOOKUP($B1975,'Email Marketing Raw Data'!$C:$O,10,0))),"")</f>
        <v/>
      </c>
      <c r="E1975" s="59" t="str">
        <f>IFERROR(IF(F1975&lt;&gt;"pending","",IF(OR($B1975="",$B1975="(blank)"),"",VLOOKUP($B1975,'Email Marketing Raw Data'!$C:$O,11,0))),"")</f>
        <v/>
      </c>
      <c r="F1975" s="54" t="str">
        <f>IFERROR(IF(OR($B1975="",$B1975="(blank)"),"",VLOOKUP($B1975,'Email Marketing Raw Data'!$C:$O,13,0)),"")</f>
        <v/>
      </c>
      <c r="G1975" s="55" t="str">
        <f>IFERROR(IF(OR($B1975="",$B1975="(blank)"),"",VLOOKUP($B1975,'Email Marketing Raw Data'!$C:$O,4,0)),"")</f>
        <v/>
      </c>
      <c r="H1975" s="55" t="str">
        <f>IFERROR(IF(OR($B1975="",$B1975="(blank)"),"",VLOOKUP($B1975,'Email Marketing Raw Data'!$C:$O,5,0)),"")</f>
        <v/>
      </c>
      <c r="I1975" s="55" t="str">
        <f>IFERROR(IF($G1975="","",VLOOKUP('Dashboard And Emails Automate'!$G1975,Database!$H:$N,3,0)),"")</f>
        <v/>
      </c>
      <c r="J1975" s="55" t="str">
        <f>IFERROR(IF($G1975="","",VLOOKUP('Dashboard And Emails Automate'!$G1975,Database!$H:$N,4,0)),"")</f>
        <v/>
      </c>
      <c r="K1975" s="55" t="str">
        <f>IFERROR(IF($G1975="","",VLOOKUP('Dashboard And Emails Automate'!$G1975,Database!$H:$N,5,0)),"")</f>
        <v/>
      </c>
      <c r="L1975" s="55" t="str">
        <f>IFERROR(IF($G1975="","",VLOOKUP('Dashboard And Emails Automate'!$G1975,Database!$H:$N,6,0)),"")</f>
        <v/>
      </c>
      <c r="M1975" s="55" t="str">
        <f>IFERROR(IF($G1975="","",VLOOKUP('Dashboard And Emails Automate'!$G1975,Database!$H:$N,7,0)),"")</f>
        <v/>
      </c>
      <c r="N1975" s="55" t="str">
        <f>IFERROR(IF(OR($B1975="",$B1975="(blank)"),"",VLOOKUP($B1975,'Email Marketing Raw Data'!$C:$O,6,0)),"")</f>
        <v/>
      </c>
      <c r="O1975" s="55" t="str">
        <f>IFERROR(IF(OR($B1975="",$B1975="(blank)"),"",VLOOKUP($B1975,'Email Marketing Raw Data'!$C:$O,7,0)),"")</f>
        <v/>
      </c>
      <c r="P1975" s="55" t="str">
        <f>IFERROR(IF(OR($B1975="",$B1975="(blank)"),"",VLOOKUP($B1975,'Email Marketing Raw Data'!$C:$O,8,0)),"")</f>
        <v/>
      </c>
      <c r="Q1975" s="62" t="str">
        <f>IFERROR(IF(OR($B1975="",$B1975="(blank)"),"",VLOOKUP($B1975,'Email Marketing Raw Data'!$C:$O,9,0)),"")</f>
        <v/>
      </c>
    </row>
    <row r="1976" spans="4:17" ht="12.75" customHeight="1" x14ac:dyDescent="0.2">
      <c r="D1976" s="58" t="str">
        <f>IFERROR(IF(F1976&lt;&gt;"pending","",IF(OR($B1976="",$B1976="(blank)"),"",VLOOKUP($B1976,'Email Marketing Raw Data'!$C:$O,10,0))),"")</f>
        <v/>
      </c>
      <c r="E1976" s="59" t="str">
        <f>IFERROR(IF(F1976&lt;&gt;"pending","",IF(OR($B1976="",$B1976="(blank)"),"",VLOOKUP($B1976,'Email Marketing Raw Data'!$C:$O,11,0))),"")</f>
        <v/>
      </c>
      <c r="F1976" s="54" t="str">
        <f>IFERROR(IF(OR($B1976="",$B1976="(blank)"),"",VLOOKUP($B1976,'Email Marketing Raw Data'!$C:$O,13,0)),"")</f>
        <v/>
      </c>
      <c r="G1976" s="55" t="str">
        <f>IFERROR(IF(OR($B1976="",$B1976="(blank)"),"",VLOOKUP($B1976,'Email Marketing Raw Data'!$C:$O,4,0)),"")</f>
        <v/>
      </c>
      <c r="H1976" s="55" t="str">
        <f>IFERROR(IF(OR($B1976="",$B1976="(blank)"),"",VLOOKUP($B1976,'Email Marketing Raw Data'!$C:$O,5,0)),"")</f>
        <v/>
      </c>
      <c r="I1976" s="55" t="str">
        <f>IFERROR(IF($G1976="","",VLOOKUP('Dashboard And Emails Automate'!$G1976,Database!$H:$N,3,0)),"")</f>
        <v/>
      </c>
      <c r="J1976" s="55" t="str">
        <f>IFERROR(IF($G1976="","",VLOOKUP('Dashboard And Emails Automate'!$G1976,Database!$H:$N,4,0)),"")</f>
        <v/>
      </c>
      <c r="K1976" s="55" t="str">
        <f>IFERROR(IF($G1976="","",VLOOKUP('Dashboard And Emails Automate'!$G1976,Database!$H:$N,5,0)),"")</f>
        <v/>
      </c>
      <c r="L1976" s="55" t="str">
        <f>IFERROR(IF($G1976="","",VLOOKUP('Dashboard And Emails Automate'!$G1976,Database!$H:$N,6,0)),"")</f>
        <v/>
      </c>
      <c r="M1976" s="55" t="str">
        <f>IFERROR(IF($G1976="","",VLOOKUP('Dashboard And Emails Automate'!$G1976,Database!$H:$N,7,0)),"")</f>
        <v/>
      </c>
      <c r="N1976" s="55" t="str">
        <f>IFERROR(IF(OR($B1976="",$B1976="(blank)"),"",VLOOKUP($B1976,'Email Marketing Raw Data'!$C:$O,6,0)),"")</f>
        <v/>
      </c>
      <c r="O1976" s="55" t="str">
        <f>IFERROR(IF(OR($B1976="",$B1976="(blank)"),"",VLOOKUP($B1976,'Email Marketing Raw Data'!$C:$O,7,0)),"")</f>
        <v/>
      </c>
      <c r="P1976" s="55" t="str">
        <f>IFERROR(IF(OR($B1976="",$B1976="(blank)"),"",VLOOKUP($B1976,'Email Marketing Raw Data'!$C:$O,8,0)),"")</f>
        <v/>
      </c>
      <c r="Q1976" s="62" t="str">
        <f>IFERROR(IF(OR($B1976="",$B1976="(blank)"),"",VLOOKUP($B1976,'Email Marketing Raw Data'!$C:$O,9,0)),"")</f>
        <v/>
      </c>
    </row>
    <row r="1977" spans="4:17" ht="12.75" customHeight="1" x14ac:dyDescent="0.2">
      <c r="D1977" s="58" t="str">
        <f>IFERROR(IF(F1977&lt;&gt;"pending","",IF(OR($B1977="",$B1977="(blank)"),"",VLOOKUP($B1977,'Email Marketing Raw Data'!$C:$O,10,0))),"")</f>
        <v/>
      </c>
      <c r="E1977" s="59" t="str">
        <f>IFERROR(IF(F1977&lt;&gt;"pending","",IF(OR($B1977="",$B1977="(blank)"),"",VLOOKUP($B1977,'Email Marketing Raw Data'!$C:$O,11,0))),"")</f>
        <v/>
      </c>
      <c r="F1977" s="54" t="str">
        <f>IFERROR(IF(OR($B1977="",$B1977="(blank)"),"",VLOOKUP($B1977,'Email Marketing Raw Data'!$C:$O,13,0)),"")</f>
        <v/>
      </c>
      <c r="G1977" s="55" t="str">
        <f>IFERROR(IF(OR($B1977="",$B1977="(blank)"),"",VLOOKUP($B1977,'Email Marketing Raw Data'!$C:$O,4,0)),"")</f>
        <v/>
      </c>
      <c r="H1977" s="55" t="str">
        <f>IFERROR(IF(OR($B1977="",$B1977="(blank)"),"",VLOOKUP($B1977,'Email Marketing Raw Data'!$C:$O,5,0)),"")</f>
        <v/>
      </c>
      <c r="I1977" s="55" t="str">
        <f>IFERROR(IF($G1977="","",VLOOKUP('Dashboard And Emails Automate'!$G1977,Database!$H:$N,3,0)),"")</f>
        <v/>
      </c>
      <c r="J1977" s="55" t="str">
        <f>IFERROR(IF($G1977="","",VLOOKUP('Dashboard And Emails Automate'!$G1977,Database!$H:$N,4,0)),"")</f>
        <v/>
      </c>
      <c r="K1977" s="55" t="str">
        <f>IFERROR(IF($G1977="","",VLOOKUP('Dashboard And Emails Automate'!$G1977,Database!$H:$N,5,0)),"")</f>
        <v/>
      </c>
      <c r="L1977" s="55" t="str">
        <f>IFERROR(IF($G1977="","",VLOOKUP('Dashboard And Emails Automate'!$G1977,Database!$H:$N,6,0)),"")</f>
        <v/>
      </c>
      <c r="M1977" s="55" t="str">
        <f>IFERROR(IF($G1977="","",VLOOKUP('Dashboard And Emails Automate'!$G1977,Database!$H:$N,7,0)),"")</f>
        <v/>
      </c>
      <c r="N1977" s="55" t="str">
        <f>IFERROR(IF(OR($B1977="",$B1977="(blank)"),"",VLOOKUP($B1977,'Email Marketing Raw Data'!$C:$O,6,0)),"")</f>
        <v/>
      </c>
      <c r="O1977" s="55" t="str">
        <f>IFERROR(IF(OR($B1977="",$B1977="(blank)"),"",VLOOKUP($B1977,'Email Marketing Raw Data'!$C:$O,7,0)),"")</f>
        <v/>
      </c>
      <c r="P1977" s="55" t="str">
        <f>IFERROR(IF(OR($B1977="",$B1977="(blank)"),"",VLOOKUP($B1977,'Email Marketing Raw Data'!$C:$O,8,0)),"")</f>
        <v/>
      </c>
      <c r="Q1977" s="62" t="str">
        <f>IFERROR(IF(OR($B1977="",$B1977="(blank)"),"",VLOOKUP($B1977,'Email Marketing Raw Data'!$C:$O,9,0)),"")</f>
        <v/>
      </c>
    </row>
    <row r="1978" spans="4:17" ht="12.75" customHeight="1" x14ac:dyDescent="0.2">
      <c r="D1978" s="58" t="str">
        <f>IFERROR(IF(F1978&lt;&gt;"pending","",IF(OR($B1978="",$B1978="(blank)"),"",VLOOKUP($B1978,'Email Marketing Raw Data'!$C:$O,10,0))),"")</f>
        <v/>
      </c>
      <c r="E1978" s="59" t="str">
        <f>IFERROR(IF(F1978&lt;&gt;"pending","",IF(OR($B1978="",$B1978="(blank)"),"",VLOOKUP($B1978,'Email Marketing Raw Data'!$C:$O,11,0))),"")</f>
        <v/>
      </c>
      <c r="F1978" s="54" t="str">
        <f>IFERROR(IF(OR($B1978="",$B1978="(blank)"),"",VLOOKUP($B1978,'Email Marketing Raw Data'!$C:$O,13,0)),"")</f>
        <v/>
      </c>
      <c r="G1978" s="55" t="str">
        <f>IFERROR(IF(OR($B1978="",$B1978="(blank)"),"",VLOOKUP($B1978,'Email Marketing Raw Data'!$C:$O,4,0)),"")</f>
        <v/>
      </c>
      <c r="H1978" s="55" t="str">
        <f>IFERROR(IF(OR($B1978="",$B1978="(blank)"),"",VLOOKUP($B1978,'Email Marketing Raw Data'!$C:$O,5,0)),"")</f>
        <v/>
      </c>
      <c r="I1978" s="55" t="str">
        <f>IFERROR(IF($G1978="","",VLOOKUP('Dashboard And Emails Automate'!$G1978,Database!$H:$N,3,0)),"")</f>
        <v/>
      </c>
      <c r="J1978" s="55" t="str">
        <f>IFERROR(IF($G1978="","",VLOOKUP('Dashboard And Emails Automate'!$G1978,Database!$H:$N,4,0)),"")</f>
        <v/>
      </c>
      <c r="K1978" s="55" t="str">
        <f>IFERROR(IF($G1978="","",VLOOKUP('Dashboard And Emails Automate'!$G1978,Database!$H:$N,5,0)),"")</f>
        <v/>
      </c>
      <c r="L1978" s="55" t="str">
        <f>IFERROR(IF($G1978="","",VLOOKUP('Dashboard And Emails Automate'!$G1978,Database!$H:$N,6,0)),"")</f>
        <v/>
      </c>
      <c r="M1978" s="55" t="str">
        <f>IFERROR(IF($G1978="","",VLOOKUP('Dashboard And Emails Automate'!$G1978,Database!$H:$N,7,0)),"")</f>
        <v/>
      </c>
      <c r="N1978" s="55" t="str">
        <f>IFERROR(IF(OR($B1978="",$B1978="(blank)"),"",VLOOKUP($B1978,'Email Marketing Raw Data'!$C:$O,6,0)),"")</f>
        <v/>
      </c>
      <c r="O1978" s="55" t="str">
        <f>IFERROR(IF(OR($B1978="",$B1978="(blank)"),"",VLOOKUP($B1978,'Email Marketing Raw Data'!$C:$O,7,0)),"")</f>
        <v/>
      </c>
      <c r="P1978" s="55" t="str">
        <f>IFERROR(IF(OR($B1978="",$B1978="(blank)"),"",VLOOKUP($B1978,'Email Marketing Raw Data'!$C:$O,8,0)),"")</f>
        <v/>
      </c>
      <c r="Q1978" s="62" t="str">
        <f>IFERROR(IF(OR($B1978="",$B1978="(blank)"),"",VLOOKUP($B1978,'Email Marketing Raw Data'!$C:$O,9,0)),"")</f>
        <v/>
      </c>
    </row>
    <row r="1979" spans="4:17" ht="12.75" customHeight="1" x14ac:dyDescent="0.2">
      <c r="D1979" s="58" t="str">
        <f>IFERROR(IF(F1979&lt;&gt;"pending","",IF(OR($B1979="",$B1979="(blank)"),"",VLOOKUP($B1979,'Email Marketing Raw Data'!$C:$O,10,0))),"")</f>
        <v/>
      </c>
      <c r="E1979" s="59" t="str">
        <f>IFERROR(IF(F1979&lt;&gt;"pending","",IF(OR($B1979="",$B1979="(blank)"),"",VLOOKUP($B1979,'Email Marketing Raw Data'!$C:$O,11,0))),"")</f>
        <v/>
      </c>
      <c r="F1979" s="54" t="str">
        <f>IFERROR(IF(OR($B1979="",$B1979="(blank)"),"",VLOOKUP($B1979,'Email Marketing Raw Data'!$C:$O,13,0)),"")</f>
        <v/>
      </c>
      <c r="G1979" s="55" t="str">
        <f>IFERROR(IF(OR($B1979="",$B1979="(blank)"),"",VLOOKUP($B1979,'Email Marketing Raw Data'!$C:$O,4,0)),"")</f>
        <v/>
      </c>
      <c r="H1979" s="55" t="str">
        <f>IFERROR(IF(OR($B1979="",$B1979="(blank)"),"",VLOOKUP($B1979,'Email Marketing Raw Data'!$C:$O,5,0)),"")</f>
        <v/>
      </c>
      <c r="I1979" s="55" t="str">
        <f>IFERROR(IF($G1979="","",VLOOKUP('Dashboard And Emails Automate'!$G1979,Database!$H:$N,3,0)),"")</f>
        <v/>
      </c>
      <c r="J1979" s="55" t="str">
        <f>IFERROR(IF($G1979="","",VLOOKUP('Dashboard And Emails Automate'!$G1979,Database!$H:$N,4,0)),"")</f>
        <v/>
      </c>
      <c r="K1979" s="55" t="str">
        <f>IFERROR(IF($G1979="","",VLOOKUP('Dashboard And Emails Automate'!$G1979,Database!$H:$N,5,0)),"")</f>
        <v/>
      </c>
      <c r="L1979" s="55" t="str">
        <f>IFERROR(IF($G1979="","",VLOOKUP('Dashboard And Emails Automate'!$G1979,Database!$H:$N,6,0)),"")</f>
        <v/>
      </c>
      <c r="M1979" s="55" t="str">
        <f>IFERROR(IF($G1979="","",VLOOKUP('Dashboard And Emails Automate'!$G1979,Database!$H:$N,7,0)),"")</f>
        <v/>
      </c>
      <c r="N1979" s="55" t="str">
        <f>IFERROR(IF(OR($B1979="",$B1979="(blank)"),"",VLOOKUP($B1979,'Email Marketing Raw Data'!$C:$O,6,0)),"")</f>
        <v/>
      </c>
      <c r="O1979" s="55" t="str">
        <f>IFERROR(IF(OR($B1979="",$B1979="(blank)"),"",VLOOKUP($B1979,'Email Marketing Raw Data'!$C:$O,7,0)),"")</f>
        <v/>
      </c>
      <c r="P1979" s="55" t="str">
        <f>IFERROR(IF(OR($B1979="",$B1979="(blank)"),"",VLOOKUP($B1979,'Email Marketing Raw Data'!$C:$O,8,0)),"")</f>
        <v/>
      </c>
      <c r="Q1979" s="62" t="str">
        <f>IFERROR(IF(OR($B1979="",$B1979="(blank)"),"",VLOOKUP($B1979,'Email Marketing Raw Data'!$C:$O,9,0)),"")</f>
        <v/>
      </c>
    </row>
    <row r="1980" spans="4:17" ht="12.75" customHeight="1" x14ac:dyDescent="0.2">
      <c r="D1980" s="58" t="str">
        <f>IFERROR(IF(F1980&lt;&gt;"pending","",IF(OR($B1980="",$B1980="(blank)"),"",VLOOKUP($B1980,'Email Marketing Raw Data'!$C:$O,10,0))),"")</f>
        <v/>
      </c>
      <c r="E1980" s="59" t="str">
        <f>IFERROR(IF(F1980&lt;&gt;"pending","",IF(OR($B1980="",$B1980="(blank)"),"",VLOOKUP($B1980,'Email Marketing Raw Data'!$C:$O,11,0))),"")</f>
        <v/>
      </c>
      <c r="F1980" s="54" t="str">
        <f>IFERROR(IF(OR($B1980="",$B1980="(blank)"),"",VLOOKUP($B1980,'Email Marketing Raw Data'!$C:$O,13,0)),"")</f>
        <v/>
      </c>
      <c r="G1980" s="55" t="str">
        <f>IFERROR(IF(OR($B1980="",$B1980="(blank)"),"",VLOOKUP($B1980,'Email Marketing Raw Data'!$C:$O,4,0)),"")</f>
        <v/>
      </c>
      <c r="H1980" s="55" t="str">
        <f>IFERROR(IF(OR($B1980="",$B1980="(blank)"),"",VLOOKUP($B1980,'Email Marketing Raw Data'!$C:$O,5,0)),"")</f>
        <v/>
      </c>
      <c r="I1980" s="55" t="str">
        <f>IFERROR(IF($G1980="","",VLOOKUP('Dashboard And Emails Automate'!$G1980,Database!$H:$N,3,0)),"")</f>
        <v/>
      </c>
      <c r="J1980" s="55" t="str">
        <f>IFERROR(IF($G1980="","",VLOOKUP('Dashboard And Emails Automate'!$G1980,Database!$H:$N,4,0)),"")</f>
        <v/>
      </c>
      <c r="K1980" s="55" t="str">
        <f>IFERROR(IF($G1980="","",VLOOKUP('Dashboard And Emails Automate'!$G1980,Database!$H:$N,5,0)),"")</f>
        <v/>
      </c>
      <c r="L1980" s="55" t="str">
        <f>IFERROR(IF($G1980="","",VLOOKUP('Dashboard And Emails Automate'!$G1980,Database!$H:$N,6,0)),"")</f>
        <v/>
      </c>
      <c r="M1980" s="55" t="str">
        <f>IFERROR(IF($G1980="","",VLOOKUP('Dashboard And Emails Automate'!$G1980,Database!$H:$N,7,0)),"")</f>
        <v/>
      </c>
      <c r="N1980" s="55" t="str">
        <f>IFERROR(IF(OR($B1980="",$B1980="(blank)"),"",VLOOKUP($B1980,'Email Marketing Raw Data'!$C:$O,6,0)),"")</f>
        <v/>
      </c>
      <c r="O1980" s="55" t="str">
        <f>IFERROR(IF(OR($B1980="",$B1980="(blank)"),"",VLOOKUP($B1980,'Email Marketing Raw Data'!$C:$O,7,0)),"")</f>
        <v/>
      </c>
      <c r="P1980" s="55" t="str">
        <f>IFERROR(IF(OR($B1980="",$B1980="(blank)"),"",VLOOKUP($B1980,'Email Marketing Raw Data'!$C:$O,8,0)),"")</f>
        <v/>
      </c>
      <c r="Q1980" s="62" t="str">
        <f>IFERROR(IF(OR($B1980="",$B1980="(blank)"),"",VLOOKUP($B1980,'Email Marketing Raw Data'!$C:$O,9,0)),"")</f>
        <v/>
      </c>
    </row>
    <row r="1981" spans="4:17" ht="12.75" customHeight="1" x14ac:dyDescent="0.2">
      <c r="D1981" s="58" t="str">
        <f>IFERROR(IF(F1981&lt;&gt;"pending","",IF(OR($B1981="",$B1981="(blank)"),"",VLOOKUP($B1981,'Email Marketing Raw Data'!$C:$O,10,0))),"")</f>
        <v/>
      </c>
      <c r="E1981" s="59" t="str">
        <f>IFERROR(IF(F1981&lt;&gt;"pending","",IF(OR($B1981="",$B1981="(blank)"),"",VLOOKUP($B1981,'Email Marketing Raw Data'!$C:$O,11,0))),"")</f>
        <v/>
      </c>
      <c r="F1981" s="54" t="str">
        <f>IFERROR(IF(OR($B1981="",$B1981="(blank)"),"",VLOOKUP($B1981,'Email Marketing Raw Data'!$C:$O,13,0)),"")</f>
        <v/>
      </c>
      <c r="G1981" s="55" t="str">
        <f>IFERROR(IF(OR($B1981="",$B1981="(blank)"),"",VLOOKUP($B1981,'Email Marketing Raw Data'!$C:$O,4,0)),"")</f>
        <v/>
      </c>
      <c r="H1981" s="55" t="str">
        <f>IFERROR(IF(OR($B1981="",$B1981="(blank)"),"",VLOOKUP($B1981,'Email Marketing Raw Data'!$C:$O,5,0)),"")</f>
        <v/>
      </c>
      <c r="I1981" s="55" t="str">
        <f>IFERROR(IF($G1981="","",VLOOKUP('Dashboard And Emails Automate'!$G1981,Database!$H:$N,3,0)),"")</f>
        <v/>
      </c>
      <c r="J1981" s="55" t="str">
        <f>IFERROR(IF($G1981="","",VLOOKUP('Dashboard And Emails Automate'!$G1981,Database!$H:$N,4,0)),"")</f>
        <v/>
      </c>
      <c r="K1981" s="55" t="str">
        <f>IFERROR(IF($G1981="","",VLOOKUP('Dashboard And Emails Automate'!$G1981,Database!$H:$N,5,0)),"")</f>
        <v/>
      </c>
      <c r="L1981" s="55" t="str">
        <f>IFERROR(IF($G1981="","",VLOOKUP('Dashboard And Emails Automate'!$G1981,Database!$H:$N,6,0)),"")</f>
        <v/>
      </c>
      <c r="M1981" s="55" t="str">
        <f>IFERROR(IF($G1981="","",VLOOKUP('Dashboard And Emails Automate'!$G1981,Database!$H:$N,7,0)),"")</f>
        <v/>
      </c>
      <c r="N1981" s="55" t="str">
        <f>IFERROR(IF(OR($B1981="",$B1981="(blank)"),"",VLOOKUP($B1981,'Email Marketing Raw Data'!$C:$O,6,0)),"")</f>
        <v/>
      </c>
      <c r="O1981" s="55" t="str">
        <f>IFERROR(IF(OR($B1981="",$B1981="(blank)"),"",VLOOKUP($B1981,'Email Marketing Raw Data'!$C:$O,7,0)),"")</f>
        <v/>
      </c>
      <c r="P1981" s="55" t="str">
        <f>IFERROR(IF(OR($B1981="",$B1981="(blank)"),"",VLOOKUP($B1981,'Email Marketing Raw Data'!$C:$O,8,0)),"")</f>
        <v/>
      </c>
      <c r="Q1981" s="62" t="str">
        <f>IFERROR(IF(OR($B1981="",$B1981="(blank)"),"",VLOOKUP($B1981,'Email Marketing Raw Data'!$C:$O,9,0)),"")</f>
        <v/>
      </c>
    </row>
    <row r="1982" spans="4:17" ht="12.75" customHeight="1" x14ac:dyDescent="0.2">
      <c r="D1982" s="58" t="str">
        <f>IFERROR(IF(F1982&lt;&gt;"pending","",IF(OR($B1982="",$B1982="(blank)"),"",VLOOKUP($B1982,'Email Marketing Raw Data'!$C:$O,10,0))),"")</f>
        <v/>
      </c>
      <c r="E1982" s="59" t="str">
        <f>IFERROR(IF(F1982&lt;&gt;"pending","",IF(OR($B1982="",$B1982="(blank)"),"",VLOOKUP($B1982,'Email Marketing Raw Data'!$C:$O,11,0))),"")</f>
        <v/>
      </c>
      <c r="F1982" s="54" t="str">
        <f>IFERROR(IF(OR($B1982="",$B1982="(blank)"),"",VLOOKUP($B1982,'Email Marketing Raw Data'!$C:$O,13,0)),"")</f>
        <v/>
      </c>
      <c r="G1982" s="55" t="str">
        <f>IFERROR(IF(OR($B1982="",$B1982="(blank)"),"",VLOOKUP($B1982,'Email Marketing Raw Data'!$C:$O,4,0)),"")</f>
        <v/>
      </c>
      <c r="H1982" s="55" t="str">
        <f>IFERROR(IF(OR($B1982="",$B1982="(blank)"),"",VLOOKUP($B1982,'Email Marketing Raw Data'!$C:$O,5,0)),"")</f>
        <v/>
      </c>
      <c r="I1982" s="55" t="str">
        <f>IFERROR(IF($G1982="","",VLOOKUP('Dashboard And Emails Automate'!$G1982,Database!$H:$N,3,0)),"")</f>
        <v/>
      </c>
      <c r="J1982" s="55" t="str">
        <f>IFERROR(IF($G1982="","",VLOOKUP('Dashboard And Emails Automate'!$G1982,Database!$H:$N,4,0)),"")</f>
        <v/>
      </c>
      <c r="K1982" s="55" t="str">
        <f>IFERROR(IF($G1982="","",VLOOKUP('Dashboard And Emails Automate'!$G1982,Database!$H:$N,5,0)),"")</f>
        <v/>
      </c>
      <c r="L1982" s="55" t="str">
        <f>IFERROR(IF($G1982="","",VLOOKUP('Dashboard And Emails Automate'!$G1982,Database!$H:$N,6,0)),"")</f>
        <v/>
      </c>
      <c r="M1982" s="55" t="str">
        <f>IFERROR(IF($G1982="","",VLOOKUP('Dashboard And Emails Automate'!$G1982,Database!$H:$N,7,0)),"")</f>
        <v/>
      </c>
      <c r="N1982" s="55" t="str">
        <f>IFERROR(IF(OR($B1982="",$B1982="(blank)"),"",VLOOKUP($B1982,'Email Marketing Raw Data'!$C:$O,6,0)),"")</f>
        <v/>
      </c>
      <c r="O1982" s="55" t="str">
        <f>IFERROR(IF(OR($B1982="",$B1982="(blank)"),"",VLOOKUP($B1982,'Email Marketing Raw Data'!$C:$O,7,0)),"")</f>
        <v/>
      </c>
      <c r="P1982" s="55" t="str">
        <f>IFERROR(IF(OR($B1982="",$B1982="(blank)"),"",VLOOKUP($B1982,'Email Marketing Raw Data'!$C:$O,8,0)),"")</f>
        <v/>
      </c>
      <c r="Q1982" s="62" t="str">
        <f>IFERROR(IF(OR($B1982="",$B1982="(blank)"),"",VLOOKUP($B1982,'Email Marketing Raw Data'!$C:$O,9,0)),"")</f>
        <v/>
      </c>
    </row>
    <row r="1983" spans="4:17" ht="12.75" customHeight="1" x14ac:dyDescent="0.2">
      <c r="D1983" s="58" t="str">
        <f>IFERROR(IF(F1983&lt;&gt;"pending","",IF(OR($B1983="",$B1983="(blank)"),"",VLOOKUP($B1983,'Email Marketing Raw Data'!$C:$O,10,0))),"")</f>
        <v/>
      </c>
      <c r="E1983" s="59" t="str">
        <f>IFERROR(IF(F1983&lt;&gt;"pending","",IF(OR($B1983="",$B1983="(blank)"),"",VLOOKUP($B1983,'Email Marketing Raw Data'!$C:$O,11,0))),"")</f>
        <v/>
      </c>
      <c r="F1983" s="54" t="str">
        <f>IFERROR(IF(OR($B1983="",$B1983="(blank)"),"",VLOOKUP($B1983,'Email Marketing Raw Data'!$C:$O,13,0)),"")</f>
        <v/>
      </c>
      <c r="G1983" s="55" t="str">
        <f>IFERROR(IF(OR($B1983="",$B1983="(blank)"),"",VLOOKUP($B1983,'Email Marketing Raw Data'!$C:$O,4,0)),"")</f>
        <v/>
      </c>
      <c r="H1983" s="55" t="str">
        <f>IFERROR(IF(OR($B1983="",$B1983="(blank)"),"",VLOOKUP($B1983,'Email Marketing Raw Data'!$C:$O,5,0)),"")</f>
        <v/>
      </c>
      <c r="I1983" s="55" t="str">
        <f>IFERROR(IF($G1983="","",VLOOKUP('Dashboard And Emails Automate'!$G1983,Database!$H:$N,3,0)),"")</f>
        <v/>
      </c>
      <c r="J1983" s="55" t="str">
        <f>IFERROR(IF($G1983="","",VLOOKUP('Dashboard And Emails Automate'!$G1983,Database!$H:$N,4,0)),"")</f>
        <v/>
      </c>
      <c r="K1983" s="55" t="str">
        <f>IFERROR(IF($G1983="","",VLOOKUP('Dashboard And Emails Automate'!$G1983,Database!$H:$N,5,0)),"")</f>
        <v/>
      </c>
      <c r="L1983" s="55" t="str">
        <f>IFERROR(IF($G1983="","",VLOOKUP('Dashboard And Emails Automate'!$G1983,Database!$H:$N,6,0)),"")</f>
        <v/>
      </c>
      <c r="M1983" s="55" t="str">
        <f>IFERROR(IF($G1983="","",VLOOKUP('Dashboard And Emails Automate'!$G1983,Database!$H:$N,7,0)),"")</f>
        <v/>
      </c>
      <c r="N1983" s="55" t="str">
        <f>IFERROR(IF(OR($B1983="",$B1983="(blank)"),"",VLOOKUP($B1983,'Email Marketing Raw Data'!$C:$O,6,0)),"")</f>
        <v/>
      </c>
      <c r="O1983" s="55" t="str">
        <f>IFERROR(IF(OR($B1983="",$B1983="(blank)"),"",VLOOKUP($B1983,'Email Marketing Raw Data'!$C:$O,7,0)),"")</f>
        <v/>
      </c>
      <c r="P1983" s="55" t="str">
        <f>IFERROR(IF(OR($B1983="",$B1983="(blank)"),"",VLOOKUP($B1983,'Email Marketing Raw Data'!$C:$O,8,0)),"")</f>
        <v/>
      </c>
      <c r="Q1983" s="62" t="str">
        <f>IFERROR(IF(OR($B1983="",$B1983="(blank)"),"",VLOOKUP($B1983,'Email Marketing Raw Data'!$C:$O,9,0)),"")</f>
        <v/>
      </c>
    </row>
    <row r="1984" spans="4:17" ht="12.75" customHeight="1" x14ac:dyDescent="0.2">
      <c r="D1984" s="58" t="str">
        <f>IFERROR(IF(F1984&lt;&gt;"pending","",IF(OR($B1984="",$B1984="(blank)"),"",VLOOKUP($B1984,'Email Marketing Raw Data'!$C:$O,10,0))),"")</f>
        <v/>
      </c>
      <c r="E1984" s="59" t="str">
        <f>IFERROR(IF(F1984&lt;&gt;"pending","",IF(OR($B1984="",$B1984="(blank)"),"",VLOOKUP($B1984,'Email Marketing Raw Data'!$C:$O,11,0))),"")</f>
        <v/>
      </c>
      <c r="F1984" s="54" t="str">
        <f>IFERROR(IF(OR($B1984="",$B1984="(blank)"),"",VLOOKUP($B1984,'Email Marketing Raw Data'!$C:$O,13,0)),"")</f>
        <v/>
      </c>
      <c r="G1984" s="55" t="str">
        <f>IFERROR(IF(OR($B1984="",$B1984="(blank)"),"",VLOOKUP($B1984,'Email Marketing Raw Data'!$C:$O,4,0)),"")</f>
        <v/>
      </c>
      <c r="H1984" s="55" t="str">
        <f>IFERROR(IF(OR($B1984="",$B1984="(blank)"),"",VLOOKUP($B1984,'Email Marketing Raw Data'!$C:$O,5,0)),"")</f>
        <v/>
      </c>
      <c r="I1984" s="55" t="str">
        <f>IFERROR(IF($G1984="","",VLOOKUP('Dashboard And Emails Automate'!$G1984,Database!$H:$N,3,0)),"")</f>
        <v/>
      </c>
      <c r="J1984" s="55" t="str">
        <f>IFERROR(IF($G1984="","",VLOOKUP('Dashboard And Emails Automate'!$G1984,Database!$H:$N,4,0)),"")</f>
        <v/>
      </c>
      <c r="K1984" s="55" t="str">
        <f>IFERROR(IF($G1984="","",VLOOKUP('Dashboard And Emails Automate'!$G1984,Database!$H:$N,5,0)),"")</f>
        <v/>
      </c>
      <c r="L1984" s="55" t="str">
        <f>IFERROR(IF($G1984="","",VLOOKUP('Dashboard And Emails Automate'!$G1984,Database!$H:$N,6,0)),"")</f>
        <v/>
      </c>
      <c r="M1984" s="55" t="str">
        <f>IFERROR(IF($G1984="","",VLOOKUP('Dashboard And Emails Automate'!$G1984,Database!$H:$N,7,0)),"")</f>
        <v/>
      </c>
      <c r="N1984" s="55" t="str">
        <f>IFERROR(IF(OR($B1984="",$B1984="(blank)"),"",VLOOKUP($B1984,'Email Marketing Raw Data'!$C:$O,6,0)),"")</f>
        <v/>
      </c>
      <c r="O1984" s="55" t="str">
        <f>IFERROR(IF(OR($B1984="",$B1984="(blank)"),"",VLOOKUP($B1984,'Email Marketing Raw Data'!$C:$O,7,0)),"")</f>
        <v/>
      </c>
      <c r="P1984" s="55" t="str">
        <f>IFERROR(IF(OR($B1984="",$B1984="(blank)"),"",VLOOKUP($B1984,'Email Marketing Raw Data'!$C:$O,8,0)),"")</f>
        <v/>
      </c>
      <c r="Q1984" s="62" t="str">
        <f>IFERROR(IF(OR($B1984="",$B1984="(blank)"),"",VLOOKUP($B1984,'Email Marketing Raw Data'!$C:$O,9,0)),"")</f>
        <v/>
      </c>
    </row>
    <row r="1985" spans="4:17" ht="12.75" customHeight="1" x14ac:dyDescent="0.2">
      <c r="D1985" s="58" t="str">
        <f>IFERROR(IF(F1985&lt;&gt;"pending","",IF(OR($B1985="",$B1985="(blank)"),"",VLOOKUP($B1985,'Email Marketing Raw Data'!$C:$O,10,0))),"")</f>
        <v/>
      </c>
      <c r="E1985" s="59" t="str">
        <f>IFERROR(IF(F1985&lt;&gt;"pending","",IF(OR($B1985="",$B1985="(blank)"),"",VLOOKUP($B1985,'Email Marketing Raw Data'!$C:$O,11,0))),"")</f>
        <v/>
      </c>
      <c r="F1985" s="54" t="str">
        <f>IFERROR(IF(OR($B1985="",$B1985="(blank)"),"",VLOOKUP($B1985,'Email Marketing Raw Data'!$C:$O,13,0)),"")</f>
        <v/>
      </c>
      <c r="G1985" s="55" t="str">
        <f>IFERROR(IF(OR($B1985="",$B1985="(blank)"),"",VLOOKUP($B1985,'Email Marketing Raw Data'!$C:$O,4,0)),"")</f>
        <v/>
      </c>
      <c r="H1985" s="55" t="str">
        <f>IFERROR(IF(OR($B1985="",$B1985="(blank)"),"",VLOOKUP($B1985,'Email Marketing Raw Data'!$C:$O,5,0)),"")</f>
        <v/>
      </c>
      <c r="I1985" s="55" t="str">
        <f>IFERROR(IF($G1985="","",VLOOKUP('Dashboard And Emails Automate'!$G1985,Database!$H:$N,3,0)),"")</f>
        <v/>
      </c>
      <c r="J1985" s="55" t="str">
        <f>IFERROR(IF($G1985="","",VLOOKUP('Dashboard And Emails Automate'!$G1985,Database!$H:$N,4,0)),"")</f>
        <v/>
      </c>
      <c r="K1985" s="55" t="str">
        <f>IFERROR(IF($G1985="","",VLOOKUP('Dashboard And Emails Automate'!$G1985,Database!$H:$N,5,0)),"")</f>
        <v/>
      </c>
      <c r="L1985" s="55" t="str">
        <f>IFERROR(IF($G1985="","",VLOOKUP('Dashboard And Emails Automate'!$G1985,Database!$H:$N,6,0)),"")</f>
        <v/>
      </c>
      <c r="M1985" s="55" t="str">
        <f>IFERROR(IF($G1985="","",VLOOKUP('Dashboard And Emails Automate'!$G1985,Database!$H:$N,7,0)),"")</f>
        <v/>
      </c>
      <c r="N1985" s="55" t="str">
        <f>IFERROR(IF(OR($B1985="",$B1985="(blank)"),"",VLOOKUP($B1985,'Email Marketing Raw Data'!$C:$O,6,0)),"")</f>
        <v/>
      </c>
      <c r="O1985" s="55" t="str">
        <f>IFERROR(IF(OR($B1985="",$B1985="(blank)"),"",VLOOKUP($B1985,'Email Marketing Raw Data'!$C:$O,7,0)),"")</f>
        <v/>
      </c>
      <c r="P1985" s="55" t="str">
        <f>IFERROR(IF(OR($B1985="",$B1985="(blank)"),"",VLOOKUP($B1985,'Email Marketing Raw Data'!$C:$O,8,0)),"")</f>
        <v/>
      </c>
      <c r="Q1985" s="62" t="str">
        <f>IFERROR(IF(OR($B1985="",$B1985="(blank)"),"",VLOOKUP($B1985,'Email Marketing Raw Data'!$C:$O,9,0)),"")</f>
        <v/>
      </c>
    </row>
    <row r="1986" spans="4:17" ht="12.75" customHeight="1" x14ac:dyDescent="0.2">
      <c r="D1986" s="58" t="str">
        <f>IFERROR(IF(F1986&lt;&gt;"pending","",IF(OR($B1986="",$B1986="(blank)"),"",VLOOKUP($B1986,'Email Marketing Raw Data'!$C:$O,10,0))),"")</f>
        <v/>
      </c>
      <c r="E1986" s="59" t="str">
        <f>IFERROR(IF(F1986&lt;&gt;"pending","",IF(OR($B1986="",$B1986="(blank)"),"",VLOOKUP($B1986,'Email Marketing Raw Data'!$C:$O,11,0))),"")</f>
        <v/>
      </c>
      <c r="F1986" s="54" t="str">
        <f>IFERROR(IF(OR($B1986="",$B1986="(blank)"),"",VLOOKUP($B1986,'Email Marketing Raw Data'!$C:$O,13,0)),"")</f>
        <v/>
      </c>
      <c r="G1986" s="55" t="str">
        <f>IFERROR(IF(OR($B1986="",$B1986="(blank)"),"",VLOOKUP($B1986,'Email Marketing Raw Data'!$C:$O,4,0)),"")</f>
        <v/>
      </c>
      <c r="H1986" s="55" t="str">
        <f>IFERROR(IF(OR($B1986="",$B1986="(blank)"),"",VLOOKUP($B1986,'Email Marketing Raw Data'!$C:$O,5,0)),"")</f>
        <v/>
      </c>
      <c r="I1986" s="55" t="str">
        <f>IFERROR(IF($G1986="","",VLOOKUP('Dashboard And Emails Automate'!$G1986,Database!$H:$N,3,0)),"")</f>
        <v/>
      </c>
      <c r="J1986" s="55" t="str">
        <f>IFERROR(IF($G1986="","",VLOOKUP('Dashboard And Emails Automate'!$G1986,Database!$H:$N,4,0)),"")</f>
        <v/>
      </c>
      <c r="K1986" s="55" t="str">
        <f>IFERROR(IF($G1986="","",VLOOKUP('Dashboard And Emails Automate'!$G1986,Database!$H:$N,5,0)),"")</f>
        <v/>
      </c>
      <c r="L1986" s="55" t="str">
        <f>IFERROR(IF($G1986="","",VLOOKUP('Dashboard And Emails Automate'!$G1986,Database!$H:$N,6,0)),"")</f>
        <v/>
      </c>
      <c r="M1986" s="55" t="str">
        <f>IFERROR(IF($G1986="","",VLOOKUP('Dashboard And Emails Automate'!$G1986,Database!$H:$N,7,0)),"")</f>
        <v/>
      </c>
      <c r="N1986" s="55" t="str">
        <f>IFERROR(IF(OR($B1986="",$B1986="(blank)"),"",VLOOKUP($B1986,'Email Marketing Raw Data'!$C:$O,6,0)),"")</f>
        <v/>
      </c>
      <c r="O1986" s="55" t="str">
        <f>IFERROR(IF(OR($B1986="",$B1986="(blank)"),"",VLOOKUP($B1986,'Email Marketing Raw Data'!$C:$O,7,0)),"")</f>
        <v/>
      </c>
      <c r="P1986" s="55" t="str">
        <f>IFERROR(IF(OR($B1986="",$B1986="(blank)"),"",VLOOKUP($B1986,'Email Marketing Raw Data'!$C:$O,8,0)),"")</f>
        <v/>
      </c>
      <c r="Q1986" s="62" t="str">
        <f>IFERROR(IF(OR($B1986="",$B1986="(blank)"),"",VLOOKUP($B1986,'Email Marketing Raw Data'!$C:$O,9,0)),"")</f>
        <v/>
      </c>
    </row>
    <row r="1987" spans="4:17" ht="12.75" customHeight="1" x14ac:dyDescent="0.2">
      <c r="D1987" s="58" t="str">
        <f>IFERROR(IF(F1987&lt;&gt;"pending","",IF(OR($B1987="",$B1987="(blank)"),"",VLOOKUP($B1987,'Email Marketing Raw Data'!$C:$O,10,0))),"")</f>
        <v/>
      </c>
      <c r="E1987" s="59" t="str">
        <f>IFERROR(IF(F1987&lt;&gt;"pending","",IF(OR($B1987="",$B1987="(blank)"),"",VLOOKUP($B1987,'Email Marketing Raw Data'!$C:$O,11,0))),"")</f>
        <v/>
      </c>
      <c r="F1987" s="54" t="str">
        <f>IFERROR(IF(OR($B1987="",$B1987="(blank)"),"",VLOOKUP($B1987,'Email Marketing Raw Data'!$C:$O,13,0)),"")</f>
        <v/>
      </c>
      <c r="G1987" s="55" t="str">
        <f>IFERROR(IF(OR($B1987="",$B1987="(blank)"),"",VLOOKUP($B1987,'Email Marketing Raw Data'!$C:$O,4,0)),"")</f>
        <v/>
      </c>
      <c r="H1987" s="55" t="str">
        <f>IFERROR(IF(OR($B1987="",$B1987="(blank)"),"",VLOOKUP($B1987,'Email Marketing Raw Data'!$C:$O,5,0)),"")</f>
        <v/>
      </c>
      <c r="I1987" s="55" t="str">
        <f>IFERROR(IF($G1987="","",VLOOKUP('Dashboard And Emails Automate'!$G1987,Database!$H:$N,3,0)),"")</f>
        <v/>
      </c>
      <c r="J1987" s="55" t="str">
        <f>IFERROR(IF($G1987="","",VLOOKUP('Dashboard And Emails Automate'!$G1987,Database!$H:$N,4,0)),"")</f>
        <v/>
      </c>
      <c r="K1987" s="55" t="str">
        <f>IFERROR(IF($G1987="","",VLOOKUP('Dashboard And Emails Automate'!$G1987,Database!$H:$N,5,0)),"")</f>
        <v/>
      </c>
      <c r="L1987" s="55" t="str">
        <f>IFERROR(IF($G1987="","",VLOOKUP('Dashboard And Emails Automate'!$G1987,Database!$H:$N,6,0)),"")</f>
        <v/>
      </c>
      <c r="M1987" s="55" t="str">
        <f>IFERROR(IF($G1987="","",VLOOKUP('Dashboard And Emails Automate'!$G1987,Database!$H:$N,7,0)),"")</f>
        <v/>
      </c>
      <c r="N1987" s="55" t="str">
        <f>IFERROR(IF(OR($B1987="",$B1987="(blank)"),"",VLOOKUP($B1987,'Email Marketing Raw Data'!$C:$O,6,0)),"")</f>
        <v/>
      </c>
      <c r="O1987" s="55" t="str">
        <f>IFERROR(IF(OR($B1987="",$B1987="(blank)"),"",VLOOKUP($B1987,'Email Marketing Raw Data'!$C:$O,7,0)),"")</f>
        <v/>
      </c>
      <c r="P1987" s="55" t="str">
        <f>IFERROR(IF(OR($B1987="",$B1987="(blank)"),"",VLOOKUP($B1987,'Email Marketing Raw Data'!$C:$O,8,0)),"")</f>
        <v/>
      </c>
      <c r="Q1987" s="62" t="str">
        <f>IFERROR(IF(OR($B1987="",$B1987="(blank)"),"",VLOOKUP($B1987,'Email Marketing Raw Data'!$C:$O,9,0)),"")</f>
        <v/>
      </c>
    </row>
    <row r="1988" spans="4:17" ht="12.75" customHeight="1" x14ac:dyDescent="0.2">
      <c r="D1988" s="58" t="str">
        <f>IFERROR(IF(F1988&lt;&gt;"pending","",IF(OR($B1988="",$B1988="(blank)"),"",VLOOKUP($B1988,'Email Marketing Raw Data'!$C:$O,10,0))),"")</f>
        <v/>
      </c>
      <c r="E1988" s="59" t="str">
        <f>IFERROR(IF(F1988&lt;&gt;"pending","",IF(OR($B1988="",$B1988="(blank)"),"",VLOOKUP($B1988,'Email Marketing Raw Data'!$C:$O,11,0))),"")</f>
        <v/>
      </c>
      <c r="F1988" s="54" t="str">
        <f>IFERROR(IF(OR($B1988="",$B1988="(blank)"),"",VLOOKUP($B1988,'Email Marketing Raw Data'!$C:$O,13,0)),"")</f>
        <v/>
      </c>
      <c r="G1988" s="55" t="str">
        <f>IFERROR(IF(OR($B1988="",$B1988="(blank)"),"",VLOOKUP($B1988,'Email Marketing Raw Data'!$C:$O,4,0)),"")</f>
        <v/>
      </c>
      <c r="H1988" s="55" t="str">
        <f>IFERROR(IF(OR($B1988="",$B1988="(blank)"),"",VLOOKUP($B1988,'Email Marketing Raw Data'!$C:$O,5,0)),"")</f>
        <v/>
      </c>
      <c r="I1988" s="55" t="str">
        <f>IFERROR(IF($G1988="","",VLOOKUP('Dashboard And Emails Automate'!$G1988,Database!$H:$N,3,0)),"")</f>
        <v/>
      </c>
      <c r="J1988" s="55" t="str">
        <f>IFERROR(IF($G1988="","",VLOOKUP('Dashboard And Emails Automate'!$G1988,Database!$H:$N,4,0)),"")</f>
        <v/>
      </c>
      <c r="K1988" s="55" t="str">
        <f>IFERROR(IF($G1988="","",VLOOKUP('Dashboard And Emails Automate'!$G1988,Database!$H:$N,5,0)),"")</f>
        <v/>
      </c>
      <c r="L1988" s="55" t="str">
        <f>IFERROR(IF($G1988="","",VLOOKUP('Dashboard And Emails Automate'!$G1988,Database!$H:$N,6,0)),"")</f>
        <v/>
      </c>
      <c r="M1988" s="55" t="str">
        <f>IFERROR(IF($G1988="","",VLOOKUP('Dashboard And Emails Automate'!$G1988,Database!$H:$N,7,0)),"")</f>
        <v/>
      </c>
      <c r="N1988" s="55" t="str">
        <f>IFERROR(IF(OR($B1988="",$B1988="(blank)"),"",VLOOKUP($B1988,'Email Marketing Raw Data'!$C:$O,6,0)),"")</f>
        <v/>
      </c>
      <c r="O1988" s="55" t="str">
        <f>IFERROR(IF(OR($B1988="",$B1988="(blank)"),"",VLOOKUP($B1988,'Email Marketing Raw Data'!$C:$O,7,0)),"")</f>
        <v/>
      </c>
      <c r="P1988" s="55" t="str">
        <f>IFERROR(IF(OR($B1988="",$B1988="(blank)"),"",VLOOKUP($B1988,'Email Marketing Raw Data'!$C:$O,8,0)),"")</f>
        <v/>
      </c>
      <c r="Q1988" s="62" t="str">
        <f>IFERROR(IF(OR($B1988="",$B1988="(blank)"),"",VLOOKUP($B1988,'Email Marketing Raw Data'!$C:$O,9,0)),"")</f>
        <v/>
      </c>
    </row>
    <row r="1989" spans="4:17" ht="12.75" customHeight="1" x14ac:dyDescent="0.2">
      <c r="D1989" s="58" t="str">
        <f>IFERROR(IF(F1989&lt;&gt;"pending","",IF(OR($B1989="",$B1989="(blank)"),"",VLOOKUP($B1989,'Email Marketing Raw Data'!$C:$O,10,0))),"")</f>
        <v/>
      </c>
      <c r="E1989" s="59" t="str">
        <f>IFERROR(IF(F1989&lt;&gt;"pending","",IF(OR($B1989="",$B1989="(blank)"),"",VLOOKUP($B1989,'Email Marketing Raw Data'!$C:$O,11,0))),"")</f>
        <v/>
      </c>
      <c r="F1989" s="54" t="str">
        <f>IFERROR(IF(OR($B1989="",$B1989="(blank)"),"",VLOOKUP($B1989,'Email Marketing Raw Data'!$C:$O,13,0)),"")</f>
        <v/>
      </c>
      <c r="G1989" s="55" t="str">
        <f>IFERROR(IF(OR($B1989="",$B1989="(blank)"),"",VLOOKUP($B1989,'Email Marketing Raw Data'!$C:$O,4,0)),"")</f>
        <v/>
      </c>
      <c r="H1989" s="55" t="str">
        <f>IFERROR(IF(OR($B1989="",$B1989="(blank)"),"",VLOOKUP($B1989,'Email Marketing Raw Data'!$C:$O,5,0)),"")</f>
        <v/>
      </c>
      <c r="I1989" s="55" t="str">
        <f>IFERROR(IF($G1989="","",VLOOKUP('Dashboard And Emails Automate'!$G1989,Database!$H:$N,3,0)),"")</f>
        <v/>
      </c>
      <c r="J1989" s="55" t="str">
        <f>IFERROR(IF($G1989="","",VLOOKUP('Dashboard And Emails Automate'!$G1989,Database!$H:$N,4,0)),"")</f>
        <v/>
      </c>
      <c r="K1989" s="55" t="str">
        <f>IFERROR(IF($G1989="","",VLOOKUP('Dashboard And Emails Automate'!$G1989,Database!$H:$N,5,0)),"")</f>
        <v/>
      </c>
      <c r="L1989" s="55" t="str">
        <f>IFERROR(IF($G1989="","",VLOOKUP('Dashboard And Emails Automate'!$G1989,Database!$H:$N,6,0)),"")</f>
        <v/>
      </c>
      <c r="M1989" s="55" t="str">
        <f>IFERROR(IF($G1989="","",VLOOKUP('Dashboard And Emails Automate'!$G1989,Database!$H:$N,7,0)),"")</f>
        <v/>
      </c>
      <c r="N1989" s="55" t="str">
        <f>IFERROR(IF(OR($B1989="",$B1989="(blank)"),"",VLOOKUP($B1989,'Email Marketing Raw Data'!$C:$O,6,0)),"")</f>
        <v/>
      </c>
      <c r="O1989" s="55" t="str">
        <f>IFERROR(IF(OR($B1989="",$B1989="(blank)"),"",VLOOKUP($B1989,'Email Marketing Raw Data'!$C:$O,7,0)),"")</f>
        <v/>
      </c>
      <c r="P1989" s="55" t="str">
        <f>IFERROR(IF(OR($B1989="",$B1989="(blank)"),"",VLOOKUP($B1989,'Email Marketing Raw Data'!$C:$O,8,0)),"")</f>
        <v/>
      </c>
      <c r="Q1989" s="62" t="str">
        <f>IFERROR(IF(OR($B1989="",$B1989="(blank)"),"",VLOOKUP($B1989,'Email Marketing Raw Data'!$C:$O,9,0)),"")</f>
        <v/>
      </c>
    </row>
    <row r="1990" spans="4:17" ht="12.75" customHeight="1" x14ac:dyDescent="0.2">
      <c r="D1990" s="58" t="str">
        <f>IFERROR(IF(F1990&lt;&gt;"pending","",IF(OR($B1990="",$B1990="(blank)"),"",VLOOKUP($B1990,'Email Marketing Raw Data'!$C:$O,10,0))),"")</f>
        <v/>
      </c>
      <c r="E1990" s="59" t="str">
        <f>IFERROR(IF(F1990&lt;&gt;"pending","",IF(OR($B1990="",$B1990="(blank)"),"",VLOOKUP($B1990,'Email Marketing Raw Data'!$C:$O,11,0))),"")</f>
        <v/>
      </c>
      <c r="F1990" s="54" t="str">
        <f>IFERROR(IF(OR($B1990="",$B1990="(blank)"),"",VLOOKUP($B1990,'Email Marketing Raw Data'!$C:$O,13,0)),"")</f>
        <v/>
      </c>
      <c r="G1990" s="55" t="str">
        <f>IFERROR(IF(OR($B1990="",$B1990="(blank)"),"",VLOOKUP($B1990,'Email Marketing Raw Data'!$C:$O,4,0)),"")</f>
        <v/>
      </c>
      <c r="H1990" s="55" t="str">
        <f>IFERROR(IF(OR($B1990="",$B1990="(blank)"),"",VLOOKUP($B1990,'Email Marketing Raw Data'!$C:$O,5,0)),"")</f>
        <v/>
      </c>
      <c r="I1990" s="55" t="str">
        <f>IFERROR(IF($G1990="","",VLOOKUP('Dashboard And Emails Automate'!$G1990,Database!$H:$N,3,0)),"")</f>
        <v/>
      </c>
      <c r="J1990" s="55" t="str">
        <f>IFERROR(IF($G1990="","",VLOOKUP('Dashboard And Emails Automate'!$G1990,Database!$H:$N,4,0)),"")</f>
        <v/>
      </c>
      <c r="K1990" s="55" t="str">
        <f>IFERROR(IF($G1990="","",VLOOKUP('Dashboard And Emails Automate'!$G1990,Database!$H:$N,5,0)),"")</f>
        <v/>
      </c>
      <c r="L1990" s="55" t="str">
        <f>IFERROR(IF($G1990="","",VLOOKUP('Dashboard And Emails Automate'!$G1990,Database!$H:$N,6,0)),"")</f>
        <v/>
      </c>
      <c r="M1990" s="55" t="str">
        <f>IFERROR(IF($G1990="","",VLOOKUP('Dashboard And Emails Automate'!$G1990,Database!$H:$N,7,0)),"")</f>
        <v/>
      </c>
      <c r="N1990" s="55" t="str">
        <f>IFERROR(IF(OR($B1990="",$B1990="(blank)"),"",VLOOKUP($B1990,'Email Marketing Raw Data'!$C:$O,6,0)),"")</f>
        <v/>
      </c>
      <c r="O1990" s="55" t="str">
        <f>IFERROR(IF(OR($B1990="",$B1990="(blank)"),"",VLOOKUP($B1990,'Email Marketing Raw Data'!$C:$O,7,0)),"")</f>
        <v/>
      </c>
      <c r="P1990" s="55" t="str">
        <f>IFERROR(IF(OR($B1990="",$B1990="(blank)"),"",VLOOKUP($B1990,'Email Marketing Raw Data'!$C:$O,8,0)),"")</f>
        <v/>
      </c>
      <c r="Q1990" s="62" t="str">
        <f>IFERROR(IF(OR($B1990="",$B1990="(blank)"),"",VLOOKUP($B1990,'Email Marketing Raw Data'!$C:$O,9,0)),"")</f>
        <v/>
      </c>
    </row>
    <row r="1991" spans="4:17" ht="12.75" customHeight="1" x14ac:dyDescent="0.2">
      <c r="D1991" s="58" t="str">
        <f>IFERROR(IF(F1991&lt;&gt;"pending","",IF(OR($B1991="",$B1991="(blank)"),"",VLOOKUP($B1991,'Email Marketing Raw Data'!$C:$O,10,0))),"")</f>
        <v/>
      </c>
      <c r="E1991" s="59" t="str">
        <f>IFERROR(IF(F1991&lt;&gt;"pending","",IF(OR($B1991="",$B1991="(blank)"),"",VLOOKUP($B1991,'Email Marketing Raw Data'!$C:$O,11,0))),"")</f>
        <v/>
      </c>
      <c r="F1991" s="54" t="str">
        <f>IFERROR(IF(OR($B1991="",$B1991="(blank)"),"",VLOOKUP($B1991,'Email Marketing Raw Data'!$C:$O,13,0)),"")</f>
        <v/>
      </c>
      <c r="G1991" s="55" t="str">
        <f>IFERROR(IF(OR($B1991="",$B1991="(blank)"),"",VLOOKUP($B1991,'Email Marketing Raw Data'!$C:$O,4,0)),"")</f>
        <v/>
      </c>
      <c r="H1991" s="55" t="str">
        <f>IFERROR(IF(OR($B1991="",$B1991="(blank)"),"",VLOOKUP($B1991,'Email Marketing Raw Data'!$C:$O,5,0)),"")</f>
        <v/>
      </c>
      <c r="I1991" s="55" t="str">
        <f>IFERROR(IF($G1991="","",VLOOKUP('Dashboard And Emails Automate'!$G1991,Database!$H:$N,3,0)),"")</f>
        <v/>
      </c>
      <c r="J1991" s="55" t="str">
        <f>IFERROR(IF($G1991="","",VLOOKUP('Dashboard And Emails Automate'!$G1991,Database!$H:$N,4,0)),"")</f>
        <v/>
      </c>
      <c r="K1991" s="55" t="str">
        <f>IFERROR(IF($G1991="","",VLOOKUP('Dashboard And Emails Automate'!$G1991,Database!$H:$N,5,0)),"")</f>
        <v/>
      </c>
      <c r="L1991" s="55" t="str">
        <f>IFERROR(IF($G1991="","",VLOOKUP('Dashboard And Emails Automate'!$G1991,Database!$H:$N,6,0)),"")</f>
        <v/>
      </c>
      <c r="M1991" s="55" t="str">
        <f>IFERROR(IF($G1991="","",VLOOKUP('Dashboard And Emails Automate'!$G1991,Database!$H:$N,7,0)),"")</f>
        <v/>
      </c>
      <c r="N1991" s="55" t="str">
        <f>IFERROR(IF(OR($B1991="",$B1991="(blank)"),"",VLOOKUP($B1991,'Email Marketing Raw Data'!$C:$O,6,0)),"")</f>
        <v/>
      </c>
      <c r="O1991" s="55" t="str">
        <f>IFERROR(IF(OR($B1991="",$B1991="(blank)"),"",VLOOKUP($B1991,'Email Marketing Raw Data'!$C:$O,7,0)),"")</f>
        <v/>
      </c>
      <c r="P1991" s="55" t="str">
        <f>IFERROR(IF(OR($B1991="",$B1991="(blank)"),"",VLOOKUP($B1991,'Email Marketing Raw Data'!$C:$O,8,0)),"")</f>
        <v/>
      </c>
      <c r="Q1991" s="62" t="str">
        <f>IFERROR(IF(OR($B1991="",$B1991="(blank)"),"",VLOOKUP($B1991,'Email Marketing Raw Data'!$C:$O,9,0)),"")</f>
        <v/>
      </c>
    </row>
    <row r="1992" spans="4:17" ht="12.75" customHeight="1" x14ac:dyDescent="0.2">
      <c r="D1992" s="58" t="str">
        <f>IFERROR(IF(F1992&lt;&gt;"pending","",IF(OR($B1992="",$B1992="(blank)"),"",VLOOKUP($B1992,'Email Marketing Raw Data'!$C:$O,10,0))),"")</f>
        <v/>
      </c>
      <c r="E1992" s="59" t="str">
        <f>IFERROR(IF(F1992&lt;&gt;"pending","",IF(OR($B1992="",$B1992="(blank)"),"",VLOOKUP($B1992,'Email Marketing Raw Data'!$C:$O,11,0))),"")</f>
        <v/>
      </c>
      <c r="F1992" s="54" t="str">
        <f>IFERROR(IF(OR($B1992="",$B1992="(blank)"),"",VLOOKUP($B1992,'Email Marketing Raw Data'!$C:$O,13,0)),"")</f>
        <v/>
      </c>
      <c r="G1992" s="55" t="str">
        <f>IFERROR(IF(OR($B1992="",$B1992="(blank)"),"",VLOOKUP($B1992,'Email Marketing Raw Data'!$C:$O,4,0)),"")</f>
        <v/>
      </c>
      <c r="H1992" s="55" t="str">
        <f>IFERROR(IF(OR($B1992="",$B1992="(blank)"),"",VLOOKUP($B1992,'Email Marketing Raw Data'!$C:$O,5,0)),"")</f>
        <v/>
      </c>
      <c r="I1992" s="55" t="str">
        <f>IFERROR(IF($G1992="","",VLOOKUP('Dashboard And Emails Automate'!$G1992,Database!$H:$N,3,0)),"")</f>
        <v/>
      </c>
      <c r="J1992" s="55" t="str">
        <f>IFERROR(IF($G1992="","",VLOOKUP('Dashboard And Emails Automate'!$G1992,Database!$H:$N,4,0)),"")</f>
        <v/>
      </c>
      <c r="K1992" s="55" t="str">
        <f>IFERROR(IF($G1992="","",VLOOKUP('Dashboard And Emails Automate'!$G1992,Database!$H:$N,5,0)),"")</f>
        <v/>
      </c>
      <c r="L1992" s="55" t="str">
        <f>IFERROR(IF($G1992="","",VLOOKUP('Dashboard And Emails Automate'!$G1992,Database!$H:$N,6,0)),"")</f>
        <v/>
      </c>
      <c r="M1992" s="55" t="str">
        <f>IFERROR(IF($G1992="","",VLOOKUP('Dashboard And Emails Automate'!$G1992,Database!$H:$N,7,0)),"")</f>
        <v/>
      </c>
      <c r="N1992" s="55" t="str">
        <f>IFERROR(IF(OR($B1992="",$B1992="(blank)"),"",VLOOKUP($B1992,'Email Marketing Raw Data'!$C:$O,6,0)),"")</f>
        <v/>
      </c>
      <c r="O1992" s="55" t="str">
        <f>IFERROR(IF(OR($B1992="",$B1992="(blank)"),"",VLOOKUP($B1992,'Email Marketing Raw Data'!$C:$O,7,0)),"")</f>
        <v/>
      </c>
      <c r="P1992" s="55" t="str">
        <f>IFERROR(IF(OR($B1992="",$B1992="(blank)"),"",VLOOKUP($B1992,'Email Marketing Raw Data'!$C:$O,8,0)),"")</f>
        <v/>
      </c>
      <c r="Q1992" s="62" t="str">
        <f>IFERROR(IF(OR($B1992="",$B1992="(blank)"),"",VLOOKUP($B1992,'Email Marketing Raw Data'!$C:$O,9,0)),"")</f>
        <v/>
      </c>
    </row>
    <row r="1993" spans="4:17" ht="12.75" customHeight="1" x14ac:dyDescent="0.2">
      <c r="D1993" s="58" t="str">
        <f>IFERROR(IF(F1993&lt;&gt;"pending","",IF(OR($B1993="",$B1993="(blank)"),"",VLOOKUP($B1993,'Email Marketing Raw Data'!$C:$O,10,0))),"")</f>
        <v/>
      </c>
      <c r="E1993" s="59" t="str">
        <f>IFERROR(IF(F1993&lt;&gt;"pending","",IF(OR($B1993="",$B1993="(blank)"),"",VLOOKUP($B1993,'Email Marketing Raw Data'!$C:$O,11,0))),"")</f>
        <v/>
      </c>
      <c r="F1993" s="54" t="str">
        <f>IFERROR(IF(OR($B1993="",$B1993="(blank)"),"",VLOOKUP($B1993,'Email Marketing Raw Data'!$C:$O,13,0)),"")</f>
        <v/>
      </c>
      <c r="G1993" s="55" t="str">
        <f>IFERROR(IF(OR($B1993="",$B1993="(blank)"),"",VLOOKUP($B1993,'Email Marketing Raw Data'!$C:$O,4,0)),"")</f>
        <v/>
      </c>
      <c r="H1993" s="55" t="str">
        <f>IFERROR(IF(OR($B1993="",$B1993="(blank)"),"",VLOOKUP($B1993,'Email Marketing Raw Data'!$C:$O,5,0)),"")</f>
        <v/>
      </c>
      <c r="I1993" s="55" t="str">
        <f>IFERROR(IF($G1993="","",VLOOKUP('Dashboard And Emails Automate'!$G1993,Database!$H:$N,3,0)),"")</f>
        <v/>
      </c>
      <c r="J1993" s="55" t="str">
        <f>IFERROR(IF($G1993="","",VLOOKUP('Dashboard And Emails Automate'!$G1993,Database!$H:$N,4,0)),"")</f>
        <v/>
      </c>
      <c r="K1993" s="55" t="str">
        <f>IFERROR(IF($G1993="","",VLOOKUP('Dashboard And Emails Automate'!$G1993,Database!$H:$N,5,0)),"")</f>
        <v/>
      </c>
      <c r="L1993" s="55" t="str">
        <f>IFERROR(IF($G1993="","",VLOOKUP('Dashboard And Emails Automate'!$G1993,Database!$H:$N,6,0)),"")</f>
        <v/>
      </c>
      <c r="M1993" s="55" t="str">
        <f>IFERROR(IF($G1993="","",VLOOKUP('Dashboard And Emails Automate'!$G1993,Database!$H:$N,7,0)),"")</f>
        <v/>
      </c>
      <c r="N1993" s="55" t="str">
        <f>IFERROR(IF(OR($B1993="",$B1993="(blank)"),"",VLOOKUP($B1993,'Email Marketing Raw Data'!$C:$O,6,0)),"")</f>
        <v/>
      </c>
      <c r="O1993" s="55" t="str">
        <f>IFERROR(IF(OR($B1993="",$B1993="(blank)"),"",VLOOKUP($B1993,'Email Marketing Raw Data'!$C:$O,7,0)),"")</f>
        <v/>
      </c>
      <c r="P1993" s="55" t="str">
        <f>IFERROR(IF(OR($B1993="",$B1993="(blank)"),"",VLOOKUP($B1993,'Email Marketing Raw Data'!$C:$O,8,0)),"")</f>
        <v/>
      </c>
      <c r="Q1993" s="62" t="str">
        <f>IFERROR(IF(OR($B1993="",$B1993="(blank)"),"",VLOOKUP($B1993,'Email Marketing Raw Data'!$C:$O,9,0)),"")</f>
        <v/>
      </c>
    </row>
    <row r="1994" spans="4:17" ht="12.75" customHeight="1" x14ac:dyDescent="0.2">
      <c r="D1994" s="58" t="str">
        <f>IFERROR(IF(F1994&lt;&gt;"pending","",IF(OR($B1994="",$B1994="(blank)"),"",VLOOKUP($B1994,'Email Marketing Raw Data'!$C:$O,10,0))),"")</f>
        <v/>
      </c>
      <c r="E1994" s="59" t="str">
        <f>IFERROR(IF(F1994&lt;&gt;"pending","",IF(OR($B1994="",$B1994="(blank)"),"",VLOOKUP($B1994,'Email Marketing Raw Data'!$C:$O,11,0))),"")</f>
        <v/>
      </c>
      <c r="F1994" s="54" t="str">
        <f>IFERROR(IF(OR($B1994="",$B1994="(blank)"),"",VLOOKUP($B1994,'Email Marketing Raw Data'!$C:$O,13,0)),"")</f>
        <v/>
      </c>
      <c r="G1994" s="55" t="str">
        <f>IFERROR(IF(OR($B1994="",$B1994="(blank)"),"",VLOOKUP($B1994,'Email Marketing Raw Data'!$C:$O,4,0)),"")</f>
        <v/>
      </c>
      <c r="H1994" s="55" t="str">
        <f>IFERROR(IF(OR($B1994="",$B1994="(blank)"),"",VLOOKUP($B1994,'Email Marketing Raw Data'!$C:$O,5,0)),"")</f>
        <v/>
      </c>
      <c r="I1994" s="55" t="str">
        <f>IFERROR(IF($G1994="","",VLOOKUP('Dashboard And Emails Automate'!$G1994,Database!$H:$N,3,0)),"")</f>
        <v/>
      </c>
      <c r="J1994" s="55" t="str">
        <f>IFERROR(IF($G1994="","",VLOOKUP('Dashboard And Emails Automate'!$G1994,Database!$H:$N,4,0)),"")</f>
        <v/>
      </c>
      <c r="K1994" s="55" t="str">
        <f>IFERROR(IF($G1994="","",VLOOKUP('Dashboard And Emails Automate'!$G1994,Database!$H:$N,5,0)),"")</f>
        <v/>
      </c>
      <c r="L1994" s="55" t="str">
        <f>IFERROR(IF($G1994="","",VLOOKUP('Dashboard And Emails Automate'!$G1994,Database!$H:$N,6,0)),"")</f>
        <v/>
      </c>
      <c r="M1994" s="55" t="str">
        <f>IFERROR(IF($G1994="","",VLOOKUP('Dashboard And Emails Automate'!$G1994,Database!$H:$N,7,0)),"")</f>
        <v/>
      </c>
      <c r="N1994" s="55" t="str">
        <f>IFERROR(IF(OR($B1994="",$B1994="(blank)"),"",VLOOKUP($B1994,'Email Marketing Raw Data'!$C:$O,6,0)),"")</f>
        <v/>
      </c>
      <c r="O1994" s="55" t="str">
        <f>IFERROR(IF(OR($B1994="",$B1994="(blank)"),"",VLOOKUP($B1994,'Email Marketing Raw Data'!$C:$O,7,0)),"")</f>
        <v/>
      </c>
      <c r="P1994" s="55" t="str">
        <f>IFERROR(IF(OR($B1994="",$B1994="(blank)"),"",VLOOKUP($B1994,'Email Marketing Raw Data'!$C:$O,8,0)),"")</f>
        <v/>
      </c>
      <c r="Q1994" s="62" t="str">
        <f>IFERROR(IF(OR($B1994="",$B1994="(blank)"),"",VLOOKUP($B1994,'Email Marketing Raw Data'!$C:$O,9,0)),"")</f>
        <v/>
      </c>
    </row>
    <row r="1995" spans="4:17" ht="12.75" customHeight="1" x14ac:dyDescent="0.2">
      <c r="D1995" s="58" t="str">
        <f>IFERROR(IF(F1995&lt;&gt;"pending","",IF(OR($B1995="",$B1995="(blank)"),"",VLOOKUP($B1995,'Email Marketing Raw Data'!$C:$O,10,0))),"")</f>
        <v/>
      </c>
      <c r="E1995" s="59" t="str">
        <f>IFERROR(IF(F1995&lt;&gt;"pending","",IF(OR($B1995="",$B1995="(blank)"),"",VLOOKUP($B1995,'Email Marketing Raw Data'!$C:$O,11,0))),"")</f>
        <v/>
      </c>
      <c r="F1995" s="54" t="str">
        <f>IFERROR(IF(OR($B1995="",$B1995="(blank)"),"",VLOOKUP($B1995,'Email Marketing Raw Data'!$C:$O,13,0)),"")</f>
        <v/>
      </c>
      <c r="G1995" s="55" t="str">
        <f>IFERROR(IF(OR($B1995="",$B1995="(blank)"),"",VLOOKUP($B1995,'Email Marketing Raw Data'!$C:$O,4,0)),"")</f>
        <v/>
      </c>
      <c r="H1995" s="55" t="str">
        <f>IFERROR(IF(OR($B1995="",$B1995="(blank)"),"",VLOOKUP($B1995,'Email Marketing Raw Data'!$C:$O,5,0)),"")</f>
        <v/>
      </c>
      <c r="I1995" s="55" t="str">
        <f>IFERROR(IF($G1995="","",VLOOKUP('Dashboard And Emails Automate'!$G1995,Database!$H:$N,3,0)),"")</f>
        <v/>
      </c>
      <c r="J1995" s="55" t="str">
        <f>IFERROR(IF($G1995="","",VLOOKUP('Dashboard And Emails Automate'!$G1995,Database!$H:$N,4,0)),"")</f>
        <v/>
      </c>
      <c r="K1995" s="55" t="str">
        <f>IFERROR(IF($G1995="","",VLOOKUP('Dashboard And Emails Automate'!$G1995,Database!$H:$N,5,0)),"")</f>
        <v/>
      </c>
      <c r="L1995" s="55" t="str">
        <f>IFERROR(IF($G1995="","",VLOOKUP('Dashboard And Emails Automate'!$G1995,Database!$H:$N,6,0)),"")</f>
        <v/>
      </c>
      <c r="M1995" s="55" t="str">
        <f>IFERROR(IF($G1995="","",VLOOKUP('Dashboard And Emails Automate'!$G1995,Database!$H:$N,7,0)),"")</f>
        <v/>
      </c>
      <c r="N1995" s="55" t="str">
        <f>IFERROR(IF(OR($B1995="",$B1995="(blank)"),"",VLOOKUP($B1995,'Email Marketing Raw Data'!$C:$O,6,0)),"")</f>
        <v/>
      </c>
      <c r="O1995" s="55" t="str">
        <f>IFERROR(IF(OR($B1995="",$B1995="(blank)"),"",VLOOKUP($B1995,'Email Marketing Raw Data'!$C:$O,7,0)),"")</f>
        <v/>
      </c>
      <c r="P1995" s="55" t="str">
        <f>IFERROR(IF(OR($B1995="",$B1995="(blank)"),"",VLOOKUP($B1995,'Email Marketing Raw Data'!$C:$O,8,0)),"")</f>
        <v/>
      </c>
      <c r="Q1995" s="62" t="str">
        <f>IFERROR(IF(OR($B1995="",$B1995="(blank)"),"",VLOOKUP($B1995,'Email Marketing Raw Data'!$C:$O,9,0)),"")</f>
        <v/>
      </c>
    </row>
    <row r="1996" spans="4:17" ht="12.75" customHeight="1" x14ac:dyDescent="0.2">
      <c r="D1996" s="58" t="str">
        <f>IFERROR(IF(F1996&lt;&gt;"pending","",IF(OR($B1996="",$B1996="(blank)"),"",VLOOKUP($B1996,'Email Marketing Raw Data'!$C:$O,10,0))),"")</f>
        <v/>
      </c>
      <c r="E1996" s="59" t="str">
        <f>IFERROR(IF(F1996&lt;&gt;"pending","",IF(OR($B1996="",$B1996="(blank)"),"",VLOOKUP($B1996,'Email Marketing Raw Data'!$C:$O,11,0))),"")</f>
        <v/>
      </c>
      <c r="F1996" s="54" t="str">
        <f>IFERROR(IF(OR($B1996="",$B1996="(blank)"),"",VLOOKUP($B1996,'Email Marketing Raw Data'!$C:$O,13,0)),"")</f>
        <v/>
      </c>
      <c r="G1996" s="55" t="str">
        <f>IFERROR(IF(OR($B1996="",$B1996="(blank)"),"",VLOOKUP($B1996,'Email Marketing Raw Data'!$C:$O,4,0)),"")</f>
        <v/>
      </c>
      <c r="H1996" s="55" t="str">
        <f>IFERROR(IF(OR($B1996="",$B1996="(blank)"),"",VLOOKUP($B1996,'Email Marketing Raw Data'!$C:$O,5,0)),"")</f>
        <v/>
      </c>
      <c r="I1996" s="55" t="str">
        <f>IFERROR(IF($G1996="","",VLOOKUP('Dashboard And Emails Automate'!$G1996,Database!$H:$N,3,0)),"")</f>
        <v/>
      </c>
      <c r="J1996" s="55" t="str">
        <f>IFERROR(IF($G1996="","",VLOOKUP('Dashboard And Emails Automate'!$G1996,Database!$H:$N,4,0)),"")</f>
        <v/>
      </c>
      <c r="K1996" s="55" t="str">
        <f>IFERROR(IF($G1996="","",VLOOKUP('Dashboard And Emails Automate'!$G1996,Database!$H:$N,5,0)),"")</f>
        <v/>
      </c>
      <c r="L1996" s="55" t="str">
        <f>IFERROR(IF($G1996="","",VLOOKUP('Dashboard And Emails Automate'!$G1996,Database!$H:$N,6,0)),"")</f>
        <v/>
      </c>
      <c r="M1996" s="55" t="str">
        <f>IFERROR(IF($G1996="","",VLOOKUP('Dashboard And Emails Automate'!$G1996,Database!$H:$N,7,0)),"")</f>
        <v/>
      </c>
      <c r="N1996" s="55" t="str">
        <f>IFERROR(IF(OR($B1996="",$B1996="(blank)"),"",VLOOKUP($B1996,'Email Marketing Raw Data'!$C:$O,6,0)),"")</f>
        <v/>
      </c>
      <c r="O1996" s="55" t="str">
        <f>IFERROR(IF(OR($B1996="",$B1996="(blank)"),"",VLOOKUP($B1996,'Email Marketing Raw Data'!$C:$O,7,0)),"")</f>
        <v/>
      </c>
      <c r="P1996" s="55" t="str">
        <f>IFERROR(IF(OR($B1996="",$B1996="(blank)"),"",VLOOKUP($B1996,'Email Marketing Raw Data'!$C:$O,8,0)),"")</f>
        <v/>
      </c>
      <c r="Q1996" s="62" t="str">
        <f>IFERROR(IF(OR($B1996="",$B1996="(blank)"),"",VLOOKUP($B1996,'Email Marketing Raw Data'!$C:$O,9,0)),"")</f>
        <v/>
      </c>
    </row>
    <row r="1997" spans="4:17" ht="12.75" customHeight="1" x14ac:dyDescent="0.2">
      <c r="D1997" s="58" t="str">
        <f>IFERROR(IF(F1997&lt;&gt;"pending","",IF(OR($B1997="",$B1997="(blank)"),"",VLOOKUP($B1997,'Email Marketing Raw Data'!$C:$O,10,0))),"")</f>
        <v/>
      </c>
      <c r="E1997" s="59" t="str">
        <f>IFERROR(IF(F1997&lt;&gt;"pending","",IF(OR($B1997="",$B1997="(blank)"),"",VLOOKUP($B1997,'Email Marketing Raw Data'!$C:$O,11,0))),"")</f>
        <v/>
      </c>
      <c r="F1997" s="54" t="str">
        <f>IFERROR(IF(OR($B1997="",$B1997="(blank)"),"",VLOOKUP($B1997,'Email Marketing Raw Data'!$C:$O,13,0)),"")</f>
        <v/>
      </c>
      <c r="G1997" s="55" t="str">
        <f>IFERROR(IF(OR($B1997="",$B1997="(blank)"),"",VLOOKUP($B1997,'Email Marketing Raw Data'!$C:$O,4,0)),"")</f>
        <v/>
      </c>
      <c r="H1997" s="55" t="str">
        <f>IFERROR(IF(OR($B1997="",$B1997="(blank)"),"",VLOOKUP($B1997,'Email Marketing Raw Data'!$C:$O,5,0)),"")</f>
        <v/>
      </c>
      <c r="I1997" s="55" t="str">
        <f>IFERROR(IF($G1997="","",VLOOKUP('Dashboard And Emails Automate'!$G1997,Database!$H:$N,3,0)),"")</f>
        <v/>
      </c>
      <c r="J1997" s="55" t="str">
        <f>IFERROR(IF($G1997="","",VLOOKUP('Dashboard And Emails Automate'!$G1997,Database!$H:$N,4,0)),"")</f>
        <v/>
      </c>
      <c r="K1997" s="55" t="str">
        <f>IFERROR(IF($G1997="","",VLOOKUP('Dashboard And Emails Automate'!$G1997,Database!$H:$N,5,0)),"")</f>
        <v/>
      </c>
      <c r="L1997" s="55" t="str">
        <f>IFERROR(IF($G1997="","",VLOOKUP('Dashboard And Emails Automate'!$G1997,Database!$H:$N,6,0)),"")</f>
        <v/>
      </c>
      <c r="M1997" s="55" t="str">
        <f>IFERROR(IF($G1997="","",VLOOKUP('Dashboard And Emails Automate'!$G1997,Database!$H:$N,7,0)),"")</f>
        <v/>
      </c>
      <c r="N1997" s="55" t="str">
        <f>IFERROR(IF(OR($B1997="",$B1997="(blank)"),"",VLOOKUP($B1997,'Email Marketing Raw Data'!$C:$O,6,0)),"")</f>
        <v/>
      </c>
      <c r="O1997" s="55" t="str">
        <f>IFERROR(IF(OR($B1997="",$B1997="(blank)"),"",VLOOKUP($B1997,'Email Marketing Raw Data'!$C:$O,7,0)),"")</f>
        <v/>
      </c>
      <c r="P1997" s="55" t="str">
        <f>IFERROR(IF(OR($B1997="",$B1997="(blank)"),"",VLOOKUP($B1997,'Email Marketing Raw Data'!$C:$O,8,0)),"")</f>
        <v/>
      </c>
      <c r="Q1997" s="62" t="str">
        <f>IFERROR(IF(OR($B1997="",$B1997="(blank)"),"",VLOOKUP($B1997,'Email Marketing Raw Data'!$C:$O,9,0)),"")</f>
        <v/>
      </c>
    </row>
    <row r="1998" spans="4:17" ht="12.75" customHeight="1" x14ac:dyDescent="0.2">
      <c r="D1998" s="58" t="str">
        <f>IFERROR(IF(F1998&lt;&gt;"pending","",IF(OR($B1998="",$B1998="(blank)"),"",VLOOKUP($B1998,'Email Marketing Raw Data'!$C:$O,10,0))),"")</f>
        <v/>
      </c>
      <c r="E1998" s="59" t="str">
        <f>IFERROR(IF(F1998&lt;&gt;"pending","",IF(OR($B1998="",$B1998="(blank)"),"",VLOOKUP($B1998,'Email Marketing Raw Data'!$C:$O,11,0))),"")</f>
        <v/>
      </c>
      <c r="F1998" s="54" t="str">
        <f>IFERROR(IF(OR($B1998="",$B1998="(blank)"),"",VLOOKUP($B1998,'Email Marketing Raw Data'!$C:$O,13,0)),"")</f>
        <v/>
      </c>
      <c r="G1998" s="55" t="str">
        <f>IFERROR(IF(OR($B1998="",$B1998="(blank)"),"",VLOOKUP($B1998,'Email Marketing Raw Data'!$C:$O,4,0)),"")</f>
        <v/>
      </c>
      <c r="H1998" s="55" t="str">
        <f>IFERROR(IF(OR($B1998="",$B1998="(blank)"),"",VLOOKUP($B1998,'Email Marketing Raw Data'!$C:$O,5,0)),"")</f>
        <v/>
      </c>
      <c r="I1998" s="55" t="str">
        <f>IFERROR(IF($G1998="","",VLOOKUP('Dashboard And Emails Automate'!$G1998,Database!$H:$N,3,0)),"")</f>
        <v/>
      </c>
      <c r="J1998" s="55" t="str">
        <f>IFERROR(IF($G1998="","",VLOOKUP('Dashboard And Emails Automate'!$G1998,Database!$H:$N,4,0)),"")</f>
        <v/>
      </c>
      <c r="K1998" s="55" t="str">
        <f>IFERROR(IF($G1998="","",VLOOKUP('Dashboard And Emails Automate'!$G1998,Database!$H:$N,5,0)),"")</f>
        <v/>
      </c>
      <c r="L1998" s="55" t="str">
        <f>IFERROR(IF($G1998="","",VLOOKUP('Dashboard And Emails Automate'!$G1998,Database!$H:$N,6,0)),"")</f>
        <v/>
      </c>
      <c r="M1998" s="55" t="str">
        <f>IFERROR(IF($G1998="","",VLOOKUP('Dashboard And Emails Automate'!$G1998,Database!$H:$N,7,0)),"")</f>
        <v/>
      </c>
      <c r="N1998" s="55" t="str">
        <f>IFERROR(IF(OR($B1998="",$B1998="(blank)"),"",VLOOKUP($B1998,'Email Marketing Raw Data'!$C:$O,6,0)),"")</f>
        <v/>
      </c>
      <c r="O1998" s="55" t="str">
        <f>IFERROR(IF(OR($B1998="",$B1998="(blank)"),"",VLOOKUP($B1998,'Email Marketing Raw Data'!$C:$O,7,0)),"")</f>
        <v/>
      </c>
      <c r="P1998" s="55" t="str">
        <f>IFERROR(IF(OR($B1998="",$B1998="(blank)"),"",VLOOKUP($B1998,'Email Marketing Raw Data'!$C:$O,8,0)),"")</f>
        <v/>
      </c>
      <c r="Q1998" s="62" t="str">
        <f>IFERROR(IF(OR($B1998="",$B1998="(blank)"),"",VLOOKUP($B1998,'Email Marketing Raw Data'!$C:$O,9,0)),"")</f>
        <v/>
      </c>
    </row>
    <row r="1999" spans="4:17" ht="12.75" customHeight="1" x14ac:dyDescent="0.2">
      <c r="D1999" s="58" t="str">
        <f>IFERROR(IF(F1999&lt;&gt;"pending","",IF(OR($B1999="",$B1999="(blank)"),"",VLOOKUP($B1999,'Email Marketing Raw Data'!$C:$O,10,0))),"")</f>
        <v/>
      </c>
      <c r="E1999" s="59" t="str">
        <f>IFERROR(IF(F1999&lt;&gt;"pending","",IF(OR($B1999="",$B1999="(blank)"),"",VLOOKUP($B1999,'Email Marketing Raw Data'!$C:$O,11,0))),"")</f>
        <v/>
      </c>
      <c r="F1999" s="54" t="str">
        <f>IFERROR(IF(OR($B1999="",$B1999="(blank)"),"",VLOOKUP($B1999,'Email Marketing Raw Data'!$C:$O,13,0)),"")</f>
        <v/>
      </c>
      <c r="G1999" s="55" t="str">
        <f>IFERROR(IF(OR($B1999="",$B1999="(blank)"),"",VLOOKUP($B1999,'Email Marketing Raw Data'!$C:$O,4,0)),"")</f>
        <v/>
      </c>
      <c r="H1999" s="55" t="str">
        <f>IFERROR(IF(OR($B1999="",$B1999="(blank)"),"",VLOOKUP($B1999,'Email Marketing Raw Data'!$C:$O,5,0)),"")</f>
        <v/>
      </c>
      <c r="I1999" s="55" t="str">
        <f>IFERROR(IF($G1999="","",VLOOKUP('Dashboard And Emails Automate'!$G1999,Database!$H:$N,3,0)),"")</f>
        <v/>
      </c>
      <c r="J1999" s="55" t="str">
        <f>IFERROR(IF($G1999="","",VLOOKUP('Dashboard And Emails Automate'!$G1999,Database!$H:$N,4,0)),"")</f>
        <v/>
      </c>
      <c r="K1999" s="55" t="str">
        <f>IFERROR(IF($G1999="","",VLOOKUP('Dashboard And Emails Automate'!$G1999,Database!$H:$N,5,0)),"")</f>
        <v/>
      </c>
      <c r="L1999" s="55" t="str">
        <f>IFERROR(IF($G1999="","",VLOOKUP('Dashboard And Emails Automate'!$G1999,Database!$H:$N,6,0)),"")</f>
        <v/>
      </c>
      <c r="M1999" s="55" t="str">
        <f>IFERROR(IF($G1999="","",VLOOKUP('Dashboard And Emails Automate'!$G1999,Database!$H:$N,7,0)),"")</f>
        <v/>
      </c>
      <c r="N1999" s="55" t="str">
        <f>IFERROR(IF(OR($B1999="",$B1999="(blank)"),"",VLOOKUP($B1999,'Email Marketing Raw Data'!$C:$O,6,0)),"")</f>
        <v/>
      </c>
      <c r="O1999" s="55" t="str">
        <f>IFERROR(IF(OR($B1999="",$B1999="(blank)"),"",VLOOKUP($B1999,'Email Marketing Raw Data'!$C:$O,7,0)),"")</f>
        <v/>
      </c>
      <c r="P1999" s="55" t="str">
        <f>IFERROR(IF(OR($B1999="",$B1999="(blank)"),"",VLOOKUP($B1999,'Email Marketing Raw Data'!$C:$O,8,0)),"")</f>
        <v/>
      </c>
      <c r="Q1999" s="62" t="str">
        <f>IFERROR(IF(OR($B1999="",$B1999="(blank)"),"",VLOOKUP($B1999,'Email Marketing Raw Data'!$C:$O,9,0)),"")</f>
        <v/>
      </c>
    </row>
    <row r="2000" spans="4:17" ht="12.75" customHeight="1" x14ac:dyDescent="0.2">
      <c r="D2000" s="58" t="str">
        <f>IFERROR(IF(F2000&lt;&gt;"pending","",IF(OR($B2000="",$B2000="(blank)"),"",VLOOKUP($B2000,'Email Marketing Raw Data'!$C:$O,10,0))),"")</f>
        <v/>
      </c>
      <c r="E2000" s="59" t="str">
        <f>IFERROR(IF(F2000&lt;&gt;"pending","",IF(OR($B2000="",$B2000="(blank)"),"",VLOOKUP($B2000,'Email Marketing Raw Data'!$C:$O,11,0))),"")</f>
        <v/>
      </c>
      <c r="F2000" s="54" t="str">
        <f>IFERROR(IF(OR($B2000="",$B2000="(blank)"),"",VLOOKUP($B2000,'Email Marketing Raw Data'!$C:$O,13,0)),"")</f>
        <v/>
      </c>
      <c r="G2000" s="55" t="str">
        <f>IFERROR(IF(OR($B2000="",$B2000="(blank)"),"",VLOOKUP($B2000,'Email Marketing Raw Data'!$C:$O,4,0)),"")</f>
        <v/>
      </c>
      <c r="H2000" s="55" t="str">
        <f>IFERROR(IF(OR($B2000="",$B2000="(blank)"),"",VLOOKUP($B2000,'Email Marketing Raw Data'!$C:$O,5,0)),"")</f>
        <v/>
      </c>
      <c r="I2000" s="55" t="str">
        <f>IFERROR(IF($G2000="","",VLOOKUP('Dashboard And Emails Automate'!$G2000,Database!$H:$N,3,0)),"")</f>
        <v/>
      </c>
      <c r="J2000" s="55" t="str">
        <f>IFERROR(IF($G2000="","",VLOOKUP('Dashboard And Emails Automate'!$G2000,Database!$H:$N,4,0)),"")</f>
        <v/>
      </c>
      <c r="K2000" s="55" t="str">
        <f>IFERROR(IF($G2000="","",VLOOKUP('Dashboard And Emails Automate'!$G2000,Database!$H:$N,5,0)),"")</f>
        <v/>
      </c>
      <c r="L2000" s="55" t="str">
        <f>IFERROR(IF($G2000="","",VLOOKUP('Dashboard And Emails Automate'!$G2000,Database!$H:$N,6,0)),"")</f>
        <v/>
      </c>
      <c r="M2000" s="55" t="str">
        <f>IFERROR(IF($G2000="","",VLOOKUP('Dashboard And Emails Automate'!$G2000,Database!$H:$N,7,0)),"")</f>
        <v/>
      </c>
      <c r="N2000" s="55" t="str">
        <f>IFERROR(IF(OR($B2000="",$B2000="(blank)"),"",VLOOKUP($B2000,'Email Marketing Raw Data'!$C:$O,6,0)),"")</f>
        <v/>
      </c>
      <c r="O2000" s="55" t="str">
        <f>IFERROR(IF(OR($B2000="",$B2000="(blank)"),"",VLOOKUP($B2000,'Email Marketing Raw Data'!$C:$O,7,0)),"")</f>
        <v/>
      </c>
      <c r="P2000" s="55" t="str">
        <f>IFERROR(IF(OR($B2000="",$B2000="(blank)"),"",VLOOKUP($B2000,'Email Marketing Raw Data'!$C:$O,8,0)),"")</f>
        <v/>
      </c>
      <c r="Q2000" s="62" t="str">
        <f>IFERROR(IF(OR($B2000="",$B2000="(blank)"),"",VLOOKUP($B2000,'Email Marketing Raw Data'!$C:$O,9,0)),"")</f>
        <v/>
      </c>
    </row>
    <row r="2001" spans="4:17" ht="12.75" customHeight="1" x14ac:dyDescent="0.2">
      <c r="D2001" s="58" t="str">
        <f>IFERROR(IF(F2001&lt;&gt;"pending","",IF(OR($B2001="",$B2001="(blank)"),"",VLOOKUP($B2001,'Email Marketing Raw Data'!$C:$O,10,0))),"")</f>
        <v/>
      </c>
      <c r="E2001" s="59" t="str">
        <f>IFERROR(IF(F2001&lt;&gt;"pending","",IF(OR($B2001="",$B2001="(blank)"),"",VLOOKUP($B2001,'Email Marketing Raw Data'!$C:$O,11,0))),"")</f>
        <v/>
      </c>
      <c r="F2001" s="54" t="str">
        <f>IFERROR(IF(OR($B2001="",$B2001="(blank)"),"",VLOOKUP($B2001,'Email Marketing Raw Data'!$C:$O,13,0)),"")</f>
        <v/>
      </c>
      <c r="G2001" s="55" t="str">
        <f>IFERROR(IF(OR($B2001="",$B2001="(blank)"),"",VLOOKUP($B2001,'Email Marketing Raw Data'!$C:$O,4,0)),"")</f>
        <v/>
      </c>
      <c r="H2001" s="55" t="str">
        <f>IFERROR(IF(OR($B2001="",$B2001="(blank)"),"",VLOOKUP($B2001,'Email Marketing Raw Data'!$C:$O,5,0)),"")</f>
        <v/>
      </c>
      <c r="I2001" s="55" t="str">
        <f>IFERROR(IF($G2001="","",VLOOKUP('Dashboard And Emails Automate'!$G2001,Database!$H:$N,3,0)),"")</f>
        <v/>
      </c>
      <c r="J2001" s="55" t="str">
        <f>IFERROR(IF($G2001="","",VLOOKUP('Dashboard And Emails Automate'!$G2001,Database!$H:$N,4,0)),"")</f>
        <v/>
      </c>
      <c r="K2001" s="55" t="str">
        <f>IFERROR(IF($G2001="","",VLOOKUP('Dashboard And Emails Automate'!$G2001,Database!$H:$N,5,0)),"")</f>
        <v/>
      </c>
      <c r="L2001" s="55" t="str">
        <f>IFERROR(IF($G2001="","",VLOOKUP('Dashboard And Emails Automate'!$G2001,Database!$H:$N,6,0)),"")</f>
        <v/>
      </c>
      <c r="M2001" s="55" t="str">
        <f>IFERROR(IF($G2001="","",VLOOKUP('Dashboard And Emails Automate'!$G2001,Database!$H:$N,7,0)),"")</f>
        <v/>
      </c>
      <c r="N2001" s="55" t="str">
        <f>IFERROR(IF(OR($B2001="",$B2001="(blank)"),"",VLOOKUP($B2001,'Email Marketing Raw Data'!$C:$O,6,0)),"")</f>
        <v/>
      </c>
      <c r="O2001" s="55" t="str">
        <f>IFERROR(IF(OR($B2001="",$B2001="(blank)"),"",VLOOKUP($B2001,'Email Marketing Raw Data'!$C:$O,7,0)),"")</f>
        <v/>
      </c>
      <c r="P2001" s="55" t="str">
        <f>IFERROR(IF(OR($B2001="",$B2001="(blank)"),"",VLOOKUP($B2001,'Email Marketing Raw Data'!$C:$O,8,0)),"")</f>
        <v/>
      </c>
      <c r="Q2001" s="62" t="str">
        <f>IFERROR(IF(OR($B2001="",$B2001="(blank)"),"",VLOOKUP($B2001,'Email Marketing Raw Data'!$C:$O,9,0)),"")</f>
        <v/>
      </c>
    </row>
    <row r="2002" spans="4:17" ht="12.75" customHeight="1" x14ac:dyDescent="0.2">
      <c r="D2002" s="58" t="str">
        <f>IFERROR(IF(F2002&lt;&gt;"pending","",IF(OR($B2002="",$B2002="(blank)"),"",VLOOKUP($B2002,'Email Marketing Raw Data'!$C:$O,10,0))),"")</f>
        <v/>
      </c>
      <c r="E2002" s="59" t="str">
        <f>IFERROR(IF(F2002&lt;&gt;"pending","",IF(OR($B2002="",$B2002="(blank)"),"",VLOOKUP($B2002,'Email Marketing Raw Data'!$C:$O,11,0))),"")</f>
        <v/>
      </c>
      <c r="F2002" s="54" t="str">
        <f>IFERROR(IF(OR($B2002="",$B2002="(blank)"),"",VLOOKUP($B2002,'Email Marketing Raw Data'!$C:$O,13,0)),"")</f>
        <v/>
      </c>
      <c r="G2002" s="55" t="str">
        <f>IFERROR(IF(OR($B2002="",$B2002="(blank)"),"",VLOOKUP($B2002,'Email Marketing Raw Data'!$C:$O,4,0)),"")</f>
        <v/>
      </c>
      <c r="H2002" s="55" t="str">
        <f>IFERROR(IF(OR($B2002="",$B2002="(blank)"),"",VLOOKUP($B2002,'Email Marketing Raw Data'!$C:$O,5,0)),"")</f>
        <v/>
      </c>
      <c r="I2002" s="55" t="str">
        <f>IFERROR(IF($G2002="","",VLOOKUP('Dashboard And Emails Automate'!$G2002,Database!$H:$N,3,0)),"")</f>
        <v/>
      </c>
      <c r="J2002" s="55" t="str">
        <f>IFERROR(IF($G2002="","",VLOOKUP('Dashboard And Emails Automate'!$G2002,Database!$H:$N,4,0)),"")</f>
        <v/>
      </c>
      <c r="K2002" s="55" t="str">
        <f>IFERROR(IF($G2002="","",VLOOKUP('Dashboard And Emails Automate'!$G2002,Database!$H:$N,5,0)),"")</f>
        <v/>
      </c>
      <c r="L2002" s="55" t="str">
        <f>IFERROR(IF($G2002="","",VLOOKUP('Dashboard And Emails Automate'!$G2002,Database!$H:$N,6,0)),"")</f>
        <v/>
      </c>
      <c r="M2002" s="55" t="str">
        <f>IFERROR(IF($G2002="","",VLOOKUP('Dashboard And Emails Automate'!$G2002,Database!$H:$N,7,0)),"")</f>
        <v/>
      </c>
      <c r="N2002" s="55" t="str">
        <f>IFERROR(IF(OR($B2002="",$B2002="(blank)"),"",VLOOKUP($B2002,'Email Marketing Raw Data'!$C:$O,6,0)),"")</f>
        <v/>
      </c>
      <c r="O2002" s="55" t="str">
        <f>IFERROR(IF(OR($B2002="",$B2002="(blank)"),"",VLOOKUP($B2002,'Email Marketing Raw Data'!$C:$O,7,0)),"")</f>
        <v/>
      </c>
      <c r="P2002" s="55" t="str">
        <f>IFERROR(IF(OR($B2002="",$B2002="(blank)"),"",VLOOKUP($B2002,'Email Marketing Raw Data'!$C:$O,8,0)),"")</f>
        <v/>
      </c>
      <c r="Q2002" s="62" t="str">
        <f>IFERROR(IF(OR($B2002="",$B2002="(blank)"),"",VLOOKUP($B2002,'Email Marketing Raw Data'!$C:$O,9,0)),"")</f>
        <v/>
      </c>
    </row>
    <row r="2003" spans="4:17" ht="12.75" customHeight="1" x14ac:dyDescent="0.2">
      <c r="D2003" s="58" t="str">
        <f>IFERROR(IF(F2003&lt;&gt;"pending","",IF(OR($B2003="",$B2003="(blank)"),"",VLOOKUP($B2003,'Email Marketing Raw Data'!$C:$O,10,0))),"")</f>
        <v/>
      </c>
      <c r="E2003" s="59" t="str">
        <f>IFERROR(IF(F2003&lt;&gt;"pending","",IF(OR($B2003="",$B2003="(blank)"),"",VLOOKUP($B2003,'Email Marketing Raw Data'!$C:$O,11,0))),"")</f>
        <v/>
      </c>
      <c r="F2003" s="54" t="str">
        <f>IFERROR(IF(OR($B2003="",$B2003="(blank)"),"",VLOOKUP($B2003,'Email Marketing Raw Data'!$C:$O,13,0)),"")</f>
        <v/>
      </c>
      <c r="G2003" s="55" t="str">
        <f>IFERROR(IF(OR($B2003="",$B2003="(blank)"),"",VLOOKUP($B2003,'Email Marketing Raw Data'!$C:$O,4,0)),"")</f>
        <v/>
      </c>
      <c r="H2003" s="55" t="str">
        <f>IFERROR(IF(OR($B2003="",$B2003="(blank)"),"",VLOOKUP($B2003,'Email Marketing Raw Data'!$C:$O,5,0)),"")</f>
        <v/>
      </c>
      <c r="I2003" s="55" t="str">
        <f>IFERROR(IF($G2003="","",VLOOKUP('Dashboard And Emails Automate'!$G2003,Database!$H:$N,3,0)),"")</f>
        <v/>
      </c>
      <c r="J2003" s="55" t="str">
        <f>IFERROR(IF($G2003="","",VLOOKUP('Dashboard And Emails Automate'!$G2003,Database!$H:$N,4,0)),"")</f>
        <v/>
      </c>
      <c r="K2003" s="55" t="str">
        <f>IFERROR(IF($G2003="","",VLOOKUP('Dashboard And Emails Automate'!$G2003,Database!$H:$N,5,0)),"")</f>
        <v/>
      </c>
      <c r="L2003" s="55" t="str">
        <f>IFERROR(IF($G2003="","",VLOOKUP('Dashboard And Emails Automate'!$G2003,Database!$H:$N,6,0)),"")</f>
        <v/>
      </c>
      <c r="M2003" s="55" t="str">
        <f>IFERROR(IF($G2003="","",VLOOKUP('Dashboard And Emails Automate'!$G2003,Database!$H:$N,7,0)),"")</f>
        <v/>
      </c>
      <c r="N2003" s="55" t="str">
        <f>IFERROR(IF(OR($B2003="",$B2003="(blank)"),"",VLOOKUP($B2003,'Email Marketing Raw Data'!$C:$O,6,0)),"")</f>
        <v/>
      </c>
      <c r="O2003" s="55" t="str">
        <f>IFERROR(IF(OR($B2003="",$B2003="(blank)"),"",VLOOKUP($B2003,'Email Marketing Raw Data'!$C:$O,7,0)),"")</f>
        <v/>
      </c>
      <c r="P2003" s="55" t="str">
        <f>IFERROR(IF(OR($B2003="",$B2003="(blank)"),"",VLOOKUP($B2003,'Email Marketing Raw Data'!$C:$O,8,0)),"")</f>
        <v/>
      </c>
      <c r="Q2003" s="62" t="str">
        <f>IFERROR(IF(OR($B2003="",$B2003="(blank)"),"",VLOOKUP($B2003,'Email Marketing Raw Data'!$C:$O,9,0)),"")</f>
        <v/>
      </c>
    </row>
    <row r="2004" spans="4:17" ht="12.75" customHeight="1" x14ac:dyDescent="0.2">
      <c r="D2004" s="58" t="str">
        <f>IFERROR(IF(F2004&lt;&gt;"pending","",IF(OR($B2004="",$B2004="(blank)"),"",VLOOKUP($B2004,'Email Marketing Raw Data'!$C:$O,10,0))),"")</f>
        <v/>
      </c>
      <c r="E2004" s="59" t="str">
        <f>IFERROR(IF(F2004&lt;&gt;"pending","",IF(OR($B2004="",$B2004="(blank)"),"",VLOOKUP($B2004,'Email Marketing Raw Data'!$C:$O,11,0))),"")</f>
        <v/>
      </c>
      <c r="F2004" s="54" t="str">
        <f>IFERROR(IF(OR($B2004="",$B2004="(blank)"),"",VLOOKUP($B2004,'Email Marketing Raw Data'!$C:$O,13,0)),"")</f>
        <v/>
      </c>
      <c r="G2004" s="55" t="str">
        <f>IFERROR(IF(OR($B2004="",$B2004="(blank)"),"",VLOOKUP($B2004,'Email Marketing Raw Data'!$C:$O,4,0)),"")</f>
        <v/>
      </c>
      <c r="H2004" s="55" t="str">
        <f>IFERROR(IF(OR($B2004="",$B2004="(blank)"),"",VLOOKUP($B2004,'Email Marketing Raw Data'!$C:$O,5,0)),"")</f>
        <v/>
      </c>
      <c r="I2004" s="55" t="str">
        <f>IFERROR(IF($G2004="","",VLOOKUP('Dashboard And Emails Automate'!$G2004,Database!$H:$N,3,0)),"")</f>
        <v/>
      </c>
      <c r="J2004" s="55" t="str">
        <f>IFERROR(IF($G2004="","",VLOOKUP('Dashboard And Emails Automate'!$G2004,Database!$H:$N,4,0)),"")</f>
        <v/>
      </c>
      <c r="K2004" s="55" t="str">
        <f>IFERROR(IF($G2004="","",VLOOKUP('Dashboard And Emails Automate'!$G2004,Database!$H:$N,5,0)),"")</f>
        <v/>
      </c>
      <c r="L2004" s="55" t="str">
        <f>IFERROR(IF($G2004="","",VLOOKUP('Dashboard And Emails Automate'!$G2004,Database!$H:$N,6,0)),"")</f>
        <v/>
      </c>
      <c r="M2004" s="55" t="str">
        <f>IFERROR(IF($G2004="","",VLOOKUP('Dashboard And Emails Automate'!$G2004,Database!$H:$N,7,0)),"")</f>
        <v/>
      </c>
      <c r="N2004" s="55" t="str">
        <f>IFERROR(IF(OR($B2004="",$B2004="(blank)"),"",VLOOKUP($B2004,'Email Marketing Raw Data'!$C:$O,6,0)),"")</f>
        <v/>
      </c>
      <c r="O2004" s="55" t="str">
        <f>IFERROR(IF(OR($B2004="",$B2004="(blank)"),"",VLOOKUP($B2004,'Email Marketing Raw Data'!$C:$O,7,0)),"")</f>
        <v/>
      </c>
      <c r="P2004" s="55" t="str">
        <f>IFERROR(IF(OR($B2004="",$B2004="(blank)"),"",VLOOKUP($B2004,'Email Marketing Raw Data'!$C:$O,8,0)),"")</f>
        <v/>
      </c>
      <c r="Q2004" s="62" t="str">
        <f>IFERROR(IF(OR($B2004="",$B2004="(blank)"),"",VLOOKUP($B2004,'Email Marketing Raw Data'!$C:$O,9,0)),"")</f>
        <v/>
      </c>
    </row>
    <row r="2005" spans="4:17" ht="12.75" customHeight="1" x14ac:dyDescent="0.2">
      <c r="D2005" s="58" t="str">
        <f>IFERROR(IF(F2005&lt;&gt;"pending","",IF(OR($B2005="",$B2005="(blank)"),"",VLOOKUP($B2005,'Email Marketing Raw Data'!$C:$O,10,0))),"")</f>
        <v/>
      </c>
      <c r="E2005" s="59" t="str">
        <f>IFERROR(IF(F2005&lt;&gt;"pending","",IF(OR($B2005="",$B2005="(blank)"),"",VLOOKUP($B2005,'Email Marketing Raw Data'!$C:$O,11,0))),"")</f>
        <v/>
      </c>
      <c r="F2005" s="54" t="str">
        <f>IFERROR(IF(OR($B2005="",$B2005="(blank)"),"",VLOOKUP($B2005,'Email Marketing Raw Data'!$C:$O,13,0)),"")</f>
        <v/>
      </c>
      <c r="G2005" s="55" t="str">
        <f>IFERROR(IF(OR($B2005="",$B2005="(blank)"),"",VLOOKUP($B2005,'Email Marketing Raw Data'!$C:$O,4,0)),"")</f>
        <v/>
      </c>
      <c r="H2005" s="55" t="str">
        <f>IFERROR(IF(OR($B2005="",$B2005="(blank)"),"",VLOOKUP($B2005,'Email Marketing Raw Data'!$C:$O,5,0)),"")</f>
        <v/>
      </c>
      <c r="I2005" s="55" t="str">
        <f>IFERROR(IF($G2005="","",VLOOKUP('Dashboard And Emails Automate'!$G2005,Database!$H:$N,3,0)),"")</f>
        <v/>
      </c>
      <c r="J2005" s="55" t="str">
        <f>IFERROR(IF($G2005="","",VLOOKUP('Dashboard And Emails Automate'!$G2005,Database!$H:$N,4,0)),"")</f>
        <v/>
      </c>
      <c r="K2005" s="55" t="str">
        <f>IFERROR(IF($G2005="","",VLOOKUP('Dashboard And Emails Automate'!$G2005,Database!$H:$N,5,0)),"")</f>
        <v/>
      </c>
      <c r="L2005" s="55" t="str">
        <f>IFERROR(IF($G2005="","",VLOOKUP('Dashboard And Emails Automate'!$G2005,Database!$H:$N,6,0)),"")</f>
        <v/>
      </c>
      <c r="M2005" s="55" t="str">
        <f>IFERROR(IF($G2005="","",VLOOKUP('Dashboard And Emails Automate'!$G2005,Database!$H:$N,7,0)),"")</f>
        <v/>
      </c>
      <c r="N2005" s="55" t="str">
        <f>IFERROR(IF(OR($B2005="",$B2005="(blank)"),"",VLOOKUP($B2005,'Email Marketing Raw Data'!$C:$O,6,0)),"")</f>
        <v/>
      </c>
      <c r="O2005" s="55" t="str">
        <f>IFERROR(IF(OR($B2005="",$B2005="(blank)"),"",VLOOKUP($B2005,'Email Marketing Raw Data'!$C:$O,7,0)),"")</f>
        <v/>
      </c>
      <c r="P2005" s="55" t="str">
        <f>IFERROR(IF(OR($B2005="",$B2005="(blank)"),"",VLOOKUP($B2005,'Email Marketing Raw Data'!$C:$O,8,0)),"")</f>
        <v/>
      </c>
      <c r="Q2005" s="62" t="str">
        <f>IFERROR(IF(OR($B2005="",$B2005="(blank)"),"",VLOOKUP($B2005,'Email Marketing Raw Data'!$C:$O,9,0)),"")</f>
        <v/>
      </c>
    </row>
    <row r="2006" spans="4:17" ht="12.75" customHeight="1" x14ac:dyDescent="0.2">
      <c r="D2006" s="58" t="str">
        <f>IFERROR(IF(F2006&lt;&gt;"pending","",IF(OR($B2006="",$B2006="(blank)"),"",VLOOKUP($B2006,'Email Marketing Raw Data'!$C:$O,10,0))),"")</f>
        <v/>
      </c>
      <c r="E2006" s="59" t="str">
        <f>IFERROR(IF(F2006&lt;&gt;"pending","",IF(OR($B2006="",$B2006="(blank)"),"",VLOOKUP($B2006,'Email Marketing Raw Data'!$C:$O,11,0))),"")</f>
        <v/>
      </c>
      <c r="F2006" s="54" t="str">
        <f>IFERROR(IF(OR($B2006="",$B2006="(blank)"),"",VLOOKUP($B2006,'Email Marketing Raw Data'!$C:$O,13,0)),"")</f>
        <v/>
      </c>
      <c r="G2006" s="55" t="str">
        <f>IFERROR(IF(OR($B2006="",$B2006="(blank)"),"",VLOOKUP($B2006,'Email Marketing Raw Data'!$C:$O,4,0)),"")</f>
        <v/>
      </c>
      <c r="H2006" s="55" t="str">
        <f>IFERROR(IF(OR($B2006="",$B2006="(blank)"),"",VLOOKUP($B2006,'Email Marketing Raw Data'!$C:$O,5,0)),"")</f>
        <v/>
      </c>
      <c r="I2006" s="55" t="str">
        <f>IFERROR(IF($G2006="","",VLOOKUP('Dashboard And Emails Automate'!$G2006,Database!$H:$N,3,0)),"")</f>
        <v/>
      </c>
      <c r="J2006" s="55" t="str">
        <f>IFERROR(IF($G2006="","",VLOOKUP('Dashboard And Emails Automate'!$G2006,Database!$H:$N,4,0)),"")</f>
        <v/>
      </c>
      <c r="K2006" s="55" t="str">
        <f>IFERROR(IF($G2006="","",VLOOKUP('Dashboard And Emails Automate'!$G2006,Database!$H:$N,5,0)),"")</f>
        <v/>
      </c>
      <c r="L2006" s="55" t="str">
        <f>IFERROR(IF($G2006="","",VLOOKUP('Dashboard And Emails Automate'!$G2006,Database!$H:$N,6,0)),"")</f>
        <v/>
      </c>
      <c r="M2006" s="55" t="str">
        <f>IFERROR(IF($G2006="","",VLOOKUP('Dashboard And Emails Automate'!$G2006,Database!$H:$N,7,0)),"")</f>
        <v/>
      </c>
      <c r="N2006" s="55" t="str">
        <f>IFERROR(IF(OR($B2006="",$B2006="(blank)"),"",VLOOKUP($B2006,'Email Marketing Raw Data'!$C:$O,6,0)),"")</f>
        <v/>
      </c>
      <c r="O2006" s="55" t="str">
        <f>IFERROR(IF(OR($B2006="",$B2006="(blank)"),"",VLOOKUP($B2006,'Email Marketing Raw Data'!$C:$O,7,0)),"")</f>
        <v/>
      </c>
      <c r="P2006" s="55" t="str">
        <f>IFERROR(IF(OR($B2006="",$B2006="(blank)"),"",VLOOKUP($B2006,'Email Marketing Raw Data'!$C:$O,8,0)),"")</f>
        <v/>
      </c>
      <c r="Q2006" s="62" t="str">
        <f>IFERROR(IF(OR($B2006="",$B2006="(blank)"),"",VLOOKUP($B2006,'Email Marketing Raw Data'!$C:$O,9,0)),"")</f>
        <v/>
      </c>
    </row>
    <row r="2007" spans="4:17" ht="12.75" customHeight="1" x14ac:dyDescent="0.2">
      <c r="D2007" s="58" t="str">
        <f>IFERROR(IF(F2007&lt;&gt;"pending","",IF(OR($B2007="",$B2007="(blank)"),"",VLOOKUP($B2007,'Email Marketing Raw Data'!$C:$O,10,0))),"")</f>
        <v/>
      </c>
      <c r="E2007" s="59" t="str">
        <f>IFERROR(IF(F2007&lt;&gt;"pending","",IF(OR($B2007="",$B2007="(blank)"),"",VLOOKUP($B2007,'Email Marketing Raw Data'!$C:$O,11,0))),"")</f>
        <v/>
      </c>
      <c r="F2007" s="54" t="str">
        <f>IFERROR(IF(OR($B2007="",$B2007="(blank)"),"",VLOOKUP($B2007,'Email Marketing Raw Data'!$C:$O,13,0)),"")</f>
        <v/>
      </c>
      <c r="G2007" s="55" t="str">
        <f>IFERROR(IF(OR($B2007="",$B2007="(blank)"),"",VLOOKUP($B2007,'Email Marketing Raw Data'!$C:$O,4,0)),"")</f>
        <v/>
      </c>
      <c r="H2007" s="55" t="str">
        <f>IFERROR(IF(OR($B2007="",$B2007="(blank)"),"",VLOOKUP($B2007,'Email Marketing Raw Data'!$C:$O,5,0)),"")</f>
        <v/>
      </c>
      <c r="I2007" s="55" t="str">
        <f>IFERROR(IF($G2007="","",VLOOKUP('Dashboard And Emails Automate'!$G2007,Database!$H:$N,3,0)),"")</f>
        <v/>
      </c>
      <c r="J2007" s="55" t="str">
        <f>IFERROR(IF($G2007="","",VLOOKUP('Dashboard And Emails Automate'!$G2007,Database!$H:$N,4,0)),"")</f>
        <v/>
      </c>
      <c r="K2007" s="55" t="str">
        <f>IFERROR(IF($G2007="","",VLOOKUP('Dashboard And Emails Automate'!$G2007,Database!$H:$N,5,0)),"")</f>
        <v/>
      </c>
      <c r="L2007" s="55" t="str">
        <f>IFERROR(IF($G2007="","",VLOOKUP('Dashboard And Emails Automate'!$G2007,Database!$H:$N,6,0)),"")</f>
        <v/>
      </c>
      <c r="M2007" s="55" t="str">
        <f>IFERROR(IF($G2007="","",VLOOKUP('Dashboard And Emails Automate'!$G2007,Database!$H:$N,7,0)),"")</f>
        <v/>
      </c>
      <c r="N2007" s="55" t="str">
        <f>IFERROR(IF(OR($B2007="",$B2007="(blank)"),"",VLOOKUP($B2007,'Email Marketing Raw Data'!$C:$O,6,0)),"")</f>
        <v/>
      </c>
      <c r="O2007" s="55" t="str">
        <f>IFERROR(IF(OR($B2007="",$B2007="(blank)"),"",VLOOKUP($B2007,'Email Marketing Raw Data'!$C:$O,7,0)),"")</f>
        <v/>
      </c>
      <c r="P2007" s="55" t="str">
        <f>IFERROR(IF(OR($B2007="",$B2007="(blank)"),"",VLOOKUP($B2007,'Email Marketing Raw Data'!$C:$O,8,0)),"")</f>
        <v/>
      </c>
      <c r="Q2007" s="62" t="str">
        <f>IFERROR(IF(OR($B2007="",$B2007="(blank)"),"",VLOOKUP($B2007,'Email Marketing Raw Data'!$C:$O,9,0)),"")</f>
        <v/>
      </c>
    </row>
    <row r="2008" spans="4:17" ht="12.75" customHeight="1" x14ac:dyDescent="0.2">
      <c r="D2008" s="58" t="str">
        <f>IFERROR(IF(F2008&lt;&gt;"pending","",IF(OR($B2008="",$B2008="(blank)"),"",VLOOKUP($B2008,'Email Marketing Raw Data'!$C:$O,10,0))),"")</f>
        <v/>
      </c>
      <c r="E2008" s="59" t="str">
        <f>IFERROR(IF(F2008&lt;&gt;"pending","",IF(OR($B2008="",$B2008="(blank)"),"",VLOOKUP($B2008,'Email Marketing Raw Data'!$C:$O,11,0))),"")</f>
        <v/>
      </c>
      <c r="F2008" s="54" t="str">
        <f>IFERROR(IF(OR($B2008="",$B2008="(blank)"),"",VLOOKUP($B2008,'Email Marketing Raw Data'!$C:$O,13,0)),"")</f>
        <v/>
      </c>
      <c r="G2008" s="55" t="str">
        <f>IFERROR(IF(OR($B2008="",$B2008="(blank)"),"",VLOOKUP($B2008,'Email Marketing Raw Data'!$C:$O,4,0)),"")</f>
        <v/>
      </c>
      <c r="H2008" s="55" t="str">
        <f>IFERROR(IF(OR($B2008="",$B2008="(blank)"),"",VLOOKUP($B2008,'Email Marketing Raw Data'!$C:$O,5,0)),"")</f>
        <v/>
      </c>
      <c r="I2008" s="55" t="str">
        <f>IFERROR(IF($G2008="","",VLOOKUP('Dashboard And Emails Automate'!$G2008,Database!$H:$N,3,0)),"")</f>
        <v/>
      </c>
      <c r="J2008" s="55" t="str">
        <f>IFERROR(IF($G2008="","",VLOOKUP('Dashboard And Emails Automate'!$G2008,Database!$H:$N,4,0)),"")</f>
        <v/>
      </c>
      <c r="K2008" s="55" t="str">
        <f>IFERROR(IF($G2008="","",VLOOKUP('Dashboard And Emails Automate'!$G2008,Database!$H:$N,5,0)),"")</f>
        <v/>
      </c>
      <c r="L2008" s="55" t="str">
        <f>IFERROR(IF($G2008="","",VLOOKUP('Dashboard And Emails Automate'!$G2008,Database!$H:$N,6,0)),"")</f>
        <v/>
      </c>
      <c r="M2008" s="55" t="str">
        <f>IFERROR(IF($G2008="","",VLOOKUP('Dashboard And Emails Automate'!$G2008,Database!$H:$N,7,0)),"")</f>
        <v/>
      </c>
      <c r="N2008" s="55" t="str">
        <f>IFERROR(IF(OR($B2008="",$B2008="(blank)"),"",VLOOKUP($B2008,'Email Marketing Raw Data'!$C:$O,6,0)),"")</f>
        <v/>
      </c>
      <c r="O2008" s="55" t="str">
        <f>IFERROR(IF(OR($B2008="",$B2008="(blank)"),"",VLOOKUP($B2008,'Email Marketing Raw Data'!$C:$O,7,0)),"")</f>
        <v/>
      </c>
      <c r="P2008" s="55" t="str">
        <f>IFERROR(IF(OR($B2008="",$B2008="(blank)"),"",VLOOKUP($B2008,'Email Marketing Raw Data'!$C:$O,8,0)),"")</f>
        <v/>
      </c>
      <c r="Q2008" s="62" t="str">
        <f>IFERROR(IF(OR($B2008="",$B2008="(blank)"),"",VLOOKUP($B2008,'Email Marketing Raw Data'!$C:$O,9,0)),"")</f>
        <v/>
      </c>
    </row>
    <row r="2009" spans="4:17" ht="12.75" customHeight="1" x14ac:dyDescent="0.2">
      <c r="D2009" s="58" t="str">
        <f>IFERROR(IF(F2009&lt;&gt;"pending","",IF(OR($B2009="",$B2009="(blank)"),"",VLOOKUP($B2009,'Email Marketing Raw Data'!$C:$O,10,0))),"")</f>
        <v/>
      </c>
      <c r="E2009" s="59" t="str">
        <f>IFERROR(IF(F2009&lt;&gt;"pending","",IF(OR($B2009="",$B2009="(blank)"),"",VLOOKUP($B2009,'Email Marketing Raw Data'!$C:$O,11,0))),"")</f>
        <v/>
      </c>
      <c r="F2009" s="54" t="str">
        <f>IFERROR(IF(OR($B2009="",$B2009="(blank)"),"",VLOOKUP($B2009,'Email Marketing Raw Data'!$C:$O,13,0)),"")</f>
        <v/>
      </c>
      <c r="G2009" s="55" t="str">
        <f>IFERROR(IF(OR($B2009="",$B2009="(blank)"),"",VLOOKUP($B2009,'Email Marketing Raw Data'!$C:$O,4,0)),"")</f>
        <v/>
      </c>
      <c r="H2009" s="55" t="str">
        <f>IFERROR(IF(OR($B2009="",$B2009="(blank)"),"",VLOOKUP($B2009,'Email Marketing Raw Data'!$C:$O,5,0)),"")</f>
        <v/>
      </c>
      <c r="I2009" s="55" t="str">
        <f>IFERROR(IF($G2009="","",VLOOKUP('Dashboard And Emails Automate'!$G2009,Database!$H:$N,3,0)),"")</f>
        <v/>
      </c>
      <c r="J2009" s="55" t="str">
        <f>IFERROR(IF($G2009="","",VLOOKUP('Dashboard And Emails Automate'!$G2009,Database!$H:$N,4,0)),"")</f>
        <v/>
      </c>
      <c r="K2009" s="55" t="str">
        <f>IFERROR(IF($G2009="","",VLOOKUP('Dashboard And Emails Automate'!$G2009,Database!$H:$N,5,0)),"")</f>
        <v/>
      </c>
      <c r="L2009" s="55" t="str">
        <f>IFERROR(IF($G2009="","",VLOOKUP('Dashboard And Emails Automate'!$G2009,Database!$H:$N,6,0)),"")</f>
        <v/>
      </c>
      <c r="M2009" s="55" t="str">
        <f>IFERROR(IF($G2009="","",VLOOKUP('Dashboard And Emails Automate'!$G2009,Database!$H:$N,7,0)),"")</f>
        <v/>
      </c>
      <c r="N2009" s="55" t="str">
        <f>IFERROR(IF(OR($B2009="",$B2009="(blank)"),"",VLOOKUP($B2009,'Email Marketing Raw Data'!$C:$O,6,0)),"")</f>
        <v/>
      </c>
      <c r="O2009" s="55" t="str">
        <f>IFERROR(IF(OR($B2009="",$B2009="(blank)"),"",VLOOKUP($B2009,'Email Marketing Raw Data'!$C:$O,7,0)),"")</f>
        <v/>
      </c>
      <c r="P2009" s="55" t="str">
        <f>IFERROR(IF(OR($B2009="",$B2009="(blank)"),"",VLOOKUP($B2009,'Email Marketing Raw Data'!$C:$O,8,0)),"")</f>
        <v/>
      </c>
      <c r="Q2009" s="62" t="str">
        <f>IFERROR(IF(OR($B2009="",$B2009="(blank)"),"",VLOOKUP($B2009,'Email Marketing Raw Data'!$C:$O,9,0)),"")</f>
        <v/>
      </c>
    </row>
    <row r="2010" spans="4:17" ht="12.75" customHeight="1" x14ac:dyDescent="0.2">
      <c r="D2010" s="58" t="str">
        <f>IFERROR(IF(F2010&lt;&gt;"pending","",IF(OR($B2010="",$B2010="(blank)"),"",VLOOKUP($B2010,'Email Marketing Raw Data'!$C:$O,10,0))),"")</f>
        <v/>
      </c>
      <c r="E2010" s="59" t="str">
        <f>IFERROR(IF(F2010&lt;&gt;"pending","",IF(OR($B2010="",$B2010="(blank)"),"",VLOOKUP($B2010,'Email Marketing Raw Data'!$C:$O,11,0))),"")</f>
        <v/>
      </c>
      <c r="F2010" s="54" t="str">
        <f>IFERROR(IF(OR($B2010="",$B2010="(blank)"),"",VLOOKUP($B2010,'Email Marketing Raw Data'!$C:$O,13,0)),"")</f>
        <v/>
      </c>
      <c r="G2010" s="55" t="str">
        <f>IFERROR(IF(OR($B2010="",$B2010="(blank)"),"",VLOOKUP($B2010,'Email Marketing Raw Data'!$C:$O,4,0)),"")</f>
        <v/>
      </c>
      <c r="H2010" s="55" t="str">
        <f>IFERROR(IF(OR($B2010="",$B2010="(blank)"),"",VLOOKUP($B2010,'Email Marketing Raw Data'!$C:$O,5,0)),"")</f>
        <v/>
      </c>
      <c r="I2010" s="55" t="str">
        <f>IFERROR(IF($G2010="","",VLOOKUP('Dashboard And Emails Automate'!$G2010,Database!$H:$N,3,0)),"")</f>
        <v/>
      </c>
      <c r="J2010" s="55" t="str">
        <f>IFERROR(IF($G2010="","",VLOOKUP('Dashboard And Emails Automate'!$G2010,Database!$H:$N,4,0)),"")</f>
        <v/>
      </c>
      <c r="K2010" s="55" t="str">
        <f>IFERROR(IF($G2010="","",VLOOKUP('Dashboard And Emails Automate'!$G2010,Database!$H:$N,5,0)),"")</f>
        <v/>
      </c>
      <c r="L2010" s="55" t="str">
        <f>IFERROR(IF($G2010="","",VLOOKUP('Dashboard And Emails Automate'!$G2010,Database!$H:$N,6,0)),"")</f>
        <v/>
      </c>
      <c r="M2010" s="55" t="str">
        <f>IFERROR(IF($G2010="","",VLOOKUP('Dashboard And Emails Automate'!$G2010,Database!$H:$N,7,0)),"")</f>
        <v/>
      </c>
      <c r="N2010" s="55" t="str">
        <f>IFERROR(IF(OR($B2010="",$B2010="(blank)"),"",VLOOKUP($B2010,'Email Marketing Raw Data'!$C:$O,6,0)),"")</f>
        <v/>
      </c>
      <c r="O2010" s="55" t="str">
        <f>IFERROR(IF(OR($B2010="",$B2010="(blank)"),"",VLOOKUP($B2010,'Email Marketing Raw Data'!$C:$O,7,0)),"")</f>
        <v/>
      </c>
      <c r="P2010" s="55" t="str">
        <f>IFERROR(IF(OR($B2010="",$B2010="(blank)"),"",VLOOKUP($B2010,'Email Marketing Raw Data'!$C:$O,8,0)),"")</f>
        <v/>
      </c>
      <c r="Q2010" s="62" t="str">
        <f>IFERROR(IF(OR($B2010="",$B2010="(blank)"),"",VLOOKUP($B2010,'Email Marketing Raw Data'!$C:$O,9,0)),"")</f>
        <v/>
      </c>
    </row>
    <row r="2011" spans="4:17" ht="12.75" customHeight="1" x14ac:dyDescent="0.2">
      <c r="D2011" s="58" t="str">
        <f>IFERROR(IF(F2011&lt;&gt;"pending","",IF(OR($B2011="",$B2011="(blank)"),"",VLOOKUP($B2011,'Email Marketing Raw Data'!$C:$O,10,0))),"")</f>
        <v/>
      </c>
      <c r="E2011" s="59" t="str">
        <f>IFERROR(IF(F2011&lt;&gt;"pending","",IF(OR($B2011="",$B2011="(blank)"),"",VLOOKUP($B2011,'Email Marketing Raw Data'!$C:$O,11,0))),"")</f>
        <v/>
      </c>
      <c r="F2011" s="54" t="str">
        <f>IFERROR(IF(OR($B2011="",$B2011="(blank)"),"",VLOOKUP($B2011,'Email Marketing Raw Data'!$C:$O,13,0)),"")</f>
        <v/>
      </c>
      <c r="G2011" s="55" t="str">
        <f>IFERROR(IF(OR($B2011="",$B2011="(blank)"),"",VLOOKUP($B2011,'Email Marketing Raw Data'!$C:$O,4,0)),"")</f>
        <v/>
      </c>
      <c r="H2011" s="55" t="str">
        <f>IFERROR(IF(OR($B2011="",$B2011="(blank)"),"",VLOOKUP($B2011,'Email Marketing Raw Data'!$C:$O,5,0)),"")</f>
        <v/>
      </c>
      <c r="I2011" s="55" t="str">
        <f>IFERROR(IF($G2011="","",VLOOKUP('Dashboard And Emails Automate'!$G2011,Database!$H:$N,3,0)),"")</f>
        <v/>
      </c>
      <c r="J2011" s="55" t="str">
        <f>IFERROR(IF($G2011="","",VLOOKUP('Dashboard And Emails Automate'!$G2011,Database!$H:$N,4,0)),"")</f>
        <v/>
      </c>
      <c r="K2011" s="55" t="str">
        <f>IFERROR(IF($G2011="","",VLOOKUP('Dashboard And Emails Automate'!$G2011,Database!$H:$N,5,0)),"")</f>
        <v/>
      </c>
      <c r="L2011" s="55" t="str">
        <f>IFERROR(IF($G2011="","",VLOOKUP('Dashboard And Emails Automate'!$G2011,Database!$H:$N,6,0)),"")</f>
        <v/>
      </c>
      <c r="M2011" s="55" t="str">
        <f>IFERROR(IF($G2011="","",VLOOKUP('Dashboard And Emails Automate'!$G2011,Database!$H:$N,7,0)),"")</f>
        <v/>
      </c>
      <c r="N2011" s="55" t="str">
        <f>IFERROR(IF(OR($B2011="",$B2011="(blank)"),"",VLOOKUP($B2011,'Email Marketing Raw Data'!$C:$O,6,0)),"")</f>
        <v/>
      </c>
      <c r="O2011" s="55" t="str">
        <f>IFERROR(IF(OR($B2011="",$B2011="(blank)"),"",VLOOKUP($B2011,'Email Marketing Raw Data'!$C:$O,7,0)),"")</f>
        <v/>
      </c>
      <c r="P2011" s="55" t="str">
        <f>IFERROR(IF(OR($B2011="",$B2011="(blank)"),"",VLOOKUP($B2011,'Email Marketing Raw Data'!$C:$O,8,0)),"")</f>
        <v/>
      </c>
      <c r="Q2011" s="62" t="str">
        <f>IFERROR(IF(OR($B2011="",$B2011="(blank)"),"",VLOOKUP($B2011,'Email Marketing Raw Data'!$C:$O,9,0)),"")</f>
        <v/>
      </c>
    </row>
    <row r="2012" spans="4:17" ht="12.75" customHeight="1" x14ac:dyDescent="0.2">
      <c r="D2012" s="58" t="str">
        <f>IFERROR(IF(F2012&lt;&gt;"pending","",IF(OR($B2012="",$B2012="(blank)"),"",VLOOKUP($B2012,'Email Marketing Raw Data'!$C:$O,10,0))),"")</f>
        <v/>
      </c>
      <c r="E2012" s="59" t="str">
        <f>IFERROR(IF(F2012&lt;&gt;"pending","",IF(OR($B2012="",$B2012="(blank)"),"",VLOOKUP($B2012,'Email Marketing Raw Data'!$C:$O,11,0))),"")</f>
        <v/>
      </c>
      <c r="F2012" s="54" t="str">
        <f>IFERROR(IF(OR($B2012="",$B2012="(blank)"),"",VLOOKUP($B2012,'Email Marketing Raw Data'!$C:$O,13,0)),"")</f>
        <v/>
      </c>
      <c r="G2012" s="55" t="str">
        <f>IFERROR(IF(OR($B2012="",$B2012="(blank)"),"",VLOOKUP($B2012,'Email Marketing Raw Data'!$C:$O,4,0)),"")</f>
        <v/>
      </c>
      <c r="H2012" s="55" t="str">
        <f>IFERROR(IF(OR($B2012="",$B2012="(blank)"),"",VLOOKUP($B2012,'Email Marketing Raw Data'!$C:$O,5,0)),"")</f>
        <v/>
      </c>
      <c r="I2012" s="55" t="str">
        <f>IFERROR(IF($G2012="","",VLOOKUP('Dashboard And Emails Automate'!$G2012,Database!$H:$N,3,0)),"")</f>
        <v/>
      </c>
      <c r="J2012" s="55" t="str">
        <f>IFERROR(IF($G2012="","",VLOOKUP('Dashboard And Emails Automate'!$G2012,Database!$H:$N,4,0)),"")</f>
        <v/>
      </c>
      <c r="K2012" s="55" t="str">
        <f>IFERROR(IF($G2012="","",VLOOKUP('Dashboard And Emails Automate'!$G2012,Database!$H:$N,5,0)),"")</f>
        <v/>
      </c>
      <c r="L2012" s="55" t="str">
        <f>IFERROR(IF($G2012="","",VLOOKUP('Dashboard And Emails Automate'!$G2012,Database!$H:$N,6,0)),"")</f>
        <v/>
      </c>
      <c r="M2012" s="55" t="str">
        <f>IFERROR(IF($G2012="","",VLOOKUP('Dashboard And Emails Automate'!$G2012,Database!$H:$N,7,0)),"")</f>
        <v/>
      </c>
      <c r="N2012" s="55" t="str">
        <f>IFERROR(IF(OR($B2012="",$B2012="(blank)"),"",VLOOKUP($B2012,'Email Marketing Raw Data'!$C:$O,6,0)),"")</f>
        <v/>
      </c>
      <c r="O2012" s="55" t="str">
        <f>IFERROR(IF(OR($B2012="",$B2012="(blank)"),"",VLOOKUP($B2012,'Email Marketing Raw Data'!$C:$O,7,0)),"")</f>
        <v/>
      </c>
      <c r="P2012" s="55" t="str">
        <f>IFERROR(IF(OR($B2012="",$B2012="(blank)"),"",VLOOKUP($B2012,'Email Marketing Raw Data'!$C:$O,8,0)),"")</f>
        <v/>
      </c>
      <c r="Q2012" s="62" t="str">
        <f>IFERROR(IF(OR($B2012="",$B2012="(blank)"),"",VLOOKUP($B2012,'Email Marketing Raw Data'!$C:$O,9,0)),"")</f>
        <v/>
      </c>
    </row>
    <row r="2013" spans="4:17" ht="12.75" customHeight="1" x14ac:dyDescent="0.2">
      <c r="D2013" s="58" t="str">
        <f>IFERROR(IF(F2013&lt;&gt;"pending","",IF(OR($B2013="",$B2013="(blank)"),"",VLOOKUP($B2013,'Email Marketing Raw Data'!$C:$O,10,0))),"")</f>
        <v/>
      </c>
      <c r="E2013" s="59" t="str">
        <f>IFERROR(IF(F2013&lt;&gt;"pending","",IF(OR($B2013="",$B2013="(blank)"),"",VLOOKUP($B2013,'Email Marketing Raw Data'!$C:$O,11,0))),"")</f>
        <v/>
      </c>
      <c r="F2013" s="54" t="str">
        <f>IFERROR(IF(OR($B2013="",$B2013="(blank)"),"",VLOOKUP($B2013,'Email Marketing Raw Data'!$C:$O,13,0)),"")</f>
        <v/>
      </c>
      <c r="G2013" s="55" t="str">
        <f>IFERROR(IF(OR($B2013="",$B2013="(blank)"),"",VLOOKUP($B2013,'Email Marketing Raw Data'!$C:$O,4,0)),"")</f>
        <v/>
      </c>
      <c r="H2013" s="55" t="str">
        <f>IFERROR(IF(OR($B2013="",$B2013="(blank)"),"",VLOOKUP($B2013,'Email Marketing Raw Data'!$C:$O,5,0)),"")</f>
        <v/>
      </c>
      <c r="I2013" s="55" t="str">
        <f>IFERROR(IF($G2013="","",VLOOKUP('Dashboard And Emails Automate'!$G2013,Database!$H:$N,3,0)),"")</f>
        <v/>
      </c>
      <c r="J2013" s="55" t="str">
        <f>IFERROR(IF($G2013="","",VLOOKUP('Dashboard And Emails Automate'!$G2013,Database!$H:$N,4,0)),"")</f>
        <v/>
      </c>
      <c r="K2013" s="55" t="str">
        <f>IFERROR(IF($G2013="","",VLOOKUP('Dashboard And Emails Automate'!$G2013,Database!$H:$N,5,0)),"")</f>
        <v/>
      </c>
      <c r="L2013" s="55" t="str">
        <f>IFERROR(IF($G2013="","",VLOOKUP('Dashboard And Emails Automate'!$G2013,Database!$H:$N,6,0)),"")</f>
        <v/>
      </c>
      <c r="M2013" s="55" t="str">
        <f>IFERROR(IF($G2013="","",VLOOKUP('Dashboard And Emails Automate'!$G2013,Database!$H:$N,7,0)),"")</f>
        <v/>
      </c>
      <c r="N2013" s="55" t="str">
        <f>IFERROR(IF(OR($B2013="",$B2013="(blank)"),"",VLOOKUP($B2013,'Email Marketing Raw Data'!$C:$O,6,0)),"")</f>
        <v/>
      </c>
      <c r="O2013" s="55" t="str">
        <f>IFERROR(IF(OR($B2013="",$B2013="(blank)"),"",VLOOKUP($B2013,'Email Marketing Raw Data'!$C:$O,7,0)),"")</f>
        <v/>
      </c>
      <c r="P2013" s="55" t="str">
        <f>IFERROR(IF(OR($B2013="",$B2013="(blank)"),"",VLOOKUP($B2013,'Email Marketing Raw Data'!$C:$O,8,0)),"")</f>
        <v/>
      </c>
      <c r="Q2013" s="62" t="str">
        <f>IFERROR(IF(OR($B2013="",$B2013="(blank)"),"",VLOOKUP($B2013,'Email Marketing Raw Data'!$C:$O,9,0)),"")</f>
        <v/>
      </c>
    </row>
    <row r="2014" spans="4:17" ht="12.75" customHeight="1" x14ac:dyDescent="0.2">
      <c r="D2014" s="58" t="str">
        <f>IFERROR(IF(F2014&lt;&gt;"pending","",IF(OR($B2014="",$B2014="(blank)"),"",VLOOKUP($B2014,'Email Marketing Raw Data'!$C:$O,10,0))),"")</f>
        <v/>
      </c>
      <c r="E2014" s="59" t="str">
        <f>IFERROR(IF(F2014&lt;&gt;"pending","",IF(OR($B2014="",$B2014="(blank)"),"",VLOOKUP($B2014,'Email Marketing Raw Data'!$C:$O,11,0))),"")</f>
        <v/>
      </c>
      <c r="F2014" s="54" t="str">
        <f>IFERROR(IF(OR($B2014="",$B2014="(blank)"),"",VLOOKUP($B2014,'Email Marketing Raw Data'!$C:$O,13,0)),"")</f>
        <v/>
      </c>
      <c r="G2014" s="55" t="str">
        <f>IFERROR(IF(OR($B2014="",$B2014="(blank)"),"",VLOOKUP($B2014,'Email Marketing Raw Data'!$C:$O,4,0)),"")</f>
        <v/>
      </c>
      <c r="H2014" s="55" t="str">
        <f>IFERROR(IF(OR($B2014="",$B2014="(blank)"),"",VLOOKUP($B2014,'Email Marketing Raw Data'!$C:$O,5,0)),"")</f>
        <v/>
      </c>
      <c r="I2014" s="55" t="str">
        <f>IFERROR(IF($G2014="","",VLOOKUP('Dashboard And Emails Automate'!$G2014,Database!$H:$N,3,0)),"")</f>
        <v/>
      </c>
      <c r="J2014" s="55" t="str">
        <f>IFERROR(IF($G2014="","",VLOOKUP('Dashboard And Emails Automate'!$G2014,Database!$H:$N,4,0)),"")</f>
        <v/>
      </c>
      <c r="K2014" s="55" t="str">
        <f>IFERROR(IF($G2014="","",VLOOKUP('Dashboard And Emails Automate'!$G2014,Database!$H:$N,5,0)),"")</f>
        <v/>
      </c>
      <c r="L2014" s="55" t="str">
        <f>IFERROR(IF($G2014="","",VLOOKUP('Dashboard And Emails Automate'!$G2014,Database!$H:$N,6,0)),"")</f>
        <v/>
      </c>
      <c r="M2014" s="55" t="str">
        <f>IFERROR(IF($G2014="","",VLOOKUP('Dashboard And Emails Automate'!$G2014,Database!$H:$N,7,0)),"")</f>
        <v/>
      </c>
      <c r="N2014" s="55" t="str">
        <f>IFERROR(IF(OR($B2014="",$B2014="(blank)"),"",VLOOKUP($B2014,'Email Marketing Raw Data'!$C:$O,6,0)),"")</f>
        <v/>
      </c>
      <c r="O2014" s="55" t="str">
        <f>IFERROR(IF(OR($B2014="",$B2014="(blank)"),"",VLOOKUP($B2014,'Email Marketing Raw Data'!$C:$O,7,0)),"")</f>
        <v/>
      </c>
      <c r="P2014" s="55" t="str">
        <f>IFERROR(IF(OR($B2014="",$B2014="(blank)"),"",VLOOKUP($B2014,'Email Marketing Raw Data'!$C:$O,8,0)),"")</f>
        <v/>
      </c>
      <c r="Q2014" s="62" t="str">
        <f>IFERROR(IF(OR($B2014="",$B2014="(blank)"),"",VLOOKUP($B2014,'Email Marketing Raw Data'!$C:$O,9,0)),"")</f>
        <v/>
      </c>
    </row>
    <row r="2015" spans="4:17" ht="12.75" customHeight="1" x14ac:dyDescent="0.2">
      <c r="D2015" s="58" t="str">
        <f>IFERROR(IF(F2015&lt;&gt;"pending","",IF(OR($B2015="",$B2015="(blank)"),"",VLOOKUP($B2015,'Email Marketing Raw Data'!$C:$O,10,0))),"")</f>
        <v/>
      </c>
      <c r="E2015" s="59" t="str">
        <f>IFERROR(IF(F2015&lt;&gt;"pending","",IF(OR($B2015="",$B2015="(blank)"),"",VLOOKUP($B2015,'Email Marketing Raw Data'!$C:$O,11,0))),"")</f>
        <v/>
      </c>
      <c r="F2015" s="54" t="str">
        <f>IFERROR(IF(OR($B2015="",$B2015="(blank)"),"",VLOOKUP($B2015,'Email Marketing Raw Data'!$C:$O,13,0)),"")</f>
        <v/>
      </c>
      <c r="G2015" s="55" t="str">
        <f>IFERROR(IF(OR($B2015="",$B2015="(blank)"),"",VLOOKUP($B2015,'Email Marketing Raw Data'!$C:$O,4,0)),"")</f>
        <v/>
      </c>
      <c r="H2015" s="55" t="str">
        <f>IFERROR(IF(OR($B2015="",$B2015="(blank)"),"",VLOOKUP($B2015,'Email Marketing Raw Data'!$C:$O,5,0)),"")</f>
        <v/>
      </c>
      <c r="I2015" s="55" t="str">
        <f>IFERROR(IF($G2015="","",VLOOKUP('Dashboard And Emails Automate'!$G2015,Database!$H:$N,3,0)),"")</f>
        <v/>
      </c>
      <c r="J2015" s="55" t="str">
        <f>IFERROR(IF($G2015="","",VLOOKUP('Dashboard And Emails Automate'!$G2015,Database!$H:$N,4,0)),"")</f>
        <v/>
      </c>
      <c r="K2015" s="55" t="str">
        <f>IFERROR(IF($G2015="","",VLOOKUP('Dashboard And Emails Automate'!$G2015,Database!$H:$N,5,0)),"")</f>
        <v/>
      </c>
      <c r="L2015" s="55" t="str">
        <f>IFERROR(IF($G2015="","",VLOOKUP('Dashboard And Emails Automate'!$G2015,Database!$H:$N,6,0)),"")</f>
        <v/>
      </c>
      <c r="M2015" s="55" t="str">
        <f>IFERROR(IF($G2015="","",VLOOKUP('Dashboard And Emails Automate'!$G2015,Database!$H:$N,7,0)),"")</f>
        <v/>
      </c>
      <c r="N2015" s="55" t="str">
        <f>IFERROR(IF(OR($B2015="",$B2015="(blank)"),"",VLOOKUP($B2015,'Email Marketing Raw Data'!$C:$O,6,0)),"")</f>
        <v/>
      </c>
      <c r="O2015" s="55" t="str">
        <f>IFERROR(IF(OR($B2015="",$B2015="(blank)"),"",VLOOKUP($B2015,'Email Marketing Raw Data'!$C:$O,7,0)),"")</f>
        <v/>
      </c>
      <c r="P2015" s="55" t="str">
        <f>IFERROR(IF(OR($B2015="",$B2015="(blank)"),"",VLOOKUP($B2015,'Email Marketing Raw Data'!$C:$O,8,0)),"")</f>
        <v/>
      </c>
      <c r="Q2015" s="62" t="str">
        <f>IFERROR(IF(OR($B2015="",$B2015="(blank)"),"",VLOOKUP($B2015,'Email Marketing Raw Data'!$C:$O,9,0)),"")</f>
        <v/>
      </c>
    </row>
    <row r="2016" spans="4:17" ht="12.75" customHeight="1" x14ac:dyDescent="0.2">
      <c r="D2016" s="58" t="str">
        <f>IFERROR(IF(F2016&lt;&gt;"pending","",IF(OR($B2016="",$B2016="(blank)"),"",VLOOKUP($B2016,'Email Marketing Raw Data'!$C:$O,10,0))),"")</f>
        <v/>
      </c>
      <c r="E2016" s="59" t="str">
        <f>IFERROR(IF(F2016&lt;&gt;"pending","",IF(OR($B2016="",$B2016="(blank)"),"",VLOOKUP($B2016,'Email Marketing Raw Data'!$C:$O,11,0))),"")</f>
        <v/>
      </c>
      <c r="F2016" s="54" t="str">
        <f>IFERROR(IF(OR($B2016="",$B2016="(blank)"),"",VLOOKUP($B2016,'Email Marketing Raw Data'!$C:$O,13,0)),"")</f>
        <v/>
      </c>
      <c r="G2016" s="55" t="str">
        <f>IFERROR(IF(OR($B2016="",$B2016="(blank)"),"",VLOOKUP($B2016,'Email Marketing Raw Data'!$C:$O,4,0)),"")</f>
        <v/>
      </c>
      <c r="H2016" s="55" t="str">
        <f>IFERROR(IF(OR($B2016="",$B2016="(blank)"),"",VLOOKUP($B2016,'Email Marketing Raw Data'!$C:$O,5,0)),"")</f>
        <v/>
      </c>
      <c r="I2016" s="55" t="str">
        <f>IFERROR(IF($G2016="","",VLOOKUP('Dashboard And Emails Automate'!$G2016,Database!$H:$N,3,0)),"")</f>
        <v/>
      </c>
      <c r="J2016" s="55" t="str">
        <f>IFERROR(IF($G2016="","",VLOOKUP('Dashboard And Emails Automate'!$G2016,Database!$H:$N,4,0)),"")</f>
        <v/>
      </c>
      <c r="K2016" s="55" t="str">
        <f>IFERROR(IF($G2016="","",VLOOKUP('Dashboard And Emails Automate'!$G2016,Database!$H:$N,5,0)),"")</f>
        <v/>
      </c>
      <c r="L2016" s="55" t="str">
        <f>IFERROR(IF($G2016="","",VLOOKUP('Dashboard And Emails Automate'!$G2016,Database!$H:$N,6,0)),"")</f>
        <v/>
      </c>
      <c r="M2016" s="55" t="str">
        <f>IFERROR(IF($G2016="","",VLOOKUP('Dashboard And Emails Automate'!$G2016,Database!$H:$N,7,0)),"")</f>
        <v/>
      </c>
      <c r="N2016" s="55" t="str">
        <f>IFERROR(IF(OR($B2016="",$B2016="(blank)"),"",VLOOKUP($B2016,'Email Marketing Raw Data'!$C:$O,6,0)),"")</f>
        <v/>
      </c>
      <c r="O2016" s="55" t="str">
        <f>IFERROR(IF(OR($B2016="",$B2016="(blank)"),"",VLOOKUP($B2016,'Email Marketing Raw Data'!$C:$O,7,0)),"")</f>
        <v/>
      </c>
      <c r="P2016" s="55" t="str">
        <f>IFERROR(IF(OR($B2016="",$B2016="(blank)"),"",VLOOKUP($B2016,'Email Marketing Raw Data'!$C:$O,8,0)),"")</f>
        <v/>
      </c>
      <c r="Q2016" s="62" t="str">
        <f>IFERROR(IF(OR($B2016="",$B2016="(blank)"),"",VLOOKUP($B2016,'Email Marketing Raw Data'!$C:$O,9,0)),"")</f>
        <v/>
      </c>
    </row>
    <row r="2017" spans="4:17" ht="12.75" customHeight="1" x14ac:dyDescent="0.2">
      <c r="D2017" s="58" t="str">
        <f>IFERROR(IF(F2017&lt;&gt;"pending","",IF(OR($B2017="",$B2017="(blank)"),"",VLOOKUP($B2017,'Email Marketing Raw Data'!$C:$O,10,0))),"")</f>
        <v/>
      </c>
      <c r="E2017" s="59" t="str">
        <f>IFERROR(IF(F2017&lt;&gt;"pending","",IF(OR($B2017="",$B2017="(blank)"),"",VLOOKUP($B2017,'Email Marketing Raw Data'!$C:$O,11,0))),"")</f>
        <v/>
      </c>
      <c r="F2017" s="54" t="str">
        <f>IFERROR(IF(OR($B2017="",$B2017="(blank)"),"",VLOOKUP($B2017,'Email Marketing Raw Data'!$C:$O,13,0)),"")</f>
        <v/>
      </c>
      <c r="G2017" s="55" t="str">
        <f>IFERROR(IF(OR($B2017="",$B2017="(blank)"),"",VLOOKUP($B2017,'Email Marketing Raw Data'!$C:$O,4,0)),"")</f>
        <v/>
      </c>
      <c r="H2017" s="55" t="str">
        <f>IFERROR(IF(OR($B2017="",$B2017="(blank)"),"",VLOOKUP($B2017,'Email Marketing Raw Data'!$C:$O,5,0)),"")</f>
        <v/>
      </c>
      <c r="I2017" s="55" t="str">
        <f>IFERROR(IF($G2017="","",VLOOKUP('Dashboard And Emails Automate'!$G2017,Database!$H:$N,3,0)),"")</f>
        <v/>
      </c>
      <c r="J2017" s="55" t="str">
        <f>IFERROR(IF($G2017="","",VLOOKUP('Dashboard And Emails Automate'!$G2017,Database!$H:$N,4,0)),"")</f>
        <v/>
      </c>
      <c r="K2017" s="55" t="str">
        <f>IFERROR(IF($G2017="","",VLOOKUP('Dashboard And Emails Automate'!$G2017,Database!$H:$N,5,0)),"")</f>
        <v/>
      </c>
      <c r="L2017" s="55" t="str">
        <f>IFERROR(IF($G2017="","",VLOOKUP('Dashboard And Emails Automate'!$G2017,Database!$H:$N,6,0)),"")</f>
        <v/>
      </c>
      <c r="M2017" s="55" t="str">
        <f>IFERROR(IF($G2017="","",VLOOKUP('Dashboard And Emails Automate'!$G2017,Database!$H:$N,7,0)),"")</f>
        <v/>
      </c>
      <c r="N2017" s="55" t="str">
        <f>IFERROR(IF(OR($B2017="",$B2017="(blank)"),"",VLOOKUP($B2017,'Email Marketing Raw Data'!$C:$O,6,0)),"")</f>
        <v/>
      </c>
      <c r="O2017" s="55" t="str">
        <f>IFERROR(IF(OR($B2017="",$B2017="(blank)"),"",VLOOKUP($B2017,'Email Marketing Raw Data'!$C:$O,7,0)),"")</f>
        <v/>
      </c>
      <c r="P2017" s="55" t="str">
        <f>IFERROR(IF(OR($B2017="",$B2017="(blank)"),"",VLOOKUP($B2017,'Email Marketing Raw Data'!$C:$O,8,0)),"")</f>
        <v/>
      </c>
      <c r="Q2017" s="62" t="str">
        <f>IFERROR(IF(OR($B2017="",$B2017="(blank)"),"",VLOOKUP($B2017,'Email Marketing Raw Data'!$C:$O,9,0)),"")</f>
        <v/>
      </c>
    </row>
    <row r="2018" spans="4:17" ht="12.75" customHeight="1" x14ac:dyDescent="0.2">
      <c r="D2018" s="58" t="str">
        <f>IFERROR(IF(F2018&lt;&gt;"pending","",IF(OR($B2018="",$B2018="(blank)"),"",VLOOKUP($B2018,'Email Marketing Raw Data'!$C:$O,10,0))),"")</f>
        <v/>
      </c>
      <c r="E2018" s="59" t="str">
        <f>IFERROR(IF(F2018&lt;&gt;"pending","",IF(OR($B2018="",$B2018="(blank)"),"",VLOOKUP($B2018,'Email Marketing Raw Data'!$C:$O,11,0))),"")</f>
        <v/>
      </c>
      <c r="F2018" s="54" t="str">
        <f>IFERROR(IF(OR($B2018="",$B2018="(blank)"),"",VLOOKUP($B2018,'Email Marketing Raw Data'!$C:$O,13,0)),"")</f>
        <v/>
      </c>
      <c r="G2018" s="55" t="str">
        <f>IFERROR(IF(OR($B2018="",$B2018="(blank)"),"",VLOOKUP($B2018,'Email Marketing Raw Data'!$C:$O,4,0)),"")</f>
        <v/>
      </c>
      <c r="H2018" s="55" t="str">
        <f>IFERROR(IF(OR($B2018="",$B2018="(blank)"),"",VLOOKUP($B2018,'Email Marketing Raw Data'!$C:$O,5,0)),"")</f>
        <v/>
      </c>
      <c r="I2018" s="55" t="str">
        <f>IFERROR(IF($G2018="","",VLOOKUP('Dashboard And Emails Automate'!$G2018,Database!$H:$N,3,0)),"")</f>
        <v/>
      </c>
      <c r="J2018" s="55" t="str">
        <f>IFERROR(IF($G2018="","",VLOOKUP('Dashboard And Emails Automate'!$G2018,Database!$H:$N,4,0)),"")</f>
        <v/>
      </c>
      <c r="K2018" s="55" t="str">
        <f>IFERROR(IF($G2018="","",VLOOKUP('Dashboard And Emails Automate'!$G2018,Database!$H:$N,5,0)),"")</f>
        <v/>
      </c>
      <c r="L2018" s="55" t="str">
        <f>IFERROR(IF($G2018="","",VLOOKUP('Dashboard And Emails Automate'!$G2018,Database!$H:$N,6,0)),"")</f>
        <v/>
      </c>
      <c r="M2018" s="55" t="str">
        <f>IFERROR(IF($G2018="","",VLOOKUP('Dashboard And Emails Automate'!$G2018,Database!$H:$N,7,0)),"")</f>
        <v/>
      </c>
      <c r="N2018" s="55" t="str">
        <f>IFERROR(IF(OR($B2018="",$B2018="(blank)"),"",VLOOKUP($B2018,'Email Marketing Raw Data'!$C:$O,6,0)),"")</f>
        <v/>
      </c>
      <c r="O2018" s="55" t="str">
        <f>IFERROR(IF(OR($B2018="",$B2018="(blank)"),"",VLOOKUP($B2018,'Email Marketing Raw Data'!$C:$O,7,0)),"")</f>
        <v/>
      </c>
      <c r="P2018" s="55" t="str">
        <f>IFERROR(IF(OR($B2018="",$B2018="(blank)"),"",VLOOKUP($B2018,'Email Marketing Raw Data'!$C:$O,8,0)),"")</f>
        <v/>
      </c>
      <c r="Q2018" s="62" t="str">
        <f>IFERROR(IF(OR($B2018="",$B2018="(blank)"),"",VLOOKUP($B2018,'Email Marketing Raw Data'!$C:$O,9,0)),"")</f>
        <v/>
      </c>
    </row>
    <row r="2019" spans="4:17" ht="12.75" customHeight="1" x14ac:dyDescent="0.2">
      <c r="D2019" s="58" t="str">
        <f>IFERROR(IF(F2019&lt;&gt;"pending","",IF(OR($B2019="",$B2019="(blank)"),"",VLOOKUP($B2019,'Email Marketing Raw Data'!$C:$O,10,0))),"")</f>
        <v/>
      </c>
      <c r="E2019" s="59" t="str">
        <f>IFERROR(IF(F2019&lt;&gt;"pending","",IF(OR($B2019="",$B2019="(blank)"),"",VLOOKUP($B2019,'Email Marketing Raw Data'!$C:$O,11,0))),"")</f>
        <v/>
      </c>
      <c r="F2019" s="54" t="str">
        <f>IFERROR(IF(OR($B2019="",$B2019="(blank)"),"",VLOOKUP($B2019,'Email Marketing Raw Data'!$C:$O,13,0)),"")</f>
        <v/>
      </c>
      <c r="G2019" s="55" t="str">
        <f>IFERROR(IF(OR($B2019="",$B2019="(blank)"),"",VLOOKUP($B2019,'Email Marketing Raw Data'!$C:$O,4,0)),"")</f>
        <v/>
      </c>
      <c r="H2019" s="55" t="str">
        <f>IFERROR(IF(OR($B2019="",$B2019="(blank)"),"",VLOOKUP($B2019,'Email Marketing Raw Data'!$C:$O,5,0)),"")</f>
        <v/>
      </c>
      <c r="I2019" s="55" t="str">
        <f>IFERROR(IF($G2019="","",VLOOKUP('Dashboard And Emails Automate'!$G2019,Database!$H:$N,3,0)),"")</f>
        <v/>
      </c>
      <c r="J2019" s="55" t="str">
        <f>IFERROR(IF($G2019="","",VLOOKUP('Dashboard And Emails Automate'!$G2019,Database!$H:$N,4,0)),"")</f>
        <v/>
      </c>
      <c r="K2019" s="55" t="str">
        <f>IFERROR(IF($G2019="","",VLOOKUP('Dashboard And Emails Automate'!$G2019,Database!$H:$N,5,0)),"")</f>
        <v/>
      </c>
      <c r="L2019" s="55" t="str">
        <f>IFERROR(IF($G2019="","",VLOOKUP('Dashboard And Emails Automate'!$G2019,Database!$H:$N,6,0)),"")</f>
        <v/>
      </c>
      <c r="M2019" s="55" t="str">
        <f>IFERROR(IF($G2019="","",VLOOKUP('Dashboard And Emails Automate'!$G2019,Database!$H:$N,7,0)),"")</f>
        <v/>
      </c>
      <c r="N2019" s="55" t="str">
        <f>IFERROR(IF(OR($B2019="",$B2019="(blank)"),"",VLOOKUP($B2019,'Email Marketing Raw Data'!$C:$O,6,0)),"")</f>
        <v/>
      </c>
      <c r="O2019" s="55" t="str">
        <f>IFERROR(IF(OR($B2019="",$B2019="(blank)"),"",VLOOKUP($B2019,'Email Marketing Raw Data'!$C:$O,7,0)),"")</f>
        <v/>
      </c>
      <c r="P2019" s="55" t="str">
        <f>IFERROR(IF(OR($B2019="",$B2019="(blank)"),"",VLOOKUP($B2019,'Email Marketing Raw Data'!$C:$O,8,0)),"")</f>
        <v/>
      </c>
      <c r="Q2019" s="62" t="str">
        <f>IFERROR(IF(OR($B2019="",$B2019="(blank)"),"",VLOOKUP($B2019,'Email Marketing Raw Data'!$C:$O,9,0)),"")</f>
        <v/>
      </c>
    </row>
    <row r="2020" spans="4:17" ht="12.75" customHeight="1" x14ac:dyDescent="0.2">
      <c r="D2020" s="58" t="str">
        <f>IFERROR(IF(F2020&lt;&gt;"pending","",IF(OR($B2020="",$B2020="(blank)"),"",VLOOKUP($B2020,'Email Marketing Raw Data'!$C:$O,10,0))),"")</f>
        <v/>
      </c>
      <c r="E2020" s="59" t="str">
        <f>IFERROR(IF(F2020&lt;&gt;"pending","",IF(OR($B2020="",$B2020="(blank)"),"",VLOOKUP($B2020,'Email Marketing Raw Data'!$C:$O,11,0))),"")</f>
        <v/>
      </c>
      <c r="F2020" s="54" t="str">
        <f>IFERROR(IF(OR($B2020="",$B2020="(blank)"),"",VLOOKUP($B2020,'Email Marketing Raw Data'!$C:$O,13,0)),"")</f>
        <v/>
      </c>
      <c r="G2020" s="55" t="str">
        <f>IFERROR(IF(OR($B2020="",$B2020="(blank)"),"",VLOOKUP($B2020,'Email Marketing Raw Data'!$C:$O,4,0)),"")</f>
        <v/>
      </c>
      <c r="H2020" s="55" t="str">
        <f>IFERROR(IF(OR($B2020="",$B2020="(blank)"),"",VLOOKUP($B2020,'Email Marketing Raw Data'!$C:$O,5,0)),"")</f>
        <v/>
      </c>
      <c r="I2020" s="55" t="str">
        <f>IFERROR(IF($G2020="","",VLOOKUP('Dashboard And Emails Automate'!$G2020,Database!$H:$N,3,0)),"")</f>
        <v/>
      </c>
      <c r="J2020" s="55" t="str">
        <f>IFERROR(IF($G2020="","",VLOOKUP('Dashboard And Emails Automate'!$G2020,Database!$H:$N,4,0)),"")</f>
        <v/>
      </c>
      <c r="K2020" s="55" t="str">
        <f>IFERROR(IF($G2020="","",VLOOKUP('Dashboard And Emails Automate'!$G2020,Database!$H:$N,5,0)),"")</f>
        <v/>
      </c>
      <c r="L2020" s="55" t="str">
        <f>IFERROR(IF($G2020="","",VLOOKUP('Dashboard And Emails Automate'!$G2020,Database!$H:$N,6,0)),"")</f>
        <v/>
      </c>
      <c r="M2020" s="55" t="str">
        <f>IFERROR(IF($G2020="","",VLOOKUP('Dashboard And Emails Automate'!$G2020,Database!$H:$N,7,0)),"")</f>
        <v/>
      </c>
      <c r="N2020" s="55" t="str">
        <f>IFERROR(IF(OR($B2020="",$B2020="(blank)"),"",VLOOKUP($B2020,'Email Marketing Raw Data'!$C:$O,6,0)),"")</f>
        <v/>
      </c>
      <c r="O2020" s="55" t="str">
        <f>IFERROR(IF(OR($B2020="",$B2020="(blank)"),"",VLOOKUP($B2020,'Email Marketing Raw Data'!$C:$O,7,0)),"")</f>
        <v/>
      </c>
      <c r="P2020" s="55" t="str">
        <f>IFERROR(IF(OR($B2020="",$B2020="(blank)"),"",VLOOKUP($B2020,'Email Marketing Raw Data'!$C:$O,8,0)),"")</f>
        <v/>
      </c>
      <c r="Q2020" s="62" t="str">
        <f>IFERROR(IF(OR($B2020="",$B2020="(blank)"),"",VLOOKUP($B2020,'Email Marketing Raw Data'!$C:$O,9,0)),"")</f>
        <v/>
      </c>
    </row>
    <row r="2021" spans="4:17" ht="12.75" customHeight="1" x14ac:dyDescent="0.2">
      <c r="D2021" s="58" t="str">
        <f>IFERROR(IF(F2021&lt;&gt;"pending","",IF(OR($B2021="",$B2021="(blank)"),"",VLOOKUP($B2021,'Email Marketing Raw Data'!$C:$O,10,0))),"")</f>
        <v/>
      </c>
      <c r="E2021" s="59" t="str">
        <f>IFERROR(IF(F2021&lt;&gt;"pending","",IF(OR($B2021="",$B2021="(blank)"),"",VLOOKUP($B2021,'Email Marketing Raw Data'!$C:$O,11,0))),"")</f>
        <v/>
      </c>
      <c r="F2021" s="54" t="str">
        <f>IFERROR(IF(OR($B2021="",$B2021="(blank)"),"",VLOOKUP($B2021,'Email Marketing Raw Data'!$C:$O,13,0)),"")</f>
        <v/>
      </c>
      <c r="G2021" s="55" t="str">
        <f>IFERROR(IF(OR($B2021="",$B2021="(blank)"),"",VLOOKUP($B2021,'Email Marketing Raw Data'!$C:$O,4,0)),"")</f>
        <v/>
      </c>
      <c r="H2021" s="55" t="str">
        <f>IFERROR(IF(OR($B2021="",$B2021="(blank)"),"",VLOOKUP($B2021,'Email Marketing Raw Data'!$C:$O,5,0)),"")</f>
        <v/>
      </c>
      <c r="I2021" s="55" t="str">
        <f>IFERROR(IF($G2021="","",VLOOKUP('Dashboard And Emails Automate'!$G2021,Database!$H:$N,3,0)),"")</f>
        <v/>
      </c>
      <c r="J2021" s="55" t="str">
        <f>IFERROR(IF($G2021="","",VLOOKUP('Dashboard And Emails Automate'!$G2021,Database!$H:$N,4,0)),"")</f>
        <v/>
      </c>
      <c r="K2021" s="55" t="str">
        <f>IFERROR(IF($G2021="","",VLOOKUP('Dashboard And Emails Automate'!$G2021,Database!$H:$N,5,0)),"")</f>
        <v/>
      </c>
      <c r="L2021" s="55" t="str">
        <f>IFERROR(IF($G2021="","",VLOOKUP('Dashboard And Emails Automate'!$G2021,Database!$H:$N,6,0)),"")</f>
        <v/>
      </c>
      <c r="M2021" s="55" t="str">
        <f>IFERROR(IF($G2021="","",VLOOKUP('Dashboard And Emails Automate'!$G2021,Database!$H:$N,7,0)),"")</f>
        <v/>
      </c>
      <c r="N2021" s="55" t="str">
        <f>IFERROR(IF(OR($B2021="",$B2021="(blank)"),"",VLOOKUP($B2021,'Email Marketing Raw Data'!$C:$O,6,0)),"")</f>
        <v/>
      </c>
      <c r="O2021" s="55" t="str">
        <f>IFERROR(IF(OR($B2021="",$B2021="(blank)"),"",VLOOKUP($B2021,'Email Marketing Raw Data'!$C:$O,7,0)),"")</f>
        <v/>
      </c>
      <c r="P2021" s="55" t="str">
        <f>IFERROR(IF(OR($B2021="",$B2021="(blank)"),"",VLOOKUP($B2021,'Email Marketing Raw Data'!$C:$O,8,0)),"")</f>
        <v/>
      </c>
      <c r="Q2021" s="62" t="str">
        <f>IFERROR(IF(OR($B2021="",$B2021="(blank)"),"",VLOOKUP($B2021,'Email Marketing Raw Data'!$C:$O,9,0)),"")</f>
        <v/>
      </c>
    </row>
    <row r="2022" spans="4:17" ht="12.75" customHeight="1" x14ac:dyDescent="0.2">
      <c r="D2022" s="58" t="str">
        <f>IFERROR(IF(F2022&lt;&gt;"pending","",IF(OR($B2022="",$B2022="(blank)"),"",VLOOKUP($B2022,'Email Marketing Raw Data'!$C:$O,10,0))),"")</f>
        <v/>
      </c>
      <c r="E2022" s="59" t="str">
        <f>IFERROR(IF(F2022&lt;&gt;"pending","",IF(OR($B2022="",$B2022="(blank)"),"",VLOOKUP($B2022,'Email Marketing Raw Data'!$C:$O,11,0))),"")</f>
        <v/>
      </c>
      <c r="F2022" s="54" t="str">
        <f>IFERROR(IF(OR($B2022="",$B2022="(blank)"),"",VLOOKUP($B2022,'Email Marketing Raw Data'!$C:$O,13,0)),"")</f>
        <v/>
      </c>
      <c r="G2022" s="55" t="str">
        <f>IFERROR(IF(OR($B2022="",$B2022="(blank)"),"",VLOOKUP($B2022,'Email Marketing Raw Data'!$C:$O,4,0)),"")</f>
        <v/>
      </c>
      <c r="H2022" s="55" t="str">
        <f>IFERROR(IF(OR($B2022="",$B2022="(blank)"),"",VLOOKUP($B2022,'Email Marketing Raw Data'!$C:$O,5,0)),"")</f>
        <v/>
      </c>
      <c r="I2022" s="55" t="str">
        <f>IFERROR(IF($G2022="","",VLOOKUP('Dashboard And Emails Automate'!$G2022,Database!$H:$N,3,0)),"")</f>
        <v/>
      </c>
      <c r="J2022" s="55" t="str">
        <f>IFERROR(IF($G2022="","",VLOOKUP('Dashboard And Emails Automate'!$G2022,Database!$H:$N,4,0)),"")</f>
        <v/>
      </c>
      <c r="K2022" s="55" t="str">
        <f>IFERROR(IF($G2022="","",VLOOKUP('Dashboard And Emails Automate'!$G2022,Database!$H:$N,5,0)),"")</f>
        <v/>
      </c>
      <c r="L2022" s="55" t="str">
        <f>IFERROR(IF($G2022="","",VLOOKUP('Dashboard And Emails Automate'!$G2022,Database!$H:$N,6,0)),"")</f>
        <v/>
      </c>
      <c r="M2022" s="55" t="str">
        <f>IFERROR(IF($G2022="","",VLOOKUP('Dashboard And Emails Automate'!$G2022,Database!$H:$N,7,0)),"")</f>
        <v/>
      </c>
      <c r="N2022" s="55" t="str">
        <f>IFERROR(IF(OR($B2022="",$B2022="(blank)"),"",VLOOKUP($B2022,'Email Marketing Raw Data'!$C:$O,6,0)),"")</f>
        <v/>
      </c>
      <c r="O2022" s="55" t="str">
        <f>IFERROR(IF(OR($B2022="",$B2022="(blank)"),"",VLOOKUP($B2022,'Email Marketing Raw Data'!$C:$O,7,0)),"")</f>
        <v/>
      </c>
      <c r="P2022" s="55" t="str">
        <f>IFERROR(IF(OR($B2022="",$B2022="(blank)"),"",VLOOKUP($B2022,'Email Marketing Raw Data'!$C:$O,8,0)),"")</f>
        <v/>
      </c>
      <c r="Q2022" s="62" t="str">
        <f>IFERROR(IF(OR($B2022="",$B2022="(blank)"),"",VLOOKUP($B2022,'Email Marketing Raw Data'!$C:$O,9,0)),"")</f>
        <v/>
      </c>
    </row>
    <row r="2023" spans="4:17" ht="12.75" customHeight="1" x14ac:dyDescent="0.2">
      <c r="D2023" s="58" t="str">
        <f>IFERROR(IF(F2023&lt;&gt;"pending","",IF(OR($B2023="",$B2023="(blank)"),"",VLOOKUP($B2023,'Email Marketing Raw Data'!$C:$O,10,0))),"")</f>
        <v/>
      </c>
      <c r="E2023" s="59" t="str">
        <f>IFERROR(IF(F2023&lt;&gt;"pending","",IF(OR($B2023="",$B2023="(blank)"),"",VLOOKUP($B2023,'Email Marketing Raw Data'!$C:$O,11,0))),"")</f>
        <v/>
      </c>
      <c r="F2023" s="54" t="str">
        <f>IFERROR(IF(OR($B2023="",$B2023="(blank)"),"",VLOOKUP($B2023,'Email Marketing Raw Data'!$C:$O,13,0)),"")</f>
        <v/>
      </c>
      <c r="G2023" s="55" t="str">
        <f>IFERROR(IF(OR($B2023="",$B2023="(blank)"),"",VLOOKUP($B2023,'Email Marketing Raw Data'!$C:$O,4,0)),"")</f>
        <v/>
      </c>
      <c r="H2023" s="55" t="str">
        <f>IFERROR(IF(OR($B2023="",$B2023="(blank)"),"",VLOOKUP($B2023,'Email Marketing Raw Data'!$C:$O,5,0)),"")</f>
        <v/>
      </c>
      <c r="I2023" s="55" t="str">
        <f>IFERROR(IF($G2023="","",VLOOKUP('Dashboard And Emails Automate'!$G2023,Database!$H:$N,3,0)),"")</f>
        <v/>
      </c>
      <c r="J2023" s="55" t="str">
        <f>IFERROR(IF($G2023="","",VLOOKUP('Dashboard And Emails Automate'!$G2023,Database!$H:$N,4,0)),"")</f>
        <v/>
      </c>
      <c r="K2023" s="55" t="str">
        <f>IFERROR(IF($G2023="","",VLOOKUP('Dashboard And Emails Automate'!$G2023,Database!$H:$N,5,0)),"")</f>
        <v/>
      </c>
      <c r="L2023" s="55" t="str">
        <f>IFERROR(IF($G2023="","",VLOOKUP('Dashboard And Emails Automate'!$G2023,Database!$H:$N,6,0)),"")</f>
        <v/>
      </c>
      <c r="M2023" s="55" t="str">
        <f>IFERROR(IF($G2023="","",VLOOKUP('Dashboard And Emails Automate'!$G2023,Database!$H:$N,7,0)),"")</f>
        <v/>
      </c>
      <c r="N2023" s="55" t="str">
        <f>IFERROR(IF(OR($B2023="",$B2023="(blank)"),"",VLOOKUP($B2023,'Email Marketing Raw Data'!$C:$O,6,0)),"")</f>
        <v/>
      </c>
      <c r="O2023" s="55" t="str">
        <f>IFERROR(IF(OR($B2023="",$B2023="(blank)"),"",VLOOKUP($B2023,'Email Marketing Raw Data'!$C:$O,7,0)),"")</f>
        <v/>
      </c>
      <c r="P2023" s="55" t="str">
        <f>IFERROR(IF(OR($B2023="",$B2023="(blank)"),"",VLOOKUP($B2023,'Email Marketing Raw Data'!$C:$O,8,0)),"")</f>
        <v/>
      </c>
      <c r="Q2023" s="62" t="str">
        <f>IFERROR(IF(OR($B2023="",$B2023="(blank)"),"",VLOOKUP($B2023,'Email Marketing Raw Data'!$C:$O,9,0)),"")</f>
        <v/>
      </c>
    </row>
    <row r="2024" spans="4:17" ht="12.75" customHeight="1" x14ac:dyDescent="0.2">
      <c r="D2024" s="58" t="str">
        <f>IFERROR(IF(F2024&lt;&gt;"pending","",IF(OR($B2024="",$B2024="(blank)"),"",VLOOKUP($B2024,'Email Marketing Raw Data'!$C:$O,10,0))),"")</f>
        <v/>
      </c>
      <c r="E2024" s="59" t="str">
        <f>IFERROR(IF(F2024&lt;&gt;"pending","",IF(OR($B2024="",$B2024="(blank)"),"",VLOOKUP($B2024,'Email Marketing Raw Data'!$C:$O,11,0))),"")</f>
        <v/>
      </c>
      <c r="F2024" s="54" t="str">
        <f>IFERROR(IF(OR($B2024="",$B2024="(blank)"),"",VLOOKUP($B2024,'Email Marketing Raw Data'!$C:$O,13,0)),"")</f>
        <v/>
      </c>
      <c r="G2024" s="55" t="str">
        <f>IFERROR(IF(OR($B2024="",$B2024="(blank)"),"",VLOOKUP($B2024,'Email Marketing Raw Data'!$C:$O,4,0)),"")</f>
        <v/>
      </c>
      <c r="H2024" s="55" t="str">
        <f>IFERROR(IF(OR($B2024="",$B2024="(blank)"),"",VLOOKUP($B2024,'Email Marketing Raw Data'!$C:$O,5,0)),"")</f>
        <v/>
      </c>
      <c r="I2024" s="55" t="str">
        <f>IFERROR(IF($G2024="","",VLOOKUP('Dashboard And Emails Automate'!$G2024,Database!$H:$N,3,0)),"")</f>
        <v/>
      </c>
      <c r="J2024" s="55" t="str">
        <f>IFERROR(IF($G2024="","",VLOOKUP('Dashboard And Emails Automate'!$G2024,Database!$H:$N,4,0)),"")</f>
        <v/>
      </c>
      <c r="K2024" s="55" t="str">
        <f>IFERROR(IF($G2024="","",VLOOKUP('Dashboard And Emails Automate'!$G2024,Database!$H:$N,5,0)),"")</f>
        <v/>
      </c>
      <c r="L2024" s="55" t="str">
        <f>IFERROR(IF($G2024="","",VLOOKUP('Dashboard And Emails Automate'!$G2024,Database!$H:$N,6,0)),"")</f>
        <v/>
      </c>
      <c r="M2024" s="55" t="str">
        <f>IFERROR(IF($G2024="","",VLOOKUP('Dashboard And Emails Automate'!$G2024,Database!$H:$N,7,0)),"")</f>
        <v/>
      </c>
      <c r="N2024" s="55" t="str">
        <f>IFERROR(IF(OR($B2024="",$B2024="(blank)"),"",VLOOKUP($B2024,'Email Marketing Raw Data'!$C:$O,6,0)),"")</f>
        <v/>
      </c>
      <c r="O2024" s="55" t="str">
        <f>IFERROR(IF(OR($B2024="",$B2024="(blank)"),"",VLOOKUP($B2024,'Email Marketing Raw Data'!$C:$O,7,0)),"")</f>
        <v/>
      </c>
      <c r="P2024" s="55" t="str">
        <f>IFERROR(IF(OR($B2024="",$B2024="(blank)"),"",VLOOKUP($B2024,'Email Marketing Raw Data'!$C:$O,8,0)),"")</f>
        <v/>
      </c>
      <c r="Q2024" s="62" t="str">
        <f>IFERROR(IF(OR($B2024="",$B2024="(blank)"),"",VLOOKUP($B2024,'Email Marketing Raw Data'!$C:$O,9,0)),"")</f>
        <v/>
      </c>
    </row>
    <row r="2025" spans="4:17" ht="12.75" customHeight="1" x14ac:dyDescent="0.2">
      <c r="D2025" s="58" t="str">
        <f>IFERROR(IF(F2025&lt;&gt;"pending","",IF(OR($B2025="",$B2025="(blank)"),"",VLOOKUP($B2025,'Email Marketing Raw Data'!$C:$O,10,0))),"")</f>
        <v/>
      </c>
      <c r="E2025" s="59" t="str">
        <f>IFERROR(IF(F2025&lt;&gt;"pending","",IF(OR($B2025="",$B2025="(blank)"),"",VLOOKUP($B2025,'Email Marketing Raw Data'!$C:$O,11,0))),"")</f>
        <v/>
      </c>
      <c r="F2025" s="54" t="str">
        <f>IFERROR(IF(OR($B2025="",$B2025="(blank)"),"",VLOOKUP($B2025,'Email Marketing Raw Data'!$C:$O,13,0)),"")</f>
        <v/>
      </c>
      <c r="G2025" s="55" t="str">
        <f>IFERROR(IF(OR($B2025="",$B2025="(blank)"),"",VLOOKUP($B2025,'Email Marketing Raw Data'!$C:$O,4,0)),"")</f>
        <v/>
      </c>
      <c r="H2025" s="55" t="str">
        <f>IFERROR(IF(OR($B2025="",$B2025="(blank)"),"",VLOOKUP($B2025,'Email Marketing Raw Data'!$C:$O,5,0)),"")</f>
        <v/>
      </c>
      <c r="I2025" s="55" t="str">
        <f>IFERROR(IF($G2025="","",VLOOKUP('Dashboard And Emails Automate'!$G2025,Database!$H:$N,3,0)),"")</f>
        <v/>
      </c>
      <c r="J2025" s="55" t="str">
        <f>IFERROR(IF($G2025="","",VLOOKUP('Dashboard And Emails Automate'!$G2025,Database!$H:$N,4,0)),"")</f>
        <v/>
      </c>
      <c r="K2025" s="55" t="str">
        <f>IFERROR(IF($G2025="","",VLOOKUP('Dashboard And Emails Automate'!$G2025,Database!$H:$N,5,0)),"")</f>
        <v/>
      </c>
      <c r="L2025" s="55" t="str">
        <f>IFERROR(IF($G2025="","",VLOOKUP('Dashboard And Emails Automate'!$G2025,Database!$H:$N,6,0)),"")</f>
        <v/>
      </c>
      <c r="M2025" s="55" t="str">
        <f>IFERROR(IF($G2025="","",VLOOKUP('Dashboard And Emails Automate'!$G2025,Database!$H:$N,7,0)),"")</f>
        <v/>
      </c>
      <c r="N2025" s="55" t="str">
        <f>IFERROR(IF(OR($B2025="",$B2025="(blank)"),"",VLOOKUP($B2025,'Email Marketing Raw Data'!$C:$O,6,0)),"")</f>
        <v/>
      </c>
      <c r="O2025" s="55" t="str">
        <f>IFERROR(IF(OR($B2025="",$B2025="(blank)"),"",VLOOKUP($B2025,'Email Marketing Raw Data'!$C:$O,7,0)),"")</f>
        <v/>
      </c>
      <c r="P2025" s="55" t="str">
        <f>IFERROR(IF(OR($B2025="",$B2025="(blank)"),"",VLOOKUP($B2025,'Email Marketing Raw Data'!$C:$O,8,0)),"")</f>
        <v/>
      </c>
      <c r="Q2025" s="62" t="str">
        <f>IFERROR(IF(OR($B2025="",$B2025="(blank)"),"",VLOOKUP($B2025,'Email Marketing Raw Data'!$C:$O,9,0)),"")</f>
        <v/>
      </c>
    </row>
    <row r="2026" spans="4:17" ht="12.75" customHeight="1" x14ac:dyDescent="0.2">
      <c r="D2026" s="58" t="str">
        <f>IFERROR(IF(F2026&lt;&gt;"pending","",IF(OR($B2026="",$B2026="(blank)"),"",VLOOKUP($B2026,'Email Marketing Raw Data'!$C:$O,10,0))),"")</f>
        <v/>
      </c>
      <c r="E2026" s="59" t="str">
        <f>IFERROR(IF(F2026&lt;&gt;"pending","",IF(OR($B2026="",$B2026="(blank)"),"",VLOOKUP($B2026,'Email Marketing Raw Data'!$C:$O,11,0))),"")</f>
        <v/>
      </c>
      <c r="F2026" s="54" t="str">
        <f>IFERROR(IF(OR($B2026="",$B2026="(blank)"),"",VLOOKUP($B2026,'Email Marketing Raw Data'!$C:$O,13,0)),"")</f>
        <v/>
      </c>
      <c r="G2026" s="55" t="str">
        <f>IFERROR(IF(OR($B2026="",$B2026="(blank)"),"",VLOOKUP($B2026,'Email Marketing Raw Data'!$C:$O,4,0)),"")</f>
        <v/>
      </c>
      <c r="H2026" s="55" t="str">
        <f>IFERROR(IF(OR($B2026="",$B2026="(blank)"),"",VLOOKUP($B2026,'Email Marketing Raw Data'!$C:$O,5,0)),"")</f>
        <v/>
      </c>
      <c r="I2026" s="55" t="str">
        <f>IFERROR(IF($G2026="","",VLOOKUP('Dashboard And Emails Automate'!$G2026,Database!$H:$N,3,0)),"")</f>
        <v/>
      </c>
      <c r="J2026" s="55" t="str">
        <f>IFERROR(IF($G2026="","",VLOOKUP('Dashboard And Emails Automate'!$G2026,Database!$H:$N,4,0)),"")</f>
        <v/>
      </c>
      <c r="K2026" s="55" t="str">
        <f>IFERROR(IF($G2026="","",VLOOKUP('Dashboard And Emails Automate'!$G2026,Database!$H:$N,5,0)),"")</f>
        <v/>
      </c>
      <c r="L2026" s="55" t="str">
        <f>IFERROR(IF($G2026="","",VLOOKUP('Dashboard And Emails Automate'!$G2026,Database!$H:$N,6,0)),"")</f>
        <v/>
      </c>
      <c r="M2026" s="55" t="str">
        <f>IFERROR(IF($G2026="","",VLOOKUP('Dashboard And Emails Automate'!$G2026,Database!$H:$N,7,0)),"")</f>
        <v/>
      </c>
      <c r="N2026" s="55" t="str">
        <f>IFERROR(IF(OR($B2026="",$B2026="(blank)"),"",VLOOKUP($B2026,'Email Marketing Raw Data'!$C:$O,6,0)),"")</f>
        <v/>
      </c>
      <c r="O2026" s="55" t="str">
        <f>IFERROR(IF(OR($B2026="",$B2026="(blank)"),"",VLOOKUP($B2026,'Email Marketing Raw Data'!$C:$O,7,0)),"")</f>
        <v/>
      </c>
      <c r="P2026" s="55" t="str">
        <f>IFERROR(IF(OR($B2026="",$B2026="(blank)"),"",VLOOKUP($B2026,'Email Marketing Raw Data'!$C:$O,8,0)),"")</f>
        <v/>
      </c>
      <c r="Q2026" s="62" t="str">
        <f>IFERROR(IF(OR($B2026="",$B2026="(blank)"),"",VLOOKUP($B2026,'Email Marketing Raw Data'!$C:$O,9,0)),"")</f>
        <v/>
      </c>
    </row>
    <row r="2027" spans="4:17" ht="12.75" customHeight="1" x14ac:dyDescent="0.2">
      <c r="D2027" s="58" t="str">
        <f>IFERROR(IF(F2027&lt;&gt;"pending","",IF(OR($B2027="",$B2027="(blank)"),"",VLOOKUP($B2027,'Email Marketing Raw Data'!$C:$O,10,0))),"")</f>
        <v/>
      </c>
      <c r="E2027" s="59" t="str">
        <f>IFERROR(IF(F2027&lt;&gt;"pending","",IF(OR($B2027="",$B2027="(blank)"),"",VLOOKUP($B2027,'Email Marketing Raw Data'!$C:$O,11,0))),"")</f>
        <v/>
      </c>
      <c r="F2027" s="54" t="str">
        <f>IFERROR(IF(OR($B2027="",$B2027="(blank)"),"",VLOOKUP($B2027,'Email Marketing Raw Data'!$C:$O,13,0)),"")</f>
        <v/>
      </c>
      <c r="G2027" s="55" t="str">
        <f>IFERROR(IF(OR($B2027="",$B2027="(blank)"),"",VLOOKUP($B2027,'Email Marketing Raw Data'!$C:$O,4,0)),"")</f>
        <v/>
      </c>
      <c r="H2027" s="55" t="str">
        <f>IFERROR(IF(OR($B2027="",$B2027="(blank)"),"",VLOOKUP($B2027,'Email Marketing Raw Data'!$C:$O,5,0)),"")</f>
        <v/>
      </c>
      <c r="I2027" s="55" t="str">
        <f>IFERROR(IF($G2027="","",VLOOKUP('Dashboard And Emails Automate'!$G2027,Database!$H:$N,3,0)),"")</f>
        <v/>
      </c>
      <c r="J2027" s="55" t="str">
        <f>IFERROR(IF($G2027="","",VLOOKUP('Dashboard And Emails Automate'!$G2027,Database!$H:$N,4,0)),"")</f>
        <v/>
      </c>
      <c r="K2027" s="55" t="str">
        <f>IFERROR(IF($G2027="","",VLOOKUP('Dashboard And Emails Automate'!$G2027,Database!$H:$N,5,0)),"")</f>
        <v/>
      </c>
      <c r="L2027" s="55" t="str">
        <f>IFERROR(IF($G2027="","",VLOOKUP('Dashboard And Emails Automate'!$G2027,Database!$H:$N,6,0)),"")</f>
        <v/>
      </c>
      <c r="M2027" s="55" t="str">
        <f>IFERROR(IF($G2027="","",VLOOKUP('Dashboard And Emails Automate'!$G2027,Database!$H:$N,7,0)),"")</f>
        <v/>
      </c>
      <c r="N2027" s="55" t="str">
        <f>IFERROR(IF(OR($B2027="",$B2027="(blank)"),"",VLOOKUP($B2027,'Email Marketing Raw Data'!$C:$O,6,0)),"")</f>
        <v/>
      </c>
      <c r="O2027" s="55" t="str">
        <f>IFERROR(IF(OR($B2027="",$B2027="(blank)"),"",VLOOKUP($B2027,'Email Marketing Raw Data'!$C:$O,7,0)),"")</f>
        <v/>
      </c>
      <c r="P2027" s="55" t="str">
        <f>IFERROR(IF(OR($B2027="",$B2027="(blank)"),"",VLOOKUP($B2027,'Email Marketing Raw Data'!$C:$O,8,0)),"")</f>
        <v/>
      </c>
      <c r="Q2027" s="62" t="str">
        <f>IFERROR(IF(OR($B2027="",$B2027="(blank)"),"",VLOOKUP($B2027,'Email Marketing Raw Data'!$C:$O,9,0)),"")</f>
        <v/>
      </c>
    </row>
    <row r="2028" spans="4:17" ht="12.75" customHeight="1" x14ac:dyDescent="0.2">
      <c r="D2028" s="58" t="str">
        <f>IFERROR(IF(F2028&lt;&gt;"pending","",IF(OR($B2028="",$B2028="(blank)"),"",VLOOKUP($B2028,'Email Marketing Raw Data'!$C:$O,10,0))),"")</f>
        <v/>
      </c>
      <c r="E2028" s="59" t="str">
        <f>IFERROR(IF(F2028&lt;&gt;"pending","",IF(OR($B2028="",$B2028="(blank)"),"",VLOOKUP($B2028,'Email Marketing Raw Data'!$C:$O,11,0))),"")</f>
        <v/>
      </c>
      <c r="F2028" s="54" t="str">
        <f>IFERROR(IF(OR($B2028="",$B2028="(blank)"),"",VLOOKUP($B2028,'Email Marketing Raw Data'!$C:$O,13,0)),"")</f>
        <v/>
      </c>
      <c r="G2028" s="55" t="str">
        <f>IFERROR(IF(OR($B2028="",$B2028="(blank)"),"",VLOOKUP($B2028,'Email Marketing Raw Data'!$C:$O,4,0)),"")</f>
        <v/>
      </c>
      <c r="H2028" s="55" t="str">
        <f>IFERROR(IF(OR($B2028="",$B2028="(blank)"),"",VLOOKUP($B2028,'Email Marketing Raw Data'!$C:$O,5,0)),"")</f>
        <v/>
      </c>
      <c r="I2028" s="55" t="str">
        <f>IFERROR(IF($G2028="","",VLOOKUP('Dashboard And Emails Automate'!$G2028,Database!$H:$N,3,0)),"")</f>
        <v/>
      </c>
      <c r="J2028" s="55" t="str">
        <f>IFERROR(IF($G2028="","",VLOOKUP('Dashboard And Emails Automate'!$G2028,Database!$H:$N,4,0)),"")</f>
        <v/>
      </c>
      <c r="K2028" s="55" t="str">
        <f>IFERROR(IF($G2028="","",VLOOKUP('Dashboard And Emails Automate'!$G2028,Database!$H:$N,5,0)),"")</f>
        <v/>
      </c>
      <c r="L2028" s="55" t="str">
        <f>IFERROR(IF($G2028="","",VLOOKUP('Dashboard And Emails Automate'!$G2028,Database!$H:$N,6,0)),"")</f>
        <v/>
      </c>
      <c r="M2028" s="55" t="str">
        <f>IFERROR(IF($G2028="","",VLOOKUP('Dashboard And Emails Automate'!$G2028,Database!$H:$N,7,0)),"")</f>
        <v/>
      </c>
      <c r="N2028" s="55" t="str">
        <f>IFERROR(IF(OR($B2028="",$B2028="(blank)"),"",VLOOKUP($B2028,'Email Marketing Raw Data'!$C:$O,6,0)),"")</f>
        <v/>
      </c>
      <c r="O2028" s="55" t="str">
        <f>IFERROR(IF(OR($B2028="",$B2028="(blank)"),"",VLOOKUP($B2028,'Email Marketing Raw Data'!$C:$O,7,0)),"")</f>
        <v/>
      </c>
      <c r="P2028" s="55" t="str">
        <f>IFERROR(IF(OR($B2028="",$B2028="(blank)"),"",VLOOKUP($B2028,'Email Marketing Raw Data'!$C:$O,8,0)),"")</f>
        <v/>
      </c>
      <c r="Q2028" s="62" t="str">
        <f>IFERROR(IF(OR($B2028="",$B2028="(blank)"),"",VLOOKUP($B2028,'Email Marketing Raw Data'!$C:$O,9,0)),"")</f>
        <v/>
      </c>
    </row>
    <row r="2029" spans="4:17" ht="12.75" customHeight="1" x14ac:dyDescent="0.2">
      <c r="D2029" s="58" t="str">
        <f>IFERROR(IF(F2029&lt;&gt;"pending","",IF(OR($B2029="",$B2029="(blank)"),"",VLOOKUP($B2029,'Email Marketing Raw Data'!$C:$O,10,0))),"")</f>
        <v/>
      </c>
      <c r="E2029" s="59" t="str">
        <f>IFERROR(IF(F2029&lt;&gt;"pending","",IF(OR($B2029="",$B2029="(blank)"),"",VLOOKUP($B2029,'Email Marketing Raw Data'!$C:$O,11,0))),"")</f>
        <v/>
      </c>
      <c r="F2029" s="54" t="str">
        <f>IFERROR(IF(OR($B2029="",$B2029="(blank)"),"",VLOOKUP($B2029,'Email Marketing Raw Data'!$C:$O,13,0)),"")</f>
        <v/>
      </c>
      <c r="G2029" s="55" t="str">
        <f>IFERROR(IF(OR($B2029="",$B2029="(blank)"),"",VLOOKUP($B2029,'Email Marketing Raw Data'!$C:$O,4,0)),"")</f>
        <v/>
      </c>
      <c r="H2029" s="55" t="str">
        <f>IFERROR(IF(OR($B2029="",$B2029="(blank)"),"",VLOOKUP($B2029,'Email Marketing Raw Data'!$C:$O,5,0)),"")</f>
        <v/>
      </c>
      <c r="I2029" s="55" t="str">
        <f>IFERROR(IF($G2029="","",VLOOKUP('Dashboard And Emails Automate'!$G2029,Database!$H:$N,3,0)),"")</f>
        <v/>
      </c>
      <c r="J2029" s="55" t="str">
        <f>IFERROR(IF($G2029="","",VLOOKUP('Dashboard And Emails Automate'!$G2029,Database!$H:$N,4,0)),"")</f>
        <v/>
      </c>
      <c r="K2029" s="55" t="str">
        <f>IFERROR(IF($G2029="","",VLOOKUP('Dashboard And Emails Automate'!$G2029,Database!$H:$N,5,0)),"")</f>
        <v/>
      </c>
      <c r="L2029" s="55" t="str">
        <f>IFERROR(IF($G2029="","",VLOOKUP('Dashboard And Emails Automate'!$G2029,Database!$H:$N,6,0)),"")</f>
        <v/>
      </c>
      <c r="M2029" s="55" t="str">
        <f>IFERROR(IF($G2029="","",VLOOKUP('Dashboard And Emails Automate'!$G2029,Database!$H:$N,7,0)),"")</f>
        <v/>
      </c>
      <c r="N2029" s="55" t="str">
        <f>IFERROR(IF(OR($B2029="",$B2029="(blank)"),"",VLOOKUP($B2029,'Email Marketing Raw Data'!$C:$O,6,0)),"")</f>
        <v/>
      </c>
      <c r="O2029" s="55" t="str">
        <f>IFERROR(IF(OR($B2029="",$B2029="(blank)"),"",VLOOKUP($B2029,'Email Marketing Raw Data'!$C:$O,7,0)),"")</f>
        <v/>
      </c>
      <c r="P2029" s="55" t="str">
        <f>IFERROR(IF(OR($B2029="",$B2029="(blank)"),"",VLOOKUP($B2029,'Email Marketing Raw Data'!$C:$O,8,0)),"")</f>
        <v/>
      </c>
      <c r="Q2029" s="62" t="str">
        <f>IFERROR(IF(OR($B2029="",$B2029="(blank)"),"",VLOOKUP($B2029,'Email Marketing Raw Data'!$C:$O,9,0)),"")</f>
        <v/>
      </c>
    </row>
    <row r="2030" spans="4:17" ht="12.75" customHeight="1" x14ac:dyDescent="0.2">
      <c r="D2030" s="58" t="str">
        <f>IFERROR(IF(F2030&lt;&gt;"pending","",IF(OR($B2030="",$B2030="(blank)"),"",VLOOKUP($B2030,'Email Marketing Raw Data'!$C:$O,10,0))),"")</f>
        <v/>
      </c>
      <c r="E2030" s="59" t="str">
        <f>IFERROR(IF(F2030&lt;&gt;"pending","",IF(OR($B2030="",$B2030="(blank)"),"",VLOOKUP($B2030,'Email Marketing Raw Data'!$C:$O,11,0))),"")</f>
        <v/>
      </c>
      <c r="F2030" s="54" t="str">
        <f>IFERROR(IF(OR($B2030="",$B2030="(blank)"),"",VLOOKUP($B2030,'Email Marketing Raw Data'!$C:$O,13,0)),"")</f>
        <v/>
      </c>
      <c r="G2030" s="55" t="str">
        <f>IFERROR(IF(OR($B2030="",$B2030="(blank)"),"",VLOOKUP($B2030,'Email Marketing Raw Data'!$C:$O,4,0)),"")</f>
        <v/>
      </c>
      <c r="H2030" s="55" t="str">
        <f>IFERROR(IF(OR($B2030="",$B2030="(blank)"),"",VLOOKUP($B2030,'Email Marketing Raw Data'!$C:$O,5,0)),"")</f>
        <v/>
      </c>
      <c r="I2030" s="55" t="str">
        <f>IFERROR(IF($G2030="","",VLOOKUP('Dashboard And Emails Automate'!$G2030,Database!$H:$N,3,0)),"")</f>
        <v/>
      </c>
      <c r="J2030" s="55" t="str">
        <f>IFERROR(IF($G2030="","",VLOOKUP('Dashboard And Emails Automate'!$G2030,Database!$H:$N,4,0)),"")</f>
        <v/>
      </c>
      <c r="K2030" s="55" t="str">
        <f>IFERROR(IF($G2030="","",VLOOKUP('Dashboard And Emails Automate'!$G2030,Database!$H:$N,5,0)),"")</f>
        <v/>
      </c>
      <c r="L2030" s="55" t="str">
        <f>IFERROR(IF($G2030="","",VLOOKUP('Dashboard And Emails Automate'!$G2030,Database!$H:$N,6,0)),"")</f>
        <v/>
      </c>
      <c r="M2030" s="55" t="str">
        <f>IFERROR(IF($G2030="","",VLOOKUP('Dashboard And Emails Automate'!$G2030,Database!$H:$N,7,0)),"")</f>
        <v/>
      </c>
      <c r="N2030" s="55" t="str">
        <f>IFERROR(IF(OR($B2030="",$B2030="(blank)"),"",VLOOKUP($B2030,'Email Marketing Raw Data'!$C:$O,6,0)),"")</f>
        <v/>
      </c>
      <c r="O2030" s="55" t="str">
        <f>IFERROR(IF(OR($B2030="",$B2030="(blank)"),"",VLOOKUP($B2030,'Email Marketing Raw Data'!$C:$O,7,0)),"")</f>
        <v/>
      </c>
      <c r="P2030" s="55" t="str">
        <f>IFERROR(IF(OR($B2030="",$B2030="(blank)"),"",VLOOKUP($B2030,'Email Marketing Raw Data'!$C:$O,8,0)),"")</f>
        <v/>
      </c>
      <c r="Q2030" s="62" t="str">
        <f>IFERROR(IF(OR($B2030="",$B2030="(blank)"),"",VLOOKUP($B2030,'Email Marketing Raw Data'!$C:$O,9,0)),"")</f>
        <v/>
      </c>
    </row>
    <row r="2031" spans="4:17" ht="12.75" customHeight="1" x14ac:dyDescent="0.2">
      <c r="D2031" s="58" t="str">
        <f>IFERROR(IF(F2031&lt;&gt;"pending","",IF(OR($B2031="",$B2031="(blank)"),"",VLOOKUP($B2031,'Email Marketing Raw Data'!$C:$O,10,0))),"")</f>
        <v/>
      </c>
      <c r="E2031" s="59" t="str">
        <f>IFERROR(IF(F2031&lt;&gt;"pending","",IF(OR($B2031="",$B2031="(blank)"),"",VLOOKUP($B2031,'Email Marketing Raw Data'!$C:$O,11,0))),"")</f>
        <v/>
      </c>
      <c r="F2031" s="54" t="str">
        <f>IFERROR(IF(OR($B2031="",$B2031="(blank)"),"",VLOOKUP($B2031,'Email Marketing Raw Data'!$C:$O,13,0)),"")</f>
        <v/>
      </c>
      <c r="G2031" s="55" t="str">
        <f>IFERROR(IF(OR($B2031="",$B2031="(blank)"),"",VLOOKUP($B2031,'Email Marketing Raw Data'!$C:$O,4,0)),"")</f>
        <v/>
      </c>
      <c r="H2031" s="55" t="str">
        <f>IFERROR(IF(OR($B2031="",$B2031="(blank)"),"",VLOOKUP($B2031,'Email Marketing Raw Data'!$C:$O,5,0)),"")</f>
        <v/>
      </c>
      <c r="I2031" s="55" t="str">
        <f>IFERROR(IF($G2031="","",VLOOKUP('Dashboard And Emails Automate'!$G2031,Database!$H:$N,3,0)),"")</f>
        <v/>
      </c>
      <c r="J2031" s="55" t="str">
        <f>IFERROR(IF($G2031="","",VLOOKUP('Dashboard And Emails Automate'!$G2031,Database!$H:$N,4,0)),"")</f>
        <v/>
      </c>
      <c r="K2031" s="55" t="str">
        <f>IFERROR(IF($G2031="","",VLOOKUP('Dashboard And Emails Automate'!$G2031,Database!$H:$N,5,0)),"")</f>
        <v/>
      </c>
      <c r="L2031" s="55" t="str">
        <f>IFERROR(IF($G2031="","",VLOOKUP('Dashboard And Emails Automate'!$G2031,Database!$H:$N,6,0)),"")</f>
        <v/>
      </c>
      <c r="M2031" s="55" t="str">
        <f>IFERROR(IF($G2031="","",VLOOKUP('Dashboard And Emails Automate'!$G2031,Database!$H:$N,7,0)),"")</f>
        <v/>
      </c>
      <c r="N2031" s="55" t="str">
        <f>IFERROR(IF(OR($B2031="",$B2031="(blank)"),"",VLOOKUP($B2031,'Email Marketing Raw Data'!$C:$O,6,0)),"")</f>
        <v/>
      </c>
      <c r="O2031" s="55" t="str">
        <f>IFERROR(IF(OR($B2031="",$B2031="(blank)"),"",VLOOKUP($B2031,'Email Marketing Raw Data'!$C:$O,7,0)),"")</f>
        <v/>
      </c>
      <c r="P2031" s="55" t="str">
        <f>IFERROR(IF(OR($B2031="",$B2031="(blank)"),"",VLOOKUP($B2031,'Email Marketing Raw Data'!$C:$O,8,0)),"")</f>
        <v/>
      </c>
      <c r="Q2031" s="62" t="str">
        <f>IFERROR(IF(OR($B2031="",$B2031="(blank)"),"",VLOOKUP($B2031,'Email Marketing Raw Data'!$C:$O,9,0)),"")</f>
        <v/>
      </c>
    </row>
    <row r="2032" spans="4:17" ht="12.75" customHeight="1" x14ac:dyDescent="0.2">
      <c r="D2032" s="58" t="str">
        <f>IFERROR(IF(F2032&lt;&gt;"pending","",IF(OR($B2032="",$B2032="(blank)"),"",VLOOKUP($B2032,'Email Marketing Raw Data'!$C:$O,10,0))),"")</f>
        <v/>
      </c>
      <c r="E2032" s="59" t="str">
        <f>IFERROR(IF(F2032&lt;&gt;"pending","",IF(OR($B2032="",$B2032="(blank)"),"",VLOOKUP($B2032,'Email Marketing Raw Data'!$C:$O,11,0))),"")</f>
        <v/>
      </c>
      <c r="F2032" s="54" t="str">
        <f>IFERROR(IF(OR($B2032="",$B2032="(blank)"),"",VLOOKUP($B2032,'Email Marketing Raw Data'!$C:$O,13,0)),"")</f>
        <v/>
      </c>
      <c r="G2032" s="55" t="str">
        <f>IFERROR(IF(OR($B2032="",$B2032="(blank)"),"",VLOOKUP($B2032,'Email Marketing Raw Data'!$C:$O,4,0)),"")</f>
        <v/>
      </c>
      <c r="H2032" s="55" t="str">
        <f>IFERROR(IF(OR($B2032="",$B2032="(blank)"),"",VLOOKUP($B2032,'Email Marketing Raw Data'!$C:$O,5,0)),"")</f>
        <v/>
      </c>
      <c r="I2032" s="55" t="str">
        <f>IFERROR(IF($G2032="","",VLOOKUP('Dashboard And Emails Automate'!$G2032,Database!$H:$N,3,0)),"")</f>
        <v/>
      </c>
      <c r="J2032" s="55" t="str">
        <f>IFERROR(IF($G2032="","",VLOOKUP('Dashboard And Emails Automate'!$G2032,Database!$H:$N,4,0)),"")</f>
        <v/>
      </c>
      <c r="K2032" s="55" t="str">
        <f>IFERROR(IF($G2032="","",VLOOKUP('Dashboard And Emails Automate'!$G2032,Database!$H:$N,5,0)),"")</f>
        <v/>
      </c>
      <c r="L2032" s="55" t="str">
        <f>IFERROR(IF($G2032="","",VLOOKUP('Dashboard And Emails Automate'!$G2032,Database!$H:$N,6,0)),"")</f>
        <v/>
      </c>
      <c r="M2032" s="55" t="str">
        <f>IFERROR(IF($G2032="","",VLOOKUP('Dashboard And Emails Automate'!$G2032,Database!$H:$N,7,0)),"")</f>
        <v/>
      </c>
      <c r="N2032" s="55" t="str">
        <f>IFERROR(IF(OR($B2032="",$B2032="(blank)"),"",VLOOKUP($B2032,'Email Marketing Raw Data'!$C:$O,6,0)),"")</f>
        <v/>
      </c>
      <c r="O2032" s="55" t="str">
        <f>IFERROR(IF(OR($B2032="",$B2032="(blank)"),"",VLOOKUP($B2032,'Email Marketing Raw Data'!$C:$O,7,0)),"")</f>
        <v/>
      </c>
      <c r="P2032" s="55" t="str">
        <f>IFERROR(IF(OR($B2032="",$B2032="(blank)"),"",VLOOKUP($B2032,'Email Marketing Raw Data'!$C:$O,8,0)),"")</f>
        <v/>
      </c>
      <c r="Q2032" s="62" t="str">
        <f>IFERROR(IF(OR($B2032="",$B2032="(blank)"),"",VLOOKUP($B2032,'Email Marketing Raw Data'!$C:$O,9,0)),"")</f>
        <v/>
      </c>
    </row>
    <row r="2033" spans="4:17" ht="12.75" customHeight="1" x14ac:dyDescent="0.2">
      <c r="D2033" s="58" t="str">
        <f>IFERROR(IF(F2033&lt;&gt;"pending","",IF(OR($B2033="",$B2033="(blank)"),"",VLOOKUP($B2033,'Email Marketing Raw Data'!$C:$O,10,0))),"")</f>
        <v/>
      </c>
      <c r="E2033" s="59" t="str">
        <f>IFERROR(IF(F2033&lt;&gt;"pending","",IF(OR($B2033="",$B2033="(blank)"),"",VLOOKUP($B2033,'Email Marketing Raw Data'!$C:$O,11,0))),"")</f>
        <v/>
      </c>
      <c r="F2033" s="54" t="str">
        <f>IFERROR(IF(OR($B2033="",$B2033="(blank)"),"",VLOOKUP($B2033,'Email Marketing Raw Data'!$C:$O,13,0)),"")</f>
        <v/>
      </c>
      <c r="G2033" s="55" t="str">
        <f>IFERROR(IF(OR($B2033="",$B2033="(blank)"),"",VLOOKUP($B2033,'Email Marketing Raw Data'!$C:$O,4,0)),"")</f>
        <v/>
      </c>
      <c r="H2033" s="55" t="str">
        <f>IFERROR(IF(OR($B2033="",$B2033="(blank)"),"",VLOOKUP($B2033,'Email Marketing Raw Data'!$C:$O,5,0)),"")</f>
        <v/>
      </c>
      <c r="I2033" s="55" t="str">
        <f>IFERROR(IF($G2033="","",VLOOKUP('Dashboard And Emails Automate'!$G2033,Database!$H:$N,3,0)),"")</f>
        <v/>
      </c>
      <c r="J2033" s="55" t="str">
        <f>IFERROR(IF($G2033="","",VLOOKUP('Dashboard And Emails Automate'!$G2033,Database!$H:$N,4,0)),"")</f>
        <v/>
      </c>
      <c r="K2033" s="55" t="str">
        <f>IFERROR(IF($G2033="","",VLOOKUP('Dashboard And Emails Automate'!$G2033,Database!$H:$N,5,0)),"")</f>
        <v/>
      </c>
      <c r="L2033" s="55" t="str">
        <f>IFERROR(IF($G2033="","",VLOOKUP('Dashboard And Emails Automate'!$G2033,Database!$H:$N,6,0)),"")</f>
        <v/>
      </c>
      <c r="M2033" s="55" t="str">
        <f>IFERROR(IF($G2033="","",VLOOKUP('Dashboard And Emails Automate'!$G2033,Database!$H:$N,7,0)),"")</f>
        <v/>
      </c>
      <c r="N2033" s="55" t="str">
        <f>IFERROR(IF(OR($B2033="",$B2033="(blank)"),"",VLOOKUP($B2033,'Email Marketing Raw Data'!$C:$O,6,0)),"")</f>
        <v/>
      </c>
      <c r="O2033" s="55" t="str">
        <f>IFERROR(IF(OR($B2033="",$B2033="(blank)"),"",VLOOKUP($B2033,'Email Marketing Raw Data'!$C:$O,7,0)),"")</f>
        <v/>
      </c>
      <c r="P2033" s="55" t="str">
        <f>IFERROR(IF(OR($B2033="",$B2033="(blank)"),"",VLOOKUP($B2033,'Email Marketing Raw Data'!$C:$O,8,0)),"")</f>
        <v/>
      </c>
      <c r="Q2033" s="62" t="str">
        <f>IFERROR(IF(OR($B2033="",$B2033="(blank)"),"",VLOOKUP($B2033,'Email Marketing Raw Data'!$C:$O,9,0)),"")</f>
        <v/>
      </c>
    </row>
    <row r="2034" spans="4:17" ht="12.75" customHeight="1" x14ac:dyDescent="0.2">
      <c r="D2034" s="58" t="str">
        <f>IFERROR(IF(F2034&lt;&gt;"pending","",IF(OR($B2034="",$B2034="(blank)"),"",VLOOKUP($B2034,'Email Marketing Raw Data'!$C:$O,10,0))),"")</f>
        <v/>
      </c>
      <c r="E2034" s="59" t="str">
        <f>IFERROR(IF(F2034&lt;&gt;"pending","",IF(OR($B2034="",$B2034="(blank)"),"",VLOOKUP($B2034,'Email Marketing Raw Data'!$C:$O,11,0))),"")</f>
        <v/>
      </c>
      <c r="F2034" s="54" t="str">
        <f>IFERROR(IF(OR($B2034="",$B2034="(blank)"),"",VLOOKUP($B2034,'Email Marketing Raw Data'!$C:$O,13,0)),"")</f>
        <v/>
      </c>
      <c r="G2034" s="55" t="str">
        <f>IFERROR(IF(OR($B2034="",$B2034="(blank)"),"",VLOOKUP($B2034,'Email Marketing Raw Data'!$C:$O,4,0)),"")</f>
        <v/>
      </c>
      <c r="H2034" s="55" t="str">
        <f>IFERROR(IF(OR($B2034="",$B2034="(blank)"),"",VLOOKUP($B2034,'Email Marketing Raw Data'!$C:$O,5,0)),"")</f>
        <v/>
      </c>
      <c r="I2034" s="55" t="str">
        <f>IFERROR(IF($G2034="","",VLOOKUP('Dashboard And Emails Automate'!$G2034,Database!$H:$N,3,0)),"")</f>
        <v/>
      </c>
      <c r="J2034" s="55" t="str">
        <f>IFERROR(IF($G2034="","",VLOOKUP('Dashboard And Emails Automate'!$G2034,Database!$H:$N,4,0)),"")</f>
        <v/>
      </c>
      <c r="K2034" s="55" t="str">
        <f>IFERROR(IF($G2034="","",VLOOKUP('Dashboard And Emails Automate'!$G2034,Database!$H:$N,5,0)),"")</f>
        <v/>
      </c>
      <c r="L2034" s="55" t="str">
        <f>IFERROR(IF($G2034="","",VLOOKUP('Dashboard And Emails Automate'!$G2034,Database!$H:$N,6,0)),"")</f>
        <v/>
      </c>
      <c r="M2034" s="55" t="str">
        <f>IFERROR(IF($G2034="","",VLOOKUP('Dashboard And Emails Automate'!$G2034,Database!$H:$N,7,0)),"")</f>
        <v/>
      </c>
      <c r="N2034" s="55" t="str">
        <f>IFERROR(IF(OR($B2034="",$B2034="(blank)"),"",VLOOKUP($B2034,'Email Marketing Raw Data'!$C:$O,6,0)),"")</f>
        <v/>
      </c>
      <c r="O2034" s="55" t="str">
        <f>IFERROR(IF(OR($B2034="",$B2034="(blank)"),"",VLOOKUP($B2034,'Email Marketing Raw Data'!$C:$O,7,0)),"")</f>
        <v/>
      </c>
      <c r="P2034" s="55" t="str">
        <f>IFERROR(IF(OR($B2034="",$B2034="(blank)"),"",VLOOKUP($B2034,'Email Marketing Raw Data'!$C:$O,8,0)),"")</f>
        <v/>
      </c>
      <c r="Q2034" s="62" t="str">
        <f>IFERROR(IF(OR($B2034="",$B2034="(blank)"),"",VLOOKUP($B2034,'Email Marketing Raw Data'!$C:$O,9,0)),"")</f>
        <v/>
      </c>
    </row>
    <row r="2035" spans="4:17" ht="12.75" customHeight="1" x14ac:dyDescent="0.2">
      <c r="D2035" s="58" t="str">
        <f>IFERROR(IF(F2035&lt;&gt;"pending","",IF(OR($B2035="",$B2035="(blank)"),"",VLOOKUP($B2035,'Email Marketing Raw Data'!$C:$O,10,0))),"")</f>
        <v/>
      </c>
      <c r="E2035" s="59" t="str">
        <f>IFERROR(IF(F2035&lt;&gt;"pending","",IF(OR($B2035="",$B2035="(blank)"),"",VLOOKUP($B2035,'Email Marketing Raw Data'!$C:$O,11,0))),"")</f>
        <v/>
      </c>
      <c r="F2035" s="54" t="str">
        <f>IFERROR(IF(OR($B2035="",$B2035="(blank)"),"",VLOOKUP($B2035,'Email Marketing Raw Data'!$C:$O,13,0)),"")</f>
        <v/>
      </c>
      <c r="G2035" s="55" t="str">
        <f>IFERROR(IF(OR($B2035="",$B2035="(blank)"),"",VLOOKUP($B2035,'Email Marketing Raw Data'!$C:$O,4,0)),"")</f>
        <v/>
      </c>
      <c r="H2035" s="55" t="str">
        <f>IFERROR(IF(OR($B2035="",$B2035="(blank)"),"",VLOOKUP($B2035,'Email Marketing Raw Data'!$C:$O,5,0)),"")</f>
        <v/>
      </c>
      <c r="I2035" s="55" t="str">
        <f>IFERROR(IF($G2035="","",VLOOKUP('Dashboard And Emails Automate'!$G2035,Database!$H:$N,3,0)),"")</f>
        <v/>
      </c>
      <c r="J2035" s="55" t="str">
        <f>IFERROR(IF($G2035="","",VLOOKUP('Dashboard And Emails Automate'!$G2035,Database!$H:$N,4,0)),"")</f>
        <v/>
      </c>
      <c r="K2035" s="55" t="str">
        <f>IFERROR(IF($G2035="","",VLOOKUP('Dashboard And Emails Automate'!$G2035,Database!$H:$N,5,0)),"")</f>
        <v/>
      </c>
      <c r="L2035" s="55" t="str">
        <f>IFERROR(IF($G2035="","",VLOOKUP('Dashboard And Emails Automate'!$G2035,Database!$H:$N,6,0)),"")</f>
        <v/>
      </c>
      <c r="M2035" s="55" t="str">
        <f>IFERROR(IF($G2035="","",VLOOKUP('Dashboard And Emails Automate'!$G2035,Database!$H:$N,7,0)),"")</f>
        <v/>
      </c>
      <c r="N2035" s="55" t="str">
        <f>IFERROR(IF(OR($B2035="",$B2035="(blank)"),"",VLOOKUP($B2035,'Email Marketing Raw Data'!$C:$O,6,0)),"")</f>
        <v/>
      </c>
      <c r="O2035" s="55" t="str">
        <f>IFERROR(IF(OR($B2035="",$B2035="(blank)"),"",VLOOKUP($B2035,'Email Marketing Raw Data'!$C:$O,7,0)),"")</f>
        <v/>
      </c>
      <c r="P2035" s="55" t="str">
        <f>IFERROR(IF(OR($B2035="",$B2035="(blank)"),"",VLOOKUP($B2035,'Email Marketing Raw Data'!$C:$O,8,0)),"")</f>
        <v/>
      </c>
      <c r="Q2035" s="62" t="str">
        <f>IFERROR(IF(OR($B2035="",$B2035="(blank)"),"",VLOOKUP($B2035,'Email Marketing Raw Data'!$C:$O,9,0)),"")</f>
        <v/>
      </c>
    </row>
    <row r="2036" spans="4:17" ht="12.75" customHeight="1" x14ac:dyDescent="0.2">
      <c r="D2036" s="58" t="str">
        <f>IFERROR(IF(F2036&lt;&gt;"pending","",IF(OR($B2036="",$B2036="(blank)"),"",VLOOKUP($B2036,'Email Marketing Raw Data'!$C:$O,10,0))),"")</f>
        <v/>
      </c>
      <c r="E2036" s="59" t="str">
        <f>IFERROR(IF(F2036&lt;&gt;"pending","",IF(OR($B2036="",$B2036="(blank)"),"",VLOOKUP($B2036,'Email Marketing Raw Data'!$C:$O,11,0))),"")</f>
        <v/>
      </c>
      <c r="F2036" s="54" t="str">
        <f>IFERROR(IF(OR($B2036="",$B2036="(blank)"),"",VLOOKUP($B2036,'Email Marketing Raw Data'!$C:$O,13,0)),"")</f>
        <v/>
      </c>
      <c r="G2036" s="55" t="str">
        <f>IFERROR(IF(OR($B2036="",$B2036="(blank)"),"",VLOOKUP($B2036,'Email Marketing Raw Data'!$C:$O,4,0)),"")</f>
        <v/>
      </c>
      <c r="H2036" s="55" t="str">
        <f>IFERROR(IF(OR($B2036="",$B2036="(blank)"),"",VLOOKUP($B2036,'Email Marketing Raw Data'!$C:$O,5,0)),"")</f>
        <v/>
      </c>
      <c r="I2036" s="55" t="str">
        <f>IFERROR(IF($G2036="","",VLOOKUP('Dashboard And Emails Automate'!$G2036,Database!$H:$N,3,0)),"")</f>
        <v/>
      </c>
      <c r="J2036" s="55" t="str">
        <f>IFERROR(IF($G2036="","",VLOOKUP('Dashboard And Emails Automate'!$G2036,Database!$H:$N,4,0)),"")</f>
        <v/>
      </c>
      <c r="K2036" s="55" t="str">
        <f>IFERROR(IF($G2036="","",VLOOKUP('Dashboard And Emails Automate'!$G2036,Database!$H:$N,5,0)),"")</f>
        <v/>
      </c>
      <c r="L2036" s="55" t="str">
        <f>IFERROR(IF($G2036="","",VLOOKUP('Dashboard And Emails Automate'!$G2036,Database!$H:$N,6,0)),"")</f>
        <v/>
      </c>
      <c r="M2036" s="55" t="str">
        <f>IFERROR(IF($G2036="","",VLOOKUP('Dashboard And Emails Automate'!$G2036,Database!$H:$N,7,0)),"")</f>
        <v/>
      </c>
      <c r="N2036" s="55" t="str">
        <f>IFERROR(IF(OR($B2036="",$B2036="(blank)"),"",VLOOKUP($B2036,'Email Marketing Raw Data'!$C:$O,6,0)),"")</f>
        <v/>
      </c>
      <c r="O2036" s="55" t="str">
        <f>IFERROR(IF(OR($B2036="",$B2036="(blank)"),"",VLOOKUP($B2036,'Email Marketing Raw Data'!$C:$O,7,0)),"")</f>
        <v/>
      </c>
      <c r="P2036" s="55" t="str">
        <f>IFERROR(IF(OR($B2036="",$B2036="(blank)"),"",VLOOKUP($B2036,'Email Marketing Raw Data'!$C:$O,8,0)),"")</f>
        <v/>
      </c>
      <c r="Q2036" s="62" t="str">
        <f>IFERROR(IF(OR($B2036="",$B2036="(blank)"),"",VLOOKUP($B2036,'Email Marketing Raw Data'!$C:$O,9,0)),"")</f>
        <v/>
      </c>
    </row>
    <row r="2037" spans="4:17" ht="12.75" customHeight="1" x14ac:dyDescent="0.2">
      <c r="D2037" s="58" t="str">
        <f>IFERROR(IF(F2037&lt;&gt;"pending","",IF(OR($B2037="",$B2037="(blank)"),"",VLOOKUP($B2037,'Email Marketing Raw Data'!$C:$O,10,0))),"")</f>
        <v/>
      </c>
      <c r="E2037" s="59" t="str">
        <f>IFERROR(IF(F2037&lt;&gt;"pending","",IF(OR($B2037="",$B2037="(blank)"),"",VLOOKUP($B2037,'Email Marketing Raw Data'!$C:$O,11,0))),"")</f>
        <v/>
      </c>
      <c r="F2037" s="54" t="str">
        <f>IFERROR(IF(OR($B2037="",$B2037="(blank)"),"",VLOOKUP($B2037,'Email Marketing Raw Data'!$C:$O,13,0)),"")</f>
        <v/>
      </c>
      <c r="G2037" s="55" t="str">
        <f>IFERROR(IF(OR($B2037="",$B2037="(blank)"),"",VLOOKUP($B2037,'Email Marketing Raw Data'!$C:$O,4,0)),"")</f>
        <v/>
      </c>
      <c r="H2037" s="55" t="str">
        <f>IFERROR(IF(OR($B2037="",$B2037="(blank)"),"",VLOOKUP($B2037,'Email Marketing Raw Data'!$C:$O,5,0)),"")</f>
        <v/>
      </c>
      <c r="I2037" s="55" t="str">
        <f>IFERROR(IF($G2037="","",VLOOKUP('Dashboard And Emails Automate'!$G2037,Database!$H:$N,3,0)),"")</f>
        <v/>
      </c>
      <c r="J2037" s="55" t="str">
        <f>IFERROR(IF($G2037="","",VLOOKUP('Dashboard And Emails Automate'!$G2037,Database!$H:$N,4,0)),"")</f>
        <v/>
      </c>
      <c r="K2037" s="55" t="str">
        <f>IFERROR(IF($G2037="","",VLOOKUP('Dashboard And Emails Automate'!$G2037,Database!$H:$N,5,0)),"")</f>
        <v/>
      </c>
      <c r="L2037" s="55" t="str">
        <f>IFERROR(IF($G2037="","",VLOOKUP('Dashboard And Emails Automate'!$G2037,Database!$H:$N,6,0)),"")</f>
        <v/>
      </c>
      <c r="M2037" s="55" t="str">
        <f>IFERROR(IF($G2037="","",VLOOKUP('Dashboard And Emails Automate'!$G2037,Database!$H:$N,7,0)),"")</f>
        <v/>
      </c>
      <c r="N2037" s="55" t="str">
        <f>IFERROR(IF(OR($B2037="",$B2037="(blank)"),"",VLOOKUP($B2037,'Email Marketing Raw Data'!$C:$O,6,0)),"")</f>
        <v/>
      </c>
      <c r="O2037" s="55" t="str">
        <f>IFERROR(IF(OR($B2037="",$B2037="(blank)"),"",VLOOKUP($B2037,'Email Marketing Raw Data'!$C:$O,7,0)),"")</f>
        <v/>
      </c>
      <c r="P2037" s="55" t="str">
        <f>IFERROR(IF(OR($B2037="",$B2037="(blank)"),"",VLOOKUP($B2037,'Email Marketing Raw Data'!$C:$O,8,0)),"")</f>
        <v/>
      </c>
      <c r="Q2037" s="62" t="str">
        <f>IFERROR(IF(OR($B2037="",$B2037="(blank)"),"",VLOOKUP($B2037,'Email Marketing Raw Data'!$C:$O,9,0)),"")</f>
        <v/>
      </c>
    </row>
    <row r="2038" spans="4:17" ht="12.75" customHeight="1" x14ac:dyDescent="0.2">
      <c r="D2038" s="58" t="str">
        <f>IFERROR(IF(F2038&lt;&gt;"pending","",IF(OR($B2038="",$B2038="(blank)"),"",VLOOKUP($B2038,'Email Marketing Raw Data'!$C:$O,10,0))),"")</f>
        <v/>
      </c>
      <c r="E2038" s="59" t="str">
        <f>IFERROR(IF(F2038&lt;&gt;"pending","",IF(OR($B2038="",$B2038="(blank)"),"",VLOOKUP($B2038,'Email Marketing Raw Data'!$C:$O,11,0))),"")</f>
        <v/>
      </c>
      <c r="F2038" s="54" t="str">
        <f>IFERROR(IF(OR($B2038="",$B2038="(blank)"),"",VLOOKUP($B2038,'Email Marketing Raw Data'!$C:$O,13,0)),"")</f>
        <v/>
      </c>
      <c r="G2038" s="55" t="str">
        <f>IFERROR(IF(OR($B2038="",$B2038="(blank)"),"",VLOOKUP($B2038,'Email Marketing Raw Data'!$C:$O,4,0)),"")</f>
        <v/>
      </c>
      <c r="H2038" s="55" t="str">
        <f>IFERROR(IF(OR($B2038="",$B2038="(blank)"),"",VLOOKUP($B2038,'Email Marketing Raw Data'!$C:$O,5,0)),"")</f>
        <v/>
      </c>
      <c r="I2038" s="55" t="str">
        <f>IFERROR(IF($G2038="","",VLOOKUP('Dashboard And Emails Automate'!$G2038,Database!$H:$N,3,0)),"")</f>
        <v/>
      </c>
      <c r="J2038" s="55" t="str">
        <f>IFERROR(IF($G2038="","",VLOOKUP('Dashboard And Emails Automate'!$G2038,Database!$H:$N,4,0)),"")</f>
        <v/>
      </c>
      <c r="K2038" s="55" t="str">
        <f>IFERROR(IF($G2038="","",VLOOKUP('Dashboard And Emails Automate'!$G2038,Database!$H:$N,5,0)),"")</f>
        <v/>
      </c>
      <c r="L2038" s="55" t="str">
        <f>IFERROR(IF($G2038="","",VLOOKUP('Dashboard And Emails Automate'!$G2038,Database!$H:$N,6,0)),"")</f>
        <v/>
      </c>
      <c r="M2038" s="55" t="str">
        <f>IFERROR(IF($G2038="","",VLOOKUP('Dashboard And Emails Automate'!$G2038,Database!$H:$N,7,0)),"")</f>
        <v/>
      </c>
      <c r="N2038" s="55" t="str">
        <f>IFERROR(IF(OR($B2038="",$B2038="(blank)"),"",VLOOKUP($B2038,'Email Marketing Raw Data'!$C:$O,6,0)),"")</f>
        <v/>
      </c>
      <c r="O2038" s="55" t="str">
        <f>IFERROR(IF(OR($B2038="",$B2038="(blank)"),"",VLOOKUP($B2038,'Email Marketing Raw Data'!$C:$O,7,0)),"")</f>
        <v/>
      </c>
      <c r="P2038" s="55" t="str">
        <f>IFERROR(IF(OR($B2038="",$B2038="(blank)"),"",VLOOKUP($B2038,'Email Marketing Raw Data'!$C:$O,8,0)),"")</f>
        <v/>
      </c>
      <c r="Q2038" s="62" t="str">
        <f>IFERROR(IF(OR($B2038="",$B2038="(blank)"),"",VLOOKUP($B2038,'Email Marketing Raw Data'!$C:$O,9,0)),"")</f>
        <v/>
      </c>
    </row>
    <row r="2039" spans="4:17" ht="12.75" customHeight="1" x14ac:dyDescent="0.2">
      <c r="D2039" s="58" t="str">
        <f>IFERROR(IF(F2039&lt;&gt;"pending","",IF(OR($B2039="",$B2039="(blank)"),"",VLOOKUP($B2039,'Email Marketing Raw Data'!$C:$O,10,0))),"")</f>
        <v/>
      </c>
      <c r="E2039" s="59" t="str">
        <f>IFERROR(IF(F2039&lt;&gt;"pending","",IF(OR($B2039="",$B2039="(blank)"),"",VLOOKUP($B2039,'Email Marketing Raw Data'!$C:$O,11,0))),"")</f>
        <v/>
      </c>
      <c r="F2039" s="54" t="str">
        <f>IFERROR(IF(OR($B2039="",$B2039="(blank)"),"",VLOOKUP($B2039,'Email Marketing Raw Data'!$C:$O,13,0)),"")</f>
        <v/>
      </c>
      <c r="G2039" s="55" t="str">
        <f>IFERROR(IF(OR($B2039="",$B2039="(blank)"),"",VLOOKUP($B2039,'Email Marketing Raw Data'!$C:$O,4,0)),"")</f>
        <v/>
      </c>
      <c r="H2039" s="55" t="str">
        <f>IFERROR(IF(OR($B2039="",$B2039="(blank)"),"",VLOOKUP($B2039,'Email Marketing Raw Data'!$C:$O,5,0)),"")</f>
        <v/>
      </c>
      <c r="I2039" s="55" t="str">
        <f>IFERROR(IF($G2039="","",VLOOKUP('Dashboard And Emails Automate'!$G2039,Database!$H:$N,3,0)),"")</f>
        <v/>
      </c>
      <c r="J2039" s="55" t="str">
        <f>IFERROR(IF($G2039="","",VLOOKUP('Dashboard And Emails Automate'!$G2039,Database!$H:$N,4,0)),"")</f>
        <v/>
      </c>
      <c r="K2039" s="55" t="str">
        <f>IFERROR(IF($G2039="","",VLOOKUP('Dashboard And Emails Automate'!$G2039,Database!$H:$N,5,0)),"")</f>
        <v/>
      </c>
      <c r="L2039" s="55" t="str">
        <f>IFERROR(IF($G2039="","",VLOOKUP('Dashboard And Emails Automate'!$G2039,Database!$H:$N,6,0)),"")</f>
        <v/>
      </c>
      <c r="M2039" s="55" t="str">
        <f>IFERROR(IF($G2039="","",VLOOKUP('Dashboard And Emails Automate'!$G2039,Database!$H:$N,7,0)),"")</f>
        <v/>
      </c>
      <c r="N2039" s="55" t="str">
        <f>IFERROR(IF(OR($B2039="",$B2039="(blank)"),"",VLOOKUP($B2039,'Email Marketing Raw Data'!$C:$O,6,0)),"")</f>
        <v/>
      </c>
      <c r="O2039" s="55" t="str">
        <f>IFERROR(IF(OR($B2039="",$B2039="(blank)"),"",VLOOKUP($B2039,'Email Marketing Raw Data'!$C:$O,7,0)),"")</f>
        <v/>
      </c>
      <c r="P2039" s="55" t="str">
        <f>IFERROR(IF(OR($B2039="",$B2039="(blank)"),"",VLOOKUP($B2039,'Email Marketing Raw Data'!$C:$O,8,0)),"")</f>
        <v/>
      </c>
      <c r="Q2039" s="62" t="str">
        <f>IFERROR(IF(OR($B2039="",$B2039="(blank)"),"",VLOOKUP($B2039,'Email Marketing Raw Data'!$C:$O,9,0)),"")</f>
        <v/>
      </c>
    </row>
    <row r="2040" spans="4:17" ht="12.75" customHeight="1" x14ac:dyDescent="0.2">
      <c r="D2040" s="58" t="str">
        <f>IFERROR(IF(F2040&lt;&gt;"pending","",IF(OR($B2040="",$B2040="(blank)"),"",VLOOKUP($B2040,'Email Marketing Raw Data'!$C:$O,10,0))),"")</f>
        <v/>
      </c>
      <c r="E2040" s="59" t="str">
        <f>IFERROR(IF(F2040&lt;&gt;"pending","",IF(OR($B2040="",$B2040="(blank)"),"",VLOOKUP($B2040,'Email Marketing Raw Data'!$C:$O,11,0))),"")</f>
        <v/>
      </c>
      <c r="F2040" s="54" t="str">
        <f>IFERROR(IF(OR($B2040="",$B2040="(blank)"),"",VLOOKUP($B2040,'Email Marketing Raw Data'!$C:$O,13,0)),"")</f>
        <v/>
      </c>
      <c r="G2040" s="55" t="str">
        <f>IFERROR(IF(OR($B2040="",$B2040="(blank)"),"",VLOOKUP($B2040,'Email Marketing Raw Data'!$C:$O,4,0)),"")</f>
        <v/>
      </c>
      <c r="H2040" s="55" t="str">
        <f>IFERROR(IF(OR($B2040="",$B2040="(blank)"),"",VLOOKUP($B2040,'Email Marketing Raw Data'!$C:$O,5,0)),"")</f>
        <v/>
      </c>
      <c r="I2040" s="55" t="str">
        <f>IFERROR(IF($G2040="","",VLOOKUP('Dashboard And Emails Automate'!$G2040,Database!$H:$N,3,0)),"")</f>
        <v/>
      </c>
      <c r="J2040" s="55" t="str">
        <f>IFERROR(IF($G2040="","",VLOOKUP('Dashboard And Emails Automate'!$G2040,Database!$H:$N,4,0)),"")</f>
        <v/>
      </c>
      <c r="K2040" s="55" t="str">
        <f>IFERROR(IF($G2040="","",VLOOKUP('Dashboard And Emails Automate'!$G2040,Database!$H:$N,5,0)),"")</f>
        <v/>
      </c>
      <c r="L2040" s="55" t="str">
        <f>IFERROR(IF($G2040="","",VLOOKUP('Dashboard And Emails Automate'!$G2040,Database!$H:$N,6,0)),"")</f>
        <v/>
      </c>
      <c r="M2040" s="55" t="str">
        <f>IFERROR(IF($G2040="","",VLOOKUP('Dashboard And Emails Automate'!$G2040,Database!$H:$N,7,0)),"")</f>
        <v/>
      </c>
      <c r="N2040" s="55" t="str">
        <f>IFERROR(IF(OR($B2040="",$B2040="(blank)"),"",VLOOKUP($B2040,'Email Marketing Raw Data'!$C:$O,6,0)),"")</f>
        <v/>
      </c>
      <c r="O2040" s="55" t="str">
        <f>IFERROR(IF(OR($B2040="",$B2040="(blank)"),"",VLOOKUP($B2040,'Email Marketing Raw Data'!$C:$O,7,0)),"")</f>
        <v/>
      </c>
      <c r="P2040" s="55" t="str">
        <f>IFERROR(IF(OR($B2040="",$B2040="(blank)"),"",VLOOKUP($B2040,'Email Marketing Raw Data'!$C:$O,8,0)),"")</f>
        <v/>
      </c>
      <c r="Q2040" s="62" t="str">
        <f>IFERROR(IF(OR($B2040="",$B2040="(blank)"),"",VLOOKUP($B2040,'Email Marketing Raw Data'!$C:$O,9,0)),"")</f>
        <v/>
      </c>
    </row>
    <row r="2041" spans="4:17" ht="12.75" customHeight="1" x14ac:dyDescent="0.2">
      <c r="D2041" s="58" t="str">
        <f>IFERROR(IF(F2041&lt;&gt;"pending","",IF(OR($B2041="",$B2041="(blank)"),"",VLOOKUP($B2041,'Email Marketing Raw Data'!$C:$O,10,0))),"")</f>
        <v/>
      </c>
      <c r="E2041" s="59" t="str">
        <f>IFERROR(IF(F2041&lt;&gt;"pending","",IF(OR($B2041="",$B2041="(blank)"),"",VLOOKUP($B2041,'Email Marketing Raw Data'!$C:$O,11,0))),"")</f>
        <v/>
      </c>
      <c r="F2041" s="54" t="str">
        <f>IFERROR(IF(OR($B2041="",$B2041="(blank)"),"",VLOOKUP($B2041,'Email Marketing Raw Data'!$C:$O,13,0)),"")</f>
        <v/>
      </c>
      <c r="G2041" s="55" t="str">
        <f>IFERROR(IF(OR($B2041="",$B2041="(blank)"),"",VLOOKUP($B2041,'Email Marketing Raw Data'!$C:$O,4,0)),"")</f>
        <v/>
      </c>
      <c r="H2041" s="55" t="str">
        <f>IFERROR(IF(OR($B2041="",$B2041="(blank)"),"",VLOOKUP($B2041,'Email Marketing Raw Data'!$C:$O,5,0)),"")</f>
        <v/>
      </c>
      <c r="I2041" s="55" t="str">
        <f>IFERROR(IF($G2041="","",VLOOKUP('Dashboard And Emails Automate'!$G2041,Database!$H:$N,3,0)),"")</f>
        <v/>
      </c>
      <c r="J2041" s="55" t="str">
        <f>IFERROR(IF($G2041="","",VLOOKUP('Dashboard And Emails Automate'!$G2041,Database!$H:$N,4,0)),"")</f>
        <v/>
      </c>
      <c r="K2041" s="55" t="str">
        <f>IFERROR(IF($G2041="","",VLOOKUP('Dashboard And Emails Automate'!$G2041,Database!$H:$N,5,0)),"")</f>
        <v/>
      </c>
      <c r="L2041" s="55" t="str">
        <f>IFERROR(IF($G2041="","",VLOOKUP('Dashboard And Emails Automate'!$G2041,Database!$H:$N,6,0)),"")</f>
        <v/>
      </c>
      <c r="M2041" s="55" t="str">
        <f>IFERROR(IF($G2041="","",VLOOKUP('Dashboard And Emails Automate'!$G2041,Database!$H:$N,7,0)),"")</f>
        <v/>
      </c>
      <c r="N2041" s="55" t="str">
        <f>IFERROR(IF(OR($B2041="",$B2041="(blank)"),"",VLOOKUP($B2041,'Email Marketing Raw Data'!$C:$O,6,0)),"")</f>
        <v/>
      </c>
      <c r="O2041" s="55" t="str">
        <f>IFERROR(IF(OR($B2041="",$B2041="(blank)"),"",VLOOKUP($B2041,'Email Marketing Raw Data'!$C:$O,7,0)),"")</f>
        <v/>
      </c>
      <c r="P2041" s="55" t="str">
        <f>IFERROR(IF(OR($B2041="",$B2041="(blank)"),"",VLOOKUP($B2041,'Email Marketing Raw Data'!$C:$O,8,0)),"")</f>
        <v/>
      </c>
      <c r="Q2041" s="62" t="str">
        <f>IFERROR(IF(OR($B2041="",$B2041="(blank)"),"",VLOOKUP($B2041,'Email Marketing Raw Data'!$C:$O,9,0)),"")</f>
        <v/>
      </c>
    </row>
    <row r="2042" spans="4:17" ht="12.75" customHeight="1" x14ac:dyDescent="0.2">
      <c r="D2042" s="58" t="str">
        <f>IFERROR(IF(F2042&lt;&gt;"pending","",IF(OR($B2042="",$B2042="(blank)"),"",VLOOKUP($B2042,'Email Marketing Raw Data'!$C:$O,10,0))),"")</f>
        <v/>
      </c>
      <c r="E2042" s="59" t="str">
        <f>IFERROR(IF(F2042&lt;&gt;"pending","",IF(OR($B2042="",$B2042="(blank)"),"",VLOOKUP($B2042,'Email Marketing Raw Data'!$C:$O,11,0))),"")</f>
        <v/>
      </c>
      <c r="F2042" s="54" t="str">
        <f>IFERROR(IF(OR($B2042="",$B2042="(blank)"),"",VLOOKUP($B2042,'Email Marketing Raw Data'!$C:$O,13,0)),"")</f>
        <v/>
      </c>
      <c r="G2042" s="55" t="str">
        <f>IFERROR(IF(OR($B2042="",$B2042="(blank)"),"",VLOOKUP($B2042,'Email Marketing Raw Data'!$C:$O,4,0)),"")</f>
        <v/>
      </c>
      <c r="H2042" s="55" t="str">
        <f>IFERROR(IF(OR($B2042="",$B2042="(blank)"),"",VLOOKUP($B2042,'Email Marketing Raw Data'!$C:$O,5,0)),"")</f>
        <v/>
      </c>
      <c r="I2042" s="55" t="str">
        <f>IFERROR(IF($G2042="","",VLOOKUP('Dashboard And Emails Automate'!$G2042,Database!$H:$N,3,0)),"")</f>
        <v/>
      </c>
      <c r="J2042" s="55" t="str">
        <f>IFERROR(IF($G2042="","",VLOOKUP('Dashboard And Emails Automate'!$G2042,Database!$H:$N,4,0)),"")</f>
        <v/>
      </c>
      <c r="K2042" s="55" t="str">
        <f>IFERROR(IF($G2042="","",VLOOKUP('Dashboard And Emails Automate'!$G2042,Database!$H:$N,5,0)),"")</f>
        <v/>
      </c>
      <c r="L2042" s="55" t="str">
        <f>IFERROR(IF($G2042="","",VLOOKUP('Dashboard And Emails Automate'!$G2042,Database!$H:$N,6,0)),"")</f>
        <v/>
      </c>
      <c r="M2042" s="55" t="str">
        <f>IFERROR(IF($G2042="","",VLOOKUP('Dashboard And Emails Automate'!$G2042,Database!$H:$N,7,0)),"")</f>
        <v/>
      </c>
      <c r="N2042" s="55" t="str">
        <f>IFERROR(IF(OR($B2042="",$B2042="(blank)"),"",VLOOKUP($B2042,'Email Marketing Raw Data'!$C:$O,6,0)),"")</f>
        <v/>
      </c>
      <c r="O2042" s="55" t="str">
        <f>IFERROR(IF(OR($B2042="",$B2042="(blank)"),"",VLOOKUP($B2042,'Email Marketing Raw Data'!$C:$O,7,0)),"")</f>
        <v/>
      </c>
      <c r="P2042" s="55" t="str">
        <f>IFERROR(IF(OR($B2042="",$B2042="(blank)"),"",VLOOKUP($B2042,'Email Marketing Raw Data'!$C:$O,8,0)),"")</f>
        <v/>
      </c>
      <c r="Q2042" s="62" t="str">
        <f>IFERROR(IF(OR($B2042="",$B2042="(blank)"),"",VLOOKUP($B2042,'Email Marketing Raw Data'!$C:$O,9,0)),"")</f>
        <v/>
      </c>
    </row>
    <row r="2043" spans="4:17" ht="12.75" customHeight="1" x14ac:dyDescent="0.2">
      <c r="D2043" s="58" t="str">
        <f>IFERROR(IF(F2043&lt;&gt;"pending","",IF(OR($B2043="",$B2043="(blank)"),"",VLOOKUP($B2043,'Email Marketing Raw Data'!$C:$O,10,0))),"")</f>
        <v/>
      </c>
      <c r="E2043" s="59" t="str">
        <f>IFERROR(IF(F2043&lt;&gt;"pending","",IF(OR($B2043="",$B2043="(blank)"),"",VLOOKUP($B2043,'Email Marketing Raw Data'!$C:$O,11,0))),"")</f>
        <v/>
      </c>
      <c r="F2043" s="54" t="str">
        <f>IFERROR(IF(OR($B2043="",$B2043="(blank)"),"",VLOOKUP($B2043,'Email Marketing Raw Data'!$C:$O,13,0)),"")</f>
        <v/>
      </c>
      <c r="G2043" s="55" t="str">
        <f>IFERROR(IF(OR($B2043="",$B2043="(blank)"),"",VLOOKUP($B2043,'Email Marketing Raw Data'!$C:$O,4,0)),"")</f>
        <v/>
      </c>
      <c r="H2043" s="55" t="str">
        <f>IFERROR(IF(OR($B2043="",$B2043="(blank)"),"",VLOOKUP($B2043,'Email Marketing Raw Data'!$C:$O,5,0)),"")</f>
        <v/>
      </c>
      <c r="I2043" s="55" t="str">
        <f>IFERROR(IF($G2043="","",VLOOKUP('Dashboard And Emails Automate'!$G2043,Database!$H:$N,3,0)),"")</f>
        <v/>
      </c>
      <c r="J2043" s="55" t="str">
        <f>IFERROR(IF($G2043="","",VLOOKUP('Dashboard And Emails Automate'!$G2043,Database!$H:$N,4,0)),"")</f>
        <v/>
      </c>
      <c r="K2043" s="55" t="str">
        <f>IFERROR(IF($G2043="","",VLOOKUP('Dashboard And Emails Automate'!$G2043,Database!$H:$N,5,0)),"")</f>
        <v/>
      </c>
      <c r="L2043" s="55" t="str">
        <f>IFERROR(IF($G2043="","",VLOOKUP('Dashboard And Emails Automate'!$G2043,Database!$H:$N,6,0)),"")</f>
        <v/>
      </c>
      <c r="M2043" s="55" t="str">
        <f>IFERROR(IF($G2043="","",VLOOKUP('Dashboard And Emails Automate'!$G2043,Database!$H:$N,7,0)),"")</f>
        <v/>
      </c>
      <c r="N2043" s="55" t="str">
        <f>IFERROR(IF(OR($B2043="",$B2043="(blank)"),"",VLOOKUP($B2043,'Email Marketing Raw Data'!$C:$O,6,0)),"")</f>
        <v/>
      </c>
      <c r="O2043" s="55" t="str">
        <f>IFERROR(IF(OR($B2043="",$B2043="(blank)"),"",VLOOKUP($B2043,'Email Marketing Raw Data'!$C:$O,7,0)),"")</f>
        <v/>
      </c>
      <c r="P2043" s="55" t="str">
        <f>IFERROR(IF(OR($B2043="",$B2043="(blank)"),"",VLOOKUP($B2043,'Email Marketing Raw Data'!$C:$O,8,0)),"")</f>
        <v/>
      </c>
      <c r="Q2043" s="62" t="str">
        <f>IFERROR(IF(OR($B2043="",$B2043="(blank)"),"",VLOOKUP($B2043,'Email Marketing Raw Data'!$C:$O,9,0)),"")</f>
        <v/>
      </c>
    </row>
    <row r="2044" spans="4:17" ht="12.75" customHeight="1" x14ac:dyDescent="0.2">
      <c r="D2044" s="58" t="str">
        <f>IFERROR(IF(F2044&lt;&gt;"pending","",IF(OR($B2044="",$B2044="(blank)"),"",VLOOKUP($B2044,'Email Marketing Raw Data'!$C:$O,10,0))),"")</f>
        <v/>
      </c>
      <c r="E2044" s="59" t="str">
        <f>IFERROR(IF(F2044&lt;&gt;"pending","",IF(OR($B2044="",$B2044="(blank)"),"",VLOOKUP($B2044,'Email Marketing Raw Data'!$C:$O,11,0))),"")</f>
        <v/>
      </c>
      <c r="F2044" s="54" t="str">
        <f>IFERROR(IF(OR($B2044="",$B2044="(blank)"),"",VLOOKUP($B2044,'Email Marketing Raw Data'!$C:$O,13,0)),"")</f>
        <v/>
      </c>
      <c r="G2044" s="55" t="str">
        <f>IFERROR(IF(OR($B2044="",$B2044="(blank)"),"",VLOOKUP($B2044,'Email Marketing Raw Data'!$C:$O,4,0)),"")</f>
        <v/>
      </c>
      <c r="H2044" s="55" t="str">
        <f>IFERROR(IF(OR($B2044="",$B2044="(blank)"),"",VLOOKUP($B2044,'Email Marketing Raw Data'!$C:$O,5,0)),"")</f>
        <v/>
      </c>
      <c r="I2044" s="55" t="str">
        <f>IFERROR(IF($G2044="","",VLOOKUP('Dashboard And Emails Automate'!$G2044,Database!$H:$N,3,0)),"")</f>
        <v/>
      </c>
      <c r="J2044" s="55" t="str">
        <f>IFERROR(IF($G2044="","",VLOOKUP('Dashboard And Emails Automate'!$G2044,Database!$H:$N,4,0)),"")</f>
        <v/>
      </c>
      <c r="K2044" s="55" t="str">
        <f>IFERROR(IF($G2044="","",VLOOKUP('Dashboard And Emails Automate'!$G2044,Database!$H:$N,5,0)),"")</f>
        <v/>
      </c>
      <c r="L2044" s="55" t="str">
        <f>IFERROR(IF($G2044="","",VLOOKUP('Dashboard And Emails Automate'!$G2044,Database!$H:$N,6,0)),"")</f>
        <v/>
      </c>
      <c r="M2044" s="55" t="str">
        <f>IFERROR(IF($G2044="","",VLOOKUP('Dashboard And Emails Automate'!$G2044,Database!$H:$N,7,0)),"")</f>
        <v/>
      </c>
      <c r="N2044" s="55" t="str">
        <f>IFERROR(IF(OR($B2044="",$B2044="(blank)"),"",VLOOKUP($B2044,'Email Marketing Raw Data'!$C:$O,6,0)),"")</f>
        <v/>
      </c>
      <c r="O2044" s="55" t="str">
        <f>IFERROR(IF(OR($B2044="",$B2044="(blank)"),"",VLOOKUP($B2044,'Email Marketing Raw Data'!$C:$O,7,0)),"")</f>
        <v/>
      </c>
      <c r="P2044" s="55" t="str">
        <f>IFERROR(IF(OR($B2044="",$B2044="(blank)"),"",VLOOKUP($B2044,'Email Marketing Raw Data'!$C:$O,8,0)),"")</f>
        <v/>
      </c>
      <c r="Q2044" s="62" t="str">
        <f>IFERROR(IF(OR($B2044="",$B2044="(blank)"),"",VLOOKUP($B2044,'Email Marketing Raw Data'!$C:$O,9,0)),"")</f>
        <v/>
      </c>
    </row>
    <row r="2045" spans="4:17" ht="12.75" customHeight="1" x14ac:dyDescent="0.2">
      <c r="D2045" s="58" t="str">
        <f>IFERROR(IF(F2045&lt;&gt;"pending","",IF(OR($B2045="",$B2045="(blank)"),"",VLOOKUP($B2045,'Email Marketing Raw Data'!$C:$O,10,0))),"")</f>
        <v/>
      </c>
      <c r="E2045" s="59" t="str">
        <f>IFERROR(IF(F2045&lt;&gt;"pending","",IF(OR($B2045="",$B2045="(blank)"),"",VLOOKUP($B2045,'Email Marketing Raw Data'!$C:$O,11,0))),"")</f>
        <v/>
      </c>
      <c r="F2045" s="54" t="str">
        <f>IFERROR(IF(OR($B2045="",$B2045="(blank)"),"",VLOOKUP($B2045,'Email Marketing Raw Data'!$C:$O,13,0)),"")</f>
        <v/>
      </c>
      <c r="G2045" s="55" t="str">
        <f>IFERROR(IF(OR($B2045="",$B2045="(blank)"),"",VLOOKUP($B2045,'Email Marketing Raw Data'!$C:$O,4,0)),"")</f>
        <v/>
      </c>
      <c r="H2045" s="55" t="str">
        <f>IFERROR(IF(OR($B2045="",$B2045="(blank)"),"",VLOOKUP($B2045,'Email Marketing Raw Data'!$C:$O,5,0)),"")</f>
        <v/>
      </c>
      <c r="I2045" s="55" t="str">
        <f>IFERROR(IF($G2045="","",VLOOKUP('Dashboard And Emails Automate'!$G2045,Database!$H:$N,3,0)),"")</f>
        <v/>
      </c>
      <c r="J2045" s="55" t="str">
        <f>IFERROR(IF($G2045="","",VLOOKUP('Dashboard And Emails Automate'!$G2045,Database!$H:$N,4,0)),"")</f>
        <v/>
      </c>
      <c r="K2045" s="55" t="str">
        <f>IFERROR(IF($G2045="","",VLOOKUP('Dashboard And Emails Automate'!$G2045,Database!$H:$N,5,0)),"")</f>
        <v/>
      </c>
      <c r="L2045" s="55" t="str">
        <f>IFERROR(IF($G2045="","",VLOOKUP('Dashboard And Emails Automate'!$G2045,Database!$H:$N,6,0)),"")</f>
        <v/>
      </c>
      <c r="M2045" s="55" t="str">
        <f>IFERROR(IF($G2045="","",VLOOKUP('Dashboard And Emails Automate'!$G2045,Database!$H:$N,7,0)),"")</f>
        <v/>
      </c>
      <c r="N2045" s="55" t="str">
        <f>IFERROR(IF(OR($B2045="",$B2045="(blank)"),"",VLOOKUP($B2045,'Email Marketing Raw Data'!$C:$O,6,0)),"")</f>
        <v/>
      </c>
      <c r="O2045" s="55" t="str">
        <f>IFERROR(IF(OR($B2045="",$B2045="(blank)"),"",VLOOKUP($B2045,'Email Marketing Raw Data'!$C:$O,7,0)),"")</f>
        <v/>
      </c>
      <c r="P2045" s="55" t="str">
        <f>IFERROR(IF(OR($B2045="",$B2045="(blank)"),"",VLOOKUP($B2045,'Email Marketing Raw Data'!$C:$O,8,0)),"")</f>
        <v/>
      </c>
      <c r="Q2045" s="62" t="str">
        <f>IFERROR(IF(OR($B2045="",$B2045="(blank)"),"",VLOOKUP($B2045,'Email Marketing Raw Data'!$C:$O,9,0)),"")</f>
        <v/>
      </c>
    </row>
    <row r="2046" spans="4:17" ht="12.75" customHeight="1" x14ac:dyDescent="0.2">
      <c r="D2046" s="58" t="str">
        <f>IFERROR(IF(F2046&lt;&gt;"pending","",IF(OR($B2046="",$B2046="(blank)"),"",VLOOKUP($B2046,'Email Marketing Raw Data'!$C:$O,10,0))),"")</f>
        <v/>
      </c>
      <c r="E2046" s="59" t="str">
        <f>IFERROR(IF(F2046&lt;&gt;"pending","",IF(OR($B2046="",$B2046="(blank)"),"",VLOOKUP($B2046,'Email Marketing Raw Data'!$C:$O,11,0))),"")</f>
        <v/>
      </c>
      <c r="F2046" s="54" t="str">
        <f>IFERROR(IF(OR($B2046="",$B2046="(blank)"),"",VLOOKUP($B2046,'Email Marketing Raw Data'!$C:$O,13,0)),"")</f>
        <v/>
      </c>
      <c r="G2046" s="55" t="str">
        <f>IFERROR(IF(OR($B2046="",$B2046="(blank)"),"",VLOOKUP($B2046,'Email Marketing Raw Data'!$C:$O,4,0)),"")</f>
        <v/>
      </c>
      <c r="H2046" s="55" t="str">
        <f>IFERROR(IF(OR($B2046="",$B2046="(blank)"),"",VLOOKUP($B2046,'Email Marketing Raw Data'!$C:$O,5,0)),"")</f>
        <v/>
      </c>
      <c r="I2046" s="55" t="str">
        <f>IFERROR(IF($G2046="","",VLOOKUP('Dashboard And Emails Automate'!$G2046,Database!$H:$N,3,0)),"")</f>
        <v/>
      </c>
      <c r="J2046" s="55" t="str">
        <f>IFERROR(IF($G2046="","",VLOOKUP('Dashboard And Emails Automate'!$G2046,Database!$H:$N,4,0)),"")</f>
        <v/>
      </c>
      <c r="K2046" s="55" t="str">
        <f>IFERROR(IF($G2046="","",VLOOKUP('Dashboard And Emails Automate'!$G2046,Database!$H:$N,5,0)),"")</f>
        <v/>
      </c>
      <c r="L2046" s="55" t="str">
        <f>IFERROR(IF($G2046="","",VLOOKUP('Dashboard And Emails Automate'!$G2046,Database!$H:$N,6,0)),"")</f>
        <v/>
      </c>
      <c r="M2046" s="55" t="str">
        <f>IFERROR(IF($G2046="","",VLOOKUP('Dashboard And Emails Automate'!$G2046,Database!$H:$N,7,0)),"")</f>
        <v/>
      </c>
      <c r="N2046" s="55" t="str">
        <f>IFERROR(IF(OR($B2046="",$B2046="(blank)"),"",VLOOKUP($B2046,'Email Marketing Raw Data'!$C:$O,6,0)),"")</f>
        <v/>
      </c>
      <c r="O2046" s="55" t="str">
        <f>IFERROR(IF(OR($B2046="",$B2046="(blank)"),"",VLOOKUP($B2046,'Email Marketing Raw Data'!$C:$O,7,0)),"")</f>
        <v/>
      </c>
      <c r="P2046" s="55" t="str">
        <f>IFERROR(IF(OR($B2046="",$B2046="(blank)"),"",VLOOKUP($B2046,'Email Marketing Raw Data'!$C:$O,8,0)),"")</f>
        <v/>
      </c>
      <c r="Q2046" s="62" t="str">
        <f>IFERROR(IF(OR($B2046="",$B2046="(blank)"),"",VLOOKUP($B2046,'Email Marketing Raw Data'!$C:$O,9,0)),"")</f>
        <v/>
      </c>
    </row>
    <row r="2047" spans="4:17" ht="12.75" customHeight="1" x14ac:dyDescent="0.2">
      <c r="D2047" s="58" t="str">
        <f>IFERROR(IF(F2047&lt;&gt;"pending","",IF(OR($B2047="",$B2047="(blank)"),"",VLOOKUP($B2047,'Email Marketing Raw Data'!$C:$O,10,0))),"")</f>
        <v/>
      </c>
      <c r="E2047" s="59" t="str">
        <f>IFERROR(IF(F2047&lt;&gt;"pending","",IF(OR($B2047="",$B2047="(blank)"),"",VLOOKUP($B2047,'Email Marketing Raw Data'!$C:$O,11,0))),"")</f>
        <v/>
      </c>
      <c r="F2047" s="54" t="str">
        <f>IFERROR(IF(OR($B2047="",$B2047="(blank)"),"",VLOOKUP($B2047,'Email Marketing Raw Data'!$C:$O,13,0)),"")</f>
        <v/>
      </c>
      <c r="G2047" s="55" t="str">
        <f>IFERROR(IF(OR($B2047="",$B2047="(blank)"),"",VLOOKUP($B2047,'Email Marketing Raw Data'!$C:$O,4,0)),"")</f>
        <v/>
      </c>
      <c r="H2047" s="55" t="str">
        <f>IFERROR(IF(OR($B2047="",$B2047="(blank)"),"",VLOOKUP($B2047,'Email Marketing Raw Data'!$C:$O,5,0)),"")</f>
        <v/>
      </c>
      <c r="I2047" s="55" t="str">
        <f>IFERROR(IF($G2047="","",VLOOKUP('Dashboard And Emails Automate'!$G2047,Database!$H:$N,3,0)),"")</f>
        <v/>
      </c>
      <c r="J2047" s="55" t="str">
        <f>IFERROR(IF($G2047="","",VLOOKUP('Dashboard And Emails Automate'!$G2047,Database!$H:$N,4,0)),"")</f>
        <v/>
      </c>
      <c r="K2047" s="55" t="str">
        <f>IFERROR(IF($G2047="","",VLOOKUP('Dashboard And Emails Automate'!$G2047,Database!$H:$N,5,0)),"")</f>
        <v/>
      </c>
      <c r="L2047" s="55" t="str">
        <f>IFERROR(IF($G2047="","",VLOOKUP('Dashboard And Emails Automate'!$G2047,Database!$H:$N,6,0)),"")</f>
        <v/>
      </c>
      <c r="M2047" s="55" t="str">
        <f>IFERROR(IF($G2047="","",VLOOKUP('Dashboard And Emails Automate'!$G2047,Database!$H:$N,7,0)),"")</f>
        <v/>
      </c>
      <c r="N2047" s="55" t="str">
        <f>IFERROR(IF(OR($B2047="",$B2047="(blank)"),"",VLOOKUP($B2047,'Email Marketing Raw Data'!$C:$O,6,0)),"")</f>
        <v/>
      </c>
      <c r="O2047" s="55" t="str">
        <f>IFERROR(IF(OR($B2047="",$B2047="(blank)"),"",VLOOKUP($B2047,'Email Marketing Raw Data'!$C:$O,7,0)),"")</f>
        <v/>
      </c>
      <c r="P2047" s="55" t="str">
        <f>IFERROR(IF(OR($B2047="",$B2047="(blank)"),"",VLOOKUP($B2047,'Email Marketing Raw Data'!$C:$O,8,0)),"")</f>
        <v/>
      </c>
      <c r="Q2047" s="62" t="str">
        <f>IFERROR(IF(OR($B2047="",$B2047="(blank)"),"",VLOOKUP($B2047,'Email Marketing Raw Data'!$C:$O,9,0)),"")</f>
        <v/>
      </c>
    </row>
    <row r="2048" spans="4:17" ht="12.75" customHeight="1" x14ac:dyDescent="0.2">
      <c r="D2048" s="58" t="str">
        <f>IFERROR(IF(F2048&lt;&gt;"pending","",IF(OR($B2048="",$B2048="(blank)"),"",VLOOKUP($B2048,'Email Marketing Raw Data'!$C:$O,10,0))),"")</f>
        <v/>
      </c>
      <c r="E2048" s="59" t="str">
        <f>IFERROR(IF(F2048&lt;&gt;"pending","",IF(OR($B2048="",$B2048="(blank)"),"",VLOOKUP($B2048,'Email Marketing Raw Data'!$C:$O,11,0))),"")</f>
        <v/>
      </c>
      <c r="F2048" s="54" t="str">
        <f>IFERROR(IF(OR($B2048="",$B2048="(blank)"),"",VLOOKUP($B2048,'Email Marketing Raw Data'!$C:$O,13,0)),"")</f>
        <v/>
      </c>
      <c r="G2048" s="55" t="str">
        <f>IFERROR(IF(OR($B2048="",$B2048="(blank)"),"",VLOOKUP($B2048,'Email Marketing Raw Data'!$C:$O,4,0)),"")</f>
        <v/>
      </c>
      <c r="H2048" s="55" t="str">
        <f>IFERROR(IF(OR($B2048="",$B2048="(blank)"),"",VLOOKUP($B2048,'Email Marketing Raw Data'!$C:$O,5,0)),"")</f>
        <v/>
      </c>
      <c r="I2048" s="55" t="str">
        <f>IFERROR(IF($G2048="","",VLOOKUP('Dashboard And Emails Automate'!$G2048,Database!$H:$N,3,0)),"")</f>
        <v/>
      </c>
      <c r="J2048" s="55" t="str">
        <f>IFERROR(IF($G2048="","",VLOOKUP('Dashboard And Emails Automate'!$G2048,Database!$H:$N,4,0)),"")</f>
        <v/>
      </c>
      <c r="K2048" s="55" t="str">
        <f>IFERROR(IF($G2048="","",VLOOKUP('Dashboard And Emails Automate'!$G2048,Database!$H:$N,5,0)),"")</f>
        <v/>
      </c>
      <c r="L2048" s="55" t="str">
        <f>IFERROR(IF($G2048="","",VLOOKUP('Dashboard And Emails Automate'!$G2048,Database!$H:$N,6,0)),"")</f>
        <v/>
      </c>
      <c r="M2048" s="55" t="str">
        <f>IFERROR(IF($G2048="","",VLOOKUP('Dashboard And Emails Automate'!$G2048,Database!$H:$N,7,0)),"")</f>
        <v/>
      </c>
      <c r="N2048" s="55" t="str">
        <f>IFERROR(IF(OR($B2048="",$B2048="(blank)"),"",VLOOKUP($B2048,'Email Marketing Raw Data'!$C:$O,6,0)),"")</f>
        <v/>
      </c>
      <c r="O2048" s="55" t="str">
        <f>IFERROR(IF(OR($B2048="",$B2048="(blank)"),"",VLOOKUP($B2048,'Email Marketing Raw Data'!$C:$O,7,0)),"")</f>
        <v/>
      </c>
      <c r="P2048" s="55" t="str">
        <f>IFERROR(IF(OR($B2048="",$B2048="(blank)"),"",VLOOKUP($B2048,'Email Marketing Raw Data'!$C:$O,8,0)),"")</f>
        <v/>
      </c>
      <c r="Q2048" s="62" t="str">
        <f>IFERROR(IF(OR($B2048="",$B2048="(blank)"),"",VLOOKUP($B2048,'Email Marketing Raw Data'!$C:$O,9,0)),"")</f>
        <v/>
      </c>
    </row>
    <row r="2049" spans="4:17" ht="12.75" customHeight="1" x14ac:dyDescent="0.2">
      <c r="D2049" s="58" t="str">
        <f>IFERROR(IF(F2049&lt;&gt;"pending","",IF(OR($B2049="",$B2049="(blank)"),"",VLOOKUP($B2049,'Email Marketing Raw Data'!$C:$O,10,0))),"")</f>
        <v/>
      </c>
      <c r="E2049" s="59" t="str">
        <f>IFERROR(IF(F2049&lt;&gt;"pending","",IF(OR($B2049="",$B2049="(blank)"),"",VLOOKUP($B2049,'Email Marketing Raw Data'!$C:$O,11,0))),"")</f>
        <v/>
      </c>
      <c r="F2049" s="54" t="str">
        <f>IFERROR(IF(OR($B2049="",$B2049="(blank)"),"",VLOOKUP($B2049,'Email Marketing Raw Data'!$C:$O,13,0)),"")</f>
        <v/>
      </c>
      <c r="G2049" s="55" t="str">
        <f>IFERROR(IF(OR($B2049="",$B2049="(blank)"),"",VLOOKUP($B2049,'Email Marketing Raw Data'!$C:$O,4,0)),"")</f>
        <v/>
      </c>
      <c r="H2049" s="55" t="str">
        <f>IFERROR(IF(OR($B2049="",$B2049="(blank)"),"",VLOOKUP($B2049,'Email Marketing Raw Data'!$C:$O,5,0)),"")</f>
        <v/>
      </c>
      <c r="I2049" s="55" t="str">
        <f>IFERROR(IF($G2049="","",VLOOKUP('Dashboard And Emails Automate'!$G2049,Database!$H:$N,3,0)),"")</f>
        <v/>
      </c>
      <c r="J2049" s="55" t="str">
        <f>IFERROR(IF($G2049="","",VLOOKUP('Dashboard And Emails Automate'!$G2049,Database!$H:$N,4,0)),"")</f>
        <v/>
      </c>
      <c r="K2049" s="55" t="str">
        <f>IFERROR(IF($G2049="","",VLOOKUP('Dashboard And Emails Automate'!$G2049,Database!$H:$N,5,0)),"")</f>
        <v/>
      </c>
      <c r="L2049" s="55" t="str">
        <f>IFERROR(IF($G2049="","",VLOOKUP('Dashboard And Emails Automate'!$G2049,Database!$H:$N,6,0)),"")</f>
        <v/>
      </c>
      <c r="M2049" s="55" t="str">
        <f>IFERROR(IF($G2049="","",VLOOKUP('Dashboard And Emails Automate'!$G2049,Database!$H:$N,7,0)),"")</f>
        <v/>
      </c>
      <c r="N2049" s="55" t="str">
        <f>IFERROR(IF(OR($B2049="",$B2049="(blank)"),"",VLOOKUP($B2049,'Email Marketing Raw Data'!$C:$O,6,0)),"")</f>
        <v/>
      </c>
      <c r="O2049" s="55" t="str">
        <f>IFERROR(IF(OR($B2049="",$B2049="(blank)"),"",VLOOKUP($B2049,'Email Marketing Raw Data'!$C:$O,7,0)),"")</f>
        <v/>
      </c>
      <c r="P2049" s="55" t="str">
        <f>IFERROR(IF(OR($B2049="",$B2049="(blank)"),"",VLOOKUP($B2049,'Email Marketing Raw Data'!$C:$O,8,0)),"")</f>
        <v/>
      </c>
      <c r="Q2049" s="62" t="str">
        <f>IFERROR(IF(OR($B2049="",$B2049="(blank)"),"",VLOOKUP($B2049,'Email Marketing Raw Data'!$C:$O,9,0)),"")</f>
        <v/>
      </c>
    </row>
    <row r="2050" spans="4:17" ht="12.75" customHeight="1" x14ac:dyDescent="0.2">
      <c r="D2050" s="58" t="str">
        <f>IFERROR(IF(F2050&lt;&gt;"pending","",IF(OR($B2050="",$B2050="(blank)"),"",VLOOKUP($B2050,'Email Marketing Raw Data'!$C:$O,10,0))),"")</f>
        <v/>
      </c>
      <c r="E2050" s="59" t="str">
        <f>IFERROR(IF(F2050&lt;&gt;"pending","",IF(OR($B2050="",$B2050="(blank)"),"",VLOOKUP($B2050,'Email Marketing Raw Data'!$C:$O,11,0))),"")</f>
        <v/>
      </c>
      <c r="F2050" s="54" t="str">
        <f>IFERROR(IF(OR($B2050="",$B2050="(blank)"),"",VLOOKUP($B2050,'Email Marketing Raw Data'!$C:$O,13,0)),"")</f>
        <v/>
      </c>
      <c r="G2050" s="55" t="str">
        <f>IFERROR(IF(OR($B2050="",$B2050="(blank)"),"",VLOOKUP($B2050,'Email Marketing Raw Data'!$C:$O,4,0)),"")</f>
        <v/>
      </c>
      <c r="H2050" s="55" t="str">
        <f>IFERROR(IF(OR($B2050="",$B2050="(blank)"),"",VLOOKUP($B2050,'Email Marketing Raw Data'!$C:$O,5,0)),"")</f>
        <v/>
      </c>
      <c r="I2050" s="55" t="str">
        <f>IFERROR(IF($G2050="","",VLOOKUP('Dashboard And Emails Automate'!$G2050,Database!$H:$N,3,0)),"")</f>
        <v/>
      </c>
      <c r="J2050" s="55" t="str">
        <f>IFERROR(IF($G2050="","",VLOOKUP('Dashboard And Emails Automate'!$G2050,Database!$H:$N,4,0)),"")</f>
        <v/>
      </c>
      <c r="K2050" s="55" t="str">
        <f>IFERROR(IF($G2050="","",VLOOKUP('Dashboard And Emails Automate'!$G2050,Database!$H:$N,5,0)),"")</f>
        <v/>
      </c>
      <c r="L2050" s="55" t="str">
        <f>IFERROR(IF($G2050="","",VLOOKUP('Dashboard And Emails Automate'!$G2050,Database!$H:$N,6,0)),"")</f>
        <v/>
      </c>
      <c r="M2050" s="55" t="str">
        <f>IFERROR(IF($G2050="","",VLOOKUP('Dashboard And Emails Automate'!$G2050,Database!$H:$N,7,0)),"")</f>
        <v/>
      </c>
      <c r="N2050" s="55" t="str">
        <f>IFERROR(IF(OR($B2050="",$B2050="(blank)"),"",VLOOKUP($B2050,'Email Marketing Raw Data'!$C:$O,6,0)),"")</f>
        <v/>
      </c>
      <c r="O2050" s="55" t="str">
        <f>IFERROR(IF(OR($B2050="",$B2050="(blank)"),"",VLOOKUP($B2050,'Email Marketing Raw Data'!$C:$O,7,0)),"")</f>
        <v/>
      </c>
      <c r="P2050" s="55" t="str">
        <f>IFERROR(IF(OR($B2050="",$B2050="(blank)"),"",VLOOKUP($B2050,'Email Marketing Raw Data'!$C:$O,8,0)),"")</f>
        <v/>
      </c>
      <c r="Q2050" s="62" t="str">
        <f>IFERROR(IF(OR($B2050="",$B2050="(blank)"),"",VLOOKUP($B2050,'Email Marketing Raw Data'!$C:$O,9,0)),"")</f>
        <v/>
      </c>
    </row>
    <row r="2051" spans="4:17" ht="12.75" customHeight="1" x14ac:dyDescent="0.2">
      <c r="D2051" s="58" t="str">
        <f>IFERROR(IF(F2051&lt;&gt;"pending","",IF(OR($B2051="",$B2051="(blank)"),"",VLOOKUP($B2051,'Email Marketing Raw Data'!$C:$O,10,0))),"")</f>
        <v/>
      </c>
      <c r="E2051" s="59" t="str">
        <f>IFERROR(IF(F2051&lt;&gt;"pending","",IF(OR($B2051="",$B2051="(blank)"),"",VLOOKUP($B2051,'Email Marketing Raw Data'!$C:$O,11,0))),"")</f>
        <v/>
      </c>
      <c r="F2051" s="54" t="str">
        <f>IFERROR(IF(OR($B2051="",$B2051="(blank)"),"",VLOOKUP($B2051,'Email Marketing Raw Data'!$C:$O,13,0)),"")</f>
        <v/>
      </c>
      <c r="G2051" s="55" t="str">
        <f>IFERROR(IF(OR($B2051="",$B2051="(blank)"),"",VLOOKUP($B2051,'Email Marketing Raw Data'!$C:$O,4,0)),"")</f>
        <v/>
      </c>
      <c r="H2051" s="55" t="str">
        <f>IFERROR(IF(OR($B2051="",$B2051="(blank)"),"",VLOOKUP($B2051,'Email Marketing Raw Data'!$C:$O,5,0)),"")</f>
        <v/>
      </c>
      <c r="I2051" s="55" t="str">
        <f>IFERROR(IF($G2051="","",VLOOKUP('Dashboard And Emails Automate'!$G2051,Database!$H:$N,3,0)),"")</f>
        <v/>
      </c>
      <c r="J2051" s="55" t="str">
        <f>IFERROR(IF($G2051="","",VLOOKUP('Dashboard And Emails Automate'!$G2051,Database!$H:$N,4,0)),"")</f>
        <v/>
      </c>
      <c r="K2051" s="55" t="str">
        <f>IFERROR(IF($G2051="","",VLOOKUP('Dashboard And Emails Automate'!$G2051,Database!$H:$N,5,0)),"")</f>
        <v/>
      </c>
      <c r="L2051" s="55" t="str">
        <f>IFERROR(IF($G2051="","",VLOOKUP('Dashboard And Emails Automate'!$G2051,Database!$H:$N,6,0)),"")</f>
        <v/>
      </c>
      <c r="M2051" s="55" t="str">
        <f>IFERROR(IF($G2051="","",VLOOKUP('Dashboard And Emails Automate'!$G2051,Database!$H:$N,7,0)),"")</f>
        <v/>
      </c>
      <c r="N2051" s="55" t="str">
        <f>IFERROR(IF(OR($B2051="",$B2051="(blank)"),"",VLOOKUP($B2051,'Email Marketing Raw Data'!$C:$O,6,0)),"")</f>
        <v/>
      </c>
      <c r="O2051" s="55" t="str">
        <f>IFERROR(IF(OR($B2051="",$B2051="(blank)"),"",VLOOKUP($B2051,'Email Marketing Raw Data'!$C:$O,7,0)),"")</f>
        <v/>
      </c>
      <c r="P2051" s="55" t="str">
        <f>IFERROR(IF(OR($B2051="",$B2051="(blank)"),"",VLOOKUP($B2051,'Email Marketing Raw Data'!$C:$O,8,0)),"")</f>
        <v/>
      </c>
      <c r="Q2051" s="62" t="str">
        <f>IFERROR(IF(OR($B2051="",$B2051="(blank)"),"",VLOOKUP($B2051,'Email Marketing Raw Data'!$C:$O,9,0)),"")</f>
        <v/>
      </c>
    </row>
    <row r="2052" spans="4:17" ht="12.75" customHeight="1" x14ac:dyDescent="0.2">
      <c r="D2052" s="58" t="str">
        <f>IFERROR(IF(F2052&lt;&gt;"pending","",IF(OR($B2052="",$B2052="(blank)"),"",VLOOKUP($B2052,'Email Marketing Raw Data'!$C:$O,10,0))),"")</f>
        <v/>
      </c>
      <c r="E2052" s="59" t="str">
        <f>IFERROR(IF(F2052&lt;&gt;"pending","",IF(OR($B2052="",$B2052="(blank)"),"",VLOOKUP($B2052,'Email Marketing Raw Data'!$C:$O,11,0))),"")</f>
        <v/>
      </c>
      <c r="F2052" s="54" t="str">
        <f>IFERROR(IF(OR($B2052="",$B2052="(blank)"),"",VLOOKUP($B2052,'Email Marketing Raw Data'!$C:$O,13,0)),"")</f>
        <v/>
      </c>
      <c r="G2052" s="55" t="str">
        <f>IFERROR(IF(OR($B2052="",$B2052="(blank)"),"",VLOOKUP($B2052,'Email Marketing Raw Data'!$C:$O,4,0)),"")</f>
        <v/>
      </c>
      <c r="H2052" s="55" t="str">
        <f>IFERROR(IF(OR($B2052="",$B2052="(blank)"),"",VLOOKUP($B2052,'Email Marketing Raw Data'!$C:$O,5,0)),"")</f>
        <v/>
      </c>
      <c r="I2052" s="55" t="str">
        <f>IFERROR(IF($G2052="","",VLOOKUP('Dashboard And Emails Automate'!$G2052,Database!$H:$N,3,0)),"")</f>
        <v/>
      </c>
      <c r="J2052" s="55" t="str">
        <f>IFERROR(IF($G2052="","",VLOOKUP('Dashboard And Emails Automate'!$G2052,Database!$H:$N,4,0)),"")</f>
        <v/>
      </c>
      <c r="K2052" s="55" t="str">
        <f>IFERROR(IF($G2052="","",VLOOKUP('Dashboard And Emails Automate'!$G2052,Database!$H:$N,5,0)),"")</f>
        <v/>
      </c>
      <c r="L2052" s="55" t="str">
        <f>IFERROR(IF($G2052="","",VLOOKUP('Dashboard And Emails Automate'!$G2052,Database!$H:$N,6,0)),"")</f>
        <v/>
      </c>
      <c r="M2052" s="55" t="str">
        <f>IFERROR(IF($G2052="","",VLOOKUP('Dashboard And Emails Automate'!$G2052,Database!$H:$N,7,0)),"")</f>
        <v/>
      </c>
      <c r="N2052" s="55" t="str">
        <f>IFERROR(IF(OR($B2052="",$B2052="(blank)"),"",VLOOKUP($B2052,'Email Marketing Raw Data'!$C:$O,6,0)),"")</f>
        <v/>
      </c>
      <c r="O2052" s="55" t="str">
        <f>IFERROR(IF(OR($B2052="",$B2052="(blank)"),"",VLOOKUP($B2052,'Email Marketing Raw Data'!$C:$O,7,0)),"")</f>
        <v/>
      </c>
      <c r="P2052" s="55" t="str">
        <f>IFERROR(IF(OR($B2052="",$B2052="(blank)"),"",VLOOKUP($B2052,'Email Marketing Raw Data'!$C:$O,8,0)),"")</f>
        <v/>
      </c>
      <c r="Q2052" s="62" t="str">
        <f>IFERROR(IF(OR($B2052="",$B2052="(blank)"),"",VLOOKUP($B2052,'Email Marketing Raw Data'!$C:$O,9,0)),"")</f>
        <v/>
      </c>
    </row>
    <row r="2053" spans="4:17" ht="12.75" customHeight="1" x14ac:dyDescent="0.2">
      <c r="D2053" s="58" t="str">
        <f>IFERROR(IF(F2053&lt;&gt;"pending","",IF(OR($B2053="",$B2053="(blank)"),"",VLOOKUP($B2053,'Email Marketing Raw Data'!$C:$O,10,0))),"")</f>
        <v/>
      </c>
      <c r="E2053" s="59" t="str">
        <f>IFERROR(IF(F2053&lt;&gt;"pending","",IF(OR($B2053="",$B2053="(blank)"),"",VLOOKUP($B2053,'Email Marketing Raw Data'!$C:$O,11,0))),"")</f>
        <v/>
      </c>
      <c r="F2053" s="54" t="str">
        <f>IFERROR(IF(OR($B2053="",$B2053="(blank)"),"",VLOOKUP($B2053,'Email Marketing Raw Data'!$C:$O,13,0)),"")</f>
        <v/>
      </c>
      <c r="G2053" s="55" t="str">
        <f>IFERROR(IF(OR($B2053="",$B2053="(blank)"),"",VLOOKUP($B2053,'Email Marketing Raw Data'!$C:$O,4,0)),"")</f>
        <v/>
      </c>
      <c r="H2053" s="55" t="str">
        <f>IFERROR(IF(OR($B2053="",$B2053="(blank)"),"",VLOOKUP($B2053,'Email Marketing Raw Data'!$C:$O,5,0)),"")</f>
        <v/>
      </c>
      <c r="I2053" s="55" t="str">
        <f>IFERROR(IF($G2053="","",VLOOKUP('Dashboard And Emails Automate'!$G2053,Database!$H:$N,3,0)),"")</f>
        <v/>
      </c>
      <c r="J2053" s="55" t="str">
        <f>IFERROR(IF($G2053="","",VLOOKUP('Dashboard And Emails Automate'!$G2053,Database!$H:$N,4,0)),"")</f>
        <v/>
      </c>
      <c r="K2053" s="55" t="str">
        <f>IFERROR(IF($G2053="","",VLOOKUP('Dashboard And Emails Automate'!$G2053,Database!$H:$N,5,0)),"")</f>
        <v/>
      </c>
      <c r="L2053" s="55" t="str">
        <f>IFERROR(IF($G2053="","",VLOOKUP('Dashboard And Emails Automate'!$G2053,Database!$H:$N,6,0)),"")</f>
        <v/>
      </c>
      <c r="M2053" s="55" t="str">
        <f>IFERROR(IF($G2053="","",VLOOKUP('Dashboard And Emails Automate'!$G2053,Database!$H:$N,7,0)),"")</f>
        <v/>
      </c>
      <c r="N2053" s="55" t="str">
        <f>IFERROR(IF(OR($B2053="",$B2053="(blank)"),"",VLOOKUP($B2053,'Email Marketing Raw Data'!$C:$O,6,0)),"")</f>
        <v/>
      </c>
      <c r="O2053" s="55" t="str">
        <f>IFERROR(IF(OR($B2053="",$B2053="(blank)"),"",VLOOKUP($B2053,'Email Marketing Raw Data'!$C:$O,7,0)),"")</f>
        <v/>
      </c>
      <c r="P2053" s="55" t="str">
        <f>IFERROR(IF(OR($B2053="",$B2053="(blank)"),"",VLOOKUP($B2053,'Email Marketing Raw Data'!$C:$O,8,0)),"")</f>
        <v/>
      </c>
      <c r="Q2053" s="62" t="str">
        <f>IFERROR(IF(OR($B2053="",$B2053="(blank)"),"",VLOOKUP($B2053,'Email Marketing Raw Data'!$C:$O,9,0)),"")</f>
        <v/>
      </c>
    </row>
    <row r="2054" spans="4:17" ht="12.75" customHeight="1" x14ac:dyDescent="0.2">
      <c r="D2054" s="58" t="str">
        <f>IFERROR(IF(F2054&lt;&gt;"pending","",IF(OR($B2054="",$B2054="(blank)"),"",VLOOKUP($B2054,'Email Marketing Raw Data'!$C:$O,10,0))),"")</f>
        <v/>
      </c>
      <c r="E2054" s="59" t="str">
        <f>IFERROR(IF(F2054&lt;&gt;"pending","",IF(OR($B2054="",$B2054="(blank)"),"",VLOOKUP($B2054,'Email Marketing Raw Data'!$C:$O,11,0))),"")</f>
        <v/>
      </c>
      <c r="F2054" s="54" t="str">
        <f>IFERROR(IF(OR($B2054="",$B2054="(blank)"),"",VLOOKUP($B2054,'Email Marketing Raw Data'!$C:$O,13,0)),"")</f>
        <v/>
      </c>
      <c r="G2054" s="55" t="str">
        <f>IFERROR(IF(OR($B2054="",$B2054="(blank)"),"",VLOOKUP($B2054,'Email Marketing Raw Data'!$C:$O,4,0)),"")</f>
        <v/>
      </c>
      <c r="H2054" s="55" t="str">
        <f>IFERROR(IF(OR($B2054="",$B2054="(blank)"),"",VLOOKUP($B2054,'Email Marketing Raw Data'!$C:$O,5,0)),"")</f>
        <v/>
      </c>
      <c r="I2054" s="55" t="str">
        <f>IFERROR(IF($G2054="","",VLOOKUP('Dashboard And Emails Automate'!$G2054,Database!$H:$N,3,0)),"")</f>
        <v/>
      </c>
      <c r="J2054" s="55" t="str">
        <f>IFERROR(IF($G2054="","",VLOOKUP('Dashboard And Emails Automate'!$G2054,Database!$H:$N,4,0)),"")</f>
        <v/>
      </c>
      <c r="K2054" s="55" t="str">
        <f>IFERROR(IF($G2054="","",VLOOKUP('Dashboard And Emails Automate'!$G2054,Database!$H:$N,5,0)),"")</f>
        <v/>
      </c>
      <c r="L2054" s="55" t="str">
        <f>IFERROR(IF($G2054="","",VLOOKUP('Dashboard And Emails Automate'!$G2054,Database!$H:$N,6,0)),"")</f>
        <v/>
      </c>
      <c r="M2054" s="55" t="str">
        <f>IFERROR(IF($G2054="","",VLOOKUP('Dashboard And Emails Automate'!$G2054,Database!$H:$N,7,0)),"")</f>
        <v/>
      </c>
      <c r="N2054" s="55" t="str">
        <f>IFERROR(IF(OR($B2054="",$B2054="(blank)"),"",VLOOKUP($B2054,'Email Marketing Raw Data'!$C:$O,6,0)),"")</f>
        <v/>
      </c>
      <c r="O2054" s="55" t="str">
        <f>IFERROR(IF(OR($B2054="",$B2054="(blank)"),"",VLOOKUP($B2054,'Email Marketing Raw Data'!$C:$O,7,0)),"")</f>
        <v/>
      </c>
      <c r="P2054" s="55" t="str">
        <f>IFERROR(IF(OR($B2054="",$B2054="(blank)"),"",VLOOKUP($B2054,'Email Marketing Raw Data'!$C:$O,8,0)),"")</f>
        <v/>
      </c>
      <c r="Q2054" s="62" t="str">
        <f>IFERROR(IF(OR($B2054="",$B2054="(blank)"),"",VLOOKUP($B2054,'Email Marketing Raw Data'!$C:$O,9,0)),"")</f>
        <v/>
      </c>
    </row>
    <row r="2055" spans="4:17" ht="12.75" customHeight="1" x14ac:dyDescent="0.2">
      <c r="D2055" s="58" t="str">
        <f>IFERROR(IF(F2055&lt;&gt;"pending","",IF(OR($B2055="",$B2055="(blank)"),"",VLOOKUP($B2055,'Email Marketing Raw Data'!$C:$O,10,0))),"")</f>
        <v/>
      </c>
      <c r="E2055" s="59" t="str">
        <f>IFERROR(IF(F2055&lt;&gt;"pending","",IF(OR($B2055="",$B2055="(blank)"),"",VLOOKUP($B2055,'Email Marketing Raw Data'!$C:$O,11,0))),"")</f>
        <v/>
      </c>
      <c r="F2055" s="54" t="str">
        <f>IFERROR(IF(OR($B2055="",$B2055="(blank)"),"",VLOOKUP($B2055,'Email Marketing Raw Data'!$C:$O,13,0)),"")</f>
        <v/>
      </c>
      <c r="G2055" s="55" t="str">
        <f>IFERROR(IF(OR($B2055="",$B2055="(blank)"),"",VLOOKUP($B2055,'Email Marketing Raw Data'!$C:$O,4,0)),"")</f>
        <v/>
      </c>
      <c r="H2055" s="55" t="str">
        <f>IFERROR(IF(OR($B2055="",$B2055="(blank)"),"",VLOOKUP($B2055,'Email Marketing Raw Data'!$C:$O,5,0)),"")</f>
        <v/>
      </c>
      <c r="I2055" s="55" t="str">
        <f>IFERROR(IF($G2055="","",VLOOKUP('Dashboard And Emails Automate'!$G2055,Database!$H:$N,3,0)),"")</f>
        <v/>
      </c>
      <c r="J2055" s="55" t="str">
        <f>IFERROR(IF($G2055="","",VLOOKUP('Dashboard And Emails Automate'!$G2055,Database!$H:$N,4,0)),"")</f>
        <v/>
      </c>
      <c r="K2055" s="55" t="str">
        <f>IFERROR(IF($G2055="","",VLOOKUP('Dashboard And Emails Automate'!$G2055,Database!$H:$N,5,0)),"")</f>
        <v/>
      </c>
      <c r="L2055" s="55" t="str">
        <f>IFERROR(IF($G2055="","",VLOOKUP('Dashboard And Emails Automate'!$G2055,Database!$H:$N,6,0)),"")</f>
        <v/>
      </c>
      <c r="M2055" s="55" t="str">
        <f>IFERROR(IF($G2055="","",VLOOKUP('Dashboard And Emails Automate'!$G2055,Database!$H:$N,7,0)),"")</f>
        <v/>
      </c>
      <c r="N2055" s="55" t="str">
        <f>IFERROR(IF(OR($B2055="",$B2055="(blank)"),"",VLOOKUP($B2055,'Email Marketing Raw Data'!$C:$O,6,0)),"")</f>
        <v/>
      </c>
      <c r="O2055" s="55" t="str">
        <f>IFERROR(IF(OR($B2055="",$B2055="(blank)"),"",VLOOKUP($B2055,'Email Marketing Raw Data'!$C:$O,7,0)),"")</f>
        <v/>
      </c>
      <c r="P2055" s="55" t="str">
        <f>IFERROR(IF(OR($B2055="",$B2055="(blank)"),"",VLOOKUP($B2055,'Email Marketing Raw Data'!$C:$O,8,0)),"")</f>
        <v/>
      </c>
      <c r="Q2055" s="62" t="str">
        <f>IFERROR(IF(OR($B2055="",$B2055="(blank)"),"",VLOOKUP($B2055,'Email Marketing Raw Data'!$C:$O,9,0)),"")</f>
        <v/>
      </c>
    </row>
    <row r="2056" spans="4:17" ht="12.75" customHeight="1" x14ac:dyDescent="0.2">
      <c r="D2056" s="58" t="str">
        <f>IFERROR(IF(F2056&lt;&gt;"pending","",IF(OR($B2056="",$B2056="(blank)"),"",VLOOKUP($B2056,'Email Marketing Raw Data'!$C:$O,10,0))),"")</f>
        <v/>
      </c>
      <c r="E2056" s="59" t="str">
        <f>IFERROR(IF(F2056&lt;&gt;"pending","",IF(OR($B2056="",$B2056="(blank)"),"",VLOOKUP($B2056,'Email Marketing Raw Data'!$C:$O,11,0))),"")</f>
        <v/>
      </c>
      <c r="F2056" s="54" t="str">
        <f>IFERROR(IF(OR($B2056="",$B2056="(blank)"),"",VLOOKUP($B2056,'Email Marketing Raw Data'!$C:$O,13,0)),"")</f>
        <v/>
      </c>
      <c r="G2056" s="55" t="str">
        <f>IFERROR(IF(OR($B2056="",$B2056="(blank)"),"",VLOOKUP($B2056,'Email Marketing Raw Data'!$C:$O,4,0)),"")</f>
        <v/>
      </c>
      <c r="H2056" s="55" t="str">
        <f>IFERROR(IF(OR($B2056="",$B2056="(blank)"),"",VLOOKUP($B2056,'Email Marketing Raw Data'!$C:$O,5,0)),"")</f>
        <v/>
      </c>
      <c r="I2056" s="55" t="str">
        <f>IFERROR(IF($G2056="","",VLOOKUP('Dashboard And Emails Automate'!$G2056,Database!$H:$N,3,0)),"")</f>
        <v/>
      </c>
      <c r="J2056" s="55" t="str">
        <f>IFERROR(IF($G2056="","",VLOOKUP('Dashboard And Emails Automate'!$G2056,Database!$H:$N,4,0)),"")</f>
        <v/>
      </c>
      <c r="K2056" s="55" t="str">
        <f>IFERROR(IF($G2056="","",VLOOKUP('Dashboard And Emails Automate'!$G2056,Database!$H:$N,5,0)),"")</f>
        <v/>
      </c>
      <c r="L2056" s="55" t="str">
        <f>IFERROR(IF($G2056="","",VLOOKUP('Dashboard And Emails Automate'!$G2056,Database!$H:$N,6,0)),"")</f>
        <v/>
      </c>
      <c r="M2056" s="55" t="str">
        <f>IFERROR(IF($G2056="","",VLOOKUP('Dashboard And Emails Automate'!$G2056,Database!$H:$N,7,0)),"")</f>
        <v/>
      </c>
      <c r="N2056" s="55" t="str">
        <f>IFERROR(IF(OR($B2056="",$B2056="(blank)"),"",VLOOKUP($B2056,'Email Marketing Raw Data'!$C:$O,6,0)),"")</f>
        <v/>
      </c>
      <c r="O2056" s="55" t="str">
        <f>IFERROR(IF(OR($B2056="",$B2056="(blank)"),"",VLOOKUP($B2056,'Email Marketing Raw Data'!$C:$O,7,0)),"")</f>
        <v/>
      </c>
      <c r="P2056" s="55" t="str">
        <f>IFERROR(IF(OR($B2056="",$B2056="(blank)"),"",VLOOKUP($B2056,'Email Marketing Raw Data'!$C:$O,8,0)),"")</f>
        <v/>
      </c>
      <c r="Q2056" s="62" t="str">
        <f>IFERROR(IF(OR($B2056="",$B2056="(blank)"),"",VLOOKUP($B2056,'Email Marketing Raw Data'!$C:$O,9,0)),"")</f>
        <v/>
      </c>
    </row>
    <row r="2057" spans="4:17" ht="12.75" customHeight="1" x14ac:dyDescent="0.2">
      <c r="D2057" s="58" t="str">
        <f>IFERROR(IF(F2057&lt;&gt;"pending","",IF(OR($B2057="",$B2057="(blank)"),"",VLOOKUP($B2057,'Email Marketing Raw Data'!$C:$O,10,0))),"")</f>
        <v/>
      </c>
      <c r="E2057" s="59" t="str">
        <f>IFERROR(IF(F2057&lt;&gt;"pending","",IF(OR($B2057="",$B2057="(blank)"),"",VLOOKUP($B2057,'Email Marketing Raw Data'!$C:$O,11,0))),"")</f>
        <v/>
      </c>
      <c r="F2057" s="54" t="str">
        <f>IFERROR(IF(OR($B2057="",$B2057="(blank)"),"",VLOOKUP($B2057,'Email Marketing Raw Data'!$C:$O,13,0)),"")</f>
        <v/>
      </c>
      <c r="G2057" s="55" t="str">
        <f>IFERROR(IF(OR($B2057="",$B2057="(blank)"),"",VLOOKUP($B2057,'Email Marketing Raw Data'!$C:$O,4,0)),"")</f>
        <v/>
      </c>
      <c r="H2057" s="55" t="str">
        <f>IFERROR(IF(OR($B2057="",$B2057="(blank)"),"",VLOOKUP($B2057,'Email Marketing Raw Data'!$C:$O,5,0)),"")</f>
        <v/>
      </c>
      <c r="I2057" s="55" t="str">
        <f>IFERROR(IF($G2057="","",VLOOKUP('Dashboard And Emails Automate'!$G2057,Database!$H:$N,3,0)),"")</f>
        <v/>
      </c>
      <c r="J2057" s="55" t="str">
        <f>IFERROR(IF($G2057="","",VLOOKUP('Dashboard And Emails Automate'!$G2057,Database!$H:$N,4,0)),"")</f>
        <v/>
      </c>
      <c r="K2057" s="55" t="str">
        <f>IFERROR(IF($G2057="","",VLOOKUP('Dashboard And Emails Automate'!$G2057,Database!$H:$N,5,0)),"")</f>
        <v/>
      </c>
      <c r="L2057" s="55" t="str">
        <f>IFERROR(IF($G2057="","",VLOOKUP('Dashboard And Emails Automate'!$G2057,Database!$H:$N,6,0)),"")</f>
        <v/>
      </c>
      <c r="M2057" s="55" t="str">
        <f>IFERROR(IF($G2057="","",VLOOKUP('Dashboard And Emails Automate'!$G2057,Database!$H:$N,7,0)),"")</f>
        <v/>
      </c>
      <c r="N2057" s="55" t="str">
        <f>IFERROR(IF(OR($B2057="",$B2057="(blank)"),"",VLOOKUP($B2057,'Email Marketing Raw Data'!$C:$O,6,0)),"")</f>
        <v/>
      </c>
      <c r="O2057" s="55" t="str">
        <f>IFERROR(IF(OR($B2057="",$B2057="(blank)"),"",VLOOKUP($B2057,'Email Marketing Raw Data'!$C:$O,7,0)),"")</f>
        <v/>
      </c>
      <c r="P2057" s="55" t="str">
        <f>IFERROR(IF(OR($B2057="",$B2057="(blank)"),"",VLOOKUP($B2057,'Email Marketing Raw Data'!$C:$O,8,0)),"")</f>
        <v/>
      </c>
      <c r="Q2057" s="62" t="str">
        <f>IFERROR(IF(OR($B2057="",$B2057="(blank)"),"",VLOOKUP($B2057,'Email Marketing Raw Data'!$C:$O,9,0)),"")</f>
        <v/>
      </c>
    </row>
    <row r="2058" spans="4:17" ht="12.75" customHeight="1" x14ac:dyDescent="0.2">
      <c r="D2058" s="58" t="str">
        <f>IFERROR(IF(F2058&lt;&gt;"pending","",IF(OR($B2058="",$B2058="(blank)"),"",VLOOKUP($B2058,'Email Marketing Raw Data'!$C:$O,10,0))),"")</f>
        <v/>
      </c>
      <c r="E2058" s="59" t="str">
        <f>IFERROR(IF(F2058&lt;&gt;"pending","",IF(OR($B2058="",$B2058="(blank)"),"",VLOOKUP($B2058,'Email Marketing Raw Data'!$C:$O,11,0))),"")</f>
        <v/>
      </c>
      <c r="F2058" s="54" t="str">
        <f>IFERROR(IF(OR($B2058="",$B2058="(blank)"),"",VLOOKUP($B2058,'Email Marketing Raw Data'!$C:$O,13,0)),"")</f>
        <v/>
      </c>
      <c r="G2058" s="55" t="str">
        <f>IFERROR(IF(OR($B2058="",$B2058="(blank)"),"",VLOOKUP($B2058,'Email Marketing Raw Data'!$C:$O,4,0)),"")</f>
        <v/>
      </c>
      <c r="H2058" s="55" t="str">
        <f>IFERROR(IF(OR($B2058="",$B2058="(blank)"),"",VLOOKUP($B2058,'Email Marketing Raw Data'!$C:$O,5,0)),"")</f>
        <v/>
      </c>
      <c r="I2058" s="55" t="str">
        <f>IFERROR(IF($G2058="","",VLOOKUP('Dashboard And Emails Automate'!$G2058,Database!$H:$N,3,0)),"")</f>
        <v/>
      </c>
      <c r="J2058" s="55" t="str">
        <f>IFERROR(IF($G2058="","",VLOOKUP('Dashboard And Emails Automate'!$G2058,Database!$H:$N,4,0)),"")</f>
        <v/>
      </c>
      <c r="K2058" s="55" t="str">
        <f>IFERROR(IF($G2058="","",VLOOKUP('Dashboard And Emails Automate'!$G2058,Database!$H:$N,5,0)),"")</f>
        <v/>
      </c>
      <c r="L2058" s="55" t="str">
        <f>IFERROR(IF($G2058="","",VLOOKUP('Dashboard And Emails Automate'!$G2058,Database!$H:$N,6,0)),"")</f>
        <v/>
      </c>
      <c r="M2058" s="55" t="str">
        <f>IFERROR(IF($G2058="","",VLOOKUP('Dashboard And Emails Automate'!$G2058,Database!$H:$N,7,0)),"")</f>
        <v/>
      </c>
      <c r="N2058" s="55" t="str">
        <f>IFERROR(IF(OR($B2058="",$B2058="(blank)"),"",VLOOKUP($B2058,'Email Marketing Raw Data'!$C:$O,6,0)),"")</f>
        <v/>
      </c>
      <c r="O2058" s="55" t="str">
        <f>IFERROR(IF(OR($B2058="",$B2058="(blank)"),"",VLOOKUP($B2058,'Email Marketing Raw Data'!$C:$O,7,0)),"")</f>
        <v/>
      </c>
      <c r="P2058" s="55" t="str">
        <f>IFERROR(IF(OR($B2058="",$B2058="(blank)"),"",VLOOKUP($B2058,'Email Marketing Raw Data'!$C:$O,8,0)),"")</f>
        <v/>
      </c>
      <c r="Q2058" s="62" t="str">
        <f>IFERROR(IF(OR($B2058="",$B2058="(blank)"),"",VLOOKUP($B2058,'Email Marketing Raw Data'!$C:$O,9,0)),"")</f>
        <v/>
      </c>
    </row>
    <row r="2059" spans="4:17" ht="12.75" customHeight="1" x14ac:dyDescent="0.2">
      <c r="D2059" s="58" t="str">
        <f>IFERROR(IF(F2059&lt;&gt;"pending","",IF(OR($B2059="",$B2059="(blank)"),"",VLOOKUP($B2059,'Email Marketing Raw Data'!$C:$O,10,0))),"")</f>
        <v/>
      </c>
      <c r="E2059" s="59" t="str">
        <f>IFERROR(IF(F2059&lt;&gt;"pending","",IF(OR($B2059="",$B2059="(blank)"),"",VLOOKUP($B2059,'Email Marketing Raw Data'!$C:$O,11,0))),"")</f>
        <v/>
      </c>
      <c r="F2059" s="54" t="str">
        <f>IFERROR(IF(OR($B2059="",$B2059="(blank)"),"",VLOOKUP($B2059,'Email Marketing Raw Data'!$C:$O,13,0)),"")</f>
        <v/>
      </c>
      <c r="G2059" s="55" t="str">
        <f>IFERROR(IF(OR($B2059="",$B2059="(blank)"),"",VLOOKUP($B2059,'Email Marketing Raw Data'!$C:$O,4,0)),"")</f>
        <v/>
      </c>
      <c r="H2059" s="55" t="str">
        <f>IFERROR(IF(OR($B2059="",$B2059="(blank)"),"",VLOOKUP($B2059,'Email Marketing Raw Data'!$C:$O,5,0)),"")</f>
        <v/>
      </c>
      <c r="I2059" s="55" t="str">
        <f>IFERROR(IF($G2059="","",VLOOKUP('Dashboard And Emails Automate'!$G2059,Database!$H:$N,3,0)),"")</f>
        <v/>
      </c>
      <c r="J2059" s="55" t="str">
        <f>IFERROR(IF($G2059="","",VLOOKUP('Dashboard And Emails Automate'!$G2059,Database!$H:$N,4,0)),"")</f>
        <v/>
      </c>
      <c r="K2059" s="55" t="str">
        <f>IFERROR(IF($G2059="","",VLOOKUP('Dashboard And Emails Automate'!$G2059,Database!$H:$N,5,0)),"")</f>
        <v/>
      </c>
      <c r="L2059" s="55" t="str">
        <f>IFERROR(IF($G2059="","",VLOOKUP('Dashboard And Emails Automate'!$G2059,Database!$H:$N,6,0)),"")</f>
        <v/>
      </c>
      <c r="M2059" s="55" t="str">
        <f>IFERROR(IF($G2059="","",VLOOKUP('Dashboard And Emails Automate'!$G2059,Database!$H:$N,7,0)),"")</f>
        <v/>
      </c>
      <c r="N2059" s="55" t="str">
        <f>IFERROR(IF(OR($B2059="",$B2059="(blank)"),"",VLOOKUP($B2059,'Email Marketing Raw Data'!$C:$O,6,0)),"")</f>
        <v/>
      </c>
      <c r="O2059" s="55" t="str">
        <f>IFERROR(IF(OR($B2059="",$B2059="(blank)"),"",VLOOKUP($B2059,'Email Marketing Raw Data'!$C:$O,7,0)),"")</f>
        <v/>
      </c>
      <c r="P2059" s="55" t="str">
        <f>IFERROR(IF(OR($B2059="",$B2059="(blank)"),"",VLOOKUP($B2059,'Email Marketing Raw Data'!$C:$O,8,0)),"")</f>
        <v/>
      </c>
      <c r="Q2059" s="62" t="str">
        <f>IFERROR(IF(OR($B2059="",$B2059="(blank)"),"",VLOOKUP($B2059,'Email Marketing Raw Data'!$C:$O,9,0)),"")</f>
        <v/>
      </c>
    </row>
    <row r="2060" spans="4:17" ht="12.75" customHeight="1" x14ac:dyDescent="0.2">
      <c r="D2060" s="58" t="str">
        <f>IFERROR(IF(F2060&lt;&gt;"pending","",IF(OR($B2060="",$B2060="(blank)"),"",VLOOKUP($B2060,'Email Marketing Raw Data'!$C:$O,10,0))),"")</f>
        <v/>
      </c>
      <c r="E2060" s="59" t="str">
        <f>IFERROR(IF(F2060&lt;&gt;"pending","",IF(OR($B2060="",$B2060="(blank)"),"",VLOOKUP($B2060,'Email Marketing Raw Data'!$C:$O,11,0))),"")</f>
        <v/>
      </c>
      <c r="F2060" s="54" t="str">
        <f>IFERROR(IF(OR($B2060="",$B2060="(blank)"),"",VLOOKUP($B2060,'Email Marketing Raw Data'!$C:$O,13,0)),"")</f>
        <v/>
      </c>
      <c r="G2060" s="55" t="str">
        <f>IFERROR(IF(OR($B2060="",$B2060="(blank)"),"",VLOOKUP($B2060,'Email Marketing Raw Data'!$C:$O,4,0)),"")</f>
        <v/>
      </c>
      <c r="H2060" s="55" t="str">
        <f>IFERROR(IF(OR($B2060="",$B2060="(blank)"),"",VLOOKUP($B2060,'Email Marketing Raw Data'!$C:$O,5,0)),"")</f>
        <v/>
      </c>
      <c r="I2060" s="55" t="str">
        <f>IFERROR(IF($G2060="","",VLOOKUP('Dashboard And Emails Automate'!$G2060,Database!$H:$N,3,0)),"")</f>
        <v/>
      </c>
      <c r="J2060" s="55" t="str">
        <f>IFERROR(IF($G2060="","",VLOOKUP('Dashboard And Emails Automate'!$G2060,Database!$H:$N,4,0)),"")</f>
        <v/>
      </c>
      <c r="K2060" s="55" t="str">
        <f>IFERROR(IF($G2060="","",VLOOKUP('Dashboard And Emails Automate'!$G2060,Database!$H:$N,5,0)),"")</f>
        <v/>
      </c>
      <c r="L2060" s="55" t="str">
        <f>IFERROR(IF($G2060="","",VLOOKUP('Dashboard And Emails Automate'!$G2060,Database!$H:$N,6,0)),"")</f>
        <v/>
      </c>
      <c r="M2060" s="55" t="str">
        <f>IFERROR(IF($G2060="","",VLOOKUP('Dashboard And Emails Automate'!$G2060,Database!$H:$N,7,0)),"")</f>
        <v/>
      </c>
      <c r="N2060" s="55" t="str">
        <f>IFERROR(IF(OR($B2060="",$B2060="(blank)"),"",VLOOKUP($B2060,'Email Marketing Raw Data'!$C:$O,6,0)),"")</f>
        <v/>
      </c>
      <c r="O2060" s="55" t="str">
        <f>IFERROR(IF(OR($B2060="",$B2060="(blank)"),"",VLOOKUP($B2060,'Email Marketing Raw Data'!$C:$O,7,0)),"")</f>
        <v/>
      </c>
      <c r="P2060" s="55" t="str">
        <f>IFERROR(IF(OR($B2060="",$B2060="(blank)"),"",VLOOKUP($B2060,'Email Marketing Raw Data'!$C:$O,8,0)),"")</f>
        <v/>
      </c>
      <c r="Q2060" s="62" t="str">
        <f>IFERROR(IF(OR($B2060="",$B2060="(blank)"),"",VLOOKUP($B2060,'Email Marketing Raw Data'!$C:$O,9,0)),"")</f>
        <v/>
      </c>
    </row>
    <row r="2061" spans="4:17" ht="12.75" customHeight="1" x14ac:dyDescent="0.2">
      <c r="D2061" s="58" t="str">
        <f>IFERROR(IF(F2061&lt;&gt;"pending","",IF(OR($B2061="",$B2061="(blank)"),"",VLOOKUP($B2061,'Email Marketing Raw Data'!$C:$O,10,0))),"")</f>
        <v/>
      </c>
      <c r="E2061" s="59" t="str">
        <f>IFERROR(IF(F2061&lt;&gt;"pending","",IF(OR($B2061="",$B2061="(blank)"),"",VLOOKUP($B2061,'Email Marketing Raw Data'!$C:$O,11,0))),"")</f>
        <v/>
      </c>
      <c r="F2061" s="54" t="str">
        <f>IFERROR(IF(OR($B2061="",$B2061="(blank)"),"",VLOOKUP($B2061,'Email Marketing Raw Data'!$C:$O,13,0)),"")</f>
        <v/>
      </c>
      <c r="G2061" s="55" t="str">
        <f>IFERROR(IF(OR($B2061="",$B2061="(blank)"),"",VLOOKUP($B2061,'Email Marketing Raw Data'!$C:$O,4,0)),"")</f>
        <v/>
      </c>
      <c r="H2061" s="55" t="str">
        <f>IFERROR(IF(OR($B2061="",$B2061="(blank)"),"",VLOOKUP($B2061,'Email Marketing Raw Data'!$C:$O,5,0)),"")</f>
        <v/>
      </c>
      <c r="I2061" s="55" t="str">
        <f>IFERROR(IF($G2061="","",VLOOKUP('Dashboard And Emails Automate'!$G2061,Database!$H:$N,3,0)),"")</f>
        <v/>
      </c>
      <c r="J2061" s="55" t="str">
        <f>IFERROR(IF($G2061="","",VLOOKUP('Dashboard And Emails Automate'!$G2061,Database!$H:$N,4,0)),"")</f>
        <v/>
      </c>
      <c r="K2061" s="55" t="str">
        <f>IFERROR(IF($G2061="","",VLOOKUP('Dashboard And Emails Automate'!$G2061,Database!$H:$N,5,0)),"")</f>
        <v/>
      </c>
      <c r="L2061" s="55" t="str">
        <f>IFERROR(IF($G2061="","",VLOOKUP('Dashboard And Emails Automate'!$G2061,Database!$H:$N,6,0)),"")</f>
        <v/>
      </c>
      <c r="M2061" s="55" t="str">
        <f>IFERROR(IF($G2061="","",VLOOKUP('Dashboard And Emails Automate'!$G2061,Database!$H:$N,7,0)),"")</f>
        <v/>
      </c>
      <c r="N2061" s="55" t="str">
        <f>IFERROR(IF(OR($B2061="",$B2061="(blank)"),"",VLOOKUP($B2061,'Email Marketing Raw Data'!$C:$O,6,0)),"")</f>
        <v/>
      </c>
      <c r="O2061" s="55" t="str">
        <f>IFERROR(IF(OR($B2061="",$B2061="(blank)"),"",VLOOKUP($B2061,'Email Marketing Raw Data'!$C:$O,7,0)),"")</f>
        <v/>
      </c>
      <c r="P2061" s="55" t="str">
        <f>IFERROR(IF(OR($B2061="",$B2061="(blank)"),"",VLOOKUP($B2061,'Email Marketing Raw Data'!$C:$O,8,0)),"")</f>
        <v/>
      </c>
      <c r="Q2061" s="62" t="str">
        <f>IFERROR(IF(OR($B2061="",$B2061="(blank)"),"",VLOOKUP($B2061,'Email Marketing Raw Data'!$C:$O,9,0)),"")</f>
        <v/>
      </c>
    </row>
    <row r="2062" spans="4:17" ht="12.75" customHeight="1" x14ac:dyDescent="0.2">
      <c r="D2062" s="58" t="str">
        <f>IFERROR(IF(F2062&lt;&gt;"pending","",IF(OR($B2062="",$B2062="(blank)"),"",VLOOKUP($B2062,'Email Marketing Raw Data'!$C:$O,10,0))),"")</f>
        <v/>
      </c>
      <c r="E2062" s="59" t="str">
        <f>IFERROR(IF(F2062&lt;&gt;"pending","",IF(OR($B2062="",$B2062="(blank)"),"",VLOOKUP($B2062,'Email Marketing Raw Data'!$C:$O,11,0))),"")</f>
        <v/>
      </c>
      <c r="F2062" s="54" t="str">
        <f>IFERROR(IF(OR($B2062="",$B2062="(blank)"),"",VLOOKUP($B2062,'Email Marketing Raw Data'!$C:$O,13,0)),"")</f>
        <v/>
      </c>
      <c r="G2062" s="55" t="str">
        <f>IFERROR(IF(OR($B2062="",$B2062="(blank)"),"",VLOOKUP($B2062,'Email Marketing Raw Data'!$C:$O,4,0)),"")</f>
        <v/>
      </c>
      <c r="H2062" s="55" t="str">
        <f>IFERROR(IF(OR($B2062="",$B2062="(blank)"),"",VLOOKUP($B2062,'Email Marketing Raw Data'!$C:$O,5,0)),"")</f>
        <v/>
      </c>
      <c r="I2062" s="55" t="str">
        <f>IFERROR(IF($G2062="","",VLOOKUP('Dashboard And Emails Automate'!$G2062,Database!$H:$N,3,0)),"")</f>
        <v/>
      </c>
      <c r="J2062" s="55" t="str">
        <f>IFERROR(IF($G2062="","",VLOOKUP('Dashboard And Emails Automate'!$G2062,Database!$H:$N,4,0)),"")</f>
        <v/>
      </c>
      <c r="K2062" s="55" t="str">
        <f>IFERROR(IF($G2062="","",VLOOKUP('Dashboard And Emails Automate'!$G2062,Database!$H:$N,5,0)),"")</f>
        <v/>
      </c>
      <c r="L2062" s="55" t="str">
        <f>IFERROR(IF($G2062="","",VLOOKUP('Dashboard And Emails Automate'!$G2062,Database!$H:$N,6,0)),"")</f>
        <v/>
      </c>
      <c r="M2062" s="55" t="str">
        <f>IFERROR(IF($G2062="","",VLOOKUP('Dashboard And Emails Automate'!$G2062,Database!$H:$N,7,0)),"")</f>
        <v/>
      </c>
      <c r="N2062" s="55" t="str">
        <f>IFERROR(IF(OR($B2062="",$B2062="(blank)"),"",VLOOKUP($B2062,'Email Marketing Raw Data'!$C:$O,6,0)),"")</f>
        <v/>
      </c>
      <c r="O2062" s="55" t="str">
        <f>IFERROR(IF(OR($B2062="",$B2062="(blank)"),"",VLOOKUP($B2062,'Email Marketing Raw Data'!$C:$O,7,0)),"")</f>
        <v/>
      </c>
      <c r="P2062" s="55" t="str">
        <f>IFERROR(IF(OR($B2062="",$B2062="(blank)"),"",VLOOKUP($B2062,'Email Marketing Raw Data'!$C:$O,8,0)),"")</f>
        <v/>
      </c>
      <c r="Q2062" s="62" t="str">
        <f>IFERROR(IF(OR($B2062="",$B2062="(blank)"),"",VLOOKUP($B2062,'Email Marketing Raw Data'!$C:$O,9,0)),"")</f>
        <v/>
      </c>
    </row>
    <row r="2063" spans="4:17" ht="12.75" customHeight="1" x14ac:dyDescent="0.2">
      <c r="D2063" s="58" t="str">
        <f>IFERROR(IF(F2063&lt;&gt;"pending","",IF(OR($B2063="",$B2063="(blank)"),"",VLOOKUP($B2063,'Email Marketing Raw Data'!$C:$O,10,0))),"")</f>
        <v/>
      </c>
      <c r="E2063" s="59" t="str">
        <f>IFERROR(IF(F2063&lt;&gt;"pending","",IF(OR($B2063="",$B2063="(blank)"),"",VLOOKUP($B2063,'Email Marketing Raw Data'!$C:$O,11,0))),"")</f>
        <v/>
      </c>
      <c r="F2063" s="54" t="str">
        <f>IFERROR(IF(OR($B2063="",$B2063="(blank)"),"",VLOOKUP($B2063,'Email Marketing Raw Data'!$C:$O,13,0)),"")</f>
        <v/>
      </c>
      <c r="G2063" s="55" t="str">
        <f>IFERROR(IF(OR($B2063="",$B2063="(blank)"),"",VLOOKUP($B2063,'Email Marketing Raw Data'!$C:$O,4,0)),"")</f>
        <v/>
      </c>
      <c r="H2063" s="55" t="str">
        <f>IFERROR(IF(OR($B2063="",$B2063="(blank)"),"",VLOOKUP($B2063,'Email Marketing Raw Data'!$C:$O,5,0)),"")</f>
        <v/>
      </c>
      <c r="I2063" s="55" t="str">
        <f>IFERROR(IF($G2063="","",VLOOKUP('Dashboard And Emails Automate'!$G2063,Database!$H:$N,3,0)),"")</f>
        <v/>
      </c>
      <c r="J2063" s="55" t="str">
        <f>IFERROR(IF($G2063="","",VLOOKUP('Dashboard And Emails Automate'!$G2063,Database!$H:$N,4,0)),"")</f>
        <v/>
      </c>
      <c r="K2063" s="55" t="str">
        <f>IFERROR(IF($G2063="","",VLOOKUP('Dashboard And Emails Automate'!$G2063,Database!$H:$N,5,0)),"")</f>
        <v/>
      </c>
      <c r="L2063" s="55" t="str">
        <f>IFERROR(IF($G2063="","",VLOOKUP('Dashboard And Emails Automate'!$G2063,Database!$H:$N,6,0)),"")</f>
        <v/>
      </c>
      <c r="M2063" s="55" t="str">
        <f>IFERROR(IF($G2063="","",VLOOKUP('Dashboard And Emails Automate'!$G2063,Database!$H:$N,7,0)),"")</f>
        <v/>
      </c>
      <c r="N2063" s="55" t="str">
        <f>IFERROR(IF(OR($B2063="",$B2063="(blank)"),"",VLOOKUP($B2063,'Email Marketing Raw Data'!$C:$O,6,0)),"")</f>
        <v/>
      </c>
      <c r="O2063" s="55" t="str">
        <f>IFERROR(IF(OR($B2063="",$B2063="(blank)"),"",VLOOKUP($B2063,'Email Marketing Raw Data'!$C:$O,7,0)),"")</f>
        <v/>
      </c>
      <c r="P2063" s="55" t="str">
        <f>IFERROR(IF(OR($B2063="",$B2063="(blank)"),"",VLOOKUP($B2063,'Email Marketing Raw Data'!$C:$O,8,0)),"")</f>
        <v/>
      </c>
      <c r="Q2063" s="62" t="str">
        <f>IFERROR(IF(OR($B2063="",$B2063="(blank)"),"",VLOOKUP($B2063,'Email Marketing Raw Data'!$C:$O,9,0)),"")</f>
        <v/>
      </c>
    </row>
    <row r="2064" spans="4:17" ht="12.75" customHeight="1" x14ac:dyDescent="0.2">
      <c r="D2064" s="58" t="str">
        <f>IFERROR(IF(F2064&lt;&gt;"pending","",IF(OR($B2064="",$B2064="(blank)"),"",VLOOKUP($B2064,'Email Marketing Raw Data'!$C:$O,10,0))),"")</f>
        <v/>
      </c>
      <c r="E2064" s="59" t="str">
        <f>IFERROR(IF(F2064&lt;&gt;"pending","",IF(OR($B2064="",$B2064="(blank)"),"",VLOOKUP($B2064,'Email Marketing Raw Data'!$C:$O,11,0))),"")</f>
        <v/>
      </c>
      <c r="F2064" s="54" t="str">
        <f>IFERROR(IF(OR($B2064="",$B2064="(blank)"),"",VLOOKUP($B2064,'Email Marketing Raw Data'!$C:$O,13,0)),"")</f>
        <v/>
      </c>
      <c r="G2064" s="55" t="str">
        <f>IFERROR(IF(OR($B2064="",$B2064="(blank)"),"",VLOOKUP($B2064,'Email Marketing Raw Data'!$C:$O,4,0)),"")</f>
        <v/>
      </c>
      <c r="H2064" s="55" t="str">
        <f>IFERROR(IF(OR($B2064="",$B2064="(blank)"),"",VLOOKUP($B2064,'Email Marketing Raw Data'!$C:$O,5,0)),"")</f>
        <v/>
      </c>
      <c r="I2064" s="55" t="str">
        <f>IFERROR(IF($G2064="","",VLOOKUP('Dashboard And Emails Automate'!$G2064,Database!$H:$N,3,0)),"")</f>
        <v/>
      </c>
      <c r="J2064" s="55" t="str">
        <f>IFERROR(IF($G2064="","",VLOOKUP('Dashboard And Emails Automate'!$G2064,Database!$H:$N,4,0)),"")</f>
        <v/>
      </c>
      <c r="K2064" s="55" t="str">
        <f>IFERROR(IF($G2064="","",VLOOKUP('Dashboard And Emails Automate'!$G2064,Database!$H:$N,5,0)),"")</f>
        <v/>
      </c>
      <c r="L2064" s="55" t="str">
        <f>IFERROR(IF($G2064="","",VLOOKUP('Dashboard And Emails Automate'!$G2064,Database!$H:$N,6,0)),"")</f>
        <v/>
      </c>
      <c r="M2064" s="55" t="str">
        <f>IFERROR(IF($G2064="","",VLOOKUP('Dashboard And Emails Automate'!$G2064,Database!$H:$N,7,0)),"")</f>
        <v/>
      </c>
      <c r="N2064" s="55" t="str">
        <f>IFERROR(IF(OR($B2064="",$B2064="(blank)"),"",VLOOKUP($B2064,'Email Marketing Raw Data'!$C:$O,6,0)),"")</f>
        <v/>
      </c>
      <c r="O2064" s="55" t="str">
        <f>IFERROR(IF(OR($B2064="",$B2064="(blank)"),"",VLOOKUP($B2064,'Email Marketing Raw Data'!$C:$O,7,0)),"")</f>
        <v/>
      </c>
      <c r="P2064" s="55" t="str">
        <f>IFERROR(IF(OR($B2064="",$B2064="(blank)"),"",VLOOKUP($B2064,'Email Marketing Raw Data'!$C:$O,8,0)),"")</f>
        <v/>
      </c>
      <c r="Q2064" s="62" t="str">
        <f>IFERROR(IF(OR($B2064="",$B2064="(blank)"),"",VLOOKUP($B2064,'Email Marketing Raw Data'!$C:$O,9,0)),"")</f>
        <v/>
      </c>
    </row>
    <row r="2065" spans="4:17" ht="12.75" customHeight="1" x14ac:dyDescent="0.2">
      <c r="D2065" s="58" t="str">
        <f>IFERROR(IF(F2065&lt;&gt;"pending","",IF(OR($B2065="",$B2065="(blank)"),"",VLOOKUP($B2065,'Email Marketing Raw Data'!$C:$O,10,0))),"")</f>
        <v/>
      </c>
      <c r="E2065" s="59" t="str">
        <f>IFERROR(IF(F2065&lt;&gt;"pending","",IF(OR($B2065="",$B2065="(blank)"),"",VLOOKUP($B2065,'Email Marketing Raw Data'!$C:$O,11,0))),"")</f>
        <v/>
      </c>
      <c r="F2065" s="54" t="str">
        <f>IFERROR(IF(OR($B2065="",$B2065="(blank)"),"",VLOOKUP($B2065,'Email Marketing Raw Data'!$C:$O,13,0)),"")</f>
        <v/>
      </c>
      <c r="G2065" s="55" t="str">
        <f>IFERROR(IF(OR($B2065="",$B2065="(blank)"),"",VLOOKUP($B2065,'Email Marketing Raw Data'!$C:$O,4,0)),"")</f>
        <v/>
      </c>
      <c r="H2065" s="55" t="str">
        <f>IFERROR(IF(OR($B2065="",$B2065="(blank)"),"",VLOOKUP($B2065,'Email Marketing Raw Data'!$C:$O,5,0)),"")</f>
        <v/>
      </c>
      <c r="I2065" s="55" t="str">
        <f>IFERROR(IF($G2065="","",VLOOKUP('Dashboard And Emails Automate'!$G2065,Database!$H:$N,3,0)),"")</f>
        <v/>
      </c>
      <c r="J2065" s="55" t="str">
        <f>IFERROR(IF($G2065="","",VLOOKUP('Dashboard And Emails Automate'!$G2065,Database!$H:$N,4,0)),"")</f>
        <v/>
      </c>
      <c r="K2065" s="55" t="str">
        <f>IFERROR(IF($G2065="","",VLOOKUP('Dashboard And Emails Automate'!$G2065,Database!$H:$N,5,0)),"")</f>
        <v/>
      </c>
      <c r="L2065" s="55" t="str">
        <f>IFERROR(IF($G2065="","",VLOOKUP('Dashboard And Emails Automate'!$G2065,Database!$H:$N,6,0)),"")</f>
        <v/>
      </c>
      <c r="M2065" s="55" t="str">
        <f>IFERROR(IF($G2065="","",VLOOKUP('Dashboard And Emails Automate'!$G2065,Database!$H:$N,7,0)),"")</f>
        <v/>
      </c>
      <c r="N2065" s="55" t="str">
        <f>IFERROR(IF(OR($B2065="",$B2065="(blank)"),"",VLOOKUP($B2065,'Email Marketing Raw Data'!$C:$O,6,0)),"")</f>
        <v/>
      </c>
      <c r="O2065" s="55" t="str">
        <f>IFERROR(IF(OR($B2065="",$B2065="(blank)"),"",VLOOKUP($B2065,'Email Marketing Raw Data'!$C:$O,7,0)),"")</f>
        <v/>
      </c>
      <c r="P2065" s="55" t="str">
        <f>IFERROR(IF(OR($B2065="",$B2065="(blank)"),"",VLOOKUP($B2065,'Email Marketing Raw Data'!$C:$O,8,0)),"")</f>
        <v/>
      </c>
      <c r="Q2065" s="62" t="str">
        <f>IFERROR(IF(OR($B2065="",$B2065="(blank)"),"",VLOOKUP($B2065,'Email Marketing Raw Data'!$C:$O,9,0)),"")</f>
        <v/>
      </c>
    </row>
    <row r="2066" spans="4:17" ht="12.75" customHeight="1" x14ac:dyDescent="0.2">
      <c r="D2066" s="58" t="str">
        <f>IFERROR(IF(F2066&lt;&gt;"pending","",IF(OR($B2066="",$B2066="(blank)"),"",VLOOKUP($B2066,'Email Marketing Raw Data'!$C:$O,10,0))),"")</f>
        <v/>
      </c>
      <c r="E2066" s="59" t="str">
        <f>IFERROR(IF(F2066&lt;&gt;"pending","",IF(OR($B2066="",$B2066="(blank)"),"",VLOOKUP($B2066,'Email Marketing Raw Data'!$C:$O,11,0))),"")</f>
        <v/>
      </c>
      <c r="F2066" s="54" t="str">
        <f>IFERROR(IF(OR($B2066="",$B2066="(blank)"),"",VLOOKUP($B2066,'Email Marketing Raw Data'!$C:$O,13,0)),"")</f>
        <v/>
      </c>
      <c r="G2066" s="55" t="str">
        <f>IFERROR(IF(OR($B2066="",$B2066="(blank)"),"",VLOOKUP($B2066,'Email Marketing Raw Data'!$C:$O,4,0)),"")</f>
        <v/>
      </c>
      <c r="H2066" s="55" t="str">
        <f>IFERROR(IF(OR($B2066="",$B2066="(blank)"),"",VLOOKUP($B2066,'Email Marketing Raw Data'!$C:$O,5,0)),"")</f>
        <v/>
      </c>
      <c r="I2066" s="55" t="str">
        <f>IFERROR(IF($G2066="","",VLOOKUP('Dashboard And Emails Automate'!$G2066,Database!$H:$N,3,0)),"")</f>
        <v/>
      </c>
      <c r="J2066" s="55" t="str">
        <f>IFERROR(IF($G2066="","",VLOOKUP('Dashboard And Emails Automate'!$G2066,Database!$H:$N,4,0)),"")</f>
        <v/>
      </c>
      <c r="K2066" s="55" t="str">
        <f>IFERROR(IF($G2066="","",VLOOKUP('Dashboard And Emails Automate'!$G2066,Database!$H:$N,5,0)),"")</f>
        <v/>
      </c>
      <c r="L2066" s="55" t="str">
        <f>IFERROR(IF($G2066="","",VLOOKUP('Dashboard And Emails Automate'!$G2066,Database!$H:$N,6,0)),"")</f>
        <v/>
      </c>
      <c r="M2066" s="55" t="str">
        <f>IFERROR(IF($G2066="","",VLOOKUP('Dashboard And Emails Automate'!$G2066,Database!$H:$N,7,0)),"")</f>
        <v/>
      </c>
      <c r="N2066" s="55" t="str">
        <f>IFERROR(IF(OR($B2066="",$B2066="(blank)"),"",VLOOKUP($B2066,'Email Marketing Raw Data'!$C:$O,6,0)),"")</f>
        <v/>
      </c>
      <c r="O2066" s="55" t="str">
        <f>IFERROR(IF(OR($B2066="",$B2066="(blank)"),"",VLOOKUP($B2066,'Email Marketing Raw Data'!$C:$O,7,0)),"")</f>
        <v/>
      </c>
      <c r="P2066" s="55" t="str">
        <f>IFERROR(IF(OR($B2066="",$B2066="(blank)"),"",VLOOKUP($B2066,'Email Marketing Raw Data'!$C:$O,8,0)),"")</f>
        <v/>
      </c>
      <c r="Q2066" s="62" t="str">
        <f>IFERROR(IF(OR($B2066="",$B2066="(blank)"),"",VLOOKUP($B2066,'Email Marketing Raw Data'!$C:$O,9,0)),"")</f>
        <v/>
      </c>
    </row>
    <row r="2067" spans="4:17" ht="12.75" customHeight="1" x14ac:dyDescent="0.2">
      <c r="D2067" s="58" t="str">
        <f>IFERROR(IF(F2067&lt;&gt;"pending","",IF(OR($B2067="",$B2067="(blank)"),"",VLOOKUP($B2067,'Email Marketing Raw Data'!$C:$O,10,0))),"")</f>
        <v/>
      </c>
      <c r="E2067" s="59" t="str">
        <f>IFERROR(IF(F2067&lt;&gt;"pending","",IF(OR($B2067="",$B2067="(blank)"),"",VLOOKUP($B2067,'Email Marketing Raw Data'!$C:$O,11,0))),"")</f>
        <v/>
      </c>
      <c r="F2067" s="54" t="str">
        <f>IFERROR(IF(OR($B2067="",$B2067="(blank)"),"",VLOOKUP($B2067,'Email Marketing Raw Data'!$C:$O,13,0)),"")</f>
        <v/>
      </c>
      <c r="G2067" s="55" t="str">
        <f>IFERROR(IF(OR($B2067="",$B2067="(blank)"),"",VLOOKUP($B2067,'Email Marketing Raw Data'!$C:$O,4,0)),"")</f>
        <v/>
      </c>
      <c r="H2067" s="55" t="str">
        <f>IFERROR(IF(OR($B2067="",$B2067="(blank)"),"",VLOOKUP($B2067,'Email Marketing Raw Data'!$C:$O,5,0)),"")</f>
        <v/>
      </c>
      <c r="I2067" s="55" t="str">
        <f>IFERROR(IF($G2067="","",VLOOKUP('Dashboard And Emails Automate'!$G2067,Database!$H:$N,3,0)),"")</f>
        <v/>
      </c>
      <c r="J2067" s="55" t="str">
        <f>IFERROR(IF($G2067="","",VLOOKUP('Dashboard And Emails Automate'!$G2067,Database!$H:$N,4,0)),"")</f>
        <v/>
      </c>
      <c r="K2067" s="55" t="str">
        <f>IFERROR(IF($G2067="","",VLOOKUP('Dashboard And Emails Automate'!$G2067,Database!$H:$N,5,0)),"")</f>
        <v/>
      </c>
      <c r="L2067" s="55" t="str">
        <f>IFERROR(IF($G2067="","",VLOOKUP('Dashboard And Emails Automate'!$G2067,Database!$H:$N,6,0)),"")</f>
        <v/>
      </c>
      <c r="M2067" s="55" t="str">
        <f>IFERROR(IF($G2067="","",VLOOKUP('Dashboard And Emails Automate'!$G2067,Database!$H:$N,7,0)),"")</f>
        <v/>
      </c>
      <c r="N2067" s="55" t="str">
        <f>IFERROR(IF(OR($B2067="",$B2067="(blank)"),"",VLOOKUP($B2067,'Email Marketing Raw Data'!$C:$O,6,0)),"")</f>
        <v/>
      </c>
      <c r="O2067" s="55" t="str">
        <f>IFERROR(IF(OR($B2067="",$B2067="(blank)"),"",VLOOKUP($B2067,'Email Marketing Raw Data'!$C:$O,7,0)),"")</f>
        <v/>
      </c>
      <c r="P2067" s="55" t="str">
        <f>IFERROR(IF(OR($B2067="",$B2067="(blank)"),"",VLOOKUP($B2067,'Email Marketing Raw Data'!$C:$O,8,0)),"")</f>
        <v/>
      </c>
      <c r="Q2067" s="62" t="str">
        <f>IFERROR(IF(OR($B2067="",$B2067="(blank)"),"",VLOOKUP($B2067,'Email Marketing Raw Data'!$C:$O,9,0)),"")</f>
        <v/>
      </c>
    </row>
    <row r="2068" spans="4:17" ht="12.75" customHeight="1" x14ac:dyDescent="0.2">
      <c r="D2068" s="58" t="str">
        <f>IFERROR(IF(F2068&lt;&gt;"pending","",IF(OR($B2068="",$B2068="(blank)"),"",VLOOKUP($B2068,'Email Marketing Raw Data'!$C:$O,10,0))),"")</f>
        <v/>
      </c>
      <c r="E2068" s="59" t="str">
        <f>IFERROR(IF(F2068&lt;&gt;"pending","",IF(OR($B2068="",$B2068="(blank)"),"",VLOOKUP($B2068,'Email Marketing Raw Data'!$C:$O,11,0))),"")</f>
        <v/>
      </c>
      <c r="F2068" s="54" t="str">
        <f>IFERROR(IF(OR($B2068="",$B2068="(blank)"),"",VLOOKUP($B2068,'Email Marketing Raw Data'!$C:$O,13,0)),"")</f>
        <v/>
      </c>
      <c r="G2068" s="55" t="str">
        <f>IFERROR(IF(OR($B2068="",$B2068="(blank)"),"",VLOOKUP($B2068,'Email Marketing Raw Data'!$C:$O,4,0)),"")</f>
        <v/>
      </c>
      <c r="H2068" s="55" t="str">
        <f>IFERROR(IF(OR($B2068="",$B2068="(blank)"),"",VLOOKUP($B2068,'Email Marketing Raw Data'!$C:$O,5,0)),"")</f>
        <v/>
      </c>
      <c r="I2068" s="55" t="str">
        <f>IFERROR(IF($G2068="","",VLOOKUP('Dashboard And Emails Automate'!$G2068,Database!$H:$N,3,0)),"")</f>
        <v/>
      </c>
      <c r="J2068" s="55" t="str">
        <f>IFERROR(IF($G2068="","",VLOOKUP('Dashboard And Emails Automate'!$G2068,Database!$H:$N,4,0)),"")</f>
        <v/>
      </c>
      <c r="K2068" s="55" t="str">
        <f>IFERROR(IF($G2068="","",VLOOKUP('Dashboard And Emails Automate'!$G2068,Database!$H:$N,5,0)),"")</f>
        <v/>
      </c>
      <c r="L2068" s="55" t="str">
        <f>IFERROR(IF($G2068="","",VLOOKUP('Dashboard And Emails Automate'!$G2068,Database!$H:$N,6,0)),"")</f>
        <v/>
      </c>
      <c r="M2068" s="55" t="str">
        <f>IFERROR(IF($G2068="","",VLOOKUP('Dashboard And Emails Automate'!$G2068,Database!$H:$N,7,0)),"")</f>
        <v/>
      </c>
      <c r="N2068" s="55" t="str">
        <f>IFERROR(IF(OR($B2068="",$B2068="(blank)"),"",VLOOKUP($B2068,'Email Marketing Raw Data'!$C:$O,6,0)),"")</f>
        <v/>
      </c>
      <c r="O2068" s="55" t="str">
        <f>IFERROR(IF(OR($B2068="",$B2068="(blank)"),"",VLOOKUP($B2068,'Email Marketing Raw Data'!$C:$O,7,0)),"")</f>
        <v/>
      </c>
      <c r="P2068" s="55" t="str">
        <f>IFERROR(IF(OR($B2068="",$B2068="(blank)"),"",VLOOKUP($B2068,'Email Marketing Raw Data'!$C:$O,8,0)),"")</f>
        <v/>
      </c>
      <c r="Q2068" s="62" t="str">
        <f>IFERROR(IF(OR($B2068="",$B2068="(blank)"),"",VLOOKUP($B2068,'Email Marketing Raw Data'!$C:$O,9,0)),"")</f>
        <v/>
      </c>
    </row>
    <row r="2069" spans="4:17" ht="12.75" customHeight="1" x14ac:dyDescent="0.2">
      <c r="D2069" s="58" t="str">
        <f>IFERROR(IF(F2069&lt;&gt;"pending","",IF(OR($B2069="",$B2069="(blank)"),"",VLOOKUP($B2069,'Email Marketing Raw Data'!$C:$O,10,0))),"")</f>
        <v/>
      </c>
      <c r="E2069" s="59" t="str">
        <f>IFERROR(IF(F2069&lt;&gt;"pending","",IF(OR($B2069="",$B2069="(blank)"),"",VLOOKUP($B2069,'Email Marketing Raw Data'!$C:$O,11,0))),"")</f>
        <v/>
      </c>
      <c r="F2069" s="54" t="str">
        <f>IFERROR(IF(OR($B2069="",$B2069="(blank)"),"",VLOOKUP($B2069,'Email Marketing Raw Data'!$C:$O,13,0)),"")</f>
        <v/>
      </c>
      <c r="G2069" s="55" t="str">
        <f>IFERROR(IF(OR($B2069="",$B2069="(blank)"),"",VLOOKUP($B2069,'Email Marketing Raw Data'!$C:$O,4,0)),"")</f>
        <v/>
      </c>
      <c r="H2069" s="55" t="str">
        <f>IFERROR(IF(OR($B2069="",$B2069="(blank)"),"",VLOOKUP($B2069,'Email Marketing Raw Data'!$C:$O,5,0)),"")</f>
        <v/>
      </c>
      <c r="I2069" s="55" t="str">
        <f>IFERROR(IF($G2069="","",VLOOKUP('Dashboard And Emails Automate'!$G2069,Database!$H:$N,3,0)),"")</f>
        <v/>
      </c>
      <c r="J2069" s="55" t="str">
        <f>IFERROR(IF($G2069="","",VLOOKUP('Dashboard And Emails Automate'!$G2069,Database!$H:$N,4,0)),"")</f>
        <v/>
      </c>
      <c r="K2069" s="55" t="str">
        <f>IFERROR(IF($G2069="","",VLOOKUP('Dashboard And Emails Automate'!$G2069,Database!$H:$N,5,0)),"")</f>
        <v/>
      </c>
      <c r="L2069" s="55" t="str">
        <f>IFERROR(IF($G2069="","",VLOOKUP('Dashboard And Emails Automate'!$G2069,Database!$H:$N,6,0)),"")</f>
        <v/>
      </c>
      <c r="M2069" s="55" t="str">
        <f>IFERROR(IF($G2069="","",VLOOKUP('Dashboard And Emails Automate'!$G2069,Database!$H:$N,7,0)),"")</f>
        <v/>
      </c>
      <c r="N2069" s="55" t="str">
        <f>IFERROR(IF(OR($B2069="",$B2069="(blank)"),"",VLOOKUP($B2069,'Email Marketing Raw Data'!$C:$O,6,0)),"")</f>
        <v/>
      </c>
      <c r="O2069" s="55" t="str">
        <f>IFERROR(IF(OR($B2069="",$B2069="(blank)"),"",VLOOKUP($B2069,'Email Marketing Raw Data'!$C:$O,7,0)),"")</f>
        <v/>
      </c>
      <c r="P2069" s="55" t="str">
        <f>IFERROR(IF(OR($B2069="",$B2069="(blank)"),"",VLOOKUP($B2069,'Email Marketing Raw Data'!$C:$O,8,0)),"")</f>
        <v/>
      </c>
      <c r="Q2069" s="62" t="str">
        <f>IFERROR(IF(OR($B2069="",$B2069="(blank)"),"",VLOOKUP($B2069,'Email Marketing Raw Data'!$C:$O,9,0)),"")</f>
        <v/>
      </c>
    </row>
    <row r="2070" spans="4:17" ht="12.75" customHeight="1" x14ac:dyDescent="0.2">
      <c r="D2070" s="58" t="str">
        <f>IFERROR(IF(F2070&lt;&gt;"pending","",IF(OR($B2070="",$B2070="(blank)"),"",VLOOKUP($B2070,'Email Marketing Raw Data'!$C:$O,10,0))),"")</f>
        <v/>
      </c>
      <c r="E2070" s="59" t="str">
        <f>IFERROR(IF(F2070&lt;&gt;"pending","",IF(OR($B2070="",$B2070="(blank)"),"",VLOOKUP($B2070,'Email Marketing Raw Data'!$C:$O,11,0))),"")</f>
        <v/>
      </c>
      <c r="F2070" s="54" t="str">
        <f>IFERROR(IF(OR($B2070="",$B2070="(blank)"),"",VLOOKUP($B2070,'Email Marketing Raw Data'!$C:$O,13,0)),"")</f>
        <v/>
      </c>
      <c r="G2070" s="55" t="str">
        <f>IFERROR(IF(OR($B2070="",$B2070="(blank)"),"",VLOOKUP($B2070,'Email Marketing Raw Data'!$C:$O,4,0)),"")</f>
        <v/>
      </c>
      <c r="H2070" s="55" t="str">
        <f>IFERROR(IF(OR($B2070="",$B2070="(blank)"),"",VLOOKUP($B2070,'Email Marketing Raw Data'!$C:$O,5,0)),"")</f>
        <v/>
      </c>
      <c r="I2070" s="55" t="str">
        <f>IFERROR(IF($G2070="","",VLOOKUP('Dashboard And Emails Automate'!$G2070,Database!$H:$N,3,0)),"")</f>
        <v/>
      </c>
      <c r="J2070" s="55" t="str">
        <f>IFERROR(IF($G2070="","",VLOOKUP('Dashboard And Emails Automate'!$G2070,Database!$H:$N,4,0)),"")</f>
        <v/>
      </c>
      <c r="K2070" s="55" t="str">
        <f>IFERROR(IF($G2070="","",VLOOKUP('Dashboard And Emails Automate'!$G2070,Database!$H:$N,5,0)),"")</f>
        <v/>
      </c>
      <c r="L2070" s="55" t="str">
        <f>IFERROR(IF($G2070="","",VLOOKUP('Dashboard And Emails Automate'!$G2070,Database!$H:$N,6,0)),"")</f>
        <v/>
      </c>
      <c r="M2070" s="55" t="str">
        <f>IFERROR(IF($G2070="","",VLOOKUP('Dashboard And Emails Automate'!$G2070,Database!$H:$N,7,0)),"")</f>
        <v/>
      </c>
      <c r="N2070" s="55" t="str">
        <f>IFERROR(IF(OR($B2070="",$B2070="(blank)"),"",VLOOKUP($B2070,'Email Marketing Raw Data'!$C:$O,6,0)),"")</f>
        <v/>
      </c>
      <c r="O2070" s="55" t="str">
        <f>IFERROR(IF(OR($B2070="",$B2070="(blank)"),"",VLOOKUP($B2070,'Email Marketing Raw Data'!$C:$O,7,0)),"")</f>
        <v/>
      </c>
      <c r="P2070" s="55" t="str">
        <f>IFERROR(IF(OR($B2070="",$B2070="(blank)"),"",VLOOKUP($B2070,'Email Marketing Raw Data'!$C:$O,8,0)),"")</f>
        <v/>
      </c>
      <c r="Q2070" s="62" t="str">
        <f>IFERROR(IF(OR($B2070="",$B2070="(blank)"),"",VLOOKUP($B2070,'Email Marketing Raw Data'!$C:$O,9,0)),"")</f>
        <v/>
      </c>
    </row>
    <row r="2071" spans="4:17" ht="12.75" customHeight="1" x14ac:dyDescent="0.2">
      <c r="D2071" s="58" t="str">
        <f>IFERROR(IF(F2071&lt;&gt;"pending","",IF(OR($B2071="",$B2071="(blank)"),"",VLOOKUP($B2071,'Email Marketing Raw Data'!$C:$O,10,0))),"")</f>
        <v/>
      </c>
      <c r="E2071" s="59" t="str">
        <f>IFERROR(IF(F2071&lt;&gt;"pending","",IF(OR($B2071="",$B2071="(blank)"),"",VLOOKUP($B2071,'Email Marketing Raw Data'!$C:$O,11,0))),"")</f>
        <v/>
      </c>
      <c r="F2071" s="54" t="str">
        <f>IFERROR(IF(OR($B2071="",$B2071="(blank)"),"",VLOOKUP($B2071,'Email Marketing Raw Data'!$C:$O,13,0)),"")</f>
        <v/>
      </c>
      <c r="G2071" s="55" t="str">
        <f>IFERROR(IF(OR($B2071="",$B2071="(blank)"),"",VLOOKUP($B2071,'Email Marketing Raw Data'!$C:$O,4,0)),"")</f>
        <v/>
      </c>
      <c r="H2071" s="55" t="str">
        <f>IFERROR(IF(OR($B2071="",$B2071="(blank)"),"",VLOOKUP($B2071,'Email Marketing Raw Data'!$C:$O,5,0)),"")</f>
        <v/>
      </c>
      <c r="I2071" s="55" t="str">
        <f>IFERROR(IF($G2071="","",VLOOKUP('Dashboard And Emails Automate'!$G2071,Database!$H:$N,3,0)),"")</f>
        <v/>
      </c>
      <c r="J2071" s="55" t="str">
        <f>IFERROR(IF($G2071="","",VLOOKUP('Dashboard And Emails Automate'!$G2071,Database!$H:$N,4,0)),"")</f>
        <v/>
      </c>
      <c r="K2071" s="55" t="str">
        <f>IFERROR(IF($G2071="","",VLOOKUP('Dashboard And Emails Automate'!$G2071,Database!$H:$N,5,0)),"")</f>
        <v/>
      </c>
      <c r="L2071" s="55" t="str">
        <f>IFERROR(IF($G2071="","",VLOOKUP('Dashboard And Emails Automate'!$G2071,Database!$H:$N,6,0)),"")</f>
        <v/>
      </c>
      <c r="M2071" s="55" t="str">
        <f>IFERROR(IF($G2071="","",VLOOKUP('Dashboard And Emails Automate'!$G2071,Database!$H:$N,7,0)),"")</f>
        <v/>
      </c>
      <c r="N2071" s="55" t="str">
        <f>IFERROR(IF(OR($B2071="",$B2071="(blank)"),"",VLOOKUP($B2071,'Email Marketing Raw Data'!$C:$O,6,0)),"")</f>
        <v/>
      </c>
      <c r="O2071" s="55" t="str">
        <f>IFERROR(IF(OR($B2071="",$B2071="(blank)"),"",VLOOKUP($B2071,'Email Marketing Raw Data'!$C:$O,7,0)),"")</f>
        <v/>
      </c>
      <c r="P2071" s="55" t="str">
        <f>IFERROR(IF(OR($B2071="",$B2071="(blank)"),"",VLOOKUP($B2071,'Email Marketing Raw Data'!$C:$O,8,0)),"")</f>
        <v/>
      </c>
      <c r="Q2071" s="62" t="str">
        <f>IFERROR(IF(OR($B2071="",$B2071="(blank)"),"",VLOOKUP($B2071,'Email Marketing Raw Data'!$C:$O,9,0)),"")</f>
        <v/>
      </c>
    </row>
    <row r="2072" spans="4:17" ht="12.75" customHeight="1" x14ac:dyDescent="0.2">
      <c r="D2072" s="58" t="str">
        <f>IFERROR(IF(F2072&lt;&gt;"pending","",IF(OR($B2072="",$B2072="(blank)"),"",VLOOKUP($B2072,'Email Marketing Raw Data'!$C:$O,10,0))),"")</f>
        <v/>
      </c>
      <c r="E2072" s="59" t="str">
        <f>IFERROR(IF(F2072&lt;&gt;"pending","",IF(OR($B2072="",$B2072="(blank)"),"",VLOOKUP($B2072,'Email Marketing Raw Data'!$C:$O,11,0))),"")</f>
        <v/>
      </c>
      <c r="F2072" s="54" t="str">
        <f>IFERROR(IF(OR($B2072="",$B2072="(blank)"),"",VLOOKUP($B2072,'Email Marketing Raw Data'!$C:$O,13,0)),"")</f>
        <v/>
      </c>
      <c r="G2072" s="55" t="str">
        <f>IFERROR(IF(OR($B2072="",$B2072="(blank)"),"",VLOOKUP($B2072,'Email Marketing Raw Data'!$C:$O,4,0)),"")</f>
        <v/>
      </c>
      <c r="H2072" s="55" t="str">
        <f>IFERROR(IF(OR($B2072="",$B2072="(blank)"),"",VLOOKUP($B2072,'Email Marketing Raw Data'!$C:$O,5,0)),"")</f>
        <v/>
      </c>
      <c r="I2072" s="55" t="str">
        <f>IFERROR(IF($G2072="","",VLOOKUP('Dashboard And Emails Automate'!$G2072,Database!$H:$N,3,0)),"")</f>
        <v/>
      </c>
      <c r="J2072" s="55" t="str">
        <f>IFERROR(IF($G2072="","",VLOOKUP('Dashboard And Emails Automate'!$G2072,Database!$H:$N,4,0)),"")</f>
        <v/>
      </c>
      <c r="K2072" s="55" t="str">
        <f>IFERROR(IF($G2072="","",VLOOKUP('Dashboard And Emails Automate'!$G2072,Database!$H:$N,5,0)),"")</f>
        <v/>
      </c>
      <c r="L2072" s="55" t="str">
        <f>IFERROR(IF($G2072="","",VLOOKUP('Dashboard And Emails Automate'!$G2072,Database!$H:$N,6,0)),"")</f>
        <v/>
      </c>
      <c r="M2072" s="55" t="str">
        <f>IFERROR(IF($G2072="","",VLOOKUP('Dashboard And Emails Automate'!$G2072,Database!$H:$N,7,0)),"")</f>
        <v/>
      </c>
      <c r="N2072" s="55" t="str">
        <f>IFERROR(IF(OR($B2072="",$B2072="(blank)"),"",VLOOKUP($B2072,'Email Marketing Raw Data'!$C:$O,6,0)),"")</f>
        <v/>
      </c>
      <c r="O2072" s="55" t="str">
        <f>IFERROR(IF(OR($B2072="",$B2072="(blank)"),"",VLOOKUP($B2072,'Email Marketing Raw Data'!$C:$O,7,0)),"")</f>
        <v/>
      </c>
      <c r="P2072" s="55" t="str">
        <f>IFERROR(IF(OR($B2072="",$B2072="(blank)"),"",VLOOKUP($B2072,'Email Marketing Raw Data'!$C:$O,8,0)),"")</f>
        <v/>
      </c>
      <c r="Q2072" s="62" t="str">
        <f>IFERROR(IF(OR($B2072="",$B2072="(blank)"),"",VLOOKUP($B2072,'Email Marketing Raw Data'!$C:$O,9,0)),"")</f>
        <v/>
      </c>
    </row>
    <row r="2073" spans="4:17" ht="12.75" customHeight="1" x14ac:dyDescent="0.2">
      <c r="D2073" s="58" t="str">
        <f>IFERROR(IF(F2073&lt;&gt;"pending","",IF(OR($B2073="",$B2073="(blank)"),"",VLOOKUP($B2073,'Email Marketing Raw Data'!$C:$O,10,0))),"")</f>
        <v/>
      </c>
      <c r="E2073" s="59" t="str">
        <f>IFERROR(IF(F2073&lt;&gt;"pending","",IF(OR($B2073="",$B2073="(blank)"),"",VLOOKUP($B2073,'Email Marketing Raw Data'!$C:$O,11,0))),"")</f>
        <v/>
      </c>
      <c r="F2073" s="54" t="str">
        <f>IFERROR(IF(OR($B2073="",$B2073="(blank)"),"",VLOOKUP($B2073,'Email Marketing Raw Data'!$C:$O,13,0)),"")</f>
        <v/>
      </c>
      <c r="G2073" s="55" t="str">
        <f>IFERROR(IF(OR($B2073="",$B2073="(blank)"),"",VLOOKUP($B2073,'Email Marketing Raw Data'!$C:$O,4,0)),"")</f>
        <v/>
      </c>
      <c r="H2073" s="55" t="str">
        <f>IFERROR(IF(OR($B2073="",$B2073="(blank)"),"",VLOOKUP($B2073,'Email Marketing Raw Data'!$C:$O,5,0)),"")</f>
        <v/>
      </c>
      <c r="I2073" s="55" t="str">
        <f>IFERROR(IF($G2073="","",VLOOKUP('Dashboard And Emails Automate'!$G2073,Database!$H:$N,3,0)),"")</f>
        <v/>
      </c>
      <c r="J2073" s="55" t="str">
        <f>IFERROR(IF($G2073="","",VLOOKUP('Dashboard And Emails Automate'!$G2073,Database!$H:$N,4,0)),"")</f>
        <v/>
      </c>
      <c r="K2073" s="55" t="str">
        <f>IFERROR(IF($G2073="","",VLOOKUP('Dashboard And Emails Automate'!$G2073,Database!$H:$N,5,0)),"")</f>
        <v/>
      </c>
      <c r="L2073" s="55" t="str">
        <f>IFERROR(IF($G2073="","",VLOOKUP('Dashboard And Emails Automate'!$G2073,Database!$H:$N,6,0)),"")</f>
        <v/>
      </c>
      <c r="M2073" s="55" t="str">
        <f>IFERROR(IF($G2073="","",VLOOKUP('Dashboard And Emails Automate'!$G2073,Database!$H:$N,7,0)),"")</f>
        <v/>
      </c>
      <c r="N2073" s="55" t="str">
        <f>IFERROR(IF(OR($B2073="",$B2073="(blank)"),"",VLOOKUP($B2073,'Email Marketing Raw Data'!$C:$O,6,0)),"")</f>
        <v/>
      </c>
      <c r="O2073" s="55" t="str">
        <f>IFERROR(IF(OR($B2073="",$B2073="(blank)"),"",VLOOKUP($B2073,'Email Marketing Raw Data'!$C:$O,7,0)),"")</f>
        <v/>
      </c>
      <c r="P2073" s="55" t="str">
        <f>IFERROR(IF(OR($B2073="",$B2073="(blank)"),"",VLOOKUP($B2073,'Email Marketing Raw Data'!$C:$O,8,0)),"")</f>
        <v/>
      </c>
      <c r="Q2073" s="62" t="str">
        <f>IFERROR(IF(OR($B2073="",$B2073="(blank)"),"",VLOOKUP($B2073,'Email Marketing Raw Data'!$C:$O,9,0)),"")</f>
        <v/>
      </c>
    </row>
    <row r="2074" spans="4:17" ht="12.75" customHeight="1" x14ac:dyDescent="0.2">
      <c r="D2074" s="58" t="str">
        <f>IFERROR(IF(F2074&lt;&gt;"pending","",IF(OR($B2074="",$B2074="(blank)"),"",VLOOKUP($B2074,'Email Marketing Raw Data'!$C:$O,10,0))),"")</f>
        <v/>
      </c>
      <c r="E2074" s="59" t="str">
        <f>IFERROR(IF(F2074&lt;&gt;"pending","",IF(OR($B2074="",$B2074="(blank)"),"",VLOOKUP($B2074,'Email Marketing Raw Data'!$C:$O,11,0))),"")</f>
        <v/>
      </c>
      <c r="F2074" s="54" t="str">
        <f>IFERROR(IF(OR($B2074="",$B2074="(blank)"),"",VLOOKUP($B2074,'Email Marketing Raw Data'!$C:$O,13,0)),"")</f>
        <v/>
      </c>
      <c r="G2074" s="55" t="str">
        <f>IFERROR(IF(OR($B2074="",$B2074="(blank)"),"",VLOOKUP($B2074,'Email Marketing Raw Data'!$C:$O,4,0)),"")</f>
        <v/>
      </c>
      <c r="H2074" s="55" t="str">
        <f>IFERROR(IF(OR($B2074="",$B2074="(blank)"),"",VLOOKUP($B2074,'Email Marketing Raw Data'!$C:$O,5,0)),"")</f>
        <v/>
      </c>
      <c r="I2074" s="55" t="str">
        <f>IFERROR(IF($G2074="","",VLOOKUP('Dashboard And Emails Automate'!$G2074,Database!$H:$N,3,0)),"")</f>
        <v/>
      </c>
      <c r="J2074" s="55" t="str">
        <f>IFERROR(IF($G2074="","",VLOOKUP('Dashboard And Emails Automate'!$G2074,Database!$H:$N,4,0)),"")</f>
        <v/>
      </c>
      <c r="K2074" s="55" t="str">
        <f>IFERROR(IF($G2074="","",VLOOKUP('Dashboard And Emails Automate'!$G2074,Database!$H:$N,5,0)),"")</f>
        <v/>
      </c>
      <c r="L2074" s="55" t="str">
        <f>IFERROR(IF($G2074="","",VLOOKUP('Dashboard And Emails Automate'!$G2074,Database!$H:$N,6,0)),"")</f>
        <v/>
      </c>
      <c r="M2074" s="55" t="str">
        <f>IFERROR(IF($G2074="","",VLOOKUP('Dashboard And Emails Automate'!$G2074,Database!$H:$N,7,0)),"")</f>
        <v/>
      </c>
      <c r="N2074" s="55" t="str">
        <f>IFERROR(IF(OR($B2074="",$B2074="(blank)"),"",VLOOKUP($B2074,'Email Marketing Raw Data'!$C:$O,6,0)),"")</f>
        <v/>
      </c>
      <c r="O2074" s="55" t="str">
        <f>IFERROR(IF(OR($B2074="",$B2074="(blank)"),"",VLOOKUP($B2074,'Email Marketing Raw Data'!$C:$O,7,0)),"")</f>
        <v/>
      </c>
      <c r="P2074" s="55" t="str">
        <f>IFERROR(IF(OR($B2074="",$B2074="(blank)"),"",VLOOKUP($B2074,'Email Marketing Raw Data'!$C:$O,8,0)),"")</f>
        <v/>
      </c>
      <c r="Q2074" s="62" t="str">
        <f>IFERROR(IF(OR($B2074="",$B2074="(blank)"),"",VLOOKUP($B2074,'Email Marketing Raw Data'!$C:$O,9,0)),"")</f>
        <v/>
      </c>
    </row>
    <row r="2075" spans="4:17" ht="12.75" customHeight="1" x14ac:dyDescent="0.2">
      <c r="D2075" s="58" t="str">
        <f>IFERROR(IF(F2075&lt;&gt;"pending","",IF(OR($B2075="",$B2075="(blank)"),"",VLOOKUP($B2075,'Email Marketing Raw Data'!$C:$O,10,0))),"")</f>
        <v/>
      </c>
      <c r="E2075" s="59" t="str">
        <f>IFERROR(IF(F2075&lt;&gt;"pending","",IF(OR($B2075="",$B2075="(blank)"),"",VLOOKUP($B2075,'Email Marketing Raw Data'!$C:$O,11,0))),"")</f>
        <v/>
      </c>
      <c r="F2075" s="54" t="str">
        <f>IFERROR(IF(OR($B2075="",$B2075="(blank)"),"",VLOOKUP($B2075,'Email Marketing Raw Data'!$C:$O,13,0)),"")</f>
        <v/>
      </c>
      <c r="G2075" s="55" t="str">
        <f>IFERROR(IF(OR($B2075="",$B2075="(blank)"),"",VLOOKUP($B2075,'Email Marketing Raw Data'!$C:$O,4,0)),"")</f>
        <v/>
      </c>
      <c r="H2075" s="55" t="str">
        <f>IFERROR(IF(OR($B2075="",$B2075="(blank)"),"",VLOOKUP($B2075,'Email Marketing Raw Data'!$C:$O,5,0)),"")</f>
        <v/>
      </c>
      <c r="I2075" s="55" t="str">
        <f>IFERROR(IF($G2075="","",VLOOKUP('Dashboard And Emails Automate'!$G2075,Database!$H:$N,3,0)),"")</f>
        <v/>
      </c>
      <c r="J2075" s="55" t="str">
        <f>IFERROR(IF($G2075="","",VLOOKUP('Dashboard And Emails Automate'!$G2075,Database!$H:$N,4,0)),"")</f>
        <v/>
      </c>
      <c r="K2075" s="55" t="str">
        <f>IFERROR(IF($G2075="","",VLOOKUP('Dashboard And Emails Automate'!$G2075,Database!$H:$N,5,0)),"")</f>
        <v/>
      </c>
      <c r="L2075" s="55" t="str">
        <f>IFERROR(IF($G2075="","",VLOOKUP('Dashboard And Emails Automate'!$G2075,Database!$H:$N,6,0)),"")</f>
        <v/>
      </c>
      <c r="M2075" s="55" t="str">
        <f>IFERROR(IF($G2075="","",VLOOKUP('Dashboard And Emails Automate'!$G2075,Database!$H:$N,7,0)),"")</f>
        <v/>
      </c>
      <c r="N2075" s="55" t="str">
        <f>IFERROR(IF(OR($B2075="",$B2075="(blank)"),"",VLOOKUP($B2075,'Email Marketing Raw Data'!$C:$O,6,0)),"")</f>
        <v/>
      </c>
      <c r="O2075" s="55" t="str">
        <f>IFERROR(IF(OR($B2075="",$B2075="(blank)"),"",VLOOKUP($B2075,'Email Marketing Raw Data'!$C:$O,7,0)),"")</f>
        <v/>
      </c>
      <c r="P2075" s="55" t="str">
        <f>IFERROR(IF(OR($B2075="",$B2075="(blank)"),"",VLOOKUP($B2075,'Email Marketing Raw Data'!$C:$O,8,0)),"")</f>
        <v/>
      </c>
      <c r="Q2075" s="62" t="str">
        <f>IFERROR(IF(OR($B2075="",$B2075="(blank)"),"",VLOOKUP($B2075,'Email Marketing Raw Data'!$C:$O,9,0)),"")</f>
        <v/>
      </c>
    </row>
    <row r="2076" spans="4:17" ht="12.75" customHeight="1" x14ac:dyDescent="0.2">
      <c r="D2076" s="58" t="str">
        <f>IFERROR(IF(F2076&lt;&gt;"pending","",IF(OR($B2076="",$B2076="(blank)"),"",VLOOKUP($B2076,'Email Marketing Raw Data'!$C:$O,10,0))),"")</f>
        <v/>
      </c>
      <c r="E2076" s="59" t="str">
        <f>IFERROR(IF(F2076&lt;&gt;"pending","",IF(OR($B2076="",$B2076="(blank)"),"",VLOOKUP($B2076,'Email Marketing Raw Data'!$C:$O,11,0))),"")</f>
        <v/>
      </c>
      <c r="F2076" s="54" t="str">
        <f>IFERROR(IF(OR($B2076="",$B2076="(blank)"),"",VLOOKUP($B2076,'Email Marketing Raw Data'!$C:$O,13,0)),"")</f>
        <v/>
      </c>
      <c r="G2076" s="55" t="str">
        <f>IFERROR(IF(OR($B2076="",$B2076="(blank)"),"",VLOOKUP($B2076,'Email Marketing Raw Data'!$C:$O,4,0)),"")</f>
        <v/>
      </c>
      <c r="H2076" s="55" t="str">
        <f>IFERROR(IF(OR($B2076="",$B2076="(blank)"),"",VLOOKUP($B2076,'Email Marketing Raw Data'!$C:$O,5,0)),"")</f>
        <v/>
      </c>
      <c r="I2076" s="55" t="str">
        <f>IFERROR(IF($G2076="","",VLOOKUP('Dashboard And Emails Automate'!$G2076,Database!$H:$N,3,0)),"")</f>
        <v/>
      </c>
      <c r="J2076" s="55" t="str">
        <f>IFERROR(IF($G2076="","",VLOOKUP('Dashboard And Emails Automate'!$G2076,Database!$H:$N,4,0)),"")</f>
        <v/>
      </c>
      <c r="K2076" s="55" t="str">
        <f>IFERROR(IF($G2076="","",VLOOKUP('Dashboard And Emails Automate'!$G2076,Database!$H:$N,5,0)),"")</f>
        <v/>
      </c>
      <c r="L2076" s="55" t="str">
        <f>IFERROR(IF($G2076="","",VLOOKUP('Dashboard And Emails Automate'!$G2076,Database!$H:$N,6,0)),"")</f>
        <v/>
      </c>
      <c r="M2076" s="55" t="str">
        <f>IFERROR(IF($G2076="","",VLOOKUP('Dashboard And Emails Automate'!$G2076,Database!$H:$N,7,0)),"")</f>
        <v/>
      </c>
      <c r="N2076" s="55" t="str">
        <f>IFERROR(IF(OR($B2076="",$B2076="(blank)"),"",VLOOKUP($B2076,'Email Marketing Raw Data'!$C:$O,6,0)),"")</f>
        <v/>
      </c>
      <c r="O2076" s="55" t="str">
        <f>IFERROR(IF(OR($B2076="",$B2076="(blank)"),"",VLOOKUP($B2076,'Email Marketing Raw Data'!$C:$O,7,0)),"")</f>
        <v/>
      </c>
      <c r="P2076" s="55" t="str">
        <f>IFERROR(IF(OR($B2076="",$B2076="(blank)"),"",VLOOKUP($B2076,'Email Marketing Raw Data'!$C:$O,8,0)),"")</f>
        <v/>
      </c>
      <c r="Q2076" s="62" t="str">
        <f>IFERROR(IF(OR($B2076="",$B2076="(blank)"),"",VLOOKUP($B2076,'Email Marketing Raw Data'!$C:$O,9,0)),"")</f>
        <v/>
      </c>
    </row>
    <row r="2077" spans="4:17" ht="12.75" customHeight="1" x14ac:dyDescent="0.2">
      <c r="D2077" s="58" t="str">
        <f>IFERROR(IF(F2077&lt;&gt;"pending","",IF(OR($B2077="",$B2077="(blank)"),"",VLOOKUP($B2077,'Email Marketing Raw Data'!$C:$O,10,0))),"")</f>
        <v/>
      </c>
      <c r="E2077" s="59" t="str">
        <f>IFERROR(IF(F2077&lt;&gt;"pending","",IF(OR($B2077="",$B2077="(blank)"),"",VLOOKUP($B2077,'Email Marketing Raw Data'!$C:$O,11,0))),"")</f>
        <v/>
      </c>
      <c r="F2077" s="54" t="str">
        <f>IFERROR(IF(OR($B2077="",$B2077="(blank)"),"",VLOOKUP($B2077,'Email Marketing Raw Data'!$C:$O,13,0)),"")</f>
        <v/>
      </c>
      <c r="G2077" s="55" t="str">
        <f>IFERROR(IF(OR($B2077="",$B2077="(blank)"),"",VLOOKUP($B2077,'Email Marketing Raw Data'!$C:$O,4,0)),"")</f>
        <v/>
      </c>
      <c r="H2077" s="55" t="str">
        <f>IFERROR(IF(OR($B2077="",$B2077="(blank)"),"",VLOOKUP($B2077,'Email Marketing Raw Data'!$C:$O,5,0)),"")</f>
        <v/>
      </c>
      <c r="I2077" s="55" t="str">
        <f>IFERROR(IF($G2077="","",VLOOKUP('Dashboard And Emails Automate'!$G2077,Database!$H:$N,3,0)),"")</f>
        <v/>
      </c>
      <c r="J2077" s="55" t="str">
        <f>IFERROR(IF($G2077="","",VLOOKUP('Dashboard And Emails Automate'!$G2077,Database!$H:$N,4,0)),"")</f>
        <v/>
      </c>
      <c r="K2077" s="55" t="str">
        <f>IFERROR(IF($G2077="","",VLOOKUP('Dashboard And Emails Automate'!$G2077,Database!$H:$N,5,0)),"")</f>
        <v/>
      </c>
      <c r="L2077" s="55" t="str">
        <f>IFERROR(IF($G2077="","",VLOOKUP('Dashboard And Emails Automate'!$G2077,Database!$H:$N,6,0)),"")</f>
        <v/>
      </c>
      <c r="M2077" s="55" t="str">
        <f>IFERROR(IF($G2077="","",VLOOKUP('Dashboard And Emails Automate'!$G2077,Database!$H:$N,7,0)),"")</f>
        <v/>
      </c>
      <c r="N2077" s="55" t="str">
        <f>IFERROR(IF(OR($B2077="",$B2077="(blank)"),"",VLOOKUP($B2077,'Email Marketing Raw Data'!$C:$O,6,0)),"")</f>
        <v/>
      </c>
      <c r="O2077" s="55" t="str">
        <f>IFERROR(IF(OR($B2077="",$B2077="(blank)"),"",VLOOKUP($B2077,'Email Marketing Raw Data'!$C:$O,7,0)),"")</f>
        <v/>
      </c>
      <c r="P2077" s="55" t="str">
        <f>IFERROR(IF(OR($B2077="",$B2077="(blank)"),"",VLOOKUP($B2077,'Email Marketing Raw Data'!$C:$O,8,0)),"")</f>
        <v/>
      </c>
      <c r="Q2077" s="62" t="str">
        <f>IFERROR(IF(OR($B2077="",$B2077="(blank)"),"",VLOOKUP($B2077,'Email Marketing Raw Data'!$C:$O,9,0)),"")</f>
        <v/>
      </c>
    </row>
    <row r="2078" spans="4:17" ht="12.75" customHeight="1" x14ac:dyDescent="0.2">
      <c r="D2078" s="58" t="str">
        <f>IFERROR(IF(F2078&lt;&gt;"pending","",IF(OR($B2078="",$B2078="(blank)"),"",VLOOKUP($B2078,'Email Marketing Raw Data'!$C:$O,10,0))),"")</f>
        <v/>
      </c>
      <c r="E2078" s="59" t="str">
        <f>IFERROR(IF(F2078&lt;&gt;"pending","",IF(OR($B2078="",$B2078="(blank)"),"",VLOOKUP($B2078,'Email Marketing Raw Data'!$C:$O,11,0))),"")</f>
        <v/>
      </c>
      <c r="F2078" s="54" t="str">
        <f>IFERROR(IF(OR($B2078="",$B2078="(blank)"),"",VLOOKUP($B2078,'Email Marketing Raw Data'!$C:$O,13,0)),"")</f>
        <v/>
      </c>
      <c r="G2078" s="55" t="str">
        <f>IFERROR(IF(OR($B2078="",$B2078="(blank)"),"",VLOOKUP($B2078,'Email Marketing Raw Data'!$C:$O,4,0)),"")</f>
        <v/>
      </c>
      <c r="H2078" s="55" t="str">
        <f>IFERROR(IF(OR($B2078="",$B2078="(blank)"),"",VLOOKUP($B2078,'Email Marketing Raw Data'!$C:$O,5,0)),"")</f>
        <v/>
      </c>
      <c r="I2078" s="55" t="str">
        <f>IFERROR(IF($G2078="","",VLOOKUP('Dashboard And Emails Automate'!$G2078,Database!$H:$N,3,0)),"")</f>
        <v/>
      </c>
      <c r="J2078" s="55" t="str">
        <f>IFERROR(IF($G2078="","",VLOOKUP('Dashboard And Emails Automate'!$G2078,Database!$H:$N,4,0)),"")</f>
        <v/>
      </c>
      <c r="K2078" s="55" t="str">
        <f>IFERROR(IF($G2078="","",VLOOKUP('Dashboard And Emails Automate'!$G2078,Database!$H:$N,5,0)),"")</f>
        <v/>
      </c>
      <c r="L2078" s="55" t="str">
        <f>IFERROR(IF($G2078="","",VLOOKUP('Dashboard And Emails Automate'!$G2078,Database!$H:$N,6,0)),"")</f>
        <v/>
      </c>
      <c r="M2078" s="55" t="str">
        <f>IFERROR(IF($G2078="","",VLOOKUP('Dashboard And Emails Automate'!$G2078,Database!$H:$N,7,0)),"")</f>
        <v/>
      </c>
      <c r="N2078" s="55" t="str">
        <f>IFERROR(IF(OR($B2078="",$B2078="(blank)"),"",VLOOKUP($B2078,'Email Marketing Raw Data'!$C:$O,6,0)),"")</f>
        <v/>
      </c>
      <c r="O2078" s="55" t="str">
        <f>IFERROR(IF(OR($B2078="",$B2078="(blank)"),"",VLOOKUP($B2078,'Email Marketing Raw Data'!$C:$O,7,0)),"")</f>
        <v/>
      </c>
      <c r="P2078" s="55" t="str">
        <f>IFERROR(IF(OR($B2078="",$B2078="(blank)"),"",VLOOKUP($B2078,'Email Marketing Raw Data'!$C:$O,8,0)),"")</f>
        <v/>
      </c>
      <c r="Q2078" s="62" t="str">
        <f>IFERROR(IF(OR($B2078="",$B2078="(blank)"),"",VLOOKUP($B2078,'Email Marketing Raw Data'!$C:$O,9,0)),"")</f>
        <v/>
      </c>
    </row>
    <row r="2079" spans="4:17" ht="12.75" customHeight="1" x14ac:dyDescent="0.2">
      <c r="D2079" s="58" t="str">
        <f>IFERROR(IF(F2079&lt;&gt;"pending","",IF(OR($B2079="",$B2079="(blank)"),"",VLOOKUP($B2079,'Email Marketing Raw Data'!$C:$O,10,0))),"")</f>
        <v/>
      </c>
      <c r="E2079" s="59" t="str">
        <f>IFERROR(IF(F2079&lt;&gt;"pending","",IF(OR($B2079="",$B2079="(blank)"),"",VLOOKUP($B2079,'Email Marketing Raw Data'!$C:$O,11,0))),"")</f>
        <v/>
      </c>
      <c r="F2079" s="54" t="str">
        <f>IFERROR(IF(OR($B2079="",$B2079="(blank)"),"",VLOOKUP($B2079,'Email Marketing Raw Data'!$C:$O,13,0)),"")</f>
        <v/>
      </c>
      <c r="G2079" s="55" t="str">
        <f>IFERROR(IF(OR($B2079="",$B2079="(blank)"),"",VLOOKUP($B2079,'Email Marketing Raw Data'!$C:$O,4,0)),"")</f>
        <v/>
      </c>
      <c r="H2079" s="55" t="str">
        <f>IFERROR(IF(OR($B2079="",$B2079="(blank)"),"",VLOOKUP($B2079,'Email Marketing Raw Data'!$C:$O,5,0)),"")</f>
        <v/>
      </c>
      <c r="I2079" s="55" t="str">
        <f>IFERROR(IF($G2079="","",VLOOKUP('Dashboard And Emails Automate'!$G2079,Database!$H:$N,3,0)),"")</f>
        <v/>
      </c>
      <c r="J2079" s="55" t="str">
        <f>IFERROR(IF($G2079="","",VLOOKUP('Dashboard And Emails Automate'!$G2079,Database!$H:$N,4,0)),"")</f>
        <v/>
      </c>
      <c r="K2079" s="55" t="str">
        <f>IFERROR(IF($G2079="","",VLOOKUP('Dashboard And Emails Automate'!$G2079,Database!$H:$N,5,0)),"")</f>
        <v/>
      </c>
      <c r="L2079" s="55" t="str">
        <f>IFERROR(IF($G2079="","",VLOOKUP('Dashboard And Emails Automate'!$G2079,Database!$H:$N,6,0)),"")</f>
        <v/>
      </c>
      <c r="M2079" s="55" t="str">
        <f>IFERROR(IF($G2079="","",VLOOKUP('Dashboard And Emails Automate'!$G2079,Database!$H:$N,7,0)),"")</f>
        <v/>
      </c>
      <c r="N2079" s="55" t="str">
        <f>IFERROR(IF(OR($B2079="",$B2079="(blank)"),"",VLOOKUP($B2079,'Email Marketing Raw Data'!$C:$O,6,0)),"")</f>
        <v/>
      </c>
      <c r="O2079" s="55" t="str">
        <f>IFERROR(IF(OR($B2079="",$B2079="(blank)"),"",VLOOKUP($B2079,'Email Marketing Raw Data'!$C:$O,7,0)),"")</f>
        <v/>
      </c>
      <c r="P2079" s="55" t="str">
        <f>IFERROR(IF(OR($B2079="",$B2079="(blank)"),"",VLOOKUP($B2079,'Email Marketing Raw Data'!$C:$O,8,0)),"")</f>
        <v/>
      </c>
      <c r="Q2079" s="62" t="str">
        <f>IFERROR(IF(OR($B2079="",$B2079="(blank)"),"",VLOOKUP($B2079,'Email Marketing Raw Data'!$C:$O,9,0)),"")</f>
        <v/>
      </c>
    </row>
    <row r="2080" spans="4:17" ht="12.75" customHeight="1" x14ac:dyDescent="0.2">
      <c r="D2080" s="58" t="str">
        <f>IFERROR(IF(F2080&lt;&gt;"pending","",IF(OR($B2080="",$B2080="(blank)"),"",VLOOKUP($B2080,'Email Marketing Raw Data'!$C:$O,10,0))),"")</f>
        <v/>
      </c>
      <c r="E2080" s="59" t="str">
        <f>IFERROR(IF(F2080&lt;&gt;"pending","",IF(OR($B2080="",$B2080="(blank)"),"",VLOOKUP($B2080,'Email Marketing Raw Data'!$C:$O,11,0))),"")</f>
        <v/>
      </c>
      <c r="F2080" s="54" t="str">
        <f>IFERROR(IF(OR($B2080="",$B2080="(blank)"),"",VLOOKUP($B2080,'Email Marketing Raw Data'!$C:$O,13,0)),"")</f>
        <v/>
      </c>
      <c r="G2080" s="55" t="str">
        <f>IFERROR(IF(OR($B2080="",$B2080="(blank)"),"",VLOOKUP($B2080,'Email Marketing Raw Data'!$C:$O,4,0)),"")</f>
        <v/>
      </c>
      <c r="H2080" s="55" t="str">
        <f>IFERROR(IF(OR($B2080="",$B2080="(blank)"),"",VLOOKUP($B2080,'Email Marketing Raw Data'!$C:$O,5,0)),"")</f>
        <v/>
      </c>
      <c r="I2080" s="55" t="str">
        <f>IFERROR(IF($G2080="","",VLOOKUP('Dashboard And Emails Automate'!$G2080,Database!$H:$N,3,0)),"")</f>
        <v/>
      </c>
      <c r="J2080" s="55" t="str">
        <f>IFERROR(IF($G2080="","",VLOOKUP('Dashboard And Emails Automate'!$G2080,Database!$H:$N,4,0)),"")</f>
        <v/>
      </c>
      <c r="K2080" s="55" t="str">
        <f>IFERROR(IF($G2080="","",VLOOKUP('Dashboard And Emails Automate'!$G2080,Database!$H:$N,5,0)),"")</f>
        <v/>
      </c>
      <c r="L2080" s="55" t="str">
        <f>IFERROR(IF($G2080="","",VLOOKUP('Dashboard And Emails Automate'!$G2080,Database!$H:$N,6,0)),"")</f>
        <v/>
      </c>
      <c r="M2080" s="55" t="str">
        <f>IFERROR(IF($G2080="","",VLOOKUP('Dashboard And Emails Automate'!$G2080,Database!$H:$N,7,0)),"")</f>
        <v/>
      </c>
      <c r="N2080" s="55" t="str">
        <f>IFERROR(IF(OR($B2080="",$B2080="(blank)"),"",VLOOKUP($B2080,'Email Marketing Raw Data'!$C:$O,6,0)),"")</f>
        <v/>
      </c>
      <c r="O2080" s="55" t="str">
        <f>IFERROR(IF(OR($B2080="",$B2080="(blank)"),"",VLOOKUP($B2080,'Email Marketing Raw Data'!$C:$O,7,0)),"")</f>
        <v/>
      </c>
      <c r="P2080" s="55" t="str">
        <f>IFERROR(IF(OR($B2080="",$B2080="(blank)"),"",VLOOKUP($B2080,'Email Marketing Raw Data'!$C:$O,8,0)),"")</f>
        <v/>
      </c>
      <c r="Q2080" s="62" t="str">
        <f>IFERROR(IF(OR($B2080="",$B2080="(blank)"),"",VLOOKUP($B2080,'Email Marketing Raw Data'!$C:$O,9,0)),"")</f>
        <v/>
      </c>
    </row>
    <row r="2081" spans="4:17" ht="12.75" customHeight="1" x14ac:dyDescent="0.2">
      <c r="D2081" s="58" t="str">
        <f>IFERROR(IF(F2081&lt;&gt;"pending","",IF(OR($B2081="",$B2081="(blank)"),"",VLOOKUP($B2081,'Email Marketing Raw Data'!$C:$O,10,0))),"")</f>
        <v/>
      </c>
      <c r="E2081" s="59" t="str">
        <f>IFERROR(IF(F2081&lt;&gt;"pending","",IF(OR($B2081="",$B2081="(blank)"),"",VLOOKUP($B2081,'Email Marketing Raw Data'!$C:$O,11,0))),"")</f>
        <v/>
      </c>
      <c r="F2081" s="54" t="str">
        <f>IFERROR(IF(OR($B2081="",$B2081="(blank)"),"",VLOOKUP($B2081,'Email Marketing Raw Data'!$C:$O,13,0)),"")</f>
        <v/>
      </c>
      <c r="G2081" s="55" t="str">
        <f>IFERROR(IF(OR($B2081="",$B2081="(blank)"),"",VLOOKUP($B2081,'Email Marketing Raw Data'!$C:$O,4,0)),"")</f>
        <v/>
      </c>
      <c r="H2081" s="55" t="str">
        <f>IFERROR(IF(OR($B2081="",$B2081="(blank)"),"",VLOOKUP($B2081,'Email Marketing Raw Data'!$C:$O,5,0)),"")</f>
        <v/>
      </c>
      <c r="I2081" s="55" t="str">
        <f>IFERROR(IF($G2081="","",VLOOKUP('Dashboard And Emails Automate'!$G2081,Database!$H:$N,3,0)),"")</f>
        <v/>
      </c>
      <c r="J2081" s="55" t="str">
        <f>IFERROR(IF($G2081="","",VLOOKUP('Dashboard And Emails Automate'!$G2081,Database!$H:$N,4,0)),"")</f>
        <v/>
      </c>
      <c r="K2081" s="55" t="str">
        <f>IFERROR(IF($G2081="","",VLOOKUP('Dashboard And Emails Automate'!$G2081,Database!$H:$N,5,0)),"")</f>
        <v/>
      </c>
      <c r="L2081" s="55" t="str">
        <f>IFERROR(IF($G2081="","",VLOOKUP('Dashboard And Emails Automate'!$G2081,Database!$H:$N,6,0)),"")</f>
        <v/>
      </c>
      <c r="M2081" s="55" t="str">
        <f>IFERROR(IF($G2081="","",VLOOKUP('Dashboard And Emails Automate'!$G2081,Database!$H:$N,7,0)),"")</f>
        <v/>
      </c>
      <c r="N2081" s="55" t="str">
        <f>IFERROR(IF(OR($B2081="",$B2081="(blank)"),"",VLOOKUP($B2081,'Email Marketing Raw Data'!$C:$O,6,0)),"")</f>
        <v/>
      </c>
      <c r="O2081" s="55" t="str">
        <f>IFERROR(IF(OR($B2081="",$B2081="(blank)"),"",VLOOKUP($B2081,'Email Marketing Raw Data'!$C:$O,7,0)),"")</f>
        <v/>
      </c>
      <c r="P2081" s="55" t="str">
        <f>IFERROR(IF(OR($B2081="",$B2081="(blank)"),"",VLOOKUP($B2081,'Email Marketing Raw Data'!$C:$O,8,0)),"")</f>
        <v/>
      </c>
      <c r="Q2081" s="62" t="str">
        <f>IFERROR(IF(OR($B2081="",$B2081="(blank)"),"",VLOOKUP($B2081,'Email Marketing Raw Data'!$C:$O,9,0)),"")</f>
        <v/>
      </c>
    </row>
    <row r="2082" spans="4:17" ht="12.75" customHeight="1" x14ac:dyDescent="0.2">
      <c r="D2082" s="58" t="str">
        <f>IFERROR(IF(F2082&lt;&gt;"pending","",IF(OR($B2082="",$B2082="(blank)"),"",VLOOKUP($B2082,'Email Marketing Raw Data'!$C:$O,10,0))),"")</f>
        <v/>
      </c>
      <c r="E2082" s="59" t="str">
        <f>IFERROR(IF(F2082&lt;&gt;"pending","",IF(OR($B2082="",$B2082="(blank)"),"",VLOOKUP($B2082,'Email Marketing Raw Data'!$C:$O,11,0))),"")</f>
        <v/>
      </c>
      <c r="F2082" s="54" t="str">
        <f>IFERROR(IF(OR($B2082="",$B2082="(blank)"),"",VLOOKUP($B2082,'Email Marketing Raw Data'!$C:$O,13,0)),"")</f>
        <v/>
      </c>
      <c r="G2082" s="55" t="str">
        <f>IFERROR(IF(OR($B2082="",$B2082="(blank)"),"",VLOOKUP($B2082,'Email Marketing Raw Data'!$C:$O,4,0)),"")</f>
        <v/>
      </c>
      <c r="H2082" s="55" t="str">
        <f>IFERROR(IF(OR($B2082="",$B2082="(blank)"),"",VLOOKUP($B2082,'Email Marketing Raw Data'!$C:$O,5,0)),"")</f>
        <v/>
      </c>
      <c r="I2082" s="55" t="str">
        <f>IFERROR(IF($G2082="","",VLOOKUP('Dashboard And Emails Automate'!$G2082,Database!$H:$N,3,0)),"")</f>
        <v/>
      </c>
      <c r="J2082" s="55" t="str">
        <f>IFERROR(IF($G2082="","",VLOOKUP('Dashboard And Emails Automate'!$G2082,Database!$H:$N,4,0)),"")</f>
        <v/>
      </c>
      <c r="K2082" s="55" t="str">
        <f>IFERROR(IF($G2082="","",VLOOKUP('Dashboard And Emails Automate'!$G2082,Database!$H:$N,5,0)),"")</f>
        <v/>
      </c>
      <c r="L2082" s="55" t="str">
        <f>IFERROR(IF($G2082="","",VLOOKUP('Dashboard And Emails Automate'!$G2082,Database!$H:$N,6,0)),"")</f>
        <v/>
      </c>
      <c r="M2082" s="55" t="str">
        <f>IFERROR(IF($G2082="","",VLOOKUP('Dashboard And Emails Automate'!$G2082,Database!$H:$N,7,0)),"")</f>
        <v/>
      </c>
      <c r="N2082" s="55" t="str">
        <f>IFERROR(IF(OR($B2082="",$B2082="(blank)"),"",VLOOKUP($B2082,'Email Marketing Raw Data'!$C:$O,6,0)),"")</f>
        <v/>
      </c>
      <c r="O2082" s="55" t="str">
        <f>IFERROR(IF(OR($B2082="",$B2082="(blank)"),"",VLOOKUP($B2082,'Email Marketing Raw Data'!$C:$O,7,0)),"")</f>
        <v/>
      </c>
      <c r="P2082" s="55" t="str">
        <f>IFERROR(IF(OR($B2082="",$B2082="(blank)"),"",VLOOKUP($B2082,'Email Marketing Raw Data'!$C:$O,8,0)),"")</f>
        <v/>
      </c>
      <c r="Q2082" s="62" t="str">
        <f>IFERROR(IF(OR($B2082="",$B2082="(blank)"),"",VLOOKUP($B2082,'Email Marketing Raw Data'!$C:$O,9,0)),"")</f>
        <v/>
      </c>
    </row>
    <row r="2083" spans="4:17" ht="12.75" customHeight="1" x14ac:dyDescent="0.2">
      <c r="D2083" s="58" t="str">
        <f>IFERROR(IF(F2083&lt;&gt;"pending","",IF(OR($B2083="",$B2083="(blank)"),"",VLOOKUP($B2083,'Email Marketing Raw Data'!$C:$O,10,0))),"")</f>
        <v/>
      </c>
      <c r="E2083" s="59" t="str">
        <f>IFERROR(IF(F2083&lt;&gt;"pending","",IF(OR($B2083="",$B2083="(blank)"),"",VLOOKUP($B2083,'Email Marketing Raw Data'!$C:$O,11,0))),"")</f>
        <v/>
      </c>
      <c r="F2083" s="54" t="str">
        <f>IFERROR(IF(OR($B2083="",$B2083="(blank)"),"",VLOOKUP($B2083,'Email Marketing Raw Data'!$C:$O,13,0)),"")</f>
        <v/>
      </c>
      <c r="G2083" s="55" t="str">
        <f>IFERROR(IF(OR($B2083="",$B2083="(blank)"),"",VLOOKUP($B2083,'Email Marketing Raw Data'!$C:$O,4,0)),"")</f>
        <v/>
      </c>
      <c r="H2083" s="55" t="str">
        <f>IFERROR(IF(OR($B2083="",$B2083="(blank)"),"",VLOOKUP($B2083,'Email Marketing Raw Data'!$C:$O,5,0)),"")</f>
        <v/>
      </c>
      <c r="I2083" s="55" t="str">
        <f>IFERROR(IF($G2083="","",VLOOKUP('Dashboard And Emails Automate'!$G2083,Database!$H:$N,3,0)),"")</f>
        <v/>
      </c>
      <c r="J2083" s="55" t="str">
        <f>IFERROR(IF($G2083="","",VLOOKUP('Dashboard And Emails Automate'!$G2083,Database!$H:$N,4,0)),"")</f>
        <v/>
      </c>
      <c r="K2083" s="55" t="str">
        <f>IFERROR(IF($G2083="","",VLOOKUP('Dashboard And Emails Automate'!$G2083,Database!$H:$N,5,0)),"")</f>
        <v/>
      </c>
      <c r="L2083" s="55" t="str">
        <f>IFERROR(IF($G2083="","",VLOOKUP('Dashboard And Emails Automate'!$G2083,Database!$H:$N,6,0)),"")</f>
        <v/>
      </c>
      <c r="M2083" s="55" t="str">
        <f>IFERROR(IF($G2083="","",VLOOKUP('Dashboard And Emails Automate'!$G2083,Database!$H:$N,7,0)),"")</f>
        <v/>
      </c>
      <c r="N2083" s="55" t="str">
        <f>IFERROR(IF(OR($B2083="",$B2083="(blank)"),"",VLOOKUP($B2083,'Email Marketing Raw Data'!$C:$O,6,0)),"")</f>
        <v/>
      </c>
      <c r="O2083" s="55" t="str">
        <f>IFERROR(IF(OR($B2083="",$B2083="(blank)"),"",VLOOKUP($B2083,'Email Marketing Raw Data'!$C:$O,7,0)),"")</f>
        <v/>
      </c>
      <c r="P2083" s="55" t="str">
        <f>IFERROR(IF(OR($B2083="",$B2083="(blank)"),"",VLOOKUP($B2083,'Email Marketing Raw Data'!$C:$O,8,0)),"")</f>
        <v/>
      </c>
      <c r="Q2083" s="62" t="str">
        <f>IFERROR(IF(OR($B2083="",$B2083="(blank)"),"",VLOOKUP($B2083,'Email Marketing Raw Data'!$C:$O,9,0)),"")</f>
        <v/>
      </c>
    </row>
    <row r="2084" spans="4:17" ht="12.75" customHeight="1" x14ac:dyDescent="0.2">
      <c r="D2084" s="58" t="str">
        <f>IFERROR(IF(F2084&lt;&gt;"pending","",IF(OR($B2084="",$B2084="(blank)"),"",VLOOKUP($B2084,'Email Marketing Raw Data'!$C:$O,10,0))),"")</f>
        <v/>
      </c>
      <c r="E2084" s="59" t="str">
        <f>IFERROR(IF(F2084&lt;&gt;"pending","",IF(OR($B2084="",$B2084="(blank)"),"",VLOOKUP($B2084,'Email Marketing Raw Data'!$C:$O,11,0))),"")</f>
        <v/>
      </c>
      <c r="F2084" s="54" t="str">
        <f>IFERROR(IF(OR($B2084="",$B2084="(blank)"),"",VLOOKUP($B2084,'Email Marketing Raw Data'!$C:$O,13,0)),"")</f>
        <v/>
      </c>
      <c r="G2084" s="55" t="str">
        <f>IFERROR(IF(OR($B2084="",$B2084="(blank)"),"",VLOOKUP($B2084,'Email Marketing Raw Data'!$C:$O,4,0)),"")</f>
        <v/>
      </c>
      <c r="H2084" s="55" t="str">
        <f>IFERROR(IF(OR($B2084="",$B2084="(blank)"),"",VLOOKUP($B2084,'Email Marketing Raw Data'!$C:$O,5,0)),"")</f>
        <v/>
      </c>
      <c r="I2084" s="55" t="str">
        <f>IFERROR(IF($G2084="","",VLOOKUP('Dashboard And Emails Automate'!$G2084,Database!$H:$N,3,0)),"")</f>
        <v/>
      </c>
      <c r="J2084" s="55" t="str">
        <f>IFERROR(IF($G2084="","",VLOOKUP('Dashboard And Emails Automate'!$G2084,Database!$H:$N,4,0)),"")</f>
        <v/>
      </c>
      <c r="K2084" s="55" t="str">
        <f>IFERROR(IF($G2084="","",VLOOKUP('Dashboard And Emails Automate'!$G2084,Database!$H:$N,5,0)),"")</f>
        <v/>
      </c>
      <c r="L2084" s="55" t="str">
        <f>IFERROR(IF($G2084="","",VLOOKUP('Dashboard And Emails Automate'!$G2084,Database!$H:$N,6,0)),"")</f>
        <v/>
      </c>
      <c r="M2084" s="55" t="str">
        <f>IFERROR(IF($G2084="","",VLOOKUP('Dashboard And Emails Automate'!$G2084,Database!$H:$N,7,0)),"")</f>
        <v/>
      </c>
      <c r="N2084" s="55" t="str">
        <f>IFERROR(IF(OR($B2084="",$B2084="(blank)"),"",VLOOKUP($B2084,'Email Marketing Raw Data'!$C:$O,6,0)),"")</f>
        <v/>
      </c>
      <c r="O2084" s="55" t="str">
        <f>IFERROR(IF(OR($B2084="",$B2084="(blank)"),"",VLOOKUP($B2084,'Email Marketing Raw Data'!$C:$O,7,0)),"")</f>
        <v/>
      </c>
      <c r="P2084" s="55" t="str">
        <f>IFERROR(IF(OR($B2084="",$B2084="(blank)"),"",VLOOKUP($B2084,'Email Marketing Raw Data'!$C:$O,8,0)),"")</f>
        <v/>
      </c>
      <c r="Q2084" s="62" t="str">
        <f>IFERROR(IF(OR($B2084="",$B2084="(blank)"),"",VLOOKUP($B2084,'Email Marketing Raw Data'!$C:$O,9,0)),"")</f>
        <v/>
      </c>
    </row>
    <row r="2085" spans="4:17" ht="12.75" customHeight="1" x14ac:dyDescent="0.2">
      <c r="D2085" s="58" t="str">
        <f>IFERROR(IF(F2085&lt;&gt;"pending","",IF(OR($B2085="",$B2085="(blank)"),"",VLOOKUP($B2085,'Email Marketing Raw Data'!$C:$O,10,0))),"")</f>
        <v/>
      </c>
      <c r="E2085" s="59" t="str">
        <f>IFERROR(IF(F2085&lt;&gt;"pending","",IF(OR($B2085="",$B2085="(blank)"),"",VLOOKUP($B2085,'Email Marketing Raw Data'!$C:$O,11,0))),"")</f>
        <v/>
      </c>
      <c r="F2085" s="54" t="str">
        <f>IFERROR(IF(OR($B2085="",$B2085="(blank)"),"",VLOOKUP($B2085,'Email Marketing Raw Data'!$C:$O,13,0)),"")</f>
        <v/>
      </c>
      <c r="G2085" s="55" t="str">
        <f>IFERROR(IF(OR($B2085="",$B2085="(blank)"),"",VLOOKUP($B2085,'Email Marketing Raw Data'!$C:$O,4,0)),"")</f>
        <v/>
      </c>
      <c r="H2085" s="55" t="str">
        <f>IFERROR(IF(OR($B2085="",$B2085="(blank)"),"",VLOOKUP($B2085,'Email Marketing Raw Data'!$C:$O,5,0)),"")</f>
        <v/>
      </c>
      <c r="I2085" s="55" t="str">
        <f>IFERROR(IF($G2085="","",VLOOKUP('Dashboard And Emails Automate'!$G2085,Database!$H:$N,3,0)),"")</f>
        <v/>
      </c>
      <c r="J2085" s="55" t="str">
        <f>IFERROR(IF($G2085="","",VLOOKUP('Dashboard And Emails Automate'!$G2085,Database!$H:$N,4,0)),"")</f>
        <v/>
      </c>
      <c r="K2085" s="55" t="str">
        <f>IFERROR(IF($G2085="","",VLOOKUP('Dashboard And Emails Automate'!$G2085,Database!$H:$N,5,0)),"")</f>
        <v/>
      </c>
      <c r="L2085" s="55" t="str">
        <f>IFERROR(IF($G2085="","",VLOOKUP('Dashboard And Emails Automate'!$G2085,Database!$H:$N,6,0)),"")</f>
        <v/>
      </c>
      <c r="M2085" s="55" t="str">
        <f>IFERROR(IF($G2085="","",VLOOKUP('Dashboard And Emails Automate'!$G2085,Database!$H:$N,7,0)),"")</f>
        <v/>
      </c>
      <c r="N2085" s="55" t="str">
        <f>IFERROR(IF(OR($B2085="",$B2085="(blank)"),"",VLOOKUP($B2085,'Email Marketing Raw Data'!$C:$O,6,0)),"")</f>
        <v/>
      </c>
      <c r="O2085" s="55" t="str">
        <f>IFERROR(IF(OR($B2085="",$B2085="(blank)"),"",VLOOKUP($B2085,'Email Marketing Raw Data'!$C:$O,7,0)),"")</f>
        <v/>
      </c>
      <c r="P2085" s="55" t="str">
        <f>IFERROR(IF(OR($B2085="",$B2085="(blank)"),"",VLOOKUP($B2085,'Email Marketing Raw Data'!$C:$O,8,0)),"")</f>
        <v/>
      </c>
      <c r="Q2085" s="62" t="str">
        <f>IFERROR(IF(OR($B2085="",$B2085="(blank)"),"",VLOOKUP($B2085,'Email Marketing Raw Data'!$C:$O,9,0)),"")</f>
        <v/>
      </c>
    </row>
    <row r="2086" spans="4:17" ht="12.75" customHeight="1" x14ac:dyDescent="0.2">
      <c r="D2086" s="58" t="str">
        <f>IFERROR(IF(F2086&lt;&gt;"pending","",IF(OR($B2086="",$B2086="(blank)"),"",VLOOKUP($B2086,'Email Marketing Raw Data'!$C:$O,10,0))),"")</f>
        <v/>
      </c>
      <c r="E2086" s="59" t="str">
        <f>IFERROR(IF(F2086&lt;&gt;"pending","",IF(OR($B2086="",$B2086="(blank)"),"",VLOOKUP($B2086,'Email Marketing Raw Data'!$C:$O,11,0))),"")</f>
        <v/>
      </c>
      <c r="F2086" s="54" t="str">
        <f>IFERROR(IF(OR($B2086="",$B2086="(blank)"),"",VLOOKUP($B2086,'Email Marketing Raw Data'!$C:$O,13,0)),"")</f>
        <v/>
      </c>
      <c r="G2086" s="55" t="str">
        <f>IFERROR(IF(OR($B2086="",$B2086="(blank)"),"",VLOOKUP($B2086,'Email Marketing Raw Data'!$C:$O,4,0)),"")</f>
        <v/>
      </c>
      <c r="H2086" s="55" t="str">
        <f>IFERROR(IF(OR($B2086="",$B2086="(blank)"),"",VLOOKUP($B2086,'Email Marketing Raw Data'!$C:$O,5,0)),"")</f>
        <v/>
      </c>
      <c r="I2086" s="55" t="str">
        <f>IFERROR(IF($G2086="","",VLOOKUP('Dashboard And Emails Automate'!$G2086,Database!$H:$N,3,0)),"")</f>
        <v/>
      </c>
      <c r="J2086" s="55" t="str">
        <f>IFERROR(IF($G2086="","",VLOOKUP('Dashboard And Emails Automate'!$G2086,Database!$H:$N,4,0)),"")</f>
        <v/>
      </c>
      <c r="K2086" s="55" t="str">
        <f>IFERROR(IF($G2086="","",VLOOKUP('Dashboard And Emails Automate'!$G2086,Database!$H:$N,5,0)),"")</f>
        <v/>
      </c>
      <c r="L2086" s="55" t="str">
        <f>IFERROR(IF($G2086="","",VLOOKUP('Dashboard And Emails Automate'!$G2086,Database!$H:$N,6,0)),"")</f>
        <v/>
      </c>
      <c r="M2086" s="55" t="str">
        <f>IFERROR(IF($G2086="","",VLOOKUP('Dashboard And Emails Automate'!$G2086,Database!$H:$N,7,0)),"")</f>
        <v/>
      </c>
      <c r="N2086" s="55" t="str">
        <f>IFERROR(IF(OR($B2086="",$B2086="(blank)"),"",VLOOKUP($B2086,'Email Marketing Raw Data'!$C:$O,6,0)),"")</f>
        <v/>
      </c>
      <c r="O2086" s="55" t="str">
        <f>IFERROR(IF(OR($B2086="",$B2086="(blank)"),"",VLOOKUP($B2086,'Email Marketing Raw Data'!$C:$O,7,0)),"")</f>
        <v/>
      </c>
      <c r="P2086" s="55" t="str">
        <f>IFERROR(IF(OR($B2086="",$B2086="(blank)"),"",VLOOKUP($B2086,'Email Marketing Raw Data'!$C:$O,8,0)),"")</f>
        <v/>
      </c>
      <c r="Q2086" s="62" t="str">
        <f>IFERROR(IF(OR($B2086="",$B2086="(blank)"),"",VLOOKUP($B2086,'Email Marketing Raw Data'!$C:$O,9,0)),"")</f>
        <v/>
      </c>
    </row>
    <row r="2087" spans="4:17" ht="12.75" customHeight="1" x14ac:dyDescent="0.2">
      <c r="D2087" s="58" t="str">
        <f>IFERROR(IF(F2087&lt;&gt;"pending","",IF(OR($B2087="",$B2087="(blank)"),"",VLOOKUP($B2087,'Email Marketing Raw Data'!$C:$O,10,0))),"")</f>
        <v/>
      </c>
      <c r="E2087" s="59" t="str">
        <f>IFERROR(IF(F2087&lt;&gt;"pending","",IF(OR($B2087="",$B2087="(blank)"),"",VLOOKUP($B2087,'Email Marketing Raw Data'!$C:$O,11,0))),"")</f>
        <v/>
      </c>
      <c r="F2087" s="54" t="str">
        <f>IFERROR(IF(OR($B2087="",$B2087="(blank)"),"",VLOOKUP($B2087,'Email Marketing Raw Data'!$C:$O,13,0)),"")</f>
        <v/>
      </c>
      <c r="G2087" s="55" t="str">
        <f>IFERROR(IF(OR($B2087="",$B2087="(blank)"),"",VLOOKUP($B2087,'Email Marketing Raw Data'!$C:$O,4,0)),"")</f>
        <v/>
      </c>
      <c r="H2087" s="55" t="str">
        <f>IFERROR(IF(OR($B2087="",$B2087="(blank)"),"",VLOOKUP($B2087,'Email Marketing Raw Data'!$C:$O,5,0)),"")</f>
        <v/>
      </c>
      <c r="I2087" s="55" t="str">
        <f>IFERROR(IF($G2087="","",VLOOKUP('Dashboard And Emails Automate'!$G2087,Database!$H:$N,3,0)),"")</f>
        <v/>
      </c>
      <c r="J2087" s="55" t="str">
        <f>IFERROR(IF($G2087="","",VLOOKUP('Dashboard And Emails Automate'!$G2087,Database!$H:$N,4,0)),"")</f>
        <v/>
      </c>
      <c r="K2087" s="55" t="str">
        <f>IFERROR(IF($G2087="","",VLOOKUP('Dashboard And Emails Automate'!$G2087,Database!$H:$N,5,0)),"")</f>
        <v/>
      </c>
      <c r="L2087" s="55" t="str">
        <f>IFERROR(IF($G2087="","",VLOOKUP('Dashboard And Emails Automate'!$G2087,Database!$H:$N,6,0)),"")</f>
        <v/>
      </c>
      <c r="M2087" s="55" t="str">
        <f>IFERROR(IF($G2087="","",VLOOKUP('Dashboard And Emails Automate'!$G2087,Database!$H:$N,7,0)),"")</f>
        <v/>
      </c>
      <c r="N2087" s="55" t="str">
        <f>IFERROR(IF(OR($B2087="",$B2087="(blank)"),"",VLOOKUP($B2087,'Email Marketing Raw Data'!$C:$O,6,0)),"")</f>
        <v/>
      </c>
      <c r="O2087" s="55" t="str">
        <f>IFERROR(IF(OR($B2087="",$B2087="(blank)"),"",VLOOKUP($B2087,'Email Marketing Raw Data'!$C:$O,7,0)),"")</f>
        <v/>
      </c>
      <c r="P2087" s="55" t="str">
        <f>IFERROR(IF(OR($B2087="",$B2087="(blank)"),"",VLOOKUP($B2087,'Email Marketing Raw Data'!$C:$O,8,0)),"")</f>
        <v/>
      </c>
      <c r="Q2087" s="62" t="str">
        <f>IFERROR(IF(OR($B2087="",$B2087="(blank)"),"",VLOOKUP($B2087,'Email Marketing Raw Data'!$C:$O,9,0)),"")</f>
        <v/>
      </c>
    </row>
    <row r="2088" spans="4:17" ht="12.75" customHeight="1" x14ac:dyDescent="0.2">
      <c r="D2088" s="58" t="str">
        <f>IFERROR(IF(F2088&lt;&gt;"pending","",IF(OR($B2088="",$B2088="(blank)"),"",VLOOKUP($B2088,'Email Marketing Raw Data'!$C:$O,10,0))),"")</f>
        <v/>
      </c>
      <c r="E2088" s="59" t="str">
        <f>IFERROR(IF(F2088&lt;&gt;"pending","",IF(OR($B2088="",$B2088="(blank)"),"",VLOOKUP($B2088,'Email Marketing Raw Data'!$C:$O,11,0))),"")</f>
        <v/>
      </c>
      <c r="F2088" s="54" t="str">
        <f>IFERROR(IF(OR($B2088="",$B2088="(blank)"),"",VLOOKUP($B2088,'Email Marketing Raw Data'!$C:$O,13,0)),"")</f>
        <v/>
      </c>
      <c r="G2088" s="55" t="str">
        <f>IFERROR(IF(OR($B2088="",$B2088="(blank)"),"",VLOOKUP($B2088,'Email Marketing Raw Data'!$C:$O,4,0)),"")</f>
        <v/>
      </c>
      <c r="H2088" s="55" t="str">
        <f>IFERROR(IF(OR($B2088="",$B2088="(blank)"),"",VLOOKUP($B2088,'Email Marketing Raw Data'!$C:$O,5,0)),"")</f>
        <v/>
      </c>
      <c r="I2088" s="55" t="str">
        <f>IFERROR(IF($G2088="","",VLOOKUP('Dashboard And Emails Automate'!$G2088,Database!$H:$N,3,0)),"")</f>
        <v/>
      </c>
      <c r="J2088" s="55" t="str">
        <f>IFERROR(IF($G2088="","",VLOOKUP('Dashboard And Emails Automate'!$G2088,Database!$H:$N,4,0)),"")</f>
        <v/>
      </c>
      <c r="K2088" s="55" t="str">
        <f>IFERROR(IF($G2088="","",VLOOKUP('Dashboard And Emails Automate'!$G2088,Database!$H:$N,5,0)),"")</f>
        <v/>
      </c>
      <c r="L2088" s="55" t="str">
        <f>IFERROR(IF($G2088="","",VLOOKUP('Dashboard And Emails Automate'!$G2088,Database!$H:$N,6,0)),"")</f>
        <v/>
      </c>
      <c r="M2088" s="55" t="str">
        <f>IFERROR(IF($G2088="","",VLOOKUP('Dashboard And Emails Automate'!$G2088,Database!$H:$N,7,0)),"")</f>
        <v/>
      </c>
      <c r="N2088" s="55" t="str">
        <f>IFERROR(IF(OR($B2088="",$B2088="(blank)"),"",VLOOKUP($B2088,'Email Marketing Raw Data'!$C:$O,6,0)),"")</f>
        <v/>
      </c>
      <c r="O2088" s="55" t="str">
        <f>IFERROR(IF(OR($B2088="",$B2088="(blank)"),"",VLOOKUP($B2088,'Email Marketing Raw Data'!$C:$O,7,0)),"")</f>
        <v/>
      </c>
      <c r="P2088" s="55" t="str">
        <f>IFERROR(IF(OR($B2088="",$B2088="(blank)"),"",VLOOKUP($B2088,'Email Marketing Raw Data'!$C:$O,8,0)),"")</f>
        <v/>
      </c>
      <c r="Q2088" s="62" t="str">
        <f>IFERROR(IF(OR($B2088="",$B2088="(blank)"),"",VLOOKUP($B2088,'Email Marketing Raw Data'!$C:$O,9,0)),"")</f>
        <v/>
      </c>
    </row>
    <row r="2089" spans="4:17" ht="12.75" customHeight="1" x14ac:dyDescent="0.2">
      <c r="D2089" s="58" t="str">
        <f>IFERROR(IF(F2089&lt;&gt;"pending","",IF(OR($B2089="",$B2089="(blank)"),"",VLOOKUP($B2089,'Email Marketing Raw Data'!$C:$O,10,0))),"")</f>
        <v/>
      </c>
      <c r="E2089" s="59" t="str">
        <f>IFERROR(IF(F2089&lt;&gt;"pending","",IF(OR($B2089="",$B2089="(blank)"),"",VLOOKUP($B2089,'Email Marketing Raw Data'!$C:$O,11,0))),"")</f>
        <v/>
      </c>
      <c r="F2089" s="54" t="str">
        <f>IFERROR(IF(OR($B2089="",$B2089="(blank)"),"",VLOOKUP($B2089,'Email Marketing Raw Data'!$C:$O,13,0)),"")</f>
        <v/>
      </c>
      <c r="G2089" s="55" t="str">
        <f>IFERROR(IF(OR($B2089="",$B2089="(blank)"),"",VLOOKUP($B2089,'Email Marketing Raw Data'!$C:$O,4,0)),"")</f>
        <v/>
      </c>
      <c r="H2089" s="55" t="str">
        <f>IFERROR(IF(OR($B2089="",$B2089="(blank)"),"",VLOOKUP($B2089,'Email Marketing Raw Data'!$C:$O,5,0)),"")</f>
        <v/>
      </c>
      <c r="I2089" s="55" t="str">
        <f>IFERROR(IF($G2089="","",VLOOKUP('Dashboard And Emails Automate'!$G2089,Database!$H:$N,3,0)),"")</f>
        <v/>
      </c>
      <c r="J2089" s="55" t="str">
        <f>IFERROR(IF($G2089="","",VLOOKUP('Dashboard And Emails Automate'!$G2089,Database!$H:$N,4,0)),"")</f>
        <v/>
      </c>
      <c r="K2089" s="55" t="str">
        <f>IFERROR(IF($G2089="","",VLOOKUP('Dashboard And Emails Automate'!$G2089,Database!$H:$N,5,0)),"")</f>
        <v/>
      </c>
      <c r="L2089" s="55" t="str">
        <f>IFERROR(IF($G2089="","",VLOOKUP('Dashboard And Emails Automate'!$G2089,Database!$H:$N,6,0)),"")</f>
        <v/>
      </c>
      <c r="M2089" s="55" t="str">
        <f>IFERROR(IF($G2089="","",VLOOKUP('Dashboard And Emails Automate'!$G2089,Database!$H:$N,7,0)),"")</f>
        <v/>
      </c>
      <c r="N2089" s="55" t="str">
        <f>IFERROR(IF(OR($B2089="",$B2089="(blank)"),"",VLOOKUP($B2089,'Email Marketing Raw Data'!$C:$O,6,0)),"")</f>
        <v/>
      </c>
      <c r="O2089" s="55" t="str">
        <f>IFERROR(IF(OR($B2089="",$B2089="(blank)"),"",VLOOKUP($B2089,'Email Marketing Raw Data'!$C:$O,7,0)),"")</f>
        <v/>
      </c>
      <c r="P2089" s="55" t="str">
        <f>IFERROR(IF(OR($B2089="",$B2089="(blank)"),"",VLOOKUP($B2089,'Email Marketing Raw Data'!$C:$O,8,0)),"")</f>
        <v/>
      </c>
      <c r="Q2089" s="62" t="str">
        <f>IFERROR(IF(OR($B2089="",$B2089="(blank)"),"",VLOOKUP($B2089,'Email Marketing Raw Data'!$C:$O,9,0)),"")</f>
        <v/>
      </c>
    </row>
    <row r="2090" spans="4:17" ht="12.75" customHeight="1" x14ac:dyDescent="0.2">
      <c r="D2090" s="58" t="str">
        <f>IFERROR(IF(F2090&lt;&gt;"pending","",IF(OR($B2090="",$B2090="(blank)"),"",VLOOKUP($B2090,'Email Marketing Raw Data'!$C:$O,10,0))),"")</f>
        <v/>
      </c>
      <c r="E2090" s="59" t="str">
        <f>IFERROR(IF(F2090&lt;&gt;"pending","",IF(OR($B2090="",$B2090="(blank)"),"",VLOOKUP($B2090,'Email Marketing Raw Data'!$C:$O,11,0))),"")</f>
        <v/>
      </c>
      <c r="F2090" s="54" t="str">
        <f>IFERROR(IF(OR($B2090="",$B2090="(blank)"),"",VLOOKUP($B2090,'Email Marketing Raw Data'!$C:$O,13,0)),"")</f>
        <v/>
      </c>
      <c r="G2090" s="55" t="str">
        <f>IFERROR(IF(OR($B2090="",$B2090="(blank)"),"",VLOOKUP($B2090,'Email Marketing Raw Data'!$C:$O,4,0)),"")</f>
        <v/>
      </c>
      <c r="H2090" s="55" t="str">
        <f>IFERROR(IF(OR($B2090="",$B2090="(blank)"),"",VLOOKUP($B2090,'Email Marketing Raw Data'!$C:$O,5,0)),"")</f>
        <v/>
      </c>
      <c r="I2090" s="55" t="str">
        <f>IFERROR(IF($G2090="","",VLOOKUP('Dashboard And Emails Automate'!$G2090,Database!$H:$N,3,0)),"")</f>
        <v/>
      </c>
      <c r="J2090" s="55" t="str">
        <f>IFERROR(IF($G2090="","",VLOOKUP('Dashboard And Emails Automate'!$G2090,Database!$H:$N,4,0)),"")</f>
        <v/>
      </c>
      <c r="K2090" s="55" t="str">
        <f>IFERROR(IF($G2090="","",VLOOKUP('Dashboard And Emails Automate'!$G2090,Database!$H:$N,5,0)),"")</f>
        <v/>
      </c>
      <c r="L2090" s="55" t="str">
        <f>IFERROR(IF($G2090="","",VLOOKUP('Dashboard And Emails Automate'!$G2090,Database!$H:$N,6,0)),"")</f>
        <v/>
      </c>
      <c r="M2090" s="55" t="str">
        <f>IFERROR(IF($G2090="","",VLOOKUP('Dashboard And Emails Automate'!$G2090,Database!$H:$N,7,0)),"")</f>
        <v/>
      </c>
      <c r="N2090" s="55" t="str">
        <f>IFERROR(IF(OR($B2090="",$B2090="(blank)"),"",VLOOKUP($B2090,'Email Marketing Raw Data'!$C:$O,6,0)),"")</f>
        <v/>
      </c>
      <c r="O2090" s="55" t="str">
        <f>IFERROR(IF(OR($B2090="",$B2090="(blank)"),"",VLOOKUP($B2090,'Email Marketing Raw Data'!$C:$O,7,0)),"")</f>
        <v/>
      </c>
      <c r="P2090" s="55" t="str">
        <f>IFERROR(IF(OR($B2090="",$B2090="(blank)"),"",VLOOKUP($B2090,'Email Marketing Raw Data'!$C:$O,8,0)),"")</f>
        <v/>
      </c>
      <c r="Q2090" s="62" t="str">
        <f>IFERROR(IF(OR($B2090="",$B2090="(blank)"),"",VLOOKUP($B2090,'Email Marketing Raw Data'!$C:$O,9,0)),"")</f>
        <v/>
      </c>
    </row>
    <row r="2091" spans="4:17" ht="12.75" customHeight="1" x14ac:dyDescent="0.2">
      <c r="D2091" s="58" t="str">
        <f>IFERROR(IF(F2091&lt;&gt;"pending","",IF(OR($B2091="",$B2091="(blank)"),"",VLOOKUP($B2091,'Email Marketing Raw Data'!$C:$O,10,0))),"")</f>
        <v/>
      </c>
      <c r="E2091" s="59" t="str">
        <f>IFERROR(IF(F2091&lt;&gt;"pending","",IF(OR($B2091="",$B2091="(blank)"),"",VLOOKUP($B2091,'Email Marketing Raw Data'!$C:$O,11,0))),"")</f>
        <v/>
      </c>
      <c r="F2091" s="54" t="str">
        <f>IFERROR(IF(OR($B2091="",$B2091="(blank)"),"",VLOOKUP($B2091,'Email Marketing Raw Data'!$C:$O,13,0)),"")</f>
        <v/>
      </c>
      <c r="G2091" s="55" t="str">
        <f>IFERROR(IF(OR($B2091="",$B2091="(blank)"),"",VLOOKUP($B2091,'Email Marketing Raw Data'!$C:$O,4,0)),"")</f>
        <v/>
      </c>
      <c r="H2091" s="55" t="str">
        <f>IFERROR(IF(OR($B2091="",$B2091="(blank)"),"",VLOOKUP($B2091,'Email Marketing Raw Data'!$C:$O,5,0)),"")</f>
        <v/>
      </c>
      <c r="I2091" s="55" t="str">
        <f>IFERROR(IF($G2091="","",VLOOKUP('Dashboard And Emails Automate'!$G2091,Database!$H:$N,3,0)),"")</f>
        <v/>
      </c>
      <c r="J2091" s="55" t="str">
        <f>IFERROR(IF($G2091="","",VLOOKUP('Dashboard And Emails Automate'!$G2091,Database!$H:$N,4,0)),"")</f>
        <v/>
      </c>
      <c r="K2091" s="55" t="str">
        <f>IFERROR(IF($G2091="","",VLOOKUP('Dashboard And Emails Automate'!$G2091,Database!$H:$N,5,0)),"")</f>
        <v/>
      </c>
      <c r="L2091" s="55" t="str">
        <f>IFERROR(IF($G2091="","",VLOOKUP('Dashboard And Emails Automate'!$G2091,Database!$H:$N,6,0)),"")</f>
        <v/>
      </c>
      <c r="M2091" s="55" t="str">
        <f>IFERROR(IF($G2091="","",VLOOKUP('Dashboard And Emails Automate'!$G2091,Database!$H:$N,7,0)),"")</f>
        <v/>
      </c>
      <c r="N2091" s="55" t="str">
        <f>IFERROR(IF(OR($B2091="",$B2091="(blank)"),"",VLOOKUP($B2091,'Email Marketing Raw Data'!$C:$O,6,0)),"")</f>
        <v/>
      </c>
      <c r="O2091" s="55" t="str">
        <f>IFERROR(IF(OR($B2091="",$B2091="(blank)"),"",VLOOKUP($B2091,'Email Marketing Raw Data'!$C:$O,7,0)),"")</f>
        <v/>
      </c>
      <c r="P2091" s="55" t="str">
        <f>IFERROR(IF(OR($B2091="",$B2091="(blank)"),"",VLOOKUP($B2091,'Email Marketing Raw Data'!$C:$O,8,0)),"")</f>
        <v/>
      </c>
      <c r="Q2091" s="62" t="str">
        <f>IFERROR(IF(OR($B2091="",$B2091="(blank)"),"",VLOOKUP($B2091,'Email Marketing Raw Data'!$C:$O,9,0)),"")</f>
        <v/>
      </c>
    </row>
    <row r="2092" spans="4:17" ht="12.75" customHeight="1" x14ac:dyDescent="0.2">
      <c r="D2092" s="58" t="str">
        <f>IFERROR(IF(F2092&lt;&gt;"pending","",IF(OR($B2092="",$B2092="(blank)"),"",VLOOKUP($B2092,'Email Marketing Raw Data'!$C:$O,10,0))),"")</f>
        <v/>
      </c>
      <c r="E2092" s="59" t="str">
        <f>IFERROR(IF(F2092&lt;&gt;"pending","",IF(OR($B2092="",$B2092="(blank)"),"",VLOOKUP($B2092,'Email Marketing Raw Data'!$C:$O,11,0))),"")</f>
        <v/>
      </c>
      <c r="F2092" s="54" t="str">
        <f>IFERROR(IF(OR($B2092="",$B2092="(blank)"),"",VLOOKUP($B2092,'Email Marketing Raw Data'!$C:$O,13,0)),"")</f>
        <v/>
      </c>
      <c r="G2092" s="55" t="str">
        <f>IFERROR(IF(OR($B2092="",$B2092="(blank)"),"",VLOOKUP($B2092,'Email Marketing Raw Data'!$C:$O,4,0)),"")</f>
        <v/>
      </c>
      <c r="H2092" s="55" t="str">
        <f>IFERROR(IF(OR($B2092="",$B2092="(blank)"),"",VLOOKUP($B2092,'Email Marketing Raw Data'!$C:$O,5,0)),"")</f>
        <v/>
      </c>
      <c r="I2092" s="55" t="str">
        <f>IFERROR(IF($G2092="","",VLOOKUP('Dashboard And Emails Automate'!$G2092,Database!$H:$N,3,0)),"")</f>
        <v/>
      </c>
      <c r="J2092" s="55" t="str">
        <f>IFERROR(IF($G2092="","",VLOOKUP('Dashboard And Emails Automate'!$G2092,Database!$H:$N,4,0)),"")</f>
        <v/>
      </c>
      <c r="K2092" s="55" t="str">
        <f>IFERROR(IF($G2092="","",VLOOKUP('Dashboard And Emails Automate'!$G2092,Database!$H:$N,5,0)),"")</f>
        <v/>
      </c>
      <c r="L2092" s="55" t="str">
        <f>IFERROR(IF($G2092="","",VLOOKUP('Dashboard And Emails Automate'!$G2092,Database!$H:$N,6,0)),"")</f>
        <v/>
      </c>
      <c r="M2092" s="55" t="str">
        <f>IFERROR(IF($G2092="","",VLOOKUP('Dashboard And Emails Automate'!$G2092,Database!$H:$N,7,0)),"")</f>
        <v/>
      </c>
      <c r="N2092" s="55" t="str">
        <f>IFERROR(IF(OR($B2092="",$B2092="(blank)"),"",VLOOKUP($B2092,'Email Marketing Raw Data'!$C:$O,6,0)),"")</f>
        <v/>
      </c>
      <c r="O2092" s="55" t="str">
        <f>IFERROR(IF(OR($B2092="",$B2092="(blank)"),"",VLOOKUP($B2092,'Email Marketing Raw Data'!$C:$O,7,0)),"")</f>
        <v/>
      </c>
      <c r="P2092" s="55" t="str">
        <f>IFERROR(IF(OR($B2092="",$B2092="(blank)"),"",VLOOKUP($B2092,'Email Marketing Raw Data'!$C:$O,8,0)),"")</f>
        <v/>
      </c>
      <c r="Q2092" s="62" t="str">
        <f>IFERROR(IF(OR($B2092="",$B2092="(blank)"),"",VLOOKUP($B2092,'Email Marketing Raw Data'!$C:$O,9,0)),"")</f>
        <v/>
      </c>
    </row>
    <row r="2093" spans="4:17" ht="12.75" customHeight="1" x14ac:dyDescent="0.2">
      <c r="D2093" s="58" t="str">
        <f>IFERROR(IF(F2093&lt;&gt;"pending","",IF(OR($B2093="",$B2093="(blank)"),"",VLOOKUP($B2093,'Email Marketing Raw Data'!$C:$O,10,0))),"")</f>
        <v/>
      </c>
      <c r="E2093" s="59" t="str">
        <f>IFERROR(IF(F2093&lt;&gt;"pending","",IF(OR($B2093="",$B2093="(blank)"),"",VLOOKUP($B2093,'Email Marketing Raw Data'!$C:$O,11,0))),"")</f>
        <v/>
      </c>
      <c r="F2093" s="54" t="str">
        <f>IFERROR(IF(OR($B2093="",$B2093="(blank)"),"",VLOOKUP($B2093,'Email Marketing Raw Data'!$C:$O,13,0)),"")</f>
        <v/>
      </c>
      <c r="G2093" s="55" t="str">
        <f>IFERROR(IF(OR($B2093="",$B2093="(blank)"),"",VLOOKUP($B2093,'Email Marketing Raw Data'!$C:$O,4,0)),"")</f>
        <v/>
      </c>
      <c r="H2093" s="55" t="str">
        <f>IFERROR(IF(OR($B2093="",$B2093="(blank)"),"",VLOOKUP($B2093,'Email Marketing Raw Data'!$C:$O,5,0)),"")</f>
        <v/>
      </c>
      <c r="I2093" s="55" t="str">
        <f>IFERROR(IF($G2093="","",VLOOKUP('Dashboard And Emails Automate'!$G2093,Database!$H:$N,3,0)),"")</f>
        <v/>
      </c>
      <c r="J2093" s="55" t="str">
        <f>IFERROR(IF($G2093="","",VLOOKUP('Dashboard And Emails Automate'!$G2093,Database!$H:$N,4,0)),"")</f>
        <v/>
      </c>
      <c r="K2093" s="55" t="str">
        <f>IFERROR(IF($G2093="","",VLOOKUP('Dashboard And Emails Automate'!$G2093,Database!$H:$N,5,0)),"")</f>
        <v/>
      </c>
      <c r="L2093" s="55" t="str">
        <f>IFERROR(IF($G2093="","",VLOOKUP('Dashboard And Emails Automate'!$G2093,Database!$H:$N,6,0)),"")</f>
        <v/>
      </c>
      <c r="M2093" s="55" t="str">
        <f>IFERROR(IF($G2093="","",VLOOKUP('Dashboard And Emails Automate'!$G2093,Database!$H:$N,7,0)),"")</f>
        <v/>
      </c>
      <c r="N2093" s="55" t="str">
        <f>IFERROR(IF(OR($B2093="",$B2093="(blank)"),"",VLOOKUP($B2093,'Email Marketing Raw Data'!$C:$O,6,0)),"")</f>
        <v/>
      </c>
      <c r="O2093" s="55" t="str">
        <f>IFERROR(IF(OR($B2093="",$B2093="(blank)"),"",VLOOKUP($B2093,'Email Marketing Raw Data'!$C:$O,7,0)),"")</f>
        <v/>
      </c>
      <c r="P2093" s="55" t="str">
        <f>IFERROR(IF(OR($B2093="",$B2093="(blank)"),"",VLOOKUP($B2093,'Email Marketing Raw Data'!$C:$O,8,0)),"")</f>
        <v/>
      </c>
      <c r="Q2093" s="62" t="str">
        <f>IFERROR(IF(OR($B2093="",$B2093="(blank)"),"",VLOOKUP($B2093,'Email Marketing Raw Data'!$C:$O,9,0)),"")</f>
        <v/>
      </c>
    </row>
    <row r="2094" spans="4:17" ht="12.75" customHeight="1" x14ac:dyDescent="0.2">
      <c r="D2094" s="58" t="str">
        <f>IFERROR(IF(F2094&lt;&gt;"pending","",IF(OR($B2094="",$B2094="(blank)"),"",VLOOKUP($B2094,'Email Marketing Raw Data'!$C:$O,10,0))),"")</f>
        <v/>
      </c>
      <c r="E2094" s="59" t="str">
        <f>IFERROR(IF(F2094&lt;&gt;"pending","",IF(OR($B2094="",$B2094="(blank)"),"",VLOOKUP($B2094,'Email Marketing Raw Data'!$C:$O,11,0))),"")</f>
        <v/>
      </c>
      <c r="F2094" s="54" t="str">
        <f>IFERROR(IF(OR($B2094="",$B2094="(blank)"),"",VLOOKUP($B2094,'Email Marketing Raw Data'!$C:$O,13,0)),"")</f>
        <v/>
      </c>
      <c r="G2094" s="55" t="str">
        <f>IFERROR(IF(OR($B2094="",$B2094="(blank)"),"",VLOOKUP($B2094,'Email Marketing Raw Data'!$C:$O,4,0)),"")</f>
        <v/>
      </c>
      <c r="H2094" s="55" t="str">
        <f>IFERROR(IF(OR($B2094="",$B2094="(blank)"),"",VLOOKUP($B2094,'Email Marketing Raw Data'!$C:$O,5,0)),"")</f>
        <v/>
      </c>
      <c r="I2094" s="55" t="str">
        <f>IFERROR(IF($G2094="","",VLOOKUP('Dashboard And Emails Automate'!$G2094,Database!$H:$N,3,0)),"")</f>
        <v/>
      </c>
      <c r="J2094" s="55" t="str">
        <f>IFERROR(IF($G2094="","",VLOOKUP('Dashboard And Emails Automate'!$G2094,Database!$H:$N,4,0)),"")</f>
        <v/>
      </c>
      <c r="K2094" s="55" t="str">
        <f>IFERROR(IF($G2094="","",VLOOKUP('Dashboard And Emails Automate'!$G2094,Database!$H:$N,5,0)),"")</f>
        <v/>
      </c>
      <c r="L2094" s="55" t="str">
        <f>IFERROR(IF($G2094="","",VLOOKUP('Dashboard And Emails Automate'!$G2094,Database!$H:$N,6,0)),"")</f>
        <v/>
      </c>
      <c r="M2094" s="55" t="str">
        <f>IFERROR(IF($G2094="","",VLOOKUP('Dashboard And Emails Automate'!$G2094,Database!$H:$N,7,0)),"")</f>
        <v/>
      </c>
      <c r="N2094" s="55" t="str">
        <f>IFERROR(IF(OR($B2094="",$B2094="(blank)"),"",VLOOKUP($B2094,'Email Marketing Raw Data'!$C:$O,6,0)),"")</f>
        <v/>
      </c>
      <c r="O2094" s="55" t="str">
        <f>IFERROR(IF(OR($B2094="",$B2094="(blank)"),"",VLOOKUP($B2094,'Email Marketing Raw Data'!$C:$O,7,0)),"")</f>
        <v/>
      </c>
      <c r="P2094" s="55" t="str">
        <f>IFERROR(IF(OR($B2094="",$B2094="(blank)"),"",VLOOKUP($B2094,'Email Marketing Raw Data'!$C:$O,8,0)),"")</f>
        <v/>
      </c>
      <c r="Q2094" s="62" t="str">
        <f>IFERROR(IF(OR($B2094="",$B2094="(blank)"),"",VLOOKUP($B2094,'Email Marketing Raw Data'!$C:$O,9,0)),"")</f>
        <v/>
      </c>
    </row>
    <row r="2095" spans="4:17" ht="12.75" customHeight="1" x14ac:dyDescent="0.2">
      <c r="D2095" s="58" t="str">
        <f>IFERROR(IF(F2095&lt;&gt;"pending","",IF(OR($B2095="",$B2095="(blank)"),"",VLOOKUP($B2095,'Email Marketing Raw Data'!$C:$O,10,0))),"")</f>
        <v/>
      </c>
      <c r="E2095" s="59" t="str">
        <f>IFERROR(IF(F2095&lt;&gt;"pending","",IF(OR($B2095="",$B2095="(blank)"),"",VLOOKUP($B2095,'Email Marketing Raw Data'!$C:$O,11,0))),"")</f>
        <v/>
      </c>
      <c r="F2095" s="54" t="str">
        <f>IFERROR(IF(OR($B2095="",$B2095="(blank)"),"",VLOOKUP($B2095,'Email Marketing Raw Data'!$C:$O,13,0)),"")</f>
        <v/>
      </c>
      <c r="G2095" s="55" t="str">
        <f>IFERROR(IF(OR($B2095="",$B2095="(blank)"),"",VLOOKUP($B2095,'Email Marketing Raw Data'!$C:$O,4,0)),"")</f>
        <v/>
      </c>
      <c r="H2095" s="55" t="str">
        <f>IFERROR(IF(OR($B2095="",$B2095="(blank)"),"",VLOOKUP($B2095,'Email Marketing Raw Data'!$C:$O,5,0)),"")</f>
        <v/>
      </c>
      <c r="I2095" s="55" t="str">
        <f>IFERROR(IF($G2095="","",VLOOKUP('Dashboard And Emails Automate'!$G2095,Database!$H:$N,3,0)),"")</f>
        <v/>
      </c>
      <c r="J2095" s="55" t="str">
        <f>IFERROR(IF($G2095="","",VLOOKUP('Dashboard And Emails Automate'!$G2095,Database!$H:$N,4,0)),"")</f>
        <v/>
      </c>
      <c r="K2095" s="55" t="str">
        <f>IFERROR(IF($G2095="","",VLOOKUP('Dashboard And Emails Automate'!$G2095,Database!$H:$N,5,0)),"")</f>
        <v/>
      </c>
      <c r="L2095" s="55" t="str">
        <f>IFERROR(IF($G2095="","",VLOOKUP('Dashboard And Emails Automate'!$G2095,Database!$H:$N,6,0)),"")</f>
        <v/>
      </c>
      <c r="M2095" s="55" t="str">
        <f>IFERROR(IF($G2095="","",VLOOKUP('Dashboard And Emails Automate'!$G2095,Database!$H:$N,7,0)),"")</f>
        <v/>
      </c>
      <c r="N2095" s="55" t="str">
        <f>IFERROR(IF(OR($B2095="",$B2095="(blank)"),"",VLOOKUP($B2095,'Email Marketing Raw Data'!$C:$O,6,0)),"")</f>
        <v/>
      </c>
      <c r="O2095" s="55" t="str">
        <f>IFERROR(IF(OR($B2095="",$B2095="(blank)"),"",VLOOKUP($B2095,'Email Marketing Raw Data'!$C:$O,7,0)),"")</f>
        <v/>
      </c>
      <c r="P2095" s="55" t="str">
        <f>IFERROR(IF(OR($B2095="",$B2095="(blank)"),"",VLOOKUP($B2095,'Email Marketing Raw Data'!$C:$O,8,0)),"")</f>
        <v/>
      </c>
      <c r="Q2095" s="62" t="str">
        <f>IFERROR(IF(OR($B2095="",$B2095="(blank)"),"",VLOOKUP($B2095,'Email Marketing Raw Data'!$C:$O,9,0)),"")</f>
        <v/>
      </c>
    </row>
    <row r="2096" spans="4:17" ht="12.75" customHeight="1" x14ac:dyDescent="0.2">
      <c r="D2096" s="58" t="str">
        <f>IFERROR(IF(F2096&lt;&gt;"pending","",IF(OR($B2096="",$B2096="(blank)"),"",VLOOKUP($B2096,'Email Marketing Raw Data'!$C:$O,10,0))),"")</f>
        <v/>
      </c>
      <c r="E2096" s="59" t="str">
        <f>IFERROR(IF(F2096&lt;&gt;"pending","",IF(OR($B2096="",$B2096="(blank)"),"",VLOOKUP($B2096,'Email Marketing Raw Data'!$C:$O,11,0))),"")</f>
        <v/>
      </c>
      <c r="F2096" s="54" t="str">
        <f>IFERROR(IF(OR($B2096="",$B2096="(blank)"),"",VLOOKUP($B2096,'Email Marketing Raw Data'!$C:$O,13,0)),"")</f>
        <v/>
      </c>
      <c r="G2096" s="55" t="str">
        <f>IFERROR(IF(OR($B2096="",$B2096="(blank)"),"",VLOOKUP($B2096,'Email Marketing Raw Data'!$C:$O,4,0)),"")</f>
        <v/>
      </c>
      <c r="H2096" s="55" t="str">
        <f>IFERROR(IF(OR($B2096="",$B2096="(blank)"),"",VLOOKUP($B2096,'Email Marketing Raw Data'!$C:$O,5,0)),"")</f>
        <v/>
      </c>
      <c r="I2096" s="55" t="str">
        <f>IFERROR(IF($G2096="","",VLOOKUP('Dashboard And Emails Automate'!$G2096,Database!$H:$N,3,0)),"")</f>
        <v/>
      </c>
      <c r="J2096" s="55" t="str">
        <f>IFERROR(IF($G2096="","",VLOOKUP('Dashboard And Emails Automate'!$G2096,Database!$H:$N,4,0)),"")</f>
        <v/>
      </c>
      <c r="K2096" s="55" t="str">
        <f>IFERROR(IF($G2096="","",VLOOKUP('Dashboard And Emails Automate'!$G2096,Database!$H:$N,5,0)),"")</f>
        <v/>
      </c>
      <c r="L2096" s="55" t="str">
        <f>IFERROR(IF($G2096="","",VLOOKUP('Dashboard And Emails Automate'!$G2096,Database!$H:$N,6,0)),"")</f>
        <v/>
      </c>
      <c r="M2096" s="55" t="str">
        <f>IFERROR(IF($G2096="","",VLOOKUP('Dashboard And Emails Automate'!$G2096,Database!$H:$N,7,0)),"")</f>
        <v/>
      </c>
      <c r="N2096" s="55" t="str">
        <f>IFERROR(IF(OR($B2096="",$B2096="(blank)"),"",VLOOKUP($B2096,'Email Marketing Raw Data'!$C:$O,6,0)),"")</f>
        <v/>
      </c>
      <c r="O2096" s="55" t="str">
        <f>IFERROR(IF(OR($B2096="",$B2096="(blank)"),"",VLOOKUP($B2096,'Email Marketing Raw Data'!$C:$O,7,0)),"")</f>
        <v/>
      </c>
      <c r="P2096" s="55" t="str">
        <f>IFERROR(IF(OR($B2096="",$B2096="(blank)"),"",VLOOKUP($B2096,'Email Marketing Raw Data'!$C:$O,8,0)),"")</f>
        <v/>
      </c>
      <c r="Q2096" s="62" t="str">
        <f>IFERROR(IF(OR($B2096="",$B2096="(blank)"),"",VLOOKUP($B2096,'Email Marketing Raw Data'!$C:$O,9,0)),"")</f>
        <v/>
      </c>
    </row>
    <row r="2097" spans="4:17" ht="12.75" customHeight="1" x14ac:dyDescent="0.2">
      <c r="D2097" s="58" t="str">
        <f>IFERROR(IF(F2097&lt;&gt;"pending","",IF(OR($B2097="",$B2097="(blank)"),"",VLOOKUP($B2097,'Email Marketing Raw Data'!$C:$O,10,0))),"")</f>
        <v/>
      </c>
      <c r="E2097" s="59" t="str">
        <f>IFERROR(IF(F2097&lt;&gt;"pending","",IF(OR($B2097="",$B2097="(blank)"),"",VLOOKUP($B2097,'Email Marketing Raw Data'!$C:$O,11,0))),"")</f>
        <v/>
      </c>
      <c r="F2097" s="54" t="str">
        <f>IFERROR(IF(OR($B2097="",$B2097="(blank)"),"",VLOOKUP($B2097,'Email Marketing Raw Data'!$C:$O,13,0)),"")</f>
        <v/>
      </c>
      <c r="G2097" s="55" t="str">
        <f>IFERROR(IF(OR($B2097="",$B2097="(blank)"),"",VLOOKUP($B2097,'Email Marketing Raw Data'!$C:$O,4,0)),"")</f>
        <v/>
      </c>
      <c r="H2097" s="55" t="str">
        <f>IFERROR(IF(OR($B2097="",$B2097="(blank)"),"",VLOOKUP($B2097,'Email Marketing Raw Data'!$C:$O,5,0)),"")</f>
        <v/>
      </c>
      <c r="I2097" s="55" t="str">
        <f>IFERROR(IF($G2097="","",VLOOKUP('Dashboard And Emails Automate'!$G2097,Database!$H:$N,3,0)),"")</f>
        <v/>
      </c>
      <c r="J2097" s="55" t="str">
        <f>IFERROR(IF($G2097="","",VLOOKUP('Dashboard And Emails Automate'!$G2097,Database!$H:$N,4,0)),"")</f>
        <v/>
      </c>
      <c r="K2097" s="55" t="str">
        <f>IFERROR(IF($G2097="","",VLOOKUP('Dashboard And Emails Automate'!$G2097,Database!$H:$N,5,0)),"")</f>
        <v/>
      </c>
      <c r="L2097" s="55" t="str">
        <f>IFERROR(IF($G2097="","",VLOOKUP('Dashboard And Emails Automate'!$G2097,Database!$H:$N,6,0)),"")</f>
        <v/>
      </c>
      <c r="M2097" s="55" t="str">
        <f>IFERROR(IF($G2097="","",VLOOKUP('Dashboard And Emails Automate'!$G2097,Database!$H:$N,7,0)),"")</f>
        <v/>
      </c>
      <c r="N2097" s="55" t="str">
        <f>IFERROR(IF(OR($B2097="",$B2097="(blank)"),"",VLOOKUP($B2097,'Email Marketing Raw Data'!$C:$O,6,0)),"")</f>
        <v/>
      </c>
      <c r="O2097" s="55" t="str">
        <f>IFERROR(IF(OR($B2097="",$B2097="(blank)"),"",VLOOKUP($B2097,'Email Marketing Raw Data'!$C:$O,7,0)),"")</f>
        <v/>
      </c>
      <c r="P2097" s="55" t="str">
        <f>IFERROR(IF(OR($B2097="",$B2097="(blank)"),"",VLOOKUP($B2097,'Email Marketing Raw Data'!$C:$O,8,0)),"")</f>
        <v/>
      </c>
      <c r="Q2097" s="62" t="str">
        <f>IFERROR(IF(OR($B2097="",$B2097="(blank)"),"",VLOOKUP($B2097,'Email Marketing Raw Data'!$C:$O,9,0)),"")</f>
        <v/>
      </c>
    </row>
    <row r="2098" spans="4:17" ht="12.75" customHeight="1" x14ac:dyDescent="0.2">
      <c r="D2098" s="58" t="str">
        <f>IFERROR(IF(F2098&lt;&gt;"pending","",IF(OR($B2098="",$B2098="(blank)"),"",VLOOKUP($B2098,'Email Marketing Raw Data'!$C:$O,10,0))),"")</f>
        <v/>
      </c>
      <c r="E2098" s="59" t="str">
        <f>IFERROR(IF(F2098&lt;&gt;"pending","",IF(OR($B2098="",$B2098="(blank)"),"",VLOOKUP($B2098,'Email Marketing Raw Data'!$C:$O,11,0))),"")</f>
        <v/>
      </c>
      <c r="F2098" s="54" t="str">
        <f>IFERROR(IF(OR($B2098="",$B2098="(blank)"),"",VLOOKUP($B2098,'Email Marketing Raw Data'!$C:$O,13,0)),"")</f>
        <v/>
      </c>
      <c r="G2098" s="55" t="str">
        <f>IFERROR(IF(OR($B2098="",$B2098="(blank)"),"",VLOOKUP($B2098,'Email Marketing Raw Data'!$C:$O,4,0)),"")</f>
        <v/>
      </c>
      <c r="H2098" s="55" t="str">
        <f>IFERROR(IF(OR($B2098="",$B2098="(blank)"),"",VLOOKUP($B2098,'Email Marketing Raw Data'!$C:$O,5,0)),"")</f>
        <v/>
      </c>
      <c r="I2098" s="55" t="str">
        <f>IFERROR(IF($G2098="","",VLOOKUP('Dashboard And Emails Automate'!$G2098,Database!$H:$N,3,0)),"")</f>
        <v/>
      </c>
      <c r="J2098" s="55" t="str">
        <f>IFERROR(IF($G2098="","",VLOOKUP('Dashboard And Emails Automate'!$G2098,Database!$H:$N,4,0)),"")</f>
        <v/>
      </c>
      <c r="K2098" s="55" t="str">
        <f>IFERROR(IF($G2098="","",VLOOKUP('Dashboard And Emails Automate'!$G2098,Database!$H:$N,5,0)),"")</f>
        <v/>
      </c>
      <c r="L2098" s="55" t="str">
        <f>IFERROR(IF($G2098="","",VLOOKUP('Dashboard And Emails Automate'!$G2098,Database!$H:$N,6,0)),"")</f>
        <v/>
      </c>
      <c r="M2098" s="55" t="str">
        <f>IFERROR(IF($G2098="","",VLOOKUP('Dashboard And Emails Automate'!$G2098,Database!$H:$N,7,0)),"")</f>
        <v/>
      </c>
      <c r="N2098" s="55" t="str">
        <f>IFERROR(IF(OR($B2098="",$B2098="(blank)"),"",VLOOKUP($B2098,'Email Marketing Raw Data'!$C:$O,6,0)),"")</f>
        <v/>
      </c>
      <c r="O2098" s="55" t="str">
        <f>IFERROR(IF(OR($B2098="",$B2098="(blank)"),"",VLOOKUP($B2098,'Email Marketing Raw Data'!$C:$O,7,0)),"")</f>
        <v/>
      </c>
      <c r="P2098" s="55" t="str">
        <f>IFERROR(IF(OR($B2098="",$B2098="(blank)"),"",VLOOKUP($B2098,'Email Marketing Raw Data'!$C:$O,8,0)),"")</f>
        <v/>
      </c>
      <c r="Q2098" s="62" t="str">
        <f>IFERROR(IF(OR($B2098="",$B2098="(blank)"),"",VLOOKUP($B2098,'Email Marketing Raw Data'!$C:$O,9,0)),"")</f>
        <v/>
      </c>
    </row>
    <row r="2099" spans="4:17" ht="12.75" customHeight="1" x14ac:dyDescent="0.2">
      <c r="D2099" s="58" t="str">
        <f>IFERROR(IF(F2099&lt;&gt;"pending","",IF(OR($B2099="",$B2099="(blank)"),"",VLOOKUP($B2099,'Email Marketing Raw Data'!$C:$O,10,0))),"")</f>
        <v/>
      </c>
      <c r="E2099" s="59" t="str">
        <f>IFERROR(IF(F2099&lt;&gt;"pending","",IF(OR($B2099="",$B2099="(blank)"),"",VLOOKUP($B2099,'Email Marketing Raw Data'!$C:$O,11,0))),"")</f>
        <v/>
      </c>
      <c r="F2099" s="54" t="str">
        <f>IFERROR(IF(OR($B2099="",$B2099="(blank)"),"",VLOOKUP($B2099,'Email Marketing Raw Data'!$C:$O,13,0)),"")</f>
        <v/>
      </c>
      <c r="G2099" s="55" t="str">
        <f>IFERROR(IF(OR($B2099="",$B2099="(blank)"),"",VLOOKUP($B2099,'Email Marketing Raw Data'!$C:$O,4,0)),"")</f>
        <v/>
      </c>
      <c r="H2099" s="55" t="str">
        <f>IFERROR(IF(OR($B2099="",$B2099="(blank)"),"",VLOOKUP($B2099,'Email Marketing Raw Data'!$C:$O,5,0)),"")</f>
        <v/>
      </c>
      <c r="I2099" s="55" t="str">
        <f>IFERROR(IF($G2099="","",VLOOKUP('Dashboard And Emails Automate'!$G2099,Database!$H:$N,3,0)),"")</f>
        <v/>
      </c>
      <c r="J2099" s="55" t="str">
        <f>IFERROR(IF($G2099="","",VLOOKUP('Dashboard And Emails Automate'!$G2099,Database!$H:$N,4,0)),"")</f>
        <v/>
      </c>
      <c r="K2099" s="55" t="str">
        <f>IFERROR(IF($G2099="","",VLOOKUP('Dashboard And Emails Automate'!$G2099,Database!$H:$N,5,0)),"")</f>
        <v/>
      </c>
      <c r="L2099" s="55" t="str">
        <f>IFERROR(IF($G2099="","",VLOOKUP('Dashboard And Emails Automate'!$G2099,Database!$H:$N,6,0)),"")</f>
        <v/>
      </c>
      <c r="M2099" s="55" t="str">
        <f>IFERROR(IF($G2099="","",VLOOKUP('Dashboard And Emails Automate'!$G2099,Database!$H:$N,7,0)),"")</f>
        <v/>
      </c>
      <c r="N2099" s="55" t="str">
        <f>IFERROR(IF(OR($B2099="",$B2099="(blank)"),"",VLOOKUP($B2099,'Email Marketing Raw Data'!$C:$O,6,0)),"")</f>
        <v/>
      </c>
      <c r="O2099" s="55" t="str">
        <f>IFERROR(IF(OR($B2099="",$B2099="(blank)"),"",VLOOKUP($B2099,'Email Marketing Raw Data'!$C:$O,7,0)),"")</f>
        <v/>
      </c>
      <c r="P2099" s="55" t="str">
        <f>IFERROR(IF(OR($B2099="",$B2099="(blank)"),"",VLOOKUP($B2099,'Email Marketing Raw Data'!$C:$O,8,0)),"")</f>
        <v/>
      </c>
      <c r="Q2099" s="62" t="str">
        <f>IFERROR(IF(OR($B2099="",$B2099="(blank)"),"",VLOOKUP($B2099,'Email Marketing Raw Data'!$C:$O,9,0)),"")</f>
        <v/>
      </c>
    </row>
    <row r="2100" spans="4:17" ht="12.75" customHeight="1" x14ac:dyDescent="0.2">
      <c r="D2100" s="58" t="str">
        <f>IFERROR(IF(F2100&lt;&gt;"pending","",IF(OR($B2100="",$B2100="(blank)"),"",VLOOKUP($B2100,'Email Marketing Raw Data'!$C:$O,10,0))),"")</f>
        <v/>
      </c>
      <c r="E2100" s="59" t="str">
        <f>IFERROR(IF(F2100&lt;&gt;"pending","",IF(OR($B2100="",$B2100="(blank)"),"",VLOOKUP($B2100,'Email Marketing Raw Data'!$C:$O,11,0))),"")</f>
        <v/>
      </c>
      <c r="F2100" s="54" t="str">
        <f>IFERROR(IF(OR($B2100="",$B2100="(blank)"),"",VLOOKUP($B2100,'Email Marketing Raw Data'!$C:$O,13,0)),"")</f>
        <v/>
      </c>
      <c r="G2100" s="55" t="str">
        <f>IFERROR(IF(OR($B2100="",$B2100="(blank)"),"",VLOOKUP($B2100,'Email Marketing Raw Data'!$C:$O,4,0)),"")</f>
        <v/>
      </c>
      <c r="H2100" s="55" t="str">
        <f>IFERROR(IF(OR($B2100="",$B2100="(blank)"),"",VLOOKUP($B2100,'Email Marketing Raw Data'!$C:$O,5,0)),"")</f>
        <v/>
      </c>
      <c r="I2100" s="55" t="str">
        <f>IFERROR(IF($G2100="","",VLOOKUP('Dashboard And Emails Automate'!$G2100,Database!$H:$N,3,0)),"")</f>
        <v/>
      </c>
      <c r="J2100" s="55" t="str">
        <f>IFERROR(IF($G2100="","",VLOOKUP('Dashboard And Emails Automate'!$G2100,Database!$H:$N,4,0)),"")</f>
        <v/>
      </c>
      <c r="K2100" s="55" t="str">
        <f>IFERROR(IF($G2100="","",VLOOKUP('Dashboard And Emails Automate'!$G2100,Database!$H:$N,5,0)),"")</f>
        <v/>
      </c>
      <c r="L2100" s="55" t="str">
        <f>IFERROR(IF($G2100="","",VLOOKUP('Dashboard And Emails Automate'!$G2100,Database!$H:$N,6,0)),"")</f>
        <v/>
      </c>
      <c r="M2100" s="55" t="str">
        <f>IFERROR(IF($G2100="","",VLOOKUP('Dashboard And Emails Automate'!$G2100,Database!$H:$N,7,0)),"")</f>
        <v/>
      </c>
      <c r="N2100" s="55" t="str">
        <f>IFERROR(IF(OR($B2100="",$B2100="(blank)"),"",VLOOKUP($B2100,'Email Marketing Raw Data'!$C:$O,6,0)),"")</f>
        <v/>
      </c>
      <c r="O2100" s="55" t="str">
        <f>IFERROR(IF(OR($B2100="",$B2100="(blank)"),"",VLOOKUP($B2100,'Email Marketing Raw Data'!$C:$O,7,0)),"")</f>
        <v/>
      </c>
      <c r="P2100" s="55" t="str">
        <f>IFERROR(IF(OR($B2100="",$B2100="(blank)"),"",VLOOKUP($B2100,'Email Marketing Raw Data'!$C:$O,8,0)),"")</f>
        <v/>
      </c>
      <c r="Q2100" s="62" t="str">
        <f>IFERROR(IF(OR($B2100="",$B2100="(blank)"),"",VLOOKUP($B2100,'Email Marketing Raw Data'!$C:$O,9,0)),"")</f>
        <v/>
      </c>
    </row>
    <row r="2101" spans="4:17" ht="12.75" customHeight="1" x14ac:dyDescent="0.2">
      <c r="D2101" s="58" t="str">
        <f>IFERROR(IF(F2101&lt;&gt;"pending","",IF(OR($B2101="",$B2101="(blank)"),"",VLOOKUP($B2101,'Email Marketing Raw Data'!$C:$O,10,0))),"")</f>
        <v/>
      </c>
      <c r="E2101" s="59" t="str">
        <f>IFERROR(IF(F2101&lt;&gt;"pending","",IF(OR($B2101="",$B2101="(blank)"),"",VLOOKUP($B2101,'Email Marketing Raw Data'!$C:$O,11,0))),"")</f>
        <v/>
      </c>
      <c r="F2101" s="54" t="str">
        <f>IFERROR(IF(OR($B2101="",$B2101="(blank)"),"",VLOOKUP($B2101,'Email Marketing Raw Data'!$C:$O,13,0)),"")</f>
        <v/>
      </c>
      <c r="G2101" s="55" t="str">
        <f>IFERROR(IF(OR($B2101="",$B2101="(blank)"),"",VLOOKUP($B2101,'Email Marketing Raw Data'!$C:$O,4,0)),"")</f>
        <v/>
      </c>
      <c r="H2101" s="55" t="str">
        <f>IFERROR(IF(OR($B2101="",$B2101="(blank)"),"",VLOOKUP($B2101,'Email Marketing Raw Data'!$C:$O,5,0)),"")</f>
        <v/>
      </c>
      <c r="I2101" s="55" t="str">
        <f>IFERROR(IF($G2101="","",VLOOKUP('Dashboard And Emails Automate'!$G2101,Database!$H:$N,3,0)),"")</f>
        <v/>
      </c>
      <c r="J2101" s="55" t="str">
        <f>IFERROR(IF($G2101="","",VLOOKUP('Dashboard And Emails Automate'!$G2101,Database!$H:$N,4,0)),"")</f>
        <v/>
      </c>
      <c r="K2101" s="55" t="str">
        <f>IFERROR(IF($G2101="","",VLOOKUP('Dashboard And Emails Automate'!$G2101,Database!$H:$N,5,0)),"")</f>
        <v/>
      </c>
      <c r="L2101" s="55" t="str">
        <f>IFERROR(IF($G2101="","",VLOOKUP('Dashboard And Emails Automate'!$G2101,Database!$H:$N,6,0)),"")</f>
        <v/>
      </c>
      <c r="M2101" s="55" t="str">
        <f>IFERROR(IF($G2101="","",VLOOKUP('Dashboard And Emails Automate'!$G2101,Database!$H:$N,7,0)),"")</f>
        <v/>
      </c>
      <c r="N2101" s="55" t="str">
        <f>IFERROR(IF(OR($B2101="",$B2101="(blank)"),"",VLOOKUP($B2101,'Email Marketing Raw Data'!$C:$O,6,0)),"")</f>
        <v/>
      </c>
      <c r="O2101" s="55" t="str">
        <f>IFERROR(IF(OR($B2101="",$B2101="(blank)"),"",VLOOKUP($B2101,'Email Marketing Raw Data'!$C:$O,7,0)),"")</f>
        <v/>
      </c>
      <c r="P2101" s="55" t="str">
        <f>IFERROR(IF(OR($B2101="",$B2101="(blank)"),"",VLOOKUP($B2101,'Email Marketing Raw Data'!$C:$O,8,0)),"")</f>
        <v/>
      </c>
      <c r="Q2101" s="62" t="str">
        <f>IFERROR(IF(OR($B2101="",$B2101="(blank)"),"",VLOOKUP($B2101,'Email Marketing Raw Data'!$C:$O,9,0)),"")</f>
        <v/>
      </c>
    </row>
    <row r="2102" spans="4:17" ht="12.75" customHeight="1" x14ac:dyDescent="0.2">
      <c r="D2102" s="58" t="str">
        <f>IFERROR(IF(F2102&lt;&gt;"pending","",IF(OR($B2102="",$B2102="(blank)"),"",VLOOKUP($B2102,'Email Marketing Raw Data'!$C:$O,10,0))),"")</f>
        <v/>
      </c>
      <c r="E2102" s="59" t="str">
        <f>IFERROR(IF(F2102&lt;&gt;"pending","",IF(OR($B2102="",$B2102="(blank)"),"",VLOOKUP($B2102,'Email Marketing Raw Data'!$C:$O,11,0))),"")</f>
        <v/>
      </c>
      <c r="F2102" s="54" t="str">
        <f>IFERROR(IF(OR($B2102="",$B2102="(blank)"),"",VLOOKUP($B2102,'Email Marketing Raw Data'!$C:$O,13,0)),"")</f>
        <v/>
      </c>
      <c r="G2102" s="55" t="str">
        <f>IFERROR(IF(OR($B2102="",$B2102="(blank)"),"",VLOOKUP($B2102,'Email Marketing Raw Data'!$C:$O,4,0)),"")</f>
        <v/>
      </c>
      <c r="H2102" s="55" t="str">
        <f>IFERROR(IF(OR($B2102="",$B2102="(blank)"),"",VLOOKUP($B2102,'Email Marketing Raw Data'!$C:$O,5,0)),"")</f>
        <v/>
      </c>
      <c r="I2102" s="55" t="str">
        <f>IFERROR(IF($G2102="","",VLOOKUP('Dashboard And Emails Automate'!$G2102,Database!$H:$N,3,0)),"")</f>
        <v/>
      </c>
      <c r="J2102" s="55" t="str">
        <f>IFERROR(IF($G2102="","",VLOOKUP('Dashboard And Emails Automate'!$G2102,Database!$H:$N,4,0)),"")</f>
        <v/>
      </c>
      <c r="K2102" s="55" t="str">
        <f>IFERROR(IF($G2102="","",VLOOKUP('Dashboard And Emails Automate'!$G2102,Database!$H:$N,5,0)),"")</f>
        <v/>
      </c>
      <c r="L2102" s="55" t="str">
        <f>IFERROR(IF($G2102="","",VLOOKUP('Dashboard And Emails Automate'!$G2102,Database!$H:$N,6,0)),"")</f>
        <v/>
      </c>
      <c r="M2102" s="55" t="str">
        <f>IFERROR(IF($G2102="","",VLOOKUP('Dashboard And Emails Automate'!$G2102,Database!$H:$N,7,0)),"")</f>
        <v/>
      </c>
      <c r="N2102" s="55" t="str">
        <f>IFERROR(IF(OR($B2102="",$B2102="(blank)"),"",VLOOKUP($B2102,'Email Marketing Raw Data'!$C:$O,6,0)),"")</f>
        <v/>
      </c>
      <c r="O2102" s="55" t="str">
        <f>IFERROR(IF(OR($B2102="",$B2102="(blank)"),"",VLOOKUP($B2102,'Email Marketing Raw Data'!$C:$O,7,0)),"")</f>
        <v/>
      </c>
      <c r="P2102" s="55" t="str">
        <f>IFERROR(IF(OR($B2102="",$B2102="(blank)"),"",VLOOKUP($B2102,'Email Marketing Raw Data'!$C:$O,8,0)),"")</f>
        <v/>
      </c>
      <c r="Q2102" s="62" t="str">
        <f>IFERROR(IF(OR($B2102="",$B2102="(blank)"),"",VLOOKUP($B2102,'Email Marketing Raw Data'!$C:$O,9,0)),"")</f>
        <v/>
      </c>
    </row>
    <row r="2103" spans="4:17" ht="12.75" customHeight="1" x14ac:dyDescent="0.2">
      <c r="D2103" s="58" t="str">
        <f>IFERROR(IF(F2103&lt;&gt;"pending","",IF(OR($B2103="",$B2103="(blank)"),"",VLOOKUP($B2103,'Email Marketing Raw Data'!$C:$O,10,0))),"")</f>
        <v/>
      </c>
      <c r="E2103" s="59" t="str">
        <f>IFERROR(IF(F2103&lt;&gt;"pending","",IF(OR($B2103="",$B2103="(blank)"),"",VLOOKUP($B2103,'Email Marketing Raw Data'!$C:$O,11,0))),"")</f>
        <v/>
      </c>
      <c r="F2103" s="54" t="str">
        <f>IFERROR(IF(OR($B2103="",$B2103="(blank)"),"",VLOOKUP($B2103,'Email Marketing Raw Data'!$C:$O,13,0)),"")</f>
        <v/>
      </c>
      <c r="G2103" s="55" t="str">
        <f>IFERROR(IF(OR($B2103="",$B2103="(blank)"),"",VLOOKUP($B2103,'Email Marketing Raw Data'!$C:$O,4,0)),"")</f>
        <v/>
      </c>
      <c r="H2103" s="55" t="str">
        <f>IFERROR(IF(OR($B2103="",$B2103="(blank)"),"",VLOOKUP($B2103,'Email Marketing Raw Data'!$C:$O,5,0)),"")</f>
        <v/>
      </c>
      <c r="I2103" s="55" t="str">
        <f>IFERROR(IF($G2103="","",VLOOKUP('Dashboard And Emails Automate'!$G2103,Database!$H:$N,3,0)),"")</f>
        <v/>
      </c>
      <c r="J2103" s="55" t="str">
        <f>IFERROR(IF($G2103="","",VLOOKUP('Dashboard And Emails Automate'!$G2103,Database!$H:$N,4,0)),"")</f>
        <v/>
      </c>
      <c r="K2103" s="55" t="str">
        <f>IFERROR(IF($G2103="","",VLOOKUP('Dashboard And Emails Automate'!$G2103,Database!$H:$N,5,0)),"")</f>
        <v/>
      </c>
      <c r="L2103" s="55" t="str">
        <f>IFERROR(IF($G2103="","",VLOOKUP('Dashboard And Emails Automate'!$G2103,Database!$H:$N,6,0)),"")</f>
        <v/>
      </c>
      <c r="M2103" s="55" t="str">
        <f>IFERROR(IF($G2103="","",VLOOKUP('Dashboard And Emails Automate'!$G2103,Database!$H:$N,7,0)),"")</f>
        <v/>
      </c>
      <c r="N2103" s="55" t="str">
        <f>IFERROR(IF(OR($B2103="",$B2103="(blank)"),"",VLOOKUP($B2103,'Email Marketing Raw Data'!$C:$O,6,0)),"")</f>
        <v/>
      </c>
      <c r="O2103" s="55" t="str">
        <f>IFERROR(IF(OR($B2103="",$B2103="(blank)"),"",VLOOKUP($B2103,'Email Marketing Raw Data'!$C:$O,7,0)),"")</f>
        <v/>
      </c>
      <c r="P2103" s="55" t="str">
        <f>IFERROR(IF(OR($B2103="",$B2103="(blank)"),"",VLOOKUP($B2103,'Email Marketing Raw Data'!$C:$O,8,0)),"")</f>
        <v/>
      </c>
      <c r="Q2103" s="62" t="str">
        <f>IFERROR(IF(OR($B2103="",$B2103="(blank)"),"",VLOOKUP($B2103,'Email Marketing Raw Data'!$C:$O,9,0)),"")</f>
        <v/>
      </c>
    </row>
    <row r="2104" spans="4:17" ht="12.75" customHeight="1" x14ac:dyDescent="0.2">
      <c r="D2104" s="58" t="str">
        <f>IFERROR(IF(F2104&lt;&gt;"pending","",IF(OR($B2104="",$B2104="(blank)"),"",VLOOKUP($B2104,'Email Marketing Raw Data'!$C:$O,10,0))),"")</f>
        <v/>
      </c>
      <c r="E2104" s="59" t="str">
        <f>IFERROR(IF(F2104&lt;&gt;"pending","",IF(OR($B2104="",$B2104="(blank)"),"",VLOOKUP($B2104,'Email Marketing Raw Data'!$C:$O,11,0))),"")</f>
        <v/>
      </c>
      <c r="F2104" s="54" t="str">
        <f>IFERROR(IF(OR($B2104="",$B2104="(blank)"),"",VLOOKUP($B2104,'Email Marketing Raw Data'!$C:$O,13,0)),"")</f>
        <v/>
      </c>
      <c r="G2104" s="55" t="str">
        <f>IFERROR(IF(OR($B2104="",$B2104="(blank)"),"",VLOOKUP($B2104,'Email Marketing Raw Data'!$C:$O,4,0)),"")</f>
        <v/>
      </c>
      <c r="H2104" s="55" t="str">
        <f>IFERROR(IF(OR($B2104="",$B2104="(blank)"),"",VLOOKUP($B2104,'Email Marketing Raw Data'!$C:$O,5,0)),"")</f>
        <v/>
      </c>
      <c r="I2104" s="55" t="str">
        <f>IFERROR(IF($G2104="","",VLOOKUP('Dashboard And Emails Automate'!$G2104,Database!$H:$N,3,0)),"")</f>
        <v/>
      </c>
      <c r="J2104" s="55" t="str">
        <f>IFERROR(IF($G2104="","",VLOOKUP('Dashboard And Emails Automate'!$G2104,Database!$H:$N,4,0)),"")</f>
        <v/>
      </c>
      <c r="K2104" s="55" t="str">
        <f>IFERROR(IF($G2104="","",VLOOKUP('Dashboard And Emails Automate'!$G2104,Database!$H:$N,5,0)),"")</f>
        <v/>
      </c>
      <c r="L2104" s="55" t="str">
        <f>IFERROR(IF($G2104="","",VLOOKUP('Dashboard And Emails Automate'!$G2104,Database!$H:$N,6,0)),"")</f>
        <v/>
      </c>
      <c r="M2104" s="55" t="str">
        <f>IFERROR(IF($G2104="","",VLOOKUP('Dashboard And Emails Automate'!$G2104,Database!$H:$N,7,0)),"")</f>
        <v/>
      </c>
      <c r="N2104" s="55" t="str">
        <f>IFERROR(IF(OR($B2104="",$B2104="(blank)"),"",VLOOKUP($B2104,'Email Marketing Raw Data'!$C:$O,6,0)),"")</f>
        <v/>
      </c>
      <c r="O2104" s="55" t="str">
        <f>IFERROR(IF(OR($B2104="",$B2104="(blank)"),"",VLOOKUP($B2104,'Email Marketing Raw Data'!$C:$O,7,0)),"")</f>
        <v/>
      </c>
      <c r="P2104" s="55" t="str">
        <f>IFERROR(IF(OR($B2104="",$B2104="(blank)"),"",VLOOKUP($B2104,'Email Marketing Raw Data'!$C:$O,8,0)),"")</f>
        <v/>
      </c>
      <c r="Q2104" s="62" t="str">
        <f>IFERROR(IF(OR($B2104="",$B2104="(blank)"),"",VLOOKUP($B2104,'Email Marketing Raw Data'!$C:$O,9,0)),"")</f>
        <v/>
      </c>
    </row>
    <row r="2105" spans="4:17" ht="12.75" customHeight="1" x14ac:dyDescent="0.2">
      <c r="D2105" s="58" t="str">
        <f>IFERROR(IF(F2105&lt;&gt;"pending","",IF(OR($B2105="",$B2105="(blank)"),"",VLOOKUP($B2105,'Email Marketing Raw Data'!$C:$O,10,0))),"")</f>
        <v/>
      </c>
      <c r="E2105" s="59" t="str">
        <f>IFERROR(IF(F2105&lt;&gt;"pending","",IF(OR($B2105="",$B2105="(blank)"),"",VLOOKUP($B2105,'Email Marketing Raw Data'!$C:$O,11,0))),"")</f>
        <v/>
      </c>
      <c r="F2105" s="54" t="str">
        <f>IFERROR(IF(OR($B2105="",$B2105="(blank)"),"",VLOOKUP($B2105,'Email Marketing Raw Data'!$C:$O,13,0)),"")</f>
        <v/>
      </c>
      <c r="G2105" s="55" t="str">
        <f>IFERROR(IF(OR($B2105="",$B2105="(blank)"),"",VLOOKUP($B2105,'Email Marketing Raw Data'!$C:$O,4,0)),"")</f>
        <v/>
      </c>
      <c r="H2105" s="55" t="str">
        <f>IFERROR(IF(OR($B2105="",$B2105="(blank)"),"",VLOOKUP($B2105,'Email Marketing Raw Data'!$C:$O,5,0)),"")</f>
        <v/>
      </c>
      <c r="I2105" s="55" t="str">
        <f>IFERROR(IF($G2105="","",VLOOKUP('Dashboard And Emails Automate'!$G2105,Database!$H:$N,3,0)),"")</f>
        <v/>
      </c>
      <c r="J2105" s="55" t="str">
        <f>IFERROR(IF($G2105="","",VLOOKUP('Dashboard And Emails Automate'!$G2105,Database!$H:$N,4,0)),"")</f>
        <v/>
      </c>
      <c r="K2105" s="55" t="str">
        <f>IFERROR(IF($G2105="","",VLOOKUP('Dashboard And Emails Automate'!$G2105,Database!$H:$N,5,0)),"")</f>
        <v/>
      </c>
      <c r="L2105" s="55" t="str">
        <f>IFERROR(IF($G2105="","",VLOOKUP('Dashboard And Emails Automate'!$G2105,Database!$H:$N,6,0)),"")</f>
        <v/>
      </c>
      <c r="M2105" s="55" t="str">
        <f>IFERROR(IF($G2105="","",VLOOKUP('Dashboard And Emails Automate'!$G2105,Database!$H:$N,7,0)),"")</f>
        <v/>
      </c>
      <c r="N2105" s="55" t="str">
        <f>IFERROR(IF(OR($B2105="",$B2105="(blank)"),"",VLOOKUP($B2105,'Email Marketing Raw Data'!$C:$O,6,0)),"")</f>
        <v/>
      </c>
      <c r="O2105" s="55" t="str">
        <f>IFERROR(IF(OR($B2105="",$B2105="(blank)"),"",VLOOKUP($B2105,'Email Marketing Raw Data'!$C:$O,7,0)),"")</f>
        <v/>
      </c>
      <c r="P2105" s="55" t="str">
        <f>IFERROR(IF(OR($B2105="",$B2105="(blank)"),"",VLOOKUP($B2105,'Email Marketing Raw Data'!$C:$O,8,0)),"")</f>
        <v/>
      </c>
      <c r="Q2105" s="62" t="str">
        <f>IFERROR(IF(OR($B2105="",$B2105="(blank)"),"",VLOOKUP($B2105,'Email Marketing Raw Data'!$C:$O,9,0)),"")</f>
        <v/>
      </c>
    </row>
    <row r="2106" spans="4:17" ht="12.75" customHeight="1" x14ac:dyDescent="0.2">
      <c r="D2106" s="58" t="str">
        <f>IFERROR(IF(F2106&lt;&gt;"pending","",IF(OR($B2106="",$B2106="(blank)"),"",VLOOKUP($B2106,'Email Marketing Raw Data'!$C:$O,10,0))),"")</f>
        <v/>
      </c>
      <c r="E2106" s="59" t="str">
        <f>IFERROR(IF(F2106&lt;&gt;"pending","",IF(OR($B2106="",$B2106="(blank)"),"",VLOOKUP($B2106,'Email Marketing Raw Data'!$C:$O,11,0))),"")</f>
        <v/>
      </c>
      <c r="F2106" s="54" t="str">
        <f>IFERROR(IF(OR($B2106="",$B2106="(blank)"),"",VLOOKUP($B2106,'Email Marketing Raw Data'!$C:$O,13,0)),"")</f>
        <v/>
      </c>
      <c r="G2106" s="55" t="str">
        <f>IFERROR(IF(OR($B2106="",$B2106="(blank)"),"",VLOOKUP($B2106,'Email Marketing Raw Data'!$C:$O,4,0)),"")</f>
        <v/>
      </c>
      <c r="H2106" s="55" t="str">
        <f>IFERROR(IF(OR($B2106="",$B2106="(blank)"),"",VLOOKUP($B2106,'Email Marketing Raw Data'!$C:$O,5,0)),"")</f>
        <v/>
      </c>
      <c r="I2106" s="55" t="str">
        <f>IFERROR(IF($G2106="","",VLOOKUP('Dashboard And Emails Automate'!$G2106,Database!$H:$N,3,0)),"")</f>
        <v/>
      </c>
      <c r="J2106" s="55" t="str">
        <f>IFERROR(IF($G2106="","",VLOOKUP('Dashboard And Emails Automate'!$G2106,Database!$H:$N,4,0)),"")</f>
        <v/>
      </c>
      <c r="K2106" s="55" t="str">
        <f>IFERROR(IF($G2106="","",VLOOKUP('Dashboard And Emails Automate'!$G2106,Database!$H:$N,5,0)),"")</f>
        <v/>
      </c>
      <c r="L2106" s="55" t="str">
        <f>IFERROR(IF($G2106="","",VLOOKUP('Dashboard And Emails Automate'!$G2106,Database!$H:$N,6,0)),"")</f>
        <v/>
      </c>
      <c r="M2106" s="55" t="str">
        <f>IFERROR(IF($G2106="","",VLOOKUP('Dashboard And Emails Automate'!$G2106,Database!$H:$N,7,0)),"")</f>
        <v/>
      </c>
      <c r="N2106" s="55" t="str">
        <f>IFERROR(IF(OR($B2106="",$B2106="(blank)"),"",VLOOKUP($B2106,'Email Marketing Raw Data'!$C:$O,6,0)),"")</f>
        <v/>
      </c>
      <c r="O2106" s="55" t="str">
        <f>IFERROR(IF(OR($B2106="",$B2106="(blank)"),"",VLOOKUP($B2106,'Email Marketing Raw Data'!$C:$O,7,0)),"")</f>
        <v/>
      </c>
      <c r="P2106" s="55" t="str">
        <f>IFERROR(IF(OR($B2106="",$B2106="(blank)"),"",VLOOKUP($B2106,'Email Marketing Raw Data'!$C:$O,8,0)),"")</f>
        <v/>
      </c>
      <c r="Q2106" s="62" t="str">
        <f>IFERROR(IF(OR($B2106="",$B2106="(blank)"),"",VLOOKUP($B2106,'Email Marketing Raw Data'!$C:$O,9,0)),"")</f>
        <v/>
      </c>
    </row>
    <row r="2107" spans="4:17" ht="12.75" customHeight="1" x14ac:dyDescent="0.2">
      <c r="D2107" s="58" t="str">
        <f>IFERROR(IF(F2107&lt;&gt;"pending","",IF(OR($B2107="",$B2107="(blank)"),"",VLOOKUP($B2107,'Email Marketing Raw Data'!$C:$O,10,0))),"")</f>
        <v/>
      </c>
      <c r="E2107" s="59" t="str">
        <f>IFERROR(IF(F2107&lt;&gt;"pending","",IF(OR($B2107="",$B2107="(blank)"),"",VLOOKUP($B2107,'Email Marketing Raw Data'!$C:$O,11,0))),"")</f>
        <v/>
      </c>
      <c r="F2107" s="54" t="str">
        <f>IFERROR(IF(OR($B2107="",$B2107="(blank)"),"",VLOOKUP($B2107,'Email Marketing Raw Data'!$C:$O,13,0)),"")</f>
        <v/>
      </c>
      <c r="G2107" s="55" t="str">
        <f>IFERROR(IF(OR($B2107="",$B2107="(blank)"),"",VLOOKUP($B2107,'Email Marketing Raw Data'!$C:$O,4,0)),"")</f>
        <v/>
      </c>
      <c r="H2107" s="55" t="str">
        <f>IFERROR(IF(OR($B2107="",$B2107="(blank)"),"",VLOOKUP($B2107,'Email Marketing Raw Data'!$C:$O,5,0)),"")</f>
        <v/>
      </c>
      <c r="I2107" s="55" t="str">
        <f>IFERROR(IF($G2107="","",VLOOKUP('Dashboard And Emails Automate'!$G2107,Database!$H:$N,3,0)),"")</f>
        <v/>
      </c>
      <c r="J2107" s="55" t="str">
        <f>IFERROR(IF($G2107="","",VLOOKUP('Dashboard And Emails Automate'!$G2107,Database!$H:$N,4,0)),"")</f>
        <v/>
      </c>
      <c r="K2107" s="55" t="str">
        <f>IFERROR(IF($G2107="","",VLOOKUP('Dashboard And Emails Automate'!$G2107,Database!$H:$N,5,0)),"")</f>
        <v/>
      </c>
      <c r="L2107" s="55" t="str">
        <f>IFERROR(IF($G2107="","",VLOOKUP('Dashboard And Emails Automate'!$G2107,Database!$H:$N,6,0)),"")</f>
        <v/>
      </c>
      <c r="M2107" s="55" t="str">
        <f>IFERROR(IF($G2107="","",VLOOKUP('Dashboard And Emails Automate'!$G2107,Database!$H:$N,7,0)),"")</f>
        <v/>
      </c>
      <c r="N2107" s="55" t="str">
        <f>IFERROR(IF(OR($B2107="",$B2107="(blank)"),"",VLOOKUP($B2107,'Email Marketing Raw Data'!$C:$O,6,0)),"")</f>
        <v/>
      </c>
      <c r="O2107" s="55" t="str">
        <f>IFERROR(IF(OR($B2107="",$B2107="(blank)"),"",VLOOKUP($B2107,'Email Marketing Raw Data'!$C:$O,7,0)),"")</f>
        <v/>
      </c>
      <c r="P2107" s="55" t="str">
        <f>IFERROR(IF(OR($B2107="",$B2107="(blank)"),"",VLOOKUP($B2107,'Email Marketing Raw Data'!$C:$O,8,0)),"")</f>
        <v/>
      </c>
      <c r="Q2107" s="62" t="str">
        <f>IFERROR(IF(OR($B2107="",$B2107="(blank)"),"",VLOOKUP($B2107,'Email Marketing Raw Data'!$C:$O,9,0)),"")</f>
        <v/>
      </c>
    </row>
    <row r="2108" spans="4:17" ht="12.75" customHeight="1" x14ac:dyDescent="0.2">
      <c r="D2108" s="58" t="str">
        <f>IFERROR(IF(F2108&lt;&gt;"pending","",IF(OR($B2108="",$B2108="(blank)"),"",VLOOKUP($B2108,'Email Marketing Raw Data'!$C:$O,10,0))),"")</f>
        <v/>
      </c>
      <c r="E2108" s="59" t="str">
        <f>IFERROR(IF(F2108&lt;&gt;"pending","",IF(OR($B2108="",$B2108="(blank)"),"",VLOOKUP($B2108,'Email Marketing Raw Data'!$C:$O,11,0))),"")</f>
        <v/>
      </c>
      <c r="F2108" s="54" t="str">
        <f>IFERROR(IF(OR($B2108="",$B2108="(blank)"),"",VLOOKUP($B2108,'Email Marketing Raw Data'!$C:$O,13,0)),"")</f>
        <v/>
      </c>
      <c r="G2108" s="55" t="str">
        <f>IFERROR(IF(OR($B2108="",$B2108="(blank)"),"",VLOOKUP($B2108,'Email Marketing Raw Data'!$C:$O,4,0)),"")</f>
        <v/>
      </c>
      <c r="H2108" s="55" t="str">
        <f>IFERROR(IF(OR($B2108="",$B2108="(blank)"),"",VLOOKUP($B2108,'Email Marketing Raw Data'!$C:$O,5,0)),"")</f>
        <v/>
      </c>
      <c r="I2108" s="55" t="str">
        <f>IFERROR(IF($G2108="","",VLOOKUP('Dashboard And Emails Automate'!$G2108,Database!$H:$N,3,0)),"")</f>
        <v/>
      </c>
      <c r="J2108" s="55" t="str">
        <f>IFERROR(IF($G2108="","",VLOOKUP('Dashboard And Emails Automate'!$G2108,Database!$H:$N,4,0)),"")</f>
        <v/>
      </c>
      <c r="K2108" s="55" t="str">
        <f>IFERROR(IF($G2108="","",VLOOKUP('Dashboard And Emails Automate'!$G2108,Database!$H:$N,5,0)),"")</f>
        <v/>
      </c>
      <c r="L2108" s="55" t="str">
        <f>IFERROR(IF($G2108="","",VLOOKUP('Dashboard And Emails Automate'!$G2108,Database!$H:$N,6,0)),"")</f>
        <v/>
      </c>
      <c r="M2108" s="55" t="str">
        <f>IFERROR(IF($G2108="","",VLOOKUP('Dashboard And Emails Automate'!$G2108,Database!$H:$N,7,0)),"")</f>
        <v/>
      </c>
      <c r="N2108" s="55" t="str">
        <f>IFERROR(IF(OR($B2108="",$B2108="(blank)"),"",VLOOKUP($B2108,'Email Marketing Raw Data'!$C:$O,6,0)),"")</f>
        <v/>
      </c>
      <c r="O2108" s="55" t="str">
        <f>IFERROR(IF(OR($B2108="",$B2108="(blank)"),"",VLOOKUP($B2108,'Email Marketing Raw Data'!$C:$O,7,0)),"")</f>
        <v/>
      </c>
      <c r="P2108" s="55" t="str">
        <f>IFERROR(IF(OR($B2108="",$B2108="(blank)"),"",VLOOKUP($B2108,'Email Marketing Raw Data'!$C:$O,8,0)),"")</f>
        <v/>
      </c>
      <c r="Q2108" s="62" t="str">
        <f>IFERROR(IF(OR($B2108="",$B2108="(blank)"),"",VLOOKUP($B2108,'Email Marketing Raw Data'!$C:$O,9,0)),"")</f>
        <v/>
      </c>
    </row>
    <row r="2109" spans="4:17" ht="12.75" customHeight="1" x14ac:dyDescent="0.2">
      <c r="D2109" s="58" t="str">
        <f>IFERROR(IF(F2109&lt;&gt;"pending","",IF(OR($B2109="",$B2109="(blank)"),"",VLOOKUP($B2109,'Email Marketing Raw Data'!$C:$O,10,0))),"")</f>
        <v/>
      </c>
      <c r="E2109" s="59" t="str">
        <f>IFERROR(IF(F2109&lt;&gt;"pending","",IF(OR($B2109="",$B2109="(blank)"),"",VLOOKUP($B2109,'Email Marketing Raw Data'!$C:$O,11,0))),"")</f>
        <v/>
      </c>
      <c r="F2109" s="54" t="str">
        <f>IFERROR(IF(OR($B2109="",$B2109="(blank)"),"",VLOOKUP($B2109,'Email Marketing Raw Data'!$C:$O,13,0)),"")</f>
        <v/>
      </c>
      <c r="G2109" s="55" t="str">
        <f>IFERROR(IF(OR($B2109="",$B2109="(blank)"),"",VLOOKUP($B2109,'Email Marketing Raw Data'!$C:$O,4,0)),"")</f>
        <v/>
      </c>
      <c r="H2109" s="55" t="str">
        <f>IFERROR(IF(OR($B2109="",$B2109="(blank)"),"",VLOOKUP($B2109,'Email Marketing Raw Data'!$C:$O,5,0)),"")</f>
        <v/>
      </c>
      <c r="I2109" s="55" t="str">
        <f>IFERROR(IF($G2109="","",VLOOKUP('Dashboard And Emails Automate'!$G2109,Database!$H:$N,3,0)),"")</f>
        <v/>
      </c>
      <c r="J2109" s="55" t="str">
        <f>IFERROR(IF($G2109="","",VLOOKUP('Dashboard And Emails Automate'!$G2109,Database!$H:$N,4,0)),"")</f>
        <v/>
      </c>
      <c r="K2109" s="55" t="str">
        <f>IFERROR(IF($G2109="","",VLOOKUP('Dashboard And Emails Automate'!$G2109,Database!$H:$N,5,0)),"")</f>
        <v/>
      </c>
      <c r="L2109" s="55" t="str">
        <f>IFERROR(IF($G2109="","",VLOOKUP('Dashboard And Emails Automate'!$G2109,Database!$H:$N,6,0)),"")</f>
        <v/>
      </c>
      <c r="M2109" s="55" t="str">
        <f>IFERROR(IF($G2109="","",VLOOKUP('Dashboard And Emails Automate'!$G2109,Database!$H:$N,7,0)),"")</f>
        <v/>
      </c>
      <c r="N2109" s="55" t="str">
        <f>IFERROR(IF(OR($B2109="",$B2109="(blank)"),"",VLOOKUP($B2109,'Email Marketing Raw Data'!$C:$O,6,0)),"")</f>
        <v/>
      </c>
      <c r="O2109" s="55" t="str">
        <f>IFERROR(IF(OR($B2109="",$B2109="(blank)"),"",VLOOKUP($B2109,'Email Marketing Raw Data'!$C:$O,7,0)),"")</f>
        <v/>
      </c>
      <c r="P2109" s="55" t="str">
        <f>IFERROR(IF(OR($B2109="",$B2109="(blank)"),"",VLOOKUP($B2109,'Email Marketing Raw Data'!$C:$O,8,0)),"")</f>
        <v/>
      </c>
      <c r="Q2109" s="62" t="str">
        <f>IFERROR(IF(OR($B2109="",$B2109="(blank)"),"",VLOOKUP($B2109,'Email Marketing Raw Data'!$C:$O,9,0)),"")</f>
        <v/>
      </c>
    </row>
    <row r="2110" spans="4:17" ht="12.75" customHeight="1" x14ac:dyDescent="0.2">
      <c r="D2110" s="58" t="str">
        <f>IFERROR(IF(F2110&lt;&gt;"pending","",IF(OR($B2110="",$B2110="(blank)"),"",VLOOKUP($B2110,'Email Marketing Raw Data'!$C:$O,10,0))),"")</f>
        <v/>
      </c>
      <c r="E2110" s="59" t="str">
        <f>IFERROR(IF(F2110&lt;&gt;"pending","",IF(OR($B2110="",$B2110="(blank)"),"",VLOOKUP($B2110,'Email Marketing Raw Data'!$C:$O,11,0))),"")</f>
        <v/>
      </c>
      <c r="F2110" s="54" t="str">
        <f>IFERROR(IF(OR($B2110="",$B2110="(blank)"),"",VLOOKUP($B2110,'Email Marketing Raw Data'!$C:$O,13,0)),"")</f>
        <v/>
      </c>
      <c r="G2110" s="55" t="str">
        <f>IFERROR(IF(OR($B2110="",$B2110="(blank)"),"",VLOOKUP($B2110,'Email Marketing Raw Data'!$C:$O,4,0)),"")</f>
        <v/>
      </c>
      <c r="H2110" s="55" t="str">
        <f>IFERROR(IF(OR($B2110="",$B2110="(blank)"),"",VLOOKUP($B2110,'Email Marketing Raw Data'!$C:$O,5,0)),"")</f>
        <v/>
      </c>
      <c r="I2110" s="55" t="str">
        <f>IFERROR(IF($G2110="","",VLOOKUP('Dashboard And Emails Automate'!$G2110,Database!$H:$N,3,0)),"")</f>
        <v/>
      </c>
      <c r="J2110" s="55" t="str">
        <f>IFERROR(IF($G2110="","",VLOOKUP('Dashboard And Emails Automate'!$G2110,Database!$H:$N,4,0)),"")</f>
        <v/>
      </c>
      <c r="K2110" s="55" t="str">
        <f>IFERROR(IF($G2110="","",VLOOKUP('Dashboard And Emails Automate'!$G2110,Database!$H:$N,5,0)),"")</f>
        <v/>
      </c>
      <c r="L2110" s="55" t="str">
        <f>IFERROR(IF($G2110="","",VLOOKUP('Dashboard And Emails Automate'!$G2110,Database!$H:$N,6,0)),"")</f>
        <v/>
      </c>
      <c r="M2110" s="55" t="str">
        <f>IFERROR(IF($G2110="","",VLOOKUP('Dashboard And Emails Automate'!$G2110,Database!$H:$N,7,0)),"")</f>
        <v/>
      </c>
      <c r="N2110" s="55" t="str">
        <f>IFERROR(IF(OR($B2110="",$B2110="(blank)"),"",VLOOKUP($B2110,'Email Marketing Raw Data'!$C:$O,6,0)),"")</f>
        <v/>
      </c>
      <c r="O2110" s="55" t="str">
        <f>IFERROR(IF(OR($B2110="",$B2110="(blank)"),"",VLOOKUP($B2110,'Email Marketing Raw Data'!$C:$O,7,0)),"")</f>
        <v/>
      </c>
      <c r="P2110" s="55" t="str">
        <f>IFERROR(IF(OR($B2110="",$B2110="(blank)"),"",VLOOKUP($B2110,'Email Marketing Raw Data'!$C:$O,8,0)),"")</f>
        <v/>
      </c>
      <c r="Q2110" s="62" t="str">
        <f>IFERROR(IF(OR($B2110="",$B2110="(blank)"),"",VLOOKUP($B2110,'Email Marketing Raw Data'!$C:$O,9,0)),"")</f>
        <v/>
      </c>
    </row>
    <row r="2111" spans="4:17" ht="12.75" customHeight="1" x14ac:dyDescent="0.2">
      <c r="D2111" s="58" t="str">
        <f>IFERROR(IF(F2111&lt;&gt;"pending","",IF(OR($B2111="",$B2111="(blank)"),"",VLOOKUP($B2111,'Email Marketing Raw Data'!$C:$O,10,0))),"")</f>
        <v/>
      </c>
      <c r="E2111" s="59" t="str">
        <f>IFERROR(IF(F2111&lt;&gt;"pending","",IF(OR($B2111="",$B2111="(blank)"),"",VLOOKUP($B2111,'Email Marketing Raw Data'!$C:$O,11,0))),"")</f>
        <v/>
      </c>
      <c r="F2111" s="54" t="str">
        <f>IFERROR(IF(OR($B2111="",$B2111="(blank)"),"",VLOOKUP($B2111,'Email Marketing Raw Data'!$C:$O,13,0)),"")</f>
        <v/>
      </c>
      <c r="G2111" s="55" t="str">
        <f>IFERROR(IF(OR($B2111="",$B2111="(blank)"),"",VLOOKUP($B2111,'Email Marketing Raw Data'!$C:$O,4,0)),"")</f>
        <v/>
      </c>
      <c r="H2111" s="55" t="str">
        <f>IFERROR(IF(OR($B2111="",$B2111="(blank)"),"",VLOOKUP($B2111,'Email Marketing Raw Data'!$C:$O,5,0)),"")</f>
        <v/>
      </c>
      <c r="I2111" s="55" t="str">
        <f>IFERROR(IF($G2111="","",VLOOKUP('Dashboard And Emails Automate'!$G2111,Database!$H:$N,3,0)),"")</f>
        <v/>
      </c>
      <c r="J2111" s="55" t="str">
        <f>IFERROR(IF($G2111="","",VLOOKUP('Dashboard And Emails Automate'!$G2111,Database!$H:$N,4,0)),"")</f>
        <v/>
      </c>
      <c r="K2111" s="55" t="str">
        <f>IFERROR(IF($G2111="","",VLOOKUP('Dashboard And Emails Automate'!$G2111,Database!$H:$N,5,0)),"")</f>
        <v/>
      </c>
      <c r="L2111" s="55" t="str">
        <f>IFERROR(IF($G2111="","",VLOOKUP('Dashboard And Emails Automate'!$G2111,Database!$H:$N,6,0)),"")</f>
        <v/>
      </c>
      <c r="M2111" s="55" t="str">
        <f>IFERROR(IF($G2111="","",VLOOKUP('Dashboard And Emails Automate'!$G2111,Database!$H:$N,7,0)),"")</f>
        <v/>
      </c>
      <c r="N2111" s="55" t="str">
        <f>IFERROR(IF(OR($B2111="",$B2111="(blank)"),"",VLOOKUP($B2111,'Email Marketing Raw Data'!$C:$O,6,0)),"")</f>
        <v/>
      </c>
      <c r="O2111" s="55" t="str">
        <f>IFERROR(IF(OR($B2111="",$B2111="(blank)"),"",VLOOKUP($B2111,'Email Marketing Raw Data'!$C:$O,7,0)),"")</f>
        <v/>
      </c>
      <c r="P2111" s="55" t="str">
        <f>IFERROR(IF(OR($B2111="",$B2111="(blank)"),"",VLOOKUP($B2111,'Email Marketing Raw Data'!$C:$O,8,0)),"")</f>
        <v/>
      </c>
      <c r="Q2111" s="62" t="str">
        <f>IFERROR(IF(OR($B2111="",$B2111="(blank)"),"",VLOOKUP($B2111,'Email Marketing Raw Data'!$C:$O,9,0)),"")</f>
        <v/>
      </c>
    </row>
    <row r="2112" spans="4:17" ht="12.75" customHeight="1" x14ac:dyDescent="0.2">
      <c r="D2112" s="58" t="str">
        <f>IFERROR(IF(F2112&lt;&gt;"pending","",IF(OR($B2112="",$B2112="(blank)"),"",VLOOKUP($B2112,'Email Marketing Raw Data'!$C:$O,10,0))),"")</f>
        <v/>
      </c>
      <c r="E2112" s="59" t="str">
        <f>IFERROR(IF(F2112&lt;&gt;"pending","",IF(OR($B2112="",$B2112="(blank)"),"",VLOOKUP($B2112,'Email Marketing Raw Data'!$C:$O,11,0))),"")</f>
        <v/>
      </c>
      <c r="F2112" s="54" t="str">
        <f>IFERROR(IF(OR($B2112="",$B2112="(blank)"),"",VLOOKUP($B2112,'Email Marketing Raw Data'!$C:$O,13,0)),"")</f>
        <v/>
      </c>
      <c r="G2112" s="55" t="str">
        <f>IFERROR(IF(OR($B2112="",$B2112="(blank)"),"",VLOOKUP($B2112,'Email Marketing Raw Data'!$C:$O,4,0)),"")</f>
        <v/>
      </c>
      <c r="H2112" s="55" t="str">
        <f>IFERROR(IF(OR($B2112="",$B2112="(blank)"),"",VLOOKUP($B2112,'Email Marketing Raw Data'!$C:$O,5,0)),"")</f>
        <v/>
      </c>
      <c r="I2112" s="55" t="str">
        <f>IFERROR(IF($G2112="","",VLOOKUP('Dashboard And Emails Automate'!$G2112,Database!$H:$N,3,0)),"")</f>
        <v/>
      </c>
      <c r="J2112" s="55" t="str">
        <f>IFERROR(IF($G2112="","",VLOOKUP('Dashboard And Emails Automate'!$G2112,Database!$H:$N,4,0)),"")</f>
        <v/>
      </c>
      <c r="K2112" s="55" t="str">
        <f>IFERROR(IF($G2112="","",VLOOKUP('Dashboard And Emails Automate'!$G2112,Database!$H:$N,5,0)),"")</f>
        <v/>
      </c>
      <c r="L2112" s="55" t="str">
        <f>IFERROR(IF($G2112="","",VLOOKUP('Dashboard And Emails Automate'!$G2112,Database!$H:$N,6,0)),"")</f>
        <v/>
      </c>
      <c r="M2112" s="55" t="str">
        <f>IFERROR(IF($G2112="","",VLOOKUP('Dashboard And Emails Automate'!$G2112,Database!$H:$N,7,0)),"")</f>
        <v/>
      </c>
      <c r="N2112" s="55" t="str">
        <f>IFERROR(IF(OR($B2112="",$B2112="(blank)"),"",VLOOKUP($B2112,'Email Marketing Raw Data'!$C:$O,6,0)),"")</f>
        <v/>
      </c>
      <c r="O2112" s="55" t="str">
        <f>IFERROR(IF(OR($B2112="",$B2112="(blank)"),"",VLOOKUP($B2112,'Email Marketing Raw Data'!$C:$O,7,0)),"")</f>
        <v/>
      </c>
      <c r="P2112" s="55" t="str">
        <f>IFERROR(IF(OR($B2112="",$B2112="(blank)"),"",VLOOKUP($B2112,'Email Marketing Raw Data'!$C:$O,8,0)),"")</f>
        <v/>
      </c>
      <c r="Q2112" s="62" t="str">
        <f>IFERROR(IF(OR($B2112="",$B2112="(blank)"),"",VLOOKUP($B2112,'Email Marketing Raw Data'!$C:$O,9,0)),"")</f>
        <v/>
      </c>
    </row>
    <row r="2113" spans="4:17" ht="12.75" customHeight="1" x14ac:dyDescent="0.2">
      <c r="D2113" s="58" t="str">
        <f>IFERROR(IF(F2113&lt;&gt;"pending","",IF(OR($B2113="",$B2113="(blank)"),"",VLOOKUP($B2113,'Email Marketing Raw Data'!$C:$O,10,0))),"")</f>
        <v/>
      </c>
      <c r="E2113" s="59" t="str">
        <f>IFERROR(IF(F2113&lt;&gt;"pending","",IF(OR($B2113="",$B2113="(blank)"),"",VLOOKUP($B2113,'Email Marketing Raw Data'!$C:$O,11,0))),"")</f>
        <v/>
      </c>
      <c r="F2113" s="54" t="str">
        <f>IFERROR(IF(OR($B2113="",$B2113="(blank)"),"",VLOOKUP($B2113,'Email Marketing Raw Data'!$C:$O,13,0)),"")</f>
        <v/>
      </c>
      <c r="G2113" s="55" t="str">
        <f>IFERROR(IF(OR($B2113="",$B2113="(blank)"),"",VLOOKUP($B2113,'Email Marketing Raw Data'!$C:$O,4,0)),"")</f>
        <v/>
      </c>
      <c r="H2113" s="55" t="str">
        <f>IFERROR(IF(OR($B2113="",$B2113="(blank)"),"",VLOOKUP($B2113,'Email Marketing Raw Data'!$C:$O,5,0)),"")</f>
        <v/>
      </c>
      <c r="I2113" s="55" t="str">
        <f>IFERROR(IF($G2113="","",VLOOKUP('Dashboard And Emails Automate'!$G2113,Database!$H:$N,3,0)),"")</f>
        <v/>
      </c>
      <c r="J2113" s="55" t="str">
        <f>IFERROR(IF($G2113="","",VLOOKUP('Dashboard And Emails Automate'!$G2113,Database!$H:$N,4,0)),"")</f>
        <v/>
      </c>
      <c r="K2113" s="55" t="str">
        <f>IFERROR(IF($G2113="","",VLOOKUP('Dashboard And Emails Automate'!$G2113,Database!$H:$N,5,0)),"")</f>
        <v/>
      </c>
      <c r="L2113" s="55" t="str">
        <f>IFERROR(IF($G2113="","",VLOOKUP('Dashboard And Emails Automate'!$G2113,Database!$H:$N,6,0)),"")</f>
        <v/>
      </c>
      <c r="M2113" s="55" t="str">
        <f>IFERROR(IF($G2113="","",VLOOKUP('Dashboard And Emails Automate'!$G2113,Database!$H:$N,7,0)),"")</f>
        <v/>
      </c>
      <c r="N2113" s="55" t="str">
        <f>IFERROR(IF(OR($B2113="",$B2113="(blank)"),"",VLOOKUP($B2113,'Email Marketing Raw Data'!$C:$O,6,0)),"")</f>
        <v/>
      </c>
      <c r="O2113" s="55" t="str">
        <f>IFERROR(IF(OR($B2113="",$B2113="(blank)"),"",VLOOKUP($B2113,'Email Marketing Raw Data'!$C:$O,7,0)),"")</f>
        <v/>
      </c>
      <c r="P2113" s="55" t="str">
        <f>IFERROR(IF(OR($B2113="",$B2113="(blank)"),"",VLOOKUP($B2113,'Email Marketing Raw Data'!$C:$O,8,0)),"")</f>
        <v/>
      </c>
      <c r="Q2113" s="62" t="str">
        <f>IFERROR(IF(OR($B2113="",$B2113="(blank)"),"",VLOOKUP($B2113,'Email Marketing Raw Data'!$C:$O,9,0)),"")</f>
        <v/>
      </c>
    </row>
    <row r="2114" spans="4:17" ht="12.75" customHeight="1" x14ac:dyDescent="0.2">
      <c r="D2114" s="58" t="str">
        <f>IFERROR(IF(F2114&lt;&gt;"pending","",IF(OR($B2114="",$B2114="(blank)"),"",VLOOKUP($B2114,'Email Marketing Raw Data'!$C:$O,10,0))),"")</f>
        <v/>
      </c>
      <c r="E2114" s="59" t="str">
        <f>IFERROR(IF(F2114&lt;&gt;"pending","",IF(OR($B2114="",$B2114="(blank)"),"",VLOOKUP($B2114,'Email Marketing Raw Data'!$C:$O,11,0))),"")</f>
        <v/>
      </c>
      <c r="F2114" s="54" t="str">
        <f>IFERROR(IF(OR($B2114="",$B2114="(blank)"),"",VLOOKUP($B2114,'Email Marketing Raw Data'!$C:$O,13,0)),"")</f>
        <v/>
      </c>
      <c r="G2114" s="55" t="str">
        <f>IFERROR(IF(OR($B2114="",$B2114="(blank)"),"",VLOOKUP($B2114,'Email Marketing Raw Data'!$C:$O,4,0)),"")</f>
        <v/>
      </c>
      <c r="H2114" s="55" t="str">
        <f>IFERROR(IF(OR($B2114="",$B2114="(blank)"),"",VLOOKUP($B2114,'Email Marketing Raw Data'!$C:$O,5,0)),"")</f>
        <v/>
      </c>
      <c r="I2114" s="55" t="str">
        <f>IFERROR(IF($G2114="","",VLOOKUP('Dashboard And Emails Automate'!$G2114,Database!$H:$N,3,0)),"")</f>
        <v/>
      </c>
      <c r="J2114" s="55" t="str">
        <f>IFERROR(IF($G2114="","",VLOOKUP('Dashboard And Emails Automate'!$G2114,Database!$H:$N,4,0)),"")</f>
        <v/>
      </c>
      <c r="K2114" s="55" t="str">
        <f>IFERROR(IF($G2114="","",VLOOKUP('Dashboard And Emails Automate'!$G2114,Database!$H:$N,5,0)),"")</f>
        <v/>
      </c>
      <c r="L2114" s="55" t="str">
        <f>IFERROR(IF($G2114="","",VLOOKUP('Dashboard And Emails Automate'!$G2114,Database!$H:$N,6,0)),"")</f>
        <v/>
      </c>
      <c r="M2114" s="55" t="str">
        <f>IFERROR(IF($G2114="","",VLOOKUP('Dashboard And Emails Automate'!$G2114,Database!$H:$N,7,0)),"")</f>
        <v/>
      </c>
      <c r="N2114" s="55" t="str">
        <f>IFERROR(IF(OR($B2114="",$B2114="(blank)"),"",VLOOKUP($B2114,'Email Marketing Raw Data'!$C:$O,6,0)),"")</f>
        <v/>
      </c>
      <c r="O2114" s="55" t="str">
        <f>IFERROR(IF(OR($B2114="",$B2114="(blank)"),"",VLOOKUP($B2114,'Email Marketing Raw Data'!$C:$O,7,0)),"")</f>
        <v/>
      </c>
      <c r="P2114" s="55" t="str">
        <f>IFERROR(IF(OR($B2114="",$B2114="(blank)"),"",VLOOKUP($B2114,'Email Marketing Raw Data'!$C:$O,8,0)),"")</f>
        <v/>
      </c>
      <c r="Q2114" s="62" t="str">
        <f>IFERROR(IF(OR($B2114="",$B2114="(blank)"),"",VLOOKUP($B2114,'Email Marketing Raw Data'!$C:$O,9,0)),"")</f>
        <v/>
      </c>
    </row>
    <row r="2115" spans="4:17" ht="12.75" customHeight="1" x14ac:dyDescent="0.2">
      <c r="D2115" s="58" t="str">
        <f>IFERROR(IF(F2115&lt;&gt;"pending","",IF(OR($B2115="",$B2115="(blank)"),"",VLOOKUP($B2115,'Email Marketing Raw Data'!$C:$O,10,0))),"")</f>
        <v/>
      </c>
      <c r="E2115" s="59" t="str">
        <f>IFERROR(IF(F2115&lt;&gt;"pending","",IF(OR($B2115="",$B2115="(blank)"),"",VLOOKUP($B2115,'Email Marketing Raw Data'!$C:$O,11,0))),"")</f>
        <v/>
      </c>
      <c r="F2115" s="54" t="str">
        <f>IFERROR(IF(OR($B2115="",$B2115="(blank)"),"",VLOOKUP($B2115,'Email Marketing Raw Data'!$C:$O,13,0)),"")</f>
        <v/>
      </c>
      <c r="G2115" s="55" t="str">
        <f>IFERROR(IF(OR($B2115="",$B2115="(blank)"),"",VLOOKUP($B2115,'Email Marketing Raw Data'!$C:$O,4,0)),"")</f>
        <v/>
      </c>
      <c r="H2115" s="55" t="str">
        <f>IFERROR(IF(OR($B2115="",$B2115="(blank)"),"",VLOOKUP($B2115,'Email Marketing Raw Data'!$C:$O,5,0)),"")</f>
        <v/>
      </c>
      <c r="I2115" s="55" t="str">
        <f>IFERROR(IF($G2115="","",VLOOKUP('Dashboard And Emails Automate'!$G2115,Database!$H:$N,3,0)),"")</f>
        <v/>
      </c>
      <c r="J2115" s="55" t="str">
        <f>IFERROR(IF($G2115="","",VLOOKUP('Dashboard And Emails Automate'!$G2115,Database!$H:$N,4,0)),"")</f>
        <v/>
      </c>
      <c r="K2115" s="55" t="str">
        <f>IFERROR(IF($G2115="","",VLOOKUP('Dashboard And Emails Automate'!$G2115,Database!$H:$N,5,0)),"")</f>
        <v/>
      </c>
      <c r="L2115" s="55" t="str">
        <f>IFERROR(IF($G2115="","",VLOOKUP('Dashboard And Emails Automate'!$G2115,Database!$H:$N,6,0)),"")</f>
        <v/>
      </c>
      <c r="M2115" s="55" t="str">
        <f>IFERROR(IF($G2115="","",VLOOKUP('Dashboard And Emails Automate'!$G2115,Database!$H:$N,7,0)),"")</f>
        <v/>
      </c>
      <c r="N2115" s="55" t="str">
        <f>IFERROR(IF(OR($B2115="",$B2115="(blank)"),"",VLOOKUP($B2115,'Email Marketing Raw Data'!$C:$O,6,0)),"")</f>
        <v/>
      </c>
      <c r="O2115" s="55" t="str">
        <f>IFERROR(IF(OR($B2115="",$B2115="(blank)"),"",VLOOKUP($B2115,'Email Marketing Raw Data'!$C:$O,7,0)),"")</f>
        <v/>
      </c>
      <c r="P2115" s="55" t="str">
        <f>IFERROR(IF(OR($B2115="",$B2115="(blank)"),"",VLOOKUP($B2115,'Email Marketing Raw Data'!$C:$O,8,0)),"")</f>
        <v/>
      </c>
      <c r="Q2115" s="62" t="str">
        <f>IFERROR(IF(OR($B2115="",$B2115="(blank)"),"",VLOOKUP($B2115,'Email Marketing Raw Data'!$C:$O,9,0)),"")</f>
        <v/>
      </c>
    </row>
    <row r="2116" spans="4:17" ht="12.75" customHeight="1" x14ac:dyDescent="0.2">
      <c r="D2116" s="58" t="str">
        <f>IFERROR(IF(F2116&lt;&gt;"pending","",IF(OR($B2116="",$B2116="(blank)"),"",VLOOKUP($B2116,'Email Marketing Raw Data'!$C:$O,10,0))),"")</f>
        <v/>
      </c>
      <c r="E2116" s="59" t="str">
        <f>IFERROR(IF(F2116&lt;&gt;"pending","",IF(OR($B2116="",$B2116="(blank)"),"",VLOOKUP($B2116,'Email Marketing Raw Data'!$C:$O,11,0))),"")</f>
        <v/>
      </c>
      <c r="F2116" s="54" t="str">
        <f>IFERROR(IF(OR($B2116="",$B2116="(blank)"),"",VLOOKUP($B2116,'Email Marketing Raw Data'!$C:$O,13,0)),"")</f>
        <v/>
      </c>
      <c r="G2116" s="55" t="str">
        <f>IFERROR(IF(OR($B2116="",$B2116="(blank)"),"",VLOOKUP($B2116,'Email Marketing Raw Data'!$C:$O,4,0)),"")</f>
        <v/>
      </c>
      <c r="H2116" s="55" t="str">
        <f>IFERROR(IF(OR($B2116="",$B2116="(blank)"),"",VLOOKUP($B2116,'Email Marketing Raw Data'!$C:$O,5,0)),"")</f>
        <v/>
      </c>
      <c r="I2116" s="55" t="str">
        <f>IFERROR(IF($G2116="","",VLOOKUP('Dashboard And Emails Automate'!$G2116,Database!$H:$N,3,0)),"")</f>
        <v/>
      </c>
      <c r="J2116" s="55" t="str">
        <f>IFERROR(IF($G2116="","",VLOOKUP('Dashboard And Emails Automate'!$G2116,Database!$H:$N,4,0)),"")</f>
        <v/>
      </c>
      <c r="K2116" s="55" t="str">
        <f>IFERROR(IF($G2116="","",VLOOKUP('Dashboard And Emails Automate'!$G2116,Database!$H:$N,5,0)),"")</f>
        <v/>
      </c>
      <c r="L2116" s="55" t="str">
        <f>IFERROR(IF($G2116="","",VLOOKUP('Dashboard And Emails Automate'!$G2116,Database!$H:$N,6,0)),"")</f>
        <v/>
      </c>
      <c r="M2116" s="55" t="str">
        <f>IFERROR(IF($G2116="","",VLOOKUP('Dashboard And Emails Automate'!$G2116,Database!$H:$N,7,0)),"")</f>
        <v/>
      </c>
      <c r="N2116" s="55" t="str">
        <f>IFERROR(IF(OR($B2116="",$B2116="(blank)"),"",VLOOKUP($B2116,'Email Marketing Raw Data'!$C:$O,6,0)),"")</f>
        <v/>
      </c>
      <c r="O2116" s="55" t="str">
        <f>IFERROR(IF(OR($B2116="",$B2116="(blank)"),"",VLOOKUP($B2116,'Email Marketing Raw Data'!$C:$O,7,0)),"")</f>
        <v/>
      </c>
      <c r="P2116" s="55" t="str">
        <f>IFERROR(IF(OR($B2116="",$B2116="(blank)"),"",VLOOKUP($B2116,'Email Marketing Raw Data'!$C:$O,8,0)),"")</f>
        <v/>
      </c>
      <c r="Q2116" s="62" t="str">
        <f>IFERROR(IF(OR($B2116="",$B2116="(blank)"),"",VLOOKUP($B2116,'Email Marketing Raw Data'!$C:$O,9,0)),"")</f>
        <v/>
      </c>
    </row>
    <row r="2117" spans="4:17" ht="12.75" customHeight="1" x14ac:dyDescent="0.2">
      <c r="D2117" s="58" t="str">
        <f>IFERROR(IF(F2117&lt;&gt;"pending","",IF(OR($B2117="",$B2117="(blank)"),"",VLOOKUP($B2117,'Email Marketing Raw Data'!$C:$O,10,0))),"")</f>
        <v/>
      </c>
      <c r="E2117" s="59" t="str">
        <f>IFERROR(IF(F2117&lt;&gt;"pending","",IF(OR($B2117="",$B2117="(blank)"),"",VLOOKUP($B2117,'Email Marketing Raw Data'!$C:$O,11,0))),"")</f>
        <v/>
      </c>
      <c r="F2117" s="54" t="str">
        <f>IFERROR(IF(OR($B2117="",$B2117="(blank)"),"",VLOOKUP($B2117,'Email Marketing Raw Data'!$C:$O,13,0)),"")</f>
        <v/>
      </c>
      <c r="G2117" s="55" t="str">
        <f>IFERROR(IF(OR($B2117="",$B2117="(blank)"),"",VLOOKUP($B2117,'Email Marketing Raw Data'!$C:$O,4,0)),"")</f>
        <v/>
      </c>
      <c r="H2117" s="55" t="str">
        <f>IFERROR(IF(OR($B2117="",$B2117="(blank)"),"",VLOOKUP($B2117,'Email Marketing Raw Data'!$C:$O,5,0)),"")</f>
        <v/>
      </c>
      <c r="I2117" s="55" t="str">
        <f>IFERROR(IF($G2117="","",VLOOKUP('Dashboard And Emails Automate'!$G2117,Database!$H:$N,3,0)),"")</f>
        <v/>
      </c>
      <c r="J2117" s="55" t="str">
        <f>IFERROR(IF($G2117="","",VLOOKUP('Dashboard And Emails Automate'!$G2117,Database!$H:$N,4,0)),"")</f>
        <v/>
      </c>
      <c r="K2117" s="55" t="str">
        <f>IFERROR(IF($G2117="","",VLOOKUP('Dashboard And Emails Automate'!$G2117,Database!$H:$N,5,0)),"")</f>
        <v/>
      </c>
      <c r="L2117" s="55" t="str">
        <f>IFERROR(IF($G2117="","",VLOOKUP('Dashboard And Emails Automate'!$G2117,Database!$H:$N,6,0)),"")</f>
        <v/>
      </c>
      <c r="M2117" s="55" t="str">
        <f>IFERROR(IF($G2117="","",VLOOKUP('Dashboard And Emails Automate'!$G2117,Database!$H:$N,7,0)),"")</f>
        <v/>
      </c>
      <c r="N2117" s="55" t="str">
        <f>IFERROR(IF(OR($B2117="",$B2117="(blank)"),"",VLOOKUP($B2117,'Email Marketing Raw Data'!$C:$O,6,0)),"")</f>
        <v/>
      </c>
      <c r="O2117" s="55" t="str">
        <f>IFERROR(IF(OR($B2117="",$B2117="(blank)"),"",VLOOKUP($B2117,'Email Marketing Raw Data'!$C:$O,7,0)),"")</f>
        <v/>
      </c>
      <c r="P2117" s="55" t="str">
        <f>IFERROR(IF(OR($B2117="",$B2117="(blank)"),"",VLOOKUP($B2117,'Email Marketing Raw Data'!$C:$O,8,0)),"")</f>
        <v/>
      </c>
      <c r="Q2117" s="62" t="str">
        <f>IFERROR(IF(OR($B2117="",$B2117="(blank)"),"",VLOOKUP($B2117,'Email Marketing Raw Data'!$C:$O,9,0)),"")</f>
        <v/>
      </c>
    </row>
    <row r="2118" spans="4:17" ht="12.75" customHeight="1" x14ac:dyDescent="0.2">
      <c r="D2118" s="58" t="str">
        <f>IFERROR(IF(F2118&lt;&gt;"pending","",IF(OR($B2118="",$B2118="(blank)"),"",VLOOKUP($B2118,'Email Marketing Raw Data'!$C:$O,10,0))),"")</f>
        <v/>
      </c>
      <c r="E2118" s="59" t="str">
        <f>IFERROR(IF(F2118&lt;&gt;"pending","",IF(OR($B2118="",$B2118="(blank)"),"",VLOOKUP($B2118,'Email Marketing Raw Data'!$C:$O,11,0))),"")</f>
        <v/>
      </c>
      <c r="F2118" s="54" t="str">
        <f>IFERROR(IF(OR($B2118="",$B2118="(blank)"),"",VLOOKUP($B2118,'Email Marketing Raw Data'!$C:$O,13,0)),"")</f>
        <v/>
      </c>
      <c r="G2118" s="55" t="str">
        <f>IFERROR(IF(OR($B2118="",$B2118="(blank)"),"",VLOOKUP($B2118,'Email Marketing Raw Data'!$C:$O,4,0)),"")</f>
        <v/>
      </c>
      <c r="H2118" s="55" t="str">
        <f>IFERROR(IF(OR($B2118="",$B2118="(blank)"),"",VLOOKUP($B2118,'Email Marketing Raw Data'!$C:$O,5,0)),"")</f>
        <v/>
      </c>
      <c r="I2118" s="55" t="str">
        <f>IFERROR(IF($G2118="","",VLOOKUP('Dashboard And Emails Automate'!$G2118,Database!$H:$N,3,0)),"")</f>
        <v/>
      </c>
      <c r="J2118" s="55" t="str">
        <f>IFERROR(IF($G2118="","",VLOOKUP('Dashboard And Emails Automate'!$G2118,Database!$H:$N,4,0)),"")</f>
        <v/>
      </c>
      <c r="K2118" s="55" t="str">
        <f>IFERROR(IF($G2118="","",VLOOKUP('Dashboard And Emails Automate'!$G2118,Database!$H:$N,5,0)),"")</f>
        <v/>
      </c>
      <c r="L2118" s="55" t="str">
        <f>IFERROR(IF($G2118="","",VLOOKUP('Dashboard And Emails Automate'!$G2118,Database!$H:$N,6,0)),"")</f>
        <v/>
      </c>
      <c r="M2118" s="55" t="str">
        <f>IFERROR(IF($G2118="","",VLOOKUP('Dashboard And Emails Automate'!$G2118,Database!$H:$N,7,0)),"")</f>
        <v/>
      </c>
      <c r="N2118" s="55" t="str">
        <f>IFERROR(IF(OR($B2118="",$B2118="(blank)"),"",VLOOKUP($B2118,'Email Marketing Raw Data'!$C:$O,6,0)),"")</f>
        <v/>
      </c>
      <c r="O2118" s="55" t="str">
        <f>IFERROR(IF(OR($B2118="",$B2118="(blank)"),"",VLOOKUP($B2118,'Email Marketing Raw Data'!$C:$O,7,0)),"")</f>
        <v/>
      </c>
      <c r="P2118" s="55" t="str">
        <f>IFERROR(IF(OR($B2118="",$B2118="(blank)"),"",VLOOKUP($B2118,'Email Marketing Raw Data'!$C:$O,8,0)),"")</f>
        <v/>
      </c>
      <c r="Q2118" s="62" t="str">
        <f>IFERROR(IF(OR($B2118="",$B2118="(blank)"),"",VLOOKUP($B2118,'Email Marketing Raw Data'!$C:$O,9,0)),"")</f>
        <v/>
      </c>
    </row>
    <row r="2119" spans="4:17" ht="12.75" customHeight="1" x14ac:dyDescent="0.2">
      <c r="D2119" s="58" t="str">
        <f>IFERROR(IF(F2119&lt;&gt;"pending","",IF(OR($B2119="",$B2119="(blank)"),"",VLOOKUP($B2119,'Email Marketing Raw Data'!$C:$O,10,0))),"")</f>
        <v/>
      </c>
      <c r="E2119" s="59" t="str">
        <f>IFERROR(IF(F2119&lt;&gt;"pending","",IF(OR($B2119="",$B2119="(blank)"),"",VLOOKUP($B2119,'Email Marketing Raw Data'!$C:$O,11,0))),"")</f>
        <v/>
      </c>
      <c r="F2119" s="54" t="str">
        <f>IFERROR(IF(OR($B2119="",$B2119="(blank)"),"",VLOOKUP($B2119,'Email Marketing Raw Data'!$C:$O,13,0)),"")</f>
        <v/>
      </c>
      <c r="G2119" s="55" t="str">
        <f>IFERROR(IF(OR($B2119="",$B2119="(blank)"),"",VLOOKUP($B2119,'Email Marketing Raw Data'!$C:$O,4,0)),"")</f>
        <v/>
      </c>
      <c r="H2119" s="55" t="str">
        <f>IFERROR(IF(OR($B2119="",$B2119="(blank)"),"",VLOOKUP($B2119,'Email Marketing Raw Data'!$C:$O,5,0)),"")</f>
        <v/>
      </c>
      <c r="I2119" s="55" t="str">
        <f>IFERROR(IF($G2119="","",VLOOKUP('Dashboard And Emails Automate'!$G2119,Database!$H:$N,3,0)),"")</f>
        <v/>
      </c>
      <c r="J2119" s="55" t="str">
        <f>IFERROR(IF($G2119="","",VLOOKUP('Dashboard And Emails Automate'!$G2119,Database!$H:$N,4,0)),"")</f>
        <v/>
      </c>
      <c r="K2119" s="55" t="str">
        <f>IFERROR(IF($G2119="","",VLOOKUP('Dashboard And Emails Automate'!$G2119,Database!$H:$N,5,0)),"")</f>
        <v/>
      </c>
      <c r="L2119" s="55" t="str">
        <f>IFERROR(IF($G2119="","",VLOOKUP('Dashboard And Emails Automate'!$G2119,Database!$H:$N,6,0)),"")</f>
        <v/>
      </c>
      <c r="M2119" s="55" t="str">
        <f>IFERROR(IF($G2119="","",VLOOKUP('Dashboard And Emails Automate'!$G2119,Database!$H:$N,7,0)),"")</f>
        <v/>
      </c>
      <c r="N2119" s="55" t="str">
        <f>IFERROR(IF(OR($B2119="",$B2119="(blank)"),"",VLOOKUP($B2119,'Email Marketing Raw Data'!$C:$O,6,0)),"")</f>
        <v/>
      </c>
      <c r="O2119" s="55" t="str">
        <f>IFERROR(IF(OR($B2119="",$B2119="(blank)"),"",VLOOKUP($B2119,'Email Marketing Raw Data'!$C:$O,7,0)),"")</f>
        <v/>
      </c>
      <c r="P2119" s="55" t="str">
        <f>IFERROR(IF(OR($B2119="",$B2119="(blank)"),"",VLOOKUP($B2119,'Email Marketing Raw Data'!$C:$O,8,0)),"")</f>
        <v/>
      </c>
      <c r="Q2119" s="62" t="str">
        <f>IFERROR(IF(OR($B2119="",$B2119="(blank)"),"",VLOOKUP($B2119,'Email Marketing Raw Data'!$C:$O,9,0)),"")</f>
        <v/>
      </c>
    </row>
    <row r="2120" spans="4:17" ht="12.75" customHeight="1" x14ac:dyDescent="0.2">
      <c r="D2120" s="58" t="str">
        <f>IFERROR(IF(F2120&lt;&gt;"pending","",IF(OR($B2120="",$B2120="(blank)"),"",VLOOKUP($B2120,'Email Marketing Raw Data'!$C:$O,10,0))),"")</f>
        <v/>
      </c>
      <c r="E2120" s="59" t="str">
        <f>IFERROR(IF(F2120&lt;&gt;"pending","",IF(OR($B2120="",$B2120="(blank)"),"",VLOOKUP($B2120,'Email Marketing Raw Data'!$C:$O,11,0))),"")</f>
        <v/>
      </c>
      <c r="F2120" s="54" t="str">
        <f>IFERROR(IF(OR($B2120="",$B2120="(blank)"),"",VLOOKUP($B2120,'Email Marketing Raw Data'!$C:$O,13,0)),"")</f>
        <v/>
      </c>
      <c r="G2120" s="55" t="str">
        <f>IFERROR(IF(OR($B2120="",$B2120="(blank)"),"",VLOOKUP($B2120,'Email Marketing Raw Data'!$C:$O,4,0)),"")</f>
        <v/>
      </c>
      <c r="H2120" s="55" t="str">
        <f>IFERROR(IF(OR($B2120="",$B2120="(blank)"),"",VLOOKUP($B2120,'Email Marketing Raw Data'!$C:$O,5,0)),"")</f>
        <v/>
      </c>
      <c r="I2120" s="55" t="str">
        <f>IFERROR(IF($G2120="","",VLOOKUP('Dashboard And Emails Automate'!$G2120,Database!$H:$N,3,0)),"")</f>
        <v/>
      </c>
      <c r="J2120" s="55" t="str">
        <f>IFERROR(IF($G2120="","",VLOOKUP('Dashboard And Emails Automate'!$G2120,Database!$H:$N,4,0)),"")</f>
        <v/>
      </c>
      <c r="K2120" s="55" t="str">
        <f>IFERROR(IF($G2120="","",VLOOKUP('Dashboard And Emails Automate'!$G2120,Database!$H:$N,5,0)),"")</f>
        <v/>
      </c>
      <c r="L2120" s="55" t="str">
        <f>IFERROR(IF($G2120="","",VLOOKUP('Dashboard And Emails Automate'!$G2120,Database!$H:$N,6,0)),"")</f>
        <v/>
      </c>
      <c r="M2120" s="55" t="str">
        <f>IFERROR(IF($G2120="","",VLOOKUP('Dashboard And Emails Automate'!$G2120,Database!$H:$N,7,0)),"")</f>
        <v/>
      </c>
      <c r="N2120" s="55" t="str">
        <f>IFERROR(IF(OR($B2120="",$B2120="(blank)"),"",VLOOKUP($B2120,'Email Marketing Raw Data'!$C:$O,6,0)),"")</f>
        <v/>
      </c>
      <c r="O2120" s="55" t="str">
        <f>IFERROR(IF(OR($B2120="",$B2120="(blank)"),"",VLOOKUP($B2120,'Email Marketing Raw Data'!$C:$O,7,0)),"")</f>
        <v/>
      </c>
      <c r="P2120" s="55" t="str">
        <f>IFERROR(IF(OR($B2120="",$B2120="(blank)"),"",VLOOKUP($B2120,'Email Marketing Raw Data'!$C:$O,8,0)),"")</f>
        <v/>
      </c>
      <c r="Q2120" s="62" t="str">
        <f>IFERROR(IF(OR($B2120="",$B2120="(blank)"),"",VLOOKUP($B2120,'Email Marketing Raw Data'!$C:$O,9,0)),"")</f>
        <v/>
      </c>
    </row>
    <row r="2121" spans="4:17" ht="12.75" customHeight="1" x14ac:dyDescent="0.2">
      <c r="D2121" s="58" t="str">
        <f>IFERROR(IF(F2121&lt;&gt;"pending","",IF(OR($B2121="",$B2121="(blank)"),"",VLOOKUP($B2121,'Email Marketing Raw Data'!$C:$O,10,0))),"")</f>
        <v/>
      </c>
      <c r="E2121" s="59" t="str">
        <f>IFERROR(IF(F2121&lt;&gt;"pending","",IF(OR($B2121="",$B2121="(blank)"),"",VLOOKUP($B2121,'Email Marketing Raw Data'!$C:$O,11,0))),"")</f>
        <v/>
      </c>
      <c r="F2121" s="54" t="str">
        <f>IFERROR(IF(OR($B2121="",$B2121="(blank)"),"",VLOOKUP($B2121,'Email Marketing Raw Data'!$C:$O,13,0)),"")</f>
        <v/>
      </c>
      <c r="G2121" s="55" t="str">
        <f>IFERROR(IF(OR($B2121="",$B2121="(blank)"),"",VLOOKUP($B2121,'Email Marketing Raw Data'!$C:$O,4,0)),"")</f>
        <v/>
      </c>
      <c r="H2121" s="55" t="str">
        <f>IFERROR(IF(OR($B2121="",$B2121="(blank)"),"",VLOOKUP($B2121,'Email Marketing Raw Data'!$C:$O,5,0)),"")</f>
        <v/>
      </c>
      <c r="I2121" s="55" t="str">
        <f>IFERROR(IF($G2121="","",VLOOKUP('Dashboard And Emails Automate'!$G2121,Database!$H:$N,3,0)),"")</f>
        <v/>
      </c>
      <c r="J2121" s="55" t="str">
        <f>IFERROR(IF($G2121="","",VLOOKUP('Dashboard And Emails Automate'!$G2121,Database!$H:$N,4,0)),"")</f>
        <v/>
      </c>
      <c r="K2121" s="55" t="str">
        <f>IFERROR(IF($G2121="","",VLOOKUP('Dashboard And Emails Automate'!$G2121,Database!$H:$N,5,0)),"")</f>
        <v/>
      </c>
      <c r="L2121" s="55" t="str">
        <f>IFERROR(IF($G2121="","",VLOOKUP('Dashboard And Emails Automate'!$G2121,Database!$H:$N,6,0)),"")</f>
        <v/>
      </c>
      <c r="M2121" s="55" t="str">
        <f>IFERROR(IF($G2121="","",VLOOKUP('Dashboard And Emails Automate'!$G2121,Database!$H:$N,7,0)),"")</f>
        <v/>
      </c>
      <c r="N2121" s="55" t="str">
        <f>IFERROR(IF(OR($B2121="",$B2121="(blank)"),"",VLOOKUP($B2121,'Email Marketing Raw Data'!$C:$O,6,0)),"")</f>
        <v/>
      </c>
      <c r="O2121" s="55" t="str">
        <f>IFERROR(IF(OR($B2121="",$B2121="(blank)"),"",VLOOKUP($B2121,'Email Marketing Raw Data'!$C:$O,7,0)),"")</f>
        <v/>
      </c>
      <c r="P2121" s="55" t="str">
        <f>IFERROR(IF(OR($B2121="",$B2121="(blank)"),"",VLOOKUP($B2121,'Email Marketing Raw Data'!$C:$O,8,0)),"")</f>
        <v/>
      </c>
      <c r="Q2121" s="62" t="str">
        <f>IFERROR(IF(OR($B2121="",$B2121="(blank)"),"",VLOOKUP($B2121,'Email Marketing Raw Data'!$C:$O,9,0)),"")</f>
        <v/>
      </c>
    </row>
    <row r="2122" spans="4:17" ht="12.75" customHeight="1" x14ac:dyDescent="0.2">
      <c r="D2122" s="58" t="str">
        <f>IFERROR(IF(F2122&lt;&gt;"pending","",IF(OR($B2122="",$B2122="(blank)"),"",VLOOKUP($B2122,'Email Marketing Raw Data'!$C:$O,10,0))),"")</f>
        <v/>
      </c>
      <c r="E2122" s="59" t="str">
        <f>IFERROR(IF(F2122&lt;&gt;"pending","",IF(OR($B2122="",$B2122="(blank)"),"",VLOOKUP($B2122,'Email Marketing Raw Data'!$C:$O,11,0))),"")</f>
        <v/>
      </c>
      <c r="F2122" s="54" t="str">
        <f>IFERROR(IF(OR($B2122="",$B2122="(blank)"),"",VLOOKUP($B2122,'Email Marketing Raw Data'!$C:$O,13,0)),"")</f>
        <v/>
      </c>
      <c r="G2122" s="55" t="str">
        <f>IFERROR(IF(OR($B2122="",$B2122="(blank)"),"",VLOOKUP($B2122,'Email Marketing Raw Data'!$C:$O,4,0)),"")</f>
        <v/>
      </c>
      <c r="H2122" s="55" t="str">
        <f>IFERROR(IF(OR($B2122="",$B2122="(blank)"),"",VLOOKUP($B2122,'Email Marketing Raw Data'!$C:$O,5,0)),"")</f>
        <v/>
      </c>
      <c r="I2122" s="55" t="str">
        <f>IFERROR(IF($G2122="","",VLOOKUP('Dashboard And Emails Automate'!$G2122,Database!$H:$N,3,0)),"")</f>
        <v/>
      </c>
      <c r="J2122" s="55" t="str">
        <f>IFERROR(IF($G2122="","",VLOOKUP('Dashboard And Emails Automate'!$G2122,Database!$H:$N,4,0)),"")</f>
        <v/>
      </c>
      <c r="K2122" s="55" t="str">
        <f>IFERROR(IF($G2122="","",VLOOKUP('Dashboard And Emails Automate'!$G2122,Database!$H:$N,5,0)),"")</f>
        <v/>
      </c>
      <c r="L2122" s="55" t="str">
        <f>IFERROR(IF($G2122="","",VLOOKUP('Dashboard And Emails Automate'!$G2122,Database!$H:$N,6,0)),"")</f>
        <v/>
      </c>
      <c r="M2122" s="55" t="str">
        <f>IFERROR(IF($G2122="","",VLOOKUP('Dashboard And Emails Automate'!$G2122,Database!$H:$N,7,0)),"")</f>
        <v/>
      </c>
      <c r="N2122" s="55" t="str">
        <f>IFERROR(IF(OR($B2122="",$B2122="(blank)"),"",VLOOKUP($B2122,'Email Marketing Raw Data'!$C:$O,6,0)),"")</f>
        <v/>
      </c>
      <c r="O2122" s="55" t="str">
        <f>IFERROR(IF(OR($B2122="",$B2122="(blank)"),"",VLOOKUP($B2122,'Email Marketing Raw Data'!$C:$O,7,0)),"")</f>
        <v/>
      </c>
      <c r="P2122" s="55" t="str">
        <f>IFERROR(IF(OR($B2122="",$B2122="(blank)"),"",VLOOKUP($B2122,'Email Marketing Raw Data'!$C:$O,8,0)),"")</f>
        <v/>
      </c>
      <c r="Q2122" s="62" t="str">
        <f>IFERROR(IF(OR($B2122="",$B2122="(blank)"),"",VLOOKUP($B2122,'Email Marketing Raw Data'!$C:$O,9,0)),"")</f>
        <v/>
      </c>
    </row>
    <row r="2123" spans="4:17" ht="12.75" customHeight="1" x14ac:dyDescent="0.2">
      <c r="D2123" s="58" t="str">
        <f>IFERROR(IF(F2123&lt;&gt;"pending","",IF(OR($B2123="",$B2123="(blank)"),"",VLOOKUP($B2123,'Email Marketing Raw Data'!$C:$O,10,0))),"")</f>
        <v/>
      </c>
      <c r="E2123" s="59" t="str">
        <f>IFERROR(IF(F2123&lt;&gt;"pending","",IF(OR($B2123="",$B2123="(blank)"),"",VLOOKUP($B2123,'Email Marketing Raw Data'!$C:$O,11,0))),"")</f>
        <v/>
      </c>
      <c r="F2123" s="54" t="str">
        <f>IFERROR(IF(OR($B2123="",$B2123="(blank)"),"",VLOOKUP($B2123,'Email Marketing Raw Data'!$C:$O,13,0)),"")</f>
        <v/>
      </c>
      <c r="G2123" s="55" t="str">
        <f>IFERROR(IF(OR($B2123="",$B2123="(blank)"),"",VLOOKUP($B2123,'Email Marketing Raw Data'!$C:$O,4,0)),"")</f>
        <v/>
      </c>
      <c r="H2123" s="55" t="str">
        <f>IFERROR(IF(OR($B2123="",$B2123="(blank)"),"",VLOOKUP($B2123,'Email Marketing Raw Data'!$C:$O,5,0)),"")</f>
        <v/>
      </c>
      <c r="I2123" s="55" t="str">
        <f>IFERROR(IF($G2123="","",VLOOKUP('Dashboard And Emails Automate'!$G2123,Database!$H:$N,3,0)),"")</f>
        <v/>
      </c>
      <c r="J2123" s="55" t="str">
        <f>IFERROR(IF($G2123="","",VLOOKUP('Dashboard And Emails Automate'!$G2123,Database!$H:$N,4,0)),"")</f>
        <v/>
      </c>
      <c r="K2123" s="55" t="str">
        <f>IFERROR(IF($G2123="","",VLOOKUP('Dashboard And Emails Automate'!$G2123,Database!$H:$N,5,0)),"")</f>
        <v/>
      </c>
      <c r="L2123" s="55" t="str">
        <f>IFERROR(IF($G2123="","",VLOOKUP('Dashboard And Emails Automate'!$G2123,Database!$H:$N,6,0)),"")</f>
        <v/>
      </c>
      <c r="M2123" s="55" t="str">
        <f>IFERROR(IF($G2123="","",VLOOKUP('Dashboard And Emails Automate'!$G2123,Database!$H:$N,7,0)),"")</f>
        <v/>
      </c>
      <c r="N2123" s="55" t="str">
        <f>IFERROR(IF(OR($B2123="",$B2123="(blank)"),"",VLOOKUP($B2123,'Email Marketing Raw Data'!$C:$O,6,0)),"")</f>
        <v/>
      </c>
      <c r="O2123" s="55" t="str">
        <f>IFERROR(IF(OR($B2123="",$B2123="(blank)"),"",VLOOKUP($B2123,'Email Marketing Raw Data'!$C:$O,7,0)),"")</f>
        <v/>
      </c>
      <c r="P2123" s="55" t="str">
        <f>IFERROR(IF(OR($B2123="",$B2123="(blank)"),"",VLOOKUP($B2123,'Email Marketing Raw Data'!$C:$O,8,0)),"")</f>
        <v/>
      </c>
      <c r="Q2123" s="62" t="str">
        <f>IFERROR(IF(OR($B2123="",$B2123="(blank)"),"",VLOOKUP($B2123,'Email Marketing Raw Data'!$C:$O,9,0)),"")</f>
        <v/>
      </c>
    </row>
    <row r="2124" spans="4:17" ht="12.75" customHeight="1" x14ac:dyDescent="0.2">
      <c r="D2124" s="58" t="str">
        <f>IFERROR(IF(F2124&lt;&gt;"pending","",IF(OR($B2124="",$B2124="(blank)"),"",VLOOKUP($B2124,'Email Marketing Raw Data'!$C:$O,10,0))),"")</f>
        <v/>
      </c>
      <c r="E2124" s="59" t="str">
        <f>IFERROR(IF(F2124&lt;&gt;"pending","",IF(OR($B2124="",$B2124="(blank)"),"",VLOOKUP($B2124,'Email Marketing Raw Data'!$C:$O,11,0))),"")</f>
        <v/>
      </c>
      <c r="F2124" s="54" t="str">
        <f>IFERROR(IF(OR($B2124="",$B2124="(blank)"),"",VLOOKUP($B2124,'Email Marketing Raw Data'!$C:$O,13,0)),"")</f>
        <v/>
      </c>
      <c r="G2124" s="55" t="str">
        <f>IFERROR(IF(OR($B2124="",$B2124="(blank)"),"",VLOOKUP($B2124,'Email Marketing Raw Data'!$C:$O,4,0)),"")</f>
        <v/>
      </c>
      <c r="H2124" s="55" t="str">
        <f>IFERROR(IF(OR($B2124="",$B2124="(blank)"),"",VLOOKUP($B2124,'Email Marketing Raw Data'!$C:$O,5,0)),"")</f>
        <v/>
      </c>
      <c r="I2124" s="55" t="str">
        <f>IFERROR(IF($G2124="","",VLOOKUP('Dashboard And Emails Automate'!$G2124,Database!$H:$N,3,0)),"")</f>
        <v/>
      </c>
      <c r="J2124" s="55" t="str">
        <f>IFERROR(IF($G2124="","",VLOOKUP('Dashboard And Emails Automate'!$G2124,Database!$H:$N,4,0)),"")</f>
        <v/>
      </c>
      <c r="K2124" s="55" t="str">
        <f>IFERROR(IF($G2124="","",VLOOKUP('Dashboard And Emails Automate'!$G2124,Database!$H:$N,5,0)),"")</f>
        <v/>
      </c>
      <c r="L2124" s="55" t="str">
        <f>IFERROR(IF($G2124="","",VLOOKUP('Dashboard And Emails Automate'!$G2124,Database!$H:$N,6,0)),"")</f>
        <v/>
      </c>
      <c r="M2124" s="55" t="str">
        <f>IFERROR(IF($G2124="","",VLOOKUP('Dashboard And Emails Automate'!$G2124,Database!$H:$N,7,0)),"")</f>
        <v/>
      </c>
      <c r="N2124" s="55" t="str">
        <f>IFERROR(IF(OR($B2124="",$B2124="(blank)"),"",VLOOKUP($B2124,'Email Marketing Raw Data'!$C:$O,6,0)),"")</f>
        <v/>
      </c>
      <c r="O2124" s="55" t="str">
        <f>IFERROR(IF(OR($B2124="",$B2124="(blank)"),"",VLOOKUP($B2124,'Email Marketing Raw Data'!$C:$O,7,0)),"")</f>
        <v/>
      </c>
      <c r="P2124" s="55" t="str">
        <f>IFERROR(IF(OR($B2124="",$B2124="(blank)"),"",VLOOKUP($B2124,'Email Marketing Raw Data'!$C:$O,8,0)),"")</f>
        <v/>
      </c>
      <c r="Q2124" s="62" t="str">
        <f>IFERROR(IF(OR($B2124="",$B2124="(blank)"),"",VLOOKUP($B2124,'Email Marketing Raw Data'!$C:$O,9,0)),"")</f>
        <v/>
      </c>
    </row>
    <row r="2125" spans="4:17" ht="12.75" customHeight="1" x14ac:dyDescent="0.2">
      <c r="D2125" s="58" t="str">
        <f>IFERROR(IF(F2125&lt;&gt;"pending","",IF(OR($B2125="",$B2125="(blank)"),"",VLOOKUP($B2125,'Email Marketing Raw Data'!$C:$O,10,0))),"")</f>
        <v/>
      </c>
      <c r="E2125" s="59" t="str">
        <f>IFERROR(IF(F2125&lt;&gt;"pending","",IF(OR($B2125="",$B2125="(blank)"),"",VLOOKUP($B2125,'Email Marketing Raw Data'!$C:$O,11,0))),"")</f>
        <v/>
      </c>
      <c r="F2125" s="54" t="str">
        <f>IFERROR(IF(OR($B2125="",$B2125="(blank)"),"",VLOOKUP($B2125,'Email Marketing Raw Data'!$C:$O,13,0)),"")</f>
        <v/>
      </c>
      <c r="G2125" s="55" t="str">
        <f>IFERROR(IF(OR($B2125="",$B2125="(blank)"),"",VLOOKUP($B2125,'Email Marketing Raw Data'!$C:$O,4,0)),"")</f>
        <v/>
      </c>
      <c r="H2125" s="55" t="str">
        <f>IFERROR(IF(OR($B2125="",$B2125="(blank)"),"",VLOOKUP($B2125,'Email Marketing Raw Data'!$C:$O,5,0)),"")</f>
        <v/>
      </c>
      <c r="I2125" s="55" t="str">
        <f>IFERROR(IF($G2125="","",VLOOKUP('Dashboard And Emails Automate'!$G2125,Database!$H:$N,3,0)),"")</f>
        <v/>
      </c>
      <c r="J2125" s="55" t="str">
        <f>IFERROR(IF($G2125="","",VLOOKUP('Dashboard And Emails Automate'!$G2125,Database!$H:$N,4,0)),"")</f>
        <v/>
      </c>
      <c r="K2125" s="55" t="str">
        <f>IFERROR(IF($G2125="","",VLOOKUP('Dashboard And Emails Automate'!$G2125,Database!$H:$N,5,0)),"")</f>
        <v/>
      </c>
      <c r="L2125" s="55" t="str">
        <f>IFERROR(IF($G2125="","",VLOOKUP('Dashboard And Emails Automate'!$G2125,Database!$H:$N,6,0)),"")</f>
        <v/>
      </c>
      <c r="M2125" s="55" t="str">
        <f>IFERROR(IF($G2125="","",VLOOKUP('Dashboard And Emails Automate'!$G2125,Database!$H:$N,7,0)),"")</f>
        <v/>
      </c>
      <c r="N2125" s="55" t="str">
        <f>IFERROR(IF(OR($B2125="",$B2125="(blank)"),"",VLOOKUP($B2125,'Email Marketing Raw Data'!$C:$O,6,0)),"")</f>
        <v/>
      </c>
      <c r="O2125" s="55" t="str">
        <f>IFERROR(IF(OR($B2125="",$B2125="(blank)"),"",VLOOKUP($B2125,'Email Marketing Raw Data'!$C:$O,7,0)),"")</f>
        <v/>
      </c>
      <c r="P2125" s="55" t="str">
        <f>IFERROR(IF(OR($B2125="",$B2125="(blank)"),"",VLOOKUP($B2125,'Email Marketing Raw Data'!$C:$O,8,0)),"")</f>
        <v/>
      </c>
      <c r="Q2125" s="62" t="str">
        <f>IFERROR(IF(OR($B2125="",$B2125="(blank)"),"",VLOOKUP($B2125,'Email Marketing Raw Data'!$C:$O,9,0)),"")</f>
        <v/>
      </c>
    </row>
    <row r="2126" spans="4:17" ht="12.75" customHeight="1" x14ac:dyDescent="0.2">
      <c r="D2126" s="58" t="str">
        <f>IFERROR(IF(F2126&lt;&gt;"pending","",IF(OR($B2126="",$B2126="(blank)"),"",VLOOKUP($B2126,'Email Marketing Raw Data'!$C:$O,10,0))),"")</f>
        <v/>
      </c>
      <c r="E2126" s="59" t="str">
        <f>IFERROR(IF(F2126&lt;&gt;"pending","",IF(OR($B2126="",$B2126="(blank)"),"",VLOOKUP($B2126,'Email Marketing Raw Data'!$C:$O,11,0))),"")</f>
        <v/>
      </c>
      <c r="F2126" s="54" t="str">
        <f>IFERROR(IF(OR($B2126="",$B2126="(blank)"),"",VLOOKUP($B2126,'Email Marketing Raw Data'!$C:$O,13,0)),"")</f>
        <v/>
      </c>
      <c r="G2126" s="55" t="str">
        <f>IFERROR(IF(OR($B2126="",$B2126="(blank)"),"",VLOOKUP($B2126,'Email Marketing Raw Data'!$C:$O,4,0)),"")</f>
        <v/>
      </c>
      <c r="H2126" s="55" t="str">
        <f>IFERROR(IF(OR($B2126="",$B2126="(blank)"),"",VLOOKUP($B2126,'Email Marketing Raw Data'!$C:$O,5,0)),"")</f>
        <v/>
      </c>
      <c r="I2126" s="55" t="str">
        <f>IFERROR(IF($G2126="","",VLOOKUP('Dashboard And Emails Automate'!$G2126,Database!$H:$N,3,0)),"")</f>
        <v/>
      </c>
      <c r="J2126" s="55" t="str">
        <f>IFERROR(IF($G2126="","",VLOOKUP('Dashboard And Emails Automate'!$G2126,Database!$H:$N,4,0)),"")</f>
        <v/>
      </c>
      <c r="K2126" s="55" t="str">
        <f>IFERROR(IF($G2126="","",VLOOKUP('Dashboard And Emails Automate'!$G2126,Database!$H:$N,5,0)),"")</f>
        <v/>
      </c>
      <c r="L2126" s="55" t="str">
        <f>IFERROR(IF($G2126="","",VLOOKUP('Dashboard And Emails Automate'!$G2126,Database!$H:$N,6,0)),"")</f>
        <v/>
      </c>
      <c r="M2126" s="55" t="str">
        <f>IFERROR(IF($G2126="","",VLOOKUP('Dashboard And Emails Automate'!$G2126,Database!$H:$N,7,0)),"")</f>
        <v/>
      </c>
      <c r="N2126" s="55" t="str">
        <f>IFERROR(IF(OR($B2126="",$B2126="(blank)"),"",VLOOKUP($B2126,'Email Marketing Raw Data'!$C:$O,6,0)),"")</f>
        <v/>
      </c>
      <c r="O2126" s="55" t="str">
        <f>IFERROR(IF(OR($B2126="",$B2126="(blank)"),"",VLOOKUP($B2126,'Email Marketing Raw Data'!$C:$O,7,0)),"")</f>
        <v/>
      </c>
      <c r="P2126" s="55" t="str">
        <f>IFERROR(IF(OR($B2126="",$B2126="(blank)"),"",VLOOKUP($B2126,'Email Marketing Raw Data'!$C:$O,8,0)),"")</f>
        <v/>
      </c>
      <c r="Q2126" s="62" t="str">
        <f>IFERROR(IF(OR($B2126="",$B2126="(blank)"),"",VLOOKUP($B2126,'Email Marketing Raw Data'!$C:$O,9,0)),"")</f>
        <v/>
      </c>
    </row>
    <row r="2127" spans="4:17" ht="12.75" customHeight="1" x14ac:dyDescent="0.2">
      <c r="D2127" s="58" t="str">
        <f>IFERROR(IF(F2127&lt;&gt;"pending","",IF(OR($B2127="",$B2127="(blank)"),"",VLOOKUP($B2127,'Email Marketing Raw Data'!$C:$O,10,0))),"")</f>
        <v/>
      </c>
      <c r="E2127" s="59" t="str">
        <f>IFERROR(IF(F2127&lt;&gt;"pending","",IF(OR($B2127="",$B2127="(blank)"),"",VLOOKUP($B2127,'Email Marketing Raw Data'!$C:$O,11,0))),"")</f>
        <v/>
      </c>
      <c r="F2127" s="54" t="str">
        <f>IFERROR(IF(OR($B2127="",$B2127="(blank)"),"",VLOOKUP($B2127,'Email Marketing Raw Data'!$C:$O,13,0)),"")</f>
        <v/>
      </c>
      <c r="G2127" s="55" t="str">
        <f>IFERROR(IF(OR($B2127="",$B2127="(blank)"),"",VLOOKUP($B2127,'Email Marketing Raw Data'!$C:$O,4,0)),"")</f>
        <v/>
      </c>
      <c r="H2127" s="55" t="str">
        <f>IFERROR(IF(OR($B2127="",$B2127="(blank)"),"",VLOOKUP($B2127,'Email Marketing Raw Data'!$C:$O,5,0)),"")</f>
        <v/>
      </c>
      <c r="I2127" s="55" t="str">
        <f>IFERROR(IF($G2127="","",VLOOKUP('Dashboard And Emails Automate'!$G2127,Database!$H:$N,3,0)),"")</f>
        <v/>
      </c>
      <c r="J2127" s="55" t="str">
        <f>IFERROR(IF($G2127="","",VLOOKUP('Dashboard And Emails Automate'!$G2127,Database!$H:$N,4,0)),"")</f>
        <v/>
      </c>
      <c r="K2127" s="55" t="str">
        <f>IFERROR(IF($G2127="","",VLOOKUP('Dashboard And Emails Automate'!$G2127,Database!$H:$N,5,0)),"")</f>
        <v/>
      </c>
      <c r="L2127" s="55" t="str">
        <f>IFERROR(IF($G2127="","",VLOOKUP('Dashboard And Emails Automate'!$G2127,Database!$H:$N,6,0)),"")</f>
        <v/>
      </c>
      <c r="M2127" s="55" t="str">
        <f>IFERROR(IF($G2127="","",VLOOKUP('Dashboard And Emails Automate'!$G2127,Database!$H:$N,7,0)),"")</f>
        <v/>
      </c>
      <c r="N2127" s="55" t="str">
        <f>IFERROR(IF(OR($B2127="",$B2127="(blank)"),"",VLOOKUP($B2127,'Email Marketing Raw Data'!$C:$O,6,0)),"")</f>
        <v/>
      </c>
      <c r="O2127" s="55" t="str">
        <f>IFERROR(IF(OR($B2127="",$B2127="(blank)"),"",VLOOKUP($B2127,'Email Marketing Raw Data'!$C:$O,7,0)),"")</f>
        <v/>
      </c>
      <c r="P2127" s="55" t="str">
        <f>IFERROR(IF(OR($B2127="",$B2127="(blank)"),"",VLOOKUP($B2127,'Email Marketing Raw Data'!$C:$O,8,0)),"")</f>
        <v/>
      </c>
      <c r="Q2127" s="62" t="str">
        <f>IFERROR(IF(OR($B2127="",$B2127="(blank)"),"",VLOOKUP($B2127,'Email Marketing Raw Data'!$C:$O,9,0)),"")</f>
        <v/>
      </c>
    </row>
    <row r="2128" spans="4:17" ht="12.75" customHeight="1" x14ac:dyDescent="0.2">
      <c r="D2128" s="58" t="str">
        <f>IFERROR(IF(F2128&lt;&gt;"pending","",IF(OR($B2128="",$B2128="(blank)"),"",VLOOKUP($B2128,'Email Marketing Raw Data'!$C:$O,10,0))),"")</f>
        <v/>
      </c>
      <c r="E2128" s="59" t="str">
        <f>IFERROR(IF(F2128&lt;&gt;"pending","",IF(OR($B2128="",$B2128="(blank)"),"",VLOOKUP($B2128,'Email Marketing Raw Data'!$C:$O,11,0))),"")</f>
        <v/>
      </c>
      <c r="F2128" s="54" t="str">
        <f>IFERROR(IF(OR($B2128="",$B2128="(blank)"),"",VLOOKUP($B2128,'Email Marketing Raw Data'!$C:$O,13,0)),"")</f>
        <v/>
      </c>
      <c r="G2128" s="55" t="str">
        <f>IFERROR(IF(OR($B2128="",$B2128="(blank)"),"",VLOOKUP($B2128,'Email Marketing Raw Data'!$C:$O,4,0)),"")</f>
        <v/>
      </c>
      <c r="H2128" s="55" t="str">
        <f>IFERROR(IF(OR($B2128="",$B2128="(blank)"),"",VLOOKUP($B2128,'Email Marketing Raw Data'!$C:$O,5,0)),"")</f>
        <v/>
      </c>
      <c r="I2128" s="55" t="str">
        <f>IFERROR(IF($G2128="","",VLOOKUP('Dashboard And Emails Automate'!$G2128,Database!$H:$N,3,0)),"")</f>
        <v/>
      </c>
      <c r="J2128" s="55" t="str">
        <f>IFERROR(IF($G2128="","",VLOOKUP('Dashboard And Emails Automate'!$G2128,Database!$H:$N,4,0)),"")</f>
        <v/>
      </c>
      <c r="K2128" s="55" t="str">
        <f>IFERROR(IF($G2128="","",VLOOKUP('Dashboard And Emails Automate'!$G2128,Database!$H:$N,5,0)),"")</f>
        <v/>
      </c>
      <c r="L2128" s="55" t="str">
        <f>IFERROR(IF($G2128="","",VLOOKUP('Dashboard And Emails Automate'!$G2128,Database!$H:$N,6,0)),"")</f>
        <v/>
      </c>
      <c r="M2128" s="55" t="str">
        <f>IFERROR(IF($G2128="","",VLOOKUP('Dashboard And Emails Automate'!$G2128,Database!$H:$N,7,0)),"")</f>
        <v/>
      </c>
      <c r="N2128" s="55" t="str">
        <f>IFERROR(IF(OR($B2128="",$B2128="(blank)"),"",VLOOKUP($B2128,'Email Marketing Raw Data'!$C:$O,6,0)),"")</f>
        <v/>
      </c>
      <c r="O2128" s="55" t="str">
        <f>IFERROR(IF(OR($B2128="",$B2128="(blank)"),"",VLOOKUP($B2128,'Email Marketing Raw Data'!$C:$O,7,0)),"")</f>
        <v/>
      </c>
      <c r="P2128" s="55" t="str">
        <f>IFERROR(IF(OR($B2128="",$B2128="(blank)"),"",VLOOKUP($B2128,'Email Marketing Raw Data'!$C:$O,8,0)),"")</f>
        <v/>
      </c>
      <c r="Q2128" s="62" t="str">
        <f>IFERROR(IF(OR($B2128="",$B2128="(blank)"),"",VLOOKUP($B2128,'Email Marketing Raw Data'!$C:$O,9,0)),"")</f>
        <v/>
      </c>
    </row>
    <row r="2129" spans="4:17" ht="12.75" customHeight="1" x14ac:dyDescent="0.2">
      <c r="D2129" s="58" t="str">
        <f>IFERROR(IF(F2129&lt;&gt;"pending","",IF(OR($B2129="",$B2129="(blank)"),"",VLOOKUP($B2129,'Email Marketing Raw Data'!$C:$O,10,0))),"")</f>
        <v/>
      </c>
      <c r="E2129" s="59" t="str">
        <f>IFERROR(IF(F2129&lt;&gt;"pending","",IF(OR($B2129="",$B2129="(blank)"),"",VLOOKUP($B2129,'Email Marketing Raw Data'!$C:$O,11,0))),"")</f>
        <v/>
      </c>
      <c r="F2129" s="54" t="str">
        <f>IFERROR(IF(OR($B2129="",$B2129="(blank)"),"",VLOOKUP($B2129,'Email Marketing Raw Data'!$C:$O,13,0)),"")</f>
        <v/>
      </c>
      <c r="G2129" s="55" t="str">
        <f>IFERROR(IF(OR($B2129="",$B2129="(blank)"),"",VLOOKUP($B2129,'Email Marketing Raw Data'!$C:$O,4,0)),"")</f>
        <v/>
      </c>
      <c r="H2129" s="55" t="str">
        <f>IFERROR(IF(OR($B2129="",$B2129="(blank)"),"",VLOOKUP($B2129,'Email Marketing Raw Data'!$C:$O,5,0)),"")</f>
        <v/>
      </c>
      <c r="I2129" s="55" t="str">
        <f>IFERROR(IF($G2129="","",VLOOKUP('Dashboard And Emails Automate'!$G2129,Database!$H:$N,3,0)),"")</f>
        <v/>
      </c>
      <c r="J2129" s="55" t="str">
        <f>IFERROR(IF($G2129="","",VLOOKUP('Dashboard And Emails Automate'!$G2129,Database!$H:$N,4,0)),"")</f>
        <v/>
      </c>
      <c r="K2129" s="55" t="str">
        <f>IFERROR(IF($G2129="","",VLOOKUP('Dashboard And Emails Automate'!$G2129,Database!$H:$N,5,0)),"")</f>
        <v/>
      </c>
      <c r="L2129" s="55" t="str">
        <f>IFERROR(IF($G2129="","",VLOOKUP('Dashboard And Emails Automate'!$G2129,Database!$H:$N,6,0)),"")</f>
        <v/>
      </c>
      <c r="M2129" s="55" t="str">
        <f>IFERROR(IF($G2129="","",VLOOKUP('Dashboard And Emails Automate'!$G2129,Database!$H:$N,7,0)),"")</f>
        <v/>
      </c>
      <c r="N2129" s="55" t="str">
        <f>IFERROR(IF(OR($B2129="",$B2129="(blank)"),"",VLOOKUP($B2129,'Email Marketing Raw Data'!$C:$O,6,0)),"")</f>
        <v/>
      </c>
      <c r="O2129" s="55" t="str">
        <f>IFERROR(IF(OR($B2129="",$B2129="(blank)"),"",VLOOKUP($B2129,'Email Marketing Raw Data'!$C:$O,7,0)),"")</f>
        <v/>
      </c>
      <c r="P2129" s="55" t="str">
        <f>IFERROR(IF(OR($B2129="",$B2129="(blank)"),"",VLOOKUP($B2129,'Email Marketing Raw Data'!$C:$O,8,0)),"")</f>
        <v/>
      </c>
      <c r="Q2129" s="62" t="str">
        <f>IFERROR(IF(OR($B2129="",$B2129="(blank)"),"",VLOOKUP($B2129,'Email Marketing Raw Data'!$C:$O,9,0)),"")</f>
        <v/>
      </c>
    </row>
    <row r="2130" spans="4:17" ht="12.75" customHeight="1" x14ac:dyDescent="0.2">
      <c r="D2130" s="58" t="str">
        <f>IFERROR(IF(F2130&lt;&gt;"pending","",IF(OR($B2130="",$B2130="(blank)"),"",VLOOKUP($B2130,'Email Marketing Raw Data'!$C:$O,10,0))),"")</f>
        <v/>
      </c>
      <c r="E2130" s="59" t="str">
        <f>IFERROR(IF(F2130&lt;&gt;"pending","",IF(OR($B2130="",$B2130="(blank)"),"",VLOOKUP($B2130,'Email Marketing Raw Data'!$C:$O,11,0))),"")</f>
        <v/>
      </c>
      <c r="F2130" s="54" t="str">
        <f>IFERROR(IF(OR($B2130="",$B2130="(blank)"),"",VLOOKUP($B2130,'Email Marketing Raw Data'!$C:$O,13,0)),"")</f>
        <v/>
      </c>
      <c r="G2130" s="55" t="str">
        <f>IFERROR(IF(OR($B2130="",$B2130="(blank)"),"",VLOOKUP($B2130,'Email Marketing Raw Data'!$C:$O,4,0)),"")</f>
        <v/>
      </c>
      <c r="H2130" s="55" t="str">
        <f>IFERROR(IF(OR($B2130="",$B2130="(blank)"),"",VLOOKUP($B2130,'Email Marketing Raw Data'!$C:$O,5,0)),"")</f>
        <v/>
      </c>
      <c r="I2130" s="55" t="str">
        <f>IFERROR(IF($G2130="","",VLOOKUP('Dashboard And Emails Automate'!$G2130,Database!$H:$N,3,0)),"")</f>
        <v/>
      </c>
      <c r="J2130" s="55" t="str">
        <f>IFERROR(IF($G2130="","",VLOOKUP('Dashboard And Emails Automate'!$G2130,Database!$H:$N,4,0)),"")</f>
        <v/>
      </c>
      <c r="K2130" s="55" t="str">
        <f>IFERROR(IF($G2130="","",VLOOKUP('Dashboard And Emails Automate'!$G2130,Database!$H:$N,5,0)),"")</f>
        <v/>
      </c>
      <c r="L2130" s="55" t="str">
        <f>IFERROR(IF($G2130="","",VLOOKUP('Dashboard And Emails Automate'!$G2130,Database!$H:$N,6,0)),"")</f>
        <v/>
      </c>
      <c r="M2130" s="55" t="str">
        <f>IFERROR(IF($G2130="","",VLOOKUP('Dashboard And Emails Automate'!$G2130,Database!$H:$N,7,0)),"")</f>
        <v/>
      </c>
      <c r="N2130" s="55" t="str">
        <f>IFERROR(IF(OR($B2130="",$B2130="(blank)"),"",VLOOKUP($B2130,'Email Marketing Raw Data'!$C:$O,6,0)),"")</f>
        <v/>
      </c>
      <c r="O2130" s="55" t="str">
        <f>IFERROR(IF(OR($B2130="",$B2130="(blank)"),"",VLOOKUP($B2130,'Email Marketing Raw Data'!$C:$O,7,0)),"")</f>
        <v/>
      </c>
      <c r="P2130" s="55" t="str">
        <f>IFERROR(IF(OR($B2130="",$B2130="(blank)"),"",VLOOKUP($B2130,'Email Marketing Raw Data'!$C:$O,8,0)),"")</f>
        <v/>
      </c>
      <c r="Q2130" s="62" t="str">
        <f>IFERROR(IF(OR($B2130="",$B2130="(blank)"),"",VLOOKUP($B2130,'Email Marketing Raw Data'!$C:$O,9,0)),"")</f>
        <v/>
      </c>
    </row>
    <row r="2131" spans="4:17" ht="12.75" customHeight="1" x14ac:dyDescent="0.2">
      <c r="D2131" s="58" t="str">
        <f>IFERROR(IF(F2131&lt;&gt;"pending","",IF(OR($B2131="",$B2131="(blank)"),"",VLOOKUP($B2131,'Email Marketing Raw Data'!$C:$O,10,0))),"")</f>
        <v/>
      </c>
      <c r="E2131" s="59" t="str">
        <f>IFERROR(IF(F2131&lt;&gt;"pending","",IF(OR($B2131="",$B2131="(blank)"),"",VLOOKUP($B2131,'Email Marketing Raw Data'!$C:$O,11,0))),"")</f>
        <v/>
      </c>
      <c r="F2131" s="54" t="str">
        <f>IFERROR(IF(OR($B2131="",$B2131="(blank)"),"",VLOOKUP($B2131,'Email Marketing Raw Data'!$C:$O,13,0)),"")</f>
        <v/>
      </c>
      <c r="G2131" s="55" t="str">
        <f>IFERROR(IF(OR($B2131="",$B2131="(blank)"),"",VLOOKUP($B2131,'Email Marketing Raw Data'!$C:$O,4,0)),"")</f>
        <v/>
      </c>
      <c r="H2131" s="55" t="str">
        <f>IFERROR(IF(OR($B2131="",$B2131="(blank)"),"",VLOOKUP($B2131,'Email Marketing Raw Data'!$C:$O,5,0)),"")</f>
        <v/>
      </c>
      <c r="I2131" s="55" t="str">
        <f>IFERROR(IF($G2131="","",VLOOKUP('Dashboard And Emails Automate'!$G2131,Database!$H:$N,3,0)),"")</f>
        <v/>
      </c>
      <c r="J2131" s="55" t="str">
        <f>IFERROR(IF($G2131="","",VLOOKUP('Dashboard And Emails Automate'!$G2131,Database!$H:$N,4,0)),"")</f>
        <v/>
      </c>
      <c r="K2131" s="55" t="str">
        <f>IFERROR(IF($G2131="","",VLOOKUP('Dashboard And Emails Automate'!$G2131,Database!$H:$N,5,0)),"")</f>
        <v/>
      </c>
      <c r="L2131" s="55" t="str">
        <f>IFERROR(IF($G2131="","",VLOOKUP('Dashboard And Emails Automate'!$G2131,Database!$H:$N,6,0)),"")</f>
        <v/>
      </c>
      <c r="M2131" s="55" t="str">
        <f>IFERROR(IF($G2131="","",VLOOKUP('Dashboard And Emails Automate'!$G2131,Database!$H:$N,7,0)),"")</f>
        <v/>
      </c>
      <c r="N2131" s="55" t="str">
        <f>IFERROR(IF(OR($B2131="",$B2131="(blank)"),"",VLOOKUP($B2131,'Email Marketing Raw Data'!$C:$O,6,0)),"")</f>
        <v/>
      </c>
      <c r="O2131" s="55" t="str">
        <f>IFERROR(IF(OR($B2131="",$B2131="(blank)"),"",VLOOKUP($B2131,'Email Marketing Raw Data'!$C:$O,7,0)),"")</f>
        <v/>
      </c>
      <c r="P2131" s="55" t="str">
        <f>IFERROR(IF(OR($B2131="",$B2131="(blank)"),"",VLOOKUP($B2131,'Email Marketing Raw Data'!$C:$O,8,0)),"")</f>
        <v/>
      </c>
      <c r="Q2131" s="62" t="str">
        <f>IFERROR(IF(OR($B2131="",$B2131="(blank)"),"",VLOOKUP($B2131,'Email Marketing Raw Data'!$C:$O,9,0)),"")</f>
        <v/>
      </c>
    </row>
    <row r="2132" spans="4:17" ht="12.75" customHeight="1" x14ac:dyDescent="0.2">
      <c r="D2132" s="58" t="str">
        <f>IFERROR(IF(F2132&lt;&gt;"pending","",IF(OR($B2132="",$B2132="(blank)"),"",VLOOKUP($B2132,'Email Marketing Raw Data'!$C:$O,10,0))),"")</f>
        <v/>
      </c>
      <c r="E2132" s="59" t="str">
        <f>IFERROR(IF(F2132&lt;&gt;"pending","",IF(OR($B2132="",$B2132="(blank)"),"",VLOOKUP($B2132,'Email Marketing Raw Data'!$C:$O,11,0))),"")</f>
        <v/>
      </c>
      <c r="F2132" s="54" t="str">
        <f>IFERROR(IF(OR($B2132="",$B2132="(blank)"),"",VLOOKUP($B2132,'Email Marketing Raw Data'!$C:$O,13,0)),"")</f>
        <v/>
      </c>
      <c r="G2132" s="55" t="str">
        <f>IFERROR(IF(OR($B2132="",$B2132="(blank)"),"",VLOOKUP($B2132,'Email Marketing Raw Data'!$C:$O,4,0)),"")</f>
        <v/>
      </c>
      <c r="H2132" s="55" t="str">
        <f>IFERROR(IF(OR($B2132="",$B2132="(blank)"),"",VLOOKUP($B2132,'Email Marketing Raw Data'!$C:$O,5,0)),"")</f>
        <v/>
      </c>
      <c r="I2132" s="55" t="str">
        <f>IFERROR(IF($G2132="","",VLOOKUP('Dashboard And Emails Automate'!$G2132,Database!$H:$N,3,0)),"")</f>
        <v/>
      </c>
      <c r="J2132" s="55" t="str">
        <f>IFERROR(IF($G2132="","",VLOOKUP('Dashboard And Emails Automate'!$G2132,Database!$H:$N,4,0)),"")</f>
        <v/>
      </c>
      <c r="K2132" s="55" t="str">
        <f>IFERROR(IF($G2132="","",VLOOKUP('Dashboard And Emails Automate'!$G2132,Database!$H:$N,5,0)),"")</f>
        <v/>
      </c>
      <c r="L2132" s="55" t="str">
        <f>IFERROR(IF($G2132="","",VLOOKUP('Dashboard And Emails Automate'!$G2132,Database!$H:$N,6,0)),"")</f>
        <v/>
      </c>
      <c r="M2132" s="55" t="str">
        <f>IFERROR(IF($G2132="","",VLOOKUP('Dashboard And Emails Automate'!$G2132,Database!$H:$N,7,0)),"")</f>
        <v/>
      </c>
      <c r="N2132" s="55" t="str">
        <f>IFERROR(IF(OR($B2132="",$B2132="(blank)"),"",VLOOKUP($B2132,'Email Marketing Raw Data'!$C:$O,6,0)),"")</f>
        <v/>
      </c>
      <c r="O2132" s="55" t="str">
        <f>IFERROR(IF(OR($B2132="",$B2132="(blank)"),"",VLOOKUP($B2132,'Email Marketing Raw Data'!$C:$O,7,0)),"")</f>
        <v/>
      </c>
      <c r="P2132" s="55" t="str">
        <f>IFERROR(IF(OR($B2132="",$B2132="(blank)"),"",VLOOKUP($B2132,'Email Marketing Raw Data'!$C:$O,8,0)),"")</f>
        <v/>
      </c>
      <c r="Q2132" s="62" t="str">
        <f>IFERROR(IF(OR($B2132="",$B2132="(blank)"),"",VLOOKUP($B2132,'Email Marketing Raw Data'!$C:$O,9,0)),"")</f>
        <v/>
      </c>
    </row>
    <row r="2133" spans="4:17" ht="12.75" customHeight="1" x14ac:dyDescent="0.2">
      <c r="D2133" s="58" t="str">
        <f>IFERROR(IF(F2133&lt;&gt;"pending","",IF(OR($B2133="",$B2133="(blank)"),"",VLOOKUP($B2133,'Email Marketing Raw Data'!$C:$O,10,0))),"")</f>
        <v/>
      </c>
      <c r="E2133" s="59" t="str">
        <f>IFERROR(IF(F2133&lt;&gt;"pending","",IF(OR($B2133="",$B2133="(blank)"),"",VLOOKUP($B2133,'Email Marketing Raw Data'!$C:$O,11,0))),"")</f>
        <v/>
      </c>
      <c r="F2133" s="54" t="str">
        <f>IFERROR(IF(OR($B2133="",$B2133="(blank)"),"",VLOOKUP($B2133,'Email Marketing Raw Data'!$C:$O,13,0)),"")</f>
        <v/>
      </c>
      <c r="G2133" s="55" t="str">
        <f>IFERROR(IF(OR($B2133="",$B2133="(blank)"),"",VLOOKUP($B2133,'Email Marketing Raw Data'!$C:$O,4,0)),"")</f>
        <v/>
      </c>
      <c r="H2133" s="55" t="str">
        <f>IFERROR(IF(OR($B2133="",$B2133="(blank)"),"",VLOOKUP($B2133,'Email Marketing Raw Data'!$C:$O,5,0)),"")</f>
        <v/>
      </c>
      <c r="I2133" s="55" t="str">
        <f>IFERROR(IF($G2133="","",VLOOKUP('Dashboard And Emails Automate'!$G2133,Database!$H:$N,3,0)),"")</f>
        <v/>
      </c>
      <c r="J2133" s="55" t="str">
        <f>IFERROR(IF($G2133="","",VLOOKUP('Dashboard And Emails Automate'!$G2133,Database!$H:$N,4,0)),"")</f>
        <v/>
      </c>
      <c r="K2133" s="55" t="str">
        <f>IFERROR(IF($G2133="","",VLOOKUP('Dashboard And Emails Automate'!$G2133,Database!$H:$N,5,0)),"")</f>
        <v/>
      </c>
      <c r="L2133" s="55" t="str">
        <f>IFERROR(IF($G2133="","",VLOOKUP('Dashboard And Emails Automate'!$G2133,Database!$H:$N,6,0)),"")</f>
        <v/>
      </c>
      <c r="M2133" s="55" t="str">
        <f>IFERROR(IF($G2133="","",VLOOKUP('Dashboard And Emails Automate'!$G2133,Database!$H:$N,7,0)),"")</f>
        <v/>
      </c>
      <c r="N2133" s="55" t="str">
        <f>IFERROR(IF(OR($B2133="",$B2133="(blank)"),"",VLOOKUP($B2133,'Email Marketing Raw Data'!$C:$O,6,0)),"")</f>
        <v/>
      </c>
      <c r="O2133" s="55" t="str">
        <f>IFERROR(IF(OR($B2133="",$B2133="(blank)"),"",VLOOKUP($B2133,'Email Marketing Raw Data'!$C:$O,7,0)),"")</f>
        <v/>
      </c>
      <c r="P2133" s="55" t="str">
        <f>IFERROR(IF(OR($B2133="",$B2133="(blank)"),"",VLOOKUP($B2133,'Email Marketing Raw Data'!$C:$O,8,0)),"")</f>
        <v/>
      </c>
      <c r="Q2133" s="62" t="str">
        <f>IFERROR(IF(OR($B2133="",$B2133="(blank)"),"",VLOOKUP($B2133,'Email Marketing Raw Data'!$C:$O,9,0)),"")</f>
        <v/>
      </c>
    </row>
    <row r="2134" spans="4:17" ht="12.75" customHeight="1" x14ac:dyDescent="0.2">
      <c r="D2134" s="58" t="str">
        <f>IFERROR(IF(F2134&lt;&gt;"pending","",IF(OR($B2134="",$B2134="(blank)"),"",VLOOKUP($B2134,'Email Marketing Raw Data'!$C:$O,10,0))),"")</f>
        <v/>
      </c>
      <c r="E2134" s="59" t="str">
        <f>IFERROR(IF(F2134&lt;&gt;"pending","",IF(OR($B2134="",$B2134="(blank)"),"",VLOOKUP($B2134,'Email Marketing Raw Data'!$C:$O,11,0))),"")</f>
        <v/>
      </c>
      <c r="F2134" s="54" t="str">
        <f>IFERROR(IF(OR($B2134="",$B2134="(blank)"),"",VLOOKUP($B2134,'Email Marketing Raw Data'!$C:$O,13,0)),"")</f>
        <v/>
      </c>
      <c r="G2134" s="55" t="str">
        <f>IFERROR(IF(OR($B2134="",$B2134="(blank)"),"",VLOOKUP($B2134,'Email Marketing Raw Data'!$C:$O,4,0)),"")</f>
        <v/>
      </c>
      <c r="H2134" s="55" t="str">
        <f>IFERROR(IF(OR($B2134="",$B2134="(blank)"),"",VLOOKUP($B2134,'Email Marketing Raw Data'!$C:$O,5,0)),"")</f>
        <v/>
      </c>
      <c r="I2134" s="55" t="str">
        <f>IFERROR(IF($G2134="","",VLOOKUP('Dashboard And Emails Automate'!$G2134,Database!$H:$N,3,0)),"")</f>
        <v/>
      </c>
      <c r="J2134" s="55" t="str">
        <f>IFERROR(IF($G2134="","",VLOOKUP('Dashboard And Emails Automate'!$G2134,Database!$H:$N,4,0)),"")</f>
        <v/>
      </c>
      <c r="K2134" s="55" t="str">
        <f>IFERROR(IF($G2134="","",VLOOKUP('Dashboard And Emails Automate'!$G2134,Database!$H:$N,5,0)),"")</f>
        <v/>
      </c>
      <c r="L2134" s="55" t="str">
        <f>IFERROR(IF($G2134="","",VLOOKUP('Dashboard And Emails Automate'!$G2134,Database!$H:$N,6,0)),"")</f>
        <v/>
      </c>
      <c r="M2134" s="55" t="str">
        <f>IFERROR(IF($G2134="","",VLOOKUP('Dashboard And Emails Automate'!$G2134,Database!$H:$N,7,0)),"")</f>
        <v/>
      </c>
      <c r="N2134" s="55" t="str">
        <f>IFERROR(IF(OR($B2134="",$B2134="(blank)"),"",VLOOKUP($B2134,'Email Marketing Raw Data'!$C:$O,6,0)),"")</f>
        <v/>
      </c>
      <c r="O2134" s="55" t="str">
        <f>IFERROR(IF(OR($B2134="",$B2134="(blank)"),"",VLOOKUP($B2134,'Email Marketing Raw Data'!$C:$O,7,0)),"")</f>
        <v/>
      </c>
      <c r="P2134" s="55" t="str">
        <f>IFERROR(IF(OR($B2134="",$B2134="(blank)"),"",VLOOKUP($B2134,'Email Marketing Raw Data'!$C:$O,8,0)),"")</f>
        <v/>
      </c>
      <c r="Q2134" s="62" t="str">
        <f>IFERROR(IF(OR($B2134="",$B2134="(blank)"),"",VLOOKUP($B2134,'Email Marketing Raw Data'!$C:$O,9,0)),"")</f>
        <v/>
      </c>
    </row>
    <row r="2135" spans="4:17" ht="12.75" customHeight="1" x14ac:dyDescent="0.2">
      <c r="D2135" s="58" t="str">
        <f>IFERROR(IF(F2135&lt;&gt;"pending","",IF(OR($B2135="",$B2135="(blank)"),"",VLOOKUP($B2135,'Email Marketing Raw Data'!$C:$O,10,0))),"")</f>
        <v/>
      </c>
      <c r="E2135" s="59" t="str">
        <f>IFERROR(IF(F2135&lt;&gt;"pending","",IF(OR($B2135="",$B2135="(blank)"),"",VLOOKUP($B2135,'Email Marketing Raw Data'!$C:$O,11,0))),"")</f>
        <v/>
      </c>
      <c r="F2135" s="54" t="str">
        <f>IFERROR(IF(OR($B2135="",$B2135="(blank)"),"",VLOOKUP($B2135,'Email Marketing Raw Data'!$C:$O,13,0)),"")</f>
        <v/>
      </c>
      <c r="G2135" s="55" t="str">
        <f>IFERROR(IF(OR($B2135="",$B2135="(blank)"),"",VLOOKUP($B2135,'Email Marketing Raw Data'!$C:$O,4,0)),"")</f>
        <v/>
      </c>
      <c r="H2135" s="55" t="str">
        <f>IFERROR(IF(OR($B2135="",$B2135="(blank)"),"",VLOOKUP($B2135,'Email Marketing Raw Data'!$C:$O,5,0)),"")</f>
        <v/>
      </c>
      <c r="I2135" s="55" t="str">
        <f>IFERROR(IF($G2135="","",VLOOKUP('Dashboard And Emails Automate'!$G2135,Database!$H:$N,3,0)),"")</f>
        <v/>
      </c>
      <c r="J2135" s="55" t="str">
        <f>IFERROR(IF($G2135="","",VLOOKUP('Dashboard And Emails Automate'!$G2135,Database!$H:$N,4,0)),"")</f>
        <v/>
      </c>
      <c r="K2135" s="55" t="str">
        <f>IFERROR(IF($G2135="","",VLOOKUP('Dashboard And Emails Automate'!$G2135,Database!$H:$N,5,0)),"")</f>
        <v/>
      </c>
      <c r="L2135" s="55" t="str">
        <f>IFERROR(IF($G2135="","",VLOOKUP('Dashboard And Emails Automate'!$G2135,Database!$H:$N,6,0)),"")</f>
        <v/>
      </c>
      <c r="M2135" s="55" t="str">
        <f>IFERROR(IF($G2135="","",VLOOKUP('Dashboard And Emails Automate'!$G2135,Database!$H:$N,7,0)),"")</f>
        <v/>
      </c>
      <c r="N2135" s="55" t="str">
        <f>IFERROR(IF(OR($B2135="",$B2135="(blank)"),"",VLOOKUP($B2135,'Email Marketing Raw Data'!$C:$O,6,0)),"")</f>
        <v/>
      </c>
      <c r="O2135" s="55" t="str">
        <f>IFERROR(IF(OR($B2135="",$B2135="(blank)"),"",VLOOKUP($B2135,'Email Marketing Raw Data'!$C:$O,7,0)),"")</f>
        <v/>
      </c>
      <c r="P2135" s="55" t="str">
        <f>IFERROR(IF(OR($B2135="",$B2135="(blank)"),"",VLOOKUP($B2135,'Email Marketing Raw Data'!$C:$O,8,0)),"")</f>
        <v/>
      </c>
      <c r="Q2135" s="62" t="str">
        <f>IFERROR(IF(OR($B2135="",$B2135="(blank)"),"",VLOOKUP($B2135,'Email Marketing Raw Data'!$C:$O,9,0)),"")</f>
        <v/>
      </c>
    </row>
    <row r="2136" spans="4:17" ht="12.75" customHeight="1" x14ac:dyDescent="0.2">
      <c r="D2136" s="58" t="str">
        <f>IFERROR(IF(F2136&lt;&gt;"pending","",IF(OR($B2136="",$B2136="(blank)"),"",VLOOKUP($B2136,'Email Marketing Raw Data'!$C:$O,10,0))),"")</f>
        <v/>
      </c>
      <c r="E2136" s="59" t="str">
        <f>IFERROR(IF(F2136&lt;&gt;"pending","",IF(OR($B2136="",$B2136="(blank)"),"",VLOOKUP($B2136,'Email Marketing Raw Data'!$C:$O,11,0))),"")</f>
        <v/>
      </c>
      <c r="F2136" s="54" t="str">
        <f>IFERROR(IF(OR($B2136="",$B2136="(blank)"),"",VLOOKUP($B2136,'Email Marketing Raw Data'!$C:$O,13,0)),"")</f>
        <v/>
      </c>
      <c r="G2136" s="55" t="str">
        <f>IFERROR(IF(OR($B2136="",$B2136="(blank)"),"",VLOOKUP($B2136,'Email Marketing Raw Data'!$C:$O,4,0)),"")</f>
        <v/>
      </c>
      <c r="H2136" s="55" t="str">
        <f>IFERROR(IF(OR($B2136="",$B2136="(blank)"),"",VLOOKUP($B2136,'Email Marketing Raw Data'!$C:$O,5,0)),"")</f>
        <v/>
      </c>
      <c r="I2136" s="55" t="str">
        <f>IFERROR(IF($G2136="","",VLOOKUP('Dashboard And Emails Automate'!$G2136,Database!$H:$N,3,0)),"")</f>
        <v/>
      </c>
      <c r="J2136" s="55" t="str">
        <f>IFERROR(IF($G2136="","",VLOOKUP('Dashboard And Emails Automate'!$G2136,Database!$H:$N,4,0)),"")</f>
        <v/>
      </c>
      <c r="K2136" s="55" t="str">
        <f>IFERROR(IF($G2136="","",VLOOKUP('Dashboard And Emails Automate'!$G2136,Database!$H:$N,5,0)),"")</f>
        <v/>
      </c>
      <c r="L2136" s="55" t="str">
        <f>IFERROR(IF($G2136="","",VLOOKUP('Dashboard And Emails Automate'!$G2136,Database!$H:$N,6,0)),"")</f>
        <v/>
      </c>
      <c r="M2136" s="55" t="str">
        <f>IFERROR(IF($G2136="","",VLOOKUP('Dashboard And Emails Automate'!$G2136,Database!$H:$N,7,0)),"")</f>
        <v/>
      </c>
      <c r="N2136" s="55" t="str">
        <f>IFERROR(IF(OR($B2136="",$B2136="(blank)"),"",VLOOKUP($B2136,'Email Marketing Raw Data'!$C:$O,6,0)),"")</f>
        <v/>
      </c>
      <c r="O2136" s="55" t="str">
        <f>IFERROR(IF(OR($B2136="",$B2136="(blank)"),"",VLOOKUP($B2136,'Email Marketing Raw Data'!$C:$O,7,0)),"")</f>
        <v/>
      </c>
      <c r="P2136" s="55" t="str">
        <f>IFERROR(IF(OR($B2136="",$B2136="(blank)"),"",VLOOKUP($B2136,'Email Marketing Raw Data'!$C:$O,8,0)),"")</f>
        <v/>
      </c>
      <c r="Q2136" s="62" t="str">
        <f>IFERROR(IF(OR($B2136="",$B2136="(blank)"),"",VLOOKUP($B2136,'Email Marketing Raw Data'!$C:$O,9,0)),"")</f>
        <v/>
      </c>
    </row>
    <row r="2137" spans="4:17" ht="12.75" customHeight="1" x14ac:dyDescent="0.2">
      <c r="D2137" s="58" t="str">
        <f>IFERROR(IF(F2137&lt;&gt;"pending","",IF(OR($B2137="",$B2137="(blank)"),"",VLOOKUP($B2137,'Email Marketing Raw Data'!$C:$O,10,0))),"")</f>
        <v/>
      </c>
      <c r="E2137" s="59" t="str">
        <f>IFERROR(IF(F2137&lt;&gt;"pending","",IF(OR($B2137="",$B2137="(blank)"),"",VLOOKUP($B2137,'Email Marketing Raw Data'!$C:$O,11,0))),"")</f>
        <v/>
      </c>
      <c r="F2137" s="54" t="str">
        <f>IFERROR(IF(OR($B2137="",$B2137="(blank)"),"",VLOOKUP($B2137,'Email Marketing Raw Data'!$C:$O,13,0)),"")</f>
        <v/>
      </c>
      <c r="G2137" s="55" t="str">
        <f>IFERROR(IF(OR($B2137="",$B2137="(blank)"),"",VLOOKUP($B2137,'Email Marketing Raw Data'!$C:$O,4,0)),"")</f>
        <v/>
      </c>
      <c r="H2137" s="55" t="str">
        <f>IFERROR(IF(OR($B2137="",$B2137="(blank)"),"",VLOOKUP($B2137,'Email Marketing Raw Data'!$C:$O,5,0)),"")</f>
        <v/>
      </c>
      <c r="I2137" s="55" t="str">
        <f>IFERROR(IF($G2137="","",VLOOKUP('Dashboard And Emails Automate'!$G2137,Database!$H:$N,3,0)),"")</f>
        <v/>
      </c>
      <c r="J2137" s="55" t="str">
        <f>IFERROR(IF($G2137="","",VLOOKUP('Dashboard And Emails Automate'!$G2137,Database!$H:$N,4,0)),"")</f>
        <v/>
      </c>
      <c r="K2137" s="55" t="str">
        <f>IFERROR(IF($G2137="","",VLOOKUP('Dashboard And Emails Automate'!$G2137,Database!$H:$N,5,0)),"")</f>
        <v/>
      </c>
      <c r="L2137" s="55" t="str">
        <f>IFERROR(IF($G2137="","",VLOOKUP('Dashboard And Emails Automate'!$G2137,Database!$H:$N,6,0)),"")</f>
        <v/>
      </c>
      <c r="M2137" s="55" t="str">
        <f>IFERROR(IF($G2137="","",VLOOKUP('Dashboard And Emails Automate'!$G2137,Database!$H:$N,7,0)),"")</f>
        <v/>
      </c>
      <c r="N2137" s="55" t="str">
        <f>IFERROR(IF(OR($B2137="",$B2137="(blank)"),"",VLOOKUP($B2137,'Email Marketing Raw Data'!$C:$O,6,0)),"")</f>
        <v/>
      </c>
      <c r="O2137" s="55" t="str">
        <f>IFERROR(IF(OR($B2137="",$B2137="(blank)"),"",VLOOKUP($B2137,'Email Marketing Raw Data'!$C:$O,7,0)),"")</f>
        <v/>
      </c>
      <c r="P2137" s="55" t="str">
        <f>IFERROR(IF(OR($B2137="",$B2137="(blank)"),"",VLOOKUP($B2137,'Email Marketing Raw Data'!$C:$O,8,0)),"")</f>
        <v/>
      </c>
      <c r="Q2137" s="62" t="str">
        <f>IFERROR(IF(OR($B2137="",$B2137="(blank)"),"",VLOOKUP($B2137,'Email Marketing Raw Data'!$C:$O,9,0)),"")</f>
        <v/>
      </c>
    </row>
    <row r="2138" spans="4:17" ht="12.75" customHeight="1" x14ac:dyDescent="0.2">
      <c r="D2138" s="58" t="str">
        <f>IFERROR(IF(F2138&lt;&gt;"pending","",IF(OR($B2138="",$B2138="(blank)"),"",VLOOKUP($B2138,'Email Marketing Raw Data'!$C:$O,10,0))),"")</f>
        <v/>
      </c>
      <c r="E2138" s="59" t="str">
        <f>IFERROR(IF(F2138&lt;&gt;"pending","",IF(OR($B2138="",$B2138="(blank)"),"",VLOOKUP($B2138,'Email Marketing Raw Data'!$C:$O,11,0))),"")</f>
        <v/>
      </c>
      <c r="F2138" s="54" t="str">
        <f>IFERROR(IF(OR($B2138="",$B2138="(blank)"),"",VLOOKUP($B2138,'Email Marketing Raw Data'!$C:$O,13,0)),"")</f>
        <v/>
      </c>
      <c r="G2138" s="55" t="str">
        <f>IFERROR(IF(OR($B2138="",$B2138="(blank)"),"",VLOOKUP($B2138,'Email Marketing Raw Data'!$C:$O,4,0)),"")</f>
        <v/>
      </c>
      <c r="H2138" s="55" t="str">
        <f>IFERROR(IF(OR($B2138="",$B2138="(blank)"),"",VLOOKUP($B2138,'Email Marketing Raw Data'!$C:$O,5,0)),"")</f>
        <v/>
      </c>
      <c r="I2138" s="55" t="str">
        <f>IFERROR(IF($G2138="","",VLOOKUP('Dashboard And Emails Automate'!$G2138,Database!$H:$N,3,0)),"")</f>
        <v/>
      </c>
      <c r="J2138" s="55" t="str">
        <f>IFERROR(IF($G2138="","",VLOOKUP('Dashboard And Emails Automate'!$G2138,Database!$H:$N,4,0)),"")</f>
        <v/>
      </c>
      <c r="K2138" s="55" t="str">
        <f>IFERROR(IF($G2138="","",VLOOKUP('Dashboard And Emails Automate'!$G2138,Database!$H:$N,5,0)),"")</f>
        <v/>
      </c>
      <c r="L2138" s="55" t="str">
        <f>IFERROR(IF($G2138="","",VLOOKUP('Dashboard And Emails Automate'!$G2138,Database!$H:$N,6,0)),"")</f>
        <v/>
      </c>
      <c r="M2138" s="55" t="str">
        <f>IFERROR(IF($G2138="","",VLOOKUP('Dashboard And Emails Automate'!$G2138,Database!$H:$N,7,0)),"")</f>
        <v/>
      </c>
      <c r="N2138" s="55" t="str">
        <f>IFERROR(IF(OR($B2138="",$B2138="(blank)"),"",VLOOKUP($B2138,'Email Marketing Raw Data'!$C:$O,6,0)),"")</f>
        <v/>
      </c>
      <c r="O2138" s="55" t="str">
        <f>IFERROR(IF(OR($B2138="",$B2138="(blank)"),"",VLOOKUP($B2138,'Email Marketing Raw Data'!$C:$O,7,0)),"")</f>
        <v/>
      </c>
      <c r="P2138" s="55" t="str">
        <f>IFERROR(IF(OR($B2138="",$B2138="(blank)"),"",VLOOKUP($B2138,'Email Marketing Raw Data'!$C:$O,8,0)),"")</f>
        <v/>
      </c>
      <c r="Q2138" s="62" t="str">
        <f>IFERROR(IF(OR($B2138="",$B2138="(blank)"),"",VLOOKUP($B2138,'Email Marketing Raw Data'!$C:$O,9,0)),"")</f>
        <v/>
      </c>
    </row>
    <row r="2139" spans="4:17" ht="12.75" customHeight="1" x14ac:dyDescent="0.2">
      <c r="D2139" s="58" t="str">
        <f>IFERROR(IF(F2139&lt;&gt;"pending","",IF(OR($B2139="",$B2139="(blank)"),"",VLOOKUP($B2139,'Email Marketing Raw Data'!$C:$O,10,0))),"")</f>
        <v/>
      </c>
      <c r="E2139" s="59" t="str">
        <f>IFERROR(IF(F2139&lt;&gt;"pending","",IF(OR($B2139="",$B2139="(blank)"),"",VLOOKUP($B2139,'Email Marketing Raw Data'!$C:$O,11,0))),"")</f>
        <v/>
      </c>
      <c r="F2139" s="54" t="str">
        <f>IFERROR(IF(OR($B2139="",$B2139="(blank)"),"",VLOOKUP($B2139,'Email Marketing Raw Data'!$C:$O,13,0)),"")</f>
        <v/>
      </c>
      <c r="G2139" s="55" t="str">
        <f>IFERROR(IF(OR($B2139="",$B2139="(blank)"),"",VLOOKUP($B2139,'Email Marketing Raw Data'!$C:$O,4,0)),"")</f>
        <v/>
      </c>
      <c r="H2139" s="55" t="str">
        <f>IFERROR(IF(OR($B2139="",$B2139="(blank)"),"",VLOOKUP($B2139,'Email Marketing Raw Data'!$C:$O,5,0)),"")</f>
        <v/>
      </c>
      <c r="I2139" s="55" t="str">
        <f>IFERROR(IF($G2139="","",VLOOKUP('Dashboard And Emails Automate'!$G2139,Database!$H:$N,3,0)),"")</f>
        <v/>
      </c>
      <c r="J2139" s="55" t="str">
        <f>IFERROR(IF($G2139="","",VLOOKUP('Dashboard And Emails Automate'!$G2139,Database!$H:$N,4,0)),"")</f>
        <v/>
      </c>
      <c r="K2139" s="55" t="str">
        <f>IFERROR(IF($G2139="","",VLOOKUP('Dashboard And Emails Automate'!$G2139,Database!$H:$N,5,0)),"")</f>
        <v/>
      </c>
      <c r="L2139" s="55" t="str">
        <f>IFERROR(IF($G2139="","",VLOOKUP('Dashboard And Emails Automate'!$G2139,Database!$H:$N,6,0)),"")</f>
        <v/>
      </c>
      <c r="M2139" s="55" t="str">
        <f>IFERROR(IF($G2139="","",VLOOKUP('Dashboard And Emails Automate'!$G2139,Database!$H:$N,7,0)),"")</f>
        <v/>
      </c>
      <c r="N2139" s="55" t="str">
        <f>IFERROR(IF(OR($B2139="",$B2139="(blank)"),"",VLOOKUP($B2139,'Email Marketing Raw Data'!$C:$O,6,0)),"")</f>
        <v/>
      </c>
      <c r="O2139" s="55" t="str">
        <f>IFERROR(IF(OR($B2139="",$B2139="(blank)"),"",VLOOKUP($B2139,'Email Marketing Raw Data'!$C:$O,7,0)),"")</f>
        <v/>
      </c>
      <c r="P2139" s="55" t="str">
        <f>IFERROR(IF(OR($B2139="",$B2139="(blank)"),"",VLOOKUP($B2139,'Email Marketing Raw Data'!$C:$O,8,0)),"")</f>
        <v/>
      </c>
      <c r="Q2139" s="62" t="str">
        <f>IFERROR(IF(OR($B2139="",$B2139="(blank)"),"",VLOOKUP($B2139,'Email Marketing Raw Data'!$C:$O,9,0)),"")</f>
        <v/>
      </c>
    </row>
    <row r="2140" spans="4:17" ht="12.75" customHeight="1" x14ac:dyDescent="0.2">
      <c r="D2140" s="58" t="str">
        <f>IFERROR(IF(F2140&lt;&gt;"pending","",IF(OR($B2140="",$B2140="(blank)"),"",VLOOKUP($B2140,'Email Marketing Raw Data'!$C:$O,10,0))),"")</f>
        <v/>
      </c>
      <c r="E2140" s="59" t="str">
        <f>IFERROR(IF(F2140&lt;&gt;"pending","",IF(OR($B2140="",$B2140="(blank)"),"",VLOOKUP($B2140,'Email Marketing Raw Data'!$C:$O,11,0))),"")</f>
        <v/>
      </c>
      <c r="F2140" s="54" t="str">
        <f>IFERROR(IF(OR($B2140="",$B2140="(blank)"),"",VLOOKUP($B2140,'Email Marketing Raw Data'!$C:$O,13,0)),"")</f>
        <v/>
      </c>
      <c r="G2140" s="55" t="str">
        <f>IFERROR(IF(OR($B2140="",$B2140="(blank)"),"",VLOOKUP($B2140,'Email Marketing Raw Data'!$C:$O,4,0)),"")</f>
        <v/>
      </c>
      <c r="H2140" s="55" t="str">
        <f>IFERROR(IF(OR($B2140="",$B2140="(blank)"),"",VLOOKUP($B2140,'Email Marketing Raw Data'!$C:$O,5,0)),"")</f>
        <v/>
      </c>
      <c r="I2140" s="55" t="str">
        <f>IFERROR(IF($G2140="","",VLOOKUP('Dashboard And Emails Automate'!$G2140,Database!$H:$N,3,0)),"")</f>
        <v/>
      </c>
      <c r="J2140" s="55" t="str">
        <f>IFERROR(IF($G2140="","",VLOOKUP('Dashboard And Emails Automate'!$G2140,Database!$H:$N,4,0)),"")</f>
        <v/>
      </c>
      <c r="K2140" s="55" t="str">
        <f>IFERROR(IF($G2140="","",VLOOKUP('Dashboard And Emails Automate'!$G2140,Database!$H:$N,5,0)),"")</f>
        <v/>
      </c>
      <c r="L2140" s="55" t="str">
        <f>IFERROR(IF($G2140="","",VLOOKUP('Dashboard And Emails Automate'!$G2140,Database!$H:$N,6,0)),"")</f>
        <v/>
      </c>
      <c r="M2140" s="55" t="str">
        <f>IFERROR(IF($G2140="","",VLOOKUP('Dashboard And Emails Automate'!$G2140,Database!$H:$N,7,0)),"")</f>
        <v/>
      </c>
      <c r="N2140" s="55" t="str">
        <f>IFERROR(IF(OR($B2140="",$B2140="(blank)"),"",VLOOKUP($B2140,'Email Marketing Raw Data'!$C:$O,6,0)),"")</f>
        <v/>
      </c>
      <c r="O2140" s="55" t="str">
        <f>IFERROR(IF(OR($B2140="",$B2140="(blank)"),"",VLOOKUP($B2140,'Email Marketing Raw Data'!$C:$O,7,0)),"")</f>
        <v/>
      </c>
      <c r="P2140" s="55" t="str">
        <f>IFERROR(IF(OR($B2140="",$B2140="(blank)"),"",VLOOKUP($B2140,'Email Marketing Raw Data'!$C:$O,8,0)),"")</f>
        <v/>
      </c>
      <c r="Q2140" s="62" t="str">
        <f>IFERROR(IF(OR($B2140="",$B2140="(blank)"),"",VLOOKUP($B2140,'Email Marketing Raw Data'!$C:$O,9,0)),"")</f>
        <v/>
      </c>
    </row>
    <row r="2141" spans="4:17" ht="12.75" customHeight="1" x14ac:dyDescent="0.2">
      <c r="D2141" s="58" t="str">
        <f>IFERROR(IF(F2141&lt;&gt;"pending","",IF(OR($B2141="",$B2141="(blank)"),"",VLOOKUP($B2141,'Email Marketing Raw Data'!$C:$O,10,0))),"")</f>
        <v/>
      </c>
      <c r="E2141" s="59" t="str">
        <f>IFERROR(IF(F2141&lt;&gt;"pending","",IF(OR($B2141="",$B2141="(blank)"),"",VLOOKUP($B2141,'Email Marketing Raw Data'!$C:$O,11,0))),"")</f>
        <v/>
      </c>
      <c r="F2141" s="54" t="str">
        <f>IFERROR(IF(OR($B2141="",$B2141="(blank)"),"",VLOOKUP($B2141,'Email Marketing Raw Data'!$C:$O,13,0)),"")</f>
        <v/>
      </c>
      <c r="G2141" s="55" t="str">
        <f>IFERROR(IF(OR($B2141="",$B2141="(blank)"),"",VLOOKUP($B2141,'Email Marketing Raw Data'!$C:$O,4,0)),"")</f>
        <v/>
      </c>
      <c r="H2141" s="55" t="str">
        <f>IFERROR(IF(OR($B2141="",$B2141="(blank)"),"",VLOOKUP($B2141,'Email Marketing Raw Data'!$C:$O,5,0)),"")</f>
        <v/>
      </c>
      <c r="I2141" s="55" t="str">
        <f>IFERROR(IF($G2141="","",VLOOKUP('Dashboard And Emails Automate'!$G2141,Database!$H:$N,3,0)),"")</f>
        <v/>
      </c>
      <c r="J2141" s="55" t="str">
        <f>IFERROR(IF($G2141="","",VLOOKUP('Dashboard And Emails Automate'!$G2141,Database!$H:$N,4,0)),"")</f>
        <v/>
      </c>
      <c r="K2141" s="55" t="str">
        <f>IFERROR(IF($G2141="","",VLOOKUP('Dashboard And Emails Automate'!$G2141,Database!$H:$N,5,0)),"")</f>
        <v/>
      </c>
      <c r="L2141" s="55" t="str">
        <f>IFERROR(IF($G2141="","",VLOOKUP('Dashboard And Emails Automate'!$G2141,Database!$H:$N,6,0)),"")</f>
        <v/>
      </c>
      <c r="M2141" s="55" t="str">
        <f>IFERROR(IF($G2141="","",VLOOKUP('Dashboard And Emails Automate'!$G2141,Database!$H:$N,7,0)),"")</f>
        <v/>
      </c>
      <c r="N2141" s="55" t="str">
        <f>IFERROR(IF(OR($B2141="",$B2141="(blank)"),"",VLOOKUP($B2141,'Email Marketing Raw Data'!$C:$O,6,0)),"")</f>
        <v/>
      </c>
      <c r="O2141" s="55" t="str">
        <f>IFERROR(IF(OR($B2141="",$B2141="(blank)"),"",VLOOKUP($B2141,'Email Marketing Raw Data'!$C:$O,7,0)),"")</f>
        <v/>
      </c>
      <c r="P2141" s="55" t="str">
        <f>IFERROR(IF(OR($B2141="",$B2141="(blank)"),"",VLOOKUP($B2141,'Email Marketing Raw Data'!$C:$O,8,0)),"")</f>
        <v/>
      </c>
      <c r="Q2141" s="62" t="str">
        <f>IFERROR(IF(OR($B2141="",$B2141="(blank)"),"",VLOOKUP($B2141,'Email Marketing Raw Data'!$C:$O,9,0)),"")</f>
        <v/>
      </c>
    </row>
    <row r="2142" spans="4:17" ht="12.75" customHeight="1" x14ac:dyDescent="0.2">
      <c r="D2142" s="58" t="str">
        <f>IFERROR(IF(F2142&lt;&gt;"pending","",IF(OR($B2142="",$B2142="(blank)"),"",VLOOKUP($B2142,'Email Marketing Raw Data'!$C:$O,10,0))),"")</f>
        <v/>
      </c>
      <c r="E2142" s="59" t="str">
        <f>IFERROR(IF(F2142&lt;&gt;"pending","",IF(OR($B2142="",$B2142="(blank)"),"",VLOOKUP($B2142,'Email Marketing Raw Data'!$C:$O,11,0))),"")</f>
        <v/>
      </c>
      <c r="F2142" s="54" t="str">
        <f>IFERROR(IF(OR($B2142="",$B2142="(blank)"),"",VLOOKUP($B2142,'Email Marketing Raw Data'!$C:$O,13,0)),"")</f>
        <v/>
      </c>
      <c r="G2142" s="55" t="str">
        <f>IFERROR(IF(OR($B2142="",$B2142="(blank)"),"",VLOOKUP($B2142,'Email Marketing Raw Data'!$C:$O,4,0)),"")</f>
        <v/>
      </c>
      <c r="H2142" s="55" t="str">
        <f>IFERROR(IF(OR($B2142="",$B2142="(blank)"),"",VLOOKUP($B2142,'Email Marketing Raw Data'!$C:$O,5,0)),"")</f>
        <v/>
      </c>
      <c r="I2142" s="55" t="str">
        <f>IFERROR(IF($G2142="","",VLOOKUP('Dashboard And Emails Automate'!$G2142,Database!$H:$N,3,0)),"")</f>
        <v/>
      </c>
      <c r="J2142" s="55" t="str">
        <f>IFERROR(IF($G2142="","",VLOOKUP('Dashboard And Emails Automate'!$G2142,Database!$H:$N,4,0)),"")</f>
        <v/>
      </c>
      <c r="K2142" s="55" t="str">
        <f>IFERROR(IF($G2142="","",VLOOKUP('Dashboard And Emails Automate'!$G2142,Database!$H:$N,5,0)),"")</f>
        <v/>
      </c>
      <c r="L2142" s="55" t="str">
        <f>IFERROR(IF($G2142="","",VLOOKUP('Dashboard And Emails Automate'!$G2142,Database!$H:$N,6,0)),"")</f>
        <v/>
      </c>
      <c r="M2142" s="55" t="str">
        <f>IFERROR(IF($G2142="","",VLOOKUP('Dashboard And Emails Automate'!$G2142,Database!$H:$N,7,0)),"")</f>
        <v/>
      </c>
      <c r="N2142" s="55" t="str">
        <f>IFERROR(IF(OR($B2142="",$B2142="(blank)"),"",VLOOKUP($B2142,'Email Marketing Raw Data'!$C:$O,6,0)),"")</f>
        <v/>
      </c>
      <c r="O2142" s="55" t="str">
        <f>IFERROR(IF(OR($B2142="",$B2142="(blank)"),"",VLOOKUP($B2142,'Email Marketing Raw Data'!$C:$O,7,0)),"")</f>
        <v/>
      </c>
      <c r="P2142" s="55" t="str">
        <f>IFERROR(IF(OR($B2142="",$B2142="(blank)"),"",VLOOKUP($B2142,'Email Marketing Raw Data'!$C:$O,8,0)),"")</f>
        <v/>
      </c>
      <c r="Q2142" s="62" t="str">
        <f>IFERROR(IF(OR($B2142="",$B2142="(blank)"),"",VLOOKUP($B2142,'Email Marketing Raw Data'!$C:$O,9,0)),"")</f>
        <v/>
      </c>
    </row>
    <row r="2143" spans="4:17" ht="12.75" customHeight="1" x14ac:dyDescent="0.2">
      <c r="D2143" s="58" t="str">
        <f>IFERROR(IF(F2143&lt;&gt;"pending","",IF(OR($B2143="",$B2143="(blank)"),"",VLOOKUP($B2143,'Email Marketing Raw Data'!$C:$O,10,0))),"")</f>
        <v/>
      </c>
      <c r="E2143" s="59" t="str">
        <f>IFERROR(IF(F2143&lt;&gt;"pending","",IF(OR($B2143="",$B2143="(blank)"),"",VLOOKUP($B2143,'Email Marketing Raw Data'!$C:$O,11,0))),"")</f>
        <v/>
      </c>
      <c r="F2143" s="54" t="str">
        <f>IFERROR(IF(OR($B2143="",$B2143="(blank)"),"",VLOOKUP($B2143,'Email Marketing Raw Data'!$C:$O,13,0)),"")</f>
        <v/>
      </c>
      <c r="G2143" s="55" t="str">
        <f>IFERROR(IF(OR($B2143="",$B2143="(blank)"),"",VLOOKUP($B2143,'Email Marketing Raw Data'!$C:$O,4,0)),"")</f>
        <v/>
      </c>
      <c r="H2143" s="55" t="str">
        <f>IFERROR(IF(OR($B2143="",$B2143="(blank)"),"",VLOOKUP($B2143,'Email Marketing Raw Data'!$C:$O,5,0)),"")</f>
        <v/>
      </c>
      <c r="I2143" s="55" t="str">
        <f>IFERROR(IF($G2143="","",VLOOKUP('Dashboard And Emails Automate'!$G2143,Database!$H:$N,3,0)),"")</f>
        <v/>
      </c>
      <c r="J2143" s="55" t="str">
        <f>IFERROR(IF($G2143="","",VLOOKUP('Dashboard And Emails Automate'!$G2143,Database!$H:$N,4,0)),"")</f>
        <v/>
      </c>
      <c r="K2143" s="55" t="str">
        <f>IFERROR(IF($G2143="","",VLOOKUP('Dashboard And Emails Automate'!$G2143,Database!$H:$N,5,0)),"")</f>
        <v/>
      </c>
      <c r="L2143" s="55" t="str">
        <f>IFERROR(IF($G2143="","",VLOOKUP('Dashboard And Emails Automate'!$G2143,Database!$H:$N,6,0)),"")</f>
        <v/>
      </c>
      <c r="M2143" s="55" t="str">
        <f>IFERROR(IF($G2143="","",VLOOKUP('Dashboard And Emails Automate'!$G2143,Database!$H:$N,7,0)),"")</f>
        <v/>
      </c>
      <c r="N2143" s="55" t="str">
        <f>IFERROR(IF(OR($B2143="",$B2143="(blank)"),"",VLOOKUP($B2143,'Email Marketing Raw Data'!$C:$O,6,0)),"")</f>
        <v/>
      </c>
      <c r="O2143" s="55" t="str">
        <f>IFERROR(IF(OR($B2143="",$B2143="(blank)"),"",VLOOKUP($B2143,'Email Marketing Raw Data'!$C:$O,7,0)),"")</f>
        <v/>
      </c>
      <c r="P2143" s="55" t="str">
        <f>IFERROR(IF(OR($B2143="",$B2143="(blank)"),"",VLOOKUP($B2143,'Email Marketing Raw Data'!$C:$O,8,0)),"")</f>
        <v/>
      </c>
      <c r="Q2143" s="62" t="str">
        <f>IFERROR(IF(OR($B2143="",$B2143="(blank)"),"",VLOOKUP($B2143,'Email Marketing Raw Data'!$C:$O,9,0)),"")</f>
        <v/>
      </c>
    </row>
    <row r="2144" spans="4:17" ht="12.75" customHeight="1" x14ac:dyDescent="0.2">
      <c r="D2144" s="58" t="str">
        <f>IFERROR(IF(F2144&lt;&gt;"pending","",IF(OR($B2144="",$B2144="(blank)"),"",VLOOKUP($B2144,'Email Marketing Raw Data'!$C:$O,10,0))),"")</f>
        <v/>
      </c>
      <c r="E2144" s="59" t="str">
        <f>IFERROR(IF(F2144&lt;&gt;"pending","",IF(OR($B2144="",$B2144="(blank)"),"",VLOOKUP($B2144,'Email Marketing Raw Data'!$C:$O,11,0))),"")</f>
        <v/>
      </c>
      <c r="F2144" s="54" t="str">
        <f>IFERROR(IF(OR($B2144="",$B2144="(blank)"),"",VLOOKUP($B2144,'Email Marketing Raw Data'!$C:$O,13,0)),"")</f>
        <v/>
      </c>
      <c r="G2144" s="55" t="str">
        <f>IFERROR(IF(OR($B2144="",$B2144="(blank)"),"",VLOOKUP($B2144,'Email Marketing Raw Data'!$C:$O,4,0)),"")</f>
        <v/>
      </c>
      <c r="H2144" s="55" t="str">
        <f>IFERROR(IF(OR($B2144="",$B2144="(blank)"),"",VLOOKUP($B2144,'Email Marketing Raw Data'!$C:$O,5,0)),"")</f>
        <v/>
      </c>
      <c r="I2144" s="55" t="str">
        <f>IFERROR(IF($G2144="","",VLOOKUP('Dashboard And Emails Automate'!$G2144,Database!$H:$N,3,0)),"")</f>
        <v/>
      </c>
      <c r="J2144" s="55" t="str">
        <f>IFERROR(IF($G2144="","",VLOOKUP('Dashboard And Emails Automate'!$G2144,Database!$H:$N,4,0)),"")</f>
        <v/>
      </c>
      <c r="K2144" s="55" t="str">
        <f>IFERROR(IF($G2144="","",VLOOKUP('Dashboard And Emails Automate'!$G2144,Database!$H:$N,5,0)),"")</f>
        <v/>
      </c>
      <c r="L2144" s="55" t="str">
        <f>IFERROR(IF($G2144="","",VLOOKUP('Dashboard And Emails Automate'!$G2144,Database!$H:$N,6,0)),"")</f>
        <v/>
      </c>
      <c r="M2144" s="55" t="str">
        <f>IFERROR(IF($G2144="","",VLOOKUP('Dashboard And Emails Automate'!$G2144,Database!$H:$N,7,0)),"")</f>
        <v/>
      </c>
      <c r="N2144" s="55" t="str">
        <f>IFERROR(IF(OR($B2144="",$B2144="(blank)"),"",VLOOKUP($B2144,'Email Marketing Raw Data'!$C:$O,6,0)),"")</f>
        <v/>
      </c>
      <c r="O2144" s="55" t="str">
        <f>IFERROR(IF(OR($B2144="",$B2144="(blank)"),"",VLOOKUP($B2144,'Email Marketing Raw Data'!$C:$O,7,0)),"")</f>
        <v/>
      </c>
      <c r="P2144" s="55" t="str">
        <f>IFERROR(IF(OR($B2144="",$B2144="(blank)"),"",VLOOKUP($B2144,'Email Marketing Raw Data'!$C:$O,8,0)),"")</f>
        <v/>
      </c>
      <c r="Q2144" s="62" t="str">
        <f>IFERROR(IF(OR($B2144="",$B2144="(blank)"),"",VLOOKUP($B2144,'Email Marketing Raw Data'!$C:$O,9,0)),"")</f>
        <v/>
      </c>
    </row>
    <row r="2145" spans="4:17" ht="12.75" customHeight="1" x14ac:dyDescent="0.2">
      <c r="D2145" s="58" t="str">
        <f>IFERROR(IF(F2145&lt;&gt;"pending","",IF(OR($B2145="",$B2145="(blank)"),"",VLOOKUP($B2145,'Email Marketing Raw Data'!$C:$O,10,0))),"")</f>
        <v/>
      </c>
      <c r="E2145" s="59" t="str">
        <f>IFERROR(IF(F2145&lt;&gt;"pending","",IF(OR($B2145="",$B2145="(blank)"),"",VLOOKUP($B2145,'Email Marketing Raw Data'!$C:$O,11,0))),"")</f>
        <v/>
      </c>
      <c r="F2145" s="54" t="str">
        <f>IFERROR(IF(OR($B2145="",$B2145="(blank)"),"",VLOOKUP($B2145,'Email Marketing Raw Data'!$C:$O,13,0)),"")</f>
        <v/>
      </c>
      <c r="G2145" s="55" t="str">
        <f>IFERROR(IF(OR($B2145="",$B2145="(blank)"),"",VLOOKUP($B2145,'Email Marketing Raw Data'!$C:$O,4,0)),"")</f>
        <v/>
      </c>
      <c r="H2145" s="55" t="str">
        <f>IFERROR(IF(OR($B2145="",$B2145="(blank)"),"",VLOOKUP($B2145,'Email Marketing Raw Data'!$C:$O,5,0)),"")</f>
        <v/>
      </c>
      <c r="I2145" s="55" t="str">
        <f>IFERROR(IF($G2145="","",VLOOKUP('Dashboard And Emails Automate'!$G2145,Database!$H:$N,3,0)),"")</f>
        <v/>
      </c>
      <c r="J2145" s="55" t="str">
        <f>IFERROR(IF($G2145="","",VLOOKUP('Dashboard And Emails Automate'!$G2145,Database!$H:$N,4,0)),"")</f>
        <v/>
      </c>
      <c r="K2145" s="55" t="str">
        <f>IFERROR(IF($G2145="","",VLOOKUP('Dashboard And Emails Automate'!$G2145,Database!$H:$N,5,0)),"")</f>
        <v/>
      </c>
      <c r="L2145" s="55" t="str">
        <f>IFERROR(IF($G2145="","",VLOOKUP('Dashboard And Emails Automate'!$G2145,Database!$H:$N,6,0)),"")</f>
        <v/>
      </c>
      <c r="M2145" s="55" t="str">
        <f>IFERROR(IF($G2145="","",VLOOKUP('Dashboard And Emails Automate'!$G2145,Database!$H:$N,7,0)),"")</f>
        <v/>
      </c>
      <c r="N2145" s="55" t="str">
        <f>IFERROR(IF(OR($B2145="",$B2145="(blank)"),"",VLOOKUP($B2145,'Email Marketing Raw Data'!$C:$O,6,0)),"")</f>
        <v/>
      </c>
      <c r="O2145" s="55" t="str">
        <f>IFERROR(IF(OR($B2145="",$B2145="(blank)"),"",VLOOKUP($B2145,'Email Marketing Raw Data'!$C:$O,7,0)),"")</f>
        <v/>
      </c>
      <c r="P2145" s="55" t="str">
        <f>IFERROR(IF(OR($B2145="",$B2145="(blank)"),"",VLOOKUP($B2145,'Email Marketing Raw Data'!$C:$O,8,0)),"")</f>
        <v/>
      </c>
      <c r="Q2145" s="62" t="str">
        <f>IFERROR(IF(OR($B2145="",$B2145="(blank)"),"",VLOOKUP($B2145,'Email Marketing Raw Data'!$C:$O,9,0)),"")</f>
        <v/>
      </c>
    </row>
    <row r="2146" spans="4:17" ht="12.75" customHeight="1" x14ac:dyDescent="0.2">
      <c r="D2146" s="58" t="str">
        <f>IFERROR(IF(F2146&lt;&gt;"pending","",IF(OR($B2146="",$B2146="(blank)"),"",VLOOKUP($B2146,'Email Marketing Raw Data'!$C:$O,10,0))),"")</f>
        <v/>
      </c>
      <c r="E2146" s="59" t="str">
        <f>IFERROR(IF(F2146&lt;&gt;"pending","",IF(OR($B2146="",$B2146="(blank)"),"",VLOOKUP($B2146,'Email Marketing Raw Data'!$C:$O,11,0))),"")</f>
        <v/>
      </c>
      <c r="F2146" s="54" t="str">
        <f>IFERROR(IF(OR($B2146="",$B2146="(blank)"),"",VLOOKUP($B2146,'Email Marketing Raw Data'!$C:$O,13,0)),"")</f>
        <v/>
      </c>
      <c r="G2146" s="55" t="str">
        <f>IFERROR(IF(OR($B2146="",$B2146="(blank)"),"",VLOOKUP($B2146,'Email Marketing Raw Data'!$C:$O,4,0)),"")</f>
        <v/>
      </c>
      <c r="H2146" s="55" t="str">
        <f>IFERROR(IF(OR($B2146="",$B2146="(blank)"),"",VLOOKUP($B2146,'Email Marketing Raw Data'!$C:$O,5,0)),"")</f>
        <v/>
      </c>
      <c r="I2146" s="55" t="str">
        <f>IFERROR(IF($G2146="","",VLOOKUP('Dashboard And Emails Automate'!$G2146,Database!$H:$N,3,0)),"")</f>
        <v/>
      </c>
      <c r="J2146" s="55" t="str">
        <f>IFERROR(IF($G2146="","",VLOOKUP('Dashboard And Emails Automate'!$G2146,Database!$H:$N,4,0)),"")</f>
        <v/>
      </c>
      <c r="K2146" s="55" t="str">
        <f>IFERROR(IF($G2146="","",VLOOKUP('Dashboard And Emails Automate'!$G2146,Database!$H:$N,5,0)),"")</f>
        <v/>
      </c>
      <c r="L2146" s="55" t="str">
        <f>IFERROR(IF($G2146="","",VLOOKUP('Dashboard And Emails Automate'!$G2146,Database!$H:$N,6,0)),"")</f>
        <v/>
      </c>
      <c r="M2146" s="55" t="str">
        <f>IFERROR(IF($G2146="","",VLOOKUP('Dashboard And Emails Automate'!$G2146,Database!$H:$N,7,0)),"")</f>
        <v/>
      </c>
      <c r="N2146" s="55" t="str">
        <f>IFERROR(IF(OR($B2146="",$B2146="(blank)"),"",VLOOKUP($B2146,'Email Marketing Raw Data'!$C:$O,6,0)),"")</f>
        <v/>
      </c>
      <c r="O2146" s="55" t="str">
        <f>IFERROR(IF(OR($B2146="",$B2146="(blank)"),"",VLOOKUP($B2146,'Email Marketing Raw Data'!$C:$O,7,0)),"")</f>
        <v/>
      </c>
      <c r="P2146" s="55" t="str">
        <f>IFERROR(IF(OR($B2146="",$B2146="(blank)"),"",VLOOKUP($B2146,'Email Marketing Raw Data'!$C:$O,8,0)),"")</f>
        <v/>
      </c>
      <c r="Q2146" s="62" t="str">
        <f>IFERROR(IF(OR($B2146="",$B2146="(blank)"),"",VLOOKUP($B2146,'Email Marketing Raw Data'!$C:$O,9,0)),"")</f>
        <v/>
      </c>
    </row>
    <row r="2147" spans="4:17" ht="12.75" customHeight="1" x14ac:dyDescent="0.2">
      <c r="D2147" s="58" t="str">
        <f>IFERROR(IF(F2147&lt;&gt;"pending","",IF(OR($B2147="",$B2147="(blank)"),"",VLOOKUP($B2147,'Email Marketing Raw Data'!$C:$O,10,0))),"")</f>
        <v/>
      </c>
      <c r="E2147" s="59" t="str">
        <f>IFERROR(IF(F2147&lt;&gt;"pending","",IF(OR($B2147="",$B2147="(blank)"),"",VLOOKUP($B2147,'Email Marketing Raw Data'!$C:$O,11,0))),"")</f>
        <v/>
      </c>
      <c r="F2147" s="54" t="str">
        <f>IFERROR(IF(OR($B2147="",$B2147="(blank)"),"",VLOOKUP($B2147,'Email Marketing Raw Data'!$C:$O,13,0)),"")</f>
        <v/>
      </c>
      <c r="G2147" s="55" t="str">
        <f>IFERROR(IF(OR($B2147="",$B2147="(blank)"),"",VLOOKUP($B2147,'Email Marketing Raw Data'!$C:$O,4,0)),"")</f>
        <v/>
      </c>
      <c r="H2147" s="55" t="str">
        <f>IFERROR(IF(OR($B2147="",$B2147="(blank)"),"",VLOOKUP($B2147,'Email Marketing Raw Data'!$C:$O,5,0)),"")</f>
        <v/>
      </c>
      <c r="I2147" s="55" t="str">
        <f>IFERROR(IF($G2147="","",VLOOKUP('Dashboard And Emails Automate'!$G2147,Database!$H:$N,3,0)),"")</f>
        <v/>
      </c>
      <c r="J2147" s="55" t="str">
        <f>IFERROR(IF($G2147="","",VLOOKUP('Dashboard And Emails Automate'!$G2147,Database!$H:$N,4,0)),"")</f>
        <v/>
      </c>
      <c r="K2147" s="55" t="str">
        <f>IFERROR(IF($G2147="","",VLOOKUP('Dashboard And Emails Automate'!$G2147,Database!$H:$N,5,0)),"")</f>
        <v/>
      </c>
      <c r="L2147" s="55" t="str">
        <f>IFERROR(IF($G2147="","",VLOOKUP('Dashboard And Emails Automate'!$G2147,Database!$H:$N,6,0)),"")</f>
        <v/>
      </c>
      <c r="M2147" s="55" t="str">
        <f>IFERROR(IF($G2147="","",VLOOKUP('Dashboard And Emails Automate'!$G2147,Database!$H:$N,7,0)),"")</f>
        <v/>
      </c>
      <c r="N2147" s="55" t="str">
        <f>IFERROR(IF(OR($B2147="",$B2147="(blank)"),"",VLOOKUP($B2147,'Email Marketing Raw Data'!$C:$O,6,0)),"")</f>
        <v/>
      </c>
      <c r="O2147" s="55" t="str">
        <f>IFERROR(IF(OR($B2147="",$B2147="(blank)"),"",VLOOKUP($B2147,'Email Marketing Raw Data'!$C:$O,7,0)),"")</f>
        <v/>
      </c>
      <c r="P2147" s="55" t="str">
        <f>IFERROR(IF(OR($B2147="",$B2147="(blank)"),"",VLOOKUP($B2147,'Email Marketing Raw Data'!$C:$O,8,0)),"")</f>
        <v/>
      </c>
      <c r="Q2147" s="62" t="str">
        <f>IFERROR(IF(OR($B2147="",$B2147="(blank)"),"",VLOOKUP($B2147,'Email Marketing Raw Data'!$C:$O,9,0)),"")</f>
        <v/>
      </c>
    </row>
    <row r="2148" spans="4:17" ht="12.75" customHeight="1" x14ac:dyDescent="0.2">
      <c r="D2148" s="58" t="str">
        <f>IFERROR(IF(F2148&lt;&gt;"pending","",IF(OR($B2148="",$B2148="(blank)"),"",VLOOKUP($B2148,'Email Marketing Raw Data'!$C:$O,10,0))),"")</f>
        <v/>
      </c>
      <c r="E2148" s="59" t="str">
        <f>IFERROR(IF(F2148&lt;&gt;"pending","",IF(OR($B2148="",$B2148="(blank)"),"",VLOOKUP($B2148,'Email Marketing Raw Data'!$C:$O,11,0))),"")</f>
        <v/>
      </c>
      <c r="F2148" s="54" t="str">
        <f>IFERROR(IF(OR($B2148="",$B2148="(blank)"),"",VLOOKUP($B2148,'Email Marketing Raw Data'!$C:$O,13,0)),"")</f>
        <v/>
      </c>
      <c r="G2148" s="55" t="str">
        <f>IFERROR(IF(OR($B2148="",$B2148="(blank)"),"",VLOOKUP($B2148,'Email Marketing Raw Data'!$C:$O,4,0)),"")</f>
        <v/>
      </c>
      <c r="H2148" s="55" t="str">
        <f>IFERROR(IF(OR($B2148="",$B2148="(blank)"),"",VLOOKUP($B2148,'Email Marketing Raw Data'!$C:$O,5,0)),"")</f>
        <v/>
      </c>
      <c r="I2148" s="55" t="str">
        <f>IFERROR(IF($G2148="","",VLOOKUP('Dashboard And Emails Automate'!$G2148,Database!$H:$N,3,0)),"")</f>
        <v/>
      </c>
      <c r="J2148" s="55" t="str">
        <f>IFERROR(IF($G2148="","",VLOOKUP('Dashboard And Emails Automate'!$G2148,Database!$H:$N,4,0)),"")</f>
        <v/>
      </c>
      <c r="K2148" s="55" t="str">
        <f>IFERROR(IF($G2148="","",VLOOKUP('Dashboard And Emails Automate'!$G2148,Database!$H:$N,5,0)),"")</f>
        <v/>
      </c>
      <c r="L2148" s="55" t="str">
        <f>IFERROR(IF($G2148="","",VLOOKUP('Dashboard And Emails Automate'!$G2148,Database!$H:$N,6,0)),"")</f>
        <v/>
      </c>
      <c r="M2148" s="55" t="str">
        <f>IFERROR(IF($G2148="","",VLOOKUP('Dashboard And Emails Automate'!$G2148,Database!$H:$N,7,0)),"")</f>
        <v/>
      </c>
      <c r="N2148" s="55" t="str">
        <f>IFERROR(IF(OR($B2148="",$B2148="(blank)"),"",VLOOKUP($B2148,'Email Marketing Raw Data'!$C:$O,6,0)),"")</f>
        <v/>
      </c>
      <c r="O2148" s="55" t="str">
        <f>IFERROR(IF(OR($B2148="",$B2148="(blank)"),"",VLOOKUP($B2148,'Email Marketing Raw Data'!$C:$O,7,0)),"")</f>
        <v/>
      </c>
      <c r="P2148" s="55" t="str">
        <f>IFERROR(IF(OR($B2148="",$B2148="(blank)"),"",VLOOKUP($B2148,'Email Marketing Raw Data'!$C:$O,8,0)),"")</f>
        <v/>
      </c>
      <c r="Q2148" s="62" t="str">
        <f>IFERROR(IF(OR($B2148="",$B2148="(blank)"),"",VLOOKUP($B2148,'Email Marketing Raw Data'!$C:$O,9,0)),"")</f>
        <v/>
      </c>
    </row>
    <row r="2149" spans="4:17" ht="12.75" customHeight="1" x14ac:dyDescent="0.2">
      <c r="D2149" s="58" t="str">
        <f>IFERROR(IF(F2149&lt;&gt;"pending","",IF(OR($B2149="",$B2149="(blank)"),"",VLOOKUP($B2149,'Email Marketing Raw Data'!$C:$O,10,0))),"")</f>
        <v/>
      </c>
      <c r="E2149" s="59" t="str">
        <f>IFERROR(IF(F2149&lt;&gt;"pending","",IF(OR($B2149="",$B2149="(blank)"),"",VLOOKUP($B2149,'Email Marketing Raw Data'!$C:$O,11,0))),"")</f>
        <v/>
      </c>
      <c r="F2149" s="54" t="str">
        <f>IFERROR(IF(OR($B2149="",$B2149="(blank)"),"",VLOOKUP($B2149,'Email Marketing Raw Data'!$C:$O,13,0)),"")</f>
        <v/>
      </c>
      <c r="G2149" s="55" t="str">
        <f>IFERROR(IF(OR($B2149="",$B2149="(blank)"),"",VLOOKUP($B2149,'Email Marketing Raw Data'!$C:$O,4,0)),"")</f>
        <v/>
      </c>
      <c r="H2149" s="55" t="str">
        <f>IFERROR(IF(OR($B2149="",$B2149="(blank)"),"",VLOOKUP($B2149,'Email Marketing Raw Data'!$C:$O,5,0)),"")</f>
        <v/>
      </c>
      <c r="I2149" s="55" t="str">
        <f>IFERROR(IF($G2149="","",VLOOKUP('Dashboard And Emails Automate'!$G2149,Database!$H:$N,3,0)),"")</f>
        <v/>
      </c>
      <c r="J2149" s="55" t="str">
        <f>IFERROR(IF($G2149="","",VLOOKUP('Dashboard And Emails Automate'!$G2149,Database!$H:$N,4,0)),"")</f>
        <v/>
      </c>
      <c r="K2149" s="55" t="str">
        <f>IFERROR(IF($G2149="","",VLOOKUP('Dashboard And Emails Automate'!$G2149,Database!$H:$N,5,0)),"")</f>
        <v/>
      </c>
      <c r="L2149" s="55" t="str">
        <f>IFERROR(IF($G2149="","",VLOOKUP('Dashboard And Emails Automate'!$G2149,Database!$H:$N,6,0)),"")</f>
        <v/>
      </c>
      <c r="M2149" s="55" t="str">
        <f>IFERROR(IF($G2149="","",VLOOKUP('Dashboard And Emails Automate'!$G2149,Database!$H:$N,7,0)),"")</f>
        <v/>
      </c>
      <c r="N2149" s="55" t="str">
        <f>IFERROR(IF(OR($B2149="",$B2149="(blank)"),"",VLOOKUP($B2149,'Email Marketing Raw Data'!$C:$O,6,0)),"")</f>
        <v/>
      </c>
      <c r="O2149" s="55" t="str">
        <f>IFERROR(IF(OR($B2149="",$B2149="(blank)"),"",VLOOKUP($B2149,'Email Marketing Raw Data'!$C:$O,7,0)),"")</f>
        <v/>
      </c>
      <c r="P2149" s="55" t="str">
        <f>IFERROR(IF(OR($B2149="",$B2149="(blank)"),"",VLOOKUP($B2149,'Email Marketing Raw Data'!$C:$O,8,0)),"")</f>
        <v/>
      </c>
      <c r="Q2149" s="62" t="str">
        <f>IFERROR(IF(OR($B2149="",$B2149="(blank)"),"",VLOOKUP($B2149,'Email Marketing Raw Data'!$C:$O,9,0)),"")</f>
        <v/>
      </c>
    </row>
    <row r="2150" spans="4:17" ht="12.75" customHeight="1" x14ac:dyDescent="0.2">
      <c r="D2150" s="58" t="str">
        <f>IFERROR(IF(F2150&lt;&gt;"pending","",IF(OR($B2150="",$B2150="(blank)"),"",VLOOKUP($B2150,'Email Marketing Raw Data'!$C:$O,10,0))),"")</f>
        <v/>
      </c>
      <c r="E2150" s="59" t="str">
        <f>IFERROR(IF(F2150&lt;&gt;"pending","",IF(OR($B2150="",$B2150="(blank)"),"",VLOOKUP($B2150,'Email Marketing Raw Data'!$C:$O,11,0))),"")</f>
        <v/>
      </c>
      <c r="F2150" s="54" t="str">
        <f>IFERROR(IF(OR($B2150="",$B2150="(blank)"),"",VLOOKUP($B2150,'Email Marketing Raw Data'!$C:$O,13,0)),"")</f>
        <v/>
      </c>
      <c r="G2150" s="55" t="str">
        <f>IFERROR(IF(OR($B2150="",$B2150="(blank)"),"",VLOOKUP($B2150,'Email Marketing Raw Data'!$C:$O,4,0)),"")</f>
        <v/>
      </c>
      <c r="H2150" s="55" t="str">
        <f>IFERROR(IF(OR($B2150="",$B2150="(blank)"),"",VLOOKUP($B2150,'Email Marketing Raw Data'!$C:$O,5,0)),"")</f>
        <v/>
      </c>
      <c r="I2150" s="55" t="str">
        <f>IFERROR(IF($G2150="","",VLOOKUP('Dashboard And Emails Automate'!$G2150,Database!$H:$N,3,0)),"")</f>
        <v/>
      </c>
      <c r="J2150" s="55" t="str">
        <f>IFERROR(IF($G2150="","",VLOOKUP('Dashboard And Emails Automate'!$G2150,Database!$H:$N,4,0)),"")</f>
        <v/>
      </c>
      <c r="K2150" s="55" t="str">
        <f>IFERROR(IF($G2150="","",VLOOKUP('Dashboard And Emails Automate'!$G2150,Database!$H:$N,5,0)),"")</f>
        <v/>
      </c>
      <c r="L2150" s="55" t="str">
        <f>IFERROR(IF($G2150="","",VLOOKUP('Dashboard And Emails Automate'!$G2150,Database!$H:$N,6,0)),"")</f>
        <v/>
      </c>
      <c r="M2150" s="55" t="str">
        <f>IFERROR(IF($G2150="","",VLOOKUP('Dashboard And Emails Automate'!$G2150,Database!$H:$N,7,0)),"")</f>
        <v/>
      </c>
      <c r="N2150" s="55" t="str">
        <f>IFERROR(IF(OR($B2150="",$B2150="(blank)"),"",VLOOKUP($B2150,'Email Marketing Raw Data'!$C:$O,6,0)),"")</f>
        <v/>
      </c>
      <c r="O2150" s="55" t="str">
        <f>IFERROR(IF(OR($B2150="",$B2150="(blank)"),"",VLOOKUP($B2150,'Email Marketing Raw Data'!$C:$O,7,0)),"")</f>
        <v/>
      </c>
      <c r="P2150" s="55" t="str">
        <f>IFERROR(IF(OR($B2150="",$B2150="(blank)"),"",VLOOKUP($B2150,'Email Marketing Raw Data'!$C:$O,8,0)),"")</f>
        <v/>
      </c>
      <c r="Q2150" s="62" t="str">
        <f>IFERROR(IF(OR($B2150="",$B2150="(blank)"),"",VLOOKUP($B2150,'Email Marketing Raw Data'!$C:$O,9,0)),"")</f>
        <v/>
      </c>
    </row>
    <row r="2151" spans="4:17" ht="12.75" customHeight="1" x14ac:dyDescent="0.2">
      <c r="D2151" s="58" t="str">
        <f>IFERROR(IF(F2151&lt;&gt;"pending","",IF(OR($B2151="",$B2151="(blank)"),"",VLOOKUP($B2151,'Email Marketing Raw Data'!$C:$O,10,0))),"")</f>
        <v/>
      </c>
      <c r="E2151" s="59" t="str">
        <f>IFERROR(IF(F2151&lt;&gt;"pending","",IF(OR($B2151="",$B2151="(blank)"),"",VLOOKUP($B2151,'Email Marketing Raw Data'!$C:$O,11,0))),"")</f>
        <v/>
      </c>
      <c r="F2151" s="54" t="str">
        <f>IFERROR(IF(OR($B2151="",$B2151="(blank)"),"",VLOOKUP($B2151,'Email Marketing Raw Data'!$C:$O,13,0)),"")</f>
        <v/>
      </c>
      <c r="G2151" s="55" t="str">
        <f>IFERROR(IF(OR($B2151="",$B2151="(blank)"),"",VLOOKUP($B2151,'Email Marketing Raw Data'!$C:$O,4,0)),"")</f>
        <v/>
      </c>
      <c r="H2151" s="55" t="str">
        <f>IFERROR(IF(OR($B2151="",$B2151="(blank)"),"",VLOOKUP($B2151,'Email Marketing Raw Data'!$C:$O,5,0)),"")</f>
        <v/>
      </c>
      <c r="I2151" s="55" t="str">
        <f>IFERROR(IF($G2151="","",VLOOKUP('Dashboard And Emails Automate'!$G2151,Database!$H:$N,3,0)),"")</f>
        <v/>
      </c>
      <c r="J2151" s="55" t="str">
        <f>IFERROR(IF($G2151="","",VLOOKUP('Dashboard And Emails Automate'!$G2151,Database!$H:$N,4,0)),"")</f>
        <v/>
      </c>
      <c r="K2151" s="55" t="str">
        <f>IFERROR(IF($G2151="","",VLOOKUP('Dashboard And Emails Automate'!$G2151,Database!$H:$N,5,0)),"")</f>
        <v/>
      </c>
      <c r="L2151" s="55" t="str">
        <f>IFERROR(IF($G2151="","",VLOOKUP('Dashboard And Emails Automate'!$G2151,Database!$H:$N,6,0)),"")</f>
        <v/>
      </c>
      <c r="M2151" s="55" t="str">
        <f>IFERROR(IF($G2151="","",VLOOKUP('Dashboard And Emails Automate'!$G2151,Database!$H:$N,7,0)),"")</f>
        <v/>
      </c>
      <c r="N2151" s="55" t="str">
        <f>IFERROR(IF(OR($B2151="",$B2151="(blank)"),"",VLOOKUP($B2151,'Email Marketing Raw Data'!$C:$O,6,0)),"")</f>
        <v/>
      </c>
      <c r="O2151" s="55" t="str">
        <f>IFERROR(IF(OR($B2151="",$B2151="(blank)"),"",VLOOKUP($B2151,'Email Marketing Raw Data'!$C:$O,7,0)),"")</f>
        <v/>
      </c>
      <c r="P2151" s="55" t="str">
        <f>IFERROR(IF(OR($B2151="",$B2151="(blank)"),"",VLOOKUP($B2151,'Email Marketing Raw Data'!$C:$O,8,0)),"")</f>
        <v/>
      </c>
      <c r="Q2151" s="62" t="str">
        <f>IFERROR(IF(OR($B2151="",$B2151="(blank)"),"",VLOOKUP($B2151,'Email Marketing Raw Data'!$C:$O,9,0)),"")</f>
        <v/>
      </c>
    </row>
    <row r="2152" spans="4:17" ht="12.75" customHeight="1" x14ac:dyDescent="0.2">
      <c r="D2152" s="58" t="str">
        <f>IFERROR(IF(F2152&lt;&gt;"pending","",IF(OR($B2152="",$B2152="(blank)"),"",VLOOKUP($B2152,'Email Marketing Raw Data'!$C:$O,10,0))),"")</f>
        <v/>
      </c>
      <c r="E2152" s="59" t="str">
        <f>IFERROR(IF(F2152&lt;&gt;"pending","",IF(OR($B2152="",$B2152="(blank)"),"",VLOOKUP($B2152,'Email Marketing Raw Data'!$C:$O,11,0))),"")</f>
        <v/>
      </c>
      <c r="F2152" s="54" t="str">
        <f>IFERROR(IF(OR($B2152="",$B2152="(blank)"),"",VLOOKUP($B2152,'Email Marketing Raw Data'!$C:$O,13,0)),"")</f>
        <v/>
      </c>
      <c r="G2152" s="55" t="str">
        <f>IFERROR(IF(OR($B2152="",$B2152="(blank)"),"",VLOOKUP($B2152,'Email Marketing Raw Data'!$C:$O,4,0)),"")</f>
        <v/>
      </c>
      <c r="H2152" s="55" t="str">
        <f>IFERROR(IF(OR($B2152="",$B2152="(blank)"),"",VLOOKUP($B2152,'Email Marketing Raw Data'!$C:$O,5,0)),"")</f>
        <v/>
      </c>
      <c r="I2152" s="55" t="str">
        <f>IFERROR(IF($G2152="","",VLOOKUP('Dashboard And Emails Automate'!$G2152,Database!$H:$N,3,0)),"")</f>
        <v/>
      </c>
      <c r="J2152" s="55" t="str">
        <f>IFERROR(IF($G2152="","",VLOOKUP('Dashboard And Emails Automate'!$G2152,Database!$H:$N,4,0)),"")</f>
        <v/>
      </c>
      <c r="K2152" s="55" t="str">
        <f>IFERROR(IF($G2152="","",VLOOKUP('Dashboard And Emails Automate'!$G2152,Database!$H:$N,5,0)),"")</f>
        <v/>
      </c>
      <c r="L2152" s="55" t="str">
        <f>IFERROR(IF($G2152="","",VLOOKUP('Dashboard And Emails Automate'!$G2152,Database!$H:$N,6,0)),"")</f>
        <v/>
      </c>
      <c r="M2152" s="55" t="str">
        <f>IFERROR(IF($G2152="","",VLOOKUP('Dashboard And Emails Automate'!$G2152,Database!$H:$N,7,0)),"")</f>
        <v/>
      </c>
      <c r="N2152" s="55" t="str">
        <f>IFERROR(IF(OR($B2152="",$B2152="(blank)"),"",VLOOKUP($B2152,'Email Marketing Raw Data'!$C:$O,6,0)),"")</f>
        <v/>
      </c>
      <c r="O2152" s="55" t="str">
        <f>IFERROR(IF(OR($B2152="",$B2152="(blank)"),"",VLOOKUP($B2152,'Email Marketing Raw Data'!$C:$O,7,0)),"")</f>
        <v/>
      </c>
      <c r="P2152" s="55" t="str">
        <f>IFERROR(IF(OR($B2152="",$B2152="(blank)"),"",VLOOKUP($B2152,'Email Marketing Raw Data'!$C:$O,8,0)),"")</f>
        <v/>
      </c>
      <c r="Q2152" s="62" t="str">
        <f>IFERROR(IF(OR($B2152="",$B2152="(blank)"),"",VLOOKUP($B2152,'Email Marketing Raw Data'!$C:$O,9,0)),"")</f>
        <v/>
      </c>
    </row>
    <row r="2153" spans="4:17" ht="12.75" customHeight="1" x14ac:dyDescent="0.2">
      <c r="D2153" s="58" t="str">
        <f>IFERROR(IF(F2153&lt;&gt;"pending","",IF(OR($B2153="",$B2153="(blank)"),"",VLOOKUP($B2153,'Email Marketing Raw Data'!$C:$O,10,0))),"")</f>
        <v/>
      </c>
      <c r="E2153" s="59" t="str">
        <f>IFERROR(IF(F2153&lt;&gt;"pending","",IF(OR($B2153="",$B2153="(blank)"),"",VLOOKUP($B2153,'Email Marketing Raw Data'!$C:$O,11,0))),"")</f>
        <v/>
      </c>
      <c r="F2153" s="54" t="str">
        <f>IFERROR(IF(OR($B2153="",$B2153="(blank)"),"",VLOOKUP($B2153,'Email Marketing Raw Data'!$C:$O,13,0)),"")</f>
        <v/>
      </c>
      <c r="G2153" s="55" t="str">
        <f>IFERROR(IF(OR($B2153="",$B2153="(blank)"),"",VLOOKUP($B2153,'Email Marketing Raw Data'!$C:$O,4,0)),"")</f>
        <v/>
      </c>
      <c r="H2153" s="55" t="str">
        <f>IFERROR(IF(OR($B2153="",$B2153="(blank)"),"",VLOOKUP($B2153,'Email Marketing Raw Data'!$C:$O,5,0)),"")</f>
        <v/>
      </c>
      <c r="I2153" s="55" t="str">
        <f>IFERROR(IF($G2153="","",VLOOKUP('Dashboard And Emails Automate'!$G2153,Database!$H:$N,3,0)),"")</f>
        <v/>
      </c>
      <c r="J2153" s="55" t="str">
        <f>IFERROR(IF($G2153="","",VLOOKUP('Dashboard And Emails Automate'!$G2153,Database!$H:$N,4,0)),"")</f>
        <v/>
      </c>
      <c r="K2153" s="55" t="str">
        <f>IFERROR(IF($G2153="","",VLOOKUP('Dashboard And Emails Automate'!$G2153,Database!$H:$N,5,0)),"")</f>
        <v/>
      </c>
      <c r="L2153" s="55" t="str">
        <f>IFERROR(IF($G2153="","",VLOOKUP('Dashboard And Emails Automate'!$G2153,Database!$H:$N,6,0)),"")</f>
        <v/>
      </c>
      <c r="M2153" s="55" t="str">
        <f>IFERROR(IF($G2153="","",VLOOKUP('Dashboard And Emails Automate'!$G2153,Database!$H:$N,7,0)),"")</f>
        <v/>
      </c>
      <c r="N2153" s="55" t="str">
        <f>IFERROR(IF(OR($B2153="",$B2153="(blank)"),"",VLOOKUP($B2153,'Email Marketing Raw Data'!$C:$O,6,0)),"")</f>
        <v/>
      </c>
      <c r="O2153" s="55" t="str">
        <f>IFERROR(IF(OR($B2153="",$B2153="(blank)"),"",VLOOKUP($B2153,'Email Marketing Raw Data'!$C:$O,7,0)),"")</f>
        <v/>
      </c>
      <c r="P2153" s="55" t="str">
        <f>IFERROR(IF(OR($B2153="",$B2153="(blank)"),"",VLOOKUP($B2153,'Email Marketing Raw Data'!$C:$O,8,0)),"")</f>
        <v/>
      </c>
      <c r="Q2153" s="62" t="str">
        <f>IFERROR(IF(OR($B2153="",$B2153="(blank)"),"",VLOOKUP($B2153,'Email Marketing Raw Data'!$C:$O,9,0)),"")</f>
        <v/>
      </c>
    </row>
    <row r="2154" spans="4:17" ht="12.75" customHeight="1" x14ac:dyDescent="0.2">
      <c r="D2154" s="58" t="str">
        <f>IFERROR(IF(F2154&lt;&gt;"pending","",IF(OR($B2154="",$B2154="(blank)"),"",VLOOKUP($B2154,'Email Marketing Raw Data'!$C:$O,10,0))),"")</f>
        <v/>
      </c>
      <c r="E2154" s="59" t="str">
        <f>IFERROR(IF(F2154&lt;&gt;"pending","",IF(OR($B2154="",$B2154="(blank)"),"",VLOOKUP($B2154,'Email Marketing Raw Data'!$C:$O,11,0))),"")</f>
        <v/>
      </c>
      <c r="F2154" s="54" t="str">
        <f>IFERROR(IF(OR($B2154="",$B2154="(blank)"),"",VLOOKUP($B2154,'Email Marketing Raw Data'!$C:$O,13,0)),"")</f>
        <v/>
      </c>
      <c r="G2154" s="55" t="str">
        <f>IFERROR(IF(OR($B2154="",$B2154="(blank)"),"",VLOOKUP($B2154,'Email Marketing Raw Data'!$C:$O,4,0)),"")</f>
        <v/>
      </c>
      <c r="H2154" s="55" t="str">
        <f>IFERROR(IF(OR($B2154="",$B2154="(blank)"),"",VLOOKUP($B2154,'Email Marketing Raw Data'!$C:$O,5,0)),"")</f>
        <v/>
      </c>
      <c r="I2154" s="55" t="str">
        <f>IFERROR(IF($G2154="","",VLOOKUP('Dashboard And Emails Automate'!$G2154,Database!$H:$N,3,0)),"")</f>
        <v/>
      </c>
      <c r="J2154" s="55" t="str">
        <f>IFERROR(IF($G2154="","",VLOOKUP('Dashboard And Emails Automate'!$G2154,Database!$H:$N,4,0)),"")</f>
        <v/>
      </c>
      <c r="K2154" s="55" t="str">
        <f>IFERROR(IF($G2154="","",VLOOKUP('Dashboard And Emails Automate'!$G2154,Database!$H:$N,5,0)),"")</f>
        <v/>
      </c>
      <c r="L2154" s="55" t="str">
        <f>IFERROR(IF($G2154="","",VLOOKUP('Dashboard And Emails Automate'!$G2154,Database!$H:$N,6,0)),"")</f>
        <v/>
      </c>
      <c r="M2154" s="55" t="str">
        <f>IFERROR(IF($G2154="","",VLOOKUP('Dashboard And Emails Automate'!$G2154,Database!$H:$N,7,0)),"")</f>
        <v/>
      </c>
      <c r="N2154" s="55" t="str">
        <f>IFERROR(IF(OR($B2154="",$B2154="(blank)"),"",VLOOKUP($B2154,'Email Marketing Raw Data'!$C:$O,6,0)),"")</f>
        <v/>
      </c>
      <c r="O2154" s="55" t="str">
        <f>IFERROR(IF(OR($B2154="",$B2154="(blank)"),"",VLOOKUP($B2154,'Email Marketing Raw Data'!$C:$O,7,0)),"")</f>
        <v/>
      </c>
      <c r="P2154" s="55" t="str">
        <f>IFERROR(IF(OR($B2154="",$B2154="(blank)"),"",VLOOKUP($B2154,'Email Marketing Raw Data'!$C:$O,8,0)),"")</f>
        <v/>
      </c>
      <c r="Q2154" s="62" t="str">
        <f>IFERROR(IF(OR($B2154="",$B2154="(blank)"),"",VLOOKUP($B2154,'Email Marketing Raw Data'!$C:$O,9,0)),"")</f>
        <v/>
      </c>
    </row>
    <row r="2155" spans="4:17" ht="12.75" customHeight="1" x14ac:dyDescent="0.2">
      <c r="D2155" s="58" t="str">
        <f>IFERROR(IF(F2155&lt;&gt;"pending","",IF(OR($B2155="",$B2155="(blank)"),"",VLOOKUP($B2155,'Email Marketing Raw Data'!$C:$O,10,0))),"")</f>
        <v/>
      </c>
      <c r="E2155" s="59" t="str">
        <f>IFERROR(IF(F2155&lt;&gt;"pending","",IF(OR($B2155="",$B2155="(blank)"),"",VLOOKUP($B2155,'Email Marketing Raw Data'!$C:$O,11,0))),"")</f>
        <v/>
      </c>
      <c r="F2155" s="54" t="str">
        <f>IFERROR(IF(OR($B2155="",$B2155="(blank)"),"",VLOOKUP($B2155,'Email Marketing Raw Data'!$C:$O,13,0)),"")</f>
        <v/>
      </c>
      <c r="G2155" s="55" t="str">
        <f>IFERROR(IF(OR($B2155="",$B2155="(blank)"),"",VLOOKUP($B2155,'Email Marketing Raw Data'!$C:$O,4,0)),"")</f>
        <v/>
      </c>
      <c r="H2155" s="55" t="str">
        <f>IFERROR(IF(OR($B2155="",$B2155="(blank)"),"",VLOOKUP($B2155,'Email Marketing Raw Data'!$C:$O,5,0)),"")</f>
        <v/>
      </c>
      <c r="I2155" s="55" t="str">
        <f>IFERROR(IF($G2155="","",VLOOKUP('Dashboard And Emails Automate'!$G2155,Database!$H:$N,3,0)),"")</f>
        <v/>
      </c>
      <c r="J2155" s="55" t="str">
        <f>IFERROR(IF($G2155="","",VLOOKUP('Dashboard And Emails Automate'!$G2155,Database!$H:$N,4,0)),"")</f>
        <v/>
      </c>
      <c r="K2155" s="55" t="str">
        <f>IFERROR(IF($G2155="","",VLOOKUP('Dashboard And Emails Automate'!$G2155,Database!$H:$N,5,0)),"")</f>
        <v/>
      </c>
      <c r="L2155" s="55" t="str">
        <f>IFERROR(IF($G2155="","",VLOOKUP('Dashboard And Emails Automate'!$G2155,Database!$H:$N,6,0)),"")</f>
        <v/>
      </c>
      <c r="M2155" s="55" t="str">
        <f>IFERROR(IF($G2155="","",VLOOKUP('Dashboard And Emails Automate'!$G2155,Database!$H:$N,7,0)),"")</f>
        <v/>
      </c>
      <c r="N2155" s="55" t="str">
        <f>IFERROR(IF(OR($B2155="",$B2155="(blank)"),"",VLOOKUP($B2155,'Email Marketing Raw Data'!$C:$O,6,0)),"")</f>
        <v/>
      </c>
      <c r="O2155" s="55" t="str">
        <f>IFERROR(IF(OR($B2155="",$B2155="(blank)"),"",VLOOKUP($B2155,'Email Marketing Raw Data'!$C:$O,7,0)),"")</f>
        <v/>
      </c>
      <c r="P2155" s="55" t="str">
        <f>IFERROR(IF(OR($B2155="",$B2155="(blank)"),"",VLOOKUP($B2155,'Email Marketing Raw Data'!$C:$O,8,0)),"")</f>
        <v/>
      </c>
      <c r="Q2155" s="62" t="str">
        <f>IFERROR(IF(OR($B2155="",$B2155="(blank)"),"",VLOOKUP($B2155,'Email Marketing Raw Data'!$C:$O,9,0)),"")</f>
        <v/>
      </c>
    </row>
    <row r="2156" spans="4:17" ht="12.75" customHeight="1" x14ac:dyDescent="0.2">
      <c r="D2156" s="58" t="str">
        <f>IFERROR(IF(F2156&lt;&gt;"pending","",IF(OR($B2156="",$B2156="(blank)"),"",VLOOKUP($B2156,'Email Marketing Raw Data'!$C:$O,10,0))),"")</f>
        <v/>
      </c>
      <c r="E2156" s="59" t="str">
        <f>IFERROR(IF(F2156&lt;&gt;"pending","",IF(OR($B2156="",$B2156="(blank)"),"",VLOOKUP($B2156,'Email Marketing Raw Data'!$C:$O,11,0))),"")</f>
        <v/>
      </c>
      <c r="F2156" s="54" t="str">
        <f>IFERROR(IF(OR($B2156="",$B2156="(blank)"),"",VLOOKUP($B2156,'Email Marketing Raw Data'!$C:$O,13,0)),"")</f>
        <v/>
      </c>
      <c r="G2156" s="55" t="str">
        <f>IFERROR(IF(OR($B2156="",$B2156="(blank)"),"",VLOOKUP($B2156,'Email Marketing Raw Data'!$C:$O,4,0)),"")</f>
        <v/>
      </c>
      <c r="H2156" s="55" t="str">
        <f>IFERROR(IF(OR($B2156="",$B2156="(blank)"),"",VLOOKUP($B2156,'Email Marketing Raw Data'!$C:$O,5,0)),"")</f>
        <v/>
      </c>
      <c r="I2156" s="55" t="str">
        <f>IFERROR(IF($G2156="","",VLOOKUP('Dashboard And Emails Automate'!$G2156,Database!$H:$N,3,0)),"")</f>
        <v/>
      </c>
      <c r="J2156" s="55" t="str">
        <f>IFERROR(IF($G2156="","",VLOOKUP('Dashboard And Emails Automate'!$G2156,Database!$H:$N,4,0)),"")</f>
        <v/>
      </c>
      <c r="K2156" s="55" t="str">
        <f>IFERROR(IF($G2156="","",VLOOKUP('Dashboard And Emails Automate'!$G2156,Database!$H:$N,5,0)),"")</f>
        <v/>
      </c>
      <c r="L2156" s="55" t="str">
        <f>IFERROR(IF($G2156="","",VLOOKUP('Dashboard And Emails Automate'!$G2156,Database!$H:$N,6,0)),"")</f>
        <v/>
      </c>
      <c r="M2156" s="55" t="str">
        <f>IFERROR(IF($G2156="","",VLOOKUP('Dashboard And Emails Automate'!$G2156,Database!$H:$N,7,0)),"")</f>
        <v/>
      </c>
      <c r="N2156" s="55" t="str">
        <f>IFERROR(IF(OR($B2156="",$B2156="(blank)"),"",VLOOKUP($B2156,'Email Marketing Raw Data'!$C:$O,6,0)),"")</f>
        <v/>
      </c>
      <c r="O2156" s="55" t="str">
        <f>IFERROR(IF(OR($B2156="",$B2156="(blank)"),"",VLOOKUP($B2156,'Email Marketing Raw Data'!$C:$O,7,0)),"")</f>
        <v/>
      </c>
      <c r="P2156" s="55" t="str">
        <f>IFERROR(IF(OR($B2156="",$B2156="(blank)"),"",VLOOKUP($B2156,'Email Marketing Raw Data'!$C:$O,8,0)),"")</f>
        <v/>
      </c>
      <c r="Q2156" s="62" t="str">
        <f>IFERROR(IF(OR($B2156="",$B2156="(blank)"),"",VLOOKUP($B2156,'Email Marketing Raw Data'!$C:$O,9,0)),"")</f>
        <v/>
      </c>
    </row>
    <row r="2157" spans="4:17" ht="12.75" customHeight="1" x14ac:dyDescent="0.2">
      <c r="D2157" s="58" t="str">
        <f>IFERROR(IF(F2157&lt;&gt;"pending","",IF(OR($B2157="",$B2157="(blank)"),"",VLOOKUP($B2157,'Email Marketing Raw Data'!$C:$O,10,0))),"")</f>
        <v/>
      </c>
      <c r="E2157" s="59" t="str">
        <f>IFERROR(IF(F2157&lt;&gt;"pending","",IF(OR($B2157="",$B2157="(blank)"),"",VLOOKUP($B2157,'Email Marketing Raw Data'!$C:$O,11,0))),"")</f>
        <v/>
      </c>
      <c r="F2157" s="54" t="str">
        <f>IFERROR(IF(OR($B2157="",$B2157="(blank)"),"",VLOOKUP($B2157,'Email Marketing Raw Data'!$C:$O,13,0)),"")</f>
        <v/>
      </c>
      <c r="G2157" s="55" t="str">
        <f>IFERROR(IF(OR($B2157="",$B2157="(blank)"),"",VLOOKUP($B2157,'Email Marketing Raw Data'!$C:$O,4,0)),"")</f>
        <v/>
      </c>
      <c r="H2157" s="55" t="str">
        <f>IFERROR(IF(OR($B2157="",$B2157="(blank)"),"",VLOOKUP($B2157,'Email Marketing Raw Data'!$C:$O,5,0)),"")</f>
        <v/>
      </c>
      <c r="I2157" s="55" t="str">
        <f>IFERROR(IF($G2157="","",VLOOKUP('Dashboard And Emails Automate'!$G2157,Database!$H:$N,3,0)),"")</f>
        <v/>
      </c>
      <c r="J2157" s="55" t="str">
        <f>IFERROR(IF($G2157="","",VLOOKUP('Dashboard And Emails Automate'!$G2157,Database!$H:$N,4,0)),"")</f>
        <v/>
      </c>
      <c r="K2157" s="55" t="str">
        <f>IFERROR(IF($G2157="","",VLOOKUP('Dashboard And Emails Automate'!$G2157,Database!$H:$N,5,0)),"")</f>
        <v/>
      </c>
      <c r="L2157" s="55" t="str">
        <f>IFERROR(IF($G2157="","",VLOOKUP('Dashboard And Emails Automate'!$G2157,Database!$H:$N,6,0)),"")</f>
        <v/>
      </c>
      <c r="M2157" s="55" t="str">
        <f>IFERROR(IF($G2157="","",VLOOKUP('Dashboard And Emails Automate'!$G2157,Database!$H:$N,7,0)),"")</f>
        <v/>
      </c>
      <c r="N2157" s="55" t="str">
        <f>IFERROR(IF(OR($B2157="",$B2157="(blank)"),"",VLOOKUP($B2157,'Email Marketing Raw Data'!$C:$O,6,0)),"")</f>
        <v/>
      </c>
      <c r="O2157" s="55" t="str">
        <f>IFERROR(IF(OR($B2157="",$B2157="(blank)"),"",VLOOKUP($B2157,'Email Marketing Raw Data'!$C:$O,7,0)),"")</f>
        <v/>
      </c>
      <c r="P2157" s="55" t="str">
        <f>IFERROR(IF(OR($B2157="",$B2157="(blank)"),"",VLOOKUP($B2157,'Email Marketing Raw Data'!$C:$O,8,0)),"")</f>
        <v/>
      </c>
      <c r="Q2157" s="62" t="str">
        <f>IFERROR(IF(OR($B2157="",$B2157="(blank)"),"",VLOOKUP($B2157,'Email Marketing Raw Data'!$C:$O,9,0)),"")</f>
        <v/>
      </c>
    </row>
    <row r="2158" spans="4:17" ht="12.75" customHeight="1" x14ac:dyDescent="0.2">
      <c r="D2158" s="58" t="str">
        <f>IFERROR(IF(F2158&lt;&gt;"pending","",IF(OR($B2158="",$B2158="(blank)"),"",VLOOKUP($B2158,'Email Marketing Raw Data'!$C:$O,10,0))),"")</f>
        <v/>
      </c>
      <c r="E2158" s="59" t="str">
        <f>IFERROR(IF(F2158&lt;&gt;"pending","",IF(OR($B2158="",$B2158="(blank)"),"",VLOOKUP($B2158,'Email Marketing Raw Data'!$C:$O,11,0))),"")</f>
        <v/>
      </c>
      <c r="F2158" s="54" t="str">
        <f>IFERROR(IF(OR($B2158="",$B2158="(blank)"),"",VLOOKUP($B2158,'Email Marketing Raw Data'!$C:$O,13,0)),"")</f>
        <v/>
      </c>
      <c r="G2158" s="55" t="str">
        <f>IFERROR(IF(OR($B2158="",$B2158="(blank)"),"",VLOOKUP($B2158,'Email Marketing Raw Data'!$C:$O,4,0)),"")</f>
        <v/>
      </c>
      <c r="H2158" s="55" t="str">
        <f>IFERROR(IF(OR($B2158="",$B2158="(blank)"),"",VLOOKUP($B2158,'Email Marketing Raw Data'!$C:$O,5,0)),"")</f>
        <v/>
      </c>
      <c r="I2158" s="55" t="str">
        <f>IFERROR(IF($G2158="","",VLOOKUP('Dashboard And Emails Automate'!$G2158,Database!$H:$N,3,0)),"")</f>
        <v/>
      </c>
      <c r="J2158" s="55" t="str">
        <f>IFERROR(IF($G2158="","",VLOOKUP('Dashboard And Emails Automate'!$G2158,Database!$H:$N,4,0)),"")</f>
        <v/>
      </c>
      <c r="K2158" s="55" t="str">
        <f>IFERROR(IF($G2158="","",VLOOKUP('Dashboard And Emails Automate'!$G2158,Database!$H:$N,5,0)),"")</f>
        <v/>
      </c>
      <c r="L2158" s="55" t="str">
        <f>IFERROR(IF($G2158="","",VLOOKUP('Dashboard And Emails Automate'!$G2158,Database!$H:$N,6,0)),"")</f>
        <v/>
      </c>
      <c r="M2158" s="55" t="str">
        <f>IFERROR(IF($G2158="","",VLOOKUP('Dashboard And Emails Automate'!$G2158,Database!$H:$N,7,0)),"")</f>
        <v/>
      </c>
      <c r="N2158" s="55" t="str">
        <f>IFERROR(IF(OR($B2158="",$B2158="(blank)"),"",VLOOKUP($B2158,'Email Marketing Raw Data'!$C:$O,6,0)),"")</f>
        <v/>
      </c>
      <c r="O2158" s="55" t="str">
        <f>IFERROR(IF(OR($B2158="",$B2158="(blank)"),"",VLOOKUP($B2158,'Email Marketing Raw Data'!$C:$O,7,0)),"")</f>
        <v/>
      </c>
      <c r="P2158" s="55" t="str">
        <f>IFERROR(IF(OR($B2158="",$B2158="(blank)"),"",VLOOKUP($B2158,'Email Marketing Raw Data'!$C:$O,8,0)),"")</f>
        <v/>
      </c>
      <c r="Q2158" s="62" t="str">
        <f>IFERROR(IF(OR($B2158="",$B2158="(blank)"),"",VLOOKUP($B2158,'Email Marketing Raw Data'!$C:$O,9,0)),"")</f>
        <v/>
      </c>
    </row>
    <row r="2159" spans="4:17" ht="12.75" customHeight="1" x14ac:dyDescent="0.2">
      <c r="D2159" s="58" t="str">
        <f>IFERROR(IF(F2159&lt;&gt;"pending","",IF(OR($B2159="",$B2159="(blank)"),"",VLOOKUP($B2159,'Email Marketing Raw Data'!$C:$O,10,0))),"")</f>
        <v/>
      </c>
      <c r="E2159" s="59" t="str">
        <f>IFERROR(IF(F2159&lt;&gt;"pending","",IF(OR($B2159="",$B2159="(blank)"),"",VLOOKUP($B2159,'Email Marketing Raw Data'!$C:$O,11,0))),"")</f>
        <v/>
      </c>
      <c r="F2159" s="54" t="str">
        <f>IFERROR(IF(OR($B2159="",$B2159="(blank)"),"",VLOOKUP($B2159,'Email Marketing Raw Data'!$C:$O,13,0)),"")</f>
        <v/>
      </c>
      <c r="G2159" s="55" t="str">
        <f>IFERROR(IF(OR($B2159="",$B2159="(blank)"),"",VLOOKUP($B2159,'Email Marketing Raw Data'!$C:$O,4,0)),"")</f>
        <v/>
      </c>
      <c r="H2159" s="55" t="str">
        <f>IFERROR(IF(OR($B2159="",$B2159="(blank)"),"",VLOOKUP($B2159,'Email Marketing Raw Data'!$C:$O,5,0)),"")</f>
        <v/>
      </c>
      <c r="I2159" s="55" t="str">
        <f>IFERROR(IF($G2159="","",VLOOKUP('Dashboard And Emails Automate'!$G2159,Database!$H:$N,3,0)),"")</f>
        <v/>
      </c>
      <c r="J2159" s="55" t="str">
        <f>IFERROR(IF($G2159="","",VLOOKUP('Dashboard And Emails Automate'!$G2159,Database!$H:$N,4,0)),"")</f>
        <v/>
      </c>
      <c r="K2159" s="55" t="str">
        <f>IFERROR(IF($G2159="","",VLOOKUP('Dashboard And Emails Automate'!$G2159,Database!$H:$N,5,0)),"")</f>
        <v/>
      </c>
      <c r="L2159" s="55" t="str">
        <f>IFERROR(IF($G2159="","",VLOOKUP('Dashboard And Emails Automate'!$G2159,Database!$H:$N,6,0)),"")</f>
        <v/>
      </c>
      <c r="M2159" s="55" t="str">
        <f>IFERROR(IF($G2159="","",VLOOKUP('Dashboard And Emails Automate'!$G2159,Database!$H:$N,7,0)),"")</f>
        <v/>
      </c>
      <c r="N2159" s="55" t="str">
        <f>IFERROR(IF(OR($B2159="",$B2159="(blank)"),"",VLOOKUP($B2159,'Email Marketing Raw Data'!$C:$O,6,0)),"")</f>
        <v/>
      </c>
      <c r="O2159" s="55" t="str">
        <f>IFERROR(IF(OR($B2159="",$B2159="(blank)"),"",VLOOKUP($B2159,'Email Marketing Raw Data'!$C:$O,7,0)),"")</f>
        <v/>
      </c>
      <c r="P2159" s="55" t="str">
        <f>IFERROR(IF(OR($B2159="",$B2159="(blank)"),"",VLOOKUP($B2159,'Email Marketing Raw Data'!$C:$O,8,0)),"")</f>
        <v/>
      </c>
      <c r="Q2159" s="62" t="str">
        <f>IFERROR(IF(OR($B2159="",$B2159="(blank)"),"",VLOOKUP($B2159,'Email Marketing Raw Data'!$C:$O,9,0)),"")</f>
        <v/>
      </c>
    </row>
    <row r="2160" spans="4:17" ht="12.75" customHeight="1" x14ac:dyDescent="0.2">
      <c r="D2160" s="58" t="str">
        <f>IFERROR(IF(F2160&lt;&gt;"pending","",IF(OR($B2160="",$B2160="(blank)"),"",VLOOKUP($B2160,'Email Marketing Raw Data'!$C:$O,10,0))),"")</f>
        <v/>
      </c>
      <c r="E2160" s="59" t="str">
        <f>IFERROR(IF(F2160&lt;&gt;"pending","",IF(OR($B2160="",$B2160="(blank)"),"",VLOOKUP($B2160,'Email Marketing Raw Data'!$C:$O,11,0))),"")</f>
        <v/>
      </c>
      <c r="F2160" s="54" t="str">
        <f>IFERROR(IF(OR($B2160="",$B2160="(blank)"),"",VLOOKUP($B2160,'Email Marketing Raw Data'!$C:$O,13,0)),"")</f>
        <v/>
      </c>
      <c r="G2160" s="55" t="str">
        <f>IFERROR(IF(OR($B2160="",$B2160="(blank)"),"",VLOOKUP($B2160,'Email Marketing Raw Data'!$C:$O,4,0)),"")</f>
        <v/>
      </c>
      <c r="H2160" s="55" t="str">
        <f>IFERROR(IF(OR($B2160="",$B2160="(blank)"),"",VLOOKUP($B2160,'Email Marketing Raw Data'!$C:$O,5,0)),"")</f>
        <v/>
      </c>
      <c r="I2160" s="55" t="str">
        <f>IFERROR(IF($G2160="","",VLOOKUP('Dashboard And Emails Automate'!$G2160,Database!$H:$N,3,0)),"")</f>
        <v/>
      </c>
      <c r="J2160" s="55" t="str">
        <f>IFERROR(IF($G2160="","",VLOOKUP('Dashboard And Emails Automate'!$G2160,Database!$H:$N,4,0)),"")</f>
        <v/>
      </c>
      <c r="K2160" s="55" t="str">
        <f>IFERROR(IF($G2160="","",VLOOKUP('Dashboard And Emails Automate'!$G2160,Database!$H:$N,5,0)),"")</f>
        <v/>
      </c>
      <c r="L2160" s="55" t="str">
        <f>IFERROR(IF($G2160="","",VLOOKUP('Dashboard And Emails Automate'!$G2160,Database!$H:$N,6,0)),"")</f>
        <v/>
      </c>
      <c r="M2160" s="55" t="str">
        <f>IFERROR(IF($G2160="","",VLOOKUP('Dashboard And Emails Automate'!$G2160,Database!$H:$N,7,0)),"")</f>
        <v/>
      </c>
      <c r="N2160" s="55" t="str">
        <f>IFERROR(IF(OR($B2160="",$B2160="(blank)"),"",VLOOKUP($B2160,'Email Marketing Raw Data'!$C:$O,6,0)),"")</f>
        <v/>
      </c>
      <c r="O2160" s="55" t="str">
        <f>IFERROR(IF(OR($B2160="",$B2160="(blank)"),"",VLOOKUP($B2160,'Email Marketing Raw Data'!$C:$O,7,0)),"")</f>
        <v/>
      </c>
      <c r="P2160" s="55" t="str">
        <f>IFERROR(IF(OR($B2160="",$B2160="(blank)"),"",VLOOKUP($B2160,'Email Marketing Raw Data'!$C:$O,8,0)),"")</f>
        <v/>
      </c>
      <c r="Q2160" s="62" t="str">
        <f>IFERROR(IF(OR($B2160="",$B2160="(blank)"),"",VLOOKUP($B2160,'Email Marketing Raw Data'!$C:$O,9,0)),"")</f>
        <v/>
      </c>
    </row>
    <row r="2161" spans="4:17" ht="12.75" customHeight="1" x14ac:dyDescent="0.2">
      <c r="D2161" s="58" t="str">
        <f>IFERROR(IF(F2161&lt;&gt;"pending","",IF(OR($B2161="",$B2161="(blank)"),"",VLOOKUP($B2161,'Email Marketing Raw Data'!$C:$O,10,0))),"")</f>
        <v/>
      </c>
      <c r="E2161" s="59" t="str">
        <f>IFERROR(IF(F2161&lt;&gt;"pending","",IF(OR($B2161="",$B2161="(blank)"),"",VLOOKUP($B2161,'Email Marketing Raw Data'!$C:$O,11,0))),"")</f>
        <v/>
      </c>
      <c r="F2161" s="54" t="str">
        <f>IFERROR(IF(OR($B2161="",$B2161="(blank)"),"",VLOOKUP($B2161,'Email Marketing Raw Data'!$C:$O,13,0)),"")</f>
        <v/>
      </c>
      <c r="G2161" s="55" t="str">
        <f>IFERROR(IF(OR($B2161="",$B2161="(blank)"),"",VLOOKUP($B2161,'Email Marketing Raw Data'!$C:$O,4,0)),"")</f>
        <v/>
      </c>
      <c r="H2161" s="55" t="str">
        <f>IFERROR(IF(OR($B2161="",$B2161="(blank)"),"",VLOOKUP($B2161,'Email Marketing Raw Data'!$C:$O,5,0)),"")</f>
        <v/>
      </c>
      <c r="I2161" s="55" t="str">
        <f>IFERROR(IF($G2161="","",VLOOKUP('Dashboard And Emails Automate'!$G2161,Database!$H:$N,3,0)),"")</f>
        <v/>
      </c>
      <c r="J2161" s="55" t="str">
        <f>IFERROR(IF($G2161="","",VLOOKUP('Dashboard And Emails Automate'!$G2161,Database!$H:$N,4,0)),"")</f>
        <v/>
      </c>
      <c r="K2161" s="55" t="str">
        <f>IFERROR(IF($G2161="","",VLOOKUP('Dashboard And Emails Automate'!$G2161,Database!$H:$N,5,0)),"")</f>
        <v/>
      </c>
      <c r="L2161" s="55" t="str">
        <f>IFERROR(IF($G2161="","",VLOOKUP('Dashboard And Emails Automate'!$G2161,Database!$H:$N,6,0)),"")</f>
        <v/>
      </c>
      <c r="M2161" s="55" t="str">
        <f>IFERROR(IF($G2161="","",VLOOKUP('Dashboard And Emails Automate'!$G2161,Database!$H:$N,7,0)),"")</f>
        <v/>
      </c>
      <c r="N2161" s="55" t="str">
        <f>IFERROR(IF(OR($B2161="",$B2161="(blank)"),"",VLOOKUP($B2161,'Email Marketing Raw Data'!$C:$O,6,0)),"")</f>
        <v/>
      </c>
      <c r="O2161" s="55" t="str">
        <f>IFERROR(IF(OR($B2161="",$B2161="(blank)"),"",VLOOKUP($B2161,'Email Marketing Raw Data'!$C:$O,7,0)),"")</f>
        <v/>
      </c>
      <c r="P2161" s="55" t="str">
        <f>IFERROR(IF(OR($B2161="",$B2161="(blank)"),"",VLOOKUP($B2161,'Email Marketing Raw Data'!$C:$O,8,0)),"")</f>
        <v/>
      </c>
      <c r="Q2161" s="62" t="str">
        <f>IFERROR(IF(OR($B2161="",$B2161="(blank)"),"",VLOOKUP($B2161,'Email Marketing Raw Data'!$C:$O,9,0)),"")</f>
        <v/>
      </c>
    </row>
    <row r="2162" spans="4:17" ht="12.75" customHeight="1" x14ac:dyDescent="0.2">
      <c r="D2162" s="58" t="str">
        <f>IFERROR(IF(F2162&lt;&gt;"pending","",IF(OR($B2162="",$B2162="(blank)"),"",VLOOKUP($B2162,'Email Marketing Raw Data'!$C:$O,10,0))),"")</f>
        <v/>
      </c>
      <c r="E2162" s="59" t="str">
        <f>IFERROR(IF(F2162&lt;&gt;"pending","",IF(OR($B2162="",$B2162="(blank)"),"",VLOOKUP($B2162,'Email Marketing Raw Data'!$C:$O,11,0))),"")</f>
        <v/>
      </c>
      <c r="F2162" s="54" t="str">
        <f>IFERROR(IF(OR($B2162="",$B2162="(blank)"),"",VLOOKUP($B2162,'Email Marketing Raw Data'!$C:$O,13,0)),"")</f>
        <v/>
      </c>
      <c r="G2162" s="55" t="str">
        <f>IFERROR(IF(OR($B2162="",$B2162="(blank)"),"",VLOOKUP($B2162,'Email Marketing Raw Data'!$C:$O,4,0)),"")</f>
        <v/>
      </c>
      <c r="H2162" s="55" t="str">
        <f>IFERROR(IF(OR($B2162="",$B2162="(blank)"),"",VLOOKUP($B2162,'Email Marketing Raw Data'!$C:$O,5,0)),"")</f>
        <v/>
      </c>
      <c r="I2162" s="55" t="str">
        <f>IFERROR(IF($G2162="","",VLOOKUP('Dashboard And Emails Automate'!$G2162,Database!$H:$N,3,0)),"")</f>
        <v/>
      </c>
      <c r="J2162" s="55" t="str">
        <f>IFERROR(IF($G2162="","",VLOOKUP('Dashboard And Emails Automate'!$G2162,Database!$H:$N,4,0)),"")</f>
        <v/>
      </c>
      <c r="K2162" s="55" t="str">
        <f>IFERROR(IF($G2162="","",VLOOKUP('Dashboard And Emails Automate'!$G2162,Database!$H:$N,5,0)),"")</f>
        <v/>
      </c>
      <c r="L2162" s="55" t="str">
        <f>IFERROR(IF($G2162="","",VLOOKUP('Dashboard And Emails Automate'!$G2162,Database!$H:$N,6,0)),"")</f>
        <v/>
      </c>
      <c r="M2162" s="55" t="str">
        <f>IFERROR(IF($G2162="","",VLOOKUP('Dashboard And Emails Automate'!$G2162,Database!$H:$N,7,0)),"")</f>
        <v/>
      </c>
      <c r="N2162" s="55" t="str">
        <f>IFERROR(IF(OR($B2162="",$B2162="(blank)"),"",VLOOKUP($B2162,'Email Marketing Raw Data'!$C:$O,6,0)),"")</f>
        <v/>
      </c>
      <c r="O2162" s="55" t="str">
        <f>IFERROR(IF(OR($B2162="",$B2162="(blank)"),"",VLOOKUP($B2162,'Email Marketing Raw Data'!$C:$O,7,0)),"")</f>
        <v/>
      </c>
      <c r="P2162" s="55" t="str">
        <f>IFERROR(IF(OR($B2162="",$B2162="(blank)"),"",VLOOKUP($B2162,'Email Marketing Raw Data'!$C:$O,8,0)),"")</f>
        <v/>
      </c>
      <c r="Q2162" s="62" t="str">
        <f>IFERROR(IF(OR($B2162="",$B2162="(blank)"),"",VLOOKUP($B2162,'Email Marketing Raw Data'!$C:$O,9,0)),"")</f>
        <v/>
      </c>
    </row>
    <row r="2163" spans="4:17" ht="12.75" customHeight="1" x14ac:dyDescent="0.2">
      <c r="D2163" s="58" t="str">
        <f>IFERROR(IF(F2163&lt;&gt;"pending","",IF(OR($B2163="",$B2163="(blank)"),"",VLOOKUP($B2163,'Email Marketing Raw Data'!$C:$O,10,0))),"")</f>
        <v/>
      </c>
      <c r="E2163" s="59" t="str">
        <f>IFERROR(IF(F2163&lt;&gt;"pending","",IF(OR($B2163="",$B2163="(blank)"),"",VLOOKUP($B2163,'Email Marketing Raw Data'!$C:$O,11,0))),"")</f>
        <v/>
      </c>
      <c r="F2163" s="54" t="str">
        <f>IFERROR(IF(OR($B2163="",$B2163="(blank)"),"",VLOOKUP($B2163,'Email Marketing Raw Data'!$C:$O,13,0)),"")</f>
        <v/>
      </c>
      <c r="G2163" s="55" t="str">
        <f>IFERROR(IF(OR($B2163="",$B2163="(blank)"),"",VLOOKUP($B2163,'Email Marketing Raw Data'!$C:$O,4,0)),"")</f>
        <v/>
      </c>
      <c r="H2163" s="55" t="str">
        <f>IFERROR(IF(OR($B2163="",$B2163="(blank)"),"",VLOOKUP($B2163,'Email Marketing Raw Data'!$C:$O,5,0)),"")</f>
        <v/>
      </c>
      <c r="I2163" s="55" t="str">
        <f>IFERROR(IF($G2163="","",VLOOKUP('Dashboard And Emails Automate'!$G2163,Database!$H:$N,3,0)),"")</f>
        <v/>
      </c>
      <c r="J2163" s="55" t="str">
        <f>IFERROR(IF($G2163="","",VLOOKUP('Dashboard And Emails Automate'!$G2163,Database!$H:$N,4,0)),"")</f>
        <v/>
      </c>
      <c r="K2163" s="55" t="str">
        <f>IFERROR(IF($G2163="","",VLOOKUP('Dashboard And Emails Automate'!$G2163,Database!$H:$N,5,0)),"")</f>
        <v/>
      </c>
      <c r="L2163" s="55" t="str">
        <f>IFERROR(IF($G2163="","",VLOOKUP('Dashboard And Emails Automate'!$G2163,Database!$H:$N,6,0)),"")</f>
        <v/>
      </c>
      <c r="M2163" s="55" t="str">
        <f>IFERROR(IF($G2163="","",VLOOKUP('Dashboard And Emails Automate'!$G2163,Database!$H:$N,7,0)),"")</f>
        <v/>
      </c>
      <c r="N2163" s="55" t="str">
        <f>IFERROR(IF(OR($B2163="",$B2163="(blank)"),"",VLOOKUP($B2163,'Email Marketing Raw Data'!$C:$O,6,0)),"")</f>
        <v/>
      </c>
      <c r="O2163" s="55" t="str">
        <f>IFERROR(IF(OR($B2163="",$B2163="(blank)"),"",VLOOKUP($B2163,'Email Marketing Raw Data'!$C:$O,7,0)),"")</f>
        <v/>
      </c>
      <c r="P2163" s="55" t="str">
        <f>IFERROR(IF(OR($B2163="",$B2163="(blank)"),"",VLOOKUP($B2163,'Email Marketing Raw Data'!$C:$O,8,0)),"")</f>
        <v/>
      </c>
      <c r="Q2163" s="62" t="str">
        <f>IFERROR(IF(OR($B2163="",$B2163="(blank)"),"",VLOOKUP($B2163,'Email Marketing Raw Data'!$C:$O,9,0)),"")</f>
        <v/>
      </c>
    </row>
    <row r="2164" spans="4:17" ht="12.75" customHeight="1" x14ac:dyDescent="0.2">
      <c r="D2164" s="58" t="str">
        <f>IFERROR(IF(F2164&lt;&gt;"pending","",IF(OR($B2164="",$B2164="(blank)"),"",VLOOKUP($B2164,'Email Marketing Raw Data'!$C:$O,10,0))),"")</f>
        <v/>
      </c>
      <c r="E2164" s="59" t="str">
        <f>IFERROR(IF(F2164&lt;&gt;"pending","",IF(OR($B2164="",$B2164="(blank)"),"",VLOOKUP($B2164,'Email Marketing Raw Data'!$C:$O,11,0))),"")</f>
        <v/>
      </c>
      <c r="F2164" s="54" t="str">
        <f>IFERROR(IF(OR($B2164="",$B2164="(blank)"),"",VLOOKUP($B2164,'Email Marketing Raw Data'!$C:$O,13,0)),"")</f>
        <v/>
      </c>
      <c r="G2164" s="55" t="str">
        <f>IFERROR(IF(OR($B2164="",$B2164="(blank)"),"",VLOOKUP($B2164,'Email Marketing Raw Data'!$C:$O,4,0)),"")</f>
        <v/>
      </c>
      <c r="H2164" s="55" t="str">
        <f>IFERROR(IF(OR($B2164="",$B2164="(blank)"),"",VLOOKUP($B2164,'Email Marketing Raw Data'!$C:$O,5,0)),"")</f>
        <v/>
      </c>
      <c r="I2164" s="55" t="str">
        <f>IFERROR(IF($G2164="","",VLOOKUP('Dashboard And Emails Automate'!$G2164,Database!$H:$N,3,0)),"")</f>
        <v/>
      </c>
      <c r="J2164" s="55" t="str">
        <f>IFERROR(IF($G2164="","",VLOOKUP('Dashboard And Emails Automate'!$G2164,Database!$H:$N,4,0)),"")</f>
        <v/>
      </c>
      <c r="K2164" s="55" t="str">
        <f>IFERROR(IF($G2164="","",VLOOKUP('Dashboard And Emails Automate'!$G2164,Database!$H:$N,5,0)),"")</f>
        <v/>
      </c>
      <c r="L2164" s="55" t="str">
        <f>IFERROR(IF($G2164="","",VLOOKUP('Dashboard And Emails Automate'!$G2164,Database!$H:$N,6,0)),"")</f>
        <v/>
      </c>
      <c r="M2164" s="55" t="str">
        <f>IFERROR(IF($G2164="","",VLOOKUP('Dashboard And Emails Automate'!$G2164,Database!$H:$N,7,0)),"")</f>
        <v/>
      </c>
      <c r="N2164" s="55" t="str">
        <f>IFERROR(IF(OR($B2164="",$B2164="(blank)"),"",VLOOKUP($B2164,'Email Marketing Raw Data'!$C:$O,6,0)),"")</f>
        <v/>
      </c>
      <c r="O2164" s="55" t="str">
        <f>IFERROR(IF(OR($B2164="",$B2164="(blank)"),"",VLOOKUP($B2164,'Email Marketing Raw Data'!$C:$O,7,0)),"")</f>
        <v/>
      </c>
      <c r="P2164" s="55" t="str">
        <f>IFERROR(IF(OR($B2164="",$B2164="(blank)"),"",VLOOKUP($B2164,'Email Marketing Raw Data'!$C:$O,8,0)),"")</f>
        <v/>
      </c>
      <c r="Q2164" s="62" t="str">
        <f>IFERROR(IF(OR($B2164="",$B2164="(blank)"),"",VLOOKUP($B2164,'Email Marketing Raw Data'!$C:$O,9,0)),"")</f>
        <v/>
      </c>
    </row>
    <row r="2165" spans="4:17" ht="12.75" customHeight="1" x14ac:dyDescent="0.2">
      <c r="D2165" s="58" t="str">
        <f>IFERROR(IF(F2165&lt;&gt;"pending","",IF(OR($B2165="",$B2165="(blank)"),"",VLOOKUP($B2165,'Email Marketing Raw Data'!$C:$O,10,0))),"")</f>
        <v/>
      </c>
      <c r="E2165" s="59" t="str">
        <f>IFERROR(IF(F2165&lt;&gt;"pending","",IF(OR($B2165="",$B2165="(blank)"),"",VLOOKUP($B2165,'Email Marketing Raw Data'!$C:$O,11,0))),"")</f>
        <v/>
      </c>
      <c r="F2165" s="54" t="str">
        <f>IFERROR(IF(OR($B2165="",$B2165="(blank)"),"",VLOOKUP($B2165,'Email Marketing Raw Data'!$C:$O,13,0)),"")</f>
        <v/>
      </c>
      <c r="G2165" s="55" t="str">
        <f>IFERROR(IF(OR($B2165="",$B2165="(blank)"),"",VLOOKUP($B2165,'Email Marketing Raw Data'!$C:$O,4,0)),"")</f>
        <v/>
      </c>
      <c r="H2165" s="55" t="str">
        <f>IFERROR(IF(OR($B2165="",$B2165="(blank)"),"",VLOOKUP($B2165,'Email Marketing Raw Data'!$C:$O,5,0)),"")</f>
        <v/>
      </c>
      <c r="I2165" s="55" t="str">
        <f>IFERROR(IF($G2165="","",VLOOKUP('Dashboard And Emails Automate'!$G2165,Database!$H:$N,3,0)),"")</f>
        <v/>
      </c>
      <c r="J2165" s="55" t="str">
        <f>IFERROR(IF($G2165="","",VLOOKUP('Dashboard And Emails Automate'!$G2165,Database!$H:$N,4,0)),"")</f>
        <v/>
      </c>
      <c r="K2165" s="55" t="str">
        <f>IFERROR(IF($G2165="","",VLOOKUP('Dashboard And Emails Automate'!$G2165,Database!$H:$N,5,0)),"")</f>
        <v/>
      </c>
      <c r="L2165" s="55" t="str">
        <f>IFERROR(IF($G2165="","",VLOOKUP('Dashboard And Emails Automate'!$G2165,Database!$H:$N,6,0)),"")</f>
        <v/>
      </c>
      <c r="M2165" s="55" t="str">
        <f>IFERROR(IF($G2165="","",VLOOKUP('Dashboard And Emails Automate'!$G2165,Database!$H:$N,7,0)),"")</f>
        <v/>
      </c>
      <c r="N2165" s="55" t="str">
        <f>IFERROR(IF(OR($B2165="",$B2165="(blank)"),"",VLOOKUP($B2165,'Email Marketing Raw Data'!$C:$O,6,0)),"")</f>
        <v/>
      </c>
      <c r="O2165" s="55" t="str">
        <f>IFERROR(IF(OR($B2165="",$B2165="(blank)"),"",VLOOKUP($B2165,'Email Marketing Raw Data'!$C:$O,7,0)),"")</f>
        <v/>
      </c>
      <c r="P2165" s="55" t="str">
        <f>IFERROR(IF(OR($B2165="",$B2165="(blank)"),"",VLOOKUP($B2165,'Email Marketing Raw Data'!$C:$O,8,0)),"")</f>
        <v/>
      </c>
      <c r="Q2165" s="62" t="str">
        <f>IFERROR(IF(OR($B2165="",$B2165="(blank)"),"",VLOOKUP($B2165,'Email Marketing Raw Data'!$C:$O,9,0)),"")</f>
        <v/>
      </c>
    </row>
    <row r="2166" spans="4:17" ht="12.75" customHeight="1" x14ac:dyDescent="0.2">
      <c r="D2166" s="58" t="str">
        <f>IFERROR(IF(F2166&lt;&gt;"pending","",IF(OR($B2166="",$B2166="(blank)"),"",VLOOKUP($B2166,'Email Marketing Raw Data'!$C:$O,10,0))),"")</f>
        <v/>
      </c>
      <c r="E2166" s="59" t="str">
        <f>IFERROR(IF(F2166&lt;&gt;"pending","",IF(OR($B2166="",$B2166="(blank)"),"",VLOOKUP($B2166,'Email Marketing Raw Data'!$C:$O,11,0))),"")</f>
        <v/>
      </c>
      <c r="F2166" s="54" t="str">
        <f>IFERROR(IF(OR($B2166="",$B2166="(blank)"),"",VLOOKUP($B2166,'Email Marketing Raw Data'!$C:$O,13,0)),"")</f>
        <v/>
      </c>
      <c r="G2166" s="55" t="str">
        <f>IFERROR(IF(OR($B2166="",$B2166="(blank)"),"",VLOOKUP($B2166,'Email Marketing Raw Data'!$C:$O,4,0)),"")</f>
        <v/>
      </c>
      <c r="H2166" s="55" t="str">
        <f>IFERROR(IF(OR($B2166="",$B2166="(blank)"),"",VLOOKUP($B2166,'Email Marketing Raw Data'!$C:$O,5,0)),"")</f>
        <v/>
      </c>
      <c r="I2166" s="55" t="str">
        <f>IFERROR(IF($G2166="","",VLOOKUP('Dashboard And Emails Automate'!$G2166,Database!$H:$N,3,0)),"")</f>
        <v/>
      </c>
      <c r="J2166" s="55" t="str">
        <f>IFERROR(IF($G2166="","",VLOOKUP('Dashboard And Emails Automate'!$G2166,Database!$H:$N,4,0)),"")</f>
        <v/>
      </c>
      <c r="K2166" s="55" t="str">
        <f>IFERROR(IF($G2166="","",VLOOKUP('Dashboard And Emails Automate'!$G2166,Database!$H:$N,5,0)),"")</f>
        <v/>
      </c>
      <c r="L2166" s="55" t="str">
        <f>IFERROR(IF($G2166="","",VLOOKUP('Dashboard And Emails Automate'!$G2166,Database!$H:$N,6,0)),"")</f>
        <v/>
      </c>
      <c r="M2166" s="55" t="str">
        <f>IFERROR(IF($G2166="","",VLOOKUP('Dashboard And Emails Automate'!$G2166,Database!$H:$N,7,0)),"")</f>
        <v/>
      </c>
      <c r="N2166" s="55" t="str">
        <f>IFERROR(IF(OR($B2166="",$B2166="(blank)"),"",VLOOKUP($B2166,'Email Marketing Raw Data'!$C:$O,6,0)),"")</f>
        <v/>
      </c>
      <c r="O2166" s="55" t="str">
        <f>IFERROR(IF(OR($B2166="",$B2166="(blank)"),"",VLOOKUP($B2166,'Email Marketing Raw Data'!$C:$O,7,0)),"")</f>
        <v/>
      </c>
      <c r="P2166" s="55" t="str">
        <f>IFERROR(IF(OR($B2166="",$B2166="(blank)"),"",VLOOKUP($B2166,'Email Marketing Raw Data'!$C:$O,8,0)),"")</f>
        <v/>
      </c>
      <c r="Q2166" s="62" t="str">
        <f>IFERROR(IF(OR($B2166="",$B2166="(blank)"),"",VLOOKUP($B2166,'Email Marketing Raw Data'!$C:$O,9,0)),"")</f>
        <v/>
      </c>
    </row>
    <row r="2167" spans="4:17" ht="12.75" customHeight="1" x14ac:dyDescent="0.2">
      <c r="D2167" s="58" t="str">
        <f>IFERROR(IF(F2167&lt;&gt;"pending","",IF(OR($B2167="",$B2167="(blank)"),"",VLOOKUP($B2167,'Email Marketing Raw Data'!$C:$O,10,0))),"")</f>
        <v/>
      </c>
      <c r="E2167" s="59" t="str">
        <f>IFERROR(IF(F2167&lt;&gt;"pending","",IF(OR($B2167="",$B2167="(blank)"),"",VLOOKUP($B2167,'Email Marketing Raw Data'!$C:$O,11,0))),"")</f>
        <v/>
      </c>
      <c r="F2167" s="54" t="str">
        <f>IFERROR(IF(OR($B2167="",$B2167="(blank)"),"",VLOOKUP($B2167,'Email Marketing Raw Data'!$C:$O,13,0)),"")</f>
        <v/>
      </c>
      <c r="G2167" s="55" t="str">
        <f>IFERROR(IF(OR($B2167="",$B2167="(blank)"),"",VLOOKUP($B2167,'Email Marketing Raw Data'!$C:$O,4,0)),"")</f>
        <v/>
      </c>
      <c r="H2167" s="55" t="str">
        <f>IFERROR(IF(OR($B2167="",$B2167="(blank)"),"",VLOOKUP($B2167,'Email Marketing Raw Data'!$C:$O,5,0)),"")</f>
        <v/>
      </c>
      <c r="I2167" s="55" t="str">
        <f>IFERROR(IF($G2167="","",VLOOKUP('Dashboard And Emails Automate'!$G2167,Database!$H:$N,3,0)),"")</f>
        <v/>
      </c>
      <c r="J2167" s="55" t="str">
        <f>IFERROR(IF($G2167="","",VLOOKUP('Dashboard And Emails Automate'!$G2167,Database!$H:$N,4,0)),"")</f>
        <v/>
      </c>
      <c r="K2167" s="55" t="str">
        <f>IFERROR(IF($G2167="","",VLOOKUP('Dashboard And Emails Automate'!$G2167,Database!$H:$N,5,0)),"")</f>
        <v/>
      </c>
      <c r="L2167" s="55" t="str">
        <f>IFERROR(IF($G2167="","",VLOOKUP('Dashboard And Emails Automate'!$G2167,Database!$H:$N,6,0)),"")</f>
        <v/>
      </c>
      <c r="M2167" s="55" t="str">
        <f>IFERROR(IF($G2167="","",VLOOKUP('Dashboard And Emails Automate'!$G2167,Database!$H:$N,7,0)),"")</f>
        <v/>
      </c>
      <c r="N2167" s="55" t="str">
        <f>IFERROR(IF(OR($B2167="",$B2167="(blank)"),"",VLOOKUP($B2167,'Email Marketing Raw Data'!$C:$O,6,0)),"")</f>
        <v/>
      </c>
      <c r="O2167" s="55" t="str">
        <f>IFERROR(IF(OR($B2167="",$B2167="(blank)"),"",VLOOKUP($B2167,'Email Marketing Raw Data'!$C:$O,7,0)),"")</f>
        <v/>
      </c>
      <c r="P2167" s="55" t="str">
        <f>IFERROR(IF(OR($B2167="",$B2167="(blank)"),"",VLOOKUP($B2167,'Email Marketing Raw Data'!$C:$O,8,0)),"")</f>
        <v/>
      </c>
      <c r="Q2167" s="62" t="str">
        <f>IFERROR(IF(OR($B2167="",$B2167="(blank)"),"",VLOOKUP($B2167,'Email Marketing Raw Data'!$C:$O,9,0)),"")</f>
        <v/>
      </c>
    </row>
    <row r="2168" spans="4:17" ht="12.75" customHeight="1" x14ac:dyDescent="0.2">
      <c r="D2168" s="58" t="str">
        <f>IFERROR(IF(F2168&lt;&gt;"pending","",IF(OR($B2168="",$B2168="(blank)"),"",VLOOKUP($B2168,'Email Marketing Raw Data'!$C:$O,10,0))),"")</f>
        <v/>
      </c>
      <c r="E2168" s="59" t="str">
        <f>IFERROR(IF(F2168&lt;&gt;"pending","",IF(OR($B2168="",$B2168="(blank)"),"",VLOOKUP($B2168,'Email Marketing Raw Data'!$C:$O,11,0))),"")</f>
        <v/>
      </c>
      <c r="F2168" s="54" t="str">
        <f>IFERROR(IF(OR($B2168="",$B2168="(blank)"),"",VLOOKUP($B2168,'Email Marketing Raw Data'!$C:$O,13,0)),"")</f>
        <v/>
      </c>
      <c r="G2168" s="55" t="str">
        <f>IFERROR(IF(OR($B2168="",$B2168="(blank)"),"",VLOOKUP($B2168,'Email Marketing Raw Data'!$C:$O,4,0)),"")</f>
        <v/>
      </c>
      <c r="H2168" s="55" t="str">
        <f>IFERROR(IF(OR($B2168="",$B2168="(blank)"),"",VLOOKUP($B2168,'Email Marketing Raw Data'!$C:$O,5,0)),"")</f>
        <v/>
      </c>
      <c r="I2168" s="55" t="str">
        <f>IFERROR(IF($G2168="","",VLOOKUP('Dashboard And Emails Automate'!$G2168,Database!$H:$N,3,0)),"")</f>
        <v/>
      </c>
      <c r="J2168" s="55" t="str">
        <f>IFERROR(IF($G2168="","",VLOOKUP('Dashboard And Emails Automate'!$G2168,Database!$H:$N,4,0)),"")</f>
        <v/>
      </c>
      <c r="K2168" s="55" t="str">
        <f>IFERROR(IF($G2168="","",VLOOKUP('Dashboard And Emails Automate'!$G2168,Database!$H:$N,5,0)),"")</f>
        <v/>
      </c>
      <c r="L2168" s="55" t="str">
        <f>IFERROR(IF($G2168="","",VLOOKUP('Dashboard And Emails Automate'!$G2168,Database!$H:$N,6,0)),"")</f>
        <v/>
      </c>
      <c r="M2168" s="55" t="str">
        <f>IFERROR(IF($G2168="","",VLOOKUP('Dashboard And Emails Automate'!$G2168,Database!$H:$N,7,0)),"")</f>
        <v/>
      </c>
      <c r="N2168" s="55" t="str">
        <f>IFERROR(IF(OR($B2168="",$B2168="(blank)"),"",VLOOKUP($B2168,'Email Marketing Raw Data'!$C:$O,6,0)),"")</f>
        <v/>
      </c>
      <c r="O2168" s="55" t="str">
        <f>IFERROR(IF(OR($B2168="",$B2168="(blank)"),"",VLOOKUP($B2168,'Email Marketing Raw Data'!$C:$O,7,0)),"")</f>
        <v/>
      </c>
      <c r="P2168" s="55" t="str">
        <f>IFERROR(IF(OR($B2168="",$B2168="(blank)"),"",VLOOKUP($B2168,'Email Marketing Raw Data'!$C:$O,8,0)),"")</f>
        <v/>
      </c>
      <c r="Q2168" s="62" t="str">
        <f>IFERROR(IF(OR($B2168="",$B2168="(blank)"),"",VLOOKUP($B2168,'Email Marketing Raw Data'!$C:$O,9,0)),"")</f>
        <v/>
      </c>
    </row>
    <row r="2169" spans="4:17" ht="12.75" customHeight="1" x14ac:dyDescent="0.2">
      <c r="D2169" s="58" t="str">
        <f>IFERROR(IF(F2169&lt;&gt;"pending","",IF(OR($B2169="",$B2169="(blank)"),"",VLOOKUP($B2169,'Email Marketing Raw Data'!$C:$O,10,0))),"")</f>
        <v/>
      </c>
      <c r="E2169" s="59" t="str">
        <f>IFERROR(IF(F2169&lt;&gt;"pending","",IF(OR($B2169="",$B2169="(blank)"),"",VLOOKUP($B2169,'Email Marketing Raw Data'!$C:$O,11,0))),"")</f>
        <v/>
      </c>
      <c r="F2169" s="54" t="str">
        <f>IFERROR(IF(OR($B2169="",$B2169="(blank)"),"",VLOOKUP($B2169,'Email Marketing Raw Data'!$C:$O,13,0)),"")</f>
        <v/>
      </c>
      <c r="G2169" s="55" t="str">
        <f>IFERROR(IF(OR($B2169="",$B2169="(blank)"),"",VLOOKUP($B2169,'Email Marketing Raw Data'!$C:$O,4,0)),"")</f>
        <v/>
      </c>
      <c r="H2169" s="55" t="str">
        <f>IFERROR(IF(OR($B2169="",$B2169="(blank)"),"",VLOOKUP($B2169,'Email Marketing Raw Data'!$C:$O,5,0)),"")</f>
        <v/>
      </c>
      <c r="I2169" s="55" t="str">
        <f>IFERROR(IF($G2169="","",VLOOKUP('Dashboard And Emails Automate'!$G2169,Database!$H:$N,3,0)),"")</f>
        <v/>
      </c>
      <c r="J2169" s="55" t="str">
        <f>IFERROR(IF($G2169="","",VLOOKUP('Dashboard And Emails Automate'!$G2169,Database!$H:$N,4,0)),"")</f>
        <v/>
      </c>
      <c r="K2169" s="55" t="str">
        <f>IFERROR(IF($G2169="","",VLOOKUP('Dashboard And Emails Automate'!$G2169,Database!$H:$N,5,0)),"")</f>
        <v/>
      </c>
      <c r="L2169" s="55" t="str">
        <f>IFERROR(IF($G2169="","",VLOOKUP('Dashboard And Emails Automate'!$G2169,Database!$H:$N,6,0)),"")</f>
        <v/>
      </c>
      <c r="M2169" s="55" t="str">
        <f>IFERROR(IF($G2169="","",VLOOKUP('Dashboard And Emails Automate'!$G2169,Database!$H:$N,7,0)),"")</f>
        <v/>
      </c>
      <c r="N2169" s="55" t="str">
        <f>IFERROR(IF(OR($B2169="",$B2169="(blank)"),"",VLOOKUP($B2169,'Email Marketing Raw Data'!$C:$O,6,0)),"")</f>
        <v/>
      </c>
      <c r="O2169" s="55" t="str">
        <f>IFERROR(IF(OR($B2169="",$B2169="(blank)"),"",VLOOKUP($B2169,'Email Marketing Raw Data'!$C:$O,7,0)),"")</f>
        <v/>
      </c>
      <c r="P2169" s="55" t="str">
        <f>IFERROR(IF(OR($B2169="",$B2169="(blank)"),"",VLOOKUP($B2169,'Email Marketing Raw Data'!$C:$O,8,0)),"")</f>
        <v/>
      </c>
      <c r="Q2169" s="62" t="str">
        <f>IFERROR(IF(OR($B2169="",$B2169="(blank)"),"",VLOOKUP($B2169,'Email Marketing Raw Data'!$C:$O,9,0)),"")</f>
        <v/>
      </c>
    </row>
    <row r="2170" spans="4:17" ht="12.75" customHeight="1" x14ac:dyDescent="0.2">
      <c r="D2170" s="58" t="str">
        <f>IFERROR(IF(F2170&lt;&gt;"pending","",IF(OR($B2170="",$B2170="(blank)"),"",VLOOKUP($B2170,'Email Marketing Raw Data'!$C:$O,10,0))),"")</f>
        <v/>
      </c>
      <c r="E2170" s="59" t="str">
        <f>IFERROR(IF(F2170&lt;&gt;"pending","",IF(OR($B2170="",$B2170="(blank)"),"",VLOOKUP($B2170,'Email Marketing Raw Data'!$C:$O,11,0))),"")</f>
        <v/>
      </c>
      <c r="F2170" s="54" t="str">
        <f>IFERROR(IF(OR($B2170="",$B2170="(blank)"),"",VLOOKUP($B2170,'Email Marketing Raw Data'!$C:$O,13,0)),"")</f>
        <v/>
      </c>
      <c r="G2170" s="55" t="str">
        <f>IFERROR(IF(OR($B2170="",$B2170="(blank)"),"",VLOOKUP($B2170,'Email Marketing Raw Data'!$C:$O,4,0)),"")</f>
        <v/>
      </c>
      <c r="H2170" s="55" t="str">
        <f>IFERROR(IF(OR($B2170="",$B2170="(blank)"),"",VLOOKUP($B2170,'Email Marketing Raw Data'!$C:$O,5,0)),"")</f>
        <v/>
      </c>
      <c r="I2170" s="55" t="str">
        <f>IFERROR(IF($G2170="","",VLOOKUP('Dashboard And Emails Automate'!$G2170,Database!$H:$N,3,0)),"")</f>
        <v/>
      </c>
      <c r="J2170" s="55" t="str">
        <f>IFERROR(IF($G2170="","",VLOOKUP('Dashboard And Emails Automate'!$G2170,Database!$H:$N,4,0)),"")</f>
        <v/>
      </c>
      <c r="K2170" s="55" t="str">
        <f>IFERROR(IF($G2170="","",VLOOKUP('Dashboard And Emails Automate'!$G2170,Database!$H:$N,5,0)),"")</f>
        <v/>
      </c>
      <c r="L2170" s="55" t="str">
        <f>IFERROR(IF($G2170="","",VLOOKUP('Dashboard And Emails Automate'!$G2170,Database!$H:$N,6,0)),"")</f>
        <v/>
      </c>
      <c r="M2170" s="55" t="str">
        <f>IFERROR(IF($G2170="","",VLOOKUP('Dashboard And Emails Automate'!$G2170,Database!$H:$N,7,0)),"")</f>
        <v/>
      </c>
      <c r="N2170" s="55" t="str">
        <f>IFERROR(IF(OR($B2170="",$B2170="(blank)"),"",VLOOKUP($B2170,'Email Marketing Raw Data'!$C:$O,6,0)),"")</f>
        <v/>
      </c>
      <c r="O2170" s="55" t="str">
        <f>IFERROR(IF(OR($B2170="",$B2170="(blank)"),"",VLOOKUP($B2170,'Email Marketing Raw Data'!$C:$O,7,0)),"")</f>
        <v/>
      </c>
      <c r="P2170" s="55" t="str">
        <f>IFERROR(IF(OR($B2170="",$B2170="(blank)"),"",VLOOKUP($B2170,'Email Marketing Raw Data'!$C:$O,8,0)),"")</f>
        <v/>
      </c>
      <c r="Q2170" s="62" t="str">
        <f>IFERROR(IF(OR($B2170="",$B2170="(blank)"),"",VLOOKUP($B2170,'Email Marketing Raw Data'!$C:$O,9,0)),"")</f>
        <v/>
      </c>
    </row>
    <row r="2171" spans="4:17" ht="12.75" customHeight="1" x14ac:dyDescent="0.2">
      <c r="D2171" s="58" t="str">
        <f>IFERROR(IF(F2171&lt;&gt;"pending","",IF(OR($B2171="",$B2171="(blank)"),"",VLOOKUP($B2171,'Email Marketing Raw Data'!$C:$O,10,0))),"")</f>
        <v/>
      </c>
      <c r="E2171" s="59" t="str">
        <f>IFERROR(IF(F2171&lt;&gt;"pending","",IF(OR($B2171="",$B2171="(blank)"),"",VLOOKUP($B2171,'Email Marketing Raw Data'!$C:$O,11,0))),"")</f>
        <v/>
      </c>
      <c r="F2171" s="54" t="str">
        <f>IFERROR(IF(OR($B2171="",$B2171="(blank)"),"",VLOOKUP($B2171,'Email Marketing Raw Data'!$C:$O,13,0)),"")</f>
        <v/>
      </c>
      <c r="G2171" s="55" t="str">
        <f>IFERROR(IF(OR($B2171="",$B2171="(blank)"),"",VLOOKUP($B2171,'Email Marketing Raw Data'!$C:$O,4,0)),"")</f>
        <v/>
      </c>
      <c r="H2171" s="55" t="str">
        <f>IFERROR(IF(OR($B2171="",$B2171="(blank)"),"",VLOOKUP($B2171,'Email Marketing Raw Data'!$C:$O,5,0)),"")</f>
        <v/>
      </c>
      <c r="I2171" s="55" t="str">
        <f>IFERROR(IF($G2171="","",VLOOKUP('Dashboard And Emails Automate'!$G2171,Database!$H:$N,3,0)),"")</f>
        <v/>
      </c>
      <c r="J2171" s="55" t="str">
        <f>IFERROR(IF($G2171="","",VLOOKUP('Dashboard And Emails Automate'!$G2171,Database!$H:$N,4,0)),"")</f>
        <v/>
      </c>
      <c r="K2171" s="55" t="str">
        <f>IFERROR(IF($G2171="","",VLOOKUP('Dashboard And Emails Automate'!$G2171,Database!$H:$N,5,0)),"")</f>
        <v/>
      </c>
      <c r="L2171" s="55" t="str">
        <f>IFERROR(IF($G2171="","",VLOOKUP('Dashboard And Emails Automate'!$G2171,Database!$H:$N,6,0)),"")</f>
        <v/>
      </c>
      <c r="M2171" s="55" t="str">
        <f>IFERROR(IF($G2171="","",VLOOKUP('Dashboard And Emails Automate'!$G2171,Database!$H:$N,7,0)),"")</f>
        <v/>
      </c>
      <c r="N2171" s="55" t="str">
        <f>IFERROR(IF(OR($B2171="",$B2171="(blank)"),"",VLOOKUP($B2171,'Email Marketing Raw Data'!$C:$O,6,0)),"")</f>
        <v/>
      </c>
      <c r="O2171" s="55" t="str">
        <f>IFERROR(IF(OR($B2171="",$B2171="(blank)"),"",VLOOKUP($B2171,'Email Marketing Raw Data'!$C:$O,7,0)),"")</f>
        <v/>
      </c>
      <c r="P2171" s="55" t="str">
        <f>IFERROR(IF(OR($B2171="",$B2171="(blank)"),"",VLOOKUP($B2171,'Email Marketing Raw Data'!$C:$O,8,0)),"")</f>
        <v/>
      </c>
      <c r="Q2171" s="62" t="str">
        <f>IFERROR(IF(OR($B2171="",$B2171="(blank)"),"",VLOOKUP($B2171,'Email Marketing Raw Data'!$C:$O,9,0)),"")</f>
        <v/>
      </c>
    </row>
    <row r="2172" spans="4:17" ht="12.75" customHeight="1" x14ac:dyDescent="0.2">
      <c r="D2172" s="58" t="str">
        <f>IFERROR(IF(F2172&lt;&gt;"pending","",IF(OR($B2172="",$B2172="(blank)"),"",VLOOKUP($B2172,'Email Marketing Raw Data'!$C:$O,10,0))),"")</f>
        <v/>
      </c>
      <c r="E2172" s="59" t="str">
        <f>IFERROR(IF(F2172&lt;&gt;"pending","",IF(OR($B2172="",$B2172="(blank)"),"",VLOOKUP($B2172,'Email Marketing Raw Data'!$C:$O,11,0))),"")</f>
        <v/>
      </c>
      <c r="F2172" s="54" t="str">
        <f>IFERROR(IF(OR($B2172="",$B2172="(blank)"),"",VLOOKUP($B2172,'Email Marketing Raw Data'!$C:$O,13,0)),"")</f>
        <v/>
      </c>
      <c r="G2172" s="55" t="str">
        <f>IFERROR(IF(OR($B2172="",$B2172="(blank)"),"",VLOOKUP($B2172,'Email Marketing Raw Data'!$C:$O,4,0)),"")</f>
        <v/>
      </c>
      <c r="H2172" s="55" t="str">
        <f>IFERROR(IF(OR($B2172="",$B2172="(blank)"),"",VLOOKUP($B2172,'Email Marketing Raw Data'!$C:$O,5,0)),"")</f>
        <v/>
      </c>
      <c r="I2172" s="55" t="str">
        <f>IFERROR(IF($G2172="","",VLOOKUP('Dashboard And Emails Automate'!$G2172,Database!$H:$N,3,0)),"")</f>
        <v/>
      </c>
      <c r="J2172" s="55" t="str">
        <f>IFERROR(IF($G2172="","",VLOOKUP('Dashboard And Emails Automate'!$G2172,Database!$H:$N,4,0)),"")</f>
        <v/>
      </c>
      <c r="K2172" s="55" t="str">
        <f>IFERROR(IF($G2172="","",VLOOKUP('Dashboard And Emails Automate'!$G2172,Database!$H:$N,5,0)),"")</f>
        <v/>
      </c>
      <c r="L2172" s="55" t="str">
        <f>IFERROR(IF($G2172="","",VLOOKUP('Dashboard And Emails Automate'!$G2172,Database!$H:$N,6,0)),"")</f>
        <v/>
      </c>
      <c r="M2172" s="55" t="str">
        <f>IFERROR(IF($G2172="","",VLOOKUP('Dashboard And Emails Automate'!$G2172,Database!$H:$N,7,0)),"")</f>
        <v/>
      </c>
      <c r="N2172" s="55" t="str">
        <f>IFERROR(IF(OR($B2172="",$B2172="(blank)"),"",VLOOKUP($B2172,'Email Marketing Raw Data'!$C:$O,6,0)),"")</f>
        <v/>
      </c>
      <c r="O2172" s="55" t="str">
        <f>IFERROR(IF(OR($B2172="",$B2172="(blank)"),"",VLOOKUP($B2172,'Email Marketing Raw Data'!$C:$O,7,0)),"")</f>
        <v/>
      </c>
      <c r="P2172" s="55" t="str">
        <f>IFERROR(IF(OR($B2172="",$B2172="(blank)"),"",VLOOKUP($B2172,'Email Marketing Raw Data'!$C:$O,8,0)),"")</f>
        <v/>
      </c>
      <c r="Q2172" s="62" t="str">
        <f>IFERROR(IF(OR($B2172="",$B2172="(blank)"),"",VLOOKUP($B2172,'Email Marketing Raw Data'!$C:$O,9,0)),"")</f>
        <v/>
      </c>
    </row>
    <row r="2173" spans="4:17" ht="12.75" customHeight="1" x14ac:dyDescent="0.2">
      <c r="D2173" s="58" t="str">
        <f>IFERROR(IF(F2173&lt;&gt;"pending","",IF(OR($B2173="",$B2173="(blank)"),"",VLOOKUP($B2173,'Email Marketing Raw Data'!$C:$O,10,0))),"")</f>
        <v/>
      </c>
      <c r="E2173" s="59" t="str">
        <f>IFERROR(IF(F2173&lt;&gt;"pending","",IF(OR($B2173="",$B2173="(blank)"),"",VLOOKUP($B2173,'Email Marketing Raw Data'!$C:$O,11,0))),"")</f>
        <v/>
      </c>
      <c r="F2173" s="54" t="str">
        <f>IFERROR(IF(OR($B2173="",$B2173="(blank)"),"",VLOOKUP($B2173,'Email Marketing Raw Data'!$C:$O,13,0)),"")</f>
        <v/>
      </c>
      <c r="G2173" s="55" t="str">
        <f>IFERROR(IF(OR($B2173="",$B2173="(blank)"),"",VLOOKUP($B2173,'Email Marketing Raw Data'!$C:$O,4,0)),"")</f>
        <v/>
      </c>
      <c r="H2173" s="55" t="str">
        <f>IFERROR(IF(OR($B2173="",$B2173="(blank)"),"",VLOOKUP($B2173,'Email Marketing Raw Data'!$C:$O,5,0)),"")</f>
        <v/>
      </c>
      <c r="I2173" s="55" t="str">
        <f>IFERROR(IF($G2173="","",VLOOKUP('Dashboard And Emails Automate'!$G2173,Database!$H:$N,3,0)),"")</f>
        <v/>
      </c>
      <c r="J2173" s="55" t="str">
        <f>IFERROR(IF($G2173="","",VLOOKUP('Dashboard And Emails Automate'!$G2173,Database!$H:$N,4,0)),"")</f>
        <v/>
      </c>
      <c r="K2173" s="55" t="str">
        <f>IFERROR(IF($G2173="","",VLOOKUP('Dashboard And Emails Automate'!$G2173,Database!$H:$N,5,0)),"")</f>
        <v/>
      </c>
      <c r="L2173" s="55" t="str">
        <f>IFERROR(IF($G2173="","",VLOOKUP('Dashboard And Emails Automate'!$G2173,Database!$H:$N,6,0)),"")</f>
        <v/>
      </c>
      <c r="M2173" s="55" t="str">
        <f>IFERROR(IF($G2173="","",VLOOKUP('Dashboard And Emails Automate'!$G2173,Database!$H:$N,7,0)),"")</f>
        <v/>
      </c>
      <c r="N2173" s="55" t="str">
        <f>IFERROR(IF(OR($B2173="",$B2173="(blank)"),"",VLOOKUP($B2173,'Email Marketing Raw Data'!$C:$O,6,0)),"")</f>
        <v/>
      </c>
      <c r="O2173" s="55" t="str">
        <f>IFERROR(IF(OR($B2173="",$B2173="(blank)"),"",VLOOKUP($B2173,'Email Marketing Raw Data'!$C:$O,7,0)),"")</f>
        <v/>
      </c>
      <c r="P2173" s="55" t="str">
        <f>IFERROR(IF(OR($B2173="",$B2173="(blank)"),"",VLOOKUP($B2173,'Email Marketing Raw Data'!$C:$O,8,0)),"")</f>
        <v/>
      </c>
      <c r="Q2173" s="62" t="str">
        <f>IFERROR(IF(OR($B2173="",$B2173="(blank)"),"",VLOOKUP($B2173,'Email Marketing Raw Data'!$C:$O,9,0)),"")</f>
        <v/>
      </c>
    </row>
    <row r="2174" spans="4:17" ht="12.75" customHeight="1" x14ac:dyDescent="0.2">
      <c r="D2174" s="58" t="str">
        <f>IFERROR(IF(F2174&lt;&gt;"pending","",IF(OR($B2174="",$B2174="(blank)"),"",VLOOKUP($B2174,'Email Marketing Raw Data'!$C:$O,10,0))),"")</f>
        <v/>
      </c>
      <c r="E2174" s="59" t="str">
        <f>IFERROR(IF(F2174&lt;&gt;"pending","",IF(OR($B2174="",$B2174="(blank)"),"",VLOOKUP($B2174,'Email Marketing Raw Data'!$C:$O,11,0))),"")</f>
        <v/>
      </c>
      <c r="F2174" s="54" t="str">
        <f>IFERROR(IF(OR($B2174="",$B2174="(blank)"),"",VLOOKUP($B2174,'Email Marketing Raw Data'!$C:$O,13,0)),"")</f>
        <v/>
      </c>
      <c r="G2174" s="55" t="str">
        <f>IFERROR(IF(OR($B2174="",$B2174="(blank)"),"",VLOOKUP($B2174,'Email Marketing Raw Data'!$C:$O,4,0)),"")</f>
        <v/>
      </c>
      <c r="H2174" s="55" t="str">
        <f>IFERROR(IF(OR($B2174="",$B2174="(blank)"),"",VLOOKUP($B2174,'Email Marketing Raw Data'!$C:$O,5,0)),"")</f>
        <v/>
      </c>
      <c r="I2174" s="55" t="str">
        <f>IFERROR(IF($G2174="","",VLOOKUP('Dashboard And Emails Automate'!$G2174,Database!$H:$N,3,0)),"")</f>
        <v/>
      </c>
      <c r="J2174" s="55" t="str">
        <f>IFERROR(IF($G2174="","",VLOOKUP('Dashboard And Emails Automate'!$G2174,Database!$H:$N,4,0)),"")</f>
        <v/>
      </c>
      <c r="K2174" s="55" t="str">
        <f>IFERROR(IF($G2174="","",VLOOKUP('Dashboard And Emails Automate'!$G2174,Database!$H:$N,5,0)),"")</f>
        <v/>
      </c>
      <c r="L2174" s="55" t="str">
        <f>IFERROR(IF($G2174="","",VLOOKUP('Dashboard And Emails Automate'!$G2174,Database!$H:$N,6,0)),"")</f>
        <v/>
      </c>
      <c r="M2174" s="55" t="str">
        <f>IFERROR(IF($G2174="","",VLOOKUP('Dashboard And Emails Automate'!$G2174,Database!$H:$N,7,0)),"")</f>
        <v/>
      </c>
      <c r="N2174" s="55" t="str">
        <f>IFERROR(IF(OR($B2174="",$B2174="(blank)"),"",VLOOKUP($B2174,'Email Marketing Raw Data'!$C:$O,6,0)),"")</f>
        <v/>
      </c>
      <c r="O2174" s="55" t="str">
        <f>IFERROR(IF(OR($B2174="",$B2174="(blank)"),"",VLOOKUP($B2174,'Email Marketing Raw Data'!$C:$O,7,0)),"")</f>
        <v/>
      </c>
      <c r="P2174" s="55" t="str">
        <f>IFERROR(IF(OR($B2174="",$B2174="(blank)"),"",VLOOKUP($B2174,'Email Marketing Raw Data'!$C:$O,8,0)),"")</f>
        <v/>
      </c>
      <c r="Q2174" s="62" t="str">
        <f>IFERROR(IF(OR($B2174="",$B2174="(blank)"),"",VLOOKUP($B2174,'Email Marketing Raw Data'!$C:$O,9,0)),"")</f>
        <v/>
      </c>
    </row>
    <row r="2175" spans="4:17" ht="12.75" customHeight="1" x14ac:dyDescent="0.2">
      <c r="D2175" s="58" t="str">
        <f>IFERROR(IF(F2175&lt;&gt;"pending","",IF(OR($B2175="",$B2175="(blank)"),"",VLOOKUP($B2175,'Email Marketing Raw Data'!$C:$O,10,0))),"")</f>
        <v/>
      </c>
      <c r="E2175" s="59" t="str">
        <f>IFERROR(IF(F2175&lt;&gt;"pending","",IF(OR($B2175="",$B2175="(blank)"),"",VLOOKUP($B2175,'Email Marketing Raw Data'!$C:$O,11,0))),"")</f>
        <v/>
      </c>
      <c r="F2175" s="54" t="str">
        <f>IFERROR(IF(OR($B2175="",$B2175="(blank)"),"",VLOOKUP($B2175,'Email Marketing Raw Data'!$C:$O,13,0)),"")</f>
        <v/>
      </c>
      <c r="G2175" s="55" t="str">
        <f>IFERROR(IF(OR($B2175="",$B2175="(blank)"),"",VLOOKUP($B2175,'Email Marketing Raw Data'!$C:$O,4,0)),"")</f>
        <v/>
      </c>
      <c r="H2175" s="55" t="str">
        <f>IFERROR(IF(OR($B2175="",$B2175="(blank)"),"",VLOOKUP($B2175,'Email Marketing Raw Data'!$C:$O,5,0)),"")</f>
        <v/>
      </c>
      <c r="I2175" s="55" t="str">
        <f>IFERROR(IF($G2175="","",VLOOKUP('Dashboard And Emails Automate'!$G2175,Database!$H:$N,3,0)),"")</f>
        <v/>
      </c>
      <c r="J2175" s="55" t="str">
        <f>IFERROR(IF($G2175="","",VLOOKUP('Dashboard And Emails Automate'!$G2175,Database!$H:$N,4,0)),"")</f>
        <v/>
      </c>
      <c r="K2175" s="55" t="str">
        <f>IFERROR(IF($G2175="","",VLOOKUP('Dashboard And Emails Automate'!$G2175,Database!$H:$N,5,0)),"")</f>
        <v/>
      </c>
      <c r="L2175" s="55" t="str">
        <f>IFERROR(IF($G2175="","",VLOOKUP('Dashboard And Emails Automate'!$G2175,Database!$H:$N,6,0)),"")</f>
        <v/>
      </c>
      <c r="M2175" s="55" t="str">
        <f>IFERROR(IF($G2175="","",VLOOKUP('Dashboard And Emails Automate'!$G2175,Database!$H:$N,7,0)),"")</f>
        <v/>
      </c>
      <c r="N2175" s="55" t="str">
        <f>IFERROR(IF(OR($B2175="",$B2175="(blank)"),"",VLOOKUP($B2175,'Email Marketing Raw Data'!$C:$O,6,0)),"")</f>
        <v/>
      </c>
      <c r="O2175" s="55" t="str">
        <f>IFERROR(IF(OR($B2175="",$B2175="(blank)"),"",VLOOKUP($B2175,'Email Marketing Raw Data'!$C:$O,7,0)),"")</f>
        <v/>
      </c>
      <c r="P2175" s="55" t="str">
        <f>IFERROR(IF(OR($B2175="",$B2175="(blank)"),"",VLOOKUP($B2175,'Email Marketing Raw Data'!$C:$O,8,0)),"")</f>
        <v/>
      </c>
      <c r="Q2175" s="62" t="str">
        <f>IFERROR(IF(OR($B2175="",$B2175="(blank)"),"",VLOOKUP($B2175,'Email Marketing Raw Data'!$C:$O,9,0)),"")</f>
        <v/>
      </c>
    </row>
    <row r="2176" spans="4:17" ht="12.75" customHeight="1" x14ac:dyDescent="0.2">
      <c r="D2176" s="58" t="str">
        <f>IFERROR(IF(F2176&lt;&gt;"pending","",IF(OR($B2176="",$B2176="(blank)"),"",VLOOKUP($B2176,'Email Marketing Raw Data'!$C:$O,10,0))),"")</f>
        <v/>
      </c>
      <c r="E2176" s="59" t="str">
        <f>IFERROR(IF(F2176&lt;&gt;"pending","",IF(OR($B2176="",$B2176="(blank)"),"",VLOOKUP($B2176,'Email Marketing Raw Data'!$C:$O,11,0))),"")</f>
        <v/>
      </c>
      <c r="F2176" s="54" t="str">
        <f>IFERROR(IF(OR($B2176="",$B2176="(blank)"),"",VLOOKUP($B2176,'Email Marketing Raw Data'!$C:$O,13,0)),"")</f>
        <v/>
      </c>
      <c r="G2176" s="55" t="str">
        <f>IFERROR(IF(OR($B2176="",$B2176="(blank)"),"",VLOOKUP($B2176,'Email Marketing Raw Data'!$C:$O,4,0)),"")</f>
        <v/>
      </c>
      <c r="H2176" s="55" t="str">
        <f>IFERROR(IF(OR($B2176="",$B2176="(blank)"),"",VLOOKUP($B2176,'Email Marketing Raw Data'!$C:$O,5,0)),"")</f>
        <v/>
      </c>
      <c r="I2176" s="55" t="str">
        <f>IFERROR(IF($G2176="","",VLOOKUP('Dashboard And Emails Automate'!$G2176,Database!$H:$N,3,0)),"")</f>
        <v/>
      </c>
      <c r="J2176" s="55" t="str">
        <f>IFERROR(IF($G2176="","",VLOOKUP('Dashboard And Emails Automate'!$G2176,Database!$H:$N,4,0)),"")</f>
        <v/>
      </c>
      <c r="K2176" s="55" t="str">
        <f>IFERROR(IF($G2176="","",VLOOKUP('Dashboard And Emails Automate'!$G2176,Database!$H:$N,5,0)),"")</f>
        <v/>
      </c>
      <c r="L2176" s="55" t="str">
        <f>IFERROR(IF($G2176="","",VLOOKUP('Dashboard And Emails Automate'!$G2176,Database!$H:$N,6,0)),"")</f>
        <v/>
      </c>
      <c r="M2176" s="55" t="str">
        <f>IFERROR(IF($G2176="","",VLOOKUP('Dashboard And Emails Automate'!$G2176,Database!$H:$N,7,0)),"")</f>
        <v/>
      </c>
      <c r="N2176" s="55" t="str">
        <f>IFERROR(IF(OR($B2176="",$B2176="(blank)"),"",VLOOKUP($B2176,'Email Marketing Raw Data'!$C:$O,6,0)),"")</f>
        <v/>
      </c>
      <c r="O2176" s="55" t="str">
        <f>IFERROR(IF(OR($B2176="",$B2176="(blank)"),"",VLOOKUP($B2176,'Email Marketing Raw Data'!$C:$O,7,0)),"")</f>
        <v/>
      </c>
      <c r="P2176" s="55" t="str">
        <f>IFERROR(IF(OR($B2176="",$B2176="(blank)"),"",VLOOKUP($B2176,'Email Marketing Raw Data'!$C:$O,8,0)),"")</f>
        <v/>
      </c>
      <c r="Q2176" s="62" t="str">
        <f>IFERROR(IF(OR($B2176="",$B2176="(blank)"),"",VLOOKUP($B2176,'Email Marketing Raw Data'!$C:$O,9,0)),"")</f>
        <v/>
      </c>
    </row>
    <row r="2177" spans="4:17" ht="12.75" customHeight="1" x14ac:dyDescent="0.2">
      <c r="D2177" s="58" t="str">
        <f>IFERROR(IF(F2177&lt;&gt;"pending","",IF(OR($B2177="",$B2177="(blank)"),"",VLOOKUP($B2177,'Email Marketing Raw Data'!$C:$O,10,0))),"")</f>
        <v/>
      </c>
      <c r="E2177" s="59" t="str">
        <f>IFERROR(IF(F2177&lt;&gt;"pending","",IF(OR($B2177="",$B2177="(blank)"),"",VLOOKUP($B2177,'Email Marketing Raw Data'!$C:$O,11,0))),"")</f>
        <v/>
      </c>
      <c r="F2177" s="54" t="str">
        <f>IFERROR(IF(OR($B2177="",$B2177="(blank)"),"",VLOOKUP($B2177,'Email Marketing Raw Data'!$C:$O,13,0)),"")</f>
        <v/>
      </c>
      <c r="G2177" s="55" t="str">
        <f>IFERROR(IF(OR($B2177="",$B2177="(blank)"),"",VLOOKUP($B2177,'Email Marketing Raw Data'!$C:$O,4,0)),"")</f>
        <v/>
      </c>
      <c r="H2177" s="55" t="str">
        <f>IFERROR(IF(OR($B2177="",$B2177="(blank)"),"",VLOOKUP($B2177,'Email Marketing Raw Data'!$C:$O,5,0)),"")</f>
        <v/>
      </c>
      <c r="I2177" s="55" t="str">
        <f>IFERROR(IF($G2177="","",VLOOKUP('Dashboard And Emails Automate'!$G2177,Database!$H:$N,3,0)),"")</f>
        <v/>
      </c>
      <c r="J2177" s="55" t="str">
        <f>IFERROR(IF($G2177="","",VLOOKUP('Dashboard And Emails Automate'!$G2177,Database!$H:$N,4,0)),"")</f>
        <v/>
      </c>
      <c r="K2177" s="55" t="str">
        <f>IFERROR(IF($G2177="","",VLOOKUP('Dashboard And Emails Automate'!$G2177,Database!$H:$N,5,0)),"")</f>
        <v/>
      </c>
      <c r="L2177" s="55" t="str">
        <f>IFERROR(IF($G2177="","",VLOOKUP('Dashboard And Emails Automate'!$G2177,Database!$H:$N,6,0)),"")</f>
        <v/>
      </c>
      <c r="M2177" s="55" t="str">
        <f>IFERROR(IF($G2177="","",VLOOKUP('Dashboard And Emails Automate'!$G2177,Database!$H:$N,7,0)),"")</f>
        <v/>
      </c>
      <c r="N2177" s="55" t="str">
        <f>IFERROR(IF(OR($B2177="",$B2177="(blank)"),"",VLOOKUP($B2177,'Email Marketing Raw Data'!$C:$O,6,0)),"")</f>
        <v/>
      </c>
      <c r="O2177" s="55" t="str">
        <f>IFERROR(IF(OR($B2177="",$B2177="(blank)"),"",VLOOKUP($B2177,'Email Marketing Raw Data'!$C:$O,7,0)),"")</f>
        <v/>
      </c>
      <c r="P2177" s="55" t="str">
        <f>IFERROR(IF(OR($B2177="",$B2177="(blank)"),"",VLOOKUP($B2177,'Email Marketing Raw Data'!$C:$O,8,0)),"")</f>
        <v/>
      </c>
      <c r="Q2177" s="62" t="str">
        <f>IFERROR(IF(OR($B2177="",$B2177="(blank)"),"",VLOOKUP($B2177,'Email Marketing Raw Data'!$C:$O,9,0)),"")</f>
        <v/>
      </c>
    </row>
    <row r="2178" spans="4:17" ht="12.75" customHeight="1" x14ac:dyDescent="0.2">
      <c r="D2178" s="58" t="str">
        <f>IFERROR(IF(F2178&lt;&gt;"pending","",IF(OR($B2178="",$B2178="(blank)"),"",VLOOKUP($B2178,'Email Marketing Raw Data'!$C:$O,10,0))),"")</f>
        <v/>
      </c>
      <c r="E2178" s="59" t="str">
        <f>IFERROR(IF(F2178&lt;&gt;"pending","",IF(OR($B2178="",$B2178="(blank)"),"",VLOOKUP($B2178,'Email Marketing Raw Data'!$C:$O,11,0))),"")</f>
        <v/>
      </c>
      <c r="F2178" s="54" t="str">
        <f>IFERROR(IF(OR($B2178="",$B2178="(blank)"),"",VLOOKUP($B2178,'Email Marketing Raw Data'!$C:$O,13,0)),"")</f>
        <v/>
      </c>
      <c r="G2178" s="55" t="str">
        <f>IFERROR(IF(OR($B2178="",$B2178="(blank)"),"",VLOOKUP($B2178,'Email Marketing Raw Data'!$C:$O,4,0)),"")</f>
        <v/>
      </c>
      <c r="H2178" s="55" t="str">
        <f>IFERROR(IF(OR($B2178="",$B2178="(blank)"),"",VLOOKUP($B2178,'Email Marketing Raw Data'!$C:$O,5,0)),"")</f>
        <v/>
      </c>
      <c r="I2178" s="55" t="str">
        <f>IFERROR(IF($G2178="","",VLOOKUP('Dashboard And Emails Automate'!$G2178,Database!$H:$N,3,0)),"")</f>
        <v/>
      </c>
      <c r="J2178" s="55" t="str">
        <f>IFERROR(IF($G2178="","",VLOOKUP('Dashboard And Emails Automate'!$G2178,Database!$H:$N,4,0)),"")</f>
        <v/>
      </c>
      <c r="K2178" s="55" t="str">
        <f>IFERROR(IF($G2178="","",VLOOKUP('Dashboard And Emails Automate'!$G2178,Database!$H:$N,5,0)),"")</f>
        <v/>
      </c>
      <c r="L2178" s="55" t="str">
        <f>IFERROR(IF($G2178="","",VLOOKUP('Dashboard And Emails Automate'!$G2178,Database!$H:$N,6,0)),"")</f>
        <v/>
      </c>
      <c r="M2178" s="55" t="str">
        <f>IFERROR(IF($G2178="","",VLOOKUP('Dashboard And Emails Automate'!$G2178,Database!$H:$N,7,0)),"")</f>
        <v/>
      </c>
      <c r="N2178" s="55" t="str">
        <f>IFERROR(IF(OR($B2178="",$B2178="(blank)"),"",VLOOKUP($B2178,'Email Marketing Raw Data'!$C:$O,6,0)),"")</f>
        <v/>
      </c>
      <c r="O2178" s="55" t="str">
        <f>IFERROR(IF(OR($B2178="",$B2178="(blank)"),"",VLOOKUP($B2178,'Email Marketing Raw Data'!$C:$O,7,0)),"")</f>
        <v/>
      </c>
      <c r="P2178" s="55" t="str">
        <f>IFERROR(IF(OR($B2178="",$B2178="(blank)"),"",VLOOKUP($B2178,'Email Marketing Raw Data'!$C:$O,8,0)),"")</f>
        <v/>
      </c>
      <c r="Q2178" s="62" t="str">
        <f>IFERROR(IF(OR($B2178="",$B2178="(blank)"),"",VLOOKUP($B2178,'Email Marketing Raw Data'!$C:$O,9,0)),"")</f>
        <v/>
      </c>
    </row>
    <row r="2179" spans="4:17" ht="12.75" customHeight="1" x14ac:dyDescent="0.2">
      <c r="D2179" s="58" t="str">
        <f>IFERROR(IF(F2179&lt;&gt;"pending","",IF(OR($B2179="",$B2179="(blank)"),"",VLOOKUP($B2179,'Email Marketing Raw Data'!$C:$O,10,0))),"")</f>
        <v/>
      </c>
      <c r="E2179" s="59" t="str">
        <f>IFERROR(IF(F2179&lt;&gt;"pending","",IF(OR($B2179="",$B2179="(blank)"),"",VLOOKUP($B2179,'Email Marketing Raw Data'!$C:$O,11,0))),"")</f>
        <v/>
      </c>
      <c r="F2179" s="54" t="str">
        <f>IFERROR(IF(OR($B2179="",$B2179="(blank)"),"",VLOOKUP($B2179,'Email Marketing Raw Data'!$C:$O,13,0)),"")</f>
        <v/>
      </c>
      <c r="G2179" s="55" t="str">
        <f>IFERROR(IF(OR($B2179="",$B2179="(blank)"),"",VLOOKUP($B2179,'Email Marketing Raw Data'!$C:$O,4,0)),"")</f>
        <v/>
      </c>
      <c r="H2179" s="55" t="str">
        <f>IFERROR(IF(OR($B2179="",$B2179="(blank)"),"",VLOOKUP($B2179,'Email Marketing Raw Data'!$C:$O,5,0)),"")</f>
        <v/>
      </c>
      <c r="I2179" s="55" t="str">
        <f>IFERROR(IF($G2179="","",VLOOKUP('Dashboard And Emails Automate'!$G2179,Database!$H:$N,3,0)),"")</f>
        <v/>
      </c>
      <c r="J2179" s="55" t="str">
        <f>IFERROR(IF($G2179="","",VLOOKUP('Dashboard And Emails Automate'!$G2179,Database!$H:$N,4,0)),"")</f>
        <v/>
      </c>
      <c r="K2179" s="55" t="str">
        <f>IFERROR(IF($G2179="","",VLOOKUP('Dashboard And Emails Automate'!$G2179,Database!$H:$N,5,0)),"")</f>
        <v/>
      </c>
      <c r="L2179" s="55" t="str">
        <f>IFERROR(IF($G2179="","",VLOOKUP('Dashboard And Emails Automate'!$G2179,Database!$H:$N,6,0)),"")</f>
        <v/>
      </c>
      <c r="M2179" s="55" t="str">
        <f>IFERROR(IF($G2179="","",VLOOKUP('Dashboard And Emails Automate'!$G2179,Database!$H:$N,7,0)),"")</f>
        <v/>
      </c>
      <c r="N2179" s="55" t="str">
        <f>IFERROR(IF(OR($B2179="",$B2179="(blank)"),"",VLOOKUP($B2179,'Email Marketing Raw Data'!$C:$O,6,0)),"")</f>
        <v/>
      </c>
      <c r="O2179" s="55" t="str">
        <f>IFERROR(IF(OR($B2179="",$B2179="(blank)"),"",VLOOKUP($B2179,'Email Marketing Raw Data'!$C:$O,7,0)),"")</f>
        <v/>
      </c>
      <c r="P2179" s="55" t="str">
        <f>IFERROR(IF(OR($B2179="",$B2179="(blank)"),"",VLOOKUP($B2179,'Email Marketing Raw Data'!$C:$O,8,0)),"")</f>
        <v/>
      </c>
      <c r="Q2179" s="62" t="str">
        <f>IFERROR(IF(OR($B2179="",$B2179="(blank)"),"",VLOOKUP($B2179,'Email Marketing Raw Data'!$C:$O,9,0)),"")</f>
        <v/>
      </c>
    </row>
    <row r="2180" spans="4:17" ht="12.75" customHeight="1" x14ac:dyDescent="0.2">
      <c r="D2180" s="58" t="str">
        <f>IFERROR(IF(F2180&lt;&gt;"pending","",IF(OR($B2180="",$B2180="(blank)"),"",VLOOKUP($B2180,'Email Marketing Raw Data'!$C:$O,10,0))),"")</f>
        <v/>
      </c>
      <c r="E2180" s="59" t="str">
        <f>IFERROR(IF(F2180&lt;&gt;"pending","",IF(OR($B2180="",$B2180="(blank)"),"",VLOOKUP($B2180,'Email Marketing Raw Data'!$C:$O,11,0))),"")</f>
        <v/>
      </c>
      <c r="F2180" s="54" t="str">
        <f>IFERROR(IF(OR($B2180="",$B2180="(blank)"),"",VLOOKUP($B2180,'Email Marketing Raw Data'!$C:$O,13,0)),"")</f>
        <v/>
      </c>
      <c r="G2180" s="55" t="str">
        <f>IFERROR(IF(OR($B2180="",$B2180="(blank)"),"",VLOOKUP($B2180,'Email Marketing Raw Data'!$C:$O,4,0)),"")</f>
        <v/>
      </c>
      <c r="H2180" s="55" t="str">
        <f>IFERROR(IF(OR($B2180="",$B2180="(blank)"),"",VLOOKUP($B2180,'Email Marketing Raw Data'!$C:$O,5,0)),"")</f>
        <v/>
      </c>
      <c r="I2180" s="55" t="str">
        <f>IFERROR(IF($G2180="","",VLOOKUP('Dashboard And Emails Automate'!$G2180,Database!$H:$N,3,0)),"")</f>
        <v/>
      </c>
      <c r="J2180" s="55" t="str">
        <f>IFERROR(IF($G2180="","",VLOOKUP('Dashboard And Emails Automate'!$G2180,Database!$H:$N,4,0)),"")</f>
        <v/>
      </c>
      <c r="K2180" s="55" t="str">
        <f>IFERROR(IF($G2180="","",VLOOKUP('Dashboard And Emails Automate'!$G2180,Database!$H:$N,5,0)),"")</f>
        <v/>
      </c>
      <c r="L2180" s="55" t="str">
        <f>IFERROR(IF($G2180="","",VLOOKUP('Dashboard And Emails Automate'!$G2180,Database!$H:$N,6,0)),"")</f>
        <v/>
      </c>
      <c r="M2180" s="55" t="str">
        <f>IFERROR(IF($G2180="","",VLOOKUP('Dashboard And Emails Automate'!$G2180,Database!$H:$N,7,0)),"")</f>
        <v/>
      </c>
      <c r="N2180" s="55" t="str">
        <f>IFERROR(IF(OR($B2180="",$B2180="(blank)"),"",VLOOKUP($B2180,'Email Marketing Raw Data'!$C:$O,6,0)),"")</f>
        <v/>
      </c>
      <c r="O2180" s="55" t="str">
        <f>IFERROR(IF(OR($B2180="",$B2180="(blank)"),"",VLOOKUP($B2180,'Email Marketing Raw Data'!$C:$O,7,0)),"")</f>
        <v/>
      </c>
      <c r="P2180" s="55" t="str">
        <f>IFERROR(IF(OR($B2180="",$B2180="(blank)"),"",VLOOKUP($B2180,'Email Marketing Raw Data'!$C:$O,8,0)),"")</f>
        <v/>
      </c>
      <c r="Q2180" s="62" t="str">
        <f>IFERROR(IF(OR($B2180="",$B2180="(blank)"),"",VLOOKUP($B2180,'Email Marketing Raw Data'!$C:$O,9,0)),"")</f>
        <v/>
      </c>
    </row>
    <row r="2181" spans="4:17" ht="12.75" customHeight="1" x14ac:dyDescent="0.2">
      <c r="D2181" s="58" t="str">
        <f>IFERROR(IF(F2181&lt;&gt;"pending","",IF(OR($B2181="",$B2181="(blank)"),"",VLOOKUP($B2181,'Email Marketing Raw Data'!$C:$O,10,0))),"")</f>
        <v/>
      </c>
      <c r="E2181" s="59" t="str">
        <f>IFERROR(IF(F2181&lt;&gt;"pending","",IF(OR($B2181="",$B2181="(blank)"),"",VLOOKUP($B2181,'Email Marketing Raw Data'!$C:$O,11,0))),"")</f>
        <v/>
      </c>
      <c r="F2181" s="54" t="str">
        <f>IFERROR(IF(OR($B2181="",$B2181="(blank)"),"",VLOOKUP($B2181,'Email Marketing Raw Data'!$C:$O,13,0)),"")</f>
        <v/>
      </c>
      <c r="G2181" s="55" t="str">
        <f>IFERROR(IF(OR($B2181="",$B2181="(blank)"),"",VLOOKUP($B2181,'Email Marketing Raw Data'!$C:$O,4,0)),"")</f>
        <v/>
      </c>
      <c r="H2181" s="55" t="str">
        <f>IFERROR(IF(OR($B2181="",$B2181="(blank)"),"",VLOOKUP($B2181,'Email Marketing Raw Data'!$C:$O,5,0)),"")</f>
        <v/>
      </c>
      <c r="I2181" s="55" t="str">
        <f>IFERROR(IF($G2181="","",VLOOKUP('Dashboard And Emails Automate'!$G2181,Database!$H:$N,3,0)),"")</f>
        <v/>
      </c>
      <c r="J2181" s="55" t="str">
        <f>IFERROR(IF($G2181="","",VLOOKUP('Dashboard And Emails Automate'!$G2181,Database!$H:$N,4,0)),"")</f>
        <v/>
      </c>
      <c r="K2181" s="55" t="str">
        <f>IFERROR(IF($G2181="","",VLOOKUP('Dashboard And Emails Automate'!$G2181,Database!$H:$N,5,0)),"")</f>
        <v/>
      </c>
      <c r="L2181" s="55" t="str">
        <f>IFERROR(IF($G2181="","",VLOOKUP('Dashboard And Emails Automate'!$G2181,Database!$H:$N,6,0)),"")</f>
        <v/>
      </c>
      <c r="M2181" s="55" t="str">
        <f>IFERROR(IF($G2181="","",VLOOKUP('Dashboard And Emails Automate'!$G2181,Database!$H:$N,7,0)),"")</f>
        <v/>
      </c>
      <c r="N2181" s="55" t="str">
        <f>IFERROR(IF(OR($B2181="",$B2181="(blank)"),"",VLOOKUP($B2181,'Email Marketing Raw Data'!$C:$O,6,0)),"")</f>
        <v/>
      </c>
      <c r="O2181" s="55" t="str">
        <f>IFERROR(IF(OR($B2181="",$B2181="(blank)"),"",VLOOKUP($B2181,'Email Marketing Raw Data'!$C:$O,7,0)),"")</f>
        <v/>
      </c>
      <c r="P2181" s="55" t="str">
        <f>IFERROR(IF(OR($B2181="",$B2181="(blank)"),"",VLOOKUP($B2181,'Email Marketing Raw Data'!$C:$O,8,0)),"")</f>
        <v/>
      </c>
      <c r="Q2181" s="62" t="str">
        <f>IFERROR(IF(OR($B2181="",$B2181="(blank)"),"",VLOOKUP($B2181,'Email Marketing Raw Data'!$C:$O,9,0)),"")</f>
        <v/>
      </c>
    </row>
    <row r="2182" spans="4:17" ht="12.75" customHeight="1" x14ac:dyDescent="0.2">
      <c r="D2182" s="58" t="str">
        <f>IFERROR(IF(F2182&lt;&gt;"pending","",IF(OR($B2182="",$B2182="(blank)"),"",VLOOKUP($B2182,'Email Marketing Raw Data'!$C:$O,10,0))),"")</f>
        <v/>
      </c>
      <c r="E2182" s="59" t="str">
        <f>IFERROR(IF(F2182&lt;&gt;"pending","",IF(OR($B2182="",$B2182="(blank)"),"",VLOOKUP($B2182,'Email Marketing Raw Data'!$C:$O,11,0))),"")</f>
        <v/>
      </c>
      <c r="F2182" s="54" t="str">
        <f>IFERROR(IF(OR($B2182="",$B2182="(blank)"),"",VLOOKUP($B2182,'Email Marketing Raw Data'!$C:$O,13,0)),"")</f>
        <v/>
      </c>
      <c r="G2182" s="55" t="str">
        <f>IFERROR(IF(OR($B2182="",$B2182="(blank)"),"",VLOOKUP($B2182,'Email Marketing Raw Data'!$C:$O,4,0)),"")</f>
        <v/>
      </c>
      <c r="H2182" s="55" t="str">
        <f>IFERROR(IF(OR($B2182="",$B2182="(blank)"),"",VLOOKUP($B2182,'Email Marketing Raw Data'!$C:$O,5,0)),"")</f>
        <v/>
      </c>
      <c r="I2182" s="55" t="str">
        <f>IFERROR(IF($G2182="","",VLOOKUP('Dashboard And Emails Automate'!$G2182,Database!$H:$N,3,0)),"")</f>
        <v/>
      </c>
      <c r="J2182" s="55" t="str">
        <f>IFERROR(IF($G2182="","",VLOOKUP('Dashboard And Emails Automate'!$G2182,Database!$H:$N,4,0)),"")</f>
        <v/>
      </c>
      <c r="K2182" s="55" t="str">
        <f>IFERROR(IF($G2182="","",VLOOKUP('Dashboard And Emails Automate'!$G2182,Database!$H:$N,5,0)),"")</f>
        <v/>
      </c>
      <c r="L2182" s="55" t="str">
        <f>IFERROR(IF($G2182="","",VLOOKUP('Dashboard And Emails Automate'!$G2182,Database!$H:$N,6,0)),"")</f>
        <v/>
      </c>
      <c r="M2182" s="55" t="str">
        <f>IFERROR(IF($G2182="","",VLOOKUP('Dashboard And Emails Automate'!$G2182,Database!$H:$N,7,0)),"")</f>
        <v/>
      </c>
      <c r="N2182" s="55" t="str">
        <f>IFERROR(IF(OR($B2182="",$B2182="(blank)"),"",VLOOKUP($B2182,'Email Marketing Raw Data'!$C:$O,6,0)),"")</f>
        <v/>
      </c>
      <c r="O2182" s="55" t="str">
        <f>IFERROR(IF(OR($B2182="",$B2182="(blank)"),"",VLOOKUP($B2182,'Email Marketing Raw Data'!$C:$O,7,0)),"")</f>
        <v/>
      </c>
      <c r="P2182" s="55" t="str">
        <f>IFERROR(IF(OR($B2182="",$B2182="(blank)"),"",VLOOKUP($B2182,'Email Marketing Raw Data'!$C:$O,8,0)),"")</f>
        <v/>
      </c>
      <c r="Q2182" s="62" t="str">
        <f>IFERROR(IF(OR($B2182="",$B2182="(blank)"),"",VLOOKUP($B2182,'Email Marketing Raw Data'!$C:$O,9,0)),"")</f>
        <v/>
      </c>
    </row>
    <row r="2183" spans="4:17" ht="12.75" customHeight="1" x14ac:dyDescent="0.2">
      <c r="D2183" s="58" t="str">
        <f>IFERROR(IF(F2183&lt;&gt;"pending","",IF(OR($B2183="",$B2183="(blank)"),"",VLOOKUP($B2183,'Email Marketing Raw Data'!$C:$O,10,0))),"")</f>
        <v/>
      </c>
      <c r="E2183" s="59" t="str">
        <f>IFERROR(IF(F2183&lt;&gt;"pending","",IF(OR($B2183="",$B2183="(blank)"),"",VLOOKUP($B2183,'Email Marketing Raw Data'!$C:$O,11,0))),"")</f>
        <v/>
      </c>
      <c r="F2183" s="54" t="str">
        <f>IFERROR(IF(OR($B2183="",$B2183="(blank)"),"",VLOOKUP($B2183,'Email Marketing Raw Data'!$C:$O,13,0)),"")</f>
        <v/>
      </c>
      <c r="G2183" s="55" t="str">
        <f>IFERROR(IF(OR($B2183="",$B2183="(blank)"),"",VLOOKUP($B2183,'Email Marketing Raw Data'!$C:$O,4,0)),"")</f>
        <v/>
      </c>
      <c r="H2183" s="55" t="str">
        <f>IFERROR(IF(OR($B2183="",$B2183="(blank)"),"",VLOOKUP($B2183,'Email Marketing Raw Data'!$C:$O,5,0)),"")</f>
        <v/>
      </c>
      <c r="I2183" s="55" t="str">
        <f>IFERROR(IF($G2183="","",VLOOKUP('Dashboard And Emails Automate'!$G2183,Database!$H:$N,3,0)),"")</f>
        <v/>
      </c>
      <c r="J2183" s="55" t="str">
        <f>IFERROR(IF($G2183="","",VLOOKUP('Dashboard And Emails Automate'!$G2183,Database!$H:$N,4,0)),"")</f>
        <v/>
      </c>
      <c r="K2183" s="55" t="str">
        <f>IFERROR(IF($G2183="","",VLOOKUP('Dashboard And Emails Automate'!$G2183,Database!$H:$N,5,0)),"")</f>
        <v/>
      </c>
      <c r="L2183" s="55" t="str">
        <f>IFERROR(IF($G2183="","",VLOOKUP('Dashboard And Emails Automate'!$G2183,Database!$H:$N,6,0)),"")</f>
        <v/>
      </c>
      <c r="M2183" s="55" t="str">
        <f>IFERROR(IF($G2183="","",VLOOKUP('Dashboard And Emails Automate'!$G2183,Database!$H:$N,7,0)),"")</f>
        <v/>
      </c>
      <c r="N2183" s="55" t="str">
        <f>IFERROR(IF(OR($B2183="",$B2183="(blank)"),"",VLOOKUP($B2183,'Email Marketing Raw Data'!$C:$O,6,0)),"")</f>
        <v/>
      </c>
      <c r="O2183" s="55" t="str">
        <f>IFERROR(IF(OR($B2183="",$B2183="(blank)"),"",VLOOKUP($B2183,'Email Marketing Raw Data'!$C:$O,7,0)),"")</f>
        <v/>
      </c>
      <c r="P2183" s="55" t="str">
        <f>IFERROR(IF(OR($B2183="",$B2183="(blank)"),"",VLOOKUP($B2183,'Email Marketing Raw Data'!$C:$O,8,0)),"")</f>
        <v/>
      </c>
      <c r="Q2183" s="62" t="str">
        <f>IFERROR(IF(OR($B2183="",$B2183="(blank)"),"",VLOOKUP($B2183,'Email Marketing Raw Data'!$C:$O,9,0)),"")</f>
        <v/>
      </c>
    </row>
    <row r="2184" spans="4:17" ht="12.75" customHeight="1" x14ac:dyDescent="0.2">
      <c r="D2184" s="58" t="str">
        <f>IFERROR(IF(F2184&lt;&gt;"pending","",IF(OR($B2184="",$B2184="(blank)"),"",VLOOKUP($B2184,'Email Marketing Raw Data'!$C:$O,10,0))),"")</f>
        <v/>
      </c>
      <c r="E2184" s="59" t="str">
        <f>IFERROR(IF(F2184&lt;&gt;"pending","",IF(OR($B2184="",$B2184="(blank)"),"",VLOOKUP($B2184,'Email Marketing Raw Data'!$C:$O,11,0))),"")</f>
        <v/>
      </c>
      <c r="F2184" s="54" t="str">
        <f>IFERROR(IF(OR($B2184="",$B2184="(blank)"),"",VLOOKUP($B2184,'Email Marketing Raw Data'!$C:$O,13,0)),"")</f>
        <v/>
      </c>
      <c r="G2184" s="55" t="str">
        <f>IFERROR(IF(OR($B2184="",$B2184="(blank)"),"",VLOOKUP($B2184,'Email Marketing Raw Data'!$C:$O,4,0)),"")</f>
        <v/>
      </c>
      <c r="H2184" s="55" t="str">
        <f>IFERROR(IF(OR($B2184="",$B2184="(blank)"),"",VLOOKUP($B2184,'Email Marketing Raw Data'!$C:$O,5,0)),"")</f>
        <v/>
      </c>
      <c r="I2184" s="55" t="str">
        <f>IFERROR(IF($G2184="","",VLOOKUP('Dashboard And Emails Automate'!$G2184,Database!$H:$N,3,0)),"")</f>
        <v/>
      </c>
      <c r="J2184" s="55" t="str">
        <f>IFERROR(IF($G2184="","",VLOOKUP('Dashboard And Emails Automate'!$G2184,Database!$H:$N,4,0)),"")</f>
        <v/>
      </c>
      <c r="K2184" s="55" t="str">
        <f>IFERROR(IF($G2184="","",VLOOKUP('Dashboard And Emails Automate'!$G2184,Database!$H:$N,5,0)),"")</f>
        <v/>
      </c>
      <c r="L2184" s="55" t="str">
        <f>IFERROR(IF($G2184="","",VLOOKUP('Dashboard And Emails Automate'!$G2184,Database!$H:$N,6,0)),"")</f>
        <v/>
      </c>
      <c r="M2184" s="55" t="str">
        <f>IFERROR(IF($G2184="","",VLOOKUP('Dashboard And Emails Automate'!$G2184,Database!$H:$N,7,0)),"")</f>
        <v/>
      </c>
      <c r="N2184" s="55" t="str">
        <f>IFERROR(IF(OR($B2184="",$B2184="(blank)"),"",VLOOKUP($B2184,'Email Marketing Raw Data'!$C:$O,6,0)),"")</f>
        <v/>
      </c>
      <c r="O2184" s="55" t="str">
        <f>IFERROR(IF(OR($B2184="",$B2184="(blank)"),"",VLOOKUP($B2184,'Email Marketing Raw Data'!$C:$O,7,0)),"")</f>
        <v/>
      </c>
      <c r="P2184" s="55" t="str">
        <f>IFERROR(IF(OR($B2184="",$B2184="(blank)"),"",VLOOKUP($B2184,'Email Marketing Raw Data'!$C:$O,8,0)),"")</f>
        <v/>
      </c>
      <c r="Q2184" s="62" t="str">
        <f>IFERROR(IF(OR($B2184="",$B2184="(blank)"),"",VLOOKUP($B2184,'Email Marketing Raw Data'!$C:$O,9,0)),"")</f>
        <v/>
      </c>
    </row>
    <row r="2185" spans="4:17" ht="12.75" customHeight="1" x14ac:dyDescent="0.2">
      <c r="D2185" s="58" t="str">
        <f>IFERROR(IF(F2185&lt;&gt;"pending","",IF(OR($B2185="",$B2185="(blank)"),"",VLOOKUP($B2185,'Email Marketing Raw Data'!$C:$O,10,0))),"")</f>
        <v/>
      </c>
      <c r="E2185" s="59" t="str">
        <f>IFERROR(IF(F2185&lt;&gt;"pending","",IF(OR($B2185="",$B2185="(blank)"),"",VLOOKUP($B2185,'Email Marketing Raw Data'!$C:$O,11,0))),"")</f>
        <v/>
      </c>
      <c r="F2185" s="54" t="str">
        <f>IFERROR(IF(OR($B2185="",$B2185="(blank)"),"",VLOOKUP($B2185,'Email Marketing Raw Data'!$C:$O,13,0)),"")</f>
        <v/>
      </c>
      <c r="G2185" s="55" t="str">
        <f>IFERROR(IF(OR($B2185="",$B2185="(blank)"),"",VLOOKUP($B2185,'Email Marketing Raw Data'!$C:$O,4,0)),"")</f>
        <v/>
      </c>
      <c r="H2185" s="55" t="str">
        <f>IFERROR(IF(OR($B2185="",$B2185="(blank)"),"",VLOOKUP($B2185,'Email Marketing Raw Data'!$C:$O,5,0)),"")</f>
        <v/>
      </c>
      <c r="I2185" s="55" t="str">
        <f>IFERROR(IF($G2185="","",VLOOKUP('Dashboard And Emails Automate'!$G2185,Database!$H:$N,3,0)),"")</f>
        <v/>
      </c>
      <c r="J2185" s="55" t="str">
        <f>IFERROR(IF($G2185="","",VLOOKUP('Dashboard And Emails Automate'!$G2185,Database!$H:$N,4,0)),"")</f>
        <v/>
      </c>
      <c r="K2185" s="55" t="str">
        <f>IFERROR(IF($G2185="","",VLOOKUP('Dashboard And Emails Automate'!$G2185,Database!$H:$N,5,0)),"")</f>
        <v/>
      </c>
      <c r="L2185" s="55" t="str">
        <f>IFERROR(IF($G2185="","",VLOOKUP('Dashboard And Emails Automate'!$G2185,Database!$H:$N,6,0)),"")</f>
        <v/>
      </c>
      <c r="M2185" s="55" t="str">
        <f>IFERROR(IF($G2185="","",VLOOKUP('Dashboard And Emails Automate'!$G2185,Database!$H:$N,7,0)),"")</f>
        <v/>
      </c>
      <c r="N2185" s="55" t="str">
        <f>IFERROR(IF(OR($B2185="",$B2185="(blank)"),"",VLOOKUP($B2185,'Email Marketing Raw Data'!$C:$O,6,0)),"")</f>
        <v/>
      </c>
      <c r="O2185" s="55" t="str">
        <f>IFERROR(IF(OR($B2185="",$B2185="(blank)"),"",VLOOKUP($B2185,'Email Marketing Raw Data'!$C:$O,7,0)),"")</f>
        <v/>
      </c>
      <c r="P2185" s="55" t="str">
        <f>IFERROR(IF(OR($B2185="",$B2185="(blank)"),"",VLOOKUP($B2185,'Email Marketing Raw Data'!$C:$O,8,0)),"")</f>
        <v/>
      </c>
      <c r="Q2185" s="62" t="str">
        <f>IFERROR(IF(OR($B2185="",$B2185="(blank)"),"",VLOOKUP($B2185,'Email Marketing Raw Data'!$C:$O,9,0)),"")</f>
        <v/>
      </c>
    </row>
    <row r="2186" spans="4:17" ht="12.75" customHeight="1" x14ac:dyDescent="0.2">
      <c r="D2186" s="58" t="str">
        <f>IFERROR(IF(F2186&lt;&gt;"pending","",IF(OR($B2186="",$B2186="(blank)"),"",VLOOKUP($B2186,'Email Marketing Raw Data'!$C:$O,10,0))),"")</f>
        <v/>
      </c>
      <c r="E2186" s="59" t="str">
        <f>IFERROR(IF(F2186&lt;&gt;"pending","",IF(OR($B2186="",$B2186="(blank)"),"",VLOOKUP($B2186,'Email Marketing Raw Data'!$C:$O,11,0))),"")</f>
        <v/>
      </c>
      <c r="F2186" s="54" t="str">
        <f>IFERROR(IF(OR($B2186="",$B2186="(blank)"),"",VLOOKUP($B2186,'Email Marketing Raw Data'!$C:$O,13,0)),"")</f>
        <v/>
      </c>
      <c r="G2186" s="55" t="str">
        <f>IFERROR(IF(OR($B2186="",$B2186="(blank)"),"",VLOOKUP($B2186,'Email Marketing Raw Data'!$C:$O,4,0)),"")</f>
        <v/>
      </c>
      <c r="H2186" s="55" t="str">
        <f>IFERROR(IF(OR($B2186="",$B2186="(blank)"),"",VLOOKUP($B2186,'Email Marketing Raw Data'!$C:$O,5,0)),"")</f>
        <v/>
      </c>
      <c r="I2186" s="55" t="str">
        <f>IFERROR(IF($G2186="","",VLOOKUP('Dashboard And Emails Automate'!$G2186,Database!$H:$N,3,0)),"")</f>
        <v/>
      </c>
      <c r="J2186" s="55" t="str">
        <f>IFERROR(IF($G2186="","",VLOOKUP('Dashboard And Emails Automate'!$G2186,Database!$H:$N,4,0)),"")</f>
        <v/>
      </c>
      <c r="K2186" s="55" t="str">
        <f>IFERROR(IF($G2186="","",VLOOKUP('Dashboard And Emails Automate'!$G2186,Database!$H:$N,5,0)),"")</f>
        <v/>
      </c>
      <c r="L2186" s="55" t="str">
        <f>IFERROR(IF($G2186="","",VLOOKUP('Dashboard And Emails Automate'!$G2186,Database!$H:$N,6,0)),"")</f>
        <v/>
      </c>
      <c r="M2186" s="55" t="str">
        <f>IFERROR(IF($G2186="","",VLOOKUP('Dashboard And Emails Automate'!$G2186,Database!$H:$N,7,0)),"")</f>
        <v/>
      </c>
      <c r="N2186" s="55" t="str">
        <f>IFERROR(IF(OR($B2186="",$B2186="(blank)"),"",VLOOKUP($B2186,'Email Marketing Raw Data'!$C:$O,6,0)),"")</f>
        <v/>
      </c>
      <c r="O2186" s="55" t="str">
        <f>IFERROR(IF(OR($B2186="",$B2186="(blank)"),"",VLOOKUP($B2186,'Email Marketing Raw Data'!$C:$O,7,0)),"")</f>
        <v/>
      </c>
      <c r="P2186" s="55" t="str">
        <f>IFERROR(IF(OR($B2186="",$B2186="(blank)"),"",VLOOKUP($B2186,'Email Marketing Raw Data'!$C:$O,8,0)),"")</f>
        <v/>
      </c>
      <c r="Q2186" s="62" t="str">
        <f>IFERROR(IF(OR($B2186="",$B2186="(blank)"),"",VLOOKUP($B2186,'Email Marketing Raw Data'!$C:$O,9,0)),"")</f>
        <v/>
      </c>
    </row>
    <row r="2187" spans="4:17" ht="12.75" customHeight="1" x14ac:dyDescent="0.2">
      <c r="D2187" s="58" t="str">
        <f>IFERROR(IF(F2187&lt;&gt;"pending","",IF(OR($B2187="",$B2187="(blank)"),"",VLOOKUP($B2187,'Email Marketing Raw Data'!$C:$O,10,0))),"")</f>
        <v/>
      </c>
      <c r="E2187" s="59" t="str">
        <f>IFERROR(IF(F2187&lt;&gt;"pending","",IF(OR($B2187="",$B2187="(blank)"),"",VLOOKUP($B2187,'Email Marketing Raw Data'!$C:$O,11,0))),"")</f>
        <v/>
      </c>
      <c r="F2187" s="54" t="str">
        <f>IFERROR(IF(OR($B2187="",$B2187="(blank)"),"",VLOOKUP($B2187,'Email Marketing Raw Data'!$C:$O,13,0)),"")</f>
        <v/>
      </c>
      <c r="G2187" s="55" t="str">
        <f>IFERROR(IF(OR($B2187="",$B2187="(blank)"),"",VLOOKUP($B2187,'Email Marketing Raw Data'!$C:$O,4,0)),"")</f>
        <v/>
      </c>
      <c r="H2187" s="55" t="str">
        <f>IFERROR(IF(OR($B2187="",$B2187="(blank)"),"",VLOOKUP($B2187,'Email Marketing Raw Data'!$C:$O,5,0)),"")</f>
        <v/>
      </c>
      <c r="I2187" s="55" t="str">
        <f>IFERROR(IF($G2187="","",VLOOKUP('Dashboard And Emails Automate'!$G2187,Database!$H:$N,3,0)),"")</f>
        <v/>
      </c>
      <c r="J2187" s="55" t="str">
        <f>IFERROR(IF($G2187="","",VLOOKUP('Dashboard And Emails Automate'!$G2187,Database!$H:$N,4,0)),"")</f>
        <v/>
      </c>
      <c r="K2187" s="55" t="str">
        <f>IFERROR(IF($G2187="","",VLOOKUP('Dashboard And Emails Automate'!$G2187,Database!$H:$N,5,0)),"")</f>
        <v/>
      </c>
      <c r="L2187" s="55" t="str">
        <f>IFERROR(IF($G2187="","",VLOOKUP('Dashboard And Emails Automate'!$G2187,Database!$H:$N,6,0)),"")</f>
        <v/>
      </c>
      <c r="M2187" s="55" t="str">
        <f>IFERROR(IF($G2187="","",VLOOKUP('Dashboard And Emails Automate'!$G2187,Database!$H:$N,7,0)),"")</f>
        <v/>
      </c>
      <c r="N2187" s="55" t="str">
        <f>IFERROR(IF(OR($B2187="",$B2187="(blank)"),"",VLOOKUP($B2187,'Email Marketing Raw Data'!$C:$O,6,0)),"")</f>
        <v/>
      </c>
      <c r="O2187" s="55" t="str">
        <f>IFERROR(IF(OR($B2187="",$B2187="(blank)"),"",VLOOKUP($B2187,'Email Marketing Raw Data'!$C:$O,7,0)),"")</f>
        <v/>
      </c>
      <c r="P2187" s="55" t="str">
        <f>IFERROR(IF(OR($B2187="",$B2187="(blank)"),"",VLOOKUP($B2187,'Email Marketing Raw Data'!$C:$O,8,0)),"")</f>
        <v/>
      </c>
      <c r="Q2187" s="62" t="str">
        <f>IFERROR(IF(OR($B2187="",$B2187="(blank)"),"",VLOOKUP($B2187,'Email Marketing Raw Data'!$C:$O,9,0)),"")</f>
        <v/>
      </c>
    </row>
    <row r="2188" spans="4:17" ht="12.75" customHeight="1" x14ac:dyDescent="0.2">
      <c r="D2188" s="58" t="str">
        <f>IFERROR(IF(F2188&lt;&gt;"pending","",IF(OR($B2188="",$B2188="(blank)"),"",VLOOKUP($B2188,'Email Marketing Raw Data'!$C:$O,10,0))),"")</f>
        <v/>
      </c>
      <c r="E2188" s="59" t="str">
        <f>IFERROR(IF(F2188&lt;&gt;"pending","",IF(OR($B2188="",$B2188="(blank)"),"",VLOOKUP($B2188,'Email Marketing Raw Data'!$C:$O,11,0))),"")</f>
        <v/>
      </c>
      <c r="F2188" s="54" t="str">
        <f>IFERROR(IF(OR($B2188="",$B2188="(blank)"),"",VLOOKUP($B2188,'Email Marketing Raw Data'!$C:$O,13,0)),"")</f>
        <v/>
      </c>
      <c r="G2188" s="55" t="str">
        <f>IFERROR(IF(OR($B2188="",$B2188="(blank)"),"",VLOOKUP($B2188,'Email Marketing Raw Data'!$C:$O,4,0)),"")</f>
        <v/>
      </c>
      <c r="H2188" s="55" t="str">
        <f>IFERROR(IF(OR($B2188="",$B2188="(blank)"),"",VLOOKUP($B2188,'Email Marketing Raw Data'!$C:$O,5,0)),"")</f>
        <v/>
      </c>
      <c r="I2188" s="55" t="str">
        <f>IFERROR(IF($G2188="","",VLOOKUP('Dashboard And Emails Automate'!$G2188,Database!$H:$N,3,0)),"")</f>
        <v/>
      </c>
      <c r="J2188" s="55" t="str">
        <f>IFERROR(IF($G2188="","",VLOOKUP('Dashboard And Emails Automate'!$G2188,Database!$H:$N,4,0)),"")</f>
        <v/>
      </c>
      <c r="K2188" s="55" t="str">
        <f>IFERROR(IF($G2188="","",VLOOKUP('Dashboard And Emails Automate'!$G2188,Database!$H:$N,5,0)),"")</f>
        <v/>
      </c>
      <c r="L2188" s="55" t="str">
        <f>IFERROR(IF($G2188="","",VLOOKUP('Dashboard And Emails Automate'!$G2188,Database!$H:$N,6,0)),"")</f>
        <v/>
      </c>
      <c r="M2188" s="55" t="str">
        <f>IFERROR(IF($G2188="","",VLOOKUP('Dashboard And Emails Automate'!$G2188,Database!$H:$N,7,0)),"")</f>
        <v/>
      </c>
      <c r="N2188" s="55" t="str">
        <f>IFERROR(IF(OR($B2188="",$B2188="(blank)"),"",VLOOKUP($B2188,'Email Marketing Raw Data'!$C:$O,6,0)),"")</f>
        <v/>
      </c>
      <c r="O2188" s="55" t="str">
        <f>IFERROR(IF(OR($B2188="",$B2188="(blank)"),"",VLOOKUP($B2188,'Email Marketing Raw Data'!$C:$O,7,0)),"")</f>
        <v/>
      </c>
      <c r="P2188" s="55" t="str">
        <f>IFERROR(IF(OR($B2188="",$B2188="(blank)"),"",VLOOKUP($B2188,'Email Marketing Raw Data'!$C:$O,8,0)),"")</f>
        <v/>
      </c>
      <c r="Q2188" s="62" t="str">
        <f>IFERROR(IF(OR($B2188="",$B2188="(blank)"),"",VLOOKUP($B2188,'Email Marketing Raw Data'!$C:$O,9,0)),"")</f>
        <v/>
      </c>
    </row>
    <row r="2189" spans="4:17" ht="12.75" customHeight="1" x14ac:dyDescent="0.2">
      <c r="D2189" s="58" t="str">
        <f>IFERROR(IF(F2189&lt;&gt;"pending","",IF(OR($B2189="",$B2189="(blank)"),"",VLOOKUP($B2189,'Email Marketing Raw Data'!$C:$O,10,0))),"")</f>
        <v/>
      </c>
      <c r="E2189" s="59" t="str">
        <f>IFERROR(IF(F2189&lt;&gt;"pending","",IF(OR($B2189="",$B2189="(blank)"),"",VLOOKUP($B2189,'Email Marketing Raw Data'!$C:$O,11,0))),"")</f>
        <v/>
      </c>
      <c r="F2189" s="54" t="str">
        <f>IFERROR(IF(OR($B2189="",$B2189="(blank)"),"",VLOOKUP($B2189,'Email Marketing Raw Data'!$C:$O,13,0)),"")</f>
        <v/>
      </c>
      <c r="G2189" s="55" t="str">
        <f>IFERROR(IF(OR($B2189="",$B2189="(blank)"),"",VLOOKUP($B2189,'Email Marketing Raw Data'!$C:$O,4,0)),"")</f>
        <v/>
      </c>
      <c r="H2189" s="55" t="str">
        <f>IFERROR(IF(OR($B2189="",$B2189="(blank)"),"",VLOOKUP($B2189,'Email Marketing Raw Data'!$C:$O,5,0)),"")</f>
        <v/>
      </c>
      <c r="I2189" s="55" t="str">
        <f>IFERROR(IF($G2189="","",VLOOKUP('Dashboard And Emails Automate'!$G2189,Database!$H:$N,3,0)),"")</f>
        <v/>
      </c>
      <c r="J2189" s="55" t="str">
        <f>IFERROR(IF($G2189="","",VLOOKUP('Dashboard And Emails Automate'!$G2189,Database!$H:$N,4,0)),"")</f>
        <v/>
      </c>
      <c r="K2189" s="55" t="str">
        <f>IFERROR(IF($G2189="","",VLOOKUP('Dashboard And Emails Automate'!$G2189,Database!$H:$N,5,0)),"")</f>
        <v/>
      </c>
      <c r="L2189" s="55" t="str">
        <f>IFERROR(IF($G2189="","",VLOOKUP('Dashboard And Emails Automate'!$G2189,Database!$H:$N,6,0)),"")</f>
        <v/>
      </c>
      <c r="M2189" s="55" t="str">
        <f>IFERROR(IF($G2189="","",VLOOKUP('Dashboard And Emails Automate'!$G2189,Database!$H:$N,7,0)),"")</f>
        <v/>
      </c>
      <c r="N2189" s="55" t="str">
        <f>IFERROR(IF(OR($B2189="",$B2189="(blank)"),"",VLOOKUP($B2189,'Email Marketing Raw Data'!$C:$O,6,0)),"")</f>
        <v/>
      </c>
      <c r="O2189" s="55" t="str">
        <f>IFERROR(IF(OR($B2189="",$B2189="(blank)"),"",VLOOKUP($B2189,'Email Marketing Raw Data'!$C:$O,7,0)),"")</f>
        <v/>
      </c>
      <c r="P2189" s="55" t="str">
        <f>IFERROR(IF(OR($B2189="",$B2189="(blank)"),"",VLOOKUP($B2189,'Email Marketing Raw Data'!$C:$O,8,0)),"")</f>
        <v/>
      </c>
      <c r="Q2189" s="62" t="str">
        <f>IFERROR(IF(OR($B2189="",$B2189="(blank)"),"",VLOOKUP($B2189,'Email Marketing Raw Data'!$C:$O,9,0)),"")</f>
        <v/>
      </c>
    </row>
    <row r="2190" spans="4:17" ht="12.75" customHeight="1" x14ac:dyDescent="0.2">
      <c r="D2190" s="58" t="str">
        <f>IFERROR(IF(F2190&lt;&gt;"pending","",IF(OR($B2190="",$B2190="(blank)"),"",VLOOKUP($B2190,'Email Marketing Raw Data'!$C:$O,10,0))),"")</f>
        <v/>
      </c>
      <c r="E2190" s="59" t="str">
        <f>IFERROR(IF(F2190&lt;&gt;"pending","",IF(OR($B2190="",$B2190="(blank)"),"",VLOOKUP($B2190,'Email Marketing Raw Data'!$C:$O,11,0))),"")</f>
        <v/>
      </c>
      <c r="F2190" s="54" t="str">
        <f>IFERROR(IF(OR($B2190="",$B2190="(blank)"),"",VLOOKUP($B2190,'Email Marketing Raw Data'!$C:$O,13,0)),"")</f>
        <v/>
      </c>
      <c r="G2190" s="55" t="str">
        <f>IFERROR(IF(OR($B2190="",$B2190="(blank)"),"",VLOOKUP($B2190,'Email Marketing Raw Data'!$C:$O,4,0)),"")</f>
        <v/>
      </c>
      <c r="H2190" s="55" t="str">
        <f>IFERROR(IF(OR($B2190="",$B2190="(blank)"),"",VLOOKUP($B2190,'Email Marketing Raw Data'!$C:$O,5,0)),"")</f>
        <v/>
      </c>
      <c r="I2190" s="55" t="str">
        <f>IFERROR(IF($G2190="","",VLOOKUP('Dashboard And Emails Automate'!$G2190,Database!$H:$N,3,0)),"")</f>
        <v/>
      </c>
      <c r="J2190" s="55" t="str">
        <f>IFERROR(IF($G2190="","",VLOOKUP('Dashboard And Emails Automate'!$G2190,Database!$H:$N,4,0)),"")</f>
        <v/>
      </c>
      <c r="K2190" s="55" t="str">
        <f>IFERROR(IF($G2190="","",VLOOKUP('Dashboard And Emails Automate'!$G2190,Database!$H:$N,5,0)),"")</f>
        <v/>
      </c>
      <c r="L2190" s="55" t="str">
        <f>IFERROR(IF($G2190="","",VLOOKUP('Dashboard And Emails Automate'!$G2190,Database!$H:$N,6,0)),"")</f>
        <v/>
      </c>
      <c r="M2190" s="55" t="str">
        <f>IFERROR(IF($G2190="","",VLOOKUP('Dashboard And Emails Automate'!$G2190,Database!$H:$N,7,0)),"")</f>
        <v/>
      </c>
      <c r="N2190" s="55" t="str">
        <f>IFERROR(IF(OR($B2190="",$B2190="(blank)"),"",VLOOKUP($B2190,'Email Marketing Raw Data'!$C:$O,6,0)),"")</f>
        <v/>
      </c>
      <c r="O2190" s="55" t="str">
        <f>IFERROR(IF(OR($B2190="",$B2190="(blank)"),"",VLOOKUP($B2190,'Email Marketing Raw Data'!$C:$O,7,0)),"")</f>
        <v/>
      </c>
      <c r="P2190" s="55" t="str">
        <f>IFERROR(IF(OR($B2190="",$B2190="(blank)"),"",VLOOKUP($B2190,'Email Marketing Raw Data'!$C:$O,8,0)),"")</f>
        <v/>
      </c>
      <c r="Q2190" s="62" t="str">
        <f>IFERROR(IF(OR($B2190="",$B2190="(blank)"),"",VLOOKUP($B2190,'Email Marketing Raw Data'!$C:$O,9,0)),"")</f>
        <v/>
      </c>
    </row>
    <row r="2191" spans="4:17" ht="12.75" customHeight="1" x14ac:dyDescent="0.2">
      <c r="D2191" s="58" t="str">
        <f>IFERROR(IF(F2191&lt;&gt;"pending","",IF(OR($B2191="",$B2191="(blank)"),"",VLOOKUP($B2191,'Email Marketing Raw Data'!$C:$O,10,0))),"")</f>
        <v/>
      </c>
      <c r="E2191" s="59" t="str">
        <f>IFERROR(IF(F2191&lt;&gt;"pending","",IF(OR($B2191="",$B2191="(blank)"),"",VLOOKUP($B2191,'Email Marketing Raw Data'!$C:$O,11,0))),"")</f>
        <v/>
      </c>
      <c r="F2191" s="54" t="str">
        <f>IFERROR(IF(OR($B2191="",$B2191="(blank)"),"",VLOOKUP($B2191,'Email Marketing Raw Data'!$C:$O,13,0)),"")</f>
        <v/>
      </c>
      <c r="G2191" s="55" t="str">
        <f>IFERROR(IF(OR($B2191="",$B2191="(blank)"),"",VLOOKUP($B2191,'Email Marketing Raw Data'!$C:$O,4,0)),"")</f>
        <v/>
      </c>
      <c r="H2191" s="55" t="str">
        <f>IFERROR(IF(OR($B2191="",$B2191="(blank)"),"",VLOOKUP($B2191,'Email Marketing Raw Data'!$C:$O,5,0)),"")</f>
        <v/>
      </c>
      <c r="I2191" s="55" t="str">
        <f>IFERROR(IF($G2191="","",VLOOKUP('Dashboard And Emails Automate'!$G2191,Database!$H:$N,3,0)),"")</f>
        <v/>
      </c>
      <c r="J2191" s="55" t="str">
        <f>IFERROR(IF($G2191="","",VLOOKUP('Dashboard And Emails Automate'!$G2191,Database!$H:$N,4,0)),"")</f>
        <v/>
      </c>
      <c r="K2191" s="55" t="str">
        <f>IFERROR(IF($G2191="","",VLOOKUP('Dashboard And Emails Automate'!$G2191,Database!$H:$N,5,0)),"")</f>
        <v/>
      </c>
      <c r="L2191" s="55" t="str">
        <f>IFERROR(IF($G2191="","",VLOOKUP('Dashboard And Emails Automate'!$G2191,Database!$H:$N,6,0)),"")</f>
        <v/>
      </c>
      <c r="M2191" s="55" t="str">
        <f>IFERROR(IF($G2191="","",VLOOKUP('Dashboard And Emails Automate'!$G2191,Database!$H:$N,7,0)),"")</f>
        <v/>
      </c>
      <c r="N2191" s="55" t="str">
        <f>IFERROR(IF(OR($B2191="",$B2191="(blank)"),"",VLOOKUP($B2191,'Email Marketing Raw Data'!$C:$O,6,0)),"")</f>
        <v/>
      </c>
      <c r="O2191" s="55" t="str">
        <f>IFERROR(IF(OR($B2191="",$B2191="(blank)"),"",VLOOKUP($B2191,'Email Marketing Raw Data'!$C:$O,7,0)),"")</f>
        <v/>
      </c>
      <c r="P2191" s="55" t="str">
        <f>IFERROR(IF(OR($B2191="",$B2191="(blank)"),"",VLOOKUP($B2191,'Email Marketing Raw Data'!$C:$O,8,0)),"")</f>
        <v/>
      </c>
      <c r="Q2191" s="62" t="str">
        <f>IFERROR(IF(OR($B2191="",$B2191="(blank)"),"",VLOOKUP($B2191,'Email Marketing Raw Data'!$C:$O,9,0)),"")</f>
        <v/>
      </c>
    </row>
    <row r="2192" spans="4:17" ht="12.75" customHeight="1" x14ac:dyDescent="0.2">
      <c r="D2192" s="58" t="str">
        <f>IFERROR(IF(F2192&lt;&gt;"pending","",IF(OR($B2192="",$B2192="(blank)"),"",VLOOKUP($B2192,'Email Marketing Raw Data'!$C:$O,10,0))),"")</f>
        <v/>
      </c>
      <c r="E2192" s="59" t="str">
        <f>IFERROR(IF(F2192&lt;&gt;"pending","",IF(OR($B2192="",$B2192="(blank)"),"",VLOOKUP($B2192,'Email Marketing Raw Data'!$C:$O,11,0))),"")</f>
        <v/>
      </c>
      <c r="F2192" s="54" t="str">
        <f>IFERROR(IF(OR($B2192="",$B2192="(blank)"),"",VLOOKUP($B2192,'Email Marketing Raw Data'!$C:$O,13,0)),"")</f>
        <v/>
      </c>
      <c r="G2192" s="55" t="str">
        <f>IFERROR(IF(OR($B2192="",$B2192="(blank)"),"",VLOOKUP($B2192,'Email Marketing Raw Data'!$C:$O,4,0)),"")</f>
        <v/>
      </c>
      <c r="H2192" s="55" t="str">
        <f>IFERROR(IF(OR($B2192="",$B2192="(blank)"),"",VLOOKUP($B2192,'Email Marketing Raw Data'!$C:$O,5,0)),"")</f>
        <v/>
      </c>
      <c r="I2192" s="55" t="str">
        <f>IFERROR(IF($G2192="","",VLOOKUP('Dashboard And Emails Automate'!$G2192,Database!$H:$N,3,0)),"")</f>
        <v/>
      </c>
      <c r="J2192" s="55" t="str">
        <f>IFERROR(IF($G2192="","",VLOOKUP('Dashboard And Emails Automate'!$G2192,Database!$H:$N,4,0)),"")</f>
        <v/>
      </c>
      <c r="K2192" s="55" t="str">
        <f>IFERROR(IF($G2192="","",VLOOKUP('Dashboard And Emails Automate'!$G2192,Database!$H:$N,5,0)),"")</f>
        <v/>
      </c>
      <c r="L2192" s="55" t="str">
        <f>IFERROR(IF($G2192="","",VLOOKUP('Dashboard And Emails Automate'!$G2192,Database!$H:$N,6,0)),"")</f>
        <v/>
      </c>
      <c r="M2192" s="55" t="str">
        <f>IFERROR(IF($G2192="","",VLOOKUP('Dashboard And Emails Automate'!$G2192,Database!$H:$N,7,0)),"")</f>
        <v/>
      </c>
      <c r="N2192" s="55" t="str">
        <f>IFERROR(IF(OR($B2192="",$B2192="(blank)"),"",VLOOKUP($B2192,'Email Marketing Raw Data'!$C:$O,6,0)),"")</f>
        <v/>
      </c>
      <c r="O2192" s="55" t="str">
        <f>IFERROR(IF(OR($B2192="",$B2192="(blank)"),"",VLOOKUP($B2192,'Email Marketing Raw Data'!$C:$O,7,0)),"")</f>
        <v/>
      </c>
      <c r="P2192" s="55" t="str">
        <f>IFERROR(IF(OR($B2192="",$B2192="(blank)"),"",VLOOKUP($B2192,'Email Marketing Raw Data'!$C:$O,8,0)),"")</f>
        <v/>
      </c>
      <c r="Q2192" s="62" t="str">
        <f>IFERROR(IF(OR($B2192="",$B2192="(blank)"),"",VLOOKUP($B2192,'Email Marketing Raw Data'!$C:$O,9,0)),"")</f>
        <v/>
      </c>
    </row>
    <row r="2193" spans="4:17" ht="12.75" customHeight="1" x14ac:dyDescent="0.2">
      <c r="D2193" s="58" t="str">
        <f>IFERROR(IF(F2193&lt;&gt;"pending","",IF(OR($B2193="",$B2193="(blank)"),"",VLOOKUP($B2193,'Email Marketing Raw Data'!$C:$O,10,0))),"")</f>
        <v/>
      </c>
      <c r="E2193" s="59" t="str">
        <f>IFERROR(IF(F2193&lt;&gt;"pending","",IF(OR($B2193="",$B2193="(blank)"),"",VLOOKUP($B2193,'Email Marketing Raw Data'!$C:$O,11,0))),"")</f>
        <v/>
      </c>
      <c r="F2193" s="54" t="str">
        <f>IFERROR(IF(OR($B2193="",$B2193="(blank)"),"",VLOOKUP($B2193,'Email Marketing Raw Data'!$C:$O,13,0)),"")</f>
        <v/>
      </c>
      <c r="G2193" s="55" t="str">
        <f>IFERROR(IF(OR($B2193="",$B2193="(blank)"),"",VLOOKUP($B2193,'Email Marketing Raw Data'!$C:$O,4,0)),"")</f>
        <v/>
      </c>
      <c r="H2193" s="55" t="str">
        <f>IFERROR(IF(OR($B2193="",$B2193="(blank)"),"",VLOOKUP($B2193,'Email Marketing Raw Data'!$C:$O,5,0)),"")</f>
        <v/>
      </c>
      <c r="I2193" s="55" t="str">
        <f>IFERROR(IF($G2193="","",VLOOKUP('Dashboard And Emails Automate'!$G2193,Database!$H:$N,3,0)),"")</f>
        <v/>
      </c>
      <c r="J2193" s="55" t="str">
        <f>IFERROR(IF($G2193="","",VLOOKUP('Dashboard And Emails Automate'!$G2193,Database!$H:$N,4,0)),"")</f>
        <v/>
      </c>
      <c r="K2193" s="55" t="str">
        <f>IFERROR(IF($G2193="","",VLOOKUP('Dashboard And Emails Automate'!$G2193,Database!$H:$N,5,0)),"")</f>
        <v/>
      </c>
      <c r="L2193" s="55" t="str">
        <f>IFERROR(IF($G2193="","",VLOOKUP('Dashboard And Emails Automate'!$G2193,Database!$H:$N,6,0)),"")</f>
        <v/>
      </c>
      <c r="M2193" s="55" t="str">
        <f>IFERROR(IF($G2193="","",VLOOKUP('Dashboard And Emails Automate'!$G2193,Database!$H:$N,7,0)),"")</f>
        <v/>
      </c>
      <c r="N2193" s="55" t="str">
        <f>IFERROR(IF(OR($B2193="",$B2193="(blank)"),"",VLOOKUP($B2193,'Email Marketing Raw Data'!$C:$O,6,0)),"")</f>
        <v/>
      </c>
      <c r="O2193" s="55" t="str">
        <f>IFERROR(IF(OR($B2193="",$B2193="(blank)"),"",VLOOKUP($B2193,'Email Marketing Raw Data'!$C:$O,7,0)),"")</f>
        <v/>
      </c>
      <c r="P2193" s="55" t="str">
        <f>IFERROR(IF(OR($B2193="",$B2193="(blank)"),"",VLOOKUP($B2193,'Email Marketing Raw Data'!$C:$O,8,0)),"")</f>
        <v/>
      </c>
      <c r="Q2193" s="62" t="str">
        <f>IFERROR(IF(OR($B2193="",$B2193="(blank)"),"",VLOOKUP($B2193,'Email Marketing Raw Data'!$C:$O,9,0)),"")</f>
        <v/>
      </c>
    </row>
    <row r="2194" spans="4:17" ht="12.75" customHeight="1" x14ac:dyDescent="0.2">
      <c r="D2194" s="58" t="str">
        <f>IFERROR(IF(F2194&lt;&gt;"pending","",IF(OR($B2194="",$B2194="(blank)"),"",VLOOKUP($B2194,'Email Marketing Raw Data'!$C:$O,10,0))),"")</f>
        <v/>
      </c>
      <c r="E2194" s="59" t="str">
        <f>IFERROR(IF(F2194&lt;&gt;"pending","",IF(OR($B2194="",$B2194="(blank)"),"",VLOOKUP($B2194,'Email Marketing Raw Data'!$C:$O,11,0))),"")</f>
        <v/>
      </c>
      <c r="F2194" s="54" t="str">
        <f>IFERROR(IF(OR($B2194="",$B2194="(blank)"),"",VLOOKUP($B2194,'Email Marketing Raw Data'!$C:$O,13,0)),"")</f>
        <v/>
      </c>
      <c r="G2194" s="55" t="str">
        <f>IFERROR(IF(OR($B2194="",$B2194="(blank)"),"",VLOOKUP($B2194,'Email Marketing Raw Data'!$C:$O,4,0)),"")</f>
        <v/>
      </c>
      <c r="H2194" s="55" t="str">
        <f>IFERROR(IF(OR($B2194="",$B2194="(blank)"),"",VLOOKUP($B2194,'Email Marketing Raw Data'!$C:$O,5,0)),"")</f>
        <v/>
      </c>
      <c r="I2194" s="55" t="str">
        <f>IFERROR(IF($G2194="","",VLOOKUP('Dashboard And Emails Automate'!$G2194,Database!$H:$N,3,0)),"")</f>
        <v/>
      </c>
      <c r="J2194" s="55" t="str">
        <f>IFERROR(IF($G2194="","",VLOOKUP('Dashboard And Emails Automate'!$G2194,Database!$H:$N,4,0)),"")</f>
        <v/>
      </c>
      <c r="K2194" s="55" t="str">
        <f>IFERROR(IF($G2194="","",VLOOKUP('Dashboard And Emails Automate'!$G2194,Database!$H:$N,5,0)),"")</f>
        <v/>
      </c>
      <c r="L2194" s="55" t="str">
        <f>IFERROR(IF($G2194="","",VLOOKUP('Dashboard And Emails Automate'!$G2194,Database!$H:$N,6,0)),"")</f>
        <v/>
      </c>
      <c r="M2194" s="55" t="str">
        <f>IFERROR(IF($G2194="","",VLOOKUP('Dashboard And Emails Automate'!$G2194,Database!$H:$N,7,0)),"")</f>
        <v/>
      </c>
      <c r="N2194" s="55" t="str">
        <f>IFERROR(IF(OR($B2194="",$B2194="(blank)"),"",VLOOKUP($B2194,'Email Marketing Raw Data'!$C:$O,6,0)),"")</f>
        <v/>
      </c>
      <c r="O2194" s="55" t="str">
        <f>IFERROR(IF(OR($B2194="",$B2194="(blank)"),"",VLOOKUP($B2194,'Email Marketing Raw Data'!$C:$O,7,0)),"")</f>
        <v/>
      </c>
      <c r="P2194" s="55" t="str">
        <f>IFERROR(IF(OR($B2194="",$B2194="(blank)"),"",VLOOKUP($B2194,'Email Marketing Raw Data'!$C:$O,8,0)),"")</f>
        <v/>
      </c>
      <c r="Q2194" s="62" t="str">
        <f>IFERROR(IF(OR($B2194="",$B2194="(blank)"),"",VLOOKUP($B2194,'Email Marketing Raw Data'!$C:$O,9,0)),"")</f>
        <v/>
      </c>
    </row>
    <row r="2195" spans="4:17" ht="12.75" customHeight="1" x14ac:dyDescent="0.2">
      <c r="D2195" s="58" t="str">
        <f>IFERROR(IF(F2195&lt;&gt;"pending","",IF(OR($B2195="",$B2195="(blank)"),"",VLOOKUP($B2195,'Email Marketing Raw Data'!$C:$O,10,0))),"")</f>
        <v/>
      </c>
      <c r="E2195" s="59" t="str">
        <f>IFERROR(IF(F2195&lt;&gt;"pending","",IF(OR($B2195="",$B2195="(blank)"),"",VLOOKUP($B2195,'Email Marketing Raw Data'!$C:$O,11,0))),"")</f>
        <v/>
      </c>
      <c r="F2195" s="54" t="str">
        <f>IFERROR(IF(OR($B2195="",$B2195="(blank)"),"",VLOOKUP($B2195,'Email Marketing Raw Data'!$C:$O,13,0)),"")</f>
        <v/>
      </c>
      <c r="G2195" s="55" t="str">
        <f>IFERROR(IF(OR($B2195="",$B2195="(blank)"),"",VLOOKUP($B2195,'Email Marketing Raw Data'!$C:$O,4,0)),"")</f>
        <v/>
      </c>
      <c r="H2195" s="55" t="str">
        <f>IFERROR(IF(OR($B2195="",$B2195="(blank)"),"",VLOOKUP($B2195,'Email Marketing Raw Data'!$C:$O,5,0)),"")</f>
        <v/>
      </c>
      <c r="I2195" s="55" t="str">
        <f>IFERROR(IF($G2195="","",VLOOKUP('Dashboard And Emails Automate'!$G2195,Database!$H:$N,3,0)),"")</f>
        <v/>
      </c>
      <c r="J2195" s="55" t="str">
        <f>IFERROR(IF($G2195="","",VLOOKUP('Dashboard And Emails Automate'!$G2195,Database!$H:$N,4,0)),"")</f>
        <v/>
      </c>
      <c r="K2195" s="55" t="str">
        <f>IFERROR(IF($G2195="","",VLOOKUP('Dashboard And Emails Automate'!$G2195,Database!$H:$N,5,0)),"")</f>
        <v/>
      </c>
      <c r="L2195" s="55" t="str">
        <f>IFERROR(IF($G2195="","",VLOOKUP('Dashboard And Emails Automate'!$G2195,Database!$H:$N,6,0)),"")</f>
        <v/>
      </c>
      <c r="M2195" s="55" t="str">
        <f>IFERROR(IF($G2195="","",VLOOKUP('Dashboard And Emails Automate'!$G2195,Database!$H:$N,7,0)),"")</f>
        <v/>
      </c>
      <c r="N2195" s="55" t="str">
        <f>IFERROR(IF(OR($B2195="",$B2195="(blank)"),"",VLOOKUP($B2195,'Email Marketing Raw Data'!$C:$O,6,0)),"")</f>
        <v/>
      </c>
      <c r="O2195" s="55" t="str">
        <f>IFERROR(IF(OR($B2195="",$B2195="(blank)"),"",VLOOKUP($B2195,'Email Marketing Raw Data'!$C:$O,7,0)),"")</f>
        <v/>
      </c>
      <c r="P2195" s="55" t="str">
        <f>IFERROR(IF(OR($B2195="",$B2195="(blank)"),"",VLOOKUP($B2195,'Email Marketing Raw Data'!$C:$O,8,0)),"")</f>
        <v/>
      </c>
      <c r="Q2195" s="62" t="str">
        <f>IFERROR(IF(OR($B2195="",$B2195="(blank)"),"",VLOOKUP($B2195,'Email Marketing Raw Data'!$C:$O,9,0)),"")</f>
        <v/>
      </c>
    </row>
    <row r="2196" spans="4:17" ht="12.75" customHeight="1" x14ac:dyDescent="0.2">
      <c r="D2196" s="58" t="str">
        <f>IFERROR(IF(F2196&lt;&gt;"pending","",IF(OR($B2196="",$B2196="(blank)"),"",VLOOKUP($B2196,'Email Marketing Raw Data'!$C:$O,10,0))),"")</f>
        <v/>
      </c>
      <c r="E2196" s="59" t="str">
        <f>IFERROR(IF(F2196&lt;&gt;"pending","",IF(OR($B2196="",$B2196="(blank)"),"",VLOOKUP($B2196,'Email Marketing Raw Data'!$C:$O,11,0))),"")</f>
        <v/>
      </c>
      <c r="F2196" s="54" t="str">
        <f>IFERROR(IF(OR($B2196="",$B2196="(blank)"),"",VLOOKUP($B2196,'Email Marketing Raw Data'!$C:$O,13,0)),"")</f>
        <v/>
      </c>
      <c r="G2196" s="55" t="str">
        <f>IFERROR(IF(OR($B2196="",$B2196="(blank)"),"",VLOOKUP($B2196,'Email Marketing Raw Data'!$C:$O,4,0)),"")</f>
        <v/>
      </c>
      <c r="H2196" s="55" t="str">
        <f>IFERROR(IF(OR($B2196="",$B2196="(blank)"),"",VLOOKUP($B2196,'Email Marketing Raw Data'!$C:$O,5,0)),"")</f>
        <v/>
      </c>
      <c r="I2196" s="55" t="str">
        <f>IFERROR(IF($G2196="","",VLOOKUP('Dashboard And Emails Automate'!$G2196,Database!$H:$N,3,0)),"")</f>
        <v/>
      </c>
      <c r="J2196" s="55" t="str">
        <f>IFERROR(IF($G2196="","",VLOOKUP('Dashboard And Emails Automate'!$G2196,Database!$H:$N,4,0)),"")</f>
        <v/>
      </c>
      <c r="K2196" s="55" t="str">
        <f>IFERROR(IF($G2196="","",VLOOKUP('Dashboard And Emails Automate'!$G2196,Database!$H:$N,5,0)),"")</f>
        <v/>
      </c>
      <c r="L2196" s="55" t="str">
        <f>IFERROR(IF($G2196="","",VLOOKUP('Dashboard And Emails Automate'!$G2196,Database!$H:$N,6,0)),"")</f>
        <v/>
      </c>
      <c r="M2196" s="55" t="str">
        <f>IFERROR(IF($G2196="","",VLOOKUP('Dashboard And Emails Automate'!$G2196,Database!$H:$N,7,0)),"")</f>
        <v/>
      </c>
      <c r="N2196" s="55" t="str">
        <f>IFERROR(IF(OR($B2196="",$B2196="(blank)"),"",VLOOKUP($B2196,'Email Marketing Raw Data'!$C:$O,6,0)),"")</f>
        <v/>
      </c>
      <c r="O2196" s="55" t="str">
        <f>IFERROR(IF(OR($B2196="",$B2196="(blank)"),"",VLOOKUP($B2196,'Email Marketing Raw Data'!$C:$O,7,0)),"")</f>
        <v/>
      </c>
      <c r="P2196" s="55" t="str">
        <f>IFERROR(IF(OR($B2196="",$B2196="(blank)"),"",VLOOKUP($B2196,'Email Marketing Raw Data'!$C:$O,8,0)),"")</f>
        <v/>
      </c>
      <c r="Q2196" s="62" t="str">
        <f>IFERROR(IF(OR($B2196="",$B2196="(blank)"),"",VLOOKUP($B2196,'Email Marketing Raw Data'!$C:$O,9,0)),"")</f>
        <v/>
      </c>
    </row>
    <row r="2197" spans="4:17" ht="12.75" customHeight="1" x14ac:dyDescent="0.2">
      <c r="D2197" s="58" t="str">
        <f>IFERROR(IF(F2197&lt;&gt;"pending","",IF(OR($B2197="",$B2197="(blank)"),"",VLOOKUP($B2197,'Email Marketing Raw Data'!$C:$O,10,0))),"")</f>
        <v/>
      </c>
      <c r="E2197" s="59" t="str">
        <f>IFERROR(IF(F2197&lt;&gt;"pending","",IF(OR($B2197="",$B2197="(blank)"),"",VLOOKUP($B2197,'Email Marketing Raw Data'!$C:$O,11,0))),"")</f>
        <v/>
      </c>
      <c r="F2197" s="54" t="str">
        <f>IFERROR(IF(OR($B2197="",$B2197="(blank)"),"",VLOOKUP($B2197,'Email Marketing Raw Data'!$C:$O,13,0)),"")</f>
        <v/>
      </c>
      <c r="G2197" s="55" t="str">
        <f>IFERROR(IF(OR($B2197="",$B2197="(blank)"),"",VLOOKUP($B2197,'Email Marketing Raw Data'!$C:$O,4,0)),"")</f>
        <v/>
      </c>
      <c r="H2197" s="55" t="str">
        <f>IFERROR(IF(OR($B2197="",$B2197="(blank)"),"",VLOOKUP($B2197,'Email Marketing Raw Data'!$C:$O,5,0)),"")</f>
        <v/>
      </c>
      <c r="I2197" s="55" t="str">
        <f>IFERROR(IF($G2197="","",VLOOKUP('Dashboard And Emails Automate'!$G2197,Database!$H:$N,3,0)),"")</f>
        <v/>
      </c>
      <c r="J2197" s="55" t="str">
        <f>IFERROR(IF($G2197="","",VLOOKUP('Dashboard And Emails Automate'!$G2197,Database!$H:$N,4,0)),"")</f>
        <v/>
      </c>
      <c r="K2197" s="55" t="str">
        <f>IFERROR(IF($G2197="","",VLOOKUP('Dashboard And Emails Automate'!$G2197,Database!$H:$N,5,0)),"")</f>
        <v/>
      </c>
      <c r="L2197" s="55" t="str">
        <f>IFERROR(IF($G2197="","",VLOOKUP('Dashboard And Emails Automate'!$G2197,Database!$H:$N,6,0)),"")</f>
        <v/>
      </c>
      <c r="M2197" s="55" t="str">
        <f>IFERROR(IF($G2197="","",VLOOKUP('Dashboard And Emails Automate'!$G2197,Database!$H:$N,7,0)),"")</f>
        <v/>
      </c>
      <c r="N2197" s="55" t="str">
        <f>IFERROR(IF(OR($B2197="",$B2197="(blank)"),"",VLOOKUP($B2197,'Email Marketing Raw Data'!$C:$O,6,0)),"")</f>
        <v/>
      </c>
      <c r="O2197" s="55" t="str">
        <f>IFERROR(IF(OR($B2197="",$B2197="(blank)"),"",VLOOKUP($B2197,'Email Marketing Raw Data'!$C:$O,7,0)),"")</f>
        <v/>
      </c>
      <c r="P2197" s="55" t="str">
        <f>IFERROR(IF(OR($B2197="",$B2197="(blank)"),"",VLOOKUP($B2197,'Email Marketing Raw Data'!$C:$O,8,0)),"")</f>
        <v/>
      </c>
      <c r="Q2197" s="62" t="str">
        <f>IFERROR(IF(OR($B2197="",$B2197="(blank)"),"",VLOOKUP($B2197,'Email Marketing Raw Data'!$C:$O,9,0)),"")</f>
        <v/>
      </c>
    </row>
    <row r="2198" spans="4:17" ht="12.75" customHeight="1" x14ac:dyDescent="0.2">
      <c r="D2198" s="58" t="str">
        <f>IFERROR(IF(F2198&lt;&gt;"pending","",IF(OR($B2198="",$B2198="(blank)"),"",VLOOKUP($B2198,'Email Marketing Raw Data'!$C:$O,10,0))),"")</f>
        <v/>
      </c>
      <c r="E2198" s="59" t="str">
        <f>IFERROR(IF(F2198&lt;&gt;"pending","",IF(OR($B2198="",$B2198="(blank)"),"",VLOOKUP($B2198,'Email Marketing Raw Data'!$C:$O,11,0))),"")</f>
        <v/>
      </c>
      <c r="F2198" s="54" t="str">
        <f>IFERROR(IF(OR($B2198="",$B2198="(blank)"),"",VLOOKUP($B2198,'Email Marketing Raw Data'!$C:$O,13,0)),"")</f>
        <v/>
      </c>
      <c r="G2198" s="55" t="str">
        <f>IFERROR(IF(OR($B2198="",$B2198="(blank)"),"",VLOOKUP($B2198,'Email Marketing Raw Data'!$C:$O,4,0)),"")</f>
        <v/>
      </c>
      <c r="H2198" s="55" t="str">
        <f>IFERROR(IF(OR($B2198="",$B2198="(blank)"),"",VLOOKUP($B2198,'Email Marketing Raw Data'!$C:$O,5,0)),"")</f>
        <v/>
      </c>
      <c r="I2198" s="55" t="str">
        <f>IFERROR(IF($G2198="","",VLOOKUP('Dashboard And Emails Automate'!$G2198,Database!$H:$N,3,0)),"")</f>
        <v/>
      </c>
      <c r="J2198" s="55" t="str">
        <f>IFERROR(IF($G2198="","",VLOOKUP('Dashboard And Emails Automate'!$G2198,Database!$H:$N,4,0)),"")</f>
        <v/>
      </c>
      <c r="K2198" s="55" t="str">
        <f>IFERROR(IF($G2198="","",VLOOKUP('Dashboard And Emails Automate'!$G2198,Database!$H:$N,5,0)),"")</f>
        <v/>
      </c>
      <c r="L2198" s="55" t="str">
        <f>IFERROR(IF($G2198="","",VLOOKUP('Dashboard And Emails Automate'!$G2198,Database!$H:$N,6,0)),"")</f>
        <v/>
      </c>
      <c r="M2198" s="55" t="str">
        <f>IFERROR(IF($G2198="","",VLOOKUP('Dashboard And Emails Automate'!$G2198,Database!$H:$N,7,0)),"")</f>
        <v/>
      </c>
      <c r="N2198" s="55" t="str">
        <f>IFERROR(IF(OR($B2198="",$B2198="(blank)"),"",VLOOKUP($B2198,'Email Marketing Raw Data'!$C:$O,6,0)),"")</f>
        <v/>
      </c>
      <c r="O2198" s="55" t="str">
        <f>IFERROR(IF(OR($B2198="",$B2198="(blank)"),"",VLOOKUP($B2198,'Email Marketing Raw Data'!$C:$O,7,0)),"")</f>
        <v/>
      </c>
      <c r="P2198" s="55" t="str">
        <f>IFERROR(IF(OR($B2198="",$B2198="(blank)"),"",VLOOKUP($B2198,'Email Marketing Raw Data'!$C:$O,8,0)),"")</f>
        <v/>
      </c>
      <c r="Q2198" s="62" t="str">
        <f>IFERROR(IF(OR($B2198="",$B2198="(blank)"),"",VLOOKUP($B2198,'Email Marketing Raw Data'!$C:$O,9,0)),"")</f>
        <v/>
      </c>
    </row>
    <row r="2199" spans="4:17" ht="12.75" customHeight="1" x14ac:dyDescent="0.2">
      <c r="D2199" s="58" t="str">
        <f>IFERROR(IF(F2199&lt;&gt;"pending","",IF(OR($B2199="",$B2199="(blank)"),"",VLOOKUP($B2199,'Email Marketing Raw Data'!$C:$O,10,0))),"")</f>
        <v/>
      </c>
      <c r="E2199" s="59" t="str">
        <f>IFERROR(IF(F2199&lt;&gt;"pending","",IF(OR($B2199="",$B2199="(blank)"),"",VLOOKUP($B2199,'Email Marketing Raw Data'!$C:$O,11,0))),"")</f>
        <v/>
      </c>
      <c r="F2199" s="54" t="str">
        <f>IFERROR(IF(OR($B2199="",$B2199="(blank)"),"",VLOOKUP($B2199,'Email Marketing Raw Data'!$C:$O,13,0)),"")</f>
        <v/>
      </c>
      <c r="G2199" s="55" t="str">
        <f>IFERROR(IF(OR($B2199="",$B2199="(blank)"),"",VLOOKUP($B2199,'Email Marketing Raw Data'!$C:$O,4,0)),"")</f>
        <v/>
      </c>
      <c r="H2199" s="55" t="str">
        <f>IFERROR(IF(OR($B2199="",$B2199="(blank)"),"",VLOOKUP($B2199,'Email Marketing Raw Data'!$C:$O,5,0)),"")</f>
        <v/>
      </c>
      <c r="I2199" s="55" t="str">
        <f>IFERROR(IF($G2199="","",VLOOKUP('Dashboard And Emails Automate'!$G2199,Database!$H:$N,3,0)),"")</f>
        <v/>
      </c>
      <c r="J2199" s="55" t="str">
        <f>IFERROR(IF($G2199="","",VLOOKUP('Dashboard And Emails Automate'!$G2199,Database!$H:$N,4,0)),"")</f>
        <v/>
      </c>
      <c r="K2199" s="55" t="str">
        <f>IFERROR(IF($G2199="","",VLOOKUP('Dashboard And Emails Automate'!$G2199,Database!$H:$N,5,0)),"")</f>
        <v/>
      </c>
      <c r="L2199" s="55" t="str">
        <f>IFERROR(IF($G2199="","",VLOOKUP('Dashboard And Emails Automate'!$G2199,Database!$H:$N,6,0)),"")</f>
        <v/>
      </c>
      <c r="M2199" s="55" t="str">
        <f>IFERROR(IF($G2199="","",VLOOKUP('Dashboard And Emails Automate'!$G2199,Database!$H:$N,7,0)),"")</f>
        <v/>
      </c>
      <c r="N2199" s="55" t="str">
        <f>IFERROR(IF(OR($B2199="",$B2199="(blank)"),"",VLOOKUP($B2199,'Email Marketing Raw Data'!$C:$O,6,0)),"")</f>
        <v/>
      </c>
      <c r="O2199" s="55" t="str">
        <f>IFERROR(IF(OR($B2199="",$B2199="(blank)"),"",VLOOKUP($B2199,'Email Marketing Raw Data'!$C:$O,7,0)),"")</f>
        <v/>
      </c>
      <c r="P2199" s="55" t="str">
        <f>IFERROR(IF(OR($B2199="",$B2199="(blank)"),"",VLOOKUP($B2199,'Email Marketing Raw Data'!$C:$O,8,0)),"")</f>
        <v/>
      </c>
      <c r="Q2199" s="62" t="str">
        <f>IFERROR(IF(OR($B2199="",$B2199="(blank)"),"",VLOOKUP($B2199,'Email Marketing Raw Data'!$C:$O,9,0)),"")</f>
        <v/>
      </c>
    </row>
    <row r="2200" spans="4:17" ht="12.75" customHeight="1" x14ac:dyDescent="0.2">
      <c r="D2200" s="58" t="str">
        <f>IFERROR(IF(F2200&lt;&gt;"pending","",IF(OR($B2200="",$B2200="(blank)"),"",VLOOKUP($B2200,'Email Marketing Raw Data'!$C:$O,10,0))),"")</f>
        <v/>
      </c>
      <c r="E2200" s="59" t="str">
        <f>IFERROR(IF(F2200&lt;&gt;"pending","",IF(OR($B2200="",$B2200="(blank)"),"",VLOOKUP($B2200,'Email Marketing Raw Data'!$C:$O,11,0))),"")</f>
        <v/>
      </c>
      <c r="F2200" s="54" t="str">
        <f>IFERROR(IF(OR($B2200="",$B2200="(blank)"),"",VLOOKUP($B2200,'Email Marketing Raw Data'!$C:$O,13,0)),"")</f>
        <v/>
      </c>
      <c r="G2200" s="55" t="str">
        <f>IFERROR(IF(OR($B2200="",$B2200="(blank)"),"",VLOOKUP($B2200,'Email Marketing Raw Data'!$C:$O,4,0)),"")</f>
        <v/>
      </c>
      <c r="H2200" s="55" t="str">
        <f>IFERROR(IF(OR($B2200="",$B2200="(blank)"),"",VLOOKUP($B2200,'Email Marketing Raw Data'!$C:$O,5,0)),"")</f>
        <v/>
      </c>
      <c r="I2200" s="55" t="str">
        <f>IFERROR(IF($G2200="","",VLOOKUP('Dashboard And Emails Automate'!$G2200,Database!$H:$N,3,0)),"")</f>
        <v/>
      </c>
      <c r="J2200" s="55" t="str">
        <f>IFERROR(IF($G2200="","",VLOOKUP('Dashboard And Emails Automate'!$G2200,Database!$H:$N,4,0)),"")</f>
        <v/>
      </c>
      <c r="K2200" s="55" t="str">
        <f>IFERROR(IF($G2200="","",VLOOKUP('Dashboard And Emails Automate'!$G2200,Database!$H:$N,5,0)),"")</f>
        <v/>
      </c>
      <c r="L2200" s="55" t="str">
        <f>IFERROR(IF($G2200="","",VLOOKUP('Dashboard And Emails Automate'!$G2200,Database!$H:$N,6,0)),"")</f>
        <v/>
      </c>
      <c r="M2200" s="55" t="str">
        <f>IFERROR(IF($G2200="","",VLOOKUP('Dashboard And Emails Automate'!$G2200,Database!$H:$N,7,0)),"")</f>
        <v/>
      </c>
      <c r="N2200" s="55" t="str">
        <f>IFERROR(IF(OR($B2200="",$B2200="(blank)"),"",VLOOKUP($B2200,'Email Marketing Raw Data'!$C:$O,6,0)),"")</f>
        <v/>
      </c>
      <c r="O2200" s="55" t="str">
        <f>IFERROR(IF(OR($B2200="",$B2200="(blank)"),"",VLOOKUP($B2200,'Email Marketing Raw Data'!$C:$O,7,0)),"")</f>
        <v/>
      </c>
      <c r="P2200" s="55" t="str">
        <f>IFERROR(IF(OR($B2200="",$B2200="(blank)"),"",VLOOKUP($B2200,'Email Marketing Raw Data'!$C:$O,8,0)),"")</f>
        <v/>
      </c>
      <c r="Q2200" s="62" t="str">
        <f>IFERROR(IF(OR($B2200="",$B2200="(blank)"),"",VLOOKUP($B2200,'Email Marketing Raw Data'!$C:$O,9,0)),"")</f>
        <v/>
      </c>
    </row>
    <row r="2201" spans="4:17" ht="12.75" customHeight="1" x14ac:dyDescent="0.2">
      <c r="D2201" s="58" t="str">
        <f>IFERROR(IF(F2201&lt;&gt;"pending","",IF(OR($B2201="",$B2201="(blank)"),"",VLOOKUP($B2201,'Email Marketing Raw Data'!$C:$O,10,0))),"")</f>
        <v/>
      </c>
      <c r="E2201" s="59" t="str">
        <f>IFERROR(IF(F2201&lt;&gt;"pending","",IF(OR($B2201="",$B2201="(blank)"),"",VLOOKUP($B2201,'Email Marketing Raw Data'!$C:$O,11,0))),"")</f>
        <v/>
      </c>
      <c r="F2201" s="54" t="str">
        <f>IFERROR(IF(OR($B2201="",$B2201="(blank)"),"",VLOOKUP($B2201,'Email Marketing Raw Data'!$C:$O,13,0)),"")</f>
        <v/>
      </c>
      <c r="G2201" s="55" t="str">
        <f>IFERROR(IF(OR($B2201="",$B2201="(blank)"),"",VLOOKUP($B2201,'Email Marketing Raw Data'!$C:$O,4,0)),"")</f>
        <v/>
      </c>
      <c r="H2201" s="55" t="str">
        <f>IFERROR(IF(OR($B2201="",$B2201="(blank)"),"",VLOOKUP($B2201,'Email Marketing Raw Data'!$C:$O,5,0)),"")</f>
        <v/>
      </c>
      <c r="I2201" s="55" t="str">
        <f>IFERROR(IF($G2201="","",VLOOKUP('Dashboard And Emails Automate'!$G2201,Database!$H:$N,3,0)),"")</f>
        <v/>
      </c>
      <c r="J2201" s="55" t="str">
        <f>IFERROR(IF($G2201="","",VLOOKUP('Dashboard And Emails Automate'!$G2201,Database!$H:$N,4,0)),"")</f>
        <v/>
      </c>
      <c r="K2201" s="55" t="str">
        <f>IFERROR(IF($G2201="","",VLOOKUP('Dashboard And Emails Automate'!$G2201,Database!$H:$N,5,0)),"")</f>
        <v/>
      </c>
      <c r="L2201" s="55" t="str">
        <f>IFERROR(IF($G2201="","",VLOOKUP('Dashboard And Emails Automate'!$G2201,Database!$H:$N,6,0)),"")</f>
        <v/>
      </c>
      <c r="M2201" s="55" t="str">
        <f>IFERROR(IF($G2201="","",VLOOKUP('Dashboard And Emails Automate'!$G2201,Database!$H:$N,7,0)),"")</f>
        <v/>
      </c>
      <c r="N2201" s="55" t="str">
        <f>IFERROR(IF(OR($B2201="",$B2201="(blank)"),"",VLOOKUP($B2201,'Email Marketing Raw Data'!$C:$O,6,0)),"")</f>
        <v/>
      </c>
      <c r="O2201" s="55" t="str">
        <f>IFERROR(IF(OR($B2201="",$B2201="(blank)"),"",VLOOKUP($B2201,'Email Marketing Raw Data'!$C:$O,7,0)),"")</f>
        <v/>
      </c>
      <c r="P2201" s="55" t="str">
        <f>IFERROR(IF(OR($B2201="",$B2201="(blank)"),"",VLOOKUP($B2201,'Email Marketing Raw Data'!$C:$O,8,0)),"")</f>
        <v/>
      </c>
      <c r="Q2201" s="62" t="str">
        <f>IFERROR(IF(OR($B2201="",$B2201="(blank)"),"",VLOOKUP($B2201,'Email Marketing Raw Data'!$C:$O,9,0)),"")</f>
        <v/>
      </c>
    </row>
    <row r="2202" spans="4:17" ht="12.75" customHeight="1" x14ac:dyDescent="0.2">
      <c r="D2202" s="58" t="str">
        <f>IFERROR(IF(F2202&lt;&gt;"pending","",IF(OR($B2202="",$B2202="(blank)"),"",VLOOKUP($B2202,'Email Marketing Raw Data'!$C:$O,10,0))),"")</f>
        <v/>
      </c>
      <c r="E2202" s="59" t="str">
        <f>IFERROR(IF(F2202&lt;&gt;"pending","",IF(OR($B2202="",$B2202="(blank)"),"",VLOOKUP($B2202,'Email Marketing Raw Data'!$C:$O,11,0))),"")</f>
        <v/>
      </c>
      <c r="F2202" s="54" t="str">
        <f>IFERROR(IF(OR($B2202="",$B2202="(blank)"),"",VLOOKUP($B2202,'Email Marketing Raw Data'!$C:$O,13,0)),"")</f>
        <v/>
      </c>
      <c r="G2202" s="55" t="str">
        <f>IFERROR(IF(OR($B2202="",$B2202="(blank)"),"",VLOOKUP($B2202,'Email Marketing Raw Data'!$C:$O,4,0)),"")</f>
        <v/>
      </c>
      <c r="H2202" s="55" t="str">
        <f>IFERROR(IF(OR($B2202="",$B2202="(blank)"),"",VLOOKUP($B2202,'Email Marketing Raw Data'!$C:$O,5,0)),"")</f>
        <v/>
      </c>
      <c r="I2202" s="55" t="str">
        <f>IFERROR(IF($G2202="","",VLOOKUP('Dashboard And Emails Automate'!$G2202,Database!$H:$N,3,0)),"")</f>
        <v/>
      </c>
      <c r="J2202" s="55" t="str">
        <f>IFERROR(IF($G2202="","",VLOOKUP('Dashboard And Emails Automate'!$G2202,Database!$H:$N,4,0)),"")</f>
        <v/>
      </c>
      <c r="K2202" s="55" t="str">
        <f>IFERROR(IF($G2202="","",VLOOKUP('Dashboard And Emails Automate'!$G2202,Database!$H:$N,5,0)),"")</f>
        <v/>
      </c>
      <c r="L2202" s="55" t="str">
        <f>IFERROR(IF($G2202="","",VLOOKUP('Dashboard And Emails Automate'!$G2202,Database!$H:$N,6,0)),"")</f>
        <v/>
      </c>
      <c r="M2202" s="55" t="str">
        <f>IFERROR(IF($G2202="","",VLOOKUP('Dashboard And Emails Automate'!$G2202,Database!$H:$N,7,0)),"")</f>
        <v/>
      </c>
      <c r="N2202" s="55" t="str">
        <f>IFERROR(IF(OR($B2202="",$B2202="(blank)"),"",VLOOKUP($B2202,'Email Marketing Raw Data'!$C:$O,6,0)),"")</f>
        <v/>
      </c>
      <c r="O2202" s="55" t="str">
        <f>IFERROR(IF(OR($B2202="",$B2202="(blank)"),"",VLOOKUP($B2202,'Email Marketing Raw Data'!$C:$O,7,0)),"")</f>
        <v/>
      </c>
      <c r="P2202" s="55" t="str">
        <f>IFERROR(IF(OR($B2202="",$B2202="(blank)"),"",VLOOKUP($B2202,'Email Marketing Raw Data'!$C:$O,8,0)),"")</f>
        <v/>
      </c>
      <c r="Q2202" s="62" t="str">
        <f>IFERROR(IF(OR($B2202="",$B2202="(blank)"),"",VLOOKUP($B2202,'Email Marketing Raw Data'!$C:$O,9,0)),"")</f>
        <v/>
      </c>
    </row>
    <row r="2203" spans="4:17" ht="12.75" customHeight="1" x14ac:dyDescent="0.2">
      <c r="D2203" s="58" t="str">
        <f>IFERROR(IF(F2203&lt;&gt;"pending","",IF(OR($B2203="",$B2203="(blank)"),"",VLOOKUP($B2203,'Email Marketing Raw Data'!$C:$O,10,0))),"")</f>
        <v/>
      </c>
      <c r="E2203" s="59" t="str">
        <f>IFERROR(IF(F2203&lt;&gt;"pending","",IF(OR($B2203="",$B2203="(blank)"),"",VLOOKUP($B2203,'Email Marketing Raw Data'!$C:$O,11,0))),"")</f>
        <v/>
      </c>
      <c r="F2203" s="54" t="str">
        <f>IFERROR(IF(OR($B2203="",$B2203="(blank)"),"",VLOOKUP($B2203,'Email Marketing Raw Data'!$C:$O,13,0)),"")</f>
        <v/>
      </c>
      <c r="G2203" s="55" t="str">
        <f>IFERROR(IF(OR($B2203="",$B2203="(blank)"),"",VLOOKUP($B2203,'Email Marketing Raw Data'!$C:$O,4,0)),"")</f>
        <v/>
      </c>
      <c r="H2203" s="55" t="str">
        <f>IFERROR(IF(OR($B2203="",$B2203="(blank)"),"",VLOOKUP($B2203,'Email Marketing Raw Data'!$C:$O,5,0)),"")</f>
        <v/>
      </c>
      <c r="I2203" s="55" t="str">
        <f>IFERROR(IF($G2203="","",VLOOKUP('Dashboard And Emails Automate'!$G2203,Database!$H:$N,3,0)),"")</f>
        <v/>
      </c>
      <c r="J2203" s="55" t="str">
        <f>IFERROR(IF($G2203="","",VLOOKUP('Dashboard And Emails Automate'!$G2203,Database!$H:$N,4,0)),"")</f>
        <v/>
      </c>
      <c r="K2203" s="55" t="str">
        <f>IFERROR(IF($G2203="","",VLOOKUP('Dashboard And Emails Automate'!$G2203,Database!$H:$N,5,0)),"")</f>
        <v/>
      </c>
      <c r="L2203" s="55" t="str">
        <f>IFERROR(IF($G2203="","",VLOOKUP('Dashboard And Emails Automate'!$G2203,Database!$H:$N,6,0)),"")</f>
        <v/>
      </c>
      <c r="M2203" s="55" t="str">
        <f>IFERROR(IF($G2203="","",VLOOKUP('Dashboard And Emails Automate'!$G2203,Database!$H:$N,7,0)),"")</f>
        <v/>
      </c>
      <c r="N2203" s="55" t="str">
        <f>IFERROR(IF(OR($B2203="",$B2203="(blank)"),"",VLOOKUP($B2203,'Email Marketing Raw Data'!$C:$O,6,0)),"")</f>
        <v/>
      </c>
      <c r="O2203" s="55" t="str">
        <f>IFERROR(IF(OR($B2203="",$B2203="(blank)"),"",VLOOKUP($B2203,'Email Marketing Raw Data'!$C:$O,7,0)),"")</f>
        <v/>
      </c>
      <c r="P2203" s="55" t="str">
        <f>IFERROR(IF(OR($B2203="",$B2203="(blank)"),"",VLOOKUP($B2203,'Email Marketing Raw Data'!$C:$O,8,0)),"")</f>
        <v/>
      </c>
      <c r="Q2203" s="62" t="str">
        <f>IFERROR(IF(OR($B2203="",$B2203="(blank)"),"",VLOOKUP($B2203,'Email Marketing Raw Data'!$C:$O,9,0)),"")</f>
        <v/>
      </c>
    </row>
    <row r="2204" spans="4:17" ht="12.75" customHeight="1" x14ac:dyDescent="0.2">
      <c r="D2204" s="58" t="str">
        <f>IFERROR(IF(F2204&lt;&gt;"pending","",IF(OR($B2204="",$B2204="(blank)"),"",VLOOKUP($B2204,'Email Marketing Raw Data'!$C:$O,10,0))),"")</f>
        <v/>
      </c>
      <c r="E2204" s="59" t="str">
        <f>IFERROR(IF(F2204&lt;&gt;"pending","",IF(OR($B2204="",$B2204="(blank)"),"",VLOOKUP($B2204,'Email Marketing Raw Data'!$C:$O,11,0))),"")</f>
        <v/>
      </c>
      <c r="F2204" s="54" t="str">
        <f>IFERROR(IF(OR($B2204="",$B2204="(blank)"),"",VLOOKUP($B2204,'Email Marketing Raw Data'!$C:$O,13,0)),"")</f>
        <v/>
      </c>
      <c r="G2204" s="55" t="str">
        <f>IFERROR(IF(OR($B2204="",$B2204="(blank)"),"",VLOOKUP($B2204,'Email Marketing Raw Data'!$C:$O,4,0)),"")</f>
        <v/>
      </c>
      <c r="H2204" s="55" t="str">
        <f>IFERROR(IF(OR($B2204="",$B2204="(blank)"),"",VLOOKUP($B2204,'Email Marketing Raw Data'!$C:$O,5,0)),"")</f>
        <v/>
      </c>
      <c r="I2204" s="55" t="str">
        <f>IFERROR(IF($G2204="","",VLOOKUP('Dashboard And Emails Automate'!$G2204,Database!$H:$N,3,0)),"")</f>
        <v/>
      </c>
      <c r="J2204" s="55" t="str">
        <f>IFERROR(IF($G2204="","",VLOOKUP('Dashboard And Emails Automate'!$G2204,Database!$H:$N,4,0)),"")</f>
        <v/>
      </c>
      <c r="K2204" s="55" t="str">
        <f>IFERROR(IF($G2204="","",VLOOKUP('Dashboard And Emails Automate'!$G2204,Database!$H:$N,5,0)),"")</f>
        <v/>
      </c>
      <c r="L2204" s="55" t="str">
        <f>IFERROR(IF($G2204="","",VLOOKUP('Dashboard And Emails Automate'!$G2204,Database!$H:$N,6,0)),"")</f>
        <v/>
      </c>
      <c r="M2204" s="55" t="str">
        <f>IFERROR(IF($G2204="","",VLOOKUP('Dashboard And Emails Automate'!$G2204,Database!$H:$N,7,0)),"")</f>
        <v/>
      </c>
      <c r="N2204" s="55" t="str">
        <f>IFERROR(IF(OR($B2204="",$B2204="(blank)"),"",VLOOKUP($B2204,'Email Marketing Raw Data'!$C:$O,6,0)),"")</f>
        <v/>
      </c>
      <c r="O2204" s="55" t="str">
        <f>IFERROR(IF(OR($B2204="",$B2204="(blank)"),"",VLOOKUP($B2204,'Email Marketing Raw Data'!$C:$O,7,0)),"")</f>
        <v/>
      </c>
      <c r="P2204" s="55" t="str">
        <f>IFERROR(IF(OR($B2204="",$B2204="(blank)"),"",VLOOKUP($B2204,'Email Marketing Raw Data'!$C:$O,8,0)),"")</f>
        <v/>
      </c>
      <c r="Q2204" s="62" t="str">
        <f>IFERROR(IF(OR($B2204="",$B2204="(blank)"),"",VLOOKUP($B2204,'Email Marketing Raw Data'!$C:$O,9,0)),"")</f>
        <v/>
      </c>
    </row>
    <row r="2205" spans="4:17" ht="12.75" customHeight="1" x14ac:dyDescent="0.2">
      <c r="D2205" s="58" t="str">
        <f>IFERROR(IF(F2205&lt;&gt;"pending","",IF(OR($B2205="",$B2205="(blank)"),"",VLOOKUP($B2205,'Email Marketing Raw Data'!$C:$O,10,0))),"")</f>
        <v/>
      </c>
      <c r="E2205" s="59" t="str">
        <f>IFERROR(IF(F2205&lt;&gt;"pending","",IF(OR($B2205="",$B2205="(blank)"),"",VLOOKUP($B2205,'Email Marketing Raw Data'!$C:$O,11,0))),"")</f>
        <v/>
      </c>
      <c r="F2205" s="54" t="str">
        <f>IFERROR(IF(OR($B2205="",$B2205="(blank)"),"",VLOOKUP($B2205,'Email Marketing Raw Data'!$C:$O,13,0)),"")</f>
        <v/>
      </c>
      <c r="G2205" s="55" t="str">
        <f>IFERROR(IF(OR($B2205="",$B2205="(blank)"),"",VLOOKUP($B2205,'Email Marketing Raw Data'!$C:$O,4,0)),"")</f>
        <v/>
      </c>
      <c r="H2205" s="55" t="str">
        <f>IFERROR(IF(OR($B2205="",$B2205="(blank)"),"",VLOOKUP($B2205,'Email Marketing Raw Data'!$C:$O,5,0)),"")</f>
        <v/>
      </c>
      <c r="I2205" s="55" t="str">
        <f>IFERROR(IF($G2205="","",VLOOKUP('Dashboard And Emails Automate'!$G2205,Database!$H:$N,3,0)),"")</f>
        <v/>
      </c>
      <c r="J2205" s="55" t="str">
        <f>IFERROR(IF($G2205="","",VLOOKUP('Dashboard And Emails Automate'!$G2205,Database!$H:$N,4,0)),"")</f>
        <v/>
      </c>
      <c r="K2205" s="55" t="str">
        <f>IFERROR(IF($G2205="","",VLOOKUP('Dashboard And Emails Automate'!$G2205,Database!$H:$N,5,0)),"")</f>
        <v/>
      </c>
      <c r="L2205" s="55" t="str">
        <f>IFERROR(IF($G2205="","",VLOOKUP('Dashboard And Emails Automate'!$G2205,Database!$H:$N,6,0)),"")</f>
        <v/>
      </c>
      <c r="M2205" s="55" t="str">
        <f>IFERROR(IF($G2205="","",VLOOKUP('Dashboard And Emails Automate'!$G2205,Database!$H:$N,7,0)),"")</f>
        <v/>
      </c>
      <c r="N2205" s="55" t="str">
        <f>IFERROR(IF(OR($B2205="",$B2205="(blank)"),"",VLOOKUP($B2205,'Email Marketing Raw Data'!$C:$O,6,0)),"")</f>
        <v/>
      </c>
      <c r="O2205" s="55" t="str">
        <f>IFERROR(IF(OR($B2205="",$B2205="(blank)"),"",VLOOKUP($B2205,'Email Marketing Raw Data'!$C:$O,7,0)),"")</f>
        <v/>
      </c>
      <c r="P2205" s="55" t="str">
        <f>IFERROR(IF(OR($B2205="",$B2205="(blank)"),"",VLOOKUP($B2205,'Email Marketing Raw Data'!$C:$O,8,0)),"")</f>
        <v/>
      </c>
      <c r="Q2205" s="62" t="str">
        <f>IFERROR(IF(OR($B2205="",$B2205="(blank)"),"",VLOOKUP($B2205,'Email Marketing Raw Data'!$C:$O,9,0)),"")</f>
        <v/>
      </c>
    </row>
    <row r="2206" spans="4:17" ht="12.75" customHeight="1" x14ac:dyDescent="0.2">
      <c r="D2206" s="58" t="str">
        <f>IFERROR(IF(F2206&lt;&gt;"pending","",IF(OR($B2206="",$B2206="(blank)"),"",VLOOKUP($B2206,'Email Marketing Raw Data'!$C:$O,10,0))),"")</f>
        <v/>
      </c>
      <c r="E2206" s="59" t="str">
        <f>IFERROR(IF(F2206&lt;&gt;"pending","",IF(OR($B2206="",$B2206="(blank)"),"",VLOOKUP($B2206,'Email Marketing Raw Data'!$C:$O,11,0))),"")</f>
        <v/>
      </c>
      <c r="F2206" s="54" t="str">
        <f>IFERROR(IF(OR($B2206="",$B2206="(blank)"),"",VLOOKUP($B2206,'Email Marketing Raw Data'!$C:$O,13,0)),"")</f>
        <v/>
      </c>
      <c r="G2206" s="55" t="str">
        <f>IFERROR(IF(OR($B2206="",$B2206="(blank)"),"",VLOOKUP($B2206,'Email Marketing Raw Data'!$C:$O,4,0)),"")</f>
        <v/>
      </c>
      <c r="H2206" s="55" t="str">
        <f>IFERROR(IF(OR($B2206="",$B2206="(blank)"),"",VLOOKUP($B2206,'Email Marketing Raw Data'!$C:$O,5,0)),"")</f>
        <v/>
      </c>
      <c r="I2206" s="55" t="str">
        <f>IFERROR(IF($G2206="","",VLOOKUP('Dashboard And Emails Automate'!$G2206,Database!$H:$N,3,0)),"")</f>
        <v/>
      </c>
      <c r="J2206" s="55" t="str">
        <f>IFERROR(IF($G2206="","",VLOOKUP('Dashboard And Emails Automate'!$G2206,Database!$H:$N,4,0)),"")</f>
        <v/>
      </c>
      <c r="K2206" s="55" t="str">
        <f>IFERROR(IF($G2206="","",VLOOKUP('Dashboard And Emails Automate'!$G2206,Database!$H:$N,5,0)),"")</f>
        <v/>
      </c>
      <c r="L2206" s="55" t="str">
        <f>IFERROR(IF($G2206="","",VLOOKUP('Dashboard And Emails Automate'!$G2206,Database!$H:$N,6,0)),"")</f>
        <v/>
      </c>
      <c r="M2206" s="55" t="str">
        <f>IFERROR(IF($G2206="","",VLOOKUP('Dashboard And Emails Automate'!$G2206,Database!$H:$N,7,0)),"")</f>
        <v/>
      </c>
      <c r="N2206" s="55" t="str">
        <f>IFERROR(IF(OR($B2206="",$B2206="(blank)"),"",VLOOKUP($B2206,'Email Marketing Raw Data'!$C:$O,6,0)),"")</f>
        <v/>
      </c>
      <c r="O2206" s="55" t="str">
        <f>IFERROR(IF(OR($B2206="",$B2206="(blank)"),"",VLOOKUP($B2206,'Email Marketing Raw Data'!$C:$O,7,0)),"")</f>
        <v/>
      </c>
      <c r="P2206" s="55" t="str">
        <f>IFERROR(IF(OR($B2206="",$B2206="(blank)"),"",VLOOKUP($B2206,'Email Marketing Raw Data'!$C:$O,8,0)),"")</f>
        <v/>
      </c>
      <c r="Q2206" s="62" t="str">
        <f>IFERROR(IF(OR($B2206="",$B2206="(blank)"),"",VLOOKUP($B2206,'Email Marketing Raw Data'!$C:$O,9,0)),"")</f>
        <v/>
      </c>
    </row>
    <row r="2207" spans="4:17" ht="12.75" customHeight="1" x14ac:dyDescent="0.2">
      <c r="D2207" s="58" t="str">
        <f>IFERROR(IF(F2207&lt;&gt;"pending","",IF(OR($B2207="",$B2207="(blank)"),"",VLOOKUP($B2207,'Email Marketing Raw Data'!$C:$O,10,0))),"")</f>
        <v/>
      </c>
      <c r="E2207" s="59" t="str">
        <f>IFERROR(IF(F2207&lt;&gt;"pending","",IF(OR($B2207="",$B2207="(blank)"),"",VLOOKUP($B2207,'Email Marketing Raw Data'!$C:$O,11,0))),"")</f>
        <v/>
      </c>
      <c r="F2207" s="54" t="str">
        <f>IFERROR(IF(OR($B2207="",$B2207="(blank)"),"",VLOOKUP($B2207,'Email Marketing Raw Data'!$C:$O,13,0)),"")</f>
        <v/>
      </c>
      <c r="G2207" s="55" t="str">
        <f>IFERROR(IF(OR($B2207="",$B2207="(blank)"),"",VLOOKUP($B2207,'Email Marketing Raw Data'!$C:$O,4,0)),"")</f>
        <v/>
      </c>
      <c r="H2207" s="55" t="str">
        <f>IFERROR(IF(OR($B2207="",$B2207="(blank)"),"",VLOOKUP($B2207,'Email Marketing Raw Data'!$C:$O,5,0)),"")</f>
        <v/>
      </c>
      <c r="I2207" s="55" t="str">
        <f>IFERROR(IF($G2207="","",VLOOKUP('Dashboard And Emails Automate'!$G2207,Database!$H:$N,3,0)),"")</f>
        <v/>
      </c>
      <c r="J2207" s="55" t="str">
        <f>IFERROR(IF($G2207="","",VLOOKUP('Dashboard And Emails Automate'!$G2207,Database!$H:$N,4,0)),"")</f>
        <v/>
      </c>
      <c r="K2207" s="55" t="str">
        <f>IFERROR(IF($G2207="","",VLOOKUP('Dashboard And Emails Automate'!$G2207,Database!$H:$N,5,0)),"")</f>
        <v/>
      </c>
      <c r="L2207" s="55" t="str">
        <f>IFERROR(IF($G2207="","",VLOOKUP('Dashboard And Emails Automate'!$G2207,Database!$H:$N,6,0)),"")</f>
        <v/>
      </c>
      <c r="M2207" s="55" t="str">
        <f>IFERROR(IF($G2207="","",VLOOKUP('Dashboard And Emails Automate'!$G2207,Database!$H:$N,7,0)),"")</f>
        <v/>
      </c>
      <c r="N2207" s="55" t="str">
        <f>IFERROR(IF(OR($B2207="",$B2207="(blank)"),"",VLOOKUP($B2207,'Email Marketing Raw Data'!$C:$O,6,0)),"")</f>
        <v/>
      </c>
      <c r="O2207" s="55" t="str">
        <f>IFERROR(IF(OR($B2207="",$B2207="(blank)"),"",VLOOKUP($B2207,'Email Marketing Raw Data'!$C:$O,7,0)),"")</f>
        <v/>
      </c>
      <c r="P2207" s="55" t="str">
        <f>IFERROR(IF(OR($B2207="",$B2207="(blank)"),"",VLOOKUP($B2207,'Email Marketing Raw Data'!$C:$O,8,0)),"")</f>
        <v/>
      </c>
      <c r="Q2207" s="62" t="str">
        <f>IFERROR(IF(OR($B2207="",$B2207="(blank)"),"",VLOOKUP($B2207,'Email Marketing Raw Data'!$C:$O,9,0)),"")</f>
        <v/>
      </c>
    </row>
    <row r="2208" spans="4:17" ht="12.75" customHeight="1" x14ac:dyDescent="0.2">
      <c r="D2208" s="58" t="str">
        <f>IFERROR(IF(F2208&lt;&gt;"pending","",IF(OR($B2208="",$B2208="(blank)"),"",VLOOKUP($B2208,'Email Marketing Raw Data'!$C:$O,10,0))),"")</f>
        <v/>
      </c>
      <c r="E2208" s="59" t="str">
        <f>IFERROR(IF(F2208&lt;&gt;"pending","",IF(OR($B2208="",$B2208="(blank)"),"",VLOOKUP($B2208,'Email Marketing Raw Data'!$C:$O,11,0))),"")</f>
        <v/>
      </c>
      <c r="F2208" s="54" t="str">
        <f>IFERROR(IF(OR($B2208="",$B2208="(blank)"),"",VLOOKUP($B2208,'Email Marketing Raw Data'!$C:$O,13,0)),"")</f>
        <v/>
      </c>
      <c r="G2208" s="55" t="str">
        <f>IFERROR(IF(OR($B2208="",$B2208="(blank)"),"",VLOOKUP($B2208,'Email Marketing Raw Data'!$C:$O,4,0)),"")</f>
        <v/>
      </c>
      <c r="H2208" s="55" t="str">
        <f>IFERROR(IF(OR($B2208="",$B2208="(blank)"),"",VLOOKUP($B2208,'Email Marketing Raw Data'!$C:$O,5,0)),"")</f>
        <v/>
      </c>
      <c r="I2208" s="55" t="str">
        <f>IFERROR(IF($G2208="","",VLOOKUP('Dashboard And Emails Automate'!$G2208,Database!$H:$N,3,0)),"")</f>
        <v/>
      </c>
      <c r="J2208" s="55" t="str">
        <f>IFERROR(IF($G2208="","",VLOOKUP('Dashboard And Emails Automate'!$G2208,Database!$H:$N,4,0)),"")</f>
        <v/>
      </c>
      <c r="K2208" s="55" t="str">
        <f>IFERROR(IF($G2208="","",VLOOKUP('Dashboard And Emails Automate'!$G2208,Database!$H:$N,5,0)),"")</f>
        <v/>
      </c>
      <c r="L2208" s="55" t="str">
        <f>IFERROR(IF($G2208="","",VLOOKUP('Dashboard And Emails Automate'!$G2208,Database!$H:$N,6,0)),"")</f>
        <v/>
      </c>
      <c r="M2208" s="55" t="str">
        <f>IFERROR(IF($G2208="","",VLOOKUP('Dashboard And Emails Automate'!$G2208,Database!$H:$N,7,0)),"")</f>
        <v/>
      </c>
      <c r="N2208" s="55" t="str">
        <f>IFERROR(IF(OR($B2208="",$B2208="(blank)"),"",VLOOKUP($B2208,'Email Marketing Raw Data'!$C:$O,6,0)),"")</f>
        <v/>
      </c>
      <c r="O2208" s="55" t="str">
        <f>IFERROR(IF(OR($B2208="",$B2208="(blank)"),"",VLOOKUP($B2208,'Email Marketing Raw Data'!$C:$O,7,0)),"")</f>
        <v/>
      </c>
      <c r="P2208" s="55" t="str">
        <f>IFERROR(IF(OR($B2208="",$B2208="(blank)"),"",VLOOKUP($B2208,'Email Marketing Raw Data'!$C:$O,8,0)),"")</f>
        <v/>
      </c>
      <c r="Q2208" s="62" t="str">
        <f>IFERROR(IF(OR($B2208="",$B2208="(blank)"),"",VLOOKUP($B2208,'Email Marketing Raw Data'!$C:$O,9,0)),"")</f>
        <v/>
      </c>
    </row>
    <row r="2209" spans="4:17" ht="12.75" customHeight="1" x14ac:dyDescent="0.2">
      <c r="D2209" s="58" t="str">
        <f>IFERROR(IF(F2209&lt;&gt;"pending","",IF(OR($B2209="",$B2209="(blank)"),"",VLOOKUP($B2209,'Email Marketing Raw Data'!$C:$O,10,0))),"")</f>
        <v/>
      </c>
      <c r="E2209" s="59" t="str">
        <f>IFERROR(IF(F2209&lt;&gt;"pending","",IF(OR($B2209="",$B2209="(blank)"),"",VLOOKUP($B2209,'Email Marketing Raw Data'!$C:$O,11,0))),"")</f>
        <v/>
      </c>
      <c r="F2209" s="54" t="str">
        <f>IFERROR(IF(OR($B2209="",$B2209="(blank)"),"",VLOOKUP($B2209,'Email Marketing Raw Data'!$C:$O,13,0)),"")</f>
        <v/>
      </c>
      <c r="G2209" s="55" t="str">
        <f>IFERROR(IF(OR($B2209="",$B2209="(blank)"),"",VLOOKUP($B2209,'Email Marketing Raw Data'!$C:$O,4,0)),"")</f>
        <v/>
      </c>
      <c r="H2209" s="55" t="str">
        <f>IFERROR(IF(OR($B2209="",$B2209="(blank)"),"",VLOOKUP($B2209,'Email Marketing Raw Data'!$C:$O,5,0)),"")</f>
        <v/>
      </c>
      <c r="I2209" s="55" t="str">
        <f>IFERROR(IF($G2209="","",VLOOKUP('Dashboard And Emails Automate'!$G2209,Database!$H:$N,3,0)),"")</f>
        <v/>
      </c>
      <c r="J2209" s="55" t="str">
        <f>IFERROR(IF($G2209="","",VLOOKUP('Dashboard And Emails Automate'!$G2209,Database!$H:$N,4,0)),"")</f>
        <v/>
      </c>
      <c r="K2209" s="55" t="str">
        <f>IFERROR(IF($G2209="","",VLOOKUP('Dashboard And Emails Automate'!$G2209,Database!$H:$N,5,0)),"")</f>
        <v/>
      </c>
      <c r="L2209" s="55" t="str">
        <f>IFERROR(IF($G2209="","",VLOOKUP('Dashboard And Emails Automate'!$G2209,Database!$H:$N,6,0)),"")</f>
        <v/>
      </c>
      <c r="M2209" s="55" t="str">
        <f>IFERROR(IF($G2209="","",VLOOKUP('Dashboard And Emails Automate'!$G2209,Database!$H:$N,7,0)),"")</f>
        <v/>
      </c>
      <c r="N2209" s="55" t="str">
        <f>IFERROR(IF(OR($B2209="",$B2209="(blank)"),"",VLOOKUP($B2209,'Email Marketing Raw Data'!$C:$O,6,0)),"")</f>
        <v/>
      </c>
      <c r="O2209" s="55" t="str">
        <f>IFERROR(IF(OR($B2209="",$B2209="(blank)"),"",VLOOKUP($B2209,'Email Marketing Raw Data'!$C:$O,7,0)),"")</f>
        <v/>
      </c>
      <c r="P2209" s="55" t="str">
        <f>IFERROR(IF(OR($B2209="",$B2209="(blank)"),"",VLOOKUP($B2209,'Email Marketing Raw Data'!$C:$O,8,0)),"")</f>
        <v/>
      </c>
      <c r="Q2209" s="62" t="str">
        <f>IFERROR(IF(OR($B2209="",$B2209="(blank)"),"",VLOOKUP($B2209,'Email Marketing Raw Data'!$C:$O,9,0)),"")</f>
        <v/>
      </c>
    </row>
    <row r="2210" spans="4:17" ht="12.75" customHeight="1" x14ac:dyDescent="0.2">
      <c r="D2210" s="58" t="str">
        <f>IFERROR(IF(F2210&lt;&gt;"pending","",IF(OR($B2210="",$B2210="(blank)"),"",VLOOKUP($B2210,'Email Marketing Raw Data'!$C:$O,10,0))),"")</f>
        <v/>
      </c>
      <c r="E2210" s="59" t="str">
        <f>IFERROR(IF(F2210&lt;&gt;"pending","",IF(OR($B2210="",$B2210="(blank)"),"",VLOOKUP($B2210,'Email Marketing Raw Data'!$C:$O,11,0))),"")</f>
        <v/>
      </c>
      <c r="F2210" s="54" t="str">
        <f>IFERROR(IF(OR($B2210="",$B2210="(blank)"),"",VLOOKUP($B2210,'Email Marketing Raw Data'!$C:$O,13,0)),"")</f>
        <v/>
      </c>
      <c r="G2210" s="55" t="str">
        <f>IFERROR(IF(OR($B2210="",$B2210="(blank)"),"",VLOOKUP($B2210,'Email Marketing Raw Data'!$C:$O,4,0)),"")</f>
        <v/>
      </c>
      <c r="H2210" s="55" t="str">
        <f>IFERROR(IF(OR($B2210="",$B2210="(blank)"),"",VLOOKUP($B2210,'Email Marketing Raw Data'!$C:$O,5,0)),"")</f>
        <v/>
      </c>
      <c r="I2210" s="55" t="str">
        <f>IFERROR(IF($G2210="","",VLOOKUP('Dashboard And Emails Automate'!$G2210,Database!$H:$N,3,0)),"")</f>
        <v/>
      </c>
      <c r="J2210" s="55" t="str">
        <f>IFERROR(IF($G2210="","",VLOOKUP('Dashboard And Emails Automate'!$G2210,Database!$H:$N,4,0)),"")</f>
        <v/>
      </c>
      <c r="K2210" s="55" t="str">
        <f>IFERROR(IF($G2210="","",VLOOKUP('Dashboard And Emails Automate'!$G2210,Database!$H:$N,5,0)),"")</f>
        <v/>
      </c>
      <c r="L2210" s="55" t="str">
        <f>IFERROR(IF($G2210="","",VLOOKUP('Dashboard And Emails Automate'!$G2210,Database!$H:$N,6,0)),"")</f>
        <v/>
      </c>
      <c r="M2210" s="55" t="str">
        <f>IFERROR(IF($G2210="","",VLOOKUP('Dashboard And Emails Automate'!$G2210,Database!$H:$N,7,0)),"")</f>
        <v/>
      </c>
      <c r="N2210" s="55" t="str">
        <f>IFERROR(IF(OR($B2210="",$B2210="(blank)"),"",VLOOKUP($B2210,'Email Marketing Raw Data'!$C:$O,6,0)),"")</f>
        <v/>
      </c>
      <c r="O2210" s="55" t="str">
        <f>IFERROR(IF(OR($B2210="",$B2210="(blank)"),"",VLOOKUP($B2210,'Email Marketing Raw Data'!$C:$O,7,0)),"")</f>
        <v/>
      </c>
      <c r="P2210" s="55" t="str">
        <f>IFERROR(IF(OR($B2210="",$B2210="(blank)"),"",VLOOKUP($B2210,'Email Marketing Raw Data'!$C:$O,8,0)),"")</f>
        <v/>
      </c>
      <c r="Q2210" s="62" t="str">
        <f>IFERROR(IF(OR($B2210="",$B2210="(blank)"),"",VLOOKUP($B2210,'Email Marketing Raw Data'!$C:$O,9,0)),"")</f>
        <v/>
      </c>
    </row>
    <row r="2211" spans="4:17" ht="12.75" customHeight="1" x14ac:dyDescent="0.2">
      <c r="D2211" s="58" t="str">
        <f>IFERROR(IF(F2211&lt;&gt;"pending","",IF(OR($B2211="",$B2211="(blank)"),"",VLOOKUP($B2211,'Email Marketing Raw Data'!$C:$O,10,0))),"")</f>
        <v/>
      </c>
      <c r="E2211" s="59" t="str">
        <f>IFERROR(IF(F2211&lt;&gt;"pending","",IF(OR($B2211="",$B2211="(blank)"),"",VLOOKUP($B2211,'Email Marketing Raw Data'!$C:$O,11,0))),"")</f>
        <v/>
      </c>
      <c r="F2211" s="54" t="str">
        <f>IFERROR(IF(OR($B2211="",$B2211="(blank)"),"",VLOOKUP($B2211,'Email Marketing Raw Data'!$C:$O,13,0)),"")</f>
        <v/>
      </c>
      <c r="G2211" s="55" t="str">
        <f>IFERROR(IF(OR($B2211="",$B2211="(blank)"),"",VLOOKUP($B2211,'Email Marketing Raw Data'!$C:$O,4,0)),"")</f>
        <v/>
      </c>
      <c r="H2211" s="55" t="str">
        <f>IFERROR(IF(OR($B2211="",$B2211="(blank)"),"",VLOOKUP($B2211,'Email Marketing Raw Data'!$C:$O,5,0)),"")</f>
        <v/>
      </c>
      <c r="I2211" s="55" t="str">
        <f>IFERROR(IF($G2211="","",VLOOKUP('Dashboard And Emails Automate'!$G2211,Database!$H:$N,3,0)),"")</f>
        <v/>
      </c>
      <c r="J2211" s="55" t="str">
        <f>IFERROR(IF($G2211="","",VLOOKUP('Dashboard And Emails Automate'!$G2211,Database!$H:$N,4,0)),"")</f>
        <v/>
      </c>
      <c r="K2211" s="55" t="str">
        <f>IFERROR(IF($G2211="","",VLOOKUP('Dashboard And Emails Automate'!$G2211,Database!$H:$N,5,0)),"")</f>
        <v/>
      </c>
      <c r="L2211" s="55" t="str">
        <f>IFERROR(IF($G2211="","",VLOOKUP('Dashboard And Emails Automate'!$G2211,Database!$H:$N,6,0)),"")</f>
        <v/>
      </c>
      <c r="M2211" s="55" t="str">
        <f>IFERROR(IF($G2211="","",VLOOKUP('Dashboard And Emails Automate'!$G2211,Database!$H:$N,7,0)),"")</f>
        <v/>
      </c>
      <c r="N2211" s="55" t="str">
        <f>IFERROR(IF(OR($B2211="",$B2211="(blank)"),"",VLOOKUP($B2211,'Email Marketing Raw Data'!$C:$O,6,0)),"")</f>
        <v/>
      </c>
      <c r="O2211" s="55" t="str">
        <f>IFERROR(IF(OR($B2211="",$B2211="(blank)"),"",VLOOKUP($B2211,'Email Marketing Raw Data'!$C:$O,7,0)),"")</f>
        <v/>
      </c>
      <c r="P2211" s="55" t="str">
        <f>IFERROR(IF(OR($B2211="",$B2211="(blank)"),"",VLOOKUP($B2211,'Email Marketing Raw Data'!$C:$O,8,0)),"")</f>
        <v/>
      </c>
      <c r="Q2211" s="62" t="str">
        <f>IFERROR(IF(OR($B2211="",$B2211="(blank)"),"",VLOOKUP($B2211,'Email Marketing Raw Data'!$C:$O,9,0)),"")</f>
        <v/>
      </c>
    </row>
    <row r="2212" spans="4:17" ht="12.75" customHeight="1" x14ac:dyDescent="0.2">
      <c r="D2212" s="58" t="str">
        <f>IFERROR(IF(F2212&lt;&gt;"pending","",IF(OR($B2212="",$B2212="(blank)"),"",VLOOKUP($B2212,'Email Marketing Raw Data'!$C:$O,10,0))),"")</f>
        <v/>
      </c>
      <c r="E2212" s="59" t="str">
        <f>IFERROR(IF(F2212&lt;&gt;"pending","",IF(OR($B2212="",$B2212="(blank)"),"",VLOOKUP($B2212,'Email Marketing Raw Data'!$C:$O,11,0))),"")</f>
        <v/>
      </c>
      <c r="F2212" s="54" t="str">
        <f>IFERROR(IF(OR($B2212="",$B2212="(blank)"),"",VLOOKUP($B2212,'Email Marketing Raw Data'!$C:$O,13,0)),"")</f>
        <v/>
      </c>
      <c r="G2212" s="55" t="str">
        <f>IFERROR(IF(OR($B2212="",$B2212="(blank)"),"",VLOOKUP($B2212,'Email Marketing Raw Data'!$C:$O,4,0)),"")</f>
        <v/>
      </c>
      <c r="H2212" s="55" t="str">
        <f>IFERROR(IF(OR($B2212="",$B2212="(blank)"),"",VLOOKUP($B2212,'Email Marketing Raw Data'!$C:$O,5,0)),"")</f>
        <v/>
      </c>
      <c r="I2212" s="55" t="str">
        <f>IFERROR(IF($G2212="","",VLOOKUP('Dashboard And Emails Automate'!$G2212,Database!$H:$N,3,0)),"")</f>
        <v/>
      </c>
      <c r="J2212" s="55" t="str">
        <f>IFERROR(IF($G2212="","",VLOOKUP('Dashboard And Emails Automate'!$G2212,Database!$H:$N,4,0)),"")</f>
        <v/>
      </c>
      <c r="K2212" s="55" t="str">
        <f>IFERROR(IF($G2212="","",VLOOKUP('Dashboard And Emails Automate'!$G2212,Database!$H:$N,5,0)),"")</f>
        <v/>
      </c>
      <c r="L2212" s="55" t="str">
        <f>IFERROR(IF($G2212="","",VLOOKUP('Dashboard And Emails Automate'!$G2212,Database!$H:$N,6,0)),"")</f>
        <v/>
      </c>
      <c r="M2212" s="55" t="str">
        <f>IFERROR(IF($G2212="","",VLOOKUP('Dashboard And Emails Automate'!$G2212,Database!$H:$N,7,0)),"")</f>
        <v/>
      </c>
      <c r="N2212" s="55" t="str">
        <f>IFERROR(IF(OR($B2212="",$B2212="(blank)"),"",VLOOKUP($B2212,'Email Marketing Raw Data'!$C:$O,6,0)),"")</f>
        <v/>
      </c>
      <c r="O2212" s="55" t="str">
        <f>IFERROR(IF(OR($B2212="",$B2212="(blank)"),"",VLOOKUP($B2212,'Email Marketing Raw Data'!$C:$O,7,0)),"")</f>
        <v/>
      </c>
      <c r="P2212" s="55" t="str">
        <f>IFERROR(IF(OR($B2212="",$B2212="(blank)"),"",VLOOKUP($B2212,'Email Marketing Raw Data'!$C:$O,8,0)),"")</f>
        <v/>
      </c>
      <c r="Q2212" s="62" t="str">
        <f>IFERROR(IF(OR($B2212="",$B2212="(blank)"),"",VLOOKUP($B2212,'Email Marketing Raw Data'!$C:$O,9,0)),"")</f>
        <v/>
      </c>
    </row>
    <row r="2213" spans="4:17" ht="12.75" customHeight="1" x14ac:dyDescent="0.2">
      <c r="D2213" s="58" t="str">
        <f>IFERROR(IF(F2213&lt;&gt;"pending","",IF(OR($B2213="",$B2213="(blank)"),"",VLOOKUP($B2213,'Email Marketing Raw Data'!$C:$O,10,0))),"")</f>
        <v/>
      </c>
      <c r="E2213" s="59" t="str">
        <f>IFERROR(IF(F2213&lt;&gt;"pending","",IF(OR($B2213="",$B2213="(blank)"),"",VLOOKUP($B2213,'Email Marketing Raw Data'!$C:$O,11,0))),"")</f>
        <v/>
      </c>
      <c r="F2213" s="54" t="str">
        <f>IFERROR(IF(OR($B2213="",$B2213="(blank)"),"",VLOOKUP($B2213,'Email Marketing Raw Data'!$C:$O,13,0)),"")</f>
        <v/>
      </c>
      <c r="G2213" s="55" t="str">
        <f>IFERROR(IF(OR($B2213="",$B2213="(blank)"),"",VLOOKUP($B2213,'Email Marketing Raw Data'!$C:$O,4,0)),"")</f>
        <v/>
      </c>
      <c r="H2213" s="55" t="str">
        <f>IFERROR(IF(OR($B2213="",$B2213="(blank)"),"",VLOOKUP($B2213,'Email Marketing Raw Data'!$C:$O,5,0)),"")</f>
        <v/>
      </c>
      <c r="I2213" s="55" t="str">
        <f>IFERROR(IF($G2213="","",VLOOKUP('Dashboard And Emails Automate'!$G2213,Database!$H:$N,3,0)),"")</f>
        <v/>
      </c>
      <c r="J2213" s="55" t="str">
        <f>IFERROR(IF($G2213="","",VLOOKUP('Dashboard And Emails Automate'!$G2213,Database!$H:$N,4,0)),"")</f>
        <v/>
      </c>
      <c r="K2213" s="55" t="str">
        <f>IFERROR(IF($G2213="","",VLOOKUP('Dashboard And Emails Automate'!$G2213,Database!$H:$N,5,0)),"")</f>
        <v/>
      </c>
      <c r="L2213" s="55" t="str">
        <f>IFERROR(IF($G2213="","",VLOOKUP('Dashboard And Emails Automate'!$G2213,Database!$H:$N,6,0)),"")</f>
        <v/>
      </c>
      <c r="M2213" s="55" t="str">
        <f>IFERROR(IF($G2213="","",VLOOKUP('Dashboard And Emails Automate'!$G2213,Database!$H:$N,7,0)),"")</f>
        <v/>
      </c>
      <c r="N2213" s="55" t="str">
        <f>IFERROR(IF(OR($B2213="",$B2213="(blank)"),"",VLOOKUP($B2213,'Email Marketing Raw Data'!$C:$O,6,0)),"")</f>
        <v/>
      </c>
      <c r="O2213" s="55" t="str">
        <f>IFERROR(IF(OR($B2213="",$B2213="(blank)"),"",VLOOKUP($B2213,'Email Marketing Raw Data'!$C:$O,7,0)),"")</f>
        <v/>
      </c>
      <c r="P2213" s="55" t="str">
        <f>IFERROR(IF(OR($B2213="",$B2213="(blank)"),"",VLOOKUP($B2213,'Email Marketing Raw Data'!$C:$O,8,0)),"")</f>
        <v/>
      </c>
      <c r="Q2213" s="62" t="str">
        <f>IFERROR(IF(OR($B2213="",$B2213="(blank)"),"",VLOOKUP($B2213,'Email Marketing Raw Data'!$C:$O,9,0)),"")</f>
        <v/>
      </c>
    </row>
    <row r="2214" spans="4:17" ht="12.75" customHeight="1" x14ac:dyDescent="0.2">
      <c r="D2214" s="58" t="str">
        <f>IFERROR(IF(F2214&lt;&gt;"pending","",IF(OR($B2214="",$B2214="(blank)"),"",VLOOKUP($B2214,'Email Marketing Raw Data'!$C:$O,10,0))),"")</f>
        <v/>
      </c>
      <c r="E2214" s="59" t="str">
        <f>IFERROR(IF(F2214&lt;&gt;"pending","",IF(OR($B2214="",$B2214="(blank)"),"",VLOOKUP($B2214,'Email Marketing Raw Data'!$C:$O,11,0))),"")</f>
        <v/>
      </c>
      <c r="F2214" s="54" t="str">
        <f>IFERROR(IF(OR($B2214="",$B2214="(blank)"),"",VLOOKUP($B2214,'Email Marketing Raw Data'!$C:$O,13,0)),"")</f>
        <v/>
      </c>
      <c r="G2214" s="55" t="str">
        <f>IFERROR(IF(OR($B2214="",$B2214="(blank)"),"",VLOOKUP($B2214,'Email Marketing Raw Data'!$C:$O,4,0)),"")</f>
        <v/>
      </c>
      <c r="H2214" s="55" t="str">
        <f>IFERROR(IF(OR($B2214="",$B2214="(blank)"),"",VLOOKUP($B2214,'Email Marketing Raw Data'!$C:$O,5,0)),"")</f>
        <v/>
      </c>
      <c r="I2214" s="55" t="str">
        <f>IFERROR(IF($G2214="","",VLOOKUP('Dashboard And Emails Automate'!$G2214,Database!$H:$N,3,0)),"")</f>
        <v/>
      </c>
      <c r="J2214" s="55" t="str">
        <f>IFERROR(IF($G2214="","",VLOOKUP('Dashboard And Emails Automate'!$G2214,Database!$H:$N,4,0)),"")</f>
        <v/>
      </c>
      <c r="K2214" s="55" t="str">
        <f>IFERROR(IF($G2214="","",VLOOKUP('Dashboard And Emails Automate'!$G2214,Database!$H:$N,5,0)),"")</f>
        <v/>
      </c>
      <c r="L2214" s="55" t="str">
        <f>IFERROR(IF($G2214="","",VLOOKUP('Dashboard And Emails Automate'!$G2214,Database!$H:$N,6,0)),"")</f>
        <v/>
      </c>
      <c r="M2214" s="55" t="str">
        <f>IFERROR(IF($G2214="","",VLOOKUP('Dashboard And Emails Automate'!$G2214,Database!$H:$N,7,0)),"")</f>
        <v/>
      </c>
      <c r="N2214" s="55" t="str">
        <f>IFERROR(IF(OR($B2214="",$B2214="(blank)"),"",VLOOKUP($B2214,'Email Marketing Raw Data'!$C:$O,6,0)),"")</f>
        <v/>
      </c>
      <c r="O2214" s="55" t="str">
        <f>IFERROR(IF(OR($B2214="",$B2214="(blank)"),"",VLOOKUP($B2214,'Email Marketing Raw Data'!$C:$O,7,0)),"")</f>
        <v/>
      </c>
      <c r="P2214" s="55" t="str">
        <f>IFERROR(IF(OR($B2214="",$B2214="(blank)"),"",VLOOKUP($B2214,'Email Marketing Raw Data'!$C:$O,8,0)),"")</f>
        <v/>
      </c>
      <c r="Q2214" s="62" t="str">
        <f>IFERROR(IF(OR($B2214="",$B2214="(blank)"),"",VLOOKUP($B2214,'Email Marketing Raw Data'!$C:$O,9,0)),"")</f>
        <v/>
      </c>
    </row>
    <row r="2215" spans="4:17" ht="12.75" customHeight="1" x14ac:dyDescent="0.2">
      <c r="D2215" s="58" t="str">
        <f>IFERROR(IF(F2215&lt;&gt;"pending","",IF(OR($B2215="",$B2215="(blank)"),"",VLOOKUP($B2215,'Email Marketing Raw Data'!$C:$O,10,0))),"")</f>
        <v/>
      </c>
      <c r="E2215" s="59" t="str">
        <f>IFERROR(IF(F2215&lt;&gt;"pending","",IF(OR($B2215="",$B2215="(blank)"),"",VLOOKUP($B2215,'Email Marketing Raw Data'!$C:$O,11,0))),"")</f>
        <v/>
      </c>
      <c r="F2215" s="54" t="str">
        <f>IFERROR(IF(OR($B2215="",$B2215="(blank)"),"",VLOOKUP($B2215,'Email Marketing Raw Data'!$C:$O,13,0)),"")</f>
        <v/>
      </c>
      <c r="G2215" s="55" t="str">
        <f>IFERROR(IF(OR($B2215="",$B2215="(blank)"),"",VLOOKUP($B2215,'Email Marketing Raw Data'!$C:$O,4,0)),"")</f>
        <v/>
      </c>
      <c r="H2215" s="55" t="str">
        <f>IFERROR(IF(OR($B2215="",$B2215="(blank)"),"",VLOOKUP($B2215,'Email Marketing Raw Data'!$C:$O,5,0)),"")</f>
        <v/>
      </c>
      <c r="I2215" s="55" t="str">
        <f>IFERROR(IF($G2215="","",VLOOKUP('Dashboard And Emails Automate'!$G2215,Database!$H:$N,3,0)),"")</f>
        <v/>
      </c>
      <c r="J2215" s="55" t="str">
        <f>IFERROR(IF($G2215="","",VLOOKUP('Dashboard And Emails Automate'!$G2215,Database!$H:$N,4,0)),"")</f>
        <v/>
      </c>
      <c r="K2215" s="55" t="str">
        <f>IFERROR(IF($G2215="","",VLOOKUP('Dashboard And Emails Automate'!$G2215,Database!$H:$N,5,0)),"")</f>
        <v/>
      </c>
      <c r="L2215" s="55" t="str">
        <f>IFERROR(IF($G2215="","",VLOOKUP('Dashboard And Emails Automate'!$G2215,Database!$H:$N,6,0)),"")</f>
        <v/>
      </c>
      <c r="M2215" s="55" t="str">
        <f>IFERROR(IF($G2215="","",VLOOKUP('Dashboard And Emails Automate'!$G2215,Database!$H:$N,7,0)),"")</f>
        <v/>
      </c>
      <c r="N2215" s="55" t="str">
        <f>IFERROR(IF(OR($B2215="",$B2215="(blank)"),"",VLOOKUP($B2215,'Email Marketing Raw Data'!$C:$O,6,0)),"")</f>
        <v/>
      </c>
      <c r="O2215" s="55" t="str">
        <f>IFERROR(IF(OR($B2215="",$B2215="(blank)"),"",VLOOKUP($B2215,'Email Marketing Raw Data'!$C:$O,7,0)),"")</f>
        <v/>
      </c>
      <c r="P2215" s="55" t="str">
        <f>IFERROR(IF(OR($B2215="",$B2215="(blank)"),"",VLOOKUP($B2215,'Email Marketing Raw Data'!$C:$O,8,0)),"")</f>
        <v/>
      </c>
      <c r="Q2215" s="62" t="str">
        <f>IFERROR(IF(OR($B2215="",$B2215="(blank)"),"",VLOOKUP($B2215,'Email Marketing Raw Data'!$C:$O,9,0)),"")</f>
        <v/>
      </c>
    </row>
    <row r="2216" spans="4:17" ht="12.75" customHeight="1" x14ac:dyDescent="0.2">
      <c r="D2216" s="58" t="str">
        <f>IFERROR(IF(F2216&lt;&gt;"pending","",IF(OR($B2216="",$B2216="(blank)"),"",VLOOKUP($B2216,'Email Marketing Raw Data'!$C:$O,10,0))),"")</f>
        <v/>
      </c>
      <c r="E2216" s="59" t="str">
        <f>IFERROR(IF(F2216&lt;&gt;"pending","",IF(OR($B2216="",$B2216="(blank)"),"",VLOOKUP($B2216,'Email Marketing Raw Data'!$C:$O,11,0))),"")</f>
        <v/>
      </c>
      <c r="F2216" s="54" t="str">
        <f>IFERROR(IF(OR($B2216="",$B2216="(blank)"),"",VLOOKUP($B2216,'Email Marketing Raw Data'!$C:$O,13,0)),"")</f>
        <v/>
      </c>
      <c r="G2216" s="55" t="str">
        <f>IFERROR(IF(OR($B2216="",$B2216="(blank)"),"",VLOOKUP($B2216,'Email Marketing Raw Data'!$C:$O,4,0)),"")</f>
        <v/>
      </c>
      <c r="H2216" s="55" t="str">
        <f>IFERROR(IF(OR($B2216="",$B2216="(blank)"),"",VLOOKUP($B2216,'Email Marketing Raw Data'!$C:$O,5,0)),"")</f>
        <v/>
      </c>
      <c r="I2216" s="55" t="str">
        <f>IFERROR(IF($G2216="","",VLOOKUP('Dashboard And Emails Automate'!$G2216,Database!$H:$N,3,0)),"")</f>
        <v/>
      </c>
      <c r="J2216" s="55" t="str">
        <f>IFERROR(IF($G2216="","",VLOOKUP('Dashboard And Emails Automate'!$G2216,Database!$H:$N,4,0)),"")</f>
        <v/>
      </c>
      <c r="K2216" s="55" t="str">
        <f>IFERROR(IF($G2216="","",VLOOKUP('Dashboard And Emails Automate'!$G2216,Database!$H:$N,5,0)),"")</f>
        <v/>
      </c>
      <c r="L2216" s="55" t="str">
        <f>IFERROR(IF($G2216="","",VLOOKUP('Dashboard And Emails Automate'!$G2216,Database!$H:$N,6,0)),"")</f>
        <v/>
      </c>
      <c r="M2216" s="55" t="str">
        <f>IFERROR(IF($G2216="","",VLOOKUP('Dashboard And Emails Automate'!$G2216,Database!$H:$N,7,0)),"")</f>
        <v/>
      </c>
      <c r="N2216" s="55" t="str">
        <f>IFERROR(IF(OR($B2216="",$B2216="(blank)"),"",VLOOKUP($B2216,'Email Marketing Raw Data'!$C:$O,6,0)),"")</f>
        <v/>
      </c>
      <c r="O2216" s="55" t="str">
        <f>IFERROR(IF(OR($B2216="",$B2216="(blank)"),"",VLOOKUP($B2216,'Email Marketing Raw Data'!$C:$O,7,0)),"")</f>
        <v/>
      </c>
      <c r="P2216" s="55" t="str">
        <f>IFERROR(IF(OR($B2216="",$B2216="(blank)"),"",VLOOKUP($B2216,'Email Marketing Raw Data'!$C:$O,8,0)),"")</f>
        <v/>
      </c>
      <c r="Q2216" s="62" t="str">
        <f>IFERROR(IF(OR($B2216="",$B2216="(blank)"),"",VLOOKUP($B2216,'Email Marketing Raw Data'!$C:$O,9,0)),"")</f>
        <v/>
      </c>
    </row>
    <row r="2217" spans="4:17" ht="12.75" customHeight="1" x14ac:dyDescent="0.2">
      <c r="D2217" s="58" t="str">
        <f>IFERROR(IF(F2217&lt;&gt;"pending","",IF(OR($B2217="",$B2217="(blank)"),"",VLOOKUP($B2217,'Email Marketing Raw Data'!$C:$O,10,0))),"")</f>
        <v/>
      </c>
      <c r="E2217" s="59" t="str">
        <f>IFERROR(IF(F2217&lt;&gt;"pending","",IF(OR($B2217="",$B2217="(blank)"),"",VLOOKUP($B2217,'Email Marketing Raw Data'!$C:$O,11,0))),"")</f>
        <v/>
      </c>
      <c r="F2217" s="54" t="str">
        <f>IFERROR(IF(OR($B2217="",$B2217="(blank)"),"",VLOOKUP($B2217,'Email Marketing Raw Data'!$C:$O,13,0)),"")</f>
        <v/>
      </c>
      <c r="G2217" s="55" t="str">
        <f>IFERROR(IF(OR($B2217="",$B2217="(blank)"),"",VLOOKUP($B2217,'Email Marketing Raw Data'!$C:$O,4,0)),"")</f>
        <v/>
      </c>
      <c r="H2217" s="55" t="str">
        <f>IFERROR(IF(OR($B2217="",$B2217="(blank)"),"",VLOOKUP($B2217,'Email Marketing Raw Data'!$C:$O,5,0)),"")</f>
        <v/>
      </c>
      <c r="I2217" s="55" t="str">
        <f>IFERROR(IF($G2217="","",VLOOKUP('Dashboard And Emails Automate'!$G2217,Database!$H:$N,3,0)),"")</f>
        <v/>
      </c>
      <c r="J2217" s="55" t="str">
        <f>IFERROR(IF($G2217="","",VLOOKUP('Dashboard And Emails Automate'!$G2217,Database!$H:$N,4,0)),"")</f>
        <v/>
      </c>
      <c r="K2217" s="55" t="str">
        <f>IFERROR(IF($G2217="","",VLOOKUP('Dashboard And Emails Automate'!$G2217,Database!$H:$N,5,0)),"")</f>
        <v/>
      </c>
      <c r="L2217" s="55" t="str">
        <f>IFERROR(IF($G2217="","",VLOOKUP('Dashboard And Emails Automate'!$G2217,Database!$H:$N,6,0)),"")</f>
        <v/>
      </c>
      <c r="M2217" s="55" t="str">
        <f>IFERROR(IF($G2217="","",VLOOKUP('Dashboard And Emails Automate'!$G2217,Database!$H:$N,7,0)),"")</f>
        <v/>
      </c>
      <c r="N2217" s="55" t="str">
        <f>IFERROR(IF(OR($B2217="",$B2217="(blank)"),"",VLOOKUP($B2217,'Email Marketing Raw Data'!$C:$O,6,0)),"")</f>
        <v/>
      </c>
      <c r="O2217" s="55" t="str">
        <f>IFERROR(IF(OR($B2217="",$B2217="(blank)"),"",VLOOKUP($B2217,'Email Marketing Raw Data'!$C:$O,7,0)),"")</f>
        <v/>
      </c>
      <c r="P2217" s="55" t="str">
        <f>IFERROR(IF(OR($B2217="",$B2217="(blank)"),"",VLOOKUP($B2217,'Email Marketing Raw Data'!$C:$O,8,0)),"")</f>
        <v/>
      </c>
      <c r="Q2217" s="62" t="str">
        <f>IFERROR(IF(OR($B2217="",$B2217="(blank)"),"",VLOOKUP($B2217,'Email Marketing Raw Data'!$C:$O,9,0)),"")</f>
        <v/>
      </c>
    </row>
    <row r="2218" spans="4:17" ht="12.75" customHeight="1" x14ac:dyDescent="0.2">
      <c r="D2218" s="58" t="str">
        <f>IFERROR(IF(F2218&lt;&gt;"pending","",IF(OR($B2218="",$B2218="(blank)"),"",VLOOKUP($B2218,'Email Marketing Raw Data'!$C:$O,10,0))),"")</f>
        <v/>
      </c>
      <c r="E2218" s="59" t="str">
        <f>IFERROR(IF(F2218&lt;&gt;"pending","",IF(OR($B2218="",$B2218="(blank)"),"",VLOOKUP($B2218,'Email Marketing Raw Data'!$C:$O,11,0))),"")</f>
        <v/>
      </c>
      <c r="F2218" s="54" t="str">
        <f>IFERROR(IF(OR($B2218="",$B2218="(blank)"),"",VLOOKUP($B2218,'Email Marketing Raw Data'!$C:$O,13,0)),"")</f>
        <v/>
      </c>
      <c r="G2218" s="55" t="str">
        <f>IFERROR(IF(OR($B2218="",$B2218="(blank)"),"",VLOOKUP($B2218,'Email Marketing Raw Data'!$C:$O,4,0)),"")</f>
        <v/>
      </c>
      <c r="H2218" s="55" t="str">
        <f>IFERROR(IF(OR($B2218="",$B2218="(blank)"),"",VLOOKUP($B2218,'Email Marketing Raw Data'!$C:$O,5,0)),"")</f>
        <v/>
      </c>
      <c r="I2218" s="55" t="str">
        <f>IFERROR(IF($G2218="","",VLOOKUP('Dashboard And Emails Automate'!$G2218,Database!$H:$N,3,0)),"")</f>
        <v/>
      </c>
      <c r="J2218" s="55" t="str">
        <f>IFERROR(IF($G2218="","",VLOOKUP('Dashboard And Emails Automate'!$G2218,Database!$H:$N,4,0)),"")</f>
        <v/>
      </c>
      <c r="K2218" s="55" t="str">
        <f>IFERROR(IF($G2218="","",VLOOKUP('Dashboard And Emails Automate'!$G2218,Database!$H:$N,5,0)),"")</f>
        <v/>
      </c>
      <c r="L2218" s="55" t="str">
        <f>IFERROR(IF($G2218="","",VLOOKUP('Dashboard And Emails Automate'!$G2218,Database!$H:$N,6,0)),"")</f>
        <v/>
      </c>
      <c r="M2218" s="55" t="str">
        <f>IFERROR(IF($G2218="","",VLOOKUP('Dashboard And Emails Automate'!$G2218,Database!$H:$N,7,0)),"")</f>
        <v/>
      </c>
      <c r="N2218" s="55" t="str">
        <f>IFERROR(IF(OR($B2218="",$B2218="(blank)"),"",VLOOKUP($B2218,'Email Marketing Raw Data'!$C:$O,6,0)),"")</f>
        <v/>
      </c>
      <c r="O2218" s="55" t="str">
        <f>IFERROR(IF(OR($B2218="",$B2218="(blank)"),"",VLOOKUP($B2218,'Email Marketing Raw Data'!$C:$O,7,0)),"")</f>
        <v/>
      </c>
      <c r="P2218" s="55" t="str">
        <f>IFERROR(IF(OR($B2218="",$B2218="(blank)"),"",VLOOKUP($B2218,'Email Marketing Raw Data'!$C:$O,8,0)),"")</f>
        <v/>
      </c>
      <c r="Q2218" s="62" t="str">
        <f>IFERROR(IF(OR($B2218="",$B2218="(blank)"),"",VLOOKUP($B2218,'Email Marketing Raw Data'!$C:$O,9,0)),"")</f>
        <v/>
      </c>
    </row>
    <row r="2219" spans="4:17" ht="12.75" customHeight="1" x14ac:dyDescent="0.2">
      <c r="D2219" s="58" t="str">
        <f>IFERROR(IF(F2219&lt;&gt;"pending","",IF(OR($B2219="",$B2219="(blank)"),"",VLOOKUP($B2219,'Email Marketing Raw Data'!$C:$O,10,0))),"")</f>
        <v/>
      </c>
      <c r="E2219" s="59" t="str">
        <f>IFERROR(IF(F2219&lt;&gt;"pending","",IF(OR($B2219="",$B2219="(blank)"),"",VLOOKUP($B2219,'Email Marketing Raw Data'!$C:$O,11,0))),"")</f>
        <v/>
      </c>
      <c r="F2219" s="54" t="str">
        <f>IFERROR(IF(OR($B2219="",$B2219="(blank)"),"",VLOOKUP($B2219,'Email Marketing Raw Data'!$C:$O,13,0)),"")</f>
        <v/>
      </c>
      <c r="G2219" s="55" t="str">
        <f>IFERROR(IF(OR($B2219="",$B2219="(blank)"),"",VLOOKUP($B2219,'Email Marketing Raw Data'!$C:$O,4,0)),"")</f>
        <v/>
      </c>
      <c r="H2219" s="55" t="str">
        <f>IFERROR(IF(OR($B2219="",$B2219="(blank)"),"",VLOOKUP($B2219,'Email Marketing Raw Data'!$C:$O,5,0)),"")</f>
        <v/>
      </c>
      <c r="I2219" s="55" t="str">
        <f>IFERROR(IF($G2219="","",VLOOKUP('Dashboard And Emails Automate'!$G2219,Database!$H:$N,3,0)),"")</f>
        <v/>
      </c>
      <c r="J2219" s="55" t="str">
        <f>IFERROR(IF($G2219="","",VLOOKUP('Dashboard And Emails Automate'!$G2219,Database!$H:$N,4,0)),"")</f>
        <v/>
      </c>
      <c r="K2219" s="55" t="str">
        <f>IFERROR(IF($G2219="","",VLOOKUP('Dashboard And Emails Automate'!$G2219,Database!$H:$N,5,0)),"")</f>
        <v/>
      </c>
      <c r="L2219" s="55" t="str">
        <f>IFERROR(IF($G2219="","",VLOOKUP('Dashboard And Emails Automate'!$G2219,Database!$H:$N,6,0)),"")</f>
        <v/>
      </c>
      <c r="M2219" s="55" t="str">
        <f>IFERROR(IF($G2219="","",VLOOKUP('Dashboard And Emails Automate'!$G2219,Database!$H:$N,7,0)),"")</f>
        <v/>
      </c>
      <c r="N2219" s="55" t="str">
        <f>IFERROR(IF(OR($B2219="",$B2219="(blank)"),"",VLOOKUP($B2219,'Email Marketing Raw Data'!$C:$O,6,0)),"")</f>
        <v/>
      </c>
      <c r="O2219" s="55" t="str">
        <f>IFERROR(IF(OR($B2219="",$B2219="(blank)"),"",VLOOKUP($B2219,'Email Marketing Raw Data'!$C:$O,7,0)),"")</f>
        <v/>
      </c>
      <c r="P2219" s="55" t="str">
        <f>IFERROR(IF(OR($B2219="",$B2219="(blank)"),"",VLOOKUP($B2219,'Email Marketing Raw Data'!$C:$O,8,0)),"")</f>
        <v/>
      </c>
      <c r="Q2219" s="62" t="str">
        <f>IFERROR(IF(OR($B2219="",$B2219="(blank)"),"",VLOOKUP($B2219,'Email Marketing Raw Data'!$C:$O,9,0)),"")</f>
        <v/>
      </c>
    </row>
    <row r="2220" spans="4:17" ht="12.75" customHeight="1" x14ac:dyDescent="0.2">
      <c r="D2220" s="58" t="str">
        <f>IFERROR(IF(F2220&lt;&gt;"pending","",IF(OR($B2220="",$B2220="(blank)"),"",VLOOKUP($B2220,'Email Marketing Raw Data'!$C:$O,10,0))),"")</f>
        <v/>
      </c>
      <c r="E2220" s="59" t="str">
        <f>IFERROR(IF(F2220&lt;&gt;"pending","",IF(OR($B2220="",$B2220="(blank)"),"",VLOOKUP($B2220,'Email Marketing Raw Data'!$C:$O,11,0))),"")</f>
        <v/>
      </c>
      <c r="F2220" s="54" t="str">
        <f>IFERROR(IF(OR($B2220="",$B2220="(blank)"),"",VLOOKUP($B2220,'Email Marketing Raw Data'!$C:$O,13,0)),"")</f>
        <v/>
      </c>
      <c r="G2220" s="55" t="str">
        <f>IFERROR(IF(OR($B2220="",$B2220="(blank)"),"",VLOOKUP($B2220,'Email Marketing Raw Data'!$C:$O,4,0)),"")</f>
        <v/>
      </c>
      <c r="H2220" s="55" t="str">
        <f>IFERROR(IF(OR($B2220="",$B2220="(blank)"),"",VLOOKUP($B2220,'Email Marketing Raw Data'!$C:$O,5,0)),"")</f>
        <v/>
      </c>
      <c r="I2220" s="55" t="str">
        <f>IFERROR(IF($G2220="","",VLOOKUP('Dashboard And Emails Automate'!$G2220,Database!$H:$N,3,0)),"")</f>
        <v/>
      </c>
      <c r="J2220" s="55" t="str">
        <f>IFERROR(IF($G2220="","",VLOOKUP('Dashboard And Emails Automate'!$G2220,Database!$H:$N,4,0)),"")</f>
        <v/>
      </c>
      <c r="K2220" s="55" t="str">
        <f>IFERROR(IF($G2220="","",VLOOKUP('Dashboard And Emails Automate'!$G2220,Database!$H:$N,5,0)),"")</f>
        <v/>
      </c>
      <c r="L2220" s="55" t="str">
        <f>IFERROR(IF($G2220="","",VLOOKUP('Dashboard And Emails Automate'!$G2220,Database!$H:$N,6,0)),"")</f>
        <v/>
      </c>
      <c r="M2220" s="55" t="str">
        <f>IFERROR(IF($G2220="","",VLOOKUP('Dashboard And Emails Automate'!$G2220,Database!$H:$N,7,0)),"")</f>
        <v/>
      </c>
      <c r="N2220" s="55" t="str">
        <f>IFERROR(IF(OR($B2220="",$B2220="(blank)"),"",VLOOKUP($B2220,'Email Marketing Raw Data'!$C:$O,6,0)),"")</f>
        <v/>
      </c>
      <c r="O2220" s="55" t="str">
        <f>IFERROR(IF(OR($B2220="",$B2220="(blank)"),"",VLOOKUP($B2220,'Email Marketing Raw Data'!$C:$O,7,0)),"")</f>
        <v/>
      </c>
      <c r="P2220" s="55" t="str">
        <f>IFERROR(IF(OR($B2220="",$B2220="(blank)"),"",VLOOKUP($B2220,'Email Marketing Raw Data'!$C:$O,8,0)),"")</f>
        <v/>
      </c>
      <c r="Q2220" s="62" t="str">
        <f>IFERROR(IF(OR($B2220="",$B2220="(blank)"),"",VLOOKUP($B2220,'Email Marketing Raw Data'!$C:$O,9,0)),"")</f>
        <v/>
      </c>
    </row>
    <row r="2221" spans="4:17" ht="12.75" customHeight="1" x14ac:dyDescent="0.2">
      <c r="D2221" s="58" t="str">
        <f>IFERROR(IF(F2221&lt;&gt;"pending","",IF(OR($B2221="",$B2221="(blank)"),"",VLOOKUP($B2221,'Email Marketing Raw Data'!$C:$O,10,0))),"")</f>
        <v/>
      </c>
      <c r="E2221" s="59" t="str">
        <f>IFERROR(IF(F2221&lt;&gt;"pending","",IF(OR($B2221="",$B2221="(blank)"),"",VLOOKUP($B2221,'Email Marketing Raw Data'!$C:$O,11,0))),"")</f>
        <v/>
      </c>
      <c r="F2221" s="54" t="str">
        <f>IFERROR(IF(OR($B2221="",$B2221="(blank)"),"",VLOOKUP($B2221,'Email Marketing Raw Data'!$C:$O,13,0)),"")</f>
        <v/>
      </c>
      <c r="G2221" s="55" t="str">
        <f>IFERROR(IF(OR($B2221="",$B2221="(blank)"),"",VLOOKUP($B2221,'Email Marketing Raw Data'!$C:$O,4,0)),"")</f>
        <v/>
      </c>
      <c r="H2221" s="55" t="str">
        <f>IFERROR(IF(OR($B2221="",$B2221="(blank)"),"",VLOOKUP($B2221,'Email Marketing Raw Data'!$C:$O,5,0)),"")</f>
        <v/>
      </c>
      <c r="I2221" s="55" t="str">
        <f>IFERROR(IF($G2221="","",VLOOKUP('Dashboard And Emails Automate'!$G2221,Database!$H:$N,3,0)),"")</f>
        <v/>
      </c>
      <c r="J2221" s="55" t="str">
        <f>IFERROR(IF($G2221="","",VLOOKUP('Dashboard And Emails Automate'!$G2221,Database!$H:$N,4,0)),"")</f>
        <v/>
      </c>
      <c r="K2221" s="55" t="str">
        <f>IFERROR(IF($G2221="","",VLOOKUP('Dashboard And Emails Automate'!$G2221,Database!$H:$N,5,0)),"")</f>
        <v/>
      </c>
      <c r="L2221" s="55" t="str">
        <f>IFERROR(IF($G2221="","",VLOOKUP('Dashboard And Emails Automate'!$G2221,Database!$H:$N,6,0)),"")</f>
        <v/>
      </c>
      <c r="M2221" s="55" t="str">
        <f>IFERROR(IF($G2221="","",VLOOKUP('Dashboard And Emails Automate'!$G2221,Database!$H:$N,7,0)),"")</f>
        <v/>
      </c>
      <c r="N2221" s="55" t="str">
        <f>IFERROR(IF(OR($B2221="",$B2221="(blank)"),"",VLOOKUP($B2221,'Email Marketing Raw Data'!$C:$O,6,0)),"")</f>
        <v/>
      </c>
      <c r="O2221" s="55" t="str">
        <f>IFERROR(IF(OR($B2221="",$B2221="(blank)"),"",VLOOKUP($B2221,'Email Marketing Raw Data'!$C:$O,7,0)),"")</f>
        <v/>
      </c>
      <c r="P2221" s="55" t="str">
        <f>IFERROR(IF(OR($B2221="",$B2221="(blank)"),"",VLOOKUP($B2221,'Email Marketing Raw Data'!$C:$O,8,0)),"")</f>
        <v/>
      </c>
      <c r="Q2221" s="62" t="str">
        <f>IFERROR(IF(OR($B2221="",$B2221="(blank)"),"",VLOOKUP($B2221,'Email Marketing Raw Data'!$C:$O,9,0)),"")</f>
        <v/>
      </c>
    </row>
    <row r="2222" spans="4:17" ht="12.75" customHeight="1" x14ac:dyDescent="0.2">
      <c r="D2222" s="58" t="str">
        <f>IFERROR(IF(F2222&lt;&gt;"pending","",IF(OR($B2222="",$B2222="(blank)"),"",VLOOKUP($B2222,'Email Marketing Raw Data'!$C:$O,10,0))),"")</f>
        <v/>
      </c>
      <c r="E2222" s="59" t="str">
        <f>IFERROR(IF(F2222&lt;&gt;"pending","",IF(OR($B2222="",$B2222="(blank)"),"",VLOOKUP($B2222,'Email Marketing Raw Data'!$C:$O,11,0))),"")</f>
        <v/>
      </c>
      <c r="F2222" s="54" t="str">
        <f>IFERROR(IF(OR($B2222="",$B2222="(blank)"),"",VLOOKUP($B2222,'Email Marketing Raw Data'!$C:$O,13,0)),"")</f>
        <v/>
      </c>
      <c r="G2222" s="55" t="str">
        <f>IFERROR(IF(OR($B2222="",$B2222="(blank)"),"",VLOOKUP($B2222,'Email Marketing Raw Data'!$C:$O,4,0)),"")</f>
        <v/>
      </c>
      <c r="H2222" s="55" t="str">
        <f>IFERROR(IF(OR($B2222="",$B2222="(blank)"),"",VLOOKUP($B2222,'Email Marketing Raw Data'!$C:$O,5,0)),"")</f>
        <v/>
      </c>
      <c r="I2222" s="55" t="str">
        <f>IFERROR(IF($G2222="","",VLOOKUP('Dashboard And Emails Automate'!$G2222,Database!$H:$N,3,0)),"")</f>
        <v/>
      </c>
      <c r="J2222" s="55" t="str">
        <f>IFERROR(IF($G2222="","",VLOOKUP('Dashboard And Emails Automate'!$G2222,Database!$H:$N,4,0)),"")</f>
        <v/>
      </c>
      <c r="K2222" s="55" t="str">
        <f>IFERROR(IF($G2222="","",VLOOKUP('Dashboard And Emails Automate'!$G2222,Database!$H:$N,5,0)),"")</f>
        <v/>
      </c>
      <c r="L2222" s="55" t="str">
        <f>IFERROR(IF($G2222="","",VLOOKUP('Dashboard And Emails Automate'!$G2222,Database!$H:$N,6,0)),"")</f>
        <v/>
      </c>
      <c r="M2222" s="55" t="str">
        <f>IFERROR(IF($G2222="","",VLOOKUP('Dashboard And Emails Automate'!$G2222,Database!$H:$N,7,0)),"")</f>
        <v/>
      </c>
      <c r="N2222" s="55" t="str">
        <f>IFERROR(IF(OR($B2222="",$B2222="(blank)"),"",VLOOKUP($B2222,'Email Marketing Raw Data'!$C:$O,6,0)),"")</f>
        <v/>
      </c>
      <c r="O2222" s="55" t="str">
        <f>IFERROR(IF(OR($B2222="",$B2222="(blank)"),"",VLOOKUP($B2222,'Email Marketing Raw Data'!$C:$O,7,0)),"")</f>
        <v/>
      </c>
      <c r="P2222" s="55" t="str">
        <f>IFERROR(IF(OR($B2222="",$B2222="(blank)"),"",VLOOKUP($B2222,'Email Marketing Raw Data'!$C:$O,8,0)),"")</f>
        <v/>
      </c>
      <c r="Q2222" s="62" t="str">
        <f>IFERROR(IF(OR($B2222="",$B2222="(blank)"),"",VLOOKUP($B2222,'Email Marketing Raw Data'!$C:$O,9,0)),"")</f>
        <v/>
      </c>
    </row>
    <row r="2223" spans="4:17" ht="12.75" customHeight="1" x14ac:dyDescent="0.2">
      <c r="D2223" s="58" t="str">
        <f>IFERROR(IF(F2223&lt;&gt;"pending","",IF(OR($B2223="",$B2223="(blank)"),"",VLOOKUP($B2223,'Email Marketing Raw Data'!$C:$O,10,0))),"")</f>
        <v/>
      </c>
      <c r="E2223" s="59" t="str">
        <f>IFERROR(IF(F2223&lt;&gt;"pending","",IF(OR($B2223="",$B2223="(blank)"),"",VLOOKUP($B2223,'Email Marketing Raw Data'!$C:$O,11,0))),"")</f>
        <v/>
      </c>
      <c r="F2223" s="54" t="str">
        <f>IFERROR(IF(OR($B2223="",$B2223="(blank)"),"",VLOOKUP($B2223,'Email Marketing Raw Data'!$C:$O,13,0)),"")</f>
        <v/>
      </c>
      <c r="G2223" s="55" t="str">
        <f>IFERROR(IF(OR($B2223="",$B2223="(blank)"),"",VLOOKUP($B2223,'Email Marketing Raw Data'!$C:$O,4,0)),"")</f>
        <v/>
      </c>
      <c r="H2223" s="55" t="str">
        <f>IFERROR(IF(OR($B2223="",$B2223="(blank)"),"",VLOOKUP($B2223,'Email Marketing Raw Data'!$C:$O,5,0)),"")</f>
        <v/>
      </c>
      <c r="I2223" s="55" t="str">
        <f>IFERROR(IF($G2223="","",VLOOKUP('Dashboard And Emails Automate'!$G2223,Database!$H:$N,3,0)),"")</f>
        <v/>
      </c>
      <c r="J2223" s="55" t="str">
        <f>IFERROR(IF($G2223="","",VLOOKUP('Dashboard And Emails Automate'!$G2223,Database!$H:$N,4,0)),"")</f>
        <v/>
      </c>
      <c r="K2223" s="55" t="str">
        <f>IFERROR(IF($G2223="","",VLOOKUP('Dashboard And Emails Automate'!$G2223,Database!$H:$N,5,0)),"")</f>
        <v/>
      </c>
      <c r="L2223" s="55" t="str">
        <f>IFERROR(IF($G2223="","",VLOOKUP('Dashboard And Emails Automate'!$G2223,Database!$H:$N,6,0)),"")</f>
        <v/>
      </c>
      <c r="M2223" s="55" t="str">
        <f>IFERROR(IF($G2223="","",VLOOKUP('Dashboard And Emails Automate'!$G2223,Database!$H:$N,7,0)),"")</f>
        <v/>
      </c>
      <c r="N2223" s="55" t="str">
        <f>IFERROR(IF(OR($B2223="",$B2223="(blank)"),"",VLOOKUP($B2223,'Email Marketing Raw Data'!$C:$O,6,0)),"")</f>
        <v/>
      </c>
      <c r="O2223" s="55" t="str">
        <f>IFERROR(IF(OR($B2223="",$B2223="(blank)"),"",VLOOKUP($B2223,'Email Marketing Raw Data'!$C:$O,7,0)),"")</f>
        <v/>
      </c>
      <c r="P2223" s="55" t="str">
        <f>IFERROR(IF(OR($B2223="",$B2223="(blank)"),"",VLOOKUP($B2223,'Email Marketing Raw Data'!$C:$O,8,0)),"")</f>
        <v/>
      </c>
      <c r="Q2223" s="62" t="str">
        <f>IFERROR(IF(OR($B2223="",$B2223="(blank)"),"",VLOOKUP($B2223,'Email Marketing Raw Data'!$C:$O,9,0)),"")</f>
        <v/>
      </c>
    </row>
    <row r="2224" spans="4:17" ht="12.75" customHeight="1" x14ac:dyDescent="0.2">
      <c r="D2224" s="58" t="str">
        <f>IFERROR(IF(F2224&lt;&gt;"pending","",IF(OR($B2224="",$B2224="(blank)"),"",VLOOKUP($B2224,'Email Marketing Raw Data'!$C:$O,10,0))),"")</f>
        <v/>
      </c>
      <c r="E2224" s="59" t="str">
        <f>IFERROR(IF(F2224&lt;&gt;"pending","",IF(OR($B2224="",$B2224="(blank)"),"",VLOOKUP($B2224,'Email Marketing Raw Data'!$C:$O,11,0))),"")</f>
        <v/>
      </c>
      <c r="F2224" s="54" t="str">
        <f>IFERROR(IF(OR($B2224="",$B2224="(blank)"),"",VLOOKUP($B2224,'Email Marketing Raw Data'!$C:$O,13,0)),"")</f>
        <v/>
      </c>
      <c r="G2224" s="55" t="str">
        <f>IFERROR(IF(OR($B2224="",$B2224="(blank)"),"",VLOOKUP($B2224,'Email Marketing Raw Data'!$C:$O,4,0)),"")</f>
        <v/>
      </c>
      <c r="H2224" s="55" t="str">
        <f>IFERROR(IF(OR($B2224="",$B2224="(blank)"),"",VLOOKUP($B2224,'Email Marketing Raw Data'!$C:$O,5,0)),"")</f>
        <v/>
      </c>
      <c r="I2224" s="55" t="str">
        <f>IFERROR(IF($G2224="","",VLOOKUP('Dashboard And Emails Automate'!$G2224,Database!$H:$N,3,0)),"")</f>
        <v/>
      </c>
      <c r="J2224" s="55" t="str">
        <f>IFERROR(IF($G2224="","",VLOOKUP('Dashboard And Emails Automate'!$G2224,Database!$H:$N,4,0)),"")</f>
        <v/>
      </c>
      <c r="K2224" s="55" t="str">
        <f>IFERROR(IF($G2224="","",VLOOKUP('Dashboard And Emails Automate'!$G2224,Database!$H:$N,5,0)),"")</f>
        <v/>
      </c>
      <c r="L2224" s="55" t="str">
        <f>IFERROR(IF($G2224="","",VLOOKUP('Dashboard And Emails Automate'!$G2224,Database!$H:$N,6,0)),"")</f>
        <v/>
      </c>
      <c r="M2224" s="55" t="str">
        <f>IFERROR(IF($G2224="","",VLOOKUP('Dashboard And Emails Automate'!$G2224,Database!$H:$N,7,0)),"")</f>
        <v/>
      </c>
      <c r="N2224" s="55" t="str">
        <f>IFERROR(IF(OR($B2224="",$B2224="(blank)"),"",VLOOKUP($B2224,'Email Marketing Raw Data'!$C:$O,6,0)),"")</f>
        <v/>
      </c>
      <c r="O2224" s="55" t="str">
        <f>IFERROR(IF(OR($B2224="",$B2224="(blank)"),"",VLOOKUP($B2224,'Email Marketing Raw Data'!$C:$O,7,0)),"")</f>
        <v/>
      </c>
      <c r="P2224" s="55" t="str">
        <f>IFERROR(IF(OR($B2224="",$B2224="(blank)"),"",VLOOKUP($B2224,'Email Marketing Raw Data'!$C:$O,8,0)),"")</f>
        <v/>
      </c>
      <c r="Q2224" s="62" t="str">
        <f>IFERROR(IF(OR($B2224="",$B2224="(blank)"),"",VLOOKUP($B2224,'Email Marketing Raw Data'!$C:$O,9,0)),"")</f>
        <v/>
      </c>
    </row>
    <row r="2225" spans="4:17" ht="12.75" customHeight="1" x14ac:dyDescent="0.2">
      <c r="D2225" s="58" t="str">
        <f>IFERROR(IF(F2225&lt;&gt;"pending","",IF(OR($B2225="",$B2225="(blank)"),"",VLOOKUP($B2225,'Email Marketing Raw Data'!$C:$O,10,0))),"")</f>
        <v/>
      </c>
      <c r="E2225" s="59" t="str">
        <f>IFERROR(IF(F2225&lt;&gt;"pending","",IF(OR($B2225="",$B2225="(blank)"),"",VLOOKUP($B2225,'Email Marketing Raw Data'!$C:$O,11,0))),"")</f>
        <v/>
      </c>
      <c r="F2225" s="54" t="str">
        <f>IFERROR(IF(OR($B2225="",$B2225="(blank)"),"",VLOOKUP($B2225,'Email Marketing Raw Data'!$C:$O,13,0)),"")</f>
        <v/>
      </c>
      <c r="G2225" s="55" t="str">
        <f>IFERROR(IF(OR($B2225="",$B2225="(blank)"),"",VLOOKUP($B2225,'Email Marketing Raw Data'!$C:$O,4,0)),"")</f>
        <v/>
      </c>
      <c r="H2225" s="55" t="str">
        <f>IFERROR(IF(OR($B2225="",$B2225="(blank)"),"",VLOOKUP($B2225,'Email Marketing Raw Data'!$C:$O,5,0)),"")</f>
        <v/>
      </c>
      <c r="I2225" s="55" t="str">
        <f>IFERROR(IF($G2225="","",VLOOKUP('Dashboard And Emails Automate'!$G2225,Database!$H:$N,3,0)),"")</f>
        <v/>
      </c>
      <c r="J2225" s="55" t="str">
        <f>IFERROR(IF($G2225="","",VLOOKUP('Dashboard And Emails Automate'!$G2225,Database!$H:$N,4,0)),"")</f>
        <v/>
      </c>
      <c r="K2225" s="55" t="str">
        <f>IFERROR(IF($G2225="","",VLOOKUP('Dashboard And Emails Automate'!$G2225,Database!$H:$N,5,0)),"")</f>
        <v/>
      </c>
      <c r="L2225" s="55" t="str">
        <f>IFERROR(IF($G2225="","",VLOOKUP('Dashboard And Emails Automate'!$G2225,Database!$H:$N,6,0)),"")</f>
        <v/>
      </c>
      <c r="M2225" s="55" t="str">
        <f>IFERROR(IF($G2225="","",VLOOKUP('Dashboard And Emails Automate'!$G2225,Database!$H:$N,7,0)),"")</f>
        <v/>
      </c>
      <c r="N2225" s="55" t="str">
        <f>IFERROR(IF(OR($B2225="",$B2225="(blank)"),"",VLOOKUP($B2225,'Email Marketing Raw Data'!$C:$O,6,0)),"")</f>
        <v/>
      </c>
      <c r="O2225" s="55" t="str">
        <f>IFERROR(IF(OR($B2225="",$B2225="(blank)"),"",VLOOKUP($B2225,'Email Marketing Raw Data'!$C:$O,7,0)),"")</f>
        <v/>
      </c>
      <c r="P2225" s="55" t="str">
        <f>IFERROR(IF(OR($B2225="",$B2225="(blank)"),"",VLOOKUP($B2225,'Email Marketing Raw Data'!$C:$O,8,0)),"")</f>
        <v/>
      </c>
      <c r="Q2225" s="62" t="str">
        <f>IFERROR(IF(OR($B2225="",$B2225="(blank)"),"",VLOOKUP($B2225,'Email Marketing Raw Data'!$C:$O,9,0)),"")</f>
        <v/>
      </c>
    </row>
    <row r="2226" spans="4:17" ht="12.75" customHeight="1" x14ac:dyDescent="0.2">
      <c r="D2226" s="58" t="str">
        <f>IFERROR(IF(F2226&lt;&gt;"pending","",IF(OR($B2226="",$B2226="(blank)"),"",VLOOKUP($B2226,'Email Marketing Raw Data'!$C:$O,10,0))),"")</f>
        <v/>
      </c>
      <c r="E2226" s="59" t="str">
        <f>IFERROR(IF(F2226&lt;&gt;"pending","",IF(OR($B2226="",$B2226="(blank)"),"",VLOOKUP($B2226,'Email Marketing Raw Data'!$C:$O,11,0))),"")</f>
        <v/>
      </c>
      <c r="F2226" s="54" t="str">
        <f>IFERROR(IF(OR($B2226="",$B2226="(blank)"),"",VLOOKUP($B2226,'Email Marketing Raw Data'!$C:$O,13,0)),"")</f>
        <v/>
      </c>
      <c r="G2226" s="55" t="str">
        <f>IFERROR(IF(OR($B2226="",$B2226="(blank)"),"",VLOOKUP($B2226,'Email Marketing Raw Data'!$C:$O,4,0)),"")</f>
        <v/>
      </c>
      <c r="H2226" s="55" t="str">
        <f>IFERROR(IF(OR($B2226="",$B2226="(blank)"),"",VLOOKUP($B2226,'Email Marketing Raw Data'!$C:$O,5,0)),"")</f>
        <v/>
      </c>
      <c r="I2226" s="55" t="str">
        <f>IFERROR(IF($G2226="","",VLOOKUP('Dashboard And Emails Automate'!$G2226,Database!$H:$N,3,0)),"")</f>
        <v/>
      </c>
      <c r="J2226" s="55" t="str">
        <f>IFERROR(IF($G2226="","",VLOOKUP('Dashboard And Emails Automate'!$G2226,Database!$H:$N,4,0)),"")</f>
        <v/>
      </c>
      <c r="K2226" s="55" t="str">
        <f>IFERROR(IF($G2226="","",VLOOKUP('Dashboard And Emails Automate'!$G2226,Database!$H:$N,5,0)),"")</f>
        <v/>
      </c>
      <c r="L2226" s="55" t="str">
        <f>IFERROR(IF($G2226="","",VLOOKUP('Dashboard And Emails Automate'!$G2226,Database!$H:$N,6,0)),"")</f>
        <v/>
      </c>
      <c r="M2226" s="55" t="str">
        <f>IFERROR(IF($G2226="","",VLOOKUP('Dashboard And Emails Automate'!$G2226,Database!$H:$N,7,0)),"")</f>
        <v/>
      </c>
      <c r="N2226" s="55" t="str">
        <f>IFERROR(IF(OR($B2226="",$B2226="(blank)"),"",VLOOKUP($B2226,'Email Marketing Raw Data'!$C:$O,6,0)),"")</f>
        <v/>
      </c>
      <c r="O2226" s="55" t="str">
        <f>IFERROR(IF(OR($B2226="",$B2226="(blank)"),"",VLOOKUP($B2226,'Email Marketing Raw Data'!$C:$O,7,0)),"")</f>
        <v/>
      </c>
      <c r="P2226" s="55" t="str">
        <f>IFERROR(IF(OR($B2226="",$B2226="(blank)"),"",VLOOKUP($B2226,'Email Marketing Raw Data'!$C:$O,8,0)),"")</f>
        <v/>
      </c>
      <c r="Q2226" s="62" t="str">
        <f>IFERROR(IF(OR($B2226="",$B2226="(blank)"),"",VLOOKUP($B2226,'Email Marketing Raw Data'!$C:$O,9,0)),"")</f>
        <v/>
      </c>
    </row>
    <row r="2227" spans="4:17" ht="12.75" customHeight="1" x14ac:dyDescent="0.2">
      <c r="D2227" s="58" t="str">
        <f>IFERROR(IF(F2227&lt;&gt;"pending","",IF(OR($B2227="",$B2227="(blank)"),"",VLOOKUP($B2227,'Email Marketing Raw Data'!$C:$O,10,0))),"")</f>
        <v/>
      </c>
      <c r="E2227" s="59" t="str">
        <f>IFERROR(IF(F2227&lt;&gt;"pending","",IF(OR($B2227="",$B2227="(blank)"),"",VLOOKUP($B2227,'Email Marketing Raw Data'!$C:$O,11,0))),"")</f>
        <v/>
      </c>
      <c r="F2227" s="54" t="str">
        <f>IFERROR(IF(OR($B2227="",$B2227="(blank)"),"",VLOOKUP($B2227,'Email Marketing Raw Data'!$C:$O,13,0)),"")</f>
        <v/>
      </c>
      <c r="G2227" s="55" t="str">
        <f>IFERROR(IF(OR($B2227="",$B2227="(blank)"),"",VLOOKUP($B2227,'Email Marketing Raw Data'!$C:$O,4,0)),"")</f>
        <v/>
      </c>
      <c r="H2227" s="55" t="str">
        <f>IFERROR(IF(OR($B2227="",$B2227="(blank)"),"",VLOOKUP($B2227,'Email Marketing Raw Data'!$C:$O,5,0)),"")</f>
        <v/>
      </c>
      <c r="I2227" s="55" t="str">
        <f>IFERROR(IF($G2227="","",VLOOKUP('Dashboard And Emails Automate'!$G2227,Database!$H:$N,3,0)),"")</f>
        <v/>
      </c>
      <c r="J2227" s="55" t="str">
        <f>IFERROR(IF($G2227="","",VLOOKUP('Dashboard And Emails Automate'!$G2227,Database!$H:$N,4,0)),"")</f>
        <v/>
      </c>
      <c r="K2227" s="55" t="str">
        <f>IFERROR(IF($G2227="","",VLOOKUP('Dashboard And Emails Automate'!$G2227,Database!$H:$N,5,0)),"")</f>
        <v/>
      </c>
      <c r="L2227" s="55" t="str">
        <f>IFERROR(IF($G2227="","",VLOOKUP('Dashboard And Emails Automate'!$G2227,Database!$H:$N,6,0)),"")</f>
        <v/>
      </c>
      <c r="M2227" s="55" t="str">
        <f>IFERROR(IF($G2227="","",VLOOKUP('Dashboard And Emails Automate'!$G2227,Database!$H:$N,7,0)),"")</f>
        <v/>
      </c>
      <c r="N2227" s="55" t="str">
        <f>IFERROR(IF(OR($B2227="",$B2227="(blank)"),"",VLOOKUP($B2227,'Email Marketing Raw Data'!$C:$O,6,0)),"")</f>
        <v/>
      </c>
      <c r="O2227" s="55" t="str">
        <f>IFERROR(IF(OR($B2227="",$B2227="(blank)"),"",VLOOKUP($B2227,'Email Marketing Raw Data'!$C:$O,7,0)),"")</f>
        <v/>
      </c>
      <c r="P2227" s="55" t="str">
        <f>IFERROR(IF(OR($B2227="",$B2227="(blank)"),"",VLOOKUP($B2227,'Email Marketing Raw Data'!$C:$O,8,0)),"")</f>
        <v/>
      </c>
      <c r="Q2227" s="62" t="str">
        <f>IFERROR(IF(OR($B2227="",$B2227="(blank)"),"",VLOOKUP($B2227,'Email Marketing Raw Data'!$C:$O,9,0)),"")</f>
        <v/>
      </c>
    </row>
    <row r="2228" spans="4:17" ht="12.75" customHeight="1" x14ac:dyDescent="0.2">
      <c r="D2228" s="58" t="str">
        <f>IFERROR(IF(F2228&lt;&gt;"pending","",IF(OR($B2228="",$B2228="(blank)"),"",VLOOKUP($B2228,'Email Marketing Raw Data'!$C:$O,10,0))),"")</f>
        <v/>
      </c>
      <c r="E2228" s="59" t="str">
        <f>IFERROR(IF(F2228&lt;&gt;"pending","",IF(OR($B2228="",$B2228="(blank)"),"",VLOOKUP($B2228,'Email Marketing Raw Data'!$C:$O,11,0))),"")</f>
        <v/>
      </c>
      <c r="F2228" s="54" t="str">
        <f>IFERROR(IF(OR($B2228="",$B2228="(blank)"),"",VLOOKUP($B2228,'Email Marketing Raw Data'!$C:$O,13,0)),"")</f>
        <v/>
      </c>
      <c r="G2228" s="55" t="str">
        <f>IFERROR(IF(OR($B2228="",$B2228="(blank)"),"",VLOOKUP($B2228,'Email Marketing Raw Data'!$C:$O,4,0)),"")</f>
        <v/>
      </c>
      <c r="H2228" s="55" t="str">
        <f>IFERROR(IF(OR($B2228="",$B2228="(blank)"),"",VLOOKUP($B2228,'Email Marketing Raw Data'!$C:$O,5,0)),"")</f>
        <v/>
      </c>
      <c r="I2228" s="55" t="str">
        <f>IFERROR(IF($G2228="","",VLOOKUP('Dashboard And Emails Automate'!$G2228,Database!$H:$N,3,0)),"")</f>
        <v/>
      </c>
      <c r="J2228" s="55" t="str">
        <f>IFERROR(IF($G2228="","",VLOOKUP('Dashboard And Emails Automate'!$G2228,Database!$H:$N,4,0)),"")</f>
        <v/>
      </c>
      <c r="K2228" s="55" t="str">
        <f>IFERROR(IF($G2228="","",VLOOKUP('Dashboard And Emails Automate'!$G2228,Database!$H:$N,5,0)),"")</f>
        <v/>
      </c>
      <c r="L2228" s="55" t="str">
        <f>IFERROR(IF($G2228="","",VLOOKUP('Dashboard And Emails Automate'!$G2228,Database!$H:$N,6,0)),"")</f>
        <v/>
      </c>
      <c r="M2228" s="55" t="str">
        <f>IFERROR(IF($G2228="","",VLOOKUP('Dashboard And Emails Automate'!$G2228,Database!$H:$N,7,0)),"")</f>
        <v/>
      </c>
      <c r="N2228" s="55" t="str">
        <f>IFERROR(IF(OR($B2228="",$B2228="(blank)"),"",VLOOKUP($B2228,'Email Marketing Raw Data'!$C:$O,6,0)),"")</f>
        <v/>
      </c>
      <c r="O2228" s="55" t="str">
        <f>IFERROR(IF(OR($B2228="",$B2228="(blank)"),"",VLOOKUP($B2228,'Email Marketing Raw Data'!$C:$O,7,0)),"")</f>
        <v/>
      </c>
      <c r="P2228" s="55" t="str">
        <f>IFERROR(IF(OR($B2228="",$B2228="(blank)"),"",VLOOKUP($B2228,'Email Marketing Raw Data'!$C:$O,8,0)),"")</f>
        <v/>
      </c>
      <c r="Q2228" s="62" t="str">
        <f>IFERROR(IF(OR($B2228="",$B2228="(blank)"),"",VLOOKUP($B2228,'Email Marketing Raw Data'!$C:$O,9,0)),"")</f>
        <v/>
      </c>
    </row>
    <row r="2229" spans="4:17" ht="12.75" customHeight="1" x14ac:dyDescent="0.2">
      <c r="D2229" s="58" t="str">
        <f>IFERROR(IF(F2229&lt;&gt;"pending","",IF(OR($B2229="",$B2229="(blank)"),"",VLOOKUP($B2229,'Email Marketing Raw Data'!$C:$O,10,0))),"")</f>
        <v/>
      </c>
      <c r="E2229" s="59" t="str">
        <f>IFERROR(IF(F2229&lt;&gt;"pending","",IF(OR($B2229="",$B2229="(blank)"),"",VLOOKUP($B2229,'Email Marketing Raw Data'!$C:$O,11,0))),"")</f>
        <v/>
      </c>
      <c r="F2229" s="54" t="str">
        <f>IFERROR(IF(OR($B2229="",$B2229="(blank)"),"",VLOOKUP($B2229,'Email Marketing Raw Data'!$C:$O,13,0)),"")</f>
        <v/>
      </c>
      <c r="G2229" s="55" t="str">
        <f>IFERROR(IF(OR($B2229="",$B2229="(blank)"),"",VLOOKUP($B2229,'Email Marketing Raw Data'!$C:$O,4,0)),"")</f>
        <v/>
      </c>
      <c r="H2229" s="55" t="str">
        <f>IFERROR(IF(OR($B2229="",$B2229="(blank)"),"",VLOOKUP($B2229,'Email Marketing Raw Data'!$C:$O,5,0)),"")</f>
        <v/>
      </c>
      <c r="I2229" s="55" t="str">
        <f>IFERROR(IF($G2229="","",VLOOKUP('Dashboard And Emails Automate'!$G2229,Database!$H:$N,3,0)),"")</f>
        <v/>
      </c>
      <c r="J2229" s="55" t="str">
        <f>IFERROR(IF($G2229="","",VLOOKUP('Dashboard And Emails Automate'!$G2229,Database!$H:$N,4,0)),"")</f>
        <v/>
      </c>
      <c r="K2229" s="55" t="str">
        <f>IFERROR(IF($G2229="","",VLOOKUP('Dashboard And Emails Automate'!$G2229,Database!$H:$N,5,0)),"")</f>
        <v/>
      </c>
      <c r="L2229" s="55" t="str">
        <f>IFERROR(IF($G2229="","",VLOOKUP('Dashboard And Emails Automate'!$G2229,Database!$H:$N,6,0)),"")</f>
        <v/>
      </c>
      <c r="M2229" s="55" t="str">
        <f>IFERROR(IF($G2229="","",VLOOKUP('Dashboard And Emails Automate'!$G2229,Database!$H:$N,7,0)),"")</f>
        <v/>
      </c>
      <c r="N2229" s="55" t="str">
        <f>IFERROR(IF(OR($B2229="",$B2229="(blank)"),"",VLOOKUP($B2229,'Email Marketing Raw Data'!$C:$O,6,0)),"")</f>
        <v/>
      </c>
      <c r="O2229" s="55" t="str">
        <f>IFERROR(IF(OR($B2229="",$B2229="(blank)"),"",VLOOKUP($B2229,'Email Marketing Raw Data'!$C:$O,7,0)),"")</f>
        <v/>
      </c>
      <c r="P2229" s="55" t="str">
        <f>IFERROR(IF(OR($B2229="",$B2229="(blank)"),"",VLOOKUP($B2229,'Email Marketing Raw Data'!$C:$O,8,0)),"")</f>
        <v/>
      </c>
      <c r="Q2229" s="62" t="str">
        <f>IFERROR(IF(OR($B2229="",$B2229="(blank)"),"",VLOOKUP($B2229,'Email Marketing Raw Data'!$C:$O,9,0)),"")</f>
        <v/>
      </c>
    </row>
    <row r="2230" spans="4:17" ht="12.75" customHeight="1" x14ac:dyDescent="0.2">
      <c r="D2230" s="58" t="str">
        <f>IFERROR(IF(F2230&lt;&gt;"pending","",IF(OR($B2230="",$B2230="(blank)"),"",VLOOKUP($B2230,'Email Marketing Raw Data'!$C:$O,10,0))),"")</f>
        <v/>
      </c>
      <c r="E2230" s="59" t="str">
        <f>IFERROR(IF(F2230&lt;&gt;"pending","",IF(OR($B2230="",$B2230="(blank)"),"",VLOOKUP($B2230,'Email Marketing Raw Data'!$C:$O,11,0))),"")</f>
        <v/>
      </c>
      <c r="F2230" s="54" t="str">
        <f>IFERROR(IF(OR($B2230="",$B2230="(blank)"),"",VLOOKUP($B2230,'Email Marketing Raw Data'!$C:$O,13,0)),"")</f>
        <v/>
      </c>
      <c r="G2230" s="55" t="str">
        <f>IFERROR(IF(OR($B2230="",$B2230="(blank)"),"",VLOOKUP($B2230,'Email Marketing Raw Data'!$C:$O,4,0)),"")</f>
        <v/>
      </c>
      <c r="H2230" s="55" t="str">
        <f>IFERROR(IF(OR($B2230="",$B2230="(blank)"),"",VLOOKUP($B2230,'Email Marketing Raw Data'!$C:$O,5,0)),"")</f>
        <v/>
      </c>
      <c r="I2230" s="55" t="str">
        <f>IFERROR(IF($G2230="","",VLOOKUP('Dashboard And Emails Automate'!$G2230,Database!$H:$N,3,0)),"")</f>
        <v/>
      </c>
      <c r="J2230" s="55" t="str">
        <f>IFERROR(IF($G2230="","",VLOOKUP('Dashboard And Emails Automate'!$G2230,Database!$H:$N,4,0)),"")</f>
        <v/>
      </c>
      <c r="K2230" s="55" t="str">
        <f>IFERROR(IF($G2230="","",VLOOKUP('Dashboard And Emails Automate'!$G2230,Database!$H:$N,5,0)),"")</f>
        <v/>
      </c>
      <c r="L2230" s="55" t="str">
        <f>IFERROR(IF($G2230="","",VLOOKUP('Dashboard And Emails Automate'!$G2230,Database!$H:$N,6,0)),"")</f>
        <v/>
      </c>
      <c r="M2230" s="55" t="str">
        <f>IFERROR(IF($G2230="","",VLOOKUP('Dashboard And Emails Automate'!$G2230,Database!$H:$N,7,0)),"")</f>
        <v/>
      </c>
      <c r="N2230" s="55" t="str">
        <f>IFERROR(IF(OR($B2230="",$B2230="(blank)"),"",VLOOKUP($B2230,'Email Marketing Raw Data'!$C:$O,6,0)),"")</f>
        <v/>
      </c>
      <c r="O2230" s="55" t="str">
        <f>IFERROR(IF(OR($B2230="",$B2230="(blank)"),"",VLOOKUP($B2230,'Email Marketing Raw Data'!$C:$O,7,0)),"")</f>
        <v/>
      </c>
      <c r="P2230" s="55" t="str">
        <f>IFERROR(IF(OR($B2230="",$B2230="(blank)"),"",VLOOKUP($B2230,'Email Marketing Raw Data'!$C:$O,8,0)),"")</f>
        <v/>
      </c>
      <c r="Q2230" s="62" t="str">
        <f>IFERROR(IF(OR($B2230="",$B2230="(blank)"),"",VLOOKUP($B2230,'Email Marketing Raw Data'!$C:$O,9,0)),"")</f>
        <v/>
      </c>
    </row>
    <row r="2231" spans="4:17" ht="12.75" customHeight="1" x14ac:dyDescent="0.2">
      <c r="D2231" s="58" t="str">
        <f>IFERROR(IF(F2231&lt;&gt;"pending","",IF(OR($B2231="",$B2231="(blank)"),"",VLOOKUP($B2231,'Email Marketing Raw Data'!$C:$O,10,0))),"")</f>
        <v/>
      </c>
      <c r="E2231" s="59" t="str">
        <f>IFERROR(IF(F2231&lt;&gt;"pending","",IF(OR($B2231="",$B2231="(blank)"),"",VLOOKUP($B2231,'Email Marketing Raw Data'!$C:$O,11,0))),"")</f>
        <v/>
      </c>
      <c r="F2231" s="54" t="str">
        <f>IFERROR(IF(OR($B2231="",$B2231="(blank)"),"",VLOOKUP($B2231,'Email Marketing Raw Data'!$C:$O,13,0)),"")</f>
        <v/>
      </c>
      <c r="G2231" s="55" t="str">
        <f>IFERROR(IF(OR($B2231="",$B2231="(blank)"),"",VLOOKUP($B2231,'Email Marketing Raw Data'!$C:$O,4,0)),"")</f>
        <v/>
      </c>
      <c r="H2231" s="55" t="str">
        <f>IFERROR(IF(OR($B2231="",$B2231="(blank)"),"",VLOOKUP($B2231,'Email Marketing Raw Data'!$C:$O,5,0)),"")</f>
        <v/>
      </c>
      <c r="I2231" s="55" t="str">
        <f>IFERROR(IF($G2231="","",VLOOKUP('Dashboard And Emails Automate'!$G2231,Database!$H:$N,3,0)),"")</f>
        <v/>
      </c>
      <c r="J2231" s="55" t="str">
        <f>IFERROR(IF($G2231="","",VLOOKUP('Dashboard And Emails Automate'!$G2231,Database!$H:$N,4,0)),"")</f>
        <v/>
      </c>
      <c r="K2231" s="55" t="str">
        <f>IFERROR(IF($G2231="","",VLOOKUP('Dashboard And Emails Automate'!$G2231,Database!$H:$N,5,0)),"")</f>
        <v/>
      </c>
      <c r="L2231" s="55" t="str">
        <f>IFERROR(IF($G2231="","",VLOOKUP('Dashboard And Emails Automate'!$G2231,Database!$H:$N,6,0)),"")</f>
        <v/>
      </c>
      <c r="M2231" s="55" t="str">
        <f>IFERROR(IF($G2231="","",VLOOKUP('Dashboard And Emails Automate'!$G2231,Database!$H:$N,7,0)),"")</f>
        <v/>
      </c>
      <c r="N2231" s="55" t="str">
        <f>IFERROR(IF(OR($B2231="",$B2231="(blank)"),"",VLOOKUP($B2231,'Email Marketing Raw Data'!$C:$O,6,0)),"")</f>
        <v/>
      </c>
      <c r="O2231" s="55" t="str">
        <f>IFERROR(IF(OR($B2231="",$B2231="(blank)"),"",VLOOKUP($B2231,'Email Marketing Raw Data'!$C:$O,7,0)),"")</f>
        <v/>
      </c>
      <c r="P2231" s="55" t="str">
        <f>IFERROR(IF(OR($B2231="",$B2231="(blank)"),"",VLOOKUP($B2231,'Email Marketing Raw Data'!$C:$O,8,0)),"")</f>
        <v/>
      </c>
      <c r="Q2231" s="62" t="str">
        <f>IFERROR(IF(OR($B2231="",$B2231="(blank)"),"",VLOOKUP($B2231,'Email Marketing Raw Data'!$C:$O,9,0)),"")</f>
        <v/>
      </c>
    </row>
    <row r="2232" spans="4:17" ht="12.75" customHeight="1" x14ac:dyDescent="0.2">
      <c r="D2232" s="58" t="str">
        <f>IFERROR(IF(F2232&lt;&gt;"pending","",IF(OR($B2232="",$B2232="(blank)"),"",VLOOKUP($B2232,'Email Marketing Raw Data'!$C:$O,10,0))),"")</f>
        <v/>
      </c>
      <c r="E2232" s="59" t="str">
        <f>IFERROR(IF(F2232&lt;&gt;"pending","",IF(OR($B2232="",$B2232="(blank)"),"",VLOOKUP($B2232,'Email Marketing Raw Data'!$C:$O,11,0))),"")</f>
        <v/>
      </c>
      <c r="F2232" s="54" t="str">
        <f>IFERROR(IF(OR($B2232="",$B2232="(blank)"),"",VLOOKUP($B2232,'Email Marketing Raw Data'!$C:$O,13,0)),"")</f>
        <v/>
      </c>
      <c r="G2232" s="55" t="str">
        <f>IFERROR(IF(OR($B2232="",$B2232="(blank)"),"",VLOOKUP($B2232,'Email Marketing Raw Data'!$C:$O,4,0)),"")</f>
        <v/>
      </c>
      <c r="H2232" s="55" t="str">
        <f>IFERROR(IF(OR($B2232="",$B2232="(blank)"),"",VLOOKUP($B2232,'Email Marketing Raw Data'!$C:$O,5,0)),"")</f>
        <v/>
      </c>
      <c r="I2232" s="55" t="str">
        <f>IFERROR(IF($G2232="","",VLOOKUP('Dashboard And Emails Automate'!$G2232,Database!$H:$N,3,0)),"")</f>
        <v/>
      </c>
      <c r="J2232" s="55" t="str">
        <f>IFERROR(IF($G2232="","",VLOOKUP('Dashboard And Emails Automate'!$G2232,Database!$H:$N,4,0)),"")</f>
        <v/>
      </c>
      <c r="K2232" s="55" t="str">
        <f>IFERROR(IF($G2232="","",VLOOKUP('Dashboard And Emails Automate'!$G2232,Database!$H:$N,5,0)),"")</f>
        <v/>
      </c>
      <c r="L2232" s="55" t="str">
        <f>IFERROR(IF($G2232="","",VLOOKUP('Dashboard And Emails Automate'!$G2232,Database!$H:$N,6,0)),"")</f>
        <v/>
      </c>
      <c r="M2232" s="55" t="str">
        <f>IFERROR(IF($G2232="","",VLOOKUP('Dashboard And Emails Automate'!$G2232,Database!$H:$N,7,0)),"")</f>
        <v/>
      </c>
      <c r="N2232" s="55" t="str">
        <f>IFERROR(IF(OR($B2232="",$B2232="(blank)"),"",VLOOKUP($B2232,'Email Marketing Raw Data'!$C:$O,6,0)),"")</f>
        <v/>
      </c>
      <c r="O2232" s="55" t="str">
        <f>IFERROR(IF(OR($B2232="",$B2232="(blank)"),"",VLOOKUP($B2232,'Email Marketing Raw Data'!$C:$O,7,0)),"")</f>
        <v/>
      </c>
      <c r="P2232" s="55" t="str">
        <f>IFERROR(IF(OR($B2232="",$B2232="(blank)"),"",VLOOKUP($B2232,'Email Marketing Raw Data'!$C:$O,8,0)),"")</f>
        <v/>
      </c>
      <c r="Q2232" s="62" t="str">
        <f>IFERROR(IF(OR($B2232="",$B2232="(blank)"),"",VLOOKUP($B2232,'Email Marketing Raw Data'!$C:$O,9,0)),"")</f>
        <v/>
      </c>
    </row>
    <row r="2233" spans="4:17" ht="12.75" customHeight="1" x14ac:dyDescent="0.2">
      <c r="D2233" s="58" t="str">
        <f>IFERROR(IF(F2233&lt;&gt;"pending","",IF(OR($B2233="",$B2233="(blank)"),"",VLOOKUP($B2233,'Email Marketing Raw Data'!$C:$O,10,0))),"")</f>
        <v/>
      </c>
      <c r="E2233" s="59" t="str">
        <f>IFERROR(IF(F2233&lt;&gt;"pending","",IF(OR($B2233="",$B2233="(blank)"),"",VLOOKUP($B2233,'Email Marketing Raw Data'!$C:$O,11,0))),"")</f>
        <v/>
      </c>
      <c r="F2233" s="54" t="str">
        <f>IFERROR(IF(OR($B2233="",$B2233="(blank)"),"",VLOOKUP($B2233,'Email Marketing Raw Data'!$C:$O,13,0)),"")</f>
        <v/>
      </c>
      <c r="G2233" s="55" t="str">
        <f>IFERROR(IF(OR($B2233="",$B2233="(blank)"),"",VLOOKUP($B2233,'Email Marketing Raw Data'!$C:$O,4,0)),"")</f>
        <v/>
      </c>
      <c r="H2233" s="55" t="str">
        <f>IFERROR(IF(OR($B2233="",$B2233="(blank)"),"",VLOOKUP($B2233,'Email Marketing Raw Data'!$C:$O,5,0)),"")</f>
        <v/>
      </c>
      <c r="I2233" s="55" t="str">
        <f>IFERROR(IF($G2233="","",VLOOKUP('Dashboard And Emails Automate'!$G2233,Database!$H:$N,3,0)),"")</f>
        <v/>
      </c>
      <c r="J2233" s="55" t="str">
        <f>IFERROR(IF($G2233="","",VLOOKUP('Dashboard And Emails Automate'!$G2233,Database!$H:$N,4,0)),"")</f>
        <v/>
      </c>
      <c r="K2233" s="55" t="str">
        <f>IFERROR(IF($G2233="","",VLOOKUP('Dashboard And Emails Automate'!$G2233,Database!$H:$N,5,0)),"")</f>
        <v/>
      </c>
      <c r="L2233" s="55" t="str">
        <f>IFERROR(IF($G2233="","",VLOOKUP('Dashboard And Emails Automate'!$G2233,Database!$H:$N,6,0)),"")</f>
        <v/>
      </c>
      <c r="M2233" s="55" t="str">
        <f>IFERROR(IF($G2233="","",VLOOKUP('Dashboard And Emails Automate'!$G2233,Database!$H:$N,7,0)),"")</f>
        <v/>
      </c>
      <c r="N2233" s="55" t="str">
        <f>IFERROR(IF(OR($B2233="",$B2233="(blank)"),"",VLOOKUP($B2233,'Email Marketing Raw Data'!$C:$O,6,0)),"")</f>
        <v/>
      </c>
      <c r="O2233" s="55" t="str">
        <f>IFERROR(IF(OR($B2233="",$B2233="(blank)"),"",VLOOKUP($B2233,'Email Marketing Raw Data'!$C:$O,7,0)),"")</f>
        <v/>
      </c>
      <c r="P2233" s="55" t="str">
        <f>IFERROR(IF(OR($B2233="",$B2233="(blank)"),"",VLOOKUP($B2233,'Email Marketing Raw Data'!$C:$O,8,0)),"")</f>
        <v/>
      </c>
      <c r="Q2233" s="62" t="str">
        <f>IFERROR(IF(OR($B2233="",$B2233="(blank)"),"",VLOOKUP($B2233,'Email Marketing Raw Data'!$C:$O,9,0)),"")</f>
        <v/>
      </c>
    </row>
    <row r="2234" spans="4:17" ht="12.75" customHeight="1" x14ac:dyDescent="0.2">
      <c r="D2234" s="58" t="str">
        <f>IFERROR(IF(F2234&lt;&gt;"pending","",IF(OR($B2234="",$B2234="(blank)"),"",VLOOKUP($B2234,'Email Marketing Raw Data'!$C:$O,10,0))),"")</f>
        <v/>
      </c>
      <c r="E2234" s="59" t="str">
        <f>IFERROR(IF(F2234&lt;&gt;"pending","",IF(OR($B2234="",$B2234="(blank)"),"",VLOOKUP($B2234,'Email Marketing Raw Data'!$C:$O,11,0))),"")</f>
        <v/>
      </c>
      <c r="F2234" s="54" t="str">
        <f>IFERROR(IF(OR($B2234="",$B2234="(blank)"),"",VLOOKUP($B2234,'Email Marketing Raw Data'!$C:$O,13,0)),"")</f>
        <v/>
      </c>
      <c r="G2234" s="55" t="str">
        <f>IFERROR(IF(OR($B2234="",$B2234="(blank)"),"",VLOOKUP($B2234,'Email Marketing Raw Data'!$C:$O,4,0)),"")</f>
        <v/>
      </c>
      <c r="H2234" s="55" t="str">
        <f>IFERROR(IF(OR($B2234="",$B2234="(blank)"),"",VLOOKUP($B2234,'Email Marketing Raw Data'!$C:$O,5,0)),"")</f>
        <v/>
      </c>
      <c r="I2234" s="55" t="str">
        <f>IFERROR(IF($G2234="","",VLOOKUP('Dashboard And Emails Automate'!$G2234,Database!$H:$N,3,0)),"")</f>
        <v/>
      </c>
      <c r="J2234" s="55" t="str">
        <f>IFERROR(IF($G2234="","",VLOOKUP('Dashboard And Emails Automate'!$G2234,Database!$H:$N,4,0)),"")</f>
        <v/>
      </c>
      <c r="K2234" s="55" t="str">
        <f>IFERROR(IF($G2234="","",VLOOKUP('Dashboard And Emails Automate'!$G2234,Database!$H:$N,5,0)),"")</f>
        <v/>
      </c>
      <c r="L2234" s="55" t="str">
        <f>IFERROR(IF($G2234="","",VLOOKUP('Dashboard And Emails Automate'!$G2234,Database!$H:$N,6,0)),"")</f>
        <v/>
      </c>
      <c r="M2234" s="55" t="str">
        <f>IFERROR(IF($G2234="","",VLOOKUP('Dashboard And Emails Automate'!$G2234,Database!$H:$N,7,0)),"")</f>
        <v/>
      </c>
      <c r="N2234" s="55" t="str">
        <f>IFERROR(IF(OR($B2234="",$B2234="(blank)"),"",VLOOKUP($B2234,'Email Marketing Raw Data'!$C:$O,6,0)),"")</f>
        <v/>
      </c>
      <c r="O2234" s="55" t="str">
        <f>IFERROR(IF(OR($B2234="",$B2234="(blank)"),"",VLOOKUP($B2234,'Email Marketing Raw Data'!$C:$O,7,0)),"")</f>
        <v/>
      </c>
      <c r="P2234" s="55" t="str">
        <f>IFERROR(IF(OR($B2234="",$B2234="(blank)"),"",VLOOKUP($B2234,'Email Marketing Raw Data'!$C:$O,8,0)),"")</f>
        <v/>
      </c>
      <c r="Q2234" s="62" t="str">
        <f>IFERROR(IF(OR($B2234="",$B2234="(blank)"),"",VLOOKUP($B2234,'Email Marketing Raw Data'!$C:$O,9,0)),"")</f>
        <v/>
      </c>
    </row>
    <row r="2235" spans="4:17" ht="12.75" customHeight="1" x14ac:dyDescent="0.2">
      <c r="D2235" s="58" t="str">
        <f>IFERROR(IF(F2235&lt;&gt;"pending","",IF(OR($B2235="",$B2235="(blank)"),"",VLOOKUP($B2235,'Email Marketing Raw Data'!$C:$O,10,0))),"")</f>
        <v/>
      </c>
      <c r="E2235" s="59" t="str">
        <f>IFERROR(IF(F2235&lt;&gt;"pending","",IF(OR($B2235="",$B2235="(blank)"),"",VLOOKUP($B2235,'Email Marketing Raw Data'!$C:$O,11,0))),"")</f>
        <v/>
      </c>
      <c r="F2235" s="54" t="str">
        <f>IFERROR(IF(OR($B2235="",$B2235="(blank)"),"",VLOOKUP($B2235,'Email Marketing Raw Data'!$C:$O,13,0)),"")</f>
        <v/>
      </c>
      <c r="G2235" s="55" t="str">
        <f>IFERROR(IF(OR($B2235="",$B2235="(blank)"),"",VLOOKUP($B2235,'Email Marketing Raw Data'!$C:$O,4,0)),"")</f>
        <v/>
      </c>
      <c r="H2235" s="55" t="str">
        <f>IFERROR(IF(OR($B2235="",$B2235="(blank)"),"",VLOOKUP($B2235,'Email Marketing Raw Data'!$C:$O,5,0)),"")</f>
        <v/>
      </c>
      <c r="I2235" s="55" t="str">
        <f>IFERROR(IF($G2235="","",VLOOKUP('Dashboard And Emails Automate'!$G2235,Database!$H:$N,3,0)),"")</f>
        <v/>
      </c>
      <c r="J2235" s="55" t="str">
        <f>IFERROR(IF($G2235="","",VLOOKUP('Dashboard And Emails Automate'!$G2235,Database!$H:$N,4,0)),"")</f>
        <v/>
      </c>
      <c r="K2235" s="55" t="str">
        <f>IFERROR(IF($G2235="","",VLOOKUP('Dashboard And Emails Automate'!$G2235,Database!$H:$N,5,0)),"")</f>
        <v/>
      </c>
      <c r="L2235" s="55" t="str">
        <f>IFERROR(IF($G2235="","",VLOOKUP('Dashboard And Emails Automate'!$G2235,Database!$H:$N,6,0)),"")</f>
        <v/>
      </c>
      <c r="M2235" s="55" t="str">
        <f>IFERROR(IF($G2235="","",VLOOKUP('Dashboard And Emails Automate'!$G2235,Database!$H:$N,7,0)),"")</f>
        <v/>
      </c>
      <c r="N2235" s="55" t="str">
        <f>IFERROR(IF(OR($B2235="",$B2235="(blank)"),"",VLOOKUP($B2235,'Email Marketing Raw Data'!$C:$O,6,0)),"")</f>
        <v/>
      </c>
      <c r="O2235" s="55" t="str">
        <f>IFERROR(IF(OR($B2235="",$B2235="(blank)"),"",VLOOKUP($B2235,'Email Marketing Raw Data'!$C:$O,7,0)),"")</f>
        <v/>
      </c>
      <c r="P2235" s="55" t="str">
        <f>IFERROR(IF(OR($B2235="",$B2235="(blank)"),"",VLOOKUP($B2235,'Email Marketing Raw Data'!$C:$O,8,0)),"")</f>
        <v/>
      </c>
      <c r="Q2235" s="62" t="str">
        <f>IFERROR(IF(OR($B2235="",$B2235="(blank)"),"",VLOOKUP($B2235,'Email Marketing Raw Data'!$C:$O,9,0)),"")</f>
        <v/>
      </c>
    </row>
    <row r="2236" spans="4:17" ht="12.75" customHeight="1" x14ac:dyDescent="0.2">
      <c r="D2236" s="58" t="str">
        <f>IFERROR(IF(F2236&lt;&gt;"pending","",IF(OR($B2236="",$B2236="(blank)"),"",VLOOKUP($B2236,'Email Marketing Raw Data'!$C:$O,10,0))),"")</f>
        <v/>
      </c>
      <c r="E2236" s="59" t="str">
        <f>IFERROR(IF(F2236&lt;&gt;"pending","",IF(OR($B2236="",$B2236="(blank)"),"",VLOOKUP($B2236,'Email Marketing Raw Data'!$C:$O,11,0))),"")</f>
        <v/>
      </c>
      <c r="F2236" s="54" t="str">
        <f>IFERROR(IF(OR($B2236="",$B2236="(blank)"),"",VLOOKUP($B2236,'Email Marketing Raw Data'!$C:$O,13,0)),"")</f>
        <v/>
      </c>
      <c r="G2236" s="55" t="str">
        <f>IFERROR(IF(OR($B2236="",$B2236="(blank)"),"",VLOOKUP($B2236,'Email Marketing Raw Data'!$C:$O,4,0)),"")</f>
        <v/>
      </c>
      <c r="H2236" s="55" t="str">
        <f>IFERROR(IF(OR($B2236="",$B2236="(blank)"),"",VLOOKUP($B2236,'Email Marketing Raw Data'!$C:$O,5,0)),"")</f>
        <v/>
      </c>
      <c r="I2236" s="55" t="str">
        <f>IFERROR(IF($G2236="","",VLOOKUP('Dashboard And Emails Automate'!$G2236,Database!$H:$N,3,0)),"")</f>
        <v/>
      </c>
      <c r="J2236" s="55" t="str">
        <f>IFERROR(IF($G2236="","",VLOOKUP('Dashboard And Emails Automate'!$G2236,Database!$H:$N,4,0)),"")</f>
        <v/>
      </c>
      <c r="K2236" s="55" t="str">
        <f>IFERROR(IF($G2236="","",VLOOKUP('Dashboard And Emails Automate'!$G2236,Database!$H:$N,5,0)),"")</f>
        <v/>
      </c>
      <c r="L2236" s="55" t="str">
        <f>IFERROR(IF($G2236="","",VLOOKUP('Dashboard And Emails Automate'!$G2236,Database!$H:$N,6,0)),"")</f>
        <v/>
      </c>
      <c r="M2236" s="55" t="str">
        <f>IFERROR(IF($G2236="","",VLOOKUP('Dashboard And Emails Automate'!$G2236,Database!$H:$N,7,0)),"")</f>
        <v/>
      </c>
      <c r="N2236" s="55" t="str">
        <f>IFERROR(IF(OR($B2236="",$B2236="(blank)"),"",VLOOKUP($B2236,'Email Marketing Raw Data'!$C:$O,6,0)),"")</f>
        <v/>
      </c>
      <c r="O2236" s="55" t="str">
        <f>IFERROR(IF(OR($B2236="",$B2236="(blank)"),"",VLOOKUP($B2236,'Email Marketing Raw Data'!$C:$O,7,0)),"")</f>
        <v/>
      </c>
      <c r="P2236" s="55" t="str">
        <f>IFERROR(IF(OR($B2236="",$B2236="(blank)"),"",VLOOKUP($B2236,'Email Marketing Raw Data'!$C:$O,8,0)),"")</f>
        <v/>
      </c>
      <c r="Q2236" s="62" t="str">
        <f>IFERROR(IF(OR($B2236="",$B2236="(blank)"),"",VLOOKUP($B2236,'Email Marketing Raw Data'!$C:$O,9,0)),"")</f>
        <v/>
      </c>
    </row>
    <row r="2237" spans="4:17" ht="12.75" customHeight="1" x14ac:dyDescent="0.2">
      <c r="D2237" s="58" t="str">
        <f>IFERROR(IF(F2237&lt;&gt;"pending","",IF(OR($B2237="",$B2237="(blank)"),"",VLOOKUP($B2237,'Email Marketing Raw Data'!$C:$O,10,0))),"")</f>
        <v/>
      </c>
      <c r="E2237" s="59" t="str">
        <f>IFERROR(IF(F2237&lt;&gt;"pending","",IF(OR($B2237="",$B2237="(blank)"),"",VLOOKUP($B2237,'Email Marketing Raw Data'!$C:$O,11,0))),"")</f>
        <v/>
      </c>
      <c r="F2237" s="54" t="str">
        <f>IFERROR(IF(OR($B2237="",$B2237="(blank)"),"",VLOOKUP($B2237,'Email Marketing Raw Data'!$C:$O,13,0)),"")</f>
        <v/>
      </c>
      <c r="G2237" s="55" t="str">
        <f>IFERROR(IF(OR($B2237="",$B2237="(blank)"),"",VLOOKUP($B2237,'Email Marketing Raw Data'!$C:$O,4,0)),"")</f>
        <v/>
      </c>
      <c r="H2237" s="55" t="str">
        <f>IFERROR(IF(OR($B2237="",$B2237="(blank)"),"",VLOOKUP($B2237,'Email Marketing Raw Data'!$C:$O,5,0)),"")</f>
        <v/>
      </c>
      <c r="I2237" s="55" t="str">
        <f>IFERROR(IF($G2237="","",VLOOKUP('Dashboard And Emails Automate'!$G2237,Database!$H:$N,3,0)),"")</f>
        <v/>
      </c>
      <c r="J2237" s="55" t="str">
        <f>IFERROR(IF($G2237="","",VLOOKUP('Dashboard And Emails Automate'!$G2237,Database!$H:$N,4,0)),"")</f>
        <v/>
      </c>
      <c r="K2237" s="55" t="str">
        <f>IFERROR(IF($G2237="","",VLOOKUP('Dashboard And Emails Automate'!$G2237,Database!$H:$N,5,0)),"")</f>
        <v/>
      </c>
      <c r="L2237" s="55" t="str">
        <f>IFERROR(IF($G2237="","",VLOOKUP('Dashboard And Emails Automate'!$G2237,Database!$H:$N,6,0)),"")</f>
        <v/>
      </c>
      <c r="M2237" s="55" t="str">
        <f>IFERROR(IF($G2237="","",VLOOKUP('Dashboard And Emails Automate'!$G2237,Database!$H:$N,7,0)),"")</f>
        <v/>
      </c>
      <c r="N2237" s="55" t="str">
        <f>IFERROR(IF(OR($B2237="",$B2237="(blank)"),"",VLOOKUP($B2237,'Email Marketing Raw Data'!$C:$O,6,0)),"")</f>
        <v/>
      </c>
      <c r="O2237" s="55" t="str">
        <f>IFERROR(IF(OR($B2237="",$B2237="(blank)"),"",VLOOKUP($B2237,'Email Marketing Raw Data'!$C:$O,7,0)),"")</f>
        <v/>
      </c>
      <c r="P2237" s="55" t="str">
        <f>IFERROR(IF(OR($B2237="",$B2237="(blank)"),"",VLOOKUP($B2237,'Email Marketing Raw Data'!$C:$O,8,0)),"")</f>
        <v/>
      </c>
      <c r="Q2237" s="62" t="str">
        <f>IFERROR(IF(OR($B2237="",$B2237="(blank)"),"",VLOOKUP($B2237,'Email Marketing Raw Data'!$C:$O,9,0)),"")</f>
        <v/>
      </c>
    </row>
    <row r="2238" spans="4:17" ht="12.75" customHeight="1" x14ac:dyDescent="0.2">
      <c r="D2238" s="58" t="str">
        <f>IFERROR(IF(F2238&lt;&gt;"pending","",IF(OR($B2238="",$B2238="(blank)"),"",VLOOKUP($B2238,'Email Marketing Raw Data'!$C:$O,10,0))),"")</f>
        <v/>
      </c>
      <c r="E2238" s="59" t="str">
        <f>IFERROR(IF(F2238&lt;&gt;"pending","",IF(OR($B2238="",$B2238="(blank)"),"",VLOOKUP($B2238,'Email Marketing Raw Data'!$C:$O,11,0))),"")</f>
        <v/>
      </c>
      <c r="F2238" s="54" t="str">
        <f>IFERROR(IF(OR($B2238="",$B2238="(blank)"),"",VLOOKUP($B2238,'Email Marketing Raw Data'!$C:$O,13,0)),"")</f>
        <v/>
      </c>
      <c r="G2238" s="55" t="str">
        <f>IFERROR(IF(OR($B2238="",$B2238="(blank)"),"",VLOOKUP($B2238,'Email Marketing Raw Data'!$C:$O,4,0)),"")</f>
        <v/>
      </c>
      <c r="H2238" s="55" t="str">
        <f>IFERROR(IF(OR($B2238="",$B2238="(blank)"),"",VLOOKUP($B2238,'Email Marketing Raw Data'!$C:$O,5,0)),"")</f>
        <v/>
      </c>
      <c r="I2238" s="55" t="str">
        <f>IFERROR(IF($G2238="","",VLOOKUP('Dashboard And Emails Automate'!$G2238,Database!$H:$N,3,0)),"")</f>
        <v/>
      </c>
      <c r="J2238" s="55" t="str">
        <f>IFERROR(IF($G2238="","",VLOOKUP('Dashboard And Emails Automate'!$G2238,Database!$H:$N,4,0)),"")</f>
        <v/>
      </c>
      <c r="K2238" s="55" t="str">
        <f>IFERROR(IF($G2238="","",VLOOKUP('Dashboard And Emails Automate'!$G2238,Database!$H:$N,5,0)),"")</f>
        <v/>
      </c>
      <c r="L2238" s="55" t="str">
        <f>IFERROR(IF($G2238="","",VLOOKUP('Dashboard And Emails Automate'!$G2238,Database!$H:$N,6,0)),"")</f>
        <v/>
      </c>
      <c r="M2238" s="55" t="str">
        <f>IFERROR(IF($G2238="","",VLOOKUP('Dashboard And Emails Automate'!$G2238,Database!$H:$N,7,0)),"")</f>
        <v/>
      </c>
      <c r="N2238" s="55" t="str">
        <f>IFERROR(IF(OR($B2238="",$B2238="(blank)"),"",VLOOKUP($B2238,'Email Marketing Raw Data'!$C:$O,6,0)),"")</f>
        <v/>
      </c>
      <c r="O2238" s="55" t="str">
        <f>IFERROR(IF(OR($B2238="",$B2238="(blank)"),"",VLOOKUP($B2238,'Email Marketing Raw Data'!$C:$O,7,0)),"")</f>
        <v/>
      </c>
      <c r="P2238" s="55" t="str">
        <f>IFERROR(IF(OR($B2238="",$B2238="(blank)"),"",VLOOKUP($B2238,'Email Marketing Raw Data'!$C:$O,8,0)),"")</f>
        <v/>
      </c>
      <c r="Q2238" s="62" t="str">
        <f>IFERROR(IF(OR($B2238="",$B2238="(blank)"),"",VLOOKUP($B2238,'Email Marketing Raw Data'!$C:$O,9,0)),"")</f>
        <v/>
      </c>
    </row>
    <row r="2239" spans="4:17" ht="12.75" customHeight="1" x14ac:dyDescent="0.2">
      <c r="D2239" s="58" t="str">
        <f>IFERROR(IF(F2239&lt;&gt;"pending","",IF(OR($B2239="",$B2239="(blank)"),"",VLOOKUP($B2239,'Email Marketing Raw Data'!$C:$O,10,0))),"")</f>
        <v/>
      </c>
      <c r="E2239" s="59" t="str">
        <f>IFERROR(IF(F2239&lt;&gt;"pending","",IF(OR($B2239="",$B2239="(blank)"),"",VLOOKUP($B2239,'Email Marketing Raw Data'!$C:$O,11,0))),"")</f>
        <v/>
      </c>
      <c r="F2239" s="54" t="str">
        <f>IFERROR(IF(OR($B2239="",$B2239="(blank)"),"",VLOOKUP($B2239,'Email Marketing Raw Data'!$C:$O,13,0)),"")</f>
        <v/>
      </c>
      <c r="G2239" s="55" t="str">
        <f>IFERROR(IF(OR($B2239="",$B2239="(blank)"),"",VLOOKUP($B2239,'Email Marketing Raw Data'!$C:$O,4,0)),"")</f>
        <v/>
      </c>
      <c r="H2239" s="55" t="str">
        <f>IFERROR(IF(OR($B2239="",$B2239="(blank)"),"",VLOOKUP($B2239,'Email Marketing Raw Data'!$C:$O,5,0)),"")</f>
        <v/>
      </c>
      <c r="I2239" s="55" t="str">
        <f>IFERROR(IF($G2239="","",VLOOKUP('Dashboard And Emails Automate'!$G2239,Database!$H:$N,3,0)),"")</f>
        <v/>
      </c>
      <c r="J2239" s="55" t="str">
        <f>IFERROR(IF($G2239="","",VLOOKUP('Dashboard And Emails Automate'!$G2239,Database!$H:$N,4,0)),"")</f>
        <v/>
      </c>
      <c r="K2239" s="55" t="str">
        <f>IFERROR(IF($G2239="","",VLOOKUP('Dashboard And Emails Automate'!$G2239,Database!$H:$N,5,0)),"")</f>
        <v/>
      </c>
      <c r="L2239" s="55" t="str">
        <f>IFERROR(IF($G2239="","",VLOOKUP('Dashboard And Emails Automate'!$G2239,Database!$H:$N,6,0)),"")</f>
        <v/>
      </c>
      <c r="M2239" s="55" t="str">
        <f>IFERROR(IF($G2239="","",VLOOKUP('Dashboard And Emails Automate'!$G2239,Database!$H:$N,7,0)),"")</f>
        <v/>
      </c>
      <c r="N2239" s="55" t="str">
        <f>IFERROR(IF(OR($B2239="",$B2239="(blank)"),"",VLOOKUP($B2239,'Email Marketing Raw Data'!$C:$O,6,0)),"")</f>
        <v/>
      </c>
      <c r="O2239" s="55" t="str">
        <f>IFERROR(IF(OR($B2239="",$B2239="(blank)"),"",VLOOKUP($B2239,'Email Marketing Raw Data'!$C:$O,7,0)),"")</f>
        <v/>
      </c>
      <c r="P2239" s="55" t="str">
        <f>IFERROR(IF(OR($B2239="",$B2239="(blank)"),"",VLOOKUP($B2239,'Email Marketing Raw Data'!$C:$O,8,0)),"")</f>
        <v/>
      </c>
      <c r="Q2239" s="62" t="str">
        <f>IFERROR(IF(OR($B2239="",$B2239="(blank)"),"",VLOOKUP($B2239,'Email Marketing Raw Data'!$C:$O,9,0)),"")</f>
        <v/>
      </c>
    </row>
    <row r="2240" spans="4:17" ht="12.75" customHeight="1" x14ac:dyDescent="0.2">
      <c r="D2240" s="58" t="str">
        <f>IFERROR(IF(F2240&lt;&gt;"pending","",IF(OR($B2240="",$B2240="(blank)"),"",VLOOKUP($B2240,'Email Marketing Raw Data'!$C:$O,10,0))),"")</f>
        <v/>
      </c>
      <c r="E2240" s="59" t="str">
        <f>IFERROR(IF(F2240&lt;&gt;"pending","",IF(OR($B2240="",$B2240="(blank)"),"",VLOOKUP($B2240,'Email Marketing Raw Data'!$C:$O,11,0))),"")</f>
        <v/>
      </c>
      <c r="F2240" s="54" t="str">
        <f>IFERROR(IF(OR($B2240="",$B2240="(blank)"),"",VLOOKUP($B2240,'Email Marketing Raw Data'!$C:$O,13,0)),"")</f>
        <v/>
      </c>
      <c r="G2240" s="55" t="str">
        <f>IFERROR(IF(OR($B2240="",$B2240="(blank)"),"",VLOOKUP($B2240,'Email Marketing Raw Data'!$C:$O,4,0)),"")</f>
        <v/>
      </c>
      <c r="H2240" s="55" t="str">
        <f>IFERROR(IF(OR($B2240="",$B2240="(blank)"),"",VLOOKUP($B2240,'Email Marketing Raw Data'!$C:$O,5,0)),"")</f>
        <v/>
      </c>
      <c r="I2240" s="55" t="str">
        <f>IFERROR(IF($G2240="","",VLOOKUP('Dashboard And Emails Automate'!$G2240,Database!$H:$N,3,0)),"")</f>
        <v/>
      </c>
      <c r="J2240" s="55" t="str">
        <f>IFERROR(IF($G2240="","",VLOOKUP('Dashboard And Emails Automate'!$G2240,Database!$H:$N,4,0)),"")</f>
        <v/>
      </c>
      <c r="K2240" s="55" t="str">
        <f>IFERROR(IF($G2240="","",VLOOKUP('Dashboard And Emails Automate'!$G2240,Database!$H:$N,5,0)),"")</f>
        <v/>
      </c>
      <c r="L2240" s="55" t="str">
        <f>IFERROR(IF($G2240="","",VLOOKUP('Dashboard And Emails Automate'!$G2240,Database!$H:$N,6,0)),"")</f>
        <v/>
      </c>
      <c r="M2240" s="55" t="str">
        <f>IFERROR(IF($G2240="","",VLOOKUP('Dashboard And Emails Automate'!$G2240,Database!$H:$N,7,0)),"")</f>
        <v/>
      </c>
      <c r="N2240" s="55" t="str">
        <f>IFERROR(IF(OR($B2240="",$B2240="(blank)"),"",VLOOKUP($B2240,'Email Marketing Raw Data'!$C:$O,6,0)),"")</f>
        <v/>
      </c>
      <c r="O2240" s="55" t="str">
        <f>IFERROR(IF(OR($B2240="",$B2240="(blank)"),"",VLOOKUP($B2240,'Email Marketing Raw Data'!$C:$O,7,0)),"")</f>
        <v/>
      </c>
      <c r="P2240" s="55" t="str">
        <f>IFERROR(IF(OR($B2240="",$B2240="(blank)"),"",VLOOKUP($B2240,'Email Marketing Raw Data'!$C:$O,8,0)),"")</f>
        <v/>
      </c>
      <c r="Q2240" s="62" t="str">
        <f>IFERROR(IF(OR($B2240="",$B2240="(blank)"),"",VLOOKUP($B2240,'Email Marketing Raw Data'!$C:$O,9,0)),"")</f>
        <v/>
      </c>
    </row>
    <row r="2241" spans="4:17" ht="12.75" customHeight="1" x14ac:dyDescent="0.2">
      <c r="D2241" s="58" t="str">
        <f>IFERROR(IF(F2241&lt;&gt;"pending","",IF(OR($B2241="",$B2241="(blank)"),"",VLOOKUP($B2241,'Email Marketing Raw Data'!$C:$O,10,0))),"")</f>
        <v/>
      </c>
      <c r="E2241" s="59" t="str">
        <f>IFERROR(IF(F2241&lt;&gt;"pending","",IF(OR($B2241="",$B2241="(blank)"),"",VLOOKUP($B2241,'Email Marketing Raw Data'!$C:$O,11,0))),"")</f>
        <v/>
      </c>
      <c r="F2241" s="54" t="str">
        <f>IFERROR(IF(OR($B2241="",$B2241="(blank)"),"",VLOOKUP($B2241,'Email Marketing Raw Data'!$C:$O,13,0)),"")</f>
        <v/>
      </c>
      <c r="G2241" s="55" t="str">
        <f>IFERROR(IF(OR($B2241="",$B2241="(blank)"),"",VLOOKUP($B2241,'Email Marketing Raw Data'!$C:$O,4,0)),"")</f>
        <v/>
      </c>
      <c r="H2241" s="55" t="str">
        <f>IFERROR(IF(OR($B2241="",$B2241="(blank)"),"",VLOOKUP($B2241,'Email Marketing Raw Data'!$C:$O,5,0)),"")</f>
        <v/>
      </c>
      <c r="I2241" s="55" t="str">
        <f>IFERROR(IF($G2241="","",VLOOKUP('Dashboard And Emails Automate'!$G2241,Database!$H:$N,3,0)),"")</f>
        <v/>
      </c>
      <c r="J2241" s="55" t="str">
        <f>IFERROR(IF($G2241="","",VLOOKUP('Dashboard And Emails Automate'!$G2241,Database!$H:$N,4,0)),"")</f>
        <v/>
      </c>
      <c r="K2241" s="55" t="str">
        <f>IFERROR(IF($G2241="","",VLOOKUP('Dashboard And Emails Automate'!$G2241,Database!$H:$N,5,0)),"")</f>
        <v/>
      </c>
      <c r="L2241" s="55" t="str">
        <f>IFERROR(IF($G2241="","",VLOOKUP('Dashboard And Emails Automate'!$G2241,Database!$H:$N,6,0)),"")</f>
        <v/>
      </c>
      <c r="M2241" s="55" t="str">
        <f>IFERROR(IF($G2241="","",VLOOKUP('Dashboard And Emails Automate'!$G2241,Database!$H:$N,7,0)),"")</f>
        <v/>
      </c>
      <c r="N2241" s="55" t="str">
        <f>IFERROR(IF(OR($B2241="",$B2241="(blank)"),"",VLOOKUP($B2241,'Email Marketing Raw Data'!$C:$O,6,0)),"")</f>
        <v/>
      </c>
      <c r="O2241" s="55" t="str">
        <f>IFERROR(IF(OR($B2241="",$B2241="(blank)"),"",VLOOKUP($B2241,'Email Marketing Raw Data'!$C:$O,7,0)),"")</f>
        <v/>
      </c>
      <c r="P2241" s="55" t="str">
        <f>IFERROR(IF(OR($B2241="",$B2241="(blank)"),"",VLOOKUP($B2241,'Email Marketing Raw Data'!$C:$O,8,0)),"")</f>
        <v/>
      </c>
      <c r="Q2241" s="62" t="str">
        <f>IFERROR(IF(OR($B2241="",$B2241="(blank)"),"",VLOOKUP($B2241,'Email Marketing Raw Data'!$C:$O,9,0)),"")</f>
        <v/>
      </c>
    </row>
    <row r="2242" spans="4:17" ht="12.75" customHeight="1" x14ac:dyDescent="0.2">
      <c r="D2242" s="58" t="str">
        <f>IFERROR(IF(F2242&lt;&gt;"pending","",IF(OR($B2242="",$B2242="(blank)"),"",VLOOKUP($B2242,'Email Marketing Raw Data'!$C:$O,10,0))),"")</f>
        <v/>
      </c>
      <c r="E2242" s="59" t="str">
        <f>IFERROR(IF(F2242&lt;&gt;"pending","",IF(OR($B2242="",$B2242="(blank)"),"",VLOOKUP($B2242,'Email Marketing Raw Data'!$C:$O,11,0))),"")</f>
        <v/>
      </c>
      <c r="F2242" s="54" t="str">
        <f>IFERROR(IF(OR($B2242="",$B2242="(blank)"),"",VLOOKUP($B2242,'Email Marketing Raw Data'!$C:$O,13,0)),"")</f>
        <v/>
      </c>
      <c r="G2242" s="55" t="str">
        <f>IFERROR(IF(OR($B2242="",$B2242="(blank)"),"",VLOOKUP($B2242,'Email Marketing Raw Data'!$C:$O,4,0)),"")</f>
        <v/>
      </c>
      <c r="H2242" s="55" t="str">
        <f>IFERROR(IF(OR($B2242="",$B2242="(blank)"),"",VLOOKUP($B2242,'Email Marketing Raw Data'!$C:$O,5,0)),"")</f>
        <v/>
      </c>
      <c r="I2242" s="55" t="str">
        <f>IFERROR(IF($G2242="","",VLOOKUP('Dashboard And Emails Automate'!$G2242,Database!$H:$N,3,0)),"")</f>
        <v/>
      </c>
      <c r="J2242" s="55" t="str">
        <f>IFERROR(IF($G2242="","",VLOOKUP('Dashboard And Emails Automate'!$G2242,Database!$H:$N,4,0)),"")</f>
        <v/>
      </c>
      <c r="K2242" s="55" t="str">
        <f>IFERROR(IF($G2242="","",VLOOKUP('Dashboard And Emails Automate'!$G2242,Database!$H:$N,5,0)),"")</f>
        <v/>
      </c>
      <c r="L2242" s="55" t="str">
        <f>IFERROR(IF($G2242="","",VLOOKUP('Dashboard And Emails Automate'!$G2242,Database!$H:$N,6,0)),"")</f>
        <v/>
      </c>
      <c r="M2242" s="55" t="str">
        <f>IFERROR(IF($G2242="","",VLOOKUP('Dashboard And Emails Automate'!$G2242,Database!$H:$N,7,0)),"")</f>
        <v/>
      </c>
      <c r="N2242" s="55" t="str">
        <f>IFERROR(IF(OR($B2242="",$B2242="(blank)"),"",VLOOKUP($B2242,'Email Marketing Raw Data'!$C:$O,6,0)),"")</f>
        <v/>
      </c>
      <c r="O2242" s="55" t="str">
        <f>IFERROR(IF(OR($B2242="",$B2242="(blank)"),"",VLOOKUP($B2242,'Email Marketing Raw Data'!$C:$O,7,0)),"")</f>
        <v/>
      </c>
      <c r="P2242" s="55" t="str">
        <f>IFERROR(IF(OR($B2242="",$B2242="(blank)"),"",VLOOKUP($B2242,'Email Marketing Raw Data'!$C:$O,8,0)),"")</f>
        <v/>
      </c>
      <c r="Q2242" s="62" t="str">
        <f>IFERROR(IF(OR($B2242="",$B2242="(blank)"),"",VLOOKUP($B2242,'Email Marketing Raw Data'!$C:$O,9,0)),"")</f>
        <v/>
      </c>
    </row>
    <row r="2243" spans="4:17" ht="12.75" customHeight="1" x14ac:dyDescent="0.2">
      <c r="D2243" s="58" t="str">
        <f>IFERROR(IF(F2243&lt;&gt;"pending","",IF(OR($B2243="",$B2243="(blank)"),"",VLOOKUP($B2243,'Email Marketing Raw Data'!$C:$O,10,0))),"")</f>
        <v/>
      </c>
      <c r="E2243" s="59" t="str">
        <f>IFERROR(IF(F2243&lt;&gt;"pending","",IF(OR($B2243="",$B2243="(blank)"),"",VLOOKUP($B2243,'Email Marketing Raw Data'!$C:$O,11,0))),"")</f>
        <v/>
      </c>
      <c r="F2243" s="54" t="str">
        <f>IFERROR(IF(OR($B2243="",$B2243="(blank)"),"",VLOOKUP($B2243,'Email Marketing Raw Data'!$C:$O,13,0)),"")</f>
        <v/>
      </c>
      <c r="G2243" s="55" t="str">
        <f>IFERROR(IF(OR($B2243="",$B2243="(blank)"),"",VLOOKUP($B2243,'Email Marketing Raw Data'!$C:$O,4,0)),"")</f>
        <v/>
      </c>
      <c r="H2243" s="55" t="str">
        <f>IFERROR(IF(OR($B2243="",$B2243="(blank)"),"",VLOOKUP($B2243,'Email Marketing Raw Data'!$C:$O,5,0)),"")</f>
        <v/>
      </c>
      <c r="I2243" s="55" t="str">
        <f>IFERROR(IF($G2243="","",VLOOKUP('Dashboard And Emails Automate'!$G2243,Database!$H:$N,3,0)),"")</f>
        <v/>
      </c>
      <c r="J2243" s="55" t="str">
        <f>IFERROR(IF($G2243="","",VLOOKUP('Dashboard And Emails Automate'!$G2243,Database!$H:$N,4,0)),"")</f>
        <v/>
      </c>
      <c r="K2243" s="55" t="str">
        <f>IFERROR(IF($G2243="","",VLOOKUP('Dashboard And Emails Automate'!$G2243,Database!$H:$N,5,0)),"")</f>
        <v/>
      </c>
      <c r="L2243" s="55" t="str">
        <f>IFERROR(IF($G2243="","",VLOOKUP('Dashboard And Emails Automate'!$G2243,Database!$H:$N,6,0)),"")</f>
        <v/>
      </c>
      <c r="M2243" s="55" t="str">
        <f>IFERROR(IF($G2243="","",VLOOKUP('Dashboard And Emails Automate'!$G2243,Database!$H:$N,7,0)),"")</f>
        <v/>
      </c>
      <c r="N2243" s="55" t="str">
        <f>IFERROR(IF(OR($B2243="",$B2243="(blank)"),"",VLOOKUP($B2243,'Email Marketing Raw Data'!$C:$O,6,0)),"")</f>
        <v/>
      </c>
      <c r="O2243" s="55" t="str">
        <f>IFERROR(IF(OR($B2243="",$B2243="(blank)"),"",VLOOKUP($B2243,'Email Marketing Raw Data'!$C:$O,7,0)),"")</f>
        <v/>
      </c>
      <c r="P2243" s="55" t="str">
        <f>IFERROR(IF(OR($B2243="",$B2243="(blank)"),"",VLOOKUP($B2243,'Email Marketing Raw Data'!$C:$O,8,0)),"")</f>
        <v/>
      </c>
      <c r="Q2243" s="62" t="str">
        <f>IFERROR(IF(OR($B2243="",$B2243="(blank)"),"",VLOOKUP($B2243,'Email Marketing Raw Data'!$C:$O,9,0)),"")</f>
        <v/>
      </c>
    </row>
    <row r="2244" spans="4:17" ht="12.75" customHeight="1" x14ac:dyDescent="0.2">
      <c r="D2244" s="58" t="str">
        <f>IFERROR(IF(F2244&lt;&gt;"pending","",IF(OR($B2244="",$B2244="(blank)"),"",VLOOKUP($B2244,'Email Marketing Raw Data'!$C:$O,10,0))),"")</f>
        <v/>
      </c>
      <c r="E2244" s="59" t="str">
        <f>IFERROR(IF(F2244&lt;&gt;"pending","",IF(OR($B2244="",$B2244="(blank)"),"",VLOOKUP($B2244,'Email Marketing Raw Data'!$C:$O,11,0))),"")</f>
        <v/>
      </c>
      <c r="F2244" s="54" t="str">
        <f>IFERROR(IF(OR($B2244="",$B2244="(blank)"),"",VLOOKUP($B2244,'Email Marketing Raw Data'!$C:$O,13,0)),"")</f>
        <v/>
      </c>
      <c r="G2244" s="55" t="str">
        <f>IFERROR(IF(OR($B2244="",$B2244="(blank)"),"",VLOOKUP($B2244,'Email Marketing Raw Data'!$C:$O,4,0)),"")</f>
        <v/>
      </c>
      <c r="H2244" s="55" t="str">
        <f>IFERROR(IF(OR($B2244="",$B2244="(blank)"),"",VLOOKUP($B2244,'Email Marketing Raw Data'!$C:$O,5,0)),"")</f>
        <v/>
      </c>
      <c r="I2244" s="55" t="str">
        <f>IFERROR(IF($G2244="","",VLOOKUP('Dashboard And Emails Automate'!$G2244,Database!$H:$N,3,0)),"")</f>
        <v/>
      </c>
      <c r="J2244" s="55" t="str">
        <f>IFERROR(IF($G2244="","",VLOOKUP('Dashboard And Emails Automate'!$G2244,Database!$H:$N,4,0)),"")</f>
        <v/>
      </c>
      <c r="K2244" s="55" t="str">
        <f>IFERROR(IF($G2244="","",VLOOKUP('Dashboard And Emails Automate'!$G2244,Database!$H:$N,5,0)),"")</f>
        <v/>
      </c>
      <c r="L2244" s="55" t="str">
        <f>IFERROR(IF($G2244="","",VLOOKUP('Dashboard And Emails Automate'!$G2244,Database!$H:$N,6,0)),"")</f>
        <v/>
      </c>
      <c r="M2244" s="55" t="str">
        <f>IFERROR(IF($G2244="","",VLOOKUP('Dashboard And Emails Automate'!$G2244,Database!$H:$N,7,0)),"")</f>
        <v/>
      </c>
      <c r="N2244" s="55" t="str">
        <f>IFERROR(IF(OR($B2244="",$B2244="(blank)"),"",VLOOKUP($B2244,'Email Marketing Raw Data'!$C:$O,6,0)),"")</f>
        <v/>
      </c>
      <c r="O2244" s="55" t="str">
        <f>IFERROR(IF(OR($B2244="",$B2244="(blank)"),"",VLOOKUP($B2244,'Email Marketing Raw Data'!$C:$O,7,0)),"")</f>
        <v/>
      </c>
      <c r="P2244" s="55" t="str">
        <f>IFERROR(IF(OR($B2244="",$B2244="(blank)"),"",VLOOKUP($B2244,'Email Marketing Raw Data'!$C:$O,8,0)),"")</f>
        <v/>
      </c>
      <c r="Q2244" s="62" t="str">
        <f>IFERROR(IF(OR($B2244="",$B2244="(blank)"),"",VLOOKUP($B2244,'Email Marketing Raw Data'!$C:$O,9,0)),"")</f>
        <v/>
      </c>
    </row>
    <row r="2245" spans="4:17" ht="12.75" customHeight="1" x14ac:dyDescent="0.2">
      <c r="D2245" s="58" t="str">
        <f>IFERROR(IF(F2245&lt;&gt;"pending","",IF(OR($B2245="",$B2245="(blank)"),"",VLOOKUP($B2245,'Email Marketing Raw Data'!$C:$O,10,0))),"")</f>
        <v/>
      </c>
      <c r="E2245" s="59" t="str">
        <f>IFERROR(IF(F2245&lt;&gt;"pending","",IF(OR($B2245="",$B2245="(blank)"),"",VLOOKUP($B2245,'Email Marketing Raw Data'!$C:$O,11,0))),"")</f>
        <v/>
      </c>
      <c r="F2245" s="54" t="str">
        <f>IFERROR(IF(OR($B2245="",$B2245="(blank)"),"",VLOOKUP($B2245,'Email Marketing Raw Data'!$C:$O,13,0)),"")</f>
        <v/>
      </c>
      <c r="G2245" s="55" t="str">
        <f>IFERROR(IF(OR($B2245="",$B2245="(blank)"),"",VLOOKUP($B2245,'Email Marketing Raw Data'!$C:$O,4,0)),"")</f>
        <v/>
      </c>
      <c r="H2245" s="55" t="str">
        <f>IFERROR(IF(OR($B2245="",$B2245="(blank)"),"",VLOOKUP($B2245,'Email Marketing Raw Data'!$C:$O,5,0)),"")</f>
        <v/>
      </c>
      <c r="I2245" s="55" t="str">
        <f>IFERROR(IF($G2245="","",VLOOKUP('Dashboard And Emails Automate'!$G2245,Database!$H:$N,3,0)),"")</f>
        <v/>
      </c>
      <c r="J2245" s="55" t="str">
        <f>IFERROR(IF($G2245="","",VLOOKUP('Dashboard And Emails Automate'!$G2245,Database!$H:$N,4,0)),"")</f>
        <v/>
      </c>
      <c r="K2245" s="55" t="str">
        <f>IFERROR(IF($G2245="","",VLOOKUP('Dashboard And Emails Automate'!$G2245,Database!$H:$N,5,0)),"")</f>
        <v/>
      </c>
      <c r="L2245" s="55" t="str">
        <f>IFERROR(IF($G2245="","",VLOOKUP('Dashboard And Emails Automate'!$G2245,Database!$H:$N,6,0)),"")</f>
        <v/>
      </c>
      <c r="M2245" s="55" t="str">
        <f>IFERROR(IF($G2245="","",VLOOKUP('Dashboard And Emails Automate'!$G2245,Database!$H:$N,7,0)),"")</f>
        <v/>
      </c>
      <c r="N2245" s="55" t="str">
        <f>IFERROR(IF(OR($B2245="",$B2245="(blank)"),"",VLOOKUP($B2245,'Email Marketing Raw Data'!$C:$O,6,0)),"")</f>
        <v/>
      </c>
      <c r="O2245" s="55" t="str">
        <f>IFERROR(IF(OR($B2245="",$B2245="(blank)"),"",VLOOKUP($B2245,'Email Marketing Raw Data'!$C:$O,7,0)),"")</f>
        <v/>
      </c>
      <c r="P2245" s="55" t="str">
        <f>IFERROR(IF(OR($B2245="",$B2245="(blank)"),"",VLOOKUP($B2245,'Email Marketing Raw Data'!$C:$O,8,0)),"")</f>
        <v/>
      </c>
      <c r="Q2245" s="62" t="str">
        <f>IFERROR(IF(OR($B2245="",$B2245="(blank)"),"",VLOOKUP($B2245,'Email Marketing Raw Data'!$C:$O,9,0)),"")</f>
        <v/>
      </c>
    </row>
    <row r="2246" spans="4:17" ht="12.75" customHeight="1" x14ac:dyDescent="0.2">
      <c r="D2246" s="58" t="str">
        <f>IFERROR(IF(F2246&lt;&gt;"pending","",IF(OR($B2246="",$B2246="(blank)"),"",VLOOKUP($B2246,'Email Marketing Raw Data'!$C:$O,10,0))),"")</f>
        <v/>
      </c>
      <c r="E2246" s="59" t="str">
        <f>IFERROR(IF(F2246&lt;&gt;"pending","",IF(OR($B2246="",$B2246="(blank)"),"",VLOOKUP($B2246,'Email Marketing Raw Data'!$C:$O,11,0))),"")</f>
        <v/>
      </c>
      <c r="F2246" s="54" t="str">
        <f>IFERROR(IF(OR($B2246="",$B2246="(blank)"),"",VLOOKUP($B2246,'Email Marketing Raw Data'!$C:$O,13,0)),"")</f>
        <v/>
      </c>
      <c r="G2246" s="55" t="str">
        <f>IFERROR(IF(OR($B2246="",$B2246="(blank)"),"",VLOOKUP($B2246,'Email Marketing Raw Data'!$C:$O,4,0)),"")</f>
        <v/>
      </c>
      <c r="H2246" s="55" t="str">
        <f>IFERROR(IF(OR($B2246="",$B2246="(blank)"),"",VLOOKUP($B2246,'Email Marketing Raw Data'!$C:$O,5,0)),"")</f>
        <v/>
      </c>
      <c r="I2246" s="55" t="str">
        <f>IFERROR(IF($G2246="","",VLOOKUP('Dashboard And Emails Automate'!$G2246,Database!$H:$N,3,0)),"")</f>
        <v/>
      </c>
      <c r="J2246" s="55" t="str">
        <f>IFERROR(IF($G2246="","",VLOOKUP('Dashboard And Emails Automate'!$G2246,Database!$H:$N,4,0)),"")</f>
        <v/>
      </c>
      <c r="K2246" s="55" t="str">
        <f>IFERROR(IF($G2246="","",VLOOKUP('Dashboard And Emails Automate'!$G2246,Database!$H:$N,5,0)),"")</f>
        <v/>
      </c>
      <c r="L2246" s="55" t="str">
        <f>IFERROR(IF($G2246="","",VLOOKUP('Dashboard And Emails Automate'!$G2246,Database!$H:$N,6,0)),"")</f>
        <v/>
      </c>
      <c r="M2246" s="55" t="str">
        <f>IFERROR(IF($G2246="","",VLOOKUP('Dashboard And Emails Automate'!$G2246,Database!$H:$N,7,0)),"")</f>
        <v/>
      </c>
      <c r="N2246" s="55" t="str">
        <f>IFERROR(IF(OR($B2246="",$B2246="(blank)"),"",VLOOKUP($B2246,'Email Marketing Raw Data'!$C:$O,6,0)),"")</f>
        <v/>
      </c>
      <c r="O2246" s="55" t="str">
        <f>IFERROR(IF(OR($B2246="",$B2246="(blank)"),"",VLOOKUP($B2246,'Email Marketing Raw Data'!$C:$O,7,0)),"")</f>
        <v/>
      </c>
      <c r="P2246" s="55" t="str">
        <f>IFERROR(IF(OR($B2246="",$B2246="(blank)"),"",VLOOKUP($B2246,'Email Marketing Raw Data'!$C:$O,8,0)),"")</f>
        <v/>
      </c>
      <c r="Q2246" s="62" t="str">
        <f>IFERROR(IF(OR($B2246="",$B2246="(blank)"),"",VLOOKUP($B2246,'Email Marketing Raw Data'!$C:$O,9,0)),"")</f>
        <v/>
      </c>
    </row>
    <row r="2247" spans="4:17" ht="12.75" customHeight="1" x14ac:dyDescent="0.2">
      <c r="D2247" s="58" t="str">
        <f>IFERROR(IF(F2247&lt;&gt;"pending","",IF(OR($B2247="",$B2247="(blank)"),"",VLOOKUP($B2247,'Email Marketing Raw Data'!$C:$O,10,0))),"")</f>
        <v/>
      </c>
      <c r="E2247" s="59" t="str">
        <f>IFERROR(IF(F2247&lt;&gt;"pending","",IF(OR($B2247="",$B2247="(blank)"),"",VLOOKUP($B2247,'Email Marketing Raw Data'!$C:$O,11,0))),"")</f>
        <v/>
      </c>
      <c r="F2247" s="54" t="str">
        <f>IFERROR(IF(OR($B2247="",$B2247="(blank)"),"",VLOOKUP($B2247,'Email Marketing Raw Data'!$C:$O,13,0)),"")</f>
        <v/>
      </c>
      <c r="G2247" s="55" t="str">
        <f>IFERROR(IF(OR($B2247="",$B2247="(blank)"),"",VLOOKUP($B2247,'Email Marketing Raw Data'!$C:$O,4,0)),"")</f>
        <v/>
      </c>
      <c r="H2247" s="55" t="str">
        <f>IFERROR(IF(OR($B2247="",$B2247="(blank)"),"",VLOOKUP($B2247,'Email Marketing Raw Data'!$C:$O,5,0)),"")</f>
        <v/>
      </c>
      <c r="I2247" s="55" t="str">
        <f>IFERROR(IF($G2247="","",VLOOKUP('Dashboard And Emails Automate'!$G2247,Database!$H:$N,3,0)),"")</f>
        <v/>
      </c>
      <c r="J2247" s="55" t="str">
        <f>IFERROR(IF($G2247="","",VLOOKUP('Dashboard And Emails Automate'!$G2247,Database!$H:$N,4,0)),"")</f>
        <v/>
      </c>
      <c r="K2247" s="55" t="str">
        <f>IFERROR(IF($G2247="","",VLOOKUP('Dashboard And Emails Automate'!$G2247,Database!$H:$N,5,0)),"")</f>
        <v/>
      </c>
      <c r="L2247" s="55" t="str">
        <f>IFERROR(IF($G2247="","",VLOOKUP('Dashboard And Emails Automate'!$G2247,Database!$H:$N,6,0)),"")</f>
        <v/>
      </c>
      <c r="M2247" s="55" t="str">
        <f>IFERROR(IF($G2247="","",VLOOKUP('Dashboard And Emails Automate'!$G2247,Database!$H:$N,7,0)),"")</f>
        <v/>
      </c>
      <c r="N2247" s="55" t="str">
        <f>IFERROR(IF(OR($B2247="",$B2247="(blank)"),"",VLOOKUP($B2247,'Email Marketing Raw Data'!$C:$O,6,0)),"")</f>
        <v/>
      </c>
      <c r="O2247" s="55" t="str">
        <f>IFERROR(IF(OR($B2247="",$B2247="(blank)"),"",VLOOKUP($B2247,'Email Marketing Raw Data'!$C:$O,7,0)),"")</f>
        <v/>
      </c>
      <c r="P2247" s="55" t="str">
        <f>IFERROR(IF(OR($B2247="",$B2247="(blank)"),"",VLOOKUP($B2247,'Email Marketing Raw Data'!$C:$O,8,0)),"")</f>
        <v/>
      </c>
      <c r="Q2247" s="62" t="str">
        <f>IFERROR(IF(OR($B2247="",$B2247="(blank)"),"",VLOOKUP($B2247,'Email Marketing Raw Data'!$C:$O,9,0)),"")</f>
        <v/>
      </c>
    </row>
    <row r="2248" spans="4:17" ht="12.75" customHeight="1" x14ac:dyDescent="0.2">
      <c r="D2248" s="58" t="str">
        <f>IFERROR(IF(F2248&lt;&gt;"pending","",IF(OR($B2248="",$B2248="(blank)"),"",VLOOKUP($B2248,'Email Marketing Raw Data'!$C:$O,10,0))),"")</f>
        <v/>
      </c>
      <c r="E2248" s="59" t="str">
        <f>IFERROR(IF(F2248&lt;&gt;"pending","",IF(OR($B2248="",$B2248="(blank)"),"",VLOOKUP($B2248,'Email Marketing Raw Data'!$C:$O,11,0))),"")</f>
        <v/>
      </c>
      <c r="F2248" s="54" t="str">
        <f>IFERROR(IF(OR($B2248="",$B2248="(blank)"),"",VLOOKUP($B2248,'Email Marketing Raw Data'!$C:$O,13,0)),"")</f>
        <v/>
      </c>
      <c r="G2248" s="55" t="str">
        <f>IFERROR(IF(OR($B2248="",$B2248="(blank)"),"",VLOOKUP($B2248,'Email Marketing Raw Data'!$C:$O,4,0)),"")</f>
        <v/>
      </c>
      <c r="H2248" s="55" t="str">
        <f>IFERROR(IF(OR($B2248="",$B2248="(blank)"),"",VLOOKUP($B2248,'Email Marketing Raw Data'!$C:$O,5,0)),"")</f>
        <v/>
      </c>
      <c r="I2248" s="55" t="str">
        <f>IFERROR(IF($G2248="","",VLOOKUP('Dashboard And Emails Automate'!$G2248,Database!$H:$N,3,0)),"")</f>
        <v/>
      </c>
      <c r="J2248" s="55" t="str">
        <f>IFERROR(IF($G2248="","",VLOOKUP('Dashboard And Emails Automate'!$G2248,Database!$H:$N,4,0)),"")</f>
        <v/>
      </c>
      <c r="K2248" s="55" t="str">
        <f>IFERROR(IF($G2248="","",VLOOKUP('Dashboard And Emails Automate'!$G2248,Database!$H:$N,5,0)),"")</f>
        <v/>
      </c>
      <c r="L2248" s="55" t="str">
        <f>IFERROR(IF($G2248="","",VLOOKUP('Dashboard And Emails Automate'!$G2248,Database!$H:$N,6,0)),"")</f>
        <v/>
      </c>
      <c r="M2248" s="55" t="str">
        <f>IFERROR(IF($G2248="","",VLOOKUP('Dashboard And Emails Automate'!$G2248,Database!$H:$N,7,0)),"")</f>
        <v/>
      </c>
      <c r="N2248" s="55" t="str">
        <f>IFERROR(IF(OR($B2248="",$B2248="(blank)"),"",VLOOKUP($B2248,'Email Marketing Raw Data'!$C:$O,6,0)),"")</f>
        <v/>
      </c>
      <c r="O2248" s="55" t="str">
        <f>IFERROR(IF(OR($B2248="",$B2248="(blank)"),"",VLOOKUP($B2248,'Email Marketing Raw Data'!$C:$O,7,0)),"")</f>
        <v/>
      </c>
      <c r="P2248" s="55" t="str">
        <f>IFERROR(IF(OR($B2248="",$B2248="(blank)"),"",VLOOKUP($B2248,'Email Marketing Raw Data'!$C:$O,8,0)),"")</f>
        <v/>
      </c>
      <c r="Q2248" s="62" t="str">
        <f>IFERROR(IF(OR($B2248="",$B2248="(blank)"),"",VLOOKUP($B2248,'Email Marketing Raw Data'!$C:$O,9,0)),"")</f>
        <v/>
      </c>
    </row>
    <row r="2249" spans="4:17" ht="12.75" customHeight="1" x14ac:dyDescent="0.2">
      <c r="D2249" s="58" t="str">
        <f>IFERROR(IF(F2249&lt;&gt;"pending","",IF(OR($B2249="",$B2249="(blank)"),"",VLOOKUP($B2249,'Email Marketing Raw Data'!$C:$O,10,0))),"")</f>
        <v/>
      </c>
      <c r="E2249" s="59" t="str">
        <f>IFERROR(IF(F2249&lt;&gt;"pending","",IF(OR($B2249="",$B2249="(blank)"),"",VLOOKUP($B2249,'Email Marketing Raw Data'!$C:$O,11,0))),"")</f>
        <v/>
      </c>
      <c r="F2249" s="54" t="str">
        <f>IFERROR(IF(OR($B2249="",$B2249="(blank)"),"",VLOOKUP($B2249,'Email Marketing Raw Data'!$C:$O,13,0)),"")</f>
        <v/>
      </c>
      <c r="G2249" s="55" t="str">
        <f>IFERROR(IF(OR($B2249="",$B2249="(blank)"),"",VLOOKUP($B2249,'Email Marketing Raw Data'!$C:$O,4,0)),"")</f>
        <v/>
      </c>
      <c r="H2249" s="55" t="str">
        <f>IFERROR(IF(OR($B2249="",$B2249="(blank)"),"",VLOOKUP($B2249,'Email Marketing Raw Data'!$C:$O,5,0)),"")</f>
        <v/>
      </c>
      <c r="I2249" s="55" t="str">
        <f>IFERROR(IF($G2249="","",VLOOKUP('Dashboard And Emails Automate'!$G2249,Database!$H:$N,3,0)),"")</f>
        <v/>
      </c>
      <c r="J2249" s="55" t="str">
        <f>IFERROR(IF($G2249="","",VLOOKUP('Dashboard And Emails Automate'!$G2249,Database!$H:$N,4,0)),"")</f>
        <v/>
      </c>
      <c r="K2249" s="55" t="str">
        <f>IFERROR(IF($G2249="","",VLOOKUP('Dashboard And Emails Automate'!$G2249,Database!$H:$N,5,0)),"")</f>
        <v/>
      </c>
      <c r="L2249" s="55" t="str">
        <f>IFERROR(IF($G2249="","",VLOOKUP('Dashboard And Emails Automate'!$G2249,Database!$H:$N,6,0)),"")</f>
        <v/>
      </c>
      <c r="M2249" s="55" t="str">
        <f>IFERROR(IF($G2249="","",VLOOKUP('Dashboard And Emails Automate'!$G2249,Database!$H:$N,7,0)),"")</f>
        <v/>
      </c>
      <c r="N2249" s="55" t="str">
        <f>IFERROR(IF(OR($B2249="",$B2249="(blank)"),"",VLOOKUP($B2249,'Email Marketing Raw Data'!$C:$O,6,0)),"")</f>
        <v/>
      </c>
      <c r="O2249" s="55" t="str">
        <f>IFERROR(IF(OR($B2249="",$B2249="(blank)"),"",VLOOKUP($B2249,'Email Marketing Raw Data'!$C:$O,7,0)),"")</f>
        <v/>
      </c>
      <c r="P2249" s="55" t="str">
        <f>IFERROR(IF(OR($B2249="",$B2249="(blank)"),"",VLOOKUP($B2249,'Email Marketing Raw Data'!$C:$O,8,0)),"")</f>
        <v/>
      </c>
      <c r="Q2249" s="62" t="str">
        <f>IFERROR(IF(OR($B2249="",$B2249="(blank)"),"",VLOOKUP($B2249,'Email Marketing Raw Data'!$C:$O,9,0)),"")</f>
        <v/>
      </c>
    </row>
    <row r="2250" spans="4:17" ht="12.75" customHeight="1" x14ac:dyDescent="0.2">
      <c r="D2250" s="58" t="str">
        <f>IFERROR(IF(F2250&lt;&gt;"pending","",IF(OR($B2250="",$B2250="(blank)"),"",VLOOKUP($B2250,'Email Marketing Raw Data'!$C:$O,10,0))),"")</f>
        <v/>
      </c>
      <c r="E2250" s="59" t="str">
        <f>IFERROR(IF(F2250&lt;&gt;"pending","",IF(OR($B2250="",$B2250="(blank)"),"",VLOOKUP($B2250,'Email Marketing Raw Data'!$C:$O,11,0))),"")</f>
        <v/>
      </c>
      <c r="F2250" s="54" t="str">
        <f>IFERROR(IF(OR($B2250="",$B2250="(blank)"),"",VLOOKUP($B2250,'Email Marketing Raw Data'!$C:$O,13,0)),"")</f>
        <v/>
      </c>
      <c r="G2250" s="55" t="str">
        <f>IFERROR(IF(OR($B2250="",$B2250="(blank)"),"",VLOOKUP($B2250,'Email Marketing Raw Data'!$C:$O,4,0)),"")</f>
        <v/>
      </c>
      <c r="H2250" s="55" t="str">
        <f>IFERROR(IF(OR($B2250="",$B2250="(blank)"),"",VLOOKUP($B2250,'Email Marketing Raw Data'!$C:$O,5,0)),"")</f>
        <v/>
      </c>
      <c r="I2250" s="55" t="str">
        <f>IFERROR(IF($G2250="","",VLOOKUP('Dashboard And Emails Automate'!$G2250,Database!$H:$N,3,0)),"")</f>
        <v/>
      </c>
      <c r="J2250" s="55" t="str">
        <f>IFERROR(IF($G2250="","",VLOOKUP('Dashboard And Emails Automate'!$G2250,Database!$H:$N,4,0)),"")</f>
        <v/>
      </c>
      <c r="K2250" s="55" t="str">
        <f>IFERROR(IF($G2250="","",VLOOKUP('Dashboard And Emails Automate'!$G2250,Database!$H:$N,5,0)),"")</f>
        <v/>
      </c>
      <c r="L2250" s="55" t="str">
        <f>IFERROR(IF($G2250="","",VLOOKUP('Dashboard And Emails Automate'!$G2250,Database!$H:$N,6,0)),"")</f>
        <v/>
      </c>
      <c r="M2250" s="55" t="str">
        <f>IFERROR(IF($G2250="","",VLOOKUP('Dashboard And Emails Automate'!$G2250,Database!$H:$N,7,0)),"")</f>
        <v/>
      </c>
      <c r="N2250" s="55" t="str">
        <f>IFERROR(IF(OR($B2250="",$B2250="(blank)"),"",VLOOKUP($B2250,'Email Marketing Raw Data'!$C:$O,6,0)),"")</f>
        <v/>
      </c>
      <c r="O2250" s="55" t="str">
        <f>IFERROR(IF(OR($B2250="",$B2250="(blank)"),"",VLOOKUP($B2250,'Email Marketing Raw Data'!$C:$O,7,0)),"")</f>
        <v/>
      </c>
      <c r="P2250" s="55" t="str">
        <f>IFERROR(IF(OR($B2250="",$B2250="(blank)"),"",VLOOKUP($B2250,'Email Marketing Raw Data'!$C:$O,8,0)),"")</f>
        <v/>
      </c>
      <c r="Q2250" s="62" t="str">
        <f>IFERROR(IF(OR($B2250="",$B2250="(blank)"),"",VLOOKUP($B2250,'Email Marketing Raw Data'!$C:$O,9,0)),"")</f>
        <v/>
      </c>
    </row>
    <row r="2251" spans="4:17" ht="12.75" customHeight="1" x14ac:dyDescent="0.2">
      <c r="D2251" s="58" t="str">
        <f>IFERROR(IF(F2251&lt;&gt;"pending","",IF(OR($B2251="",$B2251="(blank)"),"",VLOOKUP($B2251,'Email Marketing Raw Data'!$C:$O,10,0))),"")</f>
        <v/>
      </c>
      <c r="E2251" s="59" t="str">
        <f>IFERROR(IF(F2251&lt;&gt;"pending","",IF(OR($B2251="",$B2251="(blank)"),"",VLOOKUP($B2251,'Email Marketing Raw Data'!$C:$O,11,0))),"")</f>
        <v/>
      </c>
      <c r="F2251" s="54" t="str">
        <f>IFERROR(IF(OR($B2251="",$B2251="(blank)"),"",VLOOKUP($B2251,'Email Marketing Raw Data'!$C:$O,13,0)),"")</f>
        <v/>
      </c>
      <c r="G2251" s="55" t="str">
        <f>IFERROR(IF(OR($B2251="",$B2251="(blank)"),"",VLOOKUP($B2251,'Email Marketing Raw Data'!$C:$O,4,0)),"")</f>
        <v/>
      </c>
      <c r="H2251" s="55" t="str">
        <f>IFERROR(IF(OR($B2251="",$B2251="(blank)"),"",VLOOKUP($B2251,'Email Marketing Raw Data'!$C:$O,5,0)),"")</f>
        <v/>
      </c>
      <c r="I2251" s="55" t="str">
        <f>IFERROR(IF($G2251="","",VLOOKUP('Dashboard And Emails Automate'!$G2251,Database!$H:$N,3,0)),"")</f>
        <v/>
      </c>
      <c r="J2251" s="55" t="str">
        <f>IFERROR(IF($G2251="","",VLOOKUP('Dashboard And Emails Automate'!$G2251,Database!$H:$N,4,0)),"")</f>
        <v/>
      </c>
      <c r="K2251" s="55" t="str">
        <f>IFERROR(IF($G2251="","",VLOOKUP('Dashboard And Emails Automate'!$G2251,Database!$H:$N,5,0)),"")</f>
        <v/>
      </c>
      <c r="L2251" s="55" t="str">
        <f>IFERROR(IF($G2251="","",VLOOKUP('Dashboard And Emails Automate'!$G2251,Database!$H:$N,6,0)),"")</f>
        <v/>
      </c>
      <c r="M2251" s="55" t="str">
        <f>IFERROR(IF($G2251="","",VLOOKUP('Dashboard And Emails Automate'!$G2251,Database!$H:$N,7,0)),"")</f>
        <v/>
      </c>
      <c r="N2251" s="55" t="str">
        <f>IFERROR(IF(OR($B2251="",$B2251="(blank)"),"",VLOOKUP($B2251,'Email Marketing Raw Data'!$C:$O,6,0)),"")</f>
        <v/>
      </c>
      <c r="O2251" s="55" t="str">
        <f>IFERROR(IF(OR($B2251="",$B2251="(blank)"),"",VLOOKUP($B2251,'Email Marketing Raw Data'!$C:$O,7,0)),"")</f>
        <v/>
      </c>
      <c r="P2251" s="55" t="str">
        <f>IFERROR(IF(OR($B2251="",$B2251="(blank)"),"",VLOOKUP($B2251,'Email Marketing Raw Data'!$C:$O,8,0)),"")</f>
        <v/>
      </c>
      <c r="Q2251" s="62" t="str">
        <f>IFERROR(IF(OR($B2251="",$B2251="(blank)"),"",VLOOKUP($B2251,'Email Marketing Raw Data'!$C:$O,9,0)),"")</f>
        <v/>
      </c>
    </row>
    <row r="2252" spans="4:17" ht="12.75" customHeight="1" x14ac:dyDescent="0.2">
      <c r="D2252" s="58" t="str">
        <f>IFERROR(IF(F2252&lt;&gt;"pending","",IF(OR($B2252="",$B2252="(blank)"),"",VLOOKUP($B2252,'Email Marketing Raw Data'!$C:$O,10,0))),"")</f>
        <v/>
      </c>
      <c r="E2252" s="59" t="str">
        <f>IFERROR(IF(F2252&lt;&gt;"pending","",IF(OR($B2252="",$B2252="(blank)"),"",VLOOKUP($B2252,'Email Marketing Raw Data'!$C:$O,11,0))),"")</f>
        <v/>
      </c>
      <c r="F2252" s="54" t="str">
        <f>IFERROR(IF(OR($B2252="",$B2252="(blank)"),"",VLOOKUP($B2252,'Email Marketing Raw Data'!$C:$O,13,0)),"")</f>
        <v/>
      </c>
      <c r="G2252" s="55" t="str">
        <f>IFERROR(IF(OR($B2252="",$B2252="(blank)"),"",VLOOKUP($B2252,'Email Marketing Raw Data'!$C:$O,4,0)),"")</f>
        <v/>
      </c>
      <c r="H2252" s="55" t="str">
        <f>IFERROR(IF(OR($B2252="",$B2252="(blank)"),"",VLOOKUP($B2252,'Email Marketing Raw Data'!$C:$O,5,0)),"")</f>
        <v/>
      </c>
      <c r="I2252" s="55" t="str">
        <f>IFERROR(IF($G2252="","",VLOOKUP('Dashboard And Emails Automate'!$G2252,Database!$H:$N,3,0)),"")</f>
        <v/>
      </c>
      <c r="J2252" s="55" t="str">
        <f>IFERROR(IF($G2252="","",VLOOKUP('Dashboard And Emails Automate'!$G2252,Database!$H:$N,4,0)),"")</f>
        <v/>
      </c>
      <c r="K2252" s="55" t="str">
        <f>IFERROR(IF($G2252="","",VLOOKUP('Dashboard And Emails Automate'!$G2252,Database!$H:$N,5,0)),"")</f>
        <v/>
      </c>
      <c r="L2252" s="55" t="str">
        <f>IFERROR(IF($G2252="","",VLOOKUP('Dashboard And Emails Automate'!$G2252,Database!$H:$N,6,0)),"")</f>
        <v/>
      </c>
      <c r="M2252" s="55" t="str">
        <f>IFERROR(IF($G2252="","",VLOOKUP('Dashboard And Emails Automate'!$G2252,Database!$H:$N,7,0)),"")</f>
        <v/>
      </c>
      <c r="N2252" s="55" t="str">
        <f>IFERROR(IF(OR($B2252="",$B2252="(blank)"),"",VLOOKUP($B2252,'Email Marketing Raw Data'!$C:$O,6,0)),"")</f>
        <v/>
      </c>
      <c r="O2252" s="55" t="str">
        <f>IFERROR(IF(OR($B2252="",$B2252="(blank)"),"",VLOOKUP($B2252,'Email Marketing Raw Data'!$C:$O,7,0)),"")</f>
        <v/>
      </c>
      <c r="P2252" s="55" t="str">
        <f>IFERROR(IF(OR($B2252="",$B2252="(blank)"),"",VLOOKUP($B2252,'Email Marketing Raw Data'!$C:$O,8,0)),"")</f>
        <v/>
      </c>
      <c r="Q2252" s="62" t="str">
        <f>IFERROR(IF(OR($B2252="",$B2252="(blank)"),"",VLOOKUP($B2252,'Email Marketing Raw Data'!$C:$O,9,0)),"")</f>
        <v/>
      </c>
    </row>
    <row r="2253" spans="4:17" ht="12.75" customHeight="1" x14ac:dyDescent="0.2">
      <c r="D2253" s="58" t="str">
        <f>IFERROR(IF(F2253&lt;&gt;"pending","",IF(OR($B2253="",$B2253="(blank)"),"",VLOOKUP($B2253,'Email Marketing Raw Data'!$C:$O,10,0))),"")</f>
        <v/>
      </c>
      <c r="E2253" s="59" t="str">
        <f>IFERROR(IF(F2253&lt;&gt;"pending","",IF(OR($B2253="",$B2253="(blank)"),"",VLOOKUP($B2253,'Email Marketing Raw Data'!$C:$O,11,0))),"")</f>
        <v/>
      </c>
      <c r="F2253" s="54" t="str">
        <f>IFERROR(IF(OR($B2253="",$B2253="(blank)"),"",VLOOKUP($B2253,'Email Marketing Raw Data'!$C:$O,13,0)),"")</f>
        <v/>
      </c>
      <c r="G2253" s="55" t="str">
        <f>IFERROR(IF(OR($B2253="",$B2253="(blank)"),"",VLOOKUP($B2253,'Email Marketing Raw Data'!$C:$O,4,0)),"")</f>
        <v/>
      </c>
      <c r="H2253" s="55" t="str">
        <f>IFERROR(IF(OR($B2253="",$B2253="(blank)"),"",VLOOKUP($B2253,'Email Marketing Raw Data'!$C:$O,5,0)),"")</f>
        <v/>
      </c>
      <c r="I2253" s="55" t="str">
        <f>IFERROR(IF($G2253="","",VLOOKUP('Dashboard And Emails Automate'!$G2253,Database!$H:$N,3,0)),"")</f>
        <v/>
      </c>
      <c r="J2253" s="55" t="str">
        <f>IFERROR(IF($G2253="","",VLOOKUP('Dashboard And Emails Automate'!$G2253,Database!$H:$N,4,0)),"")</f>
        <v/>
      </c>
      <c r="K2253" s="55" t="str">
        <f>IFERROR(IF($G2253="","",VLOOKUP('Dashboard And Emails Automate'!$G2253,Database!$H:$N,5,0)),"")</f>
        <v/>
      </c>
      <c r="L2253" s="55" t="str">
        <f>IFERROR(IF($G2253="","",VLOOKUP('Dashboard And Emails Automate'!$G2253,Database!$H:$N,6,0)),"")</f>
        <v/>
      </c>
      <c r="M2253" s="55" t="str">
        <f>IFERROR(IF($G2253="","",VLOOKUP('Dashboard And Emails Automate'!$G2253,Database!$H:$N,7,0)),"")</f>
        <v/>
      </c>
      <c r="N2253" s="55" t="str">
        <f>IFERROR(IF(OR($B2253="",$B2253="(blank)"),"",VLOOKUP($B2253,'Email Marketing Raw Data'!$C:$O,6,0)),"")</f>
        <v/>
      </c>
      <c r="O2253" s="55" t="str">
        <f>IFERROR(IF(OR($B2253="",$B2253="(blank)"),"",VLOOKUP($B2253,'Email Marketing Raw Data'!$C:$O,7,0)),"")</f>
        <v/>
      </c>
      <c r="P2253" s="55" t="str">
        <f>IFERROR(IF(OR($B2253="",$B2253="(blank)"),"",VLOOKUP($B2253,'Email Marketing Raw Data'!$C:$O,8,0)),"")</f>
        <v/>
      </c>
      <c r="Q2253" s="62" t="str">
        <f>IFERROR(IF(OR($B2253="",$B2253="(blank)"),"",VLOOKUP($B2253,'Email Marketing Raw Data'!$C:$O,9,0)),"")</f>
        <v/>
      </c>
    </row>
    <row r="2254" spans="4:17" ht="12.75" customHeight="1" x14ac:dyDescent="0.2">
      <c r="D2254" s="58" t="str">
        <f>IFERROR(IF(F2254&lt;&gt;"pending","",IF(OR($B2254="",$B2254="(blank)"),"",VLOOKUP($B2254,'Email Marketing Raw Data'!$C:$O,10,0))),"")</f>
        <v/>
      </c>
      <c r="E2254" s="59" t="str">
        <f>IFERROR(IF(F2254&lt;&gt;"pending","",IF(OR($B2254="",$B2254="(blank)"),"",VLOOKUP($B2254,'Email Marketing Raw Data'!$C:$O,11,0))),"")</f>
        <v/>
      </c>
      <c r="F2254" s="54" t="str">
        <f>IFERROR(IF(OR($B2254="",$B2254="(blank)"),"",VLOOKUP($B2254,'Email Marketing Raw Data'!$C:$O,13,0)),"")</f>
        <v/>
      </c>
      <c r="G2254" s="55" t="str">
        <f>IFERROR(IF(OR($B2254="",$B2254="(blank)"),"",VLOOKUP($B2254,'Email Marketing Raw Data'!$C:$O,4,0)),"")</f>
        <v/>
      </c>
      <c r="H2254" s="55" t="str">
        <f>IFERROR(IF(OR($B2254="",$B2254="(blank)"),"",VLOOKUP($B2254,'Email Marketing Raw Data'!$C:$O,5,0)),"")</f>
        <v/>
      </c>
      <c r="I2254" s="55" t="str">
        <f>IFERROR(IF($G2254="","",VLOOKUP('Dashboard And Emails Automate'!$G2254,Database!$H:$N,3,0)),"")</f>
        <v/>
      </c>
      <c r="J2254" s="55" t="str">
        <f>IFERROR(IF($G2254="","",VLOOKUP('Dashboard And Emails Automate'!$G2254,Database!$H:$N,4,0)),"")</f>
        <v/>
      </c>
      <c r="K2254" s="55" t="str">
        <f>IFERROR(IF($G2254="","",VLOOKUP('Dashboard And Emails Automate'!$G2254,Database!$H:$N,5,0)),"")</f>
        <v/>
      </c>
      <c r="L2254" s="55" t="str">
        <f>IFERROR(IF($G2254="","",VLOOKUP('Dashboard And Emails Automate'!$G2254,Database!$H:$N,6,0)),"")</f>
        <v/>
      </c>
      <c r="M2254" s="55" t="str">
        <f>IFERROR(IF($G2254="","",VLOOKUP('Dashboard And Emails Automate'!$G2254,Database!$H:$N,7,0)),"")</f>
        <v/>
      </c>
      <c r="N2254" s="55" t="str">
        <f>IFERROR(IF(OR($B2254="",$B2254="(blank)"),"",VLOOKUP($B2254,'Email Marketing Raw Data'!$C:$O,6,0)),"")</f>
        <v/>
      </c>
      <c r="O2254" s="55" t="str">
        <f>IFERROR(IF(OR($B2254="",$B2254="(blank)"),"",VLOOKUP($B2254,'Email Marketing Raw Data'!$C:$O,7,0)),"")</f>
        <v/>
      </c>
      <c r="P2254" s="55" t="str">
        <f>IFERROR(IF(OR($B2254="",$B2254="(blank)"),"",VLOOKUP($B2254,'Email Marketing Raw Data'!$C:$O,8,0)),"")</f>
        <v/>
      </c>
      <c r="Q2254" s="62" t="str">
        <f>IFERROR(IF(OR($B2254="",$B2254="(blank)"),"",VLOOKUP($B2254,'Email Marketing Raw Data'!$C:$O,9,0)),"")</f>
        <v/>
      </c>
    </row>
    <row r="2255" spans="4:17" ht="12.75" customHeight="1" x14ac:dyDescent="0.2">
      <c r="D2255" s="58" t="str">
        <f>IFERROR(IF(F2255&lt;&gt;"pending","",IF(OR($B2255="",$B2255="(blank)"),"",VLOOKUP($B2255,'Email Marketing Raw Data'!$C:$O,10,0))),"")</f>
        <v/>
      </c>
      <c r="E2255" s="59" t="str">
        <f>IFERROR(IF(F2255&lt;&gt;"pending","",IF(OR($B2255="",$B2255="(blank)"),"",VLOOKUP($B2255,'Email Marketing Raw Data'!$C:$O,11,0))),"")</f>
        <v/>
      </c>
      <c r="F2255" s="54" t="str">
        <f>IFERROR(IF(OR($B2255="",$B2255="(blank)"),"",VLOOKUP($B2255,'Email Marketing Raw Data'!$C:$O,13,0)),"")</f>
        <v/>
      </c>
      <c r="G2255" s="55" t="str">
        <f>IFERROR(IF(OR($B2255="",$B2255="(blank)"),"",VLOOKUP($B2255,'Email Marketing Raw Data'!$C:$O,4,0)),"")</f>
        <v/>
      </c>
      <c r="H2255" s="55" t="str">
        <f>IFERROR(IF(OR($B2255="",$B2255="(blank)"),"",VLOOKUP($B2255,'Email Marketing Raw Data'!$C:$O,5,0)),"")</f>
        <v/>
      </c>
      <c r="I2255" s="55" t="str">
        <f>IFERROR(IF($G2255="","",VLOOKUP('Dashboard And Emails Automate'!$G2255,Database!$H:$N,3,0)),"")</f>
        <v/>
      </c>
      <c r="J2255" s="55" t="str">
        <f>IFERROR(IF($G2255="","",VLOOKUP('Dashboard And Emails Automate'!$G2255,Database!$H:$N,4,0)),"")</f>
        <v/>
      </c>
      <c r="K2255" s="55" t="str">
        <f>IFERROR(IF($G2255="","",VLOOKUP('Dashboard And Emails Automate'!$G2255,Database!$H:$N,5,0)),"")</f>
        <v/>
      </c>
      <c r="L2255" s="55" t="str">
        <f>IFERROR(IF($G2255="","",VLOOKUP('Dashboard And Emails Automate'!$G2255,Database!$H:$N,6,0)),"")</f>
        <v/>
      </c>
      <c r="M2255" s="55" t="str">
        <f>IFERROR(IF($G2255="","",VLOOKUP('Dashboard And Emails Automate'!$G2255,Database!$H:$N,7,0)),"")</f>
        <v/>
      </c>
      <c r="N2255" s="55" t="str">
        <f>IFERROR(IF(OR($B2255="",$B2255="(blank)"),"",VLOOKUP($B2255,'Email Marketing Raw Data'!$C:$O,6,0)),"")</f>
        <v/>
      </c>
      <c r="O2255" s="55" t="str">
        <f>IFERROR(IF(OR($B2255="",$B2255="(blank)"),"",VLOOKUP($B2255,'Email Marketing Raw Data'!$C:$O,7,0)),"")</f>
        <v/>
      </c>
      <c r="P2255" s="55" t="str">
        <f>IFERROR(IF(OR($B2255="",$B2255="(blank)"),"",VLOOKUP($B2255,'Email Marketing Raw Data'!$C:$O,8,0)),"")</f>
        <v/>
      </c>
      <c r="Q2255" s="62" t="str">
        <f>IFERROR(IF(OR($B2255="",$B2255="(blank)"),"",VLOOKUP($B2255,'Email Marketing Raw Data'!$C:$O,9,0)),"")</f>
        <v/>
      </c>
    </row>
    <row r="2256" spans="4:17" ht="12.75" customHeight="1" x14ac:dyDescent="0.2">
      <c r="D2256" s="58" t="str">
        <f>IFERROR(IF(F2256&lt;&gt;"pending","",IF(OR($B2256="",$B2256="(blank)"),"",VLOOKUP($B2256,'Email Marketing Raw Data'!$C:$O,10,0))),"")</f>
        <v/>
      </c>
      <c r="E2256" s="59" t="str">
        <f>IFERROR(IF(F2256&lt;&gt;"pending","",IF(OR($B2256="",$B2256="(blank)"),"",VLOOKUP($B2256,'Email Marketing Raw Data'!$C:$O,11,0))),"")</f>
        <v/>
      </c>
      <c r="F2256" s="54" t="str">
        <f>IFERROR(IF(OR($B2256="",$B2256="(blank)"),"",VLOOKUP($B2256,'Email Marketing Raw Data'!$C:$O,13,0)),"")</f>
        <v/>
      </c>
      <c r="G2256" s="55" t="str">
        <f>IFERROR(IF(OR($B2256="",$B2256="(blank)"),"",VLOOKUP($B2256,'Email Marketing Raw Data'!$C:$O,4,0)),"")</f>
        <v/>
      </c>
      <c r="H2256" s="55" t="str">
        <f>IFERROR(IF(OR($B2256="",$B2256="(blank)"),"",VLOOKUP($B2256,'Email Marketing Raw Data'!$C:$O,5,0)),"")</f>
        <v/>
      </c>
      <c r="I2256" s="55" t="str">
        <f>IFERROR(IF($G2256="","",VLOOKUP('Dashboard And Emails Automate'!$G2256,Database!$H:$N,3,0)),"")</f>
        <v/>
      </c>
      <c r="J2256" s="55" t="str">
        <f>IFERROR(IF($G2256="","",VLOOKUP('Dashboard And Emails Automate'!$G2256,Database!$H:$N,4,0)),"")</f>
        <v/>
      </c>
      <c r="K2256" s="55" t="str">
        <f>IFERROR(IF($G2256="","",VLOOKUP('Dashboard And Emails Automate'!$G2256,Database!$H:$N,5,0)),"")</f>
        <v/>
      </c>
      <c r="L2256" s="55" t="str">
        <f>IFERROR(IF($G2256="","",VLOOKUP('Dashboard And Emails Automate'!$G2256,Database!$H:$N,6,0)),"")</f>
        <v/>
      </c>
      <c r="M2256" s="55" t="str">
        <f>IFERROR(IF($G2256="","",VLOOKUP('Dashboard And Emails Automate'!$G2256,Database!$H:$N,7,0)),"")</f>
        <v/>
      </c>
      <c r="N2256" s="55" t="str">
        <f>IFERROR(IF(OR($B2256="",$B2256="(blank)"),"",VLOOKUP($B2256,'Email Marketing Raw Data'!$C:$O,6,0)),"")</f>
        <v/>
      </c>
      <c r="O2256" s="55" t="str">
        <f>IFERROR(IF(OR($B2256="",$B2256="(blank)"),"",VLOOKUP($B2256,'Email Marketing Raw Data'!$C:$O,7,0)),"")</f>
        <v/>
      </c>
      <c r="P2256" s="55" t="str">
        <f>IFERROR(IF(OR($B2256="",$B2256="(blank)"),"",VLOOKUP($B2256,'Email Marketing Raw Data'!$C:$O,8,0)),"")</f>
        <v/>
      </c>
      <c r="Q2256" s="62" t="str">
        <f>IFERROR(IF(OR($B2256="",$B2256="(blank)"),"",VLOOKUP($B2256,'Email Marketing Raw Data'!$C:$O,9,0)),"")</f>
        <v/>
      </c>
    </row>
    <row r="2257" spans="4:17" ht="12.75" customHeight="1" x14ac:dyDescent="0.2">
      <c r="D2257" s="58" t="str">
        <f>IFERROR(IF(F2257&lt;&gt;"pending","",IF(OR($B2257="",$B2257="(blank)"),"",VLOOKUP($B2257,'Email Marketing Raw Data'!$C:$O,10,0))),"")</f>
        <v/>
      </c>
      <c r="E2257" s="59" t="str">
        <f>IFERROR(IF(F2257&lt;&gt;"pending","",IF(OR($B2257="",$B2257="(blank)"),"",VLOOKUP($B2257,'Email Marketing Raw Data'!$C:$O,11,0))),"")</f>
        <v/>
      </c>
      <c r="F2257" s="54" t="str">
        <f>IFERROR(IF(OR($B2257="",$B2257="(blank)"),"",VLOOKUP($B2257,'Email Marketing Raw Data'!$C:$O,13,0)),"")</f>
        <v/>
      </c>
      <c r="G2257" s="55" t="str">
        <f>IFERROR(IF(OR($B2257="",$B2257="(blank)"),"",VLOOKUP($B2257,'Email Marketing Raw Data'!$C:$O,4,0)),"")</f>
        <v/>
      </c>
      <c r="H2257" s="55" t="str">
        <f>IFERROR(IF(OR($B2257="",$B2257="(blank)"),"",VLOOKUP($B2257,'Email Marketing Raw Data'!$C:$O,5,0)),"")</f>
        <v/>
      </c>
      <c r="I2257" s="55" t="str">
        <f>IFERROR(IF($G2257="","",VLOOKUP('Dashboard And Emails Automate'!$G2257,Database!$H:$N,3,0)),"")</f>
        <v/>
      </c>
      <c r="J2257" s="55" t="str">
        <f>IFERROR(IF($G2257="","",VLOOKUP('Dashboard And Emails Automate'!$G2257,Database!$H:$N,4,0)),"")</f>
        <v/>
      </c>
      <c r="K2257" s="55" t="str">
        <f>IFERROR(IF($G2257="","",VLOOKUP('Dashboard And Emails Automate'!$G2257,Database!$H:$N,5,0)),"")</f>
        <v/>
      </c>
      <c r="L2257" s="55" t="str">
        <f>IFERROR(IF($G2257="","",VLOOKUP('Dashboard And Emails Automate'!$G2257,Database!$H:$N,6,0)),"")</f>
        <v/>
      </c>
      <c r="M2257" s="55" t="str">
        <f>IFERROR(IF($G2257="","",VLOOKUP('Dashboard And Emails Automate'!$G2257,Database!$H:$N,7,0)),"")</f>
        <v/>
      </c>
      <c r="N2257" s="55" t="str">
        <f>IFERROR(IF(OR($B2257="",$B2257="(blank)"),"",VLOOKUP($B2257,'Email Marketing Raw Data'!$C:$O,6,0)),"")</f>
        <v/>
      </c>
      <c r="O2257" s="55" t="str">
        <f>IFERROR(IF(OR($B2257="",$B2257="(blank)"),"",VLOOKUP($B2257,'Email Marketing Raw Data'!$C:$O,7,0)),"")</f>
        <v/>
      </c>
      <c r="P2257" s="55" t="str">
        <f>IFERROR(IF(OR($B2257="",$B2257="(blank)"),"",VLOOKUP($B2257,'Email Marketing Raw Data'!$C:$O,8,0)),"")</f>
        <v/>
      </c>
      <c r="Q2257" s="62" t="str">
        <f>IFERROR(IF(OR($B2257="",$B2257="(blank)"),"",VLOOKUP($B2257,'Email Marketing Raw Data'!$C:$O,9,0)),"")</f>
        <v/>
      </c>
    </row>
    <row r="2258" spans="4:17" ht="12.75" customHeight="1" x14ac:dyDescent="0.2">
      <c r="D2258" s="58" t="str">
        <f>IFERROR(IF(F2258&lt;&gt;"pending","",IF(OR($B2258="",$B2258="(blank)"),"",VLOOKUP($B2258,'Email Marketing Raw Data'!$C:$O,10,0))),"")</f>
        <v/>
      </c>
      <c r="E2258" s="59" t="str">
        <f>IFERROR(IF(F2258&lt;&gt;"pending","",IF(OR($B2258="",$B2258="(blank)"),"",VLOOKUP($B2258,'Email Marketing Raw Data'!$C:$O,11,0))),"")</f>
        <v/>
      </c>
      <c r="F2258" s="54" t="str">
        <f>IFERROR(IF(OR($B2258="",$B2258="(blank)"),"",VLOOKUP($B2258,'Email Marketing Raw Data'!$C:$O,13,0)),"")</f>
        <v/>
      </c>
      <c r="G2258" s="55" t="str">
        <f>IFERROR(IF(OR($B2258="",$B2258="(blank)"),"",VLOOKUP($B2258,'Email Marketing Raw Data'!$C:$O,4,0)),"")</f>
        <v/>
      </c>
      <c r="H2258" s="55" t="str">
        <f>IFERROR(IF(OR($B2258="",$B2258="(blank)"),"",VLOOKUP($B2258,'Email Marketing Raw Data'!$C:$O,5,0)),"")</f>
        <v/>
      </c>
      <c r="I2258" s="55" t="str">
        <f>IFERROR(IF($G2258="","",VLOOKUP('Dashboard And Emails Automate'!$G2258,Database!$H:$N,3,0)),"")</f>
        <v/>
      </c>
      <c r="J2258" s="55" t="str">
        <f>IFERROR(IF($G2258="","",VLOOKUP('Dashboard And Emails Automate'!$G2258,Database!$H:$N,4,0)),"")</f>
        <v/>
      </c>
      <c r="K2258" s="55" t="str">
        <f>IFERROR(IF($G2258="","",VLOOKUP('Dashboard And Emails Automate'!$G2258,Database!$H:$N,5,0)),"")</f>
        <v/>
      </c>
      <c r="L2258" s="55" t="str">
        <f>IFERROR(IF($G2258="","",VLOOKUP('Dashboard And Emails Automate'!$G2258,Database!$H:$N,6,0)),"")</f>
        <v/>
      </c>
      <c r="M2258" s="55" t="str">
        <f>IFERROR(IF($G2258="","",VLOOKUP('Dashboard And Emails Automate'!$G2258,Database!$H:$N,7,0)),"")</f>
        <v/>
      </c>
      <c r="N2258" s="55" t="str">
        <f>IFERROR(IF(OR($B2258="",$B2258="(blank)"),"",VLOOKUP($B2258,'Email Marketing Raw Data'!$C:$O,6,0)),"")</f>
        <v/>
      </c>
      <c r="O2258" s="55" t="str">
        <f>IFERROR(IF(OR($B2258="",$B2258="(blank)"),"",VLOOKUP($B2258,'Email Marketing Raw Data'!$C:$O,7,0)),"")</f>
        <v/>
      </c>
      <c r="P2258" s="55" t="str">
        <f>IFERROR(IF(OR($B2258="",$B2258="(blank)"),"",VLOOKUP($B2258,'Email Marketing Raw Data'!$C:$O,8,0)),"")</f>
        <v/>
      </c>
      <c r="Q2258" s="62" t="str">
        <f>IFERROR(IF(OR($B2258="",$B2258="(blank)"),"",VLOOKUP($B2258,'Email Marketing Raw Data'!$C:$O,9,0)),"")</f>
        <v/>
      </c>
    </row>
    <row r="2259" spans="4:17" ht="12.75" customHeight="1" x14ac:dyDescent="0.2">
      <c r="D2259" s="58" t="str">
        <f>IFERROR(IF(F2259&lt;&gt;"pending","",IF(OR($B2259="",$B2259="(blank)"),"",VLOOKUP($B2259,'Email Marketing Raw Data'!$C:$O,10,0))),"")</f>
        <v/>
      </c>
      <c r="E2259" s="59" t="str">
        <f>IFERROR(IF(F2259&lt;&gt;"pending","",IF(OR($B2259="",$B2259="(blank)"),"",VLOOKUP($B2259,'Email Marketing Raw Data'!$C:$O,11,0))),"")</f>
        <v/>
      </c>
      <c r="F2259" s="54" t="str">
        <f>IFERROR(IF(OR($B2259="",$B2259="(blank)"),"",VLOOKUP($B2259,'Email Marketing Raw Data'!$C:$O,13,0)),"")</f>
        <v/>
      </c>
      <c r="G2259" s="55" t="str">
        <f>IFERROR(IF(OR($B2259="",$B2259="(blank)"),"",VLOOKUP($B2259,'Email Marketing Raw Data'!$C:$O,4,0)),"")</f>
        <v/>
      </c>
      <c r="H2259" s="55" t="str">
        <f>IFERROR(IF(OR($B2259="",$B2259="(blank)"),"",VLOOKUP($B2259,'Email Marketing Raw Data'!$C:$O,5,0)),"")</f>
        <v/>
      </c>
      <c r="I2259" s="55" t="str">
        <f>IFERROR(IF($G2259="","",VLOOKUP('Dashboard And Emails Automate'!$G2259,Database!$H:$N,3,0)),"")</f>
        <v/>
      </c>
      <c r="J2259" s="55" t="str">
        <f>IFERROR(IF($G2259="","",VLOOKUP('Dashboard And Emails Automate'!$G2259,Database!$H:$N,4,0)),"")</f>
        <v/>
      </c>
      <c r="K2259" s="55" t="str">
        <f>IFERROR(IF($G2259="","",VLOOKUP('Dashboard And Emails Automate'!$G2259,Database!$H:$N,5,0)),"")</f>
        <v/>
      </c>
      <c r="L2259" s="55" t="str">
        <f>IFERROR(IF($G2259="","",VLOOKUP('Dashboard And Emails Automate'!$G2259,Database!$H:$N,6,0)),"")</f>
        <v/>
      </c>
      <c r="M2259" s="55" t="str">
        <f>IFERROR(IF($G2259="","",VLOOKUP('Dashboard And Emails Automate'!$G2259,Database!$H:$N,7,0)),"")</f>
        <v/>
      </c>
      <c r="N2259" s="55" t="str">
        <f>IFERROR(IF(OR($B2259="",$B2259="(blank)"),"",VLOOKUP($B2259,'Email Marketing Raw Data'!$C:$O,6,0)),"")</f>
        <v/>
      </c>
      <c r="O2259" s="55" t="str">
        <f>IFERROR(IF(OR($B2259="",$B2259="(blank)"),"",VLOOKUP($B2259,'Email Marketing Raw Data'!$C:$O,7,0)),"")</f>
        <v/>
      </c>
      <c r="P2259" s="55" t="str">
        <f>IFERROR(IF(OR($B2259="",$B2259="(blank)"),"",VLOOKUP($B2259,'Email Marketing Raw Data'!$C:$O,8,0)),"")</f>
        <v/>
      </c>
      <c r="Q2259" s="62" t="str">
        <f>IFERROR(IF(OR($B2259="",$B2259="(blank)"),"",VLOOKUP($B2259,'Email Marketing Raw Data'!$C:$O,9,0)),"")</f>
        <v/>
      </c>
    </row>
    <row r="2260" spans="4:17" ht="12.75" customHeight="1" x14ac:dyDescent="0.2">
      <c r="D2260" s="58" t="str">
        <f>IFERROR(IF(F2260&lt;&gt;"pending","",IF(OR($B2260="",$B2260="(blank)"),"",VLOOKUP($B2260,'Email Marketing Raw Data'!$C:$O,10,0))),"")</f>
        <v/>
      </c>
      <c r="E2260" s="59" t="str">
        <f>IFERROR(IF(F2260&lt;&gt;"pending","",IF(OR($B2260="",$B2260="(blank)"),"",VLOOKUP($B2260,'Email Marketing Raw Data'!$C:$O,11,0))),"")</f>
        <v/>
      </c>
      <c r="F2260" s="54" t="str">
        <f>IFERROR(IF(OR($B2260="",$B2260="(blank)"),"",VLOOKUP($B2260,'Email Marketing Raw Data'!$C:$O,13,0)),"")</f>
        <v/>
      </c>
      <c r="G2260" s="55" t="str">
        <f>IFERROR(IF(OR($B2260="",$B2260="(blank)"),"",VLOOKUP($B2260,'Email Marketing Raw Data'!$C:$O,4,0)),"")</f>
        <v/>
      </c>
      <c r="H2260" s="55" t="str">
        <f>IFERROR(IF(OR($B2260="",$B2260="(blank)"),"",VLOOKUP($B2260,'Email Marketing Raw Data'!$C:$O,5,0)),"")</f>
        <v/>
      </c>
      <c r="I2260" s="55" t="str">
        <f>IFERROR(IF($G2260="","",VLOOKUP('Dashboard And Emails Automate'!$G2260,Database!$H:$N,3,0)),"")</f>
        <v/>
      </c>
      <c r="J2260" s="55" t="str">
        <f>IFERROR(IF($G2260="","",VLOOKUP('Dashboard And Emails Automate'!$G2260,Database!$H:$N,4,0)),"")</f>
        <v/>
      </c>
      <c r="K2260" s="55" t="str">
        <f>IFERROR(IF($G2260="","",VLOOKUP('Dashboard And Emails Automate'!$G2260,Database!$H:$N,5,0)),"")</f>
        <v/>
      </c>
      <c r="L2260" s="55" t="str">
        <f>IFERROR(IF($G2260="","",VLOOKUP('Dashboard And Emails Automate'!$G2260,Database!$H:$N,6,0)),"")</f>
        <v/>
      </c>
      <c r="M2260" s="55" t="str">
        <f>IFERROR(IF($G2260="","",VLOOKUP('Dashboard And Emails Automate'!$G2260,Database!$H:$N,7,0)),"")</f>
        <v/>
      </c>
      <c r="N2260" s="55" t="str">
        <f>IFERROR(IF(OR($B2260="",$B2260="(blank)"),"",VLOOKUP($B2260,'Email Marketing Raw Data'!$C:$O,6,0)),"")</f>
        <v/>
      </c>
      <c r="O2260" s="55" t="str">
        <f>IFERROR(IF(OR($B2260="",$B2260="(blank)"),"",VLOOKUP($B2260,'Email Marketing Raw Data'!$C:$O,7,0)),"")</f>
        <v/>
      </c>
      <c r="P2260" s="55" t="str">
        <f>IFERROR(IF(OR($B2260="",$B2260="(blank)"),"",VLOOKUP($B2260,'Email Marketing Raw Data'!$C:$O,8,0)),"")</f>
        <v/>
      </c>
      <c r="Q2260" s="62" t="str">
        <f>IFERROR(IF(OR($B2260="",$B2260="(blank)"),"",VLOOKUP($B2260,'Email Marketing Raw Data'!$C:$O,9,0)),"")</f>
        <v/>
      </c>
    </row>
    <row r="2261" spans="4:17" ht="12.75" customHeight="1" x14ac:dyDescent="0.2">
      <c r="D2261" s="58" t="str">
        <f>IFERROR(IF(F2261&lt;&gt;"pending","",IF(OR($B2261="",$B2261="(blank)"),"",VLOOKUP($B2261,'Email Marketing Raw Data'!$C:$O,10,0))),"")</f>
        <v/>
      </c>
      <c r="E2261" s="59" t="str">
        <f>IFERROR(IF(F2261&lt;&gt;"pending","",IF(OR($B2261="",$B2261="(blank)"),"",VLOOKUP($B2261,'Email Marketing Raw Data'!$C:$O,11,0))),"")</f>
        <v/>
      </c>
      <c r="F2261" s="54" t="str">
        <f>IFERROR(IF(OR($B2261="",$B2261="(blank)"),"",VLOOKUP($B2261,'Email Marketing Raw Data'!$C:$O,13,0)),"")</f>
        <v/>
      </c>
      <c r="G2261" s="55" t="str">
        <f>IFERROR(IF(OR($B2261="",$B2261="(blank)"),"",VLOOKUP($B2261,'Email Marketing Raw Data'!$C:$O,4,0)),"")</f>
        <v/>
      </c>
      <c r="H2261" s="55" t="str">
        <f>IFERROR(IF(OR($B2261="",$B2261="(blank)"),"",VLOOKUP($B2261,'Email Marketing Raw Data'!$C:$O,5,0)),"")</f>
        <v/>
      </c>
      <c r="I2261" s="55" t="str">
        <f>IFERROR(IF($G2261="","",VLOOKUP('Dashboard And Emails Automate'!$G2261,Database!$H:$N,3,0)),"")</f>
        <v/>
      </c>
      <c r="J2261" s="55" t="str">
        <f>IFERROR(IF($G2261="","",VLOOKUP('Dashboard And Emails Automate'!$G2261,Database!$H:$N,4,0)),"")</f>
        <v/>
      </c>
      <c r="K2261" s="55" t="str">
        <f>IFERROR(IF($G2261="","",VLOOKUP('Dashboard And Emails Automate'!$G2261,Database!$H:$N,5,0)),"")</f>
        <v/>
      </c>
      <c r="L2261" s="55" t="str">
        <f>IFERROR(IF($G2261="","",VLOOKUP('Dashboard And Emails Automate'!$G2261,Database!$H:$N,6,0)),"")</f>
        <v/>
      </c>
      <c r="M2261" s="55" t="str">
        <f>IFERROR(IF($G2261="","",VLOOKUP('Dashboard And Emails Automate'!$G2261,Database!$H:$N,7,0)),"")</f>
        <v/>
      </c>
      <c r="N2261" s="55" t="str">
        <f>IFERROR(IF(OR($B2261="",$B2261="(blank)"),"",VLOOKUP($B2261,'Email Marketing Raw Data'!$C:$O,6,0)),"")</f>
        <v/>
      </c>
      <c r="O2261" s="55" t="str">
        <f>IFERROR(IF(OR($B2261="",$B2261="(blank)"),"",VLOOKUP($B2261,'Email Marketing Raw Data'!$C:$O,7,0)),"")</f>
        <v/>
      </c>
      <c r="P2261" s="55" t="str">
        <f>IFERROR(IF(OR($B2261="",$B2261="(blank)"),"",VLOOKUP($B2261,'Email Marketing Raw Data'!$C:$O,8,0)),"")</f>
        <v/>
      </c>
      <c r="Q2261" s="62" t="str">
        <f>IFERROR(IF(OR($B2261="",$B2261="(blank)"),"",VLOOKUP($B2261,'Email Marketing Raw Data'!$C:$O,9,0)),"")</f>
        <v/>
      </c>
    </row>
    <row r="2262" spans="4:17" ht="12.75" customHeight="1" x14ac:dyDescent="0.2">
      <c r="D2262" s="58" t="str">
        <f>IFERROR(IF(F2262&lt;&gt;"pending","",IF(OR($B2262="",$B2262="(blank)"),"",VLOOKUP($B2262,'Email Marketing Raw Data'!$C:$O,10,0))),"")</f>
        <v/>
      </c>
      <c r="E2262" s="59" t="str">
        <f>IFERROR(IF(F2262&lt;&gt;"pending","",IF(OR($B2262="",$B2262="(blank)"),"",VLOOKUP($B2262,'Email Marketing Raw Data'!$C:$O,11,0))),"")</f>
        <v/>
      </c>
      <c r="F2262" s="54" t="str">
        <f>IFERROR(IF(OR($B2262="",$B2262="(blank)"),"",VLOOKUP($B2262,'Email Marketing Raw Data'!$C:$O,13,0)),"")</f>
        <v/>
      </c>
      <c r="G2262" s="55" t="str">
        <f>IFERROR(IF(OR($B2262="",$B2262="(blank)"),"",VLOOKUP($B2262,'Email Marketing Raw Data'!$C:$O,4,0)),"")</f>
        <v/>
      </c>
      <c r="H2262" s="55" t="str">
        <f>IFERROR(IF(OR($B2262="",$B2262="(blank)"),"",VLOOKUP($B2262,'Email Marketing Raw Data'!$C:$O,5,0)),"")</f>
        <v/>
      </c>
      <c r="I2262" s="55" t="str">
        <f>IFERROR(IF($G2262="","",VLOOKUP('Dashboard And Emails Automate'!$G2262,Database!$H:$N,3,0)),"")</f>
        <v/>
      </c>
      <c r="J2262" s="55" t="str">
        <f>IFERROR(IF($G2262="","",VLOOKUP('Dashboard And Emails Automate'!$G2262,Database!$H:$N,4,0)),"")</f>
        <v/>
      </c>
      <c r="K2262" s="55" t="str">
        <f>IFERROR(IF($G2262="","",VLOOKUP('Dashboard And Emails Automate'!$G2262,Database!$H:$N,5,0)),"")</f>
        <v/>
      </c>
      <c r="L2262" s="55" t="str">
        <f>IFERROR(IF($G2262="","",VLOOKUP('Dashboard And Emails Automate'!$G2262,Database!$H:$N,6,0)),"")</f>
        <v/>
      </c>
      <c r="M2262" s="55" t="str">
        <f>IFERROR(IF($G2262="","",VLOOKUP('Dashboard And Emails Automate'!$G2262,Database!$H:$N,7,0)),"")</f>
        <v/>
      </c>
      <c r="N2262" s="55" t="str">
        <f>IFERROR(IF(OR($B2262="",$B2262="(blank)"),"",VLOOKUP($B2262,'Email Marketing Raw Data'!$C:$O,6,0)),"")</f>
        <v/>
      </c>
      <c r="O2262" s="55" t="str">
        <f>IFERROR(IF(OR($B2262="",$B2262="(blank)"),"",VLOOKUP($B2262,'Email Marketing Raw Data'!$C:$O,7,0)),"")</f>
        <v/>
      </c>
      <c r="P2262" s="55" t="str">
        <f>IFERROR(IF(OR($B2262="",$B2262="(blank)"),"",VLOOKUP($B2262,'Email Marketing Raw Data'!$C:$O,8,0)),"")</f>
        <v/>
      </c>
      <c r="Q2262" s="62" t="str">
        <f>IFERROR(IF(OR($B2262="",$B2262="(blank)"),"",VLOOKUP($B2262,'Email Marketing Raw Data'!$C:$O,9,0)),"")</f>
        <v/>
      </c>
    </row>
    <row r="2263" spans="4:17" ht="12.75" customHeight="1" x14ac:dyDescent="0.2">
      <c r="D2263" s="58" t="str">
        <f>IFERROR(IF(F2263&lt;&gt;"pending","",IF(OR($B2263="",$B2263="(blank)"),"",VLOOKUP($B2263,'Email Marketing Raw Data'!$C:$O,10,0))),"")</f>
        <v/>
      </c>
      <c r="E2263" s="59" t="str">
        <f>IFERROR(IF(F2263&lt;&gt;"pending","",IF(OR($B2263="",$B2263="(blank)"),"",VLOOKUP($B2263,'Email Marketing Raw Data'!$C:$O,11,0))),"")</f>
        <v/>
      </c>
      <c r="F2263" s="54" t="str">
        <f>IFERROR(IF(OR($B2263="",$B2263="(blank)"),"",VLOOKUP($B2263,'Email Marketing Raw Data'!$C:$O,13,0)),"")</f>
        <v/>
      </c>
      <c r="G2263" s="55" t="str">
        <f>IFERROR(IF(OR($B2263="",$B2263="(blank)"),"",VLOOKUP($B2263,'Email Marketing Raw Data'!$C:$O,4,0)),"")</f>
        <v/>
      </c>
      <c r="H2263" s="55" t="str">
        <f>IFERROR(IF(OR($B2263="",$B2263="(blank)"),"",VLOOKUP($B2263,'Email Marketing Raw Data'!$C:$O,5,0)),"")</f>
        <v/>
      </c>
      <c r="I2263" s="55" t="str">
        <f>IFERROR(IF($G2263="","",VLOOKUP('Dashboard And Emails Automate'!$G2263,Database!$H:$N,3,0)),"")</f>
        <v/>
      </c>
      <c r="J2263" s="55" t="str">
        <f>IFERROR(IF($G2263="","",VLOOKUP('Dashboard And Emails Automate'!$G2263,Database!$H:$N,4,0)),"")</f>
        <v/>
      </c>
      <c r="K2263" s="55" t="str">
        <f>IFERROR(IF($G2263="","",VLOOKUP('Dashboard And Emails Automate'!$G2263,Database!$H:$N,5,0)),"")</f>
        <v/>
      </c>
      <c r="L2263" s="55" t="str">
        <f>IFERROR(IF($G2263="","",VLOOKUP('Dashboard And Emails Automate'!$G2263,Database!$H:$N,6,0)),"")</f>
        <v/>
      </c>
      <c r="M2263" s="55" t="str">
        <f>IFERROR(IF($G2263="","",VLOOKUP('Dashboard And Emails Automate'!$G2263,Database!$H:$N,7,0)),"")</f>
        <v/>
      </c>
      <c r="N2263" s="55" t="str">
        <f>IFERROR(IF(OR($B2263="",$B2263="(blank)"),"",VLOOKUP($B2263,'Email Marketing Raw Data'!$C:$O,6,0)),"")</f>
        <v/>
      </c>
      <c r="O2263" s="55" t="str">
        <f>IFERROR(IF(OR($B2263="",$B2263="(blank)"),"",VLOOKUP($B2263,'Email Marketing Raw Data'!$C:$O,7,0)),"")</f>
        <v/>
      </c>
      <c r="P2263" s="55" t="str">
        <f>IFERROR(IF(OR($B2263="",$B2263="(blank)"),"",VLOOKUP($B2263,'Email Marketing Raw Data'!$C:$O,8,0)),"")</f>
        <v/>
      </c>
      <c r="Q2263" s="62" t="str">
        <f>IFERROR(IF(OR($B2263="",$B2263="(blank)"),"",VLOOKUP($B2263,'Email Marketing Raw Data'!$C:$O,9,0)),"")</f>
        <v/>
      </c>
    </row>
    <row r="2264" spans="4:17" ht="12.75" customHeight="1" x14ac:dyDescent="0.2">
      <c r="D2264" s="58" t="str">
        <f>IFERROR(IF(F2264&lt;&gt;"pending","",IF(OR($B2264="",$B2264="(blank)"),"",VLOOKUP($B2264,'Email Marketing Raw Data'!$C:$O,10,0))),"")</f>
        <v/>
      </c>
      <c r="E2264" s="59" t="str">
        <f>IFERROR(IF(F2264&lt;&gt;"pending","",IF(OR($B2264="",$B2264="(blank)"),"",VLOOKUP($B2264,'Email Marketing Raw Data'!$C:$O,11,0))),"")</f>
        <v/>
      </c>
      <c r="F2264" s="54" t="str">
        <f>IFERROR(IF(OR($B2264="",$B2264="(blank)"),"",VLOOKUP($B2264,'Email Marketing Raw Data'!$C:$O,13,0)),"")</f>
        <v/>
      </c>
      <c r="G2264" s="55" t="str">
        <f>IFERROR(IF(OR($B2264="",$B2264="(blank)"),"",VLOOKUP($B2264,'Email Marketing Raw Data'!$C:$O,4,0)),"")</f>
        <v/>
      </c>
      <c r="H2264" s="55" t="str">
        <f>IFERROR(IF(OR($B2264="",$B2264="(blank)"),"",VLOOKUP($B2264,'Email Marketing Raw Data'!$C:$O,5,0)),"")</f>
        <v/>
      </c>
      <c r="I2264" s="55" t="str">
        <f>IFERROR(IF($G2264="","",VLOOKUP('Dashboard And Emails Automate'!$G2264,Database!$H:$N,3,0)),"")</f>
        <v/>
      </c>
      <c r="J2264" s="55" t="str">
        <f>IFERROR(IF($G2264="","",VLOOKUP('Dashboard And Emails Automate'!$G2264,Database!$H:$N,4,0)),"")</f>
        <v/>
      </c>
      <c r="K2264" s="55" t="str">
        <f>IFERROR(IF($G2264="","",VLOOKUP('Dashboard And Emails Automate'!$G2264,Database!$H:$N,5,0)),"")</f>
        <v/>
      </c>
      <c r="L2264" s="55" t="str">
        <f>IFERROR(IF($G2264="","",VLOOKUP('Dashboard And Emails Automate'!$G2264,Database!$H:$N,6,0)),"")</f>
        <v/>
      </c>
      <c r="M2264" s="55" t="str">
        <f>IFERROR(IF($G2264="","",VLOOKUP('Dashboard And Emails Automate'!$G2264,Database!$H:$N,7,0)),"")</f>
        <v/>
      </c>
      <c r="N2264" s="55" t="str">
        <f>IFERROR(IF(OR($B2264="",$B2264="(blank)"),"",VLOOKUP($B2264,'Email Marketing Raw Data'!$C:$O,6,0)),"")</f>
        <v/>
      </c>
      <c r="O2264" s="55" t="str">
        <f>IFERROR(IF(OR($B2264="",$B2264="(blank)"),"",VLOOKUP($B2264,'Email Marketing Raw Data'!$C:$O,7,0)),"")</f>
        <v/>
      </c>
      <c r="P2264" s="55" t="str">
        <f>IFERROR(IF(OR($B2264="",$B2264="(blank)"),"",VLOOKUP($B2264,'Email Marketing Raw Data'!$C:$O,8,0)),"")</f>
        <v/>
      </c>
      <c r="Q2264" s="62" t="str">
        <f>IFERROR(IF(OR($B2264="",$B2264="(blank)"),"",VLOOKUP($B2264,'Email Marketing Raw Data'!$C:$O,9,0)),"")</f>
        <v/>
      </c>
    </row>
    <row r="2265" spans="4:17" ht="12.75" customHeight="1" x14ac:dyDescent="0.2">
      <c r="D2265" s="58" t="str">
        <f>IFERROR(IF(F2265&lt;&gt;"pending","",IF(OR($B2265="",$B2265="(blank)"),"",VLOOKUP($B2265,'Email Marketing Raw Data'!$C:$O,10,0))),"")</f>
        <v/>
      </c>
      <c r="E2265" s="59" t="str">
        <f>IFERROR(IF(F2265&lt;&gt;"pending","",IF(OR($B2265="",$B2265="(blank)"),"",VLOOKUP($B2265,'Email Marketing Raw Data'!$C:$O,11,0))),"")</f>
        <v/>
      </c>
      <c r="F2265" s="54" t="str">
        <f>IFERROR(IF(OR($B2265="",$B2265="(blank)"),"",VLOOKUP($B2265,'Email Marketing Raw Data'!$C:$O,13,0)),"")</f>
        <v/>
      </c>
      <c r="G2265" s="55" t="str">
        <f>IFERROR(IF(OR($B2265="",$B2265="(blank)"),"",VLOOKUP($B2265,'Email Marketing Raw Data'!$C:$O,4,0)),"")</f>
        <v/>
      </c>
      <c r="H2265" s="55" t="str">
        <f>IFERROR(IF(OR($B2265="",$B2265="(blank)"),"",VLOOKUP($B2265,'Email Marketing Raw Data'!$C:$O,5,0)),"")</f>
        <v/>
      </c>
      <c r="I2265" s="55" t="str">
        <f>IFERROR(IF($G2265="","",VLOOKUP('Dashboard And Emails Automate'!$G2265,Database!$H:$N,3,0)),"")</f>
        <v/>
      </c>
      <c r="J2265" s="55" t="str">
        <f>IFERROR(IF($G2265="","",VLOOKUP('Dashboard And Emails Automate'!$G2265,Database!$H:$N,4,0)),"")</f>
        <v/>
      </c>
      <c r="K2265" s="55" t="str">
        <f>IFERROR(IF($G2265="","",VLOOKUP('Dashboard And Emails Automate'!$G2265,Database!$H:$N,5,0)),"")</f>
        <v/>
      </c>
      <c r="L2265" s="55" t="str">
        <f>IFERROR(IF($G2265="","",VLOOKUP('Dashboard And Emails Automate'!$G2265,Database!$H:$N,6,0)),"")</f>
        <v/>
      </c>
      <c r="M2265" s="55" t="str">
        <f>IFERROR(IF($G2265="","",VLOOKUP('Dashboard And Emails Automate'!$G2265,Database!$H:$N,7,0)),"")</f>
        <v/>
      </c>
      <c r="N2265" s="55" t="str">
        <f>IFERROR(IF(OR($B2265="",$B2265="(blank)"),"",VLOOKUP($B2265,'Email Marketing Raw Data'!$C:$O,6,0)),"")</f>
        <v/>
      </c>
      <c r="O2265" s="55" t="str">
        <f>IFERROR(IF(OR($B2265="",$B2265="(blank)"),"",VLOOKUP($B2265,'Email Marketing Raw Data'!$C:$O,7,0)),"")</f>
        <v/>
      </c>
      <c r="P2265" s="55" t="str">
        <f>IFERROR(IF(OR($B2265="",$B2265="(blank)"),"",VLOOKUP($B2265,'Email Marketing Raw Data'!$C:$O,8,0)),"")</f>
        <v/>
      </c>
      <c r="Q2265" s="62" t="str">
        <f>IFERROR(IF(OR($B2265="",$B2265="(blank)"),"",VLOOKUP($B2265,'Email Marketing Raw Data'!$C:$O,9,0)),"")</f>
        <v/>
      </c>
    </row>
    <row r="2266" spans="4:17" ht="12.75" customHeight="1" x14ac:dyDescent="0.2">
      <c r="D2266" s="58" t="str">
        <f>IFERROR(IF(F2266&lt;&gt;"pending","",IF(OR($B2266="",$B2266="(blank)"),"",VLOOKUP($B2266,'Email Marketing Raw Data'!$C:$O,10,0))),"")</f>
        <v/>
      </c>
      <c r="E2266" s="59" t="str">
        <f>IFERROR(IF(F2266&lt;&gt;"pending","",IF(OR($B2266="",$B2266="(blank)"),"",VLOOKUP($B2266,'Email Marketing Raw Data'!$C:$O,11,0))),"")</f>
        <v/>
      </c>
      <c r="F2266" s="54" t="str">
        <f>IFERROR(IF(OR($B2266="",$B2266="(blank)"),"",VLOOKUP($B2266,'Email Marketing Raw Data'!$C:$O,13,0)),"")</f>
        <v/>
      </c>
      <c r="G2266" s="55" t="str">
        <f>IFERROR(IF(OR($B2266="",$B2266="(blank)"),"",VLOOKUP($B2266,'Email Marketing Raw Data'!$C:$O,4,0)),"")</f>
        <v/>
      </c>
      <c r="H2266" s="55" t="str">
        <f>IFERROR(IF(OR($B2266="",$B2266="(blank)"),"",VLOOKUP($B2266,'Email Marketing Raw Data'!$C:$O,5,0)),"")</f>
        <v/>
      </c>
      <c r="I2266" s="55" t="str">
        <f>IFERROR(IF($G2266="","",VLOOKUP('Dashboard And Emails Automate'!$G2266,Database!$H:$N,3,0)),"")</f>
        <v/>
      </c>
      <c r="J2266" s="55" t="str">
        <f>IFERROR(IF($G2266="","",VLOOKUP('Dashboard And Emails Automate'!$G2266,Database!$H:$N,4,0)),"")</f>
        <v/>
      </c>
      <c r="K2266" s="55" t="str">
        <f>IFERROR(IF($G2266="","",VLOOKUP('Dashboard And Emails Automate'!$G2266,Database!$H:$N,5,0)),"")</f>
        <v/>
      </c>
      <c r="L2266" s="55" t="str">
        <f>IFERROR(IF($G2266="","",VLOOKUP('Dashboard And Emails Automate'!$G2266,Database!$H:$N,6,0)),"")</f>
        <v/>
      </c>
      <c r="M2266" s="55" t="str">
        <f>IFERROR(IF($G2266="","",VLOOKUP('Dashboard And Emails Automate'!$G2266,Database!$H:$N,7,0)),"")</f>
        <v/>
      </c>
      <c r="N2266" s="55" t="str">
        <f>IFERROR(IF(OR($B2266="",$B2266="(blank)"),"",VLOOKUP($B2266,'Email Marketing Raw Data'!$C:$O,6,0)),"")</f>
        <v/>
      </c>
      <c r="O2266" s="55" t="str">
        <f>IFERROR(IF(OR($B2266="",$B2266="(blank)"),"",VLOOKUP($B2266,'Email Marketing Raw Data'!$C:$O,7,0)),"")</f>
        <v/>
      </c>
      <c r="P2266" s="55" t="str">
        <f>IFERROR(IF(OR($B2266="",$B2266="(blank)"),"",VLOOKUP($B2266,'Email Marketing Raw Data'!$C:$O,8,0)),"")</f>
        <v/>
      </c>
      <c r="Q2266" s="62" t="str">
        <f>IFERROR(IF(OR($B2266="",$B2266="(blank)"),"",VLOOKUP($B2266,'Email Marketing Raw Data'!$C:$O,9,0)),"")</f>
        <v/>
      </c>
    </row>
    <row r="2267" spans="4:17" ht="12.75" customHeight="1" x14ac:dyDescent="0.2">
      <c r="D2267" s="58" t="str">
        <f>IFERROR(IF(F2267&lt;&gt;"pending","",IF(OR($B2267="",$B2267="(blank)"),"",VLOOKUP($B2267,'Email Marketing Raw Data'!$C:$O,10,0))),"")</f>
        <v/>
      </c>
      <c r="E2267" s="59" t="str">
        <f>IFERROR(IF(F2267&lt;&gt;"pending","",IF(OR($B2267="",$B2267="(blank)"),"",VLOOKUP($B2267,'Email Marketing Raw Data'!$C:$O,11,0))),"")</f>
        <v/>
      </c>
      <c r="F2267" s="54" t="str">
        <f>IFERROR(IF(OR($B2267="",$B2267="(blank)"),"",VLOOKUP($B2267,'Email Marketing Raw Data'!$C:$O,13,0)),"")</f>
        <v/>
      </c>
      <c r="G2267" s="55" t="str">
        <f>IFERROR(IF(OR($B2267="",$B2267="(blank)"),"",VLOOKUP($B2267,'Email Marketing Raw Data'!$C:$O,4,0)),"")</f>
        <v/>
      </c>
      <c r="H2267" s="55" t="str">
        <f>IFERROR(IF(OR($B2267="",$B2267="(blank)"),"",VLOOKUP($B2267,'Email Marketing Raw Data'!$C:$O,5,0)),"")</f>
        <v/>
      </c>
      <c r="I2267" s="55" t="str">
        <f>IFERROR(IF($G2267="","",VLOOKUP('Dashboard And Emails Automate'!$G2267,Database!$H:$N,3,0)),"")</f>
        <v/>
      </c>
      <c r="J2267" s="55" t="str">
        <f>IFERROR(IF($G2267="","",VLOOKUP('Dashboard And Emails Automate'!$G2267,Database!$H:$N,4,0)),"")</f>
        <v/>
      </c>
      <c r="K2267" s="55" t="str">
        <f>IFERROR(IF($G2267="","",VLOOKUP('Dashboard And Emails Automate'!$G2267,Database!$H:$N,5,0)),"")</f>
        <v/>
      </c>
      <c r="L2267" s="55" t="str">
        <f>IFERROR(IF($G2267="","",VLOOKUP('Dashboard And Emails Automate'!$G2267,Database!$H:$N,6,0)),"")</f>
        <v/>
      </c>
      <c r="M2267" s="55" t="str">
        <f>IFERROR(IF($G2267="","",VLOOKUP('Dashboard And Emails Automate'!$G2267,Database!$H:$N,7,0)),"")</f>
        <v/>
      </c>
      <c r="N2267" s="55" t="str">
        <f>IFERROR(IF(OR($B2267="",$B2267="(blank)"),"",VLOOKUP($B2267,'Email Marketing Raw Data'!$C:$O,6,0)),"")</f>
        <v/>
      </c>
      <c r="O2267" s="55" t="str">
        <f>IFERROR(IF(OR($B2267="",$B2267="(blank)"),"",VLOOKUP($B2267,'Email Marketing Raw Data'!$C:$O,7,0)),"")</f>
        <v/>
      </c>
      <c r="P2267" s="55" t="str">
        <f>IFERROR(IF(OR($B2267="",$B2267="(blank)"),"",VLOOKUP($B2267,'Email Marketing Raw Data'!$C:$O,8,0)),"")</f>
        <v/>
      </c>
      <c r="Q2267" s="62" t="str">
        <f>IFERROR(IF(OR($B2267="",$B2267="(blank)"),"",VLOOKUP($B2267,'Email Marketing Raw Data'!$C:$O,9,0)),"")</f>
        <v/>
      </c>
    </row>
    <row r="2268" spans="4:17" ht="12.75" customHeight="1" x14ac:dyDescent="0.2">
      <c r="D2268" s="58" t="str">
        <f>IFERROR(IF(F2268&lt;&gt;"pending","",IF(OR($B2268="",$B2268="(blank)"),"",VLOOKUP($B2268,'Email Marketing Raw Data'!$C:$O,10,0))),"")</f>
        <v/>
      </c>
      <c r="E2268" s="59" t="str">
        <f>IFERROR(IF(F2268&lt;&gt;"pending","",IF(OR($B2268="",$B2268="(blank)"),"",VLOOKUP($B2268,'Email Marketing Raw Data'!$C:$O,11,0))),"")</f>
        <v/>
      </c>
      <c r="F2268" s="54" t="str">
        <f>IFERROR(IF(OR($B2268="",$B2268="(blank)"),"",VLOOKUP($B2268,'Email Marketing Raw Data'!$C:$O,13,0)),"")</f>
        <v/>
      </c>
      <c r="G2268" s="55" t="str">
        <f>IFERROR(IF(OR($B2268="",$B2268="(blank)"),"",VLOOKUP($B2268,'Email Marketing Raw Data'!$C:$O,4,0)),"")</f>
        <v/>
      </c>
      <c r="H2268" s="55" t="str">
        <f>IFERROR(IF(OR($B2268="",$B2268="(blank)"),"",VLOOKUP($B2268,'Email Marketing Raw Data'!$C:$O,5,0)),"")</f>
        <v/>
      </c>
      <c r="I2268" s="55" t="str">
        <f>IFERROR(IF($G2268="","",VLOOKUP('Dashboard And Emails Automate'!$G2268,Database!$H:$N,3,0)),"")</f>
        <v/>
      </c>
      <c r="J2268" s="55" t="str">
        <f>IFERROR(IF($G2268="","",VLOOKUP('Dashboard And Emails Automate'!$G2268,Database!$H:$N,4,0)),"")</f>
        <v/>
      </c>
      <c r="K2268" s="55" t="str">
        <f>IFERROR(IF($G2268="","",VLOOKUP('Dashboard And Emails Automate'!$G2268,Database!$H:$N,5,0)),"")</f>
        <v/>
      </c>
      <c r="L2268" s="55" t="str">
        <f>IFERROR(IF($G2268="","",VLOOKUP('Dashboard And Emails Automate'!$G2268,Database!$H:$N,6,0)),"")</f>
        <v/>
      </c>
      <c r="M2268" s="55" t="str">
        <f>IFERROR(IF($G2268="","",VLOOKUP('Dashboard And Emails Automate'!$G2268,Database!$H:$N,7,0)),"")</f>
        <v/>
      </c>
      <c r="N2268" s="55" t="str">
        <f>IFERROR(IF(OR($B2268="",$B2268="(blank)"),"",VLOOKUP($B2268,'Email Marketing Raw Data'!$C:$O,6,0)),"")</f>
        <v/>
      </c>
      <c r="O2268" s="55" t="str">
        <f>IFERROR(IF(OR($B2268="",$B2268="(blank)"),"",VLOOKUP($B2268,'Email Marketing Raw Data'!$C:$O,7,0)),"")</f>
        <v/>
      </c>
      <c r="P2268" s="55" t="str">
        <f>IFERROR(IF(OR($B2268="",$B2268="(blank)"),"",VLOOKUP($B2268,'Email Marketing Raw Data'!$C:$O,8,0)),"")</f>
        <v/>
      </c>
      <c r="Q2268" s="62" t="str">
        <f>IFERROR(IF(OR($B2268="",$B2268="(blank)"),"",VLOOKUP($B2268,'Email Marketing Raw Data'!$C:$O,9,0)),"")</f>
        <v/>
      </c>
    </row>
    <row r="2269" spans="4:17" ht="12.75" customHeight="1" x14ac:dyDescent="0.2">
      <c r="D2269" s="58" t="str">
        <f>IFERROR(IF(F2269&lt;&gt;"pending","",IF(OR($B2269="",$B2269="(blank)"),"",VLOOKUP($B2269,'Email Marketing Raw Data'!$C:$O,10,0))),"")</f>
        <v/>
      </c>
      <c r="E2269" s="59" t="str">
        <f>IFERROR(IF(F2269&lt;&gt;"pending","",IF(OR($B2269="",$B2269="(blank)"),"",VLOOKUP($B2269,'Email Marketing Raw Data'!$C:$O,11,0))),"")</f>
        <v/>
      </c>
      <c r="F2269" s="54" t="str">
        <f>IFERROR(IF(OR($B2269="",$B2269="(blank)"),"",VLOOKUP($B2269,'Email Marketing Raw Data'!$C:$O,13,0)),"")</f>
        <v/>
      </c>
      <c r="G2269" s="55" t="str">
        <f>IFERROR(IF(OR($B2269="",$B2269="(blank)"),"",VLOOKUP($B2269,'Email Marketing Raw Data'!$C:$O,4,0)),"")</f>
        <v/>
      </c>
      <c r="H2269" s="55" t="str">
        <f>IFERROR(IF(OR($B2269="",$B2269="(blank)"),"",VLOOKUP($B2269,'Email Marketing Raw Data'!$C:$O,5,0)),"")</f>
        <v/>
      </c>
      <c r="I2269" s="55" t="str">
        <f>IFERROR(IF($G2269="","",VLOOKUP('Dashboard And Emails Automate'!$G2269,Database!$H:$N,3,0)),"")</f>
        <v/>
      </c>
      <c r="J2269" s="55" t="str">
        <f>IFERROR(IF($G2269="","",VLOOKUP('Dashboard And Emails Automate'!$G2269,Database!$H:$N,4,0)),"")</f>
        <v/>
      </c>
      <c r="K2269" s="55" t="str">
        <f>IFERROR(IF($G2269="","",VLOOKUP('Dashboard And Emails Automate'!$G2269,Database!$H:$N,5,0)),"")</f>
        <v/>
      </c>
      <c r="L2269" s="55" t="str">
        <f>IFERROR(IF($G2269="","",VLOOKUP('Dashboard And Emails Automate'!$G2269,Database!$H:$N,6,0)),"")</f>
        <v/>
      </c>
      <c r="M2269" s="55" t="str">
        <f>IFERROR(IF($G2269="","",VLOOKUP('Dashboard And Emails Automate'!$G2269,Database!$H:$N,7,0)),"")</f>
        <v/>
      </c>
      <c r="N2269" s="55" t="str">
        <f>IFERROR(IF(OR($B2269="",$B2269="(blank)"),"",VLOOKUP($B2269,'Email Marketing Raw Data'!$C:$O,6,0)),"")</f>
        <v/>
      </c>
      <c r="O2269" s="55" t="str">
        <f>IFERROR(IF(OR($B2269="",$B2269="(blank)"),"",VLOOKUP($B2269,'Email Marketing Raw Data'!$C:$O,7,0)),"")</f>
        <v/>
      </c>
      <c r="P2269" s="55" t="str">
        <f>IFERROR(IF(OR($B2269="",$B2269="(blank)"),"",VLOOKUP($B2269,'Email Marketing Raw Data'!$C:$O,8,0)),"")</f>
        <v/>
      </c>
      <c r="Q2269" s="62" t="str">
        <f>IFERROR(IF(OR($B2269="",$B2269="(blank)"),"",VLOOKUP($B2269,'Email Marketing Raw Data'!$C:$O,9,0)),"")</f>
        <v/>
      </c>
    </row>
    <row r="2270" spans="4:17" ht="12.75" customHeight="1" x14ac:dyDescent="0.2">
      <c r="D2270" s="58" t="str">
        <f>IFERROR(IF(F2270&lt;&gt;"pending","",IF(OR($B2270="",$B2270="(blank)"),"",VLOOKUP($B2270,'Email Marketing Raw Data'!$C:$O,10,0))),"")</f>
        <v/>
      </c>
      <c r="E2270" s="59" t="str">
        <f>IFERROR(IF(F2270&lt;&gt;"pending","",IF(OR($B2270="",$B2270="(blank)"),"",VLOOKUP($B2270,'Email Marketing Raw Data'!$C:$O,11,0))),"")</f>
        <v/>
      </c>
      <c r="F2270" s="54" t="str">
        <f>IFERROR(IF(OR($B2270="",$B2270="(blank)"),"",VLOOKUP($B2270,'Email Marketing Raw Data'!$C:$O,13,0)),"")</f>
        <v/>
      </c>
      <c r="G2270" s="55" t="str">
        <f>IFERROR(IF(OR($B2270="",$B2270="(blank)"),"",VLOOKUP($B2270,'Email Marketing Raw Data'!$C:$O,4,0)),"")</f>
        <v/>
      </c>
      <c r="H2270" s="55" t="str">
        <f>IFERROR(IF(OR($B2270="",$B2270="(blank)"),"",VLOOKUP($B2270,'Email Marketing Raw Data'!$C:$O,5,0)),"")</f>
        <v/>
      </c>
      <c r="I2270" s="55" t="str">
        <f>IFERROR(IF($G2270="","",VLOOKUP('Dashboard And Emails Automate'!$G2270,Database!$H:$N,3,0)),"")</f>
        <v/>
      </c>
      <c r="J2270" s="55" t="str">
        <f>IFERROR(IF($G2270="","",VLOOKUP('Dashboard And Emails Automate'!$G2270,Database!$H:$N,4,0)),"")</f>
        <v/>
      </c>
      <c r="K2270" s="55" t="str">
        <f>IFERROR(IF($G2270="","",VLOOKUP('Dashboard And Emails Automate'!$G2270,Database!$H:$N,5,0)),"")</f>
        <v/>
      </c>
      <c r="L2270" s="55" t="str">
        <f>IFERROR(IF($G2270="","",VLOOKUP('Dashboard And Emails Automate'!$G2270,Database!$H:$N,6,0)),"")</f>
        <v/>
      </c>
      <c r="M2270" s="55" t="str">
        <f>IFERROR(IF($G2270="","",VLOOKUP('Dashboard And Emails Automate'!$G2270,Database!$H:$N,7,0)),"")</f>
        <v/>
      </c>
      <c r="N2270" s="55" t="str">
        <f>IFERROR(IF(OR($B2270="",$B2270="(blank)"),"",VLOOKUP($B2270,'Email Marketing Raw Data'!$C:$O,6,0)),"")</f>
        <v/>
      </c>
      <c r="O2270" s="55" t="str">
        <f>IFERROR(IF(OR($B2270="",$B2270="(blank)"),"",VLOOKUP($B2270,'Email Marketing Raw Data'!$C:$O,7,0)),"")</f>
        <v/>
      </c>
      <c r="P2270" s="55" t="str">
        <f>IFERROR(IF(OR($B2270="",$B2270="(blank)"),"",VLOOKUP($B2270,'Email Marketing Raw Data'!$C:$O,8,0)),"")</f>
        <v/>
      </c>
      <c r="Q2270" s="62" t="str">
        <f>IFERROR(IF(OR($B2270="",$B2270="(blank)"),"",VLOOKUP($B2270,'Email Marketing Raw Data'!$C:$O,9,0)),"")</f>
        <v/>
      </c>
    </row>
    <row r="2271" spans="4:17" ht="12.75" customHeight="1" x14ac:dyDescent="0.2">
      <c r="D2271" s="58" t="str">
        <f>IFERROR(IF(F2271&lt;&gt;"pending","",IF(OR($B2271="",$B2271="(blank)"),"",VLOOKUP($B2271,'Email Marketing Raw Data'!$C:$O,10,0))),"")</f>
        <v/>
      </c>
      <c r="E2271" s="59" t="str">
        <f>IFERROR(IF(F2271&lt;&gt;"pending","",IF(OR($B2271="",$B2271="(blank)"),"",VLOOKUP($B2271,'Email Marketing Raw Data'!$C:$O,11,0))),"")</f>
        <v/>
      </c>
      <c r="F2271" s="54" t="str">
        <f>IFERROR(IF(OR($B2271="",$B2271="(blank)"),"",VLOOKUP($B2271,'Email Marketing Raw Data'!$C:$O,13,0)),"")</f>
        <v/>
      </c>
      <c r="G2271" s="55" t="str">
        <f>IFERROR(IF(OR($B2271="",$B2271="(blank)"),"",VLOOKUP($B2271,'Email Marketing Raw Data'!$C:$O,4,0)),"")</f>
        <v/>
      </c>
      <c r="H2271" s="55" t="str">
        <f>IFERROR(IF(OR($B2271="",$B2271="(blank)"),"",VLOOKUP($B2271,'Email Marketing Raw Data'!$C:$O,5,0)),"")</f>
        <v/>
      </c>
      <c r="I2271" s="55" t="str">
        <f>IFERROR(IF($G2271="","",VLOOKUP('Dashboard And Emails Automate'!$G2271,Database!$H:$N,3,0)),"")</f>
        <v/>
      </c>
      <c r="J2271" s="55" t="str">
        <f>IFERROR(IF($G2271="","",VLOOKUP('Dashboard And Emails Automate'!$G2271,Database!$H:$N,4,0)),"")</f>
        <v/>
      </c>
      <c r="K2271" s="55" t="str">
        <f>IFERROR(IF($G2271="","",VLOOKUP('Dashboard And Emails Automate'!$G2271,Database!$H:$N,5,0)),"")</f>
        <v/>
      </c>
      <c r="L2271" s="55" t="str">
        <f>IFERROR(IF($G2271="","",VLOOKUP('Dashboard And Emails Automate'!$G2271,Database!$H:$N,6,0)),"")</f>
        <v/>
      </c>
      <c r="M2271" s="55" t="str">
        <f>IFERROR(IF($G2271="","",VLOOKUP('Dashboard And Emails Automate'!$G2271,Database!$H:$N,7,0)),"")</f>
        <v/>
      </c>
      <c r="N2271" s="55" t="str">
        <f>IFERROR(IF(OR($B2271="",$B2271="(blank)"),"",VLOOKUP($B2271,'Email Marketing Raw Data'!$C:$O,6,0)),"")</f>
        <v/>
      </c>
      <c r="O2271" s="55" t="str">
        <f>IFERROR(IF(OR($B2271="",$B2271="(blank)"),"",VLOOKUP($B2271,'Email Marketing Raw Data'!$C:$O,7,0)),"")</f>
        <v/>
      </c>
      <c r="P2271" s="55" t="str">
        <f>IFERROR(IF(OR($B2271="",$B2271="(blank)"),"",VLOOKUP($B2271,'Email Marketing Raw Data'!$C:$O,8,0)),"")</f>
        <v/>
      </c>
      <c r="Q2271" s="62" t="str">
        <f>IFERROR(IF(OR($B2271="",$B2271="(blank)"),"",VLOOKUP($B2271,'Email Marketing Raw Data'!$C:$O,9,0)),"")</f>
        <v/>
      </c>
    </row>
    <row r="2272" spans="4:17" ht="12.75" customHeight="1" x14ac:dyDescent="0.2">
      <c r="D2272" s="58" t="str">
        <f>IFERROR(IF(F2272&lt;&gt;"pending","",IF(OR($B2272="",$B2272="(blank)"),"",VLOOKUP($B2272,'Email Marketing Raw Data'!$C:$O,10,0))),"")</f>
        <v/>
      </c>
      <c r="E2272" s="59" t="str">
        <f>IFERROR(IF(F2272&lt;&gt;"pending","",IF(OR($B2272="",$B2272="(blank)"),"",VLOOKUP($B2272,'Email Marketing Raw Data'!$C:$O,11,0))),"")</f>
        <v/>
      </c>
      <c r="F2272" s="54" t="str">
        <f>IFERROR(IF(OR($B2272="",$B2272="(blank)"),"",VLOOKUP($B2272,'Email Marketing Raw Data'!$C:$O,13,0)),"")</f>
        <v/>
      </c>
      <c r="G2272" s="55" t="str">
        <f>IFERROR(IF(OR($B2272="",$B2272="(blank)"),"",VLOOKUP($B2272,'Email Marketing Raw Data'!$C:$O,4,0)),"")</f>
        <v/>
      </c>
      <c r="H2272" s="55" t="str">
        <f>IFERROR(IF(OR($B2272="",$B2272="(blank)"),"",VLOOKUP($B2272,'Email Marketing Raw Data'!$C:$O,5,0)),"")</f>
        <v/>
      </c>
      <c r="I2272" s="55" t="str">
        <f>IFERROR(IF($G2272="","",VLOOKUP('Dashboard And Emails Automate'!$G2272,Database!$H:$N,3,0)),"")</f>
        <v/>
      </c>
      <c r="J2272" s="55" t="str">
        <f>IFERROR(IF($G2272="","",VLOOKUP('Dashboard And Emails Automate'!$G2272,Database!$H:$N,4,0)),"")</f>
        <v/>
      </c>
      <c r="K2272" s="55" t="str">
        <f>IFERROR(IF($G2272="","",VLOOKUP('Dashboard And Emails Automate'!$G2272,Database!$H:$N,5,0)),"")</f>
        <v/>
      </c>
      <c r="L2272" s="55" t="str">
        <f>IFERROR(IF($G2272="","",VLOOKUP('Dashboard And Emails Automate'!$G2272,Database!$H:$N,6,0)),"")</f>
        <v/>
      </c>
      <c r="M2272" s="55" t="str">
        <f>IFERROR(IF($G2272="","",VLOOKUP('Dashboard And Emails Automate'!$G2272,Database!$H:$N,7,0)),"")</f>
        <v/>
      </c>
      <c r="N2272" s="55" t="str">
        <f>IFERROR(IF(OR($B2272="",$B2272="(blank)"),"",VLOOKUP($B2272,'Email Marketing Raw Data'!$C:$O,6,0)),"")</f>
        <v/>
      </c>
      <c r="O2272" s="55" t="str">
        <f>IFERROR(IF(OR($B2272="",$B2272="(blank)"),"",VLOOKUP($B2272,'Email Marketing Raw Data'!$C:$O,7,0)),"")</f>
        <v/>
      </c>
      <c r="P2272" s="55" t="str">
        <f>IFERROR(IF(OR($B2272="",$B2272="(blank)"),"",VLOOKUP($B2272,'Email Marketing Raw Data'!$C:$O,8,0)),"")</f>
        <v/>
      </c>
      <c r="Q2272" s="62" t="str">
        <f>IFERROR(IF(OR($B2272="",$B2272="(blank)"),"",VLOOKUP($B2272,'Email Marketing Raw Data'!$C:$O,9,0)),"")</f>
        <v/>
      </c>
    </row>
    <row r="2273" spans="4:17" ht="12.75" customHeight="1" x14ac:dyDescent="0.2">
      <c r="D2273" s="58" t="str">
        <f>IFERROR(IF(F2273&lt;&gt;"pending","",IF(OR($B2273="",$B2273="(blank)"),"",VLOOKUP($B2273,'Email Marketing Raw Data'!$C:$O,10,0))),"")</f>
        <v/>
      </c>
      <c r="E2273" s="59" t="str">
        <f>IFERROR(IF(F2273&lt;&gt;"pending","",IF(OR($B2273="",$B2273="(blank)"),"",VLOOKUP($B2273,'Email Marketing Raw Data'!$C:$O,11,0))),"")</f>
        <v/>
      </c>
      <c r="F2273" s="54" t="str">
        <f>IFERROR(IF(OR($B2273="",$B2273="(blank)"),"",VLOOKUP($B2273,'Email Marketing Raw Data'!$C:$O,13,0)),"")</f>
        <v/>
      </c>
      <c r="G2273" s="55" t="str">
        <f>IFERROR(IF(OR($B2273="",$B2273="(blank)"),"",VLOOKUP($B2273,'Email Marketing Raw Data'!$C:$O,4,0)),"")</f>
        <v/>
      </c>
      <c r="H2273" s="55" t="str">
        <f>IFERROR(IF(OR($B2273="",$B2273="(blank)"),"",VLOOKUP($B2273,'Email Marketing Raw Data'!$C:$O,5,0)),"")</f>
        <v/>
      </c>
      <c r="I2273" s="55" t="str">
        <f>IFERROR(IF($G2273="","",VLOOKUP('Dashboard And Emails Automate'!$G2273,Database!$H:$N,3,0)),"")</f>
        <v/>
      </c>
      <c r="J2273" s="55" t="str">
        <f>IFERROR(IF($G2273="","",VLOOKUP('Dashboard And Emails Automate'!$G2273,Database!$H:$N,4,0)),"")</f>
        <v/>
      </c>
      <c r="K2273" s="55" t="str">
        <f>IFERROR(IF($G2273="","",VLOOKUP('Dashboard And Emails Automate'!$G2273,Database!$H:$N,5,0)),"")</f>
        <v/>
      </c>
      <c r="L2273" s="55" t="str">
        <f>IFERROR(IF($G2273="","",VLOOKUP('Dashboard And Emails Automate'!$G2273,Database!$H:$N,6,0)),"")</f>
        <v/>
      </c>
      <c r="M2273" s="55" t="str">
        <f>IFERROR(IF($G2273="","",VLOOKUP('Dashboard And Emails Automate'!$G2273,Database!$H:$N,7,0)),"")</f>
        <v/>
      </c>
      <c r="N2273" s="55" t="str">
        <f>IFERROR(IF(OR($B2273="",$B2273="(blank)"),"",VLOOKUP($B2273,'Email Marketing Raw Data'!$C:$O,6,0)),"")</f>
        <v/>
      </c>
      <c r="O2273" s="55" t="str">
        <f>IFERROR(IF(OR($B2273="",$B2273="(blank)"),"",VLOOKUP($B2273,'Email Marketing Raw Data'!$C:$O,7,0)),"")</f>
        <v/>
      </c>
      <c r="P2273" s="55" t="str">
        <f>IFERROR(IF(OR($B2273="",$B2273="(blank)"),"",VLOOKUP($B2273,'Email Marketing Raw Data'!$C:$O,8,0)),"")</f>
        <v/>
      </c>
      <c r="Q2273" s="62" t="str">
        <f>IFERROR(IF(OR($B2273="",$B2273="(blank)"),"",VLOOKUP($B2273,'Email Marketing Raw Data'!$C:$O,9,0)),"")</f>
        <v/>
      </c>
    </row>
    <row r="2274" spans="4:17" ht="12.75" customHeight="1" x14ac:dyDescent="0.2">
      <c r="D2274" s="58" t="str">
        <f>IFERROR(IF(F2274&lt;&gt;"pending","",IF(OR($B2274="",$B2274="(blank)"),"",VLOOKUP($B2274,'Email Marketing Raw Data'!$C:$O,10,0))),"")</f>
        <v/>
      </c>
      <c r="E2274" s="59" t="str">
        <f>IFERROR(IF(F2274&lt;&gt;"pending","",IF(OR($B2274="",$B2274="(blank)"),"",VLOOKUP($B2274,'Email Marketing Raw Data'!$C:$O,11,0))),"")</f>
        <v/>
      </c>
      <c r="F2274" s="54" t="str">
        <f>IFERROR(IF(OR($B2274="",$B2274="(blank)"),"",VLOOKUP($B2274,'Email Marketing Raw Data'!$C:$O,13,0)),"")</f>
        <v/>
      </c>
      <c r="G2274" s="55" t="str">
        <f>IFERROR(IF(OR($B2274="",$B2274="(blank)"),"",VLOOKUP($B2274,'Email Marketing Raw Data'!$C:$O,4,0)),"")</f>
        <v/>
      </c>
      <c r="H2274" s="55" t="str">
        <f>IFERROR(IF(OR($B2274="",$B2274="(blank)"),"",VLOOKUP($B2274,'Email Marketing Raw Data'!$C:$O,5,0)),"")</f>
        <v/>
      </c>
      <c r="I2274" s="55" t="str">
        <f>IFERROR(IF($G2274="","",VLOOKUP('Dashboard And Emails Automate'!$G2274,Database!$H:$N,3,0)),"")</f>
        <v/>
      </c>
      <c r="J2274" s="55" t="str">
        <f>IFERROR(IF($G2274="","",VLOOKUP('Dashboard And Emails Automate'!$G2274,Database!$H:$N,4,0)),"")</f>
        <v/>
      </c>
      <c r="K2274" s="55" t="str">
        <f>IFERROR(IF($G2274="","",VLOOKUP('Dashboard And Emails Automate'!$G2274,Database!$H:$N,5,0)),"")</f>
        <v/>
      </c>
      <c r="L2274" s="55" t="str">
        <f>IFERROR(IF($G2274="","",VLOOKUP('Dashboard And Emails Automate'!$G2274,Database!$H:$N,6,0)),"")</f>
        <v/>
      </c>
      <c r="M2274" s="55" t="str">
        <f>IFERROR(IF($G2274="","",VLOOKUP('Dashboard And Emails Automate'!$G2274,Database!$H:$N,7,0)),"")</f>
        <v/>
      </c>
      <c r="N2274" s="55" t="str">
        <f>IFERROR(IF(OR($B2274="",$B2274="(blank)"),"",VLOOKUP($B2274,'Email Marketing Raw Data'!$C:$O,6,0)),"")</f>
        <v/>
      </c>
      <c r="O2274" s="55" t="str">
        <f>IFERROR(IF(OR($B2274="",$B2274="(blank)"),"",VLOOKUP($B2274,'Email Marketing Raw Data'!$C:$O,7,0)),"")</f>
        <v/>
      </c>
      <c r="P2274" s="55" t="str">
        <f>IFERROR(IF(OR($B2274="",$B2274="(blank)"),"",VLOOKUP($B2274,'Email Marketing Raw Data'!$C:$O,8,0)),"")</f>
        <v/>
      </c>
      <c r="Q2274" s="62" t="str">
        <f>IFERROR(IF(OR($B2274="",$B2274="(blank)"),"",VLOOKUP($B2274,'Email Marketing Raw Data'!$C:$O,9,0)),"")</f>
        <v/>
      </c>
    </row>
    <row r="2275" spans="4:17" ht="12.75" customHeight="1" x14ac:dyDescent="0.2">
      <c r="D2275" s="58" t="str">
        <f>IFERROR(IF(F2275&lt;&gt;"pending","",IF(OR($B2275="",$B2275="(blank)"),"",VLOOKUP($B2275,'Email Marketing Raw Data'!$C:$O,10,0))),"")</f>
        <v/>
      </c>
      <c r="E2275" s="59" t="str">
        <f>IFERROR(IF(F2275&lt;&gt;"pending","",IF(OR($B2275="",$B2275="(blank)"),"",VLOOKUP($B2275,'Email Marketing Raw Data'!$C:$O,11,0))),"")</f>
        <v/>
      </c>
      <c r="F2275" s="54" t="str">
        <f>IFERROR(IF(OR($B2275="",$B2275="(blank)"),"",VLOOKUP($B2275,'Email Marketing Raw Data'!$C:$O,13,0)),"")</f>
        <v/>
      </c>
      <c r="G2275" s="55" t="str">
        <f>IFERROR(IF(OR($B2275="",$B2275="(blank)"),"",VLOOKUP($B2275,'Email Marketing Raw Data'!$C:$O,4,0)),"")</f>
        <v/>
      </c>
      <c r="H2275" s="55" t="str">
        <f>IFERROR(IF(OR($B2275="",$B2275="(blank)"),"",VLOOKUP($B2275,'Email Marketing Raw Data'!$C:$O,5,0)),"")</f>
        <v/>
      </c>
      <c r="I2275" s="55" t="str">
        <f>IFERROR(IF($G2275="","",VLOOKUP('Dashboard And Emails Automate'!$G2275,Database!$H:$N,3,0)),"")</f>
        <v/>
      </c>
      <c r="J2275" s="55" t="str">
        <f>IFERROR(IF($G2275="","",VLOOKUP('Dashboard And Emails Automate'!$G2275,Database!$H:$N,4,0)),"")</f>
        <v/>
      </c>
      <c r="K2275" s="55" t="str">
        <f>IFERROR(IF($G2275="","",VLOOKUP('Dashboard And Emails Automate'!$G2275,Database!$H:$N,5,0)),"")</f>
        <v/>
      </c>
      <c r="L2275" s="55" t="str">
        <f>IFERROR(IF($G2275="","",VLOOKUP('Dashboard And Emails Automate'!$G2275,Database!$H:$N,6,0)),"")</f>
        <v/>
      </c>
      <c r="M2275" s="55" t="str">
        <f>IFERROR(IF($G2275="","",VLOOKUP('Dashboard And Emails Automate'!$G2275,Database!$H:$N,7,0)),"")</f>
        <v/>
      </c>
      <c r="N2275" s="55" t="str">
        <f>IFERROR(IF(OR($B2275="",$B2275="(blank)"),"",VLOOKUP($B2275,'Email Marketing Raw Data'!$C:$O,6,0)),"")</f>
        <v/>
      </c>
      <c r="O2275" s="55" t="str">
        <f>IFERROR(IF(OR($B2275="",$B2275="(blank)"),"",VLOOKUP($B2275,'Email Marketing Raw Data'!$C:$O,7,0)),"")</f>
        <v/>
      </c>
      <c r="P2275" s="55" t="str">
        <f>IFERROR(IF(OR($B2275="",$B2275="(blank)"),"",VLOOKUP($B2275,'Email Marketing Raw Data'!$C:$O,8,0)),"")</f>
        <v/>
      </c>
      <c r="Q2275" s="62" t="str">
        <f>IFERROR(IF(OR($B2275="",$B2275="(blank)"),"",VLOOKUP($B2275,'Email Marketing Raw Data'!$C:$O,9,0)),"")</f>
        <v/>
      </c>
    </row>
    <row r="2276" spans="4:17" ht="12.75" customHeight="1" x14ac:dyDescent="0.2">
      <c r="D2276" s="58" t="str">
        <f>IFERROR(IF(F2276&lt;&gt;"pending","",IF(OR($B2276="",$B2276="(blank)"),"",VLOOKUP($B2276,'Email Marketing Raw Data'!$C:$O,10,0))),"")</f>
        <v/>
      </c>
      <c r="E2276" s="59" t="str">
        <f>IFERROR(IF(F2276&lt;&gt;"pending","",IF(OR($B2276="",$B2276="(blank)"),"",VLOOKUP($B2276,'Email Marketing Raw Data'!$C:$O,11,0))),"")</f>
        <v/>
      </c>
      <c r="F2276" s="54" t="str">
        <f>IFERROR(IF(OR($B2276="",$B2276="(blank)"),"",VLOOKUP($B2276,'Email Marketing Raw Data'!$C:$O,13,0)),"")</f>
        <v/>
      </c>
      <c r="G2276" s="55" t="str">
        <f>IFERROR(IF(OR($B2276="",$B2276="(blank)"),"",VLOOKUP($B2276,'Email Marketing Raw Data'!$C:$O,4,0)),"")</f>
        <v/>
      </c>
      <c r="H2276" s="55" t="str">
        <f>IFERROR(IF(OR($B2276="",$B2276="(blank)"),"",VLOOKUP($B2276,'Email Marketing Raw Data'!$C:$O,5,0)),"")</f>
        <v/>
      </c>
      <c r="I2276" s="55" t="str">
        <f>IFERROR(IF($G2276="","",VLOOKUP('Dashboard And Emails Automate'!$G2276,Database!$H:$N,3,0)),"")</f>
        <v/>
      </c>
      <c r="J2276" s="55" t="str">
        <f>IFERROR(IF($G2276="","",VLOOKUP('Dashboard And Emails Automate'!$G2276,Database!$H:$N,4,0)),"")</f>
        <v/>
      </c>
      <c r="K2276" s="55" t="str">
        <f>IFERROR(IF($G2276="","",VLOOKUP('Dashboard And Emails Automate'!$G2276,Database!$H:$N,5,0)),"")</f>
        <v/>
      </c>
      <c r="L2276" s="55" t="str">
        <f>IFERROR(IF($G2276="","",VLOOKUP('Dashboard And Emails Automate'!$G2276,Database!$H:$N,6,0)),"")</f>
        <v/>
      </c>
      <c r="M2276" s="55" t="str">
        <f>IFERROR(IF($G2276="","",VLOOKUP('Dashboard And Emails Automate'!$G2276,Database!$H:$N,7,0)),"")</f>
        <v/>
      </c>
      <c r="N2276" s="55" t="str">
        <f>IFERROR(IF(OR($B2276="",$B2276="(blank)"),"",VLOOKUP($B2276,'Email Marketing Raw Data'!$C:$O,6,0)),"")</f>
        <v/>
      </c>
      <c r="O2276" s="55" t="str">
        <f>IFERROR(IF(OR($B2276="",$B2276="(blank)"),"",VLOOKUP($B2276,'Email Marketing Raw Data'!$C:$O,7,0)),"")</f>
        <v/>
      </c>
      <c r="P2276" s="55" t="str">
        <f>IFERROR(IF(OR($B2276="",$B2276="(blank)"),"",VLOOKUP($B2276,'Email Marketing Raw Data'!$C:$O,8,0)),"")</f>
        <v/>
      </c>
      <c r="Q2276" s="62" t="str">
        <f>IFERROR(IF(OR($B2276="",$B2276="(blank)"),"",VLOOKUP($B2276,'Email Marketing Raw Data'!$C:$O,9,0)),"")</f>
        <v/>
      </c>
    </row>
    <row r="2277" spans="4:17" ht="12.75" customHeight="1" x14ac:dyDescent="0.2">
      <c r="D2277" s="58" t="str">
        <f>IFERROR(IF(F2277&lt;&gt;"pending","",IF(OR($B2277="",$B2277="(blank)"),"",VLOOKUP($B2277,'Email Marketing Raw Data'!$C:$O,10,0))),"")</f>
        <v/>
      </c>
      <c r="E2277" s="59" t="str">
        <f>IFERROR(IF(F2277&lt;&gt;"pending","",IF(OR($B2277="",$B2277="(blank)"),"",VLOOKUP($B2277,'Email Marketing Raw Data'!$C:$O,11,0))),"")</f>
        <v/>
      </c>
      <c r="F2277" s="54" t="str">
        <f>IFERROR(IF(OR($B2277="",$B2277="(blank)"),"",VLOOKUP($B2277,'Email Marketing Raw Data'!$C:$O,13,0)),"")</f>
        <v/>
      </c>
      <c r="G2277" s="55" t="str">
        <f>IFERROR(IF(OR($B2277="",$B2277="(blank)"),"",VLOOKUP($B2277,'Email Marketing Raw Data'!$C:$O,4,0)),"")</f>
        <v/>
      </c>
      <c r="H2277" s="55" t="str">
        <f>IFERROR(IF(OR($B2277="",$B2277="(blank)"),"",VLOOKUP($B2277,'Email Marketing Raw Data'!$C:$O,5,0)),"")</f>
        <v/>
      </c>
      <c r="I2277" s="55" t="str">
        <f>IFERROR(IF($G2277="","",VLOOKUP('Dashboard And Emails Automate'!$G2277,Database!$H:$N,3,0)),"")</f>
        <v/>
      </c>
      <c r="J2277" s="55" t="str">
        <f>IFERROR(IF($G2277="","",VLOOKUP('Dashboard And Emails Automate'!$G2277,Database!$H:$N,4,0)),"")</f>
        <v/>
      </c>
      <c r="K2277" s="55" t="str">
        <f>IFERROR(IF($G2277="","",VLOOKUP('Dashboard And Emails Automate'!$G2277,Database!$H:$N,5,0)),"")</f>
        <v/>
      </c>
      <c r="L2277" s="55" t="str">
        <f>IFERROR(IF($G2277="","",VLOOKUP('Dashboard And Emails Automate'!$G2277,Database!$H:$N,6,0)),"")</f>
        <v/>
      </c>
      <c r="M2277" s="55" t="str">
        <f>IFERROR(IF($G2277="","",VLOOKUP('Dashboard And Emails Automate'!$G2277,Database!$H:$N,7,0)),"")</f>
        <v/>
      </c>
      <c r="N2277" s="55" t="str">
        <f>IFERROR(IF(OR($B2277="",$B2277="(blank)"),"",VLOOKUP($B2277,'Email Marketing Raw Data'!$C:$O,6,0)),"")</f>
        <v/>
      </c>
      <c r="O2277" s="55" t="str">
        <f>IFERROR(IF(OR($B2277="",$B2277="(blank)"),"",VLOOKUP($B2277,'Email Marketing Raw Data'!$C:$O,7,0)),"")</f>
        <v/>
      </c>
      <c r="P2277" s="55" t="str">
        <f>IFERROR(IF(OR($B2277="",$B2277="(blank)"),"",VLOOKUP($B2277,'Email Marketing Raw Data'!$C:$O,8,0)),"")</f>
        <v/>
      </c>
      <c r="Q2277" s="62" t="str">
        <f>IFERROR(IF(OR($B2277="",$B2277="(blank)"),"",VLOOKUP($B2277,'Email Marketing Raw Data'!$C:$O,9,0)),"")</f>
        <v/>
      </c>
    </row>
    <row r="2278" spans="4:17" ht="12.75" customHeight="1" x14ac:dyDescent="0.2">
      <c r="D2278" s="58" t="str">
        <f>IFERROR(IF(F2278&lt;&gt;"pending","",IF(OR($B2278="",$B2278="(blank)"),"",VLOOKUP($B2278,'Email Marketing Raw Data'!$C:$O,10,0))),"")</f>
        <v/>
      </c>
      <c r="E2278" s="59" t="str">
        <f>IFERROR(IF(F2278&lt;&gt;"pending","",IF(OR($B2278="",$B2278="(blank)"),"",VLOOKUP($B2278,'Email Marketing Raw Data'!$C:$O,11,0))),"")</f>
        <v/>
      </c>
      <c r="F2278" s="54" t="str">
        <f>IFERROR(IF(OR($B2278="",$B2278="(blank)"),"",VLOOKUP($B2278,'Email Marketing Raw Data'!$C:$O,13,0)),"")</f>
        <v/>
      </c>
      <c r="G2278" s="55" t="str">
        <f>IFERROR(IF(OR($B2278="",$B2278="(blank)"),"",VLOOKUP($B2278,'Email Marketing Raw Data'!$C:$O,4,0)),"")</f>
        <v/>
      </c>
      <c r="H2278" s="55" t="str">
        <f>IFERROR(IF(OR($B2278="",$B2278="(blank)"),"",VLOOKUP($B2278,'Email Marketing Raw Data'!$C:$O,5,0)),"")</f>
        <v/>
      </c>
      <c r="I2278" s="55" t="str">
        <f>IFERROR(IF($G2278="","",VLOOKUP('Dashboard And Emails Automate'!$G2278,Database!$H:$N,3,0)),"")</f>
        <v/>
      </c>
      <c r="J2278" s="55" t="str">
        <f>IFERROR(IF($G2278="","",VLOOKUP('Dashboard And Emails Automate'!$G2278,Database!$H:$N,4,0)),"")</f>
        <v/>
      </c>
      <c r="K2278" s="55" t="str">
        <f>IFERROR(IF($G2278="","",VLOOKUP('Dashboard And Emails Automate'!$G2278,Database!$H:$N,5,0)),"")</f>
        <v/>
      </c>
      <c r="L2278" s="55" t="str">
        <f>IFERROR(IF($G2278="","",VLOOKUP('Dashboard And Emails Automate'!$G2278,Database!$H:$N,6,0)),"")</f>
        <v/>
      </c>
      <c r="M2278" s="55" t="str">
        <f>IFERROR(IF($G2278="","",VLOOKUP('Dashboard And Emails Automate'!$G2278,Database!$H:$N,7,0)),"")</f>
        <v/>
      </c>
      <c r="N2278" s="55" t="str">
        <f>IFERROR(IF(OR($B2278="",$B2278="(blank)"),"",VLOOKUP($B2278,'Email Marketing Raw Data'!$C:$O,6,0)),"")</f>
        <v/>
      </c>
      <c r="O2278" s="55" t="str">
        <f>IFERROR(IF(OR($B2278="",$B2278="(blank)"),"",VLOOKUP($B2278,'Email Marketing Raw Data'!$C:$O,7,0)),"")</f>
        <v/>
      </c>
      <c r="P2278" s="55" t="str">
        <f>IFERROR(IF(OR($B2278="",$B2278="(blank)"),"",VLOOKUP($B2278,'Email Marketing Raw Data'!$C:$O,8,0)),"")</f>
        <v/>
      </c>
      <c r="Q2278" s="62" t="str">
        <f>IFERROR(IF(OR($B2278="",$B2278="(blank)"),"",VLOOKUP($B2278,'Email Marketing Raw Data'!$C:$O,9,0)),"")</f>
        <v/>
      </c>
    </row>
    <row r="2279" spans="4:17" ht="12.75" customHeight="1" x14ac:dyDescent="0.2">
      <c r="D2279" s="58" t="str">
        <f>IFERROR(IF(F2279&lt;&gt;"pending","",IF(OR($B2279="",$B2279="(blank)"),"",VLOOKUP($B2279,'Email Marketing Raw Data'!$C:$O,10,0))),"")</f>
        <v/>
      </c>
      <c r="E2279" s="59" t="str">
        <f>IFERROR(IF(F2279&lt;&gt;"pending","",IF(OR($B2279="",$B2279="(blank)"),"",VLOOKUP($B2279,'Email Marketing Raw Data'!$C:$O,11,0))),"")</f>
        <v/>
      </c>
      <c r="F2279" s="54" t="str">
        <f>IFERROR(IF(OR($B2279="",$B2279="(blank)"),"",VLOOKUP($B2279,'Email Marketing Raw Data'!$C:$O,13,0)),"")</f>
        <v/>
      </c>
      <c r="G2279" s="55" t="str">
        <f>IFERROR(IF(OR($B2279="",$B2279="(blank)"),"",VLOOKUP($B2279,'Email Marketing Raw Data'!$C:$O,4,0)),"")</f>
        <v/>
      </c>
      <c r="H2279" s="55" t="str">
        <f>IFERROR(IF(OR($B2279="",$B2279="(blank)"),"",VLOOKUP($B2279,'Email Marketing Raw Data'!$C:$O,5,0)),"")</f>
        <v/>
      </c>
      <c r="I2279" s="55" t="str">
        <f>IFERROR(IF($G2279="","",VLOOKUP('Dashboard And Emails Automate'!$G2279,Database!$H:$N,3,0)),"")</f>
        <v/>
      </c>
      <c r="J2279" s="55" t="str">
        <f>IFERROR(IF($G2279="","",VLOOKUP('Dashboard And Emails Automate'!$G2279,Database!$H:$N,4,0)),"")</f>
        <v/>
      </c>
      <c r="K2279" s="55" t="str">
        <f>IFERROR(IF($G2279="","",VLOOKUP('Dashboard And Emails Automate'!$G2279,Database!$H:$N,5,0)),"")</f>
        <v/>
      </c>
      <c r="L2279" s="55" t="str">
        <f>IFERROR(IF($G2279="","",VLOOKUP('Dashboard And Emails Automate'!$G2279,Database!$H:$N,6,0)),"")</f>
        <v/>
      </c>
      <c r="M2279" s="55" t="str">
        <f>IFERROR(IF($G2279="","",VLOOKUP('Dashboard And Emails Automate'!$G2279,Database!$H:$N,7,0)),"")</f>
        <v/>
      </c>
      <c r="N2279" s="55" t="str">
        <f>IFERROR(IF(OR($B2279="",$B2279="(blank)"),"",VLOOKUP($B2279,'Email Marketing Raw Data'!$C:$O,6,0)),"")</f>
        <v/>
      </c>
      <c r="O2279" s="55" t="str">
        <f>IFERROR(IF(OR($B2279="",$B2279="(blank)"),"",VLOOKUP($B2279,'Email Marketing Raw Data'!$C:$O,7,0)),"")</f>
        <v/>
      </c>
      <c r="P2279" s="55" t="str">
        <f>IFERROR(IF(OR($B2279="",$B2279="(blank)"),"",VLOOKUP($B2279,'Email Marketing Raw Data'!$C:$O,8,0)),"")</f>
        <v/>
      </c>
      <c r="Q2279" s="62" t="str">
        <f>IFERROR(IF(OR($B2279="",$B2279="(blank)"),"",VLOOKUP($B2279,'Email Marketing Raw Data'!$C:$O,9,0)),"")</f>
        <v/>
      </c>
    </row>
    <row r="2280" spans="4:17" ht="12.75" customHeight="1" x14ac:dyDescent="0.2">
      <c r="D2280" s="58" t="str">
        <f>IFERROR(IF(F2280&lt;&gt;"pending","",IF(OR($B2280="",$B2280="(blank)"),"",VLOOKUP($B2280,'Email Marketing Raw Data'!$C:$O,10,0))),"")</f>
        <v/>
      </c>
      <c r="E2280" s="59" t="str">
        <f>IFERROR(IF(F2280&lt;&gt;"pending","",IF(OR($B2280="",$B2280="(blank)"),"",VLOOKUP($B2280,'Email Marketing Raw Data'!$C:$O,11,0))),"")</f>
        <v/>
      </c>
      <c r="F2280" s="54" t="str">
        <f>IFERROR(IF(OR($B2280="",$B2280="(blank)"),"",VLOOKUP($B2280,'Email Marketing Raw Data'!$C:$O,13,0)),"")</f>
        <v/>
      </c>
      <c r="G2280" s="55" t="str">
        <f>IFERROR(IF(OR($B2280="",$B2280="(blank)"),"",VLOOKUP($B2280,'Email Marketing Raw Data'!$C:$O,4,0)),"")</f>
        <v/>
      </c>
      <c r="H2280" s="55" t="str">
        <f>IFERROR(IF(OR($B2280="",$B2280="(blank)"),"",VLOOKUP($B2280,'Email Marketing Raw Data'!$C:$O,5,0)),"")</f>
        <v/>
      </c>
      <c r="I2280" s="55" t="str">
        <f>IFERROR(IF($G2280="","",VLOOKUP('Dashboard And Emails Automate'!$G2280,Database!$H:$N,3,0)),"")</f>
        <v/>
      </c>
      <c r="J2280" s="55" t="str">
        <f>IFERROR(IF($G2280="","",VLOOKUP('Dashboard And Emails Automate'!$G2280,Database!$H:$N,4,0)),"")</f>
        <v/>
      </c>
      <c r="K2280" s="55" t="str">
        <f>IFERROR(IF($G2280="","",VLOOKUP('Dashboard And Emails Automate'!$G2280,Database!$H:$N,5,0)),"")</f>
        <v/>
      </c>
      <c r="L2280" s="55" t="str">
        <f>IFERROR(IF($G2280="","",VLOOKUP('Dashboard And Emails Automate'!$G2280,Database!$H:$N,6,0)),"")</f>
        <v/>
      </c>
      <c r="M2280" s="55" t="str">
        <f>IFERROR(IF($G2280="","",VLOOKUP('Dashboard And Emails Automate'!$G2280,Database!$H:$N,7,0)),"")</f>
        <v/>
      </c>
      <c r="N2280" s="55" t="str">
        <f>IFERROR(IF(OR($B2280="",$B2280="(blank)"),"",VLOOKUP($B2280,'Email Marketing Raw Data'!$C:$O,6,0)),"")</f>
        <v/>
      </c>
      <c r="O2280" s="55" t="str">
        <f>IFERROR(IF(OR($B2280="",$B2280="(blank)"),"",VLOOKUP($B2280,'Email Marketing Raw Data'!$C:$O,7,0)),"")</f>
        <v/>
      </c>
      <c r="P2280" s="55" t="str">
        <f>IFERROR(IF(OR($B2280="",$B2280="(blank)"),"",VLOOKUP($B2280,'Email Marketing Raw Data'!$C:$O,8,0)),"")</f>
        <v/>
      </c>
      <c r="Q2280" s="62" t="str">
        <f>IFERROR(IF(OR($B2280="",$B2280="(blank)"),"",VLOOKUP($B2280,'Email Marketing Raw Data'!$C:$O,9,0)),"")</f>
        <v/>
      </c>
    </row>
    <row r="2281" spans="4:17" ht="12.75" customHeight="1" x14ac:dyDescent="0.2">
      <c r="D2281" s="58" t="str">
        <f>IFERROR(IF(F2281&lt;&gt;"pending","",IF(OR($B2281="",$B2281="(blank)"),"",VLOOKUP($B2281,'Email Marketing Raw Data'!$C:$O,10,0))),"")</f>
        <v/>
      </c>
      <c r="E2281" s="59" t="str">
        <f>IFERROR(IF(F2281&lt;&gt;"pending","",IF(OR($B2281="",$B2281="(blank)"),"",VLOOKUP($B2281,'Email Marketing Raw Data'!$C:$O,11,0))),"")</f>
        <v/>
      </c>
      <c r="F2281" s="54" t="str">
        <f>IFERROR(IF(OR($B2281="",$B2281="(blank)"),"",VLOOKUP($B2281,'Email Marketing Raw Data'!$C:$O,13,0)),"")</f>
        <v/>
      </c>
      <c r="G2281" s="55" t="str">
        <f>IFERROR(IF(OR($B2281="",$B2281="(blank)"),"",VLOOKUP($B2281,'Email Marketing Raw Data'!$C:$O,4,0)),"")</f>
        <v/>
      </c>
      <c r="H2281" s="55" t="str">
        <f>IFERROR(IF(OR($B2281="",$B2281="(blank)"),"",VLOOKUP($B2281,'Email Marketing Raw Data'!$C:$O,5,0)),"")</f>
        <v/>
      </c>
      <c r="I2281" s="55" t="str">
        <f>IFERROR(IF($G2281="","",VLOOKUP('Dashboard And Emails Automate'!$G2281,Database!$H:$N,3,0)),"")</f>
        <v/>
      </c>
      <c r="J2281" s="55" t="str">
        <f>IFERROR(IF($G2281="","",VLOOKUP('Dashboard And Emails Automate'!$G2281,Database!$H:$N,4,0)),"")</f>
        <v/>
      </c>
      <c r="K2281" s="55" t="str">
        <f>IFERROR(IF($G2281="","",VLOOKUP('Dashboard And Emails Automate'!$G2281,Database!$H:$N,5,0)),"")</f>
        <v/>
      </c>
      <c r="L2281" s="55" t="str">
        <f>IFERROR(IF($G2281="","",VLOOKUP('Dashboard And Emails Automate'!$G2281,Database!$H:$N,6,0)),"")</f>
        <v/>
      </c>
      <c r="M2281" s="55" t="str">
        <f>IFERROR(IF($G2281="","",VLOOKUP('Dashboard And Emails Automate'!$G2281,Database!$H:$N,7,0)),"")</f>
        <v/>
      </c>
      <c r="N2281" s="55" t="str">
        <f>IFERROR(IF(OR($B2281="",$B2281="(blank)"),"",VLOOKUP($B2281,'Email Marketing Raw Data'!$C:$O,6,0)),"")</f>
        <v/>
      </c>
      <c r="O2281" s="55" t="str">
        <f>IFERROR(IF(OR($B2281="",$B2281="(blank)"),"",VLOOKUP($B2281,'Email Marketing Raw Data'!$C:$O,7,0)),"")</f>
        <v/>
      </c>
      <c r="P2281" s="55" t="str">
        <f>IFERROR(IF(OR($B2281="",$B2281="(blank)"),"",VLOOKUP($B2281,'Email Marketing Raw Data'!$C:$O,8,0)),"")</f>
        <v/>
      </c>
      <c r="Q2281" s="62" t="str">
        <f>IFERROR(IF(OR($B2281="",$B2281="(blank)"),"",VLOOKUP($B2281,'Email Marketing Raw Data'!$C:$O,9,0)),"")</f>
        <v/>
      </c>
    </row>
    <row r="2282" spans="4:17" ht="12.75" customHeight="1" x14ac:dyDescent="0.2">
      <c r="D2282" s="58" t="str">
        <f>IFERROR(IF(F2282&lt;&gt;"pending","",IF(OR($B2282="",$B2282="(blank)"),"",VLOOKUP($B2282,'Email Marketing Raw Data'!$C:$O,10,0))),"")</f>
        <v/>
      </c>
      <c r="E2282" s="59" t="str">
        <f>IFERROR(IF(F2282&lt;&gt;"pending","",IF(OR($B2282="",$B2282="(blank)"),"",VLOOKUP($B2282,'Email Marketing Raw Data'!$C:$O,11,0))),"")</f>
        <v/>
      </c>
      <c r="F2282" s="54" t="str">
        <f>IFERROR(IF(OR($B2282="",$B2282="(blank)"),"",VLOOKUP($B2282,'Email Marketing Raw Data'!$C:$O,13,0)),"")</f>
        <v/>
      </c>
      <c r="G2282" s="55" t="str">
        <f>IFERROR(IF(OR($B2282="",$B2282="(blank)"),"",VLOOKUP($B2282,'Email Marketing Raw Data'!$C:$O,4,0)),"")</f>
        <v/>
      </c>
      <c r="H2282" s="55" t="str">
        <f>IFERROR(IF(OR($B2282="",$B2282="(blank)"),"",VLOOKUP($B2282,'Email Marketing Raw Data'!$C:$O,5,0)),"")</f>
        <v/>
      </c>
      <c r="I2282" s="55" t="str">
        <f>IFERROR(IF($G2282="","",VLOOKUP('Dashboard And Emails Automate'!$G2282,Database!$H:$N,3,0)),"")</f>
        <v/>
      </c>
      <c r="J2282" s="55" t="str">
        <f>IFERROR(IF($G2282="","",VLOOKUP('Dashboard And Emails Automate'!$G2282,Database!$H:$N,4,0)),"")</f>
        <v/>
      </c>
      <c r="K2282" s="55" t="str">
        <f>IFERROR(IF($G2282="","",VLOOKUP('Dashboard And Emails Automate'!$G2282,Database!$H:$N,5,0)),"")</f>
        <v/>
      </c>
      <c r="L2282" s="55" t="str">
        <f>IFERROR(IF($G2282="","",VLOOKUP('Dashboard And Emails Automate'!$G2282,Database!$H:$N,6,0)),"")</f>
        <v/>
      </c>
      <c r="M2282" s="55" t="str">
        <f>IFERROR(IF($G2282="","",VLOOKUP('Dashboard And Emails Automate'!$G2282,Database!$H:$N,7,0)),"")</f>
        <v/>
      </c>
      <c r="N2282" s="55" t="str">
        <f>IFERROR(IF(OR($B2282="",$B2282="(blank)"),"",VLOOKUP($B2282,'Email Marketing Raw Data'!$C:$O,6,0)),"")</f>
        <v/>
      </c>
      <c r="O2282" s="55" t="str">
        <f>IFERROR(IF(OR($B2282="",$B2282="(blank)"),"",VLOOKUP($B2282,'Email Marketing Raw Data'!$C:$O,7,0)),"")</f>
        <v/>
      </c>
      <c r="P2282" s="55" t="str">
        <f>IFERROR(IF(OR($B2282="",$B2282="(blank)"),"",VLOOKUP($B2282,'Email Marketing Raw Data'!$C:$O,8,0)),"")</f>
        <v/>
      </c>
      <c r="Q2282" s="62" t="str">
        <f>IFERROR(IF(OR($B2282="",$B2282="(blank)"),"",VLOOKUP($B2282,'Email Marketing Raw Data'!$C:$O,9,0)),"")</f>
        <v/>
      </c>
    </row>
    <row r="2283" spans="4:17" ht="12.75" customHeight="1" x14ac:dyDescent="0.2">
      <c r="D2283" s="58" t="str">
        <f>IFERROR(IF(F2283&lt;&gt;"pending","",IF(OR($B2283="",$B2283="(blank)"),"",VLOOKUP($B2283,'Email Marketing Raw Data'!$C:$O,10,0))),"")</f>
        <v/>
      </c>
      <c r="E2283" s="59" t="str">
        <f>IFERROR(IF(F2283&lt;&gt;"pending","",IF(OR($B2283="",$B2283="(blank)"),"",VLOOKUP($B2283,'Email Marketing Raw Data'!$C:$O,11,0))),"")</f>
        <v/>
      </c>
      <c r="F2283" s="54" t="str">
        <f>IFERROR(IF(OR($B2283="",$B2283="(blank)"),"",VLOOKUP($B2283,'Email Marketing Raw Data'!$C:$O,13,0)),"")</f>
        <v/>
      </c>
      <c r="G2283" s="55" t="str">
        <f>IFERROR(IF(OR($B2283="",$B2283="(blank)"),"",VLOOKUP($B2283,'Email Marketing Raw Data'!$C:$O,4,0)),"")</f>
        <v/>
      </c>
      <c r="H2283" s="55" t="str">
        <f>IFERROR(IF(OR($B2283="",$B2283="(blank)"),"",VLOOKUP($B2283,'Email Marketing Raw Data'!$C:$O,5,0)),"")</f>
        <v/>
      </c>
      <c r="I2283" s="55" t="str">
        <f>IFERROR(IF($G2283="","",VLOOKUP('Dashboard And Emails Automate'!$G2283,Database!$H:$N,3,0)),"")</f>
        <v/>
      </c>
      <c r="J2283" s="55" t="str">
        <f>IFERROR(IF($G2283="","",VLOOKUP('Dashboard And Emails Automate'!$G2283,Database!$H:$N,4,0)),"")</f>
        <v/>
      </c>
      <c r="K2283" s="55" t="str">
        <f>IFERROR(IF($G2283="","",VLOOKUP('Dashboard And Emails Automate'!$G2283,Database!$H:$N,5,0)),"")</f>
        <v/>
      </c>
      <c r="L2283" s="55" t="str">
        <f>IFERROR(IF($G2283="","",VLOOKUP('Dashboard And Emails Automate'!$G2283,Database!$H:$N,6,0)),"")</f>
        <v/>
      </c>
      <c r="M2283" s="55" t="str">
        <f>IFERROR(IF($G2283="","",VLOOKUP('Dashboard And Emails Automate'!$G2283,Database!$H:$N,7,0)),"")</f>
        <v/>
      </c>
      <c r="N2283" s="55" t="str">
        <f>IFERROR(IF(OR($B2283="",$B2283="(blank)"),"",VLOOKUP($B2283,'Email Marketing Raw Data'!$C:$O,6,0)),"")</f>
        <v/>
      </c>
      <c r="O2283" s="55" t="str">
        <f>IFERROR(IF(OR($B2283="",$B2283="(blank)"),"",VLOOKUP($B2283,'Email Marketing Raw Data'!$C:$O,7,0)),"")</f>
        <v/>
      </c>
      <c r="P2283" s="55" t="str">
        <f>IFERROR(IF(OR($B2283="",$B2283="(blank)"),"",VLOOKUP($B2283,'Email Marketing Raw Data'!$C:$O,8,0)),"")</f>
        <v/>
      </c>
      <c r="Q2283" s="62" t="str">
        <f>IFERROR(IF(OR($B2283="",$B2283="(blank)"),"",VLOOKUP($B2283,'Email Marketing Raw Data'!$C:$O,9,0)),"")</f>
        <v/>
      </c>
    </row>
    <row r="2284" spans="4:17" ht="12.75" customHeight="1" x14ac:dyDescent="0.2">
      <c r="D2284" s="58" t="str">
        <f>IFERROR(IF(F2284&lt;&gt;"pending","",IF(OR($B2284="",$B2284="(blank)"),"",VLOOKUP($B2284,'Email Marketing Raw Data'!$C:$O,10,0))),"")</f>
        <v/>
      </c>
      <c r="E2284" s="59" t="str">
        <f>IFERROR(IF(F2284&lt;&gt;"pending","",IF(OR($B2284="",$B2284="(blank)"),"",VLOOKUP($B2284,'Email Marketing Raw Data'!$C:$O,11,0))),"")</f>
        <v/>
      </c>
      <c r="F2284" s="54" t="str">
        <f>IFERROR(IF(OR($B2284="",$B2284="(blank)"),"",VLOOKUP($B2284,'Email Marketing Raw Data'!$C:$O,13,0)),"")</f>
        <v/>
      </c>
      <c r="G2284" s="55" t="str">
        <f>IFERROR(IF(OR($B2284="",$B2284="(blank)"),"",VLOOKUP($B2284,'Email Marketing Raw Data'!$C:$O,4,0)),"")</f>
        <v/>
      </c>
      <c r="H2284" s="55" t="str">
        <f>IFERROR(IF(OR($B2284="",$B2284="(blank)"),"",VLOOKUP($B2284,'Email Marketing Raw Data'!$C:$O,5,0)),"")</f>
        <v/>
      </c>
      <c r="I2284" s="55" t="str">
        <f>IFERROR(IF($G2284="","",VLOOKUP('Dashboard And Emails Automate'!$G2284,Database!$H:$N,3,0)),"")</f>
        <v/>
      </c>
      <c r="J2284" s="55" t="str">
        <f>IFERROR(IF($G2284="","",VLOOKUP('Dashboard And Emails Automate'!$G2284,Database!$H:$N,4,0)),"")</f>
        <v/>
      </c>
      <c r="K2284" s="55" t="str">
        <f>IFERROR(IF($G2284="","",VLOOKUP('Dashboard And Emails Automate'!$G2284,Database!$H:$N,5,0)),"")</f>
        <v/>
      </c>
      <c r="L2284" s="55" t="str">
        <f>IFERROR(IF($G2284="","",VLOOKUP('Dashboard And Emails Automate'!$G2284,Database!$H:$N,6,0)),"")</f>
        <v/>
      </c>
      <c r="M2284" s="55" t="str">
        <f>IFERROR(IF($G2284="","",VLOOKUP('Dashboard And Emails Automate'!$G2284,Database!$H:$N,7,0)),"")</f>
        <v/>
      </c>
      <c r="N2284" s="55" t="str">
        <f>IFERROR(IF(OR($B2284="",$B2284="(blank)"),"",VLOOKUP($B2284,'Email Marketing Raw Data'!$C:$O,6,0)),"")</f>
        <v/>
      </c>
      <c r="O2284" s="55" t="str">
        <f>IFERROR(IF(OR($B2284="",$B2284="(blank)"),"",VLOOKUP($B2284,'Email Marketing Raw Data'!$C:$O,7,0)),"")</f>
        <v/>
      </c>
      <c r="P2284" s="55" t="str">
        <f>IFERROR(IF(OR($B2284="",$B2284="(blank)"),"",VLOOKUP($B2284,'Email Marketing Raw Data'!$C:$O,8,0)),"")</f>
        <v/>
      </c>
      <c r="Q2284" s="62" t="str">
        <f>IFERROR(IF(OR($B2284="",$B2284="(blank)"),"",VLOOKUP($B2284,'Email Marketing Raw Data'!$C:$O,9,0)),"")</f>
        <v/>
      </c>
    </row>
    <row r="2285" spans="4:17" ht="12.75" customHeight="1" x14ac:dyDescent="0.2">
      <c r="D2285" s="58" t="str">
        <f>IFERROR(IF(F2285&lt;&gt;"pending","",IF(OR($B2285="",$B2285="(blank)"),"",VLOOKUP($B2285,'Email Marketing Raw Data'!$C:$O,10,0))),"")</f>
        <v/>
      </c>
      <c r="E2285" s="59" t="str">
        <f>IFERROR(IF(F2285&lt;&gt;"pending","",IF(OR($B2285="",$B2285="(blank)"),"",VLOOKUP($B2285,'Email Marketing Raw Data'!$C:$O,11,0))),"")</f>
        <v/>
      </c>
      <c r="F2285" s="54" t="str">
        <f>IFERROR(IF(OR($B2285="",$B2285="(blank)"),"",VLOOKUP($B2285,'Email Marketing Raw Data'!$C:$O,13,0)),"")</f>
        <v/>
      </c>
      <c r="G2285" s="55" t="str">
        <f>IFERROR(IF(OR($B2285="",$B2285="(blank)"),"",VLOOKUP($B2285,'Email Marketing Raw Data'!$C:$O,4,0)),"")</f>
        <v/>
      </c>
      <c r="H2285" s="55" t="str">
        <f>IFERROR(IF(OR($B2285="",$B2285="(blank)"),"",VLOOKUP($B2285,'Email Marketing Raw Data'!$C:$O,5,0)),"")</f>
        <v/>
      </c>
      <c r="I2285" s="55" t="str">
        <f>IFERROR(IF($G2285="","",VLOOKUP('Dashboard And Emails Automate'!$G2285,Database!$H:$N,3,0)),"")</f>
        <v/>
      </c>
      <c r="J2285" s="55" t="str">
        <f>IFERROR(IF($G2285="","",VLOOKUP('Dashboard And Emails Automate'!$G2285,Database!$H:$N,4,0)),"")</f>
        <v/>
      </c>
      <c r="K2285" s="55" t="str">
        <f>IFERROR(IF($G2285="","",VLOOKUP('Dashboard And Emails Automate'!$G2285,Database!$H:$N,5,0)),"")</f>
        <v/>
      </c>
      <c r="L2285" s="55" t="str">
        <f>IFERROR(IF($G2285="","",VLOOKUP('Dashboard And Emails Automate'!$G2285,Database!$H:$N,6,0)),"")</f>
        <v/>
      </c>
      <c r="M2285" s="55" t="str">
        <f>IFERROR(IF($G2285="","",VLOOKUP('Dashboard And Emails Automate'!$G2285,Database!$H:$N,7,0)),"")</f>
        <v/>
      </c>
      <c r="N2285" s="55" t="str">
        <f>IFERROR(IF(OR($B2285="",$B2285="(blank)"),"",VLOOKUP($B2285,'Email Marketing Raw Data'!$C:$O,6,0)),"")</f>
        <v/>
      </c>
      <c r="O2285" s="55" t="str">
        <f>IFERROR(IF(OR($B2285="",$B2285="(blank)"),"",VLOOKUP($B2285,'Email Marketing Raw Data'!$C:$O,7,0)),"")</f>
        <v/>
      </c>
      <c r="P2285" s="55" t="str">
        <f>IFERROR(IF(OR($B2285="",$B2285="(blank)"),"",VLOOKUP($B2285,'Email Marketing Raw Data'!$C:$O,8,0)),"")</f>
        <v/>
      </c>
      <c r="Q2285" s="62" t="str">
        <f>IFERROR(IF(OR($B2285="",$B2285="(blank)"),"",VLOOKUP($B2285,'Email Marketing Raw Data'!$C:$O,9,0)),"")</f>
        <v/>
      </c>
    </row>
    <row r="2286" spans="4:17" ht="12.75" customHeight="1" x14ac:dyDescent="0.2">
      <c r="D2286" s="58" t="str">
        <f>IFERROR(IF(F2286&lt;&gt;"pending","",IF(OR($B2286="",$B2286="(blank)"),"",VLOOKUP($B2286,'Email Marketing Raw Data'!$C:$O,10,0))),"")</f>
        <v/>
      </c>
      <c r="E2286" s="59" t="str">
        <f>IFERROR(IF(F2286&lt;&gt;"pending","",IF(OR($B2286="",$B2286="(blank)"),"",VLOOKUP($B2286,'Email Marketing Raw Data'!$C:$O,11,0))),"")</f>
        <v/>
      </c>
      <c r="F2286" s="54" t="str">
        <f>IFERROR(IF(OR($B2286="",$B2286="(blank)"),"",VLOOKUP($B2286,'Email Marketing Raw Data'!$C:$O,13,0)),"")</f>
        <v/>
      </c>
      <c r="G2286" s="55" t="str">
        <f>IFERROR(IF(OR($B2286="",$B2286="(blank)"),"",VLOOKUP($B2286,'Email Marketing Raw Data'!$C:$O,4,0)),"")</f>
        <v/>
      </c>
      <c r="H2286" s="55" t="str">
        <f>IFERROR(IF(OR($B2286="",$B2286="(blank)"),"",VLOOKUP($B2286,'Email Marketing Raw Data'!$C:$O,5,0)),"")</f>
        <v/>
      </c>
      <c r="I2286" s="55" t="str">
        <f>IFERROR(IF($G2286="","",VLOOKUP('Dashboard And Emails Automate'!$G2286,Database!$H:$N,3,0)),"")</f>
        <v/>
      </c>
      <c r="J2286" s="55" t="str">
        <f>IFERROR(IF($G2286="","",VLOOKUP('Dashboard And Emails Automate'!$G2286,Database!$H:$N,4,0)),"")</f>
        <v/>
      </c>
      <c r="K2286" s="55" t="str">
        <f>IFERROR(IF($G2286="","",VLOOKUP('Dashboard And Emails Automate'!$G2286,Database!$H:$N,5,0)),"")</f>
        <v/>
      </c>
      <c r="L2286" s="55" t="str">
        <f>IFERROR(IF($G2286="","",VLOOKUP('Dashboard And Emails Automate'!$G2286,Database!$H:$N,6,0)),"")</f>
        <v/>
      </c>
      <c r="M2286" s="55" t="str">
        <f>IFERROR(IF($G2286="","",VLOOKUP('Dashboard And Emails Automate'!$G2286,Database!$H:$N,7,0)),"")</f>
        <v/>
      </c>
      <c r="N2286" s="55" t="str">
        <f>IFERROR(IF(OR($B2286="",$B2286="(blank)"),"",VLOOKUP($B2286,'Email Marketing Raw Data'!$C:$O,6,0)),"")</f>
        <v/>
      </c>
      <c r="O2286" s="55" t="str">
        <f>IFERROR(IF(OR($B2286="",$B2286="(blank)"),"",VLOOKUP($B2286,'Email Marketing Raw Data'!$C:$O,7,0)),"")</f>
        <v/>
      </c>
      <c r="P2286" s="55" t="str">
        <f>IFERROR(IF(OR($B2286="",$B2286="(blank)"),"",VLOOKUP($B2286,'Email Marketing Raw Data'!$C:$O,8,0)),"")</f>
        <v/>
      </c>
      <c r="Q2286" s="62" t="str">
        <f>IFERROR(IF(OR($B2286="",$B2286="(blank)"),"",VLOOKUP($B2286,'Email Marketing Raw Data'!$C:$O,9,0)),"")</f>
        <v/>
      </c>
    </row>
    <row r="2287" spans="4:17" ht="12.75" customHeight="1" x14ac:dyDescent="0.2">
      <c r="D2287" s="58" t="str">
        <f>IFERROR(IF(F2287&lt;&gt;"pending","",IF(OR($B2287="",$B2287="(blank)"),"",VLOOKUP($B2287,'Email Marketing Raw Data'!$C:$O,10,0))),"")</f>
        <v/>
      </c>
      <c r="E2287" s="59" t="str">
        <f>IFERROR(IF(F2287&lt;&gt;"pending","",IF(OR($B2287="",$B2287="(blank)"),"",VLOOKUP($B2287,'Email Marketing Raw Data'!$C:$O,11,0))),"")</f>
        <v/>
      </c>
      <c r="F2287" s="54" t="str">
        <f>IFERROR(IF(OR($B2287="",$B2287="(blank)"),"",VLOOKUP($B2287,'Email Marketing Raw Data'!$C:$O,13,0)),"")</f>
        <v/>
      </c>
      <c r="G2287" s="55" t="str">
        <f>IFERROR(IF(OR($B2287="",$B2287="(blank)"),"",VLOOKUP($B2287,'Email Marketing Raw Data'!$C:$O,4,0)),"")</f>
        <v/>
      </c>
      <c r="H2287" s="55" t="str">
        <f>IFERROR(IF(OR($B2287="",$B2287="(blank)"),"",VLOOKUP($B2287,'Email Marketing Raw Data'!$C:$O,5,0)),"")</f>
        <v/>
      </c>
      <c r="I2287" s="55" t="str">
        <f>IFERROR(IF($G2287="","",VLOOKUP('Dashboard And Emails Automate'!$G2287,Database!$H:$N,3,0)),"")</f>
        <v/>
      </c>
      <c r="J2287" s="55" t="str">
        <f>IFERROR(IF($G2287="","",VLOOKUP('Dashboard And Emails Automate'!$G2287,Database!$H:$N,4,0)),"")</f>
        <v/>
      </c>
      <c r="K2287" s="55" t="str">
        <f>IFERROR(IF($G2287="","",VLOOKUP('Dashboard And Emails Automate'!$G2287,Database!$H:$N,5,0)),"")</f>
        <v/>
      </c>
      <c r="L2287" s="55" t="str">
        <f>IFERROR(IF($G2287="","",VLOOKUP('Dashboard And Emails Automate'!$G2287,Database!$H:$N,6,0)),"")</f>
        <v/>
      </c>
      <c r="M2287" s="55" t="str">
        <f>IFERROR(IF($G2287="","",VLOOKUP('Dashboard And Emails Automate'!$G2287,Database!$H:$N,7,0)),"")</f>
        <v/>
      </c>
      <c r="N2287" s="55" t="str">
        <f>IFERROR(IF(OR($B2287="",$B2287="(blank)"),"",VLOOKUP($B2287,'Email Marketing Raw Data'!$C:$O,6,0)),"")</f>
        <v/>
      </c>
      <c r="O2287" s="55" t="str">
        <f>IFERROR(IF(OR($B2287="",$B2287="(blank)"),"",VLOOKUP($B2287,'Email Marketing Raw Data'!$C:$O,7,0)),"")</f>
        <v/>
      </c>
      <c r="P2287" s="55" t="str">
        <f>IFERROR(IF(OR($B2287="",$B2287="(blank)"),"",VLOOKUP($B2287,'Email Marketing Raw Data'!$C:$O,8,0)),"")</f>
        <v/>
      </c>
      <c r="Q2287" s="62" t="str">
        <f>IFERROR(IF(OR($B2287="",$B2287="(blank)"),"",VLOOKUP($B2287,'Email Marketing Raw Data'!$C:$O,9,0)),"")</f>
        <v/>
      </c>
    </row>
    <row r="2288" spans="4:17" ht="12.75" customHeight="1" x14ac:dyDescent="0.2">
      <c r="D2288" s="58" t="str">
        <f>IFERROR(IF(F2288&lt;&gt;"pending","",IF(OR($B2288="",$B2288="(blank)"),"",VLOOKUP($B2288,'Email Marketing Raw Data'!$C:$O,10,0))),"")</f>
        <v/>
      </c>
      <c r="E2288" s="59" t="str">
        <f>IFERROR(IF(F2288&lt;&gt;"pending","",IF(OR($B2288="",$B2288="(blank)"),"",VLOOKUP($B2288,'Email Marketing Raw Data'!$C:$O,11,0))),"")</f>
        <v/>
      </c>
      <c r="F2288" s="54" t="str">
        <f>IFERROR(IF(OR($B2288="",$B2288="(blank)"),"",VLOOKUP($B2288,'Email Marketing Raw Data'!$C:$O,13,0)),"")</f>
        <v/>
      </c>
      <c r="G2288" s="55" t="str">
        <f>IFERROR(IF(OR($B2288="",$B2288="(blank)"),"",VLOOKUP($B2288,'Email Marketing Raw Data'!$C:$O,4,0)),"")</f>
        <v/>
      </c>
      <c r="H2288" s="55" t="str">
        <f>IFERROR(IF(OR($B2288="",$B2288="(blank)"),"",VLOOKUP($B2288,'Email Marketing Raw Data'!$C:$O,5,0)),"")</f>
        <v/>
      </c>
      <c r="I2288" s="55" t="str">
        <f>IFERROR(IF($G2288="","",VLOOKUP('Dashboard And Emails Automate'!$G2288,Database!$H:$N,3,0)),"")</f>
        <v/>
      </c>
      <c r="J2288" s="55" t="str">
        <f>IFERROR(IF($G2288="","",VLOOKUP('Dashboard And Emails Automate'!$G2288,Database!$H:$N,4,0)),"")</f>
        <v/>
      </c>
      <c r="K2288" s="55" t="str">
        <f>IFERROR(IF($G2288="","",VLOOKUP('Dashboard And Emails Automate'!$G2288,Database!$H:$N,5,0)),"")</f>
        <v/>
      </c>
      <c r="L2288" s="55" t="str">
        <f>IFERROR(IF($G2288="","",VLOOKUP('Dashboard And Emails Automate'!$G2288,Database!$H:$N,6,0)),"")</f>
        <v/>
      </c>
      <c r="M2288" s="55" t="str">
        <f>IFERROR(IF($G2288="","",VLOOKUP('Dashboard And Emails Automate'!$G2288,Database!$H:$N,7,0)),"")</f>
        <v/>
      </c>
      <c r="N2288" s="55" t="str">
        <f>IFERROR(IF(OR($B2288="",$B2288="(blank)"),"",VLOOKUP($B2288,'Email Marketing Raw Data'!$C:$O,6,0)),"")</f>
        <v/>
      </c>
      <c r="O2288" s="55" t="str">
        <f>IFERROR(IF(OR($B2288="",$B2288="(blank)"),"",VLOOKUP($B2288,'Email Marketing Raw Data'!$C:$O,7,0)),"")</f>
        <v/>
      </c>
      <c r="P2288" s="55" t="str">
        <f>IFERROR(IF(OR($B2288="",$B2288="(blank)"),"",VLOOKUP($B2288,'Email Marketing Raw Data'!$C:$O,8,0)),"")</f>
        <v/>
      </c>
      <c r="Q2288" s="62" t="str">
        <f>IFERROR(IF(OR($B2288="",$B2288="(blank)"),"",VLOOKUP($B2288,'Email Marketing Raw Data'!$C:$O,9,0)),"")</f>
        <v/>
      </c>
    </row>
    <row r="2289" spans="4:17" ht="12.75" customHeight="1" x14ac:dyDescent="0.2">
      <c r="D2289" s="58" t="str">
        <f>IFERROR(IF(F2289&lt;&gt;"pending","",IF(OR($B2289="",$B2289="(blank)"),"",VLOOKUP($B2289,'Email Marketing Raw Data'!$C:$O,10,0))),"")</f>
        <v/>
      </c>
      <c r="E2289" s="59" t="str">
        <f>IFERROR(IF(F2289&lt;&gt;"pending","",IF(OR($B2289="",$B2289="(blank)"),"",VLOOKUP($B2289,'Email Marketing Raw Data'!$C:$O,11,0))),"")</f>
        <v/>
      </c>
      <c r="F2289" s="54" t="str">
        <f>IFERROR(IF(OR($B2289="",$B2289="(blank)"),"",VLOOKUP($B2289,'Email Marketing Raw Data'!$C:$O,13,0)),"")</f>
        <v/>
      </c>
      <c r="G2289" s="55" t="str">
        <f>IFERROR(IF(OR($B2289="",$B2289="(blank)"),"",VLOOKUP($B2289,'Email Marketing Raw Data'!$C:$O,4,0)),"")</f>
        <v/>
      </c>
      <c r="H2289" s="55" t="str">
        <f>IFERROR(IF(OR($B2289="",$B2289="(blank)"),"",VLOOKUP($B2289,'Email Marketing Raw Data'!$C:$O,5,0)),"")</f>
        <v/>
      </c>
      <c r="I2289" s="55" t="str">
        <f>IFERROR(IF($G2289="","",VLOOKUP('Dashboard And Emails Automate'!$G2289,Database!$H:$N,3,0)),"")</f>
        <v/>
      </c>
      <c r="J2289" s="55" t="str">
        <f>IFERROR(IF($G2289="","",VLOOKUP('Dashboard And Emails Automate'!$G2289,Database!$H:$N,4,0)),"")</f>
        <v/>
      </c>
      <c r="K2289" s="55" t="str">
        <f>IFERROR(IF($G2289="","",VLOOKUP('Dashboard And Emails Automate'!$G2289,Database!$H:$N,5,0)),"")</f>
        <v/>
      </c>
      <c r="L2289" s="55" t="str">
        <f>IFERROR(IF($G2289="","",VLOOKUP('Dashboard And Emails Automate'!$G2289,Database!$H:$N,6,0)),"")</f>
        <v/>
      </c>
      <c r="M2289" s="55" t="str">
        <f>IFERROR(IF($G2289="","",VLOOKUP('Dashboard And Emails Automate'!$G2289,Database!$H:$N,7,0)),"")</f>
        <v/>
      </c>
      <c r="N2289" s="55" t="str">
        <f>IFERROR(IF(OR($B2289="",$B2289="(blank)"),"",VLOOKUP($B2289,'Email Marketing Raw Data'!$C:$O,6,0)),"")</f>
        <v/>
      </c>
      <c r="O2289" s="55" t="str">
        <f>IFERROR(IF(OR($B2289="",$B2289="(blank)"),"",VLOOKUP($B2289,'Email Marketing Raw Data'!$C:$O,7,0)),"")</f>
        <v/>
      </c>
      <c r="P2289" s="55" t="str">
        <f>IFERROR(IF(OR($B2289="",$B2289="(blank)"),"",VLOOKUP($B2289,'Email Marketing Raw Data'!$C:$O,8,0)),"")</f>
        <v/>
      </c>
      <c r="Q2289" s="62" t="str">
        <f>IFERROR(IF(OR($B2289="",$B2289="(blank)"),"",VLOOKUP($B2289,'Email Marketing Raw Data'!$C:$O,9,0)),"")</f>
        <v/>
      </c>
    </row>
    <row r="2290" spans="4:17" ht="12.75" customHeight="1" x14ac:dyDescent="0.2">
      <c r="D2290" s="58" t="str">
        <f>IFERROR(IF(F2290&lt;&gt;"pending","",IF(OR($B2290="",$B2290="(blank)"),"",VLOOKUP($B2290,'Email Marketing Raw Data'!$C:$O,10,0))),"")</f>
        <v/>
      </c>
      <c r="E2290" s="59" t="str">
        <f>IFERROR(IF(F2290&lt;&gt;"pending","",IF(OR($B2290="",$B2290="(blank)"),"",VLOOKUP($B2290,'Email Marketing Raw Data'!$C:$O,11,0))),"")</f>
        <v/>
      </c>
      <c r="F2290" s="54" t="str">
        <f>IFERROR(IF(OR($B2290="",$B2290="(blank)"),"",VLOOKUP($B2290,'Email Marketing Raw Data'!$C:$O,13,0)),"")</f>
        <v/>
      </c>
      <c r="G2290" s="55" t="str">
        <f>IFERROR(IF(OR($B2290="",$B2290="(blank)"),"",VLOOKUP($B2290,'Email Marketing Raw Data'!$C:$O,4,0)),"")</f>
        <v/>
      </c>
      <c r="H2290" s="55" t="str">
        <f>IFERROR(IF(OR($B2290="",$B2290="(blank)"),"",VLOOKUP($B2290,'Email Marketing Raw Data'!$C:$O,5,0)),"")</f>
        <v/>
      </c>
      <c r="I2290" s="55" t="str">
        <f>IFERROR(IF($G2290="","",VLOOKUP('Dashboard And Emails Automate'!$G2290,Database!$H:$N,3,0)),"")</f>
        <v/>
      </c>
      <c r="J2290" s="55" t="str">
        <f>IFERROR(IF($G2290="","",VLOOKUP('Dashboard And Emails Automate'!$G2290,Database!$H:$N,4,0)),"")</f>
        <v/>
      </c>
      <c r="K2290" s="55" t="str">
        <f>IFERROR(IF($G2290="","",VLOOKUP('Dashboard And Emails Automate'!$G2290,Database!$H:$N,5,0)),"")</f>
        <v/>
      </c>
      <c r="L2290" s="55" t="str">
        <f>IFERROR(IF($G2290="","",VLOOKUP('Dashboard And Emails Automate'!$G2290,Database!$H:$N,6,0)),"")</f>
        <v/>
      </c>
      <c r="M2290" s="55" t="str">
        <f>IFERROR(IF($G2290="","",VLOOKUP('Dashboard And Emails Automate'!$G2290,Database!$H:$N,7,0)),"")</f>
        <v/>
      </c>
      <c r="N2290" s="55" t="str">
        <f>IFERROR(IF(OR($B2290="",$B2290="(blank)"),"",VLOOKUP($B2290,'Email Marketing Raw Data'!$C:$O,6,0)),"")</f>
        <v/>
      </c>
      <c r="O2290" s="55" t="str">
        <f>IFERROR(IF(OR($B2290="",$B2290="(blank)"),"",VLOOKUP($B2290,'Email Marketing Raw Data'!$C:$O,7,0)),"")</f>
        <v/>
      </c>
      <c r="P2290" s="55" t="str">
        <f>IFERROR(IF(OR($B2290="",$B2290="(blank)"),"",VLOOKUP($B2290,'Email Marketing Raw Data'!$C:$O,8,0)),"")</f>
        <v/>
      </c>
      <c r="Q2290" s="62" t="str">
        <f>IFERROR(IF(OR($B2290="",$B2290="(blank)"),"",VLOOKUP($B2290,'Email Marketing Raw Data'!$C:$O,9,0)),"")</f>
        <v/>
      </c>
    </row>
    <row r="2291" spans="4:17" ht="12.75" customHeight="1" x14ac:dyDescent="0.2">
      <c r="D2291" s="58" t="str">
        <f>IFERROR(IF(F2291&lt;&gt;"pending","",IF(OR($B2291="",$B2291="(blank)"),"",VLOOKUP($B2291,'Email Marketing Raw Data'!$C:$O,10,0))),"")</f>
        <v/>
      </c>
      <c r="E2291" s="59" t="str">
        <f>IFERROR(IF(F2291&lt;&gt;"pending","",IF(OR($B2291="",$B2291="(blank)"),"",VLOOKUP($B2291,'Email Marketing Raw Data'!$C:$O,11,0))),"")</f>
        <v/>
      </c>
      <c r="F2291" s="54" t="str">
        <f>IFERROR(IF(OR($B2291="",$B2291="(blank)"),"",VLOOKUP($B2291,'Email Marketing Raw Data'!$C:$O,13,0)),"")</f>
        <v/>
      </c>
      <c r="G2291" s="55" t="str">
        <f>IFERROR(IF(OR($B2291="",$B2291="(blank)"),"",VLOOKUP($B2291,'Email Marketing Raw Data'!$C:$O,4,0)),"")</f>
        <v/>
      </c>
      <c r="H2291" s="55" t="str">
        <f>IFERROR(IF(OR($B2291="",$B2291="(blank)"),"",VLOOKUP($B2291,'Email Marketing Raw Data'!$C:$O,5,0)),"")</f>
        <v/>
      </c>
      <c r="I2291" s="55" t="str">
        <f>IFERROR(IF($G2291="","",VLOOKUP('Dashboard And Emails Automate'!$G2291,Database!$H:$N,3,0)),"")</f>
        <v/>
      </c>
      <c r="J2291" s="55" t="str">
        <f>IFERROR(IF($G2291="","",VLOOKUP('Dashboard And Emails Automate'!$G2291,Database!$H:$N,4,0)),"")</f>
        <v/>
      </c>
      <c r="K2291" s="55" t="str">
        <f>IFERROR(IF($G2291="","",VLOOKUP('Dashboard And Emails Automate'!$G2291,Database!$H:$N,5,0)),"")</f>
        <v/>
      </c>
      <c r="L2291" s="55" t="str">
        <f>IFERROR(IF($G2291="","",VLOOKUP('Dashboard And Emails Automate'!$G2291,Database!$H:$N,6,0)),"")</f>
        <v/>
      </c>
      <c r="M2291" s="55" t="str">
        <f>IFERROR(IF($G2291="","",VLOOKUP('Dashboard And Emails Automate'!$G2291,Database!$H:$N,7,0)),"")</f>
        <v/>
      </c>
      <c r="N2291" s="55" t="str">
        <f>IFERROR(IF(OR($B2291="",$B2291="(blank)"),"",VLOOKUP($B2291,'Email Marketing Raw Data'!$C:$O,6,0)),"")</f>
        <v/>
      </c>
      <c r="O2291" s="55" t="str">
        <f>IFERROR(IF(OR($B2291="",$B2291="(blank)"),"",VLOOKUP($B2291,'Email Marketing Raw Data'!$C:$O,7,0)),"")</f>
        <v/>
      </c>
      <c r="P2291" s="55" t="str">
        <f>IFERROR(IF(OR($B2291="",$B2291="(blank)"),"",VLOOKUP($B2291,'Email Marketing Raw Data'!$C:$O,8,0)),"")</f>
        <v/>
      </c>
      <c r="Q2291" s="62" t="str">
        <f>IFERROR(IF(OR($B2291="",$B2291="(blank)"),"",VLOOKUP($B2291,'Email Marketing Raw Data'!$C:$O,9,0)),"")</f>
        <v/>
      </c>
    </row>
    <row r="2292" spans="4:17" ht="12.75" customHeight="1" x14ac:dyDescent="0.2">
      <c r="D2292" s="58" t="str">
        <f>IFERROR(IF(F2292&lt;&gt;"pending","",IF(OR($B2292="",$B2292="(blank)"),"",VLOOKUP($B2292,'Email Marketing Raw Data'!$C:$O,10,0))),"")</f>
        <v/>
      </c>
      <c r="E2292" s="59" t="str">
        <f>IFERROR(IF(F2292&lt;&gt;"pending","",IF(OR($B2292="",$B2292="(blank)"),"",VLOOKUP($B2292,'Email Marketing Raw Data'!$C:$O,11,0))),"")</f>
        <v/>
      </c>
      <c r="F2292" s="54" t="str">
        <f>IFERROR(IF(OR($B2292="",$B2292="(blank)"),"",VLOOKUP($B2292,'Email Marketing Raw Data'!$C:$O,13,0)),"")</f>
        <v/>
      </c>
      <c r="G2292" s="55" t="str">
        <f>IFERROR(IF(OR($B2292="",$B2292="(blank)"),"",VLOOKUP($B2292,'Email Marketing Raw Data'!$C:$O,4,0)),"")</f>
        <v/>
      </c>
      <c r="H2292" s="55" t="str">
        <f>IFERROR(IF(OR($B2292="",$B2292="(blank)"),"",VLOOKUP($B2292,'Email Marketing Raw Data'!$C:$O,5,0)),"")</f>
        <v/>
      </c>
      <c r="I2292" s="55" t="str">
        <f>IFERROR(IF($G2292="","",VLOOKUP('Dashboard And Emails Automate'!$G2292,Database!$H:$N,3,0)),"")</f>
        <v/>
      </c>
      <c r="J2292" s="55" t="str">
        <f>IFERROR(IF($G2292="","",VLOOKUP('Dashboard And Emails Automate'!$G2292,Database!$H:$N,4,0)),"")</f>
        <v/>
      </c>
      <c r="K2292" s="55" t="str">
        <f>IFERROR(IF($G2292="","",VLOOKUP('Dashboard And Emails Automate'!$G2292,Database!$H:$N,5,0)),"")</f>
        <v/>
      </c>
      <c r="L2292" s="55" t="str">
        <f>IFERROR(IF($G2292="","",VLOOKUP('Dashboard And Emails Automate'!$G2292,Database!$H:$N,6,0)),"")</f>
        <v/>
      </c>
      <c r="M2292" s="55" t="str">
        <f>IFERROR(IF($G2292="","",VLOOKUP('Dashboard And Emails Automate'!$G2292,Database!$H:$N,7,0)),"")</f>
        <v/>
      </c>
      <c r="N2292" s="55" t="str">
        <f>IFERROR(IF(OR($B2292="",$B2292="(blank)"),"",VLOOKUP($B2292,'Email Marketing Raw Data'!$C:$O,6,0)),"")</f>
        <v/>
      </c>
      <c r="O2292" s="55" t="str">
        <f>IFERROR(IF(OR($B2292="",$B2292="(blank)"),"",VLOOKUP($B2292,'Email Marketing Raw Data'!$C:$O,7,0)),"")</f>
        <v/>
      </c>
      <c r="P2292" s="55" t="str">
        <f>IFERROR(IF(OR($B2292="",$B2292="(blank)"),"",VLOOKUP($B2292,'Email Marketing Raw Data'!$C:$O,8,0)),"")</f>
        <v/>
      </c>
      <c r="Q2292" s="62" t="str">
        <f>IFERROR(IF(OR($B2292="",$B2292="(blank)"),"",VLOOKUP($B2292,'Email Marketing Raw Data'!$C:$O,9,0)),"")</f>
        <v/>
      </c>
    </row>
    <row r="2293" spans="4:17" ht="12.75" customHeight="1" x14ac:dyDescent="0.2">
      <c r="D2293" s="58" t="str">
        <f>IFERROR(IF(F2293&lt;&gt;"pending","",IF(OR($B2293="",$B2293="(blank)"),"",VLOOKUP($B2293,'Email Marketing Raw Data'!$C:$O,10,0))),"")</f>
        <v/>
      </c>
      <c r="E2293" s="59" t="str">
        <f>IFERROR(IF(F2293&lt;&gt;"pending","",IF(OR($B2293="",$B2293="(blank)"),"",VLOOKUP($B2293,'Email Marketing Raw Data'!$C:$O,11,0))),"")</f>
        <v/>
      </c>
      <c r="F2293" s="54" t="str">
        <f>IFERROR(IF(OR($B2293="",$B2293="(blank)"),"",VLOOKUP($B2293,'Email Marketing Raw Data'!$C:$O,13,0)),"")</f>
        <v/>
      </c>
      <c r="G2293" s="55" t="str">
        <f>IFERROR(IF(OR($B2293="",$B2293="(blank)"),"",VLOOKUP($B2293,'Email Marketing Raw Data'!$C:$O,4,0)),"")</f>
        <v/>
      </c>
      <c r="H2293" s="55" t="str">
        <f>IFERROR(IF(OR($B2293="",$B2293="(blank)"),"",VLOOKUP($B2293,'Email Marketing Raw Data'!$C:$O,5,0)),"")</f>
        <v/>
      </c>
      <c r="I2293" s="55" t="str">
        <f>IFERROR(IF($G2293="","",VLOOKUP('Dashboard And Emails Automate'!$G2293,Database!$H:$N,3,0)),"")</f>
        <v/>
      </c>
      <c r="J2293" s="55" t="str">
        <f>IFERROR(IF($G2293="","",VLOOKUP('Dashboard And Emails Automate'!$G2293,Database!$H:$N,4,0)),"")</f>
        <v/>
      </c>
      <c r="K2293" s="55" t="str">
        <f>IFERROR(IF($G2293="","",VLOOKUP('Dashboard And Emails Automate'!$G2293,Database!$H:$N,5,0)),"")</f>
        <v/>
      </c>
      <c r="L2293" s="55" t="str">
        <f>IFERROR(IF($G2293="","",VLOOKUP('Dashboard And Emails Automate'!$G2293,Database!$H:$N,6,0)),"")</f>
        <v/>
      </c>
      <c r="M2293" s="55" t="str">
        <f>IFERROR(IF($G2293="","",VLOOKUP('Dashboard And Emails Automate'!$G2293,Database!$H:$N,7,0)),"")</f>
        <v/>
      </c>
      <c r="N2293" s="55" t="str">
        <f>IFERROR(IF(OR($B2293="",$B2293="(blank)"),"",VLOOKUP($B2293,'Email Marketing Raw Data'!$C:$O,6,0)),"")</f>
        <v/>
      </c>
      <c r="O2293" s="55" t="str">
        <f>IFERROR(IF(OR($B2293="",$B2293="(blank)"),"",VLOOKUP($B2293,'Email Marketing Raw Data'!$C:$O,7,0)),"")</f>
        <v/>
      </c>
      <c r="P2293" s="55" t="str">
        <f>IFERROR(IF(OR($B2293="",$B2293="(blank)"),"",VLOOKUP($B2293,'Email Marketing Raw Data'!$C:$O,8,0)),"")</f>
        <v/>
      </c>
      <c r="Q2293" s="62" t="str">
        <f>IFERROR(IF(OR($B2293="",$B2293="(blank)"),"",VLOOKUP($B2293,'Email Marketing Raw Data'!$C:$O,9,0)),"")</f>
        <v/>
      </c>
    </row>
    <row r="2294" spans="4:17" ht="12.75" customHeight="1" x14ac:dyDescent="0.2">
      <c r="D2294" s="58" t="str">
        <f>IFERROR(IF(F2294&lt;&gt;"pending","",IF(OR($B2294="",$B2294="(blank)"),"",VLOOKUP($B2294,'Email Marketing Raw Data'!$C:$O,10,0))),"")</f>
        <v/>
      </c>
      <c r="E2294" s="59" t="str">
        <f>IFERROR(IF(F2294&lt;&gt;"pending","",IF(OR($B2294="",$B2294="(blank)"),"",VLOOKUP($B2294,'Email Marketing Raw Data'!$C:$O,11,0))),"")</f>
        <v/>
      </c>
      <c r="F2294" s="54" t="str">
        <f>IFERROR(IF(OR($B2294="",$B2294="(blank)"),"",VLOOKUP($B2294,'Email Marketing Raw Data'!$C:$O,13,0)),"")</f>
        <v/>
      </c>
      <c r="G2294" s="55" t="str">
        <f>IFERROR(IF(OR($B2294="",$B2294="(blank)"),"",VLOOKUP($B2294,'Email Marketing Raw Data'!$C:$O,4,0)),"")</f>
        <v/>
      </c>
      <c r="H2294" s="55" t="str">
        <f>IFERROR(IF(OR($B2294="",$B2294="(blank)"),"",VLOOKUP($B2294,'Email Marketing Raw Data'!$C:$O,5,0)),"")</f>
        <v/>
      </c>
      <c r="I2294" s="55" t="str">
        <f>IFERROR(IF($G2294="","",VLOOKUP('Dashboard And Emails Automate'!$G2294,Database!$H:$N,3,0)),"")</f>
        <v/>
      </c>
      <c r="J2294" s="55" t="str">
        <f>IFERROR(IF($G2294="","",VLOOKUP('Dashboard And Emails Automate'!$G2294,Database!$H:$N,4,0)),"")</f>
        <v/>
      </c>
      <c r="K2294" s="55" t="str">
        <f>IFERROR(IF($G2294="","",VLOOKUP('Dashboard And Emails Automate'!$G2294,Database!$H:$N,5,0)),"")</f>
        <v/>
      </c>
      <c r="L2294" s="55" t="str">
        <f>IFERROR(IF($G2294="","",VLOOKUP('Dashboard And Emails Automate'!$G2294,Database!$H:$N,6,0)),"")</f>
        <v/>
      </c>
      <c r="M2294" s="55" t="str">
        <f>IFERROR(IF($G2294="","",VLOOKUP('Dashboard And Emails Automate'!$G2294,Database!$H:$N,7,0)),"")</f>
        <v/>
      </c>
      <c r="N2294" s="55" t="str">
        <f>IFERROR(IF(OR($B2294="",$B2294="(blank)"),"",VLOOKUP($B2294,'Email Marketing Raw Data'!$C:$O,6,0)),"")</f>
        <v/>
      </c>
      <c r="O2294" s="55" t="str">
        <f>IFERROR(IF(OR($B2294="",$B2294="(blank)"),"",VLOOKUP($B2294,'Email Marketing Raw Data'!$C:$O,7,0)),"")</f>
        <v/>
      </c>
      <c r="P2294" s="55" t="str">
        <f>IFERROR(IF(OR($B2294="",$B2294="(blank)"),"",VLOOKUP($B2294,'Email Marketing Raw Data'!$C:$O,8,0)),"")</f>
        <v/>
      </c>
      <c r="Q2294" s="62" t="str">
        <f>IFERROR(IF(OR($B2294="",$B2294="(blank)"),"",VLOOKUP($B2294,'Email Marketing Raw Data'!$C:$O,9,0)),"")</f>
        <v/>
      </c>
    </row>
    <row r="2295" spans="4:17" ht="12.75" customHeight="1" x14ac:dyDescent="0.2">
      <c r="D2295" s="58" t="str">
        <f>IFERROR(IF(F2295&lt;&gt;"pending","",IF(OR($B2295="",$B2295="(blank)"),"",VLOOKUP($B2295,'Email Marketing Raw Data'!$C:$O,10,0))),"")</f>
        <v/>
      </c>
      <c r="E2295" s="59" t="str">
        <f>IFERROR(IF(F2295&lt;&gt;"pending","",IF(OR($B2295="",$B2295="(blank)"),"",VLOOKUP($B2295,'Email Marketing Raw Data'!$C:$O,11,0))),"")</f>
        <v/>
      </c>
      <c r="F2295" s="54" t="str">
        <f>IFERROR(IF(OR($B2295="",$B2295="(blank)"),"",VLOOKUP($B2295,'Email Marketing Raw Data'!$C:$O,13,0)),"")</f>
        <v/>
      </c>
      <c r="G2295" s="55" t="str">
        <f>IFERROR(IF(OR($B2295="",$B2295="(blank)"),"",VLOOKUP($B2295,'Email Marketing Raw Data'!$C:$O,4,0)),"")</f>
        <v/>
      </c>
      <c r="H2295" s="55" t="str">
        <f>IFERROR(IF(OR($B2295="",$B2295="(blank)"),"",VLOOKUP($B2295,'Email Marketing Raw Data'!$C:$O,5,0)),"")</f>
        <v/>
      </c>
      <c r="I2295" s="55" t="str">
        <f>IFERROR(IF($G2295="","",VLOOKUP('Dashboard And Emails Automate'!$G2295,Database!$H:$N,3,0)),"")</f>
        <v/>
      </c>
      <c r="J2295" s="55" t="str">
        <f>IFERROR(IF($G2295="","",VLOOKUP('Dashboard And Emails Automate'!$G2295,Database!$H:$N,4,0)),"")</f>
        <v/>
      </c>
      <c r="K2295" s="55" t="str">
        <f>IFERROR(IF($G2295="","",VLOOKUP('Dashboard And Emails Automate'!$G2295,Database!$H:$N,5,0)),"")</f>
        <v/>
      </c>
      <c r="L2295" s="55" t="str">
        <f>IFERROR(IF($G2295="","",VLOOKUP('Dashboard And Emails Automate'!$G2295,Database!$H:$N,6,0)),"")</f>
        <v/>
      </c>
      <c r="M2295" s="55" t="str">
        <f>IFERROR(IF($G2295="","",VLOOKUP('Dashboard And Emails Automate'!$G2295,Database!$H:$N,7,0)),"")</f>
        <v/>
      </c>
      <c r="N2295" s="55" t="str">
        <f>IFERROR(IF(OR($B2295="",$B2295="(blank)"),"",VLOOKUP($B2295,'Email Marketing Raw Data'!$C:$O,6,0)),"")</f>
        <v/>
      </c>
      <c r="O2295" s="55" t="str">
        <f>IFERROR(IF(OR($B2295="",$B2295="(blank)"),"",VLOOKUP($B2295,'Email Marketing Raw Data'!$C:$O,7,0)),"")</f>
        <v/>
      </c>
      <c r="P2295" s="55" t="str">
        <f>IFERROR(IF(OR($B2295="",$B2295="(blank)"),"",VLOOKUP($B2295,'Email Marketing Raw Data'!$C:$O,8,0)),"")</f>
        <v/>
      </c>
      <c r="Q2295" s="62" t="str">
        <f>IFERROR(IF(OR($B2295="",$B2295="(blank)"),"",VLOOKUP($B2295,'Email Marketing Raw Data'!$C:$O,9,0)),"")</f>
        <v/>
      </c>
    </row>
    <row r="2296" spans="4:17" ht="12.75" customHeight="1" x14ac:dyDescent="0.2">
      <c r="D2296" s="58" t="str">
        <f>IFERROR(IF(F2296&lt;&gt;"pending","",IF(OR($B2296="",$B2296="(blank)"),"",VLOOKUP($B2296,'Email Marketing Raw Data'!$C:$O,10,0))),"")</f>
        <v/>
      </c>
      <c r="E2296" s="59" t="str">
        <f>IFERROR(IF(F2296&lt;&gt;"pending","",IF(OR($B2296="",$B2296="(blank)"),"",VLOOKUP($B2296,'Email Marketing Raw Data'!$C:$O,11,0))),"")</f>
        <v/>
      </c>
      <c r="F2296" s="54" t="str">
        <f>IFERROR(IF(OR($B2296="",$B2296="(blank)"),"",VLOOKUP($B2296,'Email Marketing Raw Data'!$C:$O,13,0)),"")</f>
        <v/>
      </c>
      <c r="G2296" s="55" t="str">
        <f>IFERROR(IF(OR($B2296="",$B2296="(blank)"),"",VLOOKUP($B2296,'Email Marketing Raw Data'!$C:$O,4,0)),"")</f>
        <v/>
      </c>
      <c r="H2296" s="55" t="str">
        <f>IFERROR(IF(OR($B2296="",$B2296="(blank)"),"",VLOOKUP($B2296,'Email Marketing Raw Data'!$C:$O,5,0)),"")</f>
        <v/>
      </c>
      <c r="I2296" s="55" t="str">
        <f>IFERROR(IF($G2296="","",VLOOKUP('Dashboard And Emails Automate'!$G2296,Database!$H:$N,3,0)),"")</f>
        <v/>
      </c>
      <c r="J2296" s="55" t="str">
        <f>IFERROR(IF($G2296="","",VLOOKUP('Dashboard And Emails Automate'!$G2296,Database!$H:$N,4,0)),"")</f>
        <v/>
      </c>
      <c r="K2296" s="55" t="str">
        <f>IFERROR(IF($G2296="","",VLOOKUP('Dashboard And Emails Automate'!$G2296,Database!$H:$N,5,0)),"")</f>
        <v/>
      </c>
      <c r="L2296" s="55" t="str">
        <f>IFERROR(IF($G2296="","",VLOOKUP('Dashboard And Emails Automate'!$G2296,Database!$H:$N,6,0)),"")</f>
        <v/>
      </c>
      <c r="M2296" s="55" t="str">
        <f>IFERROR(IF($G2296="","",VLOOKUP('Dashboard And Emails Automate'!$G2296,Database!$H:$N,7,0)),"")</f>
        <v/>
      </c>
      <c r="N2296" s="55" t="str">
        <f>IFERROR(IF(OR($B2296="",$B2296="(blank)"),"",VLOOKUP($B2296,'Email Marketing Raw Data'!$C:$O,6,0)),"")</f>
        <v/>
      </c>
      <c r="O2296" s="55" t="str">
        <f>IFERROR(IF(OR($B2296="",$B2296="(blank)"),"",VLOOKUP($B2296,'Email Marketing Raw Data'!$C:$O,7,0)),"")</f>
        <v/>
      </c>
      <c r="P2296" s="55" t="str">
        <f>IFERROR(IF(OR($B2296="",$B2296="(blank)"),"",VLOOKUP($B2296,'Email Marketing Raw Data'!$C:$O,8,0)),"")</f>
        <v/>
      </c>
      <c r="Q2296" s="62" t="str">
        <f>IFERROR(IF(OR($B2296="",$B2296="(blank)"),"",VLOOKUP($B2296,'Email Marketing Raw Data'!$C:$O,9,0)),"")</f>
        <v/>
      </c>
    </row>
    <row r="2297" spans="4:17" ht="12.75" customHeight="1" x14ac:dyDescent="0.2">
      <c r="D2297" s="58" t="str">
        <f>IFERROR(IF(F2297&lt;&gt;"pending","",IF(OR($B2297="",$B2297="(blank)"),"",VLOOKUP($B2297,'Email Marketing Raw Data'!$C:$O,10,0))),"")</f>
        <v/>
      </c>
      <c r="E2297" s="59" t="str">
        <f>IFERROR(IF(F2297&lt;&gt;"pending","",IF(OR($B2297="",$B2297="(blank)"),"",VLOOKUP($B2297,'Email Marketing Raw Data'!$C:$O,11,0))),"")</f>
        <v/>
      </c>
      <c r="F2297" s="54" t="str">
        <f>IFERROR(IF(OR($B2297="",$B2297="(blank)"),"",VLOOKUP($B2297,'Email Marketing Raw Data'!$C:$O,13,0)),"")</f>
        <v/>
      </c>
      <c r="G2297" s="55" t="str">
        <f>IFERROR(IF(OR($B2297="",$B2297="(blank)"),"",VLOOKUP($B2297,'Email Marketing Raw Data'!$C:$O,4,0)),"")</f>
        <v/>
      </c>
      <c r="H2297" s="55" t="str">
        <f>IFERROR(IF(OR($B2297="",$B2297="(blank)"),"",VLOOKUP($B2297,'Email Marketing Raw Data'!$C:$O,5,0)),"")</f>
        <v/>
      </c>
      <c r="I2297" s="55" t="str">
        <f>IFERROR(IF($G2297="","",VLOOKUP('Dashboard And Emails Automate'!$G2297,Database!$H:$N,3,0)),"")</f>
        <v/>
      </c>
      <c r="J2297" s="55" t="str">
        <f>IFERROR(IF($G2297="","",VLOOKUP('Dashboard And Emails Automate'!$G2297,Database!$H:$N,4,0)),"")</f>
        <v/>
      </c>
      <c r="K2297" s="55" t="str">
        <f>IFERROR(IF($G2297="","",VLOOKUP('Dashboard And Emails Automate'!$G2297,Database!$H:$N,5,0)),"")</f>
        <v/>
      </c>
      <c r="L2297" s="55" t="str">
        <f>IFERROR(IF($G2297="","",VLOOKUP('Dashboard And Emails Automate'!$G2297,Database!$H:$N,6,0)),"")</f>
        <v/>
      </c>
      <c r="M2297" s="55" t="str">
        <f>IFERROR(IF($G2297="","",VLOOKUP('Dashboard And Emails Automate'!$G2297,Database!$H:$N,7,0)),"")</f>
        <v/>
      </c>
      <c r="N2297" s="55" t="str">
        <f>IFERROR(IF(OR($B2297="",$B2297="(blank)"),"",VLOOKUP($B2297,'Email Marketing Raw Data'!$C:$O,6,0)),"")</f>
        <v/>
      </c>
      <c r="O2297" s="55" t="str">
        <f>IFERROR(IF(OR($B2297="",$B2297="(blank)"),"",VLOOKUP($B2297,'Email Marketing Raw Data'!$C:$O,7,0)),"")</f>
        <v/>
      </c>
      <c r="P2297" s="55" t="str">
        <f>IFERROR(IF(OR($B2297="",$B2297="(blank)"),"",VLOOKUP($B2297,'Email Marketing Raw Data'!$C:$O,8,0)),"")</f>
        <v/>
      </c>
      <c r="Q2297" s="62" t="str">
        <f>IFERROR(IF(OR($B2297="",$B2297="(blank)"),"",VLOOKUP($B2297,'Email Marketing Raw Data'!$C:$O,9,0)),"")</f>
        <v/>
      </c>
    </row>
    <row r="2298" spans="4:17" ht="12.75" customHeight="1" x14ac:dyDescent="0.2">
      <c r="D2298" s="58" t="str">
        <f>IFERROR(IF(F2298&lt;&gt;"pending","",IF(OR($B2298="",$B2298="(blank)"),"",VLOOKUP($B2298,'Email Marketing Raw Data'!$C:$O,10,0))),"")</f>
        <v/>
      </c>
      <c r="E2298" s="59" t="str">
        <f>IFERROR(IF(F2298&lt;&gt;"pending","",IF(OR($B2298="",$B2298="(blank)"),"",VLOOKUP($B2298,'Email Marketing Raw Data'!$C:$O,11,0))),"")</f>
        <v/>
      </c>
      <c r="F2298" s="54" t="str">
        <f>IFERROR(IF(OR($B2298="",$B2298="(blank)"),"",VLOOKUP($B2298,'Email Marketing Raw Data'!$C:$O,13,0)),"")</f>
        <v/>
      </c>
      <c r="G2298" s="55" t="str">
        <f>IFERROR(IF(OR($B2298="",$B2298="(blank)"),"",VLOOKUP($B2298,'Email Marketing Raw Data'!$C:$O,4,0)),"")</f>
        <v/>
      </c>
      <c r="H2298" s="55" t="str">
        <f>IFERROR(IF(OR($B2298="",$B2298="(blank)"),"",VLOOKUP($B2298,'Email Marketing Raw Data'!$C:$O,5,0)),"")</f>
        <v/>
      </c>
      <c r="I2298" s="55" t="str">
        <f>IFERROR(IF($G2298="","",VLOOKUP('Dashboard And Emails Automate'!$G2298,Database!$H:$N,3,0)),"")</f>
        <v/>
      </c>
      <c r="J2298" s="55" t="str">
        <f>IFERROR(IF($G2298="","",VLOOKUP('Dashboard And Emails Automate'!$G2298,Database!$H:$N,4,0)),"")</f>
        <v/>
      </c>
      <c r="K2298" s="55" t="str">
        <f>IFERROR(IF($G2298="","",VLOOKUP('Dashboard And Emails Automate'!$G2298,Database!$H:$N,5,0)),"")</f>
        <v/>
      </c>
      <c r="L2298" s="55" t="str">
        <f>IFERROR(IF($G2298="","",VLOOKUP('Dashboard And Emails Automate'!$G2298,Database!$H:$N,6,0)),"")</f>
        <v/>
      </c>
      <c r="M2298" s="55" t="str">
        <f>IFERROR(IF($G2298="","",VLOOKUP('Dashboard And Emails Automate'!$G2298,Database!$H:$N,7,0)),"")</f>
        <v/>
      </c>
      <c r="N2298" s="55" t="str">
        <f>IFERROR(IF(OR($B2298="",$B2298="(blank)"),"",VLOOKUP($B2298,'Email Marketing Raw Data'!$C:$O,6,0)),"")</f>
        <v/>
      </c>
      <c r="O2298" s="55" t="str">
        <f>IFERROR(IF(OR($B2298="",$B2298="(blank)"),"",VLOOKUP($B2298,'Email Marketing Raw Data'!$C:$O,7,0)),"")</f>
        <v/>
      </c>
      <c r="P2298" s="55" t="str">
        <f>IFERROR(IF(OR($B2298="",$B2298="(blank)"),"",VLOOKUP($B2298,'Email Marketing Raw Data'!$C:$O,8,0)),"")</f>
        <v/>
      </c>
      <c r="Q2298" s="62" t="str">
        <f>IFERROR(IF(OR($B2298="",$B2298="(blank)"),"",VLOOKUP($B2298,'Email Marketing Raw Data'!$C:$O,9,0)),"")</f>
        <v/>
      </c>
    </row>
    <row r="2299" spans="4:17" ht="12.75" customHeight="1" x14ac:dyDescent="0.2">
      <c r="D2299" s="58" t="str">
        <f>IFERROR(IF(F2299&lt;&gt;"pending","",IF(OR($B2299="",$B2299="(blank)"),"",VLOOKUP($B2299,'Email Marketing Raw Data'!$C:$O,10,0))),"")</f>
        <v/>
      </c>
      <c r="E2299" s="59" t="str">
        <f>IFERROR(IF(F2299&lt;&gt;"pending","",IF(OR($B2299="",$B2299="(blank)"),"",VLOOKUP($B2299,'Email Marketing Raw Data'!$C:$O,11,0))),"")</f>
        <v/>
      </c>
      <c r="F2299" s="54" t="str">
        <f>IFERROR(IF(OR($B2299="",$B2299="(blank)"),"",VLOOKUP($B2299,'Email Marketing Raw Data'!$C:$O,13,0)),"")</f>
        <v/>
      </c>
      <c r="G2299" s="55" t="str">
        <f>IFERROR(IF(OR($B2299="",$B2299="(blank)"),"",VLOOKUP($B2299,'Email Marketing Raw Data'!$C:$O,4,0)),"")</f>
        <v/>
      </c>
      <c r="H2299" s="55" t="str">
        <f>IFERROR(IF(OR($B2299="",$B2299="(blank)"),"",VLOOKUP($B2299,'Email Marketing Raw Data'!$C:$O,5,0)),"")</f>
        <v/>
      </c>
      <c r="I2299" s="55" t="str">
        <f>IFERROR(IF($G2299="","",VLOOKUP('Dashboard And Emails Automate'!$G2299,Database!$H:$N,3,0)),"")</f>
        <v/>
      </c>
      <c r="J2299" s="55" t="str">
        <f>IFERROR(IF($G2299="","",VLOOKUP('Dashboard And Emails Automate'!$G2299,Database!$H:$N,4,0)),"")</f>
        <v/>
      </c>
      <c r="K2299" s="55" t="str">
        <f>IFERROR(IF($G2299="","",VLOOKUP('Dashboard And Emails Automate'!$G2299,Database!$H:$N,5,0)),"")</f>
        <v/>
      </c>
      <c r="L2299" s="55" t="str">
        <f>IFERROR(IF($G2299="","",VLOOKUP('Dashboard And Emails Automate'!$G2299,Database!$H:$N,6,0)),"")</f>
        <v/>
      </c>
      <c r="M2299" s="55" t="str">
        <f>IFERROR(IF($G2299="","",VLOOKUP('Dashboard And Emails Automate'!$G2299,Database!$H:$N,7,0)),"")</f>
        <v/>
      </c>
      <c r="N2299" s="55" t="str">
        <f>IFERROR(IF(OR($B2299="",$B2299="(blank)"),"",VLOOKUP($B2299,'Email Marketing Raw Data'!$C:$O,6,0)),"")</f>
        <v/>
      </c>
      <c r="O2299" s="55" t="str">
        <f>IFERROR(IF(OR($B2299="",$B2299="(blank)"),"",VLOOKUP($B2299,'Email Marketing Raw Data'!$C:$O,7,0)),"")</f>
        <v/>
      </c>
      <c r="P2299" s="55" t="str">
        <f>IFERROR(IF(OR($B2299="",$B2299="(blank)"),"",VLOOKUP($B2299,'Email Marketing Raw Data'!$C:$O,8,0)),"")</f>
        <v/>
      </c>
      <c r="Q2299" s="62" t="str">
        <f>IFERROR(IF(OR($B2299="",$B2299="(blank)"),"",VLOOKUP($B2299,'Email Marketing Raw Data'!$C:$O,9,0)),"")</f>
        <v/>
      </c>
    </row>
    <row r="2300" spans="4:17" ht="12.75" customHeight="1" x14ac:dyDescent="0.2">
      <c r="D2300" s="58" t="str">
        <f>IFERROR(IF(F2300&lt;&gt;"pending","",IF(OR($B2300="",$B2300="(blank)"),"",VLOOKUP($B2300,'Email Marketing Raw Data'!$C:$O,10,0))),"")</f>
        <v/>
      </c>
      <c r="E2300" s="59" t="str">
        <f>IFERROR(IF(F2300&lt;&gt;"pending","",IF(OR($B2300="",$B2300="(blank)"),"",VLOOKUP($B2300,'Email Marketing Raw Data'!$C:$O,11,0))),"")</f>
        <v/>
      </c>
      <c r="F2300" s="54" t="str">
        <f>IFERROR(IF(OR($B2300="",$B2300="(blank)"),"",VLOOKUP($B2300,'Email Marketing Raw Data'!$C:$O,13,0)),"")</f>
        <v/>
      </c>
      <c r="G2300" s="55" t="str">
        <f>IFERROR(IF(OR($B2300="",$B2300="(blank)"),"",VLOOKUP($B2300,'Email Marketing Raw Data'!$C:$O,4,0)),"")</f>
        <v/>
      </c>
      <c r="H2300" s="55" t="str">
        <f>IFERROR(IF(OR($B2300="",$B2300="(blank)"),"",VLOOKUP($B2300,'Email Marketing Raw Data'!$C:$O,5,0)),"")</f>
        <v/>
      </c>
      <c r="I2300" s="55" t="str">
        <f>IFERROR(IF($G2300="","",VLOOKUP('Dashboard And Emails Automate'!$G2300,Database!$H:$N,3,0)),"")</f>
        <v/>
      </c>
      <c r="J2300" s="55" t="str">
        <f>IFERROR(IF($G2300="","",VLOOKUP('Dashboard And Emails Automate'!$G2300,Database!$H:$N,4,0)),"")</f>
        <v/>
      </c>
      <c r="K2300" s="55" t="str">
        <f>IFERROR(IF($G2300="","",VLOOKUP('Dashboard And Emails Automate'!$G2300,Database!$H:$N,5,0)),"")</f>
        <v/>
      </c>
      <c r="L2300" s="55" t="str">
        <f>IFERROR(IF($G2300="","",VLOOKUP('Dashboard And Emails Automate'!$G2300,Database!$H:$N,6,0)),"")</f>
        <v/>
      </c>
      <c r="M2300" s="55" t="str">
        <f>IFERROR(IF($G2300="","",VLOOKUP('Dashboard And Emails Automate'!$G2300,Database!$H:$N,7,0)),"")</f>
        <v/>
      </c>
      <c r="N2300" s="55" t="str">
        <f>IFERROR(IF(OR($B2300="",$B2300="(blank)"),"",VLOOKUP($B2300,'Email Marketing Raw Data'!$C:$O,6,0)),"")</f>
        <v/>
      </c>
      <c r="O2300" s="55" t="str">
        <f>IFERROR(IF(OR($B2300="",$B2300="(blank)"),"",VLOOKUP($B2300,'Email Marketing Raw Data'!$C:$O,7,0)),"")</f>
        <v/>
      </c>
      <c r="P2300" s="55" t="str">
        <f>IFERROR(IF(OR($B2300="",$B2300="(blank)"),"",VLOOKUP($B2300,'Email Marketing Raw Data'!$C:$O,8,0)),"")</f>
        <v/>
      </c>
      <c r="Q2300" s="62" t="str">
        <f>IFERROR(IF(OR($B2300="",$B2300="(blank)"),"",VLOOKUP($B2300,'Email Marketing Raw Data'!$C:$O,9,0)),"")</f>
        <v/>
      </c>
    </row>
    <row r="2301" spans="4:17" ht="12.75" customHeight="1" x14ac:dyDescent="0.2">
      <c r="D2301" s="58" t="str">
        <f>IFERROR(IF(F2301&lt;&gt;"pending","",IF(OR($B2301="",$B2301="(blank)"),"",VLOOKUP($B2301,'Email Marketing Raw Data'!$C:$O,10,0))),"")</f>
        <v/>
      </c>
      <c r="E2301" s="59" t="str">
        <f>IFERROR(IF(F2301&lt;&gt;"pending","",IF(OR($B2301="",$B2301="(blank)"),"",VLOOKUP($B2301,'Email Marketing Raw Data'!$C:$O,11,0))),"")</f>
        <v/>
      </c>
      <c r="F2301" s="54" t="str">
        <f>IFERROR(IF(OR($B2301="",$B2301="(blank)"),"",VLOOKUP($B2301,'Email Marketing Raw Data'!$C:$O,13,0)),"")</f>
        <v/>
      </c>
      <c r="G2301" s="55" t="str">
        <f>IFERROR(IF(OR($B2301="",$B2301="(blank)"),"",VLOOKUP($B2301,'Email Marketing Raw Data'!$C:$O,4,0)),"")</f>
        <v/>
      </c>
      <c r="H2301" s="55" t="str">
        <f>IFERROR(IF(OR($B2301="",$B2301="(blank)"),"",VLOOKUP($B2301,'Email Marketing Raw Data'!$C:$O,5,0)),"")</f>
        <v/>
      </c>
      <c r="I2301" s="55" t="str">
        <f>IFERROR(IF($G2301="","",VLOOKUP('Dashboard And Emails Automate'!$G2301,Database!$H:$N,3,0)),"")</f>
        <v/>
      </c>
      <c r="J2301" s="55" t="str">
        <f>IFERROR(IF($G2301="","",VLOOKUP('Dashboard And Emails Automate'!$G2301,Database!$H:$N,4,0)),"")</f>
        <v/>
      </c>
      <c r="K2301" s="55" t="str">
        <f>IFERROR(IF($G2301="","",VLOOKUP('Dashboard And Emails Automate'!$G2301,Database!$H:$N,5,0)),"")</f>
        <v/>
      </c>
      <c r="L2301" s="55" t="str">
        <f>IFERROR(IF($G2301="","",VLOOKUP('Dashboard And Emails Automate'!$G2301,Database!$H:$N,6,0)),"")</f>
        <v/>
      </c>
      <c r="M2301" s="55" t="str">
        <f>IFERROR(IF($G2301="","",VLOOKUP('Dashboard And Emails Automate'!$G2301,Database!$H:$N,7,0)),"")</f>
        <v/>
      </c>
      <c r="N2301" s="55" t="str">
        <f>IFERROR(IF(OR($B2301="",$B2301="(blank)"),"",VLOOKUP($B2301,'Email Marketing Raw Data'!$C:$O,6,0)),"")</f>
        <v/>
      </c>
      <c r="O2301" s="55" t="str">
        <f>IFERROR(IF(OR($B2301="",$B2301="(blank)"),"",VLOOKUP($B2301,'Email Marketing Raw Data'!$C:$O,7,0)),"")</f>
        <v/>
      </c>
      <c r="P2301" s="55" t="str">
        <f>IFERROR(IF(OR($B2301="",$B2301="(blank)"),"",VLOOKUP($B2301,'Email Marketing Raw Data'!$C:$O,8,0)),"")</f>
        <v/>
      </c>
      <c r="Q2301" s="62" t="str">
        <f>IFERROR(IF(OR($B2301="",$B2301="(blank)"),"",VLOOKUP($B2301,'Email Marketing Raw Data'!$C:$O,9,0)),"")</f>
        <v/>
      </c>
    </row>
    <row r="2302" spans="4:17" ht="12.75" customHeight="1" x14ac:dyDescent="0.2">
      <c r="D2302" s="58" t="str">
        <f>IFERROR(IF(F2302&lt;&gt;"pending","",IF(OR($B2302="",$B2302="(blank)"),"",VLOOKUP($B2302,'Email Marketing Raw Data'!$C:$O,10,0))),"")</f>
        <v/>
      </c>
      <c r="E2302" s="59" t="str">
        <f>IFERROR(IF(F2302&lt;&gt;"pending","",IF(OR($B2302="",$B2302="(blank)"),"",VLOOKUP($B2302,'Email Marketing Raw Data'!$C:$O,11,0))),"")</f>
        <v/>
      </c>
      <c r="F2302" s="54" t="str">
        <f>IFERROR(IF(OR($B2302="",$B2302="(blank)"),"",VLOOKUP($B2302,'Email Marketing Raw Data'!$C:$O,13,0)),"")</f>
        <v/>
      </c>
      <c r="G2302" s="55" t="str">
        <f>IFERROR(IF(OR($B2302="",$B2302="(blank)"),"",VLOOKUP($B2302,'Email Marketing Raw Data'!$C:$O,4,0)),"")</f>
        <v/>
      </c>
      <c r="H2302" s="55" t="str">
        <f>IFERROR(IF(OR($B2302="",$B2302="(blank)"),"",VLOOKUP($B2302,'Email Marketing Raw Data'!$C:$O,5,0)),"")</f>
        <v/>
      </c>
      <c r="I2302" s="55" t="str">
        <f>IFERROR(IF($G2302="","",VLOOKUP('Dashboard And Emails Automate'!$G2302,Database!$H:$N,3,0)),"")</f>
        <v/>
      </c>
      <c r="J2302" s="55" t="str">
        <f>IFERROR(IF($G2302="","",VLOOKUP('Dashboard And Emails Automate'!$G2302,Database!$H:$N,4,0)),"")</f>
        <v/>
      </c>
      <c r="K2302" s="55" t="str">
        <f>IFERROR(IF($G2302="","",VLOOKUP('Dashboard And Emails Automate'!$G2302,Database!$H:$N,5,0)),"")</f>
        <v/>
      </c>
      <c r="L2302" s="55" t="str">
        <f>IFERROR(IF($G2302="","",VLOOKUP('Dashboard And Emails Automate'!$G2302,Database!$H:$N,6,0)),"")</f>
        <v/>
      </c>
      <c r="M2302" s="55" t="str">
        <f>IFERROR(IF($G2302="","",VLOOKUP('Dashboard And Emails Automate'!$G2302,Database!$H:$N,7,0)),"")</f>
        <v/>
      </c>
      <c r="N2302" s="55" t="str">
        <f>IFERROR(IF(OR($B2302="",$B2302="(blank)"),"",VLOOKUP($B2302,'Email Marketing Raw Data'!$C:$O,6,0)),"")</f>
        <v/>
      </c>
      <c r="O2302" s="55" t="str">
        <f>IFERROR(IF(OR($B2302="",$B2302="(blank)"),"",VLOOKUP($B2302,'Email Marketing Raw Data'!$C:$O,7,0)),"")</f>
        <v/>
      </c>
      <c r="P2302" s="55" t="str">
        <f>IFERROR(IF(OR($B2302="",$B2302="(blank)"),"",VLOOKUP($B2302,'Email Marketing Raw Data'!$C:$O,8,0)),"")</f>
        <v/>
      </c>
      <c r="Q2302" s="62" t="str">
        <f>IFERROR(IF(OR($B2302="",$B2302="(blank)"),"",VLOOKUP($B2302,'Email Marketing Raw Data'!$C:$O,9,0)),"")</f>
        <v/>
      </c>
    </row>
    <row r="2303" spans="4:17" ht="12.75" customHeight="1" x14ac:dyDescent="0.2">
      <c r="D2303" s="58" t="str">
        <f>IFERROR(IF(F2303&lt;&gt;"pending","",IF(OR($B2303="",$B2303="(blank)"),"",VLOOKUP($B2303,'Email Marketing Raw Data'!$C:$O,10,0))),"")</f>
        <v/>
      </c>
      <c r="E2303" s="59" t="str">
        <f>IFERROR(IF(F2303&lt;&gt;"pending","",IF(OR($B2303="",$B2303="(blank)"),"",VLOOKUP($B2303,'Email Marketing Raw Data'!$C:$O,11,0))),"")</f>
        <v/>
      </c>
      <c r="F2303" s="54" t="str">
        <f>IFERROR(IF(OR($B2303="",$B2303="(blank)"),"",VLOOKUP($B2303,'Email Marketing Raw Data'!$C:$O,13,0)),"")</f>
        <v/>
      </c>
      <c r="G2303" s="55" t="str">
        <f>IFERROR(IF(OR($B2303="",$B2303="(blank)"),"",VLOOKUP($B2303,'Email Marketing Raw Data'!$C:$O,4,0)),"")</f>
        <v/>
      </c>
      <c r="H2303" s="55" t="str">
        <f>IFERROR(IF(OR($B2303="",$B2303="(blank)"),"",VLOOKUP($B2303,'Email Marketing Raw Data'!$C:$O,5,0)),"")</f>
        <v/>
      </c>
      <c r="I2303" s="55" t="str">
        <f>IFERROR(IF($G2303="","",VLOOKUP('Dashboard And Emails Automate'!$G2303,Database!$H:$N,3,0)),"")</f>
        <v/>
      </c>
      <c r="J2303" s="55" t="str">
        <f>IFERROR(IF($G2303="","",VLOOKUP('Dashboard And Emails Automate'!$G2303,Database!$H:$N,4,0)),"")</f>
        <v/>
      </c>
      <c r="K2303" s="55" t="str">
        <f>IFERROR(IF($G2303="","",VLOOKUP('Dashboard And Emails Automate'!$G2303,Database!$H:$N,5,0)),"")</f>
        <v/>
      </c>
      <c r="L2303" s="55" t="str">
        <f>IFERROR(IF($G2303="","",VLOOKUP('Dashboard And Emails Automate'!$G2303,Database!$H:$N,6,0)),"")</f>
        <v/>
      </c>
      <c r="M2303" s="55" t="str">
        <f>IFERROR(IF($G2303="","",VLOOKUP('Dashboard And Emails Automate'!$G2303,Database!$H:$N,7,0)),"")</f>
        <v/>
      </c>
      <c r="N2303" s="55" t="str">
        <f>IFERROR(IF(OR($B2303="",$B2303="(blank)"),"",VLOOKUP($B2303,'Email Marketing Raw Data'!$C:$O,6,0)),"")</f>
        <v/>
      </c>
      <c r="O2303" s="55" t="str">
        <f>IFERROR(IF(OR($B2303="",$B2303="(blank)"),"",VLOOKUP($B2303,'Email Marketing Raw Data'!$C:$O,7,0)),"")</f>
        <v/>
      </c>
      <c r="P2303" s="55" t="str">
        <f>IFERROR(IF(OR($B2303="",$B2303="(blank)"),"",VLOOKUP($B2303,'Email Marketing Raw Data'!$C:$O,8,0)),"")</f>
        <v/>
      </c>
      <c r="Q2303" s="62" t="str">
        <f>IFERROR(IF(OR($B2303="",$B2303="(blank)"),"",VLOOKUP($B2303,'Email Marketing Raw Data'!$C:$O,9,0)),"")</f>
        <v/>
      </c>
    </row>
    <row r="2304" spans="4:17" ht="12.75" customHeight="1" x14ac:dyDescent="0.2">
      <c r="D2304" s="58" t="str">
        <f>IFERROR(IF(F2304&lt;&gt;"pending","",IF(OR($B2304="",$B2304="(blank)"),"",VLOOKUP($B2304,'Email Marketing Raw Data'!$C:$O,10,0))),"")</f>
        <v/>
      </c>
      <c r="E2304" s="59" t="str">
        <f>IFERROR(IF(F2304&lt;&gt;"pending","",IF(OR($B2304="",$B2304="(blank)"),"",VLOOKUP($B2304,'Email Marketing Raw Data'!$C:$O,11,0))),"")</f>
        <v/>
      </c>
      <c r="F2304" s="54" t="str">
        <f>IFERROR(IF(OR($B2304="",$B2304="(blank)"),"",VLOOKUP($B2304,'Email Marketing Raw Data'!$C:$O,13,0)),"")</f>
        <v/>
      </c>
      <c r="G2304" s="55" t="str">
        <f>IFERROR(IF(OR($B2304="",$B2304="(blank)"),"",VLOOKUP($B2304,'Email Marketing Raw Data'!$C:$O,4,0)),"")</f>
        <v/>
      </c>
      <c r="H2304" s="55" t="str">
        <f>IFERROR(IF(OR($B2304="",$B2304="(blank)"),"",VLOOKUP($B2304,'Email Marketing Raw Data'!$C:$O,5,0)),"")</f>
        <v/>
      </c>
      <c r="I2304" s="55" t="str">
        <f>IFERROR(IF($G2304="","",VLOOKUP('Dashboard And Emails Automate'!$G2304,Database!$H:$N,3,0)),"")</f>
        <v/>
      </c>
      <c r="J2304" s="55" t="str">
        <f>IFERROR(IF($G2304="","",VLOOKUP('Dashboard And Emails Automate'!$G2304,Database!$H:$N,4,0)),"")</f>
        <v/>
      </c>
      <c r="K2304" s="55" t="str">
        <f>IFERROR(IF($G2304="","",VLOOKUP('Dashboard And Emails Automate'!$G2304,Database!$H:$N,5,0)),"")</f>
        <v/>
      </c>
      <c r="L2304" s="55" t="str">
        <f>IFERROR(IF($G2304="","",VLOOKUP('Dashboard And Emails Automate'!$G2304,Database!$H:$N,6,0)),"")</f>
        <v/>
      </c>
      <c r="M2304" s="55" t="str">
        <f>IFERROR(IF($G2304="","",VLOOKUP('Dashboard And Emails Automate'!$G2304,Database!$H:$N,7,0)),"")</f>
        <v/>
      </c>
      <c r="N2304" s="55" t="str">
        <f>IFERROR(IF(OR($B2304="",$B2304="(blank)"),"",VLOOKUP($B2304,'Email Marketing Raw Data'!$C:$O,6,0)),"")</f>
        <v/>
      </c>
      <c r="O2304" s="55" t="str">
        <f>IFERROR(IF(OR($B2304="",$B2304="(blank)"),"",VLOOKUP($B2304,'Email Marketing Raw Data'!$C:$O,7,0)),"")</f>
        <v/>
      </c>
      <c r="P2304" s="55" t="str">
        <f>IFERROR(IF(OR($B2304="",$B2304="(blank)"),"",VLOOKUP($B2304,'Email Marketing Raw Data'!$C:$O,8,0)),"")</f>
        <v/>
      </c>
      <c r="Q2304" s="62" t="str">
        <f>IFERROR(IF(OR($B2304="",$B2304="(blank)"),"",VLOOKUP($B2304,'Email Marketing Raw Data'!$C:$O,9,0)),"")</f>
        <v/>
      </c>
    </row>
    <row r="2305" spans="4:17" ht="12.75" customHeight="1" x14ac:dyDescent="0.2">
      <c r="D2305" s="58" t="str">
        <f>IFERROR(IF(F2305&lt;&gt;"pending","",IF(OR($B2305="",$B2305="(blank)"),"",VLOOKUP($B2305,'Email Marketing Raw Data'!$C:$O,10,0))),"")</f>
        <v/>
      </c>
      <c r="E2305" s="59" t="str">
        <f>IFERROR(IF(F2305&lt;&gt;"pending","",IF(OR($B2305="",$B2305="(blank)"),"",VLOOKUP($B2305,'Email Marketing Raw Data'!$C:$O,11,0))),"")</f>
        <v/>
      </c>
      <c r="F2305" s="54" t="str">
        <f>IFERROR(IF(OR($B2305="",$B2305="(blank)"),"",VLOOKUP($B2305,'Email Marketing Raw Data'!$C:$O,13,0)),"")</f>
        <v/>
      </c>
      <c r="G2305" s="55" t="str">
        <f>IFERROR(IF(OR($B2305="",$B2305="(blank)"),"",VLOOKUP($B2305,'Email Marketing Raw Data'!$C:$O,4,0)),"")</f>
        <v/>
      </c>
      <c r="H2305" s="55" t="str">
        <f>IFERROR(IF(OR($B2305="",$B2305="(blank)"),"",VLOOKUP($B2305,'Email Marketing Raw Data'!$C:$O,5,0)),"")</f>
        <v/>
      </c>
      <c r="I2305" s="55" t="str">
        <f>IFERROR(IF($G2305="","",VLOOKUP('Dashboard And Emails Automate'!$G2305,Database!$H:$N,3,0)),"")</f>
        <v/>
      </c>
      <c r="J2305" s="55" t="str">
        <f>IFERROR(IF($G2305="","",VLOOKUP('Dashboard And Emails Automate'!$G2305,Database!$H:$N,4,0)),"")</f>
        <v/>
      </c>
      <c r="K2305" s="55" t="str">
        <f>IFERROR(IF($G2305="","",VLOOKUP('Dashboard And Emails Automate'!$G2305,Database!$H:$N,5,0)),"")</f>
        <v/>
      </c>
      <c r="L2305" s="55" t="str">
        <f>IFERROR(IF($G2305="","",VLOOKUP('Dashboard And Emails Automate'!$G2305,Database!$H:$N,6,0)),"")</f>
        <v/>
      </c>
      <c r="M2305" s="55" t="str">
        <f>IFERROR(IF($G2305="","",VLOOKUP('Dashboard And Emails Automate'!$G2305,Database!$H:$N,7,0)),"")</f>
        <v/>
      </c>
      <c r="N2305" s="55" t="str">
        <f>IFERROR(IF(OR($B2305="",$B2305="(blank)"),"",VLOOKUP($B2305,'Email Marketing Raw Data'!$C:$O,6,0)),"")</f>
        <v/>
      </c>
      <c r="O2305" s="55" t="str">
        <f>IFERROR(IF(OR($B2305="",$B2305="(blank)"),"",VLOOKUP($B2305,'Email Marketing Raw Data'!$C:$O,7,0)),"")</f>
        <v/>
      </c>
      <c r="P2305" s="55" t="str">
        <f>IFERROR(IF(OR($B2305="",$B2305="(blank)"),"",VLOOKUP($B2305,'Email Marketing Raw Data'!$C:$O,8,0)),"")</f>
        <v/>
      </c>
      <c r="Q2305" s="62" t="str">
        <f>IFERROR(IF(OR($B2305="",$B2305="(blank)"),"",VLOOKUP($B2305,'Email Marketing Raw Data'!$C:$O,9,0)),"")</f>
        <v/>
      </c>
    </row>
    <row r="2306" spans="4:17" ht="12.75" customHeight="1" x14ac:dyDescent="0.2">
      <c r="D2306" s="58" t="str">
        <f>IFERROR(IF(F2306&lt;&gt;"pending","",IF(OR($B2306="",$B2306="(blank)"),"",VLOOKUP($B2306,'Email Marketing Raw Data'!$C:$O,10,0))),"")</f>
        <v/>
      </c>
      <c r="E2306" s="59" t="str">
        <f>IFERROR(IF(F2306&lt;&gt;"pending","",IF(OR($B2306="",$B2306="(blank)"),"",VLOOKUP($B2306,'Email Marketing Raw Data'!$C:$O,11,0))),"")</f>
        <v/>
      </c>
      <c r="F2306" s="54" t="str">
        <f>IFERROR(IF(OR($B2306="",$B2306="(blank)"),"",VLOOKUP($B2306,'Email Marketing Raw Data'!$C:$O,13,0)),"")</f>
        <v/>
      </c>
      <c r="G2306" s="55" t="str">
        <f>IFERROR(IF(OR($B2306="",$B2306="(blank)"),"",VLOOKUP($B2306,'Email Marketing Raw Data'!$C:$O,4,0)),"")</f>
        <v/>
      </c>
      <c r="H2306" s="55" t="str">
        <f>IFERROR(IF(OR($B2306="",$B2306="(blank)"),"",VLOOKUP($B2306,'Email Marketing Raw Data'!$C:$O,5,0)),"")</f>
        <v/>
      </c>
      <c r="I2306" s="55" t="str">
        <f>IFERROR(IF($G2306="","",VLOOKUP('Dashboard And Emails Automate'!$G2306,Database!$H:$N,3,0)),"")</f>
        <v/>
      </c>
      <c r="J2306" s="55" t="str">
        <f>IFERROR(IF($G2306="","",VLOOKUP('Dashboard And Emails Automate'!$G2306,Database!$H:$N,4,0)),"")</f>
        <v/>
      </c>
      <c r="K2306" s="55" t="str">
        <f>IFERROR(IF($G2306="","",VLOOKUP('Dashboard And Emails Automate'!$G2306,Database!$H:$N,5,0)),"")</f>
        <v/>
      </c>
      <c r="L2306" s="55" t="str">
        <f>IFERROR(IF($G2306="","",VLOOKUP('Dashboard And Emails Automate'!$G2306,Database!$H:$N,6,0)),"")</f>
        <v/>
      </c>
      <c r="M2306" s="55" t="str">
        <f>IFERROR(IF($G2306="","",VLOOKUP('Dashboard And Emails Automate'!$G2306,Database!$H:$N,7,0)),"")</f>
        <v/>
      </c>
      <c r="N2306" s="55" t="str">
        <f>IFERROR(IF(OR($B2306="",$B2306="(blank)"),"",VLOOKUP($B2306,'Email Marketing Raw Data'!$C:$O,6,0)),"")</f>
        <v/>
      </c>
      <c r="O2306" s="55" t="str">
        <f>IFERROR(IF(OR($B2306="",$B2306="(blank)"),"",VLOOKUP($B2306,'Email Marketing Raw Data'!$C:$O,7,0)),"")</f>
        <v/>
      </c>
      <c r="P2306" s="55" t="str">
        <f>IFERROR(IF(OR($B2306="",$B2306="(blank)"),"",VLOOKUP($B2306,'Email Marketing Raw Data'!$C:$O,8,0)),"")</f>
        <v/>
      </c>
      <c r="Q2306" s="62" t="str">
        <f>IFERROR(IF(OR($B2306="",$B2306="(blank)"),"",VLOOKUP($B2306,'Email Marketing Raw Data'!$C:$O,9,0)),"")</f>
        <v/>
      </c>
    </row>
    <row r="2307" spans="4:17" ht="12.75" customHeight="1" x14ac:dyDescent="0.2">
      <c r="D2307" s="58" t="str">
        <f>IFERROR(IF(F2307&lt;&gt;"pending","",IF(OR($B2307="",$B2307="(blank)"),"",VLOOKUP($B2307,'Email Marketing Raw Data'!$C:$O,10,0))),"")</f>
        <v/>
      </c>
      <c r="E2307" s="59" t="str">
        <f>IFERROR(IF(F2307&lt;&gt;"pending","",IF(OR($B2307="",$B2307="(blank)"),"",VLOOKUP($B2307,'Email Marketing Raw Data'!$C:$O,11,0))),"")</f>
        <v/>
      </c>
      <c r="F2307" s="54" t="str">
        <f>IFERROR(IF(OR($B2307="",$B2307="(blank)"),"",VLOOKUP($B2307,'Email Marketing Raw Data'!$C:$O,13,0)),"")</f>
        <v/>
      </c>
      <c r="G2307" s="55" t="str">
        <f>IFERROR(IF(OR($B2307="",$B2307="(blank)"),"",VLOOKUP($B2307,'Email Marketing Raw Data'!$C:$O,4,0)),"")</f>
        <v/>
      </c>
      <c r="H2307" s="55" t="str">
        <f>IFERROR(IF(OR($B2307="",$B2307="(blank)"),"",VLOOKUP($B2307,'Email Marketing Raw Data'!$C:$O,5,0)),"")</f>
        <v/>
      </c>
      <c r="I2307" s="55" t="str">
        <f>IFERROR(IF($G2307="","",VLOOKUP('Dashboard And Emails Automate'!$G2307,Database!$H:$N,3,0)),"")</f>
        <v/>
      </c>
      <c r="J2307" s="55" t="str">
        <f>IFERROR(IF($G2307="","",VLOOKUP('Dashboard And Emails Automate'!$G2307,Database!$H:$N,4,0)),"")</f>
        <v/>
      </c>
      <c r="K2307" s="55" t="str">
        <f>IFERROR(IF($G2307="","",VLOOKUP('Dashboard And Emails Automate'!$G2307,Database!$H:$N,5,0)),"")</f>
        <v/>
      </c>
      <c r="L2307" s="55" t="str">
        <f>IFERROR(IF($G2307="","",VLOOKUP('Dashboard And Emails Automate'!$G2307,Database!$H:$N,6,0)),"")</f>
        <v/>
      </c>
      <c r="M2307" s="55" t="str">
        <f>IFERROR(IF($G2307="","",VLOOKUP('Dashboard And Emails Automate'!$G2307,Database!$H:$N,7,0)),"")</f>
        <v/>
      </c>
      <c r="N2307" s="55" t="str">
        <f>IFERROR(IF(OR($B2307="",$B2307="(blank)"),"",VLOOKUP($B2307,'Email Marketing Raw Data'!$C:$O,6,0)),"")</f>
        <v/>
      </c>
      <c r="O2307" s="55" t="str">
        <f>IFERROR(IF(OR($B2307="",$B2307="(blank)"),"",VLOOKUP($B2307,'Email Marketing Raw Data'!$C:$O,7,0)),"")</f>
        <v/>
      </c>
      <c r="P2307" s="55" t="str">
        <f>IFERROR(IF(OR($B2307="",$B2307="(blank)"),"",VLOOKUP($B2307,'Email Marketing Raw Data'!$C:$O,8,0)),"")</f>
        <v/>
      </c>
      <c r="Q2307" s="62" t="str">
        <f>IFERROR(IF(OR($B2307="",$B2307="(blank)"),"",VLOOKUP($B2307,'Email Marketing Raw Data'!$C:$O,9,0)),"")</f>
        <v/>
      </c>
    </row>
    <row r="2308" spans="4:17" ht="12.75" customHeight="1" x14ac:dyDescent="0.2">
      <c r="D2308" s="58" t="str">
        <f>IFERROR(IF(F2308&lt;&gt;"pending","",IF(OR($B2308="",$B2308="(blank)"),"",VLOOKUP($B2308,'Email Marketing Raw Data'!$C:$O,10,0))),"")</f>
        <v/>
      </c>
      <c r="E2308" s="59" t="str">
        <f>IFERROR(IF(F2308&lt;&gt;"pending","",IF(OR($B2308="",$B2308="(blank)"),"",VLOOKUP($B2308,'Email Marketing Raw Data'!$C:$O,11,0))),"")</f>
        <v/>
      </c>
      <c r="F2308" s="54" t="str">
        <f>IFERROR(IF(OR($B2308="",$B2308="(blank)"),"",VLOOKUP($B2308,'Email Marketing Raw Data'!$C:$O,13,0)),"")</f>
        <v/>
      </c>
      <c r="G2308" s="55" t="str">
        <f>IFERROR(IF(OR($B2308="",$B2308="(blank)"),"",VLOOKUP($B2308,'Email Marketing Raw Data'!$C:$O,4,0)),"")</f>
        <v/>
      </c>
      <c r="H2308" s="55" t="str">
        <f>IFERROR(IF(OR($B2308="",$B2308="(blank)"),"",VLOOKUP($B2308,'Email Marketing Raw Data'!$C:$O,5,0)),"")</f>
        <v/>
      </c>
      <c r="I2308" s="55" t="str">
        <f>IFERROR(IF($G2308="","",VLOOKUP('Dashboard And Emails Automate'!$G2308,Database!$H:$N,3,0)),"")</f>
        <v/>
      </c>
      <c r="J2308" s="55" t="str">
        <f>IFERROR(IF($G2308="","",VLOOKUP('Dashboard And Emails Automate'!$G2308,Database!$H:$N,4,0)),"")</f>
        <v/>
      </c>
      <c r="K2308" s="55" t="str">
        <f>IFERROR(IF($G2308="","",VLOOKUP('Dashboard And Emails Automate'!$G2308,Database!$H:$N,5,0)),"")</f>
        <v/>
      </c>
      <c r="L2308" s="55" t="str">
        <f>IFERROR(IF($G2308="","",VLOOKUP('Dashboard And Emails Automate'!$G2308,Database!$H:$N,6,0)),"")</f>
        <v/>
      </c>
      <c r="M2308" s="55" t="str">
        <f>IFERROR(IF($G2308="","",VLOOKUP('Dashboard And Emails Automate'!$G2308,Database!$H:$N,7,0)),"")</f>
        <v/>
      </c>
      <c r="N2308" s="55" t="str">
        <f>IFERROR(IF(OR($B2308="",$B2308="(blank)"),"",VLOOKUP($B2308,'Email Marketing Raw Data'!$C:$O,6,0)),"")</f>
        <v/>
      </c>
      <c r="O2308" s="55" t="str">
        <f>IFERROR(IF(OR($B2308="",$B2308="(blank)"),"",VLOOKUP($B2308,'Email Marketing Raw Data'!$C:$O,7,0)),"")</f>
        <v/>
      </c>
      <c r="P2308" s="55" t="str">
        <f>IFERROR(IF(OR($B2308="",$B2308="(blank)"),"",VLOOKUP($B2308,'Email Marketing Raw Data'!$C:$O,8,0)),"")</f>
        <v/>
      </c>
      <c r="Q2308" s="62" t="str">
        <f>IFERROR(IF(OR($B2308="",$B2308="(blank)"),"",VLOOKUP($B2308,'Email Marketing Raw Data'!$C:$O,9,0)),"")</f>
        <v/>
      </c>
    </row>
    <row r="2309" spans="4:17" ht="12.75" customHeight="1" x14ac:dyDescent="0.2">
      <c r="D2309" s="58" t="str">
        <f>IFERROR(IF(F2309&lt;&gt;"pending","",IF(OR($B2309="",$B2309="(blank)"),"",VLOOKUP($B2309,'Email Marketing Raw Data'!$C:$O,10,0))),"")</f>
        <v/>
      </c>
      <c r="E2309" s="59" t="str">
        <f>IFERROR(IF(F2309&lt;&gt;"pending","",IF(OR($B2309="",$B2309="(blank)"),"",VLOOKUP($B2309,'Email Marketing Raw Data'!$C:$O,11,0))),"")</f>
        <v/>
      </c>
      <c r="F2309" s="54" t="str">
        <f>IFERROR(IF(OR($B2309="",$B2309="(blank)"),"",VLOOKUP($B2309,'Email Marketing Raw Data'!$C:$O,13,0)),"")</f>
        <v/>
      </c>
      <c r="G2309" s="55" t="str">
        <f>IFERROR(IF(OR($B2309="",$B2309="(blank)"),"",VLOOKUP($B2309,'Email Marketing Raw Data'!$C:$O,4,0)),"")</f>
        <v/>
      </c>
      <c r="H2309" s="55" t="str">
        <f>IFERROR(IF(OR($B2309="",$B2309="(blank)"),"",VLOOKUP($B2309,'Email Marketing Raw Data'!$C:$O,5,0)),"")</f>
        <v/>
      </c>
      <c r="I2309" s="55" t="str">
        <f>IFERROR(IF($G2309="","",VLOOKUP('Dashboard And Emails Automate'!$G2309,Database!$H:$N,3,0)),"")</f>
        <v/>
      </c>
      <c r="J2309" s="55" t="str">
        <f>IFERROR(IF($G2309="","",VLOOKUP('Dashboard And Emails Automate'!$G2309,Database!$H:$N,4,0)),"")</f>
        <v/>
      </c>
      <c r="K2309" s="55" t="str">
        <f>IFERROR(IF($G2309="","",VLOOKUP('Dashboard And Emails Automate'!$G2309,Database!$H:$N,5,0)),"")</f>
        <v/>
      </c>
      <c r="L2309" s="55" t="str">
        <f>IFERROR(IF($G2309="","",VLOOKUP('Dashboard And Emails Automate'!$G2309,Database!$H:$N,6,0)),"")</f>
        <v/>
      </c>
      <c r="M2309" s="55" t="str">
        <f>IFERROR(IF($G2309="","",VLOOKUP('Dashboard And Emails Automate'!$G2309,Database!$H:$N,7,0)),"")</f>
        <v/>
      </c>
      <c r="N2309" s="55" t="str">
        <f>IFERROR(IF(OR($B2309="",$B2309="(blank)"),"",VLOOKUP($B2309,'Email Marketing Raw Data'!$C:$O,6,0)),"")</f>
        <v/>
      </c>
      <c r="O2309" s="55" t="str">
        <f>IFERROR(IF(OR($B2309="",$B2309="(blank)"),"",VLOOKUP($B2309,'Email Marketing Raw Data'!$C:$O,7,0)),"")</f>
        <v/>
      </c>
      <c r="P2309" s="55" t="str">
        <f>IFERROR(IF(OR($B2309="",$B2309="(blank)"),"",VLOOKUP($B2309,'Email Marketing Raw Data'!$C:$O,8,0)),"")</f>
        <v/>
      </c>
      <c r="Q2309" s="62" t="str">
        <f>IFERROR(IF(OR($B2309="",$B2309="(blank)"),"",VLOOKUP($B2309,'Email Marketing Raw Data'!$C:$O,9,0)),"")</f>
        <v/>
      </c>
    </row>
    <row r="2310" spans="4:17" ht="12.75" customHeight="1" x14ac:dyDescent="0.2">
      <c r="D2310" s="58" t="str">
        <f>IFERROR(IF(F2310&lt;&gt;"pending","",IF(OR($B2310="",$B2310="(blank)"),"",VLOOKUP($B2310,'Email Marketing Raw Data'!$C:$O,10,0))),"")</f>
        <v/>
      </c>
      <c r="E2310" s="59" t="str">
        <f>IFERROR(IF(F2310&lt;&gt;"pending","",IF(OR($B2310="",$B2310="(blank)"),"",VLOOKUP($B2310,'Email Marketing Raw Data'!$C:$O,11,0))),"")</f>
        <v/>
      </c>
      <c r="F2310" s="54" t="str">
        <f>IFERROR(IF(OR($B2310="",$B2310="(blank)"),"",VLOOKUP($B2310,'Email Marketing Raw Data'!$C:$O,13,0)),"")</f>
        <v/>
      </c>
      <c r="G2310" s="55" t="str">
        <f>IFERROR(IF(OR($B2310="",$B2310="(blank)"),"",VLOOKUP($B2310,'Email Marketing Raw Data'!$C:$O,4,0)),"")</f>
        <v/>
      </c>
      <c r="H2310" s="55" t="str">
        <f>IFERROR(IF(OR($B2310="",$B2310="(blank)"),"",VLOOKUP($B2310,'Email Marketing Raw Data'!$C:$O,5,0)),"")</f>
        <v/>
      </c>
      <c r="I2310" s="55" t="str">
        <f>IFERROR(IF($G2310="","",VLOOKUP('Dashboard And Emails Automate'!$G2310,Database!$H:$N,3,0)),"")</f>
        <v/>
      </c>
      <c r="J2310" s="55" t="str">
        <f>IFERROR(IF($G2310="","",VLOOKUP('Dashboard And Emails Automate'!$G2310,Database!$H:$N,4,0)),"")</f>
        <v/>
      </c>
      <c r="K2310" s="55" t="str">
        <f>IFERROR(IF($G2310="","",VLOOKUP('Dashboard And Emails Automate'!$G2310,Database!$H:$N,5,0)),"")</f>
        <v/>
      </c>
      <c r="L2310" s="55" t="str">
        <f>IFERROR(IF($G2310="","",VLOOKUP('Dashboard And Emails Automate'!$G2310,Database!$H:$N,6,0)),"")</f>
        <v/>
      </c>
      <c r="M2310" s="55" t="str">
        <f>IFERROR(IF($G2310="","",VLOOKUP('Dashboard And Emails Automate'!$G2310,Database!$H:$N,7,0)),"")</f>
        <v/>
      </c>
      <c r="N2310" s="55" t="str">
        <f>IFERROR(IF(OR($B2310="",$B2310="(blank)"),"",VLOOKUP($B2310,'Email Marketing Raw Data'!$C:$O,6,0)),"")</f>
        <v/>
      </c>
      <c r="O2310" s="55" t="str">
        <f>IFERROR(IF(OR($B2310="",$B2310="(blank)"),"",VLOOKUP($B2310,'Email Marketing Raw Data'!$C:$O,7,0)),"")</f>
        <v/>
      </c>
      <c r="P2310" s="55" t="str">
        <f>IFERROR(IF(OR($B2310="",$B2310="(blank)"),"",VLOOKUP($B2310,'Email Marketing Raw Data'!$C:$O,8,0)),"")</f>
        <v/>
      </c>
      <c r="Q2310" s="62" t="str">
        <f>IFERROR(IF(OR($B2310="",$B2310="(blank)"),"",VLOOKUP($B2310,'Email Marketing Raw Data'!$C:$O,9,0)),"")</f>
        <v/>
      </c>
    </row>
    <row r="2311" spans="4:17" ht="12.75" customHeight="1" x14ac:dyDescent="0.2">
      <c r="D2311" s="58" t="str">
        <f>IFERROR(IF(F2311&lt;&gt;"pending","",IF(OR($B2311="",$B2311="(blank)"),"",VLOOKUP($B2311,'Email Marketing Raw Data'!$C:$O,10,0))),"")</f>
        <v/>
      </c>
      <c r="E2311" s="59" t="str">
        <f>IFERROR(IF(F2311&lt;&gt;"pending","",IF(OR($B2311="",$B2311="(blank)"),"",VLOOKUP($B2311,'Email Marketing Raw Data'!$C:$O,11,0))),"")</f>
        <v/>
      </c>
      <c r="F2311" s="54" t="str">
        <f>IFERROR(IF(OR($B2311="",$B2311="(blank)"),"",VLOOKUP($B2311,'Email Marketing Raw Data'!$C:$O,13,0)),"")</f>
        <v/>
      </c>
      <c r="G2311" s="55" t="str">
        <f>IFERROR(IF(OR($B2311="",$B2311="(blank)"),"",VLOOKUP($B2311,'Email Marketing Raw Data'!$C:$O,4,0)),"")</f>
        <v/>
      </c>
      <c r="H2311" s="55" t="str">
        <f>IFERROR(IF(OR($B2311="",$B2311="(blank)"),"",VLOOKUP($B2311,'Email Marketing Raw Data'!$C:$O,5,0)),"")</f>
        <v/>
      </c>
      <c r="I2311" s="55" t="str">
        <f>IFERROR(IF($G2311="","",VLOOKUP('Dashboard And Emails Automate'!$G2311,Database!$H:$N,3,0)),"")</f>
        <v/>
      </c>
      <c r="J2311" s="55" t="str">
        <f>IFERROR(IF($G2311="","",VLOOKUP('Dashboard And Emails Automate'!$G2311,Database!$H:$N,4,0)),"")</f>
        <v/>
      </c>
      <c r="K2311" s="55" t="str">
        <f>IFERROR(IF($G2311="","",VLOOKUP('Dashboard And Emails Automate'!$G2311,Database!$H:$N,5,0)),"")</f>
        <v/>
      </c>
      <c r="L2311" s="55" t="str">
        <f>IFERROR(IF($G2311="","",VLOOKUP('Dashboard And Emails Automate'!$G2311,Database!$H:$N,6,0)),"")</f>
        <v/>
      </c>
      <c r="M2311" s="55" t="str">
        <f>IFERROR(IF($G2311="","",VLOOKUP('Dashboard And Emails Automate'!$G2311,Database!$H:$N,7,0)),"")</f>
        <v/>
      </c>
      <c r="N2311" s="55" t="str">
        <f>IFERROR(IF(OR($B2311="",$B2311="(blank)"),"",VLOOKUP($B2311,'Email Marketing Raw Data'!$C:$O,6,0)),"")</f>
        <v/>
      </c>
      <c r="O2311" s="55" t="str">
        <f>IFERROR(IF(OR($B2311="",$B2311="(blank)"),"",VLOOKUP($B2311,'Email Marketing Raw Data'!$C:$O,7,0)),"")</f>
        <v/>
      </c>
      <c r="P2311" s="55" t="str">
        <f>IFERROR(IF(OR($B2311="",$B2311="(blank)"),"",VLOOKUP($B2311,'Email Marketing Raw Data'!$C:$O,8,0)),"")</f>
        <v/>
      </c>
      <c r="Q2311" s="62" t="str">
        <f>IFERROR(IF(OR($B2311="",$B2311="(blank)"),"",VLOOKUP($B2311,'Email Marketing Raw Data'!$C:$O,9,0)),"")</f>
        <v/>
      </c>
    </row>
    <row r="2312" spans="4:17" ht="12.75" customHeight="1" x14ac:dyDescent="0.2">
      <c r="D2312" s="58" t="str">
        <f>IFERROR(IF(F2312&lt;&gt;"pending","",IF(OR($B2312="",$B2312="(blank)"),"",VLOOKUP($B2312,'Email Marketing Raw Data'!$C:$O,10,0))),"")</f>
        <v/>
      </c>
      <c r="E2312" s="59" t="str">
        <f>IFERROR(IF(F2312&lt;&gt;"pending","",IF(OR($B2312="",$B2312="(blank)"),"",VLOOKUP($B2312,'Email Marketing Raw Data'!$C:$O,11,0))),"")</f>
        <v/>
      </c>
      <c r="F2312" s="54" t="str">
        <f>IFERROR(IF(OR($B2312="",$B2312="(blank)"),"",VLOOKUP($B2312,'Email Marketing Raw Data'!$C:$O,13,0)),"")</f>
        <v/>
      </c>
      <c r="G2312" s="55" t="str">
        <f>IFERROR(IF(OR($B2312="",$B2312="(blank)"),"",VLOOKUP($B2312,'Email Marketing Raw Data'!$C:$O,4,0)),"")</f>
        <v/>
      </c>
      <c r="H2312" s="55" t="str">
        <f>IFERROR(IF(OR($B2312="",$B2312="(blank)"),"",VLOOKUP($B2312,'Email Marketing Raw Data'!$C:$O,5,0)),"")</f>
        <v/>
      </c>
      <c r="I2312" s="55" t="str">
        <f>IFERROR(IF($G2312="","",VLOOKUP('Dashboard And Emails Automate'!$G2312,Database!$H:$N,3,0)),"")</f>
        <v/>
      </c>
      <c r="J2312" s="55" t="str">
        <f>IFERROR(IF($G2312="","",VLOOKUP('Dashboard And Emails Automate'!$G2312,Database!$H:$N,4,0)),"")</f>
        <v/>
      </c>
      <c r="K2312" s="55" t="str">
        <f>IFERROR(IF($G2312="","",VLOOKUP('Dashboard And Emails Automate'!$G2312,Database!$H:$N,5,0)),"")</f>
        <v/>
      </c>
      <c r="L2312" s="55" t="str">
        <f>IFERROR(IF($G2312="","",VLOOKUP('Dashboard And Emails Automate'!$G2312,Database!$H:$N,6,0)),"")</f>
        <v/>
      </c>
      <c r="M2312" s="55" t="str">
        <f>IFERROR(IF($G2312="","",VLOOKUP('Dashboard And Emails Automate'!$G2312,Database!$H:$N,7,0)),"")</f>
        <v/>
      </c>
      <c r="N2312" s="55" t="str">
        <f>IFERROR(IF(OR($B2312="",$B2312="(blank)"),"",VLOOKUP($B2312,'Email Marketing Raw Data'!$C:$O,6,0)),"")</f>
        <v/>
      </c>
      <c r="O2312" s="55" t="str">
        <f>IFERROR(IF(OR($B2312="",$B2312="(blank)"),"",VLOOKUP($B2312,'Email Marketing Raw Data'!$C:$O,7,0)),"")</f>
        <v/>
      </c>
      <c r="P2312" s="55" t="str">
        <f>IFERROR(IF(OR($B2312="",$B2312="(blank)"),"",VLOOKUP($B2312,'Email Marketing Raw Data'!$C:$O,8,0)),"")</f>
        <v/>
      </c>
      <c r="Q2312" s="62" t="str">
        <f>IFERROR(IF(OR($B2312="",$B2312="(blank)"),"",VLOOKUP($B2312,'Email Marketing Raw Data'!$C:$O,9,0)),"")</f>
        <v/>
      </c>
    </row>
    <row r="2313" spans="4:17" ht="12.75" customHeight="1" x14ac:dyDescent="0.2">
      <c r="D2313" s="58" t="str">
        <f>IFERROR(IF(F2313&lt;&gt;"pending","",IF(OR($B2313="",$B2313="(blank)"),"",VLOOKUP($B2313,'Email Marketing Raw Data'!$C:$O,10,0))),"")</f>
        <v/>
      </c>
      <c r="E2313" s="59" t="str">
        <f>IFERROR(IF(F2313&lt;&gt;"pending","",IF(OR($B2313="",$B2313="(blank)"),"",VLOOKUP($B2313,'Email Marketing Raw Data'!$C:$O,11,0))),"")</f>
        <v/>
      </c>
      <c r="F2313" s="54" t="str">
        <f>IFERROR(IF(OR($B2313="",$B2313="(blank)"),"",VLOOKUP($B2313,'Email Marketing Raw Data'!$C:$O,13,0)),"")</f>
        <v/>
      </c>
      <c r="G2313" s="55" t="str">
        <f>IFERROR(IF(OR($B2313="",$B2313="(blank)"),"",VLOOKUP($B2313,'Email Marketing Raw Data'!$C:$O,4,0)),"")</f>
        <v/>
      </c>
      <c r="H2313" s="55" t="str">
        <f>IFERROR(IF(OR($B2313="",$B2313="(blank)"),"",VLOOKUP($B2313,'Email Marketing Raw Data'!$C:$O,5,0)),"")</f>
        <v/>
      </c>
      <c r="I2313" s="55" t="str">
        <f>IFERROR(IF($G2313="","",VLOOKUP('Dashboard And Emails Automate'!$G2313,Database!$H:$N,3,0)),"")</f>
        <v/>
      </c>
      <c r="J2313" s="55" t="str">
        <f>IFERROR(IF($G2313="","",VLOOKUP('Dashboard And Emails Automate'!$G2313,Database!$H:$N,4,0)),"")</f>
        <v/>
      </c>
      <c r="K2313" s="55" t="str">
        <f>IFERROR(IF($G2313="","",VLOOKUP('Dashboard And Emails Automate'!$G2313,Database!$H:$N,5,0)),"")</f>
        <v/>
      </c>
      <c r="L2313" s="55" t="str">
        <f>IFERROR(IF($G2313="","",VLOOKUP('Dashboard And Emails Automate'!$G2313,Database!$H:$N,6,0)),"")</f>
        <v/>
      </c>
      <c r="M2313" s="55" t="str">
        <f>IFERROR(IF($G2313="","",VLOOKUP('Dashboard And Emails Automate'!$G2313,Database!$H:$N,7,0)),"")</f>
        <v/>
      </c>
      <c r="N2313" s="55" t="str">
        <f>IFERROR(IF(OR($B2313="",$B2313="(blank)"),"",VLOOKUP($B2313,'Email Marketing Raw Data'!$C:$O,6,0)),"")</f>
        <v/>
      </c>
      <c r="O2313" s="55" t="str">
        <f>IFERROR(IF(OR($B2313="",$B2313="(blank)"),"",VLOOKUP($B2313,'Email Marketing Raw Data'!$C:$O,7,0)),"")</f>
        <v/>
      </c>
      <c r="P2313" s="55" t="str">
        <f>IFERROR(IF(OR($B2313="",$B2313="(blank)"),"",VLOOKUP($B2313,'Email Marketing Raw Data'!$C:$O,8,0)),"")</f>
        <v/>
      </c>
      <c r="Q2313" s="62" t="str">
        <f>IFERROR(IF(OR($B2313="",$B2313="(blank)"),"",VLOOKUP($B2313,'Email Marketing Raw Data'!$C:$O,9,0)),"")</f>
        <v/>
      </c>
    </row>
    <row r="2314" spans="4:17" ht="12.75" customHeight="1" x14ac:dyDescent="0.2">
      <c r="D2314" s="58" t="str">
        <f>IFERROR(IF(F2314&lt;&gt;"pending","",IF(OR($B2314="",$B2314="(blank)"),"",VLOOKUP($B2314,'Email Marketing Raw Data'!$C:$O,10,0))),"")</f>
        <v/>
      </c>
      <c r="E2314" s="59" t="str">
        <f>IFERROR(IF(F2314&lt;&gt;"pending","",IF(OR($B2314="",$B2314="(blank)"),"",VLOOKUP($B2314,'Email Marketing Raw Data'!$C:$O,11,0))),"")</f>
        <v/>
      </c>
      <c r="F2314" s="54" t="str">
        <f>IFERROR(IF(OR($B2314="",$B2314="(blank)"),"",VLOOKUP($B2314,'Email Marketing Raw Data'!$C:$O,13,0)),"")</f>
        <v/>
      </c>
      <c r="G2314" s="55" t="str">
        <f>IFERROR(IF(OR($B2314="",$B2314="(blank)"),"",VLOOKUP($B2314,'Email Marketing Raw Data'!$C:$O,4,0)),"")</f>
        <v/>
      </c>
      <c r="H2314" s="55" t="str">
        <f>IFERROR(IF(OR($B2314="",$B2314="(blank)"),"",VLOOKUP($B2314,'Email Marketing Raw Data'!$C:$O,5,0)),"")</f>
        <v/>
      </c>
      <c r="I2314" s="55" t="str">
        <f>IFERROR(IF($G2314="","",VLOOKUP('Dashboard And Emails Automate'!$G2314,Database!$H:$N,3,0)),"")</f>
        <v/>
      </c>
      <c r="J2314" s="55" t="str">
        <f>IFERROR(IF($G2314="","",VLOOKUP('Dashboard And Emails Automate'!$G2314,Database!$H:$N,4,0)),"")</f>
        <v/>
      </c>
      <c r="K2314" s="55" t="str">
        <f>IFERROR(IF($G2314="","",VLOOKUP('Dashboard And Emails Automate'!$G2314,Database!$H:$N,5,0)),"")</f>
        <v/>
      </c>
      <c r="L2314" s="55" t="str">
        <f>IFERROR(IF($G2314="","",VLOOKUP('Dashboard And Emails Automate'!$G2314,Database!$H:$N,6,0)),"")</f>
        <v/>
      </c>
      <c r="M2314" s="55" t="str">
        <f>IFERROR(IF($G2314="","",VLOOKUP('Dashboard And Emails Automate'!$G2314,Database!$H:$N,7,0)),"")</f>
        <v/>
      </c>
      <c r="N2314" s="55" t="str">
        <f>IFERROR(IF(OR($B2314="",$B2314="(blank)"),"",VLOOKUP($B2314,'Email Marketing Raw Data'!$C:$O,6,0)),"")</f>
        <v/>
      </c>
      <c r="O2314" s="55" t="str">
        <f>IFERROR(IF(OR($B2314="",$B2314="(blank)"),"",VLOOKUP($B2314,'Email Marketing Raw Data'!$C:$O,7,0)),"")</f>
        <v/>
      </c>
      <c r="P2314" s="55" t="str">
        <f>IFERROR(IF(OR($B2314="",$B2314="(blank)"),"",VLOOKUP($B2314,'Email Marketing Raw Data'!$C:$O,8,0)),"")</f>
        <v/>
      </c>
      <c r="Q2314" s="62" t="str">
        <f>IFERROR(IF(OR($B2314="",$B2314="(blank)"),"",VLOOKUP($B2314,'Email Marketing Raw Data'!$C:$O,9,0)),"")</f>
        <v/>
      </c>
    </row>
    <row r="2315" spans="4:17" ht="12.75" customHeight="1" x14ac:dyDescent="0.2">
      <c r="D2315" s="58" t="str">
        <f>IFERROR(IF(F2315&lt;&gt;"pending","",IF(OR($B2315="",$B2315="(blank)"),"",VLOOKUP($B2315,'Email Marketing Raw Data'!$C:$O,10,0))),"")</f>
        <v/>
      </c>
      <c r="E2315" s="59" t="str">
        <f>IFERROR(IF(F2315&lt;&gt;"pending","",IF(OR($B2315="",$B2315="(blank)"),"",VLOOKUP($B2315,'Email Marketing Raw Data'!$C:$O,11,0))),"")</f>
        <v/>
      </c>
      <c r="F2315" s="54" t="str">
        <f>IFERROR(IF(OR($B2315="",$B2315="(blank)"),"",VLOOKUP($B2315,'Email Marketing Raw Data'!$C:$O,13,0)),"")</f>
        <v/>
      </c>
      <c r="G2315" s="55" t="str">
        <f>IFERROR(IF(OR($B2315="",$B2315="(blank)"),"",VLOOKUP($B2315,'Email Marketing Raw Data'!$C:$O,4,0)),"")</f>
        <v/>
      </c>
      <c r="H2315" s="55" t="str">
        <f>IFERROR(IF(OR($B2315="",$B2315="(blank)"),"",VLOOKUP($B2315,'Email Marketing Raw Data'!$C:$O,5,0)),"")</f>
        <v/>
      </c>
      <c r="I2315" s="55" t="str">
        <f>IFERROR(IF($G2315="","",VLOOKUP('Dashboard And Emails Automate'!$G2315,Database!$H:$N,3,0)),"")</f>
        <v/>
      </c>
      <c r="J2315" s="55" t="str">
        <f>IFERROR(IF($G2315="","",VLOOKUP('Dashboard And Emails Automate'!$G2315,Database!$H:$N,4,0)),"")</f>
        <v/>
      </c>
      <c r="K2315" s="55" t="str">
        <f>IFERROR(IF($G2315="","",VLOOKUP('Dashboard And Emails Automate'!$G2315,Database!$H:$N,5,0)),"")</f>
        <v/>
      </c>
      <c r="L2315" s="55" t="str">
        <f>IFERROR(IF($G2315="","",VLOOKUP('Dashboard And Emails Automate'!$G2315,Database!$H:$N,6,0)),"")</f>
        <v/>
      </c>
      <c r="M2315" s="55" t="str">
        <f>IFERROR(IF($G2315="","",VLOOKUP('Dashboard And Emails Automate'!$G2315,Database!$H:$N,7,0)),"")</f>
        <v/>
      </c>
      <c r="N2315" s="55" t="str">
        <f>IFERROR(IF(OR($B2315="",$B2315="(blank)"),"",VLOOKUP($B2315,'Email Marketing Raw Data'!$C:$O,6,0)),"")</f>
        <v/>
      </c>
      <c r="O2315" s="55" t="str">
        <f>IFERROR(IF(OR($B2315="",$B2315="(blank)"),"",VLOOKUP($B2315,'Email Marketing Raw Data'!$C:$O,7,0)),"")</f>
        <v/>
      </c>
      <c r="P2315" s="55" t="str">
        <f>IFERROR(IF(OR($B2315="",$B2315="(blank)"),"",VLOOKUP($B2315,'Email Marketing Raw Data'!$C:$O,8,0)),"")</f>
        <v/>
      </c>
      <c r="Q2315" s="62" t="str">
        <f>IFERROR(IF(OR($B2315="",$B2315="(blank)"),"",VLOOKUP($B2315,'Email Marketing Raw Data'!$C:$O,9,0)),"")</f>
        <v/>
      </c>
    </row>
    <row r="2316" spans="4:17" ht="12.75" customHeight="1" x14ac:dyDescent="0.2">
      <c r="D2316" s="58" t="str">
        <f>IFERROR(IF(F2316&lt;&gt;"pending","",IF(OR($B2316="",$B2316="(blank)"),"",VLOOKUP($B2316,'Email Marketing Raw Data'!$C:$O,10,0))),"")</f>
        <v/>
      </c>
      <c r="E2316" s="59" t="str">
        <f>IFERROR(IF(F2316&lt;&gt;"pending","",IF(OR($B2316="",$B2316="(blank)"),"",VLOOKUP($B2316,'Email Marketing Raw Data'!$C:$O,11,0))),"")</f>
        <v/>
      </c>
      <c r="F2316" s="54" t="str">
        <f>IFERROR(IF(OR($B2316="",$B2316="(blank)"),"",VLOOKUP($B2316,'Email Marketing Raw Data'!$C:$O,13,0)),"")</f>
        <v/>
      </c>
      <c r="G2316" s="55" t="str">
        <f>IFERROR(IF(OR($B2316="",$B2316="(blank)"),"",VLOOKUP($B2316,'Email Marketing Raw Data'!$C:$O,4,0)),"")</f>
        <v/>
      </c>
      <c r="H2316" s="55" t="str">
        <f>IFERROR(IF(OR($B2316="",$B2316="(blank)"),"",VLOOKUP($B2316,'Email Marketing Raw Data'!$C:$O,5,0)),"")</f>
        <v/>
      </c>
      <c r="I2316" s="55" t="str">
        <f>IFERROR(IF($G2316="","",VLOOKUP('Dashboard And Emails Automate'!$G2316,Database!$H:$N,3,0)),"")</f>
        <v/>
      </c>
      <c r="J2316" s="55" t="str">
        <f>IFERROR(IF($G2316="","",VLOOKUP('Dashboard And Emails Automate'!$G2316,Database!$H:$N,4,0)),"")</f>
        <v/>
      </c>
      <c r="K2316" s="55" t="str">
        <f>IFERROR(IF($G2316="","",VLOOKUP('Dashboard And Emails Automate'!$G2316,Database!$H:$N,5,0)),"")</f>
        <v/>
      </c>
      <c r="L2316" s="55" t="str">
        <f>IFERROR(IF($G2316="","",VLOOKUP('Dashboard And Emails Automate'!$G2316,Database!$H:$N,6,0)),"")</f>
        <v/>
      </c>
      <c r="M2316" s="55" t="str">
        <f>IFERROR(IF($G2316="","",VLOOKUP('Dashboard And Emails Automate'!$G2316,Database!$H:$N,7,0)),"")</f>
        <v/>
      </c>
      <c r="N2316" s="55" t="str">
        <f>IFERROR(IF(OR($B2316="",$B2316="(blank)"),"",VLOOKUP($B2316,'Email Marketing Raw Data'!$C:$O,6,0)),"")</f>
        <v/>
      </c>
      <c r="O2316" s="55" t="str">
        <f>IFERROR(IF(OR($B2316="",$B2316="(blank)"),"",VLOOKUP($B2316,'Email Marketing Raw Data'!$C:$O,7,0)),"")</f>
        <v/>
      </c>
      <c r="P2316" s="55" t="str">
        <f>IFERROR(IF(OR($B2316="",$B2316="(blank)"),"",VLOOKUP($B2316,'Email Marketing Raw Data'!$C:$O,8,0)),"")</f>
        <v/>
      </c>
      <c r="Q2316" s="62" t="str">
        <f>IFERROR(IF(OR($B2316="",$B2316="(blank)"),"",VLOOKUP($B2316,'Email Marketing Raw Data'!$C:$O,9,0)),"")</f>
        <v/>
      </c>
    </row>
    <row r="2317" spans="4:17" ht="12.75" customHeight="1" x14ac:dyDescent="0.2">
      <c r="D2317" s="58" t="str">
        <f>IFERROR(IF(F2317&lt;&gt;"pending","",IF(OR($B2317="",$B2317="(blank)"),"",VLOOKUP($B2317,'Email Marketing Raw Data'!$C:$O,10,0))),"")</f>
        <v/>
      </c>
      <c r="E2317" s="59" t="str">
        <f>IFERROR(IF(F2317&lt;&gt;"pending","",IF(OR($B2317="",$B2317="(blank)"),"",VLOOKUP($B2317,'Email Marketing Raw Data'!$C:$O,11,0))),"")</f>
        <v/>
      </c>
      <c r="F2317" s="54" t="str">
        <f>IFERROR(IF(OR($B2317="",$B2317="(blank)"),"",VLOOKUP($B2317,'Email Marketing Raw Data'!$C:$O,13,0)),"")</f>
        <v/>
      </c>
      <c r="G2317" s="55" t="str">
        <f>IFERROR(IF(OR($B2317="",$B2317="(blank)"),"",VLOOKUP($B2317,'Email Marketing Raw Data'!$C:$O,4,0)),"")</f>
        <v/>
      </c>
      <c r="H2317" s="55" t="str">
        <f>IFERROR(IF(OR($B2317="",$B2317="(blank)"),"",VLOOKUP($B2317,'Email Marketing Raw Data'!$C:$O,5,0)),"")</f>
        <v/>
      </c>
      <c r="I2317" s="55" t="str">
        <f>IFERROR(IF($G2317="","",VLOOKUP('Dashboard And Emails Automate'!$G2317,Database!$H:$N,3,0)),"")</f>
        <v/>
      </c>
      <c r="J2317" s="55" t="str">
        <f>IFERROR(IF($G2317="","",VLOOKUP('Dashboard And Emails Automate'!$G2317,Database!$H:$N,4,0)),"")</f>
        <v/>
      </c>
      <c r="K2317" s="55" t="str">
        <f>IFERROR(IF($G2317="","",VLOOKUP('Dashboard And Emails Automate'!$G2317,Database!$H:$N,5,0)),"")</f>
        <v/>
      </c>
      <c r="L2317" s="55" t="str">
        <f>IFERROR(IF($G2317="","",VLOOKUP('Dashboard And Emails Automate'!$G2317,Database!$H:$N,6,0)),"")</f>
        <v/>
      </c>
      <c r="M2317" s="55" t="str">
        <f>IFERROR(IF($G2317="","",VLOOKUP('Dashboard And Emails Automate'!$G2317,Database!$H:$N,7,0)),"")</f>
        <v/>
      </c>
      <c r="N2317" s="55" t="str">
        <f>IFERROR(IF(OR($B2317="",$B2317="(blank)"),"",VLOOKUP($B2317,'Email Marketing Raw Data'!$C:$O,6,0)),"")</f>
        <v/>
      </c>
      <c r="O2317" s="55" t="str">
        <f>IFERROR(IF(OR($B2317="",$B2317="(blank)"),"",VLOOKUP($B2317,'Email Marketing Raw Data'!$C:$O,7,0)),"")</f>
        <v/>
      </c>
      <c r="P2317" s="55" t="str">
        <f>IFERROR(IF(OR($B2317="",$B2317="(blank)"),"",VLOOKUP($B2317,'Email Marketing Raw Data'!$C:$O,8,0)),"")</f>
        <v/>
      </c>
      <c r="Q2317" s="62" t="str">
        <f>IFERROR(IF(OR($B2317="",$B2317="(blank)"),"",VLOOKUP($B2317,'Email Marketing Raw Data'!$C:$O,9,0)),"")</f>
        <v/>
      </c>
    </row>
    <row r="2318" spans="4:17" ht="12.75" customHeight="1" x14ac:dyDescent="0.2">
      <c r="D2318" s="58" t="str">
        <f>IFERROR(IF(F2318&lt;&gt;"pending","",IF(OR($B2318="",$B2318="(blank)"),"",VLOOKUP($B2318,'Email Marketing Raw Data'!$C:$O,10,0))),"")</f>
        <v/>
      </c>
      <c r="E2318" s="59" t="str">
        <f>IFERROR(IF(F2318&lt;&gt;"pending","",IF(OR($B2318="",$B2318="(blank)"),"",VLOOKUP($B2318,'Email Marketing Raw Data'!$C:$O,11,0))),"")</f>
        <v/>
      </c>
      <c r="F2318" s="54" t="str">
        <f>IFERROR(IF(OR($B2318="",$B2318="(blank)"),"",VLOOKUP($B2318,'Email Marketing Raw Data'!$C:$O,13,0)),"")</f>
        <v/>
      </c>
      <c r="G2318" s="55" t="str">
        <f>IFERROR(IF(OR($B2318="",$B2318="(blank)"),"",VLOOKUP($B2318,'Email Marketing Raw Data'!$C:$O,4,0)),"")</f>
        <v/>
      </c>
      <c r="H2318" s="55" t="str">
        <f>IFERROR(IF(OR($B2318="",$B2318="(blank)"),"",VLOOKUP($B2318,'Email Marketing Raw Data'!$C:$O,5,0)),"")</f>
        <v/>
      </c>
      <c r="I2318" s="55" t="str">
        <f>IFERROR(IF($G2318="","",VLOOKUP('Dashboard And Emails Automate'!$G2318,Database!$H:$N,3,0)),"")</f>
        <v/>
      </c>
      <c r="J2318" s="55" t="str">
        <f>IFERROR(IF($G2318="","",VLOOKUP('Dashboard And Emails Automate'!$G2318,Database!$H:$N,4,0)),"")</f>
        <v/>
      </c>
      <c r="K2318" s="55" t="str">
        <f>IFERROR(IF($G2318="","",VLOOKUP('Dashboard And Emails Automate'!$G2318,Database!$H:$N,5,0)),"")</f>
        <v/>
      </c>
      <c r="L2318" s="55" t="str">
        <f>IFERROR(IF($G2318="","",VLOOKUP('Dashboard And Emails Automate'!$G2318,Database!$H:$N,6,0)),"")</f>
        <v/>
      </c>
      <c r="M2318" s="55" t="str">
        <f>IFERROR(IF($G2318="","",VLOOKUP('Dashboard And Emails Automate'!$G2318,Database!$H:$N,7,0)),"")</f>
        <v/>
      </c>
      <c r="N2318" s="55" t="str">
        <f>IFERROR(IF(OR($B2318="",$B2318="(blank)"),"",VLOOKUP($B2318,'Email Marketing Raw Data'!$C:$O,6,0)),"")</f>
        <v/>
      </c>
      <c r="O2318" s="55" t="str">
        <f>IFERROR(IF(OR($B2318="",$B2318="(blank)"),"",VLOOKUP($B2318,'Email Marketing Raw Data'!$C:$O,7,0)),"")</f>
        <v/>
      </c>
      <c r="P2318" s="55" t="str">
        <f>IFERROR(IF(OR($B2318="",$B2318="(blank)"),"",VLOOKUP($B2318,'Email Marketing Raw Data'!$C:$O,8,0)),"")</f>
        <v/>
      </c>
      <c r="Q2318" s="62" t="str">
        <f>IFERROR(IF(OR($B2318="",$B2318="(blank)"),"",VLOOKUP($B2318,'Email Marketing Raw Data'!$C:$O,9,0)),"")</f>
        <v/>
      </c>
    </row>
    <row r="2319" spans="4:17" ht="12.75" customHeight="1" x14ac:dyDescent="0.2">
      <c r="D2319" s="58" t="str">
        <f>IFERROR(IF(F2319&lt;&gt;"pending","",IF(OR($B2319="",$B2319="(blank)"),"",VLOOKUP($B2319,'Email Marketing Raw Data'!$C:$O,10,0))),"")</f>
        <v/>
      </c>
      <c r="E2319" s="59" t="str">
        <f>IFERROR(IF(F2319&lt;&gt;"pending","",IF(OR($B2319="",$B2319="(blank)"),"",VLOOKUP($B2319,'Email Marketing Raw Data'!$C:$O,11,0))),"")</f>
        <v/>
      </c>
      <c r="F2319" s="54" t="str">
        <f>IFERROR(IF(OR($B2319="",$B2319="(blank)"),"",VLOOKUP($B2319,'Email Marketing Raw Data'!$C:$O,13,0)),"")</f>
        <v/>
      </c>
      <c r="G2319" s="55" t="str">
        <f>IFERROR(IF(OR($B2319="",$B2319="(blank)"),"",VLOOKUP($B2319,'Email Marketing Raw Data'!$C:$O,4,0)),"")</f>
        <v/>
      </c>
      <c r="H2319" s="55" t="str">
        <f>IFERROR(IF(OR($B2319="",$B2319="(blank)"),"",VLOOKUP($B2319,'Email Marketing Raw Data'!$C:$O,5,0)),"")</f>
        <v/>
      </c>
      <c r="I2319" s="55" t="str">
        <f>IFERROR(IF($G2319="","",VLOOKUP('Dashboard And Emails Automate'!$G2319,Database!$H:$N,3,0)),"")</f>
        <v/>
      </c>
      <c r="J2319" s="55" t="str">
        <f>IFERROR(IF($G2319="","",VLOOKUP('Dashboard And Emails Automate'!$G2319,Database!$H:$N,4,0)),"")</f>
        <v/>
      </c>
      <c r="K2319" s="55" t="str">
        <f>IFERROR(IF($G2319="","",VLOOKUP('Dashboard And Emails Automate'!$G2319,Database!$H:$N,5,0)),"")</f>
        <v/>
      </c>
      <c r="L2319" s="55" t="str">
        <f>IFERROR(IF($G2319="","",VLOOKUP('Dashboard And Emails Automate'!$G2319,Database!$H:$N,6,0)),"")</f>
        <v/>
      </c>
      <c r="M2319" s="55" t="str">
        <f>IFERROR(IF($G2319="","",VLOOKUP('Dashboard And Emails Automate'!$G2319,Database!$H:$N,7,0)),"")</f>
        <v/>
      </c>
      <c r="N2319" s="55" t="str">
        <f>IFERROR(IF(OR($B2319="",$B2319="(blank)"),"",VLOOKUP($B2319,'Email Marketing Raw Data'!$C:$O,6,0)),"")</f>
        <v/>
      </c>
      <c r="O2319" s="55" t="str">
        <f>IFERROR(IF(OR($B2319="",$B2319="(blank)"),"",VLOOKUP($B2319,'Email Marketing Raw Data'!$C:$O,7,0)),"")</f>
        <v/>
      </c>
      <c r="P2319" s="55" t="str">
        <f>IFERROR(IF(OR($B2319="",$B2319="(blank)"),"",VLOOKUP($B2319,'Email Marketing Raw Data'!$C:$O,8,0)),"")</f>
        <v/>
      </c>
      <c r="Q2319" s="62" t="str">
        <f>IFERROR(IF(OR($B2319="",$B2319="(blank)"),"",VLOOKUP($B2319,'Email Marketing Raw Data'!$C:$O,9,0)),"")</f>
        <v/>
      </c>
    </row>
    <row r="2320" spans="4:17" ht="12.75" customHeight="1" x14ac:dyDescent="0.2">
      <c r="D2320" s="58" t="str">
        <f>IFERROR(IF(F2320&lt;&gt;"pending","",IF(OR($B2320="",$B2320="(blank)"),"",VLOOKUP($B2320,'Email Marketing Raw Data'!$C:$O,10,0))),"")</f>
        <v/>
      </c>
      <c r="E2320" s="59" t="str">
        <f>IFERROR(IF(F2320&lt;&gt;"pending","",IF(OR($B2320="",$B2320="(blank)"),"",VLOOKUP($B2320,'Email Marketing Raw Data'!$C:$O,11,0))),"")</f>
        <v/>
      </c>
      <c r="F2320" s="54" t="str">
        <f>IFERROR(IF(OR($B2320="",$B2320="(blank)"),"",VLOOKUP($B2320,'Email Marketing Raw Data'!$C:$O,13,0)),"")</f>
        <v/>
      </c>
      <c r="G2320" s="55" t="str">
        <f>IFERROR(IF(OR($B2320="",$B2320="(blank)"),"",VLOOKUP($B2320,'Email Marketing Raw Data'!$C:$O,4,0)),"")</f>
        <v/>
      </c>
      <c r="H2320" s="55" t="str">
        <f>IFERROR(IF(OR($B2320="",$B2320="(blank)"),"",VLOOKUP($B2320,'Email Marketing Raw Data'!$C:$O,5,0)),"")</f>
        <v/>
      </c>
      <c r="I2320" s="55" t="str">
        <f>IFERROR(IF($G2320="","",VLOOKUP('Dashboard And Emails Automate'!$G2320,Database!$H:$N,3,0)),"")</f>
        <v/>
      </c>
      <c r="J2320" s="55" t="str">
        <f>IFERROR(IF($G2320="","",VLOOKUP('Dashboard And Emails Automate'!$G2320,Database!$H:$N,4,0)),"")</f>
        <v/>
      </c>
      <c r="K2320" s="55" t="str">
        <f>IFERROR(IF($G2320="","",VLOOKUP('Dashboard And Emails Automate'!$G2320,Database!$H:$N,5,0)),"")</f>
        <v/>
      </c>
      <c r="L2320" s="55" t="str">
        <f>IFERROR(IF($G2320="","",VLOOKUP('Dashboard And Emails Automate'!$G2320,Database!$H:$N,6,0)),"")</f>
        <v/>
      </c>
      <c r="M2320" s="55" t="str">
        <f>IFERROR(IF($G2320="","",VLOOKUP('Dashboard And Emails Automate'!$G2320,Database!$H:$N,7,0)),"")</f>
        <v/>
      </c>
      <c r="N2320" s="55" t="str">
        <f>IFERROR(IF(OR($B2320="",$B2320="(blank)"),"",VLOOKUP($B2320,'Email Marketing Raw Data'!$C:$O,6,0)),"")</f>
        <v/>
      </c>
      <c r="O2320" s="55" t="str">
        <f>IFERROR(IF(OR($B2320="",$B2320="(blank)"),"",VLOOKUP($B2320,'Email Marketing Raw Data'!$C:$O,7,0)),"")</f>
        <v/>
      </c>
      <c r="P2320" s="55" t="str">
        <f>IFERROR(IF(OR($B2320="",$B2320="(blank)"),"",VLOOKUP($B2320,'Email Marketing Raw Data'!$C:$O,8,0)),"")</f>
        <v/>
      </c>
      <c r="Q2320" s="62" t="str">
        <f>IFERROR(IF(OR($B2320="",$B2320="(blank)"),"",VLOOKUP($B2320,'Email Marketing Raw Data'!$C:$O,9,0)),"")</f>
        <v/>
      </c>
    </row>
    <row r="2321" spans="4:17" ht="12.75" customHeight="1" x14ac:dyDescent="0.2">
      <c r="D2321" s="58" t="str">
        <f>IFERROR(IF(F2321&lt;&gt;"pending","",IF(OR($B2321="",$B2321="(blank)"),"",VLOOKUP($B2321,'Email Marketing Raw Data'!$C:$O,10,0))),"")</f>
        <v/>
      </c>
      <c r="E2321" s="59" t="str">
        <f>IFERROR(IF(F2321&lt;&gt;"pending","",IF(OR($B2321="",$B2321="(blank)"),"",VLOOKUP($B2321,'Email Marketing Raw Data'!$C:$O,11,0))),"")</f>
        <v/>
      </c>
      <c r="F2321" s="54" t="str">
        <f>IFERROR(IF(OR($B2321="",$B2321="(blank)"),"",VLOOKUP($B2321,'Email Marketing Raw Data'!$C:$O,13,0)),"")</f>
        <v/>
      </c>
      <c r="G2321" s="55" t="str">
        <f>IFERROR(IF(OR($B2321="",$B2321="(blank)"),"",VLOOKUP($B2321,'Email Marketing Raw Data'!$C:$O,4,0)),"")</f>
        <v/>
      </c>
      <c r="H2321" s="55" t="str">
        <f>IFERROR(IF(OR($B2321="",$B2321="(blank)"),"",VLOOKUP($B2321,'Email Marketing Raw Data'!$C:$O,5,0)),"")</f>
        <v/>
      </c>
      <c r="I2321" s="55" t="str">
        <f>IFERROR(IF($G2321="","",VLOOKUP('Dashboard And Emails Automate'!$G2321,Database!$H:$N,3,0)),"")</f>
        <v/>
      </c>
      <c r="J2321" s="55" t="str">
        <f>IFERROR(IF($G2321="","",VLOOKUP('Dashboard And Emails Automate'!$G2321,Database!$H:$N,4,0)),"")</f>
        <v/>
      </c>
      <c r="K2321" s="55" t="str">
        <f>IFERROR(IF($G2321="","",VLOOKUP('Dashboard And Emails Automate'!$G2321,Database!$H:$N,5,0)),"")</f>
        <v/>
      </c>
      <c r="L2321" s="55" t="str">
        <f>IFERROR(IF($G2321="","",VLOOKUP('Dashboard And Emails Automate'!$G2321,Database!$H:$N,6,0)),"")</f>
        <v/>
      </c>
      <c r="M2321" s="55" t="str">
        <f>IFERROR(IF($G2321="","",VLOOKUP('Dashboard And Emails Automate'!$G2321,Database!$H:$N,7,0)),"")</f>
        <v/>
      </c>
      <c r="N2321" s="55" t="str">
        <f>IFERROR(IF(OR($B2321="",$B2321="(blank)"),"",VLOOKUP($B2321,'Email Marketing Raw Data'!$C:$O,6,0)),"")</f>
        <v/>
      </c>
      <c r="O2321" s="55" t="str">
        <f>IFERROR(IF(OR($B2321="",$B2321="(blank)"),"",VLOOKUP($B2321,'Email Marketing Raw Data'!$C:$O,7,0)),"")</f>
        <v/>
      </c>
      <c r="P2321" s="55" t="str">
        <f>IFERROR(IF(OR($B2321="",$B2321="(blank)"),"",VLOOKUP($B2321,'Email Marketing Raw Data'!$C:$O,8,0)),"")</f>
        <v/>
      </c>
      <c r="Q2321" s="62" t="str">
        <f>IFERROR(IF(OR($B2321="",$B2321="(blank)"),"",VLOOKUP($B2321,'Email Marketing Raw Data'!$C:$O,9,0)),"")</f>
        <v/>
      </c>
    </row>
    <row r="2322" spans="4:17" ht="12.75" customHeight="1" x14ac:dyDescent="0.2">
      <c r="D2322" s="58" t="str">
        <f>IFERROR(IF(F2322&lt;&gt;"pending","",IF(OR($B2322="",$B2322="(blank)"),"",VLOOKUP($B2322,'Email Marketing Raw Data'!$C:$O,10,0))),"")</f>
        <v/>
      </c>
      <c r="E2322" s="59" t="str">
        <f>IFERROR(IF(F2322&lt;&gt;"pending","",IF(OR($B2322="",$B2322="(blank)"),"",VLOOKUP($B2322,'Email Marketing Raw Data'!$C:$O,11,0))),"")</f>
        <v/>
      </c>
      <c r="F2322" s="54" t="str">
        <f>IFERROR(IF(OR($B2322="",$B2322="(blank)"),"",VLOOKUP($B2322,'Email Marketing Raw Data'!$C:$O,13,0)),"")</f>
        <v/>
      </c>
      <c r="G2322" s="55" t="str">
        <f>IFERROR(IF(OR($B2322="",$B2322="(blank)"),"",VLOOKUP($B2322,'Email Marketing Raw Data'!$C:$O,4,0)),"")</f>
        <v/>
      </c>
      <c r="H2322" s="55" t="str">
        <f>IFERROR(IF(OR($B2322="",$B2322="(blank)"),"",VLOOKUP($B2322,'Email Marketing Raw Data'!$C:$O,5,0)),"")</f>
        <v/>
      </c>
      <c r="I2322" s="55" t="str">
        <f>IFERROR(IF($G2322="","",VLOOKUP('Dashboard And Emails Automate'!$G2322,Database!$H:$N,3,0)),"")</f>
        <v/>
      </c>
      <c r="J2322" s="55" t="str">
        <f>IFERROR(IF($G2322="","",VLOOKUP('Dashboard And Emails Automate'!$G2322,Database!$H:$N,4,0)),"")</f>
        <v/>
      </c>
      <c r="K2322" s="55" t="str">
        <f>IFERROR(IF($G2322="","",VLOOKUP('Dashboard And Emails Automate'!$G2322,Database!$H:$N,5,0)),"")</f>
        <v/>
      </c>
      <c r="L2322" s="55" t="str">
        <f>IFERROR(IF($G2322="","",VLOOKUP('Dashboard And Emails Automate'!$G2322,Database!$H:$N,6,0)),"")</f>
        <v/>
      </c>
      <c r="M2322" s="55" t="str">
        <f>IFERROR(IF($G2322="","",VLOOKUP('Dashboard And Emails Automate'!$G2322,Database!$H:$N,7,0)),"")</f>
        <v/>
      </c>
      <c r="N2322" s="55" t="str">
        <f>IFERROR(IF(OR($B2322="",$B2322="(blank)"),"",VLOOKUP($B2322,'Email Marketing Raw Data'!$C:$O,6,0)),"")</f>
        <v/>
      </c>
      <c r="O2322" s="55" t="str">
        <f>IFERROR(IF(OR($B2322="",$B2322="(blank)"),"",VLOOKUP($B2322,'Email Marketing Raw Data'!$C:$O,7,0)),"")</f>
        <v/>
      </c>
      <c r="P2322" s="55" t="str">
        <f>IFERROR(IF(OR($B2322="",$B2322="(blank)"),"",VLOOKUP($B2322,'Email Marketing Raw Data'!$C:$O,8,0)),"")</f>
        <v/>
      </c>
      <c r="Q2322" s="62" t="str">
        <f>IFERROR(IF(OR($B2322="",$B2322="(blank)"),"",VLOOKUP($B2322,'Email Marketing Raw Data'!$C:$O,9,0)),"")</f>
        <v/>
      </c>
    </row>
    <row r="2323" spans="4:17" ht="12.75" customHeight="1" x14ac:dyDescent="0.2">
      <c r="D2323" s="58" t="str">
        <f>IFERROR(IF(F2323&lt;&gt;"pending","",IF(OR($B2323="",$B2323="(blank)"),"",VLOOKUP($B2323,'Email Marketing Raw Data'!$C:$O,10,0))),"")</f>
        <v/>
      </c>
      <c r="E2323" s="59" t="str">
        <f>IFERROR(IF(F2323&lt;&gt;"pending","",IF(OR($B2323="",$B2323="(blank)"),"",VLOOKUP($B2323,'Email Marketing Raw Data'!$C:$O,11,0))),"")</f>
        <v/>
      </c>
      <c r="F2323" s="54" t="str">
        <f>IFERROR(IF(OR($B2323="",$B2323="(blank)"),"",VLOOKUP($B2323,'Email Marketing Raw Data'!$C:$O,13,0)),"")</f>
        <v/>
      </c>
      <c r="G2323" s="55" t="str">
        <f>IFERROR(IF(OR($B2323="",$B2323="(blank)"),"",VLOOKUP($B2323,'Email Marketing Raw Data'!$C:$O,4,0)),"")</f>
        <v/>
      </c>
      <c r="H2323" s="55" t="str">
        <f>IFERROR(IF(OR($B2323="",$B2323="(blank)"),"",VLOOKUP($B2323,'Email Marketing Raw Data'!$C:$O,5,0)),"")</f>
        <v/>
      </c>
      <c r="I2323" s="55" t="str">
        <f>IFERROR(IF($G2323="","",VLOOKUP('Dashboard And Emails Automate'!$G2323,Database!$H:$N,3,0)),"")</f>
        <v/>
      </c>
      <c r="J2323" s="55" t="str">
        <f>IFERROR(IF($G2323="","",VLOOKUP('Dashboard And Emails Automate'!$G2323,Database!$H:$N,4,0)),"")</f>
        <v/>
      </c>
      <c r="K2323" s="55" t="str">
        <f>IFERROR(IF($G2323="","",VLOOKUP('Dashboard And Emails Automate'!$G2323,Database!$H:$N,5,0)),"")</f>
        <v/>
      </c>
      <c r="L2323" s="55" t="str">
        <f>IFERROR(IF($G2323="","",VLOOKUP('Dashboard And Emails Automate'!$G2323,Database!$H:$N,6,0)),"")</f>
        <v/>
      </c>
      <c r="M2323" s="55" t="str">
        <f>IFERROR(IF($G2323="","",VLOOKUP('Dashboard And Emails Automate'!$G2323,Database!$H:$N,7,0)),"")</f>
        <v/>
      </c>
      <c r="N2323" s="55" t="str">
        <f>IFERROR(IF(OR($B2323="",$B2323="(blank)"),"",VLOOKUP($B2323,'Email Marketing Raw Data'!$C:$O,6,0)),"")</f>
        <v/>
      </c>
      <c r="O2323" s="55" t="str">
        <f>IFERROR(IF(OR($B2323="",$B2323="(blank)"),"",VLOOKUP($B2323,'Email Marketing Raw Data'!$C:$O,7,0)),"")</f>
        <v/>
      </c>
      <c r="P2323" s="55" t="str">
        <f>IFERROR(IF(OR($B2323="",$B2323="(blank)"),"",VLOOKUP($B2323,'Email Marketing Raw Data'!$C:$O,8,0)),"")</f>
        <v/>
      </c>
      <c r="Q2323" s="62" t="str">
        <f>IFERROR(IF(OR($B2323="",$B2323="(blank)"),"",VLOOKUP($B2323,'Email Marketing Raw Data'!$C:$O,9,0)),"")</f>
        <v/>
      </c>
    </row>
    <row r="2324" spans="4:17" ht="12.75" customHeight="1" x14ac:dyDescent="0.2">
      <c r="D2324" s="58" t="str">
        <f>IFERROR(IF(F2324&lt;&gt;"pending","",IF(OR($B2324="",$B2324="(blank)"),"",VLOOKUP($B2324,'Email Marketing Raw Data'!$C:$O,10,0))),"")</f>
        <v/>
      </c>
      <c r="E2324" s="59" t="str">
        <f>IFERROR(IF(F2324&lt;&gt;"pending","",IF(OR($B2324="",$B2324="(blank)"),"",VLOOKUP($B2324,'Email Marketing Raw Data'!$C:$O,11,0))),"")</f>
        <v/>
      </c>
      <c r="F2324" s="54" t="str">
        <f>IFERROR(IF(OR($B2324="",$B2324="(blank)"),"",VLOOKUP($B2324,'Email Marketing Raw Data'!$C:$O,13,0)),"")</f>
        <v/>
      </c>
      <c r="G2324" s="55" t="str">
        <f>IFERROR(IF(OR($B2324="",$B2324="(blank)"),"",VLOOKUP($B2324,'Email Marketing Raw Data'!$C:$O,4,0)),"")</f>
        <v/>
      </c>
      <c r="H2324" s="55" t="str">
        <f>IFERROR(IF(OR($B2324="",$B2324="(blank)"),"",VLOOKUP($B2324,'Email Marketing Raw Data'!$C:$O,5,0)),"")</f>
        <v/>
      </c>
      <c r="I2324" s="55" t="str">
        <f>IFERROR(IF($G2324="","",VLOOKUP('Dashboard And Emails Automate'!$G2324,Database!$H:$N,3,0)),"")</f>
        <v/>
      </c>
      <c r="J2324" s="55" t="str">
        <f>IFERROR(IF($G2324="","",VLOOKUP('Dashboard And Emails Automate'!$G2324,Database!$H:$N,4,0)),"")</f>
        <v/>
      </c>
      <c r="K2324" s="55" t="str">
        <f>IFERROR(IF($G2324="","",VLOOKUP('Dashboard And Emails Automate'!$G2324,Database!$H:$N,5,0)),"")</f>
        <v/>
      </c>
      <c r="L2324" s="55" t="str">
        <f>IFERROR(IF($G2324="","",VLOOKUP('Dashboard And Emails Automate'!$G2324,Database!$H:$N,6,0)),"")</f>
        <v/>
      </c>
      <c r="M2324" s="55" t="str">
        <f>IFERROR(IF($G2324="","",VLOOKUP('Dashboard And Emails Automate'!$G2324,Database!$H:$N,7,0)),"")</f>
        <v/>
      </c>
      <c r="N2324" s="55" t="str">
        <f>IFERROR(IF(OR($B2324="",$B2324="(blank)"),"",VLOOKUP($B2324,'Email Marketing Raw Data'!$C:$O,6,0)),"")</f>
        <v/>
      </c>
      <c r="O2324" s="55" t="str">
        <f>IFERROR(IF(OR($B2324="",$B2324="(blank)"),"",VLOOKUP($B2324,'Email Marketing Raw Data'!$C:$O,7,0)),"")</f>
        <v/>
      </c>
      <c r="P2324" s="55" t="str">
        <f>IFERROR(IF(OR($B2324="",$B2324="(blank)"),"",VLOOKUP($B2324,'Email Marketing Raw Data'!$C:$O,8,0)),"")</f>
        <v/>
      </c>
      <c r="Q2324" s="62" t="str">
        <f>IFERROR(IF(OR($B2324="",$B2324="(blank)"),"",VLOOKUP($B2324,'Email Marketing Raw Data'!$C:$O,9,0)),"")</f>
        <v/>
      </c>
    </row>
    <row r="2325" spans="4:17" ht="12.75" customHeight="1" x14ac:dyDescent="0.2">
      <c r="D2325" s="58" t="str">
        <f>IFERROR(IF(F2325&lt;&gt;"pending","",IF(OR($B2325="",$B2325="(blank)"),"",VLOOKUP($B2325,'Email Marketing Raw Data'!$C:$O,10,0))),"")</f>
        <v/>
      </c>
      <c r="E2325" s="59" t="str">
        <f>IFERROR(IF(F2325&lt;&gt;"pending","",IF(OR($B2325="",$B2325="(blank)"),"",VLOOKUP($B2325,'Email Marketing Raw Data'!$C:$O,11,0))),"")</f>
        <v/>
      </c>
      <c r="F2325" s="54" t="str">
        <f>IFERROR(IF(OR($B2325="",$B2325="(blank)"),"",VLOOKUP($B2325,'Email Marketing Raw Data'!$C:$O,13,0)),"")</f>
        <v/>
      </c>
      <c r="G2325" s="55" t="str">
        <f>IFERROR(IF(OR($B2325="",$B2325="(blank)"),"",VLOOKUP($B2325,'Email Marketing Raw Data'!$C:$O,4,0)),"")</f>
        <v/>
      </c>
      <c r="H2325" s="55" t="str">
        <f>IFERROR(IF(OR($B2325="",$B2325="(blank)"),"",VLOOKUP($B2325,'Email Marketing Raw Data'!$C:$O,5,0)),"")</f>
        <v/>
      </c>
      <c r="I2325" s="55" t="str">
        <f>IFERROR(IF($G2325="","",VLOOKUP('Dashboard And Emails Automate'!$G2325,Database!$H:$N,3,0)),"")</f>
        <v/>
      </c>
      <c r="J2325" s="55" t="str">
        <f>IFERROR(IF($G2325="","",VLOOKUP('Dashboard And Emails Automate'!$G2325,Database!$H:$N,4,0)),"")</f>
        <v/>
      </c>
      <c r="K2325" s="55" t="str">
        <f>IFERROR(IF($G2325="","",VLOOKUP('Dashboard And Emails Automate'!$G2325,Database!$H:$N,5,0)),"")</f>
        <v/>
      </c>
      <c r="L2325" s="55" t="str">
        <f>IFERROR(IF($G2325="","",VLOOKUP('Dashboard And Emails Automate'!$G2325,Database!$H:$N,6,0)),"")</f>
        <v/>
      </c>
      <c r="M2325" s="55" t="str">
        <f>IFERROR(IF($G2325="","",VLOOKUP('Dashboard And Emails Automate'!$G2325,Database!$H:$N,7,0)),"")</f>
        <v/>
      </c>
      <c r="N2325" s="55" t="str">
        <f>IFERROR(IF(OR($B2325="",$B2325="(blank)"),"",VLOOKUP($B2325,'Email Marketing Raw Data'!$C:$O,6,0)),"")</f>
        <v/>
      </c>
      <c r="O2325" s="55" t="str">
        <f>IFERROR(IF(OR($B2325="",$B2325="(blank)"),"",VLOOKUP($B2325,'Email Marketing Raw Data'!$C:$O,7,0)),"")</f>
        <v/>
      </c>
      <c r="P2325" s="55" t="str">
        <f>IFERROR(IF(OR($B2325="",$B2325="(blank)"),"",VLOOKUP($B2325,'Email Marketing Raw Data'!$C:$O,8,0)),"")</f>
        <v/>
      </c>
      <c r="Q2325" s="62" t="str">
        <f>IFERROR(IF(OR($B2325="",$B2325="(blank)"),"",VLOOKUP($B2325,'Email Marketing Raw Data'!$C:$O,9,0)),"")</f>
        <v/>
      </c>
    </row>
    <row r="2326" spans="4:17" ht="12.75" customHeight="1" x14ac:dyDescent="0.2">
      <c r="D2326" s="58" t="str">
        <f>IFERROR(IF(F2326&lt;&gt;"pending","",IF(OR($B2326="",$B2326="(blank)"),"",VLOOKUP($B2326,'Email Marketing Raw Data'!$C:$O,10,0))),"")</f>
        <v/>
      </c>
      <c r="E2326" s="59" t="str">
        <f>IFERROR(IF(F2326&lt;&gt;"pending","",IF(OR($B2326="",$B2326="(blank)"),"",VLOOKUP($B2326,'Email Marketing Raw Data'!$C:$O,11,0))),"")</f>
        <v/>
      </c>
      <c r="F2326" s="54" t="str">
        <f>IFERROR(IF(OR($B2326="",$B2326="(blank)"),"",VLOOKUP($B2326,'Email Marketing Raw Data'!$C:$O,13,0)),"")</f>
        <v/>
      </c>
      <c r="G2326" s="55" t="str">
        <f>IFERROR(IF(OR($B2326="",$B2326="(blank)"),"",VLOOKUP($B2326,'Email Marketing Raw Data'!$C:$O,4,0)),"")</f>
        <v/>
      </c>
      <c r="H2326" s="55" t="str">
        <f>IFERROR(IF(OR($B2326="",$B2326="(blank)"),"",VLOOKUP($B2326,'Email Marketing Raw Data'!$C:$O,5,0)),"")</f>
        <v/>
      </c>
      <c r="I2326" s="55" t="str">
        <f>IFERROR(IF($G2326="","",VLOOKUP('Dashboard And Emails Automate'!$G2326,Database!$H:$N,3,0)),"")</f>
        <v/>
      </c>
      <c r="J2326" s="55" t="str">
        <f>IFERROR(IF($G2326="","",VLOOKUP('Dashboard And Emails Automate'!$G2326,Database!$H:$N,4,0)),"")</f>
        <v/>
      </c>
      <c r="K2326" s="55" t="str">
        <f>IFERROR(IF($G2326="","",VLOOKUP('Dashboard And Emails Automate'!$G2326,Database!$H:$N,5,0)),"")</f>
        <v/>
      </c>
      <c r="L2326" s="55" t="str">
        <f>IFERROR(IF($G2326="","",VLOOKUP('Dashboard And Emails Automate'!$G2326,Database!$H:$N,6,0)),"")</f>
        <v/>
      </c>
      <c r="M2326" s="55" t="str">
        <f>IFERROR(IF($G2326="","",VLOOKUP('Dashboard And Emails Automate'!$G2326,Database!$H:$N,7,0)),"")</f>
        <v/>
      </c>
      <c r="N2326" s="55" t="str">
        <f>IFERROR(IF(OR($B2326="",$B2326="(blank)"),"",VLOOKUP($B2326,'Email Marketing Raw Data'!$C:$O,6,0)),"")</f>
        <v/>
      </c>
      <c r="O2326" s="55" t="str">
        <f>IFERROR(IF(OR($B2326="",$B2326="(blank)"),"",VLOOKUP($B2326,'Email Marketing Raw Data'!$C:$O,7,0)),"")</f>
        <v/>
      </c>
      <c r="P2326" s="55" t="str">
        <f>IFERROR(IF(OR($B2326="",$B2326="(blank)"),"",VLOOKUP($B2326,'Email Marketing Raw Data'!$C:$O,8,0)),"")</f>
        <v/>
      </c>
      <c r="Q2326" s="62" t="str">
        <f>IFERROR(IF(OR($B2326="",$B2326="(blank)"),"",VLOOKUP($B2326,'Email Marketing Raw Data'!$C:$O,9,0)),"")</f>
        <v/>
      </c>
    </row>
    <row r="2327" spans="4:17" ht="12.75" customHeight="1" x14ac:dyDescent="0.2">
      <c r="D2327" s="58" t="str">
        <f>IFERROR(IF(F2327&lt;&gt;"pending","",IF(OR($B2327="",$B2327="(blank)"),"",VLOOKUP($B2327,'Email Marketing Raw Data'!$C:$O,10,0))),"")</f>
        <v/>
      </c>
      <c r="E2327" s="59" t="str">
        <f>IFERROR(IF(F2327&lt;&gt;"pending","",IF(OR($B2327="",$B2327="(blank)"),"",VLOOKUP($B2327,'Email Marketing Raw Data'!$C:$O,11,0))),"")</f>
        <v/>
      </c>
      <c r="F2327" s="54" t="str">
        <f>IFERROR(IF(OR($B2327="",$B2327="(blank)"),"",VLOOKUP($B2327,'Email Marketing Raw Data'!$C:$O,13,0)),"")</f>
        <v/>
      </c>
      <c r="G2327" s="55" t="str">
        <f>IFERROR(IF(OR($B2327="",$B2327="(blank)"),"",VLOOKUP($B2327,'Email Marketing Raw Data'!$C:$O,4,0)),"")</f>
        <v/>
      </c>
      <c r="H2327" s="55" t="str">
        <f>IFERROR(IF(OR($B2327="",$B2327="(blank)"),"",VLOOKUP($B2327,'Email Marketing Raw Data'!$C:$O,5,0)),"")</f>
        <v/>
      </c>
      <c r="I2327" s="55" t="str">
        <f>IFERROR(IF($G2327="","",VLOOKUP('Dashboard And Emails Automate'!$G2327,Database!$H:$N,3,0)),"")</f>
        <v/>
      </c>
      <c r="J2327" s="55" t="str">
        <f>IFERROR(IF($G2327="","",VLOOKUP('Dashboard And Emails Automate'!$G2327,Database!$H:$N,4,0)),"")</f>
        <v/>
      </c>
      <c r="K2327" s="55" t="str">
        <f>IFERROR(IF($G2327="","",VLOOKUP('Dashboard And Emails Automate'!$G2327,Database!$H:$N,5,0)),"")</f>
        <v/>
      </c>
      <c r="L2327" s="55" t="str">
        <f>IFERROR(IF($G2327="","",VLOOKUP('Dashboard And Emails Automate'!$G2327,Database!$H:$N,6,0)),"")</f>
        <v/>
      </c>
      <c r="M2327" s="55" t="str">
        <f>IFERROR(IF($G2327="","",VLOOKUP('Dashboard And Emails Automate'!$G2327,Database!$H:$N,7,0)),"")</f>
        <v/>
      </c>
      <c r="N2327" s="55" t="str">
        <f>IFERROR(IF(OR($B2327="",$B2327="(blank)"),"",VLOOKUP($B2327,'Email Marketing Raw Data'!$C:$O,6,0)),"")</f>
        <v/>
      </c>
      <c r="O2327" s="55" t="str">
        <f>IFERROR(IF(OR($B2327="",$B2327="(blank)"),"",VLOOKUP($B2327,'Email Marketing Raw Data'!$C:$O,7,0)),"")</f>
        <v/>
      </c>
      <c r="P2327" s="55" t="str">
        <f>IFERROR(IF(OR($B2327="",$B2327="(blank)"),"",VLOOKUP($B2327,'Email Marketing Raw Data'!$C:$O,8,0)),"")</f>
        <v/>
      </c>
      <c r="Q2327" s="62" t="str">
        <f>IFERROR(IF(OR($B2327="",$B2327="(blank)"),"",VLOOKUP($B2327,'Email Marketing Raw Data'!$C:$O,9,0)),"")</f>
        <v/>
      </c>
    </row>
    <row r="2328" spans="4:17" ht="12.75" customHeight="1" x14ac:dyDescent="0.2">
      <c r="D2328" s="58" t="str">
        <f>IFERROR(IF(F2328&lt;&gt;"pending","",IF(OR($B2328="",$B2328="(blank)"),"",VLOOKUP($B2328,'Email Marketing Raw Data'!$C:$O,10,0))),"")</f>
        <v/>
      </c>
      <c r="E2328" s="59" t="str">
        <f>IFERROR(IF(F2328&lt;&gt;"pending","",IF(OR($B2328="",$B2328="(blank)"),"",VLOOKUP($B2328,'Email Marketing Raw Data'!$C:$O,11,0))),"")</f>
        <v/>
      </c>
      <c r="F2328" s="54" t="str">
        <f>IFERROR(IF(OR($B2328="",$B2328="(blank)"),"",VLOOKUP($B2328,'Email Marketing Raw Data'!$C:$O,13,0)),"")</f>
        <v/>
      </c>
      <c r="G2328" s="55" t="str">
        <f>IFERROR(IF(OR($B2328="",$B2328="(blank)"),"",VLOOKUP($B2328,'Email Marketing Raw Data'!$C:$O,4,0)),"")</f>
        <v/>
      </c>
      <c r="H2328" s="55" t="str">
        <f>IFERROR(IF(OR($B2328="",$B2328="(blank)"),"",VLOOKUP($B2328,'Email Marketing Raw Data'!$C:$O,5,0)),"")</f>
        <v/>
      </c>
      <c r="I2328" s="55" t="str">
        <f>IFERROR(IF($G2328="","",VLOOKUP('Dashboard And Emails Automate'!$G2328,Database!$H:$N,3,0)),"")</f>
        <v/>
      </c>
      <c r="J2328" s="55" t="str">
        <f>IFERROR(IF($G2328="","",VLOOKUP('Dashboard And Emails Automate'!$G2328,Database!$H:$N,4,0)),"")</f>
        <v/>
      </c>
      <c r="K2328" s="55" t="str">
        <f>IFERROR(IF($G2328="","",VLOOKUP('Dashboard And Emails Automate'!$G2328,Database!$H:$N,5,0)),"")</f>
        <v/>
      </c>
      <c r="L2328" s="55" t="str">
        <f>IFERROR(IF($G2328="","",VLOOKUP('Dashboard And Emails Automate'!$G2328,Database!$H:$N,6,0)),"")</f>
        <v/>
      </c>
      <c r="M2328" s="55" t="str">
        <f>IFERROR(IF($G2328="","",VLOOKUP('Dashboard And Emails Automate'!$G2328,Database!$H:$N,7,0)),"")</f>
        <v/>
      </c>
      <c r="N2328" s="55" t="str">
        <f>IFERROR(IF(OR($B2328="",$B2328="(blank)"),"",VLOOKUP($B2328,'Email Marketing Raw Data'!$C:$O,6,0)),"")</f>
        <v/>
      </c>
      <c r="O2328" s="55" t="str">
        <f>IFERROR(IF(OR($B2328="",$B2328="(blank)"),"",VLOOKUP($B2328,'Email Marketing Raw Data'!$C:$O,7,0)),"")</f>
        <v/>
      </c>
      <c r="P2328" s="55" t="str">
        <f>IFERROR(IF(OR($B2328="",$B2328="(blank)"),"",VLOOKUP($B2328,'Email Marketing Raw Data'!$C:$O,8,0)),"")</f>
        <v/>
      </c>
      <c r="Q2328" s="62" t="str">
        <f>IFERROR(IF(OR($B2328="",$B2328="(blank)"),"",VLOOKUP($B2328,'Email Marketing Raw Data'!$C:$O,9,0)),"")</f>
        <v/>
      </c>
    </row>
    <row r="2329" spans="4:17" ht="12.75" customHeight="1" x14ac:dyDescent="0.2">
      <c r="D2329" s="58" t="str">
        <f>IFERROR(IF(F2329&lt;&gt;"pending","",IF(OR($B2329="",$B2329="(blank)"),"",VLOOKUP($B2329,'Email Marketing Raw Data'!$C:$O,10,0))),"")</f>
        <v/>
      </c>
      <c r="E2329" s="59" t="str">
        <f>IFERROR(IF(F2329&lt;&gt;"pending","",IF(OR($B2329="",$B2329="(blank)"),"",VLOOKUP($B2329,'Email Marketing Raw Data'!$C:$O,11,0))),"")</f>
        <v/>
      </c>
      <c r="F2329" s="54" t="str">
        <f>IFERROR(IF(OR($B2329="",$B2329="(blank)"),"",VLOOKUP($B2329,'Email Marketing Raw Data'!$C:$O,13,0)),"")</f>
        <v/>
      </c>
      <c r="G2329" s="55" t="str">
        <f>IFERROR(IF(OR($B2329="",$B2329="(blank)"),"",VLOOKUP($B2329,'Email Marketing Raw Data'!$C:$O,4,0)),"")</f>
        <v/>
      </c>
      <c r="H2329" s="55" t="str">
        <f>IFERROR(IF(OR($B2329="",$B2329="(blank)"),"",VLOOKUP($B2329,'Email Marketing Raw Data'!$C:$O,5,0)),"")</f>
        <v/>
      </c>
      <c r="I2329" s="55" t="str">
        <f>IFERROR(IF($G2329="","",VLOOKUP('Dashboard And Emails Automate'!$G2329,Database!$H:$N,3,0)),"")</f>
        <v/>
      </c>
      <c r="J2329" s="55" t="str">
        <f>IFERROR(IF($G2329="","",VLOOKUP('Dashboard And Emails Automate'!$G2329,Database!$H:$N,4,0)),"")</f>
        <v/>
      </c>
      <c r="K2329" s="55" t="str">
        <f>IFERROR(IF($G2329="","",VLOOKUP('Dashboard And Emails Automate'!$G2329,Database!$H:$N,5,0)),"")</f>
        <v/>
      </c>
      <c r="L2329" s="55" t="str">
        <f>IFERROR(IF($G2329="","",VLOOKUP('Dashboard And Emails Automate'!$G2329,Database!$H:$N,6,0)),"")</f>
        <v/>
      </c>
      <c r="M2329" s="55" t="str">
        <f>IFERROR(IF($G2329="","",VLOOKUP('Dashboard And Emails Automate'!$G2329,Database!$H:$N,7,0)),"")</f>
        <v/>
      </c>
      <c r="N2329" s="55" t="str">
        <f>IFERROR(IF(OR($B2329="",$B2329="(blank)"),"",VLOOKUP($B2329,'Email Marketing Raw Data'!$C:$O,6,0)),"")</f>
        <v/>
      </c>
      <c r="O2329" s="55" t="str">
        <f>IFERROR(IF(OR($B2329="",$B2329="(blank)"),"",VLOOKUP($B2329,'Email Marketing Raw Data'!$C:$O,7,0)),"")</f>
        <v/>
      </c>
      <c r="P2329" s="55" t="str">
        <f>IFERROR(IF(OR($B2329="",$B2329="(blank)"),"",VLOOKUP($B2329,'Email Marketing Raw Data'!$C:$O,8,0)),"")</f>
        <v/>
      </c>
      <c r="Q2329" s="62" t="str">
        <f>IFERROR(IF(OR($B2329="",$B2329="(blank)"),"",VLOOKUP($B2329,'Email Marketing Raw Data'!$C:$O,9,0)),"")</f>
        <v/>
      </c>
    </row>
    <row r="2330" spans="4:17" ht="12.75" customHeight="1" x14ac:dyDescent="0.2">
      <c r="D2330" s="58" t="str">
        <f>IFERROR(IF(F2330&lt;&gt;"pending","",IF(OR($B2330="",$B2330="(blank)"),"",VLOOKUP($B2330,'Email Marketing Raw Data'!$C:$O,10,0))),"")</f>
        <v/>
      </c>
      <c r="E2330" s="59" t="str">
        <f>IFERROR(IF(F2330&lt;&gt;"pending","",IF(OR($B2330="",$B2330="(blank)"),"",VLOOKUP($B2330,'Email Marketing Raw Data'!$C:$O,11,0))),"")</f>
        <v/>
      </c>
      <c r="F2330" s="54" t="str">
        <f>IFERROR(IF(OR($B2330="",$B2330="(blank)"),"",VLOOKUP($B2330,'Email Marketing Raw Data'!$C:$O,13,0)),"")</f>
        <v/>
      </c>
      <c r="G2330" s="55" t="str">
        <f>IFERROR(IF(OR($B2330="",$B2330="(blank)"),"",VLOOKUP($B2330,'Email Marketing Raw Data'!$C:$O,4,0)),"")</f>
        <v/>
      </c>
      <c r="H2330" s="55" t="str">
        <f>IFERROR(IF(OR($B2330="",$B2330="(blank)"),"",VLOOKUP($B2330,'Email Marketing Raw Data'!$C:$O,5,0)),"")</f>
        <v/>
      </c>
      <c r="I2330" s="55" t="str">
        <f>IFERROR(IF($G2330="","",VLOOKUP('Dashboard And Emails Automate'!$G2330,Database!$H:$N,3,0)),"")</f>
        <v/>
      </c>
      <c r="J2330" s="55" t="str">
        <f>IFERROR(IF($G2330="","",VLOOKUP('Dashboard And Emails Automate'!$G2330,Database!$H:$N,4,0)),"")</f>
        <v/>
      </c>
      <c r="K2330" s="55" t="str">
        <f>IFERROR(IF($G2330="","",VLOOKUP('Dashboard And Emails Automate'!$G2330,Database!$H:$N,5,0)),"")</f>
        <v/>
      </c>
      <c r="L2330" s="55" t="str">
        <f>IFERROR(IF($G2330="","",VLOOKUP('Dashboard And Emails Automate'!$G2330,Database!$H:$N,6,0)),"")</f>
        <v/>
      </c>
      <c r="M2330" s="55" t="str">
        <f>IFERROR(IF($G2330="","",VLOOKUP('Dashboard And Emails Automate'!$G2330,Database!$H:$N,7,0)),"")</f>
        <v/>
      </c>
      <c r="N2330" s="55" t="str">
        <f>IFERROR(IF(OR($B2330="",$B2330="(blank)"),"",VLOOKUP($B2330,'Email Marketing Raw Data'!$C:$O,6,0)),"")</f>
        <v/>
      </c>
      <c r="O2330" s="55" t="str">
        <f>IFERROR(IF(OR($B2330="",$B2330="(blank)"),"",VLOOKUP($B2330,'Email Marketing Raw Data'!$C:$O,7,0)),"")</f>
        <v/>
      </c>
      <c r="P2330" s="55" t="str">
        <f>IFERROR(IF(OR($B2330="",$B2330="(blank)"),"",VLOOKUP($B2330,'Email Marketing Raw Data'!$C:$O,8,0)),"")</f>
        <v/>
      </c>
      <c r="Q2330" s="62" t="str">
        <f>IFERROR(IF(OR($B2330="",$B2330="(blank)"),"",VLOOKUP($B2330,'Email Marketing Raw Data'!$C:$O,9,0)),"")</f>
        <v/>
      </c>
    </row>
    <row r="2331" spans="4:17" ht="12.75" customHeight="1" x14ac:dyDescent="0.2">
      <c r="D2331" s="58" t="str">
        <f>IFERROR(IF(F2331&lt;&gt;"pending","",IF(OR($B2331="",$B2331="(blank)"),"",VLOOKUP($B2331,'Email Marketing Raw Data'!$C:$O,10,0))),"")</f>
        <v/>
      </c>
      <c r="E2331" s="59" t="str">
        <f>IFERROR(IF(F2331&lt;&gt;"pending","",IF(OR($B2331="",$B2331="(blank)"),"",VLOOKUP($B2331,'Email Marketing Raw Data'!$C:$O,11,0))),"")</f>
        <v/>
      </c>
      <c r="F2331" s="54" t="str">
        <f>IFERROR(IF(OR($B2331="",$B2331="(blank)"),"",VLOOKUP($B2331,'Email Marketing Raw Data'!$C:$O,13,0)),"")</f>
        <v/>
      </c>
      <c r="G2331" s="55" t="str">
        <f>IFERROR(IF(OR($B2331="",$B2331="(blank)"),"",VLOOKUP($B2331,'Email Marketing Raw Data'!$C:$O,4,0)),"")</f>
        <v/>
      </c>
      <c r="H2331" s="55" t="str">
        <f>IFERROR(IF(OR($B2331="",$B2331="(blank)"),"",VLOOKUP($B2331,'Email Marketing Raw Data'!$C:$O,5,0)),"")</f>
        <v/>
      </c>
      <c r="I2331" s="55" t="str">
        <f>IFERROR(IF($G2331="","",VLOOKUP('Dashboard And Emails Automate'!$G2331,Database!$H:$N,3,0)),"")</f>
        <v/>
      </c>
      <c r="J2331" s="55" t="str">
        <f>IFERROR(IF($G2331="","",VLOOKUP('Dashboard And Emails Automate'!$G2331,Database!$H:$N,4,0)),"")</f>
        <v/>
      </c>
      <c r="K2331" s="55" t="str">
        <f>IFERROR(IF($G2331="","",VLOOKUP('Dashboard And Emails Automate'!$G2331,Database!$H:$N,5,0)),"")</f>
        <v/>
      </c>
      <c r="L2331" s="55" t="str">
        <f>IFERROR(IF($G2331="","",VLOOKUP('Dashboard And Emails Automate'!$G2331,Database!$H:$N,6,0)),"")</f>
        <v/>
      </c>
      <c r="M2331" s="55" t="str">
        <f>IFERROR(IF($G2331="","",VLOOKUP('Dashboard And Emails Automate'!$G2331,Database!$H:$N,7,0)),"")</f>
        <v/>
      </c>
      <c r="N2331" s="55" t="str">
        <f>IFERROR(IF(OR($B2331="",$B2331="(blank)"),"",VLOOKUP($B2331,'Email Marketing Raw Data'!$C:$O,6,0)),"")</f>
        <v/>
      </c>
      <c r="O2331" s="55" t="str">
        <f>IFERROR(IF(OR($B2331="",$B2331="(blank)"),"",VLOOKUP($B2331,'Email Marketing Raw Data'!$C:$O,7,0)),"")</f>
        <v/>
      </c>
      <c r="P2331" s="55" t="str">
        <f>IFERROR(IF(OR($B2331="",$B2331="(blank)"),"",VLOOKUP($B2331,'Email Marketing Raw Data'!$C:$O,8,0)),"")</f>
        <v/>
      </c>
      <c r="Q2331" s="62" t="str">
        <f>IFERROR(IF(OR($B2331="",$B2331="(blank)"),"",VLOOKUP($B2331,'Email Marketing Raw Data'!$C:$O,9,0)),"")</f>
        <v/>
      </c>
    </row>
    <row r="2332" spans="4:17" ht="12.75" customHeight="1" x14ac:dyDescent="0.2">
      <c r="D2332" s="58" t="str">
        <f>IFERROR(IF(F2332&lt;&gt;"pending","",IF(OR($B2332="",$B2332="(blank)"),"",VLOOKUP($B2332,'Email Marketing Raw Data'!$C:$O,10,0))),"")</f>
        <v/>
      </c>
      <c r="E2332" s="59" t="str">
        <f>IFERROR(IF(F2332&lt;&gt;"pending","",IF(OR($B2332="",$B2332="(blank)"),"",VLOOKUP($B2332,'Email Marketing Raw Data'!$C:$O,11,0))),"")</f>
        <v/>
      </c>
      <c r="F2332" s="54" t="str">
        <f>IFERROR(IF(OR($B2332="",$B2332="(blank)"),"",VLOOKUP($B2332,'Email Marketing Raw Data'!$C:$O,13,0)),"")</f>
        <v/>
      </c>
      <c r="G2332" s="55" t="str">
        <f>IFERROR(IF(OR($B2332="",$B2332="(blank)"),"",VLOOKUP($B2332,'Email Marketing Raw Data'!$C:$O,4,0)),"")</f>
        <v/>
      </c>
      <c r="H2332" s="55" t="str">
        <f>IFERROR(IF(OR($B2332="",$B2332="(blank)"),"",VLOOKUP($B2332,'Email Marketing Raw Data'!$C:$O,5,0)),"")</f>
        <v/>
      </c>
      <c r="I2332" s="55" t="str">
        <f>IFERROR(IF($G2332="","",VLOOKUP('Dashboard And Emails Automate'!$G2332,Database!$H:$N,3,0)),"")</f>
        <v/>
      </c>
      <c r="J2332" s="55" t="str">
        <f>IFERROR(IF($G2332="","",VLOOKUP('Dashboard And Emails Automate'!$G2332,Database!$H:$N,4,0)),"")</f>
        <v/>
      </c>
      <c r="K2332" s="55" t="str">
        <f>IFERROR(IF($G2332="","",VLOOKUP('Dashboard And Emails Automate'!$G2332,Database!$H:$N,5,0)),"")</f>
        <v/>
      </c>
      <c r="L2332" s="55" t="str">
        <f>IFERROR(IF($G2332="","",VLOOKUP('Dashboard And Emails Automate'!$G2332,Database!$H:$N,6,0)),"")</f>
        <v/>
      </c>
      <c r="M2332" s="55" t="str">
        <f>IFERROR(IF($G2332="","",VLOOKUP('Dashboard And Emails Automate'!$G2332,Database!$H:$N,7,0)),"")</f>
        <v/>
      </c>
      <c r="N2332" s="55" t="str">
        <f>IFERROR(IF(OR($B2332="",$B2332="(blank)"),"",VLOOKUP($B2332,'Email Marketing Raw Data'!$C:$O,6,0)),"")</f>
        <v/>
      </c>
      <c r="O2332" s="55" t="str">
        <f>IFERROR(IF(OR($B2332="",$B2332="(blank)"),"",VLOOKUP($B2332,'Email Marketing Raw Data'!$C:$O,7,0)),"")</f>
        <v/>
      </c>
      <c r="P2332" s="55" t="str">
        <f>IFERROR(IF(OR($B2332="",$B2332="(blank)"),"",VLOOKUP($B2332,'Email Marketing Raw Data'!$C:$O,8,0)),"")</f>
        <v/>
      </c>
      <c r="Q2332" s="62" t="str">
        <f>IFERROR(IF(OR($B2332="",$B2332="(blank)"),"",VLOOKUP($B2332,'Email Marketing Raw Data'!$C:$O,9,0)),"")</f>
        <v/>
      </c>
    </row>
    <row r="2333" spans="4:17" ht="12.75" customHeight="1" x14ac:dyDescent="0.2">
      <c r="D2333" s="58" t="str">
        <f>IFERROR(IF(F2333&lt;&gt;"pending","",IF(OR($B2333="",$B2333="(blank)"),"",VLOOKUP($B2333,'Email Marketing Raw Data'!$C:$O,10,0))),"")</f>
        <v/>
      </c>
      <c r="E2333" s="59" t="str">
        <f>IFERROR(IF(F2333&lt;&gt;"pending","",IF(OR($B2333="",$B2333="(blank)"),"",VLOOKUP($B2333,'Email Marketing Raw Data'!$C:$O,11,0))),"")</f>
        <v/>
      </c>
      <c r="F2333" s="54" t="str">
        <f>IFERROR(IF(OR($B2333="",$B2333="(blank)"),"",VLOOKUP($B2333,'Email Marketing Raw Data'!$C:$O,13,0)),"")</f>
        <v/>
      </c>
      <c r="G2333" s="55" t="str">
        <f>IFERROR(IF(OR($B2333="",$B2333="(blank)"),"",VLOOKUP($B2333,'Email Marketing Raw Data'!$C:$O,4,0)),"")</f>
        <v/>
      </c>
      <c r="H2333" s="55" t="str">
        <f>IFERROR(IF(OR($B2333="",$B2333="(blank)"),"",VLOOKUP($B2333,'Email Marketing Raw Data'!$C:$O,5,0)),"")</f>
        <v/>
      </c>
      <c r="I2333" s="55" t="str">
        <f>IFERROR(IF($G2333="","",VLOOKUP('Dashboard And Emails Automate'!$G2333,Database!$H:$N,3,0)),"")</f>
        <v/>
      </c>
      <c r="J2333" s="55" t="str">
        <f>IFERROR(IF($G2333="","",VLOOKUP('Dashboard And Emails Automate'!$G2333,Database!$H:$N,4,0)),"")</f>
        <v/>
      </c>
      <c r="K2333" s="55" t="str">
        <f>IFERROR(IF($G2333="","",VLOOKUP('Dashboard And Emails Automate'!$G2333,Database!$H:$N,5,0)),"")</f>
        <v/>
      </c>
      <c r="L2333" s="55" t="str">
        <f>IFERROR(IF($G2333="","",VLOOKUP('Dashboard And Emails Automate'!$G2333,Database!$H:$N,6,0)),"")</f>
        <v/>
      </c>
      <c r="M2333" s="55" t="str">
        <f>IFERROR(IF($G2333="","",VLOOKUP('Dashboard And Emails Automate'!$G2333,Database!$H:$N,7,0)),"")</f>
        <v/>
      </c>
      <c r="N2333" s="55" t="str">
        <f>IFERROR(IF(OR($B2333="",$B2333="(blank)"),"",VLOOKUP($B2333,'Email Marketing Raw Data'!$C:$O,6,0)),"")</f>
        <v/>
      </c>
      <c r="O2333" s="55" t="str">
        <f>IFERROR(IF(OR($B2333="",$B2333="(blank)"),"",VLOOKUP($B2333,'Email Marketing Raw Data'!$C:$O,7,0)),"")</f>
        <v/>
      </c>
      <c r="P2333" s="55" t="str">
        <f>IFERROR(IF(OR($B2333="",$B2333="(blank)"),"",VLOOKUP($B2333,'Email Marketing Raw Data'!$C:$O,8,0)),"")</f>
        <v/>
      </c>
      <c r="Q2333" s="62" t="str">
        <f>IFERROR(IF(OR($B2333="",$B2333="(blank)"),"",VLOOKUP($B2333,'Email Marketing Raw Data'!$C:$O,9,0)),"")</f>
        <v/>
      </c>
    </row>
    <row r="2334" spans="4:17" ht="12.75" customHeight="1" x14ac:dyDescent="0.2">
      <c r="D2334" s="58" t="str">
        <f>IFERROR(IF(F2334&lt;&gt;"pending","",IF(OR($B2334="",$B2334="(blank)"),"",VLOOKUP($B2334,'Email Marketing Raw Data'!$C:$O,10,0))),"")</f>
        <v/>
      </c>
      <c r="E2334" s="59" t="str">
        <f>IFERROR(IF(F2334&lt;&gt;"pending","",IF(OR($B2334="",$B2334="(blank)"),"",VLOOKUP($B2334,'Email Marketing Raw Data'!$C:$O,11,0))),"")</f>
        <v/>
      </c>
      <c r="F2334" s="54" t="str">
        <f>IFERROR(IF(OR($B2334="",$B2334="(blank)"),"",VLOOKUP($B2334,'Email Marketing Raw Data'!$C:$O,13,0)),"")</f>
        <v/>
      </c>
      <c r="G2334" s="55" t="str">
        <f>IFERROR(IF(OR($B2334="",$B2334="(blank)"),"",VLOOKUP($B2334,'Email Marketing Raw Data'!$C:$O,4,0)),"")</f>
        <v/>
      </c>
      <c r="H2334" s="55" t="str">
        <f>IFERROR(IF(OR($B2334="",$B2334="(blank)"),"",VLOOKUP($B2334,'Email Marketing Raw Data'!$C:$O,5,0)),"")</f>
        <v/>
      </c>
      <c r="I2334" s="55" t="str">
        <f>IFERROR(IF($G2334="","",VLOOKUP('Dashboard And Emails Automate'!$G2334,Database!$H:$N,3,0)),"")</f>
        <v/>
      </c>
      <c r="J2334" s="55" t="str">
        <f>IFERROR(IF($G2334="","",VLOOKUP('Dashboard And Emails Automate'!$G2334,Database!$H:$N,4,0)),"")</f>
        <v/>
      </c>
      <c r="K2334" s="55" t="str">
        <f>IFERROR(IF($G2334="","",VLOOKUP('Dashboard And Emails Automate'!$G2334,Database!$H:$N,5,0)),"")</f>
        <v/>
      </c>
      <c r="L2334" s="55" t="str">
        <f>IFERROR(IF($G2334="","",VLOOKUP('Dashboard And Emails Automate'!$G2334,Database!$H:$N,6,0)),"")</f>
        <v/>
      </c>
      <c r="M2334" s="55" t="str">
        <f>IFERROR(IF($G2334="","",VLOOKUP('Dashboard And Emails Automate'!$G2334,Database!$H:$N,7,0)),"")</f>
        <v/>
      </c>
      <c r="N2334" s="55" t="str">
        <f>IFERROR(IF(OR($B2334="",$B2334="(blank)"),"",VLOOKUP($B2334,'Email Marketing Raw Data'!$C:$O,6,0)),"")</f>
        <v/>
      </c>
      <c r="O2334" s="55" t="str">
        <f>IFERROR(IF(OR($B2334="",$B2334="(blank)"),"",VLOOKUP($B2334,'Email Marketing Raw Data'!$C:$O,7,0)),"")</f>
        <v/>
      </c>
      <c r="P2334" s="55" t="str">
        <f>IFERROR(IF(OR($B2334="",$B2334="(blank)"),"",VLOOKUP($B2334,'Email Marketing Raw Data'!$C:$O,8,0)),"")</f>
        <v/>
      </c>
      <c r="Q2334" s="62" t="str">
        <f>IFERROR(IF(OR($B2334="",$B2334="(blank)"),"",VLOOKUP($B2334,'Email Marketing Raw Data'!$C:$O,9,0)),"")</f>
        <v/>
      </c>
    </row>
    <row r="2335" spans="4:17" ht="12.75" customHeight="1" x14ac:dyDescent="0.2">
      <c r="D2335" s="58" t="str">
        <f>IFERROR(IF(F2335&lt;&gt;"pending","",IF(OR($B2335="",$B2335="(blank)"),"",VLOOKUP($B2335,'Email Marketing Raw Data'!$C:$O,10,0))),"")</f>
        <v/>
      </c>
      <c r="E2335" s="59" t="str">
        <f>IFERROR(IF(F2335&lt;&gt;"pending","",IF(OR($B2335="",$B2335="(blank)"),"",VLOOKUP($B2335,'Email Marketing Raw Data'!$C:$O,11,0))),"")</f>
        <v/>
      </c>
      <c r="F2335" s="54" t="str">
        <f>IFERROR(IF(OR($B2335="",$B2335="(blank)"),"",VLOOKUP($B2335,'Email Marketing Raw Data'!$C:$O,13,0)),"")</f>
        <v/>
      </c>
      <c r="G2335" s="55" t="str">
        <f>IFERROR(IF(OR($B2335="",$B2335="(blank)"),"",VLOOKUP($B2335,'Email Marketing Raw Data'!$C:$O,4,0)),"")</f>
        <v/>
      </c>
      <c r="H2335" s="55" t="str">
        <f>IFERROR(IF(OR($B2335="",$B2335="(blank)"),"",VLOOKUP($B2335,'Email Marketing Raw Data'!$C:$O,5,0)),"")</f>
        <v/>
      </c>
      <c r="I2335" s="55" t="str">
        <f>IFERROR(IF($G2335="","",VLOOKUP('Dashboard And Emails Automate'!$G2335,Database!$H:$N,3,0)),"")</f>
        <v/>
      </c>
      <c r="J2335" s="55" t="str">
        <f>IFERROR(IF($G2335="","",VLOOKUP('Dashboard And Emails Automate'!$G2335,Database!$H:$N,4,0)),"")</f>
        <v/>
      </c>
      <c r="K2335" s="55" t="str">
        <f>IFERROR(IF($G2335="","",VLOOKUP('Dashboard And Emails Automate'!$G2335,Database!$H:$N,5,0)),"")</f>
        <v/>
      </c>
      <c r="L2335" s="55" t="str">
        <f>IFERROR(IF($G2335="","",VLOOKUP('Dashboard And Emails Automate'!$G2335,Database!$H:$N,6,0)),"")</f>
        <v/>
      </c>
      <c r="M2335" s="55" t="str">
        <f>IFERROR(IF($G2335="","",VLOOKUP('Dashboard And Emails Automate'!$G2335,Database!$H:$N,7,0)),"")</f>
        <v/>
      </c>
      <c r="N2335" s="55" t="str">
        <f>IFERROR(IF(OR($B2335="",$B2335="(blank)"),"",VLOOKUP($B2335,'Email Marketing Raw Data'!$C:$O,6,0)),"")</f>
        <v/>
      </c>
      <c r="O2335" s="55" t="str">
        <f>IFERROR(IF(OR($B2335="",$B2335="(blank)"),"",VLOOKUP($B2335,'Email Marketing Raw Data'!$C:$O,7,0)),"")</f>
        <v/>
      </c>
      <c r="P2335" s="55" t="str">
        <f>IFERROR(IF(OR($B2335="",$B2335="(blank)"),"",VLOOKUP($B2335,'Email Marketing Raw Data'!$C:$O,8,0)),"")</f>
        <v/>
      </c>
      <c r="Q2335" s="62" t="str">
        <f>IFERROR(IF(OR($B2335="",$B2335="(blank)"),"",VLOOKUP($B2335,'Email Marketing Raw Data'!$C:$O,9,0)),"")</f>
        <v/>
      </c>
    </row>
    <row r="2336" spans="4:17" ht="12.75" customHeight="1" x14ac:dyDescent="0.2">
      <c r="D2336" s="58" t="str">
        <f>IFERROR(IF(F2336&lt;&gt;"pending","",IF(OR($B2336="",$B2336="(blank)"),"",VLOOKUP($B2336,'Email Marketing Raw Data'!$C:$O,10,0))),"")</f>
        <v/>
      </c>
      <c r="E2336" s="59" t="str">
        <f>IFERROR(IF(F2336&lt;&gt;"pending","",IF(OR($B2336="",$B2336="(blank)"),"",VLOOKUP($B2336,'Email Marketing Raw Data'!$C:$O,11,0))),"")</f>
        <v/>
      </c>
      <c r="F2336" s="54" t="str">
        <f>IFERROR(IF(OR($B2336="",$B2336="(blank)"),"",VLOOKUP($B2336,'Email Marketing Raw Data'!$C:$O,13,0)),"")</f>
        <v/>
      </c>
      <c r="G2336" s="55" t="str">
        <f>IFERROR(IF(OR($B2336="",$B2336="(blank)"),"",VLOOKUP($B2336,'Email Marketing Raw Data'!$C:$O,4,0)),"")</f>
        <v/>
      </c>
      <c r="H2336" s="55" t="str">
        <f>IFERROR(IF(OR($B2336="",$B2336="(blank)"),"",VLOOKUP($B2336,'Email Marketing Raw Data'!$C:$O,5,0)),"")</f>
        <v/>
      </c>
      <c r="I2336" s="55" t="str">
        <f>IFERROR(IF($G2336="","",VLOOKUP('Dashboard And Emails Automate'!$G2336,Database!$H:$N,3,0)),"")</f>
        <v/>
      </c>
      <c r="J2336" s="55" t="str">
        <f>IFERROR(IF($G2336="","",VLOOKUP('Dashboard And Emails Automate'!$G2336,Database!$H:$N,4,0)),"")</f>
        <v/>
      </c>
      <c r="K2336" s="55" t="str">
        <f>IFERROR(IF($G2336="","",VLOOKUP('Dashboard And Emails Automate'!$G2336,Database!$H:$N,5,0)),"")</f>
        <v/>
      </c>
      <c r="L2336" s="55" t="str">
        <f>IFERROR(IF($G2336="","",VLOOKUP('Dashboard And Emails Automate'!$G2336,Database!$H:$N,6,0)),"")</f>
        <v/>
      </c>
      <c r="M2336" s="55" t="str">
        <f>IFERROR(IF($G2336="","",VLOOKUP('Dashboard And Emails Automate'!$G2336,Database!$H:$N,7,0)),"")</f>
        <v/>
      </c>
      <c r="N2336" s="55" t="str">
        <f>IFERROR(IF(OR($B2336="",$B2336="(blank)"),"",VLOOKUP($B2336,'Email Marketing Raw Data'!$C:$O,6,0)),"")</f>
        <v/>
      </c>
      <c r="O2336" s="55" t="str">
        <f>IFERROR(IF(OR($B2336="",$B2336="(blank)"),"",VLOOKUP($B2336,'Email Marketing Raw Data'!$C:$O,7,0)),"")</f>
        <v/>
      </c>
      <c r="P2336" s="55" t="str">
        <f>IFERROR(IF(OR($B2336="",$B2336="(blank)"),"",VLOOKUP($B2336,'Email Marketing Raw Data'!$C:$O,8,0)),"")</f>
        <v/>
      </c>
      <c r="Q2336" s="62" t="str">
        <f>IFERROR(IF(OR($B2336="",$B2336="(blank)"),"",VLOOKUP($B2336,'Email Marketing Raw Data'!$C:$O,9,0)),"")</f>
        <v/>
      </c>
    </row>
    <row r="2337" spans="4:17" ht="12.75" customHeight="1" x14ac:dyDescent="0.2">
      <c r="D2337" s="58" t="str">
        <f>IFERROR(IF(F2337&lt;&gt;"pending","",IF(OR($B2337="",$B2337="(blank)"),"",VLOOKUP($B2337,'Email Marketing Raw Data'!$C:$O,10,0))),"")</f>
        <v/>
      </c>
      <c r="E2337" s="59" t="str">
        <f>IFERROR(IF(F2337&lt;&gt;"pending","",IF(OR($B2337="",$B2337="(blank)"),"",VLOOKUP($B2337,'Email Marketing Raw Data'!$C:$O,11,0))),"")</f>
        <v/>
      </c>
      <c r="F2337" s="54" t="str">
        <f>IFERROR(IF(OR($B2337="",$B2337="(blank)"),"",VLOOKUP($B2337,'Email Marketing Raw Data'!$C:$O,13,0)),"")</f>
        <v/>
      </c>
      <c r="G2337" s="55" t="str">
        <f>IFERROR(IF(OR($B2337="",$B2337="(blank)"),"",VLOOKUP($B2337,'Email Marketing Raw Data'!$C:$O,4,0)),"")</f>
        <v/>
      </c>
      <c r="H2337" s="55" t="str">
        <f>IFERROR(IF(OR($B2337="",$B2337="(blank)"),"",VLOOKUP($B2337,'Email Marketing Raw Data'!$C:$O,5,0)),"")</f>
        <v/>
      </c>
      <c r="I2337" s="55" t="str">
        <f>IFERROR(IF($G2337="","",VLOOKUP('Dashboard And Emails Automate'!$G2337,Database!$H:$N,3,0)),"")</f>
        <v/>
      </c>
      <c r="J2337" s="55" t="str">
        <f>IFERROR(IF($G2337="","",VLOOKUP('Dashboard And Emails Automate'!$G2337,Database!$H:$N,4,0)),"")</f>
        <v/>
      </c>
      <c r="K2337" s="55" t="str">
        <f>IFERROR(IF($G2337="","",VLOOKUP('Dashboard And Emails Automate'!$G2337,Database!$H:$N,5,0)),"")</f>
        <v/>
      </c>
      <c r="L2337" s="55" t="str">
        <f>IFERROR(IF($G2337="","",VLOOKUP('Dashboard And Emails Automate'!$G2337,Database!$H:$N,6,0)),"")</f>
        <v/>
      </c>
      <c r="M2337" s="55" t="str">
        <f>IFERROR(IF($G2337="","",VLOOKUP('Dashboard And Emails Automate'!$G2337,Database!$H:$N,7,0)),"")</f>
        <v/>
      </c>
      <c r="N2337" s="55" t="str">
        <f>IFERROR(IF(OR($B2337="",$B2337="(blank)"),"",VLOOKUP($B2337,'Email Marketing Raw Data'!$C:$O,6,0)),"")</f>
        <v/>
      </c>
      <c r="O2337" s="55" t="str">
        <f>IFERROR(IF(OR($B2337="",$B2337="(blank)"),"",VLOOKUP($B2337,'Email Marketing Raw Data'!$C:$O,7,0)),"")</f>
        <v/>
      </c>
      <c r="P2337" s="55" t="str">
        <f>IFERROR(IF(OR($B2337="",$B2337="(blank)"),"",VLOOKUP($B2337,'Email Marketing Raw Data'!$C:$O,8,0)),"")</f>
        <v/>
      </c>
      <c r="Q2337" s="62" t="str">
        <f>IFERROR(IF(OR($B2337="",$B2337="(blank)"),"",VLOOKUP($B2337,'Email Marketing Raw Data'!$C:$O,9,0)),"")</f>
        <v/>
      </c>
    </row>
    <row r="2338" spans="4:17" ht="12.75" customHeight="1" x14ac:dyDescent="0.2">
      <c r="D2338" s="58" t="str">
        <f>IFERROR(IF(F2338&lt;&gt;"pending","",IF(OR($B2338="",$B2338="(blank)"),"",VLOOKUP($B2338,'Email Marketing Raw Data'!$C:$O,10,0))),"")</f>
        <v/>
      </c>
      <c r="E2338" s="59" t="str">
        <f>IFERROR(IF(F2338&lt;&gt;"pending","",IF(OR($B2338="",$B2338="(blank)"),"",VLOOKUP($B2338,'Email Marketing Raw Data'!$C:$O,11,0))),"")</f>
        <v/>
      </c>
      <c r="F2338" s="54" t="str">
        <f>IFERROR(IF(OR($B2338="",$B2338="(blank)"),"",VLOOKUP($B2338,'Email Marketing Raw Data'!$C:$O,13,0)),"")</f>
        <v/>
      </c>
      <c r="G2338" s="55" t="str">
        <f>IFERROR(IF(OR($B2338="",$B2338="(blank)"),"",VLOOKUP($B2338,'Email Marketing Raw Data'!$C:$O,4,0)),"")</f>
        <v/>
      </c>
      <c r="H2338" s="55" t="str">
        <f>IFERROR(IF(OR($B2338="",$B2338="(blank)"),"",VLOOKUP($B2338,'Email Marketing Raw Data'!$C:$O,5,0)),"")</f>
        <v/>
      </c>
      <c r="I2338" s="55" t="str">
        <f>IFERROR(IF($G2338="","",VLOOKUP('Dashboard And Emails Automate'!$G2338,Database!$H:$N,3,0)),"")</f>
        <v/>
      </c>
      <c r="J2338" s="55" t="str">
        <f>IFERROR(IF($G2338="","",VLOOKUP('Dashboard And Emails Automate'!$G2338,Database!$H:$N,4,0)),"")</f>
        <v/>
      </c>
      <c r="K2338" s="55" t="str">
        <f>IFERROR(IF($G2338="","",VLOOKUP('Dashboard And Emails Automate'!$G2338,Database!$H:$N,5,0)),"")</f>
        <v/>
      </c>
      <c r="L2338" s="55" t="str">
        <f>IFERROR(IF($G2338="","",VLOOKUP('Dashboard And Emails Automate'!$G2338,Database!$H:$N,6,0)),"")</f>
        <v/>
      </c>
      <c r="M2338" s="55" t="str">
        <f>IFERROR(IF($G2338="","",VLOOKUP('Dashboard And Emails Automate'!$G2338,Database!$H:$N,7,0)),"")</f>
        <v/>
      </c>
      <c r="N2338" s="55" t="str">
        <f>IFERROR(IF(OR($B2338="",$B2338="(blank)"),"",VLOOKUP($B2338,'Email Marketing Raw Data'!$C:$O,6,0)),"")</f>
        <v/>
      </c>
      <c r="O2338" s="55" t="str">
        <f>IFERROR(IF(OR($B2338="",$B2338="(blank)"),"",VLOOKUP($B2338,'Email Marketing Raw Data'!$C:$O,7,0)),"")</f>
        <v/>
      </c>
      <c r="P2338" s="55" t="str">
        <f>IFERROR(IF(OR($B2338="",$B2338="(blank)"),"",VLOOKUP($B2338,'Email Marketing Raw Data'!$C:$O,8,0)),"")</f>
        <v/>
      </c>
      <c r="Q2338" s="62" t="str">
        <f>IFERROR(IF(OR($B2338="",$B2338="(blank)"),"",VLOOKUP($B2338,'Email Marketing Raw Data'!$C:$O,9,0)),"")</f>
        <v/>
      </c>
    </row>
    <row r="2339" spans="4:17" ht="12.75" customHeight="1" x14ac:dyDescent="0.2">
      <c r="D2339" s="58" t="str">
        <f>IFERROR(IF(F2339&lt;&gt;"pending","",IF(OR($B2339="",$B2339="(blank)"),"",VLOOKUP($B2339,'Email Marketing Raw Data'!$C:$O,10,0))),"")</f>
        <v/>
      </c>
      <c r="E2339" s="59" t="str">
        <f>IFERROR(IF(F2339&lt;&gt;"pending","",IF(OR($B2339="",$B2339="(blank)"),"",VLOOKUP($B2339,'Email Marketing Raw Data'!$C:$O,11,0))),"")</f>
        <v/>
      </c>
      <c r="F2339" s="54" t="str">
        <f>IFERROR(IF(OR($B2339="",$B2339="(blank)"),"",VLOOKUP($B2339,'Email Marketing Raw Data'!$C:$O,13,0)),"")</f>
        <v/>
      </c>
      <c r="G2339" s="55" t="str">
        <f>IFERROR(IF(OR($B2339="",$B2339="(blank)"),"",VLOOKUP($B2339,'Email Marketing Raw Data'!$C:$O,4,0)),"")</f>
        <v/>
      </c>
      <c r="H2339" s="55" t="str">
        <f>IFERROR(IF(OR($B2339="",$B2339="(blank)"),"",VLOOKUP($B2339,'Email Marketing Raw Data'!$C:$O,5,0)),"")</f>
        <v/>
      </c>
      <c r="I2339" s="55" t="str">
        <f>IFERROR(IF($G2339="","",VLOOKUP('Dashboard And Emails Automate'!$G2339,Database!$H:$N,3,0)),"")</f>
        <v/>
      </c>
      <c r="J2339" s="55" t="str">
        <f>IFERROR(IF($G2339="","",VLOOKUP('Dashboard And Emails Automate'!$G2339,Database!$H:$N,4,0)),"")</f>
        <v/>
      </c>
      <c r="K2339" s="55" t="str">
        <f>IFERROR(IF($G2339="","",VLOOKUP('Dashboard And Emails Automate'!$G2339,Database!$H:$N,5,0)),"")</f>
        <v/>
      </c>
      <c r="L2339" s="55" t="str">
        <f>IFERROR(IF($G2339="","",VLOOKUP('Dashboard And Emails Automate'!$G2339,Database!$H:$N,6,0)),"")</f>
        <v/>
      </c>
      <c r="M2339" s="55" t="str">
        <f>IFERROR(IF($G2339="","",VLOOKUP('Dashboard And Emails Automate'!$G2339,Database!$H:$N,7,0)),"")</f>
        <v/>
      </c>
      <c r="N2339" s="55" t="str">
        <f>IFERROR(IF(OR($B2339="",$B2339="(blank)"),"",VLOOKUP($B2339,'Email Marketing Raw Data'!$C:$O,6,0)),"")</f>
        <v/>
      </c>
      <c r="O2339" s="55" t="str">
        <f>IFERROR(IF(OR($B2339="",$B2339="(blank)"),"",VLOOKUP($B2339,'Email Marketing Raw Data'!$C:$O,7,0)),"")</f>
        <v/>
      </c>
      <c r="P2339" s="55" t="str">
        <f>IFERROR(IF(OR($B2339="",$B2339="(blank)"),"",VLOOKUP($B2339,'Email Marketing Raw Data'!$C:$O,8,0)),"")</f>
        <v/>
      </c>
      <c r="Q2339" s="62" t="str">
        <f>IFERROR(IF(OR($B2339="",$B2339="(blank)"),"",VLOOKUP($B2339,'Email Marketing Raw Data'!$C:$O,9,0)),"")</f>
        <v/>
      </c>
    </row>
    <row r="2340" spans="4:17" ht="12.75" customHeight="1" x14ac:dyDescent="0.2">
      <c r="D2340" s="58" t="str">
        <f>IFERROR(IF(F2340&lt;&gt;"pending","",IF(OR($B2340="",$B2340="(blank)"),"",VLOOKUP($B2340,'Email Marketing Raw Data'!$C:$O,10,0))),"")</f>
        <v/>
      </c>
      <c r="E2340" s="59" t="str">
        <f>IFERROR(IF(F2340&lt;&gt;"pending","",IF(OR($B2340="",$B2340="(blank)"),"",VLOOKUP($B2340,'Email Marketing Raw Data'!$C:$O,11,0))),"")</f>
        <v/>
      </c>
      <c r="F2340" s="54" t="str">
        <f>IFERROR(IF(OR($B2340="",$B2340="(blank)"),"",VLOOKUP($B2340,'Email Marketing Raw Data'!$C:$O,13,0)),"")</f>
        <v/>
      </c>
      <c r="G2340" s="55" t="str">
        <f>IFERROR(IF(OR($B2340="",$B2340="(blank)"),"",VLOOKUP($B2340,'Email Marketing Raw Data'!$C:$O,4,0)),"")</f>
        <v/>
      </c>
      <c r="H2340" s="55" t="str">
        <f>IFERROR(IF(OR($B2340="",$B2340="(blank)"),"",VLOOKUP($B2340,'Email Marketing Raw Data'!$C:$O,5,0)),"")</f>
        <v/>
      </c>
      <c r="I2340" s="55" t="str">
        <f>IFERROR(IF($G2340="","",VLOOKUP('Dashboard And Emails Automate'!$G2340,Database!$H:$N,3,0)),"")</f>
        <v/>
      </c>
      <c r="J2340" s="55" t="str">
        <f>IFERROR(IF($G2340="","",VLOOKUP('Dashboard And Emails Automate'!$G2340,Database!$H:$N,4,0)),"")</f>
        <v/>
      </c>
      <c r="K2340" s="55" t="str">
        <f>IFERROR(IF($G2340="","",VLOOKUP('Dashboard And Emails Automate'!$G2340,Database!$H:$N,5,0)),"")</f>
        <v/>
      </c>
      <c r="L2340" s="55" t="str">
        <f>IFERROR(IF($G2340="","",VLOOKUP('Dashboard And Emails Automate'!$G2340,Database!$H:$N,6,0)),"")</f>
        <v/>
      </c>
      <c r="M2340" s="55" t="str">
        <f>IFERROR(IF($G2340="","",VLOOKUP('Dashboard And Emails Automate'!$G2340,Database!$H:$N,7,0)),"")</f>
        <v/>
      </c>
      <c r="N2340" s="55" t="str">
        <f>IFERROR(IF(OR($B2340="",$B2340="(blank)"),"",VLOOKUP($B2340,'Email Marketing Raw Data'!$C:$O,6,0)),"")</f>
        <v/>
      </c>
      <c r="O2340" s="55" t="str">
        <f>IFERROR(IF(OR($B2340="",$B2340="(blank)"),"",VLOOKUP($B2340,'Email Marketing Raw Data'!$C:$O,7,0)),"")</f>
        <v/>
      </c>
      <c r="P2340" s="55" t="str">
        <f>IFERROR(IF(OR($B2340="",$B2340="(blank)"),"",VLOOKUP($B2340,'Email Marketing Raw Data'!$C:$O,8,0)),"")</f>
        <v/>
      </c>
      <c r="Q2340" s="62" t="str">
        <f>IFERROR(IF(OR($B2340="",$B2340="(blank)"),"",VLOOKUP($B2340,'Email Marketing Raw Data'!$C:$O,9,0)),"")</f>
        <v/>
      </c>
    </row>
    <row r="2341" spans="4:17" ht="12.75" customHeight="1" x14ac:dyDescent="0.2">
      <c r="D2341" s="58" t="str">
        <f>IFERROR(IF(F2341&lt;&gt;"pending","",IF(OR($B2341="",$B2341="(blank)"),"",VLOOKUP($B2341,'Email Marketing Raw Data'!$C:$O,10,0))),"")</f>
        <v/>
      </c>
      <c r="E2341" s="59" t="str">
        <f>IFERROR(IF(F2341&lt;&gt;"pending","",IF(OR($B2341="",$B2341="(blank)"),"",VLOOKUP($B2341,'Email Marketing Raw Data'!$C:$O,11,0))),"")</f>
        <v/>
      </c>
      <c r="F2341" s="54" t="str">
        <f>IFERROR(IF(OR($B2341="",$B2341="(blank)"),"",VLOOKUP($B2341,'Email Marketing Raw Data'!$C:$O,13,0)),"")</f>
        <v/>
      </c>
      <c r="G2341" s="55" t="str">
        <f>IFERROR(IF(OR($B2341="",$B2341="(blank)"),"",VLOOKUP($B2341,'Email Marketing Raw Data'!$C:$O,4,0)),"")</f>
        <v/>
      </c>
      <c r="H2341" s="55" t="str">
        <f>IFERROR(IF(OR($B2341="",$B2341="(blank)"),"",VLOOKUP($B2341,'Email Marketing Raw Data'!$C:$O,5,0)),"")</f>
        <v/>
      </c>
      <c r="I2341" s="55" t="str">
        <f>IFERROR(IF($G2341="","",VLOOKUP('Dashboard And Emails Automate'!$G2341,Database!$H:$N,3,0)),"")</f>
        <v/>
      </c>
      <c r="J2341" s="55" t="str">
        <f>IFERROR(IF($G2341="","",VLOOKUP('Dashboard And Emails Automate'!$G2341,Database!$H:$N,4,0)),"")</f>
        <v/>
      </c>
      <c r="K2341" s="55" t="str">
        <f>IFERROR(IF($G2341="","",VLOOKUP('Dashboard And Emails Automate'!$G2341,Database!$H:$N,5,0)),"")</f>
        <v/>
      </c>
      <c r="L2341" s="55" t="str">
        <f>IFERROR(IF($G2341="","",VLOOKUP('Dashboard And Emails Automate'!$G2341,Database!$H:$N,6,0)),"")</f>
        <v/>
      </c>
      <c r="M2341" s="55" t="str">
        <f>IFERROR(IF($G2341="","",VLOOKUP('Dashboard And Emails Automate'!$G2341,Database!$H:$N,7,0)),"")</f>
        <v/>
      </c>
      <c r="N2341" s="55" t="str">
        <f>IFERROR(IF(OR($B2341="",$B2341="(blank)"),"",VLOOKUP($B2341,'Email Marketing Raw Data'!$C:$O,6,0)),"")</f>
        <v/>
      </c>
      <c r="O2341" s="55" t="str">
        <f>IFERROR(IF(OR($B2341="",$B2341="(blank)"),"",VLOOKUP($B2341,'Email Marketing Raw Data'!$C:$O,7,0)),"")</f>
        <v/>
      </c>
      <c r="P2341" s="55" t="str">
        <f>IFERROR(IF(OR($B2341="",$B2341="(blank)"),"",VLOOKUP($B2341,'Email Marketing Raw Data'!$C:$O,8,0)),"")</f>
        <v/>
      </c>
      <c r="Q2341" s="62" t="str">
        <f>IFERROR(IF(OR($B2341="",$B2341="(blank)"),"",VLOOKUP($B2341,'Email Marketing Raw Data'!$C:$O,9,0)),"")</f>
        <v/>
      </c>
    </row>
    <row r="2342" spans="4:17" ht="12.75" customHeight="1" x14ac:dyDescent="0.2">
      <c r="D2342" s="58" t="str">
        <f>IFERROR(IF(F2342&lt;&gt;"pending","",IF(OR($B2342="",$B2342="(blank)"),"",VLOOKUP($B2342,'Email Marketing Raw Data'!$C:$O,10,0))),"")</f>
        <v/>
      </c>
      <c r="E2342" s="59" t="str">
        <f>IFERROR(IF(F2342&lt;&gt;"pending","",IF(OR($B2342="",$B2342="(blank)"),"",VLOOKUP($B2342,'Email Marketing Raw Data'!$C:$O,11,0))),"")</f>
        <v/>
      </c>
      <c r="F2342" s="54" t="str">
        <f>IFERROR(IF(OR($B2342="",$B2342="(blank)"),"",VLOOKUP($B2342,'Email Marketing Raw Data'!$C:$O,13,0)),"")</f>
        <v/>
      </c>
      <c r="G2342" s="55" t="str">
        <f>IFERROR(IF(OR($B2342="",$B2342="(blank)"),"",VLOOKUP($B2342,'Email Marketing Raw Data'!$C:$O,4,0)),"")</f>
        <v/>
      </c>
      <c r="H2342" s="55" t="str">
        <f>IFERROR(IF(OR($B2342="",$B2342="(blank)"),"",VLOOKUP($B2342,'Email Marketing Raw Data'!$C:$O,5,0)),"")</f>
        <v/>
      </c>
      <c r="I2342" s="55" t="str">
        <f>IFERROR(IF($G2342="","",VLOOKUP('Dashboard And Emails Automate'!$G2342,Database!$H:$N,3,0)),"")</f>
        <v/>
      </c>
      <c r="J2342" s="55" t="str">
        <f>IFERROR(IF($G2342="","",VLOOKUP('Dashboard And Emails Automate'!$G2342,Database!$H:$N,4,0)),"")</f>
        <v/>
      </c>
      <c r="K2342" s="55" t="str">
        <f>IFERROR(IF($G2342="","",VLOOKUP('Dashboard And Emails Automate'!$G2342,Database!$H:$N,5,0)),"")</f>
        <v/>
      </c>
      <c r="L2342" s="55" t="str">
        <f>IFERROR(IF($G2342="","",VLOOKUP('Dashboard And Emails Automate'!$G2342,Database!$H:$N,6,0)),"")</f>
        <v/>
      </c>
      <c r="M2342" s="55" t="str">
        <f>IFERROR(IF($G2342="","",VLOOKUP('Dashboard And Emails Automate'!$G2342,Database!$H:$N,7,0)),"")</f>
        <v/>
      </c>
      <c r="N2342" s="55" t="str">
        <f>IFERROR(IF(OR($B2342="",$B2342="(blank)"),"",VLOOKUP($B2342,'Email Marketing Raw Data'!$C:$O,6,0)),"")</f>
        <v/>
      </c>
      <c r="O2342" s="55" t="str">
        <f>IFERROR(IF(OR($B2342="",$B2342="(blank)"),"",VLOOKUP($B2342,'Email Marketing Raw Data'!$C:$O,7,0)),"")</f>
        <v/>
      </c>
      <c r="P2342" s="55" t="str">
        <f>IFERROR(IF(OR($B2342="",$B2342="(blank)"),"",VLOOKUP($B2342,'Email Marketing Raw Data'!$C:$O,8,0)),"")</f>
        <v/>
      </c>
      <c r="Q2342" s="62" t="str">
        <f>IFERROR(IF(OR($B2342="",$B2342="(blank)"),"",VLOOKUP($B2342,'Email Marketing Raw Data'!$C:$O,9,0)),"")</f>
        <v/>
      </c>
    </row>
    <row r="2343" spans="4:17" ht="12.75" customHeight="1" x14ac:dyDescent="0.2">
      <c r="D2343" s="58" t="str">
        <f>IFERROR(IF(F2343&lt;&gt;"pending","",IF(OR($B2343="",$B2343="(blank)"),"",VLOOKUP($B2343,'Email Marketing Raw Data'!$C:$O,10,0))),"")</f>
        <v/>
      </c>
      <c r="E2343" s="59" t="str">
        <f>IFERROR(IF(F2343&lt;&gt;"pending","",IF(OR($B2343="",$B2343="(blank)"),"",VLOOKUP($B2343,'Email Marketing Raw Data'!$C:$O,11,0))),"")</f>
        <v/>
      </c>
      <c r="F2343" s="54" t="str">
        <f>IFERROR(IF(OR($B2343="",$B2343="(blank)"),"",VLOOKUP($B2343,'Email Marketing Raw Data'!$C:$O,13,0)),"")</f>
        <v/>
      </c>
      <c r="G2343" s="55" t="str">
        <f>IFERROR(IF(OR($B2343="",$B2343="(blank)"),"",VLOOKUP($B2343,'Email Marketing Raw Data'!$C:$O,4,0)),"")</f>
        <v/>
      </c>
      <c r="H2343" s="55" t="str">
        <f>IFERROR(IF(OR($B2343="",$B2343="(blank)"),"",VLOOKUP($B2343,'Email Marketing Raw Data'!$C:$O,5,0)),"")</f>
        <v/>
      </c>
      <c r="I2343" s="55" t="str">
        <f>IFERROR(IF($G2343="","",VLOOKUP('Dashboard And Emails Automate'!$G2343,Database!$H:$N,3,0)),"")</f>
        <v/>
      </c>
      <c r="J2343" s="55" t="str">
        <f>IFERROR(IF($G2343="","",VLOOKUP('Dashboard And Emails Automate'!$G2343,Database!$H:$N,4,0)),"")</f>
        <v/>
      </c>
      <c r="K2343" s="55" t="str">
        <f>IFERROR(IF($G2343="","",VLOOKUP('Dashboard And Emails Automate'!$G2343,Database!$H:$N,5,0)),"")</f>
        <v/>
      </c>
      <c r="L2343" s="55" t="str">
        <f>IFERROR(IF($G2343="","",VLOOKUP('Dashboard And Emails Automate'!$G2343,Database!$H:$N,6,0)),"")</f>
        <v/>
      </c>
      <c r="M2343" s="55" t="str">
        <f>IFERROR(IF($G2343="","",VLOOKUP('Dashboard And Emails Automate'!$G2343,Database!$H:$N,7,0)),"")</f>
        <v/>
      </c>
      <c r="N2343" s="55" t="str">
        <f>IFERROR(IF(OR($B2343="",$B2343="(blank)"),"",VLOOKUP($B2343,'Email Marketing Raw Data'!$C:$O,6,0)),"")</f>
        <v/>
      </c>
      <c r="O2343" s="55" t="str">
        <f>IFERROR(IF(OR($B2343="",$B2343="(blank)"),"",VLOOKUP($B2343,'Email Marketing Raw Data'!$C:$O,7,0)),"")</f>
        <v/>
      </c>
      <c r="P2343" s="55" t="str">
        <f>IFERROR(IF(OR($B2343="",$B2343="(blank)"),"",VLOOKUP($B2343,'Email Marketing Raw Data'!$C:$O,8,0)),"")</f>
        <v/>
      </c>
      <c r="Q2343" s="62" t="str">
        <f>IFERROR(IF(OR($B2343="",$B2343="(blank)"),"",VLOOKUP($B2343,'Email Marketing Raw Data'!$C:$O,9,0)),"")</f>
        <v/>
      </c>
    </row>
    <row r="2344" spans="4:17" ht="12.75" customHeight="1" x14ac:dyDescent="0.2">
      <c r="D2344" s="58" t="str">
        <f>IFERROR(IF(F2344&lt;&gt;"pending","",IF(OR($B2344="",$B2344="(blank)"),"",VLOOKUP($B2344,'Email Marketing Raw Data'!$C:$O,10,0))),"")</f>
        <v/>
      </c>
      <c r="E2344" s="59" t="str">
        <f>IFERROR(IF(F2344&lt;&gt;"pending","",IF(OR($B2344="",$B2344="(blank)"),"",VLOOKUP($B2344,'Email Marketing Raw Data'!$C:$O,11,0))),"")</f>
        <v/>
      </c>
      <c r="F2344" s="54" t="str">
        <f>IFERROR(IF(OR($B2344="",$B2344="(blank)"),"",VLOOKUP($B2344,'Email Marketing Raw Data'!$C:$O,13,0)),"")</f>
        <v/>
      </c>
      <c r="G2344" s="55" t="str">
        <f>IFERROR(IF(OR($B2344="",$B2344="(blank)"),"",VLOOKUP($B2344,'Email Marketing Raw Data'!$C:$O,4,0)),"")</f>
        <v/>
      </c>
      <c r="H2344" s="55" t="str">
        <f>IFERROR(IF(OR($B2344="",$B2344="(blank)"),"",VLOOKUP($B2344,'Email Marketing Raw Data'!$C:$O,5,0)),"")</f>
        <v/>
      </c>
      <c r="I2344" s="55" t="str">
        <f>IFERROR(IF($G2344="","",VLOOKUP('Dashboard And Emails Automate'!$G2344,Database!$H:$N,3,0)),"")</f>
        <v/>
      </c>
      <c r="J2344" s="55" t="str">
        <f>IFERROR(IF($G2344="","",VLOOKUP('Dashboard And Emails Automate'!$G2344,Database!$H:$N,4,0)),"")</f>
        <v/>
      </c>
      <c r="K2344" s="55" t="str">
        <f>IFERROR(IF($G2344="","",VLOOKUP('Dashboard And Emails Automate'!$G2344,Database!$H:$N,5,0)),"")</f>
        <v/>
      </c>
      <c r="L2344" s="55" t="str">
        <f>IFERROR(IF($G2344="","",VLOOKUP('Dashboard And Emails Automate'!$G2344,Database!$H:$N,6,0)),"")</f>
        <v/>
      </c>
      <c r="M2344" s="55" t="str">
        <f>IFERROR(IF($G2344="","",VLOOKUP('Dashboard And Emails Automate'!$G2344,Database!$H:$N,7,0)),"")</f>
        <v/>
      </c>
      <c r="N2344" s="55" t="str">
        <f>IFERROR(IF(OR($B2344="",$B2344="(blank)"),"",VLOOKUP($B2344,'Email Marketing Raw Data'!$C:$O,6,0)),"")</f>
        <v/>
      </c>
      <c r="O2344" s="55" t="str">
        <f>IFERROR(IF(OR($B2344="",$B2344="(blank)"),"",VLOOKUP($B2344,'Email Marketing Raw Data'!$C:$O,7,0)),"")</f>
        <v/>
      </c>
      <c r="P2344" s="55" t="str">
        <f>IFERROR(IF(OR($B2344="",$B2344="(blank)"),"",VLOOKUP($B2344,'Email Marketing Raw Data'!$C:$O,8,0)),"")</f>
        <v/>
      </c>
      <c r="Q2344" s="62" t="str">
        <f>IFERROR(IF(OR($B2344="",$B2344="(blank)"),"",VLOOKUP($B2344,'Email Marketing Raw Data'!$C:$O,9,0)),"")</f>
        <v/>
      </c>
    </row>
    <row r="2345" spans="4:17" ht="12.75" customHeight="1" x14ac:dyDescent="0.2">
      <c r="D2345" s="58" t="str">
        <f>IFERROR(IF(F2345&lt;&gt;"pending","",IF(OR($B2345="",$B2345="(blank)"),"",VLOOKUP($B2345,'Email Marketing Raw Data'!$C:$O,10,0))),"")</f>
        <v/>
      </c>
      <c r="E2345" s="59" t="str">
        <f>IFERROR(IF(F2345&lt;&gt;"pending","",IF(OR($B2345="",$B2345="(blank)"),"",VLOOKUP($B2345,'Email Marketing Raw Data'!$C:$O,11,0))),"")</f>
        <v/>
      </c>
      <c r="F2345" s="54" t="str">
        <f>IFERROR(IF(OR($B2345="",$B2345="(blank)"),"",VLOOKUP($B2345,'Email Marketing Raw Data'!$C:$O,13,0)),"")</f>
        <v/>
      </c>
      <c r="G2345" s="55" t="str">
        <f>IFERROR(IF(OR($B2345="",$B2345="(blank)"),"",VLOOKUP($B2345,'Email Marketing Raw Data'!$C:$O,4,0)),"")</f>
        <v/>
      </c>
      <c r="H2345" s="55" t="str">
        <f>IFERROR(IF(OR($B2345="",$B2345="(blank)"),"",VLOOKUP($B2345,'Email Marketing Raw Data'!$C:$O,5,0)),"")</f>
        <v/>
      </c>
      <c r="I2345" s="55" t="str">
        <f>IFERROR(IF($G2345="","",VLOOKUP('Dashboard And Emails Automate'!$G2345,Database!$H:$N,3,0)),"")</f>
        <v/>
      </c>
      <c r="J2345" s="55" t="str">
        <f>IFERROR(IF($G2345="","",VLOOKUP('Dashboard And Emails Automate'!$G2345,Database!$H:$N,4,0)),"")</f>
        <v/>
      </c>
      <c r="K2345" s="55" t="str">
        <f>IFERROR(IF($G2345="","",VLOOKUP('Dashboard And Emails Automate'!$G2345,Database!$H:$N,5,0)),"")</f>
        <v/>
      </c>
      <c r="L2345" s="55" t="str">
        <f>IFERROR(IF($G2345="","",VLOOKUP('Dashboard And Emails Automate'!$G2345,Database!$H:$N,6,0)),"")</f>
        <v/>
      </c>
      <c r="M2345" s="55" t="str">
        <f>IFERROR(IF($G2345="","",VLOOKUP('Dashboard And Emails Automate'!$G2345,Database!$H:$N,7,0)),"")</f>
        <v/>
      </c>
      <c r="N2345" s="55" t="str">
        <f>IFERROR(IF(OR($B2345="",$B2345="(blank)"),"",VLOOKUP($B2345,'Email Marketing Raw Data'!$C:$O,6,0)),"")</f>
        <v/>
      </c>
      <c r="O2345" s="55" t="str">
        <f>IFERROR(IF(OR($B2345="",$B2345="(blank)"),"",VLOOKUP($B2345,'Email Marketing Raw Data'!$C:$O,7,0)),"")</f>
        <v/>
      </c>
      <c r="P2345" s="55" t="str">
        <f>IFERROR(IF(OR($B2345="",$B2345="(blank)"),"",VLOOKUP($B2345,'Email Marketing Raw Data'!$C:$O,8,0)),"")</f>
        <v/>
      </c>
      <c r="Q2345" s="62" t="str">
        <f>IFERROR(IF(OR($B2345="",$B2345="(blank)"),"",VLOOKUP($B2345,'Email Marketing Raw Data'!$C:$O,9,0)),"")</f>
        <v/>
      </c>
    </row>
    <row r="2346" spans="4:17" ht="12.75" customHeight="1" x14ac:dyDescent="0.2">
      <c r="D2346" s="58" t="str">
        <f>IFERROR(IF(F2346&lt;&gt;"pending","",IF(OR($B2346="",$B2346="(blank)"),"",VLOOKUP($B2346,'Email Marketing Raw Data'!$C:$O,10,0))),"")</f>
        <v/>
      </c>
      <c r="E2346" s="59" t="str">
        <f>IFERROR(IF(F2346&lt;&gt;"pending","",IF(OR($B2346="",$B2346="(blank)"),"",VLOOKUP($B2346,'Email Marketing Raw Data'!$C:$O,11,0))),"")</f>
        <v/>
      </c>
      <c r="F2346" s="54" t="str">
        <f>IFERROR(IF(OR($B2346="",$B2346="(blank)"),"",VLOOKUP($B2346,'Email Marketing Raw Data'!$C:$O,13,0)),"")</f>
        <v/>
      </c>
      <c r="G2346" s="55" t="str">
        <f>IFERROR(IF(OR($B2346="",$B2346="(blank)"),"",VLOOKUP($B2346,'Email Marketing Raw Data'!$C:$O,4,0)),"")</f>
        <v/>
      </c>
      <c r="H2346" s="55" t="str">
        <f>IFERROR(IF(OR($B2346="",$B2346="(blank)"),"",VLOOKUP($B2346,'Email Marketing Raw Data'!$C:$O,5,0)),"")</f>
        <v/>
      </c>
      <c r="I2346" s="55" t="str">
        <f>IFERROR(IF($G2346="","",VLOOKUP('Dashboard And Emails Automate'!$G2346,Database!$H:$N,3,0)),"")</f>
        <v/>
      </c>
      <c r="J2346" s="55" t="str">
        <f>IFERROR(IF($G2346="","",VLOOKUP('Dashboard And Emails Automate'!$G2346,Database!$H:$N,4,0)),"")</f>
        <v/>
      </c>
      <c r="K2346" s="55" t="str">
        <f>IFERROR(IF($G2346="","",VLOOKUP('Dashboard And Emails Automate'!$G2346,Database!$H:$N,5,0)),"")</f>
        <v/>
      </c>
      <c r="L2346" s="55" t="str">
        <f>IFERROR(IF($G2346="","",VLOOKUP('Dashboard And Emails Automate'!$G2346,Database!$H:$N,6,0)),"")</f>
        <v/>
      </c>
      <c r="M2346" s="55" t="str">
        <f>IFERROR(IF($G2346="","",VLOOKUP('Dashboard And Emails Automate'!$G2346,Database!$H:$N,7,0)),"")</f>
        <v/>
      </c>
      <c r="N2346" s="55" t="str">
        <f>IFERROR(IF(OR($B2346="",$B2346="(blank)"),"",VLOOKUP($B2346,'Email Marketing Raw Data'!$C:$O,6,0)),"")</f>
        <v/>
      </c>
      <c r="O2346" s="55" t="str">
        <f>IFERROR(IF(OR($B2346="",$B2346="(blank)"),"",VLOOKUP($B2346,'Email Marketing Raw Data'!$C:$O,7,0)),"")</f>
        <v/>
      </c>
      <c r="P2346" s="55" t="str">
        <f>IFERROR(IF(OR($B2346="",$B2346="(blank)"),"",VLOOKUP($B2346,'Email Marketing Raw Data'!$C:$O,8,0)),"")</f>
        <v/>
      </c>
      <c r="Q2346" s="62" t="str">
        <f>IFERROR(IF(OR($B2346="",$B2346="(blank)"),"",VLOOKUP($B2346,'Email Marketing Raw Data'!$C:$O,9,0)),"")</f>
        <v/>
      </c>
    </row>
    <row r="2347" spans="4:17" ht="12.75" customHeight="1" x14ac:dyDescent="0.2">
      <c r="D2347" s="58" t="str">
        <f>IFERROR(IF(F2347&lt;&gt;"pending","",IF(OR($B2347="",$B2347="(blank)"),"",VLOOKUP($B2347,'Email Marketing Raw Data'!$C:$O,10,0))),"")</f>
        <v/>
      </c>
      <c r="E2347" s="59" t="str">
        <f>IFERROR(IF(F2347&lt;&gt;"pending","",IF(OR($B2347="",$B2347="(blank)"),"",VLOOKUP($B2347,'Email Marketing Raw Data'!$C:$O,11,0))),"")</f>
        <v/>
      </c>
      <c r="F2347" s="54" t="str">
        <f>IFERROR(IF(OR($B2347="",$B2347="(blank)"),"",VLOOKUP($B2347,'Email Marketing Raw Data'!$C:$O,13,0)),"")</f>
        <v/>
      </c>
      <c r="G2347" s="55" t="str">
        <f>IFERROR(IF(OR($B2347="",$B2347="(blank)"),"",VLOOKUP($B2347,'Email Marketing Raw Data'!$C:$O,4,0)),"")</f>
        <v/>
      </c>
      <c r="H2347" s="55" t="str">
        <f>IFERROR(IF(OR($B2347="",$B2347="(blank)"),"",VLOOKUP($B2347,'Email Marketing Raw Data'!$C:$O,5,0)),"")</f>
        <v/>
      </c>
      <c r="I2347" s="55" t="str">
        <f>IFERROR(IF($G2347="","",VLOOKUP('Dashboard And Emails Automate'!$G2347,Database!$H:$N,3,0)),"")</f>
        <v/>
      </c>
      <c r="J2347" s="55" t="str">
        <f>IFERROR(IF($G2347="","",VLOOKUP('Dashboard And Emails Automate'!$G2347,Database!$H:$N,4,0)),"")</f>
        <v/>
      </c>
      <c r="K2347" s="55" t="str">
        <f>IFERROR(IF($G2347="","",VLOOKUP('Dashboard And Emails Automate'!$G2347,Database!$H:$N,5,0)),"")</f>
        <v/>
      </c>
      <c r="L2347" s="55" t="str">
        <f>IFERROR(IF($G2347="","",VLOOKUP('Dashboard And Emails Automate'!$G2347,Database!$H:$N,6,0)),"")</f>
        <v/>
      </c>
      <c r="M2347" s="55" t="str">
        <f>IFERROR(IF($G2347="","",VLOOKUP('Dashboard And Emails Automate'!$G2347,Database!$H:$N,7,0)),"")</f>
        <v/>
      </c>
      <c r="N2347" s="55" t="str">
        <f>IFERROR(IF(OR($B2347="",$B2347="(blank)"),"",VLOOKUP($B2347,'Email Marketing Raw Data'!$C:$O,6,0)),"")</f>
        <v/>
      </c>
      <c r="O2347" s="55" t="str">
        <f>IFERROR(IF(OR($B2347="",$B2347="(blank)"),"",VLOOKUP($B2347,'Email Marketing Raw Data'!$C:$O,7,0)),"")</f>
        <v/>
      </c>
      <c r="P2347" s="55" t="str">
        <f>IFERROR(IF(OR($B2347="",$B2347="(blank)"),"",VLOOKUP($B2347,'Email Marketing Raw Data'!$C:$O,8,0)),"")</f>
        <v/>
      </c>
      <c r="Q2347" s="62" t="str">
        <f>IFERROR(IF(OR($B2347="",$B2347="(blank)"),"",VLOOKUP($B2347,'Email Marketing Raw Data'!$C:$O,9,0)),"")</f>
        <v/>
      </c>
    </row>
    <row r="2348" spans="4:17" ht="12.75" customHeight="1" x14ac:dyDescent="0.2">
      <c r="D2348" s="58" t="str">
        <f>IFERROR(IF(F2348&lt;&gt;"pending","",IF(OR($B2348="",$B2348="(blank)"),"",VLOOKUP($B2348,'Email Marketing Raw Data'!$C:$O,10,0))),"")</f>
        <v/>
      </c>
      <c r="E2348" s="59" t="str">
        <f>IFERROR(IF(F2348&lt;&gt;"pending","",IF(OR($B2348="",$B2348="(blank)"),"",VLOOKUP($B2348,'Email Marketing Raw Data'!$C:$O,11,0))),"")</f>
        <v/>
      </c>
      <c r="F2348" s="54" t="str">
        <f>IFERROR(IF(OR($B2348="",$B2348="(blank)"),"",VLOOKUP($B2348,'Email Marketing Raw Data'!$C:$O,13,0)),"")</f>
        <v/>
      </c>
      <c r="G2348" s="55" t="str">
        <f>IFERROR(IF(OR($B2348="",$B2348="(blank)"),"",VLOOKUP($B2348,'Email Marketing Raw Data'!$C:$O,4,0)),"")</f>
        <v/>
      </c>
      <c r="H2348" s="55" t="str">
        <f>IFERROR(IF(OR($B2348="",$B2348="(blank)"),"",VLOOKUP($B2348,'Email Marketing Raw Data'!$C:$O,5,0)),"")</f>
        <v/>
      </c>
      <c r="I2348" s="55" t="str">
        <f>IFERROR(IF($G2348="","",VLOOKUP('Dashboard And Emails Automate'!$G2348,Database!$H:$N,3,0)),"")</f>
        <v/>
      </c>
      <c r="J2348" s="55" t="str">
        <f>IFERROR(IF($G2348="","",VLOOKUP('Dashboard And Emails Automate'!$G2348,Database!$H:$N,4,0)),"")</f>
        <v/>
      </c>
      <c r="K2348" s="55" t="str">
        <f>IFERROR(IF($G2348="","",VLOOKUP('Dashboard And Emails Automate'!$G2348,Database!$H:$N,5,0)),"")</f>
        <v/>
      </c>
      <c r="L2348" s="55" t="str">
        <f>IFERROR(IF($G2348="","",VLOOKUP('Dashboard And Emails Automate'!$G2348,Database!$H:$N,6,0)),"")</f>
        <v/>
      </c>
      <c r="M2348" s="55" t="str">
        <f>IFERROR(IF($G2348="","",VLOOKUP('Dashboard And Emails Automate'!$G2348,Database!$H:$N,7,0)),"")</f>
        <v/>
      </c>
      <c r="N2348" s="55" t="str">
        <f>IFERROR(IF(OR($B2348="",$B2348="(blank)"),"",VLOOKUP($B2348,'Email Marketing Raw Data'!$C:$O,6,0)),"")</f>
        <v/>
      </c>
      <c r="O2348" s="55" t="str">
        <f>IFERROR(IF(OR($B2348="",$B2348="(blank)"),"",VLOOKUP($B2348,'Email Marketing Raw Data'!$C:$O,7,0)),"")</f>
        <v/>
      </c>
      <c r="P2348" s="55" t="str">
        <f>IFERROR(IF(OR($B2348="",$B2348="(blank)"),"",VLOOKUP($B2348,'Email Marketing Raw Data'!$C:$O,8,0)),"")</f>
        <v/>
      </c>
      <c r="Q2348" s="62" t="str">
        <f>IFERROR(IF(OR($B2348="",$B2348="(blank)"),"",VLOOKUP($B2348,'Email Marketing Raw Data'!$C:$O,9,0)),"")</f>
        <v/>
      </c>
    </row>
    <row r="2349" spans="4:17" ht="12.75" customHeight="1" x14ac:dyDescent="0.2">
      <c r="D2349" s="58" t="str">
        <f>IFERROR(IF(F2349&lt;&gt;"pending","",IF(OR($B2349="",$B2349="(blank)"),"",VLOOKUP($B2349,'Email Marketing Raw Data'!$C:$O,10,0))),"")</f>
        <v/>
      </c>
      <c r="E2349" s="59" t="str">
        <f>IFERROR(IF(F2349&lt;&gt;"pending","",IF(OR($B2349="",$B2349="(blank)"),"",VLOOKUP($B2349,'Email Marketing Raw Data'!$C:$O,11,0))),"")</f>
        <v/>
      </c>
      <c r="F2349" s="54" t="str">
        <f>IFERROR(IF(OR($B2349="",$B2349="(blank)"),"",VLOOKUP($B2349,'Email Marketing Raw Data'!$C:$O,13,0)),"")</f>
        <v/>
      </c>
      <c r="G2349" s="55" t="str">
        <f>IFERROR(IF(OR($B2349="",$B2349="(blank)"),"",VLOOKUP($B2349,'Email Marketing Raw Data'!$C:$O,4,0)),"")</f>
        <v/>
      </c>
      <c r="H2349" s="55" t="str">
        <f>IFERROR(IF(OR($B2349="",$B2349="(blank)"),"",VLOOKUP($B2349,'Email Marketing Raw Data'!$C:$O,5,0)),"")</f>
        <v/>
      </c>
      <c r="I2349" s="55" t="str">
        <f>IFERROR(IF($G2349="","",VLOOKUP('Dashboard And Emails Automate'!$G2349,Database!$H:$N,3,0)),"")</f>
        <v/>
      </c>
      <c r="J2349" s="55" t="str">
        <f>IFERROR(IF($G2349="","",VLOOKUP('Dashboard And Emails Automate'!$G2349,Database!$H:$N,4,0)),"")</f>
        <v/>
      </c>
      <c r="K2349" s="55" t="str">
        <f>IFERROR(IF($G2349="","",VLOOKUP('Dashboard And Emails Automate'!$G2349,Database!$H:$N,5,0)),"")</f>
        <v/>
      </c>
      <c r="L2349" s="55" t="str">
        <f>IFERROR(IF($G2349="","",VLOOKUP('Dashboard And Emails Automate'!$G2349,Database!$H:$N,6,0)),"")</f>
        <v/>
      </c>
      <c r="M2349" s="55" t="str">
        <f>IFERROR(IF($G2349="","",VLOOKUP('Dashboard And Emails Automate'!$G2349,Database!$H:$N,7,0)),"")</f>
        <v/>
      </c>
      <c r="N2349" s="55" t="str">
        <f>IFERROR(IF(OR($B2349="",$B2349="(blank)"),"",VLOOKUP($B2349,'Email Marketing Raw Data'!$C:$O,6,0)),"")</f>
        <v/>
      </c>
      <c r="O2349" s="55" t="str">
        <f>IFERROR(IF(OR($B2349="",$B2349="(blank)"),"",VLOOKUP($B2349,'Email Marketing Raw Data'!$C:$O,7,0)),"")</f>
        <v/>
      </c>
      <c r="P2349" s="55" t="str">
        <f>IFERROR(IF(OR($B2349="",$B2349="(blank)"),"",VLOOKUP($B2349,'Email Marketing Raw Data'!$C:$O,8,0)),"")</f>
        <v/>
      </c>
      <c r="Q2349" s="62" t="str">
        <f>IFERROR(IF(OR($B2349="",$B2349="(blank)"),"",VLOOKUP($B2349,'Email Marketing Raw Data'!$C:$O,9,0)),"")</f>
        <v/>
      </c>
    </row>
    <row r="2350" spans="4:17" ht="12.75" customHeight="1" x14ac:dyDescent="0.2">
      <c r="D2350" s="58" t="str">
        <f>IFERROR(IF(F2350&lt;&gt;"pending","",IF(OR($B2350="",$B2350="(blank)"),"",VLOOKUP($B2350,'Email Marketing Raw Data'!$C:$O,10,0))),"")</f>
        <v/>
      </c>
      <c r="E2350" s="59" t="str">
        <f>IFERROR(IF(F2350&lt;&gt;"pending","",IF(OR($B2350="",$B2350="(blank)"),"",VLOOKUP($B2350,'Email Marketing Raw Data'!$C:$O,11,0))),"")</f>
        <v/>
      </c>
      <c r="F2350" s="54" t="str">
        <f>IFERROR(IF(OR($B2350="",$B2350="(blank)"),"",VLOOKUP($B2350,'Email Marketing Raw Data'!$C:$O,13,0)),"")</f>
        <v/>
      </c>
      <c r="G2350" s="55" t="str">
        <f>IFERROR(IF(OR($B2350="",$B2350="(blank)"),"",VLOOKUP($B2350,'Email Marketing Raw Data'!$C:$O,4,0)),"")</f>
        <v/>
      </c>
      <c r="H2350" s="55" t="str">
        <f>IFERROR(IF(OR($B2350="",$B2350="(blank)"),"",VLOOKUP($B2350,'Email Marketing Raw Data'!$C:$O,5,0)),"")</f>
        <v/>
      </c>
      <c r="I2350" s="55" t="str">
        <f>IFERROR(IF($G2350="","",VLOOKUP('Dashboard And Emails Automate'!$G2350,Database!$H:$N,3,0)),"")</f>
        <v/>
      </c>
      <c r="J2350" s="55" t="str">
        <f>IFERROR(IF($G2350="","",VLOOKUP('Dashboard And Emails Automate'!$G2350,Database!$H:$N,4,0)),"")</f>
        <v/>
      </c>
      <c r="K2350" s="55" t="str">
        <f>IFERROR(IF($G2350="","",VLOOKUP('Dashboard And Emails Automate'!$G2350,Database!$H:$N,5,0)),"")</f>
        <v/>
      </c>
      <c r="L2350" s="55" t="str">
        <f>IFERROR(IF($G2350="","",VLOOKUP('Dashboard And Emails Automate'!$G2350,Database!$H:$N,6,0)),"")</f>
        <v/>
      </c>
      <c r="M2350" s="55" t="str">
        <f>IFERROR(IF($G2350="","",VLOOKUP('Dashboard And Emails Automate'!$G2350,Database!$H:$N,7,0)),"")</f>
        <v/>
      </c>
      <c r="N2350" s="55" t="str">
        <f>IFERROR(IF(OR($B2350="",$B2350="(blank)"),"",VLOOKUP($B2350,'Email Marketing Raw Data'!$C:$O,6,0)),"")</f>
        <v/>
      </c>
      <c r="O2350" s="55" t="str">
        <f>IFERROR(IF(OR($B2350="",$B2350="(blank)"),"",VLOOKUP($B2350,'Email Marketing Raw Data'!$C:$O,7,0)),"")</f>
        <v/>
      </c>
      <c r="P2350" s="55" t="str">
        <f>IFERROR(IF(OR($B2350="",$B2350="(blank)"),"",VLOOKUP($B2350,'Email Marketing Raw Data'!$C:$O,8,0)),"")</f>
        <v/>
      </c>
      <c r="Q2350" s="62" t="str">
        <f>IFERROR(IF(OR($B2350="",$B2350="(blank)"),"",VLOOKUP($B2350,'Email Marketing Raw Data'!$C:$O,9,0)),"")</f>
        <v/>
      </c>
    </row>
    <row r="2351" spans="4:17" ht="12.75" customHeight="1" x14ac:dyDescent="0.2">
      <c r="D2351" s="58" t="str">
        <f>IFERROR(IF(F2351&lt;&gt;"pending","",IF(OR($B2351="",$B2351="(blank)"),"",VLOOKUP($B2351,'Email Marketing Raw Data'!$C:$O,10,0))),"")</f>
        <v/>
      </c>
      <c r="E2351" s="59" t="str">
        <f>IFERROR(IF(F2351&lt;&gt;"pending","",IF(OR($B2351="",$B2351="(blank)"),"",VLOOKUP($B2351,'Email Marketing Raw Data'!$C:$O,11,0))),"")</f>
        <v/>
      </c>
      <c r="F2351" s="54" t="str">
        <f>IFERROR(IF(OR($B2351="",$B2351="(blank)"),"",VLOOKUP($B2351,'Email Marketing Raw Data'!$C:$O,13,0)),"")</f>
        <v/>
      </c>
      <c r="G2351" s="55" t="str">
        <f>IFERROR(IF(OR($B2351="",$B2351="(blank)"),"",VLOOKUP($B2351,'Email Marketing Raw Data'!$C:$O,4,0)),"")</f>
        <v/>
      </c>
      <c r="H2351" s="55" t="str">
        <f>IFERROR(IF(OR($B2351="",$B2351="(blank)"),"",VLOOKUP($B2351,'Email Marketing Raw Data'!$C:$O,5,0)),"")</f>
        <v/>
      </c>
      <c r="I2351" s="55" t="str">
        <f>IFERROR(IF($G2351="","",VLOOKUP('Dashboard And Emails Automate'!$G2351,Database!$H:$N,3,0)),"")</f>
        <v/>
      </c>
      <c r="J2351" s="55" t="str">
        <f>IFERROR(IF($G2351="","",VLOOKUP('Dashboard And Emails Automate'!$G2351,Database!$H:$N,4,0)),"")</f>
        <v/>
      </c>
      <c r="K2351" s="55" t="str">
        <f>IFERROR(IF($G2351="","",VLOOKUP('Dashboard And Emails Automate'!$G2351,Database!$H:$N,5,0)),"")</f>
        <v/>
      </c>
      <c r="L2351" s="55" t="str">
        <f>IFERROR(IF($G2351="","",VLOOKUP('Dashboard And Emails Automate'!$G2351,Database!$H:$N,6,0)),"")</f>
        <v/>
      </c>
      <c r="M2351" s="55" t="str">
        <f>IFERROR(IF($G2351="","",VLOOKUP('Dashboard And Emails Automate'!$G2351,Database!$H:$N,7,0)),"")</f>
        <v/>
      </c>
      <c r="N2351" s="55" t="str">
        <f>IFERROR(IF(OR($B2351="",$B2351="(blank)"),"",VLOOKUP($B2351,'Email Marketing Raw Data'!$C:$O,6,0)),"")</f>
        <v/>
      </c>
      <c r="O2351" s="55" t="str">
        <f>IFERROR(IF(OR($B2351="",$B2351="(blank)"),"",VLOOKUP($B2351,'Email Marketing Raw Data'!$C:$O,7,0)),"")</f>
        <v/>
      </c>
      <c r="P2351" s="55" t="str">
        <f>IFERROR(IF(OR($B2351="",$B2351="(blank)"),"",VLOOKUP($B2351,'Email Marketing Raw Data'!$C:$O,8,0)),"")</f>
        <v/>
      </c>
      <c r="Q2351" s="62" t="str">
        <f>IFERROR(IF(OR($B2351="",$B2351="(blank)"),"",VLOOKUP($B2351,'Email Marketing Raw Data'!$C:$O,9,0)),"")</f>
        <v/>
      </c>
    </row>
    <row r="2352" spans="4:17" ht="12.75" customHeight="1" x14ac:dyDescent="0.2">
      <c r="D2352" s="58" t="str">
        <f>IFERROR(IF(F2352&lt;&gt;"pending","",IF(OR($B2352="",$B2352="(blank)"),"",VLOOKUP($B2352,'Email Marketing Raw Data'!$C:$O,10,0))),"")</f>
        <v/>
      </c>
      <c r="E2352" s="59" t="str">
        <f>IFERROR(IF(F2352&lt;&gt;"pending","",IF(OR($B2352="",$B2352="(blank)"),"",VLOOKUP($B2352,'Email Marketing Raw Data'!$C:$O,11,0))),"")</f>
        <v/>
      </c>
      <c r="F2352" s="54" t="str">
        <f>IFERROR(IF(OR($B2352="",$B2352="(blank)"),"",VLOOKUP($B2352,'Email Marketing Raw Data'!$C:$O,13,0)),"")</f>
        <v/>
      </c>
      <c r="G2352" s="55" t="str">
        <f>IFERROR(IF(OR($B2352="",$B2352="(blank)"),"",VLOOKUP($B2352,'Email Marketing Raw Data'!$C:$O,4,0)),"")</f>
        <v/>
      </c>
      <c r="H2352" s="55" t="str">
        <f>IFERROR(IF(OR($B2352="",$B2352="(blank)"),"",VLOOKUP($B2352,'Email Marketing Raw Data'!$C:$O,5,0)),"")</f>
        <v/>
      </c>
      <c r="I2352" s="55" t="str">
        <f>IFERROR(IF($G2352="","",VLOOKUP('Dashboard And Emails Automate'!$G2352,Database!$H:$N,3,0)),"")</f>
        <v/>
      </c>
      <c r="J2352" s="55" t="str">
        <f>IFERROR(IF($G2352="","",VLOOKUP('Dashboard And Emails Automate'!$G2352,Database!$H:$N,4,0)),"")</f>
        <v/>
      </c>
      <c r="K2352" s="55" t="str">
        <f>IFERROR(IF($G2352="","",VLOOKUP('Dashboard And Emails Automate'!$G2352,Database!$H:$N,5,0)),"")</f>
        <v/>
      </c>
      <c r="L2352" s="55" t="str">
        <f>IFERROR(IF($G2352="","",VLOOKUP('Dashboard And Emails Automate'!$G2352,Database!$H:$N,6,0)),"")</f>
        <v/>
      </c>
      <c r="M2352" s="55" t="str">
        <f>IFERROR(IF($G2352="","",VLOOKUP('Dashboard And Emails Automate'!$G2352,Database!$H:$N,7,0)),"")</f>
        <v/>
      </c>
      <c r="N2352" s="55" t="str">
        <f>IFERROR(IF(OR($B2352="",$B2352="(blank)"),"",VLOOKUP($B2352,'Email Marketing Raw Data'!$C:$O,6,0)),"")</f>
        <v/>
      </c>
      <c r="O2352" s="55" t="str">
        <f>IFERROR(IF(OR($B2352="",$B2352="(blank)"),"",VLOOKUP($B2352,'Email Marketing Raw Data'!$C:$O,7,0)),"")</f>
        <v/>
      </c>
      <c r="P2352" s="55" t="str">
        <f>IFERROR(IF(OR($B2352="",$B2352="(blank)"),"",VLOOKUP($B2352,'Email Marketing Raw Data'!$C:$O,8,0)),"")</f>
        <v/>
      </c>
      <c r="Q2352" s="62" t="str">
        <f>IFERROR(IF(OR($B2352="",$B2352="(blank)"),"",VLOOKUP($B2352,'Email Marketing Raw Data'!$C:$O,9,0)),"")</f>
        <v/>
      </c>
    </row>
    <row r="2353" spans="4:17" ht="12.75" customHeight="1" x14ac:dyDescent="0.2">
      <c r="D2353" s="58" t="str">
        <f>IFERROR(IF(F2353&lt;&gt;"pending","",IF(OR($B2353="",$B2353="(blank)"),"",VLOOKUP($B2353,'Email Marketing Raw Data'!$C:$O,10,0))),"")</f>
        <v/>
      </c>
      <c r="E2353" s="59" t="str">
        <f>IFERROR(IF(F2353&lt;&gt;"pending","",IF(OR($B2353="",$B2353="(blank)"),"",VLOOKUP($B2353,'Email Marketing Raw Data'!$C:$O,11,0))),"")</f>
        <v/>
      </c>
      <c r="F2353" s="54" t="str">
        <f>IFERROR(IF(OR($B2353="",$B2353="(blank)"),"",VLOOKUP($B2353,'Email Marketing Raw Data'!$C:$O,13,0)),"")</f>
        <v/>
      </c>
      <c r="G2353" s="55" t="str">
        <f>IFERROR(IF(OR($B2353="",$B2353="(blank)"),"",VLOOKUP($B2353,'Email Marketing Raw Data'!$C:$O,4,0)),"")</f>
        <v/>
      </c>
      <c r="H2353" s="55" t="str">
        <f>IFERROR(IF(OR($B2353="",$B2353="(blank)"),"",VLOOKUP($B2353,'Email Marketing Raw Data'!$C:$O,5,0)),"")</f>
        <v/>
      </c>
      <c r="I2353" s="55" t="str">
        <f>IFERROR(IF($G2353="","",VLOOKUP('Dashboard And Emails Automate'!$G2353,Database!$H:$N,3,0)),"")</f>
        <v/>
      </c>
      <c r="J2353" s="55" t="str">
        <f>IFERROR(IF($G2353="","",VLOOKUP('Dashboard And Emails Automate'!$G2353,Database!$H:$N,4,0)),"")</f>
        <v/>
      </c>
      <c r="K2353" s="55" t="str">
        <f>IFERROR(IF($G2353="","",VLOOKUP('Dashboard And Emails Automate'!$G2353,Database!$H:$N,5,0)),"")</f>
        <v/>
      </c>
      <c r="L2353" s="55" t="str">
        <f>IFERROR(IF($G2353="","",VLOOKUP('Dashboard And Emails Automate'!$G2353,Database!$H:$N,6,0)),"")</f>
        <v/>
      </c>
      <c r="M2353" s="55" t="str">
        <f>IFERROR(IF($G2353="","",VLOOKUP('Dashboard And Emails Automate'!$G2353,Database!$H:$N,7,0)),"")</f>
        <v/>
      </c>
      <c r="N2353" s="55" t="str">
        <f>IFERROR(IF(OR($B2353="",$B2353="(blank)"),"",VLOOKUP($B2353,'Email Marketing Raw Data'!$C:$O,6,0)),"")</f>
        <v/>
      </c>
      <c r="O2353" s="55" t="str">
        <f>IFERROR(IF(OR($B2353="",$B2353="(blank)"),"",VLOOKUP($B2353,'Email Marketing Raw Data'!$C:$O,7,0)),"")</f>
        <v/>
      </c>
      <c r="P2353" s="55" t="str">
        <f>IFERROR(IF(OR($B2353="",$B2353="(blank)"),"",VLOOKUP($B2353,'Email Marketing Raw Data'!$C:$O,8,0)),"")</f>
        <v/>
      </c>
      <c r="Q2353" s="62" t="str">
        <f>IFERROR(IF(OR($B2353="",$B2353="(blank)"),"",VLOOKUP($B2353,'Email Marketing Raw Data'!$C:$O,9,0)),"")</f>
        <v/>
      </c>
    </row>
    <row r="2354" spans="4:17" ht="12.75" customHeight="1" x14ac:dyDescent="0.2">
      <c r="D2354" s="58" t="str">
        <f>IFERROR(IF(F2354&lt;&gt;"pending","",IF(OR($B2354="",$B2354="(blank)"),"",VLOOKUP($B2354,'Email Marketing Raw Data'!$C:$O,10,0))),"")</f>
        <v/>
      </c>
      <c r="E2354" s="59" t="str">
        <f>IFERROR(IF(F2354&lt;&gt;"pending","",IF(OR($B2354="",$B2354="(blank)"),"",VLOOKUP($B2354,'Email Marketing Raw Data'!$C:$O,11,0))),"")</f>
        <v/>
      </c>
      <c r="F2354" s="54" t="str">
        <f>IFERROR(IF(OR($B2354="",$B2354="(blank)"),"",VLOOKUP($B2354,'Email Marketing Raw Data'!$C:$O,13,0)),"")</f>
        <v/>
      </c>
      <c r="G2354" s="55" t="str">
        <f>IFERROR(IF(OR($B2354="",$B2354="(blank)"),"",VLOOKUP($B2354,'Email Marketing Raw Data'!$C:$O,4,0)),"")</f>
        <v/>
      </c>
      <c r="H2354" s="55" t="str">
        <f>IFERROR(IF(OR($B2354="",$B2354="(blank)"),"",VLOOKUP($B2354,'Email Marketing Raw Data'!$C:$O,5,0)),"")</f>
        <v/>
      </c>
      <c r="I2354" s="55" t="str">
        <f>IFERROR(IF($G2354="","",VLOOKUP('Dashboard And Emails Automate'!$G2354,Database!$H:$N,3,0)),"")</f>
        <v/>
      </c>
      <c r="J2354" s="55" t="str">
        <f>IFERROR(IF($G2354="","",VLOOKUP('Dashboard And Emails Automate'!$G2354,Database!$H:$N,4,0)),"")</f>
        <v/>
      </c>
      <c r="K2354" s="55" t="str">
        <f>IFERROR(IF($G2354="","",VLOOKUP('Dashboard And Emails Automate'!$G2354,Database!$H:$N,5,0)),"")</f>
        <v/>
      </c>
      <c r="L2354" s="55" t="str">
        <f>IFERROR(IF($G2354="","",VLOOKUP('Dashboard And Emails Automate'!$G2354,Database!$H:$N,6,0)),"")</f>
        <v/>
      </c>
      <c r="M2354" s="55" t="str">
        <f>IFERROR(IF($G2354="","",VLOOKUP('Dashboard And Emails Automate'!$G2354,Database!$H:$N,7,0)),"")</f>
        <v/>
      </c>
      <c r="N2354" s="55" t="str">
        <f>IFERROR(IF(OR($B2354="",$B2354="(blank)"),"",VLOOKUP($B2354,'Email Marketing Raw Data'!$C:$O,6,0)),"")</f>
        <v/>
      </c>
      <c r="O2354" s="55" t="str">
        <f>IFERROR(IF(OR($B2354="",$B2354="(blank)"),"",VLOOKUP($B2354,'Email Marketing Raw Data'!$C:$O,7,0)),"")</f>
        <v/>
      </c>
      <c r="P2354" s="55" t="str">
        <f>IFERROR(IF(OR($B2354="",$B2354="(blank)"),"",VLOOKUP($B2354,'Email Marketing Raw Data'!$C:$O,8,0)),"")</f>
        <v/>
      </c>
      <c r="Q2354" s="62" t="str">
        <f>IFERROR(IF(OR($B2354="",$B2354="(blank)"),"",VLOOKUP($B2354,'Email Marketing Raw Data'!$C:$O,9,0)),"")</f>
        <v/>
      </c>
    </row>
    <row r="2355" spans="4:17" ht="12.75" customHeight="1" x14ac:dyDescent="0.2">
      <c r="D2355" s="58" t="str">
        <f>IFERROR(IF(F2355&lt;&gt;"pending","",IF(OR($B2355="",$B2355="(blank)"),"",VLOOKUP($B2355,'Email Marketing Raw Data'!$C:$O,10,0))),"")</f>
        <v/>
      </c>
      <c r="E2355" s="59" t="str">
        <f>IFERROR(IF(F2355&lt;&gt;"pending","",IF(OR($B2355="",$B2355="(blank)"),"",VLOOKUP($B2355,'Email Marketing Raw Data'!$C:$O,11,0))),"")</f>
        <v/>
      </c>
      <c r="F2355" s="54" t="str">
        <f>IFERROR(IF(OR($B2355="",$B2355="(blank)"),"",VLOOKUP($B2355,'Email Marketing Raw Data'!$C:$O,13,0)),"")</f>
        <v/>
      </c>
      <c r="G2355" s="55" t="str">
        <f>IFERROR(IF(OR($B2355="",$B2355="(blank)"),"",VLOOKUP($B2355,'Email Marketing Raw Data'!$C:$O,4,0)),"")</f>
        <v/>
      </c>
      <c r="H2355" s="55" t="str">
        <f>IFERROR(IF(OR($B2355="",$B2355="(blank)"),"",VLOOKUP($B2355,'Email Marketing Raw Data'!$C:$O,5,0)),"")</f>
        <v/>
      </c>
      <c r="I2355" s="55" t="str">
        <f>IFERROR(IF($G2355="","",VLOOKUP('Dashboard And Emails Automate'!$G2355,Database!$H:$N,3,0)),"")</f>
        <v/>
      </c>
      <c r="J2355" s="55" t="str">
        <f>IFERROR(IF($G2355="","",VLOOKUP('Dashboard And Emails Automate'!$G2355,Database!$H:$N,4,0)),"")</f>
        <v/>
      </c>
      <c r="K2355" s="55" t="str">
        <f>IFERROR(IF($G2355="","",VLOOKUP('Dashboard And Emails Automate'!$G2355,Database!$H:$N,5,0)),"")</f>
        <v/>
      </c>
      <c r="L2355" s="55" t="str">
        <f>IFERROR(IF($G2355="","",VLOOKUP('Dashboard And Emails Automate'!$G2355,Database!$H:$N,6,0)),"")</f>
        <v/>
      </c>
      <c r="M2355" s="55" t="str">
        <f>IFERROR(IF($G2355="","",VLOOKUP('Dashboard And Emails Automate'!$G2355,Database!$H:$N,7,0)),"")</f>
        <v/>
      </c>
      <c r="N2355" s="55" t="str">
        <f>IFERROR(IF(OR($B2355="",$B2355="(blank)"),"",VLOOKUP($B2355,'Email Marketing Raw Data'!$C:$O,6,0)),"")</f>
        <v/>
      </c>
      <c r="O2355" s="55" t="str">
        <f>IFERROR(IF(OR($B2355="",$B2355="(blank)"),"",VLOOKUP($B2355,'Email Marketing Raw Data'!$C:$O,7,0)),"")</f>
        <v/>
      </c>
      <c r="P2355" s="55" t="str">
        <f>IFERROR(IF(OR($B2355="",$B2355="(blank)"),"",VLOOKUP($B2355,'Email Marketing Raw Data'!$C:$O,8,0)),"")</f>
        <v/>
      </c>
      <c r="Q2355" s="62" t="str">
        <f>IFERROR(IF(OR($B2355="",$B2355="(blank)"),"",VLOOKUP($B2355,'Email Marketing Raw Data'!$C:$O,9,0)),"")</f>
        <v/>
      </c>
    </row>
    <row r="2356" spans="4:17" ht="12.75" customHeight="1" x14ac:dyDescent="0.2">
      <c r="D2356" s="58" t="str">
        <f>IFERROR(IF(F2356&lt;&gt;"pending","",IF(OR($B2356="",$B2356="(blank)"),"",VLOOKUP($B2356,'Email Marketing Raw Data'!$C:$O,10,0))),"")</f>
        <v/>
      </c>
      <c r="E2356" s="59" t="str">
        <f>IFERROR(IF(F2356&lt;&gt;"pending","",IF(OR($B2356="",$B2356="(blank)"),"",VLOOKUP($B2356,'Email Marketing Raw Data'!$C:$O,11,0))),"")</f>
        <v/>
      </c>
      <c r="F2356" s="54" t="str">
        <f>IFERROR(IF(OR($B2356="",$B2356="(blank)"),"",VLOOKUP($B2356,'Email Marketing Raw Data'!$C:$O,13,0)),"")</f>
        <v/>
      </c>
      <c r="G2356" s="55" t="str">
        <f>IFERROR(IF(OR($B2356="",$B2356="(blank)"),"",VLOOKUP($B2356,'Email Marketing Raw Data'!$C:$O,4,0)),"")</f>
        <v/>
      </c>
      <c r="H2356" s="55" t="str">
        <f>IFERROR(IF(OR($B2356="",$B2356="(blank)"),"",VLOOKUP($B2356,'Email Marketing Raw Data'!$C:$O,5,0)),"")</f>
        <v/>
      </c>
      <c r="I2356" s="55" t="str">
        <f>IFERROR(IF($G2356="","",VLOOKUP('Dashboard And Emails Automate'!$G2356,Database!$H:$N,3,0)),"")</f>
        <v/>
      </c>
      <c r="J2356" s="55" t="str">
        <f>IFERROR(IF($G2356="","",VLOOKUP('Dashboard And Emails Automate'!$G2356,Database!$H:$N,4,0)),"")</f>
        <v/>
      </c>
      <c r="K2356" s="55" t="str">
        <f>IFERROR(IF($G2356="","",VLOOKUP('Dashboard And Emails Automate'!$G2356,Database!$H:$N,5,0)),"")</f>
        <v/>
      </c>
      <c r="L2356" s="55" t="str">
        <f>IFERROR(IF($G2356="","",VLOOKUP('Dashboard And Emails Automate'!$G2356,Database!$H:$N,6,0)),"")</f>
        <v/>
      </c>
      <c r="M2356" s="55" t="str">
        <f>IFERROR(IF($G2356="","",VLOOKUP('Dashboard And Emails Automate'!$G2356,Database!$H:$N,7,0)),"")</f>
        <v/>
      </c>
      <c r="N2356" s="55" t="str">
        <f>IFERROR(IF(OR($B2356="",$B2356="(blank)"),"",VLOOKUP($B2356,'Email Marketing Raw Data'!$C:$O,6,0)),"")</f>
        <v/>
      </c>
      <c r="O2356" s="55" t="str">
        <f>IFERROR(IF(OR($B2356="",$B2356="(blank)"),"",VLOOKUP($B2356,'Email Marketing Raw Data'!$C:$O,7,0)),"")</f>
        <v/>
      </c>
      <c r="P2356" s="55" t="str">
        <f>IFERROR(IF(OR($B2356="",$B2356="(blank)"),"",VLOOKUP($B2356,'Email Marketing Raw Data'!$C:$O,8,0)),"")</f>
        <v/>
      </c>
      <c r="Q2356" s="62" t="str">
        <f>IFERROR(IF(OR($B2356="",$B2356="(blank)"),"",VLOOKUP($B2356,'Email Marketing Raw Data'!$C:$O,9,0)),"")</f>
        <v/>
      </c>
    </row>
    <row r="2357" spans="4:17" ht="12.75" customHeight="1" x14ac:dyDescent="0.2">
      <c r="D2357" s="58" t="str">
        <f>IFERROR(IF(F2357&lt;&gt;"pending","",IF(OR($B2357="",$B2357="(blank)"),"",VLOOKUP($B2357,'Email Marketing Raw Data'!$C:$O,10,0))),"")</f>
        <v/>
      </c>
      <c r="E2357" s="59" t="str">
        <f>IFERROR(IF(F2357&lt;&gt;"pending","",IF(OR($B2357="",$B2357="(blank)"),"",VLOOKUP($B2357,'Email Marketing Raw Data'!$C:$O,11,0))),"")</f>
        <v/>
      </c>
      <c r="F2357" s="54" t="str">
        <f>IFERROR(IF(OR($B2357="",$B2357="(blank)"),"",VLOOKUP($B2357,'Email Marketing Raw Data'!$C:$O,13,0)),"")</f>
        <v/>
      </c>
      <c r="G2357" s="55" t="str">
        <f>IFERROR(IF(OR($B2357="",$B2357="(blank)"),"",VLOOKUP($B2357,'Email Marketing Raw Data'!$C:$O,4,0)),"")</f>
        <v/>
      </c>
      <c r="H2357" s="55" t="str">
        <f>IFERROR(IF(OR($B2357="",$B2357="(blank)"),"",VLOOKUP($B2357,'Email Marketing Raw Data'!$C:$O,5,0)),"")</f>
        <v/>
      </c>
      <c r="I2357" s="55" t="str">
        <f>IFERROR(IF($G2357="","",VLOOKUP('Dashboard And Emails Automate'!$G2357,Database!$H:$N,3,0)),"")</f>
        <v/>
      </c>
      <c r="J2357" s="55" t="str">
        <f>IFERROR(IF($G2357="","",VLOOKUP('Dashboard And Emails Automate'!$G2357,Database!$H:$N,4,0)),"")</f>
        <v/>
      </c>
      <c r="K2357" s="55" t="str">
        <f>IFERROR(IF($G2357="","",VLOOKUP('Dashboard And Emails Automate'!$G2357,Database!$H:$N,5,0)),"")</f>
        <v/>
      </c>
      <c r="L2357" s="55" t="str">
        <f>IFERROR(IF($G2357="","",VLOOKUP('Dashboard And Emails Automate'!$G2357,Database!$H:$N,6,0)),"")</f>
        <v/>
      </c>
      <c r="M2357" s="55" t="str">
        <f>IFERROR(IF($G2357="","",VLOOKUP('Dashboard And Emails Automate'!$G2357,Database!$H:$N,7,0)),"")</f>
        <v/>
      </c>
      <c r="N2357" s="55" t="str">
        <f>IFERROR(IF(OR($B2357="",$B2357="(blank)"),"",VLOOKUP($B2357,'Email Marketing Raw Data'!$C:$O,6,0)),"")</f>
        <v/>
      </c>
      <c r="O2357" s="55" t="str">
        <f>IFERROR(IF(OR($B2357="",$B2357="(blank)"),"",VLOOKUP($B2357,'Email Marketing Raw Data'!$C:$O,7,0)),"")</f>
        <v/>
      </c>
      <c r="P2357" s="55" t="str">
        <f>IFERROR(IF(OR($B2357="",$B2357="(blank)"),"",VLOOKUP($B2357,'Email Marketing Raw Data'!$C:$O,8,0)),"")</f>
        <v/>
      </c>
      <c r="Q2357" s="62" t="str">
        <f>IFERROR(IF(OR($B2357="",$B2357="(blank)"),"",VLOOKUP($B2357,'Email Marketing Raw Data'!$C:$O,9,0)),"")</f>
        <v/>
      </c>
    </row>
    <row r="2358" spans="4:17" ht="12.75" customHeight="1" x14ac:dyDescent="0.2">
      <c r="D2358" s="58" t="str">
        <f>IFERROR(IF(F2358&lt;&gt;"pending","",IF(OR($B2358="",$B2358="(blank)"),"",VLOOKUP($B2358,'Email Marketing Raw Data'!$C:$O,10,0))),"")</f>
        <v/>
      </c>
      <c r="E2358" s="59" t="str">
        <f>IFERROR(IF(F2358&lt;&gt;"pending","",IF(OR($B2358="",$B2358="(blank)"),"",VLOOKUP($B2358,'Email Marketing Raw Data'!$C:$O,11,0))),"")</f>
        <v/>
      </c>
      <c r="F2358" s="54" t="str">
        <f>IFERROR(IF(OR($B2358="",$B2358="(blank)"),"",VLOOKUP($B2358,'Email Marketing Raw Data'!$C:$O,13,0)),"")</f>
        <v/>
      </c>
      <c r="G2358" s="55" t="str">
        <f>IFERROR(IF(OR($B2358="",$B2358="(blank)"),"",VLOOKUP($B2358,'Email Marketing Raw Data'!$C:$O,4,0)),"")</f>
        <v/>
      </c>
      <c r="H2358" s="55" t="str">
        <f>IFERROR(IF(OR($B2358="",$B2358="(blank)"),"",VLOOKUP($B2358,'Email Marketing Raw Data'!$C:$O,5,0)),"")</f>
        <v/>
      </c>
      <c r="I2358" s="55" t="str">
        <f>IFERROR(IF($G2358="","",VLOOKUP('Dashboard And Emails Automate'!$G2358,Database!$H:$N,3,0)),"")</f>
        <v/>
      </c>
      <c r="J2358" s="55" t="str">
        <f>IFERROR(IF($G2358="","",VLOOKUP('Dashboard And Emails Automate'!$G2358,Database!$H:$N,4,0)),"")</f>
        <v/>
      </c>
      <c r="K2358" s="55" t="str">
        <f>IFERROR(IF($G2358="","",VLOOKUP('Dashboard And Emails Automate'!$G2358,Database!$H:$N,5,0)),"")</f>
        <v/>
      </c>
      <c r="L2358" s="55" t="str">
        <f>IFERROR(IF($G2358="","",VLOOKUP('Dashboard And Emails Automate'!$G2358,Database!$H:$N,6,0)),"")</f>
        <v/>
      </c>
      <c r="M2358" s="55" t="str">
        <f>IFERROR(IF($G2358="","",VLOOKUP('Dashboard And Emails Automate'!$G2358,Database!$H:$N,7,0)),"")</f>
        <v/>
      </c>
      <c r="N2358" s="55" t="str">
        <f>IFERROR(IF(OR($B2358="",$B2358="(blank)"),"",VLOOKUP($B2358,'Email Marketing Raw Data'!$C:$O,6,0)),"")</f>
        <v/>
      </c>
      <c r="O2358" s="55" t="str">
        <f>IFERROR(IF(OR($B2358="",$B2358="(blank)"),"",VLOOKUP($B2358,'Email Marketing Raw Data'!$C:$O,7,0)),"")</f>
        <v/>
      </c>
      <c r="P2358" s="55" t="str">
        <f>IFERROR(IF(OR($B2358="",$B2358="(blank)"),"",VLOOKUP($B2358,'Email Marketing Raw Data'!$C:$O,8,0)),"")</f>
        <v/>
      </c>
      <c r="Q2358" s="62" t="str">
        <f>IFERROR(IF(OR($B2358="",$B2358="(blank)"),"",VLOOKUP($B2358,'Email Marketing Raw Data'!$C:$O,9,0)),"")</f>
        <v/>
      </c>
    </row>
    <row r="2359" spans="4:17" ht="12.75" customHeight="1" x14ac:dyDescent="0.2">
      <c r="D2359" s="58" t="str">
        <f>IFERROR(IF(F2359&lt;&gt;"pending","",IF(OR($B2359="",$B2359="(blank)"),"",VLOOKUP($B2359,'Email Marketing Raw Data'!$C:$O,10,0))),"")</f>
        <v/>
      </c>
      <c r="E2359" s="59" t="str">
        <f>IFERROR(IF(F2359&lt;&gt;"pending","",IF(OR($B2359="",$B2359="(blank)"),"",VLOOKUP($B2359,'Email Marketing Raw Data'!$C:$O,11,0))),"")</f>
        <v/>
      </c>
      <c r="F2359" s="54" t="str">
        <f>IFERROR(IF(OR($B2359="",$B2359="(blank)"),"",VLOOKUP($B2359,'Email Marketing Raw Data'!$C:$O,13,0)),"")</f>
        <v/>
      </c>
      <c r="G2359" s="55" t="str">
        <f>IFERROR(IF(OR($B2359="",$B2359="(blank)"),"",VLOOKUP($B2359,'Email Marketing Raw Data'!$C:$O,4,0)),"")</f>
        <v/>
      </c>
      <c r="H2359" s="55" t="str">
        <f>IFERROR(IF(OR($B2359="",$B2359="(blank)"),"",VLOOKUP($B2359,'Email Marketing Raw Data'!$C:$O,5,0)),"")</f>
        <v/>
      </c>
      <c r="I2359" s="55" t="str">
        <f>IFERROR(IF($G2359="","",VLOOKUP('Dashboard And Emails Automate'!$G2359,Database!$H:$N,3,0)),"")</f>
        <v/>
      </c>
      <c r="J2359" s="55" t="str">
        <f>IFERROR(IF($G2359="","",VLOOKUP('Dashboard And Emails Automate'!$G2359,Database!$H:$N,4,0)),"")</f>
        <v/>
      </c>
      <c r="K2359" s="55" t="str">
        <f>IFERROR(IF($G2359="","",VLOOKUP('Dashboard And Emails Automate'!$G2359,Database!$H:$N,5,0)),"")</f>
        <v/>
      </c>
      <c r="L2359" s="55" t="str">
        <f>IFERROR(IF($G2359="","",VLOOKUP('Dashboard And Emails Automate'!$G2359,Database!$H:$N,6,0)),"")</f>
        <v/>
      </c>
      <c r="M2359" s="55" t="str">
        <f>IFERROR(IF($G2359="","",VLOOKUP('Dashboard And Emails Automate'!$G2359,Database!$H:$N,7,0)),"")</f>
        <v/>
      </c>
      <c r="N2359" s="55" t="str">
        <f>IFERROR(IF(OR($B2359="",$B2359="(blank)"),"",VLOOKUP($B2359,'Email Marketing Raw Data'!$C:$O,6,0)),"")</f>
        <v/>
      </c>
      <c r="O2359" s="55" t="str">
        <f>IFERROR(IF(OR($B2359="",$B2359="(blank)"),"",VLOOKUP($B2359,'Email Marketing Raw Data'!$C:$O,7,0)),"")</f>
        <v/>
      </c>
      <c r="P2359" s="55" t="str">
        <f>IFERROR(IF(OR($B2359="",$B2359="(blank)"),"",VLOOKUP($B2359,'Email Marketing Raw Data'!$C:$O,8,0)),"")</f>
        <v/>
      </c>
      <c r="Q2359" s="62" t="str">
        <f>IFERROR(IF(OR($B2359="",$B2359="(blank)"),"",VLOOKUP($B2359,'Email Marketing Raw Data'!$C:$O,9,0)),"")</f>
        <v/>
      </c>
    </row>
    <row r="2360" spans="4:17" ht="12.75" customHeight="1" x14ac:dyDescent="0.2">
      <c r="D2360" s="58" t="str">
        <f>IFERROR(IF(F2360&lt;&gt;"pending","",IF(OR($B2360="",$B2360="(blank)"),"",VLOOKUP($B2360,'Email Marketing Raw Data'!$C:$O,10,0))),"")</f>
        <v/>
      </c>
      <c r="E2360" s="59" t="str">
        <f>IFERROR(IF(F2360&lt;&gt;"pending","",IF(OR($B2360="",$B2360="(blank)"),"",VLOOKUP($B2360,'Email Marketing Raw Data'!$C:$O,11,0))),"")</f>
        <v/>
      </c>
      <c r="F2360" s="54" t="str">
        <f>IFERROR(IF(OR($B2360="",$B2360="(blank)"),"",VLOOKUP($B2360,'Email Marketing Raw Data'!$C:$O,13,0)),"")</f>
        <v/>
      </c>
      <c r="G2360" s="55" t="str">
        <f>IFERROR(IF(OR($B2360="",$B2360="(blank)"),"",VLOOKUP($B2360,'Email Marketing Raw Data'!$C:$O,4,0)),"")</f>
        <v/>
      </c>
      <c r="H2360" s="55" t="str">
        <f>IFERROR(IF(OR($B2360="",$B2360="(blank)"),"",VLOOKUP($B2360,'Email Marketing Raw Data'!$C:$O,5,0)),"")</f>
        <v/>
      </c>
      <c r="I2360" s="55" t="str">
        <f>IFERROR(IF($G2360="","",VLOOKUP('Dashboard And Emails Automate'!$G2360,Database!$H:$N,3,0)),"")</f>
        <v/>
      </c>
      <c r="J2360" s="55" t="str">
        <f>IFERROR(IF($G2360="","",VLOOKUP('Dashboard And Emails Automate'!$G2360,Database!$H:$N,4,0)),"")</f>
        <v/>
      </c>
      <c r="K2360" s="55" t="str">
        <f>IFERROR(IF($G2360="","",VLOOKUP('Dashboard And Emails Automate'!$G2360,Database!$H:$N,5,0)),"")</f>
        <v/>
      </c>
      <c r="L2360" s="55" t="str">
        <f>IFERROR(IF($G2360="","",VLOOKUP('Dashboard And Emails Automate'!$G2360,Database!$H:$N,6,0)),"")</f>
        <v/>
      </c>
      <c r="M2360" s="55" t="str">
        <f>IFERROR(IF($G2360="","",VLOOKUP('Dashboard And Emails Automate'!$G2360,Database!$H:$N,7,0)),"")</f>
        <v/>
      </c>
      <c r="N2360" s="55" t="str">
        <f>IFERROR(IF(OR($B2360="",$B2360="(blank)"),"",VLOOKUP($B2360,'Email Marketing Raw Data'!$C:$O,6,0)),"")</f>
        <v/>
      </c>
      <c r="O2360" s="55" t="str">
        <f>IFERROR(IF(OR($B2360="",$B2360="(blank)"),"",VLOOKUP($B2360,'Email Marketing Raw Data'!$C:$O,7,0)),"")</f>
        <v/>
      </c>
      <c r="P2360" s="55" t="str">
        <f>IFERROR(IF(OR($B2360="",$B2360="(blank)"),"",VLOOKUP($B2360,'Email Marketing Raw Data'!$C:$O,8,0)),"")</f>
        <v/>
      </c>
      <c r="Q2360" s="62" t="str">
        <f>IFERROR(IF(OR($B2360="",$B2360="(blank)"),"",VLOOKUP($B2360,'Email Marketing Raw Data'!$C:$O,9,0)),"")</f>
        <v/>
      </c>
    </row>
    <row r="2361" spans="4:17" ht="12.75" customHeight="1" x14ac:dyDescent="0.2">
      <c r="D2361" s="58" t="str">
        <f>IFERROR(IF(F2361&lt;&gt;"pending","",IF(OR($B2361="",$B2361="(blank)"),"",VLOOKUP($B2361,'Email Marketing Raw Data'!$C:$O,10,0))),"")</f>
        <v/>
      </c>
      <c r="E2361" s="59" t="str">
        <f>IFERROR(IF(F2361&lt;&gt;"pending","",IF(OR($B2361="",$B2361="(blank)"),"",VLOOKUP($B2361,'Email Marketing Raw Data'!$C:$O,11,0))),"")</f>
        <v/>
      </c>
      <c r="F2361" s="54" t="str">
        <f>IFERROR(IF(OR($B2361="",$B2361="(blank)"),"",VLOOKUP($B2361,'Email Marketing Raw Data'!$C:$O,13,0)),"")</f>
        <v/>
      </c>
      <c r="G2361" s="55" t="str">
        <f>IFERROR(IF(OR($B2361="",$B2361="(blank)"),"",VLOOKUP($B2361,'Email Marketing Raw Data'!$C:$O,4,0)),"")</f>
        <v/>
      </c>
      <c r="H2361" s="55" t="str">
        <f>IFERROR(IF(OR($B2361="",$B2361="(blank)"),"",VLOOKUP($B2361,'Email Marketing Raw Data'!$C:$O,5,0)),"")</f>
        <v/>
      </c>
      <c r="I2361" s="55" t="str">
        <f>IFERROR(IF($G2361="","",VLOOKUP('Dashboard And Emails Automate'!$G2361,Database!$H:$N,3,0)),"")</f>
        <v/>
      </c>
      <c r="J2361" s="55" t="str">
        <f>IFERROR(IF($G2361="","",VLOOKUP('Dashboard And Emails Automate'!$G2361,Database!$H:$N,4,0)),"")</f>
        <v/>
      </c>
      <c r="K2361" s="55" t="str">
        <f>IFERROR(IF($G2361="","",VLOOKUP('Dashboard And Emails Automate'!$G2361,Database!$H:$N,5,0)),"")</f>
        <v/>
      </c>
      <c r="L2361" s="55" t="str">
        <f>IFERROR(IF($G2361="","",VLOOKUP('Dashboard And Emails Automate'!$G2361,Database!$H:$N,6,0)),"")</f>
        <v/>
      </c>
      <c r="M2361" s="55" t="str">
        <f>IFERROR(IF($G2361="","",VLOOKUP('Dashboard And Emails Automate'!$G2361,Database!$H:$N,7,0)),"")</f>
        <v/>
      </c>
      <c r="N2361" s="55" t="str">
        <f>IFERROR(IF(OR($B2361="",$B2361="(blank)"),"",VLOOKUP($B2361,'Email Marketing Raw Data'!$C:$O,6,0)),"")</f>
        <v/>
      </c>
      <c r="O2361" s="55" t="str">
        <f>IFERROR(IF(OR($B2361="",$B2361="(blank)"),"",VLOOKUP($B2361,'Email Marketing Raw Data'!$C:$O,7,0)),"")</f>
        <v/>
      </c>
      <c r="P2361" s="55" t="str">
        <f>IFERROR(IF(OR($B2361="",$B2361="(blank)"),"",VLOOKUP($B2361,'Email Marketing Raw Data'!$C:$O,8,0)),"")</f>
        <v/>
      </c>
      <c r="Q2361" s="62" t="str">
        <f>IFERROR(IF(OR($B2361="",$B2361="(blank)"),"",VLOOKUP($B2361,'Email Marketing Raw Data'!$C:$O,9,0)),"")</f>
        <v/>
      </c>
    </row>
    <row r="2362" spans="4:17" ht="12.75" customHeight="1" x14ac:dyDescent="0.2">
      <c r="D2362" s="58" t="str">
        <f>IFERROR(IF(F2362&lt;&gt;"pending","",IF(OR($B2362="",$B2362="(blank)"),"",VLOOKUP($B2362,'Email Marketing Raw Data'!$C:$O,10,0))),"")</f>
        <v/>
      </c>
      <c r="E2362" s="59" t="str">
        <f>IFERROR(IF(F2362&lt;&gt;"pending","",IF(OR($B2362="",$B2362="(blank)"),"",VLOOKUP($B2362,'Email Marketing Raw Data'!$C:$O,11,0))),"")</f>
        <v/>
      </c>
      <c r="F2362" s="54" t="str">
        <f>IFERROR(IF(OR($B2362="",$B2362="(blank)"),"",VLOOKUP($B2362,'Email Marketing Raw Data'!$C:$O,13,0)),"")</f>
        <v/>
      </c>
      <c r="G2362" s="55" t="str">
        <f>IFERROR(IF(OR($B2362="",$B2362="(blank)"),"",VLOOKUP($B2362,'Email Marketing Raw Data'!$C:$O,4,0)),"")</f>
        <v/>
      </c>
      <c r="H2362" s="55" t="str">
        <f>IFERROR(IF(OR($B2362="",$B2362="(blank)"),"",VLOOKUP($B2362,'Email Marketing Raw Data'!$C:$O,5,0)),"")</f>
        <v/>
      </c>
      <c r="I2362" s="55" t="str">
        <f>IFERROR(IF($G2362="","",VLOOKUP('Dashboard And Emails Automate'!$G2362,Database!$H:$N,3,0)),"")</f>
        <v/>
      </c>
      <c r="J2362" s="55" t="str">
        <f>IFERROR(IF($G2362="","",VLOOKUP('Dashboard And Emails Automate'!$G2362,Database!$H:$N,4,0)),"")</f>
        <v/>
      </c>
      <c r="K2362" s="55" t="str">
        <f>IFERROR(IF($G2362="","",VLOOKUP('Dashboard And Emails Automate'!$G2362,Database!$H:$N,5,0)),"")</f>
        <v/>
      </c>
      <c r="L2362" s="55" t="str">
        <f>IFERROR(IF($G2362="","",VLOOKUP('Dashboard And Emails Automate'!$G2362,Database!$H:$N,6,0)),"")</f>
        <v/>
      </c>
      <c r="M2362" s="55" t="str">
        <f>IFERROR(IF($G2362="","",VLOOKUP('Dashboard And Emails Automate'!$G2362,Database!$H:$N,7,0)),"")</f>
        <v/>
      </c>
      <c r="N2362" s="55" t="str">
        <f>IFERROR(IF(OR($B2362="",$B2362="(blank)"),"",VLOOKUP($B2362,'Email Marketing Raw Data'!$C:$O,6,0)),"")</f>
        <v/>
      </c>
      <c r="O2362" s="55" t="str">
        <f>IFERROR(IF(OR($B2362="",$B2362="(blank)"),"",VLOOKUP($B2362,'Email Marketing Raw Data'!$C:$O,7,0)),"")</f>
        <v/>
      </c>
      <c r="P2362" s="55" t="str">
        <f>IFERROR(IF(OR($B2362="",$B2362="(blank)"),"",VLOOKUP($B2362,'Email Marketing Raw Data'!$C:$O,8,0)),"")</f>
        <v/>
      </c>
      <c r="Q2362" s="62" t="str">
        <f>IFERROR(IF(OR($B2362="",$B2362="(blank)"),"",VLOOKUP($B2362,'Email Marketing Raw Data'!$C:$O,9,0)),"")</f>
        <v/>
      </c>
    </row>
    <row r="2363" spans="4:17" ht="12.75" customHeight="1" x14ac:dyDescent="0.2">
      <c r="D2363" s="58" t="str">
        <f>IFERROR(IF(F2363&lt;&gt;"pending","",IF(OR($B2363="",$B2363="(blank)"),"",VLOOKUP($B2363,'Email Marketing Raw Data'!$C:$O,10,0))),"")</f>
        <v/>
      </c>
      <c r="E2363" s="59" t="str">
        <f>IFERROR(IF(F2363&lt;&gt;"pending","",IF(OR($B2363="",$B2363="(blank)"),"",VLOOKUP($B2363,'Email Marketing Raw Data'!$C:$O,11,0))),"")</f>
        <v/>
      </c>
      <c r="F2363" s="54" t="str">
        <f>IFERROR(IF(OR($B2363="",$B2363="(blank)"),"",VLOOKUP($B2363,'Email Marketing Raw Data'!$C:$O,13,0)),"")</f>
        <v/>
      </c>
      <c r="G2363" s="55" t="str">
        <f>IFERROR(IF(OR($B2363="",$B2363="(blank)"),"",VLOOKUP($B2363,'Email Marketing Raw Data'!$C:$O,4,0)),"")</f>
        <v/>
      </c>
      <c r="H2363" s="55" t="str">
        <f>IFERROR(IF(OR($B2363="",$B2363="(blank)"),"",VLOOKUP($B2363,'Email Marketing Raw Data'!$C:$O,5,0)),"")</f>
        <v/>
      </c>
      <c r="I2363" s="55" t="str">
        <f>IFERROR(IF($G2363="","",VLOOKUP('Dashboard And Emails Automate'!$G2363,Database!$H:$N,3,0)),"")</f>
        <v/>
      </c>
      <c r="J2363" s="55" t="str">
        <f>IFERROR(IF($G2363="","",VLOOKUP('Dashboard And Emails Automate'!$G2363,Database!$H:$N,4,0)),"")</f>
        <v/>
      </c>
      <c r="K2363" s="55" t="str">
        <f>IFERROR(IF($G2363="","",VLOOKUP('Dashboard And Emails Automate'!$G2363,Database!$H:$N,5,0)),"")</f>
        <v/>
      </c>
      <c r="L2363" s="55" t="str">
        <f>IFERROR(IF($G2363="","",VLOOKUP('Dashboard And Emails Automate'!$G2363,Database!$H:$N,6,0)),"")</f>
        <v/>
      </c>
      <c r="M2363" s="55" t="str">
        <f>IFERROR(IF($G2363="","",VLOOKUP('Dashboard And Emails Automate'!$G2363,Database!$H:$N,7,0)),"")</f>
        <v/>
      </c>
      <c r="N2363" s="55" t="str">
        <f>IFERROR(IF(OR($B2363="",$B2363="(blank)"),"",VLOOKUP($B2363,'Email Marketing Raw Data'!$C:$O,6,0)),"")</f>
        <v/>
      </c>
      <c r="O2363" s="55" t="str">
        <f>IFERROR(IF(OR($B2363="",$B2363="(blank)"),"",VLOOKUP($B2363,'Email Marketing Raw Data'!$C:$O,7,0)),"")</f>
        <v/>
      </c>
      <c r="P2363" s="55" t="str">
        <f>IFERROR(IF(OR($B2363="",$B2363="(blank)"),"",VLOOKUP($B2363,'Email Marketing Raw Data'!$C:$O,8,0)),"")</f>
        <v/>
      </c>
      <c r="Q2363" s="62" t="str">
        <f>IFERROR(IF(OR($B2363="",$B2363="(blank)"),"",VLOOKUP($B2363,'Email Marketing Raw Data'!$C:$O,9,0)),"")</f>
        <v/>
      </c>
    </row>
    <row r="2364" spans="4:17" ht="12.75" customHeight="1" x14ac:dyDescent="0.2">
      <c r="D2364" s="58" t="str">
        <f>IFERROR(IF(F2364&lt;&gt;"pending","",IF(OR($B2364="",$B2364="(blank)"),"",VLOOKUP($B2364,'Email Marketing Raw Data'!$C:$O,10,0))),"")</f>
        <v/>
      </c>
      <c r="E2364" s="59" t="str">
        <f>IFERROR(IF(F2364&lt;&gt;"pending","",IF(OR($B2364="",$B2364="(blank)"),"",VLOOKUP($B2364,'Email Marketing Raw Data'!$C:$O,11,0))),"")</f>
        <v/>
      </c>
      <c r="F2364" s="54" t="str">
        <f>IFERROR(IF(OR($B2364="",$B2364="(blank)"),"",VLOOKUP($B2364,'Email Marketing Raw Data'!$C:$O,13,0)),"")</f>
        <v/>
      </c>
      <c r="G2364" s="55" t="str">
        <f>IFERROR(IF(OR($B2364="",$B2364="(blank)"),"",VLOOKUP($B2364,'Email Marketing Raw Data'!$C:$O,4,0)),"")</f>
        <v/>
      </c>
      <c r="H2364" s="55" t="str">
        <f>IFERROR(IF(OR($B2364="",$B2364="(blank)"),"",VLOOKUP($B2364,'Email Marketing Raw Data'!$C:$O,5,0)),"")</f>
        <v/>
      </c>
      <c r="I2364" s="55" t="str">
        <f>IFERROR(IF($G2364="","",VLOOKUP('Dashboard And Emails Automate'!$G2364,Database!$H:$N,3,0)),"")</f>
        <v/>
      </c>
      <c r="J2364" s="55" t="str">
        <f>IFERROR(IF($G2364="","",VLOOKUP('Dashboard And Emails Automate'!$G2364,Database!$H:$N,4,0)),"")</f>
        <v/>
      </c>
      <c r="K2364" s="55" t="str">
        <f>IFERROR(IF($G2364="","",VLOOKUP('Dashboard And Emails Automate'!$G2364,Database!$H:$N,5,0)),"")</f>
        <v/>
      </c>
      <c r="L2364" s="55" t="str">
        <f>IFERROR(IF($G2364="","",VLOOKUP('Dashboard And Emails Automate'!$G2364,Database!$H:$N,6,0)),"")</f>
        <v/>
      </c>
      <c r="M2364" s="55" t="str">
        <f>IFERROR(IF($G2364="","",VLOOKUP('Dashboard And Emails Automate'!$G2364,Database!$H:$N,7,0)),"")</f>
        <v/>
      </c>
      <c r="N2364" s="55" t="str">
        <f>IFERROR(IF(OR($B2364="",$B2364="(blank)"),"",VLOOKUP($B2364,'Email Marketing Raw Data'!$C:$O,6,0)),"")</f>
        <v/>
      </c>
      <c r="O2364" s="55" t="str">
        <f>IFERROR(IF(OR($B2364="",$B2364="(blank)"),"",VLOOKUP($B2364,'Email Marketing Raw Data'!$C:$O,7,0)),"")</f>
        <v/>
      </c>
      <c r="P2364" s="55" t="str">
        <f>IFERROR(IF(OR($B2364="",$B2364="(blank)"),"",VLOOKUP($B2364,'Email Marketing Raw Data'!$C:$O,8,0)),"")</f>
        <v/>
      </c>
      <c r="Q2364" s="62" t="str">
        <f>IFERROR(IF(OR($B2364="",$B2364="(blank)"),"",VLOOKUP($B2364,'Email Marketing Raw Data'!$C:$O,9,0)),"")</f>
        <v/>
      </c>
    </row>
    <row r="2365" spans="4:17" ht="12.75" customHeight="1" x14ac:dyDescent="0.2">
      <c r="D2365" s="58" t="str">
        <f>IFERROR(IF(F2365&lt;&gt;"pending","",IF(OR($B2365="",$B2365="(blank)"),"",VLOOKUP($B2365,'Email Marketing Raw Data'!$C:$O,10,0))),"")</f>
        <v/>
      </c>
      <c r="E2365" s="59" t="str">
        <f>IFERROR(IF(F2365&lt;&gt;"pending","",IF(OR($B2365="",$B2365="(blank)"),"",VLOOKUP($B2365,'Email Marketing Raw Data'!$C:$O,11,0))),"")</f>
        <v/>
      </c>
      <c r="F2365" s="54" t="str">
        <f>IFERROR(IF(OR($B2365="",$B2365="(blank)"),"",VLOOKUP($B2365,'Email Marketing Raw Data'!$C:$O,13,0)),"")</f>
        <v/>
      </c>
      <c r="G2365" s="55" t="str">
        <f>IFERROR(IF(OR($B2365="",$B2365="(blank)"),"",VLOOKUP($B2365,'Email Marketing Raw Data'!$C:$O,4,0)),"")</f>
        <v/>
      </c>
      <c r="H2365" s="55" t="str">
        <f>IFERROR(IF(OR($B2365="",$B2365="(blank)"),"",VLOOKUP($B2365,'Email Marketing Raw Data'!$C:$O,5,0)),"")</f>
        <v/>
      </c>
      <c r="I2365" s="55" t="str">
        <f>IFERROR(IF($G2365="","",VLOOKUP('Dashboard And Emails Automate'!$G2365,Database!$H:$N,3,0)),"")</f>
        <v/>
      </c>
      <c r="J2365" s="55" t="str">
        <f>IFERROR(IF($G2365="","",VLOOKUP('Dashboard And Emails Automate'!$G2365,Database!$H:$N,4,0)),"")</f>
        <v/>
      </c>
      <c r="K2365" s="55" t="str">
        <f>IFERROR(IF($G2365="","",VLOOKUP('Dashboard And Emails Automate'!$G2365,Database!$H:$N,5,0)),"")</f>
        <v/>
      </c>
      <c r="L2365" s="55" t="str">
        <f>IFERROR(IF($G2365="","",VLOOKUP('Dashboard And Emails Automate'!$G2365,Database!$H:$N,6,0)),"")</f>
        <v/>
      </c>
      <c r="M2365" s="55" t="str">
        <f>IFERROR(IF($G2365="","",VLOOKUP('Dashboard And Emails Automate'!$G2365,Database!$H:$N,7,0)),"")</f>
        <v/>
      </c>
      <c r="N2365" s="55" t="str">
        <f>IFERROR(IF(OR($B2365="",$B2365="(blank)"),"",VLOOKUP($B2365,'Email Marketing Raw Data'!$C:$O,6,0)),"")</f>
        <v/>
      </c>
      <c r="O2365" s="55" t="str">
        <f>IFERROR(IF(OR($B2365="",$B2365="(blank)"),"",VLOOKUP($B2365,'Email Marketing Raw Data'!$C:$O,7,0)),"")</f>
        <v/>
      </c>
      <c r="P2365" s="55" t="str">
        <f>IFERROR(IF(OR($B2365="",$B2365="(blank)"),"",VLOOKUP($B2365,'Email Marketing Raw Data'!$C:$O,8,0)),"")</f>
        <v/>
      </c>
      <c r="Q2365" s="62" t="str">
        <f>IFERROR(IF(OR($B2365="",$B2365="(blank)"),"",VLOOKUP($B2365,'Email Marketing Raw Data'!$C:$O,9,0)),"")</f>
        <v/>
      </c>
    </row>
    <row r="2366" spans="4:17" ht="12.75" customHeight="1" x14ac:dyDescent="0.2">
      <c r="D2366" s="58" t="str">
        <f>IFERROR(IF(F2366&lt;&gt;"pending","",IF(OR($B2366="",$B2366="(blank)"),"",VLOOKUP($B2366,'Email Marketing Raw Data'!$C:$O,10,0))),"")</f>
        <v/>
      </c>
      <c r="E2366" s="59" t="str">
        <f>IFERROR(IF(F2366&lt;&gt;"pending","",IF(OR($B2366="",$B2366="(blank)"),"",VLOOKUP($B2366,'Email Marketing Raw Data'!$C:$O,11,0))),"")</f>
        <v/>
      </c>
      <c r="F2366" s="54" t="str">
        <f>IFERROR(IF(OR($B2366="",$B2366="(blank)"),"",VLOOKUP($B2366,'Email Marketing Raw Data'!$C:$O,13,0)),"")</f>
        <v/>
      </c>
      <c r="G2366" s="55" t="str">
        <f>IFERROR(IF(OR($B2366="",$B2366="(blank)"),"",VLOOKUP($B2366,'Email Marketing Raw Data'!$C:$O,4,0)),"")</f>
        <v/>
      </c>
      <c r="H2366" s="55" t="str">
        <f>IFERROR(IF(OR($B2366="",$B2366="(blank)"),"",VLOOKUP($B2366,'Email Marketing Raw Data'!$C:$O,5,0)),"")</f>
        <v/>
      </c>
      <c r="I2366" s="55" t="str">
        <f>IFERROR(IF($G2366="","",VLOOKUP('Dashboard And Emails Automate'!$G2366,Database!$H:$N,3,0)),"")</f>
        <v/>
      </c>
      <c r="J2366" s="55" t="str">
        <f>IFERROR(IF($G2366="","",VLOOKUP('Dashboard And Emails Automate'!$G2366,Database!$H:$N,4,0)),"")</f>
        <v/>
      </c>
      <c r="K2366" s="55" t="str">
        <f>IFERROR(IF($G2366="","",VLOOKUP('Dashboard And Emails Automate'!$G2366,Database!$H:$N,5,0)),"")</f>
        <v/>
      </c>
      <c r="L2366" s="55" t="str">
        <f>IFERROR(IF($G2366="","",VLOOKUP('Dashboard And Emails Automate'!$G2366,Database!$H:$N,6,0)),"")</f>
        <v/>
      </c>
      <c r="M2366" s="55" t="str">
        <f>IFERROR(IF($G2366="","",VLOOKUP('Dashboard And Emails Automate'!$G2366,Database!$H:$N,7,0)),"")</f>
        <v/>
      </c>
      <c r="N2366" s="55" t="str">
        <f>IFERROR(IF(OR($B2366="",$B2366="(blank)"),"",VLOOKUP($B2366,'Email Marketing Raw Data'!$C:$O,6,0)),"")</f>
        <v/>
      </c>
      <c r="O2366" s="55" t="str">
        <f>IFERROR(IF(OR($B2366="",$B2366="(blank)"),"",VLOOKUP($B2366,'Email Marketing Raw Data'!$C:$O,7,0)),"")</f>
        <v/>
      </c>
      <c r="P2366" s="55" t="str">
        <f>IFERROR(IF(OR($B2366="",$B2366="(blank)"),"",VLOOKUP($B2366,'Email Marketing Raw Data'!$C:$O,8,0)),"")</f>
        <v/>
      </c>
      <c r="Q2366" s="62" t="str">
        <f>IFERROR(IF(OR($B2366="",$B2366="(blank)"),"",VLOOKUP($B2366,'Email Marketing Raw Data'!$C:$O,9,0)),"")</f>
        <v/>
      </c>
    </row>
    <row r="2367" spans="4:17" ht="12.75" customHeight="1" x14ac:dyDescent="0.2">
      <c r="D2367" s="58" t="str">
        <f>IFERROR(IF(F2367&lt;&gt;"pending","",IF(OR($B2367="",$B2367="(blank)"),"",VLOOKUP($B2367,'Email Marketing Raw Data'!$C:$O,10,0))),"")</f>
        <v/>
      </c>
      <c r="E2367" s="59" t="str">
        <f>IFERROR(IF(F2367&lt;&gt;"pending","",IF(OR($B2367="",$B2367="(blank)"),"",VLOOKUP($B2367,'Email Marketing Raw Data'!$C:$O,11,0))),"")</f>
        <v/>
      </c>
      <c r="F2367" s="54" t="str">
        <f>IFERROR(IF(OR($B2367="",$B2367="(blank)"),"",VLOOKUP($B2367,'Email Marketing Raw Data'!$C:$O,13,0)),"")</f>
        <v/>
      </c>
      <c r="G2367" s="55" t="str">
        <f>IFERROR(IF(OR($B2367="",$B2367="(blank)"),"",VLOOKUP($B2367,'Email Marketing Raw Data'!$C:$O,4,0)),"")</f>
        <v/>
      </c>
      <c r="H2367" s="55" t="str">
        <f>IFERROR(IF(OR($B2367="",$B2367="(blank)"),"",VLOOKUP($B2367,'Email Marketing Raw Data'!$C:$O,5,0)),"")</f>
        <v/>
      </c>
      <c r="I2367" s="55" t="str">
        <f>IFERROR(IF($G2367="","",VLOOKUP('Dashboard And Emails Automate'!$G2367,Database!$H:$N,3,0)),"")</f>
        <v/>
      </c>
      <c r="J2367" s="55" t="str">
        <f>IFERROR(IF($G2367="","",VLOOKUP('Dashboard And Emails Automate'!$G2367,Database!$H:$N,4,0)),"")</f>
        <v/>
      </c>
      <c r="K2367" s="55" t="str">
        <f>IFERROR(IF($G2367="","",VLOOKUP('Dashboard And Emails Automate'!$G2367,Database!$H:$N,5,0)),"")</f>
        <v/>
      </c>
      <c r="L2367" s="55" t="str">
        <f>IFERROR(IF($G2367="","",VLOOKUP('Dashboard And Emails Automate'!$G2367,Database!$H:$N,6,0)),"")</f>
        <v/>
      </c>
      <c r="M2367" s="55" t="str">
        <f>IFERROR(IF($G2367="","",VLOOKUP('Dashboard And Emails Automate'!$G2367,Database!$H:$N,7,0)),"")</f>
        <v/>
      </c>
      <c r="N2367" s="55" t="str">
        <f>IFERROR(IF(OR($B2367="",$B2367="(blank)"),"",VLOOKUP($B2367,'Email Marketing Raw Data'!$C:$O,6,0)),"")</f>
        <v/>
      </c>
      <c r="O2367" s="55" t="str">
        <f>IFERROR(IF(OR($B2367="",$B2367="(blank)"),"",VLOOKUP($B2367,'Email Marketing Raw Data'!$C:$O,7,0)),"")</f>
        <v/>
      </c>
      <c r="P2367" s="55" t="str">
        <f>IFERROR(IF(OR($B2367="",$B2367="(blank)"),"",VLOOKUP($B2367,'Email Marketing Raw Data'!$C:$O,8,0)),"")</f>
        <v/>
      </c>
      <c r="Q2367" s="62" t="str">
        <f>IFERROR(IF(OR($B2367="",$B2367="(blank)"),"",VLOOKUP($B2367,'Email Marketing Raw Data'!$C:$O,9,0)),"")</f>
        <v/>
      </c>
    </row>
    <row r="2368" spans="4:17" ht="12.75" customHeight="1" x14ac:dyDescent="0.2">
      <c r="D2368" s="58" t="str">
        <f>IFERROR(IF(F2368&lt;&gt;"pending","",IF(OR($B2368="",$B2368="(blank)"),"",VLOOKUP($B2368,'Email Marketing Raw Data'!$C:$O,10,0))),"")</f>
        <v/>
      </c>
      <c r="E2368" s="59" t="str">
        <f>IFERROR(IF(F2368&lt;&gt;"pending","",IF(OR($B2368="",$B2368="(blank)"),"",VLOOKUP($B2368,'Email Marketing Raw Data'!$C:$O,11,0))),"")</f>
        <v/>
      </c>
      <c r="F2368" s="54" t="str">
        <f>IFERROR(IF(OR($B2368="",$B2368="(blank)"),"",VLOOKUP($B2368,'Email Marketing Raw Data'!$C:$O,13,0)),"")</f>
        <v/>
      </c>
      <c r="G2368" s="55" t="str">
        <f>IFERROR(IF(OR($B2368="",$B2368="(blank)"),"",VLOOKUP($B2368,'Email Marketing Raw Data'!$C:$O,4,0)),"")</f>
        <v/>
      </c>
      <c r="H2368" s="55" t="str">
        <f>IFERROR(IF(OR($B2368="",$B2368="(blank)"),"",VLOOKUP($B2368,'Email Marketing Raw Data'!$C:$O,5,0)),"")</f>
        <v/>
      </c>
      <c r="I2368" s="55" t="str">
        <f>IFERROR(IF($G2368="","",VLOOKUP('Dashboard And Emails Automate'!$G2368,Database!$H:$N,3,0)),"")</f>
        <v/>
      </c>
      <c r="J2368" s="55" t="str">
        <f>IFERROR(IF($G2368="","",VLOOKUP('Dashboard And Emails Automate'!$G2368,Database!$H:$N,4,0)),"")</f>
        <v/>
      </c>
      <c r="K2368" s="55" t="str">
        <f>IFERROR(IF($G2368="","",VLOOKUP('Dashboard And Emails Automate'!$G2368,Database!$H:$N,5,0)),"")</f>
        <v/>
      </c>
      <c r="L2368" s="55" t="str">
        <f>IFERROR(IF($G2368="","",VLOOKUP('Dashboard And Emails Automate'!$G2368,Database!$H:$N,6,0)),"")</f>
        <v/>
      </c>
      <c r="M2368" s="55" t="str">
        <f>IFERROR(IF($G2368="","",VLOOKUP('Dashboard And Emails Automate'!$G2368,Database!$H:$N,7,0)),"")</f>
        <v/>
      </c>
      <c r="N2368" s="55" t="str">
        <f>IFERROR(IF(OR($B2368="",$B2368="(blank)"),"",VLOOKUP($B2368,'Email Marketing Raw Data'!$C:$O,6,0)),"")</f>
        <v/>
      </c>
      <c r="O2368" s="55" t="str">
        <f>IFERROR(IF(OR($B2368="",$B2368="(blank)"),"",VLOOKUP($B2368,'Email Marketing Raw Data'!$C:$O,7,0)),"")</f>
        <v/>
      </c>
      <c r="P2368" s="55" t="str">
        <f>IFERROR(IF(OR($B2368="",$B2368="(blank)"),"",VLOOKUP($B2368,'Email Marketing Raw Data'!$C:$O,8,0)),"")</f>
        <v/>
      </c>
      <c r="Q2368" s="62" t="str">
        <f>IFERROR(IF(OR($B2368="",$B2368="(blank)"),"",VLOOKUP($B2368,'Email Marketing Raw Data'!$C:$O,9,0)),"")</f>
        <v/>
      </c>
    </row>
    <row r="2369" spans="4:17" ht="12.75" customHeight="1" x14ac:dyDescent="0.2">
      <c r="D2369" s="58" t="str">
        <f>IFERROR(IF(F2369&lt;&gt;"pending","",IF(OR($B2369="",$B2369="(blank)"),"",VLOOKUP($B2369,'Email Marketing Raw Data'!$C:$O,10,0))),"")</f>
        <v/>
      </c>
      <c r="E2369" s="59" t="str">
        <f>IFERROR(IF(F2369&lt;&gt;"pending","",IF(OR($B2369="",$B2369="(blank)"),"",VLOOKUP($B2369,'Email Marketing Raw Data'!$C:$O,11,0))),"")</f>
        <v/>
      </c>
      <c r="F2369" s="54" t="str">
        <f>IFERROR(IF(OR($B2369="",$B2369="(blank)"),"",VLOOKUP($B2369,'Email Marketing Raw Data'!$C:$O,13,0)),"")</f>
        <v/>
      </c>
      <c r="G2369" s="55" t="str">
        <f>IFERROR(IF(OR($B2369="",$B2369="(blank)"),"",VLOOKUP($B2369,'Email Marketing Raw Data'!$C:$O,4,0)),"")</f>
        <v/>
      </c>
      <c r="H2369" s="55" t="str">
        <f>IFERROR(IF(OR($B2369="",$B2369="(blank)"),"",VLOOKUP($B2369,'Email Marketing Raw Data'!$C:$O,5,0)),"")</f>
        <v/>
      </c>
      <c r="I2369" s="55" t="str">
        <f>IFERROR(IF($G2369="","",VLOOKUP('Dashboard And Emails Automate'!$G2369,Database!$H:$N,3,0)),"")</f>
        <v/>
      </c>
      <c r="J2369" s="55" t="str">
        <f>IFERROR(IF($G2369="","",VLOOKUP('Dashboard And Emails Automate'!$G2369,Database!$H:$N,4,0)),"")</f>
        <v/>
      </c>
      <c r="K2369" s="55" t="str">
        <f>IFERROR(IF($G2369="","",VLOOKUP('Dashboard And Emails Automate'!$G2369,Database!$H:$N,5,0)),"")</f>
        <v/>
      </c>
      <c r="L2369" s="55" t="str">
        <f>IFERROR(IF($G2369="","",VLOOKUP('Dashboard And Emails Automate'!$G2369,Database!$H:$N,6,0)),"")</f>
        <v/>
      </c>
      <c r="M2369" s="55" t="str">
        <f>IFERROR(IF($G2369="","",VLOOKUP('Dashboard And Emails Automate'!$G2369,Database!$H:$N,7,0)),"")</f>
        <v/>
      </c>
      <c r="N2369" s="55" t="str">
        <f>IFERROR(IF(OR($B2369="",$B2369="(blank)"),"",VLOOKUP($B2369,'Email Marketing Raw Data'!$C:$O,6,0)),"")</f>
        <v/>
      </c>
      <c r="O2369" s="55" t="str">
        <f>IFERROR(IF(OR($B2369="",$B2369="(blank)"),"",VLOOKUP($B2369,'Email Marketing Raw Data'!$C:$O,7,0)),"")</f>
        <v/>
      </c>
      <c r="P2369" s="55" t="str">
        <f>IFERROR(IF(OR($B2369="",$B2369="(blank)"),"",VLOOKUP($B2369,'Email Marketing Raw Data'!$C:$O,8,0)),"")</f>
        <v/>
      </c>
      <c r="Q2369" s="62" t="str">
        <f>IFERROR(IF(OR($B2369="",$B2369="(blank)"),"",VLOOKUP($B2369,'Email Marketing Raw Data'!$C:$O,9,0)),"")</f>
        <v/>
      </c>
    </row>
    <row r="2370" spans="4:17" ht="12.75" customHeight="1" x14ac:dyDescent="0.2">
      <c r="D2370" s="58" t="str">
        <f>IFERROR(IF(F2370&lt;&gt;"pending","",IF(OR($B2370="",$B2370="(blank)"),"",VLOOKUP($B2370,'Email Marketing Raw Data'!$C:$O,10,0))),"")</f>
        <v/>
      </c>
      <c r="E2370" s="59" t="str">
        <f>IFERROR(IF(F2370&lt;&gt;"pending","",IF(OR($B2370="",$B2370="(blank)"),"",VLOOKUP($B2370,'Email Marketing Raw Data'!$C:$O,11,0))),"")</f>
        <v/>
      </c>
      <c r="F2370" s="54" t="str">
        <f>IFERROR(IF(OR($B2370="",$B2370="(blank)"),"",VLOOKUP($B2370,'Email Marketing Raw Data'!$C:$O,13,0)),"")</f>
        <v/>
      </c>
      <c r="G2370" s="55" t="str">
        <f>IFERROR(IF(OR($B2370="",$B2370="(blank)"),"",VLOOKUP($B2370,'Email Marketing Raw Data'!$C:$O,4,0)),"")</f>
        <v/>
      </c>
      <c r="H2370" s="55" t="str">
        <f>IFERROR(IF(OR($B2370="",$B2370="(blank)"),"",VLOOKUP($B2370,'Email Marketing Raw Data'!$C:$O,5,0)),"")</f>
        <v/>
      </c>
      <c r="I2370" s="55" t="str">
        <f>IFERROR(IF($G2370="","",VLOOKUP('Dashboard And Emails Automate'!$G2370,Database!$H:$N,3,0)),"")</f>
        <v/>
      </c>
      <c r="J2370" s="55" t="str">
        <f>IFERROR(IF($G2370="","",VLOOKUP('Dashboard And Emails Automate'!$G2370,Database!$H:$N,4,0)),"")</f>
        <v/>
      </c>
      <c r="K2370" s="55" t="str">
        <f>IFERROR(IF($G2370="","",VLOOKUP('Dashboard And Emails Automate'!$G2370,Database!$H:$N,5,0)),"")</f>
        <v/>
      </c>
      <c r="L2370" s="55" t="str">
        <f>IFERROR(IF($G2370="","",VLOOKUP('Dashboard And Emails Automate'!$G2370,Database!$H:$N,6,0)),"")</f>
        <v/>
      </c>
      <c r="M2370" s="55" t="str">
        <f>IFERROR(IF($G2370="","",VLOOKUP('Dashboard And Emails Automate'!$G2370,Database!$H:$N,7,0)),"")</f>
        <v/>
      </c>
      <c r="N2370" s="55" t="str">
        <f>IFERROR(IF(OR($B2370="",$B2370="(blank)"),"",VLOOKUP($B2370,'Email Marketing Raw Data'!$C:$O,6,0)),"")</f>
        <v/>
      </c>
      <c r="O2370" s="55" t="str">
        <f>IFERROR(IF(OR($B2370="",$B2370="(blank)"),"",VLOOKUP($B2370,'Email Marketing Raw Data'!$C:$O,7,0)),"")</f>
        <v/>
      </c>
      <c r="P2370" s="55" t="str">
        <f>IFERROR(IF(OR($B2370="",$B2370="(blank)"),"",VLOOKUP($B2370,'Email Marketing Raw Data'!$C:$O,8,0)),"")</f>
        <v/>
      </c>
      <c r="Q2370" s="62" t="str">
        <f>IFERROR(IF(OR($B2370="",$B2370="(blank)"),"",VLOOKUP($B2370,'Email Marketing Raw Data'!$C:$O,9,0)),"")</f>
        <v/>
      </c>
    </row>
    <row r="2371" spans="4:17" ht="12.75" customHeight="1" x14ac:dyDescent="0.2">
      <c r="D2371" s="58" t="str">
        <f>IFERROR(IF(F2371&lt;&gt;"pending","",IF(OR($B2371="",$B2371="(blank)"),"",VLOOKUP($B2371,'Email Marketing Raw Data'!$C:$O,10,0))),"")</f>
        <v/>
      </c>
      <c r="E2371" s="59" t="str">
        <f>IFERROR(IF(F2371&lt;&gt;"pending","",IF(OR($B2371="",$B2371="(blank)"),"",VLOOKUP($B2371,'Email Marketing Raw Data'!$C:$O,11,0))),"")</f>
        <v/>
      </c>
      <c r="F2371" s="54" t="str">
        <f>IFERROR(IF(OR($B2371="",$B2371="(blank)"),"",VLOOKUP($B2371,'Email Marketing Raw Data'!$C:$O,13,0)),"")</f>
        <v/>
      </c>
      <c r="G2371" s="55" t="str">
        <f>IFERROR(IF(OR($B2371="",$B2371="(blank)"),"",VLOOKUP($B2371,'Email Marketing Raw Data'!$C:$O,4,0)),"")</f>
        <v/>
      </c>
      <c r="H2371" s="55" t="str">
        <f>IFERROR(IF(OR($B2371="",$B2371="(blank)"),"",VLOOKUP($B2371,'Email Marketing Raw Data'!$C:$O,5,0)),"")</f>
        <v/>
      </c>
      <c r="I2371" s="55" t="str">
        <f>IFERROR(IF($G2371="","",VLOOKUP('Dashboard And Emails Automate'!$G2371,Database!$H:$N,3,0)),"")</f>
        <v/>
      </c>
      <c r="J2371" s="55" t="str">
        <f>IFERROR(IF($G2371="","",VLOOKUP('Dashboard And Emails Automate'!$G2371,Database!$H:$N,4,0)),"")</f>
        <v/>
      </c>
      <c r="K2371" s="55" t="str">
        <f>IFERROR(IF($G2371="","",VLOOKUP('Dashboard And Emails Automate'!$G2371,Database!$H:$N,5,0)),"")</f>
        <v/>
      </c>
      <c r="L2371" s="55" t="str">
        <f>IFERROR(IF($G2371="","",VLOOKUP('Dashboard And Emails Automate'!$G2371,Database!$H:$N,6,0)),"")</f>
        <v/>
      </c>
      <c r="M2371" s="55" t="str">
        <f>IFERROR(IF($G2371="","",VLOOKUP('Dashboard And Emails Automate'!$G2371,Database!$H:$N,7,0)),"")</f>
        <v/>
      </c>
      <c r="N2371" s="55" t="str">
        <f>IFERROR(IF(OR($B2371="",$B2371="(blank)"),"",VLOOKUP($B2371,'Email Marketing Raw Data'!$C:$O,6,0)),"")</f>
        <v/>
      </c>
      <c r="O2371" s="55" t="str">
        <f>IFERROR(IF(OR($B2371="",$B2371="(blank)"),"",VLOOKUP($B2371,'Email Marketing Raw Data'!$C:$O,7,0)),"")</f>
        <v/>
      </c>
      <c r="P2371" s="55" t="str">
        <f>IFERROR(IF(OR($B2371="",$B2371="(blank)"),"",VLOOKUP($B2371,'Email Marketing Raw Data'!$C:$O,8,0)),"")</f>
        <v/>
      </c>
      <c r="Q2371" s="62" t="str">
        <f>IFERROR(IF(OR($B2371="",$B2371="(blank)"),"",VLOOKUP($B2371,'Email Marketing Raw Data'!$C:$O,9,0)),"")</f>
        <v/>
      </c>
    </row>
    <row r="2372" spans="4:17" ht="12.75" customHeight="1" x14ac:dyDescent="0.2">
      <c r="D2372" s="58" t="str">
        <f>IFERROR(IF(F2372&lt;&gt;"pending","",IF(OR($B2372="",$B2372="(blank)"),"",VLOOKUP($B2372,'Email Marketing Raw Data'!$C:$O,10,0))),"")</f>
        <v/>
      </c>
      <c r="E2372" s="59" t="str">
        <f>IFERROR(IF(F2372&lt;&gt;"pending","",IF(OR($B2372="",$B2372="(blank)"),"",VLOOKUP($B2372,'Email Marketing Raw Data'!$C:$O,11,0))),"")</f>
        <v/>
      </c>
      <c r="F2372" s="54" t="str">
        <f>IFERROR(IF(OR($B2372="",$B2372="(blank)"),"",VLOOKUP($B2372,'Email Marketing Raw Data'!$C:$O,13,0)),"")</f>
        <v/>
      </c>
      <c r="G2372" s="55" t="str">
        <f>IFERROR(IF(OR($B2372="",$B2372="(blank)"),"",VLOOKUP($B2372,'Email Marketing Raw Data'!$C:$O,4,0)),"")</f>
        <v/>
      </c>
      <c r="H2372" s="55" t="str">
        <f>IFERROR(IF(OR($B2372="",$B2372="(blank)"),"",VLOOKUP($B2372,'Email Marketing Raw Data'!$C:$O,5,0)),"")</f>
        <v/>
      </c>
      <c r="I2372" s="55" t="str">
        <f>IFERROR(IF($G2372="","",VLOOKUP('Dashboard And Emails Automate'!$G2372,Database!$H:$N,3,0)),"")</f>
        <v/>
      </c>
      <c r="J2372" s="55" t="str">
        <f>IFERROR(IF($G2372="","",VLOOKUP('Dashboard And Emails Automate'!$G2372,Database!$H:$N,4,0)),"")</f>
        <v/>
      </c>
      <c r="K2372" s="55" t="str">
        <f>IFERROR(IF($G2372="","",VLOOKUP('Dashboard And Emails Automate'!$G2372,Database!$H:$N,5,0)),"")</f>
        <v/>
      </c>
      <c r="L2372" s="55" t="str">
        <f>IFERROR(IF($G2372="","",VLOOKUP('Dashboard And Emails Automate'!$G2372,Database!$H:$N,6,0)),"")</f>
        <v/>
      </c>
      <c r="M2372" s="55" t="str">
        <f>IFERROR(IF($G2372="","",VLOOKUP('Dashboard And Emails Automate'!$G2372,Database!$H:$N,7,0)),"")</f>
        <v/>
      </c>
      <c r="N2372" s="55" t="str">
        <f>IFERROR(IF(OR($B2372="",$B2372="(blank)"),"",VLOOKUP($B2372,'Email Marketing Raw Data'!$C:$O,6,0)),"")</f>
        <v/>
      </c>
      <c r="O2372" s="55" t="str">
        <f>IFERROR(IF(OR($B2372="",$B2372="(blank)"),"",VLOOKUP($B2372,'Email Marketing Raw Data'!$C:$O,7,0)),"")</f>
        <v/>
      </c>
      <c r="P2372" s="55" t="str">
        <f>IFERROR(IF(OR($B2372="",$B2372="(blank)"),"",VLOOKUP($B2372,'Email Marketing Raw Data'!$C:$O,8,0)),"")</f>
        <v/>
      </c>
      <c r="Q2372" s="62" t="str">
        <f>IFERROR(IF(OR($B2372="",$B2372="(blank)"),"",VLOOKUP($B2372,'Email Marketing Raw Data'!$C:$O,9,0)),"")</f>
        <v/>
      </c>
    </row>
    <row r="2373" spans="4:17" ht="12.75" customHeight="1" x14ac:dyDescent="0.2">
      <c r="D2373" s="58" t="str">
        <f>IFERROR(IF(F2373&lt;&gt;"pending","",IF(OR($B2373="",$B2373="(blank)"),"",VLOOKUP($B2373,'Email Marketing Raw Data'!$C:$O,10,0))),"")</f>
        <v/>
      </c>
      <c r="E2373" s="59" t="str">
        <f>IFERROR(IF(F2373&lt;&gt;"pending","",IF(OR($B2373="",$B2373="(blank)"),"",VLOOKUP($B2373,'Email Marketing Raw Data'!$C:$O,11,0))),"")</f>
        <v/>
      </c>
      <c r="F2373" s="54" t="str">
        <f>IFERROR(IF(OR($B2373="",$B2373="(blank)"),"",VLOOKUP($B2373,'Email Marketing Raw Data'!$C:$O,13,0)),"")</f>
        <v/>
      </c>
      <c r="G2373" s="55" t="str">
        <f>IFERROR(IF(OR($B2373="",$B2373="(blank)"),"",VLOOKUP($B2373,'Email Marketing Raw Data'!$C:$O,4,0)),"")</f>
        <v/>
      </c>
      <c r="H2373" s="55" t="str">
        <f>IFERROR(IF(OR($B2373="",$B2373="(blank)"),"",VLOOKUP($B2373,'Email Marketing Raw Data'!$C:$O,5,0)),"")</f>
        <v/>
      </c>
      <c r="I2373" s="55" t="str">
        <f>IFERROR(IF($G2373="","",VLOOKUP('Dashboard And Emails Automate'!$G2373,Database!$H:$N,3,0)),"")</f>
        <v/>
      </c>
      <c r="J2373" s="55" t="str">
        <f>IFERROR(IF($G2373="","",VLOOKUP('Dashboard And Emails Automate'!$G2373,Database!$H:$N,4,0)),"")</f>
        <v/>
      </c>
      <c r="K2373" s="55" t="str">
        <f>IFERROR(IF($G2373="","",VLOOKUP('Dashboard And Emails Automate'!$G2373,Database!$H:$N,5,0)),"")</f>
        <v/>
      </c>
      <c r="L2373" s="55" t="str">
        <f>IFERROR(IF($G2373="","",VLOOKUP('Dashboard And Emails Automate'!$G2373,Database!$H:$N,6,0)),"")</f>
        <v/>
      </c>
      <c r="M2373" s="55" t="str">
        <f>IFERROR(IF($G2373="","",VLOOKUP('Dashboard And Emails Automate'!$G2373,Database!$H:$N,7,0)),"")</f>
        <v/>
      </c>
      <c r="N2373" s="55" t="str">
        <f>IFERROR(IF(OR($B2373="",$B2373="(blank)"),"",VLOOKUP($B2373,'Email Marketing Raw Data'!$C:$O,6,0)),"")</f>
        <v/>
      </c>
      <c r="O2373" s="55" t="str">
        <f>IFERROR(IF(OR($B2373="",$B2373="(blank)"),"",VLOOKUP($B2373,'Email Marketing Raw Data'!$C:$O,7,0)),"")</f>
        <v/>
      </c>
      <c r="P2373" s="55" t="str">
        <f>IFERROR(IF(OR($B2373="",$B2373="(blank)"),"",VLOOKUP($B2373,'Email Marketing Raw Data'!$C:$O,8,0)),"")</f>
        <v/>
      </c>
      <c r="Q2373" s="62" t="str">
        <f>IFERROR(IF(OR($B2373="",$B2373="(blank)"),"",VLOOKUP($B2373,'Email Marketing Raw Data'!$C:$O,9,0)),"")</f>
        <v/>
      </c>
    </row>
    <row r="2374" spans="4:17" ht="12.75" customHeight="1" x14ac:dyDescent="0.2">
      <c r="D2374" s="58" t="str">
        <f>IFERROR(IF(F2374&lt;&gt;"pending","",IF(OR($B2374="",$B2374="(blank)"),"",VLOOKUP($B2374,'Email Marketing Raw Data'!$C:$O,10,0))),"")</f>
        <v/>
      </c>
      <c r="E2374" s="59" t="str">
        <f>IFERROR(IF(F2374&lt;&gt;"pending","",IF(OR($B2374="",$B2374="(blank)"),"",VLOOKUP($B2374,'Email Marketing Raw Data'!$C:$O,11,0))),"")</f>
        <v/>
      </c>
      <c r="F2374" s="54" t="str">
        <f>IFERROR(IF(OR($B2374="",$B2374="(blank)"),"",VLOOKUP($B2374,'Email Marketing Raw Data'!$C:$O,13,0)),"")</f>
        <v/>
      </c>
      <c r="G2374" s="55" t="str">
        <f>IFERROR(IF(OR($B2374="",$B2374="(blank)"),"",VLOOKUP($B2374,'Email Marketing Raw Data'!$C:$O,4,0)),"")</f>
        <v/>
      </c>
      <c r="H2374" s="55" t="str">
        <f>IFERROR(IF(OR($B2374="",$B2374="(blank)"),"",VLOOKUP($B2374,'Email Marketing Raw Data'!$C:$O,5,0)),"")</f>
        <v/>
      </c>
      <c r="I2374" s="55" t="str">
        <f>IFERROR(IF($G2374="","",VLOOKUP('Dashboard And Emails Automate'!$G2374,Database!$H:$N,3,0)),"")</f>
        <v/>
      </c>
      <c r="J2374" s="55" t="str">
        <f>IFERROR(IF($G2374="","",VLOOKUP('Dashboard And Emails Automate'!$G2374,Database!$H:$N,4,0)),"")</f>
        <v/>
      </c>
      <c r="K2374" s="55" t="str">
        <f>IFERROR(IF($G2374="","",VLOOKUP('Dashboard And Emails Automate'!$G2374,Database!$H:$N,5,0)),"")</f>
        <v/>
      </c>
      <c r="L2374" s="55" t="str">
        <f>IFERROR(IF($G2374="","",VLOOKUP('Dashboard And Emails Automate'!$G2374,Database!$H:$N,6,0)),"")</f>
        <v/>
      </c>
      <c r="M2374" s="55" t="str">
        <f>IFERROR(IF($G2374="","",VLOOKUP('Dashboard And Emails Automate'!$G2374,Database!$H:$N,7,0)),"")</f>
        <v/>
      </c>
      <c r="N2374" s="55" t="str">
        <f>IFERROR(IF(OR($B2374="",$B2374="(blank)"),"",VLOOKUP($B2374,'Email Marketing Raw Data'!$C:$O,6,0)),"")</f>
        <v/>
      </c>
      <c r="O2374" s="55" t="str">
        <f>IFERROR(IF(OR($B2374="",$B2374="(blank)"),"",VLOOKUP($B2374,'Email Marketing Raw Data'!$C:$O,7,0)),"")</f>
        <v/>
      </c>
      <c r="P2374" s="55" t="str">
        <f>IFERROR(IF(OR($B2374="",$B2374="(blank)"),"",VLOOKUP($B2374,'Email Marketing Raw Data'!$C:$O,8,0)),"")</f>
        <v/>
      </c>
      <c r="Q2374" s="62" t="str">
        <f>IFERROR(IF(OR($B2374="",$B2374="(blank)"),"",VLOOKUP($B2374,'Email Marketing Raw Data'!$C:$O,9,0)),"")</f>
        <v/>
      </c>
    </row>
    <row r="2375" spans="4:17" ht="12.75" customHeight="1" x14ac:dyDescent="0.2">
      <c r="D2375" s="58" t="str">
        <f>IFERROR(IF(F2375&lt;&gt;"pending","",IF(OR($B2375="",$B2375="(blank)"),"",VLOOKUP($B2375,'Email Marketing Raw Data'!$C:$O,10,0))),"")</f>
        <v/>
      </c>
      <c r="E2375" s="59" t="str">
        <f>IFERROR(IF(F2375&lt;&gt;"pending","",IF(OR($B2375="",$B2375="(blank)"),"",VLOOKUP($B2375,'Email Marketing Raw Data'!$C:$O,11,0))),"")</f>
        <v/>
      </c>
      <c r="F2375" s="54" t="str">
        <f>IFERROR(IF(OR($B2375="",$B2375="(blank)"),"",VLOOKUP($B2375,'Email Marketing Raw Data'!$C:$O,13,0)),"")</f>
        <v/>
      </c>
      <c r="G2375" s="55" t="str">
        <f>IFERROR(IF(OR($B2375="",$B2375="(blank)"),"",VLOOKUP($B2375,'Email Marketing Raw Data'!$C:$O,4,0)),"")</f>
        <v/>
      </c>
      <c r="H2375" s="55" t="str">
        <f>IFERROR(IF(OR($B2375="",$B2375="(blank)"),"",VLOOKUP($B2375,'Email Marketing Raw Data'!$C:$O,5,0)),"")</f>
        <v/>
      </c>
      <c r="I2375" s="55" t="str">
        <f>IFERROR(IF($G2375="","",VLOOKUP('Dashboard And Emails Automate'!$G2375,Database!$H:$N,3,0)),"")</f>
        <v/>
      </c>
      <c r="J2375" s="55" t="str">
        <f>IFERROR(IF($G2375="","",VLOOKUP('Dashboard And Emails Automate'!$G2375,Database!$H:$N,4,0)),"")</f>
        <v/>
      </c>
      <c r="K2375" s="55" t="str">
        <f>IFERROR(IF($G2375="","",VLOOKUP('Dashboard And Emails Automate'!$G2375,Database!$H:$N,5,0)),"")</f>
        <v/>
      </c>
      <c r="L2375" s="55" t="str">
        <f>IFERROR(IF($G2375="","",VLOOKUP('Dashboard And Emails Automate'!$G2375,Database!$H:$N,6,0)),"")</f>
        <v/>
      </c>
      <c r="M2375" s="55" t="str">
        <f>IFERROR(IF($G2375="","",VLOOKUP('Dashboard And Emails Automate'!$G2375,Database!$H:$N,7,0)),"")</f>
        <v/>
      </c>
      <c r="N2375" s="55" t="str">
        <f>IFERROR(IF(OR($B2375="",$B2375="(blank)"),"",VLOOKUP($B2375,'Email Marketing Raw Data'!$C:$O,6,0)),"")</f>
        <v/>
      </c>
      <c r="O2375" s="55" t="str">
        <f>IFERROR(IF(OR($B2375="",$B2375="(blank)"),"",VLOOKUP($B2375,'Email Marketing Raw Data'!$C:$O,7,0)),"")</f>
        <v/>
      </c>
      <c r="P2375" s="55" t="str">
        <f>IFERROR(IF(OR($B2375="",$B2375="(blank)"),"",VLOOKUP($B2375,'Email Marketing Raw Data'!$C:$O,8,0)),"")</f>
        <v/>
      </c>
      <c r="Q2375" s="62" t="str">
        <f>IFERROR(IF(OR($B2375="",$B2375="(blank)"),"",VLOOKUP($B2375,'Email Marketing Raw Data'!$C:$O,9,0)),"")</f>
        <v/>
      </c>
    </row>
    <row r="2376" spans="4:17" ht="12.75" customHeight="1" x14ac:dyDescent="0.2">
      <c r="D2376" s="58" t="str">
        <f>IFERROR(IF(F2376&lt;&gt;"pending","",IF(OR($B2376="",$B2376="(blank)"),"",VLOOKUP($B2376,'Email Marketing Raw Data'!$C:$O,10,0))),"")</f>
        <v/>
      </c>
      <c r="E2376" s="59" t="str">
        <f>IFERROR(IF(F2376&lt;&gt;"pending","",IF(OR($B2376="",$B2376="(blank)"),"",VLOOKUP($B2376,'Email Marketing Raw Data'!$C:$O,11,0))),"")</f>
        <v/>
      </c>
      <c r="F2376" s="54" t="str">
        <f>IFERROR(IF(OR($B2376="",$B2376="(blank)"),"",VLOOKUP($B2376,'Email Marketing Raw Data'!$C:$O,13,0)),"")</f>
        <v/>
      </c>
      <c r="G2376" s="55" t="str">
        <f>IFERROR(IF(OR($B2376="",$B2376="(blank)"),"",VLOOKUP($B2376,'Email Marketing Raw Data'!$C:$O,4,0)),"")</f>
        <v/>
      </c>
      <c r="H2376" s="55" t="str">
        <f>IFERROR(IF(OR($B2376="",$B2376="(blank)"),"",VLOOKUP($B2376,'Email Marketing Raw Data'!$C:$O,5,0)),"")</f>
        <v/>
      </c>
      <c r="I2376" s="55" t="str">
        <f>IFERROR(IF($G2376="","",VLOOKUP('Dashboard And Emails Automate'!$G2376,Database!$H:$N,3,0)),"")</f>
        <v/>
      </c>
      <c r="J2376" s="55" t="str">
        <f>IFERROR(IF($G2376="","",VLOOKUP('Dashboard And Emails Automate'!$G2376,Database!$H:$N,4,0)),"")</f>
        <v/>
      </c>
      <c r="K2376" s="55" t="str">
        <f>IFERROR(IF($G2376="","",VLOOKUP('Dashboard And Emails Automate'!$G2376,Database!$H:$N,5,0)),"")</f>
        <v/>
      </c>
      <c r="L2376" s="55" t="str">
        <f>IFERROR(IF($G2376="","",VLOOKUP('Dashboard And Emails Automate'!$G2376,Database!$H:$N,6,0)),"")</f>
        <v/>
      </c>
      <c r="M2376" s="55" t="str">
        <f>IFERROR(IF($G2376="","",VLOOKUP('Dashboard And Emails Automate'!$G2376,Database!$H:$N,7,0)),"")</f>
        <v/>
      </c>
      <c r="N2376" s="55" t="str">
        <f>IFERROR(IF(OR($B2376="",$B2376="(blank)"),"",VLOOKUP($B2376,'Email Marketing Raw Data'!$C:$O,6,0)),"")</f>
        <v/>
      </c>
      <c r="O2376" s="55" t="str">
        <f>IFERROR(IF(OR($B2376="",$B2376="(blank)"),"",VLOOKUP($B2376,'Email Marketing Raw Data'!$C:$O,7,0)),"")</f>
        <v/>
      </c>
      <c r="P2376" s="55" t="str">
        <f>IFERROR(IF(OR($B2376="",$B2376="(blank)"),"",VLOOKUP($B2376,'Email Marketing Raw Data'!$C:$O,8,0)),"")</f>
        <v/>
      </c>
      <c r="Q2376" s="62" t="str">
        <f>IFERROR(IF(OR($B2376="",$B2376="(blank)"),"",VLOOKUP($B2376,'Email Marketing Raw Data'!$C:$O,9,0)),"")</f>
        <v/>
      </c>
    </row>
    <row r="2377" spans="4:17" ht="12.75" customHeight="1" x14ac:dyDescent="0.2">
      <c r="D2377" s="58" t="str">
        <f>IFERROR(IF(F2377&lt;&gt;"pending","",IF(OR($B2377="",$B2377="(blank)"),"",VLOOKUP($B2377,'Email Marketing Raw Data'!$C:$O,10,0))),"")</f>
        <v/>
      </c>
      <c r="E2377" s="59" t="str">
        <f>IFERROR(IF(F2377&lt;&gt;"pending","",IF(OR($B2377="",$B2377="(blank)"),"",VLOOKUP($B2377,'Email Marketing Raw Data'!$C:$O,11,0))),"")</f>
        <v/>
      </c>
      <c r="F2377" s="54" t="str">
        <f>IFERROR(IF(OR($B2377="",$B2377="(blank)"),"",VLOOKUP($B2377,'Email Marketing Raw Data'!$C:$O,13,0)),"")</f>
        <v/>
      </c>
      <c r="G2377" s="55" t="str">
        <f>IFERROR(IF(OR($B2377="",$B2377="(blank)"),"",VLOOKUP($B2377,'Email Marketing Raw Data'!$C:$O,4,0)),"")</f>
        <v/>
      </c>
      <c r="H2377" s="55" t="str">
        <f>IFERROR(IF(OR($B2377="",$B2377="(blank)"),"",VLOOKUP($B2377,'Email Marketing Raw Data'!$C:$O,5,0)),"")</f>
        <v/>
      </c>
      <c r="I2377" s="55" t="str">
        <f>IFERROR(IF($G2377="","",VLOOKUP('Dashboard And Emails Automate'!$G2377,Database!$H:$N,3,0)),"")</f>
        <v/>
      </c>
      <c r="J2377" s="55" t="str">
        <f>IFERROR(IF($G2377="","",VLOOKUP('Dashboard And Emails Automate'!$G2377,Database!$H:$N,4,0)),"")</f>
        <v/>
      </c>
      <c r="K2377" s="55" t="str">
        <f>IFERROR(IF($G2377="","",VLOOKUP('Dashboard And Emails Automate'!$G2377,Database!$H:$N,5,0)),"")</f>
        <v/>
      </c>
      <c r="L2377" s="55" t="str">
        <f>IFERROR(IF($G2377="","",VLOOKUP('Dashboard And Emails Automate'!$G2377,Database!$H:$N,6,0)),"")</f>
        <v/>
      </c>
      <c r="M2377" s="55" t="str">
        <f>IFERROR(IF($G2377="","",VLOOKUP('Dashboard And Emails Automate'!$G2377,Database!$H:$N,7,0)),"")</f>
        <v/>
      </c>
      <c r="N2377" s="55" t="str">
        <f>IFERROR(IF(OR($B2377="",$B2377="(blank)"),"",VLOOKUP($B2377,'Email Marketing Raw Data'!$C:$O,6,0)),"")</f>
        <v/>
      </c>
      <c r="O2377" s="55" t="str">
        <f>IFERROR(IF(OR($B2377="",$B2377="(blank)"),"",VLOOKUP($B2377,'Email Marketing Raw Data'!$C:$O,7,0)),"")</f>
        <v/>
      </c>
      <c r="P2377" s="55" t="str">
        <f>IFERROR(IF(OR($B2377="",$B2377="(blank)"),"",VLOOKUP($B2377,'Email Marketing Raw Data'!$C:$O,8,0)),"")</f>
        <v/>
      </c>
      <c r="Q2377" s="62" t="str">
        <f>IFERROR(IF(OR($B2377="",$B2377="(blank)"),"",VLOOKUP($B2377,'Email Marketing Raw Data'!$C:$O,9,0)),"")</f>
        <v/>
      </c>
    </row>
    <row r="2378" spans="4:17" ht="12.75" customHeight="1" x14ac:dyDescent="0.2">
      <c r="D2378" s="58" t="str">
        <f>IFERROR(IF(F2378&lt;&gt;"pending","",IF(OR($B2378="",$B2378="(blank)"),"",VLOOKUP($B2378,'Email Marketing Raw Data'!$C:$O,10,0))),"")</f>
        <v/>
      </c>
      <c r="E2378" s="59" t="str">
        <f>IFERROR(IF(F2378&lt;&gt;"pending","",IF(OR($B2378="",$B2378="(blank)"),"",VLOOKUP($B2378,'Email Marketing Raw Data'!$C:$O,11,0))),"")</f>
        <v/>
      </c>
      <c r="F2378" s="54" t="str">
        <f>IFERROR(IF(OR($B2378="",$B2378="(blank)"),"",VLOOKUP($B2378,'Email Marketing Raw Data'!$C:$O,13,0)),"")</f>
        <v/>
      </c>
      <c r="G2378" s="55" t="str">
        <f>IFERROR(IF(OR($B2378="",$B2378="(blank)"),"",VLOOKUP($B2378,'Email Marketing Raw Data'!$C:$O,4,0)),"")</f>
        <v/>
      </c>
      <c r="H2378" s="55" t="str">
        <f>IFERROR(IF(OR($B2378="",$B2378="(blank)"),"",VLOOKUP($B2378,'Email Marketing Raw Data'!$C:$O,5,0)),"")</f>
        <v/>
      </c>
      <c r="I2378" s="55" t="str">
        <f>IFERROR(IF($G2378="","",VLOOKUP('Dashboard And Emails Automate'!$G2378,Database!$H:$N,3,0)),"")</f>
        <v/>
      </c>
      <c r="J2378" s="55" t="str">
        <f>IFERROR(IF($G2378="","",VLOOKUP('Dashboard And Emails Automate'!$G2378,Database!$H:$N,4,0)),"")</f>
        <v/>
      </c>
      <c r="K2378" s="55" t="str">
        <f>IFERROR(IF($G2378="","",VLOOKUP('Dashboard And Emails Automate'!$G2378,Database!$H:$N,5,0)),"")</f>
        <v/>
      </c>
      <c r="L2378" s="55" t="str">
        <f>IFERROR(IF($G2378="","",VLOOKUP('Dashboard And Emails Automate'!$G2378,Database!$H:$N,6,0)),"")</f>
        <v/>
      </c>
      <c r="M2378" s="55" t="str">
        <f>IFERROR(IF($G2378="","",VLOOKUP('Dashboard And Emails Automate'!$G2378,Database!$H:$N,7,0)),"")</f>
        <v/>
      </c>
      <c r="N2378" s="55" t="str">
        <f>IFERROR(IF(OR($B2378="",$B2378="(blank)"),"",VLOOKUP($B2378,'Email Marketing Raw Data'!$C:$O,6,0)),"")</f>
        <v/>
      </c>
      <c r="O2378" s="55" t="str">
        <f>IFERROR(IF(OR($B2378="",$B2378="(blank)"),"",VLOOKUP($B2378,'Email Marketing Raw Data'!$C:$O,7,0)),"")</f>
        <v/>
      </c>
      <c r="P2378" s="55" t="str">
        <f>IFERROR(IF(OR($B2378="",$B2378="(blank)"),"",VLOOKUP($B2378,'Email Marketing Raw Data'!$C:$O,8,0)),"")</f>
        <v/>
      </c>
      <c r="Q2378" s="62" t="str">
        <f>IFERROR(IF(OR($B2378="",$B2378="(blank)"),"",VLOOKUP($B2378,'Email Marketing Raw Data'!$C:$O,9,0)),"")</f>
        <v/>
      </c>
    </row>
    <row r="2379" spans="4:17" ht="12.75" customHeight="1" x14ac:dyDescent="0.2">
      <c r="D2379" s="58" t="str">
        <f>IFERROR(IF(F2379&lt;&gt;"pending","",IF(OR($B2379="",$B2379="(blank)"),"",VLOOKUP($B2379,'Email Marketing Raw Data'!$C:$O,10,0))),"")</f>
        <v/>
      </c>
      <c r="E2379" s="59" t="str">
        <f>IFERROR(IF(F2379&lt;&gt;"pending","",IF(OR($B2379="",$B2379="(blank)"),"",VLOOKUP($B2379,'Email Marketing Raw Data'!$C:$O,11,0))),"")</f>
        <v/>
      </c>
      <c r="F2379" s="54" t="str">
        <f>IFERROR(IF(OR($B2379="",$B2379="(blank)"),"",VLOOKUP($B2379,'Email Marketing Raw Data'!$C:$O,13,0)),"")</f>
        <v/>
      </c>
      <c r="G2379" s="55" t="str">
        <f>IFERROR(IF(OR($B2379="",$B2379="(blank)"),"",VLOOKUP($B2379,'Email Marketing Raw Data'!$C:$O,4,0)),"")</f>
        <v/>
      </c>
      <c r="H2379" s="55" t="str">
        <f>IFERROR(IF(OR($B2379="",$B2379="(blank)"),"",VLOOKUP($B2379,'Email Marketing Raw Data'!$C:$O,5,0)),"")</f>
        <v/>
      </c>
      <c r="I2379" s="55" t="str">
        <f>IFERROR(IF($G2379="","",VLOOKUP('Dashboard And Emails Automate'!$G2379,Database!$H:$N,3,0)),"")</f>
        <v/>
      </c>
      <c r="J2379" s="55" t="str">
        <f>IFERROR(IF($G2379="","",VLOOKUP('Dashboard And Emails Automate'!$G2379,Database!$H:$N,4,0)),"")</f>
        <v/>
      </c>
      <c r="K2379" s="55" t="str">
        <f>IFERROR(IF($G2379="","",VLOOKUP('Dashboard And Emails Automate'!$G2379,Database!$H:$N,5,0)),"")</f>
        <v/>
      </c>
      <c r="L2379" s="55" t="str">
        <f>IFERROR(IF($G2379="","",VLOOKUP('Dashboard And Emails Automate'!$G2379,Database!$H:$N,6,0)),"")</f>
        <v/>
      </c>
      <c r="M2379" s="55" t="str">
        <f>IFERROR(IF($G2379="","",VLOOKUP('Dashboard And Emails Automate'!$G2379,Database!$H:$N,7,0)),"")</f>
        <v/>
      </c>
      <c r="N2379" s="55" t="str">
        <f>IFERROR(IF(OR($B2379="",$B2379="(blank)"),"",VLOOKUP($B2379,'Email Marketing Raw Data'!$C:$O,6,0)),"")</f>
        <v/>
      </c>
      <c r="O2379" s="55" t="str">
        <f>IFERROR(IF(OR($B2379="",$B2379="(blank)"),"",VLOOKUP($B2379,'Email Marketing Raw Data'!$C:$O,7,0)),"")</f>
        <v/>
      </c>
      <c r="P2379" s="55" t="str">
        <f>IFERROR(IF(OR($B2379="",$B2379="(blank)"),"",VLOOKUP($B2379,'Email Marketing Raw Data'!$C:$O,8,0)),"")</f>
        <v/>
      </c>
      <c r="Q2379" s="62" t="str">
        <f>IFERROR(IF(OR($B2379="",$B2379="(blank)"),"",VLOOKUP($B2379,'Email Marketing Raw Data'!$C:$O,9,0)),"")</f>
        <v/>
      </c>
    </row>
    <row r="2380" spans="4:17" ht="12.75" customHeight="1" x14ac:dyDescent="0.2">
      <c r="D2380" s="58" t="str">
        <f>IFERROR(IF(F2380&lt;&gt;"pending","",IF(OR($B2380="",$B2380="(blank)"),"",VLOOKUP($B2380,'Email Marketing Raw Data'!$C:$O,10,0))),"")</f>
        <v/>
      </c>
      <c r="E2380" s="59" t="str">
        <f>IFERROR(IF(F2380&lt;&gt;"pending","",IF(OR($B2380="",$B2380="(blank)"),"",VLOOKUP($B2380,'Email Marketing Raw Data'!$C:$O,11,0))),"")</f>
        <v/>
      </c>
      <c r="F2380" s="54" t="str">
        <f>IFERROR(IF(OR($B2380="",$B2380="(blank)"),"",VLOOKUP($B2380,'Email Marketing Raw Data'!$C:$O,13,0)),"")</f>
        <v/>
      </c>
      <c r="G2380" s="55" t="str">
        <f>IFERROR(IF(OR($B2380="",$B2380="(blank)"),"",VLOOKUP($B2380,'Email Marketing Raw Data'!$C:$O,4,0)),"")</f>
        <v/>
      </c>
      <c r="H2380" s="55" t="str">
        <f>IFERROR(IF(OR($B2380="",$B2380="(blank)"),"",VLOOKUP($B2380,'Email Marketing Raw Data'!$C:$O,5,0)),"")</f>
        <v/>
      </c>
      <c r="I2380" s="55" t="str">
        <f>IFERROR(IF($G2380="","",VLOOKUP('Dashboard And Emails Automate'!$G2380,Database!$H:$N,3,0)),"")</f>
        <v/>
      </c>
      <c r="J2380" s="55" t="str">
        <f>IFERROR(IF($G2380="","",VLOOKUP('Dashboard And Emails Automate'!$G2380,Database!$H:$N,4,0)),"")</f>
        <v/>
      </c>
      <c r="K2380" s="55" t="str">
        <f>IFERROR(IF($G2380="","",VLOOKUP('Dashboard And Emails Automate'!$G2380,Database!$H:$N,5,0)),"")</f>
        <v/>
      </c>
      <c r="L2380" s="55" t="str">
        <f>IFERROR(IF($G2380="","",VLOOKUP('Dashboard And Emails Automate'!$G2380,Database!$H:$N,6,0)),"")</f>
        <v/>
      </c>
      <c r="M2380" s="55" t="str">
        <f>IFERROR(IF($G2380="","",VLOOKUP('Dashboard And Emails Automate'!$G2380,Database!$H:$N,7,0)),"")</f>
        <v/>
      </c>
      <c r="N2380" s="55" t="str">
        <f>IFERROR(IF(OR($B2380="",$B2380="(blank)"),"",VLOOKUP($B2380,'Email Marketing Raw Data'!$C:$O,6,0)),"")</f>
        <v/>
      </c>
      <c r="O2380" s="55" t="str">
        <f>IFERROR(IF(OR($B2380="",$B2380="(blank)"),"",VLOOKUP($B2380,'Email Marketing Raw Data'!$C:$O,7,0)),"")</f>
        <v/>
      </c>
      <c r="P2380" s="55" t="str">
        <f>IFERROR(IF(OR($B2380="",$B2380="(blank)"),"",VLOOKUP($B2380,'Email Marketing Raw Data'!$C:$O,8,0)),"")</f>
        <v/>
      </c>
      <c r="Q2380" s="62" t="str">
        <f>IFERROR(IF(OR($B2380="",$B2380="(blank)"),"",VLOOKUP($B2380,'Email Marketing Raw Data'!$C:$O,9,0)),"")</f>
        <v/>
      </c>
    </row>
    <row r="2381" spans="4:17" ht="12.75" customHeight="1" x14ac:dyDescent="0.2">
      <c r="D2381" s="58" t="str">
        <f>IFERROR(IF(F2381&lt;&gt;"pending","",IF(OR($B2381="",$B2381="(blank)"),"",VLOOKUP($B2381,'Email Marketing Raw Data'!$C:$O,10,0))),"")</f>
        <v/>
      </c>
      <c r="E2381" s="59" t="str">
        <f>IFERROR(IF(F2381&lt;&gt;"pending","",IF(OR($B2381="",$B2381="(blank)"),"",VLOOKUP($B2381,'Email Marketing Raw Data'!$C:$O,11,0))),"")</f>
        <v/>
      </c>
      <c r="F2381" s="54" t="str">
        <f>IFERROR(IF(OR($B2381="",$B2381="(blank)"),"",VLOOKUP($B2381,'Email Marketing Raw Data'!$C:$O,13,0)),"")</f>
        <v/>
      </c>
      <c r="G2381" s="55" t="str">
        <f>IFERROR(IF(OR($B2381="",$B2381="(blank)"),"",VLOOKUP($B2381,'Email Marketing Raw Data'!$C:$O,4,0)),"")</f>
        <v/>
      </c>
      <c r="H2381" s="55" t="str">
        <f>IFERROR(IF(OR($B2381="",$B2381="(blank)"),"",VLOOKUP($B2381,'Email Marketing Raw Data'!$C:$O,5,0)),"")</f>
        <v/>
      </c>
      <c r="I2381" s="55" t="str">
        <f>IFERROR(IF($G2381="","",VLOOKUP('Dashboard And Emails Automate'!$G2381,Database!$H:$N,3,0)),"")</f>
        <v/>
      </c>
      <c r="J2381" s="55" t="str">
        <f>IFERROR(IF($G2381="","",VLOOKUP('Dashboard And Emails Automate'!$G2381,Database!$H:$N,4,0)),"")</f>
        <v/>
      </c>
      <c r="K2381" s="55" t="str">
        <f>IFERROR(IF($G2381="","",VLOOKUP('Dashboard And Emails Automate'!$G2381,Database!$H:$N,5,0)),"")</f>
        <v/>
      </c>
      <c r="L2381" s="55" t="str">
        <f>IFERROR(IF($G2381="","",VLOOKUP('Dashboard And Emails Automate'!$G2381,Database!$H:$N,6,0)),"")</f>
        <v/>
      </c>
      <c r="M2381" s="55" t="str">
        <f>IFERROR(IF($G2381="","",VLOOKUP('Dashboard And Emails Automate'!$G2381,Database!$H:$N,7,0)),"")</f>
        <v/>
      </c>
      <c r="N2381" s="55" t="str">
        <f>IFERROR(IF(OR($B2381="",$B2381="(blank)"),"",VLOOKUP($B2381,'Email Marketing Raw Data'!$C:$O,6,0)),"")</f>
        <v/>
      </c>
      <c r="O2381" s="55" t="str">
        <f>IFERROR(IF(OR($B2381="",$B2381="(blank)"),"",VLOOKUP($B2381,'Email Marketing Raw Data'!$C:$O,7,0)),"")</f>
        <v/>
      </c>
      <c r="P2381" s="55" t="str">
        <f>IFERROR(IF(OR($B2381="",$B2381="(blank)"),"",VLOOKUP($B2381,'Email Marketing Raw Data'!$C:$O,8,0)),"")</f>
        <v/>
      </c>
      <c r="Q2381" s="62" t="str">
        <f>IFERROR(IF(OR($B2381="",$B2381="(blank)"),"",VLOOKUP($B2381,'Email Marketing Raw Data'!$C:$O,9,0)),"")</f>
        <v/>
      </c>
    </row>
    <row r="2382" spans="4:17" ht="12.75" customHeight="1" x14ac:dyDescent="0.2">
      <c r="D2382" s="58" t="str">
        <f>IFERROR(IF(F2382&lt;&gt;"pending","",IF(OR($B2382="",$B2382="(blank)"),"",VLOOKUP($B2382,'Email Marketing Raw Data'!$C:$O,10,0))),"")</f>
        <v/>
      </c>
      <c r="E2382" s="59" t="str">
        <f>IFERROR(IF(F2382&lt;&gt;"pending","",IF(OR($B2382="",$B2382="(blank)"),"",VLOOKUP($B2382,'Email Marketing Raw Data'!$C:$O,11,0))),"")</f>
        <v/>
      </c>
      <c r="F2382" s="54" t="str">
        <f>IFERROR(IF(OR($B2382="",$B2382="(blank)"),"",VLOOKUP($B2382,'Email Marketing Raw Data'!$C:$O,13,0)),"")</f>
        <v/>
      </c>
      <c r="G2382" s="55" t="str">
        <f>IFERROR(IF(OR($B2382="",$B2382="(blank)"),"",VLOOKUP($B2382,'Email Marketing Raw Data'!$C:$O,4,0)),"")</f>
        <v/>
      </c>
      <c r="H2382" s="55" t="str">
        <f>IFERROR(IF(OR($B2382="",$B2382="(blank)"),"",VLOOKUP($B2382,'Email Marketing Raw Data'!$C:$O,5,0)),"")</f>
        <v/>
      </c>
      <c r="I2382" s="55" t="str">
        <f>IFERROR(IF($G2382="","",VLOOKUP('Dashboard And Emails Automate'!$G2382,Database!$H:$N,3,0)),"")</f>
        <v/>
      </c>
      <c r="J2382" s="55" t="str">
        <f>IFERROR(IF($G2382="","",VLOOKUP('Dashboard And Emails Automate'!$G2382,Database!$H:$N,4,0)),"")</f>
        <v/>
      </c>
      <c r="K2382" s="55" t="str">
        <f>IFERROR(IF($G2382="","",VLOOKUP('Dashboard And Emails Automate'!$G2382,Database!$H:$N,5,0)),"")</f>
        <v/>
      </c>
      <c r="L2382" s="55" t="str">
        <f>IFERROR(IF($G2382="","",VLOOKUP('Dashboard And Emails Automate'!$G2382,Database!$H:$N,6,0)),"")</f>
        <v/>
      </c>
      <c r="M2382" s="55" t="str">
        <f>IFERROR(IF($G2382="","",VLOOKUP('Dashboard And Emails Automate'!$G2382,Database!$H:$N,7,0)),"")</f>
        <v/>
      </c>
      <c r="N2382" s="55" t="str">
        <f>IFERROR(IF(OR($B2382="",$B2382="(blank)"),"",VLOOKUP($B2382,'Email Marketing Raw Data'!$C:$O,6,0)),"")</f>
        <v/>
      </c>
      <c r="O2382" s="55" t="str">
        <f>IFERROR(IF(OR($B2382="",$B2382="(blank)"),"",VLOOKUP($B2382,'Email Marketing Raw Data'!$C:$O,7,0)),"")</f>
        <v/>
      </c>
      <c r="P2382" s="55" t="str">
        <f>IFERROR(IF(OR($B2382="",$B2382="(blank)"),"",VLOOKUP($B2382,'Email Marketing Raw Data'!$C:$O,8,0)),"")</f>
        <v/>
      </c>
      <c r="Q2382" s="62" t="str">
        <f>IFERROR(IF(OR($B2382="",$B2382="(blank)"),"",VLOOKUP($B2382,'Email Marketing Raw Data'!$C:$O,9,0)),"")</f>
        <v/>
      </c>
    </row>
    <row r="2383" spans="4:17" ht="12.75" customHeight="1" x14ac:dyDescent="0.2">
      <c r="D2383" s="58" t="str">
        <f>IFERROR(IF(F2383&lt;&gt;"pending","",IF(OR($B2383="",$B2383="(blank)"),"",VLOOKUP($B2383,'Email Marketing Raw Data'!$C:$O,10,0))),"")</f>
        <v/>
      </c>
      <c r="E2383" s="59" t="str">
        <f>IFERROR(IF(F2383&lt;&gt;"pending","",IF(OR($B2383="",$B2383="(blank)"),"",VLOOKUP($B2383,'Email Marketing Raw Data'!$C:$O,11,0))),"")</f>
        <v/>
      </c>
      <c r="F2383" s="54" t="str">
        <f>IFERROR(IF(OR($B2383="",$B2383="(blank)"),"",VLOOKUP($B2383,'Email Marketing Raw Data'!$C:$O,13,0)),"")</f>
        <v/>
      </c>
      <c r="G2383" s="55" t="str">
        <f>IFERROR(IF(OR($B2383="",$B2383="(blank)"),"",VLOOKUP($B2383,'Email Marketing Raw Data'!$C:$O,4,0)),"")</f>
        <v/>
      </c>
      <c r="H2383" s="55" t="str">
        <f>IFERROR(IF(OR($B2383="",$B2383="(blank)"),"",VLOOKUP($B2383,'Email Marketing Raw Data'!$C:$O,5,0)),"")</f>
        <v/>
      </c>
      <c r="I2383" s="55" t="str">
        <f>IFERROR(IF($G2383="","",VLOOKUP('Dashboard And Emails Automate'!$G2383,Database!$H:$N,3,0)),"")</f>
        <v/>
      </c>
      <c r="J2383" s="55" t="str">
        <f>IFERROR(IF($G2383="","",VLOOKUP('Dashboard And Emails Automate'!$G2383,Database!$H:$N,4,0)),"")</f>
        <v/>
      </c>
      <c r="K2383" s="55" t="str">
        <f>IFERROR(IF($G2383="","",VLOOKUP('Dashboard And Emails Automate'!$G2383,Database!$H:$N,5,0)),"")</f>
        <v/>
      </c>
      <c r="L2383" s="55" t="str">
        <f>IFERROR(IF($G2383="","",VLOOKUP('Dashboard And Emails Automate'!$G2383,Database!$H:$N,6,0)),"")</f>
        <v/>
      </c>
      <c r="M2383" s="55" t="str">
        <f>IFERROR(IF($G2383="","",VLOOKUP('Dashboard And Emails Automate'!$G2383,Database!$H:$N,7,0)),"")</f>
        <v/>
      </c>
      <c r="N2383" s="55" t="str">
        <f>IFERROR(IF(OR($B2383="",$B2383="(blank)"),"",VLOOKUP($B2383,'Email Marketing Raw Data'!$C:$O,6,0)),"")</f>
        <v/>
      </c>
      <c r="O2383" s="55" t="str">
        <f>IFERROR(IF(OR($B2383="",$B2383="(blank)"),"",VLOOKUP($B2383,'Email Marketing Raw Data'!$C:$O,7,0)),"")</f>
        <v/>
      </c>
      <c r="P2383" s="55" t="str">
        <f>IFERROR(IF(OR($B2383="",$B2383="(blank)"),"",VLOOKUP($B2383,'Email Marketing Raw Data'!$C:$O,8,0)),"")</f>
        <v/>
      </c>
      <c r="Q2383" s="62" t="str">
        <f>IFERROR(IF(OR($B2383="",$B2383="(blank)"),"",VLOOKUP($B2383,'Email Marketing Raw Data'!$C:$O,9,0)),"")</f>
        <v/>
      </c>
    </row>
    <row r="2384" spans="4:17" ht="12.75" customHeight="1" x14ac:dyDescent="0.2">
      <c r="D2384" s="58" t="str">
        <f>IFERROR(IF(F2384&lt;&gt;"pending","",IF(OR($B2384="",$B2384="(blank)"),"",VLOOKUP($B2384,'Email Marketing Raw Data'!$C:$O,10,0))),"")</f>
        <v/>
      </c>
      <c r="E2384" s="59" t="str">
        <f>IFERROR(IF(F2384&lt;&gt;"pending","",IF(OR($B2384="",$B2384="(blank)"),"",VLOOKUP($B2384,'Email Marketing Raw Data'!$C:$O,11,0))),"")</f>
        <v/>
      </c>
      <c r="F2384" s="54" t="str">
        <f>IFERROR(IF(OR($B2384="",$B2384="(blank)"),"",VLOOKUP($B2384,'Email Marketing Raw Data'!$C:$O,13,0)),"")</f>
        <v/>
      </c>
      <c r="G2384" s="55" t="str">
        <f>IFERROR(IF(OR($B2384="",$B2384="(blank)"),"",VLOOKUP($B2384,'Email Marketing Raw Data'!$C:$O,4,0)),"")</f>
        <v/>
      </c>
      <c r="H2384" s="55" t="str">
        <f>IFERROR(IF(OR($B2384="",$B2384="(blank)"),"",VLOOKUP($B2384,'Email Marketing Raw Data'!$C:$O,5,0)),"")</f>
        <v/>
      </c>
      <c r="I2384" s="55" t="str">
        <f>IFERROR(IF($G2384="","",VLOOKUP('Dashboard And Emails Automate'!$G2384,Database!$H:$N,3,0)),"")</f>
        <v/>
      </c>
      <c r="J2384" s="55" t="str">
        <f>IFERROR(IF($G2384="","",VLOOKUP('Dashboard And Emails Automate'!$G2384,Database!$H:$N,4,0)),"")</f>
        <v/>
      </c>
      <c r="K2384" s="55" t="str">
        <f>IFERROR(IF($G2384="","",VLOOKUP('Dashboard And Emails Automate'!$G2384,Database!$H:$N,5,0)),"")</f>
        <v/>
      </c>
      <c r="L2384" s="55" t="str">
        <f>IFERROR(IF($G2384="","",VLOOKUP('Dashboard And Emails Automate'!$G2384,Database!$H:$N,6,0)),"")</f>
        <v/>
      </c>
      <c r="M2384" s="55" t="str">
        <f>IFERROR(IF($G2384="","",VLOOKUP('Dashboard And Emails Automate'!$G2384,Database!$H:$N,7,0)),"")</f>
        <v/>
      </c>
      <c r="N2384" s="55" t="str">
        <f>IFERROR(IF(OR($B2384="",$B2384="(blank)"),"",VLOOKUP($B2384,'Email Marketing Raw Data'!$C:$O,6,0)),"")</f>
        <v/>
      </c>
      <c r="O2384" s="55" t="str">
        <f>IFERROR(IF(OR($B2384="",$B2384="(blank)"),"",VLOOKUP($B2384,'Email Marketing Raw Data'!$C:$O,7,0)),"")</f>
        <v/>
      </c>
      <c r="P2384" s="55" t="str">
        <f>IFERROR(IF(OR($B2384="",$B2384="(blank)"),"",VLOOKUP($B2384,'Email Marketing Raw Data'!$C:$O,8,0)),"")</f>
        <v/>
      </c>
      <c r="Q2384" s="62" t="str">
        <f>IFERROR(IF(OR($B2384="",$B2384="(blank)"),"",VLOOKUP($B2384,'Email Marketing Raw Data'!$C:$O,9,0)),"")</f>
        <v/>
      </c>
    </row>
    <row r="2385" spans="4:17" ht="12.75" customHeight="1" x14ac:dyDescent="0.2">
      <c r="D2385" s="58" t="str">
        <f>IFERROR(IF(F2385&lt;&gt;"pending","",IF(OR($B2385="",$B2385="(blank)"),"",VLOOKUP($B2385,'Email Marketing Raw Data'!$C:$O,10,0))),"")</f>
        <v/>
      </c>
      <c r="E2385" s="59" t="str">
        <f>IFERROR(IF(F2385&lt;&gt;"pending","",IF(OR($B2385="",$B2385="(blank)"),"",VLOOKUP($B2385,'Email Marketing Raw Data'!$C:$O,11,0))),"")</f>
        <v/>
      </c>
      <c r="F2385" s="54" t="str">
        <f>IFERROR(IF(OR($B2385="",$B2385="(blank)"),"",VLOOKUP($B2385,'Email Marketing Raw Data'!$C:$O,13,0)),"")</f>
        <v/>
      </c>
      <c r="G2385" s="55" t="str">
        <f>IFERROR(IF(OR($B2385="",$B2385="(blank)"),"",VLOOKUP($B2385,'Email Marketing Raw Data'!$C:$O,4,0)),"")</f>
        <v/>
      </c>
      <c r="H2385" s="55" t="str">
        <f>IFERROR(IF(OR($B2385="",$B2385="(blank)"),"",VLOOKUP($B2385,'Email Marketing Raw Data'!$C:$O,5,0)),"")</f>
        <v/>
      </c>
      <c r="I2385" s="55" t="str">
        <f>IFERROR(IF($G2385="","",VLOOKUP('Dashboard And Emails Automate'!$G2385,Database!$H:$N,3,0)),"")</f>
        <v/>
      </c>
      <c r="J2385" s="55" t="str">
        <f>IFERROR(IF($G2385="","",VLOOKUP('Dashboard And Emails Automate'!$G2385,Database!$H:$N,4,0)),"")</f>
        <v/>
      </c>
      <c r="K2385" s="55" t="str">
        <f>IFERROR(IF($G2385="","",VLOOKUP('Dashboard And Emails Automate'!$G2385,Database!$H:$N,5,0)),"")</f>
        <v/>
      </c>
      <c r="L2385" s="55" t="str">
        <f>IFERROR(IF($G2385="","",VLOOKUP('Dashboard And Emails Automate'!$G2385,Database!$H:$N,6,0)),"")</f>
        <v/>
      </c>
      <c r="M2385" s="55" t="str">
        <f>IFERROR(IF($G2385="","",VLOOKUP('Dashboard And Emails Automate'!$G2385,Database!$H:$N,7,0)),"")</f>
        <v/>
      </c>
      <c r="N2385" s="55" t="str">
        <f>IFERROR(IF(OR($B2385="",$B2385="(blank)"),"",VLOOKUP($B2385,'Email Marketing Raw Data'!$C:$O,6,0)),"")</f>
        <v/>
      </c>
      <c r="O2385" s="55" t="str">
        <f>IFERROR(IF(OR($B2385="",$B2385="(blank)"),"",VLOOKUP($B2385,'Email Marketing Raw Data'!$C:$O,7,0)),"")</f>
        <v/>
      </c>
      <c r="P2385" s="55" t="str">
        <f>IFERROR(IF(OR($B2385="",$B2385="(blank)"),"",VLOOKUP($B2385,'Email Marketing Raw Data'!$C:$O,8,0)),"")</f>
        <v/>
      </c>
      <c r="Q2385" s="62" t="str">
        <f>IFERROR(IF(OR($B2385="",$B2385="(blank)"),"",VLOOKUP($B2385,'Email Marketing Raw Data'!$C:$O,9,0)),"")</f>
        <v/>
      </c>
    </row>
    <row r="2386" spans="4:17" ht="12.75" customHeight="1" x14ac:dyDescent="0.2">
      <c r="D2386" s="58" t="str">
        <f>IFERROR(IF(F2386&lt;&gt;"pending","",IF(OR($B2386="",$B2386="(blank)"),"",VLOOKUP($B2386,'Email Marketing Raw Data'!$C:$O,10,0))),"")</f>
        <v/>
      </c>
      <c r="E2386" s="59" t="str">
        <f>IFERROR(IF(F2386&lt;&gt;"pending","",IF(OR($B2386="",$B2386="(blank)"),"",VLOOKUP($B2386,'Email Marketing Raw Data'!$C:$O,11,0))),"")</f>
        <v/>
      </c>
      <c r="F2386" s="54" t="str">
        <f>IFERROR(IF(OR($B2386="",$B2386="(blank)"),"",VLOOKUP($B2386,'Email Marketing Raw Data'!$C:$O,13,0)),"")</f>
        <v/>
      </c>
      <c r="G2386" s="55" t="str">
        <f>IFERROR(IF(OR($B2386="",$B2386="(blank)"),"",VLOOKUP($B2386,'Email Marketing Raw Data'!$C:$O,4,0)),"")</f>
        <v/>
      </c>
      <c r="H2386" s="55" t="str">
        <f>IFERROR(IF(OR($B2386="",$B2386="(blank)"),"",VLOOKUP($B2386,'Email Marketing Raw Data'!$C:$O,5,0)),"")</f>
        <v/>
      </c>
      <c r="I2386" s="55" t="str">
        <f>IFERROR(IF($G2386="","",VLOOKUP('Dashboard And Emails Automate'!$G2386,Database!$H:$N,3,0)),"")</f>
        <v/>
      </c>
      <c r="J2386" s="55" t="str">
        <f>IFERROR(IF($G2386="","",VLOOKUP('Dashboard And Emails Automate'!$G2386,Database!$H:$N,4,0)),"")</f>
        <v/>
      </c>
      <c r="K2386" s="55" t="str">
        <f>IFERROR(IF($G2386="","",VLOOKUP('Dashboard And Emails Automate'!$G2386,Database!$H:$N,5,0)),"")</f>
        <v/>
      </c>
      <c r="L2386" s="55" t="str">
        <f>IFERROR(IF($G2386="","",VLOOKUP('Dashboard And Emails Automate'!$G2386,Database!$H:$N,6,0)),"")</f>
        <v/>
      </c>
      <c r="M2386" s="55" t="str">
        <f>IFERROR(IF($G2386="","",VLOOKUP('Dashboard And Emails Automate'!$G2386,Database!$H:$N,7,0)),"")</f>
        <v/>
      </c>
      <c r="N2386" s="55" t="str">
        <f>IFERROR(IF(OR($B2386="",$B2386="(blank)"),"",VLOOKUP($B2386,'Email Marketing Raw Data'!$C:$O,6,0)),"")</f>
        <v/>
      </c>
      <c r="O2386" s="55" t="str">
        <f>IFERROR(IF(OR($B2386="",$B2386="(blank)"),"",VLOOKUP($B2386,'Email Marketing Raw Data'!$C:$O,7,0)),"")</f>
        <v/>
      </c>
      <c r="P2386" s="55" t="str">
        <f>IFERROR(IF(OR($B2386="",$B2386="(blank)"),"",VLOOKUP($B2386,'Email Marketing Raw Data'!$C:$O,8,0)),"")</f>
        <v/>
      </c>
      <c r="Q2386" s="62" t="str">
        <f>IFERROR(IF(OR($B2386="",$B2386="(blank)"),"",VLOOKUP($B2386,'Email Marketing Raw Data'!$C:$O,9,0)),"")</f>
        <v/>
      </c>
    </row>
    <row r="2387" spans="4:17" ht="12.75" customHeight="1" x14ac:dyDescent="0.2">
      <c r="D2387" s="58" t="str">
        <f>IFERROR(IF(F2387&lt;&gt;"pending","",IF(OR($B2387="",$B2387="(blank)"),"",VLOOKUP($B2387,'Email Marketing Raw Data'!$C:$O,10,0))),"")</f>
        <v/>
      </c>
      <c r="E2387" s="59" t="str">
        <f>IFERROR(IF(F2387&lt;&gt;"pending","",IF(OR($B2387="",$B2387="(blank)"),"",VLOOKUP($B2387,'Email Marketing Raw Data'!$C:$O,11,0))),"")</f>
        <v/>
      </c>
      <c r="F2387" s="54" t="str">
        <f>IFERROR(IF(OR($B2387="",$B2387="(blank)"),"",VLOOKUP($B2387,'Email Marketing Raw Data'!$C:$O,13,0)),"")</f>
        <v/>
      </c>
      <c r="G2387" s="55" t="str">
        <f>IFERROR(IF(OR($B2387="",$B2387="(blank)"),"",VLOOKUP($B2387,'Email Marketing Raw Data'!$C:$O,4,0)),"")</f>
        <v/>
      </c>
      <c r="H2387" s="55" t="str">
        <f>IFERROR(IF(OR($B2387="",$B2387="(blank)"),"",VLOOKUP($B2387,'Email Marketing Raw Data'!$C:$O,5,0)),"")</f>
        <v/>
      </c>
      <c r="I2387" s="55" t="str">
        <f>IFERROR(IF($G2387="","",VLOOKUP('Dashboard And Emails Automate'!$G2387,Database!$H:$N,3,0)),"")</f>
        <v/>
      </c>
      <c r="J2387" s="55" t="str">
        <f>IFERROR(IF($G2387="","",VLOOKUP('Dashboard And Emails Automate'!$G2387,Database!$H:$N,4,0)),"")</f>
        <v/>
      </c>
      <c r="K2387" s="55" t="str">
        <f>IFERROR(IF($G2387="","",VLOOKUP('Dashboard And Emails Automate'!$G2387,Database!$H:$N,5,0)),"")</f>
        <v/>
      </c>
      <c r="L2387" s="55" t="str">
        <f>IFERROR(IF($G2387="","",VLOOKUP('Dashboard And Emails Automate'!$G2387,Database!$H:$N,6,0)),"")</f>
        <v/>
      </c>
      <c r="M2387" s="55" t="str">
        <f>IFERROR(IF($G2387="","",VLOOKUP('Dashboard And Emails Automate'!$G2387,Database!$H:$N,7,0)),"")</f>
        <v/>
      </c>
      <c r="N2387" s="55" t="str">
        <f>IFERROR(IF(OR($B2387="",$B2387="(blank)"),"",VLOOKUP($B2387,'Email Marketing Raw Data'!$C:$O,6,0)),"")</f>
        <v/>
      </c>
      <c r="O2387" s="55" t="str">
        <f>IFERROR(IF(OR($B2387="",$B2387="(blank)"),"",VLOOKUP($B2387,'Email Marketing Raw Data'!$C:$O,7,0)),"")</f>
        <v/>
      </c>
      <c r="P2387" s="55" t="str">
        <f>IFERROR(IF(OR($B2387="",$B2387="(blank)"),"",VLOOKUP($B2387,'Email Marketing Raw Data'!$C:$O,8,0)),"")</f>
        <v/>
      </c>
      <c r="Q2387" s="62" t="str">
        <f>IFERROR(IF(OR($B2387="",$B2387="(blank)"),"",VLOOKUP($B2387,'Email Marketing Raw Data'!$C:$O,9,0)),"")</f>
        <v/>
      </c>
    </row>
    <row r="2388" spans="4:17" ht="12.75" customHeight="1" x14ac:dyDescent="0.2">
      <c r="D2388" s="58" t="str">
        <f>IFERROR(IF(F2388&lt;&gt;"pending","",IF(OR($B2388="",$B2388="(blank)"),"",VLOOKUP($B2388,'Email Marketing Raw Data'!$C:$O,10,0))),"")</f>
        <v/>
      </c>
      <c r="E2388" s="59" t="str">
        <f>IFERROR(IF(F2388&lt;&gt;"pending","",IF(OR($B2388="",$B2388="(blank)"),"",VLOOKUP($B2388,'Email Marketing Raw Data'!$C:$O,11,0))),"")</f>
        <v/>
      </c>
      <c r="F2388" s="54" t="str">
        <f>IFERROR(IF(OR($B2388="",$B2388="(blank)"),"",VLOOKUP($B2388,'Email Marketing Raw Data'!$C:$O,13,0)),"")</f>
        <v/>
      </c>
      <c r="G2388" s="55" t="str">
        <f>IFERROR(IF(OR($B2388="",$B2388="(blank)"),"",VLOOKUP($B2388,'Email Marketing Raw Data'!$C:$O,4,0)),"")</f>
        <v/>
      </c>
      <c r="H2388" s="55" t="str">
        <f>IFERROR(IF(OR($B2388="",$B2388="(blank)"),"",VLOOKUP($B2388,'Email Marketing Raw Data'!$C:$O,5,0)),"")</f>
        <v/>
      </c>
      <c r="I2388" s="55" t="str">
        <f>IFERROR(IF($G2388="","",VLOOKUP('Dashboard And Emails Automate'!$G2388,Database!$H:$N,3,0)),"")</f>
        <v/>
      </c>
      <c r="J2388" s="55" t="str">
        <f>IFERROR(IF($G2388="","",VLOOKUP('Dashboard And Emails Automate'!$G2388,Database!$H:$N,4,0)),"")</f>
        <v/>
      </c>
      <c r="K2388" s="55" t="str">
        <f>IFERROR(IF($G2388="","",VLOOKUP('Dashboard And Emails Automate'!$G2388,Database!$H:$N,5,0)),"")</f>
        <v/>
      </c>
      <c r="L2388" s="55" t="str">
        <f>IFERROR(IF($G2388="","",VLOOKUP('Dashboard And Emails Automate'!$G2388,Database!$H:$N,6,0)),"")</f>
        <v/>
      </c>
      <c r="M2388" s="55" t="str">
        <f>IFERROR(IF($G2388="","",VLOOKUP('Dashboard And Emails Automate'!$G2388,Database!$H:$N,7,0)),"")</f>
        <v/>
      </c>
      <c r="N2388" s="55" t="str">
        <f>IFERROR(IF(OR($B2388="",$B2388="(blank)"),"",VLOOKUP($B2388,'Email Marketing Raw Data'!$C:$O,6,0)),"")</f>
        <v/>
      </c>
      <c r="O2388" s="55" t="str">
        <f>IFERROR(IF(OR($B2388="",$B2388="(blank)"),"",VLOOKUP($B2388,'Email Marketing Raw Data'!$C:$O,7,0)),"")</f>
        <v/>
      </c>
      <c r="P2388" s="55" t="str">
        <f>IFERROR(IF(OR($B2388="",$B2388="(blank)"),"",VLOOKUP($B2388,'Email Marketing Raw Data'!$C:$O,8,0)),"")</f>
        <v/>
      </c>
      <c r="Q2388" s="62" t="str">
        <f>IFERROR(IF(OR($B2388="",$B2388="(blank)"),"",VLOOKUP($B2388,'Email Marketing Raw Data'!$C:$O,9,0)),"")</f>
        <v/>
      </c>
    </row>
    <row r="2389" spans="4:17" ht="12.75" customHeight="1" x14ac:dyDescent="0.2">
      <c r="D2389" s="58" t="str">
        <f>IFERROR(IF(F2389&lt;&gt;"pending","",IF(OR($B2389="",$B2389="(blank)"),"",VLOOKUP($B2389,'Email Marketing Raw Data'!$C:$O,10,0))),"")</f>
        <v/>
      </c>
      <c r="E2389" s="59" t="str">
        <f>IFERROR(IF(F2389&lt;&gt;"pending","",IF(OR($B2389="",$B2389="(blank)"),"",VLOOKUP($B2389,'Email Marketing Raw Data'!$C:$O,11,0))),"")</f>
        <v/>
      </c>
      <c r="F2389" s="54" t="str">
        <f>IFERROR(IF(OR($B2389="",$B2389="(blank)"),"",VLOOKUP($B2389,'Email Marketing Raw Data'!$C:$O,13,0)),"")</f>
        <v/>
      </c>
      <c r="G2389" s="55" t="str">
        <f>IFERROR(IF(OR($B2389="",$B2389="(blank)"),"",VLOOKUP($B2389,'Email Marketing Raw Data'!$C:$O,4,0)),"")</f>
        <v/>
      </c>
      <c r="H2389" s="55" t="str">
        <f>IFERROR(IF(OR($B2389="",$B2389="(blank)"),"",VLOOKUP($B2389,'Email Marketing Raw Data'!$C:$O,5,0)),"")</f>
        <v/>
      </c>
      <c r="I2389" s="55" t="str">
        <f>IFERROR(IF($G2389="","",VLOOKUP('Dashboard And Emails Automate'!$G2389,Database!$H:$N,3,0)),"")</f>
        <v/>
      </c>
      <c r="J2389" s="55" t="str">
        <f>IFERROR(IF($G2389="","",VLOOKUP('Dashboard And Emails Automate'!$G2389,Database!$H:$N,4,0)),"")</f>
        <v/>
      </c>
      <c r="K2389" s="55" t="str">
        <f>IFERROR(IF($G2389="","",VLOOKUP('Dashboard And Emails Automate'!$G2389,Database!$H:$N,5,0)),"")</f>
        <v/>
      </c>
      <c r="L2389" s="55" t="str">
        <f>IFERROR(IF($G2389="","",VLOOKUP('Dashboard And Emails Automate'!$G2389,Database!$H:$N,6,0)),"")</f>
        <v/>
      </c>
      <c r="M2389" s="55" t="str">
        <f>IFERROR(IF($G2389="","",VLOOKUP('Dashboard And Emails Automate'!$G2389,Database!$H:$N,7,0)),"")</f>
        <v/>
      </c>
      <c r="N2389" s="55" t="str">
        <f>IFERROR(IF(OR($B2389="",$B2389="(blank)"),"",VLOOKUP($B2389,'Email Marketing Raw Data'!$C:$O,6,0)),"")</f>
        <v/>
      </c>
      <c r="O2389" s="55" t="str">
        <f>IFERROR(IF(OR($B2389="",$B2389="(blank)"),"",VLOOKUP($B2389,'Email Marketing Raw Data'!$C:$O,7,0)),"")</f>
        <v/>
      </c>
      <c r="P2389" s="55" t="str">
        <f>IFERROR(IF(OR($B2389="",$B2389="(blank)"),"",VLOOKUP($B2389,'Email Marketing Raw Data'!$C:$O,8,0)),"")</f>
        <v/>
      </c>
      <c r="Q2389" s="62" t="str">
        <f>IFERROR(IF(OR($B2389="",$B2389="(blank)"),"",VLOOKUP($B2389,'Email Marketing Raw Data'!$C:$O,9,0)),"")</f>
        <v/>
      </c>
    </row>
    <row r="2390" spans="4:17" ht="12.75" customHeight="1" x14ac:dyDescent="0.2">
      <c r="D2390" s="58" t="str">
        <f>IFERROR(IF(F2390&lt;&gt;"pending","",IF(OR($B2390="",$B2390="(blank)"),"",VLOOKUP($B2390,'Email Marketing Raw Data'!$C:$O,10,0))),"")</f>
        <v/>
      </c>
      <c r="E2390" s="59" t="str">
        <f>IFERROR(IF(F2390&lt;&gt;"pending","",IF(OR($B2390="",$B2390="(blank)"),"",VLOOKUP($B2390,'Email Marketing Raw Data'!$C:$O,11,0))),"")</f>
        <v/>
      </c>
      <c r="F2390" s="54" t="str">
        <f>IFERROR(IF(OR($B2390="",$B2390="(blank)"),"",VLOOKUP($B2390,'Email Marketing Raw Data'!$C:$O,13,0)),"")</f>
        <v/>
      </c>
      <c r="G2390" s="55" t="str">
        <f>IFERROR(IF(OR($B2390="",$B2390="(blank)"),"",VLOOKUP($B2390,'Email Marketing Raw Data'!$C:$O,4,0)),"")</f>
        <v/>
      </c>
      <c r="H2390" s="55" t="str">
        <f>IFERROR(IF(OR($B2390="",$B2390="(blank)"),"",VLOOKUP($B2390,'Email Marketing Raw Data'!$C:$O,5,0)),"")</f>
        <v/>
      </c>
      <c r="I2390" s="55" t="str">
        <f>IFERROR(IF($G2390="","",VLOOKUP('Dashboard And Emails Automate'!$G2390,Database!$H:$N,3,0)),"")</f>
        <v/>
      </c>
      <c r="J2390" s="55" t="str">
        <f>IFERROR(IF($G2390="","",VLOOKUP('Dashboard And Emails Automate'!$G2390,Database!$H:$N,4,0)),"")</f>
        <v/>
      </c>
      <c r="K2390" s="55" t="str">
        <f>IFERROR(IF($G2390="","",VLOOKUP('Dashboard And Emails Automate'!$G2390,Database!$H:$N,5,0)),"")</f>
        <v/>
      </c>
      <c r="L2390" s="55" t="str">
        <f>IFERROR(IF($G2390="","",VLOOKUP('Dashboard And Emails Automate'!$G2390,Database!$H:$N,6,0)),"")</f>
        <v/>
      </c>
      <c r="M2390" s="55" t="str">
        <f>IFERROR(IF($G2390="","",VLOOKUP('Dashboard And Emails Automate'!$G2390,Database!$H:$N,7,0)),"")</f>
        <v/>
      </c>
      <c r="N2390" s="55" t="str">
        <f>IFERROR(IF(OR($B2390="",$B2390="(blank)"),"",VLOOKUP($B2390,'Email Marketing Raw Data'!$C:$O,6,0)),"")</f>
        <v/>
      </c>
      <c r="O2390" s="55" t="str">
        <f>IFERROR(IF(OR($B2390="",$B2390="(blank)"),"",VLOOKUP($B2390,'Email Marketing Raw Data'!$C:$O,7,0)),"")</f>
        <v/>
      </c>
      <c r="P2390" s="55" t="str">
        <f>IFERROR(IF(OR($B2390="",$B2390="(blank)"),"",VLOOKUP($B2390,'Email Marketing Raw Data'!$C:$O,8,0)),"")</f>
        <v/>
      </c>
      <c r="Q2390" s="62" t="str">
        <f>IFERROR(IF(OR($B2390="",$B2390="(blank)"),"",VLOOKUP($B2390,'Email Marketing Raw Data'!$C:$O,9,0)),"")</f>
        <v/>
      </c>
    </row>
    <row r="2391" spans="4:17" ht="12.75" customHeight="1" x14ac:dyDescent="0.2">
      <c r="D2391" s="58" t="str">
        <f>IFERROR(IF(F2391&lt;&gt;"pending","",IF(OR($B2391="",$B2391="(blank)"),"",VLOOKUP($B2391,'Email Marketing Raw Data'!$C:$O,10,0))),"")</f>
        <v/>
      </c>
      <c r="E2391" s="59" t="str">
        <f>IFERROR(IF(F2391&lt;&gt;"pending","",IF(OR($B2391="",$B2391="(blank)"),"",VLOOKUP($B2391,'Email Marketing Raw Data'!$C:$O,11,0))),"")</f>
        <v/>
      </c>
      <c r="F2391" s="54" t="str">
        <f>IFERROR(IF(OR($B2391="",$B2391="(blank)"),"",VLOOKUP($B2391,'Email Marketing Raw Data'!$C:$O,13,0)),"")</f>
        <v/>
      </c>
      <c r="G2391" s="55" t="str">
        <f>IFERROR(IF(OR($B2391="",$B2391="(blank)"),"",VLOOKUP($B2391,'Email Marketing Raw Data'!$C:$O,4,0)),"")</f>
        <v/>
      </c>
      <c r="H2391" s="55" t="str">
        <f>IFERROR(IF(OR($B2391="",$B2391="(blank)"),"",VLOOKUP($B2391,'Email Marketing Raw Data'!$C:$O,5,0)),"")</f>
        <v/>
      </c>
      <c r="I2391" s="55" t="str">
        <f>IFERROR(IF($G2391="","",VLOOKUP('Dashboard And Emails Automate'!$G2391,Database!$H:$N,3,0)),"")</f>
        <v/>
      </c>
      <c r="J2391" s="55" t="str">
        <f>IFERROR(IF($G2391="","",VLOOKUP('Dashboard And Emails Automate'!$G2391,Database!$H:$N,4,0)),"")</f>
        <v/>
      </c>
      <c r="K2391" s="55" t="str">
        <f>IFERROR(IF($G2391="","",VLOOKUP('Dashboard And Emails Automate'!$G2391,Database!$H:$N,5,0)),"")</f>
        <v/>
      </c>
      <c r="L2391" s="55" t="str">
        <f>IFERROR(IF($G2391="","",VLOOKUP('Dashboard And Emails Automate'!$G2391,Database!$H:$N,6,0)),"")</f>
        <v/>
      </c>
      <c r="M2391" s="55" t="str">
        <f>IFERROR(IF($G2391="","",VLOOKUP('Dashboard And Emails Automate'!$G2391,Database!$H:$N,7,0)),"")</f>
        <v/>
      </c>
      <c r="N2391" s="55" t="str">
        <f>IFERROR(IF(OR($B2391="",$B2391="(blank)"),"",VLOOKUP($B2391,'Email Marketing Raw Data'!$C:$O,6,0)),"")</f>
        <v/>
      </c>
      <c r="O2391" s="55" t="str">
        <f>IFERROR(IF(OR($B2391="",$B2391="(blank)"),"",VLOOKUP($B2391,'Email Marketing Raw Data'!$C:$O,7,0)),"")</f>
        <v/>
      </c>
      <c r="P2391" s="55" t="str">
        <f>IFERROR(IF(OR($B2391="",$B2391="(blank)"),"",VLOOKUP($B2391,'Email Marketing Raw Data'!$C:$O,8,0)),"")</f>
        <v/>
      </c>
      <c r="Q2391" s="62" t="str">
        <f>IFERROR(IF(OR($B2391="",$B2391="(blank)"),"",VLOOKUP($B2391,'Email Marketing Raw Data'!$C:$O,9,0)),"")</f>
        <v/>
      </c>
    </row>
    <row r="2392" spans="4:17" ht="12.75" customHeight="1" x14ac:dyDescent="0.2">
      <c r="D2392" s="58" t="str">
        <f>IFERROR(IF(F2392&lt;&gt;"pending","",IF(OR($B2392="",$B2392="(blank)"),"",VLOOKUP($B2392,'Email Marketing Raw Data'!$C:$O,10,0))),"")</f>
        <v/>
      </c>
      <c r="E2392" s="59" t="str">
        <f>IFERROR(IF(F2392&lt;&gt;"pending","",IF(OR($B2392="",$B2392="(blank)"),"",VLOOKUP($B2392,'Email Marketing Raw Data'!$C:$O,11,0))),"")</f>
        <v/>
      </c>
      <c r="F2392" s="54" t="str">
        <f>IFERROR(IF(OR($B2392="",$B2392="(blank)"),"",VLOOKUP($B2392,'Email Marketing Raw Data'!$C:$O,13,0)),"")</f>
        <v/>
      </c>
      <c r="G2392" s="55" t="str">
        <f>IFERROR(IF(OR($B2392="",$B2392="(blank)"),"",VLOOKUP($B2392,'Email Marketing Raw Data'!$C:$O,4,0)),"")</f>
        <v/>
      </c>
      <c r="H2392" s="55" t="str">
        <f>IFERROR(IF(OR($B2392="",$B2392="(blank)"),"",VLOOKUP($B2392,'Email Marketing Raw Data'!$C:$O,5,0)),"")</f>
        <v/>
      </c>
      <c r="I2392" s="55" t="str">
        <f>IFERROR(IF($G2392="","",VLOOKUP('Dashboard And Emails Automate'!$G2392,Database!$H:$N,3,0)),"")</f>
        <v/>
      </c>
      <c r="J2392" s="55" t="str">
        <f>IFERROR(IF($G2392="","",VLOOKUP('Dashboard And Emails Automate'!$G2392,Database!$H:$N,4,0)),"")</f>
        <v/>
      </c>
      <c r="K2392" s="55" t="str">
        <f>IFERROR(IF($G2392="","",VLOOKUP('Dashboard And Emails Automate'!$G2392,Database!$H:$N,5,0)),"")</f>
        <v/>
      </c>
      <c r="L2392" s="55" t="str">
        <f>IFERROR(IF($G2392="","",VLOOKUP('Dashboard And Emails Automate'!$G2392,Database!$H:$N,6,0)),"")</f>
        <v/>
      </c>
      <c r="M2392" s="55" t="str">
        <f>IFERROR(IF($G2392="","",VLOOKUP('Dashboard And Emails Automate'!$G2392,Database!$H:$N,7,0)),"")</f>
        <v/>
      </c>
      <c r="N2392" s="55" t="str">
        <f>IFERROR(IF(OR($B2392="",$B2392="(blank)"),"",VLOOKUP($B2392,'Email Marketing Raw Data'!$C:$O,6,0)),"")</f>
        <v/>
      </c>
      <c r="O2392" s="55" t="str">
        <f>IFERROR(IF(OR($B2392="",$B2392="(blank)"),"",VLOOKUP($B2392,'Email Marketing Raw Data'!$C:$O,7,0)),"")</f>
        <v/>
      </c>
      <c r="P2392" s="55" t="str">
        <f>IFERROR(IF(OR($B2392="",$B2392="(blank)"),"",VLOOKUP($B2392,'Email Marketing Raw Data'!$C:$O,8,0)),"")</f>
        <v/>
      </c>
      <c r="Q2392" s="62" t="str">
        <f>IFERROR(IF(OR($B2392="",$B2392="(blank)"),"",VLOOKUP($B2392,'Email Marketing Raw Data'!$C:$O,9,0)),"")</f>
        <v/>
      </c>
    </row>
    <row r="2393" spans="4:17" ht="12.75" customHeight="1" x14ac:dyDescent="0.2">
      <c r="D2393" s="58" t="str">
        <f>IFERROR(IF(F2393&lt;&gt;"pending","",IF(OR($B2393="",$B2393="(blank)"),"",VLOOKUP($B2393,'Email Marketing Raw Data'!$C:$O,10,0))),"")</f>
        <v/>
      </c>
      <c r="E2393" s="59" t="str">
        <f>IFERROR(IF(F2393&lt;&gt;"pending","",IF(OR($B2393="",$B2393="(blank)"),"",VLOOKUP($B2393,'Email Marketing Raw Data'!$C:$O,11,0))),"")</f>
        <v/>
      </c>
      <c r="F2393" s="54" t="str">
        <f>IFERROR(IF(OR($B2393="",$B2393="(blank)"),"",VLOOKUP($B2393,'Email Marketing Raw Data'!$C:$O,13,0)),"")</f>
        <v/>
      </c>
      <c r="G2393" s="55" t="str">
        <f>IFERROR(IF(OR($B2393="",$B2393="(blank)"),"",VLOOKUP($B2393,'Email Marketing Raw Data'!$C:$O,4,0)),"")</f>
        <v/>
      </c>
      <c r="H2393" s="55" t="str">
        <f>IFERROR(IF(OR($B2393="",$B2393="(blank)"),"",VLOOKUP($B2393,'Email Marketing Raw Data'!$C:$O,5,0)),"")</f>
        <v/>
      </c>
      <c r="I2393" s="55" t="str">
        <f>IFERROR(IF($G2393="","",VLOOKUP('Dashboard And Emails Automate'!$G2393,Database!$H:$N,3,0)),"")</f>
        <v/>
      </c>
      <c r="J2393" s="55" t="str">
        <f>IFERROR(IF($G2393="","",VLOOKUP('Dashboard And Emails Automate'!$G2393,Database!$H:$N,4,0)),"")</f>
        <v/>
      </c>
      <c r="K2393" s="55" t="str">
        <f>IFERROR(IF($G2393="","",VLOOKUP('Dashboard And Emails Automate'!$G2393,Database!$H:$N,5,0)),"")</f>
        <v/>
      </c>
      <c r="L2393" s="55" t="str">
        <f>IFERROR(IF($G2393="","",VLOOKUP('Dashboard And Emails Automate'!$G2393,Database!$H:$N,6,0)),"")</f>
        <v/>
      </c>
      <c r="M2393" s="55" t="str">
        <f>IFERROR(IF($G2393="","",VLOOKUP('Dashboard And Emails Automate'!$G2393,Database!$H:$N,7,0)),"")</f>
        <v/>
      </c>
      <c r="N2393" s="55" t="str">
        <f>IFERROR(IF(OR($B2393="",$B2393="(blank)"),"",VLOOKUP($B2393,'Email Marketing Raw Data'!$C:$O,6,0)),"")</f>
        <v/>
      </c>
      <c r="O2393" s="55" t="str">
        <f>IFERROR(IF(OR($B2393="",$B2393="(blank)"),"",VLOOKUP($B2393,'Email Marketing Raw Data'!$C:$O,7,0)),"")</f>
        <v/>
      </c>
      <c r="P2393" s="55" t="str">
        <f>IFERROR(IF(OR($B2393="",$B2393="(blank)"),"",VLOOKUP($B2393,'Email Marketing Raw Data'!$C:$O,8,0)),"")</f>
        <v/>
      </c>
      <c r="Q2393" s="62" t="str">
        <f>IFERROR(IF(OR($B2393="",$B2393="(blank)"),"",VLOOKUP($B2393,'Email Marketing Raw Data'!$C:$O,9,0)),"")</f>
        <v/>
      </c>
    </row>
    <row r="2394" spans="4:17" ht="12.75" customHeight="1" x14ac:dyDescent="0.2">
      <c r="D2394" s="58" t="str">
        <f>IFERROR(IF(F2394&lt;&gt;"pending","",IF(OR($B2394="",$B2394="(blank)"),"",VLOOKUP($B2394,'Email Marketing Raw Data'!$C:$O,10,0))),"")</f>
        <v/>
      </c>
      <c r="E2394" s="59" t="str">
        <f>IFERROR(IF(F2394&lt;&gt;"pending","",IF(OR($B2394="",$B2394="(blank)"),"",VLOOKUP($B2394,'Email Marketing Raw Data'!$C:$O,11,0))),"")</f>
        <v/>
      </c>
      <c r="F2394" s="54" t="str">
        <f>IFERROR(IF(OR($B2394="",$B2394="(blank)"),"",VLOOKUP($B2394,'Email Marketing Raw Data'!$C:$O,13,0)),"")</f>
        <v/>
      </c>
      <c r="G2394" s="55" t="str">
        <f>IFERROR(IF(OR($B2394="",$B2394="(blank)"),"",VLOOKUP($B2394,'Email Marketing Raw Data'!$C:$O,4,0)),"")</f>
        <v/>
      </c>
      <c r="H2394" s="55" t="str">
        <f>IFERROR(IF(OR($B2394="",$B2394="(blank)"),"",VLOOKUP($B2394,'Email Marketing Raw Data'!$C:$O,5,0)),"")</f>
        <v/>
      </c>
      <c r="I2394" s="55" t="str">
        <f>IFERROR(IF($G2394="","",VLOOKUP('Dashboard And Emails Automate'!$G2394,Database!$H:$N,3,0)),"")</f>
        <v/>
      </c>
      <c r="J2394" s="55" t="str">
        <f>IFERROR(IF($G2394="","",VLOOKUP('Dashboard And Emails Automate'!$G2394,Database!$H:$N,4,0)),"")</f>
        <v/>
      </c>
      <c r="K2394" s="55" t="str">
        <f>IFERROR(IF($G2394="","",VLOOKUP('Dashboard And Emails Automate'!$G2394,Database!$H:$N,5,0)),"")</f>
        <v/>
      </c>
      <c r="L2394" s="55" t="str">
        <f>IFERROR(IF($G2394="","",VLOOKUP('Dashboard And Emails Automate'!$G2394,Database!$H:$N,6,0)),"")</f>
        <v/>
      </c>
      <c r="M2394" s="55" t="str">
        <f>IFERROR(IF($G2394="","",VLOOKUP('Dashboard And Emails Automate'!$G2394,Database!$H:$N,7,0)),"")</f>
        <v/>
      </c>
      <c r="N2394" s="55" t="str">
        <f>IFERROR(IF(OR($B2394="",$B2394="(blank)"),"",VLOOKUP($B2394,'Email Marketing Raw Data'!$C:$O,6,0)),"")</f>
        <v/>
      </c>
      <c r="O2394" s="55" t="str">
        <f>IFERROR(IF(OR($B2394="",$B2394="(blank)"),"",VLOOKUP($B2394,'Email Marketing Raw Data'!$C:$O,7,0)),"")</f>
        <v/>
      </c>
      <c r="P2394" s="55" t="str">
        <f>IFERROR(IF(OR($B2394="",$B2394="(blank)"),"",VLOOKUP($B2394,'Email Marketing Raw Data'!$C:$O,8,0)),"")</f>
        <v/>
      </c>
      <c r="Q2394" s="62" t="str">
        <f>IFERROR(IF(OR($B2394="",$B2394="(blank)"),"",VLOOKUP($B2394,'Email Marketing Raw Data'!$C:$O,9,0)),"")</f>
        <v/>
      </c>
    </row>
    <row r="2395" spans="4:17" ht="12.75" customHeight="1" x14ac:dyDescent="0.2">
      <c r="D2395" s="58" t="str">
        <f>IFERROR(IF(F2395&lt;&gt;"pending","",IF(OR($B2395="",$B2395="(blank)"),"",VLOOKUP($B2395,'Email Marketing Raw Data'!$C:$O,10,0))),"")</f>
        <v/>
      </c>
      <c r="E2395" s="59" t="str">
        <f>IFERROR(IF(F2395&lt;&gt;"pending","",IF(OR($B2395="",$B2395="(blank)"),"",VLOOKUP($B2395,'Email Marketing Raw Data'!$C:$O,11,0))),"")</f>
        <v/>
      </c>
      <c r="F2395" s="54" t="str">
        <f>IFERROR(IF(OR($B2395="",$B2395="(blank)"),"",VLOOKUP($B2395,'Email Marketing Raw Data'!$C:$O,13,0)),"")</f>
        <v/>
      </c>
      <c r="G2395" s="55" t="str">
        <f>IFERROR(IF(OR($B2395="",$B2395="(blank)"),"",VLOOKUP($B2395,'Email Marketing Raw Data'!$C:$O,4,0)),"")</f>
        <v/>
      </c>
      <c r="H2395" s="55" t="str">
        <f>IFERROR(IF(OR($B2395="",$B2395="(blank)"),"",VLOOKUP($B2395,'Email Marketing Raw Data'!$C:$O,5,0)),"")</f>
        <v/>
      </c>
      <c r="I2395" s="55" t="str">
        <f>IFERROR(IF($G2395="","",VLOOKUP('Dashboard And Emails Automate'!$G2395,Database!$H:$N,3,0)),"")</f>
        <v/>
      </c>
      <c r="J2395" s="55" t="str">
        <f>IFERROR(IF($G2395="","",VLOOKUP('Dashboard And Emails Automate'!$G2395,Database!$H:$N,4,0)),"")</f>
        <v/>
      </c>
      <c r="K2395" s="55" t="str">
        <f>IFERROR(IF($G2395="","",VLOOKUP('Dashboard And Emails Automate'!$G2395,Database!$H:$N,5,0)),"")</f>
        <v/>
      </c>
      <c r="L2395" s="55" t="str">
        <f>IFERROR(IF($G2395="","",VLOOKUP('Dashboard And Emails Automate'!$G2395,Database!$H:$N,6,0)),"")</f>
        <v/>
      </c>
      <c r="M2395" s="55" t="str">
        <f>IFERROR(IF($G2395="","",VLOOKUP('Dashboard And Emails Automate'!$G2395,Database!$H:$N,7,0)),"")</f>
        <v/>
      </c>
      <c r="N2395" s="55" t="str">
        <f>IFERROR(IF(OR($B2395="",$B2395="(blank)"),"",VLOOKUP($B2395,'Email Marketing Raw Data'!$C:$O,6,0)),"")</f>
        <v/>
      </c>
      <c r="O2395" s="55" t="str">
        <f>IFERROR(IF(OR($B2395="",$B2395="(blank)"),"",VLOOKUP($B2395,'Email Marketing Raw Data'!$C:$O,7,0)),"")</f>
        <v/>
      </c>
      <c r="P2395" s="55" t="str">
        <f>IFERROR(IF(OR($B2395="",$B2395="(blank)"),"",VLOOKUP($B2395,'Email Marketing Raw Data'!$C:$O,8,0)),"")</f>
        <v/>
      </c>
      <c r="Q2395" s="62" t="str">
        <f>IFERROR(IF(OR($B2395="",$B2395="(blank)"),"",VLOOKUP($B2395,'Email Marketing Raw Data'!$C:$O,9,0)),"")</f>
        <v/>
      </c>
    </row>
    <row r="2396" spans="4:17" ht="12.75" customHeight="1" x14ac:dyDescent="0.2">
      <c r="D2396" s="58" t="str">
        <f>IFERROR(IF(F2396&lt;&gt;"pending","",IF(OR($B2396="",$B2396="(blank)"),"",VLOOKUP($B2396,'Email Marketing Raw Data'!$C:$O,10,0))),"")</f>
        <v/>
      </c>
      <c r="E2396" s="59" t="str">
        <f>IFERROR(IF(F2396&lt;&gt;"pending","",IF(OR($B2396="",$B2396="(blank)"),"",VLOOKUP($B2396,'Email Marketing Raw Data'!$C:$O,11,0))),"")</f>
        <v/>
      </c>
      <c r="F2396" s="54" t="str">
        <f>IFERROR(IF(OR($B2396="",$B2396="(blank)"),"",VLOOKUP($B2396,'Email Marketing Raw Data'!$C:$O,13,0)),"")</f>
        <v/>
      </c>
      <c r="G2396" s="55" t="str">
        <f>IFERROR(IF(OR($B2396="",$B2396="(blank)"),"",VLOOKUP($B2396,'Email Marketing Raw Data'!$C:$O,4,0)),"")</f>
        <v/>
      </c>
      <c r="H2396" s="55" t="str">
        <f>IFERROR(IF(OR($B2396="",$B2396="(blank)"),"",VLOOKUP($B2396,'Email Marketing Raw Data'!$C:$O,5,0)),"")</f>
        <v/>
      </c>
      <c r="I2396" s="55" t="str">
        <f>IFERROR(IF($G2396="","",VLOOKUP('Dashboard And Emails Automate'!$G2396,Database!$H:$N,3,0)),"")</f>
        <v/>
      </c>
      <c r="J2396" s="55" t="str">
        <f>IFERROR(IF($G2396="","",VLOOKUP('Dashboard And Emails Automate'!$G2396,Database!$H:$N,4,0)),"")</f>
        <v/>
      </c>
      <c r="K2396" s="55" t="str">
        <f>IFERROR(IF($G2396="","",VLOOKUP('Dashboard And Emails Automate'!$G2396,Database!$H:$N,5,0)),"")</f>
        <v/>
      </c>
      <c r="L2396" s="55" t="str">
        <f>IFERROR(IF($G2396="","",VLOOKUP('Dashboard And Emails Automate'!$G2396,Database!$H:$N,6,0)),"")</f>
        <v/>
      </c>
      <c r="M2396" s="55" t="str">
        <f>IFERROR(IF($G2396="","",VLOOKUP('Dashboard And Emails Automate'!$G2396,Database!$H:$N,7,0)),"")</f>
        <v/>
      </c>
      <c r="N2396" s="55" t="str">
        <f>IFERROR(IF(OR($B2396="",$B2396="(blank)"),"",VLOOKUP($B2396,'Email Marketing Raw Data'!$C:$O,6,0)),"")</f>
        <v/>
      </c>
      <c r="O2396" s="55" t="str">
        <f>IFERROR(IF(OR($B2396="",$B2396="(blank)"),"",VLOOKUP($B2396,'Email Marketing Raw Data'!$C:$O,7,0)),"")</f>
        <v/>
      </c>
      <c r="P2396" s="55" t="str">
        <f>IFERROR(IF(OR($B2396="",$B2396="(blank)"),"",VLOOKUP($B2396,'Email Marketing Raw Data'!$C:$O,8,0)),"")</f>
        <v/>
      </c>
      <c r="Q2396" s="62" t="str">
        <f>IFERROR(IF(OR($B2396="",$B2396="(blank)"),"",VLOOKUP($B2396,'Email Marketing Raw Data'!$C:$O,9,0)),"")</f>
        <v/>
      </c>
    </row>
    <row r="2397" spans="4:17" ht="12.75" customHeight="1" x14ac:dyDescent="0.2">
      <c r="D2397" s="58" t="str">
        <f>IFERROR(IF(F2397&lt;&gt;"pending","",IF(OR($B2397="",$B2397="(blank)"),"",VLOOKUP($B2397,'Email Marketing Raw Data'!$C:$O,10,0))),"")</f>
        <v/>
      </c>
      <c r="E2397" s="59" t="str">
        <f>IFERROR(IF(F2397&lt;&gt;"pending","",IF(OR($B2397="",$B2397="(blank)"),"",VLOOKUP($B2397,'Email Marketing Raw Data'!$C:$O,11,0))),"")</f>
        <v/>
      </c>
      <c r="F2397" s="54" t="str">
        <f>IFERROR(IF(OR($B2397="",$B2397="(blank)"),"",VLOOKUP($B2397,'Email Marketing Raw Data'!$C:$O,13,0)),"")</f>
        <v/>
      </c>
      <c r="G2397" s="55" t="str">
        <f>IFERROR(IF(OR($B2397="",$B2397="(blank)"),"",VLOOKUP($B2397,'Email Marketing Raw Data'!$C:$O,4,0)),"")</f>
        <v/>
      </c>
      <c r="H2397" s="55" t="str">
        <f>IFERROR(IF(OR($B2397="",$B2397="(blank)"),"",VLOOKUP($B2397,'Email Marketing Raw Data'!$C:$O,5,0)),"")</f>
        <v/>
      </c>
      <c r="I2397" s="55" t="str">
        <f>IFERROR(IF($G2397="","",VLOOKUP('Dashboard And Emails Automate'!$G2397,Database!$H:$N,3,0)),"")</f>
        <v/>
      </c>
      <c r="J2397" s="55" t="str">
        <f>IFERROR(IF($G2397="","",VLOOKUP('Dashboard And Emails Automate'!$G2397,Database!$H:$N,4,0)),"")</f>
        <v/>
      </c>
      <c r="K2397" s="55" t="str">
        <f>IFERROR(IF($G2397="","",VLOOKUP('Dashboard And Emails Automate'!$G2397,Database!$H:$N,5,0)),"")</f>
        <v/>
      </c>
      <c r="L2397" s="55" t="str">
        <f>IFERROR(IF($G2397="","",VLOOKUP('Dashboard And Emails Automate'!$G2397,Database!$H:$N,6,0)),"")</f>
        <v/>
      </c>
      <c r="M2397" s="55" t="str">
        <f>IFERROR(IF($G2397="","",VLOOKUP('Dashboard And Emails Automate'!$G2397,Database!$H:$N,7,0)),"")</f>
        <v/>
      </c>
      <c r="N2397" s="55" t="str">
        <f>IFERROR(IF(OR($B2397="",$B2397="(blank)"),"",VLOOKUP($B2397,'Email Marketing Raw Data'!$C:$O,6,0)),"")</f>
        <v/>
      </c>
      <c r="O2397" s="55" t="str">
        <f>IFERROR(IF(OR($B2397="",$B2397="(blank)"),"",VLOOKUP($B2397,'Email Marketing Raw Data'!$C:$O,7,0)),"")</f>
        <v/>
      </c>
      <c r="P2397" s="55" t="str">
        <f>IFERROR(IF(OR($B2397="",$B2397="(blank)"),"",VLOOKUP($B2397,'Email Marketing Raw Data'!$C:$O,8,0)),"")</f>
        <v/>
      </c>
      <c r="Q2397" s="62" t="str">
        <f>IFERROR(IF(OR($B2397="",$B2397="(blank)"),"",VLOOKUP($B2397,'Email Marketing Raw Data'!$C:$O,9,0)),"")</f>
        <v/>
      </c>
    </row>
    <row r="2398" spans="4:17" ht="12.75" customHeight="1" x14ac:dyDescent="0.2">
      <c r="D2398" s="58" t="str">
        <f>IFERROR(IF(F2398&lt;&gt;"pending","",IF(OR($B2398="",$B2398="(blank)"),"",VLOOKUP($B2398,'Email Marketing Raw Data'!$C:$O,10,0))),"")</f>
        <v/>
      </c>
      <c r="E2398" s="59" t="str">
        <f>IFERROR(IF(F2398&lt;&gt;"pending","",IF(OR($B2398="",$B2398="(blank)"),"",VLOOKUP($B2398,'Email Marketing Raw Data'!$C:$O,11,0))),"")</f>
        <v/>
      </c>
      <c r="F2398" s="54" t="str">
        <f>IFERROR(IF(OR($B2398="",$B2398="(blank)"),"",VLOOKUP($B2398,'Email Marketing Raw Data'!$C:$O,13,0)),"")</f>
        <v/>
      </c>
      <c r="G2398" s="55" t="str">
        <f>IFERROR(IF(OR($B2398="",$B2398="(blank)"),"",VLOOKUP($B2398,'Email Marketing Raw Data'!$C:$O,4,0)),"")</f>
        <v/>
      </c>
      <c r="H2398" s="55" t="str">
        <f>IFERROR(IF(OR($B2398="",$B2398="(blank)"),"",VLOOKUP($B2398,'Email Marketing Raw Data'!$C:$O,5,0)),"")</f>
        <v/>
      </c>
      <c r="I2398" s="55" t="str">
        <f>IFERROR(IF($G2398="","",VLOOKUP('Dashboard And Emails Automate'!$G2398,Database!$H:$N,3,0)),"")</f>
        <v/>
      </c>
      <c r="J2398" s="55" t="str">
        <f>IFERROR(IF($G2398="","",VLOOKUP('Dashboard And Emails Automate'!$G2398,Database!$H:$N,4,0)),"")</f>
        <v/>
      </c>
      <c r="K2398" s="55" t="str">
        <f>IFERROR(IF($G2398="","",VLOOKUP('Dashboard And Emails Automate'!$G2398,Database!$H:$N,5,0)),"")</f>
        <v/>
      </c>
      <c r="L2398" s="55" t="str">
        <f>IFERROR(IF($G2398="","",VLOOKUP('Dashboard And Emails Automate'!$G2398,Database!$H:$N,6,0)),"")</f>
        <v/>
      </c>
      <c r="M2398" s="55" t="str">
        <f>IFERROR(IF($G2398="","",VLOOKUP('Dashboard And Emails Automate'!$G2398,Database!$H:$N,7,0)),"")</f>
        <v/>
      </c>
      <c r="N2398" s="55" t="str">
        <f>IFERROR(IF(OR($B2398="",$B2398="(blank)"),"",VLOOKUP($B2398,'Email Marketing Raw Data'!$C:$O,6,0)),"")</f>
        <v/>
      </c>
      <c r="O2398" s="55" t="str">
        <f>IFERROR(IF(OR($B2398="",$B2398="(blank)"),"",VLOOKUP($B2398,'Email Marketing Raw Data'!$C:$O,7,0)),"")</f>
        <v/>
      </c>
      <c r="P2398" s="55" t="str">
        <f>IFERROR(IF(OR($B2398="",$B2398="(blank)"),"",VLOOKUP($B2398,'Email Marketing Raw Data'!$C:$O,8,0)),"")</f>
        <v/>
      </c>
      <c r="Q2398" s="62" t="str">
        <f>IFERROR(IF(OR($B2398="",$B2398="(blank)"),"",VLOOKUP($B2398,'Email Marketing Raw Data'!$C:$O,9,0)),"")</f>
        <v/>
      </c>
    </row>
    <row r="2399" spans="4:17" ht="12.75" customHeight="1" x14ac:dyDescent="0.2">
      <c r="D2399" s="58" t="str">
        <f>IFERROR(IF(F2399&lt;&gt;"pending","",IF(OR($B2399="",$B2399="(blank)"),"",VLOOKUP($B2399,'Email Marketing Raw Data'!$C:$O,10,0))),"")</f>
        <v/>
      </c>
      <c r="E2399" s="59" t="str">
        <f>IFERROR(IF(F2399&lt;&gt;"pending","",IF(OR($B2399="",$B2399="(blank)"),"",VLOOKUP($B2399,'Email Marketing Raw Data'!$C:$O,11,0))),"")</f>
        <v/>
      </c>
      <c r="F2399" s="54" t="str">
        <f>IFERROR(IF(OR($B2399="",$B2399="(blank)"),"",VLOOKUP($B2399,'Email Marketing Raw Data'!$C:$O,13,0)),"")</f>
        <v/>
      </c>
      <c r="G2399" s="55" t="str">
        <f>IFERROR(IF(OR($B2399="",$B2399="(blank)"),"",VLOOKUP($B2399,'Email Marketing Raw Data'!$C:$O,4,0)),"")</f>
        <v/>
      </c>
      <c r="H2399" s="55" t="str">
        <f>IFERROR(IF(OR($B2399="",$B2399="(blank)"),"",VLOOKUP($B2399,'Email Marketing Raw Data'!$C:$O,5,0)),"")</f>
        <v/>
      </c>
      <c r="I2399" s="55" t="str">
        <f>IFERROR(IF($G2399="","",VLOOKUP('Dashboard And Emails Automate'!$G2399,Database!$H:$N,3,0)),"")</f>
        <v/>
      </c>
      <c r="J2399" s="55" t="str">
        <f>IFERROR(IF($G2399="","",VLOOKUP('Dashboard And Emails Automate'!$G2399,Database!$H:$N,4,0)),"")</f>
        <v/>
      </c>
      <c r="K2399" s="55" t="str">
        <f>IFERROR(IF($G2399="","",VLOOKUP('Dashboard And Emails Automate'!$G2399,Database!$H:$N,5,0)),"")</f>
        <v/>
      </c>
      <c r="L2399" s="55" t="str">
        <f>IFERROR(IF($G2399="","",VLOOKUP('Dashboard And Emails Automate'!$G2399,Database!$H:$N,6,0)),"")</f>
        <v/>
      </c>
      <c r="M2399" s="55" t="str">
        <f>IFERROR(IF($G2399="","",VLOOKUP('Dashboard And Emails Automate'!$G2399,Database!$H:$N,7,0)),"")</f>
        <v/>
      </c>
      <c r="N2399" s="55" t="str">
        <f>IFERROR(IF(OR($B2399="",$B2399="(blank)"),"",VLOOKUP($B2399,'Email Marketing Raw Data'!$C:$O,6,0)),"")</f>
        <v/>
      </c>
      <c r="O2399" s="55" t="str">
        <f>IFERROR(IF(OR($B2399="",$B2399="(blank)"),"",VLOOKUP($B2399,'Email Marketing Raw Data'!$C:$O,7,0)),"")</f>
        <v/>
      </c>
      <c r="P2399" s="55" t="str">
        <f>IFERROR(IF(OR($B2399="",$B2399="(blank)"),"",VLOOKUP($B2399,'Email Marketing Raw Data'!$C:$O,8,0)),"")</f>
        <v/>
      </c>
      <c r="Q2399" s="62" t="str">
        <f>IFERROR(IF(OR($B2399="",$B2399="(blank)"),"",VLOOKUP($B2399,'Email Marketing Raw Data'!$C:$O,9,0)),"")</f>
        <v/>
      </c>
    </row>
    <row r="2400" spans="4:17" ht="12.75" customHeight="1" x14ac:dyDescent="0.2">
      <c r="D2400" s="58" t="str">
        <f>IFERROR(IF(F2400&lt;&gt;"pending","",IF(OR($B2400="",$B2400="(blank)"),"",VLOOKUP($B2400,'Email Marketing Raw Data'!$C:$O,10,0))),"")</f>
        <v/>
      </c>
      <c r="E2400" s="59" t="str">
        <f>IFERROR(IF(F2400&lt;&gt;"pending","",IF(OR($B2400="",$B2400="(blank)"),"",VLOOKUP($B2400,'Email Marketing Raw Data'!$C:$O,11,0))),"")</f>
        <v/>
      </c>
      <c r="F2400" s="54" t="str">
        <f>IFERROR(IF(OR($B2400="",$B2400="(blank)"),"",VLOOKUP($B2400,'Email Marketing Raw Data'!$C:$O,13,0)),"")</f>
        <v/>
      </c>
      <c r="G2400" s="55" t="str">
        <f>IFERROR(IF(OR($B2400="",$B2400="(blank)"),"",VLOOKUP($B2400,'Email Marketing Raw Data'!$C:$O,4,0)),"")</f>
        <v/>
      </c>
      <c r="H2400" s="55" t="str">
        <f>IFERROR(IF(OR($B2400="",$B2400="(blank)"),"",VLOOKUP($B2400,'Email Marketing Raw Data'!$C:$O,5,0)),"")</f>
        <v/>
      </c>
      <c r="I2400" s="55" t="str">
        <f>IFERROR(IF($G2400="","",VLOOKUP('Dashboard And Emails Automate'!$G2400,Database!$H:$N,3,0)),"")</f>
        <v/>
      </c>
      <c r="J2400" s="55" t="str">
        <f>IFERROR(IF($G2400="","",VLOOKUP('Dashboard And Emails Automate'!$G2400,Database!$H:$N,4,0)),"")</f>
        <v/>
      </c>
      <c r="K2400" s="55" t="str">
        <f>IFERROR(IF($G2400="","",VLOOKUP('Dashboard And Emails Automate'!$G2400,Database!$H:$N,5,0)),"")</f>
        <v/>
      </c>
      <c r="L2400" s="55" t="str">
        <f>IFERROR(IF($G2400="","",VLOOKUP('Dashboard And Emails Automate'!$G2400,Database!$H:$N,6,0)),"")</f>
        <v/>
      </c>
      <c r="M2400" s="55" t="str">
        <f>IFERROR(IF($G2400="","",VLOOKUP('Dashboard And Emails Automate'!$G2400,Database!$H:$N,7,0)),"")</f>
        <v/>
      </c>
      <c r="N2400" s="55" t="str">
        <f>IFERROR(IF(OR($B2400="",$B2400="(blank)"),"",VLOOKUP($B2400,'Email Marketing Raw Data'!$C:$O,6,0)),"")</f>
        <v/>
      </c>
      <c r="O2400" s="55" t="str">
        <f>IFERROR(IF(OR($B2400="",$B2400="(blank)"),"",VLOOKUP($B2400,'Email Marketing Raw Data'!$C:$O,7,0)),"")</f>
        <v/>
      </c>
      <c r="P2400" s="55" t="str">
        <f>IFERROR(IF(OR($B2400="",$B2400="(blank)"),"",VLOOKUP($B2400,'Email Marketing Raw Data'!$C:$O,8,0)),"")</f>
        <v/>
      </c>
      <c r="Q2400" s="62" t="str">
        <f>IFERROR(IF(OR($B2400="",$B2400="(blank)"),"",VLOOKUP($B2400,'Email Marketing Raw Data'!$C:$O,9,0)),"")</f>
        <v/>
      </c>
    </row>
    <row r="2401" spans="4:17" ht="12.75" customHeight="1" x14ac:dyDescent="0.2">
      <c r="D2401" s="58" t="str">
        <f>IFERROR(IF(F2401&lt;&gt;"pending","",IF(OR($B2401="",$B2401="(blank)"),"",VLOOKUP($B2401,'Email Marketing Raw Data'!$C:$O,10,0))),"")</f>
        <v/>
      </c>
      <c r="E2401" s="59" t="str">
        <f>IFERROR(IF(F2401&lt;&gt;"pending","",IF(OR($B2401="",$B2401="(blank)"),"",VLOOKUP($B2401,'Email Marketing Raw Data'!$C:$O,11,0))),"")</f>
        <v/>
      </c>
      <c r="F2401" s="54" t="str">
        <f>IFERROR(IF(OR($B2401="",$B2401="(blank)"),"",VLOOKUP($B2401,'Email Marketing Raw Data'!$C:$O,13,0)),"")</f>
        <v/>
      </c>
      <c r="G2401" s="55" t="str">
        <f>IFERROR(IF(OR($B2401="",$B2401="(blank)"),"",VLOOKUP($B2401,'Email Marketing Raw Data'!$C:$O,4,0)),"")</f>
        <v/>
      </c>
      <c r="H2401" s="55" t="str">
        <f>IFERROR(IF(OR($B2401="",$B2401="(blank)"),"",VLOOKUP($B2401,'Email Marketing Raw Data'!$C:$O,5,0)),"")</f>
        <v/>
      </c>
      <c r="I2401" s="55" t="str">
        <f>IFERROR(IF($G2401="","",VLOOKUP('Dashboard And Emails Automate'!$G2401,Database!$H:$N,3,0)),"")</f>
        <v/>
      </c>
      <c r="J2401" s="55" t="str">
        <f>IFERROR(IF($G2401="","",VLOOKUP('Dashboard And Emails Automate'!$G2401,Database!$H:$N,4,0)),"")</f>
        <v/>
      </c>
      <c r="K2401" s="55" t="str">
        <f>IFERROR(IF($G2401="","",VLOOKUP('Dashboard And Emails Automate'!$G2401,Database!$H:$N,5,0)),"")</f>
        <v/>
      </c>
      <c r="L2401" s="55" t="str">
        <f>IFERROR(IF($G2401="","",VLOOKUP('Dashboard And Emails Automate'!$G2401,Database!$H:$N,6,0)),"")</f>
        <v/>
      </c>
      <c r="M2401" s="55" t="str">
        <f>IFERROR(IF($G2401="","",VLOOKUP('Dashboard And Emails Automate'!$G2401,Database!$H:$N,7,0)),"")</f>
        <v/>
      </c>
      <c r="N2401" s="55" t="str">
        <f>IFERROR(IF(OR($B2401="",$B2401="(blank)"),"",VLOOKUP($B2401,'Email Marketing Raw Data'!$C:$O,6,0)),"")</f>
        <v/>
      </c>
      <c r="O2401" s="55" t="str">
        <f>IFERROR(IF(OR($B2401="",$B2401="(blank)"),"",VLOOKUP($B2401,'Email Marketing Raw Data'!$C:$O,7,0)),"")</f>
        <v/>
      </c>
      <c r="P2401" s="55" t="str">
        <f>IFERROR(IF(OR($B2401="",$B2401="(blank)"),"",VLOOKUP($B2401,'Email Marketing Raw Data'!$C:$O,8,0)),"")</f>
        <v/>
      </c>
      <c r="Q2401" s="62" t="str">
        <f>IFERROR(IF(OR($B2401="",$B2401="(blank)"),"",VLOOKUP($B2401,'Email Marketing Raw Data'!$C:$O,9,0)),"")</f>
        <v/>
      </c>
    </row>
    <row r="2402" spans="4:17" ht="12.75" customHeight="1" x14ac:dyDescent="0.2">
      <c r="D2402" s="58" t="str">
        <f>IFERROR(IF(F2402&lt;&gt;"pending","",IF(OR($B2402="",$B2402="(blank)"),"",VLOOKUP($B2402,'Email Marketing Raw Data'!$C:$O,10,0))),"")</f>
        <v/>
      </c>
      <c r="E2402" s="59" t="str">
        <f>IFERROR(IF(F2402&lt;&gt;"pending","",IF(OR($B2402="",$B2402="(blank)"),"",VLOOKUP($B2402,'Email Marketing Raw Data'!$C:$O,11,0))),"")</f>
        <v/>
      </c>
      <c r="F2402" s="54" t="str">
        <f>IFERROR(IF(OR($B2402="",$B2402="(blank)"),"",VLOOKUP($B2402,'Email Marketing Raw Data'!$C:$O,13,0)),"")</f>
        <v/>
      </c>
      <c r="G2402" s="55" t="str">
        <f>IFERROR(IF(OR($B2402="",$B2402="(blank)"),"",VLOOKUP($B2402,'Email Marketing Raw Data'!$C:$O,4,0)),"")</f>
        <v/>
      </c>
      <c r="H2402" s="55" t="str">
        <f>IFERROR(IF(OR($B2402="",$B2402="(blank)"),"",VLOOKUP($B2402,'Email Marketing Raw Data'!$C:$O,5,0)),"")</f>
        <v/>
      </c>
      <c r="I2402" s="55" t="str">
        <f>IFERROR(IF($G2402="","",VLOOKUP('Dashboard And Emails Automate'!$G2402,Database!$H:$N,3,0)),"")</f>
        <v/>
      </c>
      <c r="J2402" s="55" t="str">
        <f>IFERROR(IF($G2402="","",VLOOKUP('Dashboard And Emails Automate'!$G2402,Database!$H:$N,4,0)),"")</f>
        <v/>
      </c>
      <c r="K2402" s="55" t="str">
        <f>IFERROR(IF($G2402="","",VLOOKUP('Dashboard And Emails Automate'!$G2402,Database!$H:$N,5,0)),"")</f>
        <v/>
      </c>
      <c r="L2402" s="55" t="str">
        <f>IFERROR(IF($G2402="","",VLOOKUP('Dashboard And Emails Automate'!$G2402,Database!$H:$N,6,0)),"")</f>
        <v/>
      </c>
      <c r="M2402" s="55" t="str">
        <f>IFERROR(IF($G2402="","",VLOOKUP('Dashboard And Emails Automate'!$G2402,Database!$H:$N,7,0)),"")</f>
        <v/>
      </c>
      <c r="N2402" s="55" t="str">
        <f>IFERROR(IF(OR($B2402="",$B2402="(blank)"),"",VLOOKUP($B2402,'Email Marketing Raw Data'!$C:$O,6,0)),"")</f>
        <v/>
      </c>
      <c r="O2402" s="55" t="str">
        <f>IFERROR(IF(OR($B2402="",$B2402="(blank)"),"",VLOOKUP($B2402,'Email Marketing Raw Data'!$C:$O,7,0)),"")</f>
        <v/>
      </c>
      <c r="P2402" s="55" t="str">
        <f>IFERROR(IF(OR($B2402="",$B2402="(blank)"),"",VLOOKUP($B2402,'Email Marketing Raw Data'!$C:$O,8,0)),"")</f>
        <v/>
      </c>
      <c r="Q2402" s="62" t="str">
        <f>IFERROR(IF(OR($B2402="",$B2402="(blank)"),"",VLOOKUP($B2402,'Email Marketing Raw Data'!$C:$O,9,0)),"")</f>
        <v/>
      </c>
    </row>
    <row r="2403" spans="4:17" ht="12.75" customHeight="1" x14ac:dyDescent="0.2">
      <c r="D2403" s="58" t="str">
        <f>IFERROR(IF(F2403&lt;&gt;"pending","",IF(OR($B2403="",$B2403="(blank)"),"",VLOOKUP($B2403,'Email Marketing Raw Data'!$C:$O,10,0))),"")</f>
        <v/>
      </c>
      <c r="E2403" s="59" t="str">
        <f>IFERROR(IF(F2403&lt;&gt;"pending","",IF(OR($B2403="",$B2403="(blank)"),"",VLOOKUP($B2403,'Email Marketing Raw Data'!$C:$O,11,0))),"")</f>
        <v/>
      </c>
      <c r="F2403" s="54" t="str">
        <f>IFERROR(IF(OR($B2403="",$B2403="(blank)"),"",VLOOKUP($B2403,'Email Marketing Raw Data'!$C:$O,13,0)),"")</f>
        <v/>
      </c>
      <c r="G2403" s="55" t="str">
        <f>IFERROR(IF(OR($B2403="",$B2403="(blank)"),"",VLOOKUP($B2403,'Email Marketing Raw Data'!$C:$O,4,0)),"")</f>
        <v/>
      </c>
      <c r="H2403" s="55" t="str">
        <f>IFERROR(IF(OR($B2403="",$B2403="(blank)"),"",VLOOKUP($B2403,'Email Marketing Raw Data'!$C:$O,5,0)),"")</f>
        <v/>
      </c>
      <c r="I2403" s="55" t="str">
        <f>IFERROR(IF($G2403="","",VLOOKUP('Dashboard And Emails Automate'!$G2403,Database!$H:$N,3,0)),"")</f>
        <v/>
      </c>
      <c r="J2403" s="55" t="str">
        <f>IFERROR(IF($G2403="","",VLOOKUP('Dashboard And Emails Automate'!$G2403,Database!$H:$N,4,0)),"")</f>
        <v/>
      </c>
      <c r="K2403" s="55" t="str">
        <f>IFERROR(IF($G2403="","",VLOOKUP('Dashboard And Emails Automate'!$G2403,Database!$H:$N,5,0)),"")</f>
        <v/>
      </c>
      <c r="L2403" s="55" t="str">
        <f>IFERROR(IF($G2403="","",VLOOKUP('Dashboard And Emails Automate'!$G2403,Database!$H:$N,6,0)),"")</f>
        <v/>
      </c>
      <c r="M2403" s="55" t="str">
        <f>IFERROR(IF($G2403="","",VLOOKUP('Dashboard And Emails Automate'!$G2403,Database!$H:$N,7,0)),"")</f>
        <v/>
      </c>
      <c r="N2403" s="55" t="str">
        <f>IFERROR(IF(OR($B2403="",$B2403="(blank)"),"",VLOOKUP($B2403,'Email Marketing Raw Data'!$C:$O,6,0)),"")</f>
        <v/>
      </c>
      <c r="O2403" s="55" t="str">
        <f>IFERROR(IF(OR($B2403="",$B2403="(blank)"),"",VLOOKUP($B2403,'Email Marketing Raw Data'!$C:$O,7,0)),"")</f>
        <v/>
      </c>
      <c r="P2403" s="55" t="str">
        <f>IFERROR(IF(OR($B2403="",$B2403="(blank)"),"",VLOOKUP($B2403,'Email Marketing Raw Data'!$C:$O,8,0)),"")</f>
        <v/>
      </c>
      <c r="Q2403" s="62" t="str">
        <f>IFERROR(IF(OR($B2403="",$B2403="(blank)"),"",VLOOKUP($B2403,'Email Marketing Raw Data'!$C:$O,9,0)),"")</f>
        <v/>
      </c>
    </row>
    <row r="2404" spans="4:17" ht="12.75" customHeight="1" x14ac:dyDescent="0.2">
      <c r="D2404" s="58" t="str">
        <f>IFERROR(IF(F2404&lt;&gt;"pending","",IF(OR($B2404="",$B2404="(blank)"),"",VLOOKUP($B2404,'Email Marketing Raw Data'!$C:$O,10,0))),"")</f>
        <v/>
      </c>
      <c r="E2404" s="59" t="str">
        <f>IFERROR(IF(F2404&lt;&gt;"pending","",IF(OR($B2404="",$B2404="(blank)"),"",VLOOKUP($B2404,'Email Marketing Raw Data'!$C:$O,11,0))),"")</f>
        <v/>
      </c>
      <c r="F2404" s="54" t="str">
        <f>IFERROR(IF(OR($B2404="",$B2404="(blank)"),"",VLOOKUP($B2404,'Email Marketing Raw Data'!$C:$O,13,0)),"")</f>
        <v/>
      </c>
      <c r="G2404" s="55" t="str">
        <f>IFERROR(IF(OR($B2404="",$B2404="(blank)"),"",VLOOKUP($B2404,'Email Marketing Raw Data'!$C:$O,4,0)),"")</f>
        <v/>
      </c>
      <c r="H2404" s="55" t="str">
        <f>IFERROR(IF(OR($B2404="",$B2404="(blank)"),"",VLOOKUP($B2404,'Email Marketing Raw Data'!$C:$O,5,0)),"")</f>
        <v/>
      </c>
      <c r="I2404" s="55" t="str">
        <f>IFERROR(IF($G2404="","",VLOOKUP('Dashboard And Emails Automate'!$G2404,Database!$H:$N,3,0)),"")</f>
        <v/>
      </c>
      <c r="J2404" s="55" t="str">
        <f>IFERROR(IF($G2404="","",VLOOKUP('Dashboard And Emails Automate'!$G2404,Database!$H:$N,4,0)),"")</f>
        <v/>
      </c>
      <c r="K2404" s="55" t="str">
        <f>IFERROR(IF($G2404="","",VLOOKUP('Dashboard And Emails Automate'!$G2404,Database!$H:$N,5,0)),"")</f>
        <v/>
      </c>
      <c r="L2404" s="55" t="str">
        <f>IFERROR(IF($G2404="","",VLOOKUP('Dashboard And Emails Automate'!$G2404,Database!$H:$N,6,0)),"")</f>
        <v/>
      </c>
      <c r="M2404" s="55" t="str">
        <f>IFERROR(IF($G2404="","",VLOOKUP('Dashboard And Emails Automate'!$G2404,Database!$H:$N,7,0)),"")</f>
        <v/>
      </c>
      <c r="N2404" s="55" t="str">
        <f>IFERROR(IF(OR($B2404="",$B2404="(blank)"),"",VLOOKUP($B2404,'Email Marketing Raw Data'!$C:$O,6,0)),"")</f>
        <v/>
      </c>
      <c r="O2404" s="55" t="str">
        <f>IFERROR(IF(OR($B2404="",$B2404="(blank)"),"",VLOOKUP($B2404,'Email Marketing Raw Data'!$C:$O,7,0)),"")</f>
        <v/>
      </c>
      <c r="P2404" s="55" t="str">
        <f>IFERROR(IF(OR($B2404="",$B2404="(blank)"),"",VLOOKUP($B2404,'Email Marketing Raw Data'!$C:$O,8,0)),"")</f>
        <v/>
      </c>
      <c r="Q2404" s="62" t="str">
        <f>IFERROR(IF(OR($B2404="",$B2404="(blank)"),"",VLOOKUP($B2404,'Email Marketing Raw Data'!$C:$O,9,0)),"")</f>
        <v/>
      </c>
    </row>
    <row r="2405" spans="4:17" ht="12.75" customHeight="1" x14ac:dyDescent="0.2">
      <c r="D2405" s="58" t="str">
        <f>IFERROR(IF(F2405&lt;&gt;"pending","",IF(OR($B2405="",$B2405="(blank)"),"",VLOOKUP($B2405,'Email Marketing Raw Data'!$C:$O,10,0))),"")</f>
        <v/>
      </c>
      <c r="E2405" s="59" t="str">
        <f>IFERROR(IF(F2405&lt;&gt;"pending","",IF(OR($B2405="",$B2405="(blank)"),"",VLOOKUP($B2405,'Email Marketing Raw Data'!$C:$O,11,0))),"")</f>
        <v/>
      </c>
      <c r="F2405" s="54" t="str">
        <f>IFERROR(IF(OR($B2405="",$B2405="(blank)"),"",VLOOKUP($B2405,'Email Marketing Raw Data'!$C:$O,13,0)),"")</f>
        <v/>
      </c>
      <c r="G2405" s="55" t="str">
        <f>IFERROR(IF(OR($B2405="",$B2405="(blank)"),"",VLOOKUP($B2405,'Email Marketing Raw Data'!$C:$O,4,0)),"")</f>
        <v/>
      </c>
      <c r="H2405" s="55" t="str">
        <f>IFERROR(IF(OR($B2405="",$B2405="(blank)"),"",VLOOKUP($B2405,'Email Marketing Raw Data'!$C:$O,5,0)),"")</f>
        <v/>
      </c>
      <c r="I2405" s="55" t="str">
        <f>IFERROR(IF($G2405="","",VLOOKUP('Dashboard And Emails Automate'!$G2405,Database!$H:$N,3,0)),"")</f>
        <v/>
      </c>
      <c r="J2405" s="55" t="str">
        <f>IFERROR(IF($G2405="","",VLOOKUP('Dashboard And Emails Automate'!$G2405,Database!$H:$N,4,0)),"")</f>
        <v/>
      </c>
      <c r="K2405" s="55" t="str">
        <f>IFERROR(IF($G2405="","",VLOOKUP('Dashboard And Emails Automate'!$G2405,Database!$H:$N,5,0)),"")</f>
        <v/>
      </c>
      <c r="L2405" s="55" t="str">
        <f>IFERROR(IF($G2405="","",VLOOKUP('Dashboard And Emails Automate'!$G2405,Database!$H:$N,6,0)),"")</f>
        <v/>
      </c>
      <c r="M2405" s="55" t="str">
        <f>IFERROR(IF($G2405="","",VLOOKUP('Dashboard And Emails Automate'!$G2405,Database!$H:$N,7,0)),"")</f>
        <v/>
      </c>
      <c r="N2405" s="55" t="str">
        <f>IFERROR(IF(OR($B2405="",$B2405="(blank)"),"",VLOOKUP($B2405,'Email Marketing Raw Data'!$C:$O,6,0)),"")</f>
        <v/>
      </c>
      <c r="O2405" s="55" t="str">
        <f>IFERROR(IF(OR($B2405="",$B2405="(blank)"),"",VLOOKUP($B2405,'Email Marketing Raw Data'!$C:$O,7,0)),"")</f>
        <v/>
      </c>
      <c r="P2405" s="55" t="str">
        <f>IFERROR(IF(OR($B2405="",$B2405="(blank)"),"",VLOOKUP($B2405,'Email Marketing Raw Data'!$C:$O,8,0)),"")</f>
        <v/>
      </c>
      <c r="Q2405" s="62" t="str">
        <f>IFERROR(IF(OR($B2405="",$B2405="(blank)"),"",VLOOKUP($B2405,'Email Marketing Raw Data'!$C:$O,9,0)),"")</f>
        <v/>
      </c>
    </row>
    <row r="2406" spans="4:17" ht="12.75" customHeight="1" x14ac:dyDescent="0.2">
      <c r="D2406" s="58" t="str">
        <f>IFERROR(IF(F2406&lt;&gt;"pending","",IF(OR($B2406="",$B2406="(blank)"),"",VLOOKUP($B2406,'Email Marketing Raw Data'!$C:$O,10,0))),"")</f>
        <v/>
      </c>
      <c r="E2406" s="59" t="str">
        <f>IFERROR(IF(F2406&lt;&gt;"pending","",IF(OR($B2406="",$B2406="(blank)"),"",VLOOKUP($B2406,'Email Marketing Raw Data'!$C:$O,11,0))),"")</f>
        <v/>
      </c>
      <c r="F2406" s="54" t="str">
        <f>IFERROR(IF(OR($B2406="",$B2406="(blank)"),"",VLOOKUP($B2406,'Email Marketing Raw Data'!$C:$O,13,0)),"")</f>
        <v/>
      </c>
      <c r="G2406" s="55" t="str">
        <f>IFERROR(IF(OR($B2406="",$B2406="(blank)"),"",VLOOKUP($B2406,'Email Marketing Raw Data'!$C:$O,4,0)),"")</f>
        <v/>
      </c>
      <c r="H2406" s="55" t="str">
        <f>IFERROR(IF(OR($B2406="",$B2406="(blank)"),"",VLOOKUP($B2406,'Email Marketing Raw Data'!$C:$O,5,0)),"")</f>
        <v/>
      </c>
      <c r="I2406" s="55" t="str">
        <f>IFERROR(IF($G2406="","",VLOOKUP('Dashboard And Emails Automate'!$G2406,Database!$H:$N,3,0)),"")</f>
        <v/>
      </c>
      <c r="J2406" s="55" t="str">
        <f>IFERROR(IF($G2406="","",VLOOKUP('Dashboard And Emails Automate'!$G2406,Database!$H:$N,4,0)),"")</f>
        <v/>
      </c>
      <c r="K2406" s="55" t="str">
        <f>IFERROR(IF($G2406="","",VLOOKUP('Dashboard And Emails Automate'!$G2406,Database!$H:$N,5,0)),"")</f>
        <v/>
      </c>
      <c r="L2406" s="55" t="str">
        <f>IFERROR(IF($G2406="","",VLOOKUP('Dashboard And Emails Automate'!$G2406,Database!$H:$N,6,0)),"")</f>
        <v/>
      </c>
      <c r="M2406" s="55" t="str">
        <f>IFERROR(IF($G2406="","",VLOOKUP('Dashboard And Emails Automate'!$G2406,Database!$H:$N,7,0)),"")</f>
        <v/>
      </c>
      <c r="N2406" s="55" t="str">
        <f>IFERROR(IF(OR($B2406="",$B2406="(blank)"),"",VLOOKUP($B2406,'Email Marketing Raw Data'!$C:$O,6,0)),"")</f>
        <v/>
      </c>
      <c r="O2406" s="55" t="str">
        <f>IFERROR(IF(OR($B2406="",$B2406="(blank)"),"",VLOOKUP($B2406,'Email Marketing Raw Data'!$C:$O,7,0)),"")</f>
        <v/>
      </c>
      <c r="P2406" s="55" t="str">
        <f>IFERROR(IF(OR($B2406="",$B2406="(blank)"),"",VLOOKUP($B2406,'Email Marketing Raw Data'!$C:$O,8,0)),"")</f>
        <v/>
      </c>
      <c r="Q2406" s="62" t="str">
        <f>IFERROR(IF(OR($B2406="",$B2406="(blank)"),"",VLOOKUP($B2406,'Email Marketing Raw Data'!$C:$O,9,0)),"")</f>
        <v/>
      </c>
    </row>
    <row r="2407" spans="4:17" ht="12.75" customHeight="1" x14ac:dyDescent="0.2">
      <c r="D2407" s="58" t="str">
        <f>IFERROR(IF(F2407&lt;&gt;"pending","",IF(OR($B2407="",$B2407="(blank)"),"",VLOOKUP($B2407,'Email Marketing Raw Data'!$C:$O,10,0))),"")</f>
        <v/>
      </c>
      <c r="E2407" s="59" t="str">
        <f>IFERROR(IF(F2407&lt;&gt;"pending","",IF(OR($B2407="",$B2407="(blank)"),"",VLOOKUP($B2407,'Email Marketing Raw Data'!$C:$O,11,0))),"")</f>
        <v/>
      </c>
      <c r="F2407" s="54" t="str">
        <f>IFERROR(IF(OR($B2407="",$B2407="(blank)"),"",VLOOKUP($B2407,'Email Marketing Raw Data'!$C:$O,13,0)),"")</f>
        <v/>
      </c>
      <c r="G2407" s="55" t="str">
        <f>IFERROR(IF(OR($B2407="",$B2407="(blank)"),"",VLOOKUP($B2407,'Email Marketing Raw Data'!$C:$O,4,0)),"")</f>
        <v/>
      </c>
      <c r="H2407" s="55" t="str">
        <f>IFERROR(IF(OR($B2407="",$B2407="(blank)"),"",VLOOKUP($B2407,'Email Marketing Raw Data'!$C:$O,5,0)),"")</f>
        <v/>
      </c>
      <c r="I2407" s="55" t="str">
        <f>IFERROR(IF($G2407="","",VLOOKUP('Dashboard And Emails Automate'!$G2407,Database!$H:$N,3,0)),"")</f>
        <v/>
      </c>
      <c r="J2407" s="55" t="str">
        <f>IFERROR(IF($G2407="","",VLOOKUP('Dashboard And Emails Automate'!$G2407,Database!$H:$N,4,0)),"")</f>
        <v/>
      </c>
      <c r="K2407" s="55" t="str">
        <f>IFERROR(IF($G2407="","",VLOOKUP('Dashboard And Emails Automate'!$G2407,Database!$H:$N,5,0)),"")</f>
        <v/>
      </c>
      <c r="L2407" s="55" t="str">
        <f>IFERROR(IF($G2407="","",VLOOKUP('Dashboard And Emails Automate'!$G2407,Database!$H:$N,6,0)),"")</f>
        <v/>
      </c>
      <c r="M2407" s="55" t="str">
        <f>IFERROR(IF($G2407="","",VLOOKUP('Dashboard And Emails Automate'!$G2407,Database!$H:$N,7,0)),"")</f>
        <v/>
      </c>
      <c r="N2407" s="55" t="str">
        <f>IFERROR(IF(OR($B2407="",$B2407="(blank)"),"",VLOOKUP($B2407,'Email Marketing Raw Data'!$C:$O,6,0)),"")</f>
        <v/>
      </c>
      <c r="O2407" s="55" t="str">
        <f>IFERROR(IF(OR($B2407="",$B2407="(blank)"),"",VLOOKUP($B2407,'Email Marketing Raw Data'!$C:$O,7,0)),"")</f>
        <v/>
      </c>
      <c r="P2407" s="55" t="str">
        <f>IFERROR(IF(OR($B2407="",$B2407="(blank)"),"",VLOOKUP($B2407,'Email Marketing Raw Data'!$C:$O,8,0)),"")</f>
        <v/>
      </c>
      <c r="Q2407" s="62" t="str">
        <f>IFERROR(IF(OR($B2407="",$B2407="(blank)"),"",VLOOKUP($B2407,'Email Marketing Raw Data'!$C:$O,9,0)),"")</f>
        <v/>
      </c>
    </row>
    <row r="2408" spans="4:17" ht="12.75" customHeight="1" x14ac:dyDescent="0.2">
      <c r="D2408" s="58" t="str">
        <f>IFERROR(IF(F2408&lt;&gt;"pending","",IF(OR($B2408="",$B2408="(blank)"),"",VLOOKUP($B2408,'Email Marketing Raw Data'!$C:$O,10,0))),"")</f>
        <v/>
      </c>
      <c r="E2408" s="59" t="str">
        <f>IFERROR(IF(F2408&lt;&gt;"pending","",IF(OR($B2408="",$B2408="(blank)"),"",VLOOKUP($B2408,'Email Marketing Raw Data'!$C:$O,11,0))),"")</f>
        <v/>
      </c>
      <c r="F2408" s="54" t="str">
        <f>IFERROR(IF(OR($B2408="",$B2408="(blank)"),"",VLOOKUP($B2408,'Email Marketing Raw Data'!$C:$O,13,0)),"")</f>
        <v/>
      </c>
      <c r="G2408" s="55" t="str">
        <f>IFERROR(IF(OR($B2408="",$B2408="(blank)"),"",VLOOKUP($B2408,'Email Marketing Raw Data'!$C:$O,4,0)),"")</f>
        <v/>
      </c>
      <c r="H2408" s="55" t="str">
        <f>IFERROR(IF(OR($B2408="",$B2408="(blank)"),"",VLOOKUP($B2408,'Email Marketing Raw Data'!$C:$O,5,0)),"")</f>
        <v/>
      </c>
      <c r="I2408" s="55" t="str">
        <f>IFERROR(IF($G2408="","",VLOOKUP('Dashboard And Emails Automate'!$G2408,Database!$H:$N,3,0)),"")</f>
        <v/>
      </c>
      <c r="J2408" s="55" t="str">
        <f>IFERROR(IF($G2408="","",VLOOKUP('Dashboard And Emails Automate'!$G2408,Database!$H:$N,4,0)),"")</f>
        <v/>
      </c>
      <c r="K2408" s="55" t="str">
        <f>IFERROR(IF($G2408="","",VLOOKUP('Dashboard And Emails Automate'!$G2408,Database!$H:$N,5,0)),"")</f>
        <v/>
      </c>
      <c r="L2408" s="55" t="str">
        <f>IFERROR(IF($G2408="","",VLOOKUP('Dashboard And Emails Automate'!$G2408,Database!$H:$N,6,0)),"")</f>
        <v/>
      </c>
      <c r="M2408" s="55" t="str">
        <f>IFERROR(IF($G2408="","",VLOOKUP('Dashboard And Emails Automate'!$G2408,Database!$H:$N,7,0)),"")</f>
        <v/>
      </c>
      <c r="N2408" s="55" t="str">
        <f>IFERROR(IF(OR($B2408="",$B2408="(blank)"),"",VLOOKUP($B2408,'Email Marketing Raw Data'!$C:$O,6,0)),"")</f>
        <v/>
      </c>
      <c r="O2408" s="55" t="str">
        <f>IFERROR(IF(OR($B2408="",$B2408="(blank)"),"",VLOOKUP($B2408,'Email Marketing Raw Data'!$C:$O,7,0)),"")</f>
        <v/>
      </c>
      <c r="P2408" s="55" t="str">
        <f>IFERROR(IF(OR($B2408="",$B2408="(blank)"),"",VLOOKUP($B2408,'Email Marketing Raw Data'!$C:$O,8,0)),"")</f>
        <v/>
      </c>
      <c r="Q2408" s="62" t="str">
        <f>IFERROR(IF(OR($B2408="",$B2408="(blank)"),"",VLOOKUP($B2408,'Email Marketing Raw Data'!$C:$O,9,0)),"")</f>
        <v/>
      </c>
    </row>
    <row r="2409" spans="4:17" ht="12.75" customHeight="1" x14ac:dyDescent="0.2">
      <c r="D2409" s="58" t="str">
        <f>IFERROR(IF(F2409&lt;&gt;"pending","",IF(OR($B2409="",$B2409="(blank)"),"",VLOOKUP($B2409,'Email Marketing Raw Data'!$C:$O,10,0))),"")</f>
        <v/>
      </c>
      <c r="E2409" s="59" t="str">
        <f>IFERROR(IF(F2409&lt;&gt;"pending","",IF(OR($B2409="",$B2409="(blank)"),"",VLOOKUP($B2409,'Email Marketing Raw Data'!$C:$O,11,0))),"")</f>
        <v/>
      </c>
      <c r="F2409" s="54" t="str">
        <f>IFERROR(IF(OR($B2409="",$B2409="(blank)"),"",VLOOKUP($B2409,'Email Marketing Raw Data'!$C:$O,13,0)),"")</f>
        <v/>
      </c>
      <c r="G2409" s="55" t="str">
        <f>IFERROR(IF(OR($B2409="",$B2409="(blank)"),"",VLOOKUP($B2409,'Email Marketing Raw Data'!$C:$O,4,0)),"")</f>
        <v/>
      </c>
      <c r="H2409" s="55" t="str">
        <f>IFERROR(IF(OR($B2409="",$B2409="(blank)"),"",VLOOKUP($B2409,'Email Marketing Raw Data'!$C:$O,5,0)),"")</f>
        <v/>
      </c>
      <c r="I2409" s="55" t="str">
        <f>IFERROR(IF($G2409="","",VLOOKUP('Dashboard And Emails Automate'!$G2409,Database!$H:$N,3,0)),"")</f>
        <v/>
      </c>
      <c r="J2409" s="55" t="str">
        <f>IFERROR(IF($G2409="","",VLOOKUP('Dashboard And Emails Automate'!$G2409,Database!$H:$N,4,0)),"")</f>
        <v/>
      </c>
      <c r="K2409" s="55" t="str">
        <f>IFERROR(IF($G2409="","",VLOOKUP('Dashboard And Emails Automate'!$G2409,Database!$H:$N,5,0)),"")</f>
        <v/>
      </c>
      <c r="L2409" s="55" t="str">
        <f>IFERROR(IF($G2409="","",VLOOKUP('Dashboard And Emails Automate'!$G2409,Database!$H:$N,6,0)),"")</f>
        <v/>
      </c>
      <c r="M2409" s="55" t="str">
        <f>IFERROR(IF($G2409="","",VLOOKUP('Dashboard And Emails Automate'!$G2409,Database!$H:$N,7,0)),"")</f>
        <v/>
      </c>
      <c r="N2409" s="55" t="str">
        <f>IFERROR(IF(OR($B2409="",$B2409="(blank)"),"",VLOOKUP($B2409,'Email Marketing Raw Data'!$C:$O,6,0)),"")</f>
        <v/>
      </c>
      <c r="O2409" s="55" t="str">
        <f>IFERROR(IF(OR($B2409="",$B2409="(blank)"),"",VLOOKUP($B2409,'Email Marketing Raw Data'!$C:$O,7,0)),"")</f>
        <v/>
      </c>
      <c r="P2409" s="55" t="str">
        <f>IFERROR(IF(OR($B2409="",$B2409="(blank)"),"",VLOOKUP($B2409,'Email Marketing Raw Data'!$C:$O,8,0)),"")</f>
        <v/>
      </c>
      <c r="Q2409" s="62" t="str">
        <f>IFERROR(IF(OR($B2409="",$B2409="(blank)"),"",VLOOKUP($B2409,'Email Marketing Raw Data'!$C:$O,9,0)),"")</f>
        <v/>
      </c>
    </row>
    <row r="2410" spans="4:17" ht="12.75" customHeight="1" x14ac:dyDescent="0.2">
      <c r="D2410" s="58" t="str">
        <f>IFERROR(IF(F2410&lt;&gt;"pending","",IF(OR($B2410="",$B2410="(blank)"),"",VLOOKUP($B2410,'Email Marketing Raw Data'!$C:$O,10,0))),"")</f>
        <v/>
      </c>
      <c r="E2410" s="59" t="str">
        <f>IFERROR(IF(F2410&lt;&gt;"pending","",IF(OR($B2410="",$B2410="(blank)"),"",VLOOKUP($B2410,'Email Marketing Raw Data'!$C:$O,11,0))),"")</f>
        <v/>
      </c>
      <c r="F2410" s="54" t="str">
        <f>IFERROR(IF(OR($B2410="",$B2410="(blank)"),"",VLOOKUP($B2410,'Email Marketing Raw Data'!$C:$O,13,0)),"")</f>
        <v/>
      </c>
      <c r="G2410" s="55" t="str">
        <f>IFERROR(IF(OR($B2410="",$B2410="(blank)"),"",VLOOKUP($B2410,'Email Marketing Raw Data'!$C:$O,4,0)),"")</f>
        <v/>
      </c>
      <c r="H2410" s="55" t="str">
        <f>IFERROR(IF(OR($B2410="",$B2410="(blank)"),"",VLOOKUP($B2410,'Email Marketing Raw Data'!$C:$O,5,0)),"")</f>
        <v/>
      </c>
      <c r="I2410" s="55" t="str">
        <f>IFERROR(IF($G2410="","",VLOOKUP('Dashboard And Emails Automate'!$G2410,Database!$H:$N,3,0)),"")</f>
        <v/>
      </c>
      <c r="J2410" s="55" t="str">
        <f>IFERROR(IF($G2410="","",VLOOKUP('Dashboard And Emails Automate'!$G2410,Database!$H:$N,4,0)),"")</f>
        <v/>
      </c>
      <c r="K2410" s="55" t="str">
        <f>IFERROR(IF($G2410="","",VLOOKUP('Dashboard And Emails Automate'!$G2410,Database!$H:$N,5,0)),"")</f>
        <v/>
      </c>
      <c r="L2410" s="55" t="str">
        <f>IFERROR(IF($G2410="","",VLOOKUP('Dashboard And Emails Automate'!$G2410,Database!$H:$N,6,0)),"")</f>
        <v/>
      </c>
      <c r="M2410" s="55" t="str">
        <f>IFERROR(IF($G2410="","",VLOOKUP('Dashboard And Emails Automate'!$G2410,Database!$H:$N,7,0)),"")</f>
        <v/>
      </c>
      <c r="N2410" s="55" t="str">
        <f>IFERROR(IF(OR($B2410="",$B2410="(blank)"),"",VLOOKUP($B2410,'Email Marketing Raw Data'!$C:$O,6,0)),"")</f>
        <v/>
      </c>
      <c r="O2410" s="55" t="str">
        <f>IFERROR(IF(OR($B2410="",$B2410="(blank)"),"",VLOOKUP($B2410,'Email Marketing Raw Data'!$C:$O,7,0)),"")</f>
        <v/>
      </c>
      <c r="P2410" s="55" t="str">
        <f>IFERROR(IF(OR($B2410="",$B2410="(blank)"),"",VLOOKUP($B2410,'Email Marketing Raw Data'!$C:$O,8,0)),"")</f>
        <v/>
      </c>
      <c r="Q2410" s="62" t="str">
        <f>IFERROR(IF(OR($B2410="",$B2410="(blank)"),"",VLOOKUP($B2410,'Email Marketing Raw Data'!$C:$O,9,0)),"")</f>
        <v/>
      </c>
    </row>
    <row r="2411" spans="4:17" ht="12.75" customHeight="1" x14ac:dyDescent="0.2">
      <c r="D2411" s="58" t="str">
        <f>IFERROR(IF(F2411&lt;&gt;"pending","",IF(OR($B2411="",$B2411="(blank)"),"",VLOOKUP($B2411,'Email Marketing Raw Data'!$C:$O,10,0))),"")</f>
        <v/>
      </c>
      <c r="E2411" s="59" t="str">
        <f>IFERROR(IF(F2411&lt;&gt;"pending","",IF(OR($B2411="",$B2411="(blank)"),"",VLOOKUP($B2411,'Email Marketing Raw Data'!$C:$O,11,0))),"")</f>
        <v/>
      </c>
      <c r="F2411" s="54" t="str">
        <f>IFERROR(IF(OR($B2411="",$B2411="(blank)"),"",VLOOKUP($B2411,'Email Marketing Raw Data'!$C:$O,13,0)),"")</f>
        <v/>
      </c>
      <c r="G2411" s="55" t="str">
        <f>IFERROR(IF(OR($B2411="",$B2411="(blank)"),"",VLOOKUP($B2411,'Email Marketing Raw Data'!$C:$O,4,0)),"")</f>
        <v/>
      </c>
      <c r="H2411" s="55" t="str">
        <f>IFERROR(IF(OR($B2411="",$B2411="(blank)"),"",VLOOKUP($B2411,'Email Marketing Raw Data'!$C:$O,5,0)),"")</f>
        <v/>
      </c>
      <c r="I2411" s="55" t="str">
        <f>IFERROR(IF($G2411="","",VLOOKUP('Dashboard And Emails Automate'!$G2411,Database!$H:$N,3,0)),"")</f>
        <v/>
      </c>
      <c r="J2411" s="55" t="str">
        <f>IFERROR(IF($G2411="","",VLOOKUP('Dashboard And Emails Automate'!$G2411,Database!$H:$N,4,0)),"")</f>
        <v/>
      </c>
      <c r="K2411" s="55" t="str">
        <f>IFERROR(IF($G2411="","",VLOOKUP('Dashboard And Emails Automate'!$G2411,Database!$H:$N,5,0)),"")</f>
        <v/>
      </c>
      <c r="L2411" s="55" t="str">
        <f>IFERROR(IF($G2411="","",VLOOKUP('Dashboard And Emails Automate'!$G2411,Database!$H:$N,6,0)),"")</f>
        <v/>
      </c>
      <c r="M2411" s="55" t="str">
        <f>IFERROR(IF($G2411="","",VLOOKUP('Dashboard And Emails Automate'!$G2411,Database!$H:$N,7,0)),"")</f>
        <v/>
      </c>
      <c r="N2411" s="55" t="str">
        <f>IFERROR(IF(OR($B2411="",$B2411="(blank)"),"",VLOOKUP($B2411,'Email Marketing Raw Data'!$C:$O,6,0)),"")</f>
        <v/>
      </c>
      <c r="O2411" s="55" t="str">
        <f>IFERROR(IF(OR($B2411="",$B2411="(blank)"),"",VLOOKUP($B2411,'Email Marketing Raw Data'!$C:$O,7,0)),"")</f>
        <v/>
      </c>
      <c r="P2411" s="55" t="str">
        <f>IFERROR(IF(OR($B2411="",$B2411="(blank)"),"",VLOOKUP($B2411,'Email Marketing Raw Data'!$C:$O,8,0)),"")</f>
        <v/>
      </c>
      <c r="Q2411" s="62" t="str">
        <f>IFERROR(IF(OR($B2411="",$B2411="(blank)"),"",VLOOKUP($B2411,'Email Marketing Raw Data'!$C:$O,9,0)),"")</f>
        <v/>
      </c>
    </row>
    <row r="2412" spans="4:17" ht="12.75" customHeight="1" x14ac:dyDescent="0.2">
      <c r="D2412" s="58" t="str">
        <f>IFERROR(IF(F2412&lt;&gt;"pending","",IF(OR($B2412="",$B2412="(blank)"),"",VLOOKUP($B2412,'Email Marketing Raw Data'!$C:$O,10,0))),"")</f>
        <v/>
      </c>
      <c r="E2412" s="59" t="str">
        <f>IFERROR(IF(F2412&lt;&gt;"pending","",IF(OR($B2412="",$B2412="(blank)"),"",VLOOKUP($B2412,'Email Marketing Raw Data'!$C:$O,11,0))),"")</f>
        <v/>
      </c>
      <c r="F2412" s="54" t="str">
        <f>IFERROR(IF(OR($B2412="",$B2412="(blank)"),"",VLOOKUP($B2412,'Email Marketing Raw Data'!$C:$O,13,0)),"")</f>
        <v/>
      </c>
      <c r="G2412" s="55" t="str">
        <f>IFERROR(IF(OR($B2412="",$B2412="(blank)"),"",VLOOKUP($B2412,'Email Marketing Raw Data'!$C:$O,4,0)),"")</f>
        <v/>
      </c>
      <c r="H2412" s="55" t="str">
        <f>IFERROR(IF(OR($B2412="",$B2412="(blank)"),"",VLOOKUP($B2412,'Email Marketing Raw Data'!$C:$O,5,0)),"")</f>
        <v/>
      </c>
      <c r="I2412" s="55" t="str">
        <f>IFERROR(IF($G2412="","",VLOOKUP('Dashboard And Emails Automate'!$G2412,Database!$H:$N,3,0)),"")</f>
        <v/>
      </c>
      <c r="J2412" s="55" t="str">
        <f>IFERROR(IF($G2412="","",VLOOKUP('Dashboard And Emails Automate'!$G2412,Database!$H:$N,4,0)),"")</f>
        <v/>
      </c>
      <c r="K2412" s="55" t="str">
        <f>IFERROR(IF($G2412="","",VLOOKUP('Dashboard And Emails Automate'!$G2412,Database!$H:$N,5,0)),"")</f>
        <v/>
      </c>
      <c r="L2412" s="55" t="str">
        <f>IFERROR(IF($G2412="","",VLOOKUP('Dashboard And Emails Automate'!$G2412,Database!$H:$N,6,0)),"")</f>
        <v/>
      </c>
      <c r="M2412" s="55" t="str">
        <f>IFERROR(IF($G2412="","",VLOOKUP('Dashboard And Emails Automate'!$G2412,Database!$H:$N,7,0)),"")</f>
        <v/>
      </c>
      <c r="N2412" s="55" t="str">
        <f>IFERROR(IF(OR($B2412="",$B2412="(blank)"),"",VLOOKUP($B2412,'Email Marketing Raw Data'!$C:$O,6,0)),"")</f>
        <v/>
      </c>
      <c r="O2412" s="55" t="str">
        <f>IFERROR(IF(OR($B2412="",$B2412="(blank)"),"",VLOOKUP($B2412,'Email Marketing Raw Data'!$C:$O,7,0)),"")</f>
        <v/>
      </c>
      <c r="P2412" s="55" t="str">
        <f>IFERROR(IF(OR($B2412="",$B2412="(blank)"),"",VLOOKUP($B2412,'Email Marketing Raw Data'!$C:$O,8,0)),"")</f>
        <v/>
      </c>
      <c r="Q2412" s="62" t="str">
        <f>IFERROR(IF(OR($B2412="",$B2412="(blank)"),"",VLOOKUP($B2412,'Email Marketing Raw Data'!$C:$O,9,0)),"")</f>
        <v/>
      </c>
    </row>
    <row r="2413" spans="4:17" ht="12.75" customHeight="1" x14ac:dyDescent="0.2">
      <c r="D2413" s="58" t="str">
        <f>IFERROR(IF(F2413&lt;&gt;"pending","",IF(OR($B2413="",$B2413="(blank)"),"",VLOOKUP($B2413,'Email Marketing Raw Data'!$C:$O,10,0))),"")</f>
        <v/>
      </c>
      <c r="E2413" s="59" t="str">
        <f>IFERROR(IF(F2413&lt;&gt;"pending","",IF(OR($B2413="",$B2413="(blank)"),"",VLOOKUP($B2413,'Email Marketing Raw Data'!$C:$O,11,0))),"")</f>
        <v/>
      </c>
      <c r="F2413" s="54" t="str">
        <f>IFERROR(IF(OR($B2413="",$B2413="(blank)"),"",VLOOKUP($B2413,'Email Marketing Raw Data'!$C:$O,13,0)),"")</f>
        <v/>
      </c>
      <c r="G2413" s="55" t="str">
        <f>IFERROR(IF(OR($B2413="",$B2413="(blank)"),"",VLOOKUP($B2413,'Email Marketing Raw Data'!$C:$O,4,0)),"")</f>
        <v/>
      </c>
      <c r="H2413" s="55" t="str">
        <f>IFERROR(IF(OR($B2413="",$B2413="(blank)"),"",VLOOKUP($B2413,'Email Marketing Raw Data'!$C:$O,5,0)),"")</f>
        <v/>
      </c>
      <c r="I2413" s="55" t="str">
        <f>IFERROR(IF($G2413="","",VLOOKUP('Dashboard And Emails Automate'!$G2413,Database!$H:$N,3,0)),"")</f>
        <v/>
      </c>
      <c r="J2413" s="55" t="str">
        <f>IFERROR(IF($G2413="","",VLOOKUP('Dashboard And Emails Automate'!$G2413,Database!$H:$N,4,0)),"")</f>
        <v/>
      </c>
      <c r="K2413" s="55" t="str">
        <f>IFERROR(IF($G2413="","",VLOOKUP('Dashboard And Emails Automate'!$G2413,Database!$H:$N,5,0)),"")</f>
        <v/>
      </c>
      <c r="L2413" s="55" t="str">
        <f>IFERROR(IF($G2413="","",VLOOKUP('Dashboard And Emails Automate'!$G2413,Database!$H:$N,6,0)),"")</f>
        <v/>
      </c>
      <c r="M2413" s="55" t="str">
        <f>IFERROR(IF($G2413="","",VLOOKUP('Dashboard And Emails Automate'!$G2413,Database!$H:$N,7,0)),"")</f>
        <v/>
      </c>
      <c r="N2413" s="55" t="str">
        <f>IFERROR(IF(OR($B2413="",$B2413="(blank)"),"",VLOOKUP($B2413,'Email Marketing Raw Data'!$C:$O,6,0)),"")</f>
        <v/>
      </c>
      <c r="O2413" s="55" t="str">
        <f>IFERROR(IF(OR($B2413="",$B2413="(blank)"),"",VLOOKUP($B2413,'Email Marketing Raw Data'!$C:$O,7,0)),"")</f>
        <v/>
      </c>
      <c r="P2413" s="55" t="str">
        <f>IFERROR(IF(OR($B2413="",$B2413="(blank)"),"",VLOOKUP($B2413,'Email Marketing Raw Data'!$C:$O,8,0)),"")</f>
        <v/>
      </c>
      <c r="Q2413" s="62" t="str">
        <f>IFERROR(IF(OR($B2413="",$B2413="(blank)"),"",VLOOKUP($B2413,'Email Marketing Raw Data'!$C:$O,9,0)),"")</f>
        <v/>
      </c>
    </row>
    <row r="2414" spans="4:17" ht="12.75" customHeight="1" x14ac:dyDescent="0.2">
      <c r="D2414" s="58" t="str">
        <f>IFERROR(IF(F2414&lt;&gt;"pending","",IF(OR($B2414="",$B2414="(blank)"),"",VLOOKUP($B2414,'Email Marketing Raw Data'!$C:$O,10,0))),"")</f>
        <v/>
      </c>
      <c r="E2414" s="59" t="str">
        <f>IFERROR(IF(F2414&lt;&gt;"pending","",IF(OR($B2414="",$B2414="(blank)"),"",VLOOKUP($B2414,'Email Marketing Raw Data'!$C:$O,11,0))),"")</f>
        <v/>
      </c>
      <c r="F2414" s="54" t="str">
        <f>IFERROR(IF(OR($B2414="",$B2414="(blank)"),"",VLOOKUP($B2414,'Email Marketing Raw Data'!$C:$O,13,0)),"")</f>
        <v/>
      </c>
      <c r="G2414" s="55" t="str">
        <f>IFERROR(IF(OR($B2414="",$B2414="(blank)"),"",VLOOKUP($B2414,'Email Marketing Raw Data'!$C:$O,4,0)),"")</f>
        <v/>
      </c>
      <c r="H2414" s="55" t="str">
        <f>IFERROR(IF(OR($B2414="",$B2414="(blank)"),"",VLOOKUP($B2414,'Email Marketing Raw Data'!$C:$O,5,0)),"")</f>
        <v/>
      </c>
      <c r="I2414" s="55" t="str">
        <f>IFERROR(IF($G2414="","",VLOOKUP('Dashboard And Emails Automate'!$G2414,Database!$H:$N,3,0)),"")</f>
        <v/>
      </c>
      <c r="J2414" s="55" t="str">
        <f>IFERROR(IF($G2414="","",VLOOKUP('Dashboard And Emails Automate'!$G2414,Database!$H:$N,4,0)),"")</f>
        <v/>
      </c>
      <c r="K2414" s="55" t="str">
        <f>IFERROR(IF($G2414="","",VLOOKUP('Dashboard And Emails Automate'!$G2414,Database!$H:$N,5,0)),"")</f>
        <v/>
      </c>
      <c r="L2414" s="55" t="str">
        <f>IFERROR(IF($G2414="","",VLOOKUP('Dashboard And Emails Automate'!$G2414,Database!$H:$N,6,0)),"")</f>
        <v/>
      </c>
      <c r="M2414" s="55" t="str">
        <f>IFERROR(IF($G2414="","",VLOOKUP('Dashboard And Emails Automate'!$G2414,Database!$H:$N,7,0)),"")</f>
        <v/>
      </c>
      <c r="N2414" s="55" t="str">
        <f>IFERROR(IF(OR($B2414="",$B2414="(blank)"),"",VLOOKUP($B2414,'Email Marketing Raw Data'!$C:$O,6,0)),"")</f>
        <v/>
      </c>
      <c r="O2414" s="55" t="str">
        <f>IFERROR(IF(OR($B2414="",$B2414="(blank)"),"",VLOOKUP($B2414,'Email Marketing Raw Data'!$C:$O,7,0)),"")</f>
        <v/>
      </c>
      <c r="P2414" s="55" t="str">
        <f>IFERROR(IF(OR($B2414="",$B2414="(blank)"),"",VLOOKUP($B2414,'Email Marketing Raw Data'!$C:$O,8,0)),"")</f>
        <v/>
      </c>
      <c r="Q2414" s="62" t="str">
        <f>IFERROR(IF(OR($B2414="",$B2414="(blank)"),"",VLOOKUP($B2414,'Email Marketing Raw Data'!$C:$O,9,0)),"")</f>
        <v/>
      </c>
    </row>
    <row r="2415" spans="4:17" ht="12.75" customHeight="1" x14ac:dyDescent="0.2">
      <c r="D2415" s="58" t="str">
        <f>IFERROR(IF(F2415&lt;&gt;"pending","",IF(OR($B2415="",$B2415="(blank)"),"",VLOOKUP($B2415,'Email Marketing Raw Data'!$C:$O,10,0))),"")</f>
        <v/>
      </c>
      <c r="E2415" s="59" t="str">
        <f>IFERROR(IF(F2415&lt;&gt;"pending","",IF(OR($B2415="",$B2415="(blank)"),"",VLOOKUP($B2415,'Email Marketing Raw Data'!$C:$O,11,0))),"")</f>
        <v/>
      </c>
      <c r="F2415" s="54" t="str">
        <f>IFERROR(IF(OR($B2415="",$B2415="(blank)"),"",VLOOKUP($B2415,'Email Marketing Raw Data'!$C:$O,13,0)),"")</f>
        <v/>
      </c>
      <c r="G2415" s="55" t="str">
        <f>IFERROR(IF(OR($B2415="",$B2415="(blank)"),"",VLOOKUP($B2415,'Email Marketing Raw Data'!$C:$O,4,0)),"")</f>
        <v/>
      </c>
      <c r="H2415" s="55" t="str">
        <f>IFERROR(IF(OR($B2415="",$B2415="(blank)"),"",VLOOKUP($B2415,'Email Marketing Raw Data'!$C:$O,5,0)),"")</f>
        <v/>
      </c>
      <c r="I2415" s="55" t="str">
        <f>IFERROR(IF($G2415="","",VLOOKUP('Dashboard And Emails Automate'!$G2415,Database!$H:$N,3,0)),"")</f>
        <v/>
      </c>
      <c r="J2415" s="55" t="str">
        <f>IFERROR(IF($G2415="","",VLOOKUP('Dashboard And Emails Automate'!$G2415,Database!$H:$N,4,0)),"")</f>
        <v/>
      </c>
      <c r="K2415" s="55" t="str">
        <f>IFERROR(IF($G2415="","",VLOOKUP('Dashboard And Emails Automate'!$G2415,Database!$H:$N,5,0)),"")</f>
        <v/>
      </c>
      <c r="L2415" s="55" t="str">
        <f>IFERROR(IF($G2415="","",VLOOKUP('Dashboard And Emails Automate'!$G2415,Database!$H:$N,6,0)),"")</f>
        <v/>
      </c>
      <c r="M2415" s="55" t="str">
        <f>IFERROR(IF($G2415="","",VLOOKUP('Dashboard And Emails Automate'!$G2415,Database!$H:$N,7,0)),"")</f>
        <v/>
      </c>
      <c r="N2415" s="55" t="str">
        <f>IFERROR(IF(OR($B2415="",$B2415="(blank)"),"",VLOOKUP($B2415,'Email Marketing Raw Data'!$C:$O,6,0)),"")</f>
        <v/>
      </c>
      <c r="O2415" s="55" t="str">
        <f>IFERROR(IF(OR($B2415="",$B2415="(blank)"),"",VLOOKUP($B2415,'Email Marketing Raw Data'!$C:$O,7,0)),"")</f>
        <v/>
      </c>
      <c r="P2415" s="55" t="str">
        <f>IFERROR(IF(OR($B2415="",$B2415="(blank)"),"",VLOOKUP($B2415,'Email Marketing Raw Data'!$C:$O,8,0)),"")</f>
        <v/>
      </c>
      <c r="Q2415" s="62" t="str">
        <f>IFERROR(IF(OR($B2415="",$B2415="(blank)"),"",VLOOKUP($B2415,'Email Marketing Raw Data'!$C:$O,9,0)),"")</f>
        <v/>
      </c>
    </row>
    <row r="2416" spans="4:17" ht="12.75" customHeight="1" x14ac:dyDescent="0.2">
      <c r="D2416" s="58" t="str">
        <f>IFERROR(IF(F2416&lt;&gt;"pending","",IF(OR($B2416="",$B2416="(blank)"),"",VLOOKUP($B2416,'Email Marketing Raw Data'!$C:$O,10,0))),"")</f>
        <v/>
      </c>
      <c r="E2416" s="59" t="str">
        <f>IFERROR(IF(F2416&lt;&gt;"pending","",IF(OR($B2416="",$B2416="(blank)"),"",VLOOKUP($B2416,'Email Marketing Raw Data'!$C:$O,11,0))),"")</f>
        <v/>
      </c>
      <c r="F2416" s="54" t="str">
        <f>IFERROR(IF(OR($B2416="",$B2416="(blank)"),"",VLOOKUP($B2416,'Email Marketing Raw Data'!$C:$O,13,0)),"")</f>
        <v/>
      </c>
      <c r="G2416" s="55" t="str">
        <f>IFERROR(IF(OR($B2416="",$B2416="(blank)"),"",VLOOKUP($B2416,'Email Marketing Raw Data'!$C:$O,4,0)),"")</f>
        <v/>
      </c>
      <c r="H2416" s="55" t="str">
        <f>IFERROR(IF(OR($B2416="",$B2416="(blank)"),"",VLOOKUP($B2416,'Email Marketing Raw Data'!$C:$O,5,0)),"")</f>
        <v/>
      </c>
      <c r="I2416" s="55" t="str">
        <f>IFERROR(IF($G2416="","",VLOOKUP('Dashboard And Emails Automate'!$G2416,Database!$H:$N,3,0)),"")</f>
        <v/>
      </c>
      <c r="J2416" s="55" t="str">
        <f>IFERROR(IF($G2416="","",VLOOKUP('Dashboard And Emails Automate'!$G2416,Database!$H:$N,4,0)),"")</f>
        <v/>
      </c>
      <c r="K2416" s="55" t="str">
        <f>IFERROR(IF($G2416="","",VLOOKUP('Dashboard And Emails Automate'!$G2416,Database!$H:$N,5,0)),"")</f>
        <v/>
      </c>
      <c r="L2416" s="55" t="str">
        <f>IFERROR(IF($G2416="","",VLOOKUP('Dashboard And Emails Automate'!$G2416,Database!$H:$N,6,0)),"")</f>
        <v/>
      </c>
      <c r="M2416" s="55" t="str">
        <f>IFERROR(IF($G2416="","",VLOOKUP('Dashboard And Emails Automate'!$G2416,Database!$H:$N,7,0)),"")</f>
        <v/>
      </c>
      <c r="N2416" s="55" t="str">
        <f>IFERROR(IF(OR($B2416="",$B2416="(blank)"),"",VLOOKUP($B2416,'Email Marketing Raw Data'!$C:$O,6,0)),"")</f>
        <v/>
      </c>
      <c r="O2416" s="55" t="str">
        <f>IFERROR(IF(OR($B2416="",$B2416="(blank)"),"",VLOOKUP($B2416,'Email Marketing Raw Data'!$C:$O,7,0)),"")</f>
        <v/>
      </c>
      <c r="P2416" s="55" t="str">
        <f>IFERROR(IF(OR($B2416="",$B2416="(blank)"),"",VLOOKUP($B2416,'Email Marketing Raw Data'!$C:$O,8,0)),"")</f>
        <v/>
      </c>
      <c r="Q2416" s="62" t="str">
        <f>IFERROR(IF(OR($B2416="",$B2416="(blank)"),"",VLOOKUP($B2416,'Email Marketing Raw Data'!$C:$O,9,0)),"")</f>
        <v/>
      </c>
    </row>
    <row r="2417" spans="4:17" ht="12.75" customHeight="1" x14ac:dyDescent="0.2">
      <c r="D2417" s="58" t="str">
        <f>IFERROR(IF(F2417&lt;&gt;"pending","",IF(OR($B2417="",$B2417="(blank)"),"",VLOOKUP($B2417,'Email Marketing Raw Data'!$C:$O,10,0))),"")</f>
        <v/>
      </c>
      <c r="E2417" s="59" t="str">
        <f>IFERROR(IF(F2417&lt;&gt;"pending","",IF(OR($B2417="",$B2417="(blank)"),"",VLOOKUP($B2417,'Email Marketing Raw Data'!$C:$O,11,0))),"")</f>
        <v/>
      </c>
      <c r="F2417" s="54" t="str">
        <f>IFERROR(IF(OR($B2417="",$B2417="(blank)"),"",VLOOKUP($B2417,'Email Marketing Raw Data'!$C:$O,13,0)),"")</f>
        <v/>
      </c>
      <c r="G2417" s="55" t="str">
        <f>IFERROR(IF(OR($B2417="",$B2417="(blank)"),"",VLOOKUP($B2417,'Email Marketing Raw Data'!$C:$O,4,0)),"")</f>
        <v/>
      </c>
      <c r="H2417" s="55" t="str">
        <f>IFERROR(IF(OR($B2417="",$B2417="(blank)"),"",VLOOKUP($B2417,'Email Marketing Raw Data'!$C:$O,5,0)),"")</f>
        <v/>
      </c>
      <c r="I2417" s="55" t="str">
        <f>IFERROR(IF($G2417="","",VLOOKUP('Dashboard And Emails Automate'!$G2417,Database!$H:$N,3,0)),"")</f>
        <v/>
      </c>
      <c r="J2417" s="55" t="str">
        <f>IFERROR(IF($G2417="","",VLOOKUP('Dashboard And Emails Automate'!$G2417,Database!$H:$N,4,0)),"")</f>
        <v/>
      </c>
      <c r="K2417" s="55" t="str">
        <f>IFERROR(IF($G2417="","",VLOOKUP('Dashboard And Emails Automate'!$G2417,Database!$H:$N,5,0)),"")</f>
        <v/>
      </c>
      <c r="L2417" s="55" t="str">
        <f>IFERROR(IF($G2417="","",VLOOKUP('Dashboard And Emails Automate'!$G2417,Database!$H:$N,6,0)),"")</f>
        <v/>
      </c>
      <c r="M2417" s="55" t="str">
        <f>IFERROR(IF($G2417="","",VLOOKUP('Dashboard And Emails Automate'!$G2417,Database!$H:$N,7,0)),"")</f>
        <v/>
      </c>
      <c r="N2417" s="55" t="str">
        <f>IFERROR(IF(OR($B2417="",$B2417="(blank)"),"",VLOOKUP($B2417,'Email Marketing Raw Data'!$C:$O,6,0)),"")</f>
        <v/>
      </c>
      <c r="O2417" s="55" t="str">
        <f>IFERROR(IF(OR($B2417="",$B2417="(blank)"),"",VLOOKUP($B2417,'Email Marketing Raw Data'!$C:$O,7,0)),"")</f>
        <v/>
      </c>
      <c r="P2417" s="55" t="str">
        <f>IFERROR(IF(OR($B2417="",$B2417="(blank)"),"",VLOOKUP($B2417,'Email Marketing Raw Data'!$C:$O,8,0)),"")</f>
        <v/>
      </c>
      <c r="Q2417" s="62" t="str">
        <f>IFERROR(IF(OR($B2417="",$B2417="(blank)"),"",VLOOKUP($B2417,'Email Marketing Raw Data'!$C:$O,9,0)),"")</f>
        <v/>
      </c>
    </row>
    <row r="2418" spans="4:17" ht="12.75" customHeight="1" x14ac:dyDescent="0.2">
      <c r="D2418" s="58" t="str">
        <f>IFERROR(IF(F2418&lt;&gt;"pending","",IF(OR($B2418="",$B2418="(blank)"),"",VLOOKUP($B2418,'Email Marketing Raw Data'!$C:$O,10,0))),"")</f>
        <v/>
      </c>
      <c r="E2418" s="59" t="str">
        <f>IFERROR(IF(F2418&lt;&gt;"pending","",IF(OR($B2418="",$B2418="(blank)"),"",VLOOKUP($B2418,'Email Marketing Raw Data'!$C:$O,11,0))),"")</f>
        <v/>
      </c>
      <c r="F2418" s="54" t="str">
        <f>IFERROR(IF(OR($B2418="",$B2418="(blank)"),"",VLOOKUP($B2418,'Email Marketing Raw Data'!$C:$O,13,0)),"")</f>
        <v/>
      </c>
      <c r="G2418" s="55" t="str">
        <f>IFERROR(IF(OR($B2418="",$B2418="(blank)"),"",VLOOKUP($B2418,'Email Marketing Raw Data'!$C:$O,4,0)),"")</f>
        <v/>
      </c>
      <c r="H2418" s="55" t="str">
        <f>IFERROR(IF(OR($B2418="",$B2418="(blank)"),"",VLOOKUP($B2418,'Email Marketing Raw Data'!$C:$O,5,0)),"")</f>
        <v/>
      </c>
      <c r="I2418" s="55" t="str">
        <f>IFERROR(IF($G2418="","",VLOOKUP('Dashboard And Emails Automate'!$G2418,Database!$H:$N,3,0)),"")</f>
        <v/>
      </c>
      <c r="J2418" s="55" t="str">
        <f>IFERROR(IF($G2418="","",VLOOKUP('Dashboard And Emails Automate'!$G2418,Database!$H:$N,4,0)),"")</f>
        <v/>
      </c>
      <c r="K2418" s="55" t="str">
        <f>IFERROR(IF($G2418="","",VLOOKUP('Dashboard And Emails Automate'!$G2418,Database!$H:$N,5,0)),"")</f>
        <v/>
      </c>
      <c r="L2418" s="55" t="str">
        <f>IFERROR(IF($G2418="","",VLOOKUP('Dashboard And Emails Automate'!$G2418,Database!$H:$N,6,0)),"")</f>
        <v/>
      </c>
      <c r="M2418" s="55" t="str">
        <f>IFERROR(IF($G2418="","",VLOOKUP('Dashboard And Emails Automate'!$G2418,Database!$H:$N,7,0)),"")</f>
        <v/>
      </c>
      <c r="N2418" s="55" t="str">
        <f>IFERROR(IF(OR($B2418="",$B2418="(blank)"),"",VLOOKUP($B2418,'Email Marketing Raw Data'!$C:$O,6,0)),"")</f>
        <v/>
      </c>
      <c r="O2418" s="55" t="str">
        <f>IFERROR(IF(OR($B2418="",$B2418="(blank)"),"",VLOOKUP($B2418,'Email Marketing Raw Data'!$C:$O,7,0)),"")</f>
        <v/>
      </c>
      <c r="P2418" s="55" t="str">
        <f>IFERROR(IF(OR($B2418="",$B2418="(blank)"),"",VLOOKUP($B2418,'Email Marketing Raw Data'!$C:$O,8,0)),"")</f>
        <v/>
      </c>
      <c r="Q2418" s="62" t="str">
        <f>IFERROR(IF(OR($B2418="",$B2418="(blank)"),"",VLOOKUP($B2418,'Email Marketing Raw Data'!$C:$O,9,0)),"")</f>
        <v/>
      </c>
    </row>
    <row r="2419" spans="4:17" ht="12.75" customHeight="1" x14ac:dyDescent="0.2">
      <c r="D2419" s="58" t="str">
        <f>IFERROR(IF(F2419&lt;&gt;"pending","",IF(OR($B2419="",$B2419="(blank)"),"",VLOOKUP($B2419,'Email Marketing Raw Data'!$C:$O,10,0))),"")</f>
        <v/>
      </c>
      <c r="E2419" s="59" t="str">
        <f>IFERROR(IF(F2419&lt;&gt;"pending","",IF(OR($B2419="",$B2419="(blank)"),"",VLOOKUP($B2419,'Email Marketing Raw Data'!$C:$O,11,0))),"")</f>
        <v/>
      </c>
      <c r="F2419" s="54" t="str">
        <f>IFERROR(IF(OR($B2419="",$B2419="(blank)"),"",VLOOKUP($B2419,'Email Marketing Raw Data'!$C:$O,13,0)),"")</f>
        <v/>
      </c>
      <c r="G2419" s="55" t="str">
        <f>IFERROR(IF(OR($B2419="",$B2419="(blank)"),"",VLOOKUP($B2419,'Email Marketing Raw Data'!$C:$O,4,0)),"")</f>
        <v/>
      </c>
      <c r="H2419" s="55" t="str">
        <f>IFERROR(IF(OR($B2419="",$B2419="(blank)"),"",VLOOKUP($B2419,'Email Marketing Raw Data'!$C:$O,5,0)),"")</f>
        <v/>
      </c>
      <c r="I2419" s="55" t="str">
        <f>IFERROR(IF($G2419="","",VLOOKUP('Dashboard And Emails Automate'!$G2419,Database!$H:$N,3,0)),"")</f>
        <v/>
      </c>
      <c r="J2419" s="55" t="str">
        <f>IFERROR(IF($G2419="","",VLOOKUP('Dashboard And Emails Automate'!$G2419,Database!$H:$N,4,0)),"")</f>
        <v/>
      </c>
      <c r="K2419" s="55" t="str">
        <f>IFERROR(IF($G2419="","",VLOOKUP('Dashboard And Emails Automate'!$G2419,Database!$H:$N,5,0)),"")</f>
        <v/>
      </c>
      <c r="L2419" s="55" t="str">
        <f>IFERROR(IF($G2419="","",VLOOKUP('Dashboard And Emails Automate'!$G2419,Database!$H:$N,6,0)),"")</f>
        <v/>
      </c>
      <c r="M2419" s="55" t="str">
        <f>IFERROR(IF($G2419="","",VLOOKUP('Dashboard And Emails Automate'!$G2419,Database!$H:$N,7,0)),"")</f>
        <v/>
      </c>
      <c r="N2419" s="55" t="str">
        <f>IFERROR(IF(OR($B2419="",$B2419="(blank)"),"",VLOOKUP($B2419,'Email Marketing Raw Data'!$C:$O,6,0)),"")</f>
        <v/>
      </c>
      <c r="O2419" s="55" t="str">
        <f>IFERROR(IF(OR($B2419="",$B2419="(blank)"),"",VLOOKUP($B2419,'Email Marketing Raw Data'!$C:$O,7,0)),"")</f>
        <v/>
      </c>
      <c r="P2419" s="55" t="str">
        <f>IFERROR(IF(OR($B2419="",$B2419="(blank)"),"",VLOOKUP($B2419,'Email Marketing Raw Data'!$C:$O,8,0)),"")</f>
        <v/>
      </c>
      <c r="Q2419" s="62" t="str">
        <f>IFERROR(IF(OR($B2419="",$B2419="(blank)"),"",VLOOKUP($B2419,'Email Marketing Raw Data'!$C:$O,9,0)),"")</f>
        <v/>
      </c>
    </row>
    <row r="2420" spans="4:17" ht="12.75" customHeight="1" x14ac:dyDescent="0.2">
      <c r="D2420" s="58" t="str">
        <f>IFERROR(IF(F2420&lt;&gt;"pending","",IF(OR($B2420="",$B2420="(blank)"),"",VLOOKUP($B2420,'Email Marketing Raw Data'!$C:$O,10,0))),"")</f>
        <v/>
      </c>
      <c r="E2420" s="59" t="str">
        <f>IFERROR(IF(F2420&lt;&gt;"pending","",IF(OR($B2420="",$B2420="(blank)"),"",VLOOKUP($B2420,'Email Marketing Raw Data'!$C:$O,11,0))),"")</f>
        <v/>
      </c>
      <c r="F2420" s="54" t="str">
        <f>IFERROR(IF(OR($B2420="",$B2420="(blank)"),"",VLOOKUP($B2420,'Email Marketing Raw Data'!$C:$O,13,0)),"")</f>
        <v/>
      </c>
      <c r="G2420" s="55" t="str">
        <f>IFERROR(IF(OR($B2420="",$B2420="(blank)"),"",VLOOKUP($B2420,'Email Marketing Raw Data'!$C:$O,4,0)),"")</f>
        <v/>
      </c>
      <c r="H2420" s="55" t="str">
        <f>IFERROR(IF(OR($B2420="",$B2420="(blank)"),"",VLOOKUP($B2420,'Email Marketing Raw Data'!$C:$O,5,0)),"")</f>
        <v/>
      </c>
      <c r="I2420" s="55" t="str">
        <f>IFERROR(IF($G2420="","",VLOOKUP('Dashboard And Emails Automate'!$G2420,Database!$H:$N,3,0)),"")</f>
        <v/>
      </c>
      <c r="J2420" s="55" t="str">
        <f>IFERROR(IF($G2420="","",VLOOKUP('Dashboard And Emails Automate'!$G2420,Database!$H:$N,4,0)),"")</f>
        <v/>
      </c>
      <c r="K2420" s="55" t="str">
        <f>IFERROR(IF($G2420="","",VLOOKUP('Dashboard And Emails Automate'!$G2420,Database!$H:$N,5,0)),"")</f>
        <v/>
      </c>
      <c r="L2420" s="55" t="str">
        <f>IFERROR(IF($G2420="","",VLOOKUP('Dashboard And Emails Automate'!$G2420,Database!$H:$N,6,0)),"")</f>
        <v/>
      </c>
      <c r="M2420" s="55" t="str">
        <f>IFERROR(IF($G2420="","",VLOOKUP('Dashboard And Emails Automate'!$G2420,Database!$H:$N,7,0)),"")</f>
        <v/>
      </c>
      <c r="N2420" s="55" t="str">
        <f>IFERROR(IF(OR($B2420="",$B2420="(blank)"),"",VLOOKUP($B2420,'Email Marketing Raw Data'!$C:$O,6,0)),"")</f>
        <v/>
      </c>
      <c r="O2420" s="55" t="str">
        <f>IFERROR(IF(OR($B2420="",$B2420="(blank)"),"",VLOOKUP($B2420,'Email Marketing Raw Data'!$C:$O,7,0)),"")</f>
        <v/>
      </c>
      <c r="P2420" s="55" t="str">
        <f>IFERROR(IF(OR($B2420="",$B2420="(blank)"),"",VLOOKUP($B2420,'Email Marketing Raw Data'!$C:$O,8,0)),"")</f>
        <v/>
      </c>
      <c r="Q2420" s="62" t="str">
        <f>IFERROR(IF(OR($B2420="",$B2420="(blank)"),"",VLOOKUP($B2420,'Email Marketing Raw Data'!$C:$O,9,0)),"")</f>
        <v/>
      </c>
    </row>
    <row r="2421" spans="4:17" ht="12.75" customHeight="1" x14ac:dyDescent="0.2">
      <c r="D2421" s="58" t="str">
        <f>IFERROR(IF(F2421&lt;&gt;"pending","",IF(OR($B2421="",$B2421="(blank)"),"",VLOOKUP($B2421,'Email Marketing Raw Data'!$C:$O,10,0))),"")</f>
        <v/>
      </c>
      <c r="E2421" s="59" t="str">
        <f>IFERROR(IF(F2421&lt;&gt;"pending","",IF(OR($B2421="",$B2421="(blank)"),"",VLOOKUP($B2421,'Email Marketing Raw Data'!$C:$O,11,0))),"")</f>
        <v/>
      </c>
      <c r="F2421" s="54" t="str">
        <f>IFERROR(IF(OR($B2421="",$B2421="(blank)"),"",VLOOKUP($B2421,'Email Marketing Raw Data'!$C:$O,13,0)),"")</f>
        <v/>
      </c>
      <c r="G2421" s="55" t="str">
        <f>IFERROR(IF(OR($B2421="",$B2421="(blank)"),"",VLOOKUP($B2421,'Email Marketing Raw Data'!$C:$O,4,0)),"")</f>
        <v/>
      </c>
      <c r="H2421" s="55" t="str">
        <f>IFERROR(IF(OR($B2421="",$B2421="(blank)"),"",VLOOKUP($B2421,'Email Marketing Raw Data'!$C:$O,5,0)),"")</f>
        <v/>
      </c>
      <c r="I2421" s="55" t="str">
        <f>IFERROR(IF($G2421="","",VLOOKUP('Dashboard And Emails Automate'!$G2421,Database!$H:$N,3,0)),"")</f>
        <v/>
      </c>
      <c r="J2421" s="55" t="str">
        <f>IFERROR(IF($G2421="","",VLOOKUP('Dashboard And Emails Automate'!$G2421,Database!$H:$N,4,0)),"")</f>
        <v/>
      </c>
      <c r="K2421" s="55" t="str">
        <f>IFERROR(IF($G2421="","",VLOOKUP('Dashboard And Emails Automate'!$G2421,Database!$H:$N,5,0)),"")</f>
        <v/>
      </c>
      <c r="L2421" s="55" t="str">
        <f>IFERROR(IF($G2421="","",VLOOKUP('Dashboard And Emails Automate'!$G2421,Database!$H:$N,6,0)),"")</f>
        <v/>
      </c>
      <c r="M2421" s="55" t="str">
        <f>IFERROR(IF($G2421="","",VLOOKUP('Dashboard And Emails Automate'!$G2421,Database!$H:$N,7,0)),"")</f>
        <v/>
      </c>
      <c r="N2421" s="55" t="str">
        <f>IFERROR(IF(OR($B2421="",$B2421="(blank)"),"",VLOOKUP($B2421,'Email Marketing Raw Data'!$C:$O,6,0)),"")</f>
        <v/>
      </c>
      <c r="O2421" s="55" t="str">
        <f>IFERROR(IF(OR($B2421="",$B2421="(blank)"),"",VLOOKUP($B2421,'Email Marketing Raw Data'!$C:$O,7,0)),"")</f>
        <v/>
      </c>
      <c r="P2421" s="55" t="str">
        <f>IFERROR(IF(OR($B2421="",$B2421="(blank)"),"",VLOOKUP($B2421,'Email Marketing Raw Data'!$C:$O,8,0)),"")</f>
        <v/>
      </c>
      <c r="Q2421" s="62" t="str">
        <f>IFERROR(IF(OR($B2421="",$B2421="(blank)"),"",VLOOKUP($B2421,'Email Marketing Raw Data'!$C:$O,9,0)),"")</f>
        <v/>
      </c>
    </row>
    <row r="2422" spans="4:17" ht="12.75" customHeight="1" x14ac:dyDescent="0.2">
      <c r="D2422" s="58" t="str">
        <f>IFERROR(IF(F2422&lt;&gt;"pending","",IF(OR($B2422="",$B2422="(blank)"),"",VLOOKUP($B2422,'Email Marketing Raw Data'!$C:$O,10,0))),"")</f>
        <v/>
      </c>
      <c r="E2422" s="59" t="str">
        <f>IFERROR(IF(F2422&lt;&gt;"pending","",IF(OR($B2422="",$B2422="(blank)"),"",VLOOKUP($B2422,'Email Marketing Raw Data'!$C:$O,11,0))),"")</f>
        <v/>
      </c>
      <c r="F2422" s="54" t="str">
        <f>IFERROR(IF(OR($B2422="",$B2422="(blank)"),"",VLOOKUP($B2422,'Email Marketing Raw Data'!$C:$O,13,0)),"")</f>
        <v/>
      </c>
      <c r="G2422" s="55" t="str">
        <f>IFERROR(IF(OR($B2422="",$B2422="(blank)"),"",VLOOKUP($B2422,'Email Marketing Raw Data'!$C:$O,4,0)),"")</f>
        <v/>
      </c>
      <c r="H2422" s="55" t="str">
        <f>IFERROR(IF(OR($B2422="",$B2422="(blank)"),"",VLOOKUP($B2422,'Email Marketing Raw Data'!$C:$O,5,0)),"")</f>
        <v/>
      </c>
      <c r="I2422" s="55" t="str">
        <f>IFERROR(IF($G2422="","",VLOOKUP('Dashboard And Emails Automate'!$G2422,Database!$H:$N,3,0)),"")</f>
        <v/>
      </c>
      <c r="J2422" s="55" t="str">
        <f>IFERROR(IF($G2422="","",VLOOKUP('Dashboard And Emails Automate'!$G2422,Database!$H:$N,4,0)),"")</f>
        <v/>
      </c>
      <c r="K2422" s="55" t="str">
        <f>IFERROR(IF($G2422="","",VLOOKUP('Dashboard And Emails Automate'!$G2422,Database!$H:$N,5,0)),"")</f>
        <v/>
      </c>
      <c r="L2422" s="55" t="str">
        <f>IFERROR(IF($G2422="","",VLOOKUP('Dashboard And Emails Automate'!$G2422,Database!$H:$N,6,0)),"")</f>
        <v/>
      </c>
      <c r="M2422" s="55" t="str">
        <f>IFERROR(IF($G2422="","",VLOOKUP('Dashboard And Emails Automate'!$G2422,Database!$H:$N,7,0)),"")</f>
        <v/>
      </c>
      <c r="N2422" s="55" t="str">
        <f>IFERROR(IF(OR($B2422="",$B2422="(blank)"),"",VLOOKUP($B2422,'Email Marketing Raw Data'!$C:$O,6,0)),"")</f>
        <v/>
      </c>
      <c r="O2422" s="55" t="str">
        <f>IFERROR(IF(OR($B2422="",$B2422="(blank)"),"",VLOOKUP($B2422,'Email Marketing Raw Data'!$C:$O,7,0)),"")</f>
        <v/>
      </c>
      <c r="P2422" s="55" t="str">
        <f>IFERROR(IF(OR($B2422="",$B2422="(blank)"),"",VLOOKUP($B2422,'Email Marketing Raw Data'!$C:$O,8,0)),"")</f>
        <v/>
      </c>
      <c r="Q2422" s="62" t="str">
        <f>IFERROR(IF(OR($B2422="",$B2422="(blank)"),"",VLOOKUP($B2422,'Email Marketing Raw Data'!$C:$O,9,0)),"")</f>
        <v/>
      </c>
    </row>
    <row r="2423" spans="4:17" ht="12.75" customHeight="1" x14ac:dyDescent="0.2">
      <c r="D2423" s="58" t="str">
        <f>IFERROR(IF(F2423&lt;&gt;"pending","",IF(OR($B2423="",$B2423="(blank)"),"",VLOOKUP($B2423,'Email Marketing Raw Data'!$C:$O,10,0))),"")</f>
        <v/>
      </c>
      <c r="E2423" s="59" t="str">
        <f>IFERROR(IF(F2423&lt;&gt;"pending","",IF(OR($B2423="",$B2423="(blank)"),"",VLOOKUP($B2423,'Email Marketing Raw Data'!$C:$O,11,0))),"")</f>
        <v/>
      </c>
      <c r="F2423" s="54" t="str">
        <f>IFERROR(IF(OR($B2423="",$B2423="(blank)"),"",VLOOKUP($B2423,'Email Marketing Raw Data'!$C:$O,13,0)),"")</f>
        <v/>
      </c>
      <c r="G2423" s="55" t="str">
        <f>IFERROR(IF(OR($B2423="",$B2423="(blank)"),"",VLOOKUP($B2423,'Email Marketing Raw Data'!$C:$O,4,0)),"")</f>
        <v/>
      </c>
      <c r="H2423" s="55" t="str">
        <f>IFERROR(IF(OR($B2423="",$B2423="(blank)"),"",VLOOKUP($B2423,'Email Marketing Raw Data'!$C:$O,5,0)),"")</f>
        <v/>
      </c>
      <c r="I2423" s="55" t="str">
        <f>IFERROR(IF($G2423="","",VLOOKUP('Dashboard And Emails Automate'!$G2423,Database!$H:$N,3,0)),"")</f>
        <v/>
      </c>
      <c r="J2423" s="55" t="str">
        <f>IFERROR(IF($G2423="","",VLOOKUP('Dashboard And Emails Automate'!$G2423,Database!$H:$N,4,0)),"")</f>
        <v/>
      </c>
      <c r="K2423" s="55" t="str">
        <f>IFERROR(IF($G2423="","",VLOOKUP('Dashboard And Emails Automate'!$G2423,Database!$H:$N,5,0)),"")</f>
        <v/>
      </c>
      <c r="L2423" s="55" t="str">
        <f>IFERROR(IF($G2423="","",VLOOKUP('Dashboard And Emails Automate'!$G2423,Database!$H:$N,6,0)),"")</f>
        <v/>
      </c>
      <c r="M2423" s="55" t="str">
        <f>IFERROR(IF($G2423="","",VLOOKUP('Dashboard And Emails Automate'!$G2423,Database!$H:$N,7,0)),"")</f>
        <v/>
      </c>
      <c r="N2423" s="55" t="str">
        <f>IFERROR(IF(OR($B2423="",$B2423="(blank)"),"",VLOOKUP($B2423,'Email Marketing Raw Data'!$C:$O,6,0)),"")</f>
        <v/>
      </c>
      <c r="O2423" s="55" t="str">
        <f>IFERROR(IF(OR($B2423="",$B2423="(blank)"),"",VLOOKUP($B2423,'Email Marketing Raw Data'!$C:$O,7,0)),"")</f>
        <v/>
      </c>
      <c r="P2423" s="55" t="str">
        <f>IFERROR(IF(OR($B2423="",$B2423="(blank)"),"",VLOOKUP($B2423,'Email Marketing Raw Data'!$C:$O,8,0)),"")</f>
        <v/>
      </c>
      <c r="Q2423" s="62" t="str">
        <f>IFERROR(IF(OR($B2423="",$B2423="(blank)"),"",VLOOKUP($B2423,'Email Marketing Raw Data'!$C:$O,9,0)),"")</f>
        <v/>
      </c>
    </row>
    <row r="2424" spans="4:17" ht="12.75" customHeight="1" x14ac:dyDescent="0.2">
      <c r="D2424" s="58" t="str">
        <f>IFERROR(IF(F2424&lt;&gt;"pending","",IF(OR($B2424="",$B2424="(blank)"),"",VLOOKUP($B2424,'Email Marketing Raw Data'!$C:$O,10,0))),"")</f>
        <v/>
      </c>
      <c r="E2424" s="59" t="str">
        <f>IFERROR(IF(F2424&lt;&gt;"pending","",IF(OR($B2424="",$B2424="(blank)"),"",VLOOKUP($B2424,'Email Marketing Raw Data'!$C:$O,11,0))),"")</f>
        <v/>
      </c>
      <c r="F2424" s="54" t="str">
        <f>IFERROR(IF(OR($B2424="",$B2424="(blank)"),"",VLOOKUP($B2424,'Email Marketing Raw Data'!$C:$O,13,0)),"")</f>
        <v/>
      </c>
      <c r="G2424" s="55" t="str">
        <f>IFERROR(IF(OR($B2424="",$B2424="(blank)"),"",VLOOKUP($B2424,'Email Marketing Raw Data'!$C:$O,4,0)),"")</f>
        <v/>
      </c>
      <c r="H2424" s="55" t="str">
        <f>IFERROR(IF(OR($B2424="",$B2424="(blank)"),"",VLOOKUP($B2424,'Email Marketing Raw Data'!$C:$O,5,0)),"")</f>
        <v/>
      </c>
      <c r="I2424" s="55" t="str">
        <f>IFERROR(IF($G2424="","",VLOOKUP('Dashboard And Emails Automate'!$G2424,Database!$H:$N,3,0)),"")</f>
        <v/>
      </c>
      <c r="J2424" s="55" t="str">
        <f>IFERROR(IF($G2424="","",VLOOKUP('Dashboard And Emails Automate'!$G2424,Database!$H:$N,4,0)),"")</f>
        <v/>
      </c>
      <c r="K2424" s="55" t="str">
        <f>IFERROR(IF($G2424="","",VLOOKUP('Dashboard And Emails Automate'!$G2424,Database!$H:$N,5,0)),"")</f>
        <v/>
      </c>
      <c r="L2424" s="55" t="str">
        <f>IFERROR(IF($G2424="","",VLOOKUP('Dashboard And Emails Automate'!$G2424,Database!$H:$N,6,0)),"")</f>
        <v/>
      </c>
      <c r="M2424" s="55" t="str">
        <f>IFERROR(IF($G2424="","",VLOOKUP('Dashboard And Emails Automate'!$G2424,Database!$H:$N,7,0)),"")</f>
        <v/>
      </c>
      <c r="N2424" s="55" t="str">
        <f>IFERROR(IF(OR($B2424="",$B2424="(blank)"),"",VLOOKUP($B2424,'Email Marketing Raw Data'!$C:$O,6,0)),"")</f>
        <v/>
      </c>
      <c r="O2424" s="55" t="str">
        <f>IFERROR(IF(OR($B2424="",$B2424="(blank)"),"",VLOOKUP($B2424,'Email Marketing Raw Data'!$C:$O,7,0)),"")</f>
        <v/>
      </c>
      <c r="P2424" s="55" t="str">
        <f>IFERROR(IF(OR($B2424="",$B2424="(blank)"),"",VLOOKUP($B2424,'Email Marketing Raw Data'!$C:$O,8,0)),"")</f>
        <v/>
      </c>
      <c r="Q2424" s="62" t="str">
        <f>IFERROR(IF(OR($B2424="",$B2424="(blank)"),"",VLOOKUP($B2424,'Email Marketing Raw Data'!$C:$O,9,0)),"")</f>
        <v/>
      </c>
    </row>
    <row r="2425" spans="4:17" ht="12.75" customHeight="1" x14ac:dyDescent="0.2">
      <c r="D2425" s="58" t="str">
        <f>IFERROR(IF(F2425&lt;&gt;"pending","",IF(OR($B2425="",$B2425="(blank)"),"",VLOOKUP($B2425,'Email Marketing Raw Data'!$C:$O,10,0))),"")</f>
        <v/>
      </c>
      <c r="E2425" s="59" t="str">
        <f>IFERROR(IF(F2425&lt;&gt;"pending","",IF(OR($B2425="",$B2425="(blank)"),"",VLOOKUP($B2425,'Email Marketing Raw Data'!$C:$O,11,0))),"")</f>
        <v/>
      </c>
      <c r="F2425" s="54" t="str">
        <f>IFERROR(IF(OR($B2425="",$B2425="(blank)"),"",VLOOKUP($B2425,'Email Marketing Raw Data'!$C:$O,13,0)),"")</f>
        <v/>
      </c>
      <c r="G2425" s="55" t="str">
        <f>IFERROR(IF(OR($B2425="",$B2425="(blank)"),"",VLOOKUP($B2425,'Email Marketing Raw Data'!$C:$O,4,0)),"")</f>
        <v/>
      </c>
      <c r="H2425" s="55" t="str">
        <f>IFERROR(IF(OR($B2425="",$B2425="(blank)"),"",VLOOKUP($B2425,'Email Marketing Raw Data'!$C:$O,5,0)),"")</f>
        <v/>
      </c>
      <c r="I2425" s="55" t="str">
        <f>IFERROR(IF($G2425="","",VLOOKUP('Dashboard And Emails Automate'!$G2425,Database!$H:$N,3,0)),"")</f>
        <v/>
      </c>
      <c r="J2425" s="55" t="str">
        <f>IFERROR(IF($G2425="","",VLOOKUP('Dashboard And Emails Automate'!$G2425,Database!$H:$N,4,0)),"")</f>
        <v/>
      </c>
      <c r="K2425" s="55" t="str">
        <f>IFERROR(IF($G2425="","",VLOOKUP('Dashboard And Emails Automate'!$G2425,Database!$H:$N,5,0)),"")</f>
        <v/>
      </c>
      <c r="L2425" s="55" t="str">
        <f>IFERROR(IF($G2425="","",VLOOKUP('Dashboard And Emails Automate'!$G2425,Database!$H:$N,6,0)),"")</f>
        <v/>
      </c>
      <c r="M2425" s="55" t="str">
        <f>IFERROR(IF($G2425="","",VLOOKUP('Dashboard And Emails Automate'!$G2425,Database!$H:$N,7,0)),"")</f>
        <v/>
      </c>
      <c r="N2425" s="55" t="str">
        <f>IFERROR(IF(OR($B2425="",$B2425="(blank)"),"",VLOOKUP($B2425,'Email Marketing Raw Data'!$C:$O,6,0)),"")</f>
        <v/>
      </c>
      <c r="O2425" s="55" t="str">
        <f>IFERROR(IF(OR($B2425="",$B2425="(blank)"),"",VLOOKUP($B2425,'Email Marketing Raw Data'!$C:$O,7,0)),"")</f>
        <v/>
      </c>
      <c r="P2425" s="55" t="str">
        <f>IFERROR(IF(OR($B2425="",$B2425="(blank)"),"",VLOOKUP($B2425,'Email Marketing Raw Data'!$C:$O,8,0)),"")</f>
        <v/>
      </c>
      <c r="Q2425" s="62" t="str">
        <f>IFERROR(IF(OR($B2425="",$B2425="(blank)"),"",VLOOKUP($B2425,'Email Marketing Raw Data'!$C:$O,9,0)),"")</f>
        <v/>
      </c>
    </row>
    <row r="2426" spans="4:17" ht="12.75" customHeight="1" x14ac:dyDescent="0.2">
      <c r="D2426" s="58" t="str">
        <f>IFERROR(IF(F2426&lt;&gt;"pending","",IF(OR($B2426="",$B2426="(blank)"),"",VLOOKUP($B2426,'Email Marketing Raw Data'!$C:$O,10,0))),"")</f>
        <v/>
      </c>
      <c r="E2426" s="59" t="str">
        <f>IFERROR(IF(F2426&lt;&gt;"pending","",IF(OR($B2426="",$B2426="(blank)"),"",VLOOKUP($B2426,'Email Marketing Raw Data'!$C:$O,11,0))),"")</f>
        <v/>
      </c>
      <c r="F2426" s="54" t="str">
        <f>IFERROR(IF(OR($B2426="",$B2426="(blank)"),"",VLOOKUP($B2426,'Email Marketing Raw Data'!$C:$O,13,0)),"")</f>
        <v/>
      </c>
      <c r="G2426" s="55" t="str">
        <f>IFERROR(IF(OR($B2426="",$B2426="(blank)"),"",VLOOKUP($B2426,'Email Marketing Raw Data'!$C:$O,4,0)),"")</f>
        <v/>
      </c>
      <c r="H2426" s="55" t="str">
        <f>IFERROR(IF(OR($B2426="",$B2426="(blank)"),"",VLOOKUP($B2426,'Email Marketing Raw Data'!$C:$O,5,0)),"")</f>
        <v/>
      </c>
      <c r="I2426" s="55" t="str">
        <f>IFERROR(IF($G2426="","",VLOOKUP('Dashboard And Emails Automate'!$G2426,Database!$H:$N,3,0)),"")</f>
        <v/>
      </c>
      <c r="J2426" s="55" t="str">
        <f>IFERROR(IF($G2426="","",VLOOKUP('Dashboard And Emails Automate'!$G2426,Database!$H:$N,4,0)),"")</f>
        <v/>
      </c>
      <c r="K2426" s="55" t="str">
        <f>IFERROR(IF($G2426="","",VLOOKUP('Dashboard And Emails Automate'!$G2426,Database!$H:$N,5,0)),"")</f>
        <v/>
      </c>
      <c r="L2426" s="55" t="str">
        <f>IFERROR(IF($G2426="","",VLOOKUP('Dashboard And Emails Automate'!$G2426,Database!$H:$N,6,0)),"")</f>
        <v/>
      </c>
      <c r="M2426" s="55" t="str">
        <f>IFERROR(IF($G2426="","",VLOOKUP('Dashboard And Emails Automate'!$G2426,Database!$H:$N,7,0)),"")</f>
        <v/>
      </c>
      <c r="N2426" s="55" t="str">
        <f>IFERROR(IF(OR($B2426="",$B2426="(blank)"),"",VLOOKUP($B2426,'Email Marketing Raw Data'!$C:$O,6,0)),"")</f>
        <v/>
      </c>
      <c r="O2426" s="55" t="str">
        <f>IFERROR(IF(OR($B2426="",$B2426="(blank)"),"",VLOOKUP($B2426,'Email Marketing Raw Data'!$C:$O,7,0)),"")</f>
        <v/>
      </c>
      <c r="P2426" s="55" t="str">
        <f>IFERROR(IF(OR($B2426="",$B2426="(blank)"),"",VLOOKUP($B2426,'Email Marketing Raw Data'!$C:$O,8,0)),"")</f>
        <v/>
      </c>
      <c r="Q2426" s="62" t="str">
        <f>IFERROR(IF(OR($B2426="",$B2426="(blank)"),"",VLOOKUP($B2426,'Email Marketing Raw Data'!$C:$O,9,0)),"")</f>
        <v/>
      </c>
    </row>
    <row r="2427" spans="4:17" ht="12.75" customHeight="1" x14ac:dyDescent="0.2">
      <c r="D2427" s="58" t="str">
        <f>IFERROR(IF(F2427&lt;&gt;"pending","",IF(OR($B2427="",$B2427="(blank)"),"",VLOOKUP($B2427,'Email Marketing Raw Data'!$C:$O,10,0))),"")</f>
        <v/>
      </c>
      <c r="E2427" s="59" t="str">
        <f>IFERROR(IF(F2427&lt;&gt;"pending","",IF(OR($B2427="",$B2427="(blank)"),"",VLOOKUP($B2427,'Email Marketing Raw Data'!$C:$O,11,0))),"")</f>
        <v/>
      </c>
      <c r="F2427" s="54" t="str">
        <f>IFERROR(IF(OR($B2427="",$B2427="(blank)"),"",VLOOKUP($B2427,'Email Marketing Raw Data'!$C:$O,13,0)),"")</f>
        <v/>
      </c>
      <c r="G2427" s="55" t="str">
        <f>IFERROR(IF(OR($B2427="",$B2427="(blank)"),"",VLOOKUP($B2427,'Email Marketing Raw Data'!$C:$O,4,0)),"")</f>
        <v/>
      </c>
      <c r="H2427" s="55" t="str">
        <f>IFERROR(IF(OR($B2427="",$B2427="(blank)"),"",VLOOKUP($B2427,'Email Marketing Raw Data'!$C:$O,5,0)),"")</f>
        <v/>
      </c>
      <c r="I2427" s="55" t="str">
        <f>IFERROR(IF($G2427="","",VLOOKUP('Dashboard And Emails Automate'!$G2427,Database!$H:$N,3,0)),"")</f>
        <v/>
      </c>
      <c r="J2427" s="55" t="str">
        <f>IFERROR(IF($G2427="","",VLOOKUP('Dashboard And Emails Automate'!$G2427,Database!$H:$N,4,0)),"")</f>
        <v/>
      </c>
      <c r="K2427" s="55" t="str">
        <f>IFERROR(IF($G2427="","",VLOOKUP('Dashboard And Emails Automate'!$G2427,Database!$H:$N,5,0)),"")</f>
        <v/>
      </c>
      <c r="L2427" s="55" t="str">
        <f>IFERROR(IF($G2427="","",VLOOKUP('Dashboard And Emails Automate'!$G2427,Database!$H:$N,6,0)),"")</f>
        <v/>
      </c>
      <c r="M2427" s="55" t="str">
        <f>IFERROR(IF($G2427="","",VLOOKUP('Dashboard And Emails Automate'!$G2427,Database!$H:$N,7,0)),"")</f>
        <v/>
      </c>
      <c r="N2427" s="55" t="str">
        <f>IFERROR(IF(OR($B2427="",$B2427="(blank)"),"",VLOOKUP($B2427,'Email Marketing Raw Data'!$C:$O,6,0)),"")</f>
        <v/>
      </c>
      <c r="O2427" s="55" t="str">
        <f>IFERROR(IF(OR($B2427="",$B2427="(blank)"),"",VLOOKUP($B2427,'Email Marketing Raw Data'!$C:$O,7,0)),"")</f>
        <v/>
      </c>
      <c r="P2427" s="55" t="str">
        <f>IFERROR(IF(OR($B2427="",$B2427="(blank)"),"",VLOOKUP($B2427,'Email Marketing Raw Data'!$C:$O,8,0)),"")</f>
        <v/>
      </c>
      <c r="Q2427" s="62" t="str">
        <f>IFERROR(IF(OR($B2427="",$B2427="(blank)"),"",VLOOKUP($B2427,'Email Marketing Raw Data'!$C:$O,9,0)),"")</f>
        <v/>
      </c>
    </row>
    <row r="2428" spans="4:17" ht="12.75" customHeight="1" x14ac:dyDescent="0.2">
      <c r="D2428" s="58" t="str">
        <f>IFERROR(IF(F2428&lt;&gt;"pending","",IF(OR($B2428="",$B2428="(blank)"),"",VLOOKUP($B2428,'Email Marketing Raw Data'!$C:$O,10,0))),"")</f>
        <v/>
      </c>
      <c r="E2428" s="59" t="str">
        <f>IFERROR(IF(F2428&lt;&gt;"pending","",IF(OR($B2428="",$B2428="(blank)"),"",VLOOKUP($B2428,'Email Marketing Raw Data'!$C:$O,11,0))),"")</f>
        <v/>
      </c>
      <c r="F2428" s="54" t="str">
        <f>IFERROR(IF(OR($B2428="",$B2428="(blank)"),"",VLOOKUP($B2428,'Email Marketing Raw Data'!$C:$O,13,0)),"")</f>
        <v/>
      </c>
      <c r="G2428" s="55" t="str">
        <f>IFERROR(IF(OR($B2428="",$B2428="(blank)"),"",VLOOKUP($B2428,'Email Marketing Raw Data'!$C:$O,4,0)),"")</f>
        <v/>
      </c>
      <c r="H2428" s="55" t="str">
        <f>IFERROR(IF(OR($B2428="",$B2428="(blank)"),"",VLOOKUP($B2428,'Email Marketing Raw Data'!$C:$O,5,0)),"")</f>
        <v/>
      </c>
      <c r="I2428" s="55" t="str">
        <f>IFERROR(IF($G2428="","",VLOOKUP('Dashboard And Emails Automate'!$G2428,Database!$H:$N,3,0)),"")</f>
        <v/>
      </c>
      <c r="J2428" s="55" t="str">
        <f>IFERROR(IF($G2428="","",VLOOKUP('Dashboard And Emails Automate'!$G2428,Database!$H:$N,4,0)),"")</f>
        <v/>
      </c>
      <c r="K2428" s="55" t="str">
        <f>IFERROR(IF($G2428="","",VLOOKUP('Dashboard And Emails Automate'!$G2428,Database!$H:$N,5,0)),"")</f>
        <v/>
      </c>
      <c r="L2428" s="55" t="str">
        <f>IFERROR(IF($G2428="","",VLOOKUP('Dashboard And Emails Automate'!$G2428,Database!$H:$N,6,0)),"")</f>
        <v/>
      </c>
      <c r="M2428" s="55" t="str">
        <f>IFERROR(IF($G2428="","",VLOOKUP('Dashboard And Emails Automate'!$G2428,Database!$H:$N,7,0)),"")</f>
        <v/>
      </c>
      <c r="N2428" s="55" t="str">
        <f>IFERROR(IF(OR($B2428="",$B2428="(blank)"),"",VLOOKUP($B2428,'Email Marketing Raw Data'!$C:$O,6,0)),"")</f>
        <v/>
      </c>
      <c r="O2428" s="55" t="str">
        <f>IFERROR(IF(OR($B2428="",$B2428="(blank)"),"",VLOOKUP($B2428,'Email Marketing Raw Data'!$C:$O,7,0)),"")</f>
        <v/>
      </c>
      <c r="P2428" s="55" t="str">
        <f>IFERROR(IF(OR($B2428="",$B2428="(blank)"),"",VLOOKUP($B2428,'Email Marketing Raw Data'!$C:$O,8,0)),"")</f>
        <v/>
      </c>
      <c r="Q2428" s="62" t="str">
        <f>IFERROR(IF(OR($B2428="",$B2428="(blank)"),"",VLOOKUP($B2428,'Email Marketing Raw Data'!$C:$O,9,0)),"")</f>
        <v/>
      </c>
    </row>
    <row r="2429" spans="4:17" ht="12.75" customHeight="1" x14ac:dyDescent="0.2">
      <c r="D2429" s="58" t="str">
        <f>IFERROR(IF(F2429&lt;&gt;"pending","",IF(OR($B2429="",$B2429="(blank)"),"",VLOOKUP($B2429,'Email Marketing Raw Data'!$C:$O,10,0))),"")</f>
        <v/>
      </c>
      <c r="E2429" s="59" t="str">
        <f>IFERROR(IF(F2429&lt;&gt;"pending","",IF(OR($B2429="",$B2429="(blank)"),"",VLOOKUP($B2429,'Email Marketing Raw Data'!$C:$O,11,0))),"")</f>
        <v/>
      </c>
      <c r="F2429" s="54" t="str">
        <f>IFERROR(IF(OR($B2429="",$B2429="(blank)"),"",VLOOKUP($B2429,'Email Marketing Raw Data'!$C:$O,13,0)),"")</f>
        <v/>
      </c>
      <c r="G2429" s="55" t="str">
        <f>IFERROR(IF(OR($B2429="",$B2429="(blank)"),"",VLOOKUP($B2429,'Email Marketing Raw Data'!$C:$O,4,0)),"")</f>
        <v/>
      </c>
      <c r="H2429" s="55" t="str">
        <f>IFERROR(IF(OR($B2429="",$B2429="(blank)"),"",VLOOKUP($B2429,'Email Marketing Raw Data'!$C:$O,5,0)),"")</f>
        <v/>
      </c>
      <c r="I2429" s="55" t="str">
        <f>IFERROR(IF($G2429="","",VLOOKUP('Dashboard And Emails Automate'!$G2429,Database!$H:$N,3,0)),"")</f>
        <v/>
      </c>
      <c r="J2429" s="55" t="str">
        <f>IFERROR(IF($G2429="","",VLOOKUP('Dashboard And Emails Automate'!$G2429,Database!$H:$N,4,0)),"")</f>
        <v/>
      </c>
      <c r="K2429" s="55" t="str">
        <f>IFERROR(IF($G2429="","",VLOOKUP('Dashboard And Emails Automate'!$G2429,Database!$H:$N,5,0)),"")</f>
        <v/>
      </c>
      <c r="L2429" s="55" t="str">
        <f>IFERROR(IF($G2429="","",VLOOKUP('Dashboard And Emails Automate'!$G2429,Database!$H:$N,6,0)),"")</f>
        <v/>
      </c>
      <c r="M2429" s="55" t="str">
        <f>IFERROR(IF($G2429="","",VLOOKUP('Dashboard And Emails Automate'!$G2429,Database!$H:$N,7,0)),"")</f>
        <v/>
      </c>
      <c r="N2429" s="55" t="str">
        <f>IFERROR(IF(OR($B2429="",$B2429="(blank)"),"",VLOOKUP($B2429,'Email Marketing Raw Data'!$C:$O,6,0)),"")</f>
        <v/>
      </c>
      <c r="O2429" s="55" t="str">
        <f>IFERROR(IF(OR($B2429="",$B2429="(blank)"),"",VLOOKUP($B2429,'Email Marketing Raw Data'!$C:$O,7,0)),"")</f>
        <v/>
      </c>
      <c r="P2429" s="55" t="str">
        <f>IFERROR(IF(OR($B2429="",$B2429="(blank)"),"",VLOOKUP($B2429,'Email Marketing Raw Data'!$C:$O,8,0)),"")</f>
        <v/>
      </c>
      <c r="Q2429" s="62" t="str">
        <f>IFERROR(IF(OR($B2429="",$B2429="(blank)"),"",VLOOKUP($B2429,'Email Marketing Raw Data'!$C:$O,9,0)),"")</f>
        <v/>
      </c>
    </row>
    <row r="2430" spans="4:17" ht="12.75" customHeight="1" x14ac:dyDescent="0.2">
      <c r="D2430" s="58" t="str">
        <f>IFERROR(IF(F2430&lt;&gt;"pending","",IF(OR($B2430="",$B2430="(blank)"),"",VLOOKUP($B2430,'Email Marketing Raw Data'!$C:$O,10,0))),"")</f>
        <v/>
      </c>
      <c r="E2430" s="59" t="str">
        <f>IFERROR(IF(F2430&lt;&gt;"pending","",IF(OR($B2430="",$B2430="(blank)"),"",VLOOKUP($B2430,'Email Marketing Raw Data'!$C:$O,11,0))),"")</f>
        <v/>
      </c>
      <c r="F2430" s="54" t="str">
        <f>IFERROR(IF(OR($B2430="",$B2430="(blank)"),"",VLOOKUP($B2430,'Email Marketing Raw Data'!$C:$O,13,0)),"")</f>
        <v/>
      </c>
      <c r="G2430" s="55" t="str">
        <f>IFERROR(IF(OR($B2430="",$B2430="(blank)"),"",VLOOKUP($B2430,'Email Marketing Raw Data'!$C:$O,4,0)),"")</f>
        <v/>
      </c>
      <c r="H2430" s="55" t="str">
        <f>IFERROR(IF(OR($B2430="",$B2430="(blank)"),"",VLOOKUP($B2430,'Email Marketing Raw Data'!$C:$O,5,0)),"")</f>
        <v/>
      </c>
      <c r="I2430" s="55" t="str">
        <f>IFERROR(IF($G2430="","",VLOOKUP('Dashboard And Emails Automate'!$G2430,Database!$H:$N,3,0)),"")</f>
        <v/>
      </c>
      <c r="J2430" s="55" t="str">
        <f>IFERROR(IF($G2430="","",VLOOKUP('Dashboard And Emails Automate'!$G2430,Database!$H:$N,4,0)),"")</f>
        <v/>
      </c>
      <c r="K2430" s="55" t="str">
        <f>IFERROR(IF($G2430="","",VLOOKUP('Dashboard And Emails Automate'!$G2430,Database!$H:$N,5,0)),"")</f>
        <v/>
      </c>
      <c r="L2430" s="55" t="str">
        <f>IFERROR(IF($G2430="","",VLOOKUP('Dashboard And Emails Automate'!$G2430,Database!$H:$N,6,0)),"")</f>
        <v/>
      </c>
      <c r="M2430" s="55" t="str">
        <f>IFERROR(IF($G2430="","",VLOOKUP('Dashboard And Emails Automate'!$G2430,Database!$H:$N,7,0)),"")</f>
        <v/>
      </c>
      <c r="N2430" s="55" t="str">
        <f>IFERROR(IF(OR($B2430="",$B2430="(blank)"),"",VLOOKUP($B2430,'Email Marketing Raw Data'!$C:$O,6,0)),"")</f>
        <v/>
      </c>
      <c r="O2430" s="55" t="str">
        <f>IFERROR(IF(OR($B2430="",$B2430="(blank)"),"",VLOOKUP($B2430,'Email Marketing Raw Data'!$C:$O,7,0)),"")</f>
        <v/>
      </c>
      <c r="P2430" s="55" t="str">
        <f>IFERROR(IF(OR($B2430="",$B2430="(blank)"),"",VLOOKUP($B2430,'Email Marketing Raw Data'!$C:$O,8,0)),"")</f>
        <v/>
      </c>
      <c r="Q2430" s="62" t="str">
        <f>IFERROR(IF(OR($B2430="",$B2430="(blank)"),"",VLOOKUP($B2430,'Email Marketing Raw Data'!$C:$O,9,0)),"")</f>
        <v/>
      </c>
    </row>
    <row r="2431" spans="4:17" ht="12.75" customHeight="1" x14ac:dyDescent="0.2">
      <c r="D2431" s="58" t="str">
        <f>IFERROR(IF(F2431&lt;&gt;"pending","",IF(OR($B2431="",$B2431="(blank)"),"",VLOOKUP($B2431,'Email Marketing Raw Data'!$C:$O,10,0))),"")</f>
        <v/>
      </c>
      <c r="E2431" s="59" t="str">
        <f>IFERROR(IF(F2431&lt;&gt;"pending","",IF(OR($B2431="",$B2431="(blank)"),"",VLOOKUP($B2431,'Email Marketing Raw Data'!$C:$O,11,0))),"")</f>
        <v/>
      </c>
      <c r="F2431" s="54" t="str">
        <f>IFERROR(IF(OR($B2431="",$B2431="(blank)"),"",VLOOKUP($B2431,'Email Marketing Raw Data'!$C:$O,13,0)),"")</f>
        <v/>
      </c>
      <c r="G2431" s="55" t="str">
        <f>IFERROR(IF(OR($B2431="",$B2431="(blank)"),"",VLOOKUP($B2431,'Email Marketing Raw Data'!$C:$O,4,0)),"")</f>
        <v/>
      </c>
      <c r="H2431" s="55" t="str">
        <f>IFERROR(IF(OR($B2431="",$B2431="(blank)"),"",VLOOKUP($B2431,'Email Marketing Raw Data'!$C:$O,5,0)),"")</f>
        <v/>
      </c>
      <c r="I2431" s="55" t="str">
        <f>IFERROR(IF($G2431="","",VLOOKUP('Dashboard And Emails Automate'!$G2431,Database!$H:$N,3,0)),"")</f>
        <v/>
      </c>
      <c r="J2431" s="55" t="str">
        <f>IFERROR(IF($G2431="","",VLOOKUP('Dashboard And Emails Automate'!$G2431,Database!$H:$N,4,0)),"")</f>
        <v/>
      </c>
      <c r="K2431" s="55" t="str">
        <f>IFERROR(IF($G2431="","",VLOOKUP('Dashboard And Emails Automate'!$G2431,Database!$H:$N,5,0)),"")</f>
        <v/>
      </c>
      <c r="L2431" s="55" t="str">
        <f>IFERROR(IF($G2431="","",VLOOKUP('Dashboard And Emails Automate'!$G2431,Database!$H:$N,6,0)),"")</f>
        <v/>
      </c>
      <c r="M2431" s="55" t="str">
        <f>IFERROR(IF($G2431="","",VLOOKUP('Dashboard And Emails Automate'!$G2431,Database!$H:$N,7,0)),"")</f>
        <v/>
      </c>
      <c r="N2431" s="55" t="str">
        <f>IFERROR(IF(OR($B2431="",$B2431="(blank)"),"",VLOOKUP($B2431,'Email Marketing Raw Data'!$C:$O,6,0)),"")</f>
        <v/>
      </c>
      <c r="O2431" s="55" t="str">
        <f>IFERROR(IF(OR($B2431="",$B2431="(blank)"),"",VLOOKUP($B2431,'Email Marketing Raw Data'!$C:$O,7,0)),"")</f>
        <v/>
      </c>
      <c r="P2431" s="55" t="str">
        <f>IFERROR(IF(OR($B2431="",$B2431="(blank)"),"",VLOOKUP($B2431,'Email Marketing Raw Data'!$C:$O,8,0)),"")</f>
        <v/>
      </c>
      <c r="Q2431" s="62" t="str">
        <f>IFERROR(IF(OR($B2431="",$B2431="(blank)"),"",VLOOKUP($B2431,'Email Marketing Raw Data'!$C:$O,9,0)),"")</f>
        <v/>
      </c>
    </row>
    <row r="2432" spans="4:17" ht="12.75" customHeight="1" x14ac:dyDescent="0.2">
      <c r="D2432" s="58" t="str">
        <f>IFERROR(IF(F2432&lt;&gt;"pending","",IF(OR($B2432="",$B2432="(blank)"),"",VLOOKUP($B2432,'Email Marketing Raw Data'!$C:$O,10,0))),"")</f>
        <v/>
      </c>
      <c r="E2432" s="59" t="str">
        <f>IFERROR(IF(F2432&lt;&gt;"pending","",IF(OR($B2432="",$B2432="(blank)"),"",VLOOKUP($B2432,'Email Marketing Raw Data'!$C:$O,11,0))),"")</f>
        <v/>
      </c>
      <c r="F2432" s="54" t="str">
        <f>IFERROR(IF(OR($B2432="",$B2432="(blank)"),"",VLOOKUP($B2432,'Email Marketing Raw Data'!$C:$O,13,0)),"")</f>
        <v/>
      </c>
      <c r="G2432" s="55" t="str">
        <f>IFERROR(IF(OR($B2432="",$B2432="(blank)"),"",VLOOKUP($B2432,'Email Marketing Raw Data'!$C:$O,4,0)),"")</f>
        <v/>
      </c>
      <c r="H2432" s="55" t="str">
        <f>IFERROR(IF(OR($B2432="",$B2432="(blank)"),"",VLOOKUP($B2432,'Email Marketing Raw Data'!$C:$O,5,0)),"")</f>
        <v/>
      </c>
      <c r="I2432" s="55" t="str">
        <f>IFERROR(IF($G2432="","",VLOOKUP('Dashboard And Emails Automate'!$G2432,Database!$H:$N,3,0)),"")</f>
        <v/>
      </c>
      <c r="J2432" s="55" t="str">
        <f>IFERROR(IF($G2432="","",VLOOKUP('Dashboard And Emails Automate'!$G2432,Database!$H:$N,4,0)),"")</f>
        <v/>
      </c>
      <c r="K2432" s="55" t="str">
        <f>IFERROR(IF($G2432="","",VLOOKUP('Dashboard And Emails Automate'!$G2432,Database!$H:$N,5,0)),"")</f>
        <v/>
      </c>
      <c r="L2432" s="55" t="str">
        <f>IFERROR(IF($G2432="","",VLOOKUP('Dashboard And Emails Automate'!$G2432,Database!$H:$N,6,0)),"")</f>
        <v/>
      </c>
      <c r="M2432" s="55" t="str">
        <f>IFERROR(IF($G2432="","",VLOOKUP('Dashboard And Emails Automate'!$G2432,Database!$H:$N,7,0)),"")</f>
        <v/>
      </c>
      <c r="N2432" s="55" t="str">
        <f>IFERROR(IF(OR($B2432="",$B2432="(blank)"),"",VLOOKUP($B2432,'Email Marketing Raw Data'!$C:$O,6,0)),"")</f>
        <v/>
      </c>
      <c r="O2432" s="55" t="str">
        <f>IFERROR(IF(OR($B2432="",$B2432="(blank)"),"",VLOOKUP($B2432,'Email Marketing Raw Data'!$C:$O,7,0)),"")</f>
        <v/>
      </c>
      <c r="P2432" s="55" t="str">
        <f>IFERROR(IF(OR($B2432="",$B2432="(blank)"),"",VLOOKUP($B2432,'Email Marketing Raw Data'!$C:$O,8,0)),"")</f>
        <v/>
      </c>
      <c r="Q2432" s="62" t="str">
        <f>IFERROR(IF(OR($B2432="",$B2432="(blank)"),"",VLOOKUP($B2432,'Email Marketing Raw Data'!$C:$O,9,0)),"")</f>
        <v/>
      </c>
    </row>
    <row r="2433" spans="4:17" ht="12.75" customHeight="1" x14ac:dyDescent="0.2">
      <c r="D2433" s="58" t="str">
        <f>IFERROR(IF(F2433&lt;&gt;"pending","",IF(OR($B2433="",$B2433="(blank)"),"",VLOOKUP($B2433,'Email Marketing Raw Data'!$C:$O,10,0))),"")</f>
        <v/>
      </c>
      <c r="E2433" s="59" t="str">
        <f>IFERROR(IF(F2433&lt;&gt;"pending","",IF(OR($B2433="",$B2433="(blank)"),"",VLOOKUP($B2433,'Email Marketing Raw Data'!$C:$O,11,0))),"")</f>
        <v/>
      </c>
      <c r="F2433" s="54" t="str">
        <f>IFERROR(IF(OR($B2433="",$B2433="(blank)"),"",VLOOKUP($B2433,'Email Marketing Raw Data'!$C:$O,13,0)),"")</f>
        <v/>
      </c>
      <c r="G2433" s="55" t="str">
        <f>IFERROR(IF(OR($B2433="",$B2433="(blank)"),"",VLOOKUP($B2433,'Email Marketing Raw Data'!$C:$O,4,0)),"")</f>
        <v/>
      </c>
      <c r="H2433" s="55" t="str">
        <f>IFERROR(IF(OR($B2433="",$B2433="(blank)"),"",VLOOKUP($B2433,'Email Marketing Raw Data'!$C:$O,5,0)),"")</f>
        <v/>
      </c>
      <c r="I2433" s="55" t="str">
        <f>IFERROR(IF($G2433="","",VLOOKUP('Dashboard And Emails Automate'!$G2433,Database!$H:$N,3,0)),"")</f>
        <v/>
      </c>
      <c r="J2433" s="55" t="str">
        <f>IFERROR(IF($G2433="","",VLOOKUP('Dashboard And Emails Automate'!$G2433,Database!$H:$N,4,0)),"")</f>
        <v/>
      </c>
      <c r="K2433" s="55" t="str">
        <f>IFERROR(IF($G2433="","",VLOOKUP('Dashboard And Emails Automate'!$G2433,Database!$H:$N,5,0)),"")</f>
        <v/>
      </c>
      <c r="L2433" s="55" t="str">
        <f>IFERROR(IF($G2433="","",VLOOKUP('Dashboard And Emails Automate'!$G2433,Database!$H:$N,6,0)),"")</f>
        <v/>
      </c>
      <c r="M2433" s="55" t="str">
        <f>IFERROR(IF($G2433="","",VLOOKUP('Dashboard And Emails Automate'!$G2433,Database!$H:$N,7,0)),"")</f>
        <v/>
      </c>
      <c r="N2433" s="55" t="str">
        <f>IFERROR(IF(OR($B2433="",$B2433="(blank)"),"",VLOOKUP($B2433,'Email Marketing Raw Data'!$C:$O,6,0)),"")</f>
        <v/>
      </c>
      <c r="O2433" s="55" t="str">
        <f>IFERROR(IF(OR($B2433="",$B2433="(blank)"),"",VLOOKUP($B2433,'Email Marketing Raw Data'!$C:$O,7,0)),"")</f>
        <v/>
      </c>
      <c r="P2433" s="55" t="str">
        <f>IFERROR(IF(OR($B2433="",$B2433="(blank)"),"",VLOOKUP($B2433,'Email Marketing Raw Data'!$C:$O,8,0)),"")</f>
        <v/>
      </c>
      <c r="Q2433" s="62" t="str">
        <f>IFERROR(IF(OR($B2433="",$B2433="(blank)"),"",VLOOKUP($B2433,'Email Marketing Raw Data'!$C:$O,9,0)),"")</f>
        <v/>
      </c>
    </row>
    <row r="2434" spans="4:17" ht="12.75" customHeight="1" x14ac:dyDescent="0.2">
      <c r="D2434" s="58" t="str">
        <f>IFERROR(IF(F2434&lt;&gt;"pending","",IF(OR($B2434="",$B2434="(blank)"),"",VLOOKUP($B2434,'Email Marketing Raw Data'!$C:$O,10,0))),"")</f>
        <v/>
      </c>
      <c r="E2434" s="59" t="str">
        <f>IFERROR(IF(F2434&lt;&gt;"pending","",IF(OR($B2434="",$B2434="(blank)"),"",VLOOKUP($B2434,'Email Marketing Raw Data'!$C:$O,11,0))),"")</f>
        <v/>
      </c>
      <c r="F2434" s="54" t="str">
        <f>IFERROR(IF(OR($B2434="",$B2434="(blank)"),"",VLOOKUP($B2434,'Email Marketing Raw Data'!$C:$O,13,0)),"")</f>
        <v/>
      </c>
      <c r="G2434" s="55" t="str">
        <f>IFERROR(IF(OR($B2434="",$B2434="(blank)"),"",VLOOKUP($B2434,'Email Marketing Raw Data'!$C:$O,4,0)),"")</f>
        <v/>
      </c>
      <c r="H2434" s="55" t="str">
        <f>IFERROR(IF(OR($B2434="",$B2434="(blank)"),"",VLOOKUP($B2434,'Email Marketing Raw Data'!$C:$O,5,0)),"")</f>
        <v/>
      </c>
      <c r="I2434" s="55" t="str">
        <f>IFERROR(IF($G2434="","",VLOOKUP('Dashboard And Emails Automate'!$G2434,Database!$H:$N,3,0)),"")</f>
        <v/>
      </c>
      <c r="J2434" s="55" t="str">
        <f>IFERROR(IF($G2434="","",VLOOKUP('Dashboard And Emails Automate'!$G2434,Database!$H:$N,4,0)),"")</f>
        <v/>
      </c>
      <c r="K2434" s="55" t="str">
        <f>IFERROR(IF($G2434="","",VLOOKUP('Dashboard And Emails Automate'!$G2434,Database!$H:$N,5,0)),"")</f>
        <v/>
      </c>
      <c r="L2434" s="55" t="str">
        <f>IFERROR(IF($G2434="","",VLOOKUP('Dashboard And Emails Automate'!$G2434,Database!$H:$N,6,0)),"")</f>
        <v/>
      </c>
      <c r="M2434" s="55" t="str">
        <f>IFERROR(IF($G2434="","",VLOOKUP('Dashboard And Emails Automate'!$G2434,Database!$H:$N,7,0)),"")</f>
        <v/>
      </c>
      <c r="N2434" s="55" t="str">
        <f>IFERROR(IF(OR($B2434="",$B2434="(blank)"),"",VLOOKUP($B2434,'Email Marketing Raw Data'!$C:$O,6,0)),"")</f>
        <v/>
      </c>
      <c r="O2434" s="55" t="str">
        <f>IFERROR(IF(OR($B2434="",$B2434="(blank)"),"",VLOOKUP($B2434,'Email Marketing Raw Data'!$C:$O,7,0)),"")</f>
        <v/>
      </c>
      <c r="P2434" s="55" t="str">
        <f>IFERROR(IF(OR($B2434="",$B2434="(blank)"),"",VLOOKUP($B2434,'Email Marketing Raw Data'!$C:$O,8,0)),"")</f>
        <v/>
      </c>
      <c r="Q2434" s="62" t="str">
        <f>IFERROR(IF(OR($B2434="",$B2434="(blank)"),"",VLOOKUP($B2434,'Email Marketing Raw Data'!$C:$O,9,0)),"")</f>
        <v/>
      </c>
    </row>
    <row r="2435" spans="4:17" ht="12.75" customHeight="1" x14ac:dyDescent="0.2">
      <c r="D2435" s="58" t="str">
        <f>IFERROR(IF(F2435&lt;&gt;"pending","",IF(OR($B2435="",$B2435="(blank)"),"",VLOOKUP($B2435,'Email Marketing Raw Data'!$C:$O,10,0))),"")</f>
        <v/>
      </c>
      <c r="E2435" s="59" t="str">
        <f>IFERROR(IF(F2435&lt;&gt;"pending","",IF(OR($B2435="",$B2435="(blank)"),"",VLOOKUP($B2435,'Email Marketing Raw Data'!$C:$O,11,0))),"")</f>
        <v/>
      </c>
      <c r="F2435" s="54" t="str">
        <f>IFERROR(IF(OR($B2435="",$B2435="(blank)"),"",VLOOKUP($B2435,'Email Marketing Raw Data'!$C:$O,13,0)),"")</f>
        <v/>
      </c>
      <c r="G2435" s="55" t="str">
        <f>IFERROR(IF(OR($B2435="",$B2435="(blank)"),"",VLOOKUP($B2435,'Email Marketing Raw Data'!$C:$O,4,0)),"")</f>
        <v/>
      </c>
      <c r="H2435" s="55" t="str">
        <f>IFERROR(IF(OR($B2435="",$B2435="(blank)"),"",VLOOKUP($B2435,'Email Marketing Raw Data'!$C:$O,5,0)),"")</f>
        <v/>
      </c>
      <c r="I2435" s="55" t="str">
        <f>IFERROR(IF($G2435="","",VLOOKUP('Dashboard And Emails Automate'!$G2435,Database!$H:$N,3,0)),"")</f>
        <v/>
      </c>
      <c r="J2435" s="55" t="str">
        <f>IFERROR(IF($G2435="","",VLOOKUP('Dashboard And Emails Automate'!$G2435,Database!$H:$N,4,0)),"")</f>
        <v/>
      </c>
      <c r="K2435" s="55" t="str">
        <f>IFERROR(IF($G2435="","",VLOOKUP('Dashboard And Emails Automate'!$G2435,Database!$H:$N,5,0)),"")</f>
        <v/>
      </c>
      <c r="L2435" s="55" t="str">
        <f>IFERROR(IF($G2435="","",VLOOKUP('Dashboard And Emails Automate'!$G2435,Database!$H:$N,6,0)),"")</f>
        <v/>
      </c>
      <c r="M2435" s="55" t="str">
        <f>IFERROR(IF($G2435="","",VLOOKUP('Dashboard And Emails Automate'!$G2435,Database!$H:$N,7,0)),"")</f>
        <v/>
      </c>
      <c r="N2435" s="55" t="str">
        <f>IFERROR(IF(OR($B2435="",$B2435="(blank)"),"",VLOOKUP($B2435,'Email Marketing Raw Data'!$C:$O,6,0)),"")</f>
        <v/>
      </c>
      <c r="O2435" s="55" t="str">
        <f>IFERROR(IF(OR($B2435="",$B2435="(blank)"),"",VLOOKUP($B2435,'Email Marketing Raw Data'!$C:$O,7,0)),"")</f>
        <v/>
      </c>
      <c r="P2435" s="55" t="str">
        <f>IFERROR(IF(OR($B2435="",$B2435="(blank)"),"",VLOOKUP($B2435,'Email Marketing Raw Data'!$C:$O,8,0)),"")</f>
        <v/>
      </c>
      <c r="Q2435" s="62" t="str">
        <f>IFERROR(IF(OR($B2435="",$B2435="(blank)"),"",VLOOKUP($B2435,'Email Marketing Raw Data'!$C:$O,9,0)),"")</f>
        <v/>
      </c>
    </row>
    <row r="2436" spans="4:17" ht="12.75" customHeight="1" x14ac:dyDescent="0.2">
      <c r="D2436" s="58" t="str">
        <f>IFERROR(IF(F2436&lt;&gt;"pending","",IF(OR($B2436="",$B2436="(blank)"),"",VLOOKUP($B2436,'Email Marketing Raw Data'!$C:$O,10,0))),"")</f>
        <v/>
      </c>
      <c r="E2436" s="59" t="str">
        <f>IFERROR(IF(F2436&lt;&gt;"pending","",IF(OR($B2436="",$B2436="(blank)"),"",VLOOKUP($B2436,'Email Marketing Raw Data'!$C:$O,11,0))),"")</f>
        <v/>
      </c>
      <c r="F2436" s="54" t="str">
        <f>IFERROR(IF(OR($B2436="",$B2436="(blank)"),"",VLOOKUP($B2436,'Email Marketing Raw Data'!$C:$O,13,0)),"")</f>
        <v/>
      </c>
      <c r="G2436" s="55" t="str">
        <f>IFERROR(IF(OR($B2436="",$B2436="(blank)"),"",VLOOKUP($B2436,'Email Marketing Raw Data'!$C:$O,4,0)),"")</f>
        <v/>
      </c>
      <c r="H2436" s="55" t="str">
        <f>IFERROR(IF(OR($B2436="",$B2436="(blank)"),"",VLOOKUP($B2436,'Email Marketing Raw Data'!$C:$O,5,0)),"")</f>
        <v/>
      </c>
      <c r="I2436" s="55" t="str">
        <f>IFERROR(IF($G2436="","",VLOOKUP('Dashboard And Emails Automate'!$G2436,Database!$H:$N,3,0)),"")</f>
        <v/>
      </c>
      <c r="J2436" s="55" t="str">
        <f>IFERROR(IF($G2436="","",VLOOKUP('Dashboard And Emails Automate'!$G2436,Database!$H:$N,4,0)),"")</f>
        <v/>
      </c>
      <c r="K2436" s="55" t="str">
        <f>IFERROR(IF($G2436="","",VLOOKUP('Dashboard And Emails Automate'!$G2436,Database!$H:$N,5,0)),"")</f>
        <v/>
      </c>
      <c r="L2436" s="55" t="str">
        <f>IFERROR(IF($G2436="","",VLOOKUP('Dashboard And Emails Automate'!$G2436,Database!$H:$N,6,0)),"")</f>
        <v/>
      </c>
      <c r="M2436" s="55" t="str">
        <f>IFERROR(IF($G2436="","",VLOOKUP('Dashboard And Emails Automate'!$G2436,Database!$H:$N,7,0)),"")</f>
        <v/>
      </c>
      <c r="N2436" s="55" t="str">
        <f>IFERROR(IF(OR($B2436="",$B2436="(blank)"),"",VLOOKUP($B2436,'Email Marketing Raw Data'!$C:$O,6,0)),"")</f>
        <v/>
      </c>
      <c r="O2436" s="55" t="str">
        <f>IFERROR(IF(OR($B2436="",$B2436="(blank)"),"",VLOOKUP($B2436,'Email Marketing Raw Data'!$C:$O,7,0)),"")</f>
        <v/>
      </c>
      <c r="P2436" s="55" t="str">
        <f>IFERROR(IF(OR($B2436="",$B2436="(blank)"),"",VLOOKUP($B2436,'Email Marketing Raw Data'!$C:$O,8,0)),"")</f>
        <v/>
      </c>
      <c r="Q2436" s="62" t="str">
        <f>IFERROR(IF(OR($B2436="",$B2436="(blank)"),"",VLOOKUP($B2436,'Email Marketing Raw Data'!$C:$O,9,0)),"")</f>
        <v/>
      </c>
    </row>
    <row r="2437" spans="4:17" ht="12.75" customHeight="1" x14ac:dyDescent="0.2">
      <c r="D2437" s="58" t="str">
        <f>IFERROR(IF(F2437&lt;&gt;"pending","",IF(OR($B2437="",$B2437="(blank)"),"",VLOOKUP($B2437,'Email Marketing Raw Data'!$C:$O,10,0))),"")</f>
        <v/>
      </c>
      <c r="E2437" s="59" t="str">
        <f>IFERROR(IF(F2437&lt;&gt;"pending","",IF(OR($B2437="",$B2437="(blank)"),"",VLOOKUP($B2437,'Email Marketing Raw Data'!$C:$O,11,0))),"")</f>
        <v/>
      </c>
      <c r="F2437" s="54" t="str">
        <f>IFERROR(IF(OR($B2437="",$B2437="(blank)"),"",VLOOKUP($B2437,'Email Marketing Raw Data'!$C:$O,13,0)),"")</f>
        <v/>
      </c>
      <c r="G2437" s="55" t="str">
        <f>IFERROR(IF(OR($B2437="",$B2437="(blank)"),"",VLOOKUP($B2437,'Email Marketing Raw Data'!$C:$O,4,0)),"")</f>
        <v/>
      </c>
      <c r="H2437" s="55" t="str">
        <f>IFERROR(IF(OR($B2437="",$B2437="(blank)"),"",VLOOKUP($B2437,'Email Marketing Raw Data'!$C:$O,5,0)),"")</f>
        <v/>
      </c>
      <c r="I2437" s="55" t="str">
        <f>IFERROR(IF($G2437="","",VLOOKUP('Dashboard And Emails Automate'!$G2437,Database!$H:$N,3,0)),"")</f>
        <v/>
      </c>
      <c r="J2437" s="55" t="str">
        <f>IFERROR(IF($G2437="","",VLOOKUP('Dashboard And Emails Automate'!$G2437,Database!$H:$N,4,0)),"")</f>
        <v/>
      </c>
      <c r="K2437" s="55" t="str">
        <f>IFERROR(IF($G2437="","",VLOOKUP('Dashboard And Emails Automate'!$G2437,Database!$H:$N,5,0)),"")</f>
        <v/>
      </c>
      <c r="L2437" s="55" t="str">
        <f>IFERROR(IF($G2437="","",VLOOKUP('Dashboard And Emails Automate'!$G2437,Database!$H:$N,6,0)),"")</f>
        <v/>
      </c>
      <c r="M2437" s="55" t="str">
        <f>IFERROR(IF($G2437="","",VLOOKUP('Dashboard And Emails Automate'!$G2437,Database!$H:$N,7,0)),"")</f>
        <v/>
      </c>
      <c r="N2437" s="55" t="str">
        <f>IFERROR(IF(OR($B2437="",$B2437="(blank)"),"",VLOOKUP($B2437,'Email Marketing Raw Data'!$C:$O,6,0)),"")</f>
        <v/>
      </c>
      <c r="O2437" s="55" t="str">
        <f>IFERROR(IF(OR($B2437="",$B2437="(blank)"),"",VLOOKUP($B2437,'Email Marketing Raw Data'!$C:$O,7,0)),"")</f>
        <v/>
      </c>
      <c r="P2437" s="55" t="str">
        <f>IFERROR(IF(OR($B2437="",$B2437="(blank)"),"",VLOOKUP($B2437,'Email Marketing Raw Data'!$C:$O,8,0)),"")</f>
        <v/>
      </c>
      <c r="Q2437" s="62" t="str">
        <f>IFERROR(IF(OR($B2437="",$B2437="(blank)"),"",VLOOKUP($B2437,'Email Marketing Raw Data'!$C:$O,9,0)),"")</f>
        <v/>
      </c>
    </row>
    <row r="2438" spans="4:17" ht="12.75" customHeight="1" x14ac:dyDescent="0.2">
      <c r="D2438" s="58" t="str">
        <f>IFERROR(IF(F2438&lt;&gt;"pending","",IF(OR($B2438="",$B2438="(blank)"),"",VLOOKUP($B2438,'Email Marketing Raw Data'!$C:$O,10,0))),"")</f>
        <v/>
      </c>
      <c r="E2438" s="59" t="str">
        <f>IFERROR(IF(F2438&lt;&gt;"pending","",IF(OR($B2438="",$B2438="(blank)"),"",VLOOKUP($B2438,'Email Marketing Raw Data'!$C:$O,11,0))),"")</f>
        <v/>
      </c>
      <c r="F2438" s="54" t="str">
        <f>IFERROR(IF(OR($B2438="",$B2438="(blank)"),"",VLOOKUP($B2438,'Email Marketing Raw Data'!$C:$O,13,0)),"")</f>
        <v/>
      </c>
      <c r="G2438" s="55" t="str">
        <f>IFERROR(IF(OR($B2438="",$B2438="(blank)"),"",VLOOKUP($B2438,'Email Marketing Raw Data'!$C:$O,4,0)),"")</f>
        <v/>
      </c>
      <c r="H2438" s="55" t="str">
        <f>IFERROR(IF(OR($B2438="",$B2438="(blank)"),"",VLOOKUP($B2438,'Email Marketing Raw Data'!$C:$O,5,0)),"")</f>
        <v/>
      </c>
      <c r="I2438" s="55" t="str">
        <f>IFERROR(IF($G2438="","",VLOOKUP('Dashboard And Emails Automate'!$G2438,Database!$H:$N,3,0)),"")</f>
        <v/>
      </c>
      <c r="J2438" s="55" t="str">
        <f>IFERROR(IF($G2438="","",VLOOKUP('Dashboard And Emails Automate'!$G2438,Database!$H:$N,4,0)),"")</f>
        <v/>
      </c>
      <c r="K2438" s="55" t="str">
        <f>IFERROR(IF($G2438="","",VLOOKUP('Dashboard And Emails Automate'!$G2438,Database!$H:$N,5,0)),"")</f>
        <v/>
      </c>
      <c r="L2438" s="55" t="str">
        <f>IFERROR(IF($G2438="","",VLOOKUP('Dashboard And Emails Automate'!$G2438,Database!$H:$N,6,0)),"")</f>
        <v/>
      </c>
      <c r="M2438" s="55" t="str">
        <f>IFERROR(IF($G2438="","",VLOOKUP('Dashboard And Emails Automate'!$G2438,Database!$H:$N,7,0)),"")</f>
        <v/>
      </c>
      <c r="N2438" s="55" t="str">
        <f>IFERROR(IF(OR($B2438="",$B2438="(blank)"),"",VLOOKUP($B2438,'Email Marketing Raw Data'!$C:$O,6,0)),"")</f>
        <v/>
      </c>
      <c r="O2438" s="55" t="str">
        <f>IFERROR(IF(OR($B2438="",$B2438="(blank)"),"",VLOOKUP($B2438,'Email Marketing Raw Data'!$C:$O,7,0)),"")</f>
        <v/>
      </c>
      <c r="P2438" s="55" t="str">
        <f>IFERROR(IF(OR($B2438="",$B2438="(blank)"),"",VLOOKUP($B2438,'Email Marketing Raw Data'!$C:$O,8,0)),"")</f>
        <v/>
      </c>
      <c r="Q2438" s="62" t="str">
        <f>IFERROR(IF(OR($B2438="",$B2438="(blank)"),"",VLOOKUP($B2438,'Email Marketing Raw Data'!$C:$O,9,0)),"")</f>
        <v/>
      </c>
    </row>
    <row r="2439" spans="4:17" ht="12.75" customHeight="1" x14ac:dyDescent="0.2">
      <c r="D2439" s="58" t="str">
        <f>IFERROR(IF(F2439&lt;&gt;"pending","",IF(OR($B2439="",$B2439="(blank)"),"",VLOOKUP($B2439,'Email Marketing Raw Data'!$C:$O,10,0))),"")</f>
        <v/>
      </c>
      <c r="E2439" s="59" t="str">
        <f>IFERROR(IF(F2439&lt;&gt;"pending","",IF(OR($B2439="",$B2439="(blank)"),"",VLOOKUP($B2439,'Email Marketing Raw Data'!$C:$O,11,0))),"")</f>
        <v/>
      </c>
      <c r="F2439" s="54" t="str">
        <f>IFERROR(IF(OR($B2439="",$B2439="(blank)"),"",VLOOKUP($B2439,'Email Marketing Raw Data'!$C:$O,13,0)),"")</f>
        <v/>
      </c>
      <c r="G2439" s="55" t="str">
        <f>IFERROR(IF(OR($B2439="",$B2439="(blank)"),"",VLOOKUP($B2439,'Email Marketing Raw Data'!$C:$O,4,0)),"")</f>
        <v/>
      </c>
      <c r="H2439" s="55" t="str">
        <f>IFERROR(IF(OR($B2439="",$B2439="(blank)"),"",VLOOKUP($B2439,'Email Marketing Raw Data'!$C:$O,5,0)),"")</f>
        <v/>
      </c>
      <c r="I2439" s="55" t="str">
        <f>IFERROR(IF($G2439="","",VLOOKUP('Dashboard And Emails Automate'!$G2439,Database!$H:$N,3,0)),"")</f>
        <v/>
      </c>
      <c r="J2439" s="55" t="str">
        <f>IFERROR(IF($G2439="","",VLOOKUP('Dashboard And Emails Automate'!$G2439,Database!$H:$N,4,0)),"")</f>
        <v/>
      </c>
      <c r="K2439" s="55" t="str">
        <f>IFERROR(IF($G2439="","",VLOOKUP('Dashboard And Emails Automate'!$G2439,Database!$H:$N,5,0)),"")</f>
        <v/>
      </c>
      <c r="L2439" s="55" t="str">
        <f>IFERROR(IF($G2439="","",VLOOKUP('Dashboard And Emails Automate'!$G2439,Database!$H:$N,6,0)),"")</f>
        <v/>
      </c>
      <c r="M2439" s="55" t="str">
        <f>IFERROR(IF($G2439="","",VLOOKUP('Dashboard And Emails Automate'!$G2439,Database!$H:$N,7,0)),"")</f>
        <v/>
      </c>
      <c r="N2439" s="55" t="str">
        <f>IFERROR(IF(OR($B2439="",$B2439="(blank)"),"",VLOOKUP($B2439,'Email Marketing Raw Data'!$C:$O,6,0)),"")</f>
        <v/>
      </c>
      <c r="O2439" s="55" t="str">
        <f>IFERROR(IF(OR($B2439="",$B2439="(blank)"),"",VLOOKUP($B2439,'Email Marketing Raw Data'!$C:$O,7,0)),"")</f>
        <v/>
      </c>
      <c r="P2439" s="55" t="str">
        <f>IFERROR(IF(OR($B2439="",$B2439="(blank)"),"",VLOOKUP($B2439,'Email Marketing Raw Data'!$C:$O,8,0)),"")</f>
        <v/>
      </c>
      <c r="Q2439" s="62" t="str">
        <f>IFERROR(IF(OR($B2439="",$B2439="(blank)"),"",VLOOKUP($B2439,'Email Marketing Raw Data'!$C:$O,9,0)),"")</f>
        <v/>
      </c>
    </row>
    <row r="2440" spans="4:17" ht="12.75" customHeight="1" x14ac:dyDescent="0.2">
      <c r="D2440" s="58" t="str">
        <f>IFERROR(IF(F2440&lt;&gt;"pending","",IF(OR($B2440="",$B2440="(blank)"),"",VLOOKUP($B2440,'Email Marketing Raw Data'!$C:$O,10,0))),"")</f>
        <v/>
      </c>
      <c r="E2440" s="59" t="str">
        <f>IFERROR(IF(F2440&lt;&gt;"pending","",IF(OR($B2440="",$B2440="(blank)"),"",VLOOKUP($B2440,'Email Marketing Raw Data'!$C:$O,11,0))),"")</f>
        <v/>
      </c>
      <c r="F2440" s="54" t="str">
        <f>IFERROR(IF(OR($B2440="",$B2440="(blank)"),"",VLOOKUP($B2440,'Email Marketing Raw Data'!$C:$O,13,0)),"")</f>
        <v/>
      </c>
      <c r="G2440" s="55" t="str">
        <f>IFERROR(IF(OR($B2440="",$B2440="(blank)"),"",VLOOKUP($B2440,'Email Marketing Raw Data'!$C:$O,4,0)),"")</f>
        <v/>
      </c>
      <c r="H2440" s="55" t="str">
        <f>IFERROR(IF(OR($B2440="",$B2440="(blank)"),"",VLOOKUP($B2440,'Email Marketing Raw Data'!$C:$O,5,0)),"")</f>
        <v/>
      </c>
      <c r="I2440" s="55" t="str">
        <f>IFERROR(IF($G2440="","",VLOOKUP('Dashboard And Emails Automate'!$G2440,Database!$H:$N,3,0)),"")</f>
        <v/>
      </c>
      <c r="J2440" s="55" t="str">
        <f>IFERROR(IF($G2440="","",VLOOKUP('Dashboard And Emails Automate'!$G2440,Database!$H:$N,4,0)),"")</f>
        <v/>
      </c>
      <c r="K2440" s="55" t="str">
        <f>IFERROR(IF($G2440="","",VLOOKUP('Dashboard And Emails Automate'!$G2440,Database!$H:$N,5,0)),"")</f>
        <v/>
      </c>
      <c r="L2440" s="55" t="str">
        <f>IFERROR(IF($G2440="","",VLOOKUP('Dashboard And Emails Automate'!$G2440,Database!$H:$N,6,0)),"")</f>
        <v/>
      </c>
      <c r="M2440" s="55" t="str">
        <f>IFERROR(IF($G2440="","",VLOOKUP('Dashboard And Emails Automate'!$G2440,Database!$H:$N,7,0)),"")</f>
        <v/>
      </c>
      <c r="N2440" s="55" t="str">
        <f>IFERROR(IF(OR($B2440="",$B2440="(blank)"),"",VLOOKUP($B2440,'Email Marketing Raw Data'!$C:$O,6,0)),"")</f>
        <v/>
      </c>
      <c r="O2440" s="55" t="str">
        <f>IFERROR(IF(OR($B2440="",$B2440="(blank)"),"",VLOOKUP($B2440,'Email Marketing Raw Data'!$C:$O,7,0)),"")</f>
        <v/>
      </c>
      <c r="P2440" s="55" t="str">
        <f>IFERROR(IF(OR($B2440="",$B2440="(blank)"),"",VLOOKUP($B2440,'Email Marketing Raw Data'!$C:$O,8,0)),"")</f>
        <v/>
      </c>
      <c r="Q2440" s="62" t="str">
        <f>IFERROR(IF(OR($B2440="",$B2440="(blank)"),"",VLOOKUP($B2440,'Email Marketing Raw Data'!$C:$O,9,0)),"")</f>
        <v/>
      </c>
    </row>
    <row r="2441" spans="4:17" ht="12.75" customHeight="1" x14ac:dyDescent="0.2">
      <c r="D2441" s="58" t="str">
        <f>IFERROR(IF(F2441&lt;&gt;"pending","",IF(OR($B2441="",$B2441="(blank)"),"",VLOOKUP($B2441,'Email Marketing Raw Data'!$C:$O,10,0))),"")</f>
        <v/>
      </c>
      <c r="E2441" s="59" t="str">
        <f>IFERROR(IF(F2441&lt;&gt;"pending","",IF(OR($B2441="",$B2441="(blank)"),"",VLOOKUP($B2441,'Email Marketing Raw Data'!$C:$O,11,0))),"")</f>
        <v/>
      </c>
      <c r="F2441" s="54" t="str">
        <f>IFERROR(IF(OR($B2441="",$B2441="(blank)"),"",VLOOKUP($B2441,'Email Marketing Raw Data'!$C:$O,13,0)),"")</f>
        <v/>
      </c>
      <c r="G2441" s="55" t="str">
        <f>IFERROR(IF(OR($B2441="",$B2441="(blank)"),"",VLOOKUP($B2441,'Email Marketing Raw Data'!$C:$O,4,0)),"")</f>
        <v/>
      </c>
      <c r="H2441" s="55" t="str">
        <f>IFERROR(IF(OR($B2441="",$B2441="(blank)"),"",VLOOKUP($B2441,'Email Marketing Raw Data'!$C:$O,5,0)),"")</f>
        <v/>
      </c>
      <c r="I2441" s="55" t="str">
        <f>IFERROR(IF($G2441="","",VLOOKUP('Dashboard And Emails Automate'!$G2441,Database!$H:$N,3,0)),"")</f>
        <v/>
      </c>
      <c r="J2441" s="55" t="str">
        <f>IFERROR(IF($G2441="","",VLOOKUP('Dashboard And Emails Automate'!$G2441,Database!$H:$N,4,0)),"")</f>
        <v/>
      </c>
      <c r="K2441" s="55" t="str">
        <f>IFERROR(IF($G2441="","",VLOOKUP('Dashboard And Emails Automate'!$G2441,Database!$H:$N,5,0)),"")</f>
        <v/>
      </c>
      <c r="L2441" s="55" t="str">
        <f>IFERROR(IF($G2441="","",VLOOKUP('Dashboard And Emails Automate'!$G2441,Database!$H:$N,6,0)),"")</f>
        <v/>
      </c>
      <c r="M2441" s="55" t="str">
        <f>IFERROR(IF($G2441="","",VLOOKUP('Dashboard And Emails Automate'!$G2441,Database!$H:$N,7,0)),"")</f>
        <v/>
      </c>
      <c r="N2441" s="55" t="str">
        <f>IFERROR(IF(OR($B2441="",$B2441="(blank)"),"",VLOOKUP($B2441,'Email Marketing Raw Data'!$C:$O,6,0)),"")</f>
        <v/>
      </c>
      <c r="O2441" s="55" t="str">
        <f>IFERROR(IF(OR($B2441="",$B2441="(blank)"),"",VLOOKUP($B2441,'Email Marketing Raw Data'!$C:$O,7,0)),"")</f>
        <v/>
      </c>
      <c r="P2441" s="55" t="str">
        <f>IFERROR(IF(OR($B2441="",$B2441="(blank)"),"",VLOOKUP($B2441,'Email Marketing Raw Data'!$C:$O,8,0)),"")</f>
        <v/>
      </c>
      <c r="Q2441" s="62" t="str">
        <f>IFERROR(IF(OR($B2441="",$B2441="(blank)"),"",VLOOKUP($B2441,'Email Marketing Raw Data'!$C:$O,9,0)),"")</f>
        <v/>
      </c>
    </row>
    <row r="2442" spans="4:17" ht="12.75" customHeight="1" x14ac:dyDescent="0.2">
      <c r="D2442" s="58" t="str">
        <f>IFERROR(IF(F2442&lt;&gt;"pending","",IF(OR($B2442="",$B2442="(blank)"),"",VLOOKUP($B2442,'Email Marketing Raw Data'!$C:$O,10,0))),"")</f>
        <v/>
      </c>
      <c r="E2442" s="59" t="str">
        <f>IFERROR(IF(F2442&lt;&gt;"pending","",IF(OR($B2442="",$B2442="(blank)"),"",VLOOKUP($B2442,'Email Marketing Raw Data'!$C:$O,11,0))),"")</f>
        <v/>
      </c>
      <c r="F2442" s="54" t="str">
        <f>IFERROR(IF(OR($B2442="",$B2442="(blank)"),"",VLOOKUP($B2442,'Email Marketing Raw Data'!$C:$O,13,0)),"")</f>
        <v/>
      </c>
      <c r="G2442" s="55" t="str">
        <f>IFERROR(IF(OR($B2442="",$B2442="(blank)"),"",VLOOKUP($B2442,'Email Marketing Raw Data'!$C:$O,4,0)),"")</f>
        <v/>
      </c>
      <c r="H2442" s="55" t="str">
        <f>IFERROR(IF(OR($B2442="",$B2442="(blank)"),"",VLOOKUP($B2442,'Email Marketing Raw Data'!$C:$O,5,0)),"")</f>
        <v/>
      </c>
      <c r="I2442" s="55" t="str">
        <f>IFERROR(IF($G2442="","",VLOOKUP('Dashboard And Emails Automate'!$G2442,Database!$H:$N,3,0)),"")</f>
        <v/>
      </c>
      <c r="J2442" s="55" t="str">
        <f>IFERROR(IF($G2442="","",VLOOKUP('Dashboard And Emails Automate'!$G2442,Database!$H:$N,4,0)),"")</f>
        <v/>
      </c>
      <c r="K2442" s="55" t="str">
        <f>IFERROR(IF($G2442="","",VLOOKUP('Dashboard And Emails Automate'!$G2442,Database!$H:$N,5,0)),"")</f>
        <v/>
      </c>
      <c r="L2442" s="55" t="str">
        <f>IFERROR(IF($G2442="","",VLOOKUP('Dashboard And Emails Automate'!$G2442,Database!$H:$N,6,0)),"")</f>
        <v/>
      </c>
      <c r="M2442" s="55" t="str">
        <f>IFERROR(IF($G2442="","",VLOOKUP('Dashboard And Emails Automate'!$G2442,Database!$H:$N,7,0)),"")</f>
        <v/>
      </c>
      <c r="N2442" s="55" t="str">
        <f>IFERROR(IF(OR($B2442="",$B2442="(blank)"),"",VLOOKUP($B2442,'Email Marketing Raw Data'!$C:$O,6,0)),"")</f>
        <v/>
      </c>
      <c r="O2442" s="55" t="str">
        <f>IFERROR(IF(OR($B2442="",$B2442="(blank)"),"",VLOOKUP($B2442,'Email Marketing Raw Data'!$C:$O,7,0)),"")</f>
        <v/>
      </c>
      <c r="P2442" s="55" t="str">
        <f>IFERROR(IF(OR($B2442="",$B2442="(blank)"),"",VLOOKUP($B2442,'Email Marketing Raw Data'!$C:$O,8,0)),"")</f>
        <v/>
      </c>
      <c r="Q2442" s="62" t="str">
        <f>IFERROR(IF(OR($B2442="",$B2442="(blank)"),"",VLOOKUP($B2442,'Email Marketing Raw Data'!$C:$O,9,0)),"")</f>
        <v/>
      </c>
    </row>
    <row r="2443" spans="4:17" ht="12.75" customHeight="1" x14ac:dyDescent="0.2">
      <c r="D2443" s="58" t="str">
        <f>IFERROR(IF(F2443&lt;&gt;"pending","",IF(OR($B2443="",$B2443="(blank)"),"",VLOOKUP($B2443,'Email Marketing Raw Data'!$C:$O,10,0))),"")</f>
        <v/>
      </c>
      <c r="E2443" s="59" t="str">
        <f>IFERROR(IF(F2443&lt;&gt;"pending","",IF(OR($B2443="",$B2443="(blank)"),"",VLOOKUP($B2443,'Email Marketing Raw Data'!$C:$O,11,0))),"")</f>
        <v/>
      </c>
      <c r="F2443" s="54" t="str">
        <f>IFERROR(IF(OR($B2443="",$B2443="(blank)"),"",VLOOKUP($B2443,'Email Marketing Raw Data'!$C:$O,13,0)),"")</f>
        <v/>
      </c>
      <c r="G2443" s="55" t="str">
        <f>IFERROR(IF(OR($B2443="",$B2443="(blank)"),"",VLOOKUP($B2443,'Email Marketing Raw Data'!$C:$O,4,0)),"")</f>
        <v/>
      </c>
      <c r="H2443" s="55" t="str">
        <f>IFERROR(IF(OR($B2443="",$B2443="(blank)"),"",VLOOKUP($B2443,'Email Marketing Raw Data'!$C:$O,5,0)),"")</f>
        <v/>
      </c>
      <c r="I2443" s="55" t="str">
        <f>IFERROR(IF($G2443="","",VLOOKUP('Dashboard And Emails Automate'!$G2443,Database!$H:$N,3,0)),"")</f>
        <v/>
      </c>
      <c r="J2443" s="55" t="str">
        <f>IFERROR(IF($G2443="","",VLOOKUP('Dashboard And Emails Automate'!$G2443,Database!$H:$N,4,0)),"")</f>
        <v/>
      </c>
      <c r="K2443" s="55" t="str">
        <f>IFERROR(IF($G2443="","",VLOOKUP('Dashboard And Emails Automate'!$G2443,Database!$H:$N,5,0)),"")</f>
        <v/>
      </c>
      <c r="L2443" s="55" t="str">
        <f>IFERROR(IF($G2443="","",VLOOKUP('Dashboard And Emails Automate'!$G2443,Database!$H:$N,6,0)),"")</f>
        <v/>
      </c>
      <c r="M2443" s="55" t="str">
        <f>IFERROR(IF($G2443="","",VLOOKUP('Dashboard And Emails Automate'!$G2443,Database!$H:$N,7,0)),"")</f>
        <v/>
      </c>
      <c r="N2443" s="55" t="str">
        <f>IFERROR(IF(OR($B2443="",$B2443="(blank)"),"",VLOOKUP($B2443,'Email Marketing Raw Data'!$C:$O,6,0)),"")</f>
        <v/>
      </c>
      <c r="O2443" s="55" t="str">
        <f>IFERROR(IF(OR($B2443="",$B2443="(blank)"),"",VLOOKUP($B2443,'Email Marketing Raw Data'!$C:$O,7,0)),"")</f>
        <v/>
      </c>
      <c r="P2443" s="55" t="str">
        <f>IFERROR(IF(OR($B2443="",$B2443="(blank)"),"",VLOOKUP($B2443,'Email Marketing Raw Data'!$C:$O,8,0)),"")</f>
        <v/>
      </c>
      <c r="Q2443" s="62" t="str">
        <f>IFERROR(IF(OR($B2443="",$B2443="(blank)"),"",VLOOKUP($B2443,'Email Marketing Raw Data'!$C:$O,9,0)),"")</f>
        <v/>
      </c>
    </row>
    <row r="2444" spans="4:17" ht="12.75" customHeight="1" x14ac:dyDescent="0.2">
      <c r="D2444" s="58" t="str">
        <f>IFERROR(IF(F2444&lt;&gt;"pending","",IF(OR($B2444="",$B2444="(blank)"),"",VLOOKUP($B2444,'Email Marketing Raw Data'!$C:$O,10,0))),"")</f>
        <v/>
      </c>
      <c r="E2444" s="59" t="str">
        <f>IFERROR(IF(F2444&lt;&gt;"pending","",IF(OR($B2444="",$B2444="(blank)"),"",VLOOKUP($B2444,'Email Marketing Raw Data'!$C:$O,11,0))),"")</f>
        <v/>
      </c>
      <c r="F2444" s="54" t="str">
        <f>IFERROR(IF(OR($B2444="",$B2444="(blank)"),"",VLOOKUP($B2444,'Email Marketing Raw Data'!$C:$O,13,0)),"")</f>
        <v/>
      </c>
      <c r="G2444" s="55" t="str">
        <f>IFERROR(IF(OR($B2444="",$B2444="(blank)"),"",VLOOKUP($B2444,'Email Marketing Raw Data'!$C:$O,4,0)),"")</f>
        <v/>
      </c>
      <c r="H2444" s="55" t="str">
        <f>IFERROR(IF(OR($B2444="",$B2444="(blank)"),"",VLOOKUP($B2444,'Email Marketing Raw Data'!$C:$O,5,0)),"")</f>
        <v/>
      </c>
      <c r="I2444" s="55" t="str">
        <f>IFERROR(IF($G2444="","",VLOOKUP('Dashboard And Emails Automate'!$G2444,Database!$H:$N,3,0)),"")</f>
        <v/>
      </c>
      <c r="J2444" s="55" t="str">
        <f>IFERROR(IF($G2444="","",VLOOKUP('Dashboard And Emails Automate'!$G2444,Database!$H:$N,4,0)),"")</f>
        <v/>
      </c>
      <c r="K2444" s="55" t="str">
        <f>IFERROR(IF($G2444="","",VLOOKUP('Dashboard And Emails Automate'!$G2444,Database!$H:$N,5,0)),"")</f>
        <v/>
      </c>
      <c r="L2444" s="55" t="str">
        <f>IFERROR(IF($G2444="","",VLOOKUP('Dashboard And Emails Automate'!$G2444,Database!$H:$N,6,0)),"")</f>
        <v/>
      </c>
      <c r="M2444" s="55" t="str">
        <f>IFERROR(IF($G2444="","",VLOOKUP('Dashboard And Emails Automate'!$G2444,Database!$H:$N,7,0)),"")</f>
        <v/>
      </c>
      <c r="N2444" s="55" t="str">
        <f>IFERROR(IF(OR($B2444="",$B2444="(blank)"),"",VLOOKUP($B2444,'Email Marketing Raw Data'!$C:$O,6,0)),"")</f>
        <v/>
      </c>
      <c r="O2444" s="55" t="str">
        <f>IFERROR(IF(OR($B2444="",$B2444="(blank)"),"",VLOOKUP($B2444,'Email Marketing Raw Data'!$C:$O,7,0)),"")</f>
        <v/>
      </c>
      <c r="P2444" s="55" t="str">
        <f>IFERROR(IF(OR($B2444="",$B2444="(blank)"),"",VLOOKUP($B2444,'Email Marketing Raw Data'!$C:$O,8,0)),"")</f>
        <v/>
      </c>
      <c r="Q2444" s="62" t="str">
        <f>IFERROR(IF(OR($B2444="",$B2444="(blank)"),"",VLOOKUP($B2444,'Email Marketing Raw Data'!$C:$O,9,0)),"")</f>
        <v/>
      </c>
    </row>
    <row r="2445" spans="4:17" ht="12.75" customHeight="1" x14ac:dyDescent="0.2">
      <c r="D2445" s="58" t="str">
        <f>IFERROR(IF(F2445&lt;&gt;"pending","",IF(OR($B2445="",$B2445="(blank)"),"",VLOOKUP($B2445,'Email Marketing Raw Data'!$C:$O,10,0))),"")</f>
        <v/>
      </c>
      <c r="E2445" s="59" t="str">
        <f>IFERROR(IF(F2445&lt;&gt;"pending","",IF(OR($B2445="",$B2445="(blank)"),"",VLOOKUP($B2445,'Email Marketing Raw Data'!$C:$O,11,0))),"")</f>
        <v/>
      </c>
      <c r="F2445" s="54" t="str">
        <f>IFERROR(IF(OR($B2445="",$B2445="(blank)"),"",VLOOKUP($B2445,'Email Marketing Raw Data'!$C:$O,13,0)),"")</f>
        <v/>
      </c>
      <c r="G2445" s="55" t="str">
        <f>IFERROR(IF(OR($B2445="",$B2445="(blank)"),"",VLOOKUP($B2445,'Email Marketing Raw Data'!$C:$O,4,0)),"")</f>
        <v/>
      </c>
      <c r="H2445" s="55" t="str">
        <f>IFERROR(IF(OR($B2445="",$B2445="(blank)"),"",VLOOKUP($B2445,'Email Marketing Raw Data'!$C:$O,5,0)),"")</f>
        <v/>
      </c>
      <c r="I2445" s="55" t="str">
        <f>IFERROR(IF($G2445="","",VLOOKUP('Dashboard And Emails Automate'!$G2445,Database!$H:$N,3,0)),"")</f>
        <v/>
      </c>
      <c r="J2445" s="55" t="str">
        <f>IFERROR(IF($G2445="","",VLOOKUP('Dashboard And Emails Automate'!$G2445,Database!$H:$N,4,0)),"")</f>
        <v/>
      </c>
      <c r="K2445" s="55" t="str">
        <f>IFERROR(IF($G2445="","",VLOOKUP('Dashboard And Emails Automate'!$G2445,Database!$H:$N,5,0)),"")</f>
        <v/>
      </c>
      <c r="L2445" s="55" t="str">
        <f>IFERROR(IF($G2445="","",VLOOKUP('Dashboard And Emails Automate'!$G2445,Database!$H:$N,6,0)),"")</f>
        <v/>
      </c>
      <c r="M2445" s="55" t="str">
        <f>IFERROR(IF($G2445="","",VLOOKUP('Dashboard And Emails Automate'!$G2445,Database!$H:$N,7,0)),"")</f>
        <v/>
      </c>
      <c r="N2445" s="55" t="str">
        <f>IFERROR(IF(OR($B2445="",$B2445="(blank)"),"",VLOOKUP($B2445,'Email Marketing Raw Data'!$C:$O,6,0)),"")</f>
        <v/>
      </c>
      <c r="O2445" s="55" t="str">
        <f>IFERROR(IF(OR($B2445="",$B2445="(blank)"),"",VLOOKUP($B2445,'Email Marketing Raw Data'!$C:$O,7,0)),"")</f>
        <v/>
      </c>
      <c r="P2445" s="55" t="str">
        <f>IFERROR(IF(OR($B2445="",$B2445="(blank)"),"",VLOOKUP($B2445,'Email Marketing Raw Data'!$C:$O,8,0)),"")</f>
        <v/>
      </c>
      <c r="Q2445" s="62" t="str">
        <f>IFERROR(IF(OR($B2445="",$B2445="(blank)"),"",VLOOKUP($B2445,'Email Marketing Raw Data'!$C:$O,9,0)),"")</f>
        <v/>
      </c>
    </row>
    <row r="2446" spans="4:17" ht="12.75" customHeight="1" x14ac:dyDescent="0.2">
      <c r="D2446" s="58" t="str">
        <f>IFERROR(IF(F2446&lt;&gt;"pending","",IF(OR($B2446="",$B2446="(blank)"),"",VLOOKUP($B2446,'Email Marketing Raw Data'!$C:$O,10,0))),"")</f>
        <v/>
      </c>
      <c r="E2446" s="59" t="str">
        <f>IFERROR(IF(F2446&lt;&gt;"pending","",IF(OR($B2446="",$B2446="(blank)"),"",VLOOKUP($B2446,'Email Marketing Raw Data'!$C:$O,11,0))),"")</f>
        <v/>
      </c>
      <c r="F2446" s="54" t="str">
        <f>IFERROR(IF(OR($B2446="",$B2446="(blank)"),"",VLOOKUP($B2446,'Email Marketing Raw Data'!$C:$O,13,0)),"")</f>
        <v/>
      </c>
      <c r="G2446" s="55" t="str">
        <f>IFERROR(IF(OR($B2446="",$B2446="(blank)"),"",VLOOKUP($B2446,'Email Marketing Raw Data'!$C:$O,4,0)),"")</f>
        <v/>
      </c>
      <c r="H2446" s="55" t="str">
        <f>IFERROR(IF(OR($B2446="",$B2446="(blank)"),"",VLOOKUP($B2446,'Email Marketing Raw Data'!$C:$O,5,0)),"")</f>
        <v/>
      </c>
      <c r="I2446" s="55" t="str">
        <f>IFERROR(IF($G2446="","",VLOOKUP('Dashboard And Emails Automate'!$G2446,Database!$H:$N,3,0)),"")</f>
        <v/>
      </c>
      <c r="J2446" s="55" t="str">
        <f>IFERROR(IF($G2446="","",VLOOKUP('Dashboard And Emails Automate'!$G2446,Database!$H:$N,4,0)),"")</f>
        <v/>
      </c>
      <c r="K2446" s="55" t="str">
        <f>IFERROR(IF($G2446="","",VLOOKUP('Dashboard And Emails Automate'!$G2446,Database!$H:$N,5,0)),"")</f>
        <v/>
      </c>
      <c r="L2446" s="55" t="str">
        <f>IFERROR(IF($G2446="","",VLOOKUP('Dashboard And Emails Automate'!$G2446,Database!$H:$N,6,0)),"")</f>
        <v/>
      </c>
      <c r="M2446" s="55" t="str">
        <f>IFERROR(IF($G2446="","",VLOOKUP('Dashboard And Emails Automate'!$G2446,Database!$H:$N,7,0)),"")</f>
        <v/>
      </c>
      <c r="N2446" s="55" t="str">
        <f>IFERROR(IF(OR($B2446="",$B2446="(blank)"),"",VLOOKUP($B2446,'Email Marketing Raw Data'!$C:$O,6,0)),"")</f>
        <v/>
      </c>
      <c r="O2446" s="55" t="str">
        <f>IFERROR(IF(OR($B2446="",$B2446="(blank)"),"",VLOOKUP($B2446,'Email Marketing Raw Data'!$C:$O,7,0)),"")</f>
        <v/>
      </c>
      <c r="P2446" s="55" t="str">
        <f>IFERROR(IF(OR($B2446="",$B2446="(blank)"),"",VLOOKUP($B2446,'Email Marketing Raw Data'!$C:$O,8,0)),"")</f>
        <v/>
      </c>
      <c r="Q2446" s="62" t="str">
        <f>IFERROR(IF(OR($B2446="",$B2446="(blank)"),"",VLOOKUP($B2446,'Email Marketing Raw Data'!$C:$O,9,0)),"")</f>
        <v/>
      </c>
    </row>
    <row r="2447" spans="4:17" ht="12.75" customHeight="1" x14ac:dyDescent="0.2">
      <c r="D2447" s="58" t="str">
        <f>IFERROR(IF(F2447&lt;&gt;"pending","",IF(OR($B2447="",$B2447="(blank)"),"",VLOOKUP($B2447,'Email Marketing Raw Data'!$C:$O,10,0))),"")</f>
        <v/>
      </c>
      <c r="E2447" s="59" t="str">
        <f>IFERROR(IF(F2447&lt;&gt;"pending","",IF(OR($B2447="",$B2447="(blank)"),"",VLOOKUP($B2447,'Email Marketing Raw Data'!$C:$O,11,0))),"")</f>
        <v/>
      </c>
      <c r="F2447" s="54" t="str">
        <f>IFERROR(IF(OR($B2447="",$B2447="(blank)"),"",VLOOKUP($B2447,'Email Marketing Raw Data'!$C:$O,13,0)),"")</f>
        <v/>
      </c>
      <c r="G2447" s="55" t="str">
        <f>IFERROR(IF(OR($B2447="",$B2447="(blank)"),"",VLOOKUP($B2447,'Email Marketing Raw Data'!$C:$O,4,0)),"")</f>
        <v/>
      </c>
      <c r="H2447" s="55" t="str">
        <f>IFERROR(IF(OR($B2447="",$B2447="(blank)"),"",VLOOKUP($B2447,'Email Marketing Raw Data'!$C:$O,5,0)),"")</f>
        <v/>
      </c>
      <c r="I2447" s="55" t="str">
        <f>IFERROR(IF($G2447="","",VLOOKUP('Dashboard And Emails Automate'!$G2447,Database!$H:$N,3,0)),"")</f>
        <v/>
      </c>
      <c r="J2447" s="55" t="str">
        <f>IFERROR(IF($G2447="","",VLOOKUP('Dashboard And Emails Automate'!$G2447,Database!$H:$N,4,0)),"")</f>
        <v/>
      </c>
      <c r="K2447" s="55" t="str">
        <f>IFERROR(IF($G2447="","",VLOOKUP('Dashboard And Emails Automate'!$G2447,Database!$H:$N,5,0)),"")</f>
        <v/>
      </c>
      <c r="L2447" s="55" t="str">
        <f>IFERROR(IF($G2447="","",VLOOKUP('Dashboard And Emails Automate'!$G2447,Database!$H:$N,6,0)),"")</f>
        <v/>
      </c>
      <c r="M2447" s="55" t="str">
        <f>IFERROR(IF($G2447="","",VLOOKUP('Dashboard And Emails Automate'!$G2447,Database!$H:$N,7,0)),"")</f>
        <v/>
      </c>
      <c r="N2447" s="55" t="str">
        <f>IFERROR(IF(OR($B2447="",$B2447="(blank)"),"",VLOOKUP($B2447,'Email Marketing Raw Data'!$C:$O,6,0)),"")</f>
        <v/>
      </c>
      <c r="O2447" s="55" t="str">
        <f>IFERROR(IF(OR($B2447="",$B2447="(blank)"),"",VLOOKUP($B2447,'Email Marketing Raw Data'!$C:$O,7,0)),"")</f>
        <v/>
      </c>
      <c r="P2447" s="55" t="str">
        <f>IFERROR(IF(OR($B2447="",$B2447="(blank)"),"",VLOOKUP($B2447,'Email Marketing Raw Data'!$C:$O,8,0)),"")</f>
        <v/>
      </c>
      <c r="Q2447" s="62" t="str">
        <f>IFERROR(IF(OR($B2447="",$B2447="(blank)"),"",VLOOKUP($B2447,'Email Marketing Raw Data'!$C:$O,9,0)),"")</f>
        <v/>
      </c>
    </row>
    <row r="2448" spans="4:17" ht="12.75" customHeight="1" x14ac:dyDescent="0.2">
      <c r="D2448" s="58" t="str">
        <f>IFERROR(IF(F2448&lt;&gt;"pending","",IF(OR($B2448="",$B2448="(blank)"),"",VLOOKUP($B2448,'Email Marketing Raw Data'!$C:$O,10,0))),"")</f>
        <v/>
      </c>
      <c r="E2448" s="59" t="str">
        <f>IFERROR(IF(F2448&lt;&gt;"pending","",IF(OR($B2448="",$B2448="(blank)"),"",VLOOKUP($B2448,'Email Marketing Raw Data'!$C:$O,11,0))),"")</f>
        <v/>
      </c>
      <c r="F2448" s="54" t="str">
        <f>IFERROR(IF(OR($B2448="",$B2448="(blank)"),"",VLOOKUP($B2448,'Email Marketing Raw Data'!$C:$O,13,0)),"")</f>
        <v/>
      </c>
      <c r="G2448" s="55" t="str">
        <f>IFERROR(IF(OR($B2448="",$B2448="(blank)"),"",VLOOKUP($B2448,'Email Marketing Raw Data'!$C:$O,4,0)),"")</f>
        <v/>
      </c>
      <c r="H2448" s="55" t="str">
        <f>IFERROR(IF(OR($B2448="",$B2448="(blank)"),"",VLOOKUP($B2448,'Email Marketing Raw Data'!$C:$O,5,0)),"")</f>
        <v/>
      </c>
      <c r="I2448" s="55" t="str">
        <f>IFERROR(IF($G2448="","",VLOOKUP('Dashboard And Emails Automate'!$G2448,Database!$H:$N,3,0)),"")</f>
        <v/>
      </c>
      <c r="J2448" s="55" t="str">
        <f>IFERROR(IF($G2448="","",VLOOKUP('Dashboard And Emails Automate'!$G2448,Database!$H:$N,4,0)),"")</f>
        <v/>
      </c>
      <c r="K2448" s="55" t="str">
        <f>IFERROR(IF($G2448="","",VLOOKUP('Dashboard And Emails Automate'!$G2448,Database!$H:$N,5,0)),"")</f>
        <v/>
      </c>
      <c r="L2448" s="55" t="str">
        <f>IFERROR(IF($G2448="","",VLOOKUP('Dashboard And Emails Automate'!$G2448,Database!$H:$N,6,0)),"")</f>
        <v/>
      </c>
      <c r="M2448" s="55" t="str">
        <f>IFERROR(IF($G2448="","",VLOOKUP('Dashboard And Emails Automate'!$G2448,Database!$H:$N,7,0)),"")</f>
        <v/>
      </c>
      <c r="N2448" s="55" t="str">
        <f>IFERROR(IF(OR($B2448="",$B2448="(blank)"),"",VLOOKUP($B2448,'Email Marketing Raw Data'!$C:$O,6,0)),"")</f>
        <v/>
      </c>
      <c r="O2448" s="55" t="str">
        <f>IFERROR(IF(OR($B2448="",$B2448="(blank)"),"",VLOOKUP($B2448,'Email Marketing Raw Data'!$C:$O,7,0)),"")</f>
        <v/>
      </c>
      <c r="P2448" s="55" t="str">
        <f>IFERROR(IF(OR($B2448="",$B2448="(blank)"),"",VLOOKUP($B2448,'Email Marketing Raw Data'!$C:$O,8,0)),"")</f>
        <v/>
      </c>
      <c r="Q2448" s="62" t="str">
        <f>IFERROR(IF(OR($B2448="",$B2448="(blank)"),"",VLOOKUP($B2448,'Email Marketing Raw Data'!$C:$O,9,0)),"")</f>
        <v/>
      </c>
    </row>
    <row r="2449" spans="4:17" ht="12.75" customHeight="1" x14ac:dyDescent="0.2">
      <c r="D2449" s="58" t="str">
        <f>IFERROR(IF(F2449&lt;&gt;"pending","",IF(OR($B2449="",$B2449="(blank)"),"",VLOOKUP($B2449,'Email Marketing Raw Data'!$C:$O,10,0))),"")</f>
        <v/>
      </c>
      <c r="E2449" s="59" t="str">
        <f>IFERROR(IF(F2449&lt;&gt;"pending","",IF(OR($B2449="",$B2449="(blank)"),"",VLOOKUP($B2449,'Email Marketing Raw Data'!$C:$O,11,0))),"")</f>
        <v/>
      </c>
      <c r="F2449" s="54" t="str">
        <f>IFERROR(IF(OR($B2449="",$B2449="(blank)"),"",VLOOKUP($B2449,'Email Marketing Raw Data'!$C:$O,13,0)),"")</f>
        <v/>
      </c>
      <c r="G2449" s="55" t="str">
        <f>IFERROR(IF(OR($B2449="",$B2449="(blank)"),"",VLOOKUP($B2449,'Email Marketing Raw Data'!$C:$O,4,0)),"")</f>
        <v/>
      </c>
      <c r="H2449" s="55" t="str">
        <f>IFERROR(IF(OR($B2449="",$B2449="(blank)"),"",VLOOKUP($B2449,'Email Marketing Raw Data'!$C:$O,5,0)),"")</f>
        <v/>
      </c>
      <c r="I2449" s="55" t="str">
        <f>IFERROR(IF($G2449="","",VLOOKUP('Dashboard And Emails Automate'!$G2449,Database!$H:$N,3,0)),"")</f>
        <v/>
      </c>
      <c r="J2449" s="55" t="str">
        <f>IFERROR(IF($G2449="","",VLOOKUP('Dashboard And Emails Automate'!$G2449,Database!$H:$N,4,0)),"")</f>
        <v/>
      </c>
      <c r="K2449" s="55" t="str">
        <f>IFERROR(IF($G2449="","",VLOOKUP('Dashboard And Emails Automate'!$G2449,Database!$H:$N,5,0)),"")</f>
        <v/>
      </c>
      <c r="L2449" s="55" t="str">
        <f>IFERROR(IF($G2449="","",VLOOKUP('Dashboard And Emails Automate'!$G2449,Database!$H:$N,6,0)),"")</f>
        <v/>
      </c>
      <c r="M2449" s="55" t="str">
        <f>IFERROR(IF($G2449="","",VLOOKUP('Dashboard And Emails Automate'!$G2449,Database!$H:$N,7,0)),"")</f>
        <v/>
      </c>
      <c r="N2449" s="55" t="str">
        <f>IFERROR(IF(OR($B2449="",$B2449="(blank)"),"",VLOOKUP($B2449,'Email Marketing Raw Data'!$C:$O,6,0)),"")</f>
        <v/>
      </c>
      <c r="O2449" s="55" t="str">
        <f>IFERROR(IF(OR($B2449="",$B2449="(blank)"),"",VLOOKUP($B2449,'Email Marketing Raw Data'!$C:$O,7,0)),"")</f>
        <v/>
      </c>
      <c r="P2449" s="55" t="str">
        <f>IFERROR(IF(OR($B2449="",$B2449="(blank)"),"",VLOOKUP($B2449,'Email Marketing Raw Data'!$C:$O,8,0)),"")</f>
        <v/>
      </c>
      <c r="Q2449" s="62" t="str">
        <f>IFERROR(IF(OR($B2449="",$B2449="(blank)"),"",VLOOKUP($B2449,'Email Marketing Raw Data'!$C:$O,9,0)),"")</f>
        <v/>
      </c>
    </row>
    <row r="2450" spans="4:17" ht="12.75" customHeight="1" x14ac:dyDescent="0.2">
      <c r="D2450" s="58" t="str">
        <f>IFERROR(IF(F2450&lt;&gt;"pending","",IF(OR($B2450="",$B2450="(blank)"),"",VLOOKUP($B2450,'Email Marketing Raw Data'!$C:$O,10,0))),"")</f>
        <v/>
      </c>
      <c r="E2450" s="59" t="str">
        <f>IFERROR(IF(F2450&lt;&gt;"pending","",IF(OR($B2450="",$B2450="(blank)"),"",VLOOKUP($B2450,'Email Marketing Raw Data'!$C:$O,11,0))),"")</f>
        <v/>
      </c>
      <c r="F2450" s="54" t="str">
        <f>IFERROR(IF(OR($B2450="",$B2450="(blank)"),"",VLOOKUP($B2450,'Email Marketing Raw Data'!$C:$O,13,0)),"")</f>
        <v/>
      </c>
      <c r="G2450" s="55" t="str">
        <f>IFERROR(IF(OR($B2450="",$B2450="(blank)"),"",VLOOKUP($B2450,'Email Marketing Raw Data'!$C:$O,4,0)),"")</f>
        <v/>
      </c>
      <c r="H2450" s="55" t="str">
        <f>IFERROR(IF(OR($B2450="",$B2450="(blank)"),"",VLOOKUP($B2450,'Email Marketing Raw Data'!$C:$O,5,0)),"")</f>
        <v/>
      </c>
      <c r="I2450" s="55" t="str">
        <f>IFERROR(IF($G2450="","",VLOOKUP('Dashboard And Emails Automate'!$G2450,Database!$H:$N,3,0)),"")</f>
        <v/>
      </c>
      <c r="J2450" s="55" t="str">
        <f>IFERROR(IF($G2450="","",VLOOKUP('Dashboard And Emails Automate'!$G2450,Database!$H:$N,4,0)),"")</f>
        <v/>
      </c>
      <c r="K2450" s="55" t="str">
        <f>IFERROR(IF($G2450="","",VLOOKUP('Dashboard And Emails Automate'!$G2450,Database!$H:$N,5,0)),"")</f>
        <v/>
      </c>
      <c r="L2450" s="55" t="str">
        <f>IFERROR(IF($G2450="","",VLOOKUP('Dashboard And Emails Automate'!$G2450,Database!$H:$N,6,0)),"")</f>
        <v/>
      </c>
      <c r="M2450" s="55" t="str">
        <f>IFERROR(IF($G2450="","",VLOOKUP('Dashboard And Emails Automate'!$G2450,Database!$H:$N,7,0)),"")</f>
        <v/>
      </c>
      <c r="N2450" s="55" t="str">
        <f>IFERROR(IF(OR($B2450="",$B2450="(blank)"),"",VLOOKUP($B2450,'Email Marketing Raw Data'!$C:$O,6,0)),"")</f>
        <v/>
      </c>
      <c r="O2450" s="55" t="str">
        <f>IFERROR(IF(OR($B2450="",$B2450="(blank)"),"",VLOOKUP($B2450,'Email Marketing Raw Data'!$C:$O,7,0)),"")</f>
        <v/>
      </c>
      <c r="P2450" s="55" t="str">
        <f>IFERROR(IF(OR($B2450="",$B2450="(blank)"),"",VLOOKUP($B2450,'Email Marketing Raw Data'!$C:$O,8,0)),"")</f>
        <v/>
      </c>
      <c r="Q2450" s="62" t="str">
        <f>IFERROR(IF(OR($B2450="",$B2450="(blank)"),"",VLOOKUP($B2450,'Email Marketing Raw Data'!$C:$O,9,0)),"")</f>
        <v/>
      </c>
    </row>
    <row r="2451" spans="4:17" ht="12.75" customHeight="1" x14ac:dyDescent="0.2">
      <c r="D2451" s="58" t="str">
        <f>IFERROR(IF(F2451&lt;&gt;"pending","",IF(OR($B2451="",$B2451="(blank)"),"",VLOOKUP($B2451,'Email Marketing Raw Data'!$C:$O,10,0))),"")</f>
        <v/>
      </c>
      <c r="E2451" s="59" t="str">
        <f>IFERROR(IF(F2451&lt;&gt;"pending","",IF(OR($B2451="",$B2451="(blank)"),"",VLOOKUP($B2451,'Email Marketing Raw Data'!$C:$O,11,0))),"")</f>
        <v/>
      </c>
      <c r="F2451" s="54" t="str">
        <f>IFERROR(IF(OR($B2451="",$B2451="(blank)"),"",VLOOKUP($B2451,'Email Marketing Raw Data'!$C:$O,13,0)),"")</f>
        <v/>
      </c>
      <c r="G2451" s="55" t="str">
        <f>IFERROR(IF(OR($B2451="",$B2451="(blank)"),"",VLOOKUP($B2451,'Email Marketing Raw Data'!$C:$O,4,0)),"")</f>
        <v/>
      </c>
      <c r="H2451" s="55" t="str">
        <f>IFERROR(IF(OR($B2451="",$B2451="(blank)"),"",VLOOKUP($B2451,'Email Marketing Raw Data'!$C:$O,5,0)),"")</f>
        <v/>
      </c>
      <c r="I2451" s="55" t="str">
        <f>IFERROR(IF($G2451="","",VLOOKUP('Dashboard And Emails Automate'!$G2451,Database!$H:$N,3,0)),"")</f>
        <v/>
      </c>
      <c r="J2451" s="55" t="str">
        <f>IFERROR(IF($G2451="","",VLOOKUP('Dashboard And Emails Automate'!$G2451,Database!$H:$N,4,0)),"")</f>
        <v/>
      </c>
      <c r="K2451" s="55" t="str">
        <f>IFERROR(IF($G2451="","",VLOOKUP('Dashboard And Emails Automate'!$G2451,Database!$H:$N,5,0)),"")</f>
        <v/>
      </c>
      <c r="L2451" s="55" t="str">
        <f>IFERROR(IF($G2451="","",VLOOKUP('Dashboard And Emails Automate'!$G2451,Database!$H:$N,6,0)),"")</f>
        <v/>
      </c>
      <c r="M2451" s="55" t="str">
        <f>IFERROR(IF($G2451="","",VLOOKUP('Dashboard And Emails Automate'!$G2451,Database!$H:$N,7,0)),"")</f>
        <v/>
      </c>
      <c r="N2451" s="55" t="str">
        <f>IFERROR(IF(OR($B2451="",$B2451="(blank)"),"",VLOOKUP($B2451,'Email Marketing Raw Data'!$C:$O,6,0)),"")</f>
        <v/>
      </c>
      <c r="O2451" s="55" t="str">
        <f>IFERROR(IF(OR($B2451="",$B2451="(blank)"),"",VLOOKUP($B2451,'Email Marketing Raw Data'!$C:$O,7,0)),"")</f>
        <v/>
      </c>
      <c r="P2451" s="55" t="str">
        <f>IFERROR(IF(OR($B2451="",$B2451="(blank)"),"",VLOOKUP($B2451,'Email Marketing Raw Data'!$C:$O,8,0)),"")</f>
        <v/>
      </c>
      <c r="Q2451" s="62" t="str">
        <f>IFERROR(IF(OR($B2451="",$B2451="(blank)"),"",VLOOKUP($B2451,'Email Marketing Raw Data'!$C:$O,9,0)),"")</f>
        <v/>
      </c>
    </row>
    <row r="2452" spans="4:17" ht="12.75" customHeight="1" x14ac:dyDescent="0.2">
      <c r="D2452" s="58" t="str">
        <f>IFERROR(IF(F2452&lt;&gt;"pending","",IF(OR($B2452="",$B2452="(blank)"),"",VLOOKUP($B2452,'Email Marketing Raw Data'!$C:$O,10,0))),"")</f>
        <v/>
      </c>
      <c r="E2452" s="59" t="str">
        <f>IFERROR(IF(F2452&lt;&gt;"pending","",IF(OR($B2452="",$B2452="(blank)"),"",VLOOKUP($B2452,'Email Marketing Raw Data'!$C:$O,11,0))),"")</f>
        <v/>
      </c>
      <c r="F2452" s="54" t="str">
        <f>IFERROR(IF(OR($B2452="",$B2452="(blank)"),"",VLOOKUP($B2452,'Email Marketing Raw Data'!$C:$O,13,0)),"")</f>
        <v/>
      </c>
      <c r="G2452" s="55" t="str">
        <f>IFERROR(IF(OR($B2452="",$B2452="(blank)"),"",VLOOKUP($B2452,'Email Marketing Raw Data'!$C:$O,4,0)),"")</f>
        <v/>
      </c>
      <c r="H2452" s="55" t="str">
        <f>IFERROR(IF(OR($B2452="",$B2452="(blank)"),"",VLOOKUP($B2452,'Email Marketing Raw Data'!$C:$O,5,0)),"")</f>
        <v/>
      </c>
      <c r="I2452" s="55" t="str">
        <f>IFERROR(IF($G2452="","",VLOOKUP('Dashboard And Emails Automate'!$G2452,Database!$H:$N,3,0)),"")</f>
        <v/>
      </c>
      <c r="J2452" s="55" t="str">
        <f>IFERROR(IF($G2452="","",VLOOKUP('Dashboard And Emails Automate'!$G2452,Database!$H:$N,4,0)),"")</f>
        <v/>
      </c>
      <c r="K2452" s="55" t="str">
        <f>IFERROR(IF($G2452="","",VLOOKUP('Dashboard And Emails Automate'!$G2452,Database!$H:$N,5,0)),"")</f>
        <v/>
      </c>
      <c r="L2452" s="55" t="str">
        <f>IFERROR(IF($G2452="","",VLOOKUP('Dashboard And Emails Automate'!$G2452,Database!$H:$N,6,0)),"")</f>
        <v/>
      </c>
      <c r="M2452" s="55" t="str">
        <f>IFERROR(IF($G2452="","",VLOOKUP('Dashboard And Emails Automate'!$G2452,Database!$H:$N,7,0)),"")</f>
        <v/>
      </c>
      <c r="N2452" s="55" t="str">
        <f>IFERROR(IF(OR($B2452="",$B2452="(blank)"),"",VLOOKUP($B2452,'Email Marketing Raw Data'!$C:$O,6,0)),"")</f>
        <v/>
      </c>
      <c r="O2452" s="55" t="str">
        <f>IFERROR(IF(OR($B2452="",$B2452="(blank)"),"",VLOOKUP($B2452,'Email Marketing Raw Data'!$C:$O,7,0)),"")</f>
        <v/>
      </c>
      <c r="P2452" s="55" t="str">
        <f>IFERROR(IF(OR($B2452="",$B2452="(blank)"),"",VLOOKUP($B2452,'Email Marketing Raw Data'!$C:$O,8,0)),"")</f>
        <v/>
      </c>
      <c r="Q2452" s="62" t="str">
        <f>IFERROR(IF(OR($B2452="",$B2452="(blank)"),"",VLOOKUP($B2452,'Email Marketing Raw Data'!$C:$O,9,0)),"")</f>
        <v/>
      </c>
    </row>
    <row r="2453" spans="4:17" ht="12.75" customHeight="1" x14ac:dyDescent="0.2">
      <c r="D2453" s="58" t="str">
        <f>IFERROR(IF(F2453&lt;&gt;"pending","",IF(OR($B2453="",$B2453="(blank)"),"",VLOOKUP($B2453,'Email Marketing Raw Data'!$C:$O,10,0))),"")</f>
        <v/>
      </c>
      <c r="E2453" s="59" t="str">
        <f>IFERROR(IF(F2453&lt;&gt;"pending","",IF(OR($B2453="",$B2453="(blank)"),"",VLOOKUP($B2453,'Email Marketing Raw Data'!$C:$O,11,0))),"")</f>
        <v/>
      </c>
      <c r="F2453" s="54" t="str">
        <f>IFERROR(IF(OR($B2453="",$B2453="(blank)"),"",VLOOKUP($B2453,'Email Marketing Raw Data'!$C:$O,13,0)),"")</f>
        <v/>
      </c>
      <c r="G2453" s="55" t="str">
        <f>IFERROR(IF(OR($B2453="",$B2453="(blank)"),"",VLOOKUP($B2453,'Email Marketing Raw Data'!$C:$O,4,0)),"")</f>
        <v/>
      </c>
      <c r="H2453" s="55" t="str">
        <f>IFERROR(IF(OR($B2453="",$B2453="(blank)"),"",VLOOKUP($B2453,'Email Marketing Raw Data'!$C:$O,5,0)),"")</f>
        <v/>
      </c>
      <c r="I2453" s="55" t="str">
        <f>IFERROR(IF($G2453="","",VLOOKUP('Dashboard And Emails Automate'!$G2453,Database!$H:$N,3,0)),"")</f>
        <v/>
      </c>
      <c r="J2453" s="55" t="str">
        <f>IFERROR(IF($G2453="","",VLOOKUP('Dashboard And Emails Automate'!$G2453,Database!$H:$N,4,0)),"")</f>
        <v/>
      </c>
      <c r="K2453" s="55" t="str">
        <f>IFERROR(IF($G2453="","",VLOOKUP('Dashboard And Emails Automate'!$G2453,Database!$H:$N,5,0)),"")</f>
        <v/>
      </c>
      <c r="L2453" s="55" t="str">
        <f>IFERROR(IF($G2453="","",VLOOKUP('Dashboard And Emails Automate'!$G2453,Database!$H:$N,6,0)),"")</f>
        <v/>
      </c>
      <c r="M2453" s="55" t="str">
        <f>IFERROR(IF($G2453="","",VLOOKUP('Dashboard And Emails Automate'!$G2453,Database!$H:$N,7,0)),"")</f>
        <v/>
      </c>
      <c r="N2453" s="55" t="str">
        <f>IFERROR(IF(OR($B2453="",$B2453="(blank)"),"",VLOOKUP($B2453,'Email Marketing Raw Data'!$C:$O,6,0)),"")</f>
        <v/>
      </c>
      <c r="O2453" s="55" t="str">
        <f>IFERROR(IF(OR($B2453="",$B2453="(blank)"),"",VLOOKUP($B2453,'Email Marketing Raw Data'!$C:$O,7,0)),"")</f>
        <v/>
      </c>
      <c r="P2453" s="55" t="str">
        <f>IFERROR(IF(OR($B2453="",$B2453="(blank)"),"",VLOOKUP($B2453,'Email Marketing Raw Data'!$C:$O,8,0)),"")</f>
        <v/>
      </c>
      <c r="Q2453" s="62" t="str">
        <f>IFERROR(IF(OR($B2453="",$B2453="(blank)"),"",VLOOKUP($B2453,'Email Marketing Raw Data'!$C:$O,9,0)),"")</f>
        <v/>
      </c>
    </row>
    <row r="2454" spans="4:17" ht="12.75" customHeight="1" x14ac:dyDescent="0.2">
      <c r="D2454" s="58" t="str">
        <f>IFERROR(IF(F2454&lt;&gt;"pending","",IF(OR($B2454="",$B2454="(blank)"),"",VLOOKUP($B2454,'Email Marketing Raw Data'!$C:$O,10,0))),"")</f>
        <v/>
      </c>
      <c r="E2454" s="59" t="str">
        <f>IFERROR(IF(F2454&lt;&gt;"pending","",IF(OR($B2454="",$B2454="(blank)"),"",VLOOKUP($B2454,'Email Marketing Raw Data'!$C:$O,11,0))),"")</f>
        <v/>
      </c>
      <c r="F2454" s="54" t="str">
        <f>IFERROR(IF(OR($B2454="",$B2454="(blank)"),"",VLOOKUP($B2454,'Email Marketing Raw Data'!$C:$O,13,0)),"")</f>
        <v/>
      </c>
      <c r="G2454" s="55" t="str">
        <f>IFERROR(IF(OR($B2454="",$B2454="(blank)"),"",VLOOKUP($B2454,'Email Marketing Raw Data'!$C:$O,4,0)),"")</f>
        <v/>
      </c>
      <c r="H2454" s="55" t="str">
        <f>IFERROR(IF(OR($B2454="",$B2454="(blank)"),"",VLOOKUP($B2454,'Email Marketing Raw Data'!$C:$O,5,0)),"")</f>
        <v/>
      </c>
      <c r="I2454" s="55" t="str">
        <f>IFERROR(IF($G2454="","",VLOOKUP('Dashboard And Emails Automate'!$G2454,Database!$H:$N,3,0)),"")</f>
        <v/>
      </c>
      <c r="J2454" s="55" t="str">
        <f>IFERROR(IF($G2454="","",VLOOKUP('Dashboard And Emails Automate'!$G2454,Database!$H:$N,4,0)),"")</f>
        <v/>
      </c>
      <c r="K2454" s="55" t="str">
        <f>IFERROR(IF($G2454="","",VLOOKUP('Dashboard And Emails Automate'!$G2454,Database!$H:$N,5,0)),"")</f>
        <v/>
      </c>
      <c r="L2454" s="55" t="str">
        <f>IFERROR(IF($G2454="","",VLOOKUP('Dashboard And Emails Automate'!$G2454,Database!$H:$N,6,0)),"")</f>
        <v/>
      </c>
      <c r="M2454" s="55" t="str">
        <f>IFERROR(IF($G2454="","",VLOOKUP('Dashboard And Emails Automate'!$G2454,Database!$H:$N,7,0)),"")</f>
        <v/>
      </c>
      <c r="N2454" s="55" t="str">
        <f>IFERROR(IF(OR($B2454="",$B2454="(blank)"),"",VLOOKUP($B2454,'Email Marketing Raw Data'!$C:$O,6,0)),"")</f>
        <v/>
      </c>
      <c r="O2454" s="55" t="str">
        <f>IFERROR(IF(OR($B2454="",$B2454="(blank)"),"",VLOOKUP($B2454,'Email Marketing Raw Data'!$C:$O,7,0)),"")</f>
        <v/>
      </c>
      <c r="P2454" s="55" t="str">
        <f>IFERROR(IF(OR($B2454="",$B2454="(blank)"),"",VLOOKUP($B2454,'Email Marketing Raw Data'!$C:$O,8,0)),"")</f>
        <v/>
      </c>
      <c r="Q2454" s="62" t="str">
        <f>IFERROR(IF(OR($B2454="",$B2454="(blank)"),"",VLOOKUP($B2454,'Email Marketing Raw Data'!$C:$O,9,0)),"")</f>
        <v/>
      </c>
    </row>
    <row r="2455" spans="4:17" ht="12.75" customHeight="1" x14ac:dyDescent="0.2">
      <c r="D2455" s="58" t="str">
        <f>IFERROR(IF(F2455&lt;&gt;"pending","",IF(OR($B2455="",$B2455="(blank)"),"",VLOOKUP($B2455,'Email Marketing Raw Data'!$C:$O,10,0))),"")</f>
        <v/>
      </c>
      <c r="E2455" s="59" t="str">
        <f>IFERROR(IF(F2455&lt;&gt;"pending","",IF(OR($B2455="",$B2455="(blank)"),"",VLOOKUP($B2455,'Email Marketing Raw Data'!$C:$O,11,0))),"")</f>
        <v/>
      </c>
      <c r="F2455" s="54" t="str">
        <f>IFERROR(IF(OR($B2455="",$B2455="(blank)"),"",VLOOKUP($B2455,'Email Marketing Raw Data'!$C:$O,13,0)),"")</f>
        <v/>
      </c>
      <c r="G2455" s="55" t="str">
        <f>IFERROR(IF(OR($B2455="",$B2455="(blank)"),"",VLOOKUP($B2455,'Email Marketing Raw Data'!$C:$O,4,0)),"")</f>
        <v/>
      </c>
      <c r="H2455" s="55" t="str">
        <f>IFERROR(IF(OR($B2455="",$B2455="(blank)"),"",VLOOKUP($B2455,'Email Marketing Raw Data'!$C:$O,5,0)),"")</f>
        <v/>
      </c>
      <c r="I2455" s="55" t="str">
        <f>IFERROR(IF($G2455="","",VLOOKUP('Dashboard And Emails Automate'!$G2455,Database!$H:$N,3,0)),"")</f>
        <v/>
      </c>
      <c r="J2455" s="55" t="str">
        <f>IFERROR(IF($G2455="","",VLOOKUP('Dashboard And Emails Automate'!$G2455,Database!$H:$N,4,0)),"")</f>
        <v/>
      </c>
      <c r="K2455" s="55" t="str">
        <f>IFERROR(IF($G2455="","",VLOOKUP('Dashboard And Emails Automate'!$G2455,Database!$H:$N,5,0)),"")</f>
        <v/>
      </c>
      <c r="L2455" s="55" t="str">
        <f>IFERROR(IF($G2455="","",VLOOKUP('Dashboard And Emails Automate'!$G2455,Database!$H:$N,6,0)),"")</f>
        <v/>
      </c>
      <c r="M2455" s="55" t="str">
        <f>IFERROR(IF($G2455="","",VLOOKUP('Dashboard And Emails Automate'!$G2455,Database!$H:$N,7,0)),"")</f>
        <v/>
      </c>
      <c r="N2455" s="55" t="str">
        <f>IFERROR(IF(OR($B2455="",$B2455="(blank)"),"",VLOOKUP($B2455,'Email Marketing Raw Data'!$C:$O,6,0)),"")</f>
        <v/>
      </c>
      <c r="O2455" s="55" t="str">
        <f>IFERROR(IF(OR($B2455="",$B2455="(blank)"),"",VLOOKUP($B2455,'Email Marketing Raw Data'!$C:$O,7,0)),"")</f>
        <v/>
      </c>
      <c r="P2455" s="55" t="str">
        <f>IFERROR(IF(OR($B2455="",$B2455="(blank)"),"",VLOOKUP($B2455,'Email Marketing Raw Data'!$C:$O,8,0)),"")</f>
        <v/>
      </c>
      <c r="Q2455" s="62" t="str">
        <f>IFERROR(IF(OR($B2455="",$B2455="(blank)"),"",VLOOKUP($B2455,'Email Marketing Raw Data'!$C:$O,9,0)),"")</f>
        <v/>
      </c>
    </row>
    <row r="2456" spans="4:17" ht="12.75" customHeight="1" x14ac:dyDescent="0.2">
      <c r="D2456" s="58" t="str">
        <f>IFERROR(IF(F2456&lt;&gt;"pending","",IF(OR($B2456="",$B2456="(blank)"),"",VLOOKUP($B2456,'Email Marketing Raw Data'!$C:$O,10,0))),"")</f>
        <v/>
      </c>
      <c r="E2456" s="59" t="str">
        <f>IFERROR(IF(F2456&lt;&gt;"pending","",IF(OR($B2456="",$B2456="(blank)"),"",VLOOKUP($B2456,'Email Marketing Raw Data'!$C:$O,11,0))),"")</f>
        <v/>
      </c>
      <c r="F2456" s="54" t="str">
        <f>IFERROR(IF(OR($B2456="",$B2456="(blank)"),"",VLOOKUP($B2456,'Email Marketing Raw Data'!$C:$O,13,0)),"")</f>
        <v/>
      </c>
      <c r="G2456" s="55" t="str">
        <f>IFERROR(IF(OR($B2456="",$B2456="(blank)"),"",VLOOKUP($B2456,'Email Marketing Raw Data'!$C:$O,4,0)),"")</f>
        <v/>
      </c>
      <c r="H2456" s="55" t="str">
        <f>IFERROR(IF(OR($B2456="",$B2456="(blank)"),"",VLOOKUP($B2456,'Email Marketing Raw Data'!$C:$O,5,0)),"")</f>
        <v/>
      </c>
      <c r="I2456" s="55" t="str">
        <f>IFERROR(IF($G2456="","",VLOOKUP('Dashboard And Emails Automate'!$G2456,Database!$H:$N,3,0)),"")</f>
        <v/>
      </c>
      <c r="J2456" s="55" t="str">
        <f>IFERROR(IF($G2456="","",VLOOKUP('Dashboard And Emails Automate'!$G2456,Database!$H:$N,4,0)),"")</f>
        <v/>
      </c>
      <c r="K2456" s="55" t="str">
        <f>IFERROR(IF($G2456="","",VLOOKUP('Dashboard And Emails Automate'!$G2456,Database!$H:$N,5,0)),"")</f>
        <v/>
      </c>
      <c r="L2456" s="55" t="str">
        <f>IFERROR(IF($G2456="","",VLOOKUP('Dashboard And Emails Automate'!$G2456,Database!$H:$N,6,0)),"")</f>
        <v/>
      </c>
      <c r="M2456" s="55" t="str">
        <f>IFERROR(IF($G2456="","",VLOOKUP('Dashboard And Emails Automate'!$G2456,Database!$H:$N,7,0)),"")</f>
        <v/>
      </c>
      <c r="N2456" s="55" t="str">
        <f>IFERROR(IF(OR($B2456="",$B2456="(blank)"),"",VLOOKUP($B2456,'Email Marketing Raw Data'!$C:$O,6,0)),"")</f>
        <v/>
      </c>
      <c r="O2456" s="55" t="str">
        <f>IFERROR(IF(OR($B2456="",$B2456="(blank)"),"",VLOOKUP($B2456,'Email Marketing Raw Data'!$C:$O,7,0)),"")</f>
        <v/>
      </c>
      <c r="P2456" s="55" t="str">
        <f>IFERROR(IF(OR($B2456="",$B2456="(blank)"),"",VLOOKUP($B2456,'Email Marketing Raw Data'!$C:$O,8,0)),"")</f>
        <v/>
      </c>
      <c r="Q2456" s="62" t="str">
        <f>IFERROR(IF(OR($B2456="",$B2456="(blank)"),"",VLOOKUP($B2456,'Email Marketing Raw Data'!$C:$O,9,0)),"")</f>
        <v/>
      </c>
    </row>
    <row r="2457" spans="4:17" ht="12.75" customHeight="1" x14ac:dyDescent="0.2">
      <c r="D2457" s="58" t="str">
        <f>IFERROR(IF(F2457&lt;&gt;"pending","",IF(OR($B2457="",$B2457="(blank)"),"",VLOOKUP($B2457,'Email Marketing Raw Data'!$C:$O,10,0))),"")</f>
        <v/>
      </c>
      <c r="E2457" s="59" t="str">
        <f>IFERROR(IF(F2457&lt;&gt;"pending","",IF(OR($B2457="",$B2457="(blank)"),"",VLOOKUP($B2457,'Email Marketing Raw Data'!$C:$O,11,0))),"")</f>
        <v/>
      </c>
      <c r="F2457" s="54" t="str">
        <f>IFERROR(IF(OR($B2457="",$B2457="(blank)"),"",VLOOKUP($B2457,'Email Marketing Raw Data'!$C:$O,13,0)),"")</f>
        <v/>
      </c>
      <c r="G2457" s="55" t="str">
        <f>IFERROR(IF(OR($B2457="",$B2457="(blank)"),"",VLOOKUP($B2457,'Email Marketing Raw Data'!$C:$O,4,0)),"")</f>
        <v/>
      </c>
      <c r="H2457" s="55" t="str">
        <f>IFERROR(IF(OR($B2457="",$B2457="(blank)"),"",VLOOKUP($B2457,'Email Marketing Raw Data'!$C:$O,5,0)),"")</f>
        <v/>
      </c>
      <c r="I2457" s="55" t="str">
        <f>IFERROR(IF($G2457="","",VLOOKUP('Dashboard And Emails Automate'!$G2457,Database!$H:$N,3,0)),"")</f>
        <v/>
      </c>
      <c r="J2457" s="55" t="str">
        <f>IFERROR(IF($G2457="","",VLOOKUP('Dashboard And Emails Automate'!$G2457,Database!$H:$N,4,0)),"")</f>
        <v/>
      </c>
      <c r="K2457" s="55" t="str">
        <f>IFERROR(IF($G2457="","",VLOOKUP('Dashboard And Emails Automate'!$G2457,Database!$H:$N,5,0)),"")</f>
        <v/>
      </c>
      <c r="L2457" s="55" t="str">
        <f>IFERROR(IF($G2457="","",VLOOKUP('Dashboard And Emails Automate'!$G2457,Database!$H:$N,6,0)),"")</f>
        <v/>
      </c>
      <c r="M2457" s="55" t="str">
        <f>IFERROR(IF($G2457="","",VLOOKUP('Dashboard And Emails Automate'!$G2457,Database!$H:$N,7,0)),"")</f>
        <v/>
      </c>
      <c r="N2457" s="55" t="str">
        <f>IFERROR(IF(OR($B2457="",$B2457="(blank)"),"",VLOOKUP($B2457,'Email Marketing Raw Data'!$C:$O,6,0)),"")</f>
        <v/>
      </c>
      <c r="O2457" s="55" t="str">
        <f>IFERROR(IF(OR($B2457="",$B2457="(blank)"),"",VLOOKUP($B2457,'Email Marketing Raw Data'!$C:$O,7,0)),"")</f>
        <v/>
      </c>
      <c r="P2457" s="55" t="str">
        <f>IFERROR(IF(OR($B2457="",$B2457="(blank)"),"",VLOOKUP($B2457,'Email Marketing Raw Data'!$C:$O,8,0)),"")</f>
        <v/>
      </c>
      <c r="Q2457" s="62" t="str">
        <f>IFERROR(IF(OR($B2457="",$B2457="(blank)"),"",VLOOKUP($B2457,'Email Marketing Raw Data'!$C:$O,9,0)),"")</f>
        <v/>
      </c>
    </row>
    <row r="2458" spans="4:17" ht="12.75" customHeight="1" x14ac:dyDescent="0.2">
      <c r="D2458" s="58" t="str">
        <f>IFERROR(IF(F2458&lt;&gt;"pending","",IF(OR($B2458="",$B2458="(blank)"),"",VLOOKUP($B2458,'Email Marketing Raw Data'!$C:$O,10,0))),"")</f>
        <v/>
      </c>
      <c r="E2458" s="59" t="str">
        <f>IFERROR(IF(F2458&lt;&gt;"pending","",IF(OR($B2458="",$B2458="(blank)"),"",VLOOKUP($B2458,'Email Marketing Raw Data'!$C:$O,11,0))),"")</f>
        <v/>
      </c>
      <c r="F2458" s="54" t="str">
        <f>IFERROR(IF(OR($B2458="",$B2458="(blank)"),"",VLOOKUP($B2458,'Email Marketing Raw Data'!$C:$O,13,0)),"")</f>
        <v/>
      </c>
      <c r="G2458" s="55" t="str">
        <f>IFERROR(IF(OR($B2458="",$B2458="(blank)"),"",VLOOKUP($B2458,'Email Marketing Raw Data'!$C:$O,4,0)),"")</f>
        <v/>
      </c>
      <c r="H2458" s="55" t="str">
        <f>IFERROR(IF(OR($B2458="",$B2458="(blank)"),"",VLOOKUP($B2458,'Email Marketing Raw Data'!$C:$O,5,0)),"")</f>
        <v/>
      </c>
      <c r="I2458" s="55" t="str">
        <f>IFERROR(IF($G2458="","",VLOOKUP('Dashboard And Emails Automate'!$G2458,Database!$H:$N,3,0)),"")</f>
        <v/>
      </c>
      <c r="J2458" s="55" t="str">
        <f>IFERROR(IF($G2458="","",VLOOKUP('Dashboard And Emails Automate'!$G2458,Database!$H:$N,4,0)),"")</f>
        <v/>
      </c>
      <c r="K2458" s="55" t="str">
        <f>IFERROR(IF($G2458="","",VLOOKUP('Dashboard And Emails Automate'!$G2458,Database!$H:$N,5,0)),"")</f>
        <v/>
      </c>
      <c r="L2458" s="55" t="str">
        <f>IFERROR(IF($G2458="","",VLOOKUP('Dashboard And Emails Automate'!$G2458,Database!$H:$N,6,0)),"")</f>
        <v/>
      </c>
      <c r="M2458" s="55" t="str">
        <f>IFERROR(IF($G2458="","",VLOOKUP('Dashboard And Emails Automate'!$G2458,Database!$H:$N,7,0)),"")</f>
        <v/>
      </c>
      <c r="N2458" s="55" t="str">
        <f>IFERROR(IF(OR($B2458="",$B2458="(blank)"),"",VLOOKUP($B2458,'Email Marketing Raw Data'!$C:$O,6,0)),"")</f>
        <v/>
      </c>
      <c r="O2458" s="55" t="str">
        <f>IFERROR(IF(OR($B2458="",$B2458="(blank)"),"",VLOOKUP($B2458,'Email Marketing Raw Data'!$C:$O,7,0)),"")</f>
        <v/>
      </c>
      <c r="P2458" s="55" t="str">
        <f>IFERROR(IF(OR($B2458="",$B2458="(blank)"),"",VLOOKUP($B2458,'Email Marketing Raw Data'!$C:$O,8,0)),"")</f>
        <v/>
      </c>
      <c r="Q2458" s="62" t="str">
        <f>IFERROR(IF(OR($B2458="",$B2458="(blank)"),"",VLOOKUP($B2458,'Email Marketing Raw Data'!$C:$O,9,0)),"")</f>
        <v/>
      </c>
    </row>
    <row r="2459" spans="4:17" ht="12.75" customHeight="1" x14ac:dyDescent="0.2">
      <c r="D2459" s="58" t="str">
        <f>IFERROR(IF(F2459&lt;&gt;"pending","",IF(OR($B2459="",$B2459="(blank)"),"",VLOOKUP($B2459,'Email Marketing Raw Data'!$C:$O,10,0))),"")</f>
        <v/>
      </c>
      <c r="E2459" s="59" t="str">
        <f>IFERROR(IF(F2459&lt;&gt;"pending","",IF(OR($B2459="",$B2459="(blank)"),"",VLOOKUP($B2459,'Email Marketing Raw Data'!$C:$O,11,0))),"")</f>
        <v/>
      </c>
      <c r="F2459" s="54" t="str">
        <f>IFERROR(IF(OR($B2459="",$B2459="(blank)"),"",VLOOKUP($B2459,'Email Marketing Raw Data'!$C:$O,13,0)),"")</f>
        <v/>
      </c>
      <c r="G2459" s="55" t="str">
        <f>IFERROR(IF(OR($B2459="",$B2459="(blank)"),"",VLOOKUP($B2459,'Email Marketing Raw Data'!$C:$O,4,0)),"")</f>
        <v/>
      </c>
      <c r="H2459" s="55" t="str">
        <f>IFERROR(IF(OR($B2459="",$B2459="(blank)"),"",VLOOKUP($B2459,'Email Marketing Raw Data'!$C:$O,5,0)),"")</f>
        <v/>
      </c>
      <c r="I2459" s="55" t="str">
        <f>IFERROR(IF($G2459="","",VLOOKUP('Dashboard And Emails Automate'!$G2459,Database!$H:$N,3,0)),"")</f>
        <v/>
      </c>
      <c r="J2459" s="55" t="str">
        <f>IFERROR(IF($G2459="","",VLOOKUP('Dashboard And Emails Automate'!$G2459,Database!$H:$N,4,0)),"")</f>
        <v/>
      </c>
      <c r="K2459" s="55" t="str">
        <f>IFERROR(IF($G2459="","",VLOOKUP('Dashboard And Emails Automate'!$G2459,Database!$H:$N,5,0)),"")</f>
        <v/>
      </c>
      <c r="L2459" s="55" t="str">
        <f>IFERROR(IF($G2459="","",VLOOKUP('Dashboard And Emails Automate'!$G2459,Database!$H:$N,6,0)),"")</f>
        <v/>
      </c>
      <c r="M2459" s="55" t="str">
        <f>IFERROR(IF($G2459="","",VLOOKUP('Dashboard And Emails Automate'!$G2459,Database!$H:$N,7,0)),"")</f>
        <v/>
      </c>
      <c r="N2459" s="55" t="str">
        <f>IFERROR(IF(OR($B2459="",$B2459="(blank)"),"",VLOOKUP($B2459,'Email Marketing Raw Data'!$C:$O,6,0)),"")</f>
        <v/>
      </c>
      <c r="O2459" s="55" t="str">
        <f>IFERROR(IF(OR($B2459="",$B2459="(blank)"),"",VLOOKUP($B2459,'Email Marketing Raw Data'!$C:$O,7,0)),"")</f>
        <v/>
      </c>
      <c r="P2459" s="55" t="str">
        <f>IFERROR(IF(OR($B2459="",$B2459="(blank)"),"",VLOOKUP($B2459,'Email Marketing Raw Data'!$C:$O,8,0)),"")</f>
        <v/>
      </c>
      <c r="Q2459" s="62" t="str">
        <f>IFERROR(IF(OR($B2459="",$B2459="(blank)"),"",VLOOKUP($B2459,'Email Marketing Raw Data'!$C:$O,9,0)),"")</f>
        <v/>
      </c>
    </row>
    <row r="2460" spans="4:17" ht="12.75" customHeight="1" x14ac:dyDescent="0.2">
      <c r="D2460" s="58" t="str">
        <f>IFERROR(IF(F2460&lt;&gt;"pending","",IF(OR($B2460="",$B2460="(blank)"),"",VLOOKUP($B2460,'Email Marketing Raw Data'!$C:$O,10,0))),"")</f>
        <v/>
      </c>
      <c r="E2460" s="59" t="str">
        <f>IFERROR(IF(F2460&lt;&gt;"pending","",IF(OR($B2460="",$B2460="(blank)"),"",VLOOKUP($B2460,'Email Marketing Raw Data'!$C:$O,11,0))),"")</f>
        <v/>
      </c>
      <c r="F2460" s="54" t="str">
        <f>IFERROR(IF(OR($B2460="",$B2460="(blank)"),"",VLOOKUP($B2460,'Email Marketing Raw Data'!$C:$O,13,0)),"")</f>
        <v/>
      </c>
      <c r="G2460" s="55" t="str">
        <f>IFERROR(IF(OR($B2460="",$B2460="(blank)"),"",VLOOKUP($B2460,'Email Marketing Raw Data'!$C:$O,4,0)),"")</f>
        <v/>
      </c>
      <c r="H2460" s="55" t="str">
        <f>IFERROR(IF(OR($B2460="",$B2460="(blank)"),"",VLOOKUP($B2460,'Email Marketing Raw Data'!$C:$O,5,0)),"")</f>
        <v/>
      </c>
      <c r="I2460" s="55" t="str">
        <f>IFERROR(IF($G2460="","",VLOOKUP('Dashboard And Emails Automate'!$G2460,Database!$H:$N,3,0)),"")</f>
        <v/>
      </c>
      <c r="J2460" s="55" t="str">
        <f>IFERROR(IF($G2460="","",VLOOKUP('Dashboard And Emails Automate'!$G2460,Database!$H:$N,4,0)),"")</f>
        <v/>
      </c>
      <c r="K2460" s="55" t="str">
        <f>IFERROR(IF($G2460="","",VLOOKUP('Dashboard And Emails Automate'!$G2460,Database!$H:$N,5,0)),"")</f>
        <v/>
      </c>
      <c r="L2460" s="55" t="str">
        <f>IFERROR(IF($G2460="","",VLOOKUP('Dashboard And Emails Automate'!$G2460,Database!$H:$N,6,0)),"")</f>
        <v/>
      </c>
      <c r="M2460" s="55" t="str">
        <f>IFERROR(IF($G2460="","",VLOOKUP('Dashboard And Emails Automate'!$G2460,Database!$H:$N,7,0)),"")</f>
        <v/>
      </c>
      <c r="N2460" s="55" t="str">
        <f>IFERROR(IF(OR($B2460="",$B2460="(blank)"),"",VLOOKUP($B2460,'Email Marketing Raw Data'!$C:$O,6,0)),"")</f>
        <v/>
      </c>
      <c r="O2460" s="55" t="str">
        <f>IFERROR(IF(OR($B2460="",$B2460="(blank)"),"",VLOOKUP($B2460,'Email Marketing Raw Data'!$C:$O,7,0)),"")</f>
        <v/>
      </c>
      <c r="P2460" s="55" t="str">
        <f>IFERROR(IF(OR($B2460="",$B2460="(blank)"),"",VLOOKUP($B2460,'Email Marketing Raw Data'!$C:$O,8,0)),"")</f>
        <v/>
      </c>
      <c r="Q2460" s="62" t="str">
        <f>IFERROR(IF(OR($B2460="",$B2460="(blank)"),"",VLOOKUP($B2460,'Email Marketing Raw Data'!$C:$O,9,0)),"")</f>
        <v/>
      </c>
    </row>
    <row r="2461" spans="4:17" ht="12.75" customHeight="1" x14ac:dyDescent="0.2">
      <c r="D2461" s="58" t="str">
        <f>IFERROR(IF(F2461&lt;&gt;"pending","",IF(OR($B2461="",$B2461="(blank)"),"",VLOOKUP($B2461,'Email Marketing Raw Data'!$C:$O,10,0))),"")</f>
        <v/>
      </c>
      <c r="E2461" s="59" t="str">
        <f>IFERROR(IF(F2461&lt;&gt;"pending","",IF(OR($B2461="",$B2461="(blank)"),"",VLOOKUP($B2461,'Email Marketing Raw Data'!$C:$O,11,0))),"")</f>
        <v/>
      </c>
      <c r="F2461" s="54" t="str">
        <f>IFERROR(IF(OR($B2461="",$B2461="(blank)"),"",VLOOKUP($B2461,'Email Marketing Raw Data'!$C:$O,13,0)),"")</f>
        <v/>
      </c>
      <c r="G2461" s="55" t="str">
        <f>IFERROR(IF(OR($B2461="",$B2461="(blank)"),"",VLOOKUP($B2461,'Email Marketing Raw Data'!$C:$O,4,0)),"")</f>
        <v/>
      </c>
      <c r="H2461" s="55" t="str">
        <f>IFERROR(IF(OR($B2461="",$B2461="(blank)"),"",VLOOKUP($B2461,'Email Marketing Raw Data'!$C:$O,5,0)),"")</f>
        <v/>
      </c>
      <c r="I2461" s="55" t="str">
        <f>IFERROR(IF($G2461="","",VLOOKUP('Dashboard And Emails Automate'!$G2461,Database!$H:$N,3,0)),"")</f>
        <v/>
      </c>
      <c r="J2461" s="55" t="str">
        <f>IFERROR(IF($G2461="","",VLOOKUP('Dashboard And Emails Automate'!$G2461,Database!$H:$N,4,0)),"")</f>
        <v/>
      </c>
      <c r="K2461" s="55" t="str">
        <f>IFERROR(IF($G2461="","",VLOOKUP('Dashboard And Emails Automate'!$G2461,Database!$H:$N,5,0)),"")</f>
        <v/>
      </c>
      <c r="L2461" s="55" t="str">
        <f>IFERROR(IF($G2461="","",VLOOKUP('Dashboard And Emails Automate'!$G2461,Database!$H:$N,6,0)),"")</f>
        <v/>
      </c>
      <c r="M2461" s="55" t="str">
        <f>IFERROR(IF($G2461="","",VLOOKUP('Dashboard And Emails Automate'!$G2461,Database!$H:$N,7,0)),"")</f>
        <v/>
      </c>
      <c r="N2461" s="55" t="str">
        <f>IFERROR(IF(OR($B2461="",$B2461="(blank)"),"",VLOOKUP($B2461,'Email Marketing Raw Data'!$C:$O,6,0)),"")</f>
        <v/>
      </c>
      <c r="O2461" s="55" t="str">
        <f>IFERROR(IF(OR($B2461="",$B2461="(blank)"),"",VLOOKUP($B2461,'Email Marketing Raw Data'!$C:$O,7,0)),"")</f>
        <v/>
      </c>
      <c r="P2461" s="55" t="str">
        <f>IFERROR(IF(OR($B2461="",$B2461="(blank)"),"",VLOOKUP($B2461,'Email Marketing Raw Data'!$C:$O,8,0)),"")</f>
        <v/>
      </c>
      <c r="Q2461" s="62" t="str">
        <f>IFERROR(IF(OR($B2461="",$B2461="(blank)"),"",VLOOKUP($B2461,'Email Marketing Raw Data'!$C:$O,9,0)),"")</f>
        <v/>
      </c>
    </row>
    <row r="2462" spans="4:17" ht="12.75" customHeight="1" x14ac:dyDescent="0.2">
      <c r="D2462" s="58" t="str">
        <f>IFERROR(IF(F2462&lt;&gt;"pending","",IF(OR($B2462="",$B2462="(blank)"),"",VLOOKUP($B2462,'Email Marketing Raw Data'!$C:$O,10,0))),"")</f>
        <v/>
      </c>
      <c r="E2462" s="59" t="str">
        <f>IFERROR(IF(F2462&lt;&gt;"pending","",IF(OR($B2462="",$B2462="(blank)"),"",VLOOKUP($B2462,'Email Marketing Raw Data'!$C:$O,11,0))),"")</f>
        <v/>
      </c>
      <c r="F2462" s="54" t="str">
        <f>IFERROR(IF(OR($B2462="",$B2462="(blank)"),"",VLOOKUP($B2462,'Email Marketing Raw Data'!$C:$O,13,0)),"")</f>
        <v/>
      </c>
      <c r="G2462" s="55" t="str">
        <f>IFERROR(IF(OR($B2462="",$B2462="(blank)"),"",VLOOKUP($B2462,'Email Marketing Raw Data'!$C:$O,4,0)),"")</f>
        <v/>
      </c>
      <c r="H2462" s="55" t="str">
        <f>IFERROR(IF(OR($B2462="",$B2462="(blank)"),"",VLOOKUP($B2462,'Email Marketing Raw Data'!$C:$O,5,0)),"")</f>
        <v/>
      </c>
      <c r="I2462" s="55" t="str">
        <f>IFERROR(IF($G2462="","",VLOOKUP('Dashboard And Emails Automate'!$G2462,Database!$H:$N,3,0)),"")</f>
        <v/>
      </c>
      <c r="J2462" s="55" t="str">
        <f>IFERROR(IF($G2462="","",VLOOKUP('Dashboard And Emails Automate'!$G2462,Database!$H:$N,4,0)),"")</f>
        <v/>
      </c>
      <c r="K2462" s="55" t="str">
        <f>IFERROR(IF($G2462="","",VLOOKUP('Dashboard And Emails Automate'!$G2462,Database!$H:$N,5,0)),"")</f>
        <v/>
      </c>
      <c r="L2462" s="55" t="str">
        <f>IFERROR(IF($G2462="","",VLOOKUP('Dashboard And Emails Automate'!$G2462,Database!$H:$N,6,0)),"")</f>
        <v/>
      </c>
      <c r="M2462" s="55" t="str">
        <f>IFERROR(IF($G2462="","",VLOOKUP('Dashboard And Emails Automate'!$G2462,Database!$H:$N,7,0)),"")</f>
        <v/>
      </c>
      <c r="N2462" s="55" t="str">
        <f>IFERROR(IF(OR($B2462="",$B2462="(blank)"),"",VLOOKUP($B2462,'Email Marketing Raw Data'!$C:$O,6,0)),"")</f>
        <v/>
      </c>
      <c r="O2462" s="55" t="str">
        <f>IFERROR(IF(OR($B2462="",$B2462="(blank)"),"",VLOOKUP($B2462,'Email Marketing Raw Data'!$C:$O,7,0)),"")</f>
        <v/>
      </c>
      <c r="P2462" s="55" t="str">
        <f>IFERROR(IF(OR($B2462="",$B2462="(blank)"),"",VLOOKUP($B2462,'Email Marketing Raw Data'!$C:$O,8,0)),"")</f>
        <v/>
      </c>
      <c r="Q2462" s="62" t="str">
        <f>IFERROR(IF(OR($B2462="",$B2462="(blank)"),"",VLOOKUP($B2462,'Email Marketing Raw Data'!$C:$O,9,0)),"")</f>
        <v/>
      </c>
    </row>
    <row r="2463" spans="4:17" ht="12.75" customHeight="1" x14ac:dyDescent="0.2">
      <c r="D2463" s="58" t="str">
        <f>IFERROR(IF(F2463&lt;&gt;"pending","",IF(OR($B2463="",$B2463="(blank)"),"",VLOOKUP($B2463,'Email Marketing Raw Data'!$C:$O,10,0))),"")</f>
        <v/>
      </c>
      <c r="E2463" s="59" t="str">
        <f>IFERROR(IF(F2463&lt;&gt;"pending","",IF(OR($B2463="",$B2463="(blank)"),"",VLOOKUP($B2463,'Email Marketing Raw Data'!$C:$O,11,0))),"")</f>
        <v/>
      </c>
      <c r="F2463" s="54" t="str">
        <f>IFERROR(IF(OR($B2463="",$B2463="(blank)"),"",VLOOKUP($B2463,'Email Marketing Raw Data'!$C:$O,13,0)),"")</f>
        <v/>
      </c>
      <c r="G2463" s="55" t="str">
        <f>IFERROR(IF(OR($B2463="",$B2463="(blank)"),"",VLOOKUP($B2463,'Email Marketing Raw Data'!$C:$O,4,0)),"")</f>
        <v/>
      </c>
      <c r="H2463" s="55" t="str">
        <f>IFERROR(IF(OR($B2463="",$B2463="(blank)"),"",VLOOKUP($B2463,'Email Marketing Raw Data'!$C:$O,5,0)),"")</f>
        <v/>
      </c>
      <c r="I2463" s="55" t="str">
        <f>IFERROR(IF($G2463="","",VLOOKUP('Dashboard And Emails Automate'!$G2463,Database!$H:$N,3,0)),"")</f>
        <v/>
      </c>
      <c r="J2463" s="55" t="str">
        <f>IFERROR(IF($G2463="","",VLOOKUP('Dashboard And Emails Automate'!$G2463,Database!$H:$N,4,0)),"")</f>
        <v/>
      </c>
      <c r="K2463" s="55" t="str">
        <f>IFERROR(IF($G2463="","",VLOOKUP('Dashboard And Emails Automate'!$G2463,Database!$H:$N,5,0)),"")</f>
        <v/>
      </c>
      <c r="L2463" s="55" t="str">
        <f>IFERROR(IF($G2463="","",VLOOKUP('Dashboard And Emails Automate'!$G2463,Database!$H:$N,6,0)),"")</f>
        <v/>
      </c>
      <c r="M2463" s="55" t="str">
        <f>IFERROR(IF($G2463="","",VLOOKUP('Dashboard And Emails Automate'!$G2463,Database!$H:$N,7,0)),"")</f>
        <v/>
      </c>
      <c r="N2463" s="55" t="str">
        <f>IFERROR(IF(OR($B2463="",$B2463="(blank)"),"",VLOOKUP($B2463,'Email Marketing Raw Data'!$C:$O,6,0)),"")</f>
        <v/>
      </c>
      <c r="O2463" s="55" t="str">
        <f>IFERROR(IF(OR($B2463="",$B2463="(blank)"),"",VLOOKUP($B2463,'Email Marketing Raw Data'!$C:$O,7,0)),"")</f>
        <v/>
      </c>
      <c r="P2463" s="55" t="str">
        <f>IFERROR(IF(OR($B2463="",$B2463="(blank)"),"",VLOOKUP($B2463,'Email Marketing Raw Data'!$C:$O,8,0)),"")</f>
        <v/>
      </c>
      <c r="Q2463" s="62" t="str">
        <f>IFERROR(IF(OR($B2463="",$B2463="(blank)"),"",VLOOKUP($B2463,'Email Marketing Raw Data'!$C:$O,9,0)),"")</f>
        <v/>
      </c>
    </row>
    <row r="2464" spans="4:17" ht="12.75" customHeight="1" x14ac:dyDescent="0.2">
      <c r="D2464" s="58" t="str">
        <f>IFERROR(IF(F2464&lt;&gt;"pending","",IF(OR($B2464="",$B2464="(blank)"),"",VLOOKUP($B2464,'Email Marketing Raw Data'!$C:$O,10,0))),"")</f>
        <v/>
      </c>
      <c r="E2464" s="59" t="str">
        <f>IFERROR(IF(F2464&lt;&gt;"pending","",IF(OR($B2464="",$B2464="(blank)"),"",VLOOKUP($B2464,'Email Marketing Raw Data'!$C:$O,11,0))),"")</f>
        <v/>
      </c>
      <c r="F2464" s="54" t="str">
        <f>IFERROR(IF(OR($B2464="",$B2464="(blank)"),"",VLOOKUP($B2464,'Email Marketing Raw Data'!$C:$O,13,0)),"")</f>
        <v/>
      </c>
      <c r="G2464" s="55" t="str">
        <f>IFERROR(IF(OR($B2464="",$B2464="(blank)"),"",VLOOKUP($B2464,'Email Marketing Raw Data'!$C:$O,4,0)),"")</f>
        <v/>
      </c>
      <c r="H2464" s="55" t="str">
        <f>IFERROR(IF(OR($B2464="",$B2464="(blank)"),"",VLOOKUP($B2464,'Email Marketing Raw Data'!$C:$O,5,0)),"")</f>
        <v/>
      </c>
      <c r="I2464" s="55" t="str">
        <f>IFERROR(IF($G2464="","",VLOOKUP('Dashboard And Emails Automate'!$G2464,Database!$H:$N,3,0)),"")</f>
        <v/>
      </c>
      <c r="J2464" s="55" t="str">
        <f>IFERROR(IF($G2464="","",VLOOKUP('Dashboard And Emails Automate'!$G2464,Database!$H:$N,4,0)),"")</f>
        <v/>
      </c>
      <c r="K2464" s="55" t="str">
        <f>IFERROR(IF($G2464="","",VLOOKUP('Dashboard And Emails Automate'!$G2464,Database!$H:$N,5,0)),"")</f>
        <v/>
      </c>
      <c r="L2464" s="55" t="str">
        <f>IFERROR(IF($G2464="","",VLOOKUP('Dashboard And Emails Automate'!$G2464,Database!$H:$N,6,0)),"")</f>
        <v/>
      </c>
      <c r="M2464" s="55" t="str">
        <f>IFERROR(IF($G2464="","",VLOOKUP('Dashboard And Emails Automate'!$G2464,Database!$H:$N,7,0)),"")</f>
        <v/>
      </c>
      <c r="N2464" s="55" t="str">
        <f>IFERROR(IF(OR($B2464="",$B2464="(blank)"),"",VLOOKUP($B2464,'Email Marketing Raw Data'!$C:$O,6,0)),"")</f>
        <v/>
      </c>
      <c r="O2464" s="55" t="str">
        <f>IFERROR(IF(OR($B2464="",$B2464="(blank)"),"",VLOOKUP($B2464,'Email Marketing Raw Data'!$C:$O,7,0)),"")</f>
        <v/>
      </c>
      <c r="P2464" s="55" t="str">
        <f>IFERROR(IF(OR($B2464="",$B2464="(blank)"),"",VLOOKUP($B2464,'Email Marketing Raw Data'!$C:$O,8,0)),"")</f>
        <v/>
      </c>
      <c r="Q2464" s="62" t="str">
        <f>IFERROR(IF(OR($B2464="",$B2464="(blank)"),"",VLOOKUP($B2464,'Email Marketing Raw Data'!$C:$O,9,0)),"")</f>
        <v/>
      </c>
    </row>
    <row r="2465" spans="4:17" ht="12.75" customHeight="1" x14ac:dyDescent="0.2">
      <c r="D2465" s="58" t="str">
        <f>IFERROR(IF(F2465&lt;&gt;"pending","",IF(OR($B2465="",$B2465="(blank)"),"",VLOOKUP($B2465,'Email Marketing Raw Data'!$C:$O,10,0))),"")</f>
        <v/>
      </c>
      <c r="E2465" s="59" t="str">
        <f>IFERROR(IF(F2465&lt;&gt;"pending","",IF(OR($B2465="",$B2465="(blank)"),"",VLOOKUP($B2465,'Email Marketing Raw Data'!$C:$O,11,0))),"")</f>
        <v/>
      </c>
      <c r="F2465" s="54" t="str">
        <f>IFERROR(IF(OR($B2465="",$B2465="(blank)"),"",VLOOKUP($B2465,'Email Marketing Raw Data'!$C:$O,13,0)),"")</f>
        <v/>
      </c>
      <c r="G2465" s="55" t="str">
        <f>IFERROR(IF(OR($B2465="",$B2465="(blank)"),"",VLOOKUP($B2465,'Email Marketing Raw Data'!$C:$O,4,0)),"")</f>
        <v/>
      </c>
      <c r="H2465" s="55" t="str">
        <f>IFERROR(IF(OR($B2465="",$B2465="(blank)"),"",VLOOKUP($B2465,'Email Marketing Raw Data'!$C:$O,5,0)),"")</f>
        <v/>
      </c>
      <c r="I2465" s="55" t="str">
        <f>IFERROR(IF($G2465="","",VLOOKUP('Dashboard And Emails Automate'!$G2465,Database!$H:$N,3,0)),"")</f>
        <v/>
      </c>
      <c r="J2465" s="55" t="str">
        <f>IFERROR(IF($G2465="","",VLOOKUP('Dashboard And Emails Automate'!$G2465,Database!$H:$N,4,0)),"")</f>
        <v/>
      </c>
      <c r="K2465" s="55" t="str">
        <f>IFERROR(IF($G2465="","",VLOOKUP('Dashboard And Emails Automate'!$G2465,Database!$H:$N,5,0)),"")</f>
        <v/>
      </c>
      <c r="L2465" s="55" t="str">
        <f>IFERROR(IF($G2465="","",VLOOKUP('Dashboard And Emails Automate'!$G2465,Database!$H:$N,6,0)),"")</f>
        <v/>
      </c>
      <c r="M2465" s="55" t="str">
        <f>IFERROR(IF($G2465="","",VLOOKUP('Dashboard And Emails Automate'!$G2465,Database!$H:$N,7,0)),"")</f>
        <v/>
      </c>
      <c r="N2465" s="55" t="str">
        <f>IFERROR(IF(OR($B2465="",$B2465="(blank)"),"",VLOOKUP($B2465,'Email Marketing Raw Data'!$C:$O,6,0)),"")</f>
        <v/>
      </c>
      <c r="O2465" s="55" t="str">
        <f>IFERROR(IF(OR($B2465="",$B2465="(blank)"),"",VLOOKUP($B2465,'Email Marketing Raw Data'!$C:$O,7,0)),"")</f>
        <v/>
      </c>
      <c r="P2465" s="55" t="str">
        <f>IFERROR(IF(OR($B2465="",$B2465="(blank)"),"",VLOOKUP($B2465,'Email Marketing Raw Data'!$C:$O,8,0)),"")</f>
        <v/>
      </c>
      <c r="Q2465" s="62" t="str">
        <f>IFERROR(IF(OR($B2465="",$B2465="(blank)"),"",VLOOKUP($B2465,'Email Marketing Raw Data'!$C:$O,9,0)),"")</f>
        <v/>
      </c>
    </row>
    <row r="2466" spans="4:17" ht="12.75" customHeight="1" x14ac:dyDescent="0.2">
      <c r="D2466" s="58" t="str">
        <f>IFERROR(IF(F2466&lt;&gt;"pending","",IF(OR($B2466="",$B2466="(blank)"),"",VLOOKUP($B2466,'Email Marketing Raw Data'!$C:$O,10,0))),"")</f>
        <v/>
      </c>
      <c r="E2466" s="59" t="str">
        <f>IFERROR(IF(F2466&lt;&gt;"pending","",IF(OR($B2466="",$B2466="(blank)"),"",VLOOKUP($B2466,'Email Marketing Raw Data'!$C:$O,11,0))),"")</f>
        <v/>
      </c>
      <c r="F2466" s="54" t="str">
        <f>IFERROR(IF(OR($B2466="",$B2466="(blank)"),"",VLOOKUP($B2466,'Email Marketing Raw Data'!$C:$O,13,0)),"")</f>
        <v/>
      </c>
      <c r="G2466" s="55" t="str">
        <f>IFERROR(IF(OR($B2466="",$B2466="(blank)"),"",VLOOKUP($B2466,'Email Marketing Raw Data'!$C:$O,4,0)),"")</f>
        <v/>
      </c>
      <c r="H2466" s="55" t="str">
        <f>IFERROR(IF(OR($B2466="",$B2466="(blank)"),"",VLOOKUP($B2466,'Email Marketing Raw Data'!$C:$O,5,0)),"")</f>
        <v/>
      </c>
      <c r="I2466" s="55" t="str">
        <f>IFERROR(IF($G2466="","",VLOOKUP('Dashboard And Emails Automate'!$G2466,Database!$H:$N,3,0)),"")</f>
        <v/>
      </c>
      <c r="J2466" s="55" t="str">
        <f>IFERROR(IF($G2466="","",VLOOKUP('Dashboard And Emails Automate'!$G2466,Database!$H:$N,4,0)),"")</f>
        <v/>
      </c>
      <c r="K2466" s="55" t="str">
        <f>IFERROR(IF($G2466="","",VLOOKUP('Dashboard And Emails Automate'!$G2466,Database!$H:$N,5,0)),"")</f>
        <v/>
      </c>
      <c r="L2466" s="55" t="str">
        <f>IFERROR(IF($G2466="","",VLOOKUP('Dashboard And Emails Automate'!$G2466,Database!$H:$N,6,0)),"")</f>
        <v/>
      </c>
      <c r="M2466" s="55" t="str">
        <f>IFERROR(IF($G2466="","",VLOOKUP('Dashboard And Emails Automate'!$G2466,Database!$H:$N,7,0)),"")</f>
        <v/>
      </c>
      <c r="N2466" s="55" t="str">
        <f>IFERROR(IF(OR($B2466="",$B2466="(blank)"),"",VLOOKUP($B2466,'Email Marketing Raw Data'!$C:$O,6,0)),"")</f>
        <v/>
      </c>
      <c r="O2466" s="55" t="str">
        <f>IFERROR(IF(OR($B2466="",$B2466="(blank)"),"",VLOOKUP($B2466,'Email Marketing Raw Data'!$C:$O,7,0)),"")</f>
        <v/>
      </c>
      <c r="P2466" s="55" t="str">
        <f>IFERROR(IF(OR($B2466="",$B2466="(blank)"),"",VLOOKUP($B2466,'Email Marketing Raw Data'!$C:$O,8,0)),"")</f>
        <v/>
      </c>
      <c r="Q2466" s="62" t="str">
        <f>IFERROR(IF(OR($B2466="",$B2466="(blank)"),"",VLOOKUP($B2466,'Email Marketing Raw Data'!$C:$O,9,0)),"")</f>
        <v/>
      </c>
    </row>
    <row r="2467" spans="4:17" ht="12.75" customHeight="1" x14ac:dyDescent="0.2">
      <c r="D2467" s="58" t="str">
        <f>IFERROR(IF(F2467&lt;&gt;"pending","",IF(OR($B2467="",$B2467="(blank)"),"",VLOOKUP($B2467,'Email Marketing Raw Data'!$C:$O,10,0))),"")</f>
        <v/>
      </c>
      <c r="E2467" s="59" t="str">
        <f>IFERROR(IF(F2467&lt;&gt;"pending","",IF(OR($B2467="",$B2467="(blank)"),"",VLOOKUP($B2467,'Email Marketing Raw Data'!$C:$O,11,0))),"")</f>
        <v/>
      </c>
      <c r="F2467" s="54" t="str">
        <f>IFERROR(IF(OR($B2467="",$B2467="(blank)"),"",VLOOKUP($B2467,'Email Marketing Raw Data'!$C:$O,13,0)),"")</f>
        <v/>
      </c>
      <c r="G2467" s="55" t="str">
        <f>IFERROR(IF(OR($B2467="",$B2467="(blank)"),"",VLOOKUP($B2467,'Email Marketing Raw Data'!$C:$O,4,0)),"")</f>
        <v/>
      </c>
      <c r="H2467" s="55" t="str">
        <f>IFERROR(IF(OR($B2467="",$B2467="(blank)"),"",VLOOKUP($B2467,'Email Marketing Raw Data'!$C:$O,5,0)),"")</f>
        <v/>
      </c>
      <c r="I2467" s="55" t="str">
        <f>IFERROR(IF($G2467="","",VLOOKUP('Dashboard And Emails Automate'!$G2467,Database!$H:$N,3,0)),"")</f>
        <v/>
      </c>
      <c r="J2467" s="55" t="str">
        <f>IFERROR(IF($G2467="","",VLOOKUP('Dashboard And Emails Automate'!$G2467,Database!$H:$N,4,0)),"")</f>
        <v/>
      </c>
      <c r="K2467" s="55" t="str">
        <f>IFERROR(IF($G2467="","",VLOOKUP('Dashboard And Emails Automate'!$G2467,Database!$H:$N,5,0)),"")</f>
        <v/>
      </c>
      <c r="L2467" s="55" t="str">
        <f>IFERROR(IF($G2467="","",VLOOKUP('Dashboard And Emails Automate'!$G2467,Database!$H:$N,6,0)),"")</f>
        <v/>
      </c>
      <c r="M2467" s="55" t="str">
        <f>IFERROR(IF($G2467="","",VLOOKUP('Dashboard And Emails Automate'!$G2467,Database!$H:$N,7,0)),"")</f>
        <v/>
      </c>
      <c r="N2467" s="55" t="str">
        <f>IFERROR(IF(OR($B2467="",$B2467="(blank)"),"",VLOOKUP($B2467,'Email Marketing Raw Data'!$C:$O,6,0)),"")</f>
        <v/>
      </c>
      <c r="O2467" s="55" t="str">
        <f>IFERROR(IF(OR($B2467="",$B2467="(blank)"),"",VLOOKUP($B2467,'Email Marketing Raw Data'!$C:$O,7,0)),"")</f>
        <v/>
      </c>
      <c r="P2467" s="55" t="str">
        <f>IFERROR(IF(OR($B2467="",$B2467="(blank)"),"",VLOOKUP($B2467,'Email Marketing Raw Data'!$C:$O,8,0)),"")</f>
        <v/>
      </c>
      <c r="Q2467" s="62" t="str">
        <f>IFERROR(IF(OR($B2467="",$B2467="(blank)"),"",VLOOKUP($B2467,'Email Marketing Raw Data'!$C:$O,9,0)),"")</f>
        <v/>
      </c>
    </row>
    <row r="2468" spans="4:17" ht="12.75" customHeight="1" x14ac:dyDescent="0.2">
      <c r="D2468" s="58" t="str">
        <f>IFERROR(IF(F2468&lt;&gt;"pending","",IF(OR($B2468="",$B2468="(blank)"),"",VLOOKUP($B2468,'Email Marketing Raw Data'!$C:$O,10,0))),"")</f>
        <v/>
      </c>
      <c r="E2468" s="59" t="str">
        <f>IFERROR(IF(F2468&lt;&gt;"pending","",IF(OR($B2468="",$B2468="(blank)"),"",VLOOKUP($B2468,'Email Marketing Raw Data'!$C:$O,11,0))),"")</f>
        <v/>
      </c>
      <c r="F2468" s="54" t="str">
        <f>IFERROR(IF(OR($B2468="",$B2468="(blank)"),"",VLOOKUP($B2468,'Email Marketing Raw Data'!$C:$O,13,0)),"")</f>
        <v/>
      </c>
      <c r="G2468" s="55" t="str">
        <f>IFERROR(IF(OR($B2468="",$B2468="(blank)"),"",VLOOKUP($B2468,'Email Marketing Raw Data'!$C:$O,4,0)),"")</f>
        <v/>
      </c>
      <c r="H2468" s="55" t="str">
        <f>IFERROR(IF(OR($B2468="",$B2468="(blank)"),"",VLOOKUP($B2468,'Email Marketing Raw Data'!$C:$O,5,0)),"")</f>
        <v/>
      </c>
      <c r="I2468" s="55" t="str">
        <f>IFERROR(IF($G2468="","",VLOOKUP('Dashboard And Emails Automate'!$G2468,Database!$H:$N,3,0)),"")</f>
        <v/>
      </c>
      <c r="J2468" s="55" t="str">
        <f>IFERROR(IF($G2468="","",VLOOKUP('Dashboard And Emails Automate'!$G2468,Database!$H:$N,4,0)),"")</f>
        <v/>
      </c>
      <c r="K2468" s="55" t="str">
        <f>IFERROR(IF($G2468="","",VLOOKUP('Dashboard And Emails Automate'!$G2468,Database!$H:$N,5,0)),"")</f>
        <v/>
      </c>
      <c r="L2468" s="55" t="str">
        <f>IFERROR(IF($G2468="","",VLOOKUP('Dashboard And Emails Automate'!$G2468,Database!$H:$N,6,0)),"")</f>
        <v/>
      </c>
      <c r="M2468" s="55" t="str">
        <f>IFERROR(IF($G2468="","",VLOOKUP('Dashboard And Emails Automate'!$G2468,Database!$H:$N,7,0)),"")</f>
        <v/>
      </c>
      <c r="N2468" s="55" t="str">
        <f>IFERROR(IF(OR($B2468="",$B2468="(blank)"),"",VLOOKUP($B2468,'Email Marketing Raw Data'!$C:$O,6,0)),"")</f>
        <v/>
      </c>
      <c r="O2468" s="55" t="str">
        <f>IFERROR(IF(OR($B2468="",$B2468="(blank)"),"",VLOOKUP($B2468,'Email Marketing Raw Data'!$C:$O,7,0)),"")</f>
        <v/>
      </c>
      <c r="P2468" s="55" t="str">
        <f>IFERROR(IF(OR($B2468="",$B2468="(blank)"),"",VLOOKUP($B2468,'Email Marketing Raw Data'!$C:$O,8,0)),"")</f>
        <v/>
      </c>
      <c r="Q2468" s="62" t="str">
        <f>IFERROR(IF(OR($B2468="",$B2468="(blank)"),"",VLOOKUP($B2468,'Email Marketing Raw Data'!$C:$O,9,0)),"")</f>
        <v/>
      </c>
    </row>
    <row r="2469" spans="4:17" ht="12.75" customHeight="1" x14ac:dyDescent="0.2">
      <c r="D2469" s="58" t="str">
        <f>IFERROR(IF(F2469&lt;&gt;"pending","",IF(OR($B2469="",$B2469="(blank)"),"",VLOOKUP($B2469,'Email Marketing Raw Data'!$C:$O,10,0))),"")</f>
        <v/>
      </c>
      <c r="E2469" s="59" t="str">
        <f>IFERROR(IF(F2469&lt;&gt;"pending","",IF(OR($B2469="",$B2469="(blank)"),"",VLOOKUP($B2469,'Email Marketing Raw Data'!$C:$O,11,0))),"")</f>
        <v/>
      </c>
      <c r="F2469" s="54" t="str">
        <f>IFERROR(IF(OR($B2469="",$B2469="(blank)"),"",VLOOKUP($B2469,'Email Marketing Raw Data'!$C:$O,13,0)),"")</f>
        <v/>
      </c>
      <c r="G2469" s="55" t="str">
        <f>IFERROR(IF(OR($B2469="",$B2469="(blank)"),"",VLOOKUP($B2469,'Email Marketing Raw Data'!$C:$O,4,0)),"")</f>
        <v/>
      </c>
      <c r="H2469" s="55" t="str">
        <f>IFERROR(IF(OR($B2469="",$B2469="(blank)"),"",VLOOKUP($B2469,'Email Marketing Raw Data'!$C:$O,5,0)),"")</f>
        <v/>
      </c>
      <c r="I2469" s="55" t="str">
        <f>IFERROR(IF($G2469="","",VLOOKUP('Dashboard And Emails Automate'!$G2469,Database!$H:$N,3,0)),"")</f>
        <v/>
      </c>
      <c r="J2469" s="55" t="str">
        <f>IFERROR(IF($G2469="","",VLOOKUP('Dashboard And Emails Automate'!$G2469,Database!$H:$N,4,0)),"")</f>
        <v/>
      </c>
      <c r="K2469" s="55" t="str">
        <f>IFERROR(IF($G2469="","",VLOOKUP('Dashboard And Emails Automate'!$G2469,Database!$H:$N,5,0)),"")</f>
        <v/>
      </c>
      <c r="L2469" s="55" t="str">
        <f>IFERROR(IF($G2469="","",VLOOKUP('Dashboard And Emails Automate'!$G2469,Database!$H:$N,6,0)),"")</f>
        <v/>
      </c>
      <c r="M2469" s="55" t="str">
        <f>IFERROR(IF($G2469="","",VLOOKUP('Dashboard And Emails Automate'!$G2469,Database!$H:$N,7,0)),"")</f>
        <v/>
      </c>
      <c r="N2469" s="55" t="str">
        <f>IFERROR(IF(OR($B2469="",$B2469="(blank)"),"",VLOOKUP($B2469,'Email Marketing Raw Data'!$C:$O,6,0)),"")</f>
        <v/>
      </c>
      <c r="O2469" s="55" t="str">
        <f>IFERROR(IF(OR($B2469="",$B2469="(blank)"),"",VLOOKUP($B2469,'Email Marketing Raw Data'!$C:$O,7,0)),"")</f>
        <v/>
      </c>
      <c r="P2469" s="55" t="str">
        <f>IFERROR(IF(OR($B2469="",$B2469="(blank)"),"",VLOOKUP($B2469,'Email Marketing Raw Data'!$C:$O,8,0)),"")</f>
        <v/>
      </c>
      <c r="Q2469" s="62" t="str">
        <f>IFERROR(IF(OR($B2469="",$B2469="(blank)"),"",VLOOKUP($B2469,'Email Marketing Raw Data'!$C:$O,9,0)),"")</f>
        <v/>
      </c>
    </row>
    <row r="2470" spans="4:17" ht="12.75" customHeight="1" x14ac:dyDescent="0.2">
      <c r="D2470" s="58" t="str">
        <f>IFERROR(IF(F2470&lt;&gt;"pending","",IF(OR($B2470="",$B2470="(blank)"),"",VLOOKUP($B2470,'Email Marketing Raw Data'!$C:$O,10,0))),"")</f>
        <v/>
      </c>
      <c r="E2470" s="59" t="str">
        <f>IFERROR(IF(F2470&lt;&gt;"pending","",IF(OR($B2470="",$B2470="(blank)"),"",VLOOKUP($B2470,'Email Marketing Raw Data'!$C:$O,11,0))),"")</f>
        <v/>
      </c>
      <c r="F2470" s="54" t="str">
        <f>IFERROR(IF(OR($B2470="",$B2470="(blank)"),"",VLOOKUP($B2470,'Email Marketing Raw Data'!$C:$O,13,0)),"")</f>
        <v/>
      </c>
      <c r="G2470" s="55" t="str">
        <f>IFERROR(IF(OR($B2470="",$B2470="(blank)"),"",VLOOKUP($B2470,'Email Marketing Raw Data'!$C:$O,4,0)),"")</f>
        <v/>
      </c>
      <c r="H2470" s="55" t="str">
        <f>IFERROR(IF(OR($B2470="",$B2470="(blank)"),"",VLOOKUP($B2470,'Email Marketing Raw Data'!$C:$O,5,0)),"")</f>
        <v/>
      </c>
      <c r="I2470" s="55" t="str">
        <f>IFERROR(IF($G2470="","",VLOOKUP('Dashboard And Emails Automate'!$G2470,Database!$H:$N,3,0)),"")</f>
        <v/>
      </c>
      <c r="J2470" s="55" t="str">
        <f>IFERROR(IF($G2470="","",VLOOKUP('Dashboard And Emails Automate'!$G2470,Database!$H:$N,4,0)),"")</f>
        <v/>
      </c>
      <c r="K2470" s="55" t="str">
        <f>IFERROR(IF($G2470="","",VLOOKUP('Dashboard And Emails Automate'!$G2470,Database!$H:$N,5,0)),"")</f>
        <v/>
      </c>
      <c r="L2470" s="55" t="str">
        <f>IFERROR(IF($G2470="","",VLOOKUP('Dashboard And Emails Automate'!$G2470,Database!$H:$N,6,0)),"")</f>
        <v/>
      </c>
      <c r="M2470" s="55" t="str">
        <f>IFERROR(IF($G2470="","",VLOOKUP('Dashboard And Emails Automate'!$G2470,Database!$H:$N,7,0)),"")</f>
        <v/>
      </c>
      <c r="N2470" s="55" t="str">
        <f>IFERROR(IF(OR($B2470="",$B2470="(blank)"),"",VLOOKUP($B2470,'Email Marketing Raw Data'!$C:$O,6,0)),"")</f>
        <v/>
      </c>
      <c r="O2470" s="55" t="str">
        <f>IFERROR(IF(OR($B2470="",$B2470="(blank)"),"",VLOOKUP($B2470,'Email Marketing Raw Data'!$C:$O,7,0)),"")</f>
        <v/>
      </c>
      <c r="P2470" s="55" t="str">
        <f>IFERROR(IF(OR($B2470="",$B2470="(blank)"),"",VLOOKUP($B2470,'Email Marketing Raw Data'!$C:$O,8,0)),"")</f>
        <v/>
      </c>
      <c r="Q2470" s="62" t="str">
        <f>IFERROR(IF(OR($B2470="",$B2470="(blank)"),"",VLOOKUP($B2470,'Email Marketing Raw Data'!$C:$O,9,0)),"")</f>
        <v/>
      </c>
    </row>
    <row r="2471" spans="4:17" ht="12.75" customHeight="1" x14ac:dyDescent="0.2">
      <c r="D2471" s="58" t="str">
        <f>IFERROR(IF(F2471&lt;&gt;"pending","",IF(OR($B2471="",$B2471="(blank)"),"",VLOOKUP($B2471,'Email Marketing Raw Data'!$C:$O,10,0))),"")</f>
        <v/>
      </c>
      <c r="E2471" s="59" t="str">
        <f>IFERROR(IF(F2471&lt;&gt;"pending","",IF(OR($B2471="",$B2471="(blank)"),"",VLOOKUP($B2471,'Email Marketing Raw Data'!$C:$O,11,0))),"")</f>
        <v/>
      </c>
      <c r="F2471" s="54" t="str">
        <f>IFERROR(IF(OR($B2471="",$B2471="(blank)"),"",VLOOKUP($B2471,'Email Marketing Raw Data'!$C:$O,13,0)),"")</f>
        <v/>
      </c>
      <c r="G2471" s="55" t="str">
        <f>IFERROR(IF(OR($B2471="",$B2471="(blank)"),"",VLOOKUP($B2471,'Email Marketing Raw Data'!$C:$O,4,0)),"")</f>
        <v/>
      </c>
      <c r="H2471" s="55" t="str">
        <f>IFERROR(IF(OR($B2471="",$B2471="(blank)"),"",VLOOKUP($B2471,'Email Marketing Raw Data'!$C:$O,5,0)),"")</f>
        <v/>
      </c>
      <c r="I2471" s="55" t="str">
        <f>IFERROR(IF($G2471="","",VLOOKUP('Dashboard And Emails Automate'!$G2471,Database!$H:$N,3,0)),"")</f>
        <v/>
      </c>
      <c r="J2471" s="55" t="str">
        <f>IFERROR(IF($G2471="","",VLOOKUP('Dashboard And Emails Automate'!$G2471,Database!$H:$N,4,0)),"")</f>
        <v/>
      </c>
      <c r="K2471" s="55" t="str">
        <f>IFERROR(IF($G2471="","",VLOOKUP('Dashboard And Emails Automate'!$G2471,Database!$H:$N,5,0)),"")</f>
        <v/>
      </c>
      <c r="L2471" s="55" t="str">
        <f>IFERROR(IF($G2471="","",VLOOKUP('Dashboard And Emails Automate'!$G2471,Database!$H:$N,6,0)),"")</f>
        <v/>
      </c>
      <c r="M2471" s="55" t="str">
        <f>IFERROR(IF($G2471="","",VLOOKUP('Dashboard And Emails Automate'!$G2471,Database!$H:$N,7,0)),"")</f>
        <v/>
      </c>
      <c r="N2471" s="55" t="str">
        <f>IFERROR(IF(OR($B2471="",$B2471="(blank)"),"",VLOOKUP($B2471,'Email Marketing Raw Data'!$C:$O,6,0)),"")</f>
        <v/>
      </c>
      <c r="O2471" s="55" t="str">
        <f>IFERROR(IF(OR($B2471="",$B2471="(blank)"),"",VLOOKUP($B2471,'Email Marketing Raw Data'!$C:$O,7,0)),"")</f>
        <v/>
      </c>
      <c r="P2471" s="55" t="str">
        <f>IFERROR(IF(OR($B2471="",$B2471="(blank)"),"",VLOOKUP($B2471,'Email Marketing Raw Data'!$C:$O,8,0)),"")</f>
        <v/>
      </c>
      <c r="Q2471" s="62" t="str">
        <f>IFERROR(IF(OR($B2471="",$B2471="(blank)"),"",VLOOKUP($B2471,'Email Marketing Raw Data'!$C:$O,9,0)),"")</f>
        <v/>
      </c>
    </row>
    <row r="2472" spans="4:17" ht="12.75" customHeight="1" x14ac:dyDescent="0.2">
      <c r="D2472" s="58" t="str">
        <f>IFERROR(IF(F2472&lt;&gt;"pending","",IF(OR($B2472="",$B2472="(blank)"),"",VLOOKUP($B2472,'Email Marketing Raw Data'!$C:$O,10,0))),"")</f>
        <v/>
      </c>
      <c r="E2472" s="59" t="str">
        <f>IFERROR(IF(F2472&lt;&gt;"pending","",IF(OR($B2472="",$B2472="(blank)"),"",VLOOKUP($B2472,'Email Marketing Raw Data'!$C:$O,11,0))),"")</f>
        <v/>
      </c>
      <c r="F2472" s="54" t="str">
        <f>IFERROR(IF(OR($B2472="",$B2472="(blank)"),"",VLOOKUP($B2472,'Email Marketing Raw Data'!$C:$O,13,0)),"")</f>
        <v/>
      </c>
      <c r="G2472" s="55" t="str">
        <f>IFERROR(IF(OR($B2472="",$B2472="(blank)"),"",VLOOKUP($B2472,'Email Marketing Raw Data'!$C:$O,4,0)),"")</f>
        <v/>
      </c>
      <c r="H2472" s="55" t="str">
        <f>IFERROR(IF(OR($B2472="",$B2472="(blank)"),"",VLOOKUP($B2472,'Email Marketing Raw Data'!$C:$O,5,0)),"")</f>
        <v/>
      </c>
      <c r="I2472" s="55" t="str">
        <f>IFERROR(IF($G2472="","",VLOOKUP('Dashboard And Emails Automate'!$G2472,Database!$H:$N,3,0)),"")</f>
        <v/>
      </c>
      <c r="J2472" s="55" t="str">
        <f>IFERROR(IF($G2472="","",VLOOKUP('Dashboard And Emails Automate'!$G2472,Database!$H:$N,4,0)),"")</f>
        <v/>
      </c>
      <c r="K2472" s="55" t="str">
        <f>IFERROR(IF($G2472="","",VLOOKUP('Dashboard And Emails Automate'!$G2472,Database!$H:$N,5,0)),"")</f>
        <v/>
      </c>
      <c r="L2472" s="55" t="str">
        <f>IFERROR(IF($G2472="","",VLOOKUP('Dashboard And Emails Automate'!$G2472,Database!$H:$N,6,0)),"")</f>
        <v/>
      </c>
      <c r="M2472" s="55" t="str">
        <f>IFERROR(IF($G2472="","",VLOOKUP('Dashboard And Emails Automate'!$G2472,Database!$H:$N,7,0)),"")</f>
        <v/>
      </c>
      <c r="N2472" s="55" t="str">
        <f>IFERROR(IF(OR($B2472="",$B2472="(blank)"),"",VLOOKUP($B2472,'Email Marketing Raw Data'!$C:$O,6,0)),"")</f>
        <v/>
      </c>
      <c r="O2472" s="55" t="str">
        <f>IFERROR(IF(OR($B2472="",$B2472="(blank)"),"",VLOOKUP($B2472,'Email Marketing Raw Data'!$C:$O,7,0)),"")</f>
        <v/>
      </c>
      <c r="P2472" s="55" t="str">
        <f>IFERROR(IF(OR($B2472="",$B2472="(blank)"),"",VLOOKUP($B2472,'Email Marketing Raw Data'!$C:$O,8,0)),"")</f>
        <v/>
      </c>
      <c r="Q2472" s="62" t="str">
        <f>IFERROR(IF(OR($B2472="",$B2472="(blank)"),"",VLOOKUP($B2472,'Email Marketing Raw Data'!$C:$O,9,0)),"")</f>
        <v/>
      </c>
    </row>
    <row r="2473" spans="4:17" ht="12.75" customHeight="1" x14ac:dyDescent="0.2">
      <c r="D2473" s="58" t="str">
        <f>IFERROR(IF(F2473&lt;&gt;"pending","",IF(OR($B2473="",$B2473="(blank)"),"",VLOOKUP($B2473,'Email Marketing Raw Data'!$C:$O,10,0))),"")</f>
        <v/>
      </c>
      <c r="E2473" s="59" t="str">
        <f>IFERROR(IF(F2473&lt;&gt;"pending","",IF(OR($B2473="",$B2473="(blank)"),"",VLOOKUP($B2473,'Email Marketing Raw Data'!$C:$O,11,0))),"")</f>
        <v/>
      </c>
      <c r="F2473" s="54" t="str">
        <f>IFERROR(IF(OR($B2473="",$B2473="(blank)"),"",VLOOKUP($B2473,'Email Marketing Raw Data'!$C:$O,13,0)),"")</f>
        <v/>
      </c>
      <c r="G2473" s="55" t="str">
        <f>IFERROR(IF(OR($B2473="",$B2473="(blank)"),"",VLOOKUP($B2473,'Email Marketing Raw Data'!$C:$O,4,0)),"")</f>
        <v/>
      </c>
      <c r="H2473" s="55" t="str">
        <f>IFERROR(IF(OR($B2473="",$B2473="(blank)"),"",VLOOKUP($B2473,'Email Marketing Raw Data'!$C:$O,5,0)),"")</f>
        <v/>
      </c>
      <c r="I2473" s="55" t="str">
        <f>IFERROR(IF($G2473="","",VLOOKUP('Dashboard And Emails Automate'!$G2473,Database!$H:$N,3,0)),"")</f>
        <v/>
      </c>
      <c r="J2473" s="55" t="str">
        <f>IFERROR(IF($G2473="","",VLOOKUP('Dashboard And Emails Automate'!$G2473,Database!$H:$N,4,0)),"")</f>
        <v/>
      </c>
      <c r="K2473" s="55" t="str">
        <f>IFERROR(IF($G2473="","",VLOOKUP('Dashboard And Emails Automate'!$G2473,Database!$H:$N,5,0)),"")</f>
        <v/>
      </c>
      <c r="L2473" s="55" t="str">
        <f>IFERROR(IF($G2473="","",VLOOKUP('Dashboard And Emails Automate'!$G2473,Database!$H:$N,6,0)),"")</f>
        <v/>
      </c>
      <c r="M2473" s="55" t="str">
        <f>IFERROR(IF($G2473="","",VLOOKUP('Dashboard And Emails Automate'!$G2473,Database!$H:$N,7,0)),"")</f>
        <v/>
      </c>
      <c r="N2473" s="55" t="str">
        <f>IFERROR(IF(OR($B2473="",$B2473="(blank)"),"",VLOOKUP($B2473,'Email Marketing Raw Data'!$C:$O,6,0)),"")</f>
        <v/>
      </c>
      <c r="O2473" s="55" t="str">
        <f>IFERROR(IF(OR($B2473="",$B2473="(blank)"),"",VLOOKUP($B2473,'Email Marketing Raw Data'!$C:$O,7,0)),"")</f>
        <v/>
      </c>
      <c r="P2473" s="55" t="str">
        <f>IFERROR(IF(OR($B2473="",$B2473="(blank)"),"",VLOOKUP($B2473,'Email Marketing Raw Data'!$C:$O,8,0)),"")</f>
        <v/>
      </c>
      <c r="Q2473" s="62" t="str">
        <f>IFERROR(IF(OR($B2473="",$B2473="(blank)"),"",VLOOKUP($B2473,'Email Marketing Raw Data'!$C:$O,9,0)),"")</f>
        <v/>
      </c>
    </row>
    <row r="2474" spans="4:17" ht="12.75" customHeight="1" x14ac:dyDescent="0.2">
      <c r="D2474" s="58" t="str">
        <f>IFERROR(IF(F2474&lt;&gt;"pending","",IF(OR($B2474="",$B2474="(blank)"),"",VLOOKUP($B2474,'Email Marketing Raw Data'!$C:$O,10,0))),"")</f>
        <v/>
      </c>
      <c r="E2474" s="59" t="str">
        <f>IFERROR(IF(F2474&lt;&gt;"pending","",IF(OR($B2474="",$B2474="(blank)"),"",VLOOKUP($B2474,'Email Marketing Raw Data'!$C:$O,11,0))),"")</f>
        <v/>
      </c>
      <c r="F2474" s="54" t="str">
        <f>IFERROR(IF(OR($B2474="",$B2474="(blank)"),"",VLOOKUP($B2474,'Email Marketing Raw Data'!$C:$O,13,0)),"")</f>
        <v/>
      </c>
      <c r="G2474" s="55" t="str">
        <f>IFERROR(IF(OR($B2474="",$B2474="(blank)"),"",VLOOKUP($B2474,'Email Marketing Raw Data'!$C:$O,4,0)),"")</f>
        <v/>
      </c>
      <c r="H2474" s="55" t="str">
        <f>IFERROR(IF(OR($B2474="",$B2474="(blank)"),"",VLOOKUP($B2474,'Email Marketing Raw Data'!$C:$O,5,0)),"")</f>
        <v/>
      </c>
      <c r="I2474" s="55" t="str">
        <f>IFERROR(IF($G2474="","",VLOOKUP('Dashboard And Emails Automate'!$G2474,Database!$H:$N,3,0)),"")</f>
        <v/>
      </c>
      <c r="J2474" s="55" t="str">
        <f>IFERROR(IF($G2474="","",VLOOKUP('Dashboard And Emails Automate'!$G2474,Database!$H:$N,4,0)),"")</f>
        <v/>
      </c>
      <c r="K2474" s="55" t="str">
        <f>IFERROR(IF($G2474="","",VLOOKUP('Dashboard And Emails Automate'!$G2474,Database!$H:$N,5,0)),"")</f>
        <v/>
      </c>
      <c r="L2474" s="55" t="str">
        <f>IFERROR(IF($G2474="","",VLOOKUP('Dashboard And Emails Automate'!$G2474,Database!$H:$N,6,0)),"")</f>
        <v/>
      </c>
      <c r="M2474" s="55" t="str">
        <f>IFERROR(IF($G2474="","",VLOOKUP('Dashboard And Emails Automate'!$G2474,Database!$H:$N,7,0)),"")</f>
        <v/>
      </c>
      <c r="N2474" s="55" t="str">
        <f>IFERROR(IF(OR($B2474="",$B2474="(blank)"),"",VLOOKUP($B2474,'Email Marketing Raw Data'!$C:$O,6,0)),"")</f>
        <v/>
      </c>
      <c r="O2474" s="55" t="str">
        <f>IFERROR(IF(OR($B2474="",$B2474="(blank)"),"",VLOOKUP($B2474,'Email Marketing Raw Data'!$C:$O,7,0)),"")</f>
        <v/>
      </c>
      <c r="P2474" s="55" t="str">
        <f>IFERROR(IF(OR($B2474="",$B2474="(blank)"),"",VLOOKUP($B2474,'Email Marketing Raw Data'!$C:$O,8,0)),"")</f>
        <v/>
      </c>
      <c r="Q2474" s="62" t="str">
        <f>IFERROR(IF(OR($B2474="",$B2474="(blank)"),"",VLOOKUP($B2474,'Email Marketing Raw Data'!$C:$O,9,0)),"")</f>
        <v/>
      </c>
    </row>
    <row r="2475" spans="4:17" ht="12.75" customHeight="1" x14ac:dyDescent="0.2">
      <c r="D2475" s="58" t="str">
        <f>IFERROR(IF(F2475&lt;&gt;"pending","",IF(OR($B2475="",$B2475="(blank)"),"",VLOOKUP($B2475,'Email Marketing Raw Data'!$C:$O,10,0))),"")</f>
        <v/>
      </c>
      <c r="E2475" s="59" t="str">
        <f>IFERROR(IF(F2475&lt;&gt;"pending","",IF(OR($B2475="",$B2475="(blank)"),"",VLOOKUP($B2475,'Email Marketing Raw Data'!$C:$O,11,0))),"")</f>
        <v/>
      </c>
      <c r="F2475" s="54" t="str">
        <f>IFERROR(IF(OR($B2475="",$B2475="(blank)"),"",VLOOKUP($B2475,'Email Marketing Raw Data'!$C:$O,13,0)),"")</f>
        <v/>
      </c>
      <c r="G2475" s="55" t="str">
        <f>IFERROR(IF(OR($B2475="",$B2475="(blank)"),"",VLOOKUP($B2475,'Email Marketing Raw Data'!$C:$O,4,0)),"")</f>
        <v/>
      </c>
      <c r="H2475" s="55" t="str">
        <f>IFERROR(IF(OR($B2475="",$B2475="(blank)"),"",VLOOKUP($B2475,'Email Marketing Raw Data'!$C:$O,5,0)),"")</f>
        <v/>
      </c>
      <c r="I2475" s="55" t="str">
        <f>IFERROR(IF($G2475="","",VLOOKUP('Dashboard And Emails Automate'!$G2475,Database!$H:$N,3,0)),"")</f>
        <v/>
      </c>
      <c r="J2475" s="55" t="str">
        <f>IFERROR(IF($G2475="","",VLOOKUP('Dashboard And Emails Automate'!$G2475,Database!$H:$N,4,0)),"")</f>
        <v/>
      </c>
      <c r="K2475" s="55" t="str">
        <f>IFERROR(IF($G2475="","",VLOOKUP('Dashboard And Emails Automate'!$G2475,Database!$H:$N,5,0)),"")</f>
        <v/>
      </c>
      <c r="L2475" s="55" t="str">
        <f>IFERROR(IF($G2475="","",VLOOKUP('Dashboard And Emails Automate'!$G2475,Database!$H:$N,6,0)),"")</f>
        <v/>
      </c>
      <c r="M2475" s="55" t="str">
        <f>IFERROR(IF($G2475="","",VLOOKUP('Dashboard And Emails Automate'!$G2475,Database!$H:$N,7,0)),"")</f>
        <v/>
      </c>
      <c r="N2475" s="55" t="str">
        <f>IFERROR(IF(OR($B2475="",$B2475="(blank)"),"",VLOOKUP($B2475,'Email Marketing Raw Data'!$C:$O,6,0)),"")</f>
        <v/>
      </c>
      <c r="O2475" s="55" t="str">
        <f>IFERROR(IF(OR($B2475="",$B2475="(blank)"),"",VLOOKUP($B2475,'Email Marketing Raw Data'!$C:$O,7,0)),"")</f>
        <v/>
      </c>
      <c r="P2475" s="55" t="str">
        <f>IFERROR(IF(OR($B2475="",$B2475="(blank)"),"",VLOOKUP($B2475,'Email Marketing Raw Data'!$C:$O,8,0)),"")</f>
        <v/>
      </c>
      <c r="Q2475" s="62" t="str">
        <f>IFERROR(IF(OR($B2475="",$B2475="(blank)"),"",VLOOKUP($B2475,'Email Marketing Raw Data'!$C:$O,9,0)),"")</f>
        <v/>
      </c>
    </row>
    <row r="2476" spans="4:17" ht="12.75" customHeight="1" x14ac:dyDescent="0.2">
      <c r="D2476" s="58" t="str">
        <f>IFERROR(IF(F2476&lt;&gt;"pending","",IF(OR($B2476="",$B2476="(blank)"),"",VLOOKUP($B2476,'Email Marketing Raw Data'!$C:$O,10,0))),"")</f>
        <v/>
      </c>
      <c r="E2476" s="59" t="str">
        <f>IFERROR(IF(F2476&lt;&gt;"pending","",IF(OR($B2476="",$B2476="(blank)"),"",VLOOKUP($B2476,'Email Marketing Raw Data'!$C:$O,11,0))),"")</f>
        <v/>
      </c>
      <c r="F2476" s="54" t="str">
        <f>IFERROR(IF(OR($B2476="",$B2476="(blank)"),"",VLOOKUP($B2476,'Email Marketing Raw Data'!$C:$O,13,0)),"")</f>
        <v/>
      </c>
      <c r="G2476" s="55" t="str">
        <f>IFERROR(IF(OR($B2476="",$B2476="(blank)"),"",VLOOKUP($B2476,'Email Marketing Raw Data'!$C:$O,4,0)),"")</f>
        <v/>
      </c>
      <c r="H2476" s="55" t="str">
        <f>IFERROR(IF(OR($B2476="",$B2476="(blank)"),"",VLOOKUP($B2476,'Email Marketing Raw Data'!$C:$O,5,0)),"")</f>
        <v/>
      </c>
      <c r="I2476" s="55" t="str">
        <f>IFERROR(IF($G2476="","",VLOOKUP('Dashboard And Emails Automate'!$G2476,Database!$H:$N,3,0)),"")</f>
        <v/>
      </c>
      <c r="J2476" s="55" t="str">
        <f>IFERROR(IF($G2476="","",VLOOKUP('Dashboard And Emails Automate'!$G2476,Database!$H:$N,4,0)),"")</f>
        <v/>
      </c>
      <c r="K2476" s="55" t="str">
        <f>IFERROR(IF($G2476="","",VLOOKUP('Dashboard And Emails Automate'!$G2476,Database!$H:$N,5,0)),"")</f>
        <v/>
      </c>
      <c r="L2476" s="55" t="str">
        <f>IFERROR(IF($G2476="","",VLOOKUP('Dashboard And Emails Automate'!$G2476,Database!$H:$N,6,0)),"")</f>
        <v/>
      </c>
      <c r="M2476" s="55" t="str">
        <f>IFERROR(IF($G2476="","",VLOOKUP('Dashboard And Emails Automate'!$G2476,Database!$H:$N,7,0)),"")</f>
        <v/>
      </c>
      <c r="N2476" s="55" t="str">
        <f>IFERROR(IF(OR($B2476="",$B2476="(blank)"),"",VLOOKUP($B2476,'Email Marketing Raw Data'!$C:$O,6,0)),"")</f>
        <v/>
      </c>
      <c r="O2476" s="55" t="str">
        <f>IFERROR(IF(OR($B2476="",$B2476="(blank)"),"",VLOOKUP($B2476,'Email Marketing Raw Data'!$C:$O,7,0)),"")</f>
        <v/>
      </c>
      <c r="P2476" s="55" t="str">
        <f>IFERROR(IF(OR($B2476="",$B2476="(blank)"),"",VLOOKUP($B2476,'Email Marketing Raw Data'!$C:$O,8,0)),"")</f>
        <v/>
      </c>
      <c r="Q2476" s="62" t="str">
        <f>IFERROR(IF(OR($B2476="",$B2476="(blank)"),"",VLOOKUP($B2476,'Email Marketing Raw Data'!$C:$O,9,0)),"")</f>
        <v/>
      </c>
    </row>
    <row r="2477" spans="4:17" ht="12.75" customHeight="1" x14ac:dyDescent="0.2">
      <c r="D2477" s="58" t="str">
        <f>IFERROR(IF(F2477&lt;&gt;"pending","",IF(OR($B2477="",$B2477="(blank)"),"",VLOOKUP($B2477,'Email Marketing Raw Data'!$C:$O,10,0))),"")</f>
        <v/>
      </c>
      <c r="E2477" s="59" t="str">
        <f>IFERROR(IF(F2477&lt;&gt;"pending","",IF(OR($B2477="",$B2477="(blank)"),"",VLOOKUP($B2477,'Email Marketing Raw Data'!$C:$O,11,0))),"")</f>
        <v/>
      </c>
      <c r="F2477" s="54" t="str">
        <f>IFERROR(IF(OR($B2477="",$B2477="(blank)"),"",VLOOKUP($B2477,'Email Marketing Raw Data'!$C:$O,13,0)),"")</f>
        <v/>
      </c>
      <c r="G2477" s="55" t="str">
        <f>IFERROR(IF(OR($B2477="",$B2477="(blank)"),"",VLOOKUP($B2477,'Email Marketing Raw Data'!$C:$O,4,0)),"")</f>
        <v/>
      </c>
      <c r="H2477" s="55" t="str">
        <f>IFERROR(IF(OR($B2477="",$B2477="(blank)"),"",VLOOKUP($B2477,'Email Marketing Raw Data'!$C:$O,5,0)),"")</f>
        <v/>
      </c>
      <c r="I2477" s="55" t="str">
        <f>IFERROR(IF($G2477="","",VLOOKUP('Dashboard And Emails Automate'!$G2477,Database!$H:$N,3,0)),"")</f>
        <v/>
      </c>
      <c r="J2477" s="55" t="str">
        <f>IFERROR(IF($G2477="","",VLOOKUP('Dashboard And Emails Automate'!$G2477,Database!$H:$N,4,0)),"")</f>
        <v/>
      </c>
      <c r="K2477" s="55" t="str">
        <f>IFERROR(IF($G2477="","",VLOOKUP('Dashboard And Emails Automate'!$G2477,Database!$H:$N,5,0)),"")</f>
        <v/>
      </c>
      <c r="L2477" s="55" t="str">
        <f>IFERROR(IF($G2477="","",VLOOKUP('Dashboard And Emails Automate'!$G2477,Database!$H:$N,6,0)),"")</f>
        <v/>
      </c>
      <c r="M2477" s="55" t="str">
        <f>IFERROR(IF($G2477="","",VLOOKUP('Dashboard And Emails Automate'!$G2477,Database!$H:$N,7,0)),"")</f>
        <v/>
      </c>
      <c r="N2477" s="55" t="str">
        <f>IFERROR(IF(OR($B2477="",$B2477="(blank)"),"",VLOOKUP($B2477,'Email Marketing Raw Data'!$C:$O,6,0)),"")</f>
        <v/>
      </c>
      <c r="O2477" s="55" t="str">
        <f>IFERROR(IF(OR($B2477="",$B2477="(blank)"),"",VLOOKUP($B2477,'Email Marketing Raw Data'!$C:$O,7,0)),"")</f>
        <v/>
      </c>
      <c r="P2477" s="55" t="str">
        <f>IFERROR(IF(OR($B2477="",$B2477="(blank)"),"",VLOOKUP($B2477,'Email Marketing Raw Data'!$C:$O,8,0)),"")</f>
        <v/>
      </c>
      <c r="Q2477" s="62" t="str">
        <f>IFERROR(IF(OR($B2477="",$B2477="(blank)"),"",VLOOKUP($B2477,'Email Marketing Raw Data'!$C:$O,9,0)),"")</f>
        <v/>
      </c>
    </row>
    <row r="2478" spans="4:17" ht="12.75" customHeight="1" x14ac:dyDescent="0.2">
      <c r="D2478" s="58" t="str">
        <f>IFERROR(IF(F2478&lt;&gt;"pending","",IF(OR($B2478="",$B2478="(blank)"),"",VLOOKUP($B2478,'Email Marketing Raw Data'!$C:$O,10,0))),"")</f>
        <v/>
      </c>
      <c r="E2478" s="59" t="str">
        <f>IFERROR(IF(F2478&lt;&gt;"pending","",IF(OR($B2478="",$B2478="(blank)"),"",VLOOKUP($B2478,'Email Marketing Raw Data'!$C:$O,11,0))),"")</f>
        <v/>
      </c>
      <c r="F2478" s="54" t="str">
        <f>IFERROR(IF(OR($B2478="",$B2478="(blank)"),"",VLOOKUP($B2478,'Email Marketing Raw Data'!$C:$O,13,0)),"")</f>
        <v/>
      </c>
      <c r="G2478" s="55" t="str">
        <f>IFERROR(IF(OR($B2478="",$B2478="(blank)"),"",VLOOKUP($B2478,'Email Marketing Raw Data'!$C:$O,4,0)),"")</f>
        <v/>
      </c>
      <c r="H2478" s="55" t="str">
        <f>IFERROR(IF(OR($B2478="",$B2478="(blank)"),"",VLOOKUP($B2478,'Email Marketing Raw Data'!$C:$O,5,0)),"")</f>
        <v/>
      </c>
      <c r="I2478" s="55" t="str">
        <f>IFERROR(IF($G2478="","",VLOOKUP('Dashboard And Emails Automate'!$G2478,Database!$H:$N,3,0)),"")</f>
        <v/>
      </c>
      <c r="J2478" s="55" t="str">
        <f>IFERROR(IF($G2478="","",VLOOKUP('Dashboard And Emails Automate'!$G2478,Database!$H:$N,4,0)),"")</f>
        <v/>
      </c>
      <c r="K2478" s="55" t="str">
        <f>IFERROR(IF($G2478="","",VLOOKUP('Dashboard And Emails Automate'!$G2478,Database!$H:$N,5,0)),"")</f>
        <v/>
      </c>
      <c r="L2478" s="55" t="str">
        <f>IFERROR(IF($G2478="","",VLOOKUP('Dashboard And Emails Automate'!$G2478,Database!$H:$N,6,0)),"")</f>
        <v/>
      </c>
      <c r="M2478" s="55" t="str">
        <f>IFERROR(IF($G2478="","",VLOOKUP('Dashboard And Emails Automate'!$G2478,Database!$H:$N,7,0)),"")</f>
        <v/>
      </c>
      <c r="N2478" s="55" t="str">
        <f>IFERROR(IF(OR($B2478="",$B2478="(blank)"),"",VLOOKUP($B2478,'Email Marketing Raw Data'!$C:$O,6,0)),"")</f>
        <v/>
      </c>
      <c r="O2478" s="55" t="str">
        <f>IFERROR(IF(OR($B2478="",$B2478="(blank)"),"",VLOOKUP($B2478,'Email Marketing Raw Data'!$C:$O,7,0)),"")</f>
        <v/>
      </c>
      <c r="P2478" s="55" t="str">
        <f>IFERROR(IF(OR($B2478="",$B2478="(blank)"),"",VLOOKUP($B2478,'Email Marketing Raw Data'!$C:$O,8,0)),"")</f>
        <v/>
      </c>
      <c r="Q2478" s="62" t="str">
        <f>IFERROR(IF(OR($B2478="",$B2478="(blank)"),"",VLOOKUP($B2478,'Email Marketing Raw Data'!$C:$O,9,0)),"")</f>
        <v/>
      </c>
    </row>
    <row r="2479" spans="4:17" ht="12.75" customHeight="1" x14ac:dyDescent="0.2">
      <c r="D2479" s="58" t="str">
        <f>IFERROR(IF(F2479&lt;&gt;"pending","",IF(OR($B2479="",$B2479="(blank)"),"",VLOOKUP($B2479,'Email Marketing Raw Data'!$C:$O,10,0))),"")</f>
        <v/>
      </c>
      <c r="E2479" s="59" t="str">
        <f>IFERROR(IF(F2479&lt;&gt;"pending","",IF(OR($B2479="",$B2479="(blank)"),"",VLOOKUP($B2479,'Email Marketing Raw Data'!$C:$O,11,0))),"")</f>
        <v/>
      </c>
      <c r="F2479" s="54" t="str">
        <f>IFERROR(IF(OR($B2479="",$B2479="(blank)"),"",VLOOKUP($B2479,'Email Marketing Raw Data'!$C:$O,13,0)),"")</f>
        <v/>
      </c>
      <c r="G2479" s="55" t="str">
        <f>IFERROR(IF(OR($B2479="",$B2479="(blank)"),"",VLOOKUP($B2479,'Email Marketing Raw Data'!$C:$O,4,0)),"")</f>
        <v/>
      </c>
      <c r="H2479" s="55" t="str">
        <f>IFERROR(IF(OR($B2479="",$B2479="(blank)"),"",VLOOKUP($B2479,'Email Marketing Raw Data'!$C:$O,5,0)),"")</f>
        <v/>
      </c>
      <c r="I2479" s="55" t="str">
        <f>IFERROR(IF($G2479="","",VLOOKUP('Dashboard And Emails Automate'!$G2479,Database!$H:$N,3,0)),"")</f>
        <v/>
      </c>
      <c r="J2479" s="55" t="str">
        <f>IFERROR(IF($G2479="","",VLOOKUP('Dashboard And Emails Automate'!$G2479,Database!$H:$N,4,0)),"")</f>
        <v/>
      </c>
      <c r="K2479" s="55" t="str">
        <f>IFERROR(IF($G2479="","",VLOOKUP('Dashboard And Emails Automate'!$G2479,Database!$H:$N,5,0)),"")</f>
        <v/>
      </c>
      <c r="L2479" s="55" t="str">
        <f>IFERROR(IF($G2479="","",VLOOKUP('Dashboard And Emails Automate'!$G2479,Database!$H:$N,6,0)),"")</f>
        <v/>
      </c>
      <c r="M2479" s="55" t="str">
        <f>IFERROR(IF($G2479="","",VLOOKUP('Dashboard And Emails Automate'!$G2479,Database!$H:$N,7,0)),"")</f>
        <v/>
      </c>
      <c r="N2479" s="55" t="str">
        <f>IFERROR(IF(OR($B2479="",$B2479="(blank)"),"",VLOOKUP($B2479,'Email Marketing Raw Data'!$C:$O,6,0)),"")</f>
        <v/>
      </c>
      <c r="O2479" s="55" t="str">
        <f>IFERROR(IF(OR($B2479="",$B2479="(blank)"),"",VLOOKUP($B2479,'Email Marketing Raw Data'!$C:$O,7,0)),"")</f>
        <v/>
      </c>
      <c r="P2479" s="55" t="str">
        <f>IFERROR(IF(OR($B2479="",$B2479="(blank)"),"",VLOOKUP($B2479,'Email Marketing Raw Data'!$C:$O,8,0)),"")</f>
        <v/>
      </c>
      <c r="Q2479" s="62" t="str">
        <f>IFERROR(IF(OR($B2479="",$B2479="(blank)"),"",VLOOKUP($B2479,'Email Marketing Raw Data'!$C:$O,9,0)),"")</f>
        <v/>
      </c>
    </row>
    <row r="2480" spans="4:17" ht="12.75" customHeight="1" x14ac:dyDescent="0.2">
      <c r="D2480" s="58" t="str">
        <f>IFERROR(IF(F2480&lt;&gt;"pending","",IF(OR($B2480="",$B2480="(blank)"),"",VLOOKUP($B2480,'Email Marketing Raw Data'!$C:$O,10,0))),"")</f>
        <v/>
      </c>
      <c r="E2480" s="59" t="str">
        <f>IFERROR(IF(F2480&lt;&gt;"pending","",IF(OR($B2480="",$B2480="(blank)"),"",VLOOKUP($B2480,'Email Marketing Raw Data'!$C:$O,11,0))),"")</f>
        <v/>
      </c>
      <c r="F2480" s="54" t="str">
        <f>IFERROR(IF(OR($B2480="",$B2480="(blank)"),"",VLOOKUP($B2480,'Email Marketing Raw Data'!$C:$O,13,0)),"")</f>
        <v/>
      </c>
      <c r="G2480" s="55" t="str">
        <f>IFERROR(IF(OR($B2480="",$B2480="(blank)"),"",VLOOKUP($B2480,'Email Marketing Raw Data'!$C:$O,4,0)),"")</f>
        <v/>
      </c>
      <c r="H2480" s="55" t="str">
        <f>IFERROR(IF(OR($B2480="",$B2480="(blank)"),"",VLOOKUP($B2480,'Email Marketing Raw Data'!$C:$O,5,0)),"")</f>
        <v/>
      </c>
      <c r="I2480" s="55" t="str">
        <f>IFERROR(IF($G2480="","",VLOOKUP('Dashboard And Emails Automate'!$G2480,Database!$H:$N,3,0)),"")</f>
        <v/>
      </c>
      <c r="J2480" s="55" t="str">
        <f>IFERROR(IF($G2480="","",VLOOKUP('Dashboard And Emails Automate'!$G2480,Database!$H:$N,4,0)),"")</f>
        <v/>
      </c>
      <c r="K2480" s="55" t="str">
        <f>IFERROR(IF($G2480="","",VLOOKUP('Dashboard And Emails Automate'!$G2480,Database!$H:$N,5,0)),"")</f>
        <v/>
      </c>
      <c r="L2480" s="55" t="str">
        <f>IFERROR(IF($G2480="","",VLOOKUP('Dashboard And Emails Automate'!$G2480,Database!$H:$N,6,0)),"")</f>
        <v/>
      </c>
      <c r="M2480" s="55" t="str">
        <f>IFERROR(IF($G2480="","",VLOOKUP('Dashboard And Emails Automate'!$G2480,Database!$H:$N,7,0)),"")</f>
        <v/>
      </c>
      <c r="N2480" s="55" t="str">
        <f>IFERROR(IF(OR($B2480="",$B2480="(blank)"),"",VLOOKUP($B2480,'Email Marketing Raw Data'!$C:$O,6,0)),"")</f>
        <v/>
      </c>
      <c r="O2480" s="55" t="str">
        <f>IFERROR(IF(OR($B2480="",$B2480="(blank)"),"",VLOOKUP($B2480,'Email Marketing Raw Data'!$C:$O,7,0)),"")</f>
        <v/>
      </c>
      <c r="P2480" s="55" t="str">
        <f>IFERROR(IF(OR($B2480="",$B2480="(blank)"),"",VLOOKUP($B2480,'Email Marketing Raw Data'!$C:$O,8,0)),"")</f>
        <v/>
      </c>
      <c r="Q2480" s="62" t="str">
        <f>IFERROR(IF(OR($B2480="",$B2480="(blank)"),"",VLOOKUP($B2480,'Email Marketing Raw Data'!$C:$O,9,0)),"")</f>
        <v/>
      </c>
    </row>
    <row r="2481" spans="4:17" ht="12.75" customHeight="1" x14ac:dyDescent="0.2">
      <c r="D2481" s="58" t="str">
        <f>IFERROR(IF(F2481&lt;&gt;"pending","",IF(OR($B2481="",$B2481="(blank)"),"",VLOOKUP($B2481,'Email Marketing Raw Data'!$C:$O,10,0))),"")</f>
        <v/>
      </c>
      <c r="E2481" s="59" t="str">
        <f>IFERROR(IF(F2481&lt;&gt;"pending","",IF(OR($B2481="",$B2481="(blank)"),"",VLOOKUP($B2481,'Email Marketing Raw Data'!$C:$O,11,0))),"")</f>
        <v/>
      </c>
      <c r="F2481" s="54" t="str">
        <f>IFERROR(IF(OR($B2481="",$B2481="(blank)"),"",VLOOKUP($B2481,'Email Marketing Raw Data'!$C:$O,13,0)),"")</f>
        <v/>
      </c>
      <c r="G2481" s="55" t="str">
        <f>IFERROR(IF(OR($B2481="",$B2481="(blank)"),"",VLOOKUP($B2481,'Email Marketing Raw Data'!$C:$O,4,0)),"")</f>
        <v/>
      </c>
      <c r="H2481" s="55" t="str">
        <f>IFERROR(IF(OR($B2481="",$B2481="(blank)"),"",VLOOKUP($B2481,'Email Marketing Raw Data'!$C:$O,5,0)),"")</f>
        <v/>
      </c>
      <c r="I2481" s="55" t="str">
        <f>IFERROR(IF($G2481="","",VLOOKUP('Dashboard And Emails Automate'!$G2481,Database!$H:$N,3,0)),"")</f>
        <v/>
      </c>
      <c r="J2481" s="55" t="str">
        <f>IFERROR(IF($G2481="","",VLOOKUP('Dashboard And Emails Automate'!$G2481,Database!$H:$N,4,0)),"")</f>
        <v/>
      </c>
      <c r="K2481" s="55" t="str">
        <f>IFERROR(IF($G2481="","",VLOOKUP('Dashboard And Emails Automate'!$G2481,Database!$H:$N,5,0)),"")</f>
        <v/>
      </c>
      <c r="L2481" s="55" t="str">
        <f>IFERROR(IF($G2481="","",VLOOKUP('Dashboard And Emails Automate'!$G2481,Database!$H:$N,6,0)),"")</f>
        <v/>
      </c>
      <c r="M2481" s="55" t="str">
        <f>IFERROR(IF($G2481="","",VLOOKUP('Dashboard And Emails Automate'!$G2481,Database!$H:$N,7,0)),"")</f>
        <v/>
      </c>
      <c r="N2481" s="55" t="str">
        <f>IFERROR(IF(OR($B2481="",$B2481="(blank)"),"",VLOOKUP($B2481,'Email Marketing Raw Data'!$C:$O,6,0)),"")</f>
        <v/>
      </c>
      <c r="O2481" s="55" t="str">
        <f>IFERROR(IF(OR($B2481="",$B2481="(blank)"),"",VLOOKUP($B2481,'Email Marketing Raw Data'!$C:$O,7,0)),"")</f>
        <v/>
      </c>
      <c r="P2481" s="55" t="str">
        <f>IFERROR(IF(OR($B2481="",$B2481="(blank)"),"",VLOOKUP($B2481,'Email Marketing Raw Data'!$C:$O,8,0)),"")</f>
        <v/>
      </c>
      <c r="Q2481" s="62" t="str">
        <f>IFERROR(IF(OR($B2481="",$B2481="(blank)"),"",VLOOKUP($B2481,'Email Marketing Raw Data'!$C:$O,9,0)),"")</f>
        <v/>
      </c>
    </row>
    <row r="2482" spans="4:17" ht="12.75" customHeight="1" x14ac:dyDescent="0.2">
      <c r="D2482" s="58" t="str">
        <f>IFERROR(IF(F2482&lt;&gt;"pending","",IF(OR($B2482="",$B2482="(blank)"),"",VLOOKUP($B2482,'Email Marketing Raw Data'!$C:$O,10,0))),"")</f>
        <v/>
      </c>
      <c r="E2482" s="59" t="str">
        <f>IFERROR(IF(F2482&lt;&gt;"pending","",IF(OR($B2482="",$B2482="(blank)"),"",VLOOKUP($B2482,'Email Marketing Raw Data'!$C:$O,11,0))),"")</f>
        <v/>
      </c>
      <c r="F2482" s="54" t="str">
        <f>IFERROR(IF(OR($B2482="",$B2482="(blank)"),"",VLOOKUP($B2482,'Email Marketing Raw Data'!$C:$O,13,0)),"")</f>
        <v/>
      </c>
      <c r="G2482" s="55" t="str">
        <f>IFERROR(IF(OR($B2482="",$B2482="(blank)"),"",VLOOKUP($B2482,'Email Marketing Raw Data'!$C:$O,4,0)),"")</f>
        <v/>
      </c>
      <c r="H2482" s="55" t="str">
        <f>IFERROR(IF(OR($B2482="",$B2482="(blank)"),"",VLOOKUP($B2482,'Email Marketing Raw Data'!$C:$O,5,0)),"")</f>
        <v/>
      </c>
      <c r="I2482" s="55" t="str">
        <f>IFERROR(IF($G2482="","",VLOOKUP('Dashboard And Emails Automate'!$G2482,Database!$H:$N,3,0)),"")</f>
        <v/>
      </c>
      <c r="J2482" s="55" t="str">
        <f>IFERROR(IF($G2482="","",VLOOKUP('Dashboard And Emails Automate'!$G2482,Database!$H:$N,4,0)),"")</f>
        <v/>
      </c>
      <c r="K2482" s="55" t="str">
        <f>IFERROR(IF($G2482="","",VLOOKUP('Dashboard And Emails Automate'!$G2482,Database!$H:$N,5,0)),"")</f>
        <v/>
      </c>
      <c r="L2482" s="55" t="str">
        <f>IFERROR(IF($G2482="","",VLOOKUP('Dashboard And Emails Automate'!$G2482,Database!$H:$N,6,0)),"")</f>
        <v/>
      </c>
      <c r="M2482" s="55" t="str">
        <f>IFERROR(IF($G2482="","",VLOOKUP('Dashboard And Emails Automate'!$G2482,Database!$H:$N,7,0)),"")</f>
        <v/>
      </c>
      <c r="N2482" s="55" t="str">
        <f>IFERROR(IF(OR($B2482="",$B2482="(blank)"),"",VLOOKUP($B2482,'Email Marketing Raw Data'!$C:$O,6,0)),"")</f>
        <v/>
      </c>
      <c r="O2482" s="55" t="str">
        <f>IFERROR(IF(OR($B2482="",$B2482="(blank)"),"",VLOOKUP($B2482,'Email Marketing Raw Data'!$C:$O,7,0)),"")</f>
        <v/>
      </c>
      <c r="P2482" s="55" t="str">
        <f>IFERROR(IF(OR($B2482="",$B2482="(blank)"),"",VLOOKUP($B2482,'Email Marketing Raw Data'!$C:$O,8,0)),"")</f>
        <v/>
      </c>
      <c r="Q2482" s="62" t="str">
        <f>IFERROR(IF(OR($B2482="",$B2482="(blank)"),"",VLOOKUP($B2482,'Email Marketing Raw Data'!$C:$O,9,0)),"")</f>
        <v/>
      </c>
    </row>
    <row r="2483" spans="4:17" ht="12.75" customHeight="1" x14ac:dyDescent="0.2">
      <c r="D2483" s="58" t="str">
        <f>IFERROR(IF(F2483&lt;&gt;"pending","",IF(OR($B2483="",$B2483="(blank)"),"",VLOOKUP($B2483,'Email Marketing Raw Data'!$C:$O,10,0))),"")</f>
        <v/>
      </c>
      <c r="E2483" s="59" t="str">
        <f>IFERROR(IF(F2483&lt;&gt;"pending","",IF(OR($B2483="",$B2483="(blank)"),"",VLOOKUP($B2483,'Email Marketing Raw Data'!$C:$O,11,0))),"")</f>
        <v/>
      </c>
      <c r="F2483" s="54" t="str">
        <f>IFERROR(IF(OR($B2483="",$B2483="(blank)"),"",VLOOKUP($B2483,'Email Marketing Raw Data'!$C:$O,13,0)),"")</f>
        <v/>
      </c>
      <c r="G2483" s="55" t="str">
        <f>IFERROR(IF(OR($B2483="",$B2483="(blank)"),"",VLOOKUP($B2483,'Email Marketing Raw Data'!$C:$O,4,0)),"")</f>
        <v/>
      </c>
      <c r="H2483" s="55" t="str">
        <f>IFERROR(IF(OR($B2483="",$B2483="(blank)"),"",VLOOKUP($B2483,'Email Marketing Raw Data'!$C:$O,5,0)),"")</f>
        <v/>
      </c>
      <c r="I2483" s="55" t="str">
        <f>IFERROR(IF($G2483="","",VLOOKUP('Dashboard And Emails Automate'!$G2483,Database!$H:$N,3,0)),"")</f>
        <v/>
      </c>
      <c r="J2483" s="55" t="str">
        <f>IFERROR(IF($G2483="","",VLOOKUP('Dashboard And Emails Automate'!$G2483,Database!$H:$N,4,0)),"")</f>
        <v/>
      </c>
      <c r="K2483" s="55" t="str">
        <f>IFERROR(IF($G2483="","",VLOOKUP('Dashboard And Emails Automate'!$G2483,Database!$H:$N,5,0)),"")</f>
        <v/>
      </c>
      <c r="L2483" s="55" t="str">
        <f>IFERROR(IF($G2483="","",VLOOKUP('Dashboard And Emails Automate'!$G2483,Database!$H:$N,6,0)),"")</f>
        <v/>
      </c>
      <c r="M2483" s="55" t="str">
        <f>IFERROR(IF($G2483="","",VLOOKUP('Dashboard And Emails Automate'!$G2483,Database!$H:$N,7,0)),"")</f>
        <v/>
      </c>
      <c r="N2483" s="55" t="str">
        <f>IFERROR(IF(OR($B2483="",$B2483="(blank)"),"",VLOOKUP($B2483,'Email Marketing Raw Data'!$C:$O,6,0)),"")</f>
        <v/>
      </c>
      <c r="O2483" s="55" t="str">
        <f>IFERROR(IF(OR($B2483="",$B2483="(blank)"),"",VLOOKUP($B2483,'Email Marketing Raw Data'!$C:$O,7,0)),"")</f>
        <v/>
      </c>
      <c r="P2483" s="55" t="str">
        <f>IFERROR(IF(OR($B2483="",$B2483="(blank)"),"",VLOOKUP($B2483,'Email Marketing Raw Data'!$C:$O,8,0)),"")</f>
        <v/>
      </c>
      <c r="Q2483" s="62" t="str">
        <f>IFERROR(IF(OR($B2483="",$B2483="(blank)"),"",VLOOKUP($B2483,'Email Marketing Raw Data'!$C:$O,9,0)),"")</f>
        <v/>
      </c>
    </row>
    <row r="2484" spans="4:17" ht="12.75" customHeight="1" x14ac:dyDescent="0.2">
      <c r="D2484" s="58" t="str">
        <f>IFERROR(IF(F2484&lt;&gt;"pending","",IF(OR($B2484="",$B2484="(blank)"),"",VLOOKUP($B2484,'Email Marketing Raw Data'!$C:$O,10,0))),"")</f>
        <v/>
      </c>
      <c r="E2484" s="59" t="str">
        <f>IFERROR(IF(F2484&lt;&gt;"pending","",IF(OR($B2484="",$B2484="(blank)"),"",VLOOKUP($B2484,'Email Marketing Raw Data'!$C:$O,11,0))),"")</f>
        <v/>
      </c>
      <c r="F2484" s="54" t="str">
        <f>IFERROR(IF(OR($B2484="",$B2484="(blank)"),"",VLOOKUP($B2484,'Email Marketing Raw Data'!$C:$O,13,0)),"")</f>
        <v/>
      </c>
      <c r="G2484" s="55" t="str">
        <f>IFERROR(IF(OR($B2484="",$B2484="(blank)"),"",VLOOKUP($B2484,'Email Marketing Raw Data'!$C:$O,4,0)),"")</f>
        <v/>
      </c>
      <c r="H2484" s="55" t="str">
        <f>IFERROR(IF(OR($B2484="",$B2484="(blank)"),"",VLOOKUP($B2484,'Email Marketing Raw Data'!$C:$O,5,0)),"")</f>
        <v/>
      </c>
      <c r="I2484" s="55" t="str">
        <f>IFERROR(IF($G2484="","",VLOOKUP('Dashboard And Emails Automate'!$G2484,Database!$H:$N,3,0)),"")</f>
        <v/>
      </c>
      <c r="J2484" s="55" t="str">
        <f>IFERROR(IF($G2484="","",VLOOKUP('Dashboard And Emails Automate'!$G2484,Database!$H:$N,4,0)),"")</f>
        <v/>
      </c>
      <c r="K2484" s="55" t="str">
        <f>IFERROR(IF($G2484="","",VLOOKUP('Dashboard And Emails Automate'!$G2484,Database!$H:$N,5,0)),"")</f>
        <v/>
      </c>
      <c r="L2484" s="55" t="str">
        <f>IFERROR(IF($G2484="","",VLOOKUP('Dashboard And Emails Automate'!$G2484,Database!$H:$N,6,0)),"")</f>
        <v/>
      </c>
      <c r="M2484" s="55" t="str">
        <f>IFERROR(IF($G2484="","",VLOOKUP('Dashboard And Emails Automate'!$G2484,Database!$H:$N,7,0)),"")</f>
        <v/>
      </c>
      <c r="N2484" s="55" t="str">
        <f>IFERROR(IF(OR($B2484="",$B2484="(blank)"),"",VLOOKUP($B2484,'Email Marketing Raw Data'!$C:$O,6,0)),"")</f>
        <v/>
      </c>
      <c r="O2484" s="55" t="str">
        <f>IFERROR(IF(OR($B2484="",$B2484="(blank)"),"",VLOOKUP($B2484,'Email Marketing Raw Data'!$C:$O,7,0)),"")</f>
        <v/>
      </c>
      <c r="P2484" s="55" t="str">
        <f>IFERROR(IF(OR($B2484="",$B2484="(blank)"),"",VLOOKUP($B2484,'Email Marketing Raw Data'!$C:$O,8,0)),"")</f>
        <v/>
      </c>
      <c r="Q2484" s="62" t="str">
        <f>IFERROR(IF(OR($B2484="",$B2484="(blank)"),"",VLOOKUP($B2484,'Email Marketing Raw Data'!$C:$O,9,0)),"")</f>
        <v/>
      </c>
    </row>
    <row r="2485" spans="4:17" ht="12.75" customHeight="1" x14ac:dyDescent="0.2">
      <c r="D2485" s="58" t="str">
        <f>IFERROR(IF(F2485&lt;&gt;"pending","",IF(OR($B2485="",$B2485="(blank)"),"",VLOOKUP($B2485,'Email Marketing Raw Data'!$C:$O,10,0))),"")</f>
        <v/>
      </c>
      <c r="E2485" s="59" t="str">
        <f>IFERROR(IF(F2485&lt;&gt;"pending","",IF(OR($B2485="",$B2485="(blank)"),"",VLOOKUP($B2485,'Email Marketing Raw Data'!$C:$O,11,0))),"")</f>
        <v/>
      </c>
      <c r="F2485" s="54" t="str">
        <f>IFERROR(IF(OR($B2485="",$B2485="(blank)"),"",VLOOKUP($B2485,'Email Marketing Raw Data'!$C:$O,13,0)),"")</f>
        <v/>
      </c>
      <c r="G2485" s="55" t="str">
        <f>IFERROR(IF(OR($B2485="",$B2485="(blank)"),"",VLOOKUP($B2485,'Email Marketing Raw Data'!$C:$O,4,0)),"")</f>
        <v/>
      </c>
      <c r="H2485" s="55" t="str">
        <f>IFERROR(IF(OR($B2485="",$B2485="(blank)"),"",VLOOKUP($B2485,'Email Marketing Raw Data'!$C:$O,5,0)),"")</f>
        <v/>
      </c>
      <c r="I2485" s="55" t="str">
        <f>IFERROR(IF($G2485="","",VLOOKUP('Dashboard And Emails Automate'!$G2485,Database!$H:$N,3,0)),"")</f>
        <v/>
      </c>
      <c r="J2485" s="55" t="str">
        <f>IFERROR(IF($G2485="","",VLOOKUP('Dashboard And Emails Automate'!$G2485,Database!$H:$N,4,0)),"")</f>
        <v/>
      </c>
      <c r="K2485" s="55" t="str">
        <f>IFERROR(IF($G2485="","",VLOOKUP('Dashboard And Emails Automate'!$G2485,Database!$H:$N,5,0)),"")</f>
        <v/>
      </c>
      <c r="L2485" s="55" t="str">
        <f>IFERROR(IF($G2485="","",VLOOKUP('Dashboard And Emails Automate'!$G2485,Database!$H:$N,6,0)),"")</f>
        <v/>
      </c>
      <c r="M2485" s="55" t="str">
        <f>IFERROR(IF($G2485="","",VLOOKUP('Dashboard And Emails Automate'!$G2485,Database!$H:$N,7,0)),"")</f>
        <v/>
      </c>
      <c r="N2485" s="55" t="str">
        <f>IFERROR(IF(OR($B2485="",$B2485="(blank)"),"",VLOOKUP($B2485,'Email Marketing Raw Data'!$C:$O,6,0)),"")</f>
        <v/>
      </c>
      <c r="O2485" s="55" t="str">
        <f>IFERROR(IF(OR($B2485="",$B2485="(blank)"),"",VLOOKUP($B2485,'Email Marketing Raw Data'!$C:$O,7,0)),"")</f>
        <v/>
      </c>
      <c r="P2485" s="55" t="str">
        <f>IFERROR(IF(OR($B2485="",$B2485="(blank)"),"",VLOOKUP($B2485,'Email Marketing Raw Data'!$C:$O,8,0)),"")</f>
        <v/>
      </c>
      <c r="Q2485" s="62" t="str">
        <f>IFERROR(IF(OR($B2485="",$B2485="(blank)"),"",VLOOKUP($B2485,'Email Marketing Raw Data'!$C:$O,9,0)),"")</f>
        <v/>
      </c>
    </row>
    <row r="2486" spans="4:17" ht="12.75" customHeight="1" x14ac:dyDescent="0.2">
      <c r="D2486" s="58" t="str">
        <f>IFERROR(IF(F2486&lt;&gt;"pending","",IF(OR($B2486="",$B2486="(blank)"),"",VLOOKUP($B2486,'Email Marketing Raw Data'!$C:$O,10,0))),"")</f>
        <v/>
      </c>
      <c r="E2486" s="59" t="str">
        <f>IFERROR(IF(F2486&lt;&gt;"pending","",IF(OR($B2486="",$B2486="(blank)"),"",VLOOKUP($B2486,'Email Marketing Raw Data'!$C:$O,11,0))),"")</f>
        <v/>
      </c>
      <c r="F2486" s="54" t="str">
        <f>IFERROR(IF(OR($B2486="",$B2486="(blank)"),"",VLOOKUP($B2486,'Email Marketing Raw Data'!$C:$O,13,0)),"")</f>
        <v/>
      </c>
      <c r="G2486" s="55" t="str">
        <f>IFERROR(IF(OR($B2486="",$B2486="(blank)"),"",VLOOKUP($B2486,'Email Marketing Raw Data'!$C:$O,4,0)),"")</f>
        <v/>
      </c>
      <c r="H2486" s="55" t="str">
        <f>IFERROR(IF(OR($B2486="",$B2486="(blank)"),"",VLOOKUP($B2486,'Email Marketing Raw Data'!$C:$O,5,0)),"")</f>
        <v/>
      </c>
      <c r="I2486" s="55" t="str">
        <f>IFERROR(IF($G2486="","",VLOOKUP('Dashboard And Emails Automate'!$G2486,Database!$H:$N,3,0)),"")</f>
        <v/>
      </c>
      <c r="J2486" s="55" t="str">
        <f>IFERROR(IF($G2486="","",VLOOKUP('Dashboard And Emails Automate'!$G2486,Database!$H:$N,4,0)),"")</f>
        <v/>
      </c>
      <c r="K2486" s="55" t="str">
        <f>IFERROR(IF($G2486="","",VLOOKUP('Dashboard And Emails Automate'!$G2486,Database!$H:$N,5,0)),"")</f>
        <v/>
      </c>
      <c r="L2486" s="55" t="str">
        <f>IFERROR(IF($G2486="","",VLOOKUP('Dashboard And Emails Automate'!$G2486,Database!$H:$N,6,0)),"")</f>
        <v/>
      </c>
      <c r="M2486" s="55" t="str">
        <f>IFERROR(IF($G2486="","",VLOOKUP('Dashboard And Emails Automate'!$G2486,Database!$H:$N,7,0)),"")</f>
        <v/>
      </c>
      <c r="N2486" s="55" t="str">
        <f>IFERROR(IF(OR($B2486="",$B2486="(blank)"),"",VLOOKUP($B2486,'Email Marketing Raw Data'!$C:$O,6,0)),"")</f>
        <v/>
      </c>
      <c r="O2486" s="55" t="str">
        <f>IFERROR(IF(OR($B2486="",$B2486="(blank)"),"",VLOOKUP($B2486,'Email Marketing Raw Data'!$C:$O,7,0)),"")</f>
        <v/>
      </c>
      <c r="P2486" s="55" t="str">
        <f>IFERROR(IF(OR($B2486="",$B2486="(blank)"),"",VLOOKUP($B2486,'Email Marketing Raw Data'!$C:$O,8,0)),"")</f>
        <v/>
      </c>
      <c r="Q2486" s="62" t="str">
        <f>IFERROR(IF(OR($B2486="",$B2486="(blank)"),"",VLOOKUP($B2486,'Email Marketing Raw Data'!$C:$O,9,0)),"")</f>
        <v/>
      </c>
    </row>
    <row r="2487" spans="4:17" ht="12.75" customHeight="1" x14ac:dyDescent="0.2">
      <c r="D2487" s="58" t="str">
        <f>IFERROR(IF(F2487&lt;&gt;"pending","",IF(OR($B2487="",$B2487="(blank)"),"",VLOOKUP($B2487,'Email Marketing Raw Data'!$C:$O,10,0))),"")</f>
        <v/>
      </c>
      <c r="E2487" s="59" t="str">
        <f>IFERROR(IF(F2487&lt;&gt;"pending","",IF(OR($B2487="",$B2487="(blank)"),"",VLOOKUP($B2487,'Email Marketing Raw Data'!$C:$O,11,0))),"")</f>
        <v/>
      </c>
      <c r="F2487" s="54" t="str">
        <f>IFERROR(IF(OR($B2487="",$B2487="(blank)"),"",VLOOKUP($B2487,'Email Marketing Raw Data'!$C:$O,13,0)),"")</f>
        <v/>
      </c>
      <c r="G2487" s="55" t="str">
        <f>IFERROR(IF(OR($B2487="",$B2487="(blank)"),"",VLOOKUP($B2487,'Email Marketing Raw Data'!$C:$O,4,0)),"")</f>
        <v/>
      </c>
      <c r="H2487" s="55" t="str">
        <f>IFERROR(IF(OR($B2487="",$B2487="(blank)"),"",VLOOKUP($B2487,'Email Marketing Raw Data'!$C:$O,5,0)),"")</f>
        <v/>
      </c>
      <c r="I2487" s="55" t="str">
        <f>IFERROR(IF($G2487="","",VLOOKUP('Dashboard And Emails Automate'!$G2487,Database!$H:$N,3,0)),"")</f>
        <v/>
      </c>
      <c r="J2487" s="55" t="str">
        <f>IFERROR(IF($G2487="","",VLOOKUP('Dashboard And Emails Automate'!$G2487,Database!$H:$N,4,0)),"")</f>
        <v/>
      </c>
      <c r="K2487" s="55" t="str">
        <f>IFERROR(IF($G2487="","",VLOOKUP('Dashboard And Emails Automate'!$G2487,Database!$H:$N,5,0)),"")</f>
        <v/>
      </c>
      <c r="L2487" s="55" t="str">
        <f>IFERROR(IF($G2487="","",VLOOKUP('Dashboard And Emails Automate'!$G2487,Database!$H:$N,6,0)),"")</f>
        <v/>
      </c>
      <c r="M2487" s="55" t="str">
        <f>IFERROR(IF($G2487="","",VLOOKUP('Dashboard And Emails Automate'!$G2487,Database!$H:$N,7,0)),"")</f>
        <v/>
      </c>
      <c r="N2487" s="55" t="str">
        <f>IFERROR(IF(OR($B2487="",$B2487="(blank)"),"",VLOOKUP($B2487,'Email Marketing Raw Data'!$C:$O,6,0)),"")</f>
        <v/>
      </c>
      <c r="O2487" s="55" t="str">
        <f>IFERROR(IF(OR($B2487="",$B2487="(blank)"),"",VLOOKUP($B2487,'Email Marketing Raw Data'!$C:$O,7,0)),"")</f>
        <v/>
      </c>
      <c r="P2487" s="55" t="str">
        <f>IFERROR(IF(OR($B2487="",$B2487="(blank)"),"",VLOOKUP($B2487,'Email Marketing Raw Data'!$C:$O,8,0)),"")</f>
        <v/>
      </c>
      <c r="Q2487" s="62" t="str">
        <f>IFERROR(IF(OR($B2487="",$B2487="(blank)"),"",VLOOKUP($B2487,'Email Marketing Raw Data'!$C:$O,9,0)),"")</f>
        <v/>
      </c>
    </row>
    <row r="2488" spans="4:17" ht="12.75" customHeight="1" x14ac:dyDescent="0.2">
      <c r="D2488" s="58" t="str">
        <f>IFERROR(IF(F2488&lt;&gt;"pending","",IF(OR($B2488="",$B2488="(blank)"),"",VLOOKUP($B2488,'Email Marketing Raw Data'!$C:$O,10,0))),"")</f>
        <v/>
      </c>
      <c r="E2488" s="59" t="str">
        <f>IFERROR(IF(F2488&lt;&gt;"pending","",IF(OR($B2488="",$B2488="(blank)"),"",VLOOKUP($B2488,'Email Marketing Raw Data'!$C:$O,11,0))),"")</f>
        <v/>
      </c>
      <c r="F2488" s="54" t="str">
        <f>IFERROR(IF(OR($B2488="",$B2488="(blank)"),"",VLOOKUP($B2488,'Email Marketing Raw Data'!$C:$O,13,0)),"")</f>
        <v/>
      </c>
      <c r="G2488" s="55" t="str">
        <f>IFERROR(IF(OR($B2488="",$B2488="(blank)"),"",VLOOKUP($B2488,'Email Marketing Raw Data'!$C:$O,4,0)),"")</f>
        <v/>
      </c>
      <c r="H2488" s="55" t="str">
        <f>IFERROR(IF(OR($B2488="",$B2488="(blank)"),"",VLOOKUP($B2488,'Email Marketing Raw Data'!$C:$O,5,0)),"")</f>
        <v/>
      </c>
      <c r="I2488" s="55" t="str">
        <f>IFERROR(IF($G2488="","",VLOOKUP('Dashboard And Emails Automate'!$G2488,Database!$H:$N,3,0)),"")</f>
        <v/>
      </c>
      <c r="J2488" s="55" t="str">
        <f>IFERROR(IF($G2488="","",VLOOKUP('Dashboard And Emails Automate'!$G2488,Database!$H:$N,4,0)),"")</f>
        <v/>
      </c>
      <c r="K2488" s="55" t="str">
        <f>IFERROR(IF($G2488="","",VLOOKUP('Dashboard And Emails Automate'!$G2488,Database!$H:$N,5,0)),"")</f>
        <v/>
      </c>
      <c r="L2488" s="55" t="str">
        <f>IFERROR(IF($G2488="","",VLOOKUP('Dashboard And Emails Automate'!$G2488,Database!$H:$N,6,0)),"")</f>
        <v/>
      </c>
      <c r="M2488" s="55" t="str">
        <f>IFERROR(IF($G2488="","",VLOOKUP('Dashboard And Emails Automate'!$G2488,Database!$H:$N,7,0)),"")</f>
        <v/>
      </c>
      <c r="N2488" s="55" t="str">
        <f>IFERROR(IF(OR($B2488="",$B2488="(blank)"),"",VLOOKUP($B2488,'Email Marketing Raw Data'!$C:$O,6,0)),"")</f>
        <v/>
      </c>
      <c r="O2488" s="55" t="str">
        <f>IFERROR(IF(OR($B2488="",$B2488="(blank)"),"",VLOOKUP($B2488,'Email Marketing Raw Data'!$C:$O,7,0)),"")</f>
        <v/>
      </c>
      <c r="P2488" s="55" t="str">
        <f>IFERROR(IF(OR($B2488="",$B2488="(blank)"),"",VLOOKUP($B2488,'Email Marketing Raw Data'!$C:$O,8,0)),"")</f>
        <v/>
      </c>
      <c r="Q2488" s="62" t="str">
        <f>IFERROR(IF(OR($B2488="",$B2488="(blank)"),"",VLOOKUP($B2488,'Email Marketing Raw Data'!$C:$O,9,0)),"")</f>
        <v/>
      </c>
    </row>
    <row r="2489" spans="4:17" ht="12.75" customHeight="1" x14ac:dyDescent="0.2">
      <c r="D2489" s="58" t="str">
        <f>IFERROR(IF(F2489&lt;&gt;"pending","",IF(OR($B2489="",$B2489="(blank)"),"",VLOOKUP($B2489,'Email Marketing Raw Data'!$C:$O,10,0))),"")</f>
        <v/>
      </c>
      <c r="E2489" s="59" t="str">
        <f>IFERROR(IF(F2489&lt;&gt;"pending","",IF(OR($B2489="",$B2489="(blank)"),"",VLOOKUP($B2489,'Email Marketing Raw Data'!$C:$O,11,0))),"")</f>
        <v/>
      </c>
      <c r="F2489" s="54" t="str">
        <f>IFERROR(IF(OR($B2489="",$B2489="(blank)"),"",VLOOKUP($B2489,'Email Marketing Raw Data'!$C:$O,13,0)),"")</f>
        <v/>
      </c>
      <c r="G2489" s="55" t="str">
        <f>IFERROR(IF(OR($B2489="",$B2489="(blank)"),"",VLOOKUP($B2489,'Email Marketing Raw Data'!$C:$O,4,0)),"")</f>
        <v/>
      </c>
      <c r="H2489" s="55" t="str">
        <f>IFERROR(IF(OR($B2489="",$B2489="(blank)"),"",VLOOKUP($B2489,'Email Marketing Raw Data'!$C:$O,5,0)),"")</f>
        <v/>
      </c>
      <c r="I2489" s="55" t="str">
        <f>IFERROR(IF($G2489="","",VLOOKUP('Dashboard And Emails Automate'!$G2489,Database!$H:$N,3,0)),"")</f>
        <v/>
      </c>
      <c r="J2489" s="55" t="str">
        <f>IFERROR(IF($G2489="","",VLOOKUP('Dashboard And Emails Automate'!$G2489,Database!$H:$N,4,0)),"")</f>
        <v/>
      </c>
      <c r="K2489" s="55" t="str">
        <f>IFERROR(IF($G2489="","",VLOOKUP('Dashboard And Emails Automate'!$G2489,Database!$H:$N,5,0)),"")</f>
        <v/>
      </c>
      <c r="L2489" s="55" t="str">
        <f>IFERROR(IF($G2489="","",VLOOKUP('Dashboard And Emails Automate'!$G2489,Database!$H:$N,6,0)),"")</f>
        <v/>
      </c>
      <c r="M2489" s="55" t="str">
        <f>IFERROR(IF($G2489="","",VLOOKUP('Dashboard And Emails Automate'!$G2489,Database!$H:$N,7,0)),"")</f>
        <v/>
      </c>
      <c r="N2489" s="55" t="str">
        <f>IFERROR(IF(OR($B2489="",$B2489="(blank)"),"",VLOOKUP($B2489,'Email Marketing Raw Data'!$C:$O,6,0)),"")</f>
        <v/>
      </c>
      <c r="O2489" s="55" t="str">
        <f>IFERROR(IF(OR($B2489="",$B2489="(blank)"),"",VLOOKUP($B2489,'Email Marketing Raw Data'!$C:$O,7,0)),"")</f>
        <v/>
      </c>
      <c r="P2489" s="55" t="str">
        <f>IFERROR(IF(OR($B2489="",$B2489="(blank)"),"",VLOOKUP($B2489,'Email Marketing Raw Data'!$C:$O,8,0)),"")</f>
        <v/>
      </c>
      <c r="Q2489" s="62" t="str">
        <f>IFERROR(IF(OR($B2489="",$B2489="(blank)"),"",VLOOKUP($B2489,'Email Marketing Raw Data'!$C:$O,9,0)),"")</f>
        <v/>
      </c>
    </row>
    <row r="2490" spans="4:17" ht="12.75" customHeight="1" x14ac:dyDescent="0.2">
      <c r="D2490" s="58" t="str">
        <f>IFERROR(IF(F2490&lt;&gt;"pending","",IF(OR($B2490="",$B2490="(blank)"),"",VLOOKUP($B2490,'Email Marketing Raw Data'!$C:$O,10,0))),"")</f>
        <v/>
      </c>
      <c r="E2490" s="59" t="str">
        <f>IFERROR(IF(F2490&lt;&gt;"pending","",IF(OR($B2490="",$B2490="(blank)"),"",VLOOKUP($B2490,'Email Marketing Raw Data'!$C:$O,11,0))),"")</f>
        <v/>
      </c>
      <c r="F2490" s="54" t="str">
        <f>IFERROR(IF(OR($B2490="",$B2490="(blank)"),"",VLOOKUP($B2490,'Email Marketing Raw Data'!$C:$O,13,0)),"")</f>
        <v/>
      </c>
      <c r="G2490" s="55" t="str">
        <f>IFERROR(IF(OR($B2490="",$B2490="(blank)"),"",VLOOKUP($B2490,'Email Marketing Raw Data'!$C:$O,4,0)),"")</f>
        <v/>
      </c>
      <c r="H2490" s="55" t="str">
        <f>IFERROR(IF(OR($B2490="",$B2490="(blank)"),"",VLOOKUP($B2490,'Email Marketing Raw Data'!$C:$O,5,0)),"")</f>
        <v/>
      </c>
      <c r="I2490" s="55" t="str">
        <f>IFERROR(IF($G2490="","",VLOOKUP('Dashboard And Emails Automate'!$G2490,Database!$H:$N,3,0)),"")</f>
        <v/>
      </c>
      <c r="J2490" s="55" t="str">
        <f>IFERROR(IF($G2490="","",VLOOKUP('Dashboard And Emails Automate'!$G2490,Database!$H:$N,4,0)),"")</f>
        <v/>
      </c>
      <c r="K2490" s="55" t="str">
        <f>IFERROR(IF($G2490="","",VLOOKUP('Dashboard And Emails Automate'!$G2490,Database!$H:$N,5,0)),"")</f>
        <v/>
      </c>
      <c r="L2490" s="55" t="str">
        <f>IFERROR(IF($G2490="","",VLOOKUP('Dashboard And Emails Automate'!$G2490,Database!$H:$N,6,0)),"")</f>
        <v/>
      </c>
      <c r="M2490" s="55" t="str">
        <f>IFERROR(IF($G2490="","",VLOOKUP('Dashboard And Emails Automate'!$G2490,Database!$H:$N,7,0)),"")</f>
        <v/>
      </c>
      <c r="N2490" s="55" t="str">
        <f>IFERROR(IF(OR($B2490="",$B2490="(blank)"),"",VLOOKUP($B2490,'Email Marketing Raw Data'!$C:$O,6,0)),"")</f>
        <v/>
      </c>
      <c r="O2490" s="55" t="str">
        <f>IFERROR(IF(OR($B2490="",$B2490="(blank)"),"",VLOOKUP($B2490,'Email Marketing Raw Data'!$C:$O,7,0)),"")</f>
        <v/>
      </c>
      <c r="P2490" s="55" t="str">
        <f>IFERROR(IF(OR($B2490="",$B2490="(blank)"),"",VLOOKUP($B2490,'Email Marketing Raw Data'!$C:$O,8,0)),"")</f>
        <v/>
      </c>
      <c r="Q2490" s="62" t="str">
        <f>IFERROR(IF(OR($B2490="",$B2490="(blank)"),"",VLOOKUP($B2490,'Email Marketing Raw Data'!$C:$O,9,0)),"")</f>
        <v/>
      </c>
    </row>
    <row r="2491" spans="4:17" ht="12.75" customHeight="1" x14ac:dyDescent="0.2">
      <c r="D2491" s="58" t="str">
        <f>IFERROR(IF(F2491&lt;&gt;"pending","",IF(OR($B2491="",$B2491="(blank)"),"",VLOOKUP($B2491,'Email Marketing Raw Data'!$C:$O,10,0))),"")</f>
        <v/>
      </c>
      <c r="E2491" s="59" t="str">
        <f>IFERROR(IF(F2491&lt;&gt;"pending","",IF(OR($B2491="",$B2491="(blank)"),"",VLOOKUP($B2491,'Email Marketing Raw Data'!$C:$O,11,0))),"")</f>
        <v/>
      </c>
      <c r="F2491" s="54" t="str">
        <f>IFERROR(IF(OR($B2491="",$B2491="(blank)"),"",VLOOKUP($B2491,'Email Marketing Raw Data'!$C:$O,13,0)),"")</f>
        <v/>
      </c>
      <c r="G2491" s="55" t="str">
        <f>IFERROR(IF(OR($B2491="",$B2491="(blank)"),"",VLOOKUP($B2491,'Email Marketing Raw Data'!$C:$O,4,0)),"")</f>
        <v/>
      </c>
      <c r="H2491" s="55" t="str">
        <f>IFERROR(IF(OR($B2491="",$B2491="(blank)"),"",VLOOKUP($B2491,'Email Marketing Raw Data'!$C:$O,5,0)),"")</f>
        <v/>
      </c>
      <c r="I2491" s="55" t="str">
        <f>IFERROR(IF($G2491="","",VLOOKUP('Dashboard And Emails Automate'!$G2491,Database!$H:$N,3,0)),"")</f>
        <v/>
      </c>
      <c r="J2491" s="55" t="str">
        <f>IFERROR(IF($G2491="","",VLOOKUP('Dashboard And Emails Automate'!$G2491,Database!$H:$N,4,0)),"")</f>
        <v/>
      </c>
      <c r="K2491" s="55" t="str">
        <f>IFERROR(IF($G2491="","",VLOOKUP('Dashboard And Emails Automate'!$G2491,Database!$H:$N,5,0)),"")</f>
        <v/>
      </c>
      <c r="L2491" s="55" t="str">
        <f>IFERROR(IF($G2491="","",VLOOKUP('Dashboard And Emails Automate'!$G2491,Database!$H:$N,6,0)),"")</f>
        <v/>
      </c>
      <c r="M2491" s="55" t="str">
        <f>IFERROR(IF($G2491="","",VLOOKUP('Dashboard And Emails Automate'!$G2491,Database!$H:$N,7,0)),"")</f>
        <v/>
      </c>
      <c r="N2491" s="55" t="str">
        <f>IFERROR(IF(OR($B2491="",$B2491="(blank)"),"",VLOOKUP($B2491,'Email Marketing Raw Data'!$C:$O,6,0)),"")</f>
        <v/>
      </c>
      <c r="O2491" s="55" t="str">
        <f>IFERROR(IF(OR($B2491="",$B2491="(blank)"),"",VLOOKUP($B2491,'Email Marketing Raw Data'!$C:$O,7,0)),"")</f>
        <v/>
      </c>
      <c r="P2491" s="55" t="str">
        <f>IFERROR(IF(OR($B2491="",$B2491="(blank)"),"",VLOOKUP($B2491,'Email Marketing Raw Data'!$C:$O,8,0)),"")</f>
        <v/>
      </c>
      <c r="Q2491" s="62" t="str">
        <f>IFERROR(IF(OR($B2491="",$B2491="(blank)"),"",VLOOKUP($B2491,'Email Marketing Raw Data'!$C:$O,9,0)),"")</f>
        <v/>
      </c>
    </row>
    <row r="2492" spans="4:17" ht="12.75" customHeight="1" x14ac:dyDescent="0.2">
      <c r="D2492" s="58" t="str">
        <f>IFERROR(IF(F2492&lt;&gt;"pending","",IF(OR($B2492="",$B2492="(blank)"),"",VLOOKUP($B2492,'Email Marketing Raw Data'!$C:$O,10,0))),"")</f>
        <v/>
      </c>
      <c r="E2492" s="59" t="str">
        <f>IFERROR(IF(F2492&lt;&gt;"pending","",IF(OR($B2492="",$B2492="(blank)"),"",VLOOKUP($B2492,'Email Marketing Raw Data'!$C:$O,11,0))),"")</f>
        <v/>
      </c>
      <c r="F2492" s="54" t="str">
        <f>IFERROR(IF(OR($B2492="",$B2492="(blank)"),"",VLOOKUP($B2492,'Email Marketing Raw Data'!$C:$O,13,0)),"")</f>
        <v/>
      </c>
      <c r="G2492" s="55" t="str">
        <f>IFERROR(IF(OR($B2492="",$B2492="(blank)"),"",VLOOKUP($B2492,'Email Marketing Raw Data'!$C:$O,4,0)),"")</f>
        <v/>
      </c>
      <c r="H2492" s="55" t="str">
        <f>IFERROR(IF(OR($B2492="",$B2492="(blank)"),"",VLOOKUP($B2492,'Email Marketing Raw Data'!$C:$O,5,0)),"")</f>
        <v/>
      </c>
      <c r="I2492" s="55" t="str">
        <f>IFERROR(IF($G2492="","",VLOOKUP('Dashboard And Emails Automate'!$G2492,Database!$H:$N,3,0)),"")</f>
        <v/>
      </c>
      <c r="J2492" s="55" t="str">
        <f>IFERROR(IF($G2492="","",VLOOKUP('Dashboard And Emails Automate'!$G2492,Database!$H:$N,4,0)),"")</f>
        <v/>
      </c>
      <c r="K2492" s="55" t="str">
        <f>IFERROR(IF($G2492="","",VLOOKUP('Dashboard And Emails Automate'!$G2492,Database!$H:$N,5,0)),"")</f>
        <v/>
      </c>
      <c r="L2492" s="55" t="str">
        <f>IFERROR(IF($G2492="","",VLOOKUP('Dashboard And Emails Automate'!$G2492,Database!$H:$N,6,0)),"")</f>
        <v/>
      </c>
      <c r="M2492" s="55" t="str">
        <f>IFERROR(IF($G2492="","",VLOOKUP('Dashboard And Emails Automate'!$G2492,Database!$H:$N,7,0)),"")</f>
        <v/>
      </c>
      <c r="N2492" s="55" t="str">
        <f>IFERROR(IF(OR($B2492="",$B2492="(blank)"),"",VLOOKUP($B2492,'Email Marketing Raw Data'!$C:$O,6,0)),"")</f>
        <v/>
      </c>
      <c r="O2492" s="55" t="str">
        <f>IFERROR(IF(OR($B2492="",$B2492="(blank)"),"",VLOOKUP($B2492,'Email Marketing Raw Data'!$C:$O,7,0)),"")</f>
        <v/>
      </c>
      <c r="P2492" s="55" t="str">
        <f>IFERROR(IF(OR($B2492="",$B2492="(blank)"),"",VLOOKUP($B2492,'Email Marketing Raw Data'!$C:$O,8,0)),"")</f>
        <v/>
      </c>
      <c r="Q2492" s="62" t="str">
        <f>IFERROR(IF(OR($B2492="",$B2492="(blank)"),"",VLOOKUP($B2492,'Email Marketing Raw Data'!$C:$O,9,0)),"")</f>
        <v/>
      </c>
    </row>
    <row r="2493" spans="4:17" ht="12.75" customHeight="1" x14ac:dyDescent="0.2">
      <c r="D2493" s="58" t="str">
        <f>IFERROR(IF(F2493&lt;&gt;"pending","",IF(OR($B2493="",$B2493="(blank)"),"",VLOOKUP($B2493,'Email Marketing Raw Data'!$C:$O,10,0))),"")</f>
        <v/>
      </c>
      <c r="E2493" s="59" t="str">
        <f>IFERROR(IF(F2493&lt;&gt;"pending","",IF(OR($B2493="",$B2493="(blank)"),"",VLOOKUP($B2493,'Email Marketing Raw Data'!$C:$O,11,0))),"")</f>
        <v/>
      </c>
      <c r="F2493" s="54" t="str">
        <f>IFERROR(IF(OR($B2493="",$B2493="(blank)"),"",VLOOKUP($B2493,'Email Marketing Raw Data'!$C:$O,13,0)),"")</f>
        <v/>
      </c>
      <c r="G2493" s="55" t="str">
        <f>IFERROR(IF(OR($B2493="",$B2493="(blank)"),"",VLOOKUP($B2493,'Email Marketing Raw Data'!$C:$O,4,0)),"")</f>
        <v/>
      </c>
      <c r="H2493" s="55" t="str">
        <f>IFERROR(IF(OR($B2493="",$B2493="(blank)"),"",VLOOKUP($B2493,'Email Marketing Raw Data'!$C:$O,5,0)),"")</f>
        <v/>
      </c>
      <c r="I2493" s="55" t="str">
        <f>IFERROR(IF($G2493="","",VLOOKUP('Dashboard And Emails Automate'!$G2493,Database!$H:$N,3,0)),"")</f>
        <v/>
      </c>
      <c r="J2493" s="55" t="str">
        <f>IFERROR(IF($G2493="","",VLOOKUP('Dashboard And Emails Automate'!$G2493,Database!$H:$N,4,0)),"")</f>
        <v/>
      </c>
      <c r="K2493" s="55" t="str">
        <f>IFERROR(IF($G2493="","",VLOOKUP('Dashboard And Emails Automate'!$G2493,Database!$H:$N,5,0)),"")</f>
        <v/>
      </c>
      <c r="L2493" s="55" t="str">
        <f>IFERROR(IF($G2493="","",VLOOKUP('Dashboard And Emails Automate'!$G2493,Database!$H:$N,6,0)),"")</f>
        <v/>
      </c>
      <c r="M2493" s="55" t="str">
        <f>IFERROR(IF($G2493="","",VLOOKUP('Dashboard And Emails Automate'!$G2493,Database!$H:$N,7,0)),"")</f>
        <v/>
      </c>
      <c r="N2493" s="55" t="str">
        <f>IFERROR(IF(OR($B2493="",$B2493="(blank)"),"",VLOOKUP($B2493,'Email Marketing Raw Data'!$C:$O,6,0)),"")</f>
        <v/>
      </c>
      <c r="O2493" s="55" t="str">
        <f>IFERROR(IF(OR($B2493="",$B2493="(blank)"),"",VLOOKUP($B2493,'Email Marketing Raw Data'!$C:$O,7,0)),"")</f>
        <v/>
      </c>
      <c r="P2493" s="55" t="str">
        <f>IFERROR(IF(OR($B2493="",$B2493="(blank)"),"",VLOOKUP($B2493,'Email Marketing Raw Data'!$C:$O,8,0)),"")</f>
        <v/>
      </c>
      <c r="Q2493" s="62" t="str">
        <f>IFERROR(IF(OR($B2493="",$B2493="(blank)"),"",VLOOKUP($B2493,'Email Marketing Raw Data'!$C:$O,9,0)),"")</f>
        <v/>
      </c>
    </row>
    <row r="2494" spans="4:17" ht="12.75" customHeight="1" x14ac:dyDescent="0.2">
      <c r="D2494" s="58" t="str">
        <f>IFERROR(IF(F2494&lt;&gt;"pending","",IF(OR($B2494="",$B2494="(blank)"),"",VLOOKUP($B2494,'Email Marketing Raw Data'!$C:$O,10,0))),"")</f>
        <v/>
      </c>
      <c r="E2494" s="59" t="str">
        <f>IFERROR(IF(F2494&lt;&gt;"pending","",IF(OR($B2494="",$B2494="(blank)"),"",VLOOKUP($B2494,'Email Marketing Raw Data'!$C:$O,11,0))),"")</f>
        <v/>
      </c>
      <c r="F2494" s="54" t="str">
        <f>IFERROR(IF(OR($B2494="",$B2494="(blank)"),"",VLOOKUP($B2494,'Email Marketing Raw Data'!$C:$O,13,0)),"")</f>
        <v/>
      </c>
      <c r="G2494" s="55" t="str">
        <f>IFERROR(IF(OR($B2494="",$B2494="(blank)"),"",VLOOKUP($B2494,'Email Marketing Raw Data'!$C:$O,4,0)),"")</f>
        <v/>
      </c>
      <c r="H2494" s="55" t="str">
        <f>IFERROR(IF(OR($B2494="",$B2494="(blank)"),"",VLOOKUP($B2494,'Email Marketing Raw Data'!$C:$O,5,0)),"")</f>
        <v/>
      </c>
      <c r="I2494" s="55" t="str">
        <f>IFERROR(IF($G2494="","",VLOOKUP('Dashboard And Emails Automate'!$G2494,Database!$H:$N,3,0)),"")</f>
        <v/>
      </c>
      <c r="J2494" s="55" t="str">
        <f>IFERROR(IF($G2494="","",VLOOKUP('Dashboard And Emails Automate'!$G2494,Database!$H:$N,4,0)),"")</f>
        <v/>
      </c>
      <c r="K2494" s="55" t="str">
        <f>IFERROR(IF($G2494="","",VLOOKUP('Dashboard And Emails Automate'!$G2494,Database!$H:$N,5,0)),"")</f>
        <v/>
      </c>
      <c r="L2494" s="55" t="str">
        <f>IFERROR(IF($G2494="","",VLOOKUP('Dashboard And Emails Automate'!$G2494,Database!$H:$N,6,0)),"")</f>
        <v/>
      </c>
      <c r="M2494" s="55" t="str">
        <f>IFERROR(IF($G2494="","",VLOOKUP('Dashboard And Emails Automate'!$G2494,Database!$H:$N,7,0)),"")</f>
        <v/>
      </c>
      <c r="N2494" s="55" t="str">
        <f>IFERROR(IF(OR($B2494="",$B2494="(blank)"),"",VLOOKUP($B2494,'Email Marketing Raw Data'!$C:$O,6,0)),"")</f>
        <v/>
      </c>
      <c r="O2494" s="55" t="str">
        <f>IFERROR(IF(OR($B2494="",$B2494="(blank)"),"",VLOOKUP($B2494,'Email Marketing Raw Data'!$C:$O,7,0)),"")</f>
        <v/>
      </c>
      <c r="P2494" s="55" t="str">
        <f>IFERROR(IF(OR($B2494="",$B2494="(blank)"),"",VLOOKUP($B2494,'Email Marketing Raw Data'!$C:$O,8,0)),"")</f>
        <v/>
      </c>
      <c r="Q2494" s="62" t="str">
        <f>IFERROR(IF(OR($B2494="",$B2494="(blank)"),"",VLOOKUP($B2494,'Email Marketing Raw Data'!$C:$O,9,0)),"")</f>
        <v/>
      </c>
    </row>
    <row r="2495" spans="4:17" ht="12.75" customHeight="1" x14ac:dyDescent="0.2">
      <c r="D2495" s="58" t="str">
        <f>IFERROR(IF(F2495&lt;&gt;"pending","",IF(OR($B2495="",$B2495="(blank)"),"",VLOOKUP($B2495,'Email Marketing Raw Data'!$C:$O,10,0))),"")</f>
        <v/>
      </c>
      <c r="E2495" s="59" t="str">
        <f>IFERROR(IF(F2495&lt;&gt;"pending","",IF(OR($B2495="",$B2495="(blank)"),"",VLOOKUP($B2495,'Email Marketing Raw Data'!$C:$O,11,0))),"")</f>
        <v/>
      </c>
      <c r="F2495" s="54" t="str">
        <f>IFERROR(IF(OR($B2495="",$B2495="(blank)"),"",VLOOKUP($B2495,'Email Marketing Raw Data'!$C:$O,13,0)),"")</f>
        <v/>
      </c>
      <c r="G2495" s="55" t="str">
        <f>IFERROR(IF(OR($B2495="",$B2495="(blank)"),"",VLOOKUP($B2495,'Email Marketing Raw Data'!$C:$O,4,0)),"")</f>
        <v/>
      </c>
      <c r="H2495" s="55" t="str">
        <f>IFERROR(IF(OR($B2495="",$B2495="(blank)"),"",VLOOKUP($B2495,'Email Marketing Raw Data'!$C:$O,5,0)),"")</f>
        <v/>
      </c>
      <c r="I2495" s="55" t="str">
        <f>IFERROR(IF($G2495="","",VLOOKUP('Dashboard And Emails Automate'!$G2495,Database!$H:$N,3,0)),"")</f>
        <v/>
      </c>
      <c r="J2495" s="55" t="str">
        <f>IFERROR(IF($G2495="","",VLOOKUP('Dashboard And Emails Automate'!$G2495,Database!$H:$N,4,0)),"")</f>
        <v/>
      </c>
      <c r="K2495" s="55" t="str">
        <f>IFERROR(IF($G2495="","",VLOOKUP('Dashboard And Emails Automate'!$G2495,Database!$H:$N,5,0)),"")</f>
        <v/>
      </c>
      <c r="L2495" s="55" t="str">
        <f>IFERROR(IF($G2495="","",VLOOKUP('Dashboard And Emails Automate'!$G2495,Database!$H:$N,6,0)),"")</f>
        <v/>
      </c>
      <c r="M2495" s="55" t="str">
        <f>IFERROR(IF($G2495="","",VLOOKUP('Dashboard And Emails Automate'!$G2495,Database!$H:$N,7,0)),"")</f>
        <v/>
      </c>
      <c r="N2495" s="55" t="str">
        <f>IFERROR(IF(OR($B2495="",$B2495="(blank)"),"",VLOOKUP($B2495,'Email Marketing Raw Data'!$C:$O,6,0)),"")</f>
        <v/>
      </c>
      <c r="O2495" s="55" t="str">
        <f>IFERROR(IF(OR($B2495="",$B2495="(blank)"),"",VLOOKUP($B2495,'Email Marketing Raw Data'!$C:$O,7,0)),"")</f>
        <v/>
      </c>
      <c r="P2495" s="55" t="str">
        <f>IFERROR(IF(OR($B2495="",$B2495="(blank)"),"",VLOOKUP($B2495,'Email Marketing Raw Data'!$C:$O,8,0)),"")</f>
        <v/>
      </c>
      <c r="Q2495" s="62" t="str">
        <f>IFERROR(IF(OR($B2495="",$B2495="(blank)"),"",VLOOKUP($B2495,'Email Marketing Raw Data'!$C:$O,9,0)),"")</f>
        <v/>
      </c>
    </row>
    <row r="2496" spans="4:17" ht="12.75" customHeight="1" x14ac:dyDescent="0.2">
      <c r="D2496" s="58" t="str">
        <f>IFERROR(IF(F2496&lt;&gt;"pending","",IF(OR($B2496="",$B2496="(blank)"),"",VLOOKUP($B2496,'Email Marketing Raw Data'!$C:$O,10,0))),"")</f>
        <v/>
      </c>
      <c r="E2496" s="59" t="str">
        <f>IFERROR(IF(F2496&lt;&gt;"pending","",IF(OR($B2496="",$B2496="(blank)"),"",VLOOKUP($B2496,'Email Marketing Raw Data'!$C:$O,11,0))),"")</f>
        <v/>
      </c>
      <c r="F2496" s="54" t="str">
        <f>IFERROR(IF(OR($B2496="",$B2496="(blank)"),"",VLOOKUP($B2496,'Email Marketing Raw Data'!$C:$O,13,0)),"")</f>
        <v/>
      </c>
      <c r="G2496" s="55" t="str">
        <f>IFERROR(IF(OR($B2496="",$B2496="(blank)"),"",VLOOKUP($B2496,'Email Marketing Raw Data'!$C:$O,4,0)),"")</f>
        <v/>
      </c>
      <c r="H2496" s="55" t="str">
        <f>IFERROR(IF(OR($B2496="",$B2496="(blank)"),"",VLOOKUP($B2496,'Email Marketing Raw Data'!$C:$O,5,0)),"")</f>
        <v/>
      </c>
      <c r="I2496" s="55" t="str">
        <f>IFERROR(IF($G2496="","",VLOOKUP('Dashboard And Emails Automate'!$G2496,Database!$H:$N,3,0)),"")</f>
        <v/>
      </c>
      <c r="J2496" s="55" t="str">
        <f>IFERROR(IF($G2496="","",VLOOKUP('Dashboard And Emails Automate'!$G2496,Database!$H:$N,4,0)),"")</f>
        <v/>
      </c>
      <c r="K2496" s="55" t="str">
        <f>IFERROR(IF($G2496="","",VLOOKUP('Dashboard And Emails Automate'!$G2496,Database!$H:$N,5,0)),"")</f>
        <v/>
      </c>
      <c r="L2496" s="55" t="str">
        <f>IFERROR(IF($G2496="","",VLOOKUP('Dashboard And Emails Automate'!$G2496,Database!$H:$N,6,0)),"")</f>
        <v/>
      </c>
      <c r="M2496" s="55" t="str">
        <f>IFERROR(IF($G2496="","",VLOOKUP('Dashboard And Emails Automate'!$G2496,Database!$H:$N,7,0)),"")</f>
        <v/>
      </c>
      <c r="N2496" s="55" t="str">
        <f>IFERROR(IF(OR($B2496="",$B2496="(blank)"),"",VLOOKUP($B2496,'Email Marketing Raw Data'!$C:$O,6,0)),"")</f>
        <v/>
      </c>
      <c r="O2496" s="55" t="str">
        <f>IFERROR(IF(OR($B2496="",$B2496="(blank)"),"",VLOOKUP($B2496,'Email Marketing Raw Data'!$C:$O,7,0)),"")</f>
        <v/>
      </c>
      <c r="P2496" s="55" t="str">
        <f>IFERROR(IF(OR($B2496="",$B2496="(blank)"),"",VLOOKUP($B2496,'Email Marketing Raw Data'!$C:$O,8,0)),"")</f>
        <v/>
      </c>
      <c r="Q2496" s="62" t="str">
        <f>IFERROR(IF(OR($B2496="",$B2496="(blank)"),"",VLOOKUP($B2496,'Email Marketing Raw Data'!$C:$O,9,0)),"")</f>
        <v/>
      </c>
    </row>
    <row r="2497" spans="4:17" ht="12.75" customHeight="1" x14ac:dyDescent="0.2">
      <c r="D2497" s="58" t="str">
        <f>IFERROR(IF(F2497&lt;&gt;"pending","",IF(OR($B2497="",$B2497="(blank)"),"",VLOOKUP($B2497,'Email Marketing Raw Data'!$C:$O,10,0))),"")</f>
        <v/>
      </c>
      <c r="E2497" s="59" t="str">
        <f>IFERROR(IF(F2497&lt;&gt;"pending","",IF(OR($B2497="",$B2497="(blank)"),"",VLOOKUP($B2497,'Email Marketing Raw Data'!$C:$O,11,0))),"")</f>
        <v/>
      </c>
      <c r="F2497" s="54" t="str">
        <f>IFERROR(IF(OR($B2497="",$B2497="(blank)"),"",VLOOKUP($B2497,'Email Marketing Raw Data'!$C:$O,13,0)),"")</f>
        <v/>
      </c>
      <c r="G2497" s="55" t="str">
        <f>IFERROR(IF(OR($B2497="",$B2497="(blank)"),"",VLOOKUP($B2497,'Email Marketing Raw Data'!$C:$O,4,0)),"")</f>
        <v/>
      </c>
      <c r="H2497" s="55" t="str">
        <f>IFERROR(IF(OR($B2497="",$B2497="(blank)"),"",VLOOKUP($B2497,'Email Marketing Raw Data'!$C:$O,5,0)),"")</f>
        <v/>
      </c>
      <c r="I2497" s="55" t="str">
        <f>IFERROR(IF($G2497="","",VLOOKUP('Dashboard And Emails Automate'!$G2497,Database!$H:$N,3,0)),"")</f>
        <v/>
      </c>
      <c r="J2497" s="55" t="str">
        <f>IFERROR(IF($G2497="","",VLOOKUP('Dashboard And Emails Automate'!$G2497,Database!$H:$N,4,0)),"")</f>
        <v/>
      </c>
      <c r="K2497" s="55" t="str">
        <f>IFERROR(IF($G2497="","",VLOOKUP('Dashboard And Emails Automate'!$G2497,Database!$H:$N,5,0)),"")</f>
        <v/>
      </c>
      <c r="L2497" s="55" t="str">
        <f>IFERROR(IF($G2497="","",VLOOKUP('Dashboard And Emails Automate'!$G2497,Database!$H:$N,6,0)),"")</f>
        <v/>
      </c>
      <c r="M2497" s="55" t="str">
        <f>IFERROR(IF($G2497="","",VLOOKUP('Dashboard And Emails Automate'!$G2497,Database!$H:$N,7,0)),"")</f>
        <v/>
      </c>
      <c r="N2497" s="55" t="str">
        <f>IFERROR(IF(OR($B2497="",$B2497="(blank)"),"",VLOOKUP($B2497,'Email Marketing Raw Data'!$C:$O,6,0)),"")</f>
        <v/>
      </c>
      <c r="O2497" s="55" t="str">
        <f>IFERROR(IF(OR($B2497="",$B2497="(blank)"),"",VLOOKUP($B2497,'Email Marketing Raw Data'!$C:$O,7,0)),"")</f>
        <v/>
      </c>
      <c r="P2497" s="55" t="str">
        <f>IFERROR(IF(OR($B2497="",$B2497="(blank)"),"",VLOOKUP($B2497,'Email Marketing Raw Data'!$C:$O,8,0)),"")</f>
        <v/>
      </c>
      <c r="Q2497" s="62" t="str">
        <f>IFERROR(IF(OR($B2497="",$B2497="(blank)"),"",VLOOKUP($B2497,'Email Marketing Raw Data'!$C:$O,9,0)),"")</f>
        <v/>
      </c>
    </row>
    <row r="2498" spans="4:17" ht="12.75" customHeight="1" x14ac:dyDescent="0.2">
      <c r="D2498" s="58" t="str">
        <f>IFERROR(IF(F2498&lt;&gt;"pending","",IF(OR($B2498="",$B2498="(blank)"),"",VLOOKUP($B2498,'Email Marketing Raw Data'!$C:$O,10,0))),"")</f>
        <v/>
      </c>
      <c r="E2498" s="59" t="str">
        <f>IFERROR(IF(F2498&lt;&gt;"pending","",IF(OR($B2498="",$B2498="(blank)"),"",VLOOKUP($B2498,'Email Marketing Raw Data'!$C:$O,11,0))),"")</f>
        <v/>
      </c>
      <c r="F2498" s="54" t="str">
        <f>IFERROR(IF(OR($B2498="",$B2498="(blank)"),"",VLOOKUP($B2498,'Email Marketing Raw Data'!$C:$O,13,0)),"")</f>
        <v/>
      </c>
      <c r="G2498" s="55" t="str">
        <f>IFERROR(IF(OR($B2498="",$B2498="(blank)"),"",VLOOKUP($B2498,'Email Marketing Raw Data'!$C:$O,4,0)),"")</f>
        <v/>
      </c>
      <c r="H2498" s="55" t="str">
        <f>IFERROR(IF(OR($B2498="",$B2498="(blank)"),"",VLOOKUP($B2498,'Email Marketing Raw Data'!$C:$O,5,0)),"")</f>
        <v/>
      </c>
      <c r="I2498" s="55" t="str">
        <f>IFERROR(IF($G2498="","",VLOOKUP('Dashboard And Emails Automate'!$G2498,Database!$H:$N,3,0)),"")</f>
        <v/>
      </c>
      <c r="J2498" s="55" t="str">
        <f>IFERROR(IF($G2498="","",VLOOKUP('Dashboard And Emails Automate'!$G2498,Database!$H:$N,4,0)),"")</f>
        <v/>
      </c>
      <c r="K2498" s="55" t="str">
        <f>IFERROR(IF($G2498="","",VLOOKUP('Dashboard And Emails Automate'!$G2498,Database!$H:$N,5,0)),"")</f>
        <v/>
      </c>
      <c r="L2498" s="55" t="str">
        <f>IFERROR(IF($G2498="","",VLOOKUP('Dashboard And Emails Automate'!$G2498,Database!$H:$N,6,0)),"")</f>
        <v/>
      </c>
      <c r="M2498" s="55" t="str">
        <f>IFERROR(IF($G2498="","",VLOOKUP('Dashboard And Emails Automate'!$G2498,Database!$H:$N,7,0)),"")</f>
        <v/>
      </c>
      <c r="N2498" s="55" t="str">
        <f>IFERROR(IF(OR($B2498="",$B2498="(blank)"),"",VLOOKUP($B2498,'Email Marketing Raw Data'!$C:$O,6,0)),"")</f>
        <v/>
      </c>
      <c r="O2498" s="55" t="str">
        <f>IFERROR(IF(OR($B2498="",$B2498="(blank)"),"",VLOOKUP($B2498,'Email Marketing Raw Data'!$C:$O,7,0)),"")</f>
        <v/>
      </c>
      <c r="P2498" s="55" t="str">
        <f>IFERROR(IF(OR($B2498="",$B2498="(blank)"),"",VLOOKUP($B2498,'Email Marketing Raw Data'!$C:$O,8,0)),"")</f>
        <v/>
      </c>
      <c r="Q2498" s="62" t="str">
        <f>IFERROR(IF(OR($B2498="",$B2498="(blank)"),"",VLOOKUP($B2498,'Email Marketing Raw Data'!$C:$O,9,0)),"")</f>
        <v/>
      </c>
    </row>
    <row r="2499" spans="4:17" ht="12.75" customHeight="1" x14ac:dyDescent="0.2">
      <c r="D2499" s="58" t="str">
        <f>IFERROR(IF(F2499&lt;&gt;"pending","",IF(OR($B2499="",$B2499="(blank)"),"",VLOOKUP($B2499,'Email Marketing Raw Data'!$C:$O,10,0))),"")</f>
        <v/>
      </c>
      <c r="E2499" s="59" t="str">
        <f>IFERROR(IF(F2499&lt;&gt;"pending","",IF(OR($B2499="",$B2499="(blank)"),"",VLOOKUP($B2499,'Email Marketing Raw Data'!$C:$O,11,0))),"")</f>
        <v/>
      </c>
      <c r="F2499" s="54" t="str">
        <f>IFERROR(IF(OR($B2499="",$B2499="(blank)"),"",VLOOKUP($B2499,'Email Marketing Raw Data'!$C:$O,13,0)),"")</f>
        <v/>
      </c>
      <c r="G2499" s="55" t="str">
        <f>IFERROR(IF(OR($B2499="",$B2499="(blank)"),"",VLOOKUP($B2499,'Email Marketing Raw Data'!$C:$O,4,0)),"")</f>
        <v/>
      </c>
      <c r="H2499" s="55" t="str">
        <f>IFERROR(IF(OR($B2499="",$B2499="(blank)"),"",VLOOKUP($B2499,'Email Marketing Raw Data'!$C:$O,5,0)),"")</f>
        <v/>
      </c>
      <c r="I2499" s="55" t="str">
        <f>IFERROR(IF($G2499="","",VLOOKUP('Dashboard And Emails Automate'!$G2499,Database!$H:$N,3,0)),"")</f>
        <v/>
      </c>
      <c r="J2499" s="55" t="str">
        <f>IFERROR(IF($G2499="","",VLOOKUP('Dashboard And Emails Automate'!$G2499,Database!$H:$N,4,0)),"")</f>
        <v/>
      </c>
      <c r="K2499" s="55" t="str">
        <f>IFERROR(IF($G2499="","",VLOOKUP('Dashboard And Emails Automate'!$G2499,Database!$H:$N,5,0)),"")</f>
        <v/>
      </c>
      <c r="L2499" s="55" t="str">
        <f>IFERROR(IF($G2499="","",VLOOKUP('Dashboard And Emails Automate'!$G2499,Database!$H:$N,6,0)),"")</f>
        <v/>
      </c>
      <c r="M2499" s="55" t="str">
        <f>IFERROR(IF($G2499="","",VLOOKUP('Dashboard And Emails Automate'!$G2499,Database!$H:$N,7,0)),"")</f>
        <v/>
      </c>
      <c r="N2499" s="55" t="str">
        <f>IFERROR(IF(OR($B2499="",$B2499="(blank)"),"",VLOOKUP($B2499,'Email Marketing Raw Data'!$C:$O,6,0)),"")</f>
        <v/>
      </c>
      <c r="O2499" s="55" t="str">
        <f>IFERROR(IF(OR($B2499="",$B2499="(blank)"),"",VLOOKUP($B2499,'Email Marketing Raw Data'!$C:$O,7,0)),"")</f>
        <v/>
      </c>
      <c r="P2499" s="55" t="str">
        <f>IFERROR(IF(OR($B2499="",$B2499="(blank)"),"",VLOOKUP($B2499,'Email Marketing Raw Data'!$C:$O,8,0)),"")</f>
        <v/>
      </c>
      <c r="Q2499" s="62" t="str">
        <f>IFERROR(IF(OR($B2499="",$B2499="(blank)"),"",VLOOKUP($B2499,'Email Marketing Raw Data'!$C:$O,9,0)),"")</f>
        <v/>
      </c>
    </row>
    <row r="2500" spans="4:17" ht="12.75" customHeight="1" x14ac:dyDescent="0.2">
      <c r="D2500" s="58" t="str">
        <f>IFERROR(IF(F2500&lt;&gt;"pending","",IF(OR($B2500="",$B2500="(blank)"),"",VLOOKUP($B2500,'Email Marketing Raw Data'!$C:$O,10,0))),"")</f>
        <v/>
      </c>
      <c r="E2500" s="59" t="str">
        <f>IFERROR(IF(F2500&lt;&gt;"pending","",IF(OR($B2500="",$B2500="(blank)"),"",VLOOKUP($B2500,'Email Marketing Raw Data'!$C:$O,11,0))),"")</f>
        <v/>
      </c>
      <c r="F2500" s="54" t="str">
        <f>IFERROR(IF(OR($B2500="",$B2500="(blank)"),"",VLOOKUP($B2500,'Email Marketing Raw Data'!$C:$O,13,0)),"")</f>
        <v/>
      </c>
      <c r="G2500" s="55" t="str">
        <f>IFERROR(IF(OR($B2500="",$B2500="(blank)"),"",VLOOKUP($B2500,'Email Marketing Raw Data'!$C:$O,4,0)),"")</f>
        <v/>
      </c>
      <c r="H2500" s="55" t="str">
        <f>IFERROR(IF(OR($B2500="",$B2500="(blank)"),"",VLOOKUP($B2500,'Email Marketing Raw Data'!$C:$O,5,0)),"")</f>
        <v/>
      </c>
      <c r="I2500" s="55" t="str">
        <f>IFERROR(IF($G2500="","",VLOOKUP('Dashboard And Emails Automate'!$G2500,Database!$H:$N,3,0)),"")</f>
        <v/>
      </c>
      <c r="J2500" s="55" t="str">
        <f>IFERROR(IF($G2500="","",VLOOKUP('Dashboard And Emails Automate'!$G2500,Database!$H:$N,4,0)),"")</f>
        <v/>
      </c>
      <c r="K2500" s="55" t="str">
        <f>IFERROR(IF($G2500="","",VLOOKUP('Dashboard And Emails Automate'!$G2500,Database!$H:$N,5,0)),"")</f>
        <v/>
      </c>
      <c r="L2500" s="55" t="str">
        <f>IFERROR(IF($G2500="","",VLOOKUP('Dashboard And Emails Automate'!$G2500,Database!$H:$N,6,0)),"")</f>
        <v/>
      </c>
      <c r="M2500" s="55" t="str">
        <f>IFERROR(IF($G2500="","",VLOOKUP('Dashboard And Emails Automate'!$G2500,Database!$H:$N,7,0)),"")</f>
        <v/>
      </c>
      <c r="N2500" s="55" t="str">
        <f>IFERROR(IF(OR($B2500="",$B2500="(blank)"),"",VLOOKUP($B2500,'Email Marketing Raw Data'!$C:$O,6,0)),"")</f>
        <v/>
      </c>
      <c r="O2500" s="55" t="str">
        <f>IFERROR(IF(OR($B2500="",$B2500="(blank)"),"",VLOOKUP($B2500,'Email Marketing Raw Data'!$C:$O,7,0)),"")</f>
        <v/>
      </c>
      <c r="P2500" s="55" t="str">
        <f>IFERROR(IF(OR($B2500="",$B2500="(blank)"),"",VLOOKUP($B2500,'Email Marketing Raw Data'!$C:$O,8,0)),"")</f>
        <v/>
      </c>
      <c r="Q2500" s="62" t="str">
        <f>IFERROR(IF(OR($B2500="",$B2500="(blank)"),"",VLOOKUP($B2500,'Email Marketing Raw Data'!$C:$O,9,0)),"")</f>
        <v/>
      </c>
    </row>
    <row r="2501" spans="4:17" ht="12.75" customHeight="1" x14ac:dyDescent="0.2">
      <c r="D2501" s="58" t="str">
        <f>IFERROR(IF(F2501&lt;&gt;"pending","",IF(OR($B2501="",$B2501="(blank)"),"",VLOOKUP($B2501,'Email Marketing Raw Data'!$C:$O,10,0))),"")</f>
        <v/>
      </c>
      <c r="E2501" s="59" t="str">
        <f>IFERROR(IF(F2501&lt;&gt;"pending","",IF(OR($B2501="",$B2501="(blank)"),"",VLOOKUP($B2501,'Email Marketing Raw Data'!$C:$O,11,0))),"")</f>
        <v/>
      </c>
      <c r="F2501" s="54" t="str">
        <f>IFERROR(IF(OR($B2501="",$B2501="(blank)"),"",VLOOKUP($B2501,'Email Marketing Raw Data'!$C:$O,13,0)),"")</f>
        <v/>
      </c>
      <c r="G2501" s="55" t="str">
        <f>IFERROR(IF(OR($B2501="",$B2501="(blank)"),"",VLOOKUP($B2501,'Email Marketing Raw Data'!$C:$O,4,0)),"")</f>
        <v/>
      </c>
      <c r="H2501" s="55" t="str">
        <f>IFERROR(IF(OR($B2501="",$B2501="(blank)"),"",VLOOKUP($B2501,'Email Marketing Raw Data'!$C:$O,5,0)),"")</f>
        <v/>
      </c>
      <c r="I2501" s="55" t="str">
        <f>IFERROR(IF($G2501="","",VLOOKUP('Dashboard And Emails Automate'!$G2501,Database!$H:$N,3,0)),"")</f>
        <v/>
      </c>
      <c r="J2501" s="55" t="str">
        <f>IFERROR(IF($G2501="","",VLOOKUP('Dashboard And Emails Automate'!$G2501,Database!$H:$N,4,0)),"")</f>
        <v/>
      </c>
      <c r="K2501" s="55" t="str">
        <f>IFERROR(IF($G2501="","",VLOOKUP('Dashboard And Emails Automate'!$G2501,Database!$H:$N,5,0)),"")</f>
        <v/>
      </c>
      <c r="L2501" s="55" t="str">
        <f>IFERROR(IF($G2501="","",VLOOKUP('Dashboard And Emails Automate'!$G2501,Database!$H:$N,6,0)),"")</f>
        <v/>
      </c>
      <c r="M2501" s="55" t="str">
        <f>IFERROR(IF($G2501="","",VLOOKUP('Dashboard And Emails Automate'!$G2501,Database!$H:$N,7,0)),"")</f>
        <v/>
      </c>
      <c r="N2501" s="55" t="str">
        <f>IFERROR(IF(OR($B2501="",$B2501="(blank)"),"",VLOOKUP($B2501,'Email Marketing Raw Data'!$C:$O,6,0)),"")</f>
        <v/>
      </c>
      <c r="O2501" s="55" t="str">
        <f>IFERROR(IF(OR($B2501="",$B2501="(blank)"),"",VLOOKUP($B2501,'Email Marketing Raw Data'!$C:$O,7,0)),"")</f>
        <v/>
      </c>
      <c r="P2501" s="55" t="str">
        <f>IFERROR(IF(OR($B2501="",$B2501="(blank)"),"",VLOOKUP($B2501,'Email Marketing Raw Data'!$C:$O,8,0)),"")</f>
        <v/>
      </c>
      <c r="Q2501" s="62" t="str">
        <f>IFERROR(IF(OR($B2501="",$B2501="(blank)"),"",VLOOKUP($B2501,'Email Marketing Raw Data'!$C:$O,9,0)),"")</f>
        <v/>
      </c>
    </row>
    <row r="2502" spans="4:17" ht="12.75" customHeight="1" x14ac:dyDescent="0.2">
      <c r="D2502" s="58" t="str">
        <f>IFERROR(IF(F2502&lt;&gt;"pending","",IF(OR($B2502="",$B2502="(blank)"),"",VLOOKUP($B2502,'Email Marketing Raw Data'!$C:$O,10,0))),"")</f>
        <v/>
      </c>
      <c r="E2502" s="59" t="str">
        <f>IFERROR(IF(F2502&lt;&gt;"pending","",IF(OR($B2502="",$B2502="(blank)"),"",VLOOKUP($B2502,'Email Marketing Raw Data'!$C:$O,11,0))),"")</f>
        <v/>
      </c>
      <c r="F2502" s="54" t="str">
        <f>IFERROR(IF(OR($B2502="",$B2502="(blank)"),"",VLOOKUP($B2502,'Email Marketing Raw Data'!$C:$O,13,0)),"")</f>
        <v/>
      </c>
      <c r="G2502" s="55" t="str">
        <f>IFERROR(IF(OR($B2502="",$B2502="(blank)"),"",VLOOKUP($B2502,'Email Marketing Raw Data'!$C:$O,4,0)),"")</f>
        <v/>
      </c>
      <c r="H2502" s="55" t="str">
        <f>IFERROR(IF(OR($B2502="",$B2502="(blank)"),"",VLOOKUP($B2502,'Email Marketing Raw Data'!$C:$O,5,0)),"")</f>
        <v/>
      </c>
      <c r="I2502" s="55" t="str">
        <f>IFERROR(IF($G2502="","",VLOOKUP('Dashboard And Emails Automate'!$G2502,Database!$H:$N,3,0)),"")</f>
        <v/>
      </c>
      <c r="J2502" s="55" t="str">
        <f>IFERROR(IF($G2502="","",VLOOKUP('Dashboard And Emails Automate'!$G2502,Database!$H:$N,4,0)),"")</f>
        <v/>
      </c>
      <c r="K2502" s="55" t="str">
        <f>IFERROR(IF($G2502="","",VLOOKUP('Dashboard And Emails Automate'!$G2502,Database!$H:$N,5,0)),"")</f>
        <v/>
      </c>
      <c r="L2502" s="55" t="str">
        <f>IFERROR(IF($G2502="","",VLOOKUP('Dashboard And Emails Automate'!$G2502,Database!$H:$N,6,0)),"")</f>
        <v/>
      </c>
      <c r="M2502" s="55" t="str">
        <f>IFERROR(IF($G2502="","",VLOOKUP('Dashboard And Emails Automate'!$G2502,Database!$H:$N,7,0)),"")</f>
        <v/>
      </c>
      <c r="N2502" s="55" t="str">
        <f>IFERROR(IF(OR($B2502="",$B2502="(blank)"),"",VLOOKUP($B2502,'Email Marketing Raw Data'!$C:$O,6,0)),"")</f>
        <v/>
      </c>
      <c r="O2502" s="55" t="str">
        <f>IFERROR(IF(OR($B2502="",$B2502="(blank)"),"",VLOOKUP($B2502,'Email Marketing Raw Data'!$C:$O,7,0)),"")</f>
        <v/>
      </c>
      <c r="P2502" s="55" t="str">
        <f>IFERROR(IF(OR($B2502="",$B2502="(blank)"),"",VLOOKUP($B2502,'Email Marketing Raw Data'!$C:$O,8,0)),"")</f>
        <v/>
      </c>
      <c r="Q2502" s="62" t="str">
        <f>IFERROR(IF(OR($B2502="",$B2502="(blank)"),"",VLOOKUP($B2502,'Email Marketing Raw Data'!$C:$O,9,0)),"")</f>
        <v/>
      </c>
    </row>
    <row r="2503" spans="4:17" ht="12.75" customHeight="1" x14ac:dyDescent="0.2">
      <c r="D2503" s="58" t="str">
        <f>IFERROR(IF(F2503&lt;&gt;"pending","",IF(OR($B2503="",$B2503="(blank)"),"",VLOOKUP($B2503,'Email Marketing Raw Data'!$C:$O,10,0))),"")</f>
        <v/>
      </c>
      <c r="E2503" s="59" t="str">
        <f>IFERROR(IF(F2503&lt;&gt;"pending","",IF(OR($B2503="",$B2503="(blank)"),"",VLOOKUP($B2503,'Email Marketing Raw Data'!$C:$O,11,0))),"")</f>
        <v/>
      </c>
      <c r="F2503" s="54" t="str">
        <f>IFERROR(IF(OR($B2503="",$B2503="(blank)"),"",VLOOKUP($B2503,'Email Marketing Raw Data'!$C:$O,13,0)),"")</f>
        <v/>
      </c>
      <c r="G2503" s="55" t="str">
        <f>IFERROR(IF(OR($B2503="",$B2503="(blank)"),"",VLOOKUP($B2503,'Email Marketing Raw Data'!$C:$O,4,0)),"")</f>
        <v/>
      </c>
      <c r="H2503" s="55" t="str">
        <f>IFERROR(IF(OR($B2503="",$B2503="(blank)"),"",VLOOKUP($B2503,'Email Marketing Raw Data'!$C:$O,5,0)),"")</f>
        <v/>
      </c>
      <c r="I2503" s="55" t="str">
        <f>IFERROR(IF($G2503="","",VLOOKUP('Dashboard And Emails Automate'!$G2503,Database!$H:$N,3,0)),"")</f>
        <v/>
      </c>
      <c r="J2503" s="55" t="str">
        <f>IFERROR(IF($G2503="","",VLOOKUP('Dashboard And Emails Automate'!$G2503,Database!$H:$N,4,0)),"")</f>
        <v/>
      </c>
      <c r="K2503" s="55" t="str">
        <f>IFERROR(IF($G2503="","",VLOOKUP('Dashboard And Emails Automate'!$G2503,Database!$H:$N,5,0)),"")</f>
        <v/>
      </c>
      <c r="L2503" s="55" t="str">
        <f>IFERROR(IF($G2503="","",VLOOKUP('Dashboard And Emails Automate'!$G2503,Database!$H:$N,6,0)),"")</f>
        <v/>
      </c>
      <c r="M2503" s="55" t="str">
        <f>IFERROR(IF($G2503="","",VLOOKUP('Dashboard And Emails Automate'!$G2503,Database!$H:$N,7,0)),"")</f>
        <v/>
      </c>
      <c r="N2503" s="55" t="str">
        <f>IFERROR(IF(OR($B2503="",$B2503="(blank)"),"",VLOOKUP($B2503,'Email Marketing Raw Data'!$C:$O,6,0)),"")</f>
        <v/>
      </c>
      <c r="O2503" s="55" t="str">
        <f>IFERROR(IF(OR($B2503="",$B2503="(blank)"),"",VLOOKUP($B2503,'Email Marketing Raw Data'!$C:$O,7,0)),"")</f>
        <v/>
      </c>
      <c r="P2503" s="55" t="str">
        <f>IFERROR(IF(OR($B2503="",$B2503="(blank)"),"",VLOOKUP($B2503,'Email Marketing Raw Data'!$C:$O,8,0)),"")</f>
        <v/>
      </c>
      <c r="Q2503" s="62" t="str">
        <f>IFERROR(IF(OR($B2503="",$B2503="(blank)"),"",VLOOKUP($B2503,'Email Marketing Raw Data'!$C:$O,9,0)),"")</f>
        <v/>
      </c>
    </row>
    <row r="2504" spans="4:17" ht="12.75" customHeight="1" x14ac:dyDescent="0.2">
      <c r="D2504" s="58" t="str">
        <f>IFERROR(IF(F2504&lt;&gt;"pending","",IF(OR($B2504="",$B2504="(blank)"),"",VLOOKUP($B2504,'Email Marketing Raw Data'!$C:$O,10,0))),"")</f>
        <v/>
      </c>
      <c r="E2504" s="59" t="str">
        <f>IFERROR(IF(F2504&lt;&gt;"pending","",IF(OR($B2504="",$B2504="(blank)"),"",VLOOKUP($B2504,'Email Marketing Raw Data'!$C:$O,11,0))),"")</f>
        <v/>
      </c>
      <c r="F2504" s="54" t="str">
        <f>IFERROR(IF(OR($B2504="",$B2504="(blank)"),"",VLOOKUP($B2504,'Email Marketing Raw Data'!$C:$O,13,0)),"")</f>
        <v/>
      </c>
      <c r="G2504" s="55" t="str">
        <f>IFERROR(IF(OR($B2504="",$B2504="(blank)"),"",VLOOKUP($B2504,'Email Marketing Raw Data'!$C:$O,4,0)),"")</f>
        <v/>
      </c>
      <c r="H2504" s="55" t="str">
        <f>IFERROR(IF(OR($B2504="",$B2504="(blank)"),"",VLOOKUP($B2504,'Email Marketing Raw Data'!$C:$O,5,0)),"")</f>
        <v/>
      </c>
      <c r="I2504" s="55" t="str">
        <f>IFERROR(IF($G2504="","",VLOOKUP('Dashboard And Emails Automate'!$G2504,Database!$H:$N,3,0)),"")</f>
        <v/>
      </c>
      <c r="J2504" s="55" t="str">
        <f>IFERROR(IF($G2504="","",VLOOKUP('Dashboard And Emails Automate'!$G2504,Database!$H:$N,4,0)),"")</f>
        <v/>
      </c>
      <c r="K2504" s="55" t="str">
        <f>IFERROR(IF($G2504="","",VLOOKUP('Dashboard And Emails Automate'!$G2504,Database!$H:$N,5,0)),"")</f>
        <v/>
      </c>
      <c r="L2504" s="55" t="str">
        <f>IFERROR(IF($G2504="","",VLOOKUP('Dashboard And Emails Automate'!$G2504,Database!$H:$N,6,0)),"")</f>
        <v/>
      </c>
      <c r="M2504" s="55" t="str">
        <f>IFERROR(IF($G2504="","",VLOOKUP('Dashboard And Emails Automate'!$G2504,Database!$H:$N,7,0)),"")</f>
        <v/>
      </c>
      <c r="N2504" s="55" t="str">
        <f>IFERROR(IF(OR($B2504="",$B2504="(blank)"),"",VLOOKUP($B2504,'Email Marketing Raw Data'!$C:$O,6,0)),"")</f>
        <v/>
      </c>
      <c r="O2504" s="55" t="str">
        <f>IFERROR(IF(OR($B2504="",$B2504="(blank)"),"",VLOOKUP($B2504,'Email Marketing Raw Data'!$C:$O,7,0)),"")</f>
        <v/>
      </c>
      <c r="P2504" s="55" t="str">
        <f>IFERROR(IF(OR($B2504="",$B2504="(blank)"),"",VLOOKUP($B2504,'Email Marketing Raw Data'!$C:$O,8,0)),"")</f>
        <v/>
      </c>
      <c r="Q2504" s="62" t="str">
        <f>IFERROR(IF(OR($B2504="",$B2504="(blank)"),"",VLOOKUP($B2504,'Email Marketing Raw Data'!$C:$O,9,0)),"")</f>
        <v/>
      </c>
    </row>
    <row r="2505" spans="4:17" ht="12.75" customHeight="1" x14ac:dyDescent="0.2">
      <c r="D2505" s="58" t="str">
        <f>IFERROR(IF(F2505&lt;&gt;"pending","",IF(OR($B2505="",$B2505="(blank)"),"",VLOOKUP($B2505,'Email Marketing Raw Data'!$C:$O,10,0))),"")</f>
        <v/>
      </c>
      <c r="E2505" s="59" t="str">
        <f>IFERROR(IF(F2505&lt;&gt;"pending","",IF(OR($B2505="",$B2505="(blank)"),"",VLOOKUP($B2505,'Email Marketing Raw Data'!$C:$O,11,0))),"")</f>
        <v/>
      </c>
      <c r="F2505" s="54" t="str">
        <f>IFERROR(IF(OR($B2505="",$B2505="(blank)"),"",VLOOKUP($B2505,'Email Marketing Raw Data'!$C:$O,13,0)),"")</f>
        <v/>
      </c>
      <c r="G2505" s="55" t="str">
        <f>IFERROR(IF(OR($B2505="",$B2505="(blank)"),"",VLOOKUP($B2505,'Email Marketing Raw Data'!$C:$O,4,0)),"")</f>
        <v/>
      </c>
      <c r="H2505" s="55" t="str">
        <f>IFERROR(IF(OR($B2505="",$B2505="(blank)"),"",VLOOKUP($B2505,'Email Marketing Raw Data'!$C:$O,5,0)),"")</f>
        <v/>
      </c>
      <c r="I2505" s="55" t="str">
        <f>IFERROR(IF($G2505="","",VLOOKUP('Dashboard And Emails Automate'!$G2505,Database!$H:$N,3,0)),"")</f>
        <v/>
      </c>
      <c r="J2505" s="55" t="str">
        <f>IFERROR(IF($G2505="","",VLOOKUP('Dashboard And Emails Automate'!$G2505,Database!$H:$N,4,0)),"")</f>
        <v/>
      </c>
      <c r="K2505" s="55" t="str">
        <f>IFERROR(IF($G2505="","",VLOOKUP('Dashboard And Emails Automate'!$G2505,Database!$H:$N,5,0)),"")</f>
        <v/>
      </c>
      <c r="L2505" s="55" t="str">
        <f>IFERROR(IF($G2505="","",VLOOKUP('Dashboard And Emails Automate'!$G2505,Database!$H:$N,6,0)),"")</f>
        <v/>
      </c>
      <c r="M2505" s="55" t="str">
        <f>IFERROR(IF($G2505="","",VLOOKUP('Dashboard And Emails Automate'!$G2505,Database!$H:$N,7,0)),"")</f>
        <v/>
      </c>
      <c r="N2505" s="55" t="str">
        <f>IFERROR(IF(OR($B2505="",$B2505="(blank)"),"",VLOOKUP($B2505,'Email Marketing Raw Data'!$C:$O,6,0)),"")</f>
        <v/>
      </c>
      <c r="O2505" s="55" t="str">
        <f>IFERROR(IF(OR($B2505="",$B2505="(blank)"),"",VLOOKUP($B2505,'Email Marketing Raw Data'!$C:$O,7,0)),"")</f>
        <v/>
      </c>
      <c r="P2505" s="55" t="str">
        <f>IFERROR(IF(OR($B2505="",$B2505="(blank)"),"",VLOOKUP($B2505,'Email Marketing Raw Data'!$C:$O,8,0)),"")</f>
        <v/>
      </c>
      <c r="Q2505" s="62" t="str">
        <f>IFERROR(IF(OR($B2505="",$B2505="(blank)"),"",VLOOKUP($B2505,'Email Marketing Raw Data'!$C:$O,9,0)),"")</f>
        <v/>
      </c>
    </row>
    <row r="2506" spans="4:17" ht="12.75" customHeight="1" x14ac:dyDescent="0.2">
      <c r="D2506" s="58" t="str">
        <f>IFERROR(IF(F2506&lt;&gt;"pending","",IF(OR($B2506="",$B2506="(blank)"),"",VLOOKUP($B2506,'Email Marketing Raw Data'!$C:$O,10,0))),"")</f>
        <v/>
      </c>
      <c r="E2506" s="59" t="str">
        <f>IFERROR(IF(F2506&lt;&gt;"pending","",IF(OR($B2506="",$B2506="(blank)"),"",VLOOKUP($B2506,'Email Marketing Raw Data'!$C:$O,11,0))),"")</f>
        <v/>
      </c>
      <c r="F2506" s="54" t="str">
        <f>IFERROR(IF(OR($B2506="",$B2506="(blank)"),"",VLOOKUP($B2506,'Email Marketing Raw Data'!$C:$O,13,0)),"")</f>
        <v/>
      </c>
      <c r="G2506" s="55" t="str">
        <f>IFERROR(IF(OR($B2506="",$B2506="(blank)"),"",VLOOKUP($B2506,'Email Marketing Raw Data'!$C:$O,4,0)),"")</f>
        <v/>
      </c>
      <c r="H2506" s="55" t="str">
        <f>IFERROR(IF(OR($B2506="",$B2506="(blank)"),"",VLOOKUP($B2506,'Email Marketing Raw Data'!$C:$O,5,0)),"")</f>
        <v/>
      </c>
      <c r="I2506" s="55" t="str">
        <f>IFERROR(IF($G2506="","",VLOOKUP('Dashboard And Emails Automate'!$G2506,Database!$H:$N,3,0)),"")</f>
        <v/>
      </c>
      <c r="J2506" s="55" t="str">
        <f>IFERROR(IF($G2506="","",VLOOKUP('Dashboard And Emails Automate'!$G2506,Database!$H:$N,4,0)),"")</f>
        <v/>
      </c>
      <c r="K2506" s="55" t="str">
        <f>IFERROR(IF($G2506="","",VLOOKUP('Dashboard And Emails Automate'!$G2506,Database!$H:$N,5,0)),"")</f>
        <v/>
      </c>
      <c r="L2506" s="55" t="str">
        <f>IFERROR(IF($G2506="","",VLOOKUP('Dashboard And Emails Automate'!$G2506,Database!$H:$N,6,0)),"")</f>
        <v/>
      </c>
      <c r="M2506" s="55" t="str">
        <f>IFERROR(IF($G2506="","",VLOOKUP('Dashboard And Emails Automate'!$G2506,Database!$H:$N,7,0)),"")</f>
        <v/>
      </c>
      <c r="N2506" s="55" t="str">
        <f>IFERROR(IF(OR($B2506="",$B2506="(blank)"),"",VLOOKUP($B2506,'Email Marketing Raw Data'!$C:$O,6,0)),"")</f>
        <v/>
      </c>
      <c r="O2506" s="55" t="str">
        <f>IFERROR(IF(OR($B2506="",$B2506="(blank)"),"",VLOOKUP($B2506,'Email Marketing Raw Data'!$C:$O,7,0)),"")</f>
        <v/>
      </c>
      <c r="P2506" s="55" t="str">
        <f>IFERROR(IF(OR($B2506="",$B2506="(blank)"),"",VLOOKUP($B2506,'Email Marketing Raw Data'!$C:$O,8,0)),"")</f>
        <v/>
      </c>
      <c r="Q2506" s="62" t="str">
        <f>IFERROR(IF(OR($B2506="",$B2506="(blank)"),"",VLOOKUP($B2506,'Email Marketing Raw Data'!$C:$O,9,0)),"")</f>
        <v/>
      </c>
    </row>
    <row r="2507" spans="4:17" ht="12.75" customHeight="1" x14ac:dyDescent="0.2">
      <c r="D2507" s="58" t="str">
        <f>IFERROR(IF(F2507&lt;&gt;"pending","",IF(OR($B2507="",$B2507="(blank)"),"",VLOOKUP($B2507,'Email Marketing Raw Data'!$C:$O,10,0))),"")</f>
        <v/>
      </c>
      <c r="E2507" s="59" t="str">
        <f>IFERROR(IF(F2507&lt;&gt;"pending","",IF(OR($B2507="",$B2507="(blank)"),"",VLOOKUP($B2507,'Email Marketing Raw Data'!$C:$O,11,0))),"")</f>
        <v/>
      </c>
      <c r="F2507" s="54" t="str">
        <f>IFERROR(IF(OR($B2507="",$B2507="(blank)"),"",VLOOKUP($B2507,'Email Marketing Raw Data'!$C:$O,13,0)),"")</f>
        <v/>
      </c>
      <c r="G2507" s="55" t="str">
        <f>IFERROR(IF(OR($B2507="",$B2507="(blank)"),"",VLOOKUP($B2507,'Email Marketing Raw Data'!$C:$O,4,0)),"")</f>
        <v/>
      </c>
      <c r="H2507" s="55" t="str">
        <f>IFERROR(IF(OR($B2507="",$B2507="(blank)"),"",VLOOKUP($B2507,'Email Marketing Raw Data'!$C:$O,5,0)),"")</f>
        <v/>
      </c>
      <c r="I2507" s="55" t="str">
        <f>IFERROR(IF($G2507="","",VLOOKUP('Dashboard And Emails Automate'!$G2507,Database!$H:$N,3,0)),"")</f>
        <v/>
      </c>
      <c r="J2507" s="55" t="str">
        <f>IFERROR(IF($G2507="","",VLOOKUP('Dashboard And Emails Automate'!$G2507,Database!$H:$N,4,0)),"")</f>
        <v/>
      </c>
      <c r="K2507" s="55" t="str">
        <f>IFERROR(IF($G2507="","",VLOOKUP('Dashboard And Emails Automate'!$G2507,Database!$H:$N,5,0)),"")</f>
        <v/>
      </c>
      <c r="L2507" s="55" t="str">
        <f>IFERROR(IF($G2507="","",VLOOKUP('Dashboard And Emails Automate'!$G2507,Database!$H:$N,6,0)),"")</f>
        <v/>
      </c>
      <c r="M2507" s="55" t="str">
        <f>IFERROR(IF($G2507="","",VLOOKUP('Dashboard And Emails Automate'!$G2507,Database!$H:$N,7,0)),"")</f>
        <v/>
      </c>
      <c r="N2507" s="55" t="str">
        <f>IFERROR(IF(OR($B2507="",$B2507="(blank)"),"",VLOOKUP($B2507,'Email Marketing Raw Data'!$C:$O,6,0)),"")</f>
        <v/>
      </c>
      <c r="O2507" s="55" t="str">
        <f>IFERROR(IF(OR($B2507="",$B2507="(blank)"),"",VLOOKUP($B2507,'Email Marketing Raw Data'!$C:$O,7,0)),"")</f>
        <v/>
      </c>
      <c r="P2507" s="55" t="str">
        <f>IFERROR(IF(OR($B2507="",$B2507="(blank)"),"",VLOOKUP($B2507,'Email Marketing Raw Data'!$C:$O,8,0)),"")</f>
        <v/>
      </c>
      <c r="Q2507" s="62" t="str">
        <f>IFERROR(IF(OR($B2507="",$B2507="(blank)"),"",VLOOKUP($B2507,'Email Marketing Raw Data'!$C:$O,9,0)),"")</f>
        <v/>
      </c>
    </row>
    <row r="2508" spans="4:17" ht="12.75" customHeight="1" x14ac:dyDescent="0.2">
      <c r="D2508" s="58" t="str">
        <f>IFERROR(IF(F2508&lt;&gt;"pending","",IF(OR($B2508="",$B2508="(blank)"),"",VLOOKUP($B2508,'Email Marketing Raw Data'!$C:$O,10,0))),"")</f>
        <v/>
      </c>
      <c r="E2508" s="59" t="str">
        <f>IFERROR(IF(F2508&lt;&gt;"pending","",IF(OR($B2508="",$B2508="(blank)"),"",VLOOKUP($B2508,'Email Marketing Raw Data'!$C:$O,11,0))),"")</f>
        <v/>
      </c>
      <c r="F2508" s="54" t="str">
        <f>IFERROR(IF(OR($B2508="",$B2508="(blank)"),"",VLOOKUP($B2508,'Email Marketing Raw Data'!$C:$O,13,0)),"")</f>
        <v/>
      </c>
      <c r="G2508" s="55" t="str">
        <f>IFERROR(IF(OR($B2508="",$B2508="(blank)"),"",VLOOKUP($B2508,'Email Marketing Raw Data'!$C:$O,4,0)),"")</f>
        <v/>
      </c>
      <c r="H2508" s="55" t="str">
        <f>IFERROR(IF(OR($B2508="",$B2508="(blank)"),"",VLOOKUP($B2508,'Email Marketing Raw Data'!$C:$O,5,0)),"")</f>
        <v/>
      </c>
      <c r="I2508" s="55" t="str">
        <f>IFERROR(IF($G2508="","",VLOOKUP('Dashboard And Emails Automate'!$G2508,Database!$H:$N,3,0)),"")</f>
        <v/>
      </c>
      <c r="J2508" s="55" t="str">
        <f>IFERROR(IF($G2508="","",VLOOKUP('Dashboard And Emails Automate'!$G2508,Database!$H:$N,4,0)),"")</f>
        <v/>
      </c>
      <c r="K2508" s="55" t="str">
        <f>IFERROR(IF($G2508="","",VLOOKUP('Dashboard And Emails Automate'!$G2508,Database!$H:$N,5,0)),"")</f>
        <v/>
      </c>
      <c r="L2508" s="55" t="str">
        <f>IFERROR(IF($G2508="","",VLOOKUP('Dashboard And Emails Automate'!$G2508,Database!$H:$N,6,0)),"")</f>
        <v/>
      </c>
      <c r="M2508" s="55" t="str">
        <f>IFERROR(IF($G2508="","",VLOOKUP('Dashboard And Emails Automate'!$G2508,Database!$H:$N,7,0)),"")</f>
        <v/>
      </c>
      <c r="N2508" s="55" t="str">
        <f>IFERROR(IF(OR($B2508="",$B2508="(blank)"),"",VLOOKUP($B2508,'Email Marketing Raw Data'!$C:$O,6,0)),"")</f>
        <v/>
      </c>
      <c r="O2508" s="55" t="str">
        <f>IFERROR(IF(OR($B2508="",$B2508="(blank)"),"",VLOOKUP($B2508,'Email Marketing Raw Data'!$C:$O,7,0)),"")</f>
        <v/>
      </c>
      <c r="P2508" s="55" t="str">
        <f>IFERROR(IF(OR($B2508="",$B2508="(blank)"),"",VLOOKUP($B2508,'Email Marketing Raw Data'!$C:$O,8,0)),"")</f>
        <v/>
      </c>
      <c r="Q2508" s="62" t="str">
        <f>IFERROR(IF(OR($B2508="",$B2508="(blank)"),"",VLOOKUP($B2508,'Email Marketing Raw Data'!$C:$O,9,0)),"")</f>
        <v/>
      </c>
    </row>
    <row r="2509" spans="4:17" ht="12.75" customHeight="1" x14ac:dyDescent="0.2">
      <c r="D2509" s="58" t="str">
        <f>IFERROR(IF(F2509&lt;&gt;"pending","",IF(OR($B2509="",$B2509="(blank)"),"",VLOOKUP($B2509,'Email Marketing Raw Data'!$C:$O,10,0))),"")</f>
        <v/>
      </c>
      <c r="E2509" s="59" t="str">
        <f>IFERROR(IF(F2509&lt;&gt;"pending","",IF(OR($B2509="",$B2509="(blank)"),"",VLOOKUP($B2509,'Email Marketing Raw Data'!$C:$O,11,0))),"")</f>
        <v/>
      </c>
      <c r="F2509" s="54" t="str">
        <f>IFERROR(IF(OR($B2509="",$B2509="(blank)"),"",VLOOKUP($B2509,'Email Marketing Raw Data'!$C:$O,13,0)),"")</f>
        <v/>
      </c>
      <c r="G2509" s="55" t="str">
        <f>IFERROR(IF(OR($B2509="",$B2509="(blank)"),"",VLOOKUP($B2509,'Email Marketing Raw Data'!$C:$O,4,0)),"")</f>
        <v/>
      </c>
      <c r="H2509" s="55" t="str">
        <f>IFERROR(IF(OR($B2509="",$B2509="(blank)"),"",VLOOKUP($B2509,'Email Marketing Raw Data'!$C:$O,5,0)),"")</f>
        <v/>
      </c>
      <c r="I2509" s="55" t="str">
        <f>IFERROR(IF($G2509="","",VLOOKUP('Dashboard And Emails Automate'!$G2509,Database!$H:$N,3,0)),"")</f>
        <v/>
      </c>
      <c r="J2509" s="55" t="str">
        <f>IFERROR(IF($G2509="","",VLOOKUP('Dashboard And Emails Automate'!$G2509,Database!$H:$N,4,0)),"")</f>
        <v/>
      </c>
      <c r="K2509" s="55" t="str">
        <f>IFERROR(IF($G2509="","",VLOOKUP('Dashboard And Emails Automate'!$G2509,Database!$H:$N,5,0)),"")</f>
        <v/>
      </c>
      <c r="L2509" s="55" t="str">
        <f>IFERROR(IF($G2509="","",VLOOKUP('Dashboard And Emails Automate'!$G2509,Database!$H:$N,6,0)),"")</f>
        <v/>
      </c>
      <c r="M2509" s="55" t="str">
        <f>IFERROR(IF($G2509="","",VLOOKUP('Dashboard And Emails Automate'!$G2509,Database!$H:$N,7,0)),"")</f>
        <v/>
      </c>
      <c r="N2509" s="55" t="str">
        <f>IFERROR(IF(OR($B2509="",$B2509="(blank)"),"",VLOOKUP($B2509,'Email Marketing Raw Data'!$C:$O,6,0)),"")</f>
        <v/>
      </c>
      <c r="O2509" s="55" t="str">
        <f>IFERROR(IF(OR($B2509="",$B2509="(blank)"),"",VLOOKUP($B2509,'Email Marketing Raw Data'!$C:$O,7,0)),"")</f>
        <v/>
      </c>
      <c r="P2509" s="55" t="str">
        <f>IFERROR(IF(OR($B2509="",$B2509="(blank)"),"",VLOOKUP($B2509,'Email Marketing Raw Data'!$C:$O,8,0)),"")</f>
        <v/>
      </c>
      <c r="Q2509" s="62" t="str">
        <f>IFERROR(IF(OR($B2509="",$B2509="(blank)"),"",VLOOKUP($B2509,'Email Marketing Raw Data'!$C:$O,9,0)),"")</f>
        <v/>
      </c>
    </row>
    <row r="2510" spans="4:17" ht="12.75" customHeight="1" x14ac:dyDescent="0.2">
      <c r="D2510" s="58" t="str">
        <f>IFERROR(IF(F2510&lt;&gt;"pending","",IF(OR($B2510="",$B2510="(blank)"),"",VLOOKUP($B2510,'Email Marketing Raw Data'!$C:$O,10,0))),"")</f>
        <v/>
      </c>
      <c r="E2510" s="59" t="str">
        <f>IFERROR(IF(F2510&lt;&gt;"pending","",IF(OR($B2510="",$B2510="(blank)"),"",VLOOKUP($B2510,'Email Marketing Raw Data'!$C:$O,11,0))),"")</f>
        <v/>
      </c>
      <c r="F2510" s="54" t="str">
        <f>IFERROR(IF(OR($B2510="",$B2510="(blank)"),"",VLOOKUP($B2510,'Email Marketing Raw Data'!$C:$O,13,0)),"")</f>
        <v/>
      </c>
      <c r="G2510" s="55" t="str">
        <f>IFERROR(IF(OR($B2510="",$B2510="(blank)"),"",VLOOKUP($B2510,'Email Marketing Raw Data'!$C:$O,4,0)),"")</f>
        <v/>
      </c>
      <c r="H2510" s="55" t="str">
        <f>IFERROR(IF(OR($B2510="",$B2510="(blank)"),"",VLOOKUP($B2510,'Email Marketing Raw Data'!$C:$O,5,0)),"")</f>
        <v/>
      </c>
      <c r="I2510" s="55" t="str">
        <f>IFERROR(IF($G2510="","",VLOOKUP('Dashboard And Emails Automate'!$G2510,Database!$H:$N,3,0)),"")</f>
        <v/>
      </c>
      <c r="J2510" s="55" t="str">
        <f>IFERROR(IF($G2510="","",VLOOKUP('Dashboard And Emails Automate'!$G2510,Database!$H:$N,4,0)),"")</f>
        <v/>
      </c>
      <c r="K2510" s="55" t="str">
        <f>IFERROR(IF($G2510="","",VLOOKUP('Dashboard And Emails Automate'!$G2510,Database!$H:$N,5,0)),"")</f>
        <v/>
      </c>
      <c r="L2510" s="55" t="str">
        <f>IFERROR(IF($G2510="","",VLOOKUP('Dashboard And Emails Automate'!$G2510,Database!$H:$N,6,0)),"")</f>
        <v/>
      </c>
      <c r="M2510" s="55" t="str">
        <f>IFERROR(IF($G2510="","",VLOOKUP('Dashboard And Emails Automate'!$G2510,Database!$H:$N,7,0)),"")</f>
        <v/>
      </c>
      <c r="N2510" s="55" t="str">
        <f>IFERROR(IF(OR($B2510="",$B2510="(blank)"),"",VLOOKUP($B2510,'Email Marketing Raw Data'!$C:$O,6,0)),"")</f>
        <v/>
      </c>
      <c r="O2510" s="55" t="str">
        <f>IFERROR(IF(OR($B2510="",$B2510="(blank)"),"",VLOOKUP($B2510,'Email Marketing Raw Data'!$C:$O,7,0)),"")</f>
        <v/>
      </c>
      <c r="P2510" s="55" t="str">
        <f>IFERROR(IF(OR($B2510="",$B2510="(blank)"),"",VLOOKUP($B2510,'Email Marketing Raw Data'!$C:$O,8,0)),"")</f>
        <v/>
      </c>
      <c r="Q2510" s="62" t="str">
        <f>IFERROR(IF(OR($B2510="",$B2510="(blank)"),"",VLOOKUP($B2510,'Email Marketing Raw Data'!$C:$O,9,0)),"")</f>
        <v/>
      </c>
    </row>
    <row r="2511" spans="4:17" ht="12.75" customHeight="1" x14ac:dyDescent="0.2">
      <c r="D2511" s="58" t="str">
        <f>IFERROR(IF(F2511&lt;&gt;"pending","",IF(OR($B2511="",$B2511="(blank)"),"",VLOOKUP($B2511,'Email Marketing Raw Data'!$C:$O,10,0))),"")</f>
        <v/>
      </c>
      <c r="E2511" s="59" t="str">
        <f>IFERROR(IF(F2511&lt;&gt;"pending","",IF(OR($B2511="",$B2511="(blank)"),"",VLOOKUP($B2511,'Email Marketing Raw Data'!$C:$O,11,0))),"")</f>
        <v/>
      </c>
      <c r="F2511" s="54" t="str">
        <f>IFERROR(IF(OR($B2511="",$B2511="(blank)"),"",VLOOKUP($B2511,'Email Marketing Raw Data'!$C:$O,13,0)),"")</f>
        <v/>
      </c>
      <c r="G2511" s="55" t="str">
        <f>IFERROR(IF(OR($B2511="",$B2511="(blank)"),"",VLOOKUP($B2511,'Email Marketing Raw Data'!$C:$O,4,0)),"")</f>
        <v/>
      </c>
      <c r="H2511" s="55" t="str">
        <f>IFERROR(IF(OR($B2511="",$B2511="(blank)"),"",VLOOKUP($B2511,'Email Marketing Raw Data'!$C:$O,5,0)),"")</f>
        <v/>
      </c>
      <c r="I2511" s="55" t="str">
        <f>IFERROR(IF($G2511="","",VLOOKUP('Dashboard And Emails Automate'!$G2511,Database!$H:$N,3,0)),"")</f>
        <v/>
      </c>
      <c r="J2511" s="55" t="str">
        <f>IFERROR(IF($G2511="","",VLOOKUP('Dashboard And Emails Automate'!$G2511,Database!$H:$N,4,0)),"")</f>
        <v/>
      </c>
      <c r="K2511" s="55" t="str">
        <f>IFERROR(IF($G2511="","",VLOOKUP('Dashboard And Emails Automate'!$G2511,Database!$H:$N,5,0)),"")</f>
        <v/>
      </c>
      <c r="L2511" s="55" t="str">
        <f>IFERROR(IF($G2511="","",VLOOKUP('Dashboard And Emails Automate'!$G2511,Database!$H:$N,6,0)),"")</f>
        <v/>
      </c>
      <c r="M2511" s="55" t="str">
        <f>IFERROR(IF($G2511="","",VLOOKUP('Dashboard And Emails Automate'!$G2511,Database!$H:$N,7,0)),"")</f>
        <v/>
      </c>
      <c r="N2511" s="55" t="str">
        <f>IFERROR(IF(OR($B2511="",$B2511="(blank)"),"",VLOOKUP($B2511,'Email Marketing Raw Data'!$C:$O,6,0)),"")</f>
        <v/>
      </c>
      <c r="O2511" s="55" t="str">
        <f>IFERROR(IF(OR($B2511="",$B2511="(blank)"),"",VLOOKUP($B2511,'Email Marketing Raw Data'!$C:$O,7,0)),"")</f>
        <v/>
      </c>
      <c r="P2511" s="55" t="str">
        <f>IFERROR(IF(OR($B2511="",$B2511="(blank)"),"",VLOOKUP($B2511,'Email Marketing Raw Data'!$C:$O,8,0)),"")</f>
        <v/>
      </c>
      <c r="Q2511" s="62" t="str">
        <f>IFERROR(IF(OR($B2511="",$B2511="(blank)"),"",VLOOKUP($B2511,'Email Marketing Raw Data'!$C:$O,9,0)),"")</f>
        <v/>
      </c>
    </row>
    <row r="2512" spans="4:17" ht="12.75" customHeight="1" x14ac:dyDescent="0.2">
      <c r="D2512" s="58" t="str">
        <f>IFERROR(IF(F2512&lt;&gt;"pending","",IF(OR($B2512="",$B2512="(blank)"),"",VLOOKUP($B2512,'Email Marketing Raw Data'!$C:$O,10,0))),"")</f>
        <v/>
      </c>
      <c r="E2512" s="59" t="str">
        <f>IFERROR(IF(F2512&lt;&gt;"pending","",IF(OR($B2512="",$B2512="(blank)"),"",VLOOKUP($B2512,'Email Marketing Raw Data'!$C:$O,11,0))),"")</f>
        <v/>
      </c>
      <c r="F2512" s="54" t="str">
        <f>IFERROR(IF(OR($B2512="",$B2512="(blank)"),"",VLOOKUP($B2512,'Email Marketing Raw Data'!$C:$O,13,0)),"")</f>
        <v/>
      </c>
      <c r="G2512" s="55" t="str">
        <f>IFERROR(IF(OR($B2512="",$B2512="(blank)"),"",VLOOKUP($B2512,'Email Marketing Raw Data'!$C:$O,4,0)),"")</f>
        <v/>
      </c>
      <c r="H2512" s="55" t="str">
        <f>IFERROR(IF(OR($B2512="",$B2512="(blank)"),"",VLOOKUP($B2512,'Email Marketing Raw Data'!$C:$O,5,0)),"")</f>
        <v/>
      </c>
      <c r="I2512" s="55" t="str">
        <f>IFERROR(IF($G2512="","",VLOOKUP('Dashboard And Emails Automate'!$G2512,Database!$H:$N,3,0)),"")</f>
        <v/>
      </c>
      <c r="J2512" s="55" t="str">
        <f>IFERROR(IF($G2512="","",VLOOKUP('Dashboard And Emails Automate'!$G2512,Database!$H:$N,4,0)),"")</f>
        <v/>
      </c>
      <c r="K2512" s="55" t="str">
        <f>IFERROR(IF($G2512="","",VLOOKUP('Dashboard And Emails Automate'!$G2512,Database!$H:$N,5,0)),"")</f>
        <v/>
      </c>
      <c r="L2512" s="55" t="str">
        <f>IFERROR(IF($G2512="","",VLOOKUP('Dashboard And Emails Automate'!$G2512,Database!$H:$N,6,0)),"")</f>
        <v/>
      </c>
      <c r="M2512" s="55" t="str">
        <f>IFERROR(IF($G2512="","",VLOOKUP('Dashboard And Emails Automate'!$G2512,Database!$H:$N,7,0)),"")</f>
        <v/>
      </c>
      <c r="N2512" s="55" t="str">
        <f>IFERROR(IF(OR($B2512="",$B2512="(blank)"),"",VLOOKUP($B2512,'Email Marketing Raw Data'!$C:$O,6,0)),"")</f>
        <v/>
      </c>
      <c r="O2512" s="55" t="str">
        <f>IFERROR(IF(OR($B2512="",$B2512="(blank)"),"",VLOOKUP($B2512,'Email Marketing Raw Data'!$C:$O,7,0)),"")</f>
        <v/>
      </c>
      <c r="P2512" s="55" t="str">
        <f>IFERROR(IF(OR($B2512="",$B2512="(blank)"),"",VLOOKUP($B2512,'Email Marketing Raw Data'!$C:$O,8,0)),"")</f>
        <v/>
      </c>
      <c r="Q2512" s="62" t="str">
        <f>IFERROR(IF(OR($B2512="",$B2512="(blank)"),"",VLOOKUP($B2512,'Email Marketing Raw Data'!$C:$O,9,0)),"")</f>
        <v/>
      </c>
    </row>
    <row r="2513" spans="4:17" ht="12.75" customHeight="1" x14ac:dyDescent="0.2">
      <c r="D2513" s="58" t="str">
        <f>IFERROR(IF(F2513&lt;&gt;"pending","",IF(OR($B2513="",$B2513="(blank)"),"",VLOOKUP($B2513,'Email Marketing Raw Data'!$C:$O,10,0))),"")</f>
        <v/>
      </c>
      <c r="E2513" s="59" t="str">
        <f>IFERROR(IF(F2513&lt;&gt;"pending","",IF(OR($B2513="",$B2513="(blank)"),"",VLOOKUP($B2513,'Email Marketing Raw Data'!$C:$O,11,0))),"")</f>
        <v/>
      </c>
      <c r="F2513" s="54" t="str">
        <f>IFERROR(IF(OR($B2513="",$B2513="(blank)"),"",VLOOKUP($B2513,'Email Marketing Raw Data'!$C:$O,13,0)),"")</f>
        <v/>
      </c>
      <c r="G2513" s="55" t="str">
        <f>IFERROR(IF(OR($B2513="",$B2513="(blank)"),"",VLOOKUP($B2513,'Email Marketing Raw Data'!$C:$O,4,0)),"")</f>
        <v/>
      </c>
      <c r="H2513" s="55" t="str">
        <f>IFERROR(IF(OR($B2513="",$B2513="(blank)"),"",VLOOKUP($B2513,'Email Marketing Raw Data'!$C:$O,5,0)),"")</f>
        <v/>
      </c>
      <c r="I2513" s="55" t="str">
        <f>IFERROR(IF($G2513="","",VLOOKUP('Dashboard And Emails Automate'!$G2513,Database!$H:$N,3,0)),"")</f>
        <v/>
      </c>
      <c r="J2513" s="55" t="str">
        <f>IFERROR(IF($G2513="","",VLOOKUP('Dashboard And Emails Automate'!$G2513,Database!$H:$N,4,0)),"")</f>
        <v/>
      </c>
      <c r="K2513" s="55" t="str">
        <f>IFERROR(IF($G2513="","",VLOOKUP('Dashboard And Emails Automate'!$G2513,Database!$H:$N,5,0)),"")</f>
        <v/>
      </c>
      <c r="L2513" s="55" t="str">
        <f>IFERROR(IF($G2513="","",VLOOKUP('Dashboard And Emails Automate'!$G2513,Database!$H:$N,6,0)),"")</f>
        <v/>
      </c>
      <c r="M2513" s="55" t="str">
        <f>IFERROR(IF($G2513="","",VLOOKUP('Dashboard And Emails Automate'!$G2513,Database!$H:$N,7,0)),"")</f>
        <v/>
      </c>
      <c r="N2513" s="55" t="str">
        <f>IFERROR(IF(OR($B2513="",$B2513="(blank)"),"",VLOOKUP($B2513,'Email Marketing Raw Data'!$C:$O,6,0)),"")</f>
        <v/>
      </c>
      <c r="O2513" s="55" t="str">
        <f>IFERROR(IF(OR($B2513="",$B2513="(blank)"),"",VLOOKUP($B2513,'Email Marketing Raw Data'!$C:$O,7,0)),"")</f>
        <v/>
      </c>
      <c r="P2513" s="55" t="str">
        <f>IFERROR(IF(OR($B2513="",$B2513="(blank)"),"",VLOOKUP($B2513,'Email Marketing Raw Data'!$C:$O,8,0)),"")</f>
        <v/>
      </c>
      <c r="Q2513" s="62" t="str">
        <f>IFERROR(IF(OR($B2513="",$B2513="(blank)"),"",VLOOKUP($B2513,'Email Marketing Raw Data'!$C:$O,9,0)),"")</f>
        <v/>
      </c>
    </row>
    <row r="2514" spans="4:17" ht="12.75" customHeight="1" x14ac:dyDescent="0.2">
      <c r="D2514" s="58" t="str">
        <f>IFERROR(IF(F2514&lt;&gt;"pending","",IF(OR($B2514="",$B2514="(blank)"),"",VLOOKUP($B2514,'Email Marketing Raw Data'!$C:$O,10,0))),"")</f>
        <v/>
      </c>
      <c r="E2514" s="59" t="str">
        <f>IFERROR(IF(F2514&lt;&gt;"pending","",IF(OR($B2514="",$B2514="(blank)"),"",VLOOKUP($B2514,'Email Marketing Raw Data'!$C:$O,11,0))),"")</f>
        <v/>
      </c>
      <c r="F2514" s="54" t="str">
        <f>IFERROR(IF(OR($B2514="",$B2514="(blank)"),"",VLOOKUP($B2514,'Email Marketing Raw Data'!$C:$O,13,0)),"")</f>
        <v/>
      </c>
      <c r="G2514" s="55" t="str">
        <f>IFERROR(IF(OR($B2514="",$B2514="(blank)"),"",VLOOKUP($B2514,'Email Marketing Raw Data'!$C:$O,4,0)),"")</f>
        <v/>
      </c>
      <c r="H2514" s="55" t="str">
        <f>IFERROR(IF(OR($B2514="",$B2514="(blank)"),"",VLOOKUP($B2514,'Email Marketing Raw Data'!$C:$O,5,0)),"")</f>
        <v/>
      </c>
      <c r="I2514" s="55" t="str">
        <f>IFERROR(IF($G2514="","",VLOOKUP('Dashboard And Emails Automate'!$G2514,Database!$H:$N,3,0)),"")</f>
        <v/>
      </c>
      <c r="J2514" s="55" t="str">
        <f>IFERROR(IF($G2514="","",VLOOKUP('Dashboard And Emails Automate'!$G2514,Database!$H:$N,4,0)),"")</f>
        <v/>
      </c>
      <c r="K2514" s="55" t="str">
        <f>IFERROR(IF($G2514="","",VLOOKUP('Dashboard And Emails Automate'!$G2514,Database!$H:$N,5,0)),"")</f>
        <v/>
      </c>
      <c r="L2514" s="55" t="str">
        <f>IFERROR(IF($G2514="","",VLOOKUP('Dashboard And Emails Automate'!$G2514,Database!$H:$N,6,0)),"")</f>
        <v/>
      </c>
      <c r="M2514" s="55" t="str">
        <f>IFERROR(IF($G2514="","",VLOOKUP('Dashboard And Emails Automate'!$G2514,Database!$H:$N,7,0)),"")</f>
        <v/>
      </c>
      <c r="N2514" s="55" t="str">
        <f>IFERROR(IF(OR($B2514="",$B2514="(blank)"),"",VLOOKUP($B2514,'Email Marketing Raw Data'!$C:$O,6,0)),"")</f>
        <v/>
      </c>
      <c r="O2514" s="55" t="str">
        <f>IFERROR(IF(OR($B2514="",$B2514="(blank)"),"",VLOOKUP($B2514,'Email Marketing Raw Data'!$C:$O,7,0)),"")</f>
        <v/>
      </c>
      <c r="P2514" s="55" t="str">
        <f>IFERROR(IF(OR($B2514="",$B2514="(blank)"),"",VLOOKUP($B2514,'Email Marketing Raw Data'!$C:$O,8,0)),"")</f>
        <v/>
      </c>
      <c r="Q2514" s="62" t="str">
        <f>IFERROR(IF(OR($B2514="",$B2514="(blank)"),"",VLOOKUP($B2514,'Email Marketing Raw Data'!$C:$O,9,0)),"")</f>
        <v/>
      </c>
    </row>
    <row r="2515" spans="4:17" ht="12.75" customHeight="1" x14ac:dyDescent="0.2">
      <c r="D2515" s="58" t="str">
        <f>IFERROR(IF(F2515&lt;&gt;"pending","",IF(OR($B2515="",$B2515="(blank)"),"",VLOOKUP($B2515,'Email Marketing Raw Data'!$C:$O,10,0))),"")</f>
        <v/>
      </c>
      <c r="E2515" s="59" t="str">
        <f>IFERROR(IF(F2515&lt;&gt;"pending","",IF(OR($B2515="",$B2515="(blank)"),"",VLOOKUP($B2515,'Email Marketing Raw Data'!$C:$O,11,0))),"")</f>
        <v/>
      </c>
      <c r="F2515" s="54" t="str">
        <f>IFERROR(IF(OR($B2515="",$B2515="(blank)"),"",VLOOKUP($B2515,'Email Marketing Raw Data'!$C:$O,13,0)),"")</f>
        <v/>
      </c>
      <c r="G2515" s="55" t="str">
        <f>IFERROR(IF(OR($B2515="",$B2515="(blank)"),"",VLOOKUP($B2515,'Email Marketing Raw Data'!$C:$O,4,0)),"")</f>
        <v/>
      </c>
      <c r="H2515" s="55" t="str">
        <f>IFERROR(IF(OR($B2515="",$B2515="(blank)"),"",VLOOKUP($B2515,'Email Marketing Raw Data'!$C:$O,5,0)),"")</f>
        <v/>
      </c>
      <c r="I2515" s="55" t="str">
        <f>IFERROR(IF($G2515="","",VLOOKUP('Dashboard And Emails Automate'!$G2515,Database!$H:$N,3,0)),"")</f>
        <v/>
      </c>
      <c r="J2515" s="55" t="str">
        <f>IFERROR(IF($G2515="","",VLOOKUP('Dashboard And Emails Automate'!$G2515,Database!$H:$N,4,0)),"")</f>
        <v/>
      </c>
      <c r="K2515" s="55" t="str">
        <f>IFERROR(IF($G2515="","",VLOOKUP('Dashboard And Emails Automate'!$G2515,Database!$H:$N,5,0)),"")</f>
        <v/>
      </c>
      <c r="L2515" s="55" t="str">
        <f>IFERROR(IF($G2515="","",VLOOKUP('Dashboard And Emails Automate'!$G2515,Database!$H:$N,6,0)),"")</f>
        <v/>
      </c>
      <c r="M2515" s="55" t="str">
        <f>IFERROR(IF($G2515="","",VLOOKUP('Dashboard And Emails Automate'!$G2515,Database!$H:$N,7,0)),"")</f>
        <v/>
      </c>
      <c r="N2515" s="55" t="str">
        <f>IFERROR(IF(OR($B2515="",$B2515="(blank)"),"",VLOOKUP($B2515,'Email Marketing Raw Data'!$C:$O,6,0)),"")</f>
        <v/>
      </c>
      <c r="O2515" s="55" t="str">
        <f>IFERROR(IF(OR($B2515="",$B2515="(blank)"),"",VLOOKUP($B2515,'Email Marketing Raw Data'!$C:$O,7,0)),"")</f>
        <v/>
      </c>
      <c r="P2515" s="55" t="str">
        <f>IFERROR(IF(OR($B2515="",$B2515="(blank)"),"",VLOOKUP($B2515,'Email Marketing Raw Data'!$C:$O,8,0)),"")</f>
        <v/>
      </c>
      <c r="Q2515" s="62" t="str">
        <f>IFERROR(IF(OR($B2515="",$B2515="(blank)"),"",VLOOKUP($B2515,'Email Marketing Raw Data'!$C:$O,9,0)),"")</f>
        <v/>
      </c>
    </row>
    <row r="2516" spans="4:17" ht="12.75" customHeight="1" x14ac:dyDescent="0.2">
      <c r="D2516" s="58" t="str">
        <f>IFERROR(IF(F2516&lt;&gt;"pending","",IF(OR($B2516="",$B2516="(blank)"),"",VLOOKUP($B2516,'Email Marketing Raw Data'!$C:$O,10,0))),"")</f>
        <v/>
      </c>
      <c r="E2516" s="59" t="str">
        <f>IFERROR(IF(F2516&lt;&gt;"pending","",IF(OR($B2516="",$B2516="(blank)"),"",VLOOKUP($B2516,'Email Marketing Raw Data'!$C:$O,11,0))),"")</f>
        <v/>
      </c>
      <c r="F2516" s="54" t="str">
        <f>IFERROR(IF(OR($B2516="",$B2516="(blank)"),"",VLOOKUP($B2516,'Email Marketing Raw Data'!$C:$O,13,0)),"")</f>
        <v/>
      </c>
      <c r="G2516" s="55" t="str">
        <f>IFERROR(IF(OR($B2516="",$B2516="(blank)"),"",VLOOKUP($B2516,'Email Marketing Raw Data'!$C:$O,4,0)),"")</f>
        <v/>
      </c>
      <c r="H2516" s="55" t="str">
        <f>IFERROR(IF(OR($B2516="",$B2516="(blank)"),"",VLOOKUP($B2516,'Email Marketing Raw Data'!$C:$O,5,0)),"")</f>
        <v/>
      </c>
      <c r="I2516" s="55" t="str">
        <f>IFERROR(IF($G2516="","",VLOOKUP('Dashboard And Emails Automate'!$G2516,Database!$H:$N,3,0)),"")</f>
        <v/>
      </c>
      <c r="J2516" s="55" t="str">
        <f>IFERROR(IF($G2516="","",VLOOKUP('Dashboard And Emails Automate'!$G2516,Database!$H:$N,4,0)),"")</f>
        <v/>
      </c>
      <c r="K2516" s="55" t="str">
        <f>IFERROR(IF($G2516="","",VLOOKUP('Dashboard And Emails Automate'!$G2516,Database!$H:$N,5,0)),"")</f>
        <v/>
      </c>
      <c r="L2516" s="55" t="str">
        <f>IFERROR(IF($G2516="","",VLOOKUP('Dashboard And Emails Automate'!$G2516,Database!$H:$N,6,0)),"")</f>
        <v/>
      </c>
      <c r="M2516" s="55" t="str">
        <f>IFERROR(IF($G2516="","",VLOOKUP('Dashboard And Emails Automate'!$G2516,Database!$H:$N,7,0)),"")</f>
        <v/>
      </c>
      <c r="N2516" s="55" t="str">
        <f>IFERROR(IF(OR($B2516="",$B2516="(blank)"),"",VLOOKUP($B2516,'Email Marketing Raw Data'!$C:$O,6,0)),"")</f>
        <v/>
      </c>
      <c r="O2516" s="55" t="str">
        <f>IFERROR(IF(OR($B2516="",$B2516="(blank)"),"",VLOOKUP($B2516,'Email Marketing Raw Data'!$C:$O,7,0)),"")</f>
        <v/>
      </c>
      <c r="P2516" s="55" t="str">
        <f>IFERROR(IF(OR($B2516="",$B2516="(blank)"),"",VLOOKUP($B2516,'Email Marketing Raw Data'!$C:$O,8,0)),"")</f>
        <v/>
      </c>
      <c r="Q2516" s="62" t="str">
        <f>IFERROR(IF(OR($B2516="",$B2516="(blank)"),"",VLOOKUP($B2516,'Email Marketing Raw Data'!$C:$O,9,0)),"")</f>
        <v/>
      </c>
    </row>
    <row r="2517" spans="4:17" ht="12.75" customHeight="1" x14ac:dyDescent="0.2">
      <c r="D2517" s="58" t="str">
        <f>IFERROR(IF(F2517&lt;&gt;"pending","",IF(OR($B2517="",$B2517="(blank)"),"",VLOOKUP($B2517,'Email Marketing Raw Data'!$C:$O,10,0))),"")</f>
        <v/>
      </c>
      <c r="E2517" s="59" t="str">
        <f>IFERROR(IF(F2517&lt;&gt;"pending","",IF(OR($B2517="",$B2517="(blank)"),"",VLOOKUP($B2517,'Email Marketing Raw Data'!$C:$O,11,0))),"")</f>
        <v/>
      </c>
      <c r="F2517" s="54" t="str">
        <f>IFERROR(IF(OR($B2517="",$B2517="(blank)"),"",VLOOKUP($B2517,'Email Marketing Raw Data'!$C:$O,13,0)),"")</f>
        <v/>
      </c>
      <c r="G2517" s="55" t="str">
        <f>IFERROR(IF(OR($B2517="",$B2517="(blank)"),"",VLOOKUP($B2517,'Email Marketing Raw Data'!$C:$O,4,0)),"")</f>
        <v/>
      </c>
      <c r="H2517" s="55" t="str">
        <f>IFERROR(IF(OR($B2517="",$B2517="(blank)"),"",VLOOKUP($B2517,'Email Marketing Raw Data'!$C:$O,5,0)),"")</f>
        <v/>
      </c>
      <c r="I2517" s="55" t="str">
        <f>IFERROR(IF($G2517="","",VLOOKUP('Dashboard And Emails Automate'!$G2517,Database!$H:$N,3,0)),"")</f>
        <v/>
      </c>
      <c r="J2517" s="55" t="str">
        <f>IFERROR(IF($G2517="","",VLOOKUP('Dashboard And Emails Automate'!$G2517,Database!$H:$N,4,0)),"")</f>
        <v/>
      </c>
      <c r="K2517" s="55" t="str">
        <f>IFERROR(IF($G2517="","",VLOOKUP('Dashboard And Emails Automate'!$G2517,Database!$H:$N,5,0)),"")</f>
        <v/>
      </c>
      <c r="L2517" s="55" t="str">
        <f>IFERROR(IF($G2517="","",VLOOKUP('Dashboard And Emails Automate'!$G2517,Database!$H:$N,6,0)),"")</f>
        <v/>
      </c>
      <c r="M2517" s="55" t="str">
        <f>IFERROR(IF($G2517="","",VLOOKUP('Dashboard And Emails Automate'!$G2517,Database!$H:$N,7,0)),"")</f>
        <v/>
      </c>
      <c r="N2517" s="55" t="str">
        <f>IFERROR(IF(OR($B2517="",$B2517="(blank)"),"",VLOOKUP($B2517,'Email Marketing Raw Data'!$C:$O,6,0)),"")</f>
        <v/>
      </c>
      <c r="O2517" s="55" t="str">
        <f>IFERROR(IF(OR($B2517="",$B2517="(blank)"),"",VLOOKUP($B2517,'Email Marketing Raw Data'!$C:$O,7,0)),"")</f>
        <v/>
      </c>
      <c r="P2517" s="55" t="str">
        <f>IFERROR(IF(OR($B2517="",$B2517="(blank)"),"",VLOOKUP($B2517,'Email Marketing Raw Data'!$C:$O,8,0)),"")</f>
        <v/>
      </c>
      <c r="Q2517" s="62" t="str">
        <f>IFERROR(IF(OR($B2517="",$B2517="(blank)"),"",VLOOKUP($B2517,'Email Marketing Raw Data'!$C:$O,9,0)),"")</f>
        <v/>
      </c>
    </row>
    <row r="2518" spans="4:17" ht="12.75" customHeight="1" x14ac:dyDescent="0.2">
      <c r="D2518" s="58" t="str">
        <f>IFERROR(IF(F2518&lt;&gt;"pending","",IF(OR($B2518="",$B2518="(blank)"),"",VLOOKUP($B2518,'Email Marketing Raw Data'!$C:$O,10,0))),"")</f>
        <v/>
      </c>
      <c r="E2518" s="59" t="str">
        <f>IFERROR(IF(F2518&lt;&gt;"pending","",IF(OR($B2518="",$B2518="(blank)"),"",VLOOKUP($B2518,'Email Marketing Raw Data'!$C:$O,11,0))),"")</f>
        <v/>
      </c>
      <c r="F2518" s="54" t="str">
        <f>IFERROR(IF(OR($B2518="",$B2518="(blank)"),"",VLOOKUP($B2518,'Email Marketing Raw Data'!$C:$O,13,0)),"")</f>
        <v/>
      </c>
      <c r="G2518" s="55" t="str">
        <f>IFERROR(IF(OR($B2518="",$B2518="(blank)"),"",VLOOKUP($B2518,'Email Marketing Raw Data'!$C:$O,4,0)),"")</f>
        <v/>
      </c>
      <c r="H2518" s="55" t="str">
        <f>IFERROR(IF(OR($B2518="",$B2518="(blank)"),"",VLOOKUP($B2518,'Email Marketing Raw Data'!$C:$O,5,0)),"")</f>
        <v/>
      </c>
      <c r="I2518" s="55" t="str">
        <f>IFERROR(IF($G2518="","",VLOOKUP('Dashboard And Emails Automate'!$G2518,Database!$H:$N,3,0)),"")</f>
        <v/>
      </c>
      <c r="J2518" s="55" t="str">
        <f>IFERROR(IF($G2518="","",VLOOKUP('Dashboard And Emails Automate'!$G2518,Database!$H:$N,4,0)),"")</f>
        <v/>
      </c>
      <c r="K2518" s="55" t="str">
        <f>IFERROR(IF($G2518="","",VLOOKUP('Dashboard And Emails Automate'!$G2518,Database!$H:$N,5,0)),"")</f>
        <v/>
      </c>
      <c r="L2518" s="55" t="str">
        <f>IFERROR(IF($G2518="","",VLOOKUP('Dashboard And Emails Automate'!$G2518,Database!$H:$N,6,0)),"")</f>
        <v/>
      </c>
      <c r="M2518" s="55" t="str">
        <f>IFERROR(IF($G2518="","",VLOOKUP('Dashboard And Emails Automate'!$G2518,Database!$H:$N,7,0)),"")</f>
        <v/>
      </c>
      <c r="N2518" s="55" t="str">
        <f>IFERROR(IF(OR($B2518="",$B2518="(blank)"),"",VLOOKUP($B2518,'Email Marketing Raw Data'!$C:$O,6,0)),"")</f>
        <v/>
      </c>
      <c r="O2518" s="55" t="str">
        <f>IFERROR(IF(OR($B2518="",$B2518="(blank)"),"",VLOOKUP($B2518,'Email Marketing Raw Data'!$C:$O,7,0)),"")</f>
        <v/>
      </c>
      <c r="P2518" s="55" t="str">
        <f>IFERROR(IF(OR($B2518="",$B2518="(blank)"),"",VLOOKUP($B2518,'Email Marketing Raw Data'!$C:$O,8,0)),"")</f>
        <v/>
      </c>
      <c r="Q2518" s="62" t="str">
        <f>IFERROR(IF(OR($B2518="",$B2518="(blank)"),"",VLOOKUP($B2518,'Email Marketing Raw Data'!$C:$O,9,0)),"")</f>
        <v/>
      </c>
    </row>
    <row r="2519" spans="4:17" ht="12.75" customHeight="1" x14ac:dyDescent="0.2">
      <c r="D2519" s="58" t="str">
        <f>IFERROR(IF(F2519&lt;&gt;"pending","",IF(OR($B2519="",$B2519="(blank)"),"",VLOOKUP($B2519,'Email Marketing Raw Data'!$C:$O,10,0))),"")</f>
        <v/>
      </c>
      <c r="E2519" s="59" t="str">
        <f>IFERROR(IF(F2519&lt;&gt;"pending","",IF(OR($B2519="",$B2519="(blank)"),"",VLOOKUP($B2519,'Email Marketing Raw Data'!$C:$O,11,0))),"")</f>
        <v/>
      </c>
      <c r="F2519" s="54" t="str">
        <f>IFERROR(IF(OR($B2519="",$B2519="(blank)"),"",VLOOKUP($B2519,'Email Marketing Raw Data'!$C:$O,13,0)),"")</f>
        <v/>
      </c>
      <c r="G2519" s="55" t="str">
        <f>IFERROR(IF(OR($B2519="",$B2519="(blank)"),"",VLOOKUP($B2519,'Email Marketing Raw Data'!$C:$O,4,0)),"")</f>
        <v/>
      </c>
      <c r="H2519" s="55" t="str">
        <f>IFERROR(IF(OR($B2519="",$B2519="(blank)"),"",VLOOKUP($B2519,'Email Marketing Raw Data'!$C:$O,5,0)),"")</f>
        <v/>
      </c>
      <c r="I2519" s="55" t="str">
        <f>IFERROR(IF($G2519="","",VLOOKUP('Dashboard And Emails Automate'!$G2519,Database!$H:$N,3,0)),"")</f>
        <v/>
      </c>
      <c r="J2519" s="55" t="str">
        <f>IFERROR(IF($G2519="","",VLOOKUP('Dashboard And Emails Automate'!$G2519,Database!$H:$N,4,0)),"")</f>
        <v/>
      </c>
      <c r="K2519" s="55" t="str">
        <f>IFERROR(IF($G2519="","",VLOOKUP('Dashboard And Emails Automate'!$G2519,Database!$H:$N,5,0)),"")</f>
        <v/>
      </c>
      <c r="L2519" s="55" t="str">
        <f>IFERROR(IF($G2519="","",VLOOKUP('Dashboard And Emails Automate'!$G2519,Database!$H:$N,6,0)),"")</f>
        <v/>
      </c>
      <c r="M2519" s="55" t="str">
        <f>IFERROR(IF($G2519="","",VLOOKUP('Dashboard And Emails Automate'!$G2519,Database!$H:$N,7,0)),"")</f>
        <v/>
      </c>
      <c r="N2519" s="55" t="str">
        <f>IFERROR(IF(OR($B2519="",$B2519="(blank)"),"",VLOOKUP($B2519,'Email Marketing Raw Data'!$C:$O,6,0)),"")</f>
        <v/>
      </c>
      <c r="O2519" s="55" t="str">
        <f>IFERROR(IF(OR($B2519="",$B2519="(blank)"),"",VLOOKUP($B2519,'Email Marketing Raw Data'!$C:$O,7,0)),"")</f>
        <v/>
      </c>
      <c r="P2519" s="55" t="str">
        <f>IFERROR(IF(OR($B2519="",$B2519="(blank)"),"",VLOOKUP($B2519,'Email Marketing Raw Data'!$C:$O,8,0)),"")</f>
        <v/>
      </c>
      <c r="Q2519" s="62" t="str">
        <f>IFERROR(IF(OR($B2519="",$B2519="(blank)"),"",VLOOKUP($B2519,'Email Marketing Raw Data'!$C:$O,9,0)),"")</f>
        <v/>
      </c>
    </row>
    <row r="2520" spans="4:17" ht="12.75" customHeight="1" x14ac:dyDescent="0.2">
      <c r="D2520" s="58" t="str">
        <f>IFERROR(IF(F2520&lt;&gt;"pending","",IF(OR($B2520="",$B2520="(blank)"),"",VLOOKUP($B2520,'Email Marketing Raw Data'!$C:$O,10,0))),"")</f>
        <v/>
      </c>
      <c r="E2520" s="59" t="str">
        <f>IFERROR(IF(F2520&lt;&gt;"pending","",IF(OR($B2520="",$B2520="(blank)"),"",VLOOKUP($B2520,'Email Marketing Raw Data'!$C:$O,11,0))),"")</f>
        <v/>
      </c>
      <c r="F2520" s="54" t="str">
        <f>IFERROR(IF(OR($B2520="",$B2520="(blank)"),"",VLOOKUP($B2520,'Email Marketing Raw Data'!$C:$O,13,0)),"")</f>
        <v/>
      </c>
      <c r="G2520" s="55" t="str">
        <f>IFERROR(IF(OR($B2520="",$B2520="(blank)"),"",VLOOKUP($B2520,'Email Marketing Raw Data'!$C:$O,4,0)),"")</f>
        <v/>
      </c>
      <c r="H2520" s="55" t="str">
        <f>IFERROR(IF(OR($B2520="",$B2520="(blank)"),"",VLOOKUP($B2520,'Email Marketing Raw Data'!$C:$O,5,0)),"")</f>
        <v/>
      </c>
      <c r="I2520" s="55" t="str">
        <f>IFERROR(IF($G2520="","",VLOOKUP('Dashboard And Emails Automate'!$G2520,Database!$H:$N,3,0)),"")</f>
        <v/>
      </c>
      <c r="J2520" s="55" t="str">
        <f>IFERROR(IF($G2520="","",VLOOKUP('Dashboard And Emails Automate'!$G2520,Database!$H:$N,4,0)),"")</f>
        <v/>
      </c>
      <c r="K2520" s="55" t="str">
        <f>IFERROR(IF($G2520="","",VLOOKUP('Dashboard And Emails Automate'!$G2520,Database!$H:$N,5,0)),"")</f>
        <v/>
      </c>
      <c r="L2520" s="55" t="str">
        <f>IFERROR(IF($G2520="","",VLOOKUP('Dashboard And Emails Automate'!$G2520,Database!$H:$N,6,0)),"")</f>
        <v/>
      </c>
      <c r="M2520" s="55" t="str">
        <f>IFERROR(IF($G2520="","",VLOOKUP('Dashboard And Emails Automate'!$G2520,Database!$H:$N,7,0)),"")</f>
        <v/>
      </c>
      <c r="N2520" s="55" t="str">
        <f>IFERROR(IF(OR($B2520="",$B2520="(blank)"),"",VLOOKUP($B2520,'Email Marketing Raw Data'!$C:$O,6,0)),"")</f>
        <v/>
      </c>
      <c r="O2520" s="55" t="str">
        <f>IFERROR(IF(OR($B2520="",$B2520="(blank)"),"",VLOOKUP($B2520,'Email Marketing Raw Data'!$C:$O,7,0)),"")</f>
        <v/>
      </c>
      <c r="P2520" s="55" t="str">
        <f>IFERROR(IF(OR($B2520="",$B2520="(blank)"),"",VLOOKUP($B2520,'Email Marketing Raw Data'!$C:$O,8,0)),"")</f>
        <v/>
      </c>
      <c r="Q2520" s="62" t="str">
        <f>IFERROR(IF(OR($B2520="",$B2520="(blank)"),"",VLOOKUP($B2520,'Email Marketing Raw Data'!$C:$O,9,0)),"")</f>
        <v/>
      </c>
    </row>
    <row r="2521" spans="4:17" ht="12.75" customHeight="1" x14ac:dyDescent="0.2">
      <c r="D2521" s="58" t="str">
        <f>IFERROR(IF(F2521&lt;&gt;"pending","",IF(OR($B2521="",$B2521="(blank)"),"",VLOOKUP($B2521,'Email Marketing Raw Data'!$C:$O,10,0))),"")</f>
        <v/>
      </c>
      <c r="E2521" s="59" t="str">
        <f>IFERROR(IF(F2521&lt;&gt;"pending","",IF(OR($B2521="",$B2521="(blank)"),"",VLOOKUP($B2521,'Email Marketing Raw Data'!$C:$O,11,0))),"")</f>
        <v/>
      </c>
      <c r="F2521" s="54" t="str">
        <f>IFERROR(IF(OR($B2521="",$B2521="(blank)"),"",VLOOKUP($B2521,'Email Marketing Raw Data'!$C:$O,13,0)),"")</f>
        <v/>
      </c>
      <c r="G2521" s="55" t="str">
        <f>IFERROR(IF(OR($B2521="",$B2521="(blank)"),"",VLOOKUP($B2521,'Email Marketing Raw Data'!$C:$O,4,0)),"")</f>
        <v/>
      </c>
      <c r="H2521" s="55" t="str">
        <f>IFERROR(IF(OR($B2521="",$B2521="(blank)"),"",VLOOKUP($B2521,'Email Marketing Raw Data'!$C:$O,5,0)),"")</f>
        <v/>
      </c>
      <c r="I2521" s="55" t="str">
        <f>IFERROR(IF($G2521="","",VLOOKUP('Dashboard And Emails Automate'!$G2521,Database!$H:$N,3,0)),"")</f>
        <v/>
      </c>
      <c r="J2521" s="55" t="str">
        <f>IFERROR(IF($G2521="","",VLOOKUP('Dashboard And Emails Automate'!$G2521,Database!$H:$N,4,0)),"")</f>
        <v/>
      </c>
      <c r="K2521" s="55" t="str">
        <f>IFERROR(IF($G2521="","",VLOOKUP('Dashboard And Emails Automate'!$G2521,Database!$H:$N,5,0)),"")</f>
        <v/>
      </c>
      <c r="L2521" s="55" t="str">
        <f>IFERROR(IF($G2521="","",VLOOKUP('Dashboard And Emails Automate'!$G2521,Database!$H:$N,6,0)),"")</f>
        <v/>
      </c>
      <c r="M2521" s="55" t="str">
        <f>IFERROR(IF($G2521="","",VLOOKUP('Dashboard And Emails Automate'!$G2521,Database!$H:$N,7,0)),"")</f>
        <v/>
      </c>
      <c r="N2521" s="55" t="str">
        <f>IFERROR(IF(OR($B2521="",$B2521="(blank)"),"",VLOOKUP($B2521,'Email Marketing Raw Data'!$C:$O,6,0)),"")</f>
        <v/>
      </c>
      <c r="O2521" s="55" t="str">
        <f>IFERROR(IF(OR($B2521="",$B2521="(blank)"),"",VLOOKUP($B2521,'Email Marketing Raw Data'!$C:$O,7,0)),"")</f>
        <v/>
      </c>
      <c r="P2521" s="55" t="str">
        <f>IFERROR(IF(OR($B2521="",$B2521="(blank)"),"",VLOOKUP($B2521,'Email Marketing Raw Data'!$C:$O,8,0)),"")</f>
        <v/>
      </c>
      <c r="Q2521" s="62" t="str">
        <f>IFERROR(IF(OR($B2521="",$B2521="(blank)"),"",VLOOKUP($B2521,'Email Marketing Raw Data'!$C:$O,9,0)),"")</f>
        <v/>
      </c>
    </row>
    <row r="2522" spans="4:17" ht="12.75" customHeight="1" x14ac:dyDescent="0.2">
      <c r="D2522" s="58" t="str">
        <f>IFERROR(IF(F2522&lt;&gt;"pending","",IF(OR($B2522="",$B2522="(blank)"),"",VLOOKUP($B2522,'Email Marketing Raw Data'!$C:$O,10,0))),"")</f>
        <v/>
      </c>
      <c r="E2522" s="59" t="str">
        <f>IFERROR(IF(F2522&lt;&gt;"pending","",IF(OR($B2522="",$B2522="(blank)"),"",VLOOKUP($B2522,'Email Marketing Raw Data'!$C:$O,11,0))),"")</f>
        <v/>
      </c>
      <c r="F2522" s="54" t="str">
        <f>IFERROR(IF(OR($B2522="",$B2522="(blank)"),"",VLOOKUP($B2522,'Email Marketing Raw Data'!$C:$O,13,0)),"")</f>
        <v/>
      </c>
      <c r="G2522" s="55" t="str">
        <f>IFERROR(IF(OR($B2522="",$B2522="(blank)"),"",VLOOKUP($B2522,'Email Marketing Raw Data'!$C:$O,4,0)),"")</f>
        <v/>
      </c>
      <c r="H2522" s="55" t="str">
        <f>IFERROR(IF(OR($B2522="",$B2522="(blank)"),"",VLOOKUP($B2522,'Email Marketing Raw Data'!$C:$O,5,0)),"")</f>
        <v/>
      </c>
      <c r="I2522" s="55" t="str">
        <f>IFERROR(IF($G2522="","",VLOOKUP('Dashboard And Emails Automate'!$G2522,Database!$H:$N,3,0)),"")</f>
        <v/>
      </c>
      <c r="J2522" s="55" t="str">
        <f>IFERROR(IF($G2522="","",VLOOKUP('Dashboard And Emails Automate'!$G2522,Database!$H:$N,4,0)),"")</f>
        <v/>
      </c>
      <c r="K2522" s="55" t="str">
        <f>IFERROR(IF($G2522="","",VLOOKUP('Dashboard And Emails Automate'!$G2522,Database!$H:$N,5,0)),"")</f>
        <v/>
      </c>
      <c r="L2522" s="55" t="str">
        <f>IFERROR(IF($G2522="","",VLOOKUP('Dashboard And Emails Automate'!$G2522,Database!$H:$N,6,0)),"")</f>
        <v/>
      </c>
      <c r="M2522" s="55" t="str">
        <f>IFERROR(IF($G2522="","",VLOOKUP('Dashboard And Emails Automate'!$G2522,Database!$H:$N,7,0)),"")</f>
        <v/>
      </c>
      <c r="N2522" s="55" t="str">
        <f>IFERROR(IF(OR($B2522="",$B2522="(blank)"),"",VLOOKUP($B2522,'Email Marketing Raw Data'!$C:$O,6,0)),"")</f>
        <v/>
      </c>
      <c r="O2522" s="55" t="str">
        <f>IFERROR(IF(OR($B2522="",$B2522="(blank)"),"",VLOOKUP($B2522,'Email Marketing Raw Data'!$C:$O,7,0)),"")</f>
        <v/>
      </c>
      <c r="P2522" s="55" t="str">
        <f>IFERROR(IF(OR($B2522="",$B2522="(blank)"),"",VLOOKUP($B2522,'Email Marketing Raw Data'!$C:$O,8,0)),"")</f>
        <v/>
      </c>
      <c r="Q2522" s="62" t="str">
        <f>IFERROR(IF(OR($B2522="",$B2522="(blank)"),"",VLOOKUP($B2522,'Email Marketing Raw Data'!$C:$O,9,0)),"")</f>
        <v/>
      </c>
    </row>
    <row r="2523" spans="4:17" ht="12.75" customHeight="1" x14ac:dyDescent="0.2">
      <c r="D2523" s="58" t="str">
        <f>IFERROR(IF(F2523&lt;&gt;"pending","",IF(OR($B2523="",$B2523="(blank)"),"",VLOOKUP($B2523,'Email Marketing Raw Data'!$C:$O,10,0))),"")</f>
        <v/>
      </c>
      <c r="E2523" s="59" t="str">
        <f>IFERROR(IF(F2523&lt;&gt;"pending","",IF(OR($B2523="",$B2523="(blank)"),"",VLOOKUP($B2523,'Email Marketing Raw Data'!$C:$O,11,0))),"")</f>
        <v/>
      </c>
      <c r="F2523" s="54" t="str">
        <f>IFERROR(IF(OR($B2523="",$B2523="(blank)"),"",VLOOKUP($B2523,'Email Marketing Raw Data'!$C:$O,13,0)),"")</f>
        <v/>
      </c>
      <c r="G2523" s="55" t="str">
        <f>IFERROR(IF(OR($B2523="",$B2523="(blank)"),"",VLOOKUP($B2523,'Email Marketing Raw Data'!$C:$O,4,0)),"")</f>
        <v/>
      </c>
      <c r="H2523" s="55" t="str">
        <f>IFERROR(IF(OR($B2523="",$B2523="(blank)"),"",VLOOKUP($B2523,'Email Marketing Raw Data'!$C:$O,5,0)),"")</f>
        <v/>
      </c>
      <c r="I2523" s="55" t="str">
        <f>IFERROR(IF($G2523="","",VLOOKUP('Dashboard And Emails Automate'!$G2523,Database!$H:$N,3,0)),"")</f>
        <v/>
      </c>
      <c r="J2523" s="55" t="str">
        <f>IFERROR(IF($G2523="","",VLOOKUP('Dashboard And Emails Automate'!$G2523,Database!$H:$N,4,0)),"")</f>
        <v/>
      </c>
      <c r="K2523" s="55" t="str">
        <f>IFERROR(IF($G2523="","",VLOOKUP('Dashboard And Emails Automate'!$G2523,Database!$H:$N,5,0)),"")</f>
        <v/>
      </c>
      <c r="L2523" s="55" t="str">
        <f>IFERROR(IF($G2523="","",VLOOKUP('Dashboard And Emails Automate'!$G2523,Database!$H:$N,6,0)),"")</f>
        <v/>
      </c>
      <c r="M2523" s="55" t="str">
        <f>IFERROR(IF($G2523="","",VLOOKUP('Dashboard And Emails Automate'!$G2523,Database!$H:$N,7,0)),"")</f>
        <v/>
      </c>
      <c r="N2523" s="55" t="str">
        <f>IFERROR(IF(OR($B2523="",$B2523="(blank)"),"",VLOOKUP($B2523,'Email Marketing Raw Data'!$C:$O,6,0)),"")</f>
        <v/>
      </c>
      <c r="O2523" s="55" t="str">
        <f>IFERROR(IF(OR($B2523="",$B2523="(blank)"),"",VLOOKUP($B2523,'Email Marketing Raw Data'!$C:$O,7,0)),"")</f>
        <v/>
      </c>
      <c r="P2523" s="55" t="str">
        <f>IFERROR(IF(OR($B2523="",$B2523="(blank)"),"",VLOOKUP($B2523,'Email Marketing Raw Data'!$C:$O,8,0)),"")</f>
        <v/>
      </c>
      <c r="Q2523" s="62" t="str">
        <f>IFERROR(IF(OR($B2523="",$B2523="(blank)"),"",VLOOKUP($B2523,'Email Marketing Raw Data'!$C:$O,9,0)),"")</f>
        <v/>
      </c>
    </row>
    <row r="2524" spans="4:17" ht="12.75" customHeight="1" x14ac:dyDescent="0.2">
      <c r="D2524" s="58" t="str">
        <f>IFERROR(IF(F2524&lt;&gt;"pending","",IF(OR($B2524="",$B2524="(blank)"),"",VLOOKUP($B2524,'Email Marketing Raw Data'!$C:$O,10,0))),"")</f>
        <v/>
      </c>
      <c r="E2524" s="59" t="str">
        <f>IFERROR(IF(F2524&lt;&gt;"pending","",IF(OR($B2524="",$B2524="(blank)"),"",VLOOKUP($B2524,'Email Marketing Raw Data'!$C:$O,11,0))),"")</f>
        <v/>
      </c>
      <c r="F2524" s="54" t="str">
        <f>IFERROR(IF(OR($B2524="",$B2524="(blank)"),"",VLOOKUP($B2524,'Email Marketing Raw Data'!$C:$O,13,0)),"")</f>
        <v/>
      </c>
      <c r="G2524" s="55" t="str">
        <f>IFERROR(IF(OR($B2524="",$B2524="(blank)"),"",VLOOKUP($B2524,'Email Marketing Raw Data'!$C:$O,4,0)),"")</f>
        <v/>
      </c>
      <c r="H2524" s="55" t="str">
        <f>IFERROR(IF(OR($B2524="",$B2524="(blank)"),"",VLOOKUP($B2524,'Email Marketing Raw Data'!$C:$O,5,0)),"")</f>
        <v/>
      </c>
      <c r="I2524" s="55" t="str">
        <f>IFERROR(IF($G2524="","",VLOOKUP('Dashboard And Emails Automate'!$G2524,Database!$H:$N,3,0)),"")</f>
        <v/>
      </c>
      <c r="J2524" s="55" t="str">
        <f>IFERROR(IF($G2524="","",VLOOKUP('Dashboard And Emails Automate'!$G2524,Database!$H:$N,4,0)),"")</f>
        <v/>
      </c>
      <c r="K2524" s="55" t="str">
        <f>IFERROR(IF($G2524="","",VLOOKUP('Dashboard And Emails Automate'!$G2524,Database!$H:$N,5,0)),"")</f>
        <v/>
      </c>
      <c r="L2524" s="55" t="str">
        <f>IFERROR(IF($G2524="","",VLOOKUP('Dashboard And Emails Automate'!$G2524,Database!$H:$N,6,0)),"")</f>
        <v/>
      </c>
      <c r="M2524" s="55" t="str">
        <f>IFERROR(IF($G2524="","",VLOOKUP('Dashboard And Emails Automate'!$G2524,Database!$H:$N,7,0)),"")</f>
        <v/>
      </c>
      <c r="N2524" s="55" t="str">
        <f>IFERROR(IF(OR($B2524="",$B2524="(blank)"),"",VLOOKUP($B2524,'Email Marketing Raw Data'!$C:$O,6,0)),"")</f>
        <v/>
      </c>
      <c r="O2524" s="55" t="str">
        <f>IFERROR(IF(OR($B2524="",$B2524="(blank)"),"",VLOOKUP($B2524,'Email Marketing Raw Data'!$C:$O,7,0)),"")</f>
        <v/>
      </c>
      <c r="P2524" s="55" t="str">
        <f>IFERROR(IF(OR($B2524="",$B2524="(blank)"),"",VLOOKUP($B2524,'Email Marketing Raw Data'!$C:$O,8,0)),"")</f>
        <v/>
      </c>
      <c r="Q2524" s="62" t="str">
        <f>IFERROR(IF(OR($B2524="",$B2524="(blank)"),"",VLOOKUP($B2524,'Email Marketing Raw Data'!$C:$O,9,0)),"")</f>
        <v/>
      </c>
    </row>
    <row r="2525" spans="4:17" ht="12.75" customHeight="1" x14ac:dyDescent="0.2">
      <c r="D2525" s="58" t="str">
        <f>IFERROR(IF(F2525&lt;&gt;"pending","",IF(OR($B2525="",$B2525="(blank)"),"",VLOOKUP($B2525,'Email Marketing Raw Data'!$C:$O,10,0))),"")</f>
        <v/>
      </c>
      <c r="E2525" s="59" t="str">
        <f>IFERROR(IF(F2525&lt;&gt;"pending","",IF(OR($B2525="",$B2525="(blank)"),"",VLOOKUP($B2525,'Email Marketing Raw Data'!$C:$O,11,0))),"")</f>
        <v/>
      </c>
      <c r="F2525" s="54" t="str">
        <f>IFERROR(IF(OR($B2525="",$B2525="(blank)"),"",VLOOKUP($B2525,'Email Marketing Raw Data'!$C:$O,13,0)),"")</f>
        <v/>
      </c>
      <c r="G2525" s="55" t="str">
        <f>IFERROR(IF(OR($B2525="",$B2525="(blank)"),"",VLOOKUP($B2525,'Email Marketing Raw Data'!$C:$O,4,0)),"")</f>
        <v/>
      </c>
      <c r="H2525" s="55" t="str">
        <f>IFERROR(IF(OR($B2525="",$B2525="(blank)"),"",VLOOKUP($B2525,'Email Marketing Raw Data'!$C:$O,5,0)),"")</f>
        <v/>
      </c>
      <c r="I2525" s="55" t="str">
        <f>IFERROR(IF($G2525="","",VLOOKUP('Dashboard And Emails Automate'!$G2525,Database!$H:$N,3,0)),"")</f>
        <v/>
      </c>
      <c r="J2525" s="55" t="str">
        <f>IFERROR(IF($G2525="","",VLOOKUP('Dashboard And Emails Automate'!$G2525,Database!$H:$N,4,0)),"")</f>
        <v/>
      </c>
      <c r="K2525" s="55" t="str">
        <f>IFERROR(IF($G2525="","",VLOOKUP('Dashboard And Emails Automate'!$G2525,Database!$H:$N,5,0)),"")</f>
        <v/>
      </c>
      <c r="L2525" s="55" t="str">
        <f>IFERROR(IF($G2525="","",VLOOKUP('Dashboard And Emails Automate'!$G2525,Database!$H:$N,6,0)),"")</f>
        <v/>
      </c>
      <c r="M2525" s="55" t="str">
        <f>IFERROR(IF($G2525="","",VLOOKUP('Dashboard And Emails Automate'!$G2525,Database!$H:$N,7,0)),"")</f>
        <v/>
      </c>
      <c r="N2525" s="55" t="str">
        <f>IFERROR(IF(OR($B2525="",$B2525="(blank)"),"",VLOOKUP($B2525,'Email Marketing Raw Data'!$C:$O,6,0)),"")</f>
        <v/>
      </c>
      <c r="O2525" s="55" t="str">
        <f>IFERROR(IF(OR($B2525="",$B2525="(blank)"),"",VLOOKUP($B2525,'Email Marketing Raw Data'!$C:$O,7,0)),"")</f>
        <v/>
      </c>
      <c r="P2525" s="55" t="str">
        <f>IFERROR(IF(OR($B2525="",$B2525="(blank)"),"",VLOOKUP($B2525,'Email Marketing Raw Data'!$C:$O,8,0)),"")</f>
        <v/>
      </c>
      <c r="Q2525" s="62" t="str">
        <f>IFERROR(IF(OR($B2525="",$B2525="(blank)"),"",VLOOKUP($B2525,'Email Marketing Raw Data'!$C:$O,9,0)),"")</f>
        <v/>
      </c>
    </row>
    <row r="2526" spans="4:17" ht="12.75" customHeight="1" x14ac:dyDescent="0.2">
      <c r="D2526" s="58" t="str">
        <f>IFERROR(IF(F2526&lt;&gt;"pending","",IF(OR($B2526="",$B2526="(blank)"),"",VLOOKUP($B2526,'Email Marketing Raw Data'!$C:$O,10,0))),"")</f>
        <v/>
      </c>
      <c r="E2526" s="59" t="str">
        <f>IFERROR(IF(F2526&lt;&gt;"pending","",IF(OR($B2526="",$B2526="(blank)"),"",VLOOKUP($B2526,'Email Marketing Raw Data'!$C:$O,11,0))),"")</f>
        <v/>
      </c>
      <c r="F2526" s="54" t="str">
        <f>IFERROR(IF(OR($B2526="",$B2526="(blank)"),"",VLOOKUP($B2526,'Email Marketing Raw Data'!$C:$O,13,0)),"")</f>
        <v/>
      </c>
      <c r="G2526" s="55" t="str">
        <f>IFERROR(IF(OR($B2526="",$B2526="(blank)"),"",VLOOKUP($B2526,'Email Marketing Raw Data'!$C:$O,4,0)),"")</f>
        <v/>
      </c>
      <c r="H2526" s="55" t="str">
        <f>IFERROR(IF(OR($B2526="",$B2526="(blank)"),"",VLOOKUP($B2526,'Email Marketing Raw Data'!$C:$O,5,0)),"")</f>
        <v/>
      </c>
      <c r="I2526" s="55" t="str">
        <f>IFERROR(IF($G2526="","",VLOOKUP('Dashboard And Emails Automate'!$G2526,Database!$H:$N,3,0)),"")</f>
        <v/>
      </c>
      <c r="J2526" s="55" t="str">
        <f>IFERROR(IF($G2526="","",VLOOKUP('Dashboard And Emails Automate'!$G2526,Database!$H:$N,4,0)),"")</f>
        <v/>
      </c>
      <c r="K2526" s="55" t="str">
        <f>IFERROR(IF($G2526="","",VLOOKUP('Dashboard And Emails Automate'!$G2526,Database!$H:$N,5,0)),"")</f>
        <v/>
      </c>
      <c r="L2526" s="55" t="str">
        <f>IFERROR(IF($G2526="","",VLOOKUP('Dashboard And Emails Automate'!$G2526,Database!$H:$N,6,0)),"")</f>
        <v/>
      </c>
      <c r="M2526" s="55" t="str">
        <f>IFERROR(IF($G2526="","",VLOOKUP('Dashboard And Emails Automate'!$G2526,Database!$H:$N,7,0)),"")</f>
        <v/>
      </c>
      <c r="N2526" s="55" t="str">
        <f>IFERROR(IF(OR($B2526="",$B2526="(blank)"),"",VLOOKUP($B2526,'Email Marketing Raw Data'!$C:$O,6,0)),"")</f>
        <v/>
      </c>
      <c r="O2526" s="55" t="str">
        <f>IFERROR(IF(OR($B2526="",$B2526="(blank)"),"",VLOOKUP($B2526,'Email Marketing Raw Data'!$C:$O,7,0)),"")</f>
        <v/>
      </c>
      <c r="P2526" s="55" t="str">
        <f>IFERROR(IF(OR($B2526="",$B2526="(blank)"),"",VLOOKUP($B2526,'Email Marketing Raw Data'!$C:$O,8,0)),"")</f>
        <v/>
      </c>
      <c r="Q2526" s="62" t="str">
        <f>IFERROR(IF(OR($B2526="",$B2526="(blank)"),"",VLOOKUP($B2526,'Email Marketing Raw Data'!$C:$O,9,0)),"")</f>
        <v/>
      </c>
    </row>
    <row r="2527" spans="4:17" ht="12.75" customHeight="1" x14ac:dyDescent="0.2">
      <c r="D2527" s="58" t="str">
        <f>IFERROR(IF(F2527&lt;&gt;"pending","",IF(OR($B2527="",$B2527="(blank)"),"",VLOOKUP($B2527,'Email Marketing Raw Data'!$C:$O,10,0))),"")</f>
        <v/>
      </c>
      <c r="E2527" s="59" t="str">
        <f>IFERROR(IF(F2527&lt;&gt;"pending","",IF(OR($B2527="",$B2527="(blank)"),"",VLOOKUP($B2527,'Email Marketing Raw Data'!$C:$O,11,0))),"")</f>
        <v/>
      </c>
      <c r="F2527" s="54" t="str">
        <f>IFERROR(IF(OR($B2527="",$B2527="(blank)"),"",VLOOKUP($B2527,'Email Marketing Raw Data'!$C:$O,13,0)),"")</f>
        <v/>
      </c>
      <c r="G2527" s="55" t="str">
        <f>IFERROR(IF(OR($B2527="",$B2527="(blank)"),"",VLOOKUP($B2527,'Email Marketing Raw Data'!$C:$O,4,0)),"")</f>
        <v/>
      </c>
      <c r="H2527" s="55" t="str">
        <f>IFERROR(IF(OR($B2527="",$B2527="(blank)"),"",VLOOKUP($B2527,'Email Marketing Raw Data'!$C:$O,5,0)),"")</f>
        <v/>
      </c>
      <c r="I2527" s="55" t="str">
        <f>IFERROR(IF($G2527="","",VLOOKUP('Dashboard And Emails Automate'!$G2527,Database!$H:$N,3,0)),"")</f>
        <v/>
      </c>
      <c r="J2527" s="55" t="str">
        <f>IFERROR(IF($G2527="","",VLOOKUP('Dashboard And Emails Automate'!$G2527,Database!$H:$N,4,0)),"")</f>
        <v/>
      </c>
      <c r="K2527" s="55" t="str">
        <f>IFERROR(IF($G2527="","",VLOOKUP('Dashboard And Emails Automate'!$G2527,Database!$H:$N,5,0)),"")</f>
        <v/>
      </c>
      <c r="L2527" s="55" t="str">
        <f>IFERROR(IF($G2527="","",VLOOKUP('Dashboard And Emails Automate'!$G2527,Database!$H:$N,6,0)),"")</f>
        <v/>
      </c>
      <c r="M2527" s="55" t="str">
        <f>IFERROR(IF($G2527="","",VLOOKUP('Dashboard And Emails Automate'!$G2527,Database!$H:$N,7,0)),"")</f>
        <v/>
      </c>
      <c r="N2527" s="55" t="str">
        <f>IFERROR(IF(OR($B2527="",$B2527="(blank)"),"",VLOOKUP($B2527,'Email Marketing Raw Data'!$C:$O,6,0)),"")</f>
        <v/>
      </c>
      <c r="O2527" s="55" t="str">
        <f>IFERROR(IF(OR($B2527="",$B2527="(blank)"),"",VLOOKUP($B2527,'Email Marketing Raw Data'!$C:$O,7,0)),"")</f>
        <v/>
      </c>
      <c r="P2527" s="55" t="str">
        <f>IFERROR(IF(OR($B2527="",$B2527="(blank)"),"",VLOOKUP($B2527,'Email Marketing Raw Data'!$C:$O,8,0)),"")</f>
        <v/>
      </c>
      <c r="Q2527" s="62" t="str">
        <f>IFERROR(IF(OR($B2527="",$B2527="(blank)"),"",VLOOKUP($B2527,'Email Marketing Raw Data'!$C:$O,9,0)),"")</f>
        <v/>
      </c>
    </row>
    <row r="2528" spans="4:17" ht="12.75" customHeight="1" x14ac:dyDescent="0.2">
      <c r="D2528" s="58" t="str">
        <f>IFERROR(IF(F2528&lt;&gt;"pending","",IF(OR($B2528="",$B2528="(blank)"),"",VLOOKUP($B2528,'Email Marketing Raw Data'!$C:$O,10,0))),"")</f>
        <v/>
      </c>
      <c r="E2528" s="59" t="str">
        <f>IFERROR(IF(F2528&lt;&gt;"pending","",IF(OR($B2528="",$B2528="(blank)"),"",VLOOKUP($B2528,'Email Marketing Raw Data'!$C:$O,11,0))),"")</f>
        <v/>
      </c>
      <c r="F2528" s="54" t="str">
        <f>IFERROR(IF(OR($B2528="",$B2528="(blank)"),"",VLOOKUP($B2528,'Email Marketing Raw Data'!$C:$O,13,0)),"")</f>
        <v/>
      </c>
      <c r="G2528" s="55" t="str">
        <f>IFERROR(IF(OR($B2528="",$B2528="(blank)"),"",VLOOKUP($B2528,'Email Marketing Raw Data'!$C:$O,4,0)),"")</f>
        <v/>
      </c>
      <c r="H2528" s="55" t="str">
        <f>IFERROR(IF(OR($B2528="",$B2528="(blank)"),"",VLOOKUP($B2528,'Email Marketing Raw Data'!$C:$O,5,0)),"")</f>
        <v/>
      </c>
      <c r="I2528" s="55" t="str">
        <f>IFERROR(IF($G2528="","",VLOOKUP('Dashboard And Emails Automate'!$G2528,Database!$H:$N,3,0)),"")</f>
        <v/>
      </c>
      <c r="J2528" s="55" t="str">
        <f>IFERROR(IF($G2528="","",VLOOKUP('Dashboard And Emails Automate'!$G2528,Database!$H:$N,4,0)),"")</f>
        <v/>
      </c>
      <c r="K2528" s="55" t="str">
        <f>IFERROR(IF($G2528="","",VLOOKUP('Dashboard And Emails Automate'!$G2528,Database!$H:$N,5,0)),"")</f>
        <v/>
      </c>
      <c r="L2528" s="55" t="str">
        <f>IFERROR(IF($G2528="","",VLOOKUP('Dashboard And Emails Automate'!$G2528,Database!$H:$N,6,0)),"")</f>
        <v/>
      </c>
      <c r="M2528" s="55" t="str">
        <f>IFERROR(IF($G2528="","",VLOOKUP('Dashboard And Emails Automate'!$G2528,Database!$H:$N,7,0)),"")</f>
        <v/>
      </c>
      <c r="N2528" s="55" t="str">
        <f>IFERROR(IF(OR($B2528="",$B2528="(blank)"),"",VLOOKUP($B2528,'Email Marketing Raw Data'!$C:$O,6,0)),"")</f>
        <v/>
      </c>
      <c r="O2528" s="55" t="str">
        <f>IFERROR(IF(OR($B2528="",$B2528="(blank)"),"",VLOOKUP($B2528,'Email Marketing Raw Data'!$C:$O,7,0)),"")</f>
        <v/>
      </c>
      <c r="P2528" s="55" t="str">
        <f>IFERROR(IF(OR($B2528="",$B2528="(blank)"),"",VLOOKUP($B2528,'Email Marketing Raw Data'!$C:$O,8,0)),"")</f>
        <v/>
      </c>
      <c r="Q2528" s="62" t="str">
        <f>IFERROR(IF(OR($B2528="",$B2528="(blank)"),"",VLOOKUP($B2528,'Email Marketing Raw Data'!$C:$O,9,0)),"")</f>
        <v/>
      </c>
    </row>
    <row r="2529" spans="4:17" ht="12.75" customHeight="1" x14ac:dyDescent="0.2">
      <c r="D2529" s="58" t="str">
        <f>IFERROR(IF(F2529&lt;&gt;"pending","",IF(OR($B2529="",$B2529="(blank)"),"",VLOOKUP($B2529,'Email Marketing Raw Data'!$C:$O,10,0))),"")</f>
        <v/>
      </c>
      <c r="E2529" s="59" t="str">
        <f>IFERROR(IF(F2529&lt;&gt;"pending","",IF(OR($B2529="",$B2529="(blank)"),"",VLOOKUP($B2529,'Email Marketing Raw Data'!$C:$O,11,0))),"")</f>
        <v/>
      </c>
      <c r="F2529" s="54" t="str">
        <f>IFERROR(IF(OR($B2529="",$B2529="(blank)"),"",VLOOKUP($B2529,'Email Marketing Raw Data'!$C:$O,13,0)),"")</f>
        <v/>
      </c>
      <c r="G2529" s="55" t="str">
        <f>IFERROR(IF(OR($B2529="",$B2529="(blank)"),"",VLOOKUP($B2529,'Email Marketing Raw Data'!$C:$O,4,0)),"")</f>
        <v/>
      </c>
      <c r="H2529" s="55" t="str">
        <f>IFERROR(IF(OR($B2529="",$B2529="(blank)"),"",VLOOKUP($B2529,'Email Marketing Raw Data'!$C:$O,5,0)),"")</f>
        <v/>
      </c>
      <c r="I2529" s="55" t="str">
        <f>IFERROR(IF($G2529="","",VLOOKUP('Dashboard And Emails Automate'!$G2529,Database!$H:$N,3,0)),"")</f>
        <v/>
      </c>
      <c r="J2529" s="55" t="str">
        <f>IFERROR(IF($G2529="","",VLOOKUP('Dashboard And Emails Automate'!$G2529,Database!$H:$N,4,0)),"")</f>
        <v/>
      </c>
      <c r="K2529" s="55" t="str">
        <f>IFERROR(IF($G2529="","",VLOOKUP('Dashboard And Emails Automate'!$G2529,Database!$H:$N,5,0)),"")</f>
        <v/>
      </c>
      <c r="L2529" s="55" t="str">
        <f>IFERROR(IF($G2529="","",VLOOKUP('Dashboard And Emails Automate'!$G2529,Database!$H:$N,6,0)),"")</f>
        <v/>
      </c>
      <c r="M2529" s="55" t="str">
        <f>IFERROR(IF($G2529="","",VLOOKUP('Dashboard And Emails Automate'!$G2529,Database!$H:$N,7,0)),"")</f>
        <v/>
      </c>
      <c r="N2529" s="55" t="str">
        <f>IFERROR(IF(OR($B2529="",$B2529="(blank)"),"",VLOOKUP($B2529,'Email Marketing Raw Data'!$C:$O,6,0)),"")</f>
        <v/>
      </c>
      <c r="O2529" s="55" t="str">
        <f>IFERROR(IF(OR($B2529="",$B2529="(blank)"),"",VLOOKUP($B2529,'Email Marketing Raw Data'!$C:$O,7,0)),"")</f>
        <v/>
      </c>
      <c r="P2529" s="55" t="str">
        <f>IFERROR(IF(OR($B2529="",$B2529="(blank)"),"",VLOOKUP($B2529,'Email Marketing Raw Data'!$C:$O,8,0)),"")</f>
        <v/>
      </c>
      <c r="Q2529" s="62" t="str">
        <f>IFERROR(IF(OR($B2529="",$B2529="(blank)"),"",VLOOKUP($B2529,'Email Marketing Raw Data'!$C:$O,9,0)),"")</f>
        <v/>
      </c>
    </row>
    <row r="2530" spans="4:17" ht="12.75" customHeight="1" x14ac:dyDescent="0.2">
      <c r="D2530" s="58" t="str">
        <f>IFERROR(IF(F2530&lt;&gt;"pending","",IF(OR($B2530="",$B2530="(blank)"),"",VLOOKUP($B2530,'Email Marketing Raw Data'!$C:$O,10,0))),"")</f>
        <v/>
      </c>
      <c r="E2530" s="59" t="str">
        <f>IFERROR(IF(F2530&lt;&gt;"pending","",IF(OR($B2530="",$B2530="(blank)"),"",VLOOKUP($B2530,'Email Marketing Raw Data'!$C:$O,11,0))),"")</f>
        <v/>
      </c>
      <c r="F2530" s="54" t="str">
        <f>IFERROR(IF(OR($B2530="",$B2530="(blank)"),"",VLOOKUP($B2530,'Email Marketing Raw Data'!$C:$O,13,0)),"")</f>
        <v/>
      </c>
      <c r="G2530" s="55" t="str">
        <f>IFERROR(IF(OR($B2530="",$B2530="(blank)"),"",VLOOKUP($B2530,'Email Marketing Raw Data'!$C:$O,4,0)),"")</f>
        <v/>
      </c>
      <c r="H2530" s="55" t="str">
        <f>IFERROR(IF(OR($B2530="",$B2530="(blank)"),"",VLOOKUP($B2530,'Email Marketing Raw Data'!$C:$O,5,0)),"")</f>
        <v/>
      </c>
      <c r="I2530" s="55" t="str">
        <f>IFERROR(IF($G2530="","",VLOOKUP('Dashboard And Emails Automate'!$G2530,Database!$H:$N,3,0)),"")</f>
        <v/>
      </c>
      <c r="J2530" s="55" t="str">
        <f>IFERROR(IF($G2530="","",VLOOKUP('Dashboard And Emails Automate'!$G2530,Database!$H:$N,4,0)),"")</f>
        <v/>
      </c>
      <c r="K2530" s="55" t="str">
        <f>IFERROR(IF($G2530="","",VLOOKUP('Dashboard And Emails Automate'!$G2530,Database!$H:$N,5,0)),"")</f>
        <v/>
      </c>
      <c r="L2530" s="55" t="str">
        <f>IFERROR(IF($G2530="","",VLOOKUP('Dashboard And Emails Automate'!$G2530,Database!$H:$N,6,0)),"")</f>
        <v/>
      </c>
      <c r="M2530" s="55" t="str">
        <f>IFERROR(IF($G2530="","",VLOOKUP('Dashboard And Emails Automate'!$G2530,Database!$H:$N,7,0)),"")</f>
        <v/>
      </c>
      <c r="N2530" s="55" t="str">
        <f>IFERROR(IF(OR($B2530="",$B2530="(blank)"),"",VLOOKUP($B2530,'Email Marketing Raw Data'!$C:$O,6,0)),"")</f>
        <v/>
      </c>
      <c r="O2530" s="55" t="str">
        <f>IFERROR(IF(OR($B2530="",$B2530="(blank)"),"",VLOOKUP($B2530,'Email Marketing Raw Data'!$C:$O,7,0)),"")</f>
        <v/>
      </c>
      <c r="P2530" s="55" t="str">
        <f>IFERROR(IF(OR($B2530="",$B2530="(blank)"),"",VLOOKUP($B2530,'Email Marketing Raw Data'!$C:$O,8,0)),"")</f>
        <v/>
      </c>
      <c r="Q2530" s="62" t="str">
        <f>IFERROR(IF(OR($B2530="",$B2530="(blank)"),"",VLOOKUP($B2530,'Email Marketing Raw Data'!$C:$O,9,0)),"")</f>
        <v/>
      </c>
    </row>
    <row r="2531" spans="4:17" ht="12.75" customHeight="1" x14ac:dyDescent="0.2">
      <c r="D2531" s="58" t="str">
        <f>IFERROR(IF(F2531&lt;&gt;"pending","",IF(OR($B2531="",$B2531="(blank)"),"",VLOOKUP($B2531,'Email Marketing Raw Data'!$C:$O,10,0))),"")</f>
        <v/>
      </c>
      <c r="E2531" s="59" t="str">
        <f>IFERROR(IF(F2531&lt;&gt;"pending","",IF(OR($B2531="",$B2531="(blank)"),"",VLOOKUP($B2531,'Email Marketing Raw Data'!$C:$O,11,0))),"")</f>
        <v/>
      </c>
      <c r="F2531" s="54" t="str">
        <f>IFERROR(IF(OR($B2531="",$B2531="(blank)"),"",VLOOKUP($B2531,'Email Marketing Raw Data'!$C:$O,13,0)),"")</f>
        <v/>
      </c>
      <c r="G2531" s="55" t="str">
        <f>IFERROR(IF(OR($B2531="",$B2531="(blank)"),"",VLOOKUP($B2531,'Email Marketing Raw Data'!$C:$O,4,0)),"")</f>
        <v/>
      </c>
      <c r="H2531" s="55" t="str">
        <f>IFERROR(IF(OR($B2531="",$B2531="(blank)"),"",VLOOKUP($B2531,'Email Marketing Raw Data'!$C:$O,5,0)),"")</f>
        <v/>
      </c>
      <c r="I2531" s="55" t="str">
        <f>IFERROR(IF($G2531="","",VLOOKUP('Dashboard And Emails Automate'!$G2531,Database!$H:$N,3,0)),"")</f>
        <v/>
      </c>
      <c r="J2531" s="55" t="str">
        <f>IFERROR(IF($G2531="","",VLOOKUP('Dashboard And Emails Automate'!$G2531,Database!$H:$N,4,0)),"")</f>
        <v/>
      </c>
      <c r="K2531" s="55" t="str">
        <f>IFERROR(IF($G2531="","",VLOOKUP('Dashboard And Emails Automate'!$G2531,Database!$H:$N,5,0)),"")</f>
        <v/>
      </c>
      <c r="L2531" s="55" t="str">
        <f>IFERROR(IF($G2531="","",VLOOKUP('Dashboard And Emails Automate'!$G2531,Database!$H:$N,6,0)),"")</f>
        <v/>
      </c>
      <c r="M2531" s="55" t="str">
        <f>IFERROR(IF($G2531="","",VLOOKUP('Dashboard And Emails Automate'!$G2531,Database!$H:$N,7,0)),"")</f>
        <v/>
      </c>
      <c r="N2531" s="55" t="str">
        <f>IFERROR(IF(OR($B2531="",$B2531="(blank)"),"",VLOOKUP($B2531,'Email Marketing Raw Data'!$C:$O,6,0)),"")</f>
        <v/>
      </c>
      <c r="O2531" s="55" t="str">
        <f>IFERROR(IF(OR($B2531="",$B2531="(blank)"),"",VLOOKUP($B2531,'Email Marketing Raw Data'!$C:$O,7,0)),"")</f>
        <v/>
      </c>
      <c r="P2531" s="55" t="str">
        <f>IFERROR(IF(OR($B2531="",$B2531="(blank)"),"",VLOOKUP($B2531,'Email Marketing Raw Data'!$C:$O,8,0)),"")</f>
        <v/>
      </c>
      <c r="Q2531" s="62" t="str">
        <f>IFERROR(IF(OR($B2531="",$B2531="(blank)"),"",VLOOKUP($B2531,'Email Marketing Raw Data'!$C:$O,9,0)),"")</f>
        <v/>
      </c>
    </row>
    <row r="2532" spans="4:17" ht="12.75" customHeight="1" x14ac:dyDescent="0.2">
      <c r="D2532" s="58" t="str">
        <f>IFERROR(IF(F2532&lt;&gt;"pending","",IF(OR($B2532="",$B2532="(blank)"),"",VLOOKUP($B2532,'Email Marketing Raw Data'!$C:$O,10,0))),"")</f>
        <v/>
      </c>
      <c r="E2532" s="59" t="str">
        <f>IFERROR(IF(F2532&lt;&gt;"pending","",IF(OR($B2532="",$B2532="(blank)"),"",VLOOKUP($B2532,'Email Marketing Raw Data'!$C:$O,11,0))),"")</f>
        <v/>
      </c>
      <c r="F2532" s="54" t="str">
        <f>IFERROR(IF(OR($B2532="",$B2532="(blank)"),"",VLOOKUP($B2532,'Email Marketing Raw Data'!$C:$O,13,0)),"")</f>
        <v/>
      </c>
      <c r="G2532" s="55" t="str">
        <f>IFERROR(IF(OR($B2532="",$B2532="(blank)"),"",VLOOKUP($B2532,'Email Marketing Raw Data'!$C:$O,4,0)),"")</f>
        <v/>
      </c>
      <c r="H2532" s="55" t="str">
        <f>IFERROR(IF(OR($B2532="",$B2532="(blank)"),"",VLOOKUP($B2532,'Email Marketing Raw Data'!$C:$O,5,0)),"")</f>
        <v/>
      </c>
      <c r="I2532" s="55" t="str">
        <f>IFERROR(IF($G2532="","",VLOOKUP('Dashboard And Emails Automate'!$G2532,Database!$H:$N,3,0)),"")</f>
        <v/>
      </c>
      <c r="J2532" s="55" t="str">
        <f>IFERROR(IF($G2532="","",VLOOKUP('Dashboard And Emails Automate'!$G2532,Database!$H:$N,4,0)),"")</f>
        <v/>
      </c>
      <c r="K2532" s="55" t="str">
        <f>IFERROR(IF($G2532="","",VLOOKUP('Dashboard And Emails Automate'!$G2532,Database!$H:$N,5,0)),"")</f>
        <v/>
      </c>
      <c r="L2532" s="55" t="str">
        <f>IFERROR(IF($G2532="","",VLOOKUP('Dashboard And Emails Automate'!$G2532,Database!$H:$N,6,0)),"")</f>
        <v/>
      </c>
      <c r="M2532" s="55" t="str">
        <f>IFERROR(IF($G2532="","",VLOOKUP('Dashboard And Emails Automate'!$G2532,Database!$H:$N,7,0)),"")</f>
        <v/>
      </c>
      <c r="N2532" s="55" t="str">
        <f>IFERROR(IF(OR($B2532="",$B2532="(blank)"),"",VLOOKUP($B2532,'Email Marketing Raw Data'!$C:$O,6,0)),"")</f>
        <v/>
      </c>
      <c r="O2532" s="55" t="str">
        <f>IFERROR(IF(OR($B2532="",$B2532="(blank)"),"",VLOOKUP($B2532,'Email Marketing Raw Data'!$C:$O,7,0)),"")</f>
        <v/>
      </c>
      <c r="P2532" s="55" t="str">
        <f>IFERROR(IF(OR($B2532="",$B2532="(blank)"),"",VLOOKUP($B2532,'Email Marketing Raw Data'!$C:$O,8,0)),"")</f>
        <v/>
      </c>
      <c r="Q2532" s="62" t="str">
        <f>IFERROR(IF(OR($B2532="",$B2532="(blank)"),"",VLOOKUP($B2532,'Email Marketing Raw Data'!$C:$O,9,0)),"")</f>
        <v/>
      </c>
    </row>
    <row r="2533" spans="4:17" ht="12.75" customHeight="1" x14ac:dyDescent="0.2">
      <c r="D2533" s="58" t="str">
        <f>IFERROR(IF(F2533&lt;&gt;"pending","",IF(OR($B2533="",$B2533="(blank)"),"",VLOOKUP($B2533,'Email Marketing Raw Data'!$C:$O,10,0))),"")</f>
        <v/>
      </c>
      <c r="E2533" s="59" t="str">
        <f>IFERROR(IF(F2533&lt;&gt;"pending","",IF(OR($B2533="",$B2533="(blank)"),"",VLOOKUP($B2533,'Email Marketing Raw Data'!$C:$O,11,0))),"")</f>
        <v/>
      </c>
      <c r="F2533" s="54" t="str">
        <f>IFERROR(IF(OR($B2533="",$B2533="(blank)"),"",VLOOKUP($B2533,'Email Marketing Raw Data'!$C:$O,13,0)),"")</f>
        <v/>
      </c>
      <c r="G2533" s="55" t="str">
        <f>IFERROR(IF(OR($B2533="",$B2533="(blank)"),"",VLOOKUP($B2533,'Email Marketing Raw Data'!$C:$O,4,0)),"")</f>
        <v/>
      </c>
      <c r="H2533" s="55" t="str">
        <f>IFERROR(IF(OR($B2533="",$B2533="(blank)"),"",VLOOKUP($B2533,'Email Marketing Raw Data'!$C:$O,5,0)),"")</f>
        <v/>
      </c>
      <c r="I2533" s="55" t="str">
        <f>IFERROR(IF($G2533="","",VLOOKUP('Dashboard And Emails Automate'!$G2533,Database!$H:$N,3,0)),"")</f>
        <v/>
      </c>
      <c r="J2533" s="55" t="str">
        <f>IFERROR(IF($G2533="","",VLOOKUP('Dashboard And Emails Automate'!$G2533,Database!$H:$N,4,0)),"")</f>
        <v/>
      </c>
      <c r="K2533" s="55" t="str">
        <f>IFERROR(IF($G2533="","",VLOOKUP('Dashboard And Emails Automate'!$G2533,Database!$H:$N,5,0)),"")</f>
        <v/>
      </c>
      <c r="L2533" s="55" t="str">
        <f>IFERROR(IF($G2533="","",VLOOKUP('Dashboard And Emails Automate'!$G2533,Database!$H:$N,6,0)),"")</f>
        <v/>
      </c>
      <c r="M2533" s="55" t="str">
        <f>IFERROR(IF($G2533="","",VLOOKUP('Dashboard And Emails Automate'!$G2533,Database!$H:$N,7,0)),"")</f>
        <v/>
      </c>
      <c r="N2533" s="55" t="str">
        <f>IFERROR(IF(OR($B2533="",$B2533="(blank)"),"",VLOOKUP($B2533,'Email Marketing Raw Data'!$C:$O,6,0)),"")</f>
        <v/>
      </c>
      <c r="O2533" s="55" t="str">
        <f>IFERROR(IF(OR($B2533="",$B2533="(blank)"),"",VLOOKUP($B2533,'Email Marketing Raw Data'!$C:$O,7,0)),"")</f>
        <v/>
      </c>
      <c r="P2533" s="55" t="str">
        <f>IFERROR(IF(OR($B2533="",$B2533="(blank)"),"",VLOOKUP($B2533,'Email Marketing Raw Data'!$C:$O,8,0)),"")</f>
        <v/>
      </c>
      <c r="Q2533" s="62" t="str">
        <f>IFERROR(IF(OR($B2533="",$B2533="(blank)"),"",VLOOKUP($B2533,'Email Marketing Raw Data'!$C:$O,9,0)),"")</f>
        <v/>
      </c>
    </row>
    <row r="2534" spans="4:17" ht="12.75" customHeight="1" x14ac:dyDescent="0.2">
      <c r="D2534" s="58" t="str">
        <f>IFERROR(IF(F2534&lt;&gt;"pending","",IF(OR($B2534="",$B2534="(blank)"),"",VLOOKUP($B2534,'Email Marketing Raw Data'!$C:$O,10,0))),"")</f>
        <v/>
      </c>
      <c r="E2534" s="59" t="str">
        <f>IFERROR(IF(F2534&lt;&gt;"pending","",IF(OR($B2534="",$B2534="(blank)"),"",VLOOKUP($B2534,'Email Marketing Raw Data'!$C:$O,11,0))),"")</f>
        <v/>
      </c>
      <c r="F2534" s="54" t="str">
        <f>IFERROR(IF(OR($B2534="",$B2534="(blank)"),"",VLOOKUP($B2534,'Email Marketing Raw Data'!$C:$O,13,0)),"")</f>
        <v/>
      </c>
      <c r="G2534" s="55" t="str">
        <f>IFERROR(IF(OR($B2534="",$B2534="(blank)"),"",VLOOKUP($B2534,'Email Marketing Raw Data'!$C:$O,4,0)),"")</f>
        <v/>
      </c>
      <c r="H2534" s="55" t="str">
        <f>IFERROR(IF(OR($B2534="",$B2534="(blank)"),"",VLOOKUP($B2534,'Email Marketing Raw Data'!$C:$O,5,0)),"")</f>
        <v/>
      </c>
      <c r="I2534" s="55" t="str">
        <f>IFERROR(IF($G2534="","",VLOOKUP('Dashboard And Emails Automate'!$G2534,Database!$H:$N,3,0)),"")</f>
        <v/>
      </c>
      <c r="J2534" s="55" t="str">
        <f>IFERROR(IF($G2534="","",VLOOKUP('Dashboard And Emails Automate'!$G2534,Database!$H:$N,4,0)),"")</f>
        <v/>
      </c>
      <c r="K2534" s="55" t="str">
        <f>IFERROR(IF($G2534="","",VLOOKUP('Dashboard And Emails Automate'!$G2534,Database!$H:$N,5,0)),"")</f>
        <v/>
      </c>
      <c r="L2534" s="55" t="str">
        <f>IFERROR(IF($G2534="","",VLOOKUP('Dashboard And Emails Automate'!$G2534,Database!$H:$N,6,0)),"")</f>
        <v/>
      </c>
      <c r="M2534" s="55" t="str">
        <f>IFERROR(IF($G2534="","",VLOOKUP('Dashboard And Emails Automate'!$G2534,Database!$H:$N,7,0)),"")</f>
        <v/>
      </c>
      <c r="N2534" s="55" t="str">
        <f>IFERROR(IF(OR($B2534="",$B2534="(blank)"),"",VLOOKUP($B2534,'Email Marketing Raw Data'!$C:$O,6,0)),"")</f>
        <v/>
      </c>
      <c r="O2534" s="55" t="str">
        <f>IFERROR(IF(OR($B2534="",$B2534="(blank)"),"",VLOOKUP($B2534,'Email Marketing Raw Data'!$C:$O,7,0)),"")</f>
        <v/>
      </c>
      <c r="P2534" s="55" t="str">
        <f>IFERROR(IF(OR($B2534="",$B2534="(blank)"),"",VLOOKUP($B2534,'Email Marketing Raw Data'!$C:$O,8,0)),"")</f>
        <v/>
      </c>
      <c r="Q2534" s="62" t="str">
        <f>IFERROR(IF(OR($B2534="",$B2534="(blank)"),"",VLOOKUP($B2534,'Email Marketing Raw Data'!$C:$O,9,0)),"")</f>
        <v/>
      </c>
    </row>
    <row r="2535" spans="4:17" ht="12.75" customHeight="1" x14ac:dyDescent="0.2">
      <c r="D2535" s="58" t="str">
        <f>IFERROR(IF(F2535&lt;&gt;"pending","",IF(OR($B2535="",$B2535="(blank)"),"",VLOOKUP($B2535,'Email Marketing Raw Data'!$C:$O,10,0))),"")</f>
        <v/>
      </c>
      <c r="E2535" s="59" t="str">
        <f>IFERROR(IF(F2535&lt;&gt;"pending","",IF(OR($B2535="",$B2535="(blank)"),"",VLOOKUP($B2535,'Email Marketing Raw Data'!$C:$O,11,0))),"")</f>
        <v/>
      </c>
      <c r="F2535" s="54" t="str">
        <f>IFERROR(IF(OR($B2535="",$B2535="(blank)"),"",VLOOKUP($B2535,'Email Marketing Raw Data'!$C:$O,13,0)),"")</f>
        <v/>
      </c>
      <c r="G2535" s="55" t="str">
        <f>IFERROR(IF(OR($B2535="",$B2535="(blank)"),"",VLOOKUP($B2535,'Email Marketing Raw Data'!$C:$O,4,0)),"")</f>
        <v/>
      </c>
      <c r="H2535" s="55" t="str">
        <f>IFERROR(IF(OR($B2535="",$B2535="(blank)"),"",VLOOKUP($B2535,'Email Marketing Raw Data'!$C:$O,5,0)),"")</f>
        <v/>
      </c>
      <c r="I2535" s="55" t="str">
        <f>IFERROR(IF($G2535="","",VLOOKUP('Dashboard And Emails Automate'!$G2535,Database!$H:$N,3,0)),"")</f>
        <v/>
      </c>
      <c r="J2535" s="55" t="str">
        <f>IFERROR(IF($G2535="","",VLOOKUP('Dashboard And Emails Automate'!$G2535,Database!$H:$N,4,0)),"")</f>
        <v/>
      </c>
      <c r="K2535" s="55" t="str">
        <f>IFERROR(IF($G2535="","",VLOOKUP('Dashboard And Emails Automate'!$G2535,Database!$H:$N,5,0)),"")</f>
        <v/>
      </c>
      <c r="L2535" s="55" t="str">
        <f>IFERROR(IF($G2535="","",VLOOKUP('Dashboard And Emails Automate'!$G2535,Database!$H:$N,6,0)),"")</f>
        <v/>
      </c>
      <c r="M2535" s="55" t="str">
        <f>IFERROR(IF($G2535="","",VLOOKUP('Dashboard And Emails Automate'!$G2535,Database!$H:$N,7,0)),"")</f>
        <v/>
      </c>
      <c r="N2535" s="55" t="str">
        <f>IFERROR(IF(OR($B2535="",$B2535="(blank)"),"",VLOOKUP($B2535,'Email Marketing Raw Data'!$C:$O,6,0)),"")</f>
        <v/>
      </c>
      <c r="O2535" s="55" t="str">
        <f>IFERROR(IF(OR($B2535="",$B2535="(blank)"),"",VLOOKUP($B2535,'Email Marketing Raw Data'!$C:$O,7,0)),"")</f>
        <v/>
      </c>
      <c r="P2535" s="55" t="str">
        <f>IFERROR(IF(OR($B2535="",$B2535="(blank)"),"",VLOOKUP($B2535,'Email Marketing Raw Data'!$C:$O,8,0)),"")</f>
        <v/>
      </c>
      <c r="Q2535" s="62" t="str">
        <f>IFERROR(IF(OR($B2535="",$B2535="(blank)"),"",VLOOKUP($B2535,'Email Marketing Raw Data'!$C:$O,9,0)),"")</f>
        <v/>
      </c>
    </row>
    <row r="2536" spans="4:17" ht="12.75" customHeight="1" x14ac:dyDescent="0.2">
      <c r="D2536" s="58" t="str">
        <f>IFERROR(IF(F2536&lt;&gt;"pending","",IF(OR($B2536="",$B2536="(blank)"),"",VLOOKUP($B2536,'Email Marketing Raw Data'!$C:$O,10,0))),"")</f>
        <v/>
      </c>
      <c r="E2536" s="59" t="str">
        <f>IFERROR(IF(F2536&lt;&gt;"pending","",IF(OR($B2536="",$B2536="(blank)"),"",VLOOKUP($B2536,'Email Marketing Raw Data'!$C:$O,11,0))),"")</f>
        <v/>
      </c>
      <c r="F2536" s="54" t="str">
        <f>IFERROR(IF(OR($B2536="",$B2536="(blank)"),"",VLOOKUP($B2536,'Email Marketing Raw Data'!$C:$O,13,0)),"")</f>
        <v/>
      </c>
      <c r="G2536" s="55" t="str">
        <f>IFERROR(IF(OR($B2536="",$B2536="(blank)"),"",VLOOKUP($B2536,'Email Marketing Raw Data'!$C:$O,4,0)),"")</f>
        <v/>
      </c>
      <c r="H2536" s="55" t="str">
        <f>IFERROR(IF(OR($B2536="",$B2536="(blank)"),"",VLOOKUP($B2536,'Email Marketing Raw Data'!$C:$O,5,0)),"")</f>
        <v/>
      </c>
      <c r="I2536" s="55" t="str">
        <f>IFERROR(IF($G2536="","",VLOOKUP('Dashboard And Emails Automate'!$G2536,Database!$H:$N,3,0)),"")</f>
        <v/>
      </c>
      <c r="J2536" s="55" t="str">
        <f>IFERROR(IF($G2536="","",VLOOKUP('Dashboard And Emails Automate'!$G2536,Database!$H:$N,4,0)),"")</f>
        <v/>
      </c>
      <c r="K2536" s="55" t="str">
        <f>IFERROR(IF($G2536="","",VLOOKUP('Dashboard And Emails Automate'!$G2536,Database!$H:$N,5,0)),"")</f>
        <v/>
      </c>
      <c r="L2536" s="55" t="str">
        <f>IFERROR(IF($G2536="","",VLOOKUP('Dashboard And Emails Automate'!$G2536,Database!$H:$N,6,0)),"")</f>
        <v/>
      </c>
      <c r="M2536" s="55" t="str">
        <f>IFERROR(IF($G2536="","",VLOOKUP('Dashboard And Emails Automate'!$G2536,Database!$H:$N,7,0)),"")</f>
        <v/>
      </c>
      <c r="N2536" s="55" t="str">
        <f>IFERROR(IF(OR($B2536="",$B2536="(blank)"),"",VLOOKUP($B2536,'Email Marketing Raw Data'!$C:$O,6,0)),"")</f>
        <v/>
      </c>
      <c r="O2536" s="55" t="str">
        <f>IFERROR(IF(OR($B2536="",$B2536="(blank)"),"",VLOOKUP($B2536,'Email Marketing Raw Data'!$C:$O,7,0)),"")</f>
        <v/>
      </c>
      <c r="P2536" s="55" t="str">
        <f>IFERROR(IF(OR($B2536="",$B2536="(blank)"),"",VLOOKUP($B2536,'Email Marketing Raw Data'!$C:$O,8,0)),"")</f>
        <v/>
      </c>
      <c r="Q2536" s="62" t="str">
        <f>IFERROR(IF(OR($B2536="",$B2536="(blank)"),"",VLOOKUP($B2536,'Email Marketing Raw Data'!$C:$O,9,0)),"")</f>
        <v/>
      </c>
    </row>
    <row r="2537" spans="4:17" ht="12.75" customHeight="1" x14ac:dyDescent="0.2">
      <c r="D2537" s="58" t="str">
        <f>IFERROR(IF(F2537&lt;&gt;"pending","",IF(OR($B2537="",$B2537="(blank)"),"",VLOOKUP($B2537,'Email Marketing Raw Data'!$C:$O,10,0))),"")</f>
        <v/>
      </c>
      <c r="E2537" s="59" t="str">
        <f>IFERROR(IF(F2537&lt;&gt;"pending","",IF(OR($B2537="",$B2537="(blank)"),"",VLOOKUP($B2537,'Email Marketing Raw Data'!$C:$O,11,0))),"")</f>
        <v/>
      </c>
      <c r="F2537" s="54" t="str">
        <f>IFERROR(IF(OR($B2537="",$B2537="(blank)"),"",VLOOKUP($B2537,'Email Marketing Raw Data'!$C:$O,13,0)),"")</f>
        <v/>
      </c>
      <c r="G2537" s="55" t="str">
        <f>IFERROR(IF(OR($B2537="",$B2537="(blank)"),"",VLOOKUP($B2537,'Email Marketing Raw Data'!$C:$O,4,0)),"")</f>
        <v/>
      </c>
      <c r="H2537" s="55" t="str">
        <f>IFERROR(IF(OR($B2537="",$B2537="(blank)"),"",VLOOKUP($B2537,'Email Marketing Raw Data'!$C:$O,5,0)),"")</f>
        <v/>
      </c>
      <c r="I2537" s="55" t="str">
        <f>IFERROR(IF($G2537="","",VLOOKUP('Dashboard And Emails Automate'!$G2537,Database!$H:$N,3,0)),"")</f>
        <v/>
      </c>
      <c r="J2537" s="55" t="str">
        <f>IFERROR(IF($G2537="","",VLOOKUP('Dashboard And Emails Automate'!$G2537,Database!$H:$N,4,0)),"")</f>
        <v/>
      </c>
      <c r="K2537" s="55" t="str">
        <f>IFERROR(IF($G2537="","",VLOOKUP('Dashboard And Emails Automate'!$G2537,Database!$H:$N,5,0)),"")</f>
        <v/>
      </c>
      <c r="L2537" s="55" t="str">
        <f>IFERROR(IF($G2537="","",VLOOKUP('Dashboard And Emails Automate'!$G2537,Database!$H:$N,6,0)),"")</f>
        <v/>
      </c>
      <c r="M2537" s="55" t="str">
        <f>IFERROR(IF($G2537="","",VLOOKUP('Dashboard And Emails Automate'!$G2537,Database!$H:$N,7,0)),"")</f>
        <v/>
      </c>
      <c r="N2537" s="55" t="str">
        <f>IFERROR(IF(OR($B2537="",$B2537="(blank)"),"",VLOOKUP($B2537,'Email Marketing Raw Data'!$C:$O,6,0)),"")</f>
        <v/>
      </c>
      <c r="O2537" s="55" t="str">
        <f>IFERROR(IF(OR($B2537="",$B2537="(blank)"),"",VLOOKUP($B2537,'Email Marketing Raw Data'!$C:$O,7,0)),"")</f>
        <v/>
      </c>
      <c r="P2537" s="55" t="str">
        <f>IFERROR(IF(OR($B2537="",$B2537="(blank)"),"",VLOOKUP($B2537,'Email Marketing Raw Data'!$C:$O,8,0)),"")</f>
        <v/>
      </c>
      <c r="Q2537" s="62" t="str">
        <f>IFERROR(IF(OR($B2537="",$B2537="(blank)"),"",VLOOKUP($B2537,'Email Marketing Raw Data'!$C:$O,9,0)),"")</f>
        <v/>
      </c>
    </row>
    <row r="2538" spans="4:17" ht="12.75" customHeight="1" x14ac:dyDescent="0.2">
      <c r="D2538" s="58" t="str">
        <f>IFERROR(IF(F2538&lt;&gt;"pending","",IF(OR($B2538="",$B2538="(blank)"),"",VLOOKUP($B2538,'Email Marketing Raw Data'!$C:$O,10,0))),"")</f>
        <v/>
      </c>
      <c r="E2538" s="59" t="str">
        <f>IFERROR(IF(F2538&lt;&gt;"pending","",IF(OR($B2538="",$B2538="(blank)"),"",VLOOKUP($B2538,'Email Marketing Raw Data'!$C:$O,11,0))),"")</f>
        <v/>
      </c>
      <c r="F2538" s="54" t="str">
        <f>IFERROR(IF(OR($B2538="",$B2538="(blank)"),"",VLOOKUP($B2538,'Email Marketing Raw Data'!$C:$O,13,0)),"")</f>
        <v/>
      </c>
      <c r="G2538" s="55" t="str">
        <f>IFERROR(IF(OR($B2538="",$B2538="(blank)"),"",VLOOKUP($B2538,'Email Marketing Raw Data'!$C:$O,4,0)),"")</f>
        <v/>
      </c>
      <c r="H2538" s="55" t="str">
        <f>IFERROR(IF(OR($B2538="",$B2538="(blank)"),"",VLOOKUP($B2538,'Email Marketing Raw Data'!$C:$O,5,0)),"")</f>
        <v/>
      </c>
      <c r="I2538" s="55" t="str">
        <f>IFERROR(IF($G2538="","",VLOOKUP('Dashboard And Emails Automate'!$G2538,Database!$H:$N,3,0)),"")</f>
        <v/>
      </c>
      <c r="J2538" s="55" t="str">
        <f>IFERROR(IF($G2538="","",VLOOKUP('Dashboard And Emails Automate'!$G2538,Database!$H:$N,4,0)),"")</f>
        <v/>
      </c>
      <c r="K2538" s="55" t="str">
        <f>IFERROR(IF($G2538="","",VLOOKUP('Dashboard And Emails Automate'!$G2538,Database!$H:$N,5,0)),"")</f>
        <v/>
      </c>
      <c r="L2538" s="55" t="str">
        <f>IFERROR(IF($G2538="","",VLOOKUP('Dashboard And Emails Automate'!$G2538,Database!$H:$N,6,0)),"")</f>
        <v/>
      </c>
      <c r="M2538" s="55" t="str">
        <f>IFERROR(IF($G2538="","",VLOOKUP('Dashboard And Emails Automate'!$G2538,Database!$H:$N,7,0)),"")</f>
        <v/>
      </c>
      <c r="N2538" s="55" t="str">
        <f>IFERROR(IF(OR($B2538="",$B2538="(blank)"),"",VLOOKUP($B2538,'Email Marketing Raw Data'!$C:$O,6,0)),"")</f>
        <v/>
      </c>
      <c r="O2538" s="55" t="str">
        <f>IFERROR(IF(OR($B2538="",$B2538="(blank)"),"",VLOOKUP($B2538,'Email Marketing Raw Data'!$C:$O,7,0)),"")</f>
        <v/>
      </c>
      <c r="P2538" s="55" t="str">
        <f>IFERROR(IF(OR($B2538="",$B2538="(blank)"),"",VLOOKUP($B2538,'Email Marketing Raw Data'!$C:$O,8,0)),"")</f>
        <v/>
      </c>
      <c r="Q2538" s="62" t="str">
        <f>IFERROR(IF(OR($B2538="",$B2538="(blank)"),"",VLOOKUP($B2538,'Email Marketing Raw Data'!$C:$O,9,0)),"")</f>
        <v/>
      </c>
    </row>
    <row r="2539" spans="4:17" ht="12.75" customHeight="1" x14ac:dyDescent="0.2">
      <c r="D2539" s="58" t="str">
        <f>IFERROR(IF(F2539&lt;&gt;"pending","",IF(OR($B2539="",$B2539="(blank)"),"",VLOOKUP($B2539,'Email Marketing Raw Data'!$C:$O,10,0))),"")</f>
        <v/>
      </c>
      <c r="E2539" s="59" t="str">
        <f>IFERROR(IF(F2539&lt;&gt;"pending","",IF(OR($B2539="",$B2539="(blank)"),"",VLOOKUP($B2539,'Email Marketing Raw Data'!$C:$O,11,0))),"")</f>
        <v/>
      </c>
      <c r="F2539" s="54" t="str">
        <f>IFERROR(IF(OR($B2539="",$B2539="(blank)"),"",VLOOKUP($B2539,'Email Marketing Raw Data'!$C:$O,13,0)),"")</f>
        <v/>
      </c>
      <c r="G2539" s="55" t="str">
        <f>IFERROR(IF(OR($B2539="",$B2539="(blank)"),"",VLOOKUP($B2539,'Email Marketing Raw Data'!$C:$O,4,0)),"")</f>
        <v/>
      </c>
      <c r="H2539" s="55" t="str">
        <f>IFERROR(IF(OR($B2539="",$B2539="(blank)"),"",VLOOKUP($B2539,'Email Marketing Raw Data'!$C:$O,5,0)),"")</f>
        <v/>
      </c>
      <c r="I2539" s="55" t="str">
        <f>IFERROR(IF($G2539="","",VLOOKUP('Dashboard And Emails Automate'!$G2539,Database!$H:$N,3,0)),"")</f>
        <v/>
      </c>
      <c r="J2539" s="55" t="str">
        <f>IFERROR(IF($G2539="","",VLOOKUP('Dashboard And Emails Automate'!$G2539,Database!$H:$N,4,0)),"")</f>
        <v/>
      </c>
      <c r="K2539" s="55" t="str">
        <f>IFERROR(IF($G2539="","",VLOOKUP('Dashboard And Emails Automate'!$G2539,Database!$H:$N,5,0)),"")</f>
        <v/>
      </c>
      <c r="L2539" s="55" t="str">
        <f>IFERROR(IF($G2539="","",VLOOKUP('Dashboard And Emails Automate'!$G2539,Database!$H:$N,6,0)),"")</f>
        <v/>
      </c>
      <c r="M2539" s="55" t="str">
        <f>IFERROR(IF($G2539="","",VLOOKUP('Dashboard And Emails Automate'!$G2539,Database!$H:$N,7,0)),"")</f>
        <v/>
      </c>
      <c r="N2539" s="55" t="str">
        <f>IFERROR(IF(OR($B2539="",$B2539="(blank)"),"",VLOOKUP($B2539,'Email Marketing Raw Data'!$C:$O,6,0)),"")</f>
        <v/>
      </c>
      <c r="O2539" s="55" t="str">
        <f>IFERROR(IF(OR($B2539="",$B2539="(blank)"),"",VLOOKUP($B2539,'Email Marketing Raw Data'!$C:$O,7,0)),"")</f>
        <v/>
      </c>
      <c r="P2539" s="55" t="str">
        <f>IFERROR(IF(OR($B2539="",$B2539="(blank)"),"",VLOOKUP($B2539,'Email Marketing Raw Data'!$C:$O,8,0)),"")</f>
        <v/>
      </c>
      <c r="Q2539" s="62" t="str">
        <f>IFERROR(IF(OR($B2539="",$B2539="(blank)"),"",VLOOKUP($B2539,'Email Marketing Raw Data'!$C:$O,9,0)),"")</f>
        <v/>
      </c>
    </row>
    <row r="2540" spans="4:17" ht="12.75" customHeight="1" x14ac:dyDescent="0.2">
      <c r="D2540" s="58" t="str">
        <f>IFERROR(IF(F2540&lt;&gt;"pending","",IF(OR($B2540="",$B2540="(blank)"),"",VLOOKUP($B2540,'Email Marketing Raw Data'!$C:$O,10,0))),"")</f>
        <v/>
      </c>
      <c r="E2540" s="59" t="str">
        <f>IFERROR(IF(F2540&lt;&gt;"pending","",IF(OR($B2540="",$B2540="(blank)"),"",VLOOKUP($B2540,'Email Marketing Raw Data'!$C:$O,11,0))),"")</f>
        <v/>
      </c>
      <c r="F2540" s="54" t="str">
        <f>IFERROR(IF(OR($B2540="",$B2540="(blank)"),"",VLOOKUP($B2540,'Email Marketing Raw Data'!$C:$O,13,0)),"")</f>
        <v/>
      </c>
      <c r="G2540" s="55" t="str">
        <f>IFERROR(IF(OR($B2540="",$B2540="(blank)"),"",VLOOKUP($B2540,'Email Marketing Raw Data'!$C:$O,4,0)),"")</f>
        <v/>
      </c>
      <c r="H2540" s="55" t="str">
        <f>IFERROR(IF(OR($B2540="",$B2540="(blank)"),"",VLOOKUP($B2540,'Email Marketing Raw Data'!$C:$O,5,0)),"")</f>
        <v/>
      </c>
      <c r="I2540" s="55" t="str">
        <f>IFERROR(IF($G2540="","",VLOOKUP('Dashboard And Emails Automate'!$G2540,Database!$H:$N,3,0)),"")</f>
        <v/>
      </c>
      <c r="J2540" s="55" t="str">
        <f>IFERROR(IF($G2540="","",VLOOKUP('Dashboard And Emails Automate'!$G2540,Database!$H:$N,4,0)),"")</f>
        <v/>
      </c>
      <c r="K2540" s="55" t="str">
        <f>IFERROR(IF($G2540="","",VLOOKUP('Dashboard And Emails Automate'!$G2540,Database!$H:$N,5,0)),"")</f>
        <v/>
      </c>
      <c r="L2540" s="55" t="str">
        <f>IFERROR(IF($G2540="","",VLOOKUP('Dashboard And Emails Automate'!$G2540,Database!$H:$N,6,0)),"")</f>
        <v/>
      </c>
      <c r="M2540" s="55" t="str">
        <f>IFERROR(IF($G2540="","",VLOOKUP('Dashboard And Emails Automate'!$G2540,Database!$H:$N,7,0)),"")</f>
        <v/>
      </c>
      <c r="N2540" s="55" t="str">
        <f>IFERROR(IF(OR($B2540="",$B2540="(blank)"),"",VLOOKUP($B2540,'Email Marketing Raw Data'!$C:$O,6,0)),"")</f>
        <v/>
      </c>
      <c r="O2540" s="55" t="str">
        <f>IFERROR(IF(OR($B2540="",$B2540="(blank)"),"",VLOOKUP($B2540,'Email Marketing Raw Data'!$C:$O,7,0)),"")</f>
        <v/>
      </c>
      <c r="P2540" s="55" t="str">
        <f>IFERROR(IF(OR($B2540="",$B2540="(blank)"),"",VLOOKUP($B2540,'Email Marketing Raw Data'!$C:$O,8,0)),"")</f>
        <v/>
      </c>
      <c r="Q2540" s="62" t="str">
        <f>IFERROR(IF(OR($B2540="",$B2540="(blank)"),"",VLOOKUP($B2540,'Email Marketing Raw Data'!$C:$O,9,0)),"")</f>
        <v/>
      </c>
    </row>
    <row r="2541" spans="4:17" ht="12.75" customHeight="1" x14ac:dyDescent="0.2">
      <c r="D2541" s="58" t="str">
        <f>IFERROR(IF(F2541&lt;&gt;"pending","",IF(OR($B2541="",$B2541="(blank)"),"",VLOOKUP($B2541,'Email Marketing Raw Data'!$C:$O,10,0))),"")</f>
        <v/>
      </c>
      <c r="E2541" s="59" t="str">
        <f>IFERROR(IF(F2541&lt;&gt;"pending","",IF(OR($B2541="",$B2541="(blank)"),"",VLOOKUP($B2541,'Email Marketing Raw Data'!$C:$O,11,0))),"")</f>
        <v/>
      </c>
      <c r="F2541" s="54" t="str">
        <f>IFERROR(IF(OR($B2541="",$B2541="(blank)"),"",VLOOKUP($B2541,'Email Marketing Raw Data'!$C:$O,13,0)),"")</f>
        <v/>
      </c>
      <c r="G2541" s="55" t="str">
        <f>IFERROR(IF(OR($B2541="",$B2541="(blank)"),"",VLOOKUP($B2541,'Email Marketing Raw Data'!$C:$O,4,0)),"")</f>
        <v/>
      </c>
      <c r="H2541" s="55" t="str">
        <f>IFERROR(IF(OR($B2541="",$B2541="(blank)"),"",VLOOKUP($B2541,'Email Marketing Raw Data'!$C:$O,5,0)),"")</f>
        <v/>
      </c>
      <c r="I2541" s="55" t="str">
        <f>IFERROR(IF($G2541="","",VLOOKUP('Dashboard And Emails Automate'!$G2541,Database!$H:$N,3,0)),"")</f>
        <v/>
      </c>
      <c r="J2541" s="55" t="str">
        <f>IFERROR(IF($G2541="","",VLOOKUP('Dashboard And Emails Automate'!$G2541,Database!$H:$N,4,0)),"")</f>
        <v/>
      </c>
      <c r="K2541" s="55" t="str">
        <f>IFERROR(IF($G2541="","",VLOOKUP('Dashboard And Emails Automate'!$G2541,Database!$H:$N,5,0)),"")</f>
        <v/>
      </c>
      <c r="L2541" s="55" t="str">
        <f>IFERROR(IF($G2541="","",VLOOKUP('Dashboard And Emails Automate'!$G2541,Database!$H:$N,6,0)),"")</f>
        <v/>
      </c>
      <c r="M2541" s="55" t="str">
        <f>IFERROR(IF($G2541="","",VLOOKUP('Dashboard And Emails Automate'!$G2541,Database!$H:$N,7,0)),"")</f>
        <v/>
      </c>
      <c r="N2541" s="55" t="str">
        <f>IFERROR(IF(OR($B2541="",$B2541="(blank)"),"",VLOOKUP($B2541,'Email Marketing Raw Data'!$C:$O,6,0)),"")</f>
        <v/>
      </c>
      <c r="O2541" s="55" t="str">
        <f>IFERROR(IF(OR($B2541="",$B2541="(blank)"),"",VLOOKUP($B2541,'Email Marketing Raw Data'!$C:$O,7,0)),"")</f>
        <v/>
      </c>
      <c r="P2541" s="55" t="str">
        <f>IFERROR(IF(OR($B2541="",$B2541="(blank)"),"",VLOOKUP($B2541,'Email Marketing Raw Data'!$C:$O,8,0)),"")</f>
        <v/>
      </c>
      <c r="Q2541" s="62" t="str">
        <f>IFERROR(IF(OR($B2541="",$B2541="(blank)"),"",VLOOKUP($B2541,'Email Marketing Raw Data'!$C:$O,9,0)),"")</f>
        <v/>
      </c>
    </row>
    <row r="2542" spans="4:17" ht="12.75" customHeight="1" x14ac:dyDescent="0.2">
      <c r="D2542" s="58" t="str">
        <f>IFERROR(IF(F2542&lt;&gt;"pending","",IF(OR($B2542="",$B2542="(blank)"),"",VLOOKUP($B2542,'Email Marketing Raw Data'!$C:$O,10,0))),"")</f>
        <v/>
      </c>
      <c r="E2542" s="59" t="str">
        <f>IFERROR(IF(F2542&lt;&gt;"pending","",IF(OR($B2542="",$B2542="(blank)"),"",VLOOKUP($B2542,'Email Marketing Raw Data'!$C:$O,11,0))),"")</f>
        <v/>
      </c>
      <c r="F2542" s="54" t="str">
        <f>IFERROR(IF(OR($B2542="",$B2542="(blank)"),"",VLOOKUP($B2542,'Email Marketing Raw Data'!$C:$O,13,0)),"")</f>
        <v/>
      </c>
      <c r="G2542" s="55" t="str">
        <f>IFERROR(IF(OR($B2542="",$B2542="(blank)"),"",VLOOKUP($B2542,'Email Marketing Raw Data'!$C:$O,4,0)),"")</f>
        <v/>
      </c>
      <c r="H2542" s="55" t="str">
        <f>IFERROR(IF(OR($B2542="",$B2542="(blank)"),"",VLOOKUP($B2542,'Email Marketing Raw Data'!$C:$O,5,0)),"")</f>
        <v/>
      </c>
      <c r="I2542" s="55" t="str">
        <f>IFERROR(IF($G2542="","",VLOOKUP('Dashboard And Emails Automate'!$G2542,Database!$H:$N,3,0)),"")</f>
        <v/>
      </c>
      <c r="J2542" s="55" t="str">
        <f>IFERROR(IF($G2542="","",VLOOKUP('Dashboard And Emails Automate'!$G2542,Database!$H:$N,4,0)),"")</f>
        <v/>
      </c>
      <c r="K2542" s="55" t="str">
        <f>IFERROR(IF($G2542="","",VLOOKUP('Dashboard And Emails Automate'!$G2542,Database!$H:$N,5,0)),"")</f>
        <v/>
      </c>
      <c r="L2542" s="55" t="str">
        <f>IFERROR(IF($G2542="","",VLOOKUP('Dashboard And Emails Automate'!$G2542,Database!$H:$N,6,0)),"")</f>
        <v/>
      </c>
      <c r="M2542" s="55" t="str">
        <f>IFERROR(IF($G2542="","",VLOOKUP('Dashboard And Emails Automate'!$G2542,Database!$H:$N,7,0)),"")</f>
        <v/>
      </c>
      <c r="N2542" s="55" t="str">
        <f>IFERROR(IF(OR($B2542="",$B2542="(blank)"),"",VLOOKUP($B2542,'Email Marketing Raw Data'!$C:$O,6,0)),"")</f>
        <v/>
      </c>
      <c r="O2542" s="55" t="str">
        <f>IFERROR(IF(OR($B2542="",$B2542="(blank)"),"",VLOOKUP($B2542,'Email Marketing Raw Data'!$C:$O,7,0)),"")</f>
        <v/>
      </c>
      <c r="P2542" s="55" t="str">
        <f>IFERROR(IF(OR($B2542="",$B2542="(blank)"),"",VLOOKUP($B2542,'Email Marketing Raw Data'!$C:$O,8,0)),"")</f>
        <v/>
      </c>
      <c r="Q2542" s="62" t="str">
        <f>IFERROR(IF(OR($B2542="",$B2542="(blank)"),"",VLOOKUP($B2542,'Email Marketing Raw Data'!$C:$O,9,0)),"")</f>
        <v/>
      </c>
    </row>
    <row r="2543" spans="4:17" ht="12.75" customHeight="1" x14ac:dyDescent="0.2">
      <c r="D2543" s="58" t="str">
        <f>IFERROR(IF(F2543&lt;&gt;"pending","",IF(OR($B2543="",$B2543="(blank)"),"",VLOOKUP($B2543,'Email Marketing Raw Data'!$C:$O,10,0))),"")</f>
        <v/>
      </c>
      <c r="E2543" s="59" t="str">
        <f>IFERROR(IF(F2543&lt;&gt;"pending","",IF(OR($B2543="",$B2543="(blank)"),"",VLOOKUP($B2543,'Email Marketing Raw Data'!$C:$O,11,0))),"")</f>
        <v/>
      </c>
      <c r="F2543" s="54" t="str">
        <f>IFERROR(IF(OR($B2543="",$B2543="(blank)"),"",VLOOKUP($B2543,'Email Marketing Raw Data'!$C:$O,13,0)),"")</f>
        <v/>
      </c>
      <c r="G2543" s="55" t="str">
        <f>IFERROR(IF(OR($B2543="",$B2543="(blank)"),"",VLOOKUP($B2543,'Email Marketing Raw Data'!$C:$O,4,0)),"")</f>
        <v/>
      </c>
      <c r="H2543" s="55" t="str">
        <f>IFERROR(IF(OR($B2543="",$B2543="(blank)"),"",VLOOKUP($B2543,'Email Marketing Raw Data'!$C:$O,5,0)),"")</f>
        <v/>
      </c>
      <c r="I2543" s="55" t="str">
        <f>IFERROR(IF($G2543="","",VLOOKUP('Dashboard And Emails Automate'!$G2543,Database!$H:$N,3,0)),"")</f>
        <v/>
      </c>
      <c r="J2543" s="55" t="str">
        <f>IFERROR(IF($G2543="","",VLOOKUP('Dashboard And Emails Automate'!$G2543,Database!$H:$N,4,0)),"")</f>
        <v/>
      </c>
      <c r="K2543" s="55" t="str">
        <f>IFERROR(IF($G2543="","",VLOOKUP('Dashboard And Emails Automate'!$G2543,Database!$H:$N,5,0)),"")</f>
        <v/>
      </c>
      <c r="L2543" s="55" t="str">
        <f>IFERROR(IF($G2543="","",VLOOKUP('Dashboard And Emails Automate'!$G2543,Database!$H:$N,6,0)),"")</f>
        <v/>
      </c>
      <c r="M2543" s="55" t="str">
        <f>IFERROR(IF($G2543="","",VLOOKUP('Dashboard And Emails Automate'!$G2543,Database!$H:$N,7,0)),"")</f>
        <v/>
      </c>
      <c r="N2543" s="55" t="str">
        <f>IFERROR(IF(OR($B2543="",$B2543="(blank)"),"",VLOOKUP($B2543,'Email Marketing Raw Data'!$C:$O,6,0)),"")</f>
        <v/>
      </c>
      <c r="O2543" s="55" t="str">
        <f>IFERROR(IF(OR($B2543="",$B2543="(blank)"),"",VLOOKUP($B2543,'Email Marketing Raw Data'!$C:$O,7,0)),"")</f>
        <v/>
      </c>
      <c r="P2543" s="55" t="str">
        <f>IFERROR(IF(OR($B2543="",$B2543="(blank)"),"",VLOOKUP($B2543,'Email Marketing Raw Data'!$C:$O,8,0)),"")</f>
        <v/>
      </c>
      <c r="Q2543" s="62" t="str">
        <f>IFERROR(IF(OR($B2543="",$B2543="(blank)"),"",VLOOKUP($B2543,'Email Marketing Raw Data'!$C:$O,9,0)),"")</f>
        <v/>
      </c>
    </row>
    <row r="2544" spans="4:17" ht="12.75" customHeight="1" x14ac:dyDescent="0.2">
      <c r="D2544" s="58" t="str">
        <f>IFERROR(IF(F2544&lt;&gt;"pending","",IF(OR($B2544="",$B2544="(blank)"),"",VLOOKUP($B2544,'Email Marketing Raw Data'!$C:$O,10,0))),"")</f>
        <v/>
      </c>
      <c r="E2544" s="59" t="str">
        <f>IFERROR(IF(F2544&lt;&gt;"pending","",IF(OR($B2544="",$B2544="(blank)"),"",VLOOKUP($B2544,'Email Marketing Raw Data'!$C:$O,11,0))),"")</f>
        <v/>
      </c>
      <c r="F2544" s="54" t="str">
        <f>IFERROR(IF(OR($B2544="",$B2544="(blank)"),"",VLOOKUP($B2544,'Email Marketing Raw Data'!$C:$O,13,0)),"")</f>
        <v/>
      </c>
      <c r="G2544" s="55" t="str">
        <f>IFERROR(IF(OR($B2544="",$B2544="(blank)"),"",VLOOKUP($B2544,'Email Marketing Raw Data'!$C:$O,4,0)),"")</f>
        <v/>
      </c>
      <c r="H2544" s="55" t="str">
        <f>IFERROR(IF(OR($B2544="",$B2544="(blank)"),"",VLOOKUP($B2544,'Email Marketing Raw Data'!$C:$O,5,0)),"")</f>
        <v/>
      </c>
      <c r="I2544" s="55" t="str">
        <f>IFERROR(IF($G2544="","",VLOOKUP('Dashboard And Emails Automate'!$G2544,Database!$H:$N,3,0)),"")</f>
        <v/>
      </c>
      <c r="J2544" s="55" t="str">
        <f>IFERROR(IF($G2544="","",VLOOKUP('Dashboard And Emails Automate'!$G2544,Database!$H:$N,4,0)),"")</f>
        <v/>
      </c>
      <c r="K2544" s="55" t="str">
        <f>IFERROR(IF($G2544="","",VLOOKUP('Dashboard And Emails Automate'!$G2544,Database!$H:$N,5,0)),"")</f>
        <v/>
      </c>
      <c r="L2544" s="55" t="str">
        <f>IFERROR(IF($G2544="","",VLOOKUP('Dashboard And Emails Automate'!$G2544,Database!$H:$N,6,0)),"")</f>
        <v/>
      </c>
      <c r="M2544" s="55" t="str">
        <f>IFERROR(IF($G2544="","",VLOOKUP('Dashboard And Emails Automate'!$G2544,Database!$H:$N,7,0)),"")</f>
        <v/>
      </c>
      <c r="N2544" s="55" t="str">
        <f>IFERROR(IF(OR($B2544="",$B2544="(blank)"),"",VLOOKUP($B2544,'Email Marketing Raw Data'!$C:$O,6,0)),"")</f>
        <v/>
      </c>
      <c r="O2544" s="55" t="str">
        <f>IFERROR(IF(OR($B2544="",$B2544="(blank)"),"",VLOOKUP($B2544,'Email Marketing Raw Data'!$C:$O,7,0)),"")</f>
        <v/>
      </c>
      <c r="P2544" s="55" t="str">
        <f>IFERROR(IF(OR($B2544="",$B2544="(blank)"),"",VLOOKUP($B2544,'Email Marketing Raw Data'!$C:$O,8,0)),"")</f>
        <v/>
      </c>
      <c r="Q2544" s="62" t="str">
        <f>IFERROR(IF(OR($B2544="",$B2544="(blank)"),"",VLOOKUP($B2544,'Email Marketing Raw Data'!$C:$O,9,0)),"")</f>
        <v/>
      </c>
    </row>
    <row r="2545" spans="4:17" ht="12.75" customHeight="1" x14ac:dyDescent="0.2">
      <c r="D2545" s="58" t="str">
        <f>IFERROR(IF(F2545&lt;&gt;"pending","",IF(OR($B2545="",$B2545="(blank)"),"",VLOOKUP($B2545,'Email Marketing Raw Data'!$C:$O,10,0))),"")</f>
        <v/>
      </c>
      <c r="E2545" s="59" t="str">
        <f>IFERROR(IF(F2545&lt;&gt;"pending","",IF(OR($B2545="",$B2545="(blank)"),"",VLOOKUP($B2545,'Email Marketing Raw Data'!$C:$O,11,0))),"")</f>
        <v/>
      </c>
      <c r="F2545" s="54" t="str">
        <f>IFERROR(IF(OR($B2545="",$B2545="(blank)"),"",VLOOKUP($B2545,'Email Marketing Raw Data'!$C:$O,13,0)),"")</f>
        <v/>
      </c>
      <c r="G2545" s="55" t="str">
        <f>IFERROR(IF(OR($B2545="",$B2545="(blank)"),"",VLOOKUP($B2545,'Email Marketing Raw Data'!$C:$O,4,0)),"")</f>
        <v/>
      </c>
      <c r="H2545" s="55" t="str">
        <f>IFERROR(IF(OR($B2545="",$B2545="(blank)"),"",VLOOKUP($B2545,'Email Marketing Raw Data'!$C:$O,5,0)),"")</f>
        <v/>
      </c>
      <c r="I2545" s="55" t="str">
        <f>IFERROR(IF($G2545="","",VLOOKUP('Dashboard And Emails Automate'!$G2545,Database!$H:$N,3,0)),"")</f>
        <v/>
      </c>
      <c r="J2545" s="55" t="str">
        <f>IFERROR(IF($G2545="","",VLOOKUP('Dashboard And Emails Automate'!$G2545,Database!$H:$N,4,0)),"")</f>
        <v/>
      </c>
      <c r="K2545" s="55" t="str">
        <f>IFERROR(IF($G2545="","",VLOOKUP('Dashboard And Emails Automate'!$G2545,Database!$H:$N,5,0)),"")</f>
        <v/>
      </c>
      <c r="L2545" s="55" t="str">
        <f>IFERROR(IF($G2545="","",VLOOKUP('Dashboard And Emails Automate'!$G2545,Database!$H:$N,6,0)),"")</f>
        <v/>
      </c>
      <c r="M2545" s="55" t="str">
        <f>IFERROR(IF($G2545="","",VLOOKUP('Dashboard And Emails Automate'!$G2545,Database!$H:$N,7,0)),"")</f>
        <v/>
      </c>
      <c r="N2545" s="55" t="str">
        <f>IFERROR(IF(OR($B2545="",$B2545="(blank)"),"",VLOOKUP($B2545,'Email Marketing Raw Data'!$C:$O,6,0)),"")</f>
        <v/>
      </c>
      <c r="O2545" s="55" t="str">
        <f>IFERROR(IF(OR($B2545="",$B2545="(blank)"),"",VLOOKUP($B2545,'Email Marketing Raw Data'!$C:$O,7,0)),"")</f>
        <v/>
      </c>
      <c r="P2545" s="55" t="str">
        <f>IFERROR(IF(OR($B2545="",$B2545="(blank)"),"",VLOOKUP($B2545,'Email Marketing Raw Data'!$C:$O,8,0)),"")</f>
        <v/>
      </c>
      <c r="Q2545" s="62" t="str">
        <f>IFERROR(IF(OR($B2545="",$B2545="(blank)"),"",VLOOKUP($B2545,'Email Marketing Raw Data'!$C:$O,9,0)),"")</f>
        <v/>
      </c>
    </row>
    <row r="2546" spans="4:17" ht="12.75" customHeight="1" x14ac:dyDescent="0.2">
      <c r="D2546" s="58" t="str">
        <f>IFERROR(IF(F2546&lt;&gt;"pending","",IF(OR($B2546="",$B2546="(blank)"),"",VLOOKUP($B2546,'Email Marketing Raw Data'!$C:$O,10,0))),"")</f>
        <v/>
      </c>
      <c r="E2546" s="59" t="str">
        <f>IFERROR(IF(F2546&lt;&gt;"pending","",IF(OR($B2546="",$B2546="(blank)"),"",VLOOKUP($B2546,'Email Marketing Raw Data'!$C:$O,11,0))),"")</f>
        <v/>
      </c>
      <c r="F2546" s="54" t="str">
        <f>IFERROR(IF(OR($B2546="",$B2546="(blank)"),"",VLOOKUP($B2546,'Email Marketing Raw Data'!$C:$O,13,0)),"")</f>
        <v/>
      </c>
      <c r="G2546" s="55" t="str">
        <f>IFERROR(IF(OR($B2546="",$B2546="(blank)"),"",VLOOKUP($B2546,'Email Marketing Raw Data'!$C:$O,4,0)),"")</f>
        <v/>
      </c>
      <c r="H2546" s="55" t="str">
        <f>IFERROR(IF(OR($B2546="",$B2546="(blank)"),"",VLOOKUP($B2546,'Email Marketing Raw Data'!$C:$O,5,0)),"")</f>
        <v/>
      </c>
      <c r="I2546" s="55" t="str">
        <f>IFERROR(IF($G2546="","",VLOOKUP('Dashboard And Emails Automate'!$G2546,Database!$H:$N,3,0)),"")</f>
        <v/>
      </c>
      <c r="J2546" s="55" t="str">
        <f>IFERROR(IF($G2546="","",VLOOKUP('Dashboard And Emails Automate'!$G2546,Database!$H:$N,4,0)),"")</f>
        <v/>
      </c>
      <c r="K2546" s="55" t="str">
        <f>IFERROR(IF($G2546="","",VLOOKUP('Dashboard And Emails Automate'!$G2546,Database!$H:$N,5,0)),"")</f>
        <v/>
      </c>
      <c r="L2546" s="55" t="str">
        <f>IFERROR(IF($G2546="","",VLOOKUP('Dashboard And Emails Automate'!$G2546,Database!$H:$N,6,0)),"")</f>
        <v/>
      </c>
      <c r="M2546" s="55" t="str">
        <f>IFERROR(IF($G2546="","",VLOOKUP('Dashboard And Emails Automate'!$G2546,Database!$H:$N,7,0)),"")</f>
        <v/>
      </c>
      <c r="N2546" s="55" t="str">
        <f>IFERROR(IF(OR($B2546="",$B2546="(blank)"),"",VLOOKUP($B2546,'Email Marketing Raw Data'!$C:$O,6,0)),"")</f>
        <v/>
      </c>
      <c r="O2546" s="55" t="str">
        <f>IFERROR(IF(OR($B2546="",$B2546="(blank)"),"",VLOOKUP($B2546,'Email Marketing Raw Data'!$C:$O,7,0)),"")</f>
        <v/>
      </c>
      <c r="P2546" s="55" t="str">
        <f>IFERROR(IF(OR($B2546="",$B2546="(blank)"),"",VLOOKUP($B2546,'Email Marketing Raw Data'!$C:$O,8,0)),"")</f>
        <v/>
      </c>
      <c r="Q2546" s="62" t="str">
        <f>IFERROR(IF(OR($B2546="",$B2546="(blank)"),"",VLOOKUP($B2546,'Email Marketing Raw Data'!$C:$O,9,0)),"")</f>
        <v/>
      </c>
    </row>
    <row r="2547" spans="4:17" ht="12.75" customHeight="1" x14ac:dyDescent="0.2">
      <c r="D2547" s="58" t="str">
        <f>IFERROR(IF(F2547&lt;&gt;"pending","",IF(OR($B2547="",$B2547="(blank)"),"",VLOOKUP($B2547,'Email Marketing Raw Data'!$C:$O,10,0))),"")</f>
        <v/>
      </c>
      <c r="E2547" s="59" t="str">
        <f>IFERROR(IF(F2547&lt;&gt;"pending","",IF(OR($B2547="",$B2547="(blank)"),"",VLOOKUP($B2547,'Email Marketing Raw Data'!$C:$O,11,0))),"")</f>
        <v/>
      </c>
      <c r="F2547" s="54" t="str">
        <f>IFERROR(IF(OR($B2547="",$B2547="(blank)"),"",VLOOKUP($B2547,'Email Marketing Raw Data'!$C:$O,13,0)),"")</f>
        <v/>
      </c>
      <c r="G2547" s="55" t="str">
        <f>IFERROR(IF(OR($B2547="",$B2547="(blank)"),"",VLOOKUP($B2547,'Email Marketing Raw Data'!$C:$O,4,0)),"")</f>
        <v/>
      </c>
      <c r="H2547" s="55" t="str">
        <f>IFERROR(IF(OR($B2547="",$B2547="(blank)"),"",VLOOKUP($B2547,'Email Marketing Raw Data'!$C:$O,5,0)),"")</f>
        <v/>
      </c>
      <c r="I2547" s="55" t="str">
        <f>IFERROR(IF($G2547="","",VLOOKUP('Dashboard And Emails Automate'!$G2547,Database!$H:$N,3,0)),"")</f>
        <v/>
      </c>
      <c r="J2547" s="55" t="str">
        <f>IFERROR(IF($G2547="","",VLOOKUP('Dashboard And Emails Automate'!$G2547,Database!$H:$N,4,0)),"")</f>
        <v/>
      </c>
      <c r="K2547" s="55" t="str">
        <f>IFERROR(IF($G2547="","",VLOOKUP('Dashboard And Emails Automate'!$G2547,Database!$H:$N,5,0)),"")</f>
        <v/>
      </c>
      <c r="L2547" s="55" t="str">
        <f>IFERROR(IF($G2547="","",VLOOKUP('Dashboard And Emails Automate'!$G2547,Database!$H:$N,6,0)),"")</f>
        <v/>
      </c>
      <c r="M2547" s="55" t="str">
        <f>IFERROR(IF($G2547="","",VLOOKUP('Dashboard And Emails Automate'!$G2547,Database!$H:$N,7,0)),"")</f>
        <v/>
      </c>
      <c r="N2547" s="55" t="str">
        <f>IFERROR(IF(OR($B2547="",$B2547="(blank)"),"",VLOOKUP($B2547,'Email Marketing Raw Data'!$C:$O,6,0)),"")</f>
        <v/>
      </c>
      <c r="O2547" s="55" t="str">
        <f>IFERROR(IF(OR($B2547="",$B2547="(blank)"),"",VLOOKUP($B2547,'Email Marketing Raw Data'!$C:$O,7,0)),"")</f>
        <v/>
      </c>
      <c r="P2547" s="55" t="str">
        <f>IFERROR(IF(OR($B2547="",$B2547="(blank)"),"",VLOOKUP($B2547,'Email Marketing Raw Data'!$C:$O,8,0)),"")</f>
        <v/>
      </c>
      <c r="Q2547" s="62" t="str">
        <f>IFERROR(IF(OR($B2547="",$B2547="(blank)"),"",VLOOKUP($B2547,'Email Marketing Raw Data'!$C:$O,9,0)),"")</f>
        <v/>
      </c>
    </row>
    <row r="2548" spans="4:17" ht="12.75" customHeight="1" x14ac:dyDescent="0.2">
      <c r="D2548" s="58" t="str">
        <f>IFERROR(IF(F2548&lt;&gt;"pending","",IF(OR($B2548="",$B2548="(blank)"),"",VLOOKUP($B2548,'Email Marketing Raw Data'!$C:$O,10,0))),"")</f>
        <v/>
      </c>
      <c r="E2548" s="59" t="str">
        <f>IFERROR(IF(F2548&lt;&gt;"pending","",IF(OR($B2548="",$B2548="(blank)"),"",VLOOKUP($B2548,'Email Marketing Raw Data'!$C:$O,11,0))),"")</f>
        <v/>
      </c>
      <c r="F2548" s="54" t="str">
        <f>IFERROR(IF(OR($B2548="",$B2548="(blank)"),"",VLOOKUP($B2548,'Email Marketing Raw Data'!$C:$O,13,0)),"")</f>
        <v/>
      </c>
      <c r="G2548" s="55" t="str">
        <f>IFERROR(IF(OR($B2548="",$B2548="(blank)"),"",VLOOKUP($B2548,'Email Marketing Raw Data'!$C:$O,4,0)),"")</f>
        <v/>
      </c>
      <c r="H2548" s="55" t="str">
        <f>IFERROR(IF(OR($B2548="",$B2548="(blank)"),"",VLOOKUP($B2548,'Email Marketing Raw Data'!$C:$O,5,0)),"")</f>
        <v/>
      </c>
      <c r="I2548" s="55" t="str">
        <f>IFERROR(IF($G2548="","",VLOOKUP('Dashboard And Emails Automate'!$G2548,Database!$H:$N,3,0)),"")</f>
        <v/>
      </c>
      <c r="J2548" s="55" t="str">
        <f>IFERROR(IF($G2548="","",VLOOKUP('Dashboard And Emails Automate'!$G2548,Database!$H:$N,4,0)),"")</f>
        <v/>
      </c>
      <c r="K2548" s="55" t="str">
        <f>IFERROR(IF($G2548="","",VLOOKUP('Dashboard And Emails Automate'!$G2548,Database!$H:$N,5,0)),"")</f>
        <v/>
      </c>
      <c r="L2548" s="55" t="str">
        <f>IFERROR(IF($G2548="","",VLOOKUP('Dashboard And Emails Automate'!$G2548,Database!$H:$N,6,0)),"")</f>
        <v/>
      </c>
      <c r="M2548" s="55" t="str">
        <f>IFERROR(IF($G2548="","",VLOOKUP('Dashboard And Emails Automate'!$G2548,Database!$H:$N,7,0)),"")</f>
        <v/>
      </c>
      <c r="N2548" s="55" t="str">
        <f>IFERROR(IF(OR($B2548="",$B2548="(blank)"),"",VLOOKUP($B2548,'Email Marketing Raw Data'!$C:$O,6,0)),"")</f>
        <v/>
      </c>
      <c r="O2548" s="55" t="str">
        <f>IFERROR(IF(OR($B2548="",$B2548="(blank)"),"",VLOOKUP($B2548,'Email Marketing Raw Data'!$C:$O,7,0)),"")</f>
        <v/>
      </c>
      <c r="P2548" s="55" t="str">
        <f>IFERROR(IF(OR($B2548="",$B2548="(blank)"),"",VLOOKUP($B2548,'Email Marketing Raw Data'!$C:$O,8,0)),"")</f>
        <v/>
      </c>
      <c r="Q2548" s="62" t="str">
        <f>IFERROR(IF(OR($B2548="",$B2548="(blank)"),"",VLOOKUP($B2548,'Email Marketing Raw Data'!$C:$O,9,0)),"")</f>
        <v/>
      </c>
    </row>
    <row r="2549" spans="4:17" ht="12.75" customHeight="1" x14ac:dyDescent="0.2">
      <c r="D2549" s="58" t="str">
        <f>IFERROR(IF(F2549&lt;&gt;"pending","",IF(OR($B2549="",$B2549="(blank)"),"",VLOOKUP($B2549,'Email Marketing Raw Data'!$C:$O,10,0))),"")</f>
        <v/>
      </c>
      <c r="E2549" s="59" t="str">
        <f>IFERROR(IF(F2549&lt;&gt;"pending","",IF(OR($B2549="",$B2549="(blank)"),"",VLOOKUP($B2549,'Email Marketing Raw Data'!$C:$O,11,0))),"")</f>
        <v/>
      </c>
      <c r="F2549" s="54" t="str">
        <f>IFERROR(IF(OR($B2549="",$B2549="(blank)"),"",VLOOKUP($B2549,'Email Marketing Raw Data'!$C:$O,13,0)),"")</f>
        <v/>
      </c>
      <c r="G2549" s="55" t="str">
        <f>IFERROR(IF(OR($B2549="",$B2549="(blank)"),"",VLOOKUP($B2549,'Email Marketing Raw Data'!$C:$O,4,0)),"")</f>
        <v/>
      </c>
      <c r="H2549" s="55" t="str">
        <f>IFERROR(IF(OR($B2549="",$B2549="(blank)"),"",VLOOKUP($B2549,'Email Marketing Raw Data'!$C:$O,5,0)),"")</f>
        <v/>
      </c>
      <c r="I2549" s="55" t="str">
        <f>IFERROR(IF($G2549="","",VLOOKUP('Dashboard And Emails Automate'!$G2549,Database!$H:$N,3,0)),"")</f>
        <v/>
      </c>
      <c r="J2549" s="55" t="str">
        <f>IFERROR(IF($G2549="","",VLOOKUP('Dashboard And Emails Automate'!$G2549,Database!$H:$N,4,0)),"")</f>
        <v/>
      </c>
      <c r="K2549" s="55" t="str">
        <f>IFERROR(IF($G2549="","",VLOOKUP('Dashboard And Emails Automate'!$G2549,Database!$H:$N,5,0)),"")</f>
        <v/>
      </c>
      <c r="L2549" s="55" t="str">
        <f>IFERROR(IF($G2549="","",VLOOKUP('Dashboard And Emails Automate'!$G2549,Database!$H:$N,6,0)),"")</f>
        <v/>
      </c>
      <c r="M2549" s="55" t="str">
        <f>IFERROR(IF($G2549="","",VLOOKUP('Dashboard And Emails Automate'!$G2549,Database!$H:$N,7,0)),"")</f>
        <v/>
      </c>
      <c r="N2549" s="55" t="str">
        <f>IFERROR(IF(OR($B2549="",$B2549="(blank)"),"",VLOOKUP($B2549,'Email Marketing Raw Data'!$C:$O,6,0)),"")</f>
        <v/>
      </c>
      <c r="O2549" s="55" t="str">
        <f>IFERROR(IF(OR($B2549="",$B2549="(blank)"),"",VLOOKUP($B2549,'Email Marketing Raw Data'!$C:$O,7,0)),"")</f>
        <v/>
      </c>
      <c r="P2549" s="55" t="str">
        <f>IFERROR(IF(OR($B2549="",$B2549="(blank)"),"",VLOOKUP($B2549,'Email Marketing Raw Data'!$C:$O,8,0)),"")</f>
        <v/>
      </c>
      <c r="Q2549" s="62" t="str">
        <f>IFERROR(IF(OR($B2549="",$B2549="(blank)"),"",VLOOKUP($B2549,'Email Marketing Raw Data'!$C:$O,9,0)),"")</f>
        <v/>
      </c>
    </row>
    <row r="2550" spans="4:17" ht="12.75" customHeight="1" x14ac:dyDescent="0.2">
      <c r="D2550" s="58" t="str">
        <f>IFERROR(IF(F2550&lt;&gt;"pending","",IF(OR($B2550="",$B2550="(blank)"),"",VLOOKUP($B2550,'Email Marketing Raw Data'!$C:$O,10,0))),"")</f>
        <v/>
      </c>
      <c r="E2550" s="59" t="str">
        <f>IFERROR(IF(F2550&lt;&gt;"pending","",IF(OR($B2550="",$B2550="(blank)"),"",VLOOKUP($B2550,'Email Marketing Raw Data'!$C:$O,11,0))),"")</f>
        <v/>
      </c>
      <c r="F2550" s="54" t="str">
        <f>IFERROR(IF(OR($B2550="",$B2550="(blank)"),"",VLOOKUP($B2550,'Email Marketing Raw Data'!$C:$O,13,0)),"")</f>
        <v/>
      </c>
      <c r="G2550" s="55" t="str">
        <f>IFERROR(IF(OR($B2550="",$B2550="(blank)"),"",VLOOKUP($B2550,'Email Marketing Raw Data'!$C:$O,4,0)),"")</f>
        <v/>
      </c>
      <c r="H2550" s="55" t="str">
        <f>IFERROR(IF(OR($B2550="",$B2550="(blank)"),"",VLOOKUP($B2550,'Email Marketing Raw Data'!$C:$O,5,0)),"")</f>
        <v/>
      </c>
      <c r="I2550" s="55" t="str">
        <f>IFERROR(IF($G2550="","",VLOOKUP('Dashboard And Emails Automate'!$G2550,Database!$H:$N,3,0)),"")</f>
        <v/>
      </c>
      <c r="J2550" s="55" t="str">
        <f>IFERROR(IF($G2550="","",VLOOKUP('Dashboard And Emails Automate'!$G2550,Database!$H:$N,4,0)),"")</f>
        <v/>
      </c>
      <c r="K2550" s="55" t="str">
        <f>IFERROR(IF($G2550="","",VLOOKUP('Dashboard And Emails Automate'!$G2550,Database!$H:$N,5,0)),"")</f>
        <v/>
      </c>
      <c r="L2550" s="55" t="str">
        <f>IFERROR(IF($G2550="","",VLOOKUP('Dashboard And Emails Automate'!$G2550,Database!$H:$N,6,0)),"")</f>
        <v/>
      </c>
      <c r="M2550" s="55" t="str">
        <f>IFERROR(IF($G2550="","",VLOOKUP('Dashboard And Emails Automate'!$G2550,Database!$H:$N,7,0)),"")</f>
        <v/>
      </c>
      <c r="N2550" s="55" t="str">
        <f>IFERROR(IF(OR($B2550="",$B2550="(blank)"),"",VLOOKUP($B2550,'Email Marketing Raw Data'!$C:$O,6,0)),"")</f>
        <v/>
      </c>
      <c r="O2550" s="55" t="str">
        <f>IFERROR(IF(OR($B2550="",$B2550="(blank)"),"",VLOOKUP($B2550,'Email Marketing Raw Data'!$C:$O,7,0)),"")</f>
        <v/>
      </c>
      <c r="P2550" s="55" t="str">
        <f>IFERROR(IF(OR($B2550="",$B2550="(blank)"),"",VLOOKUP($B2550,'Email Marketing Raw Data'!$C:$O,8,0)),"")</f>
        <v/>
      </c>
      <c r="Q2550" s="62" t="str">
        <f>IFERROR(IF(OR($B2550="",$B2550="(blank)"),"",VLOOKUP($B2550,'Email Marketing Raw Data'!$C:$O,9,0)),"")</f>
        <v/>
      </c>
    </row>
    <row r="2551" spans="4:17" ht="12.75" customHeight="1" x14ac:dyDescent="0.2">
      <c r="D2551" s="58" t="str">
        <f>IFERROR(IF(F2551&lt;&gt;"pending","",IF(OR($B2551="",$B2551="(blank)"),"",VLOOKUP($B2551,'Email Marketing Raw Data'!$C:$O,10,0))),"")</f>
        <v/>
      </c>
      <c r="E2551" s="59" t="str">
        <f>IFERROR(IF(F2551&lt;&gt;"pending","",IF(OR($B2551="",$B2551="(blank)"),"",VLOOKUP($B2551,'Email Marketing Raw Data'!$C:$O,11,0))),"")</f>
        <v/>
      </c>
      <c r="F2551" s="54" t="str">
        <f>IFERROR(IF(OR($B2551="",$B2551="(blank)"),"",VLOOKUP($B2551,'Email Marketing Raw Data'!$C:$O,13,0)),"")</f>
        <v/>
      </c>
      <c r="G2551" s="55" t="str">
        <f>IFERROR(IF(OR($B2551="",$B2551="(blank)"),"",VLOOKUP($B2551,'Email Marketing Raw Data'!$C:$O,4,0)),"")</f>
        <v/>
      </c>
      <c r="H2551" s="55" t="str">
        <f>IFERROR(IF(OR($B2551="",$B2551="(blank)"),"",VLOOKUP($B2551,'Email Marketing Raw Data'!$C:$O,5,0)),"")</f>
        <v/>
      </c>
      <c r="I2551" s="55" t="str">
        <f>IFERROR(IF($G2551="","",VLOOKUP('Dashboard And Emails Automate'!$G2551,Database!$H:$N,3,0)),"")</f>
        <v/>
      </c>
      <c r="J2551" s="55" t="str">
        <f>IFERROR(IF($G2551="","",VLOOKUP('Dashboard And Emails Automate'!$G2551,Database!$H:$N,4,0)),"")</f>
        <v/>
      </c>
      <c r="K2551" s="55" t="str">
        <f>IFERROR(IF($G2551="","",VLOOKUP('Dashboard And Emails Automate'!$G2551,Database!$H:$N,5,0)),"")</f>
        <v/>
      </c>
      <c r="L2551" s="55" t="str">
        <f>IFERROR(IF($G2551="","",VLOOKUP('Dashboard And Emails Automate'!$G2551,Database!$H:$N,6,0)),"")</f>
        <v/>
      </c>
      <c r="M2551" s="55" t="str">
        <f>IFERROR(IF($G2551="","",VLOOKUP('Dashboard And Emails Automate'!$G2551,Database!$H:$N,7,0)),"")</f>
        <v/>
      </c>
      <c r="N2551" s="55" t="str">
        <f>IFERROR(IF(OR($B2551="",$B2551="(blank)"),"",VLOOKUP($B2551,'Email Marketing Raw Data'!$C:$O,6,0)),"")</f>
        <v/>
      </c>
      <c r="O2551" s="55" t="str">
        <f>IFERROR(IF(OR($B2551="",$B2551="(blank)"),"",VLOOKUP($B2551,'Email Marketing Raw Data'!$C:$O,7,0)),"")</f>
        <v/>
      </c>
      <c r="P2551" s="55" t="str">
        <f>IFERROR(IF(OR($B2551="",$B2551="(blank)"),"",VLOOKUP($B2551,'Email Marketing Raw Data'!$C:$O,8,0)),"")</f>
        <v/>
      </c>
      <c r="Q2551" s="62" t="str">
        <f>IFERROR(IF(OR($B2551="",$B2551="(blank)"),"",VLOOKUP($B2551,'Email Marketing Raw Data'!$C:$O,9,0)),"")</f>
        <v/>
      </c>
    </row>
    <row r="2552" spans="4:17" ht="12.75" customHeight="1" x14ac:dyDescent="0.2">
      <c r="D2552" s="58" t="str">
        <f>IFERROR(IF(F2552&lt;&gt;"pending","",IF(OR($B2552="",$B2552="(blank)"),"",VLOOKUP($B2552,'Email Marketing Raw Data'!$C:$O,10,0))),"")</f>
        <v/>
      </c>
      <c r="E2552" s="59" t="str">
        <f>IFERROR(IF(F2552&lt;&gt;"pending","",IF(OR($B2552="",$B2552="(blank)"),"",VLOOKUP($B2552,'Email Marketing Raw Data'!$C:$O,11,0))),"")</f>
        <v/>
      </c>
      <c r="F2552" s="54" t="str">
        <f>IFERROR(IF(OR($B2552="",$B2552="(blank)"),"",VLOOKUP($B2552,'Email Marketing Raw Data'!$C:$O,13,0)),"")</f>
        <v/>
      </c>
      <c r="G2552" s="55" t="str">
        <f>IFERROR(IF(OR($B2552="",$B2552="(blank)"),"",VLOOKUP($B2552,'Email Marketing Raw Data'!$C:$O,4,0)),"")</f>
        <v/>
      </c>
      <c r="H2552" s="55" t="str">
        <f>IFERROR(IF(OR($B2552="",$B2552="(blank)"),"",VLOOKUP($B2552,'Email Marketing Raw Data'!$C:$O,5,0)),"")</f>
        <v/>
      </c>
      <c r="I2552" s="55" t="str">
        <f>IFERROR(IF($G2552="","",VLOOKUP('Dashboard And Emails Automate'!$G2552,Database!$H:$N,3,0)),"")</f>
        <v/>
      </c>
      <c r="J2552" s="55" t="str">
        <f>IFERROR(IF($G2552="","",VLOOKUP('Dashboard And Emails Automate'!$G2552,Database!$H:$N,4,0)),"")</f>
        <v/>
      </c>
      <c r="K2552" s="55" t="str">
        <f>IFERROR(IF($G2552="","",VLOOKUP('Dashboard And Emails Automate'!$G2552,Database!$H:$N,5,0)),"")</f>
        <v/>
      </c>
      <c r="L2552" s="55" t="str">
        <f>IFERROR(IF($G2552="","",VLOOKUP('Dashboard And Emails Automate'!$G2552,Database!$H:$N,6,0)),"")</f>
        <v/>
      </c>
      <c r="M2552" s="55" t="str">
        <f>IFERROR(IF($G2552="","",VLOOKUP('Dashboard And Emails Automate'!$G2552,Database!$H:$N,7,0)),"")</f>
        <v/>
      </c>
      <c r="N2552" s="55" t="str">
        <f>IFERROR(IF(OR($B2552="",$B2552="(blank)"),"",VLOOKUP($B2552,'Email Marketing Raw Data'!$C:$O,6,0)),"")</f>
        <v/>
      </c>
      <c r="O2552" s="55" t="str">
        <f>IFERROR(IF(OR($B2552="",$B2552="(blank)"),"",VLOOKUP($B2552,'Email Marketing Raw Data'!$C:$O,7,0)),"")</f>
        <v/>
      </c>
      <c r="P2552" s="55" t="str">
        <f>IFERROR(IF(OR($B2552="",$B2552="(blank)"),"",VLOOKUP($B2552,'Email Marketing Raw Data'!$C:$O,8,0)),"")</f>
        <v/>
      </c>
      <c r="Q2552" s="62" t="str">
        <f>IFERROR(IF(OR($B2552="",$B2552="(blank)"),"",VLOOKUP($B2552,'Email Marketing Raw Data'!$C:$O,9,0)),"")</f>
        <v/>
      </c>
    </row>
    <row r="2553" spans="4:17" ht="12.75" customHeight="1" x14ac:dyDescent="0.2">
      <c r="D2553" s="58" t="str">
        <f>IFERROR(IF(F2553&lt;&gt;"pending","",IF(OR($B2553="",$B2553="(blank)"),"",VLOOKUP($B2553,'Email Marketing Raw Data'!$C:$O,10,0))),"")</f>
        <v/>
      </c>
      <c r="E2553" s="59" t="str">
        <f>IFERROR(IF(F2553&lt;&gt;"pending","",IF(OR($B2553="",$B2553="(blank)"),"",VLOOKUP($B2553,'Email Marketing Raw Data'!$C:$O,11,0))),"")</f>
        <v/>
      </c>
      <c r="F2553" s="54" t="str">
        <f>IFERROR(IF(OR($B2553="",$B2553="(blank)"),"",VLOOKUP($B2553,'Email Marketing Raw Data'!$C:$O,13,0)),"")</f>
        <v/>
      </c>
      <c r="G2553" s="55" t="str">
        <f>IFERROR(IF(OR($B2553="",$B2553="(blank)"),"",VLOOKUP($B2553,'Email Marketing Raw Data'!$C:$O,4,0)),"")</f>
        <v/>
      </c>
      <c r="H2553" s="55" t="str">
        <f>IFERROR(IF(OR($B2553="",$B2553="(blank)"),"",VLOOKUP($B2553,'Email Marketing Raw Data'!$C:$O,5,0)),"")</f>
        <v/>
      </c>
      <c r="I2553" s="55" t="str">
        <f>IFERROR(IF($G2553="","",VLOOKUP('Dashboard And Emails Automate'!$G2553,Database!$H:$N,3,0)),"")</f>
        <v/>
      </c>
      <c r="J2553" s="55" t="str">
        <f>IFERROR(IF($G2553="","",VLOOKUP('Dashboard And Emails Automate'!$G2553,Database!$H:$N,4,0)),"")</f>
        <v/>
      </c>
      <c r="K2553" s="55" t="str">
        <f>IFERROR(IF($G2553="","",VLOOKUP('Dashboard And Emails Automate'!$G2553,Database!$H:$N,5,0)),"")</f>
        <v/>
      </c>
      <c r="L2553" s="55" t="str">
        <f>IFERROR(IF($G2553="","",VLOOKUP('Dashboard And Emails Automate'!$G2553,Database!$H:$N,6,0)),"")</f>
        <v/>
      </c>
      <c r="M2553" s="55" t="str">
        <f>IFERROR(IF($G2553="","",VLOOKUP('Dashboard And Emails Automate'!$G2553,Database!$H:$N,7,0)),"")</f>
        <v/>
      </c>
      <c r="N2553" s="55" t="str">
        <f>IFERROR(IF(OR($B2553="",$B2553="(blank)"),"",VLOOKUP($B2553,'Email Marketing Raw Data'!$C:$O,6,0)),"")</f>
        <v/>
      </c>
      <c r="O2553" s="55" t="str">
        <f>IFERROR(IF(OR($B2553="",$B2553="(blank)"),"",VLOOKUP($B2553,'Email Marketing Raw Data'!$C:$O,7,0)),"")</f>
        <v/>
      </c>
      <c r="P2553" s="55" t="str">
        <f>IFERROR(IF(OR($B2553="",$B2553="(blank)"),"",VLOOKUP($B2553,'Email Marketing Raw Data'!$C:$O,8,0)),"")</f>
        <v/>
      </c>
      <c r="Q2553" s="62" t="str">
        <f>IFERROR(IF(OR($B2553="",$B2553="(blank)"),"",VLOOKUP($B2553,'Email Marketing Raw Data'!$C:$O,9,0)),"")</f>
        <v/>
      </c>
    </row>
    <row r="2554" spans="4:17" ht="12.75" customHeight="1" x14ac:dyDescent="0.2">
      <c r="D2554" s="58" t="str">
        <f>IFERROR(IF(F2554&lt;&gt;"pending","",IF(OR($B2554="",$B2554="(blank)"),"",VLOOKUP($B2554,'Email Marketing Raw Data'!$C:$O,10,0))),"")</f>
        <v/>
      </c>
      <c r="E2554" s="59" t="str">
        <f>IFERROR(IF(F2554&lt;&gt;"pending","",IF(OR($B2554="",$B2554="(blank)"),"",VLOOKUP($B2554,'Email Marketing Raw Data'!$C:$O,11,0))),"")</f>
        <v/>
      </c>
      <c r="F2554" s="54" t="str">
        <f>IFERROR(IF(OR($B2554="",$B2554="(blank)"),"",VLOOKUP($B2554,'Email Marketing Raw Data'!$C:$O,13,0)),"")</f>
        <v/>
      </c>
      <c r="G2554" s="55" t="str">
        <f>IFERROR(IF(OR($B2554="",$B2554="(blank)"),"",VLOOKUP($B2554,'Email Marketing Raw Data'!$C:$O,4,0)),"")</f>
        <v/>
      </c>
      <c r="H2554" s="55" t="str">
        <f>IFERROR(IF(OR($B2554="",$B2554="(blank)"),"",VLOOKUP($B2554,'Email Marketing Raw Data'!$C:$O,5,0)),"")</f>
        <v/>
      </c>
      <c r="I2554" s="55" t="str">
        <f>IFERROR(IF($G2554="","",VLOOKUP('Dashboard And Emails Automate'!$G2554,Database!$H:$N,3,0)),"")</f>
        <v/>
      </c>
      <c r="J2554" s="55" t="str">
        <f>IFERROR(IF($G2554="","",VLOOKUP('Dashboard And Emails Automate'!$G2554,Database!$H:$N,4,0)),"")</f>
        <v/>
      </c>
      <c r="K2554" s="55" t="str">
        <f>IFERROR(IF($G2554="","",VLOOKUP('Dashboard And Emails Automate'!$G2554,Database!$H:$N,5,0)),"")</f>
        <v/>
      </c>
      <c r="L2554" s="55" t="str">
        <f>IFERROR(IF($G2554="","",VLOOKUP('Dashboard And Emails Automate'!$G2554,Database!$H:$N,6,0)),"")</f>
        <v/>
      </c>
      <c r="M2554" s="55" t="str">
        <f>IFERROR(IF($G2554="","",VLOOKUP('Dashboard And Emails Automate'!$G2554,Database!$H:$N,7,0)),"")</f>
        <v/>
      </c>
      <c r="N2554" s="55" t="str">
        <f>IFERROR(IF(OR($B2554="",$B2554="(blank)"),"",VLOOKUP($B2554,'Email Marketing Raw Data'!$C:$O,6,0)),"")</f>
        <v/>
      </c>
      <c r="O2554" s="55" t="str">
        <f>IFERROR(IF(OR($B2554="",$B2554="(blank)"),"",VLOOKUP($B2554,'Email Marketing Raw Data'!$C:$O,7,0)),"")</f>
        <v/>
      </c>
      <c r="P2554" s="55" t="str">
        <f>IFERROR(IF(OR($B2554="",$B2554="(blank)"),"",VLOOKUP($B2554,'Email Marketing Raw Data'!$C:$O,8,0)),"")</f>
        <v/>
      </c>
      <c r="Q2554" s="62" t="str">
        <f>IFERROR(IF(OR($B2554="",$B2554="(blank)"),"",VLOOKUP($B2554,'Email Marketing Raw Data'!$C:$O,9,0)),"")</f>
        <v/>
      </c>
    </row>
    <row r="2555" spans="4:17" ht="12.75" customHeight="1" x14ac:dyDescent="0.2">
      <c r="D2555" s="58" t="str">
        <f>IFERROR(IF(F2555&lt;&gt;"pending","",IF(OR($B2555="",$B2555="(blank)"),"",VLOOKUP($B2555,'Email Marketing Raw Data'!$C:$O,10,0))),"")</f>
        <v/>
      </c>
      <c r="E2555" s="59" t="str">
        <f>IFERROR(IF(F2555&lt;&gt;"pending","",IF(OR($B2555="",$B2555="(blank)"),"",VLOOKUP($B2555,'Email Marketing Raw Data'!$C:$O,11,0))),"")</f>
        <v/>
      </c>
      <c r="F2555" s="54" t="str">
        <f>IFERROR(IF(OR($B2555="",$B2555="(blank)"),"",VLOOKUP($B2555,'Email Marketing Raw Data'!$C:$O,13,0)),"")</f>
        <v/>
      </c>
      <c r="G2555" s="55" t="str">
        <f>IFERROR(IF(OR($B2555="",$B2555="(blank)"),"",VLOOKUP($B2555,'Email Marketing Raw Data'!$C:$O,4,0)),"")</f>
        <v/>
      </c>
      <c r="H2555" s="55" t="str">
        <f>IFERROR(IF(OR($B2555="",$B2555="(blank)"),"",VLOOKUP($B2555,'Email Marketing Raw Data'!$C:$O,5,0)),"")</f>
        <v/>
      </c>
      <c r="I2555" s="55" t="str">
        <f>IFERROR(IF($G2555="","",VLOOKUP('Dashboard And Emails Automate'!$G2555,Database!$H:$N,3,0)),"")</f>
        <v/>
      </c>
      <c r="J2555" s="55" t="str">
        <f>IFERROR(IF($G2555="","",VLOOKUP('Dashboard And Emails Automate'!$G2555,Database!$H:$N,4,0)),"")</f>
        <v/>
      </c>
      <c r="K2555" s="55" t="str">
        <f>IFERROR(IF($G2555="","",VLOOKUP('Dashboard And Emails Automate'!$G2555,Database!$H:$N,5,0)),"")</f>
        <v/>
      </c>
      <c r="L2555" s="55" t="str">
        <f>IFERROR(IF($G2555="","",VLOOKUP('Dashboard And Emails Automate'!$G2555,Database!$H:$N,6,0)),"")</f>
        <v/>
      </c>
      <c r="M2555" s="55" t="str">
        <f>IFERROR(IF($G2555="","",VLOOKUP('Dashboard And Emails Automate'!$G2555,Database!$H:$N,7,0)),"")</f>
        <v/>
      </c>
      <c r="N2555" s="55" t="str">
        <f>IFERROR(IF(OR($B2555="",$B2555="(blank)"),"",VLOOKUP($B2555,'Email Marketing Raw Data'!$C:$O,6,0)),"")</f>
        <v/>
      </c>
      <c r="O2555" s="55" t="str">
        <f>IFERROR(IF(OR($B2555="",$B2555="(blank)"),"",VLOOKUP($B2555,'Email Marketing Raw Data'!$C:$O,7,0)),"")</f>
        <v/>
      </c>
      <c r="P2555" s="55" t="str">
        <f>IFERROR(IF(OR($B2555="",$B2555="(blank)"),"",VLOOKUP($B2555,'Email Marketing Raw Data'!$C:$O,8,0)),"")</f>
        <v/>
      </c>
      <c r="Q2555" s="62" t="str">
        <f>IFERROR(IF(OR($B2555="",$B2555="(blank)"),"",VLOOKUP($B2555,'Email Marketing Raw Data'!$C:$O,9,0)),"")</f>
        <v/>
      </c>
    </row>
    <row r="2556" spans="4:17" ht="12.75" customHeight="1" x14ac:dyDescent="0.2">
      <c r="D2556" s="58" t="str">
        <f>IFERROR(IF(F2556&lt;&gt;"pending","",IF(OR($B2556="",$B2556="(blank)"),"",VLOOKUP($B2556,'Email Marketing Raw Data'!$C:$O,10,0))),"")</f>
        <v/>
      </c>
      <c r="E2556" s="59" t="str">
        <f>IFERROR(IF(F2556&lt;&gt;"pending","",IF(OR($B2556="",$B2556="(blank)"),"",VLOOKUP($B2556,'Email Marketing Raw Data'!$C:$O,11,0))),"")</f>
        <v/>
      </c>
      <c r="F2556" s="54" t="str">
        <f>IFERROR(IF(OR($B2556="",$B2556="(blank)"),"",VLOOKUP($B2556,'Email Marketing Raw Data'!$C:$O,13,0)),"")</f>
        <v/>
      </c>
      <c r="G2556" s="55" t="str">
        <f>IFERROR(IF(OR($B2556="",$B2556="(blank)"),"",VLOOKUP($B2556,'Email Marketing Raw Data'!$C:$O,4,0)),"")</f>
        <v/>
      </c>
      <c r="H2556" s="55" t="str">
        <f>IFERROR(IF(OR($B2556="",$B2556="(blank)"),"",VLOOKUP($B2556,'Email Marketing Raw Data'!$C:$O,5,0)),"")</f>
        <v/>
      </c>
      <c r="I2556" s="55" t="str">
        <f>IFERROR(IF($G2556="","",VLOOKUP('Dashboard And Emails Automate'!$G2556,Database!$H:$N,3,0)),"")</f>
        <v/>
      </c>
      <c r="J2556" s="55" t="str">
        <f>IFERROR(IF($G2556="","",VLOOKUP('Dashboard And Emails Automate'!$G2556,Database!$H:$N,4,0)),"")</f>
        <v/>
      </c>
      <c r="K2556" s="55" t="str">
        <f>IFERROR(IF($G2556="","",VLOOKUP('Dashboard And Emails Automate'!$G2556,Database!$H:$N,5,0)),"")</f>
        <v/>
      </c>
      <c r="L2556" s="55" t="str">
        <f>IFERROR(IF($G2556="","",VLOOKUP('Dashboard And Emails Automate'!$G2556,Database!$H:$N,6,0)),"")</f>
        <v/>
      </c>
      <c r="M2556" s="55" t="str">
        <f>IFERROR(IF($G2556="","",VLOOKUP('Dashboard And Emails Automate'!$G2556,Database!$H:$N,7,0)),"")</f>
        <v/>
      </c>
      <c r="N2556" s="55" t="str">
        <f>IFERROR(IF(OR($B2556="",$B2556="(blank)"),"",VLOOKUP($B2556,'Email Marketing Raw Data'!$C:$O,6,0)),"")</f>
        <v/>
      </c>
      <c r="O2556" s="55" t="str">
        <f>IFERROR(IF(OR($B2556="",$B2556="(blank)"),"",VLOOKUP($B2556,'Email Marketing Raw Data'!$C:$O,7,0)),"")</f>
        <v/>
      </c>
      <c r="P2556" s="55" t="str">
        <f>IFERROR(IF(OR($B2556="",$B2556="(blank)"),"",VLOOKUP($B2556,'Email Marketing Raw Data'!$C:$O,8,0)),"")</f>
        <v/>
      </c>
      <c r="Q2556" s="62" t="str">
        <f>IFERROR(IF(OR($B2556="",$B2556="(blank)"),"",VLOOKUP($B2556,'Email Marketing Raw Data'!$C:$O,9,0)),"")</f>
        <v/>
      </c>
    </row>
    <row r="2557" spans="4:17" ht="12.75" customHeight="1" x14ac:dyDescent="0.2">
      <c r="D2557" s="58" t="str">
        <f>IFERROR(IF(F2557&lt;&gt;"pending","",IF(OR($B2557="",$B2557="(blank)"),"",VLOOKUP($B2557,'Email Marketing Raw Data'!$C:$O,10,0))),"")</f>
        <v/>
      </c>
      <c r="E2557" s="59" t="str">
        <f>IFERROR(IF(F2557&lt;&gt;"pending","",IF(OR($B2557="",$B2557="(blank)"),"",VLOOKUP($B2557,'Email Marketing Raw Data'!$C:$O,11,0))),"")</f>
        <v/>
      </c>
      <c r="F2557" s="54" t="str">
        <f>IFERROR(IF(OR($B2557="",$B2557="(blank)"),"",VLOOKUP($B2557,'Email Marketing Raw Data'!$C:$O,13,0)),"")</f>
        <v/>
      </c>
      <c r="G2557" s="55" t="str">
        <f>IFERROR(IF(OR($B2557="",$B2557="(blank)"),"",VLOOKUP($B2557,'Email Marketing Raw Data'!$C:$O,4,0)),"")</f>
        <v/>
      </c>
      <c r="H2557" s="55" t="str">
        <f>IFERROR(IF(OR($B2557="",$B2557="(blank)"),"",VLOOKUP($B2557,'Email Marketing Raw Data'!$C:$O,5,0)),"")</f>
        <v/>
      </c>
      <c r="I2557" s="55" t="str">
        <f>IFERROR(IF($G2557="","",VLOOKUP('Dashboard And Emails Automate'!$G2557,Database!$H:$N,3,0)),"")</f>
        <v/>
      </c>
      <c r="J2557" s="55" t="str">
        <f>IFERROR(IF($G2557="","",VLOOKUP('Dashboard And Emails Automate'!$G2557,Database!$H:$N,4,0)),"")</f>
        <v/>
      </c>
      <c r="K2557" s="55" t="str">
        <f>IFERROR(IF($G2557="","",VLOOKUP('Dashboard And Emails Automate'!$G2557,Database!$H:$N,5,0)),"")</f>
        <v/>
      </c>
      <c r="L2557" s="55" t="str">
        <f>IFERROR(IF($G2557="","",VLOOKUP('Dashboard And Emails Automate'!$G2557,Database!$H:$N,6,0)),"")</f>
        <v/>
      </c>
      <c r="M2557" s="55" t="str">
        <f>IFERROR(IF($G2557="","",VLOOKUP('Dashboard And Emails Automate'!$G2557,Database!$H:$N,7,0)),"")</f>
        <v/>
      </c>
      <c r="N2557" s="55" t="str">
        <f>IFERROR(IF(OR($B2557="",$B2557="(blank)"),"",VLOOKUP($B2557,'Email Marketing Raw Data'!$C:$O,6,0)),"")</f>
        <v/>
      </c>
      <c r="O2557" s="55" t="str">
        <f>IFERROR(IF(OR($B2557="",$B2557="(blank)"),"",VLOOKUP($B2557,'Email Marketing Raw Data'!$C:$O,7,0)),"")</f>
        <v/>
      </c>
      <c r="P2557" s="55" t="str">
        <f>IFERROR(IF(OR($B2557="",$B2557="(blank)"),"",VLOOKUP($B2557,'Email Marketing Raw Data'!$C:$O,8,0)),"")</f>
        <v/>
      </c>
      <c r="Q2557" s="62" t="str">
        <f>IFERROR(IF(OR($B2557="",$B2557="(blank)"),"",VLOOKUP($B2557,'Email Marketing Raw Data'!$C:$O,9,0)),"")</f>
        <v/>
      </c>
    </row>
    <row r="2558" spans="4:17" ht="12.75" customHeight="1" x14ac:dyDescent="0.2">
      <c r="D2558" s="58" t="str">
        <f>IFERROR(IF(F2558&lt;&gt;"pending","",IF(OR($B2558="",$B2558="(blank)"),"",VLOOKUP($B2558,'Email Marketing Raw Data'!$C:$O,10,0))),"")</f>
        <v/>
      </c>
      <c r="E2558" s="59" t="str">
        <f>IFERROR(IF(F2558&lt;&gt;"pending","",IF(OR($B2558="",$B2558="(blank)"),"",VLOOKUP($B2558,'Email Marketing Raw Data'!$C:$O,11,0))),"")</f>
        <v/>
      </c>
      <c r="F2558" s="54" t="str">
        <f>IFERROR(IF(OR($B2558="",$B2558="(blank)"),"",VLOOKUP($B2558,'Email Marketing Raw Data'!$C:$O,13,0)),"")</f>
        <v/>
      </c>
      <c r="G2558" s="55" t="str">
        <f>IFERROR(IF(OR($B2558="",$B2558="(blank)"),"",VLOOKUP($B2558,'Email Marketing Raw Data'!$C:$O,4,0)),"")</f>
        <v/>
      </c>
      <c r="H2558" s="55" t="str">
        <f>IFERROR(IF(OR($B2558="",$B2558="(blank)"),"",VLOOKUP($B2558,'Email Marketing Raw Data'!$C:$O,5,0)),"")</f>
        <v/>
      </c>
      <c r="I2558" s="55" t="str">
        <f>IFERROR(IF($G2558="","",VLOOKUP('Dashboard And Emails Automate'!$G2558,Database!$H:$N,3,0)),"")</f>
        <v/>
      </c>
      <c r="J2558" s="55" t="str">
        <f>IFERROR(IF($G2558="","",VLOOKUP('Dashboard And Emails Automate'!$G2558,Database!$H:$N,4,0)),"")</f>
        <v/>
      </c>
      <c r="K2558" s="55" t="str">
        <f>IFERROR(IF($G2558="","",VLOOKUP('Dashboard And Emails Automate'!$G2558,Database!$H:$N,5,0)),"")</f>
        <v/>
      </c>
      <c r="L2558" s="55" t="str">
        <f>IFERROR(IF($G2558="","",VLOOKUP('Dashboard And Emails Automate'!$G2558,Database!$H:$N,6,0)),"")</f>
        <v/>
      </c>
      <c r="M2558" s="55" t="str">
        <f>IFERROR(IF($G2558="","",VLOOKUP('Dashboard And Emails Automate'!$G2558,Database!$H:$N,7,0)),"")</f>
        <v/>
      </c>
      <c r="N2558" s="55" t="str">
        <f>IFERROR(IF(OR($B2558="",$B2558="(blank)"),"",VLOOKUP($B2558,'Email Marketing Raw Data'!$C:$O,6,0)),"")</f>
        <v/>
      </c>
      <c r="O2558" s="55" t="str">
        <f>IFERROR(IF(OR($B2558="",$B2558="(blank)"),"",VLOOKUP($B2558,'Email Marketing Raw Data'!$C:$O,7,0)),"")</f>
        <v/>
      </c>
      <c r="P2558" s="55" t="str">
        <f>IFERROR(IF(OR($B2558="",$B2558="(blank)"),"",VLOOKUP($B2558,'Email Marketing Raw Data'!$C:$O,8,0)),"")</f>
        <v/>
      </c>
      <c r="Q2558" s="62" t="str">
        <f>IFERROR(IF(OR($B2558="",$B2558="(blank)"),"",VLOOKUP($B2558,'Email Marketing Raw Data'!$C:$O,9,0)),"")</f>
        <v/>
      </c>
    </row>
    <row r="2559" spans="4:17" ht="12.75" customHeight="1" x14ac:dyDescent="0.2">
      <c r="D2559" s="58" t="str">
        <f>IFERROR(IF(F2559&lt;&gt;"pending","",IF(OR($B2559="",$B2559="(blank)"),"",VLOOKUP($B2559,'Email Marketing Raw Data'!$C:$O,10,0))),"")</f>
        <v/>
      </c>
      <c r="E2559" s="59" t="str">
        <f>IFERROR(IF(F2559&lt;&gt;"pending","",IF(OR($B2559="",$B2559="(blank)"),"",VLOOKUP($B2559,'Email Marketing Raw Data'!$C:$O,11,0))),"")</f>
        <v/>
      </c>
      <c r="F2559" s="54" t="str">
        <f>IFERROR(IF(OR($B2559="",$B2559="(blank)"),"",VLOOKUP($B2559,'Email Marketing Raw Data'!$C:$O,13,0)),"")</f>
        <v/>
      </c>
      <c r="G2559" s="55" t="str">
        <f>IFERROR(IF(OR($B2559="",$B2559="(blank)"),"",VLOOKUP($B2559,'Email Marketing Raw Data'!$C:$O,4,0)),"")</f>
        <v/>
      </c>
      <c r="H2559" s="55" t="str">
        <f>IFERROR(IF(OR($B2559="",$B2559="(blank)"),"",VLOOKUP($B2559,'Email Marketing Raw Data'!$C:$O,5,0)),"")</f>
        <v/>
      </c>
      <c r="I2559" s="55" t="str">
        <f>IFERROR(IF($G2559="","",VLOOKUP('Dashboard And Emails Automate'!$G2559,Database!$H:$N,3,0)),"")</f>
        <v/>
      </c>
      <c r="J2559" s="55" t="str">
        <f>IFERROR(IF($G2559="","",VLOOKUP('Dashboard And Emails Automate'!$G2559,Database!$H:$N,4,0)),"")</f>
        <v/>
      </c>
      <c r="K2559" s="55" t="str">
        <f>IFERROR(IF($G2559="","",VLOOKUP('Dashboard And Emails Automate'!$G2559,Database!$H:$N,5,0)),"")</f>
        <v/>
      </c>
      <c r="L2559" s="55" t="str">
        <f>IFERROR(IF($G2559="","",VLOOKUP('Dashboard And Emails Automate'!$G2559,Database!$H:$N,6,0)),"")</f>
        <v/>
      </c>
      <c r="M2559" s="55" t="str">
        <f>IFERROR(IF($G2559="","",VLOOKUP('Dashboard And Emails Automate'!$G2559,Database!$H:$N,7,0)),"")</f>
        <v/>
      </c>
      <c r="N2559" s="55" t="str">
        <f>IFERROR(IF(OR($B2559="",$B2559="(blank)"),"",VLOOKUP($B2559,'Email Marketing Raw Data'!$C:$O,6,0)),"")</f>
        <v/>
      </c>
      <c r="O2559" s="55" t="str">
        <f>IFERROR(IF(OR($B2559="",$B2559="(blank)"),"",VLOOKUP($B2559,'Email Marketing Raw Data'!$C:$O,7,0)),"")</f>
        <v/>
      </c>
      <c r="P2559" s="55" t="str">
        <f>IFERROR(IF(OR($B2559="",$B2559="(blank)"),"",VLOOKUP($B2559,'Email Marketing Raw Data'!$C:$O,8,0)),"")</f>
        <v/>
      </c>
      <c r="Q2559" s="62" t="str">
        <f>IFERROR(IF(OR($B2559="",$B2559="(blank)"),"",VLOOKUP($B2559,'Email Marketing Raw Data'!$C:$O,9,0)),"")</f>
        <v/>
      </c>
    </row>
    <row r="2560" spans="4:17" ht="12.75" customHeight="1" x14ac:dyDescent="0.2">
      <c r="D2560" s="58" t="str">
        <f>IFERROR(IF(F2560&lt;&gt;"pending","",IF(OR($B2560="",$B2560="(blank)"),"",VLOOKUP($B2560,'Email Marketing Raw Data'!$C:$O,10,0))),"")</f>
        <v/>
      </c>
      <c r="E2560" s="59" t="str">
        <f>IFERROR(IF(F2560&lt;&gt;"pending","",IF(OR($B2560="",$B2560="(blank)"),"",VLOOKUP($B2560,'Email Marketing Raw Data'!$C:$O,11,0))),"")</f>
        <v/>
      </c>
      <c r="F2560" s="54" t="str">
        <f>IFERROR(IF(OR($B2560="",$B2560="(blank)"),"",VLOOKUP($B2560,'Email Marketing Raw Data'!$C:$O,13,0)),"")</f>
        <v/>
      </c>
      <c r="G2560" s="55" t="str">
        <f>IFERROR(IF(OR($B2560="",$B2560="(blank)"),"",VLOOKUP($B2560,'Email Marketing Raw Data'!$C:$O,4,0)),"")</f>
        <v/>
      </c>
      <c r="H2560" s="55" t="str">
        <f>IFERROR(IF(OR($B2560="",$B2560="(blank)"),"",VLOOKUP($B2560,'Email Marketing Raw Data'!$C:$O,5,0)),"")</f>
        <v/>
      </c>
      <c r="I2560" s="55" t="str">
        <f>IFERROR(IF($G2560="","",VLOOKUP('Dashboard And Emails Automate'!$G2560,Database!$H:$N,3,0)),"")</f>
        <v/>
      </c>
      <c r="J2560" s="55" t="str">
        <f>IFERROR(IF($G2560="","",VLOOKUP('Dashboard And Emails Automate'!$G2560,Database!$H:$N,4,0)),"")</f>
        <v/>
      </c>
      <c r="K2560" s="55" t="str">
        <f>IFERROR(IF($G2560="","",VLOOKUP('Dashboard And Emails Automate'!$G2560,Database!$H:$N,5,0)),"")</f>
        <v/>
      </c>
      <c r="L2560" s="55" t="str">
        <f>IFERROR(IF($G2560="","",VLOOKUP('Dashboard And Emails Automate'!$G2560,Database!$H:$N,6,0)),"")</f>
        <v/>
      </c>
      <c r="M2560" s="55" t="str">
        <f>IFERROR(IF($G2560="","",VLOOKUP('Dashboard And Emails Automate'!$G2560,Database!$H:$N,7,0)),"")</f>
        <v/>
      </c>
      <c r="N2560" s="55" t="str">
        <f>IFERROR(IF(OR($B2560="",$B2560="(blank)"),"",VLOOKUP($B2560,'Email Marketing Raw Data'!$C:$O,6,0)),"")</f>
        <v/>
      </c>
      <c r="O2560" s="55" t="str">
        <f>IFERROR(IF(OR($B2560="",$B2560="(blank)"),"",VLOOKUP($B2560,'Email Marketing Raw Data'!$C:$O,7,0)),"")</f>
        <v/>
      </c>
      <c r="P2560" s="55" t="str">
        <f>IFERROR(IF(OR($B2560="",$B2560="(blank)"),"",VLOOKUP($B2560,'Email Marketing Raw Data'!$C:$O,8,0)),"")</f>
        <v/>
      </c>
      <c r="Q2560" s="62" t="str">
        <f>IFERROR(IF(OR($B2560="",$B2560="(blank)"),"",VLOOKUP($B2560,'Email Marketing Raw Data'!$C:$O,9,0)),"")</f>
        <v/>
      </c>
    </row>
    <row r="2561" spans="4:17" ht="12.75" customHeight="1" x14ac:dyDescent="0.2">
      <c r="D2561" s="58" t="str">
        <f>IFERROR(IF(F2561&lt;&gt;"pending","",IF(OR($B2561="",$B2561="(blank)"),"",VLOOKUP($B2561,'Email Marketing Raw Data'!$C:$O,10,0))),"")</f>
        <v/>
      </c>
      <c r="E2561" s="59" t="str">
        <f>IFERROR(IF(F2561&lt;&gt;"pending","",IF(OR($B2561="",$B2561="(blank)"),"",VLOOKUP($B2561,'Email Marketing Raw Data'!$C:$O,11,0))),"")</f>
        <v/>
      </c>
      <c r="F2561" s="54" t="str">
        <f>IFERROR(IF(OR($B2561="",$B2561="(blank)"),"",VLOOKUP($B2561,'Email Marketing Raw Data'!$C:$O,13,0)),"")</f>
        <v/>
      </c>
      <c r="G2561" s="55" t="str">
        <f>IFERROR(IF(OR($B2561="",$B2561="(blank)"),"",VLOOKUP($B2561,'Email Marketing Raw Data'!$C:$O,4,0)),"")</f>
        <v/>
      </c>
      <c r="H2561" s="55" t="str">
        <f>IFERROR(IF(OR($B2561="",$B2561="(blank)"),"",VLOOKUP($B2561,'Email Marketing Raw Data'!$C:$O,5,0)),"")</f>
        <v/>
      </c>
      <c r="I2561" s="55" t="str">
        <f>IFERROR(IF($G2561="","",VLOOKUP('Dashboard And Emails Automate'!$G2561,Database!$H:$N,3,0)),"")</f>
        <v/>
      </c>
      <c r="J2561" s="55" t="str">
        <f>IFERROR(IF($G2561="","",VLOOKUP('Dashboard And Emails Automate'!$G2561,Database!$H:$N,4,0)),"")</f>
        <v/>
      </c>
      <c r="K2561" s="55" t="str">
        <f>IFERROR(IF($G2561="","",VLOOKUP('Dashboard And Emails Automate'!$G2561,Database!$H:$N,5,0)),"")</f>
        <v/>
      </c>
      <c r="L2561" s="55" t="str">
        <f>IFERROR(IF($G2561="","",VLOOKUP('Dashboard And Emails Automate'!$G2561,Database!$H:$N,6,0)),"")</f>
        <v/>
      </c>
      <c r="M2561" s="55" t="str">
        <f>IFERROR(IF($G2561="","",VLOOKUP('Dashboard And Emails Automate'!$G2561,Database!$H:$N,7,0)),"")</f>
        <v/>
      </c>
      <c r="N2561" s="55" t="str">
        <f>IFERROR(IF(OR($B2561="",$B2561="(blank)"),"",VLOOKUP($B2561,'Email Marketing Raw Data'!$C:$O,6,0)),"")</f>
        <v/>
      </c>
      <c r="O2561" s="55" t="str">
        <f>IFERROR(IF(OR($B2561="",$B2561="(blank)"),"",VLOOKUP($B2561,'Email Marketing Raw Data'!$C:$O,7,0)),"")</f>
        <v/>
      </c>
      <c r="P2561" s="55" t="str">
        <f>IFERROR(IF(OR($B2561="",$B2561="(blank)"),"",VLOOKUP($B2561,'Email Marketing Raw Data'!$C:$O,8,0)),"")</f>
        <v/>
      </c>
      <c r="Q2561" s="62" t="str">
        <f>IFERROR(IF(OR($B2561="",$B2561="(blank)"),"",VLOOKUP($B2561,'Email Marketing Raw Data'!$C:$O,9,0)),"")</f>
        <v/>
      </c>
    </row>
    <row r="2562" spans="4:17" ht="12.75" customHeight="1" x14ac:dyDescent="0.2">
      <c r="D2562" s="58" t="str">
        <f>IFERROR(IF(F2562&lt;&gt;"pending","",IF(OR($B2562="",$B2562="(blank)"),"",VLOOKUP($B2562,'Email Marketing Raw Data'!$C:$O,10,0))),"")</f>
        <v/>
      </c>
      <c r="E2562" s="59" t="str">
        <f>IFERROR(IF(F2562&lt;&gt;"pending","",IF(OR($B2562="",$B2562="(blank)"),"",VLOOKUP($B2562,'Email Marketing Raw Data'!$C:$O,11,0))),"")</f>
        <v/>
      </c>
      <c r="F2562" s="54" t="str">
        <f>IFERROR(IF(OR($B2562="",$B2562="(blank)"),"",VLOOKUP($B2562,'Email Marketing Raw Data'!$C:$O,13,0)),"")</f>
        <v/>
      </c>
      <c r="G2562" s="55" t="str">
        <f>IFERROR(IF(OR($B2562="",$B2562="(blank)"),"",VLOOKUP($B2562,'Email Marketing Raw Data'!$C:$O,4,0)),"")</f>
        <v/>
      </c>
      <c r="H2562" s="55" t="str">
        <f>IFERROR(IF(OR($B2562="",$B2562="(blank)"),"",VLOOKUP($B2562,'Email Marketing Raw Data'!$C:$O,5,0)),"")</f>
        <v/>
      </c>
      <c r="I2562" s="55" t="str">
        <f>IFERROR(IF($G2562="","",VLOOKUP('Dashboard And Emails Automate'!$G2562,Database!$H:$N,3,0)),"")</f>
        <v/>
      </c>
      <c r="J2562" s="55" t="str">
        <f>IFERROR(IF($G2562="","",VLOOKUP('Dashboard And Emails Automate'!$G2562,Database!$H:$N,4,0)),"")</f>
        <v/>
      </c>
      <c r="K2562" s="55" t="str">
        <f>IFERROR(IF($G2562="","",VLOOKUP('Dashboard And Emails Automate'!$G2562,Database!$H:$N,5,0)),"")</f>
        <v/>
      </c>
      <c r="L2562" s="55" t="str">
        <f>IFERROR(IF($G2562="","",VLOOKUP('Dashboard And Emails Automate'!$G2562,Database!$H:$N,6,0)),"")</f>
        <v/>
      </c>
      <c r="M2562" s="55" t="str">
        <f>IFERROR(IF($G2562="","",VLOOKUP('Dashboard And Emails Automate'!$G2562,Database!$H:$N,7,0)),"")</f>
        <v/>
      </c>
      <c r="N2562" s="55" t="str">
        <f>IFERROR(IF(OR($B2562="",$B2562="(blank)"),"",VLOOKUP($B2562,'Email Marketing Raw Data'!$C:$O,6,0)),"")</f>
        <v/>
      </c>
      <c r="O2562" s="55" t="str">
        <f>IFERROR(IF(OR($B2562="",$B2562="(blank)"),"",VLOOKUP($B2562,'Email Marketing Raw Data'!$C:$O,7,0)),"")</f>
        <v/>
      </c>
      <c r="P2562" s="55" t="str">
        <f>IFERROR(IF(OR($B2562="",$B2562="(blank)"),"",VLOOKUP($B2562,'Email Marketing Raw Data'!$C:$O,8,0)),"")</f>
        <v/>
      </c>
      <c r="Q2562" s="62" t="str">
        <f>IFERROR(IF(OR($B2562="",$B2562="(blank)"),"",VLOOKUP($B2562,'Email Marketing Raw Data'!$C:$O,9,0)),"")</f>
        <v/>
      </c>
    </row>
    <row r="2563" spans="4:17" ht="12.75" customHeight="1" x14ac:dyDescent="0.2">
      <c r="D2563" s="58" t="str">
        <f>IFERROR(IF(F2563&lt;&gt;"pending","",IF(OR($B2563="",$B2563="(blank)"),"",VLOOKUP($B2563,'Email Marketing Raw Data'!$C:$O,10,0))),"")</f>
        <v/>
      </c>
      <c r="E2563" s="59" t="str">
        <f>IFERROR(IF(F2563&lt;&gt;"pending","",IF(OR($B2563="",$B2563="(blank)"),"",VLOOKUP($B2563,'Email Marketing Raw Data'!$C:$O,11,0))),"")</f>
        <v/>
      </c>
      <c r="F2563" s="54" t="str">
        <f>IFERROR(IF(OR($B2563="",$B2563="(blank)"),"",VLOOKUP($B2563,'Email Marketing Raw Data'!$C:$O,13,0)),"")</f>
        <v/>
      </c>
      <c r="G2563" s="55" t="str">
        <f>IFERROR(IF(OR($B2563="",$B2563="(blank)"),"",VLOOKUP($B2563,'Email Marketing Raw Data'!$C:$O,4,0)),"")</f>
        <v/>
      </c>
      <c r="H2563" s="55" t="str">
        <f>IFERROR(IF(OR($B2563="",$B2563="(blank)"),"",VLOOKUP($B2563,'Email Marketing Raw Data'!$C:$O,5,0)),"")</f>
        <v/>
      </c>
      <c r="I2563" s="55" t="str">
        <f>IFERROR(IF($G2563="","",VLOOKUP('Dashboard And Emails Automate'!$G2563,Database!$H:$N,3,0)),"")</f>
        <v/>
      </c>
      <c r="J2563" s="55" t="str">
        <f>IFERROR(IF($G2563="","",VLOOKUP('Dashboard And Emails Automate'!$G2563,Database!$H:$N,4,0)),"")</f>
        <v/>
      </c>
      <c r="K2563" s="55" t="str">
        <f>IFERROR(IF($G2563="","",VLOOKUP('Dashboard And Emails Automate'!$G2563,Database!$H:$N,5,0)),"")</f>
        <v/>
      </c>
      <c r="L2563" s="55" t="str">
        <f>IFERROR(IF($G2563="","",VLOOKUP('Dashboard And Emails Automate'!$G2563,Database!$H:$N,6,0)),"")</f>
        <v/>
      </c>
      <c r="M2563" s="55" t="str">
        <f>IFERROR(IF($G2563="","",VLOOKUP('Dashboard And Emails Automate'!$G2563,Database!$H:$N,7,0)),"")</f>
        <v/>
      </c>
      <c r="N2563" s="55" t="str">
        <f>IFERROR(IF(OR($B2563="",$B2563="(blank)"),"",VLOOKUP($B2563,'Email Marketing Raw Data'!$C:$O,6,0)),"")</f>
        <v/>
      </c>
      <c r="O2563" s="55" t="str">
        <f>IFERROR(IF(OR($B2563="",$B2563="(blank)"),"",VLOOKUP($B2563,'Email Marketing Raw Data'!$C:$O,7,0)),"")</f>
        <v/>
      </c>
      <c r="P2563" s="55" t="str">
        <f>IFERROR(IF(OR($B2563="",$B2563="(blank)"),"",VLOOKUP($B2563,'Email Marketing Raw Data'!$C:$O,8,0)),"")</f>
        <v/>
      </c>
      <c r="Q2563" s="62" t="str">
        <f>IFERROR(IF(OR($B2563="",$B2563="(blank)"),"",VLOOKUP($B2563,'Email Marketing Raw Data'!$C:$O,9,0)),"")</f>
        <v/>
      </c>
    </row>
    <row r="2564" spans="4:17" ht="12.75" customHeight="1" x14ac:dyDescent="0.2">
      <c r="D2564" s="58" t="str">
        <f>IFERROR(IF(F2564&lt;&gt;"pending","",IF(OR($B2564="",$B2564="(blank)"),"",VLOOKUP($B2564,'Email Marketing Raw Data'!$C:$O,10,0))),"")</f>
        <v/>
      </c>
      <c r="E2564" s="59" t="str">
        <f>IFERROR(IF(F2564&lt;&gt;"pending","",IF(OR($B2564="",$B2564="(blank)"),"",VLOOKUP($B2564,'Email Marketing Raw Data'!$C:$O,11,0))),"")</f>
        <v/>
      </c>
      <c r="F2564" s="54" t="str">
        <f>IFERROR(IF(OR($B2564="",$B2564="(blank)"),"",VLOOKUP($B2564,'Email Marketing Raw Data'!$C:$O,13,0)),"")</f>
        <v/>
      </c>
      <c r="G2564" s="55" t="str">
        <f>IFERROR(IF(OR($B2564="",$B2564="(blank)"),"",VLOOKUP($B2564,'Email Marketing Raw Data'!$C:$O,4,0)),"")</f>
        <v/>
      </c>
      <c r="H2564" s="55" t="str">
        <f>IFERROR(IF(OR($B2564="",$B2564="(blank)"),"",VLOOKUP($B2564,'Email Marketing Raw Data'!$C:$O,5,0)),"")</f>
        <v/>
      </c>
      <c r="I2564" s="55" t="str">
        <f>IFERROR(IF($G2564="","",VLOOKUP('Dashboard And Emails Automate'!$G2564,Database!$H:$N,3,0)),"")</f>
        <v/>
      </c>
      <c r="J2564" s="55" t="str">
        <f>IFERROR(IF($G2564="","",VLOOKUP('Dashboard And Emails Automate'!$G2564,Database!$H:$N,4,0)),"")</f>
        <v/>
      </c>
      <c r="K2564" s="55" t="str">
        <f>IFERROR(IF($G2564="","",VLOOKUP('Dashboard And Emails Automate'!$G2564,Database!$H:$N,5,0)),"")</f>
        <v/>
      </c>
      <c r="L2564" s="55" t="str">
        <f>IFERROR(IF($G2564="","",VLOOKUP('Dashboard And Emails Automate'!$G2564,Database!$H:$N,6,0)),"")</f>
        <v/>
      </c>
      <c r="M2564" s="55" t="str">
        <f>IFERROR(IF($G2564="","",VLOOKUP('Dashboard And Emails Automate'!$G2564,Database!$H:$N,7,0)),"")</f>
        <v/>
      </c>
      <c r="N2564" s="55" t="str">
        <f>IFERROR(IF(OR($B2564="",$B2564="(blank)"),"",VLOOKUP($B2564,'Email Marketing Raw Data'!$C:$O,6,0)),"")</f>
        <v/>
      </c>
      <c r="O2564" s="55" t="str">
        <f>IFERROR(IF(OR($B2564="",$B2564="(blank)"),"",VLOOKUP($B2564,'Email Marketing Raw Data'!$C:$O,7,0)),"")</f>
        <v/>
      </c>
      <c r="P2564" s="55" t="str">
        <f>IFERROR(IF(OR($B2564="",$B2564="(blank)"),"",VLOOKUP($B2564,'Email Marketing Raw Data'!$C:$O,8,0)),"")</f>
        <v/>
      </c>
      <c r="Q2564" s="62" t="str">
        <f>IFERROR(IF(OR($B2564="",$B2564="(blank)"),"",VLOOKUP($B2564,'Email Marketing Raw Data'!$C:$O,9,0)),"")</f>
        <v/>
      </c>
    </row>
    <row r="2565" spans="4:17" ht="12.75" customHeight="1" x14ac:dyDescent="0.2">
      <c r="D2565" s="58" t="str">
        <f>IFERROR(IF(F2565&lt;&gt;"pending","",IF(OR($B2565="",$B2565="(blank)"),"",VLOOKUP($B2565,'Email Marketing Raw Data'!$C:$O,10,0))),"")</f>
        <v/>
      </c>
      <c r="E2565" s="59" t="str">
        <f>IFERROR(IF(F2565&lt;&gt;"pending","",IF(OR($B2565="",$B2565="(blank)"),"",VLOOKUP($B2565,'Email Marketing Raw Data'!$C:$O,11,0))),"")</f>
        <v/>
      </c>
      <c r="F2565" s="54" t="str">
        <f>IFERROR(IF(OR($B2565="",$B2565="(blank)"),"",VLOOKUP($B2565,'Email Marketing Raw Data'!$C:$O,13,0)),"")</f>
        <v/>
      </c>
      <c r="G2565" s="55" t="str">
        <f>IFERROR(IF(OR($B2565="",$B2565="(blank)"),"",VLOOKUP($B2565,'Email Marketing Raw Data'!$C:$O,4,0)),"")</f>
        <v/>
      </c>
      <c r="H2565" s="55" t="str">
        <f>IFERROR(IF(OR($B2565="",$B2565="(blank)"),"",VLOOKUP($B2565,'Email Marketing Raw Data'!$C:$O,5,0)),"")</f>
        <v/>
      </c>
      <c r="I2565" s="55" t="str">
        <f>IFERROR(IF($G2565="","",VLOOKUP('Dashboard And Emails Automate'!$G2565,Database!$H:$N,3,0)),"")</f>
        <v/>
      </c>
      <c r="J2565" s="55" t="str">
        <f>IFERROR(IF($G2565="","",VLOOKUP('Dashboard And Emails Automate'!$G2565,Database!$H:$N,4,0)),"")</f>
        <v/>
      </c>
      <c r="K2565" s="55" t="str">
        <f>IFERROR(IF($G2565="","",VLOOKUP('Dashboard And Emails Automate'!$G2565,Database!$H:$N,5,0)),"")</f>
        <v/>
      </c>
      <c r="L2565" s="55" t="str">
        <f>IFERROR(IF($G2565="","",VLOOKUP('Dashboard And Emails Automate'!$G2565,Database!$H:$N,6,0)),"")</f>
        <v/>
      </c>
      <c r="M2565" s="55" t="str">
        <f>IFERROR(IF($G2565="","",VLOOKUP('Dashboard And Emails Automate'!$G2565,Database!$H:$N,7,0)),"")</f>
        <v/>
      </c>
      <c r="N2565" s="55" t="str">
        <f>IFERROR(IF(OR($B2565="",$B2565="(blank)"),"",VLOOKUP($B2565,'Email Marketing Raw Data'!$C:$O,6,0)),"")</f>
        <v/>
      </c>
      <c r="O2565" s="55" t="str">
        <f>IFERROR(IF(OR($B2565="",$B2565="(blank)"),"",VLOOKUP($B2565,'Email Marketing Raw Data'!$C:$O,7,0)),"")</f>
        <v/>
      </c>
      <c r="P2565" s="55" t="str">
        <f>IFERROR(IF(OR($B2565="",$B2565="(blank)"),"",VLOOKUP($B2565,'Email Marketing Raw Data'!$C:$O,8,0)),"")</f>
        <v/>
      </c>
      <c r="Q2565" s="62" t="str">
        <f>IFERROR(IF(OR($B2565="",$B2565="(blank)"),"",VLOOKUP($B2565,'Email Marketing Raw Data'!$C:$O,9,0)),"")</f>
        <v/>
      </c>
    </row>
    <row r="2566" spans="4:17" ht="12.75" customHeight="1" x14ac:dyDescent="0.2">
      <c r="D2566" s="58" t="str">
        <f>IFERROR(IF(F2566&lt;&gt;"pending","",IF(OR($B2566="",$B2566="(blank)"),"",VLOOKUP($B2566,'Email Marketing Raw Data'!$C:$O,10,0))),"")</f>
        <v/>
      </c>
      <c r="E2566" s="59" t="str">
        <f>IFERROR(IF(F2566&lt;&gt;"pending","",IF(OR($B2566="",$B2566="(blank)"),"",VLOOKUP($B2566,'Email Marketing Raw Data'!$C:$O,11,0))),"")</f>
        <v/>
      </c>
      <c r="F2566" s="54" t="str">
        <f>IFERROR(IF(OR($B2566="",$B2566="(blank)"),"",VLOOKUP($B2566,'Email Marketing Raw Data'!$C:$O,13,0)),"")</f>
        <v/>
      </c>
      <c r="G2566" s="55" t="str">
        <f>IFERROR(IF(OR($B2566="",$B2566="(blank)"),"",VLOOKUP($B2566,'Email Marketing Raw Data'!$C:$O,4,0)),"")</f>
        <v/>
      </c>
      <c r="H2566" s="55" t="str">
        <f>IFERROR(IF(OR($B2566="",$B2566="(blank)"),"",VLOOKUP($B2566,'Email Marketing Raw Data'!$C:$O,5,0)),"")</f>
        <v/>
      </c>
      <c r="I2566" s="55" t="str">
        <f>IFERROR(IF($G2566="","",VLOOKUP('Dashboard And Emails Automate'!$G2566,Database!$H:$N,3,0)),"")</f>
        <v/>
      </c>
      <c r="J2566" s="55" t="str">
        <f>IFERROR(IF($G2566="","",VLOOKUP('Dashboard And Emails Automate'!$G2566,Database!$H:$N,4,0)),"")</f>
        <v/>
      </c>
      <c r="K2566" s="55" t="str">
        <f>IFERROR(IF($G2566="","",VLOOKUP('Dashboard And Emails Automate'!$G2566,Database!$H:$N,5,0)),"")</f>
        <v/>
      </c>
      <c r="L2566" s="55" t="str">
        <f>IFERROR(IF($G2566="","",VLOOKUP('Dashboard And Emails Automate'!$G2566,Database!$H:$N,6,0)),"")</f>
        <v/>
      </c>
      <c r="M2566" s="55" t="str">
        <f>IFERROR(IF($G2566="","",VLOOKUP('Dashboard And Emails Automate'!$G2566,Database!$H:$N,7,0)),"")</f>
        <v/>
      </c>
      <c r="N2566" s="55" t="str">
        <f>IFERROR(IF(OR($B2566="",$B2566="(blank)"),"",VLOOKUP($B2566,'Email Marketing Raw Data'!$C:$O,6,0)),"")</f>
        <v/>
      </c>
      <c r="O2566" s="55" t="str">
        <f>IFERROR(IF(OR($B2566="",$B2566="(blank)"),"",VLOOKUP($B2566,'Email Marketing Raw Data'!$C:$O,7,0)),"")</f>
        <v/>
      </c>
      <c r="P2566" s="55" t="str">
        <f>IFERROR(IF(OR($B2566="",$B2566="(blank)"),"",VLOOKUP($B2566,'Email Marketing Raw Data'!$C:$O,8,0)),"")</f>
        <v/>
      </c>
      <c r="Q2566" s="62" t="str">
        <f>IFERROR(IF(OR($B2566="",$B2566="(blank)"),"",VLOOKUP($B2566,'Email Marketing Raw Data'!$C:$O,9,0)),"")</f>
        <v/>
      </c>
    </row>
    <row r="2567" spans="4:17" ht="12.75" customHeight="1" x14ac:dyDescent="0.2">
      <c r="D2567" s="58" t="str">
        <f>IFERROR(IF(F2567&lt;&gt;"pending","",IF(OR($B2567="",$B2567="(blank)"),"",VLOOKUP($B2567,'Email Marketing Raw Data'!$C:$O,10,0))),"")</f>
        <v/>
      </c>
      <c r="E2567" s="59" t="str">
        <f>IFERROR(IF(F2567&lt;&gt;"pending","",IF(OR($B2567="",$B2567="(blank)"),"",VLOOKUP($B2567,'Email Marketing Raw Data'!$C:$O,11,0))),"")</f>
        <v/>
      </c>
      <c r="F2567" s="54" t="str">
        <f>IFERROR(IF(OR($B2567="",$B2567="(blank)"),"",VLOOKUP($B2567,'Email Marketing Raw Data'!$C:$O,13,0)),"")</f>
        <v/>
      </c>
      <c r="G2567" s="55" t="str">
        <f>IFERROR(IF(OR($B2567="",$B2567="(blank)"),"",VLOOKUP($B2567,'Email Marketing Raw Data'!$C:$O,4,0)),"")</f>
        <v/>
      </c>
      <c r="H2567" s="55" t="str">
        <f>IFERROR(IF(OR($B2567="",$B2567="(blank)"),"",VLOOKUP($B2567,'Email Marketing Raw Data'!$C:$O,5,0)),"")</f>
        <v/>
      </c>
      <c r="I2567" s="55" t="str">
        <f>IFERROR(IF($G2567="","",VLOOKUP('Dashboard And Emails Automate'!$G2567,Database!$H:$N,3,0)),"")</f>
        <v/>
      </c>
      <c r="J2567" s="55" t="str">
        <f>IFERROR(IF($G2567="","",VLOOKUP('Dashboard And Emails Automate'!$G2567,Database!$H:$N,4,0)),"")</f>
        <v/>
      </c>
      <c r="K2567" s="55" t="str">
        <f>IFERROR(IF($G2567="","",VLOOKUP('Dashboard And Emails Automate'!$G2567,Database!$H:$N,5,0)),"")</f>
        <v/>
      </c>
      <c r="L2567" s="55" t="str">
        <f>IFERROR(IF($G2567="","",VLOOKUP('Dashboard And Emails Automate'!$G2567,Database!$H:$N,6,0)),"")</f>
        <v/>
      </c>
      <c r="M2567" s="55" t="str">
        <f>IFERROR(IF($G2567="","",VLOOKUP('Dashboard And Emails Automate'!$G2567,Database!$H:$N,7,0)),"")</f>
        <v/>
      </c>
      <c r="N2567" s="55" t="str">
        <f>IFERROR(IF(OR($B2567="",$B2567="(blank)"),"",VLOOKUP($B2567,'Email Marketing Raw Data'!$C:$O,6,0)),"")</f>
        <v/>
      </c>
      <c r="O2567" s="55" t="str">
        <f>IFERROR(IF(OR($B2567="",$B2567="(blank)"),"",VLOOKUP($B2567,'Email Marketing Raw Data'!$C:$O,7,0)),"")</f>
        <v/>
      </c>
      <c r="P2567" s="55" t="str">
        <f>IFERROR(IF(OR($B2567="",$B2567="(blank)"),"",VLOOKUP($B2567,'Email Marketing Raw Data'!$C:$O,8,0)),"")</f>
        <v/>
      </c>
      <c r="Q2567" s="62" t="str">
        <f>IFERROR(IF(OR($B2567="",$B2567="(blank)"),"",VLOOKUP($B2567,'Email Marketing Raw Data'!$C:$O,9,0)),"")</f>
        <v/>
      </c>
    </row>
    <row r="2568" spans="4:17" ht="12.75" customHeight="1" x14ac:dyDescent="0.2">
      <c r="D2568" s="58" t="str">
        <f>IFERROR(IF(F2568&lt;&gt;"pending","",IF(OR($B2568="",$B2568="(blank)"),"",VLOOKUP($B2568,'Email Marketing Raw Data'!$C:$O,10,0))),"")</f>
        <v/>
      </c>
      <c r="E2568" s="59" t="str">
        <f>IFERROR(IF(F2568&lt;&gt;"pending","",IF(OR($B2568="",$B2568="(blank)"),"",VLOOKUP($B2568,'Email Marketing Raw Data'!$C:$O,11,0))),"")</f>
        <v/>
      </c>
      <c r="F2568" s="54" t="str">
        <f>IFERROR(IF(OR($B2568="",$B2568="(blank)"),"",VLOOKUP($B2568,'Email Marketing Raw Data'!$C:$O,13,0)),"")</f>
        <v/>
      </c>
      <c r="G2568" s="55" t="str">
        <f>IFERROR(IF(OR($B2568="",$B2568="(blank)"),"",VLOOKUP($B2568,'Email Marketing Raw Data'!$C:$O,4,0)),"")</f>
        <v/>
      </c>
      <c r="H2568" s="55" t="str">
        <f>IFERROR(IF(OR($B2568="",$B2568="(blank)"),"",VLOOKUP($B2568,'Email Marketing Raw Data'!$C:$O,5,0)),"")</f>
        <v/>
      </c>
      <c r="I2568" s="55" t="str">
        <f>IFERROR(IF($G2568="","",VLOOKUP('Dashboard And Emails Automate'!$G2568,Database!$H:$N,3,0)),"")</f>
        <v/>
      </c>
      <c r="J2568" s="55" t="str">
        <f>IFERROR(IF($G2568="","",VLOOKUP('Dashboard And Emails Automate'!$G2568,Database!$H:$N,4,0)),"")</f>
        <v/>
      </c>
      <c r="K2568" s="55" t="str">
        <f>IFERROR(IF($G2568="","",VLOOKUP('Dashboard And Emails Automate'!$G2568,Database!$H:$N,5,0)),"")</f>
        <v/>
      </c>
      <c r="L2568" s="55" t="str">
        <f>IFERROR(IF($G2568="","",VLOOKUP('Dashboard And Emails Automate'!$G2568,Database!$H:$N,6,0)),"")</f>
        <v/>
      </c>
      <c r="M2568" s="55" t="str">
        <f>IFERROR(IF($G2568="","",VLOOKUP('Dashboard And Emails Automate'!$G2568,Database!$H:$N,7,0)),"")</f>
        <v/>
      </c>
      <c r="N2568" s="55" t="str">
        <f>IFERROR(IF(OR($B2568="",$B2568="(blank)"),"",VLOOKUP($B2568,'Email Marketing Raw Data'!$C:$O,6,0)),"")</f>
        <v/>
      </c>
      <c r="O2568" s="55" t="str">
        <f>IFERROR(IF(OR($B2568="",$B2568="(blank)"),"",VLOOKUP($B2568,'Email Marketing Raw Data'!$C:$O,7,0)),"")</f>
        <v/>
      </c>
      <c r="P2568" s="55" t="str">
        <f>IFERROR(IF(OR($B2568="",$B2568="(blank)"),"",VLOOKUP($B2568,'Email Marketing Raw Data'!$C:$O,8,0)),"")</f>
        <v/>
      </c>
      <c r="Q2568" s="62" t="str">
        <f>IFERROR(IF(OR($B2568="",$B2568="(blank)"),"",VLOOKUP($B2568,'Email Marketing Raw Data'!$C:$O,9,0)),"")</f>
        <v/>
      </c>
    </row>
    <row r="2569" spans="4:17" ht="12.75" customHeight="1" x14ac:dyDescent="0.2">
      <c r="D2569" s="58" t="str">
        <f>IFERROR(IF(F2569&lt;&gt;"pending","",IF(OR($B2569="",$B2569="(blank)"),"",VLOOKUP($B2569,'Email Marketing Raw Data'!$C:$O,10,0))),"")</f>
        <v/>
      </c>
      <c r="E2569" s="59" t="str">
        <f>IFERROR(IF(F2569&lt;&gt;"pending","",IF(OR($B2569="",$B2569="(blank)"),"",VLOOKUP($B2569,'Email Marketing Raw Data'!$C:$O,11,0))),"")</f>
        <v/>
      </c>
      <c r="F2569" s="54" t="str">
        <f>IFERROR(IF(OR($B2569="",$B2569="(blank)"),"",VLOOKUP($B2569,'Email Marketing Raw Data'!$C:$O,13,0)),"")</f>
        <v/>
      </c>
      <c r="G2569" s="55" t="str">
        <f>IFERROR(IF(OR($B2569="",$B2569="(blank)"),"",VLOOKUP($B2569,'Email Marketing Raw Data'!$C:$O,4,0)),"")</f>
        <v/>
      </c>
      <c r="H2569" s="55" t="str">
        <f>IFERROR(IF(OR($B2569="",$B2569="(blank)"),"",VLOOKUP($B2569,'Email Marketing Raw Data'!$C:$O,5,0)),"")</f>
        <v/>
      </c>
      <c r="I2569" s="55" t="str">
        <f>IFERROR(IF($G2569="","",VLOOKUP('Dashboard And Emails Automate'!$G2569,Database!$H:$N,3,0)),"")</f>
        <v/>
      </c>
      <c r="J2569" s="55" t="str">
        <f>IFERROR(IF($G2569="","",VLOOKUP('Dashboard And Emails Automate'!$G2569,Database!$H:$N,4,0)),"")</f>
        <v/>
      </c>
      <c r="K2569" s="55" t="str">
        <f>IFERROR(IF($G2569="","",VLOOKUP('Dashboard And Emails Automate'!$G2569,Database!$H:$N,5,0)),"")</f>
        <v/>
      </c>
      <c r="L2569" s="55" t="str">
        <f>IFERROR(IF($G2569="","",VLOOKUP('Dashboard And Emails Automate'!$G2569,Database!$H:$N,6,0)),"")</f>
        <v/>
      </c>
      <c r="M2569" s="55" t="str">
        <f>IFERROR(IF($G2569="","",VLOOKUP('Dashboard And Emails Automate'!$G2569,Database!$H:$N,7,0)),"")</f>
        <v/>
      </c>
      <c r="N2569" s="55" t="str">
        <f>IFERROR(IF(OR($B2569="",$B2569="(blank)"),"",VLOOKUP($B2569,'Email Marketing Raw Data'!$C:$O,6,0)),"")</f>
        <v/>
      </c>
      <c r="O2569" s="55" t="str">
        <f>IFERROR(IF(OR($B2569="",$B2569="(blank)"),"",VLOOKUP($B2569,'Email Marketing Raw Data'!$C:$O,7,0)),"")</f>
        <v/>
      </c>
      <c r="P2569" s="55" t="str">
        <f>IFERROR(IF(OR($B2569="",$B2569="(blank)"),"",VLOOKUP($B2569,'Email Marketing Raw Data'!$C:$O,8,0)),"")</f>
        <v/>
      </c>
      <c r="Q2569" s="62" t="str">
        <f>IFERROR(IF(OR($B2569="",$B2569="(blank)"),"",VLOOKUP($B2569,'Email Marketing Raw Data'!$C:$O,9,0)),"")</f>
        <v/>
      </c>
    </row>
    <row r="2570" spans="4:17" ht="12.75" customHeight="1" x14ac:dyDescent="0.2">
      <c r="D2570" s="58" t="str">
        <f>IFERROR(IF(F2570&lt;&gt;"pending","",IF(OR($B2570="",$B2570="(blank)"),"",VLOOKUP($B2570,'Email Marketing Raw Data'!$C:$O,10,0))),"")</f>
        <v/>
      </c>
      <c r="E2570" s="59" t="str">
        <f>IFERROR(IF(F2570&lt;&gt;"pending","",IF(OR($B2570="",$B2570="(blank)"),"",VLOOKUP($B2570,'Email Marketing Raw Data'!$C:$O,11,0))),"")</f>
        <v/>
      </c>
      <c r="F2570" s="54" t="str">
        <f>IFERROR(IF(OR($B2570="",$B2570="(blank)"),"",VLOOKUP($B2570,'Email Marketing Raw Data'!$C:$O,13,0)),"")</f>
        <v/>
      </c>
      <c r="G2570" s="55" t="str">
        <f>IFERROR(IF(OR($B2570="",$B2570="(blank)"),"",VLOOKUP($B2570,'Email Marketing Raw Data'!$C:$O,4,0)),"")</f>
        <v/>
      </c>
      <c r="H2570" s="55" t="str">
        <f>IFERROR(IF(OR($B2570="",$B2570="(blank)"),"",VLOOKUP($B2570,'Email Marketing Raw Data'!$C:$O,5,0)),"")</f>
        <v/>
      </c>
      <c r="I2570" s="55" t="str">
        <f>IFERROR(IF($G2570="","",VLOOKUP('Dashboard And Emails Automate'!$G2570,Database!$H:$N,3,0)),"")</f>
        <v/>
      </c>
      <c r="J2570" s="55" t="str">
        <f>IFERROR(IF($G2570="","",VLOOKUP('Dashboard And Emails Automate'!$G2570,Database!$H:$N,4,0)),"")</f>
        <v/>
      </c>
      <c r="K2570" s="55" t="str">
        <f>IFERROR(IF($G2570="","",VLOOKUP('Dashboard And Emails Automate'!$G2570,Database!$H:$N,5,0)),"")</f>
        <v/>
      </c>
      <c r="L2570" s="55" t="str">
        <f>IFERROR(IF($G2570="","",VLOOKUP('Dashboard And Emails Automate'!$G2570,Database!$H:$N,6,0)),"")</f>
        <v/>
      </c>
      <c r="M2570" s="55" t="str">
        <f>IFERROR(IF($G2570="","",VLOOKUP('Dashboard And Emails Automate'!$G2570,Database!$H:$N,7,0)),"")</f>
        <v/>
      </c>
      <c r="N2570" s="55" t="str">
        <f>IFERROR(IF(OR($B2570="",$B2570="(blank)"),"",VLOOKUP($B2570,'Email Marketing Raw Data'!$C:$O,6,0)),"")</f>
        <v/>
      </c>
      <c r="O2570" s="55" t="str">
        <f>IFERROR(IF(OR($B2570="",$B2570="(blank)"),"",VLOOKUP($B2570,'Email Marketing Raw Data'!$C:$O,7,0)),"")</f>
        <v/>
      </c>
      <c r="P2570" s="55" t="str">
        <f>IFERROR(IF(OR($B2570="",$B2570="(blank)"),"",VLOOKUP($B2570,'Email Marketing Raw Data'!$C:$O,8,0)),"")</f>
        <v/>
      </c>
      <c r="Q2570" s="62" t="str">
        <f>IFERROR(IF(OR($B2570="",$B2570="(blank)"),"",VLOOKUP($B2570,'Email Marketing Raw Data'!$C:$O,9,0)),"")</f>
        <v/>
      </c>
    </row>
    <row r="2571" spans="4:17" ht="12.75" customHeight="1" x14ac:dyDescent="0.2">
      <c r="D2571" s="58" t="str">
        <f>IFERROR(IF(F2571&lt;&gt;"pending","",IF(OR($B2571="",$B2571="(blank)"),"",VLOOKUP($B2571,'Email Marketing Raw Data'!$C:$O,10,0))),"")</f>
        <v/>
      </c>
      <c r="E2571" s="59" t="str">
        <f>IFERROR(IF(F2571&lt;&gt;"pending","",IF(OR($B2571="",$B2571="(blank)"),"",VLOOKUP($B2571,'Email Marketing Raw Data'!$C:$O,11,0))),"")</f>
        <v/>
      </c>
      <c r="F2571" s="54" t="str">
        <f>IFERROR(IF(OR($B2571="",$B2571="(blank)"),"",VLOOKUP($B2571,'Email Marketing Raw Data'!$C:$O,13,0)),"")</f>
        <v/>
      </c>
      <c r="G2571" s="55" t="str">
        <f>IFERROR(IF(OR($B2571="",$B2571="(blank)"),"",VLOOKUP($B2571,'Email Marketing Raw Data'!$C:$O,4,0)),"")</f>
        <v/>
      </c>
      <c r="H2571" s="55" t="str">
        <f>IFERROR(IF(OR($B2571="",$B2571="(blank)"),"",VLOOKUP($B2571,'Email Marketing Raw Data'!$C:$O,5,0)),"")</f>
        <v/>
      </c>
      <c r="I2571" s="55" t="str">
        <f>IFERROR(IF($G2571="","",VLOOKUP('Dashboard And Emails Automate'!$G2571,Database!$H:$N,3,0)),"")</f>
        <v/>
      </c>
      <c r="J2571" s="55" t="str">
        <f>IFERROR(IF($G2571="","",VLOOKUP('Dashboard And Emails Automate'!$G2571,Database!$H:$N,4,0)),"")</f>
        <v/>
      </c>
      <c r="K2571" s="55" t="str">
        <f>IFERROR(IF($G2571="","",VLOOKUP('Dashboard And Emails Automate'!$G2571,Database!$H:$N,5,0)),"")</f>
        <v/>
      </c>
      <c r="L2571" s="55" t="str">
        <f>IFERROR(IF($G2571="","",VLOOKUP('Dashboard And Emails Automate'!$G2571,Database!$H:$N,6,0)),"")</f>
        <v/>
      </c>
      <c r="M2571" s="55" t="str">
        <f>IFERROR(IF($G2571="","",VLOOKUP('Dashboard And Emails Automate'!$G2571,Database!$H:$N,7,0)),"")</f>
        <v/>
      </c>
      <c r="N2571" s="55" t="str">
        <f>IFERROR(IF(OR($B2571="",$B2571="(blank)"),"",VLOOKUP($B2571,'Email Marketing Raw Data'!$C:$O,6,0)),"")</f>
        <v/>
      </c>
      <c r="O2571" s="55" t="str">
        <f>IFERROR(IF(OR($B2571="",$B2571="(blank)"),"",VLOOKUP($B2571,'Email Marketing Raw Data'!$C:$O,7,0)),"")</f>
        <v/>
      </c>
      <c r="P2571" s="55" t="str">
        <f>IFERROR(IF(OR($B2571="",$B2571="(blank)"),"",VLOOKUP($B2571,'Email Marketing Raw Data'!$C:$O,8,0)),"")</f>
        <v/>
      </c>
      <c r="Q2571" s="62" t="str">
        <f>IFERROR(IF(OR($B2571="",$B2571="(blank)"),"",VLOOKUP($B2571,'Email Marketing Raw Data'!$C:$O,9,0)),"")</f>
        <v/>
      </c>
    </row>
    <row r="2572" spans="4:17" ht="12.75" customHeight="1" x14ac:dyDescent="0.2">
      <c r="D2572" s="58" t="str">
        <f>IFERROR(IF(F2572&lt;&gt;"pending","",IF(OR($B2572="",$B2572="(blank)"),"",VLOOKUP($B2572,'Email Marketing Raw Data'!$C:$O,10,0))),"")</f>
        <v/>
      </c>
      <c r="E2572" s="59" t="str">
        <f>IFERROR(IF(F2572&lt;&gt;"pending","",IF(OR($B2572="",$B2572="(blank)"),"",VLOOKUP($B2572,'Email Marketing Raw Data'!$C:$O,11,0))),"")</f>
        <v/>
      </c>
      <c r="F2572" s="54" t="str">
        <f>IFERROR(IF(OR($B2572="",$B2572="(blank)"),"",VLOOKUP($B2572,'Email Marketing Raw Data'!$C:$O,13,0)),"")</f>
        <v/>
      </c>
      <c r="G2572" s="55" t="str">
        <f>IFERROR(IF(OR($B2572="",$B2572="(blank)"),"",VLOOKUP($B2572,'Email Marketing Raw Data'!$C:$O,4,0)),"")</f>
        <v/>
      </c>
      <c r="H2572" s="55" t="str">
        <f>IFERROR(IF(OR($B2572="",$B2572="(blank)"),"",VLOOKUP($B2572,'Email Marketing Raw Data'!$C:$O,5,0)),"")</f>
        <v/>
      </c>
      <c r="I2572" s="55" t="str">
        <f>IFERROR(IF($G2572="","",VLOOKUP('Dashboard And Emails Automate'!$G2572,Database!$H:$N,3,0)),"")</f>
        <v/>
      </c>
      <c r="J2572" s="55" t="str">
        <f>IFERROR(IF($G2572="","",VLOOKUP('Dashboard And Emails Automate'!$G2572,Database!$H:$N,4,0)),"")</f>
        <v/>
      </c>
      <c r="K2572" s="55" t="str">
        <f>IFERROR(IF($G2572="","",VLOOKUP('Dashboard And Emails Automate'!$G2572,Database!$H:$N,5,0)),"")</f>
        <v/>
      </c>
      <c r="L2572" s="55" t="str">
        <f>IFERROR(IF($G2572="","",VLOOKUP('Dashboard And Emails Automate'!$G2572,Database!$H:$N,6,0)),"")</f>
        <v/>
      </c>
      <c r="M2572" s="55" t="str">
        <f>IFERROR(IF($G2572="","",VLOOKUP('Dashboard And Emails Automate'!$G2572,Database!$H:$N,7,0)),"")</f>
        <v/>
      </c>
      <c r="N2572" s="55" t="str">
        <f>IFERROR(IF(OR($B2572="",$B2572="(blank)"),"",VLOOKUP($B2572,'Email Marketing Raw Data'!$C:$O,6,0)),"")</f>
        <v/>
      </c>
      <c r="O2572" s="55" t="str">
        <f>IFERROR(IF(OR($B2572="",$B2572="(blank)"),"",VLOOKUP($B2572,'Email Marketing Raw Data'!$C:$O,7,0)),"")</f>
        <v/>
      </c>
      <c r="P2572" s="55" t="str">
        <f>IFERROR(IF(OR($B2572="",$B2572="(blank)"),"",VLOOKUP($B2572,'Email Marketing Raw Data'!$C:$O,8,0)),"")</f>
        <v/>
      </c>
      <c r="Q2572" s="62" t="str">
        <f>IFERROR(IF(OR($B2572="",$B2572="(blank)"),"",VLOOKUP($B2572,'Email Marketing Raw Data'!$C:$O,9,0)),"")</f>
        <v/>
      </c>
    </row>
    <row r="2573" spans="4:17" ht="12.75" customHeight="1" x14ac:dyDescent="0.2">
      <c r="D2573" s="58" t="str">
        <f>IFERROR(IF(F2573&lt;&gt;"pending","",IF(OR($B2573="",$B2573="(blank)"),"",VLOOKUP($B2573,'Email Marketing Raw Data'!$C:$O,10,0))),"")</f>
        <v/>
      </c>
      <c r="E2573" s="59" t="str">
        <f>IFERROR(IF(F2573&lt;&gt;"pending","",IF(OR($B2573="",$B2573="(blank)"),"",VLOOKUP($B2573,'Email Marketing Raw Data'!$C:$O,11,0))),"")</f>
        <v/>
      </c>
      <c r="F2573" s="54" t="str">
        <f>IFERROR(IF(OR($B2573="",$B2573="(blank)"),"",VLOOKUP($B2573,'Email Marketing Raw Data'!$C:$O,13,0)),"")</f>
        <v/>
      </c>
      <c r="G2573" s="55" t="str">
        <f>IFERROR(IF(OR($B2573="",$B2573="(blank)"),"",VLOOKUP($B2573,'Email Marketing Raw Data'!$C:$O,4,0)),"")</f>
        <v/>
      </c>
      <c r="H2573" s="55" t="str">
        <f>IFERROR(IF(OR($B2573="",$B2573="(blank)"),"",VLOOKUP($B2573,'Email Marketing Raw Data'!$C:$O,5,0)),"")</f>
        <v/>
      </c>
      <c r="I2573" s="55" t="str">
        <f>IFERROR(IF($G2573="","",VLOOKUP('Dashboard And Emails Automate'!$G2573,Database!$H:$N,3,0)),"")</f>
        <v/>
      </c>
      <c r="J2573" s="55" t="str">
        <f>IFERROR(IF($G2573="","",VLOOKUP('Dashboard And Emails Automate'!$G2573,Database!$H:$N,4,0)),"")</f>
        <v/>
      </c>
      <c r="K2573" s="55" t="str">
        <f>IFERROR(IF($G2573="","",VLOOKUP('Dashboard And Emails Automate'!$G2573,Database!$H:$N,5,0)),"")</f>
        <v/>
      </c>
      <c r="L2573" s="55" t="str">
        <f>IFERROR(IF($G2573="","",VLOOKUP('Dashboard And Emails Automate'!$G2573,Database!$H:$N,6,0)),"")</f>
        <v/>
      </c>
      <c r="M2573" s="55" t="str">
        <f>IFERROR(IF($G2573="","",VLOOKUP('Dashboard And Emails Automate'!$G2573,Database!$H:$N,7,0)),"")</f>
        <v/>
      </c>
      <c r="N2573" s="55" t="str">
        <f>IFERROR(IF(OR($B2573="",$B2573="(blank)"),"",VLOOKUP($B2573,'Email Marketing Raw Data'!$C:$O,6,0)),"")</f>
        <v/>
      </c>
      <c r="O2573" s="55" t="str">
        <f>IFERROR(IF(OR($B2573="",$B2573="(blank)"),"",VLOOKUP($B2573,'Email Marketing Raw Data'!$C:$O,7,0)),"")</f>
        <v/>
      </c>
      <c r="P2573" s="55" t="str">
        <f>IFERROR(IF(OR($B2573="",$B2573="(blank)"),"",VLOOKUP($B2573,'Email Marketing Raw Data'!$C:$O,8,0)),"")</f>
        <v/>
      </c>
      <c r="Q2573" s="62" t="str">
        <f>IFERROR(IF(OR($B2573="",$B2573="(blank)"),"",VLOOKUP($B2573,'Email Marketing Raw Data'!$C:$O,9,0)),"")</f>
        <v/>
      </c>
    </row>
    <row r="2574" spans="4:17" ht="12.75" customHeight="1" x14ac:dyDescent="0.2">
      <c r="D2574" s="58" t="str">
        <f>IFERROR(IF(F2574&lt;&gt;"pending","",IF(OR($B2574="",$B2574="(blank)"),"",VLOOKUP($B2574,'Email Marketing Raw Data'!$C:$O,10,0))),"")</f>
        <v/>
      </c>
      <c r="E2574" s="59" t="str">
        <f>IFERROR(IF(F2574&lt;&gt;"pending","",IF(OR($B2574="",$B2574="(blank)"),"",VLOOKUP($B2574,'Email Marketing Raw Data'!$C:$O,11,0))),"")</f>
        <v/>
      </c>
      <c r="F2574" s="54" t="str">
        <f>IFERROR(IF(OR($B2574="",$B2574="(blank)"),"",VLOOKUP($B2574,'Email Marketing Raw Data'!$C:$O,13,0)),"")</f>
        <v/>
      </c>
      <c r="G2574" s="55" t="str">
        <f>IFERROR(IF(OR($B2574="",$B2574="(blank)"),"",VLOOKUP($B2574,'Email Marketing Raw Data'!$C:$O,4,0)),"")</f>
        <v/>
      </c>
      <c r="H2574" s="55" t="str">
        <f>IFERROR(IF(OR($B2574="",$B2574="(blank)"),"",VLOOKUP($B2574,'Email Marketing Raw Data'!$C:$O,5,0)),"")</f>
        <v/>
      </c>
      <c r="I2574" s="55" t="str">
        <f>IFERROR(IF($G2574="","",VLOOKUP('Dashboard And Emails Automate'!$G2574,Database!$H:$N,3,0)),"")</f>
        <v/>
      </c>
      <c r="J2574" s="55" t="str">
        <f>IFERROR(IF($G2574="","",VLOOKUP('Dashboard And Emails Automate'!$G2574,Database!$H:$N,4,0)),"")</f>
        <v/>
      </c>
      <c r="K2574" s="55" t="str">
        <f>IFERROR(IF($G2574="","",VLOOKUP('Dashboard And Emails Automate'!$G2574,Database!$H:$N,5,0)),"")</f>
        <v/>
      </c>
      <c r="L2574" s="55" t="str">
        <f>IFERROR(IF($G2574="","",VLOOKUP('Dashboard And Emails Automate'!$G2574,Database!$H:$N,6,0)),"")</f>
        <v/>
      </c>
      <c r="M2574" s="55" t="str">
        <f>IFERROR(IF($G2574="","",VLOOKUP('Dashboard And Emails Automate'!$G2574,Database!$H:$N,7,0)),"")</f>
        <v/>
      </c>
      <c r="N2574" s="55" t="str">
        <f>IFERROR(IF(OR($B2574="",$B2574="(blank)"),"",VLOOKUP($B2574,'Email Marketing Raw Data'!$C:$O,6,0)),"")</f>
        <v/>
      </c>
      <c r="O2574" s="55" t="str">
        <f>IFERROR(IF(OR($B2574="",$B2574="(blank)"),"",VLOOKUP($B2574,'Email Marketing Raw Data'!$C:$O,7,0)),"")</f>
        <v/>
      </c>
      <c r="P2574" s="55" t="str">
        <f>IFERROR(IF(OR($B2574="",$B2574="(blank)"),"",VLOOKUP($B2574,'Email Marketing Raw Data'!$C:$O,8,0)),"")</f>
        <v/>
      </c>
      <c r="Q2574" s="62" t="str">
        <f>IFERROR(IF(OR($B2574="",$B2574="(blank)"),"",VLOOKUP($B2574,'Email Marketing Raw Data'!$C:$O,9,0)),"")</f>
        <v/>
      </c>
    </row>
    <row r="2575" spans="4:17" ht="12.75" customHeight="1" x14ac:dyDescent="0.2">
      <c r="D2575" s="58" t="str">
        <f>IFERROR(IF(F2575&lt;&gt;"pending","",IF(OR($B2575="",$B2575="(blank)"),"",VLOOKUP($B2575,'Email Marketing Raw Data'!$C:$O,10,0))),"")</f>
        <v/>
      </c>
      <c r="E2575" s="59" t="str">
        <f>IFERROR(IF(F2575&lt;&gt;"pending","",IF(OR($B2575="",$B2575="(blank)"),"",VLOOKUP($B2575,'Email Marketing Raw Data'!$C:$O,11,0))),"")</f>
        <v/>
      </c>
      <c r="F2575" s="54" t="str">
        <f>IFERROR(IF(OR($B2575="",$B2575="(blank)"),"",VLOOKUP($B2575,'Email Marketing Raw Data'!$C:$O,13,0)),"")</f>
        <v/>
      </c>
      <c r="G2575" s="55" t="str">
        <f>IFERROR(IF(OR($B2575="",$B2575="(blank)"),"",VLOOKUP($B2575,'Email Marketing Raw Data'!$C:$O,4,0)),"")</f>
        <v/>
      </c>
      <c r="H2575" s="55" t="str">
        <f>IFERROR(IF(OR($B2575="",$B2575="(blank)"),"",VLOOKUP($B2575,'Email Marketing Raw Data'!$C:$O,5,0)),"")</f>
        <v/>
      </c>
      <c r="I2575" s="55" t="str">
        <f>IFERROR(IF($G2575="","",VLOOKUP('Dashboard And Emails Automate'!$G2575,Database!$H:$N,3,0)),"")</f>
        <v/>
      </c>
      <c r="J2575" s="55" t="str">
        <f>IFERROR(IF($G2575="","",VLOOKUP('Dashboard And Emails Automate'!$G2575,Database!$H:$N,4,0)),"")</f>
        <v/>
      </c>
      <c r="K2575" s="55" t="str">
        <f>IFERROR(IF($G2575="","",VLOOKUP('Dashboard And Emails Automate'!$G2575,Database!$H:$N,5,0)),"")</f>
        <v/>
      </c>
      <c r="L2575" s="55" t="str">
        <f>IFERROR(IF($G2575="","",VLOOKUP('Dashboard And Emails Automate'!$G2575,Database!$H:$N,6,0)),"")</f>
        <v/>
      </c>
      <c r="M2575" s="55" t="str">
        <f>IFERROR(IF($G2575="","",VLOOKUP('Dashboard And Emails Automate'!$G2575,Database!$H:$N,7,0)),"")</f>
        <v/>
      </c>
      <c r="N2575" s="55" t="str">
        <f>IFERROR(IF(OR($B2575="",$B2575="(blank)"),"",VLOOKUP($B2575,'Email Marketing Raw Data'!$C:$O,6,0)),"")</f>
        <v/>
      </c>
      <c r="O2575" s="55" t="str">
        <f>IFERROR(IF(OR($B2575="",$B2575="(blank)"),"",VLOOKUP($B2575,'Email Marketing Raw Data'!$C:$O,7,0)),"")</f>
        <v/>
      </c>
      <c r="P2575" s="55" t="str">
        <f>IFERROR(IF(OR($B2575="",$B2575="(blank)"),"",VLOOKUP($B2575,'Email Marketing Raw Data'!$C:$O,8,0)),"")</f>
        <v/>
      </c>
      <c r="Q2575" s="62" t="str">
        <f>IFERROR(IF(OR($B2575="",$B2575="(blank)"),"",VLOOKUP($B2575,'Email Marketing Raw Data'!$C:$O,9,0)),"")</f>
        <v/>
      </c>
    </row>
    <row r="2576" spans="4:17" ht="12.75" customHeight="1" x14ac:dyDescent="0.2">
      <c r="D2576" s="58" t="str">
        <f>IFERROR(IF(F2576&lt;&gt;"pending","",IF(OR($B2576="",$B2576="(blank)"),"",VLOOKUP($B2576,'Email Marketing Raw Data'!$C:$O,10,0))),"")</f>
        <v/>
      </c>
      <c r="E2576" s="59" t="str">
        <f>IFERROR(IF(F2576&lt;&gt;"pending","",IF(OR($B2576="",$B2576="(blank)"),"",VLOOKUP($B2576,'Email Marketing Raw Data'!$C:$O,11,0))),"")</f>
        <v/>
      </c>
      <c r="F2576" s="54" t="str">
        <f>IFERROR(IF(OR($B2576="",$B2576="(blank)"),"",VLOOKUP($B2576,'Email Marketing Raw Data'!$C:$O,13,0)),"")</f>
        <v/>
      </c>
      <c r="G2576" s="55" t="str">
        <f>IFERROR(IF(OR($B2576="",$B2576="(blank)"),"",VLOOKUP($B2576,'Email Marketing Raw Data'!$C:$O,4,0)),"")</f>
        <v/>
      </c>
      <c r="H2576" s="55" t="str">
        <f>IFERROR(IF(OR($B2576="",$B2576="(blank)"),"",VLOOKUP($B2576,'Email Marketing Raw Data'!$C:$O,5,0)),"")</f>
        <v/>
      </c>
      <c r="I2576" s="55" t="str">
        <f>IFERROR(IF($G2576="","",VLOOKUP('Dashboard And Emails Automate'!$G2576,Database!$H:$N,3,0)),"")</f>
        <v/>
      </c>
      <c r="J2576" s="55" t="str">
        <f>IFERROR(IF($G2576="","",VLOOKUP('Dashboard And Emails Automate'!$G2576,Database!$H:$N,4,0)),"")</f>
        <v/>
      </c>
      <c r="K2576" s="55" t="str">
        <f>IFERROR(IF($G2576="","",VLOOKUP('Dashboard And Emails Automate'!$G2576,Database!$H:$N,5,0)),"")</f>
        <v/>
      </c>
      <c r="L2576" s="55" t="str">
        <f>IFERROR(IF($G2576="","",VLOOKUP('Dashboard And Emails Automate'!$G2576,Database!$H:$N,6,0)),"")</f>
        <v/>
      </c>
      <c r="M2576" s="55" t="str">
        <f>IFERROR(IF($G2576="","",VLOOKUP('Dashboard And Emails Automate'!$G2576,Database!$H:$N,7,0)),"")</f>
        <v/>
      </c>
      <c r="N2576" s="55" t="str">
        <f>IFERROR(IF(OR($B2576="",$B2576="(blank)"),"",VLOOKUP($B2576,'Email Marketing Raw Data'!$C:$O,6,0)),"")</f>
        <v/>
      </c>
      <c r="O2576" s="55" t="str">
        <f>IFERROR(IF(OR($B2576="",$B2576="(blank)"),"",VLOOKUP($B2576,'Email Marketing Raw Data'!$C:$O,7,0)),"")</f>
        <v/>
      </c>
      <c r="P2576" s="55" t="str">
        <f>IFERROR(IF(OR($B2576="",$B2576="(blank)"),"",VLOOKUP($B2576,'Email Marketing Raw Data'!$C:$O,8,0)),"")</f>
        <v/>
      </c>
      <c r="Q2576" s="62" t="str">
        <f>IFERROR(IF(OR($B2576="",$B2576="(blank)"),"",VLOOKUP($B2576,'Email Marketing Raw Data'!$C:$O,9,0)),"")</f>
        <v/>
      </c>
    </row>
    <row r="2577" spans="4:17" ht="12.75" customHeight="1" x14ac:dyDescent="0.2">
      <c r="D2577" s="58" t="str">
        <f>IFERROR(IF(F2577&lt;&gt;"pending","",IF(OR($B2577="",$B2577="(blank)"),"",VLOOKUP($B2577,'Email Marketing Raw Data'!$C:$O,10,0))),"")</f>
        <v/>
      </c>
      <c r="E2577" s="59" t="str">
        <f>IFERROR(IF(F2577&lt;&gt;"pending","",IF(OR($B2577="",$B2577="(blank)"),"",VLOOKUP($B2577,'Email Marketing Raw Data'!$C:$O,11,0))),"")</f>
        <v/>
      </c>
      <c r="F2577" s="54" t="str">
        <f>IFERROR(IF(OR($B2577="",$B2577="(blank)"),"",VLOOKUP($B2577,'Email Marketing Raw Data'!$C:$O,13,0)),"")</f>
        <v/>
      </c>
      <c r="G2577" s="55" t="str">
        <f>IFERROR(IF(OR($B2577="",$B2577="(blank)"),"",VLOOKUP($B2577,'Email Marketing Raw Data'!$C:$O,4,0)),"")</f>
        <v/>
      </c>
      <c r="H2577" s="55" t="str">
        <f>IFERROR(IF(OR($B2577="",$B2577="(blank)"),"",VLOOKUP($B2577,'Email Marketing Raw Data'!$C:$O,5,0)),"")</f>
        <v/>
      </c>
      <c r="I2577" s="55" t="str">
        <f>IFERROR(IF($G2577="","",VLOOKUP('Dashboard And Emails Automate'!$G2577,Database!$H:$N,3,0)),"")</f>
        <v/>
      </c>
      <c r="J2577" s="55" t="str">
        <f>IFERROR(IF($G2577="","",VLOOKUP('Dashboard And Emails Automate'!$G2577,Database!$H:$N,4,0)),"")</f>
        <v/>
      </c>
      <c r="K2577" s="55" t="str">
        <f>IFERROR(IF($G2577="","",VLOOKUP('Dashboard And Emails Automate'!$G2577,Database!$H:$N,5,0)),"")</f>
        <v/>
      </c>
      <c r="L2577" s="55" t="str">
        <f>IFERROR(IF($G2577="","",VLOOKUP('Dashboard And Emails Automate'!$G2577,Database!$H:$N,6,0)),"")</f>
        <v/>
      </c>
      <c r="M2577" s="55" t="str">
        <f>IFERROR(IF($G2577="","",VLOOKUP('Dashboard And Emails Automate'!$G2577,Database!$H:$N,7,0)),"")</f>
        <v/>
      </c>
      <c r="N2577" s="55" t="str">
        <f>IFERROR(IF(OR($B2577="",$B2577="(blank)"),"",VLOOKUP($B2577,'Email Marketing Raw Data'!$C:$O,6,0)),"")</f>
        <v/>
      </c>
      <c r="O2577" s="55" t="str">
        <f>IFERROR(IF(OR($B2577="",$B2577="(blank)"),"",VLOOKUP($B2577,'Email Marketing Raw Data'!$C:$O,7,0)),"")</f>
        <v/>
      </c>
      <c r="P2577" s="55" t="str">
        <f>IFERROR(IF(OR($B2577="",$B2577="(blank)"),"",VLOOKUP($B2577,'Email Marketing Raw Data'!$C:$O,8,0)),"")</f>
        <v/>
      </c>
      <c r="Q2577" s="62" t="str">
        <f>IFERROR(IF(OR($B2577="",$B2577="(blank)"),"",VLOOKUP($B2577,'Email Marketing Raw Data'!$C:$O,9,0)),"")</f>
        <v/>
      </c>
    </row>
    <row r="2578" spans="4:17" ht="12.75" customHeight="1" x14ac:dyDescent="0.2">
      <c r="D2578" s="58" t="str">
        <f>IFERROR(IF(F2578&lt;&gt;"pending","",IF(OR($B2578="",$B2578="(blank)"),"",VLOOKUP($B2578,'Email Marketing Raw Data'!$C:$O,10,0))),"")</f>
        <v/>
      </c>
      <c r="E2578" s="59" t="str">
        <f>IFERROR(IF(F2578&lt;&gt;"pending","",IF(OR($B2578="",$B2578="(blank)"),"",VLOOKUP($B2578,'Email Marketing Raw Data'!$C:$O,11,0))),"")</f>
        <v/>
      </c>
      <c r="F2578" s="54" t="str">
        <f>IFERROR(IF(OR($B2578="",$B2578="(blank)"),"",VLOOKUP($B2578,'Email Marketing Raw Data'!$C:$O,13,0)),"")</f>
        <v/>
      </c>
      <c r="G2578" s="55" t="str">
        <f>IFERROR(IF(OR($B2578="",$B2578="(blank)"),"",VLOOKUP($B2578,'Email Marketing Raw Data'!$C:$O,4,0)),"")</f>
        <v/>
      </c>
      <c r="H2578" s="55" t="str">
        <f>IFERROR(IF(OR($B2578="",$B2578="(blank)"),"",VLOOKUP($B2578,'Email Marketing Raw Data'!$C:$O,5,0)),"")</f>
        <v/>
      </c>
      <c r="I2578" s="55" t="str">
        <f>IFERROR(IF($G2578="","",VLOOKUP('Dashboard And Emails Automate'!$G2578,Database!$H:$N,3,0)),"")</f>
        <v/>
      </c>
      <c r="J2578" s="55" t="str">
        <f>IFERROR(IF($G2578="","",VLOOKUP('Dashboard And Emails Automate'!$G2578,Database!$H:$N,4,0)),"")</f>
        <v/>
      </c>
      <c r="K2578" s="55" t="str">
        <f>IFERROR(IF($G2578="","",VLOOKUP('Dashboard And Emails Automate'!$G2578,Database!$H:$N,5,0)),"")</f>
        <v/>
      </c>
      <c r="L2578" s="55" t="str">
        <f>IFERROR(IF($G2578="","",VLOOKUP('Dashboard And Emails Automate'!$G2578,Database!$H:$N,6,0)),"")</f>
        <v/>
      </c>
      <c r="M2578" s="55" t="str">
        <f>IFERROR(IF($G2578="","",VLOOKUP('Dashboard And Emails Automate'!$G2578,Database!$H:$N,7,0)),"")</f>
        <v/>
      </c>
      <c r="N2578" s="55" t="str">
        <f>IFERROR(IF(OR($B2578="",$B2578="(blank)"),"",VLOOKUP($B2578,'Email Marketing Raw Data'!$C:$O,6,0)),"")</f>
        <v/>
      </c>
      <c r="O2578" s="55" t="str">
        <f>IFERROR(IF(OR($B2578="",$B2578="(blank)"),"",VLOOKUP($B2578,'Email Marketing Raw Data'!$C:$O,7,0)),"")</f>
        <v/>
      </c>
      <c r="P2578" s="55" t="str">
        <f>IFERROR(IF(OR($B2578="",$B2578="(blank)"),"",VLOOKUP($B2578,'Email Marketing Raw Data'!$C:$O,8,0)),"")</f>
        <v/>
      </c>
      <c r="Q2578" s="62" t="str">
        <f>IFERROR(IF(OR($B2578="",$B2578="(blank)"),"",VLOOKUP($B2578,'Email Marketing Raw Data'!$C:$O,9,0)),"")</f>
        <v/>
      </c>
    </row>
    <row r="2579" spans="4:17" ht="12.75" customHeight="1" x14ac:dyDescent="0.2">
      <c r="D2579" s="58" t="str">
        <f>IFERROR(IF(F2579&lt;&gt;"pending","",IF(OR($B2579="",$B2579="(blank)"),"",VLOOKUP($B2579,'Email Marketing Raw Data'!$C:$O,10,0))),"")</f>
        <v/>
      </c>
      <c r="E2579" s="59" t="str">
        <f>IFERROR(IF(F2579&lt;&gt;"pending","",IF(OR($B2579="",$B2579="(blank)"),"",VLOOKUP($B2579,'Email Marketing Raw Data'!$C:$O,11,0))),"")</f>
        <v/>
      </c>
      <c r="F2579" s="54" t="str">
        <f>IFERROR(IF(OR($B2579="",$B2579="(blank)"),"",VLOOKUP($B2579,'Email Marketing Raw Data'!$C:$O,13,0)),"")</f>
        <v/>
      </c>
      <c r="G2579" s="55" t="str">
        <f>IFERROR(IF(OR($B2579="",$B2579="(blank)"),"",VLOOKUP($B2579,'Email Marketing Raw Data'!$C:$O,4,0)),"")</f>
        <v/>
      </c>
      <c r="H2579" s="55" t="str">
        <f>IFERROR(IF(OR($B2579="",$B2579="(blank)"),"",VLOOKUP($B2579,'Email Marketing Raw Data'!$C:$O,5,0)),"")</f>
        <v/>
      </c>
      <c r="I2579" s="55" t="str">
        <f>IFERROR(IF($G2579="","",VLOOKUP('Dashboard And Emails Automate'!$G2579,Database!$H:$N,3,0)),"")</f>
        <v/>
      </c>
      <c r="J2579" s="55" t="str">
        <f>IFERROR(IF($G2579="","",VLOOKUP('Dashboard And Emails Automate'!$G2579,Database!$H:$N,4,0)),"")</f>
        <v/>
      </c>
      <c r="K2579" s="55" t="str">
        <f>IFERROR(IF($G2579="","",VLOOKUP('Dashboard And Emails Automate'!$G2579,Database!$H:$N,5,0)),"")</f>
        <v/>
      </c>
      <c r="L2579" s="55" t="str">
        <f>IFERROR(IF($G2579="","",VLOOKUP('Dashboard And Emails Automate'!$G2579,Database!$H:$N,6,0)),"")</f>
        <v/>
      </c>
      <c r="M2579" s="55" t="str">
        <f>IFERROR(IF($G2579="","",VLOOKUP('Dashboard And Emails Automate'!$G2579,Database!$H:$N,7,0)),"")</f>
        <v/>
      </c>
      <c r="N2579" s="55" t="str">
        <f>IFERROR(IF(OR($B2579="",$B2579="(blank)"),"",VLOOKUP($B2579,'Email Marketing Raw Data'!$C:$O,6,0)),"")</f>
        <v/>
      </c>
      <c r="O2579" s="55" t="str">
        <f>IFERROR(IF(OR($B2579="",$B2579="(blank)"),"",VLOOKUP($B2579,'Email Marketing Raw Data'!$C:$O,7,0)),"")</f>
        <v/>
      </c>
      <c r="P2579" s="55" t="str">
        <f>IFERROR(IF(OR($B2579="",$B2579="(blank)"),"",VLOOKUP($B2579,'Email Marketing Raw Data'!$C:$O,8,0)),"")</f>
        <v/>
      </c>
      <c r="Q2579" s="62" t="str">
        <f>IFERROR(IF(OR($B2579="",$B2579="(blank)"),"",VLOOKUP($B2579,'Email Marketing Raw Data'!$C:$O,9,0)),"")</f>
        <v/>
      </c>
    </row>
    <row r="2580" spans="4:17" ht="12.75" customHeight="1" x14ac:dyDescent="0.2">
      <c r="D2580" s="58" t="str">
        <f>IFERROR(IF(F2580&lt;&gt;"pending","",IF(OR($B2580="",$B2580="(blank)"),"",VLOOKUP($B2580,'Email Marketing Raw Data'!$C:$O,10,0))),"")</f>
        <v/>
      </c>
      <c r="E2580" s="59" t="str">
        <f>IFERROR(IF(F2580&lt;&gt;"pending","",IF(OR($B2580="",$B2580="(blank)"),"",VLOOKUP($B2580,'Email Marketing Raw Data'!$C:$O,11,0))),"")</f>
        <v/>
      </c>
      <c r="F2580" s="54" t="str">
        <f>IFERROR(IF(OR($B2580="",$B2580="(blank)"),"",VLOOKUP($B2580,'Email Marketing Raw Data'!$C:$O,13,0)),"")</f>
        <v/>
      </c>
      <c r="G2580" s="55" t="str">
        <f>IFERROR(IF(OR($B2580="",$B2580="(blank)"),"",VLOOKUP($B2580,'Email Marketing Raw Data'!$C:$O,4,0)),"")</f>
        <v/>
      </c>
      <c r="H2580" s="55" t="str">
        <f>IFERROR(IF(OR($B2580="",$B2580="(blank)"),"",VLOOKUP($B2580,'Email Marketing Raw Data'!$C:$O,5,0)),"")</f>
        <v/>
      </c>
      <c r="I2580" s="55" t="str">
        <f>IFERROR(IF($G2580="","",VLOOKUP('Dashboard And Emails Automate'!$G2580,Database!$H:$N,3,0)),"")</f>
        <v/>
      </c>
      <c r="J2580" s="55" t="str">
        <f>IFERROR(IF($G2580="","",VLOOKUP('Dashboard And Emails Automate'!$G2580,Database!$H:$N,4,0)),"")</f>
        <v/>
      </c>
      <c r="K2580" s="55" t="str">
        <f>IFERROR(IF($G2580="","",VLOOKUP('Dashboard And Emails Automate'!$G2580,Database!$H:$N,5,0)),"")</f>
        <v/>
      </c>
      <c r="L2580" s="55" t="str">
        <f>IFERROR(IF($G2580="","",VLOOKUP('Dashboard And Emails Automate'!$G2580,Database!$H:$N,6,0)),"")</f>
        <v/>
      </c>
      <c r="M2580" s="55" t="str">
        <f>IFERROR(IF($G2580="","",VLOOKUP('Dashboard And Emails Automate'!$G2580,Database!$H:$N,7,0)),"")</f>
        <v/>
      </c>
      <c r="N2580" s="55" t="str">
        <f>IFERROR(IF(OR($B2580="",$B2580="(blank)"),"",VLOOKUP($B2580,'Email Marketing Raw Data'!$C:$O,6,0)),"")</f>
        <v/>
      </c>
      <c r="O2580" s="55" t="str">
        <f>IFERROR(IF(OR($B2580="",$B2580="(blank)"),"",VLOOKUP($B2580,'Email Marketing Raw Data'!$C:$O,7,0)),"")</f>
        <v/>
      </c>
      <c r="P2580" s="55" t="str">
        <f>IFERROR(IF(OR($B2580="",$B2580="(blank)"),"",VLOOKUP($B2580,'Email Marketing Raw Data'!$C:$O,8,0)),"")</f>
        <v/>
      </c>
      <c r="Q2580" s="62" t="str">
        <f>IFERROR(IF(OR($B2580="",$B2580="(blank)"),"",VLOOKUP($B2580,'Email Marketing Raw Data'!$C:$O,9,0)),"")</f>
        <v/>
      </c>
    </row>
    <row r="2581" spans="4:17" ht="12.75" customHeight="1" x14ac:dyDescent="0.2">
      <c r="D2581" s="58" t="str">
        <f>IFERROR(IF(F2581&lt;&gt;"pending","",IF(OR($B2581="",$B2581="(blank)"),"",VLOOKUP($B2581,'Email Marketing Raw Data'!$C:$O,10,0))),"")</f>
        <v/>
      </c>
      <c r="E2581" s="59" t="str">
        <f>IFERROR(IF(F2581&lt;&gt;"pending","",IF(OR($B2581="",$B2581="(blank)"),"",VLOOKUP($B2581,'Email Marketing Raw Data'!$C:$O,11,0))),"")</f>
        <v/>
      </c>
      <c r="F2581" s="54" t="str">
        <f>IFERROR(IF(OR($B2581="",$B2581="(blank)"),"",VLOOKUP($B2581,'Email Marketing Raw Data'!$C:$O,13,0)),"")</f>
        <v/>
      </c>
      <c r="G2581" s="55" t="str">
        <f>IFERROR(IF(OR($B2581="",$B2581="(blank)"),"",VLOOKUP($B2581,'Email Marketing Raw Data'!$C:$O,4,0)),"")</f>
        <v/>
      </c>
      <c r="H2581" s="55" t="str">
        <f>IFERROR(IF(OR($B2581="",$B2581="(blank)"),"",VLOOKUP($B2581,'Email Marketing Raw Data'!$C:$O,5,0)),"")</f>
        <v/>
      </c>
      <c r="I2581" s="55" t="str">
        <f>IFERROR(IF($G2581="","",VLOOKUP('Dashboard And Emails Automate'!$G2581,Database!$H:$N,3,0)),"")</f>
        <v/>
      </c>
      <c r="J2581" s="55" t="str">
        <f>IFERROR(IF($G2581="","",VLOOKUP('Dashboard And Emails Automate'!$G2581,Database!$H:$N,4,0)),"")</f>
        <v/>
      </c>
      <c r="K2581" s="55" t="str">
        <f>IFERROR(IF($G2581="","",VLOOKUP('Dashboard And Emails Automate'!$G2581,Database!$H:$N,5,0)),"")</f>
        <v/>
      </c>
      <c r="L2581" s="55" t="str">
        <f>IFERROR(IF($G2581="","",VLOOKUP('Dashboard And Emails Automate'!$G2581,Database!$H:$N,6,0)),"")</f>
        <v/>
      </c>
      <c r="M2581" s="55" t="str">
        <f>IFERROR(IF($G2581="","",VLOOKUP('Dashboard And Emails Automate'!$G2581,Database!$H:$N,7,0)),"")</f>
        <v/>
      </c>
      <c r="N2581" s="55" t="str">
        <f>IFERROR(IF(OR($B2581="",$B2581="(blank)"),"",VLOOKUP($B2581,'Email Marketing Raw Data'!$C:$O,6,0)),"")</f>
        <v/>
      </c>
      <c r="O2581" s="55" t="str">
        <f>IFERROR(IF(OR($B2581="",$B2581="(blank)"),"",VLOOKUP($B2581,'Email Marketing Raw Data'!$C:$O,7,0)),"")</f>
        <v/>
      </c>
      <c r="P2581" s="55" t="str">
        <f>IFERROR(IF(OR($B2581="",$B2581="(blank)"),"",VLOOKUP($B2581,'Email Marketing Raw Data'!$C:$O,8,0)),"")</f>
        <v/>
      </c>
      <c r="Q2581" s="62" t="str">
        <f>IFERROR(IF(OR($B2581="",$B2581="(blank)"),"",VLOOKUP($B2581,'Email Marketing Raw Data'!$C:$O,9,0)),"")</f>
        <v/>
      </c>
    </row>
    <row r="2582" spans="4:17" ht="12.75" customHeight="1" x14ac:dyDescent="0.2">
      <c r="D2582" s="58" t="str">
        <f>IFERROR(IF(F2582&lt;&gt;"pending","",IF(OR($B2582="",$B2582="(blank)"),"",VLOOKUP($B2582,'Email Marketing Raw Data'!$C:$O,10,0))),"")</f>
        <v/>
      </c>
      <c r="E2582" s="59" t="str">
        <f>IFERROR(IF(F2582&lt;&gt;"pending","",IF(OR($B2582="",$B2582="(blank)"),"",VLOOKUP($B2582,'Email Marketing Raw Data'!$C:$O,11,0))),"")</f>
        <v/>
      </c>
      <c r="F2582" s="54" t="str">
        <f>IFERROR(IF(OR($B2582="",$B2582="(blank)"),"",VLOOKUP($B2582,'Email Marketing Raw Data'!$C:$O,13,0)),"")</f>
        <v/>
      </c>
      <c r="G2582" s="55" t="str">
        <f>IFERROR(IF(OR($B2582="",$B2582="(blank)"),"",VLOOKUP($B2582,'Email Marketing Raw Data'!$C:$O,4,0)),"")</f>
        <v/>
      </c>
      <c r="H2582" s="55" t="str">
        <f>IFERROR(IF(OR($B2582="",$B2582="(blank)"),"",VLOOKUP($B2582,'Email Marketing Raw Data'!$C:$O,5,0)),"")</f>
        <v/>
      </c>
      <c r="I2582" s="55" t="str">
        <f>IFERROR(IF($G2582="","",VLOOKUP('Dashboard And Emails Automate'!$G2582,Database!$H:$N,3,0)),"")</f>
        <v/>
      </c>
      <c r="J2582" s="55" t="str">
        <f>IFERROR(IF($G2582="","",VLOOKUP('Dashboard And Emails Automate'!$G2582,Database!$H:$N,4,0)),"")</f>
        <v/>
      </c>
      <c r="K2582" s="55" t="str">
        <f>IFERROR(IF($G2582="","",VLOOKUP('Dashboard And Emails Automate'!$G2582,Database!$H:$N,5,0)),"")</f>
        <v/>
      </c>
      <c r="L2582" s="55" t="str">
        <f>IFERROR(IF($G2582="","",VLOOKUP('Dashboard And Emails Automate'!$G2582,Database!$H:$N,6,0)),"")</f>
        <v/>
      </c>
      <c r="M2582" s="55" t="str">
        <f>IFERROR(IF($G2582="","",VLOOKUP('Dashboard And Emails Automate'!$G2582,Database!$H:$N,7,0)),"")</f>
        <v/>
      </c>
      <c r="N2582" s="55" t="str">
        <f>IFERROR(IF(OR($B2582="",$B2582="(blank)"),"",VLOOKUP($B2582,'Email Marketing Raw Data'!$C:$O,6,0)),"")</f>
        <v/>
      </c>
      <c r="O2582" s="55" t="str">
        <f>IFERROR(IF(OR($B2582="",$B2582="(blank)"),"",VLOOKUP($B2582,'Email Marketing Raw Data'!$C:$O,7,0)),"")</f>
        <v/>
      </c>
      <c r="P2582" s="55" t="str">
        <f>IFERROR(IF(OR($B2582="",$B2582="(blank)"),"",VLOOKUP($B2582,'Email Marketing Raw Data'!$C:$O,8,0)),"")</f>
        <v/>
      </c>
      <c r="Q2582" s="62" t="str">
        <f>IFERROR(IF(OR($B2582="",$B2582="(blank)"),"",VLOOKUP($B2582,'Email Marketing Raw Data'!$C:$O,9,0)),"")</f>
        <v/>
      </c>
    </row>
    <row r="2583" spans="4:17" ht="12.75" customHeight="1" x14ac:dyDescent="0.2">
      <c r="D2583" s="58" t="str">
        <f>IFERROR(IF(F2583&lt;&gt;"pending","",IF(OR($B2583="",$B2583="(blank)"),"",VLOOKUP($B2583,'Email Marketing Raw Data'!$C:$O,10,0))),"")</f>
        <v/>
      </c>
      <c r="E2583" s="59" t="str">
        <f>IFERROR(IF(F2583&lt;&gt;"pending","",IF(OR($B2583="",$B2583="(blank)"),"",VLOOKUP($B2583,'Email Marketing Raw Data'!$C:$O,11,0))),"")</f>
        <v/>
      </c>
      <c r="F2583" s="54" t="str">
        <f>IFERROR(IF(OR($B2583="",$B2583="(blank)"),"",VLOOKUP($B2583,'Email Marketing Raw Data'!$C:$O,13,0)),"")</f>
        <v/>
      </c>
      <c r="G2583" s="55" t="str">
        <f>IFERROR(IF(OR($B2583="",$B2583="(blank)"),"",VLOOKUP($B2583,'Email Marketing Raw Data'!$C:$O,4,0)),"")</f>
        <v/>
      </c>
      <c r="H2583" s="55" t="str">
        <f>IFERROR(IF(OR($B2583="",$B2583="(blank)"),"",VLOOKUP($B2583,'Email Marketing Raw Data'!$C:$O,5,0)),"")</f>
        <v/>
      </c>
      <c r="I2583" s="55" t="str">
        <f>IFERROR(IF($G2583="","",VLOOKUP('Dashboard And Emails Automate'!$G2583,Database!$H:$N,3,0)),"")</f>
        <v/>
      </c>
      <c r="J2583" s="55" t="str">
        <f>IFERROR(IF($G2583="","",VLOOKUP('Dashboard And Emails Automate'!$G2583,Database!$H:$N,4,0)),"")</f>
        <v/>
      </c>
      <c r="K2583" s="55" t="str">
        <f>IFERROR(IF($G2583="","",VLOOKUP('Dashboard And Emails Automate'!$G2583,Database!$H:$N,5,0)),"")</f>
        <v/>
      </c>
      <c r="L2583" s="55" t="str">
        <f>IFERROR(IF($G2583="","",VLOOKUP('Dashboard And Emails Automate'!$G2583,Database!$H:$N,6,0)),"")</f>
        <v/>
      </c>
      <c r="M2583" s="55" t="str">
        <f>IFERROR(IF($G2583="","",VLOOKUP('Dashboard And Emails Automate'!$G2583,Database!$H:$N,7,0)),"")</f>
        <v/>
      </c>
      <c r="N2583" s="55" t="str">
        <f>IFERROR(IF(OR($B2583="",$B2583="(blank)"),"",VLOOKUP($B2583,'Email Marketing Raw Data'!$C:$O,6,0)),"")</f>
        <v/>
      </c>
      <c r="O2583" s="55" t="str">
        <f>IFERROR(IF(OR($B2583="",$B2583="(blank)"),"",VLOOKUP($B2583,'Email Marketing Raw Data'!$C:$O,7,0)),"")</f>
        <v/>
      </c>
      <c r="P2583" s="55" t="str">
        <f>IFERROR(IF(OR($B2583="",$B2583="(blank)"),"",VLOOKUP($B2583,'Email Marketing Raw Data'!$C:$O,8,0)),"")</f>
        <v/>
      </c>
      <c r="Q2583" s="62" t="str">
        <f>IFERROR(IF(OR($B2583="",$B2583="(blank)"),"",VLOOKUP($B2583,'Email Marketing Raw Data'!$C:$O,9,0)),"")</f>
        <v/>
      </c>
    </row>
    <row r="2584" spans="4:17" ht="12.75" customHeight="1" x14ac:dyDescent="0.2">
      <c r="D2584" s="58" t="str">
        <f>IFERROR(IF(F2584&lt;&gt;"pending","",IF(OR($B2584="",$B2584="(blank)"),"",VLOOKUP($B2584,'Email Marketing Raw Data'!$C:$O,10,0))),"")</f>
        <v/>
      </c>
      <c r="E2584" s="59" t="str">
        <f>IFERROR(IF(F2584&lt;&gt;"pending","",IF(OR($B2584="",$B2584="(blank)"),"",VLOOKUP($B2584,'Email Marketing Raw Data'!$C:$O,11,0))),"")</f>
        <v/>
      </c>
      <c r="F2584" s="54" t="str">
        <f>IFERROR(IF(OR($B2584="",$B2584="(blank)"),"",VLOOKUP($B2584,'Email Marketing Raw Data'!$C:$O,13,0)),"")</f>
        <v/>
      </c>
      <c r="G2584" s="55" t="str">
        <f>IFERROR(IF(OR($B2584="",$B2584="(blank)"),"",VLOOKUP($B2584,'Email Marketing Raw Data'!$C:$O,4,0)),"")</f>
        <v/>
      </c>
      <c r="H2584" s="55" t="str">
        <f>IFERROR(IF(OR($B2584="",$B2584="(blank)"),"",VLOOKUP($B2584,'Email Marketing Raw Data'!$C:$O,5,0)),"")</f>
        <v/>
      </c>
      <c r="I2584" s="55" t="str">
        <f>IFERROR(IF($G2584="","",VLOOKUP('Dashboard And Emails Automate'!$G2584,Database!$H:$N,3,0)),"")</f>
        <v/>
      </c>
      <c r="J2584" s="55" t="str">
        <f>IFERROR(IF($G2584="","",VLOOKUP('Dashboard And Emails Automate'!$G2584,Database!$H:$N,4,0)),"")</f>
        <v/>
      </c>
      <c r="K2584" s="55" t="str">
        <f>IFERROR(IF($G2584="","",VLOOKUP('Dashboard And Emails Automate'!$G2584,Database!$H:$N,5,0)),"")</f>
        <v/>
      </c>
      <c r="L2584" s="55" t="str">
        <f>IFERROR(IF($G2584="","",VLOOKUP('Dashboard And Emails Automate'!$G2584,Database!$H:$N,6,0)),"")</f>
        <v/>
      </c>
      <c r="M2584" s="55" t="str">
        <f>IFERROR(IF($G2584="","",VLOOKUP('Dashboard And Emails Automate'!$G2584,Database!$H:$N,7,0)),"")</f>
        <v/>
      </c>
      <c r="N2584" s="55" t="str">
        <f>IFERROR(IF(OR($B2584="",$B2584="(blank)"),"",VLOOKUP($B2584,'Email Marketing Raw Data'!$C:$O,6,0)),"")</f>
        <v/>
      </c>
      <c r="O2584" s="55" t="str">
        <f>IFERROR(IF(OR($B2584="",$B2584="(blank)"),"",VLOOKUP($B2584,'Email Marketing Raw Data'!$C:$O,7,0)),"")</f>
        <v/>
      </c>
      <c r="P2584" s="55" t="str">
        <f>IFERROR(IF(OR($B2584="",$B2584="(blank)"),"",VLOOKUP($B2584,'Email Marketing Raw Data'!$C:$O,8,0)),"")</f>
        <v/>
      </c>
      <c r="Q2584" s="62" t="str">
        <f>IFERROR(IF(OR($B2584="",$B2584="(blank)"),"",VLOOKUP($B2584,'Email Marketing Raw Data'!$C:$O,9,0)),"")</f>
        <v/>
      </c>
    </row>
    <row r="2585" spans="4:17" ht="12.75" customHeight="1" x14ac:dyDescent="0.2">
      <c r="D2585" s="58" t="str">
        <f>IFERROR(IF(F2585&lt;&gt;"pending","",IF(OR($B2585="",$B2585="(blank)"),"",VLOOKUP($B2585,'Email Marketing Raw Data'!$C:$O,10,0))),"")</f>
        <v/>
      </c>
      <c r="E2585" s="59" t="str">
        <f>IFERROR(IF(F2585&lt;&gt;"pending","",IF(OR($B2585="",$B2585="(blank)"),"",VLOOKUP($B2585,'Email Marketing Raw Data'!$C:$O,11,0))),"")</f>
        <v/>
      </c>
      <c r="F2585" s="54" t="str">
        <f>IFERROR(IF(OR($B2585="",$B2585="(blank)"),"",VLOOKUP($B2585,'Email Marketing Raw Data'!$C:$O,13,0)),"")</f>
        <v/>
      </c>
      <c r="G2585" s="55" t="str">
        <f>IFERROR(IF(OR($B2585="",$B2585="(blank)"),"",VLOOKUP($B2585,'Email Marketing Raw Data'!$C:$O,4,0)),"")</f>
        <v/>
      </c>
      <c r="H2585" s="55" t="str">
        <f>IFERROR(IF(OR($B2585="",$B2585="(blank)"),"",VLOOKUP($B2585,'Email Marketing Raw Data'!$C:$O,5,0)),"")</f>
        <v/>
      </c>
      <c r="I2585" s="55" t="str">
        <f>IFERROR(IF($G2585="","",VLOOKUP('Dashboard And Emails Automate'!$G2585,Database!$H:$N,3,0)),"")</f>
        <v/>
      </c>
      <c r="J2585" s="55" t="str">
        <f>IFERROR(IF($G2585="","",VLOOKUP('Dashboard And Emails Automate'!$G2585,Database!$H:$N,4,0)),"")</f>
        <v/>
      </c>
      <c r="K2585" s="55" t="str">
        <f>IFERROR(IF($G2585="","",VLOOKUP('Dashboard And Emails Automate'!$G2585,Database!$H:$N,5,0)),"")</f>
        <v/>
      </c>
      <c r="L2585" s="55" t="str">
        <f>IFERROR(IF($G2585="","",VLOOKUP('Dashboard And Emails Automate'!$G2585,Database!$H:$N,6,0)),"")</f>
        <v/>
      </c>
      <c r="M2585" s="55" t="str">
        <f>IFERROR(IF($G2585="","",VLOOKUP('Dashboard And Emails Automate'!$G2585,Database!$H:$N,7,0)),"")</f>
        <v/>
      </c>
      <c r="N2585" s="55" t="str">
        <f>IFERROR(IF(OR($B2585="",$B2585="(blank)"),"",VLOOKUP($B2585,'Email Marketing Raw Data'!$C:$O,6,0)),"")</f>
        <v/>
      </c>
      <c r="O2585" s="55" t="str">
        <f>IFERROR(IF(OR($B2585="",$B2585="(blank)"),"",VLOOKUP($B2585,'Email Marketing Raw Data'!$C:$O,7,0)),"")</f>
        <v/>
      </c>
      <c r="P2585" s="55" t="str">
        <f>IFERROR(IF(OR($B2585="",$B2585="(blank)"),"",VLOOKUP($B2585,'Email Marketing Raw Data'!$C:$O,8,0)),"")</f>
        <v/>
      </c>
      <c r="Q2585" s="62" t="str">
        <f>IFERROR(IF(OR($B2585="",$B2585="(blank)"),"",VLOOKUP($B2585,'Email Marketing Raw Data'!$C:$O,9,0)),"")</f>
        <v/>
      </c>
    </row>
    <row r="2586" spans="4:17" ht="12.75" customHeight="1" x14ac:dyDescent="0.2">
      <c r="D2586" s="58" t="str">
        <f>IFERROR(IF(F2586&lt;&gt;"pending","",IF(OR($B2586="",$B2586="(blank)"),"",VLOOKUP($B2586,'Email Marketing Raw Data'!$C:$O,10,0))),"")</f>
        <v/>
      </c>
      <c r="E2586" s="59" t="str">
        <f>IFERROR(IF(F2586&lt;&gt;"pending","",IF(OR($B2586="",$B2586="(blank)"),"",VLOOKUP($B2586,'Email Marketing Raw Data'!$C:$O,11,0))),"")</f>
        <v/>
      </c>
      <c r="F2586" s="54" t="str">
        <f>IFERROR(IF(OR($B2586="",$B2586="(blank)"),"",VLOOKUP($B2586,'Email Marketing Raw Data'!$C:$O,13,0)),"")</f>
        <v/>
      </c>
      <c r="G2586" s="55" t="str">
        <f>IFERROR(IF(OR($B2586="",$B2586="(blank)"),"",VLOOKUP($B2586,'Email Marketing Raw Data'!$C:$O,4,0)),"")</f>
        <v/>
      </c>
      <c r="H2586" s="55" t="str">
        <f>IFERROR(IF(OR($B2586="",$B2586="(blank)"),"",VLOOKUP($B2586,'Email Marketing Raw Data'!$C:$O,5,0)),"")</f>
        <v/>
      </c>
      <c r="I2586" s="55" t="str">
        <f>IFERROR(IF($G2586="","",VLOOKUP('Dashboard And Emails Automate'!$G2586,Database!$H:$N,3,0)),"")</f>
        <v/>
      </c>
      <c r="J2586" s="55" t="str">
        <f>IFERROR(IF($G2586="","",VLOOKUP('Dashboard And Emails Automate'!$G2586,Database!$H:$N,4,0)),"")</f>
        <v/>
      </c>
      <c r="K2586" s="55" t="str">
        <f>IFERROR(IF($G2586="","",VLOOKUP('Dashboard And Emails Automate'!$G2586,Database!$H:$N,5,0)),"")</f>
        <v/>
      </c>
      <c r="L2586" s="55" t="str">
        <f>IFERROR(IF($G2586="","",VLOOKUP('Dashboard And Emails Automate'!$G2586,Database!$H:$N,6,0)),"")</f>
        <v/>
      </c>
      <c r="M2586" s="55" t="str">
        <f>IFERROR(IF($G2586="","",VLOOKUP('Dashboard And Emails Automate'!$G2586,Database!$H:$N,7,0)),"")</f>
        <v/>
      </c>
      <c r="N2586" s="55" t="str">
        <f>IFERROR(IF(OR($B2586="",$B2586="(blank)"),"",VLOOKUP($B2586,'Email Marketing Raw Data'!$C:$O,6,0)),"")</f>
        <v/>
      </c>
      <c r="O2586" s="55" t="str">
        <f>IFERROR(IF(OR($B2586="",$B2586="(blank)"),"",VLOOKUP($B2586,'Email Marketing Raw Data'!$C:$O,7,0)),"")</f>
        <v/>
      </c>
      <c r="P2586" s="55" t="str">
        <f>IFERROR(IF(OR($B2586="",$B2586="(blank)"),"",VLOOKUP($B2586,'Email Marketing Raw Data'!$C:$O,8,0)),"")</f>
        <v/>
      </c>
      <c r="Q2586" s="62" t="str">
        <f>IFERROR(IF(OR($B2586="",$B2586="(blank)"),"",VLOOKUP($B2586,'Email Marketing Raw Data'!$C:$O,9,0)),"")</f>
        <v/>
      </c>
    </row>
    <row r="2587" spans="4:17" ht="12.75" customHeight="1" x14ac:dyDescent="0.2">
      <c r="D2587" s="58" t="str">
        <f>IFERROR(IF(F2587&lt;&gt;"pending","",IF(OR($B2587="",$B2587="(blank)"),"",VLOOKUP($B2587,'Email Marketing Raw Data'!$C:$O,10,0))),"")</f>
        <v/>
      </c>
      <c r="E2587" s="59" t="str">
        <f>IFERROR(IF(F2587&lt;&gt;"pending","",IF(OR($B2587="",$B2587="(blank)"),"",VLOOKUP($B2587,'Email Marketing Raw Data'!$C:$O,11,0))),"")</f>
        <v/>
      </c>
      <c r="F2587" s="54" t="str">
        <f>IFERROR(IF(OR($B2587="",$B2587="(blank)"),"",VLOOKUP($B2587,'Email Marketing Raw Data'!$C:$O,13,0)),"")</f>
        <v/>
      </c>
      <c r="G2587" s="55" t="str">
        <f>IFERROR(IF(OR($B2587="",$B2587="(blank)"),"",VLOOKUP($B2587,'Email Marketing Raw Data'!$C:$O,4,0)),"")</f>
        <v/>
      </c>
      <c r="H2587" s="55" t="str">
        <f>IFERROR(IF(OR($B2587="",$B2587="(blank)"),"",VLOOKUP($B2587,'Email Marketing Raw Data'!$C:$O,5,0)),"")</f>
        <v/>
      </c>
      <c r="I2587" s="55" t="str">
        <f>IFERROR(IF($G2587="","",VLOOKUP('Dashboard And Emails Automate'!$G2587,Database!$H:$N,3,0)),"")</f>
        <v/>
      </c>
      <c r="J2587" s="55" t="str">
        <f>IFERROR(IF($G2587="","",VLOOKUP('Dashboard And Emails Automate'!$G2587,Database!$H:$N,4,0)),"")</f>
        <v/>
      </c>
      <c r="K2587" s="55" t="str">
        <f>IFERROR(IF($G2587="","",VLOOKUP('Dashboard And Emails Automate'!$G2587,Database!$H:$N,5,0)),"")</f>
        <v/>
      </c>
      <c r="L2587" s="55" t="str">
        <f>IFERROR(IF($G2587="","",VLOOKUP('Dashboard And Emails Automate'!$G2587,Database!$H:$N,6,0)),"")</f>
        <v/>
      </c>
      <c r="M2587" s="55" t="str">
        <f>IFERROR(IF($G2587="","",VLOOKUP('Dashboard And Emails Automate'!$G2587,Database!$H:$N,7,0)),"")</f>
        <v/>
      </c>
      <c r="N2587" s="55" t="str">
        <f>IFERROR(IF(OR($B2587="",$B2587="(blank)"),"",VLOOKUP($B2587,'Email Marketing Raw Data'!$C:$O,6,0)),"")</f>
        <v/>
      </c>
      <c r="O2587" s="55" t="str">
        <f>IFERROR(IF(OR($B2587="",$B2587="(blank)"),"",VLOOKUP($B2587,'Email Marketing Raw Data'!$C:$O,7,0)),"")</f>
        <v/>
      </c>
      <c r="P2587" s="55" t="str">
        <f>IFERROR(IF(OR($B2587="",$B2587="(blank)"),"",VLOOKUP($B2587,'Email Marketing Raw Data'!$C:$O,8,0)),"")</f>
        <v/>
      </c>
      <c r="Q2587" s="62" t="str">
        <f>IFERROR(IF(OR($B2587="",$B2587="(blank)"),"",VLOOKUP($B2587,'Email Marketing Raw Data'!$C:$O,9,0)),"")</f>
        <v/>
      </c>
    </row>
    <row r="2588" spans="4:17" ht="12.75" customHeight="1" x14ac:dyDescent="0.2">
      <c r="D2588" s="58" t="str">
        <f>IFERROR(IF(F2588&lt;&gt;"pending","",IF(OR($B2588="",$B2588="(blank)"),"",VLOOKUP($B2588,'Email Marketing Raw Data'!$C:$O,10,0))),"")</f>
        <v/>
      </c>
      <c r="E2588" s="59" t="str">
        <f>IFERROR(IF(F2588&lt;&gt;"pending","",IF(OR($B2588="",$B2588="(blank)"),"",VLOOKUP($B2588,'Email Marketing Raw Data'!$C:$O,11,0))),"")</f>
        <v/>
      </c>
      <c r="F2588" s="54" t="str">
        <f>IFERROR(IF(OR($B2588="",$B2588="(blank)"),"",VLOOKUP($B2588,'Email Marketing Raw Data'!$C:$O,13,0)),"")</f>
        <v/>
      </c>
      <c r="G2588" s="55" t="str">
        <f>IFERROR(IF(OR($B2588="",$B2588="(blank)"),"",VLOOKUP($B2588,'Email Marketing Raw Data'!$C:$O,4,0)),"")</f>
        <v/>
      </c>
      <c r="H2588" s="55" t="str">
        <f>IFERROR(IF(OR($B2588="",$B2588="(blank)"),"",VLOOKUP($B2588,'Email Marketing Raw Data'!$C:$O,5,0)),"")</f>
        <v/>
      </c>
      <c r="I2588" s="55" t="str">
        <f>IFERROR(IF($G2588="","",VLOOKUP('Dashboard And Emails Automate'!$G2588,Database!$H:$N,3,0)),"")</f>
        <v/>
      </c>
      <c r="J2588" s="55" t="str">
        <f>IFERROR(IF($G2588="","",VLOOKUP('Dashboard And Emails Automate'!$G2588,Database!$H:$N,4,0)),"")</f>
        <v/>
      </c>
      <c r="K2588" s="55" t="str">
        <f>IFERROR(IF($G2588="","",VLOOKUP('Dashboard And Emails Automate'!$G2588,Database!$H:$N,5,0)),"")</f>
        <v/>
      </c>
      <c r="L2588" s="55" t="str">
        <f>IFERROR(IF($G2588="","",VLOOKUP('Dashboard And Emails Automate'!$G2588,Database!$H:$N,6,0)),"")</f>
        <v/>
      </c>
      <c r="M2588" s="55" t="str">
        <f>IFERROR(IF($G2588="","",VLOOKUP('Dashboard And Emails Automate'!$G2588,Database!$H:$N,7,0)),"")</f>
        <v/>
      </c>
      <c r="N2588" s="55" t="str">
        <f>IFERROR(IF(OR($B2588="",$B2588="(blank)"),"",VLOOKUP($B2588,'Email Marketing Raw Data'!$C:$O,6,0)),"")</f>
        <v/>
      </c>
      <c r="O2588" s="55" t="str">
        <f>IFERROR(IF(OR($B2588="",$B2588="(blank)"),"",VLOOKUP($B2588,'Email Marketing Raw Data'!$C:$O,7,0)),"")</f>
        <v/>
      </c>
      <c r="P2588" s="55" t="str">
        <f>IFERROR(IF(OR($B2588="",$B2588="(blank)"),"",VLOOKUP($B2588,'Email Marketing Raw Data'!$C:$O,8,0)),"")</f>
        <v/>
      </c>
      <c r="Q2588" s="62" t="str">
        <f>IFERROR(IF(OR($B2588="",$B2588="(blank)"),"",VLOOKUP($B2588,'Email Marketing Raw Data'!$C:$O,9,0)),"")</f>
        <v/>
      </c>
    </row>
    <row r="2589" spans="4:17" ht="12.75" customHeight="1" x14ac:dyDescent="0.2">
      <c r="D2589" s="58" t="str">
        <f>IFERROR(IF(F2589&lt;&gt;"pending","",IF(OR($B2589="",$B2589="(blank)"),"",VLOOKUP($B2589,'Email Marketing Raw Data'!$C:$O,10,0))),"")</f>
        <v/>
      </c>
      <c r="E2589" s="59" t="str">
        <f>IFERROR(IF(F2589&lt;&gt;"pending","",IF(OR($B2589="",$B2589="(blank)"),"",VLOOKUP($B2589,'Email Marketing Raw Data'!$C:$O,11,0))),"")</f>
        <v/>
      </c>
      <c r="F2589" s="54" t="str">
        <f>IFERROR(IF(OR($B2589="",$B2589="(blank)"),"",VLOOKUP($B2589,'Email Marketing Raw Data'!$C:$O,13,0)),"")</f>
        <v/>
      </c>
      <c r="G2589" s="55" t="str">
        <f>IFERROR(IF(OR($B2589="",$B2589="(blank)"),"",VLOOKUP($B2589,'Email Marketing Raw Data'!$C:$O,4,0)),"")</f>
        <v/>
      </c>
      <c r="H2589" s="55" t="str">
        <f>IFERROR(IF(OR($B2589="",$B2589="(blank)"),"",VLOOKUP($B2589,'Email Marketing Raw Data'!$C:$O,5,0)),"")</f>
        <v/>
      </c>
      <c r="I2589" s="55" t="str">
        <f>IFERROR(IF($G2589="","",VLOOKUP('Dashboard And Emails Automate'!$G2589,Database!$H:$N,3,0)),"")</f>
        <v/>
      </c>
      <c r="J2589" s="55" t="str">
        <f>IFERROR(IF($G2589="","",VLOOKUP('Dashboard And Emails Automate'!$G2589,Database!$H:$N,4,0)),"")</f>
        <v/>
      </c>
      <c r="K2589" s="55" t="str">
        <f>IFERROR(IF($G2589="","",VLOOKUP('Dashboard And Emails Automate'!$G2589,Database!$H:$N,5,0)),"")</f>
        <v/>
      </c>
      <c r="L2589" s="55" t="str">
        <f>IFERROR(IF($G2589="","",VLOOKUP('Dashboard And Emails Automate'!$G2589,Database!$H:$N,6,0)),"")</f>
        <v/>
      </c>
      <c r="M2589" s="55" t="str">
        <f>IFERROR(IF($G2589="","",VLOOKUP('Dashboard And Emails Automate'!$G2589,Database!$H:$N,7,0)),"")</f>
        <v/>
      </c>
      <c r="N2589" s="55" t="str">
        <f>IFERROR(IF(OR($B2589="",$B2589="(blank)"),"",VLOOKUP($B2589,'Email Marketing Raw Data'!$C:$O,6,0)),"")</f>
        <v/>
      </c>
      <c r="O2589" s="55" t="str">
        <f>IFERROR(IF(OR($B2589="",$B2589="(blank)"),"",VLOOKUP($B2589,'Email Marketing Raw Data'!$C:$O,7,0)),"")</f>
        <v/>
      </c>
      <c r="P2589" s="55" t="str">
        <f>IFERROR(IF(OR($B2589="",$B2589="(blank)"),"",VLOOKUP($B2589,'Email Marketing Raw Data'!$C:$O,8,0)),"")</f>
        <v/>
      </c>
      <c r="Q2589" s="62" t="str">
        <f>IFERROR(IF(OR($B2589="",$B2589="(blank)"),"",VLOOKUP($B2589,'Email Marketing Raw Data'!$C:$O,9,0)),"")</f>
        <v/>
      </c>
    </row>
    <row r="2590" spans="4:17" ht="12.75" customHeight="1" x14ac:dyDescent="0.2">
      <c r="D2590" s="58" t="str">
        <f>IFERROR(IF(F2590&lt;&gt;"pending","",IF(OR($B2590="",$B2590="(blank)"),"",VLOOKUP($B2590,'Email Marketing Raw Data'!$C:$O,10,0))),"")</f>
        <v/>
      </c>
      <c r="E2590" s="59" t="str">
        <f>IFERROR(IF(F2590&lt;&gt;"pending","",IF(OR($B2590="",$B2590="(blank)"),"",VLOOKUP($B2590,'Email Marketing Raw Data'!$C:$O,11,0))),"")</f>
        <v/>
      </c>
      <c r="F2590" s="54" t="str">
        <f>IFERROR(IF(OR($B2590="",$B2590="(blank)"),"",VLOOKUP($B2590,'Email Marketing Raw Data'!$C:$O,13,0)),"")</f>
        <v/>
      </c>
      <c r="G2590" s="55" t="str">
        <f>IFERROR(IF(OR($B2590="",$B2590="(blank)"),"",VLOOKUP($B2590,'Email Marketing Raw Data'!$C:$O,4,0)),"")</f>
        <v/>
      </c>
      <c r="H2590" s="55" t="str">
        <f>IFERROR(IF(OR($B2590="",$B2590="(blank)"),"",VLOOKUP($B2590,'Email Marketing Raw Data'!$C:$O,5,0)),"")</f>
        <v/>
      </c>
      <c r="I2590" s="55" t="str">
        <f>IFERROR(IF($G2590="","",VLOOKUP('Dashboard And Emails Automate'!$G2590,Database!$H:$N,3,0)),"")</f>
        <v/>
      </c>
      <c r="J2590" s="55" t="str">
        <f>IFERROR(IF($G2590="","",VLOOKUP('Dashboard And Emails Automate'!$G2590,Database!$H:$N,4,0)),"")</f>
        <v/>
      </c>
      <c r="K2590" s="55" t="str">
        <f>IFERROR(IF($G2590="","",VLOOKUP('Dashboard And Emails Automate'!$G2590,Database!$H:$N,5,0)),"")</f>
        <v/>
      </c>
      <c r="L2590" s="55" t="str">
        <f>IFERROR(IF($G2590="","",VLOOKUP('Dashboard And Emails Automate'!$G2590,Database!$H:$N,6,0)),"")</f>
        <v/>
      </c>
      <c r="M2590" s="55" t="str">
        <f>IFERROR(IF($G2590="","",VLOOKUP('Dashboard And Emails Automate'!$G2590,Database!$H:$N,7,0)),"")</f>
        <v/>
      </c>
      <c r="N2590" s="55" t="str">
        <f>IFERROR(IF(OR($B2590="",$B2590="(blank)"),"",VLOOKUP($B2590,'Email Marketing Raw Data'!$C:$O,6,0)),"")</f>
        <v/>
      </c>
      <c r="O2590" s="55" t="str">
        <f>IFERROR(IF(OR($B2590="",$B2590="(blank)"),"",VLOOKUP($B2590,'Email Marketing Raw Data'!$C:$O,7,0)),"")</f>
        <v/>
      </c>
      <c r="P2590" s="55" t="str">
        <f>IFERROR(IF(OR($B2590="",$B2590="(blank)"),"",VLOOKUP($B2590,'Email Marketing Raw Data'!$C:$O,8,0)),"")</f>
        <v/>
      </c>
      <c r="Q2590" s="62" t="str">
        <f>IFERROR(IF(OR($B2590="",$B2590="(blank)"),"",VLOOKUP($B2590,'Email Marketing Raw Data'!$C:$O,9,0)),"")</f>
        <v/>
      </c>
    </row>
    <row r="2591" spans="4:17" ht="12.75" customHeight="1" x14ac:dyDescent="0.2">
      <c r="D2591" s="58" t="str">
        <f>IFERROR(IF(F2591&lt;&gt;"pending","",IF(OR($B2591="",$B2591="(blank)"),"",VLOOKUP($B2591,'Email Marketing Raw Data'!$C:$O,10,0))),"")</f>
        <v/>
      </c>
      <c r="E2591" s="59" t="str">
        <f>IFERROR(IF(F2591&lt;&gt;"pending","",IF(OR($B2591="",$B2591="(blank)"),"",VLOOKUP($B2591,'Email Marketing Raw Data'!$C:$O,11,0))),"")</f>
        <v/>
      </c>
      <c r="F2591" s="54" t="str">
        <f>IFERROR(IF(OR($B2591="",$B2591="(blank)"),"",VLOOKUP($B2591,'Email Marketing Raw Data'!$C:$O,13,0)),"")</f>
        <v/>
      </c>
      <c r="G2591" s="55" t="str">
        <f>IFERROR(IF(OR($B2591="",$B2591="(blank)"),"",VLOOKUP($B2591,'Email Marketing Raw Data'!$C:$O,4,0)),"")</f>
        <v/>
      </c>
      <c r="H2591" s="55" t="str">
        <f>IFERROR(IF(OR($B2591="",$B2591="(blank)"),"",VLOOKUP($B2591,'Email Marketing Raw Data'!$C:$O,5,0)),"")</f>
        <v/>
      </c>
      <c r="I2591" s="55" t="str">
        <f>IFERROR(IF($G2591="","",VLOOKUP('Dashboard And Emails Automate'!$G2591,Database!$H:$N,3,0)),"")</f>
        <v/>
      </c>
      <c r="J2591" s="55" t="str">
        <f>IFERROR(IF($G2591="","",VLOOKUP('Dashboard And Emails Automate'!$G2591,Database!$H:$N,4,0)),"")</f>
        <v/>
      </c>
      <c r="K2591" s="55" t="str">
        <f>IFERROR(IF($G2591="","",VLOOKUP('Dashboard And Emails Automate'!$G2591,Database!$H:$N,5,0)),"")</f>
        <v/>
      </c>
      <c r="L2591" s="55" t="str">
        <f>IFERROR(IF($G2591="","",VLOOKUP('Dashboard And Emails Automate'!$G2591,Database!$H:$N,6,0)),"")</f>
        <v/>
      </c>
      <c r="M2591" s="55" t="str">
        <f>IFERROR(IF($G2591="","",VLOOKUP('Dashboard And Emails Automate'!$G2591,Database!$H:$N,7,0)),"")</f>
        <v/>
      </c>
      <c r="N2591" s="55" t="str">
        <f>IFERROR(IF(OR($B2591="",$B2591="(blank)"),"",VLOOKUP($B2591,'Email Marketing Raw Data'!$C:$O,6,0)),"")</f>
        <v/>
      </c>
      <c r="O2591" s="55" t="str">
        <f>IFERROR(IF(OR($B2591="",$B2591="(blank)"),"",VLOOKUP($B2591,'Email Marketing Raw Data'!$C:$O,7,0)),"")</f>
        <v/>
      </c>
      <c r="P2591" s="55" t="str">
        <f>IFERROR(IF(OR($B2591="",$B2591="(blank)"),"",VLOOKUP($B2591,'Email Marketing Raw Data'!$C:$O,8,0)),"")</f>
        <v/>
      </c>
      <c r="Q2591" s="62" t="str">
        <f>IFERROR(IF(OR($B2591="",$B2591="(blank)"),"",VLOOKUP($B2591,'Email Marketing Raw Data'!$C:$O,9,0)),"")</f>
        <v/>
      </c>
    </row>
    <row r="2592" spans="4:17" ht="12.75" customHeight="1" x14ac:dyDescent="0.2">
      <c r="D2592" s="58" t="str">
        <f>IFERROR(IF(F2592&lt;&gt;"pending","",IF(OR($B2592="",$B2592="(blank)"),"",VLOOKUP($B2592,'Email Marketing Raw Data'!$C:$O,10,0))),"")</f>
        <v/>
      </c>
      <c r="E2592" s="59" t="str">
        <f>IFERROR(IF(F2592&lt;&gt;"pending","",IF(OR($B2592="",$B2592="(blank)"),"",VLOOKUP($B2592,'Email Marketing Raw Data'!$C:$O,11,0))),"")</f>
        <v/>
      </c>
      <c r="F2592" s="54" t="str">
        <f>IFERROR(IF(OR($B2592="",$B2592="(blank)"),"",VLOOKUP($B2592,'Email Marketing Raw Data'!$C:$O,13,0)),"")</f>
        <v/>
      </c>
      <c r="G2592" s="55" t="str">
        <f>IFERROR(IF(OR($B2592="",$B2592="(blank)"),"",VLOOKUP($B2592,'Email Marketing Raw Data'!$C:$O,4,0)),"")</f>
        <v/>
      </c>
      <c r="H2592" s="55" t="str">
        <f>IFERROR(IF(OR($B2592="",$B2592="(blank)"),"",VLOOKUP($B2592,'Email Marketing Raw Data'!$C:$O,5,0)),"")</f>
        <v/>
      </c>
      <c r="I2592" s="55" t="str">
        <f>IFERROR(IF($G2592="","",VLOOKUP('Dashboard And Emails Automate'!$G2592,Database!$H:$N,3,0)),"")</f>
        <v/>
      </c>
      <c r="J2592" s="55" t="str">
        <f>IFERROR(IF($G2592="","",VLOOKUP('Dashboard And Emails Automate'!$G2592,Database!$H:$N,4,0)),"")</f>
        <v/>
      </c>
      <c r="K2592" s="55" t="str">
        <f>IFERROR(IF($G2592="","",VLOOKUP('Dashboard And Emails Automate'!$G2592,Database!$H:$N,5,0)),"")</f>
        <v/>
      </c>
      <c r="L2592" s="55" t="str">
        <f>IFERROR(IF($G2592="","",VLOOKUP('Dashboard And Emails Automate'!$G2592,Database!$H:$N,6,0)),"")</f>
        <v/>
      </c>
      <c r="M2592" s="55" t="str">
        <f>IFERROR(IF($G2592="","",VLOOKUP('Dashboard And Emails Automate'!$G2592,Database!$H:$N,7,0)),"")</f>
        <v/>
      </c>
      <c r="N2592" s="55" t="str">
        <f>IFERROR(IF(OR($B2592="",$B2592="(blank)"),"",VLOOKUP($B2592,'Email Marketing Raw Data'!$C:$O,6,0)),"")</f>
        <v/>
      </c>
      <c r="O2592" s="55" t="str">
        <f>IFERROR(IF(OR($B2592="",$B2592="(blank)"),"",VLOOKUP($B2592,'Email Marketing Raw Data'!$C:$O,7,0)),"")</f>
        <v/>
      </c>
      <c r="P2592" s="55" t="str">
        <f>IFERROR(IF(OR($B2592="",$B2592="(blank)"),"",VLOOKUP($B2592,'Email Marketing Raw Data'!$C:$O,8,0)),"")</f>
        <v/>
      </c>
      <c r="Q2592" s="62" t="str">
        <f>IFERROR(IF(OR($B2592="",$B2592="(blank)"),"",VLOOKUP($B2592,'Email Marketing Raw Data'!$C:$O,9,0)),"")</f>
        <v/>
      </c>
    </row>
    <row r="2593" spans="4:17" ht="12.75" customHeight="1" x14ac:dyDescent="0.2">
      <c r="D2593" s="58" t="str">
        <f>IFERROR(IF(F2593&lt;&gt;"pending","",IF(OR($B2593="",$B2593="(blank)"),"",VLOOKUP($B2593,'Email Marketing Raw Data'!$C:$O,10,0))),"")</f>
        <v/>
      </c>
      <c r="E2593" s="59" t="str">
        <f>IFERROR(IF(F2593&lt;&gt;"pending","",IF(OR($B2593="",$B2593="(blank)"),"",VLOOKUP($B2593,'Email Marketing Raw Data'!$C:$O,11,0))),"")</f>
        <v/>
      </c>
      <c r="F2593" s="54" t="str">
        <f>IFERROR(IF(OR($B2593="",$B2593="(blank)"),"",VLOOKUP($B2593,'Email Marketing Raw Data'!$C:$O,13,0)),"")</f>
        <v/>
      </c>
      <c r="G2593" s="55" t="str">
        <f>IFERROR(IF(OR($B2593="",$B2593="(blank)"),"",VLOOKUP($B2593,'Email Marketing Raw Data'!$C:$O,4,0)),"")</f>
        <v/>
      </c>
      <c r="H2593" s="55" t="str">
        <f>IFERROR(IF(OR($B2593="",$B2593="(blank)"),"",VLOOKUP($B2593,'Email Marketing Raw Data'!$C:$O,5,0)),"")</f>
        <v/>
      </c>
      <c r="I2593" s="55" t="str">
        <f>IFERROR(IF($G2593="","",VLOOKUP('Dashboard And Emails Automate'!$G2593,Database!$H:$N,3,0)),"")</f>
        <v/>
      </c>
      <c r="J2593" s="55" t="str">
        <f>IFERROR(IF($G2593="","",VLOOKUP('Dashboard And Emails Automate'!$G2593,Database!$H:$N,4,0)),"")</f>
        <v/>
      </c>
      <c r="K2593" s="55" t="str">
        <f>IFERROR(IF($G2593="","",VLOOKUP('Dashboard And Emails Automate'!$G2593,Database!$H:$N,5,0)),"")</f>
        <v/>
      </c>
      <c r="L2593" s="55" t="str">
        <f>IFERROR(IF($G2593="","",VLOOKUP('Dashboard And Emails Automate'!$G2593,Database!$H:$N,6,0)),"")</f>
        <v/>
      </c>
      <c r="M2593" s="55" t="str">
        <f>IFERROR(IF($G2593="","",VLOOKUP('Dashboard And Emails Automate'!$G2593,Database!$H:$N,7,0)),"")</f>
        <v/>
      </c>
      <c r="N2593" s="55" t="str">
        <f>IFERROR(IF(OR($B2593="",$B2593="(blank)"),"",VLOOKUP($B2593,'Email Marketing Raw Data'!$C:$O,6,0)),"")</f>
        <v/>
      </c>
      <c r="O2593" s="55" t="str">
        <f>IFERROR(IF(OR($B2593="",$B2593="(blank)"),"",VLOOKUP($B2593,'Email Marketing Raw Data'!$C:$O,7,0)),"")</f>
        <v/>
      </c>
      <c r="P2593" s="55" t="str">
        <f>IFERROR(IF(OR($B2593="",$B2593="(blank)"),"",VLOOKUP($B2593,'Email Marketing Raw Data'!$C:$O,8,0)),"")</f>
        <v/>
      </c>
      <c r="Q2593" s="62" t="str">
        <f>IFERROR(IF(OR($B2593="",$B2593="(blank)"),"",VLOOKUP($B2593,'Email Marketing Raw Data'!$C:$O,9,0)),"")</f>
        <v/>
      </c>
    </row>
    <row r="2594" spans="4:17" ht="12.75" customHeight="1" x14ac:dyDescent="0.2">
      <c r="D2594" s="58" t="str">
        <f>IFERROR(IF(F2594&lt;&gt;"pending","",IF(OR($B2594="",$B2594="(blank)"),"",VLOOKUP($B2594,'Email Marketing Raw Data'!$C:$O,10,0))),"")</f>
        <v/>
      </c>
      <c r="E2594" s="59" t="str">
        <f>IFERROR(IF(F2594&lt;&gt;"pending","",IF(OR($B2594="",$B2594="(blank)"),"",VLOOKUP($B2594,'Email Marketing Raw Data'!$C:$O,11,0))),"")</f>
        <v/>
      </c>
      <c r="F2594" s="54" t="str">
        <f>IFERROR(IF(OR($B2594="",$B2594="(blank)"),"",VLOOKUP($B2594,'Email Marketing Raw Data'!$C:$O,13,0)),"")</f>
        <v/>
      </c>
      <c r="G2594" s="55" t="str">
        <f>IFERROR(IF(OR($B2594="",$B2594="(blank)"),"",VLOOKUP($B2594,'Email Marketing Raw Data'!$C:$O,4,0)),"")</f>
        <v/>
      </c>
      <c r="H2594" s="55" t="str">
        <f>IFERROR(IF(OR($B2594="",$B2594="(blank)"),"",VLOOKUP($B2594,'Email Marketing Raw Data'!$C:$O,5,0)),"")</f>
        <v/>
      </c>
      <c r="I2594" s="55" t="str">
        <f>IFERROR(IF($G2594="","",VLOOKUP('Dashboard And Emails Automate'!$G2594,Database!$H:$N,3,0)),"")</f>
        <v/>
      </c>
      <c r="J2594" s="55" t="str">
        <f>IFERROR(IF($G2594="","",VLOOKUP('Dashboard And Emails Automate'!$G2594,Database!$H:$N,4,0)),"")</f>
        <v/>
      </c>
      <c r="K2594" s="55" t="str">
        <f>IFERROR(IF($G2594="","",VLOOKUP('Dashboard And Emails Automate'!$G2594,Database!$H:$N,5,0)),"")</f>
        <v/>
      </c>
      <c r="L2594" s="55" t="str">
        <f>IFERROR(IF($G2594="","",VLOOKUP('Dashboard And Emails Automate'!$G2594,Database!$H:$N,6,0)),"")</f>
        <v/>
      </c>
      <c r="M2594" s="55" t="str">
        <f>IFERROR(IF($G2594="","",VLOOKUP('Dashboard And Emails Automate'!$G2594,Database!$H:$N,7,0)),"")</f>
        <v/>
      </c>
      <c r="N2594" s="55" t="str">
        <f>IFERROR(IF(OR($B2594="",$B2594="(blank)"),"",VLOOKUP($B2594,'Email Marketing Raw Data'!$C:$O,6,0)),"")</f>
        <v/>
      </c>
      <c r="O2594" s="55" t="str">
        <f>IFERROR(IF(OR($B2594="",$B2594="(blank)"),"",VLOOKUP($B2594,'Email Marketing Raw Data'!$C:$O,7,0)),"")</f>
        <v/>
      </c>
      <c r="P2594" s="55" t="str">
        <f>IFERROR(IF(OR($B2594="",$B2594="(blank)"),"",VLOOKUP($B2594,'Email Marketing Raw Data'!$C:$O,8,0)),"")</f>
        <v/>
      </c>
      <c r="Q2594" s="62" t="str">
        <f>IFERROR(IF(OR($B2594="",$B2594="(blank)"),"",VLOOKUP($B2594,'Email Marketing Raw Data'!$C:$O,9,0)),"")</f>
        <v/>
      </c>
    </row>
    <row r="2595" spans="4:17" ht="12.75" customHeight="1" x14ac:dyDescent="0.2">
      <c r="D2595" s="58" t="str">
        <f>IFERROR(IF(F2595&lt;&gt;"pending","",IF(OR($B2595="",$B2595="(blank)"),"",VLOOKUP($B2595,'Email Marketing Raw Data'!$C:$O,10,0))),"")</f>
        <v/>
      </c>
      <c r="E2595" s="59" t="str">
        <f>IFERROR(IF(F2595&lt;&gt;"pending","",IF(OR($B2595="",$B2595="(blank)"),"",VLOOKUP($B2595,'Email Marketing Raw Data'!$C:$O,11,0))),"")</f>
        <v/>
      </c>
      <c r="F2595" s="54" t="str">
        <f>IFERROR(IF(OR($B2595="",$B2595="(blank)"),"",VLOOKUP($B2595,'Email Marketing Raw Data'!$C:$O,13,0)),"")</f>
        <v/>
      </c>
      <c r="G2595" s="55" t="str">
        <f>IFERROR(IF(OR($B2595="",$B2595="(blank)"),"",VLOOKUP($B2595,'Email Marketing Raw Data'!$C:$O,4,0)),"")</f>
        <v/>
      </c>
      <c r="H2595" s="55" t="str">
        <f>IFERROR(IF(OR($B2595="",$B2595="(blank)"),"",VLOOKUP($B2595,'Email Marketing Raw Data'!$C:$O,5,0)),"")</f>
        <v/>
      </c>
      <c r="I2595" s="55" t="str">
        <f>IFERROR(IF($G2595="","",VLOOKUP('Dashboard And Emails Automate'!$G2595,Database!$H:$N,3,0)),"")</f>
        <v/>
      </c>
      <c r="J2595" s="55" t="str">
        <f>IFERROR(IF($G2595="","",VLOOKUP('Dashboard And Emails Automate'!$G2595,Database!$H:$N,4,0)),"")</f>
        <v/>
      </c>
      <c r="K2595" s="55" t="str">
        <f>IFERROR(IF($G2595="","",VLOOKUP('Dashboard And Emails Automate'!$G2595,Database!$H:$N,5,0)),"")</f>
        <v/>
      </c>
      <c r="L2595" s="55" t="str">
        <f>IFERROR(IF($G2595="","",VLOOKUP('Dashboard And Emails Automate'!$G2595,Database!$H:$N,6,0)),"")</f>
        <v/>
      </c>
      <c r="M2595" s="55" t="str">
        <f>IFERROR(IF($G2595="","",VLOOKUP('Dashboard And Emails Automate'!$G2595,Database!$H:$N,7,0)),"")</f>
        <v/>
      </c>
      <c r="N2595" s="55" t="str">
        <f>IFERROR(IF(OR($B2595="",$B2595="(blank)"),"",VLOOKUP($B2595,'Email Marketing Raw Data'!$C:$O,6,0)),"")</f>
        <v/>
      </c>
      <c r="O2595" s="55" t="str">
        <f>IFERROR(IF(OR($B2595="",$B2595="(blank)"),"",VLOOKUP($B2595,'Email Marketing Raw Data'!$C:$O,7,0)),"")</f>
        <v/>
      </c>
      <c r="P2595" s="55" t="str">
        <f>IFERROR(IF(OR($B2595="",$B2595="(blank)"),"",VLOOKUP($B2595,'Email Marketing Raw Data'!$C:$O,8,0)),"")</f>
        <v/>
      </c>
      <c r="Q2595" s="62" t="str">
        <f>IFERROR(IF(OR($B2595="",$B2595="(blank)"),"",VLOOKUP($B2595,'Email Marketing Raw Data'!$C:$O,9,0)),"")</f>
        <v/>
      </c>
    </row>
    <row r="2596" spans="4:17" ht="12.75" customHeight="1" x14ac:dyDescent="0.2">
      <c r="D2596" s="58" t="str">
        <f>IFERROR(IF(F2596&lt;&gt;"pending","",IF(OR($B2596="",$B2596="(blank)"),"",VLOOKUP($B2596,'Email Marketing Raw Data'!$C:$O,10,0))),"")</f>
        <v/>
      </c>
      <c r="E2596" s="59" t="str">
        <f>IFERROR(IF(F2596&lt;&gt;"pending","",IF(OR($B2596="",$B2596="(blank)"),"",VLOOKUP($B2596,'Email Marketing Raw Data'!$C:$O,11,0))),"")</f>
        <v/>
      </c>
      <c r="F2596" s="54" t="str">
        <f>IFERROR(IF(OR($B2596="",$B2596="(blank)"),"",VLOOKUP($B2596,'Email Marketing Raw Data'!$C:$O,13,0)),"")</f>
        <v/>
      </c>
      <c r="G2596" s="55" t="str">
        <f>IFERROR(IF(OR($B2596="",$B2596="(blank)"),"",VLOOKUP($B2596,'Email Marketing Raw Data'!$C:$O,4,0)),"")</f>
        <v/>
      </c>
      <c r="H2596" s="55" t="str">
        <f>IFERROR(IF(OR($B2596="",$B2596="(blank)"),"",VLOOKUP($B2596,'Email Marketing Raw Data'!$C:$O,5,0)),"")</f>
        <v/>
      </c>
      <c r="I2596" s="55" t="str">
        <f>IFERROR(IF($G2596="","",VLOOKUP('Dashboard And Emails Automate'!$G2596,Database!$H:$N,3,0)),"")</f>
        <v/>
      </c>
      <c r="J2596" s="55" t="str">
        <f>IFERROR(IF($G2596="","",VLOOKUP('Dashboard And Emails Automate'!$G2596,Database!$H:$N,4,0)),"")</f>
        <v/>
      </c>
      <c r="K2596" s="55" t="str">
        <f>IFERROR(IF($G2596="","",VLOOKUP('Dashboard And Emails Automate'!$G2596,Database!$H:$N,5,0)),"")</f>
        <v/>
      </c>
      <c r="L2596" s="55" t="str">
        <f>IFERROR(IF($G2596="","",VLOOKUP('Dashboard And Emails Automate'!$G2596,Database!$H:$N,6,0)),"")</f>
        <v/>
      </c>
      <c r="M2596" s="55" t="str">
        <f>IFERROR(IF($G2596="","",VLOOKUP('Dashboard And Emails Automate'!$G2596,Database!$H:$N,7,0)),"")</f>
        <v/>
      </c>
      <c r="N2596" s="55" t="str">
        <f>IFERROR(IF(OR($B2596="",$B2596="(blank)"),"",VLOOKUP($B2596,'Email Marketing Raw Data'!$C:$O,6,0)),"")</f>
        <v/>
      </c>
      <c r="O2596" s="55" t="str">
        <f>IFERROR(IF(OR($B2596="",$B2596="(blank)"),"",VLOOKUP($B2596,'Email Marketing Raw Data'!$C:$O,7,0)),"")</f>
        <v/>
      </c>
      <c r="P2596" s="55" t="str">
        <f>IFERROR(IF(OR($B2596="",$B2596="(blank)"),"",VLOOKUP($B2596,'Email Marketing Raw Data'!$C:$O,8,0)),"")</f>
        <v/>
      </c>
      <c r="Q2596" s="62" t="str">
        <f>IFERROR(IF(OR($B2596="",$B2596="(blank)"),"",VLOOKUP($B2596,'Email Marketing Raw Data'!$C:$O,9,0)),"")</f>
        <v/>
      </c>
    </row>
    <row r="2597" spans="4:17" ht="12.75" customHeight="1" x14ac:dyDescent="0.2">
      <c r="D2597" s="58" t="str">
        <f>IFERROR(IF(F2597&lt;&gt;"pending","",IF(OR($B2597="",$B2597="(blank)"),"",VLOOKUP($B2597,'Email Marketing Raw Data'!$C:$O,10,0))),"")</f>
        <v/>
      </c>
      <c r="E2597" s="59" t="str">
        <f>IFERROR(IF(F2597&lt;&gt;"pending","",IF(OR($B2597="",$B2597="(blank)"),"",VLOOKUP($B2597,'Email Marketing Raw Data'!$C:$O,11,0))),"")</f>
        <v/>
      </c>
      <c r="F2597" s="54" t="str">
        <f>IFERROR(IF(OR($B2597="",$B2597="(blank)"),"",VLOOKUP($B2597,'Email Marketing Raw Data'!$C:$O,13,0)),"")</f>
        <v/>
      </c>
      <c r="G2597" s="55" t="str">
        <f>IFERROR(IF(OR($B2597="",$B2597="(blank)"),"",VLOOKUP($B2597,'Email Marketing Raw Data'!$C:$O,4,0)),"")</f>
        <v/>
      </c>
      <c r="H2597" s="55" t="str">
        <f>IFERROR(IF(OR($B2597="",$B2597="(blank)"),"",VLOOKUP($B2597,'Email Marketing Raw Data'!$C:$O,5,0)),"")</f>
        <v/>
      </c>
      <c r="I2597" s="55" t="str">
        <f>IFERROR(IF($G2597="","",VLOOKUP('Dashboard And Emails Automate'!$G2597,Database!$H:$N,3,0)),"")</f>
        <v/>
      </c>
      <c r="J2597" s="55" t="str">
        <f>IFERROR(IF($G2597="","",VLOOKUP('Dashboard And Emails Automate'!$G2597,Database!$H:$N,4,0)),"")</f>
        <v/>
      </c>
      <c r="K2597" s="55" t="str">
        <f>IFERROR(IF($G2597="","",VLOOKUP('Dashboard And Emails Automate'!$G2597,Database!$H:$N,5,0)),"")</f>
        <v/>
      </c>
      <c r="L2597" s="55" t="str">
        <f>IFERROR(IF($G2597="","",VLOOKUP('Dashboard And Emails Automate'!$G2597,Database!$H:$N,6,0)),"")</f>
        <v/>
      </c>
      <c r="M2597" s="55" t="str">
        <f>IFERROR(IF($G2597="","",VLOOKUP('Dashboard And Emails Automate'!$G2597,Database!$H:$N,7,0)),"")</f>
        <v/>
      </c>
      <c r="N2597" s="55" t="str">
        <f>IFERROR(IF(OR($B2597="",$B2597="(blank)"),"",VLOOKUP($B2597,'Email Marketing Raw Data'!$C:$O,6,0)),"")</f>
        <v/>
      </c>
      <c r="O2597" s="55" t="str">
        <f>IFERROR(IF(OR($B2597="",$B2597="(blank)"),"",VLOOKUP($B2597,'Email Marketing Raw Data'!$C:$O,7,0)),"")</f>
        <v/>
      </c>
      <c r="P2597" s="55" t="str">
        <f>IFERROR(IF(OR($B2597="",$B2597="(blank)"),"",VLOOKUP($B2597,'Email Marketing Raw Data'!$C:$O,8,0)),"")</f>
        <v/>
      </c>
      <c r="Q2597" s="62" t="str">
        <f>IFERROR(IF(OR($B2597="",$B2597="(blank)"),"",VLOOKUP($B2597,'Email Marketing Raw Data'!$C:$O,9,0)),"")</f>
        <v/>
      </c>
    </row>
    <row r="2598" spans="4:17" ht="12.75" customHeight="1" x14ac:dyDescent="0.2">
      <c r="D2598" s="58" t="str">
        <f>IFERROR(IF(F2598&lt;&gt;"pending","",IF(OR($B2598="",$B2598="(blank)"),"",VLOOKUP($B2598,'Email Marketing Raw Data'!$C:$O,10,0))),"")</f>
        <v/>
      </c>
      <c r="E2598" s="59" t="str">
        <f>IFERROR(IF(F2598&lt;&gt;"pending","",IF(OR($B2598="",$B2598="(blank)"),"",VLOOKUP($B2598,'Email Marketing Raw Data'!$C:$O,11,0))),"")</f>
        <v/>
      </c>
      <c r="F2598" s="54" t="str">
        <f>IFERROR(IF(OR($B2598="",$B2598="(blank)"),"",VLOOKUP($B2598,'Email Marketing Raw Data'!$C:$O,13,0)),"")</f>
        <v/>
      </c>
      <c r="G2598" s="55" t="str">
        <f>IFERROR(IF(OR($B2598="",$B2598="(blank)"),"",VLOOKUP($B2598,'Email Marketing Raw Data'!$C:$O,4,0)),"")</f>
        <v/>
      </c>
      <c r="H2598" s="55" t="str">
        <f>IFERROR(IF(OR($B2598="",$B2598="(blank)"),"",VLOOKUP($B2598,'Email Marketing Raw Data'!$C:$O,5,0)),"")</f>
        <v/>
      </c>
      <c r="I2598" s="55" t="str">
        <f>IFERROR(IF($G2598="","",VLOOKUP('Dashboard And Emails Automate'!$G2598,Database!$H:$N,3,0)),"")</f>
        <v/>
      </c>
      <c r="J2598" s="55" t="str">
        <f>IFERROR(IF($G2598="","",VLOOKUP('Dashboard And Emails Automate'!$G2598,Database!$H:$N,4,0)),"")</f>
        <v/>
      </c>
      <c r="K2598" s="55" t="str">
        <f>IFERROR(IF($G2598="","",VLOOKUP('Dashboard And Emails Automate'!$G2598,Database!$H:$N,5,0)),"")</f>
        <v/>
      </c>
      <c r="L2598" s="55" t="str">
        <f>IFERROR(IF($G2598="","",VLOOKUP('Dashboard And Emails Automate'!$G2598,Database!$H:$N,6,0)),"")</f>
        <v/>
      </c>
      <c r="M2598" s="55" t="str">
        <f>IFERROR(IF($G2598="","",VLOOKUP('Dashboard And Emails Automate'!$G2598,Database!$H:$N,7,0)),"")</f>
        <v/>
      </c>
      <c r="N2598" s="55" t="str">
        <f>IFERROR(IF(OR($B2598="",$B2598="(blank)"),"",VLOOKUP($B2598,'Email Marketing Raw Data'!$C:$O,6,0)),"")</f>
        <v/>
      </c>
      <c r="O2598" s="55" t="str">
        <f>IFERROR(IF(OR($B2598="",$B2598="(blank)"),"",VLOOKUP($B2598,'Email Marketing Raw Data'!$C:$O,7,0)),"")</f>
        <v/>
      </c>
      <c r="P2598" s="55" t="str">
        <f>IFERROR(IF(OR($B2598="",$B2598="(blank)"),"",VLOOKUP($B2598,'Email Marketing Raw Data'!$C:$O,8,0)),"")</f>
        <v/>
      </c>
      <c r="Q2598" s="62" t="str">
        <f>IFERROR(IF(OR($B2598="",$B2598="(blank)"),"",VLOOKUP($B2598,'Email Marketing Raw Data'!$C:$O,9,0)),"")</f>
        <v/>
      </c>
    </row>
    <row r="2599" spans="4:17" ht="12.75" customHeight="1" x14ac:dyDescent="0.2">
      <c r="D2599" s="58" t="str">
        <f>IFERROR(IF(F2599&lt;&gt;"pending","",IF(OR($B2599="",$B2599="(blank)"),"",VLOOKUP($B2599,'Email Marketing Raw Data'!$C:$O,10,0))),"")</f>
        <v/>
      </c>
      <c r="E2599" s="59" t="str">
        <f>IFERROR(IF(F2599&lt;&gt;"pending","",IF(OR($B2599="",$B2599="(blank)"),"",VLOOKUP($B2599,'Email Marketing Raw Data'!$C:$O,11,0))),"")</f>
        <v/>
      </c>
      <c r="F2599" s="54" t="str">
        <f>IFERROR(IF(OR($B2599="",$B2599="(blank)"),"",VLOOKUP($B2599,'Email Marketing Raw Data'!$C:$O,13,0)),"")</f>
        <v/>
      </c>
      <c r="G2599" s="55" t="str">
        <f>IFERROR(IF(OR($B2599="",$B2599="(blank)"),"",VLOOKUP($B2599,'Email Marketing Raw Data'!$C:$O,4,0)),"")</f>
        <v/>
      </c>
      <c r="H2599" s="55" t="str">
        <f>IFERROR(IF(OR($B2599="",$B2599="(blank)"),"",VLOOKUP($B2599,'Email Marketing Raw Data'!$C:$O,5,0)),"")</f>
        <v/>
      </c>
      <c r="I2599" s="55" t="str">
        <f>IFERROR(IF($G2599="","",VLOOKUP('Dashboard And Emails Automate'!$G2599,Database!$H:$N,3,0)),"")</f>
        <v/>
      </c>
      <c r="J2599" s="55" t="str">
        <f>IFERROR(IF($G2599="","",VLOOKUP('Dashboard And Emails Automate'!$G2599,Database!$H:$N,4,0)),"")</f>
        <v/>
      </c>
      <c r="K2599" s="55" t="str">
        <f>IFERROR(IF($G2599="","",VLOOKUP('Dashboard And Emails Automate'!$G2599,Database!$H:$N,5,0)),"")</f>
        <v/>
      </c>
      <c r="L2599" s="55" t="str">
        <f>IFERROR(IF($G2599="","",VLOOKUP('Dashboard And Emails Automate'!$G2599,Database!$H:$N,6,0)),"")</f>
        <v/>
      </c>
      <c r="M2599" s="55" t="str">
        <f>IFERROR(IF($G2599="","",VLOOKUP('Dashboard And Emails Automate'!$G2599,Database!$H:$N,7,0)),"")</f>
        <v/>
      </c>
      <c r="N2599" s="55" t="str">
        <f>IFERROR(IF(OR($B2599="",$B2599="(blank)"),"",VLOOKUP($B2599,'Email Marketing Raw Data'!$C:$O,6,0)),"")</f>
        <v/>
      </c>
      <c r="O2599" s="55" t="str">
        <f>IFERROR(IF(OR($B2599="",$B2599="(blank)"),"",VLOOKUP($B2599,'Email Marketing Raw Data'!$C:$O,7,0)),"")</f>
        <v/>
      </c>
      <c r="P2599" s="55" t="str">
        <f>IFERROR(IF(OR($B2599="",$B2599="(blank)"),"",VLOOKUP($B2599,'Email Marketing Raw Data'!$C:$O,8,0)),"")</f>
        <v/>
      </c>
      <c r="Q2599" s="62" t="str">
        <f>IFERROR(IF(OR($B2599="",$B2599="(blank)"),"",VLOOKUP($B2599,'Email Marketing Raw Data'!$C:$O,9,0)),"")</f>
        <v/>
      </c>
    </row>
    <row r="2600" spans="4:17" ht="12.75" customHeight="1" x14ac:dyDescent="0.2">
      <c r="D2600" s="58" t="str">
        <f>IFERROR(IF(F2600&lt;&gt;"pending","",IF(OR($B2600="",$B2600="(blank)"),"",VLOOKUP($B2600,'Email Marketing Raw Data'!$C:$O,10,0))),"")</f>
        <v/>
      </c>
      <c r="E2600" s="59" t="str">
        <f>IFERROR(IF(F2600&lt;&gt;"pending","",IF(OR($B2600="",$B2600="(blank)"),"",VLOOKUP($B2600,'Email Marketing Raw Data'!$C:$O,11,0))),"")</f>
        <v/>
      </c>
      <c r="F2600" s="54" t="str">
        <f>IFERROR(IF(OR($B2600="",$B2600="(blank)"),"",VLOOKUP($B2600,'Email Marketing Raw Data'!$C:$O,13,0)),"")</f>
        <v/>
      </c>
      <c r="G2600" s="55" t="str">
        <f>IFERROR(IF(OR($B2600="",$B2600="(blank)"),"",VLOOKUP($B2600,'Email Marketing Raw Data'!$C:$O,4,0)),"")</f>
        <v/>
      </c>
      <c r="H2600" s="55" t="str">
        <f>IFERROR(IF(OR($B2600="",$B2600="(blank)"),"",VLOOKUP($B2600,'Email Marketing Raw Data'!$C:$O,5,0)),"")</f>
        <v/>
      </c>
      <c r="I2600" s="55" t="str">
        <f>IFERROR(IF($G2600="","",VLOOKUP('Dashboard And Emails Automate'!$G2600,Database!$H:$N,3,0)),"")</f>
        <v/>
      </c>
      <c r="J2600" s="55" t="str">
        <f>IFERROR(IF($G2600="","",VLOOKUP('Dashboard And Emails Automate'!$G2600,Database!$H:$N,4,0)),"")</f>
        <v/>
      </c>
      <c r="K2600" s="55" t="str">
        <f>IFERROR(IF($G2600="","",VLOOKUP('Dashboard And Emails Automate'!$G2600,Database!$H:$N,5,0)),"")</f>
        <v/>
      </c>
      <c r="L2600" s="55" t="str">
        <f>IFERROR(IF($G2600="","",VLOOKUP('Dashboard And Emails Automate'!$G2600,Database!$H:$N,6,0)),"")</f>
        <v/>
      </c>
      <c r="M2600" s="55" t="str">
        <f>IFERROR(IF($G2600="","",VLOOKUP('Dashboard And Emails Automate'!$G2600,Database!$H:$N,7,0)),"")</f>
        <v/>
      </c>
      <c r="N2600" s="55" t="str">
        <f>IFERROR(IF(OR($B2600="",$B2600="(blank)"),"",VLOOKUP($B2600,'Email Marketing Raw Data'!$C:$O,6,0)),"")</f>
        <v/>
      </c>
      <c r="O2600" s="55" t="str">
        <f>IFERROR(IF(OR($B2600="",$B2600="(blank)"),"",VLOOKUP($B2600,'Email Marketing Raw Data'!$C:$O,7,0)),"")</f>
        <v/>
      </c>
      <c r="P2600" s="55" t="str">
        <f>IFERROR(IF(OR($B2600="",$B2600="(blank)"),"",VLOOKUP($B2600,'Email Marketing Raw Data'!$C:$O,8,0)),"")</f>
        <v/>
      </c>
      <c r="Q2600" s="62" t="str">
        <f>IFERROR(IF(OR($B2600="",$B2600="(blank)"),"",VLOOKUP($B2600,'Email Marketing Raw Data'!$C:$O,9,0)),"")</f>
        <v/>
      </c>
    </row>
    <row r="2601" spans="4:17" ht="12.75" customHeight="1" x14ac:dyDescent="0.2">
      <c r="D2601" s="58" t="str">
        <f>IFERROR(IF(F2601&lt;&gt;"pending","",IF(OR($B2601="",$B2601="(blank)"),"",VLOOKUP($B2601,'Email Marketing Raw Data'!$C:$O,10,0))),"")</f>
        <v/>
      </c>
      <c r="E2601" s="59" t="str">
        <f>IFERROR(IF(F2601&lt;&gt;"pending","",IF(OR($B2601="",$B2601="(blank)"),"",VLOOKUP($B2601,'Email Marketing Raw Data'!$C:$O,11,0))),"")</f>
        <v/>
      </c>
      <c r="F2601" s="54" t="str">
        <f>IFERROR(IF(OR($B2601="",$B2601="(blank)"),"",VLOOKUP($B2601,'Email Marketing Raw Data'!$C:$O,13,0)),"")</f>
        <v/>
      </c>
      <c r="G2601" s="55" t="str">
        <f>IFERROR(IF(OR($B2601="",$B2601="(blank)"),"",VLOOKUP($B2601,'Email Marketing Raw Data'!$C:$O,4,0)),"")</f>
        <v/>
      </c>
      <c r="H2601" s="55" t="str">
        <f>IFERROR(IF(OR($B2601="",$B2601="(blank)"),"",VLOOKUP($B2601,'Email Marketing Raw Data'!$C:$O,5,0)),"")</f>
        <v/>
      </c>
      <c r="I2601" s="55" t="str">
        <f>IFERROR(IF($G2601="","",VLOOKUP('Dashboard And Emails Automate'!$G2601,Database!$H:$N,3,0)),"")</f>
        <v/>
      </c>
      <c r="J2601" s="55" t="str">
        <f>IFERROR(IF($G2601="","",VLOOKUP('Dashboard And Emails Automate'!$G2601,Database!$H:$N,4,0)),"")</f>
        <v/>
      </c>
      <c r="K2601" s="55" t="str">
        <f>IFERROR(IF($G2601="","",VLOOKUP('Dashboard And Emails Automate'!$G2601,Database!$H:$N,5,0)),"")</f>
        <v/>
      </c>
      <c r="L2601" s="55" t="str">
        <f>IFERROR(IF($G2601="","",VLOOKUP('Dashboard And Emails Automate'!$G2601,Database!$H:$N,6,0)),"")</f>
        <v/>
      </c>
      <c r="M2601" s="55" t="str">
        <f>IFERROR(IF($G2601="","",VLOOKUP('Dashboard And Emails Automate'!$G2601,Database!$H:$N,7,0)),"")</f>
        <v/>
      </c>
      <c r="N2601" s="55" t="str">
        <f>IFERROR(IF(OR($B2601="",$B2601="(blank)"),"",VLOOKUP($B2601,'Email Marketing Raw Data'!$C:$O,6,0)),"")</f>
        <v/>
      </c>
      <c r="O2601" s="55" t="str">
        <f>IFERROR(IF(OR($B2601="",$B2601="(blank)"),"",VLOOKUP($B2601,'Email Marketing Raw Data'!$C:$O,7,0)),"")</f>
        <v/>
      </c>
      <c r="P2601" s="55" t="str">
        <f>IFERROR(IF(OR($B2601="",$B2601="(blank)"),"",VLOOKUP($B2601,'Email Marketing Raw Data'!$C:$O,8,0)),"")</f>
        <v/>
      </c>
      <c r="Q2601" s="62" t="str">
        <f>IFERROR(IF(OR($B2601="",$B2601="(blank)"),"",VLOOKUP($B2601,'Email Marketing Raw Data'!$C:$O,9,0)),"")</f>
        <v/>
      </c>
    </row>
    <row r="2602" spans="4:17" ht="12.75" customHeight="1" x14ac:dyDescent="0.2">
      <c r="D2602" s="58" t="str">
        <f>IFERROR(IF(F2602&lt;&gt;"pending","",IF(OR($B2602="",$B2602="(blank)"),"",VLOOKUP($B2602,'Email Marketing Raw Data'!$C:$O,10,0))),"")</f>
        <v/>
      </c>
      <c r="E2602" s="59" t="str">
        <f>IFERROR(IF(F2602&lt;&gt;"pending","",IF(OR($B2602="",$B2602="(blank)"),"",VLOOKUP($B2602,'Email Marketing Raw Data'!$C:$O,11,0))),"")</f>
        <v/>
      </c>
      <c r="F2602" s="54" t="str">
        <f>IFERROR(IF(OR($B2602="",$B2602="(blank)"),"",VLOOKUP($B2602,'Email Marketing Raw Data'!$C:$O,13,0)),"")</f>
        <v/>
      </c>
      <c r="G2602" s="55" t="str">
        <f>IFERROR(IF(OR($B2602="",$B2602="(blank)"),"",VLOOKUP($B2602,'Email Marketing Raw Data'!$C:$O,4,0)),"")</f>
        <v/>
      </c>
      <c r="H2602" s="55" t="str">
        <f>IFERROR(IF(OR($B2602="",$B2602="(blank)"),"",VLOOKUP($B2602,'Email Marketing Raw Data'!$C:$O,5,0)),"")</f>
        <v/>
      </c>
      <c r="I2602" s="55" t="str">
        <f>IFERROR(IF($G2602="","",VLOOKUP('Dashboard And Emails Automate'!$G2602,Database!$H:$N,3,0)),"")</f>
        <v/>
      </c>
      <c r="J2602" s="55" t="str">
        <f>IFERROR(IF($G2602="","",VLOOKUP('Dashboard And Emails Automate'!$G2602,Database!$H:$N,4,0)),"")</f>
        <v/>
      </c>
      <c r="K2602" s="55" t="str">
        <f>IFERROR(IF($G2602="","",VLOOKUP('Dashboard And Emails Automate'!$G2602,Database!$H:$N,5,0)),"")</f>
        <v/>
      </c>
      <c r="L2602" s="55" t="str">
        <f>IFERROR(IF($G2602="","",VLOOKUP('Dashboard And Emails Automate'!$G2602,Database!$H:$N,6,0)),"")</f>
        <v/>
      </c>
      <c r="M2602" s="55" t="str">
        <f>IFERROR(IF($G2602="","",VLOOKUP('Dashboard And Emails Automate'!$G2602,Database!$H:$N,7,0)),"")</f>
        <v/>
      </c>
      <c r="N2602" s="55" t="str">
        <f>IFERROR(IF(OR($B2602="",$B2602="(blank)"),"",VLOOKUP($B2602,'Email Marketing Raw Data'!$C:$O,6,0)),"")</f>
        <v/>
      </c>
      <c r="O2602" s="55" t="str">
        <f>IFERROR(IF(OR($B2602="",$B2602="(blank)"),"",VLOOKUP($B2602,'Email Marketing Raw Data'!$C:$O,7,0)),"")</f>
        <v/>
      </c>
      <c r="P2602" s="55" t="str">
        <f>IFERROR(IF(OR($B2602="",$B2602="(blank)"),"",VLOOKUP($B2602,'Email Marketing Raw Data'!$C:$O,8,0)),"")</f>
        <v/>
      </c>
      <c r="Q2602" s="62" t="str">
        <f>IFERROR(IF(OR($B2602="",$B2602="(blank)"),"",VLOOKUP($B2602,'Email Marketing Raw Data'!$C:$O,9,0)),"")</f>
        <v/>
      </c>
    </row>
    <row r="2603" spans="4:17" ht="12.75" customHeight="1" x14ac:dyDescent="0.2">
      <c r="D2603" s="58" t="str">
        <f>IFERROR(IF(F2603&lt;&gt;"pending","",IF(OR($B2603="",$B2603="(blank)"),"",VLOOKUP($B2603,'Email Marketing Raw Data'!$C:$O,10,0))),"")</f>
        <v/>
      </c>
      <c r="E2603" s="59" t="str">
        <f>IFERROR(IF(F2603&lt;&gt;"pending","",IF(OR($B2603="",$B2603="(blank)"),"",VLOOKUP($B2603,'Email Marketing Raw Data'!$C:$O,11,0))),"")</f>
        <v/>
      </c>
      <c r="F2603" s="54" t="str">
        <f>IFERROR(IF(OR($B2603="",$B2603="(blank)"),"",VLOOKUP($B2603,'Email Marketing Raw Data'!$C:$O,13,0)),"")</f>
        <v/>
      </c>
      <c r="G2603" s="55" t="str">
        <f>IFERROR(IF(OR($B2603="",$B2603="(blank)"),"",VLOOKUP($B2603,'Email Marketing Raw Data'!$C:$O,4,0)),"")</f>
        <v/>
      </c>
      <c r="H2603" s="55" t="str">
        <f>IFERROR(IF(OR($B2603="",$B2603="(blank)"),"",VLOOKUP($B2603,'Email Marketing Raw Data'!$C:$O,5,0)),"")</f>
        <v/>
      </c>
      <c r="I2603" s="55" t="str">
        <f>IFERROR(IF($G2603="","",VLOOKUP('Dashboard And Emails Automate'!$G2603,Database!$H:$N,3,0)),"")</f>
        <v/>
      </c>
      <c r="J2603" s="55" t="str">
        <f>IFERROR(IF($G2603="","",VLOOKUP('Dashboard And Emails Automate'!$G2603,Database!$H:$N,4,0)),"")</f>
        <v/>
      </c>
      <c r="K2603" s="55" t="str">
        <f>IFERROR(IF($G2603="","",VLOOKUP('Dashboard And Emails Automate'!$G2603,Database!$H:$N,5,0)),"")</f>
        <v/>
      </c>
      <c r="L2603" s="55" t="str">
        <f>IFERROR(IF($G2603="","",VLOOKUP('Dashboard And Emails Automate'!$G2603,Database!$H:$N,6,0)),"")</f>
        <v/>
      </c>
      <c r="M2603" s="55" t="str">
        <f>IFERROR(IF($G2603="","",VLOOKUP('Dashboard And Emails Automate'!$G2603,Database!$H:$N,7,0)),"")</f>
        <v/>
      </c>
      <c r="N2603" s="55" t="str">
        <f>IFERROR(IF(OR($B2603="",$B2603="(blank)"),"",VLOOKUP($B2603,'Email Marketing Raw Data'!$C:$O,6,0)),"")</f>
        <v/>
      </c>
      <c r="O2603" s="55" t="str">
        <f>IFERROR(IF(OR($B2603="",$B2603="(blank)"),"",VLOOKUP($B2603,'Email Marketing Raw Data'!$C:$O,7,0)),"")</f>
        <v/>
      </c>
      <c r="P2603" s="55" t="str">
        <f>IFERROR(IF(OR($B2603="",$B2603="(blank)"),"",VLOOKUP($B2603,'Email Marketing Raw Data'!$C:$O,8,0)),"")</f>
        <v/>
      </c>
      <c r="Q2603" s="62" t="str">
        <f>IFERROR(IF(OR($B2603="",$B2603="(blank)"),"",VLOOKUP($B2603,'Email Marketing Raw Data'!$C:$O,9,0)),"")</f>
        <v/>
      </c>
    </row>
    <row r="2604" spans="4:17" ht="12.75" customHeight="1" x14ac:dyDescent="0.2">
      <c r="D2604" s="58" t="str">
        <f>IFERROR(IF(F2604&lt;&gt;"pending","",IF(OR($B2604="",$B2604="(blank)"),"",VLOOKUP($B2604,'Email Marketing Raw Data'!$C:$O,10,0))),"")</f>
        <v/>
      </c>
      <c r="E2604" s="59" t="str">
        <f>IFERROR(IF(F2604&lt;&gt;"pending","",IF(OR($B2604="",$B2604="(blank)"),"",VLOOKUP($B2604,'Email Marketing Raw Data'!$C:$O,11,0))),"")</f>
        <v/>
      </c>
      <c r="F2604" s="54" t="str">
        <f>IFERROR(IF(OR($B2604="",$B2604="(blank)"),"",VLOOKUP($B2604,'Email Marketing Raw Data'!$C:$O,13,0)),"")</f>
        <v/>
      </c>
      <c r="G2604" s="55" t="str">
        <f>IFERROR(IF(OR($B2604="",$B2604="(blank)"),"",VLOOKUP($B2604,'Email Marketing Raw Data'!$C:$O,4,0)),"")</f>
        <v/>
      </c>
      <c r="H2604" s="55" t="str">
        <f>IFERROR(IF(OR($B2604="",$B2604="(blank)"),"",VLOOKUP($B2604,'Email Marketing Raw Data'!$C:$O,5,0)),"")</f>
        <v/>
      </c>
      <c r="I2604" s="55" t="str">
        <f>IFERROR(IF($G2604="","",VLOOKUP('Dashboard And Emails Automate'!$G2604,Database!$H:$N,3,0)),"")</f>
        <v/>
      </c>
      <c r="J2604" s="55" t="str">
        <f>IFERROR(IF($G2604="","",VLOOKUP('Dashboard And Emails Automate'!$G2604,Database!$H:$N,4,0)),"")</f>
        <v/>
      </c>
      <c r="K2604" s="55" t="str">
        <f>IFERROR(IF($G2604="","",VLOOKUP('Dashboard And Emails Automate'!$G2604,Database!$H:$N,5,0)),"")</f>
        <v/>
      </c>
      <c r="L2604" s="55" t="str">
        <f>IFERROR(IF($G2604="","",VLOOKUP('Dashboard And Emails Automate'!$G2604,Database!$H:$N,6,0)),"")</f>
        <v/>
      </c>
      <c r="M2604" s="55" t="str">
        <f>IFERROR(IF($G2604="","",VLOOKUP('Dashboard And Emails Automate'!$G2604,Database!$H:$N,7,0)),"")</f>
        <v/>
      </c>
      <c r="N2604" s="55" t="str">
        <f>IFERROR(IF(OR($B2604="",$B2604="(blank)"),"",VLOOKUP($B2604,'Email Marketing Raw Data'!$C:$O,6,0)),"")</f>
        <v/>
      </c>
      <c r="O2604" s="55" t="str">
        <f>IFERROR(IF(OR($B2604="",$B2604="(blank)"),"",VLOOKUP($B2604,'Email Marketing Raw Data'!$C:$O,7,0)),"")</f>
        <v/>
      </c>
      <c r="P2604" s="55" t="str">
        <f>IFERROR(IF(OR($B2604="",$B2604="(blank)"),"",VLOOKUP($B2604,'Email Marketing Raw Data'!$C:$O,8,0)),"")</f>
        <v/>
      </c>
      <c r="Q2604" s="62" t="str">
        <f>IFERROR(IF(OR($B2604="",$B2604="(blank)"),"",VLOOKUP($B2604,'Email Marketing Raw Data'!$C:$O,9,0)),"")</f>
        <v/>
      </c>
    </row>
    <row r="2605" spans="4:17" ht="12.75" customHeight="1" x14ac:dyDescent="0.2">
      <c r="D2605" s="58" t="str">
        <f>IFERROR(IF(F2605&lt;&gt;"pending","",IF(OR($B2605="",$B2605="(blank)"),"",VLOOKUP($B2605,'Email Marketing Raw Data'!$C:$O,10,0))),"")</f>
        <v/>
      </c>
      <c r="E2605" s="59" t="str">
        <f>IFERROR(IF(F2605&lt;&gt;"pending","",IF(OR($B2605="",$B2605="(blank)"),"",VLOOKUP($B2605,'Email Marketing Raw Data'!$C:$O,11,0))),"")</f>
        <v/>
      </c>
      <c r="F2605" s="54" t="str">
        <f>IFERROR(IF(OR($B2605="",$B2605="(blank)"),"",VLOOKUP($B2605,'Email Marketing Raw Data'!$C:$O,13,0)),"")</f>
        <v/>
      </c>
      <c r="G2605" s="55" t="str">
        <f>IFERROR(IF(OR($B2605="",$B2605="(blank)"),"",VLOOKUP($B2605,'Email Marketing Raw Data'!$C:$O,4,0)),"")</f>
        <v/>
      </c>
      <c r="H2605" s="55" t="str">
        <f>IFERROR(IF(OR($B2605="",$B2605="(blank)"),"",VLOOKUP($B2605,'Email Marketing Raw Data'!$C:$O,5,0)),"")</f>
        <v/>
      </c>
      <c r="I2605" s="55" t="str">
        <f>IFERROR(IF($G2605="","",VLOOKUP('Dashboard And Emails Automate'!$G2605,Database!$H:$N,3,0)),"")</f>
        <v/>
      </c>
      <c r="J2605" s="55" t="str">
        <f>IFERROR(IF($G2605="","",VLOOKUP('Dashboard And Emails Automate'!$G2605,Database!$H:$N,4,0)),"")</f>
        <v/>
      </c>
      <c r="K2605" s="55" t="str">
        <f>IFERROR(IF($G2605="","",VLOOKUP('Dashboard And Emails Automate'!$G2605,Database!$H:$N,5,0)),"")</f>
        <v/>
      </c>
      <c r="L2605" s="55" t="str">
        <f>IFERROR(IF($G2605="","",VLOOKUP('Dashboard And Emails Automate'!$G2605,Database!$H:$N,6,0)),"")</f>
        <v/>
      </c>
      <c r="M2605" s="55" t="str">
        <f>IFERROR(IF($G2605="","",VLOOKUP('Dashboard And Emails Automate'!$G2605,Database!$H:$N,7,0)),"")</f>
        <v/>
      </c>
      <c r="N2605" s="55" t="str">
        <f>IFERROR(IF(OR($B2605="",$B2605="(blank)"),"",VLOOKUP($B2605,'Email Marketing Raw Data'!$C:$O,6,0)),"")</f>
        <v/>
      </c>
      <c r="O2605" s="55" t="str">
        <f>IFERROR(IF(OR($B2605="",$B2605="(blank)"),"",VLOOKUP($B2605,'Email Marketing Raw Data'!$C:$O,7,0)),"")</f>
        <v/>
      </c>
      <c r="P2605" s="55" t="str">
        <f>IFERROR(IF(OR($B2605="",$B2605="(blank)"),"",VLOOKUP($B2605,'Email Marketing Raw Data'!$C:$O,8,0)),"")</f>
        <v/>
      </c>
      <c r="Q2605" s="62" t="str">
        <f>IFERROR(IF(OR($B2605="",$B2605="(blank)"),"",VLOOKUP($B2605,'Email Marketing Raw Data'!$C:$O,9,0)),"")</f>
        <v/>
      </c>
    </row>
    <row r="2606" spans="4:17" ht="12.75" customHeight="1" x14ac:dyDescent="0.2">
      <c r="D2606" s="58" t="str">
        <f>IFERROR(IF(F2606&lt;&gt;"pending","",IF(OR($B2606="",$B2606="(blank)"),"",VLOOKUP($B2606,'Email Marketing Raw Data'!$C:$O,10,0))),"")</f>
        <v/>
      </c>
      <c r="E2606" s="59" t="str">
        <f>IFERROR(IF(F2606&lt;&gt;"pending","",IF(OR($B2606="",$B2606="(blank)"),"",VLOOKUP($B2606,'Email Marketing Raw Data'!$C:$O,11,0))),"")</f>
        <v/>
      </c>
      <c r="F2606" s="54" t="str">
        <f>IFERROR(IF(OR($B2606="",$B2606="(blank)"),"",VLOOKUP($B2606,'Email Marketing Raw Data'!$C:$O,13,0)),"")</f>
        <v/>
      </c>
      <c r="G2606" s="55" t="str">
        <f>IFERROR(IF(OR($B2606="",$B2606="(blank)"),"",VLOOKUP($B2606,'Email Marketing Raw Data'!$C:$O,4,0)),"")</f>
        <v/>
      </c>
      <c r="H2606" s="55" t="str">
        <f>IFERROR(IF(OR($B2606="",$B2606="(blank)"),"",VLOOKUP($B2606,'Email Marketing Raw Data'!$C:$O,5,0)),"")</f>
        <v/>
      </c>
      <c r="I2606" s="55" t="str">
        <f>IFERROR(IF($G2606="","",VLOOKUP('Dashboard And Emails Automate'!$G2606,Database!$H:$N,3,0)),"")</f>
        <v/>
      </c>
      <c r="J2606" s="55" t="str">
        <f>IFERROR(IF($G2606="","",VLOOKUP('Dashboard And Emails Automate'!$G2606,Database!$H:$N,4,0)),"")</f>
        <v/>
      </c>
      <c r="K2606" s="55" t="str">
        <f>IFERROR(IF($G2606="","",VLOOKUP('Dashboard And Emails Automate'!$G2606,Database!$H:$N,5,0)),"")</f>
        <v/>
      </c>
      <c r="L2606" s="55" t="str">
        <f>IFERROR(IF($G2606="","",VLOOKUP('Dashboard And Emails Automate'!$G2606,Database!$H:$N,6,0)),"")</f>
        <v/>
      </c>
      <c r="M2606" s="55" t="str">
        <f>IFERROR(IF($G2606="","",VLOOKUP('Dashboard And Emails Automate'!$G2606,Database!$H:$N,7,0)),"")</f>
        <v/>
      </c>
      <c r="N2606" s="55" t="str">
        <f>IFERROR(IF(OR($B2606="",$B2606="(blank)"),"",VLOOKUP($B2606,'Email Marketing Raw Data'!$C:$O,6,0)),"")</f>
        <v/>
      </c>
      <c r="O2606" s="55" t="str">
        <f>IFERROR(IF(OR($B2606="",$B2606="(blank)"),"",VLOOKUP($B2606,'Email Marketing Raw Data'!$C:$O,7,0)),"")</f>
        <v/>
      </c>
      <c r="P2606" s="55" t="str">
        <f>IFERROR(IF(OR($B2606="",$B2606="(blank)"),"",VLOOKUP($B2606,'Email Marketing Raw Data'!$C:$O,8,0)),"")</f>
        <v/>
      </c>
      <c r="Q2606" s="62" t="str">
        <f>IFERROR(IF(OR($B2606="",$B2606="(blank)"),"",VLOOKUP($B2606,'Email Marketing Raw Data'!$C:$O,9,0)),"")</f>
        <v/>
      </c>
    </row>
    <row r="2607" spans="4:17" ht="12.75" customHeight="1" x14ac:dyDescent="0.2">
      <c r="D2607" s="58" t="str">
        <f>IFERROR(IF(F2607&lt;&gt;"pending","",IF(OR($B2607="",$B2607="(blank)"),"",VLOOKUP($B2607,'Email Marketing Raw Data'!$C:$O,10,0))),"")</f>
        <v/>
      </c>
      <c r="E2607" s="59" t="str">
        <f>IFERROR(IF(F2607&lt;&gt;"pending","",IF(OR($B2607="",$B2607="(blank)"),"",VLOOKUP($B2607,'Email Marketing Raw Data'!$C:$O,11,0))),"")</f>
        <v/>
      </c>
      <c r="F2607" s="54" t="str">
        <f>IFERROR(IF(OR($B2607="",$B2607="(blank)"),"",VLOOKUP($B2607,'Email Marketing Raw Data'!$C:$O,13,0)),"")</f>
        <v/>
      </c>
      <c r="G2607" s="55" t="str">
        <f>IFERROR(IF(OR($B2607="",$B2607="(blank)"),"",VLOOKUP($B2607,'Email Marketing Raw Data'!$C:$O,4,0)),"")</f>
        <v/>
      </c>
      <c r="H2607" s="55" t="str">
        <f>IFERROR(IF(OR($B2607="",$B2607="(blank)"),"",VLOOKUP($B2607,'Email Marketing Raw Data'!$C:$O,5,0)),"")</f>
        <v/>
      </c>
      <c r="I2607" s="55" t="str">
        <f>IFERROR(IF($G2607="","",VLOOKUP('Dashboard And Emails Automate'!$G2607,Database!$H:$N,3,0)),"")</f>
        <v/>
      </c>
      <c r="J2607" s="55" t="str">
        <f>IFERROR(IF($G2607="","",VLOOKUP('Dashboard And Emails Automate'!$G2607,Database!$H:$N,4,0)),"")</f>
        <v/>
      </c>
      <c r="K2607" s="55" t="str">
        <f>IFERROR(IF($G2607="","",VLOOKUP('Dashboard And Emails Automate'!$G2607,Database!$H:$N,5,0)),"")</f>
        <v/>
      </c>
      <c r="L2607" s="55" t="str">
        <f>IFERROR(IF($G2607="","",VLOOKUP('Dashboard And Emails Automate'!$G2607,Database!$H:$N,6,0)),"")</f>
        <v/>
      </c>
      <c r="M2607" s="55" t="str">
        <f>IFERROR(IF($G2607="","",VLOOKUP('Dashboard And Emails Automate'!$G2607,Database!$H:$N,7,0)),"")</f>
        <v/>
      </c>
      <c r="N2607" s="55" t="str">
        <f>IFERROR(IF(OR($B2607="",$B2607="(blank)"),"",VLOOKUP($B2607,'Email Marketing Raw Data'!$C:$O,6,0)),"")</f>
        <v/>
      </c>
      <c r="O2607" s="55" t="str">
        <f>IFERROR(IF(OR($B2607="",$B2607="(blank)"),"",VLOOKUP($B2607,'Email Marketing Raw Data'!$C:$O,7,0)),"")</f>
        <v/>
      </c>
      <c r="P2607" s="55" t="str">
        <f>IFERROR(IF(OR($B2607="",$B2607="(blank)"),"",VLOOKUP($B2607,'Email Marketing Raw Data'!$C:$O,8,0)),"")</f>
        <v/>
      </c>
      <c r="Q2607" s="62" t="str">
        <f>IFERROR(IF(OR($B2607="",$B2607="(blank)"),"",VLOOKUP($B2607,'Email Marketing Raw Data'!$C:$O,9,0)),"")</f>
        <v/>
      </c>
    </row>
    <row r="2608" spans="4:17" ht="12.75" customHeight="1" x14ac:dyDescent="0.2">
      <c r="D2608" s="58" t="str">
        <f>IFERROR(IF(F2608&lt;&gt;"pending","",IF(OR($B2608="",$B2608="(blank)"),"",VLOOKUP($B2608,'Email Marketing Raw Data'!$C:$O,10,0))),"")</f>
        <v/>
      </c>
      <c r="E2608" s="59" t="str">
        <f>IFERROR(IF(F2608&lt;&gt;"pending","",IF(OR($B2608="",$B2608="(blank)"),"",VLOOKUP($B2608,'Email Marketing Raw Data'!$C:$O,11,0))),"")</f>
        <v/>
      </c>
      <c r="F2608" s="54" t="str">
        <f>IFERROR(IF(OR($B2608="",$B2608="(blank)"),"",VLOOKUP($B2608,'Email Marketing Raw Data'!$C:$O,13,0)),"")</f>
        <v/>
      </c>
      <c r="G2608" s="55" t="str">
        <f>IFERROR(IF(OR($B2608="",$B2608="(blank)"),"",VLOOKUP($B2608,'Email Marketing Raw Data'!$C:$O,4,0)),"")</f>
        <v/>
      </c>
      <c r="H2608" s="55" t="str">
        <f>IFERROR(IF(OR($B2608="",$B2608="(blank)"),"",VLOOKUP($B2608,'Email Marketing Raw Data'!$C:$O,5,0)),"")</f>
        <v/>
      </c>
      <c r="I2608" s="55" t="str">
        <f>IFERROR(IF($G2608="","",VLOOKUP('Dashboard And Emails Automate'!$G2608,Database!$H:$N,3,0)),"")</f>
        <v/>
      </c>
      <c r="J2608" s="55" t="str">
        <f>IFERROR(IF($G2608="","",VLOOKUP('Dashboard And Emails Automate'!$G2608,Database!$H:$N,4,0)),"")</f>
        <v/>
      </c>
      <c r="K2608" s="55" t="str">
        <f>IFERROR(IF($G2608="","",VLOOKUP('Dashboard And Emails Automate'!$G2608,Database!$H:$N,5,0)),"")</f>
        <v/>
      </c>
      <c r="L2608" s="55" t="str">
        <f>IFERROR(IF($G2608="","",VLOOKUP('Dashboard And Emails Automate'!$G2608,Database!$H:$N,6,0)),"")</f>
        <v/>
      </c>
      <c r="M2608" s="55" t="str">
        <f>IFERROR(IF($G2608="","",VLOOKUP('Dashboard And Emails Automate'!$G2608,Database!$H:$N,7,0)),"")</f>
        <v/>
      </c>
      <c r="N2608" s="55" t="str">
        <f>IFERROR(IF(OR($B2608="",$B2608="(blank)"),"",VLOOKUP($B2608,'Email Marketing Raw Data'!$C:$O,6,0)),"")</f>
        <v/>
      </c>
      <c r="O2608" s="55" t="str">
        <f>IFERROR(IF(OR($B2608="",$B2608="(blank)"),"",VLOOKUP($B2608,'Email Marketing Raw Data'!$C:$O,7,0)),"")</f>
        <v/>
      </c>
      <c r="P2608" s="55" t="str">
        <f>IFERROR(IF(OR($B2608="",$B2608="(blank)"),"",VLOOKUP($B2608,'Email Marketing Raw Data'!$C:$O,8,0)),"")</f>
        <v/>
      </c>
      <c r="Q2608" s="62" t="str">
        <f>IFERROR(IF(OR($B2608="",$B2608="(blank)"),"",VLOOKUP($B2608,'Email Marketing Raw Data'!$C:$O,9,0)),"")</f>
        <v/>
      </c>
    </row>
    <row r="2609" spans="4:17" ht="12.75" customHeight="1" x14ac:dyDescent="0.2">
      <c r="D2609" s="58" t="str">
        <f>IFERROR(IF(F2609&lt;&gt;"pending","",IF(OR($B2609="",$B2609="(blank)"),"",VLOOKUP($B2609,'Email Marketing Raw Data'!$C:$O,10,0))),"")</f>
        <v/>
      </c>
      <c r="E2609" s="59" t="str">
        <f>IFERROR(IF(F2609&lt;&gt;"pending","",IF(OR($B2609="",$B2609="(blank)"),"",VLOOKUP($B2609,'Email Marketing Raw Data'!$C:$O,11,0))),"")</f>
        <v/>
      </c>
      <c r="F2609" s="54" t="str">
        <f>IFERROR(IF(OR($B2609="",$B2609="(blank)"),"",VLOOKUP($B2609,'Email Marketing Raw Data'!$C:$O,13,0)),"")</f>
        <v/>
      </c>
      <c r="G2609" s="55" t="str">
        <f>IFERROR(IF(OR($B2609="",$B2609="(blank)"),"",VLOOKUP($B2609,'Email Marketing Raw Data'!$C:$O,4,0)),"")</f>
        <v/>
      </c>
      <c r="H2609" s="55" t="str">
        <f>IFERROR(IF(OR($B2609="",$B2609="(blank)"),"",VLOOKUP($B2609,'Email Marketing Raw Data'!$C:$O,5,0)),"")</f>
        <v/>
      </c>
      <c r="I2609" s="55" t="str">
        <f>IFERROR(IF($G2609="","",VLOOKUP('Dashboard And Emails Automate'!$G2609,Database!$H:$N,3,0)),"")</f>
        <v/>
      </c>
      <c r="J2609" s="55" t="str">
        <f>IFERROR(IF($G2609="","",VLOOKUP('Dashboard And Emails Automate'!$G2609,Database!$H:$N,4,0)),"")</f>
        <v/>
      </c>
      <c r="K2609" s="55" t="str">
        <f>IFERROR(IF($G2609="","",VLOOKUP('Dashboard And Emails Automate'!$G2609,Database!$H:$N,5,0)),"")</f>
        <v/>
      </c>
      <c r="L2609" s="55" t="str">
        <f>IFERROR(IF($G2609="","",VLOOKUP('Dashboard And Emails Automate'!$G2609,Database!$H:$N,6,0)),"")</f>
        <v/>
      </c>
      <c r="M2609" s="55" t="str">
        <f>IFERROR(IF($G2609="","",VLOOKUP('Dashboard And Emails Automate'!$G2609,Database!$H:$N,7,0)),"")</f>
        <v/>
      </c>
      <c r="N2609" s="55" t="str">
        <f>IFERROR(IF(OR($B2609="",$B2609="(blank)"),"",VLOOKUP($B2609,'Email Marketing Raw Data'!$C:$O,6,0)),"")</f>
        <v/>
      </c>
      <c r="O2609" s="55" t="str">
        <f>IFERROR(IF(OR($B2609="",$B2609="(blank)"),"",VLOOKUP($B2609,'Email Marketing Raw Data'!$C:$O,7,0)),"")</f>
        <v/>
      </c>
      <c r="P2609" s="55" t="str">
        <f>IFERROR(IF(OR($B2609="",$B2609="(blank)"),"",VLOOKUP($B2609,'Email Marketing Raw Data'!$C:$O,8,0)),"")</f>
        <v/>
      </c>
      <c r="Q2609" s="62" t="str">
        <f>IFERROR(IF(OR($B2609="",$B2609="(blank)"),"",VLOOKUP($B2609,'Email Marketing Raw Data'!$C:$O,9,0)),"")</f>
        <v/>
      </c>
    </row>
    <row r="2610" spans="4:17" ht="12.75" customHeight="1" x14ac:dyDescent="0.2">
      <c r="D2610" s="58" t="str">
        <f>IFERROR(IF(F2610&lt;&gt;"pending","",IF(OR($B2610="",$B2610="(blank)"),"",VLOOKUP($B2610,'Email Marketing Raw Data'!$C:$O,10,0))),"")</f>
        <v/>
      </c>
      <c r="E2610" s="59" t="str">
        <f>IFERROR(IF(F2610&lt;&gt;"pending","",IF(OR($B2610="",$B2610="(blank)"),"",VLOOKUP($B2610,'Email Marketing Raw Data'!$C:$O,11,0))),"")</f>
        <v/>
      </c>
      <c r="F2610" s="54" t="str">
        <f>IFERROR(IF(OR($B2610="",$B2610="(blank)"),"",VLOOKUP($B2610,'Email Marketing Raw Data'!$C:$O,13,0)),"")</f>
        <v/>
      </c>
      <c r="G2610" s="55" t="str">
        <f>IFERROR(IF(OR($B2610="",$B2610="(blank)"),"",VLOOKUP($B2610,'Email Marketing Raw Data'!$C:$O,4,0)),"")</f>
        <v/>
      </c>
      <c r="H2610" s="55" t="str">
        <f>IFERROR(IF(OR($B2610="",$B2610="(blank)"),"",VLOOKUP($B2610,'Email Marketing Raw Data'!$C:$O,5,0)),"")</f>
        <v/>
      </c>
      <c r="I2610" s="55" t="str">
        <f>IFERROR(IF($G2610="","",VLOOKUP('Dashboard And Emails Automate'!$G2610,Database!$H:$N,3,0)),"")</f>
        <v/>
      </c>
      <c r="J2610" s="55" t="str">
        <f>IFERROR(IF($G2610="","",VLOOKUP('Dashboard And Emails Automate'!$G2610,Database!$H:$N,4,0)),"")</f>
        <v/>
      </c>
      <c r="K2610" s="55" t="str">
        <f>IFERROR(IF($G2610="","",VLOOKUP('Dashboard And Emails Automate'!$G2610,Database!$H:$N,5,0)),"")</f>
        <v/>
      </c>
      <c r="L2610" s="55" t="str">
        <f>IFERROR(IF($G2610="","",VLOOKUP('Dashboard And Emails Automate'!$G2610,Database!$H:$N,6,0)),"")</f>
        <v/>
      </c>
      <c r="M2610" s="55" t="str">
        <f>IFERROR(IF($G2610="","",VLOOKUP('Dashboard And Emails Automate'!$G2610,Database!$H:$N,7,0)),"")</f>
        <v/>
      </c>
      <c r="N2610" s="55" t="str">
        <f>IFERROR(IF(OR($B2610="",$B2610="(blank)"),"",VLOOKUP($B2610,'Email Marketing Raw Data'!$C:$O,6,0)),"")</f>
        <v/>
      </c>
      <c r="O2610" s="55" t="str">
        <f>IFERROR(IF(OR($B2610="",$B2610="(blank)"),"",VLOOKUP($B2610,'Email Marketing Raw Data'!$C:$O,7,0)),"")</f>
        <v/>
      </c>
      <c r="P2610" s="55" t="str">
        <f>IFERROR(IF(OR($B2610="",$B2610="(blank)"),"",VLOOKUP($B2610,'Email Marketing Raw Data'!$C:$O,8,0)),"")</f>
        <v/>
      </c>
      <c r="Q2610" s="62" t="str">
        <f>IFERROR(IF(OR($B2610="",$B2610="(blank)"),"",VLOOKUP($B2610,'Email Marketing Raw Data'!$C:$O,9,0)),"")</f>
        <v/>
      </c>
    </row>
    <row r="2611" spans="4:17" ht="12.75" customHeight="1" x14ac:dyDescent="0.2">
      <c r="D2611" s="58" t="str">
        <f>IFERROR(IF(F2611&lt;&gt;"pending","",IF(OR($B2611="",$B2611="(blank)"),"",VLOOKUP($B2611,'Email Marketing Raw Data'!$C:$O,10,0))),"")</f>
        <v/>
      </c>
      <c r="E2611" s="59" t="str">
        <f>IFERROR(IF(F2611&lt;&gt;"pending","",IF(OR($B2611="",$B2611="(blank)"),"",VLOOKUP($B2611,'Email Marketing Raw Data'!$C:$O,11,0))),"")</f>
        <v/>
      </c>
      <c r="F2611" s="54" t="str">
        <f>IFERROR(IF(OR($B2611="",$B2611="(blank)"),"",VLOOKUP($B2611,'Email Marketing Raw Data'!$C:$O,13,0)),"")</f>
        <v/>
      </c>
      <c r="G2611" s="55" t="str">
        <f>IFERROR(IF(OR($B2611="",$B2611="(blank)"),"",VLOOKUP($B2611,'Email Marketing Raw Data'!$C:$O,4,0)),"")</f>
        <v/>
      </c>
      <c r="H2611" s="55" t="str">
        <f>IFERROR(IF(OR($B2611="",$B2611="(blank)"),"",VLOOKUP($B2611,'Email Marketing Raw Data'!$C:$O,5,0)),"")</f>
        <v/>
      </c>
      <c r="I2611" s="55" t="str">
        <f>IFERROR(IF($G2611="","",VLOOKUP('Dashboard And Emails Automate'!$G2611,Database!$H:$N,3,0)),"")</f>
        <v/>
      </c>
      <c r="J2611" s="55" t="str">
        <f>IFERROR(IF($G2611="","",VLOOKUP('Dashboard And Emails Automate'!$G2611,Database!$H:$N,4,0)),"")</f>
        <v/>
      </c>
      <c r="K2611" s="55" t="str">
        <f>IFERROR(IF($G2611="","",VLOOKUP('Dashboard And Emails Automate'!$G2611,Database!$H:$N,5,0)),"")</f>
        <v/>
      </c>
      <c r="L2611" s="55" t="str">
        <f>IFERROR(IF($G2611="","",VLOOKUP('Dashboard And Emails Automate'!$G2611,Database!$H:$N,6,0)),"")</f>
        <v/>
      </c>
      <c r="M2611" s="55" t="str">
        <f>IFERROR(IF($G2611="","",VLOOKUP('Dashboard And Emails Automate'!$G2611,Database!$H:$N,7,0)),"")</f>
        <v/>
      </c>
      <c r="N2611" s="55" t="str">
        <f>IFERROR(IF(OR($B2611="",$B2611="(blank)"),"",VLOOKUP($B2611,'Email Marketing Raw Data'!$C:$O,6,0)),"")</f>
        <v/>
      </c>
      <c r="O2611" s="55" t="str">
        <f>IFERROR(IF(OR($B2611="",$B2611="(blank)"),"",VLOOKUP($B2611,'Email Marketing Raw Data'!$C:$O,7,0)),"")</f>
        <v/>
      </c>
      <c r="P2611" s="55" t="str">
        <f>IFERROR(IF(OR($B2611="",$B2611="(blank)"),"",VLOOKUP($B2611,'Email Marketing Raw Data'!$C:$O,8,0)),"")</f>
        <v/>
      </c>
      <c r="Q2611" s="62" t="str">
        <f>IFERROR(IF(OR($B2611="",$B2611="(blank)"),"",VLOOKUP($B2611,'Email Marketing Raw Data'!$C:$O,9,0)),"")</f>
        <v/>
      </c>
    </row>
    <row r="2612" spans="4:17" ht="12.75" customHeight="1" x14ac:dyDescent="0.2">
      <c r="D2612" s="58" t="str">
        <f>IFERROR(IF(F2612&lt;&gt;"pending","",IF(OR($B2612="",$B2612="(blank)"),"",VLOOKUP($B2612,'Email Marketing Raw Data'!$C:$O,10,0))),"")</f>
        <v/>
      </c>
      <c r="E2612" s="59" t="str">
        <f>IFERROR(IF(F2612&lt;&gt;"pending","",IF(OR($B2612="",$B2612="(blank)"),"",VLOOKUP($B2612,'Email Marketing Raw Data'!$C:$O,11,0))),"")</f>
        <v/>
      </c>
      <c r="F2612" s="54" t="str">
        <f>IFERROR(IF(OR($B2612="",$B2612="(blank)"),"",VLOOKUP($B2612,'Email Marketing Raw Data'!$C:$O,13,0)),"")</f>
        <v/>
      </c>
      <c r="G2612" s="55" t="str">
        <f>IFERROR(IF(OR($B2612="",$B2612="(blank)"),"",VLOOKUP($B2612,'Email Marketing Raw Data'!$C:$O,4,0)),"")</f>
        <v/>
      </c>
      <c r="H2612" s="55" t="str">
        <f>IFERROR(IF(OR($B2612="",$B2612="(blank)"),"",VLOOKUP($B2612,'Email Marketing Raw Data'!$C:$O,5,0)),"")</f>
        <v/>
      </c>
      <c r="I2612" s="55" t="str">
        <f>IFERROR(IF($G2612="","",VLOOKUP('Dashboard And Emails Automate'!$G2612,Database!$H:$N,3,0)),"")</f>
        <v/>
      </c>
      <c r="J2612" s="55" t="str">
        <f>IFERROR(IF($G2612="","",VLOOKUP('Dashboard And Emails Automate'!$G2612,Database!$H:$N,4,0)),"")</f>
        <v/>
      </c>
      <c r="K2612" s="55" t="str">
        <f>IFERROR(IF($G2612="","",VLOOKUP('Dashboard And Emails Automate'!$G2612,Database!$H:$N,5,0)),"")</f>
        <v/>
      </c>
      <c r="L2612" s="55" t="str">
        <f>IFERROR(IF($G2612="","",VLOOKUP('Dashboard And Emails Automate'!$G2612,Database!$H:$N,6,0)),"")</f>
        <v/>
      </c>
      <c r="M2612" s="55" t="str">
        <f>IFERROR(IF($G2612="","",VLOOKUP('Dashboard And Emails Automate'!$G2612,Database!$H:$N,7,0)),"")</f>
        <v/>
      </c>
      <c r="N2612" s="55" t="str">
        <f>IFERROR(IF(OR($B2612="",$B2612="(blank)"),"",VLOOKUP($B2612,'Email Marketing Raw Data'!$C:$O,6,0)),"")</f>
        <v/>
      </c>
      <c r="O2612" s="55" t="str">
        <f>IFERROR(IF(OR($B2612="",$B2612="(blank)"),"",VLOOKUP($B2612,'Email Marketing Raw Data'!$C:$O,7,0)),"")</f>
        <v/>
      </c>
      <c r="P2612" s="55" t="str">
        <f>IFERROR(IF(OR($B2612="",$B2612="(blank)"),"",VLOOKUP($B2612,'Email Marketing Raw Data'!$C:$O,8,0)),"")</f>
        <v/>
      </c>
      <c r="Q2612" s="62" t="str">
        <f>IFERROR(IF(OR($B2612="",$B2612="(blank)"),"",VLOOKUP($B2612,'Email Marketing Raw Data'!$C:$O,9,0)),"")</f>
        <v/>
      </c>
    </row>
    <row r="2613" spans="4:17" ht="12.75" customHeight="1" x14ac:dyDescent="0.2">
      <c r="D2613" s="58" t="str">
        <f>IFERROR(IF(F2613&lt;&gt;"pending","",IF(OR($B2613="",$B2613="(blank)"),"",VLOOKUP($B2613,'Email Marketing Raw Data'!$C:$O,10,0))),"")</f>
        <v/>
      </c>
      <c r="E2613" s="59" t="str">
        <f>IFERROR(IF(F2613&lt;&gt;"pending","",IF(OR($B2613="",$B2613="(blank)"),"",VLOOKUP($B2613,'Email Marketing Raw Data'!$C:$O,11,0))),"")</f>
        <v/>
      </c>
      <c r="F2613" s="54" t="str">
        <f>IFERROR(IF(OR($B2613="",$B2613="(blank)"),"",VLOOKUP($B2613,'Email Marketing Raw Data'!$C:$O,13,0)),"")</f>
        <v/>
      </c>
      <c r="G2613" s="55" t="str">
        <f>IFERROR(IF(OR($B2613="",$B2613="(blank)"),"",VLOOKUP($B2613,'Email Marketing Raw Data'!$C:$O,4,0)),"")</f>
        <v/>
      </c>
      <c r="H2613" s="55" t="str">
        <f>IFERROR(IF(OR($B2613="",$B2613="(blank)"),"",VLOOKUP($B2613,'Email Marketing Raw Data'!$C:$O,5,0)),"")</f>
        <v/>
      </c>
      <c r="I2613" s="55" t="str">
        <f>IFERROR(IF($G2613="","",VLOOKUP('Dashboard And Emails Automate'!$G2613,Database!$H:$N,3,0)),"")</f>
        <v/>
      </c>
      <c r="J2613" s="55" t="str">
        <f>IFERROR(IF($G2613="","",VLOOKUP('Dashboard And Emails Automate'!$G2613,Database!$H:$N,4,0)),"")</f>
        <v/>
      </c>
      <c r="K2613" s="55" t="str">
        <f>IFERROR(IF($G2613="","",VLOOKUP('Dashboard And Emails Automate'!$G2613,Database!$H:$N,5,0)),"")</f>
        <v/>
      </c>
      <c r="L2613" s="55" t="str">
        <f>IFERROR(IF($G2613="","",VLOOKUP('Dashboard And Emails Automate'!$G2613,Database!$H:$N,6,0)),"")</f>
        <v/>
      </c>
      <c r="M2613" s="55" t="str">
        <f>IFERROR(IF($G2613="","",VLOOKUP('Dashboard And Emails Automate'!$G2613,Database!$H:$N,7,0)),"")</f>
        <v/>
      </c>
      <c r="N2613" s="55" t="str">
        <f>IFERROR(IF(OR($B2613="",$B2613="(blank)"),"",VLOOKUP($B2613,'Email Marketing Raw Data'!$C:$O,6,0)),"")</f>
        <v/>
      </c>
      <c r="O2613" s="55" t="str">
        <f>IFERROR(IF(OR($B2613="",$B2613="(blank)"),"",VLOOKUP($B2613,'Email Marketing Raw Data'!$C:$O,7,0)),"")</f>
        <v/>
      </c>
      <c r="P2613" s="55" t="str">
        <f>IFERROR(IF(OR($B2613="",$B2613="(blank)"),"",VLOOKUP($B2613,'Email Marketing Raw Data'!$C:$O,8,0)),"")</f>
        <v/>
      </c>
      <c r="Q2613" s="62" t="str">
        <f>IFERROR(IF(OR($B2613="",$B2613="(blank)"),"",VLOOKUP($B2613,'Email Marketing Raw Data'!$C:$O,9,0)),"")</f>
        <v/>
      </c>
    </row>
    <row r="2614" spans="4:17" ht="12.75" customHeight="1" x14ac:dyDescent="0.2">
      <c r="D2614" s="58" t="str">
        <f>IFERROR(IF(F2614&lt;&gt;"pending","",IF(OR($B2614="",$B2614="(blank)"),"",VLOOKUP($B2614,'Email Marketing Raw Data'!$C:$O,10,0))),"")</f>
        <v/>
      </c>
      <c r="E2614" s="59" t="str">
        <f>IFERROR(IF(F2614&lt;&gt;"pending","",IF(OR($B2614="",$B2614="(blank)"),"",VLOOKUP($B2614,'Email Marketing Raw Data'!$C:$O,11,0))),"")</f>
        <v/>
      </c>
      <c r="F2614" s="54" t="str">
        <f>IFERROR(IF(OR($B2614="",$B2614="(blank)"),"",VLOOKUP($B2614,'Email Marketing Raw Data'!$C:$O,13,0)),"")</f>
        <v/>
      </c>
      <c r="G2614" s="55" t="str">
        <f>IFERROR(IF(OR($B2614="",$B2614="(blank)"),"",VLOOKUP($B2614,'Email Marketing Raw Data'!$C:$O,4,0)),"")</f>
        <v/>
      </c>
      <c r="H2614" s="55" t="str">
        <f>IFERROR(IF(OR($B2614="",$B2614="(blank)"),"",VLOOKUP($B2614,'Email Marketing Raw Data'!$C:$O,5,0)),"")</f>
        <v/>
      </c>
      <c r="I2614" s="55" t="str">
        <f>IFERROR(IF($G2614="","",VLOOKUP('Dashboard And Emails Automate'!$G2614,Database!$H:$N,3,0)),"")</f>
        <v/>
      </c>
      <c r="J2614" s="55" t="str">
        <f>IFERROR(IF($G2614="","",VLOOKUP('Dashboard And Emails Automate'!$G2614,Database!$H:$N,4,0)),"")</f>
        <v/>
      </c>
      <c r="K2614" s="55" t="str">
        <f>IFERROR(IF($G2614="","",VLOOKUP('Dashboard And Emails Automate'!$G2614,Database!$H:$N,5,0)),"")</f>
        <v/>
      </c>
      <c r="L2614" s="55" t="str">
        <f>IFERROR(IF($G2614="","",VLOOKUP('Dashboard And Emails Automate'!$G2614,Database!$H:$N,6,0)),"")</f>
        <v/>
      </c>
      <c r="M2614" s="55" t="str">
        <f>IFERROR(IF($G2614="","",VLOOKUP('Dashboard And Emails Automate'!$G2614,Database!$H:$N,7,0)),"")</f>
        <v/>
      </c>
      <c r="N2614" s="55" t="str">
        <f>IFERROR(IF(OR($B2614="",$B2614="(blank)"),"",VLOOKUP($B2614,'Email Marketing Raw Data'!$C:$O,6,0)),"")</f>
        <v/>
      </c>
      <c r="O2614" s="55" t="str">
        <f>IFERROR(IF(OR($B2614="",$B2614="(blank)"),"",VLOOKUP($B2614,'Email Marketing Raw Data'!$C:$O,7,0)),"")</f>
        <v/>
      </c>
      <c r="P2614" s="55" t="str">
        <f>IFERROR(IF(OR($B2614="",$B2614="(blank)"),"",VLOOKUP($B2614,'Email Marketing Raw Data'!$C:$O,8,0)),"")</f>
        <v/>
      </c>
      <c r="Q2614" s="62" t="str">
        <f>IFERROR(IF(OR($B2614="",$B2614="(blank)"),"",VLOOKUP($B2614,'Email Marketing Raw Data'!$C:$O,9,0)),"")</f>
        <v/>
      </c>
    </row>
    <row r="2615" spans="4:17" ht="12.75" customHeight="1" x14ac:dyDescent="0.2">
      <c r="D2615" s="58" t="str">
        <f>IFERROR(IF(F2615&lt;&gt;"pending","",IF(OR($B2615="",$B2615="(blank)"),"",VLOOKUP($B2615,'Email Marketing Raw Data'!$C:$O,10,0))),"")</f>
        <v/>
      </c>
      <c r="E2615" s="59" t="str">
        <f>IFERROR(IF(F2615&lt;&gt;"pending","",IF(OR($B2615="",$B2615="(blank)"),"",VLOOKUP($B2615,'Email Marketing Raw Data'!$C:$O,11,0))),"")</f>
        <v/>
      </c>
      <c r="F2615" s="54" t="str">
        <f>IFERROR(IF(OR($B2615="",$B2615="(blank)"),"",VLOOKUP($B2615,'Email Marketing Raw Data'!$C:$O,13,0)),"")</f>
        <v/>
      </c>
      <c r="G2615" s="55" t="str">
        <f>IFERROR(IF(OR($B2615="",$B2615="(blank)"),"",VLOOKUP($B2615,'Email Marketing Raw Data'!$C:$O,4,0)),"")</f>
        <v/>
      </c>
      <c r="H2615" s="55" t="str">
        <f>IFERROR(IF(OR($B2615="",$B2615="(blank)"),"",VLOOKUP($B2615,'Email Marketing Raw Data'!$C:$O,5,0)),"")</f>
        <v/>
      </c>
      <c r="I2615" s="55" t="str">
        <f>IFERROR(IF($G2615="","",VLOOKUP('Dashboard And Emails Automate'!$G2615,Database!$H:$N,3,0)),"")</f>
        <v/>
      </c>
      <c r="J2615" s="55" t="str">
        <f>IFERROR(IF($G2615="","",VLOOKUP('Dashboard And Emails Automate'!$G2615,Database!$H:$N,4,0)),"")</f>
        <v/>
      </c>
      <c r="K2615" s="55" t="str">
        <f>IFERROR(IF($G2615="","",VLOOKUP('Dashboard And Emails Automate'!$G2615,Database!$H:$N,5,0)),"")</f>
        <v/>
      </c>
      <c r="L2615" s="55" t="str">
        <f>IFERROR(IF($G2615="","",VLOOKUP('Dashboard And Emails Automate'!$G2615,Database!$H:$N,6,0)),"")</f>
        <v/>
      </c>
      <c r="M2615" s="55" t="str">
        <f>IFERROR(IF($G2615="","",VLOOKUP('Dashboard And Emails Automate'!$G2615,Database!$H:$N,7,0)),"")</f>
        <v/>
      </c>
      <c r="N2615" s="55" t="str">
        <f>IFERROR(IF(OR($B2615="",$B2615="(blank)"),"",VLOOKUP($B2615,'Email Marketing Raw Data'!$C:$O,6,0)),"")</f>
        <v/>
      </c>
      <c r="O2615" s="55" t="str">
        <f>IFERROR(IF(OR($B2615="",$B2615="(blank)"),"",VLOOKUP($B2615,'Email Marketing Raw Data'!$C:$O,7,0)),"")</f>
        <v/>
      </c>
      <c r="P2615" s="55" t="str">
        <f>IFERROR(IF(OR($B2615="",$B2615="(blank)"),"",VLOOKUP($B2615,'Email Marketing Raw Data'!$C:$O,8,0)),"")</f>
        <v/>
      </c>
      <c r="Q2615" s="62" t="str">
        <f>IFERROR(IF(OR($B2615="",$B2615="(blank)"),"",VLOOKUP($B2615,'Email Marketing Raw Data'!$C:$O,9,0)),"")</f>
        <v/>
      </c>
    </row>
    <row r="2616" spans="4:17" ht="12.75" customHeight="1" x14ac:dyDescent="0.2">
      <c r="D2616" s="58" t="str">
        <f>IFERROR(IF(F2616&lt;&gt;"pending","",IF(OR($B2616="",$B2616="(blank)"),"",VLOOKUP($B2616,'Email Marketing Raw Data'!$C:$O,10,0))),"")</f>
        <v/>
      </c>
      <c r="E2616" s="59" t="str">
        <f>IFERROR(IF(F2616&lt;&gt;"pending","",IF(OR($B2616="",$B2616="(blank)"),"",VLOOKUP($B2616,'Email Marketing Raw Data'!$C:$O,11,0))),"")</f>
        <v/>
      </c>
      <c r="F2616" s="54" t="str">
        <f>IFERROR(IF(OR($B2616="",$B2616="(blank)"),"",VLOOKUP($B2616,'Email Marketing Raw Data'!$C:$O,13,0)),"")</f>
        <v/>
      </c>
      <c r="G2616" s="55" t="str">
        <f>IFERROR(IF(OR($B2616="",$B2616="(blank)"),"",VLOOKUP($B2616,'Email Marketing Raw Data'!$C:$O,4,0)),"")</f>
        <v/>
      </c>
      <c r="H2616" s="55" t="str">
        <f>IFERROR(IF(OR($B2616="",$B2616="(blank)"),"",VLOOKUP($B2616,'Email Marketing Raw Data'!$C:$O,5,0)),"")</f>
        <v/>
      </c>
      <c r="I2616" s="55" t="str">
        <f>IFERROR(IF($G2616="","",VLOOKUP('Dashboard And Emails Automate'!$G2616,Database!$H:$N,3,0)),"")</f>
        <v/>
      </c>
      <c r="J2616" s="55" t="str">
        <f>IFERROR(IF($G2616="","",VLOOKUP('Dashboard And Emails Automate'!$G2616,Database!$H:$N,4,0)),"")</f>
        <v/>
      </c>
      <c r="K2616" s="55" t="str">
        <f>IFERROR(IF($G2616="","",VLOOKUP('Dashboard And Emails Automate'!$G2616,Database!$H:$N,5,0)),"")</f>
        <v/>
      </c>
      <c r="L2616" s="55" t="str">
        <f>IFERROR(IF($G2616="","",VLOOKUP('Dashboard And Emails Automate'!$G2616,Database!$H:$N,6,0)),"")</f>
        <v/>
      </c>
      <c r="M2616" s="55" t="str">
        <f>IFERROR(IF($G2616="","",VLOOKUP('Dashboard And Emails Automate'!$G2616,Database!$H:$N,7,0)),"")</f>
        <v/>
      </c>
      <c r="N2616" s="55" t="str">
        <f>IFERROR(IF(OR($B2616="",$B2616="(blank)"),"",VLOOKUP($B2616,'Email Marketing Raw Data'!$C:$O,6,0)),"")</f>
        <v/>
      </c>
      <c r="O2616" s="55" t="str">
        <f>IFERROR(IF(OR($B2616="",$B2616="(blank)"),"",VLOOKUP($B2616,'Email Marketing Raw Data'!$C:$O,7,0)),"")</f>
        <v/>
      </c>
      <c r="P2616" s="55" t="str">
        <f>IFERROR(IF(OR($B2616="",$B2616="(blank)"),"",VLOOKUP($B2616,'Email Marketing Raw Data'!$C:$O,8,0)),"")</f>
        <v/>
      </c>
      <c r="Q2616" s="62" t="str">
        <f>IFERROR(IF(OR($B2616="",$B2616="(blank)"),"",VLOOKUP($B2616,'Email Marketing Raw Data'!$C:$O,9,0)),"")</f>
        <v/>
      </c>
    </row>
    <row r="2617" spans="4:17" ht="12.75" customHeight="1" x14ac:dyDescent="0.2">
      <c r="D2617" s="58" t="str">
        <f>IFERROR(IF(F2617&lt;&gt;"pending","",IF(OR($B2617="",$B2617="(blank)"),"",VLOOKUP($B2617,'Email Marketing Raw Data'!$C:$O,10,0))),"")</f>
        <v/>
      </c>
      <c r="E2617" s="59" t="str">
        <f>IFERROR(IF(F2617&lt;&gt;"pending","",IF(OR($B2617="",$B2617="(blank)"),"",VLOOKUP($B2617,'Email Marketing Raw Data'!$C:$O,11,0))),"")</f>
        <v/>
      </c>
      <c r="F2617" s="54" t="str">
        <f>IFERROR(IF(OR($B2617="",$B2617="(blank)"),"",VLOOKUP($B2617,'Email Marketing Raw Data'!$C:$O,13,0)),"")</f>
        <v/>
      </c>
      <c r="G2617" s="55" t="str">
        <f>IFERROR(IF(OR($B2617="",$B2617="(blank)"),"",VLOOKUP($B2617,'Email Marketing Raw Data'!$C:$O,4,0)),"")</f>
        <v/>
      </c>
      <c r="H2617" s="55" t="str">
        <f>IFERROR(IF(OR($B2617="",$B2617="(blank)"),"",VLOOKUP($B2617,'Email Marketing Raw Data'!$C:$O,5,0)),"")</f>
        <v/>
      </c>
      <c r="I2617" s="55" t="str">
        <f>IFERROR(IF($G2617="","",VLOOKUP('Dashboard And Emails Automate'!$G2617,Database!$H:$N,3,0)),"")</f>
        <v/>
      </c>
      <c r="J2617" s="55" t="str">
        <f>IFERROR(IF($G2617="","",VLOOKUP('Dashboard And Emails Automate'!$G2617,Database!$H:$N,4,0)),"")</f>
        <v/>
      </c>
      <c r="K2617" s="55" t="str">
        <f>IFERROR(IF($G2617="","",VLOOKUP('Dashboard And Emails Automate'!$G2617,Database!$H:$N,5,0)),"")</f>
        <v/>
      </c>
      <c r="L2617" s="55" t="str">
        <f>IFERROR(IF($G2617="","",VLOOKUP('Dashboard And Emails Automate'!$G2617,Database!$H:$N,6,0)),"")</f>
        <v/>
      </c>
      <c r="M2617" s="55" t="str">
        <f>IFERROR(IF($G2617="","",VLOOKUP('Dashboard And Emails Automate'!$G2617,Database!$H:$N,7,0)),"")</f>
        <v/>
      </c>
      <c r="N2617" s="55" t="str">
        <f>IFERROR(IF(OR($B2617="",$B2617="(blank)"),"",VLOOKUP($B2617,'Email Marketing Raw Data'!$C:$O,6,0)),"")</f>
        <v/>
      </c>
      <c r="O2617" s="55" t="str">
        <f>IFERROR(IF(OR($B2617="",$B2617="(blank)"),"",VLOOKUP($B2617,'Email Marketing Raw Data'!$C:$O,7,0)),"")</f>
        <v/>
      </c>
      <c r="P2617" s="55" t="str">
        <f>IFERROR(IF(OR($B2617="",$B2617="(blank)"),"",VLOOKUP($B2617,'Email Marketing Raw Data'!$C:$O,8,0)),"")</f>
        <v/>
      </c>
      <c r="Q2617" s="62" t="str">
        <f>IFERROR(IF(OR($B2617="",$B2617="(blank)"),"",VLOOKUP($B2617,'Email Marketing Raw Data'!$C:$O,9,0)),"")</f>
        <v/>
      </c>
    </row>
    <row r="2618" spans="4:17" ht="12.75" customHeight="1" x14ac:dyDescent="0.2">
      <c r="D2618" s="58" t="str">
        <f>IFERROR(IF(F2618&lt;&gt;"pending","",IF(OR($B2618="",$B2618="(blank)"),"",VLOOKUP($B2618,'Email Marketing Raw Data'!$C:$O,10,0))),"")</f>
        <v/>
      </c>
      <c r="E2618" s="59" t="str">
        <f>IFERROR(IF(F2618&lt;&gt;"pending","",IF(OR($B2618="",$B2618="(blank)"),"",VLOOKUP($B2618,'Email Marketing Raw Data'!$C:$O,11,0))),"")</f>
        <v/>
      </c>
      <c r="F2618" s="54" t="str">
        <f>IFERROR(IF(OR($B2618="",$B2618="(blank)"),"",VLOOKUP($B2618,'Email Marketing Raw Data'!$C:$O,13,0)),"")</f>
        <v/>
      </c>
      <c r="G2618" s="55" t="str">
        <f>IFERROR(IF(OR($B2618="",$B2618="(blank)"),"",VLOOKUP($B2618,'Email Marketing Raw Data'!$C:$O,4,0)),"")</f>
        <v/>
      </c>
      <c r="H2618" s="55" t="str">
        <f>IFERROR(IF(OR($B2618="",$B2618="(blank)"),"",VLOOKUP($B2618,'Email Marketing Raw Data'!$C:$O,5,0)),"")</f>
        <v/>
      </c>
      <c r="I2618" s="55" t="str">
        <f>IFERROR(IF($G2618="","",VLOOKUP('Dashboard And Emails Automate'!$G2618,Database!$H:$N,3,0)),"")</f>
        <v/>
      </c>
      <c r="J2618" s="55" t="str">
        <f>IFERROR(IF($G2618="","",VLOOKUP('Dashboard And Emails Automate'!$G2618,Database!$H:$N,4,0)),"")</f>
        <v/>
      </c>
      <c r="K2618" s="55" t="str">
        <f>IFERROR(IF($G2618="","",VLOOKUP('Dashboard And Emails Automate'!$G2618,Database!$H:$N,5,0)),"")</f>
        <v/>
      </c>
      <c r="L2618" s="55" t="str">
        <f>IFERROR(IF($G2618="","",VLOOKUP('Dashboard And Emails Automate'!$G2618,Database!$H:$N,6,0)),"")</f>
        <v/>
      </c>
      <c r="M2618" s="55" t="str">
        <f>IFERROR(IF($G2618="","",VLOOKUP('Dashboard And Emails Automate'!$G2618,Database!$H:$N,7,0)),"")</f>
        <v/>
      </c>
      <c r="N2618" s="55" t="str">
        <f>IFERROR(IF(OR($B2618="",$B2618="(blank)"),"",VLOOKUP($B2618,'Email Marketing Raw Data'!$C:$O,6,0)),"")</f>
        <v/>
      </c>
      <c r="O2618" s="55" t="str">
        <f>IFERROR(IF(OR($B2618="",$B2618="(blank)"),"",VLOOKUP($B2618,'Email Marketing Raw Data'!$C:$O,7,0)),"")</f>
        <v/>
      </c>
      <c r="P2618" s="55" t="str">
        <f>IFERROR(IF(OR($B2618="",$B2618="(blank)"),"",VLOOKUP($B2618,'Email Marketing Raw Data'!$C:$O,8,0)),"")</f>
        <v/>
      </c>
      <c r="Q2618" s="62" t="str">
        <f>IFERROR(IF(OR($B2618="",$B2618="(blank)"),"",VLOOKUP($B2618,'Email Marketing Raw Data'!$C:$O,9,0)),"")</f>
        <v/>
      </c>
    </row>
    <row r="2619" spans="4:17" ht="12.75" customHeight="1" x14ac:dyDescent="0.2">
      <c r="D2619" s="58" t="str">
        <f>IFERROR(IF(F2619&lt;&gt;"pending","",IF(OR($B2619="",$B2619="(blank)"),"",VLOOKUP($B2619,'Email Marketing Raw Data'!$C:$O,10,0))),"")</f>
        <v/>
      </c>
      <c r="E2619" s="59" t="str">
        <f>IFERROR(IF(F2619&lt;&gt;"pending","",IF(OR($B2619="",$B2619="(blank)"),"",VLOOKUP($B2619,'Email Marketing Raw Data'!$C:$O,11,0))),"")</f>
        <v/>
      </c>
      <c r="F2619" s="54" t="str">
        <f>IFERROR(IF(OR($B2619="",$B2619="(blank)"),"",VLOOKUP($B2619,'Email Marketing Raw Data'!$C:$O,13,0)),"")</f>
        <v/>
      </c>
      <c r="G2619" s="55" t="str">
        <f>IFERROR(IF(OR($B2619="",$B2619="(blank)"),"",VLOOKUP($B2619,'Email Marketing Raw Data'!$C:$O,4,0)),"")</f>
        <v/>
      </c>
      <c r="H2619" s="55" t="str">
        <f>IFERROR(IF(OR($B2619="",$B2619="(blank)"),"",VLOOKUP($B2619,'Email Marketing Raw Data'!$C:$O,5,0)),"")</f>
        <v/>
      </c>
      <c r="I2619" s="55" t="str">
        <f>IFERROR(IF($G2619="","",VLOOKUP('Dashboard And Emails Automate'!$G2619,Database!$H:$N,3,0)),"")</f>
        <v/>
      </c>
      <c r="J2619" s="55" t="str">
        <f>IFERROR(IF($G2619="","",VLOOKUP('Dashboard And Emails Automate'!$G2619,Database!$H:$N,4,0)),"")</f>
        <v/>
      </c>
      <c r="K2619" s="55" t="str">
        <f>IFERROR(IF($G2619="","",VLOOKUP('Dashboard And Emails Automate'!$G2619,Database!$H:$N,5,0)),"")</f>
        <v/>
      </c>
      <c r="L2619" s="55" t="str">
        <f>IFERROR(IF($G2619="","",VLOOKUP('Dashboard And Emails Automate'!$G2619,Database!$H:$N,6,0)),"")</f>
        <v/>
      </c>
      <c r="M2619" s="55" t="str">
        <f>IFERROR(IF($G2619="","",VLOOKUP('Dashboard And Emails Automate'!$G2619,Database!$H:$N,7,0)),"")</f>
        <v/>
      </c>
      <c r="N2619" s="55" t="str">
        <f>IFERROR(IF(OR($B2619="",$B2619="(blank)"),"",VLOOKUP($B2619,'Email Marketing Raw Data'!$C:$O,6,0)),"")</f>
        <v/>
      </c>
      <c r="O2619" s="55" t="str">
        <f>IFERROR(IF(OR($B2619="",$B2619="(blank)"),"",VLOOKUP($B2619,'Email Marketing Raw Data'!$C:$O,7,0)),"")</f>
        <v/>
      </c>
      <c r="P2619" s="55" t="str">
        <f>IFERROR(IF(OR($B2619="",$B2619="(blank)"),"",VLOOKUP($B2619,'Email Marketing Raw Data'!$C:$O,8,0)),"")</f>
        <v/>
      </c>
      <c r="Q2619" s="62" t="str">
        <f>IFERROR(IF(OR($B2619="",$B2619="(blank)"),"",VLOOKUP($B2619,'Email Marketing Raw Data'!$C:$O,9,0)),"")</f>
        <v/>
      </c>
    </row>
    <row r="2620" spans="4:17" ht="12.75" customHeight="1" x14ac:dyDescent="0.2">
      <c r="D2620" s="58" t="str">
        <f>IFERROR(IF(F2620&lt;&gt;"pending","",IF(OR($B2620="",$B2620="(blank)"),"",VLOOKUP($B2620,'Email Marketing Raw Data'!$C:$O,10,0))),"")</f>
        <v/>
      </c>
      <c r="E2620" s="59" t="str">
        <f>IFERROR(IF(F2620&lt;&gt;"pending","",IF(OR($B2620="",$B2620="(blank)"),"",VLOOKUP($B2620,'Email Marketing Raw Data'!$C:$O,11,0))),"")</f>
        <v/>
      </c>
      <c r="F2620" s="54" t="str">
        <f>IFERROR(IF(OR($B2620="",$B2620="(blank)"),"",VLOOKUP($B2620,'Email Marketing Raw Data'!$C:$O,13,0)),"")</f>
        <v/>
      </c>
      <c r="G2620" s="55" t="str">
        <f>IFERROR(IF(OR($B2620="",$B2620="(blank)"),"",VLOOKUP($B2620,'Email Marketing Raw Data'!$C:$O,4,0)),"")</f>
        <v/>
      </c>
      <c r="H2620" s="55" t="str">
        <f>IFERROR(IF(OR($B2620="",$B2620="(blank)"),"",VLOOKUP($B2620,'Email Marketing Raw Data'!$C:$O,5,0)),"")</f>
        <v/>
      </c>
      <c r="I2620" s="55" t="str">
        <f>IFERROR(IF($G2620="","",VLOOKUP('Dashboard And Emails Automate'!$G2620,Database!$H:$N,3,0)),"")</f>
        <v/>
      </c>
      <c r="J2620" s="55" t="str">
        <f>IFERROR(IF($G2620="","",VLOOKUP('Dashboard And Emails Automate'!$G2620,Database!$H:$N,4,0)),"")</f>
        <v/>
      </c>
      <c r="K2620" s="55" t="str">
        <f>IFERROR(IF($G2620="","",VLOOKUP('Dashboard And Emails Automate'!$G2620,Database!$H:$N,5,0)),"")</f>
        <v/>
      </c>
      <c r="L2620" s="55" t="str">
        <f>IFERROR(IF($G2620="","",VLOOKUP('Dashboard And Emails Automate'!$G2620,Database!$H:$N,6,0)),"")</f>
        <v/>
      </c>
      <c r="M2620" s="55" t="str">
        <f>IFERROR(IF($G2620="","",VLOOKUP('Dashboard And Emails Automate'!$G2620,Database!$H:$N,7,0)),"")</f>
        <v/>
      </c>
      <c r="N2620" s="55" t="str">
        <f>IFERROR(IF(OR($B2620="",$B2620="(blank)"),"",VLOOKUP($B2620,'Email Marketing Raw Data'!$C:$O,6,0)),"")</f>
        <v/>
      </c>
      <c r="O2620" s="55" t="str">
        <f>IFERROR(IF(OR($B2620="",$B2620="(blank)"),"",VLOOKUP($B2620,'Email Marketing Raw Data'!$C:$O,7,0)),"")</f>
        <v/>
      </c>
      <c r="P2620" s="55" t="str">
        <f>IFERROR(IF(OR($B2620="",$B2620="(blank)"),"",VLOOKUP($B2620,'Email Marketing Raw Data'!$C:$O,8,0)),"")</f>
        <v/>
      </c>
      <c r="Q2620" s="62" t="str">
        <f>IFERROR(IF(OR($B2620="",$B2620="(blank)"),"",VLOOKUP($B2620,'Email Marketing Raw Data'!$C:$O,9,0)),"")</f>
        <v/>
      </c>
    </row>
    <row r="2621" spans="4:17" ht="12.75" customHeight="1" x14ac:dyDescent="0.2">
      <c r="D2621" s="58" t="str">
        <f>IFERROR(IF(F2621&lt;&gt;"pending","",IF(OR($B2621="",$B2621="(blank)"),"",VLOOKUP($B2621,'Email Marketing Raw Data'!$C:$O,10,0))),"")</f>
        <v/>
      </c>
      <c r="E2621" s="59" t="str">
        <f>IFERROR(IF(F2621&lt;&gt;"pending","",IF(OR($B2621="",$B2621="(blank)"),"",VLOOKUP($B2621,'Email Marketing Raw Data'!$C:$O,11,0))),"")</f>
        <v/>
      </c>
      <c r="F2621" s="54" t="str">
        <f>IFERROR(IF(OR($B2621="",$B2621="(blank)"),"",VLOOKUP($B2621,'Email Marketing Raw Data'!$C:$O,13,0)),"")</f>
        <v/>
      </c>
      <c r="G2621" s="55" t="str">
        <f>IFERROR(IF(OR($B2621="",$B2621="(blank)"),"",VLOOKUP($B2621,'Email Marketing Raw Data'!$C:$O,4,0)),"")</f>
        <v/>
      </c>
      <c r="H2621" s="55" t="str">
        <f>IFERROR(IF(OR($B2621="",$B2621="(blank)"),"",VLOOKUP($B2621,'Email Marketing Raw Data'!$C:$O,5,0)),"")</f>
        <v/>
      </c>
      <c r="I2621" s="55" t="str">
        <f>IFERROR(IF($G2621="","",VLOOKUP('Dashboard And Emails Automate'!$G2621,Database!$H:$N,3,0)),"")</f>
        <v/>
      </c>
      <c r="J2621" s="55" t="str">
        <f>IFERROR(IF($G2621="","",VLOOKUP('Dashboard And Emails Automate'!$G2621,Database!$H:$N,4,0)),"")</f>
        <v/>
      </c>
      <c r="K2621" s="55" t="str">
        <f>IFERROR(IF($G2621="","",VLOOKUP('Dashboard And Emails Automate'!$G2621,Database!$H:$N,5,0)),"")</f>
        <v/>
      </c>
      <c r="L2621" s="55" t="str">
        <f>IFERROR(IF($G2621="","",VLOOKUP('Dashboard And Emails Automate'!$G2621,Database!$H:$N,6,0)),"")</f>
        <v/>
      </c>
      <c r="M2621" s="55" t="str">
        <f>IFERROR(IF($G2621="","",VLOOKUP('Dashboard And Emails Automate'!$G2621,Database!$H:$N,7,0)),"")</f>
        <v/>
      </c>
      <c r="N2621" s="55" t="str">
        <f>IFERROR(IF(OR($B2621="",$B2621="(blank)"),"",VLOOKUP($B2621,'Email Marketing Raw Data'!$C:$O,6,0)),"")</f>
        <v/>
      </c>
      <c r="O2621" s="55" t="str">
        <f>IFERROR(IF(OR($B2621="",$B2621="(blank)"),"",VLOOKUP($B2621,'Email Marketing Raw Data'!$C:$O,7,0)),"")</f>
        <v/>
      </c>
      <c r="P2621" s="55" t="str">
        <f>IFERROR(IF(OR($B2621="",$B2621="(blank)"),"",VLOOKUP($B2621,'Email Marketing Raw Data'!$C:$O,8,0)),"")</f>
        <v/>
      </c>
      <c r="Q2621" s="62" t="str">
        <f>IFERROR(IF(OR($B2621="",$B2621="(blank)"),"",VLOOKUP($B2621,'Email Marketing Raw Data'!$C:$O,9,0)),"")</f>
        <v/>
      </c>
    </row>
    <row r="2622" spans="4:17" ht="12.75" customHeight="1" x14ac:dyDescent="0.2">
      <c r="D2622" s="58" t="str">
        <f>IFERROR(IF(F2622&lt;&gt;"pending","",IF(OR($B2622="",$B2622="(blank)"),"",VLOOKUP($B2622,'Email Marketing Raw Data'!$C:$O,10,0))),"")</f>
        <v/>
      </c>
      <c r="E2622" s="59" t="str">
        <f>IFERROR(IF(F2622&lt;&gt;"pending","",IF(OR($B2622="",$B2622="(blank)"),"",VLOOKUP($B2622,'Email Marketing Raw Data'!$C:$O,11,0))),"")</f>
        <v/>
      </c>
      <c r="F2622" s="54" t="str">
        <f>IFERROR(IF(OR($B2622="",$B2622="(blank)"),"",VLOOKUP($B2622,'Email Marketing Raw Data'!$C:$O,13,0)),"")</f>
        <v/>
      </c>
      <c r="G2622" s="55" t="str">
        <f>IFERROR(IF(OR($B2622="",$B2622="(blank)"),"",VLOOKUP($B2622,'Email Marketing Raw Data'!$C:$O,4,0)),"")</f>
        <v/>
      </c>
      <c r="H2622" s="55" t="str">
        <f>IFERROR(IF(OR($B2622="",$B2622="(blank)"),"",VLOOKUP($B2622,'Email Marketing Raw Data'!$C:$O,5,0)),"")</f>
        <v/>
      </c>
      <c r="I2622" s="55" t="str">
        <f>IFERROR(IF($G2622="","",VLOOKUP('Dashboard And Emails Automate'!$G2622,Database!$H:$N,3,0)),"")</f>
        <v/>
      </c>
      <c r="J2622" s="55" t="str">
        <f>IFERROR(IF($G2622="","",VLOOKUP('Dashboard And Emails Automate'!$G2622,Database!$H:$N,4,0)),"")</f>
        <v/>
      </c>
      <c r="K2622" s="55" t="str">
        <f>IFERROR(IF($G2622="","",VLOOKUP('Dashboard And Emails Automate'!$G2622,Database!$H:$N,5,0)),"")</f>
        <v/>
      </c>
      <c r="L2622" s="55" t="str">
        <f>IFERROR(IF($G2622="","",VLOOKUP('Dashboard And Emails Automate'!$G2622,Database!$H:$N,6,0)),"")</f>
        <v/>
      </c>
      <c r="M2622" s="55" t="str">
        <f>IFERROR(IF($G2622="","",VLOOKUP('Dashboard And Emails Automate'!$G2622,Database!$H:$N,7,0)),"")</f>
        <v/>
      </c>
      <c r="N2622" s="55" t="str">
        <f>IFERROR(IF(OR($B2622="",$B2622="(blank)"),"",VLOOKUP($B2622,'Email Marketing Raw Data'!$C:$O,6,0)),"")</f>
        <v/>
      </c>
      <c r="O2622" s="55" t="str">
        <f>IFERROR(IF(OR($B2622="",$B2622="(blank)"),"",VLOOKUP($B2622,'Email Marketing Raw Data'!$C:$O,7,0)),"")</f>
        <v/>
      </c>
      <c r="P2622" s="55" t="str">
        <f>IFERROR(IF(OR($B2622="",$B2622="(blank)"),"",VLOOKUP($B2622,'Email Marketing Raw Data'!$C:$O,8,0)),"")</f>
        <v/>
      </c>
      <c r="Q2622" s="62" t="str">
        <f>IFERROR(IF(OR($B2622="",$B2622="(blank)"),"",VLOOKUP($B2622,'Email Marketing Raw Data'!$C:$O,9,0)),"")</f>
        <v/>
      </c>
    </row>
    <row r="2623" spans="4:17" ht="12.75" customHeight="1" x14ac:dyDescent="0.2">
      <c r="D2623" s="58" t="str">
        <f>IFERROR(IF(F2623&lt;&gt;"pending","",IF(OR($B2623="",$B2623="(blank)"),"",VLOOKUP($B2623,'Email Marketing Raw Data'!$C:$O,10,0))),"")</f>
        <v/>
      </c>
      <c r="E2623" s="59" t="str">
        <f>IFERROR(IF(F2623&lt;&gt;"pending","",IF(OR($B2623="",$B2623="(blank)"),"",VLOOKUP($B2623,'Email Marketing Raw Data'!$C:$O,11,0))),"")</f>
        <v/>
      </c>
      <c r="F2623" s="54" t="str">
        <f>IFERROR(IF(OR($B2623="",$B2623="(blank)"),"",VLOOKUP($B2623,'Email Marketing Raw Data'!$C:$O,13,0)),"")</f>
        <v/>
      </c>
      <c r="G2623" s="55" t="str">
        <f>IFERROR(IF(OR($B2623="",$B2623="(blank)"),"",VLOOKUP($B2623,'Email Marketing Raw Data'!$C:$O,4,0)),"")</f>
        <v/>
      </c>
      <c r="H2623" s="55" t="str">
        <f>IFERROR(IF(OR($B2623="",$B2623="(blank)"),"",VLOOKUP($B2623,'Email Marketing Raw Data'!$C:$O,5,0)),"")</f>
        <v/>
      </c>
      <c r="I2623" s="55" t="str">
        <f>IFERROR(IF($G2623="","",VLOOKUP('Dashboard And Emails Automate'!$G2623,Database!$H:$N,3,0)),"")</f>
        <v/>
      </c>
      <c r="J2623" s="55" t="str">
        <f>IFERROR(IF($G2623="","",VLOOKUP('Dashboard And Emails Automate'!$G2623,Database!$H:$N,4,0)),"")</f>
        <v/>
      </c>
      <c r="K2623" s="55" t="str">
        <f>IFERROR(IF($G2623="","",VLOOKUP('Dashboard And Emails Automate'!$G2623,Database!$H:$N,5,0)),"")</f>
        <v/>
      </c>
      <c r="L2623" s="55" t="str">
        <f>IFERROR(IF($G2623="","",VLOOKUP('Dashboard And Emails Automate'!$G2623,Database!$H:$N,6,0)),"")</f>
        <v/>
      </c>
      <c r="M2623" s="55" t="str">
        <f>IFERROR(IF($G2623="","",VLOOKUP('Dashboard And Emails Automate'!$G2623,Database!$H:$N,7,0)),"")</f>
        <v/>
      </c>
      <c r="N2623" s="55" t="str">
        <f>IFERROR(IF(OR($B2623="",$B2623="(blank)"),"",VLOOKUP($B2623,'Email Marketing Raw Data'!$C:$O,6,0)),"")</f>
        <v/>
      </c>
      <c r="O2623" s="55" t="str">
        <f>IFERROR(IF(OR($B2623="",$B2623="(blank)"),"",VLOOKUP($B2623,'Email Marketing Raw Data'!$C:$O,7,0)),"")</f>
        <v/>
      </c>
      <c r="P2623" s="55" t="str">
        <f>IFERROR(IF(OR($B2623="",$B2623="(blank)"),"",VLOOKUP($B2623,'Email Marketing Raw Data'!$C:$O,8,0)),"")</f>
        <v/>
      </c>
      <c r="Q2623" s="62" t="str">
        <f>IFERROR(IF(OR($B2623="",$B2623="(blank)"),"",VLOOKUP($B2623,'Email Marketing Raw Data'!$C:$O,9,0)),"")</f>
        <v/>
      </c>
    </row>
    <row r="2624" spans="4:17" ht="12.75" customHeight="1" x14ac:dyDescent="0.2">
      <c r="D2624" s="58" t="str">
        <f>IFERROR(IF(F2624&lt;&gt;"pending","",IF(OR($B2624="",$B2624="(blank)"),"",VLOOKUP($B2624,'Email Marketing Raw Data'!$C:$O,10,0))),"")</f>
        <v/>
      </c>
      <c r="E2624" s="59" t="str">
        <f>IFERROR(IF(F2624&lt;&gt;"pending","",IF(OR($B2624="",$B2624="(blank)"),"",VLOOKUP($B2624,'Email Marketing Raw Data'!$C:$O,11,0))),"")</f>
        <v/>
      </c>
      <c r="F2624" s="54" t="str">
        <f>IFERROR(IF(OR($B2624="",$B2624="(blank)"),"",VLOOKUP($B2624,'Email Marketing Raw Data'!$C:$O,13,0)),"")</f>
        <v/>
      </c>
      <c r="G2624" s="55" t="str">
        <f>IFERROR(IF(OR($B2624="",$B2624="(blank)"),"",VLOOKUP($B2624,'Email Marketing Raw Data'!$C:$O,4,0)),"")</f>
        <v/>
      </c>
      <c r="H2624" s="55" t="str">
        <f>IFERROR(IF(OR($B2624="",$B2624="(blank)"),"",VLOOKUP($B2624,'Email Marketing Raw Data'!$C:$O,5,0)),"")</f>
        <v/>
      </c>
      <c r="I2624" s="55" t="str">
        <f>IFERROR(IF($G2624="","",VLOOKUP('Dashboard And Emails Automate'!$G2624,Database!$H:$N,3,0)),"")</f>
        <v/>
      </c>
      <c r="J2624" s="55" t="str">
        <f>IFERROR(IF($G2624="","",VLOOKUP('Dashboard And Emails Automate'!$G2624,Database!$H:$N,4,0)),"")</f>
        <v/>
      </c>
      <c r="K2624" s="55" t="str">
        <f>IFERROR(IF($G2624="","",VLOOKUP('Dashboard And Emails Automate'!$G2624,Database!$H:$N,5,0)),"")</f>
        <v/>
      </c>
      <c r="L2624" s="55" t="str">
        <f>IFERROR(IF($G2624="","",VLOOKUP('Dashboard And Emails Automate'!$G2624,Database!$H:$N,6,0)),"")</f>
        <v/>
      </c>
      <c r="M2624" s="55" t="str">
        <f>IFERROR(IF($G2624="","",VLOOKUP('Dashboard And Emails Automate'!$G2624,Database!$H:$N,7,0)),"")</f>
        <v/>
      </c>
      <c r="N2624" s="55" t="str">
        <f>IFERROR(IF(OR($B2624="",$B2624="(blank)"),"",VLOOKUP($B2624,'Email Marketing Raw Data'!$C:$O,6,0)),"")</f>
        <v/>
      </c>
      <c r="O2624" s="55" t="str">
        <f>IFERROR(IF(OR($B2624="",$B2624="(blank)"),"",VLOOKUP($B2624,'Email Marketing Raw Data'!$C:$O,7,0)),"")</f>
        <v/>
      </c>
      <c r="P2624" s="55" t="str">
        <f>IFERROR(IF(OR($B2624="",$B2624="(blank)"),"",VLOOKUP($B2624,'Email Marketing Raw Data'!$C:$O,8,0)),"")</f>
        <v/>
      </c>
      <c r="Q2624" s="62" t="str">
        <f>IFERROR(IF(OR($B2624="",$B2624="(blank)"),"",VLOOKUP($B2624,'Email Marketing Raw Data'!$C:$O,9,0)),"")</f>
        <v/>
      </c>
    </row>
    <row r="2625" spans="4:17" ht="12.75" customHeight="1" x14ac:dyDescent="0.2">
      <c r="D2625" s="58" t="str">
        <f>IFERROR(IF(F2625&lt;&gt;"pending","",IF(OR($B2625="",$B2625="(blank)"),"",VLOOKUP($B2625,'Email Marketing Raw Data'!$C:$O,10,0))),"")</f>
        <v/>
      </c>
      <c r="E2625" s="59" t="str">
        <f>IFERROR(IF(F2625&lt;&gt;"pending","",IF(OR($B2625="",$B2625="(blank)"),"",VLOOKUP($B2625,'Email Marketing Raw Data'!$C:$O,11,0))),"")</f>
        <v/>
      </c>
      <c r="F2625" s="54" t="str">
        <f>IFERROR(IF(OR($B2625="",$B2625="(blank)"),"",VLOOKUP($B2625,'Email Marketing Raw Data'!$C:$O,13,0)),"")</f>
        <v/>
      </c>
      <c r="G2625" s="55" t="str">
        <f>IFERROR(IF(OR($B2625="",$B2625="(blank)"),"",VLOOKUP($B2625,'Email Marketing Raw Data'!$C:$O,4,0)),"")</f>
        <v/>
      </c>
      <c r="H2625" s="55" t="str">
        <f>IFERROR(IF(OR($B2625="",$B2625="(blank)"),"",VLOOKUP($B2625,'Email Marketing Raw Data'!$C:$O,5,0)),"")</f>
        <v/>
      </c>
      <c r="I2625" s="55" t="str">
        <f>IFERROR(IF($G2625="","",VLOOKUP('Dashboard And Emails Automate'!$G2625,Database!$H:$N,3,0)),"")</f>
        <v/>
      </c>
      <c r="J2625" s="55" t="str">
        <f>IFERROR(IF($G2625="","",VLOOKUP('Dashboard And Emails Automate'!$G2625,Database!$H:$N,4,0)),"")</f>
        <v/>
      </c>
      <c r="K2625" s="55" t="str">
        <f>IFERROR(IF($G2625="","",VLOOKUP('Dashboard And Emails Automate'!$G2625,Database!$H:$N,5,0)),"")</f>
        <v/>
      </c>
      <c r="L2625" s="55" t="str">
        <f>IFERROR(IF($G2625="","",VLOOKUP('Dashboard And Emails Automate'!$G2625,Database!$H:$N,6,0)),"")</f>
        <v/>
      </c>
      <c r="M2625" s="55" t="str">
        <f>IFERROR(IF($G2625="","",VLOOKUP('Dashboard And Emails Automate'!$G2625,Database!$H:$N,7,0)),"")</f>
        <v/>
      </c>
      <c r="N2625" s="55" t="str">
        <f>IFERROR(IF(OR($B2625="",$B2625="(blank)"),"",VLOOKUP($B2625,'Email Marketing Raw Data'!$C:$O,6,0)),"")</f>
        <v/>
      </c>
      <c r="O2625" s="55" t="str">
        <f>IFERROR(IF(OR($B2625="",$B2625="(blank)"),"",VLOOKUP($B2625,'Email Marketing Raw Data'!$C:$O,7,0)),"")</f>
        <v/>
      </c>
      <c r="P2625" s="55" t="str">
        <f>IFERROR(IF(OR($B2625="",$B2625="(blank)"),"",VLOOKUP($B2625,'Email Marketing Raw Data'!$C:$O,8,0)),"")</f>
        <v/>
      </c>
      <c r="Q2625" s="62" t="str">
        <f>IFERROR(IF(OR($B2625="",$B2625="(blank)"),"",VLOOKUP($B2625,'Email Marketing Raw Data'!$C:$O,9,0)),"")</f>
        <v/>
      </c>
    </row>
    <row r="2626" spans="4:17" ht="12.75" customHeight="1" x14ac:dyDescent="0.2">
      <c r="D2626" s="58" t="str">
        <f>IFERROR(IF(F2626&lt;&gt;"pending","",IF(OR($B2626="",$B2626="(blank)"),"",VLOOKUP($B2626,'Email Marketing Raw Data'!$C:$O,10,0))),"")</f>
        <v/>
      </c>
      <c r="E2626" s="59" t="str">
        <f>IFERROR(IF(F2626&lt;&gt;"pending","",IF(OR($B2626="",$B2626="(blank)"),"",VLOOKUP($B2626,'Email Marketing Raw Data'!$C:$O,11,0))),"")</f>
        <v/>
      </c>
      <c r="F2626" s="54" t="str">
        <f>IFERROR(IF(OR($B2626="",$B2626="(blank)"),"",VLOOKUP($B2626,'Email Marketing Raw Data'!$C:$O,13,0)),"")</f>
        <v/>
      </c>
      <c r="G2626" s="55" t="str">
        <f>IFERROR(IF(OR($B2626="",$B2626="(blank)"),"",VLOOKUP($B2626,'Email Marketing Raw Data'!$C:$O,4,0)),"")</f>
        <v/>
      </c>
      <c r="H2626" s="55" t="str">
        <f>IFERROR(IF(OR($B2626="",$B2626="(blank)"),"",VLOOKUP($B2626,'Email Marketing Raw Data'!$C:$O,5,0)),"")</f>
        <v/>
      </c>
      <c r="I2626" s="55" t="str">
        <f>IFERROR(IF($G2626="","",VLOOKUP('Dashboard And Emails Automate'!$G2626,Database!$H:$N,3,0)),"")</f>
        <v/>
      </c>
      <c r="J2626" s="55" t="str">
        <f>IFERROR(IF($G2626="","",VLOOKUP('Dashboard And Emails Automate'!$G2626,Database!$H:$N,4,0)),"")</f>
        <v/>
      </c>
      <c r="K2626" s="55" t="str">
        <f>IFERROR(IF($G2626="","",VLOOKUP('Dashboard And Emails Automate'!$G2626,Database!$H:$N,5,0)),"")</f>
        <v/>
      </c>
      <c r="L2626" s="55" t="str">
        <f>IFERROR(IF($G2626="","",VLOOKUP('Dashboard And Emails Automate'!$G2626,Database!$H:$N,6,0)),"")</f>
        <v/>
      </c>
      <c r="M2626" s="55" t="str">
        <f>IFERROR(IF($G2626="","",VLOOKUP('Dashboard And Emails Automate'!$G2626,Database!$H:$N,7,0)),"")</f>
        <v/>
      </c>
      <c r="N2626" s="55" t="str">
        <f>IFERROR(IF(OR($B2626="",$B2626="(blank)"),"",VLOOKUP($B2626,'Email Marketing Raw Data'!$C:$O,6,0)),"")</f>
        <v/>
      </c>
      <c r="O2626" s="55" t="str">
        <f>IFERROR(IF(OR($B2626="",$B2626="(blank)"),"",VLOOKUP($B2626,'Email Marketing Raw Data'!$C:$O,7,0)),"")</f>
        <v/>
      </c>
      <c r="P2626" s="55" t="str">
        <f>IFERROR(IF(OR($B2626="",$B2626="(blank)"),"",VLOOKUP($B2626,'Email Marketing Raw Data'!$C:$O,8,0)),"")</f>
        <v/>
      </c>
      <c r="Q2626" s="62" t="str">
        <f>IFERROR(IF(OR($B2626="",$B2626="(blank)"),"",VLOOKUP($B2626,'Email Marketing Raw Data'!$C:$O,9,0)),"")</f>
        <v/>
      </c>
    </row>
    <row r="2627" spans="4:17" ht="12.75" customHeight="1" x14ac:dyDescent="0.2">
      <c r="D2627" s="58" t="str">
        <f>IFERROR(IF(F2627&lt;&gt;"pending","",IF(OR($B2627="",$B2627="(blank)"),"",VLOOKUP($B2627,'Email Marketing Raw Data'!$C:$O,10,0))),"")</f>
        <v/>
      </c>
      <c r="E2627" s="59" t="str">
        <f>IFERROR(IF(F2627&lt;&gt;"pending","",IF(OR($B2627="",$B2627="(blank)"),"",VLOOKUP($B2627,'Email Marketing Raw Data'!$C:$O,11,0))),"")</f>
        <v/>
      </c>
      <c r="F2627" s="54" t="str">
        <f>IFERROR(IF(OR($B2627="",$B2627="(blank)"),"",VLOOKUP($B2627,'Email Marketing Raw Data'!$C:$O,13,0)),"")</f>
        <v/>
      </c>
      <c r="G2627" s="55" t="str">
        <f>IFERROR(IF(OR($B2627="",$B2627="(blank)"),"",VLOOKUP($B2627,'Email Marketing Raw Data'!$C:$O,4,0)),"")</f>
        <v/>
      </c>
      <c r="H2627" s="55" t="str">
        <f>IFERROR(IF(OR($B2627="",$B2627="(blank)"),"",VLOOKUP($B2627,'Email Marketing Raw Data'!$C:$O,5,0)),"")</f>
        <v/>
      </c>
      <c r="I2627" s="55" t="str">
        <f>IFERROR(IF($G2627="","",VLOOKUP('Dashboard And Emails Automate'!$G2627,Database!$H:$N,3,0)),"")</f>
        <v/>
      </c>
      <c r="J2627" s="55" t="str">
        <f>IFERROR(IF($G2627="","",VLOOKUP('Dashboard And Emails Automate'!$G2627,Database!$H:$N,4,0)),"")</f>
        <v/>
      </c>
      <c r="K2627" s="55" t="str">
        <f>IFERROR(IF($G2627="","",VLOOKUP('Dashboard And Emails Automate'!$G2627,Database!$H:$N,5,0)),"")</f>
        <v/>
      </c>
      <c r="L2627" s="55" t="str">
        <f>IFERROR(IF($G2627="","",VLOOKUP('Dashboard And Emails Automate'!$G2627,Database!$H:$N,6,0)),"")</f>
        <v/>
      </c>
      <c r="M2627" s="55" t="str">
        <f>IFERROR(IF($G2627="","",VLOOKUP('Dashboard And Emails Automate'!$G2627,Database!$H:$N,7,0)),"")</f>
        <v/>
      </c>
      <c r="N2627" s="55" t="str">
        <f>IFERROR(IF(OR($B2627="",$B2627="(blank)"),"",VLOOKUP($B2627,'Email Marketing Raw Data'!$C:$O,6,0)),"")</f>
        <v/>
      </c>
      <c r="O2627" s="55" t="str">
        <f>IFERROR(IF(OR($B2627="",$B2627="(blank)"),"",VLOOKUP($B2627,'Email Marketing Raw Data'!$C:$O,7,0)),"")</f>
        <v/>
      </c>
      <c r="P2627" s="55" t="str">
        <f>IFERROR(IF(OR($B2627="",$B2627="(blank)"),"",VLOOKUP($B2627,'Email Marketing Raw Data'!$C:$O,8,0)),"")</f>
        <v/>
      </c>
      <c r="Q2627" s="62" t="str">
        <f>IFERROR(IF(OR($B2627="",$B2627="(blank)"),"",VLOOKUP($B2627,'Email Marketing Raw Data'!$C:$O,9,0)),"")</f>
        <v/>
      </c>
    </row>
    <row r="2628" spans="4:17" ht="12.75" customHeight="1" x14ac:dyDescent="0.2">
      <c r="D2628" s="58" t="str">
        <f>IFERROR(IF(F2628&lt;&gt;"pending","",IF(OR($B2628="",$B2628="(blank)"),"",VLOOKUP($B2628,'Email Marketing Raw Data'!$C:$O,10,0))),"")</f>
        <v/>
      </c>
      <c r="E2628" s="59" t="str">
        <f>IFERROR(IF(F2628&lt;&gt;"pending","",IF(OR($B2628="",$B2628="(blank)"),"",VLOOKUP($B2628,'Email Marketing Raw Data'!$C:$O,11,0))),"")</f>
        <v/>
      </c>
      <c r="F2628" s="54" t="str">
        <f>IFERROR(IF(OR($B2628="",$B2628="(blank)"),"",VLOOKUP($B2628,'Email Marketing Raw Data'!$C:$O,13,0)),"")</f>
        <v/>
      </c>
      <c r="G2628" s="55" t="str">
        <f>IFERROR(IF(OR($B2628="",$B2628="(blank)"),"",VLOOKUP($B2628,'Email Marketing Raw Data'!$C:$O,4,0)),"")</f>
        <v/>
      </c>
      <c r="H2628" s="55" t="str">
        <f>IFERROR(IF(OR($B2628="",$B2628="(blank)"),"",VLOOKUP($B2628,'Email Marketing Raw Data'!$C:$O,5,0)),"")</f>
        <v/>
      </c>
      <c r="I2628" s="55" t="str">
        <f>IFERROR(IF($G2628="","",VLOOKUP('Dashboard And Emails Automate'!$G2628,Database!$H:$N,3,0)),"")</f>
        <v/>
      </c>
      <c r="J2628" s="55" t="str">
        <f>IFERROR(IF($G2628="","",VLOOKUP('Dashboard And Emails Automate'!$G2628,Database!$H:$N,4,0)),"")</f>
        <v/>
      </c>
      <c r="K2628" s="55" t="str">
        <f>IFERROR(IF($G2628="","",VLOOKUP('Dashboard And Emails Automate'!$G2628,Database!$H:$N,5,0)),"")</f>
        <v/>
      </c>
      <c r="L2628" s="55" t="str">
        <f>IFERROR(IF($G2628="","",VLOOKUP('Dashboard And Emails Automate'!$G2628,Database!$H:$N,6,0)),"")</f>
        <v/>
      </c>
      <c r="M2628" s="55" t="str">
        <f>IFERROR(IF($G2628="","",VLOOKUP('Dashboard And Emails Automate'!$G2628,Database!$H:$N,7,0)),"")</f>
        <v/>
      </c>
      <c r="N2628" s="55" t="str">
        <f>IFERROR(IF(OR($B2628="",$B2628="(blank)"),"",VLOOKUP($B2628,'Email Marketing Raw Data'!$C:$O,6,0)),"")</f>
        <v/>
      </c>
      <c r="O2628" s="55" t="str">
        <f>IFERROR(IF(OR($B2628="",$B2628="(blank)"),"",VLOOKUP($B2628,'Email Marketing Raw Data'!$C:$O,7,0)),"")</f>
        <v/>
      </c>
      <c r="P2628" s="55" t="str">
        <f>IFERROR(IF(OR($B2628="",$B2628="(blank)"),"",VLOOKUP($B2628,'Email Marketing Raw Data'!$C:$O,8,0)),"")</f>
        <v/>
      </c>
      <c r="Q2628" s="62" t="str">
        <f>IFERROR(IF(OR($B2628="",$B2628="(blank)"),"",VLOOKUP($B2628,'Email Marketing Raw Data'!$C:$O,9,0)),"")</f>
        <v/>
      </c>
    </row>
    <row r="2629" spans="4:17" ht="12.75" customHeight="1" x14ac:dyDescent="0.2">
      <c r="D2629" s="58" t="str">
        <f>IFERROR(IF(F2629&lt;&gt;"pending","",IF(OR($B2629="",$B2629="(blank)"),"",VLOOKUP($B2629,'Email Marketing Raw Data'!$C:$O,10,0))),"")</f>
        <v/>
      </c>
      <c r="E2629" s="59" t="str">
        <f>IFERROR(IF(F2629&lt;&gt;"pending","",IF(OR($B2629="",$B2629="(blank)"),"",VLOOKUP($B2629,'Email Marketing Raw Data'!$C:$O,11,0))),"")</f>
        <v/>
      </c>
      <c r="F2629" s="54" t="str">
        <f>IFERROR(IF(OR($B2629="",$B2629="(blank)"),"",VLOOKUP($B2629,'Email Marketing Raw Data'!$C:$O,13,0)),"")</f>
        <v/>
      </c>
      <c r="G2629" s="55" t="str">
        <f>IFERROR(IF(OR($B2629="",$B2629="(blank)"),"",VLOOKUP($B2629,'Email Marketing Raw Data'!$C:$O,4,0)),"")</f>
        <v/>
      </c>
      <c r="H2629" s="55" t="str">
        <f>IFERROR(IF(OR($B2629="",$B2629="(blank)"),"",VLOOKUP($B2629,'Email Marketing Raw Data'!$C:$O,5,0)),"")</f>
        <v/>
      </c>
      <c r="I2629" s="55" t="str">
        <f>IFERROR(IF($G2629="","",VLOOKUP('Dashboard And Emails Automate'!$G2629,Database!$H:$N,3,0)),"")</f>
        <v/>
      </c>
      <c r="J2629" s="55" t="str">
        <f>IFERROR(IF($G2629="","",VLOOKUP('Dashboard And Emails Automate'!$G2629,Database!$H:$N,4,0)),"")</f>
        <v/>
      </c>
      <c r="K2629" s="55" t="str">
        <f>IFERROR(IF($G2629="","",VLOOKUP('Dashboard And Emails Automate'!$G2629,Database!$H:$N,5,0)),"")</f>
        <v/>
      </c>
      <c r="L2629" s="55" t="str">
        <f>IFERROR(IF($G2629="","",VLOOKUP('Dashboard And Emails Automate'!$G2629,Database!$H:$N,6,0)),"")</f>
        <v/>
      </c>
      <c r="M2629" s="55" t="str">
        <f>IFERROR(IF($G2629="","",VLOOKUP('Dashboard And Emails Automate'!$G2629,Database!$H:$N,7,0)),"")</f>
        <v/>
      </c>
      <c r="N2629" s="55" t="str">
        <f>IFERROR(IF(OR($B2629="",$B2629="(blank)"),"",VLOOKUP($B2629,'Email Marketing Raw Data'!$C:$O,6,0)),"")</f>
        <v/>
      </c>
      <c r="O2629" s="55" t="str">
        <f>IFERROR(IF(OR($B2629="",$B2629="(blank)"),"",VLOOKUP($B2629,'Email Marketing Raw Data'!$C:$O,7,0)),"")</f>
        <v/>
      </c>
      <c r="P2629" s="55" t="str">
        <f>IFERROR(IF(OR($B2629="",$B2629="(blank)"),"",VLOOKUP($B2629,'Email Marketing Raw Data'!$C:$O,8,0)),"")</f>
        <v/>
      </c>
      <c r="Q2629" s="62" t="str">
        <f>IFERROR(IF(OR($B2629="",$B2629="(blank)"),"",VLOOKUP($B2629,'Email Marketing Raw Data'!$C:$O,9,0)),"")</f>
        <v/>
      </c>
    </row>
    <row r="2630" spans="4:17" ht="12.75" customHeight="1" x14ac:dyDescent="0.2">
      <c r="D2630" s="58" t="str">
        <f>IFERROR(IF(F2630&lt;&gt;"pending","",IF(OR($B2630="",$B2630="(blank)"),"",VLOOKUP($B2630,'Email Marketing Raw Data'!$C:$O,10,0))),"")</f>
        <v/>
      </c>
      <c r="E2630" s="59" t="str">
        <f>IFERROR(IF(F2630&lt;&gt;"pending","",IF(OR($B2630="",$B2630="(blank)"),"",VLOOKUP($B2630,'Email Marketing Raw Data'!$C:$O,11,0))),"")</f>
        <v/>
      </c>
      <c r="F2630" s="54" t="str">
        <f>IFERROR(IF(OR($B2630="",$B2630="(blank)"),"",VLOOKUP($B2630,'Email Marketing Raw Data'!$C:$O,13,0)),"")</f>
        <v/>
      </c>
      <c r="G2630" s="55" t="str">
        <f>IFERROR(IF(OR($B2630="",$B2630="(blank)"),"",VLOOKUP($B2630,'Email Marketing Raw Data'!$C:$O,4,0)),"")</f>
        <v/>
      </c>
      <c r="H2630" s="55" t="str">
        <f>IFERROR(IF(OR($B2630="",$B2630="(blank)"),"",VLOOKUP($B2630,'Email Marketing Raw Data'!$C:$O,5,0)),"")</f>
        <v/>
      </c>
      <c r="I2630" s="55" t="str">
        <f>IFERROR(IF($G2630="","",VLOOKUP('Dashboard And Emails Automate'!$G2630,Database!$H:$N,3,0)),"")</f>
        <v/>
      </c>
      <c r="J2630" s="55" t="str">
        <f>IFERROR(IF($G2630="","",VLOOKUP('Dashboard And Emails Automate'!$G2630,Database!$H:$N,4,0)),"")</f>
        <v/>
      </c>
      <c r="K2630" s="55" t="str">
        <f>IFERROR(IF($G2630="","",VLOOKUP('Dashboard And Emails Automate'!$G2630,Database!$H:$N,5,0)),"")</f>
        <v/>
      </c>
      <c r="L2630" s="55" t="str">
        <f>IFERROR(IF($G2630="","",VLOOKUP('Dashboard And Emails Automate'!$G2630,Database!$H:$N,6,0)),"")</f>
        <v/>
      </c>
      <c r="M2630" s="55" t="str">
        <f>IFERROR(IF($G2630="","",VLOOKUP('Dashboard And Emails Automate'!$G2630,Database!$H:$N,7,0)),"")</f>
        <v/>
      </c>
      <c r="N2630" s="55" t="str">
        <f>IFERROR(IF(OR($B2630="",$B2630="(blank)"),"",VLOOKUP($B2630,'Email Marketing Raw Data'!$C:$O,6,0)),"")</f>
        <v/>
      </c>
      <c r="O2630" s="55" t="str">
        <f>IFERROR(IF(OR($B2630="",$B2630="(blank)"),"",VLOOKUP($B2630,'Email Marketing Raw Data'!$C:$O,7,0)),"")</f>
        <v/>
      </c>
      <c r="P2630" s="55" t="str">
        <f>IFERROR(IF(OR($B2630="",$B2630="(blank)"),"",VLOOKUP($B2630,'Email Marketing Raw Data'!$C:$O,8,0)),"")</f>
        <v/>
      </c>
      <c r="Q2630" s="62" t="str">
        <f>IFERROR(IF(OR($B2630="",$B2630="(blank)"),"",VLOOKUP($B2630,'Email Marketing Raw Data'!$C:$O,9,0)),"")</f>
        <v/>
      </c>
    </row>
    <row r="2631" spans="4:17" ht="12.75" customHeight="1" x14ac:dyDescent="0.2">
      <c r="D2631" s="58" t="str">
        <f>IFERROR(IF(F2631&lt;&gt;"pending","",IF(OR($B2631="",$B2631="(blank)"),"",VLOOKUP($B2631,'Email Marketing Raw Data'!$C:$O,10,0))),"")</f>
        <v/>
      </c>
      <c r="E2631" s="59" t="str">
        <f>IFERROR(IF(F2631&lt;&gt;"pending","",IF(OR($B2631="",$B2631="(blank)"),"",VLOOKUP($B2631,'Email Marketing Raw Data'!$C:$O,11,0))),"")</f>
        <v/>
      </c>
      <c r="F2631" s="54" t="str">
        <f>IFERROR(IF(OR($B2631="",$B2631="(blank)"),"",VLOOKUP($B2631,'Email Marketing Raw Data'!$C:$O,13,0)),"")</f>
        <v/>
      </c>
      <c r="G2631" s="55" t="str">
        <f>IFERROR(IF(OR($B2631="",$B2631="(blank)"),"",VLOOKUP($B2631,'Email Marketing Raw Data'!$C:$O,4,0)),"")</f>
        <v/>
      </c>
      <c r="H2631" s="55" t="str">
        <f>IFERROR(IF(OR($B2631="",$B2631="(blank)"),"",VLOOKUP($B2631,'Email Marketing Raw Data'!$C:$O,5,0)),"")</f>
        <v/>
      </c>
      <c r="I2631" s="55" t="str">
        <f>IFERROR(IF($G2631="","",VLOOKUP('Dashboard And Emails Automate'!$G2631,Database!$H:$N,3,0)),"")</f>
        <v/>
      </c>
      <c r="J2631" s="55" t="str">
        <f>IFERROR(IF($G2631="","",VLOOKUP('Dashboard And Emails Automate'!$G2631,Database!$H:$N,4,0)),"")</f>
        <v/>
      </c>
      <c r="K2631" s="55" t="str">
        <f>IFERROR(IF($G2631="","",VLOOKUP('Dashboard And Emails Automate'!$G2631,Database!$H:$N,5,0)),"")</f>
        <v/>
      </c>
      <c r="L2631" s="55" t="str">
        <f>IFERROR(IF($G2631="","",VLOOKUP('Dashboard And Emails Automate'!$G2631,Database!$H:$N,6,0)),"")</f>
        <v/>
      </c>
      <c r="M2631" s="55" t="str">
        <f>IFERROR(IF($G2631="","",VLOOKUP('Dashboard And Emails Automate'!$G2631,Database!$H:$N,7,0)),"")</f>
        <v/>
      </c>
      <c r="N2631" s="55" t="str">
        <f>IFERROR(IF(OR($B2631="",$B2631="(blank)"),"",VLOOKUP($B2631,'Email Marketing Raw Data'!$C:$O,6,0)),"")</f>
        <v/>
      </c>
      <c r="O2631" s="55" t="str">
        <f>IFERROR(IF(OR($B2631="",$B2631="(blank)"),"",VLOOKUP($B2631,'Email Marketing Raw Data'!$C:$O,7,0)),"")</f>
        <v/>
      </c>
      <c r="P2631" s="55" t="str">
        <f>IFERROR(IF(OR($B2631="",$B2631="(blank)"),"",VLOOKUP($B2631,'Email Marketing Raw Data'!$C:$O,8,0)),"")</f>
        <v/>
      </c>
      <c r="Q2631" s="62" t="str">
        <f>IFERROR(IF(OR($B2631="",$B2631="(blank)"),"",VLOOKUP($B2631,'Email Marketing Raw Data'!$C:$O,9,0)),"")</f>
        <v/>
      </c>
    </row>
    <row r="2632" spans="4:17" ht="12.75" customHeight="1" x14ac:dyDescent="0.2">
      <c r="D2632" s="58" t="str">
        <f>IFERROR(IF(F2632&lt;&gt;"pending","",IF(OR($B2632="",$B2632="(blank)"),"",VLOOKUP($B2632,'Email Marketing Raw Data'!$C:$O,10,0))),"")</f>
        <v/>
      </c>
      <c r="E2632" s="59" t="str">
        <f>IFERROR(IF(F2632&lt;&gt;"pending","",IF(OR($B2632="",$B2632="(blank)"),"",VLOOKUP($B2632,'Email Marketing Raw Data'!$C:$O,11,0))),"")</f>
        <v/>
      </c>
      <c r="F2632" s="54" t="str">
        <f>IFERROR(IF(OR($B2632="",$B2632="(blank)"),"",VLOOKUP($B2632,'Email Marketing Raw Data'!$C:$O,13,0)),"")</f>
        <v/>
      </c>
      <c r="G2632" s="55" t="str">
        <f>IFERROR(IF(OR($B2632="",$B2632="(blank)"),"",VLOOKUP($B2632,'Email Marketing Raw Data'!$C:$O,4,0)),"")</f>
        <v/>
      </c>
      <c r="H2632" s="55" t="str">
        <f>IFERROR(IF(OR($B2632="",$B2632="(blank)"),"",VLOOKUP($B2632,'Email Marketing Raw Data'!$C:$O,5,0)),"")</f>
        <v/>
      </c>
      <c r="I2632" s="55" t="str">
        <f>IFERROR(IF($G2632="","",VLOOKUP('Dashboard And Emails Automate'!$G2632,Database!$H:$N,3,0)),"")</f>
        <v/>
      </c>
      <c r="J2632" s="55" t="str">
        <f>IFERROR(IF($G2632="","",VLOOKUP('Dashboard And Emails Automate'!$G2632,Database!$H:$N,4,0)),"")</f>
        <v/>
      </c>
      <c r="K2632" s="55" t="str">
        <f>IFERROR(IF($G2632="","",VLOOKUP('Dashboard And Emails Automate'!$G2632,Database!$H:$N,5,0)),"")</f>
        <v/>
      </c>
      <c r="L2632" s="55" t="str">
        <f>IFERROR(IF($G2632="","",VLOOKUP('Dashboard And Emails Automate'!$G2632,Database!$H:$N,6,0)),"")</f>
        <v/>
      </c>
      <c r="M2632" s="55" t="str">
        <f>IFERROR(IF($G2632="","",VLOOKUP('Dashboard And Emails Automate'!$G2632,Database!$H:$N,7,0)),"")</f>
        <v/>
      </c>
      <c r="N2632" s="55" t="str">
        <f>IFERROR(IF(OR($B2632="",$B2632="(blank)"),"",VLOOKUP($B2632,'Email Marketing Raw Data'!$C:$O,6,0)),"")</f>
        <v/>
      </c>
      <c r="O2632" s="55" t="str">
        <f>IFERROR(IF(OR($B2632="",$B2632="(blank)"),"",VLOOKUP($B2632,'Email Marketing Raw Data'!$C:$O,7,0)),"")</f>
        <v/>
      </c>
      <c r="P2632" s="55" t="str">
        <f>IFERROR(IF(OR($B2632="",$B2632="(blank)"),"",VLOOKUP($B2632,'Email Marketing Raw Data'!$C:$O,8,0)),"")</f>
        <v/>
      </c>
      <c r="Q2632" s="62" t="str">
        <f>IFERROR(IF(OR($B2632="",$B2632="(blank)"),"",VLOOKUP($B2632,'Email Marketing Raw Data'!$C:$O,9,0)),"")</f>
        <v/>
      </c>
    </row>
    <row r="2633" spans="4:17" ht="12.75" customHeight="1" x14ac:dyDescent="0.2">
      <c r="D2633" s="58" t="str">
        <f>IFERROR(IF(F2633&lt;&gt;"pending","",IF(OR($B2633="",$B2633="(blank)"),"",VLOOKUP($B2633,'Email Marketing Raw Data'!$C:$O,10,0))),"")</f>
        <v/>
      </c>
      <c r="E2633" s="59" t="str">
        <f>IFERROR(IF(F2633&lt;&gt;"pending","",IF(OR($B2633="",$B2633="(blank)"),"",VLOOKUP($B2633,'Email Marketing Raw Data'!$C:$O,11,0))),"")</f>
        <v/>
      </c>
      <c r="F2633" s="54" t="str">
        <f>IFERROR(IF(OR($B2633="",$B2633="(blank)"),"",VLOOKUP($B2633,'Email Marketing Raw Data'!$C:$O,13,0)),"")</f>
        <v/>
      </c>
      <c r="G2633" s="55" t="str">
        <f>IFERROR(IF(OR($B2633="",$B2633="(blank)"),"",VLOOKUP($B2633,'Email Marketing Raw Data'!$C:$O,4,0)),"")</f>
        <v/>
      </c>
      <c r="H2633" s="55" t="str">
        <f>IFERROR(IF(OR($B2633="",$B2633="(blank)"),"",VLOOKUP($B2633,'Email Marketing Raw Data'!$C:$O,5,0)),"")</f>
        <v/>
      </c>
      <c r="I2633" s="55" t="str">
        <f>IFERROR(IF($G2633="","",VLOOKUP('Dashboard And Emails Automate'!$G2633,Database!$H:$N,3,0)),"")</f>
        <v/>
      </c>
      <c r="J2633" s="55" t="str">
        <f>IFERROR(IF($G2633="","",VLOOKUP('Dashboard And Emails Automate'!$G2633,Database!$H:$N,4,0)),"")</f>
        <v/>
      </c>
      <c r="K2633" s="55" t="str">
        <f>IFERROR(IF($G2633="","",VLOOKUP('Dashboard And Emails Automate'!$G2633,Database!$H:$N,5,0)),"")</f>
        <v/>
      </c>
      <c r="L2633" s="55" t="str">
        <f>IFERROR(IF($G2633="","",VLOOKUP('Dashboard And Emails Automate'!$G2633,Database!$H:$N,6,0)),"")</f>
        <v/>
      </c>
      <c r="M2633" s="55" t="str">
        <f>IFERROR(IF($G2633="","",VLOOKUP('Dashboard And Emails Automate'!$G2633,Database!$H:$N,7,0)),"")</f>
        <v/>
      </c>
      <c r="N2633" s="55" t="str">
        <f>IFERROR(IF(OR($B2633="",$B2633="(blank)"),"",VLOOKUP($B2633,'Email Marketing Raw Data'!$C:$O,6,0)),"")</f>
        <v/>
      </c>
      <c r="O2633" s="55" t="str">
        <f>IFERROR(IF(OR($B2633="",$B2633="(blank)"),"",VLOOKUP($B2633,'Email Marketing Raw Data'!$C:$O,7,0)),"")</f>
        <v/>
      </c>
      <c r="P2633" s="55" t="str">
        <f>IFERROR(IF(OR($B2633="",$B2633="(blank)"),"",VLOOKUP($B2633,'Email Marketing Raw Data'!$C:$O,8,0)),"")</f>
        <v/>
      </c>
      <c r="Q2633" s="62" t="str">
        <f>IFERROR(IF(OR($B2633="",$B2633="(blank)"),"",VLOOKUP($B2633,'Email Marketing Raw Data'!$C:$O,9,0)),"")</f>
        <v/>
      </c>
    </row>
    <row r="2634" spans="4:17" ht="12.75" customHeight="1" x14ac:dyDescent="0.2">
      <c r="D2634" s="58" t="str">
        <f>IFERROR(IF(F2634&lt;&gt;"pending","",IF(OR($B2634="",$B2634="(blank)"),"",VLOOKUP($B2634,'Email Marketing Raw Data'!$C:$O,10,0))),"")</f>
        <v/>
      </c>
      <c r="E2634" s="59" t="str">
        <f>IFERROR(IF(F2634&lt;&gt;"pending","",IF(OR($B2634="",$B2634="(blank)"),"",VLOOKUP($B2634,'Email Marketing Raw Data'!$C:$O,11,0))),"")</f>
        <v/>
      </c>
      <c r="F2634" s="54" t="str">
        <f>IFERROR(IF(OR($B2634="",$B2634="(blank)"),"",VLOOKUP($B2634,'Email Marketing Raw Data'!$C:$O,13,0)),"")</f>
        <v/>
      </c>
      <c r="G2634" s="55" t="str">
        <f>IFERROR(IF(OR($B2634="",$B2634="(blank)"),"",VLOOKUP($B2634,'Email Marketing Raw Data'!$C:$O,4,0)),"")</f>
        <v/>
      </c>
      <c r="H2634" s="55" t="str">
        <f>IFERROR(IF(OR($B2634="",$B2634="(blank)"),"",VLOOKUP($B2634,'Email Marketing Raw Data'!$C:$O,5,0)),"")</f>
        <v/>
      </c>
      <c r="I2634" s="55" t="str">
        <f>IFERROR(IF($G2634="","",VLOOKUP('Dashboard And Emails Automate'!$G2634,Database!$H:$N,3,0)),"")</f>
        <v/>
      </c>
      <c r="J2634" s="55" t="str">
        <f>IFERROR(IF($G2634="","",VLOOKUP('Dashboard And Emails Automate'!$G2634,Database!$H:$N,4,0)),"")</f>
        <v/>
      </c>
      <c r="K2634" s="55" t="str">
        <f>IFERROR(IF($G2634="","",VLOOKUP('Dashboard And Emails Automate'!$G2634,Database!$H:$N,5,0)),"")</f>
        <v/>
      </c>
      <c r="L2634" s="55" t="str">
        <f>IFERROR(IF($G2634="","",VLOOKUP('Dashboard And Emails Automate'!$G2634,Database!$H:$N,6,0)),"")</f>
        <v/>
      </c>
      <c r="M2634" s="55" t="str">
        <f>IFERROR(IF($G2634="","",VLOOKUP('Dashboard And Emails Automate'!$G2634,Database!$H:$N,7,0)),"")</f>
        <v/>
      </c>
      <c r="N2634" s="55" t="str">
        <f>IFERROR(IF(OR($B2634="",$B2634="(blank)"),"",VLOOKUP($B2634,'Email Marketing Raw Data'!$C:$O,6,0)),"")</f>
        <v/>
      </c>
      <c r="O2634" s="55" t="str">
        <f>IFERROR(IF(OR($B2634="",$B2634="(blank)"),"",VLOOKUP($B2634,'Email Marketing Raw Data'!$C:$O,7,0)),"")</f>
        <v/>
      </c>
      <c r="P2634" s="55" t="str">
        <f>IFERROR(IF(OR($B2634="",$B2634="(blank)"),"",VLOOKUP($B2634,'Email Marketing Raw Data'!$C:$O,8,0)),"")</f>
        <v/>
      </c>
      <c r="Q2634" s="62" t="str">
        <f>IFERROR(IF(OR($B2634="",$B2634="(blank)"),"",VLOOKUP($B2634,'Email Marketing Raw Data'!$C:$O,9,0)),"")</f>
        <v/>
      </c>
    </row>
    <row r="2635" spans="4:17" ht="12.75" customHeight="1" x14ac:dyDescent="0.2">
      <c r="D2635" s="58" t="str">
        <f>IFERROR(IF(F2635&lt;&gt;"pending","",IF(OR($B2635="",$B2635="(blank)"),"",VLOOKUP($B2635,'Email Marketing Raw Data'!$C:$O,10,0))),"")</f>
        <v/>
      </c>
      <c r="E2635" s="59" t="str">
        <f>IFERROR(IF(F2635&lt;&gt;"pending","",IF(OR($B2635="",$B2635="(blank)"),"",VLOOKUP($B2635,'Email Marketing Raw Data'!$C:$O,11,0))),"")</f>
        <v/>
      </c>
      <c r="F2635" s="54" t="str">
        <f>IFERROR(IF(OR($B2635="",$B2635="(blank)"),"",VLOOKUP($B2635,'Email Marketing Raw Data'!$C:$O,13,0)),"")</f>
        <v/>
      </c>
      <c r="G2635" s="55" t="str">
        <f>IFERROR(IF(OR($B2635="",$B2635="(blank)"),"",VLOOKUP($B2635,'Email Marketing Raw Data'!$C:$O,4,0)),"")</f>
        <v/>
      </c>
      <c r="H2635" s="55" t="str">
        <f>IFERROR(IF(OR($B2635="",$B2635="(blank)"),"",VLOOKUP($B2635,'Email Marketing Raw Data'!$C:$O,5,0)),"")</f>
        <v/>
      </c>
      <c r="I2635" s="55" t="str">
        <f>IFERROR(IF($G2635="","",VLOOKUP('Dashboard And Emails Automate'!$G2635,Database!$H:$N,3,0)),"")</f>
        <v/>
      </c>
      <c r="J2635" s="55" t="str">
        <f>IFERROR(IF($G2635="","",VLOOKUP('Dashboard And Emails Automate'!$G2635,Database!$H:$N,4,0)),"")</f>
        <v/>
      </c>
      <c r="K2635" s="55" t="str">
        <f>IFERROR(IF($G2635="","",VLOOKUP('Dashboard And Emails Automate'!$G2635,Database!$H:$N,5,0)),"")</f>
        <v/>
      </c>
      <c r="L2635" s="55" t="str">
        <f>IFERROR(IF($G2635="","",VLOOKUP('Dashboard And Emails Automate'!$G2635,Database!$H:$N,6,0)),"")</f>
        <v/>
      </c>
      <c r="M2635" s="55" t="str">
        <f>IFERROR(IF($G2635="","",VLOOKUP('Dashboard And Emails Automate'!$G2635,Database!$H:$N,7,0)),"")</f>
        <v/>
      </c>
      <c r="N2635" s="55" t="str">
        <f>IFERROR(IF(OR($B2635="",$B2635="(blank)"),"",VLOOKUP($B2635,'Email Marketing Raw Data'!$C:$O,6,0)),"")</f>
        <v/>
      </c>
      <c r="O2635" s="55" t="str">
        <f>IFERROR(IF(OR($B2635="",$B2635="(blank)"),"",VLOOKUP($B2635,'Email Marketing Raw Data'!$C:$O,7,0)),"")</f>
        <v/>
      </c>
      <c r="P2635" s="55" t="str">
        <f>IFERROR(IF(OR($B2635="",$B2635="(blank)"),"",VLOOKUP($B2635,'Email Marketing Raw Data'!$C:$O,8,0)),"")</f>
        <v/>
      </c>
      <c r="Q2635" s="62" t="str">
        <f>IFERROR(IF(OR($B2635="",$B2635="(blank)"),"",VLOOKUP($B2635,'Email Marketing Raw Data'!$C:$O,9,0)),"")</f>
        <v/>
      </c>
    </row>
    <row r="2636" spans="4:17" ht="12.75" customHeight="1" x14ac:dyDescent="0.2">
      <c r="D2636" s="58" t="str">
        <f>IFERROR(IF(F2636&lt;&gt;"pending","",IF(OR($B2636="",$B2636="(blank)"),"",VLOOKUP($B2636,'Email Marketing Raw Data'!$C:$O,10,0))),"")</f>
        <v/>
      </c>
      <c r="E2636" s="59" t="str">
        <f>IFERROR(IF(F2636&lt;&gt;"pending","",IF(OR($B2636="",$B2636="(blank)"),"",VLOOKUP($B2636,'Email Marketing Raw Data'!$C:$O,11,0))),"")</f>
        <v/>
      </c>
      <c r="F2636" s="54" t="str">
        <f>IFERROR(IF(OR($B2636="",$B2636="(blank)"),"",VLOOKUP($B2636,'Email Marketing Raw Data'!$C:$O,13,0)),"")</f>
        <v/>
      </c>
      <c r="G2636" s="55" t="str">
        <f>IFERROR(IF(OR($B2636="",$B2636="(blank)"),"",VLOOKUP($B2636,'Email Marketing Raw Data'!$C:$O,4,0)),"")</f>
        <v/>
      </c>
      <c r="H2636" s="55" t="str">
        <f>IFERROR(IF(OR($B2636="",$B2636="(blank)"),"",VLOOKUP($B2636,'Email Marketing Raw Data'!$C:$O,5,0)),"")</f>
        <v/>
      </c>
      <c r="I2636" s="55" t="str">
        <f>IFERROR(IF($G2636="","",VLOOKUP('Dashboard And Emails Automate'!$G2636,Database!$H:$N,3,0)),"")</f>
        <v/>
      </c>
      <c r="J2636" s="55" t="str">
        <f>IFERROR(IF($G2636="","",VLOOKUP('Dashboard And Emails Automate'!$G2636,Database!$H:$N,4,0)),"")</f>
        <v/>
      </c>
      <c r="K2636" s="55" t="str">
        <f>IFERROR(IF($G2636="","",VLOOKUP('Dashboard And Emails Automate'!$G2636,Database!$H:$N,5,0)),"")</f>
        <v/>
      </c>
      <c r="L2636" s="55" t="str">
        <f>IFERROR(IF($G2636="","",VLOOKUP('Dashboard And Emails Automate'!$G2636,Database!$H:$N,6,0)),"")</f>
        <v/>
      </c>
      <c r="M2636" s="55" t="str">
        <f>IFERROR(IF($G2636="","",VLOOKUP('Dashboard And Emails Automate'!$G2636,Database!$H:$N,7,0)),"")</f>
        <v/>
      </c>
      <c r="N2636" s="55" t="str">
        <f>IFERROR(IF(OR($B2636="",$B2636="(blank)"),"",VLOOKUP($B2636,'Email Marketing Raw Data'!$C:$O,6,0)),"")</f>
        <v/>
      </c>
      <c r="O2636" s="55" t="str">
        <f>IFERROR(IF(OR($B2636="",$B2636="(blank)"),"",VLOOKUP($B2636,'Email Marketing Raw Data'!$C:$O,7,0)),"")</f>
        <v/>
      </c>
      <c r="P2636" s="55" t="str">
        <f>IFERROR(IF(OR($B2636="",$B2636="(blank)"),"",VLOOKUP($B2636,'Email Marketing Raw Data'!$C:$O,8,0)),"")</f>
        <v/>
      </c>
      <c r="Q2636" s="62" t="str">
        <f>IFERROR(IF(OR($B2636="",$B2636="(blank)"),"",VLOOKUP($B2636,'Email Marketing Raw Data'!$C:$O,9,0)),"")</f>
        <v/>
      </c>
    </row>
    <row r="2637" spans="4:17" ht="12.75" customHeight="1" x14ac:dyDescent="0.2">
      <c r="D2637" s="58" t="str">
        <f>IFERROR(IF(F2637&lt;&gt;"pending","",IF(OR($B2637="",$B2637="(blank)"),"",VLOOKUP($B2637,'Email Marketing Raw Data'!$C:$O,10,0))),"")</f>
        <v/>
      </c>
      <c r="E2637" s="59" t="str">
        <f>IFERROR(IF(F2637&lt;&gt;"pending","",IF(OR($B2637="",$B2637="(blank)"),"",VLOOKUP($B2637,'Email Marketing Raw Data'!$C:$O,11,0))),"")</f>
        <v/>
      </c>
      <c r="F2637" s="54" t="str">
        <f>IFERROR(IF(OR($B2637="",$B2637="(blank)"),"",VLOOKUP($B2637,'Email Marketing Raw Data'!$C:$O,13,0)),"")</f>
        <v/>
      </c>
      <c r="G2637" s="55" t="str">
        <f>IFERROR(IF(OR($B2637="",$B2637="(blank)"),"",VLOOKUP($B2637,'Email Marketing Raw Data'!$C:$O,4,0)),"")</f>
        <v/>
      </c>
      <c r="H2637" s="55" t="str">
        <f>IFERROR(IF(OR($B2637="",$B2637="(blank)"),"",VLOOKUP($B2637,'Email Marketing Raw Data'!$C:$O,5,0)),"")</f>
        <v/>
      </c>
      <c r="I2637" s="55" t="str">
        <f>IFERROR(IF($G2637="","",VLOOKUP('Dashboard And Emails Automate'!$G2637,Database!$H:$N,3,0)),"")</f>
        <v/>
      </c>
      <c r="J2637" s="55" t="str">
        <f>IFERROR(IF($G2637="","",VLOOKUP('Dashboard And Emails Automate'!$G2637,Database!$H:$N,4,0)),"")</f>
        <v/>
      </c>
      <c r="K2637" s="55" t="str">
        <f>IFERROR(IF($G2637="","",VLOOKUP('Dashboard And Emails Automate'!$G2637,Database!$H:$N,5,0)),"")</f>
        <v/>
      </c>
      <c r="L2637" s="55" t="str">
        <f>IFERROR(IF($G2637="","",VLOOKUP('Dashboard And Emails Automate'!$G2637,Database!$H:$N,6,0)),"")</f>
        <v/>
      </c>
      <c r="M2637" s="55" t="str">
        <f>IFERROR(IF($G2637="","",VLOOKUP('Dashboard And Emails Automate'!$G2637,Database!$H:$N,7,0)),"")</f>
        <v/>
      </c>
      <c r="N2637" s="55" t="str">
        <f>IFERROR(IF(OR($B2637="",$B2637="(blank)"),"",VLOOKUP($B2637,'Email Marketing Raw Data'!$C:$O,6,0)),"")</f>
        <v/>
      </c>
      <c r="O2637" s="55" t="str">
        <f>IFERROR(IF(OR($B2637="",$B2637="(blank)"),"",VLOOKUP($B2637,'Email Marketing Raw Data'!$C:$O,7,0)),"")</f>
        <v/>
      </c>
      <c r="P2637" s="55" t="str">
        <f>IFERROR(IF(OR($B2637="",$B2637="(blank)"),"",VLOOKUP($B2637,'Email Marketing Raw Data'!$C:$O,8,0)),"")</f>
        <v/>
      </c>
      <c r="Q2637" s="62" t="str">
        <f>IFERROR(IF(OR($B2637="",$B2637="(blank)"),"",VLOOKUP($B2637,'Email Marketing Raw Data'!$C:$O,9,0)),"")</f>
        <v/>
      </c>
    </row>
    <row r="2638" spans="4:17" ht="12.75" customHeight="1" x14ac:dyDescent="0.2">
      <c r="D2638" s="58" t="str">
        <f>IFERROR(IF(F2638&lt;&gt;"pending","",IF(OR($B2638="",$B2638="(blank)"),"",VLOOKUP($B2638,'Email Marketing Raw Data'!$C:$O,10,0))),"")</f>
        <v/>
      </c>
      <c r="E2638" s="59" t="str">
        <f>IFERROR(IF(F2638&lt;&gt;"pending","",IF(OR($B2638="",$B2638="(blank)"),"",VLOOKUP($B2638,'Email Marketing Raw Data'!$C:$O,11,0))),"")</f>
        <v/>
      </c>
      <c r="F2638" s="54" t="str">
        <f>IFERROR(IF(OR($B2638="",$B2638="(blank)"),"",VLOOKUP($B2638,'Email Marketing Raw Data'!$C:$O,13,0)),"")</f>
        <v/>
      </c>
      <c r="G2638" s="55" t="str">
        <f>IFERROR(IF(OR($B2638="",$B2638="(blank)"),"",VLOOKUP($B2638,'Email Marketing Raw Data'!$C:$O,4,0)),"")</f>
        <v/>
      </c>
      <c r="H2638" s="55" t="str">
        <f>IFERROR(IF(OR($B2638="",$B2638="(blank)"),"",VLOOKUP($B2638,'Email Marketing Raw Data'!$C:$O,5,0)),"")</f>
        <v/>
      </c>
      <c r="I2638" s="55" t="str">
        <f>IFERROR(IF($G2638="","",VLOOKUP('Dashboard And Emails Automate'!$G2638,Database!$H:$N,3,0)),"")</f>
        <v/>
      </c>
      <c r="J2638" s="55" t="str">
        <f>IFERROR(IF($G2638="","",VLOOKUP('Dashboard And Emails Automate'!$G2638,Database!$H:$N,4,0)),"")</f>
        <v/>
      </c>
      <c r="K2638" s="55" t="str">
        <f>IFERROR(IF($G2638="","",VLOOKUP('Dashboard And Emails Automate'!$G2638,Database!$H:$N,5,0)),"")</f>
        <v/>
      </c>
      <c r="L2638" s="55" t="str">
        <f>IFERROR(IF($G2638="","",VLOOKUP('Dashboard And Emails Automate'!$G2638,Database!$H:$N,6,0)),"")</f>
        <v/>
      </c>
      <c r="M2638" s="55" t="str">
        <f>IFERROR(IF($G2638="","",VLOOKUP('Dashboard And Emails Automate'!$G2638,Database!$H:$N,7,0)),"")</f>
        <v/>
      </c>
      <c r="N2638" s="55" t="str">
        <f>IFERROR(IF(OR($B2638="",$B2638="(blank)"),"",VLOOKUP($B2638,'Email Marketing Raw Data'!$C:$O,6,0)),"")</f>
        <v/>
      </c>
      <c r="O2638" s="55" t="str">
        <f>IFERROR(IF(OR($B2638="",$B2638="(blank)"),"",VLOOKUP($B2638,'Email Marketing Raw Data'!$C:$O,7,0)),"")</f>
        <v/>
      </c>
      <c r="P2638" s="55" t="str">
        <f>IFERROR(IF(OR($B2638="",$B2638="(blank)"),"",VLOOKUP($B2638,'Email Marketing Raw Data'!$C:$O,8,0)),"")</f>
        <v/>
      </c>
      <c r="Q2638" s="62" t="str">
        <f>IFERROR(IF(OR($B2638="",$B2638="(blank)"),"",VLOOKUP($B2638,'Email Marketing Raw Data'!$C:$O,9,0)),"")</f>
        <v/>
      </c>
    </row>
    <row r="2639" spans="4:17" ht="12.75" customHeight="1" x14ac:dyDescent="0.2">
      <c r="D2639" s="58" t="str">
        <f>IFERROR(IF(F2639&lt;&gt;"pending","",IF(OR($B2639="",$B2639="(blank)"),"",VLOOKUP($B2639,'Email Marketing Raw Data'!$C:$O,10,0))),"")</f>
        <v/>
      </c>
      <c r="E2639" s="59" t="str">
        <f>IFERROR(IF(F2639&lt;&gt;"pending","",IF(OR($B2639="",$B2639="(blank)"),"",VLOOKUP($B2639,'Email Marketing Raw Data'!$C:$O,11,0))),"")</f>
        <v/>
      </c>
      <c r="F2639" s="54" t="str">
        <f>IFERROR(IF(OR($B2639="",$B2639="(blank)"),"",VLOOKUP($B2639,'Email Marketing Raw Data'!$C:$O,13,0)),"")</f>
        <v/>
      </c>
      <c r="G2639" s="55" t="str">
        <f>IFERROR(IF(OR($B2639="",$B2639="(blank)"),"",VLOOKUP($B2639,'Email Marketing Raw Data'!$C:$O,4,0)),"")</f>
        <v/>
      </c>
      <c r="H2639" s="55" t="str">
        <f>IFERROR(IF(OR($B2639="",$B2639="(blank)"),"",VLOOKUP($B2639,'Email Marketing Raw Data'!$C:$O,5,0)),"")</f>
        <v/>
      </c>
      <c r="I2639" s="55" t="str">
        <f>IFERROR(IF($G2639="","",VLOOKUP('Dashboard And Emails Automate'!$G2639,Database!$H:$N,3,0)),"")</f>
        <v/>
      </c>
      <c r="J2639" s="55" t="str">
        <f>IFERROR(IF($G2639="","",VLOOKUP('Dashboard And Emails Automate'!$G2639,Database!$H:$N,4,0)),"")</f>
        <v/>
      </c>
      <c r="K2639" s="55" t="str">
        <f>IFERROR(IF($G2639="","",VLOOKUP('Dashboard And Emails Automate'!$G2639,Database!$H:$N,5,0)),"")</f>
        <v/>
      </c>
      <c r="L2639" s="55" t="str">
        <f>IFERROR(IF($G2639="","",VLOOKUP('Dashboard And Emails Automate'!$G2639,Database!$H:$N,6,0)),"")</f>
        <v/>
      </c>
      <c r="M2639" s="55" t="str">
        <f>IFERROR(IF($G2639="","",VLOOKUP('Dashboard And Emails Automate'!$G2639,Database!$H:$N,7,0)),"")</f>
        <v/>
      </c>
      <c r="N2639" s="55" t="str">
        <f>IFERROR(IF(OR($B2639="",$B2639="(blank)"),"",VLOOKUP($B2639,'Email Marketing Raw Data'!$C:$O,6,0)),"")</f>
        <v/>
      </c>
      <c r="O2639" s="55" t="str">
        <f>IFERROR(IF(OR($B2639="",$B2639="(blank)"),"",VLOOKUP($B2639,'Email Marketing Raw Data'!$C:$O,7,0)),"")</f>
        <v/>
      </c>
      <c r="P2639" s="55" t="str">
        <f>IFERROR(IF(OR($B2639="",$B2639="(blank)"),"",VLOOKUP($B2639,'Email Marketing Raw Data'!$C:$O,8,0)),"")</f>
        <v/>
      </c>
      <c r="Q2639" s="62" t="str">
        <f>IFERROR(IF(OR($B2639="",$B2639="(blank)"),"",VLOOKUP($B2639,'Email Marketing Raw Data'!$C:$O,9,0)),"")</f>
        <v/>
      </c>
    </row>
    <row r="2640" spans="4:17" ht="12.75" customHeight="1" x14ac:dyDescent="0.2">
      <c r="D2640" s="58" t="str">
        <f>IFERROR(IF(F2640&lt;&gt;"pending","",IF(OR($B2640="",$B2640="(blank)"),"",VLOOKUP($B2640,'Email Marketing Raw Data'!$C:$O,10,0))),"")</f>
        <v/>
      </c>
      <c r="E2640" s="59" t="str">
        <f>IFERROR(IF(F2640&lt;&gt;"pending","",IF(OR($B2640="",$B2640="(blank)"),"",VLOOKUP($B2640,'Email Marketing Raw Data'!$C:$O,11,0))),"")</f>
        <v/>
      </c>
      <c r="F2640" s="54" t="str">
        <f>IFERROR(IF(OR($B2640="",$B2640="(blank)"),"",VLOOKUP($B2640,'Email Marketing Raw Data'!$C:$O,13,0)),"")</f>
        <v/>
      </c>
      <c r="G2640" s="55" t="str">
        <f>IFERROR(IF(OR($B2640="",$B2640="(blank)"),"",VLOOKUP($B2640,'Email Marketing Raw Data'!$C:$O,4,0)),"")</f>
        <v/>
      </c>
      <c r="H2640" s="55" t="str">
        <f>IFERROR(IF(OR($B2640="",$B2640="(blank)"),"",VLOOKUP($B2640,'Email Marketing Raw Data'!$C:$O,5,0)),"")</f>
        <v/>
      </c>
      <c r="I2640" s="55" t="str">
        <f>IFERROR(IF($G2640="","",VLOOKUP('Dashboard And Emails Automate'!$G2640,Database!$H:$N,3,0)),"")</f>
        <v/>
      </c>
      <c r="J2640" s="55" t="str">
        <f>IFERROR(IF($G2640="","",VLOOKUP('Dashboard And Emails Automate'!$G2640,Database!$H:$N,4,0)),"")</f>
        <v/>
      </c>
      <c r="K2640" s="55" t="str">
        <f>IFERROR(IF($G2640="","",VLOOKUP('Dashboard And Emails Automate'!$G2640,Database!$H:$N,5,0)),"")</f>
        <v/>
      </c>
      <c r="L2640" s="55" t="str">
        <f>IFERROR(IF($G2640="","",VLOOKUP('Dashboard And Emails Automate'!$G2640,Database!$H:$N,6,0)),"")</f>
        <v/>
      </c>
      <c r="M2640" s="55" t="str">
        <f>IFERROR(IF($G2640="","",VLOOKUP('Dashboard And Emails Automate'!$G2640,Database!$H:$N,7,0)),"")</f>
        <v/>
      </c>
      <c r="N2640" s="55" t="str">
        <f>IFERROR(IF(OR($B2640="",$B2640="(blank)"),"",VLOOKUP($B2640,'Email Marketing Raw Data'!$C:$O,6,0)),"")</f>
        <v/>
      </c>
      <c r="O2640" s="55" t="str">
        <f>IFERROR(IF(OR($B2640="",$B2640="(blank)"),"",VLOOKUP($B2640,'Email Marketing Raw Data'!$C:$O,7,0)),"")</f>
        <v/>
      </c>
      <c r="P2640" s="55" t="str">
        <f>IFERROR(IF(OR($B2640="",$B2640="(blank)"),"",VLOOKUP($B2640,'Email Marketing Raw Data'!$C:$O,8,0)),"")</f>
        <v/>
      </c>
      <c r="Q2640" s="62" t="str">
        <f>IFERROR(IF(OR($B2640="",$B2640="(blank)"),"",VLOOKUP($B2640,'Email Marketing Raw Data'!$C:$O,9,0)),"")</f>
        <v/>
      </c>
    </row>
    <row r="2641" spans="4:17" ht="12.75" customHeight="1" x14ac:dyDescent="0.2">
      <c r="D2641" s="58" t="str">
        <f>IFERROR(IF(F2641&lt;&gt;"pending","",IF(OR($B2641="",$B2641="(blank)"),"",VLOOKUP($B2641,'Email Marketing Raw Data'!$C:$O,10,0))),"")</f>
        <v/>
      </c>
      <c r="E2641" s="59" t="str">
        <f>IFERROR(IF(F2641&lt;&gt;"pending","",IF(OR($B2641="",$B2641="(blank)"),"",VLOOKUP($B2641,'Email Marketing Raw Data'!$C:$O,11,0))),"")</f>
        <v/>
      </c>
      <c r="F2641" s="54" t="str">
        <f>IFERROR(IF(OR($B2641="",$B2641="(blank)"),"",VLOOKUP($B2641,'Email Marketing Raw Data'!$C:$O,13,0)),"")</f>
        <v/>
      </c>
      <c r="G2641" s="55" t="str">
        <f>IFERROR(IF(OR($B2641="",$B2641="(blank)"),"",VLOOKUP($B2641,'Email Marketing Raw Data'!$C:$O,4,0)),"")</f>
        <v/>
      </c>
      <c r="H2641" s="55" t="str">
        <f>IFERROR(IF(OR($B2641="",$B2641="(blank)"),"",VLOOKUP($B2641,'Email Marketing Raw Data'!$C:$O,5,0)),"")</f>
        <v/>
      </c>
      <c r="I2641" s="55" t="str">
        <f>IFERROR(IF($G2641="","",VLOOKUP('Dashboard And Emails Automate'!$G2641,Database!$H:$N,3,0)),"")</f>
        <v/>
      </c>
      <c r="J2641" s="55" t="str">
        <f>IFERROR(IF($G2641="","",VLOOKUP('Dashboard And Emails Automate'!$G2641,Database!$H:$N,4,0)),"")</f>
        <v/>
      </c>
      <c r="K2641" s="55" t="str">
        <f>IFERROR(IF($G2641="","",VLOOKUP('Dashboard And Emails Automate'!$G2641,Database!$H:$N,5,0)),"")</f>
        <v/>
      </c>
      <c r="L2641" s="55" t="str">
        <f>IFERROR(IF($G2641="","",VLOOKUP('Dashboard And Emails Automate'!$G2641,Database!$H:$N,6,0)),"")</f>
        <v/>
      </c>
      <c r="M2641" s="55" t="str">
        <f>IFERROR(IF($G2641="","",VLOOKUP('Dashboard And Emails Automate'!$G2641,Database!$H:$N,7,0)),"")</f>
        <v/>
      </c>
      <c r="N2641" s="55" t="str">
        <f>IFERROR(IF(OR($B2641="",$B2641="(blank)"),"",VLOOKUP($B2641,'Email Marketing Raw Data'!$C:$O,6,0)),"")</f>
        <v/>
      </c>
      <c r="O2641" s="55" t="str">
        <f>IFERROR(IF(OR($B2641="",$B2641="(blank)"),"",VLOOKUP($B2641,'Email Marketing Raw Data'!$C:$O,7,0)),"")</f>
        <v/>
      </c>
      <c r="P2641" s="55" t="str">
        <f>IFERROR(IF(OR($B2641="",$B2641="(blank)"),"",VLOOKUP($B2641,'Email Marketing Raw Data'!$C:$O,8,0)),"")</f>
        <v/>
      </c>
      <c r="Q2641" s="62" t="str">
        <f>IFERROR(IF(OR($B2641="",$B2641="(blank)"),"",VLOOKUP($B2641,'Email Marketing Raw Data'!$C:$O,9,0)),"")</f>
        <v/>
      </c>
    </row>
    <row r="2642" spans="4:17" ht="12.75" customHeight="1" x14ac:dyDescent="0.2">
      <c r="D2642" s="58" t="str">
        <f>IFERROR(IF(F2642&lt;&gt;"pending","",IF(OR($B2642="",$B2642="(blank)"),"",VLOOKUP($B2642,'Email Marketing Raw Data'!$C:$O,10,0))),"")</f>
        <v/>
      </c>
      <c r="E2642" s="59" t="str">
        <f>IFERROR(IF(F2642&lt;&gt;"pending","",IF(OR($B2642="",$B2642="(blank)"),"",VLOOKUP($B2642,'Email Marketing Raw Data'!$C:$O,11,0))),"")</f>
        <v/>
      </c>
      <c r="F2642" s="54" t="str">
        <f>IFERROR(IF(OR($B2642="",$B2642="(blank)"),"",VLOOKUP($B2642,'Email Marketing Raw Data'!$C:$O,13,0)),"")</f>
        <v/>
      </c>
      <c r="G2642" s="55" t="str">
        <f>IFERROR(IF(OR($B2642="",$B2642="(blank)"),"",VLOOKUP($B2642,'Email Marketing Raw Data'!$C:$O,4,0)),"")</f>
        <v/>
      </c>
      <c r="H2642" s="55" t="str">
        <f>IFERROR(IF(OR($B2642="",$B2642="(blank)"),"",VLOOKUP($B2642,'Email Marketing Raw Data'!$C:$O,5,0)),"")</f>
        <v/>
      </c>
      <c r="I2642" s="55" t="str">
        <f>IFERROR(IF($G2642="","",VLOOKUP('Dashboard And Emails Automate'!$G2642,Database!$H:$N,3,0)),"")</f>
        <v/>
      </c>
      <c r="J2642" s="55" t="str">
        <f>IFERROR(IF($G2642="","",VLOOKUP('Dashboard And Emails Automate'!$G2642,Database!$H:$N,4,0)),"")</f>
        <v/>
      </c>
      <c r="K2642" s="55" t="str">
        <f>IFERROR(IF($G2642="","",VLOOKUP('Dashboard And Emails Automate'!$G2642,Database!$H:$N,5,0)),"")</f>
        <v/>
      </c>
      <c r="L2642" s="55" t="str">
        <f>IFERROR(IF($G2642="","",VLOOKUP('Dashboard And Emails Automate'!$G2642,Database!$H:$N,6,0)),"")</f>
        <v/>
      </c>
      <c r="M2642" s="55" t="str">
        <f>IFERROR(IF($G2642="","",VLOOKUP('Dashboard And Emails Automate'!$G2642,Database!$H:$N,7,0)),"")</f>
        <v/>
      </c>
      <c r="N2642" s="55" t="str">
        <f>IFERROR(IF(OR($B2642="",$B2642="(blank)"),"",VLOOKUP($B2642,'Email Marketing Raw Data'!$C:$O,6,0)),"")</f>
        <v/>
      </c>
      <c r="O2642" s="55" t="str">
        <f>IFERROR(IF(OR($B2642="",$B2642="(blank)"),"",VLOOKUP($B2642,'Email Marketing Raw Data'!$C:$O,7,0)),"")</f>
        <v/>
      </c>
      <c r="P2642" s="55" t="str">
        <f>IFERROR(IF(OR($B2642="",$B2642="(blank)"),"",VLOOKUP($B2642,'Email Marketing Raw Data'!$C:$O,8,0)),"")</f>
        <v/>
      </c>
      <c r="Q2642" s="62" t="str">
        <f>IFERROR(IF(OR($B2642="",$B2642="(blank)"),"",VLOOKUP($B2642,'Email Marketing Raw Data'!$C:$O,9,0)),"")</f>
        <v/>
      </c>
    </row>
    <row r="2643" spans="4:17" ht="12.75" customHeight="1" x14ac:dyDescent="0.2">
      <c r="D2643" s="58" t="str">
        <f>IFERROR(IF(F2643&lt;&gt;"pending","",IF(OR($B2643="",$B2643="(blank)"),"",VLOOKUP($B2643,'Email Marketing Raw Data'!$C:$O,10,0))),"")</f>
        <v/>
      </c>
      <c r="E2643" s="59" t="str">
        <f>IFERROR(IF(F2643&lt;&gt;"pending","",IF(OR($B2643="",$B2643="(blank)"),"",VLOOKUP($B2643,'Email Marketing Raw Data'!$C:$O,11,0))),"")</f>
        <v/>
      </c>
      <c r="F2643" s="54" t="str">
        <f>IFERROR(IF(OR($B2643="",$B2643="(blank)"),"",VLOOKUP($B2643,'Email Marketing Raw Data'!$C:$O,13,0)),"")</f>
        <v/>
      </c>
      <c r="G2643" s="55" t="str">
        <f>IFERROR(IF(OR($B2643="",$B2643="(blank)"),"",VLOOKUP($B2643,'Email Marketing Raw Data'!$C:$O,4,0)),"")</f>
        <v/>
      </c>
      <c r="H2643" s="55" t="str">
        <f>IFERROR(IF(OR($B2643="",$B2643="(blank)"),"",VLOOKUP($B2643,'Email Marketing Raw Data'!$C:$O,5,0)),"")</f>
        <v/>
      </c>
      <c r="I2643" s="55" t="str">
        <f>IFERROR(IF($G2643="","",VLOOKUP('Dashboard And Emails Automate'!$G2643,Database!$H:$N,3,0)),"")</f>
        <v/>
      </c>
      <c r="J2643" s="55" t="str">
        <f>IFERROR(IF($G2643="","",VLOOKUP('Dashboard And Emails Automate'!$G2643,Database!$H:$N,4,0)),"")</f>
        <v/>
      </c>
      <c r="K2643" s="55" t="str">
        <f>IFERROR(IF($G2643="","",VLOOKUP('Dashboard And Emails Automate'!$G2643,Database!$H:$N,5,0)),"")</f>
        <v/>
      </c>
      <c r="L2643" s="55" t="str">
        <f>IFERROR(IF($G2643="","",VLOOKUP('Dashboard And Emails Automate'!$G2643,Database!$H:$N,6,0)),"")</f>
        <v/>
      </c>
      <c r="M2643" s="55" t="str">
        <f>IFERROR(IF($G2643="","",VLOOKUP('Dashboard And Emails Automate'!$G2643,Database!$H:$N,7,0)),"")</f>
        <v/>
      </c>
      <c r="N2643" s="55" t="str">
        <f>IFERROR(IF(OR($B2643="",$B2643="(blank)"),"",VLOOKUP($B2643,'Email Marketing Raw Data'!$C:$O,6,0)),"")</f>
        <v/>
      </c>
      <c r="O2643" s="55" t="str">
        <f>IFERROR(IF(OR($B2643="",$B2643="(blank)"),"",VLOOKUP($B2643,'Email Marketing Raw Data'!$C:$O,7,0)),"")</f>
        <v/>
      </c>
      <c r="P2643" s="55" t="str">
        <f>IFERROR(IF(OR($B2643="",$B2643="(blank)"),"",VLOOKUP($B2643,'Email Marketing Raw Data'!$C:$O,8,0)),"")</f>
        <v/>
      </c>
      <c r="Q2643" s="62" t="str">
        <f>IFERROR(IF(OR($B2643="",$B2643="(blank)"),"",VLOOKUP($B2643,'Email Marketing Raw Data'!$C:$O,9,0)),"")</f>
        <v/>
      </c>
    </row>
    <row r="2644" spans="4:17" ht="12.75" customHeight="1" x14ac:dyDescent="0.2">
      <c r="D2644" s="58" t="str">
        <f>IFERROR(IF(F2644&lt;&gt;"pending","",IF(OR($B2644="",$B2644="(blank)"),"",VLOOKUP($B2644,'Email Marketing Raw Data'!$C:$O,10,0))),"")</f>
        <v/>
      </c>
      <c r="E2644" s="59" t="str">
        <f>IFERROR(IF(F2644&lt;&gt;"pending","",IF(OR($B2644="",$B2644="(blank)"),"",VLOOKUP($B2644,'Email Marketing Raw Data'!$C:$O,11,0))),"")</f>
        <v/>
      </c>
      <c r="F2644" s="54" t="str">
        <f>IFERROR(IF(OR($B2644="",$B2644="(blank)"),"",VLOOKUP($B2644,'Email Marketing Raw Data'!$C:$O,13,0)),"")</f>
        <v/>
      </c>
      <c r="G2644" s="55" t="str">
        <f>IFERROR(IF(OR($B2644="",$B2644="(blank)"),"",VLOOKUP($B2644,'Email Marketing Raw Data'!$C:$O,4,0)),"")</f>
        <v/>
      </c>
      <c r="H2644" s="55" t="str">
        <f>IFERROR(IF(OR($B2644="",$B2644="(blank)"),"",VLOOKUP($B2644,'Email Marketing Raw Data'!$C:$O,5,0)),"")</f>
        <v/>
      </c>
      <c r="I2644" s="55" t="str">
        <f>IFERROR(IF($G2644="","",VLOOKUP('Dashboard And Emails Automate'!$G2644,Database!$H:$N,3,0)),"")</f>
        <v/>
      </c>
      <c r="J2644" s="55" t="str">
        <f>IFERROR(IF($G2644="","",VLOOKUP('Dashboard And Emails Automate'!$G2644,Database!$H:$N,4,0)),"")</f>
        <v/>
      </c>
      <c r="K2644" s="55" t="str">
        <f>IFERROR(IF($G2644="","",VLOOKUP('Dashboard And Emails Automate'!$G2644,Database!$H:$N,5,0)),"")</f>
        <v/>
      </c>
      <c r="L2644" s="55" t="str">
        <f>IFERROR(IF($G2644="","",VLOOKUP('Dashboard And Emails Automate'!$G2644,Database!$H:$N,6,0)),"")</f>
        <v/>
      </c>
      <c r="M2644" s="55" t="str">
        <f>IFERROR(IF($G2644="","",VLOOKUP('Dashboard And Emails Automate'!$G2644,Database!$H:$N,7,0)),"")</f>
        <v/>
      </c>
      <c r="N2644" s="55" t="str">
        <f>IFERROR(IF(OR($B2644="",$B2644="(blank)"),"",VLOOKUP($B2644,'Email Marketing Raw Data'!$C:$O,6,0)),"")</f>
        <v/>
      </c>
      <c r="O2644" s="55" t="str">
        <f>IFERROR(IF(OR($B2644="",$B2644="(blank)"),"",VLOOKUP($B2644,'Email Marketing Raw Data'!$C:$O,7,0)),"")</f>
        <v/>
      </c>
      <c r="P2644" s="55" t="str">
        <f>IFERROR(IF(OR($B2644="",$B2644="(blank)"),"",VLOOKUP($B2644,'Email Marketing Raw Data'!$C:$O,8,0)),"")</f>
        <v/>
      </c>
      <c r="Q2644" s="62" t="str">
        <f>IFERROR(IF(OR($B2644="",$B2644="(blank)"),"",VLOOKUP($B2644,'Email Marketing Raw Data'!$C:$O,9,0)),"")</f>
        <v/>
      </c>
    </row>
    <row r="2645" spans="4:17" ht="12.75" customHeight="1" x14ac:dyDescent="0.2">
      <c r="D2645" s="58" t="str">
        <f>IFERROR(IF(F2645&lt;&gt;"pending","",IF(OR($B2645="",$B2645="(blank)"),"",VLOOKUP($B2645,'Email Marketing Raw Data'!$C:$O,10,0))),"")</f>
        <v/>
      </c>
      <c r="E2645" s="59" t="str">
        <f>IFERROR(IF(F2645&lt;&gt;"pending","",IF(OR($B2645="",$B2645="(blank)"),"",VLOOKUP($B2645,'Email Marketing Raw Data'!$C:$O,11,0))),"")</f>
        <v/>
      </c>
      <c r="F2645" s="54" t="str">
        <f>IFERROR(IF(OR($B2645="",$B2645="(blank)"),"",VLOOKUP($B2645,'Email Marketing Raw Data'!$C:$O,13,0)),"")</f>
        <v/>
      </c>
      <c r="G2645" s="55" t="str">
        <f>IFERROR(IF(OR($B2645="",$B2645="(blank)"),"",VLOOKUP($B2645,'Email Marketing Raw Data'!$C:$O,4,0)),"")</f>
        <v/>
      </c>
      <c r="H2645" s="55" t="str">
        <f>IFERROR(IF(OR($B2645="",$B2645="(blank)"),"",VLOOKUP($B2645,'Email Marketing Raw Data'!$C:$O,5,0)),"")</f>
        <v/>
      </c>
      <c r="I2645" s="55" t="str">
        <f>IFERROR(IF($G2645="","",VLOOKUP('Dashboard And Emails Automate'!$G2645,Database!$H:$N,3,0)),"")</f>
        <v/>
      </c>
      <c r="J2645" s="55" t="str">
        <f>IFERROR(IF($G2645="","",VLOOKUP('Dashboard And Emails Automate'!$G2645,Database!$H:$N,4,0)),"")</f>
        <v/>
      </c>
      <c r="K2645" s="55" t="str">
        <f>IFERROR(IF($G2645="","",VLOOKUP('Dashboard And Emails Automate'!$G2645,Database!$H:$N,5,0)),"")</f>
        <v/>
      </c>
      <c r="L2645" s="55" t="str">
        <f>IFERROR(IF($G2645="","",VLOOKUP('Dashboard And Emails Automate'!$G2645,Database!$H:$N,6,0)),"")</f>
        <v/>
      </c>
      <c r="M2645" s="55" t="str">
        <f>IFERROR(IF($G2645="","",VLOOKUP('Dashboard And Emails Automate'!$G2645,Database!$H:$N,7,0)),"")</f>
        <v/>
      </c>
      <c r="N2645" s="55" t="str">
        <f>IFERROR(IF(OR($B2645="",$B2645="(blank)"),"",VLOOKUP($B2645,'Email Marketing Raw Data'!$C:$O,6,0)),"")</f>
        <v/>
      </c>
      <c r="O2645" s="55" t="str">
        <f>IFERROR(IF(OR($B2645="",$B2645="(blank)"),"",VLOOKUP($B2645,'Email Marketing Raw Data'!$C:$O,7,0)),"")</f>
        <v/>
      </c>
      <c r="P2645" s="55" t="str">
        <f>IFERROR(IF(OR($B2645="",$B2645="(blank)"),"",VLOOKUP($B2645,'Email Marketing Raw Data'!$C:$O,8,0)),"")</f>
        <v/>
      </c>
      <c r="Q2645" s="62" t="str">
        <f>IFERROR(IF(OR($B2645="",$B2645="(blank)"),"",VLOOKUP($B2645,'Email Marketing Raw Data'!$C:$O,9,0)),"")</f>
        <v/>
      </c>
    </row>
    <row r="2646" spans="4:17" ht="12.75" customHeight="1" x14ac:dyDescent="0.2">
      <c r="D2646" s="58" t="str">
        <f>IFERROR(IF(F2646&lt;&gt;"pending","",IF(OR($B2646="",$B2646="(blank)"),"",VLOOKUP($B2646,'Email Marketing Raw Data'!$C:$O,10,0))),"")</f>
        <v/>
      </c>
      <c r="E2646" s="59" t="str">
        <f>IFERROR(IF(F2646&lt;&gt;"pending","",IF(OR($B2646="",$B2646="(blank)"),"",VLOOKUP($B2646,'Email Marketing Raw Data'!$C:$O,11,0))),"")</f>
        <v/>
      </c>
      <c r="F2646" s="54" t="str">
        <f>IFERROR(IF(OR($B2646="",$B2646="(blank)"),"",VLOOKUP($B2646,'Email Marketing Raw Data'!$C:$O,13,0)),"")</f>
        <v/>
      </c>
      <c r="G2646" s="55" t="str">
        <f>IFERROR(IF(OR($B2646="",$B2646="(blank)"),"",VLOOKUP($B2646,'Email Marketing Raw Data'!$C:$O,4,0)),"")</f>
        <v/>
      </c>
      <c r="H2646" s="55" t="str">
        <f>IFERROR(IF(OR($B2646="",$B2646="(blank)"),"",VLOOKUP($B2646,'Email Marketing Raw Data'!$C:$O,5,0)),"")</f>
        <v/>
      </c>
      <c r="I2646" s="55" t="str">
        <f>IFERROR(IF($G2646="","",VLOOKUP('Dashboard And Emails Automate'!$G2646,Database!$H:$N,3,0)),"")</f>
        <v/>
      </c>
      <c r="J2646" s="55" t="str">
        <f>IFERROR(IF($G2646="","",VLOOKUP('Dashboard And Emails Automate'!$G2646,Database!$H:$N,4,0)),"")</f>
        <v/>
      </c>
      <c r="K2646" s="55" t="str">
        <f>IFERROR(IF($G2646="","",VLOOKUP('Dashboard And Emails Automate'!$G2646,Database!$H:$N,5,0)),"")</f>
        <v/>
      </c>
      <c r="L2646" s="55" t="str">
        <f>IFERROR(IF($G2646="","",VLOOKUP('Dashboard And Emails Automate'!$G2646,Database!$H:$N,6,0)),"")</f>
        <v/>
      </c>
      <c r="M2646" s="55" t="str">
        <f>IFERROR(IF($G2646="","",VLOOKUP('Dashboard And Emails Automate'!$G2646,Database!$H:$N,7,0)),"")</f>
        <v/>
      </c>
      <c r="N2646" s="55" t="str">
        <f>IFERROR(IF(OR($B2646="",$B2646="(blank)"),"",VLOOKUP($B2646,'Email Marketing Raw Data'!$C:$O,6,0)),"")</f>
        <v/>
      </c>
      <c r="O2646" s="55" t="str">
        <f>IFERROR(IF(OR($B2646="",$B2646="(blank)"),"",VLOOKUP($B2646,'Email Marketing Raw Data'!$C:$O,7,0)),"")</f>
        <v/>
      </c>
      <c r="P2646" s="55" t="str">
        <f>IFERROR(IF(OR($B2646="",$B2646="(blank)"),"",VLOOKUP($B2646,'Email Marketing Raw Data'!$C:$O,8,0)),"")</f>
        <v/>
      </c>
      <c r="Q2646" s="62" t="str">
        <f>IFERROR(IF(OR($B2646="",$B2646="(blank)"),"",VLOOKUP($B2646,'Email Marketing Raw Data'!$C:$O,9,0)),"")</f>
        <v/>
      </c>
    </row>
    <row r="2647" spans="4:17" ht="12.75" customHeight="1" x14ac:dyDescent="0.2">
      <c r="D2647" s="58" t="str">
        <f>IFERROR(IF(F2647&lt;&gt;"pending","",IF(OR($B2647="",$B2647="(blank)"),"",VLOOKUP($B2647,'Email Marketing Raw Data'!$C:$O,10,0))),"")</f>
        <v/>
      </c>
      <c r="E2647" s="59" t="str">
        <f>IFERROR(IF(F2647&lt;&gt;"pending","",IF(OR($B2647="",$B2647="(blank)"),"",VLOOKUP($B2647,'Email Marketing Raw Data'!$C:$O,11,0))),"")</f>
        <v/>
      </c>
      <c r="F2647" s="54" t="str">
        <f>IFERROR(IF(OR($B2647="",$B2647="(blank)"),"",VLOOKUP($B2647,'Email Marketing Raw Data'!$C:$O,13,0)),"")</f>
        <v/>
      </c>
      <c r="G2647" s="55" t="str">
        <f>IFERROR(IF(OR($B2647="",$B2647="(blank)"),"",VLOOKUP($B2647,'Email Marketing Raw Data'!$C:$O,4,0)),"")</f>
        <v/>
      </c>
      <c r="H2647" s="55" t="str">
        <f>IFERROR(IF(OR($B2647="",$B2647="(blank)"),"",VLOOKUP($B2647,'Email Marketing Raw Data'!$C:$O,5,0)),"")</f>
        <v/>
      </c>
      <c r="I2647" s="55" t="str">
        <f>IFERROR(IF($G2647="","",VLOOKUP('Dashboard And Emails Automate'!$G2647,Database!$H:$N,3,0)),"")</f>
        <v/>
      </c>
      <c r="J2647" s="55" t="str">
        <f>IFERROR(IF($G2647="","",VLOOKUP('Dashboard And Emails Automate'!$G2647,Database!$H:$N,4,0)),"")</f>
        <v/>
      </c>
      <c r="K2647" s="55" t="str">
        <f>IFERROR(IF($G2647="","",VLOOKUP('Dashboard And Emails Automate'!$G2647,Database!$H:$N,5,0)),"")</f>
        <v/>
      </c>
      <c r="L2647" s="55" t="str">
        <f>IFERROR(IF($G2647="","",VLOOKUP('Dashboard And Emails Automate'!$G2647,Database!$H:$N,6,0)),"")</f>
        <v/>
      </c>
      <c r="M2647" s="55" t="str">
        <f>IFERROR(IF($G2647="","",VLOOKUP('Dashboard And Emails Automate'!$G2647,Database!$H:$N,7,0)),"")</f>
        <v/>
      </c>
      <c r="N2647" s="55" t="str">
        <f>IFERROR(IF(OR($B2647="",$B2647="(blank)"),"",VLOOKUP($B2647,'Email Marketing Raw Data'!$C:$O,6,0)),"")</f>
        <v/>
      </c>
      <c r="O2647" s="55" t="str">
        <f>IFERROR(IF(OR($B2647="",$B2647="(blank)"),"",VLOOKUP($B2647,'Email Marketing Raw Data'!$C:$O,7,0)),"")</f>
        <v/>
      </c>
      <c r="P2647" s="55" t="str">
        <f>IFERROR(IF(OR($B2647="",$B2647="(blank)"),"",VLOOKUP($B2647,'Email Marketing Raw Data'!$C:$O,8,0)),"")</f>
        <v/>
      </c>
      <c r="Q2647" s="62" t="str">
        <f>IFERROR(IF(OR($B2647="",$B2647="(blank)"),"",VLOOKUP($B2647,'Email Marketing Raw Data'!$C:$O,9,0)),"")</f>
        <v/>
      </c>
    </row>
    <row r="2648" spans="4:17" ht="12.75" customHeight="1" x14ac:dyDescent="0.2">
      <c r="D2648" s="58" t="str">
        <f>IFERROR(IF(F2648&lt;&gt;"pending","",IF(OR($B2648="",$B2648="(blank)"),"",VLOOKUP($B2648,'Email Marketing Raw Data'!$C:$O,10,0))),"")</f>
        <v/>
      </c>
      <c r="E2648" s="59" t="str">
        <f>IFERROR(IF(F2648&lt;&gt;"pending","",IF(OR($B2648="",$B2648="(blank)"),"",VLOOKUP($B2648,'Email Marketing Raw Data'!$C:$O,11,0))),"")</f>
        <v/>
      </c>
      <c r="F2648" s="54" t="str">
        <f>IFERROR(IF(OR($B2648="",$B2648="(blank)"),"",VLOOKUP($B2648,'Email Marketing Raw Data'!$C:$O,13,0)),"")</f>
        <v/>
      </c>
      <c r="G2648" s="55" t="str">
        <f>IFERROR(IF(OR($B2648="",$B2648="(blank)"),"",VLOOKUP($B2648,'Email Marketing Raw Data'!$C:$O,4,0)),"")</f>
        <v/>
      </c>
      <c r="H2648" s="55" t="str">
        <f>IFERROR(IF(OR($B2648="",$B2648="(blank)"),"",VLOOKUP($B2648,'Email Marketing Raw Data'!$C:$O,5,0)),"")</f>
        <v/>
      </c>
      <c r="I2648" s="55" t="str">
        <f>IFERROR(IF($G2648="","",VLOOKUP('Dashboard And Emails Automate'!$G2648,Database!$H:$N,3,0)),"")</f>
        <v/>
      </c>
      <c r="J2648" s="55" t="str">
        <f>IFERROR(IF($G2648="","",VLOOKUP('Dashboard And Emails Automate'!$G2648,Database!$H:$N,4,0)),"")</f>
        <v/>
      </c>
      <c r="K2648" s="55" t="str">
        <f>IFERROR(IF($G2648="","",VLOOKUP('Dashboard And Emails Automate'!$G2648,Database!$H:$N,5,0)),"")</f>
        <v/>
      </c>
      <c r="L2648" s="55" t="str">
        <f>IFERROR(IF($G2648="","",VLOOKUP('Dashboard And Emails Automate'!$G2648,Database!$H:$N,6,0)),"")</f>
        <v/>
      </c>
      <c r="M2648" s="55" t="str">
        <f>IFERROR(IF($G2648="","",VLOOKUP('Dashboard And Emails Automate'!$G2648,Database!$H:$N,7,0)),"")</f>
        <v/>
      </c>
      <c r="N2648" s="55" t="str">
        <f>IFERROR(IF(OR($B2648="",$B2648="(blank)"),"",VLOOKUP($B2648,'Email Marketing Raw Data'!$C:$O,6,0)),"")</f>
        <v/>
      </c>
      <c r="O2648" s="55" t="str">
        <f>IFERROR(IF(OR($B2648="",$B2648="(blank)"),"",VLOOKUP($B2648,'Email Marketing Raw Data'!$C:$O,7,0)),"")</f>
        <v/>
      </c>
      <c r="P2648" s="55" t="str">
        <f>IFERROR(IF(OR($B2648="",$B2648="(blank)"),"",VLOOKUP($B2648,'Email Marketing Raw Data'!$C:$O,8,0)),"")</f>
        <v/>
      </c>
      <c r="Q2648" s="62" t="str">
        <f>IFERROR(IF(OR($B2648="",$B2648="(blank)"),"",VLOOKUP($B2648,'Email Marketing Raw Data'!$C:$O,9,0)),"")</f>
        <v/>
      </c>
    </row>
    <row r="2649" spans="4:17" ht="12.75" customHeight="1" x14ac:dyDescent="0.2">
      <c r="D2649" s="58" t="str">
        <f>IFERROR(IF(F2649&lt;&gt;"pending","",IF(OR($B2649="",$B2649="(blank)"),"",VLOOKUP($B2649,'Email Marketing Raw Data'!$C:$O,10,0))),"")</f>
        <v/>
      </c>
      <c r="E2649" s="59" t="str">
        <f>IFERROR(IF(F2649&lt;&gt;"pending","",IF(OR($B2649="",$B2649="(blank)"),"",VLOOKUP($B2649,'Email Marketing Raw Data'!$C:$O,11,0))),"")</f>
        <v/>
      </c>
      <c r="F2649" s="54" t="str">
        <f>IFERROR(IF(OR($B2649="",$B2649="(blank)"),"",VLOOKUP($B2649,'Email Marketing Raw Data'!$C:$O,13,0)),"")</f>
        <v/>
      </c>
      <c r="G2649" s="55" t="str">
        <f>IFERROR(IF(OR($B2649="",$B2649="(blank)"),"",VLOOKUP($B2649,'Email Marketing Raw Data'!$C:$O,4,0)),"")</f>
        <v/>
      </c>
      <c r="H2649" s="55" t="str">
        <f>IFERROR(IF(OR($B2649="",$B2649="(blank)"),"",VLOOKUP($B2649,'Email Marketing Raw Data'!$C:$O,5,0)),"")</f>
        <v/>
      </c>
      <c r="I2649" s="55" t="str">
        <f>IFERROR(IF($G2649="","",VLOOKUP('Dashboard And Emails Automate'!$G2649,Database!$H:$N,3,0)),"")</f>
        <v/>
      </c>
      <c r="J2649" s="55" t="str">
        <f>IFERROR(IF($G2649="","",VLOOKUP('Dashboard And Emails Automate'!$G2649,Database!$H:$N,4,0)),"")</f>
        <v/>
      </c>
      <c r="K2649" s="55" t="str">
        <f>IFERROR(IF($G2649="","",VLOOKUP('Dashboard And Emails Automate'!$G2649,Database!$H:$N,5,0)),"")</f>
        <v/>
      </c>
      <c r="L2649" s="55" t="str">
        <f>IFERROR(IF($G2649="","",VLOOKUP('Dashboard And Emails Automate'!$G2649,Database!$H:$N,6,0)),"")</f>
        <v/>
      </c>
      <c r="M2649" s="55" t="str">
        <f>IFERROR(IF($G2649="","",VLOOKUP('Dashboard And Emails Automate'!$G2649,Database!$H:$N,7,0)),"")</f>
        <v/>
      </c>
      <c r="N2649" s="55" t="str">
        <f>IFERROR(IF(OR($B2649="",$B2649="(blank)"),"",VLOOKUP($B2649,'Email Marketing Raw Data'!$C:$O,6,0)),"")</f>
        <v/>
      </c>
      <c r="O2649" s="55" t="str">
        <f>IFERROR(IF(OR($B2649="",$B2649="(blank)"),"",VLOOKUP($B2649,'Email Marketing Raw Data'!$C:$O,7,0)),"")</f>
        <v/>
      </c>
      <c r="P2649" s="55" t="str">
        <f>IFERROR(IF(OR($B2649="",$B2649="(blank)"),"",VLOOKUP($B2649,'Email Marketing Raw Data'!$C:$O,8,0)),"")</f>
        <v/>
      </c>
      <c r="Q2649" s="62" t="str">
        <f>IFERROR(IF(OR($B2649="",$B2649="(blank)"),"",VLOOKUP($B2649,'Email Marketing Raw Data'!$C:$O,9,0)),"")</f>
        <v/>
      </c>
    </row>
    <row r="2650" spans="4:17" ht="12.75" customHeight="1" x14ac:dyDescent="0.2">
      <c r="D2650" s="58" t="str">
        <f>IFERROR(IF(F2650&lt;&gt;"pending","",IF(OR($B2650="",$B2650="(blank)"),"",VLOOKUP($B2650,'Email Marketing Raw Data'!$C:$O,10,0))),"")</f>
        <v/>
      </c>
      <c r="E2650" s="59" t="str">
        <f>IFERROR(IF(F2650&lt;&gt;"pending","",IF(OR($B2650="",$B2650="(blank)"),"",VLOOKUP($B2650,'Email Marketing Raw Data'!$C:$O,11,0))),"")</f>
        <v/>
      </c>
      <c r="F2650" s="54" t="str">
        <f>IFERROR(IF(OR($B2650="",$B2650="(blank)"),"",VLOOKUP($B2650,'Email Marketing Raw Data'!$C:$O,13,0)),"")</f>
        <v/>
      </c>
      <c r="G2650" s="55" t="str">
        <f>IFERROR(IF(OR($B2650="",$B2650="(blank)"),"",VLOOKUP($B2650,'Email Marketing Raw Data'!$C:$O,4,0)),"")</f>
        <v/>
      </c>
      <c r="H2650" s="55" t="str">
        <f>IFERROR(IF(OR($B2650="",$B2650="(blank)"),"",VLOOKUP($B2650,'Email Marketing Raw Data'!$C:$O,5,0)),"")</f>
        <v/>
      </c>
      <c r="I2650" s="55" t="str">
        <f>IFERROR(IF($G2650="","",VLOOKUP('Dashboard And Emails Automate'!$G2650,Database!$H:$N,3,0)),"")</f>
        <v/>
      </c>
      <c r="J2650" s="55" t="str">
        <f>IFERROR(IF($G2650="","",VLOOKUP('Dashboard And Emails Automate'!$G2650,Database!$H:$N,4,0)),"")</f>
        <v/>
      </c>
      <c r="K2650" s="55" t="str">
        <f>IFERROR(IF($G2650="","",VLOOKUP('Dashboard And Emails Automate'!$G2650,Database!$H:$N,5,0)),"")</f>
        <v/>
      </c>
      <c r="L2650" s="55" t="str">
        <f>IFERROR(IF($G2650="","",VLOOKUP('Dashboard And Emails Automate'!$G2650,Database!$H:$N,6,0)),"")</f>
        <v/>
      </c>
      <c r="M2650" s="55" t="str">
        <f>IFERROR(IF($G2650="","",VLOOKUP('Dashboard And Emails Automate'!$G2650,Database!$H:$N,7,0)),"")</f>
        <v/>
      </c>
      <c r="N2650" s="55" t="str">
        <f>IFERROR(IF(OR($B2650="",$B2650="(blank)"),"",VLOOKUP($B2650,'Email Marketing Raw Data'!$C:$O,6,0)),"")</f>
        <v/>
      </c>
      <c r="O2650" s="55" t="str">
        <f>IFERROR(IF(OR($B2650="",$B2650="(blank)"),"",VLOOKUP($B2650,'Email Marketing Raw Data'!$C:$O,7,0)),"")</f>
        <v/>
      </c>
      <c r="P2650" s="55" t="str">
        <f>IFERROR(IF(OR($B2650="",$B2650="(blank)"),"",VLOOKUP($B2650,'Email Marketing Raw Data'!$C:$O,8,0)),"")</f>
        <v/>
      </c>
      <c r="Q2650" s="62" t="str">
        <f>IFERROR(IF(OR($B2650="",$B2650="(blank)"),"",VLOOKUP($B2650,'Email Marketing Raw Data'!$C:$O,9,0)),"")</f>
        <v/>
      </c>
    </row>
    <row r="2651" spans="4:17" ht="12.75" customHeight="1" x14ac:dyDescent="0.2">
      <c r="D2651" s="58" t="str">
        <f>IFERROR(IF(F2651&lt;&gt;"pending","",IF(OR($B2651="",$B2651="(blank)"),"",VLOOKUP($B2651,'Email Marketing Raw Data'!$C:$O,10,0))),"")</f>
        <v/>
      </c>
      <c r="E2651" s="59" t="str">
        <f>IFERROR(IF(F2651&lt;&gt;"pending","",IF(OR($B2651="",$B2651="(blank)"),"",VLOOKUP($B2651,'Email Marketing Raw Data'!$C:$O,11,0))),"")</f>
        <v/>
      </c>
      <c r="F2651" s="54" t="str">
        <f>IFERROR(IF(OR($B2651="",$B2651="(blank)"),"",VLOOKUP($B2651,'Email Marketing Raw Data'!$C:$O,13,0)),"")</f>
        <v/>
      </c>
      <c r="G2651" s="55" t="str">
        <f>IFERROR(IF(OR($B2651="",$B2651="(blank)"),"",VLOOKUP($B2651,'Email Marketing Raw Data'!$C:$O,4,0)),"")</f>
        <v/>
      </c>
      <c r="H2651" s="55" t="str">
        <f>IFERROR(IF(OR($B2651="",$B2651="(blank)"),"",VLOOKUP($B2651,'Email Marketing Raw Data'!$C:$O,5,0)),"")</f>
        <v/>
      </c>
      <c r="I2651" s="55" t="str">
        <f>IFERROR(IF($G2651="","",VLOOKUP('Dashboard And Emails Automate'!$G2651,Database!$H:$N,3,0)),"")</f>
        <v/>
      </c>
      <c r="J2651" s="55" t="str">
        <f>IFERROR(IF($G2651="","",VLOOKUP('Dashboard And Emails Automate'!$G2651,Database!$H:$N,4,0)),"")</f>
        <v/>
      </c>
      <c r="K2651" s="55" t="str">
        <f>IFERROR(IF($G2651="","",VLOOKUP('Dashboard And Emails Automate'!$G2651,Database!$H:$N,5,0)),"")</f>
        <v/>
      </c>
      <c r="L2651" s="55" t="str">
        <f>IFERROR(IF($G2651="","",VLOOKUP('Dashboard And Emails Automate'!$G2651,Database!$H:$N,6,0)),"")</f>
        <v/>
      </c>
      <c r="M2651" s="55" t="str">
        <f>IFERROR(IF($G2651="","",VLOOKUP('Dashboard And Emails Automate'!$G2651,Database!$H:$N,7,0)),"")</f>
        <v/>
      </c>
      <c r="N2651" s="55" t="str">
        <f>IFERROR(IF(OR($B2651="",$B2651="(blank)"),"",VLOOKUP($B2651,'Email Marketing Raw Data'!$C:$O,6,0)),"")</f>
        <v/>
      </c>
      <c r="O2651" s="55" t="str">
        <f>IFERROR(IF(OR($B2651="",$B2651="(blank)"),"",VLOOKUP($B2651,'Email Marketing Raw Data'!$C:$O,7,0)),"")</f>
        <v/>
      </c>
      <c r="P2651" s="55" t="str">
        <f>IFERROR(IF(OR($B2651="",$B2651="(blank)"),"",VLOOKUP($B2651,'Email Marketing Raw Data'!$C:$O,8,0)),"")</f>
        <v/>
      </c>
      <c r="Q2651" s="62" t="str">
        <f>IFERROR(IF(OR($B2651="",$B2651="(blank)"),"",VLOOKUP($B2651,'Email Marketing Raw Data'!$C:$O,9,0)),"")</f>
        <v/>
      </c>
    </row>
    <row r="2652" spans="4:17" ht="12.75" customHeight="1" x14ac:dyDescent="0.2">
      <c r="D2652" s="58" t="str">
        <f>IFERROR(IF(F2652&lt;&gt;"pending","",IF(OR($B2652="",$B2652="(blank)"),"",VLOOKUP($B2652,'Email Marketing Raw Data'!$C:$O,10,0))),"")</f>
        <v/>
      </c>
      <c r="E2652" s="59" t="str">
        <f>IFERROR(IF(F2652&lt;&gt;"pending","",IF(OR($B2652="",$B2652="(blank)"),"",VLOOKUP($B2652,'Email Marketing Raw Data'!$C:$O,11,0))),"")</f>
        <v/>
      </c>
      <c r="F2652" s="54" t="str">
        <f>IFERROR(IF(OR($B2652="",$B2652="(blank)"),"",VLOOKUP($B2652,'Email Marketing Raw Data'!$C:$O,13,0)),"")</f>
        <v/>
      </c>
      <c r="G2652" s="55" t="str">
        <f>IFERROR(IF(OR($B2652="",$B2652="(blank)"),"",VLOOKUP($B2652,'Email Marketing Raw Data'!$C:$O,4,0)),"")</f>
        <v/>
      </c>
      <c r="H2652" s="55" t="str">
        <f>IFERROR(IF(OR($B2652="",$B2652="(blank)"),"",VLOOKUP($B2652,'Email Marketing Raw Data'!$C:$O,5,0)),"")</f>
        <v/>
      </c>
      <c r="I2652" s="55" t="str">
        <f>IFERROR(IF($G2652="","",VLOOKUP('Dashboard And Emails Automate'!$G2652,Database!$H:$N,3,0)),"")</f>
        <v/>
      </c>
      <c r="J2652" s="55" t="str">
        <f>IFERROR(IF($G2652="","",VLOOKUP('Dashboard And Emails Automate'!$G2652,Database!$H:$N,4,0)),"")</f>
        <v/>
      </c>
      <c r="K2652" s="55" t="str">
        <f>IFERROR(IF($G2652="","",VLOOKUP('Dashboard And Emails Automate'!$G2652,Database!$H:$N,5,0)),"")</f>
        <v/>
      </c>
      <c r="L2652" s="55" t="str">
        <f>IFERROR(IF($G2652="","",VLOOKUP('Dashboard And Emails Automate'!$G2652,Database!$H:$N,6,0)),"")</f>
        <v/>
      </c>
      <c r="M2652" s="55" t="str">
        <f>IFERROR(IF($G2652="","",VLOOKUP('Dashboard And Emails Automate'!$G2652,Database!$H:$N,7,0)),"")</f>
        <v/>
      </c>
      <c r="N2652" s="55" t="str">
        <f>IFERROR(IF(OR($B2652="",$B2652="(blank)"),"",VLOOKUP($B2652,'Email Marketing Raw Data'!$C:$O,6,0)),"")</f>
        <v/>
      </c>
      <c r="O2652" s="55" t="str">
        <f>IFERROR(IF(OR($B2652="",$B2652="(blank)"),"",VLOOKUP($B2652,'Email Marketing Raw Data'!$C:$O,7,0)),"")</f>
        <v/>
      </c>
      <c r="P2652" s="55" t="str">
        <f>IFERROR(IF(OR($B2652="",$B2652="(blank)"),"",VLOOKUP($B2652,'Email Marketing Raw Data'!$C:$O,8,0)),"")</f>
        <v/>
      </c>
      <c r="Q2652" s="62" t="str">
        <f>IFERROR(IF(OR($B2652="",$B2652="(blank)"),"",VLOOKUP($B2652,'Email Marketing Raw Data'!$C:$O,9,0)),"")</f>
        <v/>
      </c>
    </row>
    <row r="2653" spans="4:17" ht="12.75" customHeight="1" x14ac:dyDescent="0.2">
      <c r="D2653" s="58" t="str">
        <f>IFERROR(IF(F2653&lt;&gt;"pending","",IF(OR($B2653="",$B2653="(blank)"),"",VLOOKUP($B2653,'Email Marketing Raw Data'!$C:$O,10,0))),"")</f>
        <v/>
      </c>
      <c r="E2653" s="59" t="str">
        <f>IFERROR(IF(F2653&lt;&gt;"pending","",IF(OR($B2653="",$B2653="(blank)"),"",VLOOKUP($B2653,'Email Marketing Raw Data'!$C:$O,11,0))),"")</f>
        <v/>
      </c>
      <c r="F2653" s="54" t="str">
        <f>IFERROR(IF(OR($B2653="",$B2653="(blank)"),"",VLOOKUP($B2653,'Email Marketing Raw Data'!$C:$O,13,0)),"")</f>
        <v/>
      </c>
      <c r="G2653" s="55" t="str">
        <f>IFERROR(IF(OR($B2653="",$B2653="(blank)"),"",VLOOKUP($B2653,'Email Marketing Raw Data'!$C:$O,4,0)),"")</f>
        <v/>
      </c>
      <c r="H2653" s="55" t="str">
        <f>IFERROR(IF(OR($B2653="",$B2653="(blank)"),"",VLOOKUP($B2653,'Email Marketing Raw Data'!$C:$O,5,0)),"")</f>
        <v/>
      </c>
      <c r="I2653" s="55" t="str">
        <f>IFERROR(IF($G2653="","",VLOOKUP('Dashboard And Emails Automate'!$G2653,Database!$H:$N,3,0)),"")</f>
        <v/>
      </c>
      <c r="J2653" s="55" t="str">
        <f>IFERROR(IF($G2653="","",VLOOKUP('Dashboard And Emails Automate'!$G2653,Database!$H:$N,4,0)),"")</f>
        <v/>
      </c>
      <c r="K2653" s="55" t="str">
        <f>IFERROR(IF($G2653="","",VLOOKUP('Dashboard And Emails Automate'!$G2653,Database!$H:$N,5,0)),"")</f>
        <v/>
      </c>
      <c r="L2653" s="55" t="str">
        <f>IFERROR(IF($G2653="","",VLOOKUP('Dashboard And Emails Automate'!$G2653,Database!$H:$N,6,0)),"")</f>
        <v/>
      </c>
      <c r="M2653" s="55" t="str">
        <f>IFERROR(IF($G2653="","",VLOOKUP('Dashboard And Emails Automate'!$G2653,Database!$H:$N,7,0)),"")</f>
        <v/>
      </c>
      <c r="N2653" s="55" t="str">
        <f>IFERROR(IF(OR($B2653="",$B2653="(blank)"),"",VLOOKUP($B2653,'Email Marketing Raw Data'!$C:$O,6,0)),"")</f>
        <v/>
      </c>
      <c r="O2653" s="55" t="str">
        <f>IFERROR(IF(OR($B2653="",$B2653="(blank)"),"",VLOOKUP($B2653,'Email Marketing Raw Data'!$C:$O,7,0)),"")</f>
        <v/>
      </c>
      <c r="P2653" s="55" t="str">
        <f>IFERROR(IF(OR($B2653="",$B2653="(blank)"),"",VLOOKUP($B2653,'Email Marketing Raw Data'!$C:$O,8,0)),"")</f>
        <v/>
      </c>
      <c r="Q2653" s="62" t="str">
        <f>IFERROR(IF(OR($B2653="",$B2653="(blank)"),"",VLOOKUP($B2653,'Email Marketing Raw Data'!$C:$O,9,0)),"")</f>
        <v/>
      </c>
    </row>
    <row r="2654" spans="4:17" ht="12.75" customHeight="1" x14ac:dyDescent="0.2">
      <c r="D2654" s="58" t="str">
        <f>IFERROR(IF(F2654&lt;&gt;"pending","",IF(OR($B2654="",$B2654="(blank)"),"",VLOOKUP($B2654,'Email Marketing Raw Data'!$C:$O,10,0))),"")</f>
        <v/>
      </c>
      <c r="E2654" s="59" t="str">
        <f>IFERROR(IF(F2654&lt;&gt;"pending","",IF(OR($B2654="",$B2654="(blank)"),"",VLOOKUP($B2654,'Email Marketing Raw Data'!$C:$O,11,0))),"")</f>
        <v/>
      </c>
      <c r="F2654" s="54" t="str">
        <f>IFERROR(IF(OR($B2654="",$B2654="(blank)"),"",VLOOKUP($B2654,'Email Marketing Raw Data'!$C:$O,13,0)),"")</f>
        <v/>
      </c>
      <c r="G2654" s="55" t="str">
        <f>IFERROR(IF(OR($B2654="",$B2654="(blank)"),"",VLOOKUP($B2654,'Email Marketing Raw Data'!$C:$O,4,0)),"")</f>
        <v/>
      </c>
      <c r="H2654" s="55" t="str">
        <f>IFERROR(IF(OR($B2654="",$B2654="(blank)"),"",VLOOKUP($B2654,'Email Marketing Raw Data'!$C:$O,5,0)),"")</f>
        <v/>
      </c>
      <c r="I2654" s="55" t="str">
        <f>IFERROR(IF($G2654="","",VLOOKUP('Dashboard And Emails Automate'!$G2654,Database!$H:$N,3,0)),"")</f>
        <v/>
      </c>
      <c r="J2654" s="55" t="str">
        <f>IFERROR(IF($G2654="","",VLOOKUP('Dashboard And Emails Automate'!$G2654,Database!$H:$N,4,0)),"")</f>
        <v/>
      </c>
      <c r="K2654" s="55" t="str">
        <f>IFERROR(IF($G2654="","",VLOOKUP('Dashboard And Emails Automate'!$G2654,Database!$H:$N,5,0)),"")</f>
        <v/>
      </c>
      <c r="L2654" s="55" t="str">
        <f>IFERROR(IF($G2654="","",VLOOKUP('Dashboard And Emails Automate'!$G2654,Database!$H:$N,6,0)),"")</f>
        <v/>
      </c>
      <c r="M2654" s="55" t="str">
        <f>IFERROR(IF($G2654="","",VLOOKUP('Dashboard And Emails Automate'!$G2654,Database!$H:$N,7,0)),"")</f>
        <v/>
      </c>
      <c r="N2654" s="55" t="str">
        <f>IFERROR(IF(OR($B2654="",$B2654="(blank)"),"",VLOOKUP($B2654,'Email Marketing Raw Data'!$C:$O,6,0)),"")</f>
        <v/>
      </c>
      <c r="O2654" s="55" t="str">
        <f>IFERROR(IF(OR($B2654="",$B2654="(blank)"),"",VLOOKUP($B2654,'Email Marketing Raw Data'!$C:$O,7,0)),"")</f>
        <v/>
      </c>
      <c r="P2654" s="55" t="str">
        <f>IFERROR(IF(OR($B2654="",$B2654="(blank)"),"",VLOOKUP($B2654,'Email Marketing Raw Data'!$C:$O,8,0)),"")</f>
        <v/>
      </c>
      <c r="Q2654" s="62" t="str">
        <f>IFERROR(IF(OR($B2654="",$B2654="(blank)"),"",VLOOKUP($B2654,'Email Marketing Raw Data'!$C:$O,9,0)),"")</f>
        <v/>
      </c>
    </row>
    <row r="2655" spans="4:17" ht="12.75" customHeight="1" x14ac:dyDescent="0.2">
      <c r="D2655" s="58" t="str">
        <f>IFERROR(IF(F2655&lt;&gt;"pending","",IF(OR($B2655="",$B2655="(blank)"),"",VLOOKUP($B2655,'Email Marketing Raw Data'!$C:$O,10,0))),"")</f>
        <v/>
      </c>
      <c r="E2655" s="59" t="str">
        <f>IFERROR(IF(F2655&lt;&gt;"pending","",IF(OR($B2655="",$B2655="(blank)"),"",VLOOKUP($B2655,'Email Marketing Raw Data'!$C:$O,11,0))),"")</f>
        <v/>
      </c>
      <c r="F2655" s="54" t="str">
        <f>IFERROR(IF(OR($B2655="",$B2655="(blank)"),"",VLOOKUP($B2655,'Email Marketing Raw Data'!$C:$O,13,0)),"")</f>
        <v/>
      </c>
      <c r="G2655" s="55" t="str">
        <f>IFERROR(IF(OR($B2655="",$B2655="(blank)"),"",VLOOKUP($B2655,'Email Marketing Raw Data'!$C:$O,4,0)),"")</f>
        <v/>
      </c>
      <c r="H2655" s="55" t="str">
        <f>IFERROR(IF(OR($B2655="",$B2655="(blank)"),"",VLOOKUP($B2655,'Email Marketing Raw Data'!$C:$O,5,0)),"")</f>
        <v/>
      </c>
      <c r="I2655" s="55" t="str">
        <f>IFERROR(IF($G2655="","",VLOOKUP('Dashboard And Emails Automate'!$G2655,Database!$H:$N,3,0)),"")</f>
        <v/>
      </c>
      <c r="J2655" s="55" t="str">
        <f>IFERROR(IF($G2655="","",VLOOKUP('Dashboard And Emails Automate'!$G2655,Database!$H:$N,4,0)),"")</f>
        <v/>
      </c>
      <c r="K2655" s="55" t="str">
        <f>IFERROR(IF($G2655="","",VLOOKUP('Dashboard And Emails Automate'!$G2655,Database!$H:$N,5,0)),"")</f>
        <v/>
      </c>
      <c r="L2655" s="55" t="str">
        <f>IFERROR(IF($G2655="","",VLOOKUP('Dashboard And Emails Automate'!$G2655,Database!$H:$N,6,0)),"")</f>
        <v/>
      </c>
      <c r="M2655" s="55" t="str">
        <f>IFERROR(IF($G2655="","",VLOOKUP('Dashboard And Emails Automate'!$G2655,Database!$H:$N,7,0)),"")</f>
        <v/>
      </c>
      <c r="N2655" s="55" t="str">
        <f>IFERROR(IF(OR($B2655="",$B2655="(blank)"),"",VLOOKUP($B2655,'Email Marketing Raw Data'!$C:$O,6,0)),"")</f>
        <v/>
      </c>
      <c r="O2655" s="55" t="str">
        <f>IFERROR(IF(OR($B2655="",$B2655="(blank)"),"",VLOOKUP($B2655,'Email Marketing Raw Data'!$C:$O,7,0)),"")</f>
        <v/>
      </c>
      <c r="P2655" s="55" t="str">
        <f>IFERROR(IF(OR($B2655="",$B2655="(blank)"),"",VLOOKUP($B2655,'Email Marketing Raw Data'!$C:$O,8,0)),"")</f>
        <v/>
      </c>
      <c r="Q2655" s="62" t="str">
        <f>IFERROR(IF(OR($B2655="",$B2655="(blank)"),"",VLOOKUP($B2655,'Email Marketing Raw Data'!$C:$O,9,0)),"")</f>
        <v/>
      </c>
    </row>
    <row r="2656" spans="4:17" ht="12.75" customHeight="1" x14ac:dyDescent="0.2">
      <c r="D2656" s="58" t="str">
        <f>IFERROR(IF(F2656&lt;&gt;"pending","",IF(OR($B2656="",$B2656="(blank)"),"",VLOOKUP($B2656,'Email Marketing Raw Data'!$C:$O,10,0))),"")</f>
        <v/>
      </c>
      <c r="E2656" s="59" t="str">
        <f>IFERROR(IF(F2656&lt;&gt;"pending","",IF(OR($B2656="",$B2656="(blank)"),"",VLOOKUP($B2656,'Email Marketing Raw Data'!$C:$O,11,0))),"")</f>
        <v/>
      </c>
      <c r="F2656" s="54" t="str">
        <f>IFERROR(IF(OR($B2656="",$B2656="(blank)"),"",VLOOKUP($B2656,'Email Marketing Raw Data'!$C:$O,13,0)),"")</f>
        <v/>
      </c>
      <c r="G2656" s="55" t="str">
        <f>IFERROR(IF(OR($B2656="",$B2656="(blank)"),"",VLOOKUP($B2656,'Email Marketing Raw Data'!$C:$O,4,0)),"")</f>
        <v/>
      </c>
      <c r="H2656" s="55" t="str">
        <f>IFERROR(IF(OR($B2656="",$B2656="(blank)"),"",VLOOKUP($B2656,'Email Marketing Raw Data'!$C:$O,5,0)),"")</f>
        <v/>
      </c>
      <c r="I2656" s="55" t="str">
        <f>IFERROR(IF($G2656="","",VLOOKUP('Dashboard And Emails Automate'!$G2656,Database!$H:$N,3,0)),"")</f>
        <v/>
      </c>
      <c r="J2656" s="55" t="str">
        <f>IFERROR(IF($G2656="","",VLOOKUP('Dashboard And Emails Automate'!$G2656,Database!$H:$N,4,0)),"")</f>
        <v/>
      </c>
      <c r="K2656" s="55" t="str">
        <f>IFERROR(IF($G2656="","",VLOOKUP('Dashboard And Emails Automate'!$G2656,Database!$H:$N,5,0)),"")</f>
        <v/>
      </c>
      <c r="L2656" s="55" t="str">
        <f>IFERROR(IF($G2656="","",VLOOKUP('Dashboard And Emails Automate'!$G2656,Database!$H:$N,6,0)),"")</f>
        <v/>
      </c>
      <c r="M2656" s="55" t="str">
        <f>IFERROR(IF($G2656="","",VLOOKUP('Dashboard And Emails Automate'!$G2656,Database!$H:$N,7,0)),"")</f>
        <v/>
      </c>
      <c r="N2656" s="55" t="str">
        <f>IFERROR(IF(OR($B2656="",$B2656="(blank)"),"",VLOOKUP($B2656,'Email Marketing Raw Data'!$C:$O,6,0)),"")</f>
        <v/>
      </c>
      <c r="O2656" s="55" t="str">
        <f>IFERROR(IF(OR($B2656="",$B2656="(blank)"),"",VLOOKUP($B2656,'Email Marketing Raw Data'!$C:$O,7,0)),"")</f>
        <v/>
      </c>
      <c r="P2656" s="55" t="str">
        <f>IFERROR(IF(OR($B2656="",$B2656="(blank)"),"",VLOOKUP($B2656,'Email Marketing Raw Data'!$C:$O,8,0)),"")</f>
        <v/>
      </c>
      <c r="Q2656" s="62" t="str">
        <f>IFERROR(IF(OR($B2656="",$B2656="(blank)"),"",VLOOKUP($B2656,'Email Marketing Raw Data'!$C:$O,9,0)),"")</f>
        <v/>
      </c>
    </row>
    <row r="2657" spans="4:17" ht="12.75" customHeight="1" x14ac:dyDescent="0.2">
      <c r="D2657" s="58" t="str">
        <f>IFERROR(IF(F2657&lt;&gt;"pending","",IF(OR($B2657="",$B2657="(blank)"),"",VLOOKUP($B2657,'Email Marketing Raw Data'!$C:$O,10,0))),"")</f>
        <v/>
      </c>
      <c r="E2657" s="59" t="str">
        <f>IFERROR(IF(F2657&lt;&gt;"pending","",IF(OR($B2657="",$B2657="(blank)"),"",VLOOKUP($B2657,'Email Marketing Raw Data'!$C:$O,11,0))),"")</f>
        <v/>
      </c>
      <c r="F2657" s="54" t="str">
        <f>IFERROR(IF(OR($B2657="",$B2657="(blank)"),"",VLOOKUP($B2657,'Email Marketing Raw Data'!$C:$O,13,0)),"")</f>
        <v/>
      </c>
      <c r="G2657" s="55" t="str">
        <f>IFERROR(IF(OR($B2657="",$B2657="(blank)"),"",VLOOKUP($B2657,'Email Marketing Raw Data'!$C:$O,4,0)),"")</f>
        <v/>
      </c>
      <c r="H2657" s="55" t="str">
        <f>IFERROR(IF(OR($B2657="",$B2657="(blank)"),"",VLOOKUP($B2657,'Email Marketing Raw Data'!$C:$O,5,0)),"")</f>
        <v/>
      </c>
      <c r="I2657" s="55" t="str">
        <f>IFERROR(IF($G2657="","",VLOOKUP('Dashboard And Emails Automate'!$G2657,Database!$H:$N,3,0)),"")</f>
        <v/>
      </c>
      <c r="J2657" s="55" t="str">
        <f>IFERROR(IF($G2657="","",VLOOKUP('Dashboard And Emails Automate'!$G2657,Database!$H:$N,4,0)),"")</f>
        <v/>
      </c>
      <c r="K2657" s="55" t="str">
        <f>IFERROR(IF($G2657="","",VLOOKUP('Dashboard And Emails Automate'!$G2657,Database!$H:$N,5,0)),"")</f>
        <v/>
      </c>
      <c r="L2657" s="55" t="str">
        <f>IFERROR(IF($G2657="","",VLOOKUP('Dashboard And Emails Automate'!$G2657,Database!$H:$N,6,0)),"")</f>
        <v/>
      </c>
      <c r="M2657" s="55" t="str">
        <f>IFERROR(IF($G2657="","",VLOOKUP('Dashboard And Emails Automate'!$G2657,Database!$H:$N,7,0)),"")</f>
        <v/>
      </c>
      <c r="N2657" s="55" t="str">
        <f>IFERROR(IF(OR($B2657="",$B2657="(blank)"),"",VLOOKUP($B2657,'Email Marketing Raw Data'!$C:$O,6,0)),"")</f>
        <v/>
      </c>
      <c r="O2657" s="55" t="str">
        <f>IFERROR(IF(OR($B2657="",$B2657="(blank)"),"",VLOOKUP($B2657,'Email Marketing Raw Data'!$C:$O,7,0)),"")</f>
        <v/>
      </c>
      <c r="P2657" s="55" t="str">
        <f>IFERROR(IF(OR($B2657="",$B2657="(blank)"),"",VLOOKUP($B2657,'Email Marketing Raw Data'!$C:$O,8,0)),"")</f>
        <v/>
      </c>
      <c r="Q2657" s="62" t="str">
        <f>IFERROR(IF(OR($B2657="",$B2657="(blank)"),"",VLOOKUP($B2657,'Email Marketing Raw Data'!$C:$O,9,0)),"")</f>
        <v/>
      </c>
    </row>
    <row r="2658" spans="4:17" ht="12.75" customHeight="1" x14ac:dyDescent="0.2">
      <c r="D2658" s="58" t="str">
        <f>IFERROR(IF(F2658&lt;&gt;"pending","",IF(OR($B2658="",$B2658="(blank)"),"",VLOOKUP($B2658,'Email Marketing Raw Data'!$C:$O,10,0))),"")</f>
        <v/>
      </c>
      <c r="E2658" s="59" t="str">
        <f>IFERROR(IF(F2658&lt;&gt;"pending","",IF(OR($B2658="",$B2658="(blank)"),"",VLOOKUP($B2658,'Email Marketing Raw Data'!$C:$O,11,0))),"")</f>
        <v/>
      </c>
      <c r="F2658" s="54" t="str">
        <f>IFERROR(IF(OR($B2658="",$B2658="(blank)"),"",VLOOKUP($B2658,'Email Marketing Raw Data'!$C:$O,13,0)),"")</f>
        <v/>
      </c>
      <c r="G2658" s="55" t="str">
        <f>IFERROR(IF(OR($B2658="",$B2658="(blank)"),"",VLOOKUP($B2658,'Email Marketing Raw Data'!$C:$O,4,0)),"")</f>
        <v/>
      </c>
      <c r="H2658" s="55" t="str">
        <f>IFERROR(IF(OR($B2658="",$B2658="(blank)"),"",VLOOKUP($B2658,'Email Marketing Raw Data'!$C:$O,5,0)),"")</f>
        <v/>
      </c>
      <c r="I2658" s="55" t="str">
        <f>IFERROR(IF($G2658="","",VLOOKUP('Dashboard And Emails Automate'!$G2658,Database!$H:$N,3,0)),"")</f>
        <v/>
      </c>
      <c r="J2658" s="55" t="str">
        <f>IFERROR(IF($G2658="","",VLOOKUP('Dashboard And Emails Automate'!$G2658,Database!$H:$N,4,0)),"")</f>
        <v/>
      </c>
      <c r="K2658" s="55" t="str">
        <f>IFERROR(IF($G2658="","",VLOOKUP('Dashboard And Emails Automate'!$G2658,Database!$H:$N,5,0)),"")</f>
        <v/>
      </c>
      <c r="L2658" s="55" t="str">
        <f>IFERROR(IF($G2658="","",VLOOKUP('Dashboard And Emails Automate'!$G2658,Database!$H:$N,6,0)),"")</f>
        <v/>
      </c>
      <c r="M2658" s="55" t="str">
        <f>IFERROR(IF($G2658="","",VLOOKUP('Dashboard And Emails Automate'!$G2658,Database!$H:$N,7,0)),"")</f>
        <v/>
      </c>
      <c r="N2658" s="55" t="str">
        <f>IFERROR(IF(OR($B2658="",$B2658="(blank)"),"",VLOOKUP($B2658,'Email Marketing Raw Data'!$C:$O,6,0)),"")</f>
        <v/>
      </c>
      <c r="O2658" s="55" t="str">
        <f>IFERROR(IF(OR($B2658="",$B2658="(blank)"),"",VLOOKUP($B2658,'Email Marketing Raw Data'!$C:$O,7,0)),"")</f>
        <v/>
      </c>
      <c r="P2658" s="55" t="str">
        <f>IFERROR(IF(OR($B2658="",$B2658="(blank)"),"",VLOOKUP($B2658,'Email Marketing Raw Data'!$C:$O,8,0)),"")</f>
        <v/>
      </c>
      <c r="Q2658" s="62" t="str">
        <f>IFERROR(IF(OR($B2658="",$B2658="(blank)"),"",VLOOKUP($B2658,'Email Marketing Raw Data'!$C:$O,9,0)),"")</f>
        <v/>
      </c>
    </row>
    <row r="2659" spans="4:17" ht="12.75" customHeight="1" x14ac:dyDescent="0.2">
      <c r="D2659" s="58" t="str">
        <f>IFERROR(IF(F2659&lt;&gt;"pending","",IF(OR($B2659="",$B2659="(blank)"),"",VLOOKUP($B2659,'Email Marketing Raw Data'!$C:$O,10,0))),"")</f>
        <v/>
      </c>
      <c r="E2659" s="59" t="str">
        <f>IFERROR(IF(F2659&lt;&gt;"pending","",IF(OR($B2659="",$B2659="(blank)"),"",VLOOKUP($B2659,'Email Marketing Raw Data'!$C:$O,11,0))),"")</f>
        <v/>
      </c>
      <c r="F2659" s="54" t="str">
        <f>IFERROR(IF(OR($B2659="",$B2659="(blank)"),"",VLOOKUP($B2659,'Email Marketing Raw Data'!$C:$O,13,0)),"")</f>
        <v/>
      </c>
      <c r="G2659" s="55" t="str">
        <f>IFERROR(IF(OR($B2659="",$B2659="(blank)"),"",VLOOKUP($B2659,'Email Marketing Raw Data'!$C:$O,4,0)),"")</f>
        <v/>
      </c>
      <c r="H2659" s="55" t="str">
        <f>IFERROR(IF(OR($B2659="",$B2659="(blank)"),"",VLOOKUP($B2659,'Email Marketing Raw Data'!$C:$O,5,0)),"")</f>
        <v/>
      </c>
      <c r="I2659" s="55" t="str">
        <f>IFERROR(IF($G2659="","",VLOOKUP('Dashboard And Emails Automate'!$G2659,Database!$H:$N,3,0)),"")</f>
        <v/>
      </c>
      <c r="J2659" s="55" t="str">
        <f>IFERROR(IF($G2659="","",VLOOKUP('Dashboard And Emails Automate'!$G2659,Database!$H:$N,4,0)),"")</f>
        <v/>
      </c>
      <c r="K2659" s="55" t="str">
        <f>IFERROR(IF($G2659="","",VLOOKUP('Dashboard And Emails Automate'!$G2659,Database!$H:$N,5,0)),"")</f>
        <v/>
      </c>
      <c r="L2659" s="55" t="str">
        <f>IFERROR(IF($G2659="","",VLOOKUP('Dashboard And Emails Automate'!$G2659,Database!$H:$N,6,0)),"")</f>
        <v/>
      </c>
      <c r="M2659" s="55" t="str">
        <f>IFERROR(IF($G2659="","",VLOOKUP('Dashboard And Emails Automate'!$G2659,Database!$H:$N,7,0)),"")</f>
        <v/>
      </c>
      <c r="N2659" s="55" t="str">
        <f>IFERROR(IF(OR($B2659="",$B2659="(blank)"),"",VLOOKUP($B2659,'Email Marketing Raw Data'!$C:$O,6,0)),"")</f>
        <v/>
      </c>
      <c r="O2659" s="55" t="str">
        <f>IFERROR(IF(OR($B2659="",$B2659="(blank)"),"",VLOOKUP($B2659,'Email Marketing Raw Data'!$C:$O,7,0)),"")</f>
        <v/>
      </c>
      <c r="P2659" s="55" t="str">
        <f>IFERROR(IF(OR($B2659="",$B2659="(blank)"),"",VLOOKUP($B2659,'Email Marketing Raw Data'!$C:$O,8,0)),"")</f>
        <v/>
      </c>
      <c r="Q2659" s="62" t="str">
        <f>IFERROR(IF(OR($B2659="",$B2659="(blank)"),"",VLOOKUP($B2659,'Email Marketing Raw Data'!$C:$O,9,0)),"")</f>
        <v/>
      </c>
    </row>
    <row r="2660" spans="4:17" ht="12.75" customHeight="1" x14ac:dyDescent="0.2">
      <c r="D2660" s="58" t="str">
        <f>IFERROR(IF(F2660&lt;&gt;"pending","",IF(OR($B2660="",$B2660="(blank)"),"",VLOOKUP($B2660,'Email Marketing Raw Data'!$C:$O,10,0))),"")</f>
        <v/>
      </c>
      <c r="E2660" s="59" t="str">
        <f>IFERROR(IF(F2660&lt;&gt;"pending","",IF(OR($B2660="",$B2660="(blank)"),"",VLOOKUP($B2660,'Email Marketing Raw Data'!$C:$O,11,0))),"")</f>
        <v/>
      </c>
      <c r="F2660" s="54" t="str">
        <f>IFERROR(IF(OR($B2660="",$B2660="(blank)"),"",VLOOKUP($B2660,'Email Marketing Raw Data'!$C:$O,13,0)),"")</f>
        <v/>
      </c>
      <c r="G2660" s="55" t="str">
        <f>IFERROR(IF(OR($B2660="",$B2660="(blank)"),"",VLOOKUP($B2660,'Email Marketing Raw Data'!$C:$O,4,0)),"")</f>
        <v/>
      </c>
      <c r="H2660" s="55" t="str">
        <f>IFERROR(IF(OR($B2660="",$B2660="(blank)"),"",VLOOKUP($B2660,'Email Marketing Raw Data'!$C:$O,5,0)),"")</f>
        <v/>
      </c>
      <c r="I2660" s="55" t="str">
        <f>IFERROR(IF($G2660="","",VLOOKUP('Dashboard And Emails Automate'!$G2660,Database!$H:$N,3,0)),"")</f>
        <v/>
      </c>
      <c r="J2660" s="55" t="str">
        <f>IFERROR(IF($G2660="","",VLOOKUP('Dashboard And Emails Automate'!$G2660,Database!$H:$N,4,0)),"")</f>
        <v/>
      </c>
      <c r="K2660" s="55" t="str">
        <f>IFERROR(IF($G2660="","",VLOOKUP('Dashboard And Emails Automate'!$G2660,Database!$H:$N,5,0)),"")</f>
        <v/>
      </c>
      <c r="L2660" s="55" t="str">
        <f>IFERROR(IF($G2660="","",VLOOKUP('Dashboard And Emails Automate'!$G2660,Database!$H:$N,6,0)),"")</f>
        <v/>
      </c>
      <c r="M2660" s="55" t="str">
        <f>IFERROR(IF($G2660="","",VLOOKUP('Dashboard And Emails Automate'!$G2660,Database!$H:$N,7,0)),"")</f>
        <v/>
      </c>
      <c r="N2660" s="55" t="str">
        <f>IFERROR(IF(OR($B2660="",$B2660="(blank)"),"",VLOOKUP($B2660,'Email Marketing Raw Data'!$C:$O,6,0)),"")</f>
        <v/>
      </c>
      <c r="O2660" s="55" t="str">
        <f>IFERROR(IF(OR($B2660="",$B2660="(blank)"),"",VLOOKUP($B2660,'Email Marketing Raw Data'!$C:$O,7,0)),"")</f>
        <v/>
      </c>
      <c r="P2660" s="55" t="str">
        <f>IFERROR(IF(OR($B2660="",$B2660="(blank)"),"",VLOOKUP($B2660,'Email Marketing Raw Data'!$C:$O,8,0)),"")</f>
        <v/>
      </c>
      <c r="Q2660" s="62" t="str">
        <f>IFERROR(IF(OR($B2660="",$B2660="(blank)"),"",VLOOKUP($B2660,'Email Marketing Raw Data'!$C:$O,9,0)),"")</f>
        <v/>
      </c>
    </row>
    <row r="2661" spans="4:17" ht="12.75" customHeight="1" x14ac:dyDescent="0.2">
      <c r="D2661" s="58" t="str">
        <f>IFERROR(IF(F2661&lt;&gt;"pending","",IF(OR($B2661="",$B2661="(blank)"),"",VLOOKUP($B2661,'Email Marketing Raw Data'!$C:$O,10,0))),"")</f>
        <v/>
      </c>
      <c r="E2661" s="59" t="str">
        <f>IFERROR(IF(F2661&lt;&gt;"pending","",IF(OR($B2661="",$B2661="(blank)"),"",VLOOKUP($B2661,'Email Marketing Raw Data'!$C:$O,11,0))),"")</f>
        <v/>
      </c>
      <c r="F2661" s="54" t="str">
        <f>IFERROR(IF(OR($B2661="",$B2661="(blank)"),"",VLOOKUP($B2661,'Email Marketing Raw Data'!$C:$O,13,0)),"")</f>
        <v/>
      </c>
      <c r="G2661" s="55" t="str">
        <f>IFERROR(IF(OR($B2661="",$B2661="(blank)"),"",VLOOKUP($B2661,'Email Marketing Raw Data'!$C:$O,4,0)),"")</f>
        <v/>
      </c>
      <c r="H2661" s="55" t="str">
        <f>IFERROR(IF(OR($B2661="",$B2661="(blank)"),"",VLOOKUP($B2661,'Email Marketing Raw Data'!$C:$O,5,0)),"")</f>
        <v/>
      </c>
      <c r="I2661" s="55" t="str">
        <f>IFERROR(IF($G2661="","",VLOOKUP('Dashboard And Emails Automate'!$G2661,Database!$H:$N,3,0)),"")</f>
        <v/>
      </c>
      <c r="J2661" s="55" t="str">
        <f>IFERROR(IF($G2661="","",VLOOKUP('Dashboard And Emails Automate'!$G2661,Database!$H:$N,4,0)),"")</f>
        <v/>
      </c>
      <c r="K2661" s="55" t="str">
        <f>IFERROR(IF($G2661="","",VLOOKUP('Dashboard And Emails Automate'!$G2661,Database!$H:$N,5,0)),"")</f>
        <v/>
      </c>
      <c r="L2661" s="55" t="str">
        <f>IFERROR(IF($G2661="","",VLOOKUP('Dashboard And Emails Automate'!$G2661,Database!$H:$N,6,0)),"")</f>
        <v/>
      </c>
      <c r="M2661" s="55" t="str">
        <f>IFERROR(IF($G2661="","",VLOOKUP('Dashboard And Emails Automate'!$G2661,Database!$H:$N,7,0)),"")</f>
        <v/>
      </c>
      <c r="N2661" s="55" t="str">
        <f>IFERROR(IF(OR($B2661="",$B2661="(blank)"),"",VLOOKUP($B2661,'Email Marketing Raw Data'!$C:$O,6,0)),"")</f>
        <v/>
      </c>
      <c r="O2661" s="55" t="str">
        <f>IFERROR(IF(OR($B2661="",$B2661="(blank)"),"",VLOOKUP($B2661,'Email Marketing Raw Data'!$C:$O,7,0)),"")</f>
        <v/>
      </c>
      <c r="P2661" s="55" t="str">
        <f>IFERROR(IF(OR($B2661="",$B2661="(blank)"),"",VLOOKUP($B2661,'Email Marketing Raw Data'!$C:$O,8,0)),"")</f>
        <v/>
      </c>
      <c r="Q2661" s="62" t="str">
        <f>IFERROR(IF(OR($B2661="",$B2661="(blank)"),"",VLOOKUP($B2661,'Email Marketing Raw Data'!$C:$O,9,0)),"")</f>
        <v/>
      </c>
    </row>
    <row r="2662" spans="4:17" ht="12.75" customHeight="1" x14ac:dyDescent="0.2">
      <c r="D2662" s="58" t="str">
        <f>IFERROR(IF(F2662&lt;&gt;"pending","",IF(OR($B2662="",$B2662="(blank)"),"",VLOOKUP($B2662,'Email Marketing Raw Data'!$C:$O,10,0))),"")</f>
        <v/>
      </c>
      <c r="E2662" s="59" t="str">
        <f>IFERROR(IF(F2662&lt;&gt;"pending","",IF(OR($B2662="",$B2662="(blank)"),"",VLOOKUP($B2662,'Email Marketing Raw Data'!$C:$O,11,0))),"")</f>
        <v/>
      </c>
      <c r="F2662" s="54" t="str">
        <f>IFERROR(IF(OR($B2662="",$B2662="(blank)"),"",VLOOKUP($B2662,'Email Marketing Raw Data'!$C:$O,13,0)),"")</f>
        <v/>
      </c>
      <c r="G2662" s="55" t="str">
        <f>IFERROR(IF(OR($B2662="",$B2662="(blank)"),"",VLOOKUP($B2662,'Email Marketing Raw Data'!$C:$O,4,0)),"")</f>
        <v/>
      </c>
      <c r="H2662" s="55" t="str">
        <f>IFERROR(IF(OR($B2662="",$B2662="(blank)"),"",VLOOKUP($B2662,'Email Marketing Raw Data'!$C:$O,5,0)),"")</f>
        <v/>
      </c>
      <c r="I2662" s="55" t="str">
        <f>IFERROR(IF($G2662="","",VLOOKUP('Dashboard And Emails Automate'!$G2662,Database!$H:$N,3,0)),"")</f>
        <v/>
      </c>
      <c r="J2662" s="55" t="str">
        <f>IFERROR(IF($G2662="","",VLOOKUP('Dashboard And Emails Automate'!$G2662,Database!$H:$N,4,0)),"")</f>
        <v/>
      </c>
      <c r="K2662" s="55" t="str">
        <f>IFERROR(IF($G2662="","",VLOOKUP('Dashboard And Emails Automate'!$G2662,Database!$H:$N,5,0)),"")</f>
        <v/>
      </c>
      <c r="L2662" s="55" t="str">
        <f>IFERROR(IF($G2662="","",VLOOKUP('Dashboard And Emails Automate'!$G2662,Database!$H:$N,6,0)),"")</f>
        <v/>
      </c>
      <c r="M2662" s="55" t="str">
        <f>IFERROR(IF($G2662="","",VLOOKUP('Dashboard And Emails Automate'!$G2662,Database!$H:$N,7,0)),"")</f>
        <v/>
      </c>
      <c r="N2662" s="55" t="str">
        <f>IFERROR(IF(OR($B2662="",$B2662="(blank)"),"",VLOOKUP($B2662,'Email Marketing Raw Data'!$C:$O,6,0)),"")</f>
        <v/>
      </c>
      <c r="O2662" s="55" t="str">
        <f>IFERROR(IF(OR($B2662="",$B2662="(blank)"),"",VLOOKUP($B2662,'Email Marketing Raw Data'!$C:$O,7,0)),"")</f>
        <v/>
      </c>
      <c r="P2662" s="55" t="str">
        <f>IFERROR(IF(OR($B2662="",$B2662="(blank)"),"",VLOOKUP($B2662,'Email Marketing Raw Data'!$C:$O,8,0)),"")</f>
        <v/>
      </c>
      <c r="Q2662" s="62" t="str">
        <f>IFERROR(IF(OR($B2662="",$B2662="(blank)"),"",VLOOKUP($B2662,'Email Marketing Raw Data'!$C:$O,9,0)),"")</f>
        <v/>
      </c>
    </row>
    <row r="2663" spans="4:17" ht="12.75" customHeight="1" x14ac:dyDescent="0.2">
      <c r="D2663" s="58" t="str">
        <f>IFERROR(IF(F2663&lt;&gt;"pending","",IF(OR($B2663="",$B2663="(blank)"),"",VLOOKUP($B2663,'Email Marketing Raw Data'!$C:$O,10,0))),"")</f>
        <v/>
      </c>
      <c r="E2663" s="59" t="str">
        <f>IFERROR(IF(F2663&lt;&gt;"pending","",IF(OR($B2663="",$B2663="(blank)"),"",VLOOKUP($B2663,'Email Marketing Raw Data'!$C:$O,11,0))),"")</f>
        <v/>
      </c>
      <c r="F2663" s="54" t="str">
        <f>IFERROR(IF(OR($B2663="",$B2663="(blank)"),"",VLOOKUP($B2663,'Email Marketing Raw Data'!$C:$O,13,0)),"")</f>
        <v/>
      </c>
      <c r="G2663" s="55" t="str">
        <f>IFERROR(IF(OR($B2663="",$B2663="(blank)"),"",VLOOKUP($B2663,'Email Marketing Raw Data'!$C:$O,4,0)),"")</f>
        <v/>
      </c>
      <c r="H2663" s="55" t="str">
        <f>IFERROR(IF(OR($B2663="",$B2663="(blank)"),"",VLOOKUP($B2663,'Email Marketing Raw Data'!$C:$O,5,0)),"")</f>
        <v/>
      </c>
      <c r="I2663" s="55" t="str">
        <f>IFERROR(IF($G2663="","",VLOOKUP('Dashboard And Emails Automate'!$G2663,Database!$H:$N,3,0)),"")</f>
        <v/>
      </c>
      <c r="J2663" s="55" t="str">
        <f>IFERROR(IF($G2663="","",VLOOKUP('Dashboard And Emails Automate'!$G2663,Database!$H:$N,4,0)),"")</f>
        <v/>
      </c>
      <c r="K2663" s="55" t="str">
        <f>IFERROR(IF($G2663="","",VLOOKUP('Dashboard And Emails Automate'!$G2663,Database!$H:$N,5,0)),"")</f>
        <v/>
      </c>
      <c r="L2663" s="55" t="str">
        <f>IFERROR(IF($G2663="","",VLOOKUP('Dashboard And Emails Automate'!$G2663,Database!$H:$N,6,0)),"")</f>
        <v/>
      </c>
      <c r="M2663" s="55" t="str">
        <f>IFERROR(IF($G2663="","",VLOOKUP('Dashboard And Emails Automate'!$G2663,Database!$H:$N,7,0)),"")</f>
        <v/>
      </c>
      <c r="N2663" s="55" t="str">
        <f>IFERROR(IF(OR($B2663="",$B2663="(blank)"),"",VLOOKUP($B2663,'Email Marketing Raw Data'!$C:$O,6,0)),"")</f>
        <v/>
      </c>
      <c r="O2663" s="55" t="str">
        <f>IFERROR(IF(OR($B2663="",$B2663="(blank)"),"",VLOOKUP($B2663,'Email Marketing Raw Data'!$C:$O,7,0)),"")</f>
        <v/>
      </c>
      <c r="P2663" s="55" t="str">
        <f>IFERROR(IF(OR($B2663="",$B2663="(blank)"),"",VLOOKUP($B2663,'Email Marketing Raw Data'!$C:$O,8,0)),"")</f>
        <v/>
      </c>
      <c r="Q2663" s="62" t="str">
        <f>IFERROR(IF(OR($B2663="",$B2663="(blank)"),"",VLOOKUP($B2663,'Email Marketing Raw Data'!$C:$O,9,0)),"")</f>
        <v/>
      </c>
    </row>
    <row r="2664" spans="4:17" ht="12.75" customHeight="1" x14ac:dyDescent="0.2">
      <c r="D2664" s="58" t="str">
        <f>IFERROR(IF(F2664&lt;&gt;"pending","",IF(OR($B2664="",$B2664="(blank)"),"",VLOOKUP($B2664,'Email Marketing Raw Data'!$C:$O,10,0))),"")</f>
        <v/>
      </c>
      <c r="E2664" s="59" t="str">
        <f>IFERROR(IF(F2664&lt;&gt;"pending","",IF(OR($B2664="",$B2664="(blank)"),"",VLOOKUP($B2664,'Email Marketing Raw Data'!$C:$O,11,0))),"")</f>
        <v/>
      </c>
      <c r="F2664" s="54" t="str">
        <f>IFERROR(IF(OR($B2664="",$B2664="(blank)"),"",VLOOKUP($B2664,'Email Marketing Raw Data'!$C:$O,13,0)),"")</f>
        <v/>
      </c>
      <c r="G2664" s="55" t="str">
        <f>IFERROR(IF(OR($B2664="",$B2664="(blank)"),"",VLOOKUP($B2664,'Email Marketing Raw Data'!$C:$O,4,0)),"")</f>
        <v/>
      </c>
      <c r="H2664" s="55" t="str">
        <f>IFERROR(IF(OR($B2664="",$B2664="(blank)"),"",VLOOKUP($B2664,'Email Marketing Raw Data'!$C:$O,5,0)),"")</f>
        <v/>
      </c>
      <c r="I2664" s="55" t="str">
        <f>IFERROR(IF($G2664="","",VLOOKUP('Dashboard And Emails Automate'!$G2664,Database!$H:$N,3,0)),"")</f>
        <v/>
      </c>
      <c r="J2664" s="55" t="str">
        <f>IFERROR(IF($G2664="","",VLOOKUP('Dashboard And Emails Automate'!$G2664,Database!$H:$N,4,0)),"")</f>
        <v/>
      </c>
      <c r="K2664" s="55" t="str">
        <f>IFERROR(IF($G2664="","",VLOOKUP('Dashboard And Emails Automate'!$G2664,Database!$H:$N,5,0)),"")</f>
        <v/>
      </c>
      <c r="L2664" s="55" t="str">
        <f>IFERROR(IF($G2664="","",VLOOKUP('Dashboard And Emails Automate'!$G2664,Database!$H:$N,6,0)),"")</f>
        <v/>
      </c>
      <c r="M2664" s="55" t="str">
        <f>IFERROR(IF($G2664="","",VLOOKUP('Dashboard And Emails Automate'!$G2664,Database!$H:$N,7,0)),"")</f>
        <v/>
      </c>
      <c r="N2664" s="55" t="str">
        <f>IFERROR(IF(OR($B2664="",$B2664="(blank)"),"",VLOOKUP($B2664,'Email Marketing Raw Data'!$C:$O,6,0)),"")</f>
        <v/>
      </c>
      <c r="O2664" s="55" t="str">
        <f>IFERROR(IF(OR($B2664="",$B2664="(blank)"),"",VLOOKUP($B2664,'Email Marketing Raw Data'!$C:$O,7,0)),"")</f>
        <v/>
      </c>
      <c r="P2664" s="55" t="str">
        <f>IFERROR(IF(OR($B2664="",$B2664="(blank)"),"",VLOOKUP($B2664,'Email Marketing Raw Data'!$C:$O,8,0)),"")</f>
        <v/>
      </c>
      <c r="Q2664" s="62" t="str">
        <f>IFERROR(IF(OR($B2664="",$B2664="(blank)"),"",VLOOKUP($B2664,'Email Marketing Raw Data'!$C:$O,9,0)),"")</f>
        <v/>
      </c>
    </row>
    <row r="2665" spans="4:17" ht="12.75" customHeight="1" x14ac:dyDescent="0.2">
      <c r="D2665" s="58" t="str">
        <f>IFERROR(IF(F2665&lt;&gt;"pending","",IF(OR($B2665="",$B2665="(blank)"),"",VLOOKUP($B2665,'Email Marketing Raw Data'!$C:$O,10,0))),"")</f>
        <v/>
      </c>
      <c r="E2665" s="59" t="str">
        <f>IFERROR(IF(F2665&lt;&gt;"pending","",IF(OR($B2665="",$B2665="(blank)"),"",VLOOKUP($B2665,'Email Marketing Raw Data'!$C:$O,11,0))),"")</f>
        <v/>
      </c>
      <c r="F2665" s="54" t="str">
        <f>IFERROR(IF(OR($B2665="",$B2665="(blank)"),"",VLOOKUP($B2665,'Email Marketing Raw Data'!$C:$O,13,0)),"")</f>
        <v/>
      </c>
      <c r="G2665" s="55" t="str">
        <f>IFERROR(IF(OR($B2665="",$B2665="(blank)"),"",VLOOKUP($B2665,'Email Marketing Raw Data'!$C:$O,4,0)),"")</f>
        <v/>
      </c>
      <c r="H2665" s="55" t="str">
        <f>IFERROR(IF(OR($B2665="",$B2665="(blank)"),"",VLOOKUP($B2665,'Email Marketing Raw Data'!$C:$O,5,0)),"")</f>
        <v/>
      </c>
      <c r="I2665" s="55" t="str">
        <f>IFERROR(IF($G2665="","",VLOOKUP('Dashboard And Emails Automate'!$G2665,Database!$H:$N,3,0)),"")</f>
        <v/>
      </c>
      <c r="J2665" s="55" t="str">
        <f>IFERROR(IF($G2665="","",VLOOKUP('Dashboard And Emails Automate'!$G2665,Database!$H:$N,4,0)),"")</f>
        <v/>
      </c>
      <c r="K2665" s="55" t="str">
        <f>IFERROR(IF($G2665="","",VLOOKUP('Dashboard And Emails Automate'!$G2665,Database!$H:$N,5,0)),"")</f>
        <v/>
      </c>
      <c r="L2665" s="55" t="str">
        <f>IFERROR(IF($G2665="","",VLOOKUP('Dashboard And Emails Automate'!$G2665,Database!$H:$N,6,0)),"")</f>
        <v/>
      </c>
      <c r="M2665" s="55" t="str">
        <f>IFERROR(IF($G2665="","",VLOOKUP('Dashboard And Emails Automate'!$G2665,Database!$H:$N,7,0)),"")</f>
        <v/>
      </c>
      <c r="N2665" s="55" t="str">
        <f>IFERROR(IF(OR($B2665="",$B2665="(blank)"),"",VLOOKUP($B2665,'Email Marketing Raw Data'!$C:$O,6,0)),"")</f>
        <v/>
      </c>
      <c r="O2665" s="55" t="str">
        <f>IFERROR(IF(OR($B2665="",$B2665="(blank)"),"",VLOOKUP($B2665,'Email Marketing Raw Data'!$C:$O,7,0)),"")</f>
        <v/>
      </c>
      <c r="P2665" s="55" t="str">
        <f>IFERROR(IF(OR($B2665="",$B2665="(blank)"),"",VLOOKUP($B2665,'Email Marketing Raw Data'!$C:$O,8,0)),"")</f>
        <v/>
      </c>
      <c r="Q2665" s="62" t="str">
        <f>IFERROR(IF(OR($B2665="",$B2665="(blank)"),"",VLOOKUP($B2665,'Email Marketing Raw Data'!$C:$O,9,0)),"")</f>
        <v/>
      </c>
    </row>
    <row r="2666" spans="4:17" ht="12.75" customHeight="1" x14ac:dyDescent="0.2">
      <c r="D2666" s="58" t="str">
        <f>IFERROR(IF(F2666&lt;&gt;"pending","",IF(OR($B2666="",$B2666="(blank)"),"",VLOOKUP($B2666,'Email Marketing Raw Data'!$C:$O,10,0))),"")</f>
        <v/>
      </c>
      <c r="E2666" s="59" t="str">
        <f>IFERROR(IF(F2666&lt;&gt;"pending","",IF(OR($B2666="",$B2666="(blank)"),"",VLOOKUP($B2666,'Email Marketing Raw Data'!$C:$O,11,0))),"")</f>
        <v/>
      </c>
      <c r="F2666" s="54" t="str">
        <f>IFERROR(IF(OR($B2666="",$B2666="(blank)"),"",VLOOKUP($B2666,'Email Marketing Raw Data'!$C:$O,13,0)),"")</f>
        <v/>
      </c>
      <c r="G2666" s="55" t="str">
        <f>IFERROR(IF(OR($B2666="",$B2666="(blank)"),"",VLOOKUP($B2666,'Email Marketing Raw Data'!$C:$O,4,0)),"")</f>
        <v/>
      </c>
      <c r="H2666" s="55" t="str">
        <f>IFERROR(IF(OR($B2666="",$B2666="(blank)"),"",VLOOKUP($B2666,'Email Marketing Raw Data'!$C:$O,5,0)),"")</f>
        <v/>
      </c>
      <c r="I2666" s="55" t="str">
        <f>IFERROR(IF($G2666="","",VLOOKUP('Dashboard And Emails Automate'!$G2666,Database!$H:$N,3,0)),"")</f>
        <v/>
      </c>
      <c r="J2666" s="55" t="str">
        <f>IFERROR(IF($G2666="","",VLOOKUP('Dashboard And Emails Automate'!$G2666,Database!$H:$N,4,0)),"")</f>
        <v/>
      </c>
      <c r="K2666" s="55" t="str">
        <f>IFERROR(IF($G2666="","",VLOOKUP('Dashboard And Emails Automate'!$G2666,Database!$H:$N,5,0)),"")</f>
        <v/>
      </c>
      <c r="L2666" s="55" t="str">
        <f>IFERROR(IF($G2666="","",VLOOKUP('Dashboard And Emails Automate'!$G2666,Database!$H:$N,6,0)),"")</f>
        <v/>
      </c>
      <c r="M2666" s="55" t="str">
        <f>IFERROR(IF($G2666="","",VLOOKUP('Dashboard And Emails Automate'!$G2666,Database!$H:$N,7,0)),"")</f>
        <v/>
      </c>
      <c r="N2666" s="55" t="str">
        <f>IFERROR(IF(OR($B2666="",$B2666="(blank)"),"",VLOOKUP($B2666,'Email Marketing Raw Data'!$C:$O,6,0)),"")</f>
        <v/>
      </c>
      <c r="O2666" s="55" t="str">
        <f>IFERROR(IF(OR($B2666="",$B2666="(blank)"),"",VLOOKUP($B2666,'Email Marketing Raw Data'!$C:$O,7,0)),"")</f>
        <v/>
      </c>
      <c r="P2666" s="55" t="str">
        <f>IFERROR(IF(OR($B2666="",$B2666="(blank)"),"",VLOOKUP($B2666,'Email Marketing Raw Data'!$C:$O,8,0)),"")</f>
        <v/>
      </c>
      <c r="Q2666" s="62" t="str">
        <f>IFERROR(IF(OR($B2666="",$B2666="(blank)"),"",VLOOKUP($B2666,'Email Marketing Raw Data'!$C:$O,9,0)),"")</f>
        <v/>
      </c>
    </row>
    <row r="2667" spans="4:17" ht="12.75" customHeight="1" x14ac:dyDescent="0.2">
      <c r="D2667" s="58" t="str">
        <f>IFERROR(IF(F2667&lt;&gt;"pending","",IF(OR($B2667="",$B2667="(blank)"),"",VLOOKUP($B2667,'Email Marketing Raw Data'!$C:$O,10,0))),"")</f>
        <v/>
      </c>
      <c r="E2667" s="59" t="str">
        <f>IFERROR(IF(F2667&lt;&gt;"pending","",IF(OR($B2667="",$B2667="(blank)"),"",VLOOKUP($B2667,'Email Marketing Raw Data'!$C:$O,11,0))),"")</f>
        <v/>
      </c>
      <c r="F2667" s="54" t="str">
        <f>IFERROR(IF(OR($B2667="",$B2667="(blank)"),"",VLOOKUP($B2667,'Email Marketing Raw Data'!$C:$O,13,0)),"")</f>
        <v/>
      </c>
      <c r="G2667" s="55" t="str">
        <f>IFERROR(IF(OR($B2667="",$B2667="(blank)"),"",VLOOKUP($B2667,'Email Marketing Raw Data'!$C:$O,4,0)),"")</f>
        <v/>
      </c>
      <c r="H2667" s="55" t="str">
        <f>IFERROR(IF(OR($B2667="",$B2667="(blank)"),"",VLOOKUP($B2667,'Email Marketing Raw Data'!$C:$O,5,0)),"")</f>
        <v/>
      </c>
      <c r="I2667" s="55" t="str">
        <f>IFERROR(IF($G2667="","",VLOOKUP('Dashboard And Emails Automate'!$G2667,Database!$H:$N,3,0)),"")</f>
        <v/>
      </c>
      <c r="J2667" s="55" t="str">
        <f>IFERROR(IF($G2667="","",VLOOKUP('Dashboard And Emails Automate'!$G2667,Database!$H:$N,4,0)),"")</f>
        <v/>
      </c>
      <c r="K2667" s="55" t="str">
        <f>IFERROR(IF($G2667="","",VLOOKUP('Dashboard And Emails Automate'!$G2667,Database!$H:$N,5,0)),"")</f>
        <v/>
      </c>
      <c r="L2667" s="55" t="str">
        <f>IFERROR(IF($G2667="","",VLOOKUP('Dashboard And Emails Automate'!$G2667,Database!$H:$N,6,0)),"")</f>
        <v/>
      </c>
      <c r="M2667" s="55" t="str">
        <f>IFERROR(IF($G2667="","",VLOOKUP('Dashboard And Emails Automate'!$G2667,Database!$H:$N,7,0)),"")</f>
        <v/>
      </c>
      <c r="N2667" s="55" t="str">
        <f>IFERROR(IF(OR($B2667="",$B2667="(blank)"),"",VLOOKUP($B2667,'Email Marketing Raw Data'!$C:$O,6,0)),"")</f>
        <v/>
      </c>
      <c r="O2667" s="55" t="str">
        <f>IFERROR(IF(OR($B2667="",$B2667="(blank)"),"",VLOOKUP($B2667,'Email Marketing Raw Data'!$C:$O,7,0)),"")</f>
        <v/>
      </c>
      <c r="P2667" s="55" t="str">
        <f>IFERROR(IF(OR($B2667="",$B2667="(blank)"),"",VLOOKUP($B2667,'Email Marketing Raw Data'!$C:$O,8,0)),"")</f>
        <v/>
      </c>
      <c r="Q2667" s="62" t="str">
        <f>IFERROR(IF(OR($B2667="",$B2667="(blank)"),"",VLOOKUP($B2667,'Email Marketing Raw Data'!$C:$O,9,0)),"")</f>
        <v/>
      </c>
    </row>
    <row r="2668" spans="4:17" ht="12.75" customHeight="1" x14ac:dyDescent="0.2">
      <c r="D2668" s="58" t="str">
        <f>IFERROR(IF(F2668&lt;&gt;"pending","",IF(OR($B2668="",$B2668="(blank)"),"",VLOOKUP($B2668,'Email Marketing Raw Data'!$C:$O,10,0))),"")</f>
        <v/>
      </c>
      <c r="E2668" s="59" t="str">
        <f>IFERROR(IF(F2668&lt;&gt;"pending","",IF(OR($B2668="",$B2668="(blank)"),"",VLOOKUP($B2668,'Email Marketing Raw Data'!$C:$O,11,0))),"")</f>
        <v/>
      </c>
      <c r="F2668" s="54" t="str">
        <f>IFERROR(IF(OR($B2668="",$B2668="(blank)"),"",VLOOKUP($B2668,'Email Marketing Raw Data'!$C:$O,13,0)),"")</f>
        <v/>
      </c>
      <c r="G2668" s="55" t="str">
        <f>IFERROR(IF(OR($B2668="",$B2668="(blank)"),"",VLOOKUP($B2668,'Email Marketing Raw Data'!$C:$O,4,0)),"")</f>
        <v/>
      </c>
      <c r="H2668" s="55" t="str">
        <f>IFERROR(IF(OR($B2668="",$B2668="(blank)"),"",VLOOKUP($B2668,'Email Marketing Raw Data'!$C:$O,5,0)),"")</f>
        <v/>
      </c>
      <c r="I2668" s="55" t="str">
        <f>IFERROR(IF($G2668="","",VLOOKUP('Dashboard And Emails Automate'!$G2668,Database!$H:$N,3,0)),"")</f>
        <v/>
      </c>
      <c r="J2668" s="55" t="str">
        <f>IFERROR(IF($G2668="","",VLOOKUP('Dashboard And Emails Automate'!$G2668,Database!$H:$N,4,0)),"")</f>
        <v/>
      </c>
      <c r="K2668" s="55" t="str">
        <f>IFERROR(IF($G2668="","",VLOOKUP('Dashboard And Emails Automate'!$G2668,Database!$H:$N,5,0)),"")</f>
        <v/>
      </c>
      <c r="L2668" s="55" t="str">
        <f>IFERROR(IF($G2668="","",VLOOKUP('Dashboard And Emails Automate'!$G2668,Database!$H:$N,6,0)),"")</f>
        <v/>
      </c>
      <c r="M2668" s="55" t="str">
        <f>IFERROR(IF($G2668="","",VLOOKUP('Dashboard And Emails Automate'!$G2668,Database!$H:$N,7,0)),"")</f>
        <v/>
      </c>
      <c r="N2668" s="55" t="str">
        <f>IFERROR(IF(OR($B2668="",$B2668="(blank)"),"",VLOOKUP($B2668,'Email Marketing Raw Data'!$C:$O,6,0)),"")</f>
        <v/>
      </c>
      <c r="O2668" s="55" t="str">
        <f>IFERROR(IF(OR($B2668="",$B2668="(blank)"),"",VLOOKUP($B2668,'Email Marketing Raw Data'!$C:$O,7,0)),"")</f>
        <v/>
      </c>
      <c r="P2668" s="55" t="str">
        <f>IFERROR(IF(OR($B2668="",$B2668="(blank)"),"",VLOOKUP($B2668,'Email Marketing Raw Data'!$C:$O,8,0)),"")</f>
        <v/>
      </c>
      <c r="Q2668" s="62" t="str">
        <f>IFERROR(IF(OR($B2668="",$B2668="(blank)"),"",VLOOKUP($B2668,'Email Marketing Raw Data'!$C:$O,9,0)),"")</f>
        <v/>
      </c>
    </row>
    <row r="2669" spans="4:17" ht="12.75" customHeight="1" x14ac:dyDescent="0.2">
      <c r="D2669" s="58" t="str">
        <f>IFERROR(IF(F2669&lt;&gt;"pending","",IF(OR($B2669="",$B2669="(blank)"),"",VLOOKUP($B2669,'Email Marketing Raw Data'!$C:$O,10,0))),"")</f>
        <v/>
      </c>
      <c r="E2669" s="59" t="str">
        <f>IFERROR(IF(F2669&lt;&gt;"pending","",IF(OR($B2669="",$B2669="(blank)"),"",VLOOKUP($B2669,'Email Marketing Raw Data'!$C:$O,11,0))),"")</f>
        <v/>
      </c>
      <c r="F2669" s="54" t="str">
        <f>IFERROR(IF(OR($B2669="",$B2669="(blank)"),"",VLOOKUP($B2669,'Email Marketing Raw Data'!$C:$O,13,0)),"")</f>
        <v/>
      </c>
      <c r="G2669" s="55" t="str">
        <f>IFERROR(IF(OR($B2669="",$B2669="(blank)"),"",VLOOKUP($B2669,'Email Marketing Raw Data'!$C:$O,4,0)),"")</f>
        <v/>
      </c>
      <c r="H2669" s="55" t="str">
        <f>IFERROR(IF(OR($B2669="",$B2669="(blank)"),"",VLOOKUP($B2669,'Email Marketing Raw Data'!$C:$O,5,0)),"")</f>
        <v/>
      </c>
      <c r="I2669" s="55" t="str">
        <f>IFERROR(IF($G2669="","",VLOOKUP('Dashboard And Emails Automate'!$G2669,Database!$H:$N,3,0)),"")</f>
        <v/>
      </c>
      <c r="J2669" s="55" t="str">
        <f>IFERROR(IF($G2669="","",VLOOKUP('Dashboard And Emails Automate'!$G2669,Database!$H:$N,4,0)),"")</f>
        <v/>
      </c>
      <c r="K2669" s="55" t="str">
        <f>IFERROR(IF($G2669="","",VLOOKUP('Dashboard And Emails Automate'!$G2669,Database!$H:$N,5,0)),"")</f>
        <v/>
      </c>
      <c r="L2669" s="55" t="str">
        <f>IFERROR(IF($G2669="","",VLOOKUP('Dashboard And Emails Automate'!$G2669,Database!$H:$N,6,0)),"")</f>
        <v/>
      </c>
      <c r="M2669" s="55" t="str">
        <f>IFERROR(IF($G2669="","",VLOOKUP('Dashboard And Emails Automate'!$G2669,Database!$H:$N,7,0)),"")</f>
        <v/>
      </c>
      <c r="N2669" s="55" t="str">
        <f>IFERROR(IF(OR($B2669="",$B2669="(blank)"),"",VLOOKUP($B2669,'Email Marketing Raw Data'!$C:$O,6,0)),"")</f>
        <v/>
      </c>
      <c r="O2669" s="55" t="str">
        <f>IFERROR(IF(OR($B2669="",$B2669="(blank)"),"",VLOOKUP($B2669,'Email Marketing Raw Data'!$C:$O,7,0)),"")</f>
        <v/>
      </c>
      <c r="P2669" s="55" t="str">
        <f>IFERROR(IF(OR($B2669="",$B2669="(blank)"),"",VLOOKUP($B2669,'Email Marketing Raw Data'!$C:$O,8,0)),"")</f>
        <v/>
      </c>
      <c r="Q2669" s="62" t="str">
        <f>IFERROR(IF(OR($B2669="",$B2669="(blank)"),"",VLOOKUP($B2669,'Email Marketing Raw Data'!$C:$O,9,0)),"")</f>
        <v/>
      </c>
    </row>
    <row r="2670" spans="4:17" ht="12.75" customHeight="1" x14ac:dyDescent="0.2">
      <c r="D2670" s="58" t="str">
        <f>IFERROR(IF(F2670&lt;&gt;"pending","",IF(OR($B2670="",$B2670="(blank)"),"",VLOOKUP($B2670,'Email Marketing Raw Data'!$C:$O,10,0))),"")</f>
        <v/>
      </c>
      <c r="E2670" s="59" t="str">
        <f>IFERROR(IF(F2670&lt;&gt;"pending","",IF(OR($B2670="",$B2670="(blank)"),"",VLOOKUP($B2670,'Email Marketing Raw Data'!$C:$O,11,0))),"")</f>
        <v/>
      </c>
      <c r="F2670" s="54" t="str">
        <f>IFERROR(IF(OR($B2670="",$B2670="(blank)"),"",VLOOKUP($B2670,'Email Marketing Raw Data'!$C:$O,13,0)),"")</f>
        <v/>
      </c>
      <c r="G2670" s="55" t="str">
        <f>IFERROR(IF(OR($B2670="",$B2670="(blank)"),"",VLOOKUP($B2670,'Email Marketing Raw Data'!$C:$O,4,0)),"")</f>
        <v/>
      </c>
      <c r="H2670" s="55" t="str">
        <f>IFERROR(IF(OR($B2670="",$B2670="(blank)"),"",VLOOKUP($B2670,'Email Marketing Raw Data'!$C:$O,5,0)),"")</f>
        <v/>
      </c>
      <c r="I2670" s="55" t="str">
        <f>IFERROR(IF($G2670="","",VLOOKUP('Dashboard And Emails Automate'!$G2670,Database!$H:$N,3,0)),"")</f>
        <v/>
      </c>
      <c r="J2670" s="55" t="str">
        <f>IFERROR(IF($G2670="","",VLOOKUP('Dashboard And Emails Automate'!$G2670,Database!$H:$N,4,0)),"")</f>
        <v/>
      </c>
      <c r="K2670" s="55" t="str">
        <f>IFERROR(IF($G2670="","",VLOOKUP('Dashboard And Emails Automate'!$G2670,Database!$H:$N,5,0)),"")</f>
        <v/>
      </c>
      <c r="L2670" s="55" t="str">
        <f>IFERROR(IF($G2670="","",VLOOKUP('Dashboard And Emails Automate'!$G2670,Database!$H:$N,6,0)),"")</f>
        <v/>
      </c>
      <c r="M2670" s="55" t="str">
        <f>IFERROR(IF($G2670="","",VLOOKUP('Dashboard And Emails Automate'!$G2670,Database!$H:$N,7,0)),"")</f>
        <v/>
      </c>
      <c r="N2670" s="55" t="str">
        <f>IFERROR(IF(OR($B2670="",$B2670="(blank)"),"",VLOOKUP($B2670,'Email Marketing Raw Data'!$C:$O,6,0)),"")</f>
        <v/>
      </c>
      <c r="O2670" s="55" t="str">
        <f>IFERROR(IF(OR($B2670="",$B2670="(blank)"),"",VLOOKUP($B2670,'Email Marketing Raw Data'!$C:$O,7,0)),"")</f>
        <v/>
      </c>
      <c r="P2670" s="55" t="str">
        <f>IFERROR(IF(OR($B2670="",$B2670="(blank)"),"",VLOOKUP($B2670,'Email Marketing Raw Data'!$C:$O,8,0)),"")</f>
        <v/>
      </c>
      <c r="Q2670" s="62" t="str">
        <f>IFERROR(IF(OR($B2670="",$B2670="(blank)"),"",VLOOKUP($B2670,'Email Marketing Raw Data'!$C:$O,9,0)),"")</f>
        <v/>
      </c>
    </row>
    <row r="2671" spans="4:17" ht="12.75" customHeight="1" x14ac:dyDescent="0.2">
      <c r="D2671" s="58" t="str">
        <f>IFERROR(IF(F2671&lt;&gt;"pending","",IF(OR($B2671="",$B2671="(blank)"),"",VLOOKUP($B2671,'Email Marketing Raw Data'!$C:$O,10,0))),"")</f>
        <v/>
      </c>
      <c r="E2671" s="59" t="str">
        <f>IFERROR(IF(F2671&lt;&gt;"pending","",IF(OR($B2671="",$B2671="(blank)"),"",VLOOKUP($B2671,'Email Marketing Raw Data'!$C:$O,11,0))),"")</f>
        <v/>
      </c>
      <c r="F2671" s="54" t="str">
        <f>IFERROR(IF(OR($B2671="",$B2671="(blank)"),"",VLOOKUP($B2671,'Email Marketing Raw Data'!$C:$O,13,0)),"")</f>
        <v/>
      </c>
      <c r="G2671" s="55" t="str">
        <f>IFERROR(IF(OR($B2671="",$B2671="(blank)"),"",VLOOKUP($B2671,'Email Marketing Raw Data'!$C:$O,4,0)),"")</f>
        <v/>
      </c>
      <c r="H2671" s="55" t="str">
        <f>IFERROR(IF(OR($B2671="",$B2671="(blank)"),"",VLOOKUP($B2671,'Email Marketing Raw Data'!$C:$O,5,0)),"")</f>
        <v/>
      </c>
      <c r="I2671" s="55" t="str">
        <f>IFERROR(IF($G2671="","",VLOOKUP('Dashboard And Emails Automate'!$G2671,Database!$H:$N,3,0)),"")</f>
        <v/>
      </c>
      <c r="J2671" s="55" t="str">
        <f>IFERROR(IF($G2671="","",VLOOKUP('Dashboard And Emails Automate'!$G2671,Database!$H:$N,4,0)),"")</f>
        <v/>
      </c>
      <c r="K2671" s="55" t="str">
        <f>IFERROR(IF($G2671="","",VLOOKUP('Dashboard And Emails Automate'!$G2671,Database!$H:$N,5,0)),"")</f>
        <v/>
      </c>
      <c r="L2671" s="55" t="str">
        <f>IFERROR(IF($G2671="","",VLOOKUP('Dashboard And Emails Automate'!$G2671,Database!$H:$N,6,0)),"")</f>
        <v/>
      </c>
      <c r="M2671" s="55" t="str">
        <f>IFERROR(IF($G2671="","",VLOOKUP('Dashboard And Emails Automate'!$G2671,Database!$H:$N,7,0)),"")</f>
        <v/>
      </c>
      <c r="N2671" s="55" t="str">
        <f>IFERROR(IF(OR($B2671="",$B2671="(blank)"),"",VLOOKUP($B2671,'Email Marketing Raw Data'!$C:$O,6,0)),"")</f>
        <v/>
      </c>
      <c r="O2671" s="55" t="str">
        <f>IFERROR(IF(OR($B2671="",$B2671="(blank)"),"",VLOOKUP($B2671,'Email Marketing Raw Data'!$C:$O,7,0)),"")</f>
        <v/>
      </c>
      <c r="P2671" s="55" t="str">
        <f>IFERROR(IF(OR($B2671="",$B2671="(blank)"),"",VLOOKUP($B2671,'Email Marketing Raw Data'!$C:$O,8,0)),"")</f>
        <v/>
      </c>
      <c r="Q2671" s="62" t="str">
        <f>IFERROR(IF(OR($B2671="",$B2671="(blank)"),"",VLOOKUP($B2671,'Email Marketing Raw Data'!$C:$O,9,0)),"")</f>
        <v/>
      </c>
    </row>
    <row r="2672" spans="4:17" ht="12.75" customHeight="1" x14ac:dyDescent="0.2">
      <c r="D2672" s="58" t="str">
        <f>IFERROR(IF(F2672&lt;&gt;"pending","",IF(OR($B2672="",$B2672="(blank)"),"",VLOOKUP($B2672,'Email Marketing Raw Data'!$C:$O,10,0))),"")</f>
        <v/>
      </c>
      <c r="E2672" s="59" t="str">
        <f>IFERROR(IF(F2672&lt;&gt;"pending","",IF(OR($B2672="",$B2672="(blank)"),"",VLOOKUP($B2672,'Email Marketing Raw Data'!$C:$O,11,0))),"")</f>
        <v/>
      </c>
      <c r="F2672" s="54" t="str">
        <f>IFERROR(IF(OR($B2672="",$B2672="(blank)"),"",VLOOKUP($B2672,'Email Marketing Raw Data'!$C:$O,13,0)),"")</f>
        <v/>
      </c>
      <c r="G2672" s="55" t="str">
        <f>IFERROR(IF(OR($B2672="",$B2672="(blank)"),"",VLOOKUP($B2672,'Email Marketing Raw Data'!$C:$O,4,0)),"")</f>
        <v/>
      </c>
      <c r="H2672" s="55" t="str">
        <f>IFERROR(IF(OR($B2672="",$B2672="(blank)"),"",VLOOKUP($B2672,'Email Marketing Raw Data'!$C:$O,5,0)),"")</f>
        <v/>
      </c>
      <c r="I2672" s="55" t="str">
        <f>IFERROR(IF($G2672="","",VLOOKUP('Dashboard And Emails Automate'!$G2672,Database!$H:$N,3,0)),"")</f>
        <v/>
      </c>
      <c r="J2672" s="55" t="str">
        <f>IFERROR(IF($G2672="","",VLOOKUP('Dashboard And Emails Automate'!$G2672,Database!$H:$N,4,0)),"")</f>
        <v/>
      </c>
      <c r="K2672" s="55" t="str">
        <f>IFERROR(IF($G2672="","",VLOOKUP('Dashboard And Emails Automate'!$G2672,Database!$H:$N,5,0)),"")</f>
        <v/>
      </c>
      <c r="L2672" s="55" t="str">
        <f>IFERROR(IF($G2672="","",VLOOKUP('Dashboard And Emails Automate'!$G2672,Database!$H:$N,6,0)),"")</f>
        <v/>
      </c>
      <c r="M2672" s="55" t="str">
        <f>IFERROR(IF($G2672="","",VLOOKUP('Dashboard And Emails Automate'!$G2672,Database!$H:$N,7,0)),"")</f>
        <v/>
      </c>
      <c r="N2672" s="55" t="str">
        <f>IFERROR(IF(OR($B2672="",$B2672="(blank)"),"",VLOOKUP($B2672,'Email Marketing Raw Data'!$C:$O,6,0)),"")</f>
        <v/>
      </c>
      <c r="O2672" s="55" t="str">
        <f>IFERROR(IF(OR($B2672="",$B2672="(blank)"),"",VLOOKUP($B2672,'Email Marketing Raw Data'!$C:$O,7,0)),"")</f>
        <v/>
      </c>
      <c r="P2672" s="55" t="str">
        <f>IFERROR(IF(OR($B2672="",$B2672="(blank)"),"",VLOOKUP($B2672,'Email Marketing Raw Data'!$C:$O,8,0)),"")</f>
        <v/>
      </c>
      <c r="Q2672" s="62" t="str">
        <f>IFERROR(IF(OR($B2672="",$B2672="(blank)"),"",VLOOKUP($B2672,'Email Marketing Raw Data'!$C:$O,9,0)),"")</f>
        <v/>
      </c>
    </row>
    <row r="2673" spans="4:17" ht="12.75" customHeight="1" x14ac:dyDescent="0.2">
      <c r="D2673" s="58" t="str">
        <f>IFERROR(IF(F2673&lt;&gt;"pending","",IF(OR($B2673="",$B2673="(blank)"),"",VLOOKUP($B2673,'Email Marketing Raw Data'!$C:$O,10,0))),"")</f>
        <v/>
      </c>
      <c r="E2673" s="59" t="str">
        <f>IFERROR(IF(F2673&lt;&gt;"pending","",IF(OR($B2673="",$B2673="(blank)"),"",VLOOKUP($B2673,'Email Marketing Raw Data'!$C:$O,11,0))),"")</f>
        <v/>
      </c>
      <c r="F2673" s="54" t="str">
        <f>IFERROR(IF(OR($B2673="",$B2673="(blank)"),"",VLOOKUP($B2673,'Email Marketing Raw Data'!$C:$O,13,0)),"")</f>
        <v/>
      </c>
      <c r="G2673" s="55" t="str">
        <f>IFERROR(IF(OR($B2673="",$B2673="(blank)"),"",VLOOKUP($B2673,'Email Marketing Raw Data'!$C:$O,4,0)),"")</f>
        <v/>
      </c>
      <c r="H2673" s="55" t="str">
        <f>IFERROR(IF(OR($B2673="",$B2673="(blank)"),"",VLOOKUP($B2673,'Email Marketing Raw Data'!$C:$O,5,0)),"")</f>
        <v/>
      </c>
      <c r="I2673" s="55" t="str">
        <f>IFERROR(IF($G2673="","",VLOOKUP('Dashboard And Emails Automate'!$G2673,Database!$H:$N,3,0)),"")</f>
        <v/>
      </c>
      <c r="J2673" s="55" t="str">
        <f>IFERROR(IF($G2673="","",VLOOKUP('Dashboard And Emails Automate'!$G2673,Database!$H:$N,4,0)),"")</f>
        <v/>
      </c>
      <c r="K2673" s="55" t="str">
        <f>IFERROR(IF($G2673="","",VLOOKUP('Dashboard And Emails Automate'!$G2673,Database!$H:$N,5,0)),"")</f>
        <v/>
      </c>
      <c r="L2673" s="55" t="str">
        <f>IFERROR(IF($G2673="","",VLOOKUP('Dashboard And Emails Automate'!$G2673,Database!$H:$N,6,0)),"")</f>
        <v/>
      </c>
      <c r="M2673" s="55" t="str">
        <f>IFERROR(IF($G2673="","",VLOOKUP('Dashboard And Emails Automate'!$G2673,Database!$H:$N,7,0)),"")</f>
        <v/>
      </c>
      <c r="N2673" s="55" t="str">
        <f>IFERROR(IF(OR($B2673="",$B2673="(blank)"),"",VLOOKUP($B2673,'Email Marketing Raw Data'!$C:$O,6,0)),"")</f>
        <v/>
      </c>
      <c r="O2673" s="55" t="str">
        <f>IFERROR(IF(OR($B2673="",$B2673="(blank)"),"",VLOOKUP($B2673,'Email Marketing Raw Data'!$C:$O,7,0)),"")</f>
        <v/>
      </c>
      <c r="P2673" s="55" t="str">
        <f>IFERROR(IF(OR($B2673="",$B2673="(blank)"),"",VLOOKUP($B2673,'Email Marketing Raw Data'!$C:$O,8,0)),"")</f>
        <v/>
      </c>
      <c r="Q2673" s="62" t="str">
        <f>IFERROR(IF(OR($B2673="",$B2673="(blank)"),"",VLOOKUP($B2673,'Email Marketing Raw Data'!$C:$O,9,0)),"")</f>
        <v/>
      </c>
    </row>
    <row r="2674" spans="4:17" ht="12.75" customHeight="1" x14ac:dyDescent="0.2">
      <c r="D2674" s="58" t="str">
        <f>IFERROR(IF(F2674&lt;&gt;"pending","",IF(OR($B2674="",$B2674="(blank)"),"",VLOOKUP($B2674,'Email Marketing Raw Data'!$C:$O,10,0))),"")</f>
        <v/>
      </c>
      <c r="E2674" s="59" t="str">
        <f>IFERROR(IF(F2674&lt;&gt;"pending","",IF(OR($B2674="",$B2674="(blank)"),"",VLOOKUP($B2674,'Email Marketing Raw Data'!$C:$O,11,0))),"")</f>
        <v/>
      </c>
      <c r="F2674" s="54" t="str">
        <f>IFERROR(IF(OR($B2674="",$B2674="(blank)"),"",VLOOKUP($B2674,'Email Marketing Raw Data'!$C:$O,13,0)),"")</f>
        <v/>
      </c>
      <c r="G2674" s="55" t="str">
        <f>IFERROR(IF(OR($B2674="",$B2674="(blank)"),"",VLOOKUP($B2674,'Email Marketing Raw Data'!$C:$O,4,0)),"")</f>
        <v/>
      </c>
      <c r="H2674" s="55" t="str">
        <f>IFERROR(IF(OR($B2674="",$B2674="(blank)"),"",VLOOKUP($B2674,'Email Marketing Raw Data'!$C:$O,5,0)),"")</f>
        <v/>
      </c>
      <c r="I2674" s="55" t="str">
        <f>IFERROR(IF($G2674="","",VLOOKUP('Dashboard And Emails Automate'!$G2674,Database!$H:$N,3,0)),"")</f>
        <v/>
      </c>
      <c r="J2674" s="55" t="str">
        <f>IFERROR(IF($G2674="","",VLOOKUP('Dashboard And Emails Automate'!$G2674,Database!$H:$N,4,0)),"")</f>
        <v/>
      </c>
      <c r="K2674" s="55" t="str">
        <f>IFERROR(IF($G2674="","",VLOOKUP('Dashboard And Emails Automate'!$G2674,Database!$H:$N,5,0)),"")</f>
        <v/>
      </c>
      <c r="L2674" s="55" t="str">
        <f>IFERROR(IF($G2674="","",VLOOKUP('Dashboard And Emails Automate'!$G2674,Database!$H:$N,6,0)),"")</f>
        <v/>
      </c>
      <c r="M2674" s="55" t="str">
        <f>IFERROR(IF($G2674="","",VLOOKUP('Dashboard And Emails Automate'!$G2674,Database!$H:$N,7,0)),"")</f>
        <v/>
      </c>
      <c r="N2674" s="55" t="str">
        <f>IFERROR(IF(OR($B2674="",$B2674="(blank)"),"",VLOOKUP($B2674,'Email Marketing Raw Data'!$C:$O,6,0)),"")</f>
        <v/>
      </c>
      <c r="O2674" s="55" t="str">
        <f>IFERROR(IF(OR($B2674="",$B2674="(blank)"),"",VLOOKUP($B2674,'Email Marketing Raw Data'!$C:$O,7,0)),"")</f>
        <v/>
      </c>
      <c r="P2674" s="55" t="str">
        <f>IFERROR(IF(OR($B2674="",$B2674="(blank)"),"",VLOOKUP($B2674,'Email Marketing Raw Data'!$C:$O,8,0)),"")</f>
        <v/>
      </c>
      <c r="Q2674" s="62" t="str">
        <f>IFERROR(IF(OR($B2674="",$B2674="(blank)"),"",VLOOKUP($B2674,'Email Marketing Raw Data'!$C:$O,9,0)),"")</f>
        <v/>
      </c>
    </row>
    <row r="2675" spans="4:17" ht="12.75" customHeight="1" x14ac:dyDescent="0.2">
      <c r="D2675" s="58" t="str">
        <f>IFERROR(IF(F2675&lt;&gt;"pending","",IF(OR($B2675="",$B2675="(blank)"),"",VLOOKUP($B2675,'Email Marketing Raw Data'!$C:$O,10,0))),"")</f>
        <v/>
      </c>
      <c r="E2675" s="59" t="str">
        <f>IFERROR(IF(F2675&lt;&gt;"pending","",IF(OR($B2675="",$B2675="(blank)"),"",VLOOKUP($B2675,'Email Marketing Raw Data'!$C:$O,11,0))),"")</f>
        <v/>
      </c>
      <c r="F2675" s="54" t="str">
        <f>IFERROR(IF(OR($B2675="",$B2675="(blank)"),"",VLOOKUP($B2675,'Email Marketing Raw Data'!$C:$O,13,0)),"")</f>
        <v/>
      </c>
      <c r="G2675" s="55" t="str">
        <f>IFERROR(IF(OR($B2675="",$B2675="(blank)"),"",VLOOKUP($B2675,'Email Marketing Raw Data'!$C:$O,4,0)),"")</f>
        <v/>
      </c>
      <c r="H2675" s="55" t="str">
        <f>IFERROR(IF(OR($B2675="",$B2675="(blank)"),"",VLOOKUP($B2675,'Email Marketing Raw Data'!$C:$O,5,0)),"")</f>
        <v/>
      </c>
      <c r="I2675" s="55" t="str">
        <f>IFERROR(IF($G2675="","",VLOOKUP('Dashboard And Emails Automate'!$G2675,Database!$H:$N,3,0)),"")</f>
        <v/>
      </c>
      <c r="J2675" s="55" t="str">
        <f>IFERROR(IF($G2675="","",VLOOKUP('Dashboard And Emails Automate'!$G2675,Database!$H:$N,4,0)),"")</f>
        <v/>
      </c>
      <c r="K2675" s="55" t="str">
        <f>IFERROR(IF($G2675="","",VLOOKUP('Dashboard And Emails Automate'!$G2675,Database!$H:$N,5,0)),"")</f>
        <v/>
      </c>
      <c r="L2675" s="55" t="str">
        <f>IFERROR(IF($G2675="","",VLOOKUP('Dashboard And Emails Automate'!$G2675,Database!$H:$N,6,0)),"")</f>
        <v/>
      </c>
      <c r="M2675" s="55" t="str">
        <f>IFERROR(IF($G2675="","",VLOOKUP('Dashboard And Emails Automate'!$G2675,Database!$H:$N,7,0)),"")</f>
        <v/>
      </c>
      <c r="N2675" s="55" t="str">
        <f>IFERROR(IF(OR($B2675="",$B2675="(blank)"),"",VLOOKUP($B2675,'Email Marketing Raw Data'!$C:$O,6,0)),"")</f>
        <v/>
      </c>
      <c r="O2675" s="55" t="str">
        <f>IFERROR(IF(OR($B2675="",$B2675="(blank)"),"",VLOOKUP($B2675,'Email Marketing Raw Data'!$C:$O,7,0)),"")</f>
        <v/>
      </c>
      <c r="P2675" s="55" t="str">
        <f>IFERROR(IF(OR($B2675="",$B2675="(blank)"),"",VLOOKUP($B2675,'Email Marketing Raw Data'!$C:$O,8,0)),"")</f>
        <v/>
      </c>
      <c r="Q2675" s="62" t="str">
        <f>IFERROR(IF(OR($B2675="",$B2675="(blank)"),"",VLOOKUP($B2675,'Email Marketing Raw Data'!$C:$O,9,0)),"")</f>
        <v/>
      </c>
    </row>
    <row r="2676" spans="4:17" ht="12.75" customHeight="1" x14ac:dyDescent="0.2">
      <c r="D2676" s="58" t="str">
        <f>IFERROR(IF(F2676&lt;&gt;"pending","",IF(OR($B2676="",$B2676="(blank)"),"",VLOOKUP($B2676,'Email Marketing Raw Data'!$C:$O,10,0))),"")</f>
        <v/>
      </c>
      <c r="E2676" s="59" t="str">
        <f>IFERROR(IF(F2676&lt;&gt;"pending","",IF(OR($B2676="",$B2676="(blank)"),"",VLOOKUP($B2676,'Email Marketing Raw Data'!$C:$O,11,0))),"")</f>
        <v/>
      </c>
      <c r="F2676" s="54" t="str">
        <f>IFERROR(IF(OR($B2676="",$B2676="(blank)"),"",VLOOKUP($B2676,'Email Marketing Raw Data'!$C:$O,13,0)),"")</f>
        <v/>
      </c>
      <c r="G2676" s="55" t="str">
        <f>IFERROR(IF(OR($B2676="",$B2676="(blank)"),"",VLOOKUP($B2676,'Email Marketing Raw Data'!$C:$O,4,0)),"")</f>
        <v/>
      </c>
      <c r="H2676" s="55" t="str">
        <f>IFERROR(IF(OR($B2676="",$B2676="(blank)"),"",VLOOKUP($B2676,'Email Marketing Raw Data'!$C:$O,5,0)),"")</f>
        <v/>
      </c>
      <c r="I2676" s="55" t="str">
        <f>IFERROR(IF($G2676="","",VLOOKUP('Dashboard And Emails Automate'!$G2676,Database!$H:$N,3,0)),"")</f>
        <v/>
      </c>
      <c r="J2676" s="55" t="str">
        <f>IFERROR(IF($G2676="","",VLOOKUP('Dashboard And Emails Automate'!$G2676,Database!$H:$N,4,0)),"")</f>
        <v/>
      </c>
      <c r="K2676" s="55" t="str">
        <f>IFERROR(IF($G2676="","",VLOOKUP('Dashboard And Emails Automate'!$G2676,Database!$H:$N,5,0)),"")</f>
        <v/>
      </c>
      <c r="L2676" s="55" t="str">
        <f>IFERROR(IF($G2676="","",VLOOKUP('Dashboard And Emails Automate'!$G2676,Database!$H:$N,6,0)),"")</f>
        <v/>
      </c>
      <c r="M2676" s="55" t="str">
        <f>IFERROR(IF($G2676="","",VLOOKUP('Dashboard And Emails Automate'!$G2676,Database!$H:$N,7,0)),"")</f>
        <v/>
      </c>
      <c r="N2676" s="55" t="str">
        <f>IFERROR(IF(OR($B2676="",$B2676="(blank)"),"",VLOOKUP($B2676,'Email Marketing Raw Data'!$C:$O,6,0)),"")</f>
        <v/>
      </c>
      <c r="O2676" s="55" t="str">
        <f>IFERROR(IF(OR($B2676="",$B2676="(blank)"),"",VLOOKUP($B2676,'Email Marketing Raw Data'!$C:$O,7,0)),"")</f>
        <v/>
      </c>
      <c r="P2676" s="55" t="str">
        <f>IFERROR(IF(OR($B2676="",$B2676="(blank)"),"",VLOOKUP($B2676,'Email Marketing Raw Data'!$C:$O,8,0)),"")</f>
        <v/>
      </c>
      <c r="Q2676" s="62" t="str">
        <f>IFERROR(IF(OR($B2676="",$B2676="(blank)"),"",VLOOKUP($B2676,'Email Marketing Raw Data'!$C:$O,9,0)),"")</f>
        <v/>
      </c>
    </row>
    <row r="2677" spans="4:17" ht="12.75" customHeight="1" x14ac:dyDescent="0.2">
      <c r="D2677" s="58" t="str">
        <f>IFERROR(IF(F2677&lt;&gt;"pending","",IF(OR($B2677="",$B2677="(blank)"),"",VLOOKUP($B2677,'Email Marketing Raw Data'!$C:$O,10,0))),"")</f>
        <v/>
      </c>
      <c r="E2677" s="59" t="str">
        <f>IFERROR(IF(F2677&lt;&gt;"pending","",IF(OR($B2677="",$B2677="(blank)"),"",VLOOKUP($B2677,'Email Marketing Raw Data'!$C:$O,11,0))),"")</f>
        <v/>
      </c>
      <c r="F2677" s="54" t="str">
        <f>IFERROR(IF(OR($B2677="",$B2677="(blank)"),"",VLOOKUP($B2677,'Email Marketing Raw Data'!$C:$O,13,0)),"")</f>
        <v/>
      </c>
      <c r="G2677" s="55" t="str">
        <f>IFERROR(IF(OR($B2677="",$B2677="(blank)"),"",VLOOKUP($B2677,'Email Marketing Raw Data'!$C:$O,4,0)),"")</f>
        <v/>
      </c>
      <c r="H2677" s="55" t="str">
        <f>IFERROR(IF(OR($B2677="",$B2677="(blank)"),"",VLOOKUP($B2677,'Email Marketing Raw Data'!$C:$O,5,0)),"")</f>
        <v/>
      </c>
      <c r="I2677" s="55" t="str">
        <f>IFERROR(IF($G2677="","",VLOOKUP('Dashboard And Emails Automate'!$G2677,Database!$H:$N,3,0)),"")</f>
        <v/>
      </c>
      <c r="J2677" s="55" t="str">
        <f>IFERROR(IF($G2677="","",VLOOKUP('Dashboard And Emails Automate'!$G2677,Database!$H:$N,4,0)),"")</f>
        <v/>
      </c>
      <c r="K2677" s="55" t="str">
        <f>IFERROR(IF($G2677="","",VLOOKUP('Dashboard And Emails Automate'!$G2677,Database!$H:$N,5,0)),"")</f>
        <v/>
      </c>
      <c r="L2677" s="55" t="str">
        <f>IFERROR(IF($G2677="","",VLOOKUP('Dashboard And Emails Automate'!$G2677,Database!$H:$N,6,0)),"")</f>
        <v/>
      </c>
      <c r="M2677" s="55" t="str">
        <f>IFERROR(IF($G2677="","",VLOOKUP('Dashboard And Emails Automate'!$G2677,Database!$H:$N,7,0)),"")</f>
        <v/>
      </c>
      <c r="N2677" s="55" t="str">
        <f>IFERROR(IF(OR($B2677="",$B2677="(blank)"),"",VLOOKUP($B2677,'Email Marketing Raw Data'!$C:$O,6,0)),"")</f>
        <v/>
      </c>
      <c r="O2677" s="55" t="str">
        <f>IFERROR(IF(OR($B2677="",$B2677="(blank)"),"",VLOOKUP($B2677,'Email Marketing Raw Data'!$C:$O,7,0)),"")</f>
        <v/>
      </c>
      <c r="P2677" s="55" t="str">
        <f>IFERROR(IF(OR($B2677="",$B2677="(blank)"),"",VLOOKUP($B2677,'Email Marketing Raw Data'!$C:$O,8,0)),"")</f>
        <v/>
      </c>
      <c r="Q2677" s="62" t="str">
        <f>IFERROR(IF(OR($B2677="",$B2677="(blank)"),"",VLOOKUP($B2677,'Email Marketing Raw Data'!$C:$O,9,0)),"")</f>
        <v/>
      </c>
    </row>
    <row r="2678" spans="4:17" ht="12.75" customHeight="1" x14ac:dyDescent="0.2">
      <c r="D2678" s="58" t="str">
        <f>IFERROR(IF(F2678&lt;&gt;"pending","",IF(OR($B2678="",$B2678="(blank)"),"",VLOOKUP($B2678,'Email Marketing Raw Data'!$C:$O,10,0))),"")</f>
        <v/>
      </c>
      <c r="E2678" s="59" t="str">
        <f>IFERROR(IF(F2678&lt;&gt;"pending","",IF(OR($B2678="",$B2678="(blank)"),"",VLOOKUP($B2678,'Email Marketing Raw Data'!$C:$O,11,0))),"")</f>
        <v/>
      </c>
      <c r="F2678" s="54" t="str">
        <f>IFERROR(IF(OR($B2678="",$B2678="(blank)"),"",VLOOKUP($B2678,'Email Marketing Raw Data'!$C:$O,13,0)),"")</f>
        <v/>
      </c>
      <c r="G2678" s="55" t="str">
        <f>IFERROR(IF(OR($B2678="",$B2678="(blank)"),"",VLOOKUP($B2678,'Email Marketing Raw Data'!$C:$O,4,0)),"")</f>
        <v/>
      </c>
      <c r="H2678" s="55" t="str">
        <f>IFERROR(IF(OR($B2678="",$B2678="(blank)"),"",VLOOKUP($B2678,'Email Marketing Raw Data'!$C:$O,5,0)),"")</f>
        <v/>
      </c>
      <c r="I2678" s="55" t="str">
        <f>IFERROR(IF($G2678="","",VLOOKUP('Dashboard And Emails Automate'!$G2678,Database!$H:$N,3,0)),"")</f>
        <v/>
      </c>
      <c r="J2678" s="55" t="str">
        <f>IFERROR(IF($G2678="","",VLOOKUP('Dashboard And Emails Automate'!$G2678,Database!$H:$N,4,0)),"")</f>
        <v/>
      </c>
      <c r="K2678" s="55" t="str">
        <f>IFERROR(IF($G2678="","",VLOOKUP('Dashboard And Emails Automate'!$G2678,Database!$H:$N,5,0)),"")</f>
        <v/>
      </c>
      <c r="L2678" s="55" t="str">
        <f>IFERROR(IF($G2678="","",VLOOKUP('Dashboard And Emails Automate'!$G2678,Database!$H:$N,6,0)),"")</f>
        <v/>
      </c>
      <c r="M2678" s="55" t="str">
        <f>IFERROR(IF($G2678="","",VLOOKUP('Dashboard And Emails Automate'!$G2678,Database!$H:$N,7,0)),"")</f>
        <v/>
      </c>
      <c r="N2678" s="55" t="str">
        <f>IFERROR(IF(OR($B2678="",$B2678="(blank)"),"",VLOOKUP($B2678,'Email Marketing Raw Data'!$C:$O,6,0)),"")</f>
        <v/>
      </c>
      <c r="O2678" s="55" t="str">
        <f>IFERROR(IF(OR($B2678="",$B2678="(blank)"),"",VLOOKUP($B2678,'Email Marketing Raw Data'!$C:$O,7,0)),"")</f>
        <v/>
      </c>
      <c r="P2678" s="55" t="str">
        <f>IFERROR(IF(OR($B2678="",$B2678="(blank)"),"",VLOOKUP($B2678,'Email Marketing Raw Data'!$C:$O,8,0)),"")</f>
        <v/>
      </c>
      <c r="Q2678" s="62" t="str">
        <f>IFERROR(IF(OR($B2678="",$B2678="(blank)"),"",VLOOKUP($B2678,'Email Marketing Raw Data'!$C:$O,9,0)),"")</f>
        <v/>
      </c>
    </row>
    <row r="2679" spans="4:17" ht="12.75" customHeight="1" x14ac:dyDescent="0.2">
      <c r="D2679" s="58" t="str">
        <f>IFERROR(IF(F2679&lt;&gt;"pending","",IF(OR($B2679="",$B2679="(blank)"),"",VLOOKUP($B2679,'Email Marketing Raw Data'!$C:$O,10,0))),"")</f>
        <v/>
      </c>
      <c r="E2679" s="59" t="str">
        <f>IFERROR(IF(F2679&lt;&gt;"pending","",IF(OR($B2679="",$B2679="(blank)"),"",VLOOKUP($B2679,'Email Marketing Raw Data'!$C:$O,11,0))),"")</f>
        <v/>
      </c>
      <c r="F2679" s="54" t="str">
        <f>IFERROR(IF(OR($B2679="",$B2679="(blank)"),"",VLOOKUP($B2679,'Email Marketing Raw Data'!$C:$O,13,0)),"")</f>
        <v/>
      </c>
      <c r="G2679" s="55" t="str">
        <f>IFERROR(IF(OR($B2679="",$B2679="(blank)"),"",VLOOKUP($B2679,'Email Marketing Raw Data'!$C:$O,4,0)),"")</f>
        <v/>
      </c>
      <c r="H2679" s="55" t="str">
        <f>IFERROR(IF(OR($B2679="",$B2679="(blank)"),"",VLOOKUP($B2679,'Email Marketing Raw Data'!$C:$O,5,0)),"")</f>
        <v/>
      </c>
      <c r="I2679" s="55" t="str">
        <f>IFERROR(IF($G2679="","",VLOOKUP('Dashboard And Emails Automate'!$G2679,Database!$H:$N,3,0)),"")</f>
        <v/>
      </c>
      <c r="J2679" s="55" t="str">
        <f>IFERROR(IF($G2679="","",VLOOKUP('Dashboard And Emails Automate'!$G2679,Database!$H:$N,4,0)),"")</f>
        <v/>
      </c>
      <c r="K2679" s="55" t="str">
        <f>IFERROR(IF($G2679="","",VLOOKUP('Dashboard And Emails Automate'!$G2679,Database!$H:$N,5,0)),"")</f>
        <v/>
      </c>
      <c r="L2679" s="55" t="str">
        <f>IFERROR(IF($G2679="","",VLOOKUP('Dashboard And Emails Automate'!$G2679,Database!$H:$N,6,0)),"")</f>
        <v/>
      </c>
      <c r="M2679" s="55" t="str">
        <f>IFERROR(IF($G2679="","",VLOOKUP('Dashboard And Emails Automate'!$G2679,Database!$H:$N,7,0)),"")</f>
        <v/>
      </c>
      <c r="N2679" s="55" t="str">
        <f>IFERROR(IF(OR($B2679="",$B2679="(blank)"),"",VLOOKUP($B2679,'Email Marketing Raw Data'!$C:$O,6,0)),"")</f>
        <v/>
      </c>
      <c r="O2679" s="55" t="str">
        <f>IFERROR(IF(OR($B2679="",$B2679="(blank)"),"",VLOOKUP($B2679,'Email Marketing Raw Data'!$C:$O,7,0)),"")</f>
        <v/>
      </c>
      <c r="P2679" s="55" t="str">
        <f>IFERROR(IF(OR($B2679="",$B2679="(blank)"),"",VLOOKUP($B2679,'Email Marketing Raw Data'!$C:$O,8,0)),"")</f>
        <v/>
      </c>
      <c r="Q2679" s="62" t="str">
        <f>IFERROR(IF(OR($B2679="",$B2679="(blank)"),"",VLOOKUP($B2679,'Email Marketing Raw Data'!$C:$O,9,0)),"")</f>
        <v/>
      </c>
    </row>
    <row r="2680" spans="4:17" ht="12.75" customHeight="1" x14ac:dyDescent="0.2">
      <c r="D2680" s="58" t="str">
        <f>IFERROR(IF(F2680&lt;&gt;"pending","",IF(OR($B2680="",$B2680="(blank)"),"",VLOOKUP($B2680,'Email Marketing Raw Data'!$C:$O,10,0))),"")</f>
        <v/>
      </c>
      <c r="E2680" s="59" t="str">
        <f>IFERROR(IF(F2680&lt;&gt;"pending","",IF(OR($B2680="",$B2680="(blank)"),"",VLOOKUP($B2680,'Email Marketing Raw Data'!$C:$O,11,0))),"")</f>
        <v/>
      </c>
      <c r="F2680" s="54" t="str">
        <f>IFERROR(IF(OR($B2680="",$B2680="(blank)"),"",VLOOKUP($B2680,'Email Marketing Raw Data'!$C:$O,13,0)),"")</f>
        <v/>
      </c>
      <c r="G2680" s="55" t="str">
        <f>IFERROR(IF(OR($B2680="",$B2680="(blank)"),"",VLOOKUP($B2680,'Email Marketing Raw Data'!$C:$O,4,0)),"")</f>
        <v/>
      </c>
      <c r="H2680" s="55" t="str">
        <f>IFERROR(IF(OR($B2680="",$B2680="(blank)"),"",VLOOKUP($B2680,'Email Marketing Raw Data'!$C:$O,5,0)),"")</f>
        <v/>
      </c>
      <c r="I2680" s="55" t="str">
        <f>IFERROR(IF($G2680="","",VLOOKUP('Dashboard And Emails Automate'!$G2680,Database!$H:$N,3,0)),"")</f>
        <v/>
      </c>
      <c r="J2680" s="55" t="str">
        <f>IFERROR(IF($G2680="","",VLOOKUP('Dashboard And Emails Automate'!$G2680,Database!$H:$N,4,0)),"")</f>
        <v/>
      </c>
      <c r="K2680" s="55" t="str">
        <f>IFERROR(IF($G2680="","",VLOOKUP('Dashboard And Emails Automate'!$G2680,Database!$H:$N,5,0)),"")</f>
        <v/>
      </c>
      <c r="L2680" s="55" t="str">
        <f>IFERROR(IF($G2680="","",VLOOKUP('Dashboard And Emails Automate'!$G2680,Database!$H:$N,6,0)),"")</f>
        <v/>
      </c>
      <c r="M2680" s="55" t="str">
        <f>IFERROR(IF($G2680="","",VLOOKUP('Dashboard And Emails Automate'!$G2680,Database!$H:$N,7,0)),"")</f>
        <v/>
      </c>
      <c r="N2680" s="55" t="str">
        <f>IFERROR(IF(OR($B2680="",$B2680="(blank)"),"",VLOOKUP($B2680,'Email Marketing Raw Data'!$C:$O,6,0)),"")</f>
        <v/>
      </c>
      <c r="O2680" s="55" t="str">
        <f>IFERROR(IF(OR($B2680="",$B2680="(blank)"),"",VLOOKUP($B2680,'Email Marketing Raw Data'!$C:$O,7,0)),"")</f>
        <v/>
      </c>
      <c r="P2680" s="55" t="str">
        <f>IFERROR(IF(OR($B2680="",$B2680="(blank)"),"",VLOOKUP($B2680,'Email Marketing Raw Data'!$C:$O,8,0)),"")</f>
        <v/>
      </c>
      <c r="Q2680" s="62" t="str">
        <f>IFERROR(IF(OR($B2680="",$B2680="(blank)"),"",VLOOKUP($B2680,'Email Marketing Raw Data'!$C:$O,9,0)),"")</f>
        <v/>
      </c>
    </row>
    <row r="2681" spans="4:17" ht="12.75" customHeight="1" x14ac:dyDescent="0.2">
      <c r="D2681" s="58" t="str">
        <f>IFERROR(IF(F2681&lt;&gt;"pending","",IF(OR($B2681="",$B2681="(blank)"),"",VLOOKUP($B2681,'Email Marketing Raw Data'!$C:$O,10,0))),"")</f>
        <v/>
      </c>
      <c r="E2681" s="59" t="str">
        <f>IFERROR(IF(F2681&lt;&gt;"pending","",IF(OR($B2681="",$B2681="(blank)"),"",VLOOKUP($B2681,'Email Marketing Raw Data'!$C:$O,11,0))),"")</f>
        <v/>
      </c>
      <c r="F2681" s="54" t="str">
        <f>IFERROR(IF(OR($B2681="",$B2681="(blank)"),"",VLOOKUP($B2681,'Email Marketing Raw Data'!$C:$O,13,0)),"")</f>
        <v/>
      </c>
      <c r="G2681" s="55" t="str">
        <f>IFERROR(IF(OR($B2681="",$B2681="(blank)"),"",VLOOKUP($B2681,'Email Marketing Raw Data'!$C:$O,4,0)),"")</f>
        <v/>
      </c>
      <c r="H2681" s="55" t="str">
        <f>IFERROR(IF(OR($B2681="",$B2681="(blank)"),"",VLOOKUP($B2681,'Email Marketing Raw Data'!$C:$O,5,0)),"")</f>
        <v/>
      </c>
      <c r="I2681" s="55" t="str">
        <f>IFERROR(IF($G2681="","",VLOOKUP('Dashboard And Emails Automate'!$G2681,Database!$H:$N,3,0)),"")</f>
        <v/>
      </c>
      <c r="J2681" s="55" t="str">
        <f>IFERROR(IF($G2681="","",VLOOKUP('Dashboard And Emails Automate'!$G2681,Database!$H:$N,4,0)),"")</f>
        <v/>
      </c>
      <c r="K2681" s="55" t="str">
        <f>IFERROR(IF($G2681="","",VLOOKUP('Dashboard And Emails Automate'!$G2681,Database!$H:$N,5,0)),"")</f>
        <v/>
      </c>
      <c r="L2681" s="55" t="str">
        <f>IFERROR(IF($G2681="","",VLOOKUP('Dashboard And Emails Automate'!$G2681,Database!$H:$N,6,0)),"")</f>
        <v/>
      </c>
      <c r="M2681" s="55" t="str">
        <f>IFERROR(IF($G2681="","",VLOOKUP('Dashboard And Emails Automate'!$G2681,Database!$H:$N,7,0)),"")</f>
        <v/>
      </c>
      <c r="N2681" s="55" t="str">
        <f>IFERROR(IF(OR($B2681="",$B2681="(blank)"),"",VLOOKUP($B2681,'Email Marketing Raw Data'!$C:$O,6,0)),"")</f>
        <v/>
      </c>
      <c r="O2681" s="55" t="str">
        <f>IFERROR(IF(OR($B2681="",$B2681="(blank)"),"",VLOOKUP($B2681,'Email Marketing Raw Data'!$C:$O,7,0)),"")</f>
        <v/>
      </c>
      <c r="P2681" s="55" t="str">
        <f>IFERROR(IF(OR($B2681="",$B2681="(blank)"),"",VLOOKUP($B2681,'Email Marketing Raw Data'!$C:$O,8,0)),"")</f>
        <v/>
      </c>
      <c r="Q2681" s="62" t="str">
        <f>IFERROR(IF(OR($B2681="",$B2681="(blank)"),"",VLOOKUP($B2681,'Email Marketing Raw Data'!$C:$O,9,0)),"")</f>
        <v/>
      </c>
    </row>
    <row r="2682" spans="4:17" ht="12.75" customHeight="1" x14ac:dyDescent="0.2">
      <c r="D2682" s="58" t="str">
        <f>IFERROR(IF(F2682&lt;&gt;"pending","",IF(OR($B2682="",$B2682="(blank)"),"",VLOOKUP($B2682,'Email Marketing Raw Data'!$C:$O,10,0))),"")</f>
        <v/>
      </c>
      <c r="E2682" s="59" t="str">
        <f>IFERROR(IF(F2682&lt;&gt;"pending","",IF(OR($B2682="",$B2682="(blank)"),"",VLOOKUP($B2682,'Email Marketing Raw Data'!$C:$O,11,0))),"")</f>
        <v/>
      </c>
      <c r="F2682" s="54" t="str">
        <f>IFERROR(IF(OR($B2682="",$B2682="(blank)"),"",VLOOKUP($B2682,'Email Marketing Raw Data'!$C:$O,13,0)),"")</f>
        <v/>
      </c>
      <c r="G2682" s="55" t="str">
        <f>IFERROR(IF(OR($B2682="",$B2682="(blank)"),"",VLOOKUP($B2682,'Email Marketing Raw Data'!$C:$O,4,0)),"")</f>
        <v/>
      </c>
      <c r="H2682" s="55" t="str">
        <f>IFERROR(IF(OR($B2682="",$B2682="(blank)"),"",VLOOKUP($B2682,'Email Marketing Raw Data'!$C:$O,5,0)),"")</f>
        <v/>
      </c>
      <c r="I2682" s="55" t="str">
        <f>IFERROR(IF($G2682="","",VLOOKUP('Dashboard And Emails Automate'!$G2682,Database!$H:$N,3,0)),"")</f>
        <v/>
      </c>
      <c r="J2682" s="55" t="str">
        <f>IFERROR(IF($G2682="","",VLOOKUP('Dashboard And Emails Automate'!$G2682,Database!$H:$N,4,0)),"")</f>
        <v/>
      </c>
      <c r="K2682" s="55" t="str">
        <f>IFERROR(IF($G2682="","",VLOOKUP('Dashboard And Emails Automate'!$G2682,Database!$H:$N,5,0)),"")</f>
        <v/>
      </c>
      <c r="L2682" s="55" t="str">
        <f>IFERROR(IF($G2682="","",VLOOKUP('Dashboard And Emails Automate'!$G2682,Database!$H:$N,6,0)),"")</f>
        <v/>
      </c>
      <c r="M2682" s="55" t="str">
        <f>IFERROR(IF($G2682="","",VLOOKUP('Dashboard And Emails Automate'!$G2682,Database!$H:$N,7,0)),"")</f>
        <v/>
      </c>
      <c r="N2682" s="55" t="str">
        <f>IFERROR(IF(OR($B2682="",$B2682="(blank)"),"",VLOOKUP($B2682,'Email Marketing Raw Data'!$C:$O,6,0)),"")</f>
        <v/>
      </c>
      <c r="O2682" s="55" t="str">
        <f>IFERROR(IF(OR($B2682="",$B2682="(blank)"),"",VLOOKUP($B2682,'Email Marketing Raw Data'!$C:$O,7,0)),"")</f>
        <v/>
      </c>
      <c r="P2682" s="55" t="str">
        <f>IFERROR(IF(OR($B2682="",$B2682="(blank)"),"",VLOOKUP($B2682,'Email Marketing Raw Data'!$C:$O,8,0)),"")</f>
        <v/>
      </c>
      <c r="Q2682" s="62" t="str">
        <f>IFERROR(IF(OR($B2682="",$B2682="(blank)"),"",VLOOKUP($B2682,'Email Marketing Raw Data'!$C:$O,9,0)),"")</f>
        <v/>
      </c>
    </row>
    <row r="2683" spans="4:17" ht="12.75" customHeight="1" x14ac:dyDescent="0.2">
      <c r="D2683" s="58" t="str">
        <f>IFERROR(IF(F2683&lt;&gt;"pending","",IF(OR($B2683="",$B2683="(blank)"),"",VLOOKUP($B2683,'Email Marketing Raw Data'!$C:$O,10,0))),"")</f>
        <v/>
      </c>
      <c r="E2683" s="59" t="str">
        <f>IFERROR(IF(F2683&lt;&gt;"pending","",IF(OR($B2683="",$B2683="(blank)"),"",VLOOKUP($B2683,'Email Marketing Raw Data'!$C:$O,11,0))),"")</f>
        <v/>
      </c>
      <c r="F2683" s="54" t="str">
        <f>IFERROR(IF(OR($B2683="",$B2683="(blank)"),"",VLOOKUP($B2683,'Email Marketing Raw Data'!$C:$O,13,0)),"")</f>
        <v/>
      </c>
      <c r="G2683" s="55" t="str">
        <f>IFERROR(IF(OR($B2683="",$B2683="(blank)"),"",VLOOKUP($B2683,'Email Marketing Raw Data'!$C:$O,4,0)),"")</f>
        <v/>
      </c>
      <c r="H2683" s="55" t="str">
        <f>IFERROR(IF(OR($B2683="",$B2683="(blank)"),"",VLOOKUP($B2683,'Email Marketing Raw Data'!$C:$O,5,0)),"")</f>
        <v/>
      </c>
      <c r="I2683" s="55" t="str">
        <f>IFERROR(IF($G2683="","",VLOOKUP('Dashboard And Emails Automate'!$G2683,Database!$H:$N,3,0)),"")</f>
        <v/>
      </c>
      <c r="J2683" s="55" t="str">
        <f>IFERROR(IF($G2683="","",VLOOKUP('Dashboard And Emails Automate'!$G2683,Database!$H:$N,4,0)),"")</f>
        <v/>
      </c>
      <c r="K2683" s="55" t="str">
        <f>IFERROR(IF($G2683="","",VLOOKUP('Dashboard And Emails Automate'!$G2683,Database!$H:$N,5,0)),"")</f>
        <v/>
      </c>
      <c r="L2683" s="55" t="str">
        <f>IFERROR(IF($G2683="","",VLOOKUP('Dashboard And Emails Automate'!$G2683,Database!$H:$N,6,0)),"")</f>
        <v/>
      </c>
      <c r="M2683" s="55" t="str">
        <f>IFERROR(IF($G2683="","",VLOOKUP('Dashboard And Emails Automate'!$G2683,Database!$H:$N,7,0)),"")</f>
        <v/>
      </c>
      <c r="N2683" s="55" t="str">
        <f>IFERROR(IF(OR($B2683="",$B2683="(blank)"),"",VLOOKUP($B2683,'Email Marketing Raw Data'!$C:$O,6,0)),"")</f>
        <v/>
      </c>
      <c r="O2683" s="55" t="str">
        <f>IFERROR(IF(OR($B2683="",$B2683="(blank)"),"",VLOOKUP($B2683,'Email Marketing Raw Data'!$C:$O,7,0)),"")</f>
        <v/>
      </c>
      <c r="P2683" s="55" t="str">
        <f>IFERROR(IF(OR($B2683="",$B2683="(blank)"),"",VLOOKUP($B2683,'Email Marketing Raw Data'!$C:$O,8,0)),"")</f>
        <v/>
      </c>
      <c r="Q2683" s="62" t="str">
        <f>IFERROR(IF(OR($B2683="",$B2683="(blank)"),"",VLOOKUP($B2683,'Email Marketing Raw Data'!$C:$O,9,0)),"")</f>
        <v/>
      </c>
    </row>
    <row r="2684" spans="4:17" ht="12.75" customHeight="1" x14ac:dyDescent="0.2">
      <c r="D2684" s="58" t="str">
        <f>IFERROR(IF(F2684&lt;&gt;"pending","",IF(OR($B2684="",$B2684="(blank)"),"",VLOOKUP($B2684,'Email Marketing Raw Data'!$C:$O,10,0))),"")</f>
        <v/>
      </c>
      <c r="E2684" s="59" t="str">
        <f>IFERROR(IF(F2684&lt;&gt;"pending","",IF(OR($B2684="",$B2684="(blank)"),"",VLOOKUP($B2684,'Email Marketing Raw Data'!$C:$O,11,0))),"")</f>
        <v/>
      </c>
      <c r="F2684" s="54" t="str">
        <f>IFERROR(IF(OR($B2684="",$B2684="(blank)"),"",VLOOKUP($B2684,'Email Marketing Raw Data'!$C:$O,13,0)),"")</f>
        <v/>
      </c>
      <c r="G2684" s="55" t="str">
        <f>IFERROR(IF(OR($B2684="",$B2684="(blank)"),"",VLOOKUP($B2684,'Email Marketing Raw Data'!$C:$O,4,0)),"")</f>
        <v/>
      </c>
      <c r="H2684" s="55" t="str">
        <f>IFERROR(IF(OR($B2684="",$B2684="(blank)"),"",VLOOKUP($B2684,'Email Marketing Raw Data'!$C:$O,5,0)),"")</f>
        <v/>
      </c>
      <c r="I2684" s="55" t="str">
        <f>IFERROR(IF($G2684="","",VLOOKUP('Dashboard And Emails Automate'!$G2684,Database!$H:$N,3,0)),"")</f>
        <v/>
      </c>
      <c r="J2684" s="55" t="str">
        <f>IFERROR(IF($G2684="","",VLOOKUP('Dashboard And Emails Automate'!$G2684,Database!$H:$N,4,0)),"")</f>
        <v/>
      </c>
      <c r="K2684" s="55" t="str">
        <f>IFERROR(IF($G2684="","",VLOOKUP('Dashboard And Emails Automate'!$G2684,Database!$H:$N,5,0)),"")</f>
        <v/>
      </c>
      <c r="L2684" s="55" t="str">
        <f>IFERROR(IF($G2684="","",VLOOKUP('Dashboard And Emails Automate'!$G2684,Database!$H:$N,6,0)),"")</f>
        <v/>
      </c>
      <c r="M2684" s="55" t="str">
        <f>IFERROR(IF($G2684="","",VLOOKUP('Dashboard And Emails Automate'!$G2684,Database!$H:$N,7,0)),"")</f>
        <v/>
      </c>
      <c r="N2684" s="55" t="str">
        <f>IFERROR(IF(OR($B2684="",$B2684="(blank)"),"",VLOOKUP($B2684,'Email Marketing Raw Data'!$C:$O,6,0)),"")</f>
        <v/>
      </c>
      <c r="O2684" s="55" t="str">
        <f>IFERROR(IF(OR($B2684="",$B2684="(blank)"),"",VLOOKUP($B2684,'Email Marketing Raw Data'!$C:$O,7,0)),"")</f>
        <v/>
      </c>
      <c r="P2684" s="55" t="str">
        <f>IFERROR(IF(OR($B2684="",$B2684="(blank)"),"",VLOOKUP($B2684,'Email Marketing Raw Data'!$C:$O,8,0)),"")</f>
        <v/>
      </c>
      <c r="Q2684" s="62" t="str">
        <f>IFERROR(IF(OR($B2684="",$B2684="(blank)"),"",VLOOKUP($B2684,'Email Marketing Raw Data'!$C:$O,9,0)),"")</f>
        <v/>
      </c>
    </row>
    <row r="2685" spans="4:17" ht="12.75" customHeight="1" x14ac:dyDescent="0.2">
      <c r="D2685" s="58" t="str">
        <f>IFERROR(IF(F2685&lt;&gt;"pending","",IF(OR($B2685="",$B2685="(blank)"),"",VLOOKUP($B2685,'Email Marketing Raw Data'!$C:$O,10,0))),"")</f>
        <v/>
      </c>
      <c r="E2685" s="59" t="str">
        <f>IFERROR(IF(F2685&lt;&gt;"pending","",IF(OR($B2685="",$B2685="(blank)"),"",VLOOKUP($B2685,'Email Marketing Raw Data'!$C:$O,11,0))),"")</f>
        <v/>
      </c>
      <c r="F2685" s="54" t="str">
        <f>IFERROR(IF(OR($B2685="",$B2685="(blank)"),"",VLOOKUP($B2685,'Email Marketing Raw Data'!$C:$O,13,0)),"")</f>
        <v/>
      </c>
      <c r="G2685" s="55" t="str">
        <f>IFERROR(IF(OR($B2685="",$B2685="(blank)"),"",VLOOKUP($B2685,'Email Marketing Raw Data'!$C:$O,4,0)),"")</f>
        <v/>
      </c>
      <c r="H2685" s="55" t="str">
        <f>IFERROR(IF(OR($B2685="",$B2685="(blank)"),"",VLOOKUP($B2685,'Email Marketing Raw Data'!$C:$O,5,0)),"")</f>
        <v/>
      </c>
      <c r="I2685" s="55" t="str">
        <f>IFERROR(IF($G2685="","",VLOOKUP('Dashboard And Emails Automate'!$G2685,Database!$H:$N,3,0)),"")</f>
        <v/>
      </c>
      <c r="J2685" s="55" t="str">
        <f>IFERROR(IF($G2685="","",VLOOKUP('Dashboard And Emails Automate'!$G2685,Database!$H:$N,4,0)),"")</f>
        <v/>
      </c>
      <c r="K2685" s="55" t="str">
        <f>IFERROR(IF($G2685="","",VLOOKUP('Dashboard And Emails Automate'!$G2685,Database!$H:$N,5,0)),"")</f>
        <v/>
      </c>
      <c r="L2685" s="55" t="str">
        <f>IFERROR(IF($G2685="","",VLOOKUP('Dashboard And Emails Automate'!$G2685,Database!$H:$N,6,0)),"")</f>
        <v/>
      </c>
      <c r="M2685" s="55" t="str">
        <f>IFERROR(IF($G2685="","",VLOOKUP('Dashboard And Emails Automate'!$G2685,Database!$H:$N,7,0)),"")</f>
        <v/>
      </c>
      <c r="N2685" s="55" t="str">
        <f>IFERROR(IF(OR($B2685="",$B2685="(blank)"),"",VLOOKUP($B2685,'Email Marketing Raw Data'!$C:$O,6,0)),"")</f>
        <v/>
      </c>
      <c r="O2685" s="55" t="str">
        <f>IFERROR(IF(OR($B2685="",$B2685="(blank)"),"",VLOOKUP($B2685,'Email Marketing Raw Data'!$C:$O,7,0)),"")</f>
        <v/>
      </c>
      <c r="P2685" s="55" t="str">
        <f>IFERROR(IF(OR($B2685="",$B2685="(blank)"),"",VLOOKUP($B2685,'Email Marketing Raw Data'!$C:$O,8,0)),"")</f>
        <v/>
      </c>
      <c r="Q2685" s="62" t="str">
        <f>IFERROR(IF(OR($B2685="",$B2685="(blank)"),"",VLOOKUP($B2685,'Email Marketing Raw Data'!$C:$O,9,0)),"")</f>
        <v/>
      </c>
    </row>
    <row r="2686" spans="4:17" ht="12.75" customHeight="1" x14ac:dyDescent="0.2">
      <c r="D2686" s="58" t="str">
        <f>IFERROR(IF(F2686&lt;&gt;"pending","",IF(OR($B2686="",$B2686="(blank)"),"",VLOOKUP($B2686,'Email Marketing Raw Data'!$C:$O,10,0))),"")</f>
        <v/>
      </c>
      <c r="E2686" s="59" t="str">
        <f>IFERROR(IF(F2686&lt;&gt;"pending","",IF(OR($B2686="",$B2686="(blank)"),"",VLOOKUP($B2686,'Email Marketing Raw Data'!$C:$O,11,0))),"")</f>
        <v/>
      </c>
      <c r="F2686" s="54" t="str">
        <f>IFERROR(IF(OR($B2686="",$B2686="(blank)"),"",VLOOKUP($B2686,'Email Marketing Raw Data'!$C:$O,13,0)),"")</f>
        <v/>
      </c>
      <c r="G2686" s="55" t="str">
        <f>IFERROR(IF(OR($B2686="",$B2686="(blank)"),"",VLOOKUP($B2686,'Email Marketing Raw Data'!$C:$O,4,0)),"")</f>
        <v/>
      </c>
      <c r="H2686" s="55" t="str">
        <f>IFERROR(IF(OR($B2686="",$B2686="(blank)"),"",VLOOKUP($B2686,'Email Marketing Raw Data'!$C:$O,5,0)),"")</f>
        <v/>
      </c>
      <c r="I2686" s="55" t="str">
        <f>IFERROR(IF($G2686="","",VLOOKUP('Dashboard And Emails Automate'!$G2686,Database!$H:$N,3,0)),"")</f>
        <v/>
      </c>
      <c r="J2686" s="55" t="str">
        <f>IFERROR(IF($G2686="","",VLOOKUP('Dashboard And Emails Automate'!$G2686,Database!$H:$N,4,0)),"")</f>
        <v/>
      </c>
      <c r="K2686" s="55" t="str">
        <f>IFERROR(IF($G2686="","",VLOOKUP('Dashboard And Emails Automate'!$G2686,Database!$H:$N,5,0)),"")</f>
        <v/>
      </c>
      <c r="L2686" s="55" t="str">
        <f>IFERROR(IF($G2686="","",VLOOKUP('Dashboard And Emails Automate'!$G2686,Database!$H:$N,6,0)),"")</f>
        <v/>
      </c>
      <c r="M2686" s="55" t="str">
        <f>IFERROR(IF($G2686="","",VLOOKUP('Dashboard And Emails Automate'!$G2686,Database!$H:$N,7,0)),"")</f>
        <v/>
      </c>
      <c r="N2686" s="55" t="str">
        <f>IFERROR(IF(OR($B2686="",$B2686="(blank)"),"",VLOOKUP($B2686,'Email Marketing Raw Data'!$C:$O,6,0)),"")</f>
        <v/>
      </c>
      <c r="O2686" s="55" t="str">
        <f>IFERROR(IF(OR($B2686="",$B2686="(blank)"),"",VLOOKUP($B2686,'Email Marketing Raw Data'!$C:$O,7,0)),"")</f>
        <v/>
      </c>
      <c r="P2686" s="55" t="str">
        <f>IFERROR(IF(OR($B2686="",$B2686="(blank)"),"",VLOOKUP($B2686,'Email Marketing Raw Data'!$C:$O,8,0)),"")</f>
        <v/>
      </c>
      <c r="Q2686" s="62" t="str">
        <f>IFERROR(IF(OR($B2686="",$B2686="(blank)"),"",VLOOKUP($B2686,'Email Marketing Raw Data'!$C:$O,9,0)),"")</f>
        <v/>
      </c>
    </row>
    <row r="2687" spans="4:17" ht="12.75" customHeight="1" x14ac:dyDescent="0.2">
      <c r="D2687" s="58" t="str">
        <f>IFERROR(IF(F2687&lt;&gt;"pending","",IF(OR($B2687="",$B2687="(blank)"),"",VLOOKUP($B2687,'Email Marketing Raw Data'!$C:$O,10,0))),"")</f>
        <v/>
      </c>
      <c r="E2687" s="59" t="str">
        <f>IFERROR(IF(F2687&lt;&gt;"pending","",IF(OR($B2687="",$B2687="(blank)"),"",VLOOKUP($B2687,'Email Marketing Raw Data'!$C:$O,11,0))),"")</f>
        <v/>
      </c>
      <c r="F2687" s="54" t="str">
        <f>IFERROR(IF(OR($B2687="",$B2687="(blank)"),"",VLOOKUP($B2687,'Email Marketing Raw Data'!$C:$O,13,0)),"")</f>
        <v/>
      </c>
      <c r="G2687" s="55" t="str">
        <f>IFERROR(IF(OR($B2687="",$B2687="(blank)"),"",VLOOKUP($B2687,'Email Marketing Raw Data'!$C:$O,4,0)),"")</f>
        <v/>
      </c>
      <c r="H2687" s="55" t="str">
        <f>IFERROR(IF(OR($B2687="",$B2687="(blank)"),"",VLOOKUP($B2687,'Email Marketing Raw Data'!$C:$O,5,0)),"")</f>
        <v/>
      </c>
      <c r="I2687" s="55" t="str">
        <f>IFERROR(IF($G2687="","",VLOOKUP('Dashboard And Emails Automate'!$G2687,Database!$H:$N,3,0)),"")</f>
        <v/>
      </c>
      <c r="J2687" s="55" t="str">
        <f>IFERROR(IF($G2687="","",VLOOKUP('Dashboard And Emails Automate'!$G2687,Database!$H:$N,4,0)),"")</f>
        <v/>
      </c>
      <c r="K2687" s="55" t="str">
        <f>IFERROR(IF($G2687="","",VLOOKUP('Dashboard And Emails Automate'!$G2687,Database!$H:$N,5,0)),"")</f>
        <v/>
      </c>
      <c r="L2687" s="55" t="str">
        <f>IFERROR(IF($G2687="","",VLOOKUP('Dashboard And Emails Automate'!$G2687,Database!$H:$N,6,0)),"")</f>
        <v/>
      </c>
      <c r="M2687" s="55" t="str">
        <f>IFERROR(IF($G2687="","",VLOOKUP('Dashboard And Emails Automate'!$G2687,Database!$H:$N,7,0)),"")</f>
        <v/>
      </c>
      <c r="N2687" s="55" t="str">
        <f>IFERROR(IF(OR($B2687="",$B2687="(blank)"),"",VLOOKUP($B2687,'Email Marketing Raw Data'!$C:$O,6,0)),"")</f>
        <v/>
      </c>
      <c r="O2687" s="55" t="str">
        <f>IFERROR(IF(OR($B2687="",$B2687="(blank)"),"",VLOOKUP($B2687,'Email Marketing Raw Data'!$C:$O,7,0)),"")</f>
        <v/>
      </c>
      <c r="P2687" s="55" t="str">
        <f>IFERROR(IF(OR($B2687="",$B2687="(blank)"),"",VLOOKUP($B2687,'Email Marketing Raw Data'!$C:$O,8,0)),"")</f>
        <v/>
      </c>
      <c r="Q2687" s="62" t="str">
        <f>IFERROR(IF(OR($B2687="",$B2687="(blank)"),"",VLOOKUP($B2687,'Email Marketing Raw Data'!$C:$O,9,0)),"")</f>
        <v/>
      </c>
    </row>
    <row r="2688" spans="4:17" ht="12.75" customHeight="1" x14ac:dyDescent="0.2">
      <c r="D2688" s="58" t="str">
        <f>IFERROR(IF(F2688&lt;&gt;"pending","",IF(OR($B2688="",$B2688="(blank)"),"",VLOOKUP($B2688,'Email Marketing Raw Data'!$C:$O,10,0))),"")</f>
        <v/>
      </c>
      <c r="E2688" s="59" t="str">
        <f>IFERROR(IF(F2688&lt;&gt;"pending","",IF(OR($B2688="",$B2688="(blank)"),"",VLOOKUP($B2688,'Email Marketing Raw Data'!$C:$O,11,0))),"")</f>
        <v/>
      </c>
      <c r="F2688" s="54" t="str">
        <f>IFERROR(IF(OR($B2688="",$B2688="(blank)"),"",VLOOKUP($B2688,'Email Marketing Raw Data'!$C:$O,13,0)),"")</f>
        <v/>
      </c>
      <c r="G2688" s="55" t="str">
        <f>IFERROR(IF(OR($B2688="",$B2688="(blank)"),"",VLOOKUP($B2688,'Email Marketing Raw Data'!$C:$O,4,0)),"")</f>
        <v/>
      </c>
      <c r="H2688" s="55" t="str">
        <f>IFERROR(IF(OR($B2688="",$B2688="(blank)"),"",VLOOKUP($B2688,'Email Marketing Raw Data'!$C:$O,5,0)),"")</f>
        <v/>
      </c>
      <c r="I2688" s="55" t="str">
        <f>IFERROR(IF($G2688="","",VLOOKUP('Dashboard And Emails Automate'!$G2688,Database!$H:$N,3,0)),"")</f>
        <v/>
      </c>
      <c r="J2688" s="55" t="str">
        <f>IFERROR(IF($G2688="","",VLOOKUP('Dashboard And Emails Automate'!$G2688,Database!$H:$N,4,0)),"")</f>
        <v/>
      </c>
      <c r="K2688" s="55" t="str">
        <f>IFERROR(IF($G2688="","",VLOOKUP('Dashboard And Emails Automate'!$G2688,Database!$H:$N,5,0)),"")</f>
        <v/>
      </c>
      <c r="L2688" s="55" t="str">
        <f>IFERROR(IF($G2688="","",VLOOKUP('Dashboard And Emails Automate'!$G2688,Database!$H:$N,6,0)),"")</f>
        <v/>
      </c>
      <c r="M2688" s="55" t="str">
        <f>IFERROR(IF($G2688="","",VLOOKUP('Dashboard And Emails Automate'!$G2688,Database!$H:$N,7,0)),"")</f>
        <v/>
      </c>
      <c r="N2688" s="55" t="str">
        <f>IFERROR(IF(OR($B2688="",$B2688="(blank)"),"",VLOOKUP($B2688,'Email Marketing Raw Data'!$C:$O,6,0)),"")</f>
        <v/>
      </c>
      <c r="O2688" s="55" t="str">
        <f>IFERROR(IF(OR($B2688="",$B2688="(blank)"),"",VLOOKUP($B2688,'Email Marketing Raw Data'!$C:$O,7,0)),"")</f>
        <v/>
      </c>
      <c r="P2688" s="55" t="str">
        <f>IFERROR(IF(OR($B2688="",$B2688="(blank)"),"",VLOOKUP($B2688,'Email Marketing Raw Data'!$C:$O,8,0)),"")</f>
        <v/>
      </c>
      <c r="Q2688" s="62" t="str">
        <f>IFERROR(IF(OR($B2688="",$B2688="(blank)"),"",VLOOKUP($B2688,'Email Marketing Raw Data'!$C:$O,9,0)),"")</f>
        <v/>
      </c>
    </row>
    <row r="2689" spans="4:17" ht="12.75" customHeight="1" x14ac:dyDescent="0.2">
      <c r="D2689" s="58" t="str">
        <f>IFERROR(IF(F2689&lt;&gt;"pending","",IF(OR($B2689="",$B2689="(blank)"),"",VLOOKUP($B2689,'Email Marketing Raw Data'!$C:$O,10,0))),"")</f>
        <v/>
      </c>
      <c r="E2689" s="59" t="str">
        <f>IFERROR(IF(F2689&lt;&gt;"pending","",IF(OR($B2689="",$B2689="(blank)"),"",VLOOKUP($B2689,'Email Marketing Raw Data'!$C:$O,11,0))),"")</f>
        <v/>
      </c>
      <c r="F2689" s="54" t="str">
        <f>IFERROR(IF(OR($B2689="",$B2689="(blank)"),"",VLOOKUP($B2689,'Email Marketing Raw Data'!$C:$O,13,0)),"")</f>
        <v/>
      </c>
      <c r="G2689" s="55" t="str">
        <f>IFERROR(IF(OR($B2689="",$B2689="(blank)"),"",VLOOKUP($B2689,'Email Marketing Raw Data'!$C:$O,4,0)),"")</f>
        <v/>
      </c>
      <c r="H2689" s="55" t="str">
        <f>IFERROR(IF(OR($B2689="",$B2689="(blank)"),"",VLOOKUP($B2689,'Email Marketing Raw Data'!$C:$O,5,0)),"")</f>
        <v/>
      </c>
      <c r="I2689" s="55" t="str">
        <f>IFERROR(IF($G2689="","",VLOOKUP('Dashboard And Emails Automate'!$G2689,Database!$H:$N,3,0)),"")</f>
        <v/>
      </c>
      <c r="J2689" s="55" t="str">
        <f>IFERROR(IF($G2689="","",VLOOKUP('Dashboard And Emails Automate'!$G2689,Database!$H:$N,4,0)),"")</f>
        <v/>
      </c>
      <c r="K2689" s="55" t="str">
        <f>IFERROR(IF($G2689="","",VLOOKUP('Dashboard And Emails Automate'!$G2689,Database!$H:$N,5,0)),"")</f>
        <v/>
      </c>
      <c r="L2689" s="55" t="str">
        <f>IFERROR(IF($G2689="","",VLOOKUP('Dashboard And Emails Automate'!$G2689,Database!$H:$N,6,0)),"")</f>
        <v/>
      </c>
      <c r="M2689" s="55" t="str">
        <f>IFERROR(IF($G2689="","",VLOOKUP('Dashboard And Emails Automate'!$G2689,Database!$H:$N,7,0)),"")</f>
        <v/>
      </c>
      <c r="N2689" s="55" t="str">
        <f>IFERROR(IF(OR($B2689="",$B2689="(blank)"),"",VLOOKUP($B2689,'Email Marketing Raw Data'!$C:$O,6,0)),"")</f>
        <v/>
      </c>
      <c r="O2689" s="55" t="str">
        <f>IFERROR(IF(OR($B2689="",$B2689="(blank)"),"",VLOOKUP($B2689,'Email Marketing Raw Data'!$C:$O,7,0)),"")</f>
        <v/>
      </c>
      <c r="P2689" s="55" t="str">
        <f>IFERROR(IF(OR($B2689="",$B2689="(blank)"),"",VLOOKUP($B2689,'Email Marketing Raw Data'!$C:$O,8,0)),"")</f>
        <v/>
      </c>
      <c r="Q2689" s="62" t="str">
        <f>IFERROR(IF(OR($B2689="",$B2689="(blank)"),"",VLOOKUP($B2689,'Email Marketing Raw Data'!$C:$O,9,0)),"")</f>
        <v/>
      </c>
    </row>
    <row r="2690" spans="4:17" ht="12.75" customHeight="1" x14ac:dyDescent="0.2">
      <c r="D2690" s="58" t="str">
        <f>IFERROR(IF(F2690&lt;&gt;"pending","",IF(OR($B2690="",$B2690="(blank)"),"",VLOOKUP($B2690,'Email Marketing Raw Data'!$C:$O,10,0))),"")</f>
        <v/>
      </c>
      <c r="E2690" s="59" t="str">
        <f>IFERROR(IF(F2690&lt;&gt;"pending","",IF(OR($B2690="",$B2690="(blank)"),"",VLOOKUP($B2690,'Email Marketing Raw Data'!$C:$O,11,0))),"")</f>
        <v/>
      </c>
      <c r="F2690" s="54" t="str">
        <f>IFERROR(IF(OR($B2690="",$B2690="(blank)"),"",VLOOKUP($B2690,'Email Marketing Raw Data'!$C:$O,13,0)),"")</f>
        <v/>
      </c>
      <c r="G2690" s="55" t="str">
        <f>IFERROR(IF(OR($B2690="",$B2690="(blank)"),"",VLOOKUP($B2690,'Email Marketing Raw Data'!$C:$O,4,0)),"")</f>
        <v/>
      </c>
      <c r="H2690" s="55" t="str">
        <f>IFERROR(IF(OR($B2690="",$B2690="(blank)"),"",VLOOKUP($B2690,'Email Marketing Raw Data'!$C:$O,5,0)),"")</f>
        <v/>
      </c>
      <c r="I2690" s="55" t="str">
        <f>IFERROR(IF($G2690="","",VLOOKUP('Dashboard And Emails Automate'!$G2690,Database!$H:$N,3,0)),"")</f>
        <v/>
      </c>
      <c r="J2690" s="55" t="str">
        <f>IFERROR(IF($G2690="","",VLOOKUP('Dashboard And Emails Automate'!$G2690,Database!$H:$N,4,0)),"")</f>
        <v/>
      </c>
      <c r="K2690" s="55" t="str">
        <f>IFERROR(IF($G2690="","",VLOOKUP('Dashboard And Emails Automate'!$G2690,Database!$H:$N,5,0)),"")</f>
        <v/>
      </c>
      <c r="L2690" s="55" t="str">
        <f>IFERROR(IF($G2690="","",VLOOKUP('Dashboard And Emails Automate'!$G2690,Database!$H:$N,6,0)),"")</f>
        <v/>
      </c>
      <c r="M2690" s="55" t="str">
        <f>IFERROR(IF($G2690="","",VLOOKUP('Dashboard And Emails Automate'!$G2690,Database!$H:$N,7,0)),"")</f>
        <v/>
      </c>
      <c r="N2690" s="55" t="str">
        <f>IFERROR(IF(OR($B2690="",$B2690="(blank)"),"",VLOOKUP($B2690,'Email Marketing Raw Data'!$C:$O,6,0)),"")</f>
        <v/>
      </c>
      <c r="O2690" s="55" t="str">
        <f>IFERROR(IF(OR($B2690="",$B2690="(blank)"),"",VLOOKUP($B2690,'Email Marketing Raw Data'!$C:$O,7,0)),"")</f>
        <v/>
      </c>
      <c r="P2690" s="55" t="str">
        <f>IFERROR(IF(OR($B2690="",$B2690="(blank)"),"",VLOOKUP($B2690,'Email Marketing Raw Data'!$C:$O,8,0)),"")</f>
        <v/>
      </c>
      <c r="Q2690" s="62" t="str">
        <f>IFERROR(IF(OR($B2690="",$B2690="(blank)"),"",VLOOKUP($B2690,'Email Marketing Raw Data'!$C:$O,9,0)),"")</f>
        <v/>
      </c>
    </row>
    <row r="2691" spans="4:17" ht="12.75" customHeight="1" x14ac:dyDescent="0.2">
      <c r="D2691" s="58" t="str">
        <f>IFERROR(IF(F2691&lt;&gt;"pending","",IF(OR($B2691="",$B2691="(blank)"),"",VLOOKUP($B2691,'Email Marketing Raw Data'!$C:$O,10,0))),"")</f>
        <v/>
      </c>
      <c r="E2691" s="59" t="str">
        <f>IFERROR(IF(F2691&lt;&gt;"pending","",IF(OR($B2691="",$B2691="(blank)"),"",VLOOKUP($B2691,'Email Marketing Raw Data'!$C:$O,11,0))),"")</f>
        <v/>
      </c>
      <c r="F2691" s="54" t="str">
        <f>IFERROR(IF(OR($B2691="",$B2691="(blank)"),"",VLOOKUP($B2691,'Email Marketing Raw Data'!$C:$O,13,0)),"")</f>
        <v/>
      </c>
      <c r="G2691" s="55" t="str">
        <f>IFERROR(IF(OR($B2691="",$B2691="(blank)"),"",VLOOKUP($B2691,'Email Marketing Raw Data'!$C:$O,4,0)),"")</f>
        <v/>
      </c>
      <c r="H2691" s="55" t="str">
        <f>IFERROR(IF(OR($B2691="",$B2691="(blank)"),"",VLOOKUP($B2691,'Email Marketing Raw Data'!$C:$O,5,0)),"")</f>
        <v/>
      </c>
      <c r="I2691" s="55" t="str">
        <f>IFERROR(IF($G2691="","",VLOOKUP('Dashboard And Emails Automate'!$G2691,Database!$H:$N,3,0)),"")</f>
        <v/>
      </c>
      <c r="J2691" s="55" t="str">
        <f>IFERROR(IF($G2691="","",VLOOKUP('Dashboard And Emails Automate'!$G2691,Database!$H:$N,4,0)),"")</f>
        <v/>
      </c>
      <c r="K2691" s="55" t="str">
        <f>IFERROR(IF($G2691="","",VLOOKUP('Dashboard And Emails Automate'!$G2691,Database!$H:$N,5,0)),"")</f>
        <v/>
      </c>
      <c r="L2691" s="55" t="str">
        <f>IFERROR(IF($G2691="","",VLOOKUP('Dashboard And Emails Automate'!$G2691,Database!$H:$N,6,0)),"")</f>
        <v/>
      </c>
      <c r="M2691" s="55" t="str">
        <f>IFERROR(IF($G2691="","",VLOOKUP('Dashboard And Emails Automate'!$G2691,Database!$H:$N,7,0)),"")</f>
        <v/>
      </c>
      <c r="N2691" s="55" t="str">
        <f>IFERROR(IF(OR($B2691="",$B2691="(blank)"),"",VLOOKUP($B2691,'Email Marketing Raw Data'!$C:$O,6,0)),"")</f>
        <v/>
      </c>
      <c r="O2691" s="55" t="str">
        <f>IFERROR(IF(OR($B2691="",$B2691="(blank)"),"",VLOOKUP($B2691,'Email Marketing Raw Data'!$C:$O,7,0)),"")</f>
        <v/>
      </c>
      <c r="P2691" s="55" t="str">
        <f>IFERROR(IF(OR($B2691="",$B2691="(blank)"),"",VLOOKUP($B2691,'Email Marketing Raw Data'!$C:$O,8,0)),"")</f>
        <v/>
      </c>
      <c r="Q2691" s="62" t="str">
        <f>IFERROR(IF(OR($B2691="",$B2691="(blank)"),"",VLOOKUP($B2691,'Email Marketing Raw Data'!$C:$O,9,0)),"")</f>
        <v/>
      </c>
    </row>
    <row r="2692" spans="4:17" ht="12.75" customHeight="1" x14ac:dyDescent="0.2">
      <c r="D2692" s="58" t="str">
        <f>IFERROR(IF(F2692&lt;&gt;"pending","",IF(OR($B2692="",$B2692="(blank)"),"",VLOOKUP($B2692,'Email Marketing Raw Data'!$C:$O,10,0))),"")</f>
        <v/>
      </c>
      <c r="E2692" s="59" t="str">
        <f>IFERROR(IF(F2692&lt;&gt;"pending","",IF(OR($B2692="",$B2692="(blank)"),"",VLOOKUP($B2692,'Email Marketing Raw Data'!$C:$O,11,0))),"")</f>
        <v/>
      </c>
      <c r="F2692" s="54" t="str">
        <f>IFERROR(IF(OR($B2692="",$B2692="(blank)"),"",VLOOKUP($B2692,'Email Marketing Raw Data'!$C:$O,13,0)),"")</f>
        <v/>
      </c>
      <c r="G2692" s="55" t="str">
        <f>IFERROR(IF(OR($B2692="",$B2692="(blank)"),"",VLOOKUP($B2692,'Email Marketing Raw Data'!$C:$O,4,0)),"")</f>
        <v/>
      </c>
      <c r="H2692" s="55" t="str">
        <f>IFERROR(IF(OR($B2692="",$B2692="(blank)"),"",VLOOKUP($B2692,'Email Marketing Raw Data'!$C:$O,5,0)),"")</f>
        <v/>
      </c>
      <c r="I2692" s="55" t="str">
        <f>IFERROR(IF($G2692="","",VLOOKUP('Dashboard And Emails Automate'!$G2692,Database!$H:$N,3,0)),"")</f>
        <v/>
      </c>
      <c r="J2692" s="55" t="str">
        <f>IFERROR(IF($G2692="","",VLOOKUP('Dashboard And Emails Automate'!$G2692,Database!$H:$N,4,0)),"")</f>
        <v/>
      </c>
      <c r="K2692" s="55" t="str">
        <f>IFERROR(IF($G2692="","",VLOOKUP('Dashboard And Emails Automate'!$G2692,Database!$H:$N,5,0)),"")</f>
        <v/>
      </c>
      <c r="L2692" s="55" t="str">
        <f>IFERROR(IF($G2692="","",VLOOKUP('Dashboard And Emails Automate'!$G2692,Database!$H:$N,6,0)),"")</f>
        <v/>
      </c>
      <c r="M2692" s="55" t="str">
        <f>IFERROR(IF($G2692="","",VLOOKUP('Dashboard And Emails Automate'!$G2692,Database!$H:$N,7,0)),"")</f>
        <v/>
      </c>
      <c r="N2692" s="55" t="str">
        <f>IFERROR(IF(OR($B2692="",$B2692="(blank)"),"",VLOOKUP($B2692,'Email Marketing Raw Data'!$C:$O,6,0)),"")</f>
        <v/>
      </c>
      <c r="O2692" s="55" t="str">
        <f>IFERROR(IF(OR($B2692="",$B2692="(blank)"),"",VLOOKUP($B2692,'Email Marketing Raw Data'!$C:$O,7,0)),"")</f>
        <v/>
      </c>
      <c r="P2692" s="55" t="str">
        <f>IFERROR(IF(OR($B2692="",$B2692="(blank)"),"",VLOOKUP($B2692,'Email Marketing Raw Data'!$C:$O,8,0)),"")</f>
        <v/>
      </c>
      <c r="Q2692" s="62" t="str">
        <f>IFERROR(IF(OR($B2692="",$B2692="(blank)"),"",VLOOKUP($B2692,'Email Marketing Raw Data'!$C:$O,9,0)),"")</f>
        <v/>
      </c>
    </row>
    <row r="2693" spans="4:17" ht="12.75" customHeight="1" x14ac:dyDescent="0.2">
      <c r="D2693" s="58" t="str">
        <f>IFERROR(IF(F2693&lt;&gt;"pending","",IF(OR($B2693="",$B2693="(blank)"),"",VLOOKUP($B2693,'Email Marketing Raw Data'!$C:$O,10,0))),"")</f>
        <v/>
      </c>
      <c r="E2693" s="59" t="str">
        <f>IFERROR(IF(F2693&lt;&gt;"pending","",IF(OR($B2693="",$B2693="(blank)"),"",VLOOKUP($B2693,'Email Marketing Raw Data'!$C:$O,11,0))),"")</f>
        <v/>
      </c>
      <c r="F2693" s="54" t="str">
        <f>IFERROR(IF(OR($B2693="",$B2693="(blank)"),"",VLOOKUP($B2693,'Email Marketing Raw Data'!$C:$O,13,0)),"")</f>
        <v/>
      </c>
      <c r="G2693" s="55" t="str">
        <f>IFERROR(IF(OR($B2693="",$B2693="(blank)"),"",VLOOKUP($B2693,'Email Marketing Raw Data'!$C:$O,4,0)),"")</f>
        <v/>
      </c>
      <c r="H2693" s="55" t="str">
        <f>IFERROR(IF(OR($B2693="",$B2693="(blank)"),"",VLOOKUP($B2693,'Email Marketing Raw Data'!$C:$O,5,0)),"")</f>
        <v/>
      </c>
      <c r="I2693" s="55" t="str">
        <f>IFERROR(IF($G2693="","",VLOOKUP('Dashboard And Emails Automate'!$G2693,Database!$H:$N,3,0)),"")</f>
        <v/>
      </c>
      <c r="J2693" s="55" t="str">
        <f>IFERROR(IF($G2693="","",VLOOKUP('Dashboard And Emails Automate'!$G2693,Database!$H:$N,4,0)),"")</f>
        <v/>
      </c>
      <c r="K2693" s="55" t="str">
        <f>IFERROR(IF($G2693="","",VLOOKUP('Dashboard And Emails Automate'!$G2693,Database!$H:$N,5,0)),"")</f>
        <v/>
      </c>
      <c r="L2693" s="55" t="str">
        <f>IFERROR(IF($G2693="","",VLOOKUP('Dashboard And Emails Automate'!$G2693,Database!$H:$N,6,0)),"")</f>
        <v/>
      </c>
      <c r="M2693" s="55" t="str">
        <f>IFERROR(IF($G2693="","",VLOOKUP('Dashboard And Emails Automate'!$G2693,Database!$H:$N,7,0)),"")</f>
        <v/>
      </c>
      <c r="N2693" s="55" t="str">
        <f>IFERROR(IF(OR($B2693="",$B2693="(blank)"),"",VLOOKUP($B2693,'Email Marketing Raw Data'!$C:$O,6,0)),"")</f>
        <v/>
      </c>
      <c r="O2693" s="55" t="str">
        <f>IFERROR(IF(OR($B2693="",$B2693="(blank)"),"",VLOOKUP($B2693,'Email Marketing Raw Data'!$C:$O,7,0)),"")</f>
        <v/>
      </c>
      <c r="P2693" s="55" t="str">
        <f>IFERROR(IF(OR($B2693="",$B2693="(blank)"),"",VLOOKUP($B2693,'Email Marketing Raw Data'!$C:$O,8,0)),"")</f>
        <v/>
      </c>
      <c r="Q2693" s="62" t="str">
        <f>IFERROR(IF(OR($B2693="",$B2693="(blank)"),"",VLOOKUP($B2693,'Email Marketing Raw Data'!$C:$O,9,0)),"")</f>
        <v/>
      </c>
    </row>
    <row r="2694" spans="4:17" ht="12.75" customHeight="1" x14ac:dyDescent="0.2">
      <c r="D2694" s="58" t="str">
        <f>IFERROR(IF(F2694&lt;&gt;"pending","",IF(OR($B2694="",$B2694="(blank)"),"",VLOOKUP($B2694,'Email Marketing Raw Data'!$C:$O,10,0))),"")</f>
        <v/>
      </c>
      <c r="E2694" s="59" t="str">
        <f>IFERROR(IF(F2694&lt;&gt;"pending","",IF(OR($B2694="",$B2694="(blank)"),"",VLOOKUP($B2694,'Email Marketing Raw Data'!$C:$O,11,0))),"")</f>
        <v/>
      </c>
      <c r="F2694" s="54" t="str">
        <f>IFERROR(IF(OR($B2694="",$B2694="(blank)"),"",VLOOKUP($B2694,'Email Marketing Raw Data'!$C:$O,13,0)),"")</f>
        <v/>
      </c>
      <c r="G2694" s="55" t="str">
        <f>IFERROR(IF(OR($B2694="",$B2694="(blank)"),"",VLOOKUP($B2694,'Email Marketing Raw Data'!$C:$O,4,0)),"")</f>
        <v/>
      </c>
      <c r="H2694" s="55" t="str">
        <f>IFERROR(IF(OR($B2694="",$B2694="(blank)"),"",VLOOKUP($B2694,'Email Marketing Raw Data'!$C:$O,5,0)),"")</f>
        <v/>
      </c>
      <c r="I2694" s="55" t="str">
        <f>IFERROR(IF($G2694="","",VLOOKUP('Dashboard And Emails Automate'!$G2694,Database!$H:$N,3,0)),"")</f>
        <v/>
      </c>
      <c r="J2694" s="55" t="str">
        <f>IFERROR(IF($G2694="","",VLOOKUP('Dashboard And Emails Automate'!$G2694,Database!$H:$N,4,0)),"")</f>
        <v/>
      </c>
      <c r="K2694" s="55" t="str">
        <f>IFERROR(IF($G2694="","",VLOOKUP('Dashboard And Emails Automate'!$G2694,Database!$H:$N,5,0)),"")</f>
        <v/>
      </c>
      <c r="L2694" s="55" t="str">
        <f>IFERROR(IF($G2694="","",VLOOKUP('Dashboard And Emails Automate'!$G2694,Database!$H:$N,6,0)),"")</f>
        <v/>
      </c>
      <c r="M2694" s="55" t="str">
        <f>IFERROR(IF($G2694="","",VLOOKUP('Dashboard And Emails Automate'!$G2694,Database!$H:$N,7,0)),"")</f>
        <v/>
      </c>
      <c r="N2694" s="55" t="str">
        <f>IFERROR(IF(OR($B2694="",$B2694="(blank)"),"",VLOOKUP($B2694,'Email Marketing Raw Data'!$C:$O,6,0)),"")</f>
        <v/>
      </c>
      <c r="O2694" s="55" t="str">
        <f>IFERROR(IF(OR($B2694="",$B2694="(blank)"),"",VLOOKUP($B2694,'Email Marketing Raw Data'!$C:$O,7,0)),"")</f>
        <v/>
      </c>
      <c r="P2694" s="55" t="str">
        <f>IFERROR(IF(OR($B2694="",$B2694="(blank)"),"",VLOOKUP($B2694,'Email Marketing Raw Data'!$C:$O,8,0)),"")</f>
        <v/>
      </c>
      <c r="Q2694" s="62" t="str">
        <f>IFERROR(IF(OR($B2694="",$B2694="(blank)"),"",VLOOKUP($B2694,'Email Marketing Raw Data'!$C:$O,9,0)),"")</f>
        <v/>
      </c>
    </row>
    <row r="2695" spans="4:17" ht="12.75" customHeight="1" x14ac:dyDescent="0.2">
      <c r="D2695" s="58" t="str">
        <f>IFERROR(IF(F2695&lt;&gt;"pending","",IF(OR($B2695="",$B2695="(blank)"),"",VLOOKUP($B2695,'Email Marketing Raw Data'!$C:$O,10,0))),"")</f>
        <v/>
      </c>
      <c r="E2695" s="59" t="str">
        <f>IFERROR(IF(F2695&lt;&gt;"pending","",IF(OR($B2695="",$B2695="(blank)"),"",VLOOKUP($B2695,'Email Marketing Raw Data'!$C:$O,11,0))),"")</f>
        <v/>
      </c>
      <c r="F2695" s="54" t="str">
        <f>IFERROR(IF(OR($B2695="",$B2695="(blank)"),"",VLOOKUP($B2695,'Email Marketing Raw Data'!$C:$O,13,0)),"")</f>
        <v/>
      </c>
      <c r="G2695" s="55" t="str">
        <f>IFERROR(IF(OR($B2695="",$B2695="(blank)"),"",VLOOKUP($B2695,'Email Marketing Raw Data'!$C:$O,4,0)),"")</f>
        <v/>
      </c>
      <c r="H2695" s="55" t="str">
        <f>IFERROR(IF(OR($B2695="",$B2695="(blank)"),"",VLOOKUP($B2695,'Email Marketing Raw Data'!$C:$O,5,0)),"")</f>
        <v/>
      </c>
      <c r="I2695" s="55" t="str">
        <f>IFERROR(IF($G2695="","",VLOOKUP('Dashboard And Emails Automate'!$G2695,Database!$H:$N,3,0)),"")</f>
        <v/>
      </c>
      <c r="J2695" s="55" t="str">
        <f>IFERROR(IF($G2695="","",VLOOKUP('Dashboard And Emails Automate'!$G2695,Database!$H:$N,4,0)),"")</f>
        <v/>
      </c>
      <c r="K2695" s="55" t="str">
        <f>IFERROR(IF($G2695="","",VLOOKUP('Dashboard And Emails Automate'!$G2695,Database!$H:$N,5,0)),"")</f>
        <v/>
      </c>
      <c r="L2695" s="55" t="str">
        <f>IFERROR(IF($G2695="","",VLOOKUP('Dashboard And Emails Automate'!$G2695,Database!$H:$N,6,0)),"")</f>
        <v/>
      </c>
      <c r="M2695" s="55" t="str">
        <f>IFERROR(IF($G2695="","",VLOOKUP('Dashboard And Emails Automate'!$G2695,Database!$H:$N,7,0)),"")</f>
        <v/>
      </c>
      <c r="N2695" s="55" t="str">
        <f>IFERROR(IF(OR($B2695="",$B2695="(blank)"),"",VLOOKUP($B2695,'Email Marketing Raw Data'!$C:$O,6,0)),"")</f>
        <v/>
      </c>
      <c r="O2695" s="55" t="str">
        <f>IFERROR(IF(OR($B2695="",$B2695="(blank)"),"",VLOOKUP($B2695,'Email Marketing Raw Data'!$C:$O,7,0)),"")</f>
        <v/>
      </c>
      <c r="P2695" s="55" t="str">
        <f>IFERROR(IF(OR($B2695="",$B2695="(blank)"),"",VLOOKUP($B2695,'Email Marketing Raw Data'!$C:$O,8,0)),"")</f>
        <v/>
      </c>
      <c r="Q2695" s="62" t="str">
        <f>IFERROR(IF(OR($B2695="",$B2695="(blank)"),"",VLOOKUP($B2695,'Email Marketing Raw Data'!$C:$O,9,0)),"")</f>
        <v/>
      </c>
    </row>
    <row r="2696" spans="4:17" ht="12.75" customHeight="1" x14ac:dyDescent="0.2">
      <c r="D2696" s="58" t="str">
        <f>IFERROR(IF(F2696&lt;&gt;"pending","",IF(OR($B2696="",$B2696="(blank)"),"",VLOOKUP($B2696,'Email Marketing Raw Data'!$C:$O,10,0))),"")</f>
        <v/>
      </c>
      <c r="E2696" s="59" t="str">
        <f>IFERROR(IF(F2696&lt;&gt;"pending","",IF(OR($B2696="",$B2696="(blank)"),"",VLOOKUP($B2696,'Email Marketing Raw Data'!$C:$O,11,0))),"")</f>
        <v/>
      </c>
      <c r="F2696" s="54" t="str">
        <f>IFERROR(IF(OR($B2696="",$B2696="(blank)"),"",VLOOKUP($B2696,'Email Marketing Raw Data'!$C:$O,13,0)),"")</f>
        <v/>
      </c>
      <c r="G2696" s="55" t="str">
        <f>IFERROR(IF(OR($B2696="",$B2696="(blank)"),"",VLOOKUP($B2696,'Email Marketing Raw Data'!$C:$O,4,0)),"")</f>
        <v/>
      </c>
      <c r="H2696" s="55" t="str">
        <f>IFERROR(IF(OR($B2696="",$B2696="(blank)"),"",VLOOKUP($B2696,'Email Marketing Raw Data'!$C:$O,5,0)),"")</f>
        <v/>
      </c>
      <c r="I2696" s="55" t="str">
        <f>IFERROR(IF($G2696="","",VLOOKUP('Dashboard And Emails Automate'!$G2696,Database!$H:$N,3,0)),"")</f>
        <v/>
      </c>
      <c r="J2696" s="55" t="str">
        <f>IFERROR(IF($G2696="","",VLOOKUP('Dashboard And Emails Automate'!$G2696,Database!$H:$N,4,0)),"")</f>
        <v/>
      </c>
      <c r="K2696" s="55" t="str">
        <f>IFERROR(IF($G2696="","",VLOOKUP('Dashboard And Emails Automate'!$G2696,Database!$H:$N,5,0)),"")</f>
        <v/>
      </c>
      <c r="L2696" s="55" t="str">
        <f>IFERROR(IF($G2696="","",VLOOKUP('Dashboard And Emails Automate'!$G2696,Database!$H:$N,6,0)),"")</f>
        <v/>
      </c>
      <c r="M2696" s="55" t="str">
        <f>IFERROR(IF($G2696="","",VLOOKUP('Dashboard And Emails Automate'!$G2696,Database!$H:$N,7,0)),"")</f>
        <v/>
      </c>
      <c r="N2696" s="55" t="str">
        <f>IFERROR(IF(OR($B2696="",$B2696="(blank)"),"",VLOOKUP($B2696,'Email Marketing Raw Data'!$C:$O,6,0)),"")</f>
        <v/>
      </c>
      <c r="O2696" s="55" t="str">
        <f>IFERROR(IF(OR($B2696="",$B2696="(blank)"),"",VLOOKUP($B2696,'Email Marketing Raw Data'!$C:$O,7,0)),"")</f>
        <v/>
      </c>
      <c r="P2696" s="55" t="str">
        <f>IFERROR(IF(OR($B2696="",$B2696="(blank)"),"",VLOOKUP($B2696,'Email Marketing Raw Data'!$C:$O,8,0)),"")</f>
        <v/>
      </c>
      <c r="Q2696" s="62" t="str">
        <f>IFERROR(IF(OR($B2696="",$B2696="(blank)"),"",VLOOKUP($B2696,'Email Marketing Raw Data'!$C:$O,9,0)),"")</f>
        <v/>
      </c>
    </row>
    <row r="2697" spans="4:17" ht="12.75" customHeight="1" x14ac:dyDescent="0.2">
      <c r="D2697" s="58" t="str">
        <f>IFERROR(IF(F2697&lt;&gt;"pending","",IF(OR($B2697="",$B2697="(blank)"),"",VLOOKUP($B2697,'Email Marketing Raw Data'!$C:$O,10,0))),"")</f>
        <v/>
      </c>
      <c r="E2697" s="59" t="str">
        <f>IFERROR(IF(F2697&lt;&gt;"pending","",IF(OR($B2697="",$B2697="(blank)"),"",VLOOKUP($B2697,'Email Marketing Raw Data'!$C:$O,11,0))),"")</f>
        <v/>
      </c>
      <c r="F2697" s="54" t="str">
        <f>IFERROR(IF(OR($B2697="",$B2697="(blank)"),"",VLOOKUP($B2697,'Email Marketing Raw Data'!$C:$O,13,0)),"")</f>
        <v/>
      </c>
      <c r="G2697" s="55" t="str">
        <f>IFERROR(IF(OR($B2697="",$B2697="(blank)"),"",VLOOKUP($B2697,'Email Marketing Raw Data'!$C:$O,4,0)),"")</f>
        <v/>
      </c>
      <c r="H2697" s="55" t="str">
        <f>IFERROR(IF(OR($B2697="",$B2697="(blank)"),"",VLOOKUP($B2697,'Email Marketing Raw Data'!$C:$O,5,0)),"")</f>
        <v/>
      </c>
      <c r="I2697" s="55" t="str">
        <f>IFERROR(IF($G2697="","",VLOOKUP('Dashboard And Emails Automate'!$G2697,Database!$H:$N,3,0)),"")</f>
        <v/>
      </c>
      <c r="J2697" s="55" t="str">
        <f>IFERROR(IF($G2697="","",VLOOKUP('Dashboard And Emails Automate'!$G2697,Database!$H:$N,4,0)),"")</f>
        <v/>
      </c>
      <c r="K2697" s="55" t="str">
        <f>IFERROR(IF($G2697="","",VLOOKUP('Dashboard And Emails Automate'!$G2697,Database!$H:$N,5,0)),"")</f>
        <v/>
      </c>
      <c r="L2697" s="55" t="str">
        <f>IFERROR(IF($G2697="","",VLOOKUP('Dashboard And Emails Automate'!$G2697,Database!$H:$N,6,0)),"")</f>
        <v/>
      </c>
      <c r="M2697" s="55" t="str">
        <f>IFERROR(IF($G2697="","",VLOOKUP('Dashboard And Emails Automate'!$G2697,Database!$H:$N,7,0)),"")</f>
        <v/>
      </c>
      <c r="N2697" s="55" t="str">
        <f>IFERROR(IF(OR($B2697="",$B2697="(blank)"),"",VLOOKUP($B2697,'Email Marketing Raw Data'!$C:$O,6,0)),"")</f>
        <v/>
      </c>
      <c r="O2697" s="55" t="str">
        <f>IFERROR(IF(OR($B2697="",$B2697="(blank)"),"",VLOOKUP($B2697,'Email Marketing Raw Data'!$C:$O,7,0)),"")</f>
        <v/>
      </c>
      <c r="P2697" s="55" t="str">
        <f>IFERROR(IF(OR($B2697="",$B2697="(blank)"),"",VLOOKUP($B2697,'Email Marketing Raw Data'!$C:$O,8,0)),"")</f>
        <v/>
      </c>
      <c r="Q2697" s="62" t="str">
        <f>IFERROR(IF(OR($B2697="",$B2697="(blank)"),"",VLOOKUP($B2697,'Email Marketing Raw Data'!$C:$O,9,0)),"")</f>
        <v/>
      </c>
    </row>
    <row r="2698" spans="4:17" ht="12.75" customHeight="1" x14ac:dyDescent="0.2">
      <c r="D2698" s="58" t="str">
        <f>IFERROR(IF(F2698&lt;&gt;"pending","",IF(OR($B2698="",$B2698="(blank)"),"",VLOOKUP($B2698,'Email Marketing Raw Data'!$C:$O,10,0))),"")</f>
        <v/>
      </c>
      <c r="E2698" s="59" t="str">
        <f>IFERROR(IF(F2698&lt;&gt;"pending","",IF(OR($B2698="",$B2698="(blank)"),"",VLOOKUP($B2698,'Email Marketing Raw Data'!$C:$O,11,0))),"")</f>
        <v/>
      </c>
      <c r="F2698" s="54" t="str">
        <f>IFERROR(IF(OR($B2698="",$B2698="(blank)"),"",VLOOKUP($B2698,'Email Marketing Raw Data'!$C:$O,13,0)),"")</f>
        <v/>
      </c>
      <c r="G2698" s="55" t="str">
        <f>IFERROR(IF(OR($B2698="",$B2698="(blank)"),"",VLOOKUP($B2698,'Email Marketing Raw Data'!$C:$O,4,0)),"")</f>
        <v/>
      </c>
      <c r="H2698" s="55" t="str">
        <f>IFERROR(IF(OR($B2698="",$B2698="(blank)"),"",VLOOKUP($B2698,'Email Marketing Raw Data'!$C:$O,5,0)),"")</f>
        <v/>
      </c>
      <c r="I2698" s="55" t="str">
        <f>IFERROR(IF($G2698="","",VLOOKUP('Dashboard And Emails Automate'!$G2698,Database!$H:$N,3,0)),"")</f>
        <v/>
      </c>
      <c r="J2698" s="55" t="str">
        <f>IFERROR(IF($G2698="","",VLOOKUP('Dashboard And Emails Automate'!$G2698,Database!$H:$N,4,0)),"")</f>
        <v/>
      </c>
      <c r="K2698" s="55" t="str">
        <f>IFERROR(IF($G2698="","",VLOOKUP('Dashboard And Emails Automate'!$G2698,Database!$H:$N,5,0)),"")</f>
        <v/>
      </c>
      <c r="L2698" s="55" t="str">
        <f>IFERROR(IF($G2698="","",VLOOKUP('Dashboard And Emails Automate'!$G2698,Database!$H:$N,6,0)),"")</f>
        <v/>
      </c>
      <c r="M2698" s="55" t="str">
        <f>IFERROR(IF($G2698="","",VLOOKUP('Dashboard And Emails Automate'!$G2698,Database!$H:$N,7,0)),"")</f>
        <v/>
      </c>
      <c r="N2698" s="55" t="str">
        <f>IFERROR(IF(OR($B2698="",$B2698="(blank)"),"",VLOOKUP($B2698,'Email Marketing Raw Data'!$C:$O,6,0)),"")</f>
        <v/>
      </c>
      <c r="O2698" s="55" t="str">
        <f>IFERROR(IF(OR($B2698="",$B2698="(blank)"),"",VLOOKUP($B2698,'Email Marketing Raw Data'!$C:$O,7,0)),"")</f>
        <v/>
      </c>
      <c r="P2698" s="55" t="str">
        <f>IFERROR(IF(OR($B2698="",$B2698="(blank)"),"",VLOOKUP($B2698,'Email Marketing Raw Data'!$C:$O,8,0)),"")</f>
        <v/>
      </c>
      <c r="Q2698" s="62" t="str">
        <f>IFERROR(IF(OR($B2698="",$B2698="(blank)"),"",VLOOKUP($B2698,'Email Marketing Raw Data'!$C:$O,9,0)),"")</f>
        <v/>
      </c>
    </row>
    <row r="2699" spans="4:17" ht="12.75" customHeight="1" x14ac:dyDescent="0.2">
      <c r="D2699" s="58" t="str">
        <f>IFERROR(IF(F2699&lt;&gt;"pending","",IF(OR($B2699="",$B2699="(blank)"),"",VLOOKUP($B2699,'Email Marketing Raw Data'!$C:$O,10,0))),"")</f>
        <v/>
      </c>
      <c r="E2699" s="59" t="str">
        <f>IFERROR(IF(F2699&lt;&gt;"pending","",IF(OR($B2699="",$B2699="(blank)"),"",VLOOKUP($B2699,'Email Marketing Raw Data'!$C:$O,11,0))),"")</f>
        <v/>
      </c>
      <c r="F2699" s="54" t="str">
        <f>IFERROR(IF(OR($B2699="",$B2699="(blank)"),"",VLOOKUP($B2699,'Email Marketing Raw Data'!$C:$O,13,0)),"")</f>
        <v/>
      </c>
      <c r="G2699" s="55" t="str">
        <f>IFERROR(IF(OR($B2699="",$B2699="(blank)"),"",VLOOKUP($B2699,'Email Marketing Raw Data'!$C:$O,4,0)),"")</f>
        <v/>
      </c>
      <c r="H2699" s="55" t="str">
        <f>IFERROR(IF(OR($B2699="",$B2699="(blank)"),"",VLOOKUP($B2699,'Email Marketing Raw Data'!$C:$O,5,0)),"")</f>
        <v/>
      </c>
      <c r="I2699" s="55" t="str">
        <f>IFERROR(IF($G2699="","",VLOOKUP('Dashboard And Emails Automate'!$G2699,Database!$H:$N,3,0)),"")</f>
        <v/>
      </c>
      <c r="J2699" s="55" t="str">
        <f>IFERROR(IF($G2699="","",VLOOKUP('Dashboard And Emails Automate'!$G2699,Database!$H:$N,4,0)),"")</f>
        <v/>
      </c>
      <c r="K2699" s="55" t="str">
        <f>IFERROR(IF($G2699="","",VLOOKUP('Dashboard And Emails Automate'!$G2699,Database!$H:$N,5,0)),"")</f>
        <v/>
      </c>
      <c r="L2699" s="55" t="str">
        <f>IFERROR(IF($G2699="","",VLOOKUP('Dashboard And Emails Automate'!$G2699,Database!$H:$N,6,0)),"")</f>
        <v/>
      </c>
      <c r="M2699" s="55" t="str">
        <f>IFERROR(IF($G2699="","",VLOOKUP('Dashboard And Emails Automate'!$G2699,Database!$H:$N,7,0)),"")</f>
        <v/>
      </c>
      <c r="N2699" s="55" t="str">
        <f>IFERROR(IF(OR($B2699="",$B2699="(blank)"),"",VLOOKUP($B2699,'Email Marketing Raw Data'!$C:$O,6,0)),"")</f>
        <v/>
      </c>
      <c r="O2699" s="55" t="str">
        <f>IFERROR(IF(OR($B2699="",$B2699="(blank)"),"",VLOOKUP($B2699,'Email Marketing Raw Data'!$C:$O,7,0)),"")</f>
        <v/>
      </c>
      <c r="P2699" s="55" t="str">
        <f>IFERROR(IF(OR($B2699="",$B2699="(blank)"),"",VLOOKUP($B2699,'Email Marketing Raw Data'!$C:$O,8,0)),"")</f>
        <v/>
      </c>
      <c r="Q2699" s="62" t="str">
        <f>IFERROR(IF(OR($B2699="",$B2699="(blank)"),"",VLOOKUP($B2699,'Email Marketing Raw Data'!$C:$O,9,0)),"")</f>
        <v/>
      </c>
    </row>
    <row r="2700" spans="4:17" ht="12.75" customHeight="1" x14ac:dyDescent="0.2">
      <c r="D2700" s="58" t="str">
        <f>IFERROR(IF(F2700&lt;&gt;"pending","",IF(OR($B2700="",$B2700="(blank)"),"",VLOOKUP($B2700,'Email Marketing Raw Data'!$C:$O,10,0))),"")</f>
        <v/>
      </c>
      <c r="E2700" s="59" t="str">
        <f>IFERROR(IF(F2700&lt;&gt;"pending","",IF(OR($B2700="",$B2700="(blank)"),"",VLOOKUP($B2700,'Email Marketing Raw Data'!$C:$O,11,0))),"")</f>
        <v/>
      </c>
      <c r="F2700" s="54" t="str">
        <f>IFERROR(IF(OR($B2700="",$B2700="(blank)"),"",VLOOKUP($B2700,'Email Marketing Raw Data'!$C:$O,13,0)),"")</f>
        <v/>
      </c>
      <c r="G2700" s="55" t="str">
        <f>IFERROR(IF(OR($B2700="",$B2700="(blank)"),"",VLOOKUP($B2700,'Email Marketing Raw Data'!$C:$O,4,0)),"")</f>
        <v/>
      </c>
      <c r="H2700" s="55" t="str">
        <f>IFERROR(IF(OR($B2700="",$B2700="(blank)"),"",VLOOKUP($B2700,'Email Marketing Raw Data'!$C:$O,5,0)),"")</f>
        <v/>
      </c>
      <c r="I2700" s="55" t="str">
        <f>IFERROR(IF($G2700="","",VLOOKUP('Dashboard And Emails Automate'!$G2700,Database!$H:$N,3,0)),"")</f>
        <v/>
      </c>
      <c r="J2700" s="55" t="str">
        <f>IFERROR(IF($G2700="","",VLOOKUP('Dashboard And Emails Automate'!$G2700,Database!$H:$N,4,0)),"")</f>
        <v/>
      </c>
      <c r="K2700" s="55" t="str">
        <f>IFERROR(IF($G2700="","",VLOOKUP('Dashboard And Emails Automate'!$G2700,Database!$H:$N,5,0)),"")</f>
        <v/>
      </c>
      <c r="L2700" s="55" t="str">
        <f>IFERROR(IF($G2700="","",VLOOKUP('Dashboard And Emails Automate'!$G2700,Database!$H:$N,6,0)),"")</f>
        <v/>
      </c>
      <c r="M2700" s="55" t="str">
        <f>IFERROR(IF($G2700="","",VLOOKUP('Dashboard And Emails Automate'!$G2700,Database!$H:$N,7,0)),"")</f>
        <v/>
      </c>
      <c r="N2700" s="55" t="str">
        <f>IFERROR(IF(OR($B2700="",$B2700="(blank)"),"",VLOOKUP($B2700,'Email Marketing Raw Data'!$C:$O,6,0)),"")</f>
        <v/>
      </c>
      <c r="O2700" s="55" t="str">
        <f>IFERROR(IF(OR($B2700="",$B2700="(blank)"),"",VLOOKUP($B2700,'Email Marketing Raw Data'!$C:$O,7,0)),"")</f>
        <v/>
      </c>
      <c r="P2700" s="55" t="str">
        <f>IFERROR(IF(OR($B2700="",$B2700="(blank)"),"",VLOOKUP($B2700,'Email Marketing Raw Data'!$C:$O,8,0)),"")</f>
        <v/>
      </c>
      <c r="Q2700" s="62" t="str">
        <f>IFERROR(IF(OR($B2700="",$B2700="(blank)"),"",VLOOKUP($B2700,'Email Marketing Raw Data'!$C:$O,9,0)),"")</f>
        <v/>
      </c>
    </row>
    <row r="2701" spans="4:17" ht="12.75" customHeight="1" x14ac:dyDescent="0.2">
      <c r="D2701" s="58" t="str">
        <f>IFERROR(IF(F2701&lt;&gt;"pending","",IF(OR($B2701="",$B2701="(blank)"),"",VLOOKUP($B2701,'Email Marketing Raw Data'!$C:$O,10,0))),"")</f>
        <v/>
      </c>
      <c r="E2701" s="59" t="str">
        <f>IFERROR(IF(F2701&lt;&gt;"pending","",IF(OR($B2701="",$B2701="(blank)"),"",VLOOKUP($B2701,'Email Marketing Raw Data'!$C:$O,11,0))),"")</f>
        <v/>
      </c>
      <c r="F2701" s="54" t="str">
        <f>IFERROR(IF(OR($B2701="",$B2701="(blank)"),"",VLOOKUP($B2701,'Email Marketing Raw Data'!$C:$O,13,0)),"")</f>
        <v/>
      </c>
      <c r="G2701" s="55" t="str">
        <f>IFERROR(IF(OR($B2701="",$B2701="(blank)"),"",VLOOKUP($B2701,'Email Marketing Raw Data'!$C:$O,4,0)),"")</f>
        <v/>
      </c>
      <c r="H2701" s="55" t="str">
        <f>IFERROR(IF(OR($B2701="",$B2701="(blank)"),"",VLOOKUP($B2701,'Email Marketing Raw Data'!$C:$O,5,0)),"")</f>
        <v/>
      </c>
      <c r="I2701" s="55" t="str">
        <f>IFERROR(IF($G2701="","",VLOOKUP('Dashboard And Emails Automate'!$G2701,Database!$H:$N,3,0)),"")</f>
        <v/>
      </c>
      <c r="J2701" s="55" t="str">
        <f>IFERROR(IF($G2701="","",VLOOKUP('Dashboard And Emails Automate'!$G2701,Database!$H:$N,4,0)),"")</f>
        <v/>
      </c>
      <c r="K2701" s="55" t="str">
        <f>IFERROR(IF($G2701="","",VLOOKUP('Dashboard And Emails Automate'!$G2701,Database!$H:$N,5,0)),"")</f>
        <v/>
      </c>
      <c r="L2701" s="55" t="str">
        <f>IFERROR(IF($G2701="","",VLOOKUP('Dashboard And Emails Automate'!$G2701,Database!$H:$N,6,0)),"")</f>
        <v/>
      </c>
      <c r="M2701" s="55" t="str">
        <f>IFERROR(IF($G2701="","",VLOOKUP('Dashboard And Emails Automate'!$G2701,Database!$H:$N,7,0)),"")</f>
        <v/>
      </c>
      <c r="N2701" s="55" t="str">
        <f>IFERROR(IF(OR($B2701="",$B2701="(blank)"),"",VLOOKUP($B2701,'Email Marketing Raw Data'!$C:$O,6,0)),"")</f>
        <v/>
      </c>
      <c r="O2701" s="55" t="str">
        <f>IFERROR(IF(OR($B2701="",$B2701="(blank)"),"",VLOOKUP($B2701,'Email Marketing Raw Data'!$C:$O,7,0)),"")</f>
        <v/>
      </c>
      <c r="P2701" s="55" t="str">
        <f>IFERROR(IF(OR($B2701="",$B2701="(blank)"),"",VLOOKUP($B2701,'Email Marketing Raw Data'!$C:$O,8,0)),"")</f>
        <v/>
      </c>
      <c r="Q2701" s="62" t="str">
        <f>IFERROR(IF(OR($B2701="",$B2701="(blank)"),"",VLOOKUP($B2701,'Email Marketing Raw Data'!$C:$O,9,0)),"")</f>
        <v/>
      </c>
    </row>
    <row r="2702" spans="4:17" ht="12.75" customHeight="1" x14ac:dyDescent="0.2">
      <c r="D2702" s="58" t="str">
        <f>IFERROR(IF(F2702&lt;&gt;"pending","",IF(OR($B2702="",$B2702="(blank)"),"",VLOOKUP($B2702,'Email Marketing Raw Data'!$C:$O,10,0))),"")</f>
        <v/>
      </c>
      <c r="E2702" s="59" t="str">
        <f>IFERROR(IF(F2702&lt;&gt;"pending","",IF(OR($B2702="",$B2702="(blank)"),"",VLOOKUP($B2702,'Email Marketing Raw Data'!$C:$O,11,0))),"")</f>
        <v/>
      </c>
      <c r="F2702" s="54" t="str">
        <f>IFERROR(IF(OR($B2702="",$B2702="(blank)"),"",VLOOKUP($B2702,'Email Marketing Raw Data'!$C:$O,13,0)),"")</f>
        <v/>
      </c>
      <c r="G2702" s="55" t="str">
        <f>IFERROR(IF(OR($B2702="",$B2702="(blank)"),"",VLOOKUP($B2702,'Email Marketing Raw Data'!$C:$O,4,0)),"")</f>
        <v/>
      </c>
      <c r="H2702" s="55" t="str">
        <f>IFERROR(IF(OR($B2702="",$B2702="(blank)"),"",VLOOKUP($B2702,'Email Marketing Raw Data'!$C:$O,5,0)),"")</f>
        <v/>
      </c>
      <c r="I2702" s="55" t="str">
        <f>IFERROR(IF($G2702="","",VLOOKUP('Dashboard And Emails Automate'!$G2702,Database!$H:$N,3,0)),"")</f>
        <v/>
      </c>
      <c r="J2702" s="55" t="str">
        <f>IFERROR(IF($G2702="","",VLOOKUP('Dashboard And Emails Automate'!$G2702,Database!$H:$N,4,0)),"")</f>
        <v/>
      </c>
      <c r="K2702" s="55" t="str">
        <f>IFERROR(IF($G2702="","",VLOOKUP('Dashboard And Emails Automate'!$G2702,Database!$H:$N,5,0)),"")</f>
        <v/>
      </c>
      <c r="L2702" s="55" t="str">
        <f>IFERROR(IF($G2702="","",VLOOKUP('Dashboard And Emails Automate'!$G2702,Database!$H:$N,6,0)),"")</f>
        <v/>
      </c>
      <c r="M2702" s="55" t="str">
        <f>IFERROR(IF($G2702="","",VLOOKUP('Dashboard And Emails Automate'!$G2702,Database!$H:$N,7,0)),"")</f>
        <v/>
      </c>
      <c r="N2702" s="55" t="str">
        <f>IFERROR(IF(OR($B2702="",$B2702="(blank)"),"",VLOOKUP($B2702,'Email Marketing Raw Data'!$C:$O,6,0)),"")</f>
        <v/>
      </c>
      <c r="O2702" s="55" t="str">
        <f>IFERROR(IF(OR($B2702="",$B2702="(blank)"),"",VLOOKUP($B2702,'Email Marketing Raw Data'!$C:$O,7,0)),"")</f>
        <v/>
      </c>
      <c r="P2702" s="55" t="str">
        <f>IFERROR(IF(OR($B2702="",$B2702="(blank)"),"",VLOOKUP($B2702,'Email Marketing Raw Data'!$C:$O,8,0)),"")</f>
        <v/>
      </c>
      <c r="Q2702" s="62" t="str">
        <f>IFERROR(IF(OR($B2702="",$B2702="(blank)"),"",VLOOKUP($B2702,'Email Marketing Raw Data'!$C:$O,9,0)),"")</f>
        <v/>
      </c>
    </row>
    <row r="2703" spans="4:17" ht="12.75" customHeight="1" x14ac:dyDescent="0.2">
      <c r="D2703" s="58" t="str">
        <f>IFERROR(IF(F2703&lt;&gt;"pending","",IF(OR($B2703="",$B2703="(blank)"),"",VLOOKUP($B2703,'Email Marketing Raw Data'!$C:$O,10,0))),"")</f>
        <v/>
      </c>
      <c r="E2703" s="59" t="str">
        <f>IFERROR(IF(F2703&lt;&gt;"pending","",IF(OR($B2703="",$B2703="(blank)"),"",VLOOKUP($B2703,'Email Marketing Raw Data'!$C:$O,11,0))),"")</f>
        <v/>
      </c>
      <c r="F2703" s="54" t="str">
        <f>IFERROR(IF(OR($B2703="",$B2703="(blank)"),"",VLOOKUP($B2703,'Email Marketing Raw Data'!$C:$O,13,0)),"")</f>
        <v/>
      </c>
      <c r="G2703" s="55" t="str">
        <f>IFERROR(IF(OR($B2703="",$B2703="(blank)"),"",VLOOKUP($B2703,'Email Marketing Raw Data'!$C:$O,4,0)),"")</f>
        <v/>
      </c>
      <c r="H2703" s="55" t="str">
        <f>IFERROR(IF(OR($B2703="",$B2703="(blank)"),"",VLOOKUP($B2703,'Email Marketing Raw Data'!$C:$O,5,0)),"")</f>
        <v/>
      </c>
      <c r="I2703" s="55" t="str">
        <f>IFERROR(IF($G2703="","",VLOOKUP('Dashboard And Emails Automate'!$G2703,Database!$H:$N,3,0)),"")</f>
        <v/>
      </c>
      <c r="J2703" s="55" t="str">
        <f>IFERROR(IF($G2703="","",VLOOKUP('Dashboard And Emails Automate'!$G2703,Database!$H:$N,4,0)),"")</f>
        <v/>
      </c>
      <c r="K2703" s="55" t="str">
        <f>IFERROR(IF($G2703="","",VLOOKUP('Dashboard And Emails Automate'!$G2703,Database!$H:$N,5,0)),"")</f>
        <v/>
      </c>
      <c r="L2703" s="55" t="str">
        <f>IFERROR(IF($G2703="","",VLOOKUP('Dashboard And Emails Automate'!$G2703,Database!$H:$N,6,0)),"")</f>
        <v/>
      </c>
      <c r="M2703" s="55" t="str">
        <f>IFERROR(IF($G2703="","",VLOOKUP('Dashboard And Emails Automate'!$G2703,Database!$H:$N,7,0)),"")</f>
        <v/>
      </c>
      <c r="N2703" s="55" t="str">
        <f>IFERROR(IF(OR($B2703="",$B2703="(blank)"),"",VLOOKUP($B2703,'Email Marketing Raw Data'!$C:$O,6,0)),"")</f>
        <v/>
      </c>
      <c r="O2703" s="55" t="str">
        <f>IFERROR(IF(OR($B2703="",$B2703="(blank)"),"",VLOOKUP($B2703,'Email Marketing Raw Data'!$C:$O,7,0)),"")</f>
        <v/>
      </c>
      <c r="P2703" s="55" t="str">
        <f>IFERROR(IF(OR($B2703="",$B2703="(blank)"),"",VLOOKUP($B2703,'Email Marketing Raw Data'!$C:$O,8,0)),"")</f>
        <v/>
      </c>
      <c r="Q2703" s="62" t="str">
        <f>IFERROR(IF(OR($B2703="",$B2703="(blank)"),"",VLOOKUP($B2703,'Email Marketing Raw Data'!$C:$O,9,0)),"")</f>
        <v/>
      </c>
    </row>
    <row r="2704" spans="4:17" ht="12.75" customHeight="1" x14ac:dyDescent="0.2">
      <c r="D2704" s="58" t="str">
        <f>IFERROR(IF(F2704&lt;&gt;"pending","",IF(OR($B2704="",$B2704="(blank)"),"",VLOOKUP($B2704,'Email Marketing Raw Data'!$C:$O,10,0))),"")</f>
        <v/>
      </c>
      <c r="E2704" s="59" t="str">
        <f>IFERROR(IF(F2704&lt;&gt;"pending","",IF(OR($B2704="",$B2704="(blank)"),"",VLOOKUP($B2704,'Email Marketing Raw Data'!$C:$O,11,0))),"")</f>
        <v/>
      </c>
      <c r="F2704" s="54" t="str">
        <f>IFERROR(IF(OR($B2704="",$B2704="(blank)"),"",VLOOKUP($B2704,'Email Marketing Raw Data'!$C:$O,13,0)),"")</f>
        <v/>
      </c>
      <c r="G2704" s="55" t="str">
        <f>IFERROR(IF(OR($B2704="",$B2704="(blank)"),"",VLOOKUP($B2704,'Email Marketing Raw Data'!$C:$O,4,0)),"")</f>
        <v/>
      </c>
      <c r="H2704" s="55" t="str">
        <f>IFERROR(IF(OR($B2704="",$B2704="(blank)"),"",VLOOKUP($B2704,'Email Marketing Raw Data'!$C:$O,5,0)),"")</f>
        <v/>
      </c>
      <c r="I2704" s="55" t="str">
        <f>IFERROR(IF($G2704="","",VLOOKUP('Dashboard And Emails Automate'!$G2704,Database!$H:$N,3,0)),"")</f>
        <v/>
      </c>
      <c r="J2704" s="55" t="str">
        <f>IFERROR(IF($G2704="","",VLOOKUP('Dashboard And Emails Automate'!$G2704,Database!$H:$N,4,0)),"")</f>
        <v/>
      </c>
      <c r="K2704" s="55" t="str">
        <f>IFERROR(IF($G2704="","",VLOOKUP('Dashboard And Emails Automate'!$G2704,Database!$H:$N,5,0)),"")</f>
        <v/>
      </c>
      <c r="L2704" s="55" t="str">
        <f>IFERROR(IF($G2704="","",VLOOKUP('Dashboard And Emails Automate'!$G2704,Database!$H:$N,6,0)),"")</f>
        <v/>
      </c>
      <c r="M2704" s="55" t="str">
        <f>IFERROR(IF($G2704="","",VLOOKUP('Dashboard And Emails Automate'!$G2704,Database!$H:$N,7,0)),"")</f>
        <v/>
      </c>
      <c r="N2704" s="55" t="str">
        <f>IFERROR(IF(OR($B2704="",$B2704="(blank)"),"",VLOOKUP($B2704,'Email Marketing Raw Data'!$C:$O,6,0)),"")</f>
        <v/>
      </c>
      <c r="O2704" s="55" t="str">
        <f>IFERROR(IF(OR($B2704="",$B2704="(blank)"),"",VLOOKUP($B2704,'Email Marketing Raw Data'!$C:$O,7,0)),"")</f>
        <v/>
      </c>
      <c r="P2704" s="55" t="str">
        <f>IFERROR(IF(OR($B2704="",$B2704="(blank)"),"",VLOOKUP($B2704,'Email Marketing Raw Data'!$C:$O,8,0)),"")</f>
        <v/>
      </c>
      <c r="Q2704" s="62" t="str">
        <f>IFERROR(IF(OR($B2704="",$B2704="(blank)"),"",VLOOKUP($B2704,'Email Marketing Raw Data'!$C:$O,9,0)),"")</f>
        <v/>
      </c>
    </row>
    <row r="2705" spans="4:17" ht="12.75" customHeight="1" x14ac:dyDescent="0.2">
      <c r="D2705" s="58" t="str">
        <f>IFERROR(IF(F2705&lt;&gt;"pending","",IF(OR($B2705="",$B2705="(blank)"),"",VLOOKUP($B2705,'Email Marketing Raw Data'!$C:$O,10,0))),"")</f>
        <v/>
      </c>
      <c r="E2705" s="59" t="str">
        <f>IFERROR(IF(F2705&lt;&gt;"pending","",IF(OR($B2705="",$B2705="(blank)"),"",VLOOKUP($B2705,'Email Marketing Raw Data'!$C:$O,11,0))),"")</f>
        <v/>
      </c>
      <c r="F2705" s="54" t="str">
        <f>IFERROR(IF(OR($B2705="",$B2705="(blank)"),"",VLOOKUP($B2705,'Email Marketing Raw Data'!$C:$O,13,0)),"")</f>
        <v/>
      </c>
      <c r="G2705" s="55" t="str">
        <f>IFERROR(IF(OR($B2705="",$B2705="(blank)"),"",VLOOKUP($B2705,'Email Marketing Raw Data'!$C:$O,4,0)),"")</f>
        <v/>
      </c>
      <c r="H2705" s="55" t="str">
        <f>IFERROR(IF(OR($B2705="",$B2705="(blank)"),"",VLOOKUP($B2705,'Email Marketing Raw Data'!$C:$O,5,0)),"")</f>
        <v/>
      </c>
      <c r="I2705" s="55" t="str">
        <f>IFERROR(IF($G2705="","",VLOOKUP('Dashboard And Emails Automate'!$G2705,Database!$H:$N,3,0)),"")</f>
        <v/>
      </c>
      <c r="J2705" s="55" t="str">
        <f>IFERROR(IF($G2705="","",VLOOKUP('Dashboard And Emails Automate'!$G2705,Database!$H:$N,4,0)),"")</f>
        <v/>
      </c>
      <c r="K2705" s="55" t="str">
        <f>IFERROR(IF($G2705="","",VLOOKUP('Dashboard And Emails Automate'!$G2705,Database!$H:$N,5,0)),"")</f>
        <v/>
      </c>
      <c r="L2705" s="55" t="str">
        <f>IFERROR(IF($G2705="","",VLOOKUP('Dashboard And Emails Automate'!$G2705,Database!$H:$N,6,0)),"")</f>
        <v/>
      </c>
      <c r="M2705" s="55" t="str">
        <f>IFERROR(IF($G2705="","",VLOOKUP('Dashboard And Emails Automate'!$G2705,Database!$H:$N,7,0)),"")</f>
        <v/>
      </c>
      <c r="N2705" s="55" t="str">
        <f>IFERROR(IF(OR($B2705="",$B2705="(blank)"),"",VLOOKUP($B2705,'Email Marketing Raw Data'!$C:$O,6,0)),"")</f>
        <v/>
      </c>
      <c r="O2705" s="55" t="str">
        <f>IFERROR(IF(OR($B2705="",$B2705="(blank)"),"",VLOOKUP($B2705,'Email Marketing Raw Data'!$C:$O,7,0)),"")</f>
        <v/>
      </c>
      <c r="P2705" s="55" t="str">
        <f>IFERROR(IF(OR($B2705="",$B2705="(blank)"),"",VLOOKUP($B2705,'Email Marketing Raw Data'!$C:$O,8,0)),"")</f>
        <v/>
      </c>
      <c r="Q2705" s="62" t="str">
        <f>IFERROR(IF(OR($B2705="",$B2705="(blank)"),"",VLOOKUP($B2705,'Email Marketing Raw Data'!$C:$O,9,0)),"")</f>
        <v/>
      </c>
    </row>
    <row r="2706" spans="4:17" ht="12.75" customHeight="1" x14ac:dyDescent="0.2">
      <c r="D2706" s="58" t="str">
        <f>IFERROR(IF(F2706&lt;&gt;"pending","",IF(OR($B2706="",$B2706="(blank)"),"",VLOOKUP($B2706,'Email Marketing Raw Data'!$C:$O,10,0))),"")</f>
        <v/>
      </c>
      <c r="E2706" s="59" t="str">
        <f>IFERROR(IF(F2706&lt;&gt;"pending","",IF(OR($B2706="",$B2706="(blank)"),"",VLOOKUP($B2706,'Email Marketing Raw Data'!$C:$O,11,0))),"")</f>
        <v/>
      </c>
      <c r="F2706" s="54" t="str">
        <f>IFERROR(IF(OR($B2706="",$B2706="(blank)"),"",VLOOKUP($B2706,'Email Marketing Raw Data'!$C:$O,13,0)),"")</f>
        <v/>
      </c>
      <c r="G2706" s="55" t="str">
        <f>IFERROR(IF(OR($B2706="",$B2706="(blank)"),"",VLOOKUP($B2706,'Email Marketing Raw Data'!$C:$O,4,0)),"")</f>
        <v/>
      </c>
      <c r="H2706" s="55" t="str">
        <f>IFERROR(IF(OR($B2706="",$B2706="(blank)"),"",VLOOKUP($B2706,'Email Marketing Raw Data'!$C:$O,5,0)),"")</f>
        <v/>
      </c>
      <c r="I2706" s="55" t="str">
        <f>IFERROR(IF($G2706="","",VLOOKUP('Dashboard And Emails Automate'!$G2706,Database!$H:$N,3,0)),"")</f>
        <v/>
      </c>
      <c r="J2706" s="55" t="str">
        <f>IFERROR(IF($G2706="","",VLOOKUP('Dashboard And Emails Automate'!$G2706,Database!$H:$N,4,0)),"")</f>
        <v/>
      </c>
      <c r="K2706" s="55" t="str">
        <f>IFERROR(IF($G2706="","",VLOOKUP('Dashboard And Emails Automate'!$G2706,Database!$H:$N,5,0)),"")</f>
        <v/>
      </c>
      <c r="L2706" s="55" t="str">
        <f>IFERROR(IF($G2706="","",VLOOKUP('Dashboard And Emails Automate'!$G2706,Database!$H:$N,6,0)),"")</f>
        <v/>
      </c>
      <c r="M2706" s="55" t="str">
        <f>IFERROR(IF($G2706="","",VLOOKUP('Dashboard And Emails Automate'!$G2706,Database!$H:$N,7,0)),"")</f>
        <v/>
      </c>
      <c r="N2706" s="55" t="str">
        <f>IFERROR(IF(OR($B2706="",$B2706="(blank)"),"",VLOOKUP($B2706,'Email Marketing Raw Data'!$C:$O,6,0)),"")</f>
        <v/>
      </c>
      <c r="O2706" s="55" t="str">
        <f>IFERROR(IF(OR($B2706="",$B2706="(blank)"),"",VLOOKUP($B2706,'Email Marketing Raw Data'!$C:$O,7,0)),"")</f>
        <v/>
      </c>
      <c r="P2706" s="55" t="str">
        <f>IFERROR(IF(OR($B2706="",$B2706="(blank)"),"",VLOOKUP($B2706,'Email Marketing Raw Data'!$C:$O,8,0)),"")</f>
        <v/>
      </c>
      <c r="Q2706" s="62" t="str">
        <f>IFERROR(IF(OR($B2706="",$B2706="(blank)"),"",VLOOKUP($B2706,'Email Marketing Raw Data'!$C:$O,9,0)),"")</f>
        <v/>
      </c>
    </row>
    <row r="2707" spans="4:17" ht="12.75" customHeight="1" x14ac:dyDescent="0.2">
      <c r="D2707" s="58" t="str">
        <f>IFERROR(IF(F2707&lt;&gt;"pending","",IF(OR($B2707="",$B2707="(blank)"),"",VLOOKUP($B2707,'Email Marketing Raw Data'!$C:$O,10,0))),"")</f>
        <v/>
      </c>
      <c r="E2707" s="59" t="str">
        <f>IFERROR(IF(F2707&lt;&gt;"pending","",IF(OR($B2707="",$B2707="(blank)"),"",VLOOKUP($B2707,'Email Marketing Raw Data'!$C:$O,11,0))),"")</f>
        <v/>
      </c>
      <c r="F2707" s="54" t="str">
        <f>IFERROR(IF(OR($B2707="",$B2707="(blank)"),"",VLOOKUP($B2707,'Email Marketing Raw Data'!$C:$O,13,0)),"")</f>
        <v/>
      </c>
      <c r="G2707" s="55" t="str">
        <f>IFERROR(IF(OR($B2707="",$B2707="(blank)"),"",VLOOKUP($B2707,'Email Marketing Raw Data'!$C:$O,4,0)),"")</f>
        <v/>
      </c>
      <c r="H2707" s="55" t="str">
        <f>IFERROR(IF(OR($B2707="",$B2707="(blank)"),"",VLOOKUP($B2707,'Email Marketing Raw Data'!$C:$O,5,0)),"")</f>
        <v/>
      </c>
      <c r="I2707" s="55" t="str">
        <f>IFERROR(IF($G2707="","",VLOOKUP('Dashboard And Emails Automate'!$G2707,Database!$H:$N,3,0)),"")</f>
        <v/>
      </c>
      <c r="J2707" s="55" t="str">
        <f>IFERROR(IF($G2707="","",VLOOKUP('Dashboard And Emails Automate'!$G2707,Database!$H:$N,4,0)),"")</f>
        <v/>
      </c>
      <c r="K2707" s="55" t="str">
        <f>IFERROR(IF($G2707="","",VLOOKUP('Dashboard And Emails Automate'!$G2707,Database!$H:$N,5,0)),"")</f>
        <v/>
      </c>
      <c r="L2707" s="55" t="str">
        <f>IFERROR(IF($G2707="","",VLOOKUP('Dashboard And Emails Automate'!$G2707,Database!$H:$N,6,0)),"")</f>
        <v/>
      </c>
      <c r="M2707" s="55" t="str">
        <f>IFERROR(IF($G2707="","",VLOOKUP('Dashboard And Emails Automate'!$G2707,Database!$H:$N,7,0)),"")</f>
        <v/>
      </c>
      <c r="N2707" s="55" t="str">
        <f>IFERROR(IF(OR($B2707="",$B2707="(blank)"),"",VLOOKUP($B2707,'Email Marketing Raw Data'!$C:$O,6,0)),"")</f>
        <v/>
      </c>
      <c r="O2707" s="55" t="str">
        <f>IFERROR(IF(OR($B2707="",$B2707="(blank)"),"",VLOOKUP($B2707,'Email Marketing Raw Data'!$C:$O,7,0)),"")</f>
        <v/>
      </c>
      <c r="P2707" s="55" t="str">
        <f>IFERROR(IF(OR($B2707="",$B2707="(blank)"),"",VLOOKUP($B2707,'Email Marketing Raw Data'!$C:$O,8,0)),"")</f>
        <v/>
      </c>
      <c r="Q2707" s="62" t="str">
        <f>IFERROR(IF(OR($B2707="",$B2707="(blank)"),"",VLOOKUP($B2707,'Email Marketing Raw Data'!$C:$O,9,0)),"")</f>
        <v/>
      </c>
    </row>
    <row r="2708" spans="4:17" ht="12.75" customHeight="1" x14ac:dyDescent="0.2">
      <c r="D2708" s="58" t="str">
        <f>IFERROR(IF(F2708&lt;&gt;"pending","",IF(OR($B2708="",$B2708="(blank)"),"",VLOOKUP($B2708,'Email Marketing Raw Data'!$C:$O,10,0))),"")</f>
        <v/>
      </c>
      <c r="E2708" s="59" t="str">
        <f>IFERROR(IF(F2708&lt;&gt;"pending","",IF(OR($B2708="",$B2708="(blank)"),"",VLOOKUP($B2708,'Email Marketing Raw Data'!$C:$O,11,0))),"")</f>
        <v/>
      </c>
      <c r="F2708" s="54" t="str">
        <f>IFERROR(IF(OR($B2708="",$B2708="(blank)"),"",VLOOKUP($B2708,'Email Marketing Raw Data'!$C:$O,13,0)),"")</f>
        <v/>
      </c>
      <c r="G2708" s="55" t="str">
        <f>IFERROR(IF(OR($B2708="",$B2708="(blank)"),"",VLOOKUP($B2708,'Email Marketing Raw Data'!$C:$O,4,0)),"")</f>
        <v/>
      </c>
      <c r="H2708" s="55" t="str">
        <f>IFERROR(IF(OR($B2708="",$B2708="(blank)"),"",VLOOKUP($B2708,'Email Marketing Raw Data'!$C:$O,5,0)),"")</f>
        <v/>
      </c>
      <c r="I2708" s="55" t="str">
        <f>IFERROR(IF($G2708="","",VLOOKUP('Dashboard And Emails Automate'!$G2708,Database!$H:$N,3,0)),"")</f>
        <v/>
      </c>
      <c r="J2708" s="55" t="str">
        <f>IFERROR(IF($G2708="","",VLOOKUP('Dashboard And Emails Automate'!$G2708,Database!$H:$N,4,0)),"")</f>
        <v/>
      </c>
      <c r="K2708" s="55" t="str">
        <f>IFERROR(IF($G2708="","",VLOOKUP('Dashboard And Emails Automate'!$G2708,Database!$H:$N,5,0)),"")</f>
        <v/>
      </c>
      <c r="L2708" s="55" t="str">
        <f>IFERROR(IF($G2708="","",VLOOKUP('Dashboard And Emails Automate'!$G2708,Database!$H:$N,6,0)),"")</f>
        <v/>
      </c>
      <c r="M2708" s="55" t="str">
        <f>IFERROR(IF($G2708="","",VLOOKUP('Dashboard And Emails Automate'!$G2708,Database!$H:$N,7,0)),"")</f>
        <v/>
      </c>
      <c r="N2708" s="55" t="str">
        <f>IFERROR(IF(OR($B2708="",$B2708="(blank)"),"",VLOOKUP($B2708,'Email Marketing Raw Data'!$C:$O,6,0)),"")</f>
        <v/>
      </c>
      <c r="O2708" s="55" t="str">
        <f>IFERROR(IF(OR($B2708="",$B2708="(blank)"),"",VLOOKUP($B2708,'Email Marketing Raw Data'!$C:$O,7,0)),"")</f>
        <v/>
      </c>
      <c r="P2708" s="55" t="str">
        <f>IFERROR(IF(OR($B2708="",$B2708="(blank)"),"",VLOOKUP($B2708,'Email Marketing Raw Data'!$C:$O,8,0)),"")</f>
        <v/>
      </c>
      <c r="Q2708" s="62" t="str">
        <f>IFERROR(IF(OR($B2708="",$B2708="(blank)"),"",VLOOKUP($B2708,'Email Marketing Raw Data'!$C:$O,9,0)),"")</f>
        <v/>
      </c>
    </row>
    <row r="2709" spans="4:17" ht="12.75" customHeight="1" x14ac:dyDescent="0.2">
      <c r="D2709" s="58" t="str">
        <f>IFERROR(IF(F2709&lt;&gt;"pending","",IF(OR($B2709="",$B2709="(blank)"),"",VLOOKUP($B2709,'Email Marketing Raw Data'!$C:$O,10,0))),"")</f>
        <v/>
      </c>
      <c r="E2709" s="59" t="str">
        <f>IFERROR(IF(F2709&lt;&gt;"pending","",IF(OR($B2709="",$B2709="(blank)"),"",VLOOKUP($B2709,'Email Marketing Raw Data'!$C:$O,11,0))),"")</f>
        <v/>
      </c>
      <c r="F2709" s="54" t="str">
        <f>IFERROR(IF(OR($B2709="",$B2709="(blank)"),"",VLOOKUP($B2709,'Email Marketing Raw Data'!$C:$O,13,0)),"")</f>
        <v/>
      </c>
      <c r="G2709" s="55" t="str">
        <f>IFERROR(IF(OR($B2709="",$B2709="(blank)"),"",VLOOKUP($B2709,'Email Marketing Raw Data'!$C:$O,4,0)),"")</f>
        <v/>
      </c>
      <c r="H2709" s="55" t="str">
        <f>IFERROR(IF(OR($B2709="",$B2709="(blank)"),"",VLOOKUP($B2709,'Email Marketing Raw Data'!$C:$O,5,0)),"")</f>
        <v/>
      </c>
      <c r="I2709" s="55" t="str">
        <f>IFERROR(IF($G2709="","",VLOOKUP('Dashboard And Emails Automate'!$G2709,Database!$H:$N,3,0)),"")</f>
        <v/>
      </c>
      <c r="J2709" s="55" t="str">
        <f>IFERROR(IF($G2709="","",VLOOKUP('Dashboard And Emails Automate'!$G2709,Database!$H:$N,4,0)),"")</f>
        <v/>
      </c>
      <c r="K2709" s="55" t="str">
        <f>IFERROR(IF($G2709="","",VLOOKUP('Dashboard And Emails Automate'!$G2709,Database!$H:$N,5,0)),"")</f>
        <v/>
      </c>
      <c r="L2709" s="55" t="str">
        <f>IFERROR(IF($G2709="","",VLOOKUP('Dashboard And Emails Automate'!$G2709,Database!$H:$N,6,0)),"")</f>
        <v/>
      </c>
      <c r="M2709" s="55" t="str">
        <f>IFERROR(IF($G2709="","",VLOOKUP('Dashboard And Emails Automate'!$G2709,Database!$H:$N,7,0)),"")</f>
        <v/>
      </c>
      <c r="N2709" s="55" t="str">
        <f>IFERROR(IF(OR($B2709="",$B2709="(blank)"),"",VLOOKUP($B2709,'Email Marketing Raw Data'!$C:$O,6,0)),"")</f>
        <v/>
      </c>
      <c r="O2709" s="55" t="str">
        <f>IFERROR(IF(OR($B2709="",$B2709="(blank)"),"",VLOOKUP($B2709,'Email Marketing Raw Data'!$C:$O,7,0)),"")</f>
        <v/>
      </c>
      <c r="P2709" s="55" t="str">
        <f>IFERROR(IF(OR($B2709="",$B2709="(blank)"),"",VLOOKUP($B2709,'Email Marketing Raw Data'!$C:$O,8,0)),"")</f>
        <v/>
      </c>
      <c r="Q2709" s="62" t="str">
        <f>IFERROR(IF(OR($B2709="",$B2709="(blank)"),"",VLOOKUP($B2709,'Email Marketing Raw Data'!$C:$O,9,0)),"")</f>
        <v/>
      </c>
    </row>
    <row r="2710" spans="4:17" ht="12.75" customHeight="1" x14ac:dyDescent="0.2">
      <c r="D2710" s="58" t="str">
        <f>IFERROR(IF(F2710&lt;&gt;"pending","",IF(OR($B2710="",$B2710="(blank)"),"",VLOOKUP($B2710,'Email Marketing Raw Data'!$C:$O,10,0))),"")</f>
        <v/>
      </c>
      <c r="E2710" s="59" t="str">
        <f>IFERROR(IF(F2710&lt;&gt;"pending","",IF(OR($B2710="",$B2710="(blank)"),"",VLOOKUP($B2710,'Email Marketing Raw Data'!$C:$O,11,0))),"")</f>
        <v/>
      </c>
      <c r="F2710" s="54" t="str">
        <f>IFERROR(IF(OR($B2710="",$B2710="(blank)"),"",VLOOKUP($B2710,'Email Marketing Raw Data'!$C:$O,13,0)),"")</f>
        <v/>
      </c>
      <c r="G2710" s="55" t="str">
        <f>IFERROR(IF(OR($B2710="",$B2710="(blank)"),"",VLOOKUP($B2710,'Email Marketing Raw Data'!$C:$O,4,0)),"")</f>
        <v/>
      </c>
      <c r="H2710" s="55" t="str">
        <f>IFERROR(IF(OR($B2710="",$B2710="(blank)"),"",VLOOKUP($B2710,'Email Marketing Raw Data'!$C:$O,5,0)),"")</f>
        <v/>
      </c>
      <c r="I2710" s="55" t="str">
        <f>IFERROR(IF($G2710="","",VLOOKUP('Dashboard And Emails Automate'!$G2710,Database!$H:$N,3,0)),"")</f>
        <v/>
      </c>
      <c r="J2710" s="55" t="str">
        <f>IFERROR(IF($G2710="","",VLOOKUP('Dashboard And Emails Automate'!$G2710,Database!$H:$N,4,0)),"")</f>
        <v/>
      </c>
      <c r="K2710" s="55" t="str">
        <f>IFERROR(IF($G2710="","",VLOOKUP('Dashboard And Emails Automate'!$G2710,Database!$H:$N,5,0)),"")</f>
        <v/>
      </c>
      <c r="L2710" s="55" t="str">
        <f>IFERROR(IF($G2710="","",VLOOKUP('Dashboard And Emails Automate'!$G2710,Database!$H:$N,6,0)),"")</f>
        <v/>
      </c>
      <c r="M2710" s="55" t="str">
        <f>IFERROR(IF($G2710="","",VLOOKUP('Dashboard And Emails Automate'!$G2710,Database!$H:$N,7,0)),"")</f>
        <v/>
      </c>
      <c r="N2710" s="55" t="str">
        <f>IFERROR(IF(OR($B2710="",$B2710="(blank)"),"",VLOOKUP($B2710,'Email Marketing Raw Data'!$C:$O,6,0)),"")</f>
        <v/>
      </c>
      <c r="O2710" s="55" t="str">
        <f>IFERROR(IF(OR($B2710="",$B2710="(blank)"),"",VLOOKUP($B2710,'Email Marketing Raw Data'!$C:$O,7,0)),"")</f>
        <v/>
      </c>
      <c r="P2710" s="55" t="str">
        <f>IFERROR(IF(OR($B2710="",$B2710="(blank)"),"",VLOOKUP($B2710,'Email Marketing Raw Data'!$C:$O,8,0)),"")</f>
        <v/>
      </c>
      <c r="Q2710" s="62" t="str">
        <f>IFERROR(IF(OR($B2710="",$B2710="(blank)"),"",VLOOKUP($B2710,'Email Marketing Raw Data'!$C:$O,9,0)),"")</f>
        <v/>
      </c>
    </row>
    <row r="2711" spans="4:17" ht="12.75" customHeight="1" x14ac:dyDescent="0.2">
      <c r="D2711" s="58" t="str">
        <f>IFERROR(IF(F2711&lt;&gt;"pending","",IF(OR($B2711="",$B2711="(blank)"),"",VLOOKUP($B2711,'Email Marketing Raw Data'!$C:$O,10,0))),"")</f>
        <v/>
      </c>
      <c r="E2711" s="59" t="str">
        <f>IFERROR(IF(F2711&lt;&gt;"pending","",IF(OR($B2711="",$B2711="(blank)"),"",VLOOKUP($B2711,'Email Marketing Raw Data'!$C:$O,11,0))),"")</f>
        <v/>
      </c>
      <c r="F2711" s="54" t="str">
        <f>IFERROR(IF(OR($B2711="",$B2711="(blank)"),"",VLOOKUP($B2711,'Email Marketing Raw Data'!$C:$O,13,0)),"")</f>
        <v/>
      </c>
      <c r="G2711" s="55" t="str">
        <f>IFERROR(IF(OR($B2711="",$B2711="(blank)"),"",VLOOKUP($B2711,'Email Marketing Raw Data'!$C:$O,4,0)),"")</f>
        <v/>
      </c>
      <c r="H2711" s="55" t="str">
        <f>IFERROR(IF(OR($B2711="",$B2711="(blank)"),"",VLOOKUP($B2711,'Email Marketing Raw Data'!$C:$O,5,0)),"")</f>
        <v/>
      </c>
      <c r="I2711" s="55" t="str">
        <f>IFERROR(IF($G2711="","",VLOOKUP('Dashboard And Emails Automate'!$G2711,Database!$H:$N,3,0)),"")</f>
        <v/>
      </c>
      <c r="J2711" s="55" t="str">
        <f>IFERROR(IF($G2711="","",VLOOKUP('Dashboard And Emails Automate'!$G2711,Database!$H:$N,4,0)),"")</f>
        <v/>
      </c>
      <c r="K2711" s="55" t="str">
        <f>IFERROR(IF($G2711="","",VLOOKUP('Dashboard And Emails Automate'!$G2711,Database!$H:$N,5,0)),"")</f>
        <v/>
      </c>
      <c r="L2711" s="55" t="str">
        <f>IFERROR(IF($G2711="","",VLOOKUP('Dashboard And Emails Automate'!$G2711,Database!$H:$N,6,0)),"")</f>
        <v/>
      </c>
      <c r="M2711" s="55" t="str">
        <f>IFERROR(IF($G2711="","",VLOOKUP('Dashboard And Emails Automate'!$G2711,Database!$H:$N,7,0)),"")</f>
        <v/>
      </c>
      <c r="N2711" s="55" t="str">
        <f>IFERROR(IF(OR($B2711="",$B2711="(blank)"),"",VLOOKUP($B2711,'Email Marketing Raw Data'!$C:$O,6,0)),"")</f>
        <v/>
      </c>
      <c r="O2711" s="55" t="str">
        <f>IFERROR(IF(OR($B2711="",$B2711="(blank)"),"",VLOOKUP($B2711,'Email Marketing Raw Data'!$C:$O,7,0)),"")</f>
        <v/>
      </c>
      <c r="P2711" s="55" t="str">
        <f>IFERROR(IF(OR($B2711="",$B2711="(blank)"),"",VLOOKUP($B2711,'Email Marketing Raw Data'!$C:$O,8,0)),"")</f>
        <v/>
      </c>
      <c r="Q2711" s="62" t="str">
        <f>IFERROR(IF(OR($B2711="",$B2711="(blank)"),"",VLOOKUP($B2711,'Email Marketing Raw Data'!$C:$O,9,0)),"")</f>
        <v/>
      </c>
    </row>
    <row r="2712" spans="4:17" ht="12.75" customHeight="1" x14ac:dyDescent="0.2">
      <c r="D2712" s="58" t="str">
        <f>IFERROR(IF(F2712&lt;&gt;"pending","",IF(OR($B2712="",$B2712="(blank)"),"",VLOOKUP($B2712,'Email Marketing Raw Data'!$C:$O,10,0))),"")</f>
        <v/>
      </c>
      <c r="E2712" s="59" t="str">
        <f>IFERROR(IF(F2712&lt;&gt;"pending","",IF(OR($B2712="",$B2712="(blank)"),"",VLOOKUP($B2712,'Email Marketing Raw Data'!$C:$O,11,0))),"")</f>
        <v/>
      </c>
      <c r="F2712" s="54" t="str">
        <f>IFERROR(IF(OR($B2712="",$B2712="(blank)"),"",VLOOKUP($B2712,'Email Marketing Raw Data'!$C:$O,13,0)),"")</f>
        <v/>
      </c>
      <c r="G2712" s="55" t="str">
        <f>IFERROR(IF(OR($B2712="",$B2712="(blank)"),"",VLOOKUP($B2712,'Email Marketing Raw Data'!$C:$O,4,0)),"")</f>
        <v/>
      </c>
      <c r="H2712" s="55" t="str">
        <f>IFERROR(IF(OR($B2712="",$B2712="(blank)"),"",VLOOKUP($B2712,'Email Marketing Raw Data'!$C:$O,5,0)),"")</f>
        <v/>
      </c>
      <c r="I2712" s="55" t="str">
        <f>IFERROR(IF($G2712="","",VLOOKUP('Dashboard And Emails Automate'!$G2712,Database!$H:$N,3,0)),"")</f>
        <v/>
      </c>
      <c r="J2712" s="55" t="str">
        <f>IFERROR(IF($G2712="","",VLOOKUP('Dashboard And Emails Automate'!$G2712,Database!$H:$N,4,0)),"")</f>
        <v/>
      </c>
      <c r="K2712" s="55" t="str">
        <f>IFERROR(IF($G2712="","",VLOOKUP('Dashboard And Emails Automate'!$G2712,Database!$H:$N,5,0)),"")</f>
        <v/>
      </c>
      <c r="L2712" s="55" t="str">
        <f>IFERROR(IF($G2712="","",VLOOKUP('Dashboard And Emails Automate'!$G2712,Database!$H:$N,6,0)),"")</f>
        <v/>
      </c>
      <c r="M2712" s="55" t="str">
        <f>IFERROR(IF($G2712="","",VLOOKUP('Dashboard And Emails Automate'!$G2712,Database!$H:$N,7,0)),"")</f>
        <v/>
      </c>
      <c r="N2712" s="55" t="str">
        <f>IFERROR(IF(OR($B2712="",$B2712="(blank)"),"",VLOOKUP($B2712,'Email Marketing Raw Data'!$C:$O,6,0)),"")</f>
        <v/>
      </c>
      <c r="O2712" s="55" t="str">
        <f>IFERROR(IF(OR($B2712="",$B2712="(blank)"),"",VLOOKUP($B2712,'Email Marketing Raw Data'!$C:$O,7,0)),"")</f>
        <v/>
      </c>
      <c r="P2712" s="55" t="str">
        <f>IFERROR(IF(OR($B2712="",$B2712="(blank)"),"",VLOOKUP($B2712,'Email Marketing Raw Data'!$C:$O,8,0)),"")</f>
        <v/>
      </c>
      <c r="Q2712" s="62" t="str">
        <f>IFERROR(IF(OR($B2712="",$B2712="(blank)"),"",VLOOKUP($B2712,'Email Marketing Raw Data'!$C:$O,9,0)),"")</f>
        <v/>
      </c>
    </row>
    <row r="2713" spans="4:17" ht="12.75" customHeight="1" x14ac:dyDescent="0.2">
      <c r="D2713" s="58" t="str">
        <f>IFERROR(IF(F2713&lt;&gt;"pending","",IF(OR($B2713="",$B2713="(blank)"),"",VLOOKUP($B2713,'Email Marketing Raw Data'!$C:$O,10,0))),"")</f>
        <v/>
      </c>
      <c r="E2713" s="59" t="str">
        <f>IFERROR(IF(F2713&lt;&gt;"pending","",IF(OR($B2713="",$B2713="(blank)"),"",VLOOKUP($B2713,'Email Marketing Raw Data'!$C:$O,11,0))),"")</f>
        <v/>
      </c>
      <c r="F2713" s="54" t="str">
        <f>IFERROR(IF(OR($B2713="",$B2713="(blank)"),"",VLOOKUP($B2713,'Email Marketing Raw Data'!$C:$O,13,0)),"")</f>
        <v/>
      </c>
      <c r="G2713" s="55" t="str">
        <f>IFERROR(IF(OR($B2713="",$B2713="(blank)"),"",VLOOKUP($B2713,'Email Marketing Raw Data'!$C:$O,4,0)),"")</f>
        <v/>
      </c>
      <c r="H2713" s="55" t="str">
        <f>IFERROR(IF(OR($B2713="",$B2713="(blank)"),"",VLOOKUP($B2713,'Email Marketing Raw Data'!$C:$O,5,0)),"")</f>
        <v/>
      </c>
      <c r="I2713" s="55" t="str">
        <f>IFERROR(IF($G2713="","",VLOOKUP('Dashboard And Emails Automate'!$G2713,Database!$H:$N,3,0)),"")</f>
        <v/>
      </c>
      <c r="J2713" s="55" t="str">
        <f>IFERROR(IF($G2713="","",VLOOKUP('Dashboard And Emails Automate'!$G2713,Database!$H:$N,4,0)),"")</f>
        <v/>
      </c>
      <c r="K2713" s="55" t="str">
        <f>IFERROR(IF($G2713="","",VLOOKUP('Dashboard And Emails Automate'!$G2713,Database!$H:$N,5,0)),"")</f>
        <v/>
      </c>
      <c r="L2713" s="55" t="str">
        <f>IFERROR(IF($G2713="","",VLOOKUP('Dashboard And Emails Automate'!$G2713,Database!$H:$N,6,0)),"")</f>
        <v/>
      </c>
      <c r="M2713" s="55" t="str">
        <f>IFERROR(IF($G2713="","",VLOOKUP('Dashboard And Emails Automate'!$G2713,Database!$H:$N,7,0)),"")</f>
        <v/>
      </c>
      <c r="N2713" s="55" t="str">
        <f>IFERROR(IF(OR($B2713="",$B2713="(blank)"),"",VLOOKUP($B2713,'Email Marketing Raw Data'!$C:$O,6,0)),"")</f>
        <v/>
      </c>
      <c r="O2713" s="55" t="str">
        <f>IFERROR(IF(OR($B2713="",$B2713="(blank)"),"",VLOOKUP($B2713,'Email Marketing Raw Data'!$C:$O,7,0)),"")</f>
        <v/>
      </c>
      <c r="P2713" s="55" t="str">
        <f>IFERROR(IF(OR($B2713="",$B2713="(blank)"),"",VLOOKUP($B2713,'Email Marketing Raw Data'!$C:$O,8,0)),"")</f>
        <v/>
      </c>
      <c r="Q2713" s="62" t="str">
        <f>IFERROR(IF(OR($B2713="",$B2713="(blank)"),"",VLOOKUP($B2713,'Email Marketing Raw Data'!$C:$O,9,0)),"")</f>
        <v/>
      </c>
    </row>
    <row r="2714" spans="4:17" ht="12.75" customHeight="1" x14ac:dyDescent="0.2">
      <c r="D2714" s="58" t="str">
        <f>IFERROR(IF(F2714&lt;&gt;"pending","",IF(OR($B2714="",$B2714="(blank)"),"",VLOOKUP($B2714,'Email Marketing Raw Data'!$C:$O,10,0))),"")</f>
        <v/>
      </c>
      <c r="E2714" s="59" t="str">
        <f>IFERROR(IF(F2714&lt;&gt;"pending","",IF(OR($B2714="",$B2714="(blank)"),"",VLOOKUP($B2714,'Email Marketing Raw Data'!$C:$O,11,0))),"")</f>
        <v/>
      </c>
      <c r="F2714" s="54" t="str">
        <f>IFERROR(IF(OR($B2714="",$B2714="(blank)"),"",VLOOKUP($B2714,'Email Marketing Raw Data'!$C:$O,13,0)),"")</f>
        <v/>
      </c>
      <c r="G2714" s="55" t="str">
        <f>IFERROR(IF(OR($B2714="",$B2714="(blank)"),"",VLOOKUP($B2714,'Email Marketing Raw Data'!$C:$O,4,0)),"")</f>
        <v/>
      </c>
      <c r="H2714" s="55" t="str">
        <f>IFERROR(IF(OR($B2714="",$B2714="(blank)"),"",VLOOKUP($B2714,'Email Marketing Raw Data'!$C:$O,5,0)),"")</f>
        <v/>
      </c>
      <c r="I2714" s="55" t="str">
        <f>IFERROR(IF($G2714="","",VLOOKUP('Dashboard And Emails Automate'!$G2714,Database!$H:$N,3,0)),"")</f>
        <v/>
      </c>
      <c r="J2714" s="55" t="str">
        <f>IFERROR(IF($G2714="","",VLOOKUP('Dashboard And Emails Automate'!$G2714,Database!$H:$N,4,0)),"")</f>
        <v/>
      </c>
      <c r="K2714" s="55" t="str">
        <f>IFERROR(IF($G2714="","",VLOOKUP('Dashboard And Emails Automate'!$G2714,Database!$H:$N,5,0)),"")</f>
        <v/>
      </c>
      <c r="L2714" s="55" t="str">
        <f>IFERROR(IF($G2714="","",VLOOKUP('Dashboard And Emails Automate'!$G2714,Database!$H:$N,6,0)),"")</f>
        <v/>
      </c>
      <c r="M2714" s="55" t="str">
        <f>IFERROR(IF($G2714="","",VLOOKUP('Dashboard And Emails Automate'!$G2714,Database!$H:$N,7,0)),"")</f>
        <v/>
      </c>
      <c r="N2714" s="55" t="str">
        <f>IFERROR(IF(OR($B2714="",$B2714="(blank)"),"",VLOOKUP($B2714,'Email Marketing Raw Data'!$C:$O,6,0)),"")</f>
        <v/>
      </c>
      <c r="O2714" s="55" t="str">
        <f>IFERROR(IF(OR($B2714="",$B2714="(blank)"),"",VLOOKUP($B2714,'Email Marketing Raw Data'!$C:$O,7,0)),"")</f>
        <v/>
      </c>
      <c r="P2714" s="55" t="str">
        <f>IFERROR(IF(OR($B2714="",$B2714="(blank)"),"",VLOOKUP($B2714,'Email Marketing Raw Data'!$C:$O,8,0)),"")</f>
        <v/>
      </c>
      <c r="Q2714" s="62" t="str">
        <f>IFERROR(IF(OR($B2714="",$B2714="(blank)"),"",VLOOKUP($B2714,'Email Marketing Raw Data'!$C:$O,9,0)),"")</f>
        <v/>
      </c>
    </row>
    <row r="2715" spans="4:17" ht="12.75" customHeight="1" x14ac:dyDescent="0.2">
      <c r="D2715" s="58" t="str">
        <f>IFERROR(IF(F2715&lt;&gt;"pending","",IF(OR($B2715="",$B2715="(blank)"),"",VLOOKUP($B2715,'Email Marketing Raw Data'!$C:$O,10,0))),"")</f>
        <v/>
      </c>
      <c r="E2715" s="59" t="str">
        <f>IFERROR(IF(F2715&lt;&gt;"pending","",IF(OR($B2715="",$B2715="(blank)"),"",VLOOKUP($B2715,'Email Marketing Raw Data'!$C:$O,11,0))),"")</f>
        <v/>
      </c>
      <c r="F2715" s="54" t="str">
        <f>IFERROR(IF(OR($B2715="",$B2715="(blank)"),"",VLOOKUP($B2715,'Email Marketing Raw Data'!$C:$O,13,0)),"")</f>
        <v/>
      </c>
      <c r="G2715" s="55" t="str">
        <f>IFERROR(IF(OR($B2715="",$B2715="(blank)"),"",VLOOKUP($B2715,'Email Marketing Raw Data'!$C:$O,4,0)),"")</f>
        <v/>
      </c>
      <c r="H2715" s="55" t="str">
        <f>IFERROR(IF(OR($B2715="",$B2715="(blank)"),"",VLOOKUP($B2715,'Email Marketing Raw Data'!$C:$O,5,0)),"")</f>
        <v/>
      </c>
      <c r="I2715" s="55" t="str">
        <f>IFERROR(IF($G2715="","",VLOOKUP('Dashboard And Emails Automate'!$G2715,Database!$H:$N,3,0)),"")</f>
        <v/>
      </c>
      <c r="J2715" s="55" t="str">
        <f>IFERROR(IF($G2715="","",VLOOKUP('Dashboard And Emails Automate'!$G2715,Database!$H:$N,4,0)),"")</f>
        <v/>
      </c>
      <c r="K2715" s="55" t="str">
        <f>IFERROR(IF($G2715="","",VLOOKUP('Dashboard And Emails Automate'!$G2715,Database!$H:$N,5,0)),"")</f>
        <v/>
      </c>
      <c r="L2715" s="55" t="str">
        <f>IFERROR(IF($G2715="","",VLOOKUP('Dashboard And Emails Automate'!$G2715,Database!$H:$N,6,0)),"")</f>
        <v/>
      </c>
      <c r="M2715" s="55" t="str">
        <f>IFERROR(IF($G2715="","",VLOOKUP('Dashboard And Emails Automate'!$G2715,Database!$H:$N,7,0)),"")</f>
        <v/>
      </c>
      <c r="N2715" s="55" t="str">
        <f>IFERROR(IF(OR($B2715="",$B2715="(blank)"),"",VLOOKUP($B2715,'Email Marketing Raw Data'!$C:$O,6,0)),"")</f>
        <v/>
      </c>
      <c r="O2715" s="55" t="str">
        <f>IFERROR(IF(OR($B2715="",$B2715="(blank)"),"",VLOOKUP($B2715,'Email Marketing Raw Data'!$C:$O,7,0)),"")</f>
        <v/>
      </c>
      <c r="P2715" s="55" t="str">
        <f>IFERROR(IF(OR($B2715="",$B2715="(blank)"),"",VLOOKUP($B2715,'Email Marketing Raw Data'!$C:$O,8,0)),"")</f>
        <v/>
      </c>
      <c r="Q2715" s="62" t="str">
        <f>IFERROR(IF(OR($B2715="",$B2715="(blank)"),"",VLOOKUP($B2715,'Email Marketing Raw Data'!$C:$O,9,0)),"")</f>
        <v/>
      </c>
    </row>
    <row r="2716" spans="4:17" ht="12.75" customHeight="1" x14ac:dyDescent="0.2">
      <c r="D2716" s="58" t="str">
        <f>IFERROR(IF(F2716&lt;&gt;"pending","",IF(OR($B2716="",$B2716="(blank)"),"",VLOOKUP($B2716,'Email Marketing Raw Data'!$C:$O,10,0))),"")</f>
        <v/>
      </c>
      <c r="E2716" s="59" t="str">
        <f>IFERROR(IF(F2716&lt;&gt;"pending","",IF(OR($B2716="",$B2716="(blank)"),"",VLOOKUP($B2716,'Email Marketing Raw Data'!$C:$O,11,0))),"")</f>
        <v/>
      </c>
      <c r="F2716" s="54" t="str">
        <f>IFERROR(IF(OR($B2716="",$B2716="(blank)"),"",VLOOKUP($B2716,'Email Marketing Raw Data'!$C:$O,13,0)),"")</f>
        <v/>
      </c>
      <c r="G2716" s="55" t="str">
        <f>IFERROR(IF(OR($B2716="",$B2716="(blank)"),"",VLOOKUP($B2716,'Email Marketing Raw Data'!$C:$O,4,0)),"")</f>
        <v/>
      </c>
      <c r="H2716" s="55" t="str">
        <f>IFERROR(IF(OR($B2716="",$B2716="(blank)"),"",VLOOKUP($B2716,'Email Marketing Raw Data'!$C:$O,5,0)),"")</f>
        <v/>
      </c>
      <c r="I2716" s="55" t="str">
        <f>IFERROR(IF($G2716="","",VLOOKUP('Dashboard And Emails Automate'!$G2716,Database!$H:$N,3,0)),"")</f>
        <v/>
      </c>
      <c r="J2716" s="55" t="str">
        <f>IFERROR(IF($G2716="","",VLOOKUP('Dashboard And Emails Automate'!$G2716,Database!$H:$N,4,0)),"")</f>
        <v/>
      </c>
      <c r="K2716" s="55" t="str">
        <f>IFERROR(IF($G2716="","",VLOOKUP('Dashboard And Emails Automate'!$G2716,Database!$H:$N,5,0)),"")</f>
        <v/>
      </c>
      <c r="L2716" s="55" t="str">
        <f>IFERROR(IF($G2716="","",VLOOKUP('Dashboard And Emails Automate'!$G2716,Database!$H:$N,6,0)),"")</f>
        <v/>
      </c>
      <c r="M2716" s="55" t="str">
        <f>IFERROR(IF($G2716="","",VLOOKUP('Dashboard And Emails Automate'!$G2716,Database!$H:$N,7,0)),"")</f>
        <v/>
      </c>
      <c r="N2716" s="55" t="str">
        <f>IFERROR(IF(OR($B2716="",$B2716="(blank)"),"",VLOOKUP($B2716,'Email Marketing Raw Data'!$C:$O,6,0)),"")</f>
        <v/>
      </c>
      <c r="O2716" s="55" t="str">
        <f>IFERROR(IF(OR($B2716="",$B2716="(blank)"),"",VLOOKUP($B2716,'Email Marketing Raw Data'!$C:$O,7,0)),"")</f>
        <v/>
      </c>
      <c r="P2716" s="55" t="str">
        <f>IFERROR(IF(OR($B2716="",$B2716="(blank)"),"",VLOOKUP($B2716,'Email Marketing Raw Data'!$C:$O,8,0)),"")</f>
        <v/>
      </c>
      <c r="Q2716" s="62" t="str">
        <f>IFERROR(IF(OR($B2716="",$B2716="(blank)"),"",VLOOKUP($B2716,'Email Marketing Raw Data'!$C:$O,9,0)),"")</f>
        <v/>
      </c>
    </row>
    <row r="2717" spans="4:17" ht="12.75" customHeight="1" x14ac:dyDescent="0.2">
      <c r="D2717" s="58" t="str">
        <f>IFERROR(IF(F2717&lt;&gt;"pending","",IF(OR($B2717="",$B2717="(blank)"),"",VLOOKUP($B2717,'Email Marketing Raw Data'!$C:$O,10,0))),"")</f>
        <v/>
      </c>
      <c r="E2717" s="59" t="str">
        <f>IFERROR(IF(F2717&lt;&gt;"pending","",IF(OR($B2717="",$B2717="(blank)"),"",VLOOKUP($B2717,'Email Marketing Raw Data'!$C:$O,11,0))),"")</f>
        <v/>
      </c>
      <c r="F2717" s="54" t="str">
        <f>IFERROR(IF(OR($B2717="",$B2717="(blank)"),"",VLOOKUP($B2717,'Email Marketing Raw Data'!$C:$O,13,0)),"")</f>
        <v/>
      </c>
      <c r="G2717" s="55" t="str">
        <f>IFERROR(IF(OR($B2717="",$B2717="(blank)"),"",VLOOKUP($B2717,'Email Marketing Raw Data'!$C:$O,4,0)),"")</f>
        <v/>
      </c>
      <c r="H2717" s="55" t="str">
        <f>IFERROR(IF(OR($B2717="",$B2717="(blank)"),"",VLOOKUP($B2717,'Email Marketing Raw Data'!$C:$O,5,0)),"")</f>
        <v/>
      </c>
      <c r="I2717" s="55" t="str">
        <f>IFERROR(IF($G2717="","",VLOOKUP('Dashboard And Emails Automate'!$G2717,Database!$H:$N,3,0)),"")</f>
        <v/>
      </c>
      <c r="J2717" s="55" t="str">
        <f>IFERROR(IF($G2717="","",VLOOKUP('Dashboard And Emails Automate'!$G2717,Database!$H:$N,4,0)),"")</f>
        <v/>
      </c>
      <c r="K2717" s="55" t="str">
        <f>IFERROR(IF($G2717="","",VLOOKUP('Dashboard And Emails Automate'!$G2717,Database!$H:$N,5,0)),"")</f>
        <v/>
      </c>
      <c r="L2717" s="55" t="str">
        <f>IFERROR(IF($G2717="","",VLOOKUP('Dashboard And Emails Automate'!$G2717,Database!$H:$N,6,0)),"")</f>
        <v/>
      </c>
      <c r="M2717" s="55" t="str">
        <f>IFERROR(IF($G2717="","",VLOOKUP('Dashboard And Emails Automate'!$G2717,Database!$H:$N,7,0)),"")</f>
        <v/>
      </c>
      <c r="N2717" s="55" t="str">
        <f>IFERROR(IF(OR($B2717="",$B2717="(blank)"),"",VLOOKUP($B2717,'Email Marketing Raw Data'!$C:$O,6,0)),"")</f>
        <v/>
      </c>
      <c r="O2717" s="55" t="str">
        <f>IFERROR(IF(OR($B2717="",$B2717="(blank)"),"",VLOOKUP($B2717,'Email Marketing Raw Data'!$C:$O,7,0)),"")</f>
        <v/>
      </c>
      <c r="P2717" s="55" t="str">
        <f>IFERROR(IF(OR($B2717="",$B2717="(blank)"),"",VLOOKUP($B2717,'Email Marketing Raw Data'!$C:$O,8,0)),"")</f>
        <v/>
      </c>
      <c r="Q2717" s="62" t="str">
        <f>IFERROR(IF(OR($B2717="",$B2717="(blank)"),"",VLOOKUP($B2717,'Email Marketing Raw Data'!$C:$O,9,0)),"")</f>
        <v/>
      </c>
    </row>
    <row r="2718" spans="4:17" ht="12.75" customHeight="1" x14ac:dyDescent="0.2">
      <c r="D2718" s="58" t="str">
        <f>IFERROR(IF(F2718&lt;&gt;"pending","",IF(OR($B2718="",$B2718="(blank)"),"",VLOOKUP($B2718,'Email Marketing Raw Data'!$C:$O,10,0))),"")</f>
        <v/>
      </c>
      <c r="E2718" s="59" t="str">
        <f>IFERROR(IF(F2718&lt;&gt;"pending","",IF(OR($B2718="",$B2718="(blank)"),"",VLOOKUP($B2718,'Email Marketing Raw Data'!$C:$O,11,0))),"")</f>
        <v/>
      </c>
      <c r="F2718" s="54" t="str">
        <f>IFERROR(IF(OR($B2718="",$B2718="(blank)"),"",VLOOKUP($B2718,'Email Marketing Raw Data'!$C:$O,13,0)),"")</f>
        <v/>
      </c>
      <c r="G2718" s="55" t="str">
        <f>IFERROR(IF(OR($B2718="",$B2718="(blank)"),"",VLOOKUP($B2718,'Email Marketing Raw Data'!$C:$O,4,0)),"")</f>
        <v/>
      </c>
      <c r="H2718" s="55" t="str">
        <f>IFERROR(IF(OR($B2718="",$B2718="(blank)"),"",VLOOKUP($B2718,'Email Marketing Raw Data'!$C:$O,5,0)),"")</f>
        <v/>
      </c>
      <c r="I2718" s="55" t="str">
        <f>IFERROR(IF($G2718="","",VLOOKUP('Dashboard And Emails Automate'!$G2718,Database!$H:$N,3,0)),"")</f>
        <v/>
      </c>
      <c r="J2718" s="55" t="str">
        <f>IFERROR(IF($G2718="","",VLOOKUP('Dashboard And Emails Automate'!$G2718,Database!$H:$N,4,0)),"")</f>
        <v/>
      </c>
      <c r="K2718" s="55" t="str">
        <f>IFERROR(IF($G2718="","",VLOOKUP('Dashboard And Emails Automate'!$G2718,Database!$H:$N,5,0)),"")</f>
        <v/>
      </c>
      <c r="L2718" s="55" t="str">
        <f>IFERROR(IF($G2718="","",VLOOKUP('Dashboard And Emails Automate'!$G2718,Database!$H:$N,6,0)),"")</f>
        <v/>
      </c>
      <c r="M2718" s="55" t="str">
        <f>IFERROR(IF($G2718="","",VLOOKUP('Dashboard And Emails Automate'!$G2718,Database!$H:$N,7,0)),"")</f>
        <v/>
      </c>
      <c r="N2718" s="55" t="str">
        <f>IFERROR(IF(OR($B2718="",$B2718="(blank)"),"",VLOOKUP($B2718,'Email Marketing Raw Data'!$C:$O,6,0)),"")</f>
        <v/>
      </c>
      <c r="O2718" s="55" t="str">
        <f>IFERROR(IF(OR($B2718="",$B2718="(blank)"),"",VLOOKUP($B2718,'Email Marketing Raw Data'!$C:$O,7,0)),"")</f>
        <v/>
      </c>
      <c r="P2718" s="55" t="str">
        <f>IFERROR(IF(OR($B2718="",$B2718="(blank)"),"",VLOOKUP($B2718,'Email Marketing Raw Data'!$C:$O,8,0)),"")</f>
        <v/>
      </c>
      <c r="Q2718" s="62" t="str">
        <f>IFERROR(IF(OR($B2718="",$B2718="(blank)"),"",VLOOKUP($B2718,'Email Marketing Raw Data'!$C:$O,9,0)),"")</f>
        <v/>
      </c>
    </row>
    <row r="2719" spans="4:17" ht="12.75" customHeight="1" x14ac:dyDescent="0.2">
      <c r="D2719" s="58" t="str">
        <f>IFERROR(IF(F2719&lt;&gt;"pending","",IF(OR($B2719="",$B2719="(blank)"),"",VLOOKUP($B2719,'Email Marketing Raw Data'!$C:$O,10,0))),"")</f>
        <v/>
      </c>
      <c r="E2719" s="59" t="str">
        <f>IFERROR(IF(F2719&lt;&gt;"pending","",IF(OR($B2719="",$B2719="(blank)"),"",VLOOKUP($B2719,'Email Marketing Raw Data'!$C:$O,11,0))),"")</f>
        <v/>
      </c>
      <c r="F2719" s="54" t="str">
        <f>IFERROR(IF(OR($B2719="",$B2719="(blank)"),"",VLOOKUP($B2719,'Email Marketing Raw Data'!$C:$O,13,0)),"")</f>
        <v/>
      </c>
      <c r="G2719" s="55" t="str">
        <f>IFERROR(IF(OR($B2719="",$B2719="(blank)"),"",VLOOKUP($B2719,'Email Marketing Raw Data'!$C:$O,4,0)),"")</f>
        <v/>
      </c>
      <c r="H2719" s="55" t="str">
        <f>IFERROR(IF(OR($B2719="",$B2719="(blank)"),"",VLOOKUP($B2719,'Email Marketing Raw Data'!$C:$O,5,0)),"")</f>
        <v/>
      </c>
      <c r="I2719" s="55" t="str">
        <f>IFERROR(IF($G2719="","",VLOOKUP('Dashboard And Emails Automate'!$G2719,Database!$H:$N,3,0)),"")</f>
        <v/>
      </c>
      <c r="J2719" s="55" t="str">
        <f>IFERROR(IF($G2719="","",VLOOKUP('Dashboard And Emails Automate'!$G2719,Database!$H:$N,4,0)),"")</f>
        <v/>
      </c>
      <c r="K2719" s="55" t="str">
        <f>IFERROR(IF($G2719="","",VLOOKUP('Dashboard And Emails Automate'!$G2719,Database!$H:$N,5,0)),"")</f>
        <v/>
      </c>
      <c r="L2719" s="55" t="str">
        <f>IFERROR(IF($G2719="","",VLOOKUP('Dashboard And Emails Automate'!$G2719,Database!$H:$N,6,0)),"")</f>
        <v/>
      </c>
      <c r="M2719" s="55" t="str">
        <f>IFERROR(IF($G2719="","",VLOOKUP('Dashboard And Emails Automate'!$G2719,Database!$H:$N,7,0)),"")</f>
        <v/>
      </c>
      <c r="N2719" s="55" t="str">
        <f>IFERROR(IF(OR($B2719="",$B2719="(blank)"),"",VLOOKUP($B2719,'Email Marketing Raw Data'!$C:$O,6,0)),"")</f>
        <v/>
      </c>
      <c r="O2719" s="55" t="str">
        <f>IFERROR(IF(OR($B2719="",$B2719="(blank)"),"",VLOOKUP($B2719,'Email Marketing Raw Data'!$C:$O,7,0)),"")</f>
        <v/>
      </c>
      <c r="P2719" s="55" t="str">
        <f>IFERROR(IF(OR($B2719="",$B2719="(blank)"),"",VLOOKUP($B2719,'Email Marketing Raw Data'!$C:$O,8,0)),"")</f>
        <v/>
      </c>
      <c r="Q2719" s="62" t="str">
        <f>IFERROR(IF(OR($B2719="",$B2719="(blank)"),"",VLOOKUP($B2719,'Email Marketing Raw Data'!$C:$O,9,0)),"")</f>
        <v/>
      </c>
    </row>
    <row r="2720" spans="4:17" ht="12.75" customHeight="1" x14ac:dyDescent="0.2">
      <c r="D2720" s="58" t="str">
        <f>IFERROR(IF(F2720&lt;&gt;"pending","",IF(OR($B2720="",$B2720="(blank)"),"",VLOOKUP($B2720,'Email Marketing Raw Data'!$C:$O,10,0))),"")</f>
        <v/>
      </c>
      <c r="E2720" s="59" t="str">
        <f>IFERROR(IF(F2720&lt;&gt;"pending","",IF(OR($B2720="",$B2720="(blank)"),"",VLOOKUP($B2720,'Email Marketing Raw Data'!$C:$O,11,0))),"")</f>
        <v/>
      </c>
      <c r="F2720" s="54" t="str">
        <f>IFERROR(IF(OR($B2720="",$B2720="(blank)"),"",VLOOKUP($B2720,'Email Marketing Raw Data'!$C:$O,13,0)),"")</f>
        <v/>
      </c>
      <c r="G2720" s="55" t="str">
        <f>IFERROR(IF(OR($B2720="",$B2720="(blank)"),"",VLOOKUP($B2720,'Email Marketing Raw Data'!$C:$O,4,0)),"")</f>
        <v/>
      </c>
      <c r="H2720" s="55" t="str">
        <f>IFERROR(IF(OR($B2720="",$B2720="(blank)"),"",VLOOKUP($B2720,'Email Marketing Raw Data'!$C:$O,5,0)),"")</f>
        <v/>
      </c>
      <c r="I2720" s="55" t="str">
        <f>IFERROR(IF($G2720="","",VLOOKUP('Dashboard And Emails Automate'!$G2720,Database!$H:$N,3,0)),"")</f>
        <v/>
      </c>
      <c r="J2720" s="55" t="str">
        <f>IFERROR(IF($G2720="","",VLOOKUP('Dashboard And Emails Automate'!$G2720,Database!$H:$N,4,0)),"")</f>
        <v/>
      </c>
      <c r="K2720" s="55" t="str">
        <f>IFERROR(IF($G2720="","",VLOOKUP('Dashboard And Emails Automate'!$G2720,Database!$H:$N,5,0)),"")</f>
        <v/>
      </c>
      <c r="L2720" s="55" t="str">
        <f>IFERROR(IF($G2720="","",VLOOKUP('Dashboard And Emails Automate'!$G2720,Database!$H:$N,6,0)),"")</f>
        <v/>
      </c>
      <c r="M2720" s="55" t="str">
        <f>IFERROR(IF($G2720="","",VLOOKUP('Dashboard And Emails Automate'!$G2720,Database!$H:$N,7,0)),"")</f>
        <v/>
      </c>
      <c r="N2720" s="55" t="str">
        <f>IFERROR(IF(OR($B2720="",$B2720="(blank)"),"",VLOOKUP($B2720,'Email Marketing Raw Data'!$C:$O,6,0)),"")</f>
        <v/>
      </c>
      <c r="O2720" s="55" t="str">
        <f>IFERROR(IF(OR($B2720="",$B2720="(blank)"),"",VLOOKUP($B2720,'Email Marketing Raw Data'!$C:$O,7,0)),"")</f>
        <v/>
      </c>
      <c r="P2720" s="55" t="str">
        <f>IFERROR(IF(OR($B2720="",$B2720="(blank)"),"",VLOOKUP($B2720,'Email Marketing Raw Data'!$C:$O,8,0)),"")</f>
        <v/>
      </c>
      <c r="Q2720" s="62" t="str">
        <f>IFERROR(IF(OR($B2720="",$B2720="(blank)"),"",VLOOKUP($B2720,'Email Marketing Raw Data'!$C:$O,9,0)),"")</f>
        <v/>
      </c>
    </row>
    <row r="2721" spans="4:17" ht="12.75" customHeight="1" x14ac:dyDescent="0.2">
      <c r="D2721" s="58" t="str">
        <f>IFERROR(IF(F2721&lt;&gt;"pending","",IF(OR($B2721="",$B2721="(blank)"),"",VLOOKUP($B2721,'Email Marketing Raw Data'!$C:$O,10,0))),"")</f>
        <v/>
      </c>
      <c r="E2721" s="59" t="str">
        <f>IFERROR(IF(F2721&lt;&gt;"pending","",IF(OR($B2721="",$B2721="(blank)"),"",VLOOKUP($B2721,'Email Marketing Raw Data'!$C:$O,11,0))),"")</f>
        <v/>
      </c>
      <c r="F2721" s="54" t="str">
        <f>IFERROR(IF(OR($B2721="",$B2721="(blank)"),"",VLOOKUP($B2721,'Email Marketing Raw Data'!$C:$O,13,0)),"")</f>
        <v/>
      </c>
      <c r="G2721" s="55" t="str">
        <f>IFERROR(IF(OR($B2721="",$B2721="(blank)"),"",VLOOKUP($B2721,'Email Marketing Raw Data'!$C:$O,4,0)),"")</f>
        <v/>
      </c>
      <c r="H2721" s="55" t="str">
        <f>IFERROR(IF(OR($B2721="",$B2721="(blank)"),"",VLOOKUP($B2721,'Email Marketing Raw Data'!$C:$O,5,0)),"")</f>
        <v/>
      </c>
      <c r="I2721" s="55" t="str">
        <f>IFERROR(IF($G2721="","",VLOOKUP('Dashboard And Emails Automate'!$G2721,Database!$H:$N,3,0)),"")</f>
        <v/>
      </c>
      <c r="J2721" s="55" t="str">
        <f>IFERROR(IF($G2721="","",VLOOKUP('Dashboard And Emails Automate'!$G2721,Database!$H:$N,4,0)),"")</f>
        <v/>
      </c>
      <c r="K2721" s="55" t="str">
        <f>IFERROR(IF($G2721="","",VLOOKUP('Dashboard And Emails Automate'!$G2721,Database!$H:$N,5,0)),"")</f>
        <v/>
      </c>
      <c r="L2721" s="55" t="str">
        <f>IFERROR(IF($G2721="","",VLOOKUP('Dashboard And Emails Automate'!$G2721,Database!$H:$N,6,0)),"")</f>
        <v/>
      </c>
      <c r="M2721" s="55" t="str">
        <f>IFERROR(IF($G2721="","",VLOOKUP('Dashboard And Emails Automate'!$G2721,Database!$H:$N,7,0)),"")</f>
        <v/>
      </c>
      <c r="N2721" s="55" t="str">
        <f>IFERROR(IF(OR($B2721="",$B2721="(blank)"),"",VLOOKUP($B2721,'Email Marketing Raw Data'!$C:$O,6,0)),"")</f>
        <v/>
      </c>
      <c r="O2721" s="55" t="str">
        <f>IFERROR(IF(OR($B2721="",$B2721="(blank)"),"",VLOOKUP($B2721,'Email Marketing Raw Data'!$C:$O,7,0)),"")</f>
        <v/>
      </c>
      <c r="P2721" s="55" t="str">
        <f>IFERROR(IF(OR($B2721="",$B2721="(blank)"),"",VLOOKUP($B2721,'Email Marketing Raw Data'!$C:$O,8,0)),"")</f>
        <v/>
      </c>
      <c r="Q2721" s="62" t="str">
        <f>IFERROR(IF(OR($B2721="",$B2721="(blank)"),"",VLOOKUP($B2721,'Email Marketing Raw Data'!$C:$O,9,0)),"")</f>
        <v/>
      </c>
    </row>
    <row r="2722" spans="4:17" ht="12.75" customHeight="1" x14ac:dyDescent="0.2">
      <c r="D2722" s="58" t="str">
        <f>IFERROR(IF(F2722&lt;&gt;"pending","",IF(OR($B2722="",$B2722="(blank)"),"",VLOOKUP($B2722,'Email Marketing Raw Data'!$C:$O,10,0))),"")</f>
        <v/>
      </c>
      <c r="E2722" s="59" t="str">
        <f>IFERROR(IF(F2722&lt;&gt;"pending","",IF(OR($B2722="",$B2722="(blank)"),"",VLOOKUP($B2722,'Email Marketing Raw Data'!$C:$O,11,0))),"")</f>
        <v/>
      </c>
      <c r="F2722" s="54" t="str">
        <f>IFERROR(IF(OR($B2722="",$B2722="(blank)"),"",VLOOKUP($B2722,'Email Marketing Raw Data'!$C:$O,13,0)),"")</f>
        <v/>
      </c>
      <c r="G2722" s="55" t="str">
        <f>IFERROR(IF(OR($B2722="",$B2722="(blank)"),"",VLOOKUP($B2722,'Email Marketing Raw Data'!$C:$O,4,0)),"")</f>
        <v/>
      </c>
      <c r="H2722" s="55" t="str">
        <f>IFERROR(IF(OR($B2722="",$B2722="(blank)"),"",VLOOKUP($B2722,'Email Marketing Raw Data'!$C:$O,5,0)),"")</f>
        <v/>
      </c>
      <c r="I2722" s="55" t="str">
        <f>IFERROR(IF($G2722="","",VLOOKUP('Dashboard And Emails Automate'!$G2722,Database!$H:$N,3,0)),"")</f>
        <v/>
      </c>
      <c r="J2722" s="55" t="str">
        <f>IFERROR(IF($G2722="","",VLOOKUP('Dashboard And Emails Automate'!$G2722,Database!$H:$N,4,0)),"")</f>
        <v/>
      </c>
      <c r="K2722" s="55" t="str">
        <f>IFERROR(IF($G2722="","",VLOOKUP('Dashboard And Emails Automate'!$G2722,Database!$H:$N,5,0)),"")</f>
        <v/>
      </c>
      <c r="L2722" s="55" t="str">
        <f>IFERROR(IF($G2722="","",VLOOKUP('Dashboard And Emails Automate'!$G2722,Database!$H:$N,6,0)),"")</f>
        <v/>
      </c>
      <c r="M2722" s="55" t="str">
        <f>IFERROR(IF($G2722="","",VLOOKUP('Dashboard And Emails Automate'!$G2722,Database!$H:$N,7,0)),"")</f>
        <v/>
      </c>
      <c r="N2722" s="55" t="str">
        <f>IFERROR(IF(OR($B2722="",$B2722="(blank)"),"",VLOOKUP($B2722,'Email Marketing Raw Data'!$C:$O,6,0)),"")</f>
        <v/>
      </c>
      <c r="O2722" s="55" t="str">
        <f>IFERROR(IF(OR($B2722="",$B2722="(blank)"),"",VLOOKUP($B2722,'Email Marketing Raw Data'!$C:$O,7,0)),"")</f>
        <v/>
      </c>
      <c r="P2722" s="55" t="str">
        <f>IFERROR(IF(OR($B2722="",$B2722="(blank)"),"",VLOOKUP($B2722,'Email Marketing Raw Data'!$C:$O,8,0)),"")</f>
        <v/>
      </c>
      <c r="Q2722" s="62" t="str">
        <f>IFERROR(IF(OR($B2722="",$B2722="(blank)"),"",VLOOKUP($B2722,'Email Marketing Raw Data'!$C:$O,9,0)),"")</f>
        <v/>
      </c>
    </row>
    <row r="2723" spans="4:17" ht="12.75" customHeight="1" x14ac:dyDescent="0.2">
      <c r="D2723" s="58" t="str">
        <f>IFERROR(IF(F2723&lt;&gt;"pending","",IF(OR($B2723="",$B2723="(blank)"),"",VLOOKUP($B2723,'Email Marketing Raw Data'!$C:$O,10,0))),"")</f>
        <v/>
      </c>
      <c r="E2723" s="59" t="str">
        <f>IFERROR(IF(F2723&lt;&gt;"pending","",IF(OR($B2723="",$B2723="(blank)"),"",VLOOKUP($B2723,'Email Marketing Raw Data'!$C:$O,11,0))),"")</f>
        <v/>
      </c>
      <c r="F2723" s="54" t="str">
        <f>IFERROR(IF(OR($B2723="",$B2723="(blank)"),"",VLOOKUP($B2723,'Email Marketing Raw Data'!$C:$O,13,0)),"")</f>
        <v/>
      </c>
      <c r="G2723" s="55" t="str">
        <f>IFERROR(IF(OR($B2723="",$B2723="(blank)"),"",VLOOKUP($B2723,'Email Marketing Raw Data'!$C:$O,4,0)),"")</f>
        <v/>
      </c>
      <c r="H2723" s="55" t="str">
        <f>IFERROR(IF(OR($B2723="",$B2723="(blank)"),"",VLOOKUP($B2723,'Email Marketing Raw Data'!$C:$O,5,0)),"")</f>
        <v/>
      </c>
      <c r="I2723" s="55" t="str">
        <f>IFERROR(IF($G2723="","",VLOOKUP('Dashboard And Emails Automate'!$G2723,Database!$H:$N,3,0)),"")</f>
        <v/>
      </c>
      <c r="J2723" s="55" t="str">
        <f>IFERROR(IF($G2723="","",VLOOKUP('Dashboard And Emails Automate'!$G2723,Database!$H:$N,4,0)),"")</f>
        <v/>
      </c>
      <c r="K2723" s="55" t="str">
        <f>IFERROR(IF($G2723="","",VLOOKUP('Dashboard And Emails Automate'!$G2723,Database!$H:$N,5,0)),"")</f>
        <v/>
      </c>
      <c r="L2723" s="55" t="str">
        <f>IFERROR(IF($G2723="","",VLOOKUP('Dashboard And Emails Automate'!$G2723,Database!$H:$N,6,0)),"")</f>
        <v/>
      </c>
      <c r="M2723" s="55" t="str">
        <f>IFERROR(IF($G2723="","",VLOOKUP('Dashboard And Emails Automate'!$G2723,Database!$H:$N,7,0)),"")</f>
        <v/>
      </c>
      <c r="N2723" s="55" t="str">
        <f>IFERROR(IF(OR($B2723="",$B2723="(blank)"),"",VLOOKUP($B2723,'Email Marketing Raw Data'!$C:$O,6,0)),"")</f>
        <v/>
      </c>
      <c r="O2723" s="55" t="str">
        <f>IFERROR(IF(OR($B2723="",$B2723="(blank)"),"",VLOOKUP($B2723,'Email Marketing Raw Data'!$C:$O,7,0)),"")</f>
        <v/>
      </c>
      <c r="P2723" s="55" t="str">
        <f>IFERROR(IF(OR($B2723="",$B2723="(blank)"),"",VLOOKUP($B2723,'Email Marketing Raw Data'!$C:$O,8,0)),"")</f>
        <v/>
      </c>
      <c r="Q2723" s="62" t="str">
        <f>IFERROR(IF(OR($B2723="",$B2723="(blank)"),"",VLOOKUP($B2723,'Email Marketing Raw Data'!$C:$O,9,0)),"")</f>
        <v/>
      </c>
    </row>
    <row r="2724" spans="4:17" ht="12.75" customHeight="1" x14ac:dyDescent="0.2">
      <c r="D2724" s="58" t="str">
        <f>IFERROR(IF(F2724&lt;&gt;"pending","",IF(OR($B2724="",$B2724="(blank)"),"",VLOOKUP($B2724,'Email Marketing Raw Data'!$C:$O,10,0))),"")</f>
        <v/>
      </c>
      <c r="E2724" s="59" t="str">
        <f>IFERROR(IF(F2724&lt;&gt;"pending","",IF(OR($B2724="",$B2724="(blank)"),"",VLOOKUP($B2724,'Email Marketing Raw Data'!$C:$O,11,0))),"")</f>
        <v/>
      </c>
      <c r="F2724" s="54" t="str">
        <f>IFERROR(IF(OR($B2724="",$B2724="(blank)"),"",VLOOKUP($B2724,'Email Marketing Raw Data'!$C:$O,13,0)),"")</f>
        <v/>
      </c>
      <c r="G2724" s="55" t="str">
        <f>IFERROR(IF(OR($B2724="",$B2724="(blank)"),"",VLOOKUP($B2724,'Email Marketing Raw Data'!$C:$O,4,0)),"")</f>
        <v/>
      </c>
      <c r="H2724" s="55" t="str">
        <f>IFERROR(IF(OR($B2724="",$B2724="(blank)"),"",VLOOKUP($B2724,'Email Marketing Raw Data'!$C:$O,5,0)),"")</f>
        <v/>
      </c>
      <c r="I2724" s="55" t="str">
        <f>IFERROR(IF($G2724="","",VLOOKUP('Dashboard And Emails Automate'!$G2724,Database!$H:$N,3,0)),"")</f>
        <v/>
      </c>
      <c r="J2724" s="55" t="str">
        <f>IFERROR(IF($G2724="","",VLOOKUP('Dashboard And Emails Automate'!$G2724,Database!$H:$N,4,0)),"")</f>
        <v/>
      </c>
      <c r="K2724" s="55" t="str">
        <f>IFERROR(IF($G2724="","",VLOOKUP('Dashboard And Emails Automate'!$G2724,Database!$H:$N,5,0)),"")</f>
        <v/>
      </c>
      <c r="L2724" s="55" t="str">
        <f>IFERROR(IF($G2724="","",VLOOKUP('Dashboard And Emails Automate'!$G2724,Database!$H:$N,6,0)),"")</f>
        <v/>
      </c>
      <c r="M2724" s="55" t="str">
        <f>IFERROR(IF($G2724="","",VLOOKUP('Dashboard And Emails Automate'!$G2724,Database!$H:$N,7,0)),"")</f>
        <v/>
      </c>
      <c r="N2724" s="55" t="str">
        <f>IFERROR(IF(OR($B2724="",$B2724="(blank)"),"",VLOOKUP($B2724,'Email Marketing Raw Data'!$C:$O,6,0)),"")</f>
        <v/>
      </c>
      <c r="O2724" s="55" t="str">
        <f>IFERROR(IF(OR($B2724="",$B2724="(blank)"),"",VLOOKUP($B2724,'Email Marketing Raw Data'!$C:$O,7,0)),"")</f>
        <v/>
      </c>
      <c r="P2724" s="55" t="str">
        <f>IFERROR(IF(OR($B2724="",$B2724="(blank)"),"",VLOOKUP($B2724,'Email Marketing Raw Data'!$C:$O,8,0)),"")</f>
        <v/>
      </c>
      <c r="Q2724" s="62" t="str">
        <f>IFERROR(IF(OR($B2724="",$B2724="(blank)"),"",VLOOKUP($B2724,'Email Marketing Raw Data'!$C:$O,9,0)),"")</f>
        <v/>
      </c>
    </row>
    <row r="2725" spans="4:17" ht="12.75" customHeight="1" x14ac:dyDescent="0.2">
      <c r="D2725" s="58" t="str">
        <f>IFERROR(IF(F2725&lt;&gt;"pending","",IF(OR($B2725="",$B2725="(blank)"),"",VLOOKUP($B2725,'Email Marketing Raw Data'!$C:$O,10,0))),"")</f>
        <v/>
      </c>
      <c r="E2725" s="59" t="str">
        <f>IFERROR(IF(F2725&lt;&gt;"pending","",IF(OR($B2725="",$B2725="(blank)"),"",VLOOKUP($B2725,'Email Marketing Raw Data'!$C:$O,11,0))),"")</f>
        <v/>
      </c>
      <c r="F2725" s="54" t="str">
        <f>IFERROR(IF(OR($B2725="",$B2725="(blank)"),"",VLOOKUP($B2725,'Email Marketing Raw Data'!$C:$O,13,0)),"")</f>
        <v/>
      </c>
      <c r="G2725" s="55" t="str">
        <f>IFERROR(IF(OR($B2725="",$B2725="(blank)"),"",VLOOKUP($B2725,'Email Marketing Raw Data'!$C:$O,4,0)),"")</f>
        <v/>
      </c>
      <c r="H2725" s="55" t="str">
        <f>IFERROR(IF(OR($B2725="",$B2725="(blank)"),"",VLOOKUP($B2725,'Email Marketing Raw Data'!$C:$O,5,0)),"")</f>
        <v/>
      </c>
      <c r="I2725" s="55" t="str">
        <f>IFERROR(IF($G2725="","",VLOOKUP('Dashboard And Emails Automate'!$G2725,Database!$H:$N,3,0)),"")</f>
        <v/>
      </c>
      <c r="J2725" s="55" t="str">
        <f>IFERROR(IF($G2725="","",VLOOKUP('Dashboard And Emails Automate'!$G2725,Database!$H:$N,4,0)),"")</f>
        <v/>
      </c>
      <c r="K2725" s="55" t="str">
        <f>IFERROR(IF($G2725="","",VLOOKUP('Dashboard And Emails Automate'!$G2725,Database!$H:$N,5,0)),"")</f>
        <v/>
      </c>
      <c r="L2725" s="55" t="str">
        <f>IFERROR(IF($G2725="","",VLOOKUP('Dashboard And Emails Automate'!$G2725,Database!$H:$N,6,0)),"")</f>
        <v/>
      </c>
      <c r="M2725" s="55" t="str">
        <f>IFERROR(IF($G2725="","",VLOOKUP('Dashboard And Emails Automate'!$G2725,Database!$H:$N,7,0)),"")</f>
        <v/>
      </c>
      <c r="N2725" s="55" t="str">
        <f>IFERROR(IF(OR($B2725="",$B2725="(blank)"),"",VLOOKUP($B2725,'Email Marketing Raw Data'!$C:$O,6,0)),"")</f>
        <v/>
      </c>
      <c r="O2725" s="55" t="str">
        <f>IFERROR(IF(OR($B2725="",$B2725="(blank)"),"",VLOOKUP($B2725,'Email Marketing Raw Data'!$C:$O,7,0)),"")</f>
        <v/>
      </c>
      <c r="P2725" s="55" t="str">
        <f>IFERROR(IF(OR($B2725="",$B2725="(blank)"),"",VLOOKUP($B2725,'Email Marketing Raw Data'!$C:$O,8,0)),"")</f>
        <v/>
      </c>
      <c r="Q2725" s="62" t="str">
        <f>IFERROR(IF(OR($B2725="",$B2725="(blank)"),"",VLOOKUP($B2725,'Email Marketing Raw Data'!$C:$O,9,0)),"")</f>
        <v/>
      </c>
    </row>
    <row r="2726" spans="4:17" ht="12.75" customHeight="1" x14ac:dyDescent="0.2">
      <c r="D2726" s="58" t="str">
        <f>IFERROR(IF(F2726&lt;&gt;"pending","",IF(OR($B2726="",$B2726="(blank)"),"",VLOOKUP($B2726,'Email Marketing Raw Data'!$C:$O,10,0))),"")</f>
        <v/>
      </c>
      <c r="E2726" s="59" t="str">
        <f>IFERROR(IF(F2726&lt;&gt;"pending","",IF(OR($B2726="",$B2726="(blank)"),"",VLOOKUP($B2726,'Email Marketing Raw Data'!$C:$O,11,0))),"")</f>
        <v/>
      </c>
      <c r="F2726" s="54" t="str">
        <f>IFERROR(IF(OR($B2726="",$B2726="(blank)"),"",VLOOKUP($B2726,'Email Marketing Raw Data'!$C:$O,13,0)),"")</f>
        <v/>
      </c>
      <c r="G2726" s="55" t="str">
        <f>IFERROR(IF(OR($B2726="",$B2726="(blank)"),"",VLOOKUP($B2726,'Email Marketing Raw Data'!$C:$O,4,0)),"")</f>
        <v/>
      </c>
      <c r="H2726" s="55" t="str">
        <f>IFERROR(IF(OR($B2726="",$B2726="(blank)"),"",VLOOKUP($B2726,'Email Marketing Raw Data'!$C:$O,5,0)),"")</f>
        <v/>
      </c>
      <c r="I2726" s="55" t="str">
        <f>IFERROR(IF($G2726="","",VLOOKUP('Dashboard And Emails Automate'!$G2726,Database!$H:$N,3,0)),"")</f>
        <v/>
      </c>
      <c r="J2726" s="55" t="str">
        <f>IFERROR(IF($G2726="","",VLOOKUP('Dashboard And Emails Automate'!$G2726,Database!$H:$N,4,0)),"")</f>
        <v/>
      </c>
      <c r="K2726" s="55" t="str">
        <f>IFERROR(IF($G2726="","",VLOOKUP('Dashboard And Emails Automate'!$G2726,Database!$H:$N,5,0)),"")</f>
        <v/>
      </c>
      <c r="L2726" s="55" t="str">
        <f>IFERROR(IF($G2726="","",VLOOKUP('Dashboard And Emails Automate'!$G2726,Database!$H:$N,6,0)),"")</f>
        <v/>
      </c>
      <c r="M2726" s="55" t="str">
        <f>IFERROR(IF($G2726="","",VLOOKUP('Dashboard And Emails Automate'!$G2726,Database!$H:$N,7,0)),"")</f>
        <v/>
      </c>
      <c r="N2726" s="55" t="str">
        <f>IFERROR(IF(OR($B2726="",$B2726="(blank)"),"",VLOOKUP($B2726,'Email Marketing Raw Data'!$C:$O,6,0)),"")</f>
        <v/>
      </c>
      <c r="O2726" s="55" t="str">
        <f>IFERROR(IF(OR($B2726="",$B2726="(blank)"),"",VLOOKUP($B2726,'Email Marketing Raw Data'!$C:$O,7,0)),"")</f>
        <v/>
      </c>
      <c r="P2726" s="55" t="str">
        <f>IFERROR(IF(OR($B2726="",$B2726="(blank)"),"",VLOOKUP($B2726,'Email Marketing Raw Data'!$C:$O,8,0)),"")</f>
        <v/>
      </c>
      <c r="Q2726" s="62" t="str">
        <f>IFERROR(IF(OR($B2726="",$B2726="(blank)"),"",VLOOKUP($B2726,'Email Marketing Raw Data'!$C:$O,9,0)),"")</f>
        <v/>
      </c>
    </row>
    <row r="2727" spans="4:17" ht="12.75" customHeight="1" x14ac:dyDescent="0.2">
      <c r="D2727" s="58" t="str">
        <f>IFERROR(IF(F2727&lt;&gt;"pending","",IF(OR($B2727="",$B2727="(blank)"),"",VLOOKUP($B2727,'Email Marketing Raw Data'!$C:$O,10,0))),"")</f>
        <v/>
      </c>
      <c r="E2727" s="59" t="str">
        <f>IFERROR(IF(F2727&lt;&gt;"pending","",IF(OR($B2727="",$B2727="(blank)"),"",VLOOKUP($B2727,'Email Marketing Raw Data'!$C:$O,11,0))),"")</f>
        <v/>
      </c>
      <c r="F2727" s="54" t="str">
        <f>IFERROR(IF(OR($B2727="",$B2727="(blank)"),"",VLOOKUP($B2727,'Email Marketing Raw Data'!$C:$O,13,0)),"")</f>
        <v/>
      </c>
      <c r="G2727" s="55" t="str">
        <f>IFERROR(IF(OR($B2727="",$B2727="(blank)"),"",VLOOKUP($B2727,'Email Marketing Raw Data'!$C:$O,4,0)),"")</f>
        <v/>
      </c>
      <c r="H2727" s="55" t="str">
        <f>IFERROR(IF(OR($B2727="",$B2727="(blank)"),"",VLOOKUP($B2727,'Email Marketing Raw Data'!$C:$O,5,0)),"")</f>
        <v/>
      </c>
      <c r="I2727" s="55" t="str">
        <f>IFERROR(IF($G2727="","",VLOOKUP('Dashboard And Emails Automate'!$G2727,Database!$H:$N,3,0)),"")</f>
        <v/>
      </c>
      <c r="J2727" s="55" t="str">
        <f>IFERROR(IF($G2727="","",VLOOKUP('Dashboard And Emails Automate'!$G2727,Database!$H:$N,4,0)),"")</f>
        <v/>
      </c>
      <c r="K2727" s="55" t="str">
        <f>IFERROR(IF($G2727="","",VLOOKUP('Dashboard And Emails Automate'!$G2727,Database!$H:$N,5,0)),"")</f>
        <v/>
      </c>
      <c r="L2727" s="55" t="str">
        <f>IFERROR(IF($G2727="","",VLOOKUP('Dashboard And Emails Automate'!$G2727,Database!$H:$N,6,0)),"")</f>
        <v/>
      </c>
      <c r="M2727" s="55" t="str">
        <f>IFERROR(IF($G2727="","",VLOOKUP('Dashboard And Emails Automate'!$G2727,Database!$H:$N,7,0)),"")</f>
        <v/>
      </c>
      <c r="N2727" s="55" t="str">
        <f>IFERROR(IF(OR($B2727="",$B2727="(blank)"),"",VLOOKUP($B2727,'Email Marketing Raw Data'!$C:$O,6,0)),"")</f>
        <v/>
      </c>
      <c r="O2727" s="55" t="str">
        <f>IFERROR(IF(OR($B2727="",$B2727="(blank)"),"",VLOOKUP($B2727,'Email Marketing Raw Data'!$C:$O,7,0)),"")</f>
        <v/>
      </c>
      <c r="P2727" s="55" t="str">
        <f>IFERROR(IF(OR($B2727="",$B2727="(blank)"),"",VLOOKUP($B2727,'Email Marketing Raw Data'!$C:$O,8,0)),"")</f>
        <v/>
      </c>
      <c r="Q2727" s="62" t="str">
        <f>IFERROR(IF(OR($B2727="",$B2727="(blank)"),"",VLOOKUP($B2727,'Email Marketing Raw Data'!$C:$O,9,0)),"")</f>
        <v/>
      </c>
    </row>
    <row r="2728" spans="4:17" ht="12.75" customHeight="1" x14ac:dyDescent="0.2">
      <c r="D2728" s="58" t="str">
        <f>IFERROR(IF(F2728&lt;&gt;"pending","",IF(OR($B2728="",$B2728="(blank)"),"",VLOOKUP($B2728,'Email Marketing Raw Data'!$C:$O,10,0))),"")</f>
        <v/>
      </c>
      <c r="E2728" s="59" t="str">
        <f>IFERROR(IF(F2728&lt;&gt;"pending","",IF(OR($B2728="",$B2728="(blank)"),"",VLOOKUP($B2728,'Email Marketing Raw Data'!$C:$O,11,0))),"")</f>
        <v/>
      </c>
      <c r="F2728" s="54" t="str">
        <f>IFERROR(IF(OR($B2728="",$B2728="(blank)"),"",VLOOKUP($B2728,'Email Marketing Raw Data'!$C:$O,13,0)),"")</f>
        <v/>
      </c>
      <c r="G2728" s="55" t="str">
        <f>IFERROR(IF(OR($B2728="",$B2728="(blank)"),"",VLOOKUP($B2728,'Email Marketing Raw Data'!$C:$O,4,0)),"")</f>
        <v/>
      </c>
      <c r="H2728" s="55" t="str">
        <f>IFERROR(IF(OR($B2728="",$B2728="(blank)"),"",VLOOKUP($B2728,'Email Marketing Raw Data'!$C:$O,5,0)),"")</f>
        <v/>
      </c>
      <c r="I2728" s="55" t="str">
        <f>IFERROR(IF($G2728="","",VLOOKUP('Dashboard And Emails Automate'!$G2728,Database!$H:$N,3,0)),"")</f>
        <v/>
      </c>
      <c r="J2728" s="55" t="str">
        <f>IFERROR(IF($G2728="","",VLOOKUP('Dashboard And Emails Automate'!$G2728,Database!$H:$N,4,0)),"")</f>
        <v/>
      </c>
      <c r="K2728" s="55" t="str">
        <f>IFERROR(IF($G2728="","",VLOOKUP('Dashboard And Emails Automate'!$G2728,Database!$H:$N,5,0)),"")</f>
        <v/>
      </c>
      <c r="L2728" s="55" t="str">
        <f>IFERROR(IF($G2728="","",VLOOKUP('Dashboard And Emails Automate'!$G2728,Database!$H:$N,6,0)),"")</f>
        <v/>
      </c>
      <c r="M2728" s="55" t="str">
        <f>IFERROR(IF($G2728="","",VLOOKUP('Dashboard And Emails Automate'!$G2728,Database!$H:$N,7,0)),"")</f>
        <v/>
      </c>
      <c r="N2728" s="55" t="str">
        <f>IFERROR(IF(OR($B2728="",$B2728="(blank)"),"",VLOOKUP($B2728,'Email Marketing Raw Data'!$C:$O,6,0)),"")</f>
        <v/>
      </c>
      <c r="O2728" s="55" t="str">
        <f>IFERROR(IF(OR($B2728="",$B2728="(blank)"),"",VLOOKUP($B2728,'Email Marketing Raw Data'!$C:$O,7,0)),"")</f>
        <v/>
      </c>
      <c r="P2728" s="55" t="str">
        <f>IFERROR(IF(OR($B2728="",$B2728="(blank)"),"",VLOOKUP($B2728,'Email Marketing Raw Data'!$C:$O,8,0)),"")</f>
        <v/>
      </c>
      <c r="Q2728" s="62" t="str">
        <f>IFERROR(IF(OR($B2728="",$B2728="(blank)"),"",VLOOKUP($B2728,'Email Marketing Raw Data'!$C:$O,9,0)),"")</f>
        <v/>
      </c>
    </row>
    <row r="2729" spans="4:17" ht="12.75" customHeight="1" x14ac:dyDescent="0.2">
      <c r="D2729" s="58" t="str">
        <f>IFERROR(IF(F2729&lt;&gt;"pending","",IF(OR($B2729="",$B2729="(blank)"),"",VLOOKUP($B2729,'Email Marketing Raw Data'!$C:$O,10,0))),"")</f>
        <v/>
      </c>
      <c r="E2729" s="59" t="str">
        <f>IFERROR(IF(F2729&lt;&gt;"pending","",IF(OR($B2729="",$B2729="(blank)"),"",VLOOKUP($B2729,'Email Marketing Raw Data'!$C:$O,11,0))),"")</f>
        <v/>
      </c>
      <c r="F2729" s="54" t="str">
        <f>IFERROR(IF(OR($B2729="",$B2729="(blank)"),"",VLOOKUP($B2729,'Email Marketing Raw Data'!$C:$O,13,0)),"")</f>
        <v/>
      </c>
      <c r="G2729" s="55" t="str">
        <f>IFERROR(IF(OR($B2729="",$B2729="(blank)"),"",VLOOKUP($B2729,'Email Marketing Raw Data'!$C:$O,4,0)),"")</f>
        <v/>
      </c>
      <c r="H2729" s="55" t="str">
        <f>IFERROR(IF(OR($B2729="",$B2729="(blank)"),"",VLOOKUP($B2729,'Email Marketing Raw Data'!$C:$O,5,0)),"")</f>
        <v/>
      </c>
      <c r="I2729" s="55" t="str">
        <f>IFERROR(IF($G2729="","",VLOOKUP('Dashboard And Emails Automate'!$G2729,Database!$H:$N,3,0)),"")</f>
        <v/>
      </c>
      <c r="J2729" s="55" t="str">
        <f>IFERROR(IF($G2729="","",VLOOKUP('Dashboard And Emails Automate'!$G2729,Database!$H:$N,4,0)),"")</f>
        <v/>
      </c>
      <c r="K2729" s="55" t="str">
        <f>IFERROR(IF($G2729="","",VLOOKUP('Dashboard And Emails Automate'!$G2729,Database!$H:$N,5,0)),"")</f>
        <v/>
      </c>
      <c r="L2729" s="55" t="str">
        <f>IFERROR(IF($G2729="","",VLOOKUP('Dashboard And Emails Automate'!$G2729,Database!$H:$N,6,0)),"")</f>
        <v/>
      </c>
      <c r="M2729" s="55" t="str">
        <f>IFERROR(IF($G2729="","",VLOOKUP('Dashboard And Emails Automate'!$G2729,Database!$H:$N,7,0)),"")</f>
        <v/>
      </c>
      <c r="N2729" s="55" t="str">
        <f>IFERROR(IF(OR($B2729="",$B2729="(blank)"),"",VLOOKUP($B2729,'Email Marketing Raw Data'!$C:$O,6,0)),"")</f>
        <v/>
      </c>
      <c r="O2729" s="55" t="str">
        <f>IFERROR(IF(OR($B2729="",$B2729="(blank)"),"",VLOOKUP($B2729,'Email Marketing Raw Data'!$C:$O,7,0)),"")</f>
        <v/>
      </c>
      <c r="P2729" s="55" t="str">
        <f>IFERROR(IF(OR($B2729="",$B2729="(blank)"),"",VLOOKUP($B2729,'Email Marketing Raw Data'!$C:$O,8,0)),"")</f>
        <v/>
      </c>
      <c r="Q2729" s="62" t="str">
        <f>IFERROR(IF(OR($B2729="",$B2729="(blank)"),"",VLOOKUP($B2729,'Email Marketing Raw Data'!$C:$O,9,0)),"")</f>
        <v/>
      </c>
    </row>
    <row r="2730" spans="4:17" ht="12.75" customHeight="1" x14ac:dyDescent="0.2">
      <c r="D2730" s="58" t="str">
        <f>IFERROR(IF(F2730&lt;&gt;"pending","",IF(OR($B2730="",$B2730="(blank)"),"",VLOOKUP($B2730,'Email Marketing Raw Data'!$C:$O,10,0))),"")</f>
        <v/>
      </c>
      <c r="E2730" s="59" t="str">
        <f>IFERROR(IF(F2730&lt;&gt;"pending","",IF(OR($B2730="",$B2730="(blank)"),"",VLOOKUP($B2730,'Email Marketing Raw Data'!$C:$O,11,0))),"")</f>
        <v/>
      </c>
      <c r="F2730" s="54" t="str">
        <f>IFERROR(IF(OR($B2730="",$B2730="(blank)"),"",VLOOKUP($B2730,'Email Marketing Raw Data'!$C:$O,13,0)),"")</f>
        <v/>
      </c>
      <c r="G2730" s="55" t="str">
        <f>IFERROR(IF(OR($B2730="",$B2730="(blank)"),"",VLOOKUP($B2730,'Email Marketing Raw Data'!$C:$O,4,0)),"")</f>
        <v/>
      </c>
      <c r="H2730" s="55" t="str">
        <f>IFERROR(IF(OR($B2730="",$B2730="(blank)"),"",VLOOKUP($B2730,'Email Marketing Raw Data'!$C:$O,5,0)),"")</f>
        <v/>
      </c>
      <c r="I2730" s="55" t="str">
        <f>IFERROR(IF($G2730="","",VLOOKUP('Dashboard And Emails Automate'!$G2730,Database!$H:$N,3,0)),"")</f>
        <v/>
      </c>
      <c r="J2730" s="55" t="str">
        <f>IFERROR(IF($G2730="","",VLOOKUP('Dashboard And Emails Automate'!$G2730,Database!$H:$N,4,0)),"")</f>
        <v/>
      </c>
      <c r="K2730" s="55" t="str">
        <f>IFERROR(IF($G2730="","",VLOOKUP('Dashboard And Emails Automate'!$G2730,Database!$H:$N,5,0)),"")</f>
        <v/>
      </c>
      <c r="L2730" s="55" t="str">
        <f>IFERROR(IF($G2730="","",VLOOKUP('Dashboard And Emails Automate'!$G2730,Database!$H:$N,6,0)),"")</f>
        <v/>
      </c>
      <c r="M2730" s="55" t="str">
        <f>IFERROR(IF($G2730="","",VLOOKUP('Dashboard And Emails Automate'!$G2730,Database!$H:$N,7,0)),"")</f>
        <v/>
      </c>
      <c r="N2730" s="55" t="str">
        <f>IFERROR(IF(OR($B2730="",$B2730="(blank)"),"",VLOOKUP($B2730,'Email Marketing Raw Data'!$C:$O,6,0)),"")</f>
        <v/>
      </c>
      <c r="O2730" s="55" t="str">
        <f>IFERROR(IF(OR($B2730="",$B2730="(blank)"),"",VLOOKUP($B2730,'Email Marketing Raw Data'!$C:$O,7,0)),"")</f>
        <v/>
      </c>
      <c r="P2730" s="55" t="str">
        <f>IFERROR(IF(OR($B2730="",$B2730="(blank)"),"",VLOOKUP($B2730,'Email Marketing Raw Data'!$C:$O,8,0)),"")</f>
        <v/>
      </c>
      <c r="Q2730" s="62" t="str">
        <f>IFERROR(IF(OR($B2730="",$B2730="(blank)"),"",VLOOKUP($B2730,'Email Marketing Raw Data'!$C:$O,9,0)),"")</f>
        <v/>
      </c>
    </row>
    <row r="2731" spans="4:17" ht="12.75" customHeight="1" x14ac:dyDescent="0.2">
      <c r="D2731" s="58" t="str">
        <f>IFERROR(IF(F2731&lt;&gt;"pending","",IF(OR($B2731="",$B2731="(blank)"),"",VLOOKUP($B2731,'Email Marketing Raw Data'!$C:$O,10,0))),"")</f>
        <v/>
      </c>
      <c r="E2731" s="59" t="str">
        <f>IFERROR(IF(F2731&lt;&gt;"pending","",IF(OR($B2731="",$B2731="(blank)"),"",VLOOKUP($B2731,'Email Marketing Raw Data'!$C:$O,11,0))),"")</f>
        <v/>
      </c>
      <c r="F2731" s="54" t="str">
        <f>IFERROR(IF(OR($B2731="",$B2731="(blank)"),"",VLOOKUP($B2731,'Email Marketing Raw Data'!$C:$O,13,0)),"")</f>
        <v/>
      </c>
      <c r="G2731" s="55" t="str">
        <f>IFERROR(IF(OR($B2731="",$B2731="(blank)"),"",VLOOKUP($B2731,'Email Marketing Raw Data'!$C:$O,4,0)),"")</f>
        <v/>
      </c>
      <c r="H2731" s="55" t="str">
        <f>IFERROR(IF(OR($B2731="",$B2731="(blank)"),"",VLOOKUP($B2731,'Email Marketing Raw Data'!$C:$O,5,0)),"")</f>
        <v/>
      </c>
      <c r="I2731" s="55" t="str">
        <f>IFERROR(IF($G2731="","",VLOOKUP('Dashboard And Emails Automate'!$G2731,Database!$H:$N,3,0)),"")</f>
        <v/>
      </c>
      <c r="J2731" s="55" t="str">
        <f>IFERROR(IF($G2731="","",VLOOKUP('Dashboard And Emails Automate'!$G2731,Database!$H:$N,4,0)),"")</f>
        <v/>
      </c>
      <c r="K2731" s="55" t="str">
        <f>IFERROR(IF($G2731="","",VLOOKUP('Dashboard And Emails Automate'!$G2731,Database!$H:$N,5,0)),"")</f>
        <v/>
      </c>
      <c r="L2731" s="55" t="str">
        <f>IFERROR(IF($G2731="","",VLOOKUP('Dashboard And Emails Automate'!$G2731,Database!$H:$N,6,0)),"")</f>
        <v/>
      </c>
      <c r="M2731" s="55" t="str">
        <f>IFERROR(IF($G2731="","",VLOOKUP('Dashboard And Emails Automate'!$G2731,Database!$H:$N,7,0)),"")</f>
        <v/>
      </c>
      <c r="N2731" s="55" t="str">
        <f>IFERROR(IF(OR($B2731="",$B2731="(blank)"),"",VLOOKUP($B2731,'Email Marketing Raw Data'!$C:$O,6,0)),"")</f>
        <v/>
      </c>
      <c r="O2731" s="55" t="str">
        <f>IFERROR(IF(OR($B2731="",$B2731="(blank)"),"",VLOOKUP($B2731,'Email Marketing Raw Data'!$C:$O,7,0)),"")</f>
        <v/>
      </c>
      <c r="P2731" s="55" t="str">
        <f>IFERROR(IF(OR($B2731="",$B2731="(blank)"),"",VLOOKUP($B2731,'Email Marketing Raw Data'!$C:$O,8,0)),"")</f>
        <v/>
      </c>
      <c r="Q2731" s="62" t="str">
        <f>IFERROR(IF(OR($B2731="",$B2731="(blank)"),"",VLOOKUP($B2731,'Email Marketing Raw Data'!$C:$O,9,0)),"")</f>
        <v/>
      </c>
    </row>
    <row r="2732" spans="4:17" ht="12.75" customHeight="1" x14ac:dyDescent="0.2">
      <c r="D2732" s="58" t="str">
        <f>IFERROR(IF(F2732&lt;&gt;"pending","",IF(OR($B2732="",$B2732="(blank)"),"",VLOOKUP($B2732,'Email Marketing Raw Data'!$C:$O,10,0))),"")</f>
        <v/>
      </c>
      <c r="E2732" s="59" t="str">
        <f>IFERROR(IF(F2732&lt;&gt;"pending","",IF(OR($B2732="",$B2732="(blank)"),"",VLOOKUP($B2732,'Email Marketing Raw Data'!$C:$O,11,0))),"")</f>
        <v/>
      </c>
      <c r="F2732" s="54" t="str">
        <f>IFERROR(IF(OR($B2732="",$B2732="(blank)"),"",VLOOKUP($B2732,'Email Marketing Raw Data'!$C:$O,13,0)),"")</f>
        <v/>
      </c>
      <c r="G2732" s="55" t="str">
        <f>IFERROR(IF(OR($B2732="",$B2732="(blank)"),"",VLOOKUP($B2732,'Email Marketing Raw Data'!$C:$O,4,0)),"")</f>
        <v/>
      </c>
      <c r="H2732" s="55" t="str">
        <f>IFERROR(IF(OR($B2732="",$B2732="(blank)"),"",VLOOKUP($B2732,'Email Marketing Raw Data'!$C:$O,5,0)),"")</f>
        <v/>
      </c>
      <c r="I2732" s="55" t="str">
        <f>IFERROR(IF($G2732="","",VLOOKUP('Dashboard And Emails Automate'!$G2732,Database!$H:$N,3,0)),"")</f>
        <v/>
      </c>
      <c r="J2732" s="55" t="str">
        <f>IFERROR(IF($G2732="","",VLOOKUP('Dashboard And Emails Automate'!$G2732,Database!$H:$N,4,0)),"")</f>
        <v/>
      </c>
      <c r="K2732" s="55" t="str">
        <f>IFERROR(IF($G2732="","",VLOOKUP('Dashboard And Emails Automate'!$G2732,Database!$H:$N,5,0)),"")</f>
        <v/>
      </c>
      <c r="L2732" s="55" t="str">
        <f>IFERROR(IF($G2732="","",VLOOKUP('Dashboard And Emails Automate'!$G2732,Database!$H:$N,6,0)),"")</f>
        <v/>
      </c>
      <c r="M2732" s="55" t="str">
        <f>IFERROR(IF($G2732="","",VLOOKUP('Dashboard And Emails Automate'!$G2732,Database!$H:$N,7,0)),"")</f>
        <v/>
      </c>
      <c r="N2732" s="55" t="str">
        <f>IFERROR(IF(OR($B2732="",$B2732="(blank)"),"",VLOOKUP($B2732,'Email Marketing Raw Data'!$C:$O,6,0)),"")</f>
        <v/>
      </c>
      <c r="O2732" s="55" t="str">
        <f>IFERROR(IF(OR($B2732="",$B2732="(blank)"),"",VLOOKUP($B2732,'Email Marketing Raw Data'!$C:$O,7,0)),"")</f>
        <v/>
      </c>
      <c r="P2732" s="55" t="str">
        <f>IFERROR(IF(OR($B2732="",$B2732="(blank)"),"",VLOOKUP($B2732,'Email Marketing Raw Data'!$C:$O,8,0)),"")</f>
        <v/>
      </c>
      <c r="Q2732" s="62" t="str">
        <f>IFERROR(IF(OR($B2732="",$B2732="(blank)"),"",VLOOKUP($B2732,'Email Marketing Raw Data'!$C:$O,9,0)),"")</f>
        <v/>
      </c>
    </row>
    <row r="2733" spans="4:17" ht="12.75" customHeight="1" x14ac:dyDescent="0.2">
      <c r="D2733" s="58" t="str">
        <f>IFERROR(IF(F2733&lt;&gt;"pending","",IF(OR($B2733="",$B2733="(blank)"),"",VLOOKUP($B2733,'Email Marketing Raw Data'!$C:$O,10,0))),"")</f>
        <v/>
      </c>
      <c r="E2733" s="59" t="str">
        <f>IFERROR(IF(F2733&lt;&gt;"pending","",IF(OR($B2733="",$B2733="(blank)"),"",VLOOKUP($B2733,'Email Marketing Raw Data'!$C:$O,11,0))),"")</f>
        <v/>
      </c>
      <c r="F2733" s="54" t="str">
        <f>IFERROR(IF(OR($B2733="",$B2733="(blank)"),"",VLOOKUP($B2733,'Email Marketing Raw Data'!$C:$O,13,0)),"")</f>
        <v/>
      </c>
      <c r="G2733" s="55" t="str">
        <f>IFERROR(IF(OR($B2733="",$B2733="(blank)"),"",VLOOKUP($B2733,'Email Marketing Raw Data'!$C:$O,4,0)),"")</f>
        <v/>
      </c>
      <c r="H2733" s="55" t="str">
        <f>IFERROR(IF(OR($B2733="",$B2733="(blank)"),"",VLOOKUP($B2733,'Email Marketing Raw Data'!$C:$O,5,0)),"")</f>
        <v/>
      </c>
      <c r="I2733" s="55" t="str">
        <f>IFERROR(IF($G2733="","",VLOOKUP('Dashboard And Emails Automate'!$G2733,Database!$H:$N,3,0)),"")</f>
        <v/>
      </c>
      <c r="J2733" s="55" t="str">
        <f>IFERROR(IF($G2733="","",VLOOKUP('Dashboard And Emails Automate'!$G2733,Database!$H:$N,4,0)),"")</f>
        <v/>
      </c>
      <c r="K2733" s="55" t="str">
        <f>IFERROR(IF($G2733="","",VLOOKUP('Dashboard And Emails Automate'!$G2733,Database!$H:$N,5,0)),"")</f>
        <v/>
      </c>
      <c r="L2733" s="55" t="str">
        <f>IFERROR(IF($G2733="","",VLOOKUP('Dashboard And Emails Automate'!$G2733,Database!$H:$N,6,0)),"")</f>
        <v/>
      </c>
      <c r="M2733" s="55" t="str">
        <f>IFERROR(IF($G2733="","",VLOOKUP('Dashboard And Emails Automate'!$G2733,Database!$H:$N,7,0)),"")</f>
        <v/>
      </c>
      <c r="N2733" s="55" t="str">
        <f>IFERROR(IF(OR($B2733="",$B2733="(blank)"),"",VLOOKUP($B2733,'Email Marketing Raw Data'!$C:$O,6,0)),"")</f>
        <v/>
      </c>
      <c r="O2733" s="55" t="str">
        <f>IFERROR(IF(OR($B2733="",$B2733="(blank)"),"",VLOOKUP($B2733,'Email Marketing Raw Data'!$C:$O,7,0)),"")</f>
        <v/>
      </c>
      <c r="P2733" s="55" t="str">
        <f>IFERROR(IF(OR($B2733="",$B2733="(blank)"),"",VLOOKUP($B2733,'Email Marketing Raw Data'!$C:$O,8,0)),"")</f>
        <v/>
      </c>
      <c r="Q2733" s="62" t="str">
        <f>IFERROR(IF(OR($B2733="",$B2733="(blank)"),"",VLOOKUP($B2733,'Email Marketing Raw Data'!$C:$O,9,0)),"")</f>
        <v/>
      </c>
    </row>
    <row r="2734" spans="4:17" ht="12.75" customHeight="1" x14ac:dyDescent="0.2">
      <c r="D2734" s="58" t="str">
        <f>IFERROR(IF(F2734&lt;&gt;"pending","",IF(OR($B2734="",$B2734="(blank)"),"",VLOOKUP($B2734,'Email Marketing Raw Data'!$C:$O,10,0))),"")</f>
        <v/>
      </c>
      <c r="E2734" s="59" t="str">
        <f>IFERROR(IF(F2734&lt;&gt;"pending","",IF(OR($B2734="",$B2734="(blank)"),"",VLOOKUP($B2734,'Email Marketing Raw Data'!$C:$O,11,0))),"")</f>
        <v/>
      </c>
      <c r="F2734" s="54" t="str">
        <f>IFERROR(IF(OR($B2734="",$B2734="(blank)"),"",VLOOKUP($B2734,'Email Marketing Raw Data'!$C:$O,13,0)),"")</f>
        <v/>
      </c>
      <c r="G2734" s="55" t="str">
        <f>IFERROR(IF(OR($B2734="",$B2734="(blank)"),"",VLOOKUP($B2734,'Email Marketing Raw Data'!$C:$O,4,0)),"")</f>
        <v/>
      </c>
      <c r="H2734" s="55" t="str">
        <f>IFERROR(IF(OR($B2734="",$B2734="(blank)"),"",VLOOKUP($B2734,'Email Marketing Raw Data'!$C:$O,5,0)),"")</f>
        <v/>
      </c>
      <c r="I2734" s="55" t="str">
        <f>IFERROR(IF($G2734="","",VLOOKUP('Dashboard And Emails Automate'!$G2734,Database!$H:$N,3,0)),"")</f>
        <v/>
      </c>
      <c r="J2734" s="55" t="str">
        <f>IFERROR(IF($G2734="","",VLOOKUP('Dashboard And Emails Automate'!$G2734,Database!$H:$N,4,0)),"")</f>
        <v/>
      </c>
      <c r="K2734" s="55" t="str">
        <f>IFERROR(IF($G2734="","",VLOOKUP('Dashboard And Emails Automate'!$G2734,Database!$H:$N,5,0)),"")</f>
        <v/>
      </c>
      <c r="L2734" s="55" t="str">
        <f>IFERROR(IF($G2734="","",VLOOKUP('Dashboard And Emails Automate'!$G2734,Database!$H:$N,6,0)),"")</f>
        <v/>
      </c>
      <c r="M2734" s="55" t="str">
        <f>IFERROR(IF($G2734="","",VLOOKUP('Dashboard And Emails Automate'!$G2734,Database!$H:$N,7,0)),"")</f>
        <v/>
      </c>
      <c r="N2734" s="55" t="str">
        <f>IFERROR(IF(OR($B2734="",$B2734="(blank)"),"",VLOOKUP($B2734,'Email Marketing Raw Data'!$C:$O,6,0)),"")</f>
        <v/>
      </c>
      <c r="O2734" s="55" t="str">
        <f>IFERROR(IF(OR($B2734="",$B2734="(blank)"),"",VLOOKUP($B2734,'Email Marketing Raw Data'!$C:$O,7,0)),"")</f>
        <v/>
      </c>
      <c r="P2734" s="55" t="str">
        <f>IFERROR(IF(OR($B2734="",$B2734="(blank)"),"",VLOOKUP($B2734,'Email Marketing Raw Data'!$C:$O,8,0)),"")</f>
        <v/>
      </c>
      <c r="Q2734" s="62" t="str">
        <f>IFERROR(IF(OR($B2734="",$B2734="(blank)"),"",VLOOKUP($B2734,'Email Marketing Raw Data'!$C:$O,9,0)),"")</f>
        <v/>
      </c>
    </row>
    <row r="2735" spans="4:17" ht="12.75" customHeight="1" x14ac:dyDescent="0.2">
      <c r="D2735" s="58" t="str">
        <f>IFERROR(IF(F2735&lt;&gt;"pending","",IF(OR($B2735="",$B2735="(blank)"),"",VLOOKUP($B2735,'Email Marketing Raw Data'!$C:$O,10,0))),"")</f>
        <v/>
      </c>
      <c r="E2735" s="59" t="str">
        <f>IFERROR(IF(F2735&lt;&gt;"pending","",IF(OR($B2735="",$B2735="(blank)"),"",VLOOKUP($B2735,'Email Marketing Raw Data'!$C:$O,11,0))),"")</f>
        <v/>
      </c>
      <c r="F2735" s="54" t="str">
        <f>IFERROR(IF(OR($B2735="",$B2735="(blank)"),"",VLOOKUP($B2735,'Email Marketing Raw Data'!$C:$O,13,0)),"")</f>
        <v/>
      </c>
      <c r="G2735" s="55" t="str">
        <f>IFERROR(IF(OR($B2735="",$B2735="(blank)"),"",VLOOKUP($B2735,'Email Marketing Raw Data'!$C:$O,4,0)),"")</f>
        <v/>
      </c>
      <c r="H2735" s="55" t="str">
        <f>IFERROR(IF(OR($B2735="",$B2735="(blank)"),"",VLOOKUP($B2735,'Email Marketing Raw Data'!$C:$O,5,0)),"")</f>
        <v/>
      </c>
      <c r="I2735" s="55" t="str">
        <f>IFERROR(IF($G2735="","",VLOOKUP('Dashboard And Emails Automate'!$G2735,Database!$H:$N,3,0)),"")</f>
        <v/>
      </c>
      <c r="J2735" s="55" t="str">
        <f>IFERROR(IF($G2735="","",VLOOKUP('Dashboard And Emails Automate'!$G2735,Database!$H:$N,4,0)),"")</f>
        <v/>
      </c>
      <c r="K2735" s="55" t="str">
        <f>IFERROR(IF($G2735="","",VLOOKUP('Dashboard And Emails Automate'!$G2735,Database!$H:$N,5,0)),"")</f>
        <v/>
      </c>
      <c r="L2735" s="55" t="str">
        <f>IFERROR(IF($G2735="","",VLOOKUP('Dashboard And Emails Automate'!$G2735,Database!$H:$N,6,0)),"")</f>
        <v/>
      </c>
      <c r="M2735" s="55" t="str">
        <f>IFERROR(IF($G2735="","",VLOOKUP('Dashboard And Emails Automate'!$G2735,Database!$H:$N,7,0)),"")</f>
        <v/>
      </c>
      <c r="N2735" s="55" t="str">
        <f>IFERROR(IF(OR($B2735="",$B2735="(blank)"),"",VLOOKUP($B2735,'Email Marketing Raw Data'!$C:$O,6,0)),"")</f>
        <v/>
      </c>
      <c r="O2735" s="55" t="str">
        <f>IFERROR(IF(OR($B2735="",$B2735="(blank)"),"",VLOOKUP($B2735,'Email Marketing Raw Data'!$C:$O,7,0)),"")</f>
        <v/>
      </c>
      <c r="P2735" s="55" t="str">
        <f>IFERROR(IF(OR($B2735="",$B2735="(blank)"),"",VLOOKUP($B2735,'Email Marketing Raw Data'!$C:$O,8,0)),"")</f>
        <v/>
      </c>
      <c r="Q2735" s="62" t="str">
        <f>IFERROR(IF(OR($B2735="",$B2735="(blank)"),"",VLOOKUP($B2735,'Email Marketing Raw Data'!$C:$O,9,0)),"")</f>
        <v/>
      </c>
    </row>
    <row r="2736" spans="4:17" ht="12.75" customHeight="1" x14ac:dyDescent="0.2">
      <c r="D2736" s="58" t="str">
        <f>IFERROR(IF(F2736&lt;&gt;"pending","",IF(OR($B2736="",$B2736="(blank)"),"",VLOOKUP($B2736,'Email Marketing Raw Data'!$C:$O,10,0))),"")</f>
        <v/>
      </c>
      <c r="E2736" s="59" t="str">
        <f>IFERROR(IF(F2736&lt;&gt;"pending","",IF(OR($B2736="",$B2736="(blank)"),"",VLOOKUP($B2736,'Email Marketing Raw Data'!$C:$O,11,0))),"")</f>
        <v/>
      </c>
      <c r="F2736" s="54" t="str">
        <f>IFERROR(IF(OR($B2736="",$B2736="(blank)"),"",VLOOKUP($B2736,'Email Marketing Raw Data'!$C:$O,13,0)),"")</f>
        <v/>
      </c>
      <c r="G2736" s="55" t="str">
        <f>IFERROR(IF(OR($B2736="",$B2736="(blank)"),"",VLOOKUP($B2736,'Email Marketing Raw Data'!$C:$O,4,0)),"")</f>
        <v/>
      </c>
      <c r="H2736" s="55" t="str">
        <f>IFERROR(IF(OR($B2736="",$B2736="(blank)"),"",VLOOKUP($B2736,'Email Marketing Raw Data'!$C:$O,5,0)),"")</f>
        <v/>
      </c>
      <c r="I2736" s="55" t="str">
        <f>IFERROR(IF($G2736="","",VLOOKUP('Dashboard And Emails Automate'!$G2736,Database!$H:$N,3,0)),"")</f>
        <v/>
      </c>
      <c r="J2736" s="55" t="str">
        <f>IFERROR(IF($G2736="","",VLOOKUP('Dashboard And Emails Automate'!$G2736,Database!$H:$N,4,0)),"")</f>
        <v/>
      </c>
      <c r="K2736" s="55" t="str">
        <f>IFERROR(IF($G2736="","",VLOOKUP('Dashboard And Emails Automate'!$G2736,Database!$H:$N,5,0)),"")</f>
        <v/>
      </c>
      <c r="L2736" s="55" t="str">
        <f>IFERROR(IF($G2736="","",VLOOKUP('Dashboard And Emails Automate'!$G2736,Database!$H:$N,6,0)),"")</f>
        <v/>
      </c>
      <c r="M2736" s="55" t="str">
        <f>IFERROR(IF($G2736="","",VLOOKUP('Dashboard And Emails Automate'!$G2736,Database!$H:$N,7,0)),"")</f>
        <v/>
      </c>
      <c r="N2736" s="55" t="str">
        <f>IFERROR(IF(OR($B2736="",$B2736="(blank)"),"",VLOOKUP($B2736,'Email Marketing Raw Data'!$C:$O,6,0)),"")</f>
        <v/>
      </c>
      <c r="O2736" s="55" t="str">
        <f>IFERROR(IF(OR($B2736="",$B2736="(blank)"),"",VLOOKUP($B2736,'Email Marketing Raw Data'!$C:$O,7,0)),"")</f>
        <v/>
      </c>
      <c r="P2736" s="55" t="str">
        <f>IFERROR(IF(OR($B2736="",$B2736="(blank)"),"",VLOOKUP($B2736,'Email Marketing Raw Data'!$C:$O,8,0)),"")</f>
        <v/>
      </c>
      <c r="Q2736" s="62" t="str">
        <f>IFERROR(IF(OR($B2736="",$B2736="(blank)"),"",VLOOKUP($B2736,'Email Marketing Raw Data'!$C:$O,9,0)),"")</f>
        <v/>
      </c>
    </row>
    <row r="2737" spans="4:17" ht="12.75" customHeight="1" x14ac:dyDescent="0.2">
      <c r="D2737" s="58" t="str">
        <f>IFERROR(IF(F2737&lt;&gt;"pending","",IF(OR($B2737="",$B2737="(blank)"),"",VLOOKUP($B2737,'Email Marketing Raw Data'!$C:$O,10,0))),"")</f>
        <v/>
      </c>
      <c r="E2737" s="59" t="str">
        <f>IFERROR(IF(F2737&lt;&gt;"pending","",IF(OR($B2737="",$B2737="(blank)"),"",VLOOKUP($B2737,'Email Marketing Raw Data'!$C:$O,11,0))),"")</f>
        <v/>
      </c>
      <c r="F2737" s="54" t="str">
        <f>IFERROR(IF(OR($B2737="",$B2737="(blank)"),"",VLOOKUP($B2737,'Email Marketing Raw Data'!$C:$O,13,0)),"")</f>
        <v/>
      </c>
      <c r="G2737" s="55" t="str">
        <f>IFERROR(IF(OR($B2737="",$B2737="(blank)"),"",VLOOKUP($B2737,'Email Marketing Raw Data'!$C:$O,4,0)),"")</f>
        <v/>
      </c>
      <c r="H2737" s="55" t="str">
        <f>IFERROR(IF(OR($B2737="",$B2737="(blank)"),"",VLOOKUP($B2737,'Email Marketing Raw Data'!$C:$O,5,0)),"")</f>
        <v/>
      </c>
      <c r="I2737" s="55" t="str">
        <f>IFERROR(IF($G2737="","",VLOOKUP('Dashboard And Emails Automate'!$G2737,Database!$H:$N,3,0)),"")</f>
        <v/>
      </c>
      <c r="J2737" s="55" t="str">
        <f>IFERROR(IF($G2737="","",VLOOKUP('Dashboard And Emails Automate'!$G2737,Database!$H:$N,4,0)),"")</f>
        <v/>
      </c>
      <c r="K2737" s="55" t="str">
        <f>IFERROR(IF($G2737="","",VLOOKUP('Dashboard And Emails Automate'!$G2737,Database!$H:$N,5,0)),"")</f>
        <v/>
      </c>
      <c r="L2737" s="55" t="str">
        <f>IFERROR(IF($G2737="","",VLOOKUP('Dashboard And Emails Automate'!$G2737,Database!$H:$N,6,0)),"")</f>
        <v/>
      </c>
      <c r="M2737" s="55" t="str">
        <f>IFERROR(IF($G2737="","",VLOOKUP('Dashboard And Emails Automate'!$G2737,Database!$H:$N,7,0)),"")</f>
        <v/>
      </c>
      <c r="N2737" s="55" t="str">
        <f>IFERROR(IF(OR($B2737="",$B2737="(blank)"),"",VLOOKUP($B2737,'Email Marketing Raw Data'!$C:$O,6,0)),"")</f>
        <v/>
      </c>
      <c r="O2737" s="55" t="str">
        <f>IFERROR(IF(OR($B2737="",$B2737="(blank)"),"",VLOOKUP($B2737,'Email Marketing Raw Data'!$C:$O,7,0)),"")</f>
        <v/>
      </c>
      <c r="P2737" s="55" t="str">
        <f>IFERROR(IF(OR($B2737="",$B2737="(blank)"),"",VLOOKUP($B2737,'Email Marketing Raw Data'!$C:$O,8,0)),"")</f>
        <v/>
      </c>
      <c r="Q2737" s="62" t="str">
        <f>IFERROR(IF(OR($B2737="",$B2737="(blank)"),"",VLOOKUP($B2737,'Email Marketing Raw Data'!$C:$O,9,0)),"")</f>
        <v/>
      </c>
    </row>
    <row r="2738" spans="4:17" ht="12.75" customHeight="1" x14ac:dyDescent="0.2">
      <c r="D2738" s="58" t="str">
        <f>IFERROR(IF(F2738&lt;&gt;"pending","",IF(OR($B2738="",$B2738="(blank)"),"",VLOOKUP($B2738,'Email Marketing Raw Data'!$C:$O,10,0))),"")</f>
        <v/>
      </c>
      <c r="E2738" s="59" t="str">
        <f>IFERROR(IF(F2738&lt;&gt;"pending","",IF(OR($B2738="",$B2738="(blank)"),"",VLOOKUP($B2738,'Email Marketing Raw Data'!$C:$O,11,0))),"")</f>
        <v/>
      </c>
      <c r="F2738" s="54" t="str">
        <f>IFERROR(IF(OR($B2738="",$B2738="(blank)"),"",VLOOKUP($B2738,'Email Marketing Raw Data'!$C:$O,13,0)),"")</f>
        <v/>
      </c>
      <c r="G2738" s="55" t="str">
        <f>IFERROR(IF(OR($B2738="",$B2738="(blank)"),"",VLOOKUP($B2738,'Email Marketing Raw Data'!$C:$O,4,0)),"")</f>
        <v/>
      </c>
      <c r="H2738" s="55" t="str">
        <f>IFERROR(IF(OR($B2738="",$B2738="(blank)"),"",VLOOKUP($B2738,'Email Marketing Raw Data'!$C:$O,5,0)),"")</f>
        <v/>
      </c>
      <c r="I2738" s="55" t="str">
        <f>IFERROR(IF($G2738="","",VLOOKUP('Dashboard And Emails Automate'!$G2738,Database!$H:$N,3,0)),"")</f>
        <v/>
      </c>
      <c r="J2738" s="55" t="str">
        <f>IFERROR(IF($G2738="","",VLOOKUP('Dashboard And Emails Automate'!$G2738,Database!$H:$N,4,0)),"")</f>
        <v/>
      </c>
      <c r="K2738" s="55" t="str">
        <f>IFERROR(IF($G2738="","",VLOOKUP('Dashboard And Emails Automate'!$G2738,Database!$H:$N,5,0)),"")</f>
        <v/>
      </c>
      <c r="L2738" s="55" t="str">
        <f>IFERROR(IF($G2738="","",VLOOKUP('Dashboard And Emails Automate'!$G2738,Database!$H:$N,6,0)),"")</f>
        <v/>
      </c>
      <c r="M2738" s="55" t="str">
        <f>IFERROR(IF($G2738="","",VLOOKUP('Dashboard And Emails Automate'!$G2738,Database!$H:$N,7,0)),"")</f>
        <v/>
      </c>
      <c r="N2738" s="55" t="str">
        <f>IFERROR(IF(OR($B2738="",$B2738="(blank)"),"",VLOOKUP($B2738,'Email Marketing Raw Data'!$C:$O,6,0)),"")</f>
        <v/>
      </c>
      <c r="O2738" s="55" t="str">
        <f>IFERROR(IF(OR($B2738="",$B2738="(blank)"),"",VLOOKUP($B2738,'Email Marketing Raw Data'!$C:$O,7,0)),"")</f>
        <v/>
      </c>
      <c r="P2738" s="55" t="str">
        <f>IFERROR(IF(OR($B2738="",$B2738="(blank)"),"",VLOOKUP($B2738,'Email Marketing Raw Data'!$C:$O,8,0)),"")</f>
        <v/>
      </c>
      <c r="Q2738" s="62" t="str">
        <f>IFERROR(IF(OR($B2738="",$B2738="(blank)"),"",VLOOKUP($B2738,'Email Marketing Raw Data'!$C:$O,9,0)),"")</f>
        <v/>
      </c>
    </row>
    <row r="2739" spans="4:17" ht="12.75" customHeight="1" x14ac:dyDescent="0.2">
      <c r="D2739" s="58" t="str">
        <f>IFERROR(IF(F2739&lt;&gt;"pending","",IF(OR($B2739="",$B2739="(blank)"),"",VLOOKUP($B2739,'Email Marketing Raw Data'!$C:$O,10,0))),"")</f>
        <v/>
      </c>
      <c r="E2739" s="59" t="str">
        <f>IFERROR(IF(F2739&lt;&gt;"pending","",IF(OR($B2739="",$B2739="(blank)"),"",VLOOKUP($B2739,'Email Marketing Raw Data'!$C:$O,11,0))),"")</f>
        <v/>
      </c>
      <c r="F2739" s="54" t="str">
        <f>IFERROR(IF(OR($B2739="",$B2739="(blank)"),"",VLOOKUP($B2739,'Email Marketing Raw Data'!$C:$O,13,0)),"")</f>
        <v/>
      </c>
      <c r="G2739" s="55" t="str">
        <f>IFERROR(IF(OR($B2739="",$B2739="(blank)"),"",VLOOKUP($B2739,'Email Marketing Raw Data'!$C:$O,4,0)),"")</f>
        <v/>
      </c>
      <c r="H2739" s="55" t="str">
        <f>IFERROR(IF(OR($B2739="",$B2739="(blank)"),"",VLOOKUP($B2739,'Email Marketing Raw Data'!$C:$O,5,0)),"")</f>
        <v/>
      </c>
      <c r="I2739" s="55" t="str">
        <f>IFERROR(IF($G2739="","",VLOOKUP('Dashboard And Emails Automate'!$G2739,Database!$H:$N,3,0)),"")</f>
        <v/>
      </c>
      <c r="J2739" s="55" t="str">
        <f>IFERROR(IF($G2739="","",VLOOKUP('Dashboard And Emails Automate'!$G2739,Database!$H:$N,4,0)),"")</f>
        <v/>
      </c>
      <c r="K2739" s="55" t="str">
        <f>IFERROR(IF($G2739="","",VLOOKUP('Dashboard And Emails Automate'!$G2739,Database!$H:$N,5,0)),"")</f>
        <v/>
      </c>
      <c r="L2739" s="55" t="str">
        <f>IFERROR(IF($G2739="","",VLOOKUP('Dashboard And Emails Automate'!$G2739,Database!$H:$N,6,0)),"")</f>
        <v/>
      </c>
      <c r="M2739" s="55" t="str">
        <f>IFERROR(IF($G2739="","",VLOOKUP('Dashboard And Emails Automate'!$G2739,Database!$H:$N,7,0)),"")</f>
        <v/>
      </c>
      <c r="N2739" s="55" t="str">
        <f>IFERROR(IF(OR($B2739="",$B2739="(blank)"),"",VLOOKUP($B2739,'Email Marketing Raw Data'!$C:$O,6,0)),"")</f>
        <v/>
      </c>
      <c r="O2739" s="55" t="str">
        <f>IFERROR(IF(OR($B2739="",$B2739="(blank)"),"",VLOOKUP($B2739,'Email Marketing Raw Data'!$C:$O,7,0)),"")</f>
        <v/>
      </c>
      <c r="P2739" s="55" t="str">
        <f>IFERROR(IF(OR($B2739="",$B2739="(blank)"),"",VLOOKUP($B2739,'Email Marketing Raw Data'!$C:$O,8,0)),"")</f>
        <v/>
      </c>
      <c r="Q2739" s="62" t="str">
        <f>IFERROR(IF(OR($B2739="",$B2739="(blank)"),"",VLOOKUP($B2739,'Email Marketing Raw Data'!$C:$O,9,0)),"")</f>
        <v/>
      </c>
    </row>
    <row r="2740" spans="4:17" ht="12.75" customHeight="1" x14ac:dyDescent="0.2">
      <c r="D2740" s="58" t="str">
        <f>IFERROR(IF(F2740&lt;&gt;"pending","",IF(OR($B2740="",$B2740="(blank)"),"",VLOOKUP($B2740,'Email Marketing Raw Data'!$C:$O,10,0))),"")</f>
        <v/>
      </c>
      <c r="E2740" s="59" t="str">
        <f>IFERROR(IF(F2740&lt;&gt;"pending","",IF(OR($B2740="",$B2740="(blank)"),"",VLOOKUP($B2740,'Email Marketing Raw Data'!$C:$O,11,0))),"")</f>
        <v/>
      </c>
      <c r="F2740" s="54" t="str">
        <f>IFERROR(IF(OR($B2740="",$B2740="(blank)"),"",VLOOKUP($B2740,'Email Marketing Raw Data'!$C:$O,13,0)),"")</f>
        <v/>
      </c>
      <c r="G2740" s="55" t="str">
        <f>IFERROR(IF(OR($B2740="",$B2740="(blank)"),"",VLOOKUP($B2740,'Email Marketing Raw Data'!$C:$O,4,0)),"")</f>
        <v/>
      </c>
      <c r="H2740" s="55" t="str">
        <f>IFERROR(IF(OR($B2740="",$B2740="(blank)"),"",VLOOKUP($B2740,'Email Marketing Raw Data'!$C:$O,5,0)),"")</f>
        <v/>
      </c>
      <c r="I2740" s="55" t="str">
        <f>IFERROR(IF($G2740="","",VLOOKUP('Dashboard And Emails Automate'!$G2740,Database!$H:$N,3,0)),"")</f>
        <v/>
      </c>
      <c r="J2740" s="55" t="str">
        <f>IFERROR(IF($G2740="","",VLOOKUP('Dashboard And Emails Automate'!$G2740,Database!$H:$N,4,0)),"")</f>
        <v/>
      </c>
      <c r="K2740" s="55" t="str">
        <f>IFERROR(IF($G2740="","",VLOOKUP('Dashboard And Emails Automate'!$G2740,Database!$H:$N,5,0)),"")</f>
        <v/>
      </c>
      <c r="L2740" s="55" t="str">
        <f>IFERROR(IF($G2740="","",VLOOKUP('Dashboard And Emails Automate'!$G2740,Database!$H:$N,6,0)),"")</f>
        <v/>
      </c>
      <c r="M2740" s="55" t="str">
        <f>IFERROR(IF($G2740="","",VLOOKUP('Dashboard And Emails Automate'!$G2740,Database!$H:$N,7,0)),"")</f>
        <v/>
      </c>
      <c r="N2740" s="55" t="str">
        <f>IFERROR(IF(OR($B2740="",$B2740="(blank)"),"",VLOOKUP($B2740,'Email Marketing Raw Data'!$C:$O,6,0)),"")</f>
        <v/>
      </c>
      <c r="O2740" s="55" t="str">
        <f>IFERROR(IF(OR($B2740="",$B2740="(blank)"),"",VLOOKUP($B2740,'Email Marketing Raw Data'!$C:$O,7,0)),"")</f>
        <v/>
      </c>
      <c r="P2740" s="55" t="str">
        <f>IFERROR(IF(OR($B2740="",$B2740="(blank)"),"",VLOOKUP($B2740,'Email Marketing Raw Data'!$C:$O,8,0)),"")</f>
        <v/>
      </c>
      <c r="Q2740" s="62" t="str">
        <f>IFERROR(IF(OR($B2740="",$B2740="(blank)"),"",VLOOKUP($B2740,'Email Marketing Raw Data'!$C:$O,9,0)),"")</f>
        <v/>
      </c>
    </row>
    <row r="2741" spans="4:17" ht="12.75" customHeight="1" x14ac:dyDescent="0.2">
      <c r="D2741" s="58" t="str">
        <f>IFERROR(IF(F2741&lt;&gt;"pending","",IF(OR($B2741="",$B2741="(blank)"),"",VLOOKUP($B2741,'Email Marketing Raw Data'!$C:$O,10,0))),"")</f>
        <v/>
      </c>
      <c r="E2741" s="59" t="str">
        <f>IFERROR(IF(F2741&lt;&gt;"pending","",IF(OR($B2741="",$B2741="(blank)"),"",VLOOKUP($B2741,'Email Marketing Raw Data'!$C:$O,11,0))),"")</f>
        <v/>
      </c>
      <c r="F2741" s="54" t="str">
        <f>IFERROR(IF(OR($B2741="",$B2741="(blank)"),"",VLOOKUP($B2741,'Email Marketing Raw Data'!$C:$O,13,0)),"")</f>
        <v/>
      </c>
      <c r="G2741" s="55" t="str">
        <f>IFERROR(IF(OR($B2741="",$B2741="(blank)"),"",VLOOKUP($B2741,'Email Marketing Raw Data'!$C:$O,4,0)),"")</f>
        <v/>
      </c>
      <c r="H2741" s="55" t="str">
        <f>IFERROR(IF(OR($B2741="",$B2741="(blank)"),"",VLOOKUP($B2741,'Email Marketing Raw Data'!$C:$O,5,0)),"")</f>
        <v/>
      </c>
      <c r="I2741" s="55" t="str">
        <f>IFERROR(IF($G2741="","",VLOOKUP('Dashboard And Emails Automate'!$G2741,Database!$H:$N,3,0)),"")</f>
        <v/>
      </c>
      <c r="J2741" s="55" t="str">
        <f>IFERROR(IF($G2741="","",VLOOKUP('Dashboard And Emails Automate'!$G2741,Database!$H:$N,4,0)),"")</f>
        <v/>
      </c>
      <c r="K2741" s="55" t="str">
        <f>IFERROR(IF($G2741="","",VLOOKUP('Dashboard And Emails Automate'!$G2741,Database!$H:$N,5,0)),"")</f>
        <v/>
      </c>
      <c r="L2741" s="55" t="str">
        <f>IFERROR(IF($G2741="","",VLOOKUP('Dashboard And Emails Automate'!$G2741,Database!$H:$N,6,0)),"")</f>
        <v/>
      </c>
      <c r="M2741" s="55" t="str">
        <f>IFERROR(IF($G2741="","",VLOOKUP('Dashboard And Emails Automate'!$G2741,Database!$H:$N,7,0)),"")</f>
        <v/>
      </c>
      <c r="N2741" s="55" t="str">
        <f>IFERROR(IF(OR($B2741="",$B2741="(blank)"),"",VLOOKUP($B2741,'Email Marketing Raw Data'!$C:$O,6,0)),"")</f>
        <v/>
      </c>
      <c r="O2741" s="55" t="str">
        <f>IFERROR(IF(OR($B2741="",$B2741="(blank)"),"",VLOOKUP($B2741,'Email Marketing Raw Data'!$C:$O,7,0)),"")</f>
        <v/>
      </c>
      <c r="P2741" s="55" t="str">
        <f>IFERROR(IF(OR($B2741="",$B2741="(blank)"),"",VLOOKUP($B2741,'Email Marketing Raw Data'!$C:$O,8,0)),"")</f>
        <v/>
      </c>
      <c r="Q2741" s="62" t="str">
        <f>IFERROR(IF(OR($B2741="",$B2741="(blank)"),"",VLOOKUP($B2741,'Email Marketing Raw Data'!$C:$O,9,0)),"")</f>
        <v/>
      </c>
    </row>
    <row r="2742" spans="4:17" ht="12.75" customHeight="1" x14ac:dyDescent="0.2">
      <c r="D2742" s="58" t="str">
        <f>IFERROR(IF(F2742&lt;&gt;"pending","",IF(OR($B2742="",$B2742="(blank)"),"",VLOOKUP($B2742,'Email Marketing Raw Data'!$C:$O,10,0))),"")</f>
        <v/>
      </c>
      <c r="E2742" s="59" t="str">
        <f>IFERROR(IF(F2742&lt;&gt;"pending","",IF(OR($B2742="",$B2742="(blank)"),"",VLOOKUP($B2742,'Email Marketing Raw Data'!$C:$O,11,0))),"")</f>
        <v/>
      </c>
      <c r="F2742" s="54" t="str">
        <f>IFERROR(IF(OR($B2742="",$B2742="(blank)"),"",VLOOKUP($B2742,'Email Marketing Raw Data'!$C:$O,13,0)),"")</f>
        <v/>
      </c>
      <c r="G2742" s="55" t="str">
        <f>IFERROR(IF(OR($B2742="",$B2742="(blank)"),"",VLOOKUP($B2742,'Email Marketing Raw Data'!$C:$O,4,0)),"")</f>
        <v/>
      </c>
      <c r="H2742" s="55" t="str">
        <f>IFERROR(IF(OR($B2742="",$B2742="(blank)"),"",VLOOKUP($B2742,'Email Marketing Raw Data'!$C:$O,5,0)),"")</f>
        <v/>
      </c>
      <c r="I2742" s="55" t="str">
        <f>IFERROR(IF($G2742="","",VLOOKUP('Dashboard And Emails Automate'!$G2742,Database!$H:$N,3,0)),"")</f>
        <v/>
      </c>
      <c r="J2742" s="55" t="str">
        <f>IFERROR(IF($G2742="","",VLOOKUP('Dashboard And Emails Automate'!$G2742,Database!$H:$N,4,0)),"")</f>
        <v/>
      </c>
      <c r="K2742" s="55" t="str">
        <f>IFERROR(IF($G2742="","",VLOOKUP('Dashboard And Emails Automate'!$G2742,Database!$H:$N,5,0)),"")</f>
        <v/>
      </c>
      <c r="L2742" s="55" t="str">
        <f>IFERROR(IF($G2742="","",VLOOKUP('Dashboard And Emails Automate'!$G2742,Database!$H:$N,6,0)),"")</f>
        <v/>
      </c>
      <c r="M2742" s="55" t="str">
        <f>IFERROR(IF($G2742="","",VLOOKUP('Dashboard And Emails Automate'!$G2742,Database!$H:$N,7,0)),"")</f>
        <v/>
      </c>
      <c r="N2742" s="55" t="str">
        <f>IFERROR(IF(OR($B2742="",$B2742="(blank)"),"",VLOOKUP($B2742,'Email Marketing Raw Data'!$C:$O,6,0)),"")</f>
        <v/>
      </c>
      <c r="O2742" s="55" t="str">
        <f>IFERROR(IF(OR($B2742="",$B2742="(blank)"),"",VLOOKUP($B2742,'Email Marketing Raw Data'!$C:$O,7,0)),"")</f>
        <v/>
      </c>
      <c r="P2742" s="55" t="str">
        <f>IFERROR(IF(OR($B2742="",$B2742="(blank)"),"",VLOOKUP($B2742,'Email Marketing Raw Data'!$C:$O,8,0)),"")</f>
        <v/>
      </c>
      <c r="Q2742" s="62" t="str">
        <f>IFERROR(IF(OR($B2742="",$B2742="(blank)"),"",VLOOKUP($B2742,'Email Marketing Raw Data'!$C:$O,9,0)),"")</f>
        <v/>
      </c>
    </row>
    <row r="2743" spans="4:17" ht="12.75" customHeight="1" x14ac:dyDescent="0.2">
      <c r="D2743" s="58" t="str">
        <f>IFERROR(IF(F2743&lt;&gt;"pending","",IF(OR($B2743="",$B2743="(blank)"),"",VLOOKUP($B2743,'Email Marketing Raw Data'!$C:$O,10,0))),"")</f>
        <v/>
      </c>
      <c r="E2743" s="59" t="str">
        <f>IFERROR(IF(F2743&lt;&gt;"pending","",IF(OR($B2743="",$B2743="(blank)"),"",VLOOKUP($B2743,'Email Marketing Raw Data'!$C:$O,11,0))),"")</f>
        <v/>
      </c>
      <c r="F2743" s="54" t="str">
        <f>IFERROR(IF(OR($B2743="",$B2743="(blank)"),"",VLOOKUP($B2743,'Email Marketing Raw Data'!$C:$O,13,0)),"")</f>
        <v/>
      </c>
      <c r="G2743" s="55" t="str">
        <f>IFERROR(IF(OR($B2743="",$B2743="(blank)"),"",VLOOKUP($B2743,'Email Marketing Raw Data'!$C:$O,4,0)),"")</f>
        <v/>
      </c>
      <c r="H2743" s="55" t="str">
        <f>IFERROR(IF(OR($B2743="",$B2743="(blank)"),"",VLOOKUP($B2743,'Email Marketing Raw Data'!$C:$O,5,0)),"")</f>
        <v/>
      </c>
      <c r="I2743" s="55" t="str">
        <f>IFERROR(IF($G2743="","",VLOOKUP('Dashboard And Emails Automate'!$G2743,Database!$H:$N,3,0)),"")</f>
        <v/>
      </c>
      <c r="J2743" s="55" t="str">
        <f>IFERROR(IF($G2743="","",VLOOKUP('Dashboard And Emails Automate'!$G2743,Database!$H:$N,4,0)),"")</f>
        <v/>
      </c>
      <c r="K2743" s="55" t="str">
        <f>IFERROR(IF($G2743="","",VLOOKUP('Dashboard And Emails Automate'!$G2743,Database!$H:$N,5,0)),"")</f>
        <v/>
      </c>
      <c r="L2743" s="55" t="str">
        <f>IFERROR(IF($G2743="","",VLOOKUP('Dashboard And Emails Automate'!$G2743,Database!$H:$N,6,0)),"")</f>
        <v/>
      </c>
      <c r="M2743" s="55" t="str">
        <f>IFERROR(IF($G2743="","",VLOOKUP('Dashboard And Emails Automate'!$G2743,Database!$H:$N,7,0)),"")</f>
        <v/>
      </c>
      <c r="N2743" s="55" t="str">
        <f>IFERROR(IF(OR($B2743="",$B2743="(blank)"),"",VLOOKUP($B2743,'Email Marketing Raw Data'!$C:$O,6,0)),"")</f>
        <v/>
      </c>
      <c r="O2743" s="55" t="str">
        <f>IFERROR(IF(OR($B2743="",$B2743="(blank)"),"",VLOOKUP($B2743,'Email Marketing Raw Data'!$C:$O,7,0)),"")</f>
        <v/>
      </c>
      <c r="P2743" s="55" t="str">
        <f>IFERROR(IF(OR($B2743="",$B2743="(blank)"),"",VLOOKUP($B2743,'Email Marketing Raw Data'!$C:$O,8,0)),"")</f>
        <v/>
      </c>
      <c r="Q2743" s="62" t="str">
        <f>IFERROR(IF(OR($B2743="",$B2743="(blank)"),"",VLOOKUP($B2743,'Email Marketing Raw Data'!$C:$O,9,0)),"")</f>
        <v/>
      </c>
    </row>
    <row r="2744" spans="4:17" ht="12.75" customHeight="1" x14ac:dyDescent="0.2">
      <c r="D2744" s="58" t="str">
        <f>IFERROR(IF(F2744&lt;&gt;"pending","",IF(OR($B2744="",$B2744="(blank)"),"",VLOOKUP($B2744,'Email Marketing Raw Data'!$C:$O,10,0))),"")</f>
        <v/>
      </c>
      <c r="E2744" s="59" t="str">
        <f>IFERROR(IF(F2744&lt;&gt;"pending","",IF(OR($B2744="",$B2744="(blank)"),"",VLOOKUP($B2744,'Email Marketing Raw Data'!$C:$O,11,0))),"")</f>
        <v/>
      </c>
      <c r="F2744" s="54" t="str">
        <f>IFERROR(IF(OR($B2744="",$B2744="(blank)"),"",VLOOKUP($B2744,'Email Marketing Raw Data'!$C:$O,13,0)),"")</f>
        <v/>
      </c>
      <c r="G2744" s="55" t="str">
        <f>IFERROR(IF(OR($B2744="",$B2744="(blank)"),"",VLOOKUP($B2744,'Email Marketing Raw Data'!$C:$O,4,0)),"")</f>
        <v/>
      </c>
      <c r="H2744" s="55" t="str">
        <f>IFERROR(IF(OR($B2744="",$B2744="(blank)"),"",VLOOKUP($B2744,'Email Marketing Raw Data'!$C:$O,5,0)),"")</f>
        <v/>
      </c>
      <c r="I2744" s="55" t="str">
        <f>IFERROR(IF($G2744="","",VLOOKUP('Dashboard And Emails Automate'!$G2744,Database!$H:$N,3,0)),"")</f>
        <v/>
      </c>
      <c r="J2744" s="55" t="str">
        <f>IFERROR(IF($G2744="","",VLOOKUP('Dashboard And Emails Automate'!$G2744,Database!$H:$N,4,0)),"")</f>
        <v/>
      </c>
      <c r="K2744" s="55" t="str">
        <f>IFERROR(IF($G2744="","",VLOOKUP('Dashboard And Emails Automate'!$G2744,Database!$H:$N,5,0)),"")</f>
        <v/>
      </c>
      <c r="L2744" s="55" t="str">
        <f>IFERROR(IF($G2744="","",VLOOKUP('Dashboard And Emails Automate'!$G2744,Database!$H:$N,6,0)),"")</f>
        <v/>
      </c>
      <c r="M2744" s="55" t="str">
        <f>IFERROR(IF($G2744="","",VLOOKUP('Dashboard And Emails Automate'!$G2744,Database!$H:$N,7,0)),"")</f>
        <v/>
      </c>
      <c r="N2744" s="55" t="str">
        <f>IFERROR(IF(OR($B2744="",$B2744="(blank)"),"",VLOOKUP($B2744,'Email Marketing Raw Data'!$C:$O,6,0)),"")</f>
        <v/>
      </c>
      <c r="O2744" s="55" t="str">
        <f>IFERROR(IF(OR($B2744="",$B2744="(blank)"),"",VLOOKUP($B2744,'Email Marketing Raw Data'!$C:$O,7,0)),"")</f>
        <v/>
      </c>
      <c r="P2744" s="55" t="str">
        <f>IFERROR(IF(OR($B2744="",$B2744="(blank)"),"",VLOOKUP($B2744,'Email Marketing Raw Data'!$C:$O,8,0)),"")</f>
        <v/>
      </c>
      <c r="Q2744" s="62" t="str">
        <f>IFERROR(IF(OR($B2744="",$B2744="(blank)"),"",VLOOKUP($B2744,'Email Marketing Raw Data'!$C:$O,9,0)),"")</f>
        <v/>
      </c>
    </row>
    <row r="2745" spans="4:17" ht="12.75" customHeight="1" x14ac:dyDescent="0.2">
      <c r="D2745" s="58" t="str">
        <f>IFERROR(IF(F2745&lt;&gt;"pending","",IF(OR($B2745="",$B2745="(blank)"),"",VLOOKUP($B2745,'Email Marketing Raw Data'!$C:$O,10,0))),"")</f>
        <v/>
      </c>
      <c r="E2745" s="59" t="str">
        <f>IFERROR(IF(F2745&lt;&gt;"pending","",IF(OR($B2745="",$B2745="(blank)"),"",VLOOKUP($B2745,'Email Marketing Raw Data'!$C:$O,11,0))),"")</f>
        <v/>
      </c>
      <c r="F2745" s="54" t="str">
        <f>IFERROR(IF(OR($B2745="",$B2745="(blank)"),"",VLOOKUP($B2745,'Email Marketing Raw Data'!$C:$O,13,0)),"")</f>
        <v/>
      </c>
      <c r="G2745" s="55" t="str">
        <f>IFERROR(IF(OR($B2745="",$B2745="(blank)"),"",VLOOKUP($B2745,'Email Marketing Raw Data'!$C:$O,4,0)),"")</f>
        <v/>
      </c>
      <c r="H2745" s="55" t="str">
        <f>IFERROR(IF(OR($B2745="",$B2745="(blank)"),"",VLOOKUP($B2745,'Email Marketing Raw Data'!$C:$O,5,0)),"")</f>
        <v/>
      </c>
      <c r="I2745" s="55" t="str">
        <f>IFERROR(IF($G2745="","",VLOOKUP('Dashboard And Emails Automate'!$G2745,Database!$H:$N,3,0)),"")</f>
        <v/>
      </c>
      <c r="J2745" s="55" t="str">
        <f>IFERROR(IF($G2745="","",VLOOKUP('Dashboard And Emails Automate'!$G2745,Database!$H:$N,4,0)),"")</f>
        <v/>
      </c>
      <c r="K2745" s="55" t="str">
        <f>IFERROR(IF($G2745="","",VLOOKUP('Dashboard And Emails Automate'!$G2745,Database!$H:$N,5,0)),"")</f>
        <v/>
      </c>
      <c r="L2745" s="55" t="str">
        <f>IFERROR(IF($G2745="","",VLOOKUP('Dashboard And Emails Automate'!$G2745,Database!$H:$N,6,0)),"")</f>
        <v/>
      </c>
      <c r="M2745" s="55" t="str">
        <f>IFERROR(IF($G2745="","",VLOOKUP('Dashboard And Emails Automate'!$G2745,Database!$H:$N,7,0)),"")</f>
        <v/>
      </c>
      <c r="N2745" s="55" t="str">
        <f>IFERROR(IF(OR($B2745="",$B2745="(blank)"),"",VLOOKUP($B2745,'Email Marketing Raw Data'!$C:$O,6,0)),"")</f>
        <v/>
      </c>
      <c r="O2745" s="55" t="str">
        <f>IFERROR(IF(OR($B2745="",$B2745="(blank)"),"",VLOOKUP($B2745,'Email Marketing Raw Data'!$C:$O,7,0)),"")</f>
        <v/>
      </c>
      <c r="P2745" s="55" t="str">
        <f>IFERROR(IF(OR($B2745="",$B2745="(blank)"),"",VLOOKUP($B2745,'Email Marketing Raw Data'!$C:$O,8,0)),"")</f>
        <v/>
      </c>
      <c r="Q2745" s="62" t="str">
        <f>IFERROR(IF(OR($B2745="",$B2745="(blank)"),"",VLOOKUP($B2745,'Email Marketing Raw Data'!$C:$O,9,0)),"")</f>
        <v/>
      </c>
    </row>
    <row r="2746" spans="4:17" ht="12.75" customHeight="1" x14ac:dyDescent="0.2">
      <c r="D2746" s="58" t="str">
        <f>IFERROR(IF(F2746&lt;&gt;"pending","",IF(OR($B2746="",$B2746="(blank)"),"",VLOOKUP($B2746,'Email Marketing Raw Data'!$C:$O,10,0))),"")</f>
        <v/>
      </c>
      <c r="E2746" s="59" t="str">
        <f>IFERROR(IF(F2746&lt;&gt;"pending","",IF(OR($B2746="",$B2746="(blank)"),"",VLOOKUP($B2746,'Email Marketing Raw Data'!$C:$O,11,0))),"")</f>
        <v/>
      </c>
      <c r="F2746" s="54" t="str">
        <f>IFERROR(IF(OR($B2746="",$B2746="(blank)"),"",VLOOKUP($B2746,'Email Marketing Raw Data'!$C:$O,13,0)),"")</f>
        <v/>
      </c>
      <c r="G2746" s="55" t="str">
        <f>IFERROR(IF(OR($B2746="",$B2746="(blank)"),"",VLOOKUP($B2746,'Email Marketing Raw Data'!$C:$O,4,0)),"")</f>
        <v/>
      </c>
      <c r="H2746" s="55" t="str">
        <f>IFERROR(IF(OR($B2746="",$B2746="(blank)"),"",VLOOKUP($B2746,'Email Marketing Raw Data'!$C:$O,5,0)),"")</f>
        <v/>
      </c>
      <c r="I2746" s="55" t="str">
        <f>IFERROR(IF($G2746="","",VLOOKUP('Dashboard And Emails Automate'!$G2746,Database!$H:$N,3,0)),"")</f>
        <v/>
      </c>
      <c r="J2746" s="55" t="str">
        <f>IFERROR(IF($G2746="","",VLOOKUP('Dashboard And Emails Automate'!$G2746,Database!$H:$N,4,0)),"")</f>
        <v/>
      </c>
      <c r="K2746" s="55" t="str">
        <f>IFERROR(IF($G2746="","",VLOOKUP('Dashboard And Emails Automate'!$G2746,Database!$H:$N,5,0)),"")</f>
        <v/>
      </c>
      <c r="L2746" s="55" t="str">
        <f>IFERROR(IF($G2746="","",VLOOKUP('Dashboard And Emails Automate'!$G2746,Database!$H:$N,6,0)),"")</f>
        <v/>
      </c>
      <c r="M2746" s="55" t="str">
        <f>IFERROR(IF($G2746="","",VLOOKUP('Dashboard And Emails Automate'!$G2746,Database!$H:$N,7,0)),"")</f>
        <v/>
      </c>
      <c r="N2746" s="55" t="str">
        <f>IFERROR(IF(OR($B2746="",$B2746="(blank)"),"",VLOOKUP($B2746,'Email Marketing Raw Data'!$C:$O,6,0)),"")</f>
        <v/>
      </c>
      <c r="O2746" s="55" t="str">
        <f>IFERROR(IF(OR($B2746="",$B2746="(blank)"),"",VLOOKUP($B2746,'Email Marketing Raw Data'!$C:$O,7,0)),"")</f>
        <v/>
      </c>
      <c r="P2746" s="55" t="str">
        <f>IFERROR(IF(OR($B2746="",$B2746="(blank)"),"",VLOOKUP($B2746,'Email Marketing Raw Data'!$C:$O,8,0)),"")</f>
        <v/>
      </c>
      <c r="Q2746" s="62" t="str">
        <f>IFERROR(IF(OR($B2746="",$B2746="(blank)"),"",VLOOKUP($B2746,'Email Marketing Raw Data'!$C:$O,9,0)),"")</f>
        <v/>
      </c>
    </row>
    <row r="2747" spans="4:17" ht="12.75" customHeight="1" x14ac:dyDescent="0.2">
      <c r="D2747" s="58" t="str">
        <f>IFERROR(IF(F2747&lt;&gt;"pending","",IF(OR($B2747="",$B2747="(blank)"),"",VLOOKUP($B2747,'Email Marketing Raw Data'!$C:$O,10,0))),"")</f>
        <v/>
      </c>
      <c r="E2747" s="59" t="str">
        <f>IFERROR(IF(F2747&lt;&gt;"pending","",IF(OR($B2747="",$B2747="(blank)"),"",VLOOKUP($B2747,'Email Marketing Raw Data'!$C:$O,11,0))),"")</f>
        <v/>
      </c>
      <c r="F2747" s="54" t="str">
        <f>IFERROR(IF(OR($B2747="",$B2747="(blank)"),"",VLOOKUP($B2747,'Email Marketing Raw Data'!$C:$O,13,0)),"")</f>
        <v/>
      </c>
      <c r="G2747" s="55" t="str">
        <f>IFERROR(IF(OR($B2747="",$B2747="(blank)"),"",VLOOKUP($B2747,'Email Marketing Raw Data'!$C:$O,4,0)),"")</f>
        <v/>
      </c>
      <c r="H2747" s="55" t="str">
        <f>IFERROR(IF(OR($B2747="",$B2747="(blank)"),"",VLOOKUP($B2747,'Email Marketing Raw Data'!$C:$O,5,0)),"")</f>
        <v/>
      </c>
      <c r="I2747" s="55" t="str">
        <f>IFERROR(IF($G2747="","",VLOOKUP('Dashboard And Emails Automate'!$G2747,Database!$H:$N,3,0)),"")</f>
        <v/>
      </c>
      <c r="J2747" s="55" t="str">
        <f>IFERROR(IF($G2747="","",VLOOKUP('Dashboard And Emails Automate'!$G2747,Database!$H:$N,4,0)),"")</f>
        <v/>
      </c>
      <c r="K2747" s="55" t="str">
        <f>IFERROR(IF($G2747="","",VLOOKUP('Dashboard And Emails Automate'!$G2747,Database!$H:$N,5,0)),"")</f>
        <v/>
      </c>
      <c r="L2747" s="55" t="str">
        <f>IFERROR(IF($G2747="","",VLOOKUP('Dashboard And Emails Automate'!$G2747,Database!$H:$N,6,0)),"")</f>
        <v/>
      </c>
      <c r="M2747" s="55" t="str">
        <f>IFERROR(IF($G2747="","",VLOOKUP('Dashboard And Emails Automate'!$G2747,Database!$H:$N,7,0)),"")</f>
        <v/>
      </c>
      <c r="N2747" s="55" t="str">
        <f>IFERROR(IF(OR($B2747="",$B2747="(blank)"),"",VLOOKUP($B2747,'Email Marketing Raw Data'!$C:$O,6,0)),"")</f>
        <v/>
      </c>
      <c r="O2747" s="55" t="str">
        <f>IFERROR(IF(OR($B2747="",$B2747="(blank)"),"",VLOOKUP($B2747,'Email Marketing Raw Data'!$C:$O,7,0)),"")</f>
        <v/>
      </c>
      <c r="P2747" s="55" t="str">
        <f>IFERROR(IF(OR($B2747="",$B2747="(blank)"),"",VLOOKUP($B2747,'Email Marketing Raw Data'!$C:$O,8,0)),"")</f>
        <v/>
      </c>
      <c r="Q2747" s="62" t="str">
        <f>IFERROR(IF(OR($B2747="",$B2747="(blank)"),"",VLOOKUP($B2747,'Email Marketing Raw Data'!$C:$O,9,0)),"")</f>
        <v/>
      </c>
    </row>
    <row r="2748" spans="4:17" ht="12.75" customHeight="1" x14ac:dyDescent="0.2">
      <c r="D2748" s="58" t="str">
        <f>IFERROR(IF(F2748&lt;&gt;"pending","",IF(OR($B2748="",$B2748="(blank)"),"",VLOOKUP($B2748,'Email Marketing Raw Data'!$C:$O,10,0))),"")</f>
        <v/>
      </c>
      <c r="E2748" s="59" t="str">
        <f>IFERROR(IF(F2748&lt;&gt;"pending","",IF(OR($B2748="",$B2748="(blank)"),"",VLOOKUP($B2748,'Email Marketing Raw Data'!$C:$O,11,0))),"")</f>
        <v/>
      </c>
      <c r="F2748" s="54" t="str">
        <f>IFERROR(IF(OR($B2748="",$B2748="(blank)"),"",VLOOKUP($B2748,'Email Marketing Raw Data'!$C:$O,13,0)),"")</f>
        <v/>
      </c>
      <c r="G2748" s="55" t="str">
        <f>IFERROR(IF(OR($B2748="",$B2748="(blank)"),"",VLOOKUP($B2748,'Email Marketing Raw Data'!$C:$O,4,0)),"")</f>
        <v/>
      </c>
      <c r="H2748" s="55" t="str">
        <f>IFERROR(IF(OR($B2748="",$B2748="(blank)"),"",VLOOKUP($B2748,'Email Marketing Raw Data'!$C:$O,5,0)),"")</f>
        <v/>
      </c>
      <c r="I2748" s="55" t="str">
        <f>IFERROR(IF($G2748="","",VLOOKUP('Dashboard And Emails Automate'!$G2748,Database!$H:$N,3,0)),"")</f>
        <v/>
      </c>
      <c r="J2748" s="55" t="str">
        <f>IFERROR(IF($G2748="","",VLOOKUP('Dashboard And Emails Automate'!$G2748,Database!$H:$N,4,0)),"")</f>
        <v/>
      </c>
      <c r="K2748" s="55" t="str">
        <f>IFERROR(IF($G2748="","",VLOOKUP('Dashboard And Emails Automate'!$G2748,Database!$H:$N,5,0)),"")</f>
        <v/>
      </c>
      <c r="L2748" s="55" t="str">
        <f>IFERROR(IF($G2748="","",VLOOKUP('Dashboard And Emails Automate'!$G2748,Database!$H:$N,6,0)),"")</f>
        <v/>
      </c>
      <c r="M2748" s="55" t="str">
        <f>IFERROR(IF($G2748="","",VLOOKUP('Dashboard And Emails Automate'!$G2748,Database!$H:$N,7,0)),"")</f>
        <v/>
      </c>
      <c r="N2748" s="55" t="str">
        <f>IFERROR(IF(OR($B2748="",$B2748="(blank)"),"",VLOOKUP($B2748,'Email Marketing Raw Data'!$C:$O,6,0)),"")</f>
        <v/>
      </c>
      <c r="O2748" s="55" t="str">
        <f>IFERROR(IF(OR($B2748="",$B2748="(blank)"),"",VLOOKUP($B2748,'Email Marketing Raw Data'!$C:$O,7,0)),"")</f>
        <v/>
      </c>
      <c r="P2748" s="55" t="str">
        <f>IFERROR(IF(OR($B2748="",$B2748="(blank)"),"",VLOOKUP($B2748,'Email Marketing Raw Data'!$C:$O,8,0)),"")</f>
        <v/>
      </c>
      <c r="Q2748" s="62" t="str">
        <f>IFERROR(IF(OR($B2748="",$B2748="(blank)"),"",VLOOKUP($B2748,'Email Marketing Raw Data'!$C:$O,9,0)),"")</f>
        <v/>
      </c>
    </row>
    <row r="2749" spans="4:17" ht="12.75" customHeight="1" x14ac:dyDescent="0.2">
      <c r="D2749" s="58" t="str">
        <f>IFERROR(IF(F2749&lt;&gt;"pending","",IF(OR($B2749="",$B2749="(blank)"),"",VLOOKUP($B2749,'Email Marketing Raw Data'!$C:$O,10,0))),"")</f>
        <v/>
      </c>
      <c r="E2749" s="59" t="str">
        <f>IFERROR(IF(F2749&lt;&gt;"pending","",IF(OR($B2749="",$B2749="(blank)"),"",VLOOKUP($B2749,'Email Marketing Raw Data'!$C:$O,11,0))),"")</f>
        <v/>
      </c>
      <c r="F2749" s="54" t="str">
        <f>IFERROR(IF(OR($B2749="",$B2749="(blank)"),"",VLOOKUP($B2749,'Email Marketing Raw Data'!$C:$O,13,0)),"")</f>
        <v/>
      </c>
      <c r="G2749" s="55" t="str">
        <f>IFERROR(IF(OR($B2749="",$B2749="(blank)"),"",VLOOKUP($B2749,'Email Marketing Raw Data'!$C:$O,4,0)),"")</f>
        <v/>
      </c>
      <c r="H2749" s="55" t="str">
        <f>IFERROR(IF(OR($B2749="",$B2749="(blank)"),"",VLOOKUP($B2749,'Email Marketing Raw Data'!$C:$O,5,0)),"")</f>
        <v/>
      </c>
      <c r="I2749" s="55" t="str">
        <f>IFERROR(IF($G2749="","",VLOOKUP('Dashboard And Emails Automate'!$G2749,Database!$H:$N,3,0)),"")</f>
        <v/>
      </c>
      <c r="J2749" s="55" t="str">
        <f>IFERROR(IF($G2749="","",VLOOKUP('Dashboard And Emails Automate'!$G2749,Database!$H:$N,4,0)),"")</f>
        <v/>
      </c>
      <c r="K2749" s="55" t="str">
        <f>IFERROR(IF($G2749="","",VLOOKUP('Dashboard And Emails Automate'!$G2749,Database!$H:$N,5,0)),"")</f>
        <v/>
      </c>
      <c r="L2749" s="55" t="str">
        <f>IFERROR(IF($G2749="","",VLOOKUP('Dashboard And Emails Automate'!$G2749,Database!$H:$N,6,0)),"")</f>
        <v/>
      </c>
      <c r="M2749" s="55" t="str">
        <f>IFERROR(IF($G2749="","",VLOOKUP('Dashboard And Emails Automate'!$G2749,Database!$H:$N,7,0)),"")</f>
        <v/>
      </c>
      <c r="N2749" s="55" t="str">
        <f>IFERROR(IF(OR($B2749="",$B2749="(blank)"),"",VLOOKUP($B2749,'Email Marketing Raw Data'!$C:$O,6,0)),"")</f>
        <v/>
      </c>
      <c r="O2749" s="55" t="str">
        <f>IFERROR(IF(OR($B2749="",$B2749="(blank)"),"",VLOOKUP($B2749,'Email Marketing Raw Data'!$C:$O,7,0)),"")</f>
        <v/>
      </c>
      <c r="P2749" s="55" t="str">
        <f>IFERROR(IF(OR($B2749="",$B2749="(blank)"),"",VLOOKUP($B2749,'Email Marketing Raw Data'!$C:$O,8,0)),"")</f>
        <v/>
      </c>
      <c r="Q2749" s="62" t="str">
        <f>IFERROR(IF(OR($B2749="",$B2749="(blank)"),"",VLOOKUP($B2749,'Email Marketing Raw Data'!$C:$O,9,0)),"")</f>
        <v/>
      </c>
    </row>
    <row r="2750" spans="4:17" ht="12.75" customHeight="1" x14ac:dyDescent="0.2">
      <c r="D2750" s="58" t="str">
        <f>IFERROR(IF(F2750&lt;&gt;"pending","",IF(OR($B2750="",$B2750="(blank)"),"",VLOOKUP($B2750,'Email Marketing Raw Data'!$C:$O,10,0))),"")</f>
        <v/>
      </c>
      <c r="E2750" s="59" t="str">
        <f>IFERROR(IF(F2750&lt;&gt;"pending","",IF(OR($B2750="",$B2750="(blank)"),"",VLOOKUP($B2750,'Email Marketing Raw Data'!$C:$O,11,0))),"")</f>
        <v/>
      </c>
      <c r="F2750" s="54" t="str">
        <f>IFERROR(IF(OR($B2750="",$B2750="(blank)"),"",VLOOKUP($B2750,'Email Marketing Raw Data'!$C:$O,13,0)),"")</f>
        <v/>
      </c>
      <c r="G2750" s="55" t="str">
        <f>IFERROR(IF(OR($B2750="",$B2750="(blank)"),"",VLOOKUP($B2750,'Email Marketing Raw Data'!$C:$O,4,0)),"")</f>
        <v/>
      </c>
      <c r="H2750" s="55" t="str">
        <f>IFERROR(IF(OR($B2750="",$B2750="(blank)"),"",VLOOKUP($B2750,'Email Marketing Raw Data'!$C:$O,5,0)),"")</f>
        <v/>
      </c>
      <c r="I2750" s="55" t="str">
        <f>IFERROR(IF($G2750="","",VLOOKUP('Dashboard And Emails Automate'!$G2750,Database!$H:$N,3,0)),"")</f>
        <v/>
      </c>
      <c r="J2750" s="55" t="str">
        <f>IFERROR(IF($G2750="","",VLOOKUP('Dashboard And Emails Automate'!$G2750,Database!$H:$N,4,0)),"")</f>
        <v/>
      </c>
      <c r="K2750" s="55" t="str">
        <f>IFERROR(IF($G2750="","",VLOOKUP('Dashboard And Emails Automate'!$G2750,Database!$H:$N,5,0)),"")</f>
        <v/>
      </c>
      <c r="L2750" s="55" t="str">
        <f>IFERROR(IF($G2750="","",VLOOKUP('Dashboard And Emails Automate'!$G2750,Database!$H:$N,6,0)),"")</f>
        <v/>
      </c>
      <c r="M2750" s="55" t="str">
        <f>IFERROR(IF($G2750="","",VLOOKUP('Dashboard And Emails Automate'!$G2750,Database!$H:$N,7,0)),"")</f>
        <v/>
      </c>
      <c r="N2750" s="55" t="str">
        <f>IFERROR(IF(OR($B2750="",$B2750="(blank)"),"",VLOOKUP($B2750,'Email Marketing Raw Data'!$C:$O,6,0)),"")</f>
        <v/>
      </c>
      <c r="O2750" s="55" t="str">
        <f>IFERROR(IF(OR($B2750="",$B2750="(blank)"),"",VLOOKUP($B2750,'Email Marketing Raw Data'!$C:$O,7,0)),"")</f>
        <v/>
      </c>
      <c r="P2750" s="55" t="str">
        <f>IFERROR(IF(OR($B2750="",$B2750="(blank)"),"",VLOOKUP($B2750,'Email Marketing Raw Data'!$C:$O,8,0)),"")</f>
        <v/>
      </c>
      <c r="Q2750" s="62" t="str">
        <f>IFERROR(IF(OR($B2750="",$B2750="(blank)"),"",VLOOKUP($B2750,'Email Marketing Raw Data'!$C:$O,9,0)),"")</f>
        <v/>
      </c>
    </row>
    <row r="2751" spans="4:17" ht="12.75" customHeight="1" x14ac:dyDescent="0.2">
      <c r="D2751" s="58" t="str">
        <f>IFERROR(IF(F2751&lt;&gt;"pending","",IF(OR($B2751="",$B2751="(blank)"),"",VLOOKUP($B2751,'Email Marketing Raw Data'!$C:$O,10,0))),"")</f>
        <v/>
      </c>
      <c r="E2751" s="59" t="str">
        <f>IFERROR(IF(F2751&lt;&gt;"pending","",IF(OR($B2751="",$B2751="(blank)"),"",VLOOKUP($B2751,'Email Marketing Raw Data'!$C:$O,11,0))),"")</f>
        <v/>
      </c>
      <c r="F2751" s="54" t="str">
        <f>IFERROR(IF(OR($B2751="",$B2751="(blank)"),"",VLOOKUP($B2751,'Email Marketing Raw Data'!$C:$O,13,0)),"")</f>
        <v/>
      </c>
      <c r="G2751" s="55" t="str">
        <f>IFERROR(IF(OR($B2751="",$B2751="(blank)"),"",VLOOKUP($B2751,'Email Marketing Raw Data'!$C:$O,4,0)),"")</f>
        <v/>
      </c>
      <c r="H2751" s="55" t="str">
        <f>IFERROR(IF(OR($B2751="",$B2751="(blank)"),"",VLOOKUP($B2751,'Email Marketing Raw Data'!$C:$O,5,0)),"")</f>
        <v/>
      </c>
      <c r="I2751" s="55" t="str">
        <f>IFERROR(IF($G2751="","",VLOOKUP('Dashboard And Emails Automate'!$G2751,Database!$H:$N,3,0)),"")</f>
        <v/>
      </c>
      <c r="J2751" s="55" t="str">
        <f>IFERROR(IF($G2751="","",VLOOKUP('Dashboard And Emails Automate'!$G2751,Database!$H:$N,4,0)),"")</f>
        <v/>
      </c>
      <c r="K2751" s="55" t="str">
        <f>IFERROR(IF($G2751="","",VLOOKUP('Dashboard And Emails Automate'!$G2751,Database!$H:$N,5,0)),"")</f>
        <v/>
      </c>
      <c r="L2751" s="55" t="str">
        <f>IFERROR(IF($G2751="","",VLOOKUP('Dashboard And Emails Automate'!$G2751,Database!$H:$N,6,0)),"")</f>
        <v/>
      </c>
      <c r="M2751" s="55" t="str">
        <f>IFERROR(IF($G2751="","",VLOOKUP('Dashboard And Emails Automate'!$G2751,Database!$H:$N,7,0)),"")</f>
        <v/>
      </c>
      <c r="N2751" s="55" t="str">
        <f>IFERROR(IF(OR($B2751="",$B2751="(blank)"),"",VLOOKUP($B2751,'Email Marketing Raw Data'!$C:$O,6,0)),"")</f>
        <v/>
      </c>
      <c r="O2751" s="55" t="str">
        <f>IFERROR(IF(OR($B2751="",$B2751="(blank)"),"",VLOOKUP($B2751,'Email Marketing Raw Data'!$C:$O,7,0)),"")</f>
        <v/>
      </c>
      <c r="P2751" s="55" t="str">
        <f>IFERROR(IF(OR($B2751="",$B2751="(blank)"),"",VLOOKUP($B2751,'Email Marketing Raw Data'!$C:$O,8,0)),"")</f>
        <v/>
      </c>
      <c r="Q2751" s="62" t="str">
        <f>IFERROR(IF(OR($B2751="",$B2751="(blank)"),"",VLOOKUP($B2751,'Email Marketing Raw Data'!$C:$O,9,0)),"")</f>
        <v/>
      </c>
    </row>
    <row r="2752" spans="4:17" ht="12.75" customHeight="1" x14ac:dyDescent="0.2">
      <c r="D2752" s="58" t="str">
        <f>IFERROR(IF(F2752&lt;&gt;"pending","",IF(OR($B2752="",$B2752="(blank)"),"",VLOOKUP($B2752,'Email Marketing Raw Data'!$C:$O,10,0))),"")</f>
        <v/>
      </c>
      <c r="E2752" s="59" t="str">
        <f>IFERROR(IF(F2752&lt;&gt;"pending","",IF(OR($B2752="",$B2752="(blank)"),"",VLOOKUP($B2752,'Email Marketing Raw Data'!$C:$O,11,0))),"")</f>
        <v/>
      </c>
      <c r="F2752" s="54" t="str">
        <f>IFERROR(IF(OR($B2752="",$B2752="(blank)"),"",VLOOKUP($B2752,'Email Marketing Raw Data'!$C:$O,13,0)),"")</f>
        <v/>
      </c>
      <c r="G2752" s="55" t="str">
        <f>IFERROR(IF(OR($B2752="",$B2752="(blank)"),"",VLOOKUP($B2752,'Email Marketing Raw Data'!$C:$O,4,0)),"")</f>
        <v/>
      </c>
      <c r="H2752" s="55" t="str">
        <f>IFERROR(IF(OR($B2752="",$B2752="(blank)"),"",VLOOKUP($B2752,'Email Marketing Raw Data'!$C:$O,5,0)),"")</f>
        <v/>
      </c>
      <c r="I2752" s="55" t="str">
        <f>IFERROR(IF($G2752="","",VLOOKUP('Dashboard And Emails Automate'!$G2752,Database!$H:$N,3,0)),"")</f>
        <v/>
      </c>
      <c r="J2752" s="55" t="str">
        <f>IFERROR(IF($G2752="","",VLOOKUP('Dashboard And Emails Automate'!$G2752,Database!$H:$N,4,0)),"")</f>
        <v/>
      </c>
      <c r="K2752" s="55" t="str">
        <f>IFERROR(IF($G2752="","",VLOOKUP('Dashboard And Emails Automate'!$G2752,Database!$H:$N,5,0)),"")</f>
        <v/>
      </c>
      <c r="L2752" s="55" t="str">
        <f>IFERROR(IF($G2752="","",VLOOKUP('Dashboard And Emails Automate'!$G2752,Database!$H:$N,6,0)),"")</f>
        <v/>
      </c>
      <c r="M2752" s="55" t="str">
        <f>IFERROR(IF($G2752="","",VLOOKUP('Dashboard And Emails Automate'!$G2752,Database!$H:$N,7,0)),"")</f>
        <v/>
      </c>
      <c r="N2752" s="55" t="str">
        <f>IFERROR(IF(OR($B2752="",$B2752="(blank)"),"",VLOOKUP($B2752,'Email Marketing Raw Data'!$C:$O,6,0)),"")</f>
        <v/>
      </c>
      <c r="O2752" s="55" t="str">
        <f>IFERROR(IF(OR($B2752="",$B2752="(blank)"),"",VLOOKUP($B2752,'Email Marketing Raw Data'!$C:$O,7,0)),"")</f>
        <v/>
      </c>
      <c r="P2752" s="55" t="str">
        <f>IFERROR(IF(OR($B2752="",$B2752="(blank)"),"",VLOOKUP($B2752,'Email Marketing Raw Data'!$C:$O,8,0)),"")</f>
        <v/>
      </c>
      <c r="Q2752" s="62" t="str">
        <f>IFERROR(IF(OR($B2752="",$B2752="(blank)"),"",VLOOKUP($B2752,'Email Marketing Raw Data'!$C:$O,9,0)),"")</f>
        <v/>
      </c>
    </row>
    <row r="2753" spans="4:17" ht="12.75" customHeight="1" x14ac:dyDescent="0.2">
      <c r="D2753" s="58" t="str">
        <f>IFERROR(IF(F2753&lt;&gt;"pending","",IF(OR($B2753="",$B2753="(blank)"),"",VLOOKUP($B2753,'Email Marketing Raw Data'!$C:$O,10,0))),"")</f>
        <v/>
      </c>
      <c r="E2753" s="59" t="str">
        <f>IFERROR(IF(F2753&lt;&gt;"pending","",IF(OR($B2753="",$B2753="(blank)"),"",VLOOKUP($B2753,'Email Marketing Raw Data'!$C:$O,11,0))),"")</f>
        <v/>
      </c>
      <c r="F2753" s="54" t="str">
        <f>IFERROR(IF(OR($B2753="",$B2753="(blank)"),"",VLOOKUP($B2753,'Email Marketing Raw Data'!$C:$O,13,0)),"")</f>
        <v/>
      </c>
      <c r="G2753" s="55" t="str">
        <f>IFERROR(IF(OR($B2753="",$B2753="(blank)"),"",VLOOKUP($B2753,'Email Marketing Raw Data'!$C:$O,4,0)),"")</f>
        <v/>
      </c>
      <c r="H2753" s="55" t="str">
        <f>IFERROR(IF(OR($B2753="",$B2753="(blank)"),"",VLOOKUP($B2753,'Email Marketing Raw Data'!$C:$O,5,0)),"")</f>
        <v/>
      </c>
      <c r="I2753" s="55" t="str">
        <f>IFERROR(IF($G2753="","",VLOOKUP('Dashboard And Emails Automate'!$G2753,Database!$H:$N,3,0)),"")</f>
        <v/>
      </c>
      <c r="J2753" s="55" t="str">
        <f>IFERROR(IF($G2753="","",VLOOKUP('Dashboard And Emails Automate'!$G2753,Database!$H:$N,4,0)),"")</f>
        <v/>
      </c>
      <c r="K2753" s="55" t="str">
        <f>IFERROR(IF($G2753="","",VLOOKUP('Dashboard And Emails Automate'!$G2753,Database!$H:$N,5,0)),"")</f>
        <v/>
      </c>
      <c r="L2753" s="55" t="str">
        <f>IFERROR(IF($G2753="","",VLOOKUP('Dashboard And Emails Automate'!$G2753,Database!$H:$N,6,0)),"")</f>
        <v/>
      </c>
      <c r="M2753" s="55" t="str">
        <f>IFERROR(IF($G2753="","",VLOOKUP('Dashboard And Emails Automate'!$G2753,Database!$H:$N,7,0)),"")</f>
        <v/>
      </c>
      <c r="N2753" s="55" t="str">
        <f>IFERROR(IF(OR($B2753="",$B2753="(blank)"),"",VLOOKUP($B2753,'Email Marketing Raw Data'!$C:$O,6,0)),"")</f>
        <v/>
      </c>
      <c r="O2753" s="55" t="str">
        <f>IFERROR(IF(OR($B2753="",$B2753="(blank)"),"",VLOOKUP($B2753,'Email Marketing Raw Data'!$C:$O,7,0)),"")</f>
        <v/>
      </c>
      <c r="P2753" s="55" t="str">
        <f>IFERROR(IF(OR($B2753="",$B2753="(blank)"),"",VLOOKUP($B2753,'Email Marketing Raw Data'!$C:$O,8,0)),"")</f>
        <v/>
      </c>
      <c r="Q2753" s="62" t="str">
        <f>IFERROR(IF(OR($B2753="",$B2753="(blank)"),"",VLOOKUP($B2753,'Email Marketing Raw Data'!$C:$O,9,0)),"")</f>
        <v/>
      </c>
    </row>
    <row r="2754" spans="4:17" ht="12.75" customHeight="1" x14ac:dyDescent="0.2">
      <c r="D2754" s="58" t="str">
        <f>IFERROR(IF(F2754&lt;&gt;"pending","",IF(OR($B2754="",$B2754="(blank)"),"",VLOOKUP($B2754,'Email Marketing Raw Data'!$C:$O,10,0))),"")</f>
        <v/>
      </c>
      <c r="E2754" s="59" t="str">
        <f>IFERROR(IF(F2754&lt;&gt;"pending","",IF(OR($B2754="",$B2754="(blank)"),"",VLOOKUP($B2754,'Email Marketing Raw Data'!$C:$O,11,0))),"")</f>
        <v/>
      </c>
      <c r="F2754" s="54" t="str">
        <f>IFERROR(IF(OR($B2754="",$B2754="(blank)"),"",VLOOKUP($B2754,'Email Marketing Raw Data'!$C:$O,13,0)),"")</f>
        <v/>
      </c>
      <c r="G2754" s="55" t="str">
        <f>IFERROR(IF(OR($B2754="",$B2754="(blank)"),"",VLOOKUP($B2754,'Email Marketing Raw Data'!$C:$O,4,0)),"")</f>
        <v/>
      </c>
      <c r="H2754" s="55" t="str">
        <f>IFERROR(IF(OR($B2754="",$B2754="(blank)"),"",VLOOKUP($B2754,'Email Marketing Raw Data'!$C:$O,5,0)),"")</f>
        <v/>
      </c>
      <c r="I2754" s="55" t="str">
        <f>IFERROR(IF($G2754="","",VLOOKUP('Dashboard And Emails Automate'!$G2754,Database!$H:$N,3,0)),"")</f>
        <v/>
      </c>
      <c r="J2754" s="55" t="str">
        <f>IFERROR(IF($G2754="","",VLOOKUP('Dashboard And Emails Automate'!$G2754,Database!$H:$N,4,0)),"")</f>
        <v/>
      </c>
      <c r="K2754" s="55" t="str">
        <f>IFERROR(IF($G2754="","",VLOOKUP('Dashboard And Emails Automate'!$G2754,Database!$H:$N,5,0)),"")</f>
        <v/>
      </c>
      <c r="L2754" s="55" t="str">
        <f>IFERROR(IF($G2754="","",VLOOKUP('Dashboard And Emails Automate'!$G2754,Database!$H:$N,6,0)),"")</f>
        <v/>
      </c>
      <c r="M2754" s="55" t="str">
        <f>IFERROR(IF($G2754="","",VLOOKUP('Dashboard And Emails Automate'!$G2754,Database!$H:$N,7,0)),"")</f>
        <v/>
      </c>
      <c r="N2754" s="55" t="str">
        <f>IFERROR(IF(OR($B2754="",$B2754="(blank)"),"",VLOOKUP($B2754,'Email Marketing Raw Data'!$C:$O,6,0)),"")</f>
        <v/>
      </c>
      <c r="O2754" s="55" t="str">
        <f>IFERROR(IF(OR($B2754="",$B2754="(blank)"),"",VLOOKUP($B2754,'Email Marketing Raw Data'!$C:$O,7,0)),"")</f>
        <v/>
      </c>
      <c r="P2754" s="55" t="str">
        <f>IFERROR(IF(OR($B2754="",$B2754="(blank)"),"",VLOOKUP($B2754,'Email Marketing Raw Data'!$C:$O,8,0)),"")</f>
        <v/>
      </c>
      <c r="Q2754" s="62" t="str">
        <f>IFERROR(IF(OR($B2754="",$B2754="(blank)"),"",VLOOKUP($B2754,'Email Marketing Raw Data'!$C:$O,9,0)),"")</f>
        <v/>
      </c>
    </row>
    <row r="2755" spans="4:17" ht="12.75" customHeight="1" x14ac:dyDescent="0.2">
      <c r="D2755" s="58" t="str">
        <f>IFERROR(IF(F2755&lt;&gt;"pending","",IF(OR($B2755="",$B2755="(blank)"),"",VLOOKUP($B2755,'Email Marketing Raw Data'!$C:$O,10,0))),"")</f>
        <v/>
      </c>
      <c r="E2755" s="59" t="str">
        <f>IFERROR(IF(F2755&lt;&gt;"pending","",IF(OR($B2755="",$B2755="(blank)"),"",VLOOKUP($B2755,'Email Marketing Raw Data'!$C:$O,11,0))),"")</f>
        <v/>
      </c>
      <c r="F2755" s="54" t="str">
        <f>IFERROR(IF(OR($B2755="",$B2755="(blank)"),"",VLOOKUP($B2755,'Email Marketing Raw Data'!$C:$O,13,0)),"")</f>
        <v/>
      </c>
      <c r="G2755" s="55" t="str">
        <f>IFERROR(IF(OR($B2755="",$B2755="(blank)"),"",VLOOKUP($B2755,'Email Marketing Raw Data'!$C:$O,4,0)),"")</f>
        <v/>
      </c>
      <c r="H2755" s="55" t="str">
        <f>IFERROR(IF(OR($B2755="",$B2755="(blank)"),"",VLOOKUP($B2755,'Email Marketing Raw Data'!$C:$O,5,0)),"")</f>
        <v/>
      </c>
      <c r="I2755" s="55" t="str">
        <f>IFERROR(IF($G2755="","",VLOOKUP('Dashboard And Emails Automate'!$G2755,Database!$H:$N,3,0)),"")</f>
        <v/>
      </c>
      <c r="J2755" s="55" t="str">
        <f>IFERROR(IF($G2755="","",VLOOKUP('Dashboard And Emails Automate'!$G2755,Database!$H:$N,4,0)),"")</f>
        <v/>
      </c>
      <c r="K2755" s="55" t="str">
        <f>IFERROR(IF($G2755="","",VLOOKUP('Dashboard And Emails Automate'!$G2755,Database!$H:$N,5,0)),"")</f>
        <v/>
      </c>
      <c r="L2755" s="55" t="str">
        <f>IFERROR(IF($G2755="","",VLOOKUP('Dashboard And Emails Automate'!$G2755,Database!$H:$N,6,0)),"")</f>
        <v/>
      </c>
      <c r="M2755" s="55" t="str">
        <f>IFERROR(IF($G2755="","",VLOOKUP('Dashboard And Emails Automate'!$G2755,Database!$H:$N,7,0)),"")</f>
        <v/>
      </c>
      <c r="N2755" s="55" t="str">
        <f>IFERROR(IF(OR($B2755="",$B2755="(blank)"),"",VLOOKUP($B2755,'Email Marketing Raw Data'!$C:$O,6,0)),"")</f>
        <v/>
      </c>
      <c r="O2755" s="55" t="str">
        <f>IFERROR(IF(OR($B2755="",$B2755="(blank)"),"",VLOOKUP($B2755,'Email Marketing Raw Data'!$C:$O,7,0)),"")</f>
        <v/>
      </c>
      <c r="P2755" s="55" t="str">
        <f>IFERROR(IF(OR($B2755="",$B2755="(blank)"),"",VLOOKUP($B2755,'Email Marketing Raw Data'!$C:$O,8,0)),"")</f>
        <v/>
      </c>
      <c r="Q2755" s="62" t="str">
        <f>IFERROR(IF(OR($B2755="",$B2755="(blank)"),"",VLOOKUP($B2755,'Email Marketing Raw Data'!$C:$O,9,0)),"")</f>
        <v/>
      </c>
    </row>
    <row r="2756" spans="4:17" ht="12.75" customHeight="1" x14ac:dyDescent="0.2">
      <c r="D2756" s="58" t="str">
        <f>IFERROR(IF(F2756&lt;&gt;"pending","",IF(OR($B2756="",$B2756="(blank)"),"",VLOOKUP($B2756,'Email Marketing Raw Data'!$C:$O,10,0))),"")</f>
        <v/>
      </c>
      <c r="E2756" s="59" t="str">
        <f>IFERROR(IF(F2756&lt;&gt;"pending","",IF(OR($B2756="",$B2756="(blank)"),"",VLOOKUP($B2756,'Email Marketing Raw Data'!$C:$O,11,0))),"")</f>
        <v/>
      </c>
      <c r="F2756" s="54" t="str">
        <f>IFERROR(IF(OR($B2756="",$B2756="(blank)"),"",VLOOKUP($B2756,'Email Marketing Raw Data'!$C:$O,13,0)),"")</f>
        <v/>
      </c>
      <c r="G2756" s="55" t="str">
        <f>IFERROR(IF(OR($B2756="",$B2756="(blank)"),"",VLOOKUP($B2756,'Email Marketing Raw Data'!$C:$O,4,0)),"")</f>
        <v/>
      </c>
      <c r="H2756" s="55" t="str">
        <f>IFERROR(IF(OR($B2756="",$B2756="(blank)"),"",VLOOKUP($B2756,'Email Marketing Raw Data'!$C:$O,5,0)),"")</f>
        <v/>
      </c>
      <c r="I2756" s="55" t="str">
        <f>IFERROR(IF($G2756="","",VLOOKUP('Dashboard And Emails Automate'!$G2756,Database!$H:$N,3,0)),"")</f>
        <v/>
      </c>
      <c r="J2756" s="55" t="str">
        <f>IFERROR(IF($G2756="","",VLOOKUP('Dashboard And Emails Automate'!$G2756,Database!$H:$N,4,0)),"")</f>
        <v/>
      </c>
      <c r="K2756" s="55" t="str">
        <f>IFERROR(IF($G2756="","",VLOOKUP('Dashboard And Emails Automate'!$G2756,Database!$H:$N,5,0)),"")</f>
        <v/>
      </c>
      <c r="L2756" s="55" t="str">
        <f>IFERROR(IF($G2756="","",VLOOKUP('Dashboard And Emails Automate'!$G2756,Database!$H:$N,6,0)),"")</f>
        <v/>
      </c>
      <c r="M2756" s="55" t="str">
        <f>IFERROR(IF($G2756="","",VLOOKUP('Dashboard And Emails Automate'!$G2756,Database!$H:$N,7,0)),"")</f>
        <v/>
      </c>
      <c r="N2756" s="55" t="str">
        <f>IFERROR(IF(OR($B2756="",$B2756="(blank)"),"",VLOOKUP($B2756,'Email Marketing Raw Data'!$C:$O,6,0)),"")</f>
        <v/>
      </c>
      <c r="O2756" s="55" t="str">
        <f>IFERROR(IF(OR($B2756="",$B2756="(blank)"),"",VLOOKUP($B2756,'Email Marketing Raw Data'!$C:$O,7,0)),"")</f>
        <v/>
      </c>
      <c r="P2756" s="55" t="str">
        <f>IFERROR(IF(OR($B2756="",$B2756="(blank)"),"",VLOOKUP($B2756,'Email Marketing Raw Data'!$C:$O,8,0)),"")</f>
        <v/>
      </c>
      <c r="Q2756" s="62" t="str">
        <f>IFERROR(IF(OR($B2756="",$B2756="(blank)"),"",VLOOKUP($B2756,'Email Marketing Raw Data'!$C:$O,9,0)),"")</f>
        <v/>
      </c>
    </row>
    <row r="2757" spans="4:17" ht="12.75" customHeight="1" x14ac:dyDescent="0.2">
      <c r="D2757" s="58" t="str">
        <f>IFERROR(IF(F2757&lt;&gt;"pending","",IF(OR($B2757="",$B2757="(blank)"),"",VLOOKUP($B2757,'Email Marketing Raw Data'!$C:$O,10,0))),"")</f>
        <v/>
      </c>
      <c r="E2757" s="59" t="str">
        <f>IFERROR(IF(F2757&lt;&gt;"pending","",IF(OR($B2757="",$B2757="(blank)"),"",VLOOKUP($B2757,'Email Marketing Raw Data'!$C:$O,11,0))),"")</f>
        <v/>
      </c>
      <c r="F2757" s="54" t="str">
        <f>IFERROR(IF(OR($B2757="",$B2757="(blank)"),"",VLOOKUP($B2757,'Email Marketing Raw Data'!$C:$O,13,0)),"")</f>
        <v/>
      </c>
      <c r="G2757" s="55" t="str">
        <f>IFERROR(IF(OR($B2757="",$B2757="(blank)"),"",VLOOKUP($B2757,'Email Marketing Raw Data'!$C:$O,4,0)),"")</f>
        <v/>
      </c>
      <c r="H2757" s="55" t="str">
        <f>IFERROR(IF(OR($B2757="",$B2757="(blank)"),"",VLOOKUP($B2757,'Email Marketing Raw Data'!$C:$O,5,0)),"")</f>
        <v/>
      </c>
      <c r="I2757" s="55" t="str">
        <f>IFERROR(IF($G2757="","",VLOOKUP('Dashboard And Emails Automate'!$G2757,Database!$H:$N,3,0)),"")</f>
        <v/>
      </c>
      <c r="J2757" s="55" t="str">
        <f>IFERROR(IF($G2757="","",VLOOKUP('Dashboard And Emails Automate'!$G2757,Database!$H:$N,4,0)),"")</f>
        <v/>
      </c>
      <c r="K2757" s="55" t="str">
        <f>IFERROR(IF($G2757="","",VLOOKUP('Dashboard And Emails Automate'!$G2757,Database!$H:$N,5,0)),"")</f>
        <v/>
      </c>
      <c r="L2757" s="55" t="str">
        <f>IFERROR(IF($G2757="","",VLOOKUP('Dashboard And Emails Automate'!$G2757,Database!$H:$N,6,0)),"")</f>
        <v/>
      </c>
      <c r="M2757" s="55" t="str">
        <f>IFERROR(IF($G2757="","",VLOOKUP('Dashboard And Emails Automate'!$G2757,Database!$H:$N,7,0)),"")</f>
        <v/>
      </c>
      <c r="N2757" s="55" t="str">
        <f>IFERROR(IF(OR($B2757="",$B2757="(blank)"),"",VLOOKUP($B2757,'Email Marketing Raw Data'!$C:$O,6,0)),"")</f>
        <v/>
      </c>
      <c r="O2757" s="55" t="str">
        <f>IFERROR(IF(OR($B2757="",$B2757="(blank)"),"",VLOOKUP($B2757,'Email Marketing Raw Data'!$C:$O,7,0)),"")</f>
        <v/>
      </c>
      <c r="P2757" s="55" t="str">
        <f>IFERROR(IF(OR($B2757="",$B2757="(blank)"),"",VLOOKUP($B2757,'Email Marketing Raw Data'!$C:$O,8,0)),"")</f>
        <v/>
      </c>
      <c r="Q2757" s="62" t="str">
        <f>IFERROR(IF(OR($B2757="",$B2757="(blank)"),"",VLOOKUP($B2757,'Email Marketing Raw Data'!$C:$O,9,0)),"")</f>
        <v/>
      </c>
    </row>
    <row r="2758" spans="4:17" ht="12.75" customHeight="1" x14ac:dyDescent="0.2">
      <c r="D2758" s="58" t="str">
        <f>IFERROR(IF(F2758&lt;&gt;"pending","",IF(OR($B2758="",$B2758="(blank)"),"",VLOOKUP($B2758,'Email Marketing Raw Data'!$C:$O,10,0))),"")</f>
        <v/>
      </c>
      <c r="E2758" s="59" t="str">
        <f>IFERROR(IF(F2758&lt;&gt;"pending","",IF(OR($B2758="",$B2758="(blank)"),"",VLOOKUP($B2758,'Email Marketing Raw Data'!$C:$O,11,0))),"")</f>
        <v/>
      </c>
      <c r="F2758" s="54" t="str">
        <f>IFERROR(IF(OR($B2758="",$B2758="(blank)"),"",VLOOKUP($B2758,'Email Marketing Raw Data'!$C:$O,13,0)),"")</f>
        <v/>
      </c>
      <c r="G2758" s="55" t="str">
        <f>IFERROR(IF(OR($B2758="",$B2758="(blank)"),"",VLOOKUP($B2758,'Email Marketing Raw Data'!$C:$O,4,0)),"")</f>
        <v/>
      </c>
      <c r="H2758" s="55" t="str">
        <f>IFERROR(IF(OR($B2758="",$B2758="(blank)"),"",VLOOKUP($B2758,'Email Marketing Raw Data'!$C:$O,5,0)),"")</f>
        <v/>
      </c>
      <c r="I2758" s="55" t="str">
        <f>IFERROR(IF($G2758="","",VLOOKUP('Dashboard And Emails Automate'!$G2758,Database!$H:$N,3,0)),"")</f>
        <v/>
      </c>
      <c r="J2758" s="55" t="str">
        <f>IFERROR(IF($G2758="","",VLOOKUP('Dashboard And Emails Automate'!$G2758,Database!$H:$N,4,0)),"")</f>
        <v/>
      </c>
      <c r="K2758" s="55" t="str">
        <f>IFERROR(IF($G2758="","",VLOOKUP('Dashboard And Emails Automate'!$G2758,Database!$H:$N,5,0)),"")</f>
        <v/>
      </c>
      <c r="L2758" s="55" t="str">
        <f>IFERROR(IF($G2758="","",VLOOKUP('Dashboard And Emails Automate'!$G2758,Database!$H:$N,6,0)),"")</f>
        <v/>
      </c>
      <c r="M2758" s="55" t="str">
        <f>IFERROR(IF($G2758="","",VLOOKUP('Dashboard And Emails Automate'!$G2758,Database!$H:$N,7,0)),"")</f>
        <v/>
      </c>
      <c r="N2758" s="55" t="str">
        <f>IFERROR(IF(OR($B2758="",$B2758="(blank)"),"",VLOOKUP($B2758,'Email Marketing Raw Data'!$C:$O,6,0)),"")</f>
        <v/>
      </c>
      <c r="O2758" s="55" t="str">
        <f>IFERROR(IF(OR($B2758="",$B2758="(blank)"),"",VLOOKUP($B2758,'Email Marketing Raw Data'!$C:$O,7,0)),"")</f>
        <v/>
      </c>
      <c r="P2758" s="55" t="str">
        <f>IFERROR(IF(OR($B2758="",$B2758="(blank)"),"",VLOOKUP($B2758,'Email Marketing Raw Data'!$C:$O,8,0)),"")</f>
        <v/>
      </c>
      <c r="Q2758" s="62" t="str">
        <f>IFERROR(IF(OR($B2758="",$B2758="(blank)"),"",VLOOKUP($B2758,'Email Marketing Raw Data'!$C:$O,9,0)),"")</f>
        <v/>
      </c>
    </row>
    <row r="2759" spans="4:17" ht="12.75" customHeight="1" x14ac:dyDescent="0.2">
      <c r="D2759" s="58" t="str">
        <f>IFERROR(IF(F2759&lt;&gt;"pending","",IF(OR($B2759="",$B2759="(blank)"),"",VLOOKUP($B2759,'Email Marketing Raw Data'!$C:$O,10,0))),"")</f>
        <v/>
      </c>
      <c r="E2759" s="59" t="str">
        <f>IFERROR(IF(F2759&lt;&gt;"pending","",IF(OR($B2759="",$B2759="(blank)"),"",VLOOKUP($B2759,'Email Marketing Raw Data'!$C:$O,11,0))),"")</f>
        <v/>
      </c>
      <c r="F2759" s="54" t="str">
        <f>IFERROR(IF(OR($B2759="",$B2759="(blank)"),"",VLOOKUP($B2759,'Email Marketing Raw Data'!$C:$O,13,0)),"")</f>
        <v/>
      </c>
      <c r="G2759" s="55" t="str">
        <f>IFERROR(IF(OR($B2759="",$B2759="(blank)"),"",VLOOKUP($B2759,'Email Marketing Raw Data'!$C:$O,4,0)),"")</f>
        <v/>
      </c>
      <c r="H2759" s="55" t="str">
        <f>IFERROR(IF(OR($B2759="",$B2759="(blank)"),"",VLOOKUP($B2759,'Email Marketing Raw Data'!$C:$O,5,0)),"")</f>
        <v/>
      </c>
      <c r="I2759" s="55" t="str">
        <f>IFERROR(IF($G2759="","",VLOOKUP('Dashboard And Emails Automate'!$G2759,Database!$H:$N,3,0)),"")</f>
        <v/>
      </c>
      <c r="J2759" s="55" t="str">
        <f>IFERROR(IF($G2759="","",VLOOKUP('Dashboard And Emails Automate'!$G2759,Database!$H:$N,4,0)),"")</f>
        <v/>
      </c>
      <c r="K2759" s="55" t="str">
        <f>IFERROR(IF($G2759="","",VLOOKUP('Dashboard And Emails Automate'!$G2759,Database!$H:$N,5,0)),"")</f>
        <v/>
      </c>
      <c r="L2759" s="55" t="str">
        <f>IFERROR(IF($G2759="","",VLOOKUP('Dashboard And Emails Automate'!$G2759,Database!$H:$N,6,0)),"")</f>
        <v/>
      </c>
      <c r="M2759" s="55" t="str">
        <f>IFERROR(IF($G2759="","",VLOOKUP('Dashboard And Emails Automate'!$G2759,Database!$H:$N,7,0)),"")</f>
        <v/>
      </c>
      <c r="N2759" s="55" t="str">
        <f>IFERROR(IF(OR($B2759="",$B2759="(blank)"),"",VLOOKUP($B2759,'Email Marketing Raw Data'!$C:$O,6,0)),"")</f>
        <v/>
      </c>
      <c r="O2759" s="55" t="str">
        <f>IFERROR(IF(OR($B2759="",$B2759="(blank)"),"",VLOOKUP($B2759,'Email Marketing Raw Data'!$C:$O,7,0)),"")</f>
        <v/>
      </c>
      <c r="P2759" s="55" t="str">
        <f>IFERROR(IF(OR($B2759="",$B2759="(blank)"),"",VLOOKUP($B2759,'Email Marketing Raw Data'!$C:$O,8,0)),"")</f>
        <v/>
      </c>
      <c r="Q2759" s="62" t="str">
        <f>IFERROR(IF(OR($B2759="",$B2759="(blank)"),"",VLOOKUP($B2759,'Email Marketing Raw Data'!$C:$O,9,0)),"")</f>
        <v/>
      </c>
    </row>
    <row r="2760" spans="4:17" ht="12.75" customHeight="1" x14ac:dyDescent="0.2">
      <c r="D2760" s="58" t="str">
        <f>IFERROR(IF(F2760&lt;&gt;"pending","",IF(OR($B2760="",$B2760="(blank)"),"",VLOOKUP($B2760,'Email Marketing Raw Data'!$C:$O,10,0))),"")</f>
        <v/>
      </c>
      <c r="E2760" s="59" t="str">
        <f>IFERROR(IF(F2760&lt;&gt;"pending","",IF(OR($B2760="",$B2760="(blank)"),"",VLOOKUP($B2760,'Email Marketing Raw Data'!$C:$O,11,0))),"")</f>
        <v/>
      </c>
      <c r="F2760" s="54" t="str">
        <f>IFERROR(IF(OR($B2760="",$B2760="(blank)"),"",VLOOKUP($B2760,'Email Marketing Raw Data'!$C:$O,13,0)),"")</f>
        <v/>
      </c>
      <c r="G2760" s="55" t="str">
        <f>IFERROR(IF(OR($B2760="",$B2760="(blank)"),"",VLOOKUP($B2760,'Email Marketing Raw Data'!$C:$O,4,0)),"")</f>
        <v/>
      </c>
      <c r="H2760" s="55" t="str">
        <f>IFERROR(IF(OR($B2760="",$B2760="(blank)"),"",VLOOKUP($B2760,'Email Marketing Raw Data'!$C:$O,5,0)),"")</f>
        <v/>
      </c>
      <c r="I2760" s="55" t="str">
        <f>IFERROR(IF($G2760="","",VLOOKUP('Dashboard And Emails Automate'!$G2760,Database!$H:$N,3,0)),"")</f>
        <v/>
      </c>
      <c r="J2760" s="55" t="str">
        <f>IFERROR(IF($G2760="","",VLOOKUP('Dashboard And Emails Automate'!$G2760,Database!$H:$N,4,0)),"")</f>
        <v/>
      </c>
      <c r="K2760" s="55" t="str">
        <f>IFERROR(IF($G2760="","",VLOOKUP('Dashboard And Emails Automate'!$G2760,Database!$H:$N,5,0)),"")</f>
        <v/>
      </c>
      <c r="L2760" s="55" t="str">
        <f>IFERROR(IF($G2760="","",VLOOKUP('Dashboard And Emails Automate'!$G2760,Database!$H:$N,6,0)),"")</f>
        <v/>
      </c>
      <c r="M2760" s="55" t="str">
        <f>IFERROR(IF($G2760="","",VLOOKUP('Dashboard And Emails Automate'!$G2760,Database!$H:$N,7,0)),"")</f>
        <v/>
      </c>
      <c r="N2760" s="55" t="str">
        <f>IFERROR(IF(OR($B2760="",$B2760="(blank)"),"",VLOOKUP($B2760,'Email Marketing Raw Data'!$C:$O,6,0)),"")</f>
        <v/>
      </c>
      <c r="O2760" s="55" t="str">
        <f>IFERROR(IF(OR($B2760="",$B2760="(blank)"),"",VLOOKUP($B2760,'Email Marketing Raw Data'!$C:$O,7,0)),"")</f>
        <v/>
      </c>
      <c r="P2760" s="55" t="str">
        <f>IFERROR(IF(OR($B2760="",$B2760="(blank)"),"",VLOOKUP($B2760,'Email Marketing Raw Data'!$C:$O,8,0)),"")</f>
        <v/>
      </c>
      <c r="Q2760" s="62" t="str">
        <f>IFERROR(IF(OR($B2760="",$B2760="(blank)"),"",VLOOKUP($B2760,'Email Marketing Raw Data'!$C:$O,9,0)),"")</f>
        <v/>
      </c>
    </row>
    <row r="2761" spans="4:17" ht="12.75" customHeight="1" x14ac:dyDescent="0.2">
      <c r="D2761" s="58" t="str">
        <f>IFERROR(IF(F2761&lt;&gt;"pending","",IF(OR($B2761="",$B2761="(blank)"),"",VLOOKUP($B2761,'Email Marketing Raw Data'!$C:$O,10,0))),"")</f>
        <v/>
      </c>
      <c r="E2761" s="59" t="str">
        <f>IFERROR(IF(F2761&lt;&gt;"pending","",IF(OR($B2761="",$B2761="(blank)"),"",VLOOKUP($B2761,'Email Marketing Raw Data'!$C:$O,11,0))),"")</f>
        <v/>
      </c>
      <c r="F2761" s="54" t="str">
        <f>IFERROR(IF(OR($B2761="",$B2761="(blank)"),"",VLOOKUP($B2761,'Email Marketing Raw Data'!$C:$O,13,0)),"")</f>
        <v/>
      </c>
      <c r="G2761" s="55" t="str">
        <f>IFERROR(IF(OR($B2761="",$B2761="(blank)"),"",VLOOKUP($B2761,'Email Marketing Raw Data'!$C:$O,4,0)),"")</f>
        <v/>
      </c>
      <c r="H2761" s="55" t="str">
        <f>IFERROR(IF(OR($B2761="",$B2761="(blank)"),"",VLOOKUP($B2761,'Email Marketing Raw Data'!$C:$O,5,0)),"")</f>
        <v/>
      </c>
      <c r="I2761" s="55" t="str">
        <f>IFERROR(IF($G2761="","",VLOOKUP('Dashboard And Emails Automate'!$G2761,Database!$H:$N,3,0)),"")</f>
        <v/>
      </c>
      <c r="J2761" s="55" t="str">
        <f>IFERROR(IF($G2761="","",VLOOKUP('Dashboard And Emails Automate'!$G2761,Database!$H:$N,4,0)),"")</f>
        <v/>
      </c>
      <c r="K2761" s="55" t="str">
        <f>IFERROR(IF($G2761="","",VLOOKUP('Dashboard And Emails Automate'!$G2761,Database!$H:$N,5,0)),"")</f>
        <v/>
      </c>
      <c r="L2761" s="55" t="str">
        <f>IFERROR(IF($G2761="","",VLOOKUP('Dashboard And Emails Automate'!$G2761,Database!$H:$N,6,0)),"")</f>
        <v/>
      </c>
      <c r="M2761" s="55" t="str">
        <f>IFERROR(IF($G2761="","",VLOOKUP('Dashboard And Emails Automate'!$G2761,Database!$H:$N,7,0)),"")</f>
        <v/>
      </c>
      <c r="N2761" s="55" t="str">
        <f>IFERROR(IF(OR($B2761="",$B2761="(blank)"),"",VLOOKUP($B2761,'Email Marketing Raw Data'!$C:$O,6,0)),"")</f>
        <v/>
      </c>
      <c r="O2761" s="55" t="str">
        <f>IFERROR(IF(OR($B2761="",$B2761="(blank)"),"",VLOOKUP($B2761,'Email Marketing Raw Data'!$C:$O,7,0)),"")</f>
        <v/>
      </c>
      <c r="P2761" s="55" t="str">
        <f>IFERROR(IF(OR($B2761="",$B2761="(blank)"),"",VLOOKUP($B2761,'Email Marketing Raw Data'!$C:$O,8,0)),"")</f>
        <v/>
      </c>
      <c r="Q2761" s="62" t="str">
        <f>IFERROR(IF(OR($B2761="",$B2761="(blank)"),"",VLOOKUP($B2761,'Email Marketing Raw Data'!$C:$O,9,0)),"")</f>
        <v/>
      </c>
    </row>
    <row r="2762" spans="4:17" ht="12.75" customHeight="1" x14ac:dyDescent="0.2">
      <c r="D2762" s="58" t="str">
        <f>IFERROR(IF(F2762&lt;&gt;"pending","",IF(OR($B2762="",$B2762="(blank)"),"",VLOOKUP($B2762,'Email Marketing Raw Data'!$C:$O,10,0))),"")</f>
        <v/>
      </c>
      <c r="E2762" s="59" t="str">
        <f>IFERROR(IF(F2762&lt;&gt;"pending","",IF(OR($B2762="",$B2762="(blank)"),"",VLOOKUP($B2762,'Email Marketing Raw Data'!$C:$O,11,0))),"")</f>
        <v/>
      </c>
      <c r="F2762" s="54" t="str">
        <f>IFERROR(IF(OR($B2762="",$B2762="(blank)"),"",VLOOKUP($B2762,'Email Marketing Raw Data'!$C:$O,13,0)),"")</f>
        <v/>
      </c>
      <c r="G2762" s="55" t="str">
        <f>IFERROR(IF(OR($B2762="",$B2762="(blank)"),"",VLOOKUP($B2762,'Email Marketing Raw Data'!$C:$O,4,0)),"")</f>
        <v/>
      </c>
      <c r="H2762" s="55" t="str">
        <f>IFERROR(IF(OR($B2762="",$B2762="(blank)"),"",VLOOKUP($B2762,'Email Marketing Raw Data'!$C:$O,5,0)),"")</f>
        <v/>
      </c>
      <c r="I2762" s="55" t="str">
        <f>IFERROR(IF($G2762="","",VLOOKUP('Dashboard And Emails Automate'!$G2762,Database!$H:$N,3,0)),"")</f>
        <v/>
      </c>
      <c r="J2762" s="55" t="str">
        <f>IFERROR(IF($G2762="","",VLOOKUP('Dashboard And Emails Automate'!$G2762,Database!$H:$N,4,0)),"")</f>
        <v/>
      </c>
      <c r="K2762" s="55" t="str">
        <f>IFERROR(IF($G2762="","",VLOOKUP('Dashboard And Emails Automate'!$G2762,Database!$H:$N,5,0)),"")</f>
        <v/>
      </c>
      <c r="L2762" s="55" t="str">
        <f>IFERROR(IF($G2762="","",VLOOKUP('Dashboard And Emails Automate'!$G2762,Database!$H:$N,6,0)),"")</f>
        <v/>
      </c>
      <c r="M2762" s="55" t="str">
        <f>IFERROR(IF($G2762="","",VLOOKUP('Dashboard And Emails Automate'!$G2762,Database!$H:$N,7,0)),"")</f>
        <v/>
      </c>
      <c r="N2762" s="55" t="str">
        <f>IFERROR(IF(OR($B2762="",$B2762="(blank)"),"",VLOOKUP($B2762,'Email Marketing Raw Data'!$C:$O,6,0)),"")</f>
        <v/>
      </c>
      <c r="O2762" s="55" t="str">
        <f>IFERROR(IF(OR($B2762="",$B2762="(blank)"),"",VLOOKUP($B2762,'Email Marketing Raw Data'!$C:$O,7,0)),"")</f>
        <v/>
      </c>
      <c r="P2762" s="55" t="str">
        <f>IFERROR(IF(OR($B2762="",$B2762="(blank)"),"",VLOOKUP($B2762,'Email Marketing Raw Data'!$C:$O,8,0)),"")</f>
        <v/>
      </c>
      <c r="Q2762" s="62" t="str">
        <f>IFERROR(IF(OR($B2762="",$B2762="(blank)"),"",VLOOKUP($B2762,'Email Marketing Raw Data'!$C:$O,9,0)),"")</f>
        <v/>
      </c>
    </row>
    <row r="2763" spans="4:17" ht="12.75" customHeight="1" x14ac:dyDescent="0.2">
      <c r="D2763" s="58" t="str">
        <f>IFERROR(IF(F2763&lt;&gt;"pending","",IF(OR($B2763="",$B2763="(blank)"),"",VLOOKUP($B2763,'Email Marketing Raw Data'!$C:$O,10,0))),"")</f>
        <v/>
      </c>
      <c r="E2763" s="59" t="str">
        <f>IFERROR(IF(F2763&lt;&gt;"pending","",IF(OR($B2763="",$B2763="(blank)"),"",VLOOKUP($B2763,'Email Marketing Raw Data'!$C:$O,11,0))),"")</f>
        <v/>
      </c>
      <c r="F2763" s="54" t="str">
        <f>IFERROR(IF(OR($B2763="",$B2763="(blank)"),"",VLOOKUP($B2763,'Email Marketing Raw Data'!$C:$O,13,0)),"")</f>
        <v/>
      </c>
      <c r="G2763" s="55" t="str">
        <f>IFERROR(IF(OR($B2763="",$B2763="(blank)"),"",VLOOKUP($B2763,'Email Marketing Raw Data'!$C:$O,4,0)),"")</f>
        <v/>
      </c>
      <c r="H2763" s="55" t="str">
        <f>IFERROR(IF(OR($B2763="",$B2763="(blank)"),"",VLOOKUP($B2763,'Email Marketing Raw Data'!$C:$O,5,0)),"")</f>
        <v/>
      </c>
      <c r="I2763" s="55" t="str">
        <f>IFERROR(IF($G2763="","",VLOOKUP('Dashboard And Emails Automate'!$G2763,Database!$H:$N,3,0)),"")</f>
        <v/>
      </c>
      <c r="J2763" s="55" t="str">
        <f>IFERROR(IF($G2763="","",VLOOKUP('Dashboard And Emails Automate'!$G2763,Database!$H:$N,4,0)),"")</f>
        <v/>
      </c>
      <c r="K2763" s="55" t="str">
        <f>IFERROR(IF($G2763="","",VLOOKUP('Dashboard And Emails Automate'!$G2763,Database!$H:$N,5,0)),"")</f>
        <v/>
      </c>
      <c r="L2763" s="55" t="str">
        <f>IFERROR(IF($G2763="","",VLOOKUP('Dashboard And Emails Automate'!$G2763,Database!$H:$N,6,0)),"")</f>
        <v/>
      </c>
      <c r="M2763" s="55" t="str">
        <f>IFERROR(IF($G2763="","",VLOOKUP('Dashboard And Emails Automate'!$G2763,Database!$H:$N,7,0)),"")</f>
        <v/>
      </c>
      <c r="N2763" s="55" t="str">
        <f>IFERROR(IF(OR($B2763="",$B2763="(blank)"),"",VLOOKUP($B2763,'Email Marketing Raw Data'!$C:$O,6,0)),"")</f>
        <v/>
      </c>
      <c r="O2763" s="55" t="str">
        <f>IFERROR(IF(OR($B2763="",$B2763="(blank)"),"",VLOOKUP($B2763,'Email Marketing Raw Data'!$C:$O,7,0)),"")</f>
        <v/>
      </c>
      <c r="P2763" s="55" t="str">
        <f>IFERROR(IF(OR($B2763="",$B2763="(blank)"),"",VLOOKUP($B2763,'Email Marketing Raw Data'!$C:$O,8,0)),"")</f>
        <v/>
      </c>
      <c r="Q2763" s="62" t="str">
        <f>IFERROR(IF(OR($B2763="",$B2763="(blank)"),"",VLOOKUP($B2763,'Email Marketing Raw Data'!$C:$O,9,0)),"")</f>
        <v/>
      </c>
    </row>
    <row r="2764" spans="4:17" ht="12.75" customHeight="1" x14ac:dyDescent="0.2">
      <c r="D2764" s="58" t="str">
        <f>IFERROR(IF(F2764&lt;&gt;"pending","",IF(OR($B2764="",$B2764="(blank)"),"",VLOOKUP($B2764,'Email Marketing Raw Data'!$C:$O,10,0))),"")</f>
        <v/>
      </c>
      <c r="E2764" s="59" t="str">
        <f>IFERROR(IF(F2764&lt;&gt;"pending","",IF(OR($B2764="",$B2764="(blank)"),"",VLOOKUP($B2764,'Email Marketing Raw Data'!$C:$O,11,0))),"")</f>
        <v/>
      </c>
      <c r="F2764" s="54" t="str">
        <f>IFERROR(IF(OR($B2764="",$B2764="(blank)"),"",VLOOKUP($B2764,'Email Marketing Raw Data'!$C:$O,13,0)),"")</f>
        <v/>
      </c>
      <c r="G2764" s="55" t="str">
        <f>IFERROR(IF(OR($B2764="",$B2764="(blank)"),"",VLOOKUP($B2764,'Email Marketing Raw Data'!$C:$O,4,0)),"")</f>
        <v/>
      </c>
      <c r="H2764" s="55" t="str">
        <f>IFERROR(IF(OR($B2764="",$B2764="(blank)"),"",VLOOKUP($B2764,'Email Marketing Raw Data'!$C:$O,5,0)),"")</f>
        <v/>
      </c>
      <c r="I2764" s="55" t="str">
        <f>IFERROR(IF($G2764="","",VLOOKUP('Dashboard And Emails Automate'!$G2764,Database!$H:$N,3,0)),"")</f>
        <v/>
      </c>
      <c r="J2764" s="55" t="str">
        <f>IFERROR(IF($G2764="","",VLOOKUP('Dashboard And Emails Automate'!$G2764,Database!$H:$N,4,0)),"")</f>
        <v/>
      </c>
      <c r="K2764" s="55" t="str">
        <f>IFERROR(IF($G2764="","",VLOOKUP('Dashboard And Emails Automate'!$G2764,Database!$H:$N,5,0)),"")</f>
        <v/>
      </c>
      <c r="L2764" s="55" t="str">
        <f>IFERROR(IF($G2764="","",VLOOKUP('Dashboard And Emails Automate'!$G2764,Database!$H:$N,6,0)),"")</f>
        <v/>
      </c>
      <c r="M2764" s="55" t="str">
        <f>IFERROR(IF($G2764="","",VLOOKUP('Dashboard And Emails Automate'!$G2764,Database!$H:$N,7,0)),"")</f>
        <v/>
      </c>
      <c r="N2764" s="55" t="str">
        <f>IFERROR(IF(OR($B2764="",$B2764="(blank)"),"",VLOOKUP($B2764,'Email Marketing Raw Data'!$C:$O,6,0)),"")</f>
        <v/>
      </c>
      <c r="O2764" s="55" t="str">
        <f>IFERROR(IF(OR($B2764="",$B2764="(blank)"),"",VLOOKUP($B2764,'Email Marketing Raw Data'!$C:$O,7,0)),"")</f>
        <v/>
      </c>
      <c r="P2764" s="55" t="str">
        <f>IFERROR(IF(OR($B2764="",$B2764="(blank)"),"",VLOOKUP($B2764,'Email Marketing Raw Data'!$C:$O,8,0)),"")</f>
        <v/>
      </c>
      <c r="Q2764" s="62" t="str">
        <f>IFERROR(IF(OR($B2764="",$B2764="(blank)"),"",VLOOKUP($B2764,'Email Marketing Raw Data'!$C:$O,9,0)),"")</f>
        <v/>
      </c>
    </row>
    <row r="2765" spans="4:17" ht="12.75" customHeight="1" x14ac:dyDescent="0.2">
      <c r="D2765" s="58" t="str">
        <f>IFERROR(IF(F2765&lt;&gt;"pending","",IF(OR($B2765="",$B2765="(blank)"),"",VLOOKUP($B2765,'Email Marketing Raw Data'!$C:$O,10,0))),"")</f>
        <v/>
      </c>
      <c r="E2765" s="59" t="str">
        <f>IFERROR(IF(F2765&lt;&gt;"pending","",IF(OR($B2765="",$B2765="(blank)"),"",VLOOKUP($B2765,'Email Marketing Raw Data'!$C:$O,11,0))),"")</f>
        <v/>
      </c>
      <c r="F2765" s="54" t="str">
        <f>IFERROR(IF(OR($B2765="",$B2765="(blank)"),"",VLOOKUP($B2765,'Email Marketing Raw Data'!$C:$O,13,0)),"")</f>
        <v/>
      </c>
      <c r="G2765" s="55" t="str">
        <f>IFERROR(IF(OR($B2765="",$B2765="(blank)"),"",VLOOKUP($B2765,'Email Marketing Raw Data'!$C:$O,4,0)),"")</f>
        <v/>
      </c>
      <c r="H2765" s="55" t="str">
        <f>IFERROR(IF(OR($B2765="",$B2765="(blank)"),"",VLOOKUP($B2765,'Email Marketing Raw Data'!$C:$O,5,0)),"")</f>
        <v/>
      </c>
      <c r="I2765" s="55" t="str">
        <f>IFERROR(IF($G2765="","",VLOOKUP('Dashboard And Emails Automate'!$G2765,Database!$H:$N,3,0)),"")</f>
        <v/>
      </c>
      <c r="J2765" s="55" t="str">
        <f>IFERROR(IF($G2765="","",VLOOKUP('Dashboard And Emails Automate'!$G2765,Database!$H:$N,4,0)),"")</f>
        <v/>
      </c>
      <c r="K2765" s="55" t="str">
        <f>IFERROR(IF($G2765="","",VLOOKUP('Dashboard And Emails Automate'!$G2765,Database!$H:$N,5,0)),"")</f>
        <v/>
      </c>
      <c r="L2765" s="55" t="str">
        <f>IFERROR(IF($G2765="","",VLOOKUP('Dashboard And Emails Automate'!$G2765,Database!$H:$N,6,0)),"")</f>
        <v/>
      </c>
      <c r="M2765" s="55" t="str">
        <f>IFERROR(IF($G2765="","",VLOOKUP('Dashboard And Emails Automate'!$G2765,Database!$H:$N,7,0)),"")</f>
        <v/>
      </c>
      <c r="N2765" s="55" t="str">
        <f>IFERROR(IF(OR($B2765="",$B2765="(blank)"),"",VLOOKUP($B2765,'Email Marketing Raw Data'!$C:$O,6,0)),"")</f>
        <v/>
      </c>
      <c r="O2765" s="55" t="str">
        <f>IFERROR(IF(OR($B2765="",$B2765="(blank)"),"",VLOOKUP($B2765,'Email Marketing Raw Data'!$C:$O,7,0)),"")</f>
        <v/>
      </c>
      <c r="P2765" s="55" t="str">
        <f>IFERROR(IF(OR($B2765="",$B2765="(blank)"),"",VLOOKUP($B2765,'Email Marketing Raw Data'!$C:$O,8,0)),"")</f>
        <v/>
      </c>
      <c r="Q2765" s="62" t="str">
        <f>IFERROR(IF(OR($B2765="",$B2765="(blank)"),"",VLOOKUP($B2765,'Email Marketing Raw Data'!$C:$O,9,0)),"")</f>
        <v/>
      </c>
    </row>
    <row r="2766" spans="4:17" ht="12.75" customHeight="1" x14ac:dyDescent="0.2">
      <c r="D2766" s="58" t="str">
        <f>IFERROR(IF(F2766&lt;&gt;"pending","",IF(OR($B2766="",$B2766="(blank)"),"",VLOOKUP($B2766,'Email Marketing Raw Data'!$C:$O,10,0))),"")</f>
        <v/>
      </c>
      <c r="E2766" s="59" t="str">
        <f>IFERROR(IF(F2766&lt;&gt;"pending","",IF(OR($B2766="",$B2766="(blank)"),"",VLOOKUP($B2766,'Email Marketing Raw Data'!$C:$O,11,0))),"")</f>
        <v/>
      </c>
      <c r="F2766" s="54" t="str">
        <f>IFERROR(IF(OR($B2766="",$B2766="(blank)"),"",VLOOKUP($B2766,'Email Marketing Raw Data'!$C:$O,13,0)),"")</f>
        <v/>
      </c>
      <c r="G2766" s="55" t="str">
        <f>IFERROR(IF(OR($B2766="",$B2766="(blank)"),"",VLOOKUP($B2766,'Email Marketing Raw Data'!$C:$O,4,0)),"")</f>
        <v/>
      </c>
      <c r="H2766" s="55" t="str">
        <f>IFERROR(IF(OR($B2766="",$B2766="(blank)"),"",VLOOKUP($B2766,'Email Marketing Raw Data'!$C:$O,5,0)),"")</f>
        <v/>
      </c>
      <c r="I2766" s="55" t="str">
        <f>IFERROR(IF($G2766="","",VLOOKUP('Dashboard And Emails Automate'!$G2766,Database!$H:$N,3,0)),"")</f>
        <v/>
      </c>
      <c r="J2766" s="55" t="str">
        <f>IFERROR(IF($G2766="","",VLOOKUP('Dashboard And Emails Automate'!$G2766,Database!$H:$N,4,0)),"")</f>
        <v/>
      </c>
      <c r="K2766" s="55" t="str">
        <f>IFERROR(IF($G2766="","",VLOOKUP('Dashboard And Emails Automate'!$G2766,Database!$H:$N,5,0)),"")</f>
        <v/>
      </c>
      <c r="L2766" s="55" t="str">
        <f>IFERROR(IF($G2766="","",VLOOKUP('Dashboard And Emails Automate'!$G2766,Database!$H:$N,6,0)),"")</f>
        <v/>
      </c>
      <c r="M2766" s="55" t="str">
        <f>IFERROR(IF($G2766="","",VLOOKUP('Dashboard And Emails Automate'!$G2766,Database!$H:$N,7,0)),"")</f>
        <v/>
      </c>
      <c r="N2766" s="55" t="str">
        <f>IFERROR(IF(OR($B2766="",$B2766="(blank)"),"",VLOOKUP($B2766,'Email Marketing Raw Data'!$C:$O,6,0)),"")</f>
        <v/>
      </c>
      <c r="O2766" s="55" t="str">
        <f>IFERROR(IF(OR($B2766="",$B2766="(blank)"),"",VLOOKUP($B2766,'Email Marketing Raw Data'!$C:$O,7,0)),"")</f>
        <v/>
      </c>
      <c r="P2766" s="55" t="str">
        <f>IFERROR(IF(OR($B2766="",$B2766="(blank)"),"",VLOOKUP($B2766,'Email Marketing Raw Data'!$C:$O,8,0)),"")</f>
        <v/>
      </c>
      <c r="Q2766" s="62" t="str">
        <f>IFERROR(IF(OR($B2766="",$B2766="(blank)"),"",VLOOKUP($B2766,'Email Marketing Raw Data'!$C:$O,9,0)),"")</f>
        <v/>
      </c>
    </row>
    <row r="2767" spans="4:17" ht="12.75" customHeight="1" x14ac:dyDescent="0.2">
      <c r="D2767" s="58" t="str">
        <f>IFERROR(IF(F2767&lt;&gt;"pending","",IF(OR($B2767="",$B2767="(blank)"),"",VLOOKUP($B2767,'Email Marketing Raw Data'!$C:$O,10,0))),"")</f>
        <v/>
      </c>
      <c r="E2767" s="59" t="str">
        <f>IFERROR(IF(F2767&lt;&gt;"pending","",IF(OR($B2767="",$B2767="(blank)"),"",VLOOKUP($B2767,'Email Marketing Raw Data'!$C:$O,11,0))),"")</f>
        <v/>
      </c>
      <c r="F2767" s="54" t="str">
        <f>IFERROR(IF(OR($B2767="",$B2767="(blank)"),"",VLOOKUP($B2767,'Email Marketing Raw Data'!$C:$O,13,0)),"")</f>
        <v/>
      </c>
      <c r="G2767" s="55" t="str">
        <f>IFERROR(IF(OR($B2767="",$B2767="(blank)"),"",VLOOKUP($B2767,'Email Marketing Raw Data'!$C:$O,4,0)),"")</f>
        <v/>
      </c>
      <c r="H2767" s="55" t="str">
        <f>IFERROR(IF(OR($B2767="",$B2767="(blank)"),"",VLOOKUP($B2767,'Email Marketing Raw Data'!$C:$O,5,0)),"")</f>
        <v/>
      </c>
      <c r="I2767" s="55" t="str">
        <f>IFERROR(IF($G2767="","",VLOOKUP('Dashboard And Emails Automate'!$G2767,Database!$H:$N,3,0)),"")</f>
        <v/>
      </c>
      <c r="J2767" s="55" t="str">
        <f>IFERROR(IF($G2767="","",VLOOKUP('Dashboard And Emails Automate'!$G2767,Database!$H:$N,4,0)),"")</f>
        <v/>
      </c>
      <c r="K2767" s="55" t="str">
        <f>IFERROR(IF($G2767="","",VLOOKUP('Dashboard And Emails Automate'!$G2767,Database!$H:$N,5,0)),"")</f>
        <v/>
      </c>
      <c r="L2767" s="55" t="str">
        <f>IFERROR(IF($G2767="","",VLOOKUP('Dashboard And Emails Automate'!$G2767,Database!$H:$N,6,0)),"")</f>
        <v/>
      </c>
      <c r="M2767" s="55" t="str">
        <f>IFERROR(IF($G2767="","",VLOOKUP('Dashboard And Emails Automate'!$G2767,Database!$H:$N,7,0)),"")</f>
        <v/>
      </c>
      <c r="N2767" s="55" t="str">
        <f>IFERROR(IF(OR($B2767="",$B2767="(blank)"),"",VLOOKUP($B2767,'Email Marketing Raw Data'!$C:$O,6,0)),"")</f>
        <v/>
      </c>
      <c r="O2767" s="55" t="str">
        <f>IFERROR(IF(OR($B2767="",$B2767="(blank)"),"",VLOOKUP($B2767,'Email Marketing Raw Data'!$C:$O,7,0)),"")</f>
        <v/>
      </c>
      <c r="P2767" s="55" t="str">
        <f>IFERROR(IF(OR($B2767="",$B2767="(blank)"),"",VLOOKUP($B2767,'Email Marketing Raw Data'!$C:$O,8,0)),"")</f>
        <v/>
      </c>
      <c r="Q2767" s="62" t="str">
        <f>IFERROR(IF(OR($B2767="",$B2767="(blank)"),"",VLOOKUP($B2767,'Email Marketing Raw Data'!$C:$O,9,0)),"")</f>
        <v/>
      </c>
    </row>
    <row r="2768" spans="4:17" ht="12.75" customHeight="1" x14ac:dyDescent="0.2">
      <c r="D2768" s="58" t="str">
        <f>IFERROR(IF(F2768&lt;&gt;"pending","",IF(OR($B2768="",$B2768="(blank)"),"",VLOOKUP($B2768,'Email Marketing Raw Data'!$C:$O,10,0))),"")</f>
        <v/>
      </c>
      <c r="E2768" s="59" t="str">
        <f>IFERROR(IF(F2768&lt;&gt;"pending","",IF(OR($B2768="",$B2768="(blank)"),"",VLOOKUP($B2768,'Email Marketing Raw Data'!$C:$O,11,0))),"")</f>
        <v/>
      </c>
      <c r="F2768" s="54" t="str">
        <f>IFERROR(IF(OR($B2768="",$B2768="(blank)"),"",VLOOKUP($B2768,'Email Marketing Raw Data'!$C:$O,13,0)),"")</f>
        <v/>
      </c>
      <c r="G2768" s="55" t="str">
        <f>IFERROR(IF(OR($B2768="",$B2768="(blank)"),"",VLOOKUP($B2768,'Email Marketing Raw Data'!$C:$O,4,0)),"")</f>
        <v/>
      </c>
      <c r="H2768" s="55" t="str">
        <f>IFERROR(IF(OR($B2768="",$B2768="(blank)"),"",VLOOKUP($B2768,'Email Marketing Raw Data'!$C:$O,5,0)),"")</f>
        <v/>
      </c>
      <c r="I2768" s="55" t="str">
        <f>IFERROR(IF($G2768="","",VLOOKUP('Dashboard And Emails Automate'!$G2768,Database!$H:$N,3,0)),"")</f>
        <v/>
      </c>
      <c r="J2768" s="55" t="str">
        <f>IFERROR(IF($G2768="","",VLOOKUP('Dashboard And Emails Automate'!$G2768,Database!$H:$N,4,0)),"")</f>
        <v/>
      </c>
      <c r="K2768" s="55" t="str">
        <f>IFERROR(IF($G2768="","",VLOOKUP('Dashboard And Emails Automate'!$G2768,Database!$H:$N,5,0)),"")</f>
        <v/>
      </c>
      <c r="L2768" s="55" t="str">
        <f>IFERROR(IF($G2768="","",VLOOKUP('Dashboard And Emails Automate'!$G2768,Database!$H:$N,6,0)),"")</f>
        <v/>
      </c>
      <c r="M2768" s="55" t="str">
        <f>IFERROR(IF($G2768="","",VLOOKUP('Dashboard And Emails Automate'!$G2768,Database!$H:$N,7,0)),"")</f>
        <v/>
      </c>
      <c r="N2768" s="55" t="str">
        <f>IFERROR(IF(OR($B2768="",$B2768="(blank)"),"",VLOOKUP($B2768,'Email Marketing Raw Data'!$C:$O,6,0)),"")</f>
        <v/>
      </c>
      <c r="O2768" s="55" t="str">
        <f>IFERROR(IF(OR($B2768="",$B2768="(blank)"),"",VLOOKUP($B2768,'Email Marketing Raw Data'!$C:$O,7,0)),"")</f>
        <v/>
      </c>
      <c r="P2768" s="55" t="str">
        <f>IFERROR(IF(OR($B2768="",$B2768="(blank)"),"",VLOOKUP($B2768,'Email Marketing Raw Data'!$C:$O,8,0)),"")</f>
        <v/>
      </c>
      <c r="Q2768" s="62" t="str">
        <f>IFERROR(IF(OR($B2768="",$B2768="(blank)"),"",VLOOKUP($B2768,'Email Marketing Raw Data'!$C:$O,9,0)),"")</f>
        <v/>
      </c>
    </row>
    <row r="2769" spans="4:17" ht="12.75" customHeight="1" x14ac:dyDescent="0.2">
      <c r="D2769" s="58" t="str">
        <f>IFERROR(IF(F2769&lt;&gt;"pending","",IF(OR($B2769="",$B2769="(blank)"),"",VLOOKUP($B2769,'Email Marketing Raw Data'!$C:$O,10,0))),"")</f>
        <v/>
      </c>
      <c r="E2769" s="59" t="str">
        <f>IFERROR(IF(F2769&lt;&gt;"pending","",IF(OR($B2769="",$B2769="(blank)"),"",VLOOKUP($B2769,'Email Marketing Raw Data'!$C:$O,11,0))),"")</f>
        <v/>
      </c>
      <c r="F2769" s="54" t="str">
        <f>IFERROR(IF(OR($B2769="",$B2769="(blank)"),"",VLOOKUP($B2769,'Email Marketing Raw Data'!$C:$O,13,0)),"")</f>
        <v/>
      </c>
      <c r="G2769" s="55" t="str">
        <f>IFERROR(IF(OR($B2769="",$B2769="(blank)"),"",VLOOKUP($B2769,'Email Marketing Raw Data'!$C:$O,4,0)),"")</f>
        <v/>
      </c>
      <c r="H2769" s="55" t="str">
        <f>IFERROR(IF(OR($B2769="",$B2769="(blank)"),"",VLOOKUP($B2769,'Email Marketing Raw Data'!$C:$O,5,0)),"")</f>
        <v/>
      </c>
      <c r="I2769" s="55" t="str">
        <f>IFERROR(IF($G2769="","",VLOOKUP('Dashboard And Emails Automate'!$G2769,Database!$H:$N,3,0)),"")</f>
        <v/>
      </c>
      <c r="J2769" s="55" t="str">
        <f>IFERROR(IF($G2769="","",VLOOKUP('Dashboard And Emails Automate'!$G2769,Database!$H:$N,4,0)),"")</f>
        <v/>
      </c>
      <c r="K2769" s="55" t="str">
        <f>IFERROR(IF($G2769="","",VLOOKUP('Dashboard And Emails Automate'!$G2769,Database!$H:$N,5,0)),"")</f>
        <v/>
      </c>
      <c r="L2769" s="55" t="str">
        <f>IFERROR(IF($G2769="","",VLOOKUP('Dashboard And Emails Automate'!$G2769,Database!$H:$N,6,0)),"")</f>
        <v/>
      </c>
      <c r="M2769" s="55" t="str">
        <f>IFERROR(IF($G2769="","",VLOOKUP('Dashboard And Emails Automate'!$G2769,Database!$H:$N,7,0)),"")</f>
        <v/>
      </c>
      <c r="N2769" s="55" t="str">
        <f>IFERROR(IF(OR($B2769="",$B2769="(blank)"),"",VLOOKUP($B2769,'Email Marketing Raw Data'!$C:$O,6,0)),"")</f>
        <v/>
      </c>
      <c r="O2769" s="55" t="str">
        <f>IFERROR(IF(OR($B2769="",$B2769="(blank)"),"",VLOOKUP($B2769,'Email Marketing Raw Data'!$C:$O,7,0)),"")</f>
        <v/>
      </c>
      <c r="P2769" s="55" t="str">
        <f>IFERROR(IF(OR($B2769="",$B2769="(blank)"),"",VLOOKUP($B2769,'Email Marketing Raw Data'!$C:$O,8,0)),"")</f>
        <v/>
      </c>
      <c r="Q2769" s="62" t="str">
        <f>IFERROR(IF(OR($B2769="",$B2769="(blank)"),"",VLOOKUP($B2769,'Email Marketing Raw Data'!$C:$O,9,0)),"")</f>
        <v/>
      </c>
    </row>
    <row r="2770" spans="4:17" ht="12.75" customHeight="1" x14ac:dyDescent="0.2">
      <c r="D2770" s="58" t="str">
        <f>IFERROR(IF(F2770&lt;&gt;"pending","",IF(OR($B2770="",$B2770="(blank)"),"",VLOOKUP($B2770,'Email Marketing Raw Data'!$C:$O,10,0))),"")</f>
        <v/>
      </c>
      <c r="E2770" s="59" t="str">
        <f>IFERROR(IF(F2770&lt;&gt;"pending","",IF(OR($B2770="",$B2770="(blank)"),"",VLOOKUP($B2770,'Email Marketing Raw Data'!$C:$O,11,0))),"")</f>
        <v/>
      </c>
      <c r="F2770" s="54" t="str">
        <f>IFERROR(IF(OR($B2770="",$B2770="(blank)"),"",VLOOKUP($B2770,'Email Marketing Raw Data'!$C:$O,13,0)),"")</f>
        <v/>
      </c>
      <c r="G2770" s="55" t="str">
        <f>IFERROR(IF(OR($B2770="",$B2770="(blank)"),"",VLOOKUP($B2770,'Email Marketing Raw Data'!$C:$O,4,0)),"")</f>
        <v/>
      </c>
      <c r="H2770" s="55" t="str">
        <f>IFERROR(IF(OR($B2770="",$B2770="(blank)"),"",VLOOKUP($B2770,'Email Marketing Raw Data'!$C:$O,5,0)),"")</f>
        <v/>
      </c>
      <c r="I2770" s="55" t="str">
        <f>IFERROR(IF($G2770="","",VLOOKUP('Dashboard And Emails Automate'!$G2770,Database!$H:$N,3,0)),"")</f>
        <v/>
      </c>
      <c r="J2770" s="55" t="str">
        <f>IFERROR(IF($G2770="","",VLOOKUP('Dashboard And Emails Automate'!$G2770,Database!$H:$N,4,0)),"")</f>
        <v/>
      </c>
      <c r="K2770" s="55" t="str">
        <f>IFERROR(IF($G2770="","",VLOOKUP('Dashboard And Emails Automate'!$G2770,Database!$H:$N,5,0)),"")</f>
        <v/>
      </c>
      <c r="L2770" s="55" t="str">
        <f>IFERROR(IF($G2770="","",VLOOKUP('Dashboard And Emails Automate'!$G2770,Database!$H:$N,6,0)),"")</f>
        <v/>
      </c>
      <c r="M2770" s="55" t="str">
        <f>IFERROR(IF($G2770="","",VLOOKUP('Dashboard And Emails Automate'!$G2770,Database!$H:$N,7,0)),"")</f>
        <v/>
      </c>
      <c r="N2770" s="55" t="str">
        <f>IFERROR(IF(OR($B2770="",$B2770="(blank)"),"",VLOOKUP($B2770,'Email Marketing Raw Data'!$C:$O,6,0)),"")</f>
        <v/>
      </c>
      <c r="O2770" s="55" t="str">
        <f>IFERROR(IF(OR($B2770="",$B2770="(blank)"),"",VLOOKUP($B2770,'Email Marketing Raw Data'!$C:$O,7,0)),"")</f>
        <v/>
      </c>
      <c r="P2770" s="55" t="str">
        <f>IFERROR(IF(OR($B2770="",$B2770="(blank)"),"",VLOOKUP($B2770,'Email Marketing Raw Data'!$C:$O,8,0)),"")</f>
        <v/>
      </c>
      <c r="Q2770" s="62" t="str">
        <f>IFERROR(IF(OR($B2770="",$B2770="(blank)"),"",VLOOKUP($B2770,'Email Marketing Raw Data'!$C:$O,9,0)),"")</f>
        <v/>
      </c>
    </row>
    <row r="2771" spans="4:17" ht="12.75" customHeight="1" x14ac:dyDescent="0.2">
      <c r="D2771" s="58" t="str">
        <f>IFERROR(IF(F2771&lt;&gt;"pending","",IF(OR($B2771="",$B2771="(blank)"),"",VLOOKUP($B2771,'Email Marketing Raw Data'!$C:$O,10,0))),"")</f>
        <v/>
      </c>
      <c r="E2771" s="59" t="str">
        <f>IFERROR(IF(F2771&lt;&gt;"pending","",IF(OR($B2771="",$B2771="(blank)"),"",VLOOKUP($B2771,'Email Marketing Raw Data'!$C:$O,11,0))),"")</f>
        <v/>
      </c>
      <c r="F2771" s="54" t="str">
        <f>IFERROR(IF(OR($B2771="",$B2771="(blank)"),"",VLOOKUP($B2771,'Email Marketing Raw Data'!$C:$O,13,0)),"")</f>
        <v/>
      </c>
      <c r="G2771" s="55" t="str">
        <f>IFERROR(IF(OR($B2771="",$B2771="(blank)"),"",VLOOKUP($B2771,'Email Marketing Raw Data'!$C:$O,4,0)),"")</f>
        <v/>
      </c>
      <c r="H2771" s="55" t="str">
        <f>IFERROR(IF(OR($B2771="",$B2771="(blank)"),"",VLOOKUP($B2771,'Email Marketing Raw Data'!$C:$O,5,0)),"")</f>
        <v/>
      </c>
      <c r="I2771" s="55" t="str">
        <f>IFERROR(IF($G2771="","",VLOOKUP('Dashboard And Emails Automate'!$G2771,Database!$H:$N,3,0)),"")</f>
        <v/>
      </c>
      <c r="J2771" s="55" t="str">
        <f>IFERROR(IF($G2771="","",VLOOKUP('Dashboard And Emails Automate'!$G2771,Database!$H:$N,4,0)),"")</f>
        <v/>
      </c>
      <c r="K2771" s="55" t="str">
        <f>IFERROR(IF($G2771="","",VLOOKUP('Dashboard And Emails Automate'!$G2771,Database!$H:$N,5,0)),"")</f>
        <v/>
      </c>
      <c r="L2771" s="55" t="str">
        <f>IFERROR(IF($G2771="","",VLOOKUP('Dashboard And Emails Automate'!$G2771,Database!$H:$N,6,0)),"")</f>
        <v/>
      </c>
      <c r="M2771" s="55" t="str">
        <f>IFERROR(IF($G2771="","",VLOOKUP('Dashboard And Emails Automate'!$G2771,Database!$H:$N,7,0)),"")</f>
        <v/>
      </c>
      <c r="N2771" s="55" t="str">
        <f>IFERROR(IF(OR($B2771="",$B2771="(blank)"),"",VLOOKUP($B2771,'Email Marketing Raw Data'!$C:$O,6,0)),"")</f>
        <v/>
      </c>
      <c r="O2771" s="55" t="str">
        <f>IFERROR(IF(OR($B2771="",$B2771="(blank)"),"",VLOOKUP($B2771,'Email Marketing Raw Data'!$C:$O,7,0)),"")</f>
        <v/>
      </c>
      <c r="P2771" s="55" t="str">
        <f>IFERROR(IF(OR($B2771="",$B2771="(blank)"),"",VLOOKUP($B2771,'Email Marketing Raw Data'!$C:$O,8,0)),"")</f>
        <v/>
      </c>
      <c r="Q2771" s="62" t="str">
        <f>IFERROR(IF(OR($B2771="",$B2771="(blank)"),"",VLOOKUP($B2771,'Email Marketing Raw Data'!$C:$O,9,0)),"")</f>
        <v/>
      </c>
    </row>
    <row r="2772" spans="4:17" ht="12.75" customHeight="1" x14ac:dyDescent="0.2">
      <c r="D2772" s="58" t="str">
        <f>IFERROR(IF(F2772&lt;&gt;"pending","",IF(OR($B2772="",$B2772="(blank)"),"",VLOOKUP($B2772,'Email Marketing Raw Data'!$C:$O,10,0))),"")</f>
        <v/>
      </c>
      <c r="E2772" s="59" t="str">
        <f>IFERROR(IF(F2772&lt;&gt;"pending","",IF(OR($B2772="",$B2772="(blank)"),"",VLOOKUP($B2772,'Email Marketing Raw Data'!$C:$O,11,0))),"")</f>
        <v/>
      </c>
      <c r="F2772" s="54" t="str">
        <f>IFERROR(IF(OR($B2772="",$B2772="(blank)"),"",VLOOKUP($B2772,'Email Marketing Raw Data'!$C:$O,13,0)),"")</f>
        <v/>
      </c>
      <c r="G2772" s="55" t="str">
        <f>IFERROR(IF(OR($B2772="",$B2772="(blank)"),"",VLOOKUP($B2772,'Email Marketing Raw Data'!$C:$O,4,0)),"")</f>
        <v/>
      </c>
      <c r="H2772" s="55" t="str">
        <f>IFERROR(IF(OR($B2772="",$B2772="(blank)"),"",VLOOKUP($B2772,'Email Marketing Raw Data'!$C:$O,5,0)),"")</f>
        <v/>
      </c>
      <c r="I2772" s="55" t="str">
        <f>IFERROR(IF($G2772="","",VLOOKUP('Dashboard And Emails Automate'!$G2772,Database!$H:$N,3,0)),"")</f>
        <v/>
      </c>
      <c r="J2772" s="55" t="str">
        <f>IFERROR(IF($G2772="","",VLOOKUP('Dashboard And Emails Automate'!$G2772,Database!$H:$N,4,0)),"")</f>
        <v/>
      </c>
      <c r="K2772" s="55" t="str">
        <f>IFERROR(IF($G2772="","",VLOOKUP('Dashboard And Emails Automate'!$G2772,Database!$H:$N,5,0)),"")</f>
        <v/>
      </c>
      <c r="L2772" s="55" t="str">
        <f>IFERROR(IF($G2772="","",VLOOKUP('Dashboard And Emails Automate'!$G2772,Database!$H:$N,6,0)),"")</f>
        <v/>
      </c>
      <c r="M2772" s="55" t="str">
        <f>IFERROR(IF($G2772="","",VLOOKUP('Dashboard And Emails Automate'!$G2772,Database!$H:$N,7,0)),"")</f>
        <v/>
      </c>
      <c r="N2772" s="55" t="str">
        <f>IFERROR(IF(OR($B2772="",$B2772="(blank)"),"",VLOOKUP($B2772,'Email Marketing Raw Data'!$C:$O,6,0)),"")</f>
        <v/>
      </c>
      <c r="O2772" s="55" t="str">
        <f>IFERROR(IF(OR($B2772="",$B2772="(blank)"),"",VLOOKUP($B2772,'Email Marketing Raw Data'!$C:$O,7,0)),"")</f>
        <v/>
      </c>
      <c r="P2772" s="55" t="str">
        <f>IFERROR(IF(OR($B2772="",$B2772="(blank)"),"",VLOOKUP($B2772,'Email Marketing Raw Data'!$C:$O,8,0)),"")</f>
        <v/>
      </c>
      <c r="Q2772" s="62" t="str">
        <f>IFERROR(IF(OR($B2772="",$B2772="(blank)"),"",VLOOKUP($B2772,'Email Marketing Raw Data'!$C:$O,9,0)),"")</f>
        <v/>
      </c>
    </row>
    <row r="2773" spans="4:17" ht="12.75" customHeight="1" x14ac:dyDescent="0.2">
      <c r="D2773" s="58" t="str">
        <f>IFERROR(IF(F2773&lt;&gt;"pending","",IF(OR($B2773="",$B2773="(blank)"),"",VLOOKUP($B2773,'Email Marketing Raw Data'!$C:$O,10,0))),"")</f>
        <v/>
      </c>
      <c r="E2773" s="59" t="str">
        <f>IFERROR(IF(F2773&lt;&gt;"pending","",IF(OR($B2773="",$B2773="(blank)"),"",VLOOKUP($B2773,'Email Marketing Raw Data'!$C:$O,11,0))),"")</f>
        <v/>
      </c>
      <c r="F2773" s="54" t="str">
        <f>IFERROR(IF(OR($B2773="",$B2773="(blank)"),"",VLOOKUP($B2773,'Email Marketing Raw Data'!$C:$O,13,0)),"")</f>
        <v/>
      </c>
      <c r="G2773" s="55" t="str">
        <f>IFERROR(IF(OR($B2773="",$B2773="(blank)"),"",VLOOKUP($B2773,'Email Marketing Raw Data'!$C:$O,4,0)),"")</f>
        <v/>
      </c>
      <c r="H2773" s="55" t="str">
        <f>IFERROR(IF(OR($B2773="",$B2773="(blank)"),"",VLOOKUP($B2773,'Email Marketing Raw Data'!$C:$O,5,0)),"")</f>
        <v/>
      </c>
      <c r="I2773" s="55" t="str">
        <f>IFERROR(IF($G2773="","",VLOOKUP('Dashboard And Emails Automate'!$G2773,Database!$H:$N,3,0)),"")</f>
        <v/>
      </c>
      <c r="J2773" s="55" t="str">
        <f>IFERROR(IF($G2773="","",VLOOKUP('Dashboard And Emails Automate'!$G2773,Database!$H:$N,4,0)),"")</f>
        <v/>
      </c>
      <c r="K2773" s="55" t="str">
        <f>IFERROR(IF($G2773="","",VLOOKUP('Dashboard And Emails Automate'!$G2773,Database!$H:$N,5,0)),"")</f>
        <v/>
      </c>
      <c r="L2773" s="55" t="str">
        <f>IFERROR(IF($G2773="","",VLOOKUP('Dashboard And Emails Automate'!$G2773,Database!$H:$N,6,0)),"")</f>
        <v/>
      </c>
      <c r="M2773" s="55" t="str">
        <f>IFERROR(IF($G2773="","",VLOOKUP('Dashboard And Emails Automate'!$G2773,Database!$H:$N,7,0)),"")</f>
        <v/>
      </c>
      <c r="N2773" s="55" t="str">
        <f>IFERROR(IF(OR($B2773="",$B2773="(blank)"),"",VLOOKUP($B2773,'Email Marketing Raw Data'!$C:$O,6,0)),"")</f>
        <v/>
      </c>
      <c r="O2773" s="55" t="str">
        <f>IFERROR(IF(OR($B2773="",$B2773="(blank)"),"",VLOOKUP($B2773,'Email Marketing Raw Data'!$C:$O,7,0)),"")</f>
        <v/>
      </c>
      <c r="P2773" s="55" t="str">
        <f>IFERROR(IF(OR($B2773="",$B2773="(blank)"),"",VLOOKUP($B2773,'Email Marketing Raw Data'!$C:$O,8,0)),"")</f>
        <v/>
      </c>
      <c r="Q2773" s="62" t="str">
        <f>IFERROR(IF(OR($B2773="",$B2773="(blank)"),"",VLOOKUP($B2773,'Email Marketing Raw Data'!$C:$O,9,0)),"")</f>
        <v/>
      </c>
    </row>
    <row r="2774" spans="4:17" ht="12.75" customHeight="1" x14ac:dyDescent="0.2">
      <c r="D2774" s="58" t="str">
        <f>IFERROR(IF(F2774&lt;&gt;"pending","",IF(OR($B2774="",$B2774="(blank)"),"",VLOOKUP($B2774,'Email Marketing Raw Data'!$C:$O,10,0))),"")</f>
        <v/>
      </c>
      <c r="E2774" s="59" t="str">
        <f>IFERROR(IF(F2774&lt;&gt;"pending","",IF(OR($B2774="",$B2774="(blank)"),"",VLOOKUP($B2774,'Email Marketing Raw Data'!$C:$O,11,0))),"")</f>
        <v/>
      </c>
      <c r="F2774" s="54" t="str">
        <f>IFERROR(IF(OR($B2774="",$B2774="(blank)"),"",VLOOKUP($B2774,'Email Marketing Raw Data'!$C:$O,13,0)),"")</f>
        <v/>
      </c>
      <c r="G2774" s="55" t="str">
        <f>IFERROR(IF(OR($B2774="",$B2774="(blank)"),"",VLOOKUP($B2774,'Email Marketing Raw Data'!$C:$O,4,0)),"")</f>
        <v/>
      </c>
      <c r="H2774" s="55" t="str">
        <f>IFERROR(IF(OR($B2774="",$B2774="(blank)"),"",VLOOKUP($B2774,'Email Marketing Raw Data'!$C:$O,5,0)),"")</f>
        <v/>
      </c>
      <c r="I2774" s="55" t="str">
        <f>IFERROR(IF($G2774="","",VLOOKUP('Dashboard And Emails Automate'!$G2774,Database!$H:$N,3,0)),"")</f>
        <v/>
      </c>
      <c r="J2774" s="55" t="str">
        <f>IFERROR(IF($G2774="","",VLOOKUP('Dashboard And Emails Automate'!$G2774,Database!$H:$N,4,0)),"")</f>
        <v/>
      </c>
      <c r="K2774" s="55" t="str">
        <f>IFERROR(IF($G2774="","",VLOOKUP('Dashboard And Emails Automate'!$G2774,Database!$H:$N,5,0)),"")</f>
        <v/>
      </c>
      <c r="L2774" s="55" t="str">
        <f>IFERROR(IF($G2774="","",VLOOKUP('Dashboard And Emails Automate'!$G2774,Database!$H:$N,6,0)),"")</f>
        <v/>
      </c>
      <c r="M2774" s="55" t="str">
        <f>IFERROR(IF($G2774="","",VLOOKUP('Dashboard And Emails Automate'!$G2774,Database!$H:$N,7,0)),"")</f>
        <v/>
      </c>
      <c r="N2774" s="55" t="str">
        <f>IFERROR(IF(OR($B2774="",$B2774="(blank)"),"",VLOOKUP($B2774,'Email Marketing Raw Data'!$C:$O,6,0)),"")</f>
        <v/>
      </c>
      <c r="O2774" s="55" t="str">
        <f>IFERROR(IF(OR($B2774="",$B2774="(blank)"),"",VLOOKUP($B2774,'Email Marketing Raw Data'!$C:$O,7,0)),"")</f>
        <v/>
      </c>
      <c r="P2774" s="55" t="str">
        <f>IFERROR(IF(OR($B2774="",$B2774="(blank)"),"",VLOOKUP($B2774,'Email Marketing Raw Data'!$C:$O,8,0)),"")</f>
        <v/>
      </c>
      <c r="Q2774" s="62" t="str">
        <f>IFERROR(IF(OR($B2774="",$B2774="(blank)"),"",VLOOKUP($B2774,'Email Marketing Raw Data'!$C:$O,9,0)),"")</f>
        <v/>
      </c>
    </row>
    <row r="2775" spans="4:17" ht="12.75" customHeight="1" x14ac:dyDescent="0.2">
      <c r="D2775" s="58" t="str">
        <f>IFERROR(IF(F2775&lt;&gt;"pending","",IF(OR($B2775="",$B2775="(blank)"),"",VLOOKUP($B2775,'Email Marketing Raw Data'!$C:$O,10,0))),"")</f>
        <v/>
      </c>
      <c r="E2775" s="59" t="str">
        <f>IFERROR(IF(F2775&lt;&gt;"pending","",IF(OR($B2775="",$B2775="(blank)"),"",VLOOKUP($B2775,'Email Marketing Raw Data'!$C:$O,11,0))),"")</f>
        <v/>
      </c>
      <c r="F2775" s="54" t="str">
        <f>IFERROR(IF(OR($B2775="",$B2775="(blank)"),"",VLOOKUP($B2775,'Email Marketing Raw Data'!$C:$O,13,0)),"")</f>
        <v/>
      </c>
      <c r="G2775" s="55" t="str">
        <f>IFERROR(IF(OR($B2775="",$B2775="(blank)"),"",VLOOKUP($B2775,'Email Marketing Raw Data'!$C:$O,4,0)),"")</f>
        <v/>
      </c>
      <c r="H2775" s="55" t="str">
        <f>IFERROR(IF(OR($B2775="",$B2775="(blank)"),"",VLOOKUP($B2775,'Email Marketing Raw Data'!$C:$O,5,0)),"")</f>
        <v/>
      </c>
      <c r="I2775" s="55" t="str">
        <f>IFERROR(IF($G2775="","",VLOOKUP('Dashboard And Emails Automate'!$G2775,Database!$H:$N,3,0)),"")</f>
        <v/>
      </c>
      <c r="J2775" s="55" t="str">
        <f>IFERROR(IF($G2775="","",VLOOKUP('Dashboard And Emails Automate'!$G2775,Database!$H:$N,4,0)),"")</f>
        <v/>
      </c>
      <c r="K2775" s="55" t="str">
        <f>IFERROR(IF($G2775="","",VLOOKUP('Dashboard And Emails Automate'!$G2775,Database!$H:$N,5,0)),"")</f>
        <v/>
      </c>
      <c r="L2775" s="55" t="str">
        <f>IFERROR(IF($G2775="","",VLOOKUP('Dashboard And Emails Automate'!$G2775,Database!$H:$N,6,0)),"")</f>
        <v/>
      </c>
      <c r="M2775" s="55" t="str">
        <f>IFERROR(IF($G2775="","",VLOOKUP('Dashboard And Emails Automate'!$G2775,Database!$H:$N,7,0)),"")</f>
        <v/>
      </c>
      <c r="N2775" s="55" t="str">
        <f>IFERROR(IF(OR($B2775="",$B2775="(blank)"),"",VLOOKUP($B2775,'Email Marketing Raw Data'!$C:$O,6,0)),"")</f>
        <v/>
      </c>
      <c r="O2775" s="55" t="str">
        <f>IFERROR(IF(OR($B2775="",$B2775="(blank)"),"",VLOOKUP($B2775,'Email Marketing Raw Data'!$C:$O,7,0)),"")</f>
        <v/>
      </c>
      <c r="P2775" s="55" t="str">
        <f>IFERROR(IF(OR($B2775="",$B2775="(blank)"),"",VLOOKUP($B2775,'Email Marketing Raw Data'!$C:$O,8,0)),"")</f>
        <v/>
      </c>
      <c r="Q2775" s="62" t="str">
        <f>IFERROR(IF(OR($B2775="",$B2775="(blank)"),"",VLOOKUP($B2775,'Email Marketing Raw Data'!$C:$O,9,0)),"")</f>
        <v/>
      </c>
    </row>
    <row r="2776" spans="4:17" ht="12.75" customHeight="1" x14ac:dyDescent="0.2">
      <c r="D2776" s="58" t="str">
        <f>IFERROR(IF(F2776&lt;&gt;"pending","",IF(OR($B2776="",$B2776="(blank)"),"",VLOOKUP($B2776,'Email Marketing Raw Data'!$C:$O,10,0))),"")</f>
        <v/>
      </c>
      <c r="E2776" s="59" t="str">
        <f>IFERROR(IF(F2776&lt;&gt;"pending","",IF(OR($B2776="",$B2776="(blank)"),"",VLOOKUP($B2776,'Email Marketing Raw Data'!$C:$O,11,0))),"")</f>
        <v/>
      </c>
      <c r="F2776" s="54" t="str">
        <f>IFERROR(IF(OR($B2776="",$B2776="(blank)"),"",VLOOKUP($B2776,'Email Marketing Raw Data'!$C:$O,13,0)),"")</f>
        <v/>
      </c>
      <c r="G2776" s="55" t="str">
        <f>IFERROR(IF(OR($B2776="",$B2776="(blank)"),"",VLOOKUP($B2776,'Email Marketing Raw Data'!$C:$O,4,0)),"")</f>
        <v/>
      </c>
      <c r="H2776" s="55" t="str">
        <f>IFERROR(IF(OR($B2776="",$B2776="(blank)"),"",VLOOKUP($B2776,'Email Marketing Raw Data'!$C:$O,5,0)),"")</f>
        <v/>
      </c>
      <c r="I2776" s="55" t="str">
        <f>IFERROR(IF($G2776="","",VLOOKUP('Dashboard And Emails Automate'!$G2776,Database!$H:$N,3,0)),"")</f>
        <v/>
      </c>
      <c r="J2776" s="55" t="str">
        <f>IFERROR(IF($G2776="","",VLOOKUP('Dashboard And Emails Automate'!$G2776,Database!$H:$N,4,0)),"")</f>
        <v/>
      </c>
      <c r="K2776" s="55" t="str">
        <f>IFERROR(IF($G2776="","",VLOOKUP('Dashboard And Emails Automate'!$G2776,Database!$H:$N,5,0)),"")</f>
        <v/>
      </c>
      <c r="L2776" s="55" t="str">
        <f>IFERROR(IF($G2776="","",VLOOKUP('Dashboard And Emails Automate'!$G2776,Database!$H:$N,6,0)),"")</f>
        <v/>
      </c>
      <c r="M2776" s="55" t="str">
        <f>IFERROR(IF($G2776="","",VLOOKUP('Dashboard And Emails Automate'!$G2776,Database!$H:$N,7,0)),"")</f>
        <v/>
      </c>
      <c r="N2776" s="55" t="str">
        <f>IFERROR(IF(OR($B2776="",$B2776="(blank)"),"",VLOOKUP($B2776,'Email Marketing Raw Data'!$C:$O,6,0)),"")</f>
        <v/>
      </c>
      <c r="O2776" s="55" t="str">
        <f>IFERROR(IF(OR($B2776="",$B2776="(blank)"),"",VLOOKUP($B2776,'Email Marketing Raw Data'!$C:$O,7,0)),"")</f>
        <v/>
      </c>
      <c r="P2776" s="55" t="str">
        <f>IFERROR(IF(OR($B2776="",$B2776="(blank)"),"",VLOOKUP($B2776,'Email Marketing Raw Data'!$C:$O,8,0)),"")</f>
        <v/>
      </c>
      <c r="Q2776" s="62" t="str">
        <f>IFERROR(IF(OR($B2776="",$B2776="(blank)"),"",VLOOKUP($B2776,'Email Marketing Raw Data'!$C:$O,9,0)),"")</f>
        <v/>
      </c>
    </row>
    <row r="2777" spans="4:17" ht="12.75" customHeight="1" x14ac:dyDescent="0.2">
      <c r="D2777" s="58" t="str">
        <f>IFERROR(IF(F2777&lt;&gt;"pending","",IF(OR($B2777="",$B2777="(blank)"),"",VLOOKUP($B2777,'Email Marketing Raw Data'!$C:$O,10,0))),"")</f>
        <v/>
      </c>
      <c r="E2777" s="59" t="str">
        <f>IFERROR(IF(F2777&lt;&gt;"pending","",IF(OR($B2777="",$B2777="(blank)"),"",VLOOKUP($B2777,'Email Marketing Raw Data'!$C:$O,11,0))),"")</f>
        <v/>
      </c>
      <c r="F2777" s="54" t="str">
        <f>IFERROR(IF(OR($B2777="",$B2777="(blank)"),"",VLOOKUP($B2777,'Email Marketing Raw Data'!$C:$O,13,0)),"")</f>
        <v/>
      </c>
      <c r="G2777" s="55" t="str">
        <f>IFERROR(IF(OR($B2777="",$B2777="(blank)"),"",VLOOKUP($B2777,'Email Marketing Raw Data'!$C:$O,4,0)),"")</f>
        <v/>
      </c>
      <c r="H2777" s="55" t="str">
        <f>IFERROR(IF(OR($B2777="",$B2777="(blank)"),"",VLOOKUP($B2777,'Email Marketing Raw Data'!$C:$O,5,0)),"")</f>
        <v/>
      </c>
      <c r="I2777" s="55" t="str">
        <f>IFERROR(IF($G2777="","",VLOOKUP('Dashboard And Emails Automate'!$G2777,Database!$H:$N,3,0)),"")</f>
        <v/>
      </c>
      <c r="J2777" s="55" t="str">
        <f>IFERROR(IF($G2777="","",VLOOKUP('Dashboard And Emails Automate'!$G2777,Database!$H:$N,4,0)),"")</f>
        <v/>
      </c>
      <c r="K2777" s="55" t="str">
        <f>IFERROR(IF($G2777="","",VLOOKUP('Dashboard And Emails Automate'!$G2777,Database!$H:$N,5,0)),"")</f>
        <v/>
      </c>
      <c r="L2777" s="55" t="str">
        <f>IFERROR(IF($G2777="","",VLOOKUP('Dashboard And Emails Automate'!$G2777,Database!$H:$N,6,0)),"")</f>
        <v/>
      </c>
      <c r="M2777" s="55" t="str">
        <f>IFERROR(IF($G2777="","",VLOOKUP('Dashboard And Emails Automate'!$G2777,Database!$H:$N,7,0)),"")</f>
        <v/>
      </c>
      <c r="N2777" s="55" t="str">
        <f>IFERROR(IF(OR($B2777="",$B2777="(blank)"),"",VLOOKUP($B2777,'Email Marketing Raw Data'!$C:$O,6,0)),"")</f>
        <v/>
      </c>
      <c r="O2777" s="55" t="str">
        <f>IFERROR(IF(OR($B2777="",$B2777="(blank)"),"",VLOOKUP($B2777,'Email Marketing Raw Data'!$C:$O,7,0)),"")</f>
        <v/>
      </c>
      <c r="P2777" s="55" t="str">
        <f>IFERROR(IF(OR($B2777="",$B2777="(blank)"),"",VLOOKUP($B2777,'Email Marketing Raw Data'!$C:$O,8,0)),"")</f>
        <v/>
      </c>
      <c r="Q2777" s="62" t="str">
        <f>IFERROR(IF(OR($B2777="",$B2777="(blank)"),"",VLOOKUP($B2777,'Email Marketing Raw Data'!$C:$O,9,0)),"")</f>
        <v/>
      </c>
    </row>
    <row r="2778" spans="4:17" ht="12.75" customHeight="1" x14ac:dyDescent="0.2">
      <c r="D2778" s="58" t="str">
        <f>IFERROR(IF(F2778&lt;&gt;"pending","",IF(OR($B2778="",$B2778="(blank)"),"",VLOOKUP($B2778,'Email Marketing Raw Data'!$C:$O,10,0))),"")</f>
        <v/>
      </c>
      <c r="E2778" s="59" t="str">
        <f>IFERROR(IF(F2778&lt;&gt;"pending","",IF(OR($B2778="",$B2778="(blank)"),"",VLOOKUP($B2778,'Email Marketing Raw Data'!$C:$O,11,0))),"")</f>
        <v/>
      </c>
      <c r="F2778" s="54" t="str">
        <f>IFERROR(IF(OR($B2778="",$B2778="(blank)"),"",VLOOKUP($B2778,'Email Marketing Raw Data'!$C:$O,13,0)),"")</f>
        <v/>
      </c>
      <c r="G2778" s="55" t="str">
        <f>IFERROR(IF(OR($B2778="",$B2778="(blank)"),"",VLOOKUP($B2778,'Email Marketing Raw Data'!$C:$O,4,0)),"")</f>
        <v/>
      </c>
      <c r="H2778" s="55" t="str">
        <f>IFERROR(IF(OR($B2778="",$B2778="(blank)"),"",VLOOKUP($B2778,'Email Marketing Raw Data'!$C:$O,5,0)),"")</f>
        <v/>
      </c>
      <c r="I2778" s="55" t="str">
        <f>IFERROR(IF($G2778="","",VLOOKUP('Dashboard And Emails Automate'!$G2778,Database!$H:$N,3,0)),"")</f>
        <v/>
      </c>
      <c r="J2778" s="55" t="str">
        <f>IFERROR(IF($G2778="","",VLOOKUP('Dashboard And Emails Automate'!$G2778,Database!$H:$N,4,0)),"")</f>
        <v/>
      </c>
      <c r="K2778" s="55" t="str">
        <f>IFERROR(IF($G2778="","",VLOOKUP('Dashboard And Emails Automate'!$G2778,Database!$H:$N,5,0)),"")</f>
        <v/>
      </c>
      <c r="L2778" s="55" t="str">
        <f>IFERROR(IF($G2778="","",VLOOKUP('Dashboard And Emails Automate'!$G2778,Database!$H:$N,6,0)),"")</f>
        <v/>
      </c>
      <c r="M2778" s="55" t="str">
        <f>IFERROR(IF($G2778="","",VLOOKUP('Dashboard And Emails Automate'!$G2778,Database!$H:$N,7,0)),"")</f>
        <v/>
      </c>
      <c r="N2778" s="55" t="str">
        <f>IFERROR(IF(OR($B2778="",$B2778="(blank)"),"",VLOOKUP($B2778,'Email Marketing Raw Data'!$C:$O,6,0)),"")</f>
        <v/>
      </c>
      <c r="O2778" s="55" t="str">
        <f>IFERROR(IF(OR($B2778="",$B2778="(blank)"),"",VLOOKUP($B2778,'Email Marketing Raw Data'!$C:$O,7,0)),"")</f>
        <v/>
      </c>
      <c r="P2778" s="55" t="str">
        <f>IFERROR(IF(OR($B2778="",$B2778="(blank)"),"",VLOOKUP($B2778,'Email Marketing Raw Data'!$C:$O,8,0)),"")</f>
        <v/>
      </c>
      <c r="Q2778" s="62" t="str">
        <f>IFERROR(IF(OR($B2778="",$B2778="(blank)"),"",VLOOKUP($B2778,'Email Marketing Raw Data'!$C:$O,9,0)),"")</f>
        <v/>
      </c>
    </row>
    <row r="2779" spans="4:17" ht="12.75" customHeight="1" x14ac:dyDescent="0.2">
      <c r="D2779" s="58" t="str">
        <f>IFERROR(IF(F2779&lt;&gt;"pending","",IF(OR($B2779="",$B2779="(blank)"),"",VLOOKUP($B2779,'Email Marketing Raw Data'!$C:$O,10,0))),"")</f>
        <v/>
      </c>
      <c r="E2779" s="59" t="str">
        <f>IFERROR(IF(F2779&lt;&gt;"pending","",IF(OR($B2779="",$B2779="(blank)"),"",VLOOKUP($B2779,'Email Marketing Raw Data'!$C:$O,11,0))),"")</f>
        <v/>
      </c>
      <c r="F2779" s="54" t="str">
        <f>IFERROR(IF(OR($B2779="",$B2779="(blank)"),"",VLOOKUP($B2779,'Email Marketing Raw Data'!$C:$O,13,0)),"")</f>
        <v/>
      </c>
      <c r="G2779" s="55" t="str">
        <f>IFERROR(IF(OR($B2779="",$B2779="(blank)"),"",VLOOKUP($B2779,'Email Marketing Raw Data'!$C:$O,4,0)),"")</f>
        <v/>
      </c>
      <c r="H2779" s="55" t="str">
        <f>IFERROR(IF(OR($B2779="",$B2779="(blank)"),"",VLOOKUP($B2779,'Email Marketing Raw Data'!$C:$O,5,0)),"")</f>
        <v/>
      </c>
      <c r="I2779" s="55" t="str">
        <f>IFERROR(IF($G2779="","",VLOOKUP('Dashboard And Emails Automate'!$G2779,Database!$H:$N,3,0)),"")</f>
        <v/>
      </c>
      <c r="J2779" s="55" t="str">
        <f>IFERROR(IF($G2779="","",VLOOKUP('Dashboard And Emails Automate'!$G2779,Database!$H:$N,4,0)),"")</f>
        <v/>
      </c>
      <c r="K2779" s="55" t="str">
        <f>IFERROR(IF($G2779="","",VLOOKUP('Dashboard And Emails Automate'!$G2779,Database!$H:$N,5,0)),"")</f>
        <v/>
      </c>
      <c r="L2779" s="55" t="str">
        <f>IFERROR(IF($G2779="","",VLOOKUP('Dashboard And Emails Automate'!$G2779,Database!$H:$N,6,0)),"")</f>
        <v/>
      </c>
      <c r="M2779" s="55" t="str">
        <f>IFERROR(IF($G2779="","",VLOOKUP('Dashboard And Emails Automate'!$G2779,Database!$H:$N,7,0)),"")</f>
        <v/>
      </c>
      <c r="N2779" s="55" t="str">
        <f>IFERROR(IF(OR($B2779="",$B2779="(blank)"),"",VLOOKUP($B2779,'Email Marketing Raw Data'!$C:$O,6,0)),"")</f>
        <v/>
      </c>
      <c r="O2779" s="55" t="str">
        <f>IFERROR(IF(OR($B2779="",$B2779="(blank)"),"",VLOOKUP($B2779,'Email Marketing Raw Data'!$C:$O,7,0)),"")</f>
        <v/>
      </c>
      <c r="P2779" s="55" t="str">
        <f>IFERROR(IF(OR($B2779="",$B2779="(blank)"),"",VLOOKUP($B2779,'Email Marketing Raw Data'!$C:$O,8,0)),"")</f>
        <v/>
      </c>
      <c r="Q2779" s="62" t="str">
        <f>IFERROR(IF(OR($B2779="",$B2779="(blank)"),"",VLOOKUP($B2779,'Email Marketing Raw Data'!$C:$O,9,0)),"")</f>
        <v/>
      </c>
    </row>
    <row r="2780" spans="4:17" ht="12.75" customHeight="1" x14ac:dyDescent="0.2">
      <c r="D2780" s="58" t="str">
        <f>IFERROR(IF(F2780&lt;&gt;"pending","",IF(OR($B2780="",$B2780="(blank)"),"",VLOOKUP($B2780,'Email Marketing Raw Data'!$C:$O,10,0))),"")</f>
        <v/>
      </c>
      <c r="E2780" s="59" t="str">
        <f>IFERROR(IF(F2780&lt;&gt;"pending","",IF(OR($B2780="",$B2780="(blank)"),"",VLOOKUP($B2780,'Email Marketing Raw Data'!$C:$O,11,0))),"")</f>
        <v/>
      </c>
      <c r="F2780" s="54" t="str">
        <f>IFERROR(IF(OR($B2780="",$B2780="(blank)"),"",VLOOKUP($B2780,'Email Marketing Raw Data'!$C:$O,13,0)),"")</f>
        <v/>
      </c>
      <c r="G2780" s="55" t="str">
        <f>IFERROR(IF(OR($B2780="",$B2780="(blank)"),"",VLOOKUP($B2780,'Email Marketing Raw Data'!$C:$O,4,0)),"")</f>
        <v/>
      </c>
      <c r="H2780" s="55" t="str">
        <f>IFERROR(IF(OR($B2780="",$B2780="(blank)"),"",VLOOKUP($B2780,'Email Marketing Raw Data'!$C:$O,5,0)),"")</f>
        <v/>
      </c>
      <c r="I2780" s="55" t="str">
        <f>IFERROR(IF($G2780="","",VLOOKUP('Dashboard And Emails Automate'!$G2780,Database!$H:$N,3,0)),"")</f>
        <v/>
      </c>
      <c r="J2780" s="55" t="str">
        <f>IFERROR(IF($G2780="","",VLOOKUP('Dashboard And Emails Automate'!$G2780,Database!$H:$N,4,0)),"")</f>
        <v/>
      </c>
      <c r="K2780" s="55" t="str">
        <f>IFERROR(IF($G2780="","",VLOOKUP('Dashboard And Emails Automate'!$G2780,Database!$H:$N,5,0)),"")</f>
        <v/>
      </c>
      <c r="L2780" s="55" t="str">
        <f>IFERROR(IF($G2780="","",VLOOKUP('Dashboard And Emails Automate'!$G2780,Database!$H:$N,6,0)),"")</f>
        <v/>
      </c>
      <c r="M2780" s="55" t="str">
        <f>IFERROR(IF($G2780="","",VLOOKUP('Dashboard And Emails Automate'!$G2780,Database!$H:$N,7,0)),"")</f>
        <v/>
      </c>
      <c r="N2780" s="55" t="str">
        <f>IFERROR(IF(OR($B2780="",$B2780="(blank)"),"",VLOOKUP($B2780,'Email Marketing Raw Data'!$C:$O,6,0)),"")</f>
        <v/>
      </c>
      <c r="O2780" s="55" t="str">
        <f>IFERROR(IF(OR($B2780="",$B2780="(blank)"),"",VLOOKUP($B2780,'Email Marketing Raw Data'!$C:$O,7,0)),"")</f>
        <v/>
      </c>
      <c r="P2780" s="55" t="str">
        <f>IFERROR(IF(OR($B2780="",$B2780="(blank)"),"",VLOOKUP($B2780,'Email Marketing Raw Data'!$C:$O,8,0)),"")</f>
        <v/>
      </c>
      <c r="Q2780" s="62" t="str">
        <f>IFERROR(IF(OR($B2780="",$B2780="(blank)"),"",VLOOKUP($B2780,'Email Marketing Raw Data'!$C:$O,9,0)),"")</f>
        <v/>
      </c>
    </row>
    <row r="2781" spans="4:17" ht="12.75" customHeight="1" x14ac:dyDescent="0.2">
      <c r="D2781" s="58" t="str">
        <f>IFERROR(IF(F2781&lt;&gt;"pending","",IF(OR($B2781="",$B2781="(blank)"),"",VLOOKUP($B2781,'Email Marketing Raw Data'!$C:$O,10,0))),"")</f>
        <v/>
      </c>
      <c r="E2781" s="59" t="str">
        <f>IFERROR(IF(F2781&lt;&gt;"pending","",IF(OR($B2781="",$B2781="(blank)"),"",VLOOKUP($B2781,'Email Marketing Raw Data'!$C:$O,11,0))),"")</f>
        <v/>
      </c>
      <c r="F2781" s="54" t="str">
        <f>IFERROR(IF(OR($B2781="",$B2781="(blank)"),"",VLOOKUP($B2781,'Email Marketing Raw Data'!$C:$O,13,0)),"")</f>
        <v/>
      </c>
      <c r="G2781" s="55" t="str">
        <f>IFERROR(IF(OR($B2781="",$B2781="(blank)"),"",VLOOKUP($B2781,'Email Marketing Raw Data'!$C:$O,4,0)),"")</f>
        <v/>
      </c>
      <c r="H2781" s="55" t="str">
        <f>IFERROR(IF(OR($B2781="",$B2781="(blank)"),"",VLOOKUP($B2781,'Email Marketing Raw Data'!$C:$O,5,0)),"")</f>
        <v/>
      </c>
      <c r="I2781" s="55" t="str">
        <f>IFERROR(IF($G2781="","",VLOOKUP('Dashboard And Emails Automate'!$G2781,Database!$H:$N,3,0)),"")</f>
        <v/>
      </c>
      <c r="J2781" s="55" t="str">
        <f>IFERROR(IF($G2781="","",VLOOKUP('Dashboard And Emails Automate'!$G2781,Database!$H:$N,4,0)),"")</f>
        <v/>
      </c>
      <c r="K2781" s="55" t="str">
        <f>IFERROR(IF($G2781="","",VLOOKUP('Dashboard And Emails Automate'!$G2781,Database!$H:$N,5,0)),"")</f>
        <v/>
      </c>
      <c r="L2781" s="55" t="str">
        <f>IFERROR(IF($G2781="","",VLOOKUP('Dashboard And Emails Automate'!$G2781,Database!$H:$N,6,0)),"")</f>
        <v/>
      </c>
      <c r="M2781" s="55" t="str">
        <f>IFERROR(IF($G2781="","",VLOOKUP('Dashboard And Emails Automate'!$G2781,Database!$H:$N,7,0)),"")</f>
        <v/>
      </c>
      <c r="N2781" s="55" t="str">
        <f>IFERROR(IF(OR($B2781="",$B2781="(blank)"),"",VLOOKUP($B2781,'Email Marketing Raw Data'!$C:$O,6,0)),"")</f>
        <v/>
      </c>
      <c r="O2781" s="55" t="str">
        <f>IFERROR(IF(OR($B2781="",$B2781="(blank)"),"",VLOOKUP($B2781,'Email Marketing Raw Data'!$C:$O,7,0)),"")</f>
        <v/>
      </c>
      <c r="P2781" s="55" t="str">
        <f>IFERROR(IF(OR($B2781="",$B2781="(blank)"),"",VLOOKUP($B2781,'Email Marketing Raw Data'!$C:$O,8,0)),"")</f>
        <v/>
      </c>
      <c r="Q2781" s="62" t="str">
        <f>IFERROR(IF(OR($B2781="",$B2781="(blank)"),"",VLOOKUP($B2781,'Email Marketing Raw Data'!$C:$O,9,0)),"")</f>
        <v/>
      </c>
    </row>
    <row r="2782" spans="4:17" ht="12.75" customHeight="1" x14ac:dyDescent="0.2">
      <c r="D2782" s="58" t="str">
        <f>IFERROR(IF(F2782&lt;&gt;"pending","",IF(OR($B2782="",$B2782="(blank)"),"",VLOOKUP($B2782,'Email Marketing Raw Data'!$C:$O,10,0))),"")</f>
        <v/>
      </c>
      <c r="E2782" s="59" t="str">
        <f>IFERROR(IF(F2782&lt;&gt;"pending","",IF(OR($B2782="",$B2782="(blank)"),"",VLOOKUP($B2782,'Email Marketing Raw Data'!$C:$O,11,0))),"")</f>
        <v/>
      </c>
      <c r="F2782" s="54" t="str">
        <f>IFERROR(IF(OR($B2782="",$B2782="(blank)"),"",VLOOKUP($B2782,'Email Marketing Raw Data'!$C:$O,13,0)),"")</f>
        <v/>
      </c>
      <c r="G2782" s="55" t="str">
        <f>IFERROR(IF(OR($B2782="",$B2782="(blank)"),"",VLOOKUP($B2782,'Email Marketing Raw Data'!$C:$O,4,0)),"")</f>
        <v/>
      </c>
      <c r="H2782" s="55" t="str">
        <f>IFERROR(IF(OR($B2782="",$B2782="(blank)"),"",VLOOKUP($B2782,'Email Marketing Raw Data'!$C:$O,5,0)),"")</f>
        <v/>
      </c>
      <c r="I2782" s="55" t="str">
        <f>IFERROR(IF($G2782="","",VLOOKUP('Dashboard And Emails Automate'!$G2782,Database!$H:$N,3,0)),"")</f>
        <v/>
      </c>
      <c r="J2782" s="55" t="str">
        <f>IFERROR(IF($G2782="","",VLOOKUP('Dashboard And Emails Automate'!$G2782,Database!$H:$N,4,0)),"")</f>
        <v/>
      </c>
      <c r="K2782" s="55" t="str">
        <f>IFERROR(IF($G2782="","",VLOOKUP('Dashboard And Emails Automate'!$G2782,Database!$H:$N,5,0)),"")</f>
        <v/>
      </c>
      <c r="L2782" s="55" t="str">
        <f>IFERROR(IF($G2782="","",VLOOKUP('Dashboard And Emails Automate'!$G2782,Database!$H:$N,6,0)),"")</f>
        <v/>
      </c>
      <c r="M2782" s="55" t="str">
        <f>IFERROR(IF($G2782="","",VLOOKUP('Dashboard And Emails Automate'!$G2782,Database!$H:$N,7,0)),"")</f>
        <v/>
      </c>
      <c r="N2782" s="55" t="str">
        <f>IFERROR(IF(OR($B2782="",$B2782="(blank)"),"",VLOOKUP($B2782,'Email Marketing Raw Data'!$C:$O,6,0)),"")</f>
        <v/>
      </c>
      <c r="O2782" s="55" t="str">
        <f>IFERROR(IF(OR($B2782="",$B2782="(blank)"),"",VLOOKUP($B2782,'Email Marketing Raw Data'!$C:$O,7,0)),"")</f>
        <v/>
      </c>
      <c r="P2782" s="55" t="str">
        <f>IFERROR(IF(OR($B2782="",$B2782="(blank)"),"",VLOOKUP($B2782,'Email Marketing Raw Data'!$C:$O,8,0)),"")</f>
        <v/>
      </c>
      <c r="Q2782" s="62" t="str">
        <f>IFERROR(IF(OR($B2782="",$B2782="(blank)"),"",VLOOKUP($B2782,'Email Marketing Raw Data'!$C:$O,9,0)),"")</f>
        <v/>
      </c>
    </row>
    <row r="2783" spans="4:17" ht="12.75" customHeight="1" x14ac:dyDescent="0.2">
      <c r="D2783" s="58" t="str">
        <f>IFERROR(IF(F2783&lt;&gt;"pending","",IF(OR($B2783="",$B2783="(blank)"),"",VLOOKUP($B2783,'Email Marketing Raw Data'!$C:$O,10,0))),"")</f>
        <v/>
      </c>
      <c r="E2783" s="59" t="str">
        <f>IFERROR(IF(F2783&lt;&gt;"pending","",IF(OR($B2783="",$B2783="(blank)"),"",VLOOKUP($B2783,'Email Marketing Raw Data'!$C:$O,11,0))),"")</f>
        <v/>
      </c>
      <c r="F2783" s="54" t="str">
        <f>IFERROR(IF(OR($B2783="",$B2783="(blank)"),"",VLOOKUP($B2783,'Email Marketing Raw Data'!$C:$O,13,0)),"")</f>
        <v/>
      </c>
      <c r="G2783" s="55" t="str">
        <f>IFERROR(IF(OR($B2783="",$B2783="(blank)"),"",VLOOKUP($B2783,'Email Marketing Raw Data'!$C:$O,4,0)),"")</f>
        <v/>
      </c>
      <c r="H2783" s="55" t="str">
        <f>IFERROR(IF(OR($B2783="",$B2783="(blank)"),"",VLOOKUP($B2783,'Email Marketing Raw Data'!$C:$O,5,0)),"")</f>
        <v/>
      </c>
      <c r="I2783" s="55" t="str">
        <f>IFERROR(IF($G2783="","",VLOOKUP('Dashboard And Emails Automate'!$G2783,Database!$H:$N,3,0)),"")</f>
        <v/>
      </c>
      <c r="J2783" s="55" t="str">
        <f>IFERROR(IF($G2783="","",VLOOKUP('Dashboard And Emails Automate'!$G2783,Database!$H:$N,4,0)),"")</f>
        <v/>
      </c>
      <c r="K2783" s="55" t="str">
        <f>IFERROR(IF($G2783="","",VLOOKUP('Dashboard And Emails Automate'!$G2783,Database!$H:$N,5,0)),"")</f>
        <v/>
      </c>
      <c r="L2783" s="55" t="str">
        <f>IFERROR(IF($G2783="","",VLOOKUP('Dashboard And Emails Automate'!$G2783,Database!$H:$N,6,0)),"")</f>
        <v/>
      </c>
      <c r="M2783" s="55" t="str">
        <f>IFERROR(IF($G2783="","",VLOOKUP('Dashboard And Emails Automate'!$G2783,Database!$H:$N,7,0)),"")</f>
        <v/>
      </c>
      <c r="N2783" s="55" t="str">
        <f>IFERROR(IF(OR($B2783="",$B2783="(blank)"),"",VLOOKUP($B2783,'Email Marketing Raw Data'!$C:$O,6,0)),"")</f>
        <v/>
      </c>
      <c r="O2783" s="55" t="str">
        <f>IFERROR(IF(OR($B2783="",$B2783="(blank)"),"",VLOOKUP($B2783,'Email Marketing Raw Data'!$C:$O,7,0)),"")</f>
        <v/>
      </c>
      <c r="P2783" s="55" t="str">
        <f>IFERROR(IF(OR($B2783="",$B2783="(blank)"),"",VLOOKUP($B2783,'Email Marketing Raw Data'!$C:$O,8,0)),"")</f>
        <v/>
      </c>
      <c r="Q2783" s="62" t="str">
        <f>IFERROR(IF(OR($B2783="",$B2783="(blank)"),"",VLOOKUP($B2783,'Email Marketing Raw Data'!$C:$O,9,0)),"")</f>
        <v/>
      </c>
    </row>
    <row r="2784" spans="4:17" ht="12.75" customHeight="1" x14ac:dyDescent="0.2">
      <c r="D2784" s="58" t="str">
        <f>IFERROR(IF(F2784&lt;&gt;"pending","",IF(OR($B2784="",$B2784="(blank)"),"",VLOOKUP($B2784,'Email Marketing Raw Data'!$C:$O,10,0))),"")</f>
        <v/>
      </c>
      <c r="E2784" s="59" t="str">
        <f>IFERROR(IF(F2784&lt;&gt;"pending","",IF(OR($B2784="",$B2784="(blank)"),"",VLOOKUP($B2784,'Email Marketing Raw Data'!$C:$O,11,0))),"")</f>
        <v/>
      </c>
      <c r="F2784" s="54" t="str">
        <f>IFERROR(IF(OR($B2784="",$B2784="(blank)"),"",VLOOKUP($B2784,'Email Marketing Raw Data'!$C:$O,13,0)),"")</f>
        <v/>
      </c>
      <c r="G2784" s="55" t="str">
        <f>IFERROR(IF(OR($B2784="",$B2784="(blank)"),"",VLOOKUP($B2784,'Email Marketing Raw Data'!$C:$O,4,0)),"")</f>
        <v/>
      </c>
      <c r="H2784" s="55" t="str">
        <f>IFERROR(IF(OR($B2784="",$B2784="(blank)"),"",VLOOKUP($B2784,'Email Marketing Raw Data'!$C:$O,5,0)),"")</f>
        <v/>
      </c>
      <c r="I2784" s="55" t="str">
        <f>IFERROR(IF($G2784="","",VLOOKUP('Dashboard And Emails Automate'!$G2784,Database!$H:$N,3,0)),"")</f>
        <v/>
      </c>
      <c r="J2784" s="55" t="str">
        <f>IFERROR(IF($G2784="","",VLOOKUP('Dashboard And Emails Automate'!$G2784,Database!$H:$N,4,0)),"")</f>
        <v/>
      </c>
      <c r="K2784" s="55" t="str">
        <f>IFERROR(IF($G2784="","",VLOOKUP('Dashboard And Emails Automate'!$G2784,Database!$H:$N,5,0)),"")</f>
        <v/>
      </c>
      <c r="L2784" s="55" t="str">
        <f>IFERROR(IF($G2784="","",VLOOKUP('Dashboard And Emails Automate'!$G2784,Database!$H:$N,6,0)),"")</f>
        <v/>
      </c>
      <c r="M2784" s="55" t="str">
        <f>IFERROR(IF($G2784="","",VLOOKUP('Dashboard And Emails Automate'!$G2784,Database!$H:$N,7,0)),"")</f>
        <v/>
      </c>
      <c r="N2784" s="55" t="str">
        <f>IFERROR(IF(OR($B2784="",$B2784="(blank)"),"",VLOOKUP($B2784,'Email Marketing Raw Data'!$C:$O,6,0)),"")</f>
        <v/>
      </c>
      <c r="O2784" s="55" t="str">
        <f>IFERROR(IF(OR($B2784="",$B2784="(blank)"),"",VLOOKUP($B2784,'Email Marketing Raw Data'!$C:$O,7,0)),"")</f>
        <v/>
      </c>
      <c r="P2784" s="55" t="str">
        <f>IFERROR(IF(OR($B2784="",$B2784="(blank)"),"",VLOOKUP($B2784,'Email Marketing Raw Data'!$C:$O,8,0)),"")</f>
        <v/>
      </c>
      <c r="Q2784" s="62" t="str">
        <f>IFERROR(IF(OR($B2784="",$B2784="(blank)"),"",VLOOKUP($B2784,'Email Marketing Raw Data'!$C:$O,9,0)),"")</f>
        <v/>
      </c>
    </row>
    <row r="2785" spans="4:17" ht="12.75" customHeight="1" x14ac:dyDescent="0.2">
      <c r="D2785" s="58" t="str">
        <f>IFERROR(IF(F2785&lt;&gt;"pending","",IF(OR($B2785="",$B2785="(blank)"),"",VLOOKUP($B2785,'Email Marketing Raw Data'!$C:$O,10,0))),"")</f>
        <v/>
      </c>
      <c r="E2785" s="59" t="str">
        <f>IFERROR(IF(F2785&lt;&gt;"pending","",IF(OR($B2785="",$B2785="(blank)"),"",VLOOKUP($B2785,'Email Marketing Raw Data'!$C:$O,11,0))),"")</f>
        <v/>
      </c>
      <c r="F2785" s="54" t="str">
        <f>IFERROR(IF(OR($B2785="",$B2785="(blank)"),"",VLOOKUP($B2785,'Email Marketing Raw Data'!$C:$O,13,0)),"")</f>
        <v/>
      </c>
      <c r="G2785" s="55" t="str">
        <f>IFERROR(IF(OR($B2785="",$B2785="(blank)"),"",VLOOKUP($B2785,'Email Marketing Raw Data'!$C:$O,4,0)),"")</f>
        <v/>
      </c>
      <c r="H2785" s="55" t="str">
        <f>IFERROR(IF(OR($B2785="",$B2785="(blank)"),"",VLOOKUP($B2785,'Email Marketing Raw Data'!$C:$O,5,0)),"")</f>
        <v/>
      </c>
      <c r="I2785" s="55" t="str">
        <f>IFERROR(IF($G2785="","",VLOOKUP('Dashboard And Emails Automate'!$G2785,Database!$H:$N,3,0)),"")</f>
        <v/>
      </c>
      <c r="J2785" s="55" t="str">
        <f>IFERROR(IF($G2785="","",VLOOKUP('Dashboard And Emails Automate'!$G2785,Database!$H:$N,4,0)),"")</f>
        <v/>
      </c>
      <c r="K2785" s="55" t="str">
        <f>IFERROR(IF($G2785="","",VLOOKUP('Dashboard And Emails Automate'!$G2785,Database!$H:$N,5,0)),"")</f>
        <v/>
      </c>
      <c r="L2785" s="55" t="str">
        <f>IFERROR(IF($G2785="","",VLOOKUP('Dashboard And Emails Automate'!$G2785,Database!$H:$N,6,0)),"")</f>
        <v/>
      </c>
      <c r="M2785" s="55" t="str">
        <f>IFERROR(IF($G2785="","",VLOOKUP('Dashboard And Emails Automate'!$G2785,Database!$H:$N,7,0)),"")</f>
        <v/>
      </c>
      <c r="N2785" s="55" t="str">
        <f>IFERROR(IF(OR($B2785="",$B2785="(blank)"),"",VLOOKUP($B2785,'Email Marketing Raw Data'!$C:$O,6,0)),"")</f>
        <v/>
      </c>
      <c r="O2785" s="55" t="str">
        <f>IFERROR(IF(OR($B2785="",$B2785="(blank)"),"",VLOOKUP($B2785,'Email Marketing Raw Data'!$C:$O,7,0)),"")</f>
        <v/>
      </c>
      <c r="P2785" s="55" t="str">
        <f>IFERROR(IF(OR($B2785="",$B2785="(blank)"),"",VLOOKUP($B2785,'Email Marketing Raw Data'!$C:$O,8,0)),"")</f>
        <v/>
      </c>
      <c r="Q2785" s="62" t="str">
        <f>IFERROR(IF(OR($B2785="",$B2785="(blank)"),"",VLOOKUP($B2785,'Email Marketing Raw Data'!$C:$O,9,0)),"")</f>
        <v/>
      </c>
    </row>
    <row r="2786" spans="4:17" ht="12.75" customHeight="1" x14ac:dyDescent="0.2">
      <c r="D2786" s="58" t="str">
        <f>IFERROR(IF(F2786&lt;&gt;"pending","",IF(OR($B2786="",$B2786="(blank)"),"",VLOOKUP($B2786,'Email Marketing Raw Data'!$C:$O,10,0))),"")</f>
        <v/>
      </c>
      <c r="E2786" s="59" t="str">
        <f>IFERROR(IF(F2786&lt;&gt;"pending","",IF(OR($B2786="",$B2786="(blank)"),"",VLOOKUP($B2786,'Email Marketing Raw Data'!$C:$O,11,0))),"")</f>
        <v/>
      </c>
      <c r="F2786" s="54" t="str">
        <f>IFERROR(IF(OR($B2786="",$B2786="(blank)"),"",VLOOKUP($B2786,'Email Marketing Raw Data'!$C:$O,13,0)),"")</f>
        <v/>
      </c>
      <c r="G2786" s="55" t="str">
        <f>IFERROR(IF(OR($B2786="",$B2786="(blank)"),"",VLOOKUP($B2786,'Email Marketing Raw Data'!$C:$O,4,0)),"")</f>
        <v/>
      </c>
      <c r="H2786" s="55" t="str">
        <f>IFERROR(IF(OR($B2786="",$B2786="(blank)"),"",VLOOKUP($B2786,'Email Marketing Raw Data'!$C:$O,5,0)),"")</f>
        <v/>
      </c>
      <c r="I2786" s="55" t="str">
        <f>IFERROR(IF($G2786="","",VLOOKUP('Dashboard And Emails Automate'!$G2786,Database!$H:$N,3,0)),"")</f>
        <v/>
      </c>
      <c r="J2786" s="55" t="str">
        <f>IFERROR(IF($G2786="","",VLOOKUP('Dashboard And Emails Automate'!$G2786,Database!$H:$N,4,0)),"")</f>
        <v/>
      </c>
      <c r="K2786" s="55" t="str">
        <f>IFERROR(IF($G2786="","",VLOOKUP('Dashboard And Emails Automate'!$G2786,Database!$H:$N,5,0)),"")</f>
        <v/>
      </c>
      <c r="L2786" s="55" t="str">
        <f>IFERROR(IF($G2786="","",VLOOKUP('Dashboard And Emails Automate'!$G2786,Database!$H:$N,6,0)),"")</f>
        <v/>
      </c>
      <c r="M2786" s="55" t="str">
        <f>IFERROR(IF($G2786="","",VLOOKUP('Dashboard And Emails Automate'!$G2786,Database!$H:$N,7,0)),"")</f>
        <v/>
      </c>
      <c r="N2786" s="55" t="str">
        <f>IFERROR(IF(OR($B2786="",$B2786="(blank)"),"",VLOOKUP($B2786,'Email Marketing Raw Data'!$C:$O,6,0)),"")</f>
        <v/>
      </c>
      <c r="O2786" s="55" t="str">
        <f>IFERROR(IF(OR($B2786="",$B2786="(blank)"),"",VLOOKUP($B2786,'Email Marketing Raw Data'!$C:$O,7,0)),"")</f>
        <v/>
      </c>
      <c r="P2786" s="55" t="str">
        <f>IFERROR(IF(OR($B2786="",$B2786="(blank)"),"",VLOOKUP($B2786,'Email Marketing Raw Data'!$C:$O,8,0)),"")</f>
        <v/>
      </c>
      <c r="Q2786" s="62" t="str">
        <f>IFERROR(IF(OR($B2786="",$B2786="(blank)"),"",VLOOKUP($B2786,'Email Marketing Raw Data'!$C:$O,9,0)),"")</f>
        <v/>
      </c>
    </row>
    <row r="2787" spans="4:17" ht="12.75" customHeight="1" x14ac:dyDescent="0.2">
      <c r="D2787" s="58" t="str">
        <f>IFERROR(IF(F2787&lt;&gt;"pending","",IF(OR($B2787="",$B2787="(blank)"),"",VLOOKUP($B2787,'Email Marketing Raw Data'!$C:$O,10,0))),"")</f>
        <v/>
      </c>
      <c r="E2787" s="59" t="str">
        <f>IFERROR(IF(F2787&lt;&gt;"pending","",IF(OR($B2787="",$B2787="(blank)"),"",VLOOKUP($B2787,'Email Marketing Raw Data'!$C:$O,11,0))),"")</f>
        <v/>
      </c>
      <c r="F2787" s="54" t="str">
        <f>IFERROR(IF(OR($B2787="",$B2787="(blank)"),"",VLOOKUP($B2787,'Email Marketing Raw Data'!$C:$O,13,0)),"")</f>
        <v/>
      </c>
      <c r="G2787" s="55" t="str">
        <f>IFERROR(IF(OR($B2787="",$B2787="(blank)"),"",VLOOKUP($B2787,'Email Marketing Raw Data'!$C:$O,4,0)),"")</f>
        <v/>
      </c>
      <c r="H2787" s="55" t="str">
        <f>IFERROR(IF(OR($B2787="",$B2787="(blank)"),"",VLOOKUP($B2787,'Email Marketing Raw Data'!$C:$O,5,0)),"")</f>
        <v/>
      </c>
      <c r="I2787" s="55" t="str">
        <f>IFERROR(IF($G2787="","",VLOOKUP('Dashboard And Emails Automate'!$G2787,Database!$H:$N,3,0)),"")</f>
        <v/>
      </c>
      <c r="J2787" s="55" t="str">
        <f>IFERROR(IF($G2787="","",VLOOKUP('Dashboard And Emails Automate'!$G2787,Database!$H:$N,4,0)),"")</f>
        <v/>
      </c>
      <c r="K2787" s="55" t="str">
        <f>IFERROR(IF($G2787="","",VLOOKUP('Dashboard And Emails Automate'!$G2787,Database!$H:$N,5,0)),"")</f>
        <v/>
      </c>
      <c r="L2787" s="55" t="str">
        <f>IFERROR(IF($G2787="","",VLOOKUP('Dashboard And Emails Automate'!$G2787,Database!$H:$N,6,0)),"")</f>
        <v/>
      </c>
      <c r="M2787" s="55" t="str">
        <f>IFERROR(IF($G2787="","",VLOOKUP('Dashboard And Emails Automate'!$G2787,Database!$H:$N,7,0)),"")</f>
        <v/>
      </c>
      <c r="N2787" s="55" t="str">
        <f>IFERROR(IF(OR($B2787="",$B2787="(blank)"),"",VLOOKUP($B2787,'Email Marketing Raw Data'!$C:$O,6,0)),"")</f>
        <v/>
      </c>
      <c r="O2787" s="55" t="str">
        <f>IFERROR(IF(OR($B2787="",$B2787="(blank)"),"",VLOOKUP($B2787,'Email Marketing Raw Data'!$C:$O,7,0)),"")</f>
        <v/>
      </c>
      <c r="P2787" s="55" t="str">
        <f>IFERROR(IF(OR($B2787="",$B2787="(blank)"),"",VLOOKUP($B2787,'Email Marketing Raw Data'!$C:$O,8,0)),"")</f>
        <v/>
      </c>
      <c r="Q2787" s="62" t="str">
        <f>IFERROR(IF(OR($B2787="",$B2787="(blank)"),"",VLOOKUP($B2787,'Email Marketing Raw Data'!$C:$O,9,0)),"")</f>
        <v/>
      </c>
    </row>
    <row r="2788" spans="4:17" ht="12.75" customHeight="1" x14ac:dyDescent="0.2">
      <c r="D2788" s="58" t="str">
        <f>IFERROR(IF(F2788&lt;&gt;"pending","",IF(OR($B2788="",$B2788="(blank)"),"",VLOOKUP($B2788,'Email Marketing Raw Data'!$C:$O,10,0))),"")</f>
        <v/>
      </c>
      <c r="E2788" s="59" t="str">
        <f>IFERROR(IF(F2788&lt;&gt;"pending","",IF(OR($B2788="",$B2788="(blank)"),"",VLOOKUP($B2788,'Email Marketing Raw Data'!$C:$O,11,0))),"")</f>
        <v/>
      </c>
      <c r="F2788" s="54" t="str">
        <f>IFERROR(IF(OR($B2788="",$B2788="(blank)"),"",VLOOKUP($B2788,'Email Marketing Raw Data'!$C:$O,13,0)),"")</f>
        <v/>
      </c>
      <c r="G2788" s="55" t="str">
        <f>IFERROR(IF(OR($B2788="",$B2788="(blank)"),"",VLOOKUP($B2788,'Email Marketing Raw Data'!$C:$O,4,0)),"")</f>
        <v/>
      </c>
      <c r="H2788" s="55" t="str">
        <f>IFERROR(IF(OR($B2788="",$B2788="(blank)"),"",VLOOKUP($B2788,'Email Marketing Raw Data'!$C:$O,5,0)),"")</f>
        <v/>
      </c>
      <c r="I2788" s="55" t="str">
        <f>IFERROR(IF($G2788="","",VLOOKUP('Dashboard And Emails Automate'!$G2788,Database!$H:$N,3,0)),"")</f>
        <v/>
      </c>
      <c r="J2788" s="55" t="str">
        <f>IFERROR(IF($G2788="","",VLOOKUP('Dashboard And Emails Automate'!$G2788,Database!$H:$N,4,0)),"")</f>
        <v/>
      </c>
      <c r="K2788" s="55" t="str">
        <f>IFERROR(IF($G2788="","",VLOOKUP('Dashboard And Emails Automate'!$G2788,Database!$H:$N,5,0)),"")</f>
        <v/>
      </c>
      <c r="L2788" s="55" t="str">
        <f>IFERROR(IF($G2788="","",VLOOKUP('Dashboard And Emails Automate'!$G2788,Database!$H:$N,6,0)),"")</f>
        <v/>
      </c>
      <c r="M2788" s="55" t="str">
        <f>IFERROR(IF($G2788="","",VLOOKUP('Dashboard And Emails Automate'!$G2788,Database!$H:$N,7,0)),"")</f>
        <v/>
      </c>
      <c r="N2788" s="55" t="str">
        <f>IFERROR(IF(OR($B2788="",$B2788="(blank)"),"",VLOOKUP($B2788,'Email Marketing Raw Data'!$C:$O,6,0)),"")</f>
        <v/>
      </c>
      <c r="O2788" s="55" t="str">
        <f>IFERROR(IF(OR($B2788="",$B2788="(blank)"),"",VLOOKUP($B2788,'Email Marketing Raw Data'!$C:$O,7,0)),"")</f>
        <v/>
      </c>
      <c r="P2788" s="55" t="str">
        <f>IFERROR(IF(OR($B2788="",$B2788="(blank)"),"",VLOOKUP($B2788,'Email Marketing Raw Data'!$C:$O,8,0)),"")</f>
        <v/>
      </c>
      <c r="Q2788" s="62" t="str">
        <f>IFERROR(IF(OR($B2788="",$B2788="(blank)"),"",VLOOKUP($B2788,'Email Marketing Raw Data'!$C:$O,9,0)),"")</f>
        <v/>
      </c>
    </row>
    <row r="2789" spans="4:17" ht="12.75" customHeight="1" x14ac:dyDescent="0.2">
      <c r="D2789" s="58" t="str">
        <f>IFERROR(IF(F2789&lt;&gt;"pending","",IF(OR($B2789="",$B2789="(blank)"),"",VLOOKUP($B2789,'Email Marketing Raw Data'!$C:$O,10,0))),"")</f>
        <v/>
      </c>
      <c r="E2789" s="59" t="str">
        <f>IFERROR(IF(F2789&lt;&gt;"pending","",IF(OR($B2789="",$B2789="(blank)"),"",VLOOKUP($B2789,'Email Marketing Raw Data'!$C:$O,11,0))),"")</f>
        <v/>
      </c>
      <c r="F2789" s="54" t="str">
        <f>IFERROR(IF(OR($B2789="",$B2789="(blank)"),"",VLOOKUP($B2789,'Email Marketing Raw Data'!$C:$O,13,0)),"")</f>
        <v/>
      </c>
      <c r="G2789" s="55" t="str">
        <f>IFERROR(IF(OR($B2789="",$B2789="(blank)"),"",VLOOKUP($B2789,'Email Marketing Raw Data'!$C:$O,4,0)),"")</f>
        <v/>
      </c>
      <c r="H2789" s="55" t="str">
        <f>IFERROR(IF(OR($B2789="",$B2789="(blank)"),"",VLOOKUP($B2789,'Email Marketing Raw Data'!$C:$O,5,0)),"")</f>
        <v/>
      </c>
      <c r="I2789" s="55" t="str">
        <f>IFERROR(IF($G2789="","",VLOOKUP('Dashboard And Emails Automate'!$G2789,Database!$H:$N,3,0)),"")</f>
        <v/>
      </c>
      <c r="J2789" s="55" t="str">
        <f>IFERROR(IF($G2789="","",VLOOKUP('Dashboard And Emails Automate'!$G2789,Database!$H:$N,4,0)),"")</f>
        <v/>
      </c>
      <c r="K2789" s="55" t="str">
        <f>IFERROR(IF($G2789="","",VLOOKUP('Dashboard And Emails Automate'!$G2789,Database!$H:$N,5,0)),"")</f>
        <v/>
      </c>
      <c r="L2789" s="55" t="str">
        <f>IFERROR(IF($G2789="","",VLOOKUP('Dashboard And Emails Automate'!$G2789,Database!$H:$N,6,0)),"")</f>
        <v/>
      </c>
      <c r="M2789" s="55" t="str">
        <f>IFERROR(IF($G2789="","",VLOOKUP('Dashboard And Emails Automate'!$G2789,Database!$H:$N,7,0)),"")</f>
        <v/>
      </c>
      <c r="N2789" s="55" t="str">
        <f>IFERROR(IF(OR($B2789="",$B2789="(blank)"),"",VLOOKUP($B2789,'Email Marketing Raw Data'!$C:$O,6,0)),"")</f>
        <v/>
      </c>
      <c r="O2789" s="55" t="str">
        <f>IFERROR(IF(OR($B2789="",$B2789="(blank)"),"",VLOOKUP($B2789,'Email Marketing Raw Data'!$C:$O,7,0)),"")</f>
        <v/>
      </c>
      <c r="P2789" s="55" t="str">
        <f>IFERROR(IF(OR($B2789="",$B2789="(blank)"),"",VLOOKUP($B2789,'Email Marketing Raw Data'!$C:$O,8,0)),"")</f>
        <v/>
      </c>
      <c r="Q2789" s="62" t="str">
        <f>IFERROR(IF(OR($B2789="",$B2789="(blank)"),"",VLOOKUP($B2789,'Email Marketing Raw Data'!$C:$O,9,0)),"")</f>
        <v/>
      </c>
    </row>
    <row r="2790" spans="4:17" ht="12.75" customHeight="1" x14ac:dyDescent="0.2">
      <c r="D2790" s="58" t="str">
        <f>IFERROR(IF(F2790&lt;&gt;"pending","",IF(OR($B2790="",$B2790="(blank)"),"",VLOOKUP($B2790,'Email Marketing Raw Data'!$C:$O,10,0))),"")</f>
        <v/>
      </c>
      <c r="E2790" s="59" t="str">
        <f>IFERROR(IF(F2790&lt;&gt;"pending","",IF(OR($B2790="",$B2790="(blank)"),"",VLOOKUP($B2790,'Email Marketing Raw Data'!$C:$O,11,0))),"")</f>
        <v/>
      </c>
      <c r="F2790" s="54" t="str">
        <f>IFERROR(IF(OR($B2790="",$B2790="(blank)"),"",VLOOKUP($B2790,'Email Marketing Raw Data'!$C:$O,13,0)),"")</f>
        <v/>
      </c>
      <c r="G2790" s="55" t="str">
        <f>IFERROR(IF(OR($B2790="",$B2790="(blank)"),"",VLOOKUP($B2790,'Email Marketing Raw Data'!$C:$O,4,0)),"")</f>
        <v/>
      </c>
      <c r="H2790" s="55" t="str">
        <f>IFERROR(IF(OR($B2790="",$B2790="(blank)"),"",VLOOKUP($B2790,'Email Marketing Raw Data'!$C:$O,5,0)),"")</f>
        <v/>
      </c>
      <c r="I2790" s="55" t="str">
        <f>IFERROR(IF($G2790="","",VLOOKUP('Dashboard And Emails Automate'!$G2790,Database!$H:$N,3,0)),"")</f>
        <v/>
      </c>
      <c r="J2790" s="55" t="str">
        <f>IFERROR(IF($G2790="","",VLOOKUP('Dashboard And Emails Automate'!$G2790,Database!$H:$N,4,0)),"")</f>
        <v/>
      </c>
      <c r="K2790" s="55" t="str">
        <f>IFERROR(IF($G2790="","",VLOOKUP('Dashboard And Emails Automate'!$G2790,Database!$H:$N,5,0)),"")</f>
        <v/>
      </c>
      <c r="L2790" s="55" t="str">
        <f>IFERROR(IF($G2790="","",VLOOKUP('Dashboard And Emails Automate'!$G2790,Database!$H:$N,6,0)),"")</f>
        <v/>
      </c>
      <c r="M2790" s="55" t="str">
        <f>IFERROR(IF($G2790="","",VLOOKUP('Dashboard And Emails Automate'!$G2790,Database!$H:$N,7,0)),"")</f>
        <v/>
      </c>
      <c r="N2790" s="55" t="str">
        <f>IFERROR(IF(OR($B2790="",$B2790="(blank)"),"",VLOOKUP($B2790,'Email Marketing Raw Data'!$C:$O,6,0)),"")</f>
        <v/>
      </c>
      <c r="O2790" s="55" t="str">
        <f>IFERROR(IF(OR($B2790="",$B2790="(blank)"),"",VLOOKUP($B2790,'Email Marketing Raw Data'!$C:$O,7,0)),"")</f>
        <v/>
      </c>
      <c r="P2790" s="55" t="str">
        <f>IFERROR(IF(OR($B2790="",$B2790="(blank)"),"",VLOOKUP($B2790,'Email Marketing Raw Data'!$C:$O,8,0)),"")</f>
        <v/>
      </c>
      <c r="Q2790" s="62" t="str">
        <f>IFERROR(IF(OR($B2790="",$B2790="(blank)"),"",VLOOKUP($B2790,'Email Marketing Raw Data'!$C:$O,9,0)),"")</f>
        <v/>
      </c>
    </row>
    <row r="2791" spans="4:17" ht="12.75" customHeight="1" x14ac:dyDescent="0.2">
      <c r="D2791" s="58" t="str">
        <f>IFERROR(IF(F2791&lt;&gt;"pending","",IF(OR($B2791="",$B2791="(blank)"),"",VLOOKUP($B2791,'Email Marketing Raw Data'!$C:$O,10,0))),"")</f>
        <v/>
      </c>
      <c r="E2791" s="59" t="str">
        <f>IFERROR(IF(F2791&lt;&gt;"pending","",IF(OR($B2791="",$B2791="(blank)"),"",VLOOKUP($B2791,'Email Marketing Raw Data'!$C:$O,11,0))),"")</f>
        <v/>
      </c>
      <c r="F2791" s="54" t="str">
        <f>IFERROR(IF(OR($B2791="",$B2791="(blank)"),"",VLOOKUP($B2791,'Email Marketing Raw Data'!$C:$O,13,0)),"")</f>
        <v/>
      </c>
      <c r="G2791" s="55" t="str">
        <f>IFERROR(IF(OR($B2791="",$B2791="(blank)"),"",VLOOKUP($B2791,'Email Marketing Raw Data'!$C:$O,4,0)),"")</f>
        <v/>
      </c>
      <c r="H2791" s="55" t="str">
        <f>IFERROR(IF(OR($B2791="",$B2791="(blank)"),"",VLOOKUP($B2791,'Email Marketing Raw Data'!$C:$O,5,0)),"")</f>
        <v/>
      </c>
      <c r="I2791" s="55" t="str">
        <f>IFERROR(IF($G2791="","",VLOOKUP('Dashboard And Emails Automate'!$G2791,Database!$H:$N,3,0)),"")</f>
        <v/>
      </c>
      <c r="J2791" s="55" t="str">
        <f>IFERROR(IF($G2791="","",VLOOKUP('Dashboard And Emails Automate'!$G2791,Database!$H:$N,4,0)),"")</f>
        <v/>
      </c>
      <c r="K2791" s="55" t="str">
        <f>IFERROR(IF($G2791="","",VLOOKUP('Dashboard And Emails Automate'!$G2791,Database!$H:$N,5,0)),"")</f>
        <v/>
      </c>
      <c r="L2791" s="55" t="str">
        <f>IFERROR(IF($G2791="","",VLOOKUP('Dashboard And Emails Automate'!$G2791,Database!$H:$N,6,0)),"")</f>
        <v/>
      </c>
      <c r="M2791" s="55" t="str">
        <f>IFERROR(IF($G2791="","",VLOOKUP('Dashboard And Emails Automate'!$G2791,Database!$H:$N,7,0)),"")</f>
        <v/>
      </c>
      <c r="N2791" s="55" t="str">
        <f>IFERROR(IF(OR($B2791="",$B2791="(blank)"),"",VLOOKUP($B2791,'Email Marketing Raw Data'!$C:$O,6,0)),"")</f>
        <v/>
      </c>
      <c r="O2791" s="55" t="str">
        <f>IFERROR(IF(OR($B2791="",$B2791="(blank)"),"",VLOOKUP($B2791,'Email Marketing Raw Data'!$C:$O,7,0)),"")</f>
        <v/>
      </c>
      <c r="P2791" s="55" t="str">
        <f>IFERROR(IF(OR($B2791="",$B2791="(blank)"),"",VLOOKUP($B2791,'Email Marketing Raw Data'!$C:$O,8,0)),"")</f>
        <v/>
      </c>
      <c r="Q2791" s="62" t="str">
        <f>IFERROR(IF(OR($B2791="",$B2791="(blank)"),"",VLOOKUP($B2791,'Email Marketing Raw Data'!$C:$O,9,0)),"")</f>
        <v/>
      </c>
    </row>
    <row r="2792" spans="4:17" ht="12.75" customHeight="1" x14ac:dyDescent="0.2">
      <c r="D2792" s="58" t="str">
        <f>IFERROR(IF(F2792&lt;&gt;"pending","",IF(OR($B2792="",$B2792="(blank)"),"",VLOOKUP($B2792,'Email Marketing Raw Data'!$C:$O,10,0))),"")</f>
        <v/>
      </c>
      <c r="E2792" s="59" t="str">
        <f>IFERROR(IF(F2792&lt;&gt;"pending","",IF(OR($B2792="",$B2792="(blank)"),"",VLOOKUP($B2792,'Email Marketing Raw Data'!$C:$O,11,0))),"")</f>
        <v/>
      </c>
      <c r="F2792" s="54" t="str">
        <f>IFERROR(IF(OR($B2792="",$B2792="(blank)"),"",VLOOKUP($B2792,'Email Marketing Raw Data'!$C:$O,13,0)),"")</f>
        <v/>
      </c>
      <c r="G2792" s="55" t="str">
        <f>IFERROR(IF(OR($B2792="",$B2792="(blank)"),"",VLOOKUP($B2792,'Email Marketing Raw Data'!$C:$O,4,0)),"")</f>
        <v/>
      </c>
      <c r="H2792" s="55" t="str">
        <f>IFERROR(IF(OR($B2792="",$B2792="(blank)"),"",VLOOKUP($B2792,'Email Marketing Raw Data'!$C:$O,5,0)),"")</f>
        <v/>
      </c>
      <c r="I2792" s="55" t="str">
        <f>IFERROR(IF($G2792="","",VLOOKUP('Dashboard And Emails Automate'!$G2792,Database!$H:$N,3,0)),"")</f>
        <v/>
      </c>
      <c r="J2792" s="55" t="str">
        <f>IFERROR(IF($G2792="","",VLOOKUP('Dashboard And Emails Automate'!$G2792,Database!$H:$N,4,0)),"")</f>
        <v/>
      </c>
      <c r="K2792" s="55" t="str">
        <f>IFERROR(IF($G2792="","",VLOOKUP('Dashboard And Emails Automate'!$G2792,Database!$H:$N,5,0)),"")</f>
        <v/>
      </c>
      <c r="L2792" s="55" t="str">
        <f>IFERROR(IF($G2792="","",VLOOKUP('Dashboard And Emails Automate'!$G2792,Database!$H:$N,6,0)),"")</f>
        <v/>
      </c>
      <c r="M2792" s="55" t="str">
        <f>IFERROR(IF($G2792="","",VLOOKUP('Dashboard And Emails Automate'!$G2792,Database!$H:$N,7,0)),"")</f>
        <v/>
      </c>
      <c r="N2792" s="55" t="str">
        <f>IFERROR(IF(OR($B2792="",$B2792="(blank)"),"",VLOOKUP($B2792,'Email Marketing Raw Data'!$C:$O,6,0)),"")</f>
        <v/>
      </c>
      <c r="O2792" s="55" t="str">
        <f>IFERROR(IF(OR($B2792="",$B2792="(blank)"),"",VLOOKUP($B2792,'Email Marketing Raw Data'!$C:$O,7,0)),"")</f>
        <v/>
      </c>
      <c r="P2792" s="55" t="str">
        <f>IFERROR(IF(OR($B2792="",$B2792="(blank)"),"",VLOOKUP($B2792,'Email Marketing Raw Data'!$C:$O,8,0)),"")</f>
        <v/>
      </c>
      <c r="Q2792" s="62" t="str">
        <f>IFERROR(IF(OR($B2792="",$B2792="(blank)"),"",VLOOKUP($B2792,'Email Marketing Raw Data'!$C:$O,9,0)),"")</f>
        <v/>
      </c>
    </row>
    <row r="2793" spans="4:17" ht="12.75" customHeight="1" x14ac:dyDescent="0.2">
      <c r="D2793" s="58" t="str">
        <f>IFERROR(IF(F2793&lt;&gt;"pending","",IF(OR($B2793="",$B2793="(blank)"),"",VLOOKUP($B2793,'Email Marketing Raw Data'!$C:$O,10,0))),"")</f>
        <v/>
      </c>
      <c r="E2793" s="59" t="str">
        <f>IFERROR(IF(F2793&lt;&gt;"pending","",IF(OR($B2793="",$B2793="(blank)"),"",VLOOKUP($B2793,'Email Marketing Raw Data'!$C:$O,11,0))),"")</f>
        <v/>
      </c>
      <c r="F2793" s="54" t="str">
        <f>IFERROR(IF(OR($B2793="",$B2793="(blank)"),"",VLOOKUP($B2793,'Email Marketing Raw Data'!$C:$O,13,0)),"")</f>
        <v/>
      </c>
      <c r="G2793" s="55" t="str">
        <f>IFERROR(IF(OR($B2793="",$B2793="(blank)"),"",VLOOKUP($B2793,'Email Marketing Raw Data'!$C:$O,4,0)),"")</f>
        <v/>
      </c>
      <c r="H2793" s="55" t="str">
        <f>IFERROR(IF(OR($B2793="",$B2793="(blank)"),"",VLOOKUP($B2793,'Email Marketing Raw Data'!$C:$O,5,0)),"")</f>
        <v/>
      </c>
      <c r="I2793" s="55" t="str">
        <f>IFERROR(IF($G2793="","",VLOOKUP('Dashboard And Emails Automate'!$G2793,Database!$H:$N,3,0)),"")</f>
        <v/>
      </c>
      <c r="J2793" s="55" t="str">
        <f>IFERROR(IF($G2793="","",VLOOKUP('Dashboard And Emails Automate'!$G2793,Database!$H:$N,4,0)),"")</f>
        <v/>
      </c>
      <c r="K2793" s="55" t="str">
        <f>IFERROR(IF($G2793="","",VLOOKUP('Dashboard And Emails Automate'!$G2793,Database!$H:$N,5,0)),"")</f>
        <v/>
      </c>
      <c r="L2793" s="55" t="str">
        <f>IFERROR(IF($G2793="","",VLOOKUP('Dashboard And Emails Automate'!$G2793,Database!$H:$N,6,0)),"")</f>
        <v/>
      </c>
      <c r="M2793" s="55" t="str">
        <f>IFERROR(IF($G2793="","",VLOOKUP('Dashboard And Emails Automate'!$G2793,Database!$H:$N,7,0)),"")</f>
        <v/>
      </c>
      <c r="N2793" s="55" t="str">
        <f>IFERROR(IF(OR($B2793="",$B2793="(blank)"),"",VLOOKUP($B2793,'Email Marketing Raw Data'!$C:$O,6,0)),"")</f>
        <v/>
      </c>
      <c r="O2793" s="55" t="str">
        <f>IFERROR(IF(OR($B2793="",$B2793="(blank)"),"",VLOOKUP($B2793,'Email Marketing Raw Data'!$C:$O,7,0)),"")</f>
        <v/>
      </c>
      <c r="P2793" s="55" t="str">
        <f>IFERROR(IF(OR($B2793="",$B2793="(blank)"),"",VLOOKUP($B2793,'Email Marketing Raw Data'!$C:$O,8,0)),"")</f>
        <v/>
      </c>
      <c r="Q2793" s="62" t="str">
        <f>IFERROR(IF(OR($B2793="",$B2793="(blank)"),"",VLOOKUP($B2793,'Email Marketing Raw Data'!$C:$O,9,0)),"")</f>
        <v/>
      </c>
    </row>
    <row r="2794" spans="4:17" ht="12.75" customHeight="1" x14ac:dyDescent="0.2">
      <c r="D2794" s="58" t="str">
        <f>IFERROR(IF(F2794&lt;&gt;"pending","",IF(OR($B2794="",$B2794="(blank)"),"",VLOOKUP($B2794,'Email Marketing Raw Data'!$C:$O,10,0))),"")</f>
        <v/>
      </c>
      <c r="E2794" s="59" t="str">
        <f>IFERROR(IF(F2794&lt;&gt;"pending","",IF(OR($B2794="",$B2794="(blank)"),"",VLOOKUP($B2794,'Email Marketing Raw Data'!$C:$O,11,0))),"")</f>
        <v/>
      </c>
      <c r="F2794" s="54" t="str">
        <f>IFERROR(IF(OR($B2794="",$B2794="(blank)"),"",VLOOKUP($B2794,'Email Marketing Raw Data'!$C:$O,13,0)),"")</f>
        <v/>
      </c>
      <c r="G2794" s="55" t="str">
        <f>IFERROR(IF(OR($B2794="",$B2794="(blank)"),"",VLOOKUP($B2794,'Email Marketing Raw Data'!$C:$O,4,0)),"")</f>
        <v/>
      </c>
      <c r="H2794" s="55" t="str">
        <f>IFERROR(IF(OR($B2794="",$B2794="(blank)"),"",VLOOKUP($B2794,'Email Marketing Raw Data'!$C:$O,5,0)),"")</f>
        <v/>
      </c>
      <c r="I2794" s="55" t="str">
        <f>IFERROR(IF($G2794="","",VLOOKUP('Dashboard And Emails Automate'!$G2794,Database!$H:$N,3,0)),"")</f>
        <v/>
      </c>
      <c r="J2794" s="55" t="str">
        <f>IFERROR(IF($G2794="","",VLOOKUP('Dashboard And Emails Automate'!$G2794,Database!$H:$N,4,0)),"")</f>
        <v/>
      </c>
      <c r="K2794" s="55" t="str">
        <f>IFERROR(IF($G2794="","",VLOOKUP('Dashboard And Emails Automate'!$G2794,Database!$H:$N,5,0)),"")</f>
        <v/>
      </c>
      <c r="L2794" s="55" t="str">
        <f>IFERROR(IF($G2794="","",VLOOKUP('Dashboard And Emails Automate'!$G2794,Database!$H:$N,6,0)),"")</f>
        <v/>
      </c>
      <c r="M2794" s="55" t="str">
        <f>IFERROR(IF($G2794="","",VLOOKUP('Dashboard And Emails Automate'!$G2794,Database!$H:$N,7,0)),"")</f>
        <v/>
      </c>
      <c r="N2794" s="55" t="str">
        <f>IFERROR(IF(OR($B2794="",$B2794="(blank)"),"",VLOOKUP($B2794,'Email Marketing Raw Data'!$C:$O,6,0)),"")</f>
        <v/>
      </c>
      <c r="O2794" s="55" t="str">
        <f>IFERROR(IF(OR($B2794="",$B2794="(blank)"),"",VLOOKUP($B2794,'Email Marketing Raw Data'!$C:$O,7,0)),"")</f>
        <v/>
      </c>
      <c r="P2794" s="55" t="str">
        <f>IFERROR(IF(OR($B2794="",$B2794="(blank)"),"",VLOOKUP($B2794,'Email Marketing Raw Data'!$C:$O,8,0)),"")</f>
        <v/>
      </c>
      <c r="Q2794" s="62" t="str">
        <f>IFERROR(IF(OR($B2794="",$B2794="(blank)"),"",VLOOKUP($B2794,'Email Marketing Raw Data'!$C:$O,9,0)),"")</f>
        <v/>
      </c>
    </row>
    <row r="2795" spans="4:17" ht="12.75" customHeight="1" x14ac:dyDescent="0.2">
      <c r="D2795" s="58" t="str">
        <f>IFERROR(IF(F2795&lt;&gt;"pending","",IF(OR($B2795="",$B2795="(blank)"),"",VLOOKUP($B2795,'Email Marketing Raw Data'!$C:$O,10,0))),"")</f>
        <v/>
      </c>
      <c r="E2795" s="59" t="str">
        <f>IFERROR(IF(F2795&lt;&gt;"pending","",IF(OR($B2795="",$B2795="(blank)"),"",VLOOKUP($B2795,'Email Marketing Raw Data'!$C:$O,11,0))),"")</f>
        <v/>
      </c>
      <c r="F2795" s="54" t="str">
        <f>IFERROR(IF(OR($B2795="",$B2795="(blank)"),"",VLOOKUP($B2795,'Email Marketing Raw Data'!$C:$O,13,0)),"")</f>
        <v/>
      </c>
      <c r="G2795" s="55" t="str">
        <f>IFERROR(IF(OR($B2795="",$B2795="(blank)"),"",VLOOKUP($B2795,'Email Marketing Raw Data'!$C:$O,4,0)),"")</f>
        <v/>
      </c>
      <c r="H2795" s="55" t="str">
        <f>IFERROR(IF(OR($B2795="",$B2795="(blank)"),"",VLOOKUP($B2795,'Email Marketing Raw Data'!$C:$O,5,0)),"")</f>
        <v/>
      </c>
      <c r="I2795" s="55" t="str">
        <f>IFERROR(IF($G2795="","",VLOOKUP('Dashboard And Emails Automate'!$G2795,Database!$H:$N,3,0)),"")</f>
        <v/>
      </c>
      <c r="J2795" s="55" t="str">
        <f>IFERROR(IF($G2795="","",VLOOKUP('Dashboard And Emails Automate'!$G2795,Database!$H:$N,4,0)),"")</f>
        <v/>
      </c>
      <c r="K2795" s="55" t="str">
        <f>IFERROR(IF($G2795="","",VLOOKUP('Dashboard And Emails Automate'!$G2795,Database!$H:$N,5,0)),"")</f>
        <v/>
      </c>
      <c r="L2795" s="55" t="str">
        <f>IFERROR(IF($G2795="","",VLOOKUP('Dashboard And Emails Automate'!$G2795,Database!$H:$N,6,0)),"")</f>
        <v/>
      </c>
      <c r="M2795" s="55" t="str">
        <f>IFERROR(IF($G2795="","",VLOOKUP('Dashboard And Emails Automate'!$G2795,Database!$H:$N,7,0)),"")</f>
        <v/>
      </c>
      <c r="N2795" s="55" t="str">
        <f>IFERROR(IF(OR($B2795="",$B2795="(blank)"),"",VLOOKUP($B2795,'Email Marketing Raw Data'!$C:$O,6,0)),"")</f>
        <v/>
      </c>
      <c r="O2795" s="55" t="str">
        <f>IFERROR(IF(OR($B2795="",$B2795="(blank)"),"",VLOOKUP($B2795,'Email Marketing Raw Data'!$C:$O,7,0)),"")</f>
        <v/>
      </c>
      <c r="P2795" s="55" t="str">
        <f>IFERROR(IF(OR($B2795="",$B2795="(blank)"),"",VLOOKUP($B2795,'Email Marketing Raw Data'!$C:$O,8,0)),"")</f>
        <v/>
      </c>
      <c r="Q2795" s="62" t="str">
        <f>IFERROR(IF(OR($B2795="",$B2795="(blank)"),"",VLOOKUP($B2795,'Email Marketing Raw Data'!$C:$O,9,0)),"")</f>
        <v/>
      </c>
    </row>
    <row r="2796" spans="4:17" ht="12.75" customHeight="1" x14ac:dyDescent="0.2">
      <c r="D2796" s="58" t="str">
        <f>IFERROR(IF(F2796&lt;&gt;"pending","",IF(OR($B2796="",$B2796="(blank)"),"",VLOOKUP($B2796,'Email Marketing Raw Data'!$C:$O,10,0))),"")</f>
        <v/>
      </c>
      <c r="E2796" s="59" t="str">
        <f>IFERROR(IF(F2796&lt;&gt;"pending","",IF(OR($B2796="",$B2796="(blank)"),"",VLOOKUP($B2796,'Email Marketing Raw Data'!$C:$O,11,0))),"")</f>
        <v/>
      </c>
      <c r="F2796" s="54" t="str">
        <f>IFERROR(IF(OR($B2796="",$B2796="(blank)"),"",VLOOKUP($B2796,'Email Marketing Raw Data'!$C:$O,13,0)),"")</f>
        <v/>
      </c>
      <c r="G2796" s="55" t="str">
        <f>IFERROR(IF(OR($B2796="",$B2796="(blank)"),"",VLOOKUP($B2796,'Email Marketing Raw Data'!$C:$O,4,0)),"")</f>
        <v/>
      </c>
      <c r="H2796" s="55" t="str">
        <f>IFERROR(IF(OR($B2796="",$B2796="(blank)"),"",VLOOKUP($B2796,'Email Marketing Raw Data'!$C:$O,5,0)),"")</f>
        <v/>
      </c>
      <c r="I2796" s="55" t="str">
        <f>IFERROR(IF($G2796="","",VLOOKUP('Dashboard And Emails Automate'!$G2796,Database!$H:$N,3,0)),"")</f>
        <v/>
      </c>
      <c r="J2796" s="55" t="str">
        <f>IFERROR(IF($G2796="","",VLOOKUP('Dashboard And Emails Automate'!$G2796,Database!$H:$N,4,0)),"")</f>
        <v/>
      </c>
      <c r="K2796" s="55" t="str">
        <f>IFERROR(IF($G2796="","",VLOOKUP('Dashboard And Emails Automate'!$G2796,Database!$H:$N,5,0)),"")</f>
        <v/>
      </c>
      <c r="L2796" s="55" t="str">
        <f>IFERROR(IF($G2796="","",VLOOKUP('Dashboard And Emails Automate'!$G2796,Database!$H:$N,6,0)),"")</f>
        <v/>
      </c>
      <c r="M2796" s="55" t="str">
        <f>IFERROR(IF($G2796="","",VLOOKUP('Dashboard And Emails Automate'!$G2796,Database!$H:$N,7,0)),"")</f>
        <v/>
      </c>
      <c r="N2796" s="55" t="str">
        <f>IFERROR(IF(OR($B2796="",$B2796="(blank)"),"",VLOOKUP($B2796,'Email Marketing Raw Data'!$C:$O,6,0)),"")</f>
        <v/>
      </c>
      <c r="O2796" s="55" t="str">
        <f>IFERROR(IF(OR($B2796="",$B2796="(blank)"),"",VLOOKUP($B2796,'Email Marketing Raw Data'!$C:$O,7,0)),"")</f>
        <v/>
      </c>
      <c r="P2796" s="55" t="str">
        <f>IFERROR(IF(OR($B2796="",$B2796="(blank)"),"",VLOOKUP($B2796,'Email Marketing Raw Data'!$C:$O,8,0)),"")</f>
        <v/>
      </c>
      <c r="Q2796" s="62" t="str">
        <f>IFERROR(IF(OR($B2796="",$B2796="(blank)"),"",VLOOKUP($B2796,'Email Marketing Raw Data'!$C:$O,9,0)),"")</f>
        <v/>
      </c>
    </row>
    <row r="2797" spans="4:17" ht="12.75" customHeight="1" x14ac:dyDescent="0.2">
      <c r="D2797" s="58" t="str">
        <f>IFERROR(IF(F2797&lt;&gt;"pending","",IF(OR($B2797="",$B2797="(blank)"),"",VLOOKUP($B2797,'Email Marketing Raw Data'!$C:$O,10,0))),"")</f>
        <v/>
      </c>
      <c r="E2797" s="59" t="str">
        <f>IFERROR(IF(F2797&lt;&gt;"pending","",IF(OR($B2797="",$B2797="(blank)"),"",VLOOKUP($B2797,'Email Marketing Raw Data'!$C:$O,11,0))),"")</f>
        <v/>
      </c>
      <c r="F2797" s="54" t="str">
        <f>IFERROR(IF(OR($B2797="",$B2797="(blank)"),"",VLOOKUP($B2797,'Email Marketing Raw Data'!$C:$O,13,0)),"")</f>
        <v/>
      </c>
      <c r="G2797" s="55" t="str">
        <f>IFERROR(IF(OR($B2797="",$B2797="(blank)"),"",VLOOKUP($B2797,'Email Marketing Raw Data'!$C:$O,4,0)),"")</f>
        <v/>
      </c>
      <c r="H2797" s="55" t="str">
        <f>IFERROR(IF(OR($B2797="",$B2797="(blank)"),"",VLOOKUP($B2797,'Email Marketing Raw Data'!$C:$O,5,0)),"")</f>
        <v/>
      </c>
      <c r="I2797" s="55" t="str">
        <f>IFERROR(IF($G2797="","",VLOOKUP('Dashboard And Emails Automate'!$G2797,Database!$H:$N,3,0)),"")</f>
        <v/>
      </c>
      <c r="J2797" s="55" t="str">
        <f>IFERROR(IF($G2797="","",VLOOKUP('Dashboard And Emails Automate'!$G2797,Database!$H:$N,4,0)),"")</f>
        <v/>
      </c>
      <c r="K2797" s="55" t="str">
        <f>IFERROR(IF($G2797="","",VLOOKUP('Dashboard And Emails Automate'!$G2797,Database!$H:$N,5,0)),"")</f>
        <v/>
      </c>
      <c r="L2797" s="55" t="str">
        <f>IFERROR(IF($G2797="","",VLOOKUP('Dashboard And Emails Automate'!$G2797,Database!$H:$N,6,0)),"")</f>
        <v/>
      </c>
      <c r="M2797" s="55" t="str">
        <f>IFERROR(IF($G2797="","",VLOOKUP('Dashboard And Emails Automate'!$G2797,Database!$H:$N,7,0)),"")</f>
        <v/>
      </c>
      <c r="N2797" s="55" t="str">
        <f>IFERROR(IF(OR($B2797="",$B2797="(blank)"),"",VLOOKUP($B2797,'Email Marketing Raw Data'!$C:$O,6,0)),"")</f>
        <v/>
      </c>
      <c r="O2797" s="55" t="str">
        <f>IFERROR(IF(OR($B2797="",$B2797="(blank)"),"",VLOOKUP($B2797,'Email Marketing Raw Data'!$C:$O,7,0)),"")</f>
        <v/>
      </c>
      <c r="P2797" s="55" t="str">
        <f>IFERROR(IF(OR($B2797="",$B2797="(blank)"),"",VLOOKUP($B2797,'Email Marketing Raw Data'!$C:$O,8,0)),"")</f>
        <v/>
      </c>
      <c r="Q2797" s="62" t="str">
        <f>IFERROR(IF(OR($B2797="",$B2797="(blank)"),"",VLOOKUP($B2797,'Email Marketing Raw Data'!$C:$O,9,0)),"")</f>
        <v/>
      </c>
    </row>
    <row r="2798" spans="4:17" ht="12.75" customHeight="1" x14ac:dyDescent="0.2">
      <c r="D2798" s="58" t="str">
        <f>IFERROR(IF(F2798&lt;&gt;"pending","",IF(OR($B2798="",$B2798="(blank)"),"",VLOOKUP($B2798,'Email Marketing Raw Data'!$C:$O,10,0))),"")</f>
        <v/>
      </c>
      <c r="E2798" s="59" t="str">
        <f>IFERROR(IF(F2798&lt;&gt;"pending","",IF(OR($B2798="",$B2798="(blank)"),"",VLOOKUP($B2798,'Email Marketing Raw Data'!$C:$O,11,0))),"")</f>
        <v/>
      </c>
      <c r="F2798" s="54" t="str">
        <f>IFERROR(IF(OR($B2798="",$B2798="(blank)"),"",VLOOKUP($B2798,'Email Marketing Raw Data'!$C:$O,13,0)),"")</f>
        <v/>
      </c>
      <c r="G2798" s="55" t="str">
        <f>IFERROR(IF(OR($B2798="",$B2798="(blank)"),"",VLOOKUP($B2798,'Email Marketing Raw Data'!$C:$O,4,0)),"")</f>
        <v/>
      </c>
      <c r="H2798" s="55" t="str">
        <f>IFERROR(IF(OR($B2798="",$B2798="(blank)"),"",VLOOKUP($B2798,'Email Marketing Raw Data'!$C:$O,5,0)),"")</f>
        <v/>
      </c>
      <c r="I2798" s="55" t="str">
        <f>IFERROR(IF($G2798="","",VLOOKUP('Dashboard And Emails Automate'!$G2798,Database!$H:$N,3,0)),"")</f>
        <v/>
      </c>
      <c r="J2798" s="55" t="str">
        <f>IFERROR(IF($G2798="","",VLOOKUP('Dashboard And Emails Automate'!$G2798,Database!$H:$N,4,0)),"")</f>
        <v/>
      </c>
      <c r="K2798" s="55" t="str">
        <f>IFERROR(IF($G2798="","",VLOOKUP('Dashboard And Emails Automate'!$G2798,Database!$H:$N,5,0)),"")</f>
        <v/>
      </c>
      <c r="L2798" s="55" t="str">
        <f>IFERROR(IF($G2798="","",VLOOKUP('Dashboard And Emails Automate'!$G2798,Database!$H:$N,6,0)),"")</f>
        <v/>
      </c>
      <c r="M2798" s="55" t="str">
        <f>IFERROR(IF($G2798="","",VLOOKUP('Dashboard And Emails Automate'!$G2798,Database!$H:$N,7,0)),"")</f>
        <v/>
      </c>
      <c r="N2798" s="55" t="str">
        <f>IFERROR(IF(OR($B2798="",$B2798="(blank)"),"",VLOOKUP($B2798,'Email Marketing Raw Data'!$C:$O,6,0)),"")</f>
        <v/>
      </c>
      <c r="O2798" s="55" t="str">
        <f>IFERROR(IF(OR($B2798="",$B2798="(blank)"),"",VLOOKUP($B2798,'Email Marketing Raw Data'!$C:$O,7,0)),"")</f>
        <v/>
      </c>
      <c r="P2798" s="55" t="str">
        <f>IFERROR(IF(OR($B2798="",$B2798="(blank)"),"",VLOOKUP($B2798,'Email Marketing Raw Data'!$C:$O,8,0)),"")</f>
        <v/>
      </c>
      <c r="Q2798" s="62" t="str">
        <f>IFERROR(IF(OR($B2798="",$B2798="(blank)"),"",VLOOKUP($B2798,'Email Marketing Raw Data'!$C:$O,9,0)),"")</f>
        <v/>
      </c>
    </row>
    <row r="2799" spans="4:17" ht="12.75" customHeight="1" x14ac:dyDescent="0.2">
      <c r="D2799" s="58" t="str">
        <f>IFERROR(IF(F2799&lt;&gt;"pending","",IF(OR($B2799="",$B2799="(blank)"),"",VLOOKUP($B2799,'Email Marketing Raw Data'!$C:$O,10,0))),"")</f>
        <v/>
      </c>
      <c r="E2799" s="59" t="str">
        <f>IFERROR(IF(F2799&lt;&gt;"pending","",IF(OR($B2799="",$B2799="(blank)"),"",VLOOKUP($B2799,'Email Marketing Raw Data'!$C:$O,11,0))),"")</f>
        <v/>
      </c>
      <c r="F2799" s="54" t="str">
        <f>IFERROR(IF(OR($B2799="",$B2799="(blank)"),"",VLOOKUP($B2799,'Email Marketing Raw Data'!$C:$O,13,0)),"")</f>
        <v/>
      </c>
      <c r="G2799" s="55" t="str">
        <f>IFERROR(IF(OR($B2799="",$B2799="(blank)"),"",VLOOKUP($B2799,'Email Marketing Raw Data'!$C:$O,4,0)),"")</f>
        <v/>
      </c>
      <c r="H2799" s="55" t="str">
        <f>IFERROR(IF(OR($B2799="",$B2799="(blank)"),"",VLOOKUP($B2799,'Email Marketing Raw Data'!$C:$O,5,0)),"")</f>
        <v/>
      </c>
      <c r="I2799" s="55" t="str">
        <f>IFERROR(IF($G2799="","",VLOOKUP('Dashboard And Emails Automate'!$G2799,Database!$H:$N,3,0)),"")</f>
        <v/>
      </c>
      <c r="J2799" s="55" t="str">
        <f>IFERROR(IF($G2799="","",VLOOKUP('Dashboard And Emails Automate'!$G2799,Database!$H:$N,4,0)),"")</f>
        <v/>
      </c>
      <c r="K2799" s="55" t="str">
        <f>IFERROR(IF($G2799="","",VLOOKUP('Dashboard And Emails Automate'!$G2799,Database!$H:$N,5,0)),"")</f>
        <v/>
      </c>
      <c r="L2799" s="55" t="str">
        <f>IFERROR(IF($G2799="","",VLOOKUP('Dashboard And Emails Automate'!$G2799,Database!$H:$N,6,0)),"")</f>
        <v/>
      </c>
      <c r="M2799" s="55" t="str">
        <f>IFERROR(IF($G2799="","",VLOOKUP('Dashboard And Emails Automate'!$G2799,Database!$H:$N,7,0)),"")</f>
        <v/>
      </c>
      <c r="N2799" s="55" t="str">
        <f>IFERROR(IF(OR($B2799="",$B2799="(blank)"),"",VLOOKUP($B2799,'Email Marketing Raw Data'!$C:$O,6,0)),"")</f>
        <v/>
      </c>
      <c r="O2799" s="55" t="str">
        <f>IFERROR(IF(OR($B2799="",$B2799="(blank)"),"",VLOOKUP($B2799,'Email Marketing Raw Data'!$C:$O,7,0)),"")</f>
        <v/>
      </c>
      <c r="P2799" s="55" t="str">
        <f>IFERROR(IF(OR($B2799="",$B2799="(blank)"),"",VLOOKUP($B2799,'Email Marketing Raw Data'!$C:$O,8,0)),"")</f>
        <v/>
      </c>
      <c r="Q2799" s="62" t="str">
        <f>IFERROR(IF(OR($B2799="",$B2799="(blank)"),"",VLOOKUP($B2799,'Email Marketing Raw Data'!$C:$O,9,0)),"")</f>
        <v/>
      </c>
    </row>
    <row r="2800" spans="4:17" ht="12.75" customHeight="1" x14ac:dyDescent="0.2">
      <c r="D2800" s="58" t="str">
        <f>IFERROR(IF(F2800&lt;&gt;"pending","",IF(OR($B2800="",$B2800="(blank)"),"",VLOOKUP($B2800,'Email Marketing Raw Data'!$C:$O,10,0))),"")</f>
        <v/>
      </c>
      <c r="E2800" s="59" t="str">
        <f>IFERROR(IF(F2800&lt;&gt;"pending","",IF(OR($B2800="",$B2800="(blank)"),"",VLOOKUP($B2800,'Email Marketing Raw Data'!$C:$O,11,0))),"")</f>
        <v/>
      </c>
      <c r="F2800" s="54" t="str">
        <f>IFERROR(IF(OR($B2800="",$B2800="(blank)"),"",VLOOKUP($B2800,'Email Marketing Raw Data'!$C:$O,13,0)),"")</f>
        <v/>
      </c>
      <c r="G2800" s="55" t="str">
        <f>IFERROR(IF(OR($B2800="",$B2800="(blank)"),"",VLOOKUP($B2800,'Email Marketing Raw Data'!$C:$O,4,0)),"")</f>
        <v/>
      </c>
      <c r="H2800" s="55" t="str">
        <f>IFERROR(IF(OR($B2800="",$B2800="(blank)"),"",VLOOKUP($B2800,'Email Marketing Raw Data'!$C:$O,5,0)),"")</f>
        <v/>
      </c>
      <c r="I2800" s="55" t="str">
        <f>IFERROR(IF($G2800="","",VLOOKUP('Dashboard And Emails Automate'!$G2800,Database!$H:$N,3,0)),"")</f>
        <v/>
      </c>
      <c r="J2800" s="55" t="str">
        <f>IFERROR(IF($G2800="","",VLOOKUP('Dashboard And Emails Automate'!$G2800,Database!$H:$N,4,0)),"")</f>
        <v/>
      </c>
      <c r="K2800" s="55" t="str">
        <f>IFERROR(IF($G2800="","",VLOOKUP('Dashboard And Emails Automate'!$G2800,Database!$H:$N,5,0)),"")</f>
        <v/>
      </c>
      <c r="L2800" s="55" t="str">
        <f>IFERROR(IF($G2800="","",VLOOKUP('Dashboard And Emails Automate'!$G2800,Database!$H:$N,6,0)),"")</f>
        <v/>
      </c>
      <c r="M2800" s="55" t="str">
        <f>IFERROR(IF($G2800="","",VLOOKUP('Dashboard And Emails Automate'!$G2800,Database!$H:$N,7,0)),"")</f>
        <v/>
      </c>
      <c r="N2800" s="55" t="str">
        <f>IFERROR(IF(OR($B2800="",$B2800="(blank)"),"",VLOOKUP($B2800,'Email Marketing Raw Data'!$C:$O,6,0)),"")</f>
        <v/>
      </c>
      <c r="O2800" s="55" t="str">
        <f>IFERROR(IF(OR($B2800="",$B2800="(blank)"),"",VLOOKUP($B2800,'Email Marketing Raw Data'!$C:$O,7,0)),"")</f>
        <v/>
      </c>
      <c r="P2800" s="55" t="str">
        <f>IFERROR(IF(OR($B2800="",$B2800="(blank)"),"",VLOOKUP($B2800,'Email Marketing Raw Data'!$C:$O,8,0)),"")</f>
        <v/>
      </c>
      <c r="Q2800" s="62" t="str">
        <f>IFERROR(IF(OR($B2800="",$B2800="(blank)"),"",VLOOKUP($B2800,'Email Marketing Raw Data'!$C:$O,9,0)),"")</f>
        <v/>
      </c>
    </row>
    <row r="2801" spans="4:17" ht="12.75" customHeight="1" x14ac:dyDescent="0.2">
      <c r="D2801" s="58" t="str">
        <f>IFERROR(IF(F2801&lt;&gt;"pending","",IF(OR($B2801="",$B2801="(blank)"),"",VLOOKUP($B2801,'Email Marketing Raw Data'!$C:$O,10,0))),"")</f>
        <v/>
      </c>
      <c r="E2801" s="59" t="str">
        <f>IFERROR(IF(F2801&lt;&gt;"pending","",IF(OR($B2801="",$B2801="(blank)"),"",VLOOKUP($B2801,'Email Marketing Raw Data'!$C:$O,11,0))),"")</f>
        <v/>
      </c>
      <c r="F2801" s="54" t="str">
        <f>IFERROR(IF(OR($B2801="",$B2801="(blank)"),"",VLOOKUP($B2801,'Email Marketing Raw Data'!$C:$O,13,0)),"")</f>
        <v/>
      </c>
      <c r="G2801" s="55" t="str">
        <f>IFERROR(IF(OR($B2801="",$B2801="(blank)"),"",VLOOKUP($B2801,'Email Marketing Raw Data'!$C:$O,4,0)),"")</f>
        <v/>
      </c>
      <c r="H2801" s="55" t="str">
        <f>IFERROR(IF(OR($B2801="",$B2801="(blank)"),"",VLOOKUP($B2801,'Email Marketing Raw Data'!$C:$O,5,0)),"")</f>
        <v/>
      </c>
      <c r="I2801" s="55" t="str">
        <f>IFERROR(IF($G2801="","",VLOOKUP('Dashboard And Emails Automate'!$G2801,Database!$H:$N,3,0)),"")</f>
        <v/>
      </c>
      <c r="J2801" s="55" t="str">
        <f>IFERROR(IF($G2801="","",VLOOKUP('Dashboard And Emails Automate'!$G2801,Database!$H:$N,4,0)),"")</f>
        <v/>
      </c>
      <c r="K2801" s="55" t="str">
        <f>IFERROR(IF($G2801="","",VLOOKUP('Dashboard And Emails Automate'!$G2801,Database!$H:$N,5,0)),"")</f>
        <v/>
      </c>
      <c r="L2801" s="55" t="str">
        <f>IFERROR(IF($G2801="","",VLOOKUP('Dashboard And Emails Automate'!$G2801,Database!$H:$N,6,0)),"")</f>
        <v/>
      </c>
      <c r="M2801" s="55" t="str">
        <f>IFERROR(IF($G2801="","",VLOOKUP('Dashboard And Emails Automate'!$G2801,Database!$H:$N,7,0)),"")</f>
        <v/>
      </c>
      <c r="N2801" s="55" t="str">
        <f>IFERROR(IF(OR($B2801="",$B2801="(blank)"),"",VLOOKUP($B2801,'Email Marketing Raw Data'!$C:$O,6,0)),"")</f>
        <v/>
      </c>
      <c r="O2801" s="55" t="str">
        <f>IFERROR(IF(OR($B2801="",$B2801="(blank)"),"",VLOOKUP($B2801,'Email Marketing Raw Data'!$C:$O,7,0)),"")</f>
        <v/>
      </c>
      <c r="P2801" s="55" t="str">
        <f>IFERROR(IF(OR($B2801="",$B2801="(blank)"),"",VLOOKUP($B2801,'Email Marketing Raw Data'!$C:$O,8,0)),"")</f>
        <v/>
      </c>
      <c r="Q2801" s="62" t="str">
        <f>IFERROR(IF(OR($B2801="",$B2801="(blank)"),"",VLOOKUP($B2801,'Email Marketing Raw Data'!$C:$O,9,0)),"")</f>
        <v/>
      </c>
    </row>
    <row r="2802" spans="4:17" ht="12.75" customHeight="1" x14ac:dyDescent="0.2">
      <c r="D2802" s="58" t="str">
        <f>IFERROR(IF(F2802&lt;&gt;"pending","",IF(OR($B2802="",$B2802="(blank)"),"",VLOOKUP($B2802,'Email Marketing Raw Data'!$C:$O,10,0))),"")</f>
        <v/>
      </c>
      <c r="E2802" s="59" t="str">
        <f>IFERROR(IF(F2802&lt;&gt;"pending","",IF(OR($B2802="",$B2802="(blank)"),"",VLOOKUP($B2802,'Email Marketing Raw Data'!$C:$O,11,0))),"")</f>
        <v/>
      </c>
      <c r="F2802" s="54" t="str">
        <f>IFERROR(IF(OR($B2802="",$B2802="(blank)"),"",VLOOKUP($B2802,'Email Marketing Raw Data'!$C:$O,13,0)),"")</f>
        <v/>
      </c>
      <c r="G2802" s="55" t="str">
        <f>IFERROR(IF(OR($B2802="",$B2802="(blank)"),"",VLOOKUP($B2802,'Email Marketing Raw Data'!$C:$O,4,0)),"")</f>
        <v/>
      </c>
      <c r="H2802" s="55" t="str">
        <f>IFERROR(IF(OR($B2802="",$B2802="(blank)"),"",VLOOKUP($B2802,'Email Marketing Raw Data'!$C:$O,5,0)),"")</f>
        <v/>
      </c>
      <c r="I2802" s="55" t="str">
        <f>IFERROR(IF($G2802="","",VLOOKUP('Dashboard And Emails Automate'!$G2802,Database!$H:$N,3,0)),"")</f>
        <v/>
      </c>
      <c r="J2802" s="55" t="str">
        <f>IFERROR(IF($G2802="","",VLOOKUP('Dashboard And Emails Automate'!$G2802,Database!$H:$N,4,0)),"")</f>
        <v/>
      </c>
      <c r="K2802" s="55" t="str">
        <f>IFERROR(IF($G2802="","",VLOOKUP('Dashboard And Emails Automate'!$G2802,Database!$H:$N,5,0)),"")</f>
        <v/>
      </c>
      <c r="L2802" s="55" t="str">
        <f>IFERROR(IF($G2802="","",VLOOKUP('Dashboard And Emails Automate'!$G2802,Database!$H:$N,6,0)),"")</f>
        <v/>
      </c>
      <c r="M2802" s="55" t="str">
        <f>IFERROR(IF($G2802="","",VLOOKUP('Dashboard And Emails Automate'!$G2802,Database!$H:$N,7,0)),"")</f>
        <v/>
      </c>
      <c r="N2802" s="55" t="str">
        <f>IFERROR(IF(OR($B2802="",$B2802="(blank)"),"",VLOOKUP($B2802,'Email Marketing Raw Data'!$C:$O,6,0)),"")</f>
        <v/>
      </c>
      <c r="O2802" s="55" t="str">
        <f>IFERROR(IF(OR($B2802="",$B2802="(blank)"),"",VLOOKUP($B2802,'Email Marketing Raw Data'!$C:$O,7,0)),"")</f>
        <v/>
      </c>
      <c r="P2802" s="55" t="str">
        <f>IFERROR(IF(OR($B2802="",$B2802="(blank)"),"",VLOOKUP($B2802,'Email Marketing Raw Data'!$C:$O,8,0)),"")</f>
        <v/>
      </c>
      <c r="Q2802" s="62" t="str">
        <f>IFERROR(IF(OR($B2802="",$B2802="(blank)"),"",VLOOKUP($B2802,'Email Marketing Raw Data'!$C:$O,9,0)),"")</f>
        <v/>
      </c>
    </row>
    <row r="2803" spans="4:17" ht="12.75" customHeight="1" x14ac:dyDescent="0.2">
      <c r="D2803" s="58" t="str">
        <f>IFERROR(IF(F2803&lt;&gt;"pending","",IF(OR($B2803="",$B2803="(blank)"),"",VLOOKUP($B2803,'Email Marketing Raw Data'!$C:$O,10,0))),"")</f>
        <v/>
      </c>
      <c r="E2803" s="59" t="str">
        <f>IFERROR(IF(F2803&lt;&gt;"pending","",IF(OR($B2803="",$B2803="(blank)"),"",VLOOKUP($B2803,'Email Marketing Raw Data'!$C:$O,11,0))),"")</f>
        <v/>
      </c>
      <c r="F2803" s="54" t="str">
        <f>IFERROR(IF(OR($B2803="",$B2803="(blank)"),"",VLOOKUP($B2803,'Email Marketing Raw Data'!$C:$O,13,0)),"")</f>
        <v/>
      </c>
      <c r="G2803" s="55" t="str">
        <f>IFERROR(IF(OR($B2803="",$B2803="(blank)"),"",VLOOKUP($B2803,'Email Marketing Raw Data'!$C:$O,4,0)),"")</f>
        <v/>
      </c>
      <c r="H2803" s="55" t="str">
        <f>IFERROR(IF(OR($B2803="",$B2803="(blank)"),"",VLOOKUP($B2803,'Email Marketing Raw Data'!$C:$O,5,0)),"")</f>
        <v/>
      </c>
      <c r="I2803" s="55" t="str">
        <f>IFERROR(IF($G2803="","",VLOOKUP('Dashboard And Emails Automate'!$G2803,Database!$H:$N,3,0)),"")</f>
        <v/>
      </c>
      <c r="J2803" s="55" t="str">
        <f>IFERROR(IF($G2803="","",VLOOKUP('Dashboard And Emails Automate'!$G2803,Database!$H:$N,4,0)),"")</f>
        <v/>
      </c>
      <c r="K2803" s="55" t="str">
        <f>IFERROR(IF($G2803="","",VLOOKUP('Dashboard And Emails Automate'!$G2803,Database!$H:$N,5,0)),"")</f>
        <v/>
      </c>
      <c r="L2803" s="55" t="str">
        <f>IFERROR(IF($G2803="","",VLOOKUP('Dashboard And Emails Automate'!$G2803,Database!$H:$N,6,0)),"")</f>
        <v/>
      </c>
      <c r="M2803" s="55" t="str">
        <f>IFERROR(IF($G2803="","",VLOOKUP('Dashboard And Emails Automate'!$G2803,Database!$H:$N,7,0)),"")</f>
        <v/>
      </c>
      <c r="N2803" s="55" t="str">
        <f>IFERROR(IF(OR($B2803="",$B2803="(blank)"),"",VLOOKUP($B2803,'Email Marketing Raw Data'!$C:$O,6,0)),"")</f>
        <v/>
      </c>
      <c r="O2803" s="55" t="str">
        <f>IFERROR(IF(OR($B2803="",$B2803="(blank)"),"",VLOOKUP($B2803,'Email Marketing Raw Data'!$C:$O,7,0)),"")</f>
        <v/>
      </c>
      <c r="P2803" s="55" t="str">
        <f>IFERROR(IF(OR($B2803="",$B2803="(blank)"),"",VLOOKUP($B2803,'Email Marketing Raw Data'!$C:$O,8,0)),"")</f>
        <v/>
      </c>
      <c r="Q2803" s="62" t="str">
        <f>IFERROR(IF(OR($B2803="",$B2803="(blank)"),"",VLOOKUP($B2803,'Email Marketing Raw Data'!$C:$O,9,0)),"")</f>
        <v/>
      </c>
    </row>
    <row r="2804" spans="4:17" ht="12.75" customHeight="1" x14ac:dyDescent="0.2">
      <c r="D2804" s="58" t="str">
        <f>IFERROR(IF(F2804&lt;&gt;"pending","",IF(OR($B2804="",$B2804="(blank)"),"",VLOOKUP($B2804,'Email Marketing Raw Data'!$C:$O,10,0))),"")</f>
        <v/>
      </c>
      <c r="E2804" s="59" t="str">
        <f>IFERROR(IF(F2804&lt;&gt;"pending","",IF(OR($B2804="",$B2804="(blank)"),"",VLOOKUP($B2804,'Email Marketing Raw Data'!$C:$O,11,0))),"")</f>
        <v/>
      </c>
      <c r="F2804" s="54" t="str">
        <f>IFERROR(IF(OR($B2804="",$B2804="(blank)"),"",VLOOKUP($B2804,'Email Marketing Raw Data'!$C:$O,13,0)),"")</f>
        <v/>
      </c>
      <c r="G2804" s="55" t="str">
        <f>IFERROR(IF(OR($B2804="",$B2804="(blank)"),"",VLOOKUP($B2804,'Email Marketing Raw Data'!$C:$O,4,0)),"")</f>
        <v/>
      </c>
      <c r="H2804" s="55" t="str">
        <f>IFERROR(IF(OR($B2804="",$B2804="(blank)"),"",VLOOKUP($B2804,'Email Marketing Raw Data'!$C:$O,5,0)),"")</f>
        <v/>
      </c>
      <c r="I2804" s="55" t="str">
        <f>IFERROR(IF($G2804="","",VLOOKUP('Dashboard And Emails Automate'!$G2804,Database!$H:$N,3,0)),"")</f>
        <v/>
      </c>
      <c r="J2804" s="55" t="str">
        <f>IFERROR(IF($G2804="","",VLOOKUP('Dashboard And Emails Automate'!$G2804,Database!$H:$N,4,0)),"")</f>
        <v/>
      </c>
      <c r="K2804" s="55" t="str">
        <f>IFERROR(IF($G2804="","",VLOOKUP('Dashboard And Emails Automate'!$G2804,Database!$H:$N,5,0)),"")</f>
        <v/>
      </c>
      <c r="L2804" s="55" t="str">
        <f>IFERROR(IF($G2804="","",VLOOKUP('Dashboard And Emails Automate'!$G2804,Database!$H:$N,6,0)),"")</f>
        <v/>
      </c>
      <c r="M2804" s="55" t="str">
        <f>IFERROR(IF($G2804="","",VLOOKUP('Dashboard And Emails Automate'!$G2804,Database!$H:$N,7,0)),"")</f>
        <v/>
      </c>
      <c r="N2804" s="55" t="str">
        <f>IFERROR(IF(OR($B2804="",$B2804="(blank)"),"",VLOOKUP($B2804,'Email Marketing Raw Data'!$C:$O,6,0)),"")</f>
        <v/>
      </c>
      <c r="O2804" s="55" t="str">
        <f>IFERROR(IF(OR($B2804="",$B2804="(blank)"),"",VLOOKUP($B2804,'Email Marketing Raw Data'!$C:$O,7,0)),"")</f>
        <v/>
      </c>
      <c r="P2804" s="55" t="str">
        <f>IFERROR(IF(OR($B2804="",$B2804="(blank)"),"",VLOOKUP($B2804,'Email Marketing Raw Data'!$C:$O,8,0)),"")</f>
        <v/>
      </c>
      <c r="Q2804" s="62" t="str">
        <f>IFERROR(IF(OR($B2804="",$B2804="(blank)"),"",VLOOKUP($B2804,'Email Marketing Raw Data'!$C:$O,9,0)),"")</f>
        <v/>
      </c>
    </row>
    <row r="2805" spans="4:17" ht="12.75" customHeight="1" x14ac:dyDescent="0.2">
      <c r="D2805" s="58" t="str">
        <f>IFERROR(IF(F2805&lt;&gt;"pending","",IF(OR($B2805="",$B2805="(blank)"),"",VLOOKUP($B2805,'Email Marketing Raw Data'!$C:$O,10,0))),"")</f>
        <v/>
      </c>
      <c r="E2805" s="59" t="str">
        <f>IFERROR(IF(F2805&lt;&gt;"pending","",IF(OR($B2805="",$B2805="(blank)"),"",VLOOKUP($B2805,'Email Marketing Raw Data'!$C:$O,11,0))),"")</f>
        <v/>
      </c>
      <c r="F2805" s="54" t="str">
        <f>IFERROR(IF(OR($B2805="",$B2805="(blank)"),"",VLOOKUP($B2805,'Email Marketing Raw Data'!$C:$O,13,0)),"")</f>
        <v/>
      </c>
      <c r="G2805" s="55" t="str">
        <f>IFERROR(IF(OR($B2805="",$B2805="(blank)"),"",VLOOKUP($B2805,'Email Marketing Raw Data'!$C:$O,4,0)),"")</f>
        <v/>
      </c>
      <c r="H2805" s="55" t="str">
        <f>IFERROR(IF(OR($B2805="",$B2805="(blank)"),"",VLOOKUP($B2805,'Email Marketing Raw Data'!$C:$O,5,0)),"")</f>
        <v/>
      </c>
      <c r="I2805" s="55" t="str">
        <f>IFERROR(IF($G2805="","",VLOOKUP('Dashboard And Emails Automate'!$G2805,Database!$H:$N,3,0)),"")</f>
        <v/>
      </c>
      <c r="J2805" s="55" t="str">
        <f>IFERROR(IF($G2805="","",VLOOKUP('Dashboard And Emails Automate'!$G2805,Database!$H:$N,4,0)),"")</f>
        <v/>
      </c>
      <c r="K2805" s="55" t="str">
        <f>IFERROR(IF($G2805="","",VLOOKUP('Dashboard And Emails Automate'!$G2805,Database!$H:$N,5,0)),"")</f>
        <v/>
      </c>
      <c r="L2805" s="55" t="str">
        <f>IFERROR(IF($G2805="","",VLOOKUP('Dashboard And Emails Automate'!$G2805,Database!$H:$N,6,0)),"")</f>
        <v/>
      </c>
      <c r="M2805" s="55" t="str">
        <f>IFERROR(IF($G2805="","",VLOOKUP('Dashboard And Emails Automate'!$G2805,Database!$H:$N,7,0)),"")</f>
        <v/>
      </c>
      <c r="N2805" s="55" t="str">
        <f>IFERROR(IF(OR($B2805="",$B2805="(blank)"),"",VLOOKUP($B2805,'Email Marketing Raw Data'!$C:$O,6,0)),"")</f>
        <v/>
      </c>
      <c r="O2805" s="55" t="str">
        <f>IFERROR(IF(OR($B2805="",$B2805="(blank)"),"",VLOOKUP($B2805,'Email Marketing Raw Data'!$C:$O,7,0)),"")</f>
        <v/>
      </c>
      <c r="P2805" s="55" t="str">
        <f>IFERROR(IF(OR($B2805="",$B2805="(blank)"),"",VLOOKUP($B2805,'Email Marketing Raw Data'!$C:$O,8,0)),"")</f>
        <v/>
      </c>
      <c r="Q2805" s="62" t="str">
        <f>IFERROR(IF(OR($B2805="",$B2805="(blank)"),"",VLOOKUP($B2805,'Email Marketing Raw Data'!$C:$O,9,0)),"")</f>
        <v/>
      </c>
    </row>
    <row r="2806" spans="4:17" ht="12.75" customHeight="1" x14ac:dyDescent="0.2">
      <c r="D2806" s="58" t="str">
        <f>IFERROR(IF(F2806&lt;&gt;"pending","",IF(OR($B2806="",$B2806="(blank)"),"",VLOOKUP($B2806,'Email Marketing Raw Data'!$C:$O,10,0))),"")</f>
        <v/>
      </c>
      <c r="E2806" s="59" t="str">
        <f>IFERROR(IF(F2806&lt;&gt;"pending","",IF(OR($B2806="",$B2806="(blank)"),"",VLOOKUP($B2806,'Email Marketing Raw Data'!$C:$O,11,0))),"")</f>
        <v/>
      </c>
      <c r="F2806" s="54" t="str">
        <f>IFERROR(IF(OR($B2806="",$B2806="(blank)"),"",VLOOKUP($B2806,'Email Marketing Raw Data'!$C:$O,13,0)),"")</f>
        <v/>
      </c>
      <c r="G2806" s="55" t="str">
        <f>IFERROR(IF(OR($B2806="",$B2806="(blank)"),"",VLOOKUP($B2806,'Email Marketing Raw Data'!$C:$O,4,0)),"")</f>
        <v/>
      </c>
      <c r="H2806" s="55" t="str">
        <f>IFERROR(IF(OR($B2806="",$B2806="(blank)"),"",VLOOKUP($B2806,'Email Marketing Raw Data'!$C:$O,5,0)),"")</f>
        <v/>
      </c>
      <c r="I2806" s="55" t="str">
        <f>IFERROR(IF($G2806="","",VLOOKUP('Dashboard And Emails Automate'!$G2806,Database!$H:$N,3,0)),"")</f>
        <v/>
      </c>
      <c r="J2806" s="55" t="str">
        <f>IFERROR(IF($G2806="","",VLOOKUP('Dashboard And Emails Automate'!$G2806,Database!$H:$N,4,0)),"")</f>
        <v/>
      </c>
      <c r="K2806" s="55" t="str">
        <f>IFERROR(IF($G2806="","",VLOOKUP('Dashboard And Emails Automate'!$G2806,Database!$H:$N,5,0)),"")</f>
        <v/>
      </c>
      <c r="L2806" s="55" t="str">
        <f>IFERROR(IF($G2806="","",VLOOKUP('Dashboard And Emails Automate'!$G2806,Database!$H:$N,6,0)),"")</f>
        <v/>
      </c>
      <c r="M2806" s="55" t="str">
        <f>IFERROR(IF($G2806="","",VLOOKUP('Dashboard And Emails Automate'!$G2806,Database!$H:$N,7,0)),"")</f>
        <v/>
      </c>
      <c r="N2806" s="55" t="str">
        <f>IFERROR(IF(OR($B2806="",$B2806="(blank)"),"",VLOOKUP($B2806,'Email Marketing Raw Data'!$C:$O,6,0)),"")</f>
        <v/>
      </c>
      <c r="O2806" s="55" t="str">
        <f>IFERROR(IF(OR($B2806="",$B2806="(blank)"),"",VLOOKUP($B2806,'Email Marketing Raw Data'!$C:$O,7,0)),"")</f>
        <v/>
      </c>
      <c r="P2806" s="55" t="str">
        <f>IFERROR(IF(OR($B2806="",$B2806="(blank)"),"",VLOOKUP($B2806,'Email Marketing Raw Data'!$C:$O,8,0)),"")</f>
        <v/>
      </c>
      <c r="Q2806" s="62" t="str">
        <f>IFERROR(IF(OR($B2806="",$B2806="(blank)"),"",VLOOKUP($B2806,'Email Marketing Raw Data'!$C:$O,9,0)),"")</f>
        <v/>
      </c>
    </row>
    <row r="2807" spans="4:17" ht="12.75" customHeight="1" x14ac:dyDescent="0.2">
      <c r="D2807" s="58" t="str">
        <f>IFERROR(IF(F2807&lt;&gt;"pending","",IF(OR($B2807="",$B2807="(blank)"),"",VLOOKUP($B2807,'Email Marketing Raw Data'!$C:$O,10,0))),"")</f>
        <v/>
      </c>
      <c r="E2807" s="59" t="str">
        <f>IFERROR(IF(F2807&lt;&gt;"pending","",IF(OR($B2807="",$B2807="(blank)"),"",VLOOKUP($B2807,'Email Marketing Raw Data'!$C:$O,11,0))),"")</f>
        <v/>
      </c>
      <c r="F2807" s="54" t="str">
        <f>IFERROR(IF(OR($B2807="",$B2807="(blank)"),"",VLOOKUP($B2807,'Email Marketing Raw Data'!$C:$O,13,0)),"")</f>
        <v/>
      </c>
      <c r="G2807" s="55" t="str">
        <f>IFERROR(IF(OR($B2807="",$B2807="(blank)"),"",VLOOKUP($B2807,'Email Marketing Raw Data'!$C:$O,4,0)),"")</f>
        <v/>
      </c>
      <c r="H2807" s="55" t="str">
        <f>IFERROR(IF(OR($B2807="",$B2807="(blank)"),"",VLOOKUP($B2807,'Email Marketing Raw Data'!$C:$O,5,0)),"")</f>
        <v/>
      </c>
      <c r="I2807" s="55" t="str">
        <f>IFERROR(IF($G2807="","",VLOOKUP('Dashboard And Emails Automate'!$G2807,Database!$H:$N,3,0)),"")</f>
        <v/>
      </c>
      <c r="J2807" s="55" t="str">
        <f>IFERROR(IF($G2807="","",VLOOKUP('Dashboard And Emails Automate'!$G2807,Database!$H:$N,4,0)),"")</f>
        <v/>
      </c>
      <c r="K2807" s="55" t="str">
        <f>IFERROR(IF($G2807="","",VLOOKUP('Dashboard And Emails Automate'!$G2807,Database!$H:$N,5,0)),"")</f>
        <v/>
      </c>
      <c r="L2807" s="55" t="str">
        <f>IFERROR(IF($G2807="","",VLOOKUP('Dashboard And Emails Automate'!$G2807,Database!$H:$N,6,0)),"")</f>
        <v/>
      </c>
      <c r="M2807" s="55" t="str">
        <f>IFERROR(IF($G2807="","",VLOOKUP('Dashboard And Emails Automate'!$G2807,Database!$H:$N,7,0)),"")</f>
        <v/>
      </c>
      <c r="N2807" s="55" t="str">
        <f>IFERROR(IF(OR($B2807="",$B2807="(blank)"),"",VLOOKUP($B2807,'Email Marketing Raw Data'!$C:$O,6,0)),"")</f>
        <v/>
      </c>
      <c r="O2807" s="55" t="str">
        <f>IFERROR(IF(OR($B2807="",$B2807="(blank)"),"",VLOOKUP($B2807,'Email Marketing Raw Data'!$C:$O,7,0)),"")</f>
        <v/>
      </c>
      <c r="P2807" s="55" t="str">
        <f>IFERROR(IF(OR($B2807="",$B2807="(blank)"),"",VLOOKUP($B2807,'Email Marketing Raw Data'!$C:$O,8,0)),"")</f>
        <v/>
      </c>
      <c r="Q2807" s="62" t="str">
        <f>IFERROR(IF(OR($B2807="",$B2807="(blank)"),"",VLOOKUP($B2807,'Email Marketing Raw Data'!$C:$O,9,0)),"")</f>
        <v/>
      </c>
    </row>
    <row r="2808" spans="4:17" ht="12.75" customHeight="1" x14ac:dyDescent="0.2">
      <c r="D2808" s="58" t="str">
        <f>IFERROR(IF(F2808&lt;&gt;"pending","",IF(OR($B2808="",$B2808="(blank)"),"",VLOOKUP($B2808,'Email Marketing Raw Data'!$C:$O,10,0))),"")</f>
        <v/>
      </c>
      <c r="E2808" s="59" t="str">
        <f>IFERROR(IF(F2808&lt;&gt;"pending","",IF(OR($B2808="",$B2808="(blank)"),"",VLOOKUP($B2808,'Email Marketing Raw Data'!$C:$O,11,0))),"")</f>
        <v/>
      </c>
      <c r="F2808" s="54" t="str">
        <f>IFERROR(IF(OR($B2808="",$B2808="(blank)"),"",VLOOKUP($B2808,'Email Marketing Raw Data'!$C:$O,13,0)),"")</f>
        <v/>
      </c>
      <c r="G2808" s="55" t="str">
        <f>IFERROR(IF(OR($B2808="",$B2808="(blank)"),"",VLOOKUP($B2808,'Email Marketing Raw Data'!$C:$O,4,0)),"")</f>
        <v/>
      </c>
      <c r="H2808" s="55" t="str">
        <f>IFERROR(IF(OR($B2808="",$B2808="(blank)"),"",VLOOKUP($B2808,'Email Marketing Raw Data'!$C:$O,5,0)),"")</f>
        <v/>
      </c>
      <c r="I2808" s="55" t="str">
        <f>IFERROR(IF($G2808="","",VLOOKUP('Dashboard And Emails Automate'!$G2808,Database!$H:$N,3,0)),"")</f>
        <v/>
      </c>
      <c r="J2808" s="55" t="str">
        <f>IFERROR(IF($G2808="","",VLOOKUP('Dashboard And Emails Automate'!$G2808,Database!$H:$N,4,0)),"")</f>
        <v/>
      </c>
      <c r="K2808" s="55" t="str">
        <f>IFERROR(IF($G2808="","",VLOOKUP('Dashboard And Emails Automate'!$G2808,Database!$H:$N,5,0)),"")</f>
        <v/>
      </c>
      <c r="L2808" s="55" t="str">
        <f>IFERROR(IF($G2808="","",VLOOKUP('Dashboard And Emails Automate'!$G2808,Database!$H:$N,6,0)),"")</f>
        <v/>
      </c>
      <c r="M2808" s="55" t="str">
        <f>IFERROR(IF($G2808="","",VLOOKUP('Dashboard And Emails Automate'!$G2808,Database!$H:$N,7,0)),"")</f>
        <v/>
      </c>
      <c r="N2808" s="55" t="str">
        <f>IFERROR(IF(OR($B2808="",$B2808="(blank)"),"",VLOOKUP($B2808,'Email Marketing Raw Data'!$C:$O,6,0)),"")</f>
        <v/>
      </c>
      <c r="O2808" s="55" t="str">
        <f>IFERROR(IF(OR($B2808="",$B2808="(blank)"),"",VLOOKUP($B2808,'Email Marketing Raw Data'!$C:$O,7,0)),"")</f>
        <v/>
      </c>
      <c r="P2808" s="55" t="str">
        <f>IFERROR(IF(OR($B2808="",$B2808="(blank)"),"",VLOOKUP($B2808,'Email Marketing Raw Data'!$C:$O,8,0)),"")</f>
        <v/>
      </c>
      <c r="Q2808" s="62" t="str">
        <f>IFERROR(IF(OR($B2808="",$B2808="(blank)"),"",VLOOKUP($B2808,'Email Marketing Raw Data'!$C:$O,9,0)),"")</f>
        <v/>
      </c>
    </row>
    <row r="2809" spans="4:17" ht="12.75" customHeight="1" x14ac:dyDescent="0.2">
      <c r="D2809" s="58" t="str">
        <f>IFERROR(IF(F2809&lt;&gt;"pending","",IF(OR($B2809="",$B2809="(blank)"),"",VLOOKUP($B2809,'Email Marketing Raw Data'!$C:$O,10,0))),"")</f>
        <v/>
      </c>
      <c r="E2809" s="59" t="str">
        <f>IFERROR(IF(F2809&lt;&gt;"pending","",IF(OR($B2809="",$B2809="(blank)"),"",VLOOKUP($B2809,'Email Marketing Raw Data'!$C:$O,11,0))),"")</f>
        <v/>
      </c>
      <c r="F2809" s="54" t="str">
        <f>IFERROR(IF(OR($B2809="",$B2809="(blank)"),"",VLOOKUP($B2809,'Email Marketing Raw Data'!$C:$O,13,0)),"")</f>
        <v/>
      </c>
      <c r="G2809" s="55" t="str">
        <f>IFERROR(IF(OR($B2809="",$B2809="(blank)"),"",VLOOKUP($B2809,'Email Marketing Raw Data'!$C:$O,4,0)),"")</f>
        <v/>
      </c>
      <c r="H2809" s="55" t="str">
        <f>IFERROR(IF(OR($B2809="",$B2809="(blank)"),"",VLOOKUP($B2809,'Email Marketing Raw Data'!$C:$O,5,0)),"")</f>
        <v/>
      </c>
      <c r="I2809" s="55" t="str">
        <f>IFERROR(IF($G2809="","",VLOOKUP('Dashboard And Emails Automate'!$G2809,Database!$H:$N,3,0)),"")</f>
        <v/>
      </c>
      <c r="J2809" s="55" t="str">
        <f>IFERROR(IF($G2809="","",VLOOKUP('Dashboard And Emails Automate'!$G2809,Database!$H:$N,4,0)),"")</f>
        <v/>
      </c>
      <c r="K2809" s="55" t="str">
        <f>IFERROR(IF($G2809="","",VLOOKUP('Dashboard And Emails Automate'!$G2809,Database!$H:$N,5,0)),"")</f>
        <v/>
      </c>
      <c r="L2809" s="55" t="str">
        <f>IFERROR(IF($G2809="","",VLOOKUP('Dashboard And Emails Automate'!$G2809,Database!$H:$N,6,0)),"")</f>
        <v/>
      </c>
      <c r="M2809" s="55" t="str">
        <f>IFERROR(IF($G2809="","",VLOOKUP('Dashboard And Emails Automate'!$G2809,Database!$H:$N,7,0)),"")</f>
        <v/>
      </c>
      <c r="N2809" s="55" t="str">
        <f>IFERROR(IF(OR($B2809="",$B2809="(blank)"),"",VLOOKUP($B2809,'Email Marketing Raw Data'!$C:$O,6,0)),"")</f>
        <v/>
      </c>
      <c r="O2809" s="55" t="str">
        <f>IFERROR(IF(OR($B2809="",$B2809="(blank)"),"",VLOOKUP($B2809,'Email Marketing Raw Data'!$C:$O,7,0)),"")</f>
        <v/>
      </c>
      <c r="P2809" s="55" t="str">
        <f>IFERROR(IF(OR($B2809="",$B2809="(blank)"),"",VLOOKUP($B2809,'Email Marketing Raw Data'!$C:$O,8,0)),"")</f>
        <v/>
      </c>
      <c r="Q2809" s="62" t="str">
        <f>IFERROR(IF(OR($B2809="",$B2809="(blank)"),"",VLOOKUP($B2809,'Email Marketing Raw Data'!$C:$O,9,0)),"")</f>
        <v/>
      </c>
    </row>
    <row r="2810" spans="4:17" ht="12.75" customHeight="1" x14ac:dyDescent="0.2">
      <c r="D2810" s="58" t="str">
        <f>IFERROR(IF(F2810&lt;&gt;"pending","",IF(OR($B2810="",$B2810="(blank)"),"",VLOOKUP($B2810,'Email Marketing Raw Data'!$C:$O,10,0))),"")</f>
        <v/>
      </c>
      <c r="E2810" s="59" t="str">
        <f>IFERROR(IF(F2810&lt;&gt;"pending","",IF(OR($B2810="",$B2810="(blank)"),"",VLOOKUP($B2810,'Email Marketing Raw Data'!$C:$O,11,0))),"")</f>
        <v/>
      </c>
      <c r="F2810" s="54" t="str">
        <f>IFERROR(IF(OR($B2810="",$B2810="(blank)"),"",VLOOKUP($B2810,'Email Marketing Raw Data'!$C:$O,13,0)),"")</f>
        <v/>
      </c>
      <c r="G2810" s="55" t="str">
        <f>IFERROR(IF(OR($B2810="",$B2810="(blank)"),"",VLOOKUP($B2810,'Email Marketing Raw Data'!$C:$O,4,0)),"")</f>
        <v/>
      </c>
      <c r="H2810" s="55" t="str">
        <f>IFERROR(IF(OR($B2810="",$B2810="(blank)"),"",VLOOKUP($B2810,'Email Marketing Raw Data'!$C:$O,5,0)),"")</f>
        <v/>
      </c>
      <c r="I2810" s="55" t="str">
        <f>IFERROR(IF($G2810="","",VLOOKUP('Dashboard And Emails Automate'!$G2810,Database!$H:$N,3,0)),"")</f>
        <v/>
      </c>
      <c r="J2810" s="55" t="str">
        <f>IFERROR(IF($G2810="","",VLOOKUP('Dashboard And Emails Automate'!$G2810,Database!$H:$N,4,0)),"")</f>
        <v/>
      </c>
      <c r="K2810" s="55" t="str">
        <f>IFERROR(IF($G2810="","",VLOOKUP('Dashboard And Emails Automate'!$G2810,Database!$H:$N,5,0)),"")</f>
        <v/>
      </c>
      <c r="L2810" s="55" t="str">
        <f>IFERROR(IF($G2810="","",VLOOKUP('Dashboard And Emails Automate'!$G2810,Database!$H:$N,6,0)),"")</f>
        <v/>
      </c>
      <c r="M2810" s="55" t="str">
        <f>IFERROR(IF($G2810="","",VLOOKUP('Dashboard And Emails Automate'!$G2810,Database!$H:$N,7,0)),"")</f>
        <v/>
      </c>
      <c r="N2810" s="55" t="str">
        <f>IFERROR(IF(OR($B2810="",$B2810="(blank)"),"",VLOOKUP($B2810,'Email Marketing Raw Data'!$C:$O,6,0)),"")</f>
        <v/>
      </c>
      <c r="O2810" s="55" t="str">
        <f>IFERROR(IF(OR($B2810="",$B2810="(blank)"),"",VLOOKUP($B2810,'Email Marketing Raw Data'!$C:$O,7,0)),"")</f>
        <v/>
      </c>
      <c r="P2810" s="55" t="str">
        <f>IFERROR(IF(OR($B2810="",$B2810="(blank)"),"",VLOOKUP($B2810,'Email Marketing Raw Data'!$C:$O,8,0)),"")</f>
        <v/>
      </c>
      <c r="Q2810" s="62" t="str">
        <f>IFERROR(IF(OR($B2810="",$B2810="(blank)"),"",VLOOKUP($B2810,'Email Marketing Raw Data'!$C:$O,9,0)),"")</f>
        <v/>
      </c>
    </row>
    <row r="2811" spans="4:17" ht="12.75" customHeight="1" x14ac:dyDescent="0.2">
      <c r="D2811" s="58" t="str">
        <f>IFERROR(IF(F2811&lt;&gt;"pending","",IF(OR($B2811="",$B2811="(blank)"),"",VLOOKUP($B2811,'Email Marketing Raw Data'!$C:$O,10,0))),"")</f>
        <v/>
      </c>
      <c r="E2811" s="59" t="str">
        <f>IFERROR(IF(F2811&lt;&gt;"pending","",IF(OR($B2811="",$B2811="(blank)"),"",VLOOKUP($B2811,'Email Marketing Raw Data'!$C:$O,11,0))),"")</f>
        <v/>
      </c>
      <c r="F2811" s="54" t="str">
        <f>IFERROR(IF(OR($B2811="",$B2811="(blank)"),"",VLOOKUP($B2811,'Email Marketing Raw Data'!$C:$O,13,0)),"")</f>
        <v/>
      </c>
      <c r="G2811" s="55" t="str">
        <f>IFERROR(IF(OR($B2811="",$B2811="(blank)"),"",VLOOKUP($B2811,'Email Marketing Raw Data'!$C:$O,4,0)),"")</f>
        <v/>
      </c>
      <c r="H2811" s="55" t="str">
        <f>IFERROR(IF(OR($B2811="",$B2811="(blank)"),"",VLOOKUP($B2811,'Email Marketing Raw Data'!$C:$O,5,0)),"")</f>
        <v/>
      </c>
      <c r="I2811" s="55" t="str">
        <f>IFERROR(IF($G2811="","",VLOOKUP('Dashboard And Emails Automate'!$G2811,Database!$H:$N,3,0)),"")</f>
        <v/>
      </c>
      <c r="J2811" s="55" t="str">
        <f>IFERROR(IF($G2811="","",VLOOKUP('Dashboard And Emails Automate'!$G2811,Database!$H:$N,4,0)),"")</f>
        <v/>
      </c>
      <c r="K2811" s="55" t="str">
        <f>IFERROR(IF($G2811="","",VLOOKUP('Dashboard And Emails Automate'!$G2811,Database!$H:$N,5,0)),"")</f>
        <v/>
      </c>
      <c r="L2811" s="55" t="str">
        <f>IFERROR(IF($G2811="","",VLOOKUP('Dashboard And Emails Automate'!$G2811,Database!$H:$N,6,0)),"")</f>
        <v/>
      </c>
      <c r="M2811" s="55" t="str">
        <f>IFERROR(IF($G2811="","",VLOOKUP('Dashboard And Emails Automate'!$G2811,Database!$H:$N,7,0)),"")</f>
        <v/>
      </c>
      <c r="N2811" s="55" t="str">
        <f>IFERROR(IF(OR($B2811="",$B2811="(blank)"),"",VLOOKUP($B2811,'Email Marketing Raw Data'!$C:$O,6,0)),"")</f>
        <v/>
      </c>
      <c r="O2811" s="55" t="str">
        <f>IFERROR(IF(OR($B2811="",$B2811="(blank)"),"",VLOOKUP($B2811,'Email Marketing Raw Data'!$C:$O,7,0)),"")</f>
        <v/>
      </c>
      <c r="P2811" s="55" t="str">
        <f>IFERROR(IF(OR($B2811="",$B2811="(blank)"),"",VLOOKUP($B2811,'Email Marketing Raw Data'!$C:$O,8,0)),"")</f>
        <v/>
      </c>
      <c r="Q2811" s="62" t="str">
        <f>IFERROR(IF(OR($B2811="",$B2811="(blank)"),"",VLOOKUP($B2811,'Email Marketing Raw Data'!$C:$O,9,0)),"")</f>
        <v/>
      </c>
    </row>
    <row r="2812" spans="4:17" ht="12.75" customHeight="1" x14ac:dyDescent="0.2">
      <c r="D2812" s="58" t="str">
        <f>IFERROR(IF(F2812&lt;&gt;"pending","",IF(OR($B2812="",$B2812="(blank)"),"",VLOOKUP($B2812,'Email Marketing Raw Data'!$C:$O,10,0))),"")</f>
        <v/>
      </c>
      <c r="E2812" s="59" t="str">
        <f>IFERROR(IF(F2812&lt;&gt;"pending","",IF(OR($B2812="",$B2812="(blank)"),"",VLOOKUP($B2812,'Email Marketing Raw Data'!$C:$O,11,0))),"")</f>
        <v/>
      </c>
      <c r="F2812" s="54" t="str">
        <f>IFERROR(IF(OR($B2812="",$B2812="(blank)"),"",VLOOKUP($B2812,'Email Marketing Raw Data'!$C:$O,13,0)),"")</f>
        <v/>
      </c>
      <c r="G2812" s="55" t="str">
        <f>IFERROR(IF(OR($B2812="",$B2812="(blank)"),"",VLOOKUP($B2812,'Email Marketing Raw Data'!$C:$O,4,0)),"")</f>
        <v/>
      </c>
      <c r="H2812" s="55" t="str">
        <f>IFERROR(IF(OR($B2812="",$B2812="(blank)"),"",VLOOKUP($B2812,'Email Marketing Raw Data'!$C:$O,5,0)),"")</f>
        <v/>
      </c>
      <c r="I2812" s="55" t="str">
        <f>IFERROR(IF($G2812="","",VLOOKUP('Dashboard And Emails Automate'!$G2812,Database!$H:$N,3,0)),"")</f>
        <v/>
      </c>
      <c r="J2812" s="55" t="str">
        <f>IFERROR(IF($G2812="","",VLOOKUP('Dashboard And Emails Automate'!$G2812,Database!$H:$N,4,0)),"")</f>
        <v/>
      </c>
      <c r="K2812" s="55" t="str">
        <f>IFERROR(IF($G2812="","",VLOOKUP('Dashboard And Emails Automate'!$G2812,Database!$H:$N,5,0)),"")</f>
        <v/>
      </c>
      <c r="L2812" s="55" t="str">
        <f>IFERROR(IF($G2812="","",VLOOKUP('Dashboard And Emails Automate'!$G2812,Database!$H:$N,6,0)),"")</f>
        <v/>
      </c>
      <c r="M2812" s="55" t="str">
        <f>IFERROR(IF($G2812="","",VLOOKUP('Dashboard And Emails Automate'!$G2812,Database!$H:$N,7,0)),"")</f>
        <v/>
      </c>
      <c r="N2812" s="55" t="str">
        <f>IFERROR(IF(OR($B2812="",$B2812="(blank)"),"",VLOOKUP($B2812,'Email Marketing Raw Data'!$C:$O,6,0)),"")</f>
        <v/>
      </c>
      <c r="O2812" s="55" t="str">
        <f>IFERROR(IF(OR($B2812="",$B2812="(blank)"),"",VLOOKUP($B2812,'Email Marketing Raw Data'!$C:$O,7,0)),"")</f>
        <v/>
      </c>
      <c r="P2812" s="55" t="str">
        <f>IFERROR(IF(OR($B2812="",$B2812="(blank)"),"",VLOOKUP($B2812,'Email Marketing Raw Data'!$C:$O,8,0)),"")</f>
        <v/>
      </c>
      <c r="Q2812" s="62" t="str">
        <f>IFERROR(IF(OR($B2812="",$B2812="(blank)"),"",VLOOKUP($B2812,'Email Marketing Raw Data'!$C:$O,9,0)),"")</f>
        <v/>
      </c>
    </row>
    <row r="2813" spans="4:17" ht="12.75" customHeight="1" x14ac:dyDescent="0.2">
      <c r="D2813" s="58" t="str">
        <f>IFERROR(IF(F2813&lt;&gt;"pending","",IF(OR($B2813="",$B2813="(blank)"),"",VLOOKUP($B2813,'Email Marketing Raw Data'!$C:$O,10,0))),"")</f>
        <v/>
      </c>
      <c r="E2813" s="59" t="str">
        <f>IFERROR(IF(F2813&lt;&gt;"pending","",IF(OR($B2813="",$B2813="(blank)"),"",VLOOKUP($B2813,'Email Marketing Raw Data'!$C:$O,11,0))),"")</f>
        <v/>
      </c>
      <c r="F2813" s="54" t="str">
        <f>IFERROR(IF(OR($B2813="",$B2813="(blank)"),"",VLOOKUP($B2813,'Email Marketing Raw Data'!$C:$O,13,0)),"")</f>
        <v/>
      </c>
      <c r="G2813" s="55" t="str">
        <f>IFERROR(IF(OR($B2813="",$B2813="(blank)"),"",VLOOKUP($B2813,'Email Marketing Raw Data'!$C:$O,4,0)),"")</f>
        <v/>
      </c>
      <c r="H2813" s="55" t="str">
        <f>IFERROR(IF(OR($B2813="",$B2813="(blank)"),"",VLOOKUP($B2813,'Email Marketing Raw Data'!$C:$O,5,0)),"")</f>
        <v/>
      </c>
      <c r="I2813" s="55" t="str">
        <f>IFERROR(IF($G2813="","",VLOOKUP('Dashboard And Emails Automate'!$G2813,Database!$H:$N,3,0)),"")</f>
        <v/>
      </c>
      <c r="J2813" s="55" t="str">
        <f>IFERROR(IF($G2813="","",VLOOKUP('Dashboard And Emails Automate'!$G2813,Database!$H:$N,4,0)),"")</f>
        <v/>
      </c>
      <c r="K2813" s="55" t="str">
        <f>IFERROR(IF($G2813="","",VLOOKUP('Dashboard And Emails Automate'!$G2813,Database!$H:$N,5,0)),"")</f>
        <v/>
      </c>
      <c r="L2813" s="55" t="str">
        <f>IFERROR(IF($G2813="","",VLOOKUP('Dashboard And Emails Automate'!$G2813,Database!$H:$N,6,0)),"")</f>
        <v/>
      </c>
      <c r="M2813" s="55" t="str">
        <f>IFERROR(IF($G2813="","",VLOOKUP('Dashboard And Emails Automate'!$G2813,Database!$H:$N,7,0)),"")</f>
        <v/>
      </c>
      <c r="N2813" s="55" t="str">
        <f>IFERROR(IF(OR($B2813="",$B2813="(blank)"),"",VLOOKUP($B2813,'Email Marketing Raw Data'!$C:$O,6,0)),"")</f>
        <v/>
      </c>
      <c r="O2813" s="55" t="str">
        <f>IFERROR(IF(OR($B2813="",$B2813="(blank)"),"",VLOOKUP($B2813,'Email Marketing Raw Data'!$C:$O,7,0)),"")</f>
        <v/>
      </c>
      <c r="P2813" s="55" t="str">
        <f>IFERROR(IF(OR($B2813="",$B2813="(blank)"),"",VLOOKUP($B2813,'Email Marketing Raw Data'!$C:$O,8,0)),"")</f>
        <v/>
      </c>
      <c r="Q2813" s="62" t="str">
        <f>IFERROR(IF(OR($B2813="",$B2813="(blank)"),"",VLOOKUP($B2813,'Email Marketing Raw Data'!$C:$O,9,0)),"")</f>
        <v/>
      </c>
    </row>
    <row r="2814" spans="4:17" ht="12.75" customHeight="1" x14ac:dyDescent="0.2">
      <c r="D2814" s="58" t="str">
        <f>IFERROR(IF(F2814&lt;&gt;"pending","",IF(OR($B2814="",$B2814="(blank)"),"",VLOOKUP($B2814,'Email Marketing Raw Data'!$C:$O,10,0))),"")</f>
        <v/>
      </c>
      <c r="E2814" s="59" t="str">
        <f>IFERROR(IF(F2814&lt;&gt;"pending","",IF(OR($B2814="",$B2814="(blank)"),"",VLOOKUP($B2814,'Email Marketing Raw Data'!$C:$O,11,0))),"")</f>
        <v/>
      </c>
      <c r="F2814" s="54" t="str">
        <f>IFERROR(IF(OR($B2814="",$B2814="(blank)"),"",VLOOKUP($B2814,'Email Marketing Raw Data'!$C:$O,13,0)),"")</f>
        <v/>
      </c>
      <c r="G2814" s="55" t="str">
        <f>IFERROR(IF(OR($B2814="",$B2814="(blank)"),"",VLOOKUP($B2814,'Email Marketing Raw Data'!$C:$O,4,0)),"")</f>
        <v/>
      </c>
      <c r="H2814" s="55" t="str">
        <f>IFERROR(IF(OR($B2814="",$B2814="(blank)"),"",VLOOKUP($B2814,'Email Marketing Raw Data'!$C:$O,5,0)),"")</f>
        <v/>
      </c>
      <c r="I2814" s="55" t="str">
        <f>IFERROR(IF($G2814="","",VLOOKUP('Dashboard And Emails Automate'!$G2814,Database!$H:$N,3,0)),"")</f>
        <v/>
      </c>
      <c r="J2814" s="55" t="str">
        <f>IFERROR(IF($G2814="","",VLOOKUP('Dashboard And Emails Automate'!$G2814,Database!$H:$N,4,0)),"")</f>
        <v/>
      </c>
      <c r="K2814" s="55" t="str">
        <f>IFERROR(IF($G2814="","",VLOOKUP('Dashboard And Emails Automate'!$G2814,Database!$H:$N,5,0)),"")</f>
        <v/>
      </c>
      <c r="L2814" s="55" t="str">
        <f>IFERROR(IF($G2814="","",VLOOKUP('Dashboard And Emails Automate'!$G2814,Database!$H:$N,6,0)),"")</f>
        <v/>
      </c>
      <c r="M2814" s="55" t="str">
        <f>IFERROR(IF($G2814="","",VLOOKUP('Dashboard And Emails Automate'!$G2814,Database!$H:$N,7,0)),"")</f>
        <v/>
      </c>
      <c r="N2814" s="55" t="str">
        <f>IFERROR(IF(OR($B2814="",$B2814="(blank)"),"",VLOOKUP($B2814,'Email Marketing Raw Data'!$C:$O,6,0)),"")</f>
        <v/>
      </c>
      <c r="O2814" s="55" t="str">
        <f>IFERROR(IF(OR($B2814="",$B2814="(blank)"),"",VLOOKUP($B2814,'Email Marketing Raw Data'!$C:$O,7,0)),"")</f>
        <v/>
      </c>
      <c r="P2814" s="55" t="str">
        <f>IFERROR(IF(OR($B2814="",$B2814="(blank)"),"",VLOOKUP($B2814,'Email Marketing Raw Data'!$C:$O,8,0)),"")</f>
        <v/>
      </c>
      <c r="Q2814" s="62" t="str">
        <f>IFERROR(IF(OR($B2814="",$B2814="(blank)"),"",VLOOKUP($B2814,'Email Marketing Raw Data'!$C:$O,9,0)),"")</f>
        <v/>
      </c>
    </row>
    <row r="2815" spans="4:17" ht="12.75" customHeight="1" x14ac:dyDescent="0.2">
      <c r="D2815" s="58" t="str">
        <f>IFERROR(IF(F2815&lt;&gt;"pending","",IF(OR($B2815="",$B2815="(blank)"),"",VLOOKUP($B2815,'Email Marketing Raw Data'!$C:$O,10,0))),"")</f>
        <v/>
      </c>
      <c r="E2815" s="59" t="str">
        <f>IFERROR(IF(F2815&lt;&gt;"pending","",IF(OR($B2815="",$B2815="(blank)"),"",VLOOKUP($B2815,'Email Marketing Raw Data'!$C:$O,11,0))),"")</f>
        <v/>
      </c>
      <c r="F2815" s="54" t="str">
        <f>IFERROR(IF(OR($B2815="",$B2815="(blank)"),"",VLOOKUP($B2815,'Email Marketing Raw Data'!$C:$O,13,0)),"")</f>
        <v/>
      </c>
      <c r="G2815" s="55" t="str">
        <f>IFERROR(IF(OR($B2815="",$B2815="(blank)"),"",VLOOKUP($B2815,'Email Marketing Raw Data'!$C:$O,4,0)),"")</f>
        <v/>
      </c>
      <c r="H2815" s="55" t="str">
        <f>IFERROR(IF(OR($B2815="",$B2815="(blank)"),"",VLOOKUP($B2815,'Email Marketing Raw Data'!$C:$O,5,0)),"")</f>
        <v/>
      </c>
      <c r="I2815" s="55" t="str">
        <f>IFERROR(IF($G2815="","",VLOOKUP('Dashboard And Emails Automate'!$G2815,Database!$H:$N,3,0)),"")</f>
        <v/>
      </c>
      <c r="J2815" s="55" t="str">
        <f>IFERROR(IF($G2815="","",VLOOKUP('Dashboard And Emails Automate'!$G2815,Database!$H:$N,4,0)),"")</f>
        <v/>
      </c>
      <c r="K2815" s="55" t="str">
        <f>IFERROR(IF($G2815="","",VLOOKUP('Dashboard And Emails Automate'!$G2815,Database!$H:$N,5,0)),"")</f>
        <v/>
      </c>
      <c r="L2815" s="55" t="str">
        <f>IFERROR(IF($G2815="","",VLOOKUP('Dashboard And Emails Automate'!$G2815,Database!$H:$N,6,0)),"")</f>
        <v/>
      </c>
      <c r="M2815" s="55" t="str">
        <f>IFERROR(IF($G2815="","",VLOOKUP('Dashboard And Emails Automate'!$G2815,Database!$H:$N,7,0)),"")</f>
        <v/>
      </c>
      <c r="N2815" s="55" t="str">
        <f>IFERROR(IF(OR($B2815="",$B2815="(blank)"),"",VLOOKUP($B2815,'Email Marketing Raw Data'!$C:$O,6,0)),"")</f>
        <v/>
      </c>
      <c r="O2815" s="55" t="str">
        <f>IFERROR(IF(OR($B2815="",$B2815="(blank)"),"",VLOOKUP($B2815,'Email Marketing Raw Data'!$C:$O,7,0)),"")</f>
        <v/>
      </c>
      <c r="P2815" s="55" t="str">
        <f>IFERROR(IF(OR($B2815="",$B2815="(blank)"),"",VLOOKUP($B2815,'Email Marketing Raw Data'!$C:$O,8,0)),"")</f>
        <v/>
      </c>
      <c r="Q2815" s="62" t="str">
        <f>IFERROR(IF(OR($B2815="",$B2815="(blank)"),"",VLOOKUP($B2815,'Email Marketing Raw Data'!$C:$O,9,0)),"")</f>
        <v/>
      </c>
    </row>
    <row r="2816" spans="4:17" ht="12.75" customHeight="1" x14ac:dyDescent="0.2">
      <c r="D2816" s="58" t="str">
        <f>IFERROR(IF(F2816&lt;&gt;"pending","",IF(OR($B2816="",$B2816="(blank)"),"",VLOOKUP($B2816,'Email Marketing Raw Data'!$C:$O,10,0))),"")</f>
        <v/>
      </c>
      <c r="E2816" s="59" t="str">
        <f>IFERROR(IF(F2816&lt;&gt;"pending","",IF(OR($B2816="",$B2816="(blank)"),"",VLOOKUP($B2816,'Email Marketing Raw Data'!$C:$O,11,0))),"")</f>
        <v/>
      </c>
      <c r="F2816" s="54" t="str">
        <f>IFERROR(IF(OR($B2816="",$B2816="(blank)"),"",VLOOKUP($B2816,'Email Marketing Raw Data'!$C:$O,13,0)),"")</f>
        <v/>
      </c>
      <c r="G2816" s="55" t="str">
        <f>IFERROR(IF(OR($B2816="",$B2816="(blank)"),"",VLOOKUP($B2816,'Email Marketing Raw Data'!$C:$O,4,0)),"")</f>
        <v/>
      </c>
      <c r="H2816" s="55" t="str">
        <f>IFERROR(IF(OR($B2816="",$B2816="(blank)"),"",VLOOKUP($B2816,'Email Marketing Raw Data'!$C:$O,5,0)),"")</f>
        <v/>
      </c>
      <c r="I2816" s="55" t="str">
        <f>IFERROR(IF($G2816="","",VLOOKUP('Dashboard And Emails Automate'!$G2816,Database!$H:$N,3,0)),"")</f>
        <v/>
      </c>
      <c r="J2816" s="55" t="str">
        <f>IFERROR(IF($G2816="","",VLOOKUP('Dashboard And Emails Automate'!$G2816,Database!$H:$N,4,0)),"")</f>
        <v/>
      </c>
      <c r="K2816" s="55" t="str">
        <f>IFERROR(IF($G2816="","",VLOOKUP('Dashboard And Emails Automate'!$G2816,Database!$H:$N,5,0)),"")</f>
        <v/>
      </c>
      <c r="L2816" s="55" t="str">
        <f>IFERROR(IF($G2816="","",VLOOKUP('Dashboard And Emails Automate'!$G2816,Database!$H:$N,6,0)),"")</f>
        <v/>
      </c>
      <c r="M2816" s="55" t="str">
        <f>IFERROR(IF($G2816="","",VLOOKUP('Dashboard And Emails Automate'!$G2816,Database!$H:$N,7,0)),"")</f>
        <v/>
      </c>
      <c r="N2816" s="55" t="str">
        <f>IFERROR(IF(OR($B2816="",$B2816="(blank)"),"",VLOOKUP($B2816,'Email Marketing Raw Data'!$C:$O,6,0)),"")</f>
        <v/>
      </c>
      <c r="O2816" s="55" t="str">
        <f>IFERROR(IF(OR($B2816="",$B2816="(blank)"),"",VLOOKUP($B2816,'Email Marketing Raw Data'!$C:$O,7,0)),"")</f>
        <v/>
      </c>
      <c r="P2816" s="55" t="str">
        <f>IFERROR(IF(OR($B2816="",$B2816="(blank)"),"",VLOOKUP($B2816,'Email Marketing Raw Data'!$C:$O,8,0)),"")</f>
        <v/>
      </c>
      <c r="Q2816" s="62" t="str">
        <f>IFERROR(IF(OR($B2816="",$B2816="(blank)"),"",VLOOKUP($B2816,'Email Marketing Raw Data'!$C:$O,9,0)),"")</f>
        <v/>
      </c>
    </row>
    <row r="2817" spans="4:17" ht="12.75" customHeight="1" x14ac:dyDescent="0.2">
      <c r="D2817" s="58" t="str">
        <f>IFERROR(IF(F2817&lt;&gt;"pending","",IF(OR($B2817="",$B2817="(blank)"),"",VLOOKUP($B2817,'Email Marketing Raw Data'!$C:$O,10,0))),"")</f>
        <v/>
      </c>
      <c r="E2817" s="59" t="str">
        <f>IFERROR(IF(F2817&lt;&gt;"pending","",IF(OR($B2817="",$B2817="(blank)"),"",VLOOKUP($B2817,'Email Marketing Raw Data'!$C:$O,11,0))),"")</f>
        <v/>
      </c>
      <c r="F2817" s="54" t="str">
        <f>IFERROR(IF(OR($B2817="",$B2817="(blank)"),"",VLOOKUP($B2817,'Email Marketing Raw Data'!$C:$O,13,0)),"")</f>
        <v/>
      </c>
      <c r="G2817" s="55" t="str">
        <f>IFERROR(IF(OR($B2817="",$B2817="(blank)"),"",VLOOKUP($B2817,'Email Marketing Raw Data'!$C:$O,4,0)),"")</f>
        <v/>
      </c>
      <c r="H2817" s="55" t="str">
        <f>IFERROR(IF(OR($B2817="",$B2817="(blank)"),"",VLOOKUP($B2817,'Email Marketing Raw Data'!$C:$O,5,0)),"")</f>
        <v/>
      </c>
      <c r="I2817" s="55" t="str">
        <f>IFERROR(IF($G2817="","",VLOOKUP('Dashboard And Emails Automate'!$G2817,Database!$H:$N,3,0)),"")</f>
        <v/>
      </c>
      <c r="J2817" s="55" t="str">
        <f>IFERROR(IF($G2817="","",VLOOKUP('Dashboard And Emails Automate'!$G2817,Database!$H:$N,4,0)),"")</f>
        <v/>
      </c>
      <c r="K2817" s="55" t="str">
        <f>IFERROR(IF($G2817="","",VLOOKUP('Dashboard And Emails Automate'!$G2817,Database!$H:$N,5,0)),"")</f>
        <v/>
      </c>
      <c r="L2817" s="55" t="str">
        <f>IFERROR(IF($G2817="","",VLOOKUP('Dashboard And Emails Automate'!$G2817,Database!$H:$N,6,0)),"")</f>
        <v/>
      </c>
      <c r="M2817" s="55" t="str">
        <f>IFERROR(IF($G2817="","",VLOOKUP('Dashboard And Emails Automate'!$G2817,Database!$H:$N,7,0)),"")</f>
        <v/>
      </c>
      <c r="N2817" s="55" t="str">
        <f>IFERROR(IF(OR($B2817="",$B2817="(blank)"),"",VLOOKUP($B2817,'Email Marketing Raw Data'!$C:$O,6,0)),"")</f>
        <v/>
      </c>
      <c r="O2817" s="55" t="str">
        <f>IFERROR(IF(OR($B2817="",$B2817="(blank)"),"",VLOOKUP($B2817,'Email Marketing Raw Data'!$C:$O,7,0)),"")</f>
        <v/>
      </c>
      <c r="P2817" s="55" t="str">
        <f>IFERROR(IF(OR($B2817="",$B2817="(blank)"),"",VLOOKUP($B2817,'Email Marketing Raw Data'!$C:$O,8,0)),"")</f>
        <v/>
      </c>
      <c r="Q2817" s="62" t="str">
        <f>IFERROR(IF(OR($B2817="",$B2817="(blank)"),"",VLOOKUP($B2817,'Email Marketing Raw Data'!$C:$O,9,0)),"")</f>
        <v/>
      </c>
    </row>
    <row r="2818" spans="4:17" ht="12.75" customHeight="1" x14ac:dyDescent="0.2">
      <c r="D2818" s="58" t="str">
        <f>IFERROR(IF(F2818&lt;&gt;"pending","",IF(OR($B2818="",$B2818="(blank)"),"",VLOOKUP($B2818,'Email Marketing Raw Data'!$C:$O,10,0))),"")</f>
        <v/>
      </c>
      <c r="E2818" s="59" t="str">
        <f>IFERROR(IF(F2818&lt;&gt;"pending","",IF(OR($B2818="",$B2818="(blank)"),"",VLOOKUP($B2818,'Email Marketing Raw Data'!$C:$O,11,0))),"")</f>
        <v/>
      </c>
      <c r="F2818" s="54" t="str">
        <f>IFERROR(IF(OR($B2818="",$B2818="(blank)"),"",VLOOKUP($B2818,'Email Marketing Raw Data'!$C:$O,13,0)),"")</f>
        <v/>
      </c>
      <c r="G2818" s="55" t="str">
        <f>IFERROR(IF(OR($B2818="",$B2818="(blank)"),"",VLOOKUP($B2818,'Email Marketing Raw Data'!$C:$O,4,0)),"")</f>
        <v/>
      </c>
      <c r="H2818" s="55" t="str">
        <f>IFERROR(IF(OR($B2818="",$B2818="(blank)"),"",VLOOKUP($B2818,'Email Marketing Raw Data'!$C:$O,5,0)),"")</f>
        <v/>
      </c>
      <c r="I2818" s="55" t="str">
        <f>IFERROR(IF($G2818="","",VLOOKUP('Dashboard And Emails Automate'!$G2818,Database!$H:$N,3,0)),"")</f>
        <v/>
      </c>
      <c r="J2818" s="55" t="str">
        <f>IFERROR(IF($G2818="","",VLOOKUP('Dashboard And Emails Automate'!$G2818,Database!$H:$N,4,0)),"")</f>
        <v/>
      </c>
      <c r="K2818" s="55" t="str">
        <f>IFERROR(IF($G2818="","",VLOOKUP('Dashboard And Emails Automate'!$G2818,Database!$H:$N,5,0)),"")</f>
        <v/>
      </c>
      <c r="L2818" s="55" t="str">
        <f>IFERROR(IF($G2818="","",VLOOKUP('Dashboard And Emails Automate'!$G2818,Database!$H:$N,6,0)),"")</f>
        <v/>
      </c>
      <c r="M2818" s="55" t="str">
        <f>IFERROR(IF($G2818="","",VLOOKUP('Dashboard And Emails Automate'!$G2818,Database!$H:$N,7,0)),"")</f>
        <v/>
      </c>
      <c r="N2818" s="55" t="str">
        <f>IFERROR(IF(OR($B2818="",$B2818="(blank)"),"",VLOOKUP($B2818,'Email Marketing Raw Data'!$C:$O,6,0)),"")</f>
        <v/>
      </c>
      <c r="O2818" s="55" t="str">
        <f>IFERROR(IF(OR($B2818="",$B2818="(blank)"),"",VLOOKUP($B2818,'Email Marketing Raw Data'!$C:$O,7,0)),"")</f>
        <v/>
      </c>
      <c r="P2818" s="55" t="str">
        <f>IFERROR(IF(OR($B2818="",$B2818="(blank)"),"",VLOOKUP($B2818,'Email Marketing Raw Data'!$C:$O,8,0)),"")</f>
        <v/>
      </c>
      <c r="Q2818" s="62" t="str">
        <f>IFERROR(IF(OR($B2818="",$B2818="(blank)"),"",VLOOKUP($B2818,'Email Marketing Raw Data'!$C:$O,9,0)),"")</f>
        <v/>
      </c>
    </row>
    <row r="2819" spans="4:17" ht="12.75" customHeight="1" x14ac:dyDescent="0.2">
      <c r="D2819" s="58" t="str">
        <f>IFERROR(IF(F2819&lt;&gt;"pending","",IF(OR($B2819="",$B2819="(blank)"),"",VLOOKUP($B2819,'Email Marketing Raw Data'!$C:$O,10,0))),"")</f>
        <v/>
      </c>
      <c r="E2819" s="59" t="str">
        <f>IFERROR(IF(F2819&lt;&gt;"pending","",IF(OR($B2819="",$B2819="(blank)"),"",VLOOKUP($B2819,'Email Marketing Raw Data'!$C:$O,11,0))),"")</f>
        <v/>
      </c>
      <c r="F2819" s="54" t="str">
        <f>IFERROR(IF(OR($B2819="",$B2819="(blank)"),"",VLOOKUP($B2819,'Email Marketing Raw Data'!$C:$O,13,0)),"")</f>
        <v/>
      </c>
      <c r="G2819" s="55" t="str">
        <f>IFERROR(IF(OR($B2819="",$B2819="(blank)"),"",VLOOKUP($B2819,'Email Marketing Raw Data'!$C:$O,4,0)),"")</f>
        <v/>
      </c>
      <c r="H2819" s="55" t="str">
        <f>IFERROR(IF(OR($B2819="",$B2819="(blank)"),"",VLOOKUP($B2819,'Email Marketing Raw Data'!$C:$O,5,0)),"")</f>
        <v/>
      </c>
      <c r="I2819" s="55" t="str">
        <f>IFERROR(IF($G2819="","",VLOOKUP('Dashboard And Emails Automate'!$G2819,Database!$H:$N,3,0)),"")</f>
        <v/>
      </c>
      <c r="J2819" s="55" t="str">
        <f>IFERROR(IF($G2819="","",VLOOKUP('Dashboard And Emails Automate'!$G2819,Database!$H:$N,4,0)),"")</f>
        <v/>
      </c>
      <c r="K2819" s="55" t="str">
        <f>IFERROR(IF($G2819="","",VLOOKUP('Dashboard And Emails Automate'!$G2819,Database!$H:$N,5,0)),"")</f>
        <v/>
      </c>
      <c r="L2819" s="55" t="str">
        <f>IFERROR(IF($G2819="","",VLOOKUP('Dashboard And Emails Automate'!$G2819,Database!$H:$N,6,0)),"")</f>
        <v/>
      </c>
      <c r="M2819" s="55" t="str">
        <f>IFERROR(IF($G2819="","",VLOOKUP('Dashboard And Emails Automate'!$G2819,Database!$H:$N,7,0)),"")</f>
        <v/>
      </c>
      <c r="N2819" s="55" t="str">
        <f>IFERROR(IF(OR($B2819="",$B2819="(blank)"),"",VLOOKUP($B2819,'Email Marketing Raw Data'!$C:$O,6,0)),"")</f>
        <v/>
      </c>
      <c r="O2819" s="55" t="str">
        <f>IFERROR(IF(OR($B2819="",$B2819="(blank)"),"",VLOOKUP($B2819,'Email Marketing Raw Data'!$C:$O,7,0)),"")</f>
        <v/>
      </c>
      <c r="P2819" s="55" t="str">
        <f>IFERROR(IF(OR($B2819="",$B2819="(blank)"),"",VLOOKUP($B2819,'Email Marketing Raw Data'!$C:$O,8,0)),"")</f>
        <v/>
      </c>
      <c r="Q2819" s="62" t="str">
        <f>IFERROR(IF(OR($B2819="",$B2819="(blank)"),"",VLOOKUP($B2819,'Email Marketing Raw Data'!$C:$O,9,0)),"")</f>
        <v/>
      </c>
    </row>
    <row r="2820" spans="4:17" ht="12.75" customHeight="1" x14ac:dyDescent="0.2">
      <c r="D2820" s="58" t="str">
        <f>IFERROR(IF(F2820&lt;&gt;"pending","",IF(OR($B2820="",$B2820="(blank)"),"",VLOOKUP($B2820,'Email Marketing Raw Data'!$C:$O,10,0))),"")</f>
        <v/>
      </c>
      <c r="E2820" s="59" t="str">
        <f>IFERROR(IF(F2820&lt;&gt;"pending","",IF(OR($B2820="",$B2820="(blank)"),"",VLOOKUP($B2820,'Email Marketing Raw Data'!$C:$O,11,0))),"")</f>
        <v/>
      </c>
      <c r="F2820" s="54" t="str">
        <f>IFERROR(IF(OR($B2820="",$B2820="(blank)"),"",VLOOKUP($B2820,'Email Marketing Raw Data'!$C:$O,13,0)),"")</f>
        <v/>
      </c>
      <c r="G2820" s="55" t="str">
        <f>IFERROR(IF(OR($B2820="",$B2820="(blank)"),"",VLOOKUP($B2820,'Email Marketing Raw Data'!$C:$O,4,0)),"")</f>
        <v/>
      </c>
      <c r="H2820" s="55" t="str">
        <f>IFERROR(IF(OR($B2820="",$B2820="(blank)"),"",VLOOKUP($B2820,'Email Marketing Raw Data'!$C:$O,5,0)),"")</f>
        <v/>
      </c>
      <c r="I2820" s="55" t="str">
        <f>IFERROR(IF($G2820="","",VLOOKUP('Dashboard And Emails Automate'!$G2820,Database!$H:$N,3,0)),"")</f>
        <v/>
      </c>
      <c r="J2820" s="55" t="str">
        <f>IFERROR(IF($G2820="","",VLOOKUP('Dashboard And Emails Automate'!$G2820,Database!$H:$N,4,0)),"")</f>
        <v/>
      </c>
      <c r="K2820" s="55" t="str">
        <f>IFERROR(IF($G2820="","",VLOOKUP('Dashboard And Emails Automate'!$G2820,Database!$H:$N,5,0)),"")</f>
        <v/>
      </c>
      <c r="L2820" s="55" t="str">
        <f>IFERROR(IF($G2820="","",VLOOKUP('Dashboard And Emails Automate'!$G2820,Database!$H:$N,6,0)),"")</f>
        <v/>
      </c>
      <c r="M2820" s="55" t="str">
        <f>IFERROR(IF($G2820="","",VLOOKUP('Dashboard And Emails Automate'!$G2820,Database!$H:$N,7,0)),"")</f>
        <v/>
      </c>
      <c r="N2820" s="55" t="str">
        <f>IFERROR(IF(OR($B2820="",$B2820="(blank)"),"",VLOOKUP($B2820,'Email Marketing Raw Data'!$C:$O,6,0)),"")</f>
        <v/>
      </c>
      <c r="O2820" s="55" t="str">
        <f>IFERROR(IF(OR($B2820="",$B2820="(blank)"),"",VLOOKUP($B2820,'Email Marketing Raw Data'!$C:$O,7,0)),"")</f>
        <v/>
      </c>
      <c r="P2820" s="55" t="str">
        <f>IFERROR(IF(OR($B2820="",$B2820="(blank)"),"",VLOOKUP($B2820,'Email Marketing Raw Data'!$C:$O,8,0)),"")</f>
        <v/>
      </c>
      <c r="Q2820" s="62" t="str">
        <f>IFERROR(IF(OR($B2820="",$B2820="(blank)"),"",VLOOKUP($B2820,'Email Marketing Raw Data'!$C:$O,9,0)),"")</f>
        <v/>
      </c>
    </row>
    <row r="2821" spans="4:17" ht="12.75" customHeight="1" x14ac:dyDescent="0.2">
      <c r="D2821" s="58" t="str">
        <f>IFERROR(IF(F2821&lt;&gt;"pending","",IF(OR($B2821="",$B2821="(blank)"),"",VLOOKUP($B2821,'Email Marketing Raw Data'!$C:$O,10,0))),"")</f>
        <v/>
      </c>
      <c r="E2821" s="59" t="str">
        <f>IFERROR(IF(F2821&lt;&gt;"pending","",IF(OR($B2821="",$B2821="(blank)"),"",VLOOKUP($B2821,'Email Marketing Raw Data'!$C:$O,11,0))),"")</f>
        <v/>
      </c>
      <c r="F2821" s="54" t="str">
        <f>IFERROR(IF(OR($B2821="",$B2821="(blank)"),"",VLOOKUP($B2821,'Email Marketing Raw Data'!$C:$O,13,0)),"")</f>
        <v/>
      </c>
      <c r="G2821" s="55" t="str">
        <f>IFERROR(IF(OR($B2821="",$B2821="(blank)"),"",VLOOKUP($B2821,'Email Marketing Raw Data'!$C:$O,4,0)),"")</f>
        <v/>
      </c>
      <c r="H2821" s="55" t="str">
        <f>IFERROR(IF(OR($B2821="",$B2821="(blank)"),"",VLOOKUP($B2821,'Email Marketing Raw Data'!$C:$O,5,0)),"")</f>
        <v/>
      </c>
      <c r="I2821" s="55" t="str">
        <f>IFERROR(IF($G2821="","",VLOOKUP('Dashboard And Emails Automate'!$G2821,Database!$H:$N,3,0)),"")</f>
        <v/>
      </c>
      <c r="J2821" s="55" t="str">
        <f>IFERROR(IF($G2821="","",VLOOKUP('Dashboard And Emails Automate'!$G2821,Database!$H:$N,4,0)),"")</f>
        <v/>
      </c>
      <c r="K2821" s="55" t="str">
        <f>IFERROR(IF($G2821="","",VLOOKUP('Dashboard And Emails Automate'!$G2821,Database!$H:$N,5,0)),"")</f>
        <v/>
      </c>
      <c r="L2821" s="55" t="str">
        <f>IFERROR(IF($G2821="","",VLOOKUP('Dashboard And Emails Automate'!$G2821,Database!$H:$N,6,0)),"")</f>
        <v/>
      </c>
      <c r="M2821" s="55" t="str">
        <f>IFERROR(IF($G2821="","",VLOOKUP('Dashboard And Emails Automate'!$G2821,Database!$H:$N,7,0)),"")</f>
        <v/>
      </c>
      <c r="N2821" s="55" t="str">
        <f>IFERROR(IF(OR($B2821="",$B2821="(blank)"),"",VLOOKUP($B2821,'Email Marketing Raw Data'!$C:$O,6,0)),"")</f>
        <v/>
      </c>
      <c r="O2821" s="55" t="str">
        <f>IFERROR(IF(OR($B2821="",$B2821="(blank)"),"",VLOOKUP($B2821,'Email Marketing Raw Data'!$C:$O,7,0)),"")</f>
        <v/>
      </c>
      <c r="P2821" s="55" t="str">
        <f>IFERROR(IF(OR($B2821="",$B2821="(blank)"),"",VLOOKUP($B2821,'Email Marketing Raw Data'!$C:$O,8,0)),"")</f>
        <v/>
      </c>
      <c r="Q2821" s="62" t="str">
        <f>IFERROR(IF(OR($B2821="",$B2821="(blank)"),"",VLOOKUP($B2821,'Email Marketing Raw Data'!$C:$O,9,0)),"")</f>
        <v/>
      </c>
    </row>
    <row r="2822" spans="4:17" ht="12.75" customHeight="1" x14ac:dyDescent="0.2">
      <c r="D2822" s="58" t="str">
        <f>IFERROR(IF(F2822&lt;&gt;"pending","",IF(OR($B2822="",$B2822="(blank)"),"",VLOOKUP($B2822,'Email Marketing Raw Data'!$C:$O,10,0))),"")</f>
        <v/>
      </c>
      <c r="E2822" s="59" t="str">
        <f>IFERROR(IF(F2822&lt;&gt;"pending","",IF(OR($B2822="",$B2822="(blank)"),"",VLOOKUP($B2822,'Email Marketing Raw Data'!$C:$O,11,0))),"")</f>
        <v/>
      </c>
      <c r="F2822" s="54" t="str">
        <f>IFERROR(IF(OR($B2822="",$B2822="(blank)"),"",VLOOKUP($B2822,'Email Marketing Raw Data'!$C:$O,13,0)),"")</f>
        <v/>
      </c>
      <c r="G2822" s="55" t="str">
        <f>IFERROR(IF(OR($B2822="",$B2822="(blank)"),"",VLOOKUP($B2822,'Email Marketing Raw Data'!$C:$O,4,0)),"")</f>
        <v/>
      </c>
      <c r="H2822" s="55" t="str">
        <f>IFERROR(IF(OR($B2822="",$B2822="(blank)"),"",VLOOKUP($B2822,'Email Marketing Raw Data'!$C:$O,5,0)),"")</f>
        <v/>
      </c>
      <c r="I2822" s="55" t="str">
        <f>IFERROR(IF($G2822="","",VLOOKUP('Dashboard And Emails Automate'!$G2822,Database!$H:$N,3,0)),"")</f>
        <v/>
      </c>
      <c r="J2822" s="55" t="str">
        <f>IFERROR(IF($G2822="","",VLOOKUP('Dashboard And Emails Automate'!$G2822,Database!$H:$N,4,0)),"")</f>
        <v/>
      </c>
      <c r="K2822" s="55" t="str">
        <f>IFERROR(IF($G2822="","",VLOOKUP('Dashboard And Emails Automate'!$G2822,Database!$H:$N,5,0)),"")</f>
        <v/>
      </c>
      <c r="L2822" s="55" t="str">
        <f>IFERROR(IF($G2822="","",VLOOKUP('Dashboard And Emails Automate'!$G2822,Database!$H:$N,6,0)),"")</f>
        <v/>
      </c>
      <c r="M2822" s="55" t="str">
        <f>IFERROR(IF($G2822="","",VLOOKUP('Dashboard And Emails Automate'!$G2822,Database!$H:$N,7,0)),"")</f>
        <v/>
      </c>
      <c r="N2822" s="55" t="str">
        <f>IFERROR(IF(OR($B2822="",$B2822="(blank)"),"",VLOOKUP($B2822,'Email Marketing Raw Data'!$C:$O,6,0)),"")</f>
        <v/>
      </c>
      <c r="O2822" s="55" t="str">
        <f>IFERROR(IF(OR($B2822="",$B2822="(blank)"),"",VLOOKUP($B2822,'Email Marketing Raw Data'!$C:$O,7,0)),"")</f>
        <v/>
      </c>
      <c r="P2822" s="55" t="str">
        <f>IFERROR(IF(OR($B2822="",$B2822="(blank)"),"",VLOOKUP($B2822,'Email Marketing Raw Data'!$C:$O,8,0)),"")</f>
        <v/>
      </c>
      <c r="Q2822" s="62" t="str">
        <f>IFERROR(IF(OR($B2822="",$B2822="(blank)"),"",VLOOKUP($B2822,'Email Marketing Raw Data'!$C:$O,9,0)),"")</f>
        <v/>
      </c>
    </row>
    <row r="2823" spans="4:17" ht="12.75" customHeight="1" x14ac:dyDescent="0.2">
      <c r="D2823" s="58" t="str">
        <f>IFERROR(IF(F2823&lt;&gt;"pending","",IF(OR($B2823="",$B2823="(blank)"),"",VLOOKUP($B2823,'Email Marketing Raw Data'!$C:$O,10,0))),"")</f>
        <v/>
      </c>
      <c r="E2823" s="59" t="str">
        <f>IFERROR(IF(F2823&lt;&gt;"pending","",IF(OR($B2823="",$B2823="(blank)"),"",VLOOKUP($B2823,'Email Marketing Raw Data'!$C:$O,11,0))),"")</f>
        <v/>
      </c>
      <c r="F2823" s="54" t="str">
        <f>IFERROR(IF(OR($B2823="",$B2823="(blank)"),"",VLOOKUP($B2823,'Email Marketing Raw Data'!$C:$O,13,0)),"")</f>
        <v/>
      </c>
      <c r="G2823" s="55" t="str">
        <f>IFERROR(IF(OR($B2823="",$B2823="(blank)"),"",VLOOKUP($B2823,'Email Marketing Raw Data'!$C:$O,4,0)),"")</f>
        <v/>
      </c>
      <c r="H2823" s="55" t="str">
        <f>IFERROR(IF(OR($B2823="",$B2823="(blank)"),"",VLOOKUP($B2823,'Email Marketing Raw Data'!$C:$O,5,0)),"")</f>
        <v/>
      </c>
      <c r="I2823" s="55" t="str">
        <f>IFERROR(IF($G2823="","",VLOOKUP('Dashboard And Emails Automate'!$G2823,Database!$H:$N,3,0)),"")</f>
        <v/>
      </c>
      <c r="J2823" s="55" t="str">
        <f>IFERROR(IF($G2823="","",VLOOKUP('Dashboard And Emails Automate'!$G2823,Database!$H:$N,4,0)),"")</f>
        <v/>
      </c>
      <c r="K2823" s="55" t="str">
        <f>IFERROR(IF($G2823="","",VLOOKUP('Dashboard And Emails Automate'!$G2823,Database!$H:$N,5,0)),"")</f>
        <v/>
      </c>
      <c r="L2823" s="55" t="str">
        <f>IFERROR(IF($G2823="","",VLOOKUP('Dashboard And Emails Automate'!$G2823,Database!$H:$N,6,0)),"")</f>
        <v/>
      </c>
      <c r="M2823" s="55" t="str">
        <f>IFERROR(IF($G2823="","",VLOOKUP('Dashboard And Emails Automate'!$G2823,Database!$H:$N,7,0)),"")</f>
        <v/>
      </c>
      <c r="N2823" s="55" t="str">
        <f>IFERROR(IF(OR($B2823="",$B2823="(blank)"),"",VLOOKUP($B2823,'Email Marketing Raw Data'!$C:$O,6,0)),"")</f>
        <v/>
      </c>
      <c r="O2823" s="55" t="str">
        <f>IFERROR(IF(OR($B2823="",$B2823="(blank)"),"",VLOOKUP($B2823,'Email Marketing Raw Data'!$C:$O,7,0)),"")</f>
        <v/>
      </c>
      <c r="P2823" s="55" t="str">
        <f>IFERROR(IF(OR($B2823="",$B2823="(blank)"),"",VLOOKUP($B2823,'Email Marketing Raw Data'!$C:$O,8,0)),"")</f>
        <v/>
      </c>
      <c r="Q2823" s="62" t="str">
        <f>IFERROR(IF(OR($B2823="",$B2823="(blank)"),"",VLOOKUP($B2823,'Email Marketing Raw Data'!$C:$O,9,0)),"")</f>
        <v/>
      </c>
    </row>
    <row r="2824" spans="4:17" ht="12.75" customHeight="1" x14ac:dyDescent="0.2">
      <c r="D2824" s="58" t="str">
        <f>IFERROR(IF(F2824&lt;&gt;"pending","",IF(OR($B2824="",$B2824="(blank)"),"",VLOOKUP($B2824,'Email Marketing Raw Data'!$C:$O,10,0))),"")</f>
        <v/>
      </c>
      <c r="E2824" s="59" t="str">
        <f>IFERROR(IF(F2824&lt;&gt;"pending","",IF(OR($B2824="",$B2824="(blank)"),"",VLOOKUP($B2824,'Email Marketing Raw Data'!$C:$O,11,0))),"")</f>
        <v/>
      </c>
      <c r="F2824" s="54" t="str">
        <f>IFERROR(IF(OR($B2824="",$B2824="(blank)"),"",VLOOKUP($B2824,'Email Marketing Raw Data'!$C:$O,13,0)),"")</f>
        <v/>
      </c>
      <c r="G2824" s="55" t="str">
        <f>IFERROR(IF(OR($B2824="",$B2824="(blank)"),"",VLOOKUP($B2824,'Email Marketing Raw Data'!$C:$O,4,0)),"")</f>
        <v/>
      </c>
      <c r="H2824" s="55" t="str">
        <f>IFERROR(IF(OR($B2824="",$B2824="(blank)"),"",VLOOKUP($B2824,'Email Marketing Raw Data'!$C:$O,5,0)),"")</f>
        <v/>
      </c>
      <c r="I2824" s="55" t="str">
        <f>IFERROR(IF($G2824="","",VLOOKUP('Dashboard And Emails Automate'!$G2824,Database!$H:$N,3,0)),"")</f>
        <v/>
      </c>
      <c r="J2824" s="55" t="str">
        <f>IFERROR(IF($G2824="","",VLOOKUP('Dashboard And Emails Automate'!$G2824,Database!$H:$N,4,0)),"")</f>
        <v/>
      </c>
      <c r="K2824" s="55" t="str">
        <f>IFERROR(IF($G2824="","",VLOOKUP('Dashboard And Emails Automate'!$G2824,Database!$H:$N,5,0)),"")</f>
        <v/>
      </c>
      <c r="L2824" s="55" t="str">
        <f>IFERROR(IF($G2824="","",VLOOKUP('Dashboard And Emails Automate'!$G2824,Database!$H:$N,6,0)),"")</f>
        <v/>
      </c>
      <c r="M2824" s="55" t="str">
        <f>IFERROR(IF($G2824="","",VLOOKUP('Dashboard And Emails Automate'!$G2824,Database!$H:$N,7,0)),"")</f>
        <v/>
      </c>
      <c r="N2824" s="55" t="str">
        <f>IFERROR(IF(OR($B2824="",$B2824="(blank)"),"",VLOOKUP($B2824,'Email Marketing Raw Data'!$C:$O,6,0)),"")</f>
        <v/>
      </c>
      <c r="O2824" s="55" t="str">
        <f>IFERROR(IF(OR($B2824="",$B2824="(blank)"),"",VLOOKUP($B2824,'Email Marketing Raw Data'!$C:$O,7,0)),"")</f>
        <v/>
      </c>
      <c r="P2824" s="55" t="str">
        <f>IFERROR(IF(OR($B2824="",$B2824="(blank)"),"",VLOOKUP($B2824,'Email Marketing Raw Data'!$C:$O,8,0)),"")</f>
        <v/>
      </c>
      <c r="Q2824" s="62" t="str">
        <f>IFERROR(IF(OR($B2824="",$B2824="(blank)"),"",VLOOKUP($B2824,'Email Marketing Raw Data'!$C:$O,9,0)),"")</f>
        <v/>
      </c>
    </row>
    <row r="2825" spans="4:17" ht="12.75" customHeight="1" x14ac:dyDescent="0.2">
      <c r="D2825" s="58" t="str">
        <f>IFERROR(IF(F2825&lt;&gt;"pending","",IF(OR($B2825="",$B2825="(blank)"),"",VLOOKUP($B2825,'Email Marketing Raw Data'!$C:$O,10,0))),"")</f>
        <v/>
      </c>
      <c r="E2825" s="59" t="str">
        <f>IFERROR(IF(F2825&lt;&gt;"pending","",IF(OR($B2825="",$B2825="(blank)"),"",VLOOKUP($B2825,'Email Marketing Raw Data'!$C:$O,11,0))),"")</f>
        <v/>
      </c>
      <c r="F2825" s="54" t="str">
        <f>IFERROR(IF(OR($B2825="",$B2825="(blank)"),"",VLOOKUP($B2825,'Email Marketing Raw Data'!$C:$O,13,0)),"")</f>
        <v/>
      </c>
      <c r="G2825" s="55" t="str">
        <f>IFERROR(IF(OR($B2825="",$B2825="(blank)"),"",VLOOKUP($B2825,'Email Marketing Raw Data'!$C:$O,4,0)),"")</f>
        <v/>
      </c>
      <c r="H2825" s="55" t="str">
        <f>IFERROR(IF(OR($B2825="",$B2825="(blank)"),"",VLOOKUP($B2825,'Email Marketing Raw Data'!$C:$O,5,0)),"")</f>
        <v/>
      </c>
      <c r="I2825" s="55" t="str">
        <f>IFERROR(IF($G2825="","",VLOOKUP('Dashboard And Emails Automate'!$G2825,Database!$H:$N,3,0)),"")</f>
        <v/>
      </c>
      <c r="J2825" s="55" t="str">
        <f>IFERROR(IF($G2825="","",VLOOKUP('Dashboard And Emails Automate'!$G2825,Database!$H:$N,4,0)),"")</f>
        <v/>
      </c>
      <c r="K2825" s="55" t="str">
        <f>IFERROR(IF($G2825="","",VLOOKUP('Dashboard And Emails Automate'!$G2825,Database!$H:$N,5,0)),"")</f>
        <v/>
      </c>
      <c r="L2825" s="55" t="str">
        <f>IFERROR(IF($G2825="","",VLOOKUP('Dashboard And Emails Automate'!$G2825,Database!$H:$N,6,0)),"")</f>
        <v/>
      </c>
      <c r="M2825" s="55" t="str">
        <f>IFERROR(IF($G2825="","",VLOOKUP('Dashboard And Emails Automate'!$G2825,Database!$H:$N,7,0)),"")</f>
        <v/>
      </c>
      <c r="N2825" s="55" t="str">
        <f>IFERROR(IF(OR($B2825="",$B2825="(blank)"),"",VLOOKUP($B2825,'Email Marketing Raw Data'!$C:$O,6,0)),"")</f>
        <v/>
      </c>
      <c r="O2825" s="55" t="str">
        <f>IFERROR(IF(OR($B2825="",$B2825="(blank)"),"",VLOOKUP($B2825,'Email Marketing Raw Data'!$C:$O,7,0)),"")</f>
        <v/>
      </c>
      <c r="P2825" s="55" t="str">
        <f>IFERROR(IF(OR($B2825="",$B2825="(blank)"),"",VLOOKUP($B2825,'Email Marketing Raw Data'!$C:$O,8,0)),"")</f>
        <v/>
      </c>
      <c r="Q2825" s="62" t="str">
        <f>IFERROR(IF(OR($B2825="",$B2825="(blank)"),"",VLOOKUP($B2825,'Email Marketing Raw Data'!$C:$O,9,0)),"")</f>
        <v/>
      </c>
    </row>
    <row r="2826" spans="4:17" ht="12.75" customHeight="1" x14ac:dyDescent="0.2">
      <c r="D2826" s="58" t="str">
        <f>IFERROR(IF(F2826&lt;&gt;"pending","",IF(OR($B2826="",$B2826="(blank)"),"",VLOOKUP($B2826,'Email Marketing Raw Data'!$C:$O,10,0))),"")</f>
        <v/>
      </c>
      <c r="E2826" s="59" t="str">
        <f>IFERROR(IF(F2826&lt;&gt;"pending","",IF(OR($B2826="",$B2826="(blank)"),"",VLOOKUP($B2826,'Email Marketing Raw Data'!$C:$O,11,0))),"")</f>
        <v/>
      </c>
      <c r="F2826" s="54" t="str">
        <f>IFERROR(IF(OR($B2826="",$B2826="(blank)"),"",VLOOKUP($B2826,'Email Marketing Raw Data'!$C:$O,13,0)),"")</f>
        <v/>
      </c>
      <c r="G2826" s="55" t="str">
        <f>IFERROR(IF(OR($B2826="",$B2826="(blank)"),"",VLOOKUP($B2826,'Email Marketing Raw Data'!$C:$O,4,0)),"")</f>
        <v/>
      </c>
      <c r="H2826" s="55" t="str">
        <f>IFERROR(IF(OR($B2826="",$B2826="(blank)"),"",VLOOKUP($B2826,'Email Marketing Raw Data'!$C:$O,5,0)),"")</f>
        <v/>
      </c>
      <c r="I2826" s="55" t="str">
        <f>IFERROR(IF($G2826="","",VLOOKUP('Dashboard And Emails Automate'!$G2826,Database!$H:$N,3,0)),"")</f>
        <v/>
      </c>
      <c r="J2826" s="55" t="str">
        <f>IFERROR(IF($G2826="","",VLOOKUP('Dashboard And Emails Automate'!$G2826,Database!$H:$N,4,0)),"")</f>
        <v/>
      </c>
      <c r="K2826" s="55" t="str">
        <f>IFERROR(IF($G2826="","",VLOOKUP('Dashboard And Emails Automate'!$G2826,Database!$H:$N,5,0)),"")</f>
        <v/>
      </c>
      <c r="L2826" s="55" t="str">
        <f>IFERROR(IF($G2826="","",VLOOKUP('Dashboard And Emails Automate'!$G2826,Database!$H:$N,6,0)),"")</f>
        <v/>
      </c>
      <c r="M2826" s="55" t="str">
        <f>IFERROR(IF($G2826="","",VLOOKUP('Dashboard And Emails Automate'!$G2826,Database!$H:$N,7,0)),"")</f>
        <v/>
      </c>
      <c r="N2826" s="55" t="str">
        <f>IFERROR(IF(OR($B2826="",$B2826="(blank)"),"",VLOOKUP($B2826,'Email Marketing Raw Data'!$C:$O,6,0)),"")</f>
        <v/>
      </c>
      <c r="O2826" s="55" t="str">
        <f>IFERROR(IF(OR($B2826="",$B2826="(blank)"),"",VLOOKUP($B2826,'Email Marketing Raw Data'!$C:$O,7,0)),"")</f>
        <v/>
      </c>
      <c r="P2826" s="55" t="str">
        <f>IFERROR(IF(OR($B2826="",$B2826="(blank)"),"",VLOOKUP($B2826,'Email Marketing Raw Data'!$C:$O,8,0)),"")</f>
        <v/>
      </c>
      <c r="Q2826" s="62" t="str">
        <f>IFERROR(IF(OR($B2826="",$B2826="(blank)"),"",VLOOKUP($B2826,'Email Marketing Raw Data'!$C:$O,9,0)),"")</f>
        <v/>
      </c>
    </row>
    <row r="2827" spans="4:17" ht="12.75" customHeight="1" x14ac:dyDescent="0.2">
      <c r="D2827" s="58" t="str">
        <f>IFERROR(IF(F2827&lt;&gt;"pending","",IF(OR($B2827="",$B2827="(blank)"),"",VLOOKUP($B2827,'Email Marketing Raw Data'!$C:$O,10,0))),"")</f>
        <v/>
      </c>
      <c r="E2827" s="59" t="str">
        <f>IFERROR(IF(F2827&lt;&gt;"pending","",IF(OR($B2827="",$B2827="(blank)"),"",VLOOKUP($B2827,'Email Marketing Raw Data'!$C:$O,11,0))),"")</f>
        <v/>
      </c>
      <c r="F2827" s="54" t="str">
        <f>IFERROR(IF(OR($B2827="",$B2827="(blank)"),"",VLOOKUP($B2827,'Email Marketing Raw Data'!$C:$O,13,0)),"")</f>
        <v/>
      </c>
      <c r="G2827" s="55" t="str">
        <f>IFERROR(IF(OR($B2827="",$B2827="(blank)"),"",VLOOKUP($B2827,'Email Marketing Raw Data'!$C:$O,4,0)),"")</f>
        <v/>
      </c>
      <c r="H2827" s="55" t="str">
        <f>IFERROR(IF(OR($B2827="",$B2827="(blank)"),"",VLOOKUP($B2827,'Email Marketing Raw Data'!$C:$O,5,0)),"")</f>
        <v/>
      </c>
      <c r="I2827" s="55" t="str">
        <f>IFERROR(IF($G2827="","",VLOOKUP('Dashboard And Emails Automate'!$G2827,Database!$H:$N,3,0)),"")</f>
        <v/>
      </c>
      <c r="J2827" s="55" t="str">
        <f>IFERROR(IF($G2827="","",VLOOKUP('Dashboard And Emails Automate'!$G2827,Database!$H:$N,4,0)),"")</f>
        <v/>
      </c>
      <c r="K2827" s="55" t="str">
        <f>IFERROR(IF($G2827="","",VLOOKUP('Dashboard And Emails Automate'!$G2827,Database!$H:$N,5,0)),"")</f>
        <v/>
      </c>
      <c r="L2827" s="55" t="str">
        <f>IFERROR(IF($G2827="","",VLOOKUP('Dashboard And Emails Automate'!$G2827,Database!$H:$N,6,0)),"")</f>
        <v/>
      </c>
      <c r="M2827" s="55" t="str">
        <f>IFERROR(IF($G2827="","",VLOOKUP('Dashboard And Emails Automate'!$G2827,Database!$H:$N,7,0)),"")</f>
        <v/>
      </c>
      <c r="N2827" s="55" t="str">
        <f>IFERROR(IF(OR($B2827="",$B2827="(blank)"),"",VLOOKUP($B2827,'Email Marketing Raw Data'!$C:$O,6,0)),"")</f>
        <v/>
      </c>
      <c r="O2827" s="55" t="str">
        <f>IFERROR(IF(OR($B2827="",$B2827="(blank)"),"",VLOOKUP($B2827,'Email Marketing Raw Data'!$C:$O,7,0)),"")</f>
        <v/>
      </c>
      <c r="P2827" s="55" t="str">
        <f>IFERROR(IF(OR($B2827="",$B2827="(blank)"),"",VLOOKUP($B2827,'Email Marketing Raw Data'!$C:$O,8,0)),"")</f>
        <v/>
      </c>
      <c r="Q2827" s="62" t="str">
        <f>IFERROR(IF(OR($B2827="",$B2827="(blank)"),"",VLOOKUP($B2827,'Email Marketing Raw Data'!$C:$O,9,0)),"")</f>
        <v/>
      </c>
    </row>
    <row r="2828" spans="4:17" ht="12.75" customHeight="1" x14ac:dyDescent="0.2">
      <c r="D2828" s="58" t="str">
        <f>IFERROR(IF(F2828&lt;&gt;"pending","",IF(OR($B2828="",$B2828="(blank)"),"",VLOOKUP($B2828,'Email Marketing Raw Data'!$C:$O,10,0))),"")</f>
        <v/>
      </c>
      <c r="E2828" s="59" t="str">
        <f>IFERROR(IF(F2828&lt;&gt;"pending","",IF(OR($B2828="",$B2828="(blank)"),"",VLOOKUP($B2828,'Email Marketing Raw Data'!$C:$O,11,0))),"")</f>
        <v/>
      </c>
      <c r="F2828" s="54" t="str">
        <f>IFERROR(IF(OR($B2828="",$B2828="(blank)"),"",VLOOKUP($B2828,'Email Marketing Raw Data'!$C:$O,13,0)),"")</f>
        <v/>
      </c>
      <c r="G2828" s="55" t="str">
        <f>IFERROR(IF(OR($B2828="",$B2828="(blank)"),"",VLOOKUP($B2828,'Email Marketing Raw Data'!$C:$O,4,0)),"")</f>
        <v/>
      </c>
      <c r="H2828" s="55" t="str">
        <f>IFERROR(IF(OR($B2828="",$B2828="(blank)"),"",VLOOKUP($B2828,'Email Marketing Raw Data'!$C:$O,5,0)),"")</f>
        <v/>
      </c>
      <c r="I2828" s="55" t="str">
        <f>IFERROR(IF($G2828="","",VLOOKUP('Dashboard And Emails Automate'!$G2828,Database!$H:$N,3,0)),"")</f>
        <v/>
      </c>
      <c r="J2828" s="55" t="str">
        <f>IFERROR(IF($G2828="","",VLOOKUP('Dashboard And Emails Automate'!$G2828,Database!$H:$N,4,0)),"")</f>
        <v/>
      </c>
      <c r="K2828" s="55" t="str">
        <f>IFERROR(IF($G2828="","",VLOOKUP('Dashboard And Emails Automate'!$G2828,Database!$H:$N,5,0)),"")</f>
        <v/>
      </c>
      <c r="L2828" s="55" t="str">
        <f>IFERROR(IF($G2828="","",VLOOKUP('Dashboard And Emails Automate'!$G2828,Database!$H:$N,6,0)),"")</f>
        <v/>
      </c>
      <c r="M2828" s="55" t="str">
        <f>IFERROR(IF($G2828="","",VLOOKUP('Dashboard And Emails Automate'!$G2828,Database!$H:$N,7,0)),"")</f>
        <v/>
      </c>
      <c r="N2828" s="55" t="str">
        <f>IFERROR(IF(OR($B2828="",$B2828="(blank)"),"",VLOOKUP($B2828,'Email Marketing Raw Data'!$C:$O,6,0)),"")</f>
        <v/>
      </c>
      <c r="O2828" s="55" t="str">
        <f>IFERROR(IF(OR($B2828="",$B2828="(blank)"),"",VLOOKUP($B2828,'Email Marketing Raw Data'!$C:$O,7,0)),"")</f>
        <v/>
      </c>
      <c r="P2828" s="55" t="str">
        <f>IFERROR(IF(OR($B2828="",$B2828="(blank)"),"",VLOOKUP($B2828,'Email Marketing Raw Data'!$C:$O,8,0)),"")</f>
        <v/>
      </c>
      <c r="Q2828" s="62" t="str">
        <f>IFERROR(IF(OR($B2828="",$B2828="(blank)"),"",VLOOKUP($B2828,'Email Marketing Raw Data'!$C:$O,9,0)),"")</f>
        <v/>
      </c>
    </row>
    <row r="2829" spans="4:17" ht="12.75" customHeight="1" x14ac:dyDescent="0.2">
      <c r="D2829" s="58" t="str">
        <f>IFERROR(IF(F2829&lt;&gt;"pending","",IF(OR($B2829="",$B2829="(blank)"),"",VLOOKUP($B2829,'Email Marketing Raw Data'!$C:$O,10,0))),"")</f>
        <v/>
      </c>
      <c r="E2829" s="59" t="str">
        <f>IFERROR(IF(F2829&lt;&gt;"pending","",IF(OR($B2829="",$B2829="(blank)"),"",VLOOKUP($B2829,'Email Marketing Raw Data'!$C:$O,11,0))),"")</f>
        <v/>
      </c>
      <c r="F2829" s="54" t="str">
        <f>IFERROR(IF(OR($B2829="",$B2829="(blank)"),"",VLOOKUP($B2829,'Email Marketing Raw Data'!$C:$O,13,0)),"")</f>
        <v/>
      </c>
      <c r="G2829" s="55" t="str">
        <f>IFERROR(IF(OR($B2829="",$B2829="(blank)"),"",VLOOKUP($B2829,'Email Marketing Raw Data'!$C:$O,4,0)),"")</f>
        <v/>
      </c>
      <c r="H2829" s="55" t="str">
        <f>IFERROR(IF(OR($B2829="",$B2829="(blank)"),"",VLOOKUP($B2829,'Email Marketing Raw Data'!$C:$O,5,0)),"")</f>
        <v/>
      </c>
      <c r="I2829" s="55" t="str">
        <f>IFERROR(IF($G2829="","",VLOOKUP('Dashboard And Emails Automate'!$G2829,Database!$H:$N,3,0)),"")</f>
        <v/>
      </c>
      <c r="J2829" s="55" t="str">
        <f>IFERROR(IF($G2829="","",VLOOKUP('Dashboard And Emails Automate'!$G2829,Database!$H:$N,4,0)),"")</f>
        <v/>
      </c>
      <c r="K2829" s="55" t="str">
        <f>IFERROR(IF($G2829="","",VLOOKUP('Dashboard And Emails Automate'!$G2829,Database!$H:$N,5,0)),"")</f>
        <v/>
      </c>
      <c r="L2829" s="55" t="str">
        <f>IFERROR(IF($G2829="","",VLOOKUP('Dashboard And Emails Automate'!$G2829,Database!$H:$N,6,0)),"")</f>
        <v/>
      </c>
      <c r="M2829" s="55" t="str">
        <f>IFERROR(IF($G2829="","",VLOOKUP('Dashboard And Emails Automate'!$G2829,Database!$H:$N,7,0)),"")</f>
        <v/>
      </c>
      <c r="N2829" s="55" t="str">
        <f>IFERROR(IF(OR($B2829="",$B2829="(blank)"),"",VLOOKUP($B2829,'Email Marketing Raw Data'!$C:$O,6,0)),"")</f>
        <v/>
      </c>
      <c r="O2829" s="55" t="str">
        <f>IFERROR(IF(OR($B2829="",$B2829="(blank)"),"",VLOOKUP($B2829,'Email Marketing Raw Data'!$C:$O,7,0)),"")</f>
        <v/>
      </c>
      <c r="P2829" s="55" t="str">
        <f>IFERROR(IF(OR($B2829="",$B2829="(blank)"),"",VLOOKUP($B2829,'Email Marketing Raw Data'!$C:$O,8,0)),"")</f>
        <v/>
      </c>
      <c r="Q2829" s="62" t="str">
        <f>IFERROR(IF(OR($B2829="",$B2829="(blank)"),"",VLOOKUP($B2829,'Email Marketing Raw Data'!$C:$O,9,0)),"")</f>
        <v/>
      </c>
    </row>
    <row r="2830" spans="4:17" ht="12.75" customHeight="1" x14ac:dyDescent="0.2">
      <c r="D2830" s="58" t="str">
        <f>IFERROR(IF(F2830&lt;&gt;"pending","",IF(OR($B2830="",$B2830="(blank)"),"",VLOOKUP($B2830,'Email Marketing Raw Data'!$C:$O,10,0))),"")</f>
        <v/>
      </c>
      <c r="E2830" s="59" t="str">
        <f>IFERROR(IF(F2830&lt;&gt;"pending","",IF(OR($B2830="",$B2830="(blank)"),"",VLOOKUP($B2830,'Email Marketing Raw Data'!$C:$O,11,0))),"")</f>
        <v/>
      </c>
      <c r="F2830" s="54" t="str">
        <f>IFERROR(IF(OR($B2830="",$B2830="(blank)"),"",VLOOKUP($B2830,'Email Marketing Raw Data'!$C:$O,13,0)),"")</f>
        <v/>
      </c>
      <c r="G2830" s="55" t="str">
        <f>IFERROR(IF(OR($B2830="",$B2830="(blank)"),"",VLOOKUP($B2830,'Email Marketing Raw Data'!$C:$O,4,0)),"")</f>
        <v/>
      </c>
      <c r="H2830" s="55" t="str">
        <f>IFERROR(IF(OR($B2830="",$B2830="(blank)"),"",VLOOKUP($B2830,'Email Marketing Raw Data'!$C:$O,5,0)),"")</f>
        <v/>
      </c>
      <c r="I2830" s="55" t="str">
        <f>IFERROR(IF($G2830="","",VLOOKUP('Dashboard And Emails Automate'!$G2830,Database!$H:$N,3,0)),"")</f>
        <v/>
      </c>
      <c r="J2830" s="55" t="str">
        <f>IFERROR(IF($G2830="","",VLOOKUP('Dashboard And Emails Automate'!$G2830,Database!$H:$N,4,0)),"")</f>
        <v/>
      </c>
      <c r="K2830" s="55" t="str">
        <f>IFERROR(IF($G2830="","",VLOOKUP('Dashboard And Emails Automate'!$G2830,Database!$H:$N,5,0)),"")</f>
        <v/>
      </c>
      <c r="L2830" s="55" t="str">
        <f>IFERROR(IF($G2830="","",VLOOKUP('Dashboard And Emails Automate'!$G2830,Database!$H:$N,6,0)),"")</f>
        <v/>
      </c>
      <c r="M2830" s="55" t="str">
        <f>IFERROR(IF($G2830="","",VLOOKUP('Dashboard And Emails Automate'!$G2830,Database!$H:$N,7,0)),"")</f>
        <v/>
      </c>
      <c r="N2830" s="55" t="str">
        <f>IFERROR(IF(OR($B2830="",$B2830="(blank)"),"",VLOOKUP($B2830,'Email Marketing Raw Data'!$C:$O,6,0)),"")</f>
        <v/>
      </c>
      <c r="O2830" s="55" t="str">
        <f>IFERROR(IF(OR($B2830="",$B2830="(blank)"),"",VLOOKUP($B2830,'Email Marketing Raw Data'!$C:$O,7,0)),"")</f>
        <v/>
      </c>
      <c r="P2830" s="55" t="str">
        <f>IFERROR(IF(OR($B2830="",$B2830="(blank)"),"",VLOOKUP($B2830,'Email Marketing Raw Data'!$C:$O,8,0)),"")</f>
        <v/>
      </c>
      <c r="Q2830" s="62" t="str">
        <f>IFERROR(IF(OR($B2830="",$B2830="(blank)"),"",VLOOKUP($B2830,'Email Marketing Raw Data'!$C:$O,9,0)),"")</f>
        <v/>
      </c>
    </row>
    <row r="2831" spans="4:17" ht="12.75" customHeight="1" x14ac:dyDescent="0.2">
      <c r="D2831" s="58" t="str">
        <f>IFERROR(IF(F2831&lt;&gt;"pending","",IF(OR($B2831="",$B2831="(blank)"),"",VLOOKUP($B2831,'Email Marketing Raw Data'!$C:$O,10,0))),"")</f>
        <v/>
      </c>
      <c r="E2831" s="59" t="str">
        <f>IFERROR(IF(F2831&lt;&gt;"pending","",IF(OR($B2831="",$B2831="(blank)"),"",VLOOKUP($B2831,'Email Marketing Raw Data'!$C:$O,11,0))),"")</f>
        <v/>
      </c>
      <c r="F2831" s="54" t="str">
        <f>IFERROR(IF(OR($B2831="",$B2831="(blank)"),"",VLOOKUP($B2831,'Email Marketing Raw Data'!$C:$O,13,0)),"")</f>
        <v/>
      </c>
      <c r="G2831" s="55" t="str">
        <f>IFERROR(IF(OR($B2831="",$B2831="(blank)"),"",VLOOKUP($B2831,'Email Marketing Raw Data'!$C:$O,4,0)),"")</f>
        <v/>
      </c>
      <c r="H2831" s="55" t="str">
        <f>IFERROR(IF(OR($B2831="",$B2831="(blank)"),"",VLOOKUP($B2831,'Email Marketing Raw Data'!$C:$O,5,0)),"")</f>
        <v/>
      </c>
      <c r="I2831" s="55" t="str">
        <f>IFERROR(IF($G2831="","",VLOOKUP('Dashboard And Emails Automate'!$G2831,Database!$H:$N,3,0)),"")</f>
        <v/>
      </c>
      <c r="J2831" s="55" t="str">
        <f>IFERROR(IF($G2831="","",VLOOKUP('Dashboard And Emails Automate'!$G2831,Database!$H:$N,4,0)),"")</f>
        <v/>
      </c>
      <c r="K2831" s="55" t="str">
        <f>IFERROR(IF($G2831="","",VLOOKUP('Dashboard And Emails Automate'!$G2831,Database!$H:$N,5,0)),"")</f>
        <v/>
      </c>
      <c r="L2831" s="55" t="str">
        <f>IFERROR(IF($G2831="","",VLOOKUP('Dashboard And Emails Automate'!$G2831,Database!$H:$N,6,0)),"")</f>
        <v/>
      </c>
      <c r="M2831" s="55" t="str">
        <f>IFERROR(IF($G2831="","",VLOOKUP('Dashboard And Emails Automate'!$G2831,Database!$H:$N,7,0)),"")</f>
        <v/>
      </c>
      <c r="N2831" s="55" t="str">
        <f>IFERROR(IF(OR($B2831="",$B2831="(blank)"),"",VLOOKUP($B2831,'Email Marketing Raw Data'!$C:$O,6,0)),"")</f>
        <v/>
      </c>
      <c r="O2831" s="55" t="str">
        <f>IFERROR(IF(OR($B2831="",$B2831="(blank)"),"",VLOOKUP($B2831,'Email Marketing Raw Data'!$C:$O,7,0)),"")</f>
        <v/>
      </c>
      <c r="P2831" s="55" t="str">
        <f>IFERROR(IF(OR($B2831="",$B2831="(blank)"),"",VLOOKUP($B2831,'Email Marketing Raw Data'!$C:$O,8,0)),"")</f>
        <v/>
      </c>
      <c r="Q2831" s="62" t="str">
        <f>IFERROR(IF(OR($B2831="",$B2831="(blank)"),"",VLOOKUP($B2831,'Email Marketing Raw Data'!$C:$O,9,0)),"")</f>
        <v/>
      </c>
    </row>
    <row r="2832" spans="4:17" ht="12.75" customHeight="1" x14ac:dyDescent="0.2">
      <c r="D2832" s="58" t="str">
        <f>IFERROR(IF(F2832&lt;&gt;"pending","",IF(OR($B2832="",$B2832="(blank)"),"",VLOOKUP($B2832,'Email Marketing Raw Data'!$C:$O,10,0))),"")</f>
        <v/>
      </c>
      <c r="E2832" s="59" t="str">
        <f>IFERROR(IF(F2832&lt;&gt;"pending","",IF(OR($B2832="",$B2832="(blank)"),"",VLOOKUP($B2832,'Email Marketing Raw Data'!$C:$O,11,0))),"")</f>
        <v/>
      </c>
      <c r="F2832" s="54" t="str">
        <f>IFERROR(IF(OR($B2832="",$B2832="(blank)"),"",VLOOKUP($B2832,'Email Marketing Raw Data'!$C:$O,13,0)),"")</f>
        <v/>
      </c>
      <c r="G2832" s="55" t="str">
        <f>IFERROR(IF(OR($B2832="",$B2832="(blank)"),"",VLOOKUP($B2832,'Email Marketing Raw Data'!$C:$O,4,0)),"")</f>
        <v/>
      </c>
      <c r="H2832" s="55" t="str">
        <f>IFERROR(IF(OR($B2832="",$B2832="(blank)"),"",VLOOKUP($B2832,'Email Marketing Raw Data'!$C:$O,5,0)),"")</f>
        <v/>
      </c>
      <c r="I2832" s="55" t="str">
        <f>IFERROR(IF($G2832="","",VLOOKUP('Dashboard And Emails Automate'!$G2832,Database!$H:$N,3,0)),"")</f>
        <v/>
      </c>
      <c r="J2832" s="55" t="str">
        <f>IFERROR(IF($G2832="","",VLOOKUP('Dashboard And Emails Automate'!$G2832,Database!$H:$N,4,0)),"")</f>
        <v/>
      </c>
      <c r="K2832" s="55" t="str">
        <f>IFERROR(IF($G2832="","",VLOOKUP('Dashboard And Emails Automate'!$G2832,Database!$H:$N,5,0)),"")</f>
        <v/>
      </c>
      <c r="L2832" s="55" t="str">
        <f>IFERROR(IF($G2832="","",VLOOKUP('Dashboard And Emails Automate'!$G2832,Database!$H:$N,6,0)),"")</f>
        <v/>
      </c>
      <c r="M2832" s="55" t="str">
        <f>IFERROR(IF($G2832="","",VLOOKUP('Dashboard And Emails Automate'!$G2832,Database!$H:$N,7,0)),"")</f>
        <v/>
      </c>
      <c r="N2832" s="55" t="str">
        <f>IFERROR(IF(OR($B2832="",$B2832="(blank)"),"",VLOOKUP($B2832,'Email Marketing Raw Data'!$C:$O,6,0)),"")</f>
        <v/>
      </c>
      <c r="O2832" s="55" t="str">
        <f>IFERROR(IF(OR($B2832="",$B2832="(blank)"),"",VLOOKUP($B2832,'Email Marketing Raw Data'!$C:$O,7,0)),"")</f>
        <v/>
      </c>
      <c r="P2832" s="55" t="str">
        <f>IFERROR(IF(OR($B2832="",$B2832="(blank)"),"",VLOOKUP($B2832,'Email Marketing Raw Data'!$C:$O,8,0)),"")</f>
        <v/>
      </c>
      <c r="Q2832" s="62" t="str">
        <f>IFERROR(IF(OR($B2832="",$B2832="(blank)"),"",VLOOKUP($B2832,'Email Marketing Raw Data'!$C:$O,9,0)),"")</f>
        <v/>
      </c>
    </row>
    <row r="2833" spans="4:17" ht="12.75" customHeight="1" x14ac:dyDescent="0.2">
      <c r="D2833" s="58" t="str">
        <f>IFERROR(IF(F2833&lt;&gt;"pending","",IF(OR($B2833="",$B2833="(blank)"),"",VLOOKUP($B2833,'Email Marketing Raw Data'!$C:$O,10,0))),"")</f>
        <v/>
      </c>
      <c r="E2833" s="59" t="str">
        <f>IFERROR(IF(F2833&lt;&gt;"pending","",IF(OR($B2833="",$B2833="(blank)"),"",VLOOKUP($B2833,'Email Marketing Raw Data'!$C:$O,11,0))),"")</f>
        <v/>
      </c>
      <c r="F2833" s="54" t="str">
        <f>IFERROR(IF(OR($B2833="",$B2833="(blank)"),"",VLOOKUP($B2833,'Email Marketing Raw Data'!$C:$O,13,0)),"")</f>
        <v/>
      </c>
      <c r="G2833" s="55" t="str">
        <f>IFERROR(IF(OR($B2833="",$B2833="(blank)"),"",VLOOKUP($B2833,'Email Marketing Raw Data'!$C:$O,4,0)),"")</f>
        <v/>
      </c>
      <c r="H2833" s="55" t="str">
        <f>IFERROR(IF(OR($B2833="",$B2833="(blank)"),"",VLOOKUP($B2833,'Email Marketing Raw Data'!$C:$O,5,0)),"")</f>
        <v/>
      </c>
      <c r="I2833" s="55" t="str">
        <f>IFERROR(IF($G2833="","",VLOOKUP('Dashboard And Emails Automate'!$G2833,Database!$H:$N,3,0)),"")</f>
        <v/>
      </c>
      <c r="J2833" s="55" t="str">
        <f>IFERROR(IF($G2833="","",VLOOKUP('Dashboard And Emails Automate'!$G2833,Database!$H:$N,4,0)),"")</f>
        <v/>
      </c>
      <c r="K2833" s="55" t="str">
        <f>IFERROR(IF($G2833="","",VLOOKUP('Dashboard And Emails Automate'!$G2833,Database!$H:$N,5,0)),"")</f>
        <v/>
      </c>
      <c r="L2833" s="55" t="str">
        <f>IFERROR(IF($G2833="","",VLOOKUP('Dashboard And Emails Automate'!$G2833,Database!$H:$N,6,0)),"")</f>
        <v/>
      </c>
      <c r="M2833" s="55" t="str">
        <f>IFERROR(IF($G2833="","",VLOOKUP('Dashboard And Emails Automate'!$G2833,Database!$H:$N,7,0)),"")</f>
        <v/>
      </c>
      <c r="N2833" s="55" t="str">
        <f>IFERROR(IF(OR($B2833="",$B2833="(blank)"),"",VLOOKUP($B2833,'Email Marketing Raw Data'!$C:$O,6,0)),"")</f>
        <v/>
      </c>
      <c r="O2833" s="55" t="str">
        <f>IFERROR(IF(OR($B2833="",$B2833="(blank)"),"",VLOOKUP($B2833,'Email Marketing Raw Data'!$C:$O,7,0)),"")</f>
        <v/>
      </c>
      <c r="P2833" s="55" t="str">
        <f>IFERROR(IF(OR($B2833="",$B2833="(blank)"),"",VLOOKUP($B2833,'Email Marketing Raw Data'!$C:$O,8,0)),"")</f>
        <v/>
      </c>
      <c r="Q2833" s="62" t="str">
        <f>IFERROR(IF(OR($B2833="",$B2833="(blank)"),"",VLOOKUP($B2833,'Email Marketing Raw Data'!$C:$O,9,0)),"")</f>
        <v/>
      </c>
    </row>
    <row r="2834" spans="4:17" ht="12.75" customHeight="1" x14ac:dyDescent="0.2">
      <c r="D2834" s="58" t="str">
        <f>IFERROR(IF(F2834&lt;&gt;"pending","",IF(OR($B2834="",$B2834="(blank)"),"",VLOOKUP($B2834,'Email Marketing Raw Data'!$C:$O,10,0))),"")</f>
        <v/>
      </c>
      <c r="E2834" s="59" t="str">
        <f>IFERROR(IF(F2834&lt;&gt;"pending","",IF(OR($B2834="",$B2834="(blank)"),"",VLOOKUP($B2834,'Email Marketing Raw Data'!$C:$O,11,0))),"")</f>
        <v/>
      </c>
      <c r="F2834" s="54" t="str">
        <f>IFERROR(IF(OR($B2834="",$B2834="(blank)"),"",VLOOKUP($B2834,'Email Marketing Raw Data'!$C:$O,13,0)),"")</f>
        <v/>
      </c>
      <c r="G2834" s="55" t="str">
        <f>IFERROR(IF(OR($B2834="",$B2834="(blank)"),"",VLOOKUP($B2834,'Email Marketing Raw Data'!$C:$O,4,0)),"")</f>
        <v/>
      </c>
      <c r="H2834" s="55" t="str">
        <f>IFERROR(IF(OR($B2834="",$B2834="(blank)"),"",VLOOKUP($B2834,'Email Marketing Raw Data'!$C:$O,5,0)),"")</f>
        <v/>
      </c>
      <c r="I2834" s="55" t="str">
        <f>IFERROR(IF($G2834="","",VLOOKUP('Dashboard And Emails Automate'!$G2834,Database!$H:$N,3,0)),"")</f>
        <v/>
      </c>
      <c r="J2834" s="55" t="str">
        <f>IFERROR(IF($G2834="","",VLOOKUP('Dashboard And Emails Automate'!$G2834,Database!$H:$N,4,0)),"")</f>
        <v/>
      </c>
      <c r="K2834" s="55" t="str">
        <f>IFERROR(IF($G2834="","",VLOOKUP('Dashboard And Emails Automate'!$G2834,Database!$H:$N,5,0)),"")</f>
        <v/>
      </c>
      <c r="L2834" s="55" t="str">
        <f>IFERROR(IF($G2834="","",VLOOKUP('Dashboard And Emails Automate'!$G2834,Database!$H:$N,6,0)),"")</f>
        <v/>
      </c>
      <c r="M2834" s="55" t="str">
        <f>IFERROR(IF($G2834="","",VLOOKUP('Dashboard And Emails Automate'!$G2834,Database!$H:$N,7,0)),"")</f>
        <v/>
      </c>
      <c r="N2834" s="55" t="str">
        <f>IFERROR(IF(OR($B2834="",$B2834="(blank)"),"",VLOOKUP($B2834,'Email Marketing Raw Data'!$C:$O,6,0)),"")</f>
        <v/>
      </c>
      <c r="O2834" s="55" t="str">
        <f>IFERROR(IF(OR($B2834="",$B2834="(blank)"),"",VLOOKUP($B2834,'Email Marketing Raw Data'!$C:$O,7,0)),"")</f>
        <v/>
      </c>
      <c r="P2834" s="55" t="str">
        <f>IFERROR(IF(OR($B2834="",$B2834="(blank)"),"",VLOOKUP($B2834,'Email Marketing Raw Data'!$C:$O,8,0)),"")</f>
        <v/>
      </c>
      <c r="Q2834" s="62" t="str">
        <f>IFERROR(IF(OR($B2834="",$B2834="(blank)"),"",VLOOKUP($B2834,'Email Marketing Raw Data'!$C:$O,9,0)),"")</f>
        <v/>
      </c>
    </row>
    <row r="2835" spans="4:17" ht="12.75" customHeight="1" x14ac:dyDescent="0.2">
      <c r="D2835" s="58" t="str">
        <f>IFERROR(IF(F2835&lt;&gt;"pending","",IF(OR($B2835="",$B2835="(blank)"),"",VLOOKUP($B2835,'Email Marketing Raw Data'!$C:$O,10,0))),"")</f>
        <v/>
      </c>
      <c r="E2835" s="59" t="str">
        <f>IFERROR(IF(F2835&lt;&gt;"pending","",IF(OR($B2835="",$B2835="(blank)"),"",VLOOKUP($B2835,'Email Marketing Raw Data'!$C:$O,11,0))),"")</f>
        <v/>
      </c>
      <c r="F2835" s="54" t="str">
        <f>IFERROR(IF(OR($B2835="",$B2835="(blank)"),"",VLOOKUP($B2835,'Email Marketing Raw Data'!$C:$O,13,0)),"")</f>
        <v/>
      </c>
      <c r="G2835" s="55" t="str">
        <f>IFERROR(IF(OR($B2835="",$B2835="(blank)"),"",VLOOKUP($B2835,'Email Marketing Raw Data'!$C:$O,4,0)),"")</f>
        <v/>
      </c>
      <c r="H2835" s="55" t="str">
        <f>IFERROR(IF(OR($B2835="",$B2835="(blank)"),"",VLOOKUP($B2835,'Email Marketing Raw Data'!$C:$O,5,0)),"")</f>
        <v/>
      </c>
      <c r="I2835" s="55" t="str">
        <f>IFERROR(IF($G2835="","",VLOOKUP('Dashboard And Emails Automate'!$G2835,Database!$H:$N,3,0)),"")</f>
        <v/>
      </c>
      <c r="J2835" s="55" t="str">
        <f>IFERROR(IF($G2835="","",VLOOKUP('Dashboard And Emails Automate'!$G2835,Database!$H:$N,4,0)),"")</f>
        <v/>
      </c>
      <c r="K2835" s="55" t="str">
        <f>IFERROR(IF($G2835="","",VLOOKUP('Dashboard And Emails Automate'!$G2835,Database!$H:$N,5,0)),"")</f>
        <v/>
      </c>
      <c r="L2835" s="55" t="str">
        <f>IFERROR(IF($G2835="","",VLOOKUP('Dashboard And Emails Automate'!$G2835,Database!$H:$N,6,0)),"")</f>
        <v/>
      </c>
      <c r="M2835" s="55" t="str">
        <f>IFERROR(IF($G2835="","",VLOOKUP('Dashboard And Emails Automate'!$G2835,Database!$H:$N,7,0)),"")</f>
        <v/>
      </c>
      <c r="N2835" s="55" t="str">
        <f>IFERROR(IF(OR($B2835="",$B2835="(blank)"),"",VLOOKUP($B2835,'Email Marketing Raw Data'!$C:$O,6,0)),"")</f>
        <v/>
      </c>
      <c r="O2835" s="55" t="str">
        <f>IFERROR(IF(OR($B2835="",$B2835="(blank)"),"",VLOOKUP($B2835,'Email Marketing Raw Data'!$C:$O,7,0)),"")</f>
        <v/>
      </c>
      <c r="P2835" s="55" t="str">
        <f>IFERROR(IF(OR($B2835="",$B2835="(blank)"),"",VLOOKUP($B2835,'Email Marketing Raw Data'!$C:$O,8,0)),"")</f>
        <v/>
      </c>
      <c r="Q2835" s="62" t="str">
        <f>IFERROR(IF(OR($B2835="",$B2835="(blank)"),"",VLOOKUP($B2835,'Email Marketing Raw Data'!$C:$O,9,0)),"")</f>
        <v/>
      </c>
    </row>
    <row r="2836" spans="4:17" ht="12.75" customHeight="1" x14ac:dyDescent="0.2">
      <c r="D2836" s="58" t="str">
        <f>IFERROR(IF(F2836&lt;&gt;"pending","",IF(OR($B2836="",$B2836="(blank)"),"",VLOOKUP($B2836,'Email Marketing Raw Data'!$C:$O,10,0))),"")</f>
        <v/>
      </c>
      <c r="E2836" s="59" t="str">
        <f>IFERROR(IF(F2836&lt;&gt;"pending","",IF(OR($B2836="",$B2836="(blank)"),"",VLOOKUP($B2836,'Email Marketing Raw Data'!$C:$O,11,0))),"")</f>
        <v/>
      </c>
      <c r="F2836" s="54" t="str">
        <f>IFERROR(IF(OR($B2836="",$B2836="(blank)"),"",VLOOKUP($B2836,'Email Marketing Raw Data'!$C:$O,13,0)),"")</f>
        <v/>
      </c>
      <c r="G2836" s="55" t="str">
        <f>IFERROR(IF(OR($B2836="",$B2836="(blank)"),"",VLOOKUP($B2836,'Email Marketing Raw Data'!$C:$O,4,0)),"")</f>
        <v/>
      </c>
      <c r="H2836" s="55" t="str">
        <f>IFERROR(IF(OR($B2836="",$B2836="(blank)"),"",VLOOKUP($B2836,'Email Marketing Raw Data'!$C:$O,5,0)),"")</f>
        <v/>
      </c>
      <c r="I2836" s="55" t="str">
        <f>IFERROR(IF($G2836="","",VLOOKUP('Dashboard And Emails Automate'!$G2836,Database!$H:$N,3,0)),"")</f>
        <v/>
      </c>
      <c r="J2836" s="55" t="str">
        <f>IFERROR(IF($G2836="","",VLOOKUP('Dashboard And Emails Automate'!$G2836,Database!$H:$N,4,0)),"")</f>
        <v/>
      </c>
      <c r="K2836" s="55" t="str">
        <f>IFERROR(IF($G2836="","",VLOOKUP('Dashboard And Emails Automate'!$G2836,Database!$H:$N,5,0)),"")</f>
        <v/>
      </c>
      <c r="L2836" s="55" t="str">
        <f>IFERROR(IF($G2836="","",VLOOKUP('Dashboard And Emails Automate'!$G2836,Database!$H:$N,6,0)),"")</f>
        <v/>
      </c>
      <c r="M2836" s="55" t="str">
        <f>IFERROR(IF($G2836="","",VLOOKUP('Dashboard And Emails Automate'!$G2836,Database!$H:$N,7,0)),"")</f>
        <v/>
      </c>
      <c r="N2836" s="55" t="str">
        <f>IFERROR(IF(OR($B2836="",$B2836="(blank)"),"",VLOOKUP($B2836,'Email Marketing Raw Data'!$C:$O,6,0)),"")</f>
        <v/>
      </c>
      <c r="O2836" s="55" t="str">
        <f>IFERROR(IF(OR($B2836="",$B2836="(blank)"),"",VLOOKUP($B2836,'Email Marketing Raw Data'!$C:$O,7,0)),"")</f>
        <v/>
      </c>
      <c r="P2836" s="55" t="str">
        <f>IFERROR(IF(OR($B2836="",$B2836="(blank)"),"",VLOOKUP($B2836,'Email Marketing Raw Data'!$C:$O,8,0)),"")</f>
        <v/>
      </c>
      <c r="Q2836" s="62" t="str">
        <f>IFERROR(IF(OR($B2836="",$B2836="(blank)"),"",VLOOKUP($B2836,'Email Marketing Raw Data'!$C:$O,9,0)),"")</f>
        <v/>
      </c>
    </row>
    <row r="2837" spans="4:17" ht="12.75" customHeight="1" x14ac:dyDescent="0.2">
      <c r="D2837" s="58" t="str">
        <f>IFERROR(IF(F2837&lt;&gt;"pending","",IF(OR($B2837="",$B2837="(blank)"),"",VLOOKUP($B2837,'Email Marketing Raw Data'!$C:$O,10,0))),"")</f>
        <v/>
      </c>
      <c r="E2837" s="59" t="str">
        <f>IFERROR(IF(F2837&lt;&gt;"pending","",IF(OR($B2837="",$B2837="(blank)"),"",VLOOKUP($B2837,'Email Marketing Raw Data'!$C:$O,11,0))),"")</f>
        <v/>
      </c>
      <c r="F2837" s="54" t="str">
        <f>IFERROR(IF(OR($B2837="",$B2837="(blank)"),"",VLOOKUP($B2837,'Email Marketing Raw Data'!$C:$O,13,0)),"")</f>
        <v/>
      </c>
      <c r="G2837" s="55" t="str">
        <f>IFERROR(IF(OR($B2837="",$B2837="(blank)"),"",VLOOKUP($B2837,'Email Marketing Raw Data'!$C:$O,4,0)),"")</f>
        <v/>
      </c>
      <c r="H2837" s="55" t="str">
        <f>IFERROR(IF(OR($B2837="",$B2837="(blank)"),"",VLOOKUP($B2837,'Email Marketing Raw Data'!$C:$O,5,0)),"")</f>
        <v/>
      </c>
      <c r="I2837" s="55" t="str">
        <f>IFERROR(IF($G2837="","",VLOOKUP('Dashboard And Emails Automate'!$G2837,Database!$H:$N,3,0)),"")</f>
        <v/>
      </c>
      <c r="J2837" s="55" t="str">
        <f>IFERROR(IF($G2837="","",VLOOKUP('Dashboard And Emails Automate'!$G2837,Database!$H:$N,4,0)),"")</f>
        <v/>
      </c>
      <c r="K2837" s="55" t="str">
        <f>IFERROR(IF($G2837="","",VLOOKUP('Dashboard And Emails Automate'!$G2837,Database!$H:$N,5,0)),"")</f>
        <v/>
      </c>
      <c r="L2837" s="55" t="str">
        <f>IFERROR(IF($G2837="","",VLOOKUP('Dashboard And Emails Automate'!$G2837,Database!$H:$N,6,0)),"")</f>
        <v/>
      </c>
      <c r="M2837" s="55" t="str">
        <f>IFERROR(IF($G2837="","",VLOOKUP('Dashboard And Emails Automate'!$G2837,Database!$H:$N,7,0)),"")</f>
        <v/>
      </c>
      <c r="N2837" s="55" t="str">
        <f>IFERROR(IF(OR($B2837="",$B2837="(blank)"),"",VLOOKUP($B2837,'Email Marketing Raw Data'!$C:$O,6,0)),"")</f>
        <v/>
      </c>
      <c r="O2837" s="55" t="str">
        <f>IFERROR(IF(OR($B2837="",$B2837="(blank)"),"",VLOOKUP($B2837,'Email Marketing Raw Data'!$C:$O,7,0)),"")</f>
        <v/>
      </c>
      <c r="P2837" s="55" t="str">
        <f>IFERROR(IF(OR($B2837="",$B2837="(blank)"),"",VLOOKUP($B2837,'Email Marketing Raw Data'!$C:$O,8,0)),"")</f>
        <v/>
      </c>
      <c r="Q2837" s="62" t="str">
        <f>IFERROR(IF(OR($B2837="",$B2837="(blank)"),"",VLOOKUP($B2837,'Email Marketing Raw Data'!$C:$O,9,0)),"")</f>
        <v/>
      </c>
    </row>
    <row r="2838" spans="4:17" ht="12.75" customHeight="1" x14ac:dyDescent="0.2">
      <c r="D2838" s="58" t="str">
        <f>IFERROR(IF(F2838&lt;&gt;"pending","",IF(OR($B2838="",$B2838="(blank)"),"",VLOOKUP($B2838,'Email Marketing Raw Data'!$C:$O,10,0))),"")</f>
        <v/>
      </c>
      <c r="E2838" s="59" t="str">
        <f>IFERROR(IF(F2838&lt;&gt;"pending","",IF(OR($B2838="",$B2838="(blank)"),"",VLOOKUP($B2838,'Email Marketing Raw Data'!$C:$O,11,0))),"")</f>
        <v/>
      </c>
      <c r="F2838" s="54" t="str">
        <f>IFERROR(IF(OR($B2838="",$B2838="(blank)"),"",VLOOKUP($B2838,'Email Marketing Raw Data'!$C:$O,13,0)),"")</f>
        <v/>
      </c>
      <c r="G2838" s="55" t="str">
        <f>IFERROR(IF(OR($B2838="",$B2838="(blank)"),"",VLOOKUP($B2838,'Email Marketing Raw Data'!$C:$O,4,0)),"")</f>
        <v/>
      </c>
      <c r="H2838" s="55" t="str">
        <f>IFERROR(IF(OR($B2838="",$B2838="(blank)"),"",VLOOKUP($B2838,'Email Marketing Raw Data'!$C:$O,5,0)),"")</f>
        <v/>
      </c>
      <c r="I2838" s="55" t="str">
        <f>IFERROR(IF($G2838="","",VLOOKUP('Dashboard And Emails Automate'!$G2838,Database!$H:$N,3,0)),"")</f>
        <v/>
      </c>
      <c r="J2838" s="55" t="str">
        <f>IFERROR(IF($G2838="","",VLOOKUP('Dashboard And Emails Automate'!$G2838,Database!$H:$N,4,0)),"")</f>
        <v/>
      </c>
      <c r="K2838" s="55" t="str">
        <f>IFERROR(IF($G2838="","",VLOOKUP('Dashboard And Emails Automate'!$G2838,Database!$H:$N,5,0)),"")</f>
        <v/>
      </c>
      <c r="L2838" s="55" t="str">
        <f>IFERROR(IF($G2838="","",VLOOKUP('Dashboard And Emails Automate'!$G2838,Database!$H:$N,6,0)),"")</f>
        <v/>
      </c>
      <c r="M2838" s="55" t="str">
        <f>IFERROR(IF($G2838="","",VLOOKUP('Dashboard And Emails Automate'!$G2838,Database!$H:$N,7,0)),"")</f>
        <v/>
      </c>
      <c r="N2838" s="55" t="str">
        <f>IFERROR(IF(OR($B2838="",$B2838="(blank)"),"",VLOOKUP($B2838,'Email Marketing Raw Data'!$C:$O,6,0)),"")</f>
        <v/>
      </c>
      <c r="O2838" s="55" t="str">
        <f>IFERROR(IF(OR($B2838="",$B2838="(blank)"),"",VLOOKUP($B2838,'Email Marketing Raw Data'!$C:$O,7,0)),"")</f>
        <v/>
      </c>
      <c r="P2838" s="55" t="str">
        <f>IFERROR(IF(OR($B2838="",$B2838="(blank)"),"",VLOOKUP($B2838,'Email Marketing Raw Data'!$C:$O,8,0)),"")</f>
        <v/>
      </c>
      <c r="Q2838" s="62" t="str">
        <f>IFERROR(IF(OR($B2838="",$B2838="(blank)"),"",VLOOKUP($B2838,'Email Marketing Raw Data'!$C:$O,9,0)),"")</f>
        <v/>
      </c>
    </row>
    <row r="2839" spans="4:17" ht="12.75" customHeight="1" x14ac:dyDescent="0.2">
      <c r="D2839" s="58" t="str">
        <f>IFERROR(IF(F2839&lt;&gt;"pending","",IF(OR($B2839="",$B2839="(blank)"),"",VLOOKUP($B2839,'Email Marketing Raw Data'!$C:$O,10,0))),"")</f>
        <v/>
      </c>
      <c r="E2839" s="59" t="str">
        <f>IFERROR(IF(F2839&lt;&gt;"pending","",IF(OR($B2839="",$B2839="(blank)"),"",VLOOKUP($B2839,'Email Marketing Raw Data'!$C:$O,11,0))),"")</f>
        <v/>
      </c>
      <c r="F2839" s="54" t="str">
        <f>IFERROR(IF(OR($B2839="",$B2839="(blank)"),"",VLOOKUP($B2839,'Email Marketing Raw Data'!$C:$O,13,0)),"")</f>
        <v/>
      </c>
      <c r="G2839" s="55" t="str">
        <f>IFERROR(IF(OR($B2839="",$B2839="(blank)"),"",VLOOKUP($B2839,'Email Marketing Raw Data'!$C:$O,4,0)),"")</f>
        <v/>
      </c>
      <c r="H2839" s="55" t="str">
        <f>IFERROR(IF(OR($B2839="",$B2839="(blank)"),"",VLOOKUP($B2839,'Email Marketing Raw Data'!$C:$O,5,0)),"")</f>
        <v/>
      </c>
      <c r="I2839" s="55" t="str">
        <f>IFERROR(IF($G2839="","",VLOOKUP('Dashboard And Emails Automate'!$G2839,Database!$H:$N,3,0)),"")</f>
        <v/>
      </c>
      <c r="J2839" s="55" t="str">
        <f>IFERROR(IF($G2839="","",VLOOKUP('Dashboard And Emails Automate'!$G2839,Database!$H:$N,4,0)),"")</f>
        <v/>
      </c>
      <c r="K2839" s="55" t="str">
        <f>IFERROR(IF($G2839="","",VLOOKUP('Dashboard And Emails Automate'!$G2839,Database!$H:$N,5,0)),"")</f>
        <v/>
      </c>
      <c r="L2839" s="55" t="str">
        <f>IFERROR(IF($G2839="","",VLOOKUP('Dashboard And Emails Automate'!$G2839,Database!$H:$N,6,0)),"")</f>
        <v/>
      </c>
      <c r="M2839" s="55" t="str">
        <f>IFERROR(IF($G2839="","",VLOOKUP('Dashboard And Emails Automate'!$G2839,Database!$H:$N,7,0)),"")</f>
        <v/>
      </c>
      <c r="N2839" s="55" t="str">
        <f>IFERROR(IF(OR($B2839="",$B2839="(blank)"),"",VLOOKUP($B2839,'Email Marketing Raw Data'!$C:$O,6,0)),"")</f>
        <v/>
      </c>
      <c r="O2839" s="55" t="str">
        <f>IFERROR(IF(OR($B2839="",$B2839="(blank)"),"",VLOOKUP($B2839,'Email Marketing Raw Data'!$C:$O,7,0)),"")</f>
        <v/>
      </c>
      <c r="P2839" s="55" t="str">
        <f>IFERROR(IF(OR($B2839="",$B2839="(blank)"),"",VLOOKUP($B2839,'Email Marketing Raw Data'!$C:$O,8,0)),"")</f>
        <v/>
      </c>
      <c r="Q2839" s="62" t="str">
        <f>IFERROR(IF(OR($B2839="",$B2839="(blank)"),"",VLOOKUP($B2839,'Email Marketing Raw Data'!$C:$O,9,0)),"")</f>
        <v/>
      </c>
    </row>
    <row r="2840" spans="4:17" ht="12.75" customHeight="1" x14ac:dyDescent="0.2">
      <c r="D2840" s="58" t="str">
        <f>IFERROR(IF(F2840&lt;&gt;"pending","",IF(OR($B2840="",$B2840="(blank)"),"",VLOOKUP($B2840,'Email Marketing Raw Data'!$C:$O,10,0))),"")</f>
        <v/>
      </c>
      <c r="E2840" s="59" t="str">
        <f>IFERROR(IF(F2840&lt;&gt;"pending","",IF(OR($B2840="",$B2840="(blank)"),"",VLOOKUP($B2840,'Email Marketing Raw Data'!$C:$O,11,0))),"")</f>
        <v/>
      </c>
      <c r="F2840" s="54" t="str">
        <f>IFERROR(IF(OR($B2840="",$B2840="(blank)"),"",VLOOKUP($B2840,'Email Marketing Raw Data'!$C:$O,13,0)),"")</f>
        <v/>
      </c>
      <c r="G2840" s="55" t="str">
        <f>IFERROR(IF(OR($B2840="",$B2840="(blank)"),"",VLOOKUP($B2840,'Email Marketing Raw Data'!$C:$O,4,0)),"")</f>
        <v/>
      </c>
      <c r="H2840" s="55" t="str">
        <f>IFERROR(IF(OR($B2840="",$B2840="(blank)"),"",VLOOKUP($B2840,'Email Marketing Raw Data'!$C:$O,5,0)),"")</f>
        <v/>
      </c>
      <c r="I2840" s="55" t="str">
        <f>IFERROR(IF($G2840="","",VLOOKUP('Dashboard And Emails Automate'!$G2840,Database!$H:$N,3,0)),"")</f>
        <v/>
      </c>
      <c r="J2840" s="55" t="str">
        <f>IFERROR(IF($G2840="","",VLOOKUP('Dashboard And Emails Automate'!$G2840,Database!$H:$N,4,0)),"")</f>
        <v/>
      </c>
      <c r="K2840" s="55" t="str">
        <f>IFERROR(IF($G2840="","",VLOOKUP('Dashboard And Emails Automate'!$G2840,Database!$H:$N,5,0)),"")</f>
        <v/>
      </c>
      <c r="L2840" s="55" t="str">
        <f>IFERROR(IF($G2840="","",VLOOKUP('Dashboard And Emails Automate'!$G2840,Database!$H:$N,6,0)),"")</f>
        <v/>
      </c>
      <c r="M2840" s="55" t="str">
        <f>IFERROR(IF($G2840="","",VLOOKUP('Dashboard And Emails Automate'!$G2840,Database!$H:$N,7,0)),"")</f>
        <v/>
      </c>
      <c r="N2840" s="55" t="str">
        <f>IFERROR(IF(OR($B2840="",$B2840="(blank)"),"",VLOOKUP($B2840,'Email Marketing Raw Data'!$C:$O,6,0)),"")</f>
        <v/>
      </c>
      <c r="O2840" s="55" t="str">
        <f>IFERROR(IF(OR($B2840="",$B2840="(blank)"),"",VLOOKUP($B2840,'Email Marketing Raw Data'!$C:$O,7,0)),"")</f>
        <v/>
      </c>
      <c r="P2840" s="55" t="str">
        <f>IFERROR(IF(OR($B2840="",$B2840="(blank)"),"",VLOOKUP($B2840,'Email Marketing Raw Data'!$C:$O,8,0)),"")</f>
        <v/>
      </c>
      <c r="Q2840" s="62" t="str">
        <f>IFERROR(IF(OR($B2840="",$B2840="(blank)"),"",VLOOKUP($B2840,'Email Marketing Raw Data'!$C:$O,9,0)),"")</f>
        <v/>
      </c>
    </row>
    <row r="2841" spans="4:17" ht="12.75" customHeight="1" x14ac:dyDescent="0.2">
      <c r="D2841" s="58" t="str">
        <f>IFERROR(IF(F2841&lt;&gt;"pending","",IF(OR($B2841="",$B2841="(blank)"),"",VLOOKUP($B2841,'Email Marketing Raw Data'!$C:$O,10,0))),"")</f>
        <v/>
      </c>
      <c r="E2841" s="59" t="str">
        <f>IFERROR(IF(F2841&lt;&gt;"pending","",IF(OR($B2841="",$B2841="(blank)"),"",VLOOKUP($B2841,'Email Marketing Raw Data'!$C:$O,11,0))),"")</f>
        <v/>
      </c>
      <c r="F2841" s="54" t="str">
        <f>IFERROR(IF(OR($B2841="",$B2841="(blank)"),"",VLOOKUP($B2841,'Email Marketing Raw Data'!$C:$O,13,0)),"")</f>
        <v/>
      </c>
      <c r="G2841" s="55" t="str">
        <f>IFERROR(IF(OR($B2841="",$B2841="(blank)"),"",VLOOKUP($B2841,'Email Marketing Raw Data'!$C:$O,4,0)),"")</f>
        <v/>
      </c>
      <c r="H2841" s="55" t="str">
        <f>IFERROR(IF(OR($B2841="",$B2841="(blank)"),"",VLOOKUP($B2841,'Email Marketing Raw Data'!$C:$O,5,0)),"")</f>
        <v/>
      </c>
      <c r="I2841" s="55" t="str">
        <f>IFERROR(IF($G2841="","",VLOOKUP('Dashboard And Emails Automate'!$G2841,Database!$H:$N,3,0)),"")</f>
        <v/>
      </c>
      <c r="J2841" s="55" t="str">
        <f>IFERROR(IF($G2841="","",VLOOKUP('Dashboard And Emails Automate'!$G2841,Database!$H:$N,4,0)),"")</f>
        <v/>
      </c>
      <c r="K2841" s="55" t="str">
        <f>IFERROR(IF($G2841="","",VLOOKUP('Dashboard And Emails Automate'!$G2841,Database!$H:$N,5,0)),"")</f>
        <v/>
      </c>
      <c r="L2841" s="55" t="str">
        <f>IFERROR(IF($G2841="","",VLOOKUP('Dashboard And Emails Automate'!$G2841,Database!$H:$N,6,0)),"")</f>
        <v/>
      </c>
      <c r="M2841" s="55" t="str">
        <f>IFERROR(IF($G2841="","",VLOOKUP('Dashboard And Emails Automate'!$G2841,Database!$H:$N,7,0)),"")</f>
        <v/>
      </c>
      <c r="N2841" s="55" t="str">
        <f>IFERROR(IF(OR($B2841="",$B2841="(blank)"),"",VLOOKUP($B2841,'Email Marketing Raw Data'!$C:$O,6,0)),"")</f>
        <v/>
      </c>
      <c r="O2841" s="55" t="str">
        <f>IFERROR(IF(OR($B2841="",$B2841="(blank)"),"",VLOOKUP($B2841,'Email Marketing Raw Data'!$C:$O,7,0)),"")</f>
        <v/>
      </c>
      <c r="P2841" s="55" t="str">
        <f>IFERROR(IF(OR($B2841="",$B2841="(blank)"),"",VLOOKUP($B2841,'Email Marketing Raw Data'!$C:$O,8,0)),"")</f>
        <v/>
      </c>
      <c r="Q2841" s="62" t="str">
        <f>IFERROR(IF(OR($B2841="",$B2841="(blank)"),"",VLOOKUP($B2841,'Email Marketing Raw Data'!$C:$O,9,0)),"")</f>
        <v/>
      </c>
    </row>
    <row r="2842" spans="4:17" ht="12.75" customHeight="1" x14ac:dyDescent="0.2">
      <c r="D2842" s="58" t="str">
        <f>IFERROR(IF(F2842&lt;&gt;"pending","",IF(OR($B2842="",$B2842="(blank)"),"",VLOOKUP($B2842,'Email Marketing Raw Data'!$C:$O,10,0))),"")</f>
        <v/>
      </c>
      <c r="E2842" s="59" t="str">
        <f>IFERROR(IF(F2842&lt;&gt;"pending","",IF(OR($B2842="",$B2842="(blank)"),"",VLOOKUP($B2842,'Email Marketing Raw Data'!$C:$O,11,0))),"")</f>
        <v/>
      </c>
      <c r="F2842" s="54" t="str">
        <f>IFERROR(IF(OR($B2842="",$B2842="(blank)"),"",VLOOKUP($B2842,'Email Marketing Raw Data'!$C:$O,13,0)),"")</f>
        <v/>
      </c>
      <c r="G2842" s="55" t="str">
        <f>IFERROR(IF(OR($B2842="",$B2842="(blank)"),"",VLOOKUP($B2842,'Email Marketing Raw Data'!$C:$O,4,0)),"")</f>
        <v/>
      </c>
      <c r="H2842" s="55" t="str">
        <f>IFERROR(IF(OR($B2842="",$B2842="(blank)"),"",VLOOKUP($B2842,'Email Marketing Raw Data'!$C:$O,5,0)),"")</f>
        <v/>
      </c>
      <c r="I2842" s="55" t="str">
        <f>IFERROR(IF($G2842="","",VLOOKUP('Dashboard And Emails Automate'!$G2842,Database!$H:$N,3,0)),"")</f>
        <v/>
      </c>
      <c r="J2842" s="55" t="str">
        <f>IFERROR(IF($G2842="","",VLOOKUP('Dashboard And Emails Automate'!$G2842,Database!$H:$N,4,0)),"")</f>
        <v/>
      </c>
      <c r="K2842" s="55" t="str">
        <f>IFERROR(IF($G2842="","",VLOOKUP('Dashboard And Emails Automate'!$G2842,Database!$H:$N,5,0)),"")</f>
        <v/>
      </c>
      <c r="L2842" s="55" t="str">
        <f>IFERROR(IF($G2842="","",VLOOKUP('Dashboard And Emails Automate'!$G2842,Database!$H:$N,6,0)),"")</f>
        <v/>
      </c>
      <c r="M2842" s="55" t="str">
        <f>IFERROR(IF($G2842="","",VLOOKUP('Dashboard And Emails Automate'!$G2842,Database!$H:$N,7,0)),"")</f>
        <v/>
      </c>
      <c r="N2842" s="55" t="str">
        <f>IFERROR(IF(OR($B2842="",$B2842="(blank)"),"",VLOOKUP($B2842,'Email Marketing Raw Data'!$C:$O,6,0)),"")</f>
        <v/>
      </c>
      <c r="O2842" s="55" t="str">
        <f>IFERROR(IF(OR($B2842="",$B2842="(blank)"),"",VLOOKUP($B2842,'Email Marketing Raw Data'!$C:$O,7,0)),"")</f>
        <v/>
      </c>
      <c r="P2842" s="55" t="str">
        <f>IFERROR(IF(OR($B2842="",$B2842="(blank)"),"",VLOOKUP($B2842,'Email Marketing Raw Data'!$C:$O,8,0)),"")</f>
        <v/>
      </c>
      <c r="Q2842" s="62" t="str">
        <f>IFERROR(IF(OR($B2842="",$B2842="(blank)"),"",VLOOKUP($B2842,'Email Marketing Raw Data'!$C:$O,9,0)),"")</f>
        <v/>
      </c>
    </row>
    <row r="2843" spans="4:17" ht="12.75" customHeight="1" x14ac:dyDescent="0.2">
      <c r="D2843" s="58" t="str">
        <f>IFERROR(IF(F2843&lt;&gt;"pending","",IF(OR($B2843="",$B2843="(blank)"),"",VLOOKUP($B2843,'Email Marketing Raw Data'!$C:$O,10,0))),"")</f>
        <v/>
      </c>
      <c r="E2843" s="59" t="str">
        <f>IFERROR(IF(F2843&lt;&gt;"pending","",IF(OR($B2843="",$B2843="(blank)"),"",VLOOKUP($B2843,'Email Marketing Raw Data'!$C:$O,11,0))),"")</f>
        <v/>
      </c>
      <c r="F2843" s="54" t="str">
        <f>IFERROR(IF(OR($B2843="",$B2843="(blank)"),"",VLOOKUP($B2843,'Email Marketing Raw Data'!$C:$O,13,0)),"")</f>
        <v/>
      </c>
      <c r="G2843" s="55" t="str">
        <f>IFERROR(IF(OR($B2843="",$B2843="(blank)"),"",VLOOKUP($B2843,'Email Marketing Raw Data'!$C:$O,4,0)),"")</f>
        <v/>
      </c>
      <c r="H2843" s="55" t="str">
        <f>IFERROR(IF(OR($B2843="",$B2843="(blank)"),"",VLOOKUP($B2843,'Email Marketing Raw Data'!$C:$O,5,0)),"")</f>
        <v/>
      </c>
      <c r="I2843" s="55" t="str">
        <f>IFERROR(IF($G2843="","",VLOOKUP('Dashboard And Emails Automate'!$G2843,Database!$H:$N,3,0)),"")</f>
        <v/>
      </c>
      <c r="J2843" s="55" t="str">
        <f>IFERROR(IF($G2843="","",VLOOKUP('Dashboard And Emails Automate'!$G2843,Database!$H:$N,4,0)),"")</f>
        <v/>
      </c>
      <c r="K2843" s="55" t="str">
        <f>IFERROR(IF($G2843="","",VLOOKUP('Dashboard And Emails Automate'!$G2843,Database!$H:$N,5,0)),"")</f>
        <v/>
      </c>
      <c r="L2843" s="55" t="str">
        <f>IFERROR(IF($G2843="","",VLOOKUP('Dashboard And Emails Automate'!$G2843,Database!$H:$N,6,0)),"")</f>
        <v/>
      </c>
      <c r="M2843" s="55" t="str">
        <f>IFERROR(IF($G2843="","",VLOOKUP('Dashboard And Emails Automate'!$G2843,Database!$H:$N,7,0)),"")</f>
        <v/>
      </c>
      <c r="N2843" s="55" t="str">
        <f>IFERROR(IF(OR($B2843="",$B2843="(blank)"),"",VLOOKUP($B2843,'Email Marketing Raw Data'!$C:$O,6,0)),"")</f>
        <v/>
      </c>
      <c r="O2843" s="55" t="str">
        <f>IFERROR(IF(OR($B2843="",$B2843="(blank)"),"",VLOOKUP($B2843,'Email Marketing Raw Data'!$C:$O,7,0)),"")</f>
        <v/>
      </c>
      <c r="P2843" s="55" t="str">
        <f>IFERROR(IF(OR($B2843="",$B2843="(blank)"),"",VLOOKUP($B2843,'Email Marketing Raw Data'!$C:$O,8,0)),"")</f>
        <v/>
      </c>
      <c r="Q2843" s="62" t="str">
        <f>IFERROR(IF(OR($B2843="",$B2843="(blank)"),"",VLOOKUP($B2843,'Email Marketing Raw Data'!$C:$O,9,0)),"")</f>
        <v/>
      </c>
    </row>
    <row r="2844" spans="4:17" ht="12.75" customHeight="1" x14ac:dyDescent="0.2">
      <c r="D2844" s="58" t="str">
        <f>IFERROR(IF(F2844&lt;&gt;"pending","",IF(OR($B2844="",$B2844="(blank)"),"",VLOOKUP($B2844,'Email Marketing Raw Data'!$C:$O,10,0))),"")</f>
        <v/>
      </c>
      <c r="E2844" s="59" t="str">
        <f>IFERROR(IF(F2844&lt;&gt;"pending","",IF(OR($B2844="",$B2844="(blank)"),"",VLOOKUP($B2844,'Email Marketing Raw Data'!$C:$O,11,0))),"")</f>
        <v/>
      </c>
      <c r="F2844" s="54" t="str">
        <f>IFERROR(IF(OR($B2844="",$B2844="(blank)"),"",VLOOKUP($B2844,'Email Marketing Raw Data'!$C:$O,13,0)),"")</f>
        <v/>
      </c>
      <c r="G2844" s="55" t="str">
        <f>IFERROR(IF(OR($B2844="",$B2844="(blank)"),"",VLOOKUP($B2844,'Email Marketing Raw Data'!$C:$O,4,0)),"")</f>
        <v/>
      </c>
      <c r="H2844" s="55" t="str">
        <f>IFERROR(IF(OR($B2844="",$B2844="(blank)"),"",VLOOKUP($B2844,'Email Marketing Raw Data'!$C:$O,5,0)),"")</f>
        <v/>
      </c>
      <c r="I2844" s="55" t="str">
        <f>IFERROR(IF($G2844="","",VLOOKUP('Dashboard And Emails Automate'!$G2844,Database!$H:$N,3,0)),"")</f>
        <v/>
      </c>
      <c r="J2844" s="55" t="str">
        <f>IFERROR(IF($G2844="","",VLOOKUP('Dashboard And Emails Automate'!$G2844,Database!$H:$N,4,0)),"")</f>
        <v/>
      </c>
      <c r="K2844" s="55" t="str">
        <f>IFERROR(IF($G2844="","",VLOOKUP('Dashboard And Emails Automate'!$G2844,Database!$H:$N,5,0)),"")</f>
        <v/>
      </c>
      <c r="L2844" s="55" t="str">
        <f>IFERROR(IF($G2844="","",VLOOKUP('Dashboard And Emails Automate'!$G2844,Database!$H:$N,6,0)),"")</f>
        <v/>
      </c>
      <c r="M2844" s="55" t="str">
        <f>IFERROR(IF($G2844="","",VLOOKUP('Dashboard And Emails Automate'!$G2844,Database!$H:$N,7,0)),"")</f>
        <v/>
      </c>
      <c r="N2844" s="55" t="str">
        <f>IFERROR(IF(OR($B2844="",$B2844="(blank)"),"",VLOOKUP($B2844,'Email Marketing Raw Data'!$C:$O,6,0)),"")</f>
        <v/>
      </c>
      <c r="O2844" s="55" t="str">
        <f>IFERROR(IF(OR($B2844="",$B2844="(blank)"),"",VLOOKUP($B2844,'Email Marketing Raw Data'!$C:$O,7,0)),"")</f>
        <v/>
      </c>
      <c r="P2844" s="55" t="str">
        <f>IFERROR(IF(OR($B2844="",$B2844="(blank)"),"",VLOOKUP($B2844,'Email Marketing Raw Data'!$C:$O,8,0)),"")</f>
        <v/>
      </c>
      <c r="Q2844" s="62" t="str">
        <f>IFERROR(IF(OR($B2844="",$B2844="(blank)"),"",VLOOKUP($B2844,'Email Marketing Raw Data'!$C:$O,9,0)),"")</f>
        <v/>
      </c>
    </row>
    <row r="2845" spans="4:17" ht="12.75" customHeight="1" x14ac:dyDescent="0.2">
      <c r="D2845" s="58" t="str">
        <f>IFERROR(IF(F2845&lt;&gt;"pending","",IF(OR($B2845="",$B2845="(blank)"),"",VLOOKUP($B2845,'Email Marketing Raw Data'!$C:$O,10,0))),"")</f>
        <v/>
      </c>
      <c r="E2845" s="59" t="str">
        <f>IFERROR(IF(F2845&lt;&gt;"pending","",IF(OR($B2845="",$B2845="(blank)"),"",VLOOKUP($B2845,'Email Marketing Raw Data'!$C:$O,11,0))),"")</f>
        <v/>
      </c>
      <c r="F2845" s="54" t="str">
        <f>IFERROR(IF(OR($B2845="",$B2845="(blank)"),"",VLOOKUP($B2845,'Email Marketing Raw Data'!$C:$O,13,0)),"")</f>
        <v/>
      </c>
      <c r="G2845" s="55" t="str">
        <f>IFERROR(IF(OR($B2845="",$B2845="(blank)"),"",VLOOKUP($B2845,'Email Marketing Raw Data'!$C:$O,4,0)),"")</f>
        <v/>
      </c>
      <c r="H2845" s="55" t="str">
        <f>IFERROR(IF(OR($B2845="",$B2845="(blank)"),"",VLOOKUP($B2845,'Email Marketing Raw Data'!$C:$O,5,0)),"")</f>
        <v/>
      </c>
      <c r="I2845" s="55" t="str">
        <f>IFERROR(IF($G2845="","",VLOOKUP('Dashboard And Emails Automate'!$G2845,Database!$H:$N,3,0)),"")</f>
        <v/>
      </c>
      <c r="J2845" s="55" t="str">
        <f>IFERROR(IF($G2845="","",VLOOKUP('Dashboard And Emails Automate'!$G2845,Database!$H:$N,4,0)),"")</f>
        <v/>
      </c>
      <c r="K2845" s="55" t="str">
        <f>IFERROR(IF($G2845="","",VLOOKUP('Dashboard And Emails Automate'!$G2845,Database!$H:$N,5,0)),"")</f>
        <v/>
      </c>
      <c r="L2845" s="55" t="str">
        <f>IFERROR(IF($G2845="","",VLOOKUP('Dashboard And Emails Automate'!$G2845,Database!$H:$N,6,0)),"")</f>
        <v/>
      </c>
      <c r="M2845" s="55" t="str">
        <f>IFERROR(IF($G2845="","",VLOOKUP('Dashboard And Emails Automate'!$G2845,Database!$H:$N,7,0)),"")</f>
        <v/>
      </c>
      <c r="N2845" s="55" t="str">
        <f>IFERROR(IF(OR($B2845="",$B2845="(blank)"),"",VLOOKUP($B2845,'Email Marketing Raw Data'!$C:$O,6,0)),"")</f>
        <v/>
      </c>
      <c r="O2845" s="55" t="str">
        <f>IFERROR(IF(OR($B2845="",$B2845="(blank)"),"",VLOOKUP($B2845,'Email Marketing Raw Data'!$C:$O,7,0)),"")</f>
        <v/>
      </c>
      <c r="P2845" s="55" t="str">
        <f>IFERROR(IF(OR($B2845="",$B2845="(blank)"),"",VLOOKUP($B2845,'Email Marketing Raw Data'!$C:$O,8,0)),"")</f>
        <v/>
      </c>
      <c r="Q2845" s="62" t="str">
        <f>IFERROR(IF(OR($B2845="",$B2845="(blank)"),"",VLOOKUP($B2845,'Email Marketing Raw Data'!$C:$O,9,0)),"")</f>
        <v/>
      </c>
    </row>
    <row r="2846" spans="4:17" ht="12.75" customHeight="1" x14ac:dyDescent="0.2">
      <c r="D2846" s="58" t="str">
        <f>IFERROR(IF(F2846&lt;&gt;"pending","",IF(OR($B2846="",$B2846="(blank)"),"",VLOOKUP($B2846,'Email Marketing Raw Data'!$C:$O,10,0))),"")</f>
        <v/>
      </c>
      <c r="E2846" s="59" t="str">
        <f>IFERROR(IF(F2846&lt;&gt;"pending","",IF(OR($B2846="",$B2846="(blank)"),"",VLOOKUP($B2846,'Email Marketing Raw Data'!$C:$O,11,0))),"")</f>
        <v/>
      </c>
      <c r="F2846" s="54" t="str">
        <f>IFERROR(IF(OR($B2846="",$B2846="(blank)"),"",VLOOKUP($B2846,'Email Marketing Raw Data'!$C:$O,13,0)),"")</f>
        <v/>
      </c>
      <c r="G2846" s="55" t="str">
        <f>IFERROR(IF(OR($B2846="",$B2846="(blank)"),"",VLOOKUP($B2846,'Email Marketing Raw Data'!$C:$O,4,0)),"")</f>
        <v/>
      </c>
      <c r="H2846" s="55" t="str">
        <f>IFERROR(IF(OR($B2846="",$B2846="(blank)"),"",VLOOKUP($B2846,'Email Marketing Raw Data'!$C:$O,5,0)),"")</f>
        <v/>
      </c>
      <c r="I2846" s="55" t="str">
        <f>IFERROR(IF($G2846="","",VLOOKUP('Dashboard And Emails Automate'!$G2846,Database!$H:$N,3,0)),"")</f>
        <v/>
      </c>
      <c r="J2846" s="55" t="str">
        <f>IFERROR(IF($G2846="","",VLOOKUP('Dashboard And Emails Automate'!$G2846,Database!$H:$N,4,0)),"")</f>
        <v/>
      </c>
      <c r="K2846" s="55" t="str">
        <f>IFERROR(IF($G2846="","",VLOOKUP('Dashboard And Emails Automate'!$G2846,Database!$H:$N,5,0)),"")</f>
        <v/>
      </c>
      <c r="L2846" s="55" t="str">
        <f>IFERROR(IF($G2846="","",VLOOKUP('Dashboard And Emails Automate'!$G2846,Database!$H:$N,6,0)),"")</f>
        <v/>
      </c>
      <c r="M2846" s="55" t="str">
        <f>IFERROR(IF($G2846="","",VLOOKUP('Dashboard And Emails Automate'!$G2846,Database!$H:$N,7,0)),"")</f>
        <v/>
      </c>
      <c r="N2846" s="55" t="str">
        <f>IFERROR(IF(OR($B2846="",$B2846="(blank)"),"",VLOOKUP($B2846,'Email Marketing Raw Data'!$C:$O,6,0)),"")</f>
        <v/>
      </c>
      <c r="O2846" s="55" t="str">
        <f>IFERROR(IF(OR($B2846="",$B2846="(blank)"),"",VLOOKUP($B2846,'Email Marketing Raw Data'!$C:$O,7,0)),"")</f>
        <v/>
      </c>
      <c r="P2846" s="55" t="str">
        <f>IFERROR(IF(OR($B2846="",$B2846="(blank)"),"",VLOOKUP($B2846,'Email Marketing Raw Data'!$C:$O,8,0)),"")</f>
        <v/>
      </c>
      <c r="Q2846" s="62" t="str">
        <f>IFERROR(IF(OR($B2846="",$B2846="(blank)"),"",VLOOKUP($B2846,'Email Marketing Raw Data'!$C:$O,9,0)),"")</f>
        <v/>
      </c>
    </row>
    <row r="2847" spans="4:17" ht="12.75" customHeight="1" x14ac:dyDescent="0.2">
      <c r="D2847" s="58" t="str">
        <f>IFERROR(IF(F2847&lt;&gt;"pending","",IF(OR($B2847="",$B2847="(blank)"),"",VLOOKUP($B2847,'Email Marketing Raw Data'!$C:$O,10,0))),"")</f>
        <v/>
      </c>
      <c r="E2847" s="59" t="str">
        <f>IFERROR(IF(F2847&lt;&gt;"pending","",IF(OR($B2847="",$B2847="(blank)"),"",VLOOKUP($B2847,'Email Marketing Raw Data'!$C:$O,11,0))),"")</f>
        <v/>
      </c>
      <c r="F2847" s="54" t="str">
        <f>IFERROR(IF(OR($B2847="",$B2847="(blank)"),"",VLOOKUP($B2847,'Email Marketing Raw Data'!$C:$O,13,0)),"")</f>
        <v/>
      </c>
      <c r="G2847" s="55" t="str">
        <f>IFERROR(IF(OR($B2847="",$B2847="(blank)"),"",VLOOKUP($B2847,'Email Marketing Raw Data'!$C:$O,4,0)),"")</f>
        <v/>
      </c>
      <c r="H2847" s="55" t="str">
        <f>IFERROR(IF(OR($B2847="",$B2847="(blank)"),"",VLOOKUP($B2847,'Email Marketing Raw Data'!$C:$O,5,0)),"")</f>
        <v/>
      </c>
      <c r="I2847" s="55" t="str">
        <f>IFERROR(IF($G2847="","",VLOOKUP('Dashboard And Emails Automate'!$G2847,Database!$H:$N,3,0)),"")</f>
        <v/>
      </c>
      <c r="J2847" s="55" t="str">
        <f>IFERROR(IF($G2847="","",VLOOKUP('Dashboard And Emails Automate'!$G2847,Database!$H:$N,4,0)),"")</f>
        <v/>
      </c>
      <c r="K2847" s="55" t="str">
        <f>IFERROR(IF($G2847="","",VLOOKUP('Dashboard And Emails Automate'!$G2847,Database!$H:$N,5,0)),"")</f>
        <v/>
      </c>
      <c r="L2847" s="55" t="str">
        <f>IFERROR(IF($G2847="","",VLOOKUP('Dashboard And Emails Automate'!$G2847,Database!$H:$N,6,0)),"")</f>
        <v/>
      </c>
      <c r="M2847" s="55" t="str">
        <f>IFERROR(IF($G2847="","",VLOOKUP('Dashboard And Emails Automate'!$G2847,Database!$H:$N,7,0)),"")</f>
        <v/>
      </c>
      <c r="N2847" s="55" t="str">
        <f>IFERROR(IF(OR($B2847="",$B2847="(blank)"),"",VLOOKUP($B2847,'Email Marketing Raw Data'!$C:$O,6,0)),"")</f>
        <v/>
      </c>
      <c r="O2847" s="55" t="str">
        <f>IFERROR(IF(OR($B2847="",$B2847="(blank)"),"",VLOOKUP($B2847,'Email Marketing Raw Data'!$C:$O,7,0)),"")</f>
        <v/>
      </c>
      <c r="P2847" s="55" t="str">
        <f>IFERROR(IF(OR($B2847="",$B2847="(blank)"),"",VLOOKUP($B2847,'Email Marketing Raw Data'!$C:$O,8,0)),"")</f>
        <v/>
      </c>
      <c r="Q2847" s="62" t="str">
        <f>IFERROR(IF(OR($B2847="",$B2847="(blank)"),"",VLOOKUP($B2847,'Email Marketing Raw Data'!$C:$O,9,0)),"")</f>
        <v/>
      </c>
    </row>
    <row r="2848" spans="4:17" ht="12.75" customHeight="1" x14ac:dyDescent="0.2">
      <c r="D2848" s="58" t="str">
        <f>IFERROR(IF(F2848&lt;&gt;"pending","",IF(OR($B2848="",$B2848="(blank)"),"",VLOOKUP($B2848,'Email Marketing Raw Data'!$C:$O,10,0))),"")</f>
        <v/>
      </c>
      <c r="E2848" s="59" t="str">
        <f>IFERROR(IF(F2848&lt;&gt;"pending","",IF(OR($B2848="",$B2848="(blank)"),"",VLOOKUP($B2848,'Email Marketing Raw Data'!$C:$O,11,0))),"")</f>
        <v/>
      </c>
      <c r="F2848" s="54" t="str">
        <f>IFERROR(IF(OR($B2848="",$B2848="(blank)"),"",VLOOKUP($B2848,'Email Marketing Raw Data'!$C:$O,13,0)),"")</f>
        <v/>
      </c>
      <c r="G2848" s="55" t="str">
        <f>IFERROR(IF(OR($B2848="",$B2848="(blank)"),"",VLOOKUP($B2848,'Email Marketing Raw Data'!$C:$O,4,0)),"")</f>
        <v/>
      </c>
      <c r="H2848" s="55" t="str">
        <f>IFERROR(IF(OR($B2848="",$B2848="(blank)"),"",VLOOKUP($B2848,'Email Marketing Raw Data'!$C:$O,5,0)),"")</f>
        <v/>
      </c>
      <c r="I2848" s="55" t="str">
        <f>IFERROR(IF($G2848="","",VLOOKUP('Dashboard And Emails Automate'!$G2848,Database!$H:$N,3,0)),"")</f>
        <v/>
      </c>
      <c r="J2848" s="55" t="str">
        <f>IFERROR(IF($G2848="","",VLOOKUP('Dashboard And Emails Automate'!$G2848,Database!$H:$N,4,0)),"")</f>
        <v/>
      </c>
      <c r="K2848" s="55" t="str">
        <f>IFERROR(IF($G2848="","",VLOOKUP('Dashboard And Emails Automate'!$G2848,Database!$H:$N,5,0)),"")</f>
        <v/>
      </c>
      <c r="L2848" s="55" t="str">
        <f>IFERROR(IF($G2848="","",VLOOKUP('Dashboard And Emails Automate'!$G2848,Database!$H:$N,6,0)),"")</f>
        <v/>
      </c>
      <c r="M2848" s="55" t="str">
        <f>IFERROR(IF($G2848="","",VLOOKUP('Dashboard And Emails Automate'!$G2848,Database!$H:$N,7,0)),"")</f>
        <v/>
      </c>
      <c r="N2848" s="55" t="str">
        <f>IFERROR(IF(OR($B2848="",$B2848="(blank)"),"",VLOOKUP($B2848,'Email Marketing Raw Data'!$C:$O,6,0)),"")</f>
        <v/>
      </c>
      <c r="O2848" s="55" t="str">
        <f>IFERROR(IF(OR($B2848="",$B2848="(blank)"),"",VLOOKUP($B2848,'Email Marketing Raw Data'!$C:$O,7,0)),"")</f>
        <v/>
      </c>
      <c r="P2848" s="55" t="str">
        <f>IFERROR(IF(OR($B2848="",$B2848="(blank)"),"",VLOOKUP($B2848,'Email Marketing Raw Data'!$C:$O,8,0)),"")</f>
        <v/>
      </c>
      <c r="Q2848" s="62" t="str">
        <f>IFERROR(IF(OR($B2848="",$B2848="(blank)"),"",VLOOKUP($B2848,'Email Marketing Raw Data'!$C:$O,9,0)),"")</f>
        <v/>
      </c>
    </row>
    <row r="2849" spans="4:17" ht="12.75" customHeight="1" x14ac:dyDescent="0.2">
      <c r="D2849" s="58" t="str">
        <f>IFERROR(IF(F2849&lt;&gt;"pending","",IF(OR($B2849="",$B2849="(blank)"),"",VLOOKUP($B2849,'Email Marketing Raw Data'!$C:$O,10,0))),"")</f>
        <v/>
      </c>
      <c r="E2849" s="59" t="str">
        <f>IFERROR(IF(F2849&lt;&gt;"pending","",IF(OR($B2849="",$B2849="(blank)"),"",VLOOKUP($B2849,'Email Marketing Raw Data'!$C:$O,11,0))),"")</f>
        <v/>
      </c>
      <c r="F2849" s="54" t="str">
        <f>IFERROR(IF(OR($B2849="",$B2849="(blank)"),"",VLOOKUP($B2849,'Email Marketing Raw Data'!$C:$O,13,0)),"")</f>
        <v/>
      </c>
      <c r="G2849" s="55" t="str">
        <f>IFERROR(IF(OR($B2849="",$B2849="(blank)"),"",VLOOKUP($B2849,'Email Marketing Raw Data'!$C:$O,4,0)),"")</f>
        <v/>
      </c>
      <c r="H2849" s="55" t="str">
        <f>IFERROR(IF(OR($B2849="",$B2849="(blank)"),"",VLOOKUP($B2849,'Email Marketing Raw Data'!$C:$O,5,0)),"")</f>
        <v/>
      </c>
      <c r="I2849" s="55" t="str">
        <f>IFERROR(IF($G2849="","",VLOOKUP('Dashboard And Emails Automate'!$G2849,Database!$H:$N,3,0)),"")</f>
        <v/>
      </c>
      <c r="J2849" s="55" t="str">
        <f>IFERROR(IF($G2849="","",VLOOKUP('Dashboard And Emails Automate'!$G2849,Database!$H:$N,4,0)),"")</f>
        <v/>
      </c>
      <c r="K2849" s="55" t="str">
        <f>IFERROR(IF($G2849="","",VLOOKUP('Dashboard And Emails Automate'!$G2849,Database!$H:$N,5,0)),"")</f>
        <v/>
      </c>
      <c r="L2849" s="55" t="str">
        <f>IFERROR(IF($G2849="","",VLOOKUP('Dashboard And Emails Automate'!$G2849,Database!$H:$N,6,0)),"")</f>
        <v/>
      </c>
      <c r="M2849" s="55" t="str">
        <f>IFERROR(IF($G2849="","",VLOOKUP('Dashboard And Emails Automate'!$G2849,Database!$H:$N,7,0)),"")</f>
        <v/>
      </c>
      <c r="N2849" s="55" t="str">
        <f>IFERROR(IF(OR($B2849="",$B2849="(blank)"),"",VLOOKUP($B2849,'Email Marketing Raw Data'!$C:$O,6,0)),"")</f>
        <v/>
      </c>
      <c r="O2849" s="55" t="str">
        <f>IFERROR(IF(OR($B2849="",$B2849="(blank)"),"",VLOOKUP($B2849,'Email Marketing Raw Data'!$C:$O,7,0)),"")</f>
        <v/>
      </c>
      <c r="P2849" s="55" t="str">
        <f>IFERROR(IF(OR($B2849="",$B2849="(blank)"),"",VLOOKUP($B2849,'Email Marketing Raw Data'!$C:$O,8,0)),"")</f>
        <v/>
      </c>
      <c r="Q2849" s="62" t="str">
        <f>IFERROR(IF(OR($B2849="",$B2849="(blank)"),"",VLOOKUP($B2849,'Email Marketing Raw Data'!$C:$O,9,0)),"")</f>
        <v/>
      </c>
    </row>
    <row r="2850" spans="4:17" ht="12.75" customHeight="1" x14ac:dyDescent="0.2">
      <c r="D2850" s="58" t="str">
        <f>IFERROR(IF(F2850&lt;&gt;"pending","",IF(OR($B2850="",$B2850="(blank)"),"",VLOOKUP($B2850,'Email Marketing Raw Data'!$C:$O,10,0))),"")</f>
        <v/>
      </c>
      <c r="E2850" s="59" t="str">
        <f>IFERROR(IF(F2850&lt;&gt;"pending","",IF(OR($B2850="",$B2850="(blank)"),"",VLOOKUP($B2850,'Email Marketing Raw Data'!$C:$O,11,0))),"")</f>
        <v/>
      </c>
      <c r="F2850" s="54" t="str">
        <f>IFERROR(IF(OR($B2850="",$B2850="(blank)"),"",VLOOKUP($B2850,'Email Marketing Raw Data'!$C:$O,13,0)),"")</f>
        <v/>
      </c>
      <c r="G2850" s="55" t="str">
        <f>IFERROR(IF(OR($B2850="",$B2850="(blank)"),"",VLOOKUP($B2850,'Email Marketing Raw Data'!$C:$O,4,0)),"")</f>
        <v/>
      </c>
      <c r="H2850" s="55" t="str">
        <f>IFERROR(IF(OR($B2850="",$B2850="(blank)"),"",VLOOKUP($B2850,'Email Marketing Raw Data'!$C:$O,5,0)),"")</f>
        <v/>
      </c>
      <c r="I2850" s="55" t="str">
        <f>IFERROR(IF($G2850="","",VLOOKUP('Dashboard And Emails Automate'!$G2850,Database!$H:$N,3,0)),"")</f>
        <v/>
      </c>
      <c r="J2850" s="55" t="str">
        <f>IFERROR(IF($G2850="","",VLOOKUP('Dashboard And Emails Automate'!$G2850,Database!$H:$N,4,0)),"")</f>
        <v/>
      </c>
      <c r="K2850" s="55" t="str">
        <f>IFERROR(IF($G2850="","",VLOOKUP('Dashboard And Emails Automate'!$G2850,Database!$H:$N,5,0)),"")</f>
        <v/>
      </c>
      <c r="L2850" s="55" t="str">
        <f>IFERROR(IF($G2850="","",VLOOKUP('Dashboard And Emails Automate'!$G2850,Database!$H:$N,6,0)),"")</f>
        <v/>
      </c>
      <c r="M2850" s="55" t="str">
        <f>IFERROR(IF($G2850="","",VLOOKUP('Dashboard And Emails Automate'!$G2850,Database!$H:$N,7,0)),"")</f>
        <v/>
      </c>
      <c r="N2850" s="55" t="str">
        <f>IFERROR(IF(OR($B2850="",$B2850="(blank)"),"",VLOOKUP($B2850,'Email Marketing Raw Data'!$C:$O,6,0)),"")</f>
        <v/>
      </c>
      <c r="O2850" s="55" t="str">
        <f>IFERROR(IF(OR($B2850="",$B2850="(blank)"),"",VLOOKUP($B2850,'Email Marketing Raw Data'!$C:$O,7,0)),"")</f>
        <v/>
      </c>
      <c r="P2850" s="55" t="str">
        <f>IFERROR(IF(OR($B2850="",$B2850="(blank)"),"",VLOOKUP($B2850,'Email Marketing Raw Data'!$C:$O,8,0)),"")</f>
        <v/>
      </c>
      <c r="Q2850" s="62" t="str">
        <f>IFERROR(IF(OR($B2850="",$B2850="(blank)"),"",VLOOKUP($B2850,'Email Marketing Raw Data'!$C:$O,9,0)),"")</f>
        <v/>
      </c>
    </row>
    <row r="2851" spans="4:17" ht="12.75" customHeight="1" x14ac:dyDescent="0.2">
      <c r="D2851" s="58" t="str">
        <f>IFERROR(IF(F2851&lt;&gt;"pending","",IF(OR($B2851="",$B2851="(blank)"),"",VLOOKUP($B2851,'Email Marketing Raw Data'!$C:$O,10,0))),"")</f>
        <v/>
      </c>
      <c r="E2851" s="59" t="str">
        <f>IFERROR(IF(F2851&lt;&gt;"pending","",IF(OR($B2851="",$B2851="(blank)"),"",VLOOKUP($B2851,'Email Marketing Raw Data'!$C:$O,11,0))),"")</f>
        <v/>
      </c>
      <c r="F2851" s="54" t="str">
        <f>IFERROR(IF(OR($B2851="",$B2851="(blank)"),"",VLOOKUP($B2851,'Email Marketing Raw Data'!$C:$O,13,0)),"")</f>
        <v/>
      </c>
      <c r="G2851" s="55" t="str">
        <f>IFERROR(IF(OR($B2851="",$B2851="(blank)"),"",VLOOKUP($B2851,'Email Marketing Raw Data'!$C:$O,4,0)),"")</f>
        <v/>
      </c>
      <c r="H2851" s="55" t="str">
        <f>IFERROR(IF(OR($B2851="",$B2851="(blank)"),"",VLOOKUP($B2851,'Email Marketing Raw Data'!$C:$O,5,0)),"")</f>
        <v/>
      </c>
      <c r="I2851" s="55" t="str">
        <f>IFERROR(IF($G2851="","",VLOOKUP('Dashboard And Emails Automate'!$G2851,Database!$H:$N,3,0)),"")</f>
        <v/>
      </c>
      <c r="J2851" s="55" t="str">
        <f>IFERROR(IF($G2851="","",VLOOKUP('Dashboard And Emails Automate'!$G2851,Database!$H:$N,4,0)),"")</f>
        <v/>
      </c>
      <c r="K2851" s="55" t="str">
        <f>IFERROR(IF($G2851="","",VLOOKUP('Dashboard And Emails Automate'!$G2851,Database!$H:$N,5,0)),"")</f>
        <v/>
      </c>
      <c r="L2851" s="55" t="str">
        <f>IFERROR(IF($G2851="","",VLOOKUP('Dashboard And Emails Automate'!$G2851,Database!$H:$N,6,0)),"")</f>
        <v/>
      </c>
      <c r="M2851" s="55" t="str">
        <f>IFERROR(IF($G2851="","",VLOOKUP('Dashboard And Emails Automate'!$G2851,Database!$H:$N,7,0)),"")</f>
        <v/>
      </c>
      <c r="N2851" s="55" t="str">
        <f>IFERROR(IF(OR($B2851="",$B2851="(blank)"),"",VLOOKUP($B2851,'Email Marketing Raw Data'!$C:$O,6,0)),"")</f>
        <v/>
      </c>
      <c r="O2851" s="55" t="str">
        <f>IFERROR(IF(OR($B2851="",$B2851="(blank)"),"",VLOOKUP($B2851,'Email Marketing Raw Data'!$C:$O,7,0)),"")</f>
        <v/>
      </c>
      <c r="P2851" s="55" t="str">
        <f>IFERROR(IF(OR($B2851="",$B2851="(blank)"),"",VLOOKUP($B2851,'Email Marketing Raw Data'!$C:$O,8,0)),"")</f>
        <v/>
      </c>
      <c r="Q2851" s="62" t="str">
        <f>IFERROR(IF(OR($B2851="",$B2851="(blank)"),"",VLOOKUP($B2851,'Email Marketing Raw Data'!$C:$O,9,0)),"")</f>
        <v/>
      </c>
    </row>
    <row r="2852" spans="4:17" ht="12.75" customHeight="1" x14ac:dyDescent="0.2">
      <c r="D2852" s="58" t="str">
        <f>IFERROR(IF(F2852&lt;&gt;"pending","",IF(OR($B2852="",$B2852="(blank)"),"",VLOOKUP($B2852,'Email Marketing Raw Data'!$C:$O,10,0))),"")</f>
        <v/>
      </c>
      <c r="E2852" s="59" t="str">
        <f>IFERROR(IF(F2852&lt;&gt;"pending","",IF(OR($B2852="",$B2852="(blank)"),"",VLOOKUP($B2852,'Email Marketing Raw Data'!$C:$O,11,0))),"")</f>
        <v/>
      </c>
      <c r="F2852" s="54" t="str">
        <f>IFERROR(IF(OR($B2852="",$B2852="(blank)"),"",VLOOKUP($B2852,'Email Marketing Raw Data'!$C:$O,13,0)),"")</f>
        <v/>
      </c>
      <c r="G2852" s="55" t="str">
        <f>IFERROR(IF(OR($B2852="",$B2852="(blank)"),"",VLOOKUP($B2852,'Email Marketing Raw Data'!$C:$O,4,0)),"")</f>
        <v/>
      </c>
      <c r="H2852" s="55" t="str">
        <f>IFERROR(IF(OR($B2852="",$B2852="(blank)"),"",VLOOKUP($B2852,'Email Marketing Raw Data'!$C:$O,5,0)),"")</f>
        <v/>
      </c>
      <c r="I2852" s="55" t="str">
        <f>IFERROR(IF($G2852="","",VLOOKUP('Dashboard And Emails Automate'!$G2852,Database!$H:$N,3,0)),"")</f>
        <v/>
      </c>
      <c r="J2852" s="55" t="str">
        <f>IFERROR(IF($G2852="","",VLOOKUP('Dashboard And Emails Automate'!$G2852,Database!$H:$N,4,0)),"")</f>
        <v/>
      </c>
      <c r="K2852" s="55" t="str">
        <f>IFERROR(IF($G2852="","",VLOOKUP('Dashboard And Emails Automate'!$G2852,Database!$H:$N,5,0)),"")</f>
        <v/>
      </c>
      <c r="L2852" s="55" t="str">
        <f>IFERROR(IF($G2852="","",VLOOKUP('Dashboard And Emails Automate'!$G2852,Database!$H:$N,6,0)),"")</f>
        <v/>
      </c>
      <c r="M2852" s="55" t="str">
        <f>IFERROR(IF($G2852="","",VLOOKUP('Dashboard And Emails Automate'!$G2852,Database!$H:$N,7,0)),"")</f>
        <v/>
      </c>
      <c r="N2852" s="55" t="str">
        <f>IFERROR(IF(OR($B2852="",$B2852="(blank)"),"",VLOOKUP($B2852,'Email Marketing Raw Data'!$C:$O,6,0)),"")</f>
        <v/>
      </c>
      <c r="O2852" s="55" t="str">
        <f>IFERROR(IF(OR($B2852="",$B2852="(blank)"),"",VLOOKUP($B2852,'Email Marketing Raw Data'!$C:$O,7,0)),"")</f>
        <v/>
      </c>
      <c r="P2852" s="55" t="str">
        <f>IFERROR(IF(OR($B2852="",$B2852="(blank)"),"",VLOOKUP($B2852,'Email Marketing Raw Data'!$C:$O,8,0)),"")</f>
        <v/>
      </c>
      <c r="Q2852" s="62" t="str">
        <f>IFERROR(IF(OR($B2852="",$B2852="(blank)"),"",VLOOKUP($B2852,'Email Marketing Raw Data'!$C:$O,9,0)),"")</f>
        <v/>
      </c>
    </row>
    <row r="2853" spans="4:17" ht="12.75" customHeight="1" x14ac:dyDescent="0.2">
      <c r="D2853" s="58" t="str">
        <f>IFERROR(IF(F2853&lt;&gt;"pending","",IF(OR($B2853="",$B2853="(blank)"),"",VLOOKUP($B2853,'Email Marketing Raw Data'!$C:$O,10,0))),"")</f>
        <v/>
      </c>
      <c r="E2853" s="59" t="str">
        <f>IFERROR(IF(F2853&lt;&gt;"pending","",IF(OR($B2853="",$B2853="(blank)"),"",VLOOKUP($B2853,'Email Marketing Raw Data'!$C:$O,11,0))),"")</f>
        <v/>
      </c>
      <c r="F2853" s="54" t="str">
        <f>IFERROR(IF(OR($B2853="",$B2853="(blank)"),"",VLOOKUP($B2853,'Email Marketing Raw Data'!$C:$O,13,0)),"")</f>
        <v/>
      </c>
      <c r="G2853" s="55" t="str">
        <f>IFERROR(IF(OR($B2853="",$B2853="(blank)"),"",VLOOKUP($B2853,'Email Marketing Raw Data'!$C:$O,4,0)),"")</f>
        <v/>
      </c>
      <c r="H2853" s="55" t="str">
        <f>IFERROR(IF(OR($B2853="",$B2853="(blank)"),"",VLOOKUP($B2853,'Email Marketing Raw Data'!$C:$O,5,0)),"")</f>
        <v/>
      </c>
      <c r="I2853" s="55" t="str">
        <f>IFERROR(IF($G2853="","",VLOOKUP('Dashboard And Emails Automate'!$G2853,Database!$H:$N,3,0)),"")</f>
        <v/>
      </c>
      <c r="J2853" s="55" t="str">
        <f>IFERROR(IF($G2853="","",VLOOKUP('Dashboard And Emails Automate'!$G2853,Database!$H:$N,4,0)),"")</f>
        <v/>
      </c>
      <c r="K2853" s="55" t="str">
        <f>IFERROR(IF($G2853="","",VLOOKUP('Dashboard And Emails Automate'!$G2853,Database!$H:$N,5,0)),"")</f>
        <v/>
      </c>
      <c r="L2853" s="55" t="str">
        <f>IFERROR(IF($G2853="","",VLOOKUP('Dashboard And Emails Automate'!$G2853,Database!$H:$N,6,0)),"")</f>
        <v/>
      </c>
      <c r="M2853" s="55" t="str">
        <f>IFERROR(IF($G2853="","",VLOOKUP('Dashboard And Emails Automate'!$G2853,Database!$H:$N,7,0)),"")</f>
        <v/>
      </c>
      <c r="N2853" s="55" t="str">
        <f>IFERROR(IF(OR($B2853="",$B2853="(blank)"),"",VLOOKUP($B2853,'Email Marketing Raw Data'!$C:$O,6,0)),"")</f>
        <v/>
      </c>
      <c r="O2853" s="55" t="str">
        <f>IFERROR(IF(OR($B2853="",$B2853="(blank)"),"",VLOOKUP($B2853,'Email Marketing Raw Data'!$C:$O,7,0)),"")</f>
        <v/>
      </c>
      <c r="P2853" s="55" t="str">
        <f>IFERROR(IF(OR($B2853="",$B2853="(blank)"),"",VLOOKUP($B2853,'Email Marketing Raw Data'!$C:$O,8,0)),"")</f>
        <v/>
      </c>
      <c r="Q2853" s="62" t="str">
        <f>IFERROR(IF(OR($B2853="",$B2853="(blank)"),"",VLOOKUP($B2853,'Email Marketing Raw Data'!$C:$O,9,0)),"")</f>
        <v/>
      </c>
    </row>
    <row r="2854" spans="4:17" ht="12.75" customHeight="1" x14ac:dyDescent="0.2">
      <c r="D2854" s="58" t="str">
        <f>IFERROR(IF(F2854&lt;&gt;"pending","",IF(OR($B2854="",$B2854="(blank)"),"",VLOOKUP($B2854,'Email Marketing Raw Data'!$C:$O,10,0))),"")</f>
        <v/>
      </c>
      <c r="E2854" s="59" t="str">
        <f>IFERROR(IF(F2854&lt;&gt;"pending","",IF(OR($B2854="",$B2854="(blank)"),"",VLOOKUP($B2854,'Email Marketing Raw Data'!$C:$O,11,0))),"")</f>
        <v/>
      </c>
      <c r="F2854" s="54" t="str">
        <f>IFERROR(IF(OR($B2854="",$B2854="(blank)"),"",VLOOKUP($B2854,'Email Marketing Raw Data'!$C:$O,13,0)),"")</f>
        <v/>
      </c>
      <c r="G2854" s="55" t="str">
        <f>IFERROR(IF(OR($B2854="",$B2854="(blank)"),"",VLOOKUP($B2854,'Email Marketing Raw Data'!$C:$O,4,0)),"")</f>
        <v/>
      </c>
      <c r="H2854" s="55" t="str">
        <f>IFERROR(IF(OR($B2854="",$B2854="(blank)"),"",VLOOKUP($B2854,'Email Marketing Raw Data'!$C:$O,5,0)),"")</f>
        <v/>
      </c>
      <c r="I2854" s="55" t="str">
        <f>IFERROR(IF($G2854="","",VLOOKUP('Dashboard And Emails Automate'!$G2854,Database!$H:$N,3,0)),"")</f>
        <v/>
      </c>
      <c r="J2854" s="55" t="str">
        <f>IFERROR(IF($G2854="","",VLOOKUP('Dashboard And Emails Automate'!$G2854,Database!$H:$N,4,0)),"")</f>
        <v/>
      </c>
      <c r="K2854" s="55" t="str">
        <f>IFERROR(IF($G2854="","",VLOOKUP('Dashboard And Emails Automate'!$G2854,Database!$H:$N,5,0)),"")</f>
        <v/>
      </c>
      <c r="L2854" s="55" t="str">
        <f>IFERROR(IF($G2854="","",VLOOKUP('Dashboard And Emails Automate'!$G2854,Database!$H:$N,6,0)),"")</f>
        <v/>
      </c>
      <c r="M2854" s="55" t="str">
        <f>IFERROR(IF($G2854="","",VLOOKUP('Dashboard And Emails Automate'!$G2854,Database!$H:$N,7,0)),"")</f>
        <v/>
      </c>
      <c r="N2854" s="55" t="str">
        <f>IFERROR(IF(OR($B2854="",$B2854="(blank)"),"",VLOOKUP($B2854,'Email Marketing Raw Data'!$C:$O,6,0)),"")</f>
        <v/>
      </c>
      <c r="O2854" s="55" t="str">
        <f>IFERROR(IF(OR($B2854="",$B2854="(blank)"),"",VLOOKUP($B2854,'Email Marketing Raw Data'!$C:$O,7,0)),"")</f>
        <v/>
      </c>
      <c r="P2854" s="55" t="str">
        <f>IFERROR(IF(OR($B2854="",$B2854="(blank)"),"",VLOOKUP($B2854,'Email Marketing Raw Data'!$C:$O,8,0)),"")</f>
        <v/>
      </c>
      <c r="Q2854" s="62" t="str">
        <f>IFERROR(IF(OR($B2854="",$B2854="(blank)"),"",VLOOKUP($B2854,'Email Marketing Raw Data'!$C:$O,9,0)),"")</f>
        <v/>
      </c>
    </row>
    <row r="2855" spans="4:17" ht="12.75" customHeight="1" x14ac:dyDescent="0.2">
      <c r="D2855" s="58" t="str">
        <f>IFERROR(IF(F2855&lt;&gt;"pending","",IF(OR($B2855="",$B2855="(blank)"),"",VLOOKUP($B2855,'Email Marketing Raw Data'!$C:$O,10,0))),"")</f>
        <v/>
      </c>
      <c r="E2855" s="59" t="str">
        <f>IFERROR(IF(F2855&lt;&gt;"pending","",IF(OR($B2855="",$B2855="(blank)"),"",VLOOKUP($B2855,'Email Marketing Raw Data'!$C:$O,11,0))),"")</f>
        <v/>
      </c>
      <c r="F2855" s="54" t="str">
        <f>IFERROR(IF(OR($B2855="",$B2855="(blank)"),"",VLOOKUP($B2855,'Email Marketing Raw Data'!$C:$O,13,0)),"")</f>
        <v/>
      </c>
      <c r="G2855" s="55" t="str">
        <f>IFERROR(IF(OR($B2855="",$B2855="(blank)"),"",VLOOKUP($B2855,'Email Marketing Raw Data'!$C:$O,4,0)),"")</f>
        <v/>
      </c>
      <c r="H2855" s="55" t="str">
        <f>IFERROR(IF(OR($B2855="",$B2855="(blank)"),"",VLOOKUP($B2855,'Email Marketing Raw Data'!$C:$O,5,0)),"")</f>
        <v/>
      </c>
      <c r="I2855" s="55" t="str">
        <f>IFERROR(IF($G2855="","",VLOOKUP('Dashboard And Emails Automate'!$G2855,Database!$H:$N,3,0)),"")</f>
        <v/>
      </c>
      <c r="J2855" s="55" t="str">
        <f>IFERROR(IF($G2855="","",VLOOKUP('Dashboard And Emails Automate'!$G2855,Database!$H:$N,4,0)),"")</f>
        <v/>
      </c>
      <c r="K2855" s="55" t="str">
        <f>IFERROR(IF($G2855="","",VLOOKUP('Dashboard And Emails Automate'!$G2855,Database!$H:$N,5,0)),"")</f>
        <v/>
      </c>
      <c r="L2855" s="55" t="str">
        <f>IFERROR(IF($G2855="","",VLOOKUP('Dashboard And Emails Automate'!$G2855,Database!$H:$N,6,0)),"")</f>
        <v/>
      </c>
      <c r="M2855" s="55" t="str">
        <f>IFERROR(IF($G2855="","",VLOOKUP('Dashboard And Emails Automate'!$G2855,Database!$H:$N,7,0)),"")</f>
        <v/>
      </c>
      <c r="N2855" s="55" t="str">
        <f>IFERROR(IF(OR($B2855="",$B2855="(blank)"),"",VLOOKUP($B2855,'Email Marketing Raw Data'!$C:$O,6,0)),"")</f>
        <v/>
      </c>
      <c r="O2855" s="55" t="str">
        <f>IFERROR(IF(OR($B2855="",$B2855="(blank)"),"",VLOOKUP($B2855,'Email Marketing Raw Data'!$C:$O,7,0)),"")</f>
        <v/>
      </c>
      <c r="P2855" s="55" t="str">
        <f>IFERROR(IF(OR($B2855="",$B2855="(blank)"),"",VLOOKUP($B2855,'Email Marketing Raw Data'!$C:$O,8,0)),"")</f>
        <v/>
      </c>
      <c r="Q2855" s="62" t="str">
        <f>IFERROR(IF(OR($B2855="",$B2855="(blank)"),"",VLOOKUP($B2855,'Email Marketing Raw Data'!$C:$O,9,0)),"")</f>
        <v/>
      </c>
    </row>
    <row r="2856" spans="4:17" ht="12.75" customHeight="1" x14ac:dyDescent="0.2">
      <c r="D2856" s="58" t="str">
        <f>IFERROR(IF(F2856&lt;&gt;"pending","",IF(OR($B2856="",$B2856="(blank)"),"",VLOOKUP($B2856,'Email Marketing Raw Data'!$C:$O,10,0))),"")</f>
        <v/>
      </c>
      <c r="E2856" s="59" t="str">
        <f>IFERROR(IF(F2856&lt;&gt;"pending","",IF(OR($B2856="",$B2856="(blank)"),"",VLOOKUP($B2856,'Email Marketing Raw Data'!$C:$O,11,0))),"")</f>
        <v/>
      </c>
      <c r="F2856" s="54" t="str">
        <f>IFERROR(IF(OR($B2856="",$B2856="(blank)"),"",VLOOKUP($B2856,'Email Marketing Raw Data'!$C:$O,13,0)),"")</f>
        <v/>
      </c>
      <c r="G2856" s="55" t="str">
        <f>IFERROR(IF(OR($B2856="",$B2856="(blank)"),"",VLOOKUP($B2856,'Email Marketing Raw Data'!$C:$O,4,0)),"")</f>
        <v/>
      </c>
      <c r="H2856" s="55" t="str">
        <f>IFERROR(IF(OR($B2856="",$B2856="(blank)"),"",VLOOKUP($B2856,'Email Marketing Raw Data'!$C:$O,5,0)),"")</f>
        <v/>
      </c>
      <c r="I2856" s="55" t="str">
        <f>IFERROR(IF($G2856="","",VLOOKUP('Dashboard And Emails Automate'!$G2856,Database!$H:$N,3,0)),"")</f>
        <v/>
      </c>
      <c r="J2856" s="55" t="str">
        <f>IFERROR(IF($G2856="","",VLOOKUP('Dashboard And Emails Automate'!$G2856,Database!$H:$N,4,0)),"")</f>
        <v/>
      </c>
      <c r="K2856" s="55" t="str">
        <f>IFERROR(IF($G2856="","",VLOOKUP('Dashboard And Emails Automate'!$G2856,Database!$H:$N,5,0)),"")</f>
        <v/>
      </c>
      <c r="L2856" s="55" t="str">
        <f>IFERROR(IF($G2856="","",VLOOKUP('Dashboard And Emails Automate'!$G2856,Database!$H:$N,6,0)),"")</f>
        <v/>
      </c>
      <c r="M2856" s="55" t="str">
        <f>IFERROR(IF($G2856="","",VLOOKUP('Dashboard And Emails Automate'!$G2856,Database!$H:$N,7,0)),"")</f>
        <v/>
      </c>
      <c r="N2856" s="55" t="str">
        <f>IFERROR(IF(OR($B2856="",$B2856="(blank)"),"",VLOOKUP($B2856,'Email Marketing Raw Data'!$C:$O,6,0)),"")</f>
        <v/>
      </c>
      <c r="O2856" s="55" t="str">
        <f>IFERROR(IF(OR($B2856="",$B2856="(blank)"),"",VLOOKUP($B2856,'Email Marketing Raw Data'!$C:$O,7,0)),"")</f>
        <v/>
      </c>
      <c r="P2856" s="55" t="str">
        <f>IFERROR(IF(OR($B2856="",$B2856="(blank)"),"",VLOOKUP($B2856,'Email Marketing Raw Data'!$C:$O,8,0)),"")</f>
        <v/>
      </c>
      <c r="Q2856" s="62" t="str">
        <f>IFERROR(IF(OR($B2856="",$B2856="(blank)"),"",VLOOKUP($B2856,'Email Marketing Raw Data'!$C:$O,9,0)),"")</f>
        <v/>
      </c>
    </row>
    <row r="2857" spans="4:17" ht="12.75" customHeight="1" x14ac:dyDescent="0.2">
      <c r="D2857" s="58" t="str">
        <f>IFERROR(IF(F2857&lt;&gt;"pending","",IF(OR($B2857="",$B2857="(blank)"),"",VLOOKUP($B2857,'Email Marketing Raw Data'!$C:$O,10,0))),"")</f>
        <v/>
      </c>
      <c r="E2857" s="59" t="str">
        <f>IFERROR(IF(F2857&lt;&gt;"pending","",IF(OR($B2857="",$B2857="(blank)"),"",VLOOKUP($B2857,'Email Marketing Raw Data'!$C:$O,11,0))),"")</f>
        <v/>
      </c>
      <c r="F2857" s="54" t="str">
        <f>IFERROR(IF(OR($B2857="",$B2857="(blank)"),"",VLOOKUP($B2857,'Email Marketing Raw Data'!$C:$O,13,0)),"")</f>
        <v/>
      </c>
      <c r="G2857" s="55" t="str">
        <f>IFERROR(IF(OR($B2857="",$B2857="(blank)"),"",VLOOKUP($B2857,'Email Marketing Raw Data'!$C:$O,4,0)),"")</f>
        <v/>
      </c>
      <c r="H2857" s="55" t="str">
        <f>IFERROR(IF(OR($B2857="",$B2857="(blank)"),"",VLOOKUP($B2857,'Email Marketing Raw Data'!$C:$O,5,0)),"")</f>
        <v/>
      </c>
      <c r="I2857" s="55" t="str">
        <f>IFERROR(IF($G2857="","",VLOOKUP('Dashboard And Emails Automate'!$G2857,Database!$H:$N,3,0)),"")</f>
        <v/>
      </c>
      <c r="J2857" s="55" t="str">
        <f>IFERROR(IF($G2857="","",VLOOKUP('Dashboard And Emails Automate'!$G2857,Database!$H:$N,4,0)),"")</f>
        <v/>
      </c>
      <c r="K2857" s="55" t="str">
        <f>IFERROR(IF($G2857="","",VLOOKUP('Dashboard And Emails Automate'!$G2857,Database!$H:$N,5,0)),"")</f>
        <v/>
      </c>
      <c r="L2857" s="55" t="str">
        <f>IFERROR(IF($G2857="","",VLOOKUP('Dashboard And Emails Automate'!$G2857,Database!$H:$N,6,0)),"")</f>
        <v/>
      </c>
      <c r="M2857" s="55" t="str">
        <f>IFERROR(IF($G2857="","",VLOOKUP('Dashboard And Emails Automate'!$G2857,Database!$H:$N,7,0)),"")</f>
        <v/>
      </c>
      <c r="N2857" s="55" t="str">
        <f>IFERROR(IF(OR($B2857="",$B2857="(blank)"),"",VLOOKUP($B2857,'Email Marketing Raw Data'!$C:$O,6,0)),"")</f>
        <v/>
      </c>
      <c r="O2857" s="55" t="str">
        <f>IFERROR(IF(OR($B2857="",$B2857="(blank)"),"",VLOOKUP($B2857,'Email Marketing Raw Data'!$C:$O,7,0)),"")</f>
        <v/>
      </c>
      <c r="P2857" s="55" t="str">
        <f>IFERROR(IF(OR($B2857="",$B2857="(blank)"),"",VLOOKUP($B2857,'Email Marketing Raw Data'!$C:$O,8,0)),"")</f>
        <v/>
      </c>
      <c r="Q2857" s="62" t="str">
        <f>IFERROR(IF(OR($B2857="",$B2857="(blank)"),"",VLOOKUP($B2857,'Email Marketing Raw Data'!$C:$O,9,0)),"")</f>
        <v/>
      </c>
    </row>
    <row r="2858" spans="4:17" ht="12.75" customHeight="1" x14ac:dyDescent="0.2">
      <c r="D2858" s="58" t="str">
        <f>IFERROR(IF(F2858&lt;&gt;"pending","",IF(OR($B2858="",$B2858="(blank)"),"",VLOOKUP($B2858,'Email Marketing Raw Data'!$C:$O,10,0))),"")</f>
        <v/>
      </c>
      <c r="E2858" s="59" t="str">
        <f>IFERROR(IF(F2858&lt;&gt;"pending","",IF(OR($B2858="",$B2858="(blank)"),"",VLOOKUP($B2858,'Email Marketing Raw Data'!$C:$O,11,0))),"")</f>
        <v/>
      </c>
      <c r="F2858" s="54" t="str">
        <f>IFERROR(IF(OR($B2858="",$B2858="(blank)"),"",VLOOKUP($B2858,'Email Marketing Raw Data'!$C:$O,13,0)),"")</f>
        <v/>
      </c>
      <c r="G2858" s="55" t="str">
        <f>IFERROR(IF(OR($B2858="",$B2858="(blank)"),"",VLOOKUP($B2858,'Email Marketing Raw Data'!$C:$O,4,0)),"")</f>
        <v/>
      </c>
      <c r="H2858" s="55" t="str">
        <f>IFERROR(IF(OR($B2858="",$B2858="(blank)"),"",VLOOKUP($B2858,'Email Marketing Raw Data'!$C:$O,5,0)),"")</f>
        <v/>
      </c>
      <c r="I2858" s="55" t="str">
        <f>IFERROR(IF($G2858="","",VLOOKUP('Dashboard And Emails Automate'!$G2858,Database!$H:$N,3,0)),"")</f>
        <v/>
      </c>
      <c r="J2858" s="55" t="str">
        <f>IFERROR(IF($G2858="","",VLOOKUP('Dashboard And Emails Automate'!$G2858,Database!$H:$N,4,0)),"")</f>
        <v/>
      </c>
      <c r="K2858" s="55" t="str">
        <f>IFERROR(IF($G2858="","",VLOOKUP('Dashboard And Emails Automate'!$G2858,Database!$H:$N,5,0)),"")</f>
        <v/>
      </c>
      <c r="L2858" s="55" t="str">
        <f>IFERROR(IF($G2858="","",VLOOKUP('Dashboard And Emails Automate'!$G2858,Database!$H:$N,6,0)),"")</f>
        <v/>
      </c>
      <c r="M2858" s="55" t="str">
        <f>IFERROR(IF($G2858="","",VLOOKUP('Dashboard And Emails Automate'!$G2858,Database!$H:$N,7,0)),"")</f>
        <v/>
      </c>
      <c r="N2858" s="55" t="str">
        <f>IFERROR(IF(OR($B2858="",$B2858="(blank)"),"",VLOOKUP($B2858,'Email Marketing Raw Data'!$C:$O,6,0)),"")</f>
        <v/>
      </c>
      <c r="O2858" s="55" t="str">
        <f>IFERROR(IF(OR($B2858="",$B2858="(blank)"),"",VLOOKUP($B2858,'Email Marketing Raw Data'!$C:$O,7,0)),"")</f>
        <v/>
      </c>
      <c r="P2858" s="55" t="str">
        <f>IFERROR(IF(OR($B2858="",$B2858="(blank)"),"",VLOOKUP($B2858,'Email Marketing Raw Data'!$C:$O,8,0)),"")</f>
        <v/>
      </c>
      <c r="Q2858" s="62" t="str">
        <f>IFERROR(IF(OR($B2858="",$B2858="(blank)"),"",VLOOKUP($B2858,'Email Marketing Raw Data'!$C:$O,9,0)),"")</f>
        <v/>
      </c>
    </row>
    <row r="2859" spans="4:17" ht="12.75" customHeight="1" x14ac:dyDescent="0.2">
      <c r="D2859" s="58" t="str">
        <f>IFERROR(IF(F2859&lt;&gt;"pending","",IF(OR($B2859="",$B2859="(blank)"),"",VLOOKUP($B2859,'Email Marketing Raw Data'!$C:$O,10,0))),"")</f>
        <v/>
      </c>
      <c r="E2859" s="59" t="str">
        <f>IFERROR(IF(F2859&lt;&gt;"pending","",IF(OR($B2859="",$B2859="(blank)"),"",VLOOKUP($B2859,'Email Marketing Raw Data'!$C:$O,11,0))),"")</f>
        <v/>
      </c>
      <c r="F2859" s="54" t="str">
        <f>IFERROR(IF(OR($B2859="",$B2859="(blank)"),"",VLOOKUP($B2859,'Email Marketing Raw Data'!$C:$O,13,0)),"")</f>
        <v/>
      </c>
      <c r="G2859" s="55" t="str">
        <f>IFERROR(IF(OR($B2859="",$B2859="(blank)"),"",VLOOKUP($B2859,'Email Marketing Raw Data'!$C:$O,4,0)),"")</f>
        <v/>
      </c>
      <c r="H2859" s="55" t="str">
        <f>IFERROR(IF(OR($B2859="",$B2859="(blank)"),"",VLOOKUP($B2859,'Email Marketing Raw Data'!$C:$O,5,0)),"")</f>
        <v/>
      </c>
      <c r="I2859" s="55" t="str">
        <f>IFERROR(IF($G2859="","",VLOOKUP('Dashboard And Emails Automate'!$G2859,Database!$H:$N,3,0)),"")</f>
        <v/>
      </c>
      <c r="J2859" s="55" t="str">
        <f>IFERROR(IF($G2859="","",VLOOKUP('Dashboard And Emails Automate'!$G2859,Database!$H:$N,4,0)),"")</f>
        <v/>
      </c>
      <c r="K2859" s="55" t="str">
        <f>IFERROR(IF($G2859="","",VLOOKUP('Dashboard And Emails Automate'!$G2859,Database!$H:$N,5,0)),"")</f>
        <v/>
      </c>
      <c r="L2859" s="55" t="str">
        <f>IFERROR(IF($G2859="","",VLOOKUP('Dashboard And Emails Automate'!$G2859,Database!$H:$N,6,0)),"")</f>
        <v/>
      </c>
      <c r="M2859" s="55" t="str">
        <f>IFERROR(IF($G2859="","",VLOOKUP('Dashboard And Emails Automate'!$G2859,Database!$H:$N,7,0)),"")</f>
        <v/>
      </c>
      <c r="N2859" s="55" t="str">
        <f>IFERROR(IF(OR($B2859="",$B2859="(blank)"),"",VLOOKUP($B2859,'Email Marketing Raw Data'!$C:$O,6,0)),"")</f>
        <v/>
      </c>
      <c r="O2859" s="55" t="str">
        <f>IFERROR(IF(OR($B2859="",$B2859="(blank)"),"",VLOOKUP($B2859,'Email Marketing Raw Data'!$C:$O,7,0)),"")</f>
        <v/>
      </c>
      <c r="P2859" s="55" t="str">
        <f>IFERROR(IF(OR($B2859="",$B2859="(blank)"),"",VLOOKUP($B2859,'Email Marketing Raw Data'!$C:$O,8,0)),"")</f>
        <v/>
      </c>
      <c r="Q2859" s="62" t="str">
        <f>IFERROR(IF(OR($B2859="",$B2859="(blank)"),"",VLOOKUP($B2859,'Email Marketing Raw Data'!$C:$O,9,0)),"")</f>
        <v/>
      </c>
    </row>
    <row r="2860" spans="4:17" ht="12.75" customHeight="1" x14ac:dyDescent="0.2">
      <c r="D2860" s="58" t="str">
        <f>IFERROR(IF(F2860&lt;&gt;"pending","",IF(OR($B2860="",$B2860="(blank)"),"",VLOOKUP($B2860,'Email Marketing Raw Data'!$C:$O,10,0))),"")</f>
        <v/>
      </c>
      <c r="E2860" s="59" t="str">
        <f>IFERROR(IF(F2860&lt;&gt;"pending","",IF(OR($B2860="",$B2860="(blank)"),"",VLOOKUP($B2860,'Email Marketing Raw Data'!$C:$O,11,0))),"")</f>
        <v/>
      </c>
      <c r="F2860" s="54" t="str">
        <f>IFERROR(IF(OR($B2860="",$B2860="(blank)"),"",VLOOKUP($B2860,'Email Marketing Raw Data'!$C:$O,13,0)),"")</f>
        <v/>
      </c>
      <c r="G2860" s="55" t="str">
        <f>IFERROR(IF(OR($B2860="",$B2860="(blank)"),"",VLOOKUP($B2860,'Email Marketing Raw Data'!$C:$O,4,0)),"")</f>
        <v/>
      </c>
      <c r="H2860" s="55" t="str">
        <f>IFERROR(IF(OR($B2860="",$B2860="(blank)"),"",VLOOKUP($B2860,'Email Marketing Raw Data'!$C:$O,5,0)),"")</f>
        <v/>
      </c>
      <c r="I2860" s="55" t="str">
        <f>IFERROR(IF($G2860="","",VLOOKUP('Dashboard And Emails Automate'!$G2860,Database!$H:$N,3,0)),"")</f>
        <v/>
      </c>
      <c r="J2860" s="55" t="str">
        <f>IFERROR(IF($G2860="","",VLOOKUP('Dashboard And Emails Automate'!$G2860,Database!$H:$N,4,0)),"")</f>
        <v/>
      </c>
      <c r="K2860" s="55" t="str">
        <f>IFERROR(IF($G2860="","",VLOOKUP('Dashboard And Emails Automate'!$G2860,Database!$H:$N,5,0)),"")</f>
        <v/>
      </c>
      <c r="L2860" s="55" t="str">
        <f>IFERROR(IF($G2860="","",VLOOKUP('Dashboard And Emails Automate'!$G2860,Database!$H:$N,6,0)),"")</f>
        <v/>
      </c>
      <c r="M2860" s="55" t="str">
        <f>IFERROR(IF($G2860="","",VLOOKUP('Dashboard And Emails Automate'!$G2860,Database!$H:$N,7,0)),"")</f>
        <v/>
      </c>
      <c r="N2860" s="55" t="str">
        <f>IFERROR(IF(OR($B2860="",$B2860="(blank)"),"",VLOOKUP($B2860,'Email Marketing Raw Data'!$C:$O,6,0)),"")</f>
        <v/>
      </c>
      <c r="O2860" s="55" t="str">
        <f>IFERROR(IF(OR($B2860="",$B2860="(blank)"),"",VLOOKUP($B2860,'Email Marketing Raw Data'!$C:$O,7,0)),"")</f>
        <v/>
      </c>
      <c r="P2860" s="55" t="str">
        <f>IFERROR(IF(OR($B2860="",$B2860="(blank)"),"",VLOOKUP($B2860,'Email Marketing Raw Data'!$C:$O,8,0)),"")</f>
        <v/>
      </c>
      <c r="Q2860" s="62" t="str">
        <f>IFERROR(IF(OR($B2860="",$B2860="(blank)"),"",VLOOKUP($B2860,'Email Marketing Raw Data'!$C:$O,9,0)),"")</f>
        <v/>
      </c>
    </row>
    <row r="2861" spans="4:17" ht="12.75" customHeight="1" x14ac:dyDescent="0.2">
      <c r="D2861" s="58" t="str">
        <f>IFERROR(IF(F2861&lt;&gt;"pending","",IF(OR($B2861="",$B2861="(blank)"),"",VLOOKUP($B2861,'Email Marketing Raw Data'!$C:$O,10,0))),"")</f>
        <v/>
      </c>
      <c r="E2861" s="59" t="str">
        <f>IFERROR(IF(F2861&lt;&gt;"pending","",IF(OR($B2861="",$B2861="(blank)"),"",VLOOKUP($B2861,'Email Marketing Raw Data'!$C:$O,11,0))),"")</f>
        <v/>
      </c>
      <c r="F2861" s="54" t="str">
        <f>IFERROR(IF(OR($B2861="",$B2861="(blank)"),"",VLOOKUP($B2861,'Email Marketing Raw Data'!$C:$O,13,0)),"")</f>
        <v/>
      </c>
      <c r="G2861" s="55" t="str">
        <f>IFERROR(IF(OR($B2861="",$B2861="(blank)"),"",VLOOKUP($B2861,'Email Marketing Raw Data'!$C:$O,4,0)),"")</f>
        <v/>
      </c>
      <c r="H2861" s="55" t="str">
        <f>IFERROR(IF(OR($B2861="",$B2861="(blank)"),"",VLOOKUP($B2861,'Email Marketing Raw Data'!$C:$O,5,0)),"")</f>
        <v/>
      </c>
      <c r="I2861" s="55" t="str">
        <f>IFERROR(IF($G2861="","",VLOOKUP('Dashboard And Emails Automate'!$G2861,Database!$H:$N,3,0)),"")</f>
        <v/>
      </c>
      <c r="J2861" s="55" t="str">
        <f>IFERROR(IF($G2861="","",VLOOKUP('Dashboard And Emails Automate'!$G2861,Database!$H:$N,4,0)),"")</f>
        <v/>
      </c>
      <c r="K2861" s="55" t="str">
        <f>IFERROR(IF($G2861="","",VLOOKUP('Dashboard And Emails Automate'!$G2861,Database!$H:$N,5,0)),"")</f>
        <v/>
      </c>
      <c r="L2861" s="55" t="str">
        <f>IFERROR(IF($G2861="","",VLOOKUP('Dashboard And Emails Automate'!$G2861,Database!$H:$N,6,0)),"")</f>
        <v/>
      </c>
      <c r="M2861" s="55" t="str">
        <f>IFERROR(IF($G2861="","",VLOOKUP('Dashboard And Emails Automate'!$G2861,Database!$H:$N,7,0)),"")</f>
        <v/>
      </c>
      <c r="N2861" s="55" t="str">
        <f>IFERROR(IF(OR($B2861="",$B2861="(blank)"),"",VLOOKUP($B2861,'Email Marketing Raw Data'!$C:$O,6,0)),"")</f>
        <v/>
      </c>
      <c r="O2861" s="55" t="str">
        <f>IFERROR(IF(OR($B2861="",$B2861="(blank)"),"",VLOOKUP($B2861,'Email Marketing Raw Data'!$C:$O,7,0)),"")</f>
        <v/>
      </c>
      <c r="P2861" s="55" t="str">
        <f>IFERROR(IF(OR($B2861="",$B2861="(blank)"),"",VLOOKUP($B2861,'Email Marketing Raw Data'!$C:$O,8,0)),"")</f>
        <v/>
      </c>
      <c r="Q2861" s="62" t="str">
        <f>IFERROR(IF(OR($B2861="",$B2861="(blank)"),"",VLOOKUP($B2861,'Email Marketing Raw Data'!$C:$O,9,0)),"")</f>
        <v/>
      </c>
    </row>
    <row r="2862" spans="4:17" ht="12.75" customHeight="1" x14ac:dyDescent="0.2">
      <c r="D2862" s="58" t="str">
        <f>IFERROR(IF(F2862&lt;&gt;"pending","",IF(OR($B2862="",$B2862="(blank)"),"",VLOOKUP($B2862,'Email Marketing Raw Data'!$C:$O,10,0))),"")</f>
        <v/>
      </c>
      <c r="E2862" s="59" t="str">
        <f>IFERROR(IF(F2862&lt;&gt;"pending","",IF(OR($B2862="",$B2862="(blank)"),"",VLOOKUP($B2862,'Email Marketing Raw Data'!$C:$O,11,0))),"")</f>
        <v/>
      </c>
      <c r="F2862" s="54" t="str">
        <f>IFERROR(IF(OR($B2862="",$B2862="(blank)"),"",VLOOKUP($B2862,'Email Marketing Raw Data'!$C:$O,13,0)),"")</f>
        <v/>
      </c>
      <c r="G2862" s="55" t="str">
        <f>IFERROR(IF(OR($B2862="",$B2862="(blank)"),"",VLOOKUP($B2862,'Email Marketing Raw Data'!$C:$O,4,0)),"")</f>
        <v/>
      </c>
      <c r="H2862" s="55" t="str">
        <f>IFERROR(IF(OR($B2862="",$B2862="(blank)"),"",VLOOKUP($B2862,'Email Marketing Raw Data'!$C:$O,5,0)),"")</f>
        <v/>
      </c>
      <c r="I2862" s="55" t="str">
        <f>IFERROR(IF($G2862="","",VLOOKUP('Dashboard And Emails Automate'!$G2862,Database!$H:$N,3,0)),"")</f>
        <v/>
      </c>
      <c r="J2862" s="55" t="str">
        <f>IFERROR(IF($G2862="","",VLOOKUP('Dashboard And Emails Automate'!$G2862,Database!$H:$N,4,0)),"")</f>
        <v/>
      </c>
      <c r="K2862" s="55" t="str">
        <f>IFERROR(IF($G2862="","",VLOOKUP('Dashboard And Emails Automate'!$G2862,Database!$H:$N,5,0)),"")</f>
        <v/>
      </c>
      <c r="L2862" s="55" t="str">
        <f>IFERROR(IF($G2862="","",VLOOKUP('Dashboard And Emails Automate'!$G2862,Database!$H:$N,6,0)),"")</f>
        <v/>
      </c>
      <c r="M2862" s="55" t="str">
        <f>IFERROR(IF($G2862="","",VLOOKUP('Dashboard And Emails Automate'!$G2862,Database!$H:$N,7,0)),"")</f>
        <v/>
      </c>
      <c r="N2862" s="55" t="str">
        <f>IFERROR(IF(OR($B2862="",$B2862="(blank)"),"",VLOOKUP($B2862,'Email Marketing Raw Data'!$C:$O,6,0)),"")</f>
        <v/>
      </c>
      <c r="O2862" s="55" t="str">
        <f>IFERROR(IF(OR($B2862="",$B2862="(blank)"),"",VLOOKUP($B2862,'Email Marketing Raw Data'!$C:$O,7,0)),"")</f>
        <v/>
      </c>
      <c r="P2862" s="55" t="str">
        <f>IFERROR(IF(OR($B2862="",$B2862="(blank)"),"",VLOOKUP($B2862,'Email Marketing Raw Data'!$C:$O,8,0)),"")</f>
        <v/>
      </c>
      <c r="Q2862" s="62" t="str">
        <f>IFERROR(IF(OR($B2862="",$B2862="(blank)"),"",VLOOKUP($B2862,'Email Marketing Raw Data'!$C:$O,9,0)),"")</f>
        <v/>
      </c>
    </row>
    <row r="2863" spans="4:17" ht="12.75" customHeight="1" x14ac:dyDescent="0.2">
      <c r="D2863" s="58" t="str">
        <f>IFERROR(IF(F2863&lt;&gt;"pending","",IF(OR($B2863="",$B2863="(blank)"),"",VLOOKUP($B2863,'Email Marketing Raw Data'!$C:$O,10,0))),"")</f>
        <v/>
      </c>
      <c r="E2863" s="59" t="str">
        <f>IFERROR(IF(F2863&lt;&gt;"pending","",IF(OR($B2863="",$B2863="(blank)"),"",VLOOKUP($B2863,'Email Marketing Raw Data'!$C:$O,11,0))),"")</f>
        <v/>
      </c>
      <c r="F2863" s="54" t="str">
        <f>IFERROR(IF(OR($B2863="",$B2863="(blank)"),"",VLOOKUP($B2863,'Email Marketing Raw Data'!$C:$O,13,0)),"")</f>
        <v/>
      </c>
      <c r="G2863" s="55" t="str">
        <f>IFERROR(IF(OR($B2863="",$B2863="(blank)"),"",VLOOKUP($B2863,'Email Marketing Raw Data'!$C:$O,4,0)),"")</f>
        <v/>
      </c>
      <c r="H2863" s="55" t="str">
        <f>IFERROR(IF(OR($B2863="",$B2863="(blank)"),"",VLOOKUP($B2863,'Email Marketing Raw Data'!$C:$O,5,0)),"")</f>
        <v/>
      </c>
      <c r="I2863" s="55" t="str">
        <f>IFERROR(IF($G2863="","",VLOOKUP('Dashboard And Emails Automate'!$G2863,Database!$H:$N,3,0)),"")</f>
        <v/>
      </c>
      <c r="J2863" s="55" t="str">
        <f>IFERROR(IF($G2863="","",VLOOKUP('Dashboard And Emails Automate'!$G2863,Database!$H:$N,4,0)),"")</f>
        <v/>
      </c>
      <c r="K2863" s="55" t="str">
        <f>IFERROR(IF($G2863="","",VLOOKUP('Dashboard And Emails Automate'!$G2863,Database!$H:$N,5,0)),"")</f>
        <v/>
      </c>
      <c r="L2863" s="55" t="str">
        <f>IFERROR(IF($G2863="","",VLOOKUP('Dashboard And Emails Automate'!$G2863,Database!$H:$N,6,0)),"")</f>
        <v/>
      </c>
      <c r="M2863" s="55" t="str">
        <f>IFERROR(IF($G2863="","",VLOOKUP('Dashboard And Emails Automate'!$G2863,Database!$H:$N,7,0)),"")</f>
        <v/>
      </c>
      <c r="N2863" s="55" t="str">
        <f>IFERROR(IF(OR($B2863="",$B2863="(blank)"),"",VLOOKUP($B2863,'Email Marketing Raw Data'!$C:$O,6,0)),"")</f>
        <v/>
      </c>
      <c r="O2863" s="55" t="str">
        <f>IFERROR(IF(OR($B2863="",$B2863="(blank)"),"",VLOOKUP($B2863,'Email Marketing Raw Data'!$C:$O,7,0)),"")</f>
        <v/>
      </c>
      <c r="P2863" s="55" t="str">
        <f>IFERROR(IF(OR($B2863="",$B2863="(blank)"),"",VLOOKUP($B2863,'Email Marketing Raw Data'!$C:$O,8,0)),"")</f>
        <v/>
      </c>
      <c r="Q2863" s="62" t="str">
        <f>IFERROR(IF(OR($B2863="",$B2863="(blank)"),"",VLOOKUP($B2863,'Email Marketing Raw Data'!$C:$O,9,0)),"")</f>
        <v/>
      </c>
    </row>
    <row r="2864" spans="4:17" ht="12.75" customHeight="1" x14ac:dyDescent="0.2">
      <c r="D2864" s="58" t="str">
        <f>IFERROR(IF(F2864&lt;&gt;"pending","",IF(OR($B2864="",$B2864="(blank)"),"",VLOOKUP($B2864,'Email Marketing Raw Data'!$C:$O,10,0))),"")</f>
        <v/>
      </c>
      <c r="E2864" s="59" t="str">
        <f>IFERROR(IF(F2864&lt;&gt;"pending","",IF(OR($B2864="",$B2864="(blank)"),"",VLOOKUP($B2864,'Email Marketing Raw Data'!$C:$O,11,0))),"")</f>
        <v/>
      </c>
      <c r="F2864" s="54" t="str">
        <f>IFERROR(IF(OR($B2864="",$B2864="(blank)"),"",VLOOKUP($B2864,'Email Marketing Raw Data'!$C:$O,13,0)),"")</f>
        <v/>
      </c>
      <c r="G2864" s="55" t="str">
        <f>IFERROR(IF(OR($B2864="",$B2864="(blank)"),"",VLOOKUP($B2864,'Email Marketing Raw Data'!$C:$O,4,0)),"")</f>
        <v/>
      </c>
      <c r="H2864" s="55" t="str">
        <f>IFERROR(IF(OR($B2864="",$B2864="(blank)"),"",VLOOKUP($B2864,'Email Marketing Raw Data'!$C:$O,5,0)),"")</f>
        <v/>
      </c>
      <c r="I2864" s="55" t="str">
        <f>IFERROR(IF($G2864="","",VLOOKUP('Dashboard And Emails Automate'!$G2864,Database!$H:$N,3,0)),"")</f>
        <v/>
      </c>
      <c r="J2864" s="55" t="str">
        <f>IFERROR(IF($G2864="","",VLOOKUP('Dashboard And Emails Automate'!$G2864,Database!$H:$N,4,0)),"")</f>
        <v/>
      </c>
      <c r="K2864" s="55" t="str">
        <f>IFERROR(IF($G2864="","",VLOOKUP('Dashboard And Emails Automate'!$G2864,Database!$H:$N,5,0)),"")</f>
        <v/>
      </c>
      <c r="L2864" s="55" t="str">
        <f>IFERROR(IF($G2864="","",VLOOKUP('Dashboard And Emails Automate'!$G2864,Database!$H:$N,6,0)),"")</f>
        <v/>
      </c>
      <c r="M2864" s="55" t="str">
        <f>IFERROR(IF($G2864="","",VLOOKUP('Dashboard And Emails Automate'!$G2864,Database!$H:$N,7,0)),"")</f>
        <v/>
      </c>
      <c r="N2864" s="55" t="str">
        <f>IFERROR(IF(OR($B2864="",$B2864="(blank)"),"",VLOOKUP($B2864,'Email Marketing Raw Data'!$C:$O,6,0)),"")</f>
        <v/>
      </c>
      <c r="O2864" s="55" t="str">
        <f>IFERROR(IF(OR($B2864="",$B2864="(blank)"),"",VLOOKUP($B2864,'Email Marketing Raw Data'!$C:$O,7,0)),"")</f>
        <v/>
      </c>
      <c r="P2864" s="55" t="str">
        <f>IFERROR(IF(OR($B2864="",$B2864="(blank)"),"",VLOOKUP($B2864,'Email Marketing Raw Data'!$C:$O,8,0)),"")</f>
        <v/>
      </c>
      <c r="Q2864" s="62" t="str">
        <f>IFERROR(IF(OR($B2864="",$B2864="(blank)"),"",VLOOKUP($B2864,'Email Marketing Raw Data'!$C:$O,9,0)),"")</f>
        <v/>
      </c>
    </row>
    <row r="2865" spans="4:17" ht="12.75" customHeight="1" x14ac:dyDescent="0.2">
      <c r="D2865" s="58" t="str">
        <f>IFERROR(IF(F2865&lt;&gt;"pending","",IF(OR($B2865="",$B2865="(blank)"),"",VLOOKUP($B2865,'Email Marketing Raw Data'!$C:$O,10,0))),"")</f>
        <v/>
      </c>
      <c r="E2865" s="59" t="str">
        <f>IFERROR(IF(F2865&lt;&gt;"pending","",IF(OR($B2865="",$B2865="(blank)"),"",VLOOKUP($B2865,'Email Marketing Raw Data'!$C:$O,11,0))),"")</f>
        <v/>
      </c>
      <c r="F2865" s="54" t="str">
        <f>IFERROR(IF(OR($B2865="",$B2865="(blank)"),"",VLOOKUP($B2865,'Email Marketing Raw Data'!$C:$O,13,0)),"")</f>
        <v/>
      </c>
      <c r="G2865" s="55" t="str">
        <f>IFERROR(IF(OR($B2865="",$B2865="(blank)"),"",VLOOKUP($B2865,'Email Marketing Raw Data'!$C:$O,4,0)),"")</f>
        <v/>
      </c>
      <c r="H2865" s="55" t="str">
        <f>IFERROR(IF(OR($B2865="",$B2865="(blank)"),"",VLOOKUP($B2865,'Email Marketing Raw Data'!$C:$O,5,0)),"")</f>
        <v/>
      </c>
      <c r="I2865" s="55" t="str">
        <f>IFERROR(IF($G2865="","",VLOOKUP('Dashboard And Emails Automate'!$G2865,Database!$H:$N,3,0)),"")</f>
        <v/>
      </c>
      <c r="J2865" s="55" t="str">
        <f>IFERROR(IF($G2865="","",VLOOKUP('Dashboard And Emails Automate'!$G2865,Database!$H:$N,4,0)),"")</f>
        <v/>
      </c>
      <c r="K2865" s="55" t="str">
        <f>IFERROR(IF($G2865="","",VLOOKUP('Dashboard And Emails Automate'!$G2865,Database!$H:$N,5,0)),"")</f>
        <v/>
      </c>
      <c r="L2865" s="55" t="str">
        <f>IFERROR(IF($G2865="","",VLOOKUP('Dashboard And Emails Automate'!$G2865,Database!$H:$N,6,0)),"")</f>
        <v/>
      </c>
      <c r="M2865" s="55" t="str">
        <f>IFERROR(IF($G2865="","",VLOOKUP('Dashboard And Emails Automate'!$G2865,Database!$H:$N,7,0)),"")</f>
        <v/>
      </c>
      <c r="N2865" s="55" t="str">
        <f>IFERROR(IF(OR($B2865="",$B2865="(blank)"),"",VLOOKUP($B2865,'Email Marketing Raw Data'!$C:$O,6,0)),"")</f>
        <v/>
      </c>
      <c r="O2865" s="55" t="str">
        <f>IFERROR(IF(OR($B2865="",$B2865="(blank)"),"",VLOOKUP($B2865,'Email Marketing Raw Data'!$C:$O,7,0)),"")</f>
        <v/>
      </c>
      <c r="P2865" s="55" t="str">
        <f>IFERROR(IF(OR($B2865="",$B2865="(blank)"),"",VLOOKUP($B2865,'Email Marketing Raw Data'!$C:$O,8,0)),"")</f>
        <v/>
      </c>
      <c r="Q2865" s="62" t="str">
        <f>IFERROR(IF(OR($B2865="",$B2865="(blank)"),"",VLOOKUP($B2865,'Email Marketing Raw Data'!$C:$O,9,0)),"")</f>
        <v/>
      </c>
    </row>
    <row r="2866" spans="4:17" ht="12.75" customHeight="1" x14ac:dyDescent="0.2">
      <c r="D2866" s="58" t="str">
        <f>IFERROR(IF(F2866&lt;&gt;"pending","",IF(OR($B2866="",$B2866="(blank)"),"",VLOOKUP($B2866,'Email Marketing Raw Data'!$C:$O,10,0))),"")</f>
        <v/>
      </c>
      <c r="E2866" s="59" t="str">
        <f>IFERROR(IF(F2866&lt;&gt;"pending","",IF(OR($B2866="",$B2866="(blank)"),"",VLOOKUP($B2866,'Email Marketing Raw Data'!$C:$O,11,0))),"")</f>
        <v/>
      </c>
      <c r="F2866" s="54" t="str">
        <f>IFERROR(IF(OR($B2866="",$B2866="(blank)"),"",VLOOKUP($B2866,'Email Marketing Raw Data'!$C:$O,13,0)),"")</f>
        <v/>
      </c>
      <c r="G2866" s="55" t="str">
        <f>IFERROR(IF(OR($B2866="",$B2866="(blank)"),"",VLOOKUP($B2866,'Email Marketing Raw Data'!$C:$O,4,0)),"")</f>
        <v/>
      </c>
      <c r="H2866" s="55" t="str">
        <f>IFERROR(IF(OR($B2866="",$B2866="(blank)"),"",VLOOKUP($B2866,'Email Marketing Raw Data'!$C:$O,5,0)),"")</f>
        <v/>
      </c>
      <c r="I2866" s="55" t="str">
        <f>IFERROR(IF($G2866="","",VLOOKUP('Dashboard And Emails Automate'!$G2866,Database!$H:$N,3,0)),"")</f>
        <v/>
      </c>
      <c r="J2866" s="55" t="str">
        <f>IFERROR(IF($G2866="","",VLOOKUP('Dashboard And Emails Automate'!$G2866,Database!$H:$N,4,0)),"")</f>
        <v/>
      </c>
      <c r="K2866" s="55" t="str">
        <f>IFERROR(IF($G2866="","",VLOOKUP('Dashboard And Emails Automate'!$G2866,Database!$H:$N,5,0)),"")</f>
        <v/>
      </c>
      <c r="L2866" s="55" t="str">
        <f>IFERROR(IF($G2866="","",VLOOKUP('Dashboard And Emails Automate'!$G2866,Database!$H:$N,6,0)),"")</f>
        <v/>
      </c>
      <c r="M2866" s="55" t="str">
        <f>IFERROR(IF($G2866="","",VLOOKUP('Dashboard And Emails Automate'!$G2866,Database!$H:$N,7,0)),"")</f>
        <v/>
      </c>
      <c r="N2866" s="55" t="str">
        <f>IFERROR(IF(OR($B2866="",$B2866="(blank)"),"",VLOOKUP($B2866,'Email Marketing Raw Data'!$C:$O,6,0)),"")</f>
        <v/>
      </c>
      <c r="O2866" s="55" t="str">
        <f>IFERROR(IF(OR($B2866="",$B2866="(blank)"),"",VLOOKUP($B2866,'Email Marketing Raw Data'!$C:$O,7,0)),"")</f>
        <v/>
      </c>
      <c r="P2866" s="55" t="str">
        <f>IFERROR(IF(OR($B2866="",$B2866="(blank)"),"",VLOOKUP($B2866,'Email Marketing Raw Data'!$C:$O,8,0)),"")</f>
        <v/>
      </c>
      <c r="Q2866" s="62" t="str">
        <f>IFERROR(IF(OR($B2866="",$B2866="(blank)"),"",VLOOKUP($B2866,'Email Marketing Raw Data'!$C:$O,9,0)),"")</f>
        <v/>
      </c>
    </row>
    <row r="2867" spans="4:17" ht="12.75" customHeight="1" x14ac:dyDescent="0.2">
      <c r="D2867" s="58" t="str">
        <f>IFERROR(IF(F2867&lt;&gt;"pending","",IF(OR($B2867="",$B2867="(blank)"),"",VLOOKUP($B2867,'Email Marketing Raw Data'!$C:$O,10,0))),"")</f>
        <v/>
      </c>
      <c r="E2867" s="59" t="str">
        <f>IFERROR(IF(F2867&lt;&gt;"pending","",IF(OR($B2867="",$B2867="(blank)"),"",VLOOKUP($B2867,'Email Marketing Raw Data'!$C:$O,11,0))),"")</f>
        <v/>
      </c>
      <c r="F2867" s="54" t="str">
        <f>IFERROR(IF(OR($B2867="",$B2867="(blank)"),"",VLOOKUP($B2867,'Email Marketing Raw Data'!$C:$O,13,0)),"")</f>
        <v/>
      </c>
      <c r="G2867" s="55" t="str">
        <f>IFERROR(IF(OR($B2867="",$B2867="(blank)"),"",VLOOKUP($B2867,'Email Marketing Raw Data'!$C:$O,4,0)),"")</f>
        <v/>
      </c>
      <c r="H2867" s="55" t="str">
        <f>IFERROR(IF(OR($B2867="",$B2867="(blank)"),"",VLOOKUP($B2867,'Email Marketing Raw Data'!$C:$O,5,0)),"")</f>
        <v/>
      </c>
      <c r="I2867" s="55" t="str">
        <f>IFERROR(IF($G2867="","",VLOOKUP('Dashboard And Emails Automate'!$G2867,Database!$H:$N,3,0)),"")</f>
        <v/>
      </c>
      <c r="J2867" s="55" t="str">
        <f>IFERROR(IF($G2867="","",VLOOKUP('Dashboard And Emails Automate'!$G2867,Database!$H:$N,4,0)),"")</f>
        <v/>
      </c>
      <c r="K2867" s="55" t="str">
        <f>IFERROR(IF($G2867="","",VLOOKUP('Dashboard And Emails Automate'!$G2867,Database!$H:$N,5,0)),"")</f>
        <v/>
      </c>
      <c r="L2867" s="55" t="str">
        <f>IFERROR(IF($G2867="","",VLOOKUP('Dashboard And Emails Automate'!$G2867,Database!$H:$N,6,0)),"")</f>
        <v/>
      </c>
      <c r="M2867" s="55" t="str">
        <f>IFERROR(IF($G2867="","",VLOOKUP('Dashboard And Emails Automate'!$G2867,Database!$H:$N,7,0)),"")</f>
        <v/>
      </c>
      <c r="N2867" s="55" t="str">
        <f>IFERROR(IF(OR($B2867="",$B2867="(blank)"),"",VLOOKUP($B2867,'Email Marketing Raw Data'!$C:$O,6,0)),"")</f>
        <v/>
      </c>
      <c r="O2867" s="55" t="str">
        <f>IFERROR(IF(OR($B2867="",$B2867="(blank)"),"",VLOOKUP($B2867,'Email Marketing Raw Data'!$C:$O,7,0)),"")</f>
        <v/>
      </c>
      <c r="P2867" s="55" t="str">
        <f>IFERROR(IF(OR($B2867="",$B2867="(blank)"),"",VLOOKUP($B2867,'Email Marketing Raw Data'!$C:$O,8,0)),"")</f>
        <v/>
      </c>
      <c r="Q2867" s="62" t="str">
        <f>IFERROR(IF(OR($B2867="",$B2867="(blank)"),"",VLOOKUP($B2867,'Email Marketing Raw Data'!$C:$O,9,0)),"")</f>
        <v/>
      </c>
    </row>
    <row r="2868" spans="4:17" ht="12.75" customHeight="1" x14ac:dyDescent="0.2">
      <c r="D2868" s="58" t="str">
        <f>IFERROR(IF(F2868&lt;&gt;"pending","",IF(OR($B2868="",$B2868="(blank)"),"",VLOOKUP($B2868,'Email Marketing Raw Data'!$C:$O,10,0))),"")</f>
        <v/>
      </c>
      <c r="E2868" s="59" t="str">
        <f>IFERROR(IF(F2868&lt;&gt;"pending","",IF(OR($B2868="",$B2868="(blank)"),"",VLOOKUP($B2868,'Email Marketing Raw Data'!$C:$O,11,0))),"")</f>
        <v/>
      </c>
      <c r="F2868" s="54" t="str">
        <f>IFERROR(IF(OR($B2868="",$B2868="(blank)"),"",VLOOKUP($B2868,'Email Marketing Raw Data'!$C:$O,13,0)),"")</f>
        <v/>
      </c>
      <c r="G2868" s="55" t="str">
        <f>IFERROR(IF(OR($B2868="",$B2868="(blank)"),"",VLOOKUP($B2868,'Email Marketing Raw Data'!$C:$O,4,0)),"")</f>
        <v/>
      </c>
      <c r="H2868" s="55" t="str">
        <f>IFERROR(IF(OR($B2868="",$B2868="(blank)"),"",VLOOKUP($B2868,'Email Marketing Raw Data'!$C:$O,5,0)),"")</f>
        <v/>
      </c>
      <c r="I2868" s="55" t="str">
        <f>IFERROR(IF($G2868="","",VLOOKUP('Dashboard And Emails Automate'!$G2868,Database!$H:$N,3,0)),"")</f>
        <v/>
      </c>
      <c r="J2868" s="55" t="str">
        <f>IFERROR(IF($G2868="","",VLOOKUP('Dashboard And Emails Automate'!$G2868,Database!$H:$N,4,0)),"")</f>
        <v/>
      </c>
      <c r="K2868" s="55" t="str">
        <f>IFERROR(IF($G2868="","",VLOOKUP('Dashboard And Emails Automate'!$G2868,Database!$H:$N,5,0)),"")</f>
        <v/>
      </c>
      <c r="L2868" s="55" t="str">
        <f>IFERROR(IF($G2868="","",VLOOKUP('Dashboard And Emails Automate'!$G2868,Database!$H:$N,6,0)),"")</f>
        <v/>
      </c>
      <c r="M2868" s="55" t="str">
        <f>IFERROR(IF($G2868="","",VLOOKUP('Dashboard And Emails Automate'!$G2868,Database!$H:$N,7,0)),"")</f>
        <v/>
      </c>
      <c r="N2868" s="55" t="str">
        <f>IFERROR(IF(OR($B2868="",$B2868="(blank)"),"",VLOOKUP($B2868,'Email Marketing Raw Data'!$C:$O,6,0)),"")</f>
        <v/>
      </c>
      <c r="O2868" s="55" t="str">
        <f>IFERROR(IF(OR($B2868="",$B2868="(blank)"),"",VLOOKUP($B2868,'Email Marketing Raw Data'!$C:$O,7,0)),"")</f>
        <v/>
      </c>
      <c r="P2868" s="55" t="str">
        <f>IFERROR(IF(OR($B2868="",$B2868="(blank)"),"",VLOOKUP($B2868,'Email Marketing Raw Data'!$C:$O,8,0)),"")</f>
        <v/>
      </c>
      <c r="Q2868" s="62" t="str">
        <f>IFERROR(IF(OR($B2868="",$B2868="(blank)"),"",VLOOKUP($B2868,'Email Marketing Raw Data'!$C:$O,9,0)),"")</f>
        <v/>
      </c>
    </row>
    <row r="2869" spans="4:17" ht="12.75" customHeight="1" x14ac:dyDescent="0.2">
      <c r="D2869" s="58" t="str">
        <f>IFERROR(IF(F2869&lt;&gt;"pending","",IF(OR($B2869="",$B2869="(blank)"),"",VLOOKUP($B2869,'Email Marketing Raw Data'!$C:$O,10,0))),"")</f>
        <v/>
      </c>
      <c r="E2869" s="59" t="str">
        <f>IFERROR(IF(F2869&lt;&gt;"pending","",IF(OR($B2869="",$B2869="(blank)"),"",VLOOKUP($B2869,'Email Marketing Raw Data'!$C:$O,11,0))),"")</f>
        <v/>
      </c>
      <c r="F2869" s="54" t="str">
        <f>IFERROR(IF(OR($B2869="",$B2869="(blank)"),"",VLOOKUP($B2869,'Email Marketing Raw Data'!$C:$O,13,0)),"")</f>
        <v/>
      </c>
      <c r="G2869" s="55" t="str">
        <f>IFERROR(IF(OR($B2869="",$B2869="(blank)"),"",VLOOKUP($B2869,'Email Marketing Raw Data'!$C:$O,4,0)),"")</f>
        <v/>
      </c>
      <c r="H2869" s="55" t="str">
        <f>IFERROR(IF(OR($B2869="",$B2869="(blank)"),"",VLOOKUP($B2869,'Email Marketing Raw Data'!$C:$O,5,0)),"")</f>
        <v/>
      </c>
      <c r="I2869" s="55" t="str">
        <f>IFERROR(IF($G2869="","",VLOOKUP('Dashboard And Emails Automate'!$G2869,Database!$H:$N,3,0)),"")</f>
        <v/>
      </c>
      <c r="J2869" s="55" t="str">
        <f>IFERROR(IF($G2869="","",VLOOKUP('Dashboard And Emails Automate'!$G2869,Database!$H:$N,4,0)),"")</f>
        <v/>
      </c>
      <c r="K2869" s="55" t="str">
        <f>IFERROR(IF($G2869="","",VLOOKUP('Dashboard And Emails Automate'!$G2869,Database!$H:$N,5,0)),"")</f>
        <v/>
      </c>
      <c r="L2869" s="55" t="str">
        <f>IFERROR(IF($G2869="","",VLOOKUP('Dashboard And Emails Automate'!$G2869,Database!$H:$N,6,0)),"")</f>
        <v/>
      </c>
      <c r="M2869" s="55" t="str">
        <f>IFERROR(IF($G2869="","",VLOOKUP('Dashboard And Emails Automate'!$G2869,Database!$H:$N,7,0)),"")</f>
        <v/>
      </c>
      <c r="N2869" s="55" t="str">
        <f>IFERROR(IF(OR($B2869="",$B2869="(blank)"),"",VLOOKUP($B2869,'Email Marketing Raw Data'!$C:$O,6,0)),"")</f>
        <v/>
      </c>
      <c r="O2869" s="55" t="str">
        <f>IFERROR(IF(OR($B2869="",$B2869="(blank)"),"",VLOOKUP($B2869,'Email Marketing Raw Data'!$C:$O,7,0)),"")</f>
        <v/>
      </c>
      <c r="P2869" s="55" t="str">
        <f>IFERROR(IF(OR($B2869="",$B2869="(blank)"),"",VLOOKUP($B2869,'Email Marketing Raw Data'!$C:$O,8,0)),"")</f>
        <v/>
      </c>
      <c r="Q2869" s="62" t="str">
        <f>IFERROR(IF(OR($B2869="",$B2869="(blank)"),"",VLOOKUP($B2869,'Email Marketing Raw Data'!$C:$O,9,0)),"")</f>
        <v/>
      </c>
    </row>
    <row r="2870" spans="4:17" ht="12.75" customHeight="1" x14ac:dyDescent="0.2">
      <c r="D2870" s="58" t="str">
        <f>IFERROR(IF(F2870&lt;&gt;"pending","",IF(OR($B2870="",$B2870="(blank)"),"",VLOOKUP($B2870,'Email Marketing Raw Data'!$C:$O,10,0))),"")</f>
        <v/>
      </c>
      <c r="E2870" s="59" t="str">
        <f>IFERROR(IF(F2870&lt;&gt;"pending","",IF(OR($B2870="",$B2870="(blank)"),"",VLOOKUP($B2870,'Email Marketing Raw Data'!$C:$O,11,0))),"")</f>
        <v/>
      </c>
      <c r="F2870" s="54" t="str">
        <f>IFERROR(IF(OR($B2870="",$B2870="(blank)"),"",VLOOKUP($B2870,'Email Marketing Raw Data'!$C:$O,13,0)),"")</f>
        <v/>
      </c>
      <c r="G2870" s="55" t="str">
        <f>IFERROR(IF(OR($B2870="",$B2870="(blank)"),"",VLOOKUP($B2870,'Email Marketing Raw Data'!$C:$O,4,0)),"")</f>
        <v/>
      </c>
      <c r="H2870" s="55" t="str">
        <f>IFERROR(IF(OR($B2870="",$B2870="(blank)"),"",VLOOKUP($B2870,'Email Marketing Raw Data'!$C:$O,5,0)),"")</f>
        <v/>
      </c>
      <c r="I2870" s="55" t="str">
        <f>IFERROR(IF($G2870="","",VLOOKUP('Dashboard And Emails Automate'!$G2870,Database!$H:$N,3,0)),"")</f>
        <v/>
      </c>
      <c r="J2870" s="55" t="str">
        <f>IFERROR(IF($G2870="","",VLOOKUP('Dashboard And Emails Automate'!$G2870,Database!$H:$N,4,0)),"")</f>
        <v/>
      </c>
      <c r="K2870" s="55" t="str">
        <f>IFERROR(IF($G2870="","",VLOOKUP('Dashboard And Emails Automate'!$G2870,Database!$H:$N,5,0)),"")</f>
        <v/>
      </c>
      <c r="L2870" s="55" t="str">
        <f>IFERROR(IF($G2870="","",VLOOKUP('Dashboard And Emails Automate'!$G2870,Database!$H:$N,6,0)),"")</f>
        <v/>
      </c>
      <c r="M2870" s="55" t="str">
        <f>IFERROR(IF($G2870="","",VLOOKUP('Dashboard And Emails Automate'!$G2870,Database!$H:$N,7,0)),"")</f>
        <v/>
      </c>
      <c r="N2870" s="55" t="str">
        <f>IFERROR(IF(OR($B2870="",$B2870="(blank)"),"",VLOOKUP($B2870,'Email Marketing Raw Data'!$C:$O,6,0)),"")</f>
        <v/>
      </c>
      <c r="O2870" s="55" t="str">
        <f>IFERROR(IF(OR($B2870="",$B2870="(blank)"),"",VLOOKUP($B2870,'Email Marketing Raw Data'!$C:$O,7,0)),"")</f>
        <v/>
      </c>
      <c r="P2870" s="55" t="str">
        <f>IFERROR(IF(OR($B2870="",$B2870="(blank)"),"",VLOOKUP($B2870,'Email Marketing Raw Data'!$C:$O,8,0)),"")</f>
        <v/>
      </c>
      <c r="Q2870" s="62" t="str">
        <f>IFERROR(IF(OR($B2870="",$B2870="(blank)"),"",VLOOKUP($B2870,'Email Marketing Raw Data'!$C:$O,9,0)),"")</f>
        <v/>
      </c>
    </row>
    <row r="2871" spans="4:17" ht="12.75" customHeight="1" x14ac:dyDescent="0.2">
      <c r="D2871" s="58" t="str">
        <f>IFERROR(IF(F2871&lt;&gt;"pending","",IF(OR($B2871="",$B2871="(blank)"),"",VLOOKUP($B2871,'Email Marketing Raw Data'!$C:$O,10,0))),"")</f>
        <v/>
      </c>
      <c r="E2871" s="59" t="str">
        <f>IFERROR(IF(F2871&lt;&gt;"pending","",IF(OR($B2871="",$B2871="(blank)"),"",VLOOKUP($B2871,'Email Marketing Raw Data'!$C:$O,11,0))),"")</f>
        <v/>
      </c>
      <c r="F2871" s="54" t="str">
        <f>IFERROR(IF(OR($B2871="",$B2871="(blank)"),"",VLOOKUP($B2871,'Email Marketing Raw Data'!$C:$O,13,0)),"")</f>
        <v/>
      </c>
      <c r="G2871" s="55" t="str">
        <f>IFERROR(IF(OR($B2871="",$B2871="(blank)"),"",VLOOKUP($B2871,'Email Marketing Raw Data'!$C:$O,4,0)),"")</f>
        <v/>
      </c>
      <c r="H2871" s="55" t="str">
        <f>IFERROR(IF(OR($B2871="",$B2871="(blank)"),"",VLOOKUP($B2871,'Email Marketing Raw Data'!$C:$O,5,0)),"")</f>
        <v/>
      </c>
      <c r="I2871" s="55" t="str">
        <f>IFERROR(IF($G2871="","",VLOOKUP('Dashboard And Emails Automate'!$G2871,Database!$H:$N,3,0)),"")</f>
        <v/>
      </c>
      <c r="J2871" s="55" t="str">
        <f>IFERROR(IF($G2871="","",VLOOKUP('Dashboard And Emails Automate'!$G2871,Database!$H:$N,4,0)),"")</f>
        <v/>
      </c>
      <c r="K2871" s="55" t="str">
        <f>IFERROR(IF($G2871="","",VLOOKUP('Dashboard And Emails Automate'!$G2871,Database!$H:$N,5,0)),"")</f>
        <v/>
      </c>
      <c r="L2871" s="55" t="str">
        <f>IFERROR(IF($G2871="","",VLOOKUP('Dashboard And Emails Automate'!$G2871,Database!$H:$N,6,0)),"")</f>
        <v/>
      </c>
      <c r="M2871" s="55" t="str">
        <f>IFERROR(IF($G2871="","",VLOOKUP('Dashboard And Emails Automate'!$G2871,Database!$H:$N,7,0)),"")</f>
        <v/>
      </c>
      <c r="N2871" s="55" t="str">
        <f>IFERROR(IF(OR($B2871="",$B2871="(blank)"),"",VLOOKUP($B2871,'Email Marketing Raw Data'!$C:$O,6,0)),"")</f>
        <v/>
      </c>
      <c r="O2871" s="55" t="str">
        <f>IFERROR(IF(OR($B2871="",$B2871="(blank)"),"",VLOOKUP($B2871,'Email Marketing Raw Data'!$C:$O,7,0)),"")</f>
        <v/>
      </c>
      <c r="P2871" s="55" t="str">
        <f>IFERROR(IF(OR($B2871="",$B2871="(blank)"),"",VLOOKUP($B2871,'Email Marketing Raw Data'!$C:$O,8,0)),"")</f>
        <v/>
      </c>
      <c r="Q2871" s="62" t="str">
        <f>IFERROR(IF(OR($B2871="",$B2871="(blank)"),"",VLOOKUP($B2871,'Email Marketing Raw Data'!$C:$O,9,0)),"")</f>
        <v/>
      </c>
    </row>
    <row r="2872" spans="4:17" ht="12.75" customHeight="1" x14ac:dyDescent="0.2">
      <c r="D2872" s="58" t="str">
        <f>IFERROR(IF(F2872&lt;&gt;"pending","",IF(OR($B2872="",$B2872="(blank)"),"",VLOOKUP($B2872,'Email Marketing Raw Data'!$C:$O,10,0))),"")</f>
        <v/>
      </c>
      <c r="E2872" s="59" t="str">
        <f>IFERROR(IF(F2872&lt;&gt;"pending","",IF(OR($B2872="",$B2872="(blank)"),"",VLOOKUP($B2872,'Email Marketing Raw Data'!$C:$O,11,0))),"")</f>
        <v/>
      </c>
      <c r="F2872" s="54" t="str">
        <f>IFERROR(IF(OR($B2872="",$B2872="(blank)"),"",VLOOKUP($B2872,'Email Marketing Raw Data'!$C:$O,13,0)),"")</f>
        <v/>
      </c>
      <c r="G2872" s="55" t="str">
        <f>IFERROR(IF(OR($B2872="",$B2872="(blank)"),"",VLOOKUP($B2872,'Email Marketing Raw Data'!$C:$O,4,0)),"")</f>
        <v/>
      </c>
      <c r="H2872" s="55" t="str">
        <f>IFERROR(IF(OR($B2872="",$B2872="(blank)"),"",VLOOKUP($B2872,'Email Marketing Raw Data'!$C:$O,5,0)),"")</f>
        <v/>
      </c>
      <c r="I2872" s="55" t="str">
        <f>IFERROR(IF($G2872="","",VLOOKUP('Dashboard And Emails Automate'!$G2872,Database!$H:$N,3,0)),"")</f>
        <v/>
      </c>
      <c r="J2872" s="55" t="str">
        <f>IFERROR(IF($G2872="","",VLOOKUP('Dashboard And Emails Automate'!$G2872,Database!$H:$N,4,0)),"")</f>
        <v/>
      </c>
      <c r="K2872" s="55" t="str">
        <f>IFERROR(IF($G2872="","",VLOOKUP('Dashboard And Emails Automate'!$G2872,Database!$H:$N,5,0)),"")</f>
        <v/>
      </c>
      <c r="L2872" s="55" t="str">
        <f>IFERROR(IF($G2872="","",VLOOKUP('Dashboard And Emails Automate'!$G2872,Database!$H:$N,6,0)),"")</f>
        <v/>
      </c>
      <c r="M2872" s="55" t="str">
        <f>IFERROR(IF($G2872="","",VLOOKUP('Dashboard And Emails Automate'!$G2872,Database!$H:$N,7,0)),"")</f>
        <v/>
      </c>
      <c r="N2872" s="55" t="str">
        <f>IFERROR(IF(OR($B2872="",$B2872="(blank)"),"",VLOOKUP($B2872,'Email Marketing Raw Data'!$C:$O,6,0)),"")</f>
        <v/>
      </c>
      <c r="O2872" s="55" t="str">
        <f>IFERROR(IF(OR($B2872="",$B2872="(blank)"),"",VLOOKUP($B2872,'Email Marketing Raw Data'!$C:$O,7,0)),"")</f>
        <v/>
      </c>
      <c r="P2872" s="55" t="str">
        <f>IFERROR(IF(OR($B2872="",$B2872="(blank)"),"",VLOOKUP($B2872,'Email Marketing Raw Data'!$C:$O,8,0)),"")</f>
        <v/>
      </c>
      <c r="Q2872" s="62" t="str">
        <f>IFERROR(IF(OR($B2872="",$B2872="(blank)"),"",VLOOKUP($B2872,'Email Marketing Raw Data'!$C:$O,9,0)),"")</f>
        <v/>
      </c>
    </row>
    <row r="2873" spans="4:17" ht="12.75" customHeight="1" x14ac:dyDescent="0.2">
      <c r="D2873" s="58" t="str">
        <f>IFERROR(IF(F2873&lt;&gt;"pending","",IF(OR($B2873="",$B2873="(blank)"),"",VLOOKUP($B2873,'Email Marketing Raw Data'!$C:$O,10,0))),"")</f>
        <v/>
      </c>
      <c r="E2873" s="59" t="str">
        <f>IFERROR(IF(F2873&lt;&gt;"pending","",IF(OR($B2873="",$B2873="(blank)"),"",VLOOKUP($B2873,'Email Marketing Raw Data'!$C:$O,11,0))),"")</f>
        <v/>
      </c>
      <c r="F2873" s="54" t="str">
        <f>IFERROR(IF(OR($B2873="",$B2873="(blank)"),"",VLOOKUP($B2873,'Email Marketing Raw Data'!$C:$O,13,0)),"")</f>
        <v/>
      </c>
      <c r="G2873" s="55" t="str">
        <f>IFERROR(IF(OR($B2873="",$B2873="(blank)"),"",VLOOKUP($B2873,'Email Marketing Raw Data'!$C:$O,4,0)),"")</f>
        <v/>
      </c>
      <c r="H2873" s="55" t="str">
        <f>IFERROR(IF(OR($B2873="",$B2873="(blank)"),"",VLOOKUP($B2873,'Email Marketing Raw Data'!$C:$O,5,0)),"")</f>
        <v/>
      </c>
      <c r="I2873" s="55" t="str">
        <f>IFERROR(IF($G2873="","",VLOOKUP('Dashboard And Emails Automate'!$G2873,Database!$H:$N,3,0)),"")</f>
        <v/>
      </c>
      <c r="J2873" s="55" t="str">
        <f>IFERROR(IF($G2873="","",VLOOKUP('Dashboard And Emails Automate'!$G2873,Database!$H:$N,4,0)),"")</f>
        <v/>
      </c>
      <c r="K2873" s="55" t="str">
        <f>IFERROR(IF($G2873="","",VLOOKUP('Dashboard And Emails Automate'!$G2873,Database!$H:$N,5,0)),"")</f>
        <v/>
      </c>
      <c r="L2873" s="55" t="str">
        <f>IFERROR(IF($G2873="","",VLOOKUP('Dashboard And Emails Automate'!$G2873,Database!$H:$N,6,0)),"")</f>
        <v/>
      </c>
      <c r="M2873" s="55" t="str">
        <f>IFERROR(IF($G2873="","",VLOOKUP('Dashboard And Emails Automate'!$G2873,Database!$H:$N,7,0)),"")</f>
        <v/>
      </c>
      <c r="N2873" s="55" t="str">
        <f>IFERROR(IF(OR($B2873="",$B2873="(blank)"),"",VLOOKUP($B2873,'Email Marketing Raw Data'!$C:$O,6,0)),"")</f>
        <v/>
      </c>
      <c r="O2873" s="55" t="str">
        <f>IFERROR(IF(OR($B2873="",$B2873="(blank)"),"",VLOOKUP($B2873,'Email Marketing Raw Data'!$C:$O,7,0)),"")</f>
        <v/>
      </c>
      <c r="P2873" s="55" t="str">
        <f>IFERROR(IF(OR($B2873="",$B2873="(blank)"),"",VLOOKUP($B2873,'Email Marketing Raw Data'!$C:$O,8,0)),"")</f>
        <v/>
      </c>
      <c r="Q2873" s="62" t="str">
        <f>IFERROR(IF(OR($B2873="",$B2873="(blank)"),"",VLOOKUP($B2873,'Email Marketing Raw Data'!$C:$O,9,0)),"")</f>
        <v/>
      </c>
    </row>
    <row r="2874" spans="4:17" ht="12.75" customHeight="1" x14ac:dyDescent="0.2">
      <c r="D2874" s="58" t="str">
        <f>IFERROR(IF(F2874&lt;&gt;"pending","",IF(OR($B2874="",$B2874="(blank)"),"",VLOOKUP($B2874,'Email Marketing Raw Data'!$C:$O,10,0))),"")</f>
        <v/>
      </c>
      <c r="E2874" s="59" t="str">
        <f>IFERROR(IF(F2874&lt;&gt;"pending","",IF(OR($B2874="",$B2874="(blank)"),"",VLOOKUP($B2874,'Email Marketing Raw Data'!$C:$O,11,0))),"")</f>
        <v/>
      </c>
      <c r="F2874" s="54" t="str">
        <f>IFERROR(IF(OR($B2874="",$B2874="(blank)"),"",VLOOKUP($B2874,'Email Marketing Raw Data'!$C:$O,13,0)),"")</f>
        <v/>
      </c>
      <c r="G2874" s="55" t="str">
        <f>IFERROR(IF(OR($B2874="",$B2874="(blank)"),"",VLOOKUP($B2874,'Email Marketing Raw Data'!$C:$O,4,0)),"")</f>
        <v/>
      </c>
      <c r="H2874" s="55" t="str">
        <f>IFERROR(IF(OR($B2874="",$B2874="(blank)"),"",VLOOKUP($B2874,'Email Marketing Raw Data'!$C:$O,5,0)),"")</f>
        <v/>
      </c>
      <c r="I2874" s="55" t="str">
        <f>IFERROR(IF($G2874="","",VLOOKUP('Dashboard And Emails Automate'!$G2874,Database!$H:$N,3,0)),"")</f>
        <v/>
      </c>
      <c r="J2874" s="55" t="str">
        <f>IFERROR(IF($G2874="","",VLOOKUP('Dashboard And Emails Automate'!$G2874,Database!$H:$N,4,0)),"")</f>
        <v/>
      </c>
      <c r="K2874" s="55" t="str">
        <f>IFERROR(IF($G2874="","",VLOOKUP('Dashboard And Emails Automate'!$G2874,Database!$H:$N,5,0)),"")</f>
        <v/>
      </c>
      <c r="L2874" s="55" t="str">
        <f>IFERROR(IF($G2874="","",VLOOKUP('Dashboard And Emails Automate'!$G2874,Database!$H:$N,6,0)),"")</f>
        <v/>
      </c>
      <c r="M2874" s="55" t="str">
        <f>IFERROR(IF($G2874="","",VLOOKUP('Dashboard And Emails Automate'!$G2874,Database!$H:$N,7,0)),"")</f>
        <v/>
      </c>
      <c r="N2874" s="55" t="str">
        <f>IFERROR(IF(OR($B2874="",$B2874="(blank)"),"",VLOOKUP($B2874,'Email Marketing Raw Data'!$C:$O,6,0)),"")</f>
        <v/>
      </c>
      <c r="O2874" s="55" t="str">
        <f>IFERROR(IF(OR($B2874="",$B2874="(blank)"),"",VLOOKUP($B2874,'Email Marketing Raw Data'!$C:$O,7,0)),"")</f>
        <v/>
      </c>
      <c r="P2874" s="55" t="str">
        <f>IFERROR(IF(OR($B2874="",$B2874="(blank)"),"",VLOOKUP($B2874,'Email Marketing Raw Data'!$C:$O,8,0)),"")</f>
        <v/>
      </c>
      <c r="Q2874" s="62" t="str">
        <f>IFERROR(IF(OR($B2874="",$B2874="(blank)"),"",VLOOKUP($B2874,'Email Marketing Raw Data'!$C:$O,9,0)),"")</f>
        <v/>
      </c>
    </row>
    <row r="2875" spans="4:17" ht="12.75" customHeight="1" x14ac:dyDescent="0.2">
      <c r="D2875" s="58" t="str">
        <f>IFERROR(IF(F2875&lt;&gt;"pending","",IF(OR($B2875="",$B2875="(blank)"),"",VLOOKUP($B2875,'Email Marketing Raw Data'!$C:$O,10,0))),"")</f>
        <v/>
      </c>
      <c r="E2875" s="59" t="str">
        <f>IFERROR(IF(F2875&lt;&gt;"pending","",IF(OR($B2875="",$B2875="(blank)"),"",VLOOKUP($B2875,'Email Marketing Raw Data'!$C:$O,11,0))),"")</f>
        <v/>
      </c>
      <c r="F2875" s="54" t="str">
        <f>IFERROR(IF(OR($B2875="",$B2875="(blank)"),"",VLOOKUP($B2875,'Email Marketing Raw Data'!$C:$O,13,0)),"")</f>
        <v/>
      </c>
      <c r="G2875" s="55" t="str">
        <f>IFERROR(IF(OR($B2875="",$B2875="(blank)"),"",VLOOKUP($B2875,'Email Marketing Raw Data'!$C:$O,4,0)),"")</f>
        <v/>
      </c>
      <c r="H2875" s="55" t="str">
        <f>IFERROR(IF(OR($B2875="",$B2875="(blank)"),"",VLOOKUP($B2875,'Email Marketing Raw Data'!$C:$O,5,0)),"")</f>
        <v/>
      </c>
      <c r="I2875" s="55" t="str">
        <f>IFERROR(IF($G2875="","",VLOOKUP('Dashboard And Emails Automate'!$G2875,Database!$H:$N,3,0)),"")</f>
        <v/>
      </c>
      <c r="J2875" s="55" t="str">
        <f>IFERROR(IF($G2875="","",VLOOKUP('Dashboard And Emails Automate'!$G2875,Database!$H:$N,4,0)),"")</f>
        <v/>
      </c>
      <c r="K2875" s="55" t="str">
        <f>IFERROR(IF($G2875="","",VLOOKUP('Dashboard And Emails Automate'!$G2875,Database!$H:$N,5,0)),"")</f>
        <v/>
      </c>
      <c r="L2875" s="55" t="str">
        <f>IFERROR(IF($G2875="","",VLOOKUP('Dashboard And Emails Automate'!$G2875,Database!$H:$N,6,0)),"")</f>
        <v/>
      </c>
      <c r="M2875" s="55" t="str">
        <f>IFERROR(IF($G2875="","",VLOOKUP('Dashboard And Emails Automate'!$G2875,Database!$H:$N,7,0)),"")</f>
        <v/>
      </c>
      <c r="N2875" s="55" t="str">
        <f>IFERROR(IF(OR($B2875="",$B2875="(blank)"),"",VLOOKUP($B2875,'Email Marketing Raw Data'!$C:$O,6,0)),"")</f>
        <v/>
      </c>
      <c r="O2875" s="55" t="str">
        <f>IFERROR(IF(OR($B2875="",$B2875="(blank)"),"",VLOOKUP($B2875,'Email Marketing Raw Data'!$C:$O,7,0)),"")</f>
        <v/>
      </c>
      <c r="P2875" s="55" t="str">
        <f>IFERROR(IF(OR($B2875="",$B2875="(blank)"),"",VLOOKUP($B2875,'Email Marketing Raw Data'!$C:$O,8,0)),"")</f>
        <v/>
      </c>
      <c r="Q2875" s="62" t="str">
        <f>IFERROR(IF(OR($B2875="",$B2875="(blank)"),"",VLOOKUP($B2875,'Email Marketing Raw Data'!$C:$O,9,0)),"")</f>
        <v/>
      </c>
    </row>
    <row r="2876" spans="4:17" ht="12.75" customHeight="1" x14ac:dyDescent="0.2">
      <c r="D2876" s="58" t="str">
        <f>IFERROR(IF(F2876&lt;&gt;"pending","",IF(OR($B2876="",$B2876="(blank)"),"",VLOOKUP($B2876,'Email Marketing Raw Data'!$C:$O,10,0))),"")</f>
        <v/>
      </c>
      <c r="E2876" s="59" t="str">
        <f>IFERROR(IF(F2876&lt;&gt;"pending","",IF(OR($B2876="",$B2876="(blank)"),"",VLOOKUP($B2876,'Email Marketing Raw Data'!$C:$O,11,0))),"")</f>
        <v/>
      </c>
      <c r="F2876" s="54" t="str">
        <f>IFERROR(IF(OR($B2876="",$B2876="(blank)"),"",VLOOKUP($B2876,'Email Marketing Raw Data'!$C:$O,13,0)),"")</f>
        <v/>
      </c>
      <c r="G2876" s="55" t="str">
        <f>IFERROR(IF(OR($B2876="",$B2876="(blank)"),"",VLOOKUP($B2876,'Email Marketing Raw Data'!$C:$O,4,0)),"")</f>
        <v/>
      </c>
      <c r="H2876" s="55" t="str">
        <f>IFERROR(IF(OR($B2876="",$B2876="(blank)"),"",VLOOKUP($B2876,'Email Marketing Raw Data'!$C:$O,5,0)),"")</f>
        <v/>
      </c>
      <c r="I2876" s="55" t="str">
        <f>IFERROR(IF($G2876="","",VLOOKUP('Dashboard And Emails Automate'!$G2876,Database!$H:$N,3,0)),"")</f>
        <v/>
      </c>
      <c r="J2876" s="55" t="str">
        <f>IFERROR(IF($G2876="","",VLOOKUP('Dashboard And Emails Automate'!$G2876,Database!$H:$N,4,0)),"")</f>
        <v/>
      </c>
      <c r="K2876" s="55" t="str">
        <f>IFERROR(IF($G2876="","",VLOOKUP('Dashboard And Emails Automate'!$G2876,Database!$H:$N,5,0)),"")</f>
        <v/>
      </c>
      <c r="L2876" s="55" t="str">
        <f>IFERROR(IF($G2876="","",VLOOKUP('Dashboard And Emails Automate'!$G2876,Database!$H:$N,6,0)),"")</f>
        <v/>
      </c>
      <c r="M2876" s="55" t="str">
        <f>IFERROR(IF($G2876="","",VLOOKUP('Dashboard And Emails Automate'!$G2876,Database!$H:$N,7,0)),"")</f>
        <v/>
      </c>
      <c r="N2876" s="55" t="str">
        <f>IFERROR(IF(OR($B2876="",$B2876="(blank)"),"",VLOOKUP($B2876,'Email Marketing Raw Data'!$C:$O,6,0)),"")</f>
        <v/>
      </c>
      <c r="O2876" s="55" t="str">
        <f>IFERROR(IF(OR($B2876="",$B2876="(blank)"),"",VLOOKUP($B2876,'Email Marketing Raw Data'!$C:$O,7,0)),"")</f>
        <v/>
      </c>
      <c r="P2876" s="55" t="str">
        <f>IFERROR(IF(OR($B2876="",$B2876="(blank)"),"",VLOOKUP($B2876,'Email Marketing Raw Data'!$C:$O,8,0)),"")</f>
        <v/>
      </c>
      <c r="Q2876" s="62" t="str">
        <f>IFERROR(IF(OR($B2876="",$B2876="(blank)"),"",VLOOKUP($B2876,'Email Marketing Raw Data'!$C:$O,9,0)),"")</f>
        <v/>
      </c>
    </row>
    <row r="2877" spans="4:17" ht="12.75" customHeight="1" x14ac:dyDescent="0.2">
      <c r="D2877" s="58" t="str">
        <f>IFERROR(IF(F2877&lt;&gt;"pending","",IF(OR($B2877="",$B2877="(blank)"),"",VLOOKUP($B2877,'Email Marketing Raw Data'!$C:$O,10,0))),"")</f>
        <v/>
      </c>
      <c r="E2877" s="59" t="str">
        <f>IFERROR(IF(F2877&lt;&gt;"pending","",IF(OR($B2877="",$B2877="(blank)"),"",VLOOKUP($B2877,'Email Marketing Raw Data'!$C:$O,11,0))),"")</f>
        <v/>
      </c>
      <c r="F2877" s="54" t="str">
        <f>IFERROR(IF(OR($B2877="",$B2877="(blank)"),"",VLOOKUP($B2877,'Email Marketing Raw Data'!$C:$O,13,0)),"")</f>
        <v/>
      </c>
      <c r="G2877" s="55" t="str">
        <f>IFERROR(IF(OR($B2877="",$B2877="(blank)"),"",VLOOKUP($B2877,'Email Marketing Raw Data'!$C:$O,4,0)),"")</f>
        <v/>
      </c>
      <c r="H2877" s="55" t="str">
        <f>IFERROR(IF(OR($B2877="",$B2877="(blank)"),"",VLOOKUP($B2877,'Email Marketing Raw Data'!$C:$O,5,0)),"")</f>
        <v/>
      </c>
      <c r="I2877" s="55" t="str">
        <f>IFERROR(IF($G2877="","",VLOOKUP('Dashboard And Emails Automate'!$G2877,Database!$H:$N,3,0)),"")</f>
        <v/>
      </c>
      <c r="J2877" s="55" t="str">
        <f>IFERROR(IF($G2877="","",VLOOKUP('Dashboard And Emails Automate'!$G2877,Database!$H:$N,4,0)),"")</f>
        <v/>
      </c>
      <c r="K2877" s="55" t="str">
        <f>IFERROR(IF($G2877="","",VLOOKUP('Dashboard And Emails Automate'!$G2877,Database!$H:$N,5,0)),"")</f>
        <v/>
      </c>
      <c r="L2877" s="55" t="str">
        <f>IFERROR(IF($G2877="","",VLOOKUP('Dashboard And Emails Automate'!$G2877,Database!$H:$N,6,0)),"")</f>
        <v/>
      </c>
      <c r="M2877" s="55" t="str">
        <f>IFERROR(IF($G2877="","",VLOOKUP('Dashboard And Emails Automate'!$G2877,Database!$H:$N,7,0)),"")</f>
        <v/>
      </c>
      <c r="N2877" s="55" t="str">
        <f>IFERROR(IF(OR($B2877="",$B2877="(blank)"),"",VLOOKUP($B2877,'Email Marketing Raw Data'!$C:$O,6,0)),"")</f>
        <v/>
      </c>
      <c r="O2877" s="55" t="str">
        <f>IFERROR(IF(OR($B2877="",$B2877="(blank)"),"",VLOOKUP($B2877,'Email Marketing Raw Data'!$C:$O,7,0)),"")</f>
        <v/>
      </c>
      <c r="P2877" s="55" t="str">
        <f>IFERROR(IF(OR($B2877="",$B2877="(blank)"),"",VLOOKUP($B2877,'Email Marketing Raw Data'!$C:$O,8,0)),"")</f>
        <v/>
      </c>
      <c r="Q2877" s="62" t="str">
        <f>IFERROR(IF(OR($B2877="",$B2877="(blank)"),"",VLOOKUP($B2877,'Email Marketing Raw Data'!$C:$O,9,0)),"")</f>
        <v/>
      </c>
    </row>
    <row r="2878" spans="4:17" ht="12.75" customHeight="1" x14ac:dyDescent="0.2">
      <c r="D2878" s="58" t="str">
        <f>IFERROR(IF(F2878&lt;&gt;"pending","",IF(OR($B2878="",$B2878="(blank)"),"",VLOOKUP($B2878,'Email Marketing Raw Data'!$C:$O,10,0))),"")</f>
        <v/>
      </c>
      <c r="E2878" s="59" t="str">
        <f>IFERROR(IF(F2878&lt;&gt;"pending","",IF(OR($B2878="",$B2878="(blank)"),"",VLOOKUP($B2878,'Email Marketing Raw Data'!$C:$O,11,0))),"")</f>
        <v/>
      </c>
      <c r="F2878" s="54" t="str">
        <f>IFERROR(IF(OR($B2878="",$B2878="(blank)"),"",VLOOKUP($B2878,'Email Marketing Raw Data'!$C:$O,13,0)),"")</f>
        <v/>
      </c>
      <c r="G2878" s="55" t="str">
        <f>IFERROR(IF(OR($B2878="",$B2878="(blank)"),"",VLOOKUP($B2878,'Email Marketing Raw Data'!$C:$O,4,0)),"")</f>
        <v/>
      </c>
      <c r="H2878" s="55" t="str">
        <f>IFERROR(IF(OR($B2878="",$B2878="(blank)"),"",VLOOKUP($B2878,'Email Marketing Raw Data'!$C:$O,5,0)),"")</f>
        <v/>
      </c>
      <c r="I2878" s="55" t="str">
        <f>IFERROR(IF($G2878="","",VLOOKUP('Dashboard And Emails Automate'!$G2878,Database!$H:$N,3,0)),"")</f>
        <v/>
      </c>
      <c r="J2878" s="55" t="str">
        <f>IFERROR(IF($G2878="","",VLOOKUP('Dashboard And Emails Automate'!$G2878,Database!$H:$N,4,0)),"")</f>
        <v/>
      </c>
      <c r="K2878" s="55" t="str">
        <f>IFERROR(IF($G2878="","",VLOOKUP('Dashboard And Emails Automate'!$G2878,Database!$H:$N,5,0)),"")</f>
        <v/>
      </c>
      <c r="L2878" s="55" t="str">
        <f>IFERROR(IF($G2878="","",VLOOKUP('Dashboard And Emails Automate'!$G2878,Database!$H:$N,6,0)),"")</f>
        <v/>
      </c>
      <c r="M2878" s="55" t="str">
        <f>IFERROR(IF($G2878="","",VLOOKUP('Dashboard And Emails Automate'!$G2878,Database!$H:$N,7,0)),"")</f>
        <v/>
      </c>
      <c r="N2878" s="55" t="str">
        <f>IFERROR(IF(OR($B2878="",$B2878="(blank)"),"",VLOOKUP($B2878,'Email Marketing Raw Data'!$C:$O,6,0)),"")</f>
        <v/>
      </c>
      <c r="O2878" s="55" t="str">
        <f>IFERROR(IF(OR($B2878="",$B2878="(blank)"),"",VLOOKUP($B2878,'Email Marketing Raw Data'!$C:$O,7,0)),"")</f>
        <v/>
      </c>
      <c r="P2878" s="55" t="str">
        <f>IFERROR(IF(OR($B2878="",$B2878="(blank)"),"",VLOOKUP($B2878,'Email Marketing Raw Data'!$C:$O,8,0)),"")</f>
        <v/>
      </c>
      <c r="Q2878" s="62" t="str">
        <f>IFERROR(IF(OR($B2878="",$B2878="(blank)"),"",VLOOKUP($B2878,'Email Marketing Raw Data'!$C:$O,9,0)),"")</f>
        <v/>
      </c>
    </row>
    <row r="2879" spans="4:17" ht="12.75" customHeight="1" x14ac:dyDescent="0.2">
      <c r="D2879" s="58" t="str">
        <f>IFERROR(IF(F2879&lt;&gt;"pending","",IF(OR($B2879="",$B2879="(blank)"),"",VLOOKUP($B2879,'Email Marketing Raw Data'!$C:$O,10,0))),"")</f>
        <v/>
      </c>
      <c r="E2879" s="59" t="str">
        <f>IFERROR(IF(F2879&lt;&gt;"pending","",IF(OR($B2879="",$B2879="(blank)"),"",VLOOKUP($B2879,'Email Marketing Raw Data'!$C:$O,11,0))),"")</f>
        <v/>
      </c>
      <c r="F2879" s="54" t="str">
        <f>IFERROR(IF(OR($B2879="",$B2879="(blank)"),"",VLOOKUP($B2879,'Email Marketing Raw Data'!$C:$O,13,0)),"")</f>
        <v/>
      </c>
      <c r="G2879" s="55" t="str">
        <f>IFERROR(IF(OR($B2879="",$B2879="(blank)"),"",VLOOKUP($B2879,'Email Marketing Raw Data'!$C:$O,4,0)),"")</f>
        <v/>
      </c>
      <c r="H2879" s="55" t="str">
        <f>IFERROR(IF(OR($B2879="",$B2879="(blank)"),"",VLOOKUP($B2879,'Email Marketing Raw Data'!$C:$O,5,0)),"")</f>
        <v/>
      </c>
      <c r="I2879" s="55" t="str">
        <f>IFERROR(IF($G2879="","",VLOOKUP('Dashboard And Emails Automate'!$G2879,Database!$H:$N,3,0)),"")</f>
        <v/>
      </c>
      <c r="J2879" s="55" t="str">
        <f>IFERROR(IF($G2879="","",VLOOKUP('Dashboard And Emails Automate'!$G2879,Database!$H:$N,4,0)),"")</f>
        <v/>
      </c>
      <c r="K2879" s="55" t="str">
        <f>IFERROR(IF($G2879="","",VLOOKUP('Dashboard And Emails Automate'!$G2879,Database!$H:$N,5,0)),"")</f>
        <v/>
      </c>
      <c r="L2879" s="55" t="str">
        <f>IFERROR(IF($G2879="","",VLOOKUP('Dashboard And Emails Automate'!$G2879,Database!$H:$N,6,0)),"")</f>
        <v/>
      </c>
      <c r="M2879" s="55" t="str">
        <f>IFERROR(IF($G2879="","",VLOOKUP('Dashboard And Emails Automate'!$G2879,Database!$H:$N,7,0)),"")</f>
        <v/>
      </c>
      <c r="N2879" s="55" t="str">
        <f>IFERROR(IF(OR($B2879="",$B2879="(blank)"),"",VLOOKUP($B2879,'Email Marketing Raw Data'!$C:$O,6,0)),"")</f>
        <v/>
      </c>
      <c r="O2879" s="55" t="str">
        <f>IFERROR(IF(OR($B2879="",$B2879="(blank)"),"",VLOOKUP($B2879,'Email Marketing Raw Data'!$C:$O,7,0)),"")</f>
        <v/>
      </c>
      <c r="P2879" s="55" t="str">
        <f>IFERROR(IF(OR($B2879="",$B2879="(blank)"),"",VLOOKUP($B2879,'Email Marketing Raw Data'!$C:$O,8,0)),"")</f>
        <v/>
      </c>
      <c r="Q2879" s="62" t="str">
        <f>IFERROR(IF(OR($B2879="",$B2879="(blank)"),"",VLOOKUP($B2879,'Email Marketing Raw Data'!$C:$O,9,0)),"")</f>
        <v/>
      </c>
    </row>
    <row r="2880" spans="4:17" ht="12.75" customHeight="1" x14ac:dyDescent="0.2">
      <c r="D2880" s="58" t="str">
        <f>IFERROR(IF(F2880&lt;&gt;"pending","",IF(OR($B2880="",$B2880="(blank)"),"",VLOOKUP($B2880,'Email Marketing Raw Data'!$C:$O,10,0))),"")</f>
        <v/>
      </c>
      <c r="E2880" s="59" t="str">
        <f>IFERROR(IF(F2880&lt;&gt;"pending","",IF(OR($B2880="",$B2880="(blank)"),"",VLOOKUP($B2880,'Email Marketing Raw Data'!$C:$O,11,0))),"")</f>
        <v/>
      </c>
      <c r="F2880" s="54" t="str">
        <f>IFERROR(IF(OR($B2880="",$B2880="(blank)"),"",VLOOKUP($B2880,'Email Marketing Raw Data'!$C:$O,13,0)),"")</f>
        <v/>
      </c>
      <c r="G2880" s="55" t="str">
        <f>IFERROR(IF(OR($B2880="",$B2880="(blank)"),"",VLOOKUP($B2880,'Email Marketing Raw Data'!$C:$O,4,0)),"")</f>
        <v/>
      </c>
      <c r="H2880" s="55" t="str">
        <f>IFERROR(IF(OR($B2880="",$B2880="(blank)"),"",VLOOKUP($B2880,'Email Marketing Raw Data'!$C:$O,5,0)),"")</f>
        <v/>
      </c>
      <c r="I2880" s="55" t="str">
        <f>IFERROR(IF($G2880="","",VLOOKUP('Dashboard And Emails Automate'!$G2880,Database!$H:$N,3,0)),"")</f>
        <v/>
      </c>
      <c r="J2880" s="55" t="str">
        <f>IFERROR(IF($G2880="","",VLOOKUP('Dashboard And Emails Automate'!$G2880,Database!$H:$N,4,0)),"")</f>
        <v/>
      </c>
      <c r="K2880" s="55" t="str">
        <f>IFERROR(IF($G2880="","",VLOOKUP('Dashboard And Emails Automate'!$G2880,Database!$H:$N,5,0)),"")</f>
        <v/>
      </c>
      <c r="L2880" s="55" t="str">
        <f>IFERROR(IF($G2880="","",VLOOKUP('Dashboard And Emails Automate'!$G2880,Database!$H:$N,6,0)),"")</f>
        <v/>
      </c>
      <c r="M2880" s="55" t="str">
        <f>IFERROR(IF($G2880="","",VLOOKUP('Dashboard And Emails Automate'!$G2880,Database!$H:$N,7,0)),"")</f>
        <v/>
      </c>
      <c r="N2880" s="55" t="str">
        <f>IFERROR(IF(OR($B2880="",$B2880="(blank)"),"",VLOOKUP($B2880,'Email Marketing Raw Data'!$C:$O,6,0)),"")</f>
        <v/>
      </c>
      <c r="O2880" s="55" t="str">
        <f>IFERROR(IF(OR($B2880="",$B2880="(blank)"),"",VLOOKUP($B2880,'Email Marketing Raw Data'!$C:$O,7,0)),"")</f>
        <v/>
      </c>
      <c r="P2880" s="55" t="str">
        <f>IFERROR(IF(OR($B2880="",$B2880="(blank)"),"",VLOOKUP($B2880,'Email Marketing Raw Data'!$C:$O,8,0)),"")</f>
        <v/>
      </c>
      <c r="Q2880" s="62" t="str">
        <f>IFERROR(IF(OR($B2880="",$B2880="(blank)"),"",VLOOKUP($B2880,'Email Marketing Raw Data'!$C:$O,9,0)),"")</f>
        <v/>
      </c>
    </row>
    <row r="2881" spans="4:17" ht="12.75" customHeight="1" x14ac:dyDescent="0.2">
      <c r="D2881" s="58" t="str">
        <f>IFERROR(IF(F2881&lt;&gt;"pending","",IF(OR($B2881="",$B2881="(blank)"),"",VLOOKUP($B2881,'Email Marketing Raw Data'!$C:$O,10,0))),"")</f>
        <v/>
      </c>
      <c r="E2881" s="59" t="str">
        <f>IFERROR(IF(F2881&lt;&gt;"pending","",IF(OR($B2881="",$B2881="(blank)"),"",VLOOKUP($B2881,'Email Marketing Raw Data'!$C:$O,11,0))),"")</f>
        <v/>
      </c>
      <c r="F2881" s="54" t="str">
        <f>IFERROR(IF(OR($B2881="",$B2881="(blank)"),"",VLOOKUP($B2881,'Email Marketing Raw Data'!$C:$O,13,0)),"")</f>
        <v/>
      </c>
      <c r="G2881" s="55" t="str">
        <f>IFERROR(IF(OR($B2881="",$B2881="(blank)"),"",VLOOKUP($B2881,'Email Marketing Raw Data'!$C:$O,4,0)),"")</f>
        <v/>
      </c>
      <c r="H2881" s="55" t="str">
        <f>IFERROR(IF(OR($B2881="",$B2881="(blank)"),"",VLOOKUP($B2881,'Email Marketing Raw Data'!$C:$O,5,0)),"")</f>
        <v/>
      </c>
      <c r="I2881" s="55" t="str">
        <f>IFERROR(IF($G2881="","",VLOOKUP('Dashboard And Emails Automate'!$G2881,Database!$H:$N,3,0)),"")</f>
        <v/>
      </c>
      <c r="J2881" s="55" t="str">
        <f>IFERROR(IF($G2881="","",VLOOKUP('Dashboard And Emails Automate'!$G2881,Database!$H:$N,4,0)),"")</f>
        <v/>
      </c>
      <c r="K2881" s="55" t="str">
        <f>IFERROR(IF($G2881="","",VLOOKUP('Dashboard And Emails Automate'!$G2881,Database!$H:$N,5,0)),"")</f>
        <v/>
      </c>
      <c r="L2881" s="55" t="str">
        <f>IFERROR(IF($G2881="","",VLOOKUP('Dashboard And Emails Automate'!$G2881,Database!$H:$N,6,0)),"")</f>
        <v/>
      </c>
      <c r="M2881" s="55" t="str">
        <f>IFERROR(IF($G2881="","",VLOOKUP('Dashboard And Emails Automate'!$G2881,Database!$H:$N,7,0)),"")</f>
        <v/>
      </c>
      <c r="N2881" s="55" t="str">
        <f>IFERROR(IF(OR($B2881="",$B2881="(blank)"),"",VLOOKUP($B2881,'Email Marketing Raw Data'!$C:$O,6,0)),"")</f>
        <v/>
      </c>
      <c r="O2881" s="55" t="str">
        <f>IFERROR(IF(OR($B2881="",$B2881="(blank)"),"",VLOOKUP($B2881,'Email Marketing Raw Data'!$C:$O,7,0)),"")</f>
        <v/>
      </c>
      <c r="P2881" s="55" t="str">
        <f>IFERROR(IF(OR($B2881="",$B2881="(blank)"),"",VLOOKUP($B2881,'Email Marketing Raw Data'!$C:$O,8,0)),"")</f>
        <v/>
      </c>
      <c r="Q2881" s="62" t="str">
        <f>IFERROR(IF(OR($B2881="",$B2881="(blank)"),"",VLOOKUP($B2881,'Email Marketing Raw Data'!$C:$O,9,0)),"")</f>
        <v/>
      </c>
    </row>
    <row r="2882" spans="4:17" ht="12.75" customHeight="1" x14ac:dyDescent="0.2">
      <c r="D2882" s="58" t="str">
        <f>IFERROR(IF(F2882&lt;&gt;"pending","",IF(OR($B2882="",$B2882="(blank)"),"",VLOOKUP($B2882,'Email Marketing Raw Data'!$C:$O,10,0))),"")</f>
        <v/>
      </c>
      <c r="E2882" s="59" t="str">
        <f>IFERROR(IF(F2882&lt;&gt;"pending","",IF(OR($B2882="",$B2882="(blank)"),"",VLOOKUP($B2882,'Email Marketing Raw Data'!$C:$O,11,0))),"")</f>
        <v/>
      </c>
      <c r="F2882" s="54" t="str">
        <f>IFERROR(IF(OR($B2882="",$B2882="(blank)"),"",VLOOKUP($B2882,'Email Marketing Raw Data'!$C:$O,13,0)),"")</f>
        <v/>
      </c>
      <c r="G2882" s="55" t="str">
        <f>IFERROR(IF(OR($B2882="",$B2882="(blank)"),"",VLOOKUP($B2882,'Email Marketing Raw Data'!$C:$O,4,0)),"")</f>
        <v/>
      </c>
      <c r="H2882" s="55" t="str">
        <f>IFERROR(IF(OR($B2882="",$B2882="(blank)"),"",VLOOKUP($B2882,'Email Marketing Raw Data'!$C:$O,5,0)),"")</f>
        <v/>
      </c>
      <c r="I2882" s="55" t="str">
        <f>IFERROR(IF($G2882="","",VLOOKUP('Dashboard And Emails Automate'!$G2882,Database!$H:$N,3,0)),"")</f>
        <v/>
      </c>
      <c r="J2882" s="55" t="str">
        <f>IFERROR(IF($G2882="","",VLOOKUP('Dashboard And Emails Automate'!$G2882,Database!$H:$N,4,0)),"")</f>
        <v/>
      </c>
      <c r="K2882" s="55" t="str">
        <f>IFERROR(IF($G2882="","",VLOOKUP('Dashboard And Emails Automate'!$G2882,Database!$H:$N,5,0)),"")</f>
        <v/>
      </c>
      <c r="L2882" s="55" t="str">
        <f>IFERROR(IF($G2882="","",VLOOKUP('Dashboard And Emails Automate'!$G2882,Database!$H:$N,6,0)),"")</f>
        <v/>
      </c>
      <c r="M2882" s="55" t="str">
        <f>IFERROR(IF($G2882="","",VLOOKUP('Dashboard And Emails Automate'!$G2882,Database!$H:$N,7,0)),"")</f>
        <v/>
      </c>
      <c r="N2882" s="55" t="str">
        <f>IFERROR(IF(OR($B2882="",$B2882="(blank)"),"",VLOOKUP($B2882,'Email Marketing Raw Data'!$C:$O,6,0)),"")</f>
        <v/>
      </c>
      <c r="O2882" s="55" t="str">
        <f>IFERROR(IF(OR($B2882="",$B2882="(blank)"),"",VLOOKUP($B2882,'Email Marketing Raw Data'!$C:$O,7,0)),"")</f>
        <v/>
      </c>
      <c r="P2882" s="55" t="str">
        <f>IFERROR(IF(OR($B2882="",$B2882="(blank)"),"",VLOOKUP($B2882,'Email Marketing Raw Data'!$C:$O,8,0)),"")</f>
        <v/>
      </c>
      <c r="Q2882" s="62" t="str">
        <f>IFERROR(IF(OR($B2882="",$B2882="(blank)"),"",VLOOKUP($B2882,'Email Marketing Raw Data'!$C:$O,9,0)),"")</f>
        <v/>
      </c>
    </row>
    <row r="2883" spans="4:17" ht="12.75" customHeight="1" x14ac:dyDescent="0.2">
      <c r="D2883" s="58" t="str">
        <f>IFERROR(IF(F2883&lt;&gt;"pending","",IF(OR($B2883="",$B2883="(blank)"),"",VLOOKUP($B2883,'Email Marketing Raw Data'!$C:$O,10,0))),"")</f>
        <v/>
      </c>
      <c r="E2883" s="59" t="str">
        <f>IFERROR(IF(F2883&lt;&gt;"pending","",IF(OR($B2883="",$B2883="(blank)"),"",VLOOKUP($B2883,'Email Marketing Raw Data'!$C:$O,11,0))),"")</f>
        <v/>
      </c>
      <c r="F2883" s="54" t="str">
        <f>IFERROR(IF(OR($B2883="",$B2883="(blank)"),"",VLOOKUP($B2883,'Email Marketing Raw Data'!$C:$O,13,0)),"")</f>
        <v/>
      </c>
      <c r="G2883" s="55" t="str">
        <f>IFERROR(IF(OR($B2883="",$B2883="(blank)"),"",VLOOKUP($B2883,'Email Marketing Raw Data'!$C:$O,4,0)),"")</f>
        <v/>
      </c>
      <c r="H2883" s="55" t="str">
        <f>IFERROR(IF(OR($B2883="",$B2883="(blank)"),"",VLOOKUP($B2883,'Email Marketing Raw Data'!$C:$O,5,0)),"")</f>
        <v/>
      </c>
      <c r="I2883" s="55" t="str">
        <f>IFERROR(IF($G2883="","",VLOOKUP('Dashboard And Emails Automate'!$G2883,Database!$H:$N,3,0)),"")</f>
        <v/>
      </c>
      <c r="J2883" s="55" t="str">
        <f>IFERROR(IF($G2883="","",VLOOKUP('Dashboard And Emails Automate'!$G2883,Database!$H:$N,4,0)),"")</f>
        <v/>
      </c>
      <c r="K2883" s="55" t="str">
        <f>IFERROR(IF($G2883="","",VLOOKUP('Dashboard And Emails Automate'!$G2883,Database!$H:$N,5,0)),"")</f>
        <v/>
      </c>
      <c r="L2883" s="55" t="str">
        <f>IFERROR(IF($G2883="","",VLOOKUP('Dashboard And Emails Automate'!$G2883,Database!$H:$N,6,0)),"")</f>
        <v/>
      </c>
      <c r="M2883" s="55" t="str">
        <f>IFERROR(IF($G2883="","",VLOOKUP('Dashboard And Emails Automate'!$G2883,Database!$H:$N,7,0)),"")</f>
        <v/>
      </c>
      <c r="N2883" s="55" t="str">
        <f>IFERROR(IF(OR($B2883="",$B2883="(blank)"),"",VLOOKUP($B2883,'Email Marketing Raw Data'!$C:$O,6,0)),"")</f>
        <v/>
      </c>
      <c r="O2883" s="55" t="str">
        <f>IFERROR(IF(OR($B2883="",$B2883="(blank)"),"",VLOOKUP($B2883,'Email Marketing Raw Data'!$C:$O,7,0)),"")</f>
        <v/>
      </c>
      <c r="P2883" s="55" t="str">
        <f>IFERROR(IF(OR($B2883="",$B2883="(blank)"),"",VLOOKUP($B2883,'Email Marketing Raw Data'!$C:$O,8,0)),"")</f>
        <v/>
      </c>
      <c r="Q2883" s="62" t="str">
        <f>IFERROR(IF(OR($B2883="",$B2883="(blank)"),"",VLOOKUP($B2883,'Email Marketing Raw Data'!$C:$O,9,0)),"")</f>
        <v/>
      </c>
    </row>
    <row r="2884" spans="4:17" ht="12.75" customHeight="1" x14ac:dyDescent="0.2">
      <c r="D2884" s="58" t="str">
        <f>IFERROR(IF(F2884&lt;&gt;"pending","",IF(OR($B2884="",$B2884="(blank)"),"",VLOOKUP($B2884,'Email Marketing Raw Data'!$C:$O,10,0))),"")</f>
        <v/>
      </c>
      <c r="E2884" s="59" t="str">
        <f>IFERROR(IF(F2884&lt;&gt;"pending","",IF(OR($B2884="",$B2884="(blank)"),"",VLOOKUP($B2884,'Email Marketing Raw Data'!$C:$O,11,0))),"")</f>
        <v/>
      </c>
      <c r="F2884" s="54" t="str">
        <f>IFERROR(IF(OR($B2884="",$B2884="(blank)"),"",VLOOKUP($B2884,'Email Marketing Raw Data'!$C:$O,13,0)),"")</f>
        <v/>
      </c>
      <c r="G2884" s="55" t="str">
        <f>IFERROR(IF(OR($B2884="",$B2884="(blank)"),"",VLOOKUP($B2884,'Email Marketing Raw Data'!$C:$O,4,0)),"")</f>
        <v/>
      </c>
      <c r="H2884" s="55" t="str">
        <f>IFERROR(IF(OR($B2884="",$B2884="(blank)"),"",VLOOKUP($B2884,'Email Marketing Raw Data'!$C:$O,5,0)),"")</f>
        <v/>
      </c>
      <c r="I2884" s="55" t="str">
        <f>IFERROR(IF($G2884="","",VLOOKUP('Dashboard And Emails Automate'!$G2884,Database!$H:$N,3,0)),"")</f>
        <v/>
      </c>
      <c r="J2884" s="55" t="str">
        <f>IFERROR(IF($G2884="","",VLOOKUP('Dashboard And Emails Automate'!$G2884,Database!$H:$N,4,0)),"")</f>
        <v/>
      </c>
      <c r="K2884" s="55" t="str">
        <f>IFERROR(IF($G2884="","",VLOOKUP('Dashboard And Emails Automate'!$G2884,Database!$H:$N,5,0)),"")</f>
        <v/>
      </c>
      <c r="L2884" s="55" t="str">
        <f>IFERROR(IF($G2884="","",VLOOKUP('Dashboard And Emails Automate'!$G2884,Database!$H:$N,6,0)),"")</f>
        <v/>
      </c>
      <c r="M2884" s="55" t="str">
        <f>IFERROR(IF($G2884="","",VLOOKUP('Dashboard And Emails Automate'!$G2884,Database!$H:$N,7,0)),"")</f>
        <v/>
      </c>
      <c r="N2884" s="55" t="str">
        <f>IFERROR(IF(OR($B2884="",$B2884="(blank)"),"",VLOOKUP($B2884,'Email Marketing Raw Data'!$C:$O,6,0)),"")</f>
        <v/>
      </c>
      <c r="O2884" s="55" t="str">
        <f>IFERROR(IF(OR($B2884="",$B2884="(blank)"),"",VLOOKUP($B2884,'Email Marketing Raw Data'!$C:$O,7,0)),"")</f>
        <v/>
      </c>
      <c r="P2884" s="55" t="str">
        <f>IFERROR(IF(OR($B2884="",$B2884="(blank)"),"",VLOOKUP($B2884,'Email Marketing Raw Data'!$C:$O,8,0)),"")</f>
        <v/>
      </c>
      <c r="Q2884" s="62" t="str">
        <f>IFERROR(IF(OR($B2884="",$B2884="(blank)"),"",VLOOKUP($B2884,'Email Marketing Raw Data'!$C:$O,9,0)),"")</f>
        <v/>
      </c>
    </row>
    <row r="2885" spans="4:17" ht="12.75" customHeight="1" x14ac:dyDescent="0.2">
      <c r="D2885" s="58" t="str">
        <f>IFERROR(IF(F2885&lt;&gt;"pending","",IF(OR($B2885="",$B2885="(blank)"),"",VLOOKUP($B2885,'Email Marketing Raw Data'!$C:$O,10,0))),"")</f>
        <v/>
      </c>
      <c r="E2885" s="59" t="str">
        <f>IFERROR(IF(F2885&lt;&gt;"pending","",IF(OR($B2885="",$B2885="(blank)"),"",VLOOKUP($B2885,'Email Marketing Raw Data'!$C:$O,11,0))),"")</f>
        <v/>
      </c>
      <c r="F2885" s="54" t="str">
        <f>IFERROR(IF(OR($B2885="",$B2885="(blank)"),"",VLOOKUP($B2885,'Email Marketing Raw Data'!$C:$O,13,0)),"")</f>
        <v/>
      </c>
      <c r="G2885" s="55" t="str">
        <f>IFERROR(IF(OR($B2885="",$B2885="(blank)"),"",VLOOKUP($B2885,'Email Marketing Raw Data'!$C:$O,4,0)),"")</f>
        <v/>
      </c>
      <c r="H2885" s="55" t="str">
        <f>IFERROR(IF(OR($B2885="",$B2885="(blank)"),"",VLOOKUP($B2885,'Email Marketing Raw Data'!$C:$O,5,0)),"")</f>
        <v/>
      </c>
      <c r="I2885" s="55" t="str">
        <f>IFERROR(IF($G2885="","",VLOOKUP('Dashboard And Emails Automate'!$G2885,Database!$H:$N,3,0)),"")</f>
        <v/>
      </c>
      <c r="J2885" s="55" t="str">
        <f>IFERROR(IF($G2885="","",VLOOKUP('Dashboard And Emails Automate'!$G2885,Database!$H:$N,4,0)),"")</f>
        <v/>
      </c>
      <c r="K2885" s="55" t="str">
        <f>IFERROR(IF($G2885="","",VLOOKUP('Dashboard And Emails Automate'!$G2885,Database!$H:$N,5,0)),"")</f>
        <v/>
      </c>
      <c r="L2885" s="55" t="str">
        <f>IFERROR(IF($G2885="","",VLOOKUP('Dashboard And Emails Automate'!$G2885,Database!$H:$N,6,0)),"")</f>
        <v/>
      </c>
      <c r="M2885" s="55" t="str">
        <f>IFERROR(IF($G2885="","",VLOOKUP('Dashboard And Emails Automate'!$G2885,Database!$H:$N,7,0)),"")</f>
        <v/>
      </c>
      <c r="N2885" s="55" t="str">
        <f>IFERROR(IF(OR($B2885="",$B2885="(blank)"),"",VLOOKUP($B2885,'Email Marketing Raw Data'!$C:$O,6,0)),"")</f>
        <v/>
      </c>
      <c r="O2885" s="55" t="str">
        <f>IFERROR(IF(OR($B2885="",$B2885="(blank)"),"",VLOOKUP($B2885,'Email Marketing Raw Data'!$C:$O,7,0)),"")</f>
        <v/>
      </c>
      <c r="P2885" s="55" t="str">
        <f>IFERROR(IF(OR($B2885="",$B2885="(blank)"),"",VLOOKUP($B2885,'Email Marketing Raw Data'!$C:$O,8,0)),"")</f>
        <v/>
      </c>
      <c r="Q2885" s="62" t="str">
        <f>IFERROR(IF(OR($B2885="",$B2885="(blank)"),"",VLOOKUP($B2885,'Email Marketing Raw Data'!$C:$O,9,0)),"")</f>
        <v/>
      </c>
    </row>
    <row r="2886" spans="4:17" ht="12.75" customHeight="1" x14ac:dyDescent="0.2">
      <c r="D2886" s="58" t="str">
        <f>IFERROR(IF(F2886&lt;&gt;"pending","",IF(OR($B2886="",$B2886="(blank)"),"",VLOOKUP($B2886,'Email Marketing Raw Data'!$C:$O,10,0))),"")</f>
        <v/>
      </c>
      <c r="E2886" s="59" t="str">
        <f>IFERROR(IF(F2886&lt;&gt;"pending","",IF(OR($B2886="",$B2886="(blank)"),"",VLOOKUP($B2886,'Email Marketing Raw Data'!$C:$O,11,0))),"")</f>
        <v/>
      </c>
      <c r="F2886" s="54" t="str">
        <f>IFERROR(IF(OR($B2886="",$B2886="(blank)"),"",VLOOKUP($B2886,'Email Marketing Raw Data'!$C:$O,13,0)),"")</f>
        <v/>
      </c>
      <c r="G2886" s="55" t="str">
        <f>IFERROR(IF(OR($B2886="",$B2886="(blank)"),"",VLOOKUP($B2886,'Email Marketing Raw Data'!$C:$O,4,0)),"")</f>
        <v/>
      </c>
      <c r="H2886" s="55" t="str">
        <f>IFERROR(IF(OR($B2886="",$B2886="(blank)"),"",VLOOKUP($B2886,'Email Marketing Raw Data'!$C:$O,5,0)),"")</f>
        <v/>
      </c>
      <c r="I2886" s="55" t="str">
        <f>IFERROR(IF($G2886="","",VLOOKUP('Dashboard And Emails Automate'!$G2886,Database!$H:$N,3,0)),"")</f>
        <v/>
      </c>
      <c r="J2886" s="55" t="str">
        <f>IFERROR(IF($G2886="","",VLOOKUP('Dashboard And Emails Automate'!$G2886,Database!$H:$N,4,0)),"")</f>
        <v/>
      </c>
      <c r="K2886" s="55" t="str">
        <f>IFERROR(IF($G2886="","",VLOOKUP('Dashboard And Emails Automate'!$G2886,Database!$H:$N,5,0)),"")</f>
        <v/>
      </c>
      <c r="L2886" s="55" t="str">
        <f>IFERROR(IF($G2886="","",VLOOKUP('Dashboard And Emails Automate'!$G2886,Database!$H:$N,6,0)),"")</f>
        <v/>
      </c>
      <c r="M2886" s="55" t="str">
        <f>IFERROR(IF($G2886="","",VLOOKUP('Dashboard And Emails Automate'!$G2886,Database!$H:$N,7,0)),"")</f>
        <v/>
      </c>
      <c r="N2886" s="55" t="str">
        <f>IFERROR(IF(OR($B2886="",$B2886="(blank)"),"",VLOOKUP($B2886,'Email Marketing Raw Data'!$C:$O,6,0)),"")</f>
        <v/>
      </c>
      <c r="O2886" s="55" t="str">
        <f>IFERROR(IF(OR($B2886="",$B2886="(blank)"),"",VLOOKUP($B2886,'Email Marketing Raw Data'!$C:$O,7,0)),"")</f>
        <v/>
      </c>
      <c r="P2886" s="55" t="str">
        <f>IFERROR(IF(OR($B2886="",$B2886="(blank)"),"",VLOOKUP($B2886,'Email Marketing Raw Data'!$C:$O,8,0)),"")</f>
        <v/>
      </c>
      <c r="Q2886" s="62" t="str">
        <f>IFERROR(IF(OR($B2886="",$B2886="(blank)"),"",VLOOKUP($B2886,'Email Marketing Raw Data'!$C:$O,9,0)),"")</f>
        <v/>
      </c>
    </row>
    <row r="2887" spans="4:17" ht="12.75" customHeight="1" x14ac:dyDescent="0.2">
      <c r="D2887" s="58" t="str">
        <f>IFERROR(IF(F2887&lt;&gt;"pending","",IF(OR($B2887="",$B2887="(blank)"),"",VLOOKUP($B2887,'Email Marketing Raw Data'!$C:$O,10,0))),"")</f>
        <v/>
      </c>
      <c r="E2887" s="59" t="str">
        <f>IFERROR(IF(F2887&lt;&gt;"pending","",IF(OR($B2887="",$B2887="(blank)"),"",VLOOKUP($B2887,'Email Marketing Raw Data'!$C:$O,11,0))),"")</f>
        <v/>
      </c>
      <c r="F2887" s="54" t="str">
        <f>IFERROR(IF(OR($B2887="",$B2887="(blank)"),"",VLOOKUP($B2887,'Email Marketing Raw Data'!$C:$O,13,0)),"")</f>
        <v/>
      </c>
      <c r="G2887" s="55" t="str">
        <f>IFERROR(IF(OR($B2887="",$B2887="(blank)"),"",VLOOKUP($B2887,'Email Marketing Raw Data'!$C:$O,4,0)),"")</f>
        <v/>
      </c>
      <c r="H2887" s="55" t="str">
        <f>IFERROR(IF(OR($B2887="",$B2887="(blank)"),"",VLOOKUP($B2887,'Email Marketing Raw Data'!$C:$O,5,0)),"")</f>
        <v/>
      </c>
      <c r="I2887" s="55" t="str">
        <f>IFERROR(IF($G2887="","",VLOOKUP('Dashboard And Emails Automate'!$G2887,Database!$H:$N,3,0)),"")</f>
        <v/>
      </c>
      <c r="J2887" s="55" t="str">
        <f>IFERROR(IF($G2887="","",VLOOKUP('Dashboard And Emails Automate'!$G2887,Database!$H:$N,4,0)),"")</f>
        <v/>
      </c>
      <c r="K2887" s="55" t="str">
        <f>IFERROR(IF($G2887="","",VLOOKUP('Dashboard And Emails Automate'!$G2887,Database!$H:$N,5,0)),"")</f>
        <v/>
      </c>
      <c r="L2887" s="55" t="str">
        <f>IFERROR(IF($G2887="","",VLOOKUP('Dashboard And Emails Automate'!$G2887,Database!$H:$N,6,0)),"")</f>
        <v/>
      </c>
      <c r="M2887" s="55" t="str">
        <f>IFERROR(IF($G2887="","",VLOOKUP('Dashboard And Emails Automate'!$G2887,Database!$H:$N,7,0)),"")</f>
        <v/>
      </c>
      <c r="N2887" s="55" t="str">
        <f>IFERROR(IF(OR($B2887="",$B2887="(blank)"),"",VLOOKUP($B2887,'Email Marketing Raw Data'!$C:$O,6,0)),"")</f>
        <v/>
      </c>
      <c r="O2887" s="55" t="str">
        <f>IFERROR(IF(OR($B2887="",$B2887="(blank)"),"",VLOOKUP($B2887,'Email Marketing Raw Data'!$C:$O,7,0)),"")</f>
        <v/>
      </c>
      <c r="P2887" s="55" t="str">
        <f>IFERROR(IF(OR($B2887="",$B2887="(blank)"),"",VLOOKUP($B2887,'Email Marketing Raw Data'!$C:$O,8,0)),"")</f>
        <v/>
      </c>
      <c r="Q2887" s="62" t="str">
        <f>IFERROR(IF(OR($B2887="",$B2887="(blank)"),"",VLOOKUP($B2887,'Email Marketing Raw Data'!$C:$O,9,0)),"")</f>
        <v/>
      </c>
    </row>
    <row r="2888" spans="4:17" ht="12.75" customHeight="1" x14ac:dyDescent="0.2">
      <c r="D2888" s="58" t="str">
        <f>IFERROR(IF(F2888&lt;&gt;"pending","",IF(OR($B2888="",$B2888="(blank)"),"",VLOOKUP($B2888,'Email Marketing Raw Data'!$C:$O,10,0))),"")</f>
        <v/>
      </c>
      <c r="E2888" s="59" t="str">
        <f>IFERROR(IF(F2888&lt;&gt;"pending","",IF(OR($B2888="",$B2888="(blank)"),"",VLOOKUP($B2888,'Email Marketing Raw Data'!$C:$O,11,0))),"")</f>
        <v/>
      </c>
      <c r="F2888" s="54" t="str">
        <f>IFERROR(IF(OR($B2888="",$B2888="(blank)"),"",VLOOKUP($B2888,'Email Marketing Raw Data'!$C:$O,13,0)),"")</f>
        <v/>
      </c>
      <c r="G2888" s="55" t="str">
        <f>IFERROR(IF(OR($B2888="",$B2888="(blank)"),"",VLOOKUP($B2888,'Email Marketing Raw Data'!$C:$O,4,0)),"")</f>
        <v/>
      </c>
      <c r="H2888" s="55" t="str">
        <f>IFERROR(IF(OR($B2888="",$B2888="(blank)"),"",VLOOKUP($B2888,'Email Marketing Raw Data'!$C:$O,5,0)),"")</f>
        <v/>
      </c>
      <c r="I2888" s="55" t="str">
        <f>IFERROR(IF($G2888="","",VLOOKUP('Dashboard And Emails Automate'!$G2888,Database!$H:$N,3,0)),"")</f>
        <v/>
      </c>
      <c r="J2888" s="55" t="str">
        <f>IFERROR(IF($G2888="","",VLOOKUP('Dashboard And Emails Automate'!$G2888,Database!$H:$N,4,0)),"")</f>
        <v/>
      </c>
      <c r="K2888" s="55" t="str">
        <f>IFERROR(IF($G2888="","",VLOOKUP('Dashboard And Emails Automate'!$G2888,Database!$H:$N,5,0)),"")</f>
        <v/>
      </c>
      <c r="L2888" s="55" t="str">
        <f>IFERROR(IF($G2888="","",VLOOKUP('Dashboard And Emails Automate'!$G2888,Database!$H:$N,6,0)),"")</f>
        <v/>
      </c>
      <c r="M2888" s="55" t="str">
        <f>IFERROR(IF($G2888="","",VLOOKUP('Dashboard And Emails Automate'!$G2888,Database!$H:$N,7,0)),"")</f>
        <v/>
      </c>
      <c r="N2888" s="55" t="str">
        <f>IFERROR(IF(OR($B2888="",$B2888="(blank)"),"",VLOOKUP($B2888,'Email Marketing Raw Data'!$C:$O,6,0)),"")</f>
        <v/>
      </c>
      <c r="O2888" s="55" t="str">
        <f>IFERROR(IF(OR($B2888="",$B2888="(blank)"),"",VLOOKUP($B2888,'Email Marketing Raw Data'!$C:$O,7,0)),"")</f>
        <v/>
      </c>
      <c r="P2888" s="55" t="str">
        <f>IFERROR(IF(OR($B2888="",$B2888="(blank)"),"",VLOOKUP($B2888,'Email Marketing Raw Data'!$C:$O,8,0)),"")</f>
        <v/>
      </c>
      <c r="Q2888" s="62" t="str">
        <f>IFERROR(IF(OR($B2888="",$B2888="(blank)"),"",VLOOKUP($B2888,'Email Marketing Raw Data'!$C:$O,9,0)),"")</f>
        <v/>
      </c>
    </row>
    <row r="2889" spans="4:17" ht="12.75" customHeight="1" x14ac:dyDescent="0.2">
      <c r="D2889" s="58" t="str">
        <f>IFERROR(IF(F2889&lt;&gt;"pending","",IF(OR($B2889="",$B2889="(blank)"),"",VLOOKUP($B2889,'Email Marketing Raw Data'!$C:$O,10,0))),"")</f>
        <v/>
      </c>
      <c r="E2889" s="59" t="str">
        <f>IFERROR(IF(F2889&lt;&gt;"pending","",IF(OR($B2889="",$B2889="(blank)"),"",VLOOKUP($B2889,'Email Marketing Raw Data'!$C:$O,11,0))),"")</f>
        <v/>
      </c>
      <c r="F2889" s="54" t="str">
        <f>IFERROR(IF(OR($B2889="",$B2889="(blank)"),"",VLOOKUP($B2889,'Email Marketing Raw Data'!$C:$O,13,0)),"")</f>
        <v/>
      </c>
      <c r="G2889" s="55" t="str">
        <f>IFERROR(IF(OR($B2889="",$B2889="(blank)"),"",VLOOKUP($B2889,'Email Marketing Raw Data'!$C:$O,4,0)),"")</f>
        <v/>
      </c>
      <c r="H2889" s="55" t="str">
        <f>IFERROR(IF(OR($B2889="",$B2889="(blank)"),"",VLOOKUP($B2889,'Email Marketing Raw Data'!$C:$O,5,0)),"")</f>
        <v/>
      </c>
      <c r="I2889" s="55" t="str">
        <f>IFERROR(IF($G2889="","",VLOOKUP('Dashboard And Emails Automate'!$G2889,Database!$H:$N,3,0)),"")</f>
        <v/>
      </c>
      <c r="J2889" s="55" t="str">
        <f>IFERROR(IF($G2889="","",VLOOKUP('Dashboard And Emails Automate'!$G2889,Database!$H:$N,4,0)),"")</f>
        <v/>
      </c>
      <c r="K2889" s="55" t="str">
        <f>IFERROR(IF($G2889="","",VLOOKUP('Dashboard And Emails Automate'!$G2889,Database!$H:$N,5,0)),"")</f>
        <v/>
      </c>
      <c r="L2889" s="55" t="str">
        <f>IFERROR(IF($G2889="","",VLOOKUP('Dashboard And Emails Automate'!$G2889,Database!$H:$N,6,0)),"")</f>
        <v/>
      </c>
      <c r="M2889" s="55" t="str">
        <f>IFERROR(IF($G2889="","",VLOOKUP('Dashboard And Emails Automate'!$G2889,Database!$H:$N,7,0)),"")</f>
        <v/>
      </c>
      <c r="N2889" s="55" t="str">
        <f>IFERROR(IF(OR($B2889="",$B2889="(blank)"),"",VLOOKUP($B2889,'Email Marketing Raw Data'!$C:$O,6,0)),"")</f>
        <v/>
      </c>
      <c r="O2889" s="55" t="str">
        <f>IFERROR(IF(OR($B2889="",$B2889="(blank)"),"",VLOOKUP($B2889,'Email Marketing Raw Data'!$C:$O,7,0)),"")</f>
        <v/>
      </c>
      <c r="P2889" s="55" t="str">
        <f>IFERROR(IF(OR($B2889="",$B2889="(blank)"),"",VLOOKUP($B2889,'Email Marketing Raw Data'!$C:$O,8,0)),"")</f>
        <v/>
      </c>
      <c r="Q2889" s="62" t="str">
        <f>IFERROR(IF(OR($B2889="",$B2889="(blank)"),"",VLOOKUP($B2889,'Email Marketing Raw Data'!$C:$O,9,0)),"")</f>
        <v/>
      </c>
    </row>
    <row r="2890" spans="4:17" ht="12.75" customHeight="1" x14ac:dyDescent="0.2">
      <c r="D2890" s="58" t="str">
        <f>IFERROR(IF(F2890&lt;&gt;"pending","",IF(OR($B2890="",$B2890="(blank)"),"",VLOOKUP($B2890,'Email Marketing Raw Data'!$C:$O,10,0))),"")</f>
        <v/>
      </c>
      <c r="E2890" s="59" t="str">
        <f>IFERROR(IF(F2890&lt;&gt;"pending","",IF(OR($B2890="",$B2890="(blank)"),"",VLOOKUP($B2890,'Email Marketing Raw Data'!$C:$O,11,0))),"")</f>
        <v/>
      </c>
      <c r="F2890" s="54" t="str">
        <f>IFERROR(IF(OR($B2890="",$B2890="(blank)"),"",VLOOKUP($B2890,'Email Marketing Raw Data'!$C:$O,13,0)),"")</f>
        <v/>
      </c>
      <c r="G2890" s="55" t="str">
        <f>IFERROR(IF(OR($B2890="",$B2890="(blank)"),"",VLOOKUP($B2890,'Email Marketing Raw Data'!$C:$O,4,0)),"")</f>
        <v/>
      </c>
      <c r="H2890" s="55" t="str">
        <f>IFERROR(IF(OR($B2890="",$B2890="(blank)"),"",VLOOKUP($B2890,'Email Marketing Raw Data'!$C:$O,5,0)),"")</f>
        <v/>
      </c>
      <c r="I2890" s="55" t="str">
        <f>IFERROR(IF($G2890="","",VLOOKUP('Dashboard And Emails Automate'!$G2890,Database!$H:$N,3,0)),"")</f>
        <v/>
      </c>
      <c r="J2890" s="55" t="str">
        <f>IFERROR(IF($G2890="","",VLOOKUP('Dashboard And Emails Automate'!$G2890,Database!$H:$N,4,0)),"")</f>
        <v/>
      </c>
      <c r="K2890" s="55" t="str">
        <f>IFERROR(IF($G2890="","",VLOOKUP('Dashboard And Emails Automate'!$G2890,Database!$H:$N,5,0)),"")</f>
        <v/>
      </c>
      <c r="L2890" s="55" t="str">
        <f>IFERROR(IF($G2890="","",VLOOKUP('Dashboard And Emails Automate'!$G2890,Database!$H:$N,6,0)),"")</f>
        <v/>
      </c>
      <c r="M2890" s="55" t="str">
        <f>IFERROR(IF($G2890="","",VLOOKUP('Dashboard And Emails Automate'!$G2890,Database!$H:$N,7,0)),"")</f>
        <v/>
      </c>
      <c r="N2890" s="55" t="str">
        <f>IFERROR(IF(OR($B2890="",$B2890="(blank)"),"",VLOOKUP($B2890,'Email Marketing Raw Data'!$C:$O,6,0)),"")</f>
        <v/>
      </c>
      <c r="O2890" s="55" t="str">
        <f>IFERROR(IF(OR($B2890="",$B2890="(blank)"),"",VLOOKUP($B2890,'Email Marketing Raw Data'!$C:$O,7,0)),"")</f>
        <v/>
      </c>
      <c r="P2890" s="55" t="str">
        <f>IFERROR(IF(OR($B2890="",$B2890="(blank)"),"",VLOOKUP($B2890,'Email Marketing Raw Data'!$C:$O,8,0)),"")</f>
        <v/>
      </c>
      <c r="Q2890" s="62" t="str">
        <f>IFERROR(IF(OR($B2890="",$B2890="(blank)"),"",VLOOKUP($B2890,'Email Marketing Raw Data'!$C:$O,9,0)),"")</f>
        <v/>
      </c>
    </row>
    <row r="2891" spans="4:17" ht="12.75" customHeight="1" x14ac:dyDescent="0.2">
      <c r="D2891" s="58" t="str">
        <f>IFERROR(IF(F2891&lt;&gt;"pending","",IF(OR($B2891="",$B2891="(blank)"),"",VLOOKUP($B2891,'Email Marketing Raw Data'!$C:$O,10,0))),"")</f>
        <v/>
      </c>
      <c r="E2891" s="59" t="str">
        <f>IFERROR(IF(F2891&lt;&gt;"pending","",IF(OR($B2891="",$B2891="(blank)"),"",VLOOKUP($B2891,'Email Marketing Raw Data'!$C:$O,11,0))),"")</f>
        <v/>
      </c>
      <c r="F2891" s="54" t="str">
        <f>IFERROR(IF(OR($B2891="",$B2891="(blank)"),"",VLOOKUP($B2891,'Email Marketing Raw Data'!$C:$O,13,0)),"")</f>
        <v/>
      </c>
      <c r="G2891" s="55" t="str">
        <f>IFERROR(IF(OR($B2891="",$B2891="(blank)"),"",VLOOKUP($B2891,'Email Marketing Raw Data'!$C:$O,4,0)),"")</f>
        <v/>
      </c>
      <c r="H2891" s="55" t="str">
        <f>IFERROR(IF(OR($B2891="",$B2891="(blank)"),"",VLOOKUP($B2891,'Email Marketing Raw Data'!$C:$O,5,0)),"")</f>
        <v/>
      </c>
      <c r="I2891" s="55" t="str">
        <f>IFERROR(IF($G2891="","",VLOOKUP('Dashboard And Emails Automate'!$G2891,Database!$H:$N,3,0)),"")</f>
        <v/>
      </c>
      <c r="J2891" s="55" t="str">
        <f>IFERROR(IF($G2891="","",VLOOKUP('Dashboard And Emails Automate'!$G2891,Database!$H:$N,4,0)),"")</f>
        <v/>
      </c>
      <c r="K2891" s="55" t="str">
        <f>IFERROR(IF($G2891="","",VLOOKUP('Dashboard And Emails Automate'!$G2891,Database!$H:$N,5,0)),"")</f>
        <v/>
      </c>
      <c r="L2891" s="55" t="str">
        <f>IFERROR(IF($G2891="","",VLOOKUP('Dashboard And Emails Automate'!$G2891,Database!$H:$N,6,0)),"")</f>
        <v/>
      </c>
      <c r="M2891" s="55" t="str">
        <f>IFERROR(IF($G2891="","",VLOOKUP('Dashboard And Emails Automate'!$G2891,Database!$H:$N,7,0)),"")</f>
        <v/>
      </c>
      <c r="N2891" s="55" t="str">
        <f>IFERROR(IF(OR($B2891="",$B2891="(blank)"),"",VLOOKUP($B2891,'Email Marketing Raw Data'!$C:$O,6,0)),"")</f>
        <v/>
      </c>
      <c r="O2891" s="55" t="str">
        <f>IFERROR(IF(OR($B2891="",$B2891="(blank)"),"",VLOOKUP($B2891,'Email Marketing Raw Data'!$C:$O,7,0)),"")</f>
        <v/>
      </c>
      <c r="P2891" s="55" t="str">
        <f>IFERROR(IF(OR($B2891="",$B2891="(blank)"),"",VLOOKUP($B2891,'Email Marketing Raw Data'!$C:$O,8,0)),"")</f>
        <v/>
      </c>
      <c r="Q2891" s="62" t="str">
        <f>IFERROR(IF(OR($B2891="",$B2891="(blank)"),"",VLOOKUP($B2891,'Email Marketing Raw Data'!$C:$O,9,0)),"")</f>
        <v/>
      </c>
    </row>
    <row r="2892" spans="4:17" ht="12.75" customHeight="1" x14ac:dyDescent="0.2">
      <c r="D2892" s="58" t="str">
        <f>IFERROR(IF(F2892&lt;&gt;"pending","",IF(OR($B2892="",$B2892="(blank)"),"",VLOOKUP($B2892,'Email Marketing Raw Data'!$C:$O,10,0))),"")</f>
        <v/>
      </c>
      <c r="E2892" s="59" t="str">
        <f>IFERROR(IF(F2892&lt;&gt;"pending","",IF(OR($B2892="",$B2892="(blank)"),"",VLOOKUP($B2892,'Email Marketing Raw Data'!$C:$O,11,0))),"")</f>
        <v/>
      </c>
      <c r="F2892" s="54" t="str">
        <f>IFERROR(IF(OR($B2892="",$B2892="(blank)"),"",VLOOKUP($B2892,'Email Marketing Raw Data'!$C:$O,13,0)),"")</f>
        <v/>
      </c>
      <c r="G2892" s="55" t="str">
        <f>IFERROR(IF(OR($B2892="",$B2892="(blank)"),"",VLOOKUP($B2892,'Email Marketing Raw Data'!$C:$O,4,0)),"")</f>
        <v/>
      </c>
      <c r="H2892" s="55" t="str">
        <f>IFERROR(IF(OR($B2892="",$B2892="(blank)"),"",VLOOKUP($B2892,'Email Marketing Raw Data'!$C:$O,5,0)),"")</f>
        <v/>
      </c>
      <c r="I2892" s="55" t="str">
        <f>IFERROR(IF($G2892="","",VLOOKUP('Dashboard And Emails Automate'!$G2892,Database!$H:$N,3,0)),"")</f>
        <v/>
      </c>
      <c r="J2892" s="55" t="str">
        <f>IFERROR(IF($G2892="","",VLOOKUP('Dashboard And Emails Automate'!$G2892,Database!$H:$N,4,0)),"")</f>
        <v/>
      </c>
      <c r="K2892" s="55" t="str">
        <f>IFERROR(IF($G2892="","",VLOOKUP('Dashboard And Emails Automate'!$G2892,Database!$H:$N,5,0)),"")</f>
        <v/>
      </c>
      <c r="L2892" s="55" t="str">
        <f>IFERROR(IF($G2892="","",VLOOKUP('Dashboard And Emails Automate'!$G2892,Database!$H:$N,6,0)),"")</f>
        <v/>
      </c>
      <c r="M2892" s="55" t="str">
        <f>IFERROR(IF($G2892="","",VLOOKUP('Dashboard And Emails Automate'!$G2892,Database!$H:$N,7,0)),"")</f>
        <v/>
      </c>
      <c r="N2892" s="55" t="str">
        <f>IFERROR(IF(OR($B2892="",$B2892="(blank)"),"",VLOOKUP($B2892,'Email Marketing Raw Data'!$C:$O,6,0)),"")</f>
        <v/>
      </c>
      <c r="O2892" s="55" t="str">
        <f>IFERROR(IF(OR($B2892="",$B2892="(blank)"),"",VLOOKUP($B2892,'Email Marketing Raw Data'!$C:$O,7,0)),"")</f>
        <v/>
      </c>
      <c r="P2892" s="55" t="str">
        <f>IFERROR(IF(OR($B2892="",$B2892="(blank)"),"",VLOOKUP($B2892,'Email Marketing Raw Data'!$C:$O,8,0)),"")</f>
        <v/>
      </c>
      <c r="Q2892" s="62" t="str">
        <f>IFERROR(IF(OR($B2892="",$B2892="(blank)"),"",VLOOKUP($B2892,'Email Marketing Raw Data'!$C:$O,9,0)),"")</f>
        <v/>
      </c>
    </row>
    <row r="2893" spans="4:17" ht="12.75" customHeight="1" x14ac:dyDescent="0.2">
      <c r="D2893" s="58" t="str">
        <f>IFERROR(IF(F2893&lt;&gt;"pending","",IF(OR($B2893="",$B2893="(blank)"),"",VLOOKUP($B2893,'Email Marketing Raw Data'!$C:$O,10,0))),"")</f>
        <v/>
      </c>
      <c r="E2893" s="59" t="str">
        <f>IFERROR(IF(F2893&lt;&gt;"pending","",IF(OR($B2893="",$B2893="(blank)"),"",VLOOKUP($B2893,'Email Marketing Raw Data'!$C:$O,11,0))),"")</f>
        <v/>
      </c>
      <c r="F2893" s="54" t="str">
        <f>IFERROR(IF(OR($B2893="",$B2893="(blank)"),"",VLOOKUP($B2893,'Email Marketing Raw Data'!$C:$O,13,0)),"")</f>
        <v/>
      </c>
      <c r="G2893" s="55" t="str">
        <f>IFERROR(IF(OR($B2893="",$B2893="(blank)"),"",VLOOKUP($B2893,'Email Marketing Raw Data'!$C:$O,4,0)),"")</f>
        <v/>
      </c>
      <c r="H2893" s="55" t="str">
        <f>IFERROR(IF(OR($B2893="",$B2893="(blank)"),"",VLOOKUP($B2893,'Email Marketing Raw Data'!$C:$O,5,0)),"")</f>
        <v/>
      </c>
      <c r="I2893" s="55" t="str">
        <f>IFERROR(IF($G2893="","",VLOOKUP('Dashboard And Emails Automate'!$G2893,Database!$H:$N,3,0)),"")</f>
        <v/>
      </c>
      <c r="J2893" s="55" t="str">
        <f>IFERROR(IF($G2893="","",VLOOKUP('Dashboard And Emails Automate'!$G2893,Database!$H:$N,4,0)),"")</f>
        <v/>
      </c>
      <c r="K2893" s="55" t="str">
        <f>IFERROR(IF($G2893="","",VLOOKUP('Dashboard And Emails Automate'!$G2893,Database!$H:$N,5,0)),"")</f>
        <v/>
      </c>
      <c r="L2893" s="55" t="str">
        <f>IFERROR(IF($G2893="","",VLOOKUP('Dashboard And Emails Automate'!$G2893,Database!$H:$N,6,0)),"")</f>
        <v/>
      </c>
      <c r="M2893" s="55" t="str">
        <f>IFERROR(IF($G2893="","",VLOOKUP('Dashboard And Emails Automate'!$G2893,Database!$H:$N,7,0)),"")</f>
        <v/>
      </c>
      <c r="N2893" s="55" t="str">
        <f>IFERROR(IF(OR($B2893="",$B2893="(blank)"),"",VLOOKUP($B2893,'Email Marketing Raw Data'!$C:$O,6,0)),"")</f>
        <v/>
      </c>
      <c r="O2893" s="55" t="str">
        <f>IFERROR(IF(OR($B2893="",$B2893="(blank)"),"",VLOOKUP($B2893,'Email Marketing Raw Data'!$C:$O,7,0)),"")</f>
        <v/>
      </c>
      <c r="P2893" s="55" t="str">
        <f>IFERROR(IF(OR($B2893="",$B2893="(blank)"),"",VLOOKUP($B2893,'Email Marketing Raw Data'!$C:$O,8,0)),"")</f>
        <v/>
      </c>
      <c r="Q2893" s="62" t="str">
        <f>IFERROR(IF(OR($B2893="",$B2893="(blank)"),"",VLOOKUP($B2893,'Email Marketing Raw Data'!$C:$O,9,0)),"")</f>
        <v/>
      </c>
    </row>
    <row r="2894" spans="4:17" ht="12.75" customHeight="1" x14ac:dyDescent="0.2">
      <c r="D2894" s="58" t="str">
        <f>IFERROR(IF(F2894&lt;&gt;"pending","",IF(OR($B2894="",$B2894="(blank)"),"",VLOOKUP($B2894,'Email Marketing Raw Data'!$C:$O,10,0))),"")</f>
        <v/>
      </c>
      <c r="E2894" s="59" t="str">
        <f>IFERROR(IF(F2894&lt;&gt;"pending","",IF(OR($B2894="",$B2894="(blank)"),"",VLOOKUP($B2894,'Email Marketing Raw Data'!$C:$O,11,0))),"")</f>
        <v/>
      </c>
      <c r="F2894" s="54" t="str">
        <f>IFERROR(IF(OR($B2894="",$B2894="(blank)"),"",VLOOKUP($B2894,'Email Marketing Raw Data'!$C:$O,13,0)),"")</f>
        <v/>
      </c>
      <c r="G2894" s="55" t="str">
        <f>IFERROR(IF(OR($B2894="",$B2894="(blank)"),"",VLOOKUP($B2894,'Email Marketing Raw Data'!$C:$O,4,0)),"")</f>
        <v/>
      </c>
      <c r="H2894" s="55" t="str">
        <f>IFERROR(IF(OR($B2894="",$B2894="(blank)"),"",VLOOKUP($B2894,'Email Marketing Raw Data'!$C:$O,5,0)),"")</f>
        <v/>
      </c>
      <c r="I2894" s="55" t="str">
        <f>IFERROR(IF($G2894="","",VLOOKUP('Dashboard And Emails Automate'!$G2894,Database!$H:$N,3,0)),"")</f>
        <v/>
      </c>
      <c r="J2894" s="55" t="str">
        <f>IFERROR(IF($G2894="","",VLOOKUP('Dashboard And Emails Automate'!$G2894,Database!$H:$N,4,0)),"")</f>
        <v/>
      </c>
      <c r="K2894" s="55" t="str">
        <f>IFERROR(IF($G2894="","",VLOOKUP('Dashboard And Emails Automate'!$G2894,Database!$H:$N,5,0)),"")</f>
        <v/>
      </c>
      <c r="L2894" s="55" t="str">
        <f>IFERROR(IF($G2894="","",VLOOKUP('Dashboard And Emails Automate'!$G2894,Database!$H:$N,6,0)),"")</f>
        <v/>
      </c>
      <c r="M2894" s="55" t="str">
        <f>IFERROR(IF($G2894="","",VLOOKUP('Dashboard And Emails Automate'!$G2894,Database!$H:$N,7,0)),"")</f>
        <v/>
      </c>
      <c r="N2894" s="55" t="str">
        <f>IFERROR(IF(OR($B2894="",$B2894="(blank)"),"",VLOOKUP($B2894,'Email Marketing Raw Data'!$C:$O,6,0)),"")</f>
        <v/>
      </c>
      <c r="O2894" s="55" t="str">
        <f>IFERROR(IF(OR($B2894="",$B2894="(blank)"),"",VLOOKUP($B2894,'Email Marketing Raw Data'!$C:$O,7,0)),"")</f>
        <v/>
      </c>
      <c r="P2894" s="55" t="str">
        <f>IFERROR(IF(OR($B2894="",$B2894="(blank)"),"",VLOOKUP($B2894,'Email Marketing Raw Data'!$C:$O,8,0)),"")</f>
        <v/>
      </c>
      <c r="Q2894" s="62" t="str">
        <f>IFERROR(IF(OR($B2894="",$B2894="(blank)"),"",VLOOKUP($B2894,'Email Marketing Raw Data'!$C:$O,9,0)),"")</f>
        <v/>
      </c>
    </row>
    <row r="2895" spans="4:17" ht="12.75" customHeight="1" x14ac:dyDescent="0.2">
      <c r="D2895" s="58" t="str">
        <f>IFERROR(IF(F2895&lt;&gt;"pending","",IF(OR($B2895="",$B2895="(blank)"),"",VLOOKUP($B2895,'Email Marketing Raw Data'!$C:$O,10,0))),"")</f>
        <v/>
      </c>
      <c r="E2895" s="59" t="str">
        <f>IFERROR(IF(F2895&lt;&gt;"pending","",IF(OR($B2895="",$B2895="(blank)"),"",VLOOKUP($B2895,'Email Marketing Raw Data'!$C:$O,11,0))),"")</f>
        <v/>
      </c>
      <c r="F2895" s="54" t="str">
        <f>IFERROR(IF(OR($B2895="",$B2895="(blank)"),"",VLOOKUP($B2895,'Email Marketing Raw Data'!$C:$O,13,0)),"")</f>
        <v/>
      </c>
      <c r="G2895" s="55" t="str">
        <f>IFERROR(IF(OR($B2895="",$B2895="(blank)"),"",VLOOKUP($B2895,'Email Marketing Raw Data'!$C:$O,4,0)),"")</f>
        <v/>
      </c>
      <c r="H2895" s="55" t="str">
        <f>IFERROR(IF(OR($B2895="",$B2895="(blank)"),"",VLOOKUP($B2895,'Email Marketing Raw Data'!$C:$O,5,0)),"")</f>
        <v/>
      </c>
      <c r="I2895" s="55" t="str">
        <f>IFERROR(IF($G2895="","",VLOOKUP('Dashboard And Emails Automate'!$G2895,Database!$H:$N,3,0)),"")</f>
        <v/>
      </c>
      <c r="J2895" s="55" t="str">
        <f>IFERROR(IF($G2895="","",VLOOKUP('Dashboard And Emails Automate'!$G2895,Database!$H:$N,4,0)),"")</f>
        <v/>
      </c>
      <c r="K2895" s="55" t="str">
        <f>IFERROR(IF($G2895="","",VLOOKUP('Dashboard And Emails Automate'!$G2895,Database!$H:$N,5,0)),"")</f>
        <v/>
      </c>
      <c r="L2895" s="55" t="str">
        <f>IFERROR(IF($G2895="","",VLOOKUP('Dashboard And Emails Automate'!$G2895,Database!$H:$N,6,0)),"")</f>
        <v/>
      </c>
      <c r="M2895" s="55" t="str">
        <f>IFERROR(IF($G2895="","",VLOOKUP('Dashboard And Emails Automate'!$G2895,Database!$H:$N,7,0)),"")</f>
        <v/>
      </c>
      <c r="N2895" s="55" t="str">
        <f>IFERROR(IF(OR($B2895="",$B2895="(blank)"),"",VLOOKUP($B2895,'Email Marketing Raw Data'!$C:$O,6,0)),"")</f>
        <v/>
      </c>
      <c r="O2895" s="55" t="str">
        <f>IFERROR(IF(OR($B2895="",$B2895="(blank)"),"",VLOOKUP($B2895,'Email Marketing Raw Data'!$C:$O,7,0)),"")</f>
        <v/>
      </c>
      <c r="P2895" s="55" t="str">
        <f>IFERROR(IF(OR($B2895="",$B2895="(blank)"),"",VLOOKUP($B2895,'Email Marketing Raw Data'!$C:$O,8,0)),"")</f>
        <v/>
      </c>
      <c r="Q2895" s="62" t="str">
        <f>IFERROR(IF(OR($B2895="",$B2895="(blank)"),"",VLOOKUP($B2895,'Email Marketing Raw Data'!$C:$O,9,0)),"")</f>
        <v/>
      </c>
    </row>
    <row r="2896" spans="4:17" ht="12.75" customHeight="1" x14ac:dyDescent="0.2">
      <c r="D2896" s="58" t="str">
        <f>IFERROR(IF(F2896&lt;&gt;"pending","",IF(OR($B2896="",$B2896="(blank)"),"",VLOOKUP($B2896,'Email Marketing Raw Data'!$C:$O,10,0))),"")</f>
        <v/>
      </c>
      <c r="E2896" s="59" t="str">
        <f>IFERROR(IF(F2896&lt;&gt;"pending","",IF(OR($B2896="",$B2896="(blank)"),"",VLOOKUP($B2896,'Email Marketing Raw Data'!$C:$O,11,0))),"")</f>
        <v/>
      </c>
      <c r="F2896" s="54" t="str">
        <f>IFERROR(IF(OR($B2896="",$B2896="(blank)"),"",VLOOKUP($B2896,'Email Marketing Raw Data'!$C:$O,13,0)),"")</f>
        <v/>
      </c>
      <c r="G2896" s="55" t="str">
        <f>IFERROR(IF(OR($B2896="",$B2896="(blank)"),"",VLOOKUP($B2896,'Email Marketing Raw Data'!$C:$O,4,0)),"")</f>
        <v/>
      </c>
      <c r="H2896" s="55" t="str">
        <f>IFERROR(IF(OR($B2896="",$B2896="(blank)"),"",VLOOKUP($B2896,'Email Marketing Raw Data'!$C:$O,5,0)),"")</f>
        <v/>
      </c>
      <c r="I2896" s="55" t="str">
        <f>IFERROR(IF($G2896="","",VLOOKUP('Dashboard And Emails Automate'!$G2896,Database!$H:$N,3,0)),"")</f>
        <v/>
      </c>
      <c r="J2896" s="55" t="str">
        <f>IFERROR(IF($G2896="","",VLOOKUP('Dashboard And Emails Automate'!$G2896,Database!$H:$N,4,0)),"")</f>
        <v/>
      </c>
      <c r="K2896" s="55" t="str">
        <f>IFERROR(IF($G2896="","",VLOOKUP('Dashboard And Emails Automate'!$G2896,Database!$H:$N,5,0)),"")</f>
        <v/>
      </c>
      <c r="L2896" s="55" t="str">
        <f>IFERROR(IF($G2896="","",VLOOKUP('Dashboard And Emails Automate'!$G2896,Database!$H:$N,6,0)),"")</f>
        <v/>
      </c>
      <c r="M2896" s="55" t="str">
        <f>IFERROR(IF($G2896="","",VLOOKUP('Dashboard And Emails Automate'!$G2896,Database!$H:$N,7,0)),"")</f>
        <v/>
      </c>
      <c r="N2896" s="55" t="str">
        <f>IFERROR(IF(OR($B2896="",$B2896="(blank)"),"",VLOOKUP($B2896,'Email Marketing Raw Data'!$C:$O,6,0)),"")</f>
        <v/>
      </c>
      <c r="O2896" s="55" t="str">
        <f>IFERROR(IF(OR($B2896="",$B2896="(blank)"),"",VLOOKUP($B2896,'Email Marketing Raw Data'!$C:$O,7,0)),"")</f>
        <v/>
      </c>
      <c r="P2896" s="55" t="str">
        <f>IFERROR(IF(OR($B2896="",$B2896="(blank)"),"",VLOOKUP($B2896,'Email Marketing Raw Data'!$C:$O,8,0)),"")</f>
        <v/>
      </c>
      <c r="Q2896" s="62" t="str">
        <f>IFERROR(IF(OR($B2896="",$B2896="(blank)"),"",VLOOKUP($B2896,'Email Marketing Raw Data'!$C:$O,9,0)),"")</f>
        <v/>
      </c>
    </row>
    <row r="2897" spans="4:17" ht="12.75" customHeight="1" x14ac:dyDescent="0.2">
      <c r="D2897" s="58" t="str">
        <f>IFERROR(IF(F2897&lt;&gt;"pending","",IF(OR($B2897="",$B2897="(blank)"),"",VLOOKUP($B2897,'Email Marketing Raw Data'!$C:$O,10,0))),"")</f>
        <v/>
      </c>
      <c r="E2897" s="59" t="str">
        <f>IFERROR(IF(F2897&lt;&gt;"pending","",IF(OR($B2897="",$B2897="(blank)"),"",VLOOKUP($B2897,'Email Marketing Raw Data'!$C:$O,11,0))),"")</f>
        <v/>
      </c>
      <c r="F2897" s="54" t="str">
        <f>IFERROR(IF(OR($B2897="",$B2897="(blank)"),"",VLOOKUP($B2897,'Email Marketing Raw Data'!$C:$O,13,0)),"")</f>
        <v/>
      </c>
      <c r="G2897" s="55" t="str">
        <f>IFERROR(IF(OR($B2897="",$B2897="(blank)"),"",VLOOKUP($B2897,'Email Marketing Raw Data'!$C:$O,4,0)),"")</f>
        <v/>
      </c>
      <c r="H2897" s="55" t="str">
        <f>IFERROR(IF(OR($B2897="",$B2897="(blank)"),"",VLOOKUP($B2897,'Email Marketing Raw Data'!$C:$O,5,0)),"")</f>
        <v/>
      </c>
      <c r="I2897" s="55" t="str">
        <f>IFERROR(IF($G2897="","",VLOOKUP('Dashboard And Emails Automate'!$G2897,Database!$H:$N,3,0)),"")</f>
        <v/>
      </c>
      <c r="J2897" s="55" t="str">
        <f>IFERROR(IF($G2897="","",VLOOKUP('Dashboard And Emails Automate'!$G2897,Database!$H:$N,4,0)),"")</f>
        <v/>
      </c>
      <c r="K2897" s="55" t="str">
        <f>IFERROR(IF($G2897="","",VLOOKUP('Dashboard And Emails Automate'!$G2897,Database!$H:$N,5,0)),"")</f>
        <v/>
      </c>
      <c r="L2897" s="55" t="str">
        <f>IFERROR(IF($G2897="","",VLOOKUP('Dashboard And Emails Automate'!$G2897,Database!$H:$N,6,0)),"")</f>
        <v/>
      </c>
      <c r="M2897" s="55" t="str">
        <f>IFERROR(IF($G2897="","",VLOOKUP('Dashboard And Emails Automate'!$G2897,Database!$H:$N,7,0)),"")</f>
        <v/>
      </c>
      <c r="N2897" s="55" t="str">
        <f>IFERROR(IF(OR($B2897="",$B2897="(blank)"),"",VLOOKUP($B2897,'Email Marketing Raw Data'!$C:$O,6,0)),"")</f>
        <v/>
      </c>
      <c r="O2897" s="55" t="str">
        <f>IFERROR(IF(OR($B2897="",$B2897="(blank)"),"",VLOOKUP($B2897,'Email Marketing Raw Data'!$C:$O,7,0)),"")</f>
        <v/>
      </c>
      <c r="P2897" s="55" t="str">
        <f>IFERROR(IF(OR($B2897="",$B2897="(blank)"),"",VLOOKUP($B2897,'Email Marketing Raw Data'!$C:$O,8,0)),"")</f>
        <v/>
      </c>
      <c r="Q2897" s="62" t="str">
        <f>IFERROR(IF(OR($B2897="",$B2897="(blank)"),"",VLOOKUP($B2897,'Email Marketing Raw Data'!$C:$O,9,0)),"")</f>
        <v/>
      </c>
    </row>
    <row r="2898" spans="4:17" ht="12.75" customHeight="1" x14ac:dyDescent="0.2">
      <c r="D2898" s="58" t="str">
        <f>IFERROR(IF(F2898&lt;&gt;"pending","",IF(OR($B2898="",$B2898="(blank)"),"",VLOOKUP($B2898,'Email Marketing Raw Data'!$C:$O,10,0))),"")</f>
        <v/>
      </c>
      <c r="E2898" s="59" t="str">
        <f>IFERROR(IF(F2898&lt;&gt;"pending","",IF(OR($B2898="",$B2898="(blank)"),"",VLOOKUP($B2898,'Email Marketing Raw Data'!$C:$O,11,0))),"")</f>
        <v/>
      </c>
      <c r="F2898" s="54" t="str">
        <f>IFERROR(IF(OR($B2898="",$B2898="(blank)"),"",VLOOKUP($B2898,'Email Marketing Raw Data'!$C:$O,13,0)),"")</f>
        <v/>
      </c>
      <c r="G2898" s="55" t="str">
        <f>IFERROR(IF(OR($B2898="",$B2898="(blank)"),"",VLOOKUP($B2898,'Email Marketing Raw Data'!$C:$O,4,0)),"")</f>
        <v/>
      </c>
      <c r="H2898" s="55" t="str">
        <f>IFERROR(IF(OR($B2898="",$B2898="(blank)"),"",VLOOKUP($B2898,'Email Marketing Raw Data'!$C:$O,5,0)),"")</f>
        <v/>
      </c>
      <c r="I2898" s="55" t="str">
        <f>IFERROR(IF($G2898="","",VLOOKUP('Dashboard And Emails Automate'!$G2898,Database!$H:$N,3,0)),"")</f>
        <v/>
      </c>
      <c r="J2898" s="55" t="str">
        <f>IFERROR(IF($G2898="","",VLOOKUP('Dashboard And Emails Automate'!$G2898,Database!$H:$N,4,0)),"")</f>
        <v/>
      </c>
      <c r="K2898" s="55" t="str">
        <f>IFERROR(IF($G2898="","",VLOOKUP('Dashboard And Emails Automate'!$G2898,Database!$H:$N,5,0)),"")</f>
        <v/>
      </c>
      <c r="L2898" s="55" t="str">
        <f>IFERROR(IF($G2898="","",VLOOKUP('Dashboard And Emails Automate'!$G2898,Database!$H:$N,6,0)),"")</f>
        <v/>
      </c>
      <c r="M2898" s="55" t="str">
        <f>IFERROR(IF($G2898="","",VLOOKUP('Dashboard And Emails Automate'!$G2898,Database!$H:$N,7,0)),"")</f>
        <v/>
      </c>
      <c r="N2898" s="55" t="str">
        <f>IFERROR(IF(OR($B2898="",$B2898="(blank)"),"",VLOOKUP($B2898,'Email Marketing Raw Data'!$C:$O,6,0)),"")</f>
        <v/>
      </c>
      <c r="O2898" s="55" t="str">
        <f>IFERROR(IF(OR($B2898="",$B2898="(blank)"),"",VLOOKUP($B2898,'Email Marketing Raw Data'!$C:$O,7,0)),"")</f>
        <v/>
      </c>
      <c r="P2898" s="55" t="str">
        <f>IFERROR(IF(OR($B2898="",$B2898="(blank)"),"",VLOOKUP($B2898,'Email Marketing Raw Data'!$C:$O,8,0)),"")</f>
        <v/>
      </c>
      <c r="Q2898" s="62" t="str">
        <f>IFERROR(IF(OR($B2898="",$B2898="(blank)"),"",VLOOKUP($B2898,'Email Marketing Raw Data'!$C:$O,9,0)),"")</f>
        <v/>
      </c>
    </row>
    <row r="2899" spans="4:17" ht="12.75" customHeight="1" x14ac:dyDescent="0.2">
      <c r="D2899" s="58" t="str">
        <f>IFERROR(IF(F2899&lt;&gt;"pending","",IF(OR($B2899="",$B2899="(blank)"),"",VLOOKUP($B2899,'Email Marketing Raw Data'!$C:$O,10,0))),"")</f>
        <v/>
      </c>
      <c r="E2899" s="59" t="str">
        <f>IFERROR(IF(F2899&lt;&gt;"pending","",IF(OR($B2899="",$B2899="(blank)"),"",VLOOKUP($B2899,'Email Marketing Raw Data'!$C:$O,11,0))),"")</f>
        <v/>
      </c>
      <c r="F2899" s="54" t="str">
        <f>IFERROR(IF(OR($B2899="",$B2899="(blank)"),"",VLOOKUP($B2899,'Email Marketing Raw Data'!$C:$O,13,0)),"")</f>
        <v/>
      </c>
      <c r="G2899" s="55" t="str">
        <f>IFERROR(IF(OR($B2899="",$B2899="(blank)"),"",VLOOKUP($B2899,'Email Marketing Raw Data'!$C:$O,4,0)),"")</f>
        <v/>
      </c>
      <c r="H2899" s="55" t="str">
        <f>IFERROR(IF(OR($B2899="",$B2899="(blank)"),"",VLOOKUP($B2899,'Email Marketing Raw Data'!$C:$O,5,0)),"")</f>
        <v/>
      </c>
      <c r="I2899" s="55" t="str">
        <f>IFERROR(IF($G2899="","",VLOOKUP('Dashboard And Emails Automate'!$G2899,Database!$H:$N,3,0)),"")</f>
        <v/>
      </c>
      <c r="J2899" s="55" t="str">
        <f>IFERROR(IF($G2899="","",VLOOKUP('Dashboard And Emails Automate'!$G2899,Database!$H:$N,4,0)),"")</f>
        <v/>
      </c>
      <c r="K2899" s="55" t="str">
        <f>IFERROR(IF($G2899="","",VLOOKUP('Dashboard And Emails Automate'!$G2899,Database!$H:$N,5,0)),"")</f>
        <v/>
      </c>
      <c r="L2899" s="55" t="str">
        <f>IFERROR(IF($G2899="","",VLOOKUP('Dashboard And Emails Automate'!$G2899,Database!$H:$N,6,0)),"")</f>
        <v/>
      </c>
      <c r="M2899" s="55" t="str">
        <f>IFERROR(IF($G2899="","",VLOOKUP('Dashboard And Emails Automate'!$G2899,Database!$H:$N,7,0)),"")</f>
        <v/>
      </c>
      <c r="N2899" s="55" t="str">
        <f>IFERROR(IF(OR($B2899="",$B2899="(blank)"),"",VLOOKUP($B2899,'Email Marketing Raw Data'!$C:$O,6,0)),"")</f>
        <v/>
      </c>
      <c r="O2899" s="55" t="str">
        <f>IFERROR(IF(OR($B2899="",$B2899="(blank)"),"",VLOOKUP($B2899,'Email Marketing Raw Data'!$C:$O,7,0)),"")</f>
        <v/>
      </c>
      <c r="P2899" s="55" t="str">
        <f>IFERROR(IF(OR($B2899="",$B2899="(blank)"),"",VLOOKUP($B2899,'Email Marketing Raw Data'!$C:$O,8,0)),"")</f>
        <v/>
      </c>
      <c r="Q2899" s="62" t="str">
        <f>IFERROR(IF(OR($B2899="",$B2899="(blank)"),"",VLOOKUP($B2899,'Email Marketing Raw Data'!$C:$O,9,0)),"")</f>
        <v/>
      </c>
    </row>
    <row r="2900" spans="4:17" ht="12.75" customHeight="1" x14ac:dyDescent="0.2">
      <c r="D2900" s="58" t="str">
        <f>IFERROR(IF(F2900&lt;&gt;"pending","",IF(OR($B2900="",$B2900="(blank)"),"",VLOOKUP($B2900,'Email Marketing Raw Data'!$C:$O,10,0))),"")</f>
        <v/>
      </c>
      <c r="E2900" s="59" t="str">
        <f>IFERROR(IF(F2900&lt;&gt;"pending","",IF(OR($B2900="",$B2900="(blank)"),"",VLOOKUP($B2900,'Email Marketing Raw Data'!$C:$O,11,0))),"")</f>
        <v/>
      </c>
      <c r="F2900" s="54" t="str">
        <f>IFERROR(IF(OR($B2900="",$B2900="(blank)"),"",VLOOKUP($B2900,'Email Marketing Raw Data'!$C:$O,13,0)),"")</f>
        <v/>
      </c>
      <c r="G2900" s="55" t="str">
        <f>IFERROR(IF(OR($B2900="",$B2900="(blank)"),"",VLOOKUP($B2900,'Email Marketing Raw Data'!$C:$O,4,0)),"")</f>
        <v/>
      </c>
      <c r="H2900" s="55" t="str">
        <f>IFERROR(IF(OR($B2900="",$B2900="(blank)"),"",VLOOKUP($B2900,'Email Marketing Raw Data'!$C:$O,5,0)),"")</f>
        <v/>
      </c>
      <c r="I2900" s="55" t="str">
        <f>IFERROR(IF($G2900="","",VLOOKUP('Dashboard And Emails Automate'!$G2900,Database!$H:$N,3,0)),"")</f>
        <v/>
      </c>
      <c r="J2900" s="55" t="str">
        <f>IFERROR(IF($G2900="","",VLOOKUP('Dashboard And Emails Automate'!$G2900,Database!$H:$N,4,0)),"")</f>
        <v/>
      </c>
      <c r="K2900" s="55" t="str">
        <f>IFERROR(IF($G2900="","",VLOOKUP('Dashboard And Emails Automate'!$G2900,Database!$H:$N,5,0)),"")</f>
        <v/>
      </c>
      <c r="L2900" s="55" t="str">
        <f>IFERROR(IF($G2900="","",VLOOKUP('Dashboard And Emails Automate'!$G2900,Database!$H:$N,6,0)),"")</f>
        <v/>
      </c>
      <c r="M2900" s="55" t="str">
        <f>IFERROR(IF($G2900="","",VLOOKUP('Dashboard And Emails Automate'!$G2900,Database!$H:$N,7,0)),"")</f>
        <v/>
      </c>
      <c r="N2900" s="55" t="str">
        <f>IFERROR(IF(OR($B2900="",$B2900="(blank)"),"",VLOOKUP($B2900,'Email Marketing Raw Data'!$C:$O,6,0)),"")</f>
        <v/>
      </c>
      <c r="O2900" s="55" t="str">
        <f>IFERROR(IF(OR($B2900="",$B2900="(blank)"),"",VLOOKUP($B2900,'Email Marketing Raw Data'!$C:$O,7,0)),"")</f>
        <v/>
      </c>
      <c r="P2900" s="55" t="str">
        <f>IFERROR(IF(OR($B2900="",$B2900="(blank)"),"",VLOOKUP($B2900,'Email Marketing Raw Data'!$C:$O,8,0)),"")</f>
        <v/>
      </c>
      <c r="Q2900" s="62" t="str">
        <f>IFERROR(IF(OR($B2900="",$B2900="(blank)"),"",VLOOKUP($B2900,'Email Marketing Raw Data'!$C:$O,9,0)),"")</f>
        <v/>
      </c>
    </row>
    <row r="2901" spans="4:17" ht="12.75" customHeight="1" x14ac:dyDescent="0.2">
      <c r="D2901" s="58" t="str">
        <f>IFERROR(IF(F2901&lt;&gt;"pending","",IF(OR($B2901="",$B2901="(blank)"),"",VLOOKUP($B2901,'Email Marketing Raw Data'!$C:$O,10,0))),"")</f>
        <v/>
      </c>
      <c r="E2901" s="59" t="str">
        <f>IFERROR(IF(F2901&lt;&gt;"pending","",IF(OR($B2901="",$B2901="(blank)"),"",VLOOKUP($B2901,'Email Marketing Raw Data'!$C:$O,11,0))),"")</f>
        <v/>
      </c>
      <c r="F2901" s="54" t="str">
        <f>IFERROR(IF(OR($B2901="",$B2901="(blank)"),"",VLOOKUP($B2901,'Email Marketing Raw Data'!$C:$O,13,0)),"")</f>
        <v/>
      </c>
      <c r="G2901" s="55" t="str">
        <f>IFERROR(IF(OR($B2901="",$B2901="(blank)"),"",VLOOKUP($B2901,'Email Marketing Raw Data'!$C:$O,4,0)),"")</f>
        <v/>
      </c>
      <c r="H2901" s="55" t="str">
        <f>IFERROR(IF(OR($B2901="",$B2901="(blank)"),"",VLOOKUP($B2901,'Email Marketing Raw Data'!$C:$O,5,0)),"")</f>
        <v/>
      </c>
      <c r="I2901" s="55" t="str">
        <f>IFERROR(IF($G2901="","",VLOOKUP('Dashboard And Emails Automate'!$G2901,Database!$H:$N,3,0)),"")</f>
        <v/>
      </c>
      <c r="J2901" s="55" t="str">
        <f>IFERROR(IF($G2901="","",VLOOKUP('Dashboard And Emails Automate'!$G2901,Database!$H:$N,4,0)),"")</f>
        <v/>
      </c>
      <c r="K2901" s="55" t="str">
        <f>IFERROR(IF($G2901="","",VLOOKUP('Dashboard And Emails Automate'!$G2901,Database!$H:$N,5,0)),"")</f>
        <v/>
      </c>
      <c r="L2901" s="55" t="str">
        <f>IFERROR(IF($G2901="","",VLOOKUP('Dashboard And Emails Automate'!$G2901,Database!$H:$N,6,0)),"")</f>
        <v/>
      </c>
      <c r="M2901" s="55" t="str">
        <f>IFERROR(IF($G2901="","",VLOOKUP('Dashboard And Emails Automate'!$G2901,Database!$H:$N,7,0)),"")</f>
        <v/>
      </c>
      <c r="N2901" s="55" t="str">
        <f>IFERROR(IF(OR($B2901="",$B2901="(blank)"),"",VLOOKUP($B2901,'Email Marketing Raw Data'!$C:$O,6,0)),"")</f>
        <v/>
      </c>
      <c r="O2901" s="55" t="str">
        <f>IFERROR(IF(OR($B2901="",$B2901="(blank)"),"",VLOOKUP($B2901,'Email Marketing Raw Data'!$C:$O,7,0)),"")</f>
        <v/>
      </c>
      <c r="P2901" s="55" t="str">
        <f>IFERROR(IF(OR($B2901="",$B2901="(blank)"),"",VLOOKUP($B2901,'Email Marketing Raw Data'!$C:$O,8,0)),"")</f>
        <v/>
      </c>
      <c r="Q2901" s="62" t="str">
        <f>IFERROR(IF(OR($B2901="",$B2901="(blank)"),"",VLOOKUP($B2901,'Email Marketing Raw Data'!$C:$O,9,0)),"")</f>
        <v/>
      </c>
    </row>
    <row r="2902" spans="4:17" ht="12.75" customHeight="1" x14ac:dyDescent="0.2">
      <c r="D2902" s="58" t="str">
        <f>IFERROR(IF(F2902&lt;&gt;"pending","",IF(OR($B2902="",$B2902="(blank)"),"",VLOOKUP($B2902,'Email Marketing Raw Data'!$C:$O,10,0))),"")</f>
        <v/>
      </c>
      <c r="E2902" s="59" t="str">
        <f>IFERROR(IF(F2902&lt;&gt;"pending","",IF(OR($B2902="",$B2902="(blank)"),"",VLOOKUP($B2902,'Email Marketing Raw Data'!$C:$O,11,0))),"")</f>
        <v/>
      </c>
      <c r="F2902" s="54" t="str">
        <f>IFERROR(IF(OR($B2902="",$B2902="(blank)"),"",VLOOKUP($B2902,'Email Marketing Raw Data'!$C:$O,13,0)),"")</f>
        <v/>
      </c>
      <c r="G2902" s="55" t="str">
        <f>IFERROR(IF(OR($B2902="",$B2902="(blank)"),"",VLOOKUP($B2902,'Email Marketing Raw Data'!$C:$O,4,0)),"")</f>
        <v/>
      </c>
      <c r="H2902" s="55" t="str">
        <f>IFERROR(IF(OR($B2902="",$B2902="(blank)"),"",VLOOKUP($B2902,'Email Marketing Raw Data'!$C:$O,5,0)),"")</f>
        <v/>
      </c>
      <c r="I2902" s="55" t="str">
        <f>IFERROR(IF($G2902="","",VLOOKUP('Dashboard And Emails Automate'!$G2902,Database!$H:$N,3,0)),"")</f>
        <v/>
      </c>
      <c r="J2902" s="55" t="str">
        <f>IFERROR(IF($G2902="","",VLOOKUP('Dashboard And Emails Automate'!$G2902,Database!$H:$N,4,0)),"")</f>
        <v/>
      </c>
      <c r="K2902" s="55" t="str">
        <f>IFERROR(IF($G2902="","",VLOOKUP('Dashboard And Emails Automate'!$G2902,Database!$H:$N,5,0)),"")</f>
        <v/>
      </c>
      <c r="L2902" s="55" t="str">
        <f>IFERROR(IF($G2902="","",VLOOKUP('Dashboard And Emails Automate'!$G2902,Database!$H:$N,6,0)),"")</f>
        <v/>
      </c>
      <c r="M2902" s="55" t="str">
        <f>IFERROR(IF($G2902="","",VLOOKUP('Dashboard And Emails Automate'!$G2902,Database!$H:$N,7,0)),"")</f>
        <v/>
      </c>
      <c r="N2902" s="55" t="str">
        <f>IFERROR(IF(OR($B2902="",$B2902="(blank)"),"",VLOOKUP($B2902,'Email Marketing Raw Data'!$C:$O,6,0)),"")</f>
        <v/>
      </c>
      <c r="O2902" s="55" t="str">
        <f>IFERROR(IF(OR($B2902="",$B2902="(blank)"),"",VLOOKUP($B2902,'Email Marketing Raw Data'!$C:$O,7,0)),"")</f>
        <v/>
      </c>
      <c r="P2902" s="55" t="str">
        <f>IFERROR(IF(OR($B2902="",$B2902="(blank)"),"",VLOOKUP($B2902,'Email Marketing Raw Data'!$C:$O,8,0)),"")</f>
        <v/>
      </c>
      <c r="Q2902" s="62" t="str">
        <f>IFERROR(IF(OR($B2902="",$B2902="(blank)"),"",VLOOKUP($B2902,'Email Marketing Raw Data'!$C:$O,9,0)),"")</f>
        <v/>
      </c>
    </row>
    <row r="2903" spans="4:17" ht="12.75" customHeight="1" x14ac:dyDescent="0.2">
      <c r="D2903" s="58" t="str">
        <f>IFERROR(IF(F2903&lt;&gt;"pending","",IF(OR($B2903="",$B2903="(blank)"),"",VLOOKUP($B2903,'Email Marketing Raw Data'!$C:$O,10,0))),"")</f>
        <v/>
      </c>
      <c r="E2903" s="59" t="str">
        <f>IFERROR(IF(F2903&lt;&gt;"pending","",IF(OR($B2903="",$B2903="(blank)"),"",VLOOKUP($B2903,'Email Marketing Raw Data'!$C:$O,11,0))),"")</f>
        <v/>
      </c>
      <c r="F2903" s="54" t="str">
        <f>IFERROR(IF(OR($B2903="",$B2903="(blank)"),"",VLOOKUP($B2903,'Email Marketing Raw Data'!$C:$O,13,0)),"")</f>
        <v/>
      </c>
      <c r="G2903" s="55" t="str">
        <f>IFERROR(IF(OR($B2903="",$B2903="(blank)"),"",VLOOKUP($B2903,'Email Marketing Raw Data'!$C:$O,4,0)),"")</f>
        <v/>
      </c>
      <c r="H2903" s="55" t="str">
        <f>IFERROR(IF(OR($B2903="",$B2903="(blank)"),"",VLOOKUP($B2903,'Email Marketing Raw Data'!$C:$O,5,0)),"")</f>
        <v/>
      </c>
      <c r="I2903" s="55" t="str">
        <f>IFERROR(IF($G2903="","",VLOOKUP('Dashboard And Emails Automate'!$G2903,Database!$H:$N,3,0)),"")</f>
        <v/>
      </c>
      <c r="J2903" s="55" t="str">
        <f>IFERROR(IF($G2903="","",VLOOKUP('Dashboard And Emails Automate'!$G2903,Database!$H:$N,4,0)),"")</f>
        <v/>
      </c>
      <c r="K2903" s="55" t="str">
        <f>IFERROR(IF($G2903="","",VLOOKUP('Dashboard And Emails Automate'!$G2903,Database!$H:$N,5,0)),"")</f>
        <v/>
      </c>
      <c r="L2903" s="55" t="str">
        <f>IFERROR(IF($G2903="","",VLOOKUP('Dashboard And Emails Automate'!$G2903,Database!$H:$N,6,0)),"")</f>
        <v/>
      </c>
      <c r="M2903" s="55" t="str">
        <f>IFERROR(IF($G2903="","",VLOOKUP('Dashboard And Emails Automate'!$G2903,Database!$H:$N,7,0)),"")</f>
        <v/>
      </c>
      <c r="N2903" s="55" t="str">
        <f>IFERROR(IF(OR($B2903="",$B2903="(blank)"),"",VLOOKUP($B2903,'Email Marketing Raw Data'!$C:$O,6,0)),"")</f>
        <v/>
      </c>
      <c r="O2903" s="55" t="str">
        <f>IFERROR(IF(OR($B2903="",$B2903="(blank)"),"",VLOOKUP($B2903,'Email Marketing Raw Data'!$C:$O,7,0)),"")</f>
        <v/>
      </c>
      <c r="P2903" s="55" t="str">
        <f>IFERROR(IF(OR($B2903="",$B2903="(blank)"),"",VLOOKUP($B2903,'Email Marketing Raw Data'!$C:$O,8,0)),"")</f>
        <v/>
      </c>
      <c r="Q2903" s="62" t="str">
        <f>IFERROR(IF(OR($B2903="",$B2903="(blank)"),"",VLOOKUP($B2903,'Email Marketing Raw Data'!$C:$O,9,0)),"")</f>
        <v/>
      </c>
    </row>
    <row r="2904" spans="4:17" ht="12.75" customHeight="1" x14ac:dyDescent="0.2">
      <c r="D2904" s="58" t="str">
        <f>IFERROR(IF(F2904&lt;&gt;"pending","",IF(OR($B2904="",$B2904="(blank)"),"",VLOOKUP($B2904,'Email Marketing Raw Data'!$C:$O,10,0))),"")</f>
        <v/>
      </c>
      <c r="E2904" s="59" t="str">
        <f>IFERROR(IF(F2904&lt;&gt;"pending","",IF(OR($B2904="",$B2904="(blank)"),"",VLOOKUP($B2904,'Email Marketing Raw Data'!$C:$O,11,0))),"")</f>
        <v/>
      </c>
      <c r="F2904" s="54" t="str">
        <f>IFERROR(IF(OR($B2904="",$B2904="(blank)"),"",VLOOKUP($B2904,'Email Marketing Raw Data'!$C:$O,13,0)),"")</f>
        <v/>
      </c>
      <c r="G2904" s="55" t="str">
        <f>IFERROR(IF(OR($B2904="",$B2904="(blank)"),"",VLOOKUP($B2904,'Email Marketing Raw Data'!$C:$O,4,0)),"")</f>
        <v/>
      </c>
      <c r="H2904" s="55" t="str">
        <f>IFERROR(IF(OR($B2904="",$B2904="(blank)"),"",VLOOKUP($B2904,'Email Marketing Raw Data'!$C:$O,5,0)),"")</f>
        <v/>
      </c>
      <c r="I2904" s="55" t="str">
        <f>IFERROR(IF($G2904="","",VLOOKUP('Dashboard And Emails Automate'!$G2904,Database!$H:$N,3,0)),"")</f>
        <v/>
      </c>
      <c r="J2904" s="55" t="str">
        <f>IFERROR(IF($G2904="","",VLOOKUP('Dashboard And Emails Automate'!$G2904,Database!$H:$N,4,0)),"")</f>
        <v/>
      </c>
      <c r="K2904" s="55" t="str">
        <f>IFERROR(IF($G2904="","",VLOOKUP('Dashboard And Emails Automate'!$G2904,Database!$H:$N,5,0)),"")</f>
        <v/>
      </c>
      <c r="L2904" s="55" t="str">
        <f>IFERROR(IF($G2904="","",VLOOKUP('Dashboard And Emails Automate'!$G2904,Database!$H:$N,6,0)),"")</f>
        <v/>
      </c>
      <c r="M2904" s="55" t="str">
        <f>IFERROR(IF($G2904="","",VLOOKUP('Dashboard And Emails Automate'!$G2904,Database!$H:$N,7,0)),"")</f>
        <v/>
      </c>
      <c r="N2904" s="55" t="str">
        <f>IFERROR(IF(OR($B2904="",$B2904="(blank)"),"",VLOOKUP($B2904,'Email Marketing Raw Data'!$C:$O,6,0)),"")</f>
        <v/>
      </c>
      <c r="O2904" s="55" t="str">
        <f>IFERROR(IF(OR($B2904="",$B2904="(blank)"),"",VLOOKUP($B2904,'Email Marketing Raw Data'!$C:$O,7,0)),"")</f>
        <v/>
      </c>
      <c r="P2904" s="55" t="str">
        <f>IFERROR(IF(OR($B2904="",$B2904="(blank)"),"",VLOOKUP($B2904,'Email Marketing Raw Data'!$C:$O,8,0)),"")</f>
        <v/>
      </c>
      <c r="Q2904" s="62" t="str">
        <f>IFERROR(IF(OR($B2904="",$B2904="(blank)"),"",VLOOKUP($B2904,'Email Marketing Raw Data'!$C:$O,9,0)),"")</f>
        <v/>
      </c>
    </row>
    <row r="2905" spans="4:17" ht="12.75" customHeight="1" x14ac:dyDescent="0.2">
      <c r="D2905" s="58" t="str">
        <f>IFERROR(IF(F2905&lt;&gt;"pending","",IF(OR($B2905="",$B2905="(blank)"),"",VLOOKUP($B2905,'Email Marketing Raw Data'!$C:$O,10,0))),"")</f>
        <v/>
      </c>
      <c r="E2905" s="59" t="str">
        <f>IFERROR(IF(F2905&lt;&gt;"pending","",IF(OR($B2905="",$B2905="(blank)"),"",VLOOKUP($B2905,'Email Marketing Raw Data'!$C:$O,11,0))),"")</f>
        <v/>
      </c>
      <c r="F2905" s="54" t="str">
        <f>IFERROR(IF(OR($B2905="",$B2905="(blank)"),"",VLOOKUP($B2905,'Email Marketing Raw Data'!$C:$O,13,0)),"")</f>
        <v/>
      </c>
      <c r="G2905" s="55" t="str">
        <f>IFERROR(IF(OR($B2905="",$B2905="(blank)"),"",VLOOKUP($B2905,'Email Marketing Raw Data'!$C:$O,4,0)),"")</f>
        <v/>
      </c>
      <c r="H2905" s="55" t="str">
        <f>IFERROR(IF(OR($B2905="",$B2905="(blank)"),"",VLOOKUP($B2905,'Email Marketing Raw Data'!$C:$O,5,0)),"")</f>
        <v/>
      </c>
      <c r="I2905" s="55" t="str">
        <f>IFERROR(IF($G2905="","",VLOOKUP('Dashboard And Emails Automate'!$G2905,Database!$H:$N,3,0)),"")</f>
        <v/>
      </c>
      <c r="J2905" s="55" t="str">
        <f>IFERROR(IF($G2905="","",VLOOKUP('Dashboard And Emails Automate'!$G2905,Database!$H:$N,4,0)),"")</f>
        <v/>
      </c>
      <c r="K2905" s="55" t="str">
        <f>IFERROR(IF($G2905="","",VLOOKUP('Dashboard And Emails Automate'!$G2905,Database!$H:$N,5,0)),"")</f>
        <v/>
      </c>
      <c r="L2905" s="55" t="str">
        <f>IFERROR(IF($G2905="","",VLOOKUP('Dashboard And Emails Automate'!$G2905,Database!$H:$N,6,0)),"")</f>
        <v/>
      </c>
      <c r="M2905" s="55" t="str">
        <f>IFERROR(IF($G2905="","",VLOOKUP('Dashboard And Emails Automate'!$G2905,Database!$H:$N,7,0)),"")</f>
        <v/>
      </c>
      <c r="N2905" s="55" t="str">
        <f>IFERROR(IF(OR($B2905="",$B2905="(blank)"),"",VLOOKUP($B2905,'Email Marketing Raw Data'!$C:$O,6,0)),"")</f>
        <v/>
      </c>
      <c r="O2905" s="55" t="str">
        <f>IFERROR(IF(OR($B2905="",$B2905="(blank)"),"",VLOOKUP($B2905,'Email Marketing Raw Data'!$C:$O,7,0)),"")</f>
        <v/>
      </c>
      <c r="P2905" s="55" t="str">
        <f>IFERROR(IF(OR($B2905="",$B2905="(blank)"),"",VLOOKUP($B2905,'Email Marketing Raw Data'!$C:$O,8,0)),"")</f>
        <v/>
      </c>
      <c r="Q2905" s="62" t="str">
        <f>IFERROR(IF(OR($B2905="",$B2905="(blank)"),"",VLOOKUP($B2905,'Email Marketing Raw Data'!$C:$O,9,0)),"")</f>
        <v/>
      </c>
    </row>
    <row r="2906" spans="4:17" ht="12.75" customHeight="1" x14ac:dyDescent="0.2">
      <c r="D2906" s="58" t="str">
        <f>IFERROR(IF(F2906&lt;&gt;"pending","",IF(OR($B2906="",$B2906="(blank)"),"",VLOOKUP($B2906,'Email Marketing Raw Data'!$C:$O,10,0))),"")</f>
        <v/>
      </c>
      <c r="E2906" s="59" t="str">
        <f>IFERROR(IF(F2906&lt;&gt;"pending","",IF(OR($B2906="",$B2906="(blank)"),"",VLOOKUP($B2906,'Email Marketing Raw Data'!$C:$O,11,0))),"")</f>
        <v/>
      </c>
      <c r="F2906" s="54" t="str">
        <f>IFERROR(IF(OR($B2906="",$B2906="(blank)"),"",VLOOKUP($B2906,'Email Marketing Raw Data'!$C:$O,13,0)),"")</f>
        <v/>
      </c>
      <c r="G2906" s="55" t="str">
        <f>IFERROR(IF(OR($B2906="",$B2906="(blank)"),"",VLOOKUP($B2906,'Email Marketing Raw Data'!$C:$O,4,0)),"")</f>
        <v/>
      </c>
      <c r="H2906" s="55" t="str">
        <f>IFERROR(IF(OR($B2906="",$B2906="(blank)"),"",VLOOKUP($B2906,'Email Marketing Raw Data'!$C:$O,5,0)),"")</f>
        <v/>
      </c>
      <c r="I2906" s="55" t="str">
        <f>IFERROR(IF($G2906="","",VLOOKUP('Dashboard And Emails Automate'!$G2906,Database!$H:$N,3,0)),"")</f>
        <v/>
      </c>
      <c r="J2906" s="55" t="str">
        <f>IFERROR(IF($G2906="","",VLOOKUP('Dashboard And Emails Automate'!$G2906,Database!$H:$N,4,0)),"")</f>
        <v/>
      </c>
      <c r="K2906" s="55" t="str">
        <f>IFERROR(IF($G2906="","",VLOOKUP('Dashboard And Emails Automate'!$G2906,Database!$H:$N,5,0)),"")</f>
        <v/>
      </c>
      <c r="L2906" s="55" t="str">
        <f>IFERROR(IF($G2906="","",VLOOKUP('Dashboard And Emails Automate'!$G2906,Database!$H:$N,6,0)),"")</f>
        <v/>
      </c>
      <c r="M2906" s="55" t="str">
        <f>IFERROR(IF($G2906="","",VLOOKUP('Dashboard And Emails Automate'!$G2906,Database!$H:$N,7,0)),"")</f>
        <v/>
      </c>
      <c r="N2906" s="55" t="str">
        <f>IFERROR(IF(OR($B2906="",$B2906="(blank)"),"",VLOOKUP($B2906,'Email Marketing Raw Data'!$C:$O,6,0)),"")</f>
        <v/>
      </c>
      <c r="O2906" s="55" t="str">
        <f>IFERROR(IF(OR($B2906="",$B2906="(blank)"),"",VLOOKUP($B2906,'Email Marketing Raw Data'!$C:$O,7,0)),"")</f>
        <v/>
      </c>
      <c r="P2906" s="55" t="str">
        <f>IFERROR(IF(OR($B2906="",$B2906="(blank)"),"",VLOOKUP($B2906,'Email Marketing Raw Data'!$C:$O,8,0)),"")</f>
        <v/>
      </c>
      <c r="Q2906" s="62" t="str">
        <f>IFERROR(IF(OR($B2906="",$B2906="(blank)"),"",VLOOKUP($B2906,'Email Marketing Raw Data'!$C:$O,9,0)),"")</f>
        <v/>
      </c>
    </row>
    <row r="2907" spans="4:17" ht="12.75" customHeight="1" x14ac:dyDescent="0.2">
      <c r="D2907" s="58" t="str">
        <f>IFERROR(IF(F2907&lt;&gt;"pending","",IF(OR($B2907="",$B2907="(blank)"),"",VLOOKUP($B2907,'Email Marketing Raw Data'!$C:$O,10,0))),"")</f>
        <v/>
      </c>
      <c r="E2907" s="59" t="str">
        <f>IFERROR(IF(F2907&lt;&gt;"pending","",IF(OR($B2907="",$B2907="(blank)"),"",VLOOKUP($B2907,'Email Marketing Raw Data'!$C:$O,11,0))),"")</f>
        <v/>
      </c>
      <c r="F2907" s="54" t="str">
        <f>IFERROR(IF(OR($B2907="",$B2907="(blank)"),"",VLOOKUP($B2907,'Email Marketing Raw Data'!$C:$O,13,0)),"")</f>
        <v/>
      </c>
      <c r="G2907" s="55" t="str">
        <f>IFERROR(IF(OR($B2907="",$B2907="(blank)"),"",VLOOKUP($B2907,'Email Marketing Raw Data'!$C:$O,4,0)),"")</f>
        <v/>
      </c>
      <c r="H2907" s="55" t="str">
        <f>IFERROR(IF(OR($B2907="",$B2907="(blank)"),"",VLOOKUP($B2907,'Email Marketing Raw Data'!$C:$O,5,0)),"")</f>
        <v/>
      </c>
      <c r="I2907" s="55" t="str">
        <f>IFERROR(IF($G2907="","",VLOOKUP('Dashboard And Emails Automate'!$G2907,Database!$H:$N,3,0)),"")</f>
        <v/>
      </c>
      <c r="J2907" s="55" t="str">
        <f>IFERROR(IF($G2907="","",VLOOKUP('Dashboard And Emails Automate'!$G2907,Database!$H:$N,4,0)),"")</f>
        <v/>
      </c>
      <c r="K2907" s="55" t="str">
        <f>IFERROR(IF($G2907="","",VLOOKUP('Dashboard And Emails Automate'!$G2907,Database!$H:$N,5,0)),"")</f>
        <v/>
      </c>
      <c r="L2907" s="55" t="str">
        <f>IFERROR(IF($G2907="","",VLOOKUP('Dashboard And Emails Automate'!$G2907,Database!$H:$N,6,0)),"")</f>
        <v/>
      </c>
      <c r="M2907" s="55" t="str">
        <f>IFERROR(IF($G2907="","",VLOOKUP('Dashboard And Emails Automate'!$G2907,Database!$H:$N,7,0)),"")</f>
        <v/>
      </c>
      <c r="N2907" s="55" t="str">
        <f>IFERROR(IF(OR($B2907="",$B2907="(blank)"),"",VLOOKUP($B2907,'Email Marketing Raw Data'!$C:$O,6,0)),"")</f>
        <v/>
      </c>
      <c r="O2907" s="55" t="str">
        <f>IFERROR(IF(OR($B2907="",$B2907="(blank)"),"",VLOOKUP($B2907,'Email Marketing Raw Data'!$C:$O,7,0)),"")</f>
        <v/>
      </c>
      <c r="P2907" s="55" t="str">
        <f>IFERROR(IF(OR($B2907="",$B2907="(blank)"),"",VLOOKUP($B2907,'Email Marketing Raw Data'!$C:$O,8,0)),"")</f>
        <v/>
      </c>
      <c r="Q2907" s="62" t="str">
        <f>IFERROR(IF(OR($B2907="",$B2907="(blank)"),"",VLOOKUP($B2907,'Email Marketing Raw Data'!$C:$O,9,0)),"")</f>
        <v/>
      </c>
    </row>
    <row r="2908" spans="4:17" ht="12.75" customHeight="1" x14ac:dyDescent="0.2">
      <c r="D2908" s="58" t="str">
        <f>IFERROR(IF(F2908&lt;&gt;"pending","",IF(OR($B2908="",$B2908="(blank)"),"",VLOOKUP($B2908,'Email Marketing Raw Data'!$C:$O,10,0))),"")</f>
        <v/>
      </c>
      <c r="E2908" s="59" t="str">
        <f>IFERROR(IF(F2908&lt;&gt;"pending","",IF(OR($B2908="",$B2908="(blank)"),"",VLOOKUP($B2908,'Email Marketing Raw Data'!$C:$O,11,0))),"")</f>
        <v/>
      </c>
      <c r="F2908" s="54" t="str">
        <f>IFERROR(IF(OR($B2908="",$B2908="(blank)"),"",VLOOKUP($B2908,'Email Marketing Raw Data'!$C:$O,13,0)),"")</f>
        <v/>
      </c>
      <c r="G2908" s="55" t="str">
        <f>IFERROR(IF(OR($B2908="",$B2908="(blank)"),"",VLOOKUP($B2908,'Email Marketing Raw Data'!$C:$O,4,0)),"")</f>
        <v/>
      </c>
      <c r="H2908" s="55" t="str">
        <f>IFERROR(IF(OR($B2908="",$B2908="(blank)"),"",VLOOKUP($B2908,'Email Marketing Raw Data'!$C:$O,5,0)),"")</f>
        <v/>
      </c>
      <c r="I2908" s="55" t="str">
        <f>IFERROR(IF($G2908="","",VLOOKUP('Dashboard And Emails Automate'!$G2908,Database!$H:$N,3,0)),"")</f>
        <v/>
      </c>
      <c r="J2908" s="55" t="str">
        <f>IFERROR(IF($G2908="","",VLOOKUP('Dashboard And Emails Automate'!$G2908,Database!$H:$N,4,0)),"")</f>
        <v/>
      </c>
      <c r="K2908" s="55" t="str">
        <f>IFERROR(IF($G2908="","",VLOOKUP('Dashboard And Emails Automate'!$G2908,Database!$H:$N,5,0)),"")</f>
        <v/>
      </c>
      <c r="L2908" s="55" t="str">
        <f>IFERROR(IF($G2908="","",VLOOKUP('Dashboard And Emails Automate'!$G2908,Database!$H:$N,6,0)),"")</f>
        <v/>
      </c>
      <c r="M2908" s="55" t="str">
        <f>IFERROR(IF($G2908="","",VLOOKUP('Dashboard And Emails Automate'!$G2908,Database!$H:$N,7,0)),"")</f>
        <v/>
      </c>
      <c r="N2908" s="55" t="str">
        <f>IFERROR(IF(OR($B2908="",$B2908="(blank)"),"",VLOOKUP($B2908,'Email Marketing Raw Data'!$C:$O,6,0)),"")</f>
        <v/>
      </c>
      <c r="O2908" s="55" t="str">
        <f>IFERROR(IF(OR($B2908="",$B2908="(blank)"),"",VLOOKUP($B2908,'Email Marketing Raw Data'!$C:$O,7,0)),"")</f>
        <v/>
      </c>
      <c r="P2908" s="55" t="str">
        <f>IFERROR(IF(OR($B2908="",$B2908="(blank)"),"",VLOOKUP($B2908,'Email Marketing Raw Data'!$C:$O,8,0)),"")</f>
        <v/>
      </c>
      <c r="Q2908" s="62" t="str">
        <f>IFERROR(IF(OR($B2908="",$B2908="(blank)"),"",VLOOKUP($B2908,'Email Marketing Raw Data'!$C:$O,9,0)),"")</f>
        <v/>
      </c>
    </row>
    <row r="2909" spans="4:17" ht="12.75" customHeight="1" x14ac:dyDescent="0.2">
      <c r="D2909" s="58" t="str">
        <f>IFERROR(IF(F2909&lt;&gt;"pending","",IF(OR($B2909="",$B2909="(blank)"),"",VLOOKUP($B2909,'Email Marketing Raw Data'!$C:$O,10,0))),"")</f>
        <v/>
      </c>
      <c r="E2909" s="59" t="str">
        <f>IFERROR(IF(F2909&lt;&gt;"pending","",IF(OR($B2909="",$B2909="(blank)"),"",VLOOKUP($B2909,'Email Marketing Raw Data'!$C:$O,11,0))),"")</f>
        <v/>
      </c>
      <c r="F2909" s="54" t="str">
        <f>IFERROR(IF(OR($B2909="",$B2909="(blank)"),"",VLOOKUP($B2909,'Email Marketing Raw Data'!$C:$O,13,0)),"")</f>
        <v/>
      </c>
      <c r="G2909" s="55" t="str">
        <f>IFERROR(IF(OR($B2909="",$B2909="(blank)"),"",VLOOKUP($B2909,'Email Marketing Raw Data'!$C:$O,4,0)),"")</f>
        <v/>
      </c>
      <c r="H2909" s="55" t="str">
        <f>IFERROR(IF(OR($B2909="",$B2909="(blank)"),"",VLOOKUP($B2909,'Email Marketing Raw Data'!$C:$O,5,0)),"")</f>
        <v/>
      </c>
      <c r="I2909" s="55" t="str">
        <f>IFERROR(IF($G2909="","",VLOOKUP('Dashboard And Emails Automate'!$G2909,Database!$H:$N,3,0)),"")</f>
        <v/>
      </c>
      <c r="J2909" s="55" t="str">
        <f>IFERROR(IF($G2909="","",VLOOKUP('Dashboard And Emails Automate'!$G2909,Database!$H:$N,4,0)),"")</f>
        <v/>
      </c>
      <c r="K2909" s="55" t="str">
        <f>IFERROR(IF($G2909="","",VLOOKUP('Dashboard And Emails Automate'!$G2909,Database!$H:$N,5,0)),"")</f>
        <v/>
      </c>
      <c r="L2909" s="55" t="str">
        <f>IFERROR(IF($G2909="","",VLOOKUP('Dashboard And Emails Automate'!$G2909,Database!$H:$N,6,0)),"")</f>
        <v/>
      </c>
      <c r="M2909" s="55" t="str">
        <f>IFERROR(IF($G2909="","",VLOOKUP('Dashboard And Emails Automate'!$G2909,Database!$H:$N,7,0)),"")</f>
        <v/>
      </c>
      <c r="N2909" s="55" t="str">
        <f>IFERROR(IF(OR($B2909="",$B2909="(blank)"),"",VLOOKUP($B2909,'Email Marketing Raw Data'!$C:$O,6,0)),"")</f>
        <v/>
      </c>
      <c r="O2909" s="55" t="str">
        <f>IFERROR(IF(OR($B2909="",$B2909="(blank)"),"",VLOOKUP($B2909,'Email Marketing Raw Data'!$C:$O,7,0)),"")</f>
        <v/>
      </c>
      <c r="P2909" s="55" t="str">
        <f>IFERROR(IF(OR($B2909="",$B2909="(blank)"),"",VLOOKUP($B2909,'Email Marketing Raw Data'!$C:$O,8,0)),"")</f>
        <v/>
      </c>
      <c r="Q2909" s="62" t="str">
        <f>IFERROR(IF(OR($B2909="",$B2909="(blank)"),"",VLOOKUP($B2909,'Email Marketing Raw Data'!$C:$O,9,0)),"")</f>
        <v/>
      </c>
    </row>
    <row r="2910" spans="4:17" ht="12.75" customHeight="1" x14ac:dyDescent="0.2">
      <c r="D2910" s="58" t="str">
        <f>IFERROR(IF(F2910&lt;&gt;"pending","",IF(OR($B2910="",$B2910="(blank)"),"",VLOOKUP($B2910,'Email Marketing Raw Data'!$C:$O,10,0))),"")</f>
        <v/>
      </c>
      <c r="E2910" s="59" t="str">
        <f>IFERROR(IF(F2910&lt;&gt;"pending","",IF(OR($B2910="",$B2910="(blank)"),"",VLOOKUP($B2910,'Email Marketing Raw Data'!$C:$O,11,0))),"")</f>
        <v/>
      </c>
      <c r="F2910" s="54" t="str">
        <f>IFERROR(IF(OR($B2910="",$B2910="(blank)"),"",VLOOKUP($B2910,'Email Marketing Raw Data'!$C:$O,13,0)),"")</f>
        <v/>
      </c>
      <c r="G2910" s="55" t="str">
        <f>IFERROR(IF(OR($B2910="",$B2910="(blank)"),"",VLOOKUP($B2910,'Email Marketing Raw Data'!$C:$O,4,0)),"")</f>
        <v/>
      </c>
      <c r="H2910" s="55" t="str">
        <f>IFERROR(IF(OR($B2910="",$B2910="(blank)"),"",VLOOKUP($B2910,'Email Marketing Raw Data'!$C:$O,5,0)),"")</f>
        <v/>
      </c>
      <c r="I2910" s="55" t="str">
        <f>IFERROR(IF($G2910="","",VLOOKUP('Dashboard And Emails Automate'!$G2910,Database!$H:$N,3,0)),"")</f>
        <v/>
      </c>
      <c r="J2910" s="55" t="str">
        <f>IFERROR(IF($G2910="","",VLOOKUP('Dashboard And Emails Automate'!$G2910,Database!$H:$N,4,0)),"")</f>
        <v/>
      </c>
      <c r="K2910" s="55" t="str">
        <f>IFERROR(IF($G2910="","",VLOOKUP('Dashboard And Emails Automate'!$G2910,Database!$H:$N,5,0)),"")</f>
        <v/>
      </c>
      <c r="L2910" s="55" t="str">
        <f>IFERROR(IF($G2910="","",VLOOKUP('Dashboard And Emails Automate'!$G2910,Database!$H:$N,6,0)),"")</f>
        <v/>
      </c>
      <c r="M2910" s="55" t="str">
        <f>IFERROR(IF($G2910="","",VLOOKUP('Dashboard And Emails Automate'!$G2910,Database!$H:$N,7,0)),"")</f>
        <v/>
      </c>
      <c r="N2910" s="55" t="str">
        <f>IFERROR(IF(OR($B2910="",$B2910="(blank)"),"",VLOOKUP($B2910,'Email Marketing Raw Data'!$C:$O,6,0)),"")</f>
        <v/>
      </c>
      <c r="O2910" s="55" t="str">
        <f>IFERROR(IF(OR($B2910="",$B2910="(blank)"),"",VLOOKUP($B2910,'Email Marketing Raw Data'!$C:$O,7,0)),"")</f>
        <v/>
      </c>
      <c r="P2910" s="55" t="str">
        <f>IFERROR(IF(OR($B2910="",$B2910="(blank)"),"",VLOOKUP($B2910,'Email Marketing Raw Data'!$C:$O,8,0)),"")</f>
        <v/>
      </c>
      <c r="Q2910" s="62" t="str">
        <f>IFERROR(IF(OR($B2910="",$B2910="(blank)"),"",VLOOKUP($B2910,'Email Marketing Raw Data'!$C:$O,9,0)),"")</f>
        <v/>
      </c>
    </row>
    <row r="2911" spans="4:17" ht="12.75" customHeight="1" x14ac:dyDescent="0.2">
      <c r="D2911" s="58" t="str">
        <f>IFERROR(IF(F2911&lt;&gt;"pending","",IF(OR($B2911="",$B2911="(blank)"),"",VLOOKUP($B2911,'Email Marketing Raw Data'!$C:$O,10,0))),"")</f>
        <v/>
      </c>
      <c r="E2911" s="59" t="str">
        <f>IFERROR(IF(F2911&lt;&gt;"pending","",IF(OR($B2911="",$B2911="(blank)"),"",VLOOKUP($B2911,'Email Marketing Raw Data'!$C:$O,11,0))),"")</f>
        <v/>
      </c>
      <c r="F2911" s="54" t="str">
        <f>IFERROR(IF(OR($B2911="",$B2911="(blank)"),"",VLOOKUP($B2911,'Email Marketing Raw Data'!$C:$O,13,0)),"")</f>
        <v/>
      </c>
      <c r="G2911" s="55" t="str">
        <f>IFERROR(IF(OR($B2911="",$B2911="(blank)"),"",VLOOKUP($B2911,'Email Marketing Raw Data'!$C:$O,4,0)),"")</f>
        <v/>
      </c>
      <c r="H2911" s="55" t="str">
        <f>IFERROR(IF(OR($B2911="",$B2911="(blank)"),"",VLOOKUP($B2911,'Email Marketing Raw Data'!$C:$O,5,0)),"")</f>
        <v/>
      </c>
      <c r="I2911" s="55" t="str">
        <f>IFERROR(IF($G2911="","",VLOOKUP('Dashboard And Emails Automate'!$G2911,Database!$H:$N,3,0)),"")</f>
        <v/>
      </c>
      <c r="J2911" s="55" t="str">
        <f>IFERROR(IF($G2911="","",VLOOKUP('Dashboard And Emails Automate'!$G2911,Database!$H:$N,4,0)),"")</f>
        <v/>
      </c>
      <c r="K2911" s="55" t="str">
        <f>IFERROR(IF($G2911="","",VLOOKUP('Dashboard And Emails Automate'!$G2911,Database!$H:$N,5,0)),"")</f>
        <v/>
      </c>
      <c r="L2911" s="55" t="str">
        <f>IFERROR(IF($G2911="","",VLOOKUP('Dashboard And Emails Automate'!$G2911,Database!$H:$N,6,0)),"")</f>
        <v/>
      </c>
      <c r="M2911" s="55" t="str">
        <f>IFERROR(IF($G2911="","",VLOOKUP('Dashboard And Emails Automate'!$G2911,Database!$H:$N,7,0)),"")</f>
        <v/>
      </c>
      <c r="N2911" s="55" t="str">
        <f>IFERROR(IF(OR($B2911="",$B2911="(blank)"),"",VLOOKUP($B2911,'Email Marketing Raw Data'!$C:$O,6,0)),"")</f>
        <v/>
      </c>
      <c r="O2911" s="55" t="str">
        <f>IFERROR(IF(OR($B2911="",$B2911="(blank)"),"",VLOOKUP($B2911,'Email Marketing Raw Data'!$C:$O,7,0)),"")</f>
        <v/>
      </c>
      <c r="P2911" s="55" t="str">
        <f>IFERROR(IF(OR($B2911="",$B2911="(blank)"),"",VLOOKUP($B2911,'Email Marketing Raw Data'!$C:$O,8,0)),"")</f>
        <v/>
      </c>
      <c r="Q2911" s="62" t="str">
        <f>IFERROR(IF(OR($B2911="",$B2911="(blank)"),"",VLOOKUP($B2911,'Email Marketing Raw Data'!$C:$O,9,0)),"")</f>
        <v/>
      </c>
    </row>
    <row r="2912" spans="4:17" ht="12.75" customHeight="1" x14ac:dyDescent="0.2">
      <c r="D2912" s="58" t="str">
        <f>IFERROR(IF(F2912&lt;&gt;"pending","",IF(OR($B2912="",$B2912="(blank)"),"",VLOOKUP($B2912,'Email Marketing Raw Data'!$C:$O,10,0))),"")</f>
        <v/>
      </c>
      <c r="E2912" s="59" t="str">
        <f>IFERROR(IF(F2912&lt;&gt;"pending","",IF(OR($B2912="",$B2912="(blank)"),"",VLOOKUP($B2912,'Email Marketing Raw Data'!$C:$O,11,0))),"")</f>
        <v/>
      </c>
      <c r="F2912" s="54" t="str">
        <f>IFERROR(IF(OR($B2912="",$B2912="(blank)"),"",VLOOKUP($B2912,'Email Marketing Raw Data'!$C:$O,13,0)),"")</f>
        <v/>
      </c>
      <c r="G2912" s="55" t="str">
        <f>IFERROR(IF(OR($B2912="",$B2912="(blank)"),"",VLOOKUP($B2912,'Email Marketing Raw Data'!$C:$O,4,0)),"")</f>
        <v/>
      </c>
      <c r="H2912" s="55" t="str">
        <f>IFERROR(IF(OR($B2912="",$B2912="(blank)"),"",VLOOKUP($B2912,'Email Marketing Raw Data'!$C:$O,5,0)),"")</f>
        <v/>
      </c>
      <c r="I2912" s="55" t="str">
        <f>IFERROR(IF($G2912="","",VLOOKUP('Dashboard And Emails Automate'!$G2912,Database!$H:$N,3,0)),"")</f>
        <v/>
      </c>
      <c r="J2912" s="55" t="str">
        <f>IFERROR(IF($G2912="","",VLOOKUP('Dashboard And Emails Automate'!$G2912,Database!$H:$N,4,0)),"")</f>
        <v/>
      </c>
      <c r="K2912" s="55" t="str">
        <f>IFERROR(IF($G2912="","",VLOOKUP('Dashboard And Emails Automate'!$G2912,Database!$H:$N,5,0)),"")</f>
        <v/>
      </c>
      <c r="L2912" s="55" t="str">
        <f>IFERROR(IF($G2912="","",VLOOKUP('Dashboard And Emails Automate'!$G2912,Database!$H:$N,6,0)),"")</f>
        <v/>
      </c>
      <c r="M2912" s="55" t="str">
        <f>IFERROR(IF($G2912="","",VLOOKUP('Dashboard And Emails Automate'!$G2912,Database!$H:$N,7,0)),"")</f>
        <v/>
      </c>
      <c r="N2912" s="55" t="str">
        <f>IFERROR(IF(OR($B2912="",$B2912="(blank)"),"",VLOOKUP($B2912,'Email Marketing Raw Data'!$C:$O,6,0)),"")</f>
        <v/>
      </c>
      <c r="O2912" s="55" t="str">
        <f>IFERROR(IF(OR($B2912="",$B2912="(blank)"),"",VLOOKUP($B2912,'Email Marketing Raw Data'!$C:$O,7,0)),"")</f>
        <v/>
      </c>
      <c r="P2912" s="55" t="str">
        <f>IFERROR(IF(OR($B2912="",$B2912="(blank)"),"",VLOOKUP($B2912,'Email Marketing Raw Data'!$C:$O,8,0)),"")</f>
        <v/>
      </c>
      <c r="Q2912" s="62" t="str">
        <f>IFERROR(IF(OR($B2912="",$B2912="(blank)"),"",VLOOKUP($B2912,'Email Marketing Raw Data'!$C:$O,9,0)),"")</f>
        <v/>
      </c>
    </row>
    <row r="2913" spans="4:17" ht="12.75" customHeight="1" x14ac:dyDescent="0.2">
      <c r="D2913" s="58" t="str">
        <f>IFERROR(IF(F2913&lt;&gt;"pending","",IF(OR($B2913="",$B2913="(blank)"),"",VLOOKUP($B2913,'Email Marketing Raw Data'!$C:$O,10,0))),"")</f>
        <v/>
      </c>
      <c r="E2913" s="59" t="str">
        <f>IFERROR(IF(F2913&lt;&gt;"pending","",IF(OR($B2913="",$B2913="(blank)"),"",VLOOKUP($B2913,'Email Marketing Raw Data'!$C:$O,11,0))),"")</f>
        <v/>
      </c>
      <c r="F2913" s="54" t="str">
        <f>IFERROR(IF(OR($B2913="",$B2913="(blank)"),"",VLOOKUP($B2913,'Email Marketing Raw Data'!$C:$O,13,0)),"")</f>
        <v/>
      </c>
      <c r="G2913" s="55" t="str">
        <f>IFERROR(IF(OR($B2913="",$B2913="(blank)"),"",VLOOKUP($B2913,'Email Marketing Raw Data'!$C:$O,4,0)),"")</f>
        <v/>
      </c>
      <c r="H2913" s="55" t="str">
        <f>IFERROR(IF(OR($B2913="",$B2913="(blank)"),"",VLOOKUP($B2913,'Email Marketing Raw Data'!$C:$O,5,0)),"")</f>
        <v/>
      </c>
      <c r="I2913" s="55" t="str">
        <f>IFERROR(IF($G2913="","",VLOOKUP('Dashboard And Emails Automate'!$G2913,Database!$H:$N,3,0)),"")</f>
        <v/>
      </c>
      <c r="J2913" s="55" t="str">
        <f>IFERROR(IF($G2913="","",VLOOKUP('Dashboard And Emails Automate'!$G2913,Database!$H:$N,4,0)),"")</f>
        <v/>
      </c>
      <c r="K2913" s="55" t="str">
        <f>IFERROR(IF($G2913="","",VLOOKUP('Dashboard And Emails Automate'!$G2913,Database!$H:$N,5,0)),"")</f>
        <v/>
      </c>
      <c r="L2913" s="55" t="str">
        <f>IFERROR(IF($G2913="","",VLOOKUP('Dashboard And Emails Automate'!$G2913,Database!$H:$N,6,0)),"")</f>
        <v/>
      </c>
      <c r="M2913" s="55" t="str">
        <f>IFERROR(IF($G2913="","",VLOOKUP('Dashboard And Emails Automate'!$G2913,Database!$H:$N,7,0)),"")</f>
        <v/>
      </c>
      <c r="N2913" s="55" t="str">
        <f>IFERROR(IF(OR($B2913="",$B2913="(blank)"),"",VLOOKUP($B2913,'Email Marketing Raw Data'!$C:$O,6,0)),"")</f>
        <v/>
      </c>
      <c r="O2913" s="55" t="str">
        <f>IFERROR(IF(OR($B2913="",$B2913="(blank)"),"",VLOOKUP($B2913,'Email Marketing Raw Data'!$C:$O,7,0)),"")</f>
        <v/>
      </c>
      <c r="P2913" s="55" t="str">
        <f>IFERROR(IF(OR($B2913="",$B2913="(blank)"),"",VLOOKUP($B2913,'Email Marketing Raw Data'!$C:$O,8,0)),"")</f>
        <v/>
      </c>
      <c r="Q2913" s="62" t="str">
        <f>IFERROR(IF(OR($B2913="",$B2913="(blank)"),"",VLOOKUP($B2913,'Email Marketing Raw Data'!$C:$O,9,0)),"")</f>
        <v/>
      </c>
    </row>
    <row r="2914" spans="4:17" ht="12.75" customHeight="1" x14ac:dyDescent="0.2">
      <c r="D2914" s="58" t="str">
        <f>IFERROR(IF(F2914&lt;&gt;"pending","",IF(OR($B2914="",$B2914="(blank)"),"",VLOOKUP($B2914,'Email Marketing Raw Data'!$C:$O,10,0))),"")</f>
        <v/>
      </c>
      <c r="E2914" s="59" t="str">
        <f>IFERROR(IF(F2914&lt;&gt;"pending","",IF(OR($B2914="",$B2914="(blank)"),"",VLOOKUP($B2914,'Email Marketing Raw Data'!$C:$O,11,0))),"")</f>
        <v/>
      </c>
      <c r="F2914" s="54" t="str">
        <f>IFERROR(IF(OR($B2914="",$B2914="(blank)"),"",VLOOKUP($B2914,'Email Marketing Raw Data'!$C:$O,13,0)),"")</f>
        <v/>
      </c>
      <c r="G2914" s="55" t="str">
        <f>IFERROR(IF(OR($B2914="",$B2914="(blank)"),"",VLOOKUP($B2914,'Email Marketing Raw Data'!$C:$O,4,0)),"")</f>
        <v/>
      </c>
      <c r="H2914" s="55" t="str">
        <f>IFERROR(IF(OR($B2914="",$B2914="(blank)"),"",VLOOKUP($B2914,'Email Marketing Raw Data'!$C:$O,5,0)),"")</f>
        <v/>
      </c>
      <c r="I2914" s="55" t="str">
        <f>IFERROR(IF($G2914="","",VLOOKUP('Dashboard And Emails Automate'!$G2914,Database!$H:$N,3,0)),"")</f>
        <v/>
      </c>
      <c r="J2914" s="55" t="str">
        <f>IFERROR(IF($G2914="","",VLOOKUP('Dashboard And Emails Automate'!$G2914,Database!$H:$N,4,0)),"")</f>
        <v/>
      </c>
      <c r="K2914" s="55" t="str">
        <f>IFERROR(IF($G2914="","",VLOOKUP('Dashboard And Emails Automate'!$G2914,Database!$H:$N,5,0)),"")</f>
        <v/>
      </c>
      <c r="L2914" s="55" t="str">
        <f>IFERROR(IF($G2914="","",VLOOKUP('Dashboard And Emails Automate'!$G2914,Database!$H:$N,6,0)),"")</f>
        <v/>
      </c>
      <c r="M2914" s="55" t="str">
        <f>IFERROR(IF($G2914="","",VLOOKUP('Dashboard And Emails Automate'!$G2914,Database!$H:$N,7,0)),"")</f>
        <v/>
      </c>
      <c r="N2914" s="55" t="str">
        <f>IFERROR(IF(OR($B2914="",$B2914="(blank)"),"",VLOOKUP($B2914,'Email Marketing Raw Data'!$C:$O,6,0)),"")</f>
        <v/>
      </c>
      <c r="O2914" s="55" t="str">
        <f>IFERROR(IF(OR($B2914="",$B2914="(blank)"),"",VLOOKUP($B2914,'Email Marketing Raw Data'!$C:$O,7,0)),"")</f>
        <v/>
      </c>
      <c r="P2914" s="55" t="str">
        <f>IFERROR(IF(OR($B2914="",$B2914="(blank)"),"",VLOOKUP($B2914,'Email Marketing Raw Data'!$C:$O,8,0)),"")</f>
        <v/>
      </c>
      <c r="Q2914" s="62" t="str">
        <f>IFERROR(IF(OR($B2914="",$B2914="(blank)"),"",VLOOKUP($B2914,'Email Marketing Raw Data'!$C:$O,9,0)),"")</f>
        <v/>
      </c>
    </row>
    <row r="2915" spans="4:17" ht="12.75" customHeight="1" x14ac:dyDescent="0.2">
      <c r="D2915" s="58" t="str">
        <f>IFERROR(IF(F2915&lt;&gt;"pending","",IF(OR($B2915="",$B2915="(blank)"),"",VLOOKUP($B2915,'Email Marketing Raw Data'!$C:$O,10,0))),"")</f>
        <v/>
      </c>
      <c r="E2915" s="59" t="str">
        <f>IFERROR(IF(F2915&lt;&gt;"pending","",IF(OR($B2915="",$B2915="(blank)"),"",VLOOKUP($B2915,'Email Marketing Raw Data'!$C:$O,11,0))),"")</f>
        <v/>
      </c>
      <c r="F2915" s="54" t="str">
        <f>IFERROR(IF(OR($B2915="",$B2915="(blank)"),"",VLOOKUP($B2915,'Email Marketing Raw Data'!$C:$O,13,0)),"")</f>
        <v/>
      </c>
      <c r="G2915" s="55" t="str">
        <f>IFERROR(IF(OR($B2915="",$B2915="(blank)"),"",VLOOKUP($B2915,'Email Marketing Raw Data'!$C:$O,4,0)),"")</f>
        <v/>
      </c>
      <c r="H2915" s="55" t="str">
        <f>IFERROR(IF(OR($B2915="",$B2915="(blank)"),"",VLOOKUP($B2915,'Email Marketing Raw Data'!$C:$O,5,0)),"")</f>
        <v/>
      </c>
      <c r="I2915" s="55" t="str">
        <f>IFERROR(IF($G2915="","",VLOOKUP('Dashboard And Emails Automate'!$G2915,Database!$H:$N,3,0)),"")</f>
        <v/>
      </c>
      <c r="J2915" s="55" t="str">
        <f>IFERROR(IF($G2915="","",VLOOKUP('Dashboard And Emails Automate'!$G2915,Database!$H:$N,4,0)),"")</f>
        <v/>
      </c>
      <c r="K2915" s="55" t="str">
        <f>IFERROR(IF($G2915="","",VLOOKUP('Dashboard And Emails Automate'!$G2915,Database!$H:$N,5,0)),"")</f>
        <v/>
      </c>
      <c r="L2915" s="55" t="str">
        <f>IFERROR(IF($G2915="","",VLOOKUP('Dashboard And Emails Automate'!$G2915,Database!$H:$N,6,0)),"")</f>
        <v/>
      </c>
      <c r="M2915" s="55" t="str">
        <f>IFERROR(IF($G2915="","",VLOOKUP('Dashboard And Emails Automate'!$G2915,Database!$H:$N,7,0)),"")</f>
        <v/>
      </c>
      <c r="N2915" s="55" t="str">
        <f>IFERROR(IF(OR($B2915="",$B2915="(blank)"),"",VLOOKUP($B2915,'Email Marketing Raw Data'!$C:$O,6,0)),"")</f>
        <v/>
      </c>
      <c r="O2915" s="55" t="str">
        <f>IFERROR(IF(OR($B2915="",$B2915="(blank)"),"",VLOOKUP($B2915,'Email Marketing Raw Data'!$C:$O,7,0)),"")</f>
        <v/>
      </c>
      <c r="P2915" s="55" t="str">
        <f>IFERROR(IF(OR($B2915="",$B2915="(blank)"),"",VLOOKUP($B2915,'Email Marketing Raw Data'!$C:$O,8,0)),"")</f>
        <v/>
      </c>
      <c r="Q2915" s="62" t="str">
        <f>IFERROR(IF(OR($B2915="",$B2915="(blank)"),"",VLOOKUP($B2915,'Email Marketing Raw Data'!$C:$O,9,0)),"")</f>
        <v/>
      </c>
    </row>
    <row r="2916" spans="4:17" ht="12.75" customHeight="1" x14ac:dyDescent="0.2">
      <c r="D2916" s="58" t="str">
        <f>IFERROR(IF(F2916&lt;&gt;"pending","",IF(OR($B2916="",$B2916="(blank)"),"",VLOOKUP($B2916,'Email Marketing Raw Data'!$C:$O,10,0))),"")</f>
        <v/>
      </c>
      <c r="E2916" s="59" t="str">
        <f>IFERROR(IF(F2916&lt;&gt;"pending","",IF(OR($B2916="",$B2916="(blank)"),"",VLOOKUP($B2916,'Email Marketing Raw Data'!$C:$O,11,0))),"")</f>
        <v/>
      </c>
      <c r="F2916" s="54" t="str">
        <f>IFERROR(IF(OR($B2916="",$B2916="(blank)"),"",VLOOKUP($B2916,'Email Marketing Raw Data'!$C:$O,13,0)),"")</f>
        <v/>
      </c>
      <c r="G2916" s="55" t="str">
        <f>IFERROR(IF(OR($B2916="",$B2916="(blank)"),"",VLOOKUP($B2916,'Email Marketing Raw Data'!$C:$O,4,0)),"")</f>
        <v/>
      </c>
      <c r="H2916" s="55" t="str">
        <f>IFERROR(IF(OR($B2916="",$B2916="(blank)"),"",VLOOKUP($B2916,'Email Marketing Raw Data'!$C:$O,5,0)),"")</f>
        <v/>
      </c>
      <c r="I2916" s="55" t="str">
        <f>IFERROR(IF($G2916="","",VLOOKUP('Dashboard And Emails Automate'!$G2916,Database!$H:$N,3,0)),"")</f>
        <v/>
      </c>
      <c r="J2916" s="55" t="str">
        <f>IFERROR(IF($G2916="","",VLOOKUP('Dashboard And Emails Automate'!$G2916,Database!$H:$N,4,0)),"")</f>
        <v/>
      </c>
      <c r="K2916" s="55" t="str">
        <f>IFERROR(IF($G2916="","",VLOOKUP('Dashboard And Emails Automate'!$G2916,Database!$H:$N,5,0)),"")</f>
        <v/>
      </c>
      <c r="L2916" s="55" t="str">
        <f>IFERROR(IF($G2916="","",VLOOKUP('Dashboard And Emails Automate'!$G2916,Database!$H:$N,6,0)),"")</f>
        <v/>
      </c>
      <c r="M2916" s="55" t="str">
        <f>IFERROR(IF($G2916="","",VLOOKUP('Dashboard And Emails Automate'!$G2916,Database!$H:$N,7,0)),"")</f>
        <v/>
      </c>
      <c r="N2916" s="55" t="str">
        <f>IFERROR(IF(OR($B2916="",$B2916="(blank)"),"",VLOOKUP($B2916,'Email Marketing Raw Data'!$C:$O,6,0)),"")</f>
        <v/>
      </c>
      <c r="O2916" s="55" t="str">
        <f>IFERROR(IF(OR($B2916="",$B2916="(blank)"),"",VLOOKUP($B2916,'Email Marketing Raw Data'!$C:$O,7,0)),"")</f>
        <v/>
      </c>
      <c r="P2916" s="55" t="str">
        <f>IFERROR(IF(OR($B2916="",$B2916="(blank)"),"",VLOOKUP($B2916,'Email Marketing Raw Data'!$C:$O,8,0)),"")</f>
        <v/>
      </c>
      <c r="Q2916" s="62" t="str">
        <f>IFERROR(IF(OR($B2916="",$B2916="(blank)"),"",VLOOKUP($B2916,'Email Marketing Raw Data'!$C:$O,9,0)),"")</f>
        <v/>
      </c>
    </row>
    <row r="2917" spans="4:17" ht="12.75" customHeight="1" x14ac:dyDescent="0.2">
      <c r="D2917" s="58" t="str">
        <f>IFERROR(IF(F2917&lt;&gt;"pending","",IF(OR($B2917="",$B2917="(blank)"),"",VLOOKUP($B2917,'Email Marketing Raw Data'!$C:$O,10,0))),"")</f>
        <v/>
      </c>
      <c r="E2917" s="59" t="str">
        <f>IFERROR(IF(F2917&lt;&gt;"pending","",IF(OR($B2917="",$B2917="(blank)"),"",VLOOKUP($B2917,'Email Marketing Raw Data'!$C:$O,11,0))),"")</f>
        <v/>
      </c>
      <c r="F2917" s="54" t="str">
        <f>IFERROR(IF(OR($B2917="",$B2917="(blank)"),"",VLOOKUP($B2917,'Email Marketing Raw Data'!$C:$O,13,0)),"")</f>
        <v/>
      </c>
      <c r="G2917" s="55" t="str">
        <f>IFERROR(IF(OR($B2917="",$B2917="(blank)"),"",VLOOKUP($B2917,'Email Marketing Raw Data'!$C:$O,4,0)),"")</f>
        <v/>
      </c>
      <c r="H2917" s="55" t="str">
        <f>IFERROR(IF(OR($B2917="",$B2917="(blank)"),"",VLOOKUP($B2917,'Email Marketing Raw Data'!$C:$O,5,0)),"")</f>
        <v/>
      </c>
      <c r="I2917" s="55" t="str">
        <f>IFERROR(IF($G2917="","",VLOOKUP('Dashboard And Emails Automate'!$G2917,Database!$H:$N,3,0)),"")</f>
        <v/>
      </c>
      <c r="J2917" s="55" t="str">
        <f>IFERROR(IF($G2917="","",VLOOKUP('Dashboard And Emails Automate'!$G2917,Database!$H:$N,4,0)),"")</f>
        <v/>
      </c>
      <c r="K2917" s="55" t="str">
        <f>IFERROR(IF($G2917="","",VLOOKUP('Dashboard And Emails Automate'!$G2917,Database!$H:$N,5,0)),"")</f>
        <v/>
      </c>
      <c r="L2917" s="55" t="str">
        <f>IFERROR(IF($G2917="","",VLOOKUP('Dashboard And Emails Automate'!$G2917,Database!$H:$N,6,0)),"")</f>
        <v/>
      </c>
      <c r="M2917" s="55" t="str">
        <f>IFERROR(IF($G2917="","",VLOOKUP('Dashboard And Emails Automate'!$G2917,Database!$H:$N,7,0)),"")</f>
        <v/>
      </c>
      <c r="N2917" s="55" t="str">
        <f>IFERROR(IF(OR($B2917="",$B2917="(blank)"),"",VLOOKUP($B2917,'Email Marketing Raw Data'!$C:$O,6,0)),"")</f>
        <v/>
      </c>
      <c r="O2917" s="55" t="str">
        <f>IFERROR(IF(OR($B2917="",$B2917="(blank)"),"",VLOOKUP($B2917,'Email Marketing Raw Data'!$C:$O,7,0)),"")</f>
        <v/>
      </c>
      <c r="P2917" s="55" t="str">
        <f>IFERROR(IF(OR($B2917="",$B2917="(blank)"),"",VLOOKUP($B2917,'Email Marketing Raw Data'!$C:$O,8,0)),"")</f>
        <v/>
      </c>
      <c r="Q2917" s="62" t="str">
        <f>IFERROR(IF(OR($B2917="",$B2917="(blank)"),"",VLOOKUP($B2917,'Email Marketing Raw Data'!$C:$O,9,0)),"")</f>
        <v/>
      </c>
    </row>
    <row r="2918" spans="4:17" ht="12.75" customHeight="1" x14ac:dyDescent="0.2">
      <c r="D2918" s="58" t="str">
        <f>IFERROR(IF(F2918&lt;&gt;"pending","",IF(OR($B2918="",$B2918="(blank)"),"",VLOOKUP($B2918,'Email Marketing Raw Data'!$C:$O,10,0))),"")</f>
        <v/>
      </c>
      <c r="E2918" s="59" t="str">
        <f>IFERROR(IF(F2918&lt;&gt;"pending","",IF(OR($B2918="",$B2918="(blank)"),"",VLOOKUP($B2918,'Email Marketing Raw Data'!$C:$O,11,0))),"")</f>
        <v/>
      </c>
      <c r="F2918" s="54" t="str">
        <f>IFERROR(IF(OR($B2918="",$B2918="(blank)"),"",VLOOKUP($B2918,'Email Marketing Raw Data'!$C:$O,13,0)),"")</f>
        <v/>
      </c>
      <c r="G2918" s="55" t="str">
        <f>IFERROR(IF(OR($B2918="",$B2918="(blank)"),"",VLOOKUP($B2918,'Email Marketing Raw Data'!$C:$O,4,0)),"")</f>
        <v/>
      </c>
      <c r="H2918" s="55" t="str">
        <f>IFERROR(IF(OR($B2918="",$B2918="(blank)"),"",VLOOKUP($B2918,'Email Marketing Raw Data'!$C:$O,5,0)),"")</f>
        <v/>
      </c>
      <c r="I2918" s="55" t="str">
        <f>IFERROR(IF($G2918="","",VLOOKUP('Dashboard And Emails Automate'!$G2918,Database!$H:$N,3,0)),"")</f>
        <v/>
      </c>
      <c r="J2918" s="55" t="str">
        <f>IFERROR(IF($G2918="","",VLOOKUP('Dashboard And Emails Automate'!$G2918,Database!$H:$N,4,0)),"")</f>
        <v/>
      </c>
      <c r="K2918" s="55" t="str">
        <f>IFERROR(IF($G2918="","",VLOOKUP('Dashboard And Emails Automate'!$G2918,Database!$H:$N,5,0)),"")</f>
        <v/>
      </c>
      <c r="L2918" s="55" t="str">
        <f>IFERROR(IF($G2918="","",VLOOKUP('Dashboard And Emails Automate'!$G2918,Database!$H:$N,6,0)),"")</f>
        <v/>
      </c>
      <c r="M2918" s="55" t="str">
        <f>IFERROR(IF($G2918="","",VLOOKUP('Dashboard And Emails Automate'!$G2918,Database!$H:$N,7,0)),"")</f>
        <v/>
      </c>
      <c r="N2918" s="55" t="str">
        <f>IFERROR(IF(OR($B2918="",$B2918="(blank)"),"",VLOOKUP($B2918,'Email Marketing Raw Data'!$C:$O,6,0)),"")</f>
        <v/>
      </c>
      <c r="O2918" s="55" t="str">
        <f>IFERROR(IF(OR($B2918="",$B2918="(blank)"),"",VLOOKUP($B2918,'Email Marketing Raw Data'!$C:$O,7,0)),"")</f>
        <v/>
      </c>
      <c r="P2918" s="55" t="str">
        <f>IFERROR(IF(OR($B2918="",$B2918="(blank)"),"",VLOOKUP($B2918,'Email Marketing Raw Data'!$C:$O,8,0)),"")</f>
        <v/>
      </c>
      <c r="Q2918" s="62" t="str">
        <f>IFERROR(IF(OR($B2918="",$B2918="(blank)"),"",VLOOKUP($B2918,'Email Marketing Raw Data'!$C:$O,9,0)),"")</f>
        <v/>
      </c>
    </row>
    <row r="2919" spans="4:17" ht="12.75" customHeight="1" x14ac:dyDescent="0.2">
      <c r="D2919" s="58" t="str">
        <f>IFERROR(IF(F2919&lt;&gt;"pending","",IF(OR($B2919="",$B2919="(blank)"),"",VLOOKUP($B2919,'Email Marketing Raw Data'!$C:$O,10,0))),"")</f>
        <v/>
      </c>
      <c r="E2919" s="59" t="str">
        <f>IFERROR(IF(F2919&lt;&gt;"pending","",IF(OR($B2919="",$B2919="(blank)"),"",VLOOKUP($B2919,'Email Marketing Raw Data'!$C:$O,11,0))),"")</f>
        <v/>
      </c>
      <c r="F2919" s="54" t="str">
        <f>IFERROR(IF(OR($B2919="",$B2919="(blank)"),"",VLOOKUP($B2919,'Email Marketing Raw Data'!$C:$O,13,0)),"")</f>
        <v/>
      </c>
      <c r="G2919" s="55" t="str">
        <f>IFERROR(IF(OR($B2919="",$B2919="(blank)"),"",VLOOKUP($B2919,'Email Marketing Raw Data'!$C:$O,4,0)),"")</f>
        <v/>
      </c>
      <c r="H2919" s="55" t="str">
        <f>IFERROR(IF(OR($B2919="",$B2919="(blank)"),"",VLOOKUP($B2919,'Email Marketing Raw Data'!$C:$O,5,0)),"")</f>
        <v/>
      </c>
      <c r="I2919" s="55" t="str">
        <f>IFERROR(IF($G2919="","",VLOOKUP('Dashboard And Emails Automate'!$G2919,Database!$H:$N,3,0)),"")</f>
        <v/>
      </c>
      <c r="J2919" s="55" t="str">
        <f>IFERROR(IF($G2919="","",VLOOKUP('Dashboard And Emails Automate'!$G2919,Database!$H:$N,4,0)),"")</f>
        <v/>
      </c>
      <c r="K2919" s="55" t="str">
        <f>IFERROR(IF($G2919="","",VLOOKUP('Dashboard And Emails Automate'!$G2919,Database!$H:$N,5,0)),"")</f>
        <v/>
      </c>
      <c r="L2919" s="55" t="str">
        <f>IFERROR(IF($G2919="","",VLOOKUP('Dashboard And Emails Automate'!$G2919,Database!$H:$N,6,0)),"")</f>
        <v/>
      </c>
      <c r="M2919" s="55" t="str">
        <f>IFERROR(IF($G2919="","",VLOOKUP('Dashboard And Emails Automate'!$G2919,Database!$H:$N,7,0)),"")</f>
        <v/>
      </c>
      <c r="N2919" s="55" t="str">
        <f>IFERROR(IF(OR($B2919="",$B2919="(blank)"),"",VLOOKUP($B2919,'Email Marketing Raw Data'!$C:$O,6,0)),"")</f>
        <v/>
      </c>
      <c r="O2919" s="55" t="str">
        <f>IFERROR(IF(OR($B2919="",$B2919="(blank)"),"",VLOOKUP($B2919,'Email Marketing Raw Data'!$C:$O,7,0)),"")</f>
        <v/>
      </c>
      <c r="P2919" s="55" t="str">
        <f>IFERROR(IF(OR($B2919="",$B2919="(blank)"),"",VLOOKUP($B2919,'Email Marketing Raw Data'!$C:$O,8,0)),"")</f>
        <v/>
      </c>
      <c r="Q2919" s="62" t="str">
        <f>IFERROR(IF(OR($B2919="",$B2919="(blank)"),"",VLOOKUP($B2919,'Email Marketing Raw Data'!$C:$O,9,0)),"")</f>
        <v/>
      </c>
    </row>
    <row r="2920" spans="4:17" ht="12.75" customHeight="1" x14ac:dyDescent="0.2">
      <c r="D2920" s="58" t="str">
        <f>IFERROR(IF(F2920&lt;&gt;"pending","",IF(OR($B2920="",$B2920="(blank)"),"",VLOOKUP($B2920,'Email Marketing Raw Data'!$C:$O,10,0))),"")</f>
        <v/>
      </c>
      <c r="E2920" s="59" t="str">
        <f>IFERROR(IF(F2920&lt;&gt;"pending","",IF(OR($B2920="",$B2920="(blank)"),"",VLOOKUP($B2920,'Email Marketing Raw Data'!$C:$O,11,0))),"")</f>
        <v/>
      </c>
      <c r="F2920" s="54" t="str">
        <f>IFERROR(IF(OR($B2920="",$B2920="(blank)"),"",VLOOKUP($B2920,'Email Marketing Raw Data'!$C:$O,13,0)),"")</f>
        <v/>
      </c>
      <c r="G2920" s="55" t="str">
        <f>IFERROR(IF(OR($B2920="",$B2920="(blank)"),"",VLOOKUP($B2920,'Email Marketing Raw Data'!$C:$O,4,0)),"")</f>
        <v/>
      </c>
      <c r="H2920" s="55" t="str">
        <f>IFERROR(IF(OR($B2920="",$B2920="(blank)"),"",VLOOKUP($B2920,'Email Marketing Raw Data'!$C:$O,5,0)),"")</f>
        <v/>
      </c>
      <c r="I2920" s="55" t="str">
        <f>IFERROR(IF($G2920="","",VLOOKUP('Dashboard And Emails Automate'!$G2920,Database!$H:$N,3,0)),"")</f>
        <v/>
      </c>
      <c r="J2920" s="55" t="str">
        <f>IFERROR(IF($G2920="","",VLOOKUP('Dashboard And Emails Automate'!$G2920,Database!$H:$N,4,0)),"")</f>
        <v/>
      </c>
      <c r="K2920" s="55" t="str">
        <f>IFERROR(IF($G2920="","",VLOOKUP('Dashboard And Emails Automate'!$G2920,Database!$H:$N,5,0)),"")</f>
        <v/>
      </c>
      <c r="L2920" s="55" t="str">
        <f>IFERROR(IF($G2920="","",VLOOKUP('Dashboard And Emails Automate'!$G2920,Database!$H:$N,6,0)),"")</f>
        <v/>
      </c>
      <c r="M2920" s="55" t="str">
        <f>IFERROR(IF($G2920="","",VLOOKUP('Dashboard And Emails Automate'!$G2920,Database!$H:$N,7,0)),"")</f>
        <v/>
      </c>
      <c r="N2920" s="55" t="str">
        <f>IFERROR(IF(OR($B2920="",$B2920="(blank)"),"",VLOOKUP($B2920,'Email Marketing Raw Data'!$C:$O,6,0)),"")</f>
        <v/>
      </c>
      <c r="O2920" s="55" t="str">
        <f>IFERROR(IF(OR($B2920="",$B2920="(blank)"),"",VLOOKUP($B2920,'Email Marketing Raw Data'!$C:$O,7,0)),"")</f>
        <v/>
      </c>
      <c r="P2920" s="55" t="str">
        <f>IFERROR(IF(OR($B2920="",$B2920="(blank)"),"",VLOOKUP($B2920,'Email Marketing Raw Data'!$C:$O,8,0)),"")</f>
        <v/>
      </c>
      <c r="Q2920" s="62" t="str">
        <f>IFERROR(IF(OR($B2920="",$B2920="(blank)"),"",VLOOKUP($B2920,'Email Marketing Raw Data'!$C:$O,9,0)),"")</f>
        <v/>
      </c>
    </row>
    <row r="2921" spans="4:17" ht="12.75" customHeight="1" x14ac:dyDescent="0.2">
      <c r="D2921" s="58" t="str">
        <f>IFERROR(IF(F2921&lt;&gt;"pending","",IF(OR($B2921="",$B2921="(blank)"),"",VLOOKUP($B2921,'Email Marketing Raw Data'!$C:$O,10,0))),"")</f>
        <v/>
      </c>
      <c r="E2921" s="59" t="str">
        <f>IFERROR(IF(F2921&lt;&gt;"pending","",IF(OR($B2921="",$B2921="(blank)"),"",VLOOKUP($B2921,'Email Marketing Raw Data'!$C:$O,11,0))),"")</f>
        <v/>
      </c>
      <c r="F2921" s="54" t="str">
        <f>IFERROR(IF(OR($B2921="",$B2921="(blank)"),"",VLOOKUP($B2921,'Email Marketing Raw Data'!$C:$O,13,0)),"")</f>
        <v/>
      </c>
      <c r="G2921" s="55" t="str">
        <f>IFERROR(IF(OR($B2921="",$B2921="(blank)"),"",VLOOKUP($B2921,'Email Marketing Raw Data'!$C:$O,4,0)),"")</f>
        <v/>
      </c>
      <c r="H2921" s="55" t="str">
        <f>IFERROR(IF(OR($B2921="",$B2921="(blank)"),"",VLOOKUP($B2921,'Email Marketing Raw Data'!$C:$O,5,0)),"")</f>
        <v/>
      </c>
      <c r="I2921" s="55" t="str">
        <f>IFERROR(IF($G2921="","",VLOOKUP('Dashboard And Emails Automate'!$G2921,Database!$H:$N,3,0)),"")</f>
        <v/>
      </c>
      <c r="J2921" s="55" t="str">
        <f>IFERROR(IF($G2921="","",VLOOKUP('Dashboard And Emails Automate'!$G2921,Database!$H:$N,4,0)),"")</f>
        <v/>
      </c>
      <c r="K2921" s="55" t="str">
        <f>IFERROR(IF($G2921="","",VLOOKUP('Dashboard And Emails Automate'!$G2921,Database!$H:$N,5,0)),"")</f>
        <v/>
      </c>
      <c r="L2921" s="55" t="str">
        <f>IFERROR(IF($G2921="","",VLOOKUP('Dashboard And Emails Automate'!$G2921,Database!$H:$N,6,0)),"")</f>
        <v/>
      </c>
      <c r="M2921" s="55" t="str">
        <f>IFERROR(IF($G2921="","",VLOOKUP('Dashboard And Emails Automate'!$G2921,Database!$H:$N,7,0)),"")</f>
        <v/>
      </c>
      <c r="N2921" s="55" t="str">
        <f>IFERROR(IF(OR($B2921="",$B2921="(blank)"),"",VLOOKUP($B2921,'Email Marketing Raw Data'!$C:$O,6,0)),"")</f>
        <v/>
      </c>
      <c r="O2921" s="55" t="str">
        <f>IFERROR(IF(OR($B2921="",$B2921="(blank)"),"",VLOOKUP($B2921,'Email Marketing Raw Data'!$C:$O,7,0)),"")</f>
        <v/>
      </c>
      <c r="P2921" s="55" t="str">
        <f>IFERROR(IF(OR($B2921="",$B2921="(blank)"),"",VLOOKUP($B2921,'Email Marketing Raw Data'!$C:$O,8,0)),"")</f>
        <v/>
      </c>
      <c r="Q2921" s="62" t="str">
        <f>IFERROR(IF(OR($B2921="",$B2921="(blank)"),"",VLOOKUP($B2921,'Email Marketing Raw Data'!$C:$O,9,0)),"")</f>
        <v/>
      </c>
    </row>
    <row r="2922" spans="4:17" ht="12.75" customHeight="1" x14ac:dyDescent="0.2">
      <c r="D2922" s="58" t="str">
        <f>IFERROR(IF(F2922&lt;&gt;"pending","",IF(OR($B2922="",$B2922="(blank)"),"",VLOOKUP($B2922,'Email Marketing Raw Data'!$C:$O,10,0))),"")</f>
        <v/>
      </c>
      <c r="E2922" s="59" t="str">
        <f>IFERROR(IF(F2922&lt;&gt;"pending","",IF(OR($B2922="",$B2922="(blank)"),"",VLOOKUP($B2922,'Email Marketing Raw Data'!$C:$O,11,0))),"")</f>
        <v/>
      </c>
      <c r="F2922" s="54" t="str">
        <f>IFERROR(IF(OR($B2922="",$B2922="(blank)"),"",VLOOKUP($B2922,'Email Marketing Raw Data'!$C:$O,13,0)),"")</f>
        <v/>
      </c>
      <c r="G2922" s="55" t="str">
        <f>IFERROR(IF(OR($B2922="",$B2922="(blank)"),"",VLOOKUP($B2922,'Email Marketing Raw Data'!$C:$O,4,0)),"")</f>
        <v/>
      </c>
      <c r="H2922" s="55" t="str">
        <f>IFERROR(IF(OR($B2922="",$B2922="(blank)"),"",VLOOKUP($B2922,'Email Marketing Raw Data'!$C:$O,5,0)),"")</f>
        <v/>
      </c>
      <c r="I2922" s="55" t="str">
        <f>IFERROR(IF($G2922="","",VLOOKUP('Dashboard And Emails Automate'!$G2922,Database!$H:$N,3,0)),"")</f>
        <v/>
      </c>
      <c r="J2922" s="55" t="str">
        <f>IFERROR(IF($G2922="","",VLOOKUP('Dashboard And Emails Automate'!$G2922,Database!$H:$N,4,0)),"")</f>
        <v/>
      </c>
      <c r="K2922" s="55" t="str">
        <f>IFERROR(IF($G2922="","",VLOOKUP('Dashboard And Emails Automate'!$G2922,Database!$H:$N,5,0)),"")</f>
        <v/>
      </c>
      <c r="L2922" s="55" t="str">
        <f>IFERROR(IF($G2922="","",VLOOKUP('Dashboard And Emails Automate'!$G2922,Database!$H:$N,6,0)),"")</f>
        <v/>
      </c>
      <c r="M2922" s="55" t="str">
        <f>IFERROR(IF($G2922="","",VLOOKUP('Dashboard And Emails Automate'!$G2922,Database!$H:$N,7,0)),"")</f>
        <v/>
      </c>
      <c r="N2922" s="55" t="str">
        <f>IFERROR(IF(OR($B2922="",$B2922="(blank)"),"",VLOOKUP($B2922,'Email Marketing Raw Data'!$C:$O,6,0)),"")</f>
        <v/>
      </c>
      <c r="O2922" s="55" t="str">
        <f>IFERROR(IF(OR($B2922="",$B2922="(blank)"),"",VLOOKUP($B2922,'Email Marketing Raw Data'!$C:$O,7,0)),"")</f>
        <v/>
      </c>
      <c r="P2922" s="55" t="str">
        <f>IFERROR(IF(OR($B2922="",$B2922="(blank)"),"",VLOOKUP($B2922,'Email Marketing Raw Data'!$C:$O,8,0)),"")</f>
        <v/>
      </c>
      <c r="Q2922" s="62" t="str">
        <f>IFERROR(IF(OR($B2922="",$B2922="(blank)"),"",VLOOKUP($B2922,'Email Marketing Raw Data'!$C:$O,9,0)),"")</f>
        <v/>
      </c>
    </row>
    <row r="2923" spans="4:17" ht="12.75" customHeight="1" x14ac:dyDescent="0.2">
      <c r="D2923" s="58" t="str">
        <f>IFERROR(IF(F2923&lt;&gt;"pending","",IF(OR($B2923="",$B2923="(blank)"),"",VLOOKUP($B2923,'Email Marketing Raw Data'!$C:$O,10,0))),"")</f>
        <v/>
      </c>
      <c r="E2923" s="59" t="str">
        <f>IFERROR(IF(F2923&lt;&gt;"pending","",IF(OR($B2923="",$B2923="(blank)"),"",VLOOKUP($B2923,'Email Marketing Raw Data'!$C:$O,11,0))),"")</f>
        <v/>
      </c>
      <c r="F2923" s="54" t="str">
        <f>IFERROR(IF(OR($B2923="",$B2923="(blank)"),"",VLOOKUP($B2923,'Email Marketing Raw Data'!$C:$O,13,0)),"")</f>
        <v/>
      </c>
      <c r="G2923" s="55" t="str">
        <f>IFERROR(IF(OR($B2923="",$B2923="(blank)"),"",VLOOKUP($B2923,'Email Marketing Raw Data'!$C:$O,4,0)),"")</f>
        <v/>
      </c>
      <c r="H2923" s="55" t="str">
        <f>IFERROR(IF(OR($B2923="",$B2923="(blank)"),"",VLOOKUP($B2923,'Email Marketing Raw Data'!$C:$O,5,0)),"")</f>
        <v/>
      </c>
      <c r="I2923" s="55" t="str">
        <f>IFERROR(IF($G2923="","",VLOOKUP('Dashboard And Emails Automate'!$G2923,Database!$H:$N,3,0)),"")</f>
        <v/>
      </c>
      <c r="J2923" s="55" t="str">
        <f>IFERROR(IF($G2923="","",VLOOKUP('Dashboard And Emails Automate'!$G2923,Database!$H:$N,4,0)),"")</f>
        <v/>
      </c>
      <c r="K2923" s="55" t="str">
        <f>IFERROR(IF($G2923="","",VLOOKUP('Dashboard And Emails Automate'!$G2923,Database!$H:$N,5,0)),"")</f>
        <v/>
      </c>
      <c r="L2923" s="55" t="str">
        <f>IFERROR(IF($G2923="","",VLOOKUP('Dashboard And Emails Automate'!$G2923,Database!$H:$N,6,0)),"")</f>
        <v/>
      </c>
      <c r="M2923" s="55" t="str">
        <f>IFERROR(IF($G2923="","",VLOOKUP('Dashboard And Emails Automate'!$G2923,Database!$H:$N,7,0)),"")</f>
        <v/>
      </c>
      <c r="N2923" s="55" t="str">
        <f>IFERROR(IF(OR($B2923="",$B2923="(blank)"),"",VLOOKUP($B2923,'Email Marketing Raw Data'!$C:$O,6,0)),"")</f>
        <v/>
      </c>
      <c r="O2923" s="55" t="str">
        <f>IFERROR(IF(OR($B2923="",$B2923="(blank)"),"",VLOOKUP($B2923,'Email Marketing Raw Data'!$C:$O,7,0)),"")</f>
        <v/>
      </c>
      <c r="P2923" s="55" t="str">
        <f>IFERROR(IF(OR($B2923="",$B2923="(blank)"),"",VLOOKUP($B2923,'Email Marketing Raw Data'!$C:$O,8,0)),"")</f>
        <v/>
      </c>
      <c r="Q2923" s="62" t="str">
        <f>IFERROR(IF(OR($B2923="",$B2923="(blank)"),"",VLOOKUP($B2923,'Email Marketing Raw Data'!$C:$O,9,0)),"")</f>
        <v/>
      </c>
    </row>
    <row r="2924" spans="4:17" ht="12.75" customHeight="1" x14ac:dyDescent="0.2">
      <c r="D2924" s="58" t="str">
        <f>IFERROR(IF(F2924&lt;&gt;"pending","",IF(OR($B2924="",$B2924="(blank)"),"",VLOOKUP($B2924,'Email Marketing Raw Data'!$C:$O,10,0))),"")</f>
        <v/>
      </c>
      <c r="E2924" s="59" t="str">
        <f>IFERROR(IF(F2924&lt;&gt;"pending","",IF(OR($B2924="",$B2924="(blank)"),"",VLOOKUP($B2924,'Email Marketing Raw Data'!$C:$O,11,0))),"")</f>
        <v/>
      </c>
      <c r="F2924" s="54" t="str">
        <f>IFERROR(IF(OR($B2924="",$B2924="(blank)"),"",VLOOKUP($B2924,'Email Marketing Raw Data'!$C:$O,13,0)),"")</f>
        <v/>
      </c>
      <c r="G2924" s="55" t="str">
        <f>IFERROR(IF(OR($B2924="",$B2924="(blank)"),"",VLOOKUP($B2924,'Email Marketing Raw Data'!$C:$O,4,0)),"")</f>
        <v/>
      </c>
      <c r="H2924" s="55" t="str">
        <f>IFERROR(IF(OR($B2924="",$B2924="(blank)"),"",VLOOKUP($B2924,'Email Marketing Raw Data'!$C:$O,5,0)),"")</f>
        <v/>
      </c>
      <c r="I2924" s="55" t="str">
        <f>IFERROR(IF($G2924="","",VLOOKUP('Dashboard And Emails Automate'!$G2924,Database!$H:$N,3,0)),"")</f>
        <v/>
      </c>
      <c r="J2924" s="55" t="str">
        <f>IFERROR(IF($G2924="","",VLOOKUP('Dashboard And Emails Automate'!$G2924,Database!$H:$N,4,0)),"")</f>
        <v/>
      </c>
      <c r="K2924" s="55" t="str">
        <f>IFERROR(IF($G2924="","",VLOOKUP('Dashboard And Emails Automate'!$G2924,Database!$H:$N,5,0)),"")</f>
        <v/>
      </c>
      <c r="L2924" s="55" t="str">
        <f>IFERROR(IF($G2924="","",VLOOKUP('Dashboard And Emails Automate'!$G2924,Database!$H:$N,6,0)),"")</f>
        <v/>
      </c>
      <c r="M2924" s="55" t="str">
        <f>IFERROR(IF($G2924="","",VLOOKUP('Dashboard And Emails Automate'!$G2924,Database!$H:$N,7,0)),"")</f>
        <v/>
      </c>
      <c r="N2924" s="55" t="str">
        <f>IFERROR(IF(OR($B2924="",$B2924="(blank)"),"",VLOOKUP($B2924,'Email Marketing Raw Data'!$C:$O,6,0)),"")</f>
        <v/>
      </c>
      <c r="O2924" s="55" t="str">
        <f>IFERROR(IF(OR($B2924="",$B2924="(blank)"),"",VLOOKUP($B2924,'Email Marketing Raw Data'!$C:$O,7,0)),"")</f>
        <v/>
      </c>
      <c r="P2924" s="55" t="str">
        <f>IFERROR(IF(OR($B2924="",$B2924="(blank)"),"",VLOOKUP($B2924,'Email Marketing Raw Data'!$C:$O,8,0)),"")</f>
        <v/>
      </c>
      <c r="Q2924" s="62" t="str">
        <f>IFERROR(IF(OR($B2924="",$B2924="(blank)"),"",VLOOKUP($B2924,'Email Marketing Raw Data'!$C:$O,9,0)),"")</f>
        <v/>
      </c>
    </row>
    <row r="2925" spans="4:17" ht="12.75" customHeight="1" x14ac:dyDescent="0.2">
      <c r="D2925" s="58" t="str">
        <f>IFERROR(IF(F2925&lt;&gt;"pending","",IF(OR($B2925="",$B2925="(blank)"),"",VLOOKUP($B2925,'Email Marketing Raw Data'!$C:$O,10,0))),"")</f>
        <v/>
      </c>
      <c r="E2925" s="59" t="str">
        <f>IFERROR(IF(F2925&lt;&gt;"pending","",IF(OR($B2925="",$B2925="(blank)"),"",VLOOKUP($B2925,'Email Marketing Raw Data'!$C:$O,11,0))),"")</f>
        <v/>
      </c>
      <c r="F2925" s="54" t="str">
        <f>IFERROR(IF(OR($B2925="",$B2925="(blank)"),"",VLOOKUP($B2925,'Email Marketing Raw Data'!$C:$O,13,0)),"")</f>
        <v/>
      </c>
      <c r="G2925" s="55" t="str">
        <f>IFERROR(IF(OR($B2925="",$B2925="(blank)"),"",VLOOKUP($B2925,'Email Marketing Raw Data'!$C:$O,4,0)),"")</f>
        <v/>
      </c>
      <c r="H2925" s="55" t="str">
        <f>IFERROR(IF(OR($B2925="",$B2925="(blank)"),"",VLOOKUP($B2925,'Email Marketing Raw Data'!$C:$O,5,0)),"")</f>
        <v/>
      </c>
      <c r="I2925" s="55" t="str">
        <f>IFERROR(IF($G2925="","",VLOOKUP('Dashboard And Emails Automate'!$G2925,Database!$H:$N,3,0)),"")</f>
        <v/>
      </c>
      <c r="J2925" s="55" t="str">
        <f>IFERROR(IF($G2925="","",VLOOKUP('Dashboard And Emails Automate'!$G2925,Database!$H:$N,4,0)),"")</f>
        <v/>
      </c>
      <c r="K2925" s="55" t="str">
        <f>IFERROR(IF($G2925="","",VLOOKUP('Dashboard And Emails Automate'!$G2925,Database!$H:$N,5,0)),"")</f>
        <v/>
      </c>
      <c r="L2925" s="55" t="str">
        <f>IFERROR(IF($G2925="","",VLOOKUP('Dashboard And Emails Automate'!$G2925,Database!$H:$N,6,0)),"")</f>
        <v/>
      </c>
      <c r="M2925" s="55" t="str">
        <f>IFERROR(IF($G2925="","",VLOOKUP('Dashboard And Emails Automate'!$G2925,Database!$H:$N,7,0)),"")</f>
        <v/>
      </c>
      <c r="N2925" s="55" t="str">
        <f>IFERROR(IF(OR($B2925="",$B2925="(blank)"),"",VLOOKUP($B2925,'Email Marketing Raw Data'!$C:$O,6,0)),"")</f>
        <v/>
      </c>
      <c r="O2925" s="55" t="str">
        <f>IFERROR(IF(OR($B2925="",$B2925="(blank)"),"",VLOOKUP($B2925,'Email Marketing Raw Data'!$C:$O,7,0)),"")</f>
        <v/>
      </c>
      <c r="P2925" s="55" t="str">
        <f>IFERROR(IF(OR($B2925="",$B2925="(blank)"),"",VLOOKUP($B2925,'Email Marketing Raw Data'!$C:$O,8,0)),"")</f>
        <v/>
      </c>
      <c r="Q2925" s="62" t="str">
        <f>IFERROR(IF(OR($B2925="",$B2925="(blank)"),"",VLOOKUP($B2925,'Email Marketing Raw Data'!$C:$O,9,0)),"")</f>
        <v/>
      </c>
    </row>
    <row r="2926" spans="4:17" ht="12.75" customHeight="1" x14ac:dyDescent="0.2">
      <c r="D2926" s="58" t="str">
        <f>IFERROR(IF(F2926&lt;&gt;"pending","",IF(OR($B2926="",$B2926="(blank)"),"",VLOOKUP($B2926,'Email Marketing Raw Data'!$C:$O,10,0))),"")</f>
        <v/>
      </c>
      <c r="E2926" s="59" t="str">
        <f>IFERROR(IF(F2926&lt;&gt;"pending","",IF(OR($B2926="",$B2926="(blank)"),"",VLOOKUP($B2926,'Email Marketing Raw Data'!$C:$O,11,0))),"")</f>
        <v/>
      </c>
      <c r="F2926" s="54" t="str">
        <f>IFERROR(IF(OR($B2926="",$B2926="(blank)"),"",VLOOKUP($B2926,'Email Marketing Raw Data'!$C:$O,13,0)),"")</f>
        <v/>
      </c>
      <c r="G2926" s="55" t="str">
        <f>IFERROR(IF(OR($B2926="",$B2926="(blank)"),"",VLOOKUP($B2926,'Email Marketing Raw Data'!$C:$O,4,0)),"")</f>
        <v/>
      </c>
      <c r="H2926" s="55" t="str">
        <f>IFERROR(IF(OR($B2926="",$B2926="(blank)"),"",VLOOKUP($B2926,'Email Marketing Raw Data'!$C:$O,5,0)),"")</f>
        <v/>
      </c>
      <c r="I2926" s="55" t="str">
        <f>IFERROR(IF($G2926="","",VLOOKUP('Dashboard And Emails Automate'!$G2926,Database!$H:$N,3,0)),"")</f>
        <v/>
      </c>
      <c r="J2926" s="55" t="str">
        <f>IFERROR(IF($G2926="","",VLOOKUP('Dashboard And Emails Automate'!$G2926,Database!$H:$N,4,0)),"")</f>
        <v/>
      </c>
      <c r="K2926" s="55" t="str">
        <f>IFERROR(IF($G2926="","",VLOOKUP('Dashboard And Emails Automate'!$G2926,Database!$H:$N,5,0)),"")</f>
        <v/>
      </c>
      <c r="L2926" s="55" t="str">
        <f>IFERROR(IF($G2926="","",VLOOKUP('Dashboard And Emails Automate'!$G2926,Database!$H:$N,6,0)),"")</f>
        <v/>
      </c>
      <c r="M2926" s="55" t="str">
        <f>IFERROR(IF($G2926="","",VLOOKUP('Dashboard And Emails Automate'!$G2926,Database!$H:$N,7,0)),"")</f>
        <v/>
      </c>
      <c r="N2926" s="55" t="str">
        <f>IFERROR(IF(OR($B2926="",$B2926="(blank)"),"",VLOOKUP($B2926,'Email Marketing Raw Data'!$C:$O,6,0)),"")</f>
        <v/>
      </c>
      <c r="O2926" s="55" t="str">
        <f>IFERROR(IF(OR($B2926="",$B2926="(blank)"),"",VLOOKUP($B2926,'Email Marketing Raw Data'!$C:$O,7,0)),"")</f>
        <v/>
      </c>
      <c r="P2926" s="55" t="str">
        <f>IFERROR(IF(OR($B2926="",$B2926="(blank)"),"",VLOOKUP($B2926,'Email Marketing Raw Data'!$C:$O,8,0)),"")</f>
        <v/>
      </c>
      <c r="Q2926" s="62" t="str">
        <f>IFERROR(IF(OR($B2926="",$B2926="(blank)"),"",VLOOKUP($B2926,'Email Marketing Raw Data'!$C:$O,9,0)),"")</f>
        <v/>
      </c>
    </row>
    <row r="2927" spans="4:17" ht="12.75" customHeight="1" x14ac:dyDescent="0.2">
      <c r="D2927" s="58" t="str">
        <f>IFERROR(IF(F2927&lt;&gt;"pending","",IF(OR($B2927="",$B2927="(blank)"),"",VLOOKUP($B2927,'Email Marketing Raw Data'!$C:$O,10,0))),"")</f>
        <v/>
      </c>
      <c r="E2927" s="59" t="str">
        <f>IFERROR(IF(F2927&lt;&gt;"pending","",IF(OR($B2927="",$B2927="(blank)"),"",VLOOKUP($B2927,'Email Marketing Raw Data'!$C:$O,11,0))),"")</f>
        <v/>
      </c>
      <c r="F2927" s="54" t="str">
        <f>IFERROR(IF(OR($B2927="",$B2927="(blank)"),"",VLOOKUP($B2927,'Email Marketing Raw Data'!$C:$O,13,0)),"")</f>
        <v/>
      </c>
      <c r="G2927" s="55" t="str">
        <f>IFERROR(IF(OR($B2927="",$B2927="(blank)"),"",VLOOKUP($B2927,'Email Marketing Raw Data'!$C:$O,4,0)),"")</f>
        <v/>
      </c>
      <c r="H2927" s="55" t="str">
        <f>IFERROR(IF(OR($B2927="",$B2927="(blank)"),"",VLOOKUP($B2927,'Email Marketing Raw Data'!$C:$O,5,0)),"")</f>
        <v/>
      </c>
      <c r="I2927" s="55" t="str">
        <f>IFERROR(IF($G2927="","",VLOOKUP('Dashboard And Emails Automate'!$G2927,Database!$H:$N,3,0)),"")</f>
        <v/>
      </c>
      <c r="J2927" s="55" t="str">
        <f>IFERROR(IF($G2927="","",VLOOKUP('Dashboard And Emails Automate'!$G2927,Database!$H:$N,4,0)),"")</f>
        <v/>
      </c>
      <c r="K2927" s="55" t="str">
        <f>IFERROR(IF($G2927="","",VLOOKUP('Dashboard And Emails Automate'!$G2927,Database!$H:$N,5,0)),"")</f>
        <v/>
      </c>
      <c r="L2927" s="55" t="str">
        <f>IFERROR(IF($G2927="","",VLOOKUP('Dashboard And Emails Automate'!$G2927,Database!$H:$N,6,0)),"")</f>
        <v/>
      </c>
      <c r="M2927" s="55" t="str">
        <f>IFERROR(IF($G2927="","",VLOOKUP('Dashboard And Emails Automate'!$G2927,Database!$H:$N,7,0)),"")</f>
        <v/>
      </c>
      <c r="N2927" s="55" t="str">
        <f>IFERROR(IF(OR($B2927="",$B2927="(blank)"),"",VLOOKUP($B2927,'Email Marketing Raw Data'!$C:$O,6,0)),"")</f>
        <v/>
      </c>
      <c r="O2927" s="55" t="str">
        <f>IFERROR(IF(OR($B2927="",$B2927="(blank)"),"",VLOOKUP($B2927,'Email Marketing Raw Data'!$C:$O,7,0)),"")</f>
        <v/>
      </c>
      <c r="P2927" s="55" t="str">
        <f>IFERROR(IF(OR($B2927="",$B2927="(blank)"),"",VLOOKUP($B2927,'Email Marketing Raw Data'!$C:$O,8,0)),"")</f>
        <v/>
      </c>
      <c r="Q2927" s="62" t="str">
        <f>IFERROR(IF(OR($B2927="",$B2927="(blank)"),"",VLOOKUP($B2927,'Email Marketing Raw Data'!$C:$O,9,0)),"")</f>
        <v/>
      </c>
    </row>
    <row r="2928" spans="4:17" ht="12.75" customHeight="1" x14ac:dyDescent="0.2">
      <c r="D2928" s="58" t="str">
        <f>IFERROR(IF(F2928&lt;&gt;"pending","",IF(OR($B2928="",$B2928="(blank)"),"",VLOOKUP($B2928,'Email Marketing Raw Data'!$C:$O,10,0))),"")</f>
        <v/>
      </c>
      <c r="E2928" s="59" t="str">
        <f>IFERROR(IF(F2928&lt;&gt;"pending","",IF(OR($B2928="",$B2928="(blank)"),"",VLOOKUP($B2928,'Email Marketing Raw Data'!$C:$O,11,0))),"")</f>
        <v/>
      </c>
      <c r="F2928" s="54" t="str">
        <f>IFERROR(IF(OR($B2928="",$B2928="(blank)"),"",VLOOKUP($B2928,'Email Marketing Raw Data'!$C:$O,13,0)),"")</f>
        <v/>
      </c>
      <c r="G2928" s="55" t="str">
        <f>IFERROR(IF(OR($B2928="",$B2928="(blank)"),"",VLOOKUP($B2928,'Email Marketing Raw Data'!$C:$O,4,0)),"")</f>
        <v/>
      </c>
      <c r="H2928" s="55" t="str">
        <f>IFERROR(IF(OR($B2928="",$B2928="(blank)"),"",VLOOKUP($B2928,'Email Marketing Raw Data'!$C:$O,5,0)),"")</f>
        <v/>
      </c>
      <c r="I2928" s="55" t="str">
        <f>IFERROR(IF($G2928="","",VLOOKUP('Dashboard And Emails Automate'!$G2928,Database!$H:$N,3,0)),"")</f>
        <v/>
      </c>
      <c r="J2928" s="55" t="str">
        <f>IFERROR(IF($G2928="","",VLOOKUP('Dashboard And Emails Automate'!$G2928,Database!$H:$N,4,0)),"")</f>
        <v/>
      </c>
      <c r="K2928" s="55" t="str">
        <f>IFERROR(IF($G2928="","",VLOOKUP('Dashboard And Emails Automate'!$G2928,Database!$H:$N,5,0)),"")</f>
        <v/>
      </c>
      <c r="L2928" s="55" t="str">
        <f>IFERROR(IF($G2928="","",VLOOKUP('Dashboard And Emails Automate'!$G2928,Database!$H:$N,6,0)),"")</f>
        <v/>
      </c>
      <c r="M2928" s="55" t="str">
        <f>IFERROR(IF($G2928="","",VLOOKUP('Dashboard And Emails Automate'!$G2928,Database!$H:$N,7,0)),"")</f>
        <v/>
      </c>
      <c r="N2928" s="55" t="str">
        <f>IFERROR(IF(OR($B2928="",$B2928="(blank)"),"",VLOOKUP($B2928,'Email Marketing Raw Data'!$C:$O,6,0)),"")</f>
        <v/>
      </c>
      <c r="O2928" s="55" t="str">
        <f>IFERROR(IF(OR($B2928="",$B2928="(blank)"),"",VLOOKUP($B2928,'Email Marketing Raw Data'!$C:$O,7,0)),"")</f>
        <v/>
      </c>
      <c r="P2928" s="55" t="str">
        <f>IFERROR(IF(OR($B2928="",$B2928="(blank)"),"",VLOOKUP($B2928,'Email Marketing Raw Data'!$C:$O,8,0)),"")</f>
        <v/>
      </c>
      <c r="Q2928" s="62" t="str">
        <f>IFERROR(IF(OR($B2928="",$B2928="(blank)"),"",VLOOKUP($B2928,'Email Marketing Raw Data'!$C:$O,9,0)),"")</f>
        <v/>
      </c>
    </row>
    <row r="2929" spans="4:17" ht="12.75" customHeight="1" x14ac:dyDescent="0.2">
      <c r="D2929" s="58" t="str">
        <f>IFERROR(IF(F2929&lt;&gt;"pending","",IF(OR($B2929="",$B2929="(blank)"),"",VLOOKUP($B2929,'Email Marketing Raw Data'!$C:$O,10,0))),"")</f>
        <v/>
      </c>
      <c r="E2929" s="59" t="str">
        <f>IFERROR(IF(F2929&lt;&gt;"pending","",IF(OR($B2929="",$B2929="(blank)"),"",VLOOKUP($B2929,'Email Marketing Raw Data'!$C:$O,11,0))),"")</f>
        <v/>
      </c>
      <c r="F2929" s="54" t="str">
        <f>IFERROR(IF(OR($B2929="",$B2929="(blank)"),"",VLOOKUP($B2929,'Email Marketing Raw Data'!$C:$O,13,0)),"")</f>
        <v/>
      </c>
      <c r="G2929" s="55" t="str">
        <f>IFERROR(IF(OR($B2929="",$B2929="(blank)"),"",VLOOKUP($B2929,'Email Marketing Raw Data'!$C:$O,4,0)),"")</f>
        <v/>
      </c>
      <c r="H2929" s="55" t="str">
        <f>IFERROR(IF(OR($B2929="",$B2929="(blank)"),"",VLOOKUP($B2929,'Email Marketing Raw Data'!$C:$O,5,0)),"")</f>
        <v/>
      </c>
      <c r="I2929" s="55" t="str">
        <f>IFERROR(IF($G2929="","",VLOOKUP('Dashboard And Emails Automate'!$G2929,Database!$H:$N,3,0)),"")</f>
        <v/>
      </c>
      <c r="J2929" s="55" t="str">
        <f>IFERROR(IF($G2929="","",VLOOKUP('Dashboard And Emails Automate'!$G2929,Database!$H:$N,4,0)),"")</f>
        <v/>
      </c>
      <c r="K2929" s="55" t="str">
        <f>IFERROR(IF($G2929="","",VLOOKUP('Dashboard And Emails Automate'!$G2929,Database!$H:$N,5,0)),"")</f>
        <v/>
      </c>
      <c r="L2929" s="55" t="str">
        <f>IFERROR(IF($G2929="","",VLOOKUP('Dashboard And Emails Automate'!$G2929,Database!$H:$N,6,0)),"")</f>
        <v/>
      </c>
      <c r="M2929" s="55" t="str">
        <f>IFERROR(IF($G2929="","",VLOOKUP('Dashboard And Emails Automate'!$G2929,Database!$H:$N,7,0)),"")</f>
        <v/>
      </c>
      <c r="N2929" s="55" t="str">
        <f>IFERROR(IF(OR($B2929="",$B2929="(blank)"),"",VLOOKUP($B2929,'Email Marketing Raw Data'!$C:$O,6,0)),"")</f>
        <v/>
      </c>
      <c r="O2929" s="55" t="str">
        <f>IFERROR(IF(OR($B2929="",$B2929="(blank)"),"",VLOOKUP($B2929,'Email Marketing Raw Data'!$C:$O,7,0)),"")</f>
        <v/>
      </c>
      <c r="P2929" s="55" t="str">
        <f>IFERROR(IF(OR($B2929="",$B2929="(blank)"),"",VLOOKUP($B2929,'Email Marketing Raw Data'!$C:$O,8,0)),"")</f>
        <v/>
      </c>
      <c r="Q2929" s="62" t="str">
        <f>IFERROR(IF(OR($B2929="",$B2929="(blank)"),"",VLOOKUP($B2929,'Email Marketing Raw Data'!$C:$O,9,0)),"")</f>
        <v/>
      </c>
    </row>
    <row r="2930" spans="4:17" ht="12.75" customHeight="1" x14ac:dyDescent="0.2">
      <c r="D2930" s="58" t="str">
        <f>IFERROR(IF(F2930&lt;&gt;"pending","",IF(OR($B2930="",$B2930="(blank)"),"",VLOOKUP($B2930,'Email Marketing Raw Data'!$C:$O,10,0))),"")</f>
        <v/>
      </c>
      <c r="E2930" s="59" t="str">
        <f>IFERROR(IF(F2930&lt;&gt;"pending","",IF(OR($B2930="",$B2930="(blank)"),"",VLOOKUP($B2930,'Email Marketing Raw Data'!$C:$O,11,0))),"")</f>
        <v/>
      </c>
      <c r="F2930" s="54" t="str">
        <f>IFERROR(IF(OR($B2930="",$B2930="(blank)"),"",VLOOKUP($B2930,'Email Marketing Raw Data'!$C:$O,13,0)),"")</f>
        <v/>
      </c>
      <c r="G2930" s="55" t="str">
        <f>IFERROR(IF(OR($B2930="",$B2930="(blank)"),"",VLOOKUP($B2930,'Email Marketing Raw Data'!$C:$O,4,0)),"")</f>
        <v/>
      </c>
      <c r="H2930" s="55" t="str">
        <f>IFERROR(IF(OR($B2930="",$B2930="(blank)"),"",VLOOKUP($B2930,'Email Marketing Raw Data'!$C:$O,5,0)),"")</f>
        <v/>
      </c>
      <c r="I2930" s="55" t="str">
        <f>IFERROR(IF($G2930="","",VLOOKUP('Dashboard And Emails Automate'!$G2930,Database!$H:$N,3,0)),"")</f>
        <v/>
      </c>
      <c r="J2930" s="55" t="str">
        <f>IFERROR(IF($G2930="","",VLOOKUP('Dashboard And Emails Automate'!$G2930,Database!$H:$N,4,0)),"")</f>
        <v/>
      </c>
      <c r="K2930" s="55" t="str">
        <f>IFERROR(IF($G2930="","",VLOOKUP('Dashboard And Emails Automate'!$G2930,Database!$H:$N,5,0)),"")</f>
        <v/>
      </c>
      <c r="L2930" s="55" t="str">
        <f>IFERROR(IF($G2930="","",VLOOKUP('Dashboard And Emails Automate'!$G2930,Database!$H:$N,6,0)),"")</f>
        <v/>
      </c>
      <c r="M2930" s="55" t="str">
        <f>IFERROR(IF($G2930="","",VLOOKUP('Dashboard And Emails Automate'!$G2930,Database!$H:$N,7,0)),"")</f>
        <v/>
      </c>
      <c r="N2930" s="55" t="str">
        <f>IFERROR(IF(OR($B2930="",$B2930="(blank)"),"",VLOOKUP($B2930,'Email Marketing Raw Data'!$C:$O,6,0)),"")</f>
        <v/>
      </c>
      <c r="O2930" s="55" t="str">
        <f>IFERROR(IF(OR($B2930="",$B2930="(blank)"),"",VLOOKUP($B2930,'Email Marketing Raw Data'!$C:$O,7,0)),"")</f>
        <v/>
      </c>
      <c r="P2930" s="55" t="str">
        <f>IFERROR(IF(OR($B2930="",$B2930="(blank)"),"",VLOOKUP($B2930,'Email Marketing Raw Data'!$C:$O,8,0)),"")</f>
        <v/>
      </c>
      <c r="Q2930" s="62" t="str">
        <f>IFERROR(IF(OR($B2930="",$B2930="(blank)"),"",VLOOKUP($B2930,'Email Marketing Raw Data'!$C:$O,9,0)),"")</f>
        <v/>
      </c>
    </row>
    <row r="2931" spans="4:17" ht="12.75" customHeight="1" x14ac:dyDescent="0.2">
      <c r="D2931" s="58" t="str">
        <f>IFERROR(IF(F2931&lt;&gt;"pending","",IF(OR($B2931="",$B2931="(blank)"),"",VLOOKUP($B2931,'Email Marketing Raw Data'!$C:$O,10,0))),"")</f>
        <v/>
      </c>
      <c r="E2931" s="59" t="str">
        <f>IFERROR(IF(F2931&lt;&gt;"pending","",IF(OR($B2931="",$B2931="(blank)"),"",VLOOKUP($B2931,'Email Marketing Raw Data'!$C:$O,11,0))),"")</f>
        <v/>
      </c>
      <c r="F2931" s="54" t="str">
        <f>IFERROR(IF(OR($B2931="",$B2931="(blank)"),"",VLOOKUP($B2931,'Email Marketing Raw Data'!$C:$O,13,0)),"")</f>
        <v/>
      </c>
      <c r="G2931" s="55" t="str">
        <f>IFERROR(IF(OR($B2931="",$B2931="(blank)"),"",VLOOKUP($B2931,'Email Marketing Raw Data'!$C:$O,4,0)),"")</f>
        <v/>
      </c>
      <c r="H2931" s="55" t="str">
        <f>IFERROR(IF(OR($B2931="",$B2931="(blank)"),"",VLOOKUP($B2931,'Email Marketing Raw Data'!$C:$O,5,0)),"")</f>
        <v/>
      </c>
      <c r="I2931" s="55" t="str">
        <f>IFERROR(IF($G2931="","",VLOOKUP('Dashboard And Emails Automate'!$G2931,Database!$H:$N,3,0)),"")</f>
        <v/>
      </c>
      <c r="J2931" s="55" t="str">
        <f>IFERROR(IF($G2931="","",VLOOKUP('Dashboard And Emails Automate'!$G2931,Database!$H:$N,4,0)),"")</f>
        <v/>
      </c>
      <c r="K2931" s="55" t="str">
        <f>IFERROR(IF($G2931="","",VLOOKUP('Dashboard And Emails Automate'!$G2931,Database!$H:$N,5,0)),"")</f>
        <v/>
      </c>
      <c r="L2931" s="55" t="str">
        <f>IFERROR(IF($G2931="","",VLOOKUP('Dashboard And Emails Automate'!$G2931,Database!$H:$N,6,0)),"")</f>
        <v/>
      </c>
      <c r="M2931" s="55" t="str">
        <f>IFERROR(IF($G2931="","",VLOOKUP('Dashboard And Emails Automate'!$G2931,Database!$H:$N,7,0)),"")</f>
        <v/>
      </c>
      <c r="N2931" s="55" t="str">
        <f>IFERROR(IF(OR($B2931="",$B2931="(blank)"),"",VLOOKUP($B2931,'Email Marketing Raw Data'!$C:$O,6,0)),"")</f>
        <v/>
      </c>
      <c r="O2931" s="55" t="str">
        <f>IFERROR(IF(OR($B2931="",$B2931="(blank)"),"",VLOOKUP($B2931,'Email Marketing Raw Data'!$C:$O,7,0)),"")</f>
        <v/>
      </c>
      <c r="P2931" s="55" t="str">
        <f>IFERROR(IF(OR($B2931="",$B2931="(blank)"),"",VLOOKUP($B2931,'Email Marketing Raw Data'!$C:$O,8,0)),"")</f>
        <v/>
      </c>
      <c r="Q2931" s="62" t="str">
        <f>IFERROR(IF(OR($B2931="",$B2931="(blank)"),"",VLOOKUP($B2931,'Email Marketing Raw Data'!$C:$O,9,0)),"")</f>
        <v/>
      </c>
    </row>
    <row r="2932" spans="4:17" ht="12.75" customHeight="1" x14ac:dyDescent="0.2">
      <c r="D2932" s="58" t="str">
        <f>IFERROR(IF(F2932&lt;&gt;"pending","",IF(OR($B2932="",$B2932="(blank)"),"",VLOOKUP($B2932,'Email Marketing Raw Data'!$C:$O,10,0))),"")</f>
        <v/>
      </c>
      <c r="E2932" s="59" t="str">
        <f>IFERROR(IF(F2932&lt;&gt;"pending","",IF(OR($B2932="",$B2932="(blank)"),"",VLOOKUP($B2932,'Email Marketing Raw Data'!$C:$O,11,0))),"")</f>
        <v/>
      </c>
      <c r="F2932" s="54" t="str">
        <f>IFERROR(IF(OR($B2932="",$B2932="(blank)"),"",VLOOKUP($B2932,'Email Marketing Raw Data'!$C:$O,13,0)),"")</f>
        <v/>
      </c>
      <c r="G2932" s="55" t="str">
        <f>IFERROR(IF(OR($B2932="",$B2932="(blank)"),"",VLOOKUP($B2932,'Email Marketing Raw Data'!$C:$O,4,0)),"")</f>
        <v/>
      </c>
      <c r="H2932" s="55" t="str">
        <f>IFERROR(IF(OR($B2932="",$B2932="(blank)"),"",VLOOKUP($B2932,'Email Marketing Raw Data'!$C:$O,5,0)),"")</f>
        <v/>
      </c>
      <c r="I2932" s="55" t="str">
        <f>IFERROR(IF($G2932="","",VLOOKUP('Dashboard And Emails Automate'!$G2932,Database!$H:$N,3,0)),"")</f>
        <v/>
      </c>
      <c r="J2932" s="55" t="str">
        <f>IFERROR(IF($G2932="","",VLOOKUP('Dashboard And Emails Automate'!$G2932,Database!$H:$N,4,0)),"")</f>
        <v/>
      </c>
      <c r="K2932" s="55" t="str">
        <f>IFERROR(IF($G2932="","",VLOOKUP('Dashboard And Emails Automate'!$G2932,Database!$H:$N,5,0)),"")</f>
        <v/>
      </c>
      <c r="L2932" s="55" t="str">
        <f>IFERROR(IF($G2932="","",VLOOKUP('Dashboard And Emails Automate'!$G2932,Database!$H:$N,6,0)),"")</f>
        <v/>
      </c>
      <c r="M2932" s="55" t="str">
        <f>IFERROR(IF($G2932="","",VLOOKUP('Dashboard And Emails Automate'!$G2932,Database!$H:$N,7,0)),"")</f>
        <v/>
      </c>
      <c r="N2932" s="55" t="str">
        <f>IFERROR(IF(OR($B2932="",$B2932="(blank)"),"",VLOOKUP($B2932,'Email Marketing Raw Data'!$C:$O,6,0)),"")</f>
        <v/>
      </c>
      <c r="O2932" s="55" t="str">
        <f>IFERROR(IF(OR($B2932="",$B2932="(blank)"),"",VLOOKUP($B2932,'Email Marketing Raw Data'!$C:$O,7,0)),"")</f>
        <v/>
      </c>
      <c r="P2932" s="55" t="str">
        <f>IFERROR(IF(OR($B2932="",$B2932="(blank)"),"",VLOOKUP($B2932,'Email Marketing Raw Data'!$C:$O,8,0)),"")</f>
        <v/>
      </c>
      <c r="Q2932" s="62" t="str">
        <f>IFERROR(IF(OR($B2932="",$B2932="(blank)"),"",VLOOKUP($B2932,'Email Marketing Raw Data'!$C:$O,9,0)),"")</f>
        <v/>
      </c>
    </row>
    <row r="2933" spans="4:17" ht="12.75" customHeight="1" x14ac:dyDescent="0.2">
      <c r="D2933" s="58" t="str">
        <f>IFERROR(IF(F2933&lt;&gt;"pending","",IF(OR($B2933="",$B2933="(blank)"),"",VLOOKUP($B2933,'Email Marketing Raw Data'!$C:$O,10,0))),"")</f>
        <v/>
      </c>
      <c r="E2933" s="59" t="str">
        <f>IFERROR(IF(F2933&lt;&gt;"pending","",IF(OR($B2933="",$B2933="(blank)"),"",VLOOKUP($B2933,'Email Marketing Raw Data'!$C:$O,11,0))),"")</f>
        <v/>
      </c>
      <c r="F2933" s="54" t="str">
        <f>IFERROR(IF(OR($B2933="",$B2933="(blank)"),"",VLOOKUP($B2933,'Email Marketing Raw Data'!$C:$O,13,0)),"")</f>
        <v/>
      </c>
      <c r="G2933" s="55" t="str">
        <f>IFERROR(IF(OR($B2933="",$B2933="(blank)"),"",VLOOKUP($B2933,'Email Marketing Raw Data'!$C:$O,4,0)),"")</f>
        <v/>
      </c>
      <c r="H2933" s="55" t="str">
        <f>IFERROR(IF(OR($B2933="",$B2933="(blank)"),"",VLOOKUP($B2933,'Email Marketing Raw Data'!$C:$O,5,0)),"")</f>
        <v/>
      </c>
      <c r="I2933" s="55" t="str">
        <f>IFERROR(IF($G2933="","",VLOOKUP('Dashboard And Emails Automate'!$G2933,Database!$H:$N,3,0)),"")</f>
        <v/>
      </c>
      <c r="J2933" s="55" t="str">
        <f>IFERROR(IF($G2933="","",VLOOKUP('Dashboard And Emails Automate'!$G2933,Database!$H:$N,4,0)),"")</f>
        <v/>
      </c>
      <c r="K2933" s="55" t="str">
        <f>IFERROR(IF($G2933="","",VLOOKUP('Dashboard And Emails Automate'!$G2933,Database!$H:$N,5,0)),"")</f>
        <v/>
      </c>
      <c r="L2933" s="55" t="str">
        <f>IFERROR(IF($G2933="","",VLOOKUP('Dashboard And Emails Automate'!$G2933,Database!$H:$N,6,0)),"")</f>
        <v/>
      </c>
      <c r="M2933" s="55" t="str">
        <f>IFERROR(IF($G2933="","",VLOOKUP('Dashboard And Emails Automate'!$G2933,Database!$H:$N,7,0)),"")</f>
        <v/>
      </c>
      <c r="N2933" s="55" t="str">
        <f>IFERROR(IF(OR($B2933="",$B2933="(blank)"),"",VLOOKUP($B2933,'Email Marketing Raw Data'!$C:$O,6,0)),"")</f>
        <v/>
      </c>
      <c r="O2933" s="55" t="str">
        <f>IFERROR(IF(OR($B2933="",$B2933="(blank)"),"",VLOOKUP($B2933,'Email Marketing Raw Data'!$C:$O,7,0)),"")</f>
        <v/>
      </c>
      <c r="P2933" s="55" t="str">
        <f>IFERROR(IF(OR($B2933="",$B2933="(blank)"),"",VLOOKUP($B2933,'Email Marketing Raw Data'!$C:$O,8,0)),"")</f>
        <v/>
      </c>
      <c r="Q2933" s="62" t="str">
        <f>IFERROR(IF(OR($B2933="",$B2933="(blank)"),"",VLOOKUP($B2933,'Email Marketing Raw Data'!$C:$O,9,0)),"")</f>
        <v/>
      </c>
    </row>
    <row r="2934" spans="4:17" ht="12.75" customHeight="1" x14ac:dyDescent="0.2">
      <c r="D2934" s="58" t="str">
        <f>IFERROR(IF(F2934&lt;&gt;"pending","",IF(OR($B2934="",$B2934="(blank)"),"",VLOOKUP($B2934,'Email Marketing Raw Data'!$C:$O,10,0))),"")</f>
        <v/>
      </c>
      <c r="E2934" s="59" t="str">
        <f>IFERROR(IF(F2934&lt;&gt;"pending","",IF(OR($B2934="",$B2934="(blank)"),"",VLOOKUP($B2934,'Email Marketing Raw Data'!$C:$O,11,0))),"")</f>
        <v/>
      </c>
      <c r="F2934" s="54" t="str">
        <f>IFERROR(IF(OR($B2934="",$B2934="(blank)"),"",VLOOKUP($B2934,'Email Marketing Raw Data'!$C:$O,13,0)),"")</f>
        <v/>
      </c>
      <c r="G2934" s="55" t="str">
        <f>IFERROR(IF(OR($B2934="",$B2934="(blank)"),"",VLOOKUP($B2934,'Email Marketing Raw Data'!$C:$O,4,0)),"")</f>
        <v/>
      </c>
      <c r="H2934" s="55" t="str">
        <f>IFERROR(IF(OR($B2934="",$B2934="(blank)"),"",VLOOKUP($B2934,'Email Marketing Raw Data'!$C:$O,5,0)),"")</f>
        <v/>
      </c>
      <c r="I2934" s="55" t="str">
        <f>IFERROR(IF($G2934="","",VLOOKUP('Dashboard And Emails Automate'!$G2934,Database!$H:$N,3,0)),"")</f>
        <v/>
      </c>
      <c r="J2934" s="55" t="str">
        <f>IFERROR(IF($G2934="","",VLOOKUP('Dashboard And Emails Automate'!$G2934,Database!$H:$N,4,0)),"")</f>
        <v/>
      </c>
      <c r="K2934" s="55" t="str">
        <f>IFERROR(IF($G2934="","",VLOOKUP('Dashboard And Emails Automate'!$G2934,Database!$H:$N,5,0)),"")</f>
        <v/>
      </c>
      <c r="L2934" s="55" t="str">
        <f>IFERROR(IF($G2934="","",VLOOKUP('Dashboard And Emails Automate'!$G2934,Database!$H:$N,6,0)),"")</f>
        <v/>
      </c>
      <c r="M2934" s="55" t="str">
        <f>IFERROR(IF($G2934="","",VLOOKUP('Dashboard And Emails Automate'!$G2934,Database!$H:$N,7,0)),"")</f>
        <v/>
      </c>
      <c r="N2934" s="55" t="str">
        <f>IFERROR(IF(OR($B2934="",$B2934="(blank)"),"",VLOOKUP($B2934,'Email Marketing Raw Data'!$C:$O,6,0)),"")</f>
        <v/>
      </c>
      <c r="O2934" s="55" t="str">
        <f>IFERROR(IF(OR($B2934="",$B2934="(blank)"),"",VLOOKUP($B2934,'Email Marketing Raw Data'!$C:$O,7,0)),"")</f>
        <v/>
      </c>
      <c r="P2934" s="55" t="str">
        <f>IFERROR(IF(OR($B2934="",$B2934="(blank)"),"",VLOOKUP($B2934,'Email Marketing Raw Data'!$C:$O,8,0)),"")</f>
        <v/>
      </c>
      <c r="Q2934" s="62" t="str">
        <f>IFERROR(IF(OR($B2934="",$B2934="(blank)"),"",VLOOKUP($B2934,'Email Marketing Raw Data'!$C:$O,9,0)),"")</f>
        <v/>
      </c>
    </row>
    <row r="2935" spans="4:17" ht="12.75" customHeight="1" x14ac:dyDescent="0.2">
      <c r="D2935" s="58" t="str">
        <f>IFERROR(IF(F2935&lt;&gt;"pending","",IF(OR($B2935="",$B2935="(blank)"),"",VLOOKUP($B2935,'Email Marketing Raw Data'!$C:$O,10,0))),"")</f>
        <v/>
      </c>
      <c r="E2935" s="59" t="str">
        <f>IFERROR(IF(F2935&lt;&gt;"pending","",IF(OR($B2935="",$B2935="(blank)"),"",VLOOKUP($B2935,'Email Marketing Raw Data'!$C:$O,11,0))),"")</f>
        <v/>
      </c>
      <c r="F2935" s="54" t="str">
        <f>IFERROR(IF(OR($B2935="",$B2935="(blank)"),"",VLOOKUP($B2935,'Email Marketing Raw Data'!$C:$O,13,0)),"")</f>
        <v/>
      </c>
      <c r="G2935" s="55" t="str">
        <f>IFERROR(IF(OR($B2935="",$B2935="(blank)"),"",VLOOKUP($B2935,'Email Marketing Raw Data'!$C:$O,4,0)),"")</f>
        <v/>
      </c>
      <c r="H2935" s="55" t="str">
        <f>IFERROR(IF(OR($B2935="",$B2935="(blank)"),"",VLOOKUP($B2935,'Email Marketing Raw Data'!$C:$O,5,0)),"")</f>
        <v/>
      </c>
      <c r="I2935" s="55" t="str">
        <f>IFERROR(IF($G2935="","",VLOOKUP('Dashboard And Emails Automate'!$G2935,Database!$H:$N,3,0)),"")</f>
        <v/>
      </c>
      <c r="J2935" s="55" t="str">
        <f>IFERROR(IF($G2935="","",VLOOKUP('Dashboard And Emails Automate'!$G2935,Database!$H:$N,4,0)),"")</f>
        <v/>
      </c>
      <c r="K2935" s="55" t="str">
        <f>IFERROR(IF($G2935="","",VLOOKUP('Dashboard And Emails Automate'!$G2935,Database!$H:$N,5,0)),"")</f>
        <v/>
      </c>
      <c r="L2935" s="55" t="str">
        <f>IFERROR(IF($G2935="","",VLOOKUP('Dashboard And Emails Automate'!$G2935,Database!$H:$N,6,0)),"")</f>
        <v/>
      </c>
      <c r="M2935" s="55" t="str">
        <f>IFERROR(IF($G2935="","",VLOOKUP('Dashboard And Emails Automate'!$G2935,Database!$H:$N,7,0)),"")</f>
        <v/>
      </c>
      <c r="N2935" s="55" t="str">
        <f>IFERROR(IF(OR($B2935="",$B2935="(blank)"),"",VLOOKUP($B2935,'Email Marketing Raw Data'!$C:$O,6,0)),"")</f>
        <v/>
      </c>
      <c r="O2935" s="55" t="str">
        <f>IFERROR(IF(OR($B2935="",$B2935="(blank)"),"",VLOOKUP($B2935,'Email Marketing Raw Data'!$C:$O,7,0)),"")</f>
        <v/>
      </c>
      <c r="P2935" s="55" t="str">
        <f>IFERROR(IF(OR($B2935="",$B2935="(blank)"),"",VLOOKUP($B2935,'Email Marketing Raw Data'!$C:$O,8,0)),"")</f>
        <v/>
      </c>
      <c r="Q2935" s="62" t="str">
        <f>IFERROR(IF(OR($B2935="",$B2935="(blank)"),"",VLOOKUP($B2935,'Email Marketing Raw Data'!$C:$O,9,0)),"")</f>
        <v/>
      </c>
    </row>
    <row r="2936" spans="4:17" ht="12.75" customHeight="1" x14ac:dyDescent="0.2">
      <c r="D2936" s="58" t="str">
        <f>IFERROR(IF(F2936&lt;&gt;"pending","",IF(OR($B2936="",$B2936="(blank)"),"",VLOOKUP($B2936,'Email Marketing Raw Data'!$C:$O,10,0))),"")</f>
        <v/>
      </c>
      <c r="E2936" s="59" t="str">
        <f>IFERROR(IF(F2936&lt;&gt;"pending","",IF(OR($B2936="",$B2936="(blank)"),"",VLOOKUP($B2936,'Email Marketing Raw Data'!$C:$O,11,0))),"")</f>
        <v/>
      </c>
      <c r="F2936" s="54" t="str">
        <f>IFERROR(IF(OR($B2936="",$B2936="(blank)"),"",VLOOKUP($B2936,'Email Marketing Raw Data'!$C:$O,13,0)),"")</f>
        <v/>
      </c>
      <c r="G2936" s="55" t="str">
        <f>IFERROR(IF(OR($B2936="",$B2936="(blank)"),"",VLOOKUP($B2936,'Email Marketing Raw Data'!$C:$O,4,0)),"")</f>
        <v/>
      </c>
      <c r="H2936" s="55" t="str">
        <f>IFERROR(IF(OR($B2936="",$B2936="(blank)"),"",VLOOKUP($B2936,'Email Marketing Raw Data'!$C:$O,5,0)),"")</f>
        <v/>
      </c>
      <c r="I2936" s="55" t="str">
        <f>IFERROR(IF($G2936="","",VLOOKUP('Dashboard And Emails Automate'!$G2936,Database!$H:$N,3,0)),"")</f>
        <v/>
      </c>
      <c r="J2936" s="55" t="str">
        <f>IFERROR(IF($G2936="","",VLOOKUP('Dashboard And Emails Automate'!$G2936,Database!$H:$N,4,0)),"")</f>
        <v/>
      </c>
      <c r="K2936" s="55" t="str">
        <f>IFERROR(IF($G2936="","",VLOOKUP('Dashboard And Emails Automate'!$G2936,Database!$H:$N,5,0)),"")</f>
        <v/>
      </c>
      <c r="L2936" s="55" t="str">
        <f>IFERROR(IF($G2936="","",VLOOKUP('Dashboard And Emails Automate'!$G2936,Database!$H:$N,6,0)),"")</f>
        <v/>
      </c>
      <c r="M2936" s="55" t="str">
        <f>IFERROR(IF($G2936="","",VLOOKUP('Dashboard And Emails Automate'!$G2936,Database!$H:$N,7,0)),"")</f>
        <v/>
      </c>
      <c r="N2936" s="55" t="str">
        <f>IFERROR(IF(OR($B2936="",$B2936="(blank)"),"",VLOOKUP($B2936,'Email Marketing Raw Data'!$C:$O,6,0)),"")</f>
        <v/>
      </c>
      <c r="O2936" s="55" t="str">
        <f>IFERROR(IF(OR($B2936="",$B2936="(blank)"),"",VLOOKUP($B2936,'Email Marketing Raw Data'!$C:$O,7,0)),"")</f>
        <v/>
      </c>
      <c r="P2936" s="55" t="str">
        <f>IFERROR(IF(OR($B2936="",$B2936="(blank)"),"",VLOOKUP($B2936,'Email Marketing Raw Data'!$C:$O,8,0)),"")</f>
        <v/>
      </c>
      <c r="Q2936" s="62" t="str">
        <f>IFERROR(IF(OR($B2936="",$B2936="(blank)"),"",VLOOKUP($B2936,'Email Marketing Raw Data'!$C:$O,9,0)),"")</f>
        <v/>
      </c>
    </row>
    <row r="2937" spans="4:17" ht="12.75" customHeight="1" x14ac:dyDescent="0.2">
      <c r="D2937" s="58" t="str">
        <f>IFERROR(IF(F2937&lt;&gt;"pending","",IF(OR($B2937="",$B2937="(blank)"),"",VLOOKUP($B2937,'Email Marketing Raw Data'!$C:$O,10,0))),"")</f>
        <v/>
      </c>
      <c r="E2937" s="59" t="str">
        <f>IFERROR(IF(F2937&lt;&gt;"pending","",IF(OR($B2937="",$B2937="(blank)"),"",VLOOKUP($B2937,'Email Marketing Raw Data'!$C:$O,11,0))),"")</f>
        <v/>
      </c>
      <c r="F2937" s="54" t="str">
        <f>IFERROR(IF(OR($B2937="",$B2937="(blank)"),"",VLOOKUP($B2937,'Email Marketing Raw Data'!$C:$O,13,0)),"")</f>
        <v/>
      </c>
      <c r="G2937" s="55" t="str">
        <f>IFERROR(IF(OR($B2937="",$B2937="(blank)"),"",VLOOKUP($B2937,'Email Marketing Raw Data'!$C:$O,4,0)),"")</f>
        <v/>
      </c>
      <c r="H2937" s="55" t="str">
        <f>IFERROR(IF(OR($B2937="",$B2937="(blank)"),"",VLOOKUP($B2937,'Email Marketing Raw Data'!$C:$O,5,0)),"")</f>
        <v/>
      </c>
      <c r="I2937" s="55" t="str">
        <f>IFERROR(IF($G2937="","",VLOOKUP('Dashboard And Emails Automate'!$G2937,Database!$H:$N,3,0)),"")</f>
        <v/>
      </c>
      <c r="J2937" s="55" t="str">
        <f>IFERROR(IF($G2937="","",VLOOKUP('Dashboard And Emails Automate'!$G2937,Database!$H:$N,4,0)),"")</f>
        <v/>
      </c>
      <c r="K2937" s="55" t="str">
        <f>IFERROR(IF($G2937="","",VLOOKUP('Dashboard And Emails Automate'!$G2937,Database!$H:$N,5,0)),"")</f>
        <v/>
      </c>
      <c r="L2937" s="55" t="str">
        <f>IFERROR(IF($G2937="","",VLOOKUP('Dashboard And Emails Automate'!$G2937,Database!$H:$N,6,0)),"")</f>
        <v/>
      </c>
      <c r="M2937" s="55" t="str">
        <f>IFERROR(IF($G2937="","",VLOOKUP('Dashboard And Emails Automate'!$G2937,Database!$H:$N,7,0)),"")</f>
        <v/>
      </c>
      <c r="N2937" s="55" t="str">
        <f>IFERROR(IF(OR($B2937="",$B2937="(blank)"),"",VLOOKUP($B2937,'Email Marketing Raw Data'!$C:$O,6,0)),"")</f>
        <v/>
      </c>
      <c r="O2937" s="55" t="str">
        <f>IFERROR(IF(OR($B2937="",$B2937="(blank)"),"",VLOOKUP($B2937,'Email Marketing Raw Data'!$C:$O,7,0)),"")</f>
        <v/>
      </c>
      <c r="P2937" s="55" t="str">
        <f>IFERROR(IF(OR($B2937="",$B2937="(blank)"),"",VLOOKUP($B2937,'Email Marketing Raw Data'!$C:$O,8,0)),"")</f>
        <v/>
      </c>
      <c r="Q2937" s="62" t="str">
        <f>IFERROR(IF(OR($B2937="",$B2937="(blank)"),"",VLOOKUP($B2937,'Email Marketing Raw Data'!$C:$O,9,0)),"")</f>
        <v/>
      </c>
    </row>
    <row r="2938" spans="4:17" ht="12.75" customHeight="1" x14ac:dyDescent="0.2">
      <c r="D2938" s="58" t="str">
        <f>IFERROR(IF(F2938&lt;&gt;"pending","",IF(OR($B2938="",$B2938="(blank)"),"",VLOOKUP($B2938,'Email Marketing Raw Data'!$C:$O,10,0))),"")</f>
        <v/>
      </c>
      <c r="E2938" s="59" t="str">
        <f>IFERROR(IF(F2938&lt;&gt;"pending","",IF(OR($B2938="",$B2938="(blank)"),"",VLOOKUP($B2938,'Email Marketing Raw Data'!$C:$O,11,0))),"")</f>
        <v/>
      </c>
      <c r="F2938" s="54" t="str">
        <f>IFERROR(IF(OR($B2938="",$B2938="(blank)"),"",VLOOKUP($B2938,'Email Marketing Raw Data'!$C:$O,13,0)),"")</f>
        <v/>
      </c>
      <c r="G2938" s="55" t="str">
        <f>IFERROR(IF(OR($B2938="",$B2938="(blank)"),"",VLOOKUP($B2938,'Email Marketing Raw Data'!$C:$O,4,0)),"")</f>
        <v/>
      </c>
      <c r="H2938" s="55" t="str">
        <f>IFERROR(IF(OR($B2938="",$B2938="(blank)"),"",VLOOKUP($B2938,'Email Marketing Raw Data'!$C:$O,5,0)),"")</f>
        <v/>
      </c>
      <c r="I2938" s="55" t="str">
        <f>IFERROR(IF($G2938="","",VLOOKUP('Dashboard And Emails Automate'!$G2938,Database!$H:$N,3,0)),"")</f>
        <v/>
      </c>
      <c r="J2938" s="55" t="str">
        <f>IFERROR(IF($G2938="","",VLOOKUP('Dashboard And Emails Automate'!$G2938,Database!$H:$N,4,0)),"")</f>
        <v/>
      </c>
      <c r="K2938" s="55" t="str">
        <f>IFERROR(IF($G2938="","",VLOOKUP('Dashboard And Emails Automate'!$G2938,Database!$H:$N,5,0)),"")</f>
        <v/>
      </c>
      <c r="L2938" s="55" t="str">
        <f>IFERROR(IF($G2938="","",VLOOKUP('Dashboard And Emails Automate'!$G2938,Database!$H:$N,6,0)),"")</f>
        <v/>
      </c>
      <c r="M2938" s="55" t="str">
        <f>IFERROR(IF($G2938="","",VLOOKUP('Dashboard And Emails Automate'!$G2938,Database!$H:$N,7,0)),"")</f>
        <v/>
      </c>
      <c r="N2938" s="55" t="str">
        <f>IFERROR(IF(OR($B2938="",$B2938="(blank)"),"",VLOOKUP($B2938,'Email Marketing Raw Data'!$C:$O,6,0)),"")</f>
        <v/>
      </c>
      <c r="O2938" s="55" t="str">
        <f>IFERROR(IF(OR($B2938="",$B2938="(blank)"),"",VLOOKUP($B2938,'Email Marketing Raw Data'!$C:$O,7,0)),"")</f>
        <v/>
      </c>
      <c r="P2938" s="55" t="str">
        <f>IFERROR(IF(OR($B2938="",$B2938="(blank)"),"",VLOOKUP($B2938,'Email Marketing Raw Data'!$C:$O,8,0)),"")</f>
        <v/>
      </c>
      <c r="Q2938" s="62" t="str">
        <f>IFERROR(IF(OR($B2938="",$B2938="(blank)"),"",VLOOKUP($B2938,'Email Marketing Raw Data'!$C:$O,9,0)),"")</f>
        <v/>
      </c>
    </row>
    <row r="2939" spans="4:17" ht="12.75" customHeight="1" x14ac:dyDescent="0.2">
      <c r="D2939" s="58" t="str">
        <f>IFERROR(IF(F2939&lt;&gt;"pending","",IF(OR($B2939="",$B2939="(blank)"),"",VLOOKUP($B2939,'Email Marketing Raw Data'!$C:$O,10,0))),"")</f>
        <v/>
      </c>
      <c r="E2939" s="59" t="str">
        <f>IFERROR(IF(F2939&lt;&gt;"pending","",IF(OR($B2939="",$B2939="(blank)"),"",VLOOKUP($B2939,'Email Marketing Raw Data'!$C:$O,11,0))),"")</f>
        <v/>
      </c>
      <c r="F2939" s="54" t="str">
        <f>IFERROR(IF(OR($B2939="",$B2939="(blank)"),"",VLOOKUP($B2939,'Email Marketing Raw Data'!$C:$O,13,0)),"")</f>
        <v/>
      </c>
      <c r="G2939" s="55" t="str">
        <f>IFERROR(IF(OR($B2939="",$B2939="(blank)"),"",VLOOKUP($B2939,'Email Marketing Raw Data'!$C:$O,4,0)),"")</f>
        <v/>
      </c>
      <c r="H2939" s="55" t="str">
        <f>IFERROR(IF(OR($B2939="",$B2939="(blank)"),"",VLOOKUP($B2939,'Email Marketing Raw Data'!$C:$O,5,0)),"")</f>
        <v/>
      </c>
      <c r="I2939" s="55" t="str">
        <f>IFERROR(IF($G2939="","",VLOOKUP('Dashboard And Emails Automate'!$G2939,Database!$H:$N,3,0)),"")</f>
        <v/>
      </c>
      <c r="J2939" s="55" t="str">
        <f>IFERROR(IF($G2939="","",VLOOKUP('Dashboard And Emails Automate'!$G2939,Database!$H:$N,4,0)),"")</f>
        <v/>
      </c>
      <c r="K2939" s="55" t="str">
        <f>IFERROR(IF($G2939="","",VLOOKUP('Dashboard And Emails Automate'!$G2939,Database!$H:$N,5,0)),"")</f>
        <v/>
      </c>
      <c r="L2939" s="55" t="str">
        <f>IFERROR(IF($G2939="","",VLOOKUP('Dashboard And Emails Automate'!$G2939,Database!$H:$N,6,0)),"")</f>
        <v/>
      </c>
      <c r="M2939" s="55" t="str">
        <f>IFERROR(IF($G2939="","",VLOOKUP('Dashboard And Emails Automate'!$G2939,Database!$H:$N,7,0)),"")</f>
        <v/>
      </c>
      <c r="N2939" s="55" t="str">
        <f>IFERROR(IF(OR($B2939="",$B2939="(blank)"),"",VLOOKUP($B2939,'Email Marketing Raw Data'!$C:$O,6,0)),"")</f>
        <v/>
      </c>
      <c r="O2939" s="55" t="str">
        <f>IFERROR(IF(OR($B2939="",$B2939="(blank)"),"",VLOOKUP($B2939,'Email Marketing Raw Data'!$C:$O,7,0)),"")</f>
        <v/>
      </c>
      <c r="P2939" s="55" t="str">
        <f>IFERROR(IF(OR($B2939="",$B2939="(blank)"),"",VLOOKUP($B2939,'Email Marketing Raw Data'!$C:$O,8,0)),"")</f>
        <v/>
      </c>
      <c r="Q2939" s="62" t="str">
        <f>IFERROR(IF(OR($B2939="",$B2939="(blank)"),"",VLOOKUP($B2939,'Email Marketing Raw Data'!$C:$O,9,0)),"")</f>
        <v/>
      </c>
    </row>
    <row r="2940" spans="4:17" ht="12.75" customHeight="1" x14ac:dyDescent="0.2">
      <c r="D2940" s="58" t="str">
        <f>IFERROR(IF(F2940&lt;&gt;"pending","",IF(OR($B2940="",$B2940="(blank)"),"",VLOOKUP($B2940,'Email Marketing Raw Data'!$C:$O,10,0))),"")</f>
        <v/>
      </c>
      <c r="E2940" s="59" t="str">
        <f>IFERROR(IF(F2940&lt;&gt;"pending","",IF(OR($B2940="",$B2940="(blank)"),"",VLOOKUP($B2940,'Email Marketing Raw Data'!$C:$O,11,0))),"")</f>
        <v/>
      </c>
      <c r="F2940" s="54" t="str">
        <f>IFERROR(IF(OR($B2940="",$B2940="(blank)"),"",VLOOKUP($B2940,'Email Marketing Raw Data'!$C:$O,13,0)),"")</f>
        <v/>
      </c>
      <c r="G2940" s="55" t="str">
        <f>IFERROR(IF(OR($B2940="",$B2940="(blank)"),"",VLOOKUP($B2940,'Email Marketing Raw Data'!$C:$O,4,0)),"")</f>
        <v/>
      </c>
      <c r="H2940" s="55" t="str">
        <f>IFERROR(IF(OR($B2940="",$B2940="(blank)"),"",VLOOKUP($B2940,'Email Marketing Raw Data'!$C:$O,5,0)),"")</f>
        <v/>
      </c>
      <c r="I2940" s="55" t="str">
        <f>IFERROR(IF($G2940="","",VLOOKUP('Dashboard And Emails Automate'!$G2940,Database!$H:$N,3,0)),"")</f>
        <v/>
      </c>
      <c r="J2940" s="55" t="str">
        <f>IFERROR(IF($G2940="","",VLOOKUP('Dashboard And Emails Automate'!$G2940,Database!$H:$N,4,0)),"")</f>
        <v/>
      </c>
      <c r="K2940" s="55" t="str">
        <f>IFERROR(IF($G2940="","",VLOOKUP('Dashboard And Emails Automate'!$G2940,Database!$H:$N,5,0)),"")</f>
        <v/>
      </c>
      <c r="L2940" s="55" t="str">
        <f>IFERROR(IF($G2940="","",VLOOKUP('Dashboard And Emails Automate'!$G2940,Database!$H:$N,6,0)),"")</f>
        <v/>
      </c>
      <c r="M2940" s="55" t="str">
        <f>IFERROR(IF($G2940="","",VLOOKUP('Dashboard And Emails Automate'!$G2940,Database!$H:$N,7,0)),"")</f>
        <v/>
      </c>
      <c r="N2940" s="55" t="str">
        <f>IFERROR(IF(OR($B2940="",$B2940="(blank)"),"",VLOOKUP($B2940,'Email Marketing Raw Data'!$C:$O,6,0)),"")</f>
        <v/>
      </c>
      <c r="O2940" s="55" t="str">
        <f>IFERROR(IF(OR($B2940="",$B2940="(blank)"),"",VLOOKUP($B2940,'Email Marketing Raw Data'!$C:$O,7,0)),"")</f>
        <v/>
      </c>
      <c r="P2940" s="55" t="str">
        <f>IFERROR(IF(OR($B2940="",$B2940="(blank)"),"",VLOOKUP($B2940,'Email Marketing Raw Data'!$C:$O,8,0)),"")</f>
        <v/>
      </c>
      <c r="Q2940" s="62" t="str">
        <f>IFERROR(IF(OR($B2940="",$B2940="(blank)"),"",VLOOKUP($B2940,'Email Marketing Raw Data'!$C:$O,9,0)),"")</f>
        <v/>
      </c>
    </row>
    <row r="2941" spans="4:17" ht="12.75" customHeight="1" x14ac:dyDescent="0.2">
      <c r="D2941" s="58" t="str">
        <f>IFERROR(IF(F2941&lt;&gt;"pending","",IF(OR($B2941="",$B2941="(blank)"),"",VLOOKUP($B2941,'Email Marketing Raw Data'!$C:$O,10,0))),"")</f>
        <v/>
      </c>
      <c r="E2941" s="59" t="str">
        <f>IFERROR(IF(F2941&lt;&gt;"pending","",IF(OR($B2941="",$B2941="(blank)"),"",VLOOKUP($B2941,'Email Marketing Raw Data'!$C:$O,11,0))),"")</f>
        <v/>
      </c>
      <c r="F2941" s="54" t="str">
        <f>IFERROR(IF(OR($B2941="",$B2941="(blank)"),"",VLOOKUP($B2941,'Email Marketing Raw Data'!$C:$O,13,0)),"")</f>
        <v/>
      </c>
      <c r="G2941" s="55" t="str">
        <f>IFERROR(IF(OR($B2941="",$B2941="(blank)"),"",VLOOKUP($B2941,'Email Marketing Raw Data'!$C:$O,4,0)),"")</f>
        <v/>
      </c>
      <c r="H2941" s="55" t="str">
        <f>IFERROR(IF(OR($B2941="",$B2941="(blank)"),"",VLOOKUP($B2941,'Email Marketing Raw Data'!$C:$O,5,0)),"")</f>
        <v/>
      </c>
      <c r="I2941" s="55" t="str">
        <f>IFERROR(IF($G2941="","",VLOOKUP('Dashboard And Emails Automate'!$G2941,Database!$H:$N,3,0)),"")</f>
        <v/>
      </c>
      <c r="J2941" s="55" t="str">
        <f>IFERROR(IF($G2941="","",VLOOKUP('Dashboard And Emails Automate'!$G2941,Database!$H:$N,4,0)),"")</f>
        <v/>
      </c>
      <c r="K2941" s="55" t="str">
        <f>IFERROR(IF($G2941="","",VLOOKUP('Dashboard And Emails Automate'!$G2941,Database!$H:$N,5,0)),"")</f>
        <v/>
      </c>
      <c r="L2941" s="55" t="str">
        <f>IFERROR(IF($G2941="","",VLOOKUP('Dashboard And Emails Automate'!$G2941,Database!$H:$N,6,0)),"")</f>
        <v/>
      </c>
      <c r="M2941" s="55" t="str">
        <f>IFERROR(IF($G2941="","",VLOOKUP('Dashboard And Emails Automate'!$G2941,Database!$H:$N,7,0)),"")</f>
        <v/>
      </c>
      <c r="N2941" s="55" t="str">
        <f>IFERROR(IF(OR($B2941="",$B2941="(blank)"),"",VLOOKUP($B2941,'Email Marketing Raw Data'!$C:$O,6,0)),"")</f>
        <v/>
      </c>
      <c r="O2941" s="55" t="str">
        <f>IFERROR(IF(OR($B2941="",$B2941="(blank)"),"",VLOOKUP($B2941,'Email Marketing Raw Data'!$C:$O,7,0)),"")</f>
        <v/>
      </c>
      <c r="P2941" s="55" t="str">
        <f>IFERROR(IF(OR($B2941="",$B2941="(blank)"),"",VLOOKUP($B2941,'Email Marketing Raw Data'!$C:$O,8,0)),"")</f>
        <v/>
      </c>
      <c r="Q2941" s="62" t="str">
        <f>IFERROR(IF(OR($B2941="",$B2941="(blank)"),"",VLOOKUP($B2941,'Email Marketing Raw Data'!$C:$O,9,0)),"")</f>
        <v/>
      </c>
    </row>
    <row r="2942" spans="4:17" ht="12.75" customHeight="1" x14ac:dyDescent="0.2">
      <c r="D2942" s="58" t="str">
        <f>IFERROR(IF(F2942&lt;&gt;"pending","",IF(OR($B2942="",$B2942="(blank)"),"",VLOOKUP($B2942,'Email Marketing Raw Data'!$C:$O,10,0))),"")</f>
        <v/>
      </c>
      <c r="E2942" s="59" t="str">
        <f>IFERROR(IF(F2942&lt;&gt;"pending","",IF(OR($B2942="",$B2942="(blank)"),"",VLOOKUP($B2942,'Email Marketing Raw Data'!$C:$O,11,0))),"")</f>
        <v/>
      </c>
      <c r="F2942" s="54" t="str">
        <f>IFERROR(IF(OR($B2942="",$B2942="(blank)"),"",VLOOKUP($B2942,'Email Marketing Raw Data'!$C:$O,13,0)),"")</f>
        <v/>
      </c>
      <c r="G2942" s="55" t="str">
        <f>IFERROR(IF(OR($B2942="",$B2942="(blank)"),"",VLOOKUP($B2942,'Email Marketing Raw Data'!$C:$O,4,0)),"")</f>
        <v/>
      </c>
      <c r="H2942" s="55" t="str">
        <f>IFERROR(IF(OR($B2942="",$B2942="(blank)"),"",VLOOKUP($B2942,'Email Marketing Raw Data'!$C:$O,5,0)),"")</f>
        <v/>
      </c>
      <c r="I2942" s="55" t="str">
        <f>IFERROR(IF($G2942="","",VLOOKUP('Dashboard And Emails Automate'!$G2942,Database!$H:$N,3,0)),"")</f>
        <v/>
      </c>
      <c r="J2942" s="55" t="str">
        <f>IFERROR(IF($G2942="","",VLOOKUP('Dashboard And Emails Automate'!$G2942,Database!$H:$N,4,0)),"")</f>
        <v/>
      </c>
      <c r="K2942" s="55" t="str">
        <f>IFERROR(IF($G2942="","",VLOOKUP('Dashboard And Emails Automate'!$G2942,Database!$H:$N,5,0)),"")</f>
        <v/>
      </c>
      <c r="L2942" s="55" t="str">
        <f>IFERROR(IF($G2942="","",VLOOKUP('Dashboard And Emails Automate'!$G2942,Database!$H:$N,6,0)),"")</f>
        <v/>
      </c>
      <c r="M2942" s="55" t="str">
        <f>IFERROR(IF($G2942="","",VLOOKUP('Dashboard And Emails Automate'!$G2942,Database!$H:$N,7,0)),"")</f>
        <v/>
      </c>
      <c r="N2942" s="55" t="str">
        <f>IFERROR(IF(OR($B2942="",$B2942="(blank)"),"",VLOOKUP($B2942,'Email Marketing Raw Data'!$C:$O,6,0)),"")</f>
        <v/>
      </c>
      <c r="O2942" s="55" t="str">
        <f>IFERROR(IF(OR($B2942="",$B2942="(blank)"),"",VLOOKUP($B2942,'Email Marketing Raw Data'!$C:$O,7,0)),"")</f>
        <v/>
      </c>
      <c r="P2942" s="55" t="str">
        <f>IFERROR(IF(OR($B2942="",$B2942="(blank)"),"",VLOOKUP($B2942,'Email Marketing Raw Data'!$C:$O,8,0)),"")</f>
        <v/>
      </c>
      <c r="Q2942" s="62" t="str">
        <f>IFERROR(IF(OR($B2942="",$B2942="(blank)"),"",VLOOKUP($B2942,'Email Marketing Raw Data'!$C:$O,9,0)),"")</f>
        <v/>
      </c>
    </row>
    <row r="2943" spans="4:17" ht="12.75" customHeight="1" x14ac:dyDescent="0.2">
      <c r="D2943" s="58" t="str">
        <f>IFERROR(IF(F2943&lt;&gt;"pending","",IF(OR($B2943="",$B2943="(blank)"),"",VLOOKUP($B2943,'Email Marketing Raw Data'!$C:$O,10,0))),"")</f>
        <v/>
      </c>
      <c r="E2943" s="59" t="str">
        <f>IFERROR(IF(F2943&lt;&gt;"pending","",IF(OR($B2943="",$B2943="(blank)"),"",VLOOKUP($B2943,'Email Marketing Raw Data'!$C:$O,11,0))),"")</f>
        <v/>
      </c>
      <c r="F2943" s="54" t="str">
        <f>IFERROR(IF(OR($B2943="",$B2943="(blank)"),"",VLOOKUP($B2943,'Email Marketing Raw Data'!$C:$O,13,0)),"")</f>
        <v/>
      </c>
      <c r="G2943" s="55" t="str">
        <f>IFERROR(IF(OR($B2943="",$B2943="(blank)"),"",VLOOKUP($B2943,'Email Marketing Raw Data'!$C:$O,4,0)),"")</f>
        <v/>
      </c>
      <c r="H2943" s="55" t="str">
        <f>IFERROR(IF(OR($B2943="",$B2943="(blank)"),"",VLOOKUP($B2943,'Email Marketing Raw Data'!$C:$O,5,0)),"")</f>
        <v/>
      </c>
      <c r="I2943" s="55" t="str">
        <f>IFERROR(IF($G2943="","",VLOOKUP('Dashboard And Emails Automate'!$G2943,Database!$H:$N,3,0)),"")</f>
        <v/>
      </c>
      <c r="J2943" s="55" t="str">
        <f>IFERROR(IF($G2943="","",VLOOKUP('Dashboard And Emails Automate'!$G2943,Database!$H:$N,4,0)),"")</f>
        <v/>
      </c>
      <c r="K2943" s="55" t="str">
        <f>IFERROR(IF($G2943="","",VLOOKUP('Dashboard And Emails Automate'!$G2943,Database!$H:$N,5,0)),"")</f>
        <v/>
      </c>
      <c r="L2943" s="55" t="str">
        <f>IFERROR(IF($G2943="","",VLOOKUP('Dashboard And Emails Automate'!$G2943,Database!$H:$N,6,0)),"")</f>
        <v/>
      </c>
      <c r="M2943" s="55" t="str">
        <f>IFERROR(IF($G2943="","",VLOOKUP('Dashboard And Emails Automate'!$G2943,Database!$H:$N,7,0)),"")</f>
        <v/>
      </c>
      <c r="N2943" s="55" t="str">
        <f>IFERROR(IF(OR($B2943="",$B2943="(blank)"),"",VLOOKUP($B2943,'Email Marketing Raw Data'!$C:$O,6,0)),"")</f>
        <v/>
      </c>
      <c r="O2943" s="55" t="str">
        <f>IFERROR(IF(OR($B2943="",$B2943="(blank)"),"",VLOOKUP($B2943,'Email Marketing Raw Data'!$C:$O,7,0)),"")</f>
        <v/>
      </c>
      <c r="P2943" s="55" t="str">
        <f>IFERROR(IF(OR($B2943="",$B2943="(blank)"),"",VLOOKUP($B2943,'Email Marketing Raw Data'!$C:$O,8,0)),"")</f>
        <v/>
      </c>
      <c r="Q2943" s="62" t="str">
        <f>IFERROR(IF(OR($B2943="",$B2943="(blank)"),"",VLOOKUP($B2943,'Email Marketing Raw Data'!$C:$O,9,0)),"")</f>
        <v/>
      </c>
    </row>
    <row r="2944" spans="4:17" ht="12.75" customHeight="1" x14ac:dyDescent="0.2">
      <c r="D2944" s="58" t="str">
        <f>IFERROR(IF(F2944&lt;&gt;"pending","",IF(OR($B2944="",$B2944="(blank)"),"",VLOOKUP($B2944,'Email Marketing Raw Data'!$C:$O,10,0))),"")</f>
        <v/>
      </c>
      <c r="E2944" s="59" t="str">
        <f>IFERROR(IF(F2944&lt;&gt;"pending","",IF(OR($B2944="",$B2944="(blank)"),"",VLOOKUP($B2944,'Email Marketing Raw Data'!$C:$O,11,0))),"")</f>
        <v/>
      </c>
      <c r="F2944" s="54" t="str">
        <f>IFERROR(IF(OR($B2944="",$B2944="(blank)"),"",VLOOKUP($B2944,'Email Marketing Raw Data'!$C:$O,13,0)),"")</f>
        <v/>
      </c>
      <c r="G2944" s="55" t="str">
        <f>IFERROR(IF(OR($B2944="",$B2944="(blank)"),"",VLOOKUP($B2944,'Email Marketing Raw Data'!$C:$O,4,0)),"")</f>
        <v/>
      </c>
      <c r="H2944" s="55" t="str">
        <f>IFERROR(IF(OR($B2944="",$B2944="(blank)"),"",VLOOKUP($B2944,'Email Marketing Raw Data'!$C:$O,5,0)),"")</f>
        <v/>
      </c>
      <c r="I2944" s="55" t="str">
        <f>IFERROR(IF($G2944="","",VLOOKUP('Dashboard And Emails Automate'!$G2944,Database!$H:$N,3,0)),"")</f>
        <v/>
      </c>
      <c r="J2944" s="55" t="str">
        <f>IFERROR(IF($G2944="","",VLOOKUP('Dashboard And Emails Automate'!$G2944,Database!$H:$N,4,0)),"")</f>
        <v/>
      </c>
      <c r="K2944" s="55" t="str">
        <f>IFERROR(IF($G2944="","",VLOOKUP('Dashboard And Emails Automate'!$G2944,Database!$H:$N,5,0)),"")</f>
        <v/>
      </c>
      <c r="L2944" s="55" t="str">
        <f>IFERROR(IF($G2944="","",VLOOKUP('Dashboard And Emails Automate'!$G2944,Database!$H:$N,6,0)),"")</f>
        <v/>
      </c>
      <c r="M2944" s="55" t="str">
        <f>IFERROR(IF($G2944="","",VLOOKUP('Dashboard And Emails Automate'!$G2944,Database!$H:$N,7,0)),"")</f>
        <v/>
      </c>
      <c r="N2944" s="55" t="str">
        <f>IFERROR(IF(OR($B2944="",$B2944="(blank)"),"",VLOOKUP($B2944,'Email Marketing Raw Data'!$C:$O,6,0)),"")</f>
        <v/>
      </c>
      <c r="O2944" s="55" t="str">
        <f>IFERROR(IF(OR($B2944="",$B2944="(blank)"),"",VLOOKUP($B2944,'Email Marketing Raw Data'!$C:$O,7,0)),"")</f>
        <v/>
      </c>
      <c r="P2944" s="55" t="str">
        <f>IFERROR(IF(OR($B2944="",$B2944="(blank)"),"",VLOOKUP($B2944,'Email Marketing Raw Data'!$C:$O,8,0)),"")</f>
        <v/>
      </c>
      <c r="Q2944" s="62" t="str">
        <f>IFERROR(IF(OR($B2944="",$B2944="(blank)"),"",VLOOKUP($B2944,'Email Marketing Raw Data'!$C:$O,9,0)),"")</f>
        <v/>
      </c>
    </row>
    <row r="2945" spans="4:17" ht="12.75" customHeight="1" x14ac:dyDescent="0.2">
      <c r="D2945" s="58" t="str">
        <f>IFERROR(IF(F2945&lt;&gt;"pending","",IF(OR($B2945="",$B2945="(blank)"),"",VLOOKUP($B2945,'Email Marketing Raw Data'!$C:$O,10,0))),"")</f>
        <v/>
      </c>
      <c r="E2945" s="59" t="str">
        <f>IFERROR(IF(F2945&lt;&gt;"pending","",IF(OR($B2945="",$B2945="(blank)"),"",VLOOKUP($B2945,'Email Marketing Raw Data'!$C:$O,11,0))),"")</f>
        <v/>
      </c>
      <c r="F2945" s="54" t="str">
        <f>IFERROR(IF(OR($B2945="",$B2945="(blank)"),"",VLOOKUP($B2945,'Email Marketing Raw Data'!$C:$O,13,0)),"")</f>
        <v/>
      </c>
      <c r="G2945" s="55" t="str">
        <f>IFERROR(IF(OR($B2945="",$B2945="(blank)"),"",VLOOKUP($B2945,'Email Marketing Raw Data'!$C:$O,4,0)),"")</f>
        <v/>
      </c>
      <c r="H2945" s="55" t="str">
        <f>IFERROR(IF(OR($B2945="",$B2945="(blank)"),"",VLOOKUP($B2945,'Email Marketing Raw Data'!$C:$O,5,0)),"")</f>
        <v/>
      </c>
      <c r="I2945" s="55" t="str">
        <f>IFERROR(IF($G2945="","",VLOOKUP('Dashboard And Emails Automate'!$G2945,Database!$H:$N,3,0)),"")</f>
        <v/>
      </c>
      <c r="J2945" s="55" t="str">
        <f>IFERROR(IF($G2945="","",VLOOKUP('Dashboard And Emails Automate'!$G2945,Database!$H:$N,4,0)),"")</f>
        <v/>
      </c>
      <c r="K2945" s="55" t="str">
        <f>IFERROR(IF($G2945="","",VLOOKUP('Dashboard And Emails Automate'!$G2945,Database!$H:$N,5,0)),"")</f>
        <v/>
      </c>
      <c r="L2945" s="55" t="str">
        <f>IFERROR(IF($G2945="","",VLOOKUP('Dashboard And Emails Automate'!$G2945,Database!$H:$N,6,0)),"")</f>
        <v/>
      </c>
      <c r="M2945" s="55" t="str">
        <f>IFERROR(IF($G2945="","",VLOOKUP('Dashboard And Emails Automate'!$G2945,Database!$H:$N,7,0)),"")</f>
        <v/>
      </c>
      <c r="N2945" s="55" t="str">
        <f>IFERROR(IF(OR($B2945="",$B2945="(blank)"),"",VLOOKUP($B2945,'Email Marketing Raw Data'!$C:$O,6,0)),"")</f>
        <v/>
      </c>
      <c r="O2945" s="55" t="str">
        <f>IFERROR(IF(OR($B2945="",$B2945="(blank)"),"",VLOOKUP($B2945,'Email Marketing Raw Data'!$C:$O,7,0)),"")</f>
        <v/>
      </c>
      <c r="P2945" s="55" t="str">
        <f>IFERROR(IF(OR($B2945="",$B2945="(blank)"),"",VLOOKUP($B2945,'Email Marketing Raw Data'!$C:$O,8,0)),"")</f>
        <v/>
      </c>
      <c r="Q2945" s="62" t="str">
        <f>IFERROR(IF(OR($B2945="",$B2945="(blank)"),"",VLOOKUP($B2945,'Email Marketing Raw Data'!$C:$O,9,0)),"")</f>
        <v/>
      </c>
    </row>
    <row r="2946" spans="4:17" ht="12.75" customHeight="1" x14ac:dyDescent="0.2">
      <c r="D2946" s="58" t="str">
        <f>IFERROR(IF(F2946&lt;&gt;"pending","",IF(OR($B2946="",$B2946="(blank)"),"",VLOOKUP($B2946,'Email Marketing Raw Data'!$C:$O,10,0))),"")</f>
        <v/>
      </c>
      <c r="E2946" s="59" t="str">
        <f>IFERROR(IF(F2946&lt;&gt;"pending","",IF(OR($B2946="",$B2946="(blank)"),"",VLOOKUP($B2946,'Email Marketing Raw Data'!$C:$O,11,0))),"")</f>
        <v/>
      </c>
      <c r="F2946" s="54" t="str">
        <f>IFERROR(IF(OR($B2946="",$B2946="(blank)"),"",VLOOKUP($B2946,'Email Marketing Raw Data'!$C:$O,13,0)),"")</f>
        <v/>
      </c>
      <c r="G2946" s="55" t="str">
        <f>IFERROR(IF(OR($B2946="",$B2946="(blank)"),"",VLOOKUP($B2946,'Email Marketing Raw Data'!$C:$O,4,0)),"")</f>
        <v/>
      </c>
      <c r="H2946" s="55" t="str">
        <f>IFERROR(IF(OR($B2946="",$B2946="(blank)"),"",VLOOKUP($B2946,'Email Marketing Raw Data'!$C:$O,5,0)),"")</f>
        <v/>
      </c>
      <c r="I2946" s="55" t="str">
        <f>IFERROR(IF($G2946="","",VLOOKUP('Dashboard And Emails Automate'!$G2946,Database!$H:$N,3,0)),"")</f>
        <v/>
      </c>
      <c r="J2946" s="55" t="str">
        <f>IFERROR(IF($G2946="","",VLOOKUP('Dashboard And Emails Automate'!$G2946,Database!$H:$N,4,0)),"")</f>
        <v/>
      </c>
      <c r="K2946" s="55" t="str">
        <f>IFERROR(IF($G2946="","",VLOOKUP('Dashboard And Emails Automate'!$G2946,Database!$H:$N,5,0)),"")</f>
        <v/>
      </c>
      <c r="L2946" s="55" t="str">
        <f>IFERROR(IF($G2946="","",VLOOKUP('Dashboard And Emails Automate'!$G2946,Database!$H:$N,6,0)),"")</f>
        <v/>
      </c>
      <c r="M2946" s="55" t="str">
        <f>IFERROR(IF($G2946="","",VLOOKUP('Dashboard And Emails Automate'!$G2946,Database!$H:$N,7,0)),"")</f>
        <v/>
      </c>
      <c r="N2946" s="55" t="str">
        <f>IFERROR(IF(OR($B2946="",$B2946="(blank)"),"",VLOOKUP($B2946,'Email Marketing Raw Data'!$C:$O,6,0)),"")</f>
        <v/>
      </c>
      <c r="O2946" s="55" t="str">
        <f>IFERROR(IF(OR($B2946="",$B2946="(blank)"),"",VLOOKUP($B2946,'Email Marketing Raw Data'!$C:$O,7,0)),"")</f>
        <v/>
      </c>
      <c r="P2946" s="55" t="str">
        <f>IFERROR(IF(OR($B2946="",$B2946="(blank)"),"",VLOOKUP($B2946,'Email Marketing Raw Data'!$C:$O,8,0)),"")</f>
        <v/>
      </c>
      <c r="Q2946" s="62" t="str">
        <f>IFERROR(IF(OR($B2946="",$B2946="(blank)"),"",VLOOKUP($B2946,'Email Marketing Raw Data'!$C:$O,9,0)),"")</f>
        <v/>
      </c>
    </row>
    <row r="2947" spans="4:17" ht="12.75" customHeight="1" x14ac:dyDescent="0.2">
      <c r="D2947" s="58" t="str">
        <f>IFERROR(IF(F2947&lt;&gt;"pending","",IF(OR($B2947="",$B2947="(blank)"),"",VLOOKUP($B2947,'Email Marketing Raw Data'!$C:$O,10,0))),"")</f>
        <v/>
      </c>
      <c r="E2947" s="59" t="str">
        <f>IFERROR(IF(F2947&lt;&gt;"pending","",IF(OR($B2947="",$B2947="(blank)"),"",VLOOKUP($B2947,'Email Marketing Raw Data'!$C:$O,11,0))),"")</f>
        <v/>
      </c>
      <c r="F2947" s="54" t="str">
        <f>IFERROR(IF(OR($B2947="",$B2947="(blank)"),"",VLOOKUP($B2947,'Email Marketing Raw Data'!$C:$O,13,0)),"")</f>
        <v/>
      </c>
      <c r="G2947" s="55" t="str">
        <f>IFERROR(IF(OR($B2947="",$B2947="(blank)"),"",VLOOKUP($B2947,'Email Marketing Raw Data'!$C:$O,4,0)),"")</f>
        <v/>
      </c>
      <c r="H2947" s="55" t="str">
        <f>IFERROR(IF(OR($B2947="",$B2947="(blank)"),"",VLOOKUP($B2947,'Email Marketing Raw Data'!$C:$O,5,0)),"")</f>
        <v/>
      </c>
      <c r="I2947" s="55" t="str">
        <f>IFERROR(IF($G2947="","",VLOOKUP('Dashboard And Emails Automate'!$G2947,Database!$H:$N,3,0)),"")</f>
        <v/>
      </c>
      <c r="J2947" s="55" t="str">
        <f>IFERROR(IF($G2947="","",VLOOKUP('Dashboard And Emails Automate'!$G2947,Database!$H:$N,4,0)),"")</f>
        <v/>
      </c>
      <c r="K2947" s="55" t="str">
        <f>IFERROR(IF($G2947="","",VLOOKUP('Dashboard And Emails Automate'!$G2947,Database!$H:$N,5,0)),"")</f>
        <v/>
      </c>
      <c r="L2947" s="55" t="str">
        <f>IFERROR(IF($G2947="","",VLOOKUP('Dashboard And Emails Automate'!$G2947,Database!$H:$N,6,0)),"")</f>
        <v/>
      </c>
      <c r="M2947" s="55" t="str">
        <f>IFERROR(IF($G2947="","",VLOOKUP('Dashboard And Emails Automate'!$G2947,Database!$H:$N,7,0)),"")</f>
        <v/>
      </c>
      <c r="N2947" s="55" t="str">
        <f>IFERROR(IF(OR($B2947="",$B2947="(blank)"),"",VLOOKUP($B2947,'Email Marketing Raw Data'!$C:$O,6,0)),"")</f>
        <v/>
      </c>
      <c r="O2947" s="55" t="str">
        <f>IFERROR(IF(OR($B2947="",$B2947="(blank)"),"",VLOOKUP($B2947,'Email Marketing Raw Data'!$C:$O,7,0)),"")</f>
        <v/>
      </c>
      <c r="P2947" s="55" t="str">
        <f>IFERROR(IF(OR($B2947="",$B2947="(blank)"),"",VLOOKUP($B2947,'Email Marketing Raw Data'!$C:$O,8,0)),"")</f>
        <v/>
      </c>
      <c r="Q2947" s="62" t="str">
        <f>IFERROR(IF(OR($B2947="",$B2947="(blank)"),"",VLOOKUP($B2947,'Email Marketing Raw Data'!$C:$O,9,0)),"")</f>
        <v/>
      </c>
    </row>
    <row r="2948" spans="4:17" ht="12.75" customHeight="1" x14ac:dyDescent="0.2">
      <c r="D2948" s="58" t="str">
        <f>IFERROR(IF(F2948&lt;&gt;"pending","",IF(OR($B2948="",$B2948="(blank)"),"",VLOOKUP($B2948,'Email Marketing Raw Data'!$C:$O,10,0))),"")</f>
        <v/>
      </c>
      <c r="E2948" s="59" t="str">
        <f>IFERROR(IF(F2948&lt;&gt;"pending","",IF(OR($B2948="",$B2948="(blank)"),"",VLOOKUP($B2948,'Email Marketing Raw Data'!$C:$O,11,0))),"")</f>
        <v/>
      </c>
      <c r="F2948" s="54" t="str">
        <f>IFERROR(IF(OR($B2948="",$B2948="(blank)"),"",VLOOKUP($B2948,'Email Marketing Raw Data'!$C:$O,13,0)),"")</f>
        <v/>
      </c>
      <c r="G2948" s="55" t="str">
        <f>IFERROR(IF(OR($B2948="",$B2948="(blank)"),"",VLOOKUP($B2948,'Email Marketing Raw Data'!$C:$O,4,0)),"")</f>
        <v/>
      </c>
      <c r="H2948" s="55" t="str">
        <f>IFERROR(IF(OR($B2948="",$B2948="(blank)"),"",VLOOKUP($B2948,'Email Marketing Raw Data'!$C:$O,5,0)),"")</f>
        <v/>
      </c>
      <c r="I2948" s="55" t="str">
        <f>IFERROR(IF($G2948="","",VLOOKUP('Dashboard And Emails Automate'!$G2948,Database!$H:$N,3,0)),"")</f>
        <v/>
      </c>
      <c r="J2948" s="55" t="str">
        <f>IFERROR(IF($G2948="","",VLOOKUP('Dashboard And Emails Automate'!$G2948,Database!$H:$N,4,0)),"")</f>
        <v/>
      </c>
      <c r="K2948" s="55" t="str">
        <f>IFERROR(IF($G2948="","",VLOOKUP('Dashboard And Emails Automate'!$G2948,Database!$H:$N,5,0)),"")</f>
        <v/>
      </c>
      <c r="L2948" s="55" t="str">
        <f>IFERROR(IF($G2948="","",VLOOKUP('Dashboard And Emails Automate'!$G2948,Database!$H:$N,6,0)),"")</f>
        <v/>
      </c>
      <c r="M2948" s="55" t="str">
        <f>IFERROR(IF($G2948="","",VLOOKUP('Dashboard And Emails Automate'!$G2948,Database!$H:$N,7,0)),"")</f>
        <v/>
      </c>
      <c r="N2948" s="55" t="str">
        <f>IFERROR(IF(OR($B2948="",$B2948="(blank)"),"",VLOOKUP($B2948,'Email Marketing Raw Data'!$C:$O,6,0)),"")</f>
        <v/>
      </c>
      <c r="O2948" s="55" t="str">
        <f>IFERROR(IF(OR($B2948="",$B2948="(blank)"),"",VLOOKUP($B2948,'Email Marketing Raw Data'!$C:$O,7,0)),"")</f>
        <v/>
      </c>
      <c r="P2948" s="55" t="str">
        <f>IFERROR(IF(OR($B2948="",$B2948="(blank)"),"",VLOOKUP($B2948,'Email Marketing Raw Data'!$C:$O,8,0)),"")</f>
        <v/>
      </c>
      <c r="Q2948" s="62" t="str">
        <f>IFERROR(IF(OR($B2948="",$B2948="(blank)"),"",VLOOKUP($B2948,'Email Marketing Raw Data'!$C:$O,9,0)),"")</f>
        <v/>
      </c>
    </row>
    <row r="2949" spans="4:17" ht="12.75" customHeight="1" x14ac:dyDescent="0.2">
      <c r="D2949" s="58" t="str">
        <f>IFERROR(IF(F2949&lt;&gt;"pending","",IF(OR($B2949="",$B2949="(blank)"),"",VLOOKUP($B2949,'Email Marketing Raw Data'!$C:$O,10,0))),"")</f>
        <v/>
      </c>
      <c r="E2949" s="59" t="str">
        <f>IFERROR(IF(F2949&lt;&gt;"pending","",IF(OR($B2949="",$B2949="(blank)"),"",VLOOKUP($B2949,'Email Marketing Raw Data'!$C:$O,11,0))),"")</f>
        <v/>
      </c>
      <c r="F2949" s="54" t="str">
        <f>IFERROR(IF(OR($B2949="",$B2949="(blank)"),"",VLOOKUP($B2949,'Email Marketing Raw Data'!$C:$O,13,0)),"")</f>
        <v/>
      </c>
      <c r="G2949" s="55" t="str">
        <f>IFERROR(IF(OR($B2949="",$B2949="(blank)"),"",VLOOKUP($B2949,'Email Marketing Raw Data'!$C:$O,4,0)),"")</f>
        <v/>
      </c>
      <c r="H2949" s="55" t="str">
        <f>IFERROR(IF(OR($B2949="",$B2949="(blank)"),"",VLOOKUP($B2949,'Email Marketing Raw Data'!$C:$O,5,0)),"")</f>
        <v/>
      </c>
      <c r="I2949" s="55" t="str">
        <f>IFERROR(IF($G2949="","",VLOOKUP('Dashboard And Emails Automate'!$G2949,Database!$H:$N,3,0)),"")</f>
        <v/>
      </c>
      <c r="J2949" s="55" t="str">
        <f>IFERROR(IF($G2949="","",VLOOKUP('Dashboard And Emails Automate'!$G2949,Database!$H:$N,4,0)),"")</f>
        <v/>
      </c>
      <c r="K2949" s="55" t="str">
        <f>IFERROR(IF($G2949="","",VLOOKUP('Dashboard And Emails Automate'!$G2949,Database!$H:$N,5,0)),"")</f>
        <v/>
      </c>
      <c r="L2949" s="55" t="str">
        <f>IFERROR(IF($G2949="","",VLOOKUP('Dashboard And Emails Automate'!$G2949,Database!$H:$N,6,0)),"")</f>
        <v/>
      </c>
      <c r="M2949" s="55" t="str">
        <f>IFERROR(IF($G2949="","",VLOOKUP('Dashboard And Emails Automate'!$G2949,Database!$H:$N,7,0)),"")</f>
        <v/>
      </c>
      <c r="N2949" s="55" t="str">
        <f>IFERROR(IF(OR($B2949="",$B2949="(blank)"),"",VLOOKUP($B2949,'Email Marketing Raw Data'!$C:$O,6,0)),"")</f>
        <v/>
      </c>
      <c r="O2949" s="55" t="str">
        <f>IFERROR(IF(OR($B2949="",$B2949="(blank)"),"",VLOOKUP($B2949,'Email Marketing Raw Data'!$C:$O,7,0)),"")</f>
        <v/>
      </c>
      <c r="P2949" s="55" t="str">
        <f>IFERROR(IF(OR($B2949="",$B2949="(blank)"),"",VLOOKUP($B2949,'Email Marketing Raw Data'!$C:$O,8,0)),"")</f>
        <v/>
      </c>
      <c r="Q2949" s="62" t="str">
        <f>IFERROR(IF(OR($B2949="",$B2949="(blank)"),"",VLOOKUP($B2949,'Email Marketing Raw Data'!$C:$O,9,0)),"")</f>
        <v/>
      </c>
    </row>
    <row r="2950" spans="4:17" ht="12.75" customHeight="1" x14ac:dyDescent="0.2">
      <c r="D2950" s="58" t="str">
        <f>IFERROR(IF(F2950&lt;&gt;"pending","",IF(OR($B2950="",$B2950="(blank)"),"",VLOOKUP($B2950,'Email Marketing Raw Data'!$C:$O,10,0))),"")</f>
        <v/>
      </c>
      <c r="E2950" s="59" t="str">
        <f>IFERROR(IF(F2950&lt;&gt;"pending","",IF(OR($B2950="",$B2950="(blank)"),"",VLOOKUP($B2950,'Email Marketing Raw Data'!$C:$O,11,0))),"")</f>
        <v/>
      </c>
      <c r="F2950" s="54" t="str">
        <f>IFERROR(IF(OR($B2950="",$B2950="(blank)"),"",VLOOKUP($B2950,'Email Marketing Raw Data'!$C:$O,13,0)),"")</f>
        <v/>
      </c>
      <c r="G2950" s="55" t="str">
        <f>IFERROR(IF(OR($B2950="",$B2950="(blank)"),"",VLOOKUP($B2950,'Email Marketing Raw Data'!$C:$O,4,0)),"")</f>
        <v/>
      </c>
      <c r="H2950" s="55" t="str">
        <f>IFERROR(IF(OR($B2950="",$B2950="(blank)"),"",VLOOKUP($B2950,'Email Marketing Raw Data'!$C:$O,5,0)),"")</f>
        <v/>
      </c>
      <c r="I2950" s="55" t="str">
        <f>IFERROR(IF($G2950="","",VLOOKUP('Dashboard And Emails Automate'!$G2950,Database!$H:$N,3,0)),"")</f>
        <v/>
      </c>
      <c r="J2950" s="55" t="str">
        <f>IFERROR(IF($G2950="","",VLOOKUP('Dashboard And Emails Automate'!$G2950,Database!$H:$N,4,0)),"")</f>
        <v/>
      </c>
      <c r="K2950" s="55" t="str">
        <f>IFERROR(IF($G2950="","",VLOOKUP('Dashboard And Emails Automate'!$G2950,Database!$H:$N,5,0)),"")</f>
        <v/>
      </c>
      <c r="L2950" s="55" t="str">
        <f>IFERROR(IF($G2950="","",VLOOKUP('Dashboard And Emails Automate'!$G2950,Database!$H:$N,6,0)),"")</f>
        <v/>
      </c>
      <c r="M2950" s="55" t="str">
        <f>IFERROR(IF($G2950="","",VLOOKUP('Dashboard And Emails Automate'!$G2950,Database!$H:$N,7,0)),"")</f>
        <v/>
      </c>
      <c r="N2950" s="55" t="str">
        <f>IFERROR(IF(OR($B2950="",$B2950="(blank)"),"",VLOOKUP($B2950,'Email Marketing Raw Data'!$C:$O,6,0)),"")</f>
        <v/>
      </c>
      <c r="O2950" s="55" t="str">
        <f>IFERROR(IF(OR($B2950="",$B2950="(blank)"),"",VLOOKUP($B2950,'Email Marketing Raw Data'!$C:$O,7,0)),"")</f>
        <v/>
      </c>
      <c r="P2950" s="55" t="str">
        <f>IFERROR(IF(OR($B2950="",$B2950="(blank)"),"",VLOOKUP($B2950,'Email Marketing Raw Data'!$C:$O,8,0)),"")</f>
        <v/>
      </c>
      <c r="Q2950" s="62" t="str">
        <f>IFERROR(IF(OR($B2950="",$B2950="(blank)"),"",VLOOKUP($B2950,'Email Marketing Raw Data'!$C:$O,9,0)),"")</f>
        <v/>
      </c>
    </row>
    <row r="2951" spans="4:17" ht="12.75" customHeight="1" x14ac:dyDescent="0.2">
      <c r="D2951" s="58" t="str">
        <f>IFERROR(IF(F2951&lt;&gt;"pending","",IF(OR($B2951="",$B2951="(blank)"),"",VLOOKUP($B2951,'Email Marketing Raw Data'!$C:$O,10,0))),"")</f>
        <v/>
      </c>
      <c r="E2951" s="59" t="str">
        <f>IFERROR(IF(F2951&lt;&gt;"pending","",IF(OR($B2951="",$B2951="(blank)"),"",VLOOKUP($B2951,'Email Marketing Raw Data'!$C:$O,11,0))),"")</f>
        <v/>
      </c>
      <c r="F2951" s="54" t="str">
        <f>IFERROR(IF(OR($B2951="",$B2951="(blank)"),"",VLOOKUP($B2951,'Email Marketing Raw Data'!$C:$O,13,0)),"")</f>
        <v/>
      </c>
      <c r="G2951" s="55" t="str">
        <f>IFERROR(IF(OR($B2951="",$B2951="(blank)"),"",VLOOKUP($B2951,'Email Marketing Raw Data'!$C:$O,4,0)),"")</f>
        <v/>
      </c>
      <c r="H2951" s="55" t="str">
        <f>IFERROR(IF(OR($B2951="",$B2951="(blank)"),"",VLOOKUP($B2951,'Email Marketing Raw Data'!$C:$O,5,0)),"")</f>
        <v/>
      </c>
      <c r="I2951" s="55" t="str">
        <f>IFERROR(IF($G2951="","",VLOOKUP('Dashboard And Emails Automate'!$G2951,Database!$H:$N,3,0)),"")</f>
        <v/>
      </c>
      <c r="J2951" s="55" t="str">
        <f>IFERROR(IF($G2951="","",VLOOKUP('Dashboard And Emails Automate'!$G2951,Database!$H:$N,4,0)),"")</f>
        <v/>
      </c>
      <c r="K2951" s="55" t="str">
        <f>IFERROR(IF($G2951="","",VLOOKUP('Dashboard And Emails Automate'!$G2951,Database!$H:$N,5,0)),"")</f>
        <v/>
      </c>
      <c r="L2951" s="55" t="str">
        <f>IFERROR(IF($G2951="","",VLOOKUP('Dashboard And Emails Automate'!$G2951,Database!$H:$N,6,0)),"")</f>
        <v/>
      </c>
      <c r="M2951" s="55" t="str">
        <f>IFERROR(IF($G2951="","",VLOOKUP('Dashboard And Emails Automate'!$G2951,Database!$H:$N,7,0)),"")</f>
        <v/>
      </c>
      <c r="N2951" s="55" t="str">
        <f>IFERROR(IF(OR($B2951="",$B2951="(blank)"),"",VLOOKUP($B2951,'Email Marketing Raw Data'!$C:$O,6,0)),"")</f>
        <v/>
      </c>
      <c r="O2951" s="55" t="str">
        <f>IFERROR(IF(OR($B2951="",$B2951="(blank)"),"",VLOOKUP($B2951,'Email Marketing Raw Data'!$C:$O,7,0)),"")</f>
        <v/>
      </c>
      <c r="P2951" s="55" t="str">
        <f>IFERROR(IF(OR($B2951="",$B2951="(blank)"),"",VLOOKUP($B2951,'Email Marketing Raw Data'!$C:$O,8,0)),"")</f>
        <v/>
      </c>
      <c r="Q2951" s="62" t="str">
        <f>IFERROR(IF(OR($B2951="",$B2951="(blank)"),"",VLOOKUP($B2951,'Email Marketing Raw Data'!$C:$O,9,0)),"")</f>
        <v/>
      </c>
    </row>
    <row r="2952" spans="4:17" ht="12.75" customHeight="1" x14ac:dyDescent="0.2">
      <c r="D2952" s="58" t="str">
        <f>IFERROR(IF(F2952&lt;&gt;"pending","",IF(OR($B2952="",$B2952="(blank)"),"",VLOOKUP($B2952,'Email Marketing Raw Data'!$C:$O,10,0))),"")</f>
        <v/>
      </c>
      <c r="E2952" s="59" t="str">
        <f>IFERROR(IF(F2952&lt;&gt;"pending","",IF(OR($B2952="",$B2952="(blank)"),"",VLOOKUP($B2952,'Email Marketing Raw Data'!$C:$O,11,0))),"")</f>
        <v/>
      </c>
      <c r="F2952" s="54" t="str">
        <f>IFERROR(IF(OR($B2952="",$B2952="(blank)"),"",VLOOKUP($B2952,'Email Marketing Raw Data'!$C:$O,13,0)),"")</f>
        <v/>
      </c>
      <c r="G2952" s="55" t="str">
        <f>IFERROR(IF(OR($B2952="",$B2952="(blank)"),"",VLOOKUP($B2952,'Email Marketing Raw Data'!$C:$O,4,0)),"")</f>
        <v/>
      </c>
      <c r="H2952" s="55" t="str">
        <f>IFERROR(IF(OR($B2952="",$B2952="(blank)"),"",VLOOKUP($B2952,'Email Marketing Raw Data'!$C:$O,5,0)),"")</f>
        <v/>
      </c>
      <c r="I2952" s="55" t="str">
        <f>IFERROR(IF($G2952="","",VLOOKUP('Dashboard And Emails Automate'!$G2952,Database!$H:$N,3,0)),"")</f>
        <v/>
      </c>
      <c r="J2952" s="55" t="str">
        <f>IFERROR(IF($G2952="","",VLOOKUP('Dashboard And Emails Automate'!$G2952,Database!$H:$N,4,0)),"")</f>
        <v/>
      </c>
      <c r="K2952" s="55" t="str">
        <f>IFERROR(IF($G2952="","",VLOOKUP('Dashboard And Emails Automate'!$G2952,Database!$H:$N,5,0)),"")</f>
        <v/>
      </c>
      <c r="L2952" s="55" t="str">
        <f>IFERROR(IF($G2952="","",VLOOKUP('Dashboard And Emails Automate'!$G2952,Database!$H:$N,6,0)),"")</f>
        <v/>
      </c>
      <c r="M2952" s="55" t="str">
        <f>IFERROR(IF($G2952="","",VLOOKUP('Dashboard And Emails Automate'!$G2952,Database!$H:$N,7,0)),"")</f>
        <v/>
      </c>
      <c r="N2952" s="55" t="str">
        <f>IFERROR(IF(OR($B2952="",$B2952="(blank)"),"",VLOOKUP($B2952,'Email Marketing Raw Data'!$C:$O,6,0)),"")</f>
        <v/>
      </c>
      <c r="O2952" s="55" t="str">
        <f>IFERROR(IF(OR($B2952="",$B2952="(blank)"),"",VLOOKUP($B2952,'Email Marketing Raw Data'!$C:$O,7,0)),"")</f>
        <v/>
      </c>
      <c r="P2952" s="55" t="str">
        <f>IFERROR(IF(OR($B2952="",$B2952="(blank)"),"",VLOOKUP($B2952,'Email Marketing Raw Data'!$C:$O,8,0)),"")</f>
        <v/>
      </c>
      <c r="Q2952" s="62" t="str">
        <f>IFERROR(IF(OR($B2952="",$B2952="(blank)"),"",VLOOKUP($B2952,'Email Marketing Raw Data'!$C:$O,9,0)),"")</f>
        <v/>
      </c>
    </row>
    <row r="2953" spans="4:17" ht="12.75" customHeight="1" x14ac:dyDescent="0.2">
      <c r="D2953" s="58" t="str">
        <f>IFERROR(IF(F2953&lt;&gt;"pending","",IF(OR($B2953="",$B2953="(blank)"),"",VLOOKUP($B2953,'Email Marketing Raw Data'!$C:$O,10,0))),"")</f>
        <v/>
      </c>
      <c r="E2953" s="59" t="str">
        <f>IFERROR(IF(F2953&lt;&gt;"pending","",IF(OR($B2953="",$B2953="(blank)"),"",VLOOKUP($B2953,'Email Marketing Raw Data'!$C:$O,11,0))),"")</f>
        <v/>
      </c>
      <c r="F2953" s="54" t="str">
        <f>IFERROR(IF(OR($B2953="",$B2953="(blank)"),"",VLOOKUP($B2953,'Email Marketing Raw Data'!$C:$O,13,0)),"")</f>
        <v/>
      </c>
      <c r="G2953" s="55" t="str">
        <f>IFERROR(IF(OR($B2953="",$B2953="(blank)"),"",VLOOKUP($B2953,'Email Marketing Raw Data'!$C:$O,4,0)),"")</f>
        <v/>
      </c>
      <c r="H2953" s="55" t="str">
        <f>IFERROR(IF(OR($B2953="",$B2953="(blank)"),"",VLOOKUP($B2953,'Email Marketing Raw Data'!$C:$O,5,0)),"")</f>
        <v/>
      </c>
      <c r="I2953" s="55" t="str">
        <f>IFERROR(IF($G2953="","",VLOOKUP('Dashboard And Emails Automate'!$G2953,Database!$H:$N,3,0)),"")</f>
        <v/>
      </c>
      <c r="J2953" s="55" t="str">
        <f>IFERROR(IF($G2953="","",VLOOKUP('Dashboard And Emails Automate'!$G2953,Database!$H:$N,4,0)),"")</f>
        <v/>
      </c>
      <c r="K2953" s="55" t="str">
        <f>IFERROR(IF($G2953="","",VLOOKUP('Dashboard And Emails Automate'!$G2953,Database!$H:$N,5,0)),"")</f>
        <v/>
      </c>
      <c r="L2953" s="55" t="str">
        <f>IFERROR(IF($G2953="","",VLOOKUP('Dashboard And Emails Automate'!$G2953,Database!$H:$N,6,0)),"")</f>
        <v/>
      </c>
      <c r="M2953" s="55" t="str">
        <f>IFERROR(IF($G2953="","",VLOOKUP('Dashboard And Emails Automate'!$G2953,Database!$H:$N,7,0)),"")</f>
        <v/>
      </c>
      <c r="N2953" s="55" t="str">
        <f>IFERROR(IF(OR($B2953="",$B2953="(blank)"),"",VLOOKUP($B2953,'Email Marketing Raw Data'!$C:$O,6,0)),"")</f>
        <v/>
      </c>
      <c r="O2953" s="55" t="str">
        <f>IFERROR(IF(OR($B2953="",$B2953="(blank)"),"",VLOOKUP($B2953,'Email Marketing Raw Data'!$C:$O,7,0)),"")</f>
        <v/>
      </c>
      <c r="P2953" s="55" t="str">
        <f>IFERROR(IF(OR($B2953="",$B2953="(blank)"),"",VLOOKUP($B2953,'Email Marketing Raw Data'!$C:$O,8,0)),"")</f>
        <v/>
      </c>
      <c r="Q2953" s="62" t="str">
        <f>IFERROR(IF(OR($B2953="",$B2953="(blank)"),"",VLOOKUP($B2953,'Email Marketing Raw Data'!$C:$O,9,0)),"")</f>
        <v/>
      </c>
    </row>
    <row r="2954" spans="4:17" ht="12.75" customHeight="1" x14ac:dyDescent="0.2">
      <c r="D2954" s="58" t="str">
        <f>IFERROR(IF(F2954&lt;&gt;"pending","",IF(OR($B2954="",$B2954="(blank)"),"",VLOOKUP($B2954,'Email Marketing Raw Data'!$C:$O,10,0))),"")</f>
        <v/>
      </c>
      <c r="E2954" s="59" t="str">
        <f>IFERROR(IF(F2954&lt;&gt;"pending","",IF(OR($B2954="",$B2954="(blank)"),"",VLOOKUP($B2954,'Email Marketing Raw Data'!$C:$O,11,0))),"")</f>
        <v/>
      </c>
      <c r="F2954" s="54" t="str">
        <f>IFERROR(IF(OR($B2954="",$B2954="(blank)"),"",VLOOKUP($B2954,'Email Marketing Raw Data'!$C:$O,13,0)),"")</f>
        <v/>
      </c>
      <c r="G2954" s="55" t="str">
        <f>IFERROR(IF(OR($B2954="",$B2954="(blank)"),"",VLOOKUP($B2954,'Email Marketing Raw Data'!$C:$O,4,0)),"")</f>
        <v/>
      </c>
      <c r="H2954" s="55" t="str">
        <f>IFERROR(IF(OR($B2954="",$B2954="(blank)"),"",VLOOKUP($B2954,'Email Marketing Raw Data'!$C:$O,5,0)),"")</f>
        <v/>
      </c>
      <c r="I2954" s="55" t="str">
        <f>IFERROR(IF($G2954="","",VLOOKUP('Dashboard And Emails Automate'!$G2954,Database!$H:$N,3,0)),"")</f>
        <v/>
      </c>
      <c r="J2954" s="55" t="str">
        <f>IFERROR(IF($G2954="","",VLOOKUP('Dashboard And Emails Automate'!$G2954,Database!$H:$N,4,0)),"")</f>
        <v/>
      </c>
      <c r="K2954" s="55" t="str">
        <f>IFERROR(IF($G2954="","",VLOOKUP('Dashboard And Emails Automate'!$G2954,Database!$H:$N,5,0)),"")</f>
        <v/>
      </c>
      <c r="L2954" s="55" t="str">
        <f>IFERROR(IF($G2954="","",VLOOKUP('Dashboard And Emails Automate'!$G2954,Database!$H:$N,6,0)),"")</f>
        <v/>
      </c>
      <c r="M2954" s="55" t="str">
        <f>IFERROR(IF($G2954="","",VLOOKUP('Dashboard And Emails Automate'!$G2954,Database!$H:$N,7,0)),"")</f>
        <v/>
      </c>
      <c r="N2954" s="55" t="str">
        <f>IFERROR(IF(OR($B2954="",$B2954="(blank)"),"",VLOOKUP($B2954,'Email Marketing Raw Data'!$C:$O,6,0)),"")</f>
        <v/>
      </c>
      <c r="O2954" s="55" t="str">
        <f>IFERROR(IF(OR($B2954="",$B2954="(blank)"),"",VLOOKUP($B2954,'Email Marketing Raw Data'!$C:$O,7,0)),"")</f>
        <v/>
      </c>
      <c r="P2954" s="55" t="str">
        <f>IFERROR(IF(OR($B2954="",$B2954="(blank)"),"",VLOOKUP($B2954,'Email Marketing Raw Data'!$C:$O,8,0)),"")</f>
        <v/>
      </c>
      <c r="Q2954" s="62" t="str">
        <f>IFERROR(IF(OR($B2954="",$B2954="(blank)"),"",VLOOKUP($B2954,'Email Marketing Raw Data'!$C:$O,9,0)),"")</f>
        <v/>
      </c>
    </row>
    <row r="2955" spans="4:17" ht="12.75" customHeight="1" x14ac:dyDescent="0.2">
      <c r="D2955" s="58" t="str">
        <f>IFERROR(IF(F2955&lt;&gt;"pending","",IF(OR($B2955="",$B2955="(blank)"),"",VLOOKUP($B2955,'Email Marketing Raw Data'!$C:$O,10,0))),"")</f>
        <v/>
      </c>
      <c r="E2955" s="59" t="str">
        <f>IFERROR(IF(F2955&lt;&gt;"pending","",IF(OR($B2955="",$B2955="(blank)"),"",VLOOKUP($B2955,'Email Marketing Raw Data'!$C:$O,11,0))),"")</f>
        <v/>
      </c>
      <c r="F2955" s="54" t="str">
        <f>IFERROR(IF(OR($B2955="",$B2955="(blank)"),"",VLOOKUP($B2955,'Email Marketing Raw Data'!$C:$O,13,0)),"")</f>
        <v/>
      </c>
      <c r="G2955" s="55" t="str">
        <f>IFERROR(IF(OR($B2955="",$B2955="(blank)"),"",VLOOKUP($B2955,'Email Marketing Raw Data'!$C:$O,4,0)),"")</f>
        <v/>
      </c>
      <c r="H2955" s="55" t="str">
        <f>IFERROR(IF(OR($B2955="",$B2955="(blank)"),"",VLOOKUP($B2955,'Email Marketing Raw Data'!$C:$O,5,0)),"")</f>
        <v/>
      </c>
      <c r="I2955" s="55" t="str">
        <f>IFERROR(IF($G2955="","",VLOOKUP('Dashboard And Emails Automate'!$G2955,Database!$H:$N,3,0)),"")</f>
        <v/>
      </c>
      <c r="J2955" s="55" t="str">
        <f>IFERROR(IF($G2955="","",VLOOKUP('Dashboard And Emails Automate'!$G2955,Database!$H:$N,4,0)),"")</f>
        <v/>
      </c>
      <c r="K2955" s="55" t="str">
        <f>IFERROR(IF($G2955="","",VLOOKUP('Dashboard And Emails Automate'!$G2955,Database!$H:$N,5,0)),"")</f>
        <v/>
      </c>
      <c r="L2955" s="55" t="str">
        <f>IFERROR(IF($G2955="","",VLOOKUP('Dashboard And Emails Automate'!$G2955,Database!$H:$N,6,0)),"")</f>
        <v/>
      </c>
      <c r="M2955" s="55" t="str">
        <f>IFERROR(IF($G2955="","",VLOOKUP('Dashboard And Emails Automate'!$G2955,Database!$H:$N,7,0)),"")</f>
        <v/>
      </c>
      <c r="N2955" s="55" t="str">
        <f>IFERROR(IF(OR($B2955="",$B2955="(blank)"),"",VLOOKUP($B2955,'Email Marketing Raw Data'!$C:$O,6,0)),"")</f>
        <v/>
      </c>
      <c r="O2955" s="55" t="str">
        <f>IFERROR(IF(OR($B2955="",$B2955="(blank)"),"",VLOOKUP($B2955,'Email Marketing Raw Data'!$C:$O,7,0)),"")</f>
        <v/>
      </c>
      <c r="P2955" s="55" t="str">
        <f>IFERROR(IF(OR($B2955="",$B2955="(blank)"),"",VLOOKUP($B2955,'Email Marketing Raw Data'!$C:$O,8,0)),"")</f>
        <v/>
      </c>
      <c r="Q2955" s="62" t="str">
        <f>IFERROR(IF(OR($B2955="",$B2955="(blank)"),"",VLOOKUP($B2955,'Email Marketing Raw Data'!$C:$O,9,0)),"")</f>
        <v/>
      </c>
    </row>
    <row r="2956" spans="4:17" ht="12.75" customHeight="1" x14ac:dyDescent="0.2">
      <c r="D2956" s="58" t="str">
        <f>IFERROR(IF(F2956&lt;&gt;"pending","",IF(OR($B2956="",$B2956="(blank)"),"",VLOOKUP($B2956,'Email Marketing Raw Data'!$C:$O,10,0))),"")</f>
        <v/>
      </c>
      <c r="E2956" s="59" t="str">
        <f>IFERROR(IF(F2956&lt;&gt;"pending","",IF(OR($B2956="",$B2956="(blank)"),"",VLOOKUP($B2956,'Email Marketing Raw Data'!$C:$O,11,0))),"")</f>
        <v/>
      </c>
      <c r="F2956" s="54" t="str">
        <f>IFERROR(IF(OR($B2956="",$B2956="(blank)"),"",VLOOKUP($B2956,'Email Marketing Raw Data'!$C:$O,13,0)),"")</f>
        <v/>
      </c>
      <c r="G2956" s="55" t="str">
        <f>IFERROR(IF(OR($B2956="",$B2956="(blank)"),"",VLOOKUP($B2956,'Email Marketing Raw Data'!$C:$O,4,0)),"")</f>
        <v/>
      </c>
      <c r="H2956" s="55" t="str">
        <f>IFERROR(IF(OR($B2956="",$B2956="(blank)"),"",VLOOKUP($B2956,'Email Marketing Raw Data'!$C:$O,5,0)),"")</f>
        <v/>
      </c>
      <c r="I2956" s="55" t="str">
        <f>IFERROR(IF($G2956="","",VLOOKUP('Dashboard And Emails Automate'!$G2956,Database!$H:$N,3,0)),"")</f>
        <v/>
      </c>
      <c r="J2956" s="55" t="str">
        <f>IFERROR(IF($G2956="","",VLOOKUP('Dashboard And Emails Automate'!$G2956,Database!$H:$N,4,0)),"")</f>
        <v/>
      </c>
      <c r="K2956" s="55" t="str">
        <f>IFERROR(IF($G2956="","",VLOOKUP('Dashboard And Emails Automate'!$G2956,Database!$H:$N,5,0)),"")</f>
        <v/>
      </c>
      <c r="L2956" s="55" t="str">
        <f>IFERROR(IF($G2956="","",VLOOKUP('Dashboard And Emails Automate'!$G2956,Database!$H:$N,6,0)),"")</f>
        <v/>
      </c>
      <c r="M2956" s="55" t="str">
        <f>IFERROR(IF($G2956="","",VLOOKUP('Dashboard And Emails Automate'!$G2956,Database!$H:$N,7,0)),"")</f>
        <v/>
      </c>
      <c r="N2956" s="55" t="str">
        <f>IFERROR(IF(OR($B2956="",$B2956="(blank)"),"",VLOOKUP($B2956,'Email Marketing Raw Data'!$C:$O,6,0)),"")</f>
        <v/>
      </c>
      <c r="O2956" s="55" t="str">
        <f>IFERROR(IF(OR($B2956="",$B2956="(blank)"),"",VLOOKUP($B2956,'Email Marketing Raw Data'!$C:$O,7,0)),"")</f>
        <v/>
      </c>
      <c r="P2956" s="55" t="str">
        <f>IFERROR(IF(OR($B2956="",$B2956="(blank)"),"",VLOOKUP($B2956,'Email Marketing Raw Data'!$C:$O,8,0)),"")</f>
        <v/>
      </c>
      <c r="Q2956" s="62" t="str">
        <f>IFERROR(IF(OR($B2956="",$B2956="(blank)"),"",VLOOKUP($B2956,'Email Marketing Raw Data'!$C:$O,9,0)),"")</f>
        <v/>
      </c>
    </row>
    <row r="2957" spans="4:17" ht="12.75" customHeight="1" x14ac:dyDescent="0.2">
      <c r="D2957" s="58" t="str">
        <f>IFERROR(IF(F2957&lt;&gt;"pending","",IF(OR($B2957="",$B2957="(blank)"),"",VLOOKUP($B2957,'Email Marketing Raw Data'!$C:$O,10,0))),"")</f>
        <v/>
      </c>
      <c r="E2957" s="59" t="str">
        <f>IFERROR(IF(F2957&lt;&gt;"pending","",IF(OR($B2957="",$B2957="(blank)"),"",VLOOKUP($B2957,'Email Marketing Raw Data'!$C:$O,11,0))),"")</f>
        <v/>
      </c>
      <c r="F2957" s="54" t="str">
        <f>IFERROR(IF(OR($B2957="",$B2957="(blank)"),"",VLOOKUP($B2957,'Email Marketing Raw Data'!$C:$O,13,0)),"")</f>
        <v/>
      </c>
      <c r="G2957" s="55" t="str">
        <f>IFERROR(IF(OR($B2957="",$B2957="(blank)"),"",VLOOKUP($B2957,'Email Marketing Raw Data'!$C:$O,4,0)),"")</f>
        <v/>
      </c>
      <c r="H2957" s="55" t="str">
        <f>IFERROR(IF(OR($B2957="",$B2957="(blank)"),"",VLOOKUP($B2957,'Email Marketing Raw Data'!$C:$O,5,0)),"")</f>
        <v/>
      </c>
      <c r="I2957" s="55" t="str">
        <f>IFERROR(IF($G2957="","",VLOOKUP('Dashboard And Emails Automate'!$G2957,Database!$H:$N,3,0)),"")</f>
        <v/>
      </c>
      <c r="J2957" s="55" t="str">
        <f>IFERROR(IF($G2957="","",VLOOKUP('Dashboard And Emails Automate'!$G2957,Database!$H:$N,4,0)),"")</f>
        <v/>
      </c>
      <c r="K2957" s="55" t="str">
        <f>IFERROR(IF($G2957="","",VLOOKUP('Dashboard And Emails Automate'!$G2957,Database!$H:$N,5,0)),"")</f>
        <v/>
      </c>
      <c r="L2957" s="55" t="str">
        <f>IFERROR(IF($G2957="","",VLOOKUP('Dashboard And Emails Automate'!$G2957,Database!$H:$N,6,0)),"")</f>
        <v/>
      </c>
      <c r="M2957" s="55" t="str">
        <f>IFERROR(IF($G2957="","",VLOOKUP('Dashboard And Emails Automate'!$G2957,Database!$H:$N,7,0)),"")</f>
        <v/>
      </c>
      <c r="N2957" s="55" t="str">
        <f>IFERROR(IF(OR($B2957="",$B2957="(blank)"),"",VLOOKUP($B2957,'Email Marketing Raw Data'!$C:$O,6,0)),"")</f>
        <v/>
      </c>
      <c r="O2957" s="55" t="str">
        <f>IFERROR(IF(OR($B2957="",$B2957="(blank)"),"",VLOOKUP($B2957,'Email Marketing Raw Data'!$C:$O,7,0)),"")</f>
        <v/>
      </c>
      <c r="P2957" s="55" t="str">
        <f>IFERROR(IF(OR($B2957="",$B2957="(blank)"),"",VLOOKUP($B2957,'Email Marketing Raw Data'!$C:$O,8,0)),"")</f>
        <v/>
      </c>
      <c r="Q2957" s="62" t="str">
        <f>IFERROR(IF(OR($B2957="",$B2957="(blank)"),"",VLOOKUP($B2957,'Email Marketing Raw Data'!$C:$O,9,0)),"")</f>
        <v/>
      </c>
    </row>
    <row r="2958" spans="4:17" ht="12.75" customHeight="1" x14ac:dyDescent="0.2">
      <c r="D2958" s="58" t="str">
        <f>IFERROR(IF(F2958&lt;&gt;"pending","",IF(OR($B2958="",$B2958="(blank)"),"",VLOOKUP($B2958,'Email Marketing Raw Data'!$C:$O,10,0))),"")</f>
        <v/>
      </c>
      <c r="E2958" s="59" t="str">
        <f>IFERROR(IF(F2958&lt;&gt;"pending","",IF(OR($B2958="",$B2958="(blank)"),"",VLOOKUP($B2958,'Email Marketing Raw Data'!$C:$O,11,0))),"")</f>
        <v/>
      </c>
      <c r="F2958" s="54" t="str">
        <f>IFERROR(IF(OR($B2958="",$B2958="(blank)"),"",VLOOKUP($B2958,'Email Marketing Raw Data'!$C:$O,13,0)),"")</f>
        <v/>
      </c>
      <c r="G2958" s="55" t="str">
        <f>IFERROR(IF(OR($B2958="",$B2958="(blank)"),"",VLOOKUP($B2958,'Email Marketing Raw Data'!$C:$O,4,0)),"")</f>
        <v/>
      </c>
      <c r="H2958" s="55" t="str">
        <f>IFERROR(IF(OR($B2958="",$B2958="(blank)"),"",VLOOKUP($B2958,'Email Marketing Raw Data'!$C:$O,5,0)),"")</f>
        <v/>
      </c>
      <c r="I2958" s="55" t="str">
        <f>IFERROR(IF($G2958="","",VLOOKUP('Dashboard And Emails Automate'!$G2958,Database!$H:$N,3,0)),"")</f>
        <v/>
      </c>
      <c r="J2958" s="55" t="str">
        <f>IFERROR(IF($G2958="","",VLOOKUP('Dashboard And Emails Automate'!$G2958,Database!$H:$N,4,0)),"")</f>
        <v/>
      </c>
      <c r="K2958" s="55" t="str">
        <f>IFERROR(IF($G2958="","",VLOOKUP('Dashboard And Emails Automate'!$G2958,Database!$H:$N,5,0)),"")</f>
        <v/>
      </c>
      <c r="L2958" s="55" t="str">
        <f>IFERROR(IF($G2958="","",VLOOKUP('Dashboard And Emails Automate'!$G2958,Database!$H:$N,6,0)),"")</f>
        <v/>
      </c>
      <c r="M2958" s="55" t="str">
        <f>IFERROR(IF($G2958="","",VLOOKUP('Dashboard And Emails Automate'!$G2958,Database!$H:$N,7,0)),"")</f>
        <v/>
      </c>
      <c r="N2958" s="55" t="str">
        <f>IFERROR(IF(OR($B2958="",$B2958="(blank)"),"",VLOOKUP($B2958,'Email Marketing Raw Data'!$C:$O,6,0)),"")</f>
        <v/>
      </c>
      <c r="O2958" s="55" t="str">
        <f>IFERROR(IF(OR($B2958="",$B2958="(blank)"),"",VLOOKUP($B2958,'Email Marketing Raw Data'!$C:$O,7,0)),"")</f>
        <v/>
      </c>
      <c r="P2958" s="55" t="str">
        <f>IFERROR(IF(OR($B2958="",$B2958="(blank)"),"",VLOOKUP($B2958,'Email Marketing Raw Data'!$C:$O,8,0)),"")</f>
        <v/>
      </c>
      <c r="Q2958" s="62" t="str">
        <f>IFERROR(IF(OR($B2958="",$B2958="(blank)"),"",VLOOKUP($B2958,'Email Marketing Raw Data'!$C:$O,9,0)),"")</f>
        <v/>
      </c>
    </row>
    <row r="2959" spans="4:17" ht="12.75" customHeight="1" x14ac:dyDescent="0.2">
      <c r="D2959" s="58" t="str">
        <f>IFERROR(IF(F2959&lt;&gt;"pending","",IF(OR($B2959="",$B2959="(blank)"),"",VLOOKUP($B2959,'Email Marketing Raw Data'!$C:$O,10,0))),"")</f>
        <v/>
      </c>
      <c r="E2959" s="59" t="str">
        <f>IFERROR(IF(F2959&lt;&gt;"pending","",IF(OR($B2959="",$B2959="(blank)"),"",VLOOKUP($B2959,'Email Marketing Raw Data'!$C:$O,11,0))),"")</f>
        <v/>
      </c>
      <c r="F2959" s="54" t="str">
        <f>IFERROR(IF(OR($B2959="",$B2959="(blank)"),"",VLOOKUP($B2959,'Email Marketing Raw Data'!$C:$O,13,0)),"")</f>
        <v/>
      </c>
      <c r="G2959" s="55" t="str">
        <f>IFERROR(IF(OR($B2959="",$B2959="(blank)"),"",VLOOKUP($B2959,'Email Marketing Raw Data'!$C:$O,4,0)),"")</f>
        <v/>
      </c>
      <c r="H2959" s="55" t="str">
        <f>IFERROR(IF(OR($B2959="",$B2959="(blank)"),"",VLOOKUP($B2959,'Email Marketing Raw Data'!$C:$O,5,0)),"")</f>
        <v/>
      </c>
      <c r="I2959" s="55" t="str">
        <f>IFERROR(IF($G2959="","",VLOOKUP('Dashboard And Emails Automate'!$G2959,Database!$H:$N,3,0)),"")</f>
        <v/>
      </c>
      <c r="J2959" s="55" t="str">
        <f>IFERROR(IF($G2959="","",VLOOKUP('Dashboard And Emails Automate'!$G2959,Database!$H:$N,4,0)),"")</f>
        <v/>
      </c>
      <c r="K2959" s="55" t="str">
        <f>IFERROR(IF($G2959="","",VLOOKUP('Dashboard And Emails Automate'!$G2959,Database!$H:$N,5,0)),"")</f>
        <v/>
      </c>
      <c r="L2959" s="55" t="str">
        <f>IFERROR(IF($G2959="","",VLOOKUP('Dashboard And Emails Automate'!$G2959,Database!$H:$N,6,0)),"")</f>
        <v/>
      </c>
      <c r="M2959" s="55" t="str">
        <f>IFERROR(IF($G2959="","",VLOOKUP('Dashboard And Emails Automate'!$G2959,Database!$H:$N,7,0)),"")</f>
        <v/>
      </c>
      <c r="N2959" s="55" t="str">
        <f>IFERROR(IF(OR($B2959="",$B2959="(blank)"),"",VLOOKUP($B2959,'Email Marketing Raw Data'!$C:$O,6,0)),"")</f>
        <v/>
      </c>
      <c r="O2959" s="55" t="str">
        <f>IFERROR(IF(OR($B2959="",$B2959="(blank)"),"",VLOOKUP($B2959,'Email Marketing Raw Data'!$C:$O,7,0)),"")</f>
        <v/>
      </c>
      <c r="P2959" s="55" t="str">
        <f>IFERROR(IF(OR($B2959="",$B2959="(blank)"),"",VLOOKUP($B2959,'Email Marketing Raw Data'!$C:$O,8,0)),"")</f>
        <v/>
      </c>
      <c r="Q2959" s="62" t="str">
        <f>IFERROR(IF(OR($B2959="",$B2959="(blank)"),"",VLOOKUP($B2959,'Email Marketing Raw Data'!$C:$O,9,0)),"")</f>
        <v/>
      </c>
    </row>
    <row r="2960" spans="4:17" ht="12.75" customHeight="1" x14ac:dyDescent="0.2">
      <c r="D2960" s="58" t="str">
        <f>IFERROR(IF(F2960&lt;&gt;"pending","",IF(OR($B2960="",$B2960="(blank)"),"",VLOOKUP($B2960,'Email Marketing Raw Data'!$C:$O,10,0))),"")</f>
        <v/>
      </c>
      <c r="E2960" s="59" t="str">
        <f>IFERROR(IF(F2960&lt;&gt;"pending","",IF(OR($B2960="",$B2960="(blank)"),"",VLOOKUP($B2960,'Email Marketing Raw Data'!$C:$O,11,0))),"")</f>
        <v/>
      </c>
      <c r="F2960" s="54" t="str">
        <f>IFERROR(IF(OR($B2960="",$B2960="(blank)"),"",VLOOKUP($B2960,'Email Marketing Raw Data'!$C:$O,13,0)),"")</f>
        <v/>
      </c>
      <c r="G2960" s="55" t="str">
        <f>IFERROR(IF(OR($B2960="",$B2960="(blank)"),"",VLOOKUP($B2960,'Email Marketing Raw Data'!$C:$O,4,0)),"")</f>
        <v/>
      </c>
      <c r="H2960" s="55" t="str">
        <f>IFERROR(IF(OR($B2960="",$B2960="(blank)"),"",VLOOKUP($B2960,'Email Marketing Raw Data'!$C:$O,5,0)),"")</f>
        <v/>
      </c>
      <c r="I2960" s="55" t="str">
        <f>IFERROR(IF($G2960="","",VLOOKUP('Dashboard And Emails Automate'!$G2960,Database!$H:$N,3,0)),"")</f>
        <v/>
      </c>
      <c r="J2960" s="55" t="str">
        <f>IFERROR(IF($G2960="","",VLOOKUP('Dashboard And Emails Automate'!$G2960,Database!$H:$N,4,0)),"")</f>
        <v/>
      </c>
      <c r="K2960" s="55" t="str">
        <f>IFERROR(IF($G2960="","",VLOOKUP('Dashboard And Emails Automate'!$G2960,Database!$H:$N,5,0)),"")</f>
        <v/>
      </c>
      <c r="L2960" s="55" t="str">
        <f>IFERROR(IF($G2960="","",VLOOKUP('Dashboard And Emails Automate'!$G2960,Database!$H:$N,6,0)),"")</f>
        <v/>
      </c>
      <c r="M2960" s="55" t="str">
        <f>IFERROR(IF($G2960="","",VLOOKUP('Dashboard And Emails Automate'!$G2960,Database!$H:$N,7,0)),"")</f>
        <v/>
      </c>
      <c r="N2960" s="55" t="str">
        <f>IFERROR(IF(OR($B2960="",$B2960="(blank)"),"",VLOOKUP($B2960,'Email Marketing Raw Data'!$C:$O,6,0)),"")</f>
        <v/>
      </c>
      <c r="O2960" s="55" t="str">
        <f>IFERROR(IF(OR($B2960="",$B2960="(blank)"),"",VLOOKUP($B2960,'Email Marketing Raw Data'!$C:$O,7,0)),"")</f>
        <v/>
      </c>
      <c r="P2960" s="55" t="str">
        <f>IFERROR(IF(OR($B2960="",$B2960="(blank)"),"",VLOOKUP($B2960,'Email Marketing Raw Data'!$C:$O,8,0)),"")</f>
        <v/>
      </c>
      <c r="Q2960" s="62" t="str">
        <f>IFERROR(IF(OR($B2960="",$B2960="(blank)"),"",VLOOKUP($B2960,'Email Marketing Raw Data'!$C:$O,9,0)),"")</f>
        <v/>
      </c>
    </row>
    <row r="2961" spans="4:17" ht="12.75" customHeight="1" x14ac:dyDescent="0.2">
      <c r="D2961" s="58" t="str">
        <f>IFERROR(IF(F2961&lt;&gt;"pending","",IF(OR($B2961="",$B2961="(blank)"),"",VLOOKUP($B2961,'Email Marketing Raw Data'!$C:$O,10,0))),"")</f>
        <v/>
      </c>
      <c r="E2961" s="59" t="str">
        <f>IFERROR(IF(F2961&lt;&gt;"pending","",IF(OR($B2961="",$B2961="(blank)"),"",VLOOKUP($B2961,'Email Marketing Raw Data'!$C:$O,11,0))),"")</f>
        <v/>
      </c>
      <c r="F2961" s="54" t="str">
        <f>IFERROR(IF(OR($B2961="",$B2961="(blank)"),"",VLOOKUP($B2961,'Email Marketing Raw Data'!$C:$O,13,0)),"")</f>
        <v/>
      </c>
      <c r="G2961" s="55" t="str">
        <f>IFERROR(IF(OR($B2961="",$B2961="(blank)"),"",VLOOKUP($B2961,'Email Marketing Raw Data'!$C:$O,4,0)),"")</f>
        <v/>
      </c>
      <c r="H2961" s="55" t="str">
        <f>IFERROR(IF(OR($B2961="",$B2961="(blank)"),"",VLOOKUP($B2961,'Email Marketing Raw Data'!$C:$O,5,0)),"")</f>
        <v/>
      </c>
      <c r="I2961" s="55" t="str">
        <f>IFERROR(IF($G2961="","",VLOOKUP('Dashboard And Emails Automate'!$G2961,Database!$H:$N,3,0)),"")</f>
        <v/>
      </c>
      <c r="J2961" s="55" t="str">
        <f>IFERROR(IF($G2961="","",VLOOKUP('Dashboard And Emails Automate'!$G2961,Database!$H:$N,4,0)),"")</f>
        <v/>
      </c>
      <c r="K2961" s="55" t="str">
        <f>IFERROR(IF($G2961="","",VLOOKUP('Dashboard And Emails Automate'!$G2961,Database!$H:$N,5,0)),"")</f>
        <v/>
      </c>
      <c r="L2961" s="55" t="str">
        <f>IFERROR(IF($G2961="","",VLOOKUP('Dashboard And Emails Automate'!$G2961,Database!$H:$N,6,0)),"")</f>
        <v/>
      </c>
      <c r="M2961" s="55" t="str">
        <f>IFERROR(IF($G2961="","",VLOOKUP('Dashboard And Emails Automate'!$G2961,Database!$H:$N,7,0)),"")</f>
        <v/>
      </c>
      <c r="N2961" s="55" t="str">
        <f>IFERROR(IF(OR($B2961="",$B2961="(blank)"),"",VLOOKUP($B2961,'Email Marketing Raw Data'!$C:$O,6,0)),"")</f>
        <v/>
      </c>
      <c r="O2961" s="55" t="str">
        <f>IFERROR(IF(OR($B2961="",$B2961="(blank)"),"",VLOOKUP($B2961,'Email Marketing Raw Data'!$C:$O,7,0)),"")</f>
        <v/>
      </c>
      <c r="P2961" s="55" t="str">
        <f>IFERROR(IF(OR($B2961="",$B2961="(blank)"),"",VLOOKUP($B2961,'Email Marketing Raw Data'!$C:$O,8,0)),"")</f>
        <v/>
      </c>
      <c r="Q2961" s="62" t="str">
        <f>IFERROR(IF(OR($B2961="",$B2961="(blank)"),"",VLOOKUP($B2961,'Email Marketing Raw Data'!$C:$O,9,0)),"")</f>
        <v/>
      </c>
    </row>
    <row r="2962" spans="4:17" ht="12.75" customHeight="1" x14ac:dyDescent="0.2">
      <c r="D2962" s="58" t="str">
        <f>IFERROR(IF(F2962&lt;&gt;"pending","",IF(OR($B2962="",$B2962="(blank)"),"",VLOOKUP($B2962,'Email Marketing Raw Data'!$C:$O,10,0))),"")</f>
        <v/>
      </c>
      <c r="E2962" s="59" t="str">
        <f>IFERROR(IF(F2962&lt;&gt;"pending","",IF(OR($B2962="",$B2962="(blank)"),"",VLOOKUP($B2962,'Email Marketing Raw Data'!$C:$O,11,0))),"")</f>
        <v/>
      </c>
      <c r="F2962" s="54" t="str">
        <f>IFERROR(IF(OR($B2962="",$B2962="(blank)"),"",VLOOKUP($B2962,'Email Marketing Raw Data'!$C:$O,13,0)),"")</f>
        <v/>
      </c>
      <c r="G2962" s="55" t="str">
        <f>IFERROR(IF(OR($B2962="",$B2962="(blank)"),"",VLOOKUP($B2962,'Email Marketing Raw Data'!$C:$O,4,0)),"")</f>
        <v/>
      </c>
      <c r="H2962" s="55" t="str">
        <f>IFERROR(IF(OR($B2962="",$B2962="(blank)"),"",VLOOKUP($B2962,'Email Marketing Raw Data'!$C:$O,5,0)),"")</f>
        <v/>
      </c>
      <c r="I2962" s="55" t="str">
        <f>IFERROR(IF($G2962="","",VLOOKUP('Dashboard And Emails Automate'!$G2962,Database!$H:$N,3,0)),"")</f>
        <v/>
      </c>
      <c r="J2962" s="55" t="str">
        <f>IFERROR(IF($G2962="","",VLOOKUP('Dashboard And Emails Automate'!$G2962,Database!$H:$N,4,0)),"")</f>
        <v/>
      </c>
      <c r="K2962" s="55" t="str">
        <f>IFERROR(IF($G2962="","",VLOOKUP('Dashboard And Emails Automate'!$G2962,Database!$H:$N,5,0)),"")</f>
        <v/>
      </c>
      <c r="L2962" s="55" t="str">
        <f>IFERROR(IF($G2962="","",VLOOKUP('Dashboard And Emails Automate'!$G2962,Database!$H:$N,6,0)),"")</f>
        <v/>
      </c>
      <c r="M2962" s="55" t="str">
        <f>IFERROR(IF($G2962="","",VLOOKUP('Dashboard And Emails Automate'!$G2962,Database!$H:$N,7,0)),"")</f>
        <v/>
      </c>
      <c r="N2962" s="55" t="str">
        <f>IFERROR(IF(OR($B2962="",$B2962="(blank)"),"",VLOOKUP($B2962,'Email Marketing Raw Data'!$C:$O,6,0)),"")</f>
        <v/>
      </c>
      <c r="O2962" s="55" t="str">
        <f>IFERROR(IF(OR($B2962="",$B2962="(blank)"),"",VLOOKUP($B2962,'Email Marketing Raw Data'!$C:$O,7,0)),"")</f>
        <v/>
      </c>
      <c r="P2962" s="55" t="str">
        <f>IFERROR(IF(OR($B2962="",$B2962="(blank)"),"",VLOOKUP($B2962,'Email Marketing Raw Data'!$C:$O,8,0)),"")</f>
        <v/>
      </c>
      <c r="Q2962" s="62" t="str">
        <f>IFERROR(IF(OR($B2962="",$B2962="(blank)"),"",VLOOKUP($B2962,'Email Marketing Raw Data'!$C:$O,9,0)),"")</f>
        <v/>
      </c>
    </row>
    <row r="2963" spans="4:17" ht="12.75" customHeight="1" x14ac:dyDescent="0.2">
      <c r="D2963" s="58" t="str">
        <f>IFERROR(IF(F2963&lt;&gt;"pending","",IF(OR($B2963="",$B2963="(blank)"),"",VLOOKUP($B2963,'Email Marketing Raw Data'!$C:$O,10,0))),"")</f>
        <v/>
      </c>
      <c r="E2963" s="59" t="str">
        <f>IFERROR(IF(F2963&lt;&gt;"pending","",IF(OR($B2963="",$B2963="(blank)"),"",VLOOKUP($B2963,'Email Marketing Raw Data'!$C:$O,11,0))),"")</f>
        <v/>
      </c>
      <c r="F2963" s="54" t="str">
        <f>IFERROR(IF(OR($B2963="",$B2963="(blank)"),"",VLOOKUP($B2963,'Email Marketing Raw Data'!$C:$O,13,0)),"")</f>
        <v/>
      </c>
      <c r="G2963" s="55" t="str">
        <f>IFERROR(IF(OR($B2963="",$B2963="(blank)"),"",VLOOKUP($B2963,'Email Marketing Raw Data'!$C:$O,4,0)),"")</f>
        <v/>
      </c>
      <c r="H2963" s="55" t="str">
        <f>IFERROR(IF(OR($B2963="",$B2963="(blank)"),"",VLOOKUP($B2963,'Email Marketing Raw Data'!$C:$O,5,0)),"")</f>
        <v/>
      </c>
      <c r="I2963" s="55" t="str">
        <f>IFERROR(IF($G2963="","",VLOOKUP('Dashboard And Emails Automate'!$G2963,Database!$H:$N,3,0)),"")</f>
        <v/>
      </c>
      <c r="J2963" s="55" t="str">
        <f>IFERROR(IF($G2963="","",VLOOKUP('Dashboard And Emails Automate'!$G2963,Database!$H:$N,4,0)),"")</f>
        <v/>
      </c>
      <c r="K2963" s="55" t="str">
        <f>IFERROR(IF($G2963="","",VLOOKUP('Dashboard And Emails Automate'!$G2963,Database!$H:$N,5,0)),"")</f>
        <v/>
      </c>
      <c r="L2963" s="55" t="str">
        <f>IFERROR(IF($G2963="","",VLOOKUP('Dashboard And Emails Automate'!$G2963,Database!$H:$N,6,0)),"")</f>
        <v/>
      </c>
      <c r="M2963" s="55" t="str">
        <f>IFERROR(IF($G2963="","",VLOOKUP('Dashboard And Emails Automate'!$G2963,Database!$H:$N,7,0)),"")</f>
        <v/>
      </c>
      <c r="N2963" s="55" t="str">
        <f>IFERROR(IF(OR($B2963="",$B2963="(blank)"),"",VLOOKUP($B2963,'Email Marketing Raw Data'!$C:$O,6,0)),"")</f>
        <v/>
      </c>
      <c r="O2963" s="55" t="str">
        <f>IFERROR(IF(OR($B2963="",$B2963="(blank)"),"",VLOOKUP($B2963,'Email Marketing Raw Data'!$C:$O,7,0)),"")</f>
        <v/>
      </c>
      <c r="P2963" s="55" t="str">
        <f>IFERROR(IF(OR($B2963="",$B2963="(blank)"),"",VLOOKUP($B2963,'Email Marketing Raw Data'!$C:$O,8,0)),"")</f>
        <v/>
      </c>
      <c r="Q2963" s="62" t="str">
        <f>IFERROR(IF(OR($B2963="",$B2963="(blank)"),"",VLOOKUP($B2963,'Email Marketing Raw Data'!$C:$O,9,0)),"")</f>
        <v/>
      </c>
    </row>
    <row r="2964" spans="4:17" ht="12.75" customHeight="1" x14ac:dyDescent="0.2">
      <c r="D2964" s="58" t="str">
        <f>IFERROR(IF(F2964&lt;&gt;"pending","",IF(OR($B2964="",$B2964="(blank)"),"",VLOOKUP($B2964,'Email Marketing Raw Data'!$C:$O,10,0))),"")</f>
        <v/>
      </c>
      <c r="E2964" s="59" t="str">
        <f>IFERROR(IF(F2964&lt;&gt;"pending","",IF(OR($B2964="",$B2964="(blank)"),"",VLOOKUP($B2964,'Email Marketing Raw Data'!$C:$O,11,0))),"")</f>
        <v/>
      </c>
      <c r="F2964" s="54" t="str">
        <f>IFERROR(IF(OR($B2964="",$B2964="(blank)"),"",VLOOKUP($B2964,'Email Marketing Raw Data'!$C:$O,13,0)),"")</f>
        <v/>
      </c>
      <c r="G2964" s="55" t="str">
        <f>IFERROR(IF(OR($B2964="",$B2964="(blank)"),"",VLOOKUP($B2964,'Email Marketing Raw Data'!$C:$O,4,0)),"")</f>
        <v/>
      </c>
      <c r="H2964" s="55" t="str">
        <f>IFERROR(IF(OR($B2964="",$B2964="(blank)"),"",VLOOKUP($B2964,'Email Marketing Raw Data'!$C:$O,5,0)),"")</f>
        <v/>
      </c>
      <c r="I2964" s="55" t="str">
        <f>IFERROR(IF($G2964="","",VLOOKUP('Dashboard And Emails Automate'!$G2964,Database!$H:$N,3,0)),"")</f>
        <v/>
      </c>
      <c r="J2964" s="55" t="str">
        <f>IFERROR(IF($G2964="","",VLOOKUP('Dashboard And Emails Automate'!$G2964,Database!$H:$N,4,0)),"")</f>
        <v/>
      </c>
      <c r="K2964" s="55" t="str">
        <f>IFERROR(IF($G2964="","",VLOOKUP('Dashboard And Emails Automate'!$G2964,Database!$H:$N,5,0)),"")</f>
        <v/>
      </c>
      <c r="L2964" s="55" t="str">
        <f>IFERROR(IF($G2964="","",VLOOKUP('Dashboard And Emails Automate'!$G2964,Database!$H:$N,6,0)),"")</f>
        <v/>
      </c>
      <c r="M2964" s="55" t="str">
        <f>IFERROR(IF($G2964="","",VLOOKUP('Dashboard And Emails Automate'!$G2964,Database!$H:$N,7,0)),"")</f>
        <v/>
      </c>
      <c r="N2964" s="55" t="str">
        <f>IFERROR(IF(OR($B2964="",$B2964="(blank)"),"",VLOOKUP($B2964,'Email Marketing Raw Data'!$C:$O,6,0)),"")</f>
        <v/>
      </c>
      <c r="O2964" s="55" t="str">
        <f>IFERROR(IF(OR($B2964="",$B2964="(blank)"),"",VLOOKUP($B2964,'Email Marketing Raw Data'!$C:$O,7,0)),"")</f>
        <v/>
      </c>
      <c r="P2964" s="55" t="str">
        <f>IFERROR(IF(OR($B2964="",$B2964="(blank)"),"",VLOOKUP($B2964,'Email Marketing Raw Data'!$C:$O,8,0)),"")</f>
        <v/>
      </c>
      <c r="Q2964" s="62" t="str">
        <f>IFERROR(IF(OR($B2964="",$B2964="(blank)"),"",VLOOKUP($B2964,'Email Marketing Raw Data'!$C:$O,9,0)),"")</f>
        <v/>
      </c>
    </row>
    <row r="2965" spans="4:17" ht="12.75" customHeight="1" x14ac:dyDescent="0.2">
      <c r="D2965" s="58" t="str">
        <f>IFERROR(IF(F2965&lt;&gt;"pending","",IF(OR($B2965="",$B2965="(blank)"),"",VLOOKUP($B2965,'Email Marketing Raw Data'!$C:$O,10,0))),"")</f>
        <v/>
      </c>
      <c r="E2965" s="59" t="str">
        <f>IFERROR(IF(F2965&lt;&gt;"pending","",IF(OR($B2965="",$B2965="(blank)"),"",VLOOKUP($B2965,'Email Marketing Raw Data'!$C:$O,11,0))),"")</f>
        <v/>
      </c>
      <c r="F2965" s="54" t="str">
        <f>IFERROR(IF(OR($B2965="",$B2965="(blank)"),"",VLOOKUP($B2965,'Email Marketing Raw Data'!$C:$O,13,0)),"")</f>
        <v/>
      </c>
      <c r="G2965" s="55" t="str">
        <f>IFERROR(IF(OR($B2965="",$B2965="(blank)"),"",VLOOKUP($B2965,'Email Marketing Raw Data'!$C:$O,4,0)),"")</f>
        <v/>
      </c>
      <c r="H2965" s="55" t="str">
        <f>IFERROR(IF(OR($B2965="",$B2965="(blank)"),"",VLOOKUP($B2965,'Email Marketing Raw Data'!$C:$O,5,0)),"")</f>
        <v/>
      </c>
      <c r="I2965" s="55" t="str">
        <f>IFERROR(IF($G2965="","",VLOOKUP('Dashboard And Emails Automate'!$G2965,Database!$H:$N,3,0)),"")</f>
        <v/>
      </c>
      <c r="J2965" s="55" t="str">
        <f>IFERROR(IF($G2965="","",VLOOKUP('Dashboard And Emails Automate'!$G2965,Database!$H:$N,4,0)),"")</f>
        <v/>
      </c>
      <c r="K2965" s="55" t="str">
        <f>IFERROR(IF($G2965="","",VLOOKUP('Dashboard And Emails Automate'!$G2965,Database!$H:$N,5,0)),"")</f>
        <v/>
      </c>
      <c r="L2965" s="55" t="str">
        <f>IFERROR(IF($G2965="","",VLOOKUP('Dashboard And Emails Automate'!$G2965,Database!$H:$N,6,0)),"")</f>
        <v/>
      </c>
      <c r="M2965" s="55" t="str">
        <f>IFERROR(IF($G2965="","",VLOOKUP('Dashboard And Emails Automate'!$G2965,Database!$H:$N,7,0)),"")</f>
        <v/>
      </c>
      <c r="N2965" s="55" t="str">
        <f>IFERROR(IF(OR($B2965="",$B2965="(blank)"),"",VLOOKUP($B2965,'Email Marketing Raw Data'!$C:$O,6,0)),"")</f>
        <v/>
      </c>
      <c r="O2965" s="55" t="str">
        <f>IFERROR(IF(OR($B2965="",$B2965="(blank)"),"",VLOOKUP($B2965,'Email Marketing Raw Data'!$C:$O,7,0)),"")</f>
        <v/>
      </c>
      <c r="P2965" s="55" t="str">
        <f>IFERROR(IF(OR($B2965="",$B2965="(blank)"),"",VLOOKUP($B2965,'Email Marketing Raw Data'!$C:$O,8,0)),"")</f>
        <v/>
      </c>
      <c r="Q2965" s="62" t="str">
        <f>IFERROR(IF(OR($B2965="",$B2965="(blank)"),"",VLOOKUP($B2965,'Email Marketing Raw Data'!$C:$O,9,0)),"")</f>
        <v/>
      </c>
    </row>
    <row r="2966" spans="4:17" ht="12.75" customHeight="1" x14ac:dyDescent="0.2">
      <c r="D2966" s="58" t="str">
        <f>IFERROR(IF(F2966&lt;&gt;"pending","",IF(OR($B2966="",$B2966="(blank)"),"",VLOOKUP($B2966,'Email Marketing Raw Data'!$C:$O,10,0))),"")</f>
        <v/>
      </c>
      <c r="E2966" s="59" t="str">
        <f>IFERROR(IF(F2966&lt;&gt;"pending","",IF(OR($B2966="",$B2966="(blank)"),"",VLOOKUP($B2966,'Email Marketing Raw Data'!$C:$O,11,0))),"")</f>
        <v/>
      </c>
      <c r="F2966" s="54" t="str">
        <f>IFERROR(IF(OR($B2966="",$B2966="(blank)"),"",VLOOKUP($B2966,'Email Marketing Raw Data'!$C:$O,13,0)),"")</f>
        <v/>
      </c>
      <c r="G2966" s="55" t="str">
        <f>IFERROR(IF(OR($B2966="",$B2966="(blank)"),"",VLOOKUP($B2966,'Email Marketing Raw Data'!$C:$O,4,0)),"")</f>
        <v/>
      </c>
      <c r="H2966" s="55" t="str">
        <f>IFERROR(IF(OR($B2966="",$B2966="(blank)"),"",VLOOKUP($B2966,'Email Marketing Raw Data'!$C:$O,5,0)),"")</f>
        <v/>
      </c>
      <c r="I2966" s="55" t="str">
        <f>IFERROR(IF($G2966="","",VLOOKUP('Dashboard And Emails Automate'!$G2966,Database!$H:$N,3,0)),"")</f>
        <v/>
      </c>
      <c r="J2966" s="55" t="str">
        <f>IFERROR(IF($G2966="","",VLOOKUP('Dashboard And Emails Automate'!$G2966,Database!$H:$N,4,0)),"")</f>
        <v/>
      </c>
      <c r="K2966" s="55" t="str">
        <f>IFERROR(IF($G2966="","",VLOOKUP('Dashboard And Emails Automate'!$G2966,Database!$H:$N,5,0)),"")</f>
        <v/>
      </c>
      <c r="L2966" s="55" t="str">
        <f>IFERROR(IF($G2966="","",VLOOKUP('Dashboard And Emails Automate'!$G2966,Database!$H:$N,6,0)),"")</f>
        <v/>
      </c>
      <c r="M2966" s="55" t="str">
        <f>IFERROR(IF($G2966="","",VLOOKUP('Dashboard And Emails Automate'!$G2966,Database!$H:$N,7,0)),"")</f>
        <v/>
      </c>
      <c r="N2966" s="55" t="str">
        <f>IFERROR(IF(OR($B2966="",$B2966="(blank)"),"",VLOOKUP($B2966,'Email Marketing Raw Data'!$C:$O,6,0)),"")</f>
        <v/>
      </c>
      <c r="O2966" s="55" t="str">
        <f>IFERROR(IF(OR($B2966="",$B2966="(blank)"),"",VLOOKUP($B2966,'Email Marketing Raw Data'!$C:$O,7,0)),"")</f>
        <v/>
      </c>
      <c r="P2966" s="55" t="str">
        <f>IFERROR(IF(OR($B2966="",$B2966="(blank)"),"",VLOOKUP($B2966,'Email Marketing Raw Data'!$C:$O,8,0)),"")</f>
        <v/>
      </c>
      <c r="Q2966" s="62" t="str">
        <f>IFERROR(IF(OR($B2966="",$B2966="(blank)"),"",VLOOKUP($B2966,'Email Marketing Raw Data'!$C:$O,9,0)),"")</f>
        <v/>
      </c>
    </row>
    <row r="2967" spans="4:17" ht="12.75" customHeight="1" x14ac:dyDescent="0.2">
      <c r="D2967" s="58" t="str">
        <f>IFERROR(IF(F2967&lt;&gt;"pending","",IF(OR($B2967="",$B2967="(blank)"),"",VLOOKUP($B2967,'Email Marketing Raw Data'!$C:$O,10,0))),"")</f>
        <v/>
      </c>
      <c r="E2967" s="59" t="str">
        <f>IFERROR(IF(F2967&lt;&gt;"pending","",IF(OR($B2967="",$B2967="(blank)"),"",VLOOKUP($B2967,'Email Marketing Raw Data'!$C:$O,11,0))),"")</f>
        <v/>
      </c>
      <c r="F2967" s="54" t="str">
        <f>IFERROR(IF(OR($B2967="",$B2967="(blank)"),"",VLOOKUP($B2967,'Email Marketing Raw Data'!$C:$O,13,0)),"")</f>
        <v/>
      </c>
      <c r="G2967" s="55" t="str">
        <f>IFERROR(IF(OR($B2967="",$B2967="(blank)"),"",VLOOKUP($B2967,'Email Marketing Raw Data'!$C:$O,4,0)),"")</f>
        <v/>
      </c>
      <c r="H2967" s="55" t="str">
        <f>IFERROR(IF(OR($B2967="",$B2967="(blank)"),"",VLOOKUP($B2967,'Email Marketing Raw Data'!$C:$O,5,0)),"")</f>
        <v/>
      </c>
      <c r="I2967" s="55" t="str">
        <f>IFERROR(IF($G2967="","",VLOOKUP('Dashboard And Emails Automate'!$G2967,Database!$H:$N,3,0)),"")</f>
        <v/>
      </c>
      <c r="J2967" s="55" t="str">
        <f>IFERROR(IF($G2967="","",VLOOKUP('Dashboard And Emails Automate'!$G2967,Database!$H:$N,4,0)),"")</f>
        <v/>
      </c>
      <c r="K2967" s="55" t="str">
        <f>IFERROR(IF($G2967="","",VLOOKUP('Dashboard And Emails Automate'!$G2967,Database!$H:$N,5,0)),"")</f>
        <v/>
      </c>
      <c r="L2967" s="55" t="str">
        <f>IFERROR(IF($G2967="","",VLOOKUP('Dashboard And Emails Automate'!$G2967,Database!$H:$N,6,0)),"")</f>
        <v/>
      </c>
      <c r="M2967" s="55" t="str">
        <f>IFERROR(IF($G2967="","",VLOOKUP('Dashboard And Emails Automate'!$G2967,Database!$H:$N,7,0)),"")</f>
        <v/>
      </c>
      <c r="N2967" s="55" t="str">
        <f>IFERROR(IF(OR($B2967="",$B2967="(blank)"),"",VLOOKUP($B2967,'Email Marketing Raw Data'!$C:$O,6,0)),"")</f>
        <v/>
      </c>
      <c r="O2967" s="55" t="str">
        <f>IFERROR(IF(OR($B2967="",$B2967="(blank)"),"",VLOOKUP($B2967,'Email Marketing Raw Data'!$C:$O,7,0)),"")</f>
        <v/>
      </c>
      <c r="P2967" s="55" t="str">
        <f>IFERROR(IF(OR($B2967="",$B2967="(blank)"),"",VLOOKUP($B2967,'Email Marketing Raw Data'!$C:$O,8,0)),"")</f>
        <v/>
      </c>
      <c r="Q2967" s="62" t="str">
        <f>IFERROR(IF(OR($B2967="",$B2967="(blank)"),"",VLOOKUP($B2967,'Email Marketing Raw Data'!$C:$O,9,0)),"")</f>
        <v/>
      </c>
    </row>
    <row r="2968" spans="4:17" ht="12.75" customHeight="1" x14ac:dyDescent="0.2">
      <c r="D2968" s="58" t="str">
        <f>IFERROR(IF(F2968&lt;&gt;"pending","",IF(OR($B2968="",$B2968="(blank)"),"",VLOOKUP($B2968,'Email Marketing Raw Data'!$C:$O,10,0))),"")</f>
        <v/>
      </c>
      <c r="E2968" s="59" t="str">
        <f>IFERROR(IF(F2968&lt;&gt;"pending","",IF(OR($B2968="",$B2968="(blank)"),"",VLOOKUP($B2968,'Email Marketing Raw Data'!$C:$O,11,0))),"")</f>
        <v/>
      </c>
      <c r="F2968" s="54" t="str">
        <f>IFERROR(IF(OR($B2968="",$B2968="(blank)"),"",VLOOKUP($B2968,'Email Marketing Raw Data'!$C:$O,13,0)),"")</f>
        <v/>
      </c>
      <c r="G2968" s="55" t="str">
        <f>IFERROR(IF(OR($B2968="",$B2968="(blank)"),"",VLOOKUP($B2968,'Email Marketing Raw Data'!$C:$O,4,0)),"")</f>
        <v/>
      </c>
      <c r="H2968" s="55" t="str">
        <f>IFERROR(IF(OR($B2968="",$B2968="(blank)"),"",VLOOKUP($B2968,'Email Marketing Raw Data'!$C:$O,5,0)),"")</f>
        <v/>
      </c>
      <c r="I2968" s="55" t="str">
        <f>IFERROR(IF($G2968="","",VLOOKUP('Dashboard And Emails Automate'!$G2968,Database!$H:$N,3,0)),"")</f>
        <v/>
      </c>
      <c r="J2968" s="55" t="str">
        <f>IFERROR(IF($G2968="","",VLOOKUP('Dashboard And Emails Automate'!$G2968,Database!$H:$N,4,0)),"")</f>
        <v/>
      </c>
      <c r="K2968" s="55" t="str">
        <f>IFERROR(IF($G2968="","",VLOOKUP('Dashboard And Emails Automate'!$G2968,Database!$H:$N,5,0)),"")</f>
        <v/>
      </c>
      <c r="L2968" s="55" t="str">
        <f>IFERROR(IF($G2968="","",VLOOKUP('Dashboard And Emails Automate'!$G2968,Database!$H:$N,6,0)),"")</f>
        <v/>
      </c>
      <c r="M2968" s="55" t="str">
        <f>IFERROR(IF($G2968="","",VLOOKUP('Dashboard And Emails Automate'!$G2968,Database!$H:$N,7,0)),"")</f>
        <v/>
      </c>
      <c r="N2968" s="55" t="str">
        <f>IFERROR(IF(OR($B2968="",$B2968="(blank)"),"",VLOOKUP($B2968,'Email Marketing Raw Data'!$C:$O,6,0)),"")</f>
        <v/>
      </c>
      <c r="O2968" s="55" t="str">
        <f>IFERROR(IF(OR($B2968="",$B2968="(blank)"),"",VLOOKUP($B2968,'Email Marketing Raw Data'!$C:$O,7,0)),"")</f>
        <v/>
      </c>
      <c r="P2968" s="55" t="str">
        <f>IFERROR(IF(OR($B2968="",$B2968="(blank)"),"",VLOOKUP($B2968,'Email Marketing Raw Data'!$C:$O,8,0)),"")</f>
        <v/>
      </c>
      <c r="Q2968" s="62" t="str">
        <f>IFERROR(IF(OR($B2968="",$B2968="(blank)"),"",VLOOKUP($B2968,'Email Marketing Raw Data'!$C:$O,9,0)),"")</f>
        <v/>
      </c>
    </row>
    <row r="2969" spans="4:17" ht="12.75" customHeight="1" x14ac:dyDescent="0.2">
      <c r="D2969" s="58" t="str">
        <f>IFERROR(IF(F2969&lt;&gt;"pending","",IF(OR($B2969="",$B2969="(blank)"),"",VLOOKUP($B2969,'Email Marketing Raw Data'!$C:$O,10,0))),"")</f>
        <v/>
      </c>
      <c r="E2969" s="59" t="str">
        <f>IFERROR(IF(F2969&lt;&gt;"pending","",IF(OR($B2969="",$B2969="(blank)"),"",VLOOKUP($B2969,'Email Marketing Raw Data'!$C:$O,11,0))),"")</f>
        <v/>
      </c>
      <c r="F2969" s="54" t="str">
        <f>IFERROR(IF(OR($B2969="",$B2969="(blank)"),"",VLOOKUP($B2969,'Email Marketing Raw Data'!$C:$O,13,0)),"")</f>
        <v/>
      </c>
      <c r="G2969" s="55" t="str">
        <f>IFERROR(IF(OR($B2969="",$B2969="(blank)"),"",VLOOKUP($B2969,'Email Marketing Raw Data'!$C:$O,4,0)),"")</f>
        <v/>
      </c>
      <c r="H2969" s="55" t="str">
        <f>IFERROR(IF(OR($B2969="",$B2969="(blank)"),"",VLOOKUP($B2969,'Email Marketing Raw Data'!$C:$O,5,0)),"")</f>
        <v/>
      </c>
      <c r="I2969" s="55" t="str">
        <f>IFERROR(IF($G2969="","",VLOOKUP('Dashboard And Emails Automate'!$G2969,Database!$H:$N,3,0)),"")</f>
        <v/>
      </c>
      <c r="J2969" s="55" t="str">
        <f>IFERROR(IF($G2969="","",VLOOKUP('Dashboard And Emails Automate'!$G2969,Database!$H:$N,4,0)),"")</f>
        <v/>
      </c>
      <c r="K2969" s="55" t="str">
        <f>IFERROR(IF($G2969="","",VLOOKUP('Dashboard And Emails Automate'!$G2969,Database!$H:$N,5,0)),"")</f>
        <v/>
      </c>
      <c r="L2969" s="55" t="str">
        <f>IFERROR(IF($G2969="","",VLOOKUP('Dashboard And Emails Automate'!$G2969,Database!$H:$N,6,0)),"")</f>
        <v/>
      </c>
      <c r="M2969" s="55" t="str">
        <f>IFERROR(IF($G2969="","",VLOOKUP('Dashboard And Emails Automate'!$G2969,Database!$H:$N,7,0)),"")</f>
        <v/>
      </c>
      <c r="N2969" s="55" t="str">
        <f>IFERROR(IF(OR($B2969="",$B2969="(blank)"),"",VLOOKUP($B2969,'Email Marketing Raw Data'!$C:$O,6,0)),"")</f>
        <v/>
      </c>
      <c r="O2969" s="55" t="str">
        <f>IFERROR(IF(OR($B2969="",$B2969="(blank)"),"",VLOOKUP($B2969,'Email Marketing Raw Data'!$C:$O,7,0)),"")</f>
        <v/>
      </c>
      <c r="P2969" s="55" t="str">
        <f>IFERROR(IF(OR($B2969="",$B2969="(blank)"),"",VLOOKUP($B2969,'Email Marketing Raw Data'!$C:$O,8,0)),"")</f>
        <v/>
      </c>
      <c r="Q2969" s="62" t="str">
        <f>IFERROR(IF(OR($B2969="",$B2969="(blank)"),"",VLOOKUP($B2969,'Email Marketing Raw Data'!$C:$O,9,0)),"")</f>
        <v/>
      </c>
    </row>
    <row r="2970" spans="4:17" ht="12.75" customHeight="1" x14ac:dyDescent="0.2">
      <c r="D2970" s="58" t="str">
        <f>IFERROR(IF(F2970&lt;&gt;"pending","",IF(OR($B2970="",$B2970="(blank)"),"",VLOOKUP($B2970,'Email Marketing Raw Data'!$C:$O,10,0))),"")</f>
        <v/>
      </c>
      <c r="E2970" s="59" t="str">
        <f>IFERROR(IF(F2970&lt;&gt;"pending","",IF(OR($B2970="",$B2970="(blank)"),"",VLOOKUP($B2970,'Email Marketing Raw Data'!$C:$O,11,0))),"")</f>
        <v/>
      </c>
      <c r="F2970" s="54" t="str">
        <f>IFERROR(IF(OR($B2970="",$B2970="(blank)"),"",VLOOKUP($B2970,'Email Marketing Raw Data'!$C:$O,13,0)),"")</f>
        <v/>
      </c>
      <c r="G2970" s="55" t="str">
        <f>IFERROR(IF(OR($B2970="",$B2970="(blank)"),"",VLOOKUP($B2970,'Email Marketing Raw Data'!$C:$O,4,0)),"")</f>
        <v/>
      </c>
      <c r="H2970" s="55" t="str">
        <f>IFERROR(IF(OR($B2970="",$B2970="(blank)"),"",VLOOKUP($B2970,'Email Marketing Raw Data'!$C:$O,5,0)),"")</f>
        <v/>
      </c>
      <c r="I2970" s="55" t="str">
        <f>IFERROR(IF($G2970="","",VLOOKUP('Dashboard And Emails Automate'!$G2970,Database!$H:$N,3,0)),"")</f>
        <v/>
      </c>
      <c r="J2970" s="55" t="str">
        <f>IFERROR(IF($G2970="","",VLOOKUP('Dashboard And Emails Automate'!$G2970,Database!$H:$N,4,0)),"")</f>
        <v/>
      </c>
      <c r="K2970" s="55" t="str">
        <f>IFERROR(IF($G2970="","",VLOOKUP('Dashboard And Emails Automate'!$G2970,Database!$H:$N,5,0)),"")</f>
        <v/>
      </c>
      <c r="L2970" s="55" t="str">
        <f>IFERROR(IF($G2970="","",VLOOKUP('Dashboard And Emails Automate'!$G2970,Database!$H:$N,6,0)),"")</f>
        <v/>
      </c>
      <c r="M2970" s="55" t="str">
        <f>IFERROR(IF($G2970="","",VLOOKUP('Dashboard And Emails Automate'!$G2970,Database!$H:$N,7,0)),"")</f>
        <v/>
      </c>
      <c r="N2970" s="55" t="str">
        <f>IFERROR(IF(OR($B2970="",$B2970="(blank)"),"",VLOOKUP($B2970,'Email Marketing Raw Data'!$C:$O,6,0)),"")</f>
        <v/>
      </c>
      <c r="O2970" s="55" t="str">
        <f>IFERROR(IF(OR($B2970="",$B2970="(blank)"),"",VLOOKUP($B2970,'Email Marketing Raw Data'!$C:$O,7,0)),"")</f>
        <v/>
      </c>
      <c r="P2970" s="55" t="str">
        <f>IFERROR(IF(OR($B2970="",$B2970="(blank)"),"",VLOOKUP($B2970,'Email Marketing Raw Data'!$C:$O,8,0)),"")</f>
        <v/>
      </c>
      <c r="Q2970" s="62" t="str">
        <f>IFERROR(IF(OR($B2970="",$B2970="(blank)"),"",VLOOKUP($B2970,'Email Marketing Raw Data'!$C:$O,9,0)),"")</f>
        <v/>
      </c>
    </row>
    <row r="2971" spans="4:17" ht="12.75" customHeight="1" x14ac:dyDescent="0.2">
      <c r="D2971" s="58" t="str">
        <f>IFERROR(IF(F2971&lt;&gt;"pending","",IF(OR($B2971="",$B2971="(blank)"),"",VLOOKUP($B2971,'Email Marketing Raw Data'!$C:$O,10,0))),"")</f>
        <v/>
      </c>
      <c r="E2971" s="59" t="str">
        <f>IFERROR(IF(F2971&lt;&gt;"pending","",IF(OR($B2971="",$B2971="(blank)"),"",VLOOKUP($B2971,'Email Marketing Raw Data'!$C:$O,11,0))),"")</f>
        <v/>
      </c>
      <c r="F2971" s="54" t="str">
        <f>IFERROR(IF(OR($B2971="",$B2971="(blank)"),"",VLOOKUP($B2971,'Email Marketing Raw Data'!$C:$O,13,0)),"")</f>
        <v/>
      </c>
      <c r="G2971" s="55" t="str">
        <f>IFERROR(IF(OR($B2971="",$B2971="(blank)"),"",VLOOKUP($B2971,'Email Marketing Raw Data'!$C:$O,4,0)),"")</f>
        <v/>
      </c>
      <c r="H2971" s="55" t="str">
        <f>IFERROR(IF(OR($B2971="",$B2971="(blank)"),"",VLOOKUP($B2971,'Email Marketing Raw Data'!$C:$O,5,0)),"")</f>
        <v/>
      </c>
      <c r="I2971" s="55" t="str">
        <f>IFERROR(IF($G2971="","",VLOOKUP('Dashboard And Emails Automate'!$G2971,Database!$H:$N,3,0)),"")</f>
        <v/>
      </c>
      <c r="J2971" s="55" t="str">
        <f>IFERROR(IF($G2971="","",VLOOKUP('Dashboard And Emails Automate'!$G2971,Database!$H:$N,4,0)),"")</f>
        <v/>
      </c>
      <c r="K2971" s="55" t="str">
        <f>IFERROR(IF($G2971="","",VLOOKUP('Dashboard And Emails Automate'!$G2971,Database!$H:$N,5,0)),"")</f>
        <v/>
      </c>
      <c r="L2971" s="55" t="str">
        <f>IFERROR(IF($G2971="","",VLOOKUP('Dashboard And Emails Automate'!$G2971,Database!$H:$N,6,0)),"")</f>
        <v/>
      </c>
      <c r="M2971" s="55" t="str">
        <f>IFERROR(IF($G2971="","",VLOOKUP('Dashboard And Emails Automate'!$G2971,Database!$H:$N,7,0)),"")</f>
        <v/>
      </c>
      <c r="N2971" s="55" t="str">
        <f>IFERROR(IF(OR($B2971="",$B2971="(blank)"),"",VLOOKUP($B2971,'Email Marketing Raw Data'!$C:$O,6,0)),"")</f>
        <v/>
      </c>
      <c r="O2971" s="55" t="str">
        <f>IFERROR(IF(OR($B2971="",$B2971="(blank)"),"",VLOOKUP($B2971,'Email Marketing Raw Data'!$C:$O,7,0)),"")</f>
        <v/>
      </c>
      <c r="P2971" s="55" t="str">
        <f>IFERROR(IF(OR($B2971="",$B2971="(blank)"),"",VLOOKUP($B2971,'Email Marketing Raw Data'!$C:$O,8,0)),"")</f>
        <v/>
      </c>
      <c r="Q2971" s="62" t="str">
        <f>IFERROR(IF(OR($B2971="",$B2971="(blank)"),"",VLOOKUP($B2971,'Email Marketing Raw Data'!$C:$O,9,0)),"")</f>
        <v/>
      </c>
    </row>
    <row r="2972" spans="4:17" ht="12.75" customHeight="1" x14ac:dyDescent="0.2">
      <c r="D2972" s="58" t="str">
        <f>IFERROR(IF(F2972&lt;&gt;"pending","",IF(OR($B2972="",$B2972="(blank)"),"",VLOOKUP($B2972,'Email Marketing Raw Data'!$C:$O,10,0))),"")</f>
        <v/>
      </c>
      <c r="E2972" s="59" t="str">
        <f>IFERROR(IF(F2972&lt;&gt;"pending","",IF(OR($B2972="",$B2972="(blank)"),"",VLOOKUP($B2972,'Email Marketing Raw Data'!$C:$O,11,0))),"")</f>
        <v/>
      </c>
      <c r="F2972" s="54" t="str">
        <f>IFERROR(IF(OR($B2972="",$B2972="(blank)"),"",VLOOKUP($B2972,'Email Marketing Raw Data'!$C:$O,13,0)),"")</f>
        <v/>
      </c>
      <c r="G2972" s="55" t="str">
        <f>IFERROR(IF(OR($B2972="",$B2972="(blank)"),"",VLOOKUP($B2972,'Email Marketing Raw Data'!$C:$O,4,0)),"")</f>
        <v/>
      </c>
      <c r="H2972" s="55" t="str">
        <f>IFERROR(IF(OR($B2972="",$B2972="(blank)"),"",VLOOKUP($B2972,'Email Marketing Raw Data'!$C:$O,5,0)),"")</f>
        <v/>
      </c>
      <c r="I2972" s="55" t="str">
        <f>IFERROR(IF($G2972="","",VLOOKUP('Dashboard And Emails Automate'!$G2972,Database!$H:$N,3,0)),"")</f>
        <v/>
      </c>
      <c r="J2972" s="55" t="str">
        <f>IFERROR(IF($G2972="","",VLOOKUP('Dashboard And Emails Automate'!$G2972,Database!$H:$N,4,0)),"")</f>
        <v/>
      </c>
      <c r="K2972" s="55" t="str">
        <f>IFERROR(IF($G2972="","",VLOOKUP('Dashboard And Emails Automate'!$G2972,Database!$H:$N,5,0)),"")</f>
        <v/>
      </c>
      <c r="L2972" s="55" t="str">
        <f>IFERROR(IF($G2972="","",VLOOKUP('Dashboard And Emails Automate'!$G2972,Database!$H:$N,6,0)),"")</f>
        <v/>
      </c>
      <c r="M2972" s="55" t="str">
        <f>IFERROR(IF($G2972="","",VLOOKUP('Dashboard And Emails Automate'!$G2972,Database!$H:$N,7,0)),"")</f>
        <v/>
      </c>
      <c r="N2972" s="55" t="str">
        <f>IFERROR(IF(OR($B2972="",$B2972="(blank)"),"",VLOOKUP($B2972,'Email Marketing Raw Data'!$C:$O,6,0)),"")</f>
        <v/>
      </c>
      <c r="O2972" s="55" t="str">
        <f>IFERROR(IF(OR($B2972="",$B2972="(blank)"),"",VLOOKUP($B2972,'Email Marketing Raw Data'!$C:$O,7,0)),"")</f>
        <v/>
      </c>
      <c r="P2972" s="55" t="str">
        <f>IFERROR(IF(OR($B2972="",$B2972="(blank)"),"",VLOOKUP($B2972,'Email Marketing Raw Data'!$C:$O,8,0)),"")</f>
        <v/>
      </c>
      <c r="Q2972" s="62" t="str">
        <f>IFERROR(IF(OR($B2972="",$B2972="(blank)"),"",VLOOKUP($B2972,'Email Marketing Raw Data'!$C:$O,9,0)),"")</f>
        <v/>
      </c>
    </row>
    <row r="2973" spans="4:17" ht="12.75" customHeight="1" x14ac:dyDescent="0.2">
      <c r="D2973" s="58" t="str">
        <f>IFERROR(IF(F2973&lt;&gt;"pending","",IF(OR($B2973="",$B2973="(blank)"),"",VLOOKUP($B2973,'Email Marketing Raw Data'!$C:$O,10,0))),"")</f>
        <v/>
      </c>
      <c r="E2973" s="59" t="str">
        <f>IFERROR(IF(F2973&lt;&gt;"pending","",IF(OR($B2973="",$B2973="(blank)"),"",VLOOKUP($B2973,'Email Marketing Raw Data'!$C:$O,11,0))),"")</f>
        <v/>
      </c>
      <c r="F2973" s="54" t="str">
        <f>IFERROR(IF(OR($B2973="",$B2973="(blank)"),"",VLOOKUP($B2973,'Email Marketing Raw Data'!$C:$O,13,0)),"")</f>
        <v/>
      </c>
      <c r="G2973" s="55" t="str">
        <f>IFERROR(IF(OR($B2973="",$B2973="(blank)"),"",VLOOKUP($B2973,'Email Marketing Raw Data'!$C:$O,4,0)),"")</f>
        <v/>
      </c>
      <c r="H2973" s="55" t="str">
        <f>IFERROR(IF(OR($B2973="",$B2973="(blank)"),"",VLOOKUP($B2973,'Email Marketing Raw Data'!$C:$O,5,0)),"")</f>
        <v/>
      </c>
      <c r="I2973" s="55" t="str">
        <f>IFERROR(IF($G2973="","",VLOOKUP('Dashboard And Emails Automate'!$G2973,Database!$H:$N,3,0)),"")</f>
        <v/>
      </c>
      <c r="J2973" s="55" t="str">
        <f>IFERROR(IF($G2973="","",VLOOKUP('Dashboard And Emails Automate'!$G2973,Database!$H:$N,4,0)),"")</f>
        <v/>
      </c>
      <c r="K2973" s="55" t="str">
        <f>IFERROR(IF($G2973="","",VLOOKUP('Dashboard And Emails Automate'!$G2973,Database!$H:$N,5,0)),"")</f>
        <v/>
      </c>
      <c r="L2973" s="55" t="str">
        <f>IFERROR(IF($G2973="","",VLOOKUP('Dashboard And Emails Automate'!$G2973,Database!$H:$N,6,0)),"")</f>
        <v/>
      </c>
      <c r="M2973" s="55" t="str">
        <f>IFERROR(IF($G2973="","",VLOOKUP('Dashboard And Emails Automate'!$G2973,Database!$H:$N,7,0)),"")</f>
        <v/>
      </c>
      <c r="N2973" s="55" t="str">
        <f>IFERROR(IF(OR($B2973="",$B2973="(blank)"),"",VLOOKUP($B2973,'Email Marketing Raw Data'!$C:$O,6,0)),"")</f>
        <v/>
      </c>
      <c r="O2973" s="55" t="str">
        <f>IFERROR(IF(OR($B2973="",$B2973="(blank)"),"",VLOOKUP($B2973,'Email Marketing Raw Data'!$C:$O,7,0)),"")</f>
        <v/>
      </c>
      <c r="P2973" s="55" t="str">
        <f>IFERROR(IF(OR($B2973="",$B2973="(blank)"),"",VLOOKUP($B2973,'Email Marketing Raw Data'!$C:$O,8,0)),"")</f>
        <v/>
      </c>
      <c r="Q2973" s="62" t="str">
        <f>IFERROR(IF(OR($B2973="",$B2973="(blank)"),"",VLOOKUP($B2973,'Email Marketing Raw Data'!$C:$O,9,0)),"")</f>
        <v/>
      </c>
    </row>
    <row r="2974" spans="4:17" ht="12.75" customHeight="1" x14ac:dyDescent="0.2">
      <c r="D2974" s="58" t="str">
        <f>IFERROR(IF(F2974&lt;&gt;"pending","",IF(OR($B2974="",$B2974="(blank)"),"",VLOOKUP($B2974,'Email Marketing Raw Data'!$C:$O,10,0))),"")</f>
        <v/>
      </c>
      <c r="E2974" s="59" t="str">
        <f>IFERROR(IF(F2974&lt;&gt;"pending","",IF(OR($B2974="",$B2974="(blank)"),"",VLOOKUP($B2974,'Email Marketing Raw Data'!$C:$O,11,0))),"")</f>
        <v/>
      </c>
      <c r="F2974" s="54" t="str">
        <f>IFERROR(IF(OR($B2974="",$B2974="(blank)"),"",VLOOKUP($B2974,'Email Marketing Raw Data'!$C:$O,13,0)),"")</f>
        <v/>
      </c>
      <c r="G2974" s="55" t="str">
        <f>IFERROR(IF(OR($B2974="",$B2974="(blank)"),"",VLOOKUP($B2974,'Email Marketing Raw Data'!$C:$O,4,0)),"")</f>
        <v/>
      </c>
      <c r="H2974" s="55" t="str">
        <f>IFERROR(IF(OR($B2974="",$B2974="(blank)"),"",VLOOKUP($B2974,'Email Marketing Raw Data'!$C:$O,5,0)),"")</f>
        <v/>
      </c>
      <c r="I2974" s="55" t="str">
        <f>IFERROR(IF($G2974="","",VLOOKUP('Dashboard And Emails Automate'!$G2974,Database!$H:$N,3,0)),"")</f>
        <v/>
      </c>
      <c r="J2974" s="55" t="str">
        <f>IFERROR(IF($G2974="","",VLOOKUP('Dashboard And Emails Automate'!$G2974,Database!$H:$N,4,0)),"")</f>
        <v/>
      </c>
      <c r="K2974" s="55" t="str">
        <f>IFERROR(IF($G2974="","",VLOOKUP('Dashboard And Emails Automate'!$G2974,Database!$H:$N,5,0)),"")</f>
        <v/>
      </c>
      <c r="L2974" s="55" t="str">
        <f>IFERROR(IF($G2974="","",VLOOKUP('Dashboard And Emails Automate'!$G2974,Database!$H:$N,6,0)),"")</f>
        <v/>
      </c>
      <c r="M2974" s="55" t="str">
        <f>IFERROR(IF($G2974="","",VLOOKUP('Dashboard And Emails Automate'!$G2974,Database!$H:$N,7,0)),"")</f>
        <v/>
      </c>
      <c r="N2974" s="55" t="str">
        <f>IFERROR(IF(OR($B2974="",$B2974="(blank)"),"",VLOOKUP($B2974,'Email Marketing Raw Data'!$C:$O,6,0)),"")</f>
        <v/>
      </c>
      <c r="O2974" s="55" t="str">
        <f>IFERROR(IF(OR($B2974="",$B2974="(blank)"),"",VLOOKUP($B2974,'Email Marketing Raw Data'!$C:$O,7,0)),"")</f>
        <v/>
      </c>
      <c r="P2974" s="55" t="str">
        <f>IFERROR(IF(OR($B2974="",$B2974="(blank)"),"",VLOOKUP($B2974,'Email Marketing Raw Data'!$C:$O,8,0)),"")</f>
        <v/>
      </c>
      <c r="Q2974" s="62" t="str">
        <f>IFERROR(IF(OR($B2974="",$B2974="(blank)"),"",VLOOKUP($B2974,'Email Marketing Raw Data'!$C:$O,9,0)),"")</f>
        <v/>
      </c>
    </row>
    <row r="2975" spans="4:17" ht="12.75" customHeight="1" x14ac:dyDescent="0.2">
      <c r="D2975" s="58" t="str">
        <f>IFERROR(IF(F2975&lt;&gt;"pending","",IF(OR($B2975="",$B2975="(blank)"),"",VLOOKUP($B2975,'Email Marketing Raw Data'!$C:$O,10,0))),"")</f>
        <v/>
      </c>
      <c r="E2975" s="59" t="str">
        <f>IFERROR(IF(F2975&lt;&gt;"pending","",IF(OR($B2975="",$B2975="(blank)"),"",VLOOKUP($B2975,'Email Marketing Raw Data'!$C:$O,11,0))),"")</f>
        <v/>
      </c>
      <c r="F2975" s="54" t="str">
        <f>IFERROR(IF(OR($B2975="",$B2975="(blank)"),"",VLOOKUP($B2975,'Email Marketing Raw Data'!$C:$O,13,0)),"")</f>
        <v/>
      </c>
      <c r="G2975" s="55" t="str">
        <f>IFERROR(IF(OR($B2975="",$B2975="(blank)"),"",VLOOKUP($B2975,'Email Marketing Raw Data'!$C:$O,4,0)),"")</f>
        <v/>
      </c>
      <c r="H2975" s="55" t="str">
        <f>IFERROR(IF(OR($B2975="",$B2975="(blank)"),"",VLOOKUP($B2975,'Email Marketing Raw Data'!$C:$O,5,0)),"")</f>
        <v/>
      </c>
      <c r="I2975" s="55" t="str">
        <f>IFERROR(IF($G2975="","",VLOOKUP('Dashboard And Emails Automate'!$G2975,Database!$H:$N,3,0)),"")</f>
        <v/>
      </c>
      <c r="J2975" s="55" t="str">
        <f>IFERROR(IF($G2975="","",VLOOKUP('Dashboard And Emails Automate'!$G2975,Database!$H:$N,4,0)),"")</f>
        <v/>
      </c>
      <c r="K2975" s="55" t="str">
        <f>IFERROR(IF($G2975="","",VLOOKUP('Dashboard And Emails Automate'!$G2975,Database!$H:$N,5,0)),"")</f>
        <v/>
      </c>
      <c r="L2975" s="55" t="str">
        <f>IFERROR(IF($G2975="","",VLOOKUP('Dashboard And Emails Automate'!$G2975,Database!$H:$N,6,0)),"")</f>
        <v/>
      </c>
      <c r="M2975" s="55" t="str">
        <f>IFERROR(IF($G2975="","",VLOOKUP('Dashboard And Emails Automate'!$G2975,Database!$H:$N,7,0)),"")</f>
        <v/>
      </c>
      <c r="N2975" s="55" t="str">
        <f>IFERROR(IF(OR($B2975="",$B2975="(blank)"),"",VLOOKUP($B2975,'Email Marketing Raw Data'!$C:$O,6,0)),"")</f>
        <v/>
      </c>
      <c r="O2975" s="55" t="str">
        <f>IFERROR(IF(OR($B2975="",$B2975="(blank)"),"",VLOOKUP($B2975,'Email Marketing Raw Data'!$C:$O,7,0)),"")</f>
        <v/>
      </c>
      <c r="P2975" s="55" t="str">
        <f>IFERROR(IF(OR($B2975="",$B2975="(blank)"),"",VLOOKUP($B2975,'Email Marketing Raw Data'!$C:$O,8,0)),"")</f>
        <v/>
      </c>
      <c r="Q2975" s="62" t="str">
        <f>IFERROR(IF(OR($B2975="",$B2975="(blank)"),"",VLOOKUP($B2975,'Email Marketing Raw Data'!$C:$O,9,0)),"")</f>
        <v/>
      </c>
    </row>
    <row r="2976" spans="4:17" ht="12.75" customHeight="1" x14ac:dyDescent="0.2">
      <c r="D2976" s="58" t="str">
        <f>IFERROR(IF(F2976&lt;&gt;"pending","",IF(OR($B2976="",$B2976="(blank)"),"",VLOOKUP($B2976,'Email Marketing Raw Data'!$C:$O,10,0))),"")</f>
        <v/>
      </c>
      <c r="E2976" s="59" t="str">
        <f>IFERROR(IF(F2976&lt;&gt;"pending","",IF(OR($B2976="",$B2976="(blank)"),"",VLOOKUP($B2976,'Email Marketing Raw Data'!$C:$O,11,0))),"")</f>
        <v/>
      </c>
      <c r="F2976" s="54" t="str">
        <f>IFERROR(IF(OR($B2976="",$B2976="(blank)"),"",VLOOKUP($B2976,'Email Marketing Raw Data'!$C:$O,13,0)),"")</f>
        <v/>
      </c>
      <c r="G2976" s="55" t="str">
        <f>IFERROR(IF(OR($B2976="",$B2976="(blank)"),"",VLOOKUP($B2976,'Email Marketing Raw Data'!$C:$O,4,0)),"")</f>
        <v/>
      </c>
      <c r="H2976" s="55" t="str">
        <f>IFERROR(IF(OR($B2976="",$B2976="(blank)"),"",VLOOKUP($B2976,'Email Marketing Raw Data'!$C:$O,5,0)),"")</f>
        <v/>
      </c>
      <c r="I2976" s="55" t="str">
        <f>IFERROR(IF($G2976="","",VLOOKUP('Dashboard And Emails Automate'!$G2976,Database!$H:$N,3,0)),"")</f>
        <v/>
      </c>
      <c r="J2976" s="55" t="str">
        <f>IFERROR(IF($G2976="","",VLOOKUP('Dashboard And Emails Automate'!$G2976,Database!$H:$N,4,0)),"")</f>
        <v/>
      </c>
      <c r="K2976" s="55" t="str">
        <f>IFERROR(IF($G2976="","",VLOOKUP('Dashboard And Emails Automate'!$G2976,Database!$H:$N,5,0)),"")</f>
        <v/>
      </c>
      <c r="L2976" s="55" t="str">
        <f>IFERROR(IF($G2976="","",VLOOKUP('Dashboard And Emails Automate'!$G2976,Database!$H:$N,6,0)),"")</f>
        <v/>
      </c>
      <c r="M2976" s="55" t="str">
        <f>IFERROR(IF($G2976="","",VLOOKUP('Dashboard And Emails Automate'!$G2976,Database!$H:$N,7,0)),"")</f>
        <v/>
      </c>
      <c r="N2976" s="55" t="str">
        <f>IFERROR(IF(OR($B2976="",$B2976="(blank)"),"",VLOOKUP($B2976,'Email Marketing Raw Data'!$C:$O,6,0)),"")</f>
        <v/>
      </c>
      <c r="O2976" s="55" t="str">
        <f>IFERROR(IF(OR($B2976="",$B2976="(blank)"),"",VLOOKUP($B2976,'Email Marketing Raw Data'!$C:$O,7,0)),"")</f>
        <v/>
      </c>
      <c r="P2976" s="55" t="str">
        <f>IFERROR(IF(OR($B2976="",$B2976="(blank)"),"",VLOOKUP($B2976,'Email Marketing Raw Data'!$C:$O,8,0)),"")</f>
        <v/>
      </c>
      <c r="Q2976" s="62" t="str">
        <f>IFERROR(IF(OR($B2976="",$B2976="(blank)"),"",VLOOKUP($B2976,'Email Marketing Raw Data'!$C:$O,9,0)),"")</f>
        <v/>
      </c>
    </row>
    <row r="2977" spans="4:17" ht="12.75" customHeight="1" x14ac:dyDescent="0.2">
      <c r="D2977" s="58" t="str">
        <f>IFERROR(IF(F2977&lt;&gt;"pending","",IF(OR($B2977="",$B2977="(blank)"),"",VLOOKUP($B2977,'Email Marketing Raw Data'!$C:$O,10,0))),"")</f>
        <v/>
      </c>
      <c r="E2977" s="59" t="str">
        <f>IFERROR(IF(F2977&lt;&gt;"pending","",IF(OR($B2977="",$B2977="(blank)"),"",VLOOKUP($B2977,'Email Marketing Raw Data'!$C:$O,11,0))),"")</f>
        <v/>
      </c>
      <c r="F2977" s="54" t="str">
        <f>IFERROR(IF(OR($B2977="",$B2977="(blank)"),"",VLOOKUP($B2977,'Email Marketing Raw Data'!$C:$O,13,0)),"")</f>
        <v/>
      </c>
      <c r="G2977" s="55" t="str">
        <f>IFERROR(IF(OR($B2977="",$B2977="(blank)"),"",VLOOKUP($B2977,'Email Marketing Raw Data'!$C:$O,4,0)),"")</f>
        <v/>
      </c>
      <c r="H2977" s="55" t="str">
        <f>IFERROR(IF(OR($B2977="",$B2977="(blank)"),"",VLOOKUP($B2977,'Email Marketing Raw Data'!$C:$O,5,0)),"")</f>
        <v/>
      </c>
      <c r="I2977" s="55" t="str">
        <f>IFERROR(IF($G2977="","",VLOOKUP('Dashboard And Emails Automate'!$G2977,Database!$H:$N,3,0)),"")</f>
        <v/>
      </c>
      <c r="J2977" s="55" t="str">
        <f>IFERROR(IF($G2977="","",VLOOKUP('Dashboard And Emails Automate'!$G2977,Database!$H:$N,4,0)),"")</f>
        <v/>
      </c>
      <c r="K2977" s="55" t="str">
        <f>IFERROR(IF($G2977="","",VLOOKUP('Dashboard And Emails Automate'!$G2977,Database!$H:$N,5,0)),"")</f>
        <v/>
      </c>
      <c r="L2977" s="55" t="str">
        <f>IFERROR(IF($G2977="","",VLOOKUP('Dashboard And Emails Automate'!$G2977,Database!$H:$N,6,0)),"")</f>
        <v/>
      </c>
      <c r="M2977" s="55" t="str">
        <f>IFERROR(IF($G2977="","",VLOOKUP('Dashboard And Emails Automate'!$G2977,Database!$H:$N,7,0)),"")</f>
        <v/>
      </c>
      <c r="N2977" s="55" t="str">
        <f>IFERROR(IF(OR($B2977="",$B2977="(blank)"),"",VLOOKUP($B2977,'Email Marketing Raw Data'!$C:$O,6,0)),"")</f>
        <v/>
      </c>
      <c r="O2977" s="55" t="str">
        <f>IFERROR(IF(OR($B2977="",$B2977="(blank)"),"",VLOOKUP($B2977,'Email Marketing Raw Data'!$C:$O,7,0)),"")</f>
        <v/>
      </c>
      <c r="P2977" s="55" t="str">
        <f>IFERROR(IF(OR($B2977="",$B2977="(blank)"),"",VLOOKUP($B2977,'Email Marketing Raw Data'!$C:$O,8,0)),"")</f>
        <v/>
      </c>
      <c r="Q2977" s="62" t="str">
        <f>IFERROR(IF(OR($B2977="",$B2977="(blank)"),"",VLOOKUP($B2977,'Email Marketing Raw Data'!$C:$O,9,0)),"")</f>
        <v/>
      </c>
    </row>
    <row r="2978" spans="4:17" ht="12.75" customHeight="1" x14ac:dyDescent="0.2">
      <c r="D2978" s="58" t="str">
        <f>IFERROR(IF(F2978&lt;&gt;"pending","",IF(OR($B2978="",$B2978="(blank)"),"",VLOOKUP($B2978,'Email Marketing Raw Data'!$C:$O,10,0))),"")</f>
        <v/>
      </c>
      <c r="E2978" s="59" t="str">
        <f>IFERROR(IF(F2978&lt;&gt;"pending","",IF(OR($B2978="",$B2978="(blank)"),"",VLOOKUP($B2978,'Email Marketing Raw Data'!$C:$O,11,0))),"")</f>
        <v/>
      </c>
      <c r="F2978" s="54" t="str">
        <f>IFERROR(IF(OR($B2978="",$B2978="(blank)"),"",VLOOKUP($B2978,'Email Marketing Raw Data'!$C:$O,13,0)),"")</f>
        <v/>
      </c>
      <c r="G2978" s="55" t="str">
        <f>IFERROR(IF(OR($B2978="",$B2978="(blank)"),"",VLOOKUP($B2978,'Email Marketing Raw Data'!$C:$O,4,0)),"")</f>
        <v/>
      </c>
      <c r="H2978" s="55" t="str">
        <f>IFERROR(IF(OR($B2978="",$B2978="(blank)"),"",VLOOKUP($B2978,'Email Marketing Raw Data'!$C:$O,5,0)),"")</f>
        <v/>
      </c>
      <c r="I2978" s="55" t="str">
        <f>IFERROR(IF($G2978="","",VLOOKUP('Dashboard And Emails Automate'!$G2978,Database!$H:$N,3,0)),"")</f>
        <v/>
      </c>
      <c r="J2978" s="55" t="str">
        <f>IFERROR(IF($G2978="","",VLOOKUP('Dashboard And Emails Automate'!$G2978,Database!$H:$N,4,0)),"")</f>
        <v/>
      </c>
      <c r="K2978" s="55" t="str">
        <f>IFERROR(IF($G2978="","",VLOOKUP('Dashboard And Emails Automate'!$G2978,Database!$H:$N,5,0)),"")</f>
        <v/>
      </c>
      <c r="L2978" s="55" t="str">
        <f>IFERROR(IF($G2978="","",VLOOKUP('Dashboard And Emails Automate'!$G2978,Database!$H:$N,6,0)),"")</f>
        <v/>
      </c>
      <c r="M2978" s="55" t="str">
        <f>IFERROR(IF($G2978="","",VLOOKUP('Dashboard And Emails Automate'!$G2978,Database!$H:$N,7,0)),"")</f>
        <v/>
      </c>
      <c r="N2978" s="55" t="str">
        <f>IFERROR(IF(OR($B2978="",$B2978="(blank)"),"",VLOOKUP($B2978,'Email Marketing Raw Data'!$C:$O,6,0)),"")</f>
        <v/>
      </c>
      <c r="O2978" s="55" t="str">
        <f>IFERROR(IF(OR($B2978="",$B2978="(blank)"),"",VLOOKUP($B2978,'Email Marketing Raw Data'!$C:$O,7,0)),"")</f>
        <v/>
      </c>
      <c r="P2978" s="55" t="str">
        <f>IFERROR(IF(OR($B2978="",$B2978="(blank)"),"",VLOOKUP($B2978,'Email Marketing Raw Data'!$C:$O,8,0)),"")</f>
        <v/>
      </c>
      <c r="Q2978" s="62" t="str">
        <f>IFERROR(IF(OR($B2978="",$B2978="(blank)"),"",VLOOKUP($B2978,'Email Marketing Raw Data'!$C:$O,9,0)),"")</f>
        <v/>
      </c>
    </row>
    <row r="2979" spans="4:17" ht="12.75" customHeight="1" x14ac:dyDescent="0.2">
      <c r="D2979" s="58" t="str">
        <f>IFERROR(IF(F2979&lt;&gt;"pending","",IF(OR($B2979="",$B2979="(blank)"),"",VLOOKUP($B2979,'Email Marketing Raw Data'!$C:$O,10,0))),"")</f>
        <v/>
      </c>
      <c r="E2979" s="59" t="str">
        <f>IFERROR(IF(F2979&lt;&gt;"pending","",IF(OR($B2979="",$B2979="(blank)"),"",VLOOKUP($B2979,'Email Marketing Raw Data'!$C:$O,11,0))),"")</f>
        <v/>
      </c>
      <c r="F2979" s="54" t="str">
        <f>IFERROR(IF(OR($B2979="",$B2979="(blank)"),"",VLOOKUP($B2979,'Email Marketing Raw Data'!$C:$O,13,0)),"")</f>
        <v/>
      </c>
      <c r="G2979" s="55" t="str">
        <f>IFERROR(IF(OR($B2979="",$B2979="(blank)"),"",VLOOKUP($B2979,'Email Marketing Raw Data'!$C:$O,4,0)),"")</f>
        <v/>
      </c>
      <c r="H2979" s="55" t="str">
        <f>IFERROR(IF(OR($B2979="",$B2979="(blank)"),"",VLOOKUP($B2979,'Email Marketing Raw Data'!$C:$O,5,0)),"")</f>
        <v/>
      </c>
      <c r="I2979" s="55" t="str">
        <f>IFERROR(IF($G2979="","",VLOOKUP('Dashboard And Emails Automate'!$G2979,Database!$H:$N,3,0)),"")</f>
        <v/>
      </c>
      <c r="J2979" s="55" t="str">
        <f>IFERROR(IF($G2979="","",VLOOKUP('Dashboard And Emails Automate'!$G2979,Database!$H:$N,4,0)),"")</f>
        <v/>
      </c>
      <c r="K2979" s="55" t="str">
        <f>IFERROR(IF($G2979="","",VLOOKUP('Dashboard And Emails Automate'!$G2979,Database!$H:$N,5,0)),"")</f>
        <v/>
      </c>
      <c r="L2979" s="55" t="str">
        <f>IFERROR(IF($G2979="","",VLOOKUP('Dashboard And Emails Automate'!$G2979,Database!$H:$N,6,0)),"")</f>
        <v/>
      </c>
      <c r="M2979" s="55" t="str">
        <f>IFERROR(IF($G2979="","",VLOOKUP('Dashboard And Emails Automate'!$G2979,Database!$H:$N,7,0)),"")</f>
        <v/>
      </c>
      <c r="N2979" s="55" t="str">
        <f>IFERROR(IF(OR($B2979="",$B2979="(blank)"),"",VLOOKUP($B2979,'Email Marketing Raw Data'!$C:$O,6,0)),"")</f>
        <v/>
      </c>
      <c r="O2979" s="55" t="str">
        <f>IFERROR(IF(OR($B2979="",$B2979="(blank)"),"",VLOOKUP($B2979,'Email Marketing Raw Data'!$C:$O,7,0)),"")</f>
        <v/>
      </c>
      <c r="P2979" s="55" t="str">
        <f>IFERROR(IF(OR($B2979="",$B2979="(blank)"),"",VLOOKUP($B2979,'Email Marketing Raw Data'!$C:$O,8,0)),"")</f>
        <v/>
      </c>
      <c r="Q2979" s="62" t="str">
        <f>IFERROR(IF(OR($B2979="",$B2979="(blank)"),"",VLOOKUP($B2979,'Email Marketing Raw Data'!$C:$O,9,0)),"")</f>
        <v/>
      </c>
    </row>
    <row r="2980" spans="4:17" ht="12.75" customHeight="1" x14ac:dyDescent="0.2">
      <c r="D2980" s="58" t="str">
        <f>IFERROR(IF(F2980&lt;&gt;"pending","",IF(OR($B2980="",$B2980="(blank)"),"",VLOOKUP($B2980,'Email Marketing Raw Data'!$C:$O,10,0))),"")</f>
        <v/>
      </c>
      <c r="E2980" s="59" t="str">
        <f>IFERROR(IF(F2980&lt;&gt;"pending","",IF(OR($B2980="",$B2980="(blank)"),"",VLOOKUP($B2980,'Email Marketing Raw Data'!$C:$O,11,0))),"")</f>
        <v/>
      </c>
      <c r="F2980" s="54" t="str">
        <f>IFERROR(IF(OR($B2980="",$B2980="(blank)"),"",VLOOKUP($B2980,'Email Marketing Raw Data'!$C:$O,13,0)),"")</f>
        <v/>
      </c>
      <c r="G2980" s="55" t="str">
        <f>IFERROR(IF(OR($B2980="",$B2980="(blank)"),"",VLOOKUP($B2980,'Email Marketing Raw Data'!$C:$O,4,0)),"")</f>
        <v/>
      </c>
      <c r="H2980" s="55" t="str">
        <f>IFERROR(IF(OR($B2980="",$B2980="(blank)"),"",VLOOKUP($B2980,'Email Marketing Raw Data'!$C:$O,5,0)),"")</f>
        <v/>
      </c>
      <c r="I2980" s="55" t="str">
        <f>IFERROR(IF($G2980="","",VLOOKUP('Dashboard And Emails Automate'!$G2980,Database!$H:$N,3,0)),"")</f>
        <v/>
      </c>
      <c r="J2980" s="55" t="str">
        <f>IFERROR(IF($G2980="","",VLOOKUP('Dashboard And Emails Automate'!$G2980,Database!$H:$N,4,0)),"")</f>
        <v/>
      </c>
      <c r="K2980" s="55" t="str">
        <f>IFERROR(IF($G2980="","",VLOOKUP('Dashboard And Emails Automate'!$G2980,Database!$H:$N,5,0)),"")</f>
        <v/>
      </c>
      <c r="L2980" s="55" t="str">
        <f>IFERROR(IF($G2980="","",VLOOKUP('Dashboard And Emails Automate'!$G2980,Database!$H:$N,6,0)),"")</f>
        <v/>
      </c>
      <c r="M2980" s="55" t="str">
        <f>IFERROR(IF($G2980="","",VLOOKUP('Dashboard And Emails Automate'!$G2980,Database!$H:$N,7,0)),"")</f>
        <v/>
      </c>
      <c r="N2980" s="55" t="str">
        <f>IFERROR(IF(OR($B2980="",$B2980="(blank)"),"",VLOOKUP($B2980,'Email Marketing Raw Data'!$C:$O,6,0)),"")</f>
        <v/>
      </c>
      <c r="O2980" s="55" t="str">
        <f>IFERROR(IF(OR($B2980="",$B2980="(blank)"),"",VLOOKUP($B2980,'Email Marketing Raw Data'!$C:$O,7,0)),"")</f>
        <v/>
      </c>
      <c r="P2980" s="55" t="str">
        <f>IFERROR(IF(OR($B2980="",$B2980="(blank)"),"",VLOOKUP($B2980,'Email Marketing Raw Data'!$C:$O,8,0)),"")</f>
        <v/>
      </c>
      <c r="Q2980" s="62" t="str">
        <f>IFERROR(IF(OR($B2980="",$B2980="(blank)"),"",VLOOKUP($B2980,'Email Marketing Raw Data'!$C:$O,9,0)),"")</f>
        <v/>
      </c>
    </row>
    <row r="2981" spans="4:17" ht="12.75" customHeight="1" x14ac:dyDescent="0.2">
      <c r="D2981" s="58" t="str">
        <f>IFERROR(IF(F2981&lt;&gt;"pending","",IF(OR($B2981="",$B2981="(blank)"),"",VLOOKUP($B2981,'Email Marketing Raw Data'!$C:$O,10,0))),"")</f>
        <v/>
      </c>
      <c r="E2981" s="59" t="str">
        <f>IFERROR(IF(F2981&lt;&gt;"pending","",IF(OR($B2981="",$B2981="(blank)"),"",VLOOKUP($B2981,'Email Marketing Raw Data'!$C:$O,11,0))),"")</f>
        <v/>
      </c>
      <c r="F2981" s="54" t="str">
        <f>IFERROR(IF(OR($B2981="",$B2981="(blank)"),"",VLOOKUP($B2981,'Email Marketing Raw Data'!$C:$O,13,0)),"")</f>
        <v/>
      </c>
      <c r="G2981" s="55" t="str">
        <f>IFERROR(IF(OR($B2981="",$B2981="(blank)"),"",VLOOKUP($B2981,'Email Marketing Raw Data'!$C:$O,4,0)),"")</f>
        <v/>
      </c>
      <c r="H2981" s="55" t="str">
        <f>IFERROR(IF(OR($B2981="",$B2981="(blank)"),"",VLOOKUP($B2981,'Email Marketing Raw Data'!$C:$O,5,0)),"")</f>
        <v/>
      </c>
      <c r="I2981" s="55" t="str">
        <f>IFERROR(IF($G2981="","",VLOOKUP('Dashboard And Emails Automate'!$G2981,Database!$H:$N,3,0)),"")</f>
        <v/>
      </c>
      <c r="J2981" s="55" t="str">
        <f>IFERROR(IF($G2981="","",VLOOKUP('Dashboard And Emails Automate'!$G2981,Database!$H:$N,4,0)),"")</f>
        <v/>
      </c>
      <c r="K2981" s="55" t="str">
        <f>IFERROR(IF($G2981="","",VLOOKUP('Dashboard And Emails Automate'!$G2981,Database!$H:$N,5,0)),"")</f>
        <v/>
      </c>
      <c r="L2981" s="55" t="str">
        <f>IFERROR(IF($G2981="","",VLOOKUP('Dashboard And Emails Automate'!$G2981,Database!$H:$N,6,0)),"")</f>
        <v/>
      </c>
      <c r="M2981" s="55" t="str">
        <f>IFERROR(IF($G2981="","",VLOOKUP('Dashboard And Emails Automate'!$G2981,Database!$H:$N,7,0)),"")</f>
        <v/>
      </c>
      <c r="N2981" s="55" t="str">
        <f>IFERROR(IF(OR($B2981="",$B2981="(blank)"),"",VLOOKUP($B2981,'Email Marketing Raw Data'!$C:$O,6,0)),"")</f>
        <v/>
      </c>
      <c r="O2981" s="55" t="str">
        <f>IFERROR(IF(OR($B2981="",$B2981="(blank)"),"",VLOOKUP($B2981,'Email Marketing Raw Data'!$C:$O,7,0)),"")</f>
        <v/>
      </c>
      <c r="P2981" s="55" t="str">
        <f>IFERROR(IF(OR($B2981="",$B2981="(blank)"),"",VLOOKUP($B2981,'Email Marketing Raw Data'!$C:$O,8,0)),"")</f>
        <v/>
      </c>
      <c r="Q2981" s="62" t="str">
        <f>IFERROR(IF(OR($B2981="",$B2981="(blank)"),"",VLOOKUP($B2981,'Email Marketing Raw Data'!$C:$O,9,0)),"")</f>
        <v/>
      </c>
    </row>
    <row r="2982" spans="4:17" ht="12.75" customHeight="1" x14ac:dyDescent="0.2">
      <c r="D2982" s="58" t="str">
        <f>IFERROR(IF(F2982&lt;&gt;"pending","",IF(OR($B2982="",$B2982="(blank)"),"",VLOOKUP($B2982,'Email Marketing Raw Data'!$C:$O,10,0))),"")</f>
        <v/>
      </c>
      <c r="E2982" s="59" t="str">
        <f>IFERROR(IF(F2982&lt;&gt;"pending","",IF(OR($B2982="",$B2982="(blank)"),"",VLOOKUP($B2982,'Email Marketing Raw Data'!$C:$O,11,0))),"")</f>
        <v/>
      </c>
      <c r="F2982" s="54" t="str">
        <f>IFERROR(IF(OR($B2982="",$B2982="(blank)"),"",VLOOKUP($B2982,'Email Marketing Raw Data'!$C:$O,13,0)),"")</f>
        <v/>
      </c>
      <c r="G2982" s="55" t="str">
        <f>IFERROR(IF(OR($B2982="",$B2982="(blank)"),"",VLOOKUP($B2982,'Email Marketing Raw Data'!$C:$O,4,0)),"")</f>
        <v/>
      </c>
      <c r="H2982" s="55" t="str">
        <f>IFERROR(IF(OR($B2982="",$B2982="(blank)"),"",VLOOKUP($B2982,'Email Marketing Raw Data'!$C:$O,5,0)),"")</f>
        <v/>
      </c>
      <c r="I2982" s="55" t="str">
        <f>IFERROR(IF($G2982="","",VLOOKUP('Dashboard And Emails Automate'!$G2982,Database!$H:$N,3,0)),"")</f>
        <v/>
      </c>
      <c r="J2982" s="55" t="str">
        <f>IFERROR(IF($G2982="","",VLOOKUP('Dashboard And Emails Automate'!$G2982,Database!$H:$N,4,0)),"")</f>
        <v/>
      </c>
      <c r="K2982" s="55" t="str">
        <f>IFERROR(IF($G2982="","",VLOOKUP('Dashboard And Emails Automate'!$G2982,Database!$H:$N,5,0)),"")</f>
        <v/>
      </c>
      <c r="L2982" s="55" t="str">
        <f>IFERROR(IF($G2982="","",VLOOKUP('Dashboard And Emails Automate'!$G2982,Database!$H:$N,6,0)),"")</f>
        <v/>
      </c>
      <c r="M2982" s="55" t="str">
        <f>IFERROR(IF($G2982="","",VLOOKUP('Dashboard And Emails Automate'!$G2982,Database!$H:$N,7,0)),"")</f>
        <v/>
      </c>
      <c r="N2982" s="55" t="str">
        <f>IFERROR(IF(OR($B2982="",$B2982="(blank)"),"",VLOOKUP($B2982,'Email Marketing Raw Data'!$C:$O,6,0)),"")</f>
        <v/>
      </c>
      <c r="O2982" s="55" t="str">
        <f>IFERROR(IF(OR($B2982="",$B2982="(blank)"),"",VLOOKUP($B2982,'Email Marketing Raw Data'!$C:$O,7,0)),"")</f>
        <v/>
      </c>
      <c r="P2982" s="55" t="str">
        <f>IFERROR(IF(OR($B2982="",$B2982="(blank)"),"",VLOOKUP($B2982,'Email Marketing Raw Data'!$C:$O,8,0)),"")</f>
        <v/>
      </c>
      <c r="Q2982" s="62" t="str">
        <f>IFERROR(IF(OR($B2982="",$B2982="(blank)"),"",VLOOKUP($B2982,'Email Marketing Raw Data'!$C:$O,9,0)),"")</f>
        <v/>
      </c>
    </row>
    <row r="2983" spans="4:17" ht="12.75" customHeight="1" x14ac:dyDescent="0.2">
      <c r="D2983" s="58" t="str">
        <f>IFERROR(IF(F2983&lt;&gt;"pending","",IF(OR($B2983="",$B2983="(blank)"),"",VLOOKUP($B2983,'Email Marketing Raw Data'!$C:$O,10,0))),"")</f>
        <v/>
      </c>
      <c r="E2983" s="59" t="str">
        <f>IFERROR(IF(F2983&lt;&gt;"pending","",IF(OR($B2983="",$B2983="(blank)"),"",VLOOKUP($B2983,'Email Marketing Raw Data'!$C:$O,11,0))),"")</f>
        <v/>
      </c>
      <c r="F2983" s="54" t="str">
        <f>IFERROR(IF(OR($B2983="",$B2983="(blank)"),"",VLOOKUP($B2983,'Email Marketing Raw Data'!$C:$O,13,0)),"")</f>
        <v/>
      </c>
      <c r="G2983" s="55" t="str">
        <f>IFERROR(IF(OR($B2983="",$B2983="(blank)"),"",VLOOKUP($B2983,'Email Marketing Raw Data'!$C:$O,4,0)),"")</f>
        <v/>
      </c>
      <c r="H2983" s="55" t="str">
        <f>IFERROR(IF(OR($B2983="",$B2983="(blank)"),"",VLOOKUP($B2983,'Email Marketing Raw Data'!$C:$O,5,0)),"")</f>
        <v/>
      </c>
      <c r="I2983" s="55" t="str">
        <f>IFERROR(IF($G2983="","",VLOOKUP('Dashboard And Emails Automate'!$G2983,Database!$H:$N,3,0)),"")</f>
        <v/>
      </c>
      <c r="J2983" s="55" t="str">
        <f>IFERROR(IF($G2983="","",VLOOKUP('Dashboard And Emails Automate'!$G2983,Database!$H:$N,4,0)),"")</f>
        <v/>
      </c>
      <c r="K2983" s="55" t="str">
        <f>IFERROR(IF($G2983="","",VLOOKUP('Dashboard And Emails Automate'!$G2983,Database!$H:$N,5,0)),"")</f>
        <v/>
      </c>
      <c r="L2983" s="55" t="str">
        <f>IFERROR(IF($G2983="","",VLOOKUP('Dashboard And Emails Automate'!$G2983,Database!$H:$N,6,0)),"")</f>
        <v/>
      </c>
      <c r="M2983" s="55" t="str">
        <f>IFERROR(IF($G2983="","",VLOOKUP('Dashboard And Emails Automate'!$G2983,Database!$H:$N,7,0)),"")</f>
        <v/>
      </c>
      <c r="N2983" s="55" t="str">
        <f>IFERROR(IF(OR($B2983="",$B2983="(blank)"),"",VLOOKUP($B2983,'Email Marketing Raw Data'!$C:$O,6,0)),"")</f>
        <v/>
      </c>
      <c r="O2983" s="55" t="str">
        <f>IFERROR(IF(OR($B2983="",$B2983="(blank)"),"",VLOOKUP($B2983,'Email Marketing Raw Data'!$C:$O,7,0)),"")</f>
        <v/>
      </c>
      <c r="P2983" s="55" t="str">
        <f>IFERROR(IF(OR($B2983="",$B2983="(blank)"),"",VLOOKUP($B2983,'Email Marketing Raw Data'!$C:$O,8,0)),"")</f>
        <v/>
      </c>
      <c r="Q2983" s="62" t="str">
        <f>IFERROR(IF(OR($B2983="",$B2983="(blank)"),"",VLOOKUP($B2983,'Email Marketing Raw Data'!$C:$O,9,0)),"")</f>
        <v/>
      </c>
    </row>
    <row r="2984" spans="4:17" ht="12.75" customHeight="1" x14ac:dyDescent="0.2">
      <c r="D2984" s="58" t="str">
        <f>IFERROR(IF(F2984&lt;&gt;"pending","",IF(OR($B2984="",$B2984="(blank)"),"",VLOOKUP($B2984,'Email Marketing Raw Data'!$C:$O,10,0))),"")</f>
        <v/>
      </c>
      <c r="E2984" s="59" t="str">
        <f>IFERROR(IF(F2984&lt;&gt;"pending","",IF(OR($B2984="",$B2984="(blank)"),"",VLOOKUP($B2984,'Email Marketing Raw Data'!$C:$O,11,0))),"")</f>
        <v/>
      </c>
      <c r="F2984" s="54" t="str">
        <f>IFERROR(IF(OR($B2984="",$B2984="(blank)"),"",VLOOKUP($B2984,'Email Marketing Raw Data'!$C:$O,13,0)),"")</f>
        <v/>
      </c>
      <c r="G2984" s="55" t="str">
        <f>IFERROR(IF(OR($B2984="",$B2984="(blank)"),"",VLOOKUP($B2984,'Email Marketing Raw Data'!$C:$O,4,0)),"")</f>
        <v/>
      </c>
      <c r="H2984" s="55" t="str">
        <f>IFERROR(IF(OR($B2984="",$B2984="(blank)"),"",VLOOKUP($B2984,'Email Marketing Raw Data'!$C:$O,5,0)),"")</f>
        <v/>
      </c>
      <c r="I2984" s="55" t="str">
        <f>IFERROR(IF($G2984="","",VLOOKUP('Dashboard And Emails Automate'!$G2984,Database!$H:$N,3,0)),"")</f>
        <v/>
      </c>
      <c r="J2984" s="55" t="str">
        <f>IFERROR(IF($G2984="","",VLOOKUP('Dashboard And Emails Automate'!$G2984,Database!$H:$N,4,0)),"")</f>
        <v/>
      </c>
      <c r="K2984" s="55" t="str">
        <f>IFERROR(IF($G2984="","",VLOOKUP('Dashboard And Emails Automate'!$G2984,Database!$H:$N,5,0)),"")</f>
        <v/>
      </c>
      <c r="L2984" s="55" t="str">
        <f>IFERROR(IF($G2984="","",VLOOKUP('Dashboard And Emails Automate'!$G2984,Database!$H:$N,6,0)),"")</f>
        <v/>
      </c>
      <c r="M2984" s="55" t="str">
        <f>IFERROR(IF($G2984="","",VLOOKUP('Dashboard And Emails Automate'!$G2984,Database!$H:$N,7,0)),"")</f>
        <v/>
      </c>
      <c r="N2984" s="55" t="str">
        <f>IFERROR(IF(OR($B2984="",$B2984="(blank)"),"",VLOOKUP($B2984,'Email Marketing Raw Data'!$C:$O,6,0)),"")</f>
        <v/>
      </c>
      <c r="O2984" s="55" t="str">
        <f>IFERROR(IF(OR($B2984="",$B2984="(blank)"),"",VLOOKUP($B2984,'Email Marketing Raw Data'!$C:$O,7,0)),"")</f>
        <v/>
      </c>
      <c r="P2984" s="55" t="str">
        <f>IFERROR(IF(OR($B2984="",$B2984="(blank)"),"",VLOOKUP($B2984,'Email Marketing Raw Data'!$C:$O,8,0)),"")</f>
        <v/>
      </c>
      <c r="Q2984" s="62" t="str">
        <f>IFERROR(IF(OR($B2984="",$B2984="(blank)"),"",VLOOKUP($B2984,'Email Marketing Raw Data'!$C:$O,9,0)),"")</f>
        <v/>
      </c>
    </row>
    <row r="2985" spans="4:17" ht="12.75" customHeight="1" x14ac:dyDescent="0.2">
      <c r="D2985" s="58" t="str">
        <f>IFERROR(IF(F2985&lt;&gt;"pending","",IF(OR($B2985="",$B2985="(blank)"),"",VLOOKUP($B2985,'Email Marketing Raw Data'!$C:$O,10,0))),"")</f>
        <v/>
      </c>
      <c r="E2985" s="59" t="str">
        <f>IFERROR(IF(F2985&lt;&gt;"pending","",IF(OR($B2985="",$B2985="(blank)"),"",VLOOKUP($B2985,'Email Marketing Raw Data'!$C:$O,11,0))),"")</f>
        <v/>
      </c>
      <c r="F2985" s="54" t="str">
        <f>IFERROR(IF(OR($B2985="",$B2985="(blank)"),"",VLOOKUP($B2985,'Email Marketing Raw Data'!$C:$O,13,0)),"")</f>
        <v/>
      </c>
      <c r="G2985" s="55" t="str">
        <f>IFERROR(IF(OR($B2985="",$B2985="(blank)"),"",VLOOKUP($B2985,'Email Marketing Raw Data'!$C:$O,4,0)),"")</f>
        <v/>
      </c>
      <c r="H2985" s="55" t="str">
        <f>IFERROR(IF(OR($B2985="",$B2985="(blank)"),"",VLOOKUP($B2985,'Email Marketing Raw Data'!$C:$O,5,0)),"")</f>
        <v/>
      </c>
      <c r="I2985" s="55" t="str">
        <f>IFERROR(IF($G2985="","",VLOOKUP('Dashboard And Emails Automate'!$G2985,Database!$H:$N,3,0)),"")</f>
        <v/>
      </c>
      <c r="J2985" s="55" t="str">
        <f>IFERROR(IF($G2985="","",VLOOKUP('Dashboard And Emails Automate'!$G2985,Database!$H:$N,4,0)),"")</f>
        <v/>
      </c>
      <c r="K2985" s="55" t="str">
        <f>IFERROR(IF($G2985="","",VLOOKUP('Dashboard And Emails Automate'!$G2985,Database!$H:$N,5,0)),"")</f>
        <v/>
      </c>
      <c r="L2985" s="55" t="str">
        <f>IFERROR(IF($G2985="","",VLOOKUP('Dashboard And Emails Automate'!$G2985,Database!$H:$N,6,0)),"")</f>
        <v/>
      </c>
      <c r="M2985" s="55" t="str">
        <f>IFERROR(IF($G2985="","",VLOOKUP('Dashboard And Emails Automate'!$G2985,Database!$H:$N,7,0)),"")</f>
        <v/>
      </c>
      <c r="N2985" s="55" t="str">
        <f>IFERROR(IF(OR($B2985="",$B2985="(blank)"),"",VLOOKUP($B2985,'Email Marketing Raw Data'!$C:$O,6,0)),"")</f>
        <v/>
      </c>
      <c r="O2985" s="55" t="str">
        <f>IFERROR(IF(OR($B2985="",$B2985="(blank)"),"",VLOOKUP($B2985,'Email Marketing Raw Data'!$C:$O,7,0)),"")</f>
        <v/>
      </c>
      <c r="P2985" s="55" t="str">
        <f>IFERROR(IF(OR($B2985="",$B2985="(blank)"),"",VLOOKUP($B2985,'Email Marketing Raw Data'!$C:$O,8,0)),"")</f>
        <v/>
      </c>
      <c r="Q2985" s="62" t="str">
        <f>IFERROR(IF(OR($B2985="",$B2985="(blank)"),"",VLOOKUP($B2985,'Email Marketing Raw Data'!$C:$O,9,0)),"")</f>
        <v/>
      </c>
    </row>
    <row r="2986" spans="4:17" ht="12.75" customHeight="1" x14ac:dyDescent="0.2">
      <c r="D2986" s="58" t="str">
        <f>IFERROR(IF(F2986&lt;&gt;"pending","",IF(OR($B2986="",$B2986="(blank)"),"",VLOOKUP($B2986,'Email Marketing Raw Data'!$C:$O,10,0))),"")</f>
        <v/>
      </c>
      <c r="E2986" s="59" t="str">
        <f>IFERROR(IF(F2986&lt;&gt;"pending","",IF(OR($B2986="",$B2986="(blank)"),"",VLOOKUP($B2986,'Email Marketing Raw Data'!$C:$O,11,0))),"")</f>
        <v/>
      </c>
      <c r="F2986" s="54" t="str">
        <f>IFERROR(IF(OR($B2986="",$B2986="(blank)"),"",VLOOKUP($B2986,'Email Marketing Raw Data'!$C:$O,13,0)),"")</f>
        <v/>
      </c>
      <c r="G2986" s="55" t="str">
        <f>IFERROR(IF(OR($B2986="",$B2986="(blank)"),"",VLOOKUP($B2986,'Email Marketing Raw Data'!$C:$O,4,0)),"")</f>
        <v/>
      </c>
      <c r="H2986" s="55" t="str">
        <f>IFERROR(IF(OR($B2986="",$B2986="(blank)"),"",VLOOKUP($B2986,'Email Marketing Raw Data'!$C:$O,5,0)),"")</f>
        <v/>
      </c>
      <c r="I2986" s="55" t="str">
        <f>IFERROR(IF($G2986="","",VLOOKUP('Dashboard And Emails Automate'!$G2986,Database!$H:$N,3,0)),"")</f>
        <v/>
      </c>
      <c r="J2986" s="55" t="str">
        <f>IFERROR(IF($G2986="","",VLOOKUP('Dashboard And Emails Automate'!$G2986,Database!$H:$N,4,0)),"")</f>
        <v/>
      </c>
      <c r="K2986" s="55" t="str">
        <f>IFERROR(IF($G2986="","",VLOOKUP('Dashboard And Emails Automate'!$G2986,Database!$H:$N,5,0)),"")</f>
        <v/>
      </c>
      <c r="L2986" s="55" t="str">
        <f>IFERROR(IF($G2986="","",VLOOKUP('Dashboard And Emails Automate'!$G2986,Database!$H:$N,6,0)),"")</f>
        <v/>
      </c>
      <c r="M2986" s="55" t="str">
        <f>IFERROR(IF($G2986="","",VLOOKUP('Dashboard And Emails Automate'!$G2986,Database!$H:$N,7,0)),"")</f>
        <v/>
      </c>
      <c r="N2986" s="55" t="str">
        <f>IFERROR(IF(OR($B2986="",$B2986="(blank)"),"",VLOOKUP($B2986,'Email Marketing Raw Data'!$C:$O,6,0)),"")</f>
        <v/>
      </c>
      <c r="O2986" s="55" t="str">
        <f>IFERROR(IF(OR($B2986="",$B2986="(blank)"),"",VLOOKUP($B2986,'Email Marketing Raw Data'!$C:$O,7,0)),"")</f>
        <v/>
      </c>
      <c r="P2986" s="55" t="str">
        <f>IFERROR(IF(OR($B2986="",$B2986="(blank)"),"",VLOOKUP($B2986,'Email Marketing Raw Data'!$C:$O,8,0)),"")</f>
        <v/>
      </c>
      <c r="Q2986" s="62" t="str">
        <f>IFERROR(IF(OR($B2986="",$B2986="(blank)"),"",VLOOKUP($B2986,'Email Marketing Raw Data'!$C:$O,9,0)),"")</f>
        <v/>
      </c>
    </row>
    <row r="2987" spans="4:17" ht="12.75" customHeight="1" x14ac:dyDescent="0.2">
      <c r="D2987" s="58" t="str">
        <f>IFERROR(IF(F2987&lt;&gt;"pending","",IF(OR($B2987="",$B2987="(blank)"),"",VLOOKUP($B2987,'Email Marketing Raw Data'!$C:$O,10,0))),"")</f>
        <v/>
      </c>
      <c r="E2987" s="59" t="str">
        <f>IFERROR(IF(F2987&lt;&gt;"pending","",IF(OR($B2987="",$B2987="(blank)"),"",VLOOKUP($B2987,'Email Marketing Raw Data'!$C:$O,11,0))),"")</f>
        <v/>
      </c>
      <c r="F2987" s="54" t="str">
        <f>IFERROR(IF(OR($B2987="",$B2987="(blank)"),"",VLOOKUP($B2987,'Email Marketing Raw Data'!$C:$O,13,0)),"")</f>
        <v/>
      </c>
      <c r="G2987" s="55" t="str">
        <f>IFERROR(IF(OR($B2987="",$B2987="(blank)"),"",VLOOKUP($B2987,'Email Marketing Raw Data'!$C:$O,4,0)),"")</f>
        <v/>
      </c>
      <c r="H2987" s="55" t="str">
        <f>IFERROR(IF(OR($B2987="",$B2987="(blank)"),"",VLOOKUP($B2987,'Email Marketing Raw Data'!$C:$O,5,0)),"")</f>
        <v/>
      </c>
      <c r="I2987" s="55" t="str">
        <f>IFERROR(IF($G2987="","",VLOOKUP('Dashboard And Emails Automate'!$G2987,Database!$H:$N,3,0)),"")</f>
        <v/>
      </c>
      <c r="J2987" s="55" t="str">
        <f>IFERROR(IF($G2987="","",VLOOKUP('Dashboard And Emails Automate'!$G2987,Database!$H:$N,4,0)),"")</f>
        <v/>
      </c>
      <c r="K2987" s="55" t="str">
        <f>IFERROR(IF($G2987="","",VLOOKUP('Dashboard And Emails Automate'!$G2987,Database!$H:$N,5,0)),"")</f>
        <v/>
      </c>
      <c r="L2987" s="55" t="str">
        <f>IFERROR(IF($G2987="","",VLOOKUP('Dashboard And Emails Automate'!$G2987,Database!$H:$N,6,0)),"")</f>
        <v/>
      </c>
      <c r="M2987" s="55" t="str">
        <f>IFERROR(IF($G2987="","",VLOOKUP('Dashboard And Emails Automate'!$G2987,Database!$H:$N,7,0)),"")</f>
        <v/>
      </c>
      <c r="N2987" s="55" t="str">
        <f>IFERROR(IF(OR($B2987="",$B2987="(blank)"),"",VLOOKUP($B2987,'Email Marketing Raw Data'!$C:$O,6,0)),"")</f>
        <v/>
      </c>
      <c r="O2987" s="55" t="str">
        <f>IFERROR(IF(OR($B2987="",$B2987="(blank)"),"",VLOOKUP($B2987,'Email Marketing Raw Data'!$C:$O,7,0)),"")</f>
        <v/>
      </c>
      <c r="P2987" s="55" t="str">
        <f>IFERROR(IF(OR($B2987="",$B2987="(blank)"),"",VLOOKUP($B2987,'Email Marketing Raw Data'!$C:$O,8,0)),"")</f>
        <v/>
      </c>
      <c r="Q2987" s="62" t="str">
        <f>IFERROR(IF(OR($B2987="",$B2987="(blank)"),"",VLOOKUP($B2987,'Email Marketing Raw Data'!$C:$O,9,0)),"")</f>
        <v/>
      </c>
    </row>
    <row r="2988" spans="4:17" ht="12.75" customHeight="1" x14ac:dyDescent="0.2">
      <c r="D2988" s="58" t="str">
        <f>IFERROR(IF(F2988&lt;&gt;"pending","",IF(OR($B2988="",$B2988="(blank)"),"",VLOOKUP($B2988,'Email Marketing Raw Data'!$C:$O,10,0))),"")</f>
        <v/>
      </c>
      <c r="E2988" s="59" t="str">
        <f>IFERROR(IF(F2988&lt;&gt;"pending","",IF(OR($B2988="",$B2988="(blank)"),"",VLOOKUP($B2988,'Email Marketing Raw Data'!$C:$O,11,0))),"")</f>
        <v/>
      </c>
      <c r="F2988" s="54" t="str">
        <f>IFERROR(IF(OR($B2988="",$B2988="(blank)"),"",VLOOKUP($B2988,'Email Marketing Raw Data'!$C:$O,13,0)),"")</f>
        <v/>
      </c>
      <c r="G2988" s="55" t="str">
        <f>IFERROR(IF(OR($B2988="",$B2988="(blank)"),"",VLOOKUP($B2988,'Email Marketing Raw Data'!$C:$O,4,0)),"")</f>
        <v/>
      </c>
      <c r="H2988" s="55" t="str">
        <f>IFERROR(IF(OR($B2988="",$B2988="(blank)"),"",VLOOKUP($B2988,'Email Marketing Raw Data'!$C:$O,5,0)),"")</f>
        <v/>
      </c>
      <c r="I2988" s="55" t="str">
        <f>IFERROR(IF($G2988="","",VLOOKUP('Dashboard And Emails Automate'!$G2988,Database!$H:$N,3,0)),"")</f>
        <v/>
      </c>
      <c r="J2988" s="55" t="str">
        <f>IFERROR(IF($G2988="","",VLOOKUP('Dashboard And Emails Automate'!$G2988,Database!$H:$N,4,0)),"")</f>
        <v/>
      </c>
      <c r="K2988" s="55" t="str">
        <f>IFERROR(IF($G2988="","",VLOOKUP('Dashboard And Emails Automate'!$G2988,Database!$H:$N,5,0)),"")</f>
        <v/>
      </c>
      <c r="L2988" s="55" t="str">
        <f>IFERROR(IF($G2988="","",VLOOKUP('Dashboard And Emails Automate'!$G2988,Database!$H:$N,6,0)),"")</f>
        <v/>
      </c>
      <c r="M2988" s="55" t="str">
        <f>IFERROR(IF($G2988="","",VLOOKUP('Dashboard And Emails Automate'!$G2988,Database!$H:$N,7,0)),"")</f>
        <v/>
      </c>
      <c r="N2988" s="55" t="str">
        <f>IFERROR(IF(OR($B2988="",$B2988="(blank)"),"",VLOOKUP($B2988,'Email Marketing Raw Data'!$C:$O,6,0)),"")</f>
        <v/>
      </c>
      <c r="O2988" s="55" t="str">
        <f>IFERROR(IF(OR($B2988="",$B2988="(blank)"),"",VLOOKUP($B2988,'Email Marketing Raw Data'!$C:$O,7,0)),"")</f>
        <v/>
      </c>
      <c r="P2988" s="55" t="str">
        <f>IFERROR(IF(OR($B2988="",$B2988="(blank)"),"",VLOOKUP($B2988,'Email Marketing Raw Data'!$C:$O,8,0)),"")</f>
        <v/>
      </c>
      <c r="Q2988" s="62" t="str">
        <f>IFERROR(IF(OR($B2988="",$B2988="(blank)"),"",VLOOKUP($B2988,'Email Marketing Raw Data'!$C:$O,9,0)),"")</f>
        <v/>
      </c>
    </row>
    <row r="2989" spans="4:17" ht="12.75" customHeight="1" x14ac:dyDescent="0.2">
      <c r="D2989" s="58" t="str">
        <f>IFERROR(IF(F2989&lt;&gt;"pending","",IF(OR($B2989="",$B2989="(blank)"),"",VLOOKUP($B2989,'Email Marketing Raw Data'!$C:$O,10,0))),"")</f>
        <v/>
      </c>
      <c r="E2989" s="59" t="str">
        <f>IFERROR(IF(F2989&lt;&gt;"pending","",IF(OR($B2989="",$B2989="(blank)"),"",VLOOKUP($B2989,'Email Marketing Raw Data'!$C:$O,11,0))),"")</f>
        <v/>
      </c>
      <c r="F2989" s="54" t="str">
        <f>IFERROR(IF(OR($B2989="",$B2989="(blank)"),"",VLOOKUP($B2989,'Email Marketing Raw Data'!$C:$O,13,0)),"")</f>
        <v/>
      </c>
      <c r="G2989" s="55" t="str">
        <f>IFERROR(IF(OR($B2989="",$B2989="(blank)"),"",VLOOKUP($B2989,'Email Marketing Raw Data'!$C:$O,4,0)),"")</f>
        <v/>
      </c>
      <c r="H2989" s="55" t="str">
        <f>IFERROR(IF(OR($B2989="",$B2989="(blank)"),"",VLOOKUP($B2989,'Email Marketing Raw Data'!$C:$O,5,0)),"")</f>
        <v/>
      </c>
      <c r="I2989" s="55" t="str">
        <f>IFERROR(IF($G2989="","",VLOOKUP('Dashboard And Emails Automate'!$G2989,Database!$H:$N,3,0)),"")</f>
        <v/>
      </c>
      <c r="J2989" s="55" t="str">
        <f>IFERROR(IF($G2989="","",VLOOKUP('Dashboard And Emails Automate'!$G2989,Database!$H:$N,4,0)),"")</f>
        <v/>
      </c>
      <c r="K2989" s="55" t="str">
        <f>IFERROR(IF($G2989="","",VLOOKUP('Dashboard And Emails Automate'!$G2989,Database!$H:$N,5,0)),"")</f>
        <v/>
      </c>
      <c r="L2989" s="55" t="str">
        <f>IFERROR(IF($G2989="","",VLOOKUP('Dashboard And Emails Automate'!$G2989,Database!$H:$N,6,0)),"")</f>
        <v/>
      </c>
      <c r="M2989" s="55" t="str">
        <f>IFERROR(IF($G2989="","",VLOOKUP('Dashboard And Emails Automate'!$G2989,Database!$H:$N,7,0)),"")</f>
        <v/>
      </c>
      <c r="N2989" s="55" t="str">
        <f>IFERROR(IF(OR($B2989="",$B2989="(blank)"),"",VLOOKUP($B2989,'Email Marketing Raw Data'!$C:$O,6,0)),"")</f>
        <v/>
      </c>
      <c r="O2989" s="55" t="str">
        <f>IFERROR(IF(OR($B2989="",$B2989="(blank)"),"",VLOOKUP($B2989,'Email Marketing Raw Data'!$C:$O,7,0)),"")</f>
        <v/>
      </c>
      <c r="P2989" s="55" t="str">
        <f>IFERROR(IF(OR($B2989="",$B2989="(blank)"),"",VLOOKUP($B2989,'Email Marketing Raw Data'!$C:$O,8,0)),"")</f>
        <v/>
      </c>
      <c r="Q2989" s="62" t="str">
        <f>IFERROR(IF(OR($B2989="",$B2989="(blank)"),"",VLOOKUP($B2989,'Email Marketing Raw Data'!$C:$O,9,0)),"")</f>
        <v/>
      </c>
    </row>
    <row r="2990" spans="4:17" ht="12.75" customHeight="1" x14ac:dyDescent="0.2">
      <c r="D2990" s="58" t="str">
        <f>IFERROR(IF(F2990&lt;&gt;"pending","",IF(OR($B2990="",$B2990="(blank)"),"",VLOOKUP($B2990,'Email Marketing Raw Data'!$C:$O,10,0))),"")</f>
        <v/>
      </c>
      <c r="E2990" s="59" t="str">
        <f>IFERROR(IF(F2990&lt;&gt;"pending","",IF(OR($B2990="",$B2990="(blank)"),"",VLOOKUP($B2990,'Email Marketing Raw Data'!$C:$O,11,0))),"")</f>
        <v/>
      </c>
      <c r="F2990" s="54" t="str">
        <f>IFERROR(IF(OR($B2990="",$B2990="(blank)"),"",VLOOKUP($B2990,'Email Marketing Raw Data'!$C:$O,13,0)),"")</f>
        <v/>
      </c>
      <c r="G2990" s="55" t="str">
        <f>IFERROR(IF(OR($B2990="",$B2990="(blank)"),"",VLOOKUP($B2990,'Email Marketing Raw Data'!$C:$O,4,0)),"")</f>
        <v/>
      </c>
      <c r="H2990" s="55" t="str">
        <f>IFERROR(IF(OR($B2990="",$B2990="(blank)"),"",VLOOKUP($B2990,'Email Marketing Raw Data'!$C:$O,5,0)),"")</f>
        <v/>
      </c>
      <c r="I2990" s="55" t="str">
        <f>IFERROR(IF($G2990="","",VLOOKUP('Dashboard And Emails Automate'!$G2990,Database!$H:$N,3,0)),"")</f>
        <v/>
      </c>
      <c r="J2990" s="55" t="str">
        <f>IFERROR(IF($G2990="","",VLOOKUP('Dashboard And Emails Automate'!$G2990,Database!$H:$N,4,0)),"")</f>
        <v/>
      </c>
      <c r="K2990" s="55" t="str">
        <f>IFERROR(IF($G2990="","",VLOOKUP('Dashboard And Emails Automate'!$G2990,Database!$H:$N,5,0)),"")</f>
        <v/>
      </c>
      <c r="L2990" s="55" t="str">
        <f>IFERROR(IF($G2990="","",VLOOKUP('Dashboard And Emails Automate'!$G2990,Database!$H:$N,6,0)),"")</f>
        <v/>
      </c>
      <c r="M2990" s="55" t="str">
        <f>IFERROR(IF($G2990="","",VLOOKUP('Dashboard And Emails Automate'!$G2990,Database!$H:$N,7,0)),"")</f>
        <v/>
      </c>
      <c r="N2990" s="55" t="str">
        <f>IFERROR(IF(OR($B2990="",$B2990="(blank)"),"",VLOOKUP($B2990,'Email Marketing Raw Data'!$C:$O,6,0)),"")</f>
        <v/>
      </c>
      <c r="O2990" s="55" t="str">
        <f>IFERROR(IF(OR($B2990="",$B2990="(blank)"),"",VLOOKUP($B2990,'Email Marketing Raw Data'!$C:$O,7,0)),"")</f>
        <v/>
      </c>
      <c r="P2990" s="55" t="str">
        <f>IFERROR(IF(OR($B2990="",$B2990="(blank)"),"",VLOOKUP($B2990,'Email Marketing Raw Data'!$C:$O,8,0)),"")</f>
        <v/>
      </c>
      <c r="Q2990" s="62" t="str">
        <f>IFERROR(IF(OR($B2990="",$B2990="(blank)"),"",VLOOKUP($B2990,'Email Marketing Raw Data'!$C:$O,9,0)),"")</f>
        <v/>
      </c>
    </row>
    <row r="2991" spans="4:17" ht="12.75" customHeight="1" x14ac:dyDescent="0.2">
      <c r="D2991" s="58" t="str">
        <f>IFERROR(IF(F2991&lt;&gt;"pending","",IF(OR($B2991="",$B2991="(blank)"),"",VLOOKUP($B2991,'Email Marketing Raw Data'!$C:$O,10,0))),"")</f>
        <v/>
      </c>
      <c r="E2991" s="59" t="str">
        <f>IFERROR(IF(F2991&lt;&gt;"pending","",IF(OR($B2991="",$B2991="(blank)"),"",VLOOKUP($B2991,'Email Marketing Raw Data'!$C:$O,11,0))),"")</f>
        <v/>
      </c>
      <c r="F2991" s="54" t="str">
        <f>IFERROR(IF(OR($B2991="",$B2991="(blank)"),"",VLOOKUP($B2991,'Email Marketing Raw Data'!$C:$O,13,0)),"")</f>
        <v/>
      </c>
      <c r="G2991" s="55" t="str">
        <f>IFERROR(IF(OR($B2991="",$B2991="(blank)"),"",VLOOKUP($B2991,'Email Marketing Raw Data'!$C:$O,4,0)),"")</f>
        <v/>
      </c>
      <c r="H2991" s="55" t="str">
        <f>IFERROR(IF(OR($B2991="",$B2991="(blank)"),"",VLOOKUP($B2991,'Email Marketing Raw Data'!$C:$O,5,0)),"")</f>
        <v/>
      </c>
      <c r="I2991" s="55" t="str">
        <f>IFERROR(IF($G2991="","",VLOOKUP('Dashboard And Emails Automate'!$G2991,Database!$H:$N,3,0)),"")</f>
        <v/>
      </c>
      <c r="J2991" s="55" t="str">
        <f>IFERROR(IF($G2991="","",VLOOKUP('Dashboard And Emails Automate'!$G2991,Database!$H:$N,4,0)),"")</f>
        <v/>
      </c>
      <c r="K2991" s="55" t="str">
        <f>IFERROR(IF($G2991="","",VLOOKUP('Dashboard And Emails Automate'!$G2991,Database!$H:$N,5,0)),"")</f>
        <v/>
      </c>
      <c r="L2991" s="55" t="str">
        <f>IFERROR(IF($G2991="","",VLOOKUP('Dashboard And Emails Automate'!$G2991,Database!$H:$N,6,0)),"")</f>
        <v/>
      </c>
      <c r="M2991" s="55" t="str">
        <f>IFERROR(IF($G2991="","",VLOOKUP('Dashboard And Emails Automate'!$G2991,Database!$H:$N,7,0)),"")</f>
        <v/>
      </c>
      <c r="N2991" s="55" t="str">
        <f>IFERROR(IF(OR($B2991="",$B2991="(blank)"),"",VLOOKUP($B2991,'Email Marketing Raw Data'!$C:$O,6,0)),"")</f>
        <v/>
      </c>
      <c r="O2991" s="55" t="str">
        <f>IFERROR(IF(OR($B2991="",$B2991="(blank)"),"",VLOOKUP($B2991,'Email Marketing Raw Data'!$C:$O,7,0)),"")</f>
        <v/>
      </c>
      <c r="P2991" s="55" t="str">
        <f>IFERROR(IF(OR($B2991="",$B2991="(blank)"),"",VLOOKUP($B2991,'Email Marketing Raw Data'!$C:$O,8,0)),"")</f>
        <v/>
      </c>
      <c r="Q2991" s="62" t="str">
        <f>IFERROR(IF(OR($B2991="",$B2991="(blank)"),"",VLOOKUP($B2991,'Email Marketing Raw Data'!$C:$O,9,0)),"")</f>
        <v/>
      </c>
    </row>
    <row r="2992" spans="4:17" ht="12.75" customHeight="1" x14ac:dyDescent="0.2">
      <c r="D2992" s="58" t="str">
        <f>IFERROR(IF(F2992&lt;&gt;"pending","",IF(OR($B2992="",$B2992="(blank)"),"",VLOOKUP($B2992,'Email Marketing Raw Data'!$C:$O,10,0))),"")</f>
        <v/>
      </c>
      <c r="E2992" s="59" t="str">
        <f>IFERROR(IF(F2992&lt;&gt;"pending","",IF(OR($B2992="",$B2992="(blank)"),"",VLOOKUP($B2992,'Email Marketing Raw Data'!$C:$O,11,0))),"")</f>
        <v/>
      </c>
      <c r="F2992" s="54" t="str">
        <f>IFERROR(IF(OR($B2992="",$B2992="(blank)"),"",VLOOKUP($B2992,'Email Marketing Raw Data'!$C:$O,13,0)),"")</f>
        <v/>
      </c>
      <c r="G2992" s="55" t="str">
        <f>IFERROR(IF(OR($B2992="",$B2992="(blank)"),"",VLOOKUP($B2992,'Email Marketing Raw Data'!$C:$O,4,0)),"")</f>
        <v/>
      </c>
      <c r="H2992" s="55" t="str">
        <f>IFERROR(IF(OR($B2992="",$B2992="(blank)"),"",VLOOKUP($B2992,'Email Marketing Raw Data'!$C:$O,5,0)),"")</f>
        <v/>
      </c>
      <c r="I2992" s="55" t="str">
        <f>IFERROR(IF($G2992="","",VLOOKUP('Dashboard And Emails Automate'!$G2992,Database!$H:$N,3,0)),"")</f>
        <v/>
      </c>
      <c r="J2992" s="55" t="str">
        <f>IFERROR(IF($G2992="","",VLOOKUP('Dashboard And Emails Automate'!$G2992,Database!$H:$N,4,0)),"")</f>
        <v/>
      </c>
      <c r="K2992" s="55" t="str">
        <f>IFERROR(IF($G2992="","",VLOOKUP('Dashboard And Emails Automate'!$G2992,Database!$H:$N,5,0)),"")</f>
        <v/>
      </c>
      <c r="L2992" s="55" t="str">
        <f>IFERROR(IF($G2992="","",VLOOKUP('Dashboard And Emails Automate'!$G2992,Database!$H:$N,6,0)),"")</f>
        <v/>
      </c>
      <c r="M2992" s="55" t="str">
        <f>IFERROR(IF($G2992="","",VLOOKUP('Dashboard And Emails Automate'!$G2992,Database!$H:$N,7,0)),"")</f>
        <v/>
      </c>
      <c r="N2992" s="55" t="str">
        <f>IFERROR(IF(OR($B2992="",$B2992="(blank)"),"",VLOOKUP($B2992,'Email Marketing Raw Data'!$C:$O,6,0)),"")</f>
        <v/>
      </c>
      <c r="O2992" s="55" t="str">
        <f>IFERROR(IF(OR($B2992="",$B2992="(blank)"),"",VLOOKUP($B2992,'Email Marketing Raw Data'!$C:$O,7,0)),"")</f>
        <v/>
      </c>
      <c r="P2992" s="55" t="str">
        <f>IFERROR(IF(OR($B2992="",$B2992="(blank)"),"",VLOOKUP($B2992,'Email Marketing Raw Data'!$C:$O,8,0)),"")</f>
        <v/>
      </c>
      <c r="Q2992" s="62" t="str">
        <f>IFERROR(IF(OR($B2992="",$B2992="(blank)"),"",VLOOKUP($B2992,'Email Marketing Raw Data'!$C:$O,9,0)),"")</f>
        <v/>
      </c>
    </row>
    <row r="2993" spans="4:17" ht="12.75" customHeight="1" x14ac:dyDescent="0.2">
      <c r="D2993" s="58" t="str">
        <f>IFERROR(IF(F2993&lt;&gt;"pending","",IF(OR($B2993="",$B2993="(blank)"),"",VLOOKUP($B2993,'Email Marketing Raw Data'!$C:$O,10,0))),"")</f>
        <v/>
      </c>
      <c r="E2993" s="59" t="str">
        <f>IFERROR(IF(F2993&lt;&gt;"pending","",IF(OR($B2993="",$B2993="(blank)"),"",VLOOKUP($B2993,'Email Marketing Raw Data'!$C:$O,11,0))),"")</f>
        <v/>
      </c>
      <c r="F2993" s="54" t="str">
        <f>IFERROR(IF(OR($B2993="",$B2993="(blank)"),"",VLOOKUP($B2993,'Email Marketing Raw Data'!$C:$O,13,0)),"")</f>
        <v/>
      </c>
      <c r="G2993" s="55" t="str">
        <f>IFERROR(IF(OR($B2993="",$B2993="(blank)"),"",VLOOKUP($B2993,'Email Marketing Raw Data'!$C:$O,4,0)),"")</f>
        <v/>
      </c>
      <c r="H2993" s="55" t="str">
        <f>IFERROR(IF(OR($B2993="",$B2993="(blank)"),"",VLOOKUP($B2993,'Email Marketing Raw Data'!$C:$O,5,0)),"")</f>
        <v/>
      </c>
      <c r="I2993" s="55" t="str">
        <f>IFERROR(IF($G2993="","",VLOOKUP('Dashboard And Emails Automate'!$G2993,Database!$H:$N,3,0)),"")</f>
        <v/>
      </c>
      <c r="J2993" s="55" t="str">
        <f>IFERROR(IF($G2993="","",VLOOKUP('Dashboard And Emails Automate'!$G2993,Database!$H:$N,4,0)),"")</f>
        <v/>
      </c>
      <c r="K2993" s="55" t="str">
        <f>IFERROR(IF($G2993="","",VLOOKUP('Dashboard And Emails Automate'!$G2993,Database!$H:$N,5,0)),"")</f>
        <v/>
      </c>
      <c r="L2993" s="55" t="str">
        <f>IFERROR(IF($G2993="","",VLOOKUP('Dashboard And Emails Automate'!$G2993,Database!$H:$N,6,0)),"")</f>
        <v/>
      </c>
      <c r="M2993" s="55" t="str">
        <f>IFERROR(IF($G2993="","",VLOOKUP('Dashboard And Emails Automate'!$G2993,Database!$H:$N,7,0)),"")</f>
        <v/>
      </c>
      <c r="N2993" s="55" t="str">
        <f>IFERROR(IF(OR($B2993="",$B2993="(blank)"),"",VLOOKUP($B2993,'Email Marketing Raw Data'!$C:$O,6,0)),"")</f>
        <v/>
      </c>
      <c r="O2993" s="55" t="str">
        <f>IFERROR(IF(OR($B2993="",$B2993="(blank)"),"",VLOOKUP($B2993,'Email Marketing Raw Data'!$C:$O,7,0)),"")</f>
        <v/>
      </c>
      <c r="P2993" s="55" t="str">
        <f>IFERROR(IF(OR($B2993="",$B2993="(blank)"),"",VLOOKUP($B2993,'Email Marketing Raw Data'!$C:$O,8,0)),"")</f>
        <v/>
      </c>
      <c r="Q2993" s="62" t="str">
        <f>IFERROR(IF(OR($B2993="",$B2993="(blank)"),"",VLOOKUP($B2993,'Email Marketing Raw Data'!$C:$O,9,0)),"")</f>
        <v/>
      </c>
    </row>
    <row r="2994" spans="4:17" ht="12.75" customHeight="1" x14ac:dyDescent="0.2">
      <c r="D2994" s="58" t="str">
        <f>IFERROR(IF(F2994&lt;&gt;"pending","",IF(OR($B2994="",$B2994="(blank)"),"",VLOOKUP($B2994,'Email Marketing Raw Data'!$C:$O,10,0))),"")</f>
        <v/>
      </c>
      <c r="E2994" s="59" t="str">
        <f>IFERROR(IF(F2994&lt;&gt;"pending","",IF(OR($B2994="",$B2994="(blank)"),"",VLOOKUP($B2994,'Email Marketing Raw Data'!$C:$O,11,0))),"")</f>
        <v/>
      </c>
      <c r="F2994" s="54" t="str">
        <f>IFERROR(IF(OR($B2994="",$B2994="(blank)"),"",VLOOKUP($B2994,'Email Marketing Raw Data'!$C:$O,13,0)),"")</f>
        <v/>
      </c>
      <c r="G2994" s="55" t="str">
        <f>IFERROR(IF(OR($B2994="",$B2994="(blank)"),"",VLOOKUP($B2994,'Email Marketing Raw Data'!$C:$O,4,0)),"")</f>
        <v/>
      </c>
      <c r="H2994" s="55" t="str">
        <f>IFERROR(IF(OR($B2994="",$B2994="(blank)"),"",VLOOKUP($B2994,'Email Marketing Raw Data'!$C:$O,5,0)),"")</f>
        <v/>
      </c>
      <c r="I2994" s="55" t="str">
        <f>IFERROR(IF($G2994="","",VLOOKUP('Dashboard And Emails Automate'!$G2994,Database!$H:$N,3,0)),"")</f>
        <v/>
      </c>
      <c r="J2994" s="55" t="str">
        <f>IFERROR(IF($G2994="","",VLOOKUP('Dashboard And Emails Automate'!$G2994,Database!$H:$N,4,0)),"")</f>
        <v/>
      </c>
      <c r="K2994" s="55" t="str">
        <f>IFERROR(IF($G2994="","",VLOOKUP('Dashboard And Emails Automate'!$G2994,Database!$H:$N,5,0)),"")</f>
        <v/>
      </c>
      <c r="L2994" s="55" t="str">
        <f>IFERROR(IF($G2994="","",VLOOKUP('Dashboard And Emails Automate'!$G2994,Database!$H:$N,6,0)),"")</f>
        <v/>
      </c>
      <c r="M2994" s="55" t="str">
        <f>IFERROR(IF($G2994="","",VLOOKUP('Dashboard And Emails Automate'!$G2994,Database!$H:$N,7,0)),"")</f>
        <v/>
      </c>
      <c r="N2994" s="55" t="str">
        <f>IFERROR(IF(OR($B2994="",$B2994="(blank)"),"",VLOOKUP($B2994,'Email Marketing Raw Data'!$C:$O,6,0)),"")</f>
        <v/>
      </c>
      <c r="O2994" s="55" t="str">
        <f>IFERROR(IF(OR($B2994="",$B2994="(blank)"),"",VLOOKUP($B2994,'Email Marketing Raw Data'!$C:$O,7,0)),"")</f>
        <v/>
      </c>
      <c r="P2994" s="55" t="str">
        <f>IFERROR(IF(OR($B2994="",$B2994="(blank)"),"",VLOOKUP($B2994,'Email Marketing Raw Data'!$C:$O,8,0)),"")</f>
        <v/>
      </c>
      <c r="Q2994" s="62" t="str">
        <f>IFERROR(IF(OR($B2994="",$B2994="(blank)"),"",VLOOKUP($B2994,'Email Marketing Raw Data'!$C:$O,9,0)),"")</f>
        <v/>
      </c>
    </row>
    <row r="2995" spans="4:17" ht="12.75" customHeight="1" x14ac:dyDescent="0.2">
      <c r="D2995" s="58" t="str">
        <f>IFERROR(IF(F2995&lt;&gt;"pending","",IF(OR($B2995="",$B2995="(blank)"),"",VLOOKUP($B2995,'Email Marketing Raw Data'!$C:$O,10,0))),"")</f>
        <v/>
      </c>
      <c r="E2995" s="59" t="str">
        <f>IFERROR(IF(F2995&lt;&gt;"pending","",IF(OR($B2995="",$B2995="(blank)"),"",VLOOKUP($B2995,'Email Marketing Raw Data'!$C:$O,11,0))),"")</f>
        <v/>
      </c>
      <c r="F2995" s="54" t="str">
        <f>IFERROR(IF(OR($B2995="",$B2995="(blank)"),"",VLOOKUP($B2995,'Email Marketing Raw Data'!$C:$O,13,0)),"")</f>
        <v/>
      </c>
      <c r="G2995" s="55" t="str">
        <f>IFERROR(IF(OR($B2995="",$B2995="(blank)"),"",VLOOKUP($B2995,'Email Marketing Raw Data'!$C:$O,4,0)),"")</f>
        <v/>
      </c>
      <c r="H2995" s="55" t="str">
        <f>IFERROR(IF(OR($B2995="",$B2995="(blank)"),"",VLOOKUP($B2995,'Email Marketing Raw Data'!$C:$O,5,0)),"")</f>
        <v/>
      </c>
      <c r="I2995" s="55" t="str">
        <f>IFERROR(IF($G2995="","",VLOOKUP('Dashboard And Emails Automate'!$G2995,Database!$H:$N,3,0)),"")</f>
        <v/>
      </c>
      <c r="J2995" s="55" t="str">
        <f>IFERROR(IF($G2995="","",VLOOKUP('Dashboard And Emails Automate'!$G2995,Database!$H:$N,4,0)),"")</f>
        <v/>
      </c>
      <c r="K2995" s="55" t="str">
        <f>IFERROR(IF($G2995="","",VLOOKUP('Dashboard And Emails Automate'!$G2995,Database!$H:$N,5,0)),"")</f>
        <v/>
      </c>
      <c r="L2995" s="55" t="str">
        <f>IFERROR(IF($G2995="","",VLOOKUP('Dashboard And Emails Automate'!$G2995,Database!$H:$N,6,0)),"")</f>
        <v/>
      </c>
      <c r="M2995" s="55" t="str">
        <f>IFERROR(IF($G2995="","",VLOOKUP('Dashboard And Emails Automate'!$G2995,Database!$H:$N,7,0)),"")</f>
        <v/>
      </c>
      <c r="N2995" s="55" t="str">
        <f>IFERROR(IF(OR($B2995="",$B2995="(blank)"),"",VLOOKUP($B2995,'Email Marketing Raw Data'!$C:$O,6,0)),"")</f>
        <v/>
      </c>
      <c r="O2995" s="55" t="str">
        <f>IFERROR(IF(OR($B2995="",$B2995="(blank)"),"",VLOOKUP($B2995,'Email Marketing Raw Data'!$C:$O,7,0)),"")</f>
        <v/>
      </c>
      <c r="P2995" s="55" t="str">
        <f>IFERROR(IF(OR($B2995="",$B2995="(blank)"),"",VLOOKUP($B2995,'Email Marketing Raw Data'!$C:$O,8,0)),"")</f>
        <v/>
      </c>
      <c r="Q2995" s="62" t="str">
        <f>IFERROR(IF(OR($B2995="",$B2995="(blank)"),"",VLOOKUP($B2995,'Email Marketing Raw Data'!$C:$O,9,0)),"")</f>
        <v/>
      </c>
    </row>
    <row r="2996" spans="4:17" ht="12.75" customHeight="1" x14ac:dyDescent="0.2">
      <c r="D2996" s="58" t="str">
        <f>IFERROR(IF(F2996&lt;&gt;"pending","",IF(OR($B2996="",$B2996="(blank)"),"",VLOOKUP($B2996,'Email Marketing Raw Data'!$C:$O,10,0))),"")</f>
        <v/>
      </c>
      <c r="E2996" s="59" t="str">
        <f>IFERROR(IF(F2996&lt;&gt;"pending","",IF(OR($B2996="",$B2996="(blank)"),"",VLOOKUP($B2996,'Email Marketing Raw Data'!$C:$O,11,0))),"")</f>
        <v/>
      </c>
      <c r="F2996" s="54" t="str">
        <f>IFERROR(IF(OR($B2996="",$B2996="(blank)"),"",VLOOKUP($B2996,'Email Marketing Raw Data'!$C:$O,13,0)),"")</f>
        <v/>
      </c>
      <c r="G2996" s="55" t="str">
        <f>IFERROR(IF(OR($B2996="",$B2996="(blank)"),"",VLOOKUP($B2996,'Email Marketing Raw Data'!$C:$O,4,0)),"")</f>
        <v/>
      </c>
      <c r="H2996" s="55" t="str">
        <f>IFERROR(IF(OR($B2996="",$B2996="(blank)"),"",VLOOKUP($B2996,'Email Marketing Raw Data'!$C:$O,5,0)),"")</f>
        <v/>
      </c>
      <c r="I2996" s="55" t="str">
        <f>IFERROR(IF($G2996="","",VLOOKUP('Dashboard And Emails Automate'!$G2996,Database!$H:$N,3,0)),"")</f>
        <v/>
      </c>
      <c r="J2996" s="55" t="str">
        <f>IFERROR(IF($G2996="","",VLOOKUP('Dashboard And Emails Automate'!$G2996,Database!$H:$N,4,0)),"")</f>
        <v/>
      </c>
      <c r="K2996" s="55" t="str">
        <f>IFERROR(IF($G2996="","",VLOOKUP('Dashboard And Emails Automate'!$G2996,Database!$H:$N,5,0)),"")</f>
        <v/>
      </c>
      <c r="L2996" s="55" t="str">
        <f>IFERROR(IF($G2996="","",VLOOKUP('Dashboard And Emails Automate'!$G2996,Database!$H:$N,6,0)),"")</f>
        <v/>
      </c>
      <c r="M2996" s="55" t="str">
        <f>IFERROR(IF($G2996="","",VLOOKUP('Dashboard And Emails Automate'!$G2996,Database!$H:$N,7,0)),"")</f>
        <v/>
      </c>
      <c r="N2996" s="55" t="str">
        <f>IFERROR(IF(OR($B2996="",$B2996="(blank)"),"",VLOOKUP($B2996,'Email Marketing Raw Data'!$C:$O,6,0)),"")</f>
        <v/>
      </c>
      <c r="O2996" s="55" t="str">
        <f>IFERROR(IF(OR($B2996="",$B2996="(blank)"),"",VLOOKUP($B2996,'Email Marketing Raw Data'!$C:$O,7,0)),"")</f>
        <v/>
      </c>
      <c r="P2996" s="55" t="str">
        <f>IFERROR(IF(OR($B2996="",$B2996="(blank)"),"",VLOOKUP($B2996,'Email Marketing Raw Data'!$C:$O,8,0)),"")</f>
        <v/>
      </c>
      <c r="Q2996" s="62" t="str">
        <f>IFERROR(IF(OR($B2996="",$B2996="(blank)"),"",VLOOKUP($B2996,'Email Marketing Raw Data'!$C:$O,9,0)),"")</f>
        <v/>
      </c>
    </row>
    <row r="2997" spans="4:17" ht="12.75" customHeight="1" x14ac:dyDescent="0.2">
      <c r="D2997" s="58" t="str">
        <f>IFERROR(IF(F2997&lt;&gt;"pending","",IF(OR($B2997="",$B2997="(blank)"),"",VLOOKUP($B2997,'Email Marketing Raw Data'!$C:$O,10,0))),"")</f>
        <v/>
      </c>
      <c r="E2997" s="59" t="str">
        <f>IFERROR(IF(F2997&lt;&gt;"pending","",IF(OR($B2997="",$B2997="(blank)"),"",VLOOKUP($B2997,'Email Marketing Raw Data'!$C:$O,11,0))),"")</f>
        <v/>
      </c>
      <c r="F2997" s="54" t="str">
        <f>IFERROR(IF(OR($B2997="",$B2997="(blank)"),"",VLOOKUP($B2997,'Email Marketing Raw Data'!$C:$O,13,0)),"")</f>
        <v/>
      </c>
      <c r="G2997" s="55" t="str">
        <f>IFERROR(IF(OR($B2997="",$B2997="(blank)"),"",VLOOKUP($B2997,'Email Marketing Raw Data'!$C:$O,4,0)),"")</f>
        <v/>
      </c>
      <c r="H2997" s="55" t="str">
        <f>IFERROR(IF(OR($B2997="",$B2997="(blank)"),"",VLOOKUP($B2997,'Email Marketing Raw Data'!$C:$O,5,0)),"")</f>
        <v/>
      </c>
      <c r="I2997" s="55" t="str">
        <f>IFERROR(IF($G2997="","",VLOOKUP('Dashboard And Emails Automate'!$G2997,Database!$H:$N,3,0)),"")</f>
        <v/>
      </c>
      <c r="J2997" s="55" t="str">
        <f>IFERROR(IF($G2997="","",VLOOKUP('Dashboard And Emails Automate'!$G2997,Database!$H:$N,4,0)),"")</f>
        <v/>
      </c>
      <c r="K2997" s="55" t="str">
        <f>IFERROR(IF($G2997="","",VLOOKUP('Dashboard And Emails Automate'!$G2997,Database!$H:$N,5,0)),"")</f>
        <v/>
      </c>
      <c r="L2997" s="55" t="str">
        <f>IFERROR(IF($G2997="","",VLOOKUP('Dashboard And Emails Automate'!$G2997,Database!$H:$N,6,0)),"")</f>
        <v/>
      </c>
      <c r="M2997" s="55" t="str">
        <f>IFERROR(IF($G2997="","",VLOOKUP('Dashboard And Emails Automate'!$G2997,Database!$H:$N,7,0)),"")</f>
        <v/>
      </c>
      <c r="N2997" s="55" t="str">
        <f>IFERROR(IF(OR($B2997="",$B2997="(blank)"),"",VLOOKUP($B2997,'Email Marketing Raw Data'!$C:$O,6,0)),"")</f>
        <v/>
      </c>
      <c r="O2997" s="55" t="str">
        <f>IFERROR(IF(OR($B2997="",$B2997="(blank)"),"",VLOOKUP($B2997,'Email Marketing Raw Data'!$C:$O,7,0)),"")</f>
        <v/>
      </c>
      <c r="P2997" s="55" t="str">
        <f>IFERROR(IF(OR($B2997="",$B2997="(blank)"),"",VLOOKUP($B2997,'Email Marketing Raw Data'!$C:$O,8,0)),"")</f>
        <v/>
      </c>
      <c r="Q2997" s="62" t="str">
        <f>IFERROR(IF(OR($B2997="",$B2997="(blank)"),"",VLOOKUP($B2997,'Email Marketing Raw Data'!$C:$O,9,0)),"")</f>
        <v/>
      </c>
    </row>
    <row r="2998" spans="4:17" ht="12.75" customHeight="1" x14ac:dyDescent="0.2">
      <c r="D2998" s="58" t="str">
        <f>IFERROR(IF(F2998&lt;&gt;"pending","",IF(OR($B2998="",$B2998="(blank)"),"",VLOOKUP($B2998,'Email Marketing Raw Data'!$C:$O,10,0))),"")</f>
        <v/>
      </c>
      <c r="E2998" s="59" t="str">
        <f>IFERROR(IF(F2998&lt;&gt;"pending","",IF(OR($B2998="",$B2998="(blank)"),"",VLOOKUP($B2998,'Email Marketing Raw Data'!$C:$O,11,0))),"")</f>
        <v/>
      </c>
      <c r="F2998" s="54" t="str">
        <f>IFERROR(IF(OR($B2998="",$B2998="(blank)"),"",VLOOKUP($B2998,'Email Marketing Raw Data'!$C:$O,13,0)),"")</f>
        <v/>
      </c>
      <c r="G2998" s="55" t="str">
        <f>IFERROR(IF(OR($B2998="",$B2998="(blank)"),"",VLOOKUP($B2998,'Email Marketing Raw Data'!$C:$O,4,0)),"")</f>
        <v/>
      </c>
      <c r="H2998" s="55" t="str">
        <f>IFERROR(IF(OR($B2998="",$B2998="(blank)"),"",VLOOKUP($B2998,'Email Marketing Raw Data'!$C:$O,5,0)),"")</f>
        <v/>
      </c>
      <c r="I2998" s="55" t="str">
        <f>IFERROR(IF($G2998="","",VLOOKUP('Dashboard And Emails Automate'!$G2998,Database!$H:$N,3,0)),"")</f>
        <v/>
      </c>
      <c r="J2998" s="55" t="str">
        <f>IFERROR(IF($G2998="","",VLOOKUP('Dashboard And Emails Automate'!$G2998,Database!$H:$N,4,0)),"")</f>
        <v/>
      </c>
      <c r="K2998" s="55" t="str">
        <f>IFERROR(IF($G2998="","",VLOOKUP('Dashboard And Emails Automate'!$G2998,Database!$H:$N,5,0)),"")</f>
        <v/>
      </c>
      <c r="L2998" s="55" t="str">
        <f>IFERROR(IF($G2998="","",VLOOKUP('Dashboard And Emails Automate'!$G2998,Database!$H:$N,6,0)),"")</f>
        <v/>
      </c>
      <c r="M2998" s="55" t="str">
        <f>IFERROR(IF($G2998="","",VLOOKUP('Dashboard And Emails Automate'!$G2998,Database!$H:$N,7,0)),"")</f>
        <v/>
      </c>
      <c r="N2998" s="55" t="str">
        <f>IFERROR(IF(OR($B2998="",$B2998="(blank)"),"",VLOOKUP($B2998,'Email Marketing Raw Data'!$C:$O,6,0)),"")</f>
        <v/>
      </c>
      <c r="O2998" s="55" t="str">
        <f>IFERROR(IF(OR($B2998="",$B2998="(blank)"),"",VLOOKUP($B2998,'Email Marketing Raw Data'!$C:$O,7,0)),"")</f>
        <v/>
      </c>
      <c r="P2998" s="55" t="str">
        <f>IFERROR(IF(OR($B2998="",$B2998="(blank)"),"",VLOOKUP($B2998,'Email Marketing Raw Data'!$C:$O,8,0)),"")</f>
        <v/>
      </c>
      <c r="Q2998" s="62" t="str">
        <f>IFERROR(IF(OR($B2998="",$B2998="(blank)"),"",VLOOKUP($B2998,'Email Marketing Raw Data'!$C:$O,9,0)),"")</f>
        <v/>
      </c>
    </row>
    <row r="2999" spans="4:17" ht="12.75" customHeight="1" x14ac:dyDescent="0.2">
      <c r="D2999" s="58" t="str">
        <f>IFERROR(IF(F2999&lt;&gt;"pending","",IF(OR($B2999="",$B2999="(blank)"),"",VLOOKUP($B2999,'Email Marketing Raw Data'!$C:$O,10,0))),"")</f>
        <v/>
      </c>
      <c r="E2999" s="59" t="str">
        <f>IFERROR(IF(F2999&lt;&gt;"pending","",IF(OR($B2999="",$B2999="(blank)"),"",VLOOKUP($B2999,'Email Marketing Raw Data'!$C:$O,11,0))),"")</f>
        <v/>
      </c>
      <c r="F2999" s="54" t="str">
        <f>IFERROR(IF(OR($B2999="",$B2999="(blank)"),"",VLOOKUP($B2999,'Email Marketing Raw Data'!$C:$O,13,0)),"")</f>
        <v/>
      </c>
      <c r="G2999" s="55" t="str">
        <f>IFERROR(IF(OR($B2999="",$B2999="(blank)"),"",VLOOKUP($B2999,'Email Marketing Raw Data'!$C:$O,4,0)),"")</f>
        <v/>
      </c>
      <c r="H2999" s="55" t="str">
        <f>IFERROR(IF(OR($B2999="",$B2999="(blank)"),"",VLOOKUP($B2999,'Email Marketing Raw Data'!$C:$O,5,0)),"")</f>
        <v/>
      </c>
      <c r="I2999" s="55" t="str">
        <f>IFERROR(IF($G2999="","",VLOOKUP('Dashboard And Emails Automate'!$G2999,Database!$H:$N,3,0)),"")</f>
        <v/>
      </c>
      <c r="J2999" s="55" t="str">
        <f>IFERROR(IF($G2999="","",VLOOKUP('Dashboard And Emails Automate'!$G2999,Database!$H:$N,4,0)),"")</f>
        <v/>
      </c>
      <c r="K2999" s="55" t="str">
        <f>IFERROR(IF($G2999="","",VLOOKUP('Dashboard And Emails Automate'!$G2999,Database!$H:$N,5,0)),"")</f>
        <v/>
      </c>
      <c r="L2999" s="55" t="str">
        <f>IFERROR(IF($G2999="","",VLOOKUP('Dashboard And Emails Automate'!$G2999,Database!$H:$N,6,0)),"")</f>
        <v/>
      </c>
      <c r="M2999" s="55" t="str">
        <f>IFERROR(IF($G2999="","",VLOOKUP('Dashboard And Emails Automate'!$G2999,Database!$H:$N,7,0)),"")</f>
        <v/>
      </c>
      <c r="N2999" s="55" t="str">
        <f>IFERROR(IF(OR($B2999="",$B2999="(blank)"),"",VLOOKUP($B2999,'Email Marketing Raw Data'!$C:$O,6,0)),"")</f>
        <v/>
      </c>
      <c r="O2999" s="55" t="str">
        <f>IFERROR(IF(OR($B2999="",$B2999="(blank)"),"",VLOOKUP($B2999,'Email Marketing Raw Data'!$C:$O,7,0)),"")</f>
        <v/>
      </c>
      <c r="P2999" s="55" t="str">
        <f>IFERROR(IF(OR($B2999="",$B2999="(blank)"),"",VLOOKUP($B2999,'Email Marketing Raw Data'!$C:$O,8,0)),"")</f>
        <v/>
      </c>
      <c r="Q2999" s="62" t="str">
        <f>IFERROR(IF(OR($B2999="",$B2999="(blank)"),"",VLOOKUP($B2999,'Email Marketing Raw Data'!$C:$O,9,0)),"")</f>
        <v/>
      </c>
    </row>
    <row r="3000" spans="4:17" ht="12.75" customHeight="1" x14ac:dyDescent="0.2">
      <c r="D3000" s="58" t="str">
        <f>IFERROR(IF(F3000&lt;&gt;"pending","",IF(OR($B3000="",$B3000="(blank)"),"",VLOOKUP($B3000,'Email Marketing Raw Data'!$C:$O,10,0))),"")</f>
        <v/>
      </c>
      <c r="E3000" s="59" t="str">
        <f>IFERROR(IF(F3000&lt;&gt;"pending","",IF(OR($B3000="",$B3000="(blank)"),"",VLOOKUP($B3000,'Email Marketing Raw Data'!$C:$O,11,0))),"")</f>
        <v/>
      </c>
      <c r="F3000" s="54" t="str">
        <f>IFERROR(IF(OR($B3000="",$B3000="(blank)"),"",VLOOKUP($B3000,'Email Marketing Raw Data'!$C:$O,13,0)),"")</f>
        <v/>
      </c>
      <c r="G3000" s="55" t="str">
        <f>IFERROR(IF(OR($B3000="",$B3000="(blank)"),"",VLOOKUP($B3000,'Email Marketing Raw Data'!$C:$O,4,0)),"")</f>
        <v/>
      </c>
      <c r="H3000" s="55" t="str">
        <f>IFERROR(IF(OR($B3000="",$B3000="(blank)"),"",VLOOKUP($B3000,'Email Marketing Raw Data'!$C:$O,5,0)),"")</f>
        <v/>
      </c>
      <c r="I3000" s="55" t="str">
        <f>IFERROR(IF($G3000="","",VLOOKUP('Dashboard And Emails Automate'!$G3000,Database!$H:$N,3,0)),"")</f>
        <v/>
      </c>
      <c r="J3000" s="55" t="str">
        <f>IFERROR(IF($G3000="","",VLOOKUP('Dashboard And Emails Automate'!$G3000,Database!$H:$N,4,0)),"")</f>
        <v/>
      </c>
      <c r="K3000" s="55" t="str">
        <f>IFERROR(IF($G3000="","",VLOOKUP('Dashboard And Emails Automate'!$G3000,Database!$H:$N,5,0)),"")</f>
        <v/>
      </c>
      <c r="L3000" s="55" t="str">
        <f>IFERROR(IF($G3000="","",VLOOKUP('Dashboard And Emails Automate'!$G3000,Database!$H:$N,6,0)),"")</f>
        <v/>
      </c>
      <c r="M3000" s="55" t="str">
        <f>IFERROR(IF($G3000="","",VLOOKUP('Dashboard And Emails Automate'!$G3000,Database!$H:$N,7,0)),"")</f>
        <v/>
      </c>
      <c r="N3000" s="55" t="str">
        <f>IFERROR(IF(OR($B3000="",$B3000="(blank)"),"",VLOOKUP($B3000,'Email Marketing Raw Data'!$C:$O,6,0)),"")</f>
        <v/>
      </c>
      <c r="O3000" s="55" t="str">
        <f>IFERROR(IF(OR($B3000="",$B3000="(blank)"),"",VLOOKUP($B3000,'Email Marketing Raw Data'!$C:$O,7,0)),"")</f>
        <v/>
      </c>
      <c r="P3000" s="55" t="str">
        <f>IFERROR(IF(OR($B3000="",$B3000="(blank)"),"",VLOOKUP($B3000,'Email Marketing Raw Data'!$C:$O,8,0)),"")</f>
        <v/>
      </c>
      <c r="Q3000" s="62" t="str">
        <f>IFERROR(IF(OR($B3000="",$B3000="(blank)"),"",VLOOKUP($B3000,'Email Marketing Raw Data'!$C:$O,9,0)),"")</f>
        <v/>
      </c>
    </row>
    <row r="3001" spans="4:17" ht="12.75" customHeight="1" x14ac:dyDescent="0.2">
      <c r="D3001" s="58" t="str">
        <f>IFERROR(IF(F3001&lt;&gt;"pending","",IF(OR($B3001="",$B3001="(blank)"),"",VLOOKUP($B3001,'Email Marketing Raw Data'!$C:$O,10,0))),"")</f>
        <v/>
      </c>
      <c r="E3001" s="59" t="str">
        <f>IFERROR(IF(F3001&lt;&gt;"pending","",IF(OR($B3001="",$B3001="(blank)"),"",VLOOKUP($B3001,'Email Marketing Raw Data'!$C:$O,11,0))),"")</f>
        <v/>
      </c>
      <c r="F3001" s="54" t="str">
        <f>IFERROR(IF(OR($B3001="",$B3001="(blank)"),"",VLOOKUP($B3001,'Email Marketing Raw Data'!$C:$O,13,0)),"")</f>
        <v/>
      </c>
      <c r="G3001" s="55" t="str">
        <f>IFERROR(IF(OR($B3001="",$B3001="(blank)"),"",VLOOKUP($B3001,'Email Marketing Raw Data'!$C:$O,4,0)),"")</f>
        <v/>
      </c>
      <c r="H3001" s="55" t="str">
        <f>IFERROR(IF(OR($B3001="",$B3001="(blank)"),"",VLOOKUP($B3001,'Email Marketing Raw Data'!$C:$O,5,0)),"")</f>
        <v/>
      </c>
      <c r="I3001" s="55" t="str">
        <f>IFERROR(IF($G3001="","",VLOOKUP('Dashboard And Emails Automate'!$G3001,Database!$H:$N,3,0)),"")</f>
        <v/>
      </c>
      <c r="J3001" s="55" t="str">
        <f>IFERROR(IF($G3001="","",VLOOKUP('Dashboard And Emails Automate'!$G3001,Database!$H:$N,4,0)),"")</f>
        <v/>
      </c>
      <c r="K3001" s="55" t="str">
        <f>IFERROR(IF($G3001="","",VLOOKUP('Dashboard And Emails Automate'!$G3001,Database!$H:$N,5,0)),"")</f>
        <v/>
      </c>
      <c r="L3001" s="55" t="str">
        <f>IFERROR(IF($G3001="","",VLOOKUP('Dashboard And Emails Automate'!$G3001,Database!$H:$N,6,0)),"")</f>
        <v/>
      </c>
      <c r="M3001" s="55" t="str">
        <f>IFERROR(IF($G3001="","",VLOOKUP('Dashboard And Emails Automate'!$G3001,Database!$H:$N,7,0)),"")</f>
        <v/>
      </c>
      <c r="N3001" s="55" t="str">
        <f>IFERROR(IF(OR($B3001="",$B3001="(blank)"),"",VLOOKUP($B3001,'Email Marketing Raw Data'!$C:$O,6,0)),"")</f>
        <v/>
      </c>
      <c r="O3001" s="55" t="str">
        <f>IFERROR(IF(OR($B3001="",$B3001="(blank)"),"",VLOOKUP($B3001,'Email Marketing Raw Data'!$C:$O,7,0)),"")</f>
        <v/>
      </c>
      <c r="P3001" s="55" t="str">
        <f>IFERROR(IF(OR($B3001="",$B3001="(blank)"),"",VLOOKUP($B3001,'Email Marketing Raw Data'!$C:$O,8,0)),"")</f>
        <v/>
      </c>
      <c r="Q3001" s="62" t="str">
        <f>IFERROR(IF(OR($B3001="",$B3001="(blank)"),"",VLOOKUP($B3001,'Email Marketing Raw Data'!$C:$O,9,0)),"")</f>
        <v/>
      </c>
    </row>
    <row r="3002" spans="4:17" ht="12.75" customHeight="1" x14ac:dyDescent="0.2">
      <c r="D3002" s="58" t="str">
        <f>IFERROR(IF(F3002&lt;&gt;"pending","",IF(OR($B3002="",$B3002="(blank)"),"",VLOOKUP($B3002,'Email Marketing Raw Data'!$C:$O,10,0))),"")</f>
        <v/>
      </c>
      <c r="E3002" s="59" t="str">
        <f>IFERROR(IF(F3002&lt;&gt;"pending","",IF(OR($B3002="",$B3002="(blank)"),"",VLOOKUP($B3002,'Email Marketing Raw Data'!$C:$O,11,0))),"")</f>
        <v/>
      </c>
      <c r="F3002" s="54" t="str">
        <f>IFERROR(IF(OR($B3002="",$B3002="(blank)"),"",VLOOKUP($B3002,'Email Marketing Raw Data'!$C:$O,13,0)),"")</f>
        <v/>
      </c>
      <c r="G3002" s="55" t="str">
        <f>IFERROR(IF(OR($B3002="",$B3002="(blank)"),"",VLOOKUP($B3002,'Email Marketing Raw Data'!$C:$O,4,0)),"")</f>
        <v/>
      </c>
      <c r="H3002" s="55" t="str">
        <f>IFERROR(IF(OR($B3002="",$B3002="(blank)"),"",VLOOKUP($B3002,'Email Marketing Raw Data'!$C:$O,5,0)),"")</f>
        <v/>
      </c>
      <c r="I3002" s="55" t="str">
        <f>IFERROR(IF($G3002="","",VLOOKUP('Dashboard And Emails Automate'!$G3002,Database!$H:$N,3,0)),"")</f>
        <v/>
      </c>
      <c r="J3002" s="55" t="str">
        <f>IFERROR(IF($G3002="","",VLOOKUP('Dashboard And Emails Automate'!$G3002,Database!$H:$N,4,0)),"")</f>
        <v/>
      </c>
      <c r="K3002" s="55" t="str">
        <f>IFERROR(IF($G3002="","",VLOOKUP('Dashboard And Emails Automate'!$G3002,Database!$H:$N,5,0)),"")</f>
        <v/>
      </c>
      <c r="L3002" s="55" t="str">
        <f>IFERROR(IF($G3002="","",VLOOKUP('Dashboard And Emails Automate'!$G3002,Database!$H:$N,6,0)),"")</f>
        <v/>
      </c>
      <c r="M3002" s="55" t="str">
        <f>IFERROR(IF($G3002="","",VLOOKUP('Dashboard And Emails Automate'!$G3002,Database!$H:$N,7,0)),"")</f>
        <v/>
      </c>
      <c r="N3002" s="55" t="str">
        <f>IFERROR(IF(OR($B3002="",$B3002="(blank)"),"",VLOOKUP($B3002,'Email Marketing Raw Data'!$C:$O,6,0)),"")</f>
        <v/>
      </c>
      <c r="O3002" s="55" t="str">
        <f>IFERROR(IF(OR($B3002="",$B3002="(blank)"),"",VLOOKUP($B3002,'Email Marketing Raw Data'!$C:$O,7,0)),"")</f>
        <v/>
      </c>
      <c r="P3002" s="55" t="str">
        <f>IFERROR(IF(OR($B3002="",$B3002="(blank)"),"",VLOOKUP($B3002,'Email Marketing Raw Data'!$C:$O,8,0)),"")</f>
        <v/>
      </c>
      <c r="Q3002" s="62" t="str">
        <f>IFERROR(IF(OR($B3002="",$B3002="(blank)"),"",VLOOKUP($B3002,'Email Marketing Raw Data'!$C:$O,9,0)),"")</f>
        <v/>
      </c>
    </row>
    <row r="3003" spans="4:17" ht="12.75" customHeight="1" x14ac:dyDescent="0.2">
      <c r="D3003" s="58" t="str">
        <f>IFERROR(IF(F3003&lt;&gt;"pending","",IF(OR($B3003="",$B3003="(blank)"),"",VLOOKUP($B3003,'Email Marketing Raw Data'!$C:$O,10,0))),"")</f>
        <v/>
      </c>
      <c r="E3003" s="59" t="str">
        <f>IFERROR(IF(F3003&lt;&gt;"pending","",IF(OR($B3003="",$B3003="(blank)"),"",VLOOKUP($B3003,'Email Marketing Raw Data'!$C:$O,11,0))),"")</f>
        <v/>
      </c>
      <c r="F3003" s="54" t="str">
        <f>IFERROR(IF(OR($B3003="",$B3003="(blank)"),"",VLOOKUP($B3003,'Email Marketing Raw Data'!$C:$O,13,0)),"")</f>
        <v/>
      </c>
      <c r="G3003" s="55" t="str">
        <f>IFERROR(IF(OR($B3003="",$B3003="(blank)"),"",VLOOKUP($B3003,'Email Marketing Raw Data'!$C:$O,4,0)),"")</f>
        <v/>
      </c>
      <c r="H3003" s="55" t="str">
        <f>IFERROR(IF(OR($B3003="",$B3003="(blank)"),"",VLOOKUP($B3003,'Email Marketing Raw Data'!$C:$O,5,0)),"")</f>
        <v/>
      </c>
      <c r="I3003" s="55" t="str">
        <f>IFERROR(IF($G3003="","",VLOOKUP('Dashboard And Emails Automate'!$G3003,Database!$H:$N,3,0)),"")</f>
        <v/>
      </c>
      <c r="J3003" s="55" t="str">
        <f>IFERROR(IF($G3003="","",VLOOKUP('Dashboard And Emails Automate'!$G3003,Database!$H:$N,4,0)),"")</f>
        <v/>
      </c>
      <c r="K3003" s="55" t="str">
        <f>IFERROR(IF($G3003="","",VLOOKUP('Dashboard And Emails Automate'!$G3003,Database!$H:$N,5,0)),"")</f>
        <v/>
      </c>
      <c r="L3003" s="55" t="str">
        <f>IFERROR(IF($G3003="","",VLOOKUP('Dashboard And Emails Automate'!$G3003,Database!$H:$N,6,0)),"")</f>
        <v/>
      </c>
      <c r="M3003" s="55" t="str">
        <f>IFERROR(IF($G3003="","",VLOOKUP('Dashboard And Emails Automate'!$G3003,Database!$H:$N,7,0)),"")</f>
        <v/>
      </c>
      <c r="N3003" s="55" t="str">
        <f>IFERROR(IF(OR($B3003="",$B3003="(blank)"),"",VLOOKUP($B3003,'Email Marketing Raw Data'!$C:$O,6,0)),"")</f>
        <v/>
      </c>
      <c r="O3003" s="55" t="str">
        <f>IFERROR(IF(OR($B3003="",$B3003="(blank)"),"",VLOOKUP($B3003,'Email Marketing Raw Data'!$C:$O,7,0)),"")</f>
        <v/>
      </c>
      <c r="P3003" s="55" t="str">
        <f>IFERROR(IF(OR($B3003="",$B3003="(blank)"),"",VLOOKUP($B3003,'Email Marketing Raw Data'!$C:$O,8,0)),"")</f>
        <v/>
      </c>
      <c r="Q3003" s="62" t="str">
        <f>IFERROR(IF(OR($B3003="",$B3003="(blank)"),"",VLOOKUP($B3003,'Email Marketing Raw Data'!$C:$O,9,0)),"")</f>
        <v/>
      </c>
    </row>
    <row r="3004" spans="4:17" ht="12.75" customHeight="1" x14ac:dyDescent="0.2">
      <c r="D3004" s="58" t="str">
        <f>IFERROR(IF(F3004&lt;&gt;"pending","",IF(OR($B3004="",$B3004="(blank)"),"",VLOOKUP($B3004,'Email Marketing Raw Data'!$C:$O,10,0))),"")</f>
        <v/>
      </c>
      <c r="E3004" s="59" t="str">
        <f>IFERROR(IF(F3004&lt;&gt;"pending","",IF(OR($B3004="",$B3004="(blank)"),"",VLOOKUP($B3004,'Email Marketing Raw Data'!$C:$O,11,0))),"")</f>
        <v/>
      </c>
      <c r="F3004" s="54" t="str">
        <f>IFERROR(IF(OR($B3004="",$B3004="(blank)"),"",VLOOKUP($B3004,'Email Marketing Raw Data'!$C:$O,13,0)),"")</f>
        <v/>
      </c>
      <c r="G3004" s="55" t="str">
        <f>IFERROR(IF(OR($B3004="",$B3004="(blank)"),"",VLOOKUP($B3004,'Email Marketing Raw Data'!$C:$O,4,0)),"")</f>
        <v/>
      </c>
      <c r="H3004" s="55" t="str">
        <f>IFERROR(IF(OR($B3004="",$B3004="(blank)"),"",VLOOKUP($B3004,'Email Marketing Raw Data'!$C:$O,5,0)),"")</f>
        <v/>
      </c>
      <c r="I3004" s="55" t="str">
        <f>IFERROR(IF($G3004="","",VLOOKUP('Dashboard And Emails Automate'!$G3004,Database!$H:$N,3,0)),"")</f>
        <v/>
      </c>
      <c r="J3004" s="55" t="str">
        <f>IFERROR(IF($G3004="","",VLOOKUP('Dashboard And Emails Automate'!$G3004,Database!$H:$N,4,0)),"")</f>
        <v/>
      </c>
      <c r="K3004" s="55" t="str">
        <f>IFERROR(IF($G3004="","",VLOOKUP('Dashboard And Emails Automate'!$G3004,Database!$H:$N,5,0)),"")</f>
        <v/>
      </c>
      <c r="L3004" s="55" t="str">
        <f>IFERROR(IF($G3004="","",VLOOKUP('Dashboard And Emails Automate'!$G3004,Database!$H:$N,6,0)),"")</f>
        <v/>
      </c>
      <c r="M3004" s="55" t="str">
        <f>IFERROR(IF($G3004="","",VLOOKUP('Dashboard And Emails Automate'!$G3004,Database!$H:$N,7,0)),"")</f>
        <v/>
      </c>
      <c r="N3004" s="55" t="str">
        <f>IFERROR(IF(OR($B3004="",$B3004="(blank)"),"",VLOOKUP($B3004,'Email Marketing Raw Data'!$C:$O,6,0)),"")</f>
        <v/>
      </c>
      <c r="O3004" s="55" t="str">
        <f>IFERROR(IF(OR($B3004="",$B3004="(blank)"),"",VLOOKUP($B3004,'Email Marketing Raw Data'!$C:$O,7,0)),"")</f>
        <v/>
      </c>
      <c r="P3004" s="55" t="str">
        <f>IFERROR(IF(OR($B3004="",$B3004="(blank)"),"",VLOOKUP($B3004,'Email Marketing Raw Data'!$C:$O,8,0)),"")</f>
        <v/>
      </c>
      <c r="Q3004" s="62" t="str">
        <f>IFERROR(IF(OR($B3004="",$B3004="(blank)"),"",VLOOKUP($B3004,'Email Marketing Raw Data'!$C:$O,9,0)),"")</f>
        <v/>
      </c>
    </row>
    <row r="3005" spans="4:17" ht="12.75" customHeight="1" x14ac:dyDescent="0.2">
      <c r="D3005" s="58" t="str">
        <f>IFERROR(IF(F3005&lt;&gt;"pending","",IF(OR($B3005="",$B3005="(blank)"),"",VLOOKUP($B3005,'Email Marketing Raw Data'!$C:$O,10,0))),"")</f>
        <v/>
      </c>
      <c r="E3005" s="59" t="str">
        <f>IFERROR(IF(F3005&lt;&gt;"pending","",IF(OR($B3005="",$B3005="(blank)"),"",VLOOKUP($B3005,'Email Marketing Raw Data'!$C:$O,11,0))),"")</f>
        <v/>
      </c>
      <c r="F3005" s="54" t="str">
        <f>IFERROR(IF(OR($B3005="",$B3005="(blank)"),"",VLOOKUP($B3005,'Email Marketing Raw Data'!$C:$O,13,0)),"")</f>
        <v/>
      </c>
      <c r="G3005" s="55" t="str">
        <f>IFERROR(IF(OR($B3005="",$B3005="(blank)"),"",VLOOKUP($B3005,'Email Marketing Raw Data'!$C:$O,4,0)),"")</f>
        <v/>
      </c>
      <c r="H3005" s="55" t="str">
        <f>IFERROR(IF(OR($B3005="",$B3005="(blank)"),"",VLOOKUP($B3005,'Email Marketing Raw Data'!$C:$O,5,0)),"")</f>
        <v/>
      </c>
      <c r="I3005" s="55" t="str">
        <f>IFERROR(IF($G3005="","",VLOOKUP('Dashboard And Emails Automate'!$G3005,Database!$H:$N,3,0)),"")</f>
        <v/>
      </c>
      <c r="J3005" s="55" t="str">
        <f>IFERROR(IF($G3005="","",VLOOKUP('Dashboard And Emails Automate'!$G3005,Database!$H:$N,4,0)),"")</f>
        <v/>
      </c>
      <c r="K3005" s="55" t="str">
        <f>IFERROR(IF($G3005="","",VLOOKUP('Dashboard And Emails Automate'!$G3005,Database!$H:$N,5,0)),"")</f>
        <v/>
      </c>
      <c r="L3005" s="55" t="str">
        <f>IFERROR(IF($G3005="","",VLOOKUP('Dashboard And Emails Automate'!$G3005,Database!$H:$N,6,0)),"")</f>
        <v/>
      </c>
      <c r="M3005" s="55" t="str">
        <f>IFERROR(IF($G3005="","",VLOOKUP('Dashboard And Emails Automate'!$G3005,Database!$H:$N,7,0)),"")</f>
        <v/>
      </c>
      <c r="N3005" s="55" t="str">
        <f>IFERROR(IF(OR($B3005="",$B3005="(blank)"),"",VLOOKUP($B3005,'Email Marketing Raw Data'!$C:$O,6,0)),"")</f>
        <v/>
      </c>
      <c r="O3005" s="55" t="str">
        <f>IFERROR(IF(OR($B3005="",$B3005="(blank)"),"",VLOOKUP($B3005,'Email Marketing Raw Data'!$C:$O,7,0)),"")</f>
        <v/>
      </c>
      <c r="P3005" s="55" t="str">
        <f>IFERROR(IF(OR($B3005="",$B3005="(blank)"),"",VLOOKUP($B3005,'Email Marketing Raw Data'!$C:$O,8,0)),"")</f>
        <v/>
      </c>
      <c r="Q3005" s="62" t="str">
        <f>IFERROR(IF(OR($B3005="",$B3005="(blank)"),"",VLOOKUP($B3005,'Email Marketing Raw Data'!$C:$O,9,0)),"")</f>
        <v/>
      </c>
    </row>
    <row r="3006" spans="4:17" ht="12.75" customHeight="1" x14ac:dyDescent="0.2">
      <c r="D3006" s="58" t="str">
        <f>IFERROR(IF(F3006&lt;&gt;"pending","",IF(OR($B3006="",$B3006="(blank)"),"",VLOOKUP($B3006,'Email Marketing Raw Data'!$C:$O,10,0))),"")</f>
        <v/>
      </c>
      <c r="E3006" s="59" t="str">
        <f>IFERROR(IF(F3006&lt;&gt;"pending","",IF(OR($B3006="",$B3006="(blank)"),"",VLOOKUP($B3006,'Email Marketing Raw Data'!$C:$O,11,0))),"")</f>
        <v/>
      </c>
      <c r="F3006" s="54" t="str">
        <f>IFERROR(IF(OR($B3006="",$B3006="(blank)"),"",VLOOKUP($B3006,'Email Marketing Raw Data'!$C:$O,13,0)),"")</f>
        <v/>
      </c>
      <c r="G3006" s="55" t="str">
        <f>IFERROR(IF(OR($B3006="",$B3006="(blank)"),"",VLOOKUP($B3006,'Email Marketing Raw Data'!$C:$O,4,0)),"")</f>
        <v/>
      </c>
      <c r="H3006" s="55" t="str">
        <f>IFERROR(IF(OR($B3006="",$B3006="(blank)"),"",VLOOKUP($B3006,'Email Marketing Raw Data'!$C:$O,5,0)),"")</f>
        <v/>
      </c>
      <c r="I3006" s="55" t="str">
        <f>IFERROR(IF($G3006="","",VLOOKUP('Dashboard And Emails Automate'!$G3006,Database!$H:$N,3,0)),"")</f>
        <v/>
      </c>
      <c r="J3006" s="55" t="str">
        <f>IFERROR(IF($G3006="","",VLOOKUP('Dashboard And Emails Automate'!$G3006,Database!$H:$N,4,0)),"")</f>
        <v/>
      </c>
      <c r="K3006" s="55" t="str">
        <f>IFERROR(IF($G3006="","",VLOOKUP('Dashboard And Emails Automate'!$G3006,Database!$H:$N,5,0)),"")</f>
        <v/>
      </c>
      <c r="L3006" s="55" t="str">
        <f>IFERROR(IF($G3006="","",VLOOKUP('Dashboard And Emails Automate'!$G3006,Database!$H:$N,6,0)),"")</f>
        <v/>
      </c>
      <c r="M3006" s="55" t="str">
        <f>IFERROR(IF($G3006="","",VLOOKUP('Dashboard And Emails Automate'!$G3006,Database!$H:$N,7,0)),"")</f>
        <v/>
      </c>
      <c r="N3006" s="55" t="str">
        <f>IFERROR(IF(OR($B3006="",$B3006="(blank)"),"",VLOOKUP($B3006,'Email Marketing Raw Data'!$C:$O,6,0)),"")</f>
        <v/>
      </c>
      <c r="O3006" s="55" t="str">
        <f>IFERROR(IF(OR($B3006="",$B3006="(blank)"),"",VLOOKUP($B3006,'Email Marketing Raw Data'!$C:$O,7,0)),"")</f>
        <v/>
      </c>
      <c r="P3006" s="55" t="str">
        <f>IFERROR(IF(OR($B3006="",$B3006="(blank)"),"",VLOOKUP($B3006,'Email Marketing Raw Data'!$C:$O,8,0)),"")</f>
        <v/>
      </c>
      <c r="Q3006" s="62" t="str">
        <f>IFERROR(IF(OR($B3006="",$B3006="(blank)"),"",VLOOKUP($B3006,'Email Marketing Raw Data'!$C:$O,9,0)),"")</f>
        <v/>
      </c>
    </row>
    <row r="3007" spans="4:17" ht="12.75" customHeight="1" x14ac:dyDescent="0.2">
      <c r="D3007" s="58" t="str">
        <f>IFERROR(IF(F3007&lt;&gt;"pending","",IF(OR($B3007="",$B3007="(blank)"),"",VLOOKUP($B3007,'Email Marketing Raw Data'!$C:$O,10,0))),"")</f>
        <v/>
      </c>
      <c r="E3007" s="59" t="str">
        <f>IFERROR(IF(F3007&lt;&gt;"pending","",IF(OR($B3007="",$B3007="(blank)"),"",VLOOKUP($B3007,'Email Marketing Raw Data'!$C:$O,11,0))),"")</f>
        <v/>
      </c>
      <c r="F3007" s="54" t="str">
        <f>IFERROR(IF(OR($B3007="",$B3007="(blank)"),"",VLOOKUP($B3007,'Email Marketing Raw Data'!$C:$O,13,0)),"")</f>
        <v/>
      </c>
      <c r="G3007" s="55" t="str">
        <f>IFERROR(IF(OR($B3007="",$B3007="(blank)"),"",VLOOKUP($B3007,'Email Marketing Raw Data'!$C:$O,4,0)),"")</f>
        <v/>
      </c>
      <c r="H3007" s="55" t="str">
        <f>IFERROR(IF(OR($B3007="",$B3007="(blank)"),"",VLOOKUP($B3007,'Email Marketing Raw Data'!$C:$O,5,0)),"")</f>
        <v/>
      </c>
      <c r="I3007" s="55" t="str">
        <f>IFERROR(IF($G3007="","",VLOOKUP('Dashboard And Emails Automate'!$G3007,Database!$H:$N,3,0)),"")</f>
        <v/>
      </c>
      <c r="J3007" s="55" t="str">
        <f>IFERROR(IF($G3007="","",VLOOKUP('Dashboard And Emails Automate'!$G3007,Database!$H:$N,4,0)),"")</f>
        <v/>
      </c>
      <c r="K3007" s="55" t="str">
        <f>IFERROR(IF($G3007="","",VLOOKUP('Dashboard And Emails Automate'!$G3007,Database!$H:$N,5,0)),"")</f>
        <v/>
      </c>
      <c r="L3007" s="55" t="str">
        <f>IFERROR(IF($G3007="","",VLOOKUP('Dashboard And Emails Automate'!$G3007,Database!$H:$N,6,0)),"")</f>
        <v/>
      </c>
      <c r="M3007" s="55" t="str">
        <f>IFERROR(IF($G3007="","",VLOOKUP('Dashboard And Emails Automate'!$G3007,Database!$H:$N,7,0)),"")</f>
        <v/>
      </c>
      <c r="N3007" s="55" t="str">
        <f>IFERROR(IF(OR($B3007="",$B3007="(blank)"),"",VLOOKUP($B3007,'Email Marketing Raw Data'!$C:$O,6,0)),"")</f>
        <v/>
      </c>
      <c r="O3007" s="55" t="str">
        <f>IFERROR(IF(OR($B3007="",$B3007="(blank)"),"",VLOOKUP($B3007,'Email Marketing Raw Data'!$C:$O,7,0)),"")</f>
        <v/>
      </c>
      <c r="P3007" s="55" t="str">
        <f>IFERROR(IF(OR($B3007="",$B3007="(blank)"),"",VLOOKUP($B3007,'Email Marketing Raw Data'!$C:$O,8,0)),"")</f>
        <v/>
      </c>
      <c r="Q3007" s="62" t="str">
        <f>IFERROR(IF(OR($B3007="",$B3007="(blank)"),"",VLOOKUP($B3007,'Email Marketing Raw Data'!$C:$O,9,0)),"")</f>
        <v/>
      </c>
    </row>
    <row r="3008" spans="4:17" ht="12.75" customHeight="1" x14ac:dyDescent="0.2">
      <c r="D3008" s="58" t="str">
        <f>IFERROR(IF(F3008&lt;&gt;"pending","",IF(OR($B3008="",$B3008="(blank)"),"",VLOOKUP($B3008,'Email Marketing Raw Data'!$C:$O,10,0))),"")</f>
        <v/>
      </c>
      <c r="E3008" s="59" t="str">
        <f>IFERROR(IF(F3008&lt;&gt;"pending","",IF(OR($B3008="",$B3008="(blank)"),"",VLOOKUP($B3008,'Email Marketing Raw Data'!$C:$O,11,0))),"")</f>
        <v/>
      </c>
      <c r="F3008" s="54" t="str">
        <f>IFERROR(IF(OR($B3008="",$B3008="(blank)"),"",VLOOKUP($B3008,'Email Marketing Raw Data'!$C:$O,13,0)),"")</f>
        <v/>
      </c>
      <c r="G3008" s="55" t="str">
        <f>IFERROR(IF(OR($B3008="",$B3008="(blank)"),"",VLOOKUP($B3008,'Email Marketing Raw Data'!$C:$O,4,0)),"")</f>
        <v/>
      </c>
      <c r="H3008" s="55" t="str">
        <f>IFERROR(IF(OR($B3008="",$B3008="(blank)"),"",VLOOKUP($B3008,'Email Marketing Raw Data'!$C:$O,5,0)),"")</f>
        <v/>
      </c>
      <c r="I3008" s="55" t="str">
        <f>IFERROR(IF($G3008="","",VLOOKUP('Dashboard And Emails Automate'!$G3008,Database!$H:$N,3,0)),"")</f>
        <v/>
      </c>
      <c r="J3008" s="55" t="str">
        <f>IFERROR(IF($G3008="","",VLOOKUP('Dashboard And Emails Automate'!$G3008,Database!$H:$N,4,0)),"")</f>
        <v/>
      </c>
      <c r="K3008" s="55" t="str">
        <f>IFERROR(IF($G3008="","",VLOOKUP('Dashboard And Emails Automate'!$G3008,Database!$H:$N,5,0)),"")</f>
        <v/>
      </c>
      <c r="L3008" s="55" t="str">
        <f>IFERROR(IF($G3008="","",VLOOKUP('Dashboard And Emails Automate'!$G3008,Database!$H:$N,6,0)),"")</f>
        <v/>
      </c>
      <c r="M3008" s="55" t="str">
        <f>IFERROR(IF($G3008="","",VLOOKUP('Dashboard And Emails Automate'!$G3008,Database!$H:$N,7,0)),"")</f>
        <v/>
      </c>
      <c r="N3008" s="55" t="str">
        <f>IFERROR(IF(OR($B3008="",$B3008="(blank)"),"",VLOOKUP($B3008,'Email Marketing Raw Data'!$C:$O,6,0)),"")</f>
        <v/>
      </c>
      <c r="O3008" s="55" t="str">
        <f>IFERROR(IF(OR($B3008="",$B3008="(blank)"),"",VLOOKUP($B3008,'Email Marketing Raw Data'!$C:$O,7,0)),"")</f>
        <v/>
      </c>
      <c r="P3008" s="55" t="str">
        <f>IFERROR(IF(OR($B3008="",$B3008="(blank)"),"",VLOOKUP($B3008,'Email Marketing Raw Data'!$C:$O,8,0)),"")</f>
        <v/>
      </c>
      <c r="Q3008" s="62" t="str">
        <f>IFERROR(IF(OR($B3008="",$B3008="(blank)"),"",VLOOKUP($B3008,'Email Marketing Raw Data'!$C:$O,9,0)),"")</f>
        <v/>
      </c>
    </row>
    <row r="3009" spans="4:17" ht="12.75" customHeight="1" x14ac:dyDescent="0.2">
      <c r="D3009" s="58" t="str">
        <f>IFERROR(IF(F3009&lt;&gt;"pending","",IF(OR($B3009="",$B3009="(blank)"),"",VLOOKUP($B3009,'Email Marketing Raw Data'!$C:$O,10,0))),"")</f>
        <v/>
      </c>
      <c r="E3009" s="59" t="str">
        <f>IFERROR(IF(F3009&lt;&gt;"pending","",IF(OR($B3009="",$B3009="(blank)"),"",VLOOKUP($B3009,'Email Marketing Raw Data'!$C:$O,11,0))),"")</f>
        <v/>
      </c>
      <c r="F3009" s="54" t="str">
        <f>IFERROR(IF(OR($B3009="",$B3009="(blank)"),"",VLOOKUP($B3009,'Email Marketing Raw Data'!$C:$O,13,0)),"")</f>
        <v/>
      </c>
      <c r="G3009" s="55" t="str">
        <f>IFERROR(IF(OR($B3009="",$B3009="(blank)"),"",VLOOKUP($B3009,'Email Marketing Raw Data'!$C:$O,4,0)),"")</f>
        <v/>
      </c>
      <c r="H3009" s="55" t="str">
        <f>IFERROR(IF(OR($B3009="",$B3009="(blank)"),"",VLOOKUP($B3009,'Email Marketing Raw Data'!$C:$O,5,0)),"")</f>
        <v/>
      </c>
      <c r="I3009" s="55" t="str">
        <f>IFERROR(IF($G3009="","",VLOOKUP('Dashboard And Emails Automate'!$G3009,Database!$H:$N,3,0)),"")</f>
        <v/>
      </c>
      <c r="J3009" s="55" t="str">
        <f>IFERROR(IF($G3009="","",VLOOKUP('Dashboard And Emails Automate'!$G3009,Database!$H:$N,4,0)),"")</f>
        <v/>
      </c>
      <c r="K3009" s="55" t="str">
        <f>IFERROR(IF($G3009="","",VLOOKUP('Dashboard And Emails Automate'!$G3009,Database!$H:$N,5,0)),"")</f>
        <v/>
      </c>
      <c r="L3009" s="55" t="str">
        <f>IFERROR(IF($G3009="","",VLOOKUP('Dashboard And Emails Automate'!$G3009,Database!$H:$N,6,0)),"")</f>
        <v/>
      </c>
      <c r="M3009" s="55" t="str">
        <f>IFERROR(IF($G3009="","",VLOOKUP('Dashboard And Emails Automate'!$G3009,Database!$H:$N,7,0)),"")</f>
        <v/>
      </c>
      <c r="N3009" s="55" t="str">
        <f>IFERROR(IF(OR($B3009="",$B3009="(blank)"),"",VLOOKUP($B3009,'Email Marketing Raw Data'!$C:$O,6,0)),"")</f>
        <v/>
      </c>
      <c r="O3009" s="55" t="str">
        <f>IFERROR(IF(OR($B3009="",$B3009="(blank)"),"",VLOOKUP($B3009,'Email Marketing Raw Data'!$C:$O,7,0)),"")</f>
        <v/>
      </c>
      <c r="P3009" s="55" t="str">
        <f>IFERROR(IF(OR($B3009="",$B3009="(blank)"),"",VLOOKUP($B3009,'Email Marketing Raw Data'!$C:$O,8,0)),"")</f>
        <v/>
      </c>
      <c r="Q3009" s="62" t="str">
        <f>IFERROR(IF(OR($B3009="",$B3009="(blank)"),"",VLOOKUP($B3009,'Email Marketing Raw Data'!$C:$O,9,0)),"")</f>
        <v/>
      </c>
    </row>
    <row r="3010" spans="4:17" ht="12.75" customHeight="1" x14ac:dyDescent="0.2">
      <c r="D3010" s="58" t="str">
        <f>IFERROR(IF(F3010&lt;&gt;"pending","",IF(OR($B3010="",$B3010="(blank)"),"",VLOOKUP($B3010,'Email Marketing Raw Data'!$C:$O,10,0))),"")</f>
        <v/>
      </c>
      <c r="E3010" s="59" t="str">
        <f>IFERROR(IF(F3010&lt;&gt;"pending","",IF(OR($B3010="",$B3010="(blank)"),"",VLOOKUP($B3010,'Email Marketing Raw Data'!$C:$O,11,0))),"")</f>
        <v/>
      </c>
      <c r="F3010" s="54" t="str">
        <f>IFERROR(IF(OR($B3010="",$B3010="(blank)"),"",VLOOKUP($B3010,'Email Marketing Raw Data'!$C:$O,13,0)),"")</f>
        <v/>
      </c>
      <c r="G3010" s="55" t="str">
        <f>IFERROR(IF(OR($B3010="",$B3010="(blank)"),"",VLOOKUP($B3010,'Email Marketing Raw Data'!$C:$O,4,0)),"")</f>
        <v/>
      </c>
      <c r="H3010" s="55" t="str">
        <f>IFERROR(IF(OR($B3010="",$B3010="(blank)"),"",VLOOKUP($B3010,'Email Marketing Raw Data'!$C:$O,5,0)),"")</f>
        <v/>
      </c>
      <c r="I3010" s="55" t="str">
        <f>IFERROR(IF($G3010="","",VLOOKUP('Dashboard And Emails Automate'!$G3010,Database!$H:$N,3,0)),"")</f>
        <v/>
      </c>
      <c r="J3010" s="55" t="str">
        <f>IFERROR(IF($G3010="","",VLOOKUP('Dashboard And Emails Automate'!$G3010,Database!$H:$N,4,0)),"")</f>
        <v/>
      </c>
      <c r="K3010" s="55" t="str">
        <f>IFERROR(IF($G3010="","",VLOOKUP('Dashboard And Emails Automate'!$G3010,Database!$H:$N,5,0)),"")</f>
        <v/>
      </c>
      <c r="L3010" s="55" t="str">
        <f>IFERROR(IF($G3010="","",VLOOKUP('Dashboard And Emails Automate'!$G3010,Database!$H:$N,6,0)),"")</f>
        <v/>
      </c>
      <c r="M3010" s="55" t="str">
        <f>IFERROR(IF($G3010="","",VLOOKUP('Dashboard And Emails Automate'!$G3010,Database!$H:$N,7,0)),"")</f>
        <v/>
      </c>
      <c r="N3010" s="55" t="str">
        <f>IFERROR(IF(OR($B3010="",$B3010="(blank)"),"",VLOOKUP($B3010,'Email Marketing Raw Data'!$C:$O,6,0)),"")</f>
        <v/>
      </c>
      <c r="O3010" s="55" t="str">
        <f>IFERROR(IF(OR($B3010="",$B3010="(blank)"),"",VLOOKUP($B3010,'Email Marketing Raw Data'!$C:$O,7,0)),"")</f>
        <v/>
      </c>
      <c r="P3010" s="55" t="str">
        <f>IFERROR(IF(OR($B3010="",$B3010="(blank)"),"",VLOOKUP($B3010,'Email Marketing Raw Data'!$C:$O,8,0)),"")</f>
        <v/>
      </c>
      <c r="Q3010" s="62" t="str">
        <f>IFERROR(IF(OR($B3010="",$B3010="(blank)"),"",VLOOKUP($B3010,'Email Marketing Raw Data'!$C:$O,9,0)),"")</f>
        <v/>
      </c>
    </row>
    <row r="3011" spans="4:17" ht="12.75" customHeight="1" x14ac:dyDescent="0.2">
      <c r="D3011" s="58" t="str">
        <f>IFERROR(IF(F3011&lt;&gt;"pending","",IF(OR($B3011="",$B3011="(blank)"),"",VLOOKUP($B3011,'Email Marketing Raw Data'!$C:$O,10,0))),"")</f>
        <v/>
      </c>
      <c r="E3011" s="59" t="str">
        <f>IFERROR(IF(F3011&lt;&gt;"pending","",IF(OR($B3011="",$B3011="(blank)"),"",VLOOKUP($B3011,'Email Marketing Raw Data'!$C:$O,11,0))),"")</f>
        <v/>
      </c>
      <c r="F3011" s="54" t="str">
        <f>IFERROR(IF(OR($B3011="",$B3011="(blank)"),"",VLOOKUP($B3011,'Email Marketing Raw Data'!$C:$O,13,0)),"")</f>
        <v/>
      </c>
      <c r="G3011" s="55" t="str">
        <f>IFERROR(IF(OR($B3011="",$B3011="(blank)"),"",VLOOKUP($B3011,'Email Marketing Raw Data'!$C:$O,4,0)),"")</f>
        <v/>
      </c>
      <c r="H3011" s="55" t="str">
        <f>IFERROR(IF(OR($B3011="",$B3011="(blank)"),"",VLOOKUP($B3011,'Email Marketing Raw Data'!$C:$O,5,0)),"")</f>
        <v/>
      </c>
      <c r="I3011" s="55" t="str">
        <f>IFERROR(IF($G3011="","",VLOOKUP('Dashboard And Emails Automate'!$G3011,Database!$H:$N,3,0)),"")</f>
        <v/>
      </c>
      <c r="J3011" s="55" t="str">
        <f>IFERROR(IF($G3011="","",VLOOKUP('Dashboard And Emails Automate'!$G3011,Database!$H:$N,4,0)),"")</f>
        <v/>
      </c>
      <c r="K3011" s="55" t="str">
        <f>IFERROR(IF($G3011="","",VLOOKUP('Dashboard And Emails Automate'!$G3011,Database!$H:$N,5,0)),"")</f>
        <v/>
      </c>
      <c r="L3011" s="55" t="str">
        <f>IFERROR(IF($G3011="","",VLOOKUP('Dashboard And Emails Automate'!$G3011,Database!$H:$N,6,0)),"")</f>
        <v/>
      </c>
      <c r="M3011" s="55" t="str">
        <f>IFERROR(IF($G3011="","",VLOOKUP('Dashboard And Emails Automate'!$G3011,Database!$H:$N,7,0)),"")</f>
        <v/>
      </c>
      <c r="N3011" s="55" t="str">
        <f>IFERROR(IF(OR($B3011="",$B3011="(blank)"),"",VLOOKUP($B3011,'Email Marketing Raw Data'!$C:$O,6,0)),"")</f>
        <v/>
      </c>
      <c r="O3011" s="55" t="str">
        <f>IFERROR(IF(OR($B3011="",$B3011="(blank)"),"",VLOOKUP($B3011,'Email Marketing Raw Data'!$C:$O,7,0)),"")</f>
        <v/>
      </c>
      <c r="P3011" s="55" t="str">
        <f>IFERROR(IF(OR($B3011="",$B3011="(blank)"),"",VLOOKUP($B3011,'Email Marketing Raw Data'!$C:$O,8,0)),"")</f>
        <v/>
      </c>
      <c r="Q3011" s="62" t="str">
        <f>IFERROR(IF(OR($B3011="",$B3011="(blank)"),"",VLOOKUP($B3011,'Email Marketing Raw Data'!$C:$O,9,0)),"")</f>
        <v/>
      </c>
    </row>
    <row r="3012" spans="4:17" ht="12.75" customHeight="1" x14ac:dyDescent="0.2">
      <c r="D3012" s="58" t="str">
        <f>IFERROR(IF(F3012&lt;&gt;"pending","",IF(OR($B3012="",$B3012="(blank)"),"",VLOOKUP($B3012,'Email Marketing Raw Data'!$C:$O,10,0))),"")</f>
        <v/>
      </c>
      <c r="E3012" s="59" t="str">
        <f>IFERROR(IF(F3012&lt;&gt;"pending","",IF(OR($B3012="",$B3012="(blank)"),"",VLOOKUP($B3012,'Email Marketing Raw Data'!$C:$O,11,0))),"")</f>
        <v/>
      </c>
      <c r="F3012" s="54" t="str">
        <f>IFERROR(IF(OR($B3012="",$B3012="(blank)"),"",VLOOKUP($B3012,'Email Marketing Raw Data'!$C:$O,13,0)),"")</f>
        <v/>
      </c>
      <c r="G3012" s="55" t="str">
        <f>IFERROR(IF(OR($B3012="",$B3012="(blank)"),"",VLOOKUP($B3012,'Email Marketing Raw Data'!$C:$O,4,0)),"")</f>
        <v/>
      </c>
      <c r="H3012" s="55" t="str">
        <f>IFERROR(IF(OR($B3012="",$B3012="(blank)"),"",VLOOKUP($B3012,'Email Marketing Raw Data'!$C:$O,5,0)),"")</f>
        <v/>
      </c>
      <c r="I3012" s="55" t="str">
        <f>IFERROR(IF($G3012="","",VLOOKUP('Dashboard And Emails Automate'!$G3012,Database!$H:$N,3,0)),"")</f>
        <v/>
      </c>
      <c r="J3012" s="55" t="str">
        <f>IFERROR(IF($G3012="","",VLOOKUP('Dashboard And Emails Automate'!$G3012,Database!$H:$N,4,0)),"")</f>
        <v/>
      </c>
      <c r="K3012" s="55" t="str">
        <f>IFERROR(IF($G3012="","",VLOOKUP('Dashboard And Emails Automate'!$G3012,Database!$H:$N,5,0)),"")</f>
        <v/>
      </c>
      <c r="L3012" s="55" t="str">
        <f>IFERROR(IF($G3012="","",VLOOKUP('Dashboard And Emails Automate'!$G3012,Database!$H:$N,6,0)),"")</f>
        <v/>
      </c>
      <c r="M3012" s="55" t="str">
        <f>IFERROR(IF($G3012="","",VLOOKUP('Dashboard And Emails Automate'!$G3012,Database!$H:$N,7,0)),"")</f>
        <v/>
      </c>
      <c r="N3012" s="55" t="str">
        <f>IFERROR(IF(OR($B3012="",$B3012="(blank)"),"",VLOOKUP($B3012,'Email Marketing Raw Data'!$C:$O,6,0)),"")</f>
        <v/>
      </c>
      <c r="O3012" s="55" t="str">
        <f>IFERROR(IF(OR($B3012="",$B3012="(blank)"),"",VLOOKUP($B3012,'Email Marketing Raw Data'!$C:$O,7,0)),"")</f>
        <v/>
      </c>
      <c r="P3012" s="55" t="str">
        <f>IFERROR(IF(OR($B3012="",$B3012="(blank)"),"",VLOOKUP($B3012,'Email Marketing Raw Data'!$C:$O,8,0)),"")</f>
        <v/>
      </c>
      <c r="Q3012" s="62" t="str">
        <f>IFERROR(IF(OR($B3012="",$B3012="(blank)"),"",VLOOKUP($B3012,'Email Marketing Raw Data'!$C:$O,9,0)),"")</f>
        <v/>
      </c>
    </row>
    <row r="3013" spans="4:17" ht="12.75" customHeight="1" x14ac:dyDescent="0.2">
      <c r="D3013" s="58" t="str">
        <f>IFERROR(IF(F3013&lt;&gt;"pending","",IF(OR($B3013="",$B3013="(blank)"),"",VLOOKUP($B3013,'Email Marketing Raw Data'!$C:$O,10,0))),"")</f>
        <v/>
      </c>
      <c r="E3013" s="59" t="str">
        <f>IFERROR(IF(F3013&lt;&gt;"pending","",IF(OR($B3013="",$B3013="(blank)"),"",VLOOKUP($B3013,'Email Marketing Raw Data'!$C:$O,11,0))),"")</f>
        <v/>
      </c>
      <c r="F3013" s="54" t="str">
        <f>IFERROR(IF(OR($B3013="",$B3013="(blank)"),"",VLOOKUP($B3013,'Email Marketing Raw Data'!$C:$O,13,0)),"")</f>
        <v/>
      </c>
      <c r="G3013" s="55" t="str">
        <f>IFERROR(IF(OR($B3013="",$B3013="(blank)"),"",VLOOKUP($B3013,'Email Marketing Raw Data'!$C:$O,4,0)),"")</f>
        <v/>
      </c>
      <c r="H3013" s="55" t="str">
        <f>IFERROR(IF(OR($B3013="",$B3013="(blank)"),"",VLOOKUP($B3013,'Email Marketing Raw Data'!$C:$O,5,0)),"")</f>
        <v/>
      </c>
      <c r="I3013" s="55" t="str">
        <f>IFERROR(IF($G3013="","",VLOOKUP('Dashboard And Emails Automate'!$G3013,Database!$H:$N,3,0)),"")</f>
        <v/>
      </c>
      <c r="J3013" s="55" t="str">
        <f>IFERROR(IF($G3013="","",VLOOKUP('Dashboard And Emails Automate'!$G3013,Database!$H:$N,4,0)),"")</f>
        <v/>
      </c>
      <c r="K3013" s="55" t="str">
        <f>IFERROR(IF($G3013="","",VLOOKUP('Dashboard And Emails Automate'!$G3013,Database!$H:$N,5,0)),"")</f>
        <v/>
      </c>
      <c r="L3013" s="55" t="str">
        <f>IFERROR(IF($G3013="","",VLOOKUP('Dashboard And Emails Automate'!$G3013,Database!$H:$N,6,0)),"")</f>
        <v/>
      </c>
      <c r="M3013" s="55" t="str">
        <f>IFERROR(IF($G3013="","",VLOOKUP('Dashboard And Emails Automate'!$G3013,Database!$H:$N,7,0)),"")</f>
        <v/>
      </c>
      <c r="N3013" s="55" t="str">
        <f>IFERROR(IF(OR($B3013="",$B3013="(blank)"),"",VLOOKUP($B3013,'Email Marketing Raw Data'!$C:$O,6,0)),"")</f>
        <v/>
      </c>
      <c r="O3013" s="55" t="str">
        <f>IFERROR(IF(OR($B3013="",$B3013="(blank)"),"",VLOOKUP($B3013,'Email Marketing Raw Data'!$C:$O,7,0)),"")</f>
        <v/>
      </c>
      <c r="P3013" s="55" t="str">
        <f>IFERROR(IF(OR($B3013="",$B3013="(blank)"),"",VLOOKUP($B3013,'Email Marketing Raw Data'!$C:$O,8,0)),"")</f>
        <v/>
      </c>
      <c r="Q3013" s="62" t="str">
        <f>IFERROR(IF(OR($B3013="",$B3013="(blank)"),"",VLOOKUP($B3013,'Email Marketing Raw Data'!$C:$O,9,0)),"")</f>
        <v/>
      </c>
    </row>
    <row r="3014" spans="4:17" ht="12.75" customHeight="1" x14ac:dyDescent="0.2">
      <c r="D3014" s="58" t="str">
        <f>IFERROR(IF(F3014&lt;&gt;"pending","",IF(OR($B3014="",$B3014="(blank)"),"",VLOOKUP($B3014,'Email Marketing Raw Data'!$C:$O,10,0))),"")</f>
        <v/>
      </c>
      <c r="E3014" s="59" t="str">
        <f>IFERROR(IF(F3014&lt;&gt;"pending","",IF(OR($B3014="",$B3014="(blank)"),"",VLOOKUP($B3014,'Email Marketing Raw Data'!$C:$O,11,0))),"")</f>
        <v/>
      </c>
      <c r="F3014" s="54" t="str">
        <f>IFERROR(IF(OR($B3014="",$B3014="(blank)"),"",VLOOKUP($B3014,'Email Marketing Raw Data'!$C:$O,13,0)),"")</f>
        <v/>
      </c>
      <c r="G3014" s="55" t="str">
        <f>IFERROR(IF(OR($B3014="",$B3014="(blank)"),"",VLOOKUP($B3014,'Email Marketing Raw Data'!$C:$O,4,0)),"")</f>
        <v/>
      </c>
      <c r="H3014" s="55" t="str">
        <f>IFERROR(IF(OR($B3014="",$B3014="(blank)"),"",VLOOKUP($B3014,'Email Marketing Raw Data'!$C:$O,5,0)),"")</f>
        <v/>
      </c>
      <c r="I3014" s="55" t="str">
        <f>IFERROR(IF($G3014="","",VLOOKUP('Dashboard And Emails Automate'!$G3014,Database!$H:$N,3,0)),"")</f>
        <v/>
      </c>
      <c r="J3014" s="55" t="str">
        <f>IFERROR(IF($G3014="","",VLOOKUP('Dashboard And Emails Automate'!$G3014,Database!$H:$N,4,0)),"")</f>
        <v/>
      </c>
      <c r="K3014" s="55" t="str">
        <f>IFERROR(IF($G3014="","",VLOOKUP('Dashboard And Emails Automate'!$G3014,Database!$H:$N,5,0)),"")</f>
        <v/>
      </c>
      <c r="L3014" s="55" t="str">
        <f>IFERROR(IF($G3014="","",VLOOKUP('Dashboard And Emails Automate'!$G3014,Database!$H:$N,6,0)),"")</f>
        <v/>
      </c>
      <c r="M3014" s="55" t="str">
        <f>IFERROR(IF($G3014="","",VLOOKUP('Dashboard And Emails Automate'!$G3014,Database!$H:$N,7,0)),"")</f>
        <v/>
      </c>
      <c r="N3014" s="55" t="str">
        <f>IFERROR(IF(OR($B3014="",$B3014="(blank)"),"",VLOOKUP($B3014,'Email Marketing Raw Data'!$C:$O,6,0)),"")</f>
        <v/>
      </c>
      <c r="O3014" s="55" t="str">
        <f>IFERROR(IF(OR($B3014="",$B3014="(blank)"),"",VLOOKUP($B3014,'Email Marketing Raw Data'!$C:$O,7,0)),"")</f>
        <v/>
      </c>
      <c r="P3014" s="55" t="str">
        <f>IFERROR(IF(OR($B3014="",$B3014="(blank)"),"",VLOOKUP($B3014,'Email Marketing Raw Data'!$C:$O,8,0)),"")</f>
        <v/>
      </c>
      <c r="Q3014" s="62" t="str">
        <f>IFERROR(IF(OR($B3014="",$B3014="(blank)"),"",VLOOKUP($B3014,'Email Marketing Raw Data'!$C:$O,9,0)),"")</f>
        <v/>
      </c>
    </row>
    <row r="3015" spans="4:17" ht="12.75" customHeight="1" x14ac:dyDescent="0.2">
      <c r="D3015" s="58" t="str">
        <f>IFERROR(IF(F3015&lt;&gt;"pending","",IF(OR($B3015="",$B3015="(blank)"),"",VLOOKUP($B3015,'Email Marketing Raw Data'!$C:$O,10,0))),"")</f>
        <v/>
      </c>
      <c r="E3015" s="59" t="str">
        <f>IFERROR(IF(F3015&lt;&gt;"pending","",IF(OR($B3015="",$B3015="(blank)"),"",VLOOKUP($B3015,'Email Marketing Raw Data'!$C:$O,11,0))),"")</f>
        <v/>
      </c>
      <c r="F3015" s="54" t="str">
        <f>IFERROR(IF(OR($B3015="",$B3015="(blank)"),"",VLOOKUP($B3015,'Email Marketing Raw Data'!$C:$O,13,0)),"")</f>
        <v/>
      </c>
      <c r="G3015" s="55" t="str">
        <f>IFERROR(IF(OR($B3015="",$B3015="(blank)"),"",VLOOKUP($B3015,'Email Marketing Raw Data'!$C:$O,4,0)),"")</f>
        <v/>
      </c>
      <c r="H3015" s="55" t="str">
        <f>IFERROR(IF(OR($B3015="",$B3015="(blank)"),"",VLOOKUP($B3015,'Email Marketing Raw Data'!$C:$O,5,0)),"")</f>
        <v/>
      </c>
      <c r="I3015" s="55" t="str">
        <f>IFERROR(IF($G3015="","",VLOOKUP('Dashboard And Emails Automate'!$G3015,Database!$H:$N,3,0)),"")</f>
        <v/>
      </c>
      <c r="J3015" s="55" t="str">
        <f>IFERROR(IF($G3015="","",VLOOKUP('Dashboard And Emails Automate'!$G3015,Database!$H:$N,4,0)),"")</f>
        <v/>
      </c>
      <c r="K3015" s="55" t="str">
        <f>IFERROR(IF($G3015="","",VLOOKUP('Dashboard And Emails Automate'!$G3015,Database!$H:$N,5,0)),"")</f>
        <v/>
      </c>
      <c r="L3015" s="55" t="str">
        <f>IFERROR(IF($G3015="","",VLOOKUP('Dashboard And Emails Automate'!$G3015,Database!$H:$N,6,0)),"")</f>
        <v/>
      </c>
      <c r="M3015" s="55" t="str">
        <f>IFERROR(IF($G3015="","",VLOOKUP('Dashboard And Emails Automate'!$G3015,Database!$H:$N,7,0)),"")</f>
        <v/>
      </c>
      <c r="N3015" s="55" t="str">
        <f>IFERROR(IF(OR($B3015="",$B3015="(blank)"),"",VLOOKUP($B3015,'Email Marketing Raw Data'!$C:$O,6,0)),"")</f>
        <v/>
      </c>
      <c r="O3015" s="55" t="str">
        <f>IFERROR(IF(OR($B3015="",$B3015="(blank)"),"",VLOOKUP($B3015,'Email Marketing Raw Data'!$C:$O,7,0)),"")</f>
        <v/>
      </c>
      <c r="P3015" s="55" t="str">
        <f>IFERROR(IF(OR($B3015="",$B3015="(blank)"),"",VLOOKUP($B3015,'Email Marketing Raw Data'!$C:$O,8,0)),"")</f>
        <v/>
      </c>
      <c r="Q3015" s="62" t="str">
        <f>IFERROR(IF(OR($B3015="",$B3015="(blank)"),"",VLOOKUP($B3015,'Email Marketing Raw Data'!$C:$O,9,0)),"")</f>
        <v/>
      </c>
    </row>
    <row r="3016" spans="4:17" ht="12.75" customHeight="1" x14ac:dyDescent="0.2">
      <c r="D3016" s="58" t="str">
        <f>IFERROR(IF(F3016&lt;&gt;"pending","",IF(OR($B3016="",$B3016="(blank)"),"",VLOOKUP($B3016,'Email Marketing Raw Data'!$C:$O,10,0))),"")</f>
        <v/>
      </c>
      <c r="E3016" s="59" t="str">
        <f>IFERROR(IF(F3016&lt;&gt;"pending","",IF(OR($B3016="",$B3016="(blank)"),"",VLOOKUP($B3016,'Email Marketing Raw Data'!$C:$O,11,0))),"")</f>
        <v/>
      </c>
      <c r="F3016" s="54" t="str">
        <f>IFERROR(IF(OR($B3016="",$B3016="(blank)"),"",VLOOKUP($B3016,'Email Marketing Raw Data'!$C:$O,13,0)),"")</f>
        <v/>
      </c>
      <c r="G3016" s="55" t="str">
        <f>IFERROR(IF(OR($B3016="",$B3016="(blank)"),"",VLOOKUP($B3016,'Email Marketing Raw Data'!$C:$O,4,0)),"")</f>
        <v/>
      </c>
      <c r="H3016" s="55" t="str">
        <f>IFERROR(IF(OR($B3016="",$B3016="(blank)"),"",VLOOKUP($B3016,'Email Marketing Raw Data'!$C:$O,5,0)),"")</f>
        <v/>
      </c>
      <c r="I3016" s="55" t="str">
        <f>IFERROR(IF($G3016="","",VLOOKUP('Dashboard And Emails Automate'!$G3016,Database!$H:$N,3,0)),"")</f>
        <v/>
      </c>
      <c r="J3016" s="55" t="str">
        <f>IFERROR(IF($G3016="","",VLOOKUP('Dashboard And Emails Automate'!$G3016,Database!$H:$N,4,0)),"")</f>
        <v/>
      </c>
      <c r="K3016" s="55" t="str">
        <f>IFERROR(IF($G3016="","",VLOOKUP('Dashboard And Emails Automate'!$G3016,Database!$H:$N,5,0)),"")</f>
        <v/>
      </c>
      <c r="L3016" s="55" t="str">
        <f>IFERROR(IF($G3016="","",VLOOKUP('Dashboard And Emails Automate'!$G3016,Database!$H:$N,6,0)),"")</f>
        <v/>
      </c>
      <c r="M3016" s="55" t="str">
        <f>IFERROR(IF($G3016="","",VLOOKUP('Dashboard And Emails Automate'!$G3016,Database!$H:$N,7,0)),"")</f>
        <v/>
      </c>
      <c r="N3016" s="55" t="str">
        <f>IFERROR(IF(OR($B3016="",$B3016="(blank)"),"",VLOOKUP($B3016,'Email Marketing Raw Data'!$C:$O,6,0)),"")</f>
        <v/>
      </c>
      <c r="O3016" s="55" t="str">
        <f>IFERROR(IF(OR($B3016="",$B3016="(blank)"),"",VLOOKUP($B3016,'Email Marketing Raw Data'!$C:$O,7,0)),"")</f>
        <v/>
      </c>
      <c r="P3016" s="55" t="str">
        <f>IFERROR(IF(OR($B3016="",$B3016="(blank)"),"",VLOOKUP($B3016,'Email Marketing Raw Data'!$C:$O,8,0)),"")</f>
        <v/>
      </c>
      <c r="Q3016" s="62" t="str">
        <f>IFERROR(IF(OR($B3016="",$B3016="(blank)"),"",VLOOKUP($B3016,'Email Marketing Raw Data'!$C:$O,9,0)),"")</f>
        <v/>
      </c>
    </row>
    <row r="3017" spans="4:17" ht="12.75" customHeight="1" x14ac:dyDescent="0.2">
      <c r="D3017" s="58" t="str">
        <f>IFERROR(IF(F3017&lt;&gt;"pending","",IF(OR($B3017="",$B3017="(blank)"),"",VLOOKUP($B3017,'Email Marketing Raw Data'!$C:$O,10,0))),"")</f>
        <v/>
      </c>
      <c r="E3017" s="59" t="str">
        <f>IFERROR(IF(F3017&lt;&gt;"pending","",IF(OR($B3017="",$B3017="(blank)"),"",VLOOKUP($B3017,'Email Marketing Raw Data'!$C:$O,11,0))),"")</f>
        <v/>
      </c>
      <c r="F3017" s="54" t="str">
        <f>IFERROR(IF(OR($B3017="",$B3017="(blank)"),"",VLOOKUP($B3017,'Email Marketing Raw Data'!$C:$O,13,0)),"")</f>
        <v/>
      </c>
      <c r="G3017" s="55" t="str">
        <f>IFERROR(IF(OR($B3017="",$B3017="(blank)"),"",VLOOKUP($B3017,'Email Marketing Raw Data'!$C:$O,4,0)),"")</f>
        <v/>
      </c>
      <c r="H3017" s="55" t="str">
        <f>IFERROR(IF(OR($B3017="",$B3017="(blank)"),"",VLOOKUP($B3017,'Email Marketing Raw Data'!$C:$O,5,0)),"")</f>
        <v/>
      </c>
      <c r="I3017" s="55" t="str">
        <f>IFERROR(IF($G3017="","",VLOOKUP('Dashboard And Emails Automate'!$G3017,Database!$H:$N,3,0)),"")</f>
        <v/>
      </c>
      <c r="J3017" s="55" t="str">
        <f>IFERROR(IF($G3017="","",VLOOKUP('Dashboard And Emails Automate'!$G3017,Database!$H:$N,4,0)),"")</f>
        <v/>
      </c>
      <c r="K3017" s="55" t="str">
        <f>IFERROR(IF($G3017="","",VLOOKUP('Dashboard And Emails Automate'!$G3017,Database!$H:$N,5,0)),"")</f>
        <v/>
      </c>
      <c r="L3017" s="55" t="str">
        <f>IFERROR(IF($G3017="","",VLOOKUP('Dashboard And Emails Automate'!$G3017,Database!$H:$N,6,0)),"")</f>
        <v/>
      </c>
      <c r="M3017" s="55" t="str">
        <f>IFERROR(IF($G3017="","",VLOOKUP('Dashboard And Emails Automate'!$G3017,Database!$H:$N,7,0)),"")</f>
        <v/>
      </c>
      <c r="N3017" s="55" t="str">
        <f>IFERROR(IF(OR($B3017="",$B3017="(blank)"),"",VLOOKUP($B3017,'Email Marketing Raw Data'!$C:$O,6,0)),"")</f>
        <v/>
      </c>
      <c r="O3017" s="55" t="str">
        <f>IFERROR(IF(OR($B3017="",$B3017="(blank)"),"",VLOOKUP($B3017,'Email Marketing Raw Data'!$C:$O,7,0)),"")</f>
        <v/>
      </c>
      <c r="P3017" s="55" t="str">
        <f>IFERROR(IF(OR($B3017="",$B3017="(blank)"),"",VLOOKUP($B3017,'Email Marketing Raw Data'!$C:$O,8,0)),"")</f>
        <v/>
      </c>
      <c r="Q3017" s="62" t="str">
        <f>IFERROR(IF(OR($B3017="",$B3017="(blank)"),"",VLOOKUP($B3017,'Email Marketing Raw Data'!$C:$O,9,0)),"")</f>
        <v/>
      </c>
    </row>
    <row r="3018" spans="4:17" ht="12.75" customHeight="1" x14ac:dyDescent="0.2">
      <c r="D3018" s="58" t="str">
        <f>IFERROR(IF(F3018&lt;&gt;"pending","",IF(OR($B3018="",$B3018="(blank)"),"",VLOOKUP($B3018,'Email Marketing Raw Data'!$C:$O,10,0))),"")</f>
        <v/>
      </c>
      <c r="E3018" s="59" t="str">
        <f>IFERROR(IF(F3018&lt;&gt;"pending","",IF(OR($B3018="",$B3018="(blank)"),"",VLOOKUP($B3018,'Email Marketing Raw Data'!$C:$O,11,0))),"")</f>
        <v/>
      </c>
      <c r="F3018" s="54" t="str">
        <f>IFERROR(IF(OR($B3018="",$B3018="(blank)"),"",VLOOKUP($B3018,'Email Marketing Raw Data'!$C:$O,13,0)),"")</f>
        <v/>
      </c>
      <c r="G3018" s="55" t="str">
        <f>IFERROR(IF(OR($B3018="",$B3018="(blank)"),"",VLOOKUP($B3018,'Email Marketing Raw Data'!$C:$O,4,0)),"")</f>
        <v/>
      </c>
      <c r="H3018" s="55" t="str">
        <f>IFERROR(IF(OR($B3018="",$B3018="(blank)"),"",VLOOKUP($B3018,'Email Marketing Raw Data'!$C:$O,5,0)),"")</f>
        <v/>
      </c>
      <c r="I3018" s="55" t="str">
        <f>IFERROR(IF($G3018="","",VLOOKUP('Dashboard And Emails Automate'!$G3018,Database!$H:$N,3,0)),"")</f>
        <v/>
      </c>
      <c r="J3018" s="55" t="str">
        <f>IFERROR(IF($G3018="","",VLOOKUP('Dashboard And Emails Automate'!$G3018,Database!$H:$N,4,0)),"")</f>
        <v/>
      </c>
      <c r="K3018" s="55" t="str">
        <f>IFERROR(IF($G3018="","",VLOOKUP('Dashboard And Emails Automate'!$G3018,Database!$H:$N,5,0)),"")</f>
        <v/>
      </c>
      <c r="L3018" s="55" t="str">
        <f>IFERROR(IF($G3018="","",VLOOKUP('Dashboard And Emails Automate'!$G3018,Database!$H:$N,6,0)),"")</f>
        <v/>
      </c>
      <c r="M3018" s="55" t="str">
        <f>IFERROR(IF($G3018="","",VLOOKUP('Dashboard And Emails Automate'!$G3018,Database!$H:$N,7,0)),"")</f>
        <v/>
      </c>
      <c r="N3018" s="55" t="str">
        <f>IFERROR(IF(OR($B3018="",$B3018="(blank)"),"",VLOOKUP($B3018,'Email Marketing Raw Data'!$C:$O,6,0)),"")</f>
        <v/>
      </c>
      <c r="O3018" s="55" t="str">
        <f>IFERROR(IF(OR($B3018="",$B3018="(blank)"),"",VLOOKUP($B3018,'Email Marketing Raw Data'!$C:$O,7,0)),"")</f>
        <v/>
      </c>
      <c r="P3018" s="55" t="str">
        <f>IFERROR(IF(OR($B3018="",$B3018="(blank)"),"",VLOOKUP($B3018,'Email Marketing Raw Data'!$C:$O,8,0)),"")</f>
        <v/>
      </c>
      <c r="Q3018" s="62" t="str">
        <f>IFERROR(IF(OR($B3018="",$B3018="(blank)"),"",VLOOKUP($B3018,'Email Marketing Raw Data'!$C:$O,9,0)),"")</f>
        <v/>
      </c>
    </row>
    <row r="3019" spans="4:17" ht="12.75" customHeight="1" x14ac:dyDescent="0.2">
      <c r="D3019" s="58" t="str">
        <f>IFERROR(IF(F3019&lt;&gt;"pending","",IF(OR($B3019="",$B3019="(blank)"),"",VLOOKUP($B3019,'Email Marketing Raw Data'!$C:$O,10,0))),"")</f>
        <v/>
      </c>
      <c r="E3019" s="59" t="str">
        <f>IFERROR(IF(F3019&lt;&gt;"pending","",IF(OR($B3019="",$B3019="(blank)"),"",VLOOKUP($B3019,'Email Marketing Raw Data'!$C:$O,11,0))),"")</f>
        <v/>
      </c>
      <c r="F3019" s="54" t="str">
        <f>IFERROR(IF(OR($B3019="",$B3019="(blank)"),"",VLOOKUP($B3019,'Email Marketing Raw Data'!$C:$O,13,0)),"")</f>
        <v/>
      </c>
      <c r="G3019" s="55" t="str">
        <f>IFERROR(IF(OR($B3019="",$B3019="(blank)"),"",VLOOKUP($B3019,'Email Marketing Raw Data'!$C:$O,4,0)),"")</f>
        <v/>
      </c>
      <c r="H3019" s="55" t="str">
        <f>IFERROR(IF(OR($B3019="",$B3019="(blank)"),"",VLOOKUP($B3019,'Email Marketing Raw Data'!$C:$O,5,0)),"")</f>
        <v/>
      </c>
      <c r="I3019" s="55" t="str">
        <f>IFERROR(IF($G3019="","",VLOOKUP('Dashboard And Emails Automate'!$G3019,Database!$H:$N,3,0)),"")</f>
        <v/>
      </c>
      <c r="J3019" s="55" t="str">
        <f>IFERROR(IF($G3019="","",VLOOKUP('Dashboard And Emails Automate'!$G3019,Database!$H:$N,4,0)),"")</f>
        <v/>
      </c>
      <c r="K3019" s="55" t="str">
        <f>IFERROR(IF($G3019="","",VLOOKUP('Dashboard And Emails Automate'!$G3019,Database!$H:$N,5,0)),"")</f>
        <v/>
      </c>
      <c r="L3019" s="55" t="str">
        <f>IFERROR(IF($G3019="","",VLOOKUP('Dashboard And Emails Automate'!$G3019,Database!$H:$N,6,0)),"")</f>
        <v/>
      </c>
      <c r="M3019" s="55" t="str">
        <f>IFERROR(IF($G3019="","",VLOOKUP('Dashboard And Emails Automate'!$G3019,Database!$H:$N,7,0)),"")</f>
        <v/>
      </c>
      <c r="N3019" s="55" t="str">
        <f>IFERROR(IF(OR($B3019="",$B3019="(blank)"),"",VLOOKUP($B3019,'Email Marketing Raw Data'!$C:$O,6,0)),"")</f>
        <v/>
      </c>
      <c r="O3019" s="55" t="str">
        <f>IFERROR(IF(OR($B3019="",$B3019="(blank)"),"",VLOOKUP($B3019,'Email Marketing Raw Data'!$C:$O,7,0)),"")</f>
        <v/>
      </c>
      <c r="P3019" s="55" t="str">
        <f>IFERROR(IF(OR($B3019="",$B3019="(blank)"),"",VLOOKUP($B3019,'Email Marketing Raw Data'!$C:$O,8,0)),"")</f>
        <v/>
      </c>
      <c r="Q3019" s="62" t="str">
        <f>IFERROR(IF(OR($B3019="",$B3019="(blank)"),"",VLOOKUP($B3019,'Email Marketing Raw Data'!$C:$O,9,0)),"")</f>
        <v/>
      </c>
    </row>
    <row r="3020" spans="4:17" ht="12.75" customHeight="1" x14ac:dyDescent="0.2">
      <c r="D3020" s="58" t="str">
        <f>IFERROR(IF(F3020&lt;&gt;"pending","",IF(OR($B3020="",$B3020="(blank)"),"",VLOOKUP($B3020,'Email Marketing Raw Data'!$C:$O,10,0))),"")</f>
        <v/>
      </c>
      <c r="E3020" s="59" t="str">
        <f>IFERROR(IF(F3020&lt;&gt;"pending","",IF(OR($B3020="",$B3020="(blank)"),"",VLOOKUP($B3020,'Email Marketing Raw Data'!$C:$O,11,0))),"")</f>
        <v/>
      </c>
      <c r="F3020" s="54" t="str">
        <f>IFERROR(IF(OR($B3020="",$B3020="(blank)"),"",VLOOKUP($B3020,'Email Marketing Raw Data'!$C:$O,13,0)),"")</f>
        <v/>
      </c>
      <c r="G3020" s="55" t="str">
        <f>IFERROR(IF(OR($B3020="",$B3020="(blank)"),"",VLOOKUP($B3020,'Email Marketing Raw Data'!$C:$O,4,0)),"")</f>
        <v/>
      </c>
      <c r="H3020" s="55" t="str">
        <f>IFERROR(IF(OR($B3020="",$B3020="(blank)"),"",VLOOKUP($B3020,'Email Marketing Raw Data'!$C:$O,5,0)),"")</f>
        <v/>
      </c>
      <c r="I3020" s="55" t="str">
        <f>IFERROR(IF($G3020="","",VLOOKUP('Dashboard And Emails Automate'!$G3020,Database!$H:$N,3,0)),"")</f>
        <v/>
      </c>
      <c r="J3020" s="55" t="str">
        <f>IFERROR(IF($G3020="","",VLOOKUP('Dashboard And Emails Automate'!$G3020,Database!$H:$N,4,0)),"")</f>
        <v/>
      </c>
      <c r="K3020" s="55" t="str">
        <f>IFERROR(IF($G3020="","",VLOOKUP('Dashboard And Emails Automate'!$G3020,Database!$H:$N,5,0)),"")</f>
        <v/>
      </c>
      <c r="L3020" s="55" t="str">
        <f>IFERROR(IF($G3020="","",VLOOKUP('Dashboard And Emails Automate'!$G3020,Database!$H:$N,6,0)),"")</f>
        <v/>
      </c>
      <c r="M3020" s="55" t="str">
        <f>IFERROR(IF($G3020="","",VLOOKUP('Dashboard And Emails Automate'!$G3020,Database!$H:$N,7,0)),"")</f>
        <v/>
      </c>
      <c r="N3020" s="55" t="str">
        <f>IFERROR(IF(OR($B3020="",$B3020="(blank)"),"",VLOOKUP($B3020,'Email Marketing Raw Data'!$C:$O,6,0)),"")</f>
        <v/>
      </c>
      <c r="O3020" s="55" t="str">
        <f>IFERROR(IF(OR($B3020="",$B3020="(blank)"),"",VLOOKUP($B3020,'Email Marketing Raw Data'!$C:$O,7,0)),"")</f>
        <v/>
      </c>
      <c r="P3020" s="55" t="str">
        <f>IFERROR(IF(OR($B3020="",$B3020="(blank)"),"",VLOOKUP($B3020,'Email Marketing Raw Data'!$C:$O,8,0)),"")</f>
        <v/>
      </c>
      <c r="Q3020" s="62" t="str">
        <f>IFERROR(IF(OR($B3020="",$B3020="(blank)"),"",VLOOKUP($B3020,'Email Marketing Raw Data'!$C:$O,9,0)),"")</f>
        <v/>
      </c>
    </row>
    <row r="3021" spans="4:17" ht="12.75" customHeight="1" x14ac:dyDescent="0.2">
      <c r="D3021" s="58" t="str">
        <f>IFERROR(IF(F3021&lt;&gt;"pending","",IF(OR($B3021="",$B3021="(blank)"),"",VLOOKUP($B3021,'Email Marketing Raw Data'!$C:$O,10,0))),"")</f>
        <v/>
      </c>
      <c r="E3021" s="59" t="str">
        <f>IFERROR(IF(F3021&lt;&gt;"pending","",IF(OR($B3021="",$B3021="(blank)"),"",VLOOKUP($B3021,'Email Marketing Raw Data'!$C:$O,11,0))),"")</f>
        <v/>
      </c>
      <c r="F3021" s="54" t="str">
        <f>IFERROR(IF(OR($B3021="",$B3021="(blank)"),"",VLOOKUP($B3021,'Email Marketing Raw Data'!$C:$O,13,0)),"")</f>
        <v/>
      </c>
      <c r="G3021" s="55" t="str">
        <f>IFERROR(IF(OR($B3021="",$B3021="(blank)"),"",VLOOKUP($B3021,'Email Marketing Raw Data'!$C:$O,4,0)),"")</f>
        <v/>
      </c>
      <c r="H3021" s="55" t="str">
        <f>IFERROR(IF(OR($B3021="",$B3021="(blank)"),"",VLOOKUP($B3021,'Email Marketing Raw Data'!$C:$O,5,0)),"")</f>
        <v/>
      </c>
      <c r="I3021" s="55" t="str">
        <f>IFERROR(IF($G3021="","",VLOOKUP('Dashboard And Emails Automate'!$G3021,Database!$H:$N,3,0)),"")</f>
        <v/>
      </c>
      <c r="J3021" s="55" t="str">
        <f>IFERROR(IF($G3021="","",VLOOKUP('Dashboard And Emails Automate'!$G3021,Database!$H:$N,4,0)),"")</f>
        <v/>
      </c>
      <c r="K3021" s="55" t="str">
        <f>IFERROR(IF($G3021="","",VLOOKUP('Dashboard And Emails Automate'!$G3021,Database!$H:$N,5,0)),"")</f>
        <v/>
      </c>
      <c r="L3021" s="55" t="str">
        <f>IFERROR(IF($G3021="","",VLOOKUP('Dashboard And Emails Automate'!$G3021,Database!$H:$N,6,0)),"")</f>
        <v/>
      </c>
      <c r="M3021" s="55" t="str">
        <f>IFERROR(IF($G3021="","",VLOOKUP('Dashboard And Emails Automate'!$G3021,Database!$H:$N,7,0)),"")</f>
        <v/>
      </c>
      <c r="N3021" s="55" t="str">
        <f>IFERROR(IF(OR($B3021="",$B3021="(blank)"),"",VLOOKUP($B3021,'Email Marketing Raw Data'!$C:$O,6,0)),"")</f>
        <v/>
      </c>
      <c r="O3021" s="55" t="str">
        <f>IFERROR(IF(OR($B3021="",$B3021="(blank)"),"",VLOOKUP($B3021,'Email Marketing Raw Data'!$C:$O,7,0)),"")</f>
        <v/>
      </c>
      <c r="P3021" s="55" t="str">
        <f>IFERROR(IF(OR($B3021="",$B3021="(blank)"),"",VLOOKUP($B3021,'Email Marketing Raw Data'!$C:$O,8,0)),"")</f>
        <v/>
      </c>
      <c r="Q3021" s="62" t="str">
        <f>IFERROR(IF(OR($B3021="",$B3021="(blank)"),"",VLOOKUP($B3021,'Email Marketing Raw Data'!$C:$O,9,0)),"")</f>
        <v/>
      </c>
    </row>
    <row r="3022" spans="4:17" ht="12.75" customHeight="1" x14ac:dyDescent="0.2">
      <c r="D3022" s="58" t="str">
        <f>IFERROR(IF(F3022&lt;&gt;"pending","",IF(OR($B3022="",$B3022="(blank)"),"",VLOOKUP($B3022,'Email Marketing Raw Data'!$C:$O,10,0))),"")</f>
        <v/>
      </c>
      <c r="E3022" s="59" t="str">
        <f>IFERROR(IF(F3022&lt;&gt;"pending","",IF(OR($B3022="",$B3022="(blank)"),"",VLOOKUP($B3022,'Email Marketing Raw Data'!$C:$O,11,0))),"")</f>
        <v/>
      </c>
      <c r="F3022" s="54" t="str">
        <f>IFERROR(IF(OR($B3022="",$B3022="(blank)"),"",VLOOKUP($B3022,'Email Marketing Raw Data'!$C:$O,13,0)),"")</f>
        <v/>
      </c>
      <c r="G3022" s="55" t="str">
        <f>IFERROR(IF(OR($B3022="",$B3022="(blank)"),"",VLOOKUP($B3022,'Email Marketing Raw Data'!$C:$O,4,0)),"")</f>
        <v/>
      </c>
      <c r="H3022" s="55" t="str">
        <f>IFERROR(IF(OR($B3022="",$B3022="(blank)"),"",VLOOKUP($B3022,'Email Marketing Raw Data'!$C:$O,5,0)),"")</f>
        <v/>
      </c>
      <c r="I3022" s="55" t="str">
        <f>IFERROR(IF($G3022="","",VLOOKUP('Dashboard And Emails Automate'!$G3022,Database!$H:$N,3,0)),"")</f>
        <v/>
      </c>
      <c r="J3022" s="55" t="str">
        <f>IFERROR(IF($G3022="","",VLOOKUP('Dashboard And Emails Automate'!$G3022,Database!$H:$N,4,0)),"")</f>
        <v/>
      </c>
      <c r="K3022" s="55" t="str">
        <f>IFERROR(IF($G3022="","",VLOOKUP('Dashboard And Emails Automate'!$G3022,Database!$H:$N,5,0)),"")</f>
        <v/>
      </c>
      <c r="L3022" s="55" t="str">
        <f>IFERROR(IF($G3022="","",VLOOKUP('Dashboard And Emails Automate'!$G3022,Database!$H:$N,6,0)),"")</f>
        <v/>
      </c>
      <c r="M3022" s="55" t="str">
        <f>IFERROR(IF($G3022="","",VLOOKUP('Dashboard And Emails Automate'!$G3022,Database!$H:$N,7,0)),"")</f>
        <v/>
      </c>
      <c r="N3022" s="55" t="str">
        <f>IFERROR(IF(OR($B3022="",$B3022="(blank)"),"",VLOOKUP($B3022,'Email Marketing Raw Data'!$C:$O,6,0)),"")</f>
        <v/>
      </c>
      <c r="O3022" s="55" t="str">
        <f>IFERROR(IF(OR($B3022="",$B3022="(blank)"),"",VLOOKUP($B3022,'Email Marketing Raw Data'!$C:$O,7,0)),"")</f>
        <v/>
      </c>
      <c r="P3022" s="55" t="str">
        <f>IFERROR(IF(OR($B3022="",$B3022="(blank)"),"",VLOOKUP($B3022,'Email Marketing Raw Data'!$C:$O,8,0)),"")</f>
        <v/>
      </c>
      <c r="Q3022" s="62" t="str">
        <f>IFERROR(IF(OR($B3022="",$B3022="(blank)"),"",VLOOKUP($B3022,'Email Marketing Raw Data'!$C:$O,9,0)),"")</f>
        <v/>
      </c>
    </row>
    <row r="3023" spans="4:17" ht="12.75" customHeight="1" x14ac:dyDescent="0.2">
      <c r="D3023" s="58" t="str">
        <f>IFERROR(IF(F3023&lt;&gt;"pending","",IF(OR($B3023="",$B3023="(blank)"),"",VLOOKUP($B3023,'Email Marketing Raw Data'!$C:$O,10,0))),"")</f>
        <v/>
      </c>
      <c r="E3023" s="59" t="str">
        <f>IFERROR(IF(F3023&lt;&gt;"pending","",IF(OR($B3023="",$B3023="(blank)"),"",VLOOKUP($B3023,'Email Marketing Raw Data'!$C:$O,11,0))),"")</f>
        <v/>
      </c>
      <c r="F3023" s="54" t="str">
        <f>IFERROR(IF(OR($B3023="",$B3023="(blank)"),"",VLOOKUP($B3023,'Email Marketing Raw Data'!$C:$O,13,0)),"")</f>
        <v/>
      </c>
      <c r="G3023" s="55" t="str">
        <f>IFERROR(IF(OR($B3023="",$B3023="(blank)"),"",VLOOKUP($B3023,'Email Marketing Raw Data'!$C:$O,4,0)),"")</f>
        <v/>
      </c>
      <c r="H3023" s="55" t="str">
        <f>IFERROR(IF(OR($B3023="",$B3023="(blank)"),"",VLOOKUP($B3023,'Email Marketing Raw Data'!$C:$O,5,0)),"")</f>
        <v/>
      </c>
      <c r="I3023" s="55" t="str">
        <f>IFERROR(IF($G3023="","",VLOOKUP('Dashboard And Emails Automate'!$G3023,Database!$H:$N,3,0)),"")</f>
        <v/>
      </c>
      <c r="J3023" s="55" t="str">
        <f>IFERROR(IF($G3023="","",VLOOKUP('Dashboard And Emails Automate'!$G3023,Database!$H:$N,4,0)),"")</f>
        <v/>
      </c>
      <c r="K3023" s="55" t="str">
        <f>IFERROR(IF($G3023="","",VLOOKUP('Dashboard And Emails Automate'!$G3023,Database!$H:$N,5,0)),"")</f>
        <v/>
      </c>
      <c r="L3023" s="55" t="str">
        <f>IFERROR(IF($G3023="","",VLOOKUP('Dashboard And Emails Automate'!$G3023,Database!$H:$N,6,0)),"")</f>
        <v/>
      </c>
      <c r="M3023" s="55" t="str">
        <f>IFERROR(IF($G3023="","",VLOOKUP('Dashboard And Emails Automate'!$G3023,Database!$H:$N,7,0)),"")</f>
        <v/>
      </c>
      <c r="N3023" s="55" t="str">
        <f>IFERROR(IF(OR($B3023="",$B3023="(blank)"),"",VLOOKUP($B3023,'Email Marketing Raw Data'!$C:$O,6,0)),"")</f>
        <v/>
      </c>
      <c r="O3023" s="55" t="str">
        <f>IFERROR(IF(OR($B3023="",$B3023="(blank)"),"",VLOOKUP($B3023,'Email Marketing Raw Data'!$C:$O,7,0)),"")</f>
        <v/>
      </c>
      <c r="P3023" s="55" t="str">
        <f>IFERROR(IF(OR($B3023="",$B3023="(blank)"),"",VLOOKUP($B3023,'Email Marketing Raw Data'!$C:$O,8,0)),"")</f>
        <v/>
      </c>
      <c r="Q3023" s="62" t="str">
        <f>IFERROR(IF(OR($B3023="",$B3023="(blank)"),"",VLOOKUP($B3023,'Email Marketing Raw Data'!$C:$O,9,0)),"")</f>
        <v/>
      </c>
    </row>
    <row r="3024" spans="4:17" ht="12.75" customHeight="1" x14ac:dyDescent="0.2">
      <c r="D3024" s="58" t="str">
        <f>IFERROR(IF(F3024&lt;&gt;"pending","",IF(OR($B3024="",$B3024="(blank)"),"",VLOOKUP($B3024,'Email Marketing Raw Data'!$C:$O,10,0))),"")</f>
        <v/>
      </c>
      <c r="E3024" s="59" t="str">
        <f>IFERROR(IF(F3024&lt;&gt;"pending","",IF(OR($B3024="",$B3024="(blank)"),"",VLOOKUP($B3024,'Email Marketing Raw Data'!$C:$O,11,0))),"")</f>
        <v/>
      </c>
      <c r="F3024" s="54" t="str">
        <f>IFERROR(IF(OR($B3024="",$B3024="(blank)"),"",VLOOKUP($B3024,'Email Marketing Raw Data'!$C:$O,13,0)),"")</f>
        <v/>
      </c>
      <c r="G3024" s="55" t="str">
        <f>IFERROR(IF(OR($B3024="",$B3024="(blank)"),"",VLOOKUP($B3024,'Email Marketing Raw Data'!$C:$O,4,0)),"")</f>
        <v/>
      </c>
      <c r="H3024" s="55" t="str">
        <f>IFERROR(IF(OR($B3024="",$B3024="(blank)"),"",VLOOKUP($B3024,'Email Marketing Raw Data'!$C:$O,5,0)),"")</f>
        <v/>
      </c>
      <c r="I3024" s="55" t="str">
        <f>IFERROR(IF($G3024="","",VLOOKUP('Dashboard And Emails Automate'!$G3024,Database!$H:$N,3,0)),"")</f>
        <v/>
      </c>
      <c r="J3024" s="55" t="str">
        <f>IFERROR(IF($G3024="","",VLOOKUP('Dashboard And Emails Automate'!$G3024,Database!$H:$N,4,0)),"")</f>
        <v/>
      </c>
      <c r="K3024" s="55" t="str">
        <f>IFERROR(IF($G3024="","",VLOOKUP('Dashboard And Emails Automate'!$G3024,Database!$H:$N,5,0)),"")</f>
        <v/>
      </c>
      <c r="L3024" s="55" t="str">
        <f>IFERROR(IF($G3024="","",VLOOKUP('Dashboard And Emails Automate'!$G3024,Database!$H:$N,6,0)),"")</f>
        <v/>
      </c>
      <c r="M3024" s="55" t="str">
        <f>IFERROR(IF($G3024="","",VLOOKUP('Dashboard And Emails Automate'!$G3024,Database!$H:$N,7,0)),"")</f>
        <v/>
      </c>
      <c r="N3024" s="55" t="str">
        <f>IFERROR(IF(OR($B3024="",$B3024="(blank)"),"",VLOOKUP($B3024,'Email Marketing Raw Data'!$C:$O,6,0)),"")</f>
        <v/>
      </c>
      <c r="O3024" s="55" t="str">
        <f>IFERROR(IF(OR($B3024="",$B3024="(blank)"),"",VLOOKUP($B3024,'Email Marketing Raw Data'!$C:$O,7,0)),"")</f>
        <v/>
      </c>
      <c r="P3024" s="55" t="str">
        <f>IFERROR(IF(OR($B3024="",$B3024="(blank)"),"",VLOOKUP($B3024,'Email Marketing Raw Data'!$C:$O,8,0)),"")</f>
        <v/>
      </c>
      <c r="Q3024" s="62" t="str">
        <f>IFERROR(IF(OR($B3024="",$B3024="(blank)"),"",VLOOKUP($B3024,'Email Marketing Raw Data'!$C:$O,9,0)),"")</f>
        <v/>
      </c>
    </row>
    <row r="3025" spans="4:17" ht="12.75" customHeight="1" x14ac:dyDescent="0.2">
      <c r="D3025" s="58" t="str">
        <f>IFERROR(IF(F3025&lt;&gt;"pending","",IF(OR($B3025="",$B3025="(blank)"),"",VLOOKUP($B3025,'Email Marketing Raw Data'!$C:$O,10,0))),"")</f>
        <v/>
      </c>
      <c r="E3025" s="59" t="str">
        <f>IFERROR(IF(F3025&lt;&gt;"pending","",IF(OR($B3025="",$B3025="(blank)"),"",VLOOKUP($B3025,'Email Marketing Raw Data'!$C:$O,11,0))),"")</f>
        <v/>
      </c>
      <c r="F3025" s="54" t="str">
        <f>IFERROR(IF(OR($B3025="",$B3025="(blank)"),"",VLOOKUP($B3025,'Email Marketing Raw Data'!$C:$O,13,0)),"")</f>
        <v/>
      </c>
      <c r="G3025" s="55" t="str">
        <f>IFERROR(IF(OR($B3025="",$B3025="(blank)"),"",VLOOKUP($B3025,'Email Marketing Raw Data'!$C:$O,4,0)),"")</f>
        <v/>
      </c>
      <c r="H3025" s="55" t="str">
        <f>IFERROR(IF(OR($B3025="",$B3025="(blank)"),"",VLOOKUP($B3025,'Email Marketing Raw Data'!$C:$O,5,0)),"")</f>
        <v/>
      </c>
      <c r="I3025" s="55" t="str">
        <f>IFERROR(IF($G3025="","",VLOOKUP('Dashboard And Emails Automate'!$G3025,Database!$H:$N,3,0)),"")</f>
        <v/>
      </c>
      <c r="J3025" s="55" t="str">
        <f>IFERROR(IF($G3025="","",VLOOKUP('Dashboard And Emails Automate'!$G3025,Database!$H:$N,4,0)),"")</f>
        <v/>
      </c>
      <c r="K3025" s="55" t="str">
        <f>IFERROR(IF($G3025="","",VLOOKUP('Dashboard And Emails Automate'!$G3025,Database!$H:$N,5,0)),"")</f>
        <v/>
      </c>
      <c r="L3025" s="55" t="str">
        <f>IFERROR(IF($G3025="","",VLOOKUP('Dashboard And Emails Automate'!$G3025,Database!$H:$N,6,0)),"")</f>
        <v/>
      </c>
      <c r="M3025" s="55" t="str">
        <f>IFERROR(IF($G3025="","",VLOOKUP('Dashboard And Emails Automate'!$G3025,Database!$H:$N,7,0)),"")</f>
        <v/>
      </c>
      <c r="N3025" s="55" t="str">
        <f>IFERROR(IF(OR($B3025="",$B3025="(blank)"),"",VLOOKUP($B3025,'Email Marketing Raw Data'!$C:$O,6,0)),"")</f>
        <v/>
      </c>
      <c r="O3025" s="55" t="str">
        <f>IFERROR(IF(OR($B3025="",$B3025="(blank)"),"",VLOOKUP($B3025,'Email Marketing Raw Data'!$C:$O,7,0)),"")</f>
        <v/>
      </c>
      <c r="P3025" s="55" t="str">
        <f>IFERROR(IF(OR($B3025="",$B3025="(blank)"),"",VLOOKUP($B3025,'Email Marketing Raw Data'!$C:$O,8,0)),"")</f>
        <v/>
      </c>
      <c r="Q3025" s="62" t="str">
        <f>IFERROR(IF(OR($B3025="",$B3025="(blank)"),"",VLOOKUP($B3025,'Email Marketing Raw Data'!$C:$O,9,0)),"")</f>
        <v/>
      </c>
    </row>
    <row r="3026" spans="4:17" ht="12.75" customHeight="1" x14ac:dyDescent="0.2">
      <c r="D3026" s="58" t="str">
        <f>IFERROR(IF(F3026&lt;&gt;"pending","",IF(OR($B3026="",$B3026="(blank)"),"",VLOOKUP($B3026,'Email Marketing Raw Data'!$C:$O,10,0))),"")</f>
        <v/>
      </c>
      <c r="E3026" s="59" t="str">
        <f>IFERROR(IF(F3026&lt;&gt;"pending","",IF(OR($B3026="",$B3026="(blank)"),"",VLOOKUP($B3026,'Email Marketing Raw Data'!$C:$O,11,0))),"")</f>
        <v/>
      </c>
      <c r="F3026" s="54" t="str">
        <f>IFERROR(IF(OR($B3026="",$B3026="(blank)"),"",VLOOKUP($B3026,'Email Marketing Raw Data'!$C:$O,13,0)),"")</f>
        <v/>
      </c>
      <c r="G3026" s="55" t="str">
        <f>IFERROR(IF(OR($B3026="",$B3026="(blank)"),"",VLOOKUP($B3026,'Email Marketing Raw Data'!$C:$O,4,0)),"")</f>
        <v/>
      </c>
      <c r="H3026" s="55" t="str">
        <f>IFERROR(IF(OR($B3026="",$B3026="(blank)"),"",VLOOKUP($B3026,'Email Marketing Raw Data'!$C:$O,5,0)),"")</f>
        <v/>
      </c>
      <c r="I3026" s="55" t="str">
        <f>IFERROR(IF($G3026="","",VLOOKUP('Dashboard And Emails Automate'!$G3026,Database!$H:$N,3,0)),"")</f>
        <v/>
      </c>
      <c r="J3026" s="55" t="str">
        <f>IFERROR(IF($G3026="","",VLOOKUP('Dashboard And Emails Automate'!$G3026,Database!$H:$N,4,0)),"")</f>
        <v/>
      </c>
      <c r="K3026" s="55" t="str">
        <f>IFERROR(IF($G3026="","",VLOOKUP('Dashboard And Emails Automate'!$G3026,Database!$H:$N,5,0)),"")</f>
        <v/>
      </c>
      <c r="L3026" s="55" t="str">
        <f>IFERROR(IF($G3026="","",VLOOKUP('Dashboard And Emails Automate'!$G3026,Database!$H:$N,6,0)),"")</f>
        <v/>
      </c>
      <c r="M3026" s="55" t="str">
        <f>IFERROR(IF($G3026="","",VLOOKUP('Dashboard And Emails Automate'!$G3026,Database!$H:$N,7,0)),"")</f>
        <v/>
      </c>
      <c r="N3026" s="55" t="str">
        <f>IFERROR(IF(OR($B3026="",$B3026="(blank)"),"",VLOOKUP($B3026,'Email Marketing Raw Data'!$C:$O,6,0)),"")</f>
        <v/>
      </c>
      <c r="O3026" s="55" t="str">
        <f>IFERROR(IF(OR($B3026="",$B3026="(blank)"),"",VLOOKUP($B3026,'Email Marketing Raw Data'!$C:$O,7,0)),"")</f>
        <v/>
      </c>
      <c r="P3026" s="55" t="str">
        <f>IFERROR(IF(OR($B3026="",$B3026="(blank)"),"",VLOOKUP($B3026,'Email Marketing Raw Data'!$C:$O,8,0)),"")</f>
        <v/>
      </c>
      <c r="Q3026" s="62" t="str">
        <f>IFERROR(IF(OR($B3026="",$B3026="(blank)"),"",VLOOKUP($B3026,'Email Marketing Raw Data'!$C:$O,9,0)),"")</f>
        <v/>
      </c>
    </row>
    <row r="3027" spans="4:17" ht="12.75" customHeight="1" x14ac:dyDescent="0.2">
      <c r="D3027" s="58" t="str">
        <f>IFERROR(IF(F3027&lt;&gt;"pending","",IF(OR($B3027="",$B3027="(blank)"),"",VLOOKUP($B3027,'Email Marketing Raw Data'!$C:$O,10,0))),"")</f>
        <v/>
      </c>
      <c r="E3027" s="59" t="str">
        <f>IFERROR(IF(F3027&lt;&gt;"pending","",IF(OR($B3027="",$B3027="(blank)"),"",VLOOKUP($B3027,'Email Marketing Raw Data'!$C:$O,11,0))),"")</f>
        <v/>
      </c>
      <c r="F3027" s="54" t="str">
        <f>IFERROR(IF(OR($B3027="",$B3027="(blank)"),"",VLOOKUP($B3027,'Email Marketing Raw Data'!$C:$O,13,0)),"")</f>
        <v/>
      </c>
      <c r="G3027" s="55" t="str">
        <f>IFERROR(IF(OR($B3027="",$B3027="(blank)"),"",VLOOKUP($B3027,'Email Marketing Raw Data'!$C:$O,4,0)),"")</f>
        <v/>
      </c>
      <c r="H3027" s="55" t="str">
        <f>IFERROR(IF(OR($B3027="",$B3027="(blank)"),"",VLOOKUP($B3027,'Email Marketing Raw Data'!$C:$O,5,0)),"")</f>
        <v/>
      </c>
      <c r="I3027" s="55" t="str">
        <f>IFERROR(IF($G3027="","",VLOOKUP('Dashboard And Emails Automate'!$G3027,Database!$H:$N,3,0)),"")</f>
        <v/>
      </c>
      <c r="J3027" s="55" t="str">
        <f>IFERROR(IF($G3027="","",VLOOKUP('Dashboard And Emails Automate'!$G3027,Database!$H:$N,4,0)),"")</f>
        <v/>
      </c>
      <c r="K3027" s="55" t="str">
        <f>IFERROR(IF($G3027="","",VLOOKUP('Dashboard And Emails Automate'!$G3027,Database!$H:$N,5,0)),"")</f>
        <v/>
      </c>
      <c r="L3027" s="55" t="str">
        <f>IFERROR(IF($G3027="","",VLOOKUP('Dashboard And Emails Automate'!$G3027,Database!$H:$N,6,0)),"")</f>
        <v/>
      </c>
      <c r="M3027" s="55" t="str">
        <f>IFERROR(IF($G3027="","",VLOOKUP('Dashboard And Emails Automate'!$G3027,Database!$H:$N,7,0)),"")</f>
        <v/>
      </c>
      <c r="N3027" s="55" t="str">
        <f>IFERROR(IF(OR($B3027="",$B3027="(blank)"),"",VLOOKUP($B3027,'Email Marketing Raw Data'!$C:$O,6,0)),"")</f>
        <v/>
      </c>
      <c r="O3027" s="55" t="str">
        <f>IFERROR(IF(OR($B3027="",$B3027="(blank)"),"",VLOOKUP($B3027,'Email Marketing Raw Data'!$C:$O,7,0)),"")</f>
        <v/>
      </c>
      <c r="P3027" s="55" t="str">
        <f>IFERROR(IF(OR($B3027="",$B3027="(blank)"),"",VLOOKUP($B3027,'Email Marketing Raw Data'!$C:$O,8,0)),"")</f>
        <v/>
      </c>
      <c r="Q3027" s="62" t="str">
        <f>IFERROR(IF(OR($B3027="",$B3027="(blank)"),"",VLOOKUP($B3027,'Email Marketing Raw Data'!$C:$O,9,0)),"")</f>
        <v/>
      </c>
    </row>
    <row r="3028" spans="4:17" ht="12.75" customHeight="1" x14ac:dyDescent="0.2">
      <c r="D3028" s="58" t="str">
        <f>IFERROR(IF(F3028&lt;&gt;"pending","",IF(OR($B3028="",$B3028="(blank)"),"",VLOOKUP($B3028,'Email Marketing Raw Data'!$C:$O,10,0))),"")</f>
        <v/>
      </c>
      <c r="E3028" s="59" t="str">
        <f>IFERROR(IF(F3028&lt;&gt;"pending","",IF(OR($B3028="",$B3028="(blank)"),"",VLOOKUP($B3028,'Email Marketing Raw Data'!$C:$O,11,0))),"")</f>
        <v/>
      </c>
      <c r="F3028" s="54" t="str">
        <f>IFERROR(IF(OR($B3028="",$B3028="(blank)"),"",VLOOKUP($B3028,'Email Marketing Raw Data'!$C:$O,13,0)),"")</f>
        <v/>
      </c>
      <c r="G3028" s="55" t="str">
        <f>IFERROR(IF(OR($B3028="",$B3028="(blank)"),"",VLOOKUP($B3028,'Email Marketing Raw Data'!$C:$O,4,0)),"")</f>
        <v/>
      </c>
      <c r="H3028" s="55" t="str">
        <f>IFERROR(IF(OR($B3028="",$B3028="(blank)"),"",VLOOKUP($B3028,'Email Marketing Raw Data'!$C:$O,5,0)),"")</f>
        <v/>
      </c>
      <c r="I3028" s="55" t="str">
        <f>IFERROR(IF($G3028="","",VLOOKUP('Dashboard And Emails Automate'!$G3028,Database!$H:$N,3,0)),"")</f>
        <v/>
      </c>
      <c r="J3028" s="55" t="str">
        <f>IFERROR(IF($G3028="","",VLOOKUP('Dashboard And Emails Automate'!$G3028,Database!$H:$N,4,0)),"")</f>
        <v/>
      </c>
      <c r="K3028" s="55" t="str">
        <f>IFERROR(IF($G3028="","",VLOOKUP('Dashboard And Emails Automate'!$G3028,Database!$H:$N,5,0)),"")</f>
        <v/>
      </c>
      <c r="L3028" s="55" t="str">
        <f>IFERROR(IF($G3028="","",VLOOKUP('Dashboard And Emails Automate'!$G3028,Database!$H:$N,6,0)),"")</f>
        <v/>
      </c>
      <c r="M3028" s="55" t="str">
        <f>IFERROR(IF($G3028="","",VLOOKUP('Dashboard And Emails Automate'!$G3028,Database!$H:$N,7,0)),"")</f>
        <v/>
      </c>
      <c r="N3028" s="55" t="str">
        <f>IFERROR(IF(OR($B3028="",$B3028="(blank)"),"",VLOOKUP($B3028,'Email Marketing Raw Data'!$C:$O,6,0)),"")</f>
        <v/>
      </c>
      <c r="O3028" s="55" t="str">
        <f>IFERROR(IF(OR($B3028="",$B3028="(blank)"),"",VLOOKUP($B3028,'Email Marketing Raw Data'!$C:$O,7,0)),"")</f>
        <v/>
      </c>
      <c r="P3028" s="55" t="str">
        <f>IFERROR(IF(OR($B3028="",$B3028="(blank)"),"",VLOOKUP($B3028,'Email Marketing Raw Data'!$C:$O,8,0)),"")</f>
        <v/>
      </c>
      <c r="Q3028" s="62" t="str">
        <f>IFERROR(IF(OR($B3028="",$B3028="(blank)"),"",VLOOKUP($B3028,'Email Marketing Raw Data'!$C:$O,9,0)),"")</f>
        <v/>
      </c>
    </row>
    <row r="3029" spans="4:17" ht="12.75" customHeight="1" x14ac:dyDescent="0.2">
      <c r="D3029" s="58" t="str">
        <f>IFERROR(IF(F3029&lt;&gt;"pending","",IF(OR($B3029="",$B3029="(blank)"),"",VLOOKUP($B3029,'Email Marketing Raw Data'!$C:$O,10,0))),"")</f>
        <v/>
      </c>
      <c r="E3029" s="59" t="str">
        <f>IFERROR(IF(F3029&lt;&gt;"pending","",IF(OR($B3029="",$B3029="(blank)"),"",VLOOKUP($B3029,'Email Marketing Raw Data'!$C:$O,11,0))),"")</f>
        <v/>
      </c>
      <c r="F3029" s="54" t="str">
        <f>IFERROR(IF(OR($B3029="",$B3029="(blank)"),"",VLOOKUP($B3029,'Email Marketing Raw Data'!$C:$O,13,0)),"")</f>
        <v/>
      </c>
      <c r="G3029" s="55" t="str">
        <f>IFERROR(IF(OR($B3029="",$B3029="(blank)"),"",VLOOKUP($B3029,'Email Marketing Raw Data'!$C:$O,4,0)),"")</f>
        <v/>
      </c>
      <c r="H3029" s="55" t="str">
        <f>IFERROR(IF(OR($B3029="",$B3029="(blank)"),"",VLOOKUP($B3029,'Email Marketing Raw Data'!$C:$O,5,0)),"")</f>
        <v/>
      </c>
      <c r="I3029" s="55" t="str">
        <f>IFERROR(IF($G3029="","",VLOOKUP('Dashboard And Emails Automate'!$G3029,Database!$H:$N,3,0)),"")</f>
        <v/>
      </c>
      <c r="J3029" s="55" t="str">
        <f>IFERROR(IF($G3029="","",VLOOKUP('Dashboard And Emails Automate'!$G3029,Database!$H:$N,4,0)),"")</f>
        <v/>
      </c>
      <c r="K3029" s="55" t="str">
        <f>IFERROR(IF($G3029="","",VLOOKUP('Dashboard And Emails Automate'!$G3029,Database!$H:$N,5,0)),"")</f>
        <v/>
      </c>
      <c r="L3029" s="55" t="str">
        <f>IFERROR(IF($G3029="","",VLOOKUP('Dashboard And Emails Automate'!$G3029,Database!$H:$N,6,0)),"")</f>
        <v/>
      </c>
      <c r="M3029" s="55" t="str">
        <f>IFERROR(IF($G3029="","",VLOOKUP('Dashboard And Emails Automate'!$G3029,Database!$H:$N,7,0)),"")</f>
        <v/>
      </c>
      <c r="N3029" s="55" t="str">
        <f>IFERROR(IF(OR($B3029="",$B3029="(blank)"),"",VLOOKUP($B3029,'Email Marketing Raw Data'!$C:$O,6,0)),"")</f>
        <v/>
      </c>
      <c r="O3029" s="55" t="str">
        <f>IFERROR(IF(OR($B3029="",$B3029="(blank)"),"",VLOOKUP($B3029,'Email Marketing Raw Data'!$C:$O,7,0)),"")</f>
        <v/>
      </c>
      <c r="P3029" s="55" t="str">
        <f>IFERROR(IF(OR($B3029="",$B3029="(blank)"),"",VLOOKUP($B3029,'Email Marketing Raw Data'!$C:$O,8,0)),"")</f>
        <v/>
      </c>
      <c r="Q3029" s="62" t="str">
        <f>IFERROR(IF(OR($B3029="",$B3029="(blank)"),"",VLOOKUP($B3029,'Email Marketing Raw Data'!$C:$O,9,0)),"")</f>
        <v/>
      </c>
    </row>
    <row r="3030" spans="4:17" ht="12.75" customHeight="1" x14ac:dyDescent="0.2">
      <c r="D3030" s="58" t="str">
        <f>IFERROR(IF(F3030&lt;&gt;"pending","",IF(OR($B3030="",$B3030="(blank)"),"",VLOOKUP($B3030,'Email Marketing Raw Data'!$C:$O,10,0))),"")</f>
        <v/>
      </c>
      <c r="E3030" s="59" t="str">
        <f>IFERROR(IF(F3030&lt;&gt;"pending","",IF(OR($B3030="",$B3030="(blank)"),"",VLOOKUP($B3030,'Email Marketing Raw Data'!$C:$O,11,0))),"")</f>
        <v/>
      </c>
      <c r="F3030" s="54" t="str">
        <f>IFERROR(IF(OR($B3030="",$B3030="(blank)"),"",VLOOKUP($B3030,'Email Marketing Raw Data'!$C:$O,13,0)),"")</f>
        <v/>
      </c>
      <c r="G3030" s="55" t="str">
        <f>IFERROR(IF(OR($B3030="",$B3030="(blank)"),"",VLOOKUP($B3030,'Email Marketing Raw Data'!$C:$O,4,0)),"")</f>
        <v/>
      </c>
      <c r="H3030" s="55" t="str">
        <f>IFERROR(IF(OR($B3030="",$B3030="(blank)"),"",VLOOKUP($B3030,'Email Marketing Raw Data'!$C:$O,5,0)),"")</f>
        <v/>
      </c>
      <c r="I3030" s="55" t="str">
        <f>IFERROR(IF($G3030="","",VLOOKUP('Dashboard And Emails Automate'!$G3030,Database!$H:$N,3,0)),"")</f>
        <v/>
      </c>
      <c r="J3030" s="55" t="str">
        <f>IFERROR(IF($G3030="","",VLOOKUP('Dashboard And Emails Automate'!$G3030,Database!$H:$N,4,0)),"")</f>
        <v/>
      </c>
      <c r="K3030" s="55" t="str">
        <f>IFERROR(IF($G3030="","",VLOOKUP('Dashboard And Emails Automate'!$G3030,Database!$H:$N,5,0)),"")</f>
        <v/>
      </c>
      <c r="L3030" s="55" t="str">
        <f>IFERROR(IF($G3030="","",VLOOKUP('Dashboard And Emails Automate'!$G3030,Database!$H:$N,6,0)),"")</f>
        <v/>
      </c>
      <c r="M3030" s="55" t="str">
        <f>IFERROR(IF($G3030="","",VLOOKUP('Dashboard And Emails Automate'!$G3030,Database!$H:$N,7,0)),"")</f>
        <v/>
      </c>
      <c r="N3030" s="55" t="str">
        <f>IFERROR(IF(OR($B3030="",$B3030="(blank)"),"",VLOOKUP($B3030,'Email Marketing Raw Data'!$C:$O,6,0)),"")</f>
        <v/>
      </c>
      <c r="O3030" s="55" t="str">
        <f>IFERROR(IF(OR($B3030="",$B3030="(blank)"),"",VLOOKUP($B3030,'Email Marketing Raw Data'!$C:$O,7,0)),"")</f>
        <v/>
      </c>
      <c r="P3030" s="55" t="str">
        <f>IFERROR(IF(OR($B3030="",$B3030="(blank)"),"",VLOOKUP($B3030,'Email Marketing Raw Data'!$C:$O,8,0)),"")</f>
        <v/>
      </c>
      <c r="Q3030" s="62" t="str">
        <f>IFERROR(IF(OR($B3030="",$B3030="(blank)"),"",VLOOKUP($B3030,'Email Marketing Raw Data'!$C:$O,9,0)),"")</f>
        <v/>
      </c>
    </row>
    <row r="3031" spans="4:17" ht="12.75" customHeight="1" x14ac:dyDescent="0.2">
      <c r="D3031" s="58" t="str">
        <f>IFERROR(IF(F3031&lt;&gt;"pending","",IF(OR($B3031="",$B3031="(blank)"),"",VLOOKUP($B3031,'Email Marketing Raw Data'!$C:$O,10,0))),"")</f>
        <v/>
      </c>
      <c r="E3031" s="59" t="str">
        <f>IFERROR(IF(F3031&lt;&gt;"pending","",IF(OR($B3031="",$B3031="(blank)"),"",VLOOKUP($B3031,'Email Marketing Raw Data'!$C:$O,11,0))),"")</f>
        <v/>
      </c>
      <c r="F3031" s="54" t="str">
        <f>IFERROR(IF(OR($B3031="",$B3031="(blank)"),"",VLOOKUP($B3031,'Email Marketing Raw Data'!$C:$O,13,0)),"")</f>
        <v/>
      </c>
      <c r="G3031" s="55" t="str">
        <f>IFERROR(IF(OR($B3031="",$B3031="(blank)"),"",VLOOKUP($B3031,'Email Marketing Raw Data'!$C:$O,4,0)),"")</f>
        <v/>
      </c>
      <c r="H3031" s="55" t="str">
        <f>IFERROR(IF(OR($B3031="",$B3031="(blank)"),"",VLOOKUP($B3031,'Email Marketing Raw Data'!$C:$O,5,0)),"")</f>
        <v/>
      </c>
      <c r="I3031" s="55" t="str">
        <f>IFERROR(IF($G3031="","",VLOOKUP('Dashboard And Emails Automate'!$G3031,Database!$H:$N,3,0)),"")</f>
        <v/>
      </c>
      <c r="J3031" s="55" t="str">
        <f>IFERROR(IF($G3031="","",VLOOKUP('Dashboard And Emails Automate'!$G3031,Database!$H:$N,4,0)),"")</f>
        <v/>
      </c>
      <c r="K3031" s="55" t="str">
        <f>IFERROR(IF($G3031="","",VLOOKUP('Dashboard And Emails Automate'!$G3031,Database!$H:$N,5,0)),"")</f>
        <v/>
      </c>
      <c r="L3031" s="55" t="str">
        <f>IFERROR(IF($G3031="","",VLOOKUP('Dashboard And Emails Automate'!$G3031,Database!$H:$N,6,0)),"")</f>
        <v/>
      </c>
      <c r="M3031" s="55" t="str">
        <f>IFERROR(IF($G3031="","",VLOOKUP('Dashboard And Emails Automate'!$G3031,Database!$H:$N,7,0)),"")</f>
        <v/>
      </c>
      <c r="N3031" s="55" t="str">
        <f>IFERROR(IF(OR($B3031="",$B3031="(blank)"),"",VLOOKUP($B3031,'Email Marketing Raw Data'!$C:$O,6,0)),"")</f>
        <v/>
      </c>
      <c r="O3031" s="55" t="str">
        <f>IFERROR(IF(OR($B3031="",$B3031="(blank)"),"",VLOOKUP($B3031,'Email Marketing Raw Data'!$C:$O,7,0)),"")</f>
        <v/>
      </c>
      <c r="P3031" s="55" t="str">
        <f>IFERROR(IF(OR($B3031="",$B3031="(blank)"),"",VLOOKUP($B3031,'Email Marketing Raw Data'!$C:$O,8,0)),"")</f>
        <v/>
      </c>
      <c r="Q3031" s="62" t="str">
        <f>IFERROR(IF(OR($B3031="",$B3031="(blank)"),"",VLOOKUP($B3031,'Email Marketing Raw Data'!$C:$O,9,0)),"")</f>
        <v/>
      </c>
    </row>
    <row r="3032" spans="4:17" ht="12.75" customHeight="1" x14ac:dyDescent="0.2">
      <c r="D3032" s="58" t="str">
        <f>IFERROR(IF(F3032&lt;&gt;"pending","",IF(OR($B3032="",$B3032="(blank)"),"",VLOOKUP($B3032,'Email Marketing Raw Data'!$C:$O,10,0))),"")</f>
        <v/>
      </c>
      <c r="E3032" s="59" t="str">
        <f>IFERROR(IF(F3032&lt;&gt;"pending","",IF(OR($B3032="",$B3032="(blank)"),"",VLOOKUP($B3032,'Email Marketing Raw Data'!$C:$O,11,0))),"")</f>
        <v/>
      </c>
      <c r="F3032" s="54" t="str">
        <f>IFERROR(IF(OR($B3032="",$B3032="(blank)"),"",VLOOKUP($B3032,'Email Marketing Raw Data'!$C:$O,13,0)),"")</f>
        <v/>
      </c>
      <c r="G3032" s="55" t="str">
        <f>IFERROR(IF(OR($B3032="",$B3032="(blank)"),"",VLOOKUP($B3032,'Email Marketing Raw Data'!$C:$O,4,0)),"")</f>
        <v/>
      </c>
      <c r="H3032" s="55" t="str">
        <f>IFERROR(IF(OR($B3032="",$B3032="(blank)"),"",VLOOKUP($B3032,'Email Marketing Raw Data'!$C:$O,5,0)),"")</f>
        <v/>
      </c>
      <c r="I3032" s="55" t="str">
        <f>IFERROR(IF($G3032="","",VLOOKUP('Dashboard And Emails Automate'!$G3032,Database!$H:$N,3,0)),"")</f>
        <v/>
      </c>
      <c r="J3032" s="55" t="str">
        <f>IFERROR(IF($G3032="","",VLOOKUP('Dashboard And Emails Automate'!$G3032,Database!$H:$N,4,0)),"")</f>
        <v/>
      </c>
      <c r="K3032" s="55" t="str">
        <f>IFERROR(IF($G3032="","",VLOOKUP('Dashboard And Emails Automate'!$G3032,Database!$H:$N,5,0)),"")</f>
        <v/>
      </c>
      <c r="L3032" s="55" t="str">
        <f>IFERROR(IF($G3032="","",VLOOKUP('Dashboard And Emails Automate'!$G3032,Database!$H:$N,6,0)),"")</f>
        <v/>
      </c>
      <c r="M3032" s="55" t="str">
        <f>IFERROR(IF($G3032="","",VLOOKUP('Dashboard And Emails Automate'!$G3032,Database!$H:$N,7,0)),"")</f>
        <v/>
      </c>
      <c r="N3032" s="55" t="str">
        <f>IFERROR(IF(OR($B3032="",$B3032="(blank)"),"",VLOOKUP($B3032,'Email Marketing Raw Data'!$C:$O,6,0)),"")</f>
        <v/>
      </c>
      <c r="O3032" s="55" t="str">
        <f>IFERROR(IF(OR($B3032="",$B3032="(blank)"),"",VLOOKUP($B3032,'Email Marketing Raw Data'!$C:$O,7,0)),"")</f>
        <v/>
      </c>
      <c r="P3032" s="55" t="str">
        <f>IFERROR(IF(OR($B3032="",$B3032="(blank)"),"",VLOOKUP($B3032,'Email Marketing Raw Data'!$C:$O,8,0)),"")</f>
        <v/>
      </c>
      <c r="Q3032" s="62" t="str">
        <f>IFERROR(IF(OR($B3032="",$B3032="(blank)"),"",VLOOKUP($B3032,'Email Marketing Raw Data'!$C:$O,9,0)),"")</f>
        <v/>
      </c>
    </row>
    <row r="3033" spans="4:17" ht="12.75" customHeight="1" x14ac:dyDescent="0.2">
      <c r="D3033" s="58" t="str">
        <f>IFERROR(IF(F3033&lt;&gt;"pending","",IF(OR($B3033="",$B3033="(blank)"),"",VLOOKUP($B3033,'Email Marketing Raw Data'!$C:$O,10,0))),"")</f>
        <v/>
      </c>
      <c r="E3033" s="59" t="str">
        <f>IFERROR(IF(F3033&lt;&gt;"pending","",IF(OR($B3033="",$B3033="(blank)"),"",VLOOKUP($B3033,'Email Marketing Raw Data'!$C:$O,11,0))),"")</f>
        <v/>
      </c>
      <c r="F3033" s="54" t="str">
        <f>IFERROR(IF(OR($B3033="",$B3033="(blank)"),"",VLOOKUP($B3033,'Email Marketing Raw Data'!$C:$O,13,0)),"")</f>
        <v/>
      </c>
      <c r="G3033" s="55" t="str">
        <f>IFERROR(IF(OR($B3033="",$B3033="(blank)"),"",VLOOKUP($B3033,'Email Marketing Raw Data'!$C:$O,4,0)),"")</f>
        <v/>
      </c>
      <c r="H3033" s="55" t="str">
        <f>IFERROR(IF(OR($B3033="",$B3033="(blank)"),"",VLOOKUP($B3033,'Email Marketing Raw Data'!$C:$O,5,0)),"")</f>
        <v/>
      </c>
      <c r="I3033" s="55" t="str">
        <f>IFERROR(IF($G3033="","",VLOOKUP('Dashboard And Emails Automate'!$G3033,Database!$H:$N,3,0)),"")</f>
        <v/>
      </c>
      <c r="J3033" s="55" t="str">
        <f>IFERROR(IF($G3033="","",VLOOKUP('Dashboard And Emails Automate'!$G3033,Database!$H:$N,4,0)),"")</f>
        <v/>
      </c>
      <c r="K3033" s="55" t="str">
        <f>IFERROR(IF($G3033="","",VLOOKUP('Dashboard And Emails Automate'!$G3033,Database!$H:$N,5,0)),"")</f>
        <v/>
      </c>
      <c r="L3033" s="55" t="str">
        <f>IFERROR(IF($G3033="","",VLOOKUP('Dashboard And Emails Automate'!$G3033,Database!$H:$N,6,0)),"")</f>
        <v/>
      </c>
      <c r="M3033" s="55" t="str">
        <f>IFERROR(IF($G3033="","",VLOOKUP('Dashboard And Emails Automate'!$G3033,Database!$H:$N,7,0)),"")</f>
        <v/>
      </c>
      <c r="N3033" s="55" t="str">
        <f>IFERROR(IF(OR($B3033="",$B3033="(blank)"),"",VLOOKUP($B3033,'Email Marketing Raw Data'!$C:$O,6,0)),"")</f>
        <v/>
      </c>
      <c r="O3033" s="55" t="str">
        <f>IFERROR(IF(OR($B3033="",$B3033="(blank)"),"",VLOOKUP($B3033,'Email Marketing Raw Data'!$C:$O,7,0)),"")</f>
        <v/>
      </c>
      <c r="P3033" s="55" t="str">
        <f>IFERROR(IF(OR($B3033="",$B3033="(blank)"),"",VLOOKUP($B3033,'Email Marketing Raw Data'!$C:$O,8,0)),"")</f>
        <v/>
      </c>
      <c r="Q3033" s="62" t="str">
        <f>IFERROR(IF(OR($B3033="",$B3033="(blank)"),"",VLOOKUP($B3033,'Email Marketing Raw Data'!$C:$O,9,0)),"")</f>
        <v/>
      </c>
    </row>
    <row r="3034" spans="4:17" ht="12.75" customHeight="1" x14ac:dyDescent="0.2">
      <c r="D3034" s="58" t="str">
        <f>IFERROR(IF(F3034&lt;&gt;"pending","",IF(OR($B3034="",$B3034="(blank)"),"",VLOOKUP($B3034,'Email Marketing Raw Data'!$C:$O,10,0))),"")</f>
        <v/>
      </c>
      <c r="E3034" s="59" t="str">
        <f>IFERROR(IF(F3034&lt;&gt;"pending","",IF(OR($B3034="",$B3034="(blank)"),"",VLOOKUP($B3034,'Email Marketing Raw Data'!$C:$O,11,0))),"")</f>
        <v/>
      </c>
      <c r="F3034" s="54" t="str">
        <f>IFERROR(IF(OR($B3034="",$B3034="(blank)"),"",VLOOKUP($B3034,'Email Marketing Raw Data'!$C:$O,13,0)),"")</f>
        <v/>
      </c>
      <c r="G3034" s="55" t="str">
        <f>IFERROR(IF(OR($B3034="",$B3034="(blank)"),"",VLOOKUP($B3034,'Email Marketing Raw Data'!$C:$O,4,0)),"")</f>
        <v/>
      </c>
      <c r="H3034" s="55" t="str">
        <f>IFERROR(IF(OR($B3034="",$B3034="(blank)"),"",VLOOKUP($B3034,'Email Marketing Raw Data'!$C:$O,5,0)),"")</f>
        <v/>
      </c>
      <c r="I3034" s="55" t="str">
        <f>IFERROR(IF($G3034="","",VLOOKUP('Dashboard And Emails Automate'!$G3034,Database!$H:$N,3,0)),"")</f>
        <v/>
      </c>
      <c r="J3034" s="55" t="str">
        <f>IFERROR(IF($G3034="","",VLOOKUP('Dashboard And Emails Automate'!$G3034,Database!$H:$N,4,0)),"")</f>
        <v/>
      </c>
      <c r="K3034" s="55" t="str">
        <f>IFERROR(IF($G3034="","",VLOOKUP('Dashboard And Emails Automate'!$G3034,Database!$H:$N,5,0)),"")</f>
        <v/>
      </c>
      <c r="L3034" s="55" t="str">
        <f>IFERROR(IF($G3034="","",VLOOKUP('Dashboard And Emails Automate'!$G3034,Database!$H:$N,6,0)),"")</f>
        <v/>
      </c>
      <c r="M3034" s="55" t="str">
        <f>IFERROR(IF($G3034="","",VLOOKUP('Dashboard And Emails Automate'!$G3034,Database!$H:$N,7,0)),"")</f>
        <v/>
      </c>
      <c r="N3034" s="55" t="str">
        <f>IFERROR(IF(OR($B3034="",$B3034="(blank)"),"",VLOOKUP($B3034,'Email Marketing Raw Data'!$C:$O,6,0)),"")</f>
        <v/>
      </c>
      <c r="O3034" s="55" t="str">
        <f>IFERROR(IF(OR($B3034="",$B3034="(blank)"),"",VLOOKUP($B3034,'Email Marketing Raw Data'!$C:$O,7,0)),"")</f>
        <v/>
      </c>
      <c r="P3034" s="55" t="str">
        <f>IFERROR(IF(OR($B3034="",$B3034="(blank)"),"",VLOOKUP($B3034,'Email Marketing Raw Data'!$C:$O,8,0)),"")</f>
        <v/>
      </c>
      <c r="Q3034" s="62" t="str">
        <f>IFERROR(IF(OR($B3034="",$B3034="(blank)"),"",VLOOKUP($B3034,'Email Marketing Raw Data'!$C:$O,9,0)),"")</f>
        <v/>
      </c>
    </row>
    <row r="3035" spans="4:17" ht="12.75" customHeight="1" x14ac:dyDescent="0.2">
      <c r="D3035" s="58" t="str">
        <f>IFERROR(IF(F3035&lt;&gt;"pending","",IF(OR($B3035="",$B3035="(blank)"),"",VLOOKUP($B3035,'Email Marketing Raw Data'!$C:$O,10,0))),"")</f>
        <v/>
      </c>
      <c r="E3035" s="59" t="str">
        <f>IFERROR(IF(F3035&lt;&gt;"pending","",IF(OR($B3035="",$B3035="(blank)"),"",VLOOKUP($B3035,'Email Marketing Raw Data'!$C:$O,11,0))),"")</f>
        <v/>
      </c>
      <c r="F3035" s="54" t="str">
        <f>IFERROR(IF(OR($B3035="",$B3035="(blank)"),"",VLOOKUP($B3035,'Email Marketing Raw Data'!$C:$O,13,0)),"")</f>
        <v/>
      </c>
      <c r="G3035" s="55" t="str">
        <f>IFERROR(IF(OR($B3035="",$B3035="(blank)"),"",VLOOKUP($B3035,'Email Marketing Raw Data'!$C:$O,4,0)),"")</f>
        <v/>
      </c>
      <c r="H3035" s="55" t="str">
        <f>IFERROR(IF(OR($B3035="",$B3035="(blank)"),"",VLOOKUP($B3035,'Email Marketing Raw Data'!$C:$O,5,0)),"")</f>
        <v/>
      </c>
      <c r="I3035" s="55" t="str">
        <f>IFERROR(IF($G3035="","",VLOOKUP('Dashboard And Emails Automate'!$G3035,Database!$H:$N,3,0)),"")</f>
        <v/>
      </c>
      <c r="J3035" s="55" t="str">
        <f>IFERROR(IF($G3035="","",VLOOKUP('Dashboard And Emails Automate'!$G3035,Database!$H:$N,4,0)),"")</f>
        <v/>
      </c>
      <c r="K3035" s="55" t="str">
        <f>IFERROR(IF($G3035="","",VLOOKUP('Dashboard And Emails Automate'!$G3035,Database!$H:$N,5,0)),"")</f>
        <v/>
      </c>
      <c r="L3035" s="55" t="str">
        <f>IFERROR(IF($G3035="","",VLOOKUP('Dashboard And Emails Automate'!$G3035,Database!$H:$N,6,0)),"")</f>
        <v/>
      </c>
      <c r="M3035" s="55" t="str">
        <f>IFERROR(IF($G3035="","",VLOOKUP('Dashboard And Emails Automate'!$G3035,Database!$H:$N,7,0)),"")</f>
        <v/>
      </c>
      <c r="N3035" s="55" t="str">
        <f>IFERROR(IF(OR($B3035="",$B3035="(blank)"),"",VLOOKUP($B3035,'Email Marketing Raw Data'!$C:$O,6,0)),"")</f>
        <v/>
      </c>
      <c r="O3035" s="55" t="str">
        <f>IFERROR(IF(OR($B3035="",$B3035="(blank)"),"",VLOOKUP($B3035,'Email Marketing Raw Data'!$C:$O,7,0)),"")</f>
        <v/>
      </c>
      <c r="P3035" s="55" t="str">
        <f>IFERROR(IF(OR($B3035="",$B3035="(blank)"),"",VLOOKUP($B3035,'Email Marketing Raw Data'!$C:$O,8,0)),"")</f>
        <v/>
      </c>
      <c r="Q3035" s="62" t="str">
        <f>IFERROR(IF(OR($B3035="",$B3035="(blank)"),"",VLOOKUP($B3035,'Email Marketing Raw Data'!$C:$O,9,0)),"")</f>
        <v/>
      </c>
    </row>
    <row r="3036" spans="4:17" ht="12.75" customHeight="1" x14ac:dyDescent="0.2">
      <c r="D3036" s="58" t="str">
        <f>IFERROR(IF(F3036&lt;&gt;"pending","",IF(OR($B3036="",$B3036="(blank)"),"",VLOOKUP($B3036,'Email Marketing Raw Data'!$C:$O,10,0))),"")</f>
        <v/>
      </c>
      <c r="E3036" s="59" t="str">
        <f>IFERROR(IF(F3036&lt;&gt;"pending","",IF(OR($B3036="",$B3036="(blank)"),"",VLOOKUP($B3036,'Email Marketing Raw Data'!$C:$O,11,0))),"")</f>
        <v/>
      </c>
      <c r="F3036" s="54" t="str">
        <f>IFERROR(IF(OR($B3036="",$B3036="(blank)"),"",VLOOKUP($B3036,'Email Marketing Raw Data'!$C:$O,13,0)),"")</f>
        <v/>
      </c>
      <c r="G3036" s="55" t="str">
        <f>IFERROR(IF(OR($B3036="",$B3036="(blank)"),"",VLOOKUP($B3036,'Email Marketing Raw Data'!$C:$O,4,0)),"")</f>
        <v/>
      </c>
      <c r="H3036" s="55" t="str">
        <f>IFERROR(IF(OR($B3036="",$B3036="(blank)"),"",VLOOKUP($B3036,'Email Marketing Raw Data'!$C:$O,5,0)),"")</f>
        <v/>
      </c>
      <c r="I3036" s="55" t="str">
        <f>IFERROR(IF($G3036="","",VLOOKUP('Dashboard And Emails Automate'!$G3036,Database!$H:$N,3,0)),"")</f>
        <v/>
      </c>
      <c r="J3036" s="55" t="str">
        <f>IFERROR(IF($G3036="","",VLOOKUP('Dashboard And Emails Automate'!$G3036,Database!$H:$N,4,0)),"")</f>
        <v/>
      </c>
      <c r="K3036" s="55" t="str">
        <f>IFERROR(IF($G3036="","",VLOOKUP('Dashboard And Emails Automate'!$G3036,Database!$H:$N,5,0)),"")</f>
        <v/>
      </c>
      <c r="L3036" s="55" t="str">
        <f>IFERROR(IF($G3036="","",VLOOKUP('Dashboard And Emails Automate'!$G3036,Database!$H:$N,6,0)),"")</f>
        <v/>
      </c>
      <c r="M3036" s="55" t="str">
        <f>IFERROR(IF($G3036="","",VLOOKUP('Dashboard And Emails Automate'!$G3036,Database!$H:$N,7,0)),"")</f>
        <v/>
      </c>
      <c r="N3036" s="55" t="str">
        <f>IFERROR(IF(OR($B3036="",$B3036="(blank)"),"",VLOOKUP($B3036,'Email Marketing Raw Data'!$C:$O,6,0)),"")</f>
        <v/>
      </c>
      <c r="O3036" s="55" t="str">
        <f>IFERROR(IF(OR($B3036="",$B3036="(blank)"),"",VLOOKUP($B3036,'Email Marketing Raw Data'!$C:$O,7,0)),"")</f>
        <v/>
      </c>
      <c r="P3036" s="55" t="str">
        <f>IFERROR(IF(OR($B3036="",$B3036="(blank)"),"",VLOOKUP($B3036,'Email Marketing Raw Data'!$C:$O,8,0)),"")</f>
        <v/>
      </c>
      <c r="Q3036" s="62" t="str">
        <f>IFERROR(IF(OR($B3036="",$B3036="(blank)"),"",VLOOKUP($B3036,'Email Marketing Raw Data'!$C:$O,9,0)),"")</f>
        <v/>
      </c>
    </row>
    <row r="3037" spans="4:17" ht="12.75" customHeight="1" x14ac:dyDescent="0.2">
      <c r="D3037" s="58" t="str">
        <f>IFERROR(IF(F3037&lt;&gt;"pending","",IF(OR($B3037="",$B3037="(blank)"),"",VLOOKUP($B3037,'Email Marketing Raw Data'!$C:$O,10,0))),"")</f>
        <v/>
      </c>
      <c r="E3037" s="59" t="str">
        <f>IFERROR(IF(F3037&lt;&gt;"pending","",IF(OR($B3037="",$B3037="(blank)"),"",VLOOKUP($B3037,'Email Marketing Raw Data'!$C:$O,11,0))),"")</f>
        <v/>
      </c>
      <c r="F3037" s="54" t="str">
        <f>IFERROR(IF(OR($B3037="",$B3037="(blank)"),"",VLOOKUP($B3037,'Email Marketing Raw Data'!$C:$O,13,0)),"")</f>
        <v/>
      </c>
      <c r="G3037" s="55" t="str">
        <f>IFERROR(IF(OR($B3037="",$B3037="(blank)"),"",VLOOKUP($B3037,'Email Marketing Raw Data'!$C:$O,4,0)),"")</f>
        <v/>
      </c>
      <c r="H3037" s="55" t="str">
        <f>IFERROR(IF(OR($B3037="",$B3037="(blank)"),"",VLOOKUP($B3037,'Email Marketing Raw Data'!$C:$O,5,0)),"")</f>
        <v/>
      </c>
      <c r="I3037" s="55" t="str">
        <f>IFERROR(IF($G3037="","",VLOOKUP('Dashboard And Emails Automate'!$G3037,Database!$H:$N,3,0)),"")</f>
        <v/>
      </c>
      <c r="J3037" s="55" t="str">
        <f>IFERROR(IF($G3037="","",VLOOKUP('Dashboard And Emails Automate'!$G3037,Database!$H:$N,4,0)),"")</f>
        <v/>
      </c>
      <c r="K3037" s="55" t="str">
        <f>IFERROR(IF($G3037="","",VLOOKUP('Dashboard And Emails Automate'!$G3037,Database!$H:$N,5,0)),"")</f>
        <v/>
      </c>
      <c r="L3037" s="55" t="str">
        <f>IFERROR(IF($G3037="","",VLOOKUP('Dashboard And Emails Automate'!$G3037,Database!$H:$N,6,0)),"")</f>
        <v/>
      </c>
      <c r="M3037" s="55" t="str">
        <f>IFERROR(IF($G3037="","",VLOOKUP('Dashboard And Emails Automate'!$G3037,Database!$H:$N,7,0)),"")</f>
        <v/>
      </c>
      <c r="N3037" s="55" t="str">
        <f>IFERROR(IF(OR($B3037="",$B3037="(blank)"),"",VLOOKUP($B3037,'Email Marketing Raw Data'!$C:$O,6,0)),"")</f>
        <v/>
      </c>
      <c r="O3037" s="55" t="str">
        <f>IFERROR(IF(OR($B3037="",$B3037="(blank)"),"",VLOOKUP($B3037,'Email Marketing Raw Data'!$C:$O,7,0)),"")</f>
        <v/>
      </c>
      <c r="P3037" s="55" t="str">
        <f>IFERROR(IF(OR($B3037="",$B3037="(blank)"),"",VLOOKUP($B3037,'Email Marketing Raw Data'!$C:$O,8,0)),"")</f>
        <v/>
      </c>
      <c r="Q3037" s="62" t="str">
        <f>IFERROR(IF(OR($B3037="",$B3037="(blank)"),"",VLOOKUP($B3037,'Email Marketing Raw Data'!$C:$O,9,0)),"")</f>
        <v/>
      </c>
    </row>
    <row r="3038" spans="4:17" ht="12.75" customHeight="1" x14ac:dyDescent="0.2">
      <c r="D3038" s="58" t="str">
        <f>IFERROR(IF(F3038&lt;&gt;"pending","",IF(OR($B3038="",$B3038="(blank)"),"",VLOOKUP($B3038,'Email Marketing Raw Data'!$C:$O,10,0))),"")</f>
        <v/>
      </c>
      <c r="E3038" s="59" t="str">
        <f>IFERROR(IF(F3038&lt;&gt;"pending","",IF(OR($B3038="",$B3038="(blank)"),"",VLOOKUP($B3038,'Email Marketing Raw Data'!$C:$O,11,0))),"")</f>
        <v/>
      </c>
      <c r="F3038" s="54" t="str">
        <f>IFERROR(IF(OR($B3038="",$B3038="(blank)"),"",VLOOKUP($B3038,'Email Marketing Raw Data'!$C:$O,13,0)),"")</f>
        <v/>
      </c>
      <c r="G3038" s="55" t="str">
        <f>IFERROR(IF(OR($B3038="",$B3038="(blank)"),"",VLOOKUP($B3038,'Email Marketing Raw Data'!$C:$O,4,0)),"")</f>
        <v/>
      </c>
      <c r="H3038" s="55" t="str">
        <f>IFERROR(IF(OR($B3038="",$B3038="(blank)"),"",VLOOKUP($B3038,'Email Marketing Raw Data'!$C:$O,5,0)),"")</f>
        <v/>
      </c>
      <c r="I3038" s="55" t="str">
        <f>IFERROR(IF($G3038="","",VLOOKUP('Dashboard And Emails Automate'!$G3038,Database!$H:$N,3,0)),"")</f>
        <v/>
      </c>
      <c r="J3038" s="55" t="str">
        <f>IFERROR(IF($G3038="","",VLOOKUP('Dashboard And Emails Automate'!$G3038,Database!$H:$N,4,0)),"")</f>
        <v/>
      </c>
      <c r="K3038" s="55" t="str">
        <f>IFERROR(IF($G3038="","",VLOOKUP('Dashboard And Emails Automate'!$G3038,Database!$H:$N,5,0)),"")</f>
        <v/>
      </c>
      <c r="L3038" s="55" t="str">
        <f>IFERROR(IF($G3038="","",VLOOKUP('Dashboard And Emails Automate'!$G3038,Database!$H:$N,6,0)),"")</f>
        <v/>
      </c>
      <c r="M3038" s="55" t="str">
        <f>IFERROR(IF($G3038="","",VLOOKUP('Dashboard And Emails Automate'!$G3038,Database!$H:$N,7,0)),"")</f>
        <v/>
      </c>
      <c r="N3038" s="55" t="str">
        <f>IFERROR(IF(OR($B3038="",$B3038="(blank)"),"",VLOOKUP($B3038,'Email Marketing Raw Data'!$C:$O,6,0)),"")</f>
        <v/>
      </c>
      <c r="O3038" s="55" t="str">
        <f>IFERROR(IF(OR($B3038="",$B3038="(blank)"),"",VLOOKUP($B3038,'Email Marketing Raw Data'!$C:$O,7,0)),"")</f>
        <v/>
      </c>
      <c r="P3038" s="55" t="str">
        <f>IFERROR(IF(OR($B3038="",$B3038="(blank)"),"",VLOOKUP($B3038,'Email Marketing Raw Data'!$C:$O,8,0)),"")</f>
        <v/>
      </c>
      <c r="Q3038" s="62" t="str">
        <f>IFERROR(IF(OR($B3038="",$B3038="(blank)"),"",VLOOKUP($B3038,'Email Marketing Raw Data'!$C:$O,9,0)),"")</f>
        <v/>
      </c>
    </row>
    <row r="3039" spans="4:17" ht="12.75" customHeight="1" x14ac:dyDescent="0.2">
      <c r="D3039" s="58" t="str">
        <f>IFERROR(IF(F3039&lt;&gt;"pending","",IF(OR($B3039="",$B3039="(blank)"),"",VLOOKUP($B3039,'Email Marketing Raw Data'!$C:$O,10,0))),"")</f>
        <v/>
      </c>
      <c r="E3039" s="59" t="str">
        <f>IFERROR(IF(F3039&lt;&gt;"pending","",IF(OR($B3039="",$B3039="(blank)"),"",VLOOKUP($B3039,'Email Marketing Raw Data'!$C:$O,11,0))),"")</f>
        <v/>
      </c>
      <c r="F3039" s="54" t="str">
        <f>IFERROR(IF(OR($B3039="",$B3039="(blank)"),"",VLOOKUP($B3039,'Email Marketing Raw Data'!$C:$O,13,0)),"")</f>
        <v/>
      </c>
      <c r="G3039" s="55" t="str">
        <f>IFERROR(IF(OR($B3039="",$B3039="(blank)"),"",VLOOKUP($B3039,'Email Marketing Raw Data'!$C:$O,4,0)),"")</f>
        <v/>
      </c>
      <c r="H3039" s="55" t="str">
        <f>IFERROR(IF(OR($B3039="",$B3039="(blank)"),"",VLOOKUP($B3039,'Email Marketing Raw Data'!$C:$O,5,0)),"")</f>
        <v/>
      </c>
      <c r="I3039" s="55" t="str">
        <f>IFERROR(IF($G3039="","",VLOOKUP('Dashboard And Emails Automate'!$G3039,Database!$H:$N,3,0)),"")</f>
        <v/>
      </c>
      <c r="J3039" s="55" t="str">
        <f>IFERROR(IF($G3039="","",VLOOKUP('Dashboard And Emails Automate'!$G3039,Database!$H:$N,4,0)),"")</f>
        <v/>
      </c>
      <c r="K3039" s="55" t="str">
        <f>IFERROR(IF($G3039="","",VLOOKUP('Dashboard And Emails Automate'!$G3039,Database!$H:$N,5,0)),"")</f>
        <v/>
      </c>
      <c r="L3039" s="55" t="str">
        <f>IFERROR(IF($G3039="","",VLOOKUP('Dashboard And Emails Automate'!$G3039,Database!$H:$N,6,0)),"")</f>
        <v/>
      </c>
      <c r="M3039" s="55" t="str">
        <f>IFERROR(IF($G3039="","",VLOOKUP('Dashboard And Emails Automate'!$G3039,Database!$H:$N,7,0)),"")</f>
        <v/>
      </c>
      <c r="N3039" s="55" t="str">
        <f>IFERROR(IF(OR($B3039="",$B3039="(blank)"),"",VLOOKUP($B3039,'Email Marketing Raw Data'!$C:$O,6,0)),"")</f>
        <v/>
      </c>
      <c r="O3039" s="55" t="str">
        <f>IFERROR(IF(OR($B3039="",$B3039="(blank)"),"",VLOOKUP($B3039,'Email Marketing Raw Data'!$C:$O,7,0)),"")</f>
        <v/>
      </c>
      <c r="P3039" s="55" t="str">
        <f>IFERROR(IF(OR($B3039="",$B3039="(blank)"),"",VLOOKUP($B3039,'Email Marketing Raw Data'!$C:$O,8,0)),"")</f>
        <v/>
      </c>
      <c r="Q3039" s="62" t="str">
        <f>IFERROR(IF(OR($B3039="",$B3039="(blank)"),"",VLOOKUP($B3039,'Email Marketing Raw Data'!$C:$O,9,0)),"")</f>
        <v/>
      </c>
    </row>
    <row r="3040" spans="4:17" ht="12.75" customHeight="1" x14ac:dyDescent="0.2">
      <c r="D3040" s="58" t="str">
        <f>IFERROR(IF(F3040&lt;&gt;"pending","",IF(OR($B3040="",$B3040="(blank)"),"",VLOOKUP($B3040,'Email Marketing Raw Data'!$C:$O,10,0))),"")</f>
        <v/>
      </c>
      <c r="E3040" s="59" t="str">
        <f>IFERROR(IF(F3040&lt;&gt;"pending","",IF(OR($B3040="",$B3040="(blank)"),"",VLOOKUP($B3040,'Email Marketing Raw Data'!$C:$O,11,0))),"")</f>
        <v/>
      </c>
      <c r="F3040" s="54" t="str">
        <f>IFERROR(IF(OR($B3040="",$B3040="(blank)"),"",VLOOKUP($B3040,'Email Marketing Raw Data'!$C:$O,13,0)),"")</f>
        <v/>
      </c>
      <c r="G3040" s="55" t="str">
        <f>IFERROR(IF(OR($B3040="",$B3040="(blank)"),"",VLOOKUP($B3040,'Email Marketing Raw Data'!$C:$O,4,0)),"")</f>
        <v/>
      </c>
      <c r="H3040" s="55" t="str">
        <f>IFERROR(IF(OR($B3040="",$B3040="(blank)"),"",VLOOKUP($B3040,'Email Marketing Raw Data'!$C:$O,5,0)),"")</f>
        <v/>
      </c>
      <c r="I3040" s="55" t="str">
        <f>IFERROR(IF($G3040="","",VLOOKUP('Dashboard And Emails Automate'!$G3040,Database!$H:$N,3,0)),"")</f>
        <v/>
      </c>
      <c r="J3040" s="55" t="str">
        <f>IFERROR(IF($G3040="","",VLOOKUP('Dashboard And Emails Automate'!$G3040,Database!$H:$N,4,0)),"")</f>
        <v/>
      </c>
      <c r="K3040" s="55" t="str">
        <f>IFERROR(IF($G3040="","",VLOOKUP('Dashboard And Emails Automate'!$G3040,Database!$H:$N,5,0)),"")</f>
        <v/>
      </c>
      <c r="L3040" s="55" t="str">
        <f>IFERROR(IF($G3040="","",VLOOKUP('Dashboard And Emails Automate'!$G3040,Database!$H:$N,6,0)),"")</f>
        <v/>
      </c>
      <c r="M3040" s="55" t="str">
        <f>IFERROR(IF($G3040="","",VLOOKUP('Dashboard And Emails Automate'!$G3040,Database!$H:$N,7,0)),"")</f>
        <v/>
      </c>
      <c r="N3040" s="55" t="str">
        <f>IFERROR(IF(OR($B3040="",$B3040="(blank)"),"",VLOOKUP($B3040,'Email Marketing Raw Data'!$C:$O,6,0)),"")</f>
        <v/>
      </c>
      <c r="O3040" s="55" t="str">
        <f>IFERROR(IF(OR($B3040="",$B3040="(blank)"),"",VLOOKUP($B3040,'Email Marketing Raw Data'!$C:$O,7,0)),"")</f>
        <v/>
      </c>
      <c r="P3040" s="55" t="str">
        <f>IFERROR(IF(OR($B3040="",$B3040="(blank)"),"",VLOOKUP($B3040,'Email Marketing Raw Data'!$C:$O,8,0)),"")</f>
        <v/>
      </c>
      <c r="Q3040" s="62" t="str">
        <f>IFERROR(IF(OR($B3040="",$B3040="(blank)"),"",VLOOKUP($B3040,'Email Marketing Raw Data'!$C:$O,9,0)),"")</f>
        <v/>
      </c>
    </row>
    <row r="3041" spans="4:17" ht="12.75" customHeight="1" x14ac:dyDescent="0.2">
      <c r="D3041" s="58" t="str">
        <f>IFERROR(IF(F3041&lt;&gt;"pending","",IF(OR($B3041="",$B3041="(blank)"),"",VLOOKUP($B3041,'Email Marketing Raw Data'!$C:$O,10,0))),"")</f>
        <v/>
      </c>
      <c r="E3041" s="59" t="str">
        <f>IFERROR(IF(F3041&lt;&gt;"pending","",IF(OR($B3041="",$B3041="(blank)"),"",VLOOKUP($B3041,'Email Marketing Raw Data'!$C:$O,11,0))),"")</f>
        <v/>
      </c>
      <c r="F3041" s="54" t="str">
        <f>IFERROR(IF(OR($B3041="",$B3041="(blank)"),"",VLOOKUP($B3041,'Email Marketing Raw Data'!$C:$O,13,0)),"")</f>
        <v/>
      </c>
      <c r="G3041" s="55" t="str">
        <f>IFERROR(IF(OR($B3041="",$B3041="(blank)"),"",VLOOKUP($B3041,'Email Marketing Raw Data'!$C:$O,4,0)),"")</f>
        <v/>
      </c>
      <c r="H3041" s="55" t="str">
        <f>IFERROR(IF(OR($B3041="",$B3041="(blank)"),"",VLOOKUP($B3041,'Email Marketing Raw Data'!$C:$O,5,0)),"")</f>
        <v/>
      </c>
      <c r="I3041" s="55" t="str">
        <f>IFERROR(IF($G3041="","",VLOOKUP('Dashboard And Emails Automate'!$G3041,Database!$H:$N,3,0)),"")</f>
        <v/>
      </c>
      <c r="J3041" s="55" t="str">
        <f>IFERROR(IF($G3041="","",VLOOKUP('Dashboard And Emails Automate'!$G3041,Database!$H:$N,4,0)),"")</f>
        <v/>
      </c>
      <c r="K3041" s="55" t="str">
        <f>IFERROR(IF($G3041="","",VLOOKUP('Dashboard And Emails Automate'!$G3041,Database!$H:$N,5,0)),"")</f>
        <v/>
      </c>
      <c r="L3041" s="55" t="str">
        <f>IFERROR(IF($G3041="","",VLOOKUP('Dashboard And Emails Automate'!$G3041,Database!$H:$N,6,0)),"")</f>
        <v/>
      </c>
      <c r="M3041" s="55" t="str">
        <f>IFERROR(IF($G3041="","",VLOOKUP('Dashboard And Emails Automate'!$G3041,Database!$H:$N,7,0)),"")</f>
        <v/>
      </c>
      <c r="N3041" s="55" t="str">
        <f>IFERROR(IF(OR($B3041="",$B3041="(blank)"),"",VLOOKUP($B3041,'Email Marketing Raw Data'!$C:$O,6,0)),"")</f>
        <v/>
      </c>
      <c r="O3041" s="55" t="str">
        <f>IFERROR(IF(OR($B3041="",$B3041="(blank)"),"",VLOOKUP($B3041,'Email Marketing Raw Data'!$C:$O,7,0)),"")</f>
        <v/>
      </c>
      <c r="P3041" s="55" t="str">
        <f>IFERROR(IF(OR($B3041="",$B3041="(blank)"),"",VLOOKUP($B3041,'Email Marketing Raw Data'!$C:$O,8,0)),"")</f>
        <v/>
      </c>
      <c r="Q3041" s="62" t="str">
        <f>IFERROR(IF(OR($B3041="",$B3041="(blank)"),"",VLOOKUP($B3041,'Email Marketing Raw Data'!$C:$O,9,0)),"")</f>
        <v/>
      </c>
    </row>
    <row r="3042" spans="4:17" ht="12.75" customHeight="1" x14ac:dyDescent="0.2">
      <c r="D3042" s="58" t="str">
        <f>IFERROR(IF(F3042&lt;&gt;"pending","",IF(OR($B3042="",$B3042="(blank)"),"",VLOOKUP($B3042,'Email Marketing Raw Data'!$C:$O,10,0))),"")</f>
        <v/>
      </c>
      <c r="E3042" s="59" t="str">
        <f>IFERROR(IF(F3042&lt;&gt;"pending","",IF(OR($B3042="",$B3042="(blank)"),"",VLOOKUP($B3042,'Email Marketing Raw Data'!$C:$O,11,0))),"")</f>
        <v/>
      </c>
      <c r="F3042" s="54" t="str">
        <f>IFERROR(IF(OR($B3042="",$B3042="(blank)"),"",VLOOKUP($B3042,'Email Marketing Raw Data'!$C:$O,13,0)),"")</f>
        <v/>
      </c>
      <c r="G3042" s="55" t="str">
        <f>IFERROR(IF(OR($B3042="",$B3042="(blank)"),"",VLOOKUP($B3042,'Email Marketing Raw Data'!$C:$O,4,0)),"")</f>
        <v/>
      </c>
      <c r="H3042" s="55" t="str">
        <f>IFERROR(IF(OR($B3042="",$B3042="(blank)"),"",VLOOKUP($B3042,'Email Marketing Raw Data'!$C:$O,5,0)),"")</f>
        <v/>
      </c>
      <c r="I3042" s="55" t="str">
        <f>IFERROR(IF($G3042="","",VLOOKUP('Dashboard And Emails Automate'!$G3042,Database!$H:$N,3,0)),"")</f>
        <v/>
      </c>
      <c r="J3042" s="55" t="str">
        <f>IFERROR(IF($G3042="","",VLOOKUP('Dashboard And Emails Automate'!$G3042,Database!$H:$N,4,0)),"")</f>
        <v/>
      </c>
      <c r="K3042" s="55" t="str">
        <f>IFERROR(IF($G3042="","",VLOOKUP('Dashboard And Emails Automate'!$G3042,Database!$H:$N,5,0)),"")</f>
        <v/>
      </c>
      <c r="L3042" s="55" t="str">
        <f>IFERROR(IF($G3042="","",VLOOKUP('Dashboard And Emails Automate'!$G3042,Database!$H:$N,6,0)),"")</f>
        <v/>
      </c>
      <c r="M3042" s="55" t="str">
        <f>IFERROR(IF($G3042="","",VLOOKUP('Dashboard And Emails Automate'!$G3042,Database!$H:$N,7,0)),"")</f>
        <v/>
      </c>
      <c r="N3042" s="55" t="str">
        <f>IFERROR(IF(OR($B3042="",$B3042="(blank)"),"",VLOOKUP($B3042,'Email Marketing Raw Data'!$C:$O,6,0)),"")</f>
        <v/>
      </c>
      <c r="O3042" s="55" t="str">
        <f>IFERROR(IF(OR($B3042="",$B3042="(blank)"),"",VLOOKUP($B3042,'Email Marketing Raw Data'!$C:$O,7,0)),"")</f>
        <v/>
      </c>
      <c r="P3042" s="55" t="str">
        <f>IFERROR(IF(OR($B3042="",$B3042="(blank)"),"",VLOOKUP($B3042,'Email Marketing Raw Data'!$C:$O,8,0)),"")</f>
        <v/>
      </c>
      <c r="Q3042" s="62" t="str">
        <f>IFERROR(IF(OR($B3042="",$B3042="(blank)"),"",VLOOKUP($B3042,'Email Marketing Raw Data'!$C:$O,9,0)),"")</f>
        <v/>
      </c>
    </row>
    <row r="3043" spans="4:17" ht="12.75" customHeight="1" x14ac:dyDescent="0.2">
      <c r="D3043" s="58" t="str">
        <f>IFERROR(IF(F3043&lt;&gt;"pending","",IF(OR($B3043="",$B3043="(blank)"),"",VLOOKUP($B3043,'Email Marketing Raw Data'!$C:$O,10,0))),"")</f>
        <v/>
      </c>
      <c r="E3043" s="59" t="str">
        <f>IFERROR(IF(F3043&lt;&gt;"pending","",IF(OR($B3043="",$B3043="(blank)"),"",VLOOKUP($B3043,'Email Marketing Raw Data'!$C:$O,11,0))),"")</f>
        <v/>
      </c>
      <c r="F3043" s="54" t="str">
        <f>IFERROR(IF(OR($B3043="",$B3043="(blank)"),"",VLOOKUP($B3043,'Email Marketing Raw Data'!$C:$O,13,0)),"")</f>
        <v/>
      </c>
      <c r="G3043" s="55" t="str">
        <f>IFERROR(IF(OR($B3043="",$B3043="(blank)"),"",VLOOKUP($B3043,'Email Marketing Raw Data'!$C:$O,4,0)),"")</f>
        <v/>
      </c>
      <c r="H3043" s="55" t="str">
        <f>IFERROR(IF(OR($B3043="",$B3043="(blank)"),"",VLOOKUP($B3043,'Email Marketing Raw Data'!$C:$O,5,0)),"")</f>
        <v/>
      </c>
      <c r="I3043" s="55" t="str">
        <f>IFERROR(IF($G3043="","",VLOOKUP('Dashboard And Emails Automate'!$G3043,Database!$H:$N,3,0)),"")</f>
        <v/>
      </c>
      <c r="J3043" s="55" t="str">
        <f>IFERROR(IF($G3043="","",VLOOKUP('Dashboard And Emails Automate'!$G3043,Database!$H:$N,4,0)),"")</f>
        <v/>
      </c>
      <c r="K3043" s="55" t="str">
        <f>IFERROR(IF($G3043="","",VLOOKUP('Dashboard And Emails Automate'!$G3043,Database!$H:$N,5,0)),"")</f>
        <v/>
      </c>
      <c r="L3043" s="55" t="str">
        <f>IFERROR(IF($G3043="","",VLOOKUP('Dashboard And Emails Automate'!$G3043,Database!$H:$N,6,0)),"")</f>
        <v/>
      </c>
      <c r="M3043" s="55" t="str">
        <f>IFERROR(IF($G3043="","",VLOOKUP('Dashboard And Emails Automate'!$G3043,Database!$H:$N,7,0)),"")</f>
        <v/>
      </c>
      <c r="N3043" s="55" t="str">
        <f>IFERROR(IF(OR($B3043="",$B3043="(blank)"),"",VLOOKUP($B3043,'Email Marketing Raw Data'!$C:$O,6,0)),"")</f>
        <v/>
      </c>
      <c r="O3043" s="55" t="str">
        <f>IFERROR(IF(OR($B3043="",$B3043="(blank)"),"",VLOOKUP($B3043,'Email Marketing Raw Data'!$C:$O,7,0)),"")</f>
        <v/>
      </c>
      <c r="P3043" s="55" t="str">
        <f>IFERROR(IF(OR($B3043="",$B3043="(blank)"),"",VLOOKUP($B3043,'Email Marketing Raw Data'!$C:$O,8,0)),"")</f>
        <v/>
      </c>
      <c r="Q3043" s="62" t="str">
        <f>IFERROR(IF(OR($B3043="",$B3043="(blank)"),"",VLOOKUP($B3043,'Email Marketing Raw Data'!$C:$O,9,0)),"")</f>
        <v/>
      </c>
    </row>
    <row r="3044" spans="4:17" ht="12.75" customHeight="1" x14ac:dyDescent="0.2">
      <c r="D3044" s="58" t="str">
        <f>IFERROR(IF(F3044&lt;&gt;"pending","",IF(OR($B3044="",$B3044="(blank)"),"",VLOOKUP($B3044,'Email Marketing Raw Data'!$C:$O,10,0))),"")</f>
        <v/>
      </c>
      <c r="E3044" s="59" t="str">
        <f>IFERROR(IF(F3044&lt;&gt;"pending","",IF(OR($B3044="",$B3044="(blank)"),"",VLOOKUP($B3044,'Email Marketing Raw Data'!$C:$O,11,0))),"")</f>
        <v/>
      </c>
      <c r="F3044" s="54" t="str">
        <f>IFERROR(IF(OR($B3044="",$B3044="(blank)"),"",VLOOKUP($B3044,'Email Marketing Raw Data'!$C:$O,13,0)),"")</f>
        <v/>
      </c>
      <c r="G3044" s="55" t="str">
        <f>IFERROR(IF(OR($B3044="",$B3044="(blank)"),"",VLOOKUP($B3044,'Email Marketing Raw Data'!$C:$O,4,0)),"")</f>
        <v/>
      </c>
      <c r="H3044" s="55" t="str">
        <f>IFERROR(IF(OR($B3044="",$B3044="(blank)"),"",VLOOKUP($B3044,'Email Marketing Raw Data'!$C:$O,5,0)),"")</f>
        <v/>
      </c>
      <c r="I3044" s="55" t="str">
        <f>IFERROR(IF($G3044="","",VLOOKUP('Dashboard And Emails Automate'!$G3044,Database!$H:$N,3,0)),"")</f>
        <v/>
      </c>
      <c r="J3044" s="55" t="str">
        <f>IFERROR(IF($G3044="","",VLOOKUP('Dashboard And Emails Automate'!$G3044,Database!$H:$N,4,0)),"")</f>
        <v/>
      </c>
      <c r="K3044" s="55" t="str">
        <f>IFERROR(IF($G3044="","",VLOOKUP('Dashboard And Emails Automate'!$G3044,Database!$H:$N,5,0)),"")</f>
        <v/>
      </c>
      <c r="L3044" s="55" t="str">
        <f>IFERROR(IF($G3044="","",VLOOKUP('Dashboard And Emails Automate'!$G3044,Database!$H:$N,6,0)),"")</f>
        <v/>
      </c>
      <c r="M3044" s="55" t="str">
        <f>IFERROR(IF($G3044="","",VLOOKUP('Dashboard And Emails Automate'!$G3044,Database!$H:$N,7,0)),"")</f>
        <v/>
      </c>
      <c r="N3044" s="55" t="str">
        <f>IFERROR(IF(OR($B3044="",$B3044="(blank)"),"",VLOOKUP($B3044,'Email Marketing Raw Data'!$C:$O,6,0)),"")</f>
        <v/>
      </c>
      <c r="O3044" s="55" t="str">
        <f>IFERROR(IF(OR($B3044="",$B3044="(blank)"),"",VLOOKUP($B3044,'Email Marketing Raw Data'!$C:$O,7,0)),"")</f>
        <v/>
      </c>
      <c r="P3044" s="55" t="str">
        <f>IFERROR(IF(OR($B3044="",$B3044="(blank)"),"",VLOOKUP($B3044,'Email Marketing Raw Data'!$C:$O,8,0)),"")</f>
        <v/>
      </c>
      <c r="Q3044" s="62" t="str">
        <f>IFERROR(IF(OR($B3044="",$B3044="(blank)"),"",VLOOKUP($B3044,'Email Marketing Raw Data'!$C:$O,9,0)),"")</f>
        <v/>
      </c>
    </row>
    <row r="3045" spans="4:17" ht="12.75" customHeight="1" x14ac:dyDescent="0.2">
      <c r="D3045" s="58" t="str">
        <f>IFERROR(IF(F3045&lt;&gt;"pending","",IF(OR($B3045="",$B3045="(blank)"),"",VLOOKUP($B3045,'Email Marketing Raw Data'!$C:$O,10,0))),"")</f>
        <v/>
      </c>
      <c r="E3045" s="59" t="str">
        <f>IFERROR(IF(F3045&lt;&gt;"pending","",IF(OR($B3045="",$B3045="(blank)"),"",VLOOKUP($B3045,'Email Marketing Raw Data'!$C:$O,11,0))),"")</f>
        <v/>
      </c>
      <c r="F3045" s="54" t="str">
        <f>IFERROR(IF(OR($B3045="",$B3045="(blank)"),"",VLOOKUP($B3045,'Email Marketing Raw Data'!$C:$O,13,0)),"")</f>
        <v/>
      </c>
      <c r="G3045" s="55" t="str">
        <f>IFERROR(IF(OR($B3045="",$B3045="(blank)"),"",VLOOKUP($B3045,'Email Marketing Raw Data'!$C:$O,4,0)),"")</f>
        <v/>
      </c>
      <c r="H3045" s="55" t="str">
        <f>IFERROR(IF(OR($B3045="",$B3045="(blank)"),"",VLOOKUP($B3045,'Email Marketing Raw Data'!$C:$O,5,0)),"")</f>
        <v/>
      </c>
      <c r="I3045" s="55" t="str">
        <f>IFERROR(IF($G3045="","",VLOOKUP('Dashboard And Emails Automate'!$G3045,Database!$H:$N,3,0)),"")</f>
        <v/>
      </c>
      <c r="J3045" s="55" t="str">
        <f>IFERROR(IF($G3045="","",VLOOKUP('Dashboard And Emails Automate'!$G3045,Database!$H:$N,4,0)),"")</f>
        <v/>
      </c>
      <c r="K3045" s="55" t="str">
        <f>IFERROR(IF($G3045="","",VLOOKUP('Dashboard And Emails Automate'!$G3045,Database!$H:$N,5,0)),"")</f>
        <v/>
      </c>
      <c r="L3045" s="55" t="str">
        <f>IFERROR(IF($G3045="","",VLOOKUP('Dashboard And Emails Automate'!$G3045,Database!$H:$N,6,0)),"")</f>
        <v/>
      </c>
      <c r="M3045" s="55" t="str">
        <f>IFERROR(IF($G3045="","",VLOOKUP('Dashboard And Emails Automate'!$G3045,Database!$H:$N,7,0)),"")</f>
        <v/>
      </c>
      <c r="N3045" s="55" t="str">
        <f>IFERROR(IF(OR($B3045="",$B3045="(blank)"),"",VLOOKUP($B3045,'Email Marketing Raw Data'!$C:$O,6,0)),"")</f>
        <v/>
      </c>
      <c r="O3045" s="55" t="str">
        <f>IFERROR(IF(OR($B3045="",$B3045="(blank)"),"",VLOOKUP($B3045,'Email Marketing Raw Data'!$C:$O,7,0)),"")</f>
        <v/>
      </c>
      <c r="P3045" s="55" t="str">
        <f>IFERROR(IF(OR($B3045="",$B3045="(blank)"),"",VLOOKUP($B3045,'Email Marketing Raw Data'!$C:$O,8,0)),"")</f>
        <v/>
      </c>
      <c r="Q3045" s="62" t="str">
        <f>IFERROR(IF(OR($B3045="",$B3045="(blank)"),"",VLOOKUP($B3045,'Email Marketing Raw Data'!$C:$O,9,0)),"")</f>
        <v/>
      </c>
    </row>
    <row r="3046" spans="4:17" ht="12.75" customHeight="1" x14ac:dyDescent="0.2">
      <c r="D3046" s="58" t="str">
        <f>IFERROR(IF(F3046&lt;&gt;"pending","",IF(OR($B3046="",$B3046="(blank)"),"",VLOOKUP($B3046,'Email Marketing Raw Data'!$C:$O,10,0))),"")</f>
        <v/>
      </c>
      <c r="E3046" s="59" t="str">
        <f>IFERROR(IF(F3046&lt;&gt;"pending","",IF(OR($B3046="",$B3046="(blank)"),"",VLOOKUP($B3046,'Email Marketing Raw Data'!$C:$O,11,0))),"")</f>
        <v/>
      </c>
      <c r="F3046" s="54" t="str">
        <f>IFERROR(IF(OR($B3046="",$B3046="(blank)"),"",VLOOKUP($B3046,'Email Marketing Raw Data'!$C:$O,13,0)),"")</f>
        <v/>
      </c>
      <c r="G3046" s="55" t="str">
        <f>IFERROR(IF(OR($B3046="",$B3046="(blank)"),"",VLOOKUP($B3046,'Email Marketing Raw Data'!$C:$O,4,0)),"")</f>
        <v/>
      </c>
      <c r="H3046" s="55" t="str">
        <f>IFERROR(IF(OR($B3046="",$B3046="(blank)"),"",VLOOKUP($B3046,'Email Marketing Raw Data'!$C:$O,5,0)),"")</f>
        <v/>
      </c>
      <c r="I3046" s="55" t="str">
        <f>IFERROR(IF($G3046="","",VLOOKUP('Dashboard And Emails Automate'!$G3046,Database!$H:$N,3,0)),"")</f>
        <v/>
      </c>
      <c r="J3046" s="55" t="str">
        <f>IFERROR(IF($G3046="","",VLOOKUP('Dashboard And Emails Automate'!$G3046,Database!$H:$N,4,0)),"")</f>
        <v/>
      </c>
      <c r="K3046" s="55" t="str">
        <f>IFERROR(IF($G3046="","",VLOOKUP('Dashboard And Emails Automate'!$G3046,Database!$H:$N,5,0)),"")</f>
        <v/>
      </c>
      <c r="L3046" s="55" t="str">
        <f>IFERROR(IF($G3046="","",VLOOKUP('Dashboard And Emails Automate'!$G3046,Database!$H:$N,6,0)),"")</f>
        <v/>
      </c>
      <c r="M3046" s="55" t="str">
        <f>IFERROR(IF($G3046="","",VLOOKUP('Dashboard And Emails Automate'!$G3046,Database!$H:$N,7,0)),"")</f>
        <v/>
      </c>
      <c r="N3046" s="55" t="str">
        <f>IFERROR(IF(OR($B3046="",$B3046="(blank)"),"",VLOOKUP($B3046,'Email Marketing Raw Data'!$C:$O,6,0)),"")</f>
        <v/>
      </c>
      <c r="O3046" s="55" t="str">
        <f>IFERROR(IF(OR($B3046="",$B3046="(blank)"),"",VLOOKUP($B3046,'Email Marketing Raw Data'!$C:$O,7,0)),"")</f>
        <v/>
      </c>
      <c r="P3046" s="55" t="str">
        <f>IFERROR(IF(OR($B3046="",$B3046="(blank)"),"",VLOOKUP($B3046,'Email Marketing Raw Data'!$C:$O,8,0)),"")</f>
        <v/>
      </c>
      <c r="Q3046" s="62" t="str">
        <f>IFERROR(IF(OR($B3046="",$B3046="(blank)"),"",VLOOKUP($B3046,'Email Marketing Raw Data'!$C:$O,9,0)),"")</f>
        <v/>
      </c>
    </row>
    <row r="3047" spans="4:17" ht="12.75" customHeight="1" x14ac:dyDescent="0.2">
      <c r="D3047" s="58" t="str">
        <f>IFERROR(IF(F3047&lt;&gt;"pending","",IF(OR($B3047="",$B3047="(blank)"),"",VLOOKUP($B3047,'Email Marketing Raw Data'!$C:$O,10,0))),"")</f>
        <v/>
      </c>
      <c r="E3047" s="59" t="str">
        <f>IFERROR(IF(F3047&lt;&gt;"pending","",IF(OR($B3047="",$B3047="(blank)"),"",VLOOKUP($B3047,'Email Marketing Raw Data'!$C:$O,11,0))),"")</f>
        <v/>
      </c>
      <c r="F3047" s="54" t="str">
        <f>IFERROR(IF(OR($B3047="",$B3047="(blank)"),"",VLOOKUP($B3047,'Email Marketing Raw Data'!$C:$O,13,0)),"")</f>
        <v/>
      </c>
      <c r="G3047" s="55" t="str">
        <f>IFERROR(IF(OR($B3047="",$B3047="(blank)"),"",VLOOKUP($B3047,'Email Marketing Raw Data'!$C:$O,4,0)),"")</f>
        <v/>
      </c>
      <c r="H3047" s="55" t="str">
        <f>IFERROR(IF(OR($B3047="",$B3047="(blank)"),"",VLOOKUP($B3047,'Email Marketing Raw Data'!$C:$O,5,0)),"")</f>
        <v/>
      </c>
      <c r="I3047" s="55" t="str">
        <f>IFERROR(IF($G3047="","",VLOOKUP('Dashboard And Emails Automate'!$G3047,Database!$H:$N,3,0)),"")</f>
        <v/>
      </c>
      <c r="J3047" s="55" t="str">
        <f>IFERROR(IF($G3047="","",VLOOKUP('Dashboard And Emails Automate'!$G3047,Database!$H:$N,4,0)),"")</f>
        <v/>
      </c>
      <c r="K3047" s="55" t="str">
        <f>IFERROR(IF($G3047="","",VLOOKUP('Dashboard And Emails Automate'!$G3047,Database!$H:$N,5,0)),"")</f>
        <v/>
      </c>
      <c r="L3047" s="55" t="str">
        <f>IFERROR(IF($G3047="","",VLOOKUP('Dashboard And Emails Automate'!$G3047,Database!$H:$N,6,0)),"")</f>
        <v/>
      </c>
      <c r="M3047" s="55" t="str">
        <f>IFERROR(IF($G3047="","",VLOOKUP('Dashboard And Emails Automate'!$G3047,Database!$H:$N,7,0)),"")</f>
        <v/>
      </c>
      <c r="N3047" s="55" t="str">
        <f>IFERROR(IF(OR($B3047="",$B3047="(blank)"),"",VLOOKUP($B3047,'Email Marketing Raw Data'!$C:$O,6,0)),"")</f>
        <v/>
      </c>
      <c r="O3047" s="55" t="str">
        <f>IFERROR(IF(OR($B3047="",$B3047="(blank)"),"",VLOOKUP($B3047,'Email Marketing Raw Data'!$C:$O,7,0)),"")</f>
        <v/>
      </c>
      <c r="P3047" s="55" t="str">
        <f>IFERROR(IF(OR($B3047="",$B3047="(blank)"),"",VLOOKUP($B3047,'Email Marketing Raw Data'!$C:$O,8,0)),"")</f>
        <v/>
      </c>
      <c r="Q3047" s="62" t="str">
        <f>IFERROR(IF(OR($B3047="",$B3047="(blank)"),"",VLOOKUP($B3047,'Email Marketing Raw Data'!$C:$O,9,0)),"")</f>
        <v/>
      </c>
    </row>
    <row r="3048" spans="4:17" ht="12.75" customHeight="1" x14ac:dyDescent="0.2">
      <c r="D3048" s="58" t="str">
        <f>IFERROR(IF(F3048&lt;&gt;"pending","",IF(OR($B3048="",$B3048="(blank)"),"",VLOOKUP($B3048,'Email Marketing Raw Data'!$C:$O,10,0))),"")</f>
        <v/>
      </c>
      <c r="E3048" s="59" t="str">
        <f>IFERROR(IF(F3048&lt;&gt;"pending","",IF(OR($B3048="",$B3048="(blank)"),"",VLOOKUP($B3048,'Email Marketing Raw Data'!$C:$O,11,0))),"")</f>
        <v/>
      </c>
      <c r="F3048" s="54" t="str">
        <f>IFERROR(IF(OR($B3048="",$B3048="(blank)"),"",VLOOKUP($B3048,'Email Marketing Raw Data'!$C:$O,13,0)),"")</f>
        <v/>
      </c>
      <c r="G3048" s="55" t="str">
        <f>IFERROR(IF(OR($B3048="",$B3048="(blank)"),"",VLOOKUP($B3048,'Email Marketing Raw Data'!$C:$O,4,0)),"")</f>
        <v/>
      </c>
      <c r="H3048" s="55" t="str">
        <f>IFERROR(IF(OR($B3048="",$B3048="(blank)"),"",VLOOKUP($B3048,'Email Marketing Raw Data'!$C:$O,5,0)),"")</f>
        <v/>
      </c>
      <c r="I3048" s="55" t="str">
        <f>IFERROR(IF($G3048="","",VLOOKUP('Dashboard And Emails Automate'!$G3048,Database!$H:$N,3,0)),"")</f>
        <v/>
      </c>
      <c r="J3048" s="55" t="str">
        <f>IFERROR(IF($G3048="","",VLOOKUP('Dashboard And Emails Automate'!$G3048,Database!$H:$N,4,0)),"")</f>
        <v/>
      </c>
      <c r="K3048" s="55" t="str">
        <f>IFERROR(IF($G3048="","",VLOOKUP('Dashboard And Emails Automate'!$G3048,Database!$H:$N,5,0)),"")</f>
        <v/>
      </c>
      <c r="L3048" s="55" t="str">
        <f>IFERROR(IF($G3048="","",VLOOKUP('Dashboard And Emails Automate'!$G3048,Database!$H:$N,6,0)),"")</f>
        <v/>
      </c>
      <c r="M3048" s="55" t="str">
        <f>IFERROR(IF($G3048="","",VLOOKUP('Dashboard And Emails Automate'!$G3048,Database!$H:$N,7,0)),"")</f>
        <v/>
      </c>
      <c r="N3048" s="55" t="str">
        <f>IFERROR(IF(OR($B3048="",$B3048="(blank)"),"",VLOOKUP($B3048,'Email Marketing Raw Data'!$C:$O,6,0)),"")</f>
        <v/>
      </c>
      <c r="O3048" s="55" t="str">
        <f>IFERROR(IF(OR($B3048="",$B3048="(blank)"),"",VLOOKUP($B3048,'Email Marketing Raw Data'!$C:$O,7,0)),"")</f>
        <v/>
      </c>
      <c r="P3048" s="55" t="str">
        <f>IFERROR(IF(OR($B3048="",$B3048="(blank)"),"",VLOOKUP($B3048,'Email Marketing Raw Data'!$C:$O,8,0)),"")</f>
        <v/>
      </c>
      <c r="Q3048" s="62" t="str">
        <f>IFERROR(IF(OR($B3048="",$B3048="(blank)"),"",VLOOKUP($B3048,'Email Marketing Raw Data'!$C:$O,9,0)),"")</f>
        <v/>
      </c>
    </row>
    <row r="3049" spans="4:17" ht="12.75" customHeight="1" x14ac:dyDescent="0.2">
      <c r="D3049" s="58" t="str">
        <f>IFERROR(IF(F3049&lt;&gt;"pending","",IF(OR($B3049="",$B3049="(blank)"),"",VLOOKUP($B3049,'Email Marketing Raw Data'!$C:$O,10,0))),"")</f>
        <v/>
      </c>
      <c r="E3049" s="59" t="str">
        <f>IFERROR(IF(F3049&lt;&gt;"pending","",IF(OR($B3049="",$B3049="(blank)"),"",VLOOKUP($B3049,'Email Marketing Raw Data'!$C:$O,11,0))),"")</f>
        <v/>
      </c>
      <c r="F3049" s="54" t="str">
        <f>IFERROR(IF(OR($B3049="",$B3049="(blank)"),"",VLOOKUP($B3049,'Email Marketing Raw Data'!$C:$O,13,0)),"")</f>
        <v/>
      </c>
      <c r="G3049" s="55" t="str">
        <f>IFERROR(IF(OR($B3049="",$B3049="(blank)"),"",VLOOKUP($B3049,'Email Marketing Raw Data'!$C:$O,4,0)),"")</f>
        <v/>
      </c>
      <c r="H3049" s="55" t="str">
        <f>IFERROR(IF(OR($B3049="",$B3049="(blank)"),"",VLOOKUP($B3049,'Email Marketing Raw Data'!$C:$O,5,0)),"")</f>
        <v/>
      </c>
      <c r="I3049" s="55" t="str">
        <f>IFERROR(IF($G3049="","",VLOOKUP('Dashboard And Emails Automate'!$G3049,Database!$H:$N,3,0)),"")</f>
        <v/>
      </c>
      <c r="J3049" s="55" t="str">
        <f>IFERROR(IF($G3049="","",VLOOKUP('Dashboard And Emails Automate'!$G3049,Database!$H:$N,4,0)),"")</f>
        <v/>
      </c>
      <c r="K3049" s="55" t="str">
        <f>IFERROR(IF($G3049="","",VLOOKUP('Dashboard And Emails Automate'!$G3049,Database!$H:$N,5,0)),"")</f>
        <v/>
      </c>
      <c r="L3049" s="55" t="str">
        <f>IFERROR(IF($G3049="","",VLOOKUP('Dashboard And Emails Automate'!$G3049,Database!$H:$N,6,0)),"")</f>
        <v/>
      </c>
      <c r="M3049" s="55" t="str">
        <f>IFERROR(IF($G3049="","",VLOOKUP('Dashboard And Emails Automate'!$G3049,Database!$H:$N,7,0)),"")</f>
        <v/>
      </c>
      <c r="N3049" s="55" t="str">
        <f>IFERROR(IF(OR($B3049="",$B3049="(blank)"),"",VLOOKUP($B3049,'Email Marketing Raw Data'!$C:$O,6,0)),"")</f>
        <v/>
      </c>
      <c r="O3049" s="55" t="str">
        <f>IFERROR(IF(OR($B3049="",$B3049="(blank)"),"",VLOOKUP($B3049,'Email Marketing Raw Data'!$C:$O,7,0)),"")</f>
        <v/>
      </c>
      <c r="P3049" s="55" t="str">
        <f>IFERROR(IF(OR($B3049="",$B3049="(blank)"),"",VLOOKUP($B3049,'Email Marketing Raw Data'!$C:$O,8,0)),"")</f>
        <v/>
      </c>
      <c r="Q3049" s="62" t="str">
        <f>IFERROR(IF(OR($B3049="",$B3049="(blank)"),"",VLOOKUP($B3049,'Email Marketing Raw Data'!$C:$O,9,0)),"")</f>
        <v/>
      </c>
    </row>
    <row r="3050" spans="4:17" ht="12.75" customHeight="1" x14ac:dyDescent="0.2">
      <c r="D3050" s="58" t="str">
        <f>IFERROR(IF(F3050&lt;&gt;"pending","",IF(OR($B3050="",$B3050="(blank)"),"",VLOOKUP($B3050,'Email Marketing Raw Data'!$C:$O,10,0))),"")</f>
        <v/>
      </c>
      <c r="E3050" s="59" t="str">
        <f>IFERROR(IF(F3050&lt;&gt;"pending","",IF(OR($B3050="",$B3050="(blank)"),"",VLOOKUP($B3050,'Email Marketing Raw Data'!$C:$O,11,0))),"")</f>
        <v/>
      </c>
      <c r="F3050" s="54" t="str">
        <f>IFERROR(IF(OR($B3050="",$B3050="(blank)"),"",VLOOKUP($B3050,'Email Marketing Raw Data'!$C:$O,13,0)),"")</f>
        <v/>
      </c>
      <c r="G3050" s="55" t="str">
        <f>IFERROR(IF(OR($B3050="",$B3050="(blank)"),"",VLOOKUP($B3050,'Email Marketing Raw Data'!$C:$O,4,0)),"")</f>
        <v/>
      </c>
      <c r="H3050" s="55" t="str">
        <f>IFERROR(IF(OR($B3050="",$B3050="(blank)"),"",VLOOKUP($B3050,'Email Marketing Raw Data'!$C:$O,5,0)),"")</f>
        <v/>
      </c>
      <c r="I3050" s="55" t="str">
        <f>IFERROR(IF($G3050="","",VLOOKUP('Dashboard And Emails Automate'!$G3050,Database!$H:$N,3,0)),"")</f>
        <v/>
      </c>
      <c r="J3050" s="55" t="str">
        <f>IFERROR(IF($G3050="","",VLOOKUP('Dashboard And Emails Automate'!$G3050,Database!$H:$N,4,0)),"")</f>
        <v/>
      </c>
      <c r="K3050" s="55" t="str">
        <f>IFERROR(IF($G3050="","",VLOOKUP('Dashboard And Emails Automate'!$G3050,Database!$H:$N,5,0)),"")</f>
        <v/>
      </c>
      <c r="L3050" s="55" t="str">
        <f>IFERROR(IF($G3050="","",VLOOKUP('Dashboard And Emails Automate'!$G3050,Database!$H:$N,6,0)),"")</f>
        <v/>
      </c>
      <c r="M3050" s="55" t="str">
        <f>IFERROR(IF($G3050="","",VLOOKUP('Dashboard And Emails Automate'!$G3050,Database!$H:$N,7,0)),"")</f>
        <v/>
      </c>
      <c r="N3050" s="55" t="str">
        <f>IFERROR(IF(OR($B3050="",$B3050="(blank)"),"",VLOOKUP($B3050,'Email Marketing Raw Data'!$C:$O,6,0)),"")</f>
        <v/>
      </c>
      <c r="O3050" s="55" t="str">
        <f>IFERROR(IF(OR($B3050="",$B3050="(blank)"),"",VLOOKUP($B3050,'Email Marketing Raw Data'!$C:$O,7,0)),"")</f>
        <v/>
      </c>
      <c r="P3050" s="55" t="str">
        <f>IFERROR(IF(OR($B3050="",$B3050="(blank)"),"",VLOOKUP($B3050,'Email Marketing Raw Data'!$C:$O,8,0)),"")</f>
        <v/>
      </c>
      <c r="Q3050" s="62" t="str">
        <f>IFERROR(IF(OR($B3050="",$B3050="(blank)"),"",VLOOKUP($B3050,'Email Marketing Raw Data'!$C:$O,9,0)),"")</f>
        <v/>
      </c>
    </row>
    <row r="3051" spans="4:17" ht="12.75" customHeight="1" x14ac:dyDescent="0.2">
      <c r="D3051" s="58" t="str">
        <f>IFERROR(IF(F3051&lt;&gt;"pending","",IF(OR($B3051="",$B3051="(blank)"),"",VLOOKUP($B3051,'Email Marketing Raw Data'!$C:$O,10,0))),"")</f>
        <v/>
      </c>
      <c r="E3051" s="59" t="str">
        <f>IFERROR(IF(F3051&lt;&gt;"pending","",IF(OR($B3051="",$B3051="(blank)"),"",VLOOKUP($B3051,'Email Marketing Raw Data'!$C:$O,11,0))),"")</f>
        <v/>
      </c>
      <c r="F3051" s="54" t="str">
        <f>IFERROR(IF(OR($B3051="",$B3051="(blank)"),"",VLOOKUP($B3051,'Email Marketing Raw Data'!$C:$O,13,0)),"")</f>
        <v/>
      </c>
      <c r="G3051" s="55" t="str">
        <f>IFERROR(IF(OR($B3051="",$B3051="(blank)"),"",VLOOKUP($B3051,'Email Marketing Raw Data'!$C:$O,4,0)),"")</f>
        <v/>
      </c>
      <c r="H3051" s="55" t="str">
        <f>IFERROR(IF(OR($B3051="",$B3051="(blank)"),"",VLOOKUP($B3051,'Email Marketing Raw Data'!$C:$O,5,0)),"")</f>
        <v/>
      </c>
      <c r="I3051" s="55" t="str">
        <f>IFERROR(IF($G3051="","",VLOOKUP('Dashboard And Emails Automate'!$G3051,Database!$H:$N,3,0)),"")</f>
        <v/>
      </c>
      <c r="J3051" s="55" t="str">
        <f>IFERROR(IF($G3051="","",VLOOKUP('Dashboard And Emails Automate'!$G3051,Database!$H:$N,4,0)),"")</f>
        <v/>
      </c>
      <c r="K3051" s="55" t="str">
        <f>IFERROR(IF($G3051="","",VLOOKUP('Dashboard And Emails Automate'!$G3051,Database!$H:$N,5,0)),"")</f>
        <v/>
      </c>
      <c r="L3051" s="55" t="str">
        <f>IFERROR(IF($G3051="","",VLOOKUP('Dashboard And Emails Automate'!$G3051,Database!$H:$N,6,0)),"")</f>
        <v/>
      </c>
      <c r="M3051" s="55" t="str">
        <f>IFERROR(IF($G3051="","",VLOOKUP('Dashboard And Emails Automate'!$G3051,Database!$H:$N,7,0)),"")</f>
        <v/>
      </c>
      <c r="N3051" s="55" t="str">
        <f>IFERROR(IF(OR($B3051="",$B3051="(blank)"),"",VLOOKUP($B3051,'Email Marketing Raw Data'!$C:$O,6,0)),"")</f>
        <v/>
      </c>
      <c r="O3051" s="55" t="str">
        <f>IFERROR(IF(OR($B3051="",$B3051="(blank)"),"",VLOOKUP($B3051,'Email Marketing Raw Data'!$C:$O,7,0)),"")</f>
        <v/>
      </c>
      <c r="P3051" s="55" t="str">
        <f>IFERROR(IF(OR($B3051="",$B3051="(blank)"),"",VLOOKUP($B3051,'Email Marketing Raw Data'!$C:$O,8,0)),"")</f>
        <v/>
      </c>
      <c r="Q3051" s="62" t="str">
        <f>IFERROR(IF(OR($B3051="",$B3051="(blank)"),"",VLOOKUP($B3051,'Email Marketing Raw Data'!$C:$O,9,0)),"")</f>
        <v/>
      </c>
    </row>
    <row r="3052" spans="4:17" ht="12.75" customHeight="1" x14ac:dyDescent="0.2">
      <c r="D3052" s="58" t="str">
        <f>IFERROR(IF(F3052&lt;&gt;"pending","",IF(OR($B3052="",$B3052="(blank)"),"",VLOOKUP($B3052,'Email Marketing Raw Data'!$C:$O,10,0))),"")</f>
        <v/>
      </c>
      <c r="E3052" s="59" t="str">
        <f>IFERROR(IF(F3052&lt;&gt;"pending","",IF(OR($B3052="",$B3052="(blank)"),"",VLOOKUP($B3052,'Email Marketing Raw Data'!$C:$O,11,0))),"")</f>
        <v/>
      </c>
      <c r="F3052" s="54" t="str">
        <f>IFERROR(IF(OR($B3052="",$B3052="(blank)"),"",VLOOKUP($B3052,'Email Marketing Raw Data'!$C:$O,13,0)),"")</f>
        <v/>
      </c>
      <c r="G3052" s="55" t="str">
        <f>IFERROR(IF(OR($B3052="",$B3052="(blank)"),"",VLOOKUP($B3052,'Email Marketing Raw Data'!$C:$O,4,0)),"")</f>
        <v/>
      </c>
      <c r="H3052" s="55" t="str">
        <f>IFERROR(IF(OR($B3052="",$B3052="(blank)"),"",VLOOKUP($B3052,'Email Marketing Raw Data'!$C:$O,5,0)),"")</f>
        <v/>
      </c>
      <c r="I3052" s="55" t="str">
        <f>IFERROR(IF($G3052="","",VLOOKUP('Dashboard And Emails Automate'!$G3052,Database!$H:$N,3,0)),"")</f>
        <v/>
      </c>
      <c r="J3052" s="55" t="str">
        <f>IFERROR(IF($G3052="","",VLOOKUP('Dashboard And Emails Automate'!$G3052,Database!$H:$N,4,0)),"")</f>
        <v/>
      </c>
      <c r="K3052" s="55" t="str">
        <f>IFERROR(IF($G3052="","",VLOOKUP('Dashboard And Emails Automate'!$G3052,Database!$H:$N,5,0)),"")</f>
        <v/>
      </c>
      <c r="L3052" s="55" t="str">
        <f>IFERROR(IF($G3052="","",VLOOKUP('Dashboard And Emails Automate'!$G3052,Database!$H:$N,6,0)),"")</f>
        <v/>
      </c>
      <c r="M3052" s="55" t="str">
        <f>IFERROR(IF($G3052="","",VLOOKUP('Dashboard And Emails Automate'!$G3052,Database!$H:$N,7,0)),"")</f>
        <v/>
      </c>
      <c r="N3052" s="55" t="str">
        <f>IFERROR(IF(OR($B3052="",$B3052="(blank)"),"",VLOOKUP($B3052,'Email Marketing Raw Data'!$C:$O,6,0)),"")</f>
        <v/>
      </c>
      <c r="O3052" s="55" t="str">
        <f>IFERROR(IF(OR($B3052="",$B3052="(blank)"),"",VLOOKUP($B3052,'Email Marketing Raw Data'!$C:$O,7,0)),"")</f>
        <v/>
      </c>
      <c r="P3052" s="55" t="str">
        <f>IFERROR(IF(OR($B3052="",$B3052="(blank)"),"",VLOOKUP($B3052,'Email Marketing Raw Data'!$C:$O,8,0)),"")</f>
        <v/>
      </c>
      <c r="Q3052" s="62" t="str">
        <f>IFERROR(IF(OR($B3052="",$B3052="(blank)"),"",VLOOKUP($B3052,'Email Marketing Raw Data'!$C:$O,9,0)),"")</f>
        <v/>
      </c>
    </row>
    <row r="3053" spans="4:17" ht="12.75" customHeight="1" x14ac:dyDescent="0.2">
      <c r="D3053" s="58" t="str">
        <f>IFERROR(IF(F3053&lt;&gt;"pending","",IF(OR($B3053="",$B3053="(blank)"),"",VLOOKUP($B3053,'Email Marketing Raw Data'!$C:$O,10,0))),"")</f>
        <v/>
      </c>
      <c r="E3053" s="59" t="str">
        <f>IFERROR(IF(F3053&lt;&gt;"pending","",IF(OR($B3053="",$B3053="(blank)"),"",VLOOKUP($B3053,'Email Marketing Raw Data'!$C:$O,11,0))),"")</f>
        <v/>
      </c>
      <c r="F3053" s="54" t="str">
        <f>IFERROR(IF(OR($B3053="",$B3053="(blank)"),"",VLOOKUP($B3053,'Email Marketing Raw Data'!$C:$O,13,0)),"")</f>
        <v/>
      </c>
      <c r="G3053" s="55" t="str">
        <f>IFERROR(IF(OR($B3053="",$B3053="(blank)"),"",VLOOKUP($B3053,'Email Marketing Raw Data'!$C:$O,4,0)),"")</f>
        <v/>
      </c>
      <c r="H3053" s="55" t="str">
        <f>IFERROR(IF(OR($B3053="",$B3053="(blank)"),"",VLOOKUP($B3053,'Email Marketing Raw Data'!$C:$O,5,0)),"")</f>
        <v/>
      </c>
      <c r="I3053" s="55" t="str">
        <f>IFERROR(IF($G3053="","",VLOOKUP('Dashboard And Emails Automate'!$G3053,Database!$H:$N,3,0)),"")</f>
        <v/>
      </c>
      <c r="J3053" s="55" t="str">
        <f>IFERROR(IF($G3053="","",VLOOKUP('Dashboard And Emails Automate'!$G3053,Database!$H:$N,4,0)),"")</f>
        <v/>
      </c>
      <c r="K3053" s="55" t="str">
        <f>IFERROR(IF($G3053="","",VLOOKUP('Dashboard And Emails Automate'!$G3053,Database!$H:$N,5,0)),"")</f>
        <v/>
      </c>
      <c r="L3053" s="55" t="str">
        <f>IFERROR(IF($G3053="","",VLOOKUP('Dashboard And Emails Automate'!$G3053,Database!$H:$N,6,0)),"")</f>
        <v/>
      </c>
      <c r="M3053" s="55" t="str">
        <f>IFERROR(IF($G3053="","",VLOOKUP('Dashboard And Emails Automate'!$G3053,Database!$H:$N,7,0)),"")</f>
        <v/>
      </c>
      <c r="N3053" s="55" t="str">
        <f>IFERROR(IF(OR($B3053="",$B3053="(blank)"),"",VLOOKUP($B3053,'Email Marketing Raw Data'!$C:$O,6,0)),"")</f>
        <v/>
      </c>
      <c r="O3053" s="55" t="str">
        <f>IFERROR(IF(OR($B3053="",$B3053="(blank)"),"",VLOOKUP($B3053,'Email Marketing Raw Data'!$C:$O,7,0)),"")</f>
        <v/>
      </c>
      <c r="P3053" s="55" t="str">
        <f>IFERROR(IF(OR($B3053="",$B3053="(blank)"),"",VLOOKUP($B3053,'Email Marketing Raw Data'!$C:$O,8,0)),"")</f>
        <v/>
      </c>
      <c r="Q3053" s="62" t="str">
        <f>IFERROR(IF(OR($B3053="",$B3053="(blank)"),"",VLOOKUP($B3053,'Email Marketing Raw Data'!$C:$O,9,0)),"")</f>
        <v/>
      </c>
    </row>
    <row r="3054" spans="4:17" ht="12.75" customHeight="1" x14ac:dyDescent="0.2">
      <c r="D3054" s="58" t="str">
        <f>IFERROR(IF(F3054&lt;&gt;"pending","",IF(OR($B3054="",$B3054="(blank)"),"",VLOOKUP($B3054,'Email Marketing Raw Data'!$C:$O,10,0))),"")</f>
        <v/>
      </c>
      <c r="E3054" s="59" t="str">
        <f>IFERROR(IF(F3054&lt;&gt;"pending","",IF(OR($B3054="",$B3054="(blank)"),"",VLOOKUP($B3054,'Email Marketing Raw Data'!$C:$O,11,0))),"")</f>
        <v/>
      </c>
      <c r="F3054" s="54" t="str">
        <f>IFERROR(IF(OR($B3054="",$B3054="(blank)"),"",VLOOKUP($B3054,'Email Marketing Raw Data'!$C:$O,13,0)),"")</f>
        <v/>
      </c>
      <c r="G3054" s="55" t="str">
        <f>IFERROR(IF(OR($B3054="",$B3054="(blank)"),"",VLOOKUP($B3054,'Email Marketing Raw Data'!$C:$O,4,0)),"")</f>
        <v/>
      </c>
      <c r="H3054" s="55" t="str">
        <f>IFERROR(IF(OR($B3054="",$B3054="(blank)"),"",VLOOKUP($B3054,'Email Marketing Raw Data'!$C:$O,5,0)),"")</f>
        <v/>
      </c>
      <c r="I3054" s="55" t="str">
        <f>IFERROR(IF($G3054="","",VLOOKUP('Dashboard And Emails Automate'!$G3054,Database!$H:$N,3,0)),"")</f>
        <v/>
      </c>
      <c r="J3054" s="55" t="str">
        <f>IFERROR(IF($G3054="","",VLOOKUP('Dashboard And Emails Automate'!$G3054,Database!$H:$N,4,0)),"")</f>
        <v/>
      </c>
      <c r="K3054" s="55" t="str">
        <f>IFERROR(IF($G3054="","",VLOOKUP('Dashboard And Emails Automate'!$G3054,Database!$H:$N,5,0)),"")</f>
        <v/>
      </c>
      <c r="L3054" s="55" t="str">
        <f>IFERROR(IF($G3054="","",VLOOKUP('Dashboard And Emails Automate'!$G3054,Database!$H:$N,6,0)),"")</f>
        <v/>
      </c>
      <c r="M3054" s="55" t="str">
        <f>IFERROR(IF($G3054="","",VLOOKUP('Dashboard And Emails Automate'!$G3054,Database!$H:$N,7,0)),"")</f>
        <v/>
      </c>
      <c r="N3054" s="55" t="str">
        <f>IFERROR(IF(OR($B3054="",$B3054="(blank)"),"",VLOOKUP($B3054,'Email Marketing Raw Data'!$C:$O,6,0)),"")</f>
        <v/>
      </c>
      <c r="O3054" s="55" t="str">
        <f>IFERROR(IF(OR($B3054="",$B3054="(blank)"),"",VLOOKUP($B3054,'Email Marketing Raw Data'!$C:$O,7,0)),"")</f>
        <v/>
      </c>
      <c r="P3054" s="55" t="str">
        <f>IFERROR(IF(OR($B3054="",$B3054="(blank)"),"",VLOOKUP($B3054,'Email Marketing Raw Data'!$C:$O,8,0)),"")</f>
        <v/>
      </c>
      <c r="Q3054" s="62" t="str">
        <f>IFERROR(IF(OR($B3054="",$B3054="(blank)"),"",VLOOKUP($B3054,'Email Marketing Raw Data'!$C:$O,9,0)),"")</f>
        <v/>
      </c>
    </row>
    <row r="3055" spans="4:17" ht="12.75" customHeight="1" x14ac:dyDescent="0.2">
      <c r="D3055" s="58" t="str">
        <f>IFERROR(IF(F3055&lt;&gt;"pending","",IF(OR($B3055="",$B3055="(blank)"),"",VLOOKUP($B3055,'Email Marketing Raw Data'!$C:$O,10,0))),"")</f>
        <v/>
      </c>
      <c r="E3055" s="59" t="str">
        <f>IFERROR(IF(F3055&lt;&gt;"pending","",IF(OR($B3055="",$B3055="(blank)"),"",VLOOKUP($B3055,'Email Marketing Raw Data'!$C:$O,11,0))),"")</f>
        <v/>
      </c>
      <c r="F3055" s="54" t="str">
        <f>IFERROR(IF(OR($B3055="",$B3055="(blank)"),"",VLOOKUP($B3055,'Email Marketing Raw Data'!$C:$O,13,0)),"")</f>
        <v/>
      </c>
      <c r="G3055" s="55" t="str">
        <f>IFERROR(IF(OR($B3055="",$B3055="(blank)"),"",VLOOKUP($B3055,'Email Marketing Raw Data'!$C:$O,4,0)),"")</f>
        <v/>
      </c>
      <c r="H3055" s="55" t="str">
        <f>IFERROR(IF(OR($B3055="",$B3055="(blank)"),"",VLOOKUP($B3055,'Email Marketing Raw Data'!$C:$O,5,0)),"")</f>
        <v/>
      </c>
      <c r="I3055" s="55" t="str">
        <f>IFERROR(IF($G3055="","",VLOOKUP('Dashboard And Emails Automate'!$G3055,Database!$H:$N,3,0)),"")</f>
        <v/>
      </c>
      <c r="J3055" s="55" t="str">
        <f>IFERROR(IF($G3055="","",VLOOKUP('Dashboard And Emails Automate'!$G3055,Database!$H:$N,4,0)),"")</f>
        <v/>
      </c>
      <c r="K3055" s="55" t="str">
        <f>IFERROR(IF($G3055="","",VLOOKUP('Dashboard And Emails Automate'!$G3055,Database!$H:$N,5,0)),"")</f>
        <v/>
      </c>
      <c r="L3055" s="55" t="str">
        <f>IFERROR(IF($G3055="","",VLOOKUP('Dashboard And Emails Automate'!$G3055,Database!$H:$N,6,0)),"")</f>
        <v/>
      </c>
      <c r="M3055" s="55" t="str">
        <f>IFERROR(IF($G3055="","",VLOOKUP('Dashboard And Emails Automate'!$G3055,Database!$H:$N,7,0)),"")</f>
        <v/>
      </c>
      <c r="N3055" s="55" t="str">
        <f>IFERROR(IF(OR($B3055="",$B3055="(blank)"),"",VLOOKUP($B3055,'Email Marketing Raw Data'!$C:$O,6,0)),"")</f>
        <v/>
      </c>
      <c r="O3055" s="55" t="str">
        <f>IFERROR(IF(OR($B3055="",$B3055="(blank)"),"",VLOOKUP($B3055,'Email Marketing Raw Data'!$C:$O,7,0)),"")</f>
        <v/>
      </c>
      <c r="P3055" s="55" t="str">
        <f>IFERROR(IF(OR($B3055="",$B3055="(blank)"),"",VLOOKUP($B3055,'Email Marketing Raw Data'!$C:$O,8,0)),"")</f>
        <v/>
      </c>
      <c r="Q3055" s="62" t="str">
        <f>IFERROR(IF(OR($B3055="",$B3055="(blank)"),"",VLOOKUP($B3055,'Email Marketing Raw Data'!$C:$O,9,0)),"")</f>
        <v/>
      </c>
    </row>
    <row r="3056" spans="4:17" ht="12.75" customHeight="1" x14ac:dyDescent="0.2">
      <c r="D3056" s="58" t="str">
        <f>IFERROR(IF(F3056&lt;&gt;"pending","",IF(OR($B3056="",$B3056="(blank)"),"",VLOOKUP($B3056,'Email Marketing Raw Data'!$C:$O,10,0))),"")</f>
        <v/>
      </c>
      <c r="E3056" s="59" t="str">
        <f>IFERROR(IF(F3056&lt;&gt;"pending","",IF(OR($B3056="",$B3056="(blank)"),"",VLOOKUP($B3056,'Email Marketing Raw Data'!$C:$O,11,0))),"")</f>
        <v/>
      </c>
      <c r="F3056" s="54" t="str">
        <f>IFERROR(IF(OR($B3056="",$B3056="(blank)"),"",VLOOKUP($B3056,'Email Marketing Raw Data'!$C:$O,13,0)),"")</f>
        <v/>
      </c>
      <c r="G3056" s="55" t="str">
        <f>IFERROR(IF(OR($B3056="",$B3056="(blank)"),"",VLOOKUP($B3056,'Email Marketing Raw Data'!$C:$O,4,0)),"")</f>
        <v/>
      </c>
      <c r="H3056" s="55" t="str">
        <f>IFERROR(IF(OR($B3056="",$B3056="(blank)"),"",VLOOKUP($B3056,'Email Marketing Raw Data'!$C:$O,5,0)),"")</f>
        <v/>
      </c>
      <c r="I3056" s="55" t="str">
        <f>IFERROR(IF($G3056="","",VLOOKUP('Dashboard And Emails Automate'!$G3056,Database!$H:$N,3,0)),"")</f>
        <v/>
      </c>
      <c r="J3056" s="55" t="str">
        <f>IFERROR(IF($G3056="","",VLOOKUP('Dashboard And Emails Automate'!$G3056,Database!$H:$N,4,0)),"")</f>
        <v/>
      </c>
      <c r="K3056" s="55" t="str">
        <f>IFERROR(IF($G3056="","",VLOOKUP('Dashboard And Emails Automate'!$G3056,Database!$H:$N,5,0)),"")</f>
        <v/>
      </c>
      <c r="L3056" s="55" t="str">
        <f>IFERROR(IF($G3056="","",VLOOKUP('Dashboard And Emails Automate'!$G3056,Database!$H:$N,6,0)),"")</f>
        <v/>
      </c>
      <c r="M3056" s="55" t="str">
        <f>IFERROR(IF($G3056="","",VLOOKUP('Dashboard And Emails Automate'!$G3056,Database!$H:$N,7,0)),"")</f>
        <v/>
      </c>
      <c r="N3056" s="55" t="str">
        <f>IFERROR(IF(OR($B3056="",$B3056="(blank)"),"",VLOOKUP($B3056,'Email Marketing Raw Data'!$C:$O,6,0)),"")</f>
        <v/>
      </c>
      <c r="O3056" s="55" t="str">
        <f>IFERROR(IF(OR($B3056="",$B3056="(blank)"),"",VLOOKUP($B3056,'Email Marketing Raw Data'!$C:$O,7,0)),"")</f>
        <v/>
      </c>
      <c r="P3056" s="55" t="str">
        <f>IFERROR(IF(OR($B3056="",$B3056="(blank)"),"",VLOOKUP($B3056,'Email Marketing Raw Data'!$C:$O,8,0)),"")</f>
        <v/>
      </c>
      <c r="Q3056" s="62" t="str">
        <f>IFERROR(IF(OR($B3056="",$B3056="(blank)"),"",VLOOKUP($B3056,'Email Marketing Raw Data'!$C:$O,9,0)),"")</f>
        <v/>
      </c>
    </row>
    <row r="3057" spans="4:17" ht="12.75" customHeight="1" x14ac:dyDescent="0.2">
      <c r="D3057" s="58" t="str">
        <f>IFERROR(IF(F3057&lt;&gt;"pending","",IF(OR($B3057="",$B3057="(blank)"),"",VLOOKUP($B3057,'Email Marketing Raw Data'!$C:$O,10,0))),"")</f>
        <v/>
      </c>
      <c r="E3057" s="59" t="str">
        <f>IFERROR(IF(F3057&lt;&gt;"pending","",IF(OR($B3057="",$B3057="(blank)"),"",VLOOKUP($B3057,'Email Marketing Raw Data'!$C:$O,11,0))),"")</f>
        <v/>
      </c>
      <c r="F3057" s="54" t="str">
        <f>IFERROR(IF(OR($B3057="",$B3057="(blank)"),"",VLOOKUP($B3057,'Email Marketing Raw Data'!$C:$O,13,0)),"")</f>
        <v/>
      </c>
      <c r="G3057" s="55" t="str">
        <f>IFERROR(IF(OR($B3057="",$B3057="(blank)"),"",VLOOKUP($B3057,'Email Marketing Raw Data'!$C:$O,4,0)),"")</f>
        <v/>
      </c>
      <c r="H3057" s="55" t="str">
        <f>IFERROR(IF(OR($B3057="",$B3057="(blank)"),"",VLOOKUP($B3057,'Email Marketing Raw Data'!$C:$O,5,0)),"")</f>
        <v/>
      </c>
      <c r="I3057" s="55" t="str">
        <f>IFERROR(IF($G3057="","",VLOOKUP('Dashboard And Emails Automate'!$G3057,Database!$H:$N,3,0)),"")</f>
        <v/>
      </c>
      <c r="J3057" s="55" t="str">
        <f>IFERROR(IF($G3057="","",VLOOKUP('Dashboard And Emails Automate'!$G3057,Database!$H:$N,4,0)),"")</f>
        <v/>
      </c>
      <c r="K3057" s="55" t="str">
        <f>IFERROR(IF($G3057="","",VLOOKUP('Dashboard And Emails Automate'!$G3057,Database!$H:$N,5,0)),"")</f>
        <v/>
      </c>
      <c r="L3057" s="55" t="str">
        <f>IFERROR(IF($G3057="","",VLOOKUP('Dashboard And Emails Automate'!$G3057,Database!$H:$N,6,0)),"")</f>
        <v/>
      </c>
      <c r="M3057" s="55" t="str">
        <f>IFERROR(IF($G3057="","",VLOOKUP('Dashboard And Emails Automate'!$G3057,Database!$H:$N,7,0)),"")</f>
        <v/>
      </c>
      <c r="N3057" s="55" t="str">
        <f>IFERROR(IF(OR($B3057="",$B3057="(blank)"),"",VLOOKUP($B3057,'Email Marketing Raw Data'!$C:$O,6,0)),"")</f>
        <v/>
      </c>
      <c r="O3057" s="55" t="str">
        <f>IFERROR(IF(OR($B3057="",$B3057="(blank)"),"",VLOOKUP($B3057,'Email Marketing Raw Data'!$C:$O,7,0)),"")</f>
        <v/>
      </c>
      <c r="P3057" s="55" t="str">
        <f>IFERROR(IF(OR($B3057="",$B3057="(blank)"),"",VLOOKUP($B3057,'Email Marketing Raw Data'!$C:$O,8,0)),"")</f>
        <v/>
      </c>
      <c r="Q3057" s="62" t="str">
        <f>IFERROR(IF(OR($B3057="",$B3057="(blank)"),"",VLOOKUP($B3057,'Email Marketing Raw Data'!$C:$O,9,0)),"")</f>
        <v/>
      </c>
    </row>
    <row r="3058" spans="4:17" ht="12.75" customHeight="1" x14ac:dyDescent="0.2">
      <c r="D3058" s="58" t="str">
        <f>IFERROR(IF(F3058&lt;&gt;"pending","",IF(OR($B3058="",$B3058="(blank)"),"",VLOOKUP($B3058,'Email Marketing Raw Data'!$C:$O,10,0))),"")</f>
        <v/>
      </c>
      <c r="E3058" s="59" t="str">
        <f>IFERROR(IF(F3058&lt;&gt;"pending","",IF(OR($B3058="",$B3058="(blank)"),"",VLOOKUP($B3058,'Email Marketing Raw Data'!$C:$O,11,0))),"")</f>
        <v/>
      </c>
      <c r="F3058" s="54" t="str">
        <f>IFERROR(IF(OR($B3058="",$B3058="(blank)"),"",VLOOKUP($B3058,'Email Marketing Raw Data'!$C:$O,13,0)),"")</f>
        <v/>
      </c>
      <c r="G3058" s="55" t="str">
        <f>IFERROR(IF(OR($B3058="",$B3058="(blank)"),"",VLOOKUP($B3058,'Email Marketing Raw Data'!$C:$O,4,0)),"")</f>
        <v/>
      </c>
      <c r="H3058" s="55" t="str">
        <f>IFERROR(IF(OR($B3058="",$B3058="(blank)"),"",VLOOKUP($B3058,'Email Marketing Raw Data'!$C:$O,5,0)),"")</f>
        <v/>
      </c>
      <c r="I3058" s="55" t="str">
        <f>IFERROR(IF($G3058="","",VLOOKUP('Dashboard And Emails Automate'!$G3058,Database!$H:$N,3,0)),"")</f>
        <v/>
      </c>
      <c r="J3058" s="55" t="str">
        <f>IFERROR(IF($G3058="","",VLOOKUP('Dashboard And Emails Automate'!$G3058,Database!$H:$N,4,0)),"")</f>
        <v/>
      </c>
      <c r="K3058" s="55" t="str">
        <f>IFERROR(IF($G3058="","",VLOOKUP('Dashboard And Emails Automate'!$G3058,Database!$H:$N,5,0)),"")</f>
        <v/>
      </c>
      <c r="L3058" s="55" t="str">
        <f>IFERROR(IF($G3058="","",VLOOKUP('Dashboard And Emails Automate'!$G3058,Database!$H:$N,6,0)),"")</f>
        <v/>
      </c>
      <c r="M3058" s="55" t="str">
        <f>IFERROR(IF($G3058="","",VLOOKUP('Dashboard And Emails Automate'!$G3058,Database!$H:$N,7,0)),"")</f>
        <v/>
      </c>
      <c r="N3058" s="55" t="str">
        <f>IFERROR(IF(OR($B3058="",$B3058="(blank)"),"",VLOOKUP($B3058,'Email Marketing Raw Data'!$C:$O,6,0)),"")</f>
        <v/>
      </c>
      <c r="O3058" s="55" t="str">
        <f>IFERROR(IF(OR($B3058="",$B3058="(blank)"),"",VLOOKUP($B3058,'Email Marketing Raw Data'!$C:$O,7,0)),"")</f>
        <v/>
      </c>
      <c r="P3058" s="55" t="str">
        <f>IFERROR(IF(OR($B3058="",$B3058="(blank)"),"",VLOOKUP($B3058,'Email Marketing Raw Data'!$C:$O,8,0)),"")</f>
        <v/>
      </c>
      <c r="Q3058" s="62" t="str">
        <f>IFERROR(IF(OR($B3058="",$B3058="(blank)"),"",VLOOKUP($B3058,'Email Marketing Raw Data'!$C:$O,9,0)),"")</f>
        <v/>
      </c>
    </row>
    <row r="3059" spans="4:17" ht="12.75" customHeight="1" x14ac:dyDescent="0.2">
      <c r="D3059" s="58" t="str">
        <f>IFERROR(IF(F3059&lt;&gt;"pending","",IF(OR($B3059="",$B3059="(blank)"),"",VLOOKUP($B3059,'Email Marketing Raw Data'!$C:$O,10,0))),"")</f>
        <v/>
      </c>
      <c r="E3059" s="59" t="str">
        <f>IFERROR(IF(F3059&lt;&gt;"pending","",IF(OR($B3059="",$B3059="(blank)"),"",VLOOKUP($B3059,'Email Marketing Raw Data'!$C:$O,11,0))),"")</f>
        <v/>
      </c>
      <c r="F3059" s="54" t="str">
        <f>IFERROR(IF(OR($B3059="",$B3059="(blank)"),"",VLOOKUP($B3059,'Email Marketing Raw Data'!$C:$O,13,0)),"")</f>
        <v/>
      </c>
      <c r="G3059" s="55" t="str">
        <f>IFERROR(IF(OR($B3059="",$B3059="(blank)"),"",VLOOKUP($B3059,'Email Marketing Raw Data'!$C:$O,4,0)),"")</f>
        <v/>
      </c>
      <c r="H3059" s="55" t="str">
        <f>IFERROR(IF(OR($B3059="",$B3059="(blank)"),"",VLOOKUP($B3059,'Email Marketing Raw Data'!$C:$O,5,0)),"")</f>
        <v/>
      </c>
      <c r="I3059" s="55" t="str">
        <f>IFERROR(IF($G3059="","",VLOOKUP('Dashboard And Emails Automate'!$G3059,Database!$H:$N,3,0)),"")</f>
        <v/>
      </c>
      <c r="J3059" s="55" t="str">
        <f>IFERROR(IF($G3059="","",VLOOKUP('Dashboard And Emails Automate'!$G3059,Database!$H:$N,4,0)),"")</f>
        <v/>
      </c>
      <c r="K3059" s="55" t="str">
        <f>IFERROR(IF($G3059="","",VLOOKUP('Dashboard And Emails Automate'!$G3059,Database!$H:$N,5,0)),"")</f>
        <v/>
      </c>
      <c r="L3059" s="55" t="str">
        <f>IFERROR(IF($G3059="","",VLOOKUP('Dashboard And Emails Automate'!$G3059,Database!$H:$N,6,0)),"")</f>
        <v/>
      </c>
      <c r="M3059" s="55" t="str">
        <f>IFERROR(IF($G3059="","",VLOOKUP('Dashboard And Emails Automate'!$G3059,Database!$H:$N,7,0)),"")</f>
        <v/>
      </c>
      <c r="N3059" s="55" t="str">
        <f>IFERROR(IF(OR($B3059="",$B3059="(blank)"),"",VLOOKUP($B3059,'Email Marketing Raw Data'!$C:$O,6,0)),"")</f>
        <v/>
      </c>
      <c r="O3059" s="55" t="str">
        <f>IFERROR(IF(OR($B3059="",$B3059="(blank)"),"",VLOOKUP($B3059,'Email Marketing Raw Data'!$C:$O,7,0)),"")</f>
        <v/>
      </c>
      <c r="P3059" s="55" t="str">
        <f>IFERROR(IF(OR($B3059="",$B3059="(blank)"),"",VLOOKUP($B3059,'Email Marketing Raw Data'!$C:$O,8,0)),"")</f>
        <v/>
      </c>
      <c r="Q3059" s="62" t="str">
        <f>IFERROR(IF(OR($B3059="",$B3059="(blank)"),"",VLOOKUP($B3059,'Email Marketing Raw Data'!$C:$O,9,0)),"")</f>
        <v/>
      </c>
    </row>
    <row r="3060" spans="4:17" ht="12.75" customHeight="1" x14ac:dyDescent="0.2">
      <c r="D3060" s="58" t="str">
        <f>IFERROR(IF(F3060&lt;&gt;"pending","",IF(OR($B3060="",$B3060="(blank)"),"",VLOOKUP($B3060,'Email Marketing Raw Data'!$C:$O,10,0))),"")</f>
        <v/>
      </c>
      <c r="E3060" s="59" t="str">
        <f>IFERROR(IF(F3060&lt;&gt;"pending","",IF(OR($B3060="",$B3060="(blank)"),"",VLOOKUP($B3060,'Email Marketing Raw Data'!$C:$O,11,0))),"")</f>
        <v/>
      </c>
      <c r="F3060" s="54" t="str">
        <f>IFERROR(IF(OR($B3060="",$B3060="(blank)"),"",VLOOKUP($B3060,'Email Marketing Raw Data'!$C:$O,13,0)),"")</f>
        <v/>
      </c>
      <c r="G3060" s="55" t="str">
        <f>IFERROR(IF(OR($B3060="",$B3060="(blank)"),"",VLOOKUP($B3060,'Email Marketing Raw Data'!$C:$O,4,0)),"")</f>
        <v/>
      </c>
      <c r="H3060" s="55" t="str">
        <f>IFERROR(IF(OR($B3060="",$B3060="(blank)"),"",VLOOKUP($B3060,'Email Marketing Raw Data'!$C:$O,5,0)),"")</f>
        <v/>
      </c>
      <c r="I3060" s="55" t="str">
        <f>IFERROR(IF($G3060="","",VLOOKUP('Dashboard And Emails Automate'!$G3060,Database!$H:$N,3,0)),"")</f>
        <v/>
      </c>
      <c r="J3060" s="55" t="str">
        <f>IFERROR(IF($G3060="","",VLOOKUP('Dashboard And Emails Automate'!$G3060,Database!$H:$N,4,0)),"")</f>
        <v/>
      </c>
      <c r="K3060" s="55" t="str">
        <f>IFERROR(IF($G3060="","",VLOOKUP('Dashboard And Emails Automate'!$G3060,Database!$H:$N,5,0)),"")</f>
        <v/>
      </c>
      <c r="L3060" s="55" t="str">
        <f>IFERROR(IF($G3060="","",VLOOKUP('Dashboard And Emails Automate'!$G3060,Database!$H:$N,6,0)),"")</f>
        <v/>
      </c>
      <c r="M3060" s="55" t="str">
        <f>IFERROR(IF($G3060="","",VLOOKUP('Dashboard And Emails Automate'!$G3060,Database!$H:$N,7,0)),"")</f>
        <v/>
      </c>
      <c r="N3060" s="55" t="str">
        <f>IFERROR(IF(OR($B3060="",$B3060="(blank)"),"",VLOOKUP($B3060,'Email Marketing Raw Data'!$C:$O,6,0)),"")</f>
        <v/>
      </c>
      <c r="O3060" s="55" t="str">
        <f>IFERROR(IF(OR($B3060="",$B3060="(blank)"),"",VLOOKUP($B3060,'Email Marketing Raw Data'!$C:$O,7,0)),"")</f>
        <v/>
      </c>
      <c r="P3060" s="55" t="str">
        <f>IFERROR(IF(OR($B3060="",$B3060="(blank)"),"",VLOOKUP($B3060,'Email Marketing Raw Data'!$C:$O,8,0)),"")</f>
        <v/>
      </c>
      <c r="Q3060" s="62" t="str">
        <f>IFERROR(IF(OR($B3060="",$B3060="(blank)"),"",VLOOKUP($B3060,'Email Marketing Raw Data'!$C:$O,9,0)),"")</f>
        <v/>
      </c>
    </row>
    <row r="3061" spans="4:17" ht="12.75" customHeight="1" x14ac:dyDescent="0.2">
      <c r="D3061" s="58" t="str">
        <f>IFERROR(IF(F3061&lt;&gt;"pending","",IF(OR($B3061="",$B3061="(blank)"),"",VLOOKUP($B3061,'Email Marketing Raw Data'!$C:$O,10,0))),"")</f>
        <v/>
      </c>
      <c r="E3061" s="59" t="str">
        <f>IFERROR(IF(F3061&lt;&gt;"pending","",IF(OR($B3061="",$B3061="(blank)"),"",VLOOKUP($B3061,'Email Marketing Raw Data'!$C:$O,11,0))),"")</f>
        <v/>
      </c>
      <c r="F3061" s="54" t="str">
        <f>IFERROR(IF(OR($B3061="",$B3061="(blank)"),"",VLOOKUP($B3061,'Email Marketing Raw Data'!$C:$O,13,0)),"")</f>
        <v/>
      </c>
      <c r="G3061" s="55" t="str">
        <f>IFERROR(IF(OR($B3061="",$B3061="(blank)"),"",VLOOKUP($B3061,'Email Marketing Raw Data'!$C:$O,4,0)),"")</f>
        <v/>
      </c>
      <c r="H3061" s="55" t="str">
        <f>IFERROR(IF(OR($B3061="",$B3061="(blank)"),"",VLOOKUP($B3061,'Email Marketing Raw Data'!$C:$O,5,0)),"")</f>
        <v/>
      </c>
      <c r="I3061" s="55" t="str">
        <f>IFERROR(IF($G3061="","",VLOOKUP('Dashboard And Emails Automate'!$G3061,Database!$H:$N,3,0)),"")</f>
        <v/>
      </c>
      <c r="J3061" s="55" t="str">
        <f>IFERROR(IF($G3061="","",VLOOKUP('Dashboard And Emails Automate'!$G3061,Database!$H:$N,4,0)),"")</f>
        <v/>
      </c>
      <c r="K3061" s="55" t="str">
        <f>IFERROR(IF($G3061="","",VLOOKUP('Dashboard And Emails Automate'!$G3061,Database!$H:$N,5,0)),"")</f>
        <v/>
      </c>
      <c r="L3061" s="55" t="str">
        <f>IFERROR(IF($G3061="","",VLOOKUP('Dashboard And Emails Automate'!$G3061,Database!$H:$N,6,0)),"")</f>
        <v/>
      </c>
      <c r="M3061" s="55" t="str">
        <f>IFERROR(IF($G3061="","",VLOOKUP('Dashboard And Emails Automate'!$G3061,Database!$H:$N,7,0)),"")</f>
        <v/>
      </c>
      <c r="N3061" s="55" t="str">
        <f>IFERROR(IF(OR($B3061="",$B3061="(blank)"),"",VLOOKUP($B3061,'Email Marketing Raw Data'!$C:$O,6,0)),"")</f>
        <v/>
      </c>
      <c r="O3061" s="55" t="str">
        <f>IFERROR(IF(OR($B3061="",$B3061="(blank)"),"",VLOOKUP($B3061,'Email Marketing Raw Data'!$C:$O,7,0)),"")</f>
        <v/>
      </c>
      <c r="P3061" s="55" t="str">
        <f>IFERROR(IF(OR($B3061="",$B3061="(blank)"),"",VLOOKUP($B3061,'Email Marketing Raw Data'!$C:$O,8,0)),"")</f>
        <v/>
      </c>
      <c r="Q3061" s="62" t="str">
        <f>IFERROR(IF(OR($B3061="",$B3061="(blank)"),"",VLOOKUP($B3061,'Email Marketing Raw Data'!$C:$O,9,0)),"")</f>
        <v/>
      </c>
    </row>
    <row r="3062" spans="4:17" ht="12.75" customHeight="1" x14ac:dyDescent="0.2">
      <c r="D3062" s="58" t="str">
        <f>IFERROR(IF(F3062&lt;&gt;"pending","",IF(OR($B3062="",$B3062="(blank)"),"",VLOOKUP($B3062,'Email Marketing Raw Data'!$C:$O,10,0))),"")</f>
        <v/>
      </c>
      <c r="E3062" s="59" t="str">
        <f>IFERROR(IF(F3062&lt;&gt;"pending","",IF(OR($B3062="",$B3062="(blank)"),"",VLOOKUP($B3062,'Email Marketing Raw Data'!$C:$O,11,0))),"")</f>
        <v/>
      </c>
      <c r="F3062" s="54" t="str">
        <f>IFERROR(IF(OR($B3062="",$B3062="(blank)"),"",VLOOKUP($B3062,'Email Marketing Raw Data'!$C:$O,13,0)),"")</f>
        <v/>
      </c>
      <c r="G3062" s="55" t="str">
        <f>IFERROR(IF(OR($B3062="",$B3062="(blank)"),"",VLOOKUP($B3062,'Email Marketing Raw Data'!$C:$O,4,0)),"")</f>
        <v/>
      </c>
      <c r="H3062" s="55" t="str">
        <f>IFERROR(IF(OR($B3062="",$B3062="(blank)"),"",VLOOKUP($B3062,'Email Marketing Raw Data'!$C:$O,5,0)),"")</f>
        <v/>
      </c>
      <c r="I3062" s="55" t="str">
        <f>IFERROR(IF($G3062="","",VLOOKUP('Dashboard And Emails Automate'!$G3062,Database!$H:$N,3,0)),"")</f>
        <v/>
      </c>
      <c r="J3062" s="55" t="str">
        <f>IFERROR(IF($G3062="","",VLOOKUP('Dashboard And Emails Automate'!$G3062,Database!$H:$N,4,0)),"")</f>
        <v/>
      </c>
      <c r="K3062" s="55" t="str">
        <f>IFERROR(IF($G3062="","",VLOOKUP('Dashboard And Emails Automate'!$G3062,Database!$H:$N,5,0)),"")</f>
        <v/>
      </c>
      <c r="L3062" s="55" t="str">
        <f>IFERROR(IF($G3062="","",VLOOKUP('Dashboard And Emails Automate'!$G3062,Database!$H:$N,6,0)),"")</f>
        <v/>
      </c>
      <c r="M3062" s="55" t="str">
        <f>IFERROR(IF($G3062="","",VLOOKUP('Dashboard And Emails Automate'!$G3062,Database!$H:$N,7,0)),"")</f>
        <v/>
      </c>
      <c r="N3062" s="55" t="str">
        <f>IFERROR(IF(OR($B3062="",$B3062="(blank)"),"",VLOOKUP($B3062,'Email Marketing Raw Data'!$C:$O,6,0)),"")</f>
        <v/>
      </c>
      <c r="O3062" s="55" t="str">
        <f>IFERROR(IF(OR($B3062="",$B3062="(blank)"),"",VLOOKUP($B3062,'Email Marketing Raw Data'!$C:$O,7,0)),"")</f>
        <v/>
      </c>
      <c r="P3062" s="55" t="str">
        <f>IFERROR(IF(OR($B3062="",$B3062="(blank)"),"",VLOOKUP($B3062,'Email Marketing Raw Data'!$C:$O,8,0)),"")</f>
        <v/>
      </c>
      <c r="Q3062" s="62" t="str">
        <f>IFERROR(IF(OR($B3062="",$B3062="(blank)"),"",VLOOKUP($B3062,'Email Marketing Raw Data'!$C:$O,9,0)),"")</f>
        <v/>
      </c>
    </row>
    <row r="3063" spans="4:17" ht="12.75" customHeight="1" x14ac:dyDescent="0.2">
      <c r="D3063" s="58" t="str">
        <f>IFERROR(IF(F3063&lt;&gt;"pending","",IF(OR($B3063="",$B3063="(blank)"),"",VLOOKUP($B3063,'Email Marketing Raw Data'!$C:$O,10,0))),"")</f>
        <v/>
      </c>
      <c r="E3063" s="59" t="str">
        <f>IFERROR(IF(F3063&lt;&gt;"pending","",IF(OR($B3063="",$B3063="(blank)"),"",VLOOKUP($B3063,'Email Marketing Raw Data'!$C:$O,11,0))),"")</f>
        <v/>
      </c>
      <c r="F3063" s="54" t="str">
        <f>IFERROR(IF(OR($B3063="",$B3063="(blank)"),"",VLOOKUP($B3063,'Email Marketing Raw Data'!$C:$O,13,0)),"")</f>
        <v/>
      </c>
      <c r="G3063" s="55" t="str">
        <f>IFERROR(IF(OR($B3063="",$B3063="(blank)"),"",VLOOKUP($B3063,'Email Marketing Raw Data'!$C:$O,4,0)),"")</f>
        <v/>
      </c>
      <c r="H3063" s="55" t="str">
        <f>IFERROR(IF(OR($B3063="",$B3063="(blank)"),"",VLOOKUP($B3063,'Email Marketing Raw Data'!$C:$O,5,0)),"")</f>
        <v/>
      </c>
      <c r="I3063" s="55" t="str">
        <f>IFERROR(IF($G3063="","",VLOOKUP('Dashboard And Emails Automate'!$G3063,Database!$H:$N,3,0)),"")</f>
        <v/>
      </c>
      <c r="J3063" s="55" t="str">
        <f>IFERROR(IF($G3063="","",VLOOKUP('Dashboard And Emails Automate'!$G3063,Database!$H:$N,4,0)),"")</f>
        <v/>
      </c>
      <c r="K3063" s="55" t="str">
        <f>IFERROR(IF($G3063="","",VLOOKUP('Dashboard And Emails Automate'!$G3063,Database!$H:$N,5,0)),"")</f>
        <v/>
      </c>
      <c r="L3063" s="55" t="str">
        <f>IFERROR(IF($G3063="","",VLOOKUP('Dashboard And Emails Automate'!$G3063,Database!$H:$N,6,0)),"")</f>
        <v/>
      </c>
      <c r="M3063" s="55" t="str">
        <f>IFERROR(IF($G3063="","",VLOOKUP('Dashboard And Emails Automate'!$G3063,Database!$H:$N,7,0)),"")</f>
        <v/>
      </c>
      <c r="N3063" s="55" t="str">
        <f>IFERROR(IF(OR($B3063="",$B3063="(blank)"),"",VLOOKUP($B3063,'Email Marketing Raw Data'!$C:$O,6,0)),"")</f>
        <v/>
      </c>
      <c r="O3063" s="55" t="str">
        <f>IFERROR(IF(OR($B3063="",$B3063="(blank)"),"",VLOOKUP($B3063,'Email Marketing Raw Data'!$C:$O,7,0)),"")</f>
        <v/>
      </c>
      <c r="P3063" s="55" t="str">
        <f>IFERROR(IF(OR($B3063="",$B3063="(blank)"),"",VLOOKUP($B3063,'Email Marketing Raw Data'!$C:$O,8,0)),"")</f>
        <v/>
      </c>
      <c r="Q3063" s="62" t="str">
        <f>IFERROR(IF(OR($B3063="",$B3063="(blank)"),"",VLOOKUP($B3063,'Email Marketing Raw Data'!$C:$O,9,0)),"")</f>
        <v/>
      </c>
    </row>
    <row r="3064" spans="4:17" ht="12.75" customHeight="1" x14ac:dyDescent="0.2">
      <c r="D3064" s="58" t="str">
        <f>IFERROR(IF(F3064&lt;&gt;"pending","",IF(OR($B3064="",$B3064="(blank)"),"",VLOOKUP($B3064,'Email Marketing Raw Data'!$C:$O,10,0))),"")</f>
        <v/>
      </c>
      <c r="E3064" s="59" t="str">
        <f>IFERROR(IF(F3064&lt;&gt;"pending","",IF(OR($B3064="",$B3064="(blank)"),"",VLOOKUP($B3064,'Email Marketing Raw Data'!$C:$O,11,0))),"")</f>
        <v/>
      </c>
      <c r="F3064" s="54" t="str">
        <f>IFERROR(IF(OR($B3064="",$B3064="(blank)"),"",VLOOKUP($B3064,'Email Marketing Raw Data'!$C:$O,13,0)),"")</f>
        <v/>
      </c>
      <c r="G3064" s="55" t="str">
        <f>IFERROR(IF(OR($B3064="",$B3064="(blank)"),"",VLOOKUP($B3064,'Email Marketing Raw Data'!$C:$O,4,0)),"")</f>
        <v/>
      </c>
      <c r="H3064" s="55" t="str">
        <f>IFERROR(IF(OR($B3064="",$B3064="(blank)"),"",VLOOKUP($B3064,'Email Marketing Raw Data'!$C:$O,5,0)),"")</f>
        <v/>
      </c>
      <c r="I3064" s="55" t="str">
        <f>IFERROR(IF($G3064="","",VLOOKUP('Dashboard And Emails Automate'!$G3064,Database!$H:$N,3,0)),"")</f>
        <v/>
      </c>
      <c r="J3064" s="55" t="str">
        <f>IFERROR(IF($G3064="","",VLOOKUP('Dashboard And Emails Automate'!$G3064,Database!$H:$N,4,0)),"")</f>
        <v/>
      </c>
      <c r="K3064" s="55" t="str">
        <f>IFERROR(IF($G3064="","",VLOOKUP('Dashboard And Emails Automate'!$G3064,Database!$H:$N,5,0)),"")</f>
        <v/>
      </c>
      <c r="L3064" s="55" t="str">
        <f>IFERROR(IF($G3064="","",VLOOKUP('Dashboard And Emails Automate'!$G3064,Database!$H:$N,6,0)),"")</f>
        <v/>
      </c>
      <c r="M3064" s="55" t="str">
        <f>IFERROR(IF($G3064="","",VLOOKUP('Dashboard And Emails Automate'!$G3064,Database!$H:$N,7,0)),"")</f>
        <v/>
      </c>
      <c r="N3064" s="55" t="str">
        <f>IFERROR(IF(OR($B3064="",$B3064="(blank)"),"",VLOOKUP($B3064,'Email Marketing Raw Data'!$C:$O,6,0)),"")</f>
        <v/>
      </c>
      <c r="O3064" s="55" t="str">
        <f>IFERROR(IF(OR($B3064="",$B3064="(blank)"),"",VLOOKUP($B3064,'Email Marketing Raw Data'!$C:$O,7,0)),"")</f>
        <v/>
      </c>
      <c r="P3064" s="55" t="str">
        <f>IFERROR(IF(OR($B3064="",$B3064="(blank)"),"",VLOOKUP($B3064,'Email Marketing Raw Data'!$C:$O,8,0)),"")</f>
        <v/>
      </c>
      <c r="Q3064" s="62" t="str">
        <f>IFERROR(IF(OR($B3064="",$B3064="(blank)"),"",VLOOKUP($B3064,'Email Marketing Raw Data'!$C:$O,9,0)),"")</f>
        <v/>
      </c>
    </row>
    <row r="3065" spans="4:17" ht="12.75" customHeight="1" x14ac:dyDescent="0.2">
      <c r="D3065" s="58" t="str">
        <f>IFERROR(IF(F3065&lt;&gt;"pending","",IF(OR($B3065="",$B3065="(blank)"),"",VLOOKUP($B3065,'Email Marketing Raw Data'!$C:$O,10,0))),"")</f>
        <v/>
      </c>
      <c r="E3065" s="59" t="str">
        <f>IFERROR(IF(F3065&lt;&gt;"pending","",IF(OR($B3065="",$B3065="(blank)"),"",VLOOKUP($B3065,'Email Marketing Raw Data'!$C:$O,11,0))),"")</f>
        <v/>
      </c>
      <c r="F3065" s="54" t="str">
        <f>IFERROR(IF(OR($B3065="",$B3065="(blank)"),"",VLOOKUP($B3065,'Email Marketing Raw Data'!$C:$O,13,0)),"")</f>
        <v/>
      </c>
      <c r="G3065" s="55" t="str">
        <f>IFERROR(IF(OR($B3065="",$B3065="(blank)"),"",VLOOKUP($B3065,'Email Marketing Raw Data'!$C:$O,4,0)),"")</f>
        <v/>
      </c>
      <c r="H3065" s="55" t="str">
        <f>IFERROR(IF(OR($B3065="",$B3065="(blank)"),"",VLOOKUP($B3065,'Email Marketing Raw Data'!$C:$O,5,0)),"")</f>
        <v/>
      </c>
      <c r="I3065" s="55" t="str">
        <f>IFERROR(IF($G3065="","",VLOOKUP('Dashboard And Emails Automate'!$G3065,Database!$H:$N,3,0)),"")</f>
        <v/>
      </c>
      <c r="J3065" s="55" t="str">
        <f>IFERROR(IF($G3065="","",VLOOKUP('Dashboard And Emails Automate'!$G3065,Database!$H:$N,4,0)),"")</f>
        <v/>
      </c>
      <c r="K3065" s="55" t="str">
        <f>IFERROR(IF($G3065="","",VLOOKUP('Dashboard And Emails Automate'!$G3065,Database!$H:$N,5,0)),"")</f>
        <v/>
      </c>
      <c r="L3065" s="55" t="str">
        <f>IFERROR(IF($G3065="","",VLOOKUP('Dashboard And Emails Automate'!$G3065,Database!$H:$N,6,0)),"")</f>
        <v/>
      </c>
      <c r="M3065" s="55" t="str">
        <f>IFERROR(IF($G3065="","",VLOOKUP('Dashboard And Emails Automate'!$G3065,Database!$H:$N,7,0)),"")</f>
        <v/>
      </c>
      <c r="N3065" s="55" t="str">
        <f>IFERROR(IF(OR($B3065="",$B3065="(blank)"),"",VLOOKUP($B3065,'Email Marketing Raw Data'!$C:$O,6,0)),"")</f>
        <v/>
      </c>
      <c r="O3065" s="55" t="str">
        <f>IFERROR(IF(OR($B3065="",$B3065="(blank)"),"",VLOOKUP($B3065,'Email Marketing Raw Data'!$C:$O,7,0)),"")</f>
        <v/>
      </c>
      <c r="P3065" s="55" t="str">
        <f>IFERROR(IF(OR($B3065="",$B3065="(blank)"),"",VLOOKUP($B3065,'Email Marketing Raw Data'!$C:$O,8,0)),"")</f>
        <v/>
      </c>
      <c r="Q3065" s="62" t="str">
        <f>IFERROR(IF(OR($B3065="",$B3065="(blank)"),"",VLOOKUP($B3065,'Email Marketing Raw Data'!$C:$O,9,0)),"")</f>
        <v/>
      </c>
    </row>
    <row r="3066" spans="4:17" ht="12.75" customHeight="1" x14ac:dyDescent="0.2">
      <c r="D3066" s="58" t="str">
        <f>IFERROR(IF(F3066&lt;&gt;"pending","",IF(OR($B3066="",$B3066="(blank)"),"",VLOOKUP($B3066,'Email Marketing Raw Data'!$C:$O,10,0))),"")</f>
        <v/>
      </c>
      <c r="E3066" s="59" t="str">
        <f>IFERROR(IF(F3066&lt;&gt;"pending","",IF(OR($B3066="",$B3066="(blank)"),"",VLOOKUP($B3066,'Email Marketing Raw Data'!$C:$O,11,0))),"")</f>
        <v/>
      </c>
      <c r="F3066" s="54" t="str">
        <f>IFERROR(IF(OR($B3066="",$B3066="(blank)"),"",VLOOKUP($B3066,'Email Marketing Raw Data'!$C:$O,13,0)),"")</f>
        <v/>
      </c>
      <c r="G3066" s="55" t="str">
        <f>IFERROR(IF(OR($B3066="",$B3066="(blank)"),"",VLOOKUP($B3066,'Email Marketing Raw Data'!$C:$O,4,0)),"")</f>
        <v/>
      </c>
      <c r="H3066" s="55" t="str">
        <f>IFERROR(IF(OR($B3066="",$B3066="(blank)"),"",VLOOKUP($B3066,'Email Marketing Raw Data'!$C:$O,5,0)),"")</f>
        <v/>
      </c>
      <c r="I3066" s="55" t="str">
        <f>IFERROR(IF($G3066="","",VLOOKUP('Dashboard And Emails Automate'!$G3066,Database!$H:$N,3,0)),"")</f>
        <v/>
      </c>
      <c r="J3066" s="55" t="str">
        <f>IFERROR(IF($G3066="","",VLOOKUP('Dashboard And Emails Automate'!$G3066,Database!$H:$N,4,0)),"")</f>
        <v/>
      </c>
      <c r="K3066" s="55" t="str">
        <f>IFERROR(IF($G3066="","",VLOOKUP('Dashboard And Emails Automate'!$G3066,Database!$H:$N,5,0)),"")</f>
        <v/>
      </c>
      <c r="L3066" s="55" t="str">
        <f>IFERROR(IF($G3066="","",VLOOKUP('Dashboard And Emails Automate'!$G3066,Database!$H:$N,6,0)),"")</f>
        <v/>
      </c>
      <c r="M3066" s="55" t="str">
        <f>IFERROR(IF($G3066="","",VLOOKUP('Dashboard And Emails Automate'!$G3066,Database!$H:$N,7,0)),"")</f>
        <v/>
      </c>
      <c r="N3066" s="55" t="str">
        <f>IFERROR(IF(OR($B3066="",$B3066="(blank)"),"",VLOOKUP($B3066,'Email Marketing Raw Data'!$C:$O,6,0)),"")</f>
        <v/>
      </c>
      <c r="O3066" s="55" t="str">
        <f>IFERROR(IF(OR($B3066="",$B3066="(blank)"),"",VLOOKUP($B3066,'Email Marketing Raw Data'!$C:$O,7,0)),"")</f>
        <v/>
      </c>
      <c r="P3066" s="55" t="str">
        <f>IFERROR(IF(OR($B3066="",$B3066="(blank)"),"",VLOOKUP($B3066,'Email Marketing Raw Data'!$C:$O,8,0)),"")</f>
        <v/>
      </c>
      <c r="Q3066" s="62" t="str">
        <f>IFERROR(IF(OR($B3066="",$B3066="(blank)"),"",VLOOKUP($B3066,'Email Marketing Raw Data'!$C:$O,9,0)),"")</f>
        <v/>
      </c>
    </row>
    <row r="3067" spans="4:17" ht="12.75" customHeight="1" x14ac:dyDescent="0.2">
      <c r="D3067" s="58" t="str">
        <f>IFERROR(IF(F3067&lt;&gt;"pending","",IF(OR($B3067="",$B3067="(blank)"),"",VLOOKUP($B3067,'Email Marketing Raw Data'!$C:$O,10,0))),"")</f>
        <v/>
      </c>
      <c r="E3067" s="59" t="str">
        <f>IFERROR(IF(F3067&lt;&gt;"pending","",IF(OR($B3067="",$B3067="(blank)"),"",VLOOKUP($B3067,'Email Marketing Raw Data'!$C:$O,11,0))),"")</f>
        <v/>
      </c>
      <c r="F3067" s="54" t="str">
        <f>IFERROR(IF(OR($B3067="",$B3067="(blank)"),"",VLOOKUP($B3067,'Email Marketing Raw Data'!$C:$O,13,0)),"")</f>
        <v/>
      </c>
      <c r="G3067" s="55" t="str">
        <f>IFERROR(IF(OR($B3067="",$B3067="(blank)"),"",VLOOKUP($B3067,'Email Marketing Raw Data'!$C:$O,4,0)),"")</f>
        <v/>
      </c>
      <c r="H3067" s="55" t="str">
        <f>IFERROR(IF(OR($B3067="",$B3067="(blank)"),"",VLOOKUP($B3067,'Email Marketing Raw Data'!$C:$O,5,0)),"")</f>
        <v/>
      </c>
      <c r="I3067" s="55" t="str">
        <f>IFERROR(IF($G3067="","",VLOOKUP('Dashboard And Emails Automate'!$G3067,Database!$H:$N,3,0)),"")</f>
        <v/>
      </c>
      <c r="J3067" s="55" t="str">
        <f>IFERROR(IF($G3067="","",VLOOKUP('Dashboard And Emails Automate'!$G3067,Database!$H:$N,4,0)),"")</f>
        <v/>
      </c>
      <c r="K3067" s="55" t="str">
        <f>IFERROR(IF($G3067="","",VLOOKUP('Dashboard And Emails Automate'!$G3067,Database!$H:$N,5,0)),"")</f>
        <v/>
      </c>
      <c r="L3067" s="55" t="str">
        <f>IFERROR(IF($G3067="","",VLOOKUP('Dashboard And Emails Automate'!$G3067,Database!$H:$N,6,0)),"")</f>
        <v/>
      </c>
      <c r="M3067" s="55" t="str">
        <f>IFERROR(IF($G3067="","",VLOOKUP('Dashboard And Emails Automate'!$G3067,Database!$H:$N,7,0)),"")</f>
        <v/>
      </c>
      <c r="N3067" s="55" t="str">
        <f>IFERROR(IF(OR($B3067="",$B3067="(blank)"),"",VLOOKUP($B3067,'Email Marketing Raw Data'!$C:$O,6,0)),"")</f>
        <v/>
      </c>
      <c r="O3067" s="55" t="str">
        <f>IFERROR(IF(OR($B3067="",$B3067="(blank)"),"",VLOOKUP($B3067,'Email Marketing Raw Data'!$C:$O,7,0)),"")</f>
        <v/>
      </c>
      <c r="P3067" s="55" t="str">
        <f>IFERROR(IF(OR($B3067="",$B3067="(blank)"),"",VLOOKUP($B3067,'Email Marketing Raw Data'!$C:$O,8,0)),"")</f>
        <v/>
      </c>
      <c r="Q3067" s="62" t="str">
        <f>IFERROR(IF(OR($B3067="",$B3067="(blank)"),"",VLOOKUP($B3067,'Email Marketing Raw Data'!$C:$O,9,0)),"")</f>
        <v/>
      </c>
    </row>
    <row r="3068" spans="4:17" ht="12.75" customHeight="1" x14ac:dyDescent="0.2">
      <c r="D3068" s="58" t="str">
        <f>IFERROR(IF(F3068&lt;&gt;"pending","",IF(OR($B3068="",$B3068="(blank)"),"",VLOOKUP($B3068,'Email Marketing Raw Data'!$C:$O,10,0))),"")</f>
        <v/>
      </c>
      <c r="E3068" s="59" t="str">
        <f>IFERROR(IF(F3068&lt;&gt;"pending","",IF(OR($B3068="",$B3068="(blank)"),"",VLOOKUP($B3068,'Email Marketing Raw Data'!$C:$O,11,0))),"")</f>
        <v/>
      </c>
      <c r="F3068" s="54" t="str">
        <f>IFERROR(IF(OR($B3068="",$B3068="(blank)"),"",VLOOKUP($B3068,'Email Marketing Raw Data'!$C:$O,13,0)),"")</f>
        <v/>
      </c>
      <c r="G3068" s="55" t="str">
        <f>IFERROR(IF(OR($B3068="",$B3068="(blank)"),"",VLOOKUP($B3068,'Email Marketing Raw Data'!$C:$O,4,0)),"")</f>
        <v/>
      </c>
      <c r="H3068" s="55" t="str">
        <f>IFERROR(IF(OR($B3068="",$B3068="(blank)"),"",VLOOKUP($B3068,'Email Marketing Raw Data'!$C:$O,5,0)),"")</f>
        <v/>
      </c>
      <c r="I3068" s="55" t="str">
        <f>IFERROR(IF($G3068="","",VLOOKUP('Dashboard And Emails Automate'!$G3068,Database!$H:$N,3,0)),"")</f>
        <v/>
      </c>
      <c r="J3068" s="55" t="str">
        <f>IFERROR(IF($G3068="","",VLOOKUP('Dashboard And Emails Automate'!$G3068,Database!$H:$N,4,0)),"")</f>
        <v/>
      </c>
      <c r="K3068" s="55" t="str">
        <f>IFERROR(IF($G3068="","",VLOOKUP('Dashboard And Emails Automate'!$G3068,Database!$H:$N,5,0)),"")</f>
        <v/>
      </c>
      <c r="L3068" s="55" t="str">
        <f>IFERROR(IF($G3068="","",VLOOKUP('Dashboard And Emails Automate'!$G3068,Database!$H:$N,6,0)),"")</f>
        <v/>
      </c>
      <c r="M3068" s="55" t="str">
        <f>IFERROR(IF($G3068="","",VLOOKUP('Dashboard And Emails Automate'!$G3068,Database!$H:$N,7,0)),"")</f>
        <v/>
      </c>
      <c r="N3068" s="55" t="str">
        <f>IFERROR(IF(OR($B3068="",$B3068="(blank)"),"",VLOOKUP($B3068,'Email Marketing Raw Data'!$C:$O,6,0)),"")</f>
        <v/>
      </c>
      <c r="O3068" s="55" t="str">
        <f>IFERROR(IF(OR($B3068="",$B3068="(blank)"),"",VLOOKUP($B3068,'Email Marketing Raw Data'!$C:$O,7,0)),"")</f>
        <v/>
      </c>
      <c r="P3068" s="55" t="str">
        <f>IFERROR(IF(OR($B3068="",$B3068="(blank)"),"",VLOOKUP($B3068,'Email Marketing Raw Data'!$C:$O,8,0)),"")</f>
        <v/>
      </c>
      <c r="Q3068" s="62" t="str">
        <f>IFERROR(IF(OR($B3068="",$B3068="(blank)"),"",VLOOKUP($B3068,'Email Marketing Raw Data'!$C:$O,9,0)),"")</f>
        <v/>
      </c>
    </row>
    <row r="3069" spans="4:17" ht="12.75" customHeight="1" x14ac:dyDescent="0.2">
      <c r="D3069" s="58" t="str">
        <f>IFERROR(IF(F3069&lt;&gt;"pending","",IF(OR($B3069="",$B3069="(blank)"),"",VLOOKUP($B3069,'Email Marketing Raw Data'!$C:$O,10,0))),"")</f>
        <v/>
      </c>
      <c r="E3069" s="59" t="str">
        <f>IFERROR(IF(F3069&lt;&gt;"pending","",IF(OR($B3069="",$B3069="(blank)"),"",VLOOKUP($B3069,'Email Marketing Raw Data'!$C:$O,11,0))),"")</f>
        <v/>
      </c>
      <c r="F3069" s="54" t="str">
        <f>IFERROR(IF(OR($B3069="",$B3069="(blank)"),"",VLOOKUP($B3069,'Email Marketing Raw Data'!$C:$O,13,0)),"")</f>
        <v/>
      </c>
      <c r="G3069" s="55" t="str">
        <f>IFERROR(IF(OR($B3069="",$B3069="(blank)"),"",VLOOKUP($B3069,'Email Marketing Raw Data'!$C:$O,4,0)),"")</f>
        <v/>
      </c>
      <c r="H3069" s="55" t="str">
        <f>IFERROR(IF(OR($B3069="",$B3069="(blank)"),"",VLOOKUP($B3069,'Email Marketing Raw Data'!$C:$O,5,0)),"")</f>
        <v/>
      </c>
      <c r="I3069" s="55" t="str">
        <f>IFERROR(IF($G3069="","",VLOOKUP('Dashboard And Emails Automate'!$G3069,Database!$H:$N,3,0)),"")</f>
        <v/>
      </c>
      <c r="J3069" s="55" t="str">
        <f>IFERROR(IF($G3069="","",VLOOKUP('Dashboard And Emails Automate'!$G3069,Database!$H:$N,4,0)),"")</f>
        <v/>
      </c>
      <c r="K3069" s="55" t="str">
        <f>IFERROR(IF($G3069="","",VLOOKUP('Dashboard And Emails Automate'!$G3069,Database!$H:$N,5,0)),"")</f>
        <v/>
      </c>
      <c r="L3069" s="55" t="str">
        <f>IFERROR(IF($G3069="","",VLOOKUP('Dashboard And Emails Automate'!$G3069,Database!$H:$N,6,0)),"")</f>
        <v/>
      </c>
      <c r="M3069" s="55" t="str">
        <f>IFERROR(IF($G3069="","",VLOOKUP('Dashboard And Emails Automate'!$G3069,Database!$H:$N,7,0)),"")</f>
        <v/>
      </c>
      <c r="N3069" s="55" t="str">
        <f>IFERROR(IF(OR($B3069="",$B3069="(blank)"),"",VLOOKUP($B3069,'Email Marketing Raw Data'!$C:$O,6,0)),"")</f>
        <v/>
      </c>
      <c r="O3069" s="55" t="str">
        <f>IFERROR(IF(OR($B3069="",$B3069="(blank)"),"",VLOOKUP($B3069,'Email Marketing Raw Data'!$C:$O,7,0)),"")</f>
        <v/>
      </c>
      <c r="P3069" s="55" t="str">
        <f>IFERROR(IF(OR($B3069="",$B3069="(blank)"),"",VLOOKUP($B3069,'Email Marketing Raw Data'!$C:$O,8,0)),"")</f>
        <v/>
      </c>
      <c r="Q3069" s="62" t="str">
        <f>IFERROR(IF(OR($B3069="",$B3069="(blank)"),"",VLOOKUP($B3069,'Email Marketing Raw Data'!$C:$O,9,0)),"")</f>
        <v/>
      </c>
    </row>
    <row r="3070" spans="4:17" ht="12.75" customHeight="1" x14ac:dyDescent="0.2">
      <c r="D3070" s="58" t="str">
        <f>IFERROR(IF(F3070&lt;&gt;"pending","",IF(OR($B3070="",$B3070="(blank)"),"",VLOOKUP($B3070,'Email Marketing Raw Data'!$C:$O,10,0))),"")</f>
        <v/>
      </c>
      <c r="E3070" s="59" t="str">
        <f>IFERROR(IF(F3070&lt;&gt;"pending","",IF(OR($B3070="",$B3070="(blank)"),"",VLOOKUP($B3070,'Email Marketing Raw Data'!$C:$O,11,0))),"")</f>
        <v/>
      </c>
      <c r="F3070" s="54" t="str">
        <f>IFERROR(IF(OR($B3070="",$B3070="(blank)"),"",VLOOKUP($B3070,'Email Marketing Raw Data'!$C:$O,13,0)),"")</f>
        <v/>
      </c>
      <c r="G3070" s="55" t="str">
        <f>IFERROR(IF(OR($B3070="",$B3070="(blank)"),"",VLOOKUP($B3070,'Email Marketing Raw Data'!$C:$O,4,0)),"")</f>
        <v/>
      </c>
      <c r="H3070" s="55" t="str">
        <f>IFERROR(IF(OR($B3070="",$B3070="(blank)"),"",VLOOKUP($B3070,'Email Marketing Raw Data'!$C:$O,5,0)),"")</f>
        <v/>
      </c>
      <c r="I3070" s="55" t="str">
        <f>IFERROR(IF($G3070="","",VLOOKUP('Dashboard And Emails Automate'!$G3070,Database!$H:$N,3,0)),"")</f>
        <v/>
      </c>
      <c r="J3070" s="55" t="str">
        <f>IFERROR(IF($G3070="","",VLOOKUP('Dashboard And Emails Automate'!$G3070,Database!$H:$N,4,0)),"")</f>
        <v/>
      </c>
      <c r="K3070" s="55" t="str">
        <f>IFERROR(IF($G3070="","",VLOOKUP('Dashboard And Emails Automate'!$G3070,Database!$H:$N,5,0)),"")</f>
        <v/>
      </c>
      <c r="L3070" s="55" t="str">
        <f>IFERROR(IF($G3070="","",VLOOKUP('Dashboard And Emails Automate'!$G3070,Database!$H:$N,6,0)),"")</f>
        <v/>
      </c>
      <c r="M3070" s="55" t="str">
        <f>IFERROR(IF($G3070="","",VLOOKUP('Dashboard And Emails Automate'!$G3070,Database!$H:$N,7,0)),"")</f>
        <v/>
      </c>
      <c r="N3070" s="55" t="str">
        <f>IFERROR(IF(OR($B3070="",$B3070="(blank)"),"",VLOOKUP($B3070,'Email Marketing Raw Data'!$C:$O,6,0)),"")</f>
        <v/>
      </c>
      <c r="O3070" s="55" t="str">
        <f>IFERROR(IF(OR($B3070="",$B3070="(blank)"),"",VLOOKUP($B3070,'Email Marketing Raw Data'!$C:$O,7,0)),"")</f>
        <v/>
      </c>
      <c r="P3070" s="55" t="str">
        <f>IFERROR(IF(OR($B3070="",$B3070="(blank)"),"",VLOOKUP($B3070,'Email Marketing Raw Data'!$C:$O,8,0)),"")</f>
        <v/>
      </c>
      <c r="Q3070" s="62" t="str">
        <f>IFERROR(IF(OR($B3070="",$B3070="(blank)"),"",VLOOKUP($B3070,'Email Marketing Raw Data'!$C:$O,9,0)),"")</f>
        <v/>
      </c>
    </row>
    <row r="3071" spans="4:17" ht="12.75" customHeight="1" x14ac:dyDescent="0.2">
      <c r="D3071" s="58" t="str">
        <f>IFERROR(IF(F3071&lt;&gt;"pending","",IF(OR($B3071="",$B3071="(blank)"),"",VLOOKUP($B3071,'Email Marketing Raw Data'!$C:$O,10,0))),"")</f>
        <v/>
      </c>
      <c r="E3071" s="59" t="str">
        <f>IFERROR(IF(F3071&lt;&gt;"pending","",IF(OR($B3071="",$B3071="(blank)"),"",VLOOKUP($B3071,'Email Marketing Raw Data'!$C:$O,11,0))),"")</f>
        <v/>
      </c>
      <c r="F3071" s="54" t="str">
        <f>IFERROR(IF(OR($B3071="",$B3071="(blank)"),"",VLOOKUP($B3071,'Email Marketing Raw Data'!$C:$O,13,0)),"")</f>
        <v/>
      </c>
      <c r="G3071" s="55" t="str">
        <f>IFERROR(IF(OR($B3071="",$B3071="(blank)"),"",VLOOKUP($B3071,'Email Marketing Raw Data'!$C:$O,4,0)),"")</f>
        <v/>
      </c>
      <c r="H3071" s="55" t="str">
        <f>IFERROR(IF(OR($B3071="",$B3071="(blank)"),"",VLOOKUP($B3071,'Email Marketing Raw Data'!$C:$O,5,0)),"")</f>
        <v/>
      </c>
      <c r="I3071" s="55" t="str">
        <f>IFERROR(IF($G3071="","",VLOOKUP('Dashboard And Emails Automate'!$G3071,Database!$H:$N,3,0)),"")</f>
        <v/>
      </c>
      <c r="J3071" s="55" t="str">
        <f>IFERROR(IF($G3071="","",VLOOKUP('Dashboard And Emails Automate'!$G3071,Database!$H:$N,4,0)),"")</f>
        <v/>
      </c>
      <c r="K3071" s="55" t="str">
        <f>IFERROR(IF($G3071="","",VLOOKUP('Dashboard And Emails Automate'!$G3071,Database!$H:$N,5,0)),"")</f>
        <v/>
      </c>
      <c r="L3071" s="55" t="str">
        <f>IFERROR(IF($G3071="","",VLOOKUP('Dashboard And Emails Automate'!$G3071,Database!$H:$N,6,0)),"")</f>
        <v/>
      </c>
      <c r="M3071" s="55" t="str">
        <f>IFERROR(IF($G3071="","",VLOOKUP('Dashboard And Emails Automate'!$G3071,Database!$H:$N,7,0)),"")</f>
        <v/>
      </c>
      <c r="N3071" s="55" t="str">
        <f>IFERROR(IF(OR($B3071="",$B3071="(blank)"),"",VLOOKUP($B3071,'Email Marketing Raw Data'!$C:$O,6,0)),"")</f>
        <v/>
      </c>
      <c r="O3071" s="55" t="str">
        <f>IFERROR(IF(OR($B3071="",$B3071="(blank)"),"",VLOOKUP($B3071,'Email Marketing Raw Data'!$C:$O,7,0)),"")</f>
        <v/>
      </c>
      <c r="P3071" s="55" t="str">
        <f>IFERROR(IF(OR($B3071="",$B3071="(blank)"),"",VLOOKUP($B3071,'Email Marketing Raw Data'!$C:$O,8,0)),"")</f>
        <v/>
      </c>
      <c r="Q3071" s="62" t="str">
        <f>IFERROR(IF(OR($B3071="",$B3071="(blank)"),"",VLOOKUP($B3071,'Email Marketing Raw Data'!$C:$O,9,0)),"")</f>
        <v/>
      </c>
    </row>
    <row r="3072" spans="4:17" ht="12.75" customHeight="1" x14ac:dyDescent="0.2">
      <c r="D3072" s="58" t="str">
        <f>IFERROR(IF(F3072&lt;&gt;"pending","",IF(OR($B3072="",$B3072="(blank)"),"",VLOOKUP($B3072,'Email Marketing Raw Data'!$C:$O,10,0))),"")</f>
        <v/>
      </c>
      <c r="E3072" s="59" t="str">
        <f>IFERROR(IF(F3072&lt;&gt;"pending","",IF(OR($B3072="",$B3072="(blank)"),"",VLOOKUP($B3072,'Email Marketing Raw Data'!$C:$O,11,0))),"")</f>
        <v/>
      </c>
      <c r="F3072" s="54" t="str">
        <f>IFERROR(IF(OR($B3072="",$B3072="(blank)"),"",VLOOKUP($B3072,'Email Marketing Raw Data'!$C:$O,13,0)),"")</f>
        <v/>
      </c>
      <c r="G3072" s="55" t="str">
        <f>IFERROR(IF(OR($B3072="",$B3072="(blank)"),"",VLOOKUP($B3072,'Email Marketing Raw Data'!$C:$O,4,0)),"")</f>
        <v/>
      </c>
      <c r="H3072" s="55" t="str">
        <f>IFERROR(IF(OR($B3072="",$B3072="(blank)"),"",VLOOKUP($B3072,'Email Marketing Raw Data'!$C:$O,5,0)),"")</f>
        <v/>
      </c>
      <c r="I3072" s="55" t="str">
        <f>IFERROR(IF($G3072="","",VLOOKUP('Dashboard And Emails Automate'!$G3072,Database!$H:$N,3,0)),"")</f>
        <v/>
      </c>
      <c r="J3072" s="55" t="str">
        <f>IFERROR(IF($G3072="","",VLOOKUP('Dashboard And Emails Automate'!$G3072,Database!$H:$N,4,0)),"")</f>
        <v/>
      </c>
      <c r="K3072" s="55" t="str">
        <f>IFERROR(IF($G3072="","",VLOOKUP('Dashboard And Emails Automate'!$G3072,Database!$H:$N,5,0)),"")</f>
        <v/>
      </c>
      <c r="L3072" s="55" t="str">
        <f>IFERROR(IF($G3072="","",VLOOKUP('Dashboard And Emails Automate'!$G3072,Database!$H:$N,6,0)),"")</f>
        <v/>
      </c>
      <c r="M3072" s="55" t="str">
        <f>IFERROR(IF($G3072="","",VLOOKUP('Dashboard And Emails Automate'!$G3072,Database!$H:$N,7,0)),"")</f>
        <v/>
      </c>
      <c r="N3072" s="55" t="str">
        <f>IFERROR(IF(OR($B3072="",$B3072="(blank)"),"",VLOOKUP($B3072,'Email Marketing Raw Data'!$C:$O,6,0)),"")</f>
        <v/>
      </c>
      <c r="O3072" s="55" t="str">
        <f>IFERROR(IF(OR($B3072="",$B3072="(blank)"),"",VLOOKUP($B3072,'Email Marketing Raw Data'!$C:$O,7,0)),"")</f>
        <v/>
      </c>
      <c r="P3072" s="55" t="str">
        <f>IFERROR(IF(OR($B3072="",$B3072="(blank)"),"",VLOOKUP($B3072,'Email Marketing Raw Data'!$C:$O,8,0)),"")</f>
        <v/>
      </c>
      <c r="Q3072" s="62" t="str">
        <f>IFERROR(IF(OR($B3072="",$B3072="(blank)"),"",VLOOKUP($B3072,'Email Marketing Raw Data'!$C:$O,9,0)),"")</f>
        <v/>
      </c>
    </row>
    <row r="3073" spans="4:17" ht="12.75" customHeight="1" x14ac:dyDescent="0.2">
      <c r="D3073" s="58" t="str">
        <f>IFERROR(IF(F3073&lt;&gt;"pending","",IF(OR($B3073="",$B3073="(blank)"),"",VLOOKUP($B3073,'Email Marketing Raw Data'!$C:$O,10,0))),"")</f>
        <v/>
      </c>
      <c r="E3073" s="59" t="str">
        <f>IFERROR(IF(F3073&lt;&gt;"pending","",IF(OR($B3073="",$B3073="(blank)"),"",VLOOKUP($B3073,'Email Marketing Raw Data'!$C:$O,11,0))),"")</f>
        <v/>
      </c>
      <c r="F3073" s="54" t="str">
        <f>IFERROR(IF(OR($B3073="",$B3073="(blank)"),"",VLOOKUP($B3073,'Email Marketing Raw Data'!$C:$O,13,0)),"")</f>
        <v/>
      </c>
      <c r="G3073" s="55" t="str">
        <f>IFERROR(IF(OR($B3073="",$B3073="(blank)"),"",VLOOKUP($B3073,'Email Marketing Raw Data'!$C:$O,4,0)),"")</f>
        <v/>
      </c>
      <c r="H3073" s="55" t="str">
        <f>IFERROR(IF(OR($B3073="",$B3073="(blank)"),"",VLOOKUP($B3073,'Email Marketing Raw Data'!$C:$O,5,0)),"")</f>
        <v/>
      </c>
      <c r="I3073" s="55" t="str">
        <f>IFERROR(IF($G3073="","",VLOOKUP('Dashboard And Emails Automate'!$G3073,Database!$H:$N,3,0)),"")</f>
        <v/>
      </c>
      <c r="J3073" s="55" t="str">
        <f>IFERROR(IF($G3073="","",VLOOKUP('Dashboard And Emails Automate'!$G3073,Database!$H:$N,4,0)),"")</f>
        <v/>
      </c>
      <c r="K3073" s="55" t="str">
        <f>IFERROR(IF($G3073="","",VLOOKUP('Dashboard And Emails Automate'!$G3073,Database!$H:$N,5,0)),"")</f>
        <v/>
      </c>
      <c r="L3073" s="55" t="str">
        <f>IFERROR(IF($G3073="","",VLOOKUP('Dashboard And Emails Automate'!$G3073,Database!$H:$N,6,0)),"")</f>
        <v/>
      </c>
      <c r="M3073" s="55" t="str">
        <f>IFERROR(IF($G3073="","",VLOOKUP('Dashboard And Emails Automate'!$G3073,Database!$H:$N,7,0)),"")</f>
        <v/>
      </c>
      <c r="N3073" s="55" t="str">
        <f>IFERROR(IF(OR($B3073="",$B3073="(blank)"),"",VLOOKUP($B3073,'Email Marketing Raw Data'!$C:$O,6,0)),"")</f>
        <v/>
      </c>
      <c r="O3073" s="55" t="str">
        <f>IFERROR(IF(OR($B3073="",$B3073="(blank)"),"",VLOOKUP($B3073,'Email Marketing Raw Data'!$C:$O,7,0)),"")</f>
        <v/>
      </c>
      <c r="P3073" s="55" t="str">
        <f>IFERROR(IF(OR($B3073="",$B3073="(blank)"),"",VLOOKUP($B3073,'Email Marketing Raw Data'!$C:$O,8,0)),"")</f>
        <v/>
      </c>
      <c r="Q3073" s="62" t="str">
        <f>IFERROR(IF(OR($B3073="",$B3073="(blank)"),"",VLOOKUP($B3073,'Email Marketing Raw Data'!$C:$O,9,0)),"")</f>
        <v/>
      </c>
    </row>
    <row r="3074" spans="4:17" ht="12.75" customHeight="1" x14ac:dyDescent="0.2">
      <c r="D3074" s="58" t="str">
        <f>IFERROR(IF(F3074&lt;&gt;"pending","",IF(OR($B3074="",$B3074="(blank)"),"",VLOOKUP($B3074,'Email Marketing Raw Data'!$C:$O,10,0))),"")</f>
        <v/>
      </c>
      <c r="E3074" s="59" t="str">
        <f>IFERROR(IF(F3074&lt;&gt;"pending","",IF(OR($B3074="",$B3074="(blank)"),"",VLOOKUP($B3074,'Email Marketing Raw Data'!$C:$O,11,0))),"")</f>
        <v/>
      </c>
      <c r="F3074" s="54" t="str">
        <f>IFERROR(IF(OR($B3074="",$B3074="(blank)"),"",VLOOKUP($B3074,'Email Marketing Raw Data'!$C:$O,13,0)),"")</f>
        <v/>
      </c>
      <c r="G3074" s="55" t="str">
        <f>IFERROR(IF(OR($B3074="",$B3074="(blank)"),"",VLOOKUP($B3074,'Email Marketing Raw Data'!$C:$O,4,0)),"")</f>
        <v/>
      </c>
      <c r="H3074" s="55" t="str">
        <f>IFERROR(IF(OR($B3074="",$B3074="(blank)"),"",VLOOKUP($B3074,'Email Marketing Raw Data'!$C:$O,5,0)),"")</f>
        <v/>
      </c>
      <c r="I3074" s="55" t="str">
        <f>IFERROR(IF($G3074="","",VLOOKUP('Dashboard And Emails Automate'!$G3074,Database!$H:$N,3,0)),"")</f>
        <v/>
      </c>
      <c r="J3074" s="55" t="str">
        <f>IFERROR(IF($G3074="","",VLOOKUP('Dashboard And Emails Automate'!$G3074,Database!$H:$N,4,0)),"")</f>
        <v/>
      </c>
      <c r="K3074" s="55" t="str">
        <f>IFERROR(IF($G3074="","",VLOOKUP('Dashboard And Emails Automate'!$G3074,Database!$H:$N,5,0)),"")</f>
        <v/>
      </c>
      <c r="L3074" s="55" t="str">
        <f>IFERROR(IF($G3074="","",VLOOKUP('Dashboard And Emails Automate'!$G3074,Database!$H:$N,6,0)),"")</f>
        <v/>
      </c>
      <c r="M3074" s="55" t="str">
        <f>IFERROR(IF($G3074="","",VLOOKUP('Dashboard And Emails Automate'!$G3074,Database!$H:$N,7,0)),"")</f>
        <v/>
      </c>
      <c r="N3074" s="55" t="str">
        <f>IFERROR(IF(OR($B3074="",$B3074="(blank)"),"",VLOOKUP($B3074,'Email Marketing Raw Data'!$C:$O,6,0)),"")</f>
        <v/>
      </c>
      <c r="O3074" s="55" t="str">
        <f>IFERROR(IF(OR($B3074="",$B3074="(blank)"),"",VLOOKUP($B3074,'Email Marketing Raw Data'!$C:$O,7,0)),"")</f>
        <v/>
      </c>
      <c r="P3074" s="55" t="str">
        <f>IFERROR(IF(OR($B3074="",$B3074="(blank)"),"",VLOOKUP($B3074,'Email Marketing Raw Data'!$C:$O,8,0)),"")</f>
        <v/>
      </c>
      <c r="Q3074" s="62" t="str">
        <f>IFERROR(IF(OR($B3074="",$B3074="(blank)"),"",VLOOKUP($B3074,'Email Marketing Raw Data'!$C:$O,9,0)),"")</f>
        <v/>
      </c>
    </row>
    <row r="3075" spans="4:17" ht="12.75" customHeight="1" x14ac:dyDescent="0.2">
      <c r="D3075" s="58" t="str">
        <f>IFERROR(IF(F3075&lt;&gt;"pending","",IF(OR($B3075="",$B3075="(blank)"),"",VLOOKUP($B3075,'Email Marketing Raw Data'!$C:$O,10,0))),"")</f>
        <v/>
      </c>
      <c r="E3075" s="59" t="str">
        <f>IFERROR(IF(F3075&lt;&gt;"pending","",IF(OR($B3075="",$B3075="(blank)"),"",VLOOKUP($B3075,'Email Marketing Raw Data'!$C:$O,11,0))),"")</f>
        <v/>
      </c>
      <c r="F3075" s="54" t="str">
        <f>IFERROR(IF(OR($B3075="",$B3075="(blank)"),"",VLOOKUP($B3075,'Email Marketing Raw Data'!$C:$O,13,0)),"")</f>
        <v/>
      </c>
      <c r="G3075" s="55" t="str">
        <f>IFERROR(IF(OR($B3075="",$B3075="(blank)"),"",VLOOKUP($B3075,'Email Marketing Raw Data'!$C:$O,4,0)),"")</f>
        <v/>
      </c>
      <c r="H3075" s="55" t="str">
        <f>IFERROR(IF(OR($B3075="",$B3075="(blank)"),"",VLOOKUP($B3075,'Email Marketing Raw Data'!$C:$O,5,0)),"")</f>
        <v/>
      </c>
      <c r="I3075" s="55" t="str">
        <f>IFERROR(IF($G3075="","",VLOOKUP('Dashboard And Emails Automate'!$G3075,Database!$H:$N,3,0)),"")</f>
        <v/>
      </c>
      <c r="J3075" s="55" t="str">
        <f>IFERROR(IF($G3075="","",VLOOKUP('Dashboard And Emails Automate'!$G3075,Database!$H:$N,4,0)),"")</f>
        <v/>
      </c>
      <c r="K3075" s="55" t="str">
        <f>IFERROR(IF($G3075="","",VLOOKUP('Dashboard And Emails Automate'!$G3075,Database!$H:$N,5,0)),"")</f>
        <v/>
      </c>
      <c r="L3075" s="55" t="str">
        <f>IFERROR(IF($G3075="","",VLOOKUP('Dashboard And Emails Automate'!$G3075,Database!$H:$N,6,0)),"")</f>
        <v/>
      </c>
      <c r="M3075" s="55" t="str">
        <f>IFERROR(IF($G3075="","",VLOOKUP('Dashboard And Emails Automate'!$G3075,Database!$H:$N,7,0)),"")</f>
        <v/>
      </c>
      <c r="N3075" s="55" t="str">
        <f>IFERROR(IF(OR($B3075="",$B3075="(blank)"),"",VLOOKUP($B3075,'Email Marketing Raw Data'!$C:$O,6,0)),"")</f>
        <v/>
      </c>
      <c r="O3075" s="55" t="str">
        <f>IFERROR(IF(OR($B3075="",$B3075="(blank)"),"",VLOOKUP($B3075,'Email Marketing Raw Data'!$C:$O,7,0)),"")</f>
        <v/>
      </c>
      <c r="P3075" s="55" t="str">
        <f>IFERROR(IF(OR($B3075="",$B3075="(blank)"),"",VLOOKUP($B3075,'Email Marketing Raw Data'!$C:$O,8,0)),"")</f>
        <v/>
      </c>
      <c r="Q3075" s="62" t="str">
        <f>IFERROR(IF(OR($B3075="",$B3075="(blank)"),"",VLOOKUP($B3075,'Email Marketing Raw Data'!$C:$O,9,0)),"")</f>
        <v/>
      </c>
    </row>
    <row r="3076" spans="4:17" ht="12.75" customHeight="1" x14ac:dyDescent="0.2">
      <c r="D3076" s="58" t="str">
        <f>IFERROR(IF(F3076&lt;&gt;"pending","",IF(OR($B3076="",$B3076="(blank)"),"",VLOOKUP($B3076,'Email Marketing Raw Data'!$C:$O,10,0))),"")</f>
        <v/>
      </c>
      <c r="E3076" s="59" t="str">
        <f>IFERROR(IF(F3076&lt;&gt;"pending","",IF(OR($B3076="",$B3076="(blank)"),"",VLOOKUP($B3076,'Email Marketing Raw Data'!$C:$O,11,0))),"")</f>
        <v/>
      </c>
      <c r="F3076" s="54" t="str">
        <f>IFERROR(IF(OR($B3076="",$B3076="(blank)"),"",VLOOKUP($B3076,'Email Marketing Raw Data'!$C:$O,13,0)),"")</f>
        <v/>
      </c>
      <c r="G3076" s="55" t="str">
        <f>IFERROR(IF(OR($B3076="",$B3076="(blank)"),"",VLOOKUP($B3076,'Email Marketing Raw Data'!$C:$O,4,0)),"")</f>
        <v/>
      </c>
      <c r="H3076" s="55" t="str">
        <f>IFERROR(IF(OR($B3076="",$B3076="(blank)"),"",VLOOKUP($B3076,'Email Marketing Raw Data'!$C:$O,5,0)),"")</f>
        <v/>
      </c>
      <c r="I3076" s="55" t="str">
        <f>IFERROR(IF($G3076="","",VLOOKUP('Dashboard And Emails Automate'!$G3076,Database!$H:$N,3,0)),"")</f>
        <v/>
      </c>
      <c r="J3076" s="55" t="str">
        <f>IFERROR(IF($G3076="","",VLOOKUP('Dashboard And Emails Automate'!$G3076,Database!$H:$N,4,0)),"")</f>
        <v/>
      </c>
      <c r="K3076" s="55" t="str">
        <f>IFERROR(IF($G3076="","",VLOOKUP('Dashboard And Emails Automate'!$G3076,Database!$H:$N,5,0)),"")</f>
        <v/>
      </c>
      <c r="L3076" s="55" t="str">
        <f>IFERROR(IF($G3076="","",VLOOKUP('Dashboard And Emails Automate'!$G3076,Database!$H:$N,6,0)),"")</f>
        <v/>
      </c>
      <c r="M3076" s="55" t="str">
        <f>IFERROR(IF($G3076="","",VLOOKUP('Dashboard And Emails Automate'!$G3076,Database!$H:$N,7,0)),"")</f>
        <v/>
      </c>
      <c r="N3076" s="55" t="str">
        <f>IFERROR(IF(OR($B3076="",$B3076="(blank)"),"",VLOOKUP($B3076,'Email Marketing Raw Data'!$C:$O,6,0)),"")</f>
        <v/>
      </c>
      <c r="O3076" s="55" t="str">
        <f>IFERROR(IF(OR($B3076="",$B3076="(blank)"),"",VLOOKUP($B3076,'Email Marketing Raw Data'!$C:$O,7,0)),"")</f>
        <v/>
      </c>
      <c r="P3076" s="55" t="str">
        <f>IFERROR(IF(OR($B3076="",$B3076="(blank)"),"",VLOOKUP($B3076,'Email Marketing Raw Data'!$C:$O,8,0)),"")</f>
        <v/>
      </c>
      <c r="Q3076" s="62" t="str">
        <f>IFERROR(IF(OR($B3076="",$B3076="(blank)"),"",VLOOKUP($B3076,'Email Marketing Raw Data'!$C:$O,9,0)),"")</f>
        <v/>
      </c>
    </row>
    <row r="3077" spans="4:17" ht="12.75" customHeight="1" x14ac:dyDescent="0.2">
      <c r="D3077" s="58" t="str">
        <f>IFERROR(IF(F3077&lt;&gt;"pending","",IF(OR($B3077="",$B3077="(blank)"),"",VLOOKUP($B3077,'Email Marketing Raw Data'!$C:$O,10,0))),"")</f>
        <v/>
      </c>
      <c r="E3077" s="59" t="str">
        <f>IFERROR(IF(F3077&lt;&gt;"pending","",IF(OR($B3077="",$B3077="(blank)"),"",VLOOKUP($B3077,'Email Marketing Raw Data'!$C:$O,11,0))),"")</f>
        <v/>
      </c>
      <c r="F3077" s="54" t="str">
        <f>IFERROR(IF(OR($B3077="",$B3077="(blank)"),"",VLOOKUP($B3077,'Email Marketing Raw Data'!$C:$O,13,0)),"")</f>
        <v/>
      </c>
      <c r="G3077" s="55" t="str">
        <f>IFERROR(IF(OR($B3077="",$B3077="(blank)"),"",VLOOKUP($B3077,'Email Marketing Raw Data'!$C:$O,4,0)),"")</f>
        <v/>
      </c>
      <c r="H3077" s="55" t="str">
        <f>IFERROR(IF(OR($B3077="",$B3077="(blank)"),"",VLOOKUP($B3077,'Email Marketing Raw Data'!$C:$O,5,0)),"")</f>
        <v/>
      </c>
      <c r="I3077" s="55" t="str">
        <f>IFERROR(IF($G3077="","",VLOOKUP('Dashboard And Emails Automate'!$G3077,Database!$H:$N,3,0)),"")</f>
        <v/>
      </c>
      <c r="J3077" s="55" t="str">
        <f>IFERROR(IF($G3077="","",VLOOKUP('Dashboard And Emails Automate'!$G3077,Database!$H:$N,4,0)),"")</f>
        <v/>
      </c>
      <c r="K3077" s="55" t="str">
        <f>IFERROR(IF($G3077="","",VLOOKUP('Dashboard And Emails Automate'!$G3077,Database!$H:$N,5,0)),"")</f>
        <v/>
      </c>
      <c r="L3077" s="55" t="str">
        <f>IFERROR(IF($G3077="","",VLOOKUP('Dashboard And Emails Automate'!$G3077,Database!$H:$N,6,0)),"")</f>
        <v/>
      </c>
      <c r="M3077" s="55" t="str">
        <f>IFERROR(IF($G3077="","",VLOOKUP('Dashboard And Emails Automate'!$G3077,Database!$H:$N,7,0)),"")</f>
        <v/>
      </c>
      <c r="N3077" s="55" t="str">
        <f>IFERROR(IF(OR($B3077="",$B3077="(blank)"),"",VLOOKUP($B3077,'Email Marketing Raw Data'!$C:$O,6,0)),"")</f>
        <v/>
      </c>
      <c r="O3077" s="55" t="str">
        <f>IFERROR(IF(OR($B3077="",$B3077="(blank)"),"",VLOOKUP($B3077,'Email Marketing Raw Data'!$C:$O,7,0)),"")</f>
        <v/>
      </c>
      <c r="P3077" s="55" t="str">
        <f>IFERROR(IF(OR($B3077="",$B3077="(blank)"),"",VLOOKUP($B3077,'Email Marketing Raw Data'!$C:$O,8,0)),"")</f>
        <v/>
      </c>
      <c r="Q3077" s="62" t="str">
        <f>IFERROR(IF(OR($B3077="",$B3077="(blank)"),"",VLOOKUP($B3077,'Email Marketing Raw Data'!$C:$O,9,0)),"")</f>
        <v/>
      </c>
    </row>
    <row r="3078" spans="4:17" ht="12.75" customHeight="1" x14ac:dyDescent="0.2">
      <c r="D3078" s="58" t="str">
        <f>IFERROR(IF(F3078&lt;&gt;"pending","",IF(OR($B3078="",$B3078="(blank)"),"",VLOOKUP($B3078,'Email Marketing Raw Data'!$C:$O,10,0))),"")</f>
        <v/>
      </c>
      <c r="E3078" s="59" t="str">
        <f>IFERROR(IF(F3078&lt;&gt;"pending","",IF(OR($B3078="",$B3078="(blank)"),"",VLOOKUP($B3078,'Email Marketing Raw Data'!$C:$O,11,0))),"")</f>
        <v/>
      </c>
      <c r="F3078" s="54" t="str">
        <f>IFERROR(IF(OR($B3078="",$B3078="(blank)"),"",VLOOKUP($B3078,'Email Marketing Raw Data'!$C:$O,13,0)),"")</f>
        <v/>
      </c>
      <c r="G3078" s="55" t="str">
        <f>IFERROR(IF(OR($B3078="",$B3078="(blank)"),"",VLOOKUP($B3078,'Email Marketing Raw Data'!$C:$O,4,0)),"")</f>
        <v/>
      </c>
      <c r="H3078" s="55" t="str">
        <f>IFERROR(IF(OR($B3078="",$B3078="(blank)"),"",VLOOKUP($B3078,'Email Marketing Raw Data'!$C:$O,5,0)),"")</f>
        <v/>
      </c>
      <c r="I3078" s="55" t="str">
        <f>IFERROR(IF($G3078="","",VLOOKUP('Dashboard And Emails Automate'!$G3078,Database!$H:$N,3,0)),"")</f>
        <v/>
      </c>
      <c r="J3078" s="55" t="str">
        <f>IFERROR(IF($G3078="","",VLOOKUP('Dashboard And Emails Automate'!$G3078,Database!$H:$N,4,0)),"")</f>
        <v/>
      </c>
      <c r="K3078" s="55" t="str">
        <f>IFERROR(IF($G3078="","",VLOOKUP('Dashboard And Emails Automate'!$G3078,Database!$H:$N,5,0)),"")</f>
        <v/>
      </c>
      <c r="L3078" s="55" t="str">
        <f>IFERROR(IF($G3078="","",VLOOKUP('Dashboard And Emails Automate'!$G3078,Database!$H:$N,6,0)),"")</f>
        <v/>
      </c>
      <c r="M3078" s="55" t="str">
        <f>IFERROR(IF($G3078="","",VLOOKUP('Dashboard And Emails Automate'!$G3078,Database!$H:$N,7,0)),"")</f>
        <v/>
      </c>
      <c r="N3078" s="55" t="str">
        <f>IFERROR(IF(OR($B3078="",$B3078="(blank)"),"",VLOOKUP($B3078,'Email Marketing Raw Data'!$C:$O,6,0)),"")</f>
        <v/>
      </c>
      <c r="O3078" s="55" t="str">
        <f>IFERROR(IF(OR($B3078="",$B3078="(blank)"),"",VLOOKUP($B3078,'Email Marketing Raw Data'!$C:$O,7,0)),"")</f>
        <v/>
      </c>
      <c r="P3078" s="55" t="str">
        <f>IFERROR(IF(OR($B3078="",$B3078="(blank)"),"",VLOOKUP($B3078,'Email Marketing Raw Data'!$C:$O,8,0)),"")</f>
        <v/>
      </c>
      <c r="Q3078" s="62" t="str">
        <f>IFERROR(IF(OR($B3078="",$B3078="(blank)"),"",VLOOKUP($B3078,'Email Marketing Raw Data'!$C:$O,9,0)),"")</f>
        <v/>
      </c>
    </row>
    <row r="3079" spans="4:17" ht="12.75" customHeight="1" x14ac:dyDescent="0.2">
      <c r="D3079" s="58" t="str">
        <f>IFERROR(IF(F3079&lt;&gt;"pending","",IF(OR($B3079="",$B3079="(blank)"),"",VLOOKUP($B3079,'Email Marketing Raw Data'!$C:$O,10,0))),"")</f>
        <v/>
      </c>
      <c r="E3079" s="59" t="str">
        <f>IFERROR(IF(F3079&lt;&gt;"pending","",IF(OR($B3079="",$B3079="(blank)"),"",VLOOKUP($B3079,'Email Marketing Raw Data'!$C:$O,11,0))),"")</f>
        <v/>
      </c>
      <c r="F3079" s="54" t="str">
        <f>IFERROR(IF(OR($B3079="",$B3079="(blank)"),"",VLOOKUP($B3079,'Email Marketing Raw Data'!$C:$O,13,0)),"")</f>
        <v/>
      </c>
      <c r="G3079" s="55" t="str">
        <f>IFERROR(IF(OR($B3079="",$B3079="(blank)"),"",VLOOKUP($B3079,'Email Marketing Raw Data'!$C:$O,4,0)),"")</f>
        <v/>
      </c>
      <c r="H3079" s="55" t="str">
        <f>IFERROR(IF(OR($B3079="",$B3079="(blank)"),"",VLOOKUP($B3079,'Email Marketing Raw Data'!$C:$O,5,0)),"")</f>
        <v/>
      </c>
      <c r="I3079" s="55" t="str">
        <f>IFERROR(IF($G3079="","",VLOOKUP('Dashboard And Emails Automate'!$G3079,Database!$H:$N,3,0)),"")</f>
        <v/>
      </c>
      <c r="J3079" s="55" t="str">
        <f>IFERROR(IF($G3079="","",VLOOKUP('Dashboard And Emails Automate'!$G3079,Database!$H:$N,4,0)),"")</f>
        <v/>
      </c>
      <c r="K3079" s="55" t="str">
        <f>IFERROR(IF($G3079="","",VLOOKUP('Dashboard And Emails Automate'!$G3079,Database!$H:$N,5,0)),"")</f>
        <v/>
      </c>
      <c r="L3079" s="55" t="str">
        <f>IFERROR(IF($G3079="","",VLOOKUP('Dashboard And Emails Automate'!$G3079,Database!$H:$N,6,0)),"")</f>
        <v/>
      </c>
      <c r="M3079" s="55" t="str">
        <f>IFERROR(IF($G3079="","",VLOOKUP('Dashboard And Emails Automate'!$G3079,Database!$H:$N,7,0)),"")</f>
        <v/>
      </c>
      <c r="N3079" s="55" t="str">
        <f>IFERROR(IF(OR($B3079="",$B3079="(blank)"),"",VLOOKUP($B3079,'Email Marketing Raw Data'!$C:$O,6,0)),"")</f>
        <v/>
      </c>
      <c r="O3079" s="55" t="str">
        <f>IFERROR(IF(OR($B3079="",$B3079="(blank)"),"",VLOOKUP($B3079,'Email Marketing Raw Data'!$C:$O,7,0)),"")</f>
        <v/>
      </c>
      <c r="P3079" s="55" t="str">
        <f>IFERROR(IF(OR($B3079="",$B3079="(blank)"),"",VLOOKUP($B3079,'Email Marketing Raw Data'!$C:$O,8,0)),"")</f>
        <v/>
      </c>
      <c r="Q3079" s="62" t="str">
        <f>IFERROR(IF(OR($B3079="",$B3079="(blank)"),"",VLOOKUP($B3079,'Email Marketing Raw Data'!$C:$O,9,0)),"")</f>
        <v/>
      </c>
    </row>
    <row r="3080" spans="4:17" ht="12.75" customHeight="1" x14ac:dyDescent="0.2">
      <c r="D3080" s="58" t="str">
        <f>IFERROR(IF(F3080&lt;&gt;"pending","",IF(OR($B3080="",$B3080="(blank)"),"",VLOOKUP($B3080,'Email Marketing Raw Data'!$C:$O,10,0))),"")</f>
        <v/>
      </c>
      <c r="E3080" s="59" t="str">
        <f>IFERROR(IF(F3080&lt;&gt;"pending","",IF(OR($B3080="",$B3080="(blank)"),"",VLOOKUP($B3080,'Email Marketing Raw Data'!$C:$O,11,0))),"")</f>
        <v/>
      </c>
      <c r="F3080" s="54" t="str">
        <f>IFERROR(IF(OR($B3080="",$B3080="(blank)"),"",VLOOKUP($B3080,'Email Marketing Raw Data'!$C:$O,13,0)),"")</f>
        <v/>
      </c>
      <c r="G3080" s="55" t="str">
        <f>IFERROR(IF(OR($B3080="",$B3080="(blank)"),"",VLOOKUP($B3080,'Email Marketing Raw Data'!$C:$O,4,0)),"")</f>
        <v/>
      </c>
      <c r="H3080" s="55" t="str">
        <f>IFERROR(IF(OR($B3080="",$B3080="(blank)"),"",VLOOKUP($B3080,'Email Marketing Raw Data'!$C:$O,5,0)),"")</f>
        <v/>
      </c>
      <c r="I3080" s="55" t="str">
        <f>IFERROR(IF($G3080="","",VLOOKUP('Dashboard And Emails Automate'!$G3080,Database!$H:$N,3,0)),"")</f>
        <v/>
      </c>
      <c r="J3080" s="55" t="str">
        <f>IFERROR(IF($G3080="","",VLOOKUP('Dashboard And Emails Automate'!$G3080,Database!$H:$N,4,0)),"")</f>
        <v/>
      </c>
      <c r="K3080" s="55" t="str">
        <f>IFERROR(IF($G3080="","",VLOOKUP('Dashboard And Emails Automate'!$G3080,Database!$H:$N,5,0)),"")</f>
        <v/>
      </c>
      <c r="L3080" s="55" t="str">
        <f>IFERROR(IF($G3080="","",VLOOKUP('Dashboard And Emails Automate'!$G3080,Database!$H:$N,6,0)),"")</f>
        <v/>
      </c>
      <c r="M3080" s="55" t="str">
        <f>IFERROR(IF($G3080="","",VLOOKUP('Dashboard And Emails Automate'!$G3080,Database!$H:$N,7,0)),"")</f>
        <v/>
      </c>
      <c r="N3080" s="55" t="str">
        <f>IFERROR(IF(OR($B3080="",$B3080="(blank)"),"",VLOOKUP($B3080,'Email Marketing Raw Data'!$C:$O,6,0)),"")</f>
        <v/>
      </c>
      <c r="O3080" s="55" t="str">
        <f>IFERROR(IF(OR($B3080="",$B3080="(blank)"),"",VLOOKUP($B3080,'Email Marketing Raw Data'!$C:$O,7,0)),"")</f>
        <v/>
      </c>
      <c r="P3080" s="55" t="str">
        <f>IFERROR(IF(OR($B3080="",$B3080="(blank)"),"",VLOOKUP($B3080,'Email Marketing Raw Data'!$C:$O,8,0)),"")</f>
        <v/>
      </c>
      <c r="Q3080" s="62" t="str">
        <f>IFERROR(IF(OR($B3080="",$B3080="(blank)"),"",VLOOKUP($B3080,'Email Marketing Raw Data'!$C:$O,9,0)),"")</f>
        <v/>
      </c>
    </row>
    <row r="3081" spans="4:17" ht="12.75" customHeight="1" x14ac:dyDescent="0.2">
      <c r="D3081" s="58" t="str">
        <f>IFERROR(IF(F3081&lt;&gt;"pending","",IF(OR($B3081="",$B3081="(blank)"),"",VLOOKUP($B3081,'Email Marketing Raw Data'!$C:$O,10,0))),"")</f>
        <v/>
      </c>
      <c r="E3081" s="59" t="str">
        <f>IFERROR(IF(F3081&lt;&gt;"pending","",IF(OR($B3081="",$B3081="(blank)"),"",VLOOKUP($B3081,'Email Marketing Raw Data'!$C:$O,11,0))),"")</f>
        <v/>
      </c>
      <c r="F3081" s="54" t="str">
        <f>IFERROR(IF(OR($B3081="",$B3081="(blank)"),"",VLOOKUP($B3081,'Email Marketing Raw Data'!$C:$O,13,0)),"")</f>
        <v/>
      </c>
      <c r="G3081" s="55" t="str">
        <f>IFERROR(IF(OR($B3081="",$B3081="(blank)"),"",VLOOKUP($B3081,'Email Marketing Raw Data'!$C:$O,4,0)),"")</f>
        <v/>
      </c>
      <c r="H3081" s="55" t="str">
        <f>IFERROR(IF(OR($B3081="",$B3081="(blank)"),"",VLOOKUP($B3081,'Email Marketing Raw Data'!$C:$O,5,0)),"")</f>
        <v/>
      </c>
      <c r="I3081" s="55" t="str">
        <f>IFERROR(IF($G3081="","",VLOOKUP('Dashboard And Emails Automate'!$G3081,Database!$H:$N,3,0)),"")</f>
        <v/>
      </c>
      <c r="J3081" s="55" t="str">
        <f>IFERROR(IF($G3081="","",VLOOKUP('Dashboard And Emails Automate'!$G3081,Database!$H:$N,4,0)),"")</f>
        <v/>
      </c>
      <c r="K3081" s="55" t="str">
        <f>IFERROR(IF($G3081="","",VLOOKUP('Dashboard And Emails Automate'!$G3081,Database!$H:$N,5,0)),"")</f>
        <v/>
      </c>
      <c r="L3081" s="55" t="str">
        <f>IFERROR(IF($G3081="","",VLOOKUP('Dashboard And Emails Automate'!$G3081,Database!$H:$N,6,0)),"")</f>
        <v/>
      </c>
      <c r="M3081" s="55" t="str">
        <f>IFERROR(IF($G3081="","",VLOOKUP('Dashboard And Emails Automate'!$G3081,Database!$H:$N,7,0)),"")</f>
        <v/>
      </c>
      <c r="N3081" s="55" t="str">
        <f>IFERROR(IF(OR($B3081="",$B3081="(blank)"),"",VLOOKUP($B3081,'Email Marketing Raw Data'!$C:$O,6,0)),"")</f>
        <v/>
      </c>
      <c r="O3081" s="55" t="str">
        <f>IFERROR(IF(OR($B3081="",$B3081="(blank)"),"",VLOOKUP($B3081,'Email Marketing Raw Data'!$C:$O,7,0)),"")</f>
        <v/>
      </c>
      <c r="P3081" s="55" t="str">
        <f>IFERROR(IF(OR($B3081="",$B3081="(blank)"),"",VLOOKUP($B3081,'Email Marketing Raw Data'!$C:$O,8,0)),"")</f>
        <v/>
      </c>
      <c r="Q3081" s="62" t="str">
        <f>IFERROR(IF(OR($B3081="",$B3081="(blank)"),"",VLOOKUP($B3081,'Email Marketing Raw Data'!$C:$O,9,0)),"")</f>
        <v/>
      </c>
    </row>
    <row r="3082" spans="4:17" ht="12.75" customHeight="1" x14ac:dyDescent="0.2">
      <c r="D3082" s="58" t="str">
        <f>IFERROR(IF(F3082&lt;&gt;"pending","",IF(OR($B3082="",$B3082="(blank)"),"",VLOOKUP($B3082,'Email Marketing Raw Data'!$C:$O,10,0))),"")</f>
        <v/>
      </c>
      <c r="E3082" s="59" t="str">
        <f>IFERROR(IF(F3082&lt;&gt;"pending","",IF(OR($B3082="",$B3082="(blank)"),"",VLOOKUP($B3082,'Email Marketing Raw Data'!$C:$O,11,0))),"")</f>
        <v/>
      </c>
      <c r="F3082" s="54" t="str">
        <f>IFERROR(IF(OR($B3082="",$B3082="(blank)"),"",VLOOKUP($B3082,'Email Marketing Raw Data'!$C:$O,13,0)),"")</f>
        <v/>
      </c>
      <c r="G3082" s="55" t="str">
        <f>IFERROR(IF(OR($B3082="",$B3082="(blank)"),"",VLOOKUP($B3082,'Email Marketing Raw Data'!$C:$O,4,0)),"")</f>
        <v/>
      </c>
      <c r="H3082" s="55" t="str">
        <f>IFERROR(IF(OR($B3082="",$B3082="(blank)"),"",VLOOKUP($B3082,'Email Marketing Raw Data'!$C:$O,5,0)),"")</f>
        <v/>
      </c>
      <c r="I3082" s="55" t="str">
        <f>IFERROR(IF($G3082="","",VLOOKUP('Dashboard And Emails Automate'!$G3082,Database!$H:$N,3,0)),"")</f>
        <v/>
      </c>
      <c r="J3082" s="55" t="str">
        <f>IFERROR(IF($G3082="","",VLOOKUP('Dashboard And Emails Automate'!$G3082,Database!$H:$N,4,0)),"")</f>
        <v/>
      </c>
      <c r="K3082" s="55" t="str">
        <f>IFERROR(IF($G3082="","",VLOOKUP('Dashboard And Emails Automate'!$G3082,Database!$H:$N,5,0)),"")</f>
        <v/>
      </c>
      <c r="L3082" s="55" t="str">
        <f>IFERROR(IF($G3082="","",VLOOKUP('Dashboard And Emails Automate'!$G3082,Database!$H:$N,6,0)),"")</f>
        <v/>
      </c>
      <c r="M3082" s="55" t="str">
        <f>IFERROR(IF($G3082="","",VLOOKUP('Dashboard And Emails Automate'!$G3082,Database!$H:$N,7,0)),"")</f>
        <v/>
      </c>
      <c r="N3082" s="55" t="str">
        <f>IFERROR(IF(OR($B3082="",$B3082="(blank)"),"",VLOOKUP($B3082,'Email Marketing Raw Data'!$C:$O,6,0)),"")</f>
        <v/>
      </c>
      <c r="O3082" s="55" t="str">
        <f>IFERROR(IF(OR($B3082="",$B3082="(blank)"),"",VLOOKUP($B3082,'Email Marketing Raw Data'!$C:$O,7,0)),"")</f>
        <v/>
      </c>
      <c r="P3082" s="55" t="str">
        <f>IFERROR(IF(OR($B3082="",$B3082="(blank)"),"",VLOOKUP($B3082,'Email Marketing Raw Data'!$C:$O,8,0)),"")</f>
        <v/>
      </c>
      <c r="Q3082" s="62" t="str">
        <f>IFERROR(IF(OR($B3082="",$B3082="(blank)"),"",VLOOKUP($B3082,'Email Marketing Raw Data'!$C:$O,9,0)),"")</f>
        <v/>
      </c>
    </row>
    <row r="3083" spans="4:17" ht="12.75" customHeight="1" x14ac:dyDescent="0.2">
      <c r="D3083" s="58" t="str">
        <f>IFERROR(IF(F3083&lt;&gt;"pending","",IF(OR($B3083="",$B3083="(blank)"),"",VLOOKUP($B3083,'Email Marketing Raw Data'!$C:$O,10,0))),"")</f>
        <v/>
      </c>
      <c r="E3083" s="59" t="str">
        <f>IFERROR(IF(F3083&lt;&gt;"pending","",IF(OR($B3083="",$B3083="(blank)"),"",VLOOKUP($B3083,'Email Marketing Raw Data'!$C:$O,11,0))),"")</f>
        <v/>
      </c>
      <c r="F3083" s="54" t="str">
        <f>IFERROR(IF(OR($B3083="",$B3083="(blank)"),"",VLOOKUP($B3083,'Email Marketing Raw Data'!$C:$O,13,0)),"")</f>
        <v/>
      </c>
      <c r="G3083" s="55" t="str">
        <f>IFERROR(IF(OR($B3083="",$B3083="(blank)"),"",VLOOKUP($B3083,'Email Marketing Raw Data'!$C:$O,4,0)),"")</f>
        <v/>
      </c>
      <c r="H3083" s="55" t="str">
        <f>IFERROR(IF(OR($B3083="",$B3083="(blank)"),"",VLOOKUP($B3083,'Email Marketing Raw Data'!$C:$O,5,0)),"")</f>
        <v/>
      </c>
      <c r="I3083" s="55" t="str">
        <f>IFERROR(IF($G3083="","",VLOOKUP('Dashboard And Emails Automate'!$G3083,Database!$H:$N,3,0)),"")</f>
        <v/>
      </c>
      <c r="J3083" s="55" t="str">
        <f>IFERROR(IF($G3083="","",VLOOKUP('Dashboard And Emails Automate'!$G3083,Database!$H:$N,4,0)),"")</f>
        <v/>
      </c>
      <c r="K3083" s="55" t="str">
        <f>IFERROR(IF($G3083="","",VLOOKUP('Dashboard And Emails Automate'!$G3083,Database!$H:$N,5,0)),"")</f>
        <v/>
      </c>
      <c r="L3083" s="55" t="str">
        <f>IFERROR(IF($G3083="","",VLOOKUP('Dashboard And Emails Automate'!$G3083,Database!$H:$N,6,0)),"")</f>
        <v/>
      </c>
      <c r="M3083" s="55" t="str">
        <f>IFERROR(IF($G3083="","",VLOOKUP('Dashboard And Emails Automate'!$G3083,Database!$H:$N,7,0)),"")</f>
        <v/>
      </c>
      <c r="N3083" s="55" t="str">
        <f>IFERROR(IF(OR($B3083="",$B3083="(blank)"),"",VLOOKUP($B3083,'Email Marketing Raw Data'!$C:$O,6,0)),"")</f>
        <v/>
      </c>
      <c r="O3083" s="55" t="str">
        <f>IFERROR(IF(OR($B3083="",$B3083="(blank)"),"",VLOOKUP($B3083,'Email Marketing Raw Data'!$C:$O,7,0)),"")</f>
        <v/>
      </c>
      <c r="P3083" s="55" t="str">
        <f>IFERROR(IF(OR($B3083="",$B3083="(blank)"),"",VLOOKUP($B3083,'Email Marketing Raw Data'!$C:$O,8,0)),"")</f>
        <v/>
      </c>
      <c r="Q3083" s="62" t="str">
        <f>IFERROR(IF(OR($B3083="",$B3083="(blank)"),"",VLOOKUP($B3083,'Email Marketing Raw Data'!$C:$O,9,0)),"")</f>
        <v/>
      </c>
    </row>
    <row r="3084" spans="4:17" ht="12.75" customHeight="1" x14ac:dyDescent="0.2">
      <c r="D3084" s="58" t="str">
        <f>IFERROR(IF(F3084&lt;&gt;"pending","",IF(OR($B3084="",$B3084="(blank)"),"",VLOOKUP($B3084,'Email Marketing Raw Data'!$C:$O,10,0))),"")</f>
        <v/>
      </c>
      <c r="E3084" s="59" t="str">
        <f>IFERROR(IF(F3084&lt;&gt;"pending","",IF(OR($B3084="",$B3084="(blank)"),"",VLOOKUP($B3084,'Email Marketing Raw Data'!$C:$O,11,0))),"")</f>
        <v/>
      </c>
      <c r="F3084" s="54" t="str">
        <f>IFERROR(IF(OR($B3084="",$B3084="(blank)"),"",VLOOKUP($B3084,'Email Marketing Raw Data'!$C:$O,13,0)),"")</f>
        <v/>
      </c>
      <c r="G3084" s="55" t="str">
        <f>IFERROR(IF(OR($B3084="",$B3084="(blank)"),"",VLOOKUP($B3084,'Email Marketing Raw Data'!$C:$O,4,0)),"")</f>
        <v/>
      </c>
      <c r="H3084" s="55" t="str">
        <f>IFERROR(IF(OR($B3084="",$B3084="(blank)"),"",VLOOKUP($B3084,'Email Marketing Raw Data'!$C:$O,5,0)),"")</f>
        <v/>
      </c>
      <c r="I3084" s="55" t="str">
        <f>IFERROR(IF($G3084="","",VLOOKUP('Dashboard And Emails Automate'!$G3084,Database!$H:$N,3,0)),"")</f>
        <v/>
      </c>
      <c r="J3084" s="55" t="str">
        <f>IFERROR(IF($G3084="","",VLOOKUP('Dashboard And Emails Automate'!$G3084,Database!$H:$N,4,0)),"")</f>
        <v/>
      </c>
      <c r="K3084" s="55" t="str">
        <f>IFERROR(IF($G3084="","",VLOOKUP('Dashboard And Emails Automate'!$G3084,Database!$H:$N,5,0)),"")</f>
        <v/>
      </c>
      <c r="L3084" s="55" t="str">
        <f>IFERROR(IF($G3084="","",VLOOKUP('Dashboard And Emails Automate'!$G3084,Database!$H:$N,6,0)),"")</f>
        <v/>
      </c>
      <c r="M3084" s="55" t="str">
        <f>IFERROR(IF($G3084="","",VLOOKUP('Dashboard And Emails Automate'!$G3084,Database!$H:$N,7,0)),"")</f>
        <v/>
      </c>
      <c r="N3084" s="55" t="str">
        <f>IFERROR(IF(OR($B3084="",$B3084="(blank)"),"",VLOOKUP($B3084,'Email Marketing Raw Data'!$C:$O,6,0)),"")</f>
        <v/>
      </c>
      <c r="O3084" s="55" t="str">
        <f>IFERROR(IF(OR($B3084="",$B3084="(blank)"),"",VLOOKUP($B3084,'Email Marketing Raw Data'!$C:$O,7,0)),"")</f>
        <v/>
      </c>
      <c r="P3084" s="55" t="str">
        <f>IFERROR(IF(OR($B3084="",$B3084="(blank)"),"",VLOOKUP($B3084,'Email Marketing Raw Data'!$C:$O,8,0)),"")</f>
        <v/>
      </c>
      <c r="Q3084" s="62" t="str">
        <f>IFERROR(IF(OR($B3084="",$B3084="(blank)"),"",VLOOKUP($B3084,'Email Marketing Raw Data'!$C:$O,9,0)),"")</f>
        <v/>
      </c>
    </row>
    <row r="3085" spans="4:17" ht="12.75" customHeight="1" x14ac:dyDescent="0.2">
      <c r="D3085" s="58" t="str">
        <f>IFERROR(IF(F3085&lt;&gt;"pending","",IF(OR($B3085="",$B3085="(blank)"),"",VLOOKUP($B3085,'Email Marketing Raw Data'!$C:$O,10,0))),"")</f>
        <v/>
      </c>
      <c r="E3085" s="59" t="str">
        <f>IFERROR(IF(F3085&lt;&gt;"pending","",IF(OR($B3085="",$B3085="(blank)"),"",VLOOKUP($B3085,'Email Marketing Raw Data'!$C:$O,11,0))),"")</f>
        <v/>
      </c>
      <c r="F3085" s="54" t="str">
        <f>IFERROR(IF(OR($B3085="",$B3085="(blank)"),"",VLOOKUP($B3085,'Email Marketing Raw Data'!$C:$O,13,0)),"")</f>
        <v/>
      </c>
      <c r="G3085" s="55" t="str">
        <f>IFERROR(IF(OR($B3085="",$B3085="(blank)"),"",VLOOKUP($B3085,'Email Marketing Raw Data'!$C:$O,4,0)),"")</f>
        <v/>
      </c>
      <c r="H3085" s="55" t="str">
        <f>IFERROR(IF(OR($B3085="",$B3085="(blank)"),"",VLOOKUP($B3085,'Email Marketing Raw Data'!$C:$O,5,0)),"")</f>
        <v/>
      </c>
      <c r="I3085" s="55" t="str">
        <f>IFERROR(IF($G3085="","",VLOOKUP('Dashboard And Emails Automate'!$G3085,Database!$H:$N,3,0)),"")</f>
        <v/>
      </c>
      <c r="J3085" s="55" t="str">
        <f>IFERROR(IF($G3085="","",VLOOKUP('Dashboard And Emails Automate'!$G3085,Database!$H:$N,4,0)),"")</f>
        <v/>
      </c>
      <c r="K3085" s="55" t="str">
        <f>IFERROR(IF($G3085="","",VLOOKUP('Dashboard And Emails Automate'!$G3085,Database!$H:$N,5,0)),"")</f>
        <v/>
      </c>
      <c r="L3085" s="55" t="str">
        <f>IFERROR(IF($G3085="","",VLOOKUP('Dashboard And Emails Automate'!$G3085,Database!$H:$N,6,0)),"")</f>
        <v/>
      </c>
      <c r="M3085" s="55" t="str">
        <f>IFERROR(IF($G3085="","",VLOOKUP('Dashboard And Emails Automate'!$G3085,Database!$H:$N,7,0)),"")</f>
        <v/>
      </c>
      <c r="N3085" s="55" t="str">
        <f>IFERROR(IF(OR($B3085="",$B3085="(blank)"),"",VLOOKUP($B3085,'Email Marketing Raw Data'!$C:$O,6,0)),"")</f>
        <v/>
      </c>
      <c r="O3085" s="55" t="str">
        <f>IFERROR(IF(OR($B3085="",$B3085="(blank)"),"",VLOOKUP($B3085,'Email Marketing Raw Data'!$C:$O,7,0)),"")</f>
        <v/>
      </c>
      <c r="P3085" s="55" t="str">
        <f>IFERROR(IF(OR($B3085="",$B3085="(blank)"),"",VLOOKUP($B3085,'Email Marketing Raw Data'!$C:$O,8,0)),"")</f>
        <v/>
      </c>
      <c r="Q3085" s="62" t="str">
        <f>IFERROR(IF(OR($B3085="",$B3085="(blank)"),"",VLOOKUP($B3085,'Email Marketing Raw Data'!$C:$O,9,0)),"")</f>
        <v/>
      </c>
    </row>
    <row r="3086" spans="4:17" ht="12.75" customHeight="1" x14ac:dyDescent="0.2">
      <c r="D3086" s="58" t="str">
        <f>IFERROR(IF(F3086&lt;&gt;"pending","",IF(OR($B3086="",$B3086="(blank)"),"",VLOOKUP($B3086,'Email Marketing Raw Data'!$C:$O,10,0))),"")</f>
        <v/>
      </c>
      <c r="E3086" s="59" t="str">
        <f>IFERROR(IF(F3086&lt;&gt;"pending","",IF(OR($B3086="",$B3086="(blank)"),"",VLOOKUP($B3086,'Email Marketing Raw Data'!$C:$O,11,0))),"")</f>
        <v/>
      </c>
      <c r="F3086" s="54" t="str">
        <f>IFERROR(IF(OR($B3086="",$B3086="(blank)"),"",VLOOKUP($B3086,'Email Marketing Raw Data'!$C:$O,13,0)),"")</f>
        <v/>
      </c>
      <c r="G3086" s="55" t="str">
        <f>IFERROR(IF(OR($B3086="",$B3086="(blank)"),"",VLOOKUP($B3086,'Email Marketing Raw Data'!$C:$O,4,0)),"")</f>
        <v/>
      </c>
      <c r="H3086" s="55" t="str">
        <f>IFERROR(IF(OR($B3086="",$B3086="(blank)"),"",VLOOKUP($B3086,'Email Marketing Raw Data'!$C:$O,5,0)),"")</f>
        <v/>
      </c>
      <c r="I3086" s="55" t="str">
        <f>IFERROR(IF($G3086="","",VLOOKUP('Dashboard And Emails Automate'!$G3086,Database!$H:$N,3,0)),"")</f>
        <v/>
      </c>
      <c r="J3086" s="55" t="str">
        <f>IFERROR(IF($G3086="","",VLOOKUP('Dashboard And Emails Automate'!$G3086,Database!$H:$N,4,0)),"")</f>
        <v/>
      </c>
      <c r="K3086" s="55" t="str">
        <f>IFERROR(IF($G3086="","",VLOOKUP('Dashboard And Emails Automate'!$G3086,Database!$H:$N,5,0)),"")</f>
        <v/>
      </c>
      <c r="L3086" s="55" t="str">
        <f>IFERROR(IF($G3086="","",VLOOKUP('Dashboard And Emails Automate'!$G3086,Database!$H:$N,6,0)),"")</f>
        <v/>
      </c>
      <c r="M3086" s="55" t="str">
        <f>IFERROR(IF($G3086="","",VLOOKUP('Dashboard And Emails Automate'!$G3086,Database!$H:$N,7,0)),"")</f>
        <v/>
      </c>
      <c r="N3086" s="55" t="str">
        <f>IFERROR(IF(OR($B3086="",$B3086="(blank)"),"",VLOOKUP($B3086,'Email Marketing Raw Data'!$C:$O,6,0)),"")</f>
        <v/>
      </c>
      <c r="O3086" s="55" t="str">
        <f>IFERROR(IF(OR($B3086="",$B3086="(blank)"),"",VLOOKUP($B3086,'Email Marketing Raw Data'!$C:$O,7,0)),"")</f>
        <v/>
      </c>
      <c r="P3086" s="55" t="str">
        <f>IFERROR(IF(OR($B3086="",$B3086="(blank)"),"",VLOOKUP($B3086,'Email Marketing Raw Data'!$C:$O,8,0)),"")</f>
        <v/>
      </c>
      <c r="Q3086" s="62" t="str">
        <f>IFERROR(IF(OR($B3086="",$B3086="(blank)"),"",VLOOKUP($B3086,'Email Marketing Raw Data'!$C:$O,9,0)),"")</f>
        <v/>
      </c>
    </row>
    <row r="3087" spans="4:17" ht="12.75" customHeight="1" x14ac:dyDescent="0.2">
      <c r="D3087" s="58" t="str">
        <f>IFERROR(IF(F3087&lt;&gt;"pending","",IF(OR($B3087="",$B3087="(blank)"),"",VLOOKUP($B3087,'Email Marketing Raw Data'!$C:$O,10,0))),"")</f>
        <v/>
      </c>
      <c r="E3087" s="59" t="str">
        <f>IFERROR(IF(F3087&lt;&gt;"pending","",IF(OR($B3087="",$B3087="(blank)"),"",VLOOKUP($B3087,'Email Marketing Raw Data'!$C:$O,11,0))),"")</f>
        <v/>
      </c>
      <c r="F3087" s="54" t="str">
        <f>IFERROR(IF(OR($B3087="",$B3087="(blank)"),"",VLOOKUP($B3087,'Email Marketing Raw Data'!$C:$O,13,0)),"")</f>
        <v/>
      </c>
      <c r="G3087" s="55" t="str">
        <f>IFERROR(IF(OR($B3087="",$B3087="(blank)"),"",VLOOKUP($B3087,'Email Marketing Raw Data'!$C:$O,4,0)),"")</f>
        <v/>
      </c>
      <c r="H3087" s="55" t="str">
        <f>IFERROR(IF(OR($B3087="",$B3087="(blank)"),"",VLOOKUP($B3087,'Email Marketing Raw Data'!$C:$O,5,0)),"")</f>
        <v/>
      </c>
      <c r="I3087" s="55" t="str">
        <f>IFERROR(IF($G3087="","",VLOOKUP('Dashboard And Emails Automate'!$G3087,Database!$H:$N,3,0)),"")</f>
        <v/>
      </c>
      <c r="J3087" s="55" t="str">
        <f>IFERROR(IF($G3087="","",VLOOKUP('Dashboard And Emails Automate'!$G3087,Database!$H:$N,4,0)),"")</f>
        <v/>
      </c>
      <c r="K3087" s="55" t="str">
        <f>IFERROR(IF($G3087="","",VLOOKUP('Dashboard And Emails Automate'!$G3087,Database!$H:$N,5,0)),"")</f>
        <v/>
      </c>
      <c r="L3087" s="55" t="str">
        <f>IFERROR(IF($G3087="","",VLOOKUP('Dashboard And Emails Automate'!$G3087,Database!$H:$N,6,0)),"")</f>
        <v/>
      </c>
      <c r="M3087" s="55" t="str">
        <f>IFERROR(IF($G3087="","",VLOOKUP('Dashboard And Emails Automate'!$G3087,Database!$H:$N,7,0)),"")</f>
        <v/>
      </c>
      <c r="N3087" s="55" t="str">
        <f>IFERROR(IF(OR($B3087="",$B3087="(blank)"),"",VLOOKUP($B3087,'Email Marketing Raw Data'!$C:$O,6,0)),"")</f>
        <v/>
      </c>
      <c r="O3087" s="55" t="str">
        <f>IFERROR(IF(OR($B3087="",$B3087="(blank)"),"",VLOOKUP($B3087,'Email Marketing Raw Data'!$C:$O,7,0)),"")</f>
        <v/>
      </c>
      <c r="P3087" s="55" t="str">
        <f>IFERROR(IF(OR($B3087="",$B3087="(blank)"),"",VLOOKUP($B3087,'Email Marketing Raw Data'!$C:$O,8,0)),"")</f>
        <v/>
      </c>
      <c r="Q3087" s="62" t="str">
        <f>IFERROR(IF(OR($B3087="",$B3087="(blank)"),"",VLOOKUP($B3087,'Email Marketing Raw Data'!$C:$O,9,0)),"")</f>
        <v/>
      </c>
    </row>
    <row r="3088" spans="4:17" ht="12.75" customHeight="1" x14ac:dyDescent="0.2">
      <c r="D3088" s="58" t="str">
        <f>IFERROR(IF(F3088&lt;&gt;"pending","",IF(OR($B3088="",$B3088="(blank)"),"",VLOOKUP($B3088,'Email Marketing Raw Data'!$C:$O,10,0))),"")</f>
        <v/>
      </c>
      <c r="E3088" s="59" t="str">
        <f>IFERROR(IF(F3088&lt;&gt;"pending","",IF(OR($B3088="",$B3088="(blank)"),"",VLOOKUP($B3088,'Email Marketing Raw Data'!$C:$O,11,0))),"")</f>
        <v/>
      </c>
      <c r="F3088" s="54" t="str">
        <f>IFERROR(IF(OR($B3088="",$B3088="(blank)"),"",VLOOKUP($B3088,'Email Marketing Raw Data'!$C:$O,13,0)),"")</f>
        <v/>
      </c>
      <c r="G3088" s="55" t="str">
        <f>IFERROR(IF(OR($B3088="",$B3088="(blank)"),"",VLOOKUP($B3088,'Email Marketing Raw Data'!$C:$O,4,0)),"")</f>
        <v/>
      </c>
      <c r="H3088" s="55" t="str">
        <f>IFERROR(IF(OR($B3088="",$B3088="(blank)"),"",VLOOKUP($B3088,'Email Marketing Raw Data'!$C:$O,5,0)),"")</f>
        <v/>
      </c>
      <c r="I3088" s="55" t="str">
        <f>IFERROR(IF($G3088="","",VLOOKUP('Dashboard And Emails Automate'!$G3088,Database!$H:$N,3,0)),"")</f>
        <v/>
      </c>
      <c r="J3088" s="55" t="str">
        <f>IFERROR(IF($G3088="","",VLOOKUP('Dashboard And Emails Automate'!$G3088,Database!$H:$N,4,0)),"")</f>
        <v/>
      </c>
      <c r="K3088" s="55" t="str">
        <f>IFERROR(IF($G3088="","",VLOOKUP('Dashboard And Emails Automate'!$G3088,Database!$H:$N,5,0)),"")</f>
        <v/>
      </c>
      <c r="L3088" s="55" t="str">
        <f>IFERROR(IF($G3088="","",VLOOKUP('Dashboard And Emails Automate'!$G3088,Database!$H:$N,6,0)),"")</f>
        <v/>
      </c>
      <c r="M3088" s="55" t="str">
        <f>IFERROR(IF($G3088="","",VLOOKUP('Dashboard And Emails Automate'!$G3088,Database!$H:$N,7,0)),"")</f>
        <v/>
      </c>
      <c r="N3088" s="55" t="str">
        <f>IFERROR(IF(OR($B3088="",$B3088="(blank)"),"",VLOOKUP($B3088,'Email Marketing Raw Data'!$C:$O,6,0)),"")</f>
        <v/>
      </c>
      <c r="O3088" s="55" t="str">
        <f>IFERROR(IF(OR($B3088="",$B3088="(blank)"),"",VLOOKUP($B3088,'Email Marketing Raw Data'!$C:$O,7,0)),"")</f>
        <v/>
      </c>
      <c r="P3088" s="55" t="str">
        <f>IFERROR(IF(OR($B3088="",$B3088="(blank)"),"",VLOOKUP($B3088,'Email Marketing Raw Data'!$C:$O,8,0)),"")</f>
        <v/>
      </c>
      <c r="Q3088" s="62" t="str">
        <f>IFERROR(IF(OR($B3088="",$B3088="(blank)"),"",VLOOKUP($B3088,'Email Marketing Raw Data'!$C:$O,9,0)),"")</f>
        <v/>
      </c>
    </row>
    <row r="3089" spans="4:17" ht="12.75" customHeight="1" x14ac:dyDescent="0.2">
      <c r="D3089" s="58" t="str">
        <f>IFERROR(IF(F3089&lt;&gt;"pending","",IF(OR($B3089="",$B3089="(blank)"),"",VLOOKUP($B3089,'Email Marketing Raw Data'!$C:$O,10,0))),"")</f>
        <v/>
      </c>
      <c r="E3089" s="59" t="str">
        <f>IFERROR(IF(F3089&lt;&gt;"pending","",IF(OR($B3089="",$B3089="(blank)"),"",VLOOKUP($B3089,'Email Marketing Raw Data'!$C:$O,11,0))),"")</f>
        <v/>
      </c>
      <c r="F3089" s="54" t="str">
        <f>IFERROR(IF(OR($B3089="",$B3089="(blank)"),"",VLOOKUP($B3089,'Email Marketing Raw Data'!$C:$O,13,0)),"")</f>
        <v/>
      </c>
      <c r="G3089" s="55" t="str">
        <f>IFERROR(IF(OR($B3089="",$B3089="(blank)"),"",VLOOKUP($B3089,'Email Marketing Raw Data'!$C:$O,4,0)),"")</f>
        <v/>
      </c>
      <c r="H3089" s="55" t="str">
        <f>IFERROR(IF(OR($B3089="",$B3089="(blank)"),"",VLOOKUP($B3089,'Email Marketing Raw Data'!$C:$O,5,0)),"")</f>
        <v/>
      </c>
      <c r="I3089" s="55" t="str">
        <f>IFERROR(IF($G3089="","",VLOOKUP('Dashboard And Emails Automate'!$G3089,Database!$H:$N,3,0)),"")</f>
        <v/>
      </c>
      <c r="J3089" s="55" t="str">
        <f>IFERROR(IF($G3089="","",VLOOKUP('Dashboard And Emails Automate'!$G3089,Database!$H:$N,4,0)),"")</f>
        <v/>
      </c>
      <c r="K3089" s="55" t="str">
        <f>IFERROR(IF($G3089="","",VLOOKUP('Dashboard And Emails Automate'!$G3089,Database!$H:$N,5,0)),"")</f>
        <v/>
      </c>
      <c r="L3089" s="55" t="str">
        <f>IFERROR(IF($G3089="","",VLOOKUP('Dashboard And Emails Automate'!$G3089,Database!$H:$N,6,0)),"")</f>
        <v/>
      </c>
      <c r="M3089" s="55" t="str">
        <f>IFERROR(IF($G3089="","",VLOOKUP('Dashboard And Emails Automate'!$G3089,Database!$H:$N,7,0)),"")</f>
        <v/>
      </c>
      <c r="N3089" s="55" t="str">
        <f>IFERROR(IF(OR($B3089="",$B3089="(blank)"),"",VLOOKUP($B3089,'Email Marketing Raw Data'!$C:$O,6,0)),"")</f>
        <v/>
      </c>
      <c r="O3089" s="55" t="str">
        <f>IFERROR(IF(OR($B3089="",$B3089="(blank)"),"",VLOOKUP($B3089,'Email Marketing Raw Data'!$C:$O,7,0)),"")</f>
        <v/>
      </c>
      <c r="P3089" s="55" t="str">
        <f>IFERROR(IF(OR($B3089="",$B3089="(blank)"),"",VLOOKUP($B3089,'Email Marketing Raw Data'!$C:$O,8,0)),"")</f>
        <v/>
      </c>
      <c r="Q3089" s="62" t="str">
        <f>IFERROR(IF(OR($B3089="",$B3089="(blank)"),"",VLOOKUP($B3089,'Email Marketing Raw Data'!$C:$O,9,0)),"")</f>
        <v/>
      </c>
    </row>
    <row r="3090" spans="4:17" ht="12.75" customHeight="1" x14ac:dyDescent="0.2">
      <c r="D3090" s="58" t="str">
        <f>IFERROR(IF(F3090&lt;&gt;"pending","",IF(OR($B3090="",$B3090="(blank)"),"",VLOOKUP($B3090,'Email Marketing Raw Data'!$C:$O,10,0))),"")</f>
        <v/>
      </c>
      <c r="E3090" s="59" t="str">
        <f>IFERROR(IF(F3090&lt;&gt;"pending","",IF(OR($B3090="",$B3090="(blank)"),"",VLOOKUP($B3090,'Email Marketing Raw Data'!$C:$O,11,0))),"")</f>
        <v/>
      </c>
      <c r="F3090" s="54" t="str">
        <f>IFERROR(IF(OR($B3090="",$B3090="(blank)"),"",VLOOKUP($B3090,'Email Marketing Raw Data'!$C:$O,13,0)),"")</f>
        <v/>
      </c>
      <c r="G3090" s="55" t="str">
        <f>IFERROR(IF(OR($B3090="",$B3090="(blank)"),"",VLOOKUP($B3090,'Email Marketing Raw Data'!$C:$O,4,0)),"")</f>
        <v/>
      </c>
      <c r="H3090" s="55" t="str">
        <f>IFERROR(IF(OR($B3090="",$B3090="(blank)"),"",VLOOKUP($B3090,'Email Marketing Raw Data'!$C:$O,5,0)),"")</f>
        <v/>
      </c>
      <c r="I3090" s="55" t="str">
        <f>IFERROR(IF($G3090="","",VLOOKUP('Dashboard And Emails Automate'!$G3090,Database!$H:$N,3,0)),"")</f>
        <v/>
      </c>
      <c r="J3090" s="55" t="str">
        <f>IFERROR(IF($G3090="","",VLOOKUP('Dashboard And Emails Automate'!$G3090,Database!$H:$N,4,0)),"")</f>
        <v/>
      </c>
      <c r="K3090" s="55" t="str">
        <f>IFERROR(IF($G3090="","",VLOOKUP('Dashboard And Emails Automate'!$G3090,Database!$H:$N,5,0)),"")</f>
        <v/>
      </c>
      <c r="L3090" s="55" t="str">
        <f>IFERROR(IF($G3090="","",VLOOKUP('Dashboard And Emails Automate'!$G3090,Database!$H:$N,6,0)),"")</f>
        <v/>
      </c>
      <c r="M3090" s="55" t="str">
        <f>IFERROR(IF($G3090="","",VLOOKUP('Dashboard And Emails Automate'!$G3090,Database!$H:$N,7,0)),"")</f>
        <v/>
      </c>
      <c r="N3090" s="55" t="str">
        <f>IFERROR(IF(OR($B3090="",$B3090="(blank)"),"",VLOOKUP($B3090,'Email Marketing Raw Data'!$C:$O,6,0)),"")</f>
        <v/>
      </c>
      <c r="O3090" s="55" t="str">
        <f>IFERROR(IF(OR($B3090="",$B3090="(blank)"),"",VLOOKUP($B3090,'Email Marketing Raw Data'!$C:$O,7,0)),"")</f>
        <v/>
      </c>
      <c r="P3090" s="55" t="str">
        <f>IFERROR(IF(OR($B3090="",$B3090="(blank)"),"",VLOOKUP($B3090,'Email Marketing Raw Data'!$C:$O,8,0)),"")</f>
        <v/>
      </c>
      <c r="Q3090" s="62" t="str">
        <f>IFERROR(IF(OR($B3090="",$B3090="(blank)"),"",VLOOKUP($B3090,'Email Marketing Raw Data'!$C:$O,9,0)),"")</f>
        <v/>
      </c>
    </row>
    <row r="3091" spans="4:17" ht="12.75" customHeight="1" x14ac:dyDescent="0.2">
      <c r="D3091" s="58" t="str">
        <f>IFERROR(IF(F3091&lt;&gt;"pending","",IF(OR($B3091="",$B3091="(blank)"),"",VLOOKUP($B3091,'Email Marketing Raw Data'!$C:$O,10,0))),"")</f>
        <v/>
      </c>
      <c r="E3091" s="59" t="str">
        <f>IFERROR(IF(F3091&lt;&gt;"pending","",IF(OR($B3091="",$B3091="(blank)"),"",VLOOKUP($B3091,'Email Marketing Raw Data'!$C:$O,11,0))),"")</f>
        <v/>
      </c>
      <c r="F3091" s="54" t="str">
        <f>IFERROR(IF(OR($B3091="",$B3091="(blank)"),"",VLOOKUP($B3091,'Email Marketing Raw Data'!$C:$O,13,0)),"")</f>
        <v/>
      </c>
      <c r="G3091" s="55" t="str">
        <f>IFERROR(IF(OR($B3091="",$B3091="(blank)"),"",VLOOKUP($B3091,'Email Marketing Raw Data'!$C:$O,4,0)),"")</f>
        <v/>
      </c>
      <c r="H3091" s="55" t="str">
        <f>IFERROR(IF(OR($B3091="",$B3091="(blank)"),"",VLOOKUP($B3091,'Email Marketing Raw Data'!$C:$O,5,0)),"")</f>
        <v/>
      </c>
      <c r="I3091" s="55" t="str">
        <f>IFERROR(IF($G3091="","",VLOOKUP('Dashboard And Emails Automate'!$G3091,Database!$H:$N,3,0)),"")</f>
        <v/>
      </c>
      <c r="J3091" s="55" t="str">
        <f>IFERROR(IF($G3091="","",VLOOKUP('Dashboard And Emails Automate'!$G3091,Database!$H:$N,4,0)),"")</f>
        <v/>
      </c>
      <c r="K3091" s="55" t="str">
        <f>IFERROR(IF($G3091="","",VLOOKUP('Dashboard And Emails Automate'!$G3091,Database!$H:$N,5,0)),"")</f>
        <v/>
      </c>
      <c r="L3091" s="55" t="str">
        <f>IFERROR(IF($G3091="","",VLOOKUP('Dashboard And Emails Automate'!$G3091,Database!$H:$N,6,0)),"")</f>
        <v/>
      </c>
      <c r="M3091" s="55" t="str">
        <f>IFERROR(IF($G3091="","",VLOOKUP('Dashboard And Emails Automate'!$G3091,Database!$H:$N,7,0)),"")</f>
        <v/>
      </c>
      <c r="N3091" s="55" t="str">
        <f>IFERROR(IF(OR($B3091="",$B3091="(blank)"),"",VLOOKUP($B3091,'Email Marketing Raw Data'!$C:$O,6,0)),"")</f>
        <v/>
      </c>
      <c r="O3091" s="55" t="str">
        <f>IFERROR(IF(OR($B3091="",$B3091="(blank)"),"",VLOOKUP($B3091,'Email Marketing Raw Data'!$C:$O,7,0)),"")</f>
        <v/>
      </c>
      <c r="P3091" s="55" t="str">
        <f>IFERROR(IF(OR($B3091="",$B3091="(blank)"),"",VLOOKUP($B3091,'Email Marketing Raw Data'!$C:$O,8,0)),"")</f>
        <v/>
      </c>
      <c r="Q3091" s="62" t="str">
        <f>IFERROR(IF(OR($B3091="",$B3091="(blank)"),"",VLOOKUP($B3091,'Email Marketing Raw Data'!$C:$O,9,0)),"")</f>
        <v/>
      </c>
    </row>
    <row r="3092" spans="4:17" ht="12.75" customHeight="1" x14ac:dyDescent="0.2">
      <c r="D3092" s="58" t="str">
        <f>IFERROR(IF(F3092&lt;&gt;"pending","",IF(OR($B3092="",$B3092="(blank)"),"",VLOOKUP($B3092,'Email Marketing Raw Data'!$C:$O,10,0))),"")</f>
        <v/>
      </c>
      <c r="E3092" s="59" t="str">
        <f>IFERROR(IF(F3092&lt;&gt;"pending","",IF(OR($B3092="",$B3092="(blank)"),"",VLOOKUP($B3092,'Email Marketing Raw Data'!$C:$O,11,0))),"")</f>
        <v/>
      </c>
      <c r="F3092" s="54" t="str">
        <f>IFERROR(IF(OR($B3092="",$B3092="(blank)"),"",VLOOKUP($B3092,'Email Marketing Raw Data'!$C:$O,13,0)),"")</f>
        <v/>
      </c>
      <c r="G3092" s="55" t="str">
        <f>IFERROR(IF(OR($B3092="",$B3092="(blank)"),"",VLOOKUP($B3092,'Email Marketing Raw Data'!$C:$O,4,0)),"")</f>
        <v/>
      </c>
      <c r="H3092" s="55" t="str">
        <f>IFERROR(IF(OR($B3092="",$B3092="(blank)"),"",VLOOKUP($B3092,'Email Marketing Raw Data'!$C:$O,5,0)),"")</f>
        <v/>
      </c>
      <c r="I3092" s="55" t="str">
        <f>IFERROR(IF($G3092="","",VLOOKUP('Dashboard And Emails Automate'!$G3092,Database!$H:$N,3,0)),"")</f>
        <v/>
      </c>
      <c r="J3092" s="55" t="str">
        <f>IFERROR(IF($G3092="","",VLOOKUP('Dashboard And Emails Automate'!$G3092,Database!$H:$N,4,0)),"")</f>
        <v/>
      </c>
      <c r="K3092" s="55" t="str">
        <f>IFERROR(IF($G3092="","",VLOOKUP('Dashboard And Emails Automate'!$G3092,Database!$H:$N,5,0)),"")</f>
        <v/>
      </c>
      <c r="L3092" s="55" t="str">
        <f>IFERROR(IF($G3092="","",VLOOKUP('Dashboard And Emails Automate'!$G3092,Database!$H:$N,6,0)),"")</f>
        <v/>
      </c>
      <c r="M3092" s="55" t="str">
        <f>IFERROR(IF($G3092="","",VLOOKUP('Dashboard And Emails Automate'!$G3092,Database!$H:$N,7,0)),"")</f>
        <v/>
      </c>
      <c r="N3092" s="55" t="str">
        <f>IFERROR(IF(OR($B3092="",$B3092="(blank)"),"",VLOOKUP($B3092,'Email Marketing Raw Data'!$C:$O,6,0)),"")</f>
        <v/>
      </c>
      <c r="O3092" s="55" t="str">
        <f>IFERROR(IF(OR($B3092="",$B3092="(blank)"),"",VLOOKUP($B3092,'Email Marketing Raw Data'!$C:$O,7,0)),"")</f>
        <v/>
      </c>
      <c r="P3092" s="55" t="str">
        <f>IFERROR(IF(OR($B3092="",$B3092="(blank)"),"",VLOOKUP($B3092,'Email Marketing Raw Data'!$C:$O,8,0)),"")</f>
        <v/>
      </c>
      <c r="Q3092" s="62" t="str">
        <f>IFERROR(IF(OR($B3092="",$B3092="(blank)"),"",VLOOKUP($B3092,'Email Marketing Raw Data'!$C:$O,9,0)),"")</f>
        <v/>
      </c>
    </row>
    <row r="3093" spans="4:17" ht="12.75" customHeight="1" x14ac:dyDescent="0.2">
      <c r="D3093" s="58" t="str">
        <f>IFERROR(IF(F3093&lt;&gt;"pending","",IF(OR($B3093="",$B3093="(blank)"),"",VLOOKUP($B3093,'Email Marketing Raw Data'!$C:$O,10,0))),"")</f>
        <v/>
      </c>
      <c r="E3093" s="59" t="str">
        <f>IFERROR(IF(F3093&lt;&gt;"pending","",IF(OR($B3093="",$B3093="(blank)"),"",VLOOKUP($B3093,'Email Marketing Raw Data'!$C:$O,11,0))),"")</f>
        <v/>
      </c>
      <c r="F3093" s="54" t="str">
        <f>IFERROR(IF(OR($B3093="",$B3093="(blank)"),"",VLOOKUP($B3093,'Email Marketing Raw Data'!$C:$O,13,0)),"")</f>
        <v/>
      </c>
      <c r="G3093" s="55" t="str">
        <f>IFERROR(IF(OR($B3093="",$B3093="(blank)"),"",VLOOKUP($B3093,'Email Marketing Raw Data'!$C:$O,4,0)),"")</f>
        <v/>
      </c>
      <c r="H3093" s="55" t="str">
        <f>IFERROR(IF(OR($B3093="",$B3093="(blank)"),"",VLOOKUP($B3093,'Email Marketing Raw Data'!$C:$O,5,0)),"")</f>
        <v/>
      </c>
      <c r="I3093" s="55" t="str">
        <f>IFERROR(IF($G3093="","",VLOOKUP('Dashboard And Emails Automate'!$G3093,Database!$H:$N,3,0)),"")</f>
        <v/>
      </c>
      <c r="J3093" s="55" t="str">
        <f>IFERROR(IF($G3093="","",VLOOKUP('Dashboard And Emails Automate'!$G3093,Database!$H:$N,4,0)),"")</f>
        <v/>
      </c>
      <c r="K3093" s="55" t="str">
        <f>IFERROR(IF($G3093="","",VLOOKUP('Dashboard And Emails Automate'!$G3093,Database!$H:$N,5,0)),"")</f>
        <v/>
      </c>
      <c r="L3093" s="55" t="str">
        <f>IFERROR(IF($G3093="","",VLOOKUP('Dashboard And Emails Automate'!$G3093,Database!$H:$N,6,0)),"")</f>
        <v/>
      </c>
      <c r="M3093" s="55" t="str">
        <f>IFERROR(IF($G3093="","",VLOOKUP('Dashboard And Emails Automate'!$G3093,Database!$H:$N,7,0)),"")</f>
        <v/>
      </c>
      <c r="N3093" s="55" t="str">
        <f>IFERROR(IF(OR($B3093="",$B3093="(blank)"),"",VLOOKUP($B3093,'Email Marketing Raw Data'!$C:$O,6,0)),"")</f>
        <v/>
      </c>
      <c r="O3093" s="55" t="str">
        <f>IFERROR(IF(OR($B3093="",$B3093="(blank)"),"",VLOOKUP($B3093,'Email Marketing Raw Data'!$C:$O,7,0)),"")</f>
        <v/>
      </c>
      <c r="P3093" s="55" t="str">
        <f>IFERROR(IF(OR($B3093="",$B3093="(blank)"),"",VLOOKUP($B3093,'Email Marketing Raw Data'!$C:$O,8,0)),"")</f>
        <v/>
      </c>
      <c r="Q3093" s="62" t="str">
        <f>IFERROR(IF(OR($B3093="",$B3093="(blank)"),"",VLOOKUP($B3093,'Email Marketing Raw Data'!$C:$O,9,0)),"")</f>
        <v/>
      </c>
    </row>
    <row r="3094" spans="4:17" ht="12.75" customHeight="1" x14ac:dyDescent="0.2">
      <c r="D3094" s="58" t="str">
        <f>IFERROR(IF(F3094&lt;&gt;"pending","",IF(OR($B3094="",$B3094="(blank)"),"",VLOOKUP($B3094,'Email Marketing Raw Data'!$C:$O,10,0))),"")</f>
        <v/>
      </c>
      <c r="E3094" s="59" t="str">
        <f>IFERROR(IF(F3094&lt;&gt;"pending","",IF(OR($B3094="",$B3094="(blank)"),"",VLOOKUP($B3094,'Email Marketing Raw Data'!$C:$O,11,0))),"")</f>
        <v/>
      </c>
      <c r="F3094" s="54" t="str">
        <f>IFERROR(IF(OR($B3094="",$B3094="(blank)"),"",VLOOKUP($B3094,'Email Marketing Raw Data'!$C:$O,13,0)),"")</f>
        <v/>
      </c>
      <c r="G3094" s="55" t="str">
        <f>IFERROR(IF(OR($B3094="",$B3094="(blank)"),"",VLOOKUP($B3094,'Email Marketing Raw Data'!$C:$O,4,0)),"")</f>
        <v/>
      </c>
      <c r="H3094" s="55" t="str">
        <f>IFERROR(IF(OR($B3094="",$B3094="(blank)"),"",VLOOKUP($B3094,'Email Marketing Raw Data'!$C:$O,5,0)),"")</f>
        <v/>
      </c>
      <c r="I3094" s="55" t="str">
        <f>IFERROR(IF($G3094="","",VLOOKUP('Dashboard And Emails Automate'!$G3094,Database!$H:$N,3,0)),"")</f>
        <v/>
      </c>
      <c r="J3094" s="55" t="str">
        <f>IFERROR(IF($G3094="","",VLOOKUP('Dashboard And Emails Automate'!$G3094,Database!$H:$N,4,0)),"")</f>
        <v/>
      </c>
      <c r="K3094" s="55" t="str">
        <f>IFERROR(IF($G3094="","",VLOOKUP('Dashboard And Emails Automate'!$G3094,Database!$H:$N,5,0)),"")</f>
        <v/>
      </c>
      <c r="L3094" s="55" t="str">
        <f>IFERROR(IF($G3094="","",VLOOKUP('Dashboard And Emails Automate'!$G3094,Database!$H:$N,6,0)),"")</f>
        <v/>
      </c>
      <c r="M3094" s="55" t="str">
        <f>IFERROR(IF($G3094="","",VLOOKUP('Dashboard And Emails Automate'!$G3094,Database!$H:$N,7,0)),"")</f>
        <v/>
      </c>
      <c r="N3094" s="55" t="str">
        <f>IFERROR(IF(OR($B3094="",$B3094="(blank)"),"",VLOOKUP($B3094,'Email Marketing Raw Data'!$C:$O,6,0)),"")</f>
        <v/>
      </c>
      <c r="O3094" s="55" t="str">
        <f>IFERROR(IF(OR($B3094="",$B3094="(blank)"),"",VLOOKUP($B3094,'Email Marketing Raw Data'!$C:$O,7,0)),"")</f>
        <v/>
      </c>
      <c r="P3094" s="55" t="str">
        <f>IFERROR(IF(OR($B3094="",$B3094="(blank)"),"",VLOOKUP($B3094,'Email Marketing Raw Data'!$C:$O,8,0)),"")</f>
        <v/>
      </c>
      <c r="Q3094" s="62" t="str">
        <f>IFERROR(IF(OR($B3094="",$B3094="(blank)"),"",VLOOKUP($B3094,'Email Marketing Raw Data'!$C:$O,9,0)),"")</f>
        <v/>
      </c>
    </row>
    <row r="3095" spans="4:17" ht="12.75" customHeight="1" x14ac:dyDescent="0.2">
      <c r="D3095" s="58" t="str">
        <f>IFERROR(IF(F3095&lt;&gt;"pending","",IF(OR($B3095="",$B3095="(blank)"),"",VLOOKUP($B3095,'Email Marketing Raw Data'!$C:$O,10,0))),"")</f>
        <v/>
      </c>
      <c r="E3095" s="59" t="str">
        <f>IFERROR(IF(F3095&lt;&gt;"pending","",IF(OR($B3095="",$B3095="(blank)"),"",VLOOKUP($B3095,'Email Marketing Raw Data'!$C:$O,11,0))),"")</f>
        <v/>
      </c>
      <c r="F3095" s="54" t="str">
        <f>IFERROR(IF(OR($B3095="",$B3095="(blank)"),"",VLOOKUP($B3095,'Email Marketing Raw Data'!$C:$O,13,0)),"")</f>
        <v/>
      </c>
      <c r="G3095" s="55" t="str">
        <f>IFERROR(IF(OR($B3095="",$B3095="(blank)"),"",VLOOKUP($B3095,'Email Marketing Raw Data'!$C:$O,4,0)),"")</f>
        <v/>
      </c>
      <c r="H3095" s="55" t="str">
        <f>IFERROR(IF(OR($B3095="",$B3095="(blank)"),"",VLOOKUP($B3095,'Email Marketing Raw Data'!$C:$O,5,0)),"")</f>
        <v/>
      </c>
      <c r="I3095" s="55" t="str">
        <f>IFERROR(IF($G3095="","",VLOOKUP('Dashboard And Emails Automate'!$G3095,Database!$H:$N,3,0)),"")</f>
        <v/>
      </c>
      <c r="J3095" s="55" t="str">
        <f>IFERROR(IF($G3095="","",VLOOKUP('Dashboard And Emails Automate'!$G3095,Database!$H:$N,4,0)),"")</f>
        <v/>
      </c>
      <c r="K3095" s="55" t="str">
        <f>IFERROR(IF($G3095="","",VLOOKUP('Dashboard And Emails Automate'!$G3095,Database!$H:$N,5,0)),"")</f>
        <v/>
      </c>
      <c r="L3095" s="55" t="str">
        <f>IFERROR(IF($G3095="","",VLOOKUP('Dashboard And Emails Automate'!$G3095,Database!$H:$N,6,0)),"")</f>
        <v/>
      </c>
      <c r="M3095" s="55" t="str">
        <f>IFERROR(IF($G3095="","",VLOOKUP('Dashboard And Emails Automate'!$G3095,Database!$H:$N,7,0)),"")</f>
        <v/>
      </c>
      <c r="N3095" s="55" t="str">
        <f>IFERROR(IF(OR($B3095="",$B3095="(blank)"),"",VLOOKUP($B3095,'Email Marketing Raw Data'!$C:$O,6,0)),"")</f>
        <v/>
      </c>
      <c r="O3095" s="55" t="str">
        <f>IFERROR(IF(OR($B3095="",$B3095="(blank)"),"",VLOOKUP($B3095,'Email Marketing Raw Data'!$C:$O,7,0)),"")</f>
        <v/>
      </c>
      <c r="P3095" s="55" t="str">
        <f>IFERROR(IF(OR($B3095="",$B3095="(blank)"),"",VLOOKUP($B3095,'Email Marketing Raw Data'!$C:$O,8,0)),"")</f>
        <v/>
      </c>
      <c r="Q3095" s="62" t="str">
        <f>IFERROR(IF(OR($B3095="",$B3095="(blank)"),"",VLOOKUP($B3095,'Email Marketing Raw Data'!$C:$O,9,0)),"")</f>
        <v/>
      </c>
    </row>
    <row r="3096" spans="4:17" ht="12.75" customHeight="1" x14ac:dyDescent="0.2">
      <c r="D3096" s="58" t="str">
        <f>IFERROR(IF(F3096&lt;&gt;"pending","",IF(OR($B3096="",$B3096="(blank)"),"",VLOOKUP($B3096,'Email Marketing Raw Data'!$C:$O,10,0))),"")</f>
        <v/>
      </c>
      <c r="E3096" s="59" t="str">
        <f>IFERROR(IF(F3096&lt;&gt;"pending","",IF(OR($B3096="",$B3096="(blank)"),"",VLOOKUP($B3096,'Email Marketing Raw Data'!$C:$O,11,0))),"")</f>
        <v/>
      </c>
      <c r="F3096" s="54" t="str">
        <f>IFERROR(IF(OR($B3096="",$B3096="(blank)"),"",VLOOKUP($B3096,'Email Marketing Raw Data'!$C:$O,13,0)),"")</f>
        <v/>
      </c>
      <c r="G3096" s="55" t="str">
        <f>IFERROR(IF(OR($B3096="",$B3096="(blank)"),"",VLOOKUP($B3096,'Email Marketing Raw Data'!$C:$O,4,0)),"")</f>
        <v/>
      </c>
      <c r="H3096" s="55" t="str">
        <f>IFERROR(IF(OR($B3096="",$B3096="(blank)"),"",VLOOKUP($B3096,'Email Marketing Raw Data'!$C:$O,5,0)),"")</f>
        <v/>
      </c>
      <c r="I3096" s="55" t="str">
        <f>IFERROR(IF($G3096="","",VLOOKUP('Dashboard And Emails Automate'!$G3096,Database!$H:$N,3,0)),"")</f>
        <v/>
      </c>
      <c r="J3096" s="55" t="str">
        <f>IFERROR(IF($G3096="","",VLOOKUP('Dashboard And Emails Automate'!$G3096,Database!$H:$N,4,0)),"")</f>
        <v/>
      </c>
      <c r="K3096" s="55" t="str">
        <f>IFERROR(IF($G3096="","",VLOOKUP('Dashboard And Emails Automate'!$G3096,Database!$H:$N,5,0)),"")</f>
        <v/>
      </c>
      <c r="L3096" s="55" t="str">
        <f>IFERROR(IF($G3096="","",VLOOKUP('Dashboard And Emails Automate'!$G3096,Database!$H:$N,6,0)),"")</f>
        <v/>
      </c>
      <c r="M3096" s="55" t="str">
        <f>IFERROR(IF($G3096="","",VLOOKUP('Dashboard And Emails Automate'!$G3096,Database!$H:$N,7,0)),"")</f>
        <v/>
      </c>
      <c r="N3096" s="55" t="str">
        <f>IFERROR(IF(OR($B3096="",$B3096="(blank)"),"",VLOOKUP($B3096,'Email Marketing Raw Data'!$C:$O,6,0)),"")</f>
        <v/>
      </c>
      <c r="O3096" s="55" t="str">
        <f>IFERROR(IF(OR($B3096="",$B3096="(blank)"),"",VLOOKUP($B3096,'Email Marketing Raw Data'!$C:$O,7,0)),"")</f>
        <v/>
      </c>
      <c r="P3096" s="55" t="str">
        <f>IFERROR(IF(OR($B3096="",$B3096="(blank)"),"",VLOOKUP($B3096,'Email Marketing Raw Data'!$C:$O,8,0)),"")</f>
        <v/>
      </c>
      <c r="Q3096" s="62" t="str">
        <f>IFERROR(IF(OR($B3096="",$B3096="(blank)"),"",VLOOKUP($B3096,'Email Marketing Raw Data'!$C:$O,9,0)),"")</f>
        <v/>
      </c>
    </row>
    <row r="3097" spans="4:17" ht="12.75" customHeight="1" x14ac:dyDescent="0.2">
      <c r="D3097" s="58" t="str">
        <f>IFERROR(IF(F3097&lt;&gt;"pending","",IF(OR($B3097="",$B3097="(blank)"),"",VLOOKUP($B3097,'Email Marketing Raw Data'!$C:$O,10,0))),"")</f>
        <v/>
      </c>
      <c r="E3097" s="59" t="str">
        <f>IFERROR(IF(F3097&lt;&gt;"pending","",IF(OR($B3097="",$B3097="(blank)"),"",VLOOKUP($B3097,'Email Marketing Raw Data'!$C:$O,11,0))),"")</f>
        <v/>
      </c>
      <c r="F3097" s="54" t="str">
        <f>IFERROR(IF(OR($B3097="",$B3097="(blank)"),"",VLOOKUP($B3097,'Email Marketing Raw Data'!$C:$O,13,0)),"")</f>
        <v/>
      </c>
      <c r="G3097" s="55" t="str">
        <f>IFERROR(IF(OR($B3097="",$B3097="(blank)"),"",VLOOKUP($B3097,'Email Marketing Raw Data'!$C:$O,4,0)),"")</f>
        <v/>
      </c>
      <c r="H3097" s="55" t="str">
        <f>IFERROR(IF(OR($B3097="",$B3097="(blank)"),"",VLOOKUP($B3097,'Email Marketing Raw Data'!$C:$O,5,0)),"")</f>
        <v/>
      </c>
      <c r="I3097" s="55" t="str">
        <f>IFERROR(IF($G3097="","",VLOOKUP('Dashboard And Emails Automate'!$G3097,Database!$H:$N,3,0)),"")</f>
        <v/>
      </c>
      <c r="J3097" s="55" t="str">
        <f>IFERROR(IF($G3097="","",VLOOKUP('Dashboard And Emails Automate'!$G3097,Database!$H:$N,4,0)),"")</f>
        <v/>
      </c>
      <c r="K3097" s="55" t="str">
        <f>IFERROR(IF($G3097="","",VLOOKUP('Dashboard And Emails Automate'!$G3097,Database!$H:$N,5,0)),"")</f>
        <v/>
      </c>
      <c r="L3097" s="55" t="str">
        <f>IFERROR(IF($G3097="","",VLOOKUP('Dashboard And Emails Automate'!$G3097,Database!$H:$N,6,0)),"")</f>
        <v/>
      </c>
      <c r="M3097" s="55" t="str">
        <f>IFERROR(IF($G3097="","",VLOOKUP('Dashboard And Emails Automate'!$G3097,Database!$H:$N,7,0)),"")</f>
        <v/>
      </c>
      <c r="N3097" s="55" t="str">
        <f>IFERROR(IF(OR($B3097="",$B3097="(blank)"),"",VLOOKUP($B3097,'Email Marketing Raw Data'!$C:$O,6,0)),"")</f>
        <v/>
      </c>
      <c r="O3097" s="55" t="str">
        <f>IFERROR(IF(OR($B3097="",$B3097="(blank)"),"",VLOOKUP($B3097,'Email Marketing Raw Data'!$C:$O,7,0)),"")</f>
        <v/>
      </c>
      <c r="P3097" s="55" t="str">
        <f>IFERROR(IF(OR($B3097="",$B3097="(blank)"),"",VLOOKUP($B3097,'Email Marketing Raw Data'!$C:$O,8,0)),"")</f>
        <v/>
      </c>
      <c r="Q3097" s="62" t="str">
        <f>IFERROR(IF(OR($B3097="",$B3097="(blank)"),"",VLOOKUP($B3097,'Email Marketing Raw Data'!$C:$O,9,0)),"")</f>
        <v/>
      </c>
    </row>
    <row r="3098" spans="4:17" ht="12.75" customHeight="1" x14ac:dyDescent="0.2">
      <c r="D3098" s="58" t="str">
        <f>IFERROR(IF(F3098&lt;&gt;"pending","",IF(OR($B3098="",$B3098="(blank)"),"",VLOOKUP($B3098,'Email Marketing Raw Data'!$C:$O,10,0))),"")</f>
        <v/>
      </c>
      <c r="E3098" s="59" t="str">
        <f>IFERROR(IF(F3098&lt;&gt;"pending","",IF(OR($B3098="",$B3098="(blank)"),"",VLOOKUP($B3098,'Email Marketing Raw Data'!$C:$O,11,0))),"")</f>
        <v/>
      </c>
      <c r="F3098" s="54" t="str">
        <f>IFERROR(IF(OR($B3098="",$B3098="(blank)"),"",VLOOKUP($B3098,'Email Marketing Raw Data'!$C:$O,13,0)),"")</f>
        <v/>
      </c>
      <c r="G3098" s="55" t="str">
        <f>IFERROR(IF(OR($B3098="",$B3098="(blank)"),"",VLOOKUP($B3098,'Email Marketing Raw Data'!$C:$O,4,0)),"")</f>
        <v/>
      </c>
      <c r="H3098" s="55" t="str">
        <f>IFERROR(IF(OR($B3098="",$B3098="(blank)"),"",VLOOKUP($B3098,'Email Marketing Raw Data'!$C:$O,5,0)),"")</f>
        <v/>
      </c>
      <c r="I3098" s="55" t="str">
        <f>IFERROR(IF($G3098="","",VLOOKUP('Dashboard And Emails Automate'!$G3098,Database!$H:$N,3,0)),"")</f>
        <v/>
      </c>
      <c r="J3098" s="55" t="str">
        <f>IFERROR(IF($G3098="","",VLOOKUP('Dashboard And Emails Automate'!$G3098,Database!$H:$N,4,0)),"")</f>
        <v/>
      </c>
      <c r="K3098" s="55" t="str">
        <f>IFERROR(IF($G3098="","",VLOOKUP('Dashboard And Emails Automate'!$G3098,Database!$H:$N,5,0)),"")</f>
        <v/>
      </c>
      <c r="L3098" s="55" t="str">
        <f>IFERROR(IF($G3098="","",VLOOKUP('Dashboard And Emails Automate'!$G3098,Database!$H:$N,6,0)),"")</f>
        <v/>
      </c>
      <c r="M3098" s="55" t="str">
        <f>IFERROR(IF($G3098="","",VLOOKUP('Dashboard And Emails Automate'!$G3098,Database!$H:$N,7,0)),"")</f>
        <v/>
      </c>
      <c r="N3098" s="55" t="str">
        <f>IFERROR(IF(OR($B3098="",$B3098="(blank)"),"",VLOOKUP($B3098,'Email Marketing Raw Data'!$C:$O,6,0)),"")</f>
        <v/>
      </c>
      <c r="O3098" s="55" t="str">
        <f>IFERROR(IF(OR($B3098="",$B3098="(blank)"),"",VLOOKUP($B3098,'Email Marketing Raw Data'!$C:$O,7,0)),"")</f>
        <v/>
      </c>
      <c r="P3098" s="55" t="str">
        <f>IFERROR(IF(OR($B3098="",$B3098="(blank)"),"",VLOOKUP($B3098,'Email Marketing Raw Data'!$C:$O,8,0)),"")</f>
        <v/>
      </c>
      <c r="Q3098" s="62" t="str">
        <f>IFERROR(IF(OR($B3098="",$B3098="(blank)"),"",VLOOKUP($B3098,'Email Marketing Raw Data'!$C:$O,9,0)),"")</f>
        <v/>
      </c>
    </row>
    <row r="3099" spans="4:17" ht="12.75" customHeight="1" x14ac:dyDescent="0.2">
      <c r="D3099" s="58" t="str">
        <f>IFERROR(IF(F3099&lt;&gt;"pending","",IF(OR($B3099="",$B3099="(blank)"),"",VLOOKUP($B3099,'Email Marketing Raw Data'!$C:$O,10,0))),"")</f>
        <v/>
      </c>
      <c r="E3099" s="59" t="str">
        <f>IFERROR(IF(F3099&lt;&gt;"pending","",IF(OR($B3099="",$B3099="(blank)"),"",VLOOKUP($B3099,'Email Marketing Raw Data'!$C:$O,11,0))),"")</f>
        <v/>
      </c>
      <c r="F3099" s="54" t="str">
        <f>IFERROR(IF(OR($B3099="",$B3099="(blank)"),"",VLOOKUP($B3099,'Email Marketing Raw Data'!$C:$O,13,0)),"")</f>
        <v/>
      </c>
      <c r="G3099" s="55" t="str">
        <f>IFERROR(IF(OR($B3099="",$B3099="(blank)"),"",VLOOKUP($B3099,'Email Marketing Raw Data'!$C:$O,4,0)),"")</f>
        <v/>
      </c>
      <c r="H3099" s="55" t="str">
        <f>IFERROR(IF(OR($B3099="",$B3099="(blank)"),"",VLOOKUP($B3099,'Email Marketing Raw Data'!$C:$O,5,0)),"")</f>
        <v/>
      </c>
      <c r="I3099" s="55" t="str">
        <f>IFERROR(IF($G3099="","",VLOOKUP('Dashboard And Emails Automate'!$G3099,Database!$H:$N,3,0)),"")</f>
        <v/>
      </c>
      <c r="J3099" s="55" t="str">
        <f>IFERROR(IF($G3099="","",VLOOKUP('Dashboard And Emails Automate'!$G3099,Database!$H:$N,4,0)),"")</f>
        <v/>
      </c>
      <c r="K3099" s="55" t="str">
        <f>IFERROR(IF($G3099="","",VLOOKUP('Dashboard And Emails Automate'!$G3099,Database!$H:$N,5,0)),"")</f>
        <v/>
      </c>
      <c r="L3099" s="55" t="str">
        <f>IFERROR(IF($G3099="","",VLOOKUP('Dashboard And Emails Automate'!$G3099,Database!$H:$N,6,0)),"")</f>
        <v/>
      </c>
      <c r="M3099" s="55" t="str">
        <f>IFERROR(IF($G3099="","",VLOOKUP('Dashboard And Emails Automate'!$G3099,Database!$H:$N,7,0)),"")</f>
        <v/>
      </c>
      <c r="N3099" s="55" t="str">
        <f>IFERROR(IF(OR($B3099="",$B3099="(blank)"),"",VLOOKUP($B3099,'Email Marketing Raw Data'!$C:$O,6,0)),"")</f>
        <v/>
      </c>
      <c r="O3099" s="55" t="str">
        <f>IFERROR(IF(OR($B3099="",$B3099="(blank)"),"",VLOOKUP($B3099,'Email Marketing Raw Data'!$C:$O,7,0)),"")</f>
        <v/>
      </c>
      <c r="P3099" s="55" t="str">
        <f>IFERROR(IF(OR($B3099="",$B3099="(blank)"),"",VLOOKUP($B3099,'Email Marketing Raw Data'!$C:$O,8,0)),"")</f>
        <v/>
      </c>
      <c r="Q3099" s="62" t="str">
        <f>IFERROR(IF(OR($B3099="",$B3099="(blank)"),"",VLOOKUP($B3099,'Email Marketing Raw Data'!$C:$O,9,0)),"")</f>
        <v/>
      </c>
    </row>
    <row r="3100" spans="4:17" ht="12.75" customHeight="1" x14ac:dyDescent="0.2">
      <c r="D3100" s="58" t="str">
        <f>IFERROR(IF(F3100&lt;&gt;"pending","",IF(OR($B3100="",$B3100="(blank)"),"",VLOOKUP($B3100,'Email Marketing Raw Data'!$C:$O,10,0))),"")</f>
        <v/>
      </c>
      <c r="E3100" s="59" t="str">
        <f>IFERROR(IF(F3100&lt;&gt;"pending","",IF(OR($B3100="",$B3100="(blank)"),"",VLOOKUP($B3100,'Email Marketing Raw Data'!$C:$O,11,0))),"")</f>
        <v/>
      </c>
      <c r="F3100" s="54" t="str">
        <f>IFERROR(IF(OR($B3100="",$B3100="(blank)"),"",VLOOKUP($B3100,'Email Marketing Raw Data'!$C:$O,13,0)),"")</f>
        <v/>
      </c>
      <c r="G3100" s="55" t="str">
        <f>IFERROR(IF(OR($B3100="",$B3100="(blank)"),"",VLOOKUP($B3100,'Email Marketing Raw Data'!$C:$O,4,0)),"")</f>
        <v/>
      </c>
      <c r="H3100" s="55" t="str">
        <f>IFERROR(IF(OR($B3100="",$B3100="(blank)"),"",VLOOKUP($B3100,'Email Marketing Raw Data'!$C:$O,5,0)),"")</f>
        <v/>
      </c>
      <c r="I3100" s="55" t="str">
        <f>IFERROR(IF($G3100="","",VLOOKUP('Dashboard And Emails Automate'!$G3100,Database!$H:$N,3,0)),"")</f>
        <v/>
      </c>
      <c r="J3100" s="55" t="str">
        <f>IFERROR(IF($G3100="","",VLOOKUP('Dashboard And Emails Automate'!$G3100,Database!$H:$N,4,0)),"")</f>
        <v/>
      </c>
      <c r="K3100" s="55" t="str">
        <f>IFERROR(IF($G3100="","",VLOOKUP('Dashboard And Emails Automate'!$G3100,Database!$H:$N,5,0)),"")</f>
        <v/>
      </c>
      <c r="L3100" s="55" t="str">
        <f>IFERROR(IF($G3100="","",VLOOKUP('Dashboard And Emails Automate'!$G3100,Database!$H:$N,6,0)),"")</f>
        <v/>
      </c>
      <c r="M3100" s="55" t="str">
        <f>IFERROR(IF($G3100="","",VLOOKUP('Dashboard And Emails Automate'!$G3100,Database!$H:$N,7,0)),"")</f>
        <v/>
      </c>
      <c r="N3100" s="55" t="str">
        <f>IFERROR(IF(OR($B3100="",$B3100="(blank)"),"",VLOOKUP($B3100,'Email Marketing Raw Data'!$C:$O,6,0)),"")</f>
        <v/>
      </c>
      <c r="O3100" s="55" t="str">
        <f>IFERROR(IF(OR($B3100="",$B3100="(blank)"),"",VLOOKUP($B3100,'Email Marketing Raw Data'!$C:$O,7,0)),"")</f>
        <v/>
      </c>
      <c r="P3100" s="55" t="str">
        <f>IFERROR(IF(OR($B3100="",$B3100="(blank)"),"",VLOOKUP($B3100,'Email Marketing Raw Data'!$C:$O,8,0)),"")</f>
        <v/>
      </c>
      <c r="Q3100" s="62" t="str">
        <f>IFERROR(IF(OR($B3100="",$B3100="(blank)"),"",VLOOKUP($B3100,'Email Marketing Raw Data'!$C:$O,9,0)),"")</f>
        <v/>
      </c>
    </row>
    <row r="3101" spans="4:17" ht="12.75" customHeight="1" x14ac:dyDescent="0.2">
      <c r="D3101" s="58" t="str">
        <f>IFERROR(IF(F3101&lt;&gt;"pending","",IF(OR($B3101="",$B3101="(blank)"),"",VLOOKUP($B3101,'Email Marketing Raw Data'!$C:$O,10,0))),"")</f>
        <v/>
      </c>
      <c r="E3101" s="59" t="str">
        <f>IFERROR(IF(F3101&lt;&gt;"pending","",IF(OR($B3101="",$B3101="(blank)"),"",VLOOKUP($B3101,'Email Marketing Raw Data'!$C:$O,11,0))),"")</f>
        <v/>
      </c>
      <c r="F3101" s="54" t="str">
        <f>IFERROR(IF(OR($B3101="",$B3101="(blank)"),"",VLOOKUP($B3101,'Email Marketing Raw Data'!$C:$O,13,0)),"")</f>
        <v/>
      </c>
      <c r="G3101" s="55" t="str">
        <f>IFERROR(IF(OR($B3101="",$B3101="(blank)"),"",VLOOKUP($B3101,'Email Marketing Raw Data'!$C:$O,4,0)),"")</f>
        <v/>
      </c>
      <c r="H3101" s="55" t="str">
        <f>IFERROR(IF(OR($B3101="",$B3101="(blank)"),"",VLOOKUP($B3101,'Email Marketing Raw Data'!$C:$O,5,0)),"")</f>
        <v/>
      </c>
      <c r="I3101" s="55" t="str">
        <f>IFERROR(IF($G3101="","",VLOOKUP('Dashboard And Emails Automate'!$G3101,Database!$H:$N,3,0)),"")</f>
        <v/>
      </c>
      <c r="J3101" s="55" t="str">
        <f>IFERROR(IF($G3101="","",VLOOKUP('Dashboard And Emails Automate'!$G3101,Database!$H:$N,4,0)),"")</f>
        <v/>
      </c>
      <c r="K3101" s="55" t="str">
        <f>IFERROR(IF($G3101="","",VLOOKUP('Dashboard And Emails Automate'!$G3101,Database!$H:$N,5,0)),"")</f>
        <v/>
      </c>
      <c r="L3101" s="55" t="str">
        <f>IFERROR(IF($G3101="","",VLOOKUP('Dashboard And Emails Automate'!$G3101,Database!$H:$N,6,0)),"")</f>
        <v/>
      </c>
      <c r="M3101" s="55" t="str">
        <f>IFERROR(IF($G3101="","",VLOOKUP('Dashboard And Emails Automate'!$G3101,Database!$H:$N,7,0)),"")</f>
        <v/>
      </c>
      <c r="N3101" s="55" t="str">
        <f>IFERROR(IF(OR($B3101="",$B3101="(blank)"),"",VLOOKUP($B3101,'Email Marketing Raw Data'!$C:$O,6,0)),"")</f>
        <v/>
      </c>
      <c r="O3101" s="55" t="str">
        <f>IFERROR(IF(OR($B3101="",$B3101="(blank)"),"",VLOOKUP($B3101,'Email Marketing Raw Data'!$C:$O,7,0)),"")</f>
        <v/>
      </c>
      <c r="P3101" s="55" t="str">
        <f>IFERROR(IF(OR($B3101="",$B3101="(blank)"),"",VLOOKUP($B3101,'Email Marketing Raw Data'!$C:$O,8,0)),"")</f>
        <v/>
      </c>
      <c r="Q3101" s="62" t="str">
        <f>IFERROR(IF(OR($B3101="",$B3101="(blank)"),"",VLOOKUP($B3101,'Email Marketing Raw Data'!$C:$O,9,0)),"")</f>
        <v/>
      </c>
    </row>
    <row r="3102" spans="4:17" ht="12.75" customHeight="1" x14ac:dyDescent="0.2">
      <c r="D3102" s="58" t="str">
        <f>IFERROR(IF(F3102&lt;&gt;"pending","",IF(OR($B3102="",$B3102="(blank)"),"",VLOOKUP($B3102,'Email Marketing Raw Data'!$C:$O,10,0))),"")</f>
        <v/>
      </c>
      <c r="E3102" s="59" t="str">
        <f>IFERROR(IF(F3102&lt;&gt;"pending","",IF(OR($B3102="",$B3102="(blank)"),"",VLOOKUP($B3102,'Email Marketing Raw Data'!$C:$O,11,0))),"")</f>
        <v/>
      </c>
      <c r="F3102" s="54" t="str">
        <f>IFERROR(IF(OR($B3102="",$B3102="(blank)"),"",VLOOKUP($B3102,'Email Marketing Raw Data'!$C:$O,13,0)),"")</f>
        <v/>
      </c>
      <c r="G3102" s="55" t="str">
        <f>IFERROR(IF(OR($B3102="",$B3102="(blank)"),"",VLOOKUP($B3102,'Email Marketing Raw Data'!$C:$O,4,0)),"")</f>
        <v/>
      </c>
      <c r="H3102" s="55" t="str">
        <f>IFERROR(IF(OR($B3102="",$B3102="(blank)"),"",VLOOKUP($B3102,'Email Marketing Raw Data'!$C:$O,5,0)),"")</f>
        <v/>
      </c>
      <c r="I3102" s="55" t="str">
        <f>IFERROR(IF($G3102="","",VLOOKUP('Dashboard And Emails Automate'!$G3102,Database!$H:$N,3,0)),"")</f>
        <v/>
      </c>
      <c r="J3102" s="55" t="str">
        <f>IFERROR(IF($G3102="","",VLOOKUP('Dashboard And Emails Automate'!$G3102,Database!$H:$N,4,0)),"")</f>
        <v/>
      </c>
      <c r="K3102" s="55" t="str">
        <f>IFERROR(IF($G3102="","",VLOOKUP('Dashboard And Emails Automate'!$G3102,Database!$H:$N,5,0)),"")</f>
        <v/>
      </c>
      <c r="L3102" s="55" t="str">
        <f>IFERROR(IF($G3102="","",VLOOKUP('Dashboard And Emails Automate'!$G3102,Database!$H:$N,6,0)),"")</f>
        <v/>
      </c>
      <c r="M3102" s="55" t="str">
        <f>IFERROR(IF($G3102="","",VLOOKUP('Dashboard And Emails Automate'!$G3102,Database!$H:$N,7,0)),"")</f>
        <v/>
      </c>
      <c r="N3102" s="55" t="str">
        <f>IFERROR(IF(OR($B3102="",$B3102="(blank)"),"",VLOOKUP($B3102,'Email Marketing Raw Data'!$C:$O,6,0)),"")</f>
        <v/>
      </c>
      <c r="O3102" s="55" t="str">
        <f>IFERROR(IF(OR($B3102="",$B3102="(blank)"),"",VLOOKUP($B3102,'Email Marketing Raw Data'!$C:$O,7,0)),"")</f>
        <v/>
      </c>
      <c r="P3102" s="55" t="str">
        <f>IFERROR(IF(OR($B3102="",$B3102="(blank)"),"",VLOOKUP($B3102,'Email Marketing Raw Data'!$C:$O,8,0)),"")</f>
        <v/>
      </c>
      <c r="Q3102" s="62" t="str">
        <f>IFERROR(IF(OR($B3102="",$B3102="(blank)"),"",VLOOKUP($B3102,'Email Marketing Raw Data'!$C:$O,9,0)),"")</f>
        <v/>
      </c>
    </row>
    <row r="3103" spans="4:17" ht="12.75" customHeight="1" x14ac:dyDescent="0.2">
      <c r="D3103" s="58" t="str">
        <f>IFERROR(IF(F3103&lt;&gt;"pending","",IF(OR($B3103="",$B3103="(blank)"),"",VLOOKUP($B3103,'Email Marketing Raw Data'!$C:$O,10,0))),"")</f>
        <v/>
      </c>
      <c r="E3103" s="59" t="str">
        <f>IFERROR(IF(F3103&lt;&gt;"pending","",IF(OR($B3103="",$B3103="(blank)"),"",VLOOKUP($B3103,'Email Marketing Raw Data'!$C:$O,11,0))),"")</f>
        <v/>
      </c>
      <c r="F3103" s="54" t="str">
        <f>IFERROR(IF(OR($B3103="",$B3103="(blank)"),"",VLOOKUP($B3103,'Email Marketing Raw Data'!$C:$O,13,0)),"")</f>
        <v/>
      </c>
      <c r="G3103" s="55" t="str">
        <f>IFERROR(IF(OR($B3103="",$B3103="(blank)"),"",VLOOKUP($B3103,'Email Marketing Raw Data'!$C:$O,4,0)),"")</f>
        <v/>
      </c>
      <c r="H3103" s="55" t="str">
        <f>IFERROR(IF(OR($B3103="",$B3103="(blank)"),"",VLOOKUP($B3103,'Email Marketing Raw Data'!$C:$O,5,0)),"")</f>
        <v/>
      </c>
      <c r="I3103" s="55" t="str">
        <f>IFERROR(IF($G3103="","",VLOOKUP('Dashboard And Emails Automate'!$G3103,Database!$H:$N,3,0)),"")</f>
        <v/>
      </c>
      <c r="J3103" s="55" t="str">
        <f>IFERROR(IF($G3103="","",VLOOKUP('Dashboard And Emails Automate'!$G3103,Database!$H:$N,4,0)),"")</f>
        <v/>
      </c>
      <c r="K3103" s="55" t="str">
        <f>IFERROR(IF($G3103="","",VLOOKUP('Dashboard And Emails Automate'!$G3103,Database!$H:$N,5,0)),"")</f>
        <v/>
      </c>
      <c r="L3103" s="55" t="str">
        <f>IFERROR(IF($G3103="","",VLOOKUP('Dashboard And Emails Automate'!$G3103,Database!$H:$N,6,0)),"")</f>
        <v/>
      </c>
      <c r="M3103" s="55" t="str">
        <f>IFERROR(IF($G3103="","",VLOOKUP('Dashboard And Emails Automate'!$G3103,Database!$H:$N,7,0)),"")</f>
        <v/>
      </c>
      <c r="N3103" s="55" t="str">
        <f>IFERROR(IF(OR($B3103="",$B3103="(blank)"),"",VLOOKUP($B3103,'Email Marketing Raw Data'!$C:$O,6,0)),"")</f>
        <v/>
      </c>
      <c r="O3103" s="55" t="str">
        <f>IFERROR(IF(OR($B3103="",$B3103="(blank)"),"",VLOOKUP($B3103,'Email Marketing Raw Data'!$C:$O,7,0)),"")</f>
        <v/>
      </c>
      <c r="P3103" s="55" t="str">
        <f>IFERROR(IF(OR($B3103="",$B3103="(blank)"),"",VLOOKUP($B3103,'Email Marketing Raw Data'!$C:$O,8,0)),"")</f>
        <v/>
      </c>
      <c r="Q3103" s="62" t="str">
        <f>IFERROR(IF(OR($B3103="",$B3103="(blank)"),"",VLOOKUP($B3103,'Email Marketing Raw Data'!$C:$O,9,0)),"")</f>
        <v/>
      </c>
    </row>
    <row r="3104" spans="4:17" ht="12.75" customHeight="1" x14ac:dyDescent="0.2">
      <c r="D3104" s="58" t="str">
        <f>IFERROR(IF(F3104&lt;&gt;"pending","",IF(OR($B3104="",$B3104="(blank)"),"",VLOOKUP($B3104,'Email Marketing Raw Data'!$C:$O,10,0))),"")</f>
        <v/>
      </c>
      <c r="E3104" s="59" t="str">
        <f>IFERROR(IF(F3104&lt;&gt;"pending","",IF(OR($B3104="",$B3104="(blank)"),"",VLOOKUP($B3104,'Email Marketing Raw Data'!$C:$O,11,0))),"")</f>
        <v/>
      </c>
      <c r="F3104" s="54" t="str">
        <f>IFERROR(IF(OR($B3104="",$B3104="(blank)"),"",VLOOKUP($B3104,'Email Marketing Raw Data'!$C:$O,13,0)),"")</f>
        <v/>
      </c>
      <c r="G3104" s="55" t="str">
        <f>IFERROR(IF(OR($B3104="",$B3104="(blank)"),"",VLOOKUP($B3104,'Email Marketing Raw Data'!$C:$O,4,0)),"")</f>
        <v/>
      </c>
      <c r="H3104" s="55" t="str">
        <f>IFERROR(IF(OR($B3104="",$B3104="(blank)"),"",VLOOKUP($B3104,'Email Marketing Raw Data'!$C:$O,5,0)),"")</f>
        <v/>
      </c>
      <c r="I3104" s="55" t="str">
        <f>IFERROR(IF($G3104="","",VLOOKUP('Dashboard And Emails Automate'!$G3104,Database!$H:$N,3,0)),"")</f>
        <v/>
      </c>
      <c r="J3104" s="55" t="str">
        <f>IFERROR(IF($G3104="","",VLOOKUP('Dashboard And Emails Automate'!$G3104,Database!$H:$N,4,0)),"")</f>
        <v/>
      </c>
      <c r="K3104" s="55" t="str">
        <f>IFERROR(IF($G3104="","",VLOOKUP('Dashboard And Emails Automate'!$G3104,Database!$H:$N,5,0)),"")</f>
        <v/>
      </c>
      <c r="L3104" s="55" t="str">
        <f>IFERROR(IF($G3104="","",VLOOKUP('Dashboard And Emails Automate'!$G3104,Database!$H:$N,6,0)),"")</f>
        <v/>
      </c>
      <c r="M3104" s="55" t="str">
        <f>IFERROR(IF($G3104="","",VLOOKUP('Dashboard And Emails Automate'!$G3104,Database!$H:$N,7,0)),"")</f>
        <v/>
      </c>
      <c r="N3104" s="55" t="str">
        <f>IFERROR(IF(OR($B3104="",$B3104="(blank)"),"",VLOOKUP($B3104,'Email Marketing Raw Data'!$C:$O,6,0)),"")</f>
        <v/>
      </c>
      <c r="O3104" s="55" t="str">
        <f>IFERROR(IF(OR($B3104="",$B3104="(blank)"),"",VLOOKUP($B3104,'Email Marketing Raw Data'!$C:$O,7,0)),"")</f>
        <v/>
      </c>
      <c r="P3104" s="55" t="str">
        <f>IFERROR(IF(OR($B3104="",$B3104="(blank)"),"",VLOOKUP($B3104,'Email Marketing Raw Data'!$C:$O,8,0)),"")</f>
        <v/>
      </c>
      <c r="Q3104" s="62" t="str">
        <f>IFERROR(IF(OR($B3104="",$B3104="(blank)"),"",VLOOKUP($B3104,'Email Marketing Raw Data'!$C:$O,9,0)),"")</f>
        <v/>
      </c>
    </row>
    <row r="3105" spans="4:17" ht="12.75" customHeight="1" x14ac:dyDescent="0.2">
      <c r="D3105" s="58" t="str">
        <f>IFERROR(IF(F3105&lt;&gt;"pending","",IF(OR($B3105="",$B3105="(blank)"),"",VLOOKUP($B3105,'Email Marketing Raw Data'!$C:$O,10,0))),"")</f>
        <v/>
      </c>
      <c r="E3105" s="59" t="str">
        <f>IFERROR(IF(F3105&lt;&gt;"pending","",IF(OR($B3105="",$B3105="(blank)"),"",VLOOKUP($B3105,'Email Marketing Raw Data'!$C:$O,11,0))),"")</f>
        <v/>
      </c>
      <c r="F3105" s="54" t="str">
        <f>IFERROR(IF(OR($B3105="",$B3105="(blank)"),"",VLOOKUP($B3105,'Email Marketing Raw Data'!$C:$O,13,0)),"")</f>
        <v/>
      </c>
      <c r="G3105" s="55" t="str">
        <f>IFERROR(IF(OR($B3105="",$B3105="(blank)"),"",VLOOKUP($B3105,'Email Marketing Raw Data'!$C:$O,4,0)),"")</f>
        <v/>
      </c>
      <c r="H3105" s="55" t="str">
        <f>IFERROR(IF(OR($B3105="",$B3105="(blank)"),"",VLOOKUP($B3105,'Email Marketing Raw Data'!$C:$O,5,0)),"")</f>
        <v/>
      </c>
      <c r="I3105" s="55" t="str">
        <f>IFERROR(IF($G3105="","",VLOOKUP('Dashboard And Emails Automate'!$G3105,Database!$H:$N,3,0)),"")</f>
        <v/>
      </c>
      <c r="J3105" s="55" t="str">
        <f>IFERROR(IF($G3105="","",VLOOKUP('Dashboard And Emails Automate'!$G3105,Database!$H:$N,4,0)),"")</f>
        <v/>
      </c>
      <c r="K3105" s="55" t="str">
        <f>IFERROR(IF($G3105="","",VLOOKUP('Dashboard And Emails Automate'!$G3105,Database!$H:$N,5,0)),"")</f>
        <v/>
      </c>
      <c r="L3105" s="55" t="str">
        <f>IFERROR(IF($G3105="","",VLOOKUP('Dashboard And Emails Automate'!$G3105,Database!$H:$N,6,0)),"")</f>
        <v/>
      </c>
      <c r="M3105" s="55" t="str">
        <f>IFERROR(IF($G3105="","",VLOOKUP('Dashboard And Emails Automate'!$G3105,Database!$H:$N,7,0)),"")</f>
        <v/>
      </c>
      <c r="N3105" s="55" t="str">
        <f>IFERROR(IF(OR($B3105="",$B3105="(blank)"),"",VLOOKUP($B3105,'Email Marketing Raw Data'!$C:$O,6,0)),"")</f>
        <v/>
      </c>
      <c r="O3105" s="55" t="str">
        <f>IFERROR(IF(OR($B3105="",$B3105="(blank)"),"",VLOOKUP($B3105,'Email Marketing Raw Data'!$C:$O,7,0)),"")</f>
        <v/>
      </c>
      <c r="P3105" s="55" t="str">
        <f>IFERROR(IF(OR($B3105="",$B3105="(blank)"),"",VLOOKUP($B3105,'Email Marketing Raw Data'!$C:$O,8,0)),"")</f>
        <v/>
      </c>
      <c r="Q3105" s="62" t="str">
        <f>IFERROR(IF(OR($B3105="",$B3105="(blank)"),"",VLOOKUP($B3105,'Email Marketing Raw Data'!$C:$O,9,0)),"")</f>
        <v/>
      </c>
    </row>
    <row r="3106" spans="4:17" ht="12.75" customHeight="1" x14ac:dyDescent="0.2">
      <c r="D3106" s="58" t="str">
        <f>IFERROR(IF(F3106&lt;&gt;"pending","",IF(OR($B3106="",$B3106="(blank)"),"",VLOOKUP($B3106,'Email Marketing Raw Data'!$C:$O,10,0))),"")</f>
        <v/>
      </c>
      <c r="E3106" s="59" t="str">
        <f>IFERROR(IF(F3106&lt;&gt;"pending","",IF(OR($B3106="",$B3106="(blank)"),"",VLOOKUP($B3106,'Email Marketing Raw Data'!$C:$O,11,0))),"")</f>
        <v/>
      </c>
      <c r="F3106" s="54" t="str">
        <f>IFERROR(IF(OR($B3106="",$B3106="(blank)"),"",VLOOKUP($B3106,'Email Marketing Raw Data'!$C:$O,13,0)),"")</f>
        <v/>
      </c>
      <c r="G3106" s="55" t="str">
        <f>IFERROR(IF(OR($B3106="",$B3106="(blank)"),"",VLOOKUP($B3106,'Email Marketing Raw Data'!$C:$O,4,0)),"")</f>
        <v/>
      </c>
      <c r="H3106" s="55" t="str">
        <f>IFERROR(IF(OR($B3106="",$B3106="(blank)"),"",VLOOKUP($B3106,'Email Marketing Raw Data'!$C:$O,5,0)),"")</f>
        <v/>
      </c>
      <c r="I3106" s="55" t="str">
        <f>IFERROR(IF($G3106="","",VLOOKUP('Dashboard And Emails Automate'!$G3106,Database!$H:$N,3,0)),"")</f>
        <v/>
      </c>
      <c r="J3106" s="55" t="str">
        <f>IFERROR(IF($G3106="","",VLOOKUP('Dashboard And Emails Automate'!$G3106,Database!$H:$N,4,0)),"")</f>
        <v/>
      </c>
      <c r="K3106" s="55" t="str">
        <f>IFERROR(IF($G3106="","",VLOOKUP('Dashboard And Emails Automate'!$G3106,Database!$H:$N,5,0)),"")</f>
        <v/>
      </c>
      <c r="L3106" s="55" t="str">
        <f>IFERROR(IF($G3106="","",VLOOKUP('Dashboard And Emails Automate'!$G3106,Database!$H:$N,6,0)),"")</f>
        <v/>
      </c>
      <c r="M3106" s="55" t="str">
        <f>IFERROR(IF($G3106="","",VLOOKUP('Dashboard And Emails Automate'!$G3106,Database!$H:$N,7,0)),"")</f>
        <v/>
      </c>
      <c r="N3106" s="55" t="str">
        <f>IFERROR(IF(OR($B3106="",$B3106="(blank)"),"",VLOOKUP($B3106,'Email Marketing Raw Data'!$C:$O,6,0)),"")</f>
        <v/>
      </c>
      <c r="O3106" s="55" t="str">
        <f>IFERROR(IF(OR($B3106="",$B3106="(blank)"),"",VLOOKUP($B3106,'Email Marketing Raw Data'!$C:$O,7,0)),"")</f>
        <v/>
      </c>
      <c r="P3106" s="55" t="str">
        <f>IFERROR(IF(OR($B3106="",$B3106="(blank)"),"",VLOOKUP($B3106,'Email Marketing Raw Data'!$C:$O,8,0)),"")</f>
        <v/>
      </c>
      <c r="Q3106" s="62" t="str">
        <f>IFERROR(IF(OR($B3106="",$B3106="(blank)"),"",VLOOKUP($B3106,'Email Marketing Raw Data'!$C:$O,9,0)),"")</f>
        <v/>
      </c>
    </row>
    <row r="3107" spans="4:17" ht="12.75" customHeight="1" x14ac:dyDescent="0.2">
      <c r="D3107" s="58" t="str">
        <f>IFERROR(IF(F3107&lt;&gt;"pending","",IF(OR($B3107="",$B3107="(blank)"),"",VLOOKUP($B3107,'Email Marketing Raw Data'!$C:$O,10,0))),"")</f>
        <v/>
      </c>
      <c r="E3107" s="59" t="str">
        <f>IFERROR(IF(F3107&lt;&gt;"pending","",IF(OR($B3107="",$B3107="(blank)"),"",VLOOKUP($B3107,'Email Marketing Raw Data'!$C:$O,11,0))),"")</f>
        <v/>
      </c>
      <c r="F3107" s="54" t="str">
        <f>IFERROR(IF(OR($B3107="",$B3107="(blank)"),"",VLOOKUP($B3107,'Email Marketing Raw Data'!$C:$O,13,0)),"")</f>
        <v/>
      </c>
      <c r="G3107" s="55" t="str">
        <f>IFERROR(IF(OR($B3107="",$B3107="(blank)"),"",VLOOKUP($B3107,'Email Marketing Raw Data'!$C:$O,4,0)),"")</f>
        <v/>
      </c>
      <c r="H3107" s="55" t="str">
        <f>IFERROR(IF(OR($B3107="",$B3107="(blank)"),"",VLOOKUP($B3107,'Email Marketing Raw Data'!$C:$O,5,0)),"")</f>
        <v/>
      </c>
      <c r="I3107" s="55" t="str">
        <f>IFERROR(IF($G3107="","",VLOOKUP('Dashboard And Emails Automate'!$G3107,Database!$H:$N,3,0)),"")</f>
        <v/>
      </c>
      <c r="J3107" s="55" t="str">
        <f>IFERROR(IF($G3107="","",VLOOKUP('Dashboard And Emails Automate'!$G3107,Database!$H:$N,4,0)),"")</f>
        <v/>
      </c>
      <c r="K3107" s="55" t="str">
        <f>IFERROR(IF($G3107="","",VLOOKUP('Dashboard And Emails Automate'!$G3107,Database!$H:$N,5,0)),"")</f>
        <v/>
      </c>
      <c r="L3107" s="55" t="str">
        <f>IFERROR(IF($G3107="","",VLOOKUP('Dashboard And Emails Automate'!$G3107,Database!$H:$N,6,0)),"")</f>
        <v/>
      </c>
      <c r="M3107" s="55" t="str">
        <f>IFERROR(IF($G3107="","",VLOOKUP('Dashboard And Emails Automate'!$G3107,Database!$H:$N,7,0)),"")</f>
        <v/>
      </c>
      <c r="N3107" s="55" t="str">
        <f>IFERROR(IF(OR($B3107="",$B3107="(blank)"),"",VLOOKUP($B3107,'Email Marketing Raw Data'!$C:$O,6,0)),"")</f>
        <v/>
      </c>
      <c r="O3107" s="55" t="str">
        <f>IFERROR(IF(OR($B3107="",$B3107="(blank)"),"",VLOOKUP($B3107,'Email Marketing Raw Data'!$C:$O,7,0)),"")</f>
        <v/>
      </c>
      <c r="P3107" s="55" t="str">
        <f>IFERROR(IF(OR($B3107="",$B3107="(blank)"),"",VLOOKUP($B3107,'Email Marketing Raw Data'!$C:$O,8,0)),"")</f>
        <v/>
      </c>
      <c r="Q3107" s="62" t="str">
        <f>IFERROR(IF(OR($B3107="",$B3107="(blank)"),"",VLOOKUP($B3107,'Email Marketing Raw Data'!$C:$O,9,0)),"")</f>
        <v/>
      </c>
    </row>
    <row r="3108" spans="4:17" ht="12.75" customHeight="1" x14ac:dyDescent="0.2">
      <c r="D3108" s="58" t="str">
        <f>IFERROR(IF(F3108&lt;&gt;"pending","",IF(OR($B3108="",$B3108="(blank)"),"",VLOOKUP($B3108,'Email Marketing Raw Data'!$C:$O,10,0))),"")</f>
        <v/>
      </c>
      <c r="E3108" s="59" t="str">
        <f>IFERROR(IF(F3108&lt;&gt;"pending","",IF(OR($B3108="",$B3108="(blank)"),"",VLOOKUP($B3108,'Email Marketing Raw Data'!$C:$O,11,0))),"")</f>
        <v/>
      </c>
      <c r="F3108" s="54" t="str">
        <f>IFERROR(IF(OR($B3108="",$B3108="(blank)"),"",VLOOKUP($B3108,'Email Marketing Raw Data'!$C:$O,13,0)),"")</f>
        <v/>
      </c>
      <c r="G3108" s="55" t="str">
        <f>IFERROR(IF(OR($B3108="",$B3108="(blank)"),"",VLOOKUP($B3108,'Email Marketing Raw Data'!$C:$O,4,0)),"")</f>
        <v/>
      </c>
      <c r="H3108" s="55" t="str">
        <f>IFERROR(IF(OR($B3108="",$B3108="(blank)"),"",VLOOKUP($B3108,'Email Marketing Raw Data'!$C:$O,5,0)),"")</f>
        <v/>
      </c>
      <c r="I3108" s="55" t="str">
        <f>IFERROR(IF($G3108="","",VLOOKUP('Dashboard And Emails Automate'!$G3108,Database!$H:$N,3,0)),"")</f>
        <v/>
      </c>
      <c r="J3108" s="55" t="str">
        <f>IFERROR(IF($G3108="","",VLOOKUP('Dashboard And Emails Automate'!$G3108,Database!$H:$N,4,0)),"")</f>
        <v/>
      </c>
      <c r="K3108" s="55" t="str">
        <f>IFERROR(IF($G3108="","",VLOOKUP('Dashboard And Emails Automate'!$G3108,Database!$H:$N,5,0)),"")</f>
        <v/>
      </c>
      <c r="L3108" s="55" t="str">
        <f>IFERROR(IF($G3108="","",VLOOKUP('Dashboard And Emails Automate'!$G3108,Database!$H:$N,6,0)),"")</f>
        <v/>
      </c>
      <c r="M3108" s="55" t="str">
        <f>IFERROR(IF($G3108="","",VLOOKUP('Dashboard And Emails Automate'!$G3108,Database!$H:$N,7,0)),"")</f>
        <v/>
      </c>
      <c r="N3108" s="55" t="str">
        <f>IFERROR(IF(OR($B3108="",$B3108="(blank)"),"",VLOOKUP($B3108,'Email Marketing Raw Data'!$C:$O,6,0)),"")</f>
        <v/>
      </c>
      <c r="O3108" s="55" t="str">
        <f>IFERROR(IF(OR($B3108="",$B3108="(blank)"),"",VLOOKUP($B3108,'Email Marketing Raw Data'!$C:$O,7,0)),"")</f>
        <v/>
      </c>
      <c r="P3108" s="55" t="str">
        <f>IFERROR(IF(OR($B3108="",$B3108="(blank)"),"",VLOOKUP($B3108,'Email Marketing Raw Data'!$C:$O,8,0)),"")</f>
        <v/>
      </c>
      <c r="Q3108" s="62" t="str">
        <f>IFERROR(IF(OR($B3108="",$B3108="(blank)"),"",VLOOKUP($B3108,'Email Marketing Raw Data'!$C:$O,9,0)),"")</f>
        <v/>
      </c>
    </row>
    <row r="3109" spans="4:17" ht="12.75" customHeight="1" x14ac:dyDescent="0.2">
      <c r="D3109" s="58" t="str">
        <f>IFERROR(IF(F3109&lt;&gt;"pending","",IF(OR($B3109="",$B3109="(blank)"),"",VLOOKUP($B3109,'Email Marketing Raw Data'!$C:$O,10,0))),"")</f>
        <v/>
      </c>
      <c r="E3109" s="59" t="str">
        <f>IFERROR(IF(F3109&lt;&gt;"pending","",IF(OR($B3109="",$B3109="(blank)"),"",VLOOKUP($B3109,'Email Marketing Raw Data'!$C:$O,11,0))),"")</f>
        <v/>
      </c>
      <c r="F3109" s="54" t="str">
        <f>IFERROR(IF(OR($B3109="",$B3109="(blank)"),"",VLOOKUP($B3109,'Email Marketing Raw Data'!$C:$O,13,0)),"")</f>
        <v/>
      </c>
      <c r="G3109" s="55" t="str">
        <f>IFERROR(IF(OR($B3109="",$B3109="(blank)"),"",VLOOKUP($B3109,'Email Marketing Raw Data'!$C:$O,4,0)),"")</f>
        <v/>
      </c>
      <c r="H3109" s="55" t="str">
        <f>IFERROR(IF(OR($B3109="",$B3109="(blank)"),"",VLOOKUP($B3109,'Email Marketing Raw Data'!$C:$O,5,0)),"")</f>
        <v/>
      </c>
      <c r="I3109" s="55" t="str">
        <f>IFERROR(IF($G3109="","",VLOOKUP('Dashboard And Emails Automate'!$G3109,Database!$H:$N,3,0)),"")</f>
        <v/>
      </c>
      <c r="J3109" s="55" t="str">
        <f>IFERROR(IF($G3109="","",VLOOKUP('Dashboard And Emails Automate'!$G3109,Database!$H:$N,4,0)),"")</f>
        <v/>
      </c>
      <c r="K3109" s="55" t="str">
        <f>IFERROR(IF($G3109="","",VLOOKUP('Dashboard And Emails Automate'!$G3109,Database!$H:$N,5,0)),"")</f>
        <v/>
      </c>
      <c r="L3109" s="55" t="str">
        <f>IFERROR(IF($G3109="","",VLOOKUP('Dashboard And Emails Automate'!$G3109,Database!$H:$N,6,0)),"")</f>
        <v/>
      </c>
      <c r="M3109" s="55" t="str">
        <f>IFERROR(IF($G3109="","",VLOOKUP('Dashboard And Emails Automate'!$G3109,Database!$H:$N,7,0)),"")</f>
        <v/>
      </c>
      <c r="N3109" s="55" t="str">
        <f>IFERROR(IF(OR($B3109="",$B3109="(blank)"),"",VLOOKUP($B3109,'Email Marketing Raw Data'!$C:$O,6,0)),"")</f>
        <v/>
      </c>
      <c r="O3109" s="55" t="str">
        <f>IFERROR(IF(OR($B3109="",$B3109="(blank)"),"",VLOOKUP($B3109,'Email Marketing Raw Data'!$C:$O,7,0)),"")</f>
        <v/>
      </c>
      <c r="P3109" s="55" t="str">
        <f>IFERROR(IF(OR($B3109="",$B3109="(blank)"),"",VLOOKUP($B3109,'Email Marketing Raw Data'!$C:$O,8,0)),"")</f>
        <v/>
      </c>
      <c r="Q3109" s="62" t="str">
        <f>IFERROR(IF(OR($B3109="",$B3109="(blank)"),"",VLOOKUP($B3109,'Email Marketing Raw Data'!$C:$O,9,0)),"")</f>
        <v/>
      </c>
    </row>
    <row r="3110" spans="4:17" ht="12.75" customHeight="1" x14ac:dyDescent="0.2">
      <c r="D3110" s="58" t="str">
        <f>IFERROR(IF(F3110&lt;&gt;"pending","",IF(OR($B3110="",$B3110="(blank)"),"",VLOOKUP($B3110,'Email Marketing Raw Data'!$C:$O,10,0))),"")</f>
        <v/>
      </c>
      <c r="E3110" s="59" t="str">
        <f>IFERROR(IF(F3110&lt;&gt;"pending","",IF(OR($B3110="",$B3110="(blank)"),"",VLOOKUP($B3110,'Email Marketing Raw Data'!$C:$O,11,0))),"")</f>
        <v/>
      </c>
      <c r="F3110" s="54" t="str">
        <f>IFERROR(IF(OR($B3110="",$B3110="(blank)"),"",VLOOKUP($B3110,'Email Marketing Raw Data'!$C:$O,13,0)),"")</f>
        <v/>
      </c>
      <c r="G3110" s="55" t="str">
        <f>IFERROR(IF(OR($B3110="",$B3110="(blank)"),"",VLOOKUP($B3110,'Email Marketing Raw Data'!$C:$O,4,0)),"")</f>
        <v/>
      </c>
      <c r="H3110" s="55" t="str">
        <f>IFERROR(IF(OR($B3110="",$B3110="(blank)"),"",VLOOKUP($B3110,'Email Marketing Raw Data'!$C:$O,5,0)),"")</f>
        <v/>
      </c>
      <c r="I3110" s="55" t="str">
        <f>IFERROR(IF($G3110="","",VLOOKUP('Dashboard And Emails Automate'!$G3110,Database!$H:$N,3,0)),"")</f>
        <v/>
      </c>
      <c r="J3110" s="55" t="str">
        <f>IFERROR(IF($G3110="","",VLOOKUP('Dashboard And Emails Automate'!$G3110,Database!$H:$N,4,0)),"")</f>
        <v/>
      </c>
      <c r="K3110" s="55" t="str">
        <f>IFERROR(IF($G3110="","",VLOOKUP('Dashboard And Emails Automate'!$G3110,Database!$H:$N,5,0)),"")</f>
        <v/>
      </c>
      <c r="L3110" s="55" t="str">
        <f>IFERROR(IF($G3110="","",VLOOKUP('Dashboard And Emails Automate'!$G3110,Database!$H:$N,6,0)),"")</f>
        <v/>
      </c>
      <c r="M3110" s="55" t="str">
        <f>IFERROR(IF($G3110="","",VLOOKUP('Dashboard And Emails Automate'!$G3110,Database!$H:$N,7,0)),"")</f>
        <v/>
      </c>
      <c r="N3110" s="55" t="str">
        <f>IFERROR(IF(OR($B3110="",$B3110="(blank)"),"",VLOOKUP($B3110,'Email Marketing Raw Data'!$C:$O,6,0)),"")</f>
        <v/>
      </c>
      <c r="O3110" s="55" t="str">
        <f>IFERROR(IF(OR($B3110="",$B3110="(blank)"),"",VLOOKUP($B3110,'Email Marketing Raw Data'!$C:$O,7,0)),"")</f>
        <v/>
      </c>
      <c r="P3110" s="55" t="str">
        <f>IFERROR(IF(OR($B3110="",$B3110="(blank)"),"",VLOOKUP($B3110,'Email Marketing Raw Data'!$C:$O,8,0)),"")</f>
        <v/>
      </c>
      <c r="Q3110" s="62" t="str">
        <f>IFERROR(IF(OR($B3110="",$B3110="(blank)"),"",VLOOKUP($B3110,'Email Marketing Raw Data'!$C:$O,9,0)),"")</f>
        <v/>
      </c>
    </row>
    <row r="3111" spans="4:17" ht="12.75" customHeight="1" x14ac:dyDescent="0.2">
      <c r="D3111" s="58" t="str">
        <f>IFERROR(IF(F3111&lt;&gt;"pending","",IF(OR($B3111="",$B3111="(blank)"),"",VLOOKUP($B3111,'Email Marketing Raw Data'!$C:$O,10,0))),"")</f>
        <v/>
      </c>
      <c r="E3111" s="59" t="str">
        <f>IFERROR(IF(F3111&lt;&gt;"pending","",IF(OR($B3111="",$B3111="(blank)"),"",VLOOKUP($B3111,'Email Marketing Raw Data'!$C:$O,11,0))),"")</f>
        <v/>
      </c>
      <c r="F3111" s="54" t="str">
        <f>IFERROR(IF(OR($B3111="",$B3111="(blank)"),"",VLOOKUP($B3111,'Email Marketing Raw Data'!$C:$O,13,0)),"")</f>
        <v/>
      </c>
      <c r="G3111" s="55" t="str">
        <f>IFERROR(IF(OR($B3111="",$B3111="(blank)"),"",VLOOKUP($B3111,'Email Marketing Raw Data'!$C:$O,4,0)),"")</f>
        <v/>
      </c>
      <c r="H3111" s="55" t="str">
        <f>IFERROR(IF(OR($B3111="",$B3111="(blank)"),"",VLOOKUP($B3111,'Email Marketing Raw Data'!$C:$O,5,0)),"")</f>
        <v/>
      </c>
      <c r="I3111" s="55" t="str">
        <f>IFERROR(IF($G3111="","",VLOOKUP('Dashboard And Emails Automate'!$G3111,Database!$H:$N,3,0)),"")</f>
        <v/>
      </c>
      <c r="J3111" s="55" t="str">
        <f>IFERROR(IF($G3111="","",VLOOKUP('Dashboard And Emails Automate'!$G3111,Database!$H:$N,4,0)),"")</f>
        <v/>
      </c>
      <c r="K3111" s="55" t="str">
        <f>IFERROR(IF($G3111="","",VLOOKUP('Dashboard And Emails Automate'!$G3111,Database!$H:$N,5,0)),"")</f>
        <v/>
      </c>
      <c r="L3111" s="55" t="str">
        <f>IFERROR(IF($G3111="","",VLOOKUP('Dashboard And Emails Automate'!$G3111,Database!$H:$N,6,0)),"")</f>
        <v/>
      </c>
      <c r="M3111" s="55" t="str">
        <f>IFERROR(IF($G3111="","",VLOOKUP('Dashboard And Emails Automate'!$G3111,Database!$H:$N,7,0)),"")</f>
        <v/>
      </c>
      <c r="N3111" s="55" t="str">
        <f>IFERROR(IF(OR($B3111="",$B3111="(blank)"),"",VLOOKUP($B3111,'Email Marketing Raw Data'!$C:$O,6,0)),"")</f>
        <v/>
      </c>
      <c r="O3111" s="55" t="str">
        <f>IFERROR(IF(OR($B3111="",$B3111="(blank)"),"",VLOOKUP($B3111,'Email Marketing Raw Data'!$C:$O,7,0)),"")</f>
        <v/>
      </c>
      <c r="P3111" s="55" t="str">
        <f>IFERROR(IF(OR($B3111="",$B3111="(blank)"),"",VLOOKUP($B3111,'Email Marketing Raw Data'!$C:$O,8,0)),"")</f>
        <v/>
      </c>
      <c r="Q3111" s="62" t="str">
        <f>IFERROR(IF(OR($B3111="",$B3111="(blank)"),"",VLOOKUP($B3111,'Email Marketing Raw Data'!$C:$O,9,0)),"")</f>
        <v/>
      </c>
    </row>
    <row r="3112" spans="4:17" ht="12.75" customHeight="1" x14ac:dyDescent="0.2">
      <c r="D3112" s="58" t="str">
        <f>IFERROR(IF(F3112&lt;&gt;"pending","",IF(OR($B3112="",$B3112="(blank)"),"",VLOOKUP($B3112,'Email Marketing Raw Data'!$C:$O,10,0))),"")</f>
        <v/>
      </c>
      <c r="E3112" s="59" t="str">
        <f>IFERROR(IF(F3112&lt;&gt;"pending","",IF(OR($B3112="",$B3112="(blank)"),"",VLOOKUP($B3112,'Email Marketing Raw Data'!$C:$O,11,0))),"")</f>
        <v/>
      </c>
      <c r="F3112" s="54" t="str">
        <f>IFERROR(IF(OR($B3112="",$B3112="(blank)"),"",VLOOKUP($B3112,'Email Marketing Raw Data'!$C:$O,13,0)),"")</f>
        <v/>
      </c>
      <c r="G3112" s="55" t="str">
        <f>IFERROR(IF(OR($B3112="",$B3112="(blank)"),"",VLOOKUP($B3112,'Email Marketing Raw Data'!$C:$O,4,0)),"")</f>
        <v/>
      </c>
      <c r="H3112" s="55" t="str">
        <f>IFERROR(IF(OR($B3112="",$B3112="(blank)"),"",VLOOKUP($B3112,'Email Marketing Raw Data'!$C:$O,5,0)),"")</f>
        <v/>
      </c>
      <c r="I3112" s="55" t="str">
        <f>IFERROR(IF($G3112="","",VLOOKUP('Dashboard And Emails Automate'!$G3112,Database!$H:$N,3,0)),"")</f>
        <v/>
      </c>
      <c r="J3112" s="55" t="str">
        <f>IFERROR(IF($G3112="","",VLOOKUP('Dashboard And Emails Automate'!$G3112,Database!$H:$N,4,0)),"")</f>
        <v/>
      </c>
      <c r="K3112" s="55" t="str">
        <f>IFERROR(IF($G3112="","",VLOOKUP('Dashboard And Emails Automate'!$G3112,Database!$H:$N,5,0)),"")</f>
        <v/>
      </c>
      <c r="L3112" s="55" t="str">
        <f>IFERROR(IF($G3112="","",VLOOKUP('Dashboard And Emails Automate'!$G3112,Database!$H:$N,6,0)),"")</f>
        <v/>
      </c>
      <c r="M3112" s="55" t="str">
        <f>IFERROR(IF($G3112="","",VLOOKUP('Dashboard And Emails Automate'!$G3112,Database!$H:$N,7,0)),"")</f>
        <v/>
      </c>
      <c r="N3112" s="55" t="str">
        <f>IFERROR(IF(OR($B3112="",$B3112="(blank)"),"",VLOOKUP($B3112,'Email Marketing Raw Data'!$C:$O,6,0)),"")</f>
        <v/>
      </c>
      <c r="O3112" s="55" t="str">
        <f>IFERROR(IF(OR($B3112="",$B3112="(blank)"),"",VLOOKUP($B3112,'Email Marketing Raw Data'!$C:$O,7,0)),"")</f>
        <v/>
      </c>
      <c r="P3112" s="55" t="str">
        <f>IFERROR(IF(OR($B3112="",$B3112="(blank)"),"",VLOOKUP($B3112,'Email Marketing Raw Data'!$C:$O,8,0)),"")</f>
        <v/>
      </c>
      <c r="Q3112" s="62" t="str">
        <f>IFERROR(IF(OR($B3112="",$B3112="(blank)"),"",VLOOKUP($B3112,'Email Marketing Raw Data'!$C:$O,9,0)),"")</f>
        <v/>
      </c>
    </row>
    <row r="3113" spans="4:17" ht="12.75" customHeight="1" x14ac:dyDescent="0.2">
      <c r="D3113" s="58" t="str">
        <f>IFERROR(IF(F3113&lt;&gt;"pending","",IF(OR($B3113="",$B3113="(blank)"),"",VLOOKUP($B3113,'Email Marketing Raw Data'!$C:$O,10,0))),"")</f>
        <v/>
      </c>
      <c r="E3113" s="59" t="str">
        <f>IFERROR(IF(F3113&lt;&gt;"pending","",IF(OR($B3113="",$B3113="(blank)"),"",VLOOKUP($B3113,'Email Marketing Raw Data'!$C:$O,11,0))),"")</f>
        <v/>
      </c>
      <c r="F3113" s="54" t="str">
        <f>IFERROR(IF(OR($B3113="",$B3113="(blank)"),"",VLOOKUP($B3113,'Email Marketing Raw Data'!$C:$O,13,0)),"")</f>
        <v/>
      </c>
      <c r="G3113" s="55" t="str">
        <f>IFERROR(IF(OR($B3113="",$B3113="(blank)"),"",VLOOKUP($B3113,'Email Marketing Raw Data'!$C:$O,4,0)),"")</f>
        <v/>
      </c>
      <c r="H3113" s="55" t="str">
        <f>IFERROR(IF(OR($B3113="",$B3113="(blank)"),"",VLOOKUP($B3113,'Email Marketing Raw Data'!$C:$O,5,0)),"")</f>
        <v/>
      </c>
      <c r="I3113" s="55" t="str">
        <f>IFERROR(IF($G3113="","",VLOOKUP('Dashboard And Emails Automate'!$G3113,Database!$H:$N,3,0)),"")</f>
        <v/>
      </c>
      <c r="J3113" s="55" t="str">
        <f>IFERROR(IF($G3113="","",VLOOKUP('Dashboard And Emails Automate'!$G3113,Database!$H:$N,4,0)),"")</f>
        <v/>
      </c>
      <c r="K3113" s="55" t="str">
        <f>IFERROR(IF($G3113="","",VLOOKUP('Dashboard And Emails Automate'!$G3113,Database!$H:$N,5,0)),"")</f>
        <v/>
      </c>
      <c r="L3113" s="55" t="str">
        <f>IFERROR(IF($G3113="","",VLOOKUP('Dashboard And Emails Automate'!$G3113,Database!$H:$N,6,0)),"")</f>
        <v/>
      </c>
      <c r="M3113" s="55" t="str">
        <f>IFERROR(IF($G3113="","",VLOOKUP('Dashboard And Emails Automate'!$G3113,Database!$H:$N,7,0)),"")</f>
        <v/>
      </c>
      <c r="N3113" s="55" t="str">
        <f>IFERROR(IF(OR($B3113="",$B3113="(blank)"),"",VLOOKUP($B3113,'Email Marketing Raw Data'!$C:$O,6,0)),"")</f>
        <v/>
      </c>
      <c r="O3113" s="55" t="str">
        <f>IFERROR(IF(OR($B3113="",$B3113="(blank)"),"",VLOOKUP($B3113,'Email Marketing Raw Data'!$C:$O,7,0)),"")</f>
        <v/>
      </c>
      <c r="P3113" s="55" t="str">
        <f>IFERROR(IF(OR($B3113="",$B3113="(blank)"),"",VLOOKUP($B3113,'Email Marketing Raw Data'!$C:$O,8,0)),"")</f>
        <v/>
      </c>
      <c r="Q3113" s="62" t="str">
        <f>IFERROR(IF(OR($B3113="",$B3113="(blank)"),"",VLOOKUP($B3113,'Email Marketing Raw Data'!$C:$O,9,0)),"")</f>
        <v/>
      </c>
    </row>
    <row r="3114" spans="4:17" ht="12.75" customHeight="1" x14ac:dyDescent="0.2">
      <c r="D3114" s="58" t="str">
        <f>IFERROR(IF(F3114&lt;&gt;"pending","",IF(OR($B3114="",$B3114="(blank)"),"",VLOOKUP($B3114,'Email Marketing Raw Data'!$C:$O,10,0))),"")</f>
        <v/>
      </c>
      <c r="E3114" s="59" t="str">
        <f>IFERROR(IF(F3114&lt;&gt;"pending","",IF(OR($B3114="",$B3114="(blank)"),"",VLOOKUP($B3114,'Email Marketing Raw Data'!$C:$O,11,0))),"")</f>
        <v/>
      </c>
      <c r="F3114" s="54" t="str">
        <f>IFERROR(IF(OR($B3114="",$B3114="(blank)"),"",VLOOKUP($B3114,'Email Marketing Raw Data'!$C:$O,13,0)),"")</f>
        <v/>
      </c>
      <c r="G3114" s="55" t="str">
        <f>IFERROR(IF(OR($B3114="",$B3114="(blank)"),"",VLOOKUP($B3114,'Email Marketing Raw Data'!$C:$O,4,0)),"")</f>
        <v/>
      </c>
      <c r="H3114" s="55" t="str">
        <f>IFERROR(IF(OR($B3114="",$B3114="(blank)"),"",VLOOKUP($B3114,'Email Marketing Raw Data'!$C:$O,5,0)),"")</f>
        <v/>
      </c>
      <c r="I3114" s="55" t="str">
        <f>IFERROR(IF($G3114="","",VLOOKUP('Dashboard And Emails Automate'!$G3114,Database!$H:$N,3,0)),"")</f>
        <v/>
      </c>
      <c r="J3114" s="55" t="str">
        <f>IFERROR(IF($G3114="","",VLOOKUP('Dashboard And Emails Automate'!$G3114,Database!$H:$N,4,0)),"")</f>
        <v/>
      </c>
      <c r="K3114" s="55" t="str">
        <f>IFERROR(IF($G3114="","",VLOOKUP('Dashboard And Emails Automate'!$G3114,Database!$H:$N,5,0)),"")</f>
        <v/>
      </c>
      <c r="L3114" s="55" t="str">
        <f>IFERROR(IF($G3114="","",VLOOKUP('Dashboard And Emails Automate'!$G3114,Database!$H:$N,6,0)),"")</f>
        <v/>
      </c>
      <c r="M3114" s="55" t="str">
        <f>IFERROR(IF($G3114="","",VLOOKUP('Dashboard And Emails Automate'!$G3114,Database!$H:$N,7,0)),"")</f>
        <v/>
      </c>
      <c r="N3114" s="55" t="str">
        <f>IFERROR(IF(OR($B3114="",$B3114="(blank)"),"",VLOOKUP($B3114,'Email Marketing Raw Data'!$C:$O,6,0)),"")</f>
        <v/>
      </c>
      <c r="O3114" s="55" t="str">
        <f>IFERROR(IF(OR($B3114="",$B3114="(blank)"),"",VLOOKUP($B3114,'Email Marketing Raw Data'!$C:$O,7,0)),"")</f>
        <v/>
      </c>
      <c r="P3114" s="55" t="str">
        <f>IFERROR(IF(OR($B3114="",$B3114="(blank)"),"",VLOOKUP($B3114,'Email Marketing Raw Data'!$C:$O,8,0)),"")</f>
        <v/>
      </c>
      <c r="Q3114" s="62" t="str">
        <f>IFERROR(IF(OR($B3114="",$B3114="(blank)"),"",VLOOKUP($B3114,'Email Marketing Raw Data'!$C:$O,9,0)),"")</f>
        <v/>
      </c>
    </row>
    <row r="3115" spans="4:17" ht="12.75" customHeight="1" x14ac:dyDescent="0.2">
      <c r="D3115" s="58" t="str">
        <f>IFERROR(IF(F3115&lt;&gt;"pending","",IF(OR($B3115="",$B3115="(blank)"),"",VLOOKUP($B3115,'Email Marketing Raw Data'!$C:$O,10,0))),"")</f>
        <v/>
      </c>
      <c r="E3115" s="59" t="str">
        <f>IFERROR(IF(F3115&lt;&gt;"pending","",IF(OR($B3115="",$B3115="(blank)"),"",VLOOKUP($B3115,'Email Marketing Raw Data'!$C:$O,11,0))),"")</f>
        <v/>
      </c>
      <c r="F3115" s="54" t="str">
        <f>IFERROR(IF(OR($B3115="",$B3115="(blank)"),"",VLOOKUP($B3115,'Email Marketing Raw Data'!$C:$O,13,0)),"")</f>
        <v/>
      </c>
      <c r="G3115" s="55" t="str">
        <f>IFERROR(IF(OR($B3115="",$B3115="(blank)"),"",VLOOKUP($B3115,'Email Marketing Raw Data'!$C:$O,4,0)),"")</f>
        <v/>
      </c>
      <c r="H3115" s="55" t="str">
        <f>IFERROR(IF(OR($B3115="",$B3115="(blank)"),"",VLOOKUP($B3115,'Email Marketing Raw Data'!$C:$O,5,0)),"")</f>
        <v/>
      </c>
      <c r="I3115" s="55" t="str">
        <f>IFERROR(IF($G3115="","",VLOOKUP('Dashboard And Emails Automate'!$G3115,Database!$H:$N,3,0)),"")</f>
        <v/>
      </c>
      <c r="J3115" s="55" t="str">
        <f>IFERROR(IF($G3115="","",VLOOKUP('Dashboard And Emails Automate'!$G3115,Database!$H:$N,4,0)),"")</f>
        <v/>
      </c>
      <c r="K3115" s="55" t="str">
        <f>IFERROR(IF($G3115="","",VLOOKUP('Dashboard And Emails Automate'!$G3115,Database!$H:$N,5,0)),"")</f>
        <v/>
      </c>
      <c r="L3115" s="55" t="str">
        <f>IFERROR(IF($G3115="","",VLOOKUP('Dashboard And Emails Automate'!$G3115,Database!$H:$N,6,0)),"")</f>
        <v/>
      </c>
      <c r="M3115" s="55" t="str">
        <f>IFERROR(IF($G3115="","",VLOOKUP('Dashboard And Emails Automate'!$G3115,Database!$H:$N,7,0)),"")</f>
        <v/>
      </c>
      <c r="N3115" s="55" t="str">
        <f>IFERROR(IF(OR($B3115="",$B3115="(blank)"),"",VLOOKUP($B3115,'Email Marketing Raw Data'!$C:$O,6,0)),"")</f>
        <v/>
      </c>
      <c r="O3115" s="55" t="str">
        <f>IFERROR(IF(OR($B3115="",$B3115="(blank)"),"",VLOOKUP($B3115,'Email Marketing Raw Data'!$C:$O,7,0)),"")</f>
        <v/>
      </c>
      <c r="P3115" s="55" t="str">
        <f>IFERROR(IF(OR($B3115="",$B3115="(blank)"),"",VLOOKUP($B3115,'Email Marketing Raw Data'!$C:$O,8,0)),"")</f>
        <v/>
      </c>
      <c r="Q3115" s="62" t="str">
        <f>IFERROR(IF(OR($B3115="",$B3115="(blank)"),"",VLOOKUP($B3115,'Email Marketing Raw Data'!$C:$O,9,0)),"")</f>
        <v/>
      </c>
    </row>
    <row r="3116" spans="4:17" ht="12.75" customHeight="1" x14ac:dyDescent="0.2">
      <c r="D3116" s="58" t="str">
        <f>IFERROR(IF(F3116&lt;&gt;"pending","",IF(OR($B3116="",$B3116="(blank)"),"",VLOOKUP($B3116,'Email Marketing Raw Data'!$C:$O,10,0))),"")</f>
        <v/>
      </c>
      <c r="E3116" s="59" t="str">
        <f>IFERROR(IF(F3116&lt;&gt;"pending","",IF(OR($B3116="",$B3116="(blank)"),"",VLOOKUP($B3116,'Email Marketing Raw Data'!$C:$O,11,0))),"")</f>
        <v/>
      </c>
      <c r="F3116" s="54" t="str">
        <f>IFERROR(IF(OR($B3116="",$B3116="(blank)"),"",VLOOKUP($B3116,'Email Marketing Raw Data'!$C:$O,13,0)),"")</f>
        <v/>
      </c>
      <c r="G3116" s="55" t="str">
        <f>IFERROR(IF(OR($B3116="",$B3116="(blank)"),"",VLOOKUP($B3116,'Email Marketing Raw Data'!$C:$O,4,0)),"")</f>
        <v/>
      </c>
      <c r="H3116" s="55" t="str">
        <f>IFERROR(IF(OR($B3116="",$B3116="(blank)"),"",VLOOKUP($B3116,'Email Marketing Raw Data'!$C:$O,5,0)),"")</f>
        <v/>
      </c>
      <c r="I3116" s="55" t="str">
        <f>IFERROR(IF($G3116="","",VLOOKUP('Dashboard And Emails Automate'!$G3116,Database!$H:$N,3,0)),"")</f>
        <v/>
      </c>
      <c r="J3116" s="55" t="str">
        <f>IFERROR(IF($G3116="","",VLOOKUP('Dashboard And Emails Automate'!$G3116,Database!$H:$N,4,0)),"")</f>
        <v/>
      </c>
      <c r="K3116" s="55" t="str">
        <f>IFERROR(IF($G3116="","",VLOOKUP('Dashboard And Emails Automate'!$G3116,Database!$H:$N,5,0)),"")</f>
        <v/>
      </c>
      <c r="L3116" s="55" t="str">
        <f>IFERROR(IF($G3116="","",VLOOKUP('Dashboard And Emails Automate'!$G3116,Database!$H:$N,6,0)),"")</f>
        <v/>
      </c>
      <c r="M3116" s="55" t="str">
        <f>IFERROR(IF($G3116="","",VLOOKUP('Dashboard And Emails Automate'!$G3116,Database!$H:$N,7,0)),"")</f>
        <v/>
      </c>
      <c r="N3116" s="55" t="str">
        <f>IFERROR(IF(OR($B3116="",$B3116="(blank)"),"",VLOOKUP($B3116,'Email Marketing Raw Data'!$C:$O,6,0)),"")</f>
        <v/>
      </c>
      <c r="O3116" s="55" t="str">
        <f>IFERROR(IF(OR($B3116="",$B3116="(blank)"),"",VLOOKUP($B3116,'Email Marketing Raw Data'!$C:$O,7,0)),"")</f>
        <v/>
      </c>
      <c r="P3116" s="55" t="str">
        <f>IFERROR(IF(OR($B3116="",$B3116="(blank)"),"",VLOOKUP($B3116,'Email Marketing Raw Data'!$C:$O,8,0)),"")</f>
        <v/>
      </c>
      <c r="Q3116" s="62" t="str">
        <f>IFERROR(IF(OR($B3116="",$B3116="(blank)"),"",VLOOKUP($B3116,'Email Marketing Raw Data'!$C:$O,9,0)),"")</f>
        <v/>
      </c>
    </row>
    <row r="3117" spans="4:17" ht="12.75" customHeight="1" x14ac:dyDescent="0.2">
      <c r="D3117" s="58" t="str">
        <f>IFERROR(IF(F3117&lt;&gt;"pending","",IF(OR($B3117="",$B3117="(blank)"),"",VLOOKUP($B3117,'Email Marketing Raw Data'!$C:$O,10,0))),"")</f>
        <v/>
      </c>
      <c r="E3117" s="59" t="str">
        <f>IFERROR(IF(F3117&lt;&gt;"pending","",IF(OR($B3117="",$B3117="(blank)"),"",VLOOKUP($B3117,'Email Marketing Raw Data'!$C:$O,11,0))),"")</f>
        <v/>
      </c>
      <c r="F3117" s="54" t="str">
        <f>IFERROR(IF(OR($B3117="",$B3117="(blank)"),"",VLOOKUP($B3117,'Email Marketing Raw Data'!$C:$O,13,0)),"")</f>
        <v/>
      </c>
      <c r="G3117" s="55" t="str">
        <f>IFERROR(IF(OR($B3117="",$B3117="(blank)"),"",VLOOKUP($B3117,'Email Marketing Raw Data'!$C:$O,4,0)),"")</f>
        <v/>
      </c>
      <c r="H3117" s="55" t="str">
        <f>IFERROR(IF(OR($B3117="",$B3117="(blank)"),"",VLOOKUP($B3117,'Email Marketing Raw Data'!$C:$O,5,0)),"")</f>
        <v/>
      </c>
      <c r="I3117" s="55" t="str">
        <f>IFERROR(IF($G3117="","",VLOOKUP('Dashboard And Emails Automate'!$G3117,Database!$H:$N,3,0)),"")</f>
        <v/>
      </c>
      <c r="J3117" s="55" t="str">
        <f>IFERROR(IF($G3117="","",VLOOKUP('Dashboard And Emails Automate'!$G3117,Database!$H:$N,4,0)),"")</f>
        <v/>
      </c>
      <c r="K3117" s="55" t="str">
        <f>IFERROR(IF($G3117="","",VLOOKUP('Dashboard And Emails Automate'!$G3117,Database!$H:$N,5,0)),"")</f>
        <v/>
      </c>
      <c r="L3117" s="55" t="str">
        <f>IFERROR(IF($G3117="","",VLOOKUP('Dashboard And Emails Automate'!$G3117,Database!$H:$N,6,0)),"")</f>
        <v/>
      </c>
      <c r="M3117" s="55" t="str">
        <f>IFERROR(IF($G3117="","",VLOOKUP('Dashboard And Emails Automate'!$G3117,Database!$H:$N,7,0)),"")</f>
        <v/>
      </c>
      <c r="N3117" s="55" t="str">
        <f>IFERROR(IF(OR($B3117="",$B3117="(blank)"),"",VLOOKUP($B3117,'Email Marketing Raw Data'!$C:$O,6,0)),"")</f>
        <v/>
      </c>
      <c r="O3117" s="55" t="str">
        <f>IFERROR(IF(OR($B3117="",$B3117="(blank)"),"",VLOOKUP($B3117,'Email Marketing Raw Data'!$C:$O,7,0)),"")</f>
        <v/>
      </c>
      <c r="P3117" s="55" t="str">
        <f>IFERROR(IF(OR($B3117="",$B3117="(blank)"),"",VLOOKUP($B3117,'Email Marketing Raw Data'!$C:$O,8,0)),"")</f>
        <v/>
      </c>
      <c r="Q3117" s="62" t="str">
        <f>IFERROR(IF(OR($B3117="",$B3117="(blank)"),"",VLOOKUP($B3117,'Email Marketing Raw Data'!$C:$O,9,0)),"")</f>
        <v/>
      </c>
    </row>
    <row r="3118" spans="4:17" ht="12.75" customHeight="1" x14ac:dyDescent="0.2">
      <c r="D3118" s="58" t="str">
        <f>IFERROR(IF(F3118&lt;&gt;"pending","",IF(OR($B3118="",$B3118="(blank)"),"",VLOOKUP($B3118,'Email Marketing Raw Data'!$C:$O,10,0))),"")</f>
        <v/>
      </c>
      <c r="E3118" s="59" t="str">
        <f>IFERROR(IF(F3118&lt;&gt;"pending","",IF(OR($B3118="",$B3118="(blank)"),"",VLOOKUP($B3118,'Email Marketing Raw Data'!$C:$O,11,0))),"")</f>
        <v/>
      </c>
      <c r="F3118" s="54" t="str">
        <f>IFERROR(IF(OR($B3118="",$B3118="(blank)"),"",VLOOKUP($B3118,'Email Marketing Raw Data'!$C:$O,13,0)),"")</f>
        <v/>
      </c>
      <c r="G3118" s="55" t="str">
        <f>IFERROR(IF(OR($B3118="",$B3118="(blank)"),"",VLOOKUP($B3118,'Email Marketing Raw Data'!$C:$O,4,0)),"")</f>
        <v/>
      </c>
      <c r="H3118" s="55" t="str">
        <f>IFERROR(IF(OR($B3118="",$B3118="(blank)"),"",VLOOKUP($B3118,'Email Marketing Raw Data'!$C:$O,5,0)),"")</f>
        <v/>
      </c>
      <c r="I3118" s="55" t="str">
        <f>IFERROR(IF($G3118="","",VLOOKUP('Dashboard And Emails Automate'!$G3118,Database!$H:$N,3,0)),"")</f>
        <v/>
      </c>
      <c r="J3118" s="55" t="str">
        <f>IFERROR(IF($G3118="","",VLOOKUP('Dashboard And Emails Automate'!$G3118,Database!$H:$N,4,0)),"")</f>
        <v/>
      </c>
      <c r="K3118" s="55" t="str">
        <f>IFERROR(IF($G3118="","",VLOOKUP('Dashboard And Emails Automate'!$G3118,Database!$H:$N,5,0)),"")</f>
        <v/>
      </c>
      <c r="L3118" s="55" t="str">
        <f>IFERROR(IF($G3118="","",VLOOKUP('Dashboard And Emails Automate'!$G3118,Database!$H:$N,6,0)),"")</f>
        <v/>
      </c>
      <c r="M3118" s="55" t="str">
        <f>IFERROR(IF($G3118="","",VLOOKUP('Dashboard And Emails Automate'!$G3118,Database!$H:$N,7,0)),"")</f>
        <v/>
      </c>
      <c r="N3118" s="55" t="str">
        <f>IFERROR(IF(OR($B3118="",$B3118="(blank)"),"",VLOOKUP($B3118,'Email Marketing Raw Data'!$C:$O,6,0)),"")</f>
        <v/>
      </c>
      <c r="O3118" s="55" t="str">
        <f>IFERROR(IF(OR($B3118="",$B3118="(blank)"),"",VLOOKUP($B3118,'Email Marketing Raw Data'!$C:$O,7,0)),"")</f>
        <v/>
      </c>
      <c r="P3118" s="55" t="str">
        <f>IFERROR(IF(OR($B3118="",$B3118="(blank)"),"",VLOOKUP($B3118,'Email Marketing Raw Data'!$C:$O,8,0)),"")</f>
        <v/>
      </c>
      <c r="Q3118" s="62" t="str">
        <f>IFERROR(IF(OR($B3118="",$B3118="(blank)"),"",VLOOKUP($B3118,'Email Marketing Raw Data'!$C:$O,9,0)),"")</f>
        <v/>
      </c>
    </row>
    <row r="3119" spans="4:17" ht="12.75" customHeight="1" x14ac:dyDescent="0.2">
      <c r="D3119" s="58" t="str">
        <f>IFERROR(IF(F3119&lt;&gt;"pending","",IF(OR($B3119="",$B3119="(blank)"),"",VLOOKUP($B3119,'Email Marketing Raw Data'!$C:$O,10,0))),"")</f>
        <v/>
      </c>
      <c r="E3119" s="59" t="str">
        <f>IFERROR(IF(F3119&lt;&gt;"pending","",IF(OR($B3119="",$B3119="(blank)"),"",VLOOKUP($B3119,'Email Marketing Raw Data'!$C:$O,11,0))),"")</f>
        <v/>
      </c>
      <c r="F3119" s="54" t="str">
        <f>IFERROR(IF(OR($B3119="",$B3119="(blank)"),"",VLOOKUP($B3119,'Email Marketing Raw Data'!$C:$O,13,0)),"")</f>
        <v/>
      </c>
      <c r="G3119" s="55" t="str">
        <f>IFERROR(IF(OR($B3119="",$B3119="(blank)"),"",VLOOKUP($B3119,'Email Marketing Raw Data'!$C:$O,4,0)),"")</f>
        <v/>
      </c>
      <c r="H3119" s="55" t="str">
        <f>IFERROR(IF(OR($B3119="",$B3119="(blank)"),"",VLOOKUP($B3119,'Email Marketing Raw Data'!$C:$O,5,0)),"")</f>
        <v/>
      </c>
      <c r="I3119" s="55" t="str">
        <f>IFERROR(IF($G3119="","",VLOOKUP('Dashboard And Emails Automate'!$G3119,Database!$H:$N,3,0)),"")</f>
        <v/>
      </c>
      <c r="J3119" s="55" t="str">
        <f>IFERROR(IF($G3119="","",VLOOKUP('Dashboard And Emails Automate'!$G3119,Database!$H:$N,4,0)),"")</f>
        <v/>
      </c>
      <c r="K3119" s="55" t="str">
        <f>IFERROR(IF($G3119="","",VLOOKUP('Dashboard And Emails Automate'!$G3119,Database!$H:$N,5,0)),"")</f>
        <v/>
      </c>
      <c r="L3119" s="55" t="str">
        <f>IFERROR(IF($G3119="","",VLOOKUP('Dashboard And Emails Automate'!$G3119,Database!$H:$N,6,0)),"")</f>
        <v/>
      </c>
      <c r="M3119" s="55" t="str">
        <f>IFERROR(IF($G3119="","",VLOOKUP('Dashboard And Emails Automate'!$G3119,Database!$H:$N,7,0)),"")</f>
        <v/>
      </c>
      <c r="N3119" s="55" t="str">
        <f>IFERROR(IF(OR($B3119="",$B3119="(blank)"),"",VLOOKUP($B3119,'Email Marketing Raw Data'!$C:$O,6,0)),"")</f>
        <v/>
      </c>
      <c r="O3119" s="55" t="str">
        <f>IFERROR(IF(OR($B3119="",$B3119="(blank)"),"",VLOOKUP($B3119,'Email Marketing Raw Data'!$C:$O,7,0)),"")</f>
        <v/>
      </c>
      <c r="P3119" s="55" t="str">
        <f>IFERROR(IF(OR($B3119="",$B3119="(blank)"),"",VLOOKUP($B3119,'Email Marketing Raw Data'!$C:$O,8,0)),"")</f>
        <v/>
      </c>
      <c r="Q3119" s="62" t="str">
        <f>IFERROR(IF(OR($B3119="",$B3119="(blank)"),"",VLOOKUP($B3119,'Email Marketing Raw Data'!$C:$O,9,0)),"")</f>
        <v/>
      </c>
    </row>
    <row r="3120" spans="4:17" ht="12.75" customHeight="1" x14ac:dyDescent="0.2">
      <c r="D3120" s="58" t="str">
        <f>IFERROR(IF(F3120&lt;&gt;"pending","",IF(OR($B3120="",$B3120="(blank)"),"",VLOOKUP($B3120,'Email Marketing Raw Data'!$C:$O,10,0))),"")</f>
        <v/>
      </c>
      <c r="E3120" s="59" t="str">
        <f>IFERROR(IF(F3120&lt;&gt;"pending","",IF(OR($B3120="",$B3120="(blank)"),"",VLOOKUP($B3120,'Email Marketing Raw Data'!$C:$O,11,0))),"")</f>
        <v/>
      </c>
      <c r="F3120" s="54" t="str">
        <f>IFERROR(IF(OR($B3120="",$B3120="(blank)"),"",VLOOKUP($B3120,'Email Marketing Raw Data'!$C:$O,13,0)),"")</f>
        <v/>
      </c>
      <c r="G3120" s="55" t="str">
        <f>IFERROR(IF(OR($B3120="",$B3120="(blank)"),"",VLOOKUP($B3120,'Email Marketing Raw Data'!$C:$O,4,0)),"")</f>
        <v/>
      </c>
      <c r="H3120" s="55" t="str">
        <f>IFERROR(IF(OR($B3120="",$B3120="(blank)"),"",VLOOKUP($B3120,'Email Marketing Raw Data'!$C:$O,5,0)),"")</f>
        <v/>
      </c>
      <c r="I3120" s="55" t="str">
        <f>IFERROR(IF($G3120="","",VLOOKUP('Dashboard And Emails Automate'!$G3120,Database!$H:$N,3,0)),"")</f>
        <v/>
      </c>
      <c r="J3120" s="55" t="str">
        <f>IFERROR(IF($G3120="","",VLOOKUP('Dashboard And Emails Automate'!$G3120,Database!$H:$N,4,0)),"")</f>
        <v/>
      </c>
      <c r="K3120" s="55" t="str">
        <f>IFERROR(IF($G3120="","",VLOOKUP('Dashboard And Emails Automate'!$G3120,Database!$H:$N,5,0)),"")</f>
        <v/>
      </c>
      <c r="L3120" s="55" t="str">
        <f>IFERROR(IF($G3120="","",VLOOKUP('Dashboard And Emails Automate'!$G3120,Database!$H:$N,6,0)),"")</f>
        <v/>
      </c>
      <c r="M3120" s="55" t="str">
        <f>IFERROR(IF($G3120="","",VLOOKUP('Dashboard And Emails Automate'!$G3120,Database!$H:$N,7,0)),"")</f>
        <v/>
      </c>
      <c r="N3120" s="55" t="str">
        <f>IFERROR(IF(OR($B3120="",$B3120="(blank)"),"",VLOOKUP($B3120,'Email Marketing Raw Data'!$C:$O,6,0)),"")</f>
        <v/>
      </c>
      <c r="O3120" s="55" t="str">
        <f>IFERROR(IF(OR($B3120="",$B3120="(blank)"),"",VLOOKUP($B3120,'Email Marketing Raw Data'!$C:$O,7,0)),"")</f>
        <v/>
      </c>
      <c r="P3120" s="55" t="str">
        <f>IFERROR(IF(OR($B3120="",$B3120="(blank)"),"",VLOOKUP($B3120,'Email Marketing Raw Data'!$C:$O,8,0)),"")</f>
        <v/>
      </c>
      <c r="Q3120" s="62" t="str">
        <f>IFERROR(IF(OR($B3120="",$B3120="(blank)"),"",VLOOKUP($B3120,'Email Marketing Raw Data'!$C:$O,9,0)),"")</f>
        <v/>
      </c>
    </row>
    <row r="3121" spans="4:17" ht="12.75" customHeight="1" x14ac:dyDescent="0.2">
      <c r="D3121" s="58" t="str">
        <f>IFERROR(IF(F3121&lt;&gt;"pending","",IF(OR($B3121="",$B3121="(blank)"),"",VLOOKUP($B3121,'Email Marketing Raw Data'!$C:$O,10,0))),"")</f>
        <v/>
      </c>
      <c r="E3121" s="59" t="str">
        <f>IFERROR(IF(F3121&lt;&gt;"pending","",IF(OR($B3121="",$B3121="(blank)"),"",VLOOKUP($B3121,'Email Marketing Raw Data'!$C:$O,11,0))),"")</f>
        <v/>
      </c>
      <c r="F3121" s="54" t="str">
        <f>IFERROR(IF(OR($B3121="",$B3121="(blank)"),"",VLOOKUP($B3121,'Email Marketing Raw Data'!$C:$O,13,0)),"")</f>
        <v/>
      </c>
      <c r="G3121" s="55" t="str">
        <f>IFERROR(IF(OR($B3121="",$B3121="(blank)"),"",VLOOKUP($B3121,'Email Marketing Raw Data'!$C:$O,4,0)),"")</f>
        <v/>
      </c>
      <c r="H3121" s="55" t="str">
        <f>IFERROR(IF(OR($B3121="",$B3121="(blank)"),"",VLOOKUP($B3121,'Email Marketing Raw Data'!$C:$O,5,0)),"")</f>
        <v/>
      </c>
      <c r="I3121" s="55" t="str">
        <f>IFERROR(IF($G3121="","",VLOOKUP('Dashboard And Emails Automate'!$G3121,Database!$H:$N,3,0)),"")</f>
        <v/>
      </c>
      <c r="J3121" s="55" t="str">
        <f>IFERROR(IF($G3121="","",VLOOKUP('Dashboard And Emails Automate'!$G3121,Database!$H:$N,4,0)),"")</f>
        <v/>
      </c>
      <c r="K3121" s="55" t="str">
        <f>IFERROR(IF($G3121="","",VLOOKUP('Dashboard And Emails Automate'!$G3121,Database!$H:$N,5,0)),"")</f>
        <v/>
      </c>
      <c r="L3121" s="55" t="str">
        <f>IFERROR(IF($G3121="","",VLOOKUP('Dashboard And Emails Automate'!$G3121,Database!$H:$N,6,0)),"")</f>
        <v/>
      </c>
      <c r="M3121" s="55" t="str">
        <f>IFERROR(IF($G3121="","",VLOOKUP('Dashboard And Emails Automate'!$G3121,Database!$H:$N,7,0)),"")</f>
        <v/>
      </c>
      <c r="N3121" s="55" t="str">
        <f>IFERROR(IF(OR($B3121="",$B3121="(blank)"),"",VLOOKUP($B3121,'Email Marketing Raw Data'!$C:$O,6,0)),"")</f>
        <v/>
      </c>
      <c r="O3121" s="55" t="str">
        <f>IFERROR(IF(OR($B3121="",$B3121="(blank)"),"",VLOOKUP($B3121,'Email Marketing Raw Data'!$C:$O,7,0)),"")</f>
        <v/>
      </c>
      <c r="P3121" s="55" t="str">
        <f>IFERROR(IF(OR($B3121="",$B3121="(blank)"),"",VLOOKUP($B3121,'Email Marketing Raw Data'!$C:$O,8,0)),"")</f>
        <v/>
      </c>
      <c r="Q3121" s="62" t="str">
        <f>IFERROR(IF(OR($B3121="",$B3121="(blank)"),"",VLOOKUP($B3121,'Email Marketing Raw Data'!$C:$O,9,0)),"")</f>
        <v/>
      </c>
    </row>
    <row r="3122" spans="4:17" ht="12.75" customHeight="1" x14ac:dyDescent="0.2">
      <c r="D3122" s="58" t="str">
        <f>IFERROR(IF(F3122&lt;&gt;"pending","",IF(OR($B3122="",$B3122="(blank)"),"",VLOOKUP($B3122,'Email Marketing Raw Data'!$C:$O,10,0))),"")</f>
        <v/>
      </c>
      <c r="E3122" s="59" t="str">
        <f>IFERROR(IF(F3122&lt;&gt;"pending","",IF(OR($B3122="",$B3122="(blank)"),"",VLOOKUP($B3122,'Email Marketing Raw Data'!$C:$O,11,0))),"")</f>
        <v/>
      </c>
      <c r="F3122" s="54" t="str">
        <f>IFERROR(IF(OR($B3122="",$B3122="(blank)"),"",VLOOKUP($B3122,'Email Marketing Raw Data'!$C:$O,13,0)),"")</f>
        <v/>
      </c>
      <c r="G3122" s="55" t="str">
        <f>IFERROR(IF(OR($B3122="",$B3122="(blank)"),"",VLOOKUP($B3122,'Email Marketing Raw Data'!$C:$O,4,0)),"")</f>
        <v/>
      </c>
      <c r="H3122" s="55" t="str">
        <f>IFERROR(IF(OR($B3122="",$B3122="(blank)"),"",VLOOKUP($B3122,'Email Marketing Raw Data'!$C:$O,5,0)),"")</f>
        <v/>
      </c>
      <c r="I3122" s="55" t="str">
        <f>IFERROR(IF($G3122="","",VLOOKUP('Dashboard And Emails Automate'!$G3122,Database!$H:$N,3,0)),"")</f>
        <v/>
      </c>
      <c r="J3122" s="55" t="str">
        <f>IFERROR(IF($G3122="","",VLOOKUP('Dashboard And Emails Automate'!$G3122,Database!$H:$N,4,0)),"")</f>
        <v/>
      </c>
      <c r="K3122" s="55" t="str">
        <f>IFERROR(IF($G3122="","",VLOOKUP('Dashboard And Emails Automate'!$G3122,Database!$H:$N,5,0)),"")</f>
        <v/>
      </c>
      <c r="L3122" s="55" t="str">
        <f>IFERROR(IF($G3122="","",VLOOKUP('Dashboard And Emails Automate'!$G3122,Database!$H:$N,6,0)),"")</f>
        <v/>
      </c>
      <c r="M3122" s="55" t="str">
        <f>IFERROR(IF($G3122="","",VLOOKUP('Dashboard And Emails Automate'!$G3122,Database!$H:$N,7,0)),"")</f>
        <v/>
      </c>
      <c r="N3122" s="55" t="str">
        <f>IFERROR(IF(OR($B3122="",$B3122="(blank)"),"",VLOOKUP($B3122,'Email Marketing Raw Data'!$C:$O,6,0)),"")</f>
        <v/>
      </c>
      <c r="O3122" s="55" t="str">
        <f>IFERROR(IF(OR($B3122="",$B3122="(blank)"),"",VLOOKUP($B3122,'Email Marketing Raw Data'!$C:$O,7,0)),"")</f>
        <v/>
      </c>
      <c r="P3122" s="55" t="str">
        <f>IFERROR(IF(OR($B3122="",$B3122="(blank)"),"",VLOOKUP($B3122,'Email Marketing Raw Data'!$C:$O,8,0)),"")</f>
        <v/>
      </c>
      <c r="Q3122" s="62" t="str">
        <f>IFERROR(IF(OR($B3122="",$B3122="(blank)"),"",VLOOKUP($B3122,'Email Marketing Raw Data'!$C:$O,9,0)),"")</f>
        <v/>
      </c>
    </row>
    <row r="3123" spans="4:17" ht="12.75" customHeight="1" x14ac:dyDescent="0.2">
      <c r="D3123" s="58" t="str">
        <f>IFERROR(IF(F3123&lt;&gt;"pending","",IF(OR($B3123="",$B3123="(blank)"),"",VLOOKUP($B3123,'Email Marketing Raw Data'!$C:$O,10,0))),"")</f>
        <v/>
      </c>
      <c r="E3123" s="59" t="str">
        <f>IFERROR(IF(F3123&lt;&gt;"pending","",IF(OR($B3123="",$B3123="(blank)"),"",VLOOKUP($B3123,'Email Marketing Raw Data'!$C:$O,11,0))),"")</f>
        <v/>
      </c>
      <c r="F3123" s="54" t="str">
        <f>IFERROR(IF(OR($B3123="",$B3123="(blank)"),"",VLOOKUP($B3123,'Email Marketing Raw Data'!$C:$O,13,0)),"")</f>
        <v/>
      </c>
      <c r="G3123" s="55" t="str">
        <f>IFERROR(IF(OR($B3123="",$B3123="(blank)"),"",VLOOKUP($B3123,'Email Marketing Raw Data'!$C:$O,4,0)),"")</f>
        <v/>
      </c>
      <c r="H3123" s="55" t="str">
        <f>IFERROR(IF(OR($B3123="",$B3123="(blank)"),"",VLOOKUP($B3123,'Email Marketing Raw Data'!$C:$O,5,0)),"")</f>
        <v/>
      </c>
      <c r="I3123" s="55" t="str">
        <f>IFERROR(IF($G3123="","",VLOOKUP('Dashboard And Emails Automate'!$G3123,Database!$H:$N,3,0)),"")</f>
        <v/>
      </c>
      <c r="J3123" s="55" t="str">
        <f>IFERROR(IF($G3123="","",VLOOKUP('Dashboard And Emails Automate'!$G3123,Database!$H:$N,4,0)),"")</f>
        <v/>
      </c>
      <c r="K3123" s="55" t="str">
        <f>IFERROR(IF($G3123="","",VLOOKUP('Dashboard And Emails Automate'!$G3123,Database!$H:$N,5,0)),"")</f>
        <v/>
      </c>
      <c r="L3123" s="55" t="str">
        <f>IFERROR(IF($G3123="","",VLOOKUP('Dashboard And Emails Automate'!$G3123,Database!$H:$N,6,0)),"")</f>
        <v/>
      </c>
      <c r="M3123" s="55" t="str">
        <f>IFERROR(IF($G3123="","",VLOOKUP('Dashboard And Emails Automate'!$G3123,Database!$H:$N,7,0)),"")</f>
        <v/>
      </c>
      <c r="N3123" s="55" t="str">
        <f>IFERROR(IF(OR($B3123="",$B3123="(blank)"),"",VLOOKUP($B3123,'Email Marketing Raw Data'!$C:$O,6,0)),"")</f>
        <v/>
      </c>
      <c r="O3123" s="55" t="str">
        <f>IFERROR(IF(OR($B3123="",$B3123="(blank)"),"",VLOOKUP($B3123,'Email Marketing Raw Data'!$C:$O,7,0)),"")</f>
        <v/>
      </c>
      <c r="P3123" s="55" t="str">
        <f>IFERROR(IF(OR($B3123="",$B3123="(blank)"),"",VLOOKUP($B3123,'Email Marketing Raw Data'!$C:$O,8,0)),"")</f>
        <v/>
      </c>
      <c r="Q3123" s="62" t="str">
        <f>IFERROR(IF(OR($B3123="",$B3123="(blank)"),"",VLOOKUP($B3123,'Email Marketing Raw Data'!$C:$O,9,0)),"")</f>
        <v/>
      </c>
    </row>
    <row r="3124" spans="4:17" ht="12.75" customHeight="1" x14ac:dyDescent="0.2">
      <c r="D3124" s="58" t="str">
        <f>IFERROR(IF(F3124&lt;&gt;"pending","",IF(OR($B3124="",$B3124="(blank)"),"",VLOOKUP($B3124,'Email Marketing Raw Data'!$C:$O,10,0))),"")</f>
        <v/>
      </c>
      <c r="E3124" s="59" t="str">
        <f>IFERROR(IF(F3124&lt;&gt;"pending","",IF(OR($B3124="",$B3124="(blank)"),"",VLOOKUP($B3124,'Email Marketing Raw Data'!$C:$O,11,0))),"")</f>
        <v/>
      </c>
      <c r="F3124" s="54" t="str">
        <f>IFERROR(IF(OR($B3124="",$B3124="(blank)"),"",VLOOKUP($B3124,'Email Marketing Raw Data'!$C:$O,13,0)),"")</f>
        <v/>
      </c>
      <c r="G3124" s="55" t="str">
        <f>IFERROR(IF(OR($B3124="",$B3124="(blank)"),"",VLOOKUP($B3124,'Email Marketing Raw Data'!$C:$O,4,0)),"")</f>
        <v/>
      </c>
      <c r="H3124" s="55" t="str">
        <f>IFERROR(IF(OR($B3124="",$B3124="(blank)"),"",VLOOKUP($B3124,'Email Marketing Raw Data'!$C:$O,5,0)),"")</f>
        <v/>
      </c>
      <c r="I3124" s="55" t="str">
        <f>IFERROR(IF($G3124="","",VLOOKUP('Dashboard And Emails Automate'!$G3124,Database!$H:$N,3,0)),"")</f>
        <v/>
      </c>
      <c r="J3124" s="55" t="str">
        <f>IFERROR(IF($G3124="","",VLOOKUP('Dashboard And Emails Automate'!$G3124,Database!$H:$N,4,0)),"")</f>
        <v/>
      </c>
      <c r="K3124" s="55" t="str">
        <f>IFERROR(IF($G3124="","",VLOOKUP('Dashboard And Emails Automate'!$G3124,Database!$H:$N,5,0)),"")</f>
        <v/>
      </c>
      <c r="L3124" s="55" t="str">
        <f>IFERROR(IF($G3124="","",VLOOKUP('Dashboard And Emails Automate'!$G3124,Database!$H:$N,6,0)),"")</f>
        <v/>
      </c>
      <c r="M3124" s="55" t="str">
        <f>IFERROR(IF($G3124="","",VLOOKUP('Dashboard And Emails Automate'!$G3124,Database!$H:$N,7,0)),"")</f>
        <v/>
      </c>
      <c r="N3124" s="55" t="str">
        <f>IFERROR(IF(OR($B3124="",$B3124="(blank)"),"",VLOOKUP($B3124,'Email Marketing Raw Data'!$C:$O,6,0)),"")</f>
        <v/>
      </c>
      <c r="O3124" s="55" t="str">
        <f>IFERROR(IF(OR($B3124="",$B3124="(blank)"),"",VLOOKUP($B3124,'Email Marketing Raw Data'!$C:$O,7,0)),"")</f>
        <v/>
      </c>
      <c r="P3124" s="55" t="str">
        <f>IFERROR(IF(OR($B3124="",$B3124="(blank)"),"",VLOOKUP($B3124,'Email Marketing Raw Data'!$C:$O,8,0)),"")</f>
        <v/>
      </c>
      <c r="Q3124" s="62" t="str">
        <f>IFERROR(IF(OR($B3124="",$B3124="(blank)"),"",VLOOKUP($B3124,'Email Marketing Raw Data'!$C:$O,9,0)),"")</f>
        <v/>
      </c>
    </row>
    <row r="3125" spans="4:17" ht="12.75" customHeight="1" x14ac:dyDescent="0.2">
      <c r="D3125" s="58" t="str">
        <f>IFERROR(IF(F3125&lt;&gt;"pending","",IF(OR($B3125="",$B3125="(blank)"),"",VLOOKUP($B3125,'Email Marketing Raw Data'!$C:$O,10,0))),"")</f>
        <v/>
      </c>
      <c r="E3125" s="59" t="str">
        <f>IFERROR(IF(F3125&lt;&gt;"pending","",IF(OR($B3125="",$B3125="(blank)"),"",VLOOKUP($B3125,'Email Marketing Raw Data'!$C:$O,11,0))),"")</f>
        <v/>
      </c>
      <c r="F3125" s="54" t="str">
        <f>IFERROR(IF(OR($B3125="",$B3125="(blank)"),"",VLOOKUP($B3125,'Email Marketing Raw Data'!$C:$O,13,0)),"")</f>
        <v/>
      </c>
      <c r="G3125" s="55" t="str">
        <f>IFERROR(IF(OR($B3125="",$B3125="(blank)"),"",VLOOKUP($B3125,'Email Marketing Raw Data'!$C:$O,4,0)),"")</f>
        <v/>
      </c>
      <c r="H3125" s="55" t="str">
        <f>IFERROR(IF(OR($B3125="",$B3125="(blank)"),"",VLOOKUP($B3125,'Email Marketing Raw Data'!$C:$O,5,0)),"")</f>
        <v/>
      </c>
      <c r="I3125" s="55" t="str">
        <f>IFERROR(IF($G3125="","",VLOOKUP('Dashboard And Emails Automate'!$G3125,Database!$H:$N,3,0)),"")</f>
        <v/>
      </c>
      <c r="J3125" s="55" t="str">
        <f>IFERROR(IF($G3125="","",VLOOKUP('Dashboard And Emails Automate'!$G3125,Database!$H:$N,4,0)),"")</f>
        <v/>
      </c>
      <c r="K3125" s="55" t="str">
        <f>IFERROR(IF($G3125="","",VLOOKUP('Dashboard And Emails Automate'!$G3125,Database!$H:$N,5,0)),"")</f>
        <v/>
      </c>
      <c r="L3125" s="55" t="str">
        <f>IFERROR(IF($G3125="","",VLOOKUP('Dashboard And Emails Automate'!$G3125,Database!$H:$N,6,0)),"")</f>
        <v/>
      </c>
      <c r="M3125" s="55" t="str">
        <f>IFERROR(IF($G3125="","",VLOOKUP('Dashboard And Emails Automate'!$G3125,Database!$H:$N,7,0)),"")</f>
        <v/>
      </c>
      <c r="N3125" s="55" t="str">
        <f>IFERROR(IF(OR($B3125="",$B3125="(blank)"),"",VLOOKUP($B3125,'Email Marketing Raw Data'!$C:$O,6,0)),"")</f>
        <v/>
      </c>
      <c r="O3125" s="55" t="str">
        <f>IFERROR(IF(OR($B3125="",$B3125="(blank)"),"",VLOOKUP($B3125,'Email Marketing Raw Data'!$C:$O,7,0)),"")</f>
        <v/>
      </c>
      <c r="P3125" s="55" t="str">
        <f>IFERROR(IF(OR($B3125="",$B3125="(blank)"),"",VLOOKUP($B3125,'Email Marketing Raw Data'!$C:$O,8,0)),"")</f>
        <v/>
      </c>
      <c r="Q3125" s="62" t="str">
        <f>IFERROR(IF(OR($B3125="",$B3125="(blank)"),"",VLOOKUP($B3125,'Email Marketing Raw Data'!$C:$O,9,0)),"")</f>
        <v/>
      </c>
    </row>
    <row r="3126" spans="4:17" ht="12.75" customHeight="1" x14ac:dyDescent="0.2">
      <c r="D3126" s="58" t="str">
        <f>IFERROR(IF(F3126&lt;&gt;"pending","",IF(OR($B3126="",$B3126="(blank)"),"",VLOOKUP($B3126,'Email Marketing Raw Data'!$C:$O,10,0))),"")</f>
        <v/>
      </c>
      <c r="E3126" s="59" t="str">
        <f>IFERROR(IF(F3126&lt;&gt;"pending","",IF(OR($B3126="",$B3126="(blank)"),"",VLOOKUP($B3126,'Email Marketing Raw Data'!$C:$O,11,0))),"")</f>
        <v/>
      </c>
      <c r="F3126" s="54" t="str">
        <f>IFERROR(IF(OR($B3126="",$B3126="(blank)"),"",VLOOKUP($B3126,'Email Marketing Raw Data'!$C:$O,13,0)),"")</f>
        <v/>
      </c>
      <c r="G3126" s="55" t="str">
        <f>IFERROR(IF(OR($B3126="",$B3126="(blank)"),"",VLOOKUP($B3126,'Email Marketing Raw Data'!$C:$O,4,0)),"")</f>
        <v/>
      </c>
      <c r="H3126" s="55" t="str">
        <f>IFERROR(IF(OR($B3126="",$B3126="(blank)"),"",VLOOKUP($B3126,'Email Marketing Raw Data'!$C:$O,5,0)),"")</f>
        <v/>
      </c>
      <c r="I3126" s="55" t="str">
        <f>IFERROR(IF($G3126="","",VLOOKUP('Dashboard And Emails Automate'!$G3126,Database!$H:$N,3,0)),"")</f>
        <v/>
      </c>
      <c r="J3126" s="55" t="str">
        <f>IFERROR(IF($G3126="","",VLOOKUP('Dashboard And Emails Automate'!$G3126,Database!$H:$N,4,0)),"")</f>
        <v/>
      </c>
      <c r="K3126" s="55" t="str">
        <f>IFERROR(IF($G3126="","",VLOOKUP('Dashboard And Emails Automate'!$G3126,Database!$H:$N,5,0)),"")</f>
        <v/>
      </c>
      <c r="L3126" s="55" t="str">
        <f>IFERROR(IF($G3126="","",VLOOKUP('Dashboard And Emails Automate'!$G3126,Database!$H:$N,6,0)),"")</f>
        <v/>
      </c>
      <c r="M3126" s="55" t="str">
        <f>IFERROR(IF($G3126="","",VLOOKUP('Dashboard And Emails Automate'!$G3126,Database!$H:$N,7,0)),"")</f>
        <v/>
      </c>
      <c r="N3126" s="55" t="str">
        <f>IFERROR(IF(OR($B3126="",$B3126="(blank)"),"",VLOOKUP($B3126,'Email Marketing Raw Data'!$C:$O,6,0)),"")</f>
        <v/>
      </c>
      <c r="O3126" s="55" t="str">
        <f>IFERROR(IF(OR($B3126="",$B3126="(blank)"),"",VLOOKUP($B3126,'Email Marketing Raw Data'!$C:$O,7,0)),"")</f>
        <v/>
      </c>
      <c r="P3126" s="55" t="str">
        <f>IFERROR(IF(OR($B3126="",$B3126="(blank)"),"",VLOOKUP($B3126,'Email Marketing Raw Data'!$C:$O,8,0)),"")</f>
        <v/>
      </c>
      <c r="Q3126" s="62" t="str">
        <f>IFERROR(IF(OR($B3126="",$B3126="(blank)"),"",VLOOKUP($B3126,'Email Marketing Raw Data'!$C:$O,9,0)),"")</f>
        <v/>
      </c>
    </row>
    <row r="3127" spans="4:17" ht="12.75" customHeight="1" x14ac:dyDescent="0.2">
      <c r="D3127" s="58" t="str">
        <f>IFERROR(IF(F3127&lt;&gt;"pending","",IF(OR($B3127="",$B3127="(blank)"),"",VLOOKUP($B3127,'Email Marketing Raw Data'!$C:$O,10,0))),"")</f>
        <v/>
      </c>
      <c r="E3127" s="59" t="str">
        <f>IFERROR(IF(F3127&lt;&gt;"pending","",IF(OR($B3127="",$B3127="(blank)"),"",VLOOKUP($B3127,'Email Marketing Raw Data'!$C:$O,11,0))),"")</f>
        <v/>
      </c>
      <c r="F3127" s="54" t="str">
        <f>IFERROR(IF(OR($B3127="",$B3127="(blank)"),"",VLOOKUP($B3127,'Email Marketing Raw Data'!$C:$O,13,0)),"")</f>
        <v/>
      </c>
      <c r="G3127" s="55" t="str">
        <f>IFERROR(IF(OR($B3127="",$B3127="(blank)"),"",VLOOKUP($B3127,'Email Marketing Raw Data'!$C:$O,4,0)),"")</f>
        <v/>
      </c>
      <c r="H3127" s="55" t="str">
        <f>IFERROR(IF(OR($B3127="",$B3127="(blank)"),"",VLOOKUP($B3127,'Email Marketing Raw Data'!$C:$O,5,0)),"")</f>
        <v/>
      </c>
      <c r="I3127" s="55" t="str">
        <f>IFERROR(IF($G3127="","",VLOOKUP('Dashboard And Emails Automate'!$G3127,Database!$H:$N,3,0)),"")</f>
        <v/>
      </c>
      <c r="J3127" s="55" t="str">
        <f>IFERROR(IF($G3127="","",VLOOKUP('Dashboard And Emails Automate'!$G3127,Database!$H:$N,4,0)),"")</f>
        <v/>
      </c>
      <c r="K3127" s="55" t="str">
        <f>IFERROR(IF($G3127="","",VLOOKUP('Dashboard And Emails Automate'!$G3127,Database!$H:$N,5,0)),"")</f>
        <v/>
      </c>
      <c r="L3127" s="55" t="str">
        <f>IFERROR(IF($G3127="","",VLOOKUP('Dashboard And Emails Automate'!$G3127,Database!$H:$N,6,0)),"")</f>
        <v/>
      </c>
      <c r="M3127" s="55" t="str">
        <f>IFERROR(IF($G3127="","",VLOOKUP('Dashboard And Emails Automate'!$G3127,Database!$H:$N,7,0)),"")</f>
        <v/>
      </c>
      <c r="N3127" s="55" t="str">
        <f>IFERROR(IF(OR($B3127="",$B3127="(blank)"),"",VLOOKUP($B3127,'Email Marketing Raw Data'!$C:$O,6,0)),"")</f>
        <v/>
      </c>
      <c r="O3127" s="55" t="str">
        <f>IFERROR(IF(OR($B3127="",$B3127="(blank)"),"",VLOOKUP($B3127,'Email Marketing Raw Data'!$C:$O,7,0)),"")</f>
        <v/>
      </c>
      <c r="P3127" s="55" t="str">
        <f>IFERROR(IF(OR($B3127="",$B3127="(blank)"),"",VLOOKUP($B3127,'Email Marketing Raw Data'!$C:$O,8,0)),"")</f>
        <v/>
      </c>
      <c r="Q3127" s="62" t="str">
        <f>IFERROR(IF(OR($B3127="",$B3127="(blank)"),"",VLOOKUP($B3127,'Email Marketing Raw Data'!$C:$O,9,0)),"")</f>
        <v/>
      </c>
    </row>
    <row r="3128" spans="4:17" ht="12.75" customHeight="1" x14ac:dyDescent="0.2">
      <c r="D3128" s="58" t="str">
        <f>IFERROR(IF(F3128&lt;&gt;"pending","",IF(OR($B3128="",$B3128="(blank)"),"",VLOOKUP($B3128,'Email Marketing Raw Data'!$C:$O,10,0))),"")</f>
        <v/>
      </c>
      <c r="E3128" s="59" t="str">
        <f>IFERROR(IF(F3128&lt;&gt;"pending","",IF(OR($B3128="",$B3128="(blank)"),"",VLOOKUP($B3128,'Email Marketing Raw Data'!$C:$O,11,0))),"")</f>
        <v/>
      </c>
      <c r="F3128" s="54" t="str">
        <f>IFERROR(IF(OR($B3128="",$B3128="(blank)"),"",VLOOKUP($B3128,'Email Marketing Raw Data'!$C:$O,13,0)),"")</f>
        <v/>
      </c>
      <c r="G3128" s="55" t="str">
        <f>IFERROR(IF(OR($B3128="",$B3128="(blank)"),"",VLOOKUP($B3128,'Email Marketing Raw Data'!$C:$O,4,0)),"")</f>
        <v/>
      </c>
      <c r="H3128" s="55" t="str">
        <f>IFERROR(IF(OR($B3128="",$B3128="(blank)"),"",VLOOKUP($B3128,'Email Marketing Raw Data'!$C:$O,5,0)),"")</f>
        <v/>
      </c>
      <c r="I3128" s="55" t="str">
        <f>IFERROR(IF($G3128="","",VLOOKUP('Dashboard And Emails Automate'!$G3128,Database!$H:$N,3,0)),"")</f>
        <v/>
      </c>
      <c r="J3128" s="55" t="str">
        <f>IFERROR(IF($G3128="","",VLOOKUP('Dashboard And Emails Automate'!$G3128,Database!$H:$N,4,0)),"")</f>
        <v/>
      </c>
      <c r="K3128" s="55" t="str">
        <f>IFERROR(IF($G3128="","",VLOOKUP('Dashboard And Emails Automate'!$G3128,Database!$H:$N,5,0)),"")</f>
        <v/>
      </c>
      <c r="L3128" s="55" t="str">
        <f>IFERROR(IF($G3128="","",VLOOKUP('Dashboard And Emails Automate'!$G3128,Database!$H:$N,6,0)),"")</f>
        <v/>
      </c>
      <c r="M3128" s="55" t="str">
        <f>IFERROR(IF($G3128="","",VLOOKUP('Dashboard And Emails Automate'!$G3128,Database!$H:$N,7,0)),"")</f>
        <v/>
      </c>
      <c r="N3128" s="55" t="str">
        <f>IFERROR(IF(OR($B3128="",$B3128="(blank)"),"",VLOOKUP($B3128,'Email Marketing Raw Data'!$C:$O,6,0)),"")</f>
        <v/>
      </c>
      <c r="O3128" s="55" t="str">
        <f>IFERROR(IF(OR($B3128="",$B3128="(blank)"),"",VLOOKUP($B3128,'Email Marketing Raw Data'!$C:$O,7,0)),"")</f>
        <v/>
      </c>
      <c r="P3128" s="55" t="str">
        <f>IFERROR(IF(OR($B3128="",$B3128="(blank)"),"",VLOOKUP($B3128,'Email Marketing Raw Data'!$C:$O,8,0)),"")</f>
        <v/>
      </c>
      <c r="Q3128" s="62" t="str">
        <f>IFERROR(IF(OR($B3128="",$B3128="(blank)"),"",VLOOKUP($B3128,'Email Marketing Raw Data'!$C:$O,9,0)),"")</f>
        <v/>
      </c>
    </row>
    <row r="3129" spans="4:17" ht="12.75" customHeight="1" x14ac:dyDescent="0.2">
      <c r="D3129" s="58" t="str">
        <f>IFERROR(IF(F3129&lt;&gt;"pending","",IF(OR($B3129="",$B3129="(blank)"),"",VLOOKUP($B3129,'Email Marketing Raw Data'!$C:$O,10,0))),"")</f>
        <v/>
      </c>
      <c r="E3129" s="59" t="str">
        <f>IFERROR(IF(F3129&lt;&gt;"pending","",IF(OR($B3129="",$B3129="(blank)"),"",VLOOKUP($B3129,'Email Marketing Raw Data'!$C:$O,11,0))),"")</f>
        <v/>
      </c>
      <c r="F3129" s="54" t="str">
        <f>IFERROR(IF(OR($B3129="",$B3129="(blank)"),"",VLOOKUP($B3129,'Email Marketing Raw Data'!$C:$O,13,0)),"")</f>
        <v/>
      </c>
      <c r="G3129" s="55" t="str">
        <f>IFERROR(IF(OR($B3129="",$B3129="(blank)"),"",VLOOKUP($B3129,'Email Marketing Raw Data'!$C:$O,4,0)),"")</f>
        <v/>
      </c>
      <c r="H3129" s="55" t="str">
        <f>IFERROR(IF(OR($B3129="",$B3129="(blank)"),"",VLOOKUP($B3129,'Email Marketing Raw Data'!$C:$O,5,0)),"")</f>
        <v/>
      </c>
      <c r="I3129" s="55" t="str">
        <f>IFERROR(IF($G3129="","",VLOOKUP('Dashboard And Emails Automate'!$G3129,Database!$H:$N,3,0)),"")</f>
        <v/>
      </c>
      <c r="J3129" s="55" t="str">
        <f>IFERROR(IF($G3129="","",VLOOKUP('Dashboard And Emails Automate'!$G3129,Database!$H:$N,4,0)),"")</f>
        <v/>
      </c>
      <c r="K3129" s="55" t="str">
        <f>IFERROR(IF($G3129="","",VLOOKUP('Dashboard And Emails Automate'!$G3129,Database!$H:$N,5,0)),"")</f>
        <v/>
      </c>
      <c r="L3129" s="55" t="str">
        <f>IFERROR(IF($G3129="","",VLOOKUP('Dashboard And Emails Automate'!$G3129,Database!$H:$N,6,0)),"")</f>
        <v/>
      </c>
      <c r="M3129" s="55" t="str">
        <f>IFERROR(IF($G3129="","",VLOOKUP('Dashboard And Emails Automate'!$G3129,Database!$H:$N,7,0)),"")</f>
        <v/>
      </c>
      <c r="N3129" s="55" t="str">
        <f>IFERROR(IF(OR($B3129="",$B3129="(blank)"),"",VLOOKUP($B3129,'Email Marketing Raw Data'!$C:$O,6,0)),"")</f>
        <v/>
      </c>
      <c r="O3129" s="55" t="str">
        <f>IFERROR(IF(OR($B3129="",$B3129="(blank)"),"",VLOOKUP($B3129,'Email Marketing Raw Data'!$C:$O,7,0)),"")</f>
        <v/>
      </c>
      <c r="P3129" s="55" t="str">
        <f>IFERROR(IF(OR($B3129="",$B3129="(blank)"),"",VLOOKUP($B3129,'Email Marketing Raw Data'!$C:$O,8,0)),"")</f>
        <v/>
      </c>
      <c r="Q3129" s="62" t="str">
        <f>IFERROR(IF(OR($B3129="",$B3129="(blank)"),"",VLOOKUP($B3129,'Email Marketing Raw Data'!$C:$O,9,0)),"")</f>
        <v/>
      </c>
    </row>
    <row r="3130" spans="4:17" ht="12.75" customHeight="1" x14ac:dyDescent="0.2">
      <c r="D3130" s="58" t="str">
        <f>IFERROR(IF(F3130&lt;&gt;"pending","",IF(OR($B3130="",$B3130="(blank)"),"",VLOOKUP($B3130,'Email Marketing Raw Data'!$C:$O,10,0))),"")</f>
        <v/>
      </c>
      <c r="E3130" s="59" t="str">
        <f>IFERROR(IF(F3130&lt;&gt;"pending","",IF(OR($B3130="",$B3130="(blank)"),"",VLOOKUP($B3130,'Email Marketing Raw Data'!$C:$O,11,0))),"")</f>
        <v/>
      </c>
      <c r="F3130" s="54" t="str">
        <f>IFERROR(IF(OR($B3130="",$B3130="(blank)"),"",VLOOKUP($B3130,'Email Marketing Raw Data'!$C:$O,13,0)),"")</f>
        <v/>
      </c>
      <c r="G3130" s="55" t="str">
        <f>IFERROR(IF(OR($B3130="",$B3130="(blank)"),"",VLOOKUP($B3130,'Email Marketing Raw Data'!$C:$O,4,0)),"")</f>
        <v/>
      </c>
      <c r="H3130" s="55" t="str">
        <f>IFERROR(IF(OR($B3130="",$B3130="(blank)"),"",VLOOKUP($B3130,'Email Marketing Raw Data'!$C:$O,5,0)),"")</f>
        <v/>
      </c>
      <c r="I3130" s="55" t="str">
        <f>IFERROR(IF($G3130="","",VLOOKUP('Dashboard And Emails Automate'!$G3130,Database!$H:$N,3,0)),"")</f>
        <v/>
      </c>
      <c r="J3130" s="55" t="str">
        <f>IFERROR(IF($G3130="","",VLOOKUP('Dashboard And Emails Automate'!$G3130,Database!$H:$N,4,0)),"")</f>
        <v/>
      </c>
      <c r="K3130" s="55" t="str">
        <f>IFERROR(IF($G3130="","",VLOOKUP('Dashboard And Emails Automate'!$G3130,Database!$H:$N,5,0)),"")</f>
        <v/>
      </c>
      <c r="L3130" s="55" t="str">
        <f>IFERROR(IF($G3130="","",VLOOKUP('Dashboard And Emails Automate'!$G3130,Database!$H:$N,6,0)),"")</f>
        <v/>
      </c>
      <c r="M3130" s="55" t="str">
        <f>IFERROR(IF($G3130="","",VLOOKUP('Dashboard And Emails Automate'!$G3130,Database!$H:$N,7,0)),"")</f>
        <v/>
      </c>
      <c r="N3130" s="55" t="str">
        <f>IFERROR(IF(OR($B3130="",$B3130="(blank)"),"",VLOOKUP($B3130,'Email Marketing Raw Data'!$C:$O,6,0)),"")</f>
        <v/>
      </c>
      <c r="O3130" s="55" t="str">
        <f>IFERROR(IF(OR($B3130="",$B3130="(blank)"),"",VLOOKUP($B3130,'Email Marketing Raw Data'!$C:$O,7,0)),"")</f>
        <v/>
      </c>
      <c r="P3130" s="55" t="str">
        <f>IFERROR(IF(OR($B3130="",$B3130="(blank)"),"",VLOOKUP($B3130,'Email Marketing Raw Data'!$C:$O,8,0)),"")</f>
        <v/>
      </c>
      <c r="Q3130" s="62" t="str">
        <f>IFERROR(IF(OR($B3130="",$B3130="(blank)"),"",VLOOKUP($B3130,'Email Marketing Raw Data'!$C:$O,9,0)),"")</f>
        <v/>
      </c>
    </row>
    <row r="3131" spans="4:17" ht="12.75" customHeight="1" x14ac:dyDescent="0.2">
      <c r="D3131" s="58" t="str">
        <f>IFERROR(IF(F3131&lt;&gt;"pending","",IF(OR($B3131="",$B3131="(blank)"),"",VLOOKUP($B3131,'Email Marketing Raw Data'!$C:$O,10,0))),"")</f>
        <v/>
      </c>
      <c r="E3131" s="59" t="str">
        <f>IFERROR(IF(F3131&lt;&gt;"pending","",IF(OR($B3131="",$B3131="(blank)"),"",VLOOKUP($B3131,'Email Marketing Raw Data'!$C:$O,11,0))),"")</f>
        <v/>
      </c>
      <c r="F3131" s="54" t="str">
        <f>IFERROR(IF(OR($B3131="",$B3131="(blank)"),"",VLOOKUP($B3131,'Email Marketing Raw Data'!$C:$O,13,0)),"")</f>
        <v/>
      </c>
      <c r="G3131" s="55" t="str">
        <f>IFERROR(IF(OR($B3131="",$B3131="(blank)"),"",VLOOKUP($B3131,'Email Marketing Raw Data'!$C:$O,4,0)),"")</f>
        <v/>
      </c>
      <c r="H3131" s="55" t="str">
        <f>IFERROR(IF(OR($B3131="",$B3131="(blank)"),"",VLOOKUP($B3131,'Email Marketing Raw Data'!$C:$O,5,0)),"")</f>
        <v/>
      </c>
      <c r="I3131" s="55" t="str">
        <f>IFERROR(IF($G3131="","",VLOOKUP('Dashboard And Emails Automate'!$G3131,Database!$H:$N,3,0)),"")</f>
        <v/>
      </c>
      <c r="J3131" s="55" t="str">
        <f>IFERROR(IF($G3131="","",VLOOKUP('Dashboard And Emails Automate'!$G3131,Database!$H:$N,4,0)),"")</f>
        <v/>
      </c>
      <c r="K3131" s="55" t="str">
        <f>IFERROR(IF($G3131="","",VLOOKUP('Dashboard And Emails Automate'!$G3131,Database!$H:$N,5,0)),"")</f>
        <v/>
      </c>
      <c r="L3131" s="55" t="str">
        <f>IFERROR(IF($G3131="","",VLOOKUP('Dashboard And Emails Automate'!$G3131,Database!$H:$N,6,0)),"")</f>
        <v/>
      </c>
      <c r="M3131" s="55" t="str">
        <f>IFERROR(IF($G3131="","",VLOOKUP('Dashboard And Emails Automate'!$G3131,Database!$H:$N,7,0)),"")</f>
        <v/>
      </c>
      <c r="N3131" s="55" t="str">
        <f>IFERROR(IF(OR($B3131="",$B3131="(blank)"),"",VLOOKUP($B3131,'Email Marketing Raw Data'!$C:$O,6,0)),"")</f>
        <v/>
      </c>
      <c r="O3131" s="55" t="str">
        <f>IFERROR(IF(OR($B3131="",$B3131="(blank)"),"",VLOOKUP($B3131,'Email Marketing Raw Data'!$C:$O,7,0)),"")</f>
        <v/>
      </c>
      <c r="P3131" s="55" t="str">
        <f>IFERROR(IF(OR($B3131="",$B3131="(blank)"),"",VLOOKUP($B3131,'Email Marketing Raw Data'!$C:$O,8,0)),"")</f>
        <v/>
      </c>
      <c r="Q3131" s="62" t="str">
        <f>IFERROR(IF(OR($B3131="",$B3131="(blank)"),"",VLOOKUP($B3131,'Email Marketing Raw Data'!$C:$O,9,0)),"")</f>
        <v/>
      </c>
    </row>
    <row r="3132" spans="4:17" ht="12.75" customHeight="1" x14ac:dyDescent="0.2">
      <c r="D3132" s="58" t="str">
        <f>IFERROR(IF(F3132&lt;&gt;"pending","",IF(OR($B3132="",$B3132="(blank)"),"",VLOOKUP($B3132,'Email Marketing Raw Data'!$C:$O,10,0))),"")</f>
        <v/>
      </c>
      <c r="E3132" s="59" t="str">
        <f>IFERROR(IF(F3132&lt;&gt;"pending","",IF(OR($B3132="",$B3132="(blank)"),"",VLOOKUP($B3132,'Email Marketing Raw Data'!$C:$O,11,0))),"")</f>
        <v/>
      </c>
      <c r="F3132" s="54" t="str">
        <f>IFERROR(IF(OR($B3132="",$B3132="(blank)"),"",VLOOKUP($B3132,'Email Marketing Raw Data'!$C:$O,13,0)),"")</f>
        <v/>
      </c>
      <c r="G3132" s="55" t="str">
        <f>IFERROR(IF(OR($B3132="",$B3132="(blank)"),"",VLOOKUP($B3132,'Email Marketing Raw Data'!$C:$O,4,0)),"")</f>
        <v/>
      </c>
      <c r="H3132" s="55" t="str">
        <f>IFERROR(IF(OR($B3132="",$B3132="(blank)"),"",VLOOKUP($B3132,'Email Marketing Raw Data'!$C:$O,5,0)),"")</f>
        <v/>
      </c>
      <c r="I3132" s="55" t="str">
        <f>IFERROR(IF($G3132="","",VLOOKUP('Dashboard And Emails Automate'!$G3132,Database!$H:$N,3,0)),"")</f>
        <v/>
      </c>
      <c r="J3132" s="55" t="str">
        <f>IFERROR(IF($G3132="","",VLOOKUP('Dashboard And Emails Automate'!$G3132,Database!$H:$N,4,0)),"")</f>
        <v/>
      </c>
      <c r="K3132" s="55" t="str">
        <f>IFERROR(IF($G3132="","",VLOOKUP('Dashboard And Emails Automate'!$G3132,Database!$H:$N,5,0)),"")</f>
        <v/>
      </c>
      <c r="L3132" s="55" t="str">
        <f>IFERROR(IF($G3132="","",VLOOKUP('Dashboard And Emails Automate'!$G3132,Database!$H:$N,6,0)),"")</f>
        <v/>
      </c>
      <c r="M3132" s="55" t="str">
        <f>IFERROR(IF($G3132="","",VLOOKUP('Dashboard And Emails Automate'!$G3132,Database!$H:$N,7,0)),"")</f>
        <v/>
      </c>
      <c r="N3132" s="55" t="str">
        <f>IFERROR(IF(OR($B3132="",$B3132="(blank)"),"",VLOOKUP($B3132,'Email Marketing Raw Data'!$C:$O,6,0)),"")</f>
        <v/>
      </c>
      <c r="O3132" s="55" t="str">
        <f>IFERROR(IF(OR($B3132="",$B3132="(blank)"),"",VLOOKUP($B3132,'Email Marketing Raw Data'!$C:$O,7,0)),"")</f>
        <v/>
      </c>
      <c r="P3132" s="55" t="str">
        <f>IFERROR(IF(OR($B3132="",$B3132="(blank)"),"",VLOOKUP($B3132,'Email Marketing Raw Data'!$C:$O,8,0)),"")</f>
        <v/>
      </c>
      <c r="Q3132" s="62" t="str">
        <f>IFERROR(IF(OR($B3132="",$B3132="(blank)"),"",VLOOKUP($B3132,'Email Marketing Raw Data'!$C:$O,9,0)),"")</f>
        <v/>
      </c>
    </row>
    <row r="3133" spans="4:17" ht="12.75" customHeight="1" x14ac:dyDescent="0.2">
      <c r="D3133" s="58" t="str">
        <f>IFERROR(IF(F3133&lt;&gt;"pending","",IF(OR($B3133="",$B3133="(blank)"),"",VLOOKUP($B3133,'Email Marketing Raw Data'!$C:$O,10,0))),"")</f>
        <v/>
      </c>
      <c r="E3133" s="59" t="str">
        <f>IFERROR(IF(F3133&lt;&gt;"pending","",IF(OR($B3133="",$B3133="(blank)"),"",VLOOKUP($B3133,'Email Marketing Raw Data'!$C:$O,11,0))),"")</f>
        <v/>
      </c>
      <c r="F3133" s="54" t="str">
        <f>IFERROR(IF(OR($B3133="",$B3133="(blank)"),"",VLOOKUP($B3133,'Email Marketing Raw Data'!$C:$O,13,0)),"")</f>
        <v/>
      </c>
      <c r="G3133" s="55" t="str">
        <f>IFERROR(IF(OR($B3133="",$B3133="(blank)"),"",VLOOKUP($B3133,'Email Marketing Raw Data'!$C:$O,4,0)),"")</f>
        <v/>
      </c>
      <c r="H3133" s="55" t="str">
        <f>IFERROR(IF(OR($B3133="",$B3133="(blank)"),"",VLOOKUP($B3133,'Email Marketing Raw Data'!$C:$O,5,0)),"")</f>
        <v/>
      </c>
      <c r="I3133" s="55" t="str">
        <f>IFERROR(IF($G3133="","",VLOOKUP('Dashboard And Emails Automate'!$G3133,Database!$H:$N,3,0)),"")</f>
        <v/>
      </c>
      <c r="J3133" s="55" t="str">
        <f>IFERROR(IF($G3133="","",VLOOKUP('Dashboard And Emails Automate'!$G3133,Database!$H:$N,4,0)),"")</f>
        <v/>
      </c>
      <c r="K3133" s="55" t="str">
        <f>IFERROR(IF($G3133="","",VLOOKUP('Dashboard And Emails Automate'!$G3133,Database!$H:$N,5,0)),"")</f>
        <v/>
      </c>
      <c r="L3133" s="55" t="str">
        <f>IFERROR(IF($G3133="","",VLOOKUP('Dashboard And Emails Automate'!$G3133,Database!$H:$N,6,0)),"")</f>
        <v/>
      </c>
      <c r="M3133" s="55" t="str">
        <f>IFERROR(IF($G3133="","",VLOOKUP('Dashboard And Emails Automate'!$G3133,Database!$H:$N,7,0)),"")</f>
        <v/>
      </c>
      <c r="N3133" s="55" t="str">
        <f>IFERROR(IF(OR($B3133="",$B3133="(blank)"),"",VLOOKUP($B3133,'Email Marketing Raw Data'!$C:$O,6,0)),"")</f>
        <v/>
      </c>
      <c r="O3133" s="55" t="str">
        <f>IFERROR(IF(OR($B3133="",$B3133="(blank)"),"",VLOOKUP($B3133,'Email Marketing Raw Data'!$C:$O,7,0)),"")</f>
        <v/>
      </c>
      <c r="P3133" s="55" t="str">
        <f>IFERROR(IF(OR($B3133="",$B3133="(blank)"),"",VLOOKUP($B3133,'Email Marketing Raw Data'!$C:$O,8,0)),"")</f>
        <v/>
      </c>
      <c r="Q3133" s="62" t="str">
        <f>IFERROR(IF(OR($B3133="",$B3133="(blank)"),"",VLOOKUP($B3133,'Email Marketing Raw Data'!$C:$O,9,0)),"")</f>
        <v/>
      </c>
    </row>
    <row r="3134" spans="4:17" ht="12.75" customHeight="1" x14ac:dyDescent="0.2">
      <c r="D3134" s="58" t="str">
        <f>IFERROR(IF(F3134&lt;&gt;"pending","",IF(OR($B3134="",$B3134="(blank)"),"",VLOOKUP($B3134,'Email Marketing Raw Data'!$C:$O,10,0))),"")</f>
        <v/>
      </c>
      <c r="E3134" s="59" t="str">
        <f>IFERROR(IF(F3134&lt;&gt;"pending","",IF(OR($B3134="",$B3134="(blank)"),"",VLOOKUP($B3134,'Email Marketing Raw Data'!$C:$O,11,0))),"")</f>
        <v/>
      </c>
      <c r="F3134" s="54" t="str">
        <f>IFERROR(IF(OR($B3134="",$B3134="(blank)"),"",VLOOKUP($B3134,'Email Marketing Raw Data'!$C:$O,13,0)),"")</f>
        <v/>
      </c>
      <c r="G3134" s="55" t="str">
        <f>IFERROR(IF(OR($B3134="",$B3134="(blank)"),"",VLOOKUP($B3134,'Email Marketing Raw Data'!$C:$O,4,0)),"")</f>
        <v/>
      </c>
      <c r="H3134" s="55" t="str">
        <f>IFERROR(IF(OR($B3134="",$B3134="(blank)"),"",VLOOKUP($B3134,'Email Marketing Raw Data'!$C:$O,5,0)),"")</f>
        <v/>
      </c>
      <c r="I3134" s="55" t="str">
        <f>IFERROR(IF($G3134="","",VLOOKUP('Dashboard And Emails Automate'!$G3134,Database!$H:$N,3,0)),"")</f>
        <v/>
      </c>
      <c r="J3134" s="55" t="str">
        <f>IFERROR(IF($G3134="","",VLOOKUP('Dashboard And Emails Automate'!$G3134,Database!$H:$N,4,0)),"")</f>
        <v/>
      </c>
      <c r="K3134" s="55" t="str">
        <f>IFERROR(IF($G3134="","",VLOOKUP('Dashboard And Emails Automate'!$G3134,Database!$H:$N,5,0)),"")</f>
        <v/>
      </c>
      <c r="L3134" s="55" t="str">
        <f>IFERROR(IF($G3134="","",VLOOKUP('Dashboard And Emails Automate'!$G3134,Database!$H:$N,6,0)),"")</f>
        <v/>
      </c>
      <c r="M3134" s="55" t="str">
        <f>IFERROR(IF($G3134="","",VLOOKUP('Dashboard And Emails Automate'!$G3134,Database!$H:$N,7,0)),"")</f>
        <v/>
      </c>
      <c r="N3134" s="55" t="str">
        <f>IFERROR(IF(OR($B3134="",$B3134="(blank)"),"",VLOOKUP($B3134,'Email Marketing Raw Data'!$C:$O,6,0)),"")</f>
        <v/>
      </c>
      <c r="O3134" s="55" t="str">
        <f>IFERROR(IF(OR($B3134="",$B3134="(blank)"),"",VLOOKUP($B3134,'Email Marketing Raw Data'!$C:$O,7,0)),"")</f>
        <v/>
      </c>
      <c r="P3134" s="55" t="str">
        <f>IFERROR(IF(OR($B3134="",$B3134="(blank)"),"",VLOOKUP($B3134,'Email Marketing Raw Data'!$C:$O,8,0)),"")</f>
        <v/>
      </c>
      <c r="Q3134" s="62" t="str">
        <f>IFERROR(IF(OR($B3134="",$B3134="(blank)"),"",VLOOKUP($B3134,'Email Marketing Raw Data'!$C:$O,9,0)),"")</f>
        <v/>
      </c>
    </row>
    <row r="3135" spans="4:17" ht="12.75" customHeight="1" x14ac:dyDescent="0.2">
      <c r="D3135" s="58" t="str">
        <f>IFERROR(IF(F3135&lt;&gt;"pending","",IF(OR($B3135="",$B3135="(blank)"),"",VLOOKUP($B3135,'Email Marketing Raw Data'!$C:$O,10,0))),"")</f>
        <v/>
      </c>
      <c r="E3135" s="59" t="str">
        <f>IFERROR(IF(F3135&lt;&gt;"pending","",IF(OR($B3135="",$B3135="(blank)"),"",VLOOKUP($B3135,'Email Marketing Raw Data'!$C:$O,11,0))),"")</f>
        <v/>
      </c>
      <c r="F3135" s="54" t="str">
        <f>IFERROR(IF(OR($B3135="",$B3135="(blank)"),"",VLOOKUP($B3135,'Email Marketing Raw Data'!$C:$O,13,0)),"")</f>
        <v/>
      </c>
      <c r="G3135" s="55" t="str">
        <f>IFERROR(IF(OR($B3135="",$B3135="(blank)"),"",VLOOKUP($B3135,'Email Marketing Raw Data'!$C:$O,4,0)),"")</f>
        <v/>
      </c>
      <c r="H3135" s="55" t="str">
        <f>IFERROR(IF(OR($B3135="",$B3135="(blank)"),"",VLOOKUP($B3135,'Email Marketing Raw Data'!$C:$O,5,0)),"")</f>
        <v/>
      </c>
      <c r="I3135" s="55" t="str">
        <f>IFERROR(IF($G3135="","",VLOOKUP('Dashboard And Emails Automate'!$G3135,Database!$H:$N,3,0)),"")</f>
        <v/>
      </c>
      <c r="J3135" s="55" t="str">
        <f>IFERROR(IF($G3135="","",VLOOKUP('Dashboard And Emails Automate'!$G3135,Database!$H:$N,4,0)),"")</f>
        <v/>
      </c>
      <c r="K3135" s="55" t="str">
        <f>IFERROR(IF($G3135="","",VLOOKUP('Dashboard And Emails Automate'!$G3135,Database!$H:$N,5,0)),"")</f>
        <v/>
      </c>
      <c r="L3135" s="55" t="str">
        <f>IFERROR(IF($G3135="","",VLOOKUP('Dashboard And Emails Automate'!$G3135,Database!$H:$N,6,0)),"")</f>
        <v/>
      </c>
      <c r="M3135" s="55" t="str">
        <f>IFERROR(IF($G3135="","",VLOOKUP('Dashboard And Emails Automate'!$G3135,Database!$H:$N,7,0)),"")</f>
        <v/>
      </c>
      <c r="N3135" s="55" t="str">
        <f>IFERROR(IF(OR($B3135="",$B3135="(blank)"),"",VLOOKUP($B3135,'Email Marketing Raw Data'!$C:$O,6,0)),"")</f>
        <v/>
      </c>
      <c r="O3135" s="55" t="str">
        <f>IFERROR(IF(OR($B3135="",$B3135="(blank)"),"",VLOOKUP($B3135,'Email Marketing Raw Data'!$C:$O,7,0)),"")</f>
        <v/>
      </c>
      <c r="P3135" s="55" t="str">
        <f>IFERROR(IF(OR($B3135="",$B3135="(blank)"),"",VLOOKUP($B3135,'Email Marketing Raw Data'!$C:$O,8,0)),"")</f>
        <v/>
      </c>
      <c r="Q3135" s="62" t="str">
        <f>IFERROR(IF(OR($B3135="",$B3135="(blank)"),"",VLOOKUP($B3135,'Email Marketing Raw Data'!$C:$O,9,0)),"")</f>
        <v/>
      </c>
    </row>
    <row r="3136" spans="4:17" ht="12.75" customHeight="1" x14ac:dyDescent="0.2">
      <c r="D3136" s="58" t="str">
        <f>IFERROR(IF(F3136&lt;&gt;"pending","",IF(OR($B3136="",$B3136="(blank)"),"",VLOOKUP($B3136,'Email Marketing Raw Data'!$C:$O,10,0))),"")</f>
        <v/>
      </c>
      <c r="E3136" s="59" t="str">
        <f>IFERROR(IF(F3136&lt;&gt;"pending","",IF(OR($B3136="",$B3136="(blank)"),"",VLOOKUP($B3136,'Email Marketing Raw Data'!$C:$O,11,0))),"")</f>
        <v/>
      </c>
      <c r="F3136" s="54" t="str">
        <f>IFERROR(IF(OR($B3136="",$B3136="(blank)"),"",VLOOKUP($B3136,'Email Marketing Raw Data'!$C:$O,13,0)),"")</f>
        <v/>
      </c>
      <c r="G3136" s="55" t="str">
        <f>IFERROR(IF(OR($B3136="",$B3136="(blank)"),"",VLOOKUP($B3136,'Email Marketing Raw Data'!$C:$O,4,0)),"")</f>
        <v/>
      </c>
      <c r="H3136" s="55" t="str">
        <f>IFERROR(IF(OR($B3136="",$B3136="(blank)"),"",VLOOKUP($B3136,'Email Marketing Raw Data'!$C:$O,5,0)),"")</f>
        <v/>
      </c>
      <c r="I3136" s="55" t="str">
        <f>IFERROR(IF($G3136="","",VLOOKUP('Dashboard And Emails Automate'!$G3136,Database!$H:$N,3,0)),"")</f>
        <v/>
      </c>
      <c r="J3136" s="55" t="str">
        <f>IFERROR(IF($G3136="","",VLOOKUP('Dashboard And Emails Automate'!$G3136,Database!$H:$N,4,0)),"")</f>
        <v/>
      </c>
      <c r="K3136" s="55" t="str">
        <f>IFERROR(IF($G3136="","",VLOOKUP('Dashboard And Emails Automate'!$G3136,Database!$H:$N,5,0)),"")</f>
        <v/>
      </c>
      <c r="L3136" s="55" t="str">
        <f>IFERROR(IF($G3136="","",VLOOKUP('Dashboard And Emails Automate'!$G3136,Database!$H:$N,6,0)),"")</f>
        <v/>
      </c>
      <c r="M3136" s="55" t="str">
        <f>IFERROR(IF($G3136="","",VLOOKUP('Dashboard And Emails Automate'!$G3136,Database!$H:$N,7,0)),"")</f>
        <v/>
      </c>
      <c r="N3136" s="55" t="str">
        <f>IFERROR(IF(OR($B3136="",$B3136="(blank)"),"",VLOOKUP($B3136,'Email Marketing Raw Data'!$C:$O,6,0)),"")</f>
        <v/>
      </c>
      <c r="O3136" s="55" t="str">
        <f>IFERROR(IF(OR($B3136="",$B3136="(blank)"),"",VLOOKUP($B3136,'Email Marketing Raw Data'!$C:$O,7,0)),"")</f>
        <v/>
      </c>
      <c r="P3136" s="55" t="str">
        <f>IFERROR(IF(OR($B3136="",$B3136="(blank)"),"",VLOOKUP($B3136,'Email Marketing Raw Data'!$C:$O,8,0)),"")</f>
        <v/>
      </c>
      <c r="Q3136" s="62" t="str">
        <f>IFERROR(IF(OR($B3136="",$B3136="(blank)"),"",VLOOKUP($B3136,'Email Marketing Raw Data'!$C:$O,9,0)),"")</f>
        <v/>
      </c>
    </row>
    <row r="3137" spans="4:17" ht="12.75" customHeight="1" x14ac:dyDescent="0.2">
      <c r="D3137" s="58" t="str">
        <f>IFERROR(IF(F3137&lt;&gt;"pending","",IF(OR($B3137="",$B3137="(blank)"),"",VLOOKUP($B3137,'Email Marketing Raw Data'!$C:$O,10,0))),"")</f>
        <v/>
      </c>
      <c r="E3137" s="59" t="str">
        <f>IFERROR(IF(F3137&lt;&gt;"pending","",IF(OR($B3137="",$B3137="(blank)"),"",VLOOKUP($B3137,'Email Marketing Raw Data'!$C:$O,11,0))),"")</f>
        <v/>
      </c>
      <c r="F3137" s="54" t="str">
        <f>IFERROR(IF(OR($B3137="",$B3137="(blank)"),"",VLOOKUP($B3137,'Email Marketing Raw Data'!$C:$O,13,0)),"")</f>
        <v/>
      </c>
      <c r="G3137" s="55" t="str">
        <f>IFERROR(IF(OR($B3137="",$B3137="(blank)"),"",VLOOKUP($B3137,'Email Marketing Raw Data'!$C:$O,4,0)),"")</f>
        <v/>
      </c>
      <c r="H3137" s="55" t="str">
        <f>IFERROR(IF(OR($B3137="",$B3137="(blank)"),"",VLOOKUP($B3137,'Email Marketing Raw Data'!$C:$O,5,0)),"")</f>
        <v/>
      </c>
      <c r="I3137" s="55" t="str">
        <f>IFERROR(IF($G3137="","",VLOOKUP('Dashboard And Emails Automate'!$G3137,Database!$H:$N,3,0)),"")</f>
        <v/>
      </c>
      <c r="J3137" s="55" t="str">
        <f>IFERROR(IF($G3137="","",VLOOKUP('Dashboard And Emails Automate'!$G3137,Database!$H:$N,4,0)),"")</f>
        <v/>
      </c>
      <c r="K3137" s="55" t="str">
        <f>IFERROR(IF($G3137="","",VLOOKUP('Dashboard And Emails Automate'!$G3137,Database!$H:$N,5,0)),"")</f>
        <v/>
      </c>
      <c r="L3137" s="55" t="str">
        <f>IFERROR(IF($G3137="","",VLOOKUP('Dashboard And Emails Automate'!$G3137,Database!$H:$N,6,0)),"")</f>
        <v/>
      </c>
      <c r="M3137" s="55" t="str">
        <f>IFERROR(IF($G3137="","",VLOOKUP('Dashboard And Emails Automate'!$G3137,Database!$H:$N,7,0)),"")</f>
        <v/>
      </c>
      <c r="N3137" s="55" t="str">
        <f>IFERROR(IF(OR($B3137="",$B3137="(blank)"),"",VLOOKUP($B3137,'Email Marketing Raw Data'!$C:$O,6,0)),"")</f>
        <v/>
      </c>
      <c r="O3137" s="55" t="str">
        <f>IFERROR(IF(OR($B3137="",$B3137="(blank)"),"",VLOOKUP($B3137,'Email Marketing Raw Data'!$C:$O,7,0)),"")</f>
        <v/>
      </c>
      <c r="P3137" s="55" t="str">
        <f>IFERROR(IF(OR($B3137="",$B3137="(blank)"),"",VLOOKUP($B3137,'Email Marketing Raw Data'!$C:$O,8,0)),"")</f>
        <v/>
      </c>
      <c r="Q3137" s="62" t="str">
        <f>IFERROR(IF(OR($B3137="",$B3137="(blank)"),"",VLOOKUP($B3137,'Email Marketing Raw Data'!$C:$O,9,0)),"")</f>
        <v/>
      </c>
    </row>
    <row r="3138" spans="4:17" ht="12.75" customHeight="1" x14ac:dyDescent="0.2">
      <c r="D3138" s="58" t="str">
        <f>IFERROR(IF(F3138&lt;&gt;"pending","",IF(OR($B3138="",$B3138="(blank)"),"",VLOOKUP($B3138,'Email Marketing Raw Data'!$C:$O,10,0))),"")</f>
        <v/>
      </c>
      <c r="E3138" s="59" t="str">
        <f>IFERROR(IF(F3138&lt;&gt;"pending","",IF(OR($B3138="",$B3138="(blank)"),"",VLOOKUP($B3138,'Email Marketing Raw Data'!$C:$O,11,0))),"")</f>
        <v/>
      </c>
      <c r="F3138" s="54" t="str">
        <f>IFERROR(IF(OR($B3138="",$B3138="(blank)"),"",VLOOKUP($B3138,'Email Marketing Raw Data'!$C:$O,13,0)),"")</f>
        <v/>
      </c>
      <c r="G3138" s="55" t="str">
        <f>IFERROR(IF(OR($B3138="",$B3138="(blank)"),"",VLOOKUP($B3138,'Email Marketing Raw Data'!$C:$O,4,0)),"")</f>
        <v/>
      </c>
      <c r="H3138" s="55" t="str">
        <f>IFERROR(IF(OR($B3138="",$B3138="(blank)"),"",VLOOKUP($B3138,'Email Marketing Raw Data'!$C:$O,5,0)),"")</f>
        <v/>
      </c>
      <c r="I3138" s="55" t="str">
        <f>IFERROR(IF($G3138="","",VLOOKUP('Dashboard And Emails Automate'!$G3138,Database!$H:$N,3,0)),"")</f>
        <v/>
      </c>
      <c r="J3138" s="55" t="str">
        <f>IFERROR(IF($G3138="","",VLOOKUP('Dashboard And Emails Automate'!$G3138,Database!$H:$N,4,0)),"")</f>
        <v/>
      </c>
      <c r="K3138" s="55" t="str">
        <f>IFERROR(IF($G3138="","",VLOOKUP('Dashboard And Emails Automate'!$G3138,Database!$H:$N,5,0)),"")</f>
        <v/>
      </c>
      <c r="L3138" s="55" t="str">
        <f>IFERROR(IF($G3138="","",VLOOKUP('Dashboard And Emails Automate'!$G3138,Database!$H:$N,6,0)),"")</f>
        <v/>
      </c>
      <c r="M3138" s="55" t="str">
        <f>IFERROR(IF($G3138="","",VLOOKUP('Dashboard And Emails Automate'!$G3138,Database!$H:$N,7,0)),"")</f>
        <v/>
      </c>
      <c r="N3138" s="55" t="str">
        <f>IFERROR(IF(OR($B3138="",$B3138="(blank)"),"",VLOOKUP($B3138,'Email Marketing Raw Data'!$C:$O,6,0)),"")</f>
        <v/>
      </c>
      <c r="O3138" s="55" t="str">
        <f>IFERROR(IF(OR($B3138="",$B3138="(blank)"),"",VLOOKUP($B3138,'Email Marketing Raw Data'!$C:$O,7,0)),"")</f>
        <v/>
      </c>
      <c r="P3138" s="55" t="str">
        <f>IFERROR(IF(OR($B3138="",$B3138="(blank)"),"",VLOOKUP($B3138,'Email Marketing Raw Data'!$C:$O,8,0)),"")</f>
        <v/>
      </c>
      <c r="Q3138" s="62" t="str">
        <f>IFERROR(IF(OR($B3138="",$B3138="(blank)"),"",VLOOKUP($B3138,'Email Marketing Raw Data'!$C:$O,9,0)),"")</f>
        <v/>
      </c>
    </row>
    <row r="3139" spans="4:17" ht="12.75" customHeight="1" x14ac:dyDescent="0.2">
      <c r="D3139" s="58" t="str">
        <f>IFERROR(IF(F3139&lt;&gt;"pending","",IF(OR($B3139="",$B3139="(blank)"),"",VLOOKUP($B3139,'Email Marketing Raw Data'!$C:$O,10,0))),"")</f>
        <v/>
      </c>
      <c r="E3139" s="59" t="str">
        <f>IFERROR(IF(F3139&lt;&gt;"pending","",IF(OR($B3139="",$B3139="(blank)"),"",VLOOKUP($B3139,'Email Marketing Raw Data'!$C:$O,11,0))),"")</f>
        <v/>
      </c>
      <c r="F3139" s="54" t="str">
        <f>IFERROR(IF(OR($B3139="",$B3139="(blank)"),"",VLOOKUP($B3139,'Email Marketing Raw Data'!$C:$O,13,0)),"")</f>
        <v/>
      </c>
      <c r="G3139" s="55" t="str">
        <f>IFERROR(IF(OR($B3139="",$B3139="(blank)"),"",VLOOKUP($B3139,'Email Marketing Raw Data'!$C:$O,4,0)),"")</f>
        <v/>
      </c>
      <c r="H3139" s="55" t="str">
        <f>IFERROR(IF(OR($B3139="",$B3139="(blank)"),"",VLOOKUP($B3139,'Email Marketing Raw Data'!$C:$O,5,0)),"")</f>
        <v/>
      </c>
      <c r="I3139" s="55" t="str">
        <f>IFERROR(IF($G3139="","",VLOOKUP('Dashboard And Emails Automate'!$G3139,Database!$H:$N,3,0)),"")</f>
        <v/>
      </c>
      <c r="J3139" s="55" t="str">
        <f>IFERROR(IF($G3139="","",VLOOKUP('Dashboard And Emails Automate'!$G3139,Database!$H:$N,4,0)),"")</f>
        <v/>
      </c>
      <c r="K3139" s="55" t="str">
        <f>IFERROR(IF($G3139="","",VLOOKUP('Dashboard And Emails Automate'!$G3139,Database!$H:$N,5,0)),"")</f>
        <v/>
      </c>
      <c r="L3139" s="55" t="str">
        <f>IFERROR(IF($G3139="","",VLOOKUP('Dashboard And Emails Automate'!$G3139,Database!$H:$N,6,0)),"")</f>
        <v/>
      </c>
      <c r="M3139" s="55" t="str">
        <f>IFERROR(IF($G3139="","",VLOOKUP('Dashboard And Emails Automate'!$G3139,Database!$H:$N,7,0)),"")</f>
        <v/>
      </c>
      <c r="N3139" s="55" t="str">
        <f>IFERROR(IF(OR($B3139="",$B3139="(blank)"),"",VLOOKUP($B3139,'Email Marketing Raw Data'!$C:$O,6,0)),"")</f>
        <v/>
      </c>
      <c r="O3139" s="55" t="str">
        <f>IFERROR(IF(OR($B3139="",$B3139="(blank)"),"",VLOOKUP($B3139,'Email Marketing Raw Data'!$C:$O,7,0)),"")</f>
        <v/>
      </c>
      <c r="P3139" s="55" t="str">
        <f>IFERROR(IF(OR($B3139="",$B3139="(blank)"),"",VLOOKUP($B3139,'Email Marketing Raw Data'!$C:$O,8,0)),"")</f>
        <v/>
      </c>
      <c r="Q3139" s="62" t="str">
        <f>IFERROR(IF(OR($B3139="",$B3139="(blank)"),"",VLOOKUP($B3139,'Email Marketing Raw Data'!$C:$O,9,0)),"")</f>
        <v/>
      </c>
    </row>
    <row r="3140" spans="4:17" ht="12.75" customHeight="1" x14ac:dyDescent="0.2">
      <c r="D3140" s="58" t="str">
        <f>IFERROR(IF(F3140&lt;&gt;"pending","",IF(OR($B3140="",$B3140="(blank)"),"",VLOOKUP($B3140,'Email Marketing Raw Data'!$C:$O,10,0))),"")</f>
        <v/>
      </c>
      <c r="E3140" s="59" t="str">
        <f>IFERROR(IF(F3140&lt;&gt;"pending","",IF(OR($B3140="",$B3140="(blank)"),"",VLOOKUP($B3140,'Email Marketing Raw Data'!$C:$O,11,0))),"")</f>
        <v/>
      </c>
      <c r="F3140" s="54" t="str">
        <f>IFERROR(IF(OR($B3140="",$B3140="(blank)"),"",VLOOKUP($B3140,'Email Marketing Raw Data'!$C:$O,13,0)),"")</f>
        <v/>
      </c>
      <c r="G3140" s="55" t="str">
        <f>IFERROR(IF(OR($B3140="",$B3140="(blank)"),"",VLOOKUP($B3140,'Email Marketing Raw Data'!$C:$O,4,0)),"")</f>
        <v/>
      </c>
      <c r="H3140" s="55" t="str">
        <f>IFERROR(IF(OR($B3140="",$B3140="(blank)"),"",VLOOKUP($B3140,'Email Marketing Raw Data'!$C:$O,5,0)),"")</f>
        <v/>
      </c>
      <c r="I3140" s="55" t="str">
        <f>IFERROR(IF($G3140="","",VLOOKUP('Dashboard And Emails Automate'!$G3140,Database!$H:$N,3,0)),"")</f>
        <v/>
      </c>
      <c r="J3140" s="55" t="str">
        <f>IFERROR(IF($G3140="","",VLOOKUP('Dashboard And Emails Automate'!$G3140,Database!$H:$N,4,0)),"")</f>
        <v/>
      </c>
      <c r="K3140" s="55" t="str">
        <f>IFERROR(IF($G3140="","",VLOOKUP('Dashboard And Emails Automate'!$G3140,Database!$H:$N,5,0)),"")</f>
        <v/>
      </c>
      <c r="L3140" s="55" t="str">
        <f>IFERROR(IF($G3140="","",VLOOKUP('Dashboard And Emails Automate'!$G3140,Database!$H:$N,6,0)),"")</f>
        <v/>
      </c>
      <c r="M3140" s="55" t="str">
        <f>IFERROR(IF($G3140="","",VLOOKUP('Dashboard And Emails Automate'!$G3140,Database!$H:$N,7,0)),"")</f>
        <v/>
      </c>
      <c r="N3140" s="55" t="str">
        <f>IFERROR(IF(OR($B3140="",$B3140="(blank)"),"",VLOOKUP($B3140,'Email Marketing Raw Data'!$C:$O,6,0)),"")</f>
        <v/>
      </c>
      <c r="O3140" s="55" t="str">
        <f>IFERROR(IF(OR($B3140="",$B3140="(blank)"),"",VLOOKUP($B3140,'Email Marketing Raw Data'!$C:$O,7,0)),"")</f>
        <v/>
      </c>
      <c r="P3140" s="55" t="str">
        <f>IFERROR(IF(OR($B3140="",$B3140="(blank)"),"",VLOOKUP($B3140,'Email Marketing Raw Data'!$C:$O,8,0)),"")</f>
        <v/>
      </c>
      <c r="Q3140" s="62" t="str">
        <f>IFERROR(IF(OR($B3140="",$B3140="(blank)"),"",VLOOKUP($B3140,'Email Marketing Raw Data'!$C:$O,9,0)),"")</f>
        <v/>
      </c>
    </row>
    <row r="3141" spans="4:17" ht="12.75" customHeight="1" x14ac:dyDescent="0.2">
      <c r="D3141" s="58" t="str">
        <f>IFERROR(IF(F3141&lt;&gt;"pending","",IF(OR($B3141="",$B3141="(blank)"),"",VLOOKUP($B3141,'Email Marketing Raw Data'!$C:$O,10,0))),"")</f>
        <v/>
      </c>
      <c r="E3141" s="59" t="str">
        <f>IFERROR(IF(F3141&lt;&gt;"pending","",IF(OR($B3141="",$B3141="(blank)"),"",VLOOKUP($B3141,'Email Marketing Raw Data'!$C:$O,11,0))),"")</f>
        <v/>
      </c>
      <c r="F3141" s="54" t="str">
        <f>IFERROR(IF(OR($B3141="",$B3141="(blank)"),"",VLOOKUP($B3141,'Email Marketing Raw Data'!$C:$O,13,0)),"")</f>
        <v/>
      </c>
      <c r="G3141" s="55" t="str">
        <f>IFERROR(IF(OR($B3141="",$B3141="(blank)"),"",VLOOKUP($B3141,'Email Marketing Raw Data'!$C:$O,4,0)),"")</f>
        <v/>
      </c>
      <c r="H3141" s="55" t="str">
        <f>IFERROR(IF(OR($B3141="",$B3141="(blank)"),"",VLOOKUP($B3141,'Email Marketing Raw Data'!$C:$O,5,0)),"")</f>
        <v/>
      </c>
      <c r="I3141" s="55" t="str">
        <f>IFERROR(IF($G3141="","",VLOOKUP('Dashboard And Emails Automate'!$G3141,Database!$H:$N,3,0)),"")</f>
        <v/>
      </c>
      <c r="J3141" s="55" t="str">
        <f>IFERROR(IF($G3141="","",VLOOKUP('Dashboard And Emails Automate'!$G3141,Database!$H:$N,4,0)),"")</f>
        <v/>
      </c>
      <c r="K3141" s="55" t="str">
        <f>IFERROR(IF($G3141="","",VLOOKUP('Dashboard And Emails Automate'!$G3141,Database!$H:$N,5,0)),"")</f>
        <v/>
      </c>
      <c r="L3141" s="55" t="str">
        <f>IFERROR(IF($G3141="","",VLOOKUP('Dashboard And Emails Automate'!$G3141,Database!$H:$N,6,0)),"")</f>
        <v/>
      </c>
      <c r="M3141" s="55" t="str">
        <f>IFERROR(IF($G3141="","",VLOOKUP('Dashboard And Emails Automate'!$G3141,Database!$H:$N,7,0)),"")</f>
        <v/>
      </c>
      <c r="N3141" s="55" t="str">
        <f>IFERROR(IF(OR($B3141="",$B3141="(blank)"),"",VLOOKUP($B3141,'Email Marketing Raw Data'!$C:$O,6,0)),"")</f>
        <v/>
      </c>
      <c r="O3141" s="55" t="str">
        <f>IFERROR(IF(OR($B3141="",$B3141="(blank)"),"",VLOOKUP($B3141,'Email Marketing Raw Data'!$C:$O,7,0)),"")</f>
        <v/>
      </c>
      <c r="P3141" s="55" t="str">
        <f>IFERROR(IF(OR($B3141="",$B3141="(blank)"),"",VLOOKUP($B3141,'Email Marketing Raw Data'!$C:$O,8,0)),"")</f>
        <v/>
      </c>
      <c r="Q3141" s="62" t="str">
        <f>IFERROR(IF(OR($B3141="",$B3141="(blank)"),"",VLOOKUP($B3141,'Email Marketing Raw Data'!$C:$O,9,0)),"")</f>
        <v/>
      </c>
    </row>
    <row r="3142" spans="4:17" ht="12.75" customHeight="1" x14ac:dyDescent="0.2">
      <c r="D3142" s="58" t="str">
        <f>IFERROR(IF(F3142&lt;&gt;"pending","",IF(OR($B3142="",$B3142="(blank)"),"",VLOOKUP($B3142,'Email Marketing Raw Data'!$C:$O,10,0))),"")</f>
        <v/>
      </c>
      <c r="E3142" s="59" t="str">
        <f>IFERROR(IF(F3142&lt;&gt;"pending","",IF(OR($B3142="",$B3142="(blank)"),"",VLOOKUP($B3142,'Email Marketing Raw Data'!$C:$O,11,0))),"")</f>
        <v/>
      </c>
      <c r="F3142" s="54" t="str">
        <f>IFERROR(IF(OR($B3142="",$B3142="(blank)"),"",VLOOKUP($B3142,'Email Marketing Raw Data'!$C:$O,13,0)),"")</f>
        <v/>
      </c>
      <c r="G3142" s="55" t="str">
        <f>IFERROR(IF(OR($B3142="",$B3142="(blank)"),"",VLOOKUP($B3142,'Email Marketing Raw Data'!$C:$O,4,0)),"")</f>
        <v/>
      </c>
      <c r="H3142" s="55" t="str">
        <f>IFERROR(IF(OR($B3142="",$B3142="(blank)"),"",VLOOKUP($B3142,'Email Marketing Raw Data'!$C:$O,5,0)),"")</f>
        <v/>
      </c>
      <c r="I3142" s="55" t="str">
        <f>IFERROR(IF($G3142="","",VLOOKUP('Dashboard And Emails Automate'!$G3142,Database!$H:$N,3,0)),"")</f>
        <v/>
      </c>
      <c r="J3142" s="55" t="str">
        <f>IFERROR(IF($G3142="","",VLOOKUP('Dashboard And Emails Automate'!$G3142,Database!$H:$N,4,0)),"")</f>
        <v/>
      </c>
      <c r="K3142" s="55" t="str">
        <f>IFERROR(IF($G3142="","",VLOOKUP('Dashboard And Emails Automate'!$G3142,Database!$H:$N,5,0)),"")</f>
        <v/>
      </c>
      <c r="L3142" s="55" t="str">
        <f>IFERROR(IF($G3142="","",VLOOKUP('Dashboard And Emails Automate'!$G3142,Database!$H:$N,6,0)),"")</f>
        <v/>
      </c>
      <c r="M3142" s="55" t="str">
        <f>IFERROR(IF($G3142="","",VLOOKUP('Dashboard And Emails Automate'!$G3142,Database!$H:$N,7,0)),"")</f>
        <v/>
      </c>
      <c r="N3142" s="55" t="str">
        <f>IFERROR(IF(OR($B3142="",$B3142="(blank)"),"",VLOOKUP($B3142,'Email Marketing Raw Data'!$C:$O,6,0)),"")</f>
        <v/>
      </c>
      <c r="O3142" s="55" t="str">
        <f>IFERROR(IF(OR($B3142="",$B3142="(blank)"),"",VLOOKUP($B3142,'Email Marketing Raw Data'!$C:$O,7,0)),"")</f>
        <v/>
      </c>
      <c r="P3142" s="55" t="str">
        <f>IFERROR(IF(OR($B3142="",$B3142="(blank)"),"",VLOOKUP($B3142,'Email Marketing Raw Data'!$C:$O,8,0)),"")</f>
        <v/>
      </c>
      <c r="Q3142" s="62" t="str">
        <f>IFERROR(IF(OR($B3142="",$B3142="(blank)"),"",VLOOKUP($B3142,'Email Marketing Raw Data'!$C:$O,9,0)),"")</f>
        <v/>
      </c>
    </row>
    <row r="3143" spans="4:17" ht="12.75" customHeight="1" x14ac:dyDescent="0.2">
      <c r="D3143" s="58" t="str">
        <f>IFERROR(IF(F3143&lt;&gt;"pending","",IF(OR($B3143="",$B3143="(blank)"),"",VLOOKUP($B3143,'Email Marketing Raw Data'!$C:$O,10,0))),"")</f>
        <v/>
      </c>
      <c r="E3143" s="59" t="str">
        <f>IFERROR(IF(F3143&lt;&gt;"pending","",IF(OR($B3143="",$B3143="(blank)"),"",VLOOKUP($B3143,'Email Marketing Raw Data'!$C:$O,11,0))),"")</f>
        <v/>
      </c>
      <c r="F3143" s="54" t="str">
        <f>IFERROR(IF(OR($B3143="",$B3143="(blank)"),"",VLOOKUP($B3143,'Email Marketing Raw Data'!$C:$O,13,0)),"")</f>
        <v/>
      </c>
      <c r="G3143" s="55" t="str">
        <f>IFERROR(IF(OR($B3143="",$B3143="(blank)"),"",VLOOKUP($B3143,'Email Marketing Raw Data'!$C:$O,4,0)),"")</f>
        <v/>
      </c>
      <c r="H3143" s="55" t="str">
        <f>IFERROR(IF(OR($B3143="",$B3143="(blank)"),"",VLOOKUP($B3143,'Email Marketing Raw Data'!$C:$O,5,0)),"")</f>
        <v/>
      </c>
      <c r="I3143" s="55" t="str">
        <f>IFERROR(IF($G3143="","",VLOOKUP('Dashboard And Emails Automate'!$G3143,Database!$H:$N,3,0)),"")</f>
        <v/>
      </c>
      <c r="J3143" s="55" t="str">
        <f>IFERROR(IF($G3143="","",VLOOKUP('Dashboard And Emails Automate'!$G3143,Database!$H:$N,4,0)),"")</f>
        <v/>
      </c>
      <c r="K3143" s="55" t="str">
        <f>IFERROR(IF($G3143="","",VLOOKUP('Dashboard And Emails Automate'!$G3143,Database!$H:$N,5,0)),"")</f>
        <v/>
      </c>
      <c r="L3143" s="55" t="str">
        <f>IFERROR(IF($G3143="","",VLOOKUP('Dashboard And Emails Automate'!$G3143,Database!$H:$N,6,0)),"")</f>
        <v/>
      </c>
      <c r="M3143" s="55" t="str">
        <f>IFERROR(IF($G3143="","",VLOOKUP('Dashboard And Emails Automate'!$G3143,Database!$H:$N,7,0)),"")</f>
        <v/>
      </c>
      <c r="N3143" s="55" t="str">
        <f>IFERROR(IF(OR($B3143="",$B3143="(blank)"),"",VLOOKUP($B3143,'Email Marketing Raw Data'!$C:$O,6,0)),"")</f>
        <v/>
      </c>
      <c r="O3143" s="55" t="str">
        <f>IFERROR(IF(OR($B3143="",$B3143="(blank)"),"",VLOOKUP($B3143,'Email Marketing Raw Data'!$C:$O,7,0)),"")</f>
        <v/>
      </c>
      <c r="P3143" s="55" t="str">
        <f>IFERROR(IF(OR($B3143="",$B3143="(blank)"),"",VLOOKUP($B3143,'Email Marketing Raw Data'!$C:$O,8,0)),"")</f>
        <v/>
      </c>
      <c r="Q3143" s="62" t="str">
        <f>IFERROR(IF(OR($B3143="",$B3143="(blank)"),"",VLOOKUP($B3143,'Email Marketing Raw Data'!$C:$O,9,0)),"")</f>
        <v/>
      </c>
    </row>
    <row r="3144" spans="4:17" ht="12.75" customHeight="1" x14ac:dyDescent="0.2">
      <c r="D3144" s="58" t="str">
        <f>IFERROR(IF(F3144&lt;&gt;"pending","",IF(OR($B3144="",$B3144="(blank)"),"",VLOOKUP($B3144,'Email Marketing Raw Data'!$C:$O,10,0))),"")</f>
        <v/>
      </c>
      <c r="E3144" s="59" t="str">
        <f>IFERROR(IF(F3144&lt;&gt;"pending","",IF(OR($B3144="",$B3144="(blank)"),"",VLOOKUP($B3144,'Email Marketing Raw Data'!$C:$O,11,0))),"")</f>
        <v/>
      </c>
      <c r="F3144" s="54" t="str">
        <f>IFERROR(IF(OR($B3144="",$B3144="(blank)"),"",VLOOKUP($B3144,'Email Marketing Raw Data'!$C:$O,13,0)),"")</f>
        <v/>
      </c>
      <c r="G3144" s="55" t="str">
        <f>IFERROR(IF(OR($B3144="",$B3144="(blank)"),"",VLOOKUP($B3144,'Email Marketing Raw Data'!$C:$O,4,0)),"")</f>
        <v/>
      </c>
      <c r="H3144" s="55" t="str">
        <f>IFERROR(IF(OR($B3144="",$B3144="(blank)"),"",VLOOKUP($B3144,'Email Marketing Raw Data'!$C:$O,5,0)),"")</f>
        <v/>
      </c>
      <c r="I3144" s="55" t="str">
        <f>IFERROR(IF($G3144="","",VLOOKUP('Dashboard And Emails Automate'!$G3144,Database!$H:$N,3,0)),"")</f>
        <v/>
      </c>
      <c r="J3144" s="55" t="str">
        <f>IFERROR(IF($G3144="","",VLOOKUP('Dashboard And Emails Automate'!$G3144,Database!$H:$N,4,0)),"")</f>
        <v/>
      </c>
      <c r="K3144" s="55" t="str">
        <f>IFERROR(IF($G3144="","",VLOOKUP('Dashboard And Emails Automate'!$G3144,Database!$H:$N,5,0)),"")</f>
        <v/>
      </c>
      <c r="L3144" s="55" t="str">
        <f>IFERROR(IF($G3144="","",VLOOKUP('Dashboard And Emails Automate'!$G3144,Database!$H:$N,6,0)),"")</f>
        <v/>
      </c>
      <c r="M3144" s="55" t="str">
        <f>IFERROR(IF($G3144="","",VLOOKUP('Dashboard And Emails Automate'!$G3144,Database!$H:$N,7,0)),"")</f>
        <v/>
      </c>
      <c r="N3144" s="55" t="str">
        <f>IFERROR(IF(OR($B3144="",$B3144="(blank)"),"",VLOOKUP($B3144,'Email Marketing Raw Data'!$C:$O,6,0)),"")</f>
        <v/>
      </c>
      <c r="O3144" s="55" t="str">
        <f>IFERROR(IF(OR($B3144="",$B3144="(blank)"),"",VLOOKUP($B3144,'Email Marketing Raw Data'!$C:$O,7,0)),"")</f>
        <v/>
      </c>
      <c r="P3144" s="55" t="str">
        <f>IFERROR(IF(OR($B3144="",$B3144="(blank)"),"",VLOOKUP($B3144,'Email Marketing Raw Data'!$C:$O,8,0)),"")</f>
        <v/>
      </c>
      <c r="Q3144" s="62" t="str">
        <f>IFERROR(IF(OR($B3144="",$B3144="(blank)"),"",VLOOKUP($B3144,'Email Marketing Raw Data'!$C:$O,9,0)),"")</f>
        <v/>
      </c>
    </row>
    <row r="3145" spans="4:17" ht="12.75" customHeight="1" x14ac:dyDescent="0.2">
      <c r="D3145" s="58" t="str">
        <f>IFERROR(IF(F3145&lt;&gt;"pending","",IF(OR($B3145="",$B3145="(blank)"),"",VLOOKUP($B3145,'Email Marketing Raw Data'!$C:$O,10,0))),"")</f>
        <v/>
      </c>
      <c r="E3145" s="59" t="str">
        <f>IFERROR(IF(F3145&lt;&gt;"pending","",IF(OR($B3145="",$B3145="(blank)"),"",VLOOKUP($B3145,'Email Marketing Raw Data'!$C:$O,11,0))),"")</f>
        <v/>
      </c>
      <c r="F3145" s="54" t="str">
        <f>IFERROR(IF(OR($B3145="",$B3145="(blank)"),"",VLOOKUP($B3145,'Email Marketing Raw Data'!$C:$O,13,0)),"")</f>
        <v/>
      </c>
      <c r="G3145" s="55" t="str">
        <f>IFERROR(IF(OR($B3145="",$B3145="(blank)"),"",VLOOKUP($B3145,'Email Marketing Raw Data'!$C:$O,4,0)),"")</f>
        <v/>
      </c>
      <c r="H3145" s="55" t="str">
        <f>IFERROR(IF(OR($B3145="",$B3145="(blank)"),"",VLOOKUP($B3145,'Email Marketing Raw Data'!$C:$O,5,0)),"")</f>
        <v/>
      </c>
      <c r="I3145" s="55" t="str">
        <f>IFERROR(IF($G3145="","",VLOOKUP('Dashboard And Emails Automate'!$G3145,Database!$H:$N,3,0)),"")</f>
        <v/>
      </c>
      <c r="J3145" s="55" t="str">
        <f>IFERROR(IF($G3145="","",VLOOKUP('Dashboard And Emails Automate'!$G3145,Database!$H:$N,4,0)),"")</f>
        <v/>
      </c>
      <c r="K3145" s="55" t="str">
        <f>IFERROR(IF($G3145="","",VLOOKUP('Dashboard And Emails Automate'!$G3145,Database!$H:$N,5,0)),"")</f>
        <v/>
      </c>
      <c r="L3145" s="55" t="str">
        <f>IFERROR(IF($G3145="","",VLOOKUP('Dashboard And Emails Automate'!$G3145,Database!$H:$N,6,0)),"")</f>
        <v/>
      </c>
      <c r="M3145" s="55" t="str">
        <f>IFERROR(IF($G3145="","",VLOOKUP('Dashboard And Emails Automate'!$G3145,Database!$H:$N,7,0)),"")</f>
        <v/>
      </c>
      <c r="N3145" s="55" t="str">
        <f>IFERROR(IF(OR($B3145="",$B3145="(blank)"),"",VLOOKUP($B3145,'Email Marketing Raw Data'!$C:$O,6,0)),"")</f>
        <v/>
      </c>
      <c r="O3145" s="55" t="str">
        <f>IFERROR(IF(OR($B3145="",$B3145="(blank)"),"",VLOOKUP($B3145,'Email Marketing Raw Data'!$C:$O,7,0)),"")</f>
        <v/>
      </c>
      <c r="P3145" s="55" t="str">
        <f>IFERROR(IF(OR($B3145="",$B3145="(blank)"),"",VLOOKUP($B3145,'Email Marketing Raw Data'!$C:$O,8,0)),"")</f>
        <v/>
      </c>
      <c r="Q3145" s="62" t="str">
        <f>IFERROR(IF(OR($B3145="",$B3145="(blank)"),"",VLOOKUP($B3145,'Email Marketing Raw Data'!$C:$O,9,0)),"")</f>
        <v/>
      </c>
    </row>
    <row r="3146" spans="4:17" ht="12.75" customHeight="1" x14ac:dyDescent="0.2">
      <c r="D3146" s="58" t="str">
        <f>IFERROR(IF(F3146&lt;&gt;"pending","",IF(OR($B3146="",$B3146="(blank)"),"",VLOOKUP($B3146,'Email Marketing Raw Data'!$C:$O,10,0))),"")</f>
        <v/>
      </c>
      <c r="E3146" s="59" t="str">
        <f>IFERROR(IF(F3146&lt;&gt;"pending","",IF(OR($B3146="",$B3146="(blank)"),"",VLOOKUP($B3146,'Email Marketing Raw Data'!$C:$O,11,0))),"")</f>
        <v/>
      </c>
      <c r="F3146" s="54" t="str">
        <f>IFERROR(IF(OR($B3146="",$B3146="(blank)"),"",VLOOKUP($B3146,'Email Marketing Raw Data'!$C:$O,13,0)),"")</f>
        <v/>
      </c>
      <c r="G3146" s="55" t="str">
        <f>IFERROR(IF(OR($B3146="",$B3146="(blank)"),"",VLOOKUP($B3146,'Email Marketing Raw Data'!$C:$O,4,0)),"")</f>
        <v/>
      </c>
      <c r="H3146" s="55" t="str">
        <f>IFERROR(IF(OR($B3146="",$B3146="(blank)"),"",VLOOKUP($B3146,'Email Marketing Raw Data'!$C:$O,5,0)),"")</f>
        <v/>
      </c>
      <c r="I3146" s="55" t="str">
        <f>IFERROR(IF($G3146="","",VLOOKUP('Dashboard And Emails Automate'!$G3146,Database!$H:$N,3,0)),"")</f>
        <v/>
      </c>
      <c r="J3146" s="55" t="str">
        <f>IFERROR(IF($G3146="","",VLOOKUP('Dashboard And Emails Automate'!$G3146,Database!$H:$N,4,0)),"")</f>
        <v/>
      </c>
      <c r="K3146" s="55" t="str">
        <f>IFERROR(IF($G3146="","",VLOOKUP('Dashboard And Emails Automate'!$G3146,Database!$H:$N,5,0)),"")</f>
        <v/>
      </c>
      <c r="L3146" s="55" t="str">
        <f>IFERROR(IF($G3146="","",VLOOKUP('Dashboard And Emails Automate'!$G3146,Database!$H:$N,6,0)),"")</f>
        <v/>
      </c>
      <c r="M3146" s="55" t="str">
        <f>IFERROR(IF($G3146="","",VLOOKUP('Dashboard And Emails Automate'!$G3146,Database!$H:$N,7,0)),"")</f>
        <v/>
      </c>
      <c r="N3146" s="55" t="str">
        <f>IFERROR(IF(OR($B3146="",$B3146="(blank)"),"",VLOOKUP($B3146,'Email Marketing Raw Data'!$C:$O,6,0)),"")</f>
        <v/>
      </c>
      <c r="O3146" s="55" t="str">
        <f>IFERROR(IF(OR($B3146="",$B3146="(blank)"),"",VLOOKUP($B3146,'Email Marketing Raw Data'!$C:$O,7,0)),"")</f>
        <v/>
      </c>
      <c r="P3146" s="55" t="str">
        <f>IFERROR(IF(OR($B3146="",$B3146="(blank)"),"",VLOOKUP($B3146,'Email Marketing Raw Data'!$C:$O,8,0)),"")</f>
        <v/>
      </c>
      <c r="Q3146" s="62" t="str">
        <f>IFERROR(IF(OR($B3146="",$B3146="(blank)"),"",VLOOKUP($B3146,'Email Marketing Raw Data'!$C:$O,9,0)),"")</f>
        <v/>
      </c>
    </row>
    <row r="3147" spans="4:17" ht="12.75" customHeight="1" x14ac:dyDescent="0.2">
      <c r="D3147" s="58" t="str">
        <f>IFERROR(IF(F3147&lt;&gt;"pending","",IF(OR($B3147="",$B3147="(blank)"),"",VLOOKUP($B3147,'Email Marketing Raw Data'!$C:$O,10,0))),"")</f>
        <v/>
      </c>
      <c r="E3147" s="59" t="str">
        <f>IFERROR(IF(F3147&lt;&gt;"pending","",IF(OR($B3147="",$B3147="(blank)"),"",VLOOKUP($B3147,'Email Marketing Raw Data'!$C:$O,11,0))),"")</f>
        <v/>
      </c>
      <c r="F3147" s="54" t="str">
        <f>IFERROR(IF(OR($B3147="",$B3147="(blank)"),"",VLOOKUP($B3147,'Email Marketing Raw Data'!$C:$O,13,0)),"")</f>
        <v/>
      </c>
      <c r="G3147" s="55" t="str">
        <f>IFERROR(IF(OR($B3147="",$B3147="(blank)"),"",VLOOKUP($B3147,'Email Marketing Raw Data'!$C:$O,4,0)),"")</f>
        <v/>
      </c>
      <c r="H3147" s="55" t="str">
        <f>IFERROR(IF(OR($B3147="",$B3147="(blank)"),"",VLOOKUP($B3147,'Email Marketing Raw Data'!$C:$O,5,0)),"")</f>
        <v/>
      </c>
      <c r="I3147" s="55" t="str">
        <f>IFERROR(IF($G3147="","",VLOOKUP('Dashboard And Emails Automate'!$G3147,Database!$H:$N,3,0)),"")</f>
        <v/>
      </c>
      <c r="J3147" s="55" t="str">
        <f>IFERROR(IF($G3147="","",VLOOKUP('Dashboard And Emails Automate'!$G3147,Database!$H:$N,4,0)),"")</f>
        <v/>
      </c>
      <c r="K3147" s="55" t="str">
        <f>IFERROR(IF($G3147="","",VLOOKUP('Dashboard And Emails Automate'!$G3147,Database!$H:$N,5,0)),"")</f>
        <v/>
      </c>
      <c r="L3147" s="55" t="str">
        <f>IFERROR(IF($G3147="","",VLOOKUP('Dashboard And Emails Automate'!$G3147,Database!$H:$N,6,0)),"")</f>
        <v/>
      </c>
      <c r="M3147" s="55" t="str">
        <f>IFERROR(IF($G3147="","",VLOOKUP('Dashboard And Emails Automate'!$G3147,Database!$H:$N,7,0)),"")</f>
        <v/>
      </c>
      <c r="N3147" s="55" t="str">
        <f>IFERROR(IF(OR($B3147="",$B3147="(blank)"),"",VLOOKUP($B3147,'Email Marketing Raw Data'!$C:$O,6,0)),"")</f>
        <v/>
      </c>
      <c r="O3147" s="55" t="str">
        <f>IFERROR(IF(OR($B3147="",$B3147="(blank)"),"",VLOOKUP($B3147,'Email Marketing Raw Data'!$C:$O,7,0)),"")</f>
        <v/>
      </c>
      <c r="P3147" s="55" t="str">
        <f>IFERROR(IF(OR($B3147="",$B3147="(blank)"),"",VLOOKUP($B3147,'Email Marketing Raw Data'!$C:$O,8,0)),"")</f>
        <v/>
      </c>
      <c r="Q3147" s="62" t="str">
        <f>IFERROR(IF(OR($B3147="",$B3147="(blank)"),"",VLOOKUP($B3147,'Email Marketing Raw Data'!$C:$O,9,0)),"")</f>
        <v/>
      </c>
    </row>
    <row r="3148" spans="4:17" ht="12.75" customHeight="1" x14ac:dyDescent="0.2">
      <c r="D3148" s="58" t="str">
        <f>IFERROR(IF(F3148&lt;&gt;"pending","",IF(OR($B3148="",$B3148="(blank)"),"",VLOOKUP($B3148,'Email Marketing Raw Data'!$C:$O,10,0))),"")</f>
        <v/>
      </c>
      <c r="E3148" s="59" t="str">
        <f>IFERROR(IF(F3148&lt;&gt;"pending","",IF(OR($B3148="",$B3148="(blank)"),"",VLOOKUP($B3148,'Email Marketing Raw Data'!$C:$O,11,0))),"")</f>
        <v/>
      </c>
      <c r="F3148" s="54" t="str">
        <f>IFERROR(IF(OR($B3148="",$B3148="(blank)"),"",VLOOKUP($B3148,'Email Marketing Raw Data'!$C:$O,13,0)),"")</f>
        <v/>
      </c>
      <c r="G3148" s="55" t="str">
        <f>IFERROR(IF(OR($B3148="",$B3148="(blank)"),"",VLOOKUP($B3148,'Email Marketing Raw Data'!$C:$O,4,0)),"")</f>
        <v/>
      </c>
      <c r="H3148" s="55" t="str">
        <f>IFERROR(IF(OR($B3148="",$B3148="(blank)"),"",VLOOKUP($B3148,'Email Marketing Raw Data'!$C:$O,5,0)),"")</f>
        <v/>
      </c>
      <c r="I3148" s="55" t="str">
        <f>IFERROR(IF($G3148="","",VLOOKUP('Dashboard And Emails Automate'!$G3148,Database!$H:$N,3,0)),"")</f>
        <v/>
      </c>
      <c r="J3148" s="55" t="str">
        <f>IFERROR(IF($G3148="","",VLOOKUP('Dashboard And Emails Automate'!$G3148,Database!$H:$N,4,0)),"")</f>
        <v/>
      </c>
      <c r="K3148" s="55" t="str">
        <f>IFERROR(IF($G3148="","",VLOOKUP('Dashboard And Emails Automate'!$G3148,Database!$H:$N,5,0)),"")</f>
        <v/>
      </c>
      <c r="L3148" s="55" t="str">
        <f>IFERROR(IF($G3148="","",VLOOKUP('Dashboard And Emails Automate'!$G3148,Database!$H:$N,6,0)),"")</f>
        <v/>
      </c>
      <c r="M3148" s="55" t="str">
        <f>IFERROR(IF($G3148="","",VLOOKUP('Dashboard And Emails Automate'!$G3148,Database!$H:$N,7,0)),"")</f>
        <v/>
      </c>
      <c r="N3148" s="55" t="str">
        <f>IFERROR(IF(OR($B3148="",$B3148="(blank)"),"",VLOOKUP($B3148,'Email Marketing Raw Data'!$C:$O,6,0)),"")</f>
        <v/>
      </c>
      <c r="O3148" s="55" t="str">
        <f>IFERROR(IF(OR($B3148="",$B3148="(blank)"),"",VLOOKUP($B3148,'Email Marketing Raw Data'!$C:$O,7,0)),"")</f>
        <v/>
      </c>
      <c r="P3148" s="55" t="str">
        <f>IFERROR(IF(OR($B3148="",$B3148="(blank)"),"",VLOOKUP($B3148,'Email Marketing Raw Data'!$C:$O,8,0)),"")</f>
        <v/>
      </c>
      <c r="Q3148" s="62" t="str">
        <f>IFERROR(IF(OR($B3148="",$B3148="(blank)"),"",VLOOKUP($B3148,'Email Marketing Raw Data'!$C:$O,9,0)),"")</f>
        <v/>
      </c>
    </row>
    <row r="3149" spans="4:17" ht="12.75" customHeight="1" x14ac:dyDescent="0.2">
      <c r="D3149" s="58" t="str">
        <f>IFERROR(IF(F3149&lt;&gt;"pending","",IF(OR($B3149="",$B3149="(blank)"),"",VLOOKUP($B3149,'Email Marketing Raw Data'!$C:$O,10,0))),"")</f>
        <v/>
      </c>
      <c r="E3149" s="59" t="str">
        <f>IFERROR(IF(F3149&lt;&gt;"pending","",IF(OR($B3149="",$B3149="(blank)"),"",VLOOKUP($B3149,'Email Marketing Raw Data'!$C:$O,11,0))),"")</f>
        <v/>
      </c>
      <c r="F3149" s="54" t="str">
        <f>IFERROR(IF(OR($B3149="",$B3149="(blank)"),"",VLOOKUP($B3149,'Email Marketing Raw Data'!$C:$O,13,0)),"")</f>
        <v/>
      </c>
      <c r="G3149" s="55" t="str">
        <f>IFERROR(IF(OR($B3149="",$B3149="(blank)"),"",VLOOKUP($B3149,'Email Marketing Raw Data'!$C:$O,4,0)),"")</f>
        <v/>
      </c>
      <c r="H3149" s="55" t="str">
        <f>IFERROR(IF(OR($B3149="",$B3149="(blank)"),"",VLOOKUP($B3149,'Email Marketing Raw Data'!$C:$O,5,0)),"")</f>
        <v/>
      </c>
      <c r="I3149" s="55" t="str">
        <f>IFERROR(IF($G3149="","",VLOOKUP('Dashboard And Emails Automate'!$G3149,Database!$H:$N,3,0)),"")</f>
        <v/>
      </c>
      <c r="J3149" s="55" t="str">
        <f>IFERROR(IF($G3149="","",VLOOKUP('Dashboard And Emails Automate'!$G3149,Database!$H:$N,4,0)),"")</f>
        <v/>
      </c>
      <c r="K3149" s="55" t="str">
        <f>IFERROR(IF($G3149="","",VLOOKUP('Dashboard And Emails Automate'!$G3149,Database!$H:$N,5,0)),"")</f>
        <v/>
      </c>
      <c r="L3149" s="55" t="str">
        <f>IFERROR(IF($G3149="","",VLOOKUP('Dashboard And Emails Automate'!$G3149,Database!$H:$N,6,0)),"")</f>
        <v/>
      </c>
      <c r="M3149" s="55" t="str">
        <f>IFERROR(IF($G3149="","",VLOOKUP('Dashboard And Emails Automate'!$G3149,Database!$H:$N,7,0)),"")</f>
        <v/>
      </c>
      <c r="N3149" s="55" t="str">
        <f>IFERROR(IF(OR($B3149="",$B3149="(blank)"),"",VLOOKUP($B3149,'Email Marketing Raw Data'!$C:$O,6,0)),"")</f>
        <v/>
      </c>
      <c r="O3149" s="55" t="str">
        <f>IFERROR(IF(OR($B3149="",$B3149="(blank)"),"",VLOOKUP($B3149,'Email Marketing Raw Data'!$C:$O,7,0)),"")</f>
        <v/>
      </c>
      <c r="P3149" s="55" t="str">
        <f>IFERROR(IF(OR($B3149="",$B3149="(blank)"),"",VLOOKUP($B3149,'Email Marketing Raw Data'!$C:$O,8,0)),"")</f>
        <v/>
      </c>
      <c r="Q3149" s="62" t="str">
        <f>IFERROR(IF(OR($B3149="",$B3149="(blank)"),"",VLOOKUP($B3149,'Email Marketing Raw Data'!$C:$O,9,0)),"")</f>
        <v/>
      </c>
    </row>
    <row r="3150" spans="4:17" ht="12.75" customHeight="1" x14ac:dyDescent="0.2">
      <c r="D3150" s="58" t="str">
        <f>IFERROR(IF(F3150&lt;&gt;"pending","",IF(OR($B3150="",$B3150="(blank)"),"",VLOOKUP($B3150,'Email Marketing Raw Data'!$C:$O,10,0))),"")</f>
        <v/>
      </c>
      <c r="E3150" s="59" t="str">
        <f>IFERROR(IF(F3150&lt;&gt;"pending","",IF(OR($B3150="",$B3150="(blank)"),"",VLOOKUP($B3150,'Email Marketing Raw Data'!$C:$O,11,0))),"")</f>
        <v/>
      </c>
      <c r="F3150" s="54" t="str">
        <f>IFERROR(IF(OR($B3150="",$B3150="(blank)"),"",VLOOKUP($B3150,'Email Marketing Raw Data'!$C:$O,13,0)),"")</f>
        <v/>
      </c>
      <c r="G3150" s="55" t="str">
        <f>IFERROR(IF(OR($B3150="",$B3150="(blank)"),"",VLOOKUP($B3150,'Email Marketing Raw Data'!$C:$O,4,0)),"")</f>
        <v/>
      </c>
      <c r="H3150" s="55" t="str">
        <f>IFERROR(IF(OR($B3150="",$B3150="(blank)"),"",VLOOKUP($B3150,'Email Marketing Raw Data'!$C:$O,5,0)),"")</f>
        <v/>
      </c>
      <c r="I3150" s="55" t="str">
        <f>IFERROR(IF($G3150="","",VLOOKUP('Dashboard And Emails Automate'!$G3150,Database!$H:$N,3,0)),"")</f>
        <v/>
      </c>
      <c r="J3150" s="55" t="str">
        <f>IFERROR(IF($G3150="","",VLOOKUP('Dashboard And Emails Automate'!$G3150,Database!$H:$N,4,0)),"")</f>
        <v/>
      </c>
      <c r="K3150" s="55" t="str">
        <f>IFERROR(IF($G3150="","",VLOOKUP('Dashboard And Emails Automate'!$G3150,Database!$H:$N,5,0)),"")</f>
        <v/>
      </c>
      <c r="L3150" s="55" t="str">
        <f>IFERROR(IF($G3150="","",VLOOKUP('Dashboard And Emails Automate'!$G3150,Database!$H:$N,6,0)),"")</f>
        <v/>
      </c>
      <c r="M3150" s="55" t="str">
        <f>IFERROR(IF($G3150="","",VLOOKUP('Dashboard And Emails Automate'!$G3150,Database!$H:$N,7,0)),"")</f>
        <v/>
      </c>
      <c r="N3150" s="55" t="str">
        <f>IFERROR(IF(OR($B3150="",$B3150="(blank)"),"",VLOOKUP($B3150,'Email Marketing Raw Data'!$C:$O,6,0)),"")</f>
        <v/>
      </c>
      <c r="O3150" s="55" t="str">
        <f>IFERROR(IF(OR($B3150="",$B3150="(blank)"),"",VLOOKUP($B3150,'Email Marketing Raw Data'!$C:$O,7,0)),"")</f>
        <v/>
      </c>
      <c r="P3150" s="55" t="str">
        <f>IFERROR(IF(OR($B3150="",$B3150="(blank)"),"",VLOOKUP($B3150,'Email Marketing Raw Data'!$C:$O,8,0)),"")</f>
        <v/>
      </c>
      <c r="Q3150" s="62" t="str">
        <f>IFERROR(IF(OR($B3150="",$B3150="(blank)"),"",VLOOKUP($B3150,'Email Marketing Raw Data'!$C:$O,9,0)),"")</f>
        <v/>
      </c>
    </row>
    <row r="3151" spans="4:17" ht="12.75" customHeight="1" x14ac:dyDescent="0.2">
      <c r="D3151" s="58" t="str">
        <f>IFERROR(IF(F3151&lt;&gt;"pending","",IF(OR($B3151="",$B3151="(blank)"),"",VLOOKUP($B3151,'Email Marketing Raw Data'!$C:$O,10,0))),"")</f>
        <v/>
      </c>
      <c r="E3151" s="59" t="str">
        <f>IFERROR(IF(F3151&lt;&gt;"pending","",IF(OR($B3151="",$B3151="(blank)"),"",VLOOKUP($B3151,'Email Marketing Raw Data'!$C:$O,11,0))),"")</f>
        <v/>
      </c>
      <c r="F3151" s="54" t="str">
        <f>IFERROR(IF(OR($B3151="",$B3151="(blank)"),"",VLOOKUP($B3151,'Email Marketing Raw Data'!$C:$O,13,0)),"")</f>
        <v/>
      </c>
      <c r="G3151" s="55" t="str">
        <f>IFERROR(IF(OR($B3151="",$B3151="(blank)"),"",VLOOKUP($B3151,'Email Marketing Raw Data'!$C:$O,4,0)),"")</f>
        <v/>
      </c>
      <c r="H3151" s="55" t="str">
        <f>IFERROR(IF(OR($B3151="",$B3151="(blank)"),"",VLOOKUP($B3151,'Email Marketing Raw Data'!$C:$O,5,0)),"")</f>
        <v/>
      </c>
      <c r="I3151" s="55" t="str">
        <f>IFERROR(IF($G3151="","",VLOOKUP('Dashboard And Emails Automate'!$G3151,Database!$H:$N,3,0)),"")</f>
        <v/>
      </c>
      <c r="J3151" s="55" t="str">
        <f>IFERROR(IF($G3151="","",VLOOKUP('Dashboard And Emails Automate'!$G3151,Database!$H:$N,4,0)),"")</f>
        <v/>
      </c>
      <c r="K3151" s="55" t="str">
        <f>IFERROR(IF($G3151="","",VLOOKUP('Dashboard And Emails Automate'!$G3151,Database!$H:$N,5,0)),"")</f>
        <v/>
      </c>
      <c r="L3151" s="55" t="str">
        <f>IFERROR(IF($G3151="","",VLOOKUP('Dashboard And Emails Automate'!$G3151,Database!$H:$N,6,0)),"")</f>
        <v/>
      </c>
      <c r="M3151" s="55" t="str">
        <f>IFERROR(IF($G3151="","",VLOOKUP('Dashboard And Emails Automate'!$G3151,Database!$H:$N,7,0)),"")</f>
        <v/>
      </c>
      <c r="N3151" s="55" t="str">
        <f>IFERROR(IF(OR($B3151="",$B3151="(blank)"),"",VLOOKUP($B3151,'Email Marketing Raw Data'!$C:$O,6,0)),"")</f>
        <v/>
      </c>
      <c r="O3151" s="55" t="str">
        <f>IFERROR(IF(OR($B3151="",$B3151="(blank)"),"",VLOOKUP($B3151,'Email Marketing Raw Data'!$C:$O,7,0)),"")</f>
        <v/>
      </c>
      <c r="P3151" s="55" t="str">
        <f>IFERROR(IF(OR($B3151="",$B3151="(blank)"),"",VLOOKUP($B3151,'Email Marketing Raw Data'!$C:$O,8,0)),"")</f>
        <v/>
      </c>
      <c r="Q3151" s="62" t="str">
        <f>IFERROR(IF(OR($B3151="",$B3151="(blank)"),"",VLOOKUP($B3151,'Email Marketing Raw Data'!$C:$O,9,0)),"")</f>
        <v/>
      </c>
    </row>
    <row r="3152" spans="4:17" ht="12.75" customHeight="1" x14ac:dyDescent="0.2">
      <c r="D3152" s="58" t="str">
        <f>IFERROR(IF(F3152&lt;&gt;"pending","",IF(OR($B3152="",$B3152="(blank)"),"",VLOOKUP($B3152,'Email Marketing Raw Data'!$C:$O,10,0))),"")</f>
        <v/>
      </c>
      <c r="E3152" s="59" t="str">
        <f>IFERROR(IF(F3152&lt;&gt;"pending","",IF(OR($B3152="",$B3152="(blank)"),"",VLOOKUP($B3152,'Email Marketing Raw Data'!$C:$O,11,0))),"")</f>
        <v/>
      </c>
      <c r="F3152" s="54" t="str">
        <f>IFERROR(IF(OR($B3152="",$B3152="(blank)"),"",VLOOKUP($B3152,'Email Marketing Raw Data'!$C:$O,13,0)),"")</f>
        <v/>
      </c>
      <c r="G3152" s="55" t="str">
        <f>IFERROR(IF(OR($B3152="",$B3152="(blank)"),"",VLOOKUP($B3152,'Email Marketing Raw Data'!$C:$O,4,0)),"")</f>
        <v/>
      </c>
      <c r="H3152" s="55" t="str">
        <f>IFERROR(IF(OR($B3152="",$B3152="(blank)"),"",VLOOKUP($B3152,'Email Marketing Raw Data'!$C:$O,5,0)),"")</f>
        <v/>
      </c>
      <c r="I3152" s="55" t="str">
        <f>IFERROR(IF($G3152="","",VLOOKUP('Dashboard And Emails Automate'!$G3152,Database!$H:$N,3,0)),"")</f>
        <v/>
      </c>
      <c r="J3152" s="55" t="str">
        <f>IFERROR(IF($G3152="","",VLOOKUP('Dashboard And Emails Automate'!$G3152,Database!$H:$N,4,0)),"")</f>
        <v/>
      </c>
      <c r="K3152" s="55" t="str">
        <f>IFERROR(IF($G3152="","",VLOOKUP('Dashboard And Emails Automate'!$G3152,Database!$H:$N,5,0)),"")</f>
        <v/>
      </c>
      <c r="L3152" s="55" t="str">
        <f>IFERROR(IF($G3152="","",VLOOKUP('Dashboard And Emails Automate'!$G3152,Database!$H:$N,6,0)),"")</f>
        <v/>
      </c>
      <c r="M3152" s="55" t="str">
        <f>IFERROR(IF($G3152="","",VLOOKUP('Dashboard And Emails Automate'!$G3152,Database!$H:$N,7,0)),"")</f>
        <v/>
      </c>
      <c r="N3152" s="55" t="str">
        <f>IFERROR(IF(OR($B3152="",$B3152="(blank)"),"",VLOOKUP($B3152,'Email Marketing Raw Data'!$C:$O,6,0)),"")</f>
        <v/>
      </c>
      <c r="O3152" s="55" t="str">
        <f>IFERROR(IF(OR($B3152="",$B3152="(blank)"),"",VLOOKUP($B3152,'Email Marketing Raw Data'!$C:$O,7,0)),"")</f>
        <v/>
      </c>
      <c r="P3152" s="55" t="str">
        <f>IFERROR(IF(OR($B3152="",$B3152="(blank)"),"",VLOOKUP($B3152,'Email Marketing Raw Data'!$C:$O,8,0)),"")</f>
        <v/>
      </c>
      <c r="Q3152" s="62" t="str">
        <f>IFERROR(IF(OR($B3152="",$B3152="(blank)"),"",VLOOKUP($B3152,'Email Marketing Raw Data'!$C:$O,9,0)),"")</f>
        <v/>
      </c>
    </row>
    <row r="3153" spans="4:17" ht="12.75" customHeight="1" x14ac:dyDescent="0.2">
      <c r="D3153" s="58" t="str">
        <f>IFERROR(IF(F3153&lt;&gt;"pending","",IF(OR($B3153="",$B3153="(blank)"),"",VLOOKUP($B3153,'Email Marketing Raw Data'!$C:$O,10,0))),"")</f>
        <v/>
      </c>
      <c r="E3153" s="59" t="str">
        <f>IFERROR(IF(F3153&lt;&gt;"pending","",IF(OR($B3153="",$B3153="(blank)"),"",VLOOKUP($B3153,'Email Marketing Raw Data'!$C:$O,11,0))),"")</f>
        <v/>
      </c>
      <c r="F3153" s="54" t="str">
        <f>IFERROR(IF(OR($B3153="",$B3153="(blank)"),"",VLOOKUP($B3153,'Email Marketing Raw Data'!$C:$O,13,0)),"")</f>
        <v/>
      </c>
      <c r="G3153" s="55" t="str">
        <f>IFERROR(IF(OR($B3153="",$B3153="(blank)"),"",VLOOKUP($B3153,'Email Marketing Raw Data'!$C:$O,4,0)),"")</f>
        <v/>
      </c>
      <c r="H3153" s="55" t="str">
        <f>IFERROR(IF(OR($B3153="",$B3153="(blank)"),"",VLOOKUP($B3153,'Email Marketing Raw Data'!$C:$O,5,0)),"")</f>
        <v/>
      </c>
      <c r="I3153" s="55" t="str">
        <f>IFERROR(IF($G3153="","",VLOOKUP('Dashboard And Emails Automate'!$G3153,Database!$H:$N,3,0)),"")</f>
        <v/>
      </c>
      <c r="J3153" s="55" t="str">
        <f>IFERROR(IF($G3153="","",VLOOKUP('Dashboard And Emails Automate'!$G3153,Database!$H:$N,4,0)),"")</f>
        <v/>
      </c>
      <c r="K3153" s="55" t="str">
        <f>IFERROR(IF($G3153="","",VLOOKUP('Dashboard And Emails Automate'!$G3153,Database!$H:$N,5,0)),"")</f>
        <v/>
      </c>
      <c r="L3153" s="55" t="str">
        <f>IFERROR(IF($G3153="","",VLOOKUP('Dashboard And Emails Automate'!$G3153,Database!$H:$N,6,0)),"")</f>
        <v/>
      </c>
      <c r="M3153" s="55" t="str">
        <f>IFERROR(IF($G3153="","",VLOOKUP('Dashboard And Emails Automate'!$G3153,Database!$H:$N,7,0)),"")</f>
        <v/>
      </c>
      <c r="N3153" s="55" t="str">
        <f>IFERROR(IF(OR($B3153="",$B3153="(blank)"),"",VLOOKUP($B3153,'Email Marketing Raw Data'!$C:$O,6,0)),"")</f>
        <v/>
      </c>
      <c r="O3153" s="55" t="str">
        <f>IFERROR(IF(OR($B3153="",$B3153="(blank)"),"",VLOOKUP($B3153,'Email Marketing Raw Data'!$C:$O,7,0)),"")</f>
        <v/>
      </c>
      <c r="P3153" s="55" t="str">
        <f>IFERROR(IF(OR($B3153="",$B3153="(blank)"),"",VLOOKUP($B3153,'Email Marketing Raw Data'!$C:$O,8,0)),"")</f>
        <v/>
      </c>
      <c r="Q3153" s="62" t="str">
        <f>IFERROR(IF(OR($B3153="",$B3153="(blank)"),"",VLOOKUP($B3153,'Email Marketing Raw Data'!$C:$O,9,0)),"")</f>
        <v/>
      </c>
    </row>
    <row r="3154" spans="4:17" ht="12.75" customHeight="1" x14ac:dyDescent="0.2">
      <c r="D3154" s="58" t="str">
        <f>IFERROR(IF(F3154&lt;&gt;"pending","",IF(OR($B3154="",$B3154="(blank)"),"",VLOOKUP($B3154,'Email Marketing Raw Data'!$C:$O,10,0))),"")</f>
        <v/>
      </c>
      <c r="E3154" s="59" t="str">
        <f>IFERROR(IF(F3154&lt;&gt;"pending","",IF(OR($B3154="",$B3154="(blank)"),"",VLOOKUP($B3154,'Email Marketing Raw Data'!$C:$O,11,0))),"")</f>
        <v/>
      </c>
      <c r="F3154" s="54" t="str">
        <f>IFERROR(IF(OR($B3154="",$B3154="(blank)"),"",VLOOKUP($B3154,'Email Marketing Raw Data'!$C:$O,13,0)),"")</f>
        <v/>
      </c>
      <c r="G3154" s="55" t="str">
        <f>IFERROR(IF(OR($B3154="",$B3154="(blank)"),"",VLOOKUP($B3154,'Email Marketing Raw Data'!$C:$O,4,0)),"")</f>
        <v/>
      </c>
      <c r="H3154" s="55" t="str">
        <f>IFERROR(IF(OR($B3154="",$B3154="(blank)"),"",VLOOKUP($B3154,'Email Marketing Raw Data'!$C:$O,5,0)),"")</f>
        <v/>
      </c>
      <c r="I3154" s="55" t="str">
        <f>IFERROR(IF($G3154="","",VLOOKUP('Dashboard And Emails Automate'!$G3154,Database!$H:$N,3,0)),"")</f>
        <v/>
      </c>
      <c r="J3154" s="55" t="str">
        <f>IFERROR(IF($G3154="","",VLOOKUP('Dashboard And Emails Automate'!$G3154,Database!$H:$N,4,0)),"")</f>
        <v/>
      </c>
      <c r="K3154" s="55" t="str">
        <f>IFERROR(IF($G3154="","",VLOOKUP('Dashboard And Emails Automate'!$G3154,Database!$H:$N,5,0)),"")</f>
        <v/>
      </c>
      <c r="L3154" s="55" t="str">
        <f>IFERROR(IF($G3154="","",VLOOKUP('Dashboard And Emails Automate'!$G3154,Database!$H:$N,6,0)),"")</f>
        <v/>
      </c>
      <c r="M3154" s="55" t="str">
        <f>IFERROR(IF($G3154="","",VLOOKUP('Dashboard And Emails Automate'!$G3154,Database!$H:$N,7,0)),"")</f>
        <v/>
      </c>
      <c r="N3154" s="55" t="str">
        <f>IFERROR(IF(OR($B3154="",$B3154="(blank)"),"",VLOOKUP($B3154,'Email Marketing Raw Data'!$C:$O,6,0)),"")</f>
        <v/>
      </c>
      <c r="O3154" s="55" t="str">
        <f>IFERROR(IF(OR($B3154="",$B3154="(blank)"),"",VLOOKUP($B3154,'Email Marketing Raw Data'!$C:$O,7,0)),"")</f>
        <v/>
      </c>
      <c r="P3154" s="55" t="str">
        <f>IFERROR(IF(OR($B3154="",$B3154="(blank)"),"",VLOOKUP($B3154,'Email Marketing Raw Data'!$C:$O,8,0)),"")</f>
        <v/>
      </c>
      <c r="Q3154" s="62" t="str">
        <f>IFERROR(IF(OR($B3154="",$B3154="(blank)"),"",VLOOKUP($B3154,'Email Marketing Raw Data'!$C:$O,9,0)),"")</f>
        <v/>
      </c>
    </row>
    <row r="3155" spans="4:17" ht="12.75" customHeight="1" x14ac:dyDescent="0.2">
      <c r="D3155" s="58" t="str">
        <f>IFERROR(IF(F3155&lt;&gt;"pending","",IF(OR($B3155="",$B3155="(blank)"),"",VLOOKUP($B3155,'Email Marketing Raw Data'!$C:$O,10,0))),"")</f>
        <v/>
      </c>
      <c r="E3155" s="59" t="str">
        <f>IFERROR(IF(F3155&lt;&gt;"pending","",IF(OR($B3155="",$B3155="(blank)"),"",VLOOKUP($B3155,'Email Marketing Raw Data'!$C:$O,11,0))),"")</f>
        <v/>
      </c>
      <c r="F3155" s="54" t="str">
        <f>IFERROR(IF(OR($B3155="",$B3155="(blank)"),"",VLOOKUP($B3155,'Email Marketing Raw Data'!$C:$O,13,0)),"")</f>
        <v/>
      </c>
      <c r="G3155" s="55" t="str">
        <f>IFERROR(IF(OR($B3155="",$B3155="(blank)"),"",VLOOKUP($B3155,'Email Marketing Raw Data'!$C:$O,4,0)),"")</f>
        <v/>
      </c>
      <c r="H3155" s="55" t="str">
        <f>IFERROR(IF(OR($B3155="",$B3155="(blank)"),"",VLOOKUP($B3155,'Email Marketing Raw Data'!$C:$O,5,0)),"")</f>
        <v/>
      </c>
      <c r="I3155" s="55" t="str">
        <f>IFERROR(IF($G3155="","",VLOOKUP('Dashboard And Emails Automate'!$G3155,Database!$H:$N,3,0)),"")</f>
        <v/>
      </c>
      <c r="J3155" s="55" t="str">
        <f>IFERROR(IF($G3155="","",VLOOKUP('Dashboard And Emails Automate'!$G3155,Database!$H:$N,4,0)),"")</f>
        <v/>
      </c>
      <c r="K3155" s="55" t="str">
        <f>IFERROR(IF($G3155="","",VLOOKUP('Dashboard And Emails Automate'!$G3155,Database!$H:$N,5,0)),"")</f>
        <v/>
      </c>
      <c r="L3155" s="55" t="str">
        <f>IFERROR(IF($G3155="","",VLOOKUP('Dashboard And Emails Automate'!$G3155,Database!$H:$N,6,0)),"")</f>
        <v/>
      </c>
      <c r="M3155" s="55" t="str">
        <f>IFERROR(IF($G3155="","",VLOOKUP('Dashboard And Emails Automate'!$G3155,Database!$H:$N,7,0)),"")</f>
        <v/>
      </c>
      <c r="N3155" s="55" t="str">
        <f>IFERROR(IF(OR($B3155="",$B3155="(blank)"),"",VLOOKUP($B3155,'Email Marketing Raw Data'!$C:$O,6,0)),"")</f>
        <v/>
      </c>
      <c r="O3155" s="55" t="str">
        <f>IFERROR(IF(OR($B3155="",$B3155="(blank)"),"",VLOOKUP($B3155,'Email Marketing Raw Data'!$C:$O,7,0)),"")</f>
        <v/>
      </c>
      <c r="P3155" s="55" t="str">
        <f>IFERROR(IF(OR($B3155="",$B3155="(blank)"),"",VLOOKUP($B3155,'Email Marketing Raw Data'!$C:$O,8,0)),"")</f>
        <v/>
      </c>
      <c r="Q3155" s="62" t="str">
        <f>IFERROR(IF(OR($B3155="",$B3155="(blank)"),"",VLOOKUP($B3155,'Email Marketing Raw Data'!$C:$O,9,0)),"")</f>
        <v/>
      </c>
    </row>
    <row r="3156" spans="4:17" ht="12.75" customHeight="1" x14ac:dyDescent="0.2">
      <c r="D3156" s="58" t="str">
        <f>IFERROR(IF(F3156&lt;&gt;"pending","",IF(OR($B3156="",$B3156="(blank)"),"",VLOOKUP($B3156,'Email Marketing Raw Data'!$C:$O,10,0))),"")</f>
        <v/>
      </c>
      <c r="E3156" s="59" t="str">
        <f>IFERROR(IF(F3156&lt;&gt;"pending","",IF(OR($B3156="",$B3156="(blank)"),"",VLOOKUP($B3156,'Email Marketing Raw Data'!$C:$O,11,0))),"")</f>
        <v/>
      </c>
      <c r="F3156" s="54" t="str">
        <f>IFERROR(IF(OR($B3156="",$B3156="(blank)"),"",VLOOKUP($B3156,'Email Marketing Raw Data'!$C:$O,13,0)),"")</f>
        <v/>
      </c>
      <c r="G3156" s="55" t="str">
        <f>IFERROR(IF(OR($B3156="",$B3156="(blank)"),"",VLOOKUP($B3156,'Email Marketing Raw Data'!$C:$O,4,0)),"")</f>
        <v/>
      </c>
      <c r="H3156" s="55" t="str">
        <f>IFERROR(IF(OR($B3156="",$B3156="(blank)"),"",VLOOKUP($B3156,'Email Marketing Raw Data'!$C:$O,5,0)),"")</f>
        <v/>
      </c>
      <c r="I3156" s="55" t="str">
        <f>IFERROR(IF($G3156="","",VLOOKUP('Dashboard And Emails Automate'!$G3156,Database!$H:$N,3,0)),"")</f>
        <v/>
      </c>
      <c r="J3156" s="55" t="str">
        <f>IFERROR(IF($G3156="","",VLOOKUP('Dashboard And Emails Automate'!$G3156,Database!$H:$N,4,0)),"")</f>
        <v/>
      </c>
      <c r="K3156" s="55" t="str">
        <f>IFERROR(IF($G3156="","",VLOOKUP('Dashboard And Emails Automate'!$G3156,Database!$H:$N,5,0)),"")</f>
        <v/>
      </c>
      <c r="L3156" s="55" t="str">
        <f>IFERROR(IF($G3156="","",VLOOKUP('Dashboard And Emails Automate'!$G3156,Database!$H:$N,6,0)),"")</f>
        <v/>
      </c>
      <c r="M3156" s="55" t="str">
        <f>IFERROR(IF($G3156="","",VLOOKUP('Dashboard And Emails Automate'!$G3156,Database!$H:$N,7,0)),"")</f>
        <v/>
      </c>
      <c r="N3156" s="55" t="str">
        <f>IFERROR(IF(OR($B3156="",$B3156="(blank)"),"",VLOOKUP($B3156,'Email Marketing Raw Data'!$C:$O,6,0)),"")</f>
        <v/>
      </c>
      <c r="O3156" s="55" t="str">
        <f>IFERROR(IF(OR($B3156="",$B3156="(blank)"),"",VLOOKUP($B3156,'Email Marketing Raw Data'!$C:$O,7,0)),"")</f>
        <v/>
      </c>
      <c r="P3156" s="55" t="str">
        <f>IFERROR(IF(OR($B3156="",$B3156="(blank)"),"",VLOOKUP($B3156,'Email Marketing Raw Data'!$C:$O,8,0)),"")</f>
        <v/>
      </c>
      <c r="Q3156" s="62" t="str">
        <f>IFERROR(IF(OR($B3156="",$B3156="(blank)"),"",VLOOKUP($B3156,'Email Marketing Raw Data'!$C:$O,9,0)),"")</f>
        <v/>
      </c>
    </row>
    <row r="3157" spans="4:17" ht="12.75" customHeight="1" x14ac:dyDescent="0.2">
      <c r="D3157" s="58" t="str">
        <f>IFERROR(IF(F3157&lt;&gt;"pending","",IF(OR($B3157="",$B3157="(blank)"),"",VLOOKUP($B3157,'Email Marketing Raw Data'!$C:$O,10,0))),"")</f>
        <v/>
      </c>
      <c r="E3157" s="59" t="str">
        <f>IFERROR(IF(F3157&lt;&gt;"pending","",IF(OR($B3157="",$B3157="(blank)"),"",VLOOKUP($B3157,'Email Marketing Raw Data'!$C:$O,11,0))),"")</f>
        <v/>
      </c>
      <c r="F3157" s="54" t="str">
        <f>IFERROR(IF(OR($B3157="",$B3157="(blank)"),"",VLOOKUP($B3157,'Email Marketing Raw Data'!$C:$O,13,0)),"")</f>
        <v/>
      </c>
      <c r="G3157" s="55" t="str">
        <f>IFERROR(IF(OR($B3157="",$B3157="(blank)"),"",VLOOKUP($B3157,'Email Marketing Raw Data'!$C:$O,4,0)),"")</f>
        <v/>
      </c>
      <c r="H3157" s="55" t="str">
        <f>IFERROR(IF(OR($B3157="",$B3157="(blank)"),"",VLOOKUP($B3157,'Email Marketing Raw Data'!$C:$O,5,0)),"")</f>
        <v/>
      </c>
      <c r="I3157" s="55" t="str">
        <f>IFERROR(IF($G3157="","",VLOOKUP('Dashboard And Emails Automate'!$G3157,Database!$H:$N,3,0)),"")</f>
        <v/>
      </c>
      <c r="J3157" s="55" t="str">
        <f>IFERROR(IF($G3157="","",VLOOKUP('Dashboard And Emails Automate'!$G3157,Database!$H:$N,4,0)),"")</f>
        <v/>
      </c>
      <c r="K3157" s="55" t="str">
        <f>IFERROR(IF($G3157="","",VLOOKUP('Dashboard And Emails Automate'!$G3157,Database!$H:$N,5,0)),"")</f>
        <v/>
      </c>
      <c r="L3157" s="55" t="str">
        <f>IFERROR(IF($G3157="","",VLOOKUP('Dashboard And Emails Automate'!$G3157,Database!$H:$N,6,0)),"")</f>
        <v/>
      </c>
      <c r="M3157" s="55" t="str">
        <f>IFERROR(IF($G3157="","",VLOOKUP('Dashboard And Emails Automate'!$G3157,Database!$H:$N,7,0)),"")</f>
        <v/>
      </c>
      <c r="N3157" s="55" t="str">
        <f>IFERROR(IF(OR($B3157="",$B3157="(blank)"),"",VLOOKUP($B3157,'Email Marketing Raw Data'!$C:$O,6,0)),"")</f>
        <v/>
      </c>
      <c r="O3157" s="55" t="str">
        <f>IFERROR(IF(OR($B3157="",$B3157="(blank)"),"",VLOOKUP($B3157,'Email Marketing Raw Data'!$C:$O,7,0)),"")</f>
        <v/>
      </c>
      <c r="P3157" s="55" t="str">
        <f>IFERROR(IF(OR($B3157="",$B3157="(blank)"),"",VLOOKUP($B3157,'Email Marketing Raw Data'!$C:$O,8,0)),"")</f>
        <v/>
      </c>
      <c r="Q3157" s="62" t="str">
        <f>IFERROR(IF(OR($B3157="",$B3157="(blank)"),"",VLOOKUP($B3157,'Email Marketing Raw Data'!$C:$O,9,0)),"")</f>
        <v/>
      </c>
    </row>
    <row r="3158" spans="4:17" ht="12.75" customHeight="1" x14ac:dyDescent="0.2">
      <c r="D3158" s="58" t="str">
        <f>IFERROR(IF(F3158&lt;&gt;"pending","",IF(OR($B3158="",$B3158="(blank)"),"",VLOOKUP($B3158,'Email Marketing Raw Data'!$C:$O,10,0))),"")</f>
        <v/>
      </c>
      <c r="E3158" s="59" t="str">
        <f>IFERROR(IF(F3158&lt;&gt;"pending","",IF(OR($B3158="",$B3158="(blank)"),"",VLOOKUP($B3158,'Email Marketing Raw Data'!$C:$O,11,0))),"")</f>
        <v/>
      </c>
      <c r="F3158" s="54" t="str">
        <f>IFERROR(IF(OR($B3158="",$B3158="(blank)"),"",VLOOKUP($B3158,'Email Marketing Raw Data'!$C:$O,13,0)),"")</f>
        <v/>
      </c>
      <c r="G3158" s="55" t="str">
        <f>IFERROR(IF(OR($B3158="",$B3158="(blank)"),"",VLOOKUP($B3158,'Email Marketing Raw Data'!$C:$O,4,0)),"")</f>
        <v/>
      </c>
      <c r="H3158" s="55" t="str">
        <f>IFERROR(IF(OR($B3158="",$B3158="(blank)"),"",VLOOKUP($B3158,'Email Marketing Raw Data'!$C:$O,5,0)),"")</f>
        <v/>
      </c>
      <c r="I3158" s="55" t="str">
        <f>IFERROR(IF($G3158="","",VLOOKUP('Dashboard And Emails Automate'!$G3158,Database!$H:$N,3,0)),"")</f>
        <v/>
      </c>
      <c r="J3158" s="55" t="str">
        <f>IFERROR(IF($G3158="","",VLOOKUP('Dashboard And Emails Automate'!$G3158,Database!$H:$N,4,0)),"")</f>
        <v/>
      </c>
      <c r="K3158" s="55" t="str">
        <f>IFERROR(IF($G3158="","",VLOOKUP('Dashboard And Emails Automate'!$G3158,Database!$H:$N,5,0)),"")</f>
        <v/>
      </c>
      <c r="L3158" s="55" t="str">
        <f>IFERROR(IF($G3158="","",VLOOKUP('Dashboard And Emails Automate'!$G3158,Database!$H:$N,6,0)),"")</f>
        <v/>
      </c>
      <c r="M3158" s="55" t="str">
        <f>IFERROR(IF($G3158="","",VLOOKUP('Dashboard And Emails Automate'!$G3158,Database!$H:$N,7,0)),"")</f>
        <v/>
      </c>
      <c r="N3158" s="55" t="str">
        <f>IFERROR(IF(OR($B3158="",$B3158="(blank)"),"",VLOOKUP($B3158,'Email Marketing Raw Data'!$C:$O,6,0)),"")</f>
        <v/>
      </c>
      <c r="O3158" s="55" t="str">
        <f>IFERROR(IF(OR($B3158="",$B3158="(blank)"),"",VLOOKUP($B3158,'Email Marketing Raw Data'!$C:$O,7,0)),"")</f>
        <v/>
      </c>
      <c r="P3158" s="55" t="str">
        <f>IFERROR(IF(OR($B3158="",$B3158="(blank)"),"",VLOOKUP($B3158,'Email Marketing Raw Data'!$C:$O,8,0)),"")</f>
        <v/>
      </c>
      <c r="Q3158" s="62" t="str">
        <f>IFERROR(IF(OR($B3158="",$B3158="(blank)"),"",VLOOKUP($B3158,'Email Marketing Raw Data'!$C:$O,9,0)),"")</f>
        <v/>
      </c>
    </row>
    <row r="3159" spans="4:17" ht="12.75" customHeight="1" x14ac:dyDescent="0.2">
      <c r="D3159" s="58" t="str">
        <f>IFERROR(IF(F3159&lt;&gt;"pending","",IF(OR($B3159="",$B3159="(blank)"),"",VLOOKUP($B3159,'Email Marketing Raw Data'!$C:$O,10,0))),"")</f>
        <v/>
      </c>
      <c r="E3159" s="59" t="str">
        <f>IFERROR(IF(F3159&lt;&gt;"pending","",IF(OR($B3159="",$B3159="(blank)"),"",VLOOKUP($B3159,'Email Marketing Raw Data'!$C:$O,11,0))),"")</f>
        <v/>
      </c>
      <c r="F3159" s="54" t="str">
        <f>IFERROR(IF(OR($B3159="",$B3159="(blank)"),"",VLOOKUP($B3159,'Email Marketing Raw Data'!$C:$O,13,0)),"")</f>
        <v/>
      </c>
      <c r="G3159" s="55" t="str">
        <f>IFERROR(IF(OR($B3159="",$B3159="(blank)"),"",VLOOKUP($B3159,'Email Marketing Raw Data'!$C:$O,4,0)),"")</f>
        <v/>
      </c>
      <c r="H3159" s="55" t="str">
        <f>IFERROR(IF(OR($B3159="",$B3159="(blank)"),"",VLOOKUP($B3159,'Email Marketing Raw Data'!$C:$O,5,0)),"")</f>
        <v/>
      </c>
      <c r="I3159" s="55" t="str">
        <f>IFERROR(IF($G3159="","",VLOOKUP('Dashboard And Emails Automate'!$G3159,Database!$H:$N,3,0)),"")</f>
        <v/>
      </c>
      <c r="J3159" s="55" t="str">
        <f>IFERROR(IF($G3159="","",VLOOKUP('Dashboard And Emails Automate'!$G3159,Database!$H:$N,4,0)),"")</f>
        <v/>
      </c>
      <c r="K3159" s="55" t="str">
        <f>IFERROR(IF($G3159="","",VLOOKUP('Dashboard And Emails Automate'!$G3159,Database!$H:$N,5,0)),"")</f>
        <v/>
      </c>
      <c r="L3159" s="55" t="str">
        <f>IFERROR(IF($G3159="","",VLOOKUP('Dashboard And Emails Automate'!$G3159,Database!$H:$N,6,0)),"")</f>
        <v/>
      </c>
      <c r="M3159" s="55" t="str">
        <f>IFERROR(IF($G3159="","",VLOOKUP('Dashboard And Emails Automate'!$G3159,Database!$H:$N,7,0)),"")</f>
        <v/>
      </c>
      <c r="N3159" s="55" t="str">
        <f>IFERROR(IF(OR($B3159="",$B3159="(blank)"),"",VLOOKUP($B3159,'Email Marketing Raw Data'!$C:$O,6,0)),"")</f>
        <v/>
      </c>
      <c r="O3159" s="55" t="str">
        <f>IFERROR(IF(OR($B3159="",$B3159="(blank)"),"",VLOOKUP($B3159,'Email Marketing Raw Data'!$C:$O,7,0)),"")</f>
        <v/>
      </c>
      <c r="P3159" s="55" t="str">
        <f>IFERROR(IF(OR($B3159="",$B3159="(blank)"),"",VLOOKUP($B3159,'Email Marketing Raw Data'!$C:$O,8,0)),"")</f>
        <v/>
      </c>
      <c r="Q3159" s="62" t="str">
        <f>IFERROR(IF(OR($B3159="",$B3159="(blank)"),"",VLOOKUP($B3159,'Email Marketing Raw Data'!$C:$O,9,0)),"")</f>
        <v/>
      </c>
    </row>
    <row r="3160" spans="4:17" ht="12.75" customHeight="1" x14ac:dyDescent="0.2">
      <c r="D3160" s="58" t="str">
        <f>IFERROR(IF(F3160&lt;&gt;"pending","",IF(OR($B3160="",$B3160="(blank)"),"",VLOOKUP($B3160,'Email Marketing Raw Data'!$C:$O,10,0))),"")</f>
        <v/>
      </c>
      <c r="E3160" s="59" t="str">
        <f>IFERROR(IF(F3160&lt;&gt;"pending","",IF(OR($B3160="",$B3160="(blank)"),"",VLOOKUP($B3160,'Email Marketing Raw Data'!$C:$O,11,0))),"")</f>
        <v/>
      </c>
      <c r="F3160" s="54" t="str">
        <f>IFERROR(IF(OR($B3160="",$B3160="(blank)"),"",VLOOKUP($B3160,'Email Marketing Raw Data'!$C:$O,13,0)),"")</f>
        <v/>
      </c>
      <c r="G3160" s="55" t="str">
        <f>IFERROR(IF(OR($B3160="",$B3160="(blank)"),"",VLOOKUP($B3160,'Email Marketing Raw Data'!$C:$O,4,0)),"")</f>
        <v/>
      </c>
      <c r="H3160" s="55" t="str">
        <f>IFERROR(IF(OR($B3160="",$B3160="(blank)"),"",VLOOKUP($B3160,'Email Marketing Raw Data'!$C:$O,5,0)),"")</f>
        <v/>
      </c>
      <c r="I3160" s="55" t="str">
        <f>IFERROR(IF($G3160="","",VLOOKUP('Dashboard And Emails Automate'!$G3160,Database!$H:$N,3,0)),"")</f>
        <v/>
      </c>
      <c r="J3160" s="55" t="str">
        <f>IFERROR(IF($G3160="","",VLOOKUP('Dashboard And Emails Automate'!$G3160,Database!$H:$N,4,0)),"")</f>
        <v/>
      </c>
      <c r="K3160" s="55" t="str">
        <f>IFERROR(IF($G3160="","",VLOOKUP('Dashboard And Emails Automate'!$G3160,Database!$H:$N,5,0)),"")</f>
        <v/>
      </c>
      <c r="L3160" s="55" t="str">
        <f>IFERROR(IF($G3160="","",VLOOKUP('Dashboard And Emails Automate'!$G3160,Database!$H:$N,6,0)),"")</f>
        <v/>
      </c>
      <c r="M3160" s="55" t="str">
        <f>IFERROR(IF($G3160="","",VLOOKUP('Dashboard And Emails Automate'!$G3160,Database!$H:$N,7,0)),"")</f>
        <v/>
      </c>
      <c r="N3160" s="55" t="str">
        <f>IFERROR(IF(OR($B3160="",$B3160="(blank)"),"",VLOOKUP($B3160,'Email Marketing Raw Data'!$C:$O,6,0)),"")</f>
        <v/>
      </c>
      <c r="O3160" s="55" t="str">
        <f>IFERROR(IF(OR($B3160="",$B3160="(blank)"),"",VLOOKUP($B3160,'Email Marketing Raw Data'!$C:$O,7,0)),"")</f>
        <v/>
      </c>
      <c r="P3160" s="55" t="str">
        <f>IFERROR(IF(OR($B3160="",$B3160="(blank)"),"",VLOOKUP($B3160,'Email Marketing Raw Data'!$C:$O,8,0)),"")</f>
        <v/>
      </c>
      <c r="Q3160" s="62" t="str">
        <f>IFERROR(IF(OR($B3160="",$B3160="(blank)"),"",VLOOKUP($B3160,'Email Marketing Raw Data'!$C:$O,9,0)),"")</f>
        <v/>
      </c>
    </row>
    <row r="3161" spans="4:17" ht="12.75" customHeight="1" x14ac:dyDescent="0.2">
      <c r="D3161" s="58" t="str">
        <f>IFERROR(IF(F3161&lt;&gt;"pending","",IF(OR($B3161="",$B3161="(blank)"),"",VLOOKUP($B3161,'Email Marketing Raw Data'!$C:$O,10,0))),"")</f>
        <v/>
      </c>
      <c r="E3161" s="59" t="str">
        <f>IFERROR(IF(F3161&lt;&gt;"pending","",IF(OR($B3161="",$B3161="(blank)"),"",VLOOKUP($B3161,'Email Marketing Raw Data'!$C:$O,11,0))),"")</f>
        <v/>
      </c>
      <c r="F3161" s="54" t="str">
        <f>IFERROR(IF(OR($B3161="",$B3161="(blank)"),"",VLOOKUP($B3161,'Email Marketing Raw Data'!$C:$O,13,0)),"")</f>
        <v/>
      </c>
      <c r="G3161" s="55" t="str">
        <f>IFERROR(IF(OR($B3161="",$B3161="(blank)"),"",VLOOKUP($B3161,'Email Marketing Raw Data'!$C:$O,4,0)),"")</f>
        <v/>
      </c>
      <c r="H3161" s="55" t="str">
        <f>IFERROR(IF(OR($B3161="",$B3161="(blank)"),"",VLOOKUP($B3161,'Email Marketing Raw Data'!$C:$O,5,0)),"")</f>
        <v/>
      </c>
      <c r="I3161" s="55" t="str">
        <f>IFERROR(IF($G3161="","",VLOOKUP('Dashboard And Emails Automate'!$G3161,Database!$H:$N,3,0)),"")</f>
        <v/>
      </c>
      <c r="J3161" s="55" t="str">
        <f>IFERROR(IF($G3161="","",VLOOKUP('Dashboard And Emails Automate'!$G3161,Database!$H:$N,4,0)),"")</f>
        <v/>
      </c>
      <c r="K3161" s="55" t="str">
        <f>IFERROR(IF($G3161="","",VLOOKUP('Dashboard And Emails Automate'!$G3161,Database!$H:$N,5,0)),"")</f>
        <v/>
      </c>
      <c r="L3161" s="55" t="str">
        <f>IFERROR(IF($G3161="","",VLOOKUP('Dashboard And Emails Automate'!$G3161,Database!$H:$N,6,0)),"")</f>
        <v/>
      </c>
      <c r="M3161" s="55" t="str">
        <f>IFERROR(IF($G3161="","",VLOOKUP('Dashboard And Emails Automate'!$G3161,Database!$H:$N,7,0)),"")</f>
        <v/>
      </c>
      <c r="N3161" s="55" t="str">
        <f>IFERROR(IF(OR($B3161="",$B3161="(blank)"),"",VLOOKUP($B3161,'Email Marketing Raw Data'!$C:$O,6,0)),"")</f>
        <v/>
      </c>
      <c r="O3161" s="55" t="str">
        <f>IFERROR(IF(OR($B3161="",$B3161="(blank)"),"",VLOOKUP($B3161,'Email Marketing Raw Data'!$C:$O,7,0)),"")</f>
        <v/>
      </c>
      <c r="P3161" s="55" t="str">
        <f>IFERROR(IF(OR($B3161="",$B3161="(blank)"),"",VLOOKUP($B3161,'Email Marketing Raw Data'!$C:$O,8,0)),"")</f>
        <v/>
      </c>
      <c r="Q3161" s="62" t="str">
        <f>IFERROR(IF(OR($B3161="",$B3161="(blank)"),"",VLOOKUP($B3161,'Email Marketing Raw Data'!$C:$O,9,0)),"")</f>
        <v/>
      </c>
    </row>
    <row r="3162" spans="4:17" ht="12.75" customHeight="1" x14ac:dyDescent="0.2">
      <c r="D3162" s="58" t="str">
        <f>IFERROR(IF(F3162&lt;&gt;"pending","",IF(OR($B3162="",$B3162="(blank)"),"",VLOOKUP($B3162,'Email Marketing Raw Data'!$C:$O,10,0))),"")</f>
        <v/>
      </c>
      <c r="E3162" s="59" t="str">
        <f>IFERROR(IF(F3162&lt;&gt;"pending","",IF(OR($B3162="",$B3162="(blank)"),"",VLOOKUP($B3162,'Email Marketing Raw Data'!$C:$O,11,0))),"")</f>
        <v/>
      </c>
      <c r="F3162" s="54" t="str">
        <f>IFERROR(IF(OR($B3162="",$B3162="(blank)"),"",VLOOKUP($B3162,'Email Marketing Raw Data'!$C:$O,13,0)),"")</f>
        <v/>
      </c>
      <c r="G3162" s="55" t="str">
        <f>IFERROR(IF(OR($B3162="",$B3162="(blank)"),"",VLOOKUP($B3162,'Email Marketing Raw Data'!$C:$O,4,0)),"")</f>
        <v/>
      </c>
      <c r="H3162" s="55" t="str">
        <f>IFERROR(IF(OR($B3162="",$B3162="(blank)"),"",VLOOKUP($B3162,'Email Marketing Raw Data'!$C:$O,5,0)),"")</f>
        <v/>
      </c>
      <c r="I3162" s="55" t="str">
        <f>IFERROR(IF($G3162="","",VLOOKUP('Dashboard And Emails Automate'!$G3162,Database!$H:$N,3,0)),"")</f>
        <v/>
      </c>
      <c r="J3162" s="55" t="str">
        <f>IFERROR(IF($G3162="","",VLOOKUP('Dashboard And Emails Automate'!$G3162,Database!$H:$N,4,0)),"")</f>
        <v/>
      </c>
      <c r="K3162" s="55" t="str">
        <f>IFERROR(IF($G3162="","",VLOOKUP('Dashboard And Emails Automate'!$G3162,Database!$H:$N,5,0)),"")</f>
        <v/>
      </c>
      <c r="L3162" s="55" t="str">
        <f>IFERROR(IF($G3162="","",VLOOKUP('Dashboard And Emails Automate'!$G3162,Database!$H:$N,6,0)),"")</f>
        <v/>
      </c>
      <c r="M3162" s="55" t="str">
        <f>IFERROR(IF($G3162="","",VLOOKUP('Dashboard And Emails Automate'!$G3162,Database!$H:$N,7,0)),"")</f>
        <v/>
      </c>
      <c r="N3162" s="55" t="str">
        <f>IFERROR(IF(OR($B3162="",$B3162="(blank)"),"",VLOOKUP($B3162,'Email Marketing Raw Data'!$C:$O,6,0)),"")</f>
        <v/>
      </c>
      <c r="O3162" s="55" t="str">
        <f>IFERROR(IF(OR($B3162="",$B3162="(blank)"),"",VLOOKUP($B3162,'Email Marketing Raw Data'!$C:$O,7,0)),"")</f>
        <v/>
      </c>
      <c r="P3162" s="55" t="str">
        <f>IFERROR(IF(OR($B3162="",$B3162="(blank)"),"",VLOOKUP($B3162,'Email Marketing Raw Data'!$C:$O,8,0)),"")</f>
        <v/>
      </c>
      <c r="Q3162" s="62" t="str">
        <f>IFERROR(IF(OR($B3162="",$B3162="(blank)"),"",VLOOKUP($B3162,'Email Marketing Raw Data'!$C:$O,9,0)),"")</f>
        <v/>
      </c>
    </row>
    <row r="3163" spans="4:17" ht="12.75" customHeight="1" x14ac:dyDescent="0.2">
      <c r="D3163" s="58" t="str">
        <f>IFERROR(IF(F3163&lt;&gt;"pending","",IF(OR($B3163="",$B3163="(blank)"),"",VLOOKUP($B3163,'Email Marketing Raw Data'!$C:$O,10,0))),"")</f>
        <v/>
      </c>
      <c r="E3163" s="59" t="str">
        <f>IFERROR(IF(F3163&lt;&gt;"pending","",IF(OR($B3163="",$B3163="(blank)"),"",VLOOKUP($B3163,'Email Marketing Raw Data'!$C:$O,11,0))),"")</f>
        <v/>
      </c>
      <c r="F3163" s="54" t="str">
        <f>IFERROR(IF(OR($B3163="",$B3163="(blank)"),"",VLOOKUP($B3163,'Email Marketing Raw Data'!$C:$O,13,0)),"")</f>
        <v/>
      </c>
      <c r="G3163" s="55" t="str">
        <f>IFERROR(IF(OR($B3163="",$B3163="(blank)"),"",VLOOKUP($B3163,'Email Marketing Raw Data'!$C:$O,4,0)),"")</f>
        <v/>
      </c>
      <c r="H3163" s="55" t="str">
        <f>IFERROR(IF(OR($B3163="",$B3163="(blank)"),"",VLOOKUP($B3163,'Email Marketing Raw Data'!$C:$O,5,0)),"")</f>
        <v/>
      </c>
      <c r="I3163" s="55" t="str">
        <f>IFERROR(IF($G3163="","",VLOOKUP('Dashboard And Emails Automate'!$G3163,Database!$H:$N,3,0)),"")</f>
        <v/>
      </c>
      <c r="J3163" s="55" t="str">
        <f>IFERROR(IF($G3163="","",VLOOKUP('Dashboard And Emails Automate'!$G3163,Database!$H:$N,4,0)),"")</f>
        <v/>
      </c>
      <c r="K3163" s="55" t="str">
        <f>IFERROR(IF($G3163="","",VLOOKUP('Dashboard And Emails Automate'!$G3163,Database!$H:$N,5,0)),"")</f>
        <v/>
      </c>
      <c r="L3163" s="55" t="str">
        <f>IFERROR(IF($G3163="","",VLOOKUP('Dashboard And Emails Automate'!$G3163,Database!$H:$N,6,0)),"")</f>
        <v/>
      </c>
      <c r="M3163" s="55" t="str">
        <f>IFERROR(IF($G3163="","",VLOOKUP('Dashboard And Emails Automate'!$G3163,Database!$H:$N,7,0)),"")</f>
        <v/>
      </c>
      <c r="N3163" s="55" t="str">
        <f>IFERROR(IF(OR($B3163="",$B3163="(blank)"),"",VLOOKUP($B3163,'Email Marketing Raw Data'!$C:$O,6,0)),"")</f>
        <v/>
      </c>
      <c r="O3163" s="55" t="str">
        <f>IFERROR(IF(OR($B3163="",$B3163="(blank)"),"",VLOOKUP($B3163,'Email Marketing Raw Data'!$C:$O,7,0)),"")</f>
        <v/>
      </c>
      <c r="P3163" s="55" t="str">
        <f>IFERROR(IF(OR($B3163="",$B3163="(blank)"),"",VLOOKUP($B3163,'Email Marketing Raw Data'!$C:$O,8,0)),"")</f>
        <v/>
      </c>
      <c r="Q3163" s="62" t="str">
        <f>IFERROR(IF(OR($B3163="",$B3163="(blank)"),"",VLOOKUP($B3163,'Email Marketing Raw Data'!$C:$O,9,0)),"")</f>
        <v/>
      </c>
    </row>
    <row r="3164" spans="4:17" ht="12.75" customHeight="1" x14ac:dyDescent="0.2">
      <c r="D3164" s="58" t="str">
        <f>IFERROR(IF(F3164&lt;&gt;"pending","",IF(OR($B3164="",$B3164="(blank)"),"",VLOOKUP($B3164,'Email Marketing Raw Data'!$C:$O,10,0))),"")</f>
        <v/>
      </c>
      <c r="E3164" s="59" t="str">
        <f>IFERROR(IF(F3164&lt;&gt;"pending","",IF(OR($B3164="",$B3164="(blank)"),"",VLOOKUP($B3164,'Email Marketing Raw Data'!$C:$O,11,0))),"")</f>
        <v/>
      </c>
      <c r="F3164" s="54" t="str">
        <f>IFERROR(IF(OR($B3164="",$B3164="(blank)"),"",VLOOKUP($B3164,'Email Marketing Raw Data'!$C:$O,13,0)),"")</f>
        <v/>
      </c>
      <c r="G3164" s="55" t="str">
        <f>IFERROR(IF(OR($B3164="",$B3164="(blank)"),"",VLOOKUP($B3164,'Email Marketing Raw Data'!$C:$O,4,0)),"")</f>
        <v/>
      </c>
      <c r="H3164" s="55" t="str">
        <f>IFERROR(IF(OR($B3164="",$B3164="(blank)"),"",VLOOKUP($B3164,'Email Marketing Raw Data'!$C:$O,5,0)),"")</f>
        <v/>
      </c>
      <c r="I3164" s="55" t="str">
        <f>IFERROR(IF($G3164="","",VLOOKUP('Dashboard And Emails Automate'!$G3164,Database!$H:$N,3,0)),"")</f>
        <v/>
      </c>
      <c r="J3164" s="55" t="str">
        <f>IFERROR(IF($G3164="","",VLOOKUP('Dashboard And Emails Automate'!$G3164,Database!$H:$N,4,0)),"")</f>
        <v/>
      </c>
      <c r="K3164" s="55" t="str">
        <f>IFERROR(IF($G3164="","",VLOOKUP('Dashboard And Emails Automate'!$G3164,Database!$H:$N,5,0)),"")</f>
        <v/>
      </c>
      <c r="L3164" s="55" t="str">
        <f>IFERROR(IF($G3164="","",VLOOKUP('Dashboard And Emails Automate'!$G3164,Database!$H:$N,6,0)),"")</f>
        <v/>
      </c>
      <c r="M3164" s="55" t="str">
        <f>IFERROR(IF($G3164="","",VLOOKUP('Dashboard And Emails Automate'!$G3164,Database!$H:$N,7,0)),"")</f>
        <v/>
      </c>
      <c r="N3164" s="55" t="str">
        <f>IFERROR(IF(OR($B3164="",$B3164="(blank)"),"",VLOOKUP($B3164,'Email Marketing Raw Data'!$C:$O,6,0)),"")</f>
        <v/>
      </c>
      <c r="O3164" s="55" t="str">
        <f>IFERROR(IF(OR($B3164="",$B3164="(blank)"),"",VLOOKUP($B3164,'Email Marketing Raw Data'!$C:$O,7,0)),"")</f>
        <v/>
      </c>
      <c r="P3164" s="55" t="str">
        <f>IFERROR(IF(OR($B3164="",$B3164="(blank)"),"",VLOOKUP($B3164,'Email Marketing Raw Data'!$C:$O,8,0)),"")</f>
        <v/>
      </c>
      <c r="Q3164" s="62" t="str">
        <f>IFERROR(IF(OR($B3164="",$B3164="(blank)"),"",VLOOKUP($B3164,'Email Marketing Raw Data'!$C:$O,9,0)),"")</f>
        <v/>
      </c>
    </row>
    <row r="3165" spans="4:17" ht="12.75" customHeight="1" x14ac:dyDescent="0.2">
      <c r="D3165" s="58" t="str">
        <f>IFERROR(IF(F3165&lt;&gt;"pending","",IF(OR($B3165="",$B3165="(blank)"),"",VLOOKUP($B3165,'Email Marketing Raw Data'!$C:$O,10,0))),"")</f>
        <v/>
      </c>
      <c r="E3165" s="59" t="str">
        <f>IFERROR(IF(F3165&lt;&gt;"pending","",IF(OR($B3165="",$B3165="(blank)"),"",VLOOKUP($B3165,'Email Marketing Raw Data'!$C:$O,11,0))),"")</f>
        <v/>
      </c>
      <c r="F3165" s="54" t="str">
        <f>IFERROR(IF(OR($B3165="",$B3165="(blank)"),"",VLOOKUP($B3165,'Email Marketing Raw Data'!$C:$O,13,0)),"")</f>
        <v/>
      </c>
      <c r="G3165" s="55" t="str">
        <f>IFERROR(IF(OR($B3165="",$B3165="(blank)"),"",VLOOKUP($B3165,'Email Marketing Raw Data'!$C:$O,4,0)),"")</f>
        <v/>
      </c>
      <c r="H3165" s="55" t="str">
        <f>IFERROR(IF(OR($B3165="",$B3165="(blank)"),"",VLOOKUP($B3165,'Email Marketing Raw Data'!$C:$O,5,0)),"")</f>
        <v/>
      </c>
      <c r="I3165" s="55" t="str">
        <f>IFERROR(IF($G3165="","",VLOOKUP('Dashboard And Emails Automate'!$G3165,Database!$H:$N,3,0)),"")</f>
        <v/>
      </c>
      <c r="J3165" s="55" t="str">
        <f>IFERROR(IF($G3165="","",VLOOKUP('Dashboard And Emails Automate'!$G3165,Database!$H:$N,4,0)),"")</f>
        <v/>
      </c>
      <c r="K3165" s="55" t="str">
        <f>IFERROR(IF($G3165="","",VLOOKUP('Dashboard And Emails Automate'!$G3165,Database!$H:$N,5,0)),"")</f>
        <v/>
      </c>
      <c r="L3165" s="55" t="str">
        <f>IFERROR(IF($G3165="","",VLOOKUP('Dashboard And Emails Automate'!$G3165,Database!$H:$N,6,0)),"")</f>
        <v/>
      </c>
      <c r="M3165" s="55" t="str">
        <f>IFERROR(IF($G3165="","",VLOOKUP('Dashboard And Emails Automate'!$G3165,Database!$H:$N,7,0)),"")</f>
        <v/>
      </c>
      <c r="N3165" s="55" t="str">
        <f>IFERROR(IF(OR($B3165="",$B3165="(blank)"),"",VLOOKUP($B3165,'Email Marketing Raw Data'!$C:$O,6,0)),"")</f>
        <v/>
      </c>
      <c r="O3165" s="55" t="str">
        <f>IFERROR(IF(OR($B3165="",$B3165="(blank)"),"",VLOOKUP($B3165,'Email Marketing Raw Data'!$C:$O,7,0)),"")</f>
        <v/>
      </c>
      <c r="P3165" s="55" t="str">
        <f>IFERROR(IF(OR($B3165="",$B3165="(blank)"),"",VLOOKUP($B3165,'Email Marketing Raw Data'!$C:$O,8,0)),"")</f>
        <v/>
      </c>
      <c r="Q3165" s="62" t="str">
        <f>IFERROR(IF(OR($B3165="",$B3165="(blank)"),"",VLOOKUP($B3165,'Email Marketing Raw Data'!$C:$O,9,0)),"")</f>
        <v/>
      </c>
    </row>
    <row r="3166" spans="4:17" ht="12.75" customHeight="1" x14ac:dyDescent="0.2">
      <c r="D3166" s="58" t="str">
        <f>IFERROR(IF(F3166&lt;&gt;"pending","",IF(OR($B3166="",$B3166="(blank)"),"",VLOOKUP($B3166,'Email Marketing Raw Data'!$C:$O,10,0))),"")</f>
        <v/>
      </c>
      <c r="E3166" s="59" t="str">
        <f>IFERROR(IF(F3166&lt;&gt;"pending","",IF(OR($B3166="",$B3166="(blank)"),"",VLOOKUP($B3166,'Email Marketing Raw Data'!$C:$O,11,0))),"")</f>
        <v/>
      </c>
      <c r="F3166" s="54" t="str">
        <f>IFERROR(IF(OR($B3166="",$B3166="(blank)"),"",VLOOKUP($B3166,'Email Marketing Raw Data'!$C:$O,13,0)),"")</f>
        <v/>
      </c>
      <c r="G3166" s="55" t="str">
        <f>IFERROR(IF(OR($B3166="",$B3166="(blank)"),"",VLOOKUP($B3166,'Email Marketing Raw Data'!$C:$O,4,0)),"")</f>
        <v/>
      </c>
      <c r="H3166" s="55" t="str">
        <f>IFERROR(IF(OR($B3166="",$B3166="(blank)"),"",VLOOKUP($B3166,'Email Marketing Raw Data'!$C:$O,5,0)),"")</f>
        <v/>
      </c>
      <c r="I3166" s="55" t="str">
        <f>IFERROR(IF($G3166="","",VLOOKUP('Dashboard And Emails Automate'!$G3166,Database!$H:$N,3,0)),"")</f>
        <v/>
      </c>
      <c r="J3166" s="55" t="str">
        <f>IFERROR(IF($G3166="","",VLOOKUP('Dashboard And Emails Automate'!$G3166,Database!$H:$N,4,0)),"")</f>
        <v/>
      </c>
      <c r="K3166" s="55" t="str">
        <f>IFERROR(IF($G3166="","",VLOOKUP('Dashboard And Emails Automate'!$G3166,Database!$H:$N,5,0)),"")</f>
        <v/>
      </c>
      <c r="L3166" s="55" t="str">
        <f>IFERROR(IF($G3166="","",VLOOKUP('Dashboard And Emails Automate'!$G3166,Database!$H:$N,6,0)),"")</f>
        <v/>
      </c>
      <c r="M3166" s="55" t="str">
        <f>IFERROR(IF($G3166="","",VLOOKUP('Dashboard And Emails Automate'!$G3166,Database!$H:$N,7,0)),"")</f>
        <v/>
      </c>
      <c r="N3166" s="55" t="str">
        <f>IFERROR(IF(OR($B3166="",$B3166="(blank)"),"",VLOOKUP($B3166,'Email Marketing Raw Data'!$C:$O,6,0)),"")</f>
        <v/>
      </c>
      <c r="O3166" s="55" t="str">
        <f>IFERROR(IF(OR($B3166="",$B3166="(blank)"),"",VLOOKUP($B3166,'Email Marketing Raw Data'!$C:$O,7,0)),"")</f>
        <v/>
      </c>
      <c r="P3166" s="55" t="str">
        <f>IFERROR(IF(OR($B3166="",$B3166="(blank)"),"",VLOOKUP($B3166,'Email Marketing Raw Data'!$C:$O,8,0)),"")</f>
        <v/>
      </c>
      <c r="Q3166" s="62" t="str">
        <f>IFERROR(IF(OR($B3166="",$B3166="(blank)"),"",VLOOKUP($B3166,'Email Marketing Raw Data'!$C:$O,9,0)),"")</f>
        <v/>
      </c>
    </row>
    <row r="3167" spans="4:17" ht="12.75" customHeight="1" x14ac:dyDescent="0.2">
      <c r="D3167" s="58" t="str">
        <f>IFERROR(IF(F3167&lt;&gt;"pending","",IF(OR($B3167="",$B3167="(blank)"),"",VLOOKUP($B3167,'Email Marketing Raw Data'!$C:$O,10,0))),"")</f>
        <v/>
      </c>
      <c r="E3167" s="59" t="str">
        <f>IFERROR(IF(F3167&lt;&gt;"pending","",IF(OR($B3167="",$B3167="(blank)"),"",VLOOKUP($B3167,'Email Marketing Raw Data'!$C:$O,11,0))),"")</f>
        <v/>
      </c>
      <c r="F3167" s="54" t="str">
        <f>IFERROR(IF(OR($B3167="",$B3167="(blank)"),"",VLOOKUP($B3167,'Email Marketing Raw Data'!$C:$O,13,0)),"")</f>
        <v/>
      </c>
      <c r="G3167" s="55" t="str">
        <f>IFERROR(IF(OR($B3167="",$B3167="(blank)"),"",VLOOKUP($B3167,'Email Marketing Raw Data'!$C:$O,4,0)),"")</f>
        <v/>
      </c>
      <c r="H3167" s="55" t="str">
        <f>IFERROR(IF(OR($B3167="",$B3167="(blank)"),"",VLOOKUP($B3167,'Email Marketing Raw Data'!$C:$O,5,0)),"")</f>
        <v/>
      </c>
      <c r="I3167" s="55" t="str">
        <f>IFERROR(IF($G3167="","",VLOOKUP('Dashboard And Emails Automate'!$G3167,Database!$H:$N,3,0)),"")</f>
        <v/>
      </c>
      <c r="J3167" s="55" t="str">
        <f>IFERROR(IF($G3167="","",VLOOKUP('Dashboard And Emails Automate'!$G3167,Database!$H:$N,4,0)),"")</f>
        <v/>
      </c>
      <c r="K3167" s="55" t="str">
        <f>IFERROR(IF($G3167="","",VLOOKUP('Dashboard And Emails Automate'!$G3167,Database!$H:$N,5,0)),"")</f>
        <v/>
      </c>
      <c r="L3167" s="55" t="str">
        <f>IFERROR(IF($G3167="","",VLOOKUP('Dashboard And Emails Automate'!$G3167,Database!$H:$N,6,0)),"")</f>
        <v/>
      </c>
      <c r="M3167" s="55" t="str">
        <f>IFERROR(IF($G3167="","",VLOOKUP('Dashboard And Emails Automate'!$G3167,Database!$H:$N,7,0)),"")</f>
        <v/>
      </c>
      <c r="N3167" s="55" t="str">
        <f>IFERROR(IF(OR($B3167="",$B3167="(blank)"),"",VLOOKUP($B3167,'Email Marketing Raw Data'!$C:$O,6,0)),"")</f>
        <v/>
      </c>
      <c r="O3167" s="55" t="str">
        <f>IFERROR(IF(OR($B3167="",$B3167="(blank)"),"",VLOOKUP($B3167,'Email Marketing Raw Data'!$C:$O,7,0)),"")</f>
        <v/>
      </c>
      <c r="P3167" s="55" t="str">
        <f>IFERROR(IF(OR($B3167="",$B3167="(blank)"),"",VLOOKUP($B3167,'Email Marketing Raw Data'!$C:$O,8,0)),"")</f>
        <v/>
      </c>
      <c r="Q3167" s="62" t="str">
        <f>IFERROR(IF(OR($B3167="",$B3167="(blank)"),"",VLOOKUP($B3167,'Email Marketing Raw Data'!$C:$O,9,0)),"")</f>
        <v/>
      </c>
    </row>
    <row r="3168" spans="4:17" ht="12.75" customHeight="1" x14ac:dyDescent="0.2">
      <c r="D3168" s="58" t="str">
        <f>IFERROR(IF(F3168&lt;&gt;"pending","",IF(OR($B3168="",$B3168="(blank)"),"",VLOOKUP($B3168,'Email Marketing Raw Data'!$C:$O,10,0))),"")</f>
        <v/>
      </c>
      <c r="E3168" s="59" t="str">
        <f>IFERROR(IF(F3168&lt;&gt;"pending","",IF(OR($B3168="",$B3168="(blank)"),"",VLOOKUP($B3168,'Email Marketing Raw Data'!$C:$O,11,0))),"")</f>
        <v/>
      </c>
      <c r="F3168" s="54" t="str">
        <f>IFERROR(IF(OR($B3168="",$B3168="(blank)"),"",VLOOKUP($B3168,'Email Marketing Raw Data'!$C:$O,13,0)),"")</f>
        <v/>
      </c>
      <c r="G3168" s="55" t="str">
        <f>IFERROR(IF(OR($B3168="",$B3168="(blank)"),"",VLOOKUP($B3168,'Email Marketing Raw Data'!$C:$O,4,0)),"")</f>
        <v/>
      </c>
      <c r="H3168" s="55" t="str">
        <f>IFERROR(IF(OR($B3168="",$B3168="(blank)"),"",VLOOKUP($B3168,'Email Marketing Raw Data'!$C:$O,5,0)),"")</f>
        <v/>
      </c>
      <c r="I3168" s="55" t="str">
        <f>IFERROR(IF($G3168="","",VLOOKUP('Dashboard And Emails Automate'!$G3168,Database!$H:$N,3,0)),"")</f>
        <v/>
      </c>
      <c r="J3168" s="55" t="str">
        <f>IFERROR(IF($G3168="","",VLOOKUP('Dashboard And Emails Automate'!$G3168,Database!$H:$N,4,0)),"")</f>
        <v/>
      </c>
      <c r="K3168" s="55" t="str">
        <f>IFERROR(IF($G3168="","",VLOOKUP('Dashboard And Emails Automate'!$G3168,Database!$H:$N,5,0)),"")</f>
        <v/>
      </c>
      <c r="L3168" s="55" t="str">
        <f>IFERROR(IF($G3168="","",VLOOKUP('Dashboard And Emails Automate'!$G3168,Database!$H:$N,6,0)),"")</f>
        <v/>
      </c>
      <c r="M3168" s="55" t="str">
        <f>IFERROR(IF($G3168="","",VLOOKUP('Dashboard And Emails Automate'!$G3168,Database!$H:$N,7,0)),"")</f>
        <v/>
      </c>
      <c r="N3168" s="55" t="str">
        <f>IFERROR(IF(OR($B3168="",$B3168="(blank)"),"",VLOOKUP($B3168,'Email Marketing Raw Data'!$C:$O,6,0)),"")</f>
        <v/>
      </c>
      <c r="O3168" s="55" t="str">
        <f>IFERROR(IF(OR($B3168="",$B3168="(blank)"),"",VLOOKUP($B3168,'Email Marketing Raw Data'!$C:$O,7,0)),"")</f>
        <v/>
      </c>
      <c r="P3168" s="55" t="str">
        <f>IFERROR(IF(OR($B3168="",$B3168="(blank)"),"",VLOOKUP($B3168,'Email Marketing Raw Data'!$C:$O,8,0)),"")</f>
        <v/>
      </c>
      <c r="Q3168" s="62" t="str">
        <f>IFERROR(IF(OR($B3168="",$B3168="(blank)"),"",VLOOKUP($B3168,'Email Marketing Raw Data'!$C:$O,9,0)),"")</f>
        <v/>
      </c>
    </row>
    <row r="3169" spans="4:17" ht="12.75" customHeight="1" x14ac:dyDescent="0.2">
      <c r="D3169" s="58" t="str">
        <f>IFERROR(IF(F3169&lt;&gt;"pending","",IF(OR($B3169="",$B3169="(blank)"),"",VLOOKUP($B3169,'Email Marketing Raw Data'!$C:$O,10,0))),"")</f>
        <v/>
      </c>
      <c r="E3169" s="59" t="str">
        <f>IFERROR(IF(F3169&lt;&gt;"pending","",IF(OR($B3169="",$B3169="(blank)"),"",VLOOKUP($B3169,'Email Marketing Raw Data'!$C:$O,11,0))),"")</f>
        <v/>
      </c>
      <c r="F3169" s="54" t="str">
        <f>IFERROR(IF(OR($B3169="",$B3169="(blank)"),"",VLOOKUP($B3169,'Email Marketing Raw Data'!$C:$O,13,0)),"")</f>
        <v/>
      </c>
      <c r="G3169" s="55" t="str">
        <f>IFERROR(IF(OR($B3169="",$B3169="(blank)"),"",VLOOKUP($B3169,'Email Marketing Raw Data'!$C:$O,4,0)),"")</f>
        <v/>
      </c>
      <c r="H3169" s="55" t="str">
        <f>IFERROR(IF(OR($B3169="",$B3169="(blank)"),"",VLOOKUP($B3169,'Email Marketing Raw Data'!$C:$O,5,0)),"")</f>
        <v/>
      </c>
      <c r="I3169" s="55" t="str">
        <f>IFERROR(IF($G3169="","",VLOOKUP('Dashboard And Emails Automate'!$G3169,Database!$H:$N,3,0)),"")</f>
        <v/>
      </c>
      <c r="J3169" s="55" t="str">
        <f>IFERROR(IF($G3169="","",VLOOKUP('Dashboard And Emails Automate'!$G3169,Database!$H:$N,4,0)),"")</f>
        <v/>
      </c>
      <c r="K3169" s="55" t="str">
        <f>IFERROR(IF($G3169="","",VLOOKUP('Dashboard And Emails Automate'!$G3169,Database!$H:$N,5,0)),"")</f>
        <v/>
      </c>
      <c r="L3169" s="55" t="str">
        <f>IFERROR(IF($G3169="","",VLOOKUP('Dashboard And Emails Automate'!$G3169,Database!$H:$N,6,0)),"")</f>
        <v/>
      </c>
      <c r="M3169" s="55" t="str">
        <f>IFERROR(IF($G3169="","",VLOOKUP('Dashboard And Emails Automate'!$G3169,Database!$H:$N,7,0)),"")</f>
        <v/>
      </c>
      <c r="N3169" s="55" t="str">
        <f>IFERROR(IF(OR($B3169="",$B3169="(blank)"),"",VLOOKUP($B3169,'Email Marketing Raw Data'!$C:$O,6,0)),"")</f>
        <v/>
      </c>
      <c r="O3169" s="55" t="str">
        <f>IFERROR(IF(OR($B3169="",$B3169="(blank)"),"",VLOOKUP($B3169,'Email Marketing Raw Data'!$C:$O,7,0)),"")</f>
        <v/>
      </c>
      <c r="P3169" s="55" t="str">
        <f>IFERROR(IF(OR($B3169="",$B3169="(blank)"),"",VLOOKUP($B3169,'Email Marketing Raw Data'!$C:$O,8,0)),"")</f>
        <v/>
      </c>
      <c r="Q3169" s="62" t="str">
        <f>IFERROR(IF(OR($B3169="",$B3169="(blank)"),"",VLOOKUP($B3169,'Email Marketing Raw Data'!$C:$O,9,0)),"")</f>
        <v/>
      </c>
    </row>
    <row r="3170" spans="4:17" ht="12.75" customHeight="1" x14ac:dyDescent="0.2">
      <c r="D3170" s="58" t="str">
        <f>IFERROR(IF(F3170&lt;&gt;"pending","",IF(OR($B3170="",$B3170="(blank)"),"",VLOOKUP($B3170,'Email Marketing Raw Data'!$C:$O,10,0))),"")</f>
        <v/>
      </c>
      <c r="E3170" s="59" t="str">
        <f>IFERROR(IF(F3170&lt;&gt;"pending","",IF(OR($B3170="",$B3170="(blank)"),"",VLOOKUP($B3170,'Email Marketing Raw Data'!$C:$O,11,0))),"")</f>
        <v/>
      </c>
      <c r="F3170" s="54" t="str">
        <f>IFERROR(IF(OR($B3170="",$B3170="(blank)"),"",VLOOKUP($B3170,'Email Marketing Raw Data'!$C:$O,13,0)),"")</f>
        <v/>
      </c>
      <c r="G3170" s="55" t="str">
        <f>IFERROR(IF(OR($B3170="",$B3170="(blank)"),"",VLOOKUP($B3170,'Email Marketing Raw Data'!$C:$O,4,0)),"")</f>
        <v/>
      </c>
      <c r="H3170" s="55" t="str">
        <f>IFERROR(IF(OR($B3170="",$B3170="(blank)"),"",VLOOKUP($B3170,'Email Marketing Raw Data'!$C:$O,5,0)),"")</f>
        <v/>
      </c>
      <c r="I3170" s="55" t="str">
        <f>IFERROR(IF($G3170="","",VLOOKUP('Dashboard And Emails Automate'!$G3170,Database!$H:$N,3,0)),"")</f>
        <v/>
      </c>
      <c r="J3170" s="55" t="str">
        <f>IFERROR(IF($G3170="","",VLOOKUP('Dashboard And Emails Automate'!$G3170,Database!$H:$N,4,0)),"")</f>
        <v/>
      </c>
      <c r="K3170" s="55" t="str">
        <f>IFERROR(IF($G3170="","",VLOOKUP('Dashboard And Emails Automate'!$G3170,Database!$H:$N,5,0)),"")</f>
        <v/>
      </c>
      <c r="L3170" s="55" t="str">
        <f>IFERROR(IF($G3170="","",VLOOKUP('Dashboard And Emails Automate'!$G3170,Database!$H:$N,6,0)),"")</f>
        <v/>
      </c>
      <c r="M3170" s="55" t="str">
        <f>IFERROR(IF($G3170="","",VLOOKUP('Dashboard And Emails Automate'!$G3170,Database!$H:$N,7,0)),"")</f>
        <v/>
      </c>
      <c r="N3170" s="55" t="str">
        <f>IFERROR(IF(OR($B3170="",$B3170="(blank)"),"",VLOOKUP($B3170,'Email Marketing Raw Data'!$C:$O,6,0)),"")</f>
        <v/>
      </c>
      <c r="O3170" s="55" t="str">
        <f>IFERROR(IF(OR($B3170="",$B3170="(blank)"),"",VLOOKUP($B3170,'Email Marketing Raw Data'!$C:$O,7,0)),"")</f>
        <v/>
      </c>
      <c r="P3170" s="55" t="str">
        <f>IFERROR(IF(OR($B3170="",$B3170="(blank)"),"",VLOOKUP($B3170,'Email Marketing Raw Data'!$C:$O,8,0)),"")</f>
        <v/>
      </c>
      <c r="Q3170" s="62" t="str">
        <f>IFERROR(IF(OR($B3170="",$B3170="(blank)"),"",VLOOKUP($B3170,'Email Marketing Raw Data'!$C:$O,9,0)),"")</f>
        <v/>
      </c>
    </row>
    <row r="3171" spans="4:17" ht="12.75" customHeight="1" x14ac:dyDescent="0.2">
      <c r="D3171" s="58" t="str">
        <f>IFERROR(IF(F3171&lt;&gt;"pending","",IF(OR($B3171="",$B3171="(blank)"),"",VLOOKUP($B3171,'Email Marketing Raw Data'!$C:$O,10,0))),"")</f>
        <v/>
      </c>
      <c r="E3171" s="59" t="str">
        <f>IFERROR(IF(F3171&lt;&gt;"pending","",IF(OR($B3171="",$B3171="(blank)"),"",VLOOKUP($B3171,'Email Marketing Raw Data'!$C:$O,11,0))),"")</f>
        <v/>
      </c>
      <c r="F3171" s="54" t="str">
        <f>IFERROR(IF(OR($B3171="",$B3171="(blank)"),"",VLOOKUP($B3171,'Email Marketing Raw Data'!$C:$O,13,0)),"")</f>
        <v/>
      </c>
      <c r="G3171" s="55" t="str">
        <f>IFERROR(IF(OR($B3171="",$B3171="(blank)"),"",VLOOKUP($B3171,'Email Marketing Raw Data'!$C:$O,4,0)),"")</f>
        <v/>
      </c>
      <c r="H3171" s="55" t="str">
        <f>IFERROR(IF(OR($B3171="",$B3171="(blank)"),"",VLOOKUP($B3171,'Email Marketing Raw Data'!$C:$O,5,0)),"")</f>
        <v/>
      </c>
      <c r="I3171" s="55" t="str">
        <f>IFERROR(IF($G3171="","",VLOOKUP('Dashboard And Emails Automate'!$G3171,Database!$H:$N,3,0)),"")</f>
        <v/>
      </c>
      <c r="J3171" s="55" t="str">
        <f>IFERROR(IF($G3171="","",VLOOKUP('Dashboard And Emails Automate'!$G3171,Database!$H:$N,4,0)),"")</f>
        <v/>
      </c>
      <c r="K3171" s="55" t="str">
        <f>IFERROR(IF($G3171="","",VLOOKUP('Dashboard And Emails Automate'!$G3171,Database!$H:$N,5,0)),"")</f>
        <v/>
      </c>
      <c r="L3171" s="55" t="str">
        <f>IFERROR(IF($G3171="","",VLOOKUP('Dashboard And Emails Automate'!$G3171,Database!$H:$N,6,0)),"")</f>
        <v/>
      </c>
      <c r="M3171" s="55" t="str">
        <f>IFERROR(IF($G3171="","",VLOOKUP('Dashboard And Emails Automate'!$G3171,Database!$H:$N,7,0)),"")</f>
        <v/>
      </c>
      <c r="N3171" s="55" t="str">
        <f>IFERROR(IF(OR($B3171="",$B3171="(blank)"),"",VLOOKUP($B3171,'Email Marketing Raw Data'!$C:$O,6,0)),"")</f>
        <v/>
      </c>
      <c r="O3171" s="55" t="str">
        <f>IFERROR(IF(OR($B3171="",$B3171="(blank)"),"",VLOOKUP($B3171,'Email Marketing Raw Data'!$C:$O,7,0)),"")</f>
        <v/>
      </c>
      <c r="P3171" s="55" t="str">
        <f>IFERROR(IF(OR($B3171="",$B3171="(blank)"),"",VLOOKUP($B3171,'Email Marketing Raw Data'!$C:$O,8,0)),"")</f>
        <v/>
      </c>
      <c r="Q3171" s="62" t="str">
        <f>IFERROR(IF(OR($B3171="",$B3171="(blank)"),"",VLOOKUP($B3171,'Email Marketing Raw Data'!$C:$O,9,0)),"")</f>
        <v/>
      </c>
    </row>
    <row r="3172" spans="4:17" ht="12.75" customHeight="1" x14ac:dyDescent="0.2">
      <c r="D3172" s="58" t="str">
        <f>IFERROR(IF(F3172&lt;&gt;"pending","",IF(OR($B3172="",$B3172="(blank)"),"",VLOOKUP($B3172,'Email Marketing Raw Data'!$C:$O,10,0))),"")</f>
        <v/>
      </c>
      <c r="E3172" s="59" t="str">
        <f>IFERROR(IF(F3172&lt;&gt;"pending","",IF(OR($B3172="",$B3172="(blank)"),"",VLOOKUP($B3172,'Email Marketing Raw Data'!$C:$O,11,0))),"")</f>
        <v/>
      </c>
      <c r="F3172" s="54" t="str">
        <f>IFERROR(IF(OR($B3172="",$B3172="(blank)"),"",VLOOKUP($B3172,'Email Marketing Raw Data'!$C:$O,13,0)),"")</f>
        <v/>
      </c>
      <c r="G3172" s="55" t="str">
        <f>IFERROR(IF(OR($B3172="",$B3172="(blank)"),"",VLOOKUP($B3172,'Email Marketing Raw Data'!$C:$O,4,0)),"")</f>
        <v/>
      </c>
      <c r="H3172" s="55" t="str">
        <f>IFERROR(IF(OR($B3172="",$B3172="(blank)"),"",VLOOKUP($B3172,'Email Marketing Raw Data'!$C:$O,5,0)),"")</f>
        <v/>
      </c>
      <c r="I3172" s="55" t="str">
        <f>IFERROR(IF($G3172="","",VLOOKUP('Dashboard And Emails Automate'!$G3172,Database!$H:$N,3,0)),"")</f>
        <v/>
      </c>
      <c r="J3172" s="55" t="str">
        <f>IFERROR(IF($G3172="","",VLOOKUP('Dashboard And Emails Automate'!$G3172,Database!$H:$N,4,0)),"")</f>
        <v/>
      </c>
      <c r="K3172" s="55" t="str">
        <f>IFERROR(IF($G3172="","",VLOOKUP('Dashboard And Emails Automate'!$G3172,Database!$H:$N,5,0)),"")</f>
        <v/>
      </c>
      <c r="L3172" s="55" t="str">
        <f>IFERROR(IF($G3172="","",VLOOKUP('Dashboard And Emails Automate'!$G3172,Database!$H:$N,6,0)),"")</f>
        <v/>
      </c>
      <c r="M3172" s="55" t="str">
        <f>IFERROR(IF($G3172="","",VLOOKUP('Dashboard And Emails Automate'!$G3172,Database!$H:$N,7,0)),"")</f>
        <v/>
      </c>
      <c r="N3172" s="55" t="str">
        <f>IFERROR(IF(OR($B3172="",$B3172="(blank)"),"",VLOOKUP($B3172,'Email Marketing Raw Data'!$C:$O,6,0)),"")</f>
        <v/>
      </c>
      <c r="O3172" s="55" t="str">
        <f>IFERROR(IF(OR($B3172="",$B3172="(blank)"),"",VLOOKUP($B3172,'Email Marketing Raw Data'!$C:$O,7,0)),"")</f>
        <v/>
      </c>
      <c r="P3172" s="55" t="str">
        <f>IFERROR(IF(OR($B3172="",$B3172="(blank)"),"",VLOOKUP($B3172,'Email Marketing Raw Data'!$C:$O,8,0)),"")</f>
        <v/>
      </c>
      <c r="Q3172" s="62" t="str">
        <f>IFERROR(IF(OR($B3172="",$B3172="(blank)"),"",VLOOKUP($B3172,'Email Marketing Raw Data'!$C:$O,9,0)),"")</f>
        <v/>
      </c>
    </row>
    <row r="3173" spans="4:17" ht="12.75" customHeight="1" x14ac:dyDescent="0.2">
      <c r="D3173" s="58" t="str">
        <f>IFERROR(IF(F3173&lt;&gt;"pending","",IF(OR($B3173="",$B3173="(blank)"),"",VLOOKUP($B3173,'Email Marketing Raw Data'!$C:$O,10,0))),"")</f>
        <v/>
      </c>
      <c r="E3173" s="59" t="str">
        <f>IFERROR(IF(F3173&lt;&gt;"pending","",IF(OR($B3173="",$B3173="(blank)"),"",VLOOKUP($B3173,'Email Marketing Raw Data'!$C:$O,11,0))),"")</f>
        <v/>
      </c>
      <c r="F3173" s="54" t="str">
        <f>IFERROR(IF(OR($B3173="",$B3173="(blank)"),"",VLOOKUP($B3173,'Email Marketing Raw Data'!$C:$O,13,0)),"")</f>
        <v/>
      </c>
      <c r="G3173" s="55" t="str">
        <f>IFERROR(IF(OR($B3173="",$B3173="(blank)"),"",VLOOKUP($B3173,'Email Marketing Raw Data'!$C:$O,4,0)),"")</f>
        <v/>
      </c>
      <c r="H3173" s="55" t="str">
        <f>IFERROR(IF(OR($B3173="",$B3173="(blank)"),"",VLOOKUP($B3173,'Email Marketing Raw Data'!$C:$O,5,0)),"")</f>
        <v/>
      </c>
      <c r="I3173" s="55" t="str">
        <f>IFERROR(IF($G3173="","",VLOOKUP('Dashboard And Emails Automate'!$G3173,Database!$H:$N,3,0)),"")</f>
        <v/>
      </c>
      <c r="J3173" s="55" t="str">
        <f>IFERROR(IF($G3173="","",VLOOKUP('Dashboard And Emails Automate'!$G3173,Database!$H:$N,4,0)),"")</f>
        <v/>
      </c>
      <c r="K3173" s="55" t="str">
        <f>IFERROR(IF($G3173="","",VLOOKUP('Dashboard And Emails Automate'!$G3173,Database!$H:$N,5,0)),"")</f>
        <v/>
      </c>
      <c r="L3173" s="55" t="str">
        <f>IFERROR(IF($G3173="","",VLOOKUP('Dashboard And Emails Automate'!$G3173,Database!$H:$N,6,0)),"")</f>
        <v/>
      </c>
      <c r="M3173" s="55" t="str">
        <f>IFERROR(IF($G3173="","",VLOOKUP('Dashboard And Emails Automate'!$G3173,Database!$H:$N,7,0)),"")</f>
        <v/>
      </c>
      <c r="N3173" s="55" t="str">
        <f>IFERROR(IF(OR($B3173="",$B3173="(blank)"),"",VLOOKUP($B3173,'Email Marketing Raw Data'!$C:$O,6,0)),"")</f>
        <v/>
      </c>
      <c r="O3173" s="55" t="str">
        <f>IFERROR(IF(OR($B3173="",$B3173="(blank)"),"",VLOOKUP($B3173,'Email Marketing Raw Data'!$C:$O,7,0)),"")</f>
        <v/>
      </c>
      <c r="P3173" s="55" t="str">
        <f>IFERROR(IF(OR($B3173="",$B3173="(blank)"),"",VLOOKUP($B3173,'Email Marketing Raw Data'!$C:$O,8,0)),"")</f>
        <v/>
      </c>
      <c r="Q3173" s="62" t="str">
        <f>IFERROR(IF(OR($B3173="",$B3173="(blank)"),"",VLOOKUP($B3173,'Email Marketing Raw Data'!$C:$O,9,0)),"")</f>
        <v/>
      </c>
    </row>
    <row r="3174" spans="4:17" ht="12.75" customHeight="1" x14ac:dyDescent="0.2">
      <c r="D3174" s="58" t="str">
        <f>IFERROR(IF(F3174&lt;&gt;"pending","",IF(OR($B3174="",$B3174="(blank)"),"",VLOOKUP($B3174,'Email Marketing Raw Data'!$C:$O,10,0))),"")</f>
        <v/>
      </c>
      <c r="E3174" s="59" t="str">
        <f>IFERROR(IF(F3174&lt;&gt;"pending","",IF(OR($B3174="",$B3174="(blank)"),"",VLOOKUP($B3174,'Email Marketing Raw Data'!$C:$O,11,0))),"")</f>
        <v/>
      </c>
      <c r="F3174" s="54" t="str">
        <f>IFERROR(IF(OR($B3174="",$B3174="(blank)"),"",VLOOKUP($B3174,'Email Marketing Raw Data'!$C:$O,13,0)),"")</f>
        <v/>
      </c>
      <c r="G3174" s="55" t="str">
        <f>IFERROR(IF(OR($B3174="",$B3174="(blank)"),"",VLOOKUP($B3174,'Email Marketing Raw Data'!$C:$O,4,0)),"")</f>
        <v/>
      </c>
      <c r="H3174" s="55" t="str">
        <f>IFERROR(IF(OR($B3174="",$B3174="(blank)"),"",VLOOKUP($B3174,'Email Marketing Raw Data'!$C:$O,5,0)),"")</f>
        <v/>
      </c>
      <c r="I3174" s="55" t="str">
        <f>IFERROR(IF($G3174="","",VLOOKUP('Dashboard And Emails Automate'!$G3174,Database!$H:$N,3,0)),"")</f>
        <v/>
      </c>
      <c r="J3174" s="55" t="str">
        <f>IFERROR(IF($G3174="","",VLOOKUP('Dashboard And Emails Automate'!$G3174,Database!$H:$N,4,0)),"")</f>
        <v/>
      </c>
      <c r="K3174" s="55" t="str">
        <f>IFERROR(IF($G3174="","",VLOOKUP('Dashboard And Emails Automate'!$G3174,Database!$H:$N,5,0)),"")</f>
        <v/>
      </c>
      <c r="L3174" s="55" t="str">
        <f>IFERROR(IF($G3174="","",VLOOKUP('Dashboard And Emails Automate'!$G3174,Database!$H:$N,6,0)),"")</f>
        <v/>
      </c>
      <c r="M3174" s="55" t="str">
        <f>IFERROR(IF($G3174="","",VLOOKUP('Dashboard And Emails Automate'!$G3174,Database!$H:$N,7,0)),"")</f>
        <v/>
      </c>
      <c r="N3174" s="55" t="str">
        <f>IFERROR(IF(OR($B3174="",$B3174="(blank)"),"",VLOOKUP($B3174,'Email Marketing Raw Data'!$C:$O,6,0)),"")</f>
        <v/>
      </c>
      <c r="O3174" s="55" t="str">
        <f>IFERROR(IF(OR($B3174="",$B3174="(blank)"),"",VLOOKUP($B3174,'Email Marketing Raw Data'!$C:$O,7,0)),"")</f>
        <v/>
      </c>
      <c r="P3174" s="55" t="str">
        <f>IFERROR(IF(OR($B3174="",$B3174="(blank)"),"",VLOOKUP($B3174,'Email Marketing Raw Data'!$C:$O,8,0)),"")</f>
        <v/>
      </c>
      <c r="Q3174" s="62" t="str">
        <f>IFERROR(IF(OR($B3174="",$B3174="(blank)"),"",VLOOKUP($B3174,'Email Marketing Raw Data'!$C:$O,9,0)),"")</f>
        <v/>
      </c>
    </row>
    <row r="3175" spans="4:17" ht="12.75" customHeight="1" x14ac:dyDescent="0.2">
      <c r="D3175" s="58" t="str">
        <f>IFERROR(IF(F3175&lt;&gt;"pending","",IF(OR($B3175="",$B3175="(blank)"),"",VLOOKUP($B3175,'Email Marketing Raw Data'!$C:$O,10,0))),"")</f>
        <v/>
      </c>
      <c r="E3175" s="59" t="str">
        <f>IFERROR(IF(F3175&lt;&gt;"pending","",IF(OR($B3175="",$B3175="(blank)"),"",VLOOKUP($B3175,'Email Marketing Raw Data'!$C:$O,11,0))),"")</f>
        <v/>
      </c>
      <c r="F3175" s="54" t="str">
        <f>IFERROR(IF(OR($B3175="",$B3175="(blank)"),"",VLOOKUP($B3175,'Email Marketing Raw Data'!$C:$O,13,0)),"")</f>
        <v/>
      </c>
      <c r="G3175" s="55" t="str">
        <f>IFERROR(IF(OR($B3175="",$B3175="(blank)"),"",VLOOKUP($B3175,'Email Marketing Raw Data'!$C:$O,4,0)),"")</f>
        <v/>
      </c>
      <c r="H3175" s="55" t="str">
        <f>IFERROR(IF(OR($B3175="",$B3175="(blank)"),"",VLOOKUP($B3175,'Email Marketing Raw Data'!$C:$O,5,0)),"")</f>
        <v/>
      </c>
      <c r="I3175" s="55" t="str">
        <f>IFERROR(IF($G3175="","",VLOOKUP('Dashboard And Emails Automate'!$G3175,Database!$H:$N,3,0)),"")</f>
        <v/>
      </c>
      <c r="J3175" s="55" t="str">
        <f>IFERROR(IF($G3175="","",VLOOKUP('Dashboard And Emails Automate'!$G3175,Database!$H:$N,4,0)),"")</f>
        <v/>
      </c>
      <c r="K3175" s="55" t="str">
        <f>IFERROR(IF($G3175="","",VLOOKUP('Dashboard And Emails Automate'!$G3175,Database!$H:$N,5,0)),"")</f>
        <v/>
      </c>
      <c r="L3175" s="55" t="str">
        <f>IFERROR(IF($G3175="","",VLOOKUP('Dashboard And Emails Automate'!$G3175,Database!$H:$N,6,0)),"")</f>
        <v/>
      </c>
      <c r="M3175" s="55" t="str">
        <f>IFERROR(IF($G3175="","",VLOOKUP('Dashboard And Emails Automate'!$G3175,Database!$H:$N,7,0)),"")</f>
        <v/>
      </c>
      <c r="N3175" s="55" t="str">
        <f>IFERROR(IF(OR($B3175="",$B3175="(blank)"),"",VLOOKUP($B3175,'Email Marketing Raw Data'!$C:$O,6,0)),"")</f>
        <v/>
      </c>
      <c r="O3175" s="55" t="str">
        <f>IFERROR(IF(OR($B3175="",$B3175="(blank)"),"",VLOOKUP($B3175,'Email Marketing Raw Data'!$C:$O,7,0)),"")</f>
        <v/>
      </c>
      <c r="P3175" s="55" t="str">
        <f>IFERROR(IF(OR($B3175="",$B3175="(blank)"),"",VLOOKUP($B3175,'Email Marketing Raw Data'!$C:$O,8,0)),"")</f>
        <v/>
      </c>
      <c r="Q3175" s="62" t="str">
        <f>IFERROR(IF(OR($B3175="",$B3175="(blank)"),"",VLOOKUP($B3175,'Email Marketing Raw Data'!$C:$O,9,0)),"")</f>
        <v/>
      </c>
    </row>
    <row r="3176" spans="4:17" ht="12.75" customHeight="1" x14ac:dyDescent="0.2">
      <c r="D3176" s="58" t="str">
        <f>IFERROR(IF(F3176&lt;&gt;"pending","",IF(OR($B3176="",$B3176="(blank)"),"",VLOOKUP($B3176,'Email Marketing Raw Data'!$C:$O,10,0))),"")</f>
        <v/>
      </c>
      <c r="E3176" s="59" t="str">
        <f>IFERROR(IF(F3176&lt;&gt;"pending","",IF(OR($B3176="",$B3176="(blank)"),"",VLOOKUP($B3176,'Email Marketing Raw Data'!$C:$O,11,0))),"")</f>
        <v/>
      </c>
      <c r="F3176" s="54" t="str">
        <f>IFERROR(IF(OR($B3176="",$B3176="(blank)"),"",VLOOKUP($B3176,'Email Marketing Raw Data'!$C:$O,13,0)),"")</f>
        <v/>
      </c>
      <c r="G3176" s="55" t="str">
        <f>IFERROR(IF(OR($B3176="",$B3176="(blank)"),"",VLOOKUP($B3176,'Email Marketing Raw Data'!$C:$O,4,0)),"")</f>
        <v/>
      </c>
      <c r="H3176" s="55" t="str">
        <f>IFERROR(IF(OR($B3176="",$B3176="(blank)"),"",VLOOKUP($B3176,'Email Marketing Raw Data'!$C:$O,5,0)),"")</f>
        <v/>
      </c>
      <c r="I3176" s="55" t="str">
        <f>IFERROR(IF($G3176="","",VLOOKUP('Dashboard And Emails Automate'!$G3176,Database!$H:$N,3,0)),"")</f>
        <v/>
      </c>
      <c r="J3176" s="55" t="str">
        <f>IFERROR(IF($G3176="","",VLOOKUP('Dashboard And Emails Automate'!$G3176,Database!$H:$N,4,0)),"")</f>
        <v/>
      </c>
      <c r="K3176" s="55" t="str">
        <f>IFERROR(IF($G3176="","",VLOOKUP('Dashboard And Emails Automate'!$G3176,Database!$H:$N,5,0)),"")</f>
        <v/>
      </c>
      <c r="L3176" s="55" t="str">
        <f>IFERROR(IF($G3176="","",VLOOKUP('Dashboard And Emails Automate'!$G3176,Database!$H:$N,6,0)),"")</f>
        <v/>
      </c>
      <c r="M3176" s="55" t="str">
        <f>IFERROR(IF($G3176="","",VLOOKUP('Dashboard And Emails Automate'!$G3176,Database!$H:$N,7,0)),"")</f>
        <v/>
      </c>
      <c r="N3176" s="55" t="str">
        <f>IFERROR(IF(OR($B3176="",$B3176="(blank)"),"",VLOOKUP($B3176,'Email Marketing Raw Data'!$C:$O,6,0)),"")</f>
        <v/>
      </c>
      <c r="O3176" s="55" t="str">
        <f>IFERROR(IF(OR($B3176="",$B3176="(blank)"),"",VLOOKUP($B3176,'Email Marketing Raw Data'!$C:$O,7,0)),"")</f>
        <v/>
      </c>
      <c r="P3176" s="55" t="str">
        <f>IFERROR(IF(OR($B3176="",$B3176="(blank)"),"",VLOOKUP($B3176,'Email Marketing Raw Data'!$C:$O,8,0)),"")</f>
        <v/>
      </c>
      <c r="Q3176" s="62" t="str">
        <f>IFERROR(IF(OR($B3176="",$B3176="(blank)"),"",VLOOKUP($B3176,'Email Marketing Raw Data'!$C:$O,9,0)),"")</f>
        <v/>
      </c>
    </row>
    <row r="3177" spans="4:17" ht="12.75" customHeight="1" x14ac:dyDescent="0.2">
      <c r="D3177" s="58" t="str">
        <f>IFERROR(IF(F3177&lt;&gt;"pending","",IF(OR($B3177="",$B3177="(blank)"),"",VLOOKUP($B3177,'Email Marketing Raw Data'!$C:$O,10,0))),"")</f>
        <v/>
      </c>
      <c r="E3177" s="59" t="str">
        <f>IFERROR(IF(F3177&lt;&gt;"pending","",IF(OR($B3177="",$B3177="(blank)"),"",VLOOKUP($B3177,'Email Marketing Raw Data'!$C:$O,11,0))),"")</f>
        <v/>
      </c>
      <c r="F3177" s="54" t="str">
        <f>IFERROR(IF(OR($B3177="",$B3177="(blank)"),"",VLOOKUP($B3177,'Email Marketing Raw Data'!$C:$O,13,0)),"")</f>
        <v/>
      </c>
      <c r="G3177" s="55" t="str">
        <f>IFERROR(IF(OR($B3177="",$B3177="(blank)"),"",VLOOKUP($B3177,'Email Marketing Raw Data'!$C:$O,4,0)),"")</f>
        <v/>
      </c>
      <c r="H3177" s="55" t="str">
        <f>IFERROR(IF(OR($B3177="",$B3177="(blank)"),"",VLOOKUP($B3177,'Email Marketing Raw Data'!$C:$O,5,0)),"")</f>
        <v/>
      </c>
      <c r="I3177" s="55" t="str">
        <f>IFERROR(IF($G3177="","",VLOOKUP('Dashboard And Emails Automate'!$G3177,Database!$H:$N,3,0)),"")</f>
        <v/>
      </c>
      <c r="J3177" s="55" t="str">
        <f>IFERROR(IF($G3177="","",VLOOKUP('Dashboard And Emails Automate'!$G3177,Database!$H:$N,4,0)),"")</f>
        <v/>
      </c>
      <c r="K3177" s="55" t="str">
        <f>IFERROR(IF($G3177="","",VLOOKUP('Dashboard And Emails Automate'!$G3177,Database!$H:$N,5,0)),"")</f>
        <v/>
      </c>
      <c r="L3177" s="55" t="str">
        <f>IFERROR(IF($G3177="","",VLOOKUP('Dashboard And Emails Automate'!$G3177,Database!$H:$N,6,0)),"")</f>
        <v/>
      </c>
      <c r="M3177" s="55" t="str">
        <f>IFERROR(IF($G3177="","",VLOOKUP('Dashboard And Emails Automate'!$G3177,Database!$H:$N,7,0)),"")</f>
        <v/>
      </c>
      <c r="N3177" s="55" t="str">
        <f>IFERROR(IF(OR($B3177="",$B3177="(blank)"),"",VLOOKUP($B3177,'Email Marketing Raw Data'!$C:$O,6,0)),"")</f>
        <v/>
      </c>
      <c r="O3177" s="55" t="str">
        <f>IFERROR(IF(OR($B3177="",$B3177="(blank)"),"",VLOOKUP($B3177,'Email Marketing Raw Data'!$C:$O,7,0)),"")</f>
        <v/>
      </c>
      <c r="P3177" s="55" t="str">
        <f>IFERROR(IF(OR($B3177="",$B3177="(blank)"),"",VLOOKUP($B3177,'Email Marketing Raw Data'!$C:$O,8,0)),"")</f>
        <v/>
      </c>
      <c r="Q3177" s="62" t="str">
        <f>IFERROR(IF(OR($B3177="",$B3177="(blank)"),"",VLOOKUP($B3177,'Email Marketing Raw Data'!$C:$O,9,0)),"")</f>
        <v/>
      </c>
    </row>
    <row r="3178" spans="4:17" ht="12.75" customHeight="1" x14ac:dyDescent="0.2">
      <c r="D3178" s="58" t="str">
        <f>IFERROR(IF(F3178&lt;&gt;"pending","",IF(OR($B3178="",$B3178="(blank)"),"",VLOOKUP($B3178,'Email Marketing Raw Data'!$C:$O,10,0))),"")</f>
        <v/>
      </c>
      <c r="E3178" s="59" t="str">
        <f>IFERROR(IF(F3178&lt;&gt;"pending","",IF(OR($B3178="",$B3178="(blank)"),"",VLOOKUP($B3178,'Email Marketing Raw Data'!$C:$O,11,0))),"")</f>
        <v/>
      </c>
      <c r="F3178" s="54" t="str">
        <f>IFERROR(IF(OR($B3178="",$B3178="(blank)"),"",VLOOKUP($B3178,'Email Marketing Raw Data'!$C:$O,13,0)),"")</f>
        <v/>
      </c>
      <c r="G3178" s="55" t="str">
        <f>IFERROR(IF(OR($B3178="",$B3178="(blank)"),"",VLOOKUP($B3178,'Email Marketing Raw Data'!$C:$O,4,0)),"")</f>
        <v/>
      </c>
      <c r="H3178" s="55" t="str">
        <f>IFERROR(IF(OR($B3178="",$B3178="(blank)"),"",VLOOKUP($B3178,'Email Marketing Raw Data'!$C:$O,5,0)),"")</f>
        <v/>
      </c>
      <c r="I3178" s="55" t="str">
        <f>IFERROR(IF($G3178="","",VLOOKUP('Dashboard And Emails Automate'!$G3178,Database!$H:$N,3,0)),"")</f>
        <v/>
      </c>
      <c r="J3178" s="55" t="str">
        <f>IFERROR(IF($G3178="","",VLOOKUP('Dashboard And Emails Automate'!$G3178,Database!$H:$N,4,0)),"")</f>
        <v/>
      </c>
      <c r="K3178" s="55" t="str">
        <f>IFERROR(IF($G3178="","",VLOOKUP('Dashboard And Emails Automate'!$G3178,Database!$H:$N,5,0)),"")</f>
        <v/>
      </c>
      <c r="L3178" s="55" t="str">
        <f>IFERROR(IF($G3178="","",VLOOKUP('Dashboard And Emails Automate'!$G3178,Database!$H:$N,6,0)),"")</f>
        <v/>
      </c>
      <c r="M3178" s="55" t="str">
        <f>IFERROR(IF($G3178="","",VLOOKUP('Dashboard And Emails Automate'!$G3178,Database!$H:$N,7,0)),"")</f>
        <v/>
      </c>
      <c r="N3178" s="55" t="str">
        <f>IFERROR(IF(OR($B3178="",$B3178="(blank)"),"",VLOOKUP($B3178,'Email Marketing Raw Data'!$C:$O,6,0)),"")</f>
        <v/>
      </c>
      <c r="O3178" s="55" t="str">
        <f>IFERROR(IF(OR($B3178="",$B3178="(blank)"),"",VLOOKUP($B3178,'Email Marketing Raw Data'!$C:$O,7,0)),"")</f>
        <v/>
      </c>
      <c r="P3178" s="55" t="str">
        <f>IFERROR(IF(OR($B3178="",$B3178="(blank)"),"",VLOOKUP($B3178,'Email Marketing Raw Data'!$C:$O,8,0)),"")</f>
        <v/>
      </c>
      <c r="Q3178" s="62" t="str">
        <f>IFERROR(IF(OR($B3178="",$B3178="(blank)"),"",VLOOKUP($B3178,'Email Marketing Raw Data'!$C:$O,9,0)),"")</f>
        <v/>
      </c>
    </row>
    <row r="3179" spans="4:17" ht="12.75" customHeight="1" x14ac:dyDescent="0.2">
      <c r="D3179" s="58" t="str">
        <f>IFERROR(IF(F3179&lt;&gt;"pending","",IF(OR($B3179="",$B3179="(blank)"),"",VLOOKUP($B3179,'Email Marketing Raw Data'!$C:$O,10,0))),"")</f>
        <v/>
      </c>
      <c r="E3179" s="59" t="str">
        <f>IFERROR(IF(F3179&lt;&gt;"pending","",IF(OR($B3179="",$B3179="(blank)"),"",VLOOKUP($B3179,'Email Marketing Raw Data'!$C:$O,11,0))),"")</f>
        <v/>
      </c>
      <c r="F3179" s="54" t="str">
        <f>IFERROR(IF(OR($B3179="",$B3179="(blank)"),"",VLOOKUP($B3179,'Email Marketing Raw Data'!$C:$O,13,0)),"")</f>
        <v/>
      </c>
      <c r="G3179" s="55" t="str">
        <f>IFERROR(IF(OR($B3179="",$B3179="(blank)"),"",VLOOKUP($B3179,'Email Marketing Raw Data'!$C:$O,4,0)),"")</f>
        <v/>
      </c>
      <c r="H3179" s="55" t="str">
        <f>IFERROR(IF(OR($B3179="",$B3179="(blank)"),"",VLOOKUP($B3179,'Email Marketing Raw Data'!$C:$O,5,0)),"")</f>
        <v/>
      </c>
      <c r="I3179" s="55" t="str">
        <f>IFERROR(IF($G3179="","",VLOOKUP('Dashboard And Emails Automate'!$G3179,Database!$H:$N,3,0)),"")</f>
        <v/>
      </c>
      <c r="J3179" s="55" t="str">
        <f>IFERROR(IF($G3179="","",VLOOKUP('Dashboard And Emails Automate'!$G3179,Database!$H:$N,4,0)),"")</f>
        <v/>
      </c>
      <c r="K3179" s="55" t="str">
        <f>IFERROR(IF($G3179="","",VLOOKUP('Dashboard And Emails Automate'!$G3179,Database!$H:$N,5,0)),"")</f>
        <v/>
      </c>
      <c r="L3179" s="55" t="str">
        <f>IFERROR(IF($G3179="","",VLOOKUP('Dashboard And Emails Automate'!$G3179,Database!$H:$N,6,0)),"")</f>
        <v/>
      </c>
      <c r="M3179" s="55" t="str">
        <f>IFERROR(IF($G3179="","",VLOOKUP('Dashboard And Emails Automate'!$G3179,Database!$H:$N,7,0)),"")</f>
        <v/>
      </c>
      <c r="N3179" s="55" t="str">
        <f>IFERROR(IF(OR($B3179="",$B3179="(blank)"),"",VLOOKUP($B3179,'Email Marketing Raw Data'!$C:$O,6,0)),"")</f>
        <v/>
      </c>
      <c r="O3179" s="55" t="str">
        <f>IFERROR(IF(OR($B3179="",$B3179="(blank)"),"",VLOOKUP($B3179,'Email Marketing Raw Data'!$C:$O,7,0)),"")</f>
        <v/>
      </c>
      <c r="P3179" s="55" t="str">
        <f>IFERROR(IF(OR($B3179="",$B3179="(blank)"),"",VLOOKUP($B3179,'Email Marketing Raw Data'!$C:$O,8,0)),"")</f>
        <v/>
      </c>
      <c r="Q3179" s="62" t="str">
        <f>IFERROR(IF(OR($B3179="",$B3179="(blank)"),"",VLOOKUP($B3179,'Email Marketing Raw Data'!$C:$O,9,0)),"")</f>
        <v/>
      </c>
    </row>
    <row r="3180" spans="4:17" ht="12.75" customHeight="1" x14ac:dyDescent="0.2">
      <c r="D3180" s="58" t="str">
        <f>IFERROR(IF(F3180&lt;&gt;"pending","",IF(OR($B3180="",$B3180="(blank)"),"",VLOOKUP($B3180,'Email Marketing Raw Data'!$C:$O,10,0))),"")</f>
        <v/>
      </c>
      <c r="E3180" s="59" t="str">
        <f>IFERROR(IF(F3180&lt;&gt;"pending","",IF(OR($B3180="",$B3180="(blank)"),"",VLOOKUP($B3180,'Email Marketing Raw Data'!$C:$O,11,0))),"")</f>
        <v/>
      </c>
      <c r="F3180" s="54" t="str">
        <f>IFERROR(IF(OR($B3180="",$B3180="(blank)"),"",VLOOKUP($B3180,'Email Marketing Raw Data'!$C:$O,13,0)),"")</f>
        <v/>
      </c>
      <c r="G3180" s="55" t="str">
        <f>IFERROR(IF(OR($B3180="",$B3180="(blank)"),"",VLOOKUP($B3180,'Email Marketing Raw Data'!$C:$O,4,0)),"")</f>
        <v/>
      </c>
      <c r="H3180" s="55" t="str">
        <f>IFERROR(IF(OR($B3180="",$B3180="(blank)"),"",VLOOKUP($B3180,'Email Marketing Raw Data'!$C:$O,5,0)),"")</f>
        <v/>
      </c>
      <c r="I3180" s="55" t="str">
        <f>IFERROR(IF($G3180="","",VLOOKUP('Dashboard And Emails Automate'!$G3180,Database!$H:$N,3,0)),"")</f>
        <v/>
      </c>
      <c r="J3180" s="55" t="str">
        <f>IFERROR(IF($G3180="","",VLOOKUP('Dashboard And Emails Automate'!$G3180,Database!$H:$N,4,0)),"")</f>
        <v/>
      </c>
      <c r="K3180" s="55" t="str">
        <f>IFERROR(IF($G3180="","",VLOOKUP('Dashboard And Emails Automate'!$G3180,Database!$H:$N,5,0)),"")</f>
        <v/>
      </c>
      <c r="L3180" s="55" t="str">
        <f>IFERROR(IF($G3180="","",VLOOKUP('Dashboard And Emails Automate'!$G3180,Database!$H:$N,6,0)),"")</f>
        <v/>
      </c>
      <c r="M3180" s="55" t="str">
        <f>IFERROR(IF($G3180="","",VLOOKUP('Dashboard And Emails Automate'!$G3180,Database!$H:$N,7,0)),"")</f>
        <v/>
      </c>
      <c r="N3180" s="55" t="str">
        <f>IFERROR(IF(OR($B3180="",$B3180="(blank)"),"",VLOOKUP($B3180,'Email Marketing Raw Data'!$C:$O,6,0)),"")</f>
        <v/>
      </c>
      <c r="O3180" s="55" t="str">
        <f>IFERROR(IF(OR($B3180="",$B3180="(blank)"),"",VLOOKUP($B3180,'Email Marketing Raw Data'!$C:$O,7,0)),"")</f>
        <v/>
      </c>
      <c r="P3180" s="55" t="str">
        <f>IFERROR(IF(OR($B3180="",$B3180="(blank)"),"",VLOOKUP($B3180,'Email Marketing Raw Data'!$C:$O,8,0)),"")</f>
        <v/>
      </c>
      <c r="Q3180" s="62" t="str">
        <f>IFERROR(IF(OR($B3180="",$B3180="(blank)"),"",VLOOKUP($B3180,'Email Marketing Raw Data'!$C:$O,9,0)),"")</f>
        <v/>
      </c>
    </row>
    <row r="3181" spans="4:17" ht="12.75" customHeight="1" x14ac:dyDescent="0.2">
      <c r="D3181" s="58" t="str">
        <f>IFERROR(IF(F3181&lt;&gt;"pending","",IF(OR($B3181="",$B3181="(blank)"),"",VLOOKUP($B3181,'Email Marketing Raw Data'!$C:$O,10,0))),"")</f>
        <v/>
      </c>
      <c r="E3181" s="59" t="str">
        <f>IFERROR(IF(F3181&lt;&gt;"pending","",IF(OR($B3181="",$B3181="(blank)"),"",VLOOKUP($B3181,'Email Marketing Raw Data'!$C:$O,11,0))),"")</f>
        <v/>
      </c>
      <c r="F3181" s="54" t="str">
        <f>IFERROR(IF(OR($B3181="",$B3181="(blank)"),"",VLOOKUP($B3181,'Email Marketing Raw Data'!$C:$O,13,0)),"")</f>
        <v/>
      </c>
      <c r="G3181" s="55" t="str">
        <f>IFERROR(IF(OR($B3181="",$B3181="(blank)"),"",VLOOKUP($B3181,'Email Marketing Raw Data'!$C:$O,4,0)),"")</f>
        <v/>
      </c>
      <c r="H3181" s="55" t="str">
        <f>IFERROR(IF(OR($B3181="",$B3181="(blank)"),"",VLOOKUP($B3181,'Email Marketing Raw Data'!$C:$O,5,0)),"")</f>
        <v/>
      </c>
      <c r="I3181" s="55" t="str">
        <f>IFERROR(IF($G3181="","",VLOOKUP('Dashboard And Emails Automate'!$G3181,Database!$H:$N,3,0)),"")</f>
        <v/>
      </c>
      <c r="J3181" s="55" t="str">
        <f>IFERROR(IF($G3181="","",VLOOKUP('Dashboard And Emails Automate'!$G3181,Database!$H:$N,4,0)),"")</f>
        <v/>
      </c>
      <c r="K3181" s="55" t="str">
        <f>IFERROR(IF($G3181="","",VLOOKUP('Dashboard And Emails Automate'!$G3181,Database!$H:$N,5,0)),"")</f>
        <v/>
      </c>
      <c r="L3181" s="55" t="str">
        <f>IFERROR(IF($G3181="","",VLOOKUP('Dashboard And Emails Automate'!$G3181,Database!$H:$N,6,0)),"")</f>
        <v/>
      </c>
      <c r="M3181" s="55" t="str">
        <f>IFERROR(IF($G3181="","",VLOOKUP('Dashboard And Emails Automate'!$G3181,Database!$H:$N,7,0)),"")</f>
        <v/>
      </c>
      <c r="N3181" s="55" t="str">
        <f>IFERROR(IF(OR($B3181="",$B3181="(blank)"),"",VLOOKUP($B3181,'Email Marketing Raw Data'!$C:$O,6,0)),"")</f>
        <v/>
      </c>
      <c r="O3181" s="55" t="str">
        <f>IFERROR(IF(OR($B3181="",$B3181="(blank)"),"",VLOOKUP($B3181,'Email Marketing Raw Data'!$C:$O,7,0)),"")</f>
        <v/>
      </c>
      <c r="P3181" s="55" t="str">
        <f>IFERROR(IF(OR($B3181="",$B3181="(blank)"),"",VLOOKUP($B3181,'Email Marketing Raw Data'!$C:$O,8,0)),"")</f>
        <v/>
      </c>
      <c r="Q3181" s="62" t="str">
        <f>IFERROR(IF(OR($B3181="",$B3181="(blank)"),"",VLOOKUP($B3181,'Email Marketing Raw Data'!$C:$O,9,0)),"")</f>
        <v/>
      </c>
    </row>
    <row r="3182" spans="4:17" ht="12.75" customHeight="1" x14ac:dyDescent="0.2">
      <c r="D3182" s="58" t="str">
        <f>IFERROR(IF(F3182&lt;&gt;"pending","",IF(OR($B3182="",$B3182="(blank)"),"",VLOOKUP($B3182,'Email Marketing Raw Data'!$C:$O,10,0))),"")</f>
        <v/>
      </c>
      <c r="E3182" s="59" t="str">
        <f>IFERROR(IF(F3182&lt;&gt;"pending","",IF(OR($B3182="",$B3182="(blank)"),"",VLOOKUP($B3182,'Email Marketing Raw Data'!$C:$O,11,0))),"")</f>
        <v/>
      </c>
      <c r="F3182" s="54" t="str">
        <f>IFERROR(IF(OR($B3182="",$B3182="(blank)"),"",VLOOKUP($B3182,'Email Marketing Raw Data'!$C:$O,13,0)),"")</f>
        <v/>
      </c>
      <c r="G3182" s="55" t="str">
        <f>IFERROR(IF(OR($B3182="",$B3182="(blank)"),"",VLOOKUP($B3182,'Email Marketing Raw Data'!$C:$O,4,0)),"")</f>
        <v/>
      </c>
      <c r="H3182" s="55" t="str">
        <f>IFERROR(IF(OR($B3182="",$B3182="(blank)"),"",VLOOKUP($B3182,'Email Marketing Raw Data'!$C:$O,5,0)),"")</f>
        <v/>
      </c>
      <c r="I3182" s="55" t="str">
        <f>IFERROR(IF($G3182="","",VLOOKUP('Dashboard And Emails Automate'!$G3182,Database!$H:$N,3,0)),"")</f>
        <v/>
      </c>
      <c r="J3182" s="55" t="str">
        <f>IFERROR(IF($G3182="","",VLOOKUP('Dashboard And Emails Automate'!$G3182,Database!$H:$N,4,0)),"")</f>
        <v/>
      </c>
      <c r="K3182" s="55" t="str">
        <f>IFERROR(IF($G3182="","",VLOOKUP('Dashboard And Emails Automate'!$G3182,Database!$H:$N,5,0)),"")</f>
        <v/>
      </c>
      <c r="L3182" s="55" t="str">
        <f>IFERROR(IF($G3182="","",VLOOKUP('Dashboard And Emails Automate'!$G3182,Database!$H:$N,6,0)),"")</f>
        <v/>
      </c>
      <c r="M3182" s="55" t="str">
        <f>IFERROR(IF($G3182="","",VLOOKUP('Dashboard And Emails Automate'!$G3182,Database!$H:$N,7,0)),"")</f>
        <v/>
      </c>
      <c r="N3182" s="55" t="str">
        <f>IFERROR(IF(OR($B3182="",$B3182="(blank)"),"",VLOOKUP($B3182,'Email Marketing Raw Data'!$C:$O,6,0)),"")</f>
        <v/>
      </c>
      <c r="O3182" s="55" t="str">
        <f>IFERROR(IF(OR($B3182="",$B3182="(blank)"),"",VLOOKUP($B3182,'Email Marketing Raw Data'!$C:$O,7,0)),"")</f>
        <v/>
      </c>
      <c r="P3182" s="55" t="str">
        <f>IFERROR(IF(OR($B3182="",$B3182="(blank)"),"",VLOOKUP($B3182,'Email Marketing Raw Data'!$C:$O,8,0)),"")</f>
        <v/>
      </c>
      <c r="Q3182" s="62" t="str">
        <f>IFERROR(IF(OR($B3182="",$B3182="(blank)"),"",VLOOKUP($B3182,'Email Marketing Raw Data'!$C:$O,9,0)),"")</f>
        <v/>
      </c>
    </row>
    <row r="3183" spans="4:17" ht="12.75" customHeight="1" x14ac:dyDescent="0.2">
      <c r="D3183" s="58" t="str">
        <f>IFERROR(IF(F3183&lt;&gt;"pending","",IF(OR($B3183="",$B3183="(blank)"),"",VLOOKUP($B3183,'Email Marketing Raw Data'!$C:$O,10,0))),"")</f>
        <v/>
      </c>
      <c r="E3183" s="59" t="str">
        <f>IFERROR(IF(F3183&lt;&gt;"pending","",IF(OR($B3183="",$B3183="(blank)"),"",VLOOKUP($B3183,'Email Marketing Raw Data'!$C:$O,11,0))),"")</f>
        <v/>
      </c>
      <c r="F3183" s="54" t="str">
        <f>IFERROR(IF(OR($B3183="",$B3183="(blank)"),"",VLOOKUP($B3183,'Email Marketing Raw Data'!$C:$O,13,0)),"")</f>
        <v/>
      </c>
      <c r="G3183" s="55" t="str">
        <f>IFERROR(IF(OR($B3183="",$B3183="(blank)"),"",VLOOKUP($B3183,'Email Marketing Raw Data'!$C:$O,4,0)),"")</f>
        <v/>
      </c>
      <c r="H3183" s="55" t="str">
        <f>IFERROR(IF(OR($B3183="",$B3183="(blank)"),"",VLOOKUP($B3183,'Email Marketing Raw Data'!$C:$O,5,0)),"")</f>
        <v/>
      </c>
      <c r="I3183" s="55" t="str">
        <f>IFERROR(IF($G3183="","",VLOOKUP('Dashboard And Emails Automate'!$G3183,Database!$H:$N,3,0)),"")</f>
        <v/>
      </c>
      <c r="J3183" s="55" t="str">
        <f>IFERROR(IF($G3183="","",VLOOKUP('Dashboard And Emails Automate'!$G3183,Database!$H:$N,4,0)),"")</f>
        <v/>
      </c>
      <c r="K3183" s="55" t="str">
        <f>IFERROR(IF($G3183="","",VLOOKUP('Dashboard And Emails Automate'!$G3183,Database!$H:$N,5,0)),"")</f>
        <v/>
      </c>
      <c r="L3183" s="55" t="str">
        <f>IFERROR(IF($G3183="","",VLOOKUP('Dashboard And Emails Automate'!$G3183,Database!$H:$N,6,0)),"")</f>
        <v/>
      </c>
      <c r="M3183" s="55" t="str">
        <f>IFERROR(IF($G3183="","",VLOOKUP('Dashboard And Emails Automate'!$G3183,Database!$H:$N,7,0)),"")</f>
        <v/>
      </c>
      <c r="N3183" s="55" t="str">
        <f>IFERROR(IF(OR($B3183="",$B3183="(blank)"),"",VLOOKUP($B3183,'Email Marketing Raw Data'!$C:$O,6,0)),"")</f>
        <v/>
      </c>
      <c r="O3183" s="55" t="str">
        <f>IFERROR(IF(OR($B3183="",$B3183="(blank)"),"",VLOOKUP($B3183,'Email Marketing Raw Data'!$C:$O,7,0)),"")</f>
        <v/>
      </c>
      <c r="P3183" s="55" t="str">
        <f>IFERROR(IF(OR($B3183="",$B3183="(blank)"),"",VLOOKUP($B3183,'Email Marketing Raw Data'!$C:$O,8,0)),"")</f>
        <v/>
      </c>
      <c r="Q3183" s="62" t="str">
        <f>IFERROR(IF(OR($B3183="",$B3183="(blank)"),"",VLOOKUP($B3183,'Email Marketing Raw Data'!$C:$O,9,0)),"")</f>
        <v/>
      </c>
    </row>
    <row r="3184" spans="4:17" ht="12.75" customHeight="1" x14ac:dyDescent="0.2">
      <c r="D3184" s="58" t="str">
        <f>IFERROR(IF(F3184&lt;&gt;"pending","",IF(OR($B3184="",$B3184="(blank)"),"",VLOOKUP($B3184,'Email Marketing Raw Data'!$C:$O,10,0))),"")</f>
        <v/>
      </c>
      <c r="E3184" s="59" t="str">
        <f>IFERROR(IF(F3184&lt;&gt;"pending","",IF(OR($B3184="",$B3184="(blank)"),"",VLOOKUP($B3184,'Email Marketing Raw Data'!$C:$O,11,0))),"")</f>
        <v/>
      </c>
      <c r="F3184" s="54" t="str">
        <f>IFERROR(IF(OR($B3184="",$B3184="(blank)"),"",VLOOKUP($B3184,'Email Marketing Raw Data'!$C:$O,13,0)),"")</f>
        <v/>
      </c>
      <c r="G3184" s="55" t="str">
        <f>IFERROR(IF(OR($B3184="",$B3184="(blank)"),"",VLOOKUP($B3184,'Email Marketing Raw Data'!$C:$O,4,0)),"")</f>
        <v/>
      </c>
      <c r="H3184" s="55" t="str">
        <f>IFERROR(IF(OR($B3184="",$B3184="(blank)"),"",VLOOKUP($B3184,'Email Marketing Raw Data'!$C:$O,5,0)),"")</f>
        <v/>
      </c>
      <c r="I3184" s="55" t="str">
        <f>IFERROR(IF($G3184="","",VLOOKUP('Dashboard And Emails Automate'!$G3184,Database!$H:$N,3,0)),"")</f>
        <v/>
      </c>
      <c r="J3184" s="55" t="str">
        <f>IFERROR(IF($G3184="","",VLOOKUP('Dashboard And Emails Automate'!$G3184,Database!$H:$N,4,0)),"")</f>
        <v/>
      </c>
      <c r="K3184" s="55" t="str">
        <f>IFERROR(IF($G3184="","",VLOOKUP('Dashboard And Emails Automate'!$G3184,Database!$H:$N,5,0)),"")</f>
        <v/>
      </c>
      <c r="L3184" s="55" t="str">
        <f>IFERROR(IF($G3184="","",VLOOKUP('Dashboard And Emails Automate'!$G3184,Database!$H:$N,6,0)),"")</f>
        <v/>
      </c>
      <c r="M3184" s="55" t="str">
        <f>IFERROR(IF($G3184="","",VLOOKUP('Dashboard And Emails Automate'!$G3184,Database!$H:$N,7,0)),"")</f>
        <v/>
      </c>
      <c r="N3184" s="55" t="str">
        <f>IFERROR(IF(OR($B3184="",$B3184="(blank)"),"",VLOOKUP($B3184,'Email Marketing Raw Data'!$C:$O,6,0)),"")</f>
        <v/>
      </c>
      <c r="O3184" s="55" t="str">
        <f>IFERROR(IF(OR($B3184="",$B3184="(blank)"),"",VLOOKUP($B3184,'Email Marketing Raw Data'!$C:$O,7,0)),"")</f>
        <v/>
      </c>
      <c r="P3184" s="55" t="str">
        <f>IFERROR(IF(OR($B3184="",$B3184="(blank)"),"",VLOOKUP($B3184,'Email Marketing Raw Data'!$C:$O,8,0)),"")</f>
        <v/>
      </c>
      <c r="Q3184" s="62" t="str">
        <f>IFERROR(IF(OR($B3184="",$B3184="(blank)"),"",VLOOKUP($B3184,'Email Marketing Raw Data'!$C:$O,9,0)),"")</f>
        <v/>
      </c>
    </row>
    <row r="3185" spans="4:17" ht="12.75" customHeight="1" x14ac:dyDescent="0.2">
      <c r="D3185" s="58" t="str">
        <f>IFERROR(IF(F3185&lt;&gt;"pending","",IF(OR($B3185="",$B3185="(blank)"),"",VLOOKUP($B3185,'Email Marketing Raw Data'!$C:$O,10,0))),"")</f>
        <v/>
      </c>
      <c r="E3185" s="59" t="str">
        <f>IFERROR(IF(F3185&lt;&gt;"pending","",IF(OR($B3185="",$B3185="(blank)"),"",VLOOKUP($B3185,'Email Marketing Raw Data'!$C:$O,11,0))),"")</f>
        <v/>
      </c>
      <c r="F3185" s="54" t="str">
        <f>IFERROR(IF(OR($B3185="",$B3185="(blank)"),"",VLOOKUP($B3185,'Email Marketing Raw Data'!$C:$O,13,0)),"")</f>
        <v/>
      </c>
      <c r="G3185" s="55" t="str">
        <f>IFERROR(IF(OR($B3185="",$B3185="(blank)"),"",VLOOKUP($B3185,'Email Marketing Raw Data'!$C:$O,4,0)),"")</f>
        <v/>
      </c>
      <c r="H3185" s="55" t="str">
        <f>IFERROR(IF(OR($B3185="",$B3185="(blank)"),"",VLOOKUP($B3185,'Email Marketing Raw Data'!$C:$O,5,0)),"")</f>
        <v/>
      </c>
      <c r="I3185" s="55" t="str">
        <f>IFERROR(IF($G3185="","",VLOOKUP('Dashboard And Emails Automate'!$G3185,Database!$H:$N,3,0)),"")</f>
        <v/>
      </c>
      <c r="J3185" s="55" t="str">
        <f>IFERROR(IF($G3185="","",VLOOKUP('Dashboard And Emails Automate'!$G3185,Database!$H:$N,4,0)),"")</f>
        <v/>
      </c>
      <c r="K3185" s="55" t="str">
        <f>IFERROR(IF($G3185="","",VLOOKUP('Dashboard And Emails Automate'!$G3185,Database!$H:$N,5,0)),"")</f>
        <v/>
      </c>
      <c r="L3185" s="55" t="str">
        <f>IFERROR(IF($G3185="","",VLOOKUP('Dashboard And Emails Automate'!$G3185,Database!$H:$N,6,0)),"")</f>
        <v/>
      </c>
      <c r="M3185" s="55" t="str">
        <f>IFERROR(IF($G3185="","",VLOOKUP('Dashboard And Emails Automate'!$G3185,Database!$H:$N,7,0)),"")</f>
        <v/>
      </c>
      <c r="N3185" s="55" t="str">
        <f>IFERROR(IF(OR($B3185="",$B3185="(blank)"),"",VLOOKUP($B3185,'Email Marketing Raw Data'!$C:$O,6,0)),"")</f>
        <v/>
      </c>
      <c r="O3185" s="55" t="str">
        <f>IFERROR(IF(OR($B3185="",$B3185="(blank)"),"",VLOOKUP($B3185,'Email Marketing Raw Data'!$C:$O,7,0)),"")</f>
        <v/>
      </c>
      <c r="P3185" s="55" t="str">
        <f>IFERROR(IF(OR($B3185="",$B3185="(blank)"),"",VLOOKUP($B3185,'Email Marketing Raw Data'!$C:$O,8,0)),"")</f>
        <v/>
      </c>
      <c r="Q3185" s="62" t="str">
        <f>IFERROR(IF(OR($B3185="",$B3185="(blank)"),"",VLOOKUP($B3185,'Email Marketing Raw Data'!$C:$O,9,0)),"")</f>
        <v/>
      </c>
    </row>
    <row r="3186" spans="4:17" ht="12.75" customHeight="1" x14ac:dyDescent="0.2">
      <c r="D3186" s="58" t="str">
        <f>IFERROR(IF(F3186&lt;&gt;"pending","",IF(OR($B3186="",$B3186="(blank)"),"",VLOOKUP($B3186,'Email Marketing Raw Data'!$C:$O,10,0))),"")</f>
        <v/>
      </c>
      <c r="E3186" s="59" t="str">
        <f>IFERROR(IF(F3186&lt;&gt;"pending","",IF(OR($B3186="",$B3186="(blank)"),"",VLOOKUP($B3186,'Email Marketing Raw Data'!$C:$O,11,0))),"")</f>
        <v/>
      </c>
      <c r="F3186" s="54" t="str">
        <f>IFERROR(IF(OR($B3186="",$B3186="(blank)"),"",VLOOKUP($B3186,'Email Marketing Raw Data'!$C:$O,13,0)),"")</f>
        <v/>
      </c>
      <c r="G3186" s="55" t="str">
        <f>IFERROR(IF(OR($B3186="",$B3186="(blank)"),"",VLOOKUP($B3186,'Email Marketing Raw Data'!$C:$O,4,0)),"")</f>
        <v/>
      </c>
      <c r="H3186" s="55" t="str">
        <f>IFERROR(IF(OR($B3186="",$B3186="(blank)"),"",VLOOKUP($B3186,'Email Marketing Raw Data'!$C:$O,5,0)),"")</f>
        <v/>
      </c>
      <c r="I3186" s="55" t="str">
        <f>IFERROR(IF($G3186="","",VLOOKUP('Dashboard And Emails Automate'!$G3186,Database!$H:$N,3,0)),"")</f>
        <v/>
      </c>
      <c r="J3186" s="55" t="str">
        <f>IFERROR(IF($G3186="","",VLOOKUP('Dashboard And Emails Automate'!$G3186,Database!$H:$N,4,0)),"")</f>
        <v/>
      </c>
      <c r="K3186" s="55" t="str">
        <f>IFERROR(IF($G3186="","",VLOOKUP('Dashboard And Emails Automate'!$G3186,Database!$H:$N,5,0)),"")</f>
        <v/>
      </c>
      <c r="L3186" s="55" t="str">
        <f>IFERROR(IF($G3186="","",VLOOKUP('Dashboard And Emails Automate'!$G3186,Database!$H:$N,6,0)),"")</f>
        <v/>
      </c>
      <c r="M3186" s="55" t="str">
        <f>IFERROR(IF($G3186="","",VLOOKUP('Dashboard And Emails Automate'!$G3186,Database!$H:$N,7,0)),"")</f>
        <v/>
      </c>
      <c r="N3186" s="55" t="str">
        <f>IFERROR(IF(OR($B3186="",$B3186="(blank)"),"",VLOOKUP($B3186,'Email Marketing Raw Data'!$C:$O,6,0)),"")</f>
        <v/>
      </c>
      <c r="O3186" s="55" t="str">
        <f>IFERROR(IF(OR($B3186="",$B3186="(blank)"),"",VLOOKUP($B3186,'Email Marketing Raw Data'!$C:$O,7,0)),"")</f>
        <v/>
      </c>
      <c r="P3186" s="55" t="str">
        <f>IFERROR(IF(OR($B3186="",$B3186="(blank)"),"",VLOOKUP($B3186,'Email Marketing Raw Data'!$C:$O,8,0)),"")</f>
        <v/>
      </c>
      <c r="Q3186" s="62" t="str">
        <f>IFERROR(IF(OR($B3186="",$B3186="(blank)"),"",VLOOKUP($B3186,'Email Marketing Raw Data'!$C:$O,9,0)),"")</f>
        <v/>
      </c>
    </row>
    <row r="3187" spans="4:17" ht="12.75" customHeight="1" x14ac:dyDescent="0.2">
      <c r="D3187" s="58" t="str">
        <f>IFERROR(IF(F3187&lt;&gt;"pending","",IF(OR($B3187="",$B3187="(blank)"),"",VLOOKUP($B3187,'Email Marketing Raw Data'!$C:$O,10,0))),"")</f>
        <v/>
      </c>
      <c r="E3187" s="59" t="str">
        <f>IFERROR(IF(F3187&lt;&gt;"pending","",IF(OR($B3187="",$B3187="(blank)"),"",VLOOKUP($B3187,'Email Marketing Raw Data'!$C:$O,11,0))),"")</f>
        <v/>
      </c>
      <c r="F3187" s="54" t="str">
        <f>IFERROR(IF(OR($B3187="",$B3187="(blank)"),"",VLOOKUP($B3187,'Email Marketing Raw Data'!$C:$O,13,0)),"")</f>
        <v/>
      </c>
      <c r="G3187" s="55" t="str">
        <f>IFERROR(IF(OR($B3187="",$B3187="(blank)"),"",VLOOKUP($B3187,'Email Marketing Raw Data'!$C:$O,4,0)),"")</f>
        <v/>
      </c>
      <c r="H3187" s="55" t="str">
        <f>IFERROR(IF(OR($B3187="",$B3187="(blank)"),"",VLOOKUP($B3187,'Email Marketing Raw Data'!$C:$O,5,0)),"")</f>
        <v/>
      </c>
      <c r="I3187" s="55" t="str">
        <f>IFERROR(IF($G3187="","",VLOOKUP('Dashboard And Emails Automate'!$G3187,Database!$H:$N,3,0)),"")</f>
        <v/>
      </c>
      <c r="J3187" s="55" t="str">
        <f>IFERROR(IF($G3187="","",VLOOKUP('Dashboard And Emails Automate'!$G3187,Database!$H:$N,4,0)),"")</f>
        <v/>
      </c>
      <c r="K3187" s="55" t="str">
        <f>IFERROR(IF($G3187="","",VLOOKUP('Dashboard And Emails Automate'!$G3187,Database!$H:$N,5,0)),"")</f>
        <v/>
      </c>
      <c r="L3187" s="55" t="str">
        <f>IFERROR(IF($G3187="","",VLOOKUP('Dashboard And Emails Automate'!$G3187,Database!$H:$N,6,0)),"")</f>
        <v/>
      </c>
      <c r="M3187" s="55" t="str">
        <f>IFERROR(IF($G3187="","",VLOOKUP('Dashboard And Emails Automate'!$G3187,Database!$H:$N,7,0)),"")</f>
        <v/>
      </c>
      <c r="N3187" s="55" t="str">
        <f>IFERROR(IF(OR($B3187="",$B3187="(blank)"),"",VLOOKUP($B3187,'Email Marketing Raw Data'!$C:$O,6,0)),"")</f>
        <v/>
      </c>
      <c r="O3187" s="55" t="str">
        <f>IFERROR(IF(OR($B3187="",$B3187="(blank)"),"",VLOOKUP($B3187,'Email Marketing Raw Data'!$C:$O,7,0)),"")</f>
        <v/>
      </c>
      <c r="P3187" s="55" t="str">
        <f>IFERROR(IF(OR($B3187="",$B3187="(blank)"),"",VLOOKUP($B3187,'Email Marketing Raw Data'!$C:$O,8,0)),"")</f>
        <v/>
      </c>
      <c r="Q3187" s="62" t="str">
        <f>IFERROR(IF(OR($B3187="",$B3187="(blank)"),"",VLOOKUP($B3187,'Email Marketing Raw Data'!$C:$O,9,0)),"")</f>
        <v/>
      </c>
    </row>
    <row r="3188" spans="4:17" ht="12.75" customHeight="1" x14ac:dyDescent="0.2">
      <c r="D3188" s="58" t="str">
        <f>IFERROR(IF(F3188&lt;&gt;"pending","",IF(OR($B3188="",$B3188="(blank)"),"",VLOOKUP($B3188,'Email Marketing Raw Data'!$C:$O,10,0))),"")</f>
        <v/>
      </c>
      <c r="E3188" s="59" t="str">
        <f>IFERROR(IF(F3188&lt;&gt;"pending","",IF(OR($B3188="",$B3188="(blank)"),"",VLOOKUP($B3188,'Email Marketing Raw Data'!$C:$O,11,0))),"")</f>
        <v/>
      </c>
      <c r="F3188" s="54" t="str">
        <f>IFERROR(IF(OR($B3188="",$B3188="(blank)"),"",VLOOKUP($B3188,'Email Marketing Raw Data'!$C:$O,13,0)),"")</f>
        <v/>
      </c>
      <c r="G3188" s="55" t="str">
        <f>IFERROR(IF(OR($B3188="",$B3188="(blank)"),"",VLOOKUP($B3188,'Email Marketing Raw Data'!$C:$O,4,0)),"")</f>
        <v/>
      </c>
      <c r="H3188" s="55" t="str">
        <f>IFERROR(IF(OR($B3188="",$B3188="(blank)"),"",VLOOKUP($B3188,'Email Marketing Raw Data'!$C:$O,5,0)),"")</f>
        <v/>
      </c>
      <c r="I3188" s="55" t="str">
        <f>IFERROR(IF($G3188="","",VLOOKUP('Dashboard And Emails Automate'!$G3188,Database!$H:$N,3,0)),"")</f>
        <v/>
      </c>
      <c r="J3188" s="55" t="str">
        <f>IFERROR(IF($G3188="","",VLOOKUP('Dashboard And Emails Automate'!$G3188,Database!$H:$N,4,0)),"")</f>
        <v/>
      </c>
      <c r="K3188" s="55" t="str">
        <f>IFERROR(IF($G3188="","",VLOOKUP('Dashboard And Emails Automate'!$G3188,Database!$H:$N,5,0)),"")</f>
        <v/>
      </c>
      <c r="L3188" s="55" t="str">
        <f>IFERROR(IF($G3188="","",VLOOKUP('Dashboard And Emails Automate'!$G3188,Database!$H:$N,6,0)),"")</f>
        <v/>
      </c>
      <c r="M3188" s="55" t="str">
        <f>IFERROR(IF($G3188="","",VLOOKUP('Dashboard And Emails Automate'!$G3188,Database!$H:$N,7,0)),"")</f>
        <v/>
      </c>
      <c r="N3188" s="55" t="str">
        <f>IFERROR(IF(OR($B3188="",$B3188="(blank)"),"",VLOOKUP($B3188,'Email Marketing Raw Data'!$C:$O,6,0)),"")</f>
        <v/>
      </c>
      <c r="O3188" s="55" t="str">
        <f>IFERROR(IF(OR($B3188="",$B3188="(blank)"),"",VLOOKUP($B3188,'Email Marketing Raw Data'!$C:$O,7,0)),"")</f>
        <v/>
      </c>
      <c r="P3188" s="55" t="str">
        <f>IFERROR(IF(OR($B3188="",$B3188="(blank)"),"",VLOOKUP($B3188,'Email Marketing Raw Data'!$C:$O,8,0)),"")</f>
        <v/>
      </c>
      <c r="Q3188" s="62" t="str">
        <f>IFERROR(IF(OR($B3188="",$B3188="(blank)"),"",VLOOKUP($B3188,'Email Marketing Raw Data'!$C:$O,9,0)),"")</f>
        <v/>
      </c>
    </row>
    <row r="3189" spans="4:17" ht="12.75" customHeight="1" x14ac:dyDescent="0.2">
      <c r="D3189" s="58" t="str">
        <f>IFERROR(IF(F3189&lt;&gt;"pending","",IF(OR($B3189="",$B3189="(blank)"),"",VLOOKUP($B3189,'Email Marketing Raw Data'!$C:$O,10,0))),"")</f>
        <v/>
      </c>
      <c r="E3189" s="59" t="str">
        <f>IFERROR(IF(F3189&lt;&gt;"pending","",IF(OR($B3189="",$B3189="(blank)"),"",VLOOKUP($B3189,'Email Marketing Raw Data'!$C:$O,11,0))),"")</f>
        <v/>
      </c>
      <c r="F3189" s="54" t="str">
        <f>IFERROR(IF(OR($B3189="",$B3189="(blank)"),"",VLOOKUP($B3189,'Email Marketing Raw Data'!$C:$O,13,0)),"")</f>
        <v/>
      </c>
      <c r="G3189" s="55" t="str">
        <f>IFERROR(IF(OR($B3189="",$B3189="(blank)"),"",VLOOKUP($B3189,'Email Marketing Raw Data'!$C:$O,4,0)),"")</f>
        <v/>
      </c>
      <c r="H3189" s="55" t="str">
        <f>IFERROR(IF(OR($B3189="",$B3189="(blank)"),"",VLOOKUP($B3189,'Email Marketing Raw Data'!$C:$O,5,0)),"")</f>
        <v/>
      </c>
      <c r="I3189" s="55" t="str">
        <f>IFERROR(IF($G3189="","",VLOOKUP('Dashboard And Emails Automate'!$G3189,Database!$H:$N,3,0)),"")</f>
        <v/>
      </c>
      <c r="J3189" s="55" t="str">
        <f>IFERROR(IF($G3189="","",VLOOKUP('Dashboard And Emails Automate'!$G3189,Database!$H:$N,4,0)),"")</f>
        <v/>
      </c>
      <c r="K3189" s="55" t="str">
        <f>IFERROR(IF($G3189="","",VLOOKUP('Dashboard And Emails Automate'!$G3189,Database!$H:$N,5,0)),"")</f>
        <v/>
      </c>
      <c r="L3189" s="55" t="str">
        <f>IFERROR(IF($G3189="","",VLOOKUP('Dashboard And Emails Automate'!$G3189,Database!$H:$N,6,0)),"")</f>
        <v/>
      </c>
      <c r="M3189" s="55" t="str">
        <f>IFERROR(IF($G3189="","",VLOOKUP('Dashboard And Emails Automate'!$G3189,Database!$H:$N,7,0)),"")</f>
        <v/>
      </c>
      <c r="N3189" s="55" t="str">
        <f>IFERROR(IF(OR($B3189="",$B3189="(blank)"),"",VLOOKUP($B3189,'Email Marketing Raw Data'!$C:$O,6,0)),"")</f>
        <v/>
      </c>
      <c r="O3189" s="55" t="str">
        <f>IFERROR(IF(OR($B3189="",$B3189="(blank)"),"",VLOOKUP($B3189,'Email Marketing Raw Data'!$C:$O,7,0)),"")</f>
        <v/>
      </c>
      <c r="P3189" s="55" t="str">
        <f>IFERROR(IF(OR($B3189="",$B3189="(blank)"),"",VLOOKUP($B3189,'Email Marketing Raw Data'!$C:$O,8,0)),"")</f>
        <v/>
      </c>
      <c r="Q3189" s="62" t="str">
        <f>IFERROR(IF(OR($B3189="",$B3189="(blank)"),"",VLOOKUP($B3189,'Email Marketing Raw Data'!$C:$O,9,0)),"")</f>
        <v/>
      </c>
    </row>
    <row r="3190" spans="4:17" ht="12.75" customHeight="1" x14ac:dyDescent="0.2">
      <c r="D3190" s="58" t="str">
        <f>IFERROR(IF(F3190&lt;&gt;"pending","",IF(OR($B3190="",$B3190="(blank)"),"",VLOOKUP($B3190,'Email Marketing Raw Data'!$C:$O,10,0))),"")</f>
        <v/>
      </c>
      <c r="E3190" s="59" t="str">
        <f>IFERROR(IF(F3190&lt;&gt;"pending","",IF(OR($B3190="",$B3190="(blank)"),"",VLOOKUP($B3190,'Email Marketing Raw Data'!$C:$O,11,0))),"")</f>
        <v/>
      </c>
      <c r="F3190" s="54" t="str">
        <f>IFERROR(IF(OR($B3190="",$B3190="(blank)"),"",VLOOKUP($B3190,'Email Marketing Raw Data'!$C:$O,13,0)),"")</f>
        <v/>
      </c>
      <c r="G3190" s="55" t="str">
        <f>IFERROR(IF(OR($B3190="",$B3190="(blank)"),"",VLOOKUP($B3190,'Email Marketing Raw Data'!$C:$O,4,0)),"")</f>
        <v/>
      </c>
      <c r="H3190" s="55" t="str">
        <f>IFERROR(IF(OR($B3190="",$B3190="(blank)"),"",VLOOKUP($B3190,'Email Marketing Raw Data'!$C:$O,5,0)),"")</f>
        <v/>
      </c>
      <c r="I3190" s="55" t="str">
        <f>IFERROR(IF($G3190="","",VLOOKUP('Dashboard And Emails Automate'!$G3190,Database!$H:$N,3,0)),"")</f>
        <v/>
      </c>
      <c r="J3190" s="55" t="str">
        <f>IFERROR(IF($G3190="","",VLOOKUP('Dashboard And Emails Automate'!$G3190,Database!$H:$N,4,0)),"")</f>
        <v/>
      </c>
      <c r="K3190" s="55" t="str">
        <f>IFERROR(IF($G3190="","",VLOOKUP('Dashboard And Emails Automate'!$G3190,Database!$H:$N,5,0)),"")</f>
        <v/>
      </c>
      <c r="L3190" s="55" t="str">
        <f>IFERROR(IF($G3190="","",VLOOKUP('Dashboard And Emails Automate'!$G3190,Database!$H:$N,6,0)),"")</f>
        <v/>
      </c>
      <c r="M3190" s="55" t="str">
        <f>IFERROR(IF($G3190="","",VLOOKUP('Dashboard And Emails Automate'!$G3190,Database!$H:$N,7,0)),"")</f>
        <v/>
      </c>
      <c r="N3190" s="55" t="str">
        <f>IFERROR(IF(OR($B3190="",$B3190="(blank)"),"",VLOOKUP($B3190,'Email Marketing Raw Data'!$C:$O,6,0)),"")</f>
        <v/>
      </c>
      <c r="O3190" s="55" t="str">
        <f>IFERROR(IF(OR($B3190="",$B3190="(blank)"),"",VLOOKUP($B3190,'Email Marketing Raw Data'!$C:$O,7,0)),"")</f>
        <v/>
      </c>
      <c r="P3190" s="55" t="str">
        <f>IFERROR(IF(OR($B3190="",$B3190="(blank)"),"",VLOOKUP($B3190,'Email Marketing Raw Data'!$C:$O,8,0)),"")</f>
        <v/>
      </c>
      <c r="Q3190" s="62" t="str">
        <f>IFERROR(IF(OR($B3190="",$B3190="(blank)"),"",VLOOKUP($B3190,'Email Marketing Raw Data'!$C:$O,9,0)),"")</f>
        <v/>
      </c>
    </row>
    <row r="3191" spans="4:17" ht="12.75" customHeight="1" x14ac:dyDescent="0.2">
      <c r="D3191" s="58" t="str">
        <f>IFERROR(IF(F3191&lt;&gt;"pending","",IF(OR($B3191="",$B3191="(blank)"),"",VLOOKUP($B3191,'Email Marketing Raw Data'!$C:$O,10,0))),"")</f>
        <v/>
      </c>
      <c r="E3191" s="59" t="str">
        <f>IFERROR(IF(F3191&lt;&gt;"pending","",IF(OR($B3191="",$B3191="(blank)"),"",VLOOKUP($B3191,'Email Marketing Raw Data'!$C:$O,11,0))),"")</f>
        <v/>
      </c>
      <c r="F3191" s="54" t="str">
        <f>IFERROR(IF(OR($B3191="",$B3191="(blank)"),"",VLOOKUP($B3191,'Email Marketing Raw Data'!$C:$O,13,0)),"")</f>
        <v/>
      </c>
      <c r="G3191" s="55" t="str">
        <f>IFERROR(IF(OR($B3191="",$B3191="(blank)"),"",VLOOKUP($B3191,'Email Marketing Raw Data'!$C:$O,4,0)),"")</f>
        <v/>
      </c>
      <c r="H3191" s="55" t="str">
        <f>IFERROR(IF(OR($B3191="",$B3191="(blank)"),"",VLOOKUP($B3191,'Email Marketing Raw Data'!$C:$O,5,0)),"")</f>
        <v/>
      </c>
      <c r="I3191" s="55" t="str">
        <f>IFERROR(IF($G3191="","",VLOOKUP('Dashboard And Emails Automate'!$G3191,Database!$H:$N,3,0)),"")</f>
        <v/>
      </c>
      <c r="J3191" s="55" t="str">
        <f>IFERROR(IF($G3191="","",VLOOKUP('Dashboard And Emails Automate'!$G3191,Database!$H:$N,4,0)),"")</f>
        <v/>
      </c>
      <c r="K3191" s="55" t="str">
        <f>IFERROR(IF($G3191="","",VLOOKUP('Dashboard And Emails Automate'!$G3191,Database!$H:$N,5,0)),"")</f>
        <v/>
      </c>
      <c r="L3191" s="55" t="str">
        <f>IFERROR(IF($G3191="","",VLOOKUP('Dashboard And Emails Automate'!$G3191,Database!$H:$N,6,0)),"")</f>
        <v/>
      </c>
      <c r="M3191" s="55" t="str">
        <f>IFERROR(IF($G3191="","",VLOOKUP('Dashboard And Emails Automate'!$G3191,Database!$H:$N,7,0)),"")</f>
        <v/>
      </c>
      <c r="N3191" s="55" t="str">
        <f>IFERROR(IF(OR($B3191="",$B3191="(blank)"),"",VLOOKUP($B3191,'Email Marketing Raw Data'!$C:$O,6,0)),"")</f>
        <v/>
      </c>
      <c r="O3191" s="55" t="str">
        <f>IFERROR(IF(OR($B3191="",$B3191="(blank)"),"",VLOOKUP($B3191,'Email Marketing Raw Data'!$C:$O,7,0)),"")</f>
        <v/>
      </c>
      <c r="P3191" s="55" t="str">
        <f>IFERROR(IF(OR($B3191="",$B3191="(blank)"),"",VLOOKUP($B3191,'Email Marketing Raw Data'!$C:$O,8,0)),"")</f>
        <v/>
      </c>
      <c r="Q3191" s="62" t="str">
        <f>IFERROR(IF(OR($B3191="",$B3191="(blank)"),"",VLOOKUP($B3191,'Email Marketing Raw Data'!$C:$O,9,0)),"")</f>
        <v/>
      </c>
    </row>
    <row r="3192" spans="4:17" ht="12.75" customHeight="1" x14ac:dyDescent="0.2">
      <c r="D3192" s="58" t="str">
        <f>IFERROR(IF(F3192&lt;&gt;"pending","",IF(OR($B3192="",$B3192="(blank)"),"",VLOOKUP($B3192,'Email Marketing Raw Data'!$C:$O,10,0))),"")</f>
        <v/>
      </c>
      <c r="E3192" s="59" t="str">
        <f>IFERROR(IF(F3192&lt;&gt;"pending","",IF(OR($B3192="",$B3192="(blank)"),"",VLOOKUP($B3192,'Email Marketing Raw Data'!$C:$O,11,0))),"")</f>
        <v/>
      </c>
      <c r="F3192" s="54" t="str">
        <f>IFERROR(IF(OR($B3192="",$B3192="(blank)"),"",VLOOKUP($B3192,'Email Marketing Raw Data'!$C:$O,13,0)),"")</f>
        <v/>
      </c>
      <c r="G3192" s="55" t="str">
        <f>IFERROR(IF(OR($B3192="",$B3192="(blank)"),"",VLOOKUP($B3192,'Email Marketing Raw Data'!$C:$O,4,0)),"")</f>
        <v/>
      </c>
      <c r="H3192" s="55" t="str">
        <f>IFERROR(IF(OR($B3192="",$B3192="(blank)"),"",VLOOKUP($B3192,'Email Marketing Raw Data'!$C:$O,5,0)),"")</f>
        <v/>
      </c>
      <c r="I3192" s="55" t="str">
        <f>IFERROR(IF($G3192="","",VLOOKUP('Dashboard And Emails Automate'!$G3192,Database!$H:$N,3,0)),"")</f>
        <v/>
      </c>
      <c r="J3192" s="55" t="str">
        <f>IFERROR(IF($G3192="","",VLOOKUP('Dashboard And Emails Automate'!$G3192,Database!$H:$N,4,0)),"")</f>
        <v/>
      </c>
      <c r="K3192" s="55" t="str">
        <f>IFERROR(IF($G3192="","",VLOOKUP('Dashboard And Emails Automate'!$G3192,Database!$H:$N,5,0)),"")</f>
        <v/>
      </c>
      <c r="L3192" s="55" t="str">
        <f>IFERROR(IF($G3192="","",VLOOKUP('Dashboard And Emails Automate'!$G3192,Database!$H:$N,6,0)),"")</f>
        <v/>
      </c>
      <c r="M3192" s="55" t="str">
        <f>IFERROR(IF($G3192="","",VLOOKUP('Dashboard And Emails Automate'!$G3192,Database!$H:$N,7,0)),"")</f>
        <v/>
      </c>
      <c r="N3192" s="55" t="str">
        <f>IFERROR(IF(OR($B3192="",$B3192="(blank)"),"",VLOOKUP($B3192,'Email Marketing Raw Data'!$C:$O,6,0)),"")</f>
        <v/>
      </c>
      <c r="O3192" s="55" t="str">
        <f>IFERROR(IF(OR($B3192="",$B3192="(blank)"),"",VLOOKUP($B3192,'Email Marketing Raw Data'!$C:$O,7,0)),"")</f>
        <v/>
      </c>
      <c r="P3192" s="55" t="str">
        <f>IFERROR(IF(OR($B3192="",$B3192="(blank)"),"",VLOOKUP($B3192,'Email Marketing Raw Data'!$C:$O,8,0)),"")</f>
        <v/>
      </c>
      <c r="Q3192" s="62" t="str">
        <f>IFERROR(IF(OR($B3192="",$B3192="(blank)"),"",VLOOKUP($B3192,'Email Marketing Raw Data'!$C:$O,9,0)),"")</f>
        <v/>
      </c>
    </row>
    <row r="3193" spans="4:17" ht="12.75" customHeight="1" x14ac:dyDescent="0.2">
      <c r="D3193" s="58" t="str">
        <f>IFERROR(IF(F3193&lt;&gt;"pending","",IF(OR($B3193="",$B3193="(blank)"),"",VLOOKUP($B3193,'Email Marketing Raw Data'!$C:$O,10,0))),"")</f>
        <v/>
      </c>
      <c r="E3193" s="59" t="str">
        <f>IFERROR(IF(F3193&lt;&gt;"pending","",IF(OR($B3193="",$B3193="(blank)"),"",VLOOKUP($B3193,'Email Marketing Raw Data'!$C:$O,11,0))),"")</f>
        <v/>
      </c>
      <c r="F3193" s="54" t="str">
        <f>IFERROR(IF(OR($B3193="",$B3193="(blank)"),"",VLOOKUP($B3193,'Email Marketing Raw Data'!$C:$O,13,0)),"")</f>
        <v/>
      </c>
      <c r="G3193" s="55" t="str">
        <f>IFERROR(IF(OR($B3193="",$B3193="(blank)"),"",VLOOKUP($B3193,'Email Marketing Raw Data'!$C:$O,4,0)),"")</f>
        <v/>
      </c>
      <c r="H3193" s="55" t="str">
        <f>IFERROR(IF(OR($B3193="",$B3193="(blank)"),"",VLOOKUP($B3193,'Email Marketing Raw Data'!$C:$O,5,0)),"")</f>
        <v/>
      </c>
      <c r="I3193" s="55" t="str">
        <f>IFERROR(IF($G3193="","",VLOOKUP('Dashboard And Emails Automate'!$G3193,Database!$H:$N,3,0)),"")</f>
        <v/>
      </c>
      <c r="J3193" s="55" t="str">
        <f>IFERROR(IF($G3193="","",VLOOKUP('Dashboard And Emails Automate'!$G3193,Database!$H:$N,4,0)),"")</f>
        <v/>
      </c>
      <c r="K3193" s="55" t="str">
        <f>IFERROR(IF($G3193="","",VLOOKUP('Dashboard And Emails Automate'!$G3193,Database!$H:$N,5,0)),"")</f>
        <v/>
      </c>
      <c r="L3193" s="55" t="str">
        <f>IFERROR(IF($G3193="","",VLOOKUP('Dashboard And Emails Automate'!$G3193,Database!$H:$N,6,0)),"")</f>
        <v/>
      </c>
      <c r="M3193" s="55" t="str">
        <f>IFERROR(IF($G3193="","",VLOOKUP('Dashboard And Emails Automate'!$G3193,Database!$H:$N,7,0)),"")</f>
        <v/>
      </c>
      <c r="N3193" s="55" t="str">
        <f>IFERROR(IF(OR($B3193="",$B3193="(blank)"),"",VLOOKUP($B3193,'Email Marketing Raw Data'!$C:$O,6,0)),"")</f>
        <v/>
      </c>
      <c r="O3193" s="55" t="str">
        <f>IFERROR(IF(OR($B3193="",$B3193="(blank)"),"",VLOOKUP($B3193,'Email Marketing Raw Data'!$C:$O,7,0)),"")</f>
        <v/>
      </c>
      <c r="P3193" s="55" t="str">
        <f>IFERROR(IF(OR($B3193="",$B3193="(blank)"),"",VLOOKUP($B3193,'Email Marketing Raw Data'!$C:$O,8,0)),"")</f>
        <v/>
      </c>
      <c r="Q3193" s="62" t="str">
        <f>IFERROR(IF(OR($B3193="",$B3193="(blank)"),"",VLOOKUP($B3193,'Email Marketing Raw Data'!$C:$O,9,0)),"")</f>
        <v/>
      </c>
    </row>
    <row r="3194" spans="4:17" ht="12.75" customHeight="1" x14ac:dyDescent="0.2">
      <c r="D3194" s="58" t="str">
        <f>IFERROR(IF(F3194&lt;&gt;"pending","",IF(OR($B3194="",$B3194="(blank)"),"",VLOOKUP($B3194,'Email Marketing Raw Data'!$C:$O,10,0))),"")</f>
        <v/>
      </c>
      <c r="E3194" s="59" t="str">
        <f>IFERROR(IF(F3194&lt;&gt;"pending","",IF(OR($B3194="",$B3194="(blank)"),"",VLOOKUP($B3194,'Email Marketing Raw Data'!$C:$O,11,0))),"")</f>
        <v/>
      </c>
      <c r="F3194" s="54" t="str">
        <f>IFERROR(IF(OR($B3194="",$B3194="(blank)"),"",VLOOKUP($B3194,'Email Marketing Raw Data'!$C:$O,13,0)),"")</f>
        <v/>
      </c>
      <c r="G3194" s="55" t="str">
        <f>IFERROR(IF(OR($B3194="",$B3194="(blank)"),"",VLOOKUP($B3194,'Email Marketing Raw Data'!$C:$O,4,0)),"")</f>
        <v/>
      </c>
      <c r="H3194" s="55" t="str">
        <f>IFERROR(IF(OR($B3194="",$B3194="(blank)"),"",VLOOKUP($B3194,'Email Marketing Raw Data'!$C:$O,5,0)),"")</f>
        <v/>
      </c>
      <c r="I3194" s="55" t="str">
        <f>IFERROR(IF($G3194="","",VLOOKUP('Dashboard And Emails Automate'!$G3194,Database!$H:$N,3,0)),"")</f>
        <v/>
      </c>
      <c r="J3194" s="55" t="str">
        <f>IFERROR(IF($G3194="","",VLOOKUP('Dashboard And Emails Automate'!$G3194,Database!$H:$N,4,0)),"")</f>
        <v/>
      </c>
      <c r="K3194" s="55" t="str">
        <f>IFERROR(IF($G3194="","",VLOOKUP('Dashboard And Emails Automate'!$G3194,Database!$H:$N,5,0)),"")</f>
        <v/>
      </c>
      <c r="L3194" s="55" t="str">
        <f>IFERROR(IF($G3194="","",VLOOKUP('Dashboard And Emails Automate'!$G3194,Database!$H:$N,6,0)),"")</f>
        <v/>
      </c>
      <c r="M3194" s="55" t="str">
        <f>IFERROR(IF($G3194="","",VLOOKUP('Dashboard And Emails Automate'!$G3194,Database!$H:$N,7,0)),"")</f>
        <v/>
      </c>
      <c r="N3194" s="55" t="str">
        <f>IFERROR(IF(OR($B3194="",$B3194="(blank)"),"",VLOOKUP($B3194,'Email Marketing Raw Data'!$C:$O,6,0)),"")</f>
        <v/>
      </c>
      <c r="O3194" s="55" t="str">
        <f>IFERROR(IF(OR($B3194="",$B3194="(blank)"),"",VLOOKUP($B3194,'Email Marketing Raw Data'!$C:$O,7,0)),"")</f>
        <v/>
      </c>
      <c r="P3194" s="55" t="str">
        <f>IFERROR(IF(OR($B3194="",$B3194="(blank)"),"",VLOOKUP($B3194,'Email Marketing Raw Data'!$C:$O,8,0)),"")</f>
        <v/>
      </c>
      <c r="Q3194" s="62" t="str">
        <f>IFERROR(IF(OR($B3194="",$B3194="(blank)"),"",VLOOKUP($B3194,'Email Marketing Raw Data'!$C:$O,9,0)),"")</f>
        <v/>
      </c>
    </row>
    <row r="3195" spans="4:17" ht="12.75" customHeight="1" x14ac:dyDescent="0.2">
      <c r="D3195" s="58" t="str">
        <f>IFERROR(IF(F3195&lt;&gt;"pending","",IF(OR($B3195="",$B3195="(blank)"),"",VLOOKUP($B3195,'Email Marketing Raw Data'!$C:$O,10,0))),"")</f>
        <v/>
      </c>
      <c r="E3195" s="59" t="str">
        <f>IFERROR(IF(F3195&lt;&gt;"pending","",IF(OR($B3195="",$B3195="(blank)"),"",VLOOKUP($B3195,'Email Marketing Raw Data'!$C:$O,11,0))),"")</f>
        <v/>
      </c>
      <c r="F3195" s="54" t="str">
        <f>IFERROR(IF(OR($B3195="",$B3195="(blank)"),"",VLOOKUP($B3195,'Email Marketing Raw Data'!$C:$O,13,0)),"")</f>
        <v/>
      </c>
      <c r="G3195" s="55" t="str">
        <f>IFERROR(IF(OR($B3195="",$B3195="(blank)"),"",VLOOKUP($B3195,'Email Marketing Raw Data'!$C:$O,4,0)),"")</f>
        <v/>
      </c>
      <c r="H3195" s="55" t="str">
        <f>IFERROR(IF(OR($B3195="",$B3195="(blank)"),"",VLOOKUP($B3195,'Email Marketing Raw Data'!$C:$O,5,0)),"")</f>
        <v/>
      </c>
      <c r="I3195" s="55" t="str">
        <f>IFERROR(IF($G3195="","",VLOOKUP('Dashboard And Emails Automate'!$G3195,Database!$H:$N,3,0)),"")</f>
        <v/>
      </c>
      <c r="J3195" s="55" t="str">
        <f>IFERROR(IF($G3195="","",VLOOKUP('Dashboard And Emails Automate'!$G3195,Database!$H:$N,4,0)),"")</f>
        <v/>
      </c>
      <c r="K3195" s="55" t="str">
        <f>IFERROR(IF($G3195="","",VLOOKUP('Dashboard And Emails Automate'!$G3195,Database!$H:$N,5,0)),"")</f>
        <v/>
      </c>
      <c r="L3195" s="55" t="str">
        <f>IFERROR(IF($G3195="","",VLOOKUP('Dashboard And Emails Automate'!$G3195,Database!$H:$N,6,0)),"")</f>
        <v/>
      </c>
      <c r="M3195" s="55" t="str">
        <f>IFERROR(IF($G3195="","",VLOOKUP('Dashboard And Emails Automate'!$G3195,Database!$H:$N,7,0)),"")</f>
        <v/>
      </c>
      <c r="N3195" s="55" t="str">
        <f>IFERROR(IF(OR($B3195="",$B3195="(blank)"),"",VLOOKUP($B3195,'Email Marketing Raw Data'!$C:$O,6,0)),"")</f>
        <v/>
      </c>
      <c r="O3195" s="55" t="str">
        <f>IFERROR(IF(OR($B3195="",$B3195="(blank)"),"",VLOOKUP($B3195,'Email Marketing Raw Data'!$C:$O,7,0)),"")</f>
        <v/>
      </c>
      <c r="P3195" s="55" t="str">
        <f>IFERROR(IF(OR($B3195="",$B3195="(blank)"),"",VLOOKUP($B3195,'Email Marketing Raw Data'!$C:$O,8,0)),"")</f>
        <v/>
      </c>
      <c r="Q3195" s="62" t="str">
        <f>IFERROR(IF(OR($B3195="",$B3195="(blank)"),"",VLOOKUP($B3195,'Email Marketing Raw Data'!$C:$O,9,0)),"")</f>
        <v/>
      </c>
    </row>
    <row r="3196" spans="4:17" ht="12.75" customHeight="1" x14ac:dyDescent="0.2">
      <c r="D3196" s="58" t="str">
        <f>IFERROR(IF(F3196&lt;&gt;"pending","",IF(OR($B3196="",$B3196="(blank)"),"",VLOOKUP($B3196,'Email Marketing Raw Data'!$C:$O,10,0))),"")</f>
        <v/>
      </c>
      <c r="E3196" s="59" t="str">
        <f>IFERROR(IF(F3196&lt;&gt;"pending","",IF(OR($B3196="",$B3196="(blank)"),"",VLOOKUP($B3196,'Email Marketing Raw Data'!$C:$O,11,0))),"")</f>
        <v/>
      </c>
      <c r="F3196" s="54" t="str">
        <f>IFERROR(IF(OR($B3196="",$B3196="(blank)"),"",VLOOKUP($B3196,'Email Marketing Raw Data'!$C:$O,13,0)),"")</f>
        <v/>
      </c>
      <c r="G3196" s="55" t="str">
        <f>IFERROR(IF(OR($B3196="",$B3196="(blank)"),"",VLOOKUP($B3196,'Email Marketing Raw Data'!$C:$O,4,0)),"")</f>
        <v/>
      </c>
      <c r="H3196" s="55" t="str">
        <f>IFERROR(IF(OR($B3196="",$B3196="(blank)"),"",VLOOKUP($B3196,'Email Marketing Raw Data'!$C:$O,5,0)),"")</f>
        <v/>
      </c>
      <c r="I3196" s="55" t="str">
        <f>IFERROR(IF($G3196="","",VLOOKUP('Dashboard And Emails Automate'!$G3196,Database!$H:$N,3,0)),"")</f>
        <v/>
      </c>
      <c r="J3196" s="55" t="str">
        <f>IFERROR(IF($G3196="","",VLOOKUP('Dashboard And Emails Automate'!$G3196,Database!$H:$N,4,0)),"")</f>
        <v/>
      </c>
      <c r="K3196" s="55" t="str">
        <f>IFERROR(IF($G3196="","",VLOOKUP('Dashboard And Emails Automate'!$G3196,Database!$H:$N,5,0)),"")</f>
        <v/>
      </c>
      <c r="L3196" s="55" t="str">
        <f>IFERROR(IF($G3196="","",VLOOKUP('Dashboard And Emails Automate'!$G3196,Database!$H:$N,6,0)),"")</f>
        <v/>
      </c>
      <c r="M3196" s="55" t="str">
        <f>IFERROR(IF($G3196="","",VLOOKUP('Dashboard And Emails Automate'!$G3196,Database!$H:$N,7,0)),"")</f>
        <v/>
      </c>
      <c r="N3196" s="55" t="str">
        <f>IFERROR(IF(OR($B3196="",$B3196="(blank)"),"",VLOOKUP($B3196,'Email Marketing Raw Data'!$C:$O,6,0)),"")</f>
        <v/>
      </c>
      <c r="O3196" s="55" t="str">
        <f>IFERROR(IF(OR($B3196="",$B3196="(blank)"),"",VLOOKUP($B3196,'Email Marketing Raw Data'!$C:$O,7,0)),"")</f>
        <v/>
      </c>
      <c r="P3196" s="55" t="str">
        <f>IFERROR(IF(OR($B3196="",$B3196="(blank)"),"",VLOOKUP($B3196,'Email Marketing Raw Data'!$C:$O,8,0)),"")</f>
        <v/>
      </c>
      <c r="Q3196" s="62" t="str">
        <f>IFERROR(IF(OR($B3196="",$B3196="(blank)"),"",VLOOKUP($B3196,'Email Marketing Raw Data'!$C:$O,9,0)),"")</f>
        <v/>
      </c>
    </row>
    <row r="3197" spans="4:17" ht="12.75" customHeight="1" x14ac:dyDescent="0.2">
      <c r="D3197" s="58" t="str">
        <f>IFERROR(IF(F3197&lt;&gt;"pending","",IF(OR($B3197="",$B3197="(blank)"),"",VLOOKUP($B3197,'Email Marketing Raw Data'!$C:$O,10,0))),"")</f>
        <v/>
      </c>
      <c r="E3197" s="59" t="str">
        <f>IFERROR(IF(F3197&lt;&gt;"pending","",IF(OR($B3197="",$B3197="(blank)"),"",VLOOKUP($B3197,'Email Marketing Raw Data'!$C:$O,11,0))),"")</f>
        <v/>
      </c>
      <c r="F3197" s="54" t="str">
        <f>IFERROR(IF(OR($B3197="",$B3197="(blank)"),"",VLOOKUP($B3197,'Email Marketing Raw Data'!$C:$O,13,0)),"")</f>
        <v/>
      </c>
      <c r="G3197" s="55" t="str">
        <f>IFERROR(IF(OR($B3197="",$B3197="(blank)"),"",VLOOKUP($B3197,'Email Marketing Raw Data'!$C:$O,4,0)),"")</f>
        <v/>
      </c>
      <c r="H3197" s="55" t="str">
        <f>IFERROR(IF(OR($B3197="",$B3197="(blank)"),"",VLOOKUP($B3197,'Email Marketing Raw Data'!$C:$O,5,0)),"")</f>
        <v/>
      </c>
      <c r="I3197" s="55" t="str">
        <f>IFERROR(IF($G3197="","",VLOOKUP('Dashboard And Emails Automate'!$G3197,Database!$H:$N,3,0)),"")</f>
        <v/>
      </c>
      <c r="J3197" s="55" t="str">
        <f>IFERROR(IF($G3197="","",VLOOKUP('Dashboard And Emails Automate'!$G3197,Database!$H:$N,4,0)),"")</f>
        <v/>
      </c>
      <c r="K3197" s="55" t="str">
        <f>IFERROR(IF($G3197="","",VLOOKUP('Dashboard And Emails Automate'!$G3197,Database!$H:$N,5,0)),"")</f>
        <v/>
      </c>
      <c r="L3197" s="55" t="str">
        <f>IFERROR(IF($G3197="","",VLOOKUP('Dashboard And Emails Automate'!$G3197,Database!$H:$N,6,0)),"")</f>
        <v/>
      </c>
      <c r="M3197" s="55" t="str">
        <f>IFERROR(IF($G3197="","",VLOOKUP('Dashboard And Emails Automate'!$G3197,Database!$H:$N,7,0)),"")</f>
        <v/>
      </c>
      <c r="N3197" s="55" t="str">
        <f>IFERROR(IF(OR($B3197="",$B3197="(blank)"),"",VLOOKUP($B3197,'Email Marketing Raw Data'!$C:$O,6,0)),"")</f>
        <v/>
      </c>
      <c r="O3197" s="55" t="str">
        <f>IFERROR(IF(OR($B3197="",$B3197="(blank)"),"",VLOOKUP($B3197,'Email Marketing Raw Data'!$C:$O,7,0)),"")</f>
        <v/>
      </c>
      <c r="P3197" s="55" t="str">
        <f>IFERROR(IF(OR($B3197="",$B3197="(blank)"),"",VLOOKUP($B3197,'Email Marketing Raw Data'!$C:$O,8,0)),"")</f>
        <v/>
      </c>
      <c r="Q3197" s="62" t="str">
        <f>IFERROR(IF(OR($B3197="",$B3197="(blank)"),"",VLOOKUP($B3197,'Email Marketing Raw Data'!$C:$O,9,0)),"")</f>
        <v/>
      </c>
    </row>
    <row r="3198" spans="4:17" ht="12.75" customHeight="1" x14ac:dyDescent="0.2">
      <c r="D3198" s="58" t="str">
        <f>IFERROR(IF(F3198&lt;&gt;"pending","",IF(OR($B3198="",$B3198="(blank)"),"",VLOOKUP($B3198,'Email Marketing Raw Data'!$C:$O,10,0))),"")</f>
        <v/>
      </c>
      <c r="E3198" s="59" t="str">
        <f>IFERROR(IF(F3198&lt;&gt;"pending","",IF(OR($B3198="",$B3198="(blank)"),"",VLOOKUP($B3198,'Email Marketing Raw Data'!$C:$O,11,0))),"")</f>
        <v/>
      </c>
      <c r="F3198" s="54" t="str">
        <f>IFERROR(IF(OR($B3198="",$B3198="(blank)"),"",VLOOKUP($B3198,'Email Marketing Raw Data'!$C:$O,13,0)),"")</f>
        <v/>
      </c>
      <c r="G3198" s="55" t="str">
        <f>IFERROR(IF(OR($B3198="",$B3198="(blank)"),"",VLOOKUP($B3198,'Email Marketing Raw Data'!$C:$O,4,0)),"")</f>
        <v/>
      </c>
      <c r="H3198" s="55" t="str">
        <f>IFERROR(IF(OR($B3198="",$B3198="(blank)"),"",VLOOKUP($B3198,'Email Marketing Raw Data'!$C:$O,5,0)),"")</f>
        <v/>
      </c>
      <c r="I3198" s="55" t="str">
        <f>IFERROR(IF($G3198="","",VLOOKUP('Dashboard And Emails Automate'!$G3198,Database!$H:$N,3,0)),"")</f>
        <v/>
      </c>
      <c r="J3198" s="55" t="str">
        <f>IFERROR(IF($G3198="","",VLOOKUP('Dashboard And Emails Automate'!$G3198,Database!$H:$N,4,0)),"")</f>
        <v/>
      </c>
      <c r="K3198" s="55" t="str">
        <f>IFERROR(IF($G3198="","",VLOOKUP('Dashboard And Emails Automate'!$G3198,Database!$H:$N,5,0)),"")</f>
        <v/>
      </c>
      <c r="L3198" s="55" t="str">
        <f>IFERROR(IF($G3198="","",VLOOKUP('Dashboard And Emails Automate'!$G3198,Database!$H:$N,6,0)),"")</f>
        <v/>
      </c>
      <c r="M3198" s="55" t="str">
        <f>IFERROR(IF($G3198="","",VLOOKUP('Dashboard And Emails Automate'!$G3198,Database!$H:$N,7,0)),"")</f>
        <v/>
      </c>
      <c r="N3198" s="55" t="str">
        <f>IFERROR(IF(OR($B3198="",$B3198="(blank)"),"",VLOOKUP($B3198,'Email Marketing Raw Data'!$C:$O,6,0)),"")</f>
        <v/>
      </c>
      <c r="O3198" s="55" t="str">
        <f>IFERROR(IF(OR($B3198="",$B3198="(blank)"),"",VLOOKUP($B3198,'Email Marketing Raw Data'!$C:$O,7,0)),"")</f>
        <v/>
      </c>
      <c r="P3198" s="55" t="str">
        <f>IFERROR(IF(OR($B3198="",$B3198="(blank)"),"",VLOOKUP($B3198,'Email Marketing Raw Data'!$C:$O,8,0)),"")</f>
        <v/>
      </c>
      <c r="Q3198" s="62" t="str">
        <f>IFERROR(IF(OR($B3198="",$B3198="(blank)"),"",VLOOKUP($B3198,'Email Marketing Raw Data'!$C:$O,9,0)),"")</f>
        <v/>
      </c>
    </row>
    <row r="3199" spans="4:17" ht="12.75" customHeight="1" x14ac:dyDescent="0.2">
      <c r="D3199" s="58" t="str">
        <f>IFERROR(IF(F3199&lt;&gt;"pending","",IF(OR($B3199="",$B3199="(blank)"),"",VLOOKUP($B3199,'Email Marketing Raw Data'!$C:$O,10,0))),"")</f>
        <v/>
      </c>
      <c r="E3199" s="59" t="str">
        <f>IFERROR(IF(F3199&lt;&gt;"pending","",IF(OR($B3199="",$B3199="(blank)"),"",VLOOKUP($B3199,'Email Marketing Raw Data'!$C:$O,11,0))),"")</f>
        <v/>
      </c>
      <c r="F3199" s="54" t="str">
        <f>IFERROR(IF(OR($B3199="",$B3199="(blank)"),"",VLOOKUP($B3199,'Email Marketing Raw Data'!$C:$O,13,0)),"")</f>
        <v/>
      </c>
      <c r="G3199" s="55" t="str">
        <f>IFERROR(IF(OR($B3199="",$B3199="(blank)"),"",VLOOKUP($B3199,'Email Marketing Raw Data'!$C:$O,4,0)),"")</f>
        <v/>
      </c>
      <c r="H3199" s="55" t="str">
        <f>IFERROR(IF(OR($B3199="",$B3199="(blank)"),"",VLOOKUP($B3199,'Email Marketing Raw Data'!$C:$O,5,0)),"")</f>
        <v/>
      </c>
      <c r="I3199" s="55" t="str">
        <f>IFERROR(IF($G3199="","",VLOOKUP('Dashboard And Emails Automate'!$G3199,Database!$H:$N,3,0)),"")</f>
        <v/>
      </c>
      <c r="J3199" s="55" t="str">
        <f>IFERROR(IF($G3199="","",VLOOKUP('Dashboard And Emails Automate'!$G3199,Database!$H:$N,4,0)),"")</f>
        <v/>
      </c>
      <c r="K3199" s="55" t="str">
        <f>IFERROR(IF($G3199="","",VLOOKUP('Dashboard And Emails Automate'!$G3199,Database!$H:$N,5,0)),"")</f>
        <v/>
      </c>
      <c r="L3199" s="55" t="str">
        <f>IFERROR(IF($G3199="","",VLOOKUP('Dashboard And Emails Automate'!$G3199,Database!$H:$N,6,0)),"")</f>
        <v/>
      </c>
      <c r="M3199" s="55" t="str">
        <f>IFERROR(IF($G3199="","",VLOOKUP('Dashboard And Emails Automate'!$G3199,Database!$H:$N,7,0)),"")</f>
        <v/>
      </c>
      <c r="N3199" s="55" t="str">
        <f>IFERROR(IF(OR($B3199="",$B3199="(blank)"),"",VLOOKUP($B3199,'Email Marketing Raw Data'!$C:$O,6,0)),"")</f>
        <v/>
      </c>
      <c r="O3199" s="55" t="str">
        <f>IFERROR(IF(OR($B3199="",$B3199="(blank)"),"",VLOOKUP($B3199,'Email Marketing Raw Data'!$C:$O,7,0)),"")</f>
        <v/>
      </c>
      <c r="P3199" s="55" t="str">
        <f>IFERROR(IF(OR($B3199="",$B3199="(blank)"),"",VLOOKUP($B3199,'Email Marketing Raw Data'!$C:$O,8,0)),"")</f>
        <v/>
      </c>
      <c r="Q3199" s="62" t="str">
        <f>IFERROR(IF(OR($B3199="",$B3199="(blank)"),"",VLOOKUP($B3199,'Email Marketing Raw Data'!$C:$O,9,0)),"")</f>
        <v/>
      </c>
    </row>
    <row r="3200" spans="4:17" ht="12.75" customHeight="1" x14ac:dyDescent="0.2">
      <c r="D3200" s="58" t="str">
        <f>IFERROR(IF(F3200&lt;&gt;"pending","",IF(OR($B3200="",$B3200="(blank)"),"",VLOOKUP($B3200,'Email Marketing Raw Data'!$C:$O,10,0))),"")</f>
        <v/>
      </c>
      <c r="E3200" s="59" t="str">
        <f>IFERROR(IF(F3200&lt;&gt;"pending","",IF(OR($B3200="",$B3200="(blank)"),"",VLOOKUP($B3200,'Email Marketing Raw Data'!$C:$O,11,0))),"")</f>
        <v/>
      </c>
      <c r="F3200" s="54" t="str">
        <f>IFERROR(IF(OR($B3200="",$B3200="(blank)"),"",VLOOKUP($B3200,'Email Marketing Raw Data'!$C:$O,13,0)),"")</f>
        <v/>
      </c>
      <c r="G3200" s="55" t="str">
        <f>IFERROR(IF(OR($B3200="",$B3200="(blank)"),"",VLOOKUP($B3200,'Email Marketing Raw Data'!$C:$O,4,0)),"")</f>
        <v/>
      </c>
      <c r="H3200" s="55" t="str">
        <f>IFERROR(IF(OR($B3200="",$B3200="(blank)"),"",VLOOKUP($B3200,'Email Marketing Raw Data'!$C:$O,5,0)),"")</f>
        <v/>
      </c>
      <c r="I3200" s="55" t="str">
        <f>IFERROR(IF($G3200="","",VLOOKUP('Dashboard And Emails Automate'!$G3200,Database!$H:$N,3,0)),"")</f>
        <v/>
      </c>
      <c r="J3200" s="55" t="str">
        <f>IFERROR(IF($G3200="","",VLOOKUP('Dashboard And Emails Automate'!$G3200,Database!$H:$N,4,0)),"")</f>
        <v/>
      </c>
      <c r="K3200" s="55" t="str">
        <f>IFERROR(IF($G3200="","",VLOOKUP('Dashboard And Emails Automate'!$G3200,Database!$H:$N,5,0)),"")</f>
        <v/>
      </c>
      <c r="L3200" s="55" t="str">
        <f>IFERROR(IF($G3200="","",VLOOKUP('Dashboard And Emails Automate'!$G3200,Database!$H:$N,6,0)),"")</f>
        <v/>
      </c>
      <c r="M3200" s="55" t="str">
        <f>IFERROR(IF($G3200="","",VLOOKUP('Dashboard And Emails Automate'!$G3200,Database!$H:$N,7,0)),"")</f>
        <v/>
      </c>
      <c r="N3200" s="55" t="str">
        <f>IFERROR(IF(OR($B3200="",$B3200="(blank)"),"",VLOOKUP($B3200,'Email Marketing Raw Data'!$C:$O,6,0)),"")</f>
        <v/>
      </c>
      <c r="O3200" s="55" t="str">
        <f>IFERROR(IF(OR($B3200="",$B3200="(blank)"),"",VLOOKUP($B3200,'Email Marketing Raw Data'!$C:$O,7,0)),"")</f>
        <v/>
      </c>
      <c r="P3200" s="55" t="str">
        <f>IFERROR(IF(OR($B3200="",$B3200="(blank)"),"",VLOOKUP($B3200,'Email Marketing Raw Data'!$C:$O,8,0)),"")</f>
        <v/>
      </c>
      <c r="Q3200" s="62" t="str">
        <f>IFERROR(IF(OR($B3200="",$B3200="(blank)"),"",VLOOKUP($B3200,'Email Marketing Raw Data'!$C:$O,9,0)),"")</f>
        <v/>
      </c>
    </row>
    <row r="3201" spans="4:17" ht="12.75" customHeight="1" x14ac:dyDescent="0.2">
      <c r="D3201" s="58" t="str">
        <f>IFERROR(IF(F3201&lt;&gt;"pending","",IF(OR($B3201="",$B3201="(blank)"),"",VLOOKUP($B3201,'Email Marketing Raw Data'!$C:$O,10,0))),"")</f>
        <v/>
      </c>
      <c r="E3201" s="59" t="str">
        <f>IFERROR(IF(F3201&lt;&gt;"pending","",IF(OR($B3201="",$B3201="(blank)"),"",VLOOKUP($B3201,'Email Marketing Raw Data'!$C:$O,11,0))),"")</f>
        <v/>
      </c>
      <c r="F3201" s="54" t="str">
        <f>IFERROR(IF(OR($B3201="",$B3201="(blank)"),"",VLOOKUP($B3201,'Email Marketing Raw Data'!$C:$O,13,0)),"")</f>
        <v/>
      </c>
      <c r="G3201" s="55" t="str">
        <f>IFERROR(IF(OR($B3201="",$B3201="(blank)"),"",VLOOKUP($B3201,'Email Marketing Raw Data'!$C:$O,4,0)),"")</f>
        <v/>
      </c>
      <c r="H3201" s="55" t="str">
        <f>IFERROR(IF(OR($B3201="",$B3201="(blank)"),"",VLOOKUP($B3201,'Email Marketing Raw Data'!$C:$O,5,0)),"")</f>
        <v/>
      </c>
      <c r="I3201" s="55" t="str">
        <f>IFERROR(IF($G3201="","",VLOOKUP('Dashboard And Emails Automate'!$G3201,Database!$H:$N,3,0)),"")</f>
        <v/>
      </c>
      <c r="J3201" s="55" t="str">
        <f>IFERROR(IF($G3201="","",VLOOKUP('Dashboard And Emails Automate'!$G3201,Database!$H:$N,4,0)),"")</f>
        <v/>
      </c>
      <c r="K3201" s="55" t="str">
        <f>IFERROR(IF($G3201="","",VLOOKUP('Dashboard And Emails Automate'!$G3201,Database!$H:$N,5,0)),"")</f>
        <v/>
      </c>
      <c r="L3201" s="55" t="str">
        <f>IFERROR(IF($G3201="","",VLOOKUP('Dashboard And Emails Automate'!$G3201,Database!$H:$N,6,0)),"")</f>
        <v/>
      </c>
      <c r="M3201" s="55" t="str">
        <f>IFERROR(IF($G3201="","",VLOOKUP('Dashboard And Emails Automate'!$G3201,Database!$H:$N,7,0)),"")</f>
        <v/>
      </c>
      <c r="N3201" s="55" t="str">
        <f>IFERROR(IF(OR($B3201="",$B3201="(blank)"),"",VLOOKUP($B3201,'Email Marketing Raw Data'!$C:$O,6,0)),"")</f>
        <v/>
      </c>
      <c r="O3201" s="55" t="str">
        <f>IFERROR(IF(OR($B3201="",$B3201="(blank)"),"",VLOOKUP($B3201,'Email Marketing Raw Data'!$C:$O,7,0)),"")</f>
        <v/>
      </c>
      <c r="P3201" s="55" t="str">
        <f>IFERROR(IF(OR($B3201="",$B3201="(blank)"),"",VLOOKUP($B3201,'Email Marketing Raw Data'!$C:$O,8,0)),"")</f>
        <v/>
      </c>
      <c r="Q3201" s="62" t="str">
        <f>IFERROR(IF(OR($B3201="",$B3201="(blank)"),"",VLOOKUP($B3201,'Email Marketing Raw Data'!$C:$O,9,0)),"")</f>
        <v/>
      </c>
    </row>
    <row r="3202" spans="4:17" ht="12.75" customHeight="1" x14ac:dyDescent="0.2">
      <c r="D3202" s="58" t="str">
        <f>IFERROR(IF(F3202&lt;&gt;"pending","",IF(OR($B3202="",$B3202="(blank)"),"",VLOOKUP($B3202,'Email Marketing Raw Data'!$C:$O,10,0))),"")</f>
        <v/>
      </c>
      <c r="E3202" s="59" t="str">
        <f>IFERROR(IF(F3202&lt;&gt;"pending","",IF(OR($B3202="",$B3202="(blank)"),"",VLOOKUP($B3202,'Email Marketing Raw Data'!$C:$O,11,0))),"")</f>
        <v/>
      </c>
      <c r="F3202" s="54" t="str">
        <f>IFERROR(IF(OR($B3202="",$B3202="(blank)"),"",VLOOKUP($B3202,'Email Marketing Raw Data'!$C:$O,13,0)),"")</f>
        <v/>
      </c>
      <c r="G3202" s="55" t="str">
        <f>IFERROR(IF(OR($B3202="",$B3202="(blank)"),"",VLOOKUP($B3202,'Email Marketing Raw Data'!$C:$O,4,0)),"")</f>
        <v/>
      </c>
      <c r="H3202" s="55" t="str">
        <f>IFERROR(IF(OR($B3202="",$B3202="(blank)"),"",VLOOKUP($B3202,'Email Marketing Raw Data'!$C:$O,5,0)),"")</f>
        <v/>
      </c>
      <c r="I3202" s="55" t="str">
        <f>IFERROR(IF($G3202="","",VLOOKUP('Dashboard And Emails Automate'!$G3202,Database!$H:$N,3,0)),"")</f>
        <v/>
      </c>
      <c r="J3202" s="55" t="str">
        <f>IFERROR(IF($G3202="","",VLOOKUP('Dashboard And Emails Automate'!$G3202,Database!$H:$N,4,0)),"")</f>
        <v/>
      </c>
      <c r="K3202" s="55" t="str">
        <f>IFERROR(IF($G3202="","",VLOOKUP('Dashboard And Emails Automate'!$G3202,Database!$H:$N,5,0)),"")</f>
        <v/>
      </c>
      <c r="L3202" s="55" t="str">
        <f>IFERROR(IF($G3202="","",VLOOKUP('Dashboard And Emails Automate'!$G3202,Database!$H:$N,6,0)),"")</f>
        <v/>
      </c>
      <c r="M3202" s="55" t="str">
        <f>IFERROR(IF($G3202="","",VLOOKUP('Dashboard And Emails Automate'!$G3202,Database!$H:$N,7,0)),"")</f>
        <v/>
      </c>
      <c r="N3202" s="55" t="str">
        <f>IFERROR(IF(OR($B3202="",$B3202="(blank)"),"",VLOOKUP($B3202,'Email Marketing Raw Data'!$C:$O,6,0)),"")</f>
        <v/>
      </c>
      <c r="O3202" s="55" t="str">
        <f>IFERROR(IF(OR($B3202="",$B3202="(blank)"),"",VLOOKUP($B3202,'Email Marketing Raw Data'!$C:$O,7,0)),"")</f>
        <v/>
      </c>
      <c r="P3202" s="55" t="str">
        <f>IFERROR(IF(OR($B3202="",$B3202="(blank)"),"",VLOOKUP($B3202,'Email Marketing Raw Data'!$C:$O,8,0)),"")</f>
        <v/>
      </c>
      <c r="Q3202" s="62" t="str">
        <f>IFERROR(IF(OR($B3202="",$B3202="(blank)"),"",VLOOKUP($B3202,'Email Marketing Raw Data'!$C:$O,9,0)),"")</f>
        <v/>
      </c>
    </row>
    <row r="3203" spans="4:17" ht="12.75" customHeight="1" x14ac:dyDescent="0.2">
      <c r="D3203" s="58" t="str">
        <f>IFERROR(IF(F3203&lt;&gt;"pending","",IF(OR($B3203="",$B3203="(blank)"),"",VLOOKUP($B3203,'Email Marketing Raw Data'!$C:$O,10,0))),"")</f>
        <v/>
      </c>
      <c r="E3203" s="59" t="str">
        <f>IFERROR(IF(F3203&lt;&gt;"pending","",IF(OR($B3203="",$B3203="(blank)"),"",VLOOKUP($B3203,'Email Marketing Raw Data'!$C:$O,11,0))),"")</f>
        <v/>
      </c>
      <c r="F3203" s="54" t="str">
        <f>IFERROR(IF(OR($B3203="",$B3203="(blank)"),"",VLOOKUP($B3203,'Email Marketing Raw Data'!$C:$O,13,0)),"")</f>
        <v/>
      </c>
      <c r="G3203" s="55" t="str">
        <f>IFERROR(IF(OR($B3203="",$B3203="(blank)"),"",VLOOKUP($B3203,'Email Marketing Raw Data'!$C:$O,4,0)),"")</f>
        <v/>
      </c>
      <c r="H3203" s="55" t="str">
        <f>IFERROR(IF(OR($B3203="",$B3203="(blank)"),"",VLOOKUP($B3203,'Email Marketing Raw Data'!$C:$O,5,0)),"")</f>
        <v/>
      </c>
      <c r="I3203" s="55" t="str">
        <f>IFERROR(IF($G3203="","",VLOOKUP('Dashboard And Emails Automate'!$G3203,Database!$H:$N,3,0)),"")</f>
        <v/>
      </c>
      <c r="J3203" s="55" t="str">
        <f>IFERROR(IF($G3203="","",VLOOKUP('Dashboard And Emails Automate'!$G3203,Database!$H:$N,4,0)),"")</f>
        <v/>
      </c>
      <c r="K3203" s="55" t="str">
        <f>IFERROR(IF($G3203="","",VLOOKUP('Dashboard And Emails Automate'!$G3203,Database!$H:$N,5,0)),"")</f>
        <v/>
      </c>
      <c r="L3203" s="55" t="str">
        <f>IFERROR(IF($G3203="","",VLOOKUP('Dashboard And Emails Automate'!$G3203,Database!$H:$N,6,0)),"")</f>
        <v/>
      </c>
      <c r="M3203" s="55" t="str">
        <f>IFERROR(IF($G3203="","",VLOOKUP('Dashboard And Emails Automate'!$G3203,Database!$H:$N,7,0)),"")</f>
        <v/>
      </c>
      <c r="N3203" s="55" t="str">
        <f>IFERROR(IF(OR($B3203="",$B3203="(blank)"),"",VLOOKUP($B3203,'Email Marketing Raw Data'!$C:$O,6,0)),"")</f>
        <v/>
      </c>
      <c r="O3203" s="55" t="str">
        <f>IFERROR(IF(OR($B3203="",$B3203="(blank)"),"",VLOOKUP($B3203,'Email Marketing Raw Data'!$C:$O,7,0)),"")</f>
        <v/>
      </c>
      <c r="P3203" s="55" t="str">
        <f>IFERROR(IF(OR($B3203="",$B3203="(blank)"),"",VLOOKUP($B3203,'Email Marketing Raw Data'!$C:$O,8,0)),"")</f>
        <v/>
      </c>
      <c r="Q3203" s="62" t="str">
        <f>IFERROR(IF(OR($B3203="",$B3203="(blank)"),"",VLOOKUP($B3203,'Email Marketing Raw Data'!$C:$O,9,0)),"")</f>
        <v/>
      </c>
    </row>
    <row r="3204" spans="4:17" ht="12.75" customHeight="1" x14ac:dyDescent="0.2">
      <c r="D3204" s="58" t="str">
        <f>IFERROR(IF(F3204&lt;&gt;"pending","",IF(OR($B3204="",$B3204="(blank)"),"",VLOOKUP($B3204,'Email Marketing Raw Data'!$C:$O,10,0))),"")</f>
        <v/>
      </c>
      <c r="E3204" s="59" t="str">
        <f>IFERROR(IF(F3204&lt;&gt;"pending","",IF(OR($B3204="",$B3204="(blank)"),"",VLOOKUP($B3204,'Email Marketing Raw Data'!$C:$O,11,0))),"")</f>
        <v/>
      </c>
      <c r="F3204" s="54" t="str">
        <f>IFERROR(IF(OR($B3204="",$B3204="(blank)"),"",VLOOKUP($B3204,'Email Marketing Raw Data'!$C:$O,13,0)),"")</f>
        <v/>
      </c>
      <c r="G3204" s="55" t="str">
        <f>IFERROR(IF(OR($B3204="",$B3204="(blank)"),"",VLOOKUP($B3204,'Email Marketing Raw Data'!$C:$O,4,0)),"")</f>
        <v/>
      </c>
      <c r="H3204" s="55" t="str">
        <f>IFERROR(IF(OR($B3204="",$B3204="(blank)"),"",VLOOKUP($B3204,'Email Marketing Raw Data'!$C:$O,5,0)),"")</f>
        <v/>
      </c>
      <c r="I3204" s="55" t="str">
        <f>IFERROR(IF($G3204="","",VLOOKUP('Dashboard And Emails Automate'!$G3204,Database!$H:$N,3,0)),"")</f>
        <v/>
      </c>
      <c r="J3204" s="55" t="str">
        <f>IFERROR(IF($G3204="","",VLOOKUP('Dashboard And Emails Automate'!$G3204,Database!$H:$N,4,0)),"")</f>
        <v/>
      </c>
      <c r="K3204" s="55" t="str">
        <f>IFERROR(IF($G3204="","",VLOOKUP('Dashboard And Emails Automate'!$G3204,Database!$H:$N,5,0)),"")</f>
        <v/>
      </c>
      <c r="L3204" s="55" t="str">
        <f>IFERROR(IF($G3204="","",VLOOKUP('Dashboard And Emails Automate'!$G3204,Database!$H:$N,6,0)),"")</f>
        <v/>
      </c>
      <c r="M3204" s="55" t="str">
        <f>IFERROR(IF($G3204="","",VLOOKUP('Dashboard And Emails Automate'!$G3204,Database!$H:$N,7,0)),"")</f>
        <v/>
      </c>
      <c r="N3204" s="55" t="str">
        <f>IFERROR(IF(OR($B3204="",$B3204="(blank)"),"",VLOOKUP($B3204,'Email Marketing Raw Data'!$C:$O,6,0)),"")</f>
        <v/>
      </c>
      <c r="O3204" s="55" t="str">
        <f>IFERROR(IF(OR($B3204="",$B3204="(blank)"),"",VLOOKUP($B3204,'Email Marketing Raw Data'!$C:$O,7,0)),"")</f>
        <v/>
      </c>
      <c r="P3204" s="55" t="str">
        <f>IFERROR(IF(OR($B3204="",$B3204="(blank)"),"",VLOOKUP($B3204,'Email Marketing Raw Data'!$C:$O,8,0)),"")</f>
        <v/>
      </c>
      <c r="Q3204" s="62" t="str">
        <f>IFERROR(IF(OR($B3204="",$B3204="(blank)"),"",VLOOKUP($B3204,'Email Marketing Raw Data'!$C:$O,9,0)),"")</f>
        <v/>
      </c>
    </row>
    <row r="3205" spans="4:17" ht="12.75" customHeight="1" x14ac:dyDescent="0.2">
      <c r="D3205" s="58" t="str">
        <f>IFERROR(IF(F3205&lt;&gt;"pending","",IF(OR($B3205="",$B3205="(blank)"),"",VLOOKUP($B3205,'Email Marketing Raw Data'!$C:$O,10,0))),"")</f>
        <v/>
      </c>
      <c r="E3205" s="59" t="str">
        <f>IFERROR(IF(F3205&lt;&gt;"pending","",IF(OR($B3205="",$B3205="(blank)"),"",VLOOKUP($B3205,'Email Marketing Raw Data'!$C:$O,11,0))),"")</f>
        <v/>
      </c>
      <c r="F3205" s="54" t="str">
        <f>IFERROR(IF(OR($B3205="",$B3205="(blank)"),"",VLOOKUP($B3205,'Email Marketing Raw Data'!$C:$O,13,0)),"")</f>
        <v/>
      </c>
      <c r="G3205" s="55" t="str">
        <f>IFERROR(IF(OR($B3205="",$B3205="(blank)"),"",VLOOKUP($B3205,'Email Marketing Raw Data'!$C:$O,4,0)),"")</f>
        <v/>
      </c>
      <c r="H3205" s="55" t="str">
        <f>IFERROR(IF(OR($B3205="",$B3205="(blank)"),"",VLOOKUP($B3205,'Email Marketing Raw Data'!$C:$O,5,0)),"")</f>
        <v/>
      </c>
      <c r="I3205" s="55" t="str">
        <f>IFERROR(IF($G3205="","",VLOOKUP('Dashboard And Emails Automate'!$G3205,Database!$H:$N,3,0)),"")</f>
        <v/>
      </c>
      <c r="J3205" s="55" t="str">
        <f>IFERROR(IF($G3205="","",VLOOKUP('Dashboard And Emails Automate'!$G3205,Database!$H:$N,4,0)),"")</f>
        <v/>
      </c>
      <c r="K3205" s="55" t="str">
        <f>IFERROR(IF($G3205="","",VLOOKUP('Dashboard And Emails Automate'!$G3205,Database!$H:$N,5,0)),"")</f>
        <v/>
      </c>
      <c r="L3205" s="55" t="str">
        <f>IFERROR(IF($G3205="","",VLOOKUP('Dashboard And Emails Automate'!$G3205,Database!$H:$N,6,0)),"")</f>
        <v/>
      </c>
      <c r="M3205" s="55" t="str">
        <f>IFERROR(IF($G3205="","",VLOOKUP('Dashboard And Emails Automate'!$G3205,Database!$H:$N,7,0)),"")</f>
        <v/>
      </c>
      <c r="N3205" s="55" t="str">
        <f>IFERROR(IF(OR($B3205="",$B3205="(blank)"),"",VLOOKUP($B3205,'Email Marketing Raw Data'!$C:$O,6,0)),"")</f>
        <v/>
      </c>
      <c r="O3205" s="55" t="str">
        <f>IFERROR(IF(OR($B3205="",$B3205="(blank)"),"",VLOOKUP($B3205,'Email Marketing Raw Data'!$C:$O,7,0)),"")</f>
        <v/>
      </c>
      <c r="P3205" s="55" t="str">
        <f>IFERROR(IF(OR($B3205="",$B3205="(blank)"),"",VLOOKUP($B3205,'Email Marketing Raw Data'!$C:$O,8,0)),"")</f>
        <v/>
      </c>
      <c r="Q3205" s="62" t="str">
        <f>IFERROR(IF(OR($B3205="",$B3205="(blank)"),"",VLOOKUP($B3205,'Email Marketing Raw Data'!$C:$O,9,0)),"")</f>
        <v/>
      </c>
    </row>
    <row r="3206" spans="4:17" ht="12.75" customHeight="1" x14ac:dyDescent="0.2">
      <c r="D3206" s="58" t="str">
        <f>IFERROR(IF(F3206&lt;&gt;"pending","",IF(OR($B3206="",$B3206="(blank)"),"",VLOOKUP($B3206,'Email Marketing Raw Data'!$C:$O,10,0))),"")</f>
        <v/>
      </c>
      <c r="E3206" s="59" t="str">
        <f>IFERROR(IF(F3206&lt;&gt;"pending","",IF(OR($B3206="",$B3206="(blank)"),"",VLOOKUP($B3206,'Email Marketing Raw Data'!$C:$O,11,0))),"")</f>
        <v/>
      </c>
      <c r="F3206" s="54" t="str">
        <f>IFERROR(IF(OR($B3206="",$B3206="(blank)"),"",VLOOKUP($B3206,'Email Marketing Raw Data'!$C:$O,13,0)),"")</f>
        <v/>
      </c>
      <c r="G3206" s="55" t="str">
        <f>IFERROR(IF(OR($B3206="",$B3206="(blank)"),"",VLOOKUP($B3206,'Email Marketing Raw Data'!$C:$O,4,0)),"")</f>
        <v/>
      </c>
      <c r="H3206" s="55" t="str">
        <f>IFERROR(IF(OR($B3206="",$B3206="(blank)"),"",VLOOKUP($B3206,'Email Marketing Raw Data'!$C:$O,5,0)),"")</f>
        <v/>
      </c>
      <c r="I3206" s="55" t="str">
        <f>IFERROR(IF($G3206="","",VLOOKUP('Dashboard And Emails Automate'!$G3206,Database!$H:$N,3,0)),"")</f>
        <v/>
      </c>
      <c r="J3206" s="55" t="str">
        <f>IFERROR(IF($G3206="","",VLOOKUP('Dashboard And Emails Automate'!$G3206,Database!$H:$N,4,0)),"")</f>
        <v/>
      </c>
      <c r="K3206" s="55" t="str">
        <f>IFERROR(IF($G3206="","",VLOOKUP('Dashboard And Emails Automate'!$G3206,Database!$H:$N,5,0)),"")</f>
        <v/>
      </c>
      <c r="L3206" s="55" t="str">
        <f>IFERROR(IF($G3206="","",VLOOKUP('Dashboard And Emails Automate'!$G3206,Database!$H:$N,6,0)),"")</f>
        <v/>
      </c>
      <c r="M3206" s="55" t="str">
        <f>IFERROR(IF($G3206="","",VLOOKUP('Dashboard And Emails Automate'!$G3206,Database!$H:$N,7,0)),"")</f>
        <v/>
      </c>
      <c r="N3206" s="55" t="str">
        <f>IFERROR(IF(OR($B3206="",$B3206="(blank)"),"",VLOOKUP($B3206,'Email Marketing Raw Data'!$C:$O,6,0)),"")</f>
        <v/>
      </c>
      <c r="O3206" s="55" t="str">
        <f>IFERROR(IF(OR($B3206="",$B3206="(blank)"),"",VLOOKUP($B3206,'Email Marketing Raw Data'!$C:$O,7,0)),"")</f>
        <v/>
      </c>
      <c r="P3206" s="55" t="str">
        <f>IFERROR(IF(OR($B3206="",$B3206="(blank)"),"",VLOOKUP($B3206,'Email Marketing Raw Data'!$C:$O,8,0)),"")</f>
        <v/>
      </c>
      <c r="Q3206" s="62" t="str">
        <f>IFERROR(IF(OR($B3206="",$B3206="(blank)"),"",VLOOKUP($B3206,'Email Marketing Raw Data'!$C:$O,9,0)),"")</f>
        <v/>
      </c>
    </row>
    <row r="3207" spans="4:17" ht="12.75" customHeight="1" x14ac:dyDescent="0.2">
      <c r="D3207" s="58" t="str">
        <f>IFERROR(IF(F3207&lt;&gt;"pending","",IF(OR($B3207="",$B3207="(blank)"),"",VLOOKUP($B3207,'Email Marketing Raw Data'!$C:$O,10,0))),"")</f>
        <v/>
      </c>
      <c r="E3207" s="59" t="str">
        <f>IFERROR(IF(F3207&lt;&gt;"pending","",IF(OR($B3207="",$B3207="(blank)"),"",VLOOKUP($B3207,'Email Marketing Raw Data'!$C:$O,11,0))),"")</f>
        <v/>
      </c>
      <c r="F3207" s="54" t="str">
        <f>IFERROR(IF(OR($B3207="",$B3207="(blank)"),"",VLOOKUP($B3207,'Email Marketing Raw Data'!$C:$O,13,0)),"")</f>
        <v/>
      </c>
      <c r="G3207" s="55" t="str">
        <f>IFERROR(IF(OR($B3207="",$B3207="(blank)"),"",VLOOKUP($B3207,'Email Marketing Raw Data'!$C:$O,4,0)),"")</f>
        <v/>
      </c>
      <c r="H3207" s="55" t="str">
        <f>IFERROR(IF(OR($B3207="",$B3207="(blank)"),"",VLOOKUP($B3207,'Email Marketing Raw Data'!$C:$O,5,0)),"")</f>
        <v/>
      </c>
      <c r="I3207" s="55" t="str">
        <f>IFERROR(IF($G3207="","",VLOOKUP('Dashboard And Emails Automate'!$G3207,Database!$H:$N,3,0)),"")</f>
        <v/>
      </c>
      <c r="J3207" s="55" t="str">
        <f>IFERROR(IF($G3207="","",VLOOKUP('Dashboard And Emails Automate'!$G3207,Database!$H:$N,4,0)),"")</f>
        <v/>
      </c>
      <c r="K3207" s="55" t="str">
        <f>IFERROR(IF($G3207="","",VLOOKUP('Dashboard And Emails Automate'!$G3207,Database!$H:$N,5,0)),"")</f>
        <v/>
      </c>
      <c r="L3207" s="55" t="str">
        <f>IFERROR(IF($G3207="","",VLOOKUP('Dashboard And Emails Automate'!$G3207,Database!$H:$N,6,0)),"")</f>
        <v/>
      </c>
      <c r="M3207" s="55" t="str">
        <f>IFERROR(IF($G3207="","",VLOOKUP('Dashboard And Emails Automate'!$G3207,Database!$H:$N,7,0)),"")</f>
        <v/>
      </c>
      <c r="N3207" s="55" t="str">
        <f>IFERROR(IF(OR($B3207="",$B3207="(blank)"),"",VLOOKUP($B3207,'Email Marketing Raw Data'!$C:$O,6,0)),"")</f>
        <v/>
      </c>
      <c r="O3207" s="55" t="str">
        <f>IFERROR(IF(OR($B3207="",$B3207="(blank)"),"",VLOOKUP($B3207,'Email Marketing Raw Data'!$C:$O,7,0)),"")</f>
        <v/>
      </c>
      <c r="P3207" s="55" t="str">
        <f>IFERROR(IF(OR($B3207="",$B3207="(blank)"),"",VLOOKUP($B3207,'Email Marketing Raw Data'!$C:$O,8,0)),"")</f>
        <v/>
      </c>
      <c r="Q3207" s="62" t="str">
        <f>IFERROR(IF(OR($B3207="",$B3207="(blank)"),"",VLOOKUP($B3207,'Email Marketing Raw Data'!$C:$O,9,0)),"")</f>
        <v/>
      </c>
    </row>
    <row r="3208" spans="4:17" ht="12.75" customHeight="1" x14ac:dyDescent="0.2">
      <c r="D3208" s="58" t="str">
        <f>IFERROR(IF(F3208&lt;&gt;"pending","",IF(OR($B3208="",$B3208="(blank)"),"",VLOOKUP($B3208,'Email Marketing Raw Data'!$C:$O,10,0))),"")</f>
        <v/>
      </c>
      <c r="E3208" s="59" t="str">
        <f>IFERROR(IF(F3208&lt;&gt;"pending","",IF(OR($B3208="",$B3208="(blank)"),"",VLOOKUP($B3208,'Email Marketing Raw Data'!$C:$O,11,0))),"")</f>
        <v/>
      </c>
      <c r="F3208" s="54" t="str">
        <f>IFERROR(IF(OR($B3208="",$B3208="(blank)"),"",VLOOKUP($B3208,'Email Marketing Raw Data'!$C:$O,13,0)),"")</f>
        <v/>
      </c>
      <c r="G3208" s="55" t="str">
        <f>IFERROR(IF(OR($B3208="",$B3208="(blank)"),"",VLOOKUP($B3208,'Email Marketing Raw Data'!$C:$O,4,0)),"")</f>
        <v/>
      </c>
      <c r="H3208" s="55" t="str">
        <f>IFERROR(IF(OR($B3208="",$B3208="(blank)"),"",VLOOKUP($B3208,'Email Marketing Raw Data'!$C:$O,5,0)),"")</f>
        <v/>
      </c>
      <c r="I3208" s="55" t="str">
        <f>IFERROR(IF($G3208="","",VLOOKUP('Dashboard And Emails Automate'!$G3208,Database!$H:$N,3,0)),"")</f>
        <v/>
      </c>
      <c r="J3208" s="55" t="str">
        <f>IFERROR(IF($G3208="","",VLOOKUP('Dashboard And Emails Automate'!$G3208,Database!$H:$N,4,0)),"")</f>
        <v/>
      </c>
      <c r="K3208" s="55" t="str">
        <f>IFERROR(IF($G3208="","",VLOOKUP('Dashboard And Emails Automate'!$G3208,Database!$H:$N,5,0)),"")</f>
        <v/>
      </c>
      <c r="L3208" s="55" t="str">
        <f>IFERROR(IF($G3208="","",VLOOKUP('Dashboard And Emails Automate'!$G3208,Database!$H:$N,6,0)),"")</f>
        <v/>
      </c>
      <c r="M3208" s="55" t="str">
        <f>IFERROR(IF($G3208="","",VLOOKUP('Dashboard And Emails Automate'!$G3208,Database!$H:$N,7,0)),"")</f>
        <v/>
      </c>
      <c r="N3208" s="55" t="str">
        <f>IFERROR(IF(OR($B3208="",$B3208="(blank)"),"",VLOOKUP($B3208,'Email Marketing Raw Data'!$C:$O,6,0)),"")</f>
        <v/>
      </c>
      <c r="O3208" s="55" t="str">
        <f>IFERROR(IF(OR($B3208="",$B3208="(blank)"),"",VLOOKUP($B3208,'Email Marketing Raw Data'!$C:$O,7,0)),"")</f>
        <v/>
      </c>
      <c r="P3208" s="55" t="str">
        <f>IFERROR(IF(OR($B3208="",$B3208="(blank)"),"",VLOOKUP($B3208,'Email Marketing Raw Data'!$C:$O,8,0)),"")</f>
        <v/>
      </c>
      <c r="Q3208" s="62" t="str">
        <f>IFERROR(IF(OR($B3208="",$B3208="(blank)"),"",VLOOKUP($B3208,'Email Marketing Raw Data'!$C:$O,9,0)),"")</f>
        <v/>
      </c>
    </row>
    <row r="3209" spans="4:17" ht="12.75" customHeight="1" x14ac:dyDescent="0.2">
      <c r="D3209" s="58" t="str">
        <f>IFERROR(IF(F3209&lt;&gt;"pending","",IF(OR($B3209="",$B3209="(blank)"),"",VLOOKUP($B3209,'Email Marketing Raw Data'!$C:$O,10,0))),"")</f>
        <v/>
      </c>
      <c r="E3209" s="59" t="str">
        <f>IFERROR(IF(F3209&lt;&gt;"pending","",IF(OR($B3209="",$B3209="(blank)"),"",VLOOKUP($B3209,'Email Marketing Raw Data'!$C:$O,11,0))),"")</f>
        <v/>
      </c>
      <c r="F3209" s="54" t="str">
        <f>IFERROR(IF(OR($B3209="",$B3209="(blank)"),"",VLOOKUP($B3209,'Email Marketing Raw Data'!$C:$O,13,0)),"")</f>
        <v/>
      </c>
      <c r="G3209" s="55" t="str">
        <f>IFERROR(IF(OR($B3209="",$B3209="(blank)"),"",VLOOKUP($B3209,'Email Marketing Raw Data'!$C:$O,4,0)),"")</f>
        <v/>
      </c>
      <c r="H3209" s="55" t="str">
        <f>IFERROR(IF(OR($B3209="",$B3209="(blank)"),"",VLOOKUP($B3209,'Email Marketing Raw Data'!$C:$O,5,0)),"")</f>
        <v/>
      </c>
      <c r="I3209" s="55" t="str">
        <f>IFERROR(IF($G3209="","",VLOOKUP('Dashboard And Emails Automate'!$G3209,Database!$H:$N,3,0)),"")</f>
        <v/>
      </c>
      <c r="J3209" s="55" t="str">
        <f>IFERROR(IF($G3209="","",VLOOKUP('Dashboard And Emails Automate'!$G3209,Database!$H:$N,4,0)),"")</f>
        <v/>
      </c>
      <c r="K3209" s="55" t="str">
        <f>IFERROR(IF($G3209="","",VLOOKUP('Dashboard And Emails Automate'!$G3209,Database!$H:$N,5,0)),"")</f>
        <v/>
      </c>
      <c r="L3209" s="55" t="str">
        <f>IFERROR(IF($G3209="","",VLOOKUP('Dashboard And Emails Automate'!$G3209,Database!$H:$N,6,0)),"")</f>
        <v/>
      </c>
      <c r="M3209" s="55" t="str">
        <f>IFERROR(IF($G3209="","",VLOOKUP('Dashboard And Emails Automate'!$G3209,Database!$H:$N,7,0)),"")</f>
        <v/>
      </c>
      <c r="N3209" s="55" t="str">
        <f>IFERROR(IF(OR($B3209="",$B3209="(blank)"),"",VLOOKUP($B3209,'Email Marketing Raw Data'!$C:$O,6,0)),"")</f>
        <v/>
      </c>
      <c r="O3209" s="55" t="str">
        <f>IFERROR(IF(OR($B3209="",$B3209="(blank)"),"",VLOOKUP($B3209,'Email Marketing Raw Data'!$C:$O,7,0)),"")</f>
        <v/>
      </c>
      <c r="P3209" s="55" t="str">
        <f>IFERROR(IF(OR($B3209="",$B3209="(blank)"),"",VLOOKUP($B3209,'Email Marketing Raw Data'!$C:$O,8,0)),"")</f>
        <v/>
      </c>
      <c r="Q3209" s="62" t="str">
        <f>IFERROR(IF(OR($B3209="",$B3209="(blank)"),"",VLOOKUP($B3209,'Email Marketing Raw Data'!$C:$O,9,0)),"")</f>
        <v/>
      </c>
    </row>
    <row r="3210" spans="4:17" ht="12.75" customHeight="1" x14ac:dyDescent="0.2">
      <c r="D3210" s="58" t="str">
        <f>IFERROR(IF(F3210&lt;&gt;"pending","",IF(OR($B3210="",$B3210="(blank)"),"",VLOOKUP($B3210,'Email Marketing Raw Data'!$C:$O,10,0))),"")</f>
        <v/>
      </c>
      <c r="E3210" s="59" t="str">
        <f>IFERROR(IF(F3210&lt;&gt;"pending","",IF(OR($B3210="",$B3210="(blank)"),"",VLOOKUP($B3210,'Email Marketing Raw Data'!$C:$O,11,0))),"")</f>
        <v/>
      </c>
      <c r="F3210" s="54" t="str">
        <f>IFERROR(IF(OR($B3210="",$B3210="(blank)"),"",VLOOKUP($B3210,'Email Marketing Raw Data'!$C:$O,13,0)),"")</f>
        <v/>
      </c>
      <c r="G3210" s="55" t="str">
        <f>IFERROR(IF(OR($B3210="",$B3210="(blank)"),"",VLOOKUP($B3210,'Email Marketing Raw Data'!$C:$O,4,0)),"")</f>
        <v/>
      </c>
      <c r="H3210" s="55" t="str">
        <f>IFERROR(IF(OR($B3210="",$B3210="(blank)"),"",VLOOKUP($B3210,'Email Marketing Raw Data'!$C:$O,5,0)),"")</f>
        <v/>
      </c>
      <c r="I3210" s="55" t="str">
        <f>IFERROR(IF($G3210="","",VLOOKUP('Dashboard And Emails Automate'!$G3210,Database!$H:$N,3,0)),"")</f>
        <v/>
      </c>
      <c r="J3210" s="55" t="str">
        <f>IFERROR(IF($G3210="","",VLOOKUP('Dashboard And Emails Automate'!$G3210,Database!$H:$N,4,0)),"")</f>
        <v/>
      </c>
      <c r="K3210" s="55" t="str">
        <f>IFERROR(IF($G3210="","",VLOOKUP('Dashboard And Emails Automate'!$G3210,Database!$H:$N,5,0)),"")</f>
        <v/>
      </c>
      <c r="L3210" s="55" t="str">
        <f>IFERROR(IF($G3210="","",VLOOKUP('Dashboard And Emails Automate'!$G3210,Database!$H:$N,6,0)),"")</f>
        <v/>
      </c>
      <c r="M3210" s="55" t="str">
        <f>IFERROR(IF($G3210="","",VLOOKUP('Dashboard And Emails Automate'!$G3210,Database!$H:$N,7,0)),"")</f>
        <v/>
      </c>
      <c r="N3210" s="55" t="str">
        <f>IFERROR(IF(OR($B3210="",$B3210="(blank)"),"",VLOOKUP($B3210,'Email Marketing Raw Data'!$C:$O,6,0)),"")</f>
        <v/>
      </c>
      <c r="O3210" s="55" t="str">
        <f>IFERROR(IF(OR($B3210="",$B3210="(blank)"),"",VLOOKUP($B3210,'Email Marketing Raw Data'!$C:$O,7,0)),"")</f>
        <v/>
      </c>
      <c r="P3210" s="55" t="str">
        <f>IFERROR(IF(OR($B3210="",$B3210="(blank)"),"",VLOOKUP($B3210,'Email Marketing Raw Data'!$C:$O,8,0)),"")</f>
        <v/>
      </c>
      <c r="Q3210" s="62" t="str">
        <f>IFERROR(IF(OR($B3210="",$B3210="(blank)"),"",VLOOKUP($B3210,'Email Marketing Raw Data'!$C:$O,9,0)),"")</f>
        <v/>
      </c>
    </row>
    <row r="3211" spans="4:17" ht="12.75" customHeight="1" x14ac:dyDescent="0.2">
      <c r="D3211" s="58" t="str">
        <f>IFERROR(IF(F3211&lt;&gt;"pending","",IF(OR($B3211="",$B3211="(blank)"),"",VLOOKUP($B3211,'Email Marketing Raw Data'!$C:$O,10,0))),"")</f>
        <v/>
      </c>
      <c r="E3211" s="59" t="str">
        <f>IFERROR(IF(F3211&lt;&gt;"pending","",IF(OR($B3211="",$B3211="(blank)"),"",VLOOKUP($B3211,'Email Marketing Raw Data'!$C:$O,11,0))),"")</f>
        <v/>
      </c>
      <c r="F3211" s="54" t="str">
        <f>IFERROR(IF(OR($B3211="",$B3211="(blank)"),"",VLOOKUP($B3211,'Email Marketing Raw Data'!$C:$O,13,0)),"")</f>
        <v/>
      </c>
      <c r="G3211" s="55" t="str">
        <f>IFERROR(IF(OR($B3211="",$B3211="(blank)"),"",VLOOKUP($B3211,'Email Marketing Raw Data'!$C:$O,4,0)),"")</f>
        <v/>
      </c>
      <c r="H3211" s="55" t="str">
        <f>IFERROR(IF(OR($B3211="",$B3211="(blank)"),"",VLOOKUP($B3211,'Email Marketing Raw Data'!$C:$O,5,0)),"")</f>
        <v/>
      </c>
      <c r="I3211" s="55" t="str">
        <f>IFERROR(IF($G3211="","",VLOOKUP('Dashboard And Emails Automate'!$G3211,Database!$H:$N,3,0)),"")</f>
        <v/>
      </c>
      <c r="J3211" s="55" t="str">
        <f>IFERROR(IF($G3211="","",VLOOKUP('Dashboard And Emails Automate'!$G3211,Database!$H:$N,4,0)),"")</f>
        <v/>
      </c>
      <c r="K3211" s="55" t="str">
        <f>IFERROR(IF($G3211="","",VLOOKUP('Dashboard And Emails Automate'!$G3211,Database!$H:$N,5,0)),"")</f>
        <v/>
      </c>
      <c r="L3211" s="55" t="str">
        <f>IFERROR(IF($G3211="","",VLOOKUP('Dashboard And Emails Automate'!$G3211,Database!$H:$N,6,0)),"")</f>
        <v/>
      </c>
      <c r="M3211" s="55" t="str">
        <f>IFERROR(IF($G3211="","",VLOOKUP('Dashboard And Emails Automate'!$G3211,Database!$H:$N,7,0)),"")</f>
        <v/>
      </c>
      <c r="N3211" s="55" t="str">
        <f>IFERROR(IF(OR($B3211="",$B3211="(blank)"),"",VLOOKUP($B3211,'Email Marketing Raw Data'!$C:$O,6,0)),"")</f>
        <v/>
      </c>
      <c r="O3211" s="55" t="str">
        <f>IFERROR(IF(OR($B3211="",$B3211="(blank)"),"",VLOOKUP($B3211,'Email Marketing Raw Data'!$C:$O,7,0)),"")</f>
        <v/>
      </c>
      <c r="P3211" s="55" t="str">
        <f>IFERROR(IF(OR($B3211="",$B3211="(blank)"),"",VLOOKUP($B3211,'Email Marketing Raw Data'!$C:$O,8,0)),"")</f>
        <v/>
      </c>
      <c r="Q3211" s="62" t="str">
        <f>IFERROR(IF(OR($B3211="",$B3211="(blank)"),"",VLOOKUP($B3211,'Email Marketing Raw Data'!$C:$O,9,0)),"")</f>
        <v/>
      </c>
    </row>
    <row r="3212" spans="4:17" ht="12.75" customHeight="1" x14ac:dyDescent="0.2">
      <c r="D3212" s="58" t="str">
        <f>IFERROR(IF(F3212&lt;&gt;"pending","",IF(OR($B3212="",$B3212="(blank)"),"",VLOOKUP($B3212,'Email Marketing Raw Data'!$C:$O,10,0))),"")</f>
        <v/>
      </c>
      <c r="E3212" s="59" t="str">
        <f>IFERROR(IF(F3212&lt;&gt;"pending","",IF(OR($B3212="",$B3212="(blank)"),"",VLOOKUP($B3212,'Email Marketing Raw Data'!$C:$O,11,0))),"")</f>
        <v/>
      </c>
      <c r="F3212" s="54" t="str">
        <f>IFERROR(IF(OR($B3212="",$B3212="(blank)"),"",VLOOKUP($B3212,'Email Marketing Raw Data'!$C:$O,13,0)),"")</f>
        <v/>
      </c>
      <c r="G3212" s="55" t="str">
        <f>IFERROR(IF(OR($B3212="",$B3212="(blank)"),"",VLOOKUP($B3212,'Email Marketing Raw Data'!$C:$O,4,0)),"")</f>
        <v/>
      </c>
      <c r="H3212" s="55" t="str">
        <f>IFERROR(IF(OR($B3212="",$B3212="(blank)"),"",VLOOKUP($B3212,'Email Marketing Raw Data'!$C:$O,5,0)),"")</f>
        <v/>
      </c>
      <c r="I3212" s="55" t="str">
        <f>IFERROR(IF($G3212="","",VLOOKUP('Dashboard And Emails Automate'!$G3212,Database!$H:$N,3,0)),"")</f>
        <v/>
      </c>
      <c r="J3212" s="55" t="str">
        <f>IFERROR(IF($G3212="","",VLOOKUP('Dashboard And Emails Automate'!$G3212,Database!$H:$N,4,0)),"")</f>
        <v/>
      </c>
      <c r="K3212" s="55" t="str">
        <f>IFERROR(IF($G3212="","",VLOOKUP('Dashboard And Emails Automate'!$G3212,Database!$H:$N,5,0)),"")</f>
        <v/>
      </c>
      <c r="L3212" s="55" t="str">
        <f>IFERROR(IF($G3212="","",VLOOKUP('Dashboard And Emails Automate'!$G3212,Database!$H:$N,6,0)),"")</f>
        <v/>
      </c>
      <c r="M3212" s="55" t="str">
        <f>IFERROR(IF($G3212="","",VLOOKUP('Dashboard And Emails Automate'!$G3212,Database!$H:$N,7,0)),"")</f>
        <v/>
      </c>
      <c r="N3212" s="55" t="str">
        <f>IFERROR(IF(OR($B3212="",$B3212="(blank)"),"",VLOOKUP($B3212,'Email Marketing Raw Data'!$C:$O,6,0)),"")</f>
        <v/>
      </c>
      <c r="O3212" s="55" t="str">
        <f>IFERROR(IF(OR($B3212="",$B3212="(blank)"),"",VLOOKUP($B3212,'Email Marketing Raw Data'!$C:$O,7,0)),"")</f>
        <v/>
      </c>
      <c r="P3212" s="55" t="str">
        <f>IFERROR(IF(OR($B3212="",$B3212="(blank)"),"",VLOOKUP($B3212,'Email Marketing Raw Data'!$C:$O,8,0)),"")</f>
        <v/>
      </c>
      <c r="Q3212" s="62" t="str">
        <f>IFERROR(IF(OR($B3212="",$B3212="(blank)"),"",VLOOKUP($B3212,'Email Marketing Raw Data'!$C:$O,9,0)),"")</f>
        <v/>
      </c>
    </row>
    <row r="3213" spans="4:17" ht="12.75" customHeight="1" x14ac:dyDescent="0.2">
      <c r="D3213" s="58" t="str">
        <f>IFERROR(IF(F3213&lt;&gt;"pending","",IF(OR($B3213="",$B3213="(blank)"),"",VLOOKUP($B3213,'Email Marketing Raw Data'!$C:$O,10,0))),"")</f>
        <v/>
      </c>
      <c r="E3213" s="59" t="str">
        <f>IFERROR(IF(F3213&lt;&gt;"pending","",IF(OR($B3213="",$B3213="(blank)"),"",VLOOKUP($B3213,'Email Marketing Raw Data'!$C:$O,11,0))),"")</f>
        <v/>
      </c>
      <c r="F3213" s="54" t="str">
        <f>IFERROR(IF(OR($B3213="",$B3213="(blank)"),"",VLOOKUP($B3213,'Email Marketing Raw Data'!$C:$O,13,0)),"")</f>
        <v/>
      </c>
      <c r="G3213" s="55" t="str">
        <f>IFERROR(IF(OR($B3213="",$B3213="(blank)"),"",VLOOKUP($B3213,'Email Marketing Raw Data'!$C:$O,4,0)),"")</f>
        <v/>
      </c>
      <c r="H3213" s="55" t="str">
        <f>IFERROR(IF(OR($B3213="",$B3213="(blank)"),"",VLOOKUP($B3213,'Email Marketing Raw Data'!$C:$O,5,0)),"")</f>
        <v/>
      </c>
      <c r="I3213" s="55" t="str">
        <f>IFERROR(IF($G3213="","",VLOOKUP('Dashboard And Emails Automate'!$G3213,Database!$H:$N,3,0)),"")</f>
        <v/>
      </c>
      <c r="J3213" s="55" t="str">
        <f>IFERROR(IF($G3213="","",VLOOKUP('Dashboard And Emails Automate'!$G3213,Database!$H:$N,4,0)),"")</f>
        <v/>
      </c>
      <c r="K3213" s="55" t="str">
        <f>IFERROR(IF($G3213="","",VLOOKUP('Dashboard And Emails Automate'!$G3213,Database!$H:$N,5,0)),"")</f>
        <v/>
      </c>
      <c r="L3213" s="55" t="str">
        <f>IFERROR(IF($G3213="","",VLOOKUP('Dashboard And Emails Automate'!$G3213,Database!$H:$N,6,0)),"")</f>
        <v/>
      </c>
      <c r="M3213" s="55" t="str">
        <f>IFERROR(IF($G3213="","",VLOOKUP('Dashboard And Emails Automate'!$G3213,Database!$H:$N,7,0)),"")</f>
        <v/>
      </c>
      <c r="N3213" s="55" t="str">
        <f>IFERROR(IF(OR($B3213="",$B3213="(blank)"),"",VLOOKUP($B3213,'Email Marketing Raw Data'!$C:$O,6,0)),"")</f>
        <v/>
      </c>
      <c r="O3213" s="55" t="str">
        <f>IFERROR(IF(OR($B3213="",$B3213="(blank)"),"",VLOOKUP($B3213,'Email Marketing Raw Data'!$C:$O,7,0)),"")</f>
        <v/>
      </c>
      <c r="P3213" s="55" t="str">
        <f>IFERROR(IF(OR($B3213="",$B3213="(blank)"),"",VLOOKUP($B3213,'Email Marketing Raw Data'!$C:$O,8,0)),"")</f>
        <v/>
      </c>
      <c r="Q3213" s="62" t="str">
        <f>IFERROR(IF(OR($B3213="",$B3213="(blank)"),"",VLOOKUP($B3213,'Email Marketing Raw Data'!$C:$O,9,0)),"")</f>
        <v/>
      </c>
    </row>
    <row r="3214" spans="4:17" ht="12.75" customHeight="1" x14ac:dyDescent="0.2">
      <c r="D3214" s="58" t="str">
        <f>IFERROR(IF(F3214&lt;&gt;"pending","",IF(OR($B3214="",$B3214="(blank)"),"",VLOOKUP($B3214,'Email Marketing Raw Data'!$C:$O,10,0))),"")</f>
        <v/>
      </c>
      <c r="E3214" s="59" t="str">
        <f>IFERROR(IF(F3214&lt;&gt;"pending","",IF(OR($B3214="",$B3214="(blank)"),"",VLOOKUP($B3214,'Email Marketing Raw Data'!$C:$O,11,0))),"")</f>
        <v/>
      </c>
      <c r="F3214" s="54" t="str">
        <f>IFERROR(IF(OR($B3214="",$B3214="(blank)"),"",VLOOKUP($B3214,'Email Marketing Raw Data'!$C:$O,13,0)),"")</f>
        <v/>
      </c>
      <c r="G3214" s="55" t="str">
        <f>IFERROR(IF(OR($B3214="",$B3214="(blank)"),"",VLOOKUP($B3214,'Email Marketing Raw Data'!$C:$O,4,0)),"")</f>
        <v/>
      </c>
      <c r="H3214" s="55" t="str">
        <f>IFERROR(IF(OR($B3214="",$B3214="(blank)"),"",VLOOKUP($B3214,'Email Marketing Raw Data'!$C:$O,5,0)),"")</f>
        <v/>
      </c>
      <c r="I3214" s="55" t="str">
        <f>IFERROR(IF($G3214="","",VLOOKUP('Dashboard And Emails Automate'!$G3214,Database!$H:$N,3,0)),"")</f>
        <v/>
      </c>
      <c r="J3214" s="55" t="str">
        <f>IFERROR(IF($G3214="","",VLOOKUP('Dashboard And Emails Automate'!$G3214,Database!$H:$N,4,0)),"")</f>
        <v/>
      </c>
      <c r="K3214" s="55" t="str">
        <f>IFERROR(IF($G3214="","",VLOOKUP('Dashboard And Emails Automate'!$G3214,Database!$H:$N,5,0)),"")</f>
        <v/>
      </c>
      <c r="L3214" s="55" t="str">
        <f>IFERROR(IF($G3214="","",VLOOKUP('Dashboard And Emails Automate'!$G3214,Database!$H:$N,6,0)),"")</f>
        <v/>
      </c>
      <c r="M3214" s="55" t="str">
        <f>IFERROR(IF($G3214="","",VLOOKUP('Dashboard And Emails Automate'!$G3214,Database!$H:$N,7,0)),"")</f>
        <v/>
      </c>
      <c r="N3214" s="55" t="str">
        <f>IFERROR(IF(OR($B3214="",$B3214="(blank)"),"",VLOOKUP($B3214,'Email Marketing Raw Data'!$C:$O,6,0)),"")</f>
        <v/>
      </c>
      <c r="O3214" s="55" t="str">
        <f>IFERROR(IF(OR($B3214="",$B3214="(blank)"),"",VLOOKUP($B3214,'Email Marketing Raw Data'!$C:$O,7,0)),"")</f>
        <v/>
      </c>
      <c r="P3214" s="55" t="str">
        <f>IFERROR(IF(OR($B3214="",$B3214="(blank)"),"",VLOOKUP($B3214,'Email Marketing Raw Data'!$C:$O,8,0)),"")</f>
        <v/>
      </c>
      <c r="Q3214" s="62" t="str">
        <f>IFERROR(IF(OR($B3214="",$B3214="(blank)"),"",VLOOKUP($B3214,'Email Marketing Raw Data'!$C:$O,9,0)),"")</f>
        <v/>
      </c>
    </row>
    <row r="3215" spans="4:17" ht="12.75" customHeight="1" x14ac:dyDescent="0.2">
      <c r="D3215" s="58" t="str">
        <f>IFERROR(IF(F3215&lt;&gt;"pending","",IF(OR($B3215="",$B3215="(blank)"),"",VLOOKUP($B3215,'Email Marketing Raw Data'!$C:$O,10,0))),"")</f>
        <v/>
      </c>
      <c r="E3215" s="59" t="str">
        <f>IFERROR(IF(F3215&lt;&gt;"pending","",IF(OR($B3215="",$B3215="(blank)"),"",VLOOKUP($B3215,'Email Marketing Raw Data'!$C:$O,11,0))),"")</f>
        <v/>
      </c>
      <c r="F3215" s="54" t="str">
        <f>IFERROR(IF(OR($B3215="",$B3215="(blank)"),"",VLOOKUP($B3215,'Email Marketing Raw Data'!$C:$O,13,0)),"")</f>
        <v/>
      </c>
      <c r="G3215" s="55" t="str">
        <f>IFERROR(IF(OR($B3215="",$B3215="(blank)"),"",VLOOKUP($B3215,'Email Marketing Raw Data'!$C:$O,4,0)),"")</f>
        <v/>
      </c>
      <c r="H3215" s="55" t="str">
        <f>IFERROR(IF(OR($B3215="",$B3215="(blank)"),"",VLOOKUP($B3215,'Email Marketing Raw Data'!$C:$O,5,0)),"")</f>
        <v/>
      </c>
      <c r="I3215" s="55" t="str">
        <f>IFERROR(IF($G3215="","",VLOOKUP('Dashboard And Emails Automate'!$G3215,Database!$H:$N,3,0)),"")</f>
        <v/>
      </c>
      <c r="J3215" s="55" t="str">
        <f>IFERROR(IF($G3215="","",VLOOKUP('Dashboard And Emails Automate'!$G3215,Database!$H:$N,4,0)),"")</f>
        <v/>
      </c>
      <c r="K3215" s="55" t="str">
        <f>IFERROR(IF($G3215="","",VLOOKUP('Dashboard And Emails Automate'!$G3215,Database!$H:$N,5,0)),"")</f>
        <v/>
      </c>
      <c r="L3215" s="55" t="str">
        <f>IFERROR(IF($G3215="","",VLOOKUP('Dashboard And Emails Automate'!$G3215,Database!$H:$N,6,0)),"")</f>
        <v/>
      </c>
      <c r="M3215" s="55" t="str">
        <f>IFERROR(IF($G3215="","",VLOOKUP('Dashboard And Emails Automate'!$G3215,Database!$H:$N,7,0)),"")</f>
        <v/>
      </c>
      <c r="N3215" s="55" t="str">
        <f>IFERROR(IF(OR($B3215="",$B3215="(blank)"),"",VLOOKUP($B3215,'Email Marketing Raw Data'!$C:$O,6,0)),"")</f>
        <v/>
      </c>
      <c r="O3215" s="55" t="str">
        <f>IFERROR(IF(OR($B3215="",$B3215="(blank)"),"",VLOOKUP($B3215,'Email Marketing Raw Data'!$C:$O,7,0)),"")</f>
        <v/>
      </c>
      <c r="P3215" s="55" t="str">
        <f>IFERROR(IF(OR($B3215="",$B3215="(blank)"),"",VLOOKUP($B3215,'Email Marketing Raw Data'!$C:$O,8,0)),"")</f>
        <v/>
      </c>
      <c r="Q3215" s="62" t="str">
        <f>IFERROR(IF(OR($B3215="",$B3215="(blank)"),"",VLOOKUP($B3215,'Email Marketing Raw Data'!$C:$O,9,0)),"")</f>
        <v/>
      </c>
    </row>
    <row r="3216" spans="4:17" ht="12.75" customHeight="1" x14ac:dyDescent="0.2">
      <c r="D3216" s="58" t="str">
        <f>IFERROR(IF(F3216&lt;&gt;"pending","",IF(OR($B3216="",$B3216="(blank)"),"",VLOOKUP($B3216,'Email Marketing Raw Data'!$C:$O,10,0))),"")</f>
        <v/>
      </c>
      <c r="E3216" s="59" t="str">
        <f>IFERROR(IF(F3216&lt;&gt;"pending","",IF(OR($B3216="",$B3216="(blank)"),"",VLOOKUP($B3216,'Email Marketing Raw Data'!$C:$O,11,0))),"")</f>
        <v/>
      </c>
      <c r="F3216" s="54" t="str">
        <f>IFERROR(IF(OR($B3216="",$B3216="(blank)"),"",VLOOKUP($B3216,'Email Marketing Raw Data'!$C:$O,13,0)),"")</f>
        <v/>
      </c>
      <c r="G3216" s="55" t="str">
        <f>IFERROR(IF(OR($B3216="",$B3216="(blank)"),"",VLOOKUP($B3216,'Email Marketing Raw Data'!$C:$O,4,0)),"")</f>
        <v/>
      </c>
      <c r="H3216" s="55" t="str">
        <f>IFERROR(IF(OR($B3216="",$B3216="(blank)"),"",VLOOKUP($B3216,'Email Marketing Raw Data'!$C:$O,5,0)),"")</f>
        <v/>
      </c>
      <c r="I3216" s="55" t="str">
        <f>IFERROR(IF($G3216="","",VLOOKUP('Dashboard And Emails Automate'!$G3216,Database!$H:$N,3,0)),"")</f>
        <v/>
      </c>
      <c r="J3216" s="55" t="str">
        <f>IFERROR(IF($G3216="","",VLOOKUP('Dashboard And Emails Automate'!$G3216,Database!$H:$N,4,0)),"")</f>
        <v/>
      </c>
      <c r="K3216" s="55" t="str">
        <f>IFERROR(IF($G3216="","",VLOOKUP('Dashboard And Emails Automate'!$G3216,Database!$H:$N,5,0)),"")</f>
        <v/>
      </c>
      <c r="L3216" s="55" t="str">
        <f>IFERROR(IF($G3216="","",VLOOKUP('Dashboard And Emails Automate'!$G3216,Database!$H:$N,6,0)),"")</f>
        <v/>
      </c>
      <c r="M3216" s="55" t="str">
        <f>IFERROR(IF($G3216="","",VLOOKUP('Dashboard And Emails Automate'!$G3216,Database!$H:$N,7,0)),"")</f>
        <v/>
      </c>
      <c r="N3216" s="55" t="str">
        <f>IFERROR(IF(OR($B3216="",$B3216="(blank)"),"",VLOOKUP($B3216,'Email Marketing Raw Data'!$C:$O,6,0)),"")</f>
        <v/>
      </c>
      <c r="O3216" s="55" t="str">
        <f>IFERROR(IF(OR($B3216="",$B3216="(blank)"),"",VLOOKUP($B3216,'Email Marketing Raw Data'!$C:$O,7,0)),"")</f>
        <v/>
      </c>
      <c r="P3216" s="55" t="str">
        <f>IFERROR(IF(OR($B3216="",$B3216="(blank)"),"",VLOOKUP($B3216,'Email Marketing Raw Data'!$C:$O,8,0)),"")</f>
        <v/>
      </c>
      <c r="Q3216" s="62" t="str">
        <f>IFERROR(IF(OR($B3216="",$B3216="(blank)"),"",VLOOKUP($B3216,'Email Marketing Raw Data'!$C:$O,9,0)),"")</f>
        <v/>
      </c>
    </row>
    <row r="3217" spans="4:17" ht="12.75" customHeight="1" x14ac:dyDescent="0.2">
      <c r="D3217" s="58" t="str">
        <f>IFERROR(IF(F3217&lt;&gt;"pending","",IF(OR($B3217="",$B3217="(blank)"),"",VLOOKUP($B3217,'Email Marketing Raw Data'!$C:$O,10,0))),"")</f>
        <v/>
      </c>
      <c r="E3217" s="59" t="str">
        <f>IFERROR(IF(F3217&lt;&gt;"pending","",IF(OR($B3217="",$B3217="(blank)"),"",VLOOKUP($B3217,'Email Marketing Raw Data'!$C:$O,11,0))),"")</f>
        <v/>
      </c>
      <c r="F3217" s="54" t="str">
        <f>IFERROR(IF(OR($B3217="",$B3217="(blank)"),"",VLOOKUP($B3217,'Email Marketing Raw Data'!$C:$O,13,0)),"")</f>
        <v/>
      </c>
      <c r="G3217" s="55" t="str">
        <f>IFERROR(IF(OR($B3217="",$B3217="(blank)"),"",VLOOKUP($B3217,'Email Marketing Raw Data'!$C:$O,4,0)),"")</f>
        <v/>
      </c>
      <c r="H3217" s="55" t="str">
        <f>IFERROR(IF(OR($B3217="",$B3217="(blank)"),"",VLOOKUP($B3217,'Email Marketing Raw Data'!$C:$O,5,0)),"")</f>
        <v/>
      </c>
      <c r="I3217" s="55" t="str">
        <f>IFERROR(IF($G3217="","",VLOOKUP('Dashboard And Emails Automate'!$G3217,Database!$H:$N,3,0)),"")</f>
        <v/>
      </c>
      <c r="J3217" s="55" t="str">
        <f>IFERROR(IF($G3217="","",VLOOKUP('Dashboard And Emails Automate'!$G3217,Database!$H:$N,4,0)),"")</f>
        <v/>
      </c>
      <c r="K3217" s="55" t="str">
        <f>IFERROR(IF($G3217="","",VLOOKUP('Dashboard And Emails Automate'!$G3217,Database!$H:$N,5,0)),"")</f>
        <v/>
      </c>
      <c r="L3217" s="55" t="str">
        <f>IFERROR(IF($G3217="","",VLOOKUP('Dashboard And Emails Automate'!$G3217,Database!$H:$N,6,0)),"")</f>
        <v/>
      </c>
      <c r="M3217" s="55" t="str">
        <f>IFERROR(IF($G3217="","",VLOOKUP('Dashboard And Emails Automate'!$G3217,Database!$H:$N,7,0)),"")</f>
        <v/>
      </c>
      <c r="N3217" s="55" t="str">
        <f>IFERROR(IF(OR($B3217="",$B3217="(blank)"),"",VLOOKUP($B3217,'Email Marketing Raw Data'!$C:$O,6,0)),"")</f>
        <v/>
      </c>
      <c r="O3217" s="55" t="str">
        <f>IFERROR(IF(OR($B3217="",$B3217="(blank)"),"",VLOOKUP($B3217,'Email Marketing Raw Data'!$C:$O,7,0)),"")</f>
        <v/>
      </c>
      <c r="P3217" s="55" t="str">
        <f>IFERROR(IF(OR($B3217="",$B3217="(blank)"),"",VLOOKUP($B3217,'Email Marketing Raw Data'!$C:$O,8,0)),"")</f>
        <v/>
      </c>
      <c r="Q3217" s="62" t="str">
        <f>IFERROR(IF(OR($B3217="",$B3217="(blank)"),"",VLOOKUP($B3217,'Email Marketing Raw Data'!$C:$O,9,0)),"")</f>
        <v/>
      </c>
    </row>
    <row r="3218" spans="4:17" ht="12.75" customHeight="1" x14ac:dyDescent="0.2">
      <c r="D3218" s="58" t="str">
        <f>IFERROR(IF(F3218&lt;&gt;"pending","",IF(OR($B3218="",$B3218="(blank)"),"",VLOOKUP($B3218,'Email Marketing Raw Data'!$C:$O,10,0))),"")</f>
        <v/>
      </c>
      <c r="E3218" s="59" t="str">
        <f>IFERROR(IF(F3218&lt;&gt;"pending","",IF(OR($B3218="",$B3218="(blank)"),"",VLOOKUP($B3218,'Email Marketing Raw Data'!$C:$O,11,0))),"")</f>
        <v/>
      </c>
      <c r="F3218" s="54" t="str">
        <f>IFERROR(IF(OR($B3218="",$B3218="(blank)"),"",VLOOKUP($B3218,'Email Marketing Raw Data'!$C:$O,13,0)),"")</f>
        <v/>
      </c>
      <c r="G3218" s="55" t="str">
        <f>IFERROR(IF(OR($B3218="",$B3218="(blank)"),"",VLOOKUP($B3218,'Email Marketing Raw Data'!$C:$O,4,0)),"")</f>
        <v/>
      </c>
      <c r="H3218" s="55" t="str">
        <f>IFERROR(IF(OR($B3218="",$B3218="(blank)"),"",VLOOKUP($B3218,'Email Marketing Raw Data'!$C:$O,5,0)),"")</f>
        <v/>
      </c>
      <c r="I3218" s="55" t="str">
        <f>IFERROR(IF($G3218="","",VLOOKUP('Dashboard And Emails Automate'!$G3218,Database!$H:$N,3,0)),"")</f>
        <v/>
      </c>
      <c r="J3218" s="55" t="str">
        <f>IFERROR(IF($G3218="","",VLOOKUP('Dashboard And Emails Automate'!$G3218,Database!$H:$N,4,0)),"")</f>
        <v/>
      </c>
      <c r="K3218" s="55" t="str">
        <f>IFERROR(IF($G3218="","",VLOOKUP('Dashboard And Emails Automate'!$G3218,Database!$H:$N,5,0)),"")</f>
        <v/>
      </c>
      <c r="L3218" s="55" t="str">
        <f>IFERROR(IF($G3218="","",VLOOKUP('Dashboard And Emails Automate'!$G3218,Database!$H:$N,6,0)),"")</f>
        <v/>
      </c>
      <c r="M3218" s="55" t="str">
        <f>IFERROR(IF($G3218="","",VLOOKUP('Dashboard And Emails Automate'!$G3218,Database!$H:$N,7,0)),"")</f>
        <v/>
      </c>
      <c r="N3218" s="55" t="str">
        <f>IFERROR(IF(OR($B3218="",$B3218="(blank)"),"",VLOOKUP($B3218,'Email Marketing Raw Data'!$C:$O,6,0)),"")</f>
        <v/>
      </c>
      <c r="O3218" s="55" t="str">
        <f>IFERROR(IF(OR($B3218="",$B3218="(blank)"),"",VLOOKUP($B3218,'Email Marketing Raw Data'!$C:$O,7,0)),"")</f>
        <v/>
      </c>
      <c r="P3218" s="55" t="str">
        <f>IFERROR(IF(OR($B3218="",$B3218="(blank)"),"",VLOOKUP($B3218,'Email Marketing Raw Data'!$C:$O,8,0)),"")</f>
        <v/>
      </c>
      <c r="Q3218" s="62" t="str">
        <f>IFERROR(IF(OR($B3218="",$B3218="(blank)"),"",VLOOKUP($B3218,'Email Marketing Raw Data'!$C:$O,9,0)),"")</f>
        <v/>
      </c>
    </row>
    <row r="3219" spans="4:17" ht="12.75" customHeight="1" x14ac:dyDescent="0.2">
      <c r="D3219" s="58" t="str">
        <f>IFERROR(IF(F3219&lt;&gt;"pending","",IF(OR($B3219="",$B3219="(blank)"),"",VLOOKUP($B3219,'Email Marketing Raw Data'!$C:$O,10,0))),"")</f>
        <v/>
      </c>
      <c r="E3219" s="59" t="str">
        <f>IFERROR(IF(F3219&lt;&gt;"pending","",IF(OR($B3219="",$B3219="(blank)"),"",VLOOKUP($B3219,'Email Marketing Raw Data'!$C:$O,11,0))),"")</f>
        <v/>
      </c>
      <c r="F3219" s="54" t="str">
        <f>IFERROR(IF(OR($B3219="",$B3219="(blank)"),"",VLOOKUP($B3219,'Email Marketing Raw Data'!$C:$O,13,0)),"")</f>
        <v/>
      </c>
      <c r="G3219" s="55" t="str">
        <f>IFERROR(IF(OR($B3219="",$B3219="(blank)"),"",VLOOKUP($B3219,'Email Marketing Raw Data'!$C:$O,4,0)),"")</f>
        <v/>
      </c>
      <c r="H3219" s="55" t="str">
        <f>IFERROR(IF(OR($B3219="",$B3219="(blank)"),"",VLOOKUP($B3219,'Email Marketing Raw Data'!$C:$O,5,0)),"")</f>
        <v/>
      </c>
      <c r="I3219" s="55" t="str">
        <f>IFERROR(IF($G3219="","",VLOOKUP('Dashboard And Emails Automate'!$G3219,Database!$H:$N,3,0)),"")</f>
        <v/>
      </c>
      <c r="J3219" s="55" t="str">
        <f>IFERROR(IF($G3219="","",VLOOKUP('Dashboard And Emails Automate'!$G3219,Database!$H:$N,4,0)),"")</f>
        <v/>
      </c>
      <c r="K3219" s="55" t="str">
        <f>IFERROR(IF($G3219="","",VLOOKUP('Dashboard And Emails Automate'!$G3219,Database!$H:$N,5,0)),"")</f>
        <v/>
      </c>
      <c r="L3219" s="55" t="str">
        <f>IFERROR(IF($G3219="","",VLOOKUP('Dashboard And Emails Automate'!$G3219,Database!$H:$N,6,0)),"")</f>
        <v/>
      </c>
      <c r="M3219" s="55" t="str">
        <f>IFERROR(IF($G3219="","",VLOOKUP('Dashboard And Emails Automate'!$G3219,Database!$H:$N,7,0)),"")</f>
        <v/>
      </c>
      <c r="N3219" s="55" t="str">
        <f>IFERROR(IF(OR($B3219="",$B3219="(blank)"),"",VLOOKUP($B3219,'Email Marketing Raw Data'!$C:$O,6,0)),"")</f>
        <v/>
      </c>
      <c r="O3219" s="55" t="str">
        <f>IFERROR(IF(OR($B3219="",$B3219="(blank)"),"",VLOOKUP($B3219,'Email Marketing Raw Data'!$C:$O,7,0)),"")</f>
        <v/>
      </c>
      <c r="P3219" s="55" t="str">
        <f>IFERROR(IF(OR($B3219="",$B3219="(blank)"),"",VLOOKUP($B3219,'Email Marketing Raw Data'!$C:$O,8,0)),"")</f>
        <v/>
      </c>
      <c r="Q3219" s="62" t="str">
        <f>IFERROR(IF(OR($B3219="",$B3219="(blank)"),"",VLOOKUP($B3219,'Email Marketing Raw Data'!$C:$O,9,0)),"")</f>
        <v/>
      </c>
    </row>
    <row r="3220" spans="4:17" ht="12.75" customHeight="1" x14ac:dyDescent="0.2">
      <c r="D3220" s="58" t="str">
        <f>IFERROR(IF(F3220&lt;&gt;"pending","",IF(OR($B3220="",$B3220="(blank)"),"",VLOOKUP($B3220,'Email Marketing Raw Data'!$C:$O,10,0))),"")</f>
        <v/>
      </c>
      <c r="E3220" s="59" t="str">
        <f>IFERROR(IF(F3220&lt;&gt;"pending","",IF(OR($B3220="",$B3220="(blank)"),"",VLOOKUP($B3220,'Email Marketing Raw Data'!$C:$O,11,0))),"")</f>
        <v/>
      </c>
      <c r="F3220" s="54" t="str">
        <f>IFERROR(IF(OR($B3220="",$B3220="(blank)"),"",VLOOKUP($B3220,'Email Marketing Raw Data'!$C:$O,13,0)),"")</f>
        <v/>
      </c>
      <c r="G3220" s="55" t="str">
        <f>IFERROR(IF(OR($B3220="",$B3220="(blank)"),"",VLOOKUP($B3220,'Email Marketing Raw Data'!$C:$O,4,0)),"")</f>
        <v/>
      </c>
      <c r="H3220" s="55" t="str">
        <f>IFERROR(IF(OR($B3220="",$B3220="(blank)"),"",VLOOKUP($B3220,'Email Marketing Raw Data'!$C:$O,5,0)),"")</f>
        <v/>
      </c>
      <c r="I3220" s="55" t="str">
        <f>IFERROR(IF($G3220="","",VLOOKUP('Dashboard And Emails Automate'!$G3220,Database!$H:$N,3,0)),"")</f>
        <v/>
      </c>
      <c r="J3220" s="55" t="str">
        <f>IFERROR(IF($G3220="","",VLOOKUP('Dashboard And Emails Automate'!$G3220,Database!$H:$N,4,0)),"")</f>
        <v/>
      </c>
      <c r="K3220" s="55" t="str">
        <f>IFERROR(IF($G3220="","",VLOOKUP('Dashboard And Emails Automate'!$G3220,Database!$H:$N,5,0)),"")</f>
        <v/>
      </c>
      <c r="L3220" s="55" t="str">
        <f>IFERROR(IF($G3220="","",VLOOKUP('Dashboard And Emails Automate'!$G3220,Database!$H:$N,6,0)),"")</f>
        <v/>
      </c>
      <c r="M3220" s="55" t="str">
        <f>IFERROR(IF($G3220="","",VLOOKUP('Dashboard And Emails Automate'!$G3220,Database!$H:$N,7,0)),"")</f>
        <v/>
      </c>
      <c r="N3220" s="55" t="str">
        <f>IFERROR(IF(OR($B3220="",$B3220="(blank)"),"",VLOOKUP($B3220,'Email Marketing Raw Data'!$C:$O,6,0)),"")</f>
        <v/>
      </c>
      <c r="O3220" s="55" t="str">
        <f>IFERROR(IF(OR($B3220="",$B3220="(blank)"),"",VLOOKUP($B3220,'Email Marketing Raw Data'!$C:$O,7,0)),"")</f>
        <v/>
      </c>
      <c r="P3220" s="55" t="str">
        <f>IFERROR(IF(OR($B3220="",$B3220="(blank)"),"",VLOOKUP($B3220,'Email Marketing Raw Data'!$C:$O,8,0)),"")</f>
        <v/>
      </c>
      <c r="Q3220" s="62" t="str">
        <f>IFERROR(IF(OR($B3220="",$B3220="(blank)"),"",VLOOKUP($B3220,'Email Marketing Raw Data'!$C:$O,9,0)),"")</f>
        <v/>
      </c>
    </row>
    <row r="3221" spans="4:17" ht="12.75" customHeight="1" x14ac:dyDescent="0.2">
      <c r="D3221" s="58" t="str">
        <f>IFERROR(IF(F3221&lt;&gt;"pending","",IF(OR($B3221="",$B3221="(blank)"),"",VLOOKUP($B3221,'Email Marketing Raw Data'!$C:$O,10,0))),"")</f>
        <v/>
      </c>
      <c r="E3221" s="59" t="str">
        <f>IFERROR(IF(F3221&lt;&gt;"pending","",IF(OR($B3221="",$B3221="(blank)"),"",VLOOKUP($B3221,'Email Marketing Raw Data'!$C:$O,11,0))),"")</f>
        <v/>
      </c>
      <c r="F3221" s="54" t="str">
        <f>IFERROR(IF(OR($B3221="",$B3221="(blank)"),"",VLOOKUP($B3221,'Email Marketing Raw Data'!$C:$O,13,0)),"")</f>
        <v/>
      </c>
      <c r="G3221" s="55" t="str">
        <f>IFERROR(IF(OR($B3221="",$B3221="(blank)"),"",VLOOKUP($B3221,'Email Marketing Raw Data'!$C:$O,4,0)),"")</f>
        <v/>
      </c>
      <c r="H3221" s="55" t="str">
        <f>IFERROR(IF(OR($B3221="",$B3221="(blank)"),"",VLOOKUP($B3221,'Email Marketing Raw Data'!$C:$O,5,0)),"")</f>
        <v/>
      </c>
      <c r="I3221" s="55" t="str">
        <f>IFERROR(IF($G3221="","",VLOOKUP('Dashboard And Emails Automate'!$G3221,Database!$H:$N,3,0)),"")</f>
        <v/>
      </c>
      <c r="J3221" s="55" t="str">
        <f>IFERROR(IF($G3221="","",VLOOKUP('Dashboard And Emails Automate'!$G3221,Database!$H:$N,4,0)),"")</f>
        <v/>
      </c>
      <c r="K3221" s="55" t="str">
        <f>IFERROR(IF($G3221="","",VLOOKUP('Dashboard And Emails Automate'!$G3221,Database!$H:$N,5,0)),"")</f>
        <v/>
      </c>
      <c r="L3221" s="55" t="str">
        <f>IFERROR(IF($G3221="","",VLOOKUP('Dashboard And Emails Automate'!$G3221,Database!$H:$N,6,0)),"")</f>
        <v/>
      </c>
      <c r="M3221" s="55" t="str">
        <f>IFERROR(IF($G3221="","",VLOOKUP('Dashboard And Emails Automate'!$G3221,Database!$H:$N,7,0)),"")</f>
        <v/>
      </c>
      <c r="N3221" s="55" t="str">
        <f>IFERROR(IF(OR($B3221="",$B3221="(blank)"),"",VLOOKUP($B3221,'Email Marketing Raw Data'!$C:$O,6,0)),"")</f>
        <v/>
      </c>
      <c r="O3221" s="55" t="str">
        <f>IFERROR(IF(OR($B3221="",$B3221="(blank)"),"",VLOOKUP($B3221,'Email Marketing Raw Data'!$C:$O,7,0)),"")</f>
        <v/>
      </c>
      <c r="P3221" s="55" t="str">
        <f>IFERROR(IF(OR($B3221="",$B3221="(blank)"),"",VLOOKUP($B3221,'Email Marketing Raw Data'!$C:$O,8,0)),"")</f>
        <v/>
      </c>
      <c r="Q3221" s="62" t="str">
        <f>IFERROR(IF(OR($B3221="",$B3221="(blank)"),"",VLOOKUP($B3221,'Email Marketing Raw Data'!$C:$O,9,0)),"")</f>
        <v/>
      </c>
    </row>
    <row r="3222" spans="4:17" ht="12.75" customHeight="1" x14ac:dyDescent="0.2">
      <c r="D3222" s="58" t="str">
        <f>IFERROR(IF(F3222&lt;&gt;"pending","",IF(OR($B3222="",$B3222="(blank)"),"",VLOOKUP($B3222,'Email Marketing Raw Data'!$C:$O,10,0))),"")</f>
        <v/>
      </c>
      <c r="E3222" s="59" t="str">
        <f>IFERROR(IF(F3222&lt;&gt;"pending","",IF(OR($B3222="",$B3222="(blank)"),"",VLOOKUP($B3222,'Email Marketing Raw Data'!$C:$O,11,0))),"")</f>
        <v/>
      </c>
      <c r="F3222" s="54" t="str">
        <f>IFERROR(IF(OR($B3222="",$B3222="(blank)"),"",VLOOKUP($B3222,'Email Marketing Raw Data'!$C:$O,13,0)),"")</f>
        <v/>
      </c>
      <c r="G3222" s="55" t="str">
        <f>IFERROR(IF(OR($B3222="",$B3222="(blank)"),"",VLOOKUP($B3222,'Email Marketing Raw Data'!$C:$O,4,0)),"")</f>
        <v/>
      </c>
      <c r="H3222" s="55" t="str">
        <f>IFERROR(IF(OR($B3222="",$B3222="(blank)"),"",VLOOKUP($B3222,'Email Marketing Raw Data'!$C:$O,5,0)),"")</f>
        <v/>
      </c>
      <c r="I3222" s="55" t="str">
        <f>IFERROR(IF($G3222="","",VLOOKUP('Dashboard And Emails Automate'!$G3222,Database!$H:$N,3,0)),"")</f>
        <v/>
      </c>
      <c r="J3222" s="55" t="str">
        <f>IFERROR(IF($G3222="","",VLOOKUP('Dashboard And Emails Automate'!$G3222,Database!$H:$N,4,0)),"")</f>
        <v/>
      </c>
      <c r="K3222" s="55" t="str">
        <f>IFERROR(IF($G3222="","",VLOOKUP('Dashboard And Emails Automate'!$G3222,Database!$H:$N,5,0)),"")</f>
        <v/>
      </c>
      <c r="L3222" s="55" t="str">
        <f>IFERROR(IF($G3222="","",VLOOKUP('Dashboard And Emails Automate'!$G3222,Database!$H:$N,6,0)),"")</f>
        <v/>
      </c>
      <c r="M3222" s="55" t="str">
        <f>IFERROR(IF($G3222="","",VLOOKUP('Dashboard And Emails Automate'!$G3222,Database!$H:$N,7,0)),"")</f>
        <v/>
      </c>
      <c r="N3222" s="55" t="str">
        <f>IFERROR(IF(OR($B3222="",$B3222="(blank)"),"",VLOOKUP($B3222,'Email Marketing Raw Data'!$C:$O,6,0)),"")</f>
        <v/>
      </c>
      <c r="O3222" s="55" t="str">
        <f>IFERROR(IF(OR($B3222="",$B3222="(blank)"),"",VLOOKUP($B3222,'Email Marketing Raw Data'!$C:$O,7,0)),"")</f>
        <v/>
      </c>
      <c r="P3222" s="55" t="str">
        <f>IFERROR(IF(OR($B3222="",$B3222="(blank)"),"",VLOOKUP($B3222,'Email Marketing Raw Data'!$C:$O,8,0)),"")</f>
        <v/>
      </c>
      <c r="Q3222" s="62" t="str">
        <f>IFERROR(IF(OR($B3222="",$B3222="(blank)"),"",VLOOKUP($B3222,'Email Marketing Raw Data'!$C:$O,9,0)),"")</f>
        <v/>
      </c>
    </row>
    <row r="3223" spans="4:17" ht="12.75" customHeight="1" x14ac:dyDescent="0.2">
      <c r="D3223" s="58" t="str">
        <f>IFERROR(IF(F3223&lt;&gt;"pending","",IF(OR($B3223="",$B3223="(blank)"),"",VLOOKUP($B3223,'Email Marketing Raw Data'!$C:$O,10,0))),"")</f>
        <v/>
      </c>
      <c r="E3223" s="59" t="str">
        <f>IFERROR(IF(F3223&lt;&gt;"pending","",IF(OR($B3223="",$B3223="(blank)"),"",VLOOKUP($B3223,'Email Marketing Raw Data'!$C:$O,11,0))),"")</f>
        <v/>
      </c>
      <c r="F3223" s="54" t="str">
        <f>IFERROR(IF(OR($B3223="",$B3223="(blank)"),"",VLOOKUP($B3223,'Email Marketing Raw Data'!$C:$O,13,0)),"")</f>
        <v/>
      </c>
      <c r="G3223" s="55" t="str">
        <f>IFERROR(IF(OR($B3223="",$B3223="(blank)"),"",VLOOKUP($B3223,'Email Marketing Raw Data'!$C:$O,4,0)),"")</f>
        <v/>
      </c>
      <c r="H3223" s="55" t="str">
        <f>IFERROR(IF(OR($B3223="",$B3223="(blank)"),"",VLOOKUP($B3223,'Email Marketing Raw Data'!$C:$O,5,0)),"")</f>
        <v/>
      </c>
      <c r="I3223" s="55" t="str">
        <f>IFERROR(IF($G3223="","",VLOOKUP('Dashboard And Emails Automate'!$G3223,Database!$H:$N,3,0)),"")</f>
        <v/>
      </c>
      <c r="J3223" s="55" t="str">
        <f>IFERROR(IF($G3223="","",VLOOKUP('Dashboard And Emails Automate'!$G3223,Database!$H:$N,4,0)),"")</f>
        <v/>
      </c>
      <c r="K3223" s="55" t="str">
        <f>IFERROR(IF($G3223="","",VLOOKUP('Dashboard And Emails Automate'!$G3223,Database!$H:$N,5,0)),"")</f>
        <v/>
      </c>
      <c r="L3223" s="55" t="str">
        <f>IFERROR(IF($G3223="","",VLOOKUP('Dashboard And Emails Automate'!$G3223,Database!$H:$N,6,0)),"")</f>
        <v/>
      </c>
      <c r="M3223" s="55" t="str">
        <f>IFERROR(IF($G3223="","",VLOOKUP('Dashboard And Emails Automate'!$G3223,Database!$H:$N,7,0)),"")</f>
        <v/>
      </c>
      <c r="N3223" s="55" t="str">
        <f>IFERROR(IF(OR($B3223="",$B3223="(blank)"),"",VLOOKUP($B3223,'Email Marketing Raw Data'!$C:$O,6,0)),"")</f>
        <v/>
      </c>
      <c r="O3223" s="55" t="str">
        <f>IFERROR(IF(OR($B3223="",$B3223="(blank)"),"",VLOOKUP($B3223,'Email Marketing Raw Data'!$C:$O,7,0)),"")</f>
        <v/>
      </c>
      <c r="P3223" s="55" t="str">
        <f>IFERROR(IF(OR($B3223="",$B3223="(blank)"),"",VLOOKUP($B3223,'Email Marketing Raw Data'!$C:$O,8,0)),"")</f>
        <v/>
      </c>
      <c r="Q3223" s="62" t="str">
        <f>IFERROR(IF(OR($B3223="",$B3223="(blank)"),"",VLOOKUP($B3223,'Email Marketing Raw Data'!$C:$O,9,0)),"")</f>
        <v/>
      </c>
    </row>
    <row r="3224" spans="4:17" ht="12.75" customHeight="1" x14ac:dyDescent="0.2">
      <c r="D3224" s="58" t="str">
        <f>IFERROR(IF(F3224&lt;&gt;"pending","",IF(OR($B3224="",$B3224="(blank)"),"",VLOOKUP($B3224,'Email Marketing Raw Data'!$C:$O,10,0))),"")</f>
        <v/>
      </c>
      <c r="E3224" s="59" t="str">
        <f>IFERROR(IF(F3224&lt;&gt;"pending","",IF(OR($B3224="",$B3224="(blank)"),"",VLOOKUP($B3224,'Email Marketing Raw Data'!$C:$O,11,0))),"")</f>
        <v/>
      </c>
      <c r="F3224" s="54" t="str">
        <f>IFERROR(IF(OR($B3224="",$B3224="(blank)"),"",VLOOKUP($B3224,'Email Marketing Raw Data'!$C:$O,13,0)),"")</f>
        <v/>
      </c>
      <c r="G3224" s="55" t="str">
        <f>IFERROR(IF(OR($B3224="",$B3224="(blank)"),"",VLOOKUP($B3224,'Email Marketing Raw Data'!$C:$O,4,0)),"")</f>
        <v/>
      </c>
      <c r="H3224" s="55" t="str">
        <f>IFERROR(IF(OR($B3224="",$B3224="(blank)"),"",VLOOKUP($B3224,'Email Marketing Raw Data'!$C:$O,5,0)),"")</f>
        <v/>
      </c>
      <c r="I3224" s="55" t="str">
        <f>IFERROR(IF($G3224="","",VLOOKUP('Dashboard And Emails Automate'!$G3224,Database!$H:$N,3,0)),"")</f>
        <v/>
      </c>
      <c r="J3224" s="55" t="str">
        <f>IFERROR(IF($G3224="","",VLOOKUP('Dashboard And Emails Automate'!$G3224,Database!$H:$N,4,0)),"")</f>
        <v/>
      </c>
      <c r="K3224" s="55" t="str">
        <f>IFERROR(IF($G3224="","",VLOOKUP('Dashboard And Emails Automate'!$G3224,Database!$H:$N,5,0)),"")</f>
        <v/>
      </c>
      <c r="L3224" s="55" t="str">
        <f>IFERROR(IF($G3224="","",VLOOKUP('Dashboard And Emails Automate'!$G3224,Database!$H:$N,6,0)),"")</f>
        <v/>
      </c>
      <c r="M3224" s="55" t="str">
        <f>IFERROR(IF($G3224="","",VLOOKUP('Dashboard And Emails Automate'!$G3224,Database!$H:$N,7,0)),"")</f>
        <v/>
      </c>
      <c r="N3224" s="55" t="str">
        <f>IFERROR(IF(OR($B3224="",$B3224="(blank)"),"",VLOOKUP($B3224,'Email Marketing Raw Data'!$C:$O,6,0)),"")</f>
        <v/>
      </c>
      <c r="O3224" s="55" t="str">
        <f>IFERROR(IF(OR($B3224="",$B3224="(blank)"),"",VLOOKUP($B3224,'Email Marketing Raw Data'!$C:$O,7,0)),"")</f>
        <v/>
      </c>
      <c r="P3224" s="55" t="str">
        <f>IFERROR(IF(OR($B3224="",$B3224="(blank)"),"",VLOOKUP($B3224,'Email Marketing Raw Data'!$C:$O,8,0)),"")</f>
        <v/>
      </c>
      <c r="Q3224" s="62" t="str">
        <f>IFERROR(IF(OR($B3224="",$B3224="(blank)"),"",VLOOKUP($B3224,'Email Marketing Raw Data'!$C:$O,9,0)),"")</f>
        <v/>
      </c>
    </row>
    <row r="3225" spans="4:17" ht="12.75" customHeight="1" x14ac:dyDescent="0.2">
      <c r="D3225" s="58" t="str">
        <f>IFERROR(IF(F3225&lt;&gt;"pending","",IF(OR($B3225="",$B3225="(blank)"),"",VLOOKUP($B3225,'Email Marketing Raw Data'!$C:$O,10,0))),"")</f>
        <v/>
      </c>
      <c r="E3225" s="59" t="str">
        <f>IFERROR(IF(F3225&lt;&gt;"pending","",IF(OR($B3225="",$B3225="(blank)"),"",VLOOKUP($B3225,'Email Marketing Raw Data'!$C:$O,11,0))),"")</f>
        <v/>
      </c>
      <c r="F3225" s="54" t="str">
        <f>IFERROR(IF(OR($B3225="",$B3225="(blank)"),"",VLOOKUP($B3225,'Email Marketing Raw Data'!$C:$O,13,0)),"")</f>
        <v/>
      </c>
      <c r="G3225" s="55" t="str">
        <f>IFERROR(IF(OR($B3225="",$B3225="(blank)"),"",VLOOKUP($B3225,'Email Marketing Raw Data'!$C:$O,4,0)),"")</f>
        <v/>
      </c>
      <c r="H3225" s="55" t="str">
        <f>IFERROR(IF(OR($B3225="",$B3225="(blank)"),"",VLOOKUP($B3225,'Email Marketing Raw Data'!$C:$O,5,0)),"")</f>
        <v/>
      </c>
      <c r="I3225" s="55" t="str">
        <f>IFERROR(IF($G3225="","",VLOOKUP('Dashboard And Emails Automate'!$G3225,Database!$H:$N,3,0)),"")</f>
        <v/>
      </c>
      <c r="J3225" s="55" t="str">
        <f>IFERROR(IF($G3225="","",VLOOKUP('Dashboard And Emails Automate'!$G3225,Database!$H:$N,4,0)),"")</f>
        <v/>
      </c>
      <c r="K3225" s="55" t="str">
        <f>IFERROR(IF($G3225="","",VLOOKUP('Dashboard And Emails Automate'!$G3225,Database!$H:$N,5,0)),"")</f>
        <v/>
      </c>
      <c r="L3225" s="55" t="str">
        <f>IFERROR(IF($G3225="","",VLOOKUP('Dashboard And Emails Automate'!$G3225,Database!$H:$N,6,0)),"")</f>
        <v/>
      </c>
      <c r="M3225" s="55" t="str">
        <f>IFERROR(IF($G3225="","",VLOOKUP('Dashboard And Emails Automate'!$G3225,Database!$H:$N,7,0)),"")</f>
        <v/>
      </c>
      <c r="N3225" s="55" t="str">
        <f>IFERROR(IF(OR($B3225="",$B3225="(blank)"),"",VLOOKUP($B3225,'Email Marketing Raw Data'!$C:$O,6,0)),"")</f>
        <v/>
      </c>
      <c r="O3225" s="55" t="str">
        <f>IFERROR(IF(OR($B3225="",$B3225="(blank)"),"",VLOOKUP($B3225,'Email Marketing Raw Data'!$C:$O,7,0)),"")</f>
        <v/>
      </c>
      <c r="P3225" s="55" t="str">
        <f>IFERROR(IF(OR($B3225="",$B3225="(blank)"),"",VLOOKUP($B3225,'Email Marketing Raw Data'!$C:$O,8,0)),"")</f>
        <v/>
      </c>
      <c r="Q3225" s="62" t="str">
        <f>IFERROR(IF(OR($B3225="",$B3225="(blank)"),"",VLOOKUP($B3225,'Email Marketing Raw Data'!$C:$O,9,0)),"")</f>
        <v/>
      </c>
    </row>
    <row r="3226" spans="4:17" ht="12.75" customHeight="1" x14ac:dyDescent="0.2">
      <c r="D3226" s="58" t="str">
        <f>IFERROR(IF(F3226&lt;&gt;"pending","",IF(OR($B3226="",$B3226="(blank)"),"",VLOOKUP($B3226,'Email Marketing Raw Data'!$C:$O,10,0))),"")</f>
        <v/>
      </c>
      <c r="E3226" s="59" t="str">
        <f>IFERROR(IF(F3226&lt;&gt;"pending","",IF(OR($B3226="",$B3226="(blank)"),"",VLOOKUP($B3226,'Email Marketing Raw Data'!$C:$O,11,0))),"")</f>
        <v/>
      </c>
      <c r="F3226" s="54" t="str">
        <f>IFERROR(IF(OR($B3226="",$B3226="(blank)"),"",VLOOKUP($B3226,'Email Marketing Raw Data'!$C:$O,13,0)),"")</f>
        <v/>
      </c>
      <c r="G3226" s="55" t="str">
        <f>IFERROR(IF(OR($B3226="",$B3226="(blank)"),"",VLOOKUP($B3226,'Email Marketing Raw Data'!$C:$O,4,0)),"")</f>
        <v/>
      </c>
      <c r="H3226" s="55" t="str">
        <f>IFERROR(IF(OR($B3226="",$B3226="(blank)"),"",VLOOKUP($B3226,'Email Marketing Raw Data'!$C:$O,5,0)),"")</f>
        <v/>
      </c>
      <c r="I3226" s="55" t="str">
        <f>IFERROR(IF($G3226="","",VLOOKUP('Dashboard And Emails Automate'!$G3226,Database!$H:$N,3,0)),"")</f>
        <v/>
      </c>
      <c r="J3226" s="55" t="str">
        <f>IFERROR(IF($G3226="","",VLOOKUP('Dashboard And Emails Automate'!$G3226,Database!$H:$N,4,0)),"")</f>
        <v/>
      </c>
      <c r="K3226" s="55" t="str">
        <f>IFERROR(IF($G3226="","",VLOOKUP('Dashboard And Emails Automate'!$G3226,Database!$H:$N,5,0)),"")</f>
        <v/>
      </c>
      <c r="L3226" s="55" t="str">
        <f>IFERROR(IF($G3226="","",VLOOKUP('Dashboard And Emails Automate'!$G3226,Database!$H:$N,6,0)),"")</f>
        <v/>
      </c>
      <c r="M3226" s="55" t="str">
        <f>IFERROR(IF($G3226="","",VLOOKUP('Dashboard And Emails Automate'!$G3226,Database!$H:$N,7,0)),"")</f>
        <v/>
      </c>
      <c r="N3226" s="55" t="str">
        <f>IFERROR(IF(OR($B3226="",$B3226="(blank)"),"",VLOOKUP($B3226,'Email Marketing Raw Data'!$C:$O,6,0)),"")</f>
        <v/>
      </c>
      <c r="O3226" s="55" t="str">
        <f>IFERROR(IF(OR($B3226="",$B3226="(blank)"),"",VLOOKUP($B3226,'Email Marketing Raw Data'!$C:$O,7,0)),"")</f>
        <v/>
      </c>
      <c r="P3226" s="55" t="str">
        <f>IFERROR(IF(OR($B3226="",$B3226="(blank)"),"",VLOOKUP($B3226,'Email Marketing Raw Data'!$C:$O,8,0)),"")</f>
        <v/>
      </c>
      <c r="Q3226" s="62" t="str">
        <f>IFERROR(IF(OR($B3226="",$B3226="(blank)"),"",VLOOKUP($B3226,'Email Marketing Raw Data'!$C:$O,9,0)),"")</f>
        <v/>
      </c>
    </row>
    <row r="3227" spans="4:17" ht="12.75" customHeight="1" x14ac:dyDescent="0.2">
      <c r="D3227" s="58" t="str">
        <f>IFERROR(IF(F3227&lt;&gt;"pending","",IF(OR($B3227="",$B3227="(blank)"),"",VLOOKUP($B3227,'Email Marketing Raw Data'!$C:$O,10,0))),"")</f>
        <v/>
      </c>
      <c r="E3227" s="59" t="str">
        <f>IFERROR(IF(F3227&lt;&gt;"pending","",IF(OR($B3227="",$B3227="(blank)"),"",VLOOKUP($B3227,'Email Marketing Raw Data'!$C:$O,11,0))),"")</f>
        <v/>
      </c>
      <c r="F3227" s="54" t="str">
        <f>IFERROR(IF(OR($B3227="",$B3227="(blank)"),"",VLOOKUP($B3227,'Email Marketing Raw Data'!$C:$O,13,0)),"")</f>
        <v/>
      </c>
      <c r="G3227" s="55" t="str">
        <f>IFERROR(IF(OR($B3227="",$B3227="(blank)"),"",VLOOKUP($B3227,'Email Marketing Raw Data'!$C:$O,4,0)),"")</f>
        <v/>
      </c>
      <c r="H3227" s="55" t="str">
        <f>IFERROR(IF(OR($B3227="",$B3227="(blank)"),"",VLOOKUP($B3227,'Email Marketing Raw Data'!$C:$O,5,0)),"")</f>
        <v/>
      </c>
      <c r="I3227" s="55" t="str">
        <f>IFERROR(IF($G3227="","",VLOOKUP('Dashboard And Emails Automate'!$G3227,Database!$H:$N,3,0)),"")</f>
        <v/>
      </c>
      <c r="J3227" s="55" t="str">
        <f>IFERROR(IF($G3227="","",VLOOKUP('Dashboard And Emails Automate'!$G3227,Database!$H:$N,4,0)),"")</f>
        <v/>
      </c>
      <c r="K3227" s="55" t="str">
        <f>IFERROR(IF($G3227="","",VLOOKUP('Dashboard And Emails Automate'!$G3227,Database!$H:$N,5,0)),"")</f>
        <v/>
      </c>
      <c r="L3227" s="55" t="str">
        <f>IFERROR(IF($G3227="","",VLOOKUP('Dashboard And Emails Automate'!$G3227,Database!$H:$N,6,0)),"")</f>
        <v/>
      </c>
      <c r="M3227" s="55" t="str">
        <f>IFERROR(IF($G3227="","",VLOOKUP('Dashboard And Emails Automate'!$G3227,Database!$H:$N,7,0)),"")</f>
        <v/>
      </c>
      <c r="N3227" s="55" t="str">
        <f>IFERROR(IF(OR($B3227="",$B3227="(blank)"),"",VLOOKUP($B3227,'Email Marketing Raw Data'!$C:$O,6,0)),"")</f>
        <v/>
      </c>
      <c r="O3227" s="55" t="str">
        <f>IFERROR(IF(OR($B3227="",$B3227="(blank)"),"",VLOOKUP($B3227,'Email Marketing Raw Data'!$C:$O,7,0)),"")</f>
        <v/>
      </c>
      <c r="P3227" s="55" t="str">
        <f>IFERROR(IF(OR($B3227="",$B3227="(blank)"),"",VLOOKUP($B3227,'Email Marketing Raw Data'!$C:$O,8,0)),"")</f>
        <v/>
      </c>
      <c r="Q3227" s="62" t="str">
        <f>IFERROR(IF(OR($B3227="",$B3227="(blank)"),"",VLOOKUP($B3227,'Email Marketing Raw Data'!$C:$O,9,0)),"")</f>
        <v/>
      </c>
    </row>
    <row r="3228" spans="4:17" ht="12.75" customHeight="1" x14ac:dyDescent="0.2">
      <c r="D3228" s="58" t="str">
        <f>IFERROR(IF(F3228&lt;&gt;"pending","",IF(OR($B3228="",$B3228="(blank)"),"",VLOOKUP($B3228,'Email Marketing Raw Data'!$C:$O,10,0))),"")</f>
        <v/>
      </c>
      <c r="E3228" s="59" t="str">
        <f>IFERROR(IF(F3228&lt;&gt;"pending","",IF(OR($B3228="",$B3228="(blank)"),"",VLOOKUP($B3228,'Email Marketing Raw Data'!$C:$O,11,0))),"")</f>
        <v/>
      </c>
      <c r="F3228" s="54" t="str">
        <f>IFERROR(IF(OR($B3228="",$B3228="(blank)"),"",VLOOKUP($B3228,'Email Marketing Raw Data'!$C:$O,13,0)),"")</f>
        <v/>
      </c>
      <c r="G3228" s="55" t="str">
        <f>IFERROR(IF(OR($B3228="",$B3228="(blank)"),"",VLOOKUP($B3228,'Email Marketing Raw Data'!$C:$O,4,0)),"")</f>
        <v/>
      </c>
      <c r="H3228" s="55" t="str">
        <f>IFERROR(IF(OR($B3228="",$B3228="(blank)"),"",VLOOKUP($B3228,'Email Marketing Raw Data'!$C:$O,5,0)),"")</f>
        <v/>
      </c>
      <c r="I3228" s="55" t="str">
        <f>IFERROR(IF($G3228="","",VLOOKUP('Dashboard And Emails Automate'!$G3228,Database!$H:$N,3,0)),"")</f>
        <v/>
      </c>
      <c r="J3228" s="55" t="str">
        <f>IFERROR(IF($G3228="","",VLOOKUP('Dashboard And Emails Automate'!$G3228,Database!$H:$N,4,0)),"")</f>
        <v/>
      </c>
      <c r="K3228" s="55" t="str">
        <f>IFERROR(IF($G3228="","",VLOOKUP('Dashboard And Emails Automate'!$G3228,Database!$H:$N,5,0)),"")</f>
        <v/>
      </c>
      <c r="L3228" s="55" t="str">
        <f>IFERROR(IF($G3228="","",VLOOKUP('Dashboard And Emails Automate'!$G3228,Database!$H:$N,6,0)),"")</f>
        <v/>
      </c>
      <c r="M3228" s="55" t="str">
        <f>IFERROR(IF($G3228="","",VLOOKUP('Dashboard And Emails Automate'!$G3228,Database!$H:$N,7,0)),"")</f>
        <v/>
      </c>
      <c r="N3228" s="55" t="str">
        <f>IFERROR(IF(OR($B3228="",$B3228="(blank)"),"",VLOOKUP($B3228,'Email Marketing Raw Data'!$C:$O,6,0)),"")</f>
        <v/>
      </c>
      <c r="O3228" s="55" t="str">
        <f>IFERROR(IF(OR($B3228="",$B3228="(blank)"),"",VLOOKUP($B3228,'Email Marketing Raw Data'!$C:$O,7,0)),"")</f>
        <v/>
      </c>
      <c r="P3228" s="55" t="str">
        <f>IFERROR(IF(OR($B3228="",$B3228="(blank)"),"",VLOOKUP($B3228,'Email Marketing Raw Data'!$C:$O,8,0)),"")</f>
        <v/>
      </c>
      <c r="Q3228" s="62" t="str">
        <f>IFERROR(IF(OR($B3228="",$B3228="(blank)"),"",VLOOKUP($B3228,'Email Marketing Raw Data'!$C:$O,9,0)),"")</f>
        <v/>
      </c>
    </row>
    <row r="3229" spans="4:17" ht="12.75" customHeight="1" x14ac:dyDescent="0.2">
      <c r="D3229" s="58" t="str">
        <f>IFERROR(IF(F3229&lt;&gt;"pending","",IF(OR($B3229="",$B3229="(blank)"),"",VLOOKUP($B3229,'Email Marketing Raw Data'!$C:$O,10,0))),"")</f>
        <v/>
      </c>
      <c r="E3229" s="59" t="str">
        <f>IFERROR(IF(F3229&lt;&gt;"pending","",IF(OR($B3229="",$B3229="(blank)"),"",VLOOKUP($B3229,'Email Marketing Raw Data'!$C:$O,11,0))),"")</f>
        <v/>
      </c>
      <c r="F3229" s="54" t="str">
        <f>IFERROR(IF(OR($B3229="",$B3229="(blank)"),"",VLOOKUP($B3229,'Email Marketing Raw Data'!$C:$O,13,0)),"")</f>
        <v/>
      </c>
      <c r="G3229" s="55" t="str">
        <f>IFERROR(IF(OR($B3229="",$B3229="(blank)"),"",VLOOKUP($B3229,'Email Marketing Raw Data'!$C:$O,4,0)),"")</f>
        <v/>
      </c>
      <c r="H3229" s="55" t="str">
        <f>IFERROR(IF(OR($B3229="",$B3229="(blank)"),"",VLOOKUP($B3229,'Email Marketing Raw Data'!$C:$O,5,0)),"")</f>
        <v/>
      </c>
      <c r="I3229" s="55" t="str">
        <f>IFERROR(IF($G3229="","",VLOOKUP('Dashboard And Emails Automate'!$G3229,Database!$H:$N,3,0)),"")</f>
        <v/>
      </c>
      <c r="J3229" s="55" t="str">
        <f>IFERROR(IF($G3229="","",VLOOKUP('Dashboard And Emails Automate'!$G3229,Database!$H:$N,4,0)),"")</f>
        <v/>
      </c>
      <c r="K3229" s="55" t="str">
        <f>IFERROR(IF($G3229="","",VLOOKUP('Dashboard And Emails Automate'!$G3229,Database!$H:$N,5,0)),"")</f>
        <v/>
      </c>
      <c r="L3229" s="55" t="str">
        <f>IFERROR(IF($G3229="","",VLOOKUP('Dashboard And Emails Automate'!$G3229,Database!$H:$N,6,0)),"")</f>
        <v/>
      </c>
      <c r="M3229" s="55" t="str">
        <f>IFERROR(IF($G3229="","",VLOOKUP('Dashboard And Emails Automate'!$G3229,Database!$H:$N,7,0)),"")</f>
        <v/>
      </c>
      <c r="N3229" s="55" t="str">
        <f>IFERROR(IF(OR($B3229="",$B3229="(blank)"),"",VLOOKUP($B3229,'Email Marketing Raw Data'!$C:$O,6,0)),"")</f>
        <v/>
      </c>
      <c r="O3229" s="55" t="str">
        <f>IFERROR(IF(OR($B3229="",$B3229="(blank)"),"",VLOOKUP($B3229,'Email Marketing Raw Data'!$C:$O,7,0)),"")</f>
        <v/>
      </c>
      <c r="P3229" s="55" t="str">
        <f>IFERROR(IF(OR($B3229="",$B3229="(blank)"),"",VLOOKUP($B3229,'Email Marketing Raw Data'!$C:$O,8,0)),"")</f>
        <v/>
      </c>
      <c r="Q3229" s="62" t="str">
        <f>IFERROR(IF(OR($B3229="",$B3229="(blank)"),"",VLOOKUP($B3229,'Email Marketing Raw Data'!$C:$O,9,0)),"")</f>
        <v/>
      </c>
    </row>
    <row r="3230" spans="4:17" ht="12.75" customHeight="1" x14ac:dyDescent="0.2">
      <c r="D3230" s="58" t="str">
        <f>IFERROR(IF(F3230&lt;&gt;"pending","",IF(OR($B3230="",$B3230="(blank)"),"",VLOOKUP($B3230,'Email Marketing Raw Data'!$C:$O,10,0))),"")</f>
        <v/>
      </c>
      <c r="E3230" s="59" t="str">
        <f>IFERROR(IF(F3230&lt;&gt;"pending","",IF(OR($B3230="",$B3230="(blank)"),"",VLOOKUP($B3230,'Email Marketing Raw Data'!$C:$O,11,0))),"")</f>
        <v/>
      </c>
      <c r="F3230" s="54" t="str">
        <f>IFERROR(IF(OR($B3230="",$B3230="(blank)"),"",VLOOKUP($B3230,'Email Marketing Raw Data'!$C:$O,13,0)),"")</f>
        <v/>
      </c>
      <c r="G3230" s="55" t="str">
        <f>IFERROR(IF(OR($B3230="",$B3230="(blank)"),"",VLOOKUP($B3230,'Email Marketing Raw Data'!$C:$O,4,0)),"")</f>
        <v/>
      </c>
      <c r="H3230" s="55" t="str">
        <f>IFERROR(IF(OR($B3230="",$B3230="(blank)"),"",VLOOKUP($B3230,'Email Marketing Raw Data'!$C:$O,5,0)),"")</f>
        <v/>
      </c>
      <c r="I3230" s="55" t="str">
        <f>IFERROR(IF($G3230="","",VLOOKUP('Dashboard And Emails Automate'!$G3230,Database!$H:$N,3,0)),"")</f>
        <v/>
      </c>
      <c r="J3230" s="55" t="str">
        <f>IFERROR(IF($G3230="","",VLOOKUP('Dashboard And Emails Automate'!$G3230,Database!$H:$N,4,0)),"")</f>
        <v/>
      </c>
      <c r="K3230" s="55" t="str">
        <f>IFERROR(IF($G3230="","",VLOOKUP('Dashboard And Emails Automate'!$G3230,Database!$H:$N,5,0)),"")</f>
        <v/>
      </c>
      <c r="L3230" s="55" t="str">
        <f>IFERROR(IF($G3230="","",VLOOKUP('Dashboard And Emails Automate'!$G3230,Database!$H:$N,6,0)),"")</f>
        <v/>
      </c>
      <c r="M3230" s="55" t="str">
        <f>IFERROR(IF($G3230="","",VLOOKUP('Dashboard And Emails Automate'!$G3230,Database!$H:$N,7,0)),"")</f>
        <v/>
      </c>
      <c r="N3230" s="55" t="str">
        <f>IFERROR(IF(OR($B3230="",$B3230="(blank)"),"",VLOOKUP($B3230,'Email Marketing Raw Data'!$C:$O,6,0)),"")</f>
        <v/>
      </c>
      <c r="O3230" s="55" t="str">
        <f>IFERROR(IF(OR($B3230="",$B3230="(blank)"),"",VLOOKUP($B3230,'Email Marketing Raw Data'!$C:$O,7,0)),"")</f>
        <v/>
      </c>
      <c r="P3230" s="55" t="str">
        <f>IFERROR(IF(OR($B3230="",$B3230="(blank)"),"",VLOOKUP($B3230,'Email Marketing Raw Data'!$C:$O,8,0)),"")</f>
        <v/>
      </c>
      <c r="Q3230" s="62" t="str">
        <f>IFERROR(IF(OR($B3230="",$B3230="(blank)"),"",VLOOKUP($B3230,'Email Marketing Raw Data'!$C:$O,9,0)),"")</f>
        <v/>
      </c>
    </row>
    <row r="3231" spans="4:17" ht="12.75" customHeight="1" x14ac:dyDescent="0.2">
      <c r="D3231" s="58" t="str">
        <f>IFERROR(IF(F3231&lt;&gt;"pending","",IF(OR($B3231="",$B3231="(blank)"),"",VLOOKUP($B3231,'Email Marketing Raw Data'!$C:$O,10,0))),"")</f>
        <v/>
      </c>
      <c r="E3231" s="59" t="str">
        <f>IFERROR(IF(F3231&lt;&gt;"pending","",IF(OR($B3231="",$B3231="(blank)"),"",VLOOKUP($B3231,'Email Marketing Raw Data'!$C:$O,11,0))),"")</f>
        <v/>
      </c>
      <c r="F3231" s="54" t="str">
        <f>IFERROR(IF(OR($B3231="",$B3231="(blank)"),"",VLOOKUP($B3231,'Email Marketing Raw Data'!$C:$O,13,0)),"")</f>
        <v/>
      </c>
      <c r="G3231" s="55" t="str">
        <f>IFERROR(IF(OR($B3231="",$B3231="(blank)"),"",VLOOKUP($B3231,'Email Marketing Raw Data'!$C:$O,4,0)),"")</f>
        <v/>
      </c>
      <c r="H3231" s="55" t="str">
        <f>IFERROR(IF(OR($B3231="",$B3231="(blank)"),"",VLOOKUP($B3231,'Email Marketing Raw Data'!$C:$O,5,0)),"")</f>
        <v/>
      </c>
      <c r="I3231" s="55" t="str">
        <f>IFERROR(IF($G3231="","",VLOOKUP('Dashboard And Emails Automate'!$G3231,Database!$H:$N,3,0)),"")</f>
        <v/>
      </c>
      <c r="J3231" s="55" t="str">
        <f>IFERROR(IF($G3231="","",VLOOKUP('Dashboard And Emails Automate'!$G3231,Database!$H:$N,4,0)),"")</f>
        <v/>
      </c>
      <c r="K3231" s="55" t="str">
        <f>IFERROR(IF($G3231="","",VLOOKUP('Dashboard And Emails Automate'!$G3231,Database!$H:$N,5,0)),"")</f>
        <v/>
      </c>
      <c r="L3231" s="55" t="str">
        <f>IFERROR(IF($G3231="","",VLOOKUP('Dashboard And Emails Automate'!$G3231,Database!$H:$N,6,0)),"")</f>
        <v/>
      </c>
      <c r="M3231" s="55" t="str">
        <f>IFERROR(IF($G3231="","",VLOOKUP('Dashboard And Emails Automate'!$G3231,Database!$H:$N,7,0)),"")</f>
        <v/>
      </c>
      <c r="N3231" s="55" t="str">
        <f>IFERROR(IF(OR($B3231="",$B3231="(blank)"),"",VLOOKUP($B3231,'Email Marketing Raw Data'!$C:$O,6,0)),"")</f>
        <v/>
      </c>
      <c r="O3231" s="55" t="str">
        <f>IFERROR(IF(OR($B3231="",$B3231="(blank)"),"",VLOOKUP($B3231,'Email Marketing Raw Data'!$C:$O,7,0)),"")</f>
        <v/>
      </c>
      <c r="P3231" s="55" t="str">
        <f>IFERROR(IF(OR($B3231="",$B3231="(blank)"),"",VLOOKUP($B3231,'Email Marketing Raw Data'!$C:$O,8,0)),"")</f>
        <v/>
      </c>
      <c r="Q3231" s="62" t="str">
        <f>IFERROR(IF(OR($B3231="",$B3231="(blank)"),"",VLOOKUP($B3231,'Email Marketing Raw Data'!$C:$O,9,0)),"")</f>
        <v/>
      </c>
    </row>
    <row r="3232" spans="4:17" ht="12.75" customHeight="1" x14ac:dyDescent="0.2">
      <c r="D3232" s="58" t="str">
        <f>IFERROR(IF(F3232&lt;&gt;"pending","",IF(OR($B3232="",$B3232="(blank)"),"",VLOOKUP($B3232,'Email Marketing Raw Data'!$C:$O,10,0))),"")</f>
        <v/>
      </c>
      <c r="E3232" s="59" t="str">
        <f>IFERROR(IF(F3232&lt;&gt;"pending","",IF(OR($B3232="",$B3232="(blank)"),"",VLOOKUP($B3232,'Email Marketing Raw Data'!$C:$O,11,0))),"")</f>
        <v/>
      </c>
      <c r="F3232" s="54" t="str">
        <f>IFERROR(IF(OR($B3232="",$B3232="(blank)"),"",VLOOKUP($B3232,'Email Marketing Raw Data'!$C:$O,13,0)),"")</f>
        <v/>
      </c>
      <c r="G3232" s="55" t="str">
        <f>IFERROR(IF(OR($B3232="",$B3232="(blank)"),"",VLOOKUP($B3232,'Email Marketing Raw Data'!$C:$O,4,0)),"")</f>
        <v/>
      </c>
      <c r="H3232" s="55" t="str">
        <f>IFERROR(IF(OR($B3232="",$B3232="(blank)"),"",VLOOKUP($B3232,'Email Marketing Raw Data'!$C:$O,5,0)),"")</f>
        <v/>
      </c>
      <c r="I3232" s="55" t="str">
        <f>IFERROR(IF($G3232="","",VLOOKUP('Dashboard And Emails Automate'!$G3232,Database!$H:$N,3,0)),"")</f>
        <v/>
      </c>
      <c r="J3232" s="55" t="str">
        <f>IFERROR(IF($G3232="","",VLOOKUP('Dashboard And Emails Automate'!$G3232,Database!$H:$N,4,0)),"")</f>
        <v/>
      </c>
      <c r="K3232" s="55" t="str">
        <f>IFERROR(IF($G3232="","",VLOOKUP('Dashboard And Emails Automate'!$G3232,Database!$H:$N,5,0)),"")</f>
        <v/>
      </c>
      <c r="L3232" s="55" t="str">
        <f>IFERROR(IF($G3232="","",VLOOKUP('Dashboard And Emails Automate'!$G3232,Database!$H:$N,6,0)),"")</f>
        <v/>
      </c>
      <c r="M3232" s="55" t="str">
        <f>IFERROR(IF($G3232="","",VLOOKUP('Dashboard And Emails Automate'!$G3232,Database!$H:$N,7,0)),"")</f>
        <v/>
      </c>
      <c r="N3232" s="55" t="str">
        <f>IFERROR(IF(OR($B3232="",$B3232="(blank)"),"",VLOOKUP($B3232,'Email Marketing Raw Data'!$C:$O,6,0)),"")</f>
        <v/>
      </c>
      <c r="O3232" s="55" t="str">
        <f>IFERROR(IF(OR($B3232="",$B3232="(blank)"),"",VLOOKUP($B3232,'Email Marketing Raw Data'!$C:$O,7,0)),"")</f>
        <v/>
      </c>
      <c r="P3232" s="55" t="str">
        <f>IFERROR(IF(OR($B3232="",$B3232="(blank)"),"",VLOOKUP($B3232,'Email Marketing Raw Data'!$C:$O,8,0)),"")</f>
        <v/>
      </c>
      <c r="Q3232" s="62" t="str">
        <f>IFERROR(IF(OR($B3232="",$B3232="(blank)"),"",VLOOKUP($B3232,'Email Marketing Raw Data'!$C:$O,9,0)),"")</f>
        <v/>
      </c>
    </row>
    <row r="3233" spans="4:17" ht="12.75" customHeight="1" x14ac:dyDescent="0.2">
      <c r="D3233" s="58" t="str">
        <f>IFERROR(IF(F3233&lt;&gt;"pending","",IF(OR($B3233="",$B3233="(blank)"),"",VLOOKUP($B3233,'Email Marketing Raw Data'!$C:$O,10,0))),"")</f>
        <v/>
      </c>
      <c r="E3233" s="59" t="str">
        <f>IFERROR(IF(F3233&lt;&gt;"pending","",IF(OR($B3233="",$B3233="(blank)"),"",VLOOKUP($B3233,'Email Marketing Raw Data'!$C:$O,11,0))),"")</f>
        <v/>
      </c>
      <c r="F3233" s="54" t="str">
        <f>IFERROR(IF(OR($B3233="",$B3233="(blank)"),"",VLOOKUP($B3233,'Email Marketing Raw Data'!$C:$O,13,0)),"")</f>
        <v/>
      </c>
      <c r="G3233" s="55" t="str">
        <f>IFERROR(IF(OR($B3233="",$B3233="(blank)"),"",VLOOKUP($B3233,'Email Marketing Raw Data'!$C:$O,4,0)),"")</f>
        <v/>
      </c>
      <c r="H3233" s="55" t="str">
        <f>IFERROR(IF(OR($B3233="",$B3233="(blank)"),"",VLOOKUP($B3233,'Email Marketing Raw Data'!$C:$O,5,0)),"")</f>
        <v/>
      </c>
      <c r="I3233" s="55" t="str">
        <f>IFERROR(IF($G3233="","",VLOOKUP('Dashboard And Emails Automate'!$G3233,Database!$H:$N,3,0)),"")</f>
        <v/>
      </c>
      <c r="J3233" s="55" t="str">
        <f>IFERROR(IF($G3233="","",VLOOKUP('Dashboard And Emails Automate'!$G3233,Database!$H:$N,4,0)),"")</f>
        <v/>
      </c>
      <c r="K3233" s="55" t="str">
        <f>IFERROR(IF($G3233="","",VLOOKUP('Dashboard And Emails Automate'!$G3233,Database!$H:$N,5,0)),"")</f>
        <v/>
      </c>
      <c r="L3233" s="55" t="str">
        <f>IFERROR(IF($G3233="","",VLOOKUP('Dashboard And Emails Automate'!$G3233,Database!$H:$N,6,0)),"")</f>
        <v/>
      </c>
      <c r="M3233" s="55" t="str">
        <f>IFERROR(IF($G3233="","",VLOOKUP('Dashboard And Emails Automate'!$G3233,Database!$H:$N,7,0)),"")</f>
        <v/>
      </c>
      <c r="N3233" s="55" t="str">
        <f>IFERROR(IF(OR($B3233="",$B3233="(blank)"),"",VLOOKUP($B3233,'Email Marketing Raw Data'!$C:$O,6,0)),"")</f>
        <v/>
      </c>
      <c r="O3233" s="55" t="str">
        <f>IFERROR(IF(OR($B3233="",$B3233="(blank)"),"",VLOOKUP($B3233,'Email Marketing Raw Data'!$C:$O,7,0)),"")</f>
        <v/>
      </c>
      <c r="P3233" s="55" t="str">
        <f>IFERROR(IF(OR($B3233="",$B3233="(blank)"),"",VLOOKUP($B3233,'Email Marketing Raw Data'!$C:$O,8,0)),"")</f>
        <v/>
      </c>
      <c r="Q3233" s="62" t="str">
        <f>IFERROR(IF(OR($B3233="",$B3233="(blank)"),"",VLOOKUP($B3233,'Email Marketing Raw Data'!$C:$O,9,0)),"")</f>
        <v/>
      </c>
    </row>
    <row r="3234" spans="4:17" ht="12.75" customHeight="1" x14ac:dyDescent="0.2">
      <c r="D3234" s="58" t="str">
        <f>IFERROR(IF(F3234&lt;&gt;"pending","",IF(OR($B3234="",$B3234="(blank)"),"",VLOOKUP($B3234,'Email Marketing Raw Data'!$C:$O,10,0))),"")</f>
        <v/>
      </c>
      <c r="E3234" s="59" t="str">
        <f>IFERROR(IF(F3234&lt;&gt;"pending","",IF(OR($B3234="",$B3234="(blank)"),"",VLOOKUP($B3234,'Email Marketing Raw Data'!$C:$O,11,0))),"")</f>
        <v/>
      </c>
      <c r="F3234" s="54" t="str">
        <f>IFERROR(IF(OR($B3234="",$B3234="(blank)"),"",VLOOKUP($B3234,'Email Marketing Raw Data'!$C:$O,13,0)),"")</f>
        <v/>
      </c>
      <c r="G3234" s="55" t="str">
        <f>IFERROR(IF(OR($B3234="",$B3234="(blank)"),"",VLOOKUP($B3234,'Email Marketing Raw Data'!$C:$O,4,0)),"")</f>
        <v/>
      </c>
      <c r="H3234" s="55" t="str">
        <f>IFERROR(IF(OR($B3234="",$B3234="(blank)"),"",VLOOKUP($B3234,'Email Marketing Raw Data'!$C:$O,5,0)),"")</f>
        <v/>
      </c>
      <c r="I3234" s="55" t="str">
        <f>IFERROR(IF($G3234="","",VLOOKUP('Dashboard And Emails Automate'!$G3234,Database!$H:$N,3,0)),"")</f>
        <v/>
      </c>
      <c r="J3234" s="55" t="str">
        <f>IFERROR(IF($G3234="","",VLOOKUP('Dashboard And Emails Automate'!$G3234,Database!$H:$N,4,0)),"")</f>
        <v/>
      </c>
      <c r="K3234" s="55" t="str">
        <f>IFERROR(IF($G3234="","",VLOOKUP('Dashboard And Emails Automate'!$G3234,Database!$H:$N,5,0)),"")</f>
        <v/>
      </c>
      <c r="L3234" s="55" t="str">
        <f>IFERROR(IF($G3234="","",VLOOKUP('Dashboard And Emails Automate'!$G3234,Database!$H:$N,6,0)),"")</f>
        <v/>
      </c>
      <c r="M3234" s="55" t="str">
        <f>IFERROR(IF($G3234="","",VLOOKUP('Dashboard And Emails Automate'!$G3234,Database!$H:$N,7,0)),"")</f>
        <v/>
      </c>
      <c r="N3234" s="55" t="str">
        <f>IFERROR(IF(OR($B3234="",$B3234="(blank)"),"",VLOOKUP($B3234,'Email Marketing Raw Data'!$C:$O,6,0)),"")</f>
        <v/>
      </c>
      <c r="O3234" s="55" t="str">
        <f>IFERROR(IF(OR($B3234="",$B3234="(blank)"),"",VLOOKUP($B3234,'Email Marketing Raw Data'!$C:$O,7,0)),"")</f>
        <v/>
      </c>
      <c r="P3234" s="55" t="str">
        <f>IFERROR(IF(OR($B3234="",$B3234="(blank)"),"",VLOOKUP($B3234,'Email Marketing Raw Data'!$C:$O,8,0)),"")</f>
        <v/>
      </c>
      <c r="Q3234" s="62" t="str">
        <f>IFERROR(IF(OR($B3234="",$B3234="(blank)"),"",VLOOKUP($B3234,'Email Marketing Raw Data'!$C:$O,9,0)),"")</f>
        <v/>
      </c>
    </row>
    <row r="3235" spans="4:17" ht="12.75" customHeight="1" x14ac:dyDescent="0.2">
      <c r="D3235" s="58" t="str">
        <f>IFERROR(IF(F3235&lt;&gt;"pending","",IF(OR($B3235="",$B3235="(blank)"),"",VLOOKUP($B3235,'Email Marketing Raw Data'!$C:$O,10,0))),"")</f>
        <v/>
      </c>
      <c r="E3235" s="59" t="str">
        <f>IFERROR(IF(F3235&lt;&gt;"pending","",IF(OR($B3235="",$B3235="(blank)"),"",VLOOKUP($B3235,'Email Marketing Raw Data'!$C:$O,11,0))),"")</f>
        <v/>
      </c>
      <c r="F3235" s="54" t="str">
        <f>IFERROR(IF(OR($B3235="",$B3235="(blank)"),"",VLOOKUP($B3235,'Email Marketing Raw Data'!$C:$O,13,0)),"")</f>
        <v/>
      </c>
      <c r="G3235" s="55" t="str">
        <f>IFERROR(IF(OR($B3235="",$B3235="(blank)"),"",VLOOKUP($B3235,'Email Marketing Raw Data'!$C:$O,4,0)),"")</f>
        <v/>
      </c>
      <c r="H3235" s="55" t="str">
        <f>IFERROR(IF(OR($B3235="",$B3235="(blank)"),"",VLOOKUP($B3235,'Email Marketing Raw Data'!$C:$O,5,0)),"")</f>
        <v/>
      </c>
      <c r="I3235" s="55" t="str">
        <f>IFERROR(IF($G3235="","",VLOOKUP('Dashboard And Emails Automate'!$G3235,Database!$H:$N,3,0)),"")</f>
        <v/>
      </c>
      <c r="J3235" s="55" t="str">
        <f>IFERROR(IF($G3235="","",VLOOKUP('Dashboard And Emails Automate'!$G3235,Database!$H:$N,4,0)),"")</f>
        <v/>
      </c>
      <c r="K3235" s="55" t="str">
        <f>IFERROR(IF($G3235="","",VLOOKUP('Dashboard And Emails Automate'!$G3235,Database!$H:$N,5,0)),"")</f>
        <v/>
      </c>
      <c r="L3235" s="55" t="str">
        <f>IFERROR(IF($G3235="","",VLOOKUP('Dashboard And Emails Automate'!$G3235,Database!$H:$N,6,0)),"")</f>
        <v/>
      </c>
      <c r="M3235" s="55" t="str">
        <f>IFERROR(IF($G3235="","",VLOOKUP('Dashboard And Emails Automate'!$G3235,Database!$H:$N,7,0)),"")</f>
        <v/>
      </c>
      <c r="N3235" s="55" t="str">
        <f>IFERROR(IF(OR($B3235="",$B3235="(blank)"),"",VLOOKUP($B3235,'Email Marketing Raw Data'!$C:$O,6,0)),"")</f>
        <v/>
      </c>
      <c r="O3235" s="55" t="str">
        <f>IFERROR(IF(OR($B3235="",$B3235="(blank)"),"",VLOOKUP($B3235,'Email Marketing Raw Data'!$C:$O,7,0)),"")</f>
        <v/>
      </c>
      <c r="P3235" s="55" t="str">
        <f>IFERROR(IF(OR($B3235="",$B3235="(blank)"),"",VLOOKUP($B3235,'Email Marketing Raw Data'!$C:$O,8,0)),"")</f>
        <v/>
      </c>
      <c r="Q3235" s="62" t="str">
        <f>IFERROR(IF(OR($B3235="",$B3235="(blank)"),"",VLOOKUP($B3235,'Email Marketing Raw Data'!$C:$O,9,0)),"")</f>
        <v/>
      </c>
    </row>
    <row r="3236" spans="4:17" ht="12.75" customHeight="1" x14ac:dyDescent="0.2">
      <c r="D3236" s="58" t="str">
        <f>IFERROR(IF(F3236&lt;&gt;"pending","",IF(OR($B3236="",$B3236="(blank)"),"",VLOOKUP($B3236,'Email Marketing Raw Data'!$C:$O,10,0))),"")</f>
        <v/>
      </c>
      <c r="E3236" s="59" t="str">
        <f>IFERROR(IF(F3236&lt;&gt;"pending","",IF(OR($B3236="",$B3236="(blank)"),"",VLOOKUP($B3236,'Email Marketing Raw Data'!$C:$O,11,0))),"")</f>
        <v/>
      </c>
      <c r="F3236" s="54" t="str">
        <f>IFERROR(IF(OR($B3236="",$B3236="(blank)"),"",VLOOKUP($B3236,'Email Marketing Raw Data'!$C:$O,13,0)),"")</f>
        <v/>
      </c>
      <c r="G3236" s="55" t="str">
        <f>IFERROR(IF(OR($B3236="",$B3236="(blank)"),"",VLOOKUP($B3236,'Email Marketing Raw Data'!$C:$O,4,0)),"")</f>
        <v/>
      </c>
      <c r="H3236" s="55" t="str">
        <f>IFERROR(IF(OR($B3236="",$B3236="(blank)"),"",VLOOKUP($B3236,'Email Marketing Raw Data'!$C:$O,5,0)),"")</f>
        <v/>
      </c>
      <c r="I3236" s="55" t="str">
        <f>IFERROR(IF($G3236="","",VLOOKUP('Dashboard And Emails Automate'!$G3236,Database!$H:$N,3,0)),"")</f>
        <v/>
      </c>
      <c r="J3236" s="55" t="str">
        <f>IFERROR(IF($G3236="","",VLOOKUP('Dashboard And Emails Automate'!$G3236,Database!$H:$N,4,0)),"")</f>
        <v/>
      </c>
      <c r="K3236" s="55" t="str">
        <f>IFERROR(IF($G3236="","",VLOOKUP('Dashboard And Emails Automate'!$G3236,Database!$H:$N,5,0)),"")</f>
        <v/>
      </c>
      <c r="L3236" s="55" t="str">
        <f>IFERROR(IF($G3236="","",VLOOKUP('Dashboard And Emails Automate'!$G3236,Database!$H:$N,6,0)),"")</f>
        <v/>
      </c>
      <c r="M3236" s="55" t="str">
        <f>IFERROR(IF($G3236="","",VLOOKUP('Dashboard And Emails Automate'!$G3236,Database!$H:$N,7,0)),"")</f>
        <v/>
      </c>
      <c r="N3236" s="55" t="str">
        <f>IFERROR(IF(OR($B3236="",$B3236="(blank)"),"",VLOOKUP($B3236,'Email Marketing Raw Data'!$C:$O,6,0)),"")</f>
        <v/>
      </c>
      <c r="O3236" s="55" t="str">
        <f>IFERROR(IF(OR($B3236="",$B3236="(blank)"),"",VLOOKUP($B3236,'Email Marketing Raw Data'!$C:$O,7,0)),"")</f>
        <v/>
      </c>
      <c r="P3236" s="55" t="str">
        <f>IFERROR(IF(OR($B3236="",$B3236="(blank)"),"",VLOOKUP($B3236,'Email Marketing Raw Data'!$C:$O,8,0)),"")</f>
        <v/>
      </c>
      <c r="Q3236" s="62" t="str">
        <f>IFERROR(IF(OR($B3236="",$B3236="(blank)"),"",VLOOKUP($B3236,'Email Marketing Raw Data'!$C:$O,9,0)),"")</f>
        <v/>
      </c>
    </row>
    <row r="3237" spans="4:17" ht="12.75" customHeight="1" x14ac:dyDescent="0.2">
      <c r="D3237" s="58" t="str">
        <f>IFERROR(IF(F3237&lt;&gt;"pending","",IF(OR($B3237="",$B3237="(blank)"),"",VLOOKUP($B3237,'Email Marketing Raw Data'!$C:$O,10,0))),"")</f>
        <v/>
      </c>
      <c r="E3237" s="59" t="str">
        <f>IFERROR(IF(F3237&lt;&gt;"pending","",IF(OR($B3237="",$B3237="(blank)"),"",VLOOKUP($B3237,'Email Marketing Raw Data'!$C:$O,11,0))),"")</f>
        <v/>
      </c>
      <c r="F3237" s="54" t="str">
        <f>IFERROR(IF(OR($B3237="",$B3237="(blank)"),"",VLOOKUP($B3237,'Email Marketing Raw Data'!$C:$O,13,0)),"")</f>
        <v/>
      </c>
      <c r="G3237" s="55" t="str">
        <f>IFERROR(IF(OR($B3237="",$B3237="(blank)"),"",VLOOKUP($B3237,'Email Marketing Raw Data'!$C:$O,4,0)),"")</f>
        <v/>
      </c>
      <c r="H3237" s="55" t="str">
        <f>IFERROR(IF(OR($B3237="",$B3237="(blank)"),"",VLOOKUP($B3237,'Email Marketing Raw Data'!$C:$O,5,0)),"")</f>
        <v/>
      </c>
      <c r="I3237" s="55" t="str">
        <f>IFERROR(IF($G3237="","",VLOOKUP('Dashboard And Emails Automate'!$G3237,Database!$H:$N,3,0)),"")</f>
        <v/>
      </c>
      <c r="J3237" s="55" t="str">
        <f>IFERROR(IF($G3237="","",VLOOKUP('Dashboard And Emails Automate'!$G3237,Database!$H:$N,4,0)),"")</f>
        <v/>
      </c>
      <c r="K3237" s="55" t="str">
        <f>IFERROR(IF($G3237="","",VLOOKUP('Dashboard And Emails Automate'!$G3237,Database!$H:$N,5,0)),"")</f>
        <v/>
      </c>
      <c r="L3237" s="55" t="str">
        <f>IFERROR(IF($G3237="","",VLOOKUP('Dashboard And Emails Automate'!$G3237,Database!$H:$N,6,0)),"")</f>
        <v/>
      </c>
      <c r="M3237" s="55" t="str">
        <f>IFERROR(IF($G3237="","",VLOOKUP('Dashboard And Emails Automate'!$G3237,Database!$H:$N,7,0)),"")</f>
        <v/>
      </c>
      <c r="N3237" s="55" t="str">
        <f>IFERROR(IF(OR($B3237="",$B3237="(blank)"),"",VLOOKUP($B3237,'Email Marketing Raw Data'!$C:$O,6,0)),"")</f>
        <v/>
      </c>
      <c r="O3237" s="55" t="str">
        <f>IFERROR(IF(OR($B3237="",$B3237="(blank)"),"",VLOOKUP($B3237,'Email Marketing Raw Data'!$C:$O,7,0)),"")</f>
        <v/>
      </c>
      <c r="P3237" s="55" t="str">
        <f>IFERROR(IF(OR($B3237="",$B3237="(blank)"),"",VLOOKUP($B3237,'Email Marketing Raw Data'!$C:$O,8,0)),"")</f>
        <v/>
      </c>
      <c r="Q3237" s="62" t="str">
        <f>IFERROR(IF(OR($B3237="",$B3237="(blank)"),"",VLOOKUP($B3237,'Email Marketing Raw Data'!$C:$O,9,0)),"")</f>
        <v/>
      </c>
    </row>
    <row r="3238" spans="4:17" ht="12.75" customHeight="1" x14ac:dyDescent="0.2">
      <c r="D3238" s="58" t="str">
        <f>IFERROR(IF(F3238&lt;&gt;"pending","",IF(OR($B3238="",$B3238="(blank)"),"",VLOOKUP($B3238,'Email Marketing Raw Data'!$C:$O,10,0))),"")</f>
        <v/>
      </c>
      <c r="E3238" s="59" t="str">
        <f>IFERROR(IF(F3238&lt;&gt;"pending","",IF(OR($B3238="",$B3238="(blank)"),"",VLOOKUP($B3238,'Email Marketing Raw Data'!$C:$O,11,0))),"")</f>
        <v/>
      </c>
      <c r="F3238" s="54" t="str">
        <f>IFERROR(IF(OR($B3238="",$B3238="(blank)"),"",VLOOKUP($B3238,'Email Marketing Raw Data'!$C:$O,13,0)),"")</f>
        <v/>
      </c>
      <c r="G3238" s="55" t="str">
        <f>IFERROR(IF(OR($B3238="",$B3238="(blank)"),"",VLOOKUP($B3238,'Email Marketing Raw Data'!$C:$O,4,0)),"")</f>
        <v/>
      </c>
      <c r="H3238" s="55" t="str">
        <f>IFERROR(IF(OR($B3238="",$B3238="(blank)"),"",VLOOKUP($B3238,'Email Marketing Raw Data'!$C:$O,5,0)),"")</f>
        <v/>
      </c>
      <c r="I3238" s="55" t="str">
        <f>IFERROR(IF($G3238="","",VLOOKUP('Dashboard And Emails Automate'!$G3238,Database!$H:$N,3,0)),"")</f>
        <v/>
      </c>
      <c r="J3238" s="55" t="str">
        <f>IFERROR(IF($G3238="","",VLOOKUP('Dashboard And Emails Automate'!$G3238,Database!$H:$N,4,0)),"")</f>
        <v/>
      </c>
      <c r="K3238" s="55" t="str">
        <f>IFERROR(IF($G3238="","",VLOOKUP('Dashboard And Emails Automate'!$G3238,Database!$H:$N,5,0)),"")</f>
        <v/>
      </c>
      <c r="L3238" s="55" t="str">
        <f>IFERROR(IF($G3238="","",VLOOKUP('Dashboard And Emails Automate'!$G3238,Database!$H:$N,6,0)),"")</f>
        <v/>
      </c>
      <c r="M3238" s="55" t="str">
        <f>IFERROR(IF($G3238="","",VLOOKUP('Dashboard And Emails Automate'!$G3238,Database!$H:$N,7,0)),"")</f>
        <v/>
      </c>
      <c r="N3238" s="55" t="str">
        <f>IFERROR(IF(OR($B3238="",$B3238="(blank)"),"",VLOOKUP($B3238,'Email Marketing Raw Data'!$C:$O,6,0)),"")</f>
        <v/>
      </c>
      <c r="O3238" s="55" t="str">
        <f>IFERROR(IF(OR($B3238="",$B3238="(blank)"),"",VLOOKUP($B3238,'Email Marketing Raw Data'!$C:$O,7,0)),"")</f>
        <v/>
      </c>
      <c r="P3238" s="55" t="str">
        <f>IFERROR(IF(OR($B3238="",$B3238="(blank)"),"",VLOOKUP($B3238,'Email Marketing Raw Data'!$C:$O,8,0)),"")</f>
        <v/>
      </c>
      <c r="Q3238" s="62" t="str">
        <f>IFERROR(IF(OR($B3238="",$B3238="(blank)"),"",VLOOKUP($B3238,'Email Marketing Raw Data'!$C:$O,9,0)),"")</f>
        <v/>
      </c>
    </row>
    <row r="3239" spans="4:17" ht="12.75" customHeight="1" x14ac:dyDescent="0.2">
      <c r="D3239" s="58" t="str">
        <f>IFERROR(IF(F3239&lt;&gt;"pending","",IF(OR($B3239="",$B3239="(blank)"),"",VLOOKUP($B3239,'Email Marketing Raw Data'!$C:$O,10,0))),"")</f>
        <v/>
      </c>
      <c r="E3239" s="59" t="str">
        <f>IFERROR(IF(F3239&lt;&gt;"pending","",IF(OR($B3239="",$B3239="(blank)"),"",VLOOKUP($B3239,'Email Marketing Raw Data'!$C:$O,11,0))),"")</f>
        <v/>
      </c>
      <c r="F3239" s="54" t="str">
        <f>IFERROR(IF(OR($B3239="",$B3239="(blank)"),"",VLOOKUP($B3239,'Email Marketing Raw Data'!$C:$O,13,0)),"")</f>
        <v/>
      </c>
      <c r="G3239" s="55" t="str">
        <f>IFERROR(IF(OR($B3239="",$B3239="(blank)"),"",VLOOKUP($B3239,'Email Marketing Raw Data'!$C:$O,4,0)),"")</f>
        <v/>
      </c>
      <c r="H3239" s="55" t="str">
        <f>IFERROR(IF(OR($B3239="",$B3239="(blank)"),"",VLOOKUP($B3239,'Email Marketing Raw Data'!$C:$O,5,0)),"")</f>
        <v/>
      </c>
      <c r="I3239" s="55" t="str">
        <f>IFERROR(IF($G3239="","",VLOOKUP('Dashboard And Emails Automate'!$G3239,Database!$H:$N,3,0)),"")</f>
        <v/>
      </c>
      <c r="J3239" s="55" t="str">
        <f>IFERROR(IF($G3239="","",VLOOKUP('Dashboard And Emails Automate'!$G3239,Database!$H:$N,4,0)),"")</f>
        <v/>
      </c>
      <c r="K3239" s="55" t="str">
        <f>IFERROR(IF($G3239="","",VLOOKUP('Dashboard And Emails Automate'!$G3239,Database!$H:$N,5,0)),"")</f>
        <v/>
      </c>
      <c r="L3239" s="55" t="str">
        <f>IFERROR(IF($G3239="","",VLOOKUP('Dashboard And Emails Automate'!$G3239,Database!$H:$N,6,0)),"")</f>
        <v/>
      </c>
      <c r="M3239" s="55" t="str">
        <f>IFERROR(IF($G3239="","",VLOOKUP('Dashboard And Emails Automate'!$G3239,Database!$H:$N,7,0)),"")</f>
        <v/>
      </c>
      <c r="N3239" s="55" t="str">
        <f>IFERROR(IF(OR($B3239="",$B3239="(blank)"),"",VLOOKUP($B3239,'Email Marketing Raw Data'!$C:$O,6,0)),"")</f>
        <v/>
      </c>
      <c r="O3239" s="55" t="str">
        <f>IFERROR(IF(OR($B3239="",$B3239="(blank)"),"",VLOOKUP($B3239,'Email Marketing Raw Data'!$C:$O,7,0)),"")</f>
        <v/>
      </c>
      <c r="P3239" s="55" t="str">
        <f>IFERROR(IF(OR($B3239="",$B3239="(blank)"),"",VLOOKUP($B3239,'Email Marketing Raw Data'!$C:$O,8,0)),"")</f>
        <v/>
      </c>
      <c r="Q3239" s="62" t="str">
        <f>IFERROR(IF(OR($B3239="",$B3239="(blank)"),"",VLOOKUP($B3239,'Email Marketing Raw Data'!$C:$O,9,0)),"")</f>
        <v/>
      </c>
    </row>
    <row r="3240" spans="4:17" ht="12.75" customHeight="1" x14ac:dyDescent="0.2">
      <c r="D3240" s="58" t="str">
        <f>IFERROR(IF(F3240&lt;&gt;"pending","",IF(OR($B3240="",$B3240="(blank)"),"",VLOOKUP($B3240,'Email Marketing Raw Data'!$C:$O,10,0))),"")</f>
        <v/>
      </c>
      <c r="E3240" s="59" t="str">
        <f>IFERROR(IF(F3240&lt;&gt;"pending","",IF(OR($B3240="",$B3240="(blank)"),"",VLOOKUP($B3240,'Email Marketing Raw Data'!$C:$O,11,0))),"")</f>
        <v/>
      </c>
      <c r="F3240" s="54" t="str">
        <f>IFERROR(IF(OR($B3240="",$B3240="(blank)"),"",VLOOKUP($B3240,'Email Marketing Raw Data'!$C:$O,13,0)),"")</f>
        <v/>
      </c>
      <c r="G3240" s="55" t="str">
        <f>IFERROR(IF(OR($B3240="",$B3240="(blank)"),"",VLOOKUP($B3240,'Email Marketing Raw Data'!$C:$O,4,0)),"")</f>
        <v/>
      </c>
      <c r="H3240" s="55" t="str">
        <f>IFERROR(IF(OR($B3240="",$B3240="(blank)"),"",VLOOKUP($B3240,'Email Marketing Raw Data'!$C:$O,5,0)),"")</f>
        <v/>
      </c>
      <c r="I3240" s="55" t="str">
        <f>IFERROR(IF($G3240="","",VLOOKUP('Dashboard And Emails Automate'!$G3240,Database!$H:$N,3,0)),"")</f>
        <v/>
      </c>
      <c r="J3240" s="55" t="str">
        <f>IFERROR(IF($G3240="","",VLOOKUP('Dashboard And Emails Automate'!$G3240,Database!$H:$N,4,0)),"")</f>
        <v/>
      </c>
      <c r="K3240" s="55" t="str">
        <f>IFERROR(IF($G3240="","",VLOOKUP('Dashboard And Emails Automate'!$G3240,Database!$H:$N,5,0)),"")</f>
        <v/>
      </c>
      <c r="L3240" s="55" t="str">
        <f>IFERROR(IF($G3240="","",VLOOKUP('Dashboard And Emails Automate'!$G3240,Database!$H:$N,6,0)),"")</f>
        <v/>
      </c>
      <c r="M3240" s="55" t="str">
        <f>IFERROR(IF($G3240="","",VLOOKUP('Dashboard And Emails Automate'!$G3240,Database!$H:$N,7,0)),"")</f>
        <v/>
      </c>
      <c r="N3240" s="55" t="str">
        <f>IFERROR(IF(OR($B3240="",$B3240="(blank)"),"",VLOOKUP($B3240,'Email Marketing Raw Data'!$C:$O,6,0)),"")</f>
        <v/>
      </c>
      <c r="O3240" s="55" t="str">
        <f>IFERROR(IF(OR($B3240="",$B3240="(blank)"),"",VLOOKUP($B3240,'Email Marketing Raw Data'!$C:$O,7,0)),"")</f>
        <v/>
      </c>
      <c r="P3240" s="55" t="str">
        <f>IFERROR(IF(OR($B3240="",$B3240="(blank)"),"",VLOOKUP($B3240,'Email Marketing Raw Data'!$C:$O,8,0)),"")</f>
        <v/>
      </c>
      <c r="Q3240" s="62" t="str">
        <f>IFERROR(IF(OR($B3240="",$B3240="(blank)"),"",VLOOKUP($B3240,'Email Marketing Raw Data'!$C:$O,9,0)),"")</f>
        <v/>
      </c>
    </row>
    <row r="3241" spans="4:17" ht="12.75" customHeight="1" x14ac:dyDescent="0.2">
      <c r="D3241" s="58" t="str">
        <f>IFERROR(IF(F3241&lt;&gt;"pending","",IF(OR($B3241="",$B3241="(blank)"),"",VLOOKUP($B3241,'Email Marketing Raw Data'!$C:$O,10,0))),"")</f>
        <v/>
      </c>
      <c r="E3241" s="59" t="str">
        <f>IFERROR(IF(F3241&lt;&gt;"pending","",IF(OR($B3241="",$B3241="(blank)"),"",VLOOKUP($B3241,'Email Marketing Raw Data'!$C:$O,11,0))),"")</f>
        <v/>
      </c>
      <c r="F3241" s="54" t="str">
        <f>IFERROR(IF(OR($B3241="",$B3241="(blank)"),"",VLOOKUP($B3241,'Email Marketing Raw Data'!$C:$O,13,0)),"")</f>
        <v/>
      </c>
      <c r="G3241" s="55" t="str">
        <f>IFERROR(IF(OR($B3241="",$B3241="(blank)"),"",VLOOKUP($B3241,'Email Marketing Raw Data'!$C:$O,4,0)),"")</f>
        <v/>
      </c>
      <c r="H3241" s="55" t="str">
        <f>IFERROR(IF(OR($B3241="",$B3241="(blank)"),"",VLOOKUP($B3241,'Email Marketing Raw Data'!$C:$O,5,0)),"")</f>
        <v/>
      </c>
      <c r="I3241" s="55" t="str">
        <f>IFERROR(IF($G3241="","",VLOOKUP('Dashboard And Emails Automate'!$G3241,Database!$H:$N,3,0)),"")</f>
        <v/>
      </c>
      <c r="J3241" s="55" t="str">
        <f>IFERROR(IF($G3241="","",VLOOKUP('Dashboard And Emails Automate'!$G3241,Database!$H:$N,4,0)),"")</f>
        <v/>
      </c>
      <c r="K3241" s="55" t="str">
        <f>IFERROR(IF($G3241="","",VLOOKUP('Dashboard And Emails Automate'!$G3241,Database!$H:$N,5,0)),"")</f>
        <v/>
      </c>
      <c r="L3241" s="55" t="str">
        <f>IFERROR(IF($G3241="","",VLOOKUP('Dashboard And Emails Automate'!$G3241,Database!$H:$N,6,0)),"")</f>
        <v/>
      </c>
      <c r="M3241" s="55" t="str">
        <f>IFERROR(IF($G3241="","",VLOOKUP('Dashboard And Emails Automate'!$G3241,Database!$H:$N,7,0)),"")</f>
        <v/>
      </c>
      <c r="N3241" s="55" t="str">
        <f>IFERROR(IF(OR($B3241="",$B3241="(blank)"),"",VLOOKUP($B3241,'Email Marketing Raw Data'!$C:$O,6,0)),"")</f>
        <v/>
      </c>
      <c r="O3241" s="55" t="str">
        <f>IFERROR(IF(OR($B3241="",$B3241="(blank)"),"",VLOOKUP($B3241,'Email Marketing Raw Data'!$C:$O,7,0)),"")</f>
        <v/>
      </c>
      <c r="P3241" s="55" t="str">
        <f>IFERROR(IF(OR($B3241="",$B3241="(blank)"),"",VLOOKUP($B3241,'Email Marketing Raw Data'!$C:$O,8,0)),"")</f>
        <v/>
      </c>
      <c r="Q3241" s="62" t="str">
        <f>IFERROR(IF(OR($B3241="",$B3241="(blank)"),"",VLOOKUP($B3241,'Email Marketing Raw Data'!$C:$O,9,0)),"")</f>
        <v/>
      </c>
    </row>
    <row r="3242" spans="4:17" ht="12.75" customHeight="1" x14ac:dyDescent="0.2">
      <c r="D3242" s="58" t="str">
        <f>IFERROR(IF(F3242&lt;&gt;"pending","",IF(OR($B3242="",$B3242="(blank)"),"",VLOOKUP($B3242,'Email Marketing Raw Data'!$C:$O,10,0))),"")</f>
        <v/>
      </c>
      <c r="E3242" s="59" t="str">
        <f>IFERROR(IF(F3242&lt;&gt;"pending","",IF(OR($B3242="",$B3242="(blank)"),"",VLOOKUP($B3242,'Email Marketing Raw Data'!$C:$O,11,0))),"")</f>
        <v/>
      </c>
      <c r="F3242" s="54" t="str">
        <f>IFERROR(IF(OR($B3242="",$B3242="(blank)"),"",VLOOKUP($B3242,'Email Marketing Raw Data'!$C:$O,13,0)),"")</f>
        <v/>
      </c>
      <c r="G3242" s="55" t="str">
        <f>IFERROR(IF(OR($B3242="",$B3242="(blank)"),"",VLOOKUP($B3242,'Email Marketing Raw Data'!$C:$O,4,0)),"")</f>
        <v/>
      </c>
      <c r="H3242" s="55" t="str">
        <f>IFERROR(IF(OR($B3242="",$B3242="(blank)"),"",VLOOKUP($B3242,'Email Marketing Raw Data'!$C:$O,5,0)),"")</f>
        <v/>
      </c>
      <c r="I3242" s="55" t="str">
        <f>IFERROR(IF($G3242="","",VLOOKUP('Dashboard And Emails Automate'!$G3242,Database!$H:$N,3,0)),"")</f>
        <v/>
      </c>
      <c r="J3242" s="55" t="str">
        <f>IFERROR(IF($G3242="","",VLOOKUP('Dashboard And Emails Automate'!$G3242,Database!$H:$N,4,0)),"")</f>
        <v/>
      </c>
      <c r="K3242" s="55" t="str">
        <f>IFERROR(IF($G3242="","",VLOOKUP('Dashboard And Emails Automate'!$G3242,Database!$H:$N,5,0)),"")</f>
        <v/>
      </c>
      <c r="L3242" s="55" t="str">
        <f>IFERROR(IF($G3242="","",VLOOKUP('Dashboard And Emails Automate'!$G3242,Database!$H:$N,6,0)),"")</f>
        <v/>
      </c>
      <c r="M3242" s="55" t="str">
        <f>IFERROR(IF($G3242="","",VLOOKUP('Dashboard And Emails Automate'!$G3242,Database!$H:$N,7,0)),"")</f>
        <v/>
      </c>
      <c r="N3242" s="55" t="str">
        <f>IFERROR(IF(OR($B3242="",$B3242="(blank)"),"",VLOOKUP($B3242,'Email Marketing Raw Data'!$C:$O,6,0)),"")</f>
        <v/>
      </c>
      <c r="O3242" s="55" t="str">
        <f>IFERROR(IF(OR($B3242="",$B3242="(blank)"),"",VLOOKUP($B3242,'Email Marketing Raw Data'!$C:$O,7,0)),"")</f>
        <v/>
      </c>
      <c r="P3242" s="55" t="str">
        <f>IFERROR(IF(OR($B3242="",$B3242="(blank)"),"",VLOOKUP($B3242,'Email Marketing Raw Data'!$C:$O,8,0)),"")</f>
        <v/>
      </c>
      <c r="Q3242" s="62" t="str">
        <f>IFERROR(IF(OR($B3242="",$B3242="(blank)"),"",VLOOKUP($B3242,'Email Marketing Raw Data'!$C:$O,9,0)),"")</f>
        <v/>
      </c>
    </row>
    <row r="3243" spans="4:17" ht="12.75" customHeight="1" x14ac:dyDescent="0.2">
      <c r="D3243" s="58" t="str">
        <f>IFERROR(IF(F3243&lt;&gt;"pending","",IF(OR($B3243="",$B3243="(blank)"),"",VLOOKUP($B3243,'Email Marketing Raw Data'!$C:$O,10,0))),"")</f>
        <v/>
      </c>
      <c r="E3243" s="59" t="str">
        <f>IFERROR(IF(F3243&lt;&gt;"pending","",IF(OR($B3243="",$B3243="(blank)"),"",VLOOKUP($B3243,'Email Marketing Raw Data'!$C:$O,11,0))),"")</f>
        <v/>
      </c>
      <c r="F3243" s="54" t="str">
        <f>IFERROR(IF(OR($B3243="",$B3243="(blank)"),"",VLOOKUP($B3243,'Email Marketing Raw Data'!$C:$O,13,0)),"")</f>
        <v/>
      </c>
      <c r="G3243" s="55" t="str">
        <f>IFERROR(IF(OR($B3243="",$B3243="(blank)"),"",VLOOKUP($B3243,'Email Marketing Raw Data'!$C:$O,4,0)),"")</f>
        <v/>
      </c>
      <c r="H3243" s="55" t="str">
        <f>IFERROR(IF(OR($B3243="",$B3243="(blank)"),"",VLOOKUP($B3243,'Email Marketing Raw Data'!$C:$O,5,0)),"")</f>
        <v/>
      </c>
      <c r="I3243" s="55" t="str">
        <f>IFERROR(IF($G3243="","",VLOOKUP('Dashboard And Emails Automate'!$G3243,Database!$H:$N,3,0)),"")</f>
        <v/>
      </c>
      <c r="J3243" s="55" t="str">
        <f>IFERROR(IF($G3243="","",VLOOKUP('Dashboard And Emails Automate'!$G3243,Database!$H:$N,4,0)),"")</f>
        <v/>
      </c>
      <c r="K3243" s="55" t="str">
        <f>IFERROR(IF($G3243="","",VLOOKUP('Dashboard And Emails Automate'!$G3243,Database!$H:$N,5,0)),"")</f>
        <v/>
      </c>
      <c r="L3243" s="55" t="str">
        <f>IFERROR(IF($G3243="","",VLOOKUP('Dashboard And Emails Automate'!$G3243,Database!$H:$N,6,0)),"")</f>
        <v/>
      </c>
      <c r="M3243" s="55" t="str">
        <f>IFERROR(IF($G3243="","",VLOOKUP('Dashboard And Emails Automate'!$G3243,Database!$H:$N,7,0)),"")</f>
        <v/>
      </c>
      <c r="N3243" s="55" t="str">
        <f>IFERROR(IF(OR($B3243="",$B3243="(blank)"),"",VLOOKUP($B3243,'Email Marketing Raw Data'!$C:$O,6,0)),"")</f>
        <v/>
      </c>
      <c r="O3243" s="55" t="str">
        <f>IFERROR(IF(OR($B3243="",$B3243="(blank)"),"",VLOOKUP($B3243,'Email Marketing Raw Data'!$C:$O,7,0)),"")</f>
        <v/>
      </c>
      <c r="P3243" s="55" t="str">
        <f>IFERROR(IF(OR($B3243="",$B3243="(blank)"),"",VLOOKUP($B3243,'Email Marketing Raw Data'!$C:$O,8,0)),"")</f>
        <v/>
      </c>
      <c r="Q3243" s="62" t="str">
        <f>IFERROR(IF(OR($B3243="",$B3243="(blank)"),"",VLOOKUP($B3243,'Email Marketing Raw Data'!$C:$O,9,0)),"")</f>
        <v/>
      </c>
    </row>
    <row r="3244" spans="4:17" ht="12.75" customHeight="1" x14ac:dyDescent="0.2">
      <c r="D3244" s="58" t="str">
        <f>IFERROR(IF(F3244&lt;&gt;"pending","",IF(OR($B3244="",$B3244="(blank)"),"",VLOOKUP($B3244,'Email Marketing Raw Data'!$C:$O,10,0))),"")</f>
        <v/>
      </c>
      <c r="E3244" s="59" t="str">
        <f>IFERROR(IF(F3244&lt;&gt;"pending","",IF(OR($B3244="",$B3244="(blank)"),"",VLOOKUP($B3244,'Email Marketing Raw Data'!$C:$O,11,0))),"")</f>
        <v/>
      </c>
      <c r="F3244" s="54" t="str">
        <f>IFERROR(IF(OR($B3244="",$B3244="(blank)"),"",VLOOKUP($B3244,'Email Marketing Raw Data'!$C:$O,13,0)),"")</f>
        <v/>
      </c>
      <c r="G3244" s="55" t="str">
        <f>IFERROR(IF(OR($B3244="",$B3244="(blank)"),"",VLOOKUP($B3244,'Email Marketing Raw Data'!$C:$O,4,0)),"")</f>
        <v/>
      </c>
      <c r="H3244" s="55" t="str">
        <f>IFERROR(IF(OR($B3244="",$B3244="(blank)"),"",VLOOKUP($B3244,'Email Marketing Raw Data'!$C:$O,5,0)),"")</f>
        <v/>
      </c>
      <c r="I3244" s="55" t="str">
        <f>IFERROR(IF($G3244="","",VLOOKUP('Dashboard And Emails Automate'!$G3244,Database!$H:$N,3,0)),"")</f>
        <v/>
      </c>
      <c r="J3244" s="55" t="str">
        <f>IFERROR(IF($G3244="","",VLOOKUP('Dashboard And Emails Automate'!$G3244,Database!$H:$N,4,0)),"")</f>
        <v/>
      </c>
      <c r="K3244" s="55" t="str">
        <f>IFERROR(IF($G3244="","",VLOOKUP('Dashboard And Emails Automate'!$G3244,Database!$H:$N,5,0)),"")</f>
        <v/>
      </c>
      <c r="L3244" s="55" t="str">
        <f>IFERROR(IF($G3244="","",VLOOKUP('Dashboard And Emails Automate'!$G3244,Database!$H:$N,6,0)),"")</f>
        <v/>
      </c>
      <c r="M3244" s="55" t="str">
        <f>IFERROR(IF($G3244="","",VLOOKUP('Dashboard And Emails Automate'!$G3244,Database!$H:$N,7,0)),"")</f>
        <v/>
      </c>
      <c r="N3244" s="55" t="str">
        <f>IFERROR(IF(OR($B3244="",$B3244="(blank)"),"",VLOOKUP($B3244,'Email Marketing Raw Data'!$C:$O,6,0)),"")</f>
        <v/>
      </c>
      <c r="O3244" s="55" t="str">
        <f>IFERROR(IF(OR($B3244="",$B3244="(blank)"),"",VLOOKUP($B3244,'Email Marketing Raw Data'!$C:$O,7,0)),"")</f>
        <v/>
      </c>
      <c r="P3244" s="55" t="str">
        <f>IFERROR(IF(OR($B3244="",$B3244="(blank)"),"",VLOOKUP($B3244,'Email Marketing Raw Data'!$C:$O,8,0)),"")</f>
        <v/>
      </c>
      <c r="Q3244" s="62" t="str">
        <f>IFERROR(IF(OR($B3244="",$B3244="(blank)"),"",VLOOKUP($B3244,'Email Marketing Raw Data'!$C:$O,9,0)),"")</f>
        <v/>
      </c>
    </row>
    <row r="3245" spans="4:17" ht="12.75" customHeight="1" x14ac:dyDescent="0.2">
      <c r="D3245" s="58" t="str">
        <f>IFERROR(IF(F3245&lt;&gt;"pending","",IF(OR($B3245="",$B3245="(blank)"),"",VLOOKUP($B3245,'Email Marketing Raw Data'!$C:$O,10,0))),"")</f>
        <v/>
      </c>
      <c r="E3245" s="59" t="str">
        <f>IFERROR(IF(F3245&lt;&gt;"pending","",IF(OR($B3245="",$B3245="(blank)"),"",VLOOKUP($B3245,'Email Marketing Raw Data'!$C:$O,11,0))),"")</f>
        <v/>
      </c>
      <c r="F3245" s="54" t="str">
        <f>IFERROR(IF(OR($B3245="",$B3245="(blank)"),"",VLOOKUP($B3245,'Email Marketing Raw Data'!$C:$O,13,0)),"")</f>
        <v/>
      </c>
      <c r="G3245" s="55" t="str">
        <f>IFERROR(IF(OR($B3245="",$B3245="(blank)"),"",VLOOKUP($B3245,'Email Marketing Raw Data'!$C:$O,4,0)),"")</f>
        <v/>
      </c>
      <c r="H3245" s="55" t="str">
        <f>IFERROR(IF(OR($B3245="",$B3245="(blank)"),"",VLOOKUP($B3245,'Email Marketing Raw Data'!$C:$O,5,0)),"")</f>
        <v/>
      </c>
      <c r="I3245" s="55" t="str">
        <f>IFERROR(IF($G3245="","",VLOOKUP('Dashboard And Emails Automate'!$G3245,Database!$H:$N,3,0)),"")</f>
        <v/>
      </c>
      <c r="J3245" s="55" t="str">
        <f>IFERROR(IF($G3245="","",VLOOKUP('Dashboard And Emails Automate'!$G3245,Database!$H:$N,4,0)),"")</f>
        <v/>
      </c>
      <c r="K3245" s="55" t="str">
        <f>IFERROR(IF($G3245="","",VLOOKUP('Dashboard And Emails Automate'!$G3245,Database!$H:$N,5,0)),"")</f>
        <v/>
      </c>
      <c r="L3245" s="55" t="str">
        <f>IFERROR(IF($G3245="","",VLOOKUP('Dashboard And Emails Automate'!$G3245,Database!$H:$N,6,0)),"")</f>
        <v/>
      </c>
      <c r="M3245" s="55" t="str">
        <f>IFERROR(IF($G3245="","",VLOOKUP('Dashboard And Emails Automate'!$G3245,Database!$H:$N,7,0)),"")</f>
        <v/>
      </c>
      <c r="N3245" s="55" t="str">
        <f>IFERROR(IF(OR($B3245="",$B3245="(blank)"),"",VLOOKUP($B3245,'Email Marketing Raw Data'!$C:$O,6,0)),"")</f>
        <v/>
      </c>
      <c r="O3245" s="55" t="str">
        <f>IFERROR(IF(OR($B3245="",$B3245="(blank)"),"",VLOOKUP($B3245,'Email Marketing Raw Data'!$C:$O,7,0)),"")</f>
        <v/>
      </c>
      <c r="P3245" s="55" t="str">
        <f>IFERROR(IF(OR($B3245="",$B3245="(blank)"),"",VLOOKUP($B3245,'Email Marketing Raw Data'!$C:$O,8,0)),"")</f>
        <v/>
      </c>
      <c r="Q3245" s="62" t="str">
        <f>IFERROR(IF(OR($B3245="",$B3245="(blank)"),"",VLOOKUP($B3245,'Email Marketing Raw Data'!$C:$O,9,0)),"")</f>
        <v/>
      </c>
    </row>
    <row r="3246" spans="4:17" ht="12.75" customHeight="1" x14ac:dyDescent="0.2">
      <c r="D3246" s="58" t="str">
        <f>IFERROR(IF(F3246&lt;&gt;"pending","",IF(OR($B3246="",$B3246="(blank)"),"",VLOOKUP($B3246,'Email Marketing Raw Data'!$C:$O,10,0))),"")</f>
        <v/>
      </c>
      <c r="E3246" s="59" t="str">
        <f>IFERROR(IF(F3246&lt;&gt;"pending","",IF(OR($B3246="",$B3246="(blank)"),"",VLOOKUP($B3246,'Email Marketing Raw Data'!$C:$O,11,0))),"")</f>
        <v/>
      </c>
      <c r="F3246" s="54" t="str">
        <f>IFERROR(IF(OR($B3246="",$B3246="(blank)"),"",VLOOKUP($B3246,'Email Marketing Raw Data'!$C:$O,13,0)),"")</f>
        <v/>
      </c>
      <c r="G3246" s="55" t="str">
        <f>IFERROR(IF(OR($B3246="",$B3246="(blank)"),"",VLOOKUP($B3246,'Email Marketing Raw Data'!$C:$O,4,0)),"")</f>
        <v/>
      </c>
      <c r="H3246" s="55" t="str">
        <f>IFERROR(IF(OR($B3246="",$B3246="(blank)"),"",VLOOKUP($B3246,'Email Marketing Raw Data'!$C:$O,5,0)),"")</f>
        <v/>
      </c>
      <c r="I3246" s="55" t="str">
        <f>IFERROR(IF($G3246="","",VLOOKUP('Dashboard And Emails Automate'!$G3246,Database!$H:$N,3,0)),"")</f>
        <v/>
      </c>
      <c r="J3246" s="55" t="str">
        <f>IFERROR(IF($G3246="","",VLOOKUP('Dashboard And Emails Automate'!$G3246,Database!$H:$N,4,0)),"")</f>
        <v/>
      </c>
      <c r="K3246" s="55" t="str">
        <f>IFERROR(IF($G3246="","",VLOOKUP('Dashboard And Emails Automate'!$G3246,Database!$H:$N,5,0)),"")</f>
        <v/>
      </c>
      <c r="L3246" s="55" t="str">
        <f>IFERROR(IF($G3246="","",VLOOKUP('Dashboard And Emails Automate'!$G3246,Database!$H:$N,6,0)),"")</f>
        <v/>
      </c>
      <c r="M3246" s="55" t="str">
        <f>IFERROR(IF($G3246="","",VLOOKUP('Dashboard And Emails Automate'!$G3246,Database!$H:$N,7,0)),"")</f>
        <v/>
      </c>
      <c r="N3246" s="55" t="str">
        <f>IFERROR(IF(OR($B3246="",$B3246="(blank)"),"",VLOOKUP($B3246,'Email Marketing Raw Data'!$C:$O,6,0)),"")</f>
        <v/>
      </c>
      <c r="O3246" s="55" t="str">
        <f>IFERROR(IF(OR($B3246="",$B3246="(blank)"),"",VLOOKUP($B3246,'Email Marketing Raw Data'!$C:$O,7,0)),"")</f>
        <v/>
      </c>
      <c r="P3246" s="55" t="str">
        <f>IFERROR(IF(OR($B3246="",$B3246="(blank)"),"",VLOOKUP($B3246,'Email Marketing Raw Data'!$C:$O,8,0)),"")</f>
        <v/>
      </c>
      <c r="Q3246" s="62" t="str">
        <f>IFERROR(IF(OR($B3246="",$B3246="(blank)"),"",VLOOKUP($B3246,'Email Marketing Raw Data'!$C:$O,9,0)),"")</f>
        <v/>
      </c>
    </row>
    <row r="3247" spans="4:17" ht="12.75" customHeight="1" x14ac:dyDescent="0.2">
      <c r="D3247" s="58" t="str">
        <f>IFERROR(IF(F3247&lt;&gt;"pending","",IF(OR($B3247="",$B3247="(blank)"),"",VLOOKUP($B3247,'Email Marketing Raw Data'!$C:$O,10,0))),"")</f>
        <v/>
      </c>
      <c r="E3247" s="59" t="str">
        <f>IFERROR(IF(F3247&lt;&gt;"pending","",IF(OR($B3247="",$B3247="(blank)"),"",VLOOKUP($B3247,'Email Marketing Raw Data'!$C:$O,11,0))),"")</f>
        <v/>
      </c>
      <c r="F3247" s="54" t="str">
        <f>IFERROR(IF(OR($B3247="",$B3247="(blank)"),"",VLOOKUP($B3247,'Email Marketing Raw Data'!$C:$O,13,0)),"")</f>
        <v/>
      </c>
      <c r="G3247" s="55" t="str">
        <f>IFERROR(IF(OR($B3247="",$B3247="(blank)"),"",VLOOKUP($B3247,'Email Marketing Raw Data'!$C:$O,4,0)),"")</f>
        <v/>
      </c>
      <c r="H3247" s="55" t="str">
        <f>IFERROR(IF(OR($B3247="",$B3247="(blank)"),"",VLOOKUP($B3247,'Email Marketing Raw Data'!$C:$O,5,0)),"")</f>
        <v/>
      </c>
      <c r="I3247" s="55" t="str">
        <f>IFERROR(IF($G3247="","",VLOOKUP('Dashboard And Emails Automate'!$G3247,Database!$H:$N,3,0)),"")</f>
        <v/>
      </c>
      <c r="J3247" s="55" t="str">
        <f>IFERROR(IF($G3247="","",VLOOKUP('Dashboard And Emails Automate'!$G3247,Database!$H:$N,4,0)),"")</f>
        <v/>
      </c>
      <c r="K3247" s="55" t="str">
        <f>IFERROR(IF($G3247="","",VLOOKUP('Dashboard And Emails Automate'!$G3247,Database!$H:$N,5,0)),"")</f>
        <v/>
      </c>
      <c r="L3247" s="55" t="str">
        <f>IFERROR(IF($G3247="","",VLOOKUP('Dashboard And Emails Automate'!$G3247,Database!$H:$N,6,0)),"")</f>
        <v/>
      </c>
      <c r="M3247" s="55" t="str">
        <f>IFERROR(IF($G3247="","",VLOOKUP('Dashboard And Emails Automate'!$G3247,Database!$H:$N,7,0)),"")</f>
        <v/>
      </c>
      <c r="N3247" s="55" t="str">
        <f>IFERROR(IF(OR($B3247="",$B3247="(blank)"),"",VLOOKUP($B3247,'Email Marketing Raw Data'!$C:$O,6,0)),"")</f>
        <v/>
      </c>
      <c r="O3247" s="55" t="str">
        <f>IFERROR(IF(OR($B3247="",$B3247="(blank)"),"",VLOOKUP($B3247,'Email Marketing Raw Data'!$C:$O,7,0)),"")</f>
        <v/>
      </c>
      <c r="P3247" s="55" t="str">
        <f>IFERROR(IF(OR($B3247="",$B3247="(blank)"),"",VLOOKUP($B3247,'Email Marketing Raw Data'!$C:$O,8,0)),"")</f>
        <v/>
      </c>
      <c r="Q3247" s="62" t="str">
        <f>IFERROR(IF(OR($B3247="",$B3247="(blank)"),"",VLOOKUP($B3247,'Email Marketing Raw Data'!$C:$O,9,0)),"")</f>
        <v/>
      </c>
    </row>
    <row r="3248" spans="4:17" ht="12.75" customHeight="1" x14ac:dyDescent="0.2">
      <c r="D3248" s="58" t="str">
        <f>IFERROR(IF(F3248&lt;&gt;"pending","",IF(OR($B3248="",$B3248="(blank)"),"",VLOOKUP($B3248,'Email Marketing Raw Data'!$C:$O,10,0))),"")</f>
        <v/>
      </c>
      <c r="E3248" s="59" t="str">
        <f>IFERROR(IF(F3248&lt;&gt;"pending","",IF(OR($B3248="",$B3248="(blank)"),"",VLOOKUP($B3248,'Email Marketing Raw Data'!$C:$O,11,0))),"")</f>
        <v/>
      </c>
      <c r="F3248" s="54" t="str">
        <f>IFERROR(IF(OR($B3248="",$B3248="(blank)"),"",VLOOKUP($B3248,'Email Marketing Raw Data'!$C:$O,13,0)),"")</f>
        <v/>
      </c>
      <c r="G3248" s="55" t="str">
        <f>IFERROR(IF(OR($B3248="",$B3248="(blank)"),"",VLOOKUP($B3248,'Email Marketing Raw Data'!$C:$O,4,0)),"")</f>
        <v/>
      </c>
      <c r="H3248" s="55" t="str">
        <f>IFERROR(IF(OR($B3248="",$B3248="(blank)"),"",VLOOKUP($B3248,'Email Marketing Raw Data'!$C:$O,5,0)),"")</f>
        <v/>
      </c>
      <c r="I3248" s="55" t="str">
        <f>IFERROR(IF($G3248="","",VLOOKUP('Dashboard And Emails Automate'!$G3248,Database!$H:$N,3,0)),"")</f>
        <v/>
      </c>
      <c r="J3248" s="55" t="str">
        <f>IFERROR(IF($G3248="","",VLOOKUP('Dashboard And Emails Automate'!$G3248,Database!$H:$N,4,0)),"")</f>
        <v/>
      </c>
      <c r="K3248" s="55" t="str">
        <f>IFERROR(IF($G3248="","",VLOOKUP('Dashboard And Emails Automate'!$G3248,Database!$H:$N,5,0)),"")</f>
        <v/>
      </c>
      <c r="L3248" s="55" t="str">
        <f>IFERROR(IF($G3248="","",VLOOKUP('Dashboard And Emails Automate'!$G3248,Database!$H:$N,6,0)),"")</f>
        <v/>
      </c>
      <c r="M3248" s="55" t="str">
        <f>IFERROR(IF($G3248="","",VLOOKUP('Dashboard And Emails Automate'!$G3248,Database!$H:$N,7,0)),"")</f>
        <v/>
      </c>
      <c r="N3248" s="55" t="str">
        <f>IFERROR(IF(OR($B3248="",$B3248="(blank)"),"",VLOOKUP($B3248,'Email Marketing Raw Data'!$C:$O,6,0)),"")</f>
        <v/>
      </c>
      <c r="O3248" s="55" t="str">
        <f>IFERROR(IF(OR($B3248="",$B3248="(blank)"),"",VLOOKUP($B3248,'Email Marketing Raw Data'!$C:$O,7,0)),"")</f>
        <v/>
      </c>
      <c r="P3248" s="55" t="str">
        <f>IFERROR(IF(OR($B3248="",$B3248="(blank)"),"",VLOOKUP($B3248,'Email Marketing Raw Data'!$C:$O,8,0)),"")</f>
        <v/>
      </c>
      <c r="Q3248" s="62" t="str">
        <f>IFERROR(IF(OR($B3248="",$B3248="(blank)"),"",VLOOKUP($B3248,'Email Marketing Raw Data'!$C:$O,9,0)),"")</f>
        <v/>
      </c>
    </row>
    <row r="3249" spans="4:17" ht="12.75" customHeight="1" x14ac:dyDescent="0.2">
      <c r="D3249" s="58" t="str">
        <f>IFERROR(IF(F3249&lt;&gt;"pending","",IF(OR($B3249="",$B3249="(blank)"),"",VLOOKUP($B3249,'Email Marketing Raw Data'!$C:$O,10,0))),"")</f>
        <v/>
      </c>
      <c r="E3249" s="59" t="str">
        <f>IFERROR(IF(F3249&lt;&gt;"pending","",IF(OR($B3249="",$B3249="(blank)"),"",VLOOKUP($B3249,'Email Marketing Raw Data'!$C:$O,11,0))),"")</f>
        <v/>
      </c>
      <c r="F3249" s="54" t="str">
        <f>IFERROR(IF(OR($B3249="",$B3249="(blank)"),"",VLOOKUP($B3249,'Email Marketing Raw Data'!$C:$O,13,0)),"")</f>
        <v/>
      </c>
      <c r="G3249" s="55" t="str">
        <f>IFERROR(IF(OR($B3249="",$B3249="(blank)"),"",VLOOKUP($B3249,'Email Marketing Raw Data'!$C:$O,4,0)),"")</f>
        <v/>
      </c>
      <c r="H3249" s="55" t="str">
        <f>IFERROR(IF(OR($B3249="",$B3249="(blank)"),"",VLOOKUP($B3249,'Email Marketing Raw Data'!$C:$O,5,0)),"")</f>
        <v/>
      </c>
      <c r="I3249" s="55" t="str">
        <f>IFERROR(IF($G3249="","",VLOOKUP('Dashboard And Emails Automate'!$G3249,Database!$H:$N,3,0)),"")</f>
        <v/>
      </c>
      <c r="J3249" s="55" t="str">
        <f>IFERROR(IF($G3249="","",VLOOKUP('Dashboard And Emails Automate'!$G3249,Database!$H:$N,4,0)),"")</f>
        <v/>
      </c>
      <c r="K3249" s="55" t="str">
        <f>IFERROR(IF($G3249="","",VLOOKUP('Dashboard And Emails Automate'!$G3249,Database!$H:$N,5,0)),"")</f>
        <v/>
      </c>
      <c r="L3249" s="55" t="str">
        <f>IFERROR(IF($G3249="","",VLOOKUP('Dashboard And Emails Automate'!$G3249,Database!$H:$N,6,0)),"")</f>
        <v/>
      </c>
      <c r="M3249" s="55" t="str">
        <f>IFERROR(IF($G3249="","",VLOOKUP('Dashboard And Emails Automate'!$G3249,Database!$H:$N,7,0)),"")</f>
        <v/>
      </c>
      <c r="N3249" s="55" t="str">
        <f>IFERROR(IF(OR($B3249="",$B3249="(blank)"),"",VLOOKUP($B3249,'Email Marketing Raw Data'!$C:$O,6,0)),"")</f>
        <v/>
      </c>
      <c r="O3249" s="55" t="str">
        <f>IFERROR(IF(OR($B3249="",$B3249="(blank)"),"",VLOOKUP($B3249,'Email Marketing Raw Data'!$C:$O,7,0)),"")</f>
        <v/>
      </c>
      <c r="P3249" s="55" t="str">
        <f>IFERROR(IF(OR($B3249="",$B3249="(blank)"),"",VLOOKUP($B3249,'Email Marketing Raw Data'!$C:$O,8,0)),"")</f>
        <v/>
      </c>
      <c r="Q3249" s="62" t="str">
        <f>IFERROR(IF(OR($B3249="",$B3249="(blank)"),"",VLOOKUP($B3249,'Email Marketing Raw Data'!$C:$O,9,0)),"")</f>
        <v/>
      </c>
    </row>
    <row r="3250" spans="4:17" ht="12.75" customHeight="1" x14ac:dyDescent="0.2">
      <c r="D3250" s="58" t="str">
        <f>IFERROR(IF(F3250&lt;&gt;"pending","",IF(OR($B3250="",$B3250="(blank)"),"",VLOOKUP($B3250,'Email Marketing Raw Data'!$C:$O,10,0))),"")</f>
        <v/>
      </c>
      <c r="E3250" s="59" t="str">
        <f>IFERROR(IF(F3250&lt;&gt;"pending","",IF(OR($B3250="",$B3250="(blank)"),"",VLOOKUP($B3250,'Email Marketing Raw Data'!$C:$O,11,0))),"")</f>
        <v/>
      </c>
      <c r="F3250" s="54" t="str">
        <f>IFERROR(IF(OR($B3250="",$B3250="(blank)"),"",VLOOKUP($B3250,'Email Marketing Raw Data'!$C:$O,13,0)),"")</f>
        <v/>
      </c>
      <c r="G3250" s="55" t="str">
        <f>IFERROR(IF(OR($B3250="",$B3250="(blank)"),"",VLOOKUP($B3250,'Email Marketing Raw Data'!$C:$O,4,0)),"")</f>
        <v/>
      </c>
      <c r="H3250" s="55" t="str">
        <f>IFERROR(IF(OR($B3250="",$B3250="(blank)"),"",VLOOKUP($B3250,'Email Marketing Raw Data'!$C:$O,5,0)),"")</f>
        <v/>
      </c>
      <c r="I3250" s="55" t="str">
        <f>IFERROR(IF($G3250="","",VLOOKUP('Dashboard And Emails Automate'!$G3250,Database!$H:$N,3,0)),"")</f>
        <v/>
      </c>
      <c r="J3250" s="55" t="str">
        <f>IFERROR(IF($G3250="","",VLOOKUP('Dashboard And Emails Automate'!$G3250,Database!$H:$N,4,0)),"")</f>
        <v/>
      </c>
      <c r="K3250" s="55" t="str">
        <f>IFERROR(IF($G3250="","",VLOOKUP('Dashboard And Emails Automate'!$G3250,Database!$H:$N,5,0)),"")</f>
        <v/>
      </c>
      <c r="L3250" s="55" t="str">
        <f>IFERROR(IF($G3250="","",VLOOKUP('Dashboard And Emails Automate'!$G3250,Database!$H:$N,6,0)),"")</f>
        <v/>
      </c>
      <c r="M3250" s="55" t="str">
        <f>IFERROR(IF($G3250="","",VLOOKUP('Dashboard And Emails Automate'!$G3250,Database!$H:$N,7,0)),"")</f>
        <v/>
      </c>
      <c r="N3250" s="55" t="str">
        <f>IFERROR(IF(OR($B3250="",$B3250="(blank)"),"",VLOOKUP($B3250,'Email Marketing Raw Data'!$C:$O,6,0)),"")</f>
        <v/>
      </c>
      <c r="O3250" s="55" t="str">
        <f>IFERROR(IF(OR($B3250="",$B3250="(blank)"),"",VLOOKUP($B3250,'Email Marketing Raw Data'!$C:$O,7,0)),"")</f>
        <v/>
      </c>
      <c r="P3250" s="55" t="str">
        <f>IFERROR(IF(OR($B3250="",$B3250="(blank)"),"",VLOOKUP($B3250,'Email Marketing Raw Data'!$C:$O,8,0)),"")</f>
        <v/>
      </c>
      <c r="Q3250" s="62" t="str">
        <f>IFERROR(IF(OR($B3250="",$B3250="(blank)"),"",VLOOKUP($B3250,'Email Marketing Raw Data'!$C:$O,9,0)),"")</f>
        <v/>
      </c>
    </row>
    <row r="3251" spans="4:17" ht="12.75" customHeight="1" x14ac:dyDescent="0.2">
      <c r="D3251" s="58" t="str">
        <f>IFERROR(IF(F3251&lt;&gt;"pending","",IF(OR($B3251="",$B3251="(blank)"),"",VLOOKUP($B3251,'Email Marketing Raw Data'!$C:$O,10,0))),"")</f>
        <v/>
      </c>
      <c r="E3251" s="59" t="str">
        <f>IFERROR(IF(F3251&lt;&gt;"pending","",IF(OR($B3251="",$B3251="(blank)"),"",VLOOKUP($B3251,'Email Marketing Raw Data'!$C:$O,11,0))),"")</f>
        <v/>
      </c>
      <c r="F3251" s="54" t="str">
        <f>IFERROR(IF(OR($B3251="",$B3251="(blank)"),"",VLOOKUP($B3251,'Email Marketing Raw Data'!$C:$O,13,0)),"")</f>
        <v/>
      </c>
      <c r="G3251" s="55" t="str">
        <f>IFERROR(IF(OR($B3251="",$B3251="(blank)"),"",VLOOKUP($B3251,'Email Marketing Raw Data'!$C:$O,4,0)),"")</f>
        <v/>
      </c>
      <c r="H3251" s="55" t="str">
        <f>IFERROR(IF(OR($B3251="",$B3251="(blank)"),"",VLOOKUP($B3251,'Email Marketing Raw Data'!$C:$O,5,0)),"")</f>
        <v/>
      </c>
      <c r="I3251" s="55" t="str">
        <f>IFERROR(IF($G3251="","",VLOOKUP('Dashboard And Emails Automate'!$G3251,Database!$H:$N,3,0)),"")</f>
        <v/>
      </c>
      <c r="J3251" s="55" t="str">
        <f>IFERROR(IF($G3251="","",VLOOKUP('Dashboard And Emails Automate'!$G3251,Database!$H:$N,4,0)),"")</f>
        <v/>
      </c>
      <c r="K3251" s="55" t="str">
        <f>IFERROR(IF($G3251="","",VLOOKUP('Dashboard And Emails Automate'!$G3251,Database!$H:$N,5,0)),"")</f>
        <v/>
      </c>
      <c r="L3251" s="55" t="str">
        <f>IFERROR(IF($G3251="","",VLOOKUP('Dashboard And Emails Automate'!$G3251,Database!$H:$N,6,0)),"")</f>
        <v/>
      </c>
      <c r="M3251" s="55" t="str">
        <f>IFERROR(IF($G3251="","",VLOOKUP('Dashboard And Emails Automate'!$G3251,Database!$H:$N,7,0)),"")</f>
        <v/>
      </c>
      <c r="N3251" s="55" t="str">
        <f>IFERROR(IF(OR($B3251="",$B3251="(blank)"),"",VLOOKUP($B3251,'Email Marketing Raw Data'!$C:$O,6,0)),"")</f>
        <v/>
      </c>
      <c r="O3251" s="55" t="str">
        <f>IFERROR(IF(OR($B3251="",$B3251="(blank)"),"",VLOOKUP($B3251,'Email Marketing Raw Data'!$C:$O,7,0)),"")</f>
        <v/>
      </c>
      <c r="P3251" s="55" t="str">
        <f>IFERROR(IF(OR($B3251="",$B3251="(blank)"),"",VLOOKUP($B3251,'Email Marketing Raw Data'!$C:$O,8,0)),"")</f>
        <v/>
      </c>
      <c r="Q3251" s="62" t="str">
        <f>IFERROR(IF(OR($B3251="",$B3251="(blank)"),"",VLOOKUP($B3251,'Email Marketing Raw Data'!$C:$O,9,0)),"")</f>
        <v/>
      </c>
    </row>
    <row r="3252" spans="4:17" ht="12.75" customHeight="1" x14ac:dyDescent="0.2">
      <c r="D3252" s="58" t="str">
        <f>IFERROR(IF(F3252&lt;&gt;"pending","",IF(OR($B3252="",$B3252="(blank)"),"",VLOOKUP($B3252,'Email Marketing Raw Data'!$C:$O,10,0))),"")</f>
        <v/>
      </c>
      <c r="E3252" s="59" t="str">
        <f>IFERROR(IF(F3252&lt;&gt;"pending","",IF(OR($B3252="",$B3252="(blank)"),"",VLOOKUP($B3252,'Email Marketing Raw Data'!$C:$O,11,0))),"")</f>
        <v/>
      </c>
      <c r="F3252" s="54" t="str">
        <f>IFERROR(IF(OR($B3252="",$B3252="(blank)"),"",VLOOKUP($B3252,'Email Marketing Raw Data'!$C:$O,13,0)),"")</f>
        <v/>
      </c>
      <c r="G3252" s="55" t="str">
        <f>IFERROR(IF(OR($B3252="",$B3252="(blank)"),"",VLOOKUP($B3252,'Email Marketing Raw Data'!$C:$O,4,0)),"")</f>
        <v/>
      </c>
      <c r="H3252" s="55" t="str">
        <f>IFERROR(IF(OR($B3252="",$B3252="(blank)"),"",VLOOKUP($B3252,'Email Marketing Raw Data'!$C:$O,5,0)),"")</f>
        <v/>
      </c>
      <c r="I3252" s="55" t="str">
        <f>IFERROR(IF($G3252="","",VLOOKUP('Dashboard And Emails Automate'!$G3252,Database!$H:$N,3,0)),"")</f>
        <v/>
      </c>
      <c r="J3252" s="55" t="str">
        <f>IFERROR(IF($G3252="","",VLOOKUP('Dashboard And Emails Automate'!$G3252,Database!$H:$N,4,0)),"")</f>
        <v/>
      </c>
      <c r="K3252" s="55" t="str">
        <f>IFERROR(IF($G3252="","",VLOOKUP('Dashboard And Emails Automate'!$G3252,Database!$H:$N,5,0)),"")</f>
        <v/>
      </c>
      <c r="L3252" s="55" t="str">
        <f>IFERROR(IF($G3252="","",VLOOKUP('Dashboard And Emails Automate'!$G3252,Database!$H:$N,6,0)),"")</f>
        <v/>
      </c>
      <c r="M3252" s="55" t="str">
        <f>IFERROR(IF($G3252="","",VLOOKUP('Dashboard And Emails Automate'!$G3252,Database!$H:$N,7,0)),"")</f>
        <v/>
      </c>
      <c r="N3252" s="55" t="str">
        <f>IFERROR(IF(OR($B3252="",$B3252="(blank)"),"",VLOOKUP($B3252,'Email Marketing Raw Data'!$C:$O,6,0)),"")</f>
        <v/>
      </c>
      <c r="O3252" s="55" t="str">
        <f>IFERROR(IF(OR($B3252="",$B3252="(blank)"),"",VLOOKUP($B3252,'Email Marketing Raw Data'!$C:$O,7,0)),"")</f>
        <v/>
      </c>
      <c r="P3252" s="55" t="str">
        <f>IFERROR(IF(OR($B3252="",$B3252="(blank)"),"",VLOOKUP($B3252,'Email Marketing Raw Data'!$C:$O,8,0)),"")</f>
        <v/>
      </c>
      <c r="Q3252" s="62" t="str">
        <f>IFERROR(IF(OR($B3252="",$B3252="(blank)"),"",VLOOKUP($B3252,'Email Marketing Raw Data'!$C:$O,9,0)),"")</f>
        <v/>
      </c>
    </row>
    <row r="3253" spans="4:17" ht="12.75" customHeight="1" x14ac:dyDescent="0.2">
      <c r="D3253" s="58" t="str">
        <f>IFERROR(IF(F3253&lt;&gt;"pending","",IF(OR($B3253="",$B3253="(blank)"),"",VLOOKUP($B3253,'Email Marketing Raw Data'!$C:$O,10,0))),"")</f>
        <v/>
      </c>
      <c r="E3253" s="59" t="str">
        <f>IFERROR(IF(F3253&lt;&gt;"pending","",IF(OR($B3253="",$B3253="(blank)"),"",VLOOKUP($B3253,'Email Marketing Raw Data'!$C:$O,11,0))),"")</f>
        <v/>
      </c>
      <c r="F3253" s="54" t="str">
        <f>IFERROR(IF(OR($B3253="",$B3253="(blank)"),"",VLOOKUP($B3253,'Email Marketing Raw Data'!$C:$O,13,0)),"")</f>
        <v/>
      </c>
      <c r="G3253" s="55" t="str">
        <f>IFERROR(IF(OR($B3253="",$B3253="(blank)"),"",VLOOKUP($B3253,'Email Marketing Raw Data'!$C:$O,4,0)),"")</f>
        <v/>
      </c>
      <c r="H3253" s="55" t="str">
        <f>IFERROR(IF(OR($B3253="",$B3253="(blank)"),"",VLOOKUP($B3253,'Email Marketing Raw Data'!$C:$O,5,0)),"")</f>
        <v/>
      </c>
      <c r="I3253" s="55" t="str">
        <f>IFERROR(IF($G3253="","",VLOOKUP('Dashboard And Emails Automate'!$G3253,Database!$H:$N,3,0)),"")</f>
        <v/>
      </c>
      <c r="J3253" s="55" t="str">
        <f>IFERROR(IF($G3253="","",VLOOKUP('Dashboard And Emails Automate'!$G3253,Database!$H:$N,4,0)),"")</f>
        <v/>
      </c>
      <c r="K3253" s="55" t="str">
        <f>IFERROR(IF($G3253="","",VLOOKUP('Dashboard And Emails Automate'!$G3253,Database!$H:$N,5,0)),"")</f>
        <v/>
      </c>
      <c r="L3253" s="55" t="str">
        <f>IFERROR(IF($G3253="","",VLOOKUP('Dashboard And Emails Automate'!$G3253,Database!$H:$N,6,0)),"")</f>
        <v/>
      </c>
      <c r="M3253" s="55" t="str">
        <f>IFERROR(IF($G3253="","",VLOOKUP('Dashboard And Emails Automate'!$G3253,Database!$H:$N,7,0)),"")</f>
        <v/>
      </c>
      <c r="N3253" s="55" t="str">
        <f>IFERROR(IF(OR($B3253="",$B3253="(blank)"),"",VLOOKUP($B3253,'Email Marketing Raw Data'!$C:$O,6,0)),"")</f>
        <v/>
      </c>
      <c r="O3253" s="55" t="str">
        <f>IFERROR(IF(OR($B3253="",$B3253="(blank)"),"",VLOOKUP($B3253,'Email Marketing Raw Data'!$C:$O,7,0)),"")</f>
        <v/>
      </c>
      <c r="P3253" s="55" t="str">
        <f>IFERROR(IF(OR($B3253="",$B3253="(blank)"),"",VLOOKUP($B3253,'Email Marketing Raw Data'!$C:$O,8,0)),"")</f>
        <v/>
      </c>
      <c r="Q3253" s="62" t="str">
        <f>IFERROR(IF(OR($B3253="",$B3253="(blank)"),"",VLOOKUP($B3253,'Email Marketing Raw Data'!$C:$O,9,0)),"")</f>
        <v/>
      </c>
    </row>
    <row r="3254" spans="4:17" ht="12.75" customHeight="1" x14ac:dyDescent="0.2">
      <c r="D3254" s="58" t="str">
        <f>IFERROR(IF(F3254&lt;&gt;"pending","",IF(OR($B3254="",$B3254="(blank)"),"",VLOOKUP($B3254,'Email Marketing Raw Data'!$C:$O,10,0))),"")</f>
        <v/>
      </c>
      <c r="E3254" s="59" t="str">
        <f>IFERROR(IF(F3254&lt;&gt;"pending","",IF(OR($B3254="",$B3254="(blank)"),"",VLOOKUP($B3254,'Email Marketing Raw Data'!$C:$O,11,0))),"")</f>
        <v/>
      </c>
      <c r="F3254" s="54" t="str">
        <f>IFERROR(IF(OR($B3254="",$B3254="(blank)"),"",VLOOKUP($B3254,'Email Marketing Raw Data'!$C:$O,13,0)),"")</f>
        <v/>
      </c>
      <c r="G3254" s="55" t="str">
        <f>IFERROR(IF(OR($B3254="",$B3254="(blank)"),"",VLOOKUP($B3254,'Email Marketing Raw Data'!$C:$O,4,0)),"")</f>
        <v/>
      </c>
      <c r="H3254" s="55" t="str">
        <f>IFERROR(IF(OR($B3254="",$B3254="(blank)"),"",VLOOKUP($B3254,'Email Marketing Raw Data'!$C:$O,5,0)),"")</f>
        <v/>
      </c>
      <c r="I3254" s="55" t="str">
        <f>IFERROR(IF($G3254="","",VLOOKUP('Dashboard And Emails Automate'!$G3254,Database!$H:$N,3,0)),"")</f>
        <v/>
      </c>
      <c r="J3254" s="55" t="str">
        <f>IFERROR(IF($G3254="","",VLOOKUP('Dashboard And Emails Automate'!$G3254,Database!$H:$N,4,0)),"")</f>
        <v/>
      </c>
      <c r="K3254" s="55" t="str">
        <f>IFERROR(IF($G3254="","",VLOOKUP('Dashboard And Emails Automate'!$G3254,Database!$H:$N,5,0)),"")</f>
        <v/>
      </c>
      <c r="L3254" s="55" t="str">
        <f>IFERROR(IF($G3254="","",VLOOKUP('Dashboard And Emails Automate'!$G3254,Database!$H:$N,6,0)),"")</f>
        <v/>
      </c>
      <c r="M3254" s="55" t="str">
        <f>IFERROR(IF($G3254="","",VLOOKUP('Dashboard And Emails Automate'!$G3254,Database!$H:$N,7,0)),"")</f>
        <v/>
      </c>
      <c r="N3254" s="55" t="str">
        <f>IFERROR(IF(OR($B3254="",$B3254="(blank)"),"",VLOOKUP($B3254,'Email Marketing Raw Data'!$C:$O,6,0)),"")</f>
        <v/>
      </c>
      <c r="O3254" s="55" t="str">
        <f>IFERROR(IF(OR($B3254="",$B3254="(blank)"),"",VLOOKUP($B3254,'Email Marketing Raw Data'!$C:$O,7,0)),"")</f>
        <v/>
      </c>
      <c r="P3254" s="55" t="str">
        <f>IFERROR(IF(OR($B3254="",$B3254="(blank)"),"",VLOOKUP($B3254,'Email Marketing Raw Data'!$C:$O,8,0)),"")</f>
        <v/>
      </c>
      <c r="Q3254" s="62" t="str">
        <f>IFERROR(IF(OR($B3254="",$B3254="(blank)"),"",VLOOKUP($B3254,'Email Marketing Raw Data'!$C:$O,9,0)),"")</f>
        <v/>
      </c>
    </row>
    <row r="3255" spans="4:17" ht="12.75" customHeight="1" x14ac:dyDescent="0.2">
      <c r="D3255" s="58" t="str">
        <f>IFERROR(IF(F3255&lt;&gt;"pending","",IF(OR($B3255="",$B3255="(blank)"),"",VLOOKUP($B3255,'Email Marketing Raw Data'!$C:$O,10,0))),"")</f>
        <v/>
      </c>
      <c r="E3255" s="59" t="str">
        <f>IFERROR(IF(F3255&lt;&gt;"pending","",IF(OR($B3255="",$B3255="(blank)"),"",VLOOKUP($B3255,'Email Marketing Raw Data'!$C:$O,11,0))),"")</f>
        <v/>
      </c>
      <c r="F3255" s="54" t="str">
        <f>IFERROR(IF(OR($B3255="",$B3255="(blank)"),"",VLOOKUP($B3255,'Email Marketing Raw Data'!$C:$O,13,0)),"")</f>
        <v/>
      </c>
      <c r="G3255" s="55" t="str">
        <f>IFERROR(IF(OR($B3255="",$B3255="(blank)"),"",VLOOKUP($B3255,'Email Marketing Raw Data'!$C:$O,4,0)),"")</f>
        <v/>
      </c>
      <c r="H3255" s="55" t="str">
        <f>IFERROR(IF(OR($B3255="",$B3255="(blank)"),"",VLOOKUP($B3255,'Email Marketing Raw Data'!$C:$O,5,0)),"")</f>
        <v/>
      </c>
      <c r="I3255" s="55" t="str">
        <f>IFERROR(IF($G3255="","",VLOOKUP('Dashboard And Emails Automate'!$G3255,Database!$H:$N,3,0)),"")</f>
        <v/>
      </c>
      <c r="J3255" s="55" t="str">
        <f>IFERROR(IF($G3255="","",VLOOKUP('Dashboard And Emails Automate'!$G3255,Database!$H:$N,4,0)),"")</f>
        <v/>
      </c>
      <c r="K3255" s="55" t="str">
        <f>IFERROR(IF($G3255="","",VLOOKUP('Dashboard And Emails Automate'!$G3255,Database!$H:$N,5,0)),"")</f>
        <v/>
      </c>
      <c r="L3255" s="55" t="str">
        <f>IFERROR(IF($G3255="","",VLOOKUP('Dashboard And Emails Automate'!$G3255,Database!$H:$N,6,0)),"")</f>
        <v/>
      </c>
      <c r="M3255" s="55" t="str">
        <f>IFERROR(IF($G3255="","",VLOOKUP('Dashboard And Emails Automate'!$G3255,Database!$H:$N,7,0)),"")</f>
        <v/>
      </c>
      <c r="N3255" s="55" t="str">
        <f>IFERROR(IF(OR($B3255="",$B3255="(blank)"),"",VLOOKUP($B3255,'Email Marketing Raw Data'!$C:$O,6,0)),"")</f>
        <v/>
      </c>
      <c r="O3255" s="55" t="str">
        <f>IFERROR(IF(OR($B3255="",$B3255="(blank)"),"",VLOOKUP($B3255,'Email Marketing Raw Data'!$C:$O,7,0)),"")</f>
        <v/>
      </c>
      <c r="P3255" s="55" t="str">
        <f>IFERROR(IF(OR($B3255="",$B3255="(blank)"),"",VLOOKUP($B3255,'Email Marketing Raw Data'!$C:$O,8,0)),"")</f>
        <v/>
      </c>
      <c r="Q3255" s="62" t="str">
        <f>IFERROR(IF(OR($B3255="",$B3255="(blank)"),"",VLOOKUP($B3255,'Email Marketing Raw Data'!$C:$O,9,0)),"")</f>
        <v/>
      </c>
    </row>
    <row r="3256" spans="4:17" ht="12.75" customHeight="1" x14ac:dyDescent="0.2">
      <c r="D3256" s="58" t="str">
        <f>IFERROR(IF(F3256&lt;&gt;"pending","",IF(OR($B3256="",$B3256="(blank)"),"",VLOOKUP($B3256,'Email Marketing Raw Data'!$C:$O,10,0))),"")</f>
        <v/>
      </c>
      <c r="E3256" s="59" t="str">
        <f>IFERROR(IF(F3256&lt;&gt;"pending","",IF(OR($B3256="",$B3256="(blank)"),"",VLOOKUP($B3256,'Email Marketing Raw Data'!$C:$O,11,0))),"")</f>
        <v/>
      </c>
      <c r="F3256" s="54" t="str">
        <f>IFERROR(IF(OR($B3256="",$B3256="(blank)"),"",VLOOKUP($B3256,'Email Marketing Raw Data'!$C:$O,13,0)),"")</f>
        <v/>
      </c>
      <c r="G3256" s="55" t="str">
        <f>IFERROR(IF(OR($B3256="",$B3256="(blank)"),"",VLOOKUP($B3256,'Email Marketing Raw Data'!$C:$O,4,0)),"")</f>
        <v/>
      </c>
      <c r="H3256" s="55" t="str">
        <f>IFERROR(IF(OR($B3256="",$B3256="(blank)"),"",VLOOKUP($B3256,'Email Marketing Raw Data'!$C:$O,5,0)),"")</f>
        <v/>
      </c>
      <c r="I3256" s="55" t="str">
        <f>IFERROR(IF($G3256="","",VLOOKUP('Dashboard And Emails Automate'!$G3256,Database!$H:$N,3,0)),"")</f>
        <v/>
      </c>
      <c r="J3256" s="55" t="str">
        <f>IFERROR(IF($G3256="","",VLOOKUP('Dashboard And Emails Automate'!$G3256,Database!$H:$N,4,0)),"")</f>
        <v/>
      </c>
      <c r="K3256" s="55" t="str">
        <f>IFERROR(IF($G3256="","",VLOOKUP('Dashboard And Emails Automate'!$G3256,Database!$H:$N,5,0)),"")</f>
        <v/>
      </c>
      <c r="L3256" s="55" t="str">
        <f>IFERROR(IF($G3256="","",VLOOKUP('Dashboard And Emails Automate'!$G3256,Database!$H:$N,6,0)),"")</f>
        <v/>
      </c>
      <c r="M3256" s="55" t="str">
        <f>IFERROR(IF($G3256="","",VLOOKUP('Dashboard And Emails Automate'!$G3256,Database!$H:$N,7,0)),"")</f>
        <v/>
      </c>
      <c r="N3256" s="55" t="str">
        <f>IFERROR(IF(OR($B3256="",$B3256="(blank)"),"",VLOOKUP($B3256,'Email Marketing Raw Data'!$C:$O,6,0)),"")</f>
        <v/>
      </c>
      <c r="O3256" s="55" t="str">
        <f>IFERROR(IF(OR($B3256="",$B3256="(blank)"),"",VLOOKUP($B3256,'Email Marketing Raw Data'!$C:$O,7,0)),"")</f>
        <v/>
      </c>
      <c r="P3256" s="55" t="str">
        <f>IFERROR(IF(OR($B3256="",$B3256="(blank)"),"",VLOOKUP($B3256,'Email Marketing Raw Data'!$C:$O,8,0)),"")</f>
        <v/>
      </c>
      <c r="Q3256" s="62" t="str">
        <f>IFERROR(IF(OR($B3256="",$B3256="(blank)"),"",VLOOKUP($B3256,'Email Marketing Raw Data'!$C:$O,9,0)),"")</f>
        <v/>
      </c>
    </row>
    <row r="3257" spans="4:17" ht="12.75" customHeight="1" x14ac:dyDescent="0.2">
      <c r="D3257" s="58" t="str">
        <f>IFERROR(IF(F3257&lt;&gt;"pending","",IF(OR($B3257="",$B3257="(blank)"),"",VLOOKUP($B3257,'Email Marketing Raw Data'!$C:$O,10,0))),"")</f>
        <v/>
      </c>
      <c r="E3257" s="59" t="str">
        <f>IFERROR(IF(F3257&lt;&gt;"pending","",IF(OR($B3257="",$B3257="(blank)"),"",VLOOKUP($B3257,'Email Marketing Raw Data'!$C:$O,11,0))),"")</f>
        <v/>
      </c>
      <c r="F3257" s="54" t="str">
        <f>IFERROR(IF(OR($B3257="",$B3257="(blank)"),"",VLOOKUP($B3257,'Email Marketing Raw Data'!$C:$O,13,0)),"")</f>
        <v/>
      </c>
      <c r="G3257" s="55" t="str">
        <f>IFERROR(IF(OR($B3257="",$B3257="(blank)"),"",VLOOKUP($B3257,'Email Marketing Raw Data'!$C:$O,4,0)),"")</f>
        <v/>
      </c>
      <c r="H3257" s="55" t="str">
        <f>IFERROR(IF(OR($B3257="",$B3257="(blank)"),"",VLOOKUP($B3257,'Email Marketing Raw Data'!$C:$O,5,0)),"")</f>
        <v/>
      </c>
      <c r="I3257" s="55" t="str">
        <f>IFERROR(IF($G3257="","",VLOOKUP('Dashboard And Emails Automate'!$G3257,Database!$H:$N,3,0)),"")</f>
        <v/>
      </c>
      <c r="J3257" s="55" t="str">
        <f>IFERROR(IF($G3257="","",VLOOKUP('Dashboard And Emails Automate'!$G3257,Database!$H:$N,4,0)),"")</f>
        <v/>
      </c>
      <c r="K3257" s="55" t="str">
        <f>IFERROR(IF($G3257="","",VLOOKUP('Dashboard And Emails Automate'!$G3257,Database!$H:$N,5,0)),"")</f>
        <v/>
      </c>
      <c r="L3257" s="55" t="str">
        <f>IFERROR(IF($G3257="","",VLOOKUP('Dashboard And Emails Automate'!$G3257,Database!$H:$N,6,0)),"")</f>
        <v/>
      </c>
      <c r="M3257" s="55" t="str">
        <f>IFERROR(IF($G3257="","",VLOOKUP('Dashboard And Emails Automate'!$G3257,Database!$H:$N,7,0)),"")</f>
        <v/>
      </c>
      <c r="N3257" s="55" t="str">
        <f>IFERROR(IF(OR($B3257="",$B3257="(blank)"),"",VLOOKUP($B3257,'Email Marketing Raw Data'!$C:$O,6,0)),"")</f>
        <v/>
      </c>
      <c r="O3257" s="55" t="str">
        <f>IFERROR(IF(OR($B3257="",$B3257="(blank)"),"",VLOOKUP($B3257,'Email Marketing Raw Data'!$C:$O,7,0)),"")</f>
        <v/>
      </c>
      <c r="P3257" s="55" t="str">
        <f>IFERROR(IF(OR($B3257="",$B3257="(blank)"),"",VLOOKUP($B3257,'Email Marketing Raw Data'!$C:$O,8,0)),"")</f>
        <v/>
      </c>
      <c r="Q3257" s="62" t="str">
        <f>IFERROR(IF(OR($B3257="",$B3257="(blank)"),"",VLOOKUP($B3257,'Email Marketing Raw Data'!$C:$O,9,0)),"")</f>
        <v/>
      </c>
    </row>
    <row r="3258" spans="4:17" ht="12.75" customHeight="1" x14ac:dyDescent="0.2">
      <c r="D3258" s="58" t="str">
        <f>IFERROR(IF(F3258&lt;&gt;"pending","",IF(OR($B3258="",$B3258="(blank)"),"",VLOOKUP($B3258,'Email Marketing Raw Data'!$C:$O,10,0))),"")</f>
        <v/>
      </c>
      <c r="E3258" s="59" t="str">
        <f>IFERROR(IF(F3258&lt;&gt;"pending","",IF(OR($B3258="",$B3258="(blank)"),"",VLOOKUP($B3258,'Email Marketing Raw Data'!$C:$O,11,0))),"")</f>
        <v/>
      </c>
      <c r="F3258" s="54" t="str">
        <f>IFERROR(IF(OR($B3258="",$B3258="(blank)"),"",VLOOKUP($B3258,'Email Marketing Raw Data'!$C:$O,13,0)),"")</f>
        <v/>
      </c>
      <c r="G3258" s="55" t="str">
        <f>IFERROR(IF(OR($B3258="",$B3258="(blank)"),"",VLOOKUP($B3258,'Email Marketing Raw Data'!$C:$O,4,0)),"")</f>
        <v/>
      </c>
      <c r="H3258" s="55" t="str">
        <f>IFERROR(IF(OR($B3258="",$B3258="(blank)"),"",VLOOKUP($B3258,'Email Marketing Raw Data'!$C:$O,5,0)),"")</f>
        <v/>
      </c>
      <c r="I3258" s="55" t="str">
        <f>IFERROR(IF($G3258="","",VLOOKUP('Dashboard And Emails Automate'!$G3258,Database!$H:$N,3,0)),"")</f>
        <v/>
      </c>
      <c r="J3258" s="55" t="str">
        <f>IFERROR(IF($G3258="","",VLOOKUP('Dashboard And Emails Automate'!$G3258,Database!$H:$N,4,0)),"")</f>
        <v/>
      </c>
      <c r="K3258" s="55" t="str">
        <f>IFERROR(IF($G3258="","",VLOOKUP('Dashboard And Emails Automate'!$G3258,Database!$H:$N,5,0)),"")</f>
        <v/>
      </c>
      <c r="L3258" s="55" t="str">
        <f>IFERROR(IF($G3258="","",VLOOKUP('Dashboard And Emails Automate'!$G3258,Database!$H:$N,6,0)),"")</f>
        <v/>
      </c>
      <c r="M3258" s="55" t="str">
        <f>IFERROR(IF($G3258="","",VLOOKUP('Dashboard And Emails Automate'!$G3258,Database!$H:$N,7,0)),"")</f>
        <v/>
      </c>
      <c r="N3258" s="55" t="str">
        <f>IFERROR(IF(OR($B3258="",$B3258="(blank)"),"",VLOOKUP($B3258,'Email Marketing Raw Data'!$C:$O,6,0)),"")</f>
        <v/>
      </c>
      <c r="O3258" s="55" t="str">
        <f>IFERROR(IF(OR($B3258="",$B3258="(blank)"),"",VLOOKUP($B3258,'Email Marketing Raw Data'!$C:$O,7,0)),"")</f>
        <v/>
      </c>
      <c r="P3258" s="55" t="str">
        <f>IFERROR(IF(OR($B3258="",$B3258="(blank)"),"",VLOOKUP($B3258,'Email Marketing Raw Data'!$C:$O,8,0)),"")</f>
        <v/>
      </c>
      <c r="Q3258" s="62" t="str">
        <f>IFERROR(IF(OR($B3258="",$B3258="(blank)"),"",VLOOKUP($B3258,'Email Marketing Raw Data'!$C:$O,9,0)),"")</f>
        <v/>
      </c>
    </row>
    <row r="3259" spans="4:17" ht="12.75" customHeight="1" x14ac:dyDescent="0.2">
      <c r="D3259" s="58" t="str">
        <f>IFERROR(IF(F3259&lt;&gt;"pending","",IF(OR($B3259="",$B3259="(blank)"),"",VLOOKUP($B3259,'Email Marketing Raw Data'!$C:$O,10,0))),"")</f>
        <v/>
      </c>
      <c r="E3259" s="59" t="str">
        <f>IFERROR(IF(F3259&lt;&gt;"pending","",IF(OR($B3259="",$B3259="(blank)"),"",VLOOKUP($B3259,'Email Marketing Raw Data'!$C:$O,11,0))),"")</f>
        <v/>
      </c>
      <c r="F3259" s="54" t="str">
        <f>IFERROR(IF(OR($B3259="",$B3259="(blank)"),"",VLOOKUP($B3259,'Email Marketing Raw Data'!$C:$O,13,0)),"")</f>
        <v/>
      </c>
      <c r="G3259" s="55" t="str">
        <f>IFERROR(IF(OR($B3259="",$B3259="(blank)"),"",VLOOKUP($B3259,'Email Marketing Raw Data'!$C:$O,4,0)),"")</f>
        <v/>
      </c>
      <c r="H3259" s="55" t="str">
        <f>IFERROR(IF(OR($B3259="",$B3259="(blank)"),"",VLOOKUP($B3259,'Email Marketing Raw Data'!$C:$O,5,0)),"")</f>
        <v/>
      </c>
      <c r="I3259" s="55" t="str">
        <f>IFERROR(IF($G3259="","",VLOOKUP('Dashboard And Emails Automate'!$G3259,Database!$H:$N,3,0)),"")</f>
        <v/>
      </c>
      <c r="J3259" s="55" t="str">
        <f>IFERROR(IF($G3259="","",VLOOKUP('Dashboard And Emails Automate'!$G3259,Database!$H:$N,4,0)),"")</f>
        <v/>
      </c>
      <c r="K3259" s="55" t="str">
        <f>IFERROR(IF($G3259="","",VLOOKUP('Dashboard And Emails Automate'!$G3259,Database!$H:$N,5,0)),"")</f>
        <v/>
      </c>
      <c r="L3259" s="55" t="str">
        <f>IFERROR(IF($G3259="","",VLOOKUP('Dashboard And Emails Automate'!$G3259,Database!$H:$N,6,0)),"")</f>
        <v/>
      </c>
      <c r="M3259" s="55" t="str">
        <f>IFERROR(IF($G3259="","",VLOOKUP('Dashboard And Emails Automate'!$G3259,Database!$H:$N,7,0)),"")</f>
        <v/>
      </c>
      <c r="N3259" s="55" t="str">
        <f>IFERROR(IF(OR($B3259="",$B3259="(blank)"),"",VLOOKUP($B3259,'Email Marketing Raw Data'!$C:$O,6,0)),"")</f>
        <v/>
      </c>
      <c r="O3259" s="55" t="str">
        <f>IFERROR(IF(OR($B3259="",$B3259="(blank)"),"",VLOOKUP($B3259,'Email Marketing Raw Data'!$C:$O,7,0)),"")</f>
        <v/>
      </c>
      <c r="P3259" s="55" t="str">
        <f>IFERROR(IF(OR($B3259="",$B3259="(blank)"),"",VLOOKUP($B3259,'Email Marketing Raw Data'!$C:$O,8,0)),"")</f>
        <v/>
      </c>
      <c r="Q3259" s="62" t="str">
        <f>IFERROR(IF(OR($B3259="",$B3259="(blank)"),"",VLOOKUP($B3259,'Email Marketing Raw Data'!$C:$O,9,0)),"")</f>
        <v/>
      </c>
    </row>
    <row r="3260" spans="4:17" ht="12.75" customHeight="1" x14ac:dyDescent="0.2">
      <c r="D3260" s="58" t="str">
        <f>IFERROR(IF(F3260&lt;&gt;"pending","",IF(OR($B3260="",$B3260="(blank)"),"",VLOOKUP($B3260,'Email Marketing Raw Data'!$C:$O,10,0))),"")</f>
        <v/>
      </c>
      <c r="E3260" s="59" t="str">
        <f>IFERROR(IF(F3260&lt;&gt;"pending","",IF(OR($B3260="",$B3260="(blank)"),"",VLOOKUP($B3260,'Email Marketing Raw Data'!$C:$O,11,0))),"")</f>
        <v/>
      </c>
      <c r="F3260" s="54" t="str">
        <f>IFERROR(IF(OR($B3260="",$B3260="(blank)"),"",VLOOKUP($B3260,'Email Marketing Raw Data'!$C:$O,13,0)),"")</f>
        <v/>
      </c>
      <c r="G3260" s="55" t="str">
        <f>IFERROR(IF(OR($B3260="",$B3260="(blank)"),"",VLOOKUP($B3260,'Email Marketing Raw Data'!$C:$O,4,0)),"")</f>
        <v/>
      </c>
      <c r="H3260" s="55" t="str">
        <f>IFERROR(IF(OR($B3260="",$B3260="(blank)"),"",VLOOKUP($B3260,'Email Marketing Raw Data'!$C:$O,5,0)),"")</f>
        <v/>
      </c>
      <c r="I3260" s="55" t="str">
        <f>IFERROR(IF($G3260="","",VLOOKUP('Dashboard And Emails Automate'!$G3260,Database!$H:$N,3,0)),"")</f>
        <v/>
      </c>
      <c r="J3260" s="55" t="str">
        <f>IFERROR(IF($G3260="","",VLOOKUP('Dashboard And Emails Automate'!$G3260,Database!$H:$N,4,0)),"")</f>
        <v/>
      </c>
      <c r="K3260" s="55" t="str">
        <f>IFERROR(IF($G3260="","",VLOOKUP('Dashboard And Emails Automate'!$G3260,Database!$H:$N,5,0)),"")</f>
        <v/>
      </c>
      <c r="L3260" s="55" t="str">
        <f>IFERROR(IF($G3260="","",VLOOKUP('Dashboard And Emails Automate'!$G3260,Database!$H:$N,6,0)),"")</f>
        <v/>
      </c>
      <c r="M3260" s="55" t="str">
        <f>IFERROR(IF($G3260="","",VLOOKUP('Dashboard And Emails Automate'!$G3260,Database!$H:$N,7,0)),"")</f>
        <v/>
      </c>
      <c r="N3260" s="55" t="str">
        <f>IFERROR(IF(OR($B3260="",$B3260="(blank)"),"",VLOOKUP($B3260,'Email Marketing Raw Data'!$C:$O,6,0)),"")</f>
        <v/>
      </c>
      <c r="O3260" s="55" t="str">
        <f>IFERROR(IF(OR($B3260="",$B3260="(blank)"),"",VLOOKUP($B3260,'Email Marketing Raw Data'!$C:$O,7,0)),"")</f>
        <v/>
      </c>
      <c r="P3260" s="55" t="str">
        <f>IFERROR(IF(OR($B3260="",$B3260="(blank)"),"",VLOOKUP($B3260,'Email Marketing Raw Data'!$C:$O,8,0)),"")</f>
        <v/>
      </c>
      <c r="Q3260" s="62" t="str">
        <f>IFERROR(IF(OR($B3260="",$B3260="(blank)"),"",VLOOKUP($B3260,'Email Marketing Raw Data'!$C:$O,9,0)),"")</f>
        <v/>
      </c>
    </row>
    <row r="3261" spans="4:17" ht="12.75" customHeight="1" x14ac:dyDescent="0.2">
      <c r="D3261" s="58" t="str">
        <f>IFERROR(IF(F3261&lt;&gt;"pending","",IF(OR($B3261="",$B3261="(blank)"),"",VLOOKUP($B3261,'Email Marketing Raw Data'!$C:$O,10,0))),"")</f>
        <v/>
      </c>
      <c r="E3261" s="59" t="str">
        <f>IFERROR(IF(F3261&lt;&gt;"pending","",IF(OR($B3261="",$B3261="(blank)"),"",VLOOKUP($B3261,'Email Marketing Raw Data'!$C:$O,11,0))),"")</f>
        <v/>
      </c>
      <c r="F3261" s="54" t="str">
        <f>IFERROR(IF(OR($B3261="",$B3261="(blank)"),"",VLOOKUP($B3261,'Email Marketing Raw Data'!$C:$O,13,0)),"")</f>
        <v/>
      </c>
      <c r="G3261" s="55" t="str">
        <f>IFERROR(IF(OR($B3261="",$B3261="(blank)"),"",VLOOKUP($B3261,'Email Marketing Raw Data'!$C:$O,4,0)),"")</f>
        <v/>
      </c>
      <c r="H3261" s="55" t="str">
        <f>IFERROR(IF(OR($B3261="",$B3261="(blank)"),"",VLOOKUP($B3261,'Email Marketing Raw Data'!$C:$O,5,0)),"")</f>
        <v/>
      </c>
      <c r="I3261" s="55" t="str">
        <f>IFERROR(IF($G3261="","",VLOOKUP('Dashboard And Emails Automate'!$G3261,Database!$H:$N,3,0)),"")</f>
        <v/>
      </c>
      <c r="J3261" s="55" t="str">
        <f>IFERROR(IF($G3261="","",VLOOKUP('Dashboard And Emails Automate'!$G3261,Database!$H:$N,4,0)),"")</f>
        <v/>
      </c>
      <c r="K3261" s="55" t="str">
        <f>IFERROR(IF($G3261="","",VLOOKUP('Dashboard And Emails Automate'!$G3261,Database!$H:$N,5,0)),"")</f>
        <v/>
      </c>
      <c r="L3261" s="55" t="str">
        <f>IFERROR(IF($G3261="","",VLOOKUP('Dashboard And Emails Automate'!$G3261,Database!$H:$N,6,0)),"")</f>
        <v/>
      </c>
      <c r="M3261" s="55" t="str">
        <f>IFERROR(IF($G3261="","",VLOOKUP('Dashboard And Emails Automate'!$G3261,Database!$H:$N,7,0)),"")</f>
        <v/>
      </c>
      <c r="N3261" s="55" t="str">
        <f>IFERROR(IF(OR($B3261="",$B3261="(blank)"),"",VLOOKUP($B3261,'Email Marketing Raw Data'!$C:$O,6,0)),"")</f>
        <v/>
      </c>
      <c r="O3261" s="55" t="str">
        <f>IFERROR(IF(OR($B3261="",$B3261="(blank)"),"",VLOOKUP($B3261,'Email Marketing Raw Data'!$C:$O,7,0)),"")</f>
        <v/>
      </c>
      <c r="P3261" s="55" t="str">
        <f>IFERROR(IF(OR($B3261="",$B3261="(blank)"),"",VLOOKUP($B3261,'Email Marketing Raw Data'!$C:$O,8,0)),"")</f>
        <v/>
      </c>
      <c r="Q3261" s="62" t="str">
        <f>IFERROR(IF(OR($B3261="",$B3261="(blank)"),"",VLOOKUP($B3261,'Email Marketing Raw Data'!$C:$O,9,0)),"")</f>
        <v/>
      </c>
    </row>
    <row r="3262" spans="4:17" ht="12.75" customHeight="1" x14ac:dyDescent="0.2">
      <c r="D3262" s="58" t="str">
        <f>IFERROR(IF(F3262&lt;&gt;"pending","",IF(OR($B3262="",$B3262="(blank)"),"",VLOOKUP($B3262,'Email Marketing Raw Data'!$C:$O,10,0))),"")</f>
        <v/>
      </c>
      <c r="E3262" s="59" t="str">
        <f>IFERROR(IF(F3262&lt;&gt;"pending","",IF(OR($B3262="",$B3262="(blank)"),"",VLOOKUP($B3262,'Email Marketing Raw Data'!$C:$O,11,0))),"")</f>
        <v/>
      </c>
      <c r="F3262" s="54" t="str">
        <f>IFERROR(IF(OR($B3262="",$B3262="(blank)"),"",VLOOKUP($B3262,'Email Marketing Raw Data'!$C:$O,13,0)),"")</f>
        <v/>
      </c>
      <c r="G3262" s="55" t="str">
        <f>IFERROR(IF(OR($B3262="",$B3262="(blank)"),"",VLOOKUP($B3262,'Email Marketing Raw Data'!$C:$O,4,0)),"")</f>
        <v/>
      </c>
      <c r="H3262" s="55" t="str">
        <f>IFERROR(IF(OR($B3262="",$B3262="(blank)"),"",VLOOKUP($B3262,'Email Marketing Raw Data'!$C:$O,5,0)),"")</f>
        <v/>
      </c>
      <c r="I3262" s="55" t="str">
        <f>IFERROR(IF($G3262="","",VLOOKUP('Dashboard And Emails Automate'!$G3262,Database!$H:$N,3,0)),"")</f>
        <v/>
      </c>
      <c r="J3262" s="55" t="str">
        <f>IFERROR(IF($G3262="","",VLOOKUP('Dashboard And Emails Automate'!$G3262,Database!$H:$N,4,0)),"")</f>
        <v/>
      </c>
      <c r="K3262" s="55" t="str">
        <f>IFERROR(IF($G3262="","",VLOOKUP('Dashboard And Emails Automate'!$G3262,Database!$H:$N,5,0)),"")</f>
        <v/>
      </c>
      <c r="L3262" s="55" t="str">
        <f>IFERROR(IF($G3262="","",VLOOKUP('Dashboard And Emails Automate'!$G3262,Database!$H:$N,6,0)),"")</f>
        <v/>
      </c>
      <c r="M3262" s="55" t="str">
        <f>IFERROR(IF($G3262="","",VLOOKUP('Dashboard And Emails Automate'!$G3262,Database!$H:$N,7,0)),"")</f>
        <v/>
      </c>
      <c r="N3262" s="55" t="str">
        <f>IFERROR(IF(OR($B3262="",$B3262="(blank)"),"",VLOOKUP($B3262,'Email Marketing Raw Data'!$C:$O,6,0)),"")</f>
        <v/>
      </c>
      <c r="O3262" s="55" t="str">
        <f>IFERROR(IF(OR($B3262="",$B3262="(blank)"),"",VLOOKUP($B3262,'Email Marketing Raw Data'!$C:$O,7,0)),"")</f>
        <v/>
      </c>
      <c r="P3262" s="55" t="str">
        <f>IFERROR(IF(OR($B3262="",$B3262="(blank)"),"",VLOOKUP($B3262,'Email Marketing Raw Data'!$C:$O,8,0)),"")</f>
        <v/>
      </c>
      <c r="Q3262" s="62" t="str">
        <f>IFERROR(IF(OR($B3262="",$B3262="(blank)"),"",VLOOKUP($B3262,'Email Marketing Raw Data'!$C:$O,9,0)),"")</f>
        <v/>
      </c>
    </row>
    <row r="3263" spans="4:17" ht="12.75" customHeight="1" x14ac:dyDescent="0.2">
      <c r="D3263" s="58" t="str">
        <f>IFERROR(IF(F3263&lt;&gt;"pending","",IF(OR($B3263="",$B3263="(blank)"),"",VLOOKUP($B3263,'Email Marketing Raw Data'!$C:$O,10,0))),"")</f>
        <v/>
      </c>
      <c r="E3263" s="59" t="str">
        <f>IFERROR(IF(F3263&lt;&gt;"pending","",IF(OR($B3263="",$B3263="(blank)"),"",VLOOKUP($B3263,'Email Marketing Raw Data'!$C:$O,11,0))),"")</f>
        <v/>
      </c>
      <c r="F3263" s="54" t="str">
        <f>IFERROR(IF(OR($B3263="",$B3263="(blank)"),"",VLOOKUP($B3263,'Email Marketing Raw Data'!$C:$O,13,0)),"")</f>
        <v/>
      </c>
      <c r="G3263" s="55" t="str">
        <f>IFERROR(IF(OR($B3263="",$B3263="(blank)"),"",VLOOKUP($B3263,'Email Marketing Raw Data'!$C:$O,4,0)),"")</f>
        <v/>
      </c>
      <c r="H3263" s="55" t="str">
        <f>IFERROR(IF(OR($B3263="",$B3263="(blank)"),"",VLOOKUP($B3263,'Email Marketing Raw Data'!$C:$O,5,0)),"")</f>
        <v/>
      </c>
      <c r="I3263" s="55" t="str">
        <f>IFERROR(IF($G3263="","",VLOOKUP('Dashboard And Emails Automate'!$G3263,Database!$H:$N,3,0)),"")</f>
        <v/>
      </c>
      <c r="J3263" s="55" t="str">
        <f>IFERROR(IF($G3263="","",VLOOKUP('Dashboard And Emails Automate'!$G3263,Database!$H:$N,4,0)),"")</f>
        <v/>
      </c>
      <c r="K3263" s="55" t="str">
        <f>IFERROR(IF($G3263="","",VLOOKUP('Dashboard And Emails Automate'!$G3263,Database!$H:$N,5,0)),"")</f>
        <v/>
      </c>
      <c r="L3263" s="55" t="str">
        <f>IFERROR(IF($G3263="","",VLOOKUP('Dashboard And Emails Automate'!$G3263,Database!$H:$N,6,0)),"")</f>
        <v/>
      </c>
      <c r="M3263" s="55" t="str">
        <f>IFERROR(IF($G3263="","",VLOOKUP('Dashboard And Emails Automate'!$G3263,Database!$H:$N,7,0)),"")</f>
        <v/>
      </c>
      <c r="N3263" s="55" t="str">
        <f>IFERROR(IF(OR($B3263="",$B3263="(blank)"),"",VLOOKUP($B3263,'Email Marketing Raw Data'!$C:$O,6,0)),"")</f>
        <v/>
      </c>
      <c r="O3263" s="55" t="str">
        <f>IFERROR(IF(OR($B3263="",$B3263="(blank)"),"",VLOOKUP($B3263,'Email Marketing Raw Data'!$C:$O,7,0)),"")</f>
        <v/>
      </c>
      <c r="P3263" s="55" t="str">
        <f>IFERROR(IF(OR($B3263="",$B3263="(blank)"),"",VLOOKUP($B3263,'Email Marketing Raw Data'!$C:$O,8,0)),"")</f>
        <v/>
      </c>
      <c r="Q3263" s="62" t="str">
        <f>IFERROR(IF(OR($B3263="",$B3263="(blank)"),"",VLOOKUP($B3263,'Email Marketing Raw Data'!$C:$O,9,0)),"")</f>
        <v/>
      </c>
    </row>
    <row r="3264" spans="4:17" ht="12.75" customHeight="1" x14ac:dyDescent="0.2">
      <c r="D3264" s="58" t="str">
        <f>IFERROR(IF(F3264&lt;&gt;"pending","",IF(OR($B3264="",$B3264="(blank)"),"",VLOOKUP($B3264,'Email Marketing Raw Data'!$C:$O,10,0))),"")</f>
        <v/>
      </c>
      <c r="E3264" s="59" t="str">
        <f>IFERROR(IF(F3264&lt;&gt;"pending","",IF(OR($B3264="",$B3264="(blank)"),"",VLOOKUP($B3264,'Email Marketing Raw Data'!$C:$O,11,0))),"")</f>
        <v/>
      </c>
      <c r="F3264" s="54" t="str">
        <f>IFERROR(IF(OR($B3264="",$B3264="(blank)"),"",VLOOKUP($B3264,'Email Marketing Raw Data'!$C:$O,13,0)),"")</f>
        <v/>
      </c>
      <c r="G3264" s="55" t="str">
        <f>IFERROR(IF(OR($B3264="",$B3264="(blank)"),"",VLOOKUP($B3264,'Email Marketing Raw Data'!$C:$O,4,0)),"")</f>
        <v/>
      </c>
      <c r="H3264" s="55" t="str">
        <f>IFERROR(IF(OR($B3264="",$B3264="(blank)"),"",VLOOKUP($B3264,'Email Marketing Raw Data'!$C:$O,5,0)),"")</f>
        <v/>
      </c>
      <c r="I3264" s="55" t="str">
        <f>IFERROR(IF($G3264="","",VLOOKUP('Dashboard And Emails Automate'!$G3264,Database!$H:$N,3,0)),"")</f>
        <v/>
      </c>
      <c r="J3264" s="55" t="str">
        <f>IFERROR(IF($G3264="","",VLOOKUP('Dashboard And Emails Automate'!$G3264,Database!$H:$N,4,0)),"")</f>
        <v/>
      </c>
      <c r="K3264" s="55" t="str">
        <f>IFERROR(IF($G3264="","",VLOOKUP('Dashboard And Emails Automate'!$G3264,Database!$H:$N,5,0)),"")</f>
        <v/>
      </c>
      <c r="L3264" s="55" t="str">
        <f>IFERROR(IF($G3264="","",VLOOKUP('Dashboard And Emails Automate'!$G3264,Database!$H:$N,6,0)),"")</f>
        <v/>
      </c>
      <c r="M3264" s="55" t="str">
        <f>IFERROR(IF($G3264="","",VLOOKUP('Dashboard And Emails Automate'!$G3264,Database!$H:$N,7,0)),"")</f>
        <v/>
      </c>
      <c r="N3264" s="55" t="str">
        <f>IFERROR(IF(OR($B3264="",$B3264="(blank)"),"",VLOOKUP($B3264,'Email Marketing Raw Data'!$C:$O,6,0)),"")</f>
        <v/>
      </c>
      <c r="O3264" s="55" t="str">
        <f>IFERROR(IF(OR($B3264="",$B3264="(blank)"),"",VLOOKUP($B3264,'Email Marketing Raw Data'!$C:$O,7,0)),"")</f>
        <v/>
      </c>
      <c r="P3264" s="55" t="str">
        <f>IFERROR(IF(OR($B3264="",$B3264="(blank)"),"",VLOOKUP($B3264,'Email Marketing Raw Data'!$C:$O,8,0)),"")</f>
        <v/>
      </c>
      <c r="Q3264" s="62" t="str">
        <f>IFERROR(IF(OR($B3264="",$B3264="(blank)"),"",VLOOKUP($B3264,'Email Marketing Raw Data'!$C:$O,9,0)),"")</f>
        <v/>
      </c>
    </row>
    <row r="3265" spans="4:17" ht="12.75" customHeight="1" x14ac:dyDescent="0.2">
      <c r="D3265" s="58" t="str">
        <f>IFERROR(IF(F3265&lt;&gt;"pending","",IF(OR($B3265="",$B3265="(blank)"),"",VLOOKUP($B3265,'Email Marketing Raw Data'!$C:$O,10,0))),"")</f>
        <v/>
      </c>
      <c r="E3265" s="59" t="str">
        <f>IFERROR(IF(F3265&lt;&gt;"pending","",IF(OR($B3265="",$B3265="(blank)"),"",VLOOKUP($B3265,'Email Marketing Raw Data'!$C:$O,11,0))),"")</f>
        <v/>
      </c>
      <c r="F3265" s="54" t="str">
        <f>IFERROR(IF(OR($B3265="",$B3265="(blank)"),"",VLOOKUP($B3265,'Email Marketing Raw Data'!$C:$O,13,0)),"")</f>
        <v/>
      </c>
      <c r="G3265" s="55" t="str">
        <f>IFERROR(IF(OR($B3265="",$B3265="(blank)"),"",VLOOKUP($B3265,'Email Marketing Raw Data'!$C:$O,4,0)),"")</f>
        <v/>
      </c>
      <c r="H3265" s="55" t="str">
        <f>IFERROR(IF(OR($B3265="",$B3265="(blank)"),"",VLOOKUP($B3265,'Email Marketing Raw Data'!$C:$O,5,0)),"")</f>
        <v/>
      </c>
      <c r="I3265" s="55" t="str">
        <f>IFERROR(IF($G3265="","",VLOOKUP('Dashboard And Emails Automate'!$G3265,Database!$H:$N,3,0)),"")</f>
        <v/>
      </c>
      <c r="J3265" s="55" t="str">
        <f>IFERROR(IF($G3265="","",VLOOKUP('Dashboard And Emails Automate'!$G3265,Database!$H:$N,4,0)),"")</f>
        <v/>
      </c>
      <c r="K3265" s="55" t="str">
        <f>IFERROR(IF($G3265="","",VLOOKUP('Dashboard And Emails Automate'!$G3265,Database!$H:$N,5,0)),"")</f>
        <v/>
      </c>
      <c r="L3265" s="55" t="str">
        <f>IFERROR(IF($G3265="","",VLOOKUP('Dashboard And Emails Automate'!$G3265,Database!$H:$N,6,0)),"")</f>
        <v/>
      </c>
      <c r="M3265" s="55" t="str">
        <f>IFERROR(IF($G3265="","",VLOOKUP('Dashboard And Emails Automate'!$G3265,Database!$H:$N,7,0)),"")</f>
        <v/>
      </c>
      <c r="N3265" s="55" t="str">
        <f>IFERROR(IF(OR($B3265="",$B3265="(blank)"),"",VLOOKUP($B3265,'Email Marketing Raw Data'!$C:$O,6,0)),"")</f>
        <v/>
      </c>
      <c r="O3265" s="55" t="str">
        <f>IFERROR(IF(OR($B3265="",$B3265="(blank)"),"",VLOOKUP($B3265,'Email Marketing Raw Data'!$C:$O,7,0)),"")</f>
        <v/>
      </c>
      <c r="P3265" s="55" t="str">
        <f>IFERROR(IF(OR($B3265="",$B3265="(blank)"),"",VLOOKUP($B3265,'Email Marketing Raw Data'!$C:$O,8,0)),"")</f>
        <v/>
      </c>
      <c r="Q3265" s="62" t="str">
        <f>IFERROR(IF(OR($B3265="",$B3265="(blank)"),"",VLOOKUP($B3265,'Email Marketing Raw Data'!$C:$O,9,0)),"")</f>
        <v/>
      </c>
    </row>
    <row r="3266" spans="4:17" ht="12.75" customHeight="1" x14ac:dyDescent="0.2">
      <c r="D3266" s="58" t="str">
        <f>IFERROR(IF(F3266&lt;&gt;"pending","",IF(OR($B3266="",$B3266="(blank)"),"",VLOOKUP($B3266,'Email Marketing Raw Data'!$C:$O,10,0))),"")</f>
        <v/>
      </c>
      <c r="E3266" s="59" t="str">
        <f>IFERROR(IF(F3266&lt;&gt;"pending","",IF(OR($B3266="",$B3266="(blank)"),"",VLOOKUP($B3266,'Email Marketing Raw Data'!$C:$O,11,0))),"")</f>
        <v/>
      </c>
      <c r="F3266" s="54" t="str">
        <f>IFERROR(IF(OR($B3266="",$B3266="(blank)"),"",VLOOKUP($B3266,'Email Marketing Raw Data'!$C:$O,13,0)),"")</f>
        <v/>
      </c>
      <c r="G3266" s="55" t="str">
        <f>IFERROR(IF(OR($B3266="",$B3266="(blank)"),"",VLOOKUP($B3266,'Email Marketing Raw Data'!$C:$O,4,0)),"")</f>
        <v/>
      </c>
      <c r="H3266" s="55" t="str">
        <f>IFERROR(IF(OR($B3266="",$B3266="(blank)"),"",VLOOKUP($B3266,'Email Marketing Raw Data'!$C:$O,5,0)),"")</f>
        <v/>
      </c>
      <c r="I3266" s="55" t="str">
        <f>IFERROR(IF($G3266="","",VLOOKUP('Dashboard And Emails Automate'!$G3266,Database!$H:$N,3,0)),"")</f>
        <v/>
      </c>
      <c r="J3266" s="55" t="str">
        <f>IFERROR(IF($G3266="","",VLOOKUP('Dashboard And Emails Automate'!$G3266,Database!$H:$N,4,0)),"")</f>
        <v/>
      </c>
      <c r="K3266" s="55" t="str">
        <f>IFERROR(IF($G3266="","",VLOOKUP('Dashboard And Emails Automate'!$G3266,Database!$H:$N,5,0)),"")</f>
        <v/>
      </c>
      <c r="L3266" s="55" t="str">
        <f>IFERROR(IF($G3266="","",VLOOKUP('Dashboard And Emails Automate'!$G3266,Database!$H:$N,6,0)),"")</f>
        <v/>
      </c>
      <c r="M3266" s="55" t="str">
        <f>IFERROR(IF($G3266="","",VLOOKUP('Dashboard And Emails Automate'!$G3266,Database!$H:$N,7,0)),"")</f>
        <v/>
      </c>
      <c r="N3266" s="55" t="str">
        <f>IFERROR(IF(OR($B3266="",$B3266="(blank)"),"",VLOOKUP($B3266,'Email Marketing Raw Data'!$C:$O,6,0)),"")</f>
        <v/>
      </c>
      <c r="O3266" s="55" t="str">
        <f>IFERROR(IF(OR($B3266="",$B3266="(blank)"),"",VLOOKUP($B3266,'Email Marketing Raw Data'!$C:$O,7,0)),"")</f>
        <v/>
      </c>
      <c r="P3266" s="55" t="str">
        <f>IFERROR(IF(OR($B3266="",$B3266="(blank)"),"",VLOOKUP($B3266,'Email Marketing Raw Data'!$C:$O,8,0)),"")</f>
        <v/>
      </c>
      <c r="Q3266" s="62" t="str">
        <f>IFERROR(IF(OR($B3266="",$B3266="(blank)"),"",VLOOKUP($B3266,'Email Marketing Raw Data'!$C:$O,9,0)),"")</f>
        <v/>
      </c>
    </row>
    <row r="3267" spans="4:17" ht="12.75" customHeight="1" x14ac:dyDescent="0.2">
      <c r="D3267" s="58" t="str">
        <f>IFERROR(IF(F3267&lt;&gt;"pending","",IF(OR($B3267="",$B3267="(blank)"),"",VLOOKUP($B3267,'Email Marketing Raw Data'!$C:$O,10,0))),"")</f>
        <v/>
      </c>
      <c r="E3267" s="59" t="str">
        <f>IFERROR(IF(F3267&lt;&gt;"pending","",IF(OR($B3267="",$B3267="(blank)"),"",VLOOKUP($B3267,'Email Marketing Raw Data'!$C:$O,11,0))),"")</f>
        <v/>
      </c>
      <c r="F3267" s="54" t="str">
        <f>IFERROR(IF(OR($B3267="",$B3267="(blank)"),"",VLOOKUP($B3267,'Email Marketing Raw Data'!$C:$O,13,0)),"")</f>
        <v/>
      </c>
      <c r="G3267" s="55" t="str">
        <f>IFERROR(IF(OR($B3267="",$B3267="(blank)"),"",VLOOKUP($B3267,'Email Marketing Raw Data'!$C:$O,4,0)),"")</f>
        <v/>
      </c>
      <c r="H3267" s="55" t="str">
        <f>IFERROR(IF(OR($B3267="",$B3267="(blank)"),"",VLOOKUP($B3267,'Email Marketing Raw Data'!$C:$O,5,0)),"")</f>
        <v/>
      </c>
      <c r="I3267" s="55" t="str">
        <f>IFERROR(IF($G3267="","",VLOOKUP('Dashboard And Emails Automate'!$G3267,Database!$H:$N,3,0)),"")</f>
        <v/>
      </c>
      <c r="J3267" s="55" t="str">
        <f>IFERROR(IF($G3267="","",VLOOKUP('Dashboard And Emails Automate'!$G3267,Database!$H:$N,4,0)),"")</f>
        <v/>
      </c>
      <c r="K3267" s="55" t="str">
        <f>IFERROR(IF($G3267="","",VLOOKUP('Dashboard And Emails Automate'!$G3267,Database!$H:$N,5,0)),"")</f>
        <v/>
      </c>
      <c r="L3267" s="55" t="str">
        <f>IFERROR(IF($G3267="","",VLOOKUP('Dashboard And Emails Automate'!$G3267,Database!$H:$N,6,0)),"")</f>
        <v/>
      </c>
      <c r="M3267" s="55" t="str">
        <f>IFERROR(IF($G3267="","",VLOOKUP('Dashboard And Emails Automate'!$G3267,Database!$H:$N,7,0)),"")</f>
        <v/>
      </c>
      <c r="N3267" s="55" t="str">
        <f>IFERROR(IF(OR($B3267="",$B3267="(blank)"),"",VLOOKUP($B3267,'Email Marketing Raw Data'!$C:$O,6,0)),"")</f>
        <v/>
      </c>
      <c r="O3267" s="55" t="str">
        <f>IFERROR(IF(OR($B3267="",$B3267="(blank)"),"",VLOOKUP($B3267,'Email Marketing Raw Data'!$C:$O,7,0)),"")</f>
        <v/>
      </c>
      <c r="P3267" s="55" t="str">
        <f>IFERROR(IF(OR($B3267="",$B3267="(blank)"),"",VLOOKUP($B3267,'Email Marketing Raw Data'!$C:$O,8,0)),"")</f>
        <v/>
      </c>
      <c r="Q3267" s="62" t="str">
        <f>IFERROR(IF(OR($B3267="",$B3267="(blank)"),"",VLOOKUP($B3267,'Email Marketing Raw Data'!$C:$O,9,0)),"")</f>
        <v/>
      </c>
    </row>
    <row r="3268" spans="4:17" ht="12.75" customHeight="1" x14ac:dyDescent="0.2">
      <c r="D3268" s="58" t="str">
        <f>IFERROR(IF(F3268&lt;&gt;"pending","",IF(OR($B3268="",$B3268="(blank)"),"",VLOOKUP($B3268,'Email Marketing Raw Data'!$C:$O,10,0))),"")</f>
        <v/>
      </c>
      <c r="E3268" s="59" t="str">
        <f>IFERROR(IF(F3268&lt;&gt;"pending","",IF(OR($B3268="",$B3268="(blank)"),"",VLOOKUP($B3268,'Email Marketing Raw Data'!$C:$O,11,0))),"")</f>
        <v/>
      </c>
      <c r="F3268" s="54" t="str">
        <f>IFERROR(IF(OR($B3268="",$B3268="(blank)"),"",VLOOKUP($B3268,'Email Marketing Raw Data'!$C:$O,13,0)),"")</f>
        <v/>
      </c>
      <c r="G3268" s="55" t="str">
        <f>IFERROR(IF(OR($B3268="",$B3268="(blank)"),"",VLOOKUP($B3268,'Email Marketing Raw Data'!$C:$O,4,0)),"")</f>
        <v/>
      </c>
      <c r="H3268" s="55" t="str">
        <f>IFERROR(IF(OR($B3268="",$B3268="(blank)"),"",VLOOKUP($B3268,'Email Marketing Raw Data'!$C:$O,5,0)),"")</f>
        <v/>
      </c>
      <c r="I3268" s="55" t="str">
        <f>IFERROR(IF($G3268="","",VLOOKUP('Dashboard And Emails Automate'!$G3268,Database!$H:$N,3,0)),"")</f>
        <v/>
      </c>
      <c r="J3268" s="55" t="str">
        <f>IFERROR(IF($G3268="","",VLOOKUP('Dashboard And Emails Automate'!$G3268,Database!$H:$N,4,0)),"")</f>
        <v/>
      </c>
      <c r="K3268" s="55" t="str">
        <f>IFERROR(IF($G3268="","",VLOOKUP('Dashboard And Emails Automate'!$G3268,Database!$H:$N,5,0)),"")</f>
        <v/>
      </c>
      <c r="L3268" s="55" t="str">
        <f>IFERROR(IF($G3268="","",VLOOKUP('Dashboard And Emails Automate'!$G3268,Database!$H:$N,6,0)),"")</f>
        <v/>
      </c>
      <c r="M3268" s="55" t="str">
        <f>IFERROR(IF($G3268="","",VLOOKUP('Dashboard And Emails Automate'!$G3268,Database!$H:$N,7,0)),"")</f>
        <v/>
      </c>
      <c r="N3268" s="55" t="str">
        <f>IFERROR(IF(OR($B3268="",$B3268="(blank)"),"",VLOOKUP($B3268,'Email Marketing Raw Data'!$C:$O,6,0)),"")</f>
        <v/>
      </c>
      <c r="O3268" s="55" t="str">
        <f>IFERROR(IF(OR($B3268="",$B3268="(blank)"),"",VLOOKUP($B3268,'Email Marketing Raw Data'!$C:$O,7,0)),"")</f>
        <v/>
      </c>
      <c r="P3268" s="55" t="str">
        <f>IFERROR(IF(OR($B3268="",$B3268="(blank)"),"",VLOOKUP($B3268,'Email Marketing Raw Data'!$C:$O,8,0)),"")</f>
        <v/>
      </c>
      <c r="Q3268" s="62" t="str">
        <f>IFERROR(IF(OR($B3268="",$B3268="(blank)"),"",VLOOKUP($B3268,'Email Marketing Raw Data'!$C:$O,9,0)),"")</f>
        <v/>
      </c>
    </row>
    <row r="3269" spans="4:17" ht="12.75" customHeight="1" x14ac:dyDescent="0.2">
      <c r="D3269" s="58" t="str">
        <f>IFERROR(IF(F3269&lt;&gt;"pending","",IF(OR($B3269="",$B3269="(blank)"),"",VLOOKUP($B3269,'Email Marketing Raw Data'!$C:$O,10,0))),"")</f>
        <v/>
      </c>
      <c r="E3269" s="59" t="str">
        <f>IFERROR(IF(F3269&lt;&gt;"pending","",IF(OR($B3269="",$B3269="(blank)"),"",VLOOKUP($B3269,'Email Marketing Raw Data'!$C:$O,11,0))),"")</f>
        <v/>
      </c>
      <c r="F3269" s="54" t="str">
        <f>IFERROR(IF(OR($B3269="",$B3269="(blank)"),"",VLOOKUP($B3269,'Email Marketing Raw Data'!$C:$O,13,0)),"")</f>
        <v/>
      </c>
      <c r="G3269" s="55" t="str">
        <f>IFERROR(IF(OR($B3269="",$B3269="(blank)"),"",VLOOKUP($B3269,'Email Marketing Raw Data'!$C:$O,4,0)),"")</f>
        <v/>
      </c>
      <c r="H3269" s="55" t="str">
        <f>IFERROR(IF(OR($B3269="",$B3269="(blank)"),"",VLOOKUP($B3269,'Email Marketing Raw Data'!$C:$O,5,0)),"")</f>
        <v/>
      </c>
      <c r="I3269" s="55" t="str">
        <f>IFERROR(IF($G3269="","",VLOOKUP('Dashboard And Emails Automate'!$G3269,Database!$H:$N,3,0)),"")</f>
        <v/>
      </c>
      <c r="J3269" s="55" t="str">
        <f>IFERROR(IF($G3269="","",VLOOKUP('Dashboard And Emails Automate'!$G3269,Database!$H:$N,4,0)),"")</f>
        <v/>
      </c>
      <c r="K3269" s="55" t="str">
        <f>IFERROR(IF($G3269="","",VLOOKUP('Dashboard And Emails Automate'!$G3269,Database!$H:$N,5,0)),"")</f>
        <v/>
      </c>
      <c r="L3269" s="55" t="str">
        <f>IFERROR(IF($G3269="","",VLOOKUP('Dashboard And Emails Automate'!$G3269,Database!$H:$N,6,0)),"")</f>
        <v/>
      </c>
      <c r="M3269" s="55" t="str">
        <f>IFERROR(IF($G3269="","",VLOOKUP('Dashboard And Emails Automate'!$G3269,Database!$H:$N,7,0)),"")</f>
        <v/>
      </c>
      <c r="N3269" s="55" t="str">
        <f>IFERROR(IF(OR($B3269="",$B3269="(blank)"),"",VLOOKUP($B3269,'Email Marketing Raw Data'!$C:$O,6,0)),"")</f>
        <v/>
      </c>
      <c r="O3269" s="55" t="str">
        <f>IFERROR(IF(OR($B3269="",$B3269="(blank)"),"",VLOOKUP($B3269,'Email Marketing Raw Data'!$C:$O,7,0)),"")</f>
        <v/>
      </c>
      <c r="P3269" s="55" t="str">
        <f>IFERROR(IF(OR($B3269="",$B3269="(blank)"),"",VLOOKUP($B3269,'Email Marketing Raw Data'!$C:$O,8,0)),"")</f>
        <v/>
      </c>
      <c r="Q3269" s="62" t="str">
        <f>IFERROR(IF(OR($B3269="",$B3269="(blank)"),"",VLOOKUP($B3269,'Email Marketing Raw Data'!$C:$O,9,0)),"")</f>
        <v/>
      </c>
    </row>
    <row r="3270" spans="4:17" ht="12.75" customHeight="1" x14ac:dyDescent="0.2">
      <c r="D3270" s="58" t="str">
        <f>IFERROR(IF(F3270&lt;&gt;"pending","",IF(OR($B3270="",$B3270="(blank)"),"",VLOOKUP($B3270,'Email Marketing Raw Data'!$C:$O,10,0))),"")</f>
        <v/>
      </c>
      <c r="E3270" s="59" t="str">
        <f>IFERROR(IF(F3270&lt;&gt;"pending","",IF(OR($B3270="",$B3270="(blank)"),"",VLOOKUP($B3270,'Email Marketing Raw Data'!$C:$O,11,0))),"")</f>
        <v/>
      </c>
      <c r="F3270" s="54" t="str">
        <f>IFERROR(IF(OR($B3270="",$B3270="(blank)"),"",VLOOKUP($B3270,'Email Marketing Raw Data'!$C:$O,13,0)),"")</f>
        <v/>
      </c>
      <c r="G3270" s="55" t="str">
        <f>IFERROR(IF(OR($B3270="",$B3270="(blank)"),"",VLOOKUP($B3270,'Email Marketing Raw Data'!$C:$O,4,0)),"")</f>
        <v/>
      </c>
      <c r="H3270" s="55" t="str">
        <f>IFERROR(IF(OR($B3270="",$B3270="(blank)"),"",VLOOKUP($B3270,'Email Marketing Raw Data'!$C:$O,5,0)),"")</f>
        <v/>
      </c>
      <c r="I3270" s="55" t="str">
        <f>IFERROR(IF($G3270="","",VLOOKUP('Dashboard And Emails Automate'!$G3270,Database!$H:$N,3,0)),"")</f>
        <v/>
      </c>
      <c r="J3270" s="55" t="str">
        <f>IFERROR(IF($G3270="","",VLOOKUP('Dashboard And Emails Automate'!$G3270,Database!$H:$N,4,0)),"")</f>
        <v/>
      </c>
      <c r="K3270" s="55" t="str">
        <f>IFERROR(IF($G3270="","",VLOOKUP('Dashboard And Emails Automate'!$G3270,Database!$H:$N,5,0)),"")</f>
        <v/>
      </c>
      <c r="L3270" s="55" t="str">
        <f>IFERROR(IF($G3270="","",VLOOKUP('Dashboard And Emails Automate'!$G3270,Database!$H:$N,6,0)),"")</f>
        <v/>
      </c>
      <c r="M3270" s="55" t="str">
        <f>IFERROR(IF($G3270="","",VLOOKUP('Dashboard And Emails Automate'!$G3270,Database!$H:$N,7,0)),"")</f>
        <v/>
      </c>
      <c r="N3270" s="55" t="str">
        <f>IFERROR(IF(OR($B3270="",$B3270="(blank)"),"",VLOOKUP($B3270,'Email Marketing Raw Data'!$C:$O,6,0)),"")</f>
        <v/>
      </c>
      <c r="O3270" s="55" t="str">
        <f>IFERROR(IF(OR($B3270="",$B3270="(blank)"),"",VLOOKUP($B3270,'Email Marketing Raw Data'!$C:$O,7,0)),"")</f>
        <v/>
      </c>
      <c r="P3270" s="55" t="str">
        <f>IFERROR(IF(OR($B3270="",$B3270="(blank)"),"",VLOOKUP($B3270,'Email Marketing Raw Data'!$C:$O,8,0)),"")</f>
        <v/>
      </c>
      <c r="Q3270" s="62" t="str">
        <f>IFERROR(IF(OR($B3270="",$B3270="(blank)"),"",VLOOKUP($B3270,'Email Marketing Raw Data'!$C:$O,9,0)),"")</f>
        <v/>
      </c>
    </row>
    <row r="3271" spans="4:17" ht="12.75" customHeight="1" x14ac:dyDescent="0.2">
      <c r="D3271" s="58" t="str">
        <f>IFERROR(IF(F3271&lt;&gt;"pending","",IF(OR($B3271="",$B3271="(blank)"),"",VLOOKUP($B3271,'Email Marketing Raw Data'!$C:$O,10,0))),"")</f>
        <v/>
      </c>
      <c r="E3271" s="59" t="str">
        <f>IFERROR(IF(F3271&lt;&gt;"pending","",IF(OR($B3271="",$B3271="(blank)"),"",VLOOKUP($B3271,'Email Marketing Raw Data'!$C:$O,11,0))),"")</f>
        <v/>
      </c>
      <c r="F3271" s="54" t="str">
        <f>IFERROR(IF(OR($B3271="",$B3271="(blank)"),"",VLOOKUP($B3271,'Email Marketing Raw Data'!$C:$O,13,0)),"")</f>
        <v/>
      </c>
      <c r="G3271" s="55" t="str">
        <f>IFERROR(IF(OR($B3271="",$B3271="(blank)"),"",VLOOKUP($B3271,'Email Marketing Raw Data'!$C:$O,4,0)),"")</f>
        <v/>
      </c>
      <c r="H3271" s="55" t="str">
        <f>IFERROR(IF(OR($B3271="",$B3271="(blank)"),"",VLOOKUP($B3271,'Email Marketing Raw Data'!$C:$O,5,0)),"")</f>
        <v/>
      </c>
      <c r="I3271" s="55" t="str">
        <f>IFERROR(IF($G3271="","",VLOOKUP('Dashboard And Emails Automate'!$G3271,Database!$H:$N,3,0)),"")</f>
        <v/>
      </c>
      <c r="J3271" s="55" t="str">
        <f>IFERROR(IF($G3271="","",VLOOKUP('Dashboard And Emails Automate'!$G3271,Database!$H:$N,4,0)),"")</f>
        <v/>
      </c>
      <c r="K3271" s="55" t="str">
        <f>IFERROR(IF($G3271="","",VLOOKUP('Dashboard And Emails Automate'!$G3271,Database!$H:$N,5,0)),"")</f>
        <v/>
      </c>
      <c r="L3271" s="55" t="str">
        <f>IFERROR(IF($G3271="","",VLOOKUP('Dashboard And Emails Automate'!$G3271,Database!$H:$N,6,0)),"")</f>
        <v/>
      </c>
      <c r="M3271" s="55" t="str">
        <f>IFERROR(IF($G3271="","",VLOOKUP('Dashboard And Emails Automate'!$G3271,Database!$H:$N,7,0)),"")</f>
        <v/>
      </c>
      <c r="N3271" s="55" t="str">
        <f>IFERROR(IF(OR($B3271="",$B3271="(blank)"),"",VLOOKUP($B3271,'Email Marketing Raw Data'!$C:$O,6,0)),"")</f>
        <v/>
      </c>
      <c r="O3271" s="55" t="str">
        <f>IFERROR(IF(OR($B3271="",$B3271="(blank)"),"",VLOOKUP($B3271,'Email Marketing Raw Data'!$C:$O,7,0)),"")</f>
        <v/>
      </c>
      <c r="P3271" s="55" t="str">
        <f>IFERROR(IF(OR($B3271="",$B3271="(blank)"),"",VLOOKUP($B3271,'Email Marketing Raw Data'!$C:$O,8,0)),"")</f>
        <v/>
      </c>
      <c r="Q3271" s="62" t="str">
        <f>IFERROR(IF(OR($B3271="",$B3271="(blank)"),"",VLOOKUP($B3271,'Email Marketing Raw Data'!$C:$O,9,0)),"")</f>
        <v/>
      </c>
    </row>
    <row r="3272" spans="4:17" ht="12.75" customHeight="1" x14ac:dyDescent="0.2">
      <c r="D3272" s="58" t="str">
        <f>IFERROR(IF(F3272&lt;&gt;"pending","",IF(OR($B3272="",$B3272="(blank)"),"",VLOOKUP($B3272,'Email Marketing Raw Data'!$C:$O,10,0))),"")</f>
        <v/>
      </c>
      <c r="E3272" s="59" t="str">
        <f>IFERROR(IF(F3272&lt;&gt;"pending","",IF(OR($B3272="",$B3272="(blank)"),"",VLOOKUP($B3272,'Email Marketing Raw Data'!$C:$O,11,0))),"")</f>
        <v/>
      </c>
      <c r="F3272" s="54" t="str">
        <f>IFERROR(IF(OR($B3272="",$B3272="(blank)"),"",VLOOKUP($B3272,'Email Marketing Raw Data'!$C:$O,13,0)),"")</f>
        <v/>
      </c>
      <c r="G3272" s="55" t="str">
        <f>IFERROR(IF(OR($B3272="",$B3272="(blank)"),"",VLOOKUP($B3272,'Email Marketing Raw Data'!$C:$O,4,0)),"")</f>
        <v/>
      </c>
      <c r="H3272" s="55" t="str">
        <f>IFERROR(IF(OR($B3272="",$B3272="(blank)"),"",VLOOKUP($B3272,'Email Marketing Raw Data'!$C:$O,5,0)),"")</f>
        <v/>
      </c>
      <c r="I3272" s="55" t="str">
        <f>IFERROR(IF($G3272="","",VLOOKUP('Dashboard And Emails Automate'!$G3272,Database!$H:$N,3,0)),"")</f>
        <v/>
      </c>
      <c r="J3272" s="55" t="str">
        <f>IFERROR(IF($G3272="","",VLOOKUP('Dashboard And Emails Automate'!$G3272,Database!$H:$N,4,0)),"")</f>
        <v/>
      </c>
      <c r="K3272" s="55" t="str">
        <f>IFERROR(IF($G3272="","",VLOOKUP('Dashboard And Emails Automate'!$G3272,Database!$H:$N,5,0)),"")</f>
        <v/>
      </c>
      <c r="L3272" s="55" t="str">
        <f>IFERROR(IF($G3272="","",VLOOKUP('Dashboard And Emails Automate'!$G3272,Database!$H:$N,6,0)),"")</f>
        <v/>
      </c>
      <c r="M3272" s="55" t="str">
        <f>IFERROR(IF($G3272="","",VLOOKUP('Dashboard And Emails Automate'!$G3272,Database!$H:$N,7,0)),"")</f>
        <v/>
      </c>
      <c r="N3272" s="55" t="str">
        <f>IFERROR(IF(OR($B3272="",$B3272="(blank)"),"",VLOOKUP($B3272,'Email Marketing Raw Data'!$C:$O,6,0)),"")</f>
        <v/>
      </c>
      <c r="O3272" s="55" t="str">
        <f>IFERROR(IF(OR($B3272="",$B3272="(blank)"),"",VLOOKUP($B3272,'Email Marketing Raw Data'!$C:$O,7,0)),"")</f>
        <v/>
      </c>
      <c r="P3272" s="55" t="str">
        <f>IFERROR(IF(OR($B3272="",$B3272="(blank)"),"",VLOOKUP($B3272,'Email Marketing Raw Data'!$C:$O,8,0)),"")</f>
        <v/>
      </c>
      <c r="Q3272" s="62" t="str">
        <f>IFERROR(IF(OR($B3272="",$B3272="(blank)"),"",VLOOKUP($B3272,'Email Marketing Raw Data'!$C:$O,9,0)),"")</f>
        <v/>
      </c>
    </row>
    <row r="3273" spans="4:17" ht="12.75" customHeight="1" x14ac:dyDescent="0.2">
      <c r="D3273" s="58" t="str">
        <f>IFERROR(IF(F3273&lt;&gt;"pending","",IF(OR($B3273="",$B3273="(blank)"),"",VLOOKUP($B3273,'Email Marketing Raw Data'!$C:$O,10,0))),"")</f>
        <v/>
      </c>
      <c r="E3273" s="59" t="str">
        <f>IFERROR(IF(F3273&lt;&gt;"pending","",IF(OR($B3273="",$B3273="(blank)"),"",VLOOKUP($B3273,'Email Marketing Raw Data'!$C:$O,11,0))),"")</f>
        <v/>
      </c>
      <c r="F3273" s="54" t="str">
        <f>IFERROR(IF(OR($B3273="",$B3273="(blank)"),"",VLOOKUP($B3273,'Email Marketing Raw Data'!$C:$O,13,0)),"")</f>
        <v/>
      </c>
      <c r="G3273" s="55" t="str">
        <f>IFERROR(IF(OR($B3273="",$B3273="(blank)"),"",VLOOKUP($B3273,'Email Marketing Raw Data'!$C:$O,4,0)),"")</f>
        <v/>
      </c>
      <c r="H3273" s="55" t="str">
        <f>IFERROR(IF(OR($B3273="",$B3273="(blank)"),"",VLOOKUP($B3273,'Email Marketing Raw Data'!$C:$O,5,0)),"")</f>
        <v/>
      </c>
      <c r="I3273" s="55" t="str">
        <f>IFERROR(IF($G3273="","",VLOOKUP('Dashboard And Emails Automate'!$G3273,Database!$H:$N,3,0)),"")</f>
        <v/>
      </c>
      <c r="J3273" s="55" t="str">
        <f>IFERROR(IF($G3273="","",VLOOKUP('Dashboard And Emails Automate'!$G3273,Database!$H:$N,4,0)),"")</f>
        <v/>
      </c>
      <c r="K3273" s="55" t="str">
        <f>IFERROR(IF($G3273="","",VLOOKUP('Dashboard And Emails Automate'!$G3273,Database!$H:$N,5,0)),"")</f>
        <v/>
      </c>
      <c r="L3273" s="55" t="str">
        <f>IFERROR(IF($G3273="","",VLOOKUP('Dashboard And Emails Automate'!$G3273,Database!$H:$N,6,0)),"")</f>
        <v/>
      </c>
      <c r="M3273" s="55" t="str">
        <f>IFERROR(IF($G3273="","",VLOOKUP('Dashboard And Emails Automate'!$G3273,Database!$H:$N,7,0)),"")</f>
        <v/>
      </c>
      <c r="N3273" s="55" t="str">
        <f>IFERROR(IF(OR($B3273="",$B3273="(blank)"),"",VLOOKUP($B3273,'Email Marketing Raw Data'!$C:$O,6,0)),"")</f>
        <v/>
      </c>
      <c r="O3273" s="55" t="str">
        <f>IFERROR(IF(OR($B3273="",$B3273="(blank)"),"",VLOOKUP($B3273,'Email Marketing Raw Data'!$C:$O,7,0)),"")</f>
        <v/>
      </c>
      <c r="P3273" s="55" t="str">
        <f>IFERROR(IF(OR($B3273="",$B3273="(blank)"),"",VLOOKUP($B3273,'Email Marketing Raw Data'!$C:$O,8,0)),"")</f>
        <v/>
      </c>
      <c r="Q3273" s="62" t="str">
        <f>IFERROR(IF(OR($B3273="",$B3273="(blank)"),"",VLOOKUP($B3273,'Email Marketing Raw Data'!$C:$O,9,0)),"")</f>
        <v/>
      </c>
    </row>
    <row r="3274" spans="4:17" ht="12.75" customHeight="1" x14ac:dyDescent="0.2">
      <c r="D3274" s="58" t="str">
        <f>IFERROR(IF(F3274&lt;&gt;"pending","",IF(OR($B3274="",$B3274="(blank)"),"",VLOOKUP($B3274,'Email Marketing Raw Data'!$C:$O,10,0))),"")</f>
        <v/>
      </c>
      <c r="E3274" s="59" t="str">
        <f>IFERROR(IF(F3274&lt;&gt;"pending","",IF(OR($B3274="",$B3274="(blank)"),"",VLOOKUP($B3274,'Email Marketing Raw Data'!$C:$O,11,0))),"")</f>
        <v/>
      </c>
      <c r="F3274" s="54" t="str">
        <f>IFERROR(IF(OR($B3274="",$B3274="(blank)"),"",VLOOKUP($B3274,'Email Marketing Raw Data'!$C:$O,13,0)),"")</f>
        <v/>
      </c>
      <c r="G3274" s="55" t="str">
        <f>IFERROR(IF(OR($B3274="",$B3274="(blank)"),"",VLOOKUP($B3274,'Email Marketing Raw Data'!$C:$O,4,0)),"")</f>
        <v/>
      </c>
      <c r="H3274" s="55" t="str">
        <f>IFERROR(IF(OR($B3274="",$B3274="(blank)"),"",VLOOKUP($B3274,'Email Marketing Raw Data'!$C:$O,5,0)),"")</f>
        <v/>
      </c>
      <c r="I3274" s="55" t="str">
        <f>IFERROR(IF($G3274="","",VLOOKUP('Dashboard And Emails Automate'!$G3274,Database!$H:$N,3,0)),"")</f>
        <v/>
      </c>
      <c r="J3274" s="55" t="str">
        <f>IFERROR(IF($G3274="","",VLOOKUP('Dashboard And Emails Automate'!$G3274,Database!$H:$N,4,0)),"")</f>
        <v/>
      </c>
      <c r="K3274" s="55" t="str">
        <f>IFERROR(IF($G3274="","",VLOOKUP('Dashboard And Emails Automate'!$G3274,Database!$H:$N,5,0)),"")</f>
        <v/>
      </c>
      <c r="L3274" s="55" t="str">
        <f>IFERROR(IF($G3274="","",VLOOKUP('Dashboard And Emails Automate'!$G3274,Database!$H:$N,6,0)),"")</f>
        <v/>
      </c>
      <c r="M3274" s="55" t="str">
        <f>IFERROR(IF($G3274="","",VLOOKUP('Dashboard And Emails Automate'!$G3274,Database!$H:$N,7,0)),"")</f>
        <v/>
      </c>
      <c r="N3274" s="55" t="str">
        <f>IFERROR(IF(OR($B3274="",$B3274="(blank)"),"",VLOOKUP($B3274,'Email Marketing Raw Data'!$C:$O,6,0)),"")</f>
        <v/>
      </c>
      <c r="O3274" s="55" t="str">
        <f>IFERROR(IF(OR($B3274="",$B3274="(blank)"),"",VLOOKUP($B3274,'Email Marketing Raw Data'!$C:$O,7,0)),"")</f>
        <v/>
      </c>
      <c r="P3274" s="55" t="str">
        <f>IFERROR(IF(OR($B3274="",$B3274="(blank)"),"",VLOOKUP($B3274,'Email Marketing Raw Data'!$C:$O,8,0)),"")</f>
        <v/>
      </c>
      <c r="Q3274" s="62" t="str">
        <f>IFERROR(IF(OR($B3274="",$B3274="(blank)"),"",VLOOKUP($B3274,'Email Marketing Raw Data'!$C:$O,9,0)),"")</f>
        <v/>
      </c>
    </row>
    <row r="3275" spans="4:17" ht="12.75" customHeight="1" x14ac:dyDescent="0.2">
      <c r="D3275" s="58" t="str">
        <f>IFERROR(IF(F3275&lt;&gt;"pending","",IF(OR($B3275="",$B3275="(blank)"),"",VLOOKUP($B3275,'Email Marketing Raw Data'!$C:$O,10,0))),"")</f>
        <v/>
      </c>
      <c r="E3275" s="59" t="str">
        <f>IFERROR(IF(F3275&lt;&gt;"pending","",IF(OR($B3275="",$B3275="(blank)"),"",VLOOKUP($B3275,'Email Marketing Raw Data'!$C:$O,11,0))),"")</f>
        <v/>
      </c>
      <c r="F3275" s="54" t="str">
        <f>IFERROR(IF(OR($B3275="",$B3275="(blank)"),"",VLOOKUP($B3275,'Email Marketing Raw Data'!$C:$O,13,0)),"")</f>
        <v/>
      </c>
      <c r="G3275" s="55" t="str">
        <f>IFERROR(IF(OR($B3275="",$B3275="(blank)"),"",VLOOKUP($B3275,'Email Marketing Raw Data'!$C:$O,4,0)),"")</f>
        <v/>
      </c>
      <c r="H3275" s="55" t="str">
        <f>IFERROR(IF(OR($B3275="",$B3275="(blank)"),"",VLOOKUP($B3275,'Email Marketing Raw Data'!$C:$O,5,0)),"")</f>
        <v/>
      </c>
      <c r="I3275" s="55" t="str">
        <f>IFERROR(IF($G3275="","",VLOOKUP('Dashboard And Emails Automate'!$G3275,Database!$H:$N,3,0)),"")</f>
        <v/>
      </c>
      <c r="J3275" s="55" t="str">
        <f>IFERROR(IF($G3275="","",VLOOKUP('Dashboard And Emails Automate'!$G3275,Database!$H:$N,4,0)),"")</f>
        <v/>
      </c>
      <c r="K3275" s="55" t="str">
        <f>IFERROR(IF($G3275="","",VLOOKUP('Dashboard And Emails Automate'!$G3275,Database!$H:$N,5,0)),"")</f>
        <v/>
      </c>
      <c r="L3275" s="55" t="str">
        <f>IFERROR(IF($G3275="","",VLOOKUP('Dashboard And Emails Automate'!$G3275,Database!$H:$N,6,0)),"")</f>
        <v/>
      </c>
      <c r="M3275" s="55" t="str">
        <f>IFERROR(IF($G3275="","",VLOOKUP('Dashboard And Emails Automate'!$G3275,Database!$H:$N,7,0)),"")</f>
        <v/>
      </c>
      <c r="N3275" s="55" t="str">
        <f>IFERROR(IF(OR($B3275="",$B3275="(blank)"),"",VLOOKUP($B3275,'Email Marketing Raw Data'!$C:$O,6,0)),"")</f>
        <v/>
      </c>
      <c r="O3275" s="55" t="str">
        <f>IFERROR(IF(OR($B3275="",$B3275="(blank)"),"",VLOOKUP($B3275,'Email Marketing Raw Data'!$C:$O,7,0)),"")</f>
        <v/>
      </c>
      <c r="P3275" s="55" t="str">
        <f>IFERROR(IF(OR($B3275="",$B3275="(blank)"),"",VLOOKUP($B3275,'Email Marketing Raw Data'!$C:$O,8,0)),"")</f>
        <v/>
      </c>
      <c r="Q3275" s="62" t="str">
        <f>IFERROR(IF(OR($B3275="",$B3275="(blank)"),"",VLOOKUP($B3275,'Email Marketing Raw Data'!$C:$O,9,0)),"")</f>
        <v/>
      </c>
    </row>
    <row r="3276" spans="4:17" ht="12.75" customHeight="1" x14ac:dyDescent="0.2">
      <c r="D3276" s="58" t="str">
        <f>IFERROR(IF(F3276&lt;&gt;"pending","",IF(OR($B3276="",$B3276="(blank)"),"",VLOOKUP($B3276,'Email Marketing Raw Data'!$C:$O,10,0))),"")</f>
        <v/>
      </c>
      <c r="E3276" s="59" t="str">
        <f>IFERROR(IF(F3276&lt;&gt;"pending","",IF(OR($B3276="",$B3276="(blank)"),"",VLOOKUP($B3276,'Email Marketing Raw Data'!$C:$O,11,0))),"")</f>
        <v/>
      </c>
      <c r="F3276" s="54" t="str">
        <f>IFERROR(IF(OR($B3276="",$B3276="(blank)"),"",VLOOKUP($B3276,'Email Marketing Raw Data'!$C:$O,13,0)),"")</f>
        <v/>
      </c>
      <c r="G3276" s="55" t="str">
        <f>IFERROR(IF(OR($B3276="",$B3276="(blank)"),"",VLOOKUP($B3276,'Email Marketing Raw Data'!$C:$O,4,0)),"")</f>
        <v/>
      </c>
      <c r="H3276" s="55" t="str">
        <f>IFERROR(IF(OR($B3276="",$B3276="(blank)"),"",VLOOKUP($B3276,'Email Marketing Raw Data'!$C:$O,5,0)),"")</f>
        <v/>
      </c>
      <c r="I3276" s="55" t="str">
        <f>IFERROR(IF($G3276="","",VLOOKUP('Dashboard And Emails Automate'!$G3276,Database!$H:$N,3,0)),"")</f>
        <v/>
      </c>
      <c r="J3276" s="55" t="str">
        <f>IFERROR(IF($G3276="","",VLOOKUP('Dashboard And Emails Automate'!$G3276,Database!$H:$N,4,0)),"")</f>
        <v/>
      </c>
      <c r="K3276" s="55" t="str">
        <f>IFERROR(IF($G3276="","",VLOOKUP('Dashboard And Emails Automate'!$G3276,Database!$H:$N,5,0)),"")</f>
        <v/>
      </c>
      <c r="L3276" s="55" t="str">
        <f>IFERROR(IF($G3276="","",VLOOKUP('Dashboard And Emails Automate'!$G3276,Database!$H:$N,6,0)),"")</f>
        <v/>
      </c>
      <c r="M3276" s="55" t="str">
        <f>IFERROR(IF($G3276="","",VLOOKUP('Dashboard And Emails Automate'!$G3276,Database!$H:$N,7,0)),"")</f>
        <v/>
      </c>
      <c r="N3276" s="55" t="str">
        <f>IFERROR(IF(OR($B3276="",$B3276="(blank)"),"",VLOOKUP($B3276,'Email Marketing Raw Data'!$C:$O,6,0)),"")</f>
        <v/>
      </c>
      <c r="O3276" s="55" t="str">
        <f>IFERROR(IF(OR($B3276="",$B3276="(blank)"),"",VLOOKUP($B3276,'Email Marketing Raw Data'!$C:$O,7,0)),"")</f>
        <v/>
      </c>
      <c r="P3276" s="55" t="str">
        <f>IFERROR(IF(OR($B3276="",$B3276="(blank)"),"",VLOOKUP($B3276,'Email Marketing Raw Data'!$C:$O,8,0)),"")</f>
        <v/>
      </c>
      <c r="Q3276" s="62" t="str">
        <f>IFERROR(IF(OR($B3276="",$B3276="(blank)"),"",VLOOKUP($B3276,'Email Marketing Raw Data'!$C:$O,9,0)),"")</f>
        <v/>
      </c>
    </row>
    <row r="3277" spans="4:17" ht="12.75" customHeight="1" x14ac:dyDescent="0.2">
      <c r="D3277" s="58" t="str">
        <f>IFERROR(IF(F3277&lt;&gt;"pending","",IF(OR($B3277="",$B3277="(blank)"),"",VLOOKUP($B3277,'Email Marketing Raw Data'!$C:$O,10,0))),"")</f>
        <v/>
      </c>
      <c r="E3277" s="59" t="str">
        <f>IFERROR(IF(F3277&lt;&gt;"pending","",IF(OR($B3277="",$B3277="(blank)"),"",VLOOKUP($B3277,'Email Marketing Raw Data'!$C:$O,11,0))),"")</f>
        <v/>
      </c>
      <c r="F3277" s="54" t="str">
        <f>IFERROR(IF(OR($B3277="",$B3277="(blank)"),"",VLOOKUP($B3277,'Email Marketing Raw Data'!$C:$O,13,0)),"")</f>
        <v/>
      </c>
      <c r="G3277" s="55" t="str">
        <f>IFERROR(IF(OR($B3277="",$B3277="(blank)"),"",VLOOKUP($B3277,'Email Marketing Raw Data'!$C:$O,4,0)),"")</f>
        <v/>
      </c>
      <c r="H3277" s="55" t="str">
        <f>IFERROR(IF(OR($B3277="",$B3277="(blank)"),"",VLOOKUP($B3277,'Email Marketing Raw Data'!$C:$O,5,0)),"")</f>
        <v/>
      </c>
      <c r="I3277" s="55" t="str">
        <f>IFERROR(IF($G3277="","",VLOOKUP('Dashboard And Emails Automate'!$G3277,Database!$H:$N,3,0)),"")</f>
        <v/>
      </c>
      <c r="J3277" s="55" t="str">
        <f>IFERROR(IF($G3277="","",VLOOKUP('Dashboard And Emails Automate'!$G3277,Database!$H:$N,4,0)),"")</f>
        <v/>
      </c>
      <c r="K3277" s="55" t="str">
        <f>IFERROR(IF($G3277="","",VLOOKUP('Dashboard And Emails Automate'!$G3277,Database!$H:$N,5,0)),"")</f>
        <v/>
      </c>
      <c r="L3277" s="55" t="str">
        <f>IFERROR(IF($G3277="","",VLOOKUP('Dashboard And Emails Automate'!$G3277,Database!$H:$N,6,0)),"")</f>
        <v/>
      </c>
      <c r="M3277" s="55" t="str">
        <f>IFERROR(IF($G3277="","",VLOOKUP('Dashboard And Emails Automate'!$G3277,Database!$H:$N,7,0)),"")</f>
        <v/>
      </c>
      <c r="N3277" s="55" t="str">
        <f>IFERROR(IF(OR($B3277="",$B3277="(blank)"),"",VLOOKUP($B3277,'Email Marketing Raw Data'!$C:$O,6,0)),"")</f>
        <v/>
      </c>
      <c r="O3277" s="55" t="str">
        <f>IFERROR(IF(OR($B3277="",$B3277="(blank)"),"",VLOOKUP($B3277,'Email Marketing Raw Data'!$C:$O,7,0)),"")</f>
        <v/>
      </c>
      <c r="P3277" s="55" t="str">
        <f>IFERROR(IF(OR($B3277="",$B3277="(blank)"),"",VLOOKUP($B3277,'Email Marketing Raw Data'!$C:$O,8,0)),"")</f>
        <v/>
      </c>
      <c r="Q3277" s="62" t="str">
        <f>IFERROR(IF(OR($B3277="",$B3277="(blank)"),"",VLOOKUP($B3277,'Email Marketing Raw Data'!$C:$O,9,0)),"")</f>
        <v/>
      </c>
    </row>
    <row r="3278" spans="4:17" ht="12.75" customHeight="1" x14ac:dyDescent="0.2">
      <c r="D3278" s="58" t="str">
        <f>IFERROR(IF(F3278&lt;&gt;"pending","",IF(OR($B3278="",$B3278="(blank)"),"",VLOOKUP($B3278,'Email Marketing Raw Data'!$C:$O,10,0))),"")</f>
        <v/>
      </c>
      <c r="E3278" s="59" t="str">
        <f>IFERROR(IF(F3278&lt;&gt;"pending","",IF(OR($B3278="",$B3278="(blank)"),"",VLOOKUP($B3278,'Email Marketing Raw Data'!$C:$O,11,0))),"")</f>
        <v/>
      </c>
      <c r="F3278" s="54" t="str">
        <f>IFERROR(IF(OR($B3278="",$B3278="(blank)"),"",VLOOKUP($B3278,'Email Marketing Raw Data'!$C:$O,13,0)),"")</f>
        <v/>
      </c>
      <c r="G3278" s="55" t="str">
        <f>IFERROR(IF(OR($B3278="",$B3278="(blank)"),"",VLOOKUP($B3278,'Email Marketing Raw Data'!$C:$O,4,0)),"")</f>
        <v/>
      </c>
      <c r="H3278" s="55" t="str">
        <f>IFERROR(IF(OR($B3278="",$B3278="(blank)"),"",VLOOKUP($B3278,'Email Marketing Raw Data'!$C:$O,5,0)),"")</f>
        <v/>
      </c>
      <c r="I3278" s="55" t="str">
        <f>IFERROR(IF($G3278="","",VLOOKUP('Dashboard And Emails Automate'!$G3278,Database!$H:$N,3,0)),"")</f>
        <v/>
      </c>
      <c r="J3278" s="55" t="str">
        <f>IFERROR(IF($G3278="","",VLOOKUP('Dashboard And Emails Automate'!$G3278,Database!$H:$N,4,0)),"")</f>
        <v/>
      </c>
      <c r="K3278" s="55" t="str">
        <f>IFERROR(IF($G3278="","",VLOOKUP('Dashboard And Emails Automate'!$G3278,Database!$H:$N,5,0)),"")</f>
        <v/>
      </c>
      <c r="L3278" s="55" t="str">
        <f>IFERROR(IF($G3278="","",VLOOKUP('Dashboard And Emails Automate'!$G3278,Database!$H:$N,6,0)),"")</f>
        <v/>
      </c>
      <c r="M3278" s="55" t="str">
        <f>IFERROR(IF($G3278="","",VLOOKUP('Dashboard And Emails Automate'!$G3278,Database!$H:$N,7,0)),"")</f>
        <v/>
      </c>
      <c r="N3278" s="55" t="str">
        <f>IFERROR(IF(OR($B3278="",$B3278="(blank)"),"",VLOOKUP($B3278,'Email Marketing Raw Data'!$C:$O,6,0)),"")</f>
        <v/>
      </c>
      <c r="O3278" s="55" t="str">
        <f>IFERROR(IF(OR($B3278="",$B3278="(blank)"),"",VLOOKUP($B3278,'Email Marketing Raw Data'!$C:$O,7,0)),"")</f>
        <v/>
      </c>
      <c r="P3278" s="55" t="str">
        <f>IFERROR(IF(OR($B3278="",$B3278="(blank)"),"",VLOOKUP($B3278,'Email Marketing Raw Data'!$C:$O,8,0)),"")</f>
        <v/>
      </c>
      <c r="Q3278" s="62" t="str">
        <f>IFERROR(IF(OR($B3278="",$B3278="(blank)"),"",VLOOKUP($B3278,'Email Marketing Raw Data'!$C:$O,9,0)),"")</f>
        <v/>
      </c>
    </row>
    <row r="3279" spans="4:17" ht="12.75" customHeight="1" x14ac:dyDescent="0.2">
      <c r="D3279" s="58" t="str">
        <f>IFERROR(IF(F3279&lt;&gt;"pending","",IF(OR($B3279="",$B3279="(blank)"),"",VLOOKUP($B3279,'Email Marketing Raw Data'!$C:$O,10,0))),"")</f>
        <v/>
      </c>
      <c r="E3279" s="59" t="str">
        <f>IFERROR(IF(F3279&lt;&gt;"pending","",IF(OR($B3279="",$B3279="(blank)"),"",VLOOKUP($B3279,'Email Marketing Raw Data'!$C:$O,11,0))),"")</f>
        <v/>
      </c>
      <c r="F3279" s="54" t="str">
        <f>IFERROR(IF(OR($B3279="",$B3279="(blank)"),"",VLOOKUP($B3279,'Email Marketing Raw Data'!$C:$O,13,0)),"")</f>
        <v/>
      </c>
      <c r="G3279" s="55" t="str">
        <f>IFERROR(IF(OR($B3279="",$B3279="(blank)"),"",VLOOKUP($B3279,'Email Marketing Raw Data'!$C:$O,4,0)),"")</f>
        <v/>
      </c>
      <c r="H3279" s="55" t="str">
        <f>IFERROR(IF(OR($B3279="",$B3279="(blank)"),"",VLOOKUP($B3279,'Email Marketing Raw Data'!$C:$O,5,0)),"")</f>
        <v/>
      </c>
      <c r="I3279" s="55" t="str">
        <f>IFERROR(IF($G3279="","",VLOOKUP('Dashboard And Emails Automate'!$G3279,Database!$H:$N,3,0)),"")</f>
        <v/>
      </c>
      <c r="J3279" s="55" t="str">
        <f>IFERROR(IF($G3279="","",VLOOKUP('Dashboard And Emails Automate'!$G3279,Database!$H:$N,4,0)),"")</f>
        <v/>
      </c>
      <c r="K3279" s="55" t="str">
        <f>IFERROR(IF($G3279="","",VLOOKUP('Dashboard And Emails Automate'!$G3279,Database!$H:$N,5,0)),"")</f>
        <v/>
      </c>
      <c r="L3279" s="55" t="str">
        <f>IFERROR(IF($G3279="","",VLOOKUP('Dashboard And Emails Automate'!$G3279,Database!$H:$N,6,0)),"")</f>
        <v/>
      </c>
      <c r="M3279" s="55" t="str">
        <f>IFERROR(IF($G3279="","",VLOOKUP('Dashboard And Emails Automate'!$G3279,Database!$H:$N,7,0)),"")</f>
        <v/>
      </c>
      <c r="N3279" s="55" t="str">
        <f>IFERROR(IF(OR($B3279="",$B3279="(blank)"),"",VLOOKUP($B3279,'Email Marketing Raw Data'!$C:$O,6,0)),"")</f>
        <v/>
      </c>
      <c r="O3279" s="55" t="str">
        <f>IFERROR(IF(OR($B3279="",$B3279="(blank)"),"",VLOOKUP($B3279,'Email Marketing Raw Data'!$C:$O,7,0)),"")</f>
        <v/>
      </c>
      <c r="P3279" s="55" t="str">
        <f>IFERROR(IF(OR($B3279="",$B3279="(blank)"),"",VLOOKUP($B3279,'Email Marketing Raw Data'!$C:$O,8,0)),"")</f>
        <v/>
      </c>
      <c r="Q3279" s="62" t="str">
        <f>IFERROR(IF(OR($B3279="",$B3279="(blank)"),"",VLOOKUP($B3279,'Email Marketing Raw Data'!$C:$O,9,0)),"")</f>
        <v/>
      </c>
    </row>
    <row r="3280" spans="4:17" ht="12.75" customHeight="1" x14ac:dyDescent="0.2">
      <c r="D3280" s="58" t="str">
        <f>IFERROR(IF(F3280&lt;&gt;"pending","",IF(OR($B3280="",$B3280="(blank)"),"",VLOOKUP($B3280,'Email Marketing Raw Data'!$C:$O,10,0))),"")</f>
        <v/>
      </c>
      <c r="E3280" s="59" t="str">
        <f>IFERROR(IF(F3280&lt;&gt;"pending","",IF(OR($B3280="",$B3280="(blank)"),"",VLOOKUP($B3280,'Email Marketing Raw Data'!$C:$O,11,0))),"")</f>
        <v/>
      </c>
      <c r="F3280" s="54" t="str">
        <f>IFERROR(IF(OR($B3280="",$B3280="(blank)"),"",VLOOKUP($B3280,'Email Marketing Raw Data'!$C:$O,13,0)),"")</f>
        <v/>
      </c>
      <c r="G3280" s="55" t="str">
        <f>IFERROR(IF(OR($B3280="",$B3280="(blank)"),"",VLOOKUP($B3280,'Email Marketing Raw Data'!$C:$O,4,0)),"")</f>
        <v/>
      </c>
      <c r="H3280" s="55" t="str">
        <f>IFERROR(IF(OR($B3280="",$B3280="(blank)"),"",VLOOKUP($B3280,'Email Marketing Raw Data'!$C:$O,5,0)),"")</f>
        <v/>
      </c>
      <c r="I3280" s="55" t="str">
        <f>IFERROR(IF($G3280="","",VLOOKUP('Dashboard And Emails Automate'!$G3280,Database!$H:$N,3,0)),"")</f>
        <v/>
      </c>
      <c r="J3280" s="55" t="str">
        <f>IFERROR(IF($G3280="","",VLOOKUP('Dashboard And Emails Automate'!$G3280,Database!$H:$N,4,0)),"")</f>
        <v/>
      </c>
      <c r="K3280" s="55" t="str">
        <f>IFERROR(IF($G3280="","",VLOOKUP('Dashboard And Emails Automate'!$G3280,Database!$H:$N,5,0)),"")</f>
        <v/>
      </c>
      <c r="L3280" s="55" t="str">
        <f>IFERROR(IF($G3280="","",VLOOKUP('Dashboard And Emails Automate'!$G3280,Database!$H:$N,6,0)),"")</f>
        <v/>
      </c>
      <c r="M3280" s="55" t="str">
        <f>IFERROR(IF($G3280="","",VLOOKUP('Dashboard And Emails Automate'!$G3280,Database!$H:$N,7,0)),"")</f>
        <v/>
      </c>
      <c r="N3280" s="55" t="str">
        <f>IFERROR(IF(OR($B3280="",$B3280="(blank)"),"",VLOOKUP($B3280,'Email Marketing Raw Data'!$C:$O,6,0)),"")</f>
        <v/>
      </c>
      <c r="O3280" s="55" t="str">
        <f>IFERROR(IF(OR($B3280="",$B3280="(blank)"),"",VLOOKUP($B3280,'Email Marketing Raw Data'!$C:$O,7,0)),"")</f>
        <v/>
      </c>
      <c r="P3280" s="55" t="str">
        <f>IFERROR(IF(OR($B3280="",$B3280="(blank)"),"",VLOOKUP($B3280,'Email Marketing Raw Data'!$C:$O,8,0)),"")</f>
        <v/>
      </c>
      <c r="Q3280" s="62" t="str">
        <f>IFERROR(IF(OR($B3280="",$B3280="(blank)"),"",VLOOKUP($B3280,'Email Marketing Raw Data'!$C:$O,9,0)),"")</f>
        <v/>
      </c>
    </row>
    <row r="3281" spans="4:17" ht="12.75" customHeight="1" x14ac:dyDescent="0.2">
      <c r="D3281" s="58" t="str">
        <f>IFERROR(IF(F3281&lt;&gt;"pending","",IF(OR($B3281="",$B3281="(blank)"),"",VLOOKUP($B3281,'Email Marketing Raw Data'!$C:$O,10,0))),"")</f>
        <v/>
      </c>
      <c r="E3281" s="59" t="str">
        <f>IFERROR(IF(F3281&lt;&gt;"pending","",IF(OR($B3281="",$B3281="(blank)"),"",VLOOKUP($B3281,'Email Marketing Raw Data'!$C:$O,11,0))),"")</f>
        <v/>
      </c>
      <c r="F3281" s="54" t="str">
        <f>IFERROR(IF(OR($B3281="",$B3281="(blank)"),"",VLOOKUP($B3281,'Email Marketing Raw Data'!$C:$O,13,0)),"")</f>
        <v/>
      </c>
      <c r="G3281" s="55" t="str">
        <f>IFERROR(IF(OR($B3281="",$B3281="(blank)"),"",VLOOKUP($B3281,'Email Marketing Raw Data'!$C:$O,4,0)),"")</f>
        <v/>
      </c>
      <c r="H3281" s="55" t="str">
        <f>IFERROR(IF(OR($B3281="",$B3281="(blank)"),"",VLOOKUP($B3281,'Email Marketing Raw Data'!$C:$O,5,0)),"")</f>
        <v/>
      </c>
      <c r="I3281" s="55" t="str">
        <f>IFERROR(IF($G3281="","",VLOOKUP('Dashboard And Emails Automate'!$G3281,Database!$H:$N,3,0)),"")</f>
        <v/>
      </c>
      <c r="J3281" s="55" t="str">
        <f>IFERROR(IF($G3281="","",VLOOKUP('Dashboard And Emails Automate'!$G3281,Database!$H:$N,4,0)),"")</f>
        <v/>
      </c>
      <c r="K3281" s="55" t="str">
        <f>IFERROR(IF($G3281="","",VLOOKUP('Dashboard And Emails Automate'!$G3281,Database!$H:$N,5,0)),"")</f>
        <v/>
      </c>
      <c r="L3281" s="55" t="str">
        <f>IFERROR(IF($G3281="","",VLOOKUP('Dashboard And Emails Automate'!$G3281,Database!$H:$N,6,0)),"")</f>
        <v/>
      </c>
      <c r="M3281" s="55" t="str">
        <f>IFERROR(IF($G3281="","",VLOOKUP('Dashboard And Emails Automate'!$G3281,Database!$H:$N,7,0)),"")</f>
        <v/>
      </c>
      <c r="N3281" s="55" t="str">
        <f>IFERROR(IF(OR($B3281="",$B3281="(blank)"),"",VLOOKUP($B3281,'Email Marketing Raw Data'!$C:$O,6,0)),"")</f>
        <v/>
      </c>
      <c r="O3281" s="55" t="str">
        <f>IFERROR(IF(OR($B3281="",$B3281="(blank)"),"",VLOOKUP($B3281,'Email Marketing Raw Data'!$C:$O,7,0)),"")</f>
        <v/>
      </c>
      <c r="P3281" s="55" t="str">
        <f>IFERROR(IF(OR($B3281="",$B3281="(blank)"),"",VLOOKUP($B3281,'Email Marketing Raw Data'!$C:$O,8,0)),"")</f>
        <v/>
      </c>
      <c r="Q3281" s="62" t="str">
        <f>IFERROR(IF(OR($B3281="",$B3281="(blank)"),"",VLOOKUP($B3281,'Email Marketing Raw Data'!$C:$O,9,0)),"")</f>
        <v/>
      </c>
    </row>
    <row r="3282" spans="4:17" ht="12.75" customHeight="1" x14ac:dyDescent="0.2">
      <c r="D3282" s="58" t="str">
        <f>IFERROR(IF(F3282&lt;&gt;"pending","",IF(OR($B3282="",$B3282="(blank)"),"",VLOOKUP($B3282,'Email Marketing Raw Data'!$C:$O,10,0))),"")</f>
        <v/>
      </c>
      <c r="E3282" s="59" t="str">
        <f>IFERROR(IF(F3282&lt;&gt;"pending","",IF(OR($B3282="",$B3282="(blank)"),"",VLOOKUP($B3282,'Email Marketing Raw Data'!$C:$O,11,0))),"")</f>
        <v/>
      </c>
      <c r="F3282" s="54" t="str">
        <f>IFERROR(IF(OR($B3282="",$B3282="(blank)"),"",VLOOKUP($B3282,'Email Marketing Raw Data'!$C:$O,13,0)),"")</f>
        <v/>
      </c>
      <c r="G3282" s="55" t="str">
        <f>IFERROR(IF(OR($B3282="",$B3282="(blank)"),"",VLOOKUP($B3282,'Email Marketing Raw Data'!$C:$O,4,0)),"")</f>
        <v/>
      </c>
      <c r="H3282" s="55" t="str">
        <f>IFERROR(IF(OR($B3282="",$B3282="(blank)"),"",VLOOKUP($B3282,'Email Marketing Raw Data'!$C:$O,5,0)),"")</f>
        <v/>
      </c>
      <c r="I3282" s="55" t="str">
        <f>IFERROR(IF($G3282="","",VLOOKUP('Dashboard And Emails Automate'!$G3282,Database!$H:$N,3,0)),"")</f>
        <v/>
      </c>
      <c r="J3282" s="55" t="str">
        <f>IFERROR(IF($G3282="","",VLOOKUP('Dashboard And Emails Automate'!$G3282,Database!$H:$N,4,0)),"")</f>
        <v/>
      </c>
      <c r="K3282" s="55" t="str">
        <f>IFERROR(IF($G3282="","",VLOOKUP('Dashboard And Emails Automate'!$G3282,Database!$H:$N,5,0)),"")</f>
        <v/>
      </c>
      <c r="L3282" s="55" t="str">
        <f>IFERROR(IF($G3282="","",VLOOKUP('Dashboard And Emails Automate'!$G3282,Database!$H:$N,6,0)),"")</f>
        <v/>
      </c>
      <c r="M3282" s="55" t="str">
        <f>IFERROR(IF($G3282="","",VLOOKUP('Dashboard And Emails Automate'!$G3282,Database!$H:$N,7,0)),"")</f>
        <v/>
      </c>
      <c r="N3282" s="55" t="str">
        <f>IFERROR(IF(OR($B3282="",$B3282="(blank)"),"",VLOOKUP($B3282,'Email Marketing Raw Data'!$C:$O,6,0)),"")</f>
        <v/>
      </c>
      <c r="O3282" s="55" t="str">
        <f>IFERROR(IF(OR($B3282="",$B3282="(blank)"),"",VLOOKUP($B3282,'Email Marketing Raw Data'!$C:$O,7,0)),"")</f>
        <v/>
      </c>
      <c r="P3282" s="55" t="str">
        <f>IFERROR(IF(OR($B3282="",$B3282="(blank)"),"",VLOOKUP($B3282,'Email Marketing Raw Data'!$C:$O,8,0)),"")</f>
        <v/>
      </c>
      <c r="Q3282" s="62" t="str">
        <f>IFERROR(IF(OR($B3282="",$B3282="(blank)"),"",VLOOKUP($B3282,'Email Marketing Raw Data'!$C:$O,9,0)),"")</f>
        <v/>
      </c>
    </row>
    <row r="3283" spans="4:17" ht="12.75" customHeight="1" x14ac:dyDescent="0.2">
      <c r="D3283" s="58" t="str">
        <f>IFERROR(IF(F3283&lt;&gt;"pending","",IF(OR($B3283="",$B3283="(blank)"),"",VLOOKUP($B3283,'Email Marketing Raw Data'!$C:$O,10,0))),"")</f>
        <v/>
      </c>
      <c r="E3283" s="59" t="str">
        <f>IFERROR(IF(F3283&lt;&gt;"pending","",IF(OR($B3283="",$B3283="(blank)"),"",VLOOKUP($B3283,'Email Marketing Raw Data'!$C:$O,11,0))),"")</f>
        <v/>
      </c>
      <c r="F3283" s="54" t="str">
        <f>IFERROR(IF(OR($B3283="",$B3283="(blank)"),"",VLOOKUP($B3283,'Email Marketing Raw Data'!$C:$O,13,0)),"")</f>
        <v/>
      </c>
      <c r="G3283" s="55" t="str">
        <f>IFERROR(IF(OR($B3283="",$B3283="(blank)"),"",VLOOKUP($B3283,'Email Marketing Raw Data'!$C:$O,4,0)),"")</f>
        <v/>
      </c>
      <c r="H3283" s="55" t="str">
        <f>IFERROR(IF(OR($B3283="",$B3283="(blank)"),"",VLOOKUP($B3283,'Email Marketing Raw Data'!$C:$O,5,0)),"")</f>
        <v/>
      </c>
      <c r="I3283" s="55" t="str">
        <f>IFERROR(IF($G3283="","",VLOOKUP('Dashboard And Emails Automate'!$G3283,Database!$H:$N,3,0)),"")</f>
        <v/>
      </c>
      <c r="J3283" s="55" t="str">
        <f>IFERROR(IF($G3283="","",VLOOKUP('Dashboard And Emails Automate'!$G3283,Database!$H:$N,4,0)),"")</f>
        <v/>
      </c>
      <c r="K3283" s="55" t="str">
        <f>IFERROR(IF($G3283="","",VLOOKUP('Dashboard And Emails Automate'!$G3283,Database!$H:$N,5,0)),"")</f>
        <v/>
      </c>
      <c r="L3283" s="55" t="str">
        <f>IFERROR(IF($G3283="","",VLOOKUP('Dashboard And Emails Automate'!$G3283,Database!$H:$N,6,0)),"")</f>
        <v/>
      </c>
      <c r="M3283" s="55" t="str">
        <f>IFERROR(IF($G3283="","",VLOOKUP('Dashboard And Emails Automate'!$G3283,Database!$H:$N,7,0)),"")</f>
        <v/>
      </c>
      <c r="N3283" s="55" t="str">
        <f>IFERROR(IF(OR($B3283="",$B3283="(blank)"),"",VLOOKUP($B3283,'Email Marketing Raw Data'!$C:$O,6,0)),"")</f>
        <v/>
      </c>
      <c r="O3283" s="55" t="str">
        <f>IFERROR(IF(OR($B3283="",$B3283="(blank)"),"",VLOOKUP($B3283,'Email Marketing Raw Data'!$C:$O,7,0)),"")</f>
        <v/>
      </c>
      <c r="P3283" s="55" t="str">
        <f>IFERROR(IF(OR($B3283="",$B3283="(blank)"),"",VLOOKUP($B3283,'Email Marketing Raw Data'!$C:$O,8,0)),"")</f>
        <v/>
      </c>
      <c r="Q3283" s="62" t="str">
        <f>IFERROR(IF(OR($B3283="",$B3283="(blank)"),"",VLOOKUP($B3283,'Email Marketing Raw Data'!$C:$O,9,0)),"")</f>
        <v/>
      </c>
    </row>
    <row r="3284" spans="4:17" ht="12.75" customHeight="1" x14ac:dyDescent="0.2">
      <c r="D3284" s="58" t="str">
        <f>IFERROR(IF(F3284&lt;&gt;"pending","",IF(OR($B3284="",$B3284="(blank)"),"",VLOOKUP($B3284,'Email Marketing Raw Data'!$C:$O,10,0))),"")</f>
        <v/>
      </c>
      <c r="E3284" s="59" t="str">
        <f>IFERROR(IF(F3284&lt;&gt;"pending","",IF(OR($B3284="",$B3284="(blank)"),"",VLOOKUP($B3284,'Email Marketing Raw Data'!$C:$O,11,0))),"")</f>
        <v/>
      </c>
      <c r="F3284" s="54" t="str">
        <f>IFERROR(IF(OR($B3284="",$B3284="(blank)"),"",VLOOKUP($B3284,'Email Marketing Raw Data'!$C:$O,13,0)),"")</f>
        <v/>
      </c>
      <c r="G3284" s="55" t="str">
        <f>IFERROR(IF(OR($B3284="",$B3284="(blank)"),"",VLOOKUP($B3284,'Email Marketing Raw Data'!$C:$O,4,0)),"")</f>
        <v/>
      </c>
      <c r="H3284" s="55" t="str">
        <f>IFERROR(IF(OR($B3284="",$B3284="(blank)"),"",VLOOKUP($B3284,'Email Marketing Raw Data'!$C:$O,5,0)),"")</f>
        <v/>
      </c>
      <c r="I3284" s="55" t="str">
        <f>IFERROR(IF($G3284="","",VLOOKUP('Dashboard And Emails Automate'!$G3284,Database!$H:$N,3,0)),"")</f>
        <v/>
      </c>
      <c r="J3284" s="55" t="str">
        <f>IFERROR(IF($G3284="","",VLOOKUP('Dashboard And Emails Automate'!$G3284,Database!$H:$N,4,0)),"")</f>
        <v/>
      </c>
      <c r="K3284" s="55" t="str">
        <f>IFERROR(IF($G3284="","",VLOOKUP('Dashboard And Emails Automate'!$G3284,Database!$H:$N,5,0)),"")</f>
        <v/>
      </c>
      <c r="L3284" s="55" t="str">
        <f>IFERROR(IF($G3284="","",VLOOKUP('Dashboard And Emails Automate'!$G3284,Database!$H:$N,6,0)),"")</f>
        <v/>
      </c>
      <c r="M3284" s="55" t="str">
        <f>IFERROR(IF($G3284="","",VLOOKUP('Dashboard And Emails Automate'!$G3284,Database!$H:$N,7,0)),"")</f>
        <v/>
      </c>
      <c r="N3284" s="55" t="str">
        <f>IFERROR(IF(OR($B3284="",$B3284="(blank)"),"",VLOOKUP($B3284,'Email Marketing Raw Data'!$C:$O,6,0)),"")</f>
        <v/>
      </c>
      <c r="O3284" s="55" t="str">
        <f>IFERROR(IF(OR($B3284="",$B3284="(blank)"),"",VLOOKUP($B3284,'Email Marketing Raw Data'!$C:$O,7,0)),"")</f>
        <v/>
      </c>
      <c r="P3284" s="55" t="str">
        <f>IFERROR(IF(OR($B3284="",$B3284="(blank)"),"",VLOOKUP($B3284,'Email Marketing Raw Data'!$C:$O,8,0)),"")</f>
        <v/>
      </c>
      <c r="Q3284" s="62" t="str">
        <f>IFERROR(IF(OR($B3284="",$B3284="(blank)"),"",VLOOKUP($B3284,'Email Marketing Raw Data'!$C:$O,9,0)),"")</f>
        <v/>
      </c>
    </row>
    <row r="3285" spans="4:17" ht="12.75" customHeight="1" x14ac:dyDescent="0.2">
      <c r="D3285" s="58" t="str">
        <f>IFERROR(IF(F3285&lt;&gt;"pending","",IF(OR($B3285="",$B3285="(blank)"),"",VLOOKUP($B3285,'Email Marketing Raw Data'!$C:$O,10,0))),"")</f>
        <v/>
      </c>
      <c r="E3285" s="59" t="str">
        <f>IFERROR(IF(F3285&lt;&gt;"pending","",IF(OR($B3285="",$B3285="(blank)"),"",VLOOKUP($B3285,'Email Marketing Raw Data'!$C:$O,11,0))),"")</f>
        <v/>
      </c>
      <c r="F3285" s="54" t="str">
        <f>IFERROR(IF(OR($B3285="",$B3285="(blank)"),"",VLOOKUP($B3285,'Email Marketing Raw Data'!$C:$O,13,0)),"")</f>
        <v/>
      </c>
      <c r="G3285" s="55" t="str">
        <f>IFERROR(IF(OR($B3285="",$B3285="(blank)"),"",VLOOKUP($B3285,'Email Marketing Raw Data'!$C:$O,4,0)),"")</f>
        <v/>
      </c>
      <c r="H3285" s="55" t="str">
        <f>IFERROR(IF(OR($B3285="",$B3285="(blank)"),"",VLOOKUP($B3285,'Email Marketing Raw Data'!$C:$O,5,0)),"")</f>
        <v/>
      </c>
      <c r="I3285" s="55" t="str">
        <f>IFERROR(IF($G3285="","",VLOOKUP('Dashboard And Emails Automate'!$G3285,Database!$H:$N,3,0)),"")</f>
        <v/>
      </c>
      <c r="J3285" s="55" t="str">
        <f>IFERROR(IF($G3285="","",VLOOKUP('Dashboard And Emails Automate'!$G3285,Database!$H:$N,4,0)),"")</f>
        <v/>
      </c>
      <c r="K3285" s="55" t="str">
        <f>IFERROR(IF($G3285="","",VLOOKUP('Dashboard And Emails Automate'!$G3285,Database!$H:$N,5,0)),"")</f>
        <v/>
      </c>
      <c r="L3285" s="55" t="str">
        <f>IFERROR(IF($G3285="","",VLOOKUP('Dashboard And Emails Automate'!$G3285,Database!$H:$N,6,0)),"")</f>
        <v/>
      </c>
      <c r="M3285" s="55" t="str">
        <f>IFERROR(IF($G3285="","",VLOOKUP('Dashboard And Emails Automate'!$G3285,Database!$H:$N,7,0)),"")</f>
        <v/>
      </c>
      <c r="N3285" s="55" t="str">
        <f>IFERROR(IF(OR($B3285="",$B3285="(blank)"),"",VLOOKUP($B3285,'Email Marketing Raw Data'!$C:$O,6,0)),"")</f>
        <v/>
      </c>
      <c r="O3285" s="55" t="str">
        <f>IFERROR(IF(OR($B3285="",$B3285="(blank)"),"",VLOOKUP($B3285,'Email Marketing Raw Data'!$C:$O,7,0)),"")</f>
        <v/>
      </c>
      <c r="P3285" s="55" t="str">
        <f>IFERROR(IF(OR($B3285="",$B3285="(blank)"),"",VLOOKUP($B3285,'Email Marketing Raw Data'!$C:$O,8,0)),"")</f>
        <v/>
      </c>
      <c r="Q3285" s="62" t="str">
        <f>IFERROR(IF(OR($B3285="",$B3285="(blank)"),"",VLOOKUP($B3285,'Email Marketing Raw Data'!$C:$O,9,0)),"")</f>
        <v/>
      </c>
    </row>
    <row r="3286" spans="4:17" ht="12.75" customHeight="1" x14ac:dyDescent="0.2">
      <c r="D3286" s="58" t="str">
        <f>IFERROR(IF(F3286&lt;&gt;"pending","",IF(OR($B3286="",$B3286="(blank)"),"",VLOOKUP($B3286,'Email Marketing Raw Data'!$C:$O,10,0))),"")</f>
        <v/>
      </c>
      <c r="E3286" s="59" t="str">
        <f>IFERROR(IF(F3286&lt;&gt;"pending","",IF(OR($B3286="",$B3286="(blank)"),"",VLOOKUP($B3286,'Email Marketing Raw Data'!$C:$O,11,0))),"")</f>
        <v/>
      </c>
      <c r="F3286" s="54" t="str">
        <f>IFERROR(IF(OR($B3286="",$B3286="(blank)"),"",VLOOKUP($B3286,'Email Marketing Raw Data'!$C:$O,13,0)),"")</f>
        <v/>
      </c>
      <c r="G3286" s="55" t="str">
        <f>IFERROR(IF(OR($B3286="",$B3286="(blank)"),"",VLOOKUP($B3286,'Email Marketing Raw Data'!$C:$O,4,0)),"")</f>
        <v/>
      </c>
      <c r="H3286" s="55" t="str">
        <f>IFERROR(IF(OR($B3286="",$B3286="(blank)"),"",VLOOKUP($B3286,'Email Marketing Raw Data'!$C:$O,5,0)),"")</f>
        <v/>
      </c>
      <c r="I3286" s="55" t="str">
        <f>IFERROR(IF($G3286="","",VLOOKUP('Dashboard And Emails Automate'!$G3286,Database!$H:$N,3,0)),"")</f>
        <v/>
      </c>
      <c r="J3286" s="55" t="str">
        <f>IFERROR(IF($G3286="","",VLOOKUP('Dashboard And Emails Automate'!$G3286,Database!$H:$N,4,0)),"")</f>
        <v/>
      </c>
      <c r="K3286" s="55" t="str">
        <f>IFERROR(IF($G3286="","",VLOOKUP('Dashboard And Emails Automate'!$G3286,Database!$H:$N,5,0)),"")</f>
        <v/>
      </c>
      <c r="L3286" s="55" t="str">
        <f>IFERROR(IF($G3286="","",VLOOKUP('Dashboard And Emails Automate'!$G3286,Database!$H:$N,6,0)),"")</f>
        <v/>
      </c>
      <c r="M3286" s="55" t="str">
        <f>IFERROR(IF($G3286="","",VLOOKUP('Dashboard And Emails Automate'!$G3286,Database!$H:$N,7,0)),"")</f>
        <v/>
      </c>
      <c r="N3286" s="55" t="str">
        <f>IFERROR(IF(OR($B3286="",$B3286="(blank)"),"",VLOOKUP($B3286,'Email Marketing Raw Data'!$C:$O,6,0)),"")</f>
        <v/>
      </c>
      <c r="O3286" s="55" t="str">
        <f>IFERROR(IF(OR($B3286="",$B3286="(blank)"),"",VLOOKUP($B3286,'Email Marketing Raw Data'!$C:$O,7,0)),"")</f>
        <v/>
      </c>
      <c r="P3286" s="55" t="str">
        <f>IFERROR(IF(OR($B3286="",$B3286="(blank)"),"",VLOOKUP($B3286,'Email Marketing Raw Data'!$C:$O,8,0)),"")</f>
        <v/>
      </c>
      <c r="Q3286" s="62" t="str">
        <f>IFERROR(IF(OR($B3286="",$B3286="(blank)"),"",VLOOKUP($B3286,'Email Marketing Raw Data'!$C:$O,9,0)),"")</f>
        <v/>
      </c>
    </row>
    <row r="3287" spans="4:17" ht="12.75" customHeight="1" x14ac:dyDescent="0.2">
      <c r="D3287" s="58" t="str">
        <f>IFERROR(IF(F3287&lt;&gt;"pending","",IF(OR($B3287="",$B3287="(blank)"),"",VLOOKUP($B3287,'Email Marketing Raw Data'!$C:$O,10,0))),"")</f>
        <v/>
      </c>
      <c r="E3287" s="59" t="str">
        <f>IFERROR(IF(F3287&lt;&gt;"pending","",IF(OR($B3287="",$B3287="(blank)"),"",VLOOKUP($B3287,'Email Marketing Raw Data'!$C:$O,11,0))),"")</f>
        <v/>
      </c>
      <c r="F3287" s="54" t="str">
        <f>IFERROR(IF(OR($B3287="",$B3287="(blank)"),"",VLOOKUP($B3287,'Email Marketing Raw Data'!$C:$O,13,0)),"")</f>
        <v/>
      </c>
      <c r="G3287" s="55" t="str">
        <f>IFERROR(IF(OR($B3287="",$B3287="(blank)"),"",VLOOKUP($B3287,'Email Marketing Raw Data'!$C:$O,4,0)),"")</f>
        <v/>
      </c>
      <c r="H3287" s="55" t="str">
        <f>IFERROR(IF(OR($B3287="",$B3287="(blank)"),"",VLOOKUP($B3287,'Email Marketing Raw Data'!$C:$O,5,0)),"")</f>
        <v/>
      </c>
      <c r="I3287" s="55" t="str">
        <f>IFERROR(IF($G3287="","",VLOOKUP('Dashboard And Emails Automate'!$G3287,Database!$H:$N,3,0)),"")</f>
        <v/>
      </c>
      <c r="J3287" s="55" t="str">
        <f>IFERROR(IF($G3287="","",VLOOKUP('Dashboard And Emails Automate'!$G3287,Database!$H:$N,4,0)),"")</f>
        <v/>
      </c>
      <c r="K3287" s="55" t="str">
        <f>IFERROR(IF($G3287="","",VLOOKUP('Dashboard And Emails Automate'!$G3287,Database!$H:$N,5,0)),"")</f>
        <v/>
      </c>
      <c r="L3287" s="55" t="str">
        <f>IFERROR(IF($G3287="","",VLOOKUP('Dashboard And Emails Automate'!$G3287,Database!$H:$N,6,0)),"")</f>
        <v/>
      </c>
      <c r="M3287" s="55" t="str">
        <f>IFERROR(IF($G3287="","",VLOOKUP('Dashboard And Emails Automate'!$G3287,Database!$H:$N,7,0)),"")</f>
        <v/>
      </c>
      <c r="N3287" s="55" t="str">
        <f>IFERROR(IF(OR($B3287="",$B3287="(blank)"),"",VLOOKUP($B3287,'Email Marketing Raw Data'!$C:$O,6,0)),"")</f>
        <v/>
      </c>
      <c r="O3287" s="55" t="str">
        <f>IFERROR(IF(OR($B3287="",$B3287="(blank)"),"",VLOOKUP($B3287,'Email Marketing Raw Data'!$C:$O,7,0)),"")</f>
        <v/>
      </c>
      <c r="P3287" s="55" t="str">
        <f>IFERROR(IF(OR($B3287="",$B3287="(blank)"),"",VLOOKUP($B3287,'Email Marketing Raw Data'!$C:$O,8,0)),"")</f>
        <v/>
      </c>
      <c r="Q3287" s="62" t="str">
        <f>IFERROR(IF(OR($B3287="",$B3287="(blank)"),"",VLOOKUP($B3287,'Email Marketing Raw Data'!$C:$O,9,0)),"")</f>
        <v/>
      </c>
    </row>
    <row r="3288" spans="4:17" ht="12.75" customHeight="1" x14ac:dyDescent="0.2">
      <c r="D3288" s="58" t="str">
        <f>IFERROR(IF(F3288&lt;&gt;"pending","",IF(OR($B3288="",$B3288="(blank)"),"",VLOOKUP($B3288,'Email Marketing Raw Data'!$C:$O,10,0))),"")</f>
        <v/>
      </c>
      <c r="E3288" s="59" t="str">
        <f>IFERROR(IF(F3288&lt;&gt;"pending","",IF(OR($B3288="",$B3288="(blank)"),"",VLOOKUP($B3288,'Email Marketing Raw Data'!$C:$O,11,0))),"")</f>
        <v/>
      </c>
      <c r="F3288" s="54" t="str">
        <f>IFERROR(IF(OR($B3288="",$B3288="(blank)"),"",VLOOKUP($B3288,'Email Marketing Raw Data'!$C:$O,13,0)),"")</f>
        <v/>
      </c>
      <c r="G3288" s="55" t="str">
        <f>IFERROR(IF(OR($B3288="",$B3288="(blank)"),"",VLOOKUP($B3288,'Email Marketing Raw Data'!$C:$O,4,0)),"")</f>
        <v/>
      </c>
      <c r="H3288" s="55" t="str">
        <f>IFERROR(IF(OR($B3288="",$B3288="(blank)"),"",VLOOKUP($B3288,'Email Marketing Raw Data'!$C:$O,5,0)),"")</f>
        <v/>
      </c>
      <c r="I3288" s="55" t="str">
        <f>IFERROR(IF($G3288="","",VLOOKUP('Dashboard And Emails Automate'!$G3288,Database!$H:$N,3,0)),"")</f>
        <v/>
      </c>
      <c r="J3288" s="55" t="str">
        <f>IFERROR(IF($G3288="","",VLOOKUP('Dashboard And Emails Automate'!$G3288,Database!$H:$N,4,0)),"")</f>
        <v/>
      </c>
      <c r="K3288" s="55" t="str">
        <f>IFERROR(IF($G3288="","",VLOOKUP('Dashboard And Emails Automate'!$G3288,Database!$H:$N,5,0)),"")</f>
        <v/>
      </c>
      <c r="L3288" s="55" t="str">
        <f>IFERROR(IF($G3288="","",VLOOKUP('Dashboard And Emails Automate'!$G3288,Database!$H:$N,6,0)),"")</f>
        <v/>
      </c>
      <c r="M3288" s="55" t="str">
        <f>IFERROR(IF($G3288="","",VLOOKUP('Dashboard And Emails Automate'!$G3288,Database!$H:$N,7,0)),"")</f>
        <v/>
      </c>
      <c r="N3288" s="55" t="str">
        <f>IFERROR(IF(OR($B3288="",$B3288="(blank)"),"",VLOOKUP($B3288,'Email Marketing Raw Data'!$C:$O,6,0)),"")</f>
        <v/>
      </c>
      <c r="O3288" s="55" t="str">
        <f>IFERROR(IF(OR($B3288="",$B3288="(blank)"),"",VLOOKUP($B3288,'Email Marketing Raw Data'!$C:$O,7,0)),"")</f>
        <v/>
      </c>
      <c r="P3288" s="55" t="str">
        <f>IFERROR(IF(OR($B3288="",$B3288="(blank)"),"",VLOOKUP($B3288,'Email Marketing Raw Data'!$C:$O,8,0)),"")</f>
        <v/>
      </c>
      <c r="Q3288" s="62" t="str">
        <f>IFERROR(IF(OR($B3288="",$B3288="(blank)"),"",VLOOKUP($B3288,'Email Marketing Raw Data'!$C:$O,9,0)),"")</f>
        <v/>
      </c>
    </row>
    <row r="3289" spans="4:17" ht="12.75" customHeight="1" x14ac:dyDescent="0.2">
      <c r="D3289" s="58" t="str">
        <f>IFERROR(IF(F3289&lt;&gt;"pending","",IF(OR($B3289="",$B3289="(blank)"),"",VLOOKUP($B3289,'Email Marketing Raw Data'!$C:$O,10,0))),"")</f>
        <v/>
      </c>
      <c r="E3289" s="59" t="str">
        <f>IFERROR(IF(F3289&lt;&gt;"pending","",IF(OR($B3289="",$B3289="(blank)"),"",VLOOKUP($B3289,'Email Marketing Raw Data'!$C:$O,11,0))),"")</f>
        <v/>
      </c>
      <c r="F3289" s="54" t="str">
        <f>IFERROR(IF(OR($B3289="",$B3289="(blank)"),"",VLOOKUP($B3289,'Email Marketing Raw Data'!$C:$O,13,0)),"")</f>
        <v/>
      </c>
      <c r="G3289" s="55" t="str">
        <f>IFERROR(IF(OR($B3289="",$B3289="(blank)"),"",VLOOKUP($B3289,'Email Marketing Raw Data'!$C:$O,4,0)),"")</f>
        <v/>
      </c>
      <c r="H3289" s="55" t="str">
        <f>IFERROR(IF(OR($B3289="",$B3289="(blank)"),"",VLOOKUP($B3289,'Email Marketing Raw Data'!$C:$O,5,0)),"")</f>
        <v/>
      </c>
      <c r="I3289" s="55" t="str">
        <f>IFERROR(IF($G3289="","",VLOOKUP('Dashboard And Emails Automate'!$G3289,Database!$H:$N,3,0)),"")</f>
        <v/>
      </c>
      <c r="J3289" s="55" t="str">
        <f>IFERROR(IF($G3289="","",VLOOKUP('Dashboard And Emails Automate'!$G3289,Database!$H:$N,4,0)),"")</f>
        <v/>
      </c>
      <c r="K3289" s="55" t="str">
        <f>IFERROR(IF($G3289="","",VLOOKUP('Dashboard And Emails Automate'!$G3289,Database!$H:$N,5,0)),"")</f>
        <v/>
      </c>
      <c r="L3289" s="55" t="str">
        <f>IFERROR(IF($G3289="","",VLOOKUP('Dashboard And Emails Automate'!$G3289,Database!$H:$N,6,0)),"")</f>
        <v/>
      </c>
      <c r="M3289" s="55" t="str">
        <f>IFERROR(IF($G3289="","",VLOOKUP('Dashboard And Emails Automate'!$G3289,Database!$H:$N,7,0)),"")</f>
        <v/>
      </c>
      <c r="N3289" s="55" t="str">
        <f>IFERROR(IF(OR($B3289="",$B3289="(blank)"),"",VLOOKUP($B3289,'Email Marketing Raw Data'!$C:$O,6,0)),"")</f>
        <v/>
      </c>
      <c r="O3289" s="55" t="str">
        <f>IFERROR(IF(OR($B3289="",$B3289="(blank)"),"",VLOOKUP($B3289,'Email Marketing Raw Data'!$C:$O,7,0)),"")</f>
        <v/>
      </c>
      <c r="P3289" s="55" t="str">
        <f>IFERROR(IF(OR($B3289="",$B3289="(blank)"),"",VLOOKUP($B3289,'Email Marketing Raw Data'!$C:$O,8,0)),"")</f>
        <v/>
      </c>
      <c r="Q3289" s="62" t="str">
        <f>IFERROR(IF(OR($B3289="",$B3289="(blank)"),"",VLOOKUP($B3289,'Email Marketing Raw Data'!$C:$O,9,0)),"")</f>
        <v/>
      </c>
    </row>
    <row r="3290" spans="4:17" ht="12.75" customHeight="1" x14ac:dyDescent="0.2">
      <c r="D3290" s="58" t="str">
        <f>IFERROR(IF(F3290&lt;&gt;"pending","",IF(OR($B3290="",$B3290="(blank)"),"",VLOOKUP($B3290,'Email Marketing Raw Data'!$C:$O,10,0))),"")</f>
        <v/>
      </c>
      <c r="E3290" s="59" t="str">
        <f>IFERROR(IF(F3290&lt;&gt;"pending","",IF(OR($B3290="",$B3290="(blank)"),"",VLOOKUP($B3290,'Email Marketing Raw Data'!$C:$O,11,0))),"")</f>
        <v/>
      </c>
      <c r="F3290" s="54" t="str">
        <f>IFERROR(IF(OR($B3290="",$B3290="(blank)"),"",VLOOKUP($B3290,'Email Marketing Raw Data'!$C:$O,13,0)),"")</f>
        <v/>
      </c>
      <c r="G3290" s="55" t="str">
        <f>IFERROR(IF(OR($B3290="",$B3290="(blank)"),"",VLOOKUP($B3290,'Email Marketing Raw Data'!$C:$O,4,0)),"")</f>
        <v/>
      </c>
      <c r="H3290" s="55" t="str">
        <f>IFERROR(IF(OR($B3290="",$B3290="(blank)"),"",VLOOKUP($B3290,'Email Marketing Raw Data'!$C:$O,5,0)),"")</f>
        <v/>
      </c>
      <c r="I3290" s="55" t="str">
        <f>IFERROR(IF($G3290="","",VLOOKUP('Dashboard And Emails Automate'!$G3290,Database!$H:$N,3,0)),"")</f>
        <v/>
      </c>
      <c r="J3290" s="55" t="str">
        <f>IFERROR(IF($G3290="","",VLOOKUP('Dashboard And Emails Automate'!$G3290,Database!$H:$N,4,0)),"")</f>
        <v/>
      </c>
      <c r="K3290" s="55" t="str">
        <f>IFERROR(IF($G3290="","",VLOOKUP('Dashboard And Emails Automate'!$G3290,Database!$H:$N,5,0)),"")</f>
        <v/>
      </c>
      <c r="L3290" s="55" t="str">
        <f>IFERROR(IF($G3290="","",VLOOKUP('Dashboard And Emails Automate'!$G3290,Database!$H:$N,6,0)),"")</f>
        <v/>
      </c>
      <c r="M3290" s="55" t="str">
        <f>IFERROR(IF($G3290="","",VLOOKUP('Dashboard And Emails Automate'!$G3290,Database!$H:$N,7,0)),"")</f>
        <v/>
      </c>
      <c r="N3290" s="55" t="str">
        <f>IFERROR(IF(OR($B3290="",$B3290="(blank)"),"",VLOOKUP($B3290,'Email Marketing Raw Data'!$C:$O,6,0)),"")</f>
        <v/>
      </c>
      <c r="O3290" s="55" t="str">
        <f>IFERROR(IF(OR($B3290="",$B3290="(blank)"),"",VLOOKUP($B3290,'Email Marketing Raw Data'!$C:$O,7,0)),"")</f>
        <v/>
      </c>
      <c r="P3290" s="55" t="str">
        <f>IFERROR(IF(OR($B3290="",$B3290="(blank)"),"",VLOOKUP($B3290,'Email Marketing Raw Data'!$C:$O,8,0)),"")</f>
        <v/>
      </c>
      <c r="Q3290" s="62" t="str">
        <f>IFERROR(IF(OR($B3290="",$B3290="(blank)"),"",VLOOKUP($B3290,'Email Marketing Raw Data'!$C:$O,9,0)),"")</f>
        <v/>
      </c>
    </row>
    <row r="3291" spans="4:17" ht="12.75" customHeight="1" x14ac:dyDescent="0.2">
      <c r="D3291" s="58" t="str">
        <f>IFERROR(IF(F3291&lt;&gt;"pending","",IF(OR($B3291="",$B3291="(blank)"),"",VLOOKUP($B3291,'Email Marketing Raw Data'!$C:$O,10,0))),"")</f>
        <v/>
      </c>
      <c r="E3291" s="59" t="str">
        <f>IFERROR(IF(F3291&lt;&gt;"pending","",IF(OR($B3291="",$B3291="(blank)"),"",VLOOKUP($B3291,'Email Marketing Raw Data'!$C:$O,11,0))),"")</f>
        <v/>
      </c>
      <c r="F3291" s="54" t="str">
        <f>IFERROR(IF(OR($B3291="",$B3291="(blank)"),"",VLOOKUP($B3291,'Email Marketing Raw Data'!$C:$O,13,0)),"")</f>
        <v/>
      </c>
      <c r="G3291" s="55" t="str">
        <f>IFERROR(IF(OR($B3291="",$B3291="(blank)"),"",VLOOKUP($B3291,'Email Marketing Raw Data'!$C:$O,4,0)),"")</f>
        <v/>
      </c>
      <c r="H3291" s="55" t="str">
        <f>IFERROR(IF(OR($B3291="",$B3291="(blank)"),"",VLOOKUP($B3291,'Email Marketing Raw Data'!$C:$O,5,0)),"")</f>
        <v/>
      </c>
      <c r="I3291" s="55" t="str">
        <f>IFERROR(IF($G3291="","",VLOOKUP('Dashboard And Emails Automate'!$G3291,Database!$H:$N,3,0)),"")</f>
        <v/>
      </c>
      <c r="J3291" s="55" t="str">
        <f>IFERROR(IF($G3291="","",VLOOKUP('Dashboard And Emails Automate'!$G3291,Database!$H:$N,4,0)),"")</f>
        <v/>
      </c>
      <c r="K3291" s="55" t="str">
        <f>IFERROR(IF($G3291="","",VLOOKUP('Dashboard And Emails Automate'!$G3291,Database!$H:$N,5,0)),"")</f>
        <v/>
      </c>
      <c r="L3291" s="55" t="str">
        <f>IFERROR(IF($G3291="","",VLOOKUP('Dashboard And Emails Automate'!$G3291,Database!$H:$N,6,0)),"")</f>
        <v/>
      </c>
      <c r="M3291" s="55" t="str">
        <f>IFERROR(IF($G3291="","",VLOOKUP('Dashboard And Emails Automate'!$G3291,Database!$H:$N,7,0)),"")</f>
        <v/>
      </c>
      <c r="N3291" s="55" t="str">
        <f>IFERROR(IF(OR($B3291="",$B3291="(blank)"),"",VLOOKUP($B3291,'Email Marketing Raw Data'!$C:$O,6,0)),"")</f>
        <v/>
      </c>
      <c r="O3291" s="55" t="str">
        <f>IFERROR(IF(OR($B3291="",$B3291="(blank)"),"",VLOOKUP($B3291,'Email Marketing Raw Data'!$C:$O,7,0)),"")</f>
        <v/>
      </c>
      <c r="P3291" s="55" t="str">
        <f>IFERROR(IF(OR($B3291="",$B3291="(blank)"),"",VLOOKUP($B3291,'Email Marketing Raw Data'!$C:$O,8,0)),"")</f>
        <v/>
      </c>
      <c r="Q3291" s="62" t="str">
        <f>IFERROR(IF(OR($B3291="",$B3291="(blank)"),"",VLOOKUP($B3291,'Email Marketing Raw Data'!$C:$O,9,0)),"")</f>
        <v/>
      </c>
    </row>
    <row r="3292" spans="4:17" ht="12.75" customHeight="1" x14ac:dyDescent="0.2">
      <c r="D3292" s="58" t="str">
        <f>IFERROR(IF(F3292&lt;&gt;"pending","",IF(OR($B3292="",$B3292="(blank)"),"",VLOOKUP($B3292,'Email Marketing Raw Data'!$C:$O,10,0))),"")</f>
        <v/>
      </c>
      <c r="E3292" s="59" t="str">
        <f>IFERROR(IF(F3292&lt;&gt;"pending","",IF(OR($B3292="",$B3292="(blank)"),"",VLOOKUP($B3292,'Email Marketing Raw Data'!$C:$O,11,0))),"")</f>
        <v/>
      </c>
      <c r="F3292" s="54" t="str">
        <f>IFERROR(IF(OR($B3292="",$B3292="(blank)"),"",VLOOKUP($B3292,'Email Marketing Raw Data'!$C:$O,13,0)),"")</f>
        <v/>
      </c>
      <c r="G3292" s="55" t="str">
        <f>IFERROR(IF(OR($B3292="",$B3292="(blank)"),"",VLOOKUP($B3292,'Email Marketing Raw Data'!$C:$O,4,0)),"")</f>
        <v/>
      </c>
      <c r="H3292" s="55" t="str">
        <f>IFERROR(IF(OR($B3292="",$B3292="(blank)"),"",VLOOKUP($B3292,'Email Marketing Raw Data'!$C:$O,5,0)),"")</f>
        <v/>
      </c>
      <c r="I3292" s="55" t="str">
        <f>IFERROR(IF($G3292="","",VLOOKUP('Dashboard And Emails Automate'!$G3292,Database!$H:$N,3,0)),"")</f>
        <v/>
      </c>
      <c r="J3292" s="55" t="str">
        <f>IFERROR(IF($G3292="","",VLOOKUP('Dashboard And Emails Automate'!$G3292,Database!$H:$N,4,0)),"")</f>
        <v/>
      </c>
      <c r="K3292" s="55" t="str">
        <f>IFERROR(IF($G3292="","",VLOOKUP('Dashboard And Emails Automate'!$G3292,Database!$H:$N,5,0)),"")</f>
        <v/>
      </c>
      <c r="L3292" s="55" t="str">
        <f>IFERROR(IF($G3292="","",VLOOKUP('Dashboard And Emails Automate'!$G3292,Database!$H:$N,6,0)),"")</f>
        <v/>
      </c>
      <c r="M3292" s="55" t="str">
        <f>IFERROR(IF($G3292="","",VLOOKUP('Dashboard And Emails Automate'!$G3292,Database!$H:$N,7,0)),"")</f>
        <v/>
      </c>
      <c r="N3292" s="55" t="str">
        <f>IFERROR(IF(OR($B3292="",$B3292="(blank)"),"",VLOOKUP($B3292,'Email Marketing Raw Data'!$C:$O,6,0)),"")</f>
        <v/>
      </c>
      <c r="O3292" s="55" t="str">
        <f>IFERROR(IF(OR($B3292="",$B3292="(blank)"),"",VLOOKUP($B3292,'Email Marketing Raw Data'!$C:$O,7,0)),"")</f>
        <v/>
      </c>
      <c r="P3292" s="55" t="str">
        <f>IFERROR(IF(OR($B3292="",$B3292="(blank)"),"",VLOOKUP($B3292,'Email Marketing Raw Data'!$C:$O,8,0)),"")</f>
        <v/>
      </c>
      <c r="Q3292" s="62" t="str">
        <f>IFERROR(IF(OR($B3292="",$B3292="(blank)"),"",VLOOKUP($B3292,'Email Marketing Raw Data'!$C:$O,9,0)),"")</f>
        <v/>
      </c>
    </row>
    <row r="3293" spans="4:17" ht="12.75" customHeight="1" x14ac:dyDescent="0.2">
      <c r="D3293" s="58" t="str">
        <f>IFERROR(IF(F3293&lt;&gt;"pending","",IF(OR($B3293="",$B3293="(blank)"),"",VLOOKUP($B3293,'Email Marketing Raw Data'!$C:$O,10,0))),"")</f>
        <v/>
      </c>
      <c r="E3293" s="59" t="str">
        <f>IFERROR(IF(F3293&lt;&gt;"pending","",IF(OR($B3293="",$B3293="(blank)"),"",VLOOKUP($B3293,'Email Marketing Raw Data'!$C:$O,11,0))),"")</f>
        <v/>
      </c>
      <c r="F3293" s="54" t="str">
        <f>IFERROR(IF(OR($B3293="",$B3293="(blank)"),"",VLOOKUP($B3293,'Email Marketing Raw Data'!$C:$O,13,0)),"")</f>
        <v/>
      </c>
      <c r="G3293" s="55" t="str">
        <f>IFERROR(IF(OR($B3293="",$B3293="(blank)"),"",VLOOKUP($B3293,'Email Marketing Raw Data'!$C:$O,4,0)),"")</f>
        <v/>
      </c>
      <c r="H3293" s="55" t="str">
        <f>IFERROR(IF(OR($B3293="",$B3293="(blank)"),"",VLOOKUP($B3293,'Email Marketing Raw Data'!$C:$O,5,0)),"")</f>
        <v/>
      </c>
      <c r="I3293" s="55" t="str">
        <f>IFERROR(IF($G3293="","",VLOOKUP('Dashboard And Emails Automate'!$G3293,Database!$H:$N,3,0)),"")</f>
        <v/>
      </c>
      <c r="J3293" s="55" t="str">
        <f>IFERROR(IF($G3293="","",VLOOKUP('Dashboard And Emails Automate'!$G3293,Database!$H:$N,4,0)),"")</f>
        <v/>
      </c>
      <c r="K3293" s="55" t="str">
        <f>IFERROR(IF($G3293="","",VLOOKUP('Dashboard And Emails Automate'!$G3293,Database!$H:$N,5,0)),"")</f>
        <v/>
      </c>
      <c r="L3293" s="55" t="str">
        <f>IFERROR(IF($G3293="","",VLOOKUP('Dashboard And Emails Automate'!$G3293,Database!$H:$N,6,0)),"")</f>
        <v/>
      </c>
      <c r="M3293" s="55" t="str">
        <f>IFERROR(IF($G3293="","",VLOOKUP('Dashboard And Emails Automate'!$G3293,Database!$H:$N,7,0)),"")</f>
        <v/>
      </c>
      <c r="N3293" s="55" t="str">
        <f>IFERROR(IF(OR($B3293="",$B3293="(blank)"),"",VLOOKUP($B3293,'Email Marketing Raw Data'!$C:$O,6,0)),"")</f>
        <v/>
      </c>
      <c r="O3293" s="55" t="str">
        <f>IFERROR(IF(OR($B3293="",$B3293="(blank)"),"",VLOOKUP($B3293,'Email Marketing Raw Data'!$C:$O,7,0)),"")</f>
        <v/>
      </c>
      <c r="P3293" s="55" t="str">
        <f>IFERROR(IF(OR($B3293="",$B3293="(blank)"),"",VLOOKUP($B3293,'Email Marketing Raw Data'!$C:$O,8,0)),"")</f>
        <v/>
      </c>
      <c r="Q3293" s="62" t="str">
        <f>IFERROR(IF(OR($B3293="",$B3293="(blank)"),"",VLOOKUP($B3293,'Email Marketing Raw Data'!$C:$O,9,0)),"")</f>
        <v/>
      </c>
    </row>
    <row r="3294" spans="4:17" ht="12.75" customHeight="1" x14ac:dyDescent="0.2">
      <c r="D3294" s="58" t="str">
        <f>IFERROR(IF(F3294&lt;&gt;"pending","",IF(OR($B3294="",$B3294="(blank)"),"",VLOOKUP($B3294,'Email Marketing Raw Data'!$C:$O,10,0))),"")</f>
        <v/>
      </c>
      <c r="E3294" s="59" t="str">
        <f>IFERROR(IF(F3294&lt;&gt;"pending","",IF(OR($B3294="",$B3294="(blank)"),"",VLOOKUP($B3294,'Email Marketing Raw Data'!$C:$O,11,0))),"")</f>
        <v/>
      </c>
      <c r="F3294" s="54" t="str">
        <f>IFERROR(IF(OR($B3294="",$B3294="(blank)"),"",VLOOKUP($B3294,'Email Marketing Raw Data'!$C:$O,13,0)),"")</f>
        <v/>
      </c>
      <c r="G3294" s="55" t="str">
        <f>IFERROR(IF(OR($B3294="",$B3294="(blank)"),"",VLOOKUP($B3294,'Email Marketing Raw Data'!$C:$O,4,0)),"")</f>
        <v/>
      </c>
      <c r="H3294" s="55" t="str">
        <f>IFERROR(IF(OR($B3294="",$B3294="(blank)"),"",VLOOKUP($B3294,'Email Marketing Raw Data'!$C:$O,5,0)),"")</f>
        <v/>
      </c>
      <c r="I3294" s="55" t="str">
        <f>IFERROR(IF($G3294="","",VLOOKUP('Dashboard And Emails Automate'!$G3294,Database!$H:$N,3,0)),"")</f>
        <v/>
      </c>
      <c r="J3294" s="55" t="str">
        <f>IFERROR(IF($G3294="","",VLOOKUP('Dashboard And Emails Automate'!$G3294,Database!$H:$N,4,0)),"")</f>
        <v/>
      </c>
      <c r="K3294" s="55" t="str">
        <f>IFERROR(IF($G3294="","",VLOOKUP('Dashboard And Emails Automate'!$G3294,Database!$H:$N,5,0)),"")</f>
        <v/>
      </c>
      <c r="L3294" s="55" t="str">
        <f>IFERROR(IF($G3294="","",VLOOKUP('Dashboard And Emails Automate'!$G3294,Database!$H:$N,6,0)),"")</f>
        <v/>
      </c>
      <c r="M3294" s="55" t="str">
        <f>IFERROR(IF($G3294="","",VLOOKUP('Dashboard And Emails Automate'!$G3294,Database!$H:$N,7,0)),"")</f>
        <v/>
      </c>
      <c r="N3294" s="55" t="str">
        <f>IFERROR(IF(OR($B3294="",$B3294="(blank)"),"",VLOOKUP($B3294,'Email Marketing Raw Data'!$C:$O,6,0)),"")</f>
        <v/>
      </c>
      <c r="O3294" s="55" t="str">
        <f>IFERROR(IF(OR($B3294="",$B3294="(blank)"),"",VLOOKUP($B3294,'Email Marketing Raw Data'!$C:$O,7,0)),"")</f>
        <v/>
      </c>
      <c r="P3294" s="55" t="str">
        <f>IFERROR(IF(OR($B3294="",$B3294="(blank)"),"",VLOOKUP($B3294,'Email Marketing Raw Data'!$C:$O,8,0)),"")</f>
        <v/>
      </c>
      <c r="Q3294" s="62" t="str">
        <f>IFERROR(IF(OR($B3294="",$B3294="(blank)"),"",VLOOKUP($B3294,'Email Marketing Raw Data'!$C:$O,9,0)),"")</f>
        <v/>
      </c>
    </row>
    <row r="3295" spans="4:17" ht="12.75" customHeight="1" x14ac:dyDescent="0.2">
      <c r="D3295" s="58" t="str">
        <f>IFERROR(IF(F3295&lt;&gt;"pending","",IF(OR($B3295="",$B3295="(blank)"),"",VLOOKUP($B3295,'Email Marketing Raw Data'!$C:$O,10,0))),"")</f>
        <v/>
      </c>
      <c r="E3295" s="59" t="str">
        <f>IFERROR(IF(F3295&lt;&gt;"pending","",IF(OR($B3295="",$B3295="(blank)"),"",VLOOKUP($B3295,'Email Marketing Raw Data'!$C:$O,11,0))),"")</f>
        <v/>
      </c>
      <c r="F3295" s="54" t="str">
        <f>IFERROR(IF(OR($B3295="",$B3295="(blank)"),"",VLOOKUP($B3295,'Email Marketing Raw Data'!$C:$O,13,0)),"")</f>
        <v/>
      </c>
      <c r="G3295" s="55" t="str">
        <f>IFERROR(IF(OR($B3295="",$B3295="(blank)"),"",VLOOKUP($B3295,'Email Marketing Raw Data'!$C:$O,4,0)),"")</f>
        <v/>
      </c>
      <c r="H3295" s="55" t="str">
        <f>IFERROR(IF(OR($B3295="",$B3295="(blank)"),"",VLOOKUP($B3295,'Email Marketing Raw Data'!$C:$O,5,0)),"")</f>
        <v/>
      </c>
      <c r="I3295" s="55" t="str">
        <f>IFERROR(IF($G3295="","",VLOOKUP('Dashboard And Emails Automate'!$G3295,Database!$H:$N,3,0)),"")</f>
        <v/>
      </c>
      <c r="J3295" s="55" t="str">
        <f>IFERROR(IF($G3295="","",VLOOKUP('Dashboard And Emails Automate'!$G3295,Database!$H:$N,4,0)),"")</f>
        <v/>
      </c>
      <c r="K3295" s="55" t="str">
        <f>IFERROR(IF($G3295="","",VLOOKUP('Dashboard And Emails Automate'!$G3295,Database!$H:$N,5,0)),"")</f>
        <v/>
      </c>
      <c r="L3295" s="55" t="str">
        <f>IFERROR(IF($G3295="","",VLOOKUP('Dashboard And Emails Automate'!$G3295,Database!$H:$N,6,0)),"")</f>
        <v/>
      </c>
      <c r="M3295" s="55" t="str">
        <f>IFERROR(IF($G3295="","",VLOOKUP('Dashboard And Emails Automate'!$G3295,Database!$H:$N,7,0)),"")</f>
        <v/>
      </c>
      <c r="N3295" s="55" t="str">
        <f>IFERROR(IF(OR($B3295="",$B3295="(blank)"),"",VLOOKUP($B3295,'Email Marketing Raw Data'!$C:$O,6,0)),"")</f>
        <v/>
      </c>
      <c r="O3295" s="55" t="str">
        <f>IFERROR(IF(OR($B3295="",$B3295="(blank)"),"",VLOOKUP($B3295,'Email Marketing Raw Data'!$C:$O,7,0)),"")</f>
        <v/>
      </c>
      <c r="P3295" s="55" t="str">
        <f>IFERROR(IF(OR($B3295="",$B3295="(blank)"),"",VLOOKUP($B3295,'Email Marketing Raw Data'!$C:$O,8,0)),"")</f>
        <v/>
      </c>
      <c r="Q3295" s="62" t="str">
        <f>IFERROR(IF(OR($B3295="",$B3295="(blank)"),"",VLOOKUP($B3295,'Email Marketing Raw Data'!$C:$O,9,0)),"")</f>
        <v/>
      </c>
    </row>
    <row r="3296" spans="4:17" ht="12.75" customHeight="1" x14ac:dyDescent="0.2">
      <c r="D3296" s="58" t="str">
        <f>IFERROR(IF(F3296&lt;&gt;"pending","",IF(OR($B3296="",$B3296="(blank)"),"",VLOOKUP($B3296,'Email Marketing Raw Data'!$C:$O,10,0))),"")</f>
        <v/>
      </c>
      <c r="E3296" s="59" t="str">
        <f>IFERROR(IF(F3296&lt;&gt;"pending","",IF(OR($B3296="",$B3296="(blank)"),"",VLOOKUP($B3296,'Email Marketing Raw Data'!$C:$O,11,0))),"")</f>
        <v/>
      </c>
      <c r="F3296" s="54" t="str">
        <f>IFERROR(IF(OR($B3296="",$B3296="(blank)"),"",VLOOKUP($B3296,'Email Marketing Raw Data'!$C:$O,13,0)),"")</f>
        <v/>
      </c>
      <c r="G3296" s="55" t="str">
        <f>IFERROR(IF(OR($B3296="",$B3296="(blank)"),"",VLOOKUP($B3296,'Email Marketing Raw Data'!$C:$O,4,0)),"")</f>
        <v/>
      </c>
      <c r="H3296" s="55" t="str">
        <f>IFERROR(IF(OR($B3296="",$B3296="(blank)"),"",VLOOKUP($B3296,'Email Marketing Raw Data'!$C:$O,5,0)),"")</f>
        <v/>
      </c>
      <c r="I3296" s="55" t="str">
        <f>IFERROR(IF($G3296="","",VLOOKUP('Dashboard And Emails Automate'!$G3296,Database!$H:$N,3,0)),"")</f>
        <v/>
      </c>
      <c r="J3296" s="55" t="str">
        <f>IFERROR(IF($G3296="","",VLOOKUP('Dashboard And Emails Automate'!$G3296,Database!$H:$N,4,0)),"")</f>
        <v/>
      </c>
      <c r="K3296" s="55" t="str">
        <f>IFERROR(IF($G3296="","",VLOOKUP('Dashboard And Emails Automate'!$G3296,Database!$H:$N,5,0)),"")</f>
        <v/>
      </c>
      <c r="L3296" s="55" t="str">
        <f>IFERROR(IF($G3296="","",VLOOKUP('Dashboard And Emails Automate'!$G3296,Database!$H:$N,6,0)),"")</f>
        <v/>
      </c>
      <c r="M3296" s="55" t="str">
        <f>IFERROR(IF($G3296="","",VLOOKUP('Dashboard And Emails Automate'!$G3296,Database!$H:$N,7,0)),"")</f>
        <v/>
      </c>
      <c r="N3296" s="55" t="str">
        <f>IFERROR(IF(OR($B3296="",$B3296="(blank)"),"",VLOOKUP($B3296,'Email Marketing Raw Data'!$C:$O,6,0)),"")</f>
        <v/>
      </c>
      <c r="O3296" s="55" t="str">
        <f>IFERROR(IF(OR($B3296="",$B3296="(blank)"),"",VLOOKUP($B3296,'Email Marketing Raw Data'!$C:$O,7,0)),"")</f>
        <v/>
      </c>
      <c r="P3296" s="55" t="str">
        <f>IFERROR(IF(OR($B3296="",$B3296="(blank)"),"",VLOOKUP($B3296,'Email Marketing Raw Data'!$C:$O,8,0)),"")</f>
        <v/>
      </c>
      <c r="Q3296" s="62" t="str">
        <f>IFERROR(IF(OR($B3296="",$B3296="(blank)"),"",VLOOKUP($B3296,'Email Marketing Raw Data'!$C:$O,9,0)),"")</f>
        <v/>
      </c>
    </row>
    <row r="3297" spans="4:17" ht="12.75" customHeight="1" x14ac:dyDescent="0.2">
      <c r="D3297" s="58" t="str">
        <f>IFERROR(IF(F3297&lt;&gt;"pending","",IF(OR($B3297="",$B3297="(blank)"),"",VLOOKUP($B3297,'Email Marketing Raw Data'!$C:$O,10,0))),"")</f>
        <v/>
      </c>
      <c r="E3297" s="59" t="str">
        <f>IFERROR(IF(F3297&lt;&gt;"pending","",IF(OR($B3297="",$B3297="(blank)"),"",VLOOKUP($B3297,'Email Marketing Raw Data'!$C:$O,11,0))),"")</f>
        <v/>
      </c>
      <c r="F3297" s="54" t="str">
        <f>IFERROR(IF(OR($B3297="",$B3297="(blank)"),"",VLOOKUP($B3297,'Email Marketing Raw Data'!$C:$O,13,0)),"")</f>
        <v/>
      </c>
      <c r="G3297" s="55" t="str">
        <f>IFERROR(IF(OR($B3297="",$B3297="(blank)"),"",VLOOKUP($B3297,'Email Marketing Raw Data'!$C:$O,4,0)),"")</f>
        <v/>
      </c>
      <c r="H3297" s="55" t="str">
        <f>IFERROR(IF(OR($B3297="",$B3297="(blank)"),"",VLOOKUP($B3297,'Email Marketing Raw Data'!$C:$O,5,0)),"")</f>
        <v/>
      </c>
      <c r="I3297" s="55" t="str">
        <f>IFERROR(IF($G3297="","",VLOOKUP('Dashboard And Emails Automate'!$G3297,Database!$H:$N,3,0)),"")</f>
        <v/>
      </c>
      <c r="J3297" s="55" t="str">
        <f>IFERROR(IF($G3297="","",VLOOKUP('Dashboard And Emails Automate'!$G3297,Database!$H:$N,4,0)),"")</f>
        <v/>
      </c>
      <c r="K3297" s="55" t="str">
        <f>IFERROR(IF($G3297="","",VLOOKUP('Dashboard And Emails Automate'!$G3297,Database!$H:$N,5,0)),"")</f>
        <v/>
      </c>
      <c r="L3297" s="55" t="str">
        <f>IFERROR(IF($G3297="","",VLOOKUP('Dashboard And Emails Automate'!$G3297,Database!$H:$N,6,0)),"")</f>
        <v/>
      </c>
      <c r="M3297" s="55" t="str">
        <f>IFERROR(IF($G3297="","",VLOOKUP('Dashboard And Emails Automate'!$G3297,Database!$H:$N,7,0)),"")</f>
        <v/>
      </c>
      <c r="N3297" s="55" t="str">
        <f>IFERROR(IF(OR($B3297="",$B3297="(blank)"),"",VLOOKUP($B3297,'Email Marketing Raw Data'!$C:$O,6,0)),"")</f>
        <v/>
      </c>
      <c r="O3297" s="55" t="str">
        <f>IFERROR(IF(OR($B3297="",$B3297="(blank)"),"",VLOOKUP($B3297,'Email Marketing Raw Data'!$C:$O,7,0)),"")</f>
        <v/>
      </c>
      <c r="P3297" s="55" t="str">
        <f>IFERROR(IF(OR($B3297="",$B3297="(blank)"),"",VLOOKUP($B3297,'Email Marketing Raw Data'!$C:$O,8,0)),"")</f>
        <v/>
      </c>
      <c r="Q3297" s="62" t="str">
        <f>IFERROR(IF(OR($B3297="",$B3297="(blank)"),"",VLOOKUP($B3297,'Email Marketing Raw Data'!$C:$O,9,0)),"")</f>
        <v/>
      </c>
    </row>
    <row r="3298" spans="4:17" ht="12.75" customHeight="1" x14ac:dyDescent="0.2">
      <c r="D3298" s="58" t="str">
        <f>IFERROR(IF(F3298&lt;&gt;"pending","",IF(OR($B3298="",$B3298="(blank)"),"",VLOOKUP($B3298,'Email Marketing Raw Data'!$C:$O,10,0))),"")</f>
        <v/>
      </c>
      <c r="E3298" s="59" t="str">
        <f>IFERROR(IF(F3298&lt;&gt;"pending","",IF(OR($B3298="",$B3298="(blank)"),"",VLOOKUP($B3298,'Email Marketing Raw Data'!$C:$O,11,0))),"")</f>
        <v/>
      </c>
      <c r="F3298" s="54" t="str">
        <f>IFERROR(IF(OR($B3298="",$B3298="(blank)"),"",VLOOKUP($B3298,'Email Marketing Raw Data'!$C:$O,13,0)),"")</f>
        <v/>
      </c>
      <c r="G3298" s="55" t="str">
        <f>IFERROR(IF(OR($B3298="",$B3298="(blank)"),"",VLOOKUP($B3298,'Email Marketing Raw Data'!$C:$O,4,0)),"")</f>
        <v/>
      </c>
      <c r="H3298" s="55" t="str">
        <f>IFERROR(IF(OR($B3298="",$B3298="(blank)"),"",VLOOKUP($B3298,'Email Marketing Raw Data'!$C:$O,5,0)),"")</f>
        <v/>
      </c>
      <c r="I3298" s="55" t="str">
        <f>IFERROR(IF($G3298="","",VLOOKUP('Dashboard And Emails Automate'!$G3298,Database!$H:$N,3,0)),"")</f>
        <v/>
      </c>
      <c r="J3298" s="55" t="str">
        <f>IFERROR(IF($G3298="","",VLOOKUP('Dashboard And Emails Automate'!$G3298,Database!$H:$N,4,0)),"")</f>
        <v/>
      </c>
      <c r="K3298" s="55" t="str">
        <f>IFERROR(IF($G3298="","",VLOOKUP('Dashboard And Emails Automate'!$G3298,Database!$H:$N,5,0)),"")</f>
        <v/>
      </c>
      <c r="L3298" s="55" t="str">
        <f>IFERROR(IF($G3298="","",VLOOKUP('Dashboard And Emails Automate'!$G3298,Database!$H:$N,6,0)),"")</f>
        <v/>
      </c>
      <c r="M3298" s="55" t="str">
        <f>IFERROR(IF($G3298="","",VLOOKUP('Dashboard And Emails Automate'!$G3298,Database!$H:$N,7,0)),"")</f>
        <v/>
      </c>
      <c r="N3298" s="55" t="str">
        <f>IFERROR(IF(OR($B3298="",$B3298="(blank)"),"",VLOOKUP($B3298,'Email Marketing Raw Data'!$C:$O,6,0)),"")</f>
        <v/>
      </c>
      <c r="O3298" s="55" t="str">
        <f>IFERROR(IF(OR($B3298="",$B3298="(blank)"),"",VLOOKUP($B3298,'Email Marketing Raw Data'!$C:$O,7,0)),"")</f>
        <v/>
      </c>
      <c r="P3298" s="55" t="str">
        <f>IFERROR(IF(OR($B3298="",$B3298="(blank)"),"",VLOOKUP($B3298,'Email Marketing Raw Data'!$C:$O,8,0)),"")</f>
        <v/>
      </c>
      <c r="Q3298" s="62" t="str">
        <f>IFERROR(IF(OR($B3298="",$B3298="(blank)"),"",VLOOKUP($B3298,'Email Marketing Raw Data'!$C:$O,9,0)),"")</f>
        <v/>
      </c>
    </row>
    <row r="3299" spans="4:17" ht="12.75" customHeight="1" x14ac:dyDescent="0.2">
      <c r="D3299" s="58" t="str">
        <f>IFERROR(IF(F3299&lt;&gt;"pending","",IF(OR($B3299="",$B3299="(blank)"),"",VLOOKUP($B3299,'Email Marketing Raw Data'!$C:$O,10,0))),"")</f>
        <v/>
      </c>
      <c r="E3299" s="59" t="str">
        <f>IFERROR(IF(F3299&lt;&gt;"pending","",IF(OR($B3299="",$B3299="(blank)"),"",VLOOKUP($B3299,'Email Marketing Raw Data'!$C:$O,11,0))),"")</f>
        <v/>
      </c>
      <c r="F3299" s="54" t="str">
        <f>IFERROR(IF(OR($B3299="",$B3299="(blank)"),"",VLOOKUP($B3299,'Email Marketing Raw Data'!$C:$O,13,0)),"")</f>
        <v/>
      </c>
      <c r="G3299" s="55" t="str">
        <f>IFERROR(IF(OR($B3299="",$B3299="(blank)"),"",VLOOKUP($B3299,'Email Marketing Raw Data'!$C:$O,4,0)),"")</f>
        <v/>
      </c>
      <c r="H3299" s="55" t="str">
        <f>IFERROR(IF(OR($B3299="",$B3299="(blank)"),"",VLOOKUP($B3299,'Email Marketing Raw Data'!$C:$O,5,0)),"")</f>
        <v/>
      </c>
      <c r="I3299" s="55" t="str">
        <f>IFERROR(IF($G3299="","",VLOOKUP('Dashboard And Emails Automate'!$G3299,Database!$H:$N,3,0)),"")</f>
        <v/>
      </c>
      <c r="J3299" s="55" t="str">
        <f>IFERROR(IF($G3299="","",VLOOKUP('Dashboard And Emails Automate'!$G3299,Database!$H:$N,4,0)),"")</f>
        <v/>
      </c>
      <c r="K3299" s="55" t="str">
        <f>IFERROR(IF($G3299="","",VLOOKUP('Dashboard And Emails Automate'!$G3299,Database!$H:$N,5,0)),"")</f>
        <v/>
      </c>
      <c r="L3299" s="55" t="str">
        <f>IFERROR(IF($G3299="","",VLOOKUP('Dashboard And Emails Automate'!$G3299,Database!$H:$N,6,0)),"")</f>
        <v/>
      </c>
      <c r="M3299" s="55" t="str">
        <f>IFERROR(IF($G3299="","",VLOOKUP('Dashboard And Emails Automate'!$G3299,Database!$H:$N,7,0)),"")</f>
        <v/>
      </c>
      <c r="N3299" s="55" t="str">
        <f>IFERROR(IF(OR($B3299="",$B3299="(blank)"),"",VLOOKUP($B3299,'Email Marketing Raw Data'!$C:$O,6,0)),"")</f>
        <v/>
      </c>
      <c r="O3299" s="55" t="str">
        <f>IFERROR(IF(OR($B3299="",$B3299="(blank)"),"",VLOOKUP($B3299,'Email Marketing Raw Data'!$C:$O,7,0)),"")</f>
        <v/>
      </c>
      <c r="P3299" s="55" t="str">
        <f>IFERROR(IF(OR($B3299="",$B3299="(blank)"),"",VLOOKUP($B3299,'Email Marketing Raw Data'!$C:$O,8,0)),"")</f>
        <v/>
      </c>
      <c r="Q3299" s="62" t="str">
        <f>IFERROR(IF(OR($B3299="",$B3299="(blank)"),"",VLOOKUP($B3299,'Email Marketing Raw Data'!$C:$O,9,0)),"")</f>
        <v/>
      </c>
    </row>
    <row r="3300" spans="4:17" ht="12.75" customHeight="1" x14ac:dyDescent="0.2">
      <c r="D3300" s="58" t="str">
        <f>IFERROR(IF(F3300&lt;&gt;"pending","",IF(OR($B3300="",$B3300="(blank)"),"",VLOOKUP($B3300,'Email Marketing Raw Data'!$C:$O,10,0))),"")</f>
        <v/>
      </c>
      <c r="E3300" s="59" t="str">
        <f>IFERROR(IF(F3300&lt;&gt;"pending","",IF(OR($B3300="",$B3300="(blank)"),"",VLOOKUP($B3300,'Email Marketing Raw Data'!$C:$O,11,0))),"")</f>
        <v/>
      </c>
      <c r="F3300" s="54" t="str">
        <f>IFERROR(IF(OR($B3300="",$B3300="(blank)"),"",VLOOKUP($B3300,'Email Marketing Raw Data'!$C:$O,13,0)),"")</f>
        <v/>
      </c>
      <c r="G3300" s="55" t="str">
        <f>IFERROR(IF(OR($B3300="",$B3300="(blank)"),"",VLOOKUP($B3300,'Email Marketing Raw Data'!$C:$O,4,0)),"")</f>
        <v/>
      </c>
      <c r="H3300" s="55" t="str">
        <f>IFERROR(IF(OR($B3300="",$B3300="(blank)"),"",VLOOKUP($B3300,'Email Marketing Raw Data'!$C:$O,5,0)),"")</f>
        <v/>
      </c>
      <c r="I3300" s="55" t="str">
        <f>IFERROR(IF($G3300="","",VLOOKUP('Dashboard And Emails Automate'!$G3300,Database!$H:$N,3,0)),"")</f>
        <v/>
      </c>
      <c r="J3300" s="55" t="str">
        <f>IFERROR(IF($G3300="","",VLOOKUP('Dashboard And Emails Automate'!$G3300,Database!$H:$N,4,0)),"")</f>
        <v/>
      </c>
      <c r="K3300" s="55" t="str">
        <f>IFERROR(IF($G3300="","",VLOOKUP('Dashboard And Emails Automate'!$G3300,Database!$H:$N,5,0)),"")</f>
        <v/>
      </c>
      <c r="L3300" s="55" t="str">
        <f>IFERROR(IF($G3300="","",VLOOKUP('Dashboard And Emails Automate'!$G3300,Database!$H:$N,6,0)),"")</f>
        <v/>
      </c>
      <c r="M3300" s="55" t="str">
        <f>IFERROR(IF($G3300="","",VLOOKUP('Dashboard And Emails Automate'!$G3300,Database!$H:$N,7,0)),"")</f>
        <v/>
      </c>
      <c r="N3300" s="55" t="str">
        <f>IFERROR(IF(OR($B3300="",$B3300="(blank)"),"",VLOOKUP($B3300,'Email Marketing Raw Data'!$C:$O,6,0)),"")</f>
        <v/>
      </c>
      <c r="O3300" s="55" t="str">
        <f>IFERROR(IF(OR($B3300="",$B3300="(blank)"),"",VLOOKUP($B3300,'Email Marketing Raw Data'!$C:$O,7,0)),"")</f>
        <v/>
      </c>
      <c r="P3300" s="55" t="str">
        <f>IFERROR(IF(OR($B3300="",$B3300="(blank)"),"",VLOOKUP($B3300,'Email Marketing Raw Data'!$C:$O,8,0)),"")</f>
        <v/>
      </c>
      <c r="Q3300" s="62" t="str">
        <f>IFERROR(IF(OR($B3300="",$B3300="(blank)"),"",VLOOKUP($B3300,'Email Marketing Raw Data'!$C:$O,9,0)),"")</f>
        <v/>
      </c>
    </row>
    <row r="3301" spans="4:17" ht="12.75" customHeight="1" x14ac:dyDescent="0.2">
      <c r="D3301" s="58" t="str">
        <f>IFERROR(IF(F3301&lt;&gt;"pending","",IF(OR($B3301="",$B3301="(blank)"),"",VLOOKUP($B3301,'Email Marketing Raw Data'!$C:$O,10,0))),"")</f>
        <v/>
      </c>
      <c r="E3301" s="59" t="str">
        <f>IFERROR(IF(F3301&lt;&gt;"pending","",IF(OR($B3301="",$B3301="(blank)"),"",VLOOKUP($B3301,'Email Marketing Raw Data'!$C:$O,11,0))),"")</f>
        <v/>
      </c>
      <c r="F3301" s="54" t="str">
        <f>IFERROR(IF(OR($B3301="",$B3301="(blank)"),"",VLOOKUP($B3301,'Email Marketing Raw Data'!$C:$O,13,0)),"")</f>
        <v/>
      </c>
      <c r="G3301" s="55" t="str">
        <f>IFERROR(IF(OR($B3301="",$B3301="(blank)"),"",VLOOKUP($B3301,'Email Marketing Raw Data'!$C:$O,4,0)),"")</f>
        <v/>
      </c>
      <c r="H3301" s="55" t="str">
        <f>IFERROR(IF(OR($B3301="",$B3301="(blank)"),"",VLOOKUP($B3301,'Email Marketing Raw Data'!$C:$O,5,0)),"")</f>
        <v/>
      </c>
      <c r="I3301" s="55" t="str">
        <f>IFERROR(IF($G3301="","",VLOOKUP('Dashboard And Emails Automate'!$G3301,Database!$H:$N,3,0)),"")</f>
        <v/>
      </c>
      <c r="J3301" s="55" t="str">
        <f>IFERROR(IF($G3301="","",VLOOKUP('Dashboard And Emails Automate'!$G3301,Database!$H:$N,4,0)),"")</f>
        <v/>
      </c>
      <c r="K3301" s="55" t="str">
        <f>IFERROR(IF($G3301="","",VLOOKUP('Dashboard And Emails Automate'!$G3301,Database!$H:$N,5,0)),"")</f>
        <v/>
      </c>
      <c r="L3301" s="55" t="str">
        <f>IFERROR(IF($G3301="","",VLOOKUP('Dashboard And Emails Automate'!$G3301,Database!$H:$N,6,0)),"")</f>
        <v/>
      </c>
      <c r="M3301" s="55" t="str">
        <f>IFERROR(IF($G3301="","",VLOOKUP('Dashboard And Emails Automate'!$G3301,Database!$H:$N,7,0)),"")</f>
        <v/>
      </c>
      <c r="N3301" s="55" t="str">
        <f>IFERROR(IF(OR($B3301="",$B3301="(blank)"),"",VLOOKUP($B3301,'Email Marketing Raw Data'!$C:$O,6,0)),"")</f>
        <v/>
      </c>
      <c r="O3301" s="55" t="str">
        <f>IFERROR(IF(OR($B3301="",$B3301="(blank)"),"",VLOOKUP($B3301,'Email Marketing Raw Data'!$C:$O,7,0)),"")</f>
        <v/>
      </c>
      <c r="P3301" s="55" t="str">
        <f>IFERROR(IF(OR($B3301="",$B3301="(blank)"),"",VLOOKUP($B3301,'Email Marketing Raw Data'!$C:$O,8,0)),"")</f>
        <v/>
      </c>
      <c r="Q3301" s="62" t="str">
        <f>IFERROR(IF(OR($B3301="",$B3301="(blank)"),"",VLOOKUP($B3301,'Email Marketing Raw Data'!$C:$O,9,0)),"")</f>
        <v/>
      </c>
    </row>
    <row r="3302" spans="4:17" ht="12.75" customHeight="1" x14ac:dyDescent="0.2">
      <c r="D3302" s="58" t="str">
        <f>IFERROR(IF(F3302&lt;&gt;"pending","",IF(OR($B3302="",$B3302="(blank)"),"",VLOOKUP($B3302,'Email Marketing Raw Data'!$C:$O,10,0))),"")</f>
        <v/>
      </c>
      <c r="E3302" s="59" t="str">
        <f>IFERROR(IF(F3302&lt;&gt;"pending","",IF(OR($B3302="",$B3302="(blank)"),"",VLOOKUP($B3302,'Email Marketing Raw Data'!$C:$O,11,0))),"")</f>
        <v/>
      </c>
      <c r="F3302" s="54" t="str">
        <f>IFERROR(IF(OR($B3302="",$B3302="(blank)"),"",VLOOKUP($B3302,'Email Marketing Raw Data'!$C:$O,13,0)),"")</f>
        <v/>
      </c>
      <c r="G3302" s="55" t="str">
        <f>IFERROR(IF(OR($B3302="",$B3302="(blank)"),"",VLOOKUP($B3302,'Email Marketing Raw Data'!$C:$O,4,0)),"")</f>
        <v/>
      </c>
      <c r="H3302" s="55" t="str">
        <f>IFERROR(IF(OR($B3302="",$B3302="(blank)"),"",VLOOKUP($B3302,'Email Marketing Raw Data'!$C:$O,5,0)),"")</f>
        <v/>
      </c>
      <c r="I3302" s="55" t="str">
        <f>IFERROR(IF($G3302="","",VLOOKUP('Dashboard And Emails Automate'!$G3302,Database!$H:$N,3,0)),"")</f>
        <v/>
      </c>
      <c r="J3302" s="55" t="str">
        <f>IFERROR(IF($G3302="","",VLOOKUP('Dashboard And Emails Automate'!$G3302,Database!$H:$N,4,0)),"")</f>
        <v/>
      </c>
      <c r="K3302" s="55" t="str">
        <f>IFERROR(IF($G3302="","",VLOOKUP('Dashboard And Emails Automate'!$G3302,Database!$H:$N,5,0)),"")</f>
        <v/>
      </c>
      <c r="L3302" s="55" t="str">
        <f>IFERROR(IF($G3302="","",VLOOKUP('Dashboard And Emails Automate'!$G3302,Database!$H:$N,6,0)),"")</f>
        <v/>
      </c>
      <c r="M3302" s="55" t="str">
        <f>IFERROR(IF($G3302="","",VLOOKUP('Dashboard And Emails Automate'!$G3302,Database!$H:$N,7,0)),"")</f>
        <v/>
      </c>
      <c r="N3302" s="55" t="str">
        <f>IFERROR(IF(OR($B3302="",$B3302="(blank)"),"",VLOOKUP($B3302,'Email Marketing Raw Data'!$C:$O,6,0)),"")</f>
        <v/>
      </c>
      <c r="O3302" s="55" t="str">
        <f>IFERROR(IF(OR($B3302="",$B3302="(blank)"),"",VLOOKUP($B3302,'Email Marketing Raw Data'!$C:$O,7,0)),"")</f>
        <v/>
      </c>
      <c r="P3302" s="55" t="str">
        <f>IFERROR(IF(OR($B3302="",$B3302="(blank)"),"",VLOOKUP($B3302,'Email Marketing Raw Data'!$C:$O,8,0)),"")</f>
        <v/>
      </c>
      <c r="Q3302" s="62" t="str">
        <f>IFERROR(IF(OR($B3302="",$B3302="(blank)"),"",VLOOKUP($B3302,'Email Marketing Raw Data'!$C:$O,9,0)),"")</f>
        <v/>
      </c>
    </row>
    <row r="3303" spans="4:17" ht="12.75" customHeight="1" x14ac:dyDescent="0.2">
      <c r="D3303" s="58" t="str">
        <f>IFERROR(IF(F3303&lt;&gt;"pending","",IF(OR($B3303="",$B3303="(blank)"),"",VLOOKUP($B3303,'Email Marketing Raw Data'!$C:$O,10,0))),"")</f>
        <v/>
      </c>
      <c r="E3303" s="59" t="str">
        <f>IFERROR(IF(F3303&lt;&gt;"pending","",IF(OR($B3303="",$B3303="(blank)"),"",VLOOKUP($B3303,'Email Marketing Raw Data'!$C:$O,11,0))),"")</f>
        <v/>
      </c>
      <c r="F3303" s="54" t="str">
        <f>IFERROR(IF(OR($B3303="",$B3303="(blank)"),"",VLOOKUP($B3303,'Email Marketing Raw Data'!$C:$O,13,0)),"")</f>
        <v/>
      </c>
      <c r="G3303" s="55" t="str">
        <f>IFERROR(IF(OR($B3303="",$B3303="(blank)"),"",VLOOKUP($B3303,'Email Marketing Raw Data'!$C:$O,4,0)),"")</f>
        <v/>
      </c>
      <c r="H3303" s="55" t="str">
        <f>IFERROR(IF(OR($B3303="",$B3303="(blank)"),"",VLOOKUP($B3303,'Email Marketing Raw Data'!$C:$O,5,0)),"")</f>
        <v/>
      </c>
      <c r="I3303" s="55" t="str">
        <f>IFERROR(IF($G3303="","",VLOOKUP('Dashboard And Emails Automate'!$G3303,Database!$H:$N,3,0)),"")</f>
        <v/>
      </c>
      <c r="J3303" s="55" t="str">
        <f>IFERROR(IF($G3303="","",VLOOKUP('Dashboard And Emails Automate'!$G3303,Database!$H:$N,4,0)),"")</f>
        <v/>
      </c>
      <c r="K3303" s="55" t="str">
        <f>IFERROR(IF($G3303="","",VLOOKUP('Dashboard And Emails Automate'!$G3303,Database!$H:$N,5,0)),"")</f>
        <v/>
      </c>
      <c r="L3303" s="55" t="str">
        <f>IFERROR(IF($G3303="","",VLOOKUP('Dashboard And Emails Automate'!$G3303,Database!$H:$N,6,0)),"")</f>
        <v/>
      </c>
      <c r="M3303" s="55" t="str">
        <f>IFERROR(IF($G3303="","",VLOOKUP('Dashboard And Emails Automate'!$G3303,Database!$H:$N,7,0)),"")</f>
        <v/>
      </c>
      <c r="N3303" s="55" t="str">
        <f>IFERROR(IF(OR($B3303="",$B3303="(blank)"),"",VLOOKUP($B3303,'Email Marketing Raw Data'!$C:$O,6,0)),"")</f>
        <v/>
      </c>
      <c r="O3303" s="55" t="str">
        <f>IFERROR(IF(OR($B3303="",$B3303="(blank)"),"",VLOOKUP($B3303,'Email Marketing Raw Data'!$C:$O,7,0)),"")</f>
        <v/>
      </c>
      <c r="P3303" s="55" t="str">
        <f>IFERROR(IF(OR($B3303="",$B3303="(blank)"),"",VLOOKUP($B3303,'Email Marketing Raw Data'!$C:$O,8,0)),"")</f>
        <v/>
      </c>
      <c r="Q3303" s="62" t="str">
        <f>IFERROR(IF(OR($B3303="",$B3303="(blank)"),"",VLOOKUP($B3303,'Email Marketing Raw Data'!$C:$O,9,0)),"")</f>
        <v/>
      </c>
    </row>
    <row r="3304" spans="4:17" ht="12.75" customHeight="1" x14ac:dyDescent="0.2">
      <c r="D3304" s="58" t="str">
        <f>IFERROR(IF(F3304&lt;&gt;"pending","",IF(OR($B3304="",$B3304="(blank)"),"",VLOOKUP($B3304,'Email Marketing Raw Data'!$C:$O,10,0))),"")</f>
        <v/>
      </c>
      <c r="E3304" s="59" t="str">
        <f>IFERROR(IF(F3304&lt;&gt;"pending","",IF(OR($B3304="",$B3304="(blank)"),"",VLOOKUP($B3304,'Email Marketing Raw Data'!$C:$O,11,0))),"")</f>
        <v/>
      </c>
      <c r="F3304" s="54" t="str">
        <f>IFERROR(IF(OR($B3304="",$B3304="(blank)"),"",VLOOKUP($B3304,'Email Marketing Raw Data'!$C:$O,13,0)),"")</f>
        <v/>
      </c>
      <c r="G3304" s="55" t="str">
        <f>IFERROR(IF(OR($B3304="",$B3304="(blank)"),"",VLOOKUP($B3304,'Email Marketing Raw Data'!$C:$O,4,0)),"")</f>
        <v/>
      </c>
      <c r="H3304" s="55" t="str">
        <f>IFERROR(IF(OR($B3304="",$B3304="(blank)"),"",VLOOKUP($B3304,'Email Marketing Raw Data'!$C:$O,5,0)),"")</f>
        <v/>
      </c>
      <c r="I3304" s="55" t="str">
        <f>IFERROR(IF($G3304="","",VLOOKUP('Dashboard And Emails Automate'!$G3304,Database!$H:$N,3,0)),"")</f>
        <v/>
      </c>
      <c r="J3304" s="55" t="str">
        <f>IFERROR(IF($G3304="","",VLOOKUP('Dashboard And Emails Automate'!$G3304,Database!$H:$N,4,0)),"")</f>
        <v/>
      </c>
      <c r="K3304" s="55" t="str">
        <f>IFERROR(IF($G3304="","",VLOOKUP('Dashboard And Emails Automate'!$G3304,Database!$H:$N,5,0)),"")</f>
        <v/>
      </c>
      <c r="L3304" s="55" t="str">
        <f>IFERROR(IF($G3304="","",VLOOKUP('Dashboard And Emails Automate'!$G3304,Database!$H:$N,6,0)),"")</f>
        <v/>
      </c>
      <c r="M3304" s="55" t="str">
        <f>IFERROR(IF($G3304="","",VLOOKUP('Dashboard And Emails Automate'!$G3304,Database!$H:$N,7,0)),"")</f>
        <v/>
      </c>
      <c r="N3304" s="55" t="str">
        <f>IFERROR(IF(OR($B3304="",$B3304="(blank)"),"",VLOOKUP($B3304,'Email Marketing Raw Data'!$C:$O,6,0)),"")</f>
        <v/>
      </c>
      <c r="O3304" s="55" t="str">
        <f>IFERROR(IF(OR($B3304="",$B3304="(blank)"),"",VLOOKUP($B3304,'Email Marketing Raw Data'!$C:$O,7,0)),"")</f>
        <v/>
      </c>
      <c r="P3304" s="55" t="str">
        <f>IFERROR(IF(OR($B3304="",$B3304="(blank)"),"",VLOOKUP($B3304,'Email Marketing Raw Data'!$C:$O,8,0)),"")</f>
        <v/>
      </c>
      <c r="Q3304" s="62" t="str">
        <f>IFERROR(IF(OR($B3304="",$B3304="(blank)"),"",VLOOKUP($B3304,'Email Marketing Raw Data'!$C:$O,9,0)),"")</f>
        <v/>
      </c>
    </row>
    <row r="3305" spans="4:17" ht="12.75" customHeight="1" x14ac:dyDescent="0.2">
      <c r="D3305" s="58" t="str">
        <f>IFERROR(IF(F3305&lt;&gt;"pending","",IF(OR($B3305="",$B3305="(blank)"),"",VLOOKUP($B3305,'Email Marketing Raw Data'!$C:$O,10,0))),"")</f>
        <v/>
      </c>
      <c r="E3305" s="59" t="str">
        <f>IFERROR(IF(F3305&lt;&gt;"pending","",IF(OR($B3305="",$B3305="(blank)"),"",VLOOKUP($B3305,'Email Marketing Raw Data'!$C:$O,11,0))),"")</f>
        <v/>
      </c>
      <c r="F3305" s="54" t="str">
        <f>IFERROR(IF(OR($B3305="",$B3305="(blank)"),"",VLOOKUP($B3305,'Email Marketing Raw Data'!$C:$O,13,0)),"")</f>
        <v/>
      </c>
      <c r="G3305" s="55" t="str">
        <f>IFERROR(IF(OR($B3305="",$B3305="(blank)"),"",VLOOKUP($B3305,'Email Marketing Raw Data'!$C:$O,4,0)),"")</f>
        <v/>
      </c>
      <c r="H3305" s="55" t="str">
        <f>IFERROR(IF(OR($B3305="",$B3305="(blank)"),"",VLOOKUP($B3305,'Email Marketing Raw Data'!$C:$O,5,0)),"")</f>
        <v/>
      </c>
      <c r="I3305" s="55" t="str">
        <f>IFERROR(IF($G3305="","",VLOOKUP('Dashboard And Emails Automate'!$G3305,Database!$H:$N,3,0)),"")</f>
        <v/>
      </c>
      <c r="J3305" s="55" t="str">
        <f>IFERROR(IF($G3305="","",VLOOKUP('Dashboard And Emails Automate'!$G3305,Database!$H:$N,4,0)),"")</f>
        <v/>
      </c>
      <c r="K3305" s="55" t="str">
        <f>IFERROR(IF($G3305="","",VLOOKUP('Dashboard And Emails Automate'!$G3305,Database!$H:$N,5,0)),"")</f>
        <v/>
      </c>
      <c r="L3305" s="55" t="str">
        <f>IFERROR(IF($G3305="","",VLOOKUP('Dashboard And Emails Automate'!$G3305,Database!$H:$N,6,0)),"")</f>
        <v/>
      </c>
      <c r="M3305" s="55" t="str">
        <f>IFERROR(IF($G3305="","",VLOOKUP('Dashboard And Emails Automate'!$G3305,Database!$H:$N,7,0)),"")</f>
        <v/>
      </c>
      <c r="N3305" s="55" t="str">
        <f>IFERROR(IF(OR($B3305="",$B3305="(blank)"),"",VLOOKUP($B3305,'Email Marketing Raw Data'!$C:$O,6,0)),"")</f>
        <v/>
      </c>
      <c r="O3305" s="55" t="str">
        <f>IFERROR(IF(OR($B3305="",$B3305="(blank)"),"",VLOOKUP($B3305,'Email Marketing Raw Data'!$C:$O,7,0)),"")</f>
        <v/>
      </c>
      <c r="P3305" s="55" t="str">
        <f>IFERROR(IF(OR($B3305="",$B3305="(blank)"),"",VLOOKUP($B3305,'Email Marketing Raw Data'!$C:$O,8,0)),"")</f>
        <v/>
      </c>
      <c r="Q3305" s="62" t="str">
        <f>IFERROR(IF(OR($B3305="",$B3305="(blank)"),"",VLOOKUP($B3305,'Email Marketing Raw Data'!$C:$O,9,0)),"")</f>
        <v/>
      </c>
    </row>
    <row r="3306" spans="4:17" ht="12.75" customHeight="1" x14ac:dyDescent="0.2">
      <c r="D3306" s="58" t="str">
        <f>IFERROR(IF(F3306&lt;&gt;"pending","",IF(OR($B3306="",$B3306="(blank)"),"",VLOOKUP($B3306,'Email Marketing Raw Data'!$C:$O,10,0))),"")</f>
        <v/>
      </c>
      <c r="E3306" s="59" t="str">
        <f>IFERROR(IF(F3306&lt;&gt;"pending","",IF(OR($B3306="",$B3306="(blank)"),"",VLOOKUP($B3306,'Email Marketing Raw Data'!$C:$O,11,0))),"")</f>
        <v/>
      </c>
      <c r="F3306" s="54" t="str">
        <f>IFERROR(IF(OR($B3306="",$B3306="(blank)"),"",VLOOKUP($B3306,'Email Marketing Raw Data'!$C:$O,13,0)),"")</f>
        <v/>
      </c>
      <c r="G3306" s="55" t="str">
        <f>IFERROR(IF(OR($B3306="",$B3306="(blank)"),"",VLOOKUP($B3306,'Email Marketing Raw Data'!$C:$O,4,0)),"")</f>
        <v/>
      </c>
      <c r="H3306" s="55" t="str">
        <f>IFERROR(IF(OR($B3306="",$B3306="(blank)"),"",VLOOKUP($B3306,'Email Marketing Raw Data'!$C:$O,5,0)),"")</f>
        <v/>
      </c>
      <c r="I3306" s="55" t="str">
        <f>IFERROR(IF($G3306="","",VLOOKUP('Dashboard And Emails Automate'!$G3306,Database!$H:$N,3,0)),"")</f>
        <v/>
      </c>
      <c r="J3306" s="55" t="str">
        <f>IFERROR(IF($G3306="","",VLOOKUP('Dashboard And Emails Automate'!$G3306,Database!$H:$N,4,0)),"")</f>
        <v/>
      </c>
      <c r="K3306" s="55" t="str">
        <f>IFERROR(IF($G3306="","",VLOOKUP('Dashboard And Emails Automate'!$G3306,Database!$H:$N,5,0)),"")</f>
        <v/>
      </c>
      <c r="L3306" s="55" t="str">
        <f>IFERROR(IF($G3306="","",VLOOKUP('Dashboard And Emails Automate'!$G3306,Database!$H:$N,6,0)),"")</f>
        <v/>
      </c>
      <c r="M3306" s="55" t="str">
        <f>IFERROR(IF($G3306="","",VLOOKUP('Dashboard And Emails Automate'!$G3306,Database!$H:$N,7,0)),"")</f>
        <v/>
      </c>
      <c r="N3306" s="55" t="str">
        <f>IFERROR(IF(OR($B3306="",$B3306="(blank)"),"",VLOOKUP($B3306,'Email Marketing Raw Data'!$C:$O,6,0)),"")</f>
        <v/>
      </c>
      <c r="O3306" s="55" t="str">
        <f>IFERROR(IF(OR($B3306="",$B3306="(blank)"),"",VLOOKUP($B3306,'Email Marketing Raw Data'!$C:$O,7,0)),"")</f>
        <v/>
      </c>
      <c r="P3306" s="55" t="str">
        <f>IFERROR(IF(OR($B3306="",$B3306="(blank)"),"",VLOOKUP($B3306,'Email Marketing Raw Data'!$C:$O,8,0)),"")</f>
        <v/>
      </c>
      <c r="Q3306" s="62" t="str">
        <f>IFERROR(IF(OR($B3306="",$B3306="(blank)"),"",VLOOKUP($B3306,'Email Marketing Raw Data'!$C:$O,9,0)),"")</f>
        <v/>
      </c>
    </row>
    <row r="3307" spans="4:17" ht="12.75" customHeight="1" x14ac:dyDescent="0.2">
      <c r="D3307" s="58" t="str">
        <f>IFERROR(IF(F3307&lt;&gt;"pending","",IF(OR($B3307="",$B3307="(blank)"),"",VLOOKUP($B3307,'Email Marketing Raw Data'!$C:$O,10,0))),"")</f>
        <v/>
      </c>
      <c r="E3307" s="59" t="str">
        <f>IFERROR(IF(F3307&lt;&gt;"pending","",IF(OR($B3307="",$B3307="(blank)"),"",VLOOKUP($B3307,'Email Marketing Raw Data'!$C:$O,11,0))),"")</f>
        <v/>
      </c>
      <c r="F3307" s="54" t="str">
        <f>IFERROR(IF(OR($B3307="",$B3307="(blank)"),"",VLOOKUP($B3307,'Email Marketing Raw Data'!$C:$O,13,0)),"")</f>
        <v/>
      </c>
      <c r="G3307" s="55" t="str">
        <f>IFERROR(IF(OR($B3307="",$B3307="(blank)"),"",VLOOKUP($B3307,'Email Marketing Raw Data'!$C:$O,4,0)),"")</f>
        <v/>
      </c>
      <c r="H3307" s="55" t="str">
        <f>IFERROR(IF(OR($B3307="",$B3307="(blank)"),"",VLOOKUP($B3307,'Email Marketing Raw Data'!$C:$O,5,0)),"")</f>
        <v/>
      </c>
      <c r="I3307" s="55" t="str">
        <f>IFERROR(IF($G3307="","",VLOOKUP('Dashboard And Emails Automate'!$G3307,Database!$H:$N,3,0)),"")</f>
        <v/>
      </c>
      <c r="J3307" s="55" t="str">
        <f>IFERROR(IF($G3307="","",VLOOKUP('Dashboard And Emails Automate'!$G3307,Database!$H:$N,4,0)),"")</f>
        <v/>
      </c>
      <c r="K3307" s="55" t="str">
        <f>IFERROR(IF($G3307="","",VLOOKUP('Dashboard And Emails Automate'!$G3307,Database!$H:$N,5,0)),"")</f>
        <v/>
      </c>
      <c r="L3307" s="55" t="str">
        <f>IFERROR(IF($G3307="","",VLOOKUP('Dashboard And Emails Automate'!$G3307,Database!$H:$N,6,0)),"")</f>
        <v/>
      </c>
      <c r="M3307" s="55" t="str">
        <f>IFERROR(IF($G3307="","",VLOOKUP('Dashboard And Emails Automate'!$G3307,Database!$H:$N,7,0)),"")</f>
        <v/>
      </c>
      <c r="N3307" s="55" t="str">
        <f>IFERROR(IF(OR($B3307="",$B3307="(blank)"),"",VLOOKUP($B3307,'Email Marketing Raw Data'!$C:$O,6,0)),"")</f>
        <v/>
      </c>
      <c r="O3307" s="55" t="str">
        <f>IFERROR(IF(OR($B3307="",$B3307="(blank)"),"",VLOOKUP($B3307,'Email Marketing Raw Data'!$C:$O,7,0)),"")</f>
        <v/>
      </c>
      <c r="P3307" s="55" t="str">
        <f>IFERROR(IF(OR($B3307="",$B3307="(blank)"),"",VLOOKUP($B3307,'Email Marketing Raw Data'!$C:$O,8,0)),"")</f>
        <v/>
      </c>
      <c r="Q3307" s="62" t="str">
        <f>IFERROR(IF(OR($B3307="",$B3307="(blank)"),"",VLOOKUP($B3307,'Email Marketing Raw Data'!$C:$O,9,0)),"")</f>
        <v/>
      </c>
    </row>
    <row r="3308" spans="4:17" ht="12.75" customHeight="1" x14ac:dyDescent="0.2">
      <c r="D3308" s="58" t="str">
        <f>IFERROR(IF(F3308&lt;&gt;"pending","",IF(OR($B3308="",$B3308="(blank)"),"",VLOOKUP($B3308,'Email Marketing Raw Data'!$C:$O,10,0))),"")</f>
        <v/>
      </c>
      <c r="E3308" s="59" t="str">
        <f>IFERROR(IF(F3308&lt;&gt;"pending","",IF(OR($B3308="",$B3308="(blank)"),"",VLOOKUP($B3308,'Email Marketing Raw Data'!$C:$O,11,0))),"")</f>
        <v/>
      </c>
      <c r="F3308" s="54" t="str">
        <f>IFERROR(IF(OR($B3308="",$B3308="(blank)"),"",VLOOKUP($B3308,'Email Marketing Raw Data'!$C:$O,13,0)),"")</f>
        <v/>
      </c>
      <c r="G3308" s="55" t="str">
        <f>IFERROR(IF(OR($B3308="",$B3308="(blank)"),"",VLOOKUP($B3308,'Email Marketing Raw Data'!$C:$O,4,0)),"")</f>
        <v/>
      </c>
      <c r="H3308" s="55" t="str">
        <f>IFERROR(IF(OR($B3308="",$B3308="(blank)"),"",VLOOKUP($B3308,'Email Marketing Raw Data'!$C:$O,5,0)),"")</f>
        <v/>
      </c>
      <c r="I3308" s="55" t="str">
        <f>IFERROR(IF($G3308="","",VLOOKUP('Dashboard And Emails Automate'!$G3308,Database!$H:$N,3,0)),"")</f>
        <v/>
      </c>
      <c r="J3308" s="55" t="str">
        <f>IFERROR(IF($G3308="","",VLOOKUP('Dashboard And Emails Automate'!$G3308,Database!$H:$N,4,0)),"")</f>
        <v/>
      </c>
      <c r="K3308" s="55" t="str">
        <f>IFERROR(IF($G3308="","",VLOOKUP('Dashboard And Emails Automate'!$G3308,Database!$H:$N,5,0)),"")</f>
        <v/>
      </c>
      <c r="L3308" s="55" t="str">
        <f>IFERROR(IF($G3308="","",VLOOKUP('Dashboard And Emails Automate'!$G3308,Database!$H:$N,6,0)),"")</f>
        <v/>
      </c>
      <c r="M3308" s="55" t="str">
        <f>IFERROR(IF($G3308="","",VLOOKUP('Dashboard And Emails Automate'!$G3308,Database!$H:$N,7,0)),"")</f>
        <v/>
      </c>
      <c r="N3308" s="55" t="str">
        <f>IFERROR(IF(OR($B3308="",$B3308="(blank)"),"",VLOOKUP($B3308,'Email Marketing Raw Data'!$C:$O,6,0)),"")</f>
        <v/>
      </c>
      <c r="O3308" s="55" t="str">
        <f>IFERROR(IF(OR($B3308="",$B3308="(blank)"),"",VLOOKUP($B3308,'Email Marketing Raw Data'!$C:$O,7,0)),"")</f>
        <v/>
      </c>
      <c r="P3308" s="55" t="str">
        <f>IFERROR(IF(OR($B3308="",$B3308="(blank)"),"",VLOOKUP($B3308,'Email Marketing Raw Data'!$C:$O,8,0)),"")</f>
        <v/>
      </c>
      <c r="Q3308" s="62" t="str">
        <f>IFERROR(IF(OR($B3308="",$B3308="(blank)"),"",VLOOKUP($B3308,'Email Marketing Raw Data'!$C:$O,9,0)),"")</f>
        <v/>
      </c>
    </row>
    <row r="3309" spans="4:17" ht="12.75" customHeight="1" x14ac:dyDescent="0.2">
      <c r="D3309" s="58" t="str">
        <f>IFERROR(IF(F3309&lt;&gt;"pending","",IF(OR($B3309="",$B3309="(blank)"),"",VLOOKUP($B3309,'Email Marketing Raw Data'!$C:$O,10,0))),"")</f>
        <v/>
      </c>
      <c r="E3309" s="59" t="str">
        <f>IFERROR(IF(F3309&lt;&gt;"pending","",IF(OR($B3309="",$B3309="(blank)"),"",VLOOKUP($B3309,'Email Marketing Raw Data'!$C:$O,11,0))),"")</f>
        <v/>
      </c>
      <c r="F3309" s="54" t="str">
        <f>IFERROR(IF(OR($B3309="",$B3309="(blank)"),"",VLOOKUP($B3309,'Email Marketing Raw Data'!$C:$O,13,0)),"")</f>
        <v/>
      </c>
      <c r="G3309" s="55" t="str">
        <f>IFERROR(IF(OR($B3309="",$B3309="(blank)"),"",VLOOKUP($B3309,'Email Marketing Raw Data'!$C:$O,4,0)),"")</f>
        <v/>
      </c>
      <c r="H3309" s="55" t="str">
        <f>IFERROR(IF(OR($B3309="",$B3309="(blank)"),"",VLOOKUP($B3309,'Email Marketing Raw Data'!$C:$O,5,0)),"")</f>
        <v/>
      </c>
      <c r="I3309" s="55" t="str">
        <f>IFERROR(IF($G3309="","",VLOOKUP('Dashboard And Emails Automate'!$G3309,Database!$H:$N,3,0)),"")</f>
        <v/>
      </c>
      <c r="J3309" s="55" t="str">
        <f>IFERROR(IF($G3309="","",VLOOKUP('Dashboard And Emails Automate'!$G3309,Database!$H:$N,4,0)),"")</f>
        <v/>
      </c>
      <c r="K3309" s="55" t="str">
        <f>IFERROR(IF($G3309="","",VLOOKUP('Dashboard And Emails Automate'!$G3309,Database!$H:$N,5,0)),"")</f>
        <v/>
      </c>
      <c r="L3309" s="55" t="str">
        <f>IFERROR(IF($G3309="","",VLOOKUP('Dashboard And Emails Automate'!$G3309,Database!$H:$N,6,0)),"")</f>
        <v/>
      </c>
      <c r="M3309" s="55" t="str">
        <f>IFERROR(IF($G3309="","",VLOOKUP('Dashboard And Emails Automate'!$G3309,Database!$H:$N,7,0)),"")</f>
        <v/>
      </c>
      <c r="N3309" s="55" t="str">
        <f>IFERROR(IF(OR($B3309="",$B3309="(blank)"),"",VLOOKUP($B3309,'Email Marketing Raw Data'!$C:$O,6,0)),"")</f>
        <v/>
      </c>
      <c r="O3309" s="55" t="str">
        <f>IFERROR(IF(OR($B3309="",$B3309="(blank)"),"",VLOOKUP($B3309,'Email Marketing Raw Data'!$C:$O,7,0)),"")</f>
        <v/>
      </c>
      <c r="P3309" s="55" t="str">
        <f>IFERROR(IF(OR($B3309="",$B3309="(blank)"),"",VLOOKUP($B3309,'Email Marketing Raw Data'!$C:$O,8,0)),"")</f>
        <v/>
      </c>
      <c r="Q3309" s="62" t="str">
        <f>IFERROR(IF(OR($B3309="",$B3309="(blank)"),"",VLOOKUP($B3309,'Email Marketing Raw Data'!$C:$O,9,0)),"")</f>
        <v/>
      </c>
    </row>
    <row r="3310" spans="4:17" ht="12.75" customHeight="1" x14ac:dyDescent="0.2">
      <c r="D3310" s="58" t="str">
        <f>IFERROR(IF(F3310&lt;&gt;"pending","",IF(OR($B3310="",$B3310="(blank)"),"",VLOOKUP($B3310,'Email Marketing Raw Data'!$C:$O,10,0))),"")</f>
        <v/>
      </c>
      <c r="E3310" s="59" t="str">
        <f>IFERROR(IF(F3310&lt;&gt;"pending","",IF(OR($B3310="",$B3310="(blank)"),"",VLOOKUP($B3310,'Email Marketing Raw Data'!$C:$O,11,0))),"")</f>
        <v/>
      </c>
      <c r="F3310" s="54" t="str">
        <f>IFERROR(IF(OR($B3310="",$B3310="(blank)"),"",VLOOKUP($B3310,'Email Marketing Raw Data'!$C:$O,13,0)),"")</f>
        <v/>
      </c>
      <c r="G3310" s="55" t="str">
        <f>IFERROR(IF(OR($B3310="",$B3310="(blank)"),"",VLOOKUP($B3310,'Email Marketing Raw Data'!$C:$O,4,0)),"")</f>
        <v/>
      </c>
      <c r="H3310" s="55" t="str">
        <f>IFERROR(IF(OR($B3310="",$B3310="(blank)"),"",VLOOKUP($B3310,'Email Marketing Raw Data'!$C:$O,5,0)),"")</f>
        <v/>
      </c>
      <c r="I3310" s="55" t="str">
        <f>IFERROR(IF($G3310="","",VLOOKUP('Dashboard And Emails Automate'!$G3310,Database!$H:$N,3,0)),"")</f>
        <v/>
      </c>
      <c r="J3310" s="55" t="str">
        <f>IFERROR(IF($G3310="","",VLOOKUP('Dashboard And Emails Automate'!$G3310,Database!$H:$N,4,0)),"")</f>
        <v/>
      </c>
      <c r="K3310" s="55" t="str">
        <f>IFERROR(IF($G3310="","",VLOOKUP('Dashboard And Emails Automate'!$G3310,Database!$H:$N,5,0)),"")</f>
        <v/>
      </c>
      <c r="L3310" s="55" t="str">
        <f>IFERROR(IF($G3310="","",VLOOKUP('Dashboard And Emails Automate'!$G3310,Database!$H:$N,6,0)),"")</f>
        <v/>
      </c>
      <c r="M3310" s="55" t="str">
        <f>IFERROR(IF($G3310="","",VLOOKUP('Dashboard And Emails Automate'!$G3310,Database!$H:$N,7,0)),"")</f>
        <v/>
      </c>
      <c r="N3310" s="55" t="str">
        <f>IFERROR(IF(OR($B3310="",$B3310="(blank)"),"",VLOOKUP($B3310,'Email Marketing Raw Data'!$C:$O,6,0)),"")</f>
        <v/>
      </c>
      <c r="O3310" s="55" t="str">
        <f>IFERROR(IF(OR($B3310="",$B3310="(blank)"),"",VLOOKUP($B3310,'Email Marketing Raw Data'!$C:$O,7,0)),"")</f>
        <v/>
      </c>
      <c r="P3310" s="55" t="str">
        <f>IFERROR(IF(OR($B3310="",$B3310="(blank)"),"",VLOOKUP($B3310,'Email Marketing Raw Data'!$C:$O,8,0)),"")</f>
        <v/>
      </c>
      <c r="Q3310" s="62" t="str">
        <f>IFERROR(IF(OR($B3310="",$B3310="(blank)"),"",VLOOKUP($B3310,'Email Marketing Raw Data'!$C:$O,9,0)),"")</f>
        <v/>
      </c>
    </row>
    <row r="3311" spans="4:17" ht="12.75" customHeight="1" x14ac:dyDescent="0.2">
      <c r="D3311" s="58" t="str">
        <f>IFERROR(IF(F3311&lt;&gt;"pending","",IF(OR($B3311="",$B3311="(blank)"),"",VLOOKUP($B3311,'Email Marketing Raw Data'!$C:$O,10,0))),"")</f>
        <v/>
      </c>
      <c r="E3311" s="59" t="str">
        <f>IFERROR(IF(F3311&lt;&gt;"pending","",IF(OR($B3311="",$B3311="(blank)"),"",VLOOKUP($B3311,'Email Marketing Raw Data'!$C:$O,11,0))),"")</f>
        <v/>
      </c>
      <c r="F3311" s="54" t="str">
        <f>IFERROR(IF(OR($B3311="",$B3311="(blank)"),"",VLOOKUP($B3311,'Email Marketing Raw Data'!$C:$O,13,0)),"")</f>
        <v/>
      </c>
      <c r="G3311" s="55" t="str">
        <f>IFERROR(IF(OR($B3311="",$B3311="(blank)"),"",VLOOKUP($B3311,'Email Marketing Raw Data'!$C:$O,4,0)),"")</f>
        <v/>
      </c>
      <c r="H3311" s="55" t="str">
        <f>IFERROR(IF(OR($B3311="",$B3311="(blank)"),"",VLOOKUP($B3311,'Email Marketing Raw Data'!$C:$O,5,0)),"")</f>
        <v/>
      </c>
      <c r="I3311" s="55" t="str">
        <f>IFERROR(IF($G3311="","",VLOOKUP('Dashboard And Emails Automate'!$G3311,Database!$H:$N,3,0)),"")</f>
        <v/>
      </c>
      <c r="J3311" s="55" t="str">
        <f>IFERROR(IF($G3311="","",VLOOKUP('Dashboard And Emails Automate'!$G3311,Database!$H:$N,4,0)),"")</f>
        <v/>
      </c>
      <c r="K3311" s="55" t="str">
        <f>IFERROR(IF($G3311="","",VLOOKUP('Dashboard And Emails Automate'!$G3311,Database!$H:$N,5,0)),"")</f>
        <v/>
      </c>
      <c r="L3311" s="55" t="str">
        <f>IFERROR(IF($G3311="","",VLOOKUP('Dashboard And Emails Automate'!$G3311,Database!$H:$N,6,0)),"")</f>
        <v/>
      </c>
      <c r="M3311" s="55" t="str">
        <f>IFERROR(IF($G3311="","",VLOOKUP('Dashboard And Emails Automate'!$G3311,Database!$H:$N,7,0)),"")</f>
        <v/>
      </c>
      <c r="N3311" s="55" t="str">
        <f>IFERROR(IF(OR($B3311="",$B3311="(blank)"),"",VLOOKUP($B3311,'Email Marketing Raw Data'!$C:$O,6,0)),"")</f>
        <v/>
      </c>
      <c r="O3311" s="55" t="str">
        <f>IFERROR(IF(OR($B3311="",$B3311="(blank)"),"",VLOOKUP($B3311,'Email Marketing Raw Data'!$C:$O,7,0)),"")</f>
        <v/>
      </c>
      <c r="P3311" s="55" t="str">
        <f>IFERROR(IF(OR($B3311="",$B3311="(blank)"),"",VLOOKUP($B3311,'Email Marketing Raw Data'!$C:$O,8,0)),"")</f>
        <v/>
      </c>
      <c r="Q3311" s="62" t="str">
        <f>IFERROR(IF(OR($B3311="",$B3311="(blank)"),"",VLOOKUP($B3311,'Email Marketing Raw Data'!$C:$O,9,0)),"")</f>
        <v/>
      </c>
    </row>
    <row r="3312" spans="4:17" ht="12.75" customHeight="1" x14ac:dyDescent="0.2">
      <c r="D3312" s="58" t="str">
        <f>IFERROR(IF(F3312&lt;&gt;"pending","",IF(OR($B3312="",$B3312="(blank)"),"",VLOOKUP($B3312,'Email Marketing Raw Data'!$C:$O,10,0))),"")</f>
        <v/>
      </c>
      <c r="E3312" s="59" t="str">
        <f>IFERROR(IF(F3312&lt;&gt;"pending","",IF(OR($B3312="",$B3312="(blank)"),"",VLOOKUP($B3312,'Email Marketing Raw Data'!$C:$O,11,0))),"")</f>
        <v/>
      </c>
      <c r="F3312" s="54" t="str">
        <f>IFERROR(IF(OR($B3312="",$B3312="(blank)"),"",VLOOKUP($B3312,'Email Marketing Raw Data'!$C:$O,13,0)),"")</f>
        <v/>
      </c>
      <c r="G3312" s="55" t="str">
        <f>IFERROR(IF(OR($B3312="",$B3312="(blank)"),"",VLOOKUP($B3312,'Email Marketing Raw Data'!$C:$O,4,0)),"")</f>
        <v/>
      </c>
      <c r="H3312" s="55" t="str">
        <f>IFERROR(IF(OR($B3312="",$B3312="(blank)"),"",VLOOKUP($B3312,'Email Marketing Raw Data'!$C:$O,5,0)),"")</f>
        <v/>
      </c>
      <c r="I3312" s="55" t="str">
        <f>IFERROR(IF($G3312="","",VLOOKUP('Dashboard And Emails Automate'!$G3312,Database!$H:$N,3,0)),"")</f>
        <v/>
      </c>
      <c r="J3312" s="55" t="str">
        <f>IFERROR(IF($G3312="","",VLOOKUP('Dashboard And Emails Automate'!$G3312,Database!$H:$N,4,0)),"")</f>
        <v/>
      </c>
      <c r="K3312" s="55" t="str">
        <f>IFERROR(IF($G3312="","",VLOOKUP('Dashboard And Emails Automate'!$G3312,Database!$H:$N,5,0)),"")</f>
        <v/>
      </c>
      <c r="L3312" s="55" t="str">
        <f>IFERROR(IF($G3312="","",VLOOKUP('Dashboard And Emails Automate'!$G3312,Database!$H:$N,6,0)),"")</f>
        <v/>
      </c>
      <c r="M3312" s="55" t="str">
        <f>IFERROR(IF($G3312="","",VLOOKUP('Dashboard And Emails Automate'!$G3312,Database!$H:$N,7,0)),"")</f>
        <v/>
      </c>
      <c r="N3312" s="55" t="str">
        <f>IFERROR(IF(OR($B3312="",$B3312="(blank)"),"",VLOOKUP($B3312,'Email Marketing Raw Data'!$C:$O,6,0)),"")</f>
        <v/>
      </c>
      <c r="O3312" s="55" t="str">
        <f>IFERROR(IF(OR($B3312="",$B3312="(blank)"),"",VLOOKUP($B3312,'Email Marketing Raw Data'!$C:$O,7,0)),"")</f>
        <v/>
      </c>
      <c r="P3312" s="55" t="str">
        <f>IFERROR(IF(OR($B3312="",$B3312="(blank)"),"",VLOOKUP($B3312,'Email Marketing Raw Data'!$C:$O,8,0)),"")</f>
        <v/>
      </c>
      <c r="Q3312" s="62" t="str">
        <f>IFERROR(IF(OR($B3312="",$B3312="(blank)"),"",VLOOKUP($B3312,'Email Marketing Raw Data'!$C:$O,9,0)),"")</f>
        <v/>
      </c>
    </row>
    <row r="3313" spans="4:17" ht="12.75" customHeight="1" x14ac:dyDescent="0.2">
      <c r="D3313" s="58" t="str">
        <f>IFERROR(IF(F3313&lt;&gt;"pending","",IF(OR($B3313="",$B3313="(blank)"),"",VLOOKUP($B3313,'Email Marketing Raw Data'!$C:$O,10,0))),"")</f>
        <v/>
      </c>
      <c r="E3313" s="59" t="str">
        <f>IFERROR(IF(F3313&lt;&gt;"pending","",IF(OR($B3313="",$B3313="(blank)"),"",VLOOKUP($B3313,'Email Marketing Raw Data'!$C:$O,11,0))),"")</f>
        <v/>
      </c>
      <c r="F3313" s="54" t="str">
        <f>IFERROR(IF(OR($B3313="",$B3313="(blank)"),"",VLOOKUP($B3313,'Email Marketing Raw Data'!$C:$O,13,0)),"")</f>
        <v/>
      </c>
      <c r="G3313" s="55" t="str">
        <f>IFERROR(IF(OR($B3313="",$B3313="(blank)"),"",VLOOKUP($B3313,'Email Marketing Raw Data'!$C:$O,4,0)),"")</f>
        <v/>
      </c>
      <c r="H3313" s="55" t="str">
        <f>IFERROR(IF(OR($B3313="",$B3313="(blank)"),"",VLOOKUP($B3313,'Email Marketing Raw Data'!$C:$O,5,0)),"")</f>
        <v/>
      </c>
      <c r="I3313" s="55" t="str">
        <f>IFERROR(IF($G3313="","",VLOOKUP('Dashboard And Emails Automate'!$G3313,Database!$H:$N,3,0)),"")</f>
        <v/>
      </c>
      <c r="J3313" s="55" t="str">
        <f>IFERROR(IF($G3313="","",VLOOKUP('Dashboard And Emails Automate'!$G3313,Database!$H:$N,4,0)),"")</f>
        <v/>
      </c>
      <c r="K3313" s="55" t="str">
        <f>IFERROR(IF($G3313="","",VLOOKUP('Dashboard And Emails Automate'!$G3313,Database!$H:$N,5,0)),"")</f>
        <v/>
      </c>
      <c r="L3313" s="55" t="str">
        <f>IFERROR(IF($G3313="","",VLOOKUP('Dashboard And Emails Automate'!$G3313,Database!$H:$N,6,0)),"")</f>
        <v/>
      </c>
      <c r="M3313" s="55" t="str">
        <f>IFERROR(IF($G3313="","",VLOOKUP('Dashboard And Emails Automate'!$G3313,Database!$H:$N,7,0)),"")</f>
        <v/>
      </c>
      <c r="N3313" s="55" t="str">
        <f>IFERROR(IF(OR($B3313="",$B3313="(blank)"),"",VLOOKUP($B3313,'Email Marketing Raw Data'!$C:$O,6,0)),"")</f>
        <v/>
      </c>
      <c r="O3313" s="55" t="str">
        <f>IFERROR(IF(OR($B3313="",$B3313="(blank)"),"",VLOOKUP($B3313,'Email Marketing Raw Data'!$C:$O,7,0)),"")</f>
        <v/>
      </c>
      <c r="P3313" s="55" t="str">
        <f>IFERROR(IF(OR($B3313="",$B3313="(blank)"),"",VLOOKUP($B3313,'Email Marketing Raw Data'!$C:$O,8,0)),"")</f>
        <v/>
      </c>
      <c r="Q3313" s="62" t="str">
        <f>IFERROR(IF(OR($B3313="",$B3313="(blank)"),"",VLOOKUP($B3313,'Email Marketing Raw Data'!$C:$O,9,0)),"")</f>
        <v/>
      </c>
    </row>
    <row r="3314" spans="4:17" ht="12.75" customHeight="1" x14ac:dyDescent="0.2">
      <c r="D3314" s="58" t="str">
        <f>IFERROR(IF(F3314&lt;&gt;"pending","",IF(OR($B3314="",$B3314="(blank)"),"",VLOOKUP($B3314,'Email Marketing Raw Data'!$C:$O,10,0))),"")</f>
        <v/>
      </c>
      <c r="E3314" s="59" t="str">
        <f>IFERROR(IF(F3314&lt;&gt;"pending","",IF(OR($B3314="",$B3314="(blank)"),"",VLOOKUP($B3314,'Email Marketing Raw Data'!$C:$O,11,0))),"")</f>
        <v/>
      </c>
      <c r="F3314" s="54" t="str">
        <f>IFERROR(IF(OR($B3314="",$B3314="(blank)"),"",VLOOKUP($B3314,'Email Marketing Raw Data'!$C:$O,13,0)),"")</f>
        <v/>
      </c>
      <c r="G3314" s="55" t="str">
        <f>IFERROR(IF(OR($B3314="",$B3314="(blank)"),"",VLOOKUP($B3314,'Email Marketing Raw Data'!$C:$O,4,0)),"")</f>
        <v/>
      </c>
      <c r="H3314" s="55" t="str">
        <f>IFERROR(IF(OR($B3314="",$B3314="(blank)"),"",VLOOKUP($B3314,'Email Marketing Raw Data'!$C:$O,5,0)),"")</f>
        <v/>
      </c>
      <c r="I3314" s="55" t="str">
        <f>IFERROR(IF($G3314="","",VLOOKUP('Dashboard And Emails Automate'!$G3314,Database!$H:$N,3,0)),"")</f>
        <v/>
      </c>
      <c r="J3314" s="55" t="str">
        <f>IFERROR(IF($G3314="","",VLOOKUP('Dashboard And Emails Automate'!$G3314,Database!$H:$N,4,0)),"")</f>
        <v/>
      </c>
      <c r="K3314" s="55" t="str">
        <f>IFERROR(IF($G3314="","",VLOOKUP('Dashboard And Emails Automate'!$G3314,Database!$H:$N,5,0)),"")</f>
        <v/>
      </c>
      <c r="L3314" s="55" t="str">
        <f>IFERROR(IF($G3314="","",VLOOKUP('Dashboard And Emails Automate'!$G3314,Database!$H:$N,6,0)),"")</f>
        <v/>
      </c>
      <c r="M3314" s="55" t="str">
        <f>IFERROR(IF($G3314="","",VLOOKUP('Dashboard And Emails Automate'!$G3314,Database!$H:$N,7,0)),"")</f>
        <v/>
      </c>
      <c r="N3314" s="55" t="str">
        <f>IFERROR(IF(OR($B3314="",$B3314="(blank)"),"",VLOOKUP($B3314,'Email Marketing Raw Data'!$C:$O,6,0)),"")</f>
        <v/>
      </c>
      <c r="O3314" s="55" t="str">
        <f>IFERROR(IF(OR($B3314="",$B3314="(blank)"),"",VLOOKUP($B3314,'Email Marketing Raw Data'!$C:$O,7,0)),"")</f>
        <v/>
      </c>
      <c r="P3314" s="55" t="str">
        <f>IFERROR(IF(OR($B3314="",$B3314="(blank)"),"",VLOOKUP($B3314,'Email Marketing Raw Data'!$C:$O,8,0)),"")</f>
        <v/>
      </c>
      <c r="Q3314" s="62" t="str">
        <f>IFERROR(IF(OR($B3314="",$B3314="(blank)"),"",VLOOKUP($B3314,'Email Marketing Raw Data'!$C:$O,9,0)),"")</f>
        <v/>
      </c>
    </row>
    <row r="3315" spans="4:17" ht="12.75" customHeight="1" x14ac:dyDescent="0.2">
      <c r="D3315" s="58" t="str">
        <f>IFERROR(IF(F3315&lt;&gt;"pending","",IF(OR($B3315="",$B3315="(blank)"),"",VLOOKUP($B3315,'Email Marketing Raw Data'!$C:$O,10,0))),"")</f>
        <v/>
      </c>
      <c r="E3315" s="59" t="str">
        <f>IFERROR(IF(F3315&lt;&gt;"pending","",IF(OR($B3315="",$B3315="(blank)"),"",VLOOKUP($B3315,'Email Marketing Raw Data'!$C:$O,11,0))),"")</f>
        <v/>
      </c>
      <c r="F3315" s="54" t="str">
        <f>IFERROR(IF(OR($B3315="",$B3315="(blank)"),"",VLOOKUP($B3315,'Email Marketing Raw Data'!$C:$O,13,0)),"")</f>
        <v/>
      </c>
      <c r="G3315" s="55" t="str">
        <f>IFERROR(IF(OR($B3315="",$B3315="(blank)"),"",VLOOKUP($B3315,'Email Marketing Raw Data'!$C:$O,4,0)),"")</f>
        <v/>
      </c>
      <c r="H3315" s="55" t="str">
        <f>IFERROR(IF(OR($B3315="",$B3315="(blank)"),"",VLOOKUP($B3315,'Email Marketing Raw Data'!$C:$O,5,0)),"")</f>
        <v/>
      </c>
      <c r="I3315" s="55" t="str">
        <f>IFERROR(IF($G3315="","",VLOOKUP('Dashboard And Emails Automate'!$G3315,Database!$H:$N,3,0)),"")</f>
        <v/>
      </c>
      <c r="J3315" s="55" t="str">
        <f>IFERROR(IF($G3315="","",VLOOKUP('Dashboard And Emails Automate'!$G3315,Database!$H:$N,4,0)),"")</f>
        <v/>
      </c>
      <c r="K3315" s="55" t="str">
        <f>IFERROR(IF($G3315="","",VLOOKUP('Dashboard And Emails Automate'!$G3315,Database!$H:$N,5,0)),"")</f>
        <v/>
      </c>
      <c r="L3315" s="55" t="str">
        <f>IFERROR(IF($G3315="","",VLOOKUP('Dashboard And Emails Automate'!$G3315,Database!$H:$N,6,0)),"")</f>
        <v/>
      </c>
      <c r="M3315" s="55" t="str">
        <f>IFERROR(IF($G3315="","",VLOOKUP('Dashboard And Emails Automate'!$G3315,Database!$H:$N,7,0)),"")</f>
        <v/>
      </c>
      <c r="N3315" s="55" t="str">
        <f>IFERROR(IF(OR($B3315="",$B3315="(blank)"),"",VLOOKUP($B3315,'Email Marketing Raw Data'!$C:$O,6,0)),"")</f>
        <v/>
      </c>
      <c r="O3315" s="55" t="str">
        <f>IFERROR(IF(OR($B3315="",$B3315="(blank)"),"",VLOOKUP($B3315,'Email Marketing Raw Data'!$C:$O,7,0)),"")</f>
        <v/>
      </c>
      <c r="P3315" s="55" t="str">
        <f>IFERROR(IF(OR($B3315="",$B3315="(blank)"),"",VLOOKUP($B3315,'Email Marketing Raw Data'!$C:$O,8,0)),"")</f>
        <v/>
      </c>
      <c r="Q3315" s="62" t="str">
        <f>IFERROR(IF(OR($B3315="",$B3315="(blank)"),"",VLOOKUP($B3315,'Email Marketing Raw Data'!$C:$O,9,0)),"")</f>
        <v/>
      </c>
    </row>
    <row r="3316" spans="4:17" ht="12.75" customHeight="1" x14ac:dyDescent="0.2">
      <c r="D3316" s="58" t="str">
        <f>IFERROR(IF(F3316&lt;&gt;"pending","",IF(OR($B3316="",$B3316="(blank)"),"",VLOOKUP($B3316,'Email Marketing Raw Data'!$C:$O,10,0))),"")</f>
        <v/>
      </c>
      <c r="E3316" s="59" t="str">
        <f>IFERROR(IF(F3316&lt;&gt;"pending","",IF(OR($B3316="",$B3316="(blank)"),"",VLOOKUP($B3316,'Email Marketing Raw Data'!$C:$O,11,0))),"")</f>
        <v/>
      </c>
      <c r="F3316" s="54" t="str">
        <f>IFERROR(IF(OR($B3316="",$B3316="(blank)"),"",VLOOKUP($B3316,'Email Marketing Raw Data'!$C:$O,13,0)),"")</f>
        <v/>
      </c>
      <c r="G3316" s="55" t="str">
        <f>IFERROR(IF(OR($B3316="",$B3316="(blank)"),"",VLOOKUP($B3316,'Email Marketing Raw Data'!$C:$O,4,0)),"")</f>
        <v/>
      </c>
      <c r="H3316" s="55" t="str">
        <f>IFERROR(IF(OR($B3316="",$B3316="(blank)"),"",VLOOKUP($B3316,'Email Marketing Raw Data'!$C:$O,5,0)),"")</f>
        <v/>
      </c>
      <c r="I3316" s="55" t="str">
        <f>IFERROR(IF($G3316="","",VLOOKUP('Dashboard And Emails Automate'!$G3316,Database!$H:$N,3,0)),"")</f>
        <v/>
      </c>
      <c r="J3316" s="55" t="str">
        <f>IFERROR(IF($G3316="","",VLOOKUP('Dashboard And Emails Automate'!$G3316,Database!$H:$N,4,0)),"")</f>
        <v/>
      </c>
      <c r="K3316" s="55" t="str">
        <f>IFERROR(IF($G3316="","",VLOOKUP('Dashboard And Emails Automate'!$G3316,Database!$H:$N,5,0)),"")</f>
        <v/>
      </c>
      <c r="L3316" s="55" t="str">
        <f>IFERROR(IF($G3316="","",VLOOKUP('Dashboard And Emails Automate'!$G3316,Database!$H:$N,6,0)),"")</f>
        <v/>
      </c>
      <c r="M3316" s="55" t="str">
        <f>IFERROR(IF($G3316="","",VLOOKUP('Dashboard And Emails Automate'!$G3316,Database!$H:$N,7,0)),"")</f>
        <v/>
      </c>
      <c r="N3316" s="55" t="str">
        <f>IFERROR(IF(OR($B3316="",$B3316="(blank)"),"",VLOOKUP($B3316,'Email Marketing Raw Data'!$C:$O,6,0)),"")</f>
        <v/>
      </c>
      <c r="O3316" s="55" t="str">
        <f>IFERROR(IF(OR($B3316="",$B3316="(blank)"),"",VLOOKUP($B3316,'Email Marketing Raw Data'!$C:$O,7,0)),"")</f>
        <v/>
      </c>
      <c r="P3316" s="55" t="str">
        <f>IFERROR(IF(OR($B3316="",$B3316="(blank)"),"",VLOOKUP($B3316,'Email Marketing Raw Data'!$C:$O,8,0)),"")</f>
        <v/>
      </c>
      <c r="Q3316" s="62" t="str">
        <f>IFERROR(IF(OR($B3316="",$B3316="(blank)"),"",VLOOKUP($B3316,'Email Marketing Raw Data'!$C:$O,9,0)),"")</f>
        <v/>
      </c>
    </row>
    <row r="3317" spans="4:17" ht="12.75" customHeight="1" x14ac:dyDescent="0.2">
      <c r="D3317" s="58" t="str">
        <f>IFERROR(IF(F3317&lt;&gt;"pending","",IF(OR($B3317="",$B3317="(blank)"),"",VLOOKUP($B3317,'Email Marketing Raw Data'!$C:$O,10,0))),"")</f>
        <v/>
      </c>
      <c r="E3317" s="59" t="str">
        <f>IFERROR(IF(F3317&lt;&gt;"pending","",IF(OR($B3317="",$B3317="(blank)"),"",VLOOKUP($B3317,'Email Marketing Raw Data'!$C:$O,11,0))),"")</f>
        <v/>
      </c>
      <c r="F3317" s="54" t="str">
        <f>IFERROR(IF(OR($B3317="",$B3317="(blank)"),"",VLOOKUP($B3317,'Email Marketing Raw Data'!$C:$O,13,0)),"")</f>
        <v/>
      </c>
      <c r="G3317" s="55" t="str">
        <f>IFERROR(IF(OR($B3317="",$B3317="(blank)"),"",VLOOKUP($B3317,'Email Marketing Raw Data'!$C:$O,4,0)),"")</f>
        <v/>
      </c>
      <c r="H3317" s="55" t="str">
        <f>IFERROR(IF(OR($B3317="",$B3317="(blank)"),"",VLOOKUP($B3317,'Email Marketing Raw Data'!$C:$O,5,0)),"")</f>
        <v/>
      </c>
      <c r="I3317" s="55" t="str">
        <f>IFERROR(IF($G3317="","",VLOOKUP('Dashboard And Emails Automate'!$G3317,Database!$H:$N,3,0)),"")</f>
        <v/>
      </c>
      <c r="J3317" s="55" t="str">
        <f>IFERROR(IF($G3317="","",VLOOKUP('Dashboard And Emails Automate'!$G3317,Database!$H:$N,4,0)),"")</f>
        <v/>
      </c>
      <c r="K3317" s="55" t="str">
        <f>IFERROR(IF($G3317="","",VLOOKUP('Dashboard And Emails Automate'!$G3317,Database!$H:$N,5,0)),"")</f>
        <v/>
      </c>
      <c r="L3317" s="55" t="str">
        <f>IFERROR(IF($G3317="","",VLOOKUP('Dashboard And Emails Automate'!$G3317,Database!$H:$N,6,0)),"")</f>
        <v/>
      </c>
      <c r="M3317" s="55" t="str">
        <f>IFERROR(IF($G3317="","",VLOOKUP('Dashboard And Emails Automate'!$G3317,Database!$H:$N,7,0)),"")</f>
        <v/>
      </c>
      <c r="N3317" s="55" t="str">
        <f>IFERROR(IF(OR($B3317="",$B3317="(blank)"),"",VLOOKUP($B3317,'Email Marketing Raw Data'!$C:$O,6,0)),"")</f>
        <v/>
      </c>
      <c r="O3317" s="55" t="str">
        <f>IFERROR(IF(OR($B3317="",$B3317="(blank)"),"",VLOOKUP($B3317,'Email Marketing Raw Data'!$C:$O,7,0)),"")</f>
        <v/>
      </c>
      <c r="P3317" s="55" t="str">
        <f>IFERROR(IF(OR($B3317="",$B3317="(blank)"),"",VLOOKUP($B3317,'Email Marketing Raw Data'!$C:$O,8,0)),"")</f>
        <v/>
      </c>
      <c r="Q3317" s="62" t="str">
        <f>IFERROR(IF(OR($B3317="",$B3317="(blank)"),"",VLOOKUP($B3317,'Email Marketing Raw Data'!$C:$O,9,0)),"")</f>
        <v/>
      </c>
    </row>
    <row r="3318" spans="4:17" ht="12.75" customHeight="1" x14ac:dyDescent="0.2">
      <c r="D3318" s="58" t="str">
        <f>IFERROR(IF(F3318&lt;&gt;"pending","",IF(OR($B3318="",$B3318="(blank)"),"",VLOOKUP($B3318,'Email Marketing Raw Data'!$C:$O,10,0))),"")</f>
        <v/>
      </c>
      <c r="E3318" s="59" t="str">
        <f>IFERROR(IF(F3318&lt;&gt;"pending","",IF(OR($B3318="",$B3318="(blank)"),"",VLOOKUP($B3318,'Email Marketing Raw Data'!$C:$O,11,0))),"")</f>
        <v/>
      </c>
      <c r="F3318" s="54" t="str">
        <f>IFERROR(IF(OR($B3318="",$B3318="(blank)"),"",VLOOKUP($B3318,'Email Marketing Raw Data'!$C:$O,13,0)),"")</f>
        <v/>
      </c>
      <c r="G3318" s="55" t="str">
        <f>IFERROR(IF(OR($B3318="",$B3318="(blank)"),"",VLOOKUP($B3318,'Email Marketing Raw Data'!$C:$O,4,0)),"")</f>
        <v/>
      </c>
      <c r="H3318" s="55" t="str">
        <f>IFERROR(IF(OR($B3318="",$B3318="(blank)"),"",VLOOKUP($B3318,'Email Marketing Raw Data'!$C:$O,5,0)),"")</f>
        <v/>
      </c>
      <c r="I3318" s="55" t="str">
        <f>IFERROR(IF($G3318="","",VLOOKUP('Dashboard And Emails Automate'!$G3318,Database!$H:$N,3,0)),"")</f>
        <v/>
      </c>
      <c r="J3318" s="55" t="str">
        <f>IFERROR(IF($G3318="","",VLOOKUP('Dashboard And Emails Automate'!$G3318,Database!$H:$N,4,0)),"")</f>
        <v/>
      </c>
      <c r="K3318" s="55" t="str">
        <f>IFERROR(IF($G3318="","",VLOOKUP('Dashboard And Emails Automate'!$G3318,Database!$H:$N,5,0)),"")</f>
        <v/>
      </c>
      <c r="L3318" s="55" t="str">
        <f>IFERROR(IF($G3318="","",VLOOKUP('Dashboard And Emails Automate'!$G3318,Database!$H:$N,6,0)),"")</f>
        <v/>
      </c>
      <c r="M3318" s="55" t="str">
        <f>IFERROR(IF($G3318="","",VLOOKUP('Dashboard And Emails Automate'!$G3318,Database!$H:$N,7,0)),"")</f>
        <v/>
      </c>
      <c r="N3318" s="55" t="str">
        <f>IFERROR(IF(OR($B3318="",$B3318="(blank)"),"",VLOOKUP($B3318,'Email Marketing Raw Data'!$C:$O,6,0)),"")</f>
        <v/>
      </c>
      <c r="O3318" s="55" t="str">
        <f>IFERROR(IF(OR($B3318="",$B3318="(blank)"),"",VLOOKUP($B3318,'Email Marketing Raw Data'!$C:$O,7,0)),"")</f>
        <v/>
      </c>
      <c r="P3318" s="55" t="str">
        <f>IFERROR(IF(OR($B3318="",$B3318="(blank)"),"",VLOOKUP($B3318,'Email Marketing Raw Data'!$C:$O,8,0)),"")</f>
        <v/>
      </c>
      <c r="Q3318" s="62" t="str">
        <f>IFERROR(IF(OR($B3318="",$B3318="(blank)"),"",VLOOKUP($B3318,'Email Marketing Raw Data'!$C:$O,9,0)),"")</f>
        <v/>
      </c>
    </row>
    <row r="3319" spans="4:17" ht="12.75" customHeight="1" x14ac:dyDescent="0.2">
      <c r="D3319" s="58" t="str">
        <f>IFERROR(IF(F3319&lt;&gt;"pending","",IF(OR($B3319="",$B3319="(blank)"),"",VLOOKUP($B3319,'Email Marketing Raw Data'!$C:$O,10,0))),"")</f>
        <v/>
      </c>
      <c r="E3319" s="59" t="str">
        <f>IFERROR(IF(F3319&lt;&gt;"pending","",IF(OR($B3319="",$B3319="(blank)"),"",VLOOKUP($B3319,'Email Marketing Raw Data'!$C:$O,11,0))),"")</f>
        <v/>
      </c>
      <c r="F3319" s="54" t="str">
        <f>IFERROR(IF(OR($B3319="",$B3319="(blank)"),"",VLOOKUP($B3319,'Email Marketing Raw Data'!$C:$O,13,0)),"")</f>
        <v/>
      </c>
      <c r="G3319" s="55" t="str">
        <f>IFERROR(IF(OR($B3319="",$B3319="(blank)"),"",VLOOKUP($B3319,'Email Marketing Raw Data'!$C:$O,4,0)),"")</f>
        <v/>
      </c>
      <c r="H3319" s="55" t="str">
        <f>IFERROR(IF(OR($B3319="",$B3319="(blank)"),"",VLOOKUP($B3319,'Email Marketing Raw Data'!$C:$O,5,0)),"")</f>
        <v/>
      </c>
      <c r="I3319" s="55" t="str">
        <f>IFERROR(IF($G3319="","",VLOOKUP('Dashboard And Emails Automate'!$G3319,Database!$H:$N,3,0)),"")</f>
        <v/>
      </c>
      <c r="J3319" s="55" t="str">
        <f>IFERROR(IF($G3319="","",VLOOKUP('Dashboard And Emails Automate'!$G3319,Database!$H:$N,4,0)),"")</f>
        <v/>
      </c>
      <c r="K3319" s="55" t="str">
        <f>IFERROR(IF($G3319="","",VLOOKUP('Dashboard And Emails Automate'!$G3319,Database!$H:$N,5,0)),"")</f>
        <v/>
      </c>
      <c r="L3319" s="55" t="str">
        <f>IFERROR(IF($G3319="","",VLOOKUP('Dashboard And Emails Automate'!$G3319,Database!$H:$N,6,0)),"")</f>
        <v/>
      </c>
      <c r="M3319" s="55" t="str">
        <f>IFERROR(IF($G3319="","",VLOOKUP('Dashboard And Emails Automate'!$G3319,Database!$H:$N,7,0)),"")</f>
        <v/>
      </c>
      <c r="N3319" s="55" t="str">
        <f>IFERROR(IF(OR($B3319="",$B3319="(blank)"),"",VLOOKUP($B3319,'Email Marketing Raw Data'!$C:$O,6,0)),"")</f>
        <v/>
      </c>
      <c r="O3319" s="55" t="str">
        <f>IFERROR(IF(OR($B3319="",$B3319="(blank)"),"",VLOOKUP($B3319,'Email Marketing Raw Data'!$C:$O,7,0)),"")</f>
        <v/>
      </c>
      <c r="P3319" s="55" t="str">
        <f>IFERROR(IF(OR($B3319="",$B3319="(blank)"),"",VLOOKUP($B3319,'Email Marketing Raw Data'!$C:$O,8,0)),"")</f>
        <v/>
      </c>
      <c r="Q3319" s="62" t="str">
        <f>IFERROR(IF(OR($B3319="",$B3319="(blank)"),"",VLOOKUP($B3319,'Email Marketing Raw Data'!$C:$O,9,0)),"")</f>
        <v/>
      </c>
    </row>
    <row r="3320" spans="4:17" ht="12.75" customHeight="1" x14ac:dyDescent="0.2">
      <c r="D3320" s="58" t="str">
        <f>IFERROR(IF(F3320&lt;&gt;"pending","",IF(OR($B3320="",$B3320="(blank)"),"",VLOOKUP($B3320,'Email Marketing Raw Data'!$C:$O,10,0))),"")</f>
        <v/>
      </c>
      <c r="E3320" s="59" t="str">
        <f>IFERROR(IF(F3320&lt;&gt;"pending","",IF(OR($B3320="",$B3320="(blank)"),"",VLOOKUP($B3320,'Email Marketing Raw Data'!$C:$O,11,0))),"")</f>
        <v/>
      </c>
      <c r="F3320" s="54" t="str">
        <f>IFERROR(IF(OR($B3320="",$B3320="(blank)"),"",VLOOKUP($B3320,'Email Marketing Raw Data'!$C:$O,13,0)),"")</f>
        <v/>
      </c>
      <c r="G3320" s="55" t="str">
        <f>IFERROR(IF(OR($B3320="",$B3320="(blank)"),"",VLOOKUP($B3320,'Email Marketing Raw Data'!$C:$O,4,0)),"")</f>
        <v/>
      </c>
      <c r="H3320" s="55" t="str">
        <f>IFERROR(IF(OR($B3320="",$B3320="(blank)"),"",VLOOKUP($B3320,'Email Marketing Raw Data'!$C:$O,5,0)),"")</f>
        <v/>
      </c>
      <c r="I3320" s="55" t="str">
        <f>IFERROR(IF($G3320="","",VLOOKUP('Dashboard And Emails Automate'!$G3320,Database!$H:$N,3,0)),"")</f>
        <v/>
      </c>
      <c r="J3320" s="55" t="str">
        <f>IFERROR(IF($G3320="","",VLOOKUP('Dashboard And Emails Automate'!$G3320,Database!$H:$N,4,0)),"")</f>
        <v/>
      </c>
      <c r="K3320" s="55" t="str">
        <f>IFERROR(IF($G3320="","",VLOOKUP('Dashboard And Emails Automate'!$G3320,Database!$H:$N,5,0)),"")</f>
        <v/>
      </c>
      <c r="L3320" s="55" t="str">
        <f>IFERROR(IF($G3320="","",VLOOKUP('Dashboard And Emails Automate'!$G3320,Database!$H:$N,6,0)),"")</f>
        <v/>
      </c>
      <c r="M3320" s="55" t="str">
        <f>IFERROR(IF($G3320="","",VLOOKUP('Dashboard And Emails Automate'!$G3320,Database!$H:$N,7,0)),"")</f>
        <v/>
      </c>
      <c r="N3320" s="55" t="str">
        <f>IFERROR(IF(OR($B3320="",$B3320="(blank)"),"",VLOOKUP($B3320,'Email Marketing Raw Data'!$C:$O,6,0)),"")</f>
        <v/>
      </c>
      <c r="O3320" s="55" t="str">
        <f>IFERROR(IF(OR($B3320="",$B3320="(blank)"),"",VLOOKUP($B3320,'Email Marketing Raw Data'!$C:$O,7,0)),"")</f>
        <v/>
      </c>
      <c r="P3320" s="55" t="str">
        <f>IFERROR(IF(OR($B3320="",$B3320="(blank)"),"",VLOOKUP($B3320,'Email Marketing Raw Data'!$C:$O,8,0)),"")</f>
        <v/>
      </c>
      <c r="Q3320" s="62" t="str">
        <f>IFERROR(IF(OR($B3320="",$B3320="(blank)"),"",VLOOKUP($B3320,'Email Marketing Raw Data'!$C:$O,9,0)),"")</f>
        <v/>
      </c>
    </row>
    <row r="3321" spans="4:17" ht="12.75" customHeight="1" x14ac:dyDescent="0.2">
      <c r="D3321" s="58" t="str">
        <f>IFERROR(IF(F3321&lt;&gt;"pending","",IF(OR($B3321="",$B3321="(blank)"),"",VLOOKUP($B3321,'Email Marketing Raw Data'!$C:$O,10,0))),"")</f>
        <v/>
      </c>
      <c r="E3321" s="59" t="str">
        <f>IFERROR(IF(F3321&lt;&gt;"pending","",IF(OR($B3321="",$B3321="(blank)"),"",VLOOKUP($B3321,'Email Marketing Raw Data'!$C:$O,11,0))),"")</f>
        <v/>
      </c>
      <c r="F3321" s="54" t="str">
        <f>IFERROR(IF(OR($B3321="",$B3321="(blank)"),"",VLOOKUP($B3321,'Email Marketing Raw Data'!$C:$O,13,0)),"")</f>
        <v/>
      </c>
      <c r="G3321" s="55" t="str">
        <f>IFERROR(IF(OR($B3321="",$B3321="(blank)"),"",VLOOKUP($B3321,'Email Marketing Raw Data'!$C:$O,4,0)),"")</f>
        <v/>
      </c>
      <c r="H3321" s="55" t="str">
        <f>IFERROR(IF(OR($B3321="",$B3321="(blank)"),"",VLOOKUP($B3321,'Email Marketing Raw Data'!$C:$O,5,0)),"")</f>
        <v/>
      </c>
      <c r="I3321" s="55" t="str">
        <f>IFERROR(IF($G3321="","",VLOOKUP('Dashboard And Emails Automate'!$G3321,Database!$H:$N,3,0)),"")</f>
        <v/>
      </c>
      <c r="J3321" s="55" t="str">
        <f>IFERROR(IF($G3321="","",VLOOKUP('Dashboard And Emails Automate'!$G3321,Database!$H:$N,4,0)),"")</f>
        <v/>
      </c>
      <c r="K3321" s="55" t="str">
        <f>IFERROR(IF($G3321="","",VLOOKUP('Dashboard And Emails Automate'!$G3321,Database!$H:$N,5,0)),"")</f>
        <v/>
      </c>
      <c r="L3321" s="55" t="str">
        <f>IFERROR(IF($G3321="","",VLOOKUP('Dashboard And Emails Automate'!$G3321,Database!$H:$N,6,0)),"")</f>
        <v/>
      </c>
      <c r="M3321" s="55" t="str">
        <f>IFERROR(IF($G3321="","",VLOOKUP('Dashboard And Emails Automate'!$G3321,Database!$H:$N,7,0)),"")</f>
        <v/>
      </c>
      <c r="N3321" s="55" t="str">
        <f>IFERROR(IF(OR($B3321="",$B3321="(blank)"),"",VLOOKUP($B3321,'Email Marketing Raw Data'!$C:$O,6,0)),"")</f>
        <v/>
      </c>
      <c r="O3321" s="55" t="str">
        <f>IFERROR(IF(OR($B3321="",$B3321="(blank)"),"",VLOOKUP($B3321,'Email Marketing Raw Data'!$C:$O,7,0)),"")</f>
        <v/>
      </c>
      <c r="P3321" s="55" t="str">
        <f>IFERROR(IF(OR($B3321="",$B3321="(blank)"),"",VLOOKUP($B3321,'Email Marketing Raw Data'!$C:$O,8,0)),"")</f>
        <v/>
      </c>
      <c r="Q3321" s="62" t="str">
        <f>IFERROR(IF(OR($B3321="",$B3321="(blank)"),"",VLOOKUP($B3321,'Email Marketing Raw Data'!$C:$O,9,0)),"")</f>
        <v/>
      </c>
    </row>
    <row r="3322" spans="4:17" ht="12.75" customHeight="1" x14ac:dyDescent="0.2">
      <c r="D3322" s="58" t="str">
        <f>IFERROR(IF(F3322&lt;&gt;"pending","",IF(OR($B3322="",$B3322="(blank)"),"",VLOOKUP($B3322,'Email Marketing Raw Data'!$C:$O,10,0))),"")</f>
        <v/>
      </c>
      <c r="E3322" s="59" t="str">
        <f>IFERROR(IF(F3322&lt;&gt;"pending","",IF(OR($B3322="",$B3322="(blank)"),"",VLOOKUP($B3322,'Email Marketing Raw Data'!$C:$O,11,0))),"")</f>
        <v/>
      </c>
      <c r="F3322" s="54" t="str">
        <f>IFERROR(IF(OR($B3322="",$B3322="(blank)"),"",VLOOKUP($B3322,'Email Marketing Raw Data'!$C:$O,13,0)),"")</f>
        <v/>
      </c>
      <c r="G3322" s="55" t="str">
        <f>IFERROR(IF(OR($B3322="",$B3322="(blank)"),"",VLOOKUP($B3322,'Email Marketing Raw Data'!$C:$O,4,0)),"")</f>
        <v/>
      </c>
      <c r="H3322" s="55" t="str">
        <f>IFERROR(IF(OR($B3322="",$B3322="(blank)"),"",VLOOKUP($B3322,'Email Marketing Raw Data'!$C:$O,5,0)),"")</f>
        <v/>
      </c>
      <c r="I3322" s="55" t="str">
        <f>IFERROR(IF($G3322="","",VLOOKUP('Dashboard And Emails Automate'!$G3322,Database!$H:$N,3,0)),"")</f>
        <v/>
      </c>
      <c r="J3322" s="55" t="str">
        <f>IFERROR(IF($G3322="","",VLOOKUP('Dashboard And Emails Automate'!$G3322,Database!$H:$N,4,0)),"")</f>
        <v/>
      </c>
      <c r="K3322" s="55" t="str">
        <f>IFERROR(IF($G3322="","",VLOOKUP('Dashboard And Emails Automate'!$G3322,Database!$H:$N,5,0)),"")</f>
        <v/>
      </c>
      <c r="L3322" s="55" t="str">
        <f>IFERROR(IF($G3322="","",VLOOKUP('Dashboard And Emails Automate'!$G3322,Database!$H:$N,6,0)),"")</f>
        <v/>
      </c>
      <c r="M3322" s="55" t="str">
        <f>IFERROR(IF($G3322="","",VLOOKUP('Dashboard And Emails Automate'!$G3322,Database!$H:$N,7,0)),"")</f>
        <v/>
      </c>
      <c r="N3322" s="55" t="str">
        <f>IFERROR(IF(OR($B3322="",$B3322="(blank)"),"",VLOOKUP($B3322,'Email Marketing Raw Data'!$C:$O,6,0)),"")</f>
        <v/>
      </c>
      <c r="O3322" s="55" t="str">
        <f>IFERROR(IF(OR($B3322="",$B3322="(blank)"),"",VLOOKUP($B3322,'Email Marketing Raw Data'!$C:$O,7,0)),"")</f>
        <v/>
      </c>
      <c r="P3322" s="55" t="str">
        <f>IFERROR(IF(OR($B3322="",$B3322="(blank)"),"",VLOOKUP($B3322,'Email Marketing Raw Data'!$C:$O,8,0)),"")</f>
        <v/>
      </c>
      <c r="Q3322" s="62" t="str">
        <f>IFERROR(IF(OR($B3322="",$B3322="(blank)"),"",VLOOKUP($B3322,'Email Marketing Raw Data'!$C:$O,9,0)),"")</f>
        <v/>
      </c>
    </row>
    <row r="3323" spans="4:17" ht="12.75" customHeight="1" x14ac:dyDescent="0.2">
      <c r="D3323" s="58" t="str">
        <f>IFERROR(IF(F3323&lt;&gt;"pending","",IF(OR($B3323="",$B3323="(blank)"),"",VLOOKUP($B3323,'Email Marketing Raw Data'!$C:$O,10,0))),"")</f>
        <v/>
      </c>
      <c r="E3323" s="59" t="str">
        <f>IFERROR(IF(F3323&lt;&gt;"pending","",IF(OR($B3323="",$B3323="(blank)"),"",VLOOKUP($B3323,'Email Marketing Raw Data'!$C:$O,11,0))),"")</f>
        <v/>
      </c>
      <c r="F3323" s="54" t="str">
        <f>IFERROR(IF(OR($B3323="",$B3323="(blank)"),"",VLOOKUP($B3323,'Email Marketing Raw Data'!$C:$O,13,0)),"")</f>
        <v/>
      </c>
      <c r="G3323" s="55" t="str">
        <f>IFERROR(IF(OR($B3323="",$B3323="(blank)"),"",VLOOKUP($B3323,'Email Marketing Raw Data'!$C:$O,4,0)),"")</f>
        <v/>
      </c>
      <c r="H3323" s="55" t="str">
        <f>IFERROR(IF(OR($B3323="",$B3323="(blank)"),"",VLOOKUP($B3323,'Email Marketing Raw Data'!$C:$O,5,0)),"")</f>
        <v/>
      </c>
      <c r="I3323" s="55" t="str">
        <f>IFERROR(IF($G3323="","",VLOOKUP('Dashboard And Emails Automate'!$G3323,Database!$H:$N,3,0)),"")</f>
        <v/>
      </c>
      <c r="J3323" s="55" t="str">
        <f>IFERROR(IF($G3323="","",VLOOKUP('Dashboard And Emails Automate'!$G3323,Database!$H:$N,4,0)),"")</f>
        <v/>
      </c>
      <c r="K3323" s="55" t="str">
        <f>IFERROR(IF($G3323="","",VLOOKUP('Dashboard And Emails Automate'!$G3323,Database!$H:$N,5,0)),"")</f>
        <v/>
      </c>
      <c r="L3323" s="55" t="str">
        <f>IFERROR(IF($G3323="","",VLOOKUP('Dashboard And Emails Automate'!$G3323,Database!$H:$N,6,0)),"")</f>
        <v/>
      </c>
      <c r="M3323" s="55" t="str">
        <f>IFERROR(IF($G3323="","",VLOOKUP('Dashboard And Emails Automate'!$G3323,Database!$H:$N,7,0)),"")</f>
        <v/>
      </c>
      <c r="N3323" s="55" t="str">
        <f>IFERROR(IF(OR($B3323="",$B3323="(blank)"),"",VLOOKUP($B3323,'Email Marketing Raw Data'!$C:$O,6,0)),"")</f>
        <v/>
      </c>
      <c r="O3323" s="55" t="str">
        <f>IFERROR(IF(OR($B3323="",$B3323="(blank)"),"",VLOOKUP($B3323,'Email Marketing Raw Data'!$C:$O,7,0)),"")</f>
        <v/>
      </c>
      <c r="P3323" s="55" t="str">
        <f>IFERROR(IF(OR($B3323="",$B3323="(blank)"),"",VLOOKUP($B3323,'Email Marketing Raw Data'!$C:$O,8,0)),"")</f>
        <v/>
      </c>
      <c r="Q3323" s="62" t="str">
        <f>IFERROR(IF(OR($B3323="",$B3323="(blank)"),"",VLOOKUP($B3323,'Email Marketing Raw Data'!$C:$O,9,0)),"")</f>
        <v/>
      </c>
    </row>
    <row r="3324" spans="4:17" ht="12.75" customHeight="1" x14ac:dyDescent="0.2">
      <c r="D3324" s="58" t="str">
        <f>IFERROR(IF(F3324&lt;&gt;"pending","",IF(OR($B3324="",$B3324="(blank)"),"",VLOOKUP($B3324,'Email Marketing Raw Data'!$C:$O,10,0))),"")</f>
        <v/>
      </c>
      <c r="E3324" s="59" t="str">
        <f>IFERROR(IF(F3324&lt;&gt;"pending","",IF(OR($B3324="",$B3324="(blank)"),"",VLOOKUP($B3324,'Email Marketing Raw Data'!$C:$O,11,0))),"")</f>
        <v/>
      </c>
      <c r="F3324" s="54" t="str">
        <f>IFERROR(IF(OR($B3324="",$B3324="(blank)"),"",VLOOKUP($B3324,'Email Marketing Raw Data'!$C:$O,13,0)),"")</f>
        <v/>
      </c>
      <c r="G3324" s="55" t="str">
        <f>IFERROR(IF(OR($B3324="",$B3324="(blank)"),"",VLOOKUP($B3324,'Email Marketing Raw Data'!$C:$O,4,0)),"")</f>
        <v/>
      </c>
      <c r="H3324" s="55" t="str">
        <f>IFERROR(IF(OR($B3324="",$B3324="(blank)"),"",VLOOKUP($B3324,'Email Marketing Raw Data'!$C:$O,5,0)),"")</f>
        <v/>
      </c>
      <c r="I3324" s="55" t="str">
        <f>IFERROR(IF($G3324="","",VLOOKUP('Dashboard And Emails Automate'!$G3324,Database!$H:$N,3,0)),"")</f>
        <v/>
      </c>
      <c r="J3324" s="55" t="str">
        <f>IFERROR(IF($G3324="","",VLOOKUP('Dashboard And Emails Automate'!$G3324,Database!$H:$N,4,0)),"")</f>
        <v/>
      </c>
      <c r="K3324" s="55" t="str">
        <f>IFERROR(IF($G3324="","",VLOOKUP('Dashboard And Emails Automate'!$G3324,Database!$H:$N,5,0)),"")</f>
        <v/>
      </c>
      <c r="L3324" s="55" t="str">
        <f>IFERROR(IF($G3324="","",VLOOKUP('Dashboard And Emails Automate'!$G3324,Database!$H:$N,6,0)),"")</f>
        <v/>
      </c>
      <c r="M3324" s="55" t="str">
        <f>IFERROR(IF($G3324="","",VLOOKUP('Dashboard And Emails Automate'!$G3324,Database!$H:$N,7,0)),"")</f>
        <v/>
      </c>
      <c r="N3324" s="55" t="str">
        <f>IFERROR(IF(OR($B3324="",$B3324="(blank)"),"",VLOOKUP($B3324,'Email Marketing Raw Data'!$C:$O,6,0)),"")</f>
        <v/>
      </c>
      <c r="O3324" s="55" t="str">
        <f>IFERROR(IF(OR($B3324="",$B3324="(blank)"),"",VLOOKUP($B3324,'Email Marketing Raw Data'!$C:$O,7,0)),"")</f>
        <v/>
      </c>
      <c r="P3324" s="55" t="str">
        <f>IFERROR(IF(OR($B3324="",$B3324="(blank)"),"",VLOOKUP($B3324,'Email Marketing Raw Data'!$C:$O,8,0)),"")</f>
        <v/>
      </c>
      <c r="Q3324" s="62" t="str">
        <f>IFERROR(IF(OR($B3324="",$B3324="(blank)"),"",VLOOKUP($B3324,'Email Marketing Raw Data'!$C:$O,9,0)),"")</f>
        <v/>
      </c>
    </row>
    <row r="3325" spans="4:17" ht="12.75" customHeight="1" x14ac:dyDescent="0.2">
      <c r="D3325" s="58" t="str">
        <f>IFERROR(IF(F3325&lt;&gt;"pending","",IF(OR($B3325="",$B3325="(blank)"),"",VLOOKUP($B3325,'Email Marketing Raw Data'!$C:$O,10,0))),"")</f>
        <v/>
      </c>
      <c r="E3325" s="59" t="str">
        <f>IFERROR(IF(F3325&lt;&gt;"pending","",IF(OR($B3325="",$B3325="(blank)"),"",VLOOKUP($B3325,'Email Marketing Raw Data'!$C:$O,11,0))),"")</f>
        <v/>
      </c>
      <c r="F3325" s="54" t="str">
        <f>IFERROR(IF(OR($B3325="",$B3325="(blank)"),"",VLOOKUP($B3325,'Email Marketing Raw Data'!$C:$O,13,0)),"")</f>
        <v/>
      </c>
      <c r="G3325" s="55" t="str">
        <f>IFERROR(IF(OR($B3325="",$B3325="(blank)"),"",VLOOKUP($B3325,'Email Marketing Raw Data'!$C:$O,4,0)),"")</f>
        <v/>
      </c>
      <c r="H3325" s="55" t="str">
        <f>IFERROR(IF(OR($B3325="",$B3325="(blank)"),"",VLOOKUP($B3325,'Email Marketing Raw Data'!$C:$O,5,0)),"")</f>
        <v/>
      </c>
      <c r="I3325" s="55" t="str">
        <f>IFERROR(IF($G3325="","",VLOOKUP('Dashboard And Emails Automate'!$G3325,Database!$H:$N,3,0)),"")</f>
        <v/>
      </c>
      <c r="J3325" s="55" t="str">
        <f>IFERROR(IF($G3325="","",VLOOKUP('Dashboard And Emails Automate'!$G3325,Database!$H:$N,4,0)),"")</f>
        <v/>
      </c>
      <c r="K3325" s="55" t="str">
        <f>IFERROR(IF($G3325="","",VLOOKUP('Dashboard And Emails Automate'!$G3325,Database!$H:$N,5,0)),"")</f>
        <v/>
      </c>
      <c r="L3325" s="55" t="str">
        <f>IFERROR(IF($G3325="","",VLOOKUP('Dashboard And Emails Automate'!$G3325,Database!$H:$N,6,0)),"")</f>
        <v/>
      </c>
      <c r="M3325" s="55" t="str">
        <f>IFERROR(IF($G3325="","",VLOOKUP('Dashboard And Emails Automate'!$G3325,Database!$H:$N,7,0)),"")</f>
        <v/>
      </c>
      <c r="N3325" s="55" t="str">
        <f>IFERROR(IF(OR($B3325="",$B3325="(blank)"),"",VLOOKUP($B3325,'Email Marketing Raw Data'!$C:$O,6,0)),"")</f>
        <v/>
      </c>
      <c r="O3325" s="55" t="str">
        <f>IFERROR(IF(OR($B3325="",$B3325="(blank)"),"",VLOOKUP($B3325,'Email Marketing Raw Data'!$C:$O,7,0)),"")</f>
        <v/>
      </c>
      <c r="P3325" s="55" t="str">
        <f>IFERROR(IF(OR($B3325="",$B3325="(blank)"),"",VLOOKUP($B3325,'Email Marketing Raw Data'!$C:$O,8,0)),"")</f>
        <v/>
      </c>
      <c r="Q3325" s="62" t="str">
        <f>IFERROR(IF(OR($B3325="",$B3325="(blank)"),"",VLOOKUP($B3325,'Email Marketing Raw Data'!$C:$O,9,0)),"")</f>
        <v/>
      </c>
    </row>
    <row r="3326" spans="4:17" ht="12.75" customHeight="1" x14ac:dyDescent="0.2">
      <c r="D3326" s="58" t="str">
        <f>IFERROR(IF(F3326&lt;&gt;"pending","",IF(OR($B3326="",$B3326="(blank)"),"",VLOOKUP($B3326,'Email Marketing Raw Data'!$C:$O,10,0))),"")</f>
        <v/>
      </c>
      <c r="E3326" s="59" t="str">
        <f>IFERROR(IF(F3326&lt;&gt;"pending","",IF(OR($B3326="",$B3326="(blank)"),"",VLOOKUP($B3326,'Email Marketing Raw Data'!$C:$O,11,0))),"")</f>
        <v/>
      </c>
      <c r="F3326" s="54" t="str">
        <f>IFERROR(IF(OR($B3326="",$B3326="(blank)"),"",VLOOKUP($B3326,'Email Marketing Raw Data'!$C:$O,13,0)),"")</f>
        <v/>
      </c>
      <c r="G3326" s="55" t="str">
        <f>IFERROR(IF(OR($B3326="",$B3326="(blank)"),"",VLOOKUP($B3326,'Email Marketing Raw Data'!$C:$O,4,0)),"")</f>
        <v/>
      </c>
      <c r="H3326" s="55" t="str">
        <f>IFERROR(IF(OR($B3326="",$B3326="(blank)"),"",VLOOKUP($B3326,'Email Marketing Raw Data'!$C:$O,5,0)),"")</f>
        <v/>
      </c>
      <c r="I3326" s="55" t="str">
        <f>IFERROR(IF($G3326="","",VLOOKUP('Dashboard And Emails Automate'!$G3326,Database!$H:$N,3,0)),"")</f>
        <v/>
      </c>
      <c r="J3326" s="55" t="str">
        <f>IFERROR(IF($G3326="","",VLOOKUP('Dashboard And Emails Automate'!$G3326,Database!$H:$N,4,0)),"")</f>
        <v/>
      </c>
      <c r="K3326" s="55" t="str">
        <f>IFERROR(IF($G3326="","",VLOOKUP('Dashboard And Emails Automate'!$G3326,Database!$H:$N,5,0)),"")</f>
        <v/>
      </c>
      <c r="L3326" s="55" t="str">
        <f>IFERROR(IF($G3326="","",VLOOKUP('Dashboard And Emails Automate'!$G3326,Database!$H:$N,6,0)),"")</f>
        <v/>
      </c>
      <c r="M3326" s="55" t="str">
        <f>IFERROR(IF($G3326="","",VLOOKUP('Dashboard And Emails Automate'!$G3326,Database!$H:$N,7,0)),"")</f>
        <v/>
      </c>
      <c r="N3326" s="55" t="str">
        <f>IFERROR(IF(OR($B3326="",$B3326="(blank)"),"",VLOOKUP($B3326,'Email Marketing Raw Data'!$C:$O,6,0)),"")</f>
        <v/>
      </c>
      <c r="O3326" s="55" t="str">
        <f>IFERROR(IF(OR($B3326="",$B3326="(blank)"),"",VLOOKUP($B3326,'Email Marketing Raw Data'!$C:$O,7,0)),"")</f>
        <v/>
      </c>
      <c r="P3326" s="55" t="str">
        <f>IFERROR(IF(OR($B3326="",$B3326="(blank)"),"",VLOOKUP($B3326,'Email Marketing Raw Data'!$C:$O,8,0)),"")</f>
        <v/>
      </c>
      <c r="Q3326" s="62" t="str">
        <f>IFERROR(IF(OR($B3326="",$B3326="(blank)"),"",VLOOKUP($B3326,'Email Marketing Raw Data'!$C:$O,9,0)),"")</f>
        <v/>
      </c>
    </row>
    <row r="3327" spans="4:17" ht="12.75" customHeight="1" x14ac:dyDescent="0.2">
      <c r="D3327" s="58" t="str">
        <f>IFERROR(IF(F3327&lt;&gt;"pending","",IF(OR($B3327="",$B3327="(blank)"),"",VLOOKUP($B3327,'Email Marketing Raw Data'!$C:$O,10,0))),"")</f>
        <v/>
      </c>
      <c r="E3327" s="59" t="str">
        <f>IFERROR(IF(F3327&lt;&gt;"pending","",IF(OR($B3327="",$B3327="(blank)"),"",VLOOKUP($B3327,'Email Marketing Raw Data'!$C:$O,11,0))),"")</f>
        <v/>
      </c>
      <c r="F3327" s="54" t="str">
        <f>IFERROR(IF(OR($B3327="",$B3327="(blank)"),"",VLOOKUP($B3327,'Email Marketing Raw Data'!$C:$O,13,0)),"")</f>
        <v/>
      </c>
      <c r="G3327" s="55" t="str">
        <f>IFERROR(IF(OR($B3327="",$B3327="(blank)"),"",VLOOKUP($B3327,'Email Marketing Raw Data'!$C:$O,4,0)),"")</f>
        <v/>
      </c>
      <c r="H3327" s="55" t="str">
        <f>IFERROR(IF(OR($B3327="",$B3327="(blank)"),"",VLOOKUP($B3327,'Email Marketing Raw Data'!$C:$O,5,0)),"")</f>
        <v/>
      </c>
      <c r="I3327" s="55" t="str">
        <f>IFERROR(IF($G3327="","",VLOOKUP('Dashboard And Emails Automate'!$G3327,Database!$H:$N,3,0)),"")</f>
        <v/>
      </c>
      <c r="J3327" s="55" t="str">
        <f>IFERROR(IF($G3327="","",VLOOKUP('Dashboard And Emails Automate'!$G3327,Database!$H:$N,4,0)),"")</f>
        <v/>
      </c>
      <c r="K3327" s="55" t="str">
        <f>IFERROR(IF($G3327="","",VLOOKUP('Dashboard And Emails Automate'!$G3327,Database!$H:$N,5,0)),"")</f>
        <v/>
      </c>
      <c r="L3327" s="55" t="str">
        <f>IFERROR(IF($G3327="","",VLOOKUP('Dashboard And Emails Automate'!$G3327,Database!$H:$N,6,0)),"")</f>
        <v/>
      </c>
      <c r="M3327" s="55" t="str">
        <f>IFERROR(IF($G3327="","",VLOOKUP('Dashboard And Emails Automate'!$G3327,Database!$H:$N,7,0)),"")</f>
        <v/>
      </c>
      <c r="N3327" s="55" t="str">
        <f>IFERROR(IF(OR($B3327="",$B3327="(blank)"),"",VLOOKUP($B3327,'Email Marketing Raw Data'!$C:$O,6,0)),"")</f>
        <v/>
      </c>
      <c r="O3327" s="55" t="str">
        <f>IFERROR(IF(OR($B3327="",$B3327="(blank)"),"",VLOOKUP($B3327,'Email Marketing Raw Data'!$C:$O,7,0)),"")</f>
        <v/>
      </c>
      <c r="P3327" s="55" t="str">
        <f>IFERROR(IF(OR($B3327="",$B3327="(blank)"),"",VLOOKUP($B3327,'Email Marketing Raw Data'!$C:$O,8,0)),"")</f>
        <v/>
      </c>
      <c r="Q3327" s="62" t="str">
        <f>IFERROR(IF(OR($B3327="",$B3327="(blank)"),"",VLOOKUP($B3327,'Email Marketing Raw Data'!$C:$O,9,0)),"")</f>
        <v/>
      </c>
    </row>
    <row r="3328" spans="4:17" ht="12.75" customHeight="1" x14ac:dyDescent="0.2">
      <c r="D3328" s="58" t="str">
        <f>IFERROR(IF(F3328&lt;&gt;"pending","",IF(OR($B3328="",$B3328="(blank)"),"",VLOOKUP($B3328,'Email Marketing Raw Data'!$C:$O,10,0))),"")</f>
        <v/>
      </c>
      <c r="E3328" s="59" t="str">
        <f>IFERROR(IF(F3328&lt;&gt;"pending","",IF(OR($B3328="",$B3328="(blank)"),"",VLOOKUP($B3328,'Email Marketing Raw Data'!$C:$O,11,0))),"")</f>
        <v/>
      </c>
      <c r="F3328" s="54" t="str">
        <f>IFERROR(IF(OR($B3328="",$B3328="(blank)"),"",VLOOKUP($B3328,'Email Marketing Raw Data'!$C:$O,13,0)),"")</f>
        <v/>
      </c>
      <c r="G3328" s="55" t="str">
        <f>IFERROR(IF(OR($B3328="",$B3328="(blank)"),"",VLOOKUP($B3328,'Email Marketing Raw Data'!$C:$O,4,0)),"")</f>
        <v/>
      </c>
      <c r="H3328" s="55" t="str">
        <f>IFERROR(IF(OR($B3328="",$B3328="(blank)"),"",VLOOKUP($B3328,'Email Marketing Raw Data'!$C:$O,5,0)),"")</f>
        <v/>
      </c>
      <c r="I3328" s="55" t="str">
        <f>IFERROR(IF($G3328="","",VLOOKUP('Dashboard And Emails Automate'!$G3328,Database!$H:$N,3,0)),"")</f>
        <v/>
      </c>
      <c r="J3328" s="55" t="str">
        <f>IFERROR(IF($G3328="","",VLOOKUP('Dashboard And Emails Automate'!$G3328,Database!$H:$N,4,0)),"")</f>
        <v/>
      </c>
      <c r="K3328" s="55" t="str">
        <f>IFERROR(IF($G3328="","",VLOOKUP('Dashboard And Emails Automate'!$G3328,Database!$H:$N,5,0)),"")</f>
        <v/>
      </c>
      <c r="L3328" s="55" t="str">
        <f>IFERROR(IF($G3328="","",VLOOKUP('Dashboard And Emails Automate'!$G3328,Database!$H:$N,6,0)),"")</f>
        <v/>
      </c>
      <c r="M3328" s="55" t="str">
        <f>IFERROR(IF($G3328="","",VLOOKUP('Dashboard And Emails Automate'!$G3328,Database!$H:$N,7,0)),"")</f>
        <v/>
      </c>
      <c r="N3328" s="55" t="str">
        <f>IFERROR(IF(OR($B3328="",$B3328="(blank)"),"",VLOOKUP($B3328,'Email Marketing Raw Data'!$C:$O,6,0)),"")</f>
        <v/>
      </c>
      <c r="O3328" s="55" t="str">
        <f>IFERROR(IF(OR($B3328="",$B3328="(blank)"),"",VLOOKUP($B3328,'Email Marketing Raw Data'!$C:$O,7,0)),"")</f>
        <v/>
      </c>
      <c r="P3328" s="55" t="str">
        <f>IFERROR(IF(OR($B3328="",$B3328="(blank)"),"",VLOOKUP($B3328,'Email Marketing Raw Data'!$C:$O,8,0)),"")</f>
        <v/>
      </c>
      <c r="Q3328" s="62" t="str">
        <f>IFERROR(IF(OR($B3328="",$B3328="(blank)"),"",VLOOKUP($B3328,'Email Marketing Raw Data'!$C:$O,9,0)),"")</f>
        <v/>
      </c>
    </row>
    <row r="3329" spans="4:17" ht="12.75" customHeight="1" x14ac:dyDescent="0.2">
      <c r="D3329" s="58" t="str">
        <f>IFERROR(IF(F3329&lt;&gt;"pending","",IF(OR($B3329="",$B3329="(blank)"),"",VLOOKUP($B3329,'Email Marketing Raw Data'!$C:$O,10,0))),"")</f>
        <v/>
      </c>
      <c r="E3329" s="59" t="str">
        <f>IFERROR(IF(F3329&lt;&gt;"pending","",IF(OR($B3329="",$B3329="(blank)"),"",VLOOKUP($B3329,'Email Marketing Raw Data'!$C:$O,11,0))),"")</f>
        <v/>
      </c>
      <c r="F3329" s="54" t="str">
        <f>IFERROR(IF(OR($B3329="",$B3329="(blank)"),"",VLOOKUP($B3329,'Email Marketing Raw Data'!$C:$O,13,0)),"")</f>
        <v/>
      </c>
      <c r="G3329" s="55" t="str">
        <f>IFERROR(IF(OR($B3329="",$B3329="(blank)"),"",VLOOKUP($B3329,'Email Marketing Raw Data'!$C:$O,4,0)),"")</f>
        <v/>
      </c>
      <c r="H3329" s="55" t="str">
        <f>IFERROR(IF(OR($B3329="",$B3329="(blank)"),"",VLOOKUP($B3329,'Email Marketing Raw Data'!$C:$O,5,0)),"")</f>
        <v/>
      </c>
      <c r="I3329" s="55" t="str">
        <f>IFERROR(IF($G3329="","",VLOOKUP('Dashboard And Emails Automate'!$G3329,Database!$H:$N,3,0)),"")</f>
        <v/>
      </c>
      <c r="J3329" s="55" t="str">
        <f>IFERROR(IF($G3329="","",VLOOKUP('Dashboard And Emails Automate'!$G3329,Database!$H:$N,4,0)),"")</f>
        <v/>
      </c>
      <c r="K3329" s="55" t="str">
        <f>IFERROR(IF($G3329="","",VLOOKUP('Dashboard And Emails Automate'!$G3329,Database!$H:$N,5,0)),"")</f>
        <v/>
      </c>
      <c r="L3329" s="55" t="str">
        <f>IFERROR(IF($G3329="","",VLOOKUP('Dashboard And Emails Automate'!$G3329,Database!$H:$N,6,0)),"")</f>
        <v/>
      </c>
      <c r="M3329" s="55" t="str">
        <f>IFERROR(IF($G3329="","",VLOOKUP('Dashboard And Emails Automate'!$G3329,Database!$H:$N,7,0)),"")</f>
        <v/>
      </c>
      <c r="N3329" s="55" t="str">
        <f>IFERROR(IF(OR($B3329="",$B3329="(blank)"),"",VLOOKUP($B3329,'Email Marketing Raw Data'!$C:$O,6,0)),"")</f>
        <v/>
      </c>
      <c r="O3329" s="55" t="str">
        <f>IFERROR(IF(OR($B3329="",$B3329="(blank)"),"",VLOOKUP($B3329,'Email Marketing Raw Data'!$C:$O,7,0)),"")</f>
        <v/>
      </c>
      <c r="P3329" s="55" t="str">
        <f>IFERROR(IF(OR($B3329="",$B3329="(blank)"),"",VLOOKUP($B3329,'Email Marketing Raw Data'!$C:$O,8,0)),"")</f>
        <v/>
      </c>
      <c r="Q3329" s="62" t="str">
        <f>IFERROR(IF(OR($B3329="",$B3329="(blank)"),"",VLOOKUP($B3329,'Email Marketing Raw Data'!$C:$O,9,0)),"")</f>
        <v/>
      </c>
    </row>
    <row r="3330" spans="4:17" ht="12.75" customHeight="1" x14ac:dyDescent="0.2">
      <c r="D3330" s="58" t="str">
        <f>IFERROR(IF(F3330&lt;&gt;"pending","",IF(OR($B3330="",$B3330="(blank)"),"",VLOOKUP($B3330,'Email Marketing Raw Data'!$C:$O,10,0))),"")</f>
        <v/>
      </c>
      <c r="E3330" s="59" t="str">
        <f>IFERROR(IF(F3330&lt;&gt;"pending","",IF(OR($B3330="",$B3330="(blank)"),"",VLOOKUP($B3330,'Email Marketing Raw Data'!$C:$O,11,0))),"")</f>
        <v/>
      </c>
      <c r="F3330" s="54" t="str">
        <f>IFERROR(IF(OR($B3330="",$B3330="(blank)"),"",VLOOKUP($B3330,'Email Marketing Raw Data'!$C:$O,13,0)),"")</f>
        <v/>
      </c>
      <c r="G3330" s="55" t="str">
        <f>IFERROR(IF(OR($B3330="",$B3330="(blank)"),"",VLOOKUP($B3330,'Email Marketing Raw Data'!$C:$O,4,0)),"")</f>
        <v/>
      </c>
      <c r="H3330" s="55" t="str">
        <f>IFERROR(IF(OR($B3330="",$B3330="(blank)"),"",VLOOKUP($B3330,'Email Marketing Raw Data'!$C:$O,5,0)),"")</f>
        <v/>
      </c>
      <c r="I3330" s="55" t="str">
        <f>IFERROR(IF($G3330="","",VLOOKUP('Dashboard And Emails Automate'!$G3330,Database!$H:$N,3,0)),"")</f>
        <v/>
      </c>
      <c r="J3330" s="55" t="str">
        <f>IFERROR(IF($G3330="","",VLOOKUP('Dashboard And Emails Automate'!$G3330,Database!$H:$N,4,0)),"")</f>
        <v/>
      </c>
      <c r="K3330" s="55" t="str">
        <f>IFERROR(IF($G3330="","",VLOOKUP('Dashboard And Emails Automate'!$G3330,Database!$H:$N,5,0)),"")</f>
        <v/>
      </c>
      <c r="L3330" s="55" t="str">
        <f>IFERROR(IF($G3330="","",VLOOKUP('Dashboard And Emails Automate'!$G3330,Database!$H:$N,6,0)),"")</f>
        <v/>
      </c>
      <c r="M3330" s="55" t="str">
        <f>IFERROR(IF($G3330="","",VLOOKUP('Dashboard And Emails Automate'!$G3330,Database!$H:$N,7,0)),"")</f>
        <v/>
      </c>
      <c r="N3330" s="55" t="str">
        <f>IFERROR(IF(OR($B3330="",$B3330="(blank)"),"",VLOOKUP($B3330,'Email Marketing Raw Data'!$C:$O,6,0)),"")</f>
        <v/>
      </c>
      <c r="O3330" s="55" t="str">
        <f>IFERROR(IF(OR($B3330="",$B3330="(blank)"),"",VLOOKUP($B3330,'Email Marketing Raw Data'!$C:$O,7,0)),"")</f>
        <v/>
      </c>
      <c r="P3330" s="55" t="str">
        <f>IFERROR(IF(OR($B3330="",$B3330="(blank)"),"",VLOOKUP($B3330,'Email Marketing Raw Data'!$C:$O,8,0)),"")</f>
        <v/>
      </c>
      <c r="Q3330" s="62" t="str">
        <f>IFERROR(IF(OR($B3330="",$B3330="(blank)"),"",VLOOKUP($B3330,'Email Marketing Raw Data'!$C:$O,9,0)),"")</f>
        <v/>
      </c>
    </row>
    <row r="3331" spans="4:17" ht="12.75" customHeight="1" x14ac:dyDescent="0.2">
      <c r="D3331" s="58" t="str">
        <f>IFERROR(IF(F3331&lt;&gt;"pending","",IF(OR($B3331="",$B3331="(blank)"),"",VLOOKUP($B3331,'Email Marketing Raw Data'!$C:$O,10,0))),"")</f>
        <v/>
      </c>
      <c r="E3331" s="59" t="str">
        <f>IFERROR(IF(F3331&lt;&gt;"pending","",IF(OR($B3331="",$B3331="(blank)"),"",VLOOKUP($B3331,'Email Marketing Raw Data'!$C:$O,11,0))),"")</f>
        <v/>
      </c>
      <c r="F3331" s="54" t="str">
        <f>IFERROR(IF(OR($B3331="",$B3331="(blank)"),"",VLOOKUP($B3331,'Email Marketing Raw Data'!$C:$O,13,0)),"")</f>
        <v/>
      </c>
      <c r="G3331" s="55" t="str">
        <f>IFERROR(IF(OR($B3331="",$B3331="(blank)"),"",VLOOKUP($B3331,'Email Marketing Raw Data'!$C:$O,4,0)),"")</f>
        <v/>
      </c>
      <c r="H3331" s="55" t="str">
        <f>IFERROR(IF(OR($B3331="",$B3331="(blank)"),"",VLOOKUP($B3331,'Email Marketing Raw Data'!$C:$O,5,0)),"")</f>
        <v/>
      </c>
      <c r="I3331" s="55" t="str">
        <f>IFERROR(IF($G3331="","",VLOOKUP('Dashboard And Emails Automate'!$G3331,Database!$H:$N,3,0)),"")</f>
        <v/>
      </c>
      <c r="J3331" s="55" t="str">
        <f>IFERROR(IF($G3331="","",VLOOKUP('Dashboard And Emails Automate'!$G3331,Database!$H:$N,4,0)),"")</f>
        <v/>
      </c>
      <c r="K3331" s="55" t="str">
        <f>IFERROR(IF($G3331="","",VLOOKUP('Dashboard And Emails Automate'!$G3331,Database!$H:$N,5,0)),"")</f>
        <v/>
      </c>
      <c r="L3331" s="55" t="str">
        <f>IFERROR(IF($G3331="","",VLOOKUP('Dashboard And Emails Automate'!$G3331,Database!$H:$N,6,0)),"")</f>
        <v/>
      </c>
      <c r="M3331" s="55" t="str">
        <f>IFERROR(IF($G3331="","",VLOOKUP('Dashboard And Emails Automate'!$G3331,Database!$H:$N,7,0)),"")</f>
        <v/>
      </c>
      <c r="N3331" s="55" t="str">
        <f>IFERROR(IF(OR($B3331="",$B3331="(blank)"),"",VLOOKUP($B3331,'Email Marketing Raw Data'!$C:$O,6,0)),"")</f>
        <v/>
      </c>
      <c r="O3331" s="55" t="str">
        <f>IFERROR(IF(OR($B3331="",$B3331="(blank)"),"",VLOOKUP($B3331,'Email Marketing Raw Data'!$C:$O,7,0)),"")</f>
        <v/>
      </c>
      <c r="P3331" s="55" t="str">
        <f>IFERROR(IF(OR($B3331="",$B3331="(blank)"),"",VLOOKUP($B3331,'Email Marketing Raw Data'!$C:$O,8,0)),"")</f>
        <v/>
      </c>
      <c r="Q3331" s="62" t="str">
        <f>IFERROR(IF(OR($B3331="",$B3331="(blank)"),"",VLOOKUP($B3331,'Email Marketing Raw Data'!$C:$O,9,0)),"")</f>
        <v/>
      </c>
    </row>
    <row r="3332" spans="4:17" ht="12.75" customHeight="1" x14ac:dyDescent="0.2">
      <c r="D3332" s="58" t="str">
        <f>IFERROR(IF(F3332&lt;&gt;"pending","",IF(OR($B3332="",$B3332="(blank)"),"",VLOOKUP($B3332,'Email Marketing Raw Data'!$C:$O,10,0))),"")</f>
        <v/>
      </c>
      <c r="E3332" s="59" t="str">
        <f>IFERROR(IF(F3332&lt;&gt;"pending","",IF(OR($B3332="",$B3332="(blank)"),"",VLOOKUP($B3332,'Email Marketing Raw Data'!$C:$O,11,0))),"")</f>
        <v/>
      </c>
      <c r="F3332" s="54" t="str">
        <f>IFERROR(IF(OR($B3332="",$B3332="(blank)"),"",VLOOKUP($B3332,'Email Marketing Raw Data'!$C:$O,13,0)),"")</f>
        <v/>
      </c>
      <c r="G3332" s="55" t="str">
        <f>IFERROR(IF(OR($B3332="",$B3332="(blank)"),"",VLOOKUP($B3332,'Email Marketing Raw Data'!$C:$O,4,0)),"")</f>
        <v/>
      </c>
      <c r="H3332" s="55" t="str">
        <f>IFERROR(IF(OR($B3332="",$B3332="(blank)"),"",VLOOKUP($B3332,'Email Marketing Raw Data'!$C:$O,5,0)),"")</f>
        <v/>
      </c>
      <c r="I3332" s="55" t="str">
        <f>IFERROR(IF($G3332="","",VLOOKUP('Dashboard And Emails Automate'!$G3332,Database!$H:$N,3,0)),"")</f>
        <v/>
      </c>
      <c r="J3332" s="55" t="str">
        <f>IFERROR(IF($G3332="","",VLOOKUP('Dashboard And Emails Automate'!$G3332,Database!$H:$N,4,0)),"")</f>
        <v/>
      </c>
      <c r="K3332" s="55" t="str">
        <f>IFERROR(IF($G3332="","",VLOOKUP('Dashboard And Emails Automate'!$G3332,Database!$H:$N,5,0)),"")</f>
        <v/>
      </c>
      <c r="L3332" s="55" t="str">
        <f>IFERROR(IF($G3332="","",VLOOKUP('Dashboard And Emails Automate'!$G3332,Database!$H:$N,6,0)),"")</f>
        <v/>
      </c>
      <c r="M3332" s="55" t="str">
        <f>IFERROR(IF($G3332="","",VLOOKUP('Dashboard And Emails Automate'!$G3332,Database!$H:$N,7,0)),"")</f>
        <v/>
      </c>
      <c r="N3332" s="55" t="str">
        <f>IFERROR(IF(OR($B3332="",$B3332="(blank)"),"",VLOOKUP($B3332,'Email Marketing Raw Data'!$C:$O,6,0)),"")</f>
        <v/>
      </c>
      <c r="O3332" s="55" t="str">
        <f>IFERROR(IF(OR($B3332="",$B3332="(blank)"),"",VLOOKUP($B3332,'Email Marketing Raw Data'!$C:$O,7,0)),"")</f>
        <v/>
      </c>
      <c r="P3332" s="55" t="str">
        <f>IFERROR(IF(OR($B3332="",$B3332="(blank)"),"",VLOOKUP($B3332,'Email Marketing Raw Data'!$C:$O,8,0)),"")</f>
        <v/>
      </c>
      <c r="Q3332" s="62" t="str">
        <f>IFERROR(IF(OR($B3332="",$B3332="(blank)"),"",VLOOKUP($B3332,'Email Marketing Raw Data'!$C:$O,9,0)),"")</f>
        <v/>
      </c>
    </row>
    <row r="3333" spans="4:17" ht="12.75" customHeight="1" x14ac:dyDescent="0.2">
      <c r="D3333" s="58" t="str">
        <f>IFERROR(IF(F3333&lt;&gt;"pending","",IF(OR($B3333="",$B3333="(blank)"),"",VLOOKUP($B3333,'Email Marketing Raw Data'!$C:$O,10,0))),"")</f>
        <v/>
      </c>
      <c r="E3333" s="59" t="str">
        <f>IFERROR(IF(F3333&lt;&gt;"pending","",IF(OR($B3333="",$B3333="(blank)"),"",VLOOKUP($B3333,'Email Marketing Raw Data'!$C:$O,11,0))),"")</f>
        <v/>
      </c>
      <c r="F3333" s="54" t="str">
        <f>IFERROR(IF(OR($B3333="",$B3333="(blank)"),"",VLOOKUP($B3333,'Email Marketing Raw Data'!$C:$O,13,0)),"")</f>
        <v/>
      </c>
      <c r="G3333" s="55" t="str">
        <f>IFERROR(IF(OR($B3333="",$B3333="(blank)"),"",VLOOKUP($B3333,'Email Marketing Raw Data'!$C:$O,4,0)),"")</f>
        <v/>
      </c>
      <c r="H3333" s="55" t="str">
        <f>IFERROR(IF(OR($B3333="",$B3333="(blank)"),"",VLOOKUP($B3333,'Email Marketing Raw Data'!$C:$O,5,0)),"")</f>
        <v/>
      </c>
      <c r="I3333" s="55" t="str">
        <f>IFERROR(IF($G3333="","",VLOOKUP('Dashboard And Emails Automate'!$G3333,Database!$H:$N,3,0)),"")</f>
        <v/>
      </c>
      <c r="J3333" s="55" t="str">
        <f>IFERROR(IF($G3333="","",VLOOKUP('Dashboard And Emails Automate'!$G3333,Database!$H:$N,4,0)),"")</f>
        <v/>
      </c>
      <c r="K3333" s="55" t="str">
        <f>IFERROR(IF($G3333="","",VLOOKUP('Dashboard And Emails Automate'!$G3333,Database!$H:$N,5,0)),"")</f>
        <v/>
      </c>
      <c r="L3333" s="55" t="str">
        <f>IFERROR(IF($G3333="","",VLOOKUP('Dashboard And Emails Automate'!$G3333,Database!$H:$N,6,0)),"")</f>
        <v/>
      </c>
      <c r="M3333" s="55" t="str">
        <f>IFERROR(IF($G3333="","",VLOOKUP('Dashboard And Emails Automate'!$G3333,Database!$H:$N,7,0)),"")</f>
        <v/>
      </c>
      <c r="N3333" s="55" t="str">
        <f>IFERROR(IF(OR($B3333="",$B3333="(blank)"),"",VLOOKUP($B3333,'Email Marketing Raw Data'!$C:$O,6,0)),"")</f>
        <v/>
      </c>
      <c r="O3333" s="55" t="str">
        <f>IFERROR(IF(OR($B3333="",$B3333="(blank)"),"",VLOOKUP($B3333,'Email Marketing Raw Data'!$C:$O,7,0)),"")</f>
        <v/>
      </c>
      <c r="P3333" s="55" t="str">
        <f>IFERROR(IF(OR($B3333="",$B3333="(blank)"),"",VLOOKUP($B3333,'Email Marketing Raw Data'!$C:$O,8,0)),"")</f>
        <v/>
      </c>
      <c r="Q3333" s="62" t="str">
        <f>IFERROR(IF(OR($B3333="",$B3333="(blank)"),"",VLOOKUP($B3333,'Email Marketing Raw Data'!$C:$O,9,0)),"")</f>
        <v/>
      </c>
    </row>
    <row r="3334" spans="4:17" ht="12.75" customHeight="1" x14ac:dyDescent="0.2">
      <c r="D3334" s="58" t="str">
        <f>IFERROR(IF(F3334&lt;&gt;"pending","",IF(OR($B3334="",$B3334="(blank)"),"",VLOOKUP($B3334,'Email Marketing Raw Data'!$C:$O,10,0))),"")</f>
        <v/>
      </c>
      <c r="E3334" s="59" t="str">
        <f>IFERROR(IF(F3334&lt;&gt;"pending","",IF(OR($B3334="",$B3334="(blank)"),"",VLOOKUP($B3334,'Email Marketing Raw Data'!$C:$O,11,0))),"")</f>
        <v/>
      </c>
      <c r="F3334" s="54" t="str">
        <f>IFERROR(IF(OR($B3334="",$B3334="(blank)"),"",VLOOKUP($B3334,'Email Marketing Raw Data'!$C:$O,13,0)),"")</f>
        <v/>
      </c>
      <c r="G3334" s="55" t="str">
        <f>IFERROR(IF(OR($B3334="",$B3334="(blank)"),"",VLOOKUP($B3334,'Email Marketing Raw Data'!$C:$O,4,0)),"")</f>
        <v/>
      </c>
      <c r="H3334" s="55" t="str">
        <f>IFERROR(IF(OR($B3334="",$B3334="(blank)"),"",VLOOKUP($B3334,'Email Marketing Raw Data'!$C:$O,5,0)),"")</f>
        <v/>
      </c>
      <c r="I3334" s="55" t="str">
        <f>IFERROR(IF($G3334="","",VLOOKUP('Dashboard And Emails Automate'!$G3334,Database!$H:$N,3,0)),"")</f>
        <v/>
      </c>
      <c r="J3334" s="55" t="str">
        <f>IFERROR(IF($G3334="","",VLOOKUP('Dashboard And Emails Automate'!$G3334,Database!$H:$N,4,0)),"")</f>
        <v/>
      </c>
      <c r="K3334" s="55" t="str">
        <f>IFERROR(IF($G3334="","",VLOOKUP('Dashboard And Emails Automate'!$G3334,Database!$H:$N,5,0)),"")</f>
        <v/>
      </c>
      <c r="L3334" s="55" t="str">
        <f>IFERROR(IF($G3334="","",VLOOKUP('Dashboard And Emails Automate'!$G3334,Database!$H:$N,6,0)),"")</f>
        <v/>
      </c>
      <c r="M3334" s="55" t="str">
        <f>IFERROR(IF($G3334="","",VLOOKUP('Dashboard And Emails Automate'!$G3334,Database!$H:$N,7,0)),"")</f>
        <v/>
      </c>
      <c r="N3334" s="55" t="str">
        <f>IFERROR(IF(OR($B3334="",$B3334="(blank)"),"",VLOOKUP($B3334,'Email Marketing Raw Data'!$C:$O,6,0)),"")</f>
        <v/>
      </c>
      <c r="O3334" s="55" t="str">
        <f>IFERROR(IF(OR($B3334="",$B3334="(blank)"),"",VLOOKUP($B3334,'Email Marketing Raw Data'!$C:$O,7,0)),"")</f>
        <v/>
      </c>
      <c r="P3334" s="55" t="str">
        <f>IFERROR(IF(OR($B3334="",$B3334="(blank)"),"",VLOOKUP($B3334,'Email Marketing Raw Data'!$C:$O,8,0)),"")</f>
        <v/>
      </c>
      <c r="Q3334" s="62" t="str">
        <f>IFERROR(IF(OR($B3334="",$B3334="(blank)"),"",VLOOKUP($B3334,'Email Marketing Raw Data'!$C:$O,9,0)),"")</f>
        <v/>
      </c>
    </row>
    <row r="3335" spans="4:17" ht="12.75" customHeight="1" x14ac:dyDescent="0.2">
      <c r="D3335" s="58" t="str">
        <f>IFERROR(IF(F3335&lt;&gt;"pending","",IF(OR($B3335="",$B3335="(blank)"),"",VLOOKUP($B3335,'Email Marketing Raw Data'!$C:$O,10,0))),"")</f>
        <v/>
      </c>
      <c r="E3335" s="59" t="str">
        <f>IFERROR(IF(F3335&lt;&gt;"pending","",IF(OR($B3335="",$B3335="(blank)"),"",VLOOKUP($B3335,'Email Marketing Raw Data'!$C:$O,11,0))),"")</f>
        <v/>
      </c>
      <c r="F3335" s="54" t="str">
        <f>IFERROR(IF(OR($B3335="",$B3335="(blank)"),"",VLOOKUP($B3335,'Email Marketing Raw Data'!$C:$O,13,0)),"")</f>
        <v/>
      </c>
      <c r="G3335" s="55" t="str">
        <f>IFERROR(IF(OR($B3335="",$B3335="(blank)"),"",VLOOKUP($B3335,'Email Marketing Raw Data'!$C:$O,4,0)),"")</f>
        <v/>
      </c>
      <c r="H3335" s="55" t="str">
        <f>IFERROR(IF(OR($B3335="",$B3335="(blank)"),"",VLOOKUP($B3335,'Email Marketing Raw Data'!$C:$O,5,0)),"")</f>
        <v/>
      </c>
      <c r="I3335" s="55" t="str">
        <f>IFERROR(IF($G3335="","",VLOOKUP('Dashboard And Emails Automate'!$G3335,Database!$H:$N,3,0)),"")</f>
        <v/>
      </c>
      <c r="J3335" s="55" t="str">
        <f>IFERROR(IF($G3335="","",VLOOKUP('Dashboard And Emails Automate'!$G3335,Database!$H:$N,4,0)),"")</f>
        <v/>
      </c>
      <c r="K3335" s="55" t="str">
        <f>IFERROR(IF($G3335="","",VLOOKUP('Dashboard And Emails Automate'!$G3335,Database!$H:$N,5,0)),"")</f>
        <v/>
      </c>
      <c r="L3335" s="55" t="str">
        <f>IFERROR(IF($G3335="","",VLOOKUP('Dashboard And Emails Automate'!$G3335,Database!$H:$N,6,0)),"")</f>
        <v/>
      </c>
      <c r="M3335" s="55" t="str">
        <f>IFERROR(IF($G3335="","",VLOOKUP('Dashboard And Emails Automate'!$G3335,Database!$H:$N,7,0)),"")</f>
        <v/>
      </c>
      <c r="N3335" s="55" t="str">
        <f>IFERROR(IF(OR($B3335="",$B3335="(blank)"),"",VLOOKUP($B3335,'Email Marketing Raw Data'!$C:$O,6,0)),"")</f>
        <v/>
      </c>
      <c r="O3335" s="55" t="str">
        <f>IFERROR(IF(OR($B3335="",$B3335="(blank)"),"",VLOOKUP($B3335,'Email Marketing Raw Data'!$C:$O,7,0)),"")</f>
        <v/>
      </c>
      <c r="P3335" s="55" t="str">
        <f>IFERROR(IF(OR($B3335="",$B3335="(blank)"),"",VLOOKUP($B3335,'Email Marketing Raw Data'!$C:$O,8,0)),"")</f>
        <v/>
      </c>
      <c r="Q3335" s="62" t="str">
        <f>IFERROR(IF(OR($B3335="",$B3335="(blank)"),"",VLOOKUP($B3335,'Email Marketing Raw Data'!$C:$O,9,0)),"")</f>
        <v/>
      </c>
    </row>
    <row r="3336" spans="4:17" ht="12.75" customHeight="1" x14ac:dyDescent="0.2">
      <c r="D3336" s="58" t="str">
        <f>IFERROR(IF(F3336&lt;&gt;"pending","",IF(OR($B3336="",$B3336="(blank)"),"",VLOOKUP($B3336,'Email Marketing Raw Data'!$C:$O,10,0))),"")</f>
        <v/>
      </c>
      <c r="E3336" s="59" t="str">
        <f>IFERROR(IF(F3336&lt;&gt;"pending","",IF(OR($B3336="",$B3336="(blank)"),"",VLOOKUP($B3336,'Email Marketing Raw Data'!$C:$O,11,0))),"")</f>
        <v/>
      </c>
      <c r="F3336" s="54" t="str">
        <f>IFERROR(IF(OR($B3336="",$B3336="(blank)"),"",VLOOKUP($B3336,'Email Marketing Raw Data'!$C:$O,13,0)),"")</f>
        <v/>
      </c>
      <c r="G3336" s="55" t="str">
        <f>IFERROR(IF(OR($B3336="",$B3336="(blank)"),"",VLOOKUP($B3336,'Email Marketing Raw Data'!$C:$O,4,0)),"")</f>
        <v/>
      </c>
      <c r="H3336" s="55" t="str">
        <f>IFERROR(IF(OR($B3336="",$B3336="(blank)"),"",VLOOKUP($B3336,'Email Marketing Raw Data'!$C:$O,5,0)),"")</f>
        <v/>
      </c>
      <c r="I3336" s="55" t="str">
        <f>IFERROR(IF($G3336="","",VLOOKUP('Dashboard And Emails Automate'!$G3336,Database!$H:$N,3,0)),"")</f>
        <v/>
      </c>
      <c r="J3336" s="55" t="str">
        <f>IFERROR(IF($G3336="","",VLOOKUP('Dashboard And Emails Automate'!$G3336,Database!$H:$N,4,0)),"")</f>
        <v/>
      </c>
      <c r="K3336" s="55" t="str">
        <f>IFERROR(IF($G3336="","",VLOOKUP('Dashboard And Emails Automate'!$G3336,Database!$H:$N,5,0)),"")</f>
        <v/>
      </c>
      <c r="L3336" s="55" t="str">
        <f>IFERROR(IF($G3336="","",VLOOKUP('Dashboard And Emails Automate'!$G3336,Database!$H:$N,6,0)),"")</f>
        <v/>
      </c>
      <c r="M3336" s="55" t="str">
        <f>IFERROR(IF($G3336="","",VLOOKUP('Dashboard And Emails Automate'!$G3336,Database!$H:$N,7,0)),"")</f>
        <v/>
      </c>
      <c r="N3336" s="55" t="str">
        <f>IFERROR(IF(OR($B3336="",$B3336="(blank)"),"",VLOOKUP($B3336,'Email Marketing Raw Data'!$C:$O,6,0)),"")</f>
        <v/>
      </c>
      <c r="O3336" s="55" t="str">
        <f>IFERROR(IF(OR($B3336="",$B3336="(blank)"),"",VLOOKUP($B3336,'Email Marketing Raw Data'!$C:$O,7,0)),"")</f>
        <v/>
      </c>
      <c r="P3336" s="55" t="str">
        <f>IFERROR(IF(OR($B3336="",$B3336="(blank)"),"",VLOOKUP($B3336,'Email Marketing Raw Data'!$C:$O,8,0)),"")</f>
        <v/>
      </c>
      <c r="Q3336" s="62" t="str">
        <f>IFERROR(IF(OR($B3336="",$B3336="(blank)"),"",VLOOKUP($B3336,'Email Marketing Raw Data'!$C:$O,9,0)),"")</f>
        <v/>
      </c>
    </row>
    <row r="3337" spans="4:17" ht="12.75" customHeight="1" x14ac:dyDescent="0.2">
      <c r="D3337" s="58" t="str">
        <f>IFERROR(IF(F3337&lt;&gt;"pending","",IF(OR($B3337="",$B3337="(blank)"),"",VLOOKUP($B3337,'Email Marketing Raw Data'!$C:$O,10,0))),"")</f>
        <v/>
      </c>
      <c r="E3337" s="59" t="str">
        <f>IFERROR(IF(F3337&lt;&gt;"pending","",IF(OR($B3337="",$B3337="(blank)"),"",VLOOKUP($B3337,'Email Marketing Raw Data'!$C:$O,11,0))),"")</f>
        <v/>
      </c>
      <c r="F3337" s="54" t="str">
        <f>IFERROR(IF(OR($B3337="",$B3337="(blank)"),"",VLOOKUP($B3337,'Email Marketing Raw Data'!$C:$O,13,0)),"")</f>
        <v/>
      </c>
      <c r="G3337" s="55" t="str">
        <f>IFERROR(IF(OR($B3337="",$B3337="(blank)"),"",VLOOKUP($B3337,'Email Marketing Raw Data'!$C:$O,4,0)),"")</f>
        <v/>
      </c>
      <c r="H3337" s="55" t="str">
        <f>IFERROR(IF(OR($B3337="",$B3337="(blank)"),"",VLOOKUP($B3337,'Email Marketing Raw Data'!$C:$O,5,0)),"")</f>
        <v/>
      </c>
      <c r="I3337" s="55" t="str">
        <f>IFERROR(IF($G3337="","",VLOOKUP('Dashboard And Emails Automate'!$G3337,Database!$H:$N,3,0)),"")</f>
        <v/>
      </c>
      <c r="J3337" s="55" t="str">
        <f>IFERROR(IF($G3337="","",VLOOKUP('Dashboard And Emails Automate'!$G3337,Database!$H:$N,4,0)),"")</f>
        <v/>
      </c>
      <c r="K3337" s="55" t="str">
        <f>IFERROR(IF($G3337="","",VLOOKUP('Dashboard And Emails Automate'!$G3337,Database!$H:$N,5,0)),"")</f>
        <v/>
      </c>
      <c r="L3337" s="55" t="str">
        <f>IFERROR(IF($G3337="","",VLOOKUP('Dashboard And Emails Automate'!$G3337,Database!$H:$N,6,0)),"")</f>
        <v/>
      </c>
      <c r="M3337" s="55" t="str">
        <f>IFERROR(IF($G3337="","",VLOOKUP('Dashboard And Emails Automate'!$G3337,Database!$H:$N,7,0)),"")</f>
        <v/>
      </c>
      <c r="N3337" s="55" t="str">
        <f>IFERROR(IF(OR($B3337="",$B3337="(blank)"),"",VLOOKUP($B3337,'Email Marketing Raw Data'!$C:$O,6,0)),"")</f>
        <v/>
      </c>
      <c r="O3337" s="55" t="str">
        <f>IFERROR(IF(OR($B3337="",$B3337="(blank)"),"",VLOOKUP($B3337,'Email Marketing Raw Data'!$C:$O,7,0)),"")</f>
        <v/>
      </c>
      <c r="P3337" s="55" t="str">
        <f>IFERROR(IF(OR($B3337="",$B3337="(blank)"),"",VLOOKUP($B3337,'Email Marketing Raw Data'!$C:$O,8,0)),"")</f>
        <v/>
      </c>
      <c r="Q3337" s="62" t="str">
        <f>IFERROR(IF(OR($B3337="",$B3337="(blank)"),"",VLOOKUP($B3337,'Email Marketing Raw Data'!$C:$O,9,0)),"")</f>
        <v/>
      </c>
    </row>
    <row r="3338" spans="4:17" ht="12.75" customHeight="1" x14ac:dyDescent="0.2">
      <c r="D3338" s="58" t="str">
        <f>IFERROR(IF(F3338&lt;&gt;"pending","",IF(OR($B3338="",$B3338="(blank)"),"",VLOOKUP($B3338,'Email Marketing Raw Data'!$C:$O,10,0))),"")</f>
        <v/>
      </c>
      <c r="E3338" s="59" t="str">
        <f>IFERROR(IF(F3338&lt;&gt;"pending","",IF(OR($B3338="",$B3338="(blank)"),"",VLOOKUP($B3338,'Email Marketing Raw Data'!$C:$O,11,0))),"")</f>
        <v/>
      </c>
      <c r="F3338" s="54" t="str">
        <f>IFERROR(IF(OR($B3338="",$B3338="(blank)"),"",VLOOKUP($B3338,'Email Marketing Raw Data'!$C:$O,13,0)),"")</f>
        <v/>
      </c>
      <c r="G3338" s="55" t="str">
        <f>IFERROR(IF(OR($B3338="",$B3338="(blank)"),"",VLOOKUP($B3338,'Email Marketing Raw Data'!$C:$O,4,0)),"")</f>
        <v/>
      </c>
      <c r="H3338" s="55" t="str">
        <f>IFERROR(IF(OR($B3338="",$B3338="(blank)"),"",VLOOKUP($B3338,'Email Marketing Raw Data'!$C:$O,5,0)),"")</f>
        <v/>
      </c>
      <c r="I3338" s="55" t="str">
        <f>IFERROR(IF($G3338="","",VLOOKUP('Dashboard And Emails Automate'!$G3338,Database!$H:$N,3,0)),"")</f>
        <v/>
      </c>
      <c r="J3338" s="55" t="str">
        <f>IFERROR(IF($G3338="","",VLOOKUP('Dashboard And Emails Automate'!$G3338,Database!$H:$N,4,0)),"")</f>
        <v/>
      </c>
      <c r="K3338" s="55" t="str">
        <f>IFERROR(IF($G3338="","",VLOOKUP('Dashboard And Emails Automate'!$G3338,Database!$H:$N,5,0)),"")</f>
        <v/>
      </c>
      <c r="L3338" s="55" t="str">
        <f>IFERROR(IF($G3338="","",VLOOKUP('Dashboard And Emails Automate'!$G3338,Database!$H:$N,6,0)),"")</f>
        <v/>
      </c>
      <c r="M3338" s="55" t="str">
        <f>IFERROR(IF($G3338="","",VLOOKUP('Dashboard And Emails Automate'!$G3338,Database!$H:$N,7,0)),"")</f>
        <v/>
      </c>
      <c r="N3338" s="55" t="str">
        <f>IFERROR(IF(OR($B3338="",$B3338="(blank)"),"",VLOOKUP($B3338,'Email Marketing Raw Data'!$C:$O,6,0)),"")</f>
        <v/>
      </c>
      <c r="O3338" s="55" t="str">
        <f>IFERROR(IF(OR($B3338="",$B3338="(blank)"),"",VLOOKUP($B3338,'Email Marketing Raw Data'!$C:$O,7,0)),"")</f>
        <v/>
      </c>
      <c r="P3338" s="55" t="str">
        <f>IFERROR(IF(OR($B3338="",$B3338="(blank)"),"",VLOOKUP($B3338,'Email Marketing Raw Data'!$C:$O,8,0)),"")</f>
        <v/>
      </c>
      <c r="Q3338" s="62" t="str">
        <f>IFERROR(IF(OR($B3338="",$B3338="(blank)"),"",VLOOKUP($B3338,'Email Marketing Raw Data'!$C:$O,9,0)),"")</f>
        <v/>
      </c>
    </row>
    <row r="3339" spans="4:17" ht="12.75" customHeight="1" x14ac:dyDescent="0.2">
      <c r="D3339" s="58" t="str">
        <f>IFERROR(IF(F3339&lt;&gt;"pending","",IF(OR($B3339="",$B3339="(blank)"),"",VLOOKUP($B3339,'Email Marketing Raw Data'!$C:$O,10,0))),"")</f>
        <v/>
      </c>
      <c r="E3339" s="59" t="str">
        <f>IFERROR(IF(F3339&lt;&gt;"pending","",IF(OR($B3339="",$B3339="(blank)"),"",VLOOKUP($B3339,'Email Marketing Raw Data'!$C:$O,11,0))),"")</f>
        <v/>
      </c>
      <c r="F3339" s="54" t="str">
        <f>IFERROR(IF(OR($B3339="",$B3339="(blank)"),"",VLOOKUP($B3339,'Email Marketing Raw Data'!$C:$O,13,0)),"")</f>
        <v/>
      </c>
      <c r="G3339" s="55" t="str">
        <f>IFERROR(IF(OR($B3339="",$B3339="(blank)"),"",VLOOKUP($B3339,'Email Marketing Raw Data'!$C:$O,4,0)),"")</f>
        <v/>
      </c>
      <c r="H3339" s="55" t="str">
        <f>IFERROR(IF(OR($B3339="",$B3339="(blank)"),"",VLOOKUP($B3339,'Email Marketing Raw Data'!$C:$O,5,0)),"")</f>
        <v/>
      </c>
      <c r="I3339" s="55" t="str">
        <f>IFERROR(IF($G3339="","",VLOOKUP('Dashboard And Emails Automate'!$G3339,Database!$H:$N,3,0)),"")</f>
        <v/>
      </c>
      <c r="J3339" s="55" t="str">
        <f>IFERROR(IF($G3339="","",VLOOKUP('Dashboard And Emails Automate'!$G3339,Database!$H:$N,4,0)),"")</f>
        <v/>
      </c>
      <c r="K3339" s="55" t="str">
        <f>IFERROR(IF($G3339="","",VLOOKUP('Dashboard And Emails Automate'!$G3339,Database!$H:$N,5,0)),"")</f>
        <v/>
      </c>
      <c r="L3339" s="55" t="str">
        <f>IFERROR(IF($G3339="","",VLOOKUP('Dashboard And Emails Automate'!$G3339,Database!$H:$N,6,0)),"")</f>
        <v/>
      </c>
      <c r="M3339" s="55" t="str">
        <f>IFERROR(IF($G3339="","",VLOOKUP('Dashboard And Emails Automate'!$G3339,Database!$H:$N,7,0)),"")</f>
        <v/>
      </c>
      <c r="N3339" s="55" t="str">
        <f>IFERROR(IF(OR($B3339="",$B3339="(blank)"),"",VLOOKUP($B3339,'Email Marketing Raw Data'!$C:$O,6,0)),"")</f>
        <v/>
      </c>
      <c r="O3339" s="55" t="str">
        <f>IFERROR(IF(OR($B3339="",$B3339="(blank)"),"",VLOOKUP($B3339,'Email Marketing Raw Data'!$C:$O,7,0)),"")</f>
        <v/>
      </c>
      <c r="P3339" s="55" t="str">
        <f>IFERROR(IF(OR($B3339="",$B3339="(blank)"),"",VLOOKUP($B3339,'Email Marketing Raw Data'!$C:$O,8,0)),"")</f>
        <v/>
      </c>
      <c r="Q3339" s="62" t="str">
        <f>IFERROR(IF(OR($B3339="",$B3339="(blank)"),"",VLOOKUP($B3339,'Email Marketing Raw Data'!$C:$O,9,0)),"")</f>
        <v/>
      </c>
    </row>
    <row r="3340" spans="4:17" ht="12.75" customHeight="1" x14ac:dyDescent="0.2">
      <c r="D3340" s="58" t="str">
        <f>IFERROR(IF(F3340&lt;&gt;"pending","",IF(OR($B3340="",$B3340="(blank)"),"",VLOOKUP($B3340,'Email Marketing Raw Data'!$C:$O,10,0))),"")</f>
        <v/>
      </c>
      <c r="E3340" s="59" t="str">
        <f>IFERROR(IF(F3340&lt;&gt;"pending","",IF(OR($B3340="",$B3340="(blank)"),"",VLOOKUP($B3340,'Email Marketing Raw Data'!$C:$O,11,0))),"")</f>
        <v/>
      </c>
      <c r="F3340" s="54" t="str">
        <f>IFERROR(IF(OR($B3340="",$B3340="(blank)"),"",VLOOKUP($B3340,'Email Marketing Raw Data'!$C:$O,13,0)),"")</f>
        <v/>
      </c>
      <c r="G3340" s="55" t="str">
        <f>IFERROR(IF(OR($B3340="",$B3340="(blank)"),"",VLOOKUP($B3340,'Email Marketing Raw Data'!$C:$O,4,0)),"")</f>
        <v/>
      </c>
      <c r="H3340" s="55" t="str">
        <f>IFERROR(IF(OR($B3340="",$B3340="(blank)"),"",VLOOKUP($B3340,'Email Marketing Raw Data'!$C:$O,5,0)),"")</f>
        <v/>
      </c>
      <c r="I3340" s="55" t="str">
        <f>IFERROR(IF($G3340="","",VLOOKUP('Dashboard And Emails Automate'!$G3340,Database!$H:$N,3,0)),"")</f>
        <v/>
      </c>
      <c r="J3340" s="55" t="str">
        <f>IFERROR(IF($G3340="","",VLOOKUP('Dashboard And Emails Automate'!$G3340,Database!$H:$N,4,0)),"")</f>
        <v/>
      </c>
      <c r="K3340" s="55" t="str">
        <f>IFERROR(IF($G3340="","",VLOOKUP('Dashboard And Emails Automate'!$G3340,Database!$H:$N,5,0)),"")</f>
        <v/>
      </c>
      <c r="L3340" s="55" t="str">
        <f>IFERROR(IF($G3340="","",VLOOKUP('Dashboard And Emails Automate'!$G3340,Database!$H:$N,6,0)),"")</f>
        <v/>
      </c>
      <c r="M3340" s="55" t="str">
        <f>IFERROR(IF($G3340="","",VLOOKUP('Dashboard And Emails Automate'!$G3340,Database!$H:$N,7,0)),"")</f>
        <v/>
      </c>
      <c r="N3340" s="55" t="str">
        <f>IFERROR(IF(OR($B3340="",$B3340="(blank)"),"",VLOOKUP($B3340,'Email Marketing Raw Data'!$C:$O,6,0)),"")</f>
        <v/>
      </c>
      <c r="O3340" s="55" t="str">
        <f>IFERROR(IF(OR($B3340="",$B3340="(blank)"),"",VLOOKUP($B3340,'Email Marketing Raw Data'!$C:$O,7,0)),"")</f>
        <v/>
      </c>
      <c r="P3340" s="55" t="str">
        <f>IFERROR(IF(OR($B3340="",$B3340="(blank)"),"",VLOOKUP($B3340,'Email Marketing Raw Data'!$C:$O,8,0)),"")</f>
        <v/>
      </c>
      <c r="Q3340" s="62" t="str">
        <f>IFERROR(IF(OR($B3340="",$B3340="(blank)"),"",VLOOKUP($B3340,'Email Marketing Raw Data'!$C:$O,9,0)),"")</f>
        <v/>
      </c>
    </row>
    <row r="3341" spans="4:17" ht="12.75" customHeight="1" x14ac:dyDescent="0.2">
      <c r="D3341" s="58" t="str">
        <f>IFERROR(IF(F3341&lt;&gt;"pending","",IF(OR($B3341="",$B3341="(blank)"),"",VLOOKUP($B3341,'Email Marketing Raw Data'!$C:$O,10,0))),"")</f>
        <v/>
      </c>
      <c r="E3341" s="59" t="str">
        <f>IFERROR(IF(F3341&lt;&gt;"pending","",IF(OR($B3341="",$B3341="(blank)"),"",VLOOKUP($B3341,'Email Marketing Raw Data'!$C:$O,11,0))),"")</f>
        <v/>
      </c>
      <c r="F3341" s="54" t="str">
        <f>IFERROR(IF(OR($B3341="",$B3341="(blank)"),"",VLOOKUP($B3341,'Email Marketing Raw Data'!$C:$O,13,0)),"")</f>
        <v/>
      </c>
      <c r="G3341" s="55" t="str">
        <f>IFERROR(IF(OR($B3341="",$B3341="(blank)"),"",VLOOKUP($B3341,'Email Marketing Raw Data'!$C:$O,4,0)),"")</f>
        <v/>
      </c>
      <c r="H3341" s="55" t="str">
        <f>IFERROR(IF(OR($B3341="",$B3341="(blank)"),"",VLOOKUP($B3341,'Email Marketing Raw Data'!$C:$O,5,0)),"")</f>
        <v/>
      </c>
      <c r="I3341" s="55" t="str">
        <f>IFERROR(IF($G3341="","",VLOOKUP('Dashboard And Emails Automate'!$G3341,Database!$H:$N,3,0)),"")</f>
        <v/>
      </c>
      <c r="J3341" s="55" t="str">
        <f>IFERROR(IF($G3341="","",VLOOKUP('Dashboard And Emails Automate'!$G3341,Database!$H:$N,4,0)),"")</f>
        <v/>
      </c>
      <c r="K3341" s="55" t="str">
        <f>IFERROR(IF($G3341="","",VLOOKUP('Dashboard And Emails Automate'!$G3341,Database!$H:$N,5,0)),"")</f>
        <v/>
      </c>
      <c r="L3341" s="55" t="str">
        <f>IFERROR(IF($G3341="","",VLOOKUP('Dashboard And Emails Automate'!$G3341,Database!$H:$N,6,0)),"")</f>
        <v/>
      </c>
      <c r="M3341" s="55" t="str">
        <f>IFERROR(IF($G3341="","",VLOOKUP('Dashboard And Emails Automate'!$G3341,Database!$H:$N,7,0)),"")</f>
        <v/>
      </c>
      <c r="N3341" s="55" t="str">
        <f>IFERROR(IF(OR($B3341="",$B3341="(blank)"),"",VLOOKUP($B3341,'Email Marketing Raw Data'!$C:$O,6,0)),"")</f>
        <v/>
      </c>
      <c r="O3341" s="55" t="str">
        <f>IFERROR(IF(OR($B3341="",$B3341="(blank)"),"",VLOOKUP($B3341,'Email Marketing Raw Data'!$C:$O,7,0)),"")</f>
        <v/>
      </c>
      <c r="P3341" s="55" t="str">
        <f>IFERROR(IF(OR($B3341="",$B3341="(blank)"),"",VLOOKUP($B3341,'Email Marketing Raw Data'!$C:$O,8,0)),"")</f>
        <v/>
      </c>
      <c r="Q3341" s="62" t="str">
        <f>IFERROR(IF(OR($B3341="",$B3341="(blank)"),"",VLOOKUP($B3341,'Email Marketing Raw Data'!$C:$O,9,0)),"")</f>
        <v/>
      </c>
    </row>
    <row r="3342" spans="4:17" ht="12.75" customHeight="1" x14ac:dyDescent="0.2">
      <c r="D3342" s="58" t="str">
        <f>IFERROR(IF(F3342&lt;&gt;"pending","",IF(OR($B3342="",$B3342="(blank)"),"",VLOOKUP($B3342,'Email Marketing Raw Data'!$C:$O,10,0))),"")</f>
        <v/>
      </c>
      <c r="E3342" s="59" t="str">
        <f>IFERROR(IF(F3342&lt;&gt;"pending","",IF(OR($B3342="",$B3342="(blank)"),"",VLOOKUP($B3342,'Email Marketing Raw Data'!$C:$O,11,0))),"")</f>
        <v/>
      </c>
      <c r="F3342" s="54" t="str">
        <f>IFERROR(IF(OR($B3342="",$B3342="(blank)"),"",VLOOKUP($B3342,'Email Marketing Raw Data'!$C:$O,13,0)),"")</f>
        <v/>
      </c>
      <c r="G3342" s="55" t="str">
        <f>IFERROR(IF(OR($B3342="",$B3342="(blank)"),"",VLOOKUP($B3342,'Email Marketing Raw Data'!$C:$O,4,0)),"")</f>
        <v/>
      </c>
      <c r="H3342" s="55" t="str">
        <f>IFERROR(IF(OR($B3342="",$B3342="(blank)"),"",VLOOKUP($B3342,'Email Marketing Raw Data'!$C:$O,5,0)),"")</f>
        <v/>
      </c>
      <c r="I3342" s="55" t="str">
        <f>IFERROR(IF($G3342="","",VLOOKUP('Dashboard And Emails Automate'!$G3342,Database!$H:$N,3,0)),"")</f>
        <v/>
      </c>
      <c r="J3342" s="55" t="str">
        <f>IFERROR(IF($G3342="","",VLOOKUP('Dashboard And Emails Automate'!$G3342,Database!$H:$N,4,0)),"")</f>
        <v/>
      </c>
      <c r="K3342" s="55" t="str">
        <f>IFERROR(IF($G3342="","",VLOOKUP('Dashboard And Emails Automate'!$G3342,Database!$H:$N,5,0)),"")</f>
        <v/>
      </c>
      <c r="L3342" s="55" t="str">
        <f>IFERROR(IF($G3342="","",VLOOKUP('Dashboard And Emails Automate'!$G3342,Database!$H:$N,6,0)),"")</f>
        <v/>
      </c>
      <c r="M3342" s="55" t="str">
        <f>IFERROR(IF($G3342="","",VLOOKUP('Dashboard And Emails Automate'!$G3342,Database!$H:$N,7,0)),"")</f>
        <v/>
      </c>
      <c r="N3342" s="55" t="str">
        <f>IFERROR(IF(OR($B3342="",$B3342="(blank)"),"",VLOOKUP($B3342,'Email Marketing Raw Data'!$C:$O,6,0)),"")</f>
        <v/>
      </c>
      <c r="O3342" s="55" t="str">
        <f>IFERROR(IF(OR($B3342="",$B3342="(blank)"),"",VLOOKUP($B3342,'Email Marketing Raw Data'!$C:$O,7,0)),"")</f>
        <v/>
      </c>
      <c r="P3342" s="55" t="str">
        <f>IFERROR(IF(OR($B3342="",$B3342="(blank)"),"",VLOOKUP($B3342,'Email Marketing Raw Data'!$C:$O,8,0)),"")</f>
        <v/>
      </c>
      <c r="Q3342" s="62" t="str">
        <f>IFERROR(IF(OR($B3342="",$B3342="(blank)"),"",VLOOKUP($B3342,'Email Marketing Raw Data'!$C:$O,9,0)),"")</f>
        <v/>
      </c>
    </row>
    <row r="3343" spans="4:17" ht="12.75" customHeight="1" x14ac:dyDescent="0.2">
      <c r="D3343" s="58" t="str">
        <f>IFERROR(IF(F3343&lt;&gt;"pending","",IF(OR($B3343="",$B3343="(blank)"),"",VLOOKUP($B3343,'Email Marketing Raw Data'!$C:$O,10,0))),"")</f>
        <v/>
      </c>
      <c r="E3343" s="59" t="str">
        <f>IFERROR(IF(F3343&lt;&gt;"pending","",IF(OR($B3343="",$B3343="(blank)"),"",VLOOKUP($B3343,'Email Marketing Raw Data'!$C:$O,11,0))),"")</f>
        <v/>
      </c>
      <c r="F3343" s="54" t="str">
        <f>IFERROR(IF(OR($B3343="",$B3343="(blank)"),"",VLOOKUP($B3343,'Email Marketing Raw Data'!$C:$O,13,0)),"")</f>
        <v/>
      </c>
      <c r="G3343" s="55" t="str">
        <f>IFERROR(IF(OR($B3343="",$B3343="(blank)"),"",VLOOKUP($B3343,'Email Marketing Raw Data'!$C:$O,4,0)),"")</f>
        <v/>
      </c>
      <c r="H3343" s="55" t="str">
        <f>IFERROR(IF(OR($B3343="",$B3343="(blank)"),"",VLOOKUP($B3343,'Email Marketing Raw Data'!$C:$O,5,0)),"")</f>
        <v/>
      </c>
      <c r="I3343" s="55" t="str">
        <f>IFERROR(IF($G3343="","",VLOOKUP('Dashboard And Emails Automate'!$G3343,Database!$H:$N,3,0)),"")</f>
        <v/>
      </c>
      <c r="J3343" s="55" t="str">
        <f>IFERROR(IF($G3343="","",VLOOKUP('Dashboard And Emails Automate'!$G3343,Database!$H:$N,4,0)),"")</f>
        <v/>
      </c>
      <c r="K3343" s="55" t="str">
        <f>IFERROR(IF($G3343="","",VLOOKUP('Dashboard And Emails Automate'!$G3343,Database!$H:$N,5,0)),"")</f>
        <v/>
      </c>
      <c r="L3343" s="55" t="str">
        <f>IFERROR(IF($G3343="","",VLOOKUP('Dashboard And Emails Automate'!$G3343,Database!$H:$N,6,0)),"")</f>
        <v/>
      </c>
      <c r="M3343" s="55" t="str">
        <f>IFERROR(IF($G3343="","",VLOOKUP('Dashboard And Emails Automate'!$G3343,Database!$H:$N,7,0)),"")</f>
        <v/>
      </c>
      <c r="N3343" s="55" t="str">
        <f>IFERROR(IF(OR($B3343="",$B3343="(blank)"),"",VLOOKUP($B3343,'Email Marketing Raw Data'!$C:$O,6,0)),"")</f>
        <v/>
      </c>
      <c r="O3343" s="55" t="str">
        <f>IFERROR(IF(OR($B3343="",$B3343="(blank)"),"",VLOOKUP($B3343,'Email Marketing Raw Data'!$C:$O,7,0)),"")</f>
        <v/>
      </c>
      <c r="P3343" s="55" t="str">
        <f>IFERROR(IF(OR($B3343="",$B3343="(blank)"),"",VLOOKUP($B3343,'Email Marketing Raw Data'!$C:$O,8,0)),"")</f>
        <v/>
      </c>
      <c r="Q3343" s="62" t="str">
        <f>IFERROR(IF(OR($B3343="",$B3343="(blank)"),"",VLOOKUP($B3343,'Email Marketing Raw Data'!$C:$O,9,0)),"")</f>
        <v/>
      </c>
    </row>
    <row r="3344" spans="4:17" ht="12.75" customHeight="1" x14ac:dyDescent="0.2">
      <c r="D3344" s="58" t="str">
        <f>IFERROR(IF(F3344&lt;&gt;"pending","",IF(OR($B3344="",$B3344="(blank)"),"",VLOOKUP($B3344,'Email Marketing Raw Data'!$C:$O,10,0))),"")</f>
        <v/>
      </c>
      <c r="E3344" s="59" t="str">
        <f>IFERROR(IF(F3344&lt;&gt;"pending","",IF(OR($B3344="",$B3344="(blank)"),"",VLOOKUP($B3344,'Email Marketing Raw Data'!$C:$O,11,0))),"")</f>
        <v/>
      </c>
      <c r="F3344" s="54" t="str">
        <f>IFERROR(IF(OR($B3344="",$B3344="(blank)"),"",VLOOKUP($B3344,'Email Marketing Raw Data'!$C:$O,13,0)),"")</f>
        <v/>
      </c>
      <c r="G3344" s="55" t="str">
        <f>IFERROR(IF(OR($B3344="",$B3344="(blank)"),"",VLOOKUP($B3344,'Email Marketing Raw Data'!$C:$O,4,0)),"")</f>
        <v/>
      </c>
      <c r="H3344" s="55" t="str">
        <f>IFERROR(IF(OR($B3344="",$B3344="(blank)"),"",VLOOKUP($B3344,'Email Marketing Raw Data'!$C:$O,5,0)),"")</f>
        <v/>
      </c>
      <c r="I3344" s="55" t="str">
        <f>IFERROR(IF($G3344="","",VLOOKUP('Dashboard And Emails Automate'!$G3344,Database!$H:$N,3,0)),"")</f>
        <v/>
      </c>
      <c r="J3344" s="55" t="str">
        <f>IFERROR(IF($G3344="","",VLOOKUP('Dashboard And Emails Automate'!$G3344,Database!$H:$N,4,0)),"")</f>
        <v/>
      </c>
      <c r="K3344" s="55" t="str">
        <f>IFERROR(IF($G3344="","",VLOOKUP('Dashboard And Emails Automate'!$G3344,Database!$H:$N,5,0)),"")</f>
        <v/>
      </c>
      <c r="L3344" s="55" t="str">
        <f>IFERROR(IF($G3344="","",VLOOKUP('Dashboard And Emails Automate'!$G3344,Database!$H:$N,6,0)),"")</f>
        <v/>
      </c>
      <c r="M3344" s="55" t="str">
        <f>IFERROR(IF($G3344="","",VLOOKUP('Dashboard And Emails Automate'!$G3344,Database!$H:$N,7,0)),"")</f>
        <v/>
      </c>
      <c r="N3344" s="55" t="str">
        <f>IFERROR(IF(OR($B3344="",$B3344="(blank)"),"",VLOOKUP($B3344,'Email Marketing Raw Data'!$C:$O,6,0)),"")</f>
        <v/>
      </c>
      <c r="O3344" s="55" t="str">
        <f>IFERROR(IF(OR($B3344="",$B3344="(blank)"),"",VLOOKUP($B3344,'Email Marketing Raw Data'!$C:$O,7,0)),"")</f>
        <v/>
      </c>
      <c r="P3344" s="55" t="str">
        <f>IFERROR(IF(OR($B3344="",$B3344="(blank)"),"",VLOOKUP($B3344,'Email Marketing Raw Data'!$C:$O,8,0)),"")</f>
        <v/>
      </c>
      <c r="Q3344" s="62" t="str">
        <f>IFERROR(IF(OR($B3344="",$B3344="(blank)"),"",VLOOKUP($B3344,'Email Marketing Raw Data'!$C:$O,9,0)),"")</f>
        <v/>
      </c>
    </row>
    <row r="3345" spans="4:17" ht="12.75" customHeight="1" x14ac:dyDescent="0.2">
      <c r="D3345" s="58" t="str">
        <f>IFERROR(IF(F3345&lt;&gt;"pending","",IF(OR($B3345="",$B3345="(blank)"),"",VLOOKUP($B3345,'Email Marketing Raw Data'!$C:$O,10,0))),"")</f>
        <v/>
      </c>
      <c r="E3345" s="59" t="str">
        <f>IFERROR(IF(F3345&lt;&gt;"pending","",IF(OR($B3345="",$B3345="(blank)"),"",VLOOKUP($B3345,'Email Marketing Raw Data'!$C:$O,11,0))),"")</f>
        <v/>
      </c>
      <c r="F3345" s="54" t="str">
        <f>IFERROR(IF(OR($B3345="",$B3345="(blank)"),"",VLOOKUP($B3345,'Email Marketing Raw Data'!$C:$O,13,0)),"")</f>
        <v/>
      </c>
      <c r="G3345" s="55" t="str">
        <f>IFERROR(IF(OR($B3345="",$B3345="(blank)"),"",VLOOKUP($B3345,'Email Marketing Raw Data'!$C:$O,4,0)),"")</f>
        <v/>
      </c>
      <c r="H3345" s="55" t="str">
        <f>IFERROR(IF(OR($B3345="",$B3345="(blank)"),"",VLOOKUP($B3345,'Email Marketing Raw Data'!$C:$O,5,0)),"")</f>
        <v/>
      </c>
      <c r="I3345" s="55" t="str">
        <f>IFERROR(IF($G3345="","",VLOOKUP('Dashboard And Emails Automate'!$G3345,Database!$H:$N,3,0)),"")</f>
        <v/>
      </c>
      <c r="J3345" s="55" t="str">
        <f>IFERROR(IF($G3345="","",VLOOKUP('Dashboard And Emails Automate'!$G3345,Database!$H:$N,4,0)),"")</f>
        <v/>
      </c>
      <c r="K3345" s="55" t="str">
        <f>IFERROR(IF($G3345="","",VLOOKUP('Dashboard And Emails Automate'!$G3345,Database!$H:$N,5,0)),"")</f>
        <v/>
      </c>
      <c r="L3345" s="55" t="str">
        <f>IFERROR(IF($G3345="","",VLOOKUP('Dashboard And Emails Automate'!$G3345,Database!$H:$N,6,0)),"")</f>
        <v/>
      </c>
      <c r="M3345" s="55" t="str">
        <f>IFERROR(IF($G3345="","",VLOOKUP('Dashboard And Emails Automate'!$G3345,Database!$H:$N,7,0)),"")</f>
        <v/>
      </c>
      <c r="N3345" s="55" t="str">
        <f>IFERROR(IF(OR($B3345="",$B3345="(blank)"),"",VLOOKUP($B3345,'Email Marketing Raw Data'!$C:$O,6,0)),"")</f>
        <v/>
      </c>
      <c r="O3345" s="55" t="str">
        <f>IFERROR(IF(OR($B3345="",$B3345="(blank)"),"",VLOOKUP($B3345,'Email Marketing Raw Data'!$C:$O,7,0)),"")</f>
        <v/>
      </c>
      <c r="P3345" s="55" t="str">
        <f>IFERROR(IF(OR($B3345="",$B3345="(blank)"),"",VLOOKUP($B3345,'Email Marketing Raw Data'!$C:$O,8,0)),"")</f>
        <v/>
      </c>
      <c r="Q3345" s="62" t="str">
        <f>IFERROR(IF(OR($B3345="",$B3345="(blank)"),"",VLOOKUP($B3345,'Email Marketing Raw Data'!$C:$O,9,0)),"")</f>
        <v/>
      </c>
    </row>
    <row r="3346" spans="4:17" ht="12.75" customHeight="1" x14ac:dyDescent="0.2">
      <c r="D3346" s="58" t="str">
        <f>IFERROR(IF(F3346&lt;&gt;"pending","",IF(OR($B3346="",$B3346="(blank)"),"",VLOOKUP($B3346,'Email Marketing Raw Data'!$C:$O,10,0))),"")</f>
        <v/>
      </c>
      <c r="E3346" s="59" t="str">
        <f>IFERROR(IF(F3346&lt;&gt;"pending","",IF(OR($B3346="",$B3346="(blank)"),"",VLOOKUP($B3346,'Email Marketing Raw Data'!$C:$O,11,0))),"")</f>
        <v/>
      </c>
      <c r="F3346" s="54" t="str">
        <f>IFERROR(IF(OR($B3346="",$B3346="(blank)"),"",VLOOKUP($B3346,'Email Marketing Raw Data'!$C:$O,13,0)),"")</f>
        <v/>
      </c>
      <c r="G3346" s="55" t="str">
        <f>IFERROR(IF(OR($B3346="",$B3346="(blank)"),"",VLOOKUP($B3346,'Email Marketing Raw Data'!$C:$O,4,0)),"")</f>
        <v/>
      </c>
      <c r="H3346" s="55" t="str">
        <f>IFERROR(IF(OR($B3346="",$B3346="(blank)"),"",VLOOKUP($B3346,'Email Marketing Raw Data'!$C:$O,5,0)),"")</f>
        <v/>
      </c>
      <c r="I3346" s="55" t="str">
        <f>IFERROR(IF($G3346="","",VLOOKUP('Dashboard And Emails Automate'!$G3346,Database!$H:$N,3,0)),"")</f>
        <v/>
      </c>
      <c r="J3346" s="55" t="str">
        <f>IFERROR(IF($G3346="","",VLOOKUP('Dashboard And Emails Automate'!$G3346,Database!$H:$N,4,0)),"")</f>
        <v/>
      </c>
      <c r="K3346" s="55" t="str">
        <f>IFERROR(IF($G3346="","",VLOOKUP('Dashboard And Emails Automate'!$G3346,Database!$H:$N,5,0)),"")</f>
        <v/>
      </c>
      <c r="L3346" s="55" t="str">
        <f>IFERROR(IF($G3346="","",VLOOKUP('Dashboard And Emails Automate'!$G3346,Database!$H:$N,6,0)),"")</f>
        <v/>
      </c>
      <c r="M3346" s="55" t="str">
        <f>IFERROR(IF($G3346="","",VLOOKUP('Dashboard And Emails Automate'!$G3346,Database!$H:$N,7,0)),"")</f>
        <v/>
      </c>
      <c r="N3346" s="55" t="str">
        <f>IFERROR(IF(OR($B3346="",$B3346="(blank)"),"",VLOOKUP($B3346,'Email Marketing Raw Data'!$C:$O,6,0)),"")</f>
        <v/>
      </c>
      <c r="O3346" s="55" t="str">
        <f>IFERROR(IF(OR($B3346="",$B3346="(blank)"),"",VLOOKUP($B3346,'Email Marketing Raw Data'!$C:$O,7,0)),"")</f>
        <v/>
      </c>
      <c r="P3346" s="55" t="str">
        <f>IFERROR(IF(OR($B3346="",$B3346="(blank)"),"",VLOOKUP($B3346,'Email Marketing Raw Data'!$C:$O,8,0)),"")</f>
        <v/>
      </c>
      <c r="Q3346" s="62" t="str">
        <f>IFERROR(IF(OR($B3346="",$B3346="(blank)"),"",VLOOKUP($B3346,'Email Marketing Raw Data'!$C:$O,9,0)),"")</f>
        <v/>
      </c>
    </row>
    <row r="3347" spans="4:17" ht="12.75" customHeight="1" x14ac:dyDescent="0.2">
      <c r="D3347" s="58" t="str">
        <f>IFERROR(IF(F3347&lt;&gt;"pending","",IF(OR($B3347="",$B3347="(blank)"),"",VLOOKUP($B3347,'Email Marketing Raw Data'!$C:$O,10,0))),"")</f>
        <v/>
      </c>
      <c r="E3347" s="59" t="str">
        <f>IFERROR(IF(F3347&lt;&gt;"pending","",IF(OR($B3347="",$B3347="(blank)"),"",VLOOKUP($B3347,'Email Marketing Raw Data'!$C:$O,11,0))),"")</f>
        <v/>
      </c>
      <c r="F3347" s="54" t="str">
        <f>IFERROR(IF(OR($B3347="",$B3347="(blank)"),"",VLOOKUP($B3347,'Email Marketing Raw Data'!$C:$O,13,0)),"")</f>
        <v/>
      </c>
      <c r="G3347" s="55" t="str">
        <f>IFERROR(IF(OR($B3347="",$B3347="(blank)"),"",VLOOKUP($B3347,'Email Marketing Raw Data'!$C:$O,4,0)),"")</f>
        <v/>
      </c>
      <c r="H3347" s="55" t="str">
        <f>IFERROR(IF(OR($B3347="",$B3347="(blank)"),"",VLOOKUP($B3347,'Email Marketing Raw Data'!$C:$O,5,0)),"")</f>
        <v/>
      </c>
      <c r="I3347" s="55" t="str">
        <f>IFERROR(IF($G3347="","",VLOOKUP('Dashboard And Emails Automate'!$G3347,Database!$H:$N,3,0)),"")</f>
        <v/>
      </c>
      <c r="J3347" s="55" t="str">
        <f>IFERROR(IF($G3347="","",VLOOKUP('Dashboard And Emails Automate'!$G3347,Database!$H:$N,4,0)),"")</f>
        <v/>
      </c>
      <c r="K3347" s="55" t="str">
        <f>IFERROR(IF($G3347="","",VLOOKUP('Dashboard And Emails Automate'!$G3347,Database!$H:$N,5,0)),"")</f>
        <v/>
      </c>
      <c r="L3347" s="55" t="str">
        <f>IFERROR(IF($G3347="","",VLOOKUP('Dashboard And Emails Automate'!$G3347,Database!$H:$N,6,0)),"")</f>
        <v/>
      </c>
      <c r="M3347" s="55" t="str">
        <f>IFERROR(IF($G3347="","",VLOOKUP('Dashboard And Emails Automate'!$G3347,Database!$H:$N,7,0)),"")</f>
        <v/>
      </c>
      <c r="N3347" s="55" t="str">
        <f>IFERROR(IF(OR($B3347="",$B3347="(blank)"),"",VLOOKUP($B3347,'Email Marketing Raw Data'!$C:$O,6,0)),"")</f>
        <v/>
      </c>
      <c r="O3347" s="55" t="str">
        <f>IFERROR(IF(OR($B3347="",$B3347="(blank)"),"",VLOOKUP($B3347,'Email Marketing Raw Data'!$C:$O,7,0)),"")</f>
        <v/>
      </c>
      <c r="P3347" s="55" t="str">
        <f>IFERROR(IF(OR($B3347="",$B3347="(blank)"),"",VLOOKUP($B3347,'Email Marketing Raw Data'!$C:$O,8,0)),"")</f>
        <v/>
      </c>
      <c r="Q3347" s="62" t="str">
        <f>IFERROR(IF(OR($B3347="",$B3347="(blank)"),"",VLOOKUP($B3347,'Email Marketing Raw Data'!$C:$O,9,0)),"")</f>
        <v/>
      </c>
    </row>
    <row r="3348" spans="4:17" ht="12.75" customHeight="1" x14ac:dyDescent="0.2">
      <c r="D3348" s="58" t="str">
        <f>IFERROR(IF(F3348&lt;&gt;"pending","",IF(OR($B3348="",$B3348="(blank)"),"",VLOOKUP($B3348,'Email Marketing Raw Data'!$C:$O,10,0))),"")</f>
        <v/>
      </c>
      <c r="E3348" s="59" t="str">
        <f>IFERROR(IF(F3348&lt;&gt;"pending","",IF(OR($B3348="",$B3348="(blank)"),"",VLOOKUP($B3348,'Email Marketing Raw Data'!$C:$O,11,0))),"")</f>
        <v/>
      </c>
      <c r="F3348" s="54" t="str">
        <f>IFERROR(IF(OR($B3348="",$B3348="(blank)"),"",VLOOKUP($B3348,'Email Marketing Raw Data'!$C:$O,13,0)),"")</f>
        <v/>
      </c>
      <c r="G3348" s="55" t="str">
        <f>IFERROR(IF(OR($B3348="",$B3348="(blank)"),"",VLOOKUP($B3348,'Email Marketing Raw Data'!$C:$O,4,0)),"")</f>
        <v/>
      </c>
      <c r="H3348" s="55" t="str">
        <f>IFERROR(IF(OR($B3348="",$B3348="(blank)"),"",VLOOKUP($B3348,'Email Marketing Raw Data'!$C:$O,5,0)),"")</f>
        <v/>
      </c>
      <c r="I3348" s="55" t="str">
        <f>IFERROR(IF($G3348="","",VLOOKUP('Dashboard And Emails Automate'!$G3348,Database!$H:$N,3,0)),"")</f>
        <v/>
      </c>
      <c r="J3348" s="55" t="str">
        <f>IFERROR(IF($G3348="","",VLOOKUP('Dashboard And Emails Automate'!$G3348,Database!$H:$N,4,0)),"")</f>
        <v/>
      </c>
      <c r="K3348" s="55" t="str">
        <f>IFERROR(IF($G3348="","",VLOOKUP('Dashboard And Emails Automate'!$G3348,Database!$H:$N,5,0)),"")</f>
        <v/>
      </c>
      <c r="L3348" s="55" t="str">
        <f>IFERROR(IF($G3348="","",VLOOKUP('Dashboard And Emails Automate'!$G3348,Database!$H:$N,6,0)),"")</f>
        <v/>
      </c>
      <c r="M3348" s="55" t="str">
        <f>IFERROR(IF($G3348="","",VLOOKUP('Dashboard And Emails Automate'!$G3348,Database!$H:$N,7,0)),"")</f>
        <v/>
      </c>
      <c r="N3348" s="55" t="str">
        <f>IFERROR(IF(OR($B3348="",$B3348="(blank)"),"",VLOOKUP($B3348,'Email Marketing Raw Data'!$C:$O,6,0)),"")</f>
        <v/>
      </c>
      <c r="O3348" s="55" t="str">
        <f>IFERROR(IF(OR($B3348="",$B3348="(blank)"),"",VLOOKUP($B3348,'Email Marketing Raw Data'!$C:$O,7,0)),"")</f>
        <v/>
      </c>
      <c r="P3348" s="55" t="str">
        <f>IFERROR(IF(OR($B3348="",$B3348="(blank)"),"",VLOOKUP($B3348,'Email Marketing Raw Data'!$C:$O,8,0)),"")</f>
        <v/>
      </c>
      <c r="Q3348" s="62" t="str">
        <f>IFERROR(IF(OR($B3348="",$B3348="(blank)"),"",VLOOKUP($B3348,'Email Marketing Raw Data'!$C:$O,9,0)),"")</f>
        <v/>
      </c>
    </row>
    <row r="3349" spans="4:17" ht="12.75" customHeight="1" x14ac:dyDescent="0.2">
      <c r="D3349" s="58" t="str">
        <f>IFERROR(IF(F3349&lt;&gt;"pending","",IF(OR($B3349="",$B3349="(blank)"),"",VLOOKUP($B3349,'Email Marketing Raw Data'!$C:$O,10,0))),"")</f>
        <v/>
      </c>
      <c r="E3349" s="59" t="str">
        <f>IFERROR(IF(F3349&lt;&gt;"pending","",IF(OR($B3349="",$B3349="(blank)"),"",VLOOKUP($B3349,'Email Marketing Raw Data'!$C:$O,11,0))),"")</f>
        <v/>
      </c>
      <c r="F3349" s="54" t="str">
        <f>IFERROR(IF(OR($B3349="",$B3349="(blank)"),"",VLOOKUP($B3349,'Email Marketing Raw Data'!$C:$O,13,0)),"")</f>
        <v/>
      </c>
      <c r="G3349" s="55" t="str">
        <f>IFERROR(IF(OR($B3349="",$B3349="(blank)"),"",VLOOKUP($B3349,'Email Marketing Raw Data'!$C:$O,4,0)),"")</f>
        <v/>
      </c>
      <c r="H3349" s="55" t="str">
        <f>IFERROR(IF(OR($B3349="",$B3349="(blank)"),"",VLOOKUP($B3349,'Email Marketing Raw Data'!$C:$O,5,0)),"")</f>
        <v/>
      </c>
      <c r="I3349" s="55" t="str">
        <f>IFERROR(IF($G3349="","",VLOOKUP('Dashboard And Emails Automate'!$G3349,Database!$H:$N,3,0)),"")</f>
        <v/>
      </c>
      <c r="J3349" s="55" t="str">
        <f>IFERROR(IF($G3349="","",VLOOKUP('Dashboard And Emails Automate'!$G3349,Database!$H:$N,4,0)),"")</f>
        <v/>
      </c>
      <c r="K3349" s="55" t="str">
        <f>IFERROR(IF($G3349="","",VLOOKUP('Dashboard And Emails Automate'!$G3349,Database!$H:$N,5,0)),"")</f>
        <v/>
      </c>
      <c r="L3349" s="55" t="str">
        <f>IFERROR(IF($G3349="","",VLOOKUP('Dashboard And Emails Automate'!$G3349,Database!$H:$N,6,0)),"")</f>
        <v/>
      </c>
      <c r="M3349" s="55" t="str">
        <f>IFERROR(IF($G3349="","",VLOOKUP('Dashboard And Emails Automate'!$G3349,Database!$H:$N,7,0)),"")</f>
        <v/>
      </c>
      <c r="N3349" s="55" t="str">
        <f>IFERROR(IF(OR($B3349="",$B3349="(blank)"),"",VLOOKUP($B3349,'Email Marketing Raw Data'!$C:$O,6,0)),"")</f>
        <v/>
      </c>
      <c r="O3349" s="55" t="str">
        <f>IFERROR(IF(OR($B3349="",$B3349="(blank)"),"",VLOOKUP($B3349,'Email Marketing Raw Data'!$C:$O,7,0)),"")</f>
        <v/>
      </c>
      <c r="P3349" s="55" t="str">
        <f>IFERROR(IF(OR($B3349="",$B3349="(blank)"),"",VLOOKUP($B3349,'Email Marketing Raw Data'!$C:$O,8,0)),"")</f>
        <v/>
      </c>
      <c r="Q3349" s="62" t="str">
        <f>IFERROR(IF(OR($B3349="",$B3349="(blank)"),"",VLOOKUP($B3349,'Email Marketing Raw Data'!$C:$O,9,0)),"")</f>
        <v/>
      </c>
    </row>
    <row r="3350" spans="4:17" ht="12.75" customHeight="1" x14ac:dyDescent="0.2">
      <c r="D3350" s="58" t="str">
        <f>IFERROR(IF(F3350&lt;&gt;"pending","",IF(OR($B3350="",$B3350="(blank)"),"",VLOOKUP($B3350,'Email Marketing Raw Data'!$C:$O,10,0))),"")</f>
        <v/>
      </c>
      <c r="E3350" s="59" t="str">
        <f>IFERROR(IF(F3350&lt;&gt;"pending","",IF(OR($B3350="",$B3350="(blank)"),"",VLOOKUP($B3350,'Email Marketing Raw Data'!$C:$O,11,0))),"")</f>
        <v/>
      </c>
      <c r="F3350" s="54" t="str">
        <f>IFERROR(IF(OR($B3350="",$B3350="(blank)"),"",VLOOKUP($B3350,'Email Marketing Raw Data'!$C:$O,13,0)),"")</f>
        <v/>
      </c>
      <c r="G3350" s="55" t="str">
        <f>IFERROR(IF(OR($B3350="",$B3350="(blank)"),"",VLOOKUP($B3350,'Email Marketing Raw Data'!$C:$O,4,0)),"")</f>
        <v/>
      </c>
      <c r="H3350" s="55" t="str">
        <f>IFERROR(IF(OR($B3350="",$B3350="(blank)"),"",VLOOKUP($B3350,'Email Marketing Raw Data'!$C:$O,5,0)),"")</f>
        <v/>
      </c>
      <c r="I3350" s="55" t="str">
        <f>IFERROR(IF($G3350="","",VLOOKUP('Dashboard And Emails Automate'!$G3350,Database!$H:$N,3,0)),"")</f>
        <v/>
      </c>
      <c r="J3350" s="55" t="str">
        <f>IFERROR(IF($G3350="","",VLOOKUP('Dashboard And Emails Automate'!$G3350,Database!$H:$N,4,0)),"")</f>
        <v/>
      </c>
      <c r="K3350" s="55" t="str">
        <f>IFERROR(IF($G3350="","",VLOOKUP('Dashboard And Emails Automate'!$G3350,Database!$H:$N,5,0)),"")</f>
        <v/>
      </c>
      <c r="L3350" s="55" t="str">
        <f>IFERROR(IF($G3350="","",VLOOKUP('Dashboard And Emails Automate'!$G3350,Database!$H:$N,6,0)),"")</f>
        <v/>
      </c>
      <c r="M3350" s="55" t="str">
        <f>IFERROR(IF($G3350="","",VLOOKUP('Dashboard And Emails Automate'!$G3350,Database!$H:$N,7,0)),"")</f>
        <v/>
      </c>
      <c r="N3350" s="55" t="str">
        <f>IFERROR(IF(OR($B3350="",$B3350="(blank)"),"",VLOOKUP($B3350,'Email Marketing Raw Data'!$C:$O,6,0)),"")</f>
        <v/>
      </c>
      <c r="O3350" s="55" t="str">
        <f>IFERROR(IF(OR($B3350="",$B3350="(blank)"),"",VLOOKUP($B3350,'Email Marketing Raw Data'!$C:$O,7,0)),"")</f>
        <v/>
      </c>
      <c r="P3350" s="55" t="str">
        <f>IFERROR(IF(OR($B3350="",$B3350="(blank)"),"",VLOOKUP($B3350,'Email Marketing Raw Data'!$C:$O,8,0)),"")</f>
        <v/>
      </c>
      <c r="Q3350" s="62" t="str">
        <f>IFERROR(IF(OR($B3350="",$B3350="(blank)"),"",VLOOKUP($B3350,'Email Marketing Raw Data'!$C:$O,9,0)),"")</f>
        <v/>
      </c>
    </row>
    <row r="3351" spans="4:17" ht="12.75" customHeight="1" x14ac:dyDescent="0.2">
      <c r="D3351" s="58" t="str">
        <f>IFERROR(IF(F3351&lt;&gt;"pending","",IF(OR($B3351="",$B3351="(blank)"),"",VLOOKUP($B3351,'Email Marketing Raw Data'!$C:$O,10,0))),"")</f>
        <v/>
      </c>
      <c r="E3351" s="59" t="str">
        <f>IFERROR(IF(F3351&lt;&gt;"pending","",IF(OR($B3351="",$B3351="(blank)"),"",VLOOKUP($B3351,'Email Marketing Raw Data'!$C:$O,11,0))),"")</f>
        <v/>
      </c>
      <c r="F3351" s="54" t="str">
        <f>IFERROR(IF(OR($B3351="",$B3351="(blank)"),"",VLOOKUP($B3351,'Email Marketing Raw Data'!$C:$O,13,0)),"")</f>
        <v/>
      </c>
      <c r="G3351" s="55" t="str">
        <f>IFERROR(IF(OR($B3351="",$B3351="(blank)"),"",VLOOKUP($B3351,'Email Marketing Raw Data'!$C:$O,4,0)),"")</f>
        <v/>
      </c>
      <c r="H3351" s="55" t="str">
        <f>IFERROR(IF(OR($B3351="",$B3351="(blank)"),"",VLOOKUP($B3351,'Email Marketing Raw Data'!$C:$O,5,0)),"")</f>
        <v/>
      </c>
      <c r="I3351" s="55" t="str">
        <f>IFERROR(IF($G3351="","",VLOOKUP('Dashboard And Emails Automate'!$G3351,Database!$H:$N,3,0)),"")</f>
        <v/>
      </c>
      <c r="J3351" s="55" t="str">
        <f>IFERROR(IF($G3351="","",VLOOKUP('Dashboard And Emails Automate'!$G3351,Database!$H:$N,4,0)),"")</f>
        <v/>
      </c>
      <c r="K3351" s="55" t="str">
        <f>IFERROR(IF($G3351="","",VLOOKUP('Dashboard And Emails Automate'!$G3351,Database!$H:$N,5,0)),"")</f>
        <v/>
      </c>
      <c r="L3351" s="55" t="str">
        <f>IFERROR(IF($G3351="","",VLOOKUP('Dashboard And Emails Automate'!$G3351,Database!$H:$N,6,0)),"")</f>
        <v/>
      </c>
      <c r="M3351" s="55" t="str">
        <f>IFERROR(IF($G3351="","",VLOOKUP('Dashboard And Emails Automate'!$G3351,Database!$H:$N,7,0)),"")</f>
        <v/>
      </c>
      <c r="N3351" s="55" t="str">
        <f>IFERROR(IF(OR($B3351="",$B3351="(blank)"),"",VLOOKUP($B3351,'Email Marketing Raw Data'!$C:$O,6,0)),"")</f>
        <v/>
      </c>
      <c r="O3351" s="55" t="str">
        <f>IFERROR(IF(OR($B3351="",$B3351="(blank)"),"",VLOOKUP($B3351,'Email Marketing Raw Data'!$C:$O,7,0)),"")</f>
        <v/>
      </c>
      <c r="P3351" s="55" t="str">
        <f>IFERROR(IF(OR($B3351="",$B3351="(blank)"),"",VLOOKUP($B3351,'Email Marketing Raw Data'!$C:$O,8,0)),"")</f>
        <v/>
      </c>
      <c r="Q3351" s="62" t="str">
        <f>IFERROR(IF(OR($B3351="",$B3351="(blank)"),"",VLOOKUP($B3351,'Email Marketing Raw Data'!$C:$O,9,0)),"")</f>
        <v/>
      </c>
    </row>
    <row r="3352" spans="4:17" ht="12.75" customHeight="1" x14ac:dyDescent="0.2">
      <c r="D3352" s="58" t="str">
        <f>IFERROR(IF(F3352&lt;&gt;"pending","",IF(OR($B3352="",$B3352="(blank)"),"",VLOOKUP($B3352,'Email Marketing Raw Data'!$C:$O,10,0))),"")</f>
        <v/>
      </c>
      <c r="E3352" s="59" t="str">
        <f>IFERROR(IF(F3352&lt;&gt;"pending","",IF(OR($B3352="",$B3352="(blank)"),"",VLOOKUP($B3352,'Email Marketing Raw Data'!$C:$O,11,0))),"")</f>
        <v/>
      </c>
      <c r="F3352" s="54" t="str">
        <f>IFERROR(IF(OR($B3352="",$B3352="(blank)"),"",VLOOKUP($B3352,'Email Marketing Raw Data'!$C:$O,13,0)),"")</f>
        <v/>
      </c>
      <c r="G3352" s="55" t="str">
        <f>IFERROR(IF(OR($B3352="",$B3352="(blank)"),"",VLOOKUP($B3352,'Email Marketing Raw Data'!$C:$O,4,0)),"")</f>
        <v/>
      </c>
      <c r="H3352" s="55" t="str">
        <f>IFERROR(IF(OR($B3352="",$B3352="(blank)"),"",VLOOKUP($B3352,'Email Marketing Raw Data'!$C:$O,5,0)),"")</f>
        <v/>
      </c>
      <c r="I3352" s="55" t="str">
        <f>IFERROR(IF($G3352="","",VLOOKUP('Dashboard And Emails Automate'!$G3352,Database!$H:$N,3,0)),"")</f>
        <v/>
      </c>
      <c r="J3352" s="55" t="str">
        <f>IFERROR(IF($G3352="","",VLOOKUP('Dashboard And Emails Automate'!$G3352,Database!$H:$N,4,0)),"")</f>
        <v/>
      </c>
      <c r="K3352" s="55" t="str">
        <f>IFERROR(IF($G3352="","",VLOOKUP('Dashboard And Emails Automate'!$G3352,Database!$H:$N,5,0)),"")</f>
        <v/>
      </c>
      <c r="L3352" s="55" t="str">
        <f>IFERROR(IF($G3352="","",VLOOKUP('Dashboard And Emails Automate'!$G3352,Database!$H:$N,6,0)),"")</f>
        <v/>
      </c>
      <c r="M3352" s="55" t="str">
        <f>IFERROR(IF($G3352="","",VLOOKUP('Dashboard And Emails Automate'!$G3352,Database!$H:$N,7,0)),"")</f>
        <v/>
      </c>
      <c r="N3352" s="55" t="str">
        <f>IFERROR(IF(OR($B3352="",$B3352="(blank)"),"",VLOOKUP($B3352,'Email Marketing Raw Data'!$C:$O,6,0)),"")</f>
        <v/>
      </c>
      <c r="O3352" s="55" t="str">
        <f>IFERROR(IF(OR($B3352="",$B3352="(blank)"),"",VLOOKUP($B3352,'Email Marketing Raw Data'!$C:$O,7,0)),"")</f>
        <v/>
      </c>
      <c r="P3352" s="55" t="str">
        <f>IFERROR(IF(OR($B3352="",$B3352="(blank)"),"",VLOOKUP($B3352,'Email Marketing Raw Data'!$C:$O,8,0)),"")</f>
        <v/>
      </c>
      <c r="Q3352" s="62" t="str">
        <f>IFERROR(IF(OR($B3352="",$B3352="(blank)"),"",VLOOKUP($B3352,'Email Marketing Raw Data'!$C:$O,9,0)),"")</f>
        <v/>
      </c>
    </row>
    <row r="3353" spans="4:17" ht="12.75" customHeight="1" x14ac:dyDescent="0.2">
      <c r="D3353" s="58" t="str">
        <f>IFERROR(IF(F3353&lt;&gt;"pending","",IF(OR($B3353="",$B3353="(blank)"),"",VLOOKUP($B3353,'Email Marketing Raw Data'!$C:$O,10,0))),"")</f>
        <v/>
      </c>
      <c r="E3353" s="59" t="str">
        <f>IFERROR(IF(F3353&lt;&gt;"pending","",IF(OR($B3353="",$B3353="(blank)"),"",VLOOKUP($B3353,'Email Marketing Raw Data'!$C:$O,11,0))),"")</f>
        <v/>
      </c>
      <c r="F3353" s="54" t="str">
        <f>IFERROR(IF(OR($B3353="",$B3353="(blank)"),"",VLOOKUP($B3353,'Email Marketing Raw Data'!$C:$O,13,0)),"")</f>
        <v/>
      </c>
      <c r="G3353" s="55" t="str">
        <f>IFERROR(IF(OR($B3353="",$B3353="(blank)"),"",VLOOKUP($B3353,'Email Marketing Raw Data'!$C:$O,4,0)),"")</f>
        <v/>
      </c>
      <c r="H3353" s="55" t="str">
        <f>IFERROR(IF(OR($B3353="",$B3353="(blank)"),"",VLOOKUP($B3353,'Email Marketing Raw Data'!$C:$O,5,0)),"")</f>
        <v/>
      </c>
      <c r="I3353" s="55" t="str">
        <f>IFERROR(IF($G3353="","",VLOOKUP('Dashboard And Emails Automate'!$G3353,Database!$H:$N,3,0)),"")</f>
        <v/>
      </c>
      <c r="J3353" s="55" t="str">
        <f>IFERROR(IF($G3353="","",VLOOKUP('Dashboard And Emails Automate'!$G3353,Database!$H:$N,4,0)),"")</f>
        <v/>
      </c>
      <c r="K3353" s="55" t="str">
        <f>IFERROR(IF($G3353="","",VLOOKUP('Dashboard And Emails Automate'!$G3353,Database!$H:$N,5,0)),"")</f>
        <v/>
      </c>
      <c r="L3353" s="55" t="str">
        <f>IFERROR(IF($G3353="","",VLOOKUP('Dashboard And Emails Automate'!$G3353,Database!$H:$N,6,0)),"")</f>
        <v/>
      </c>
      <c r="M3353" s="55" t="str">
        <f>IFERROR(IF($G3353="","",VLOOKUP('Dashboard And Emails Automate'!$G3353,Database!$H:$N,7,0)),"")</f>
        <v/>
      </c>
      <c r="N3353" s="55" t="str">
        <f>IFERROR(IF(OR($B3353="",$B3353="(blank)"),"",VLOOKUP($B3353,'Email Marketing Raw Data'!$C:$O,6,0)),"")</f>
        <v/>
      </c>
      <c r="O3353" s="55" t="str">
        <f>IFERROR(IF(OR($B3353="",$B3353="(blank)"),"",VLOOKUP($B3353,'Email Marketing Raw Data'!$C:$O,7,0)),"")</f>
        <v/>
      </c>
      <c r="P3353" s="55" t="str">
        <f>IFERROR(IF(OR($B3353="",$B3353="(blank)"),"",VLOOKUP($B3353,'Email Marketing Raw Data'!$C:$O,8,0)),"")</f>
        <v/>
      </c>
      <c r="Q3353" s="62" t="str">
        <f>IFERROR(IF(OR($B3353="",$B3353="(blank)"),"",VLOOKUP($B3353,'Email Marketing Raw Data'!$C:$O,9,0)),"")</f>
        <v/>
      </c>
    </row>
    <row r="3354" spans="4:17" ht="12.75" customHeight="1" x14ac:dyDescent="0.2">
      <c r="D3354" s="58" t="str">
        <f>IFERROR(IF(F3354&lt;&gt;"pending","",IF(OR($B3354="",$B3354="(blank)"),"",VLOOKUP($B3354,'Email Marketing Raw Data'!$C:$O,10,0))),"")</f>
        <v/>
      </c>
      <c r="E3354" s="59" t="str">
        <f>IFERROR(IF(F3354&lt;&gt;"pending","",IF(OR($B3354="",$B3354="(blank)"),"",VLOOKUP($B3354,'Email Marketing Raw Data'!$C:$O,11,0))),"")</f>
        <v/>
      </c>
      <c r="F3354" s="54" t="str">
        <f>IFERROR(IF(OR($B3354="",$B3354="(blank)"),"",VLOOKUP($B3354,'Email Marketing Raw Data'!$C:$O,13,0)),"")</f>
        <v/>
      </c>
      <c r="G3354" s="55" t="str">
        <f>IFERROR(IF(OR($B3354="",$B3354="(blank)"),"",VLOOKUP($B3354,'Email Marketing Raw Data'!$C:$O,4,0)),"")</f>
        <v/>
      </c>
      <c r="H3354" s="55" t="str">
        <f>IFERROR(IF(OR($B3354="",$B3354="(blank)"),"",VLOOKUP($B3354,'Email Marketing Raw Data'!$C:$O,5,0)),"")</f>
        <v/>
      </c>
      <c r="I3354" s="55" t="str">
        <f>IFERROR(IF($G3354="","",VLOOKUP('Dashboard And Emails Automate'!$G3354,Database!$H:$N,3,0)),"")</f>
        <v/>
      </c>
      <c r="J3354" s="55" t="str">
        <f>IFERROR(IF($G3354="","",VLOOKUP('Dashboard And Emails Automate'!$G3354,Database!$H:$N,4,0)),"")</f>
        <v/>
      </c>
      <c r="K3354" s="55" t="str">
        <f>IFERROR(IF($G3354="","",VLOOKUP('Dashboard And Emails Automate'!$G3354,Database!$H:$N,5,0)),"")</f>
        <v/>
      </c>
      <c r="L3354" s="55" t="str">
        <f>IFERROR(IF($G3354="","",VLOOKUP('Dashboard And Emails Automate'!$G3354,Database!$H:$N,6,0)),"")</f>
        <v/>
      </c>
      <c r="M3354" s="55" t="str">
        <f>IFERROR(IF($G3354="","",VLOOKUP('Dashboard And Emails Automate'!$G3354,Database!$H:$N,7,0)),"")</f>
        <v/>
      </c>
      <c r="N3354" s="55" t="str">
        <f>IFERROR(IF(OR($B3354="",$B3354="(blank)"),"",VLOOKUP($B3354,'Email Marketing Raw Data'!$C:$O,6,0)),"")</f>
        <v/>
      </c>
      <c r="O3354" s="55" t="str">
        <f>IFERROR(IF(OR($B3354="",$B3354="(blank)"),"",VLOOKUP($B3354,'Email Marketing Raw Data'!$C:$O,7,0)),"")</f>
        <v/>
      </c>
      <c r="P3354" s="55" t="str">
        <f>IFERROR(IF(OR($B3354="",$B3354="(blank)"),"",VLOOKUP($B3354,'Email Marketing Raw Data'!$C:$O,8,0)),"")</f>
        <v/>
      </c>
      <c r="Q3354" s="62" t="str">
        <f>IFERROR(IF(OR($B3354="",$B3354="(blank)"),"",VLOOKUP($B3354,'Email Marketing Raw Data'!$C:$O,9,0)),"")</f>
        <v/>
      </c>
    </row>
    <row r="3355" spans="4:17" ht="12.75" customHeight="1" x14ac:dyDescent="0.2">
      <c r="D3355" s="58" t="str">
        <f>IFERROR(IF(F3355&lt;&gt;"pending","",IF(OR($B3355="",$B3355="(blank)"),"",VLOOKUP($B3355,'Email Marketing Raw Data'!$C:$O,10,0))),"")</f>
        <v/>
      </c>
      <c r="E3355" s="59" t="str">
        <f>IFERROR(IF(F3355&lt;&gt;"pending","",IF(OR($B3355="",$B3355="(blank)"),"",VLOOKUP($B3355,'Email Marketing Raw Data'!$C:$O,11,0))),"")</f>
        <v/>
      </c>
      <c r="F3355" s="54" t="str">
        <f>IFERROR(IF(OR($B3355="",$B3355="(blank)"),"",VLOOKUP($B3355,'Email Marketing Raw Data'!$C:$O,13,0)),"")</f>
        <v/>
      </c>
      <c r="G3355" s="55" t="str">
        <f>IFERROR(IF(OR($B3355="",$B3355="(blank)"),"",VLOOKUP($B3355,'Email Marketing Raw Data'!$C:$O,4,0)),"")</f>
        <v/>
      </c>
      <c r="H3355" s="55" t="str">
        <f>IFERROR(IF(OR($B3355="",$B3355="(blank)"),"",VLOOKUP($B3355,'Email Marketing Raw Data'!$C:$O,5,0)),"")</f>
        <v/>
      </c>
      <c r="I3355" s="55" t="str">
        <f>IFERROR(IF($G3355="","",VLOOKUP('Dashboard And Emails Automate'!$G3355,Database!$H:$N,3,0)),"")</f>
        <v/>
      </c>
      <c r="J3355" s="55" t="str">
        <f>IFERROR(IF($G3355="","",VLOOKUP('Dashboard And Emails Automate'!$G3355,Database!$H:$N,4,0)),"")</f>
        <v/>
      </c>
      <c r="K3355" s="55" t="str">
        <f>IFERROR(IF($G3355="","",VLOOKUP('Dashboard And Emails Automate'!$G3355,Database!$H:$N,5,0)),"")</f>
        <v/>
      </c>
      <c r="L3355" s="55" t="str">
        <f>IFERROR(IF($G3355="","",VLOOKUP('Dashboard And Emails Automate'!$G3355,Database!$H:$N,6,0)),"")</f>
        <v/>
      </c>
      <c r="M3355" s="55" t="str">
        <f>IFERROR(IF($G3355="","",VLOOKUP('Dashboard And Emails Automate'!$G3355,Database!$H:$N,7,0)),"")</f>
        <v/>
      </c>
      <c r="N3355" s="55" t="str">
        <f>IFERROR(IF(OR($B3355="",$B3355="(blank)"),"",VLOOKUP($B3355,'Email Marketing Raw Data'!$C:$O,6,0)),"")</f>
        <v/>
      </c>
      <c r="O3355" s="55" t="str">
        <f>IFERROR(IF(OR($B3355="",$B3355="(blank)"),"",VLOOKUP($B3355,'Email Marketing Raw Data'!$C:$O,7,0)),"")</f>
        <v/>
      </c>
      <c r="P3355" s="55" t="str">
        <f>IFERROR(IF(OR($B3355="",$B3355="(blank)"),"",VLOOKUP($B3355,'Email Marketing Raw Data'!$C:$O,8,0)),"")</f>
        <v/>
      </c>
      <c r="Q3355" s="62" t="str">
        <f>IFERROR(IF(OR($B3355="",$B3355="(blank)"),"",VLOOKUP($B3355,'Email Marketing Raw Data'!$C:$O,9,0)),"")</f>
        <v/>
      </c>
    </row>
    <row r="3356" spans="4:17" ht="12.75" customHeight="1" x14ac:dyDescent="0.2">
      <c r="D3356" s="58" t="str">
        <f>IFERROR(IF(F3356&lt;&gt;"pending","",IF(OR($B3356="",$B3356="(blank)"),"",VLOOKUP($B3356,'Email Marketing Raw Data'!$C:$O,10,0))),"")</f>
        <v/>
      </c>
      <c r="E3356" s="59" t="str">
        <f>IFERROR(IF(F3356&lt;&gt;"pending","",IF(OR($B3356="",$B3356="(blank)"),"",VLOOKUP($B3356,'Email Marketing Raw Data'!$C:$O,11,0))),"")</f>
        <v/>
      </c>
      <c r="F3356" s="54" t="str">
        <f>IFERROR(IF(OR($B3356="",$B3356="(blank)"),"",VLOOKUP($B3356,'Email Marketing Raw Data'!$C:$O,13,0)),"")</f>
        <v/>
      </c>
      <c r="G3356" s="55" t="str">
        <f>IFERROR(IF(OR($B3356="",$B3356="(blank)"),"",VLOOKUP($B3356,'Email Marketing Raw Data'!$C:$O,4,0)),"")</f>
        <v/>
      </c>
      <c r="H3356" s="55" t="str">
        <f>IFERROR(IF(OR($B3356="",$B3356="(blank)"),"",VLOOKUP($B3356,'Email Marketing Raw Data'!$C:$O,5,0)),"")</f>
        <v/>
      </c>
      <c r="I3356" s="55" t="str">
        <f>IFERROR(IF($G3356="","",VLOOKUP('Dashboard And Emails Automate'!$G3356,Database!$H:$N,3,0)),"")</f>
        <v/>
      </c>
      <c r="J3356" s="55" t="str">
        <f>IFERROR(IF($G3356="","",VLOOKUP('Dashboard And Emails Automate'!$G3356,Database!$H:$N,4,0)),"")</f>
        <v/>
      </c>
      <c r="K3356" s="55" t="str">
        <f>IFERROR(IF($G3356="","",VLOOKUP('Dashboard And Emails Automate'!$G3356,Database!$H:$N,5,0)),"")</f>
        <v/>
      </c>
      <c r="L3356" s="55" t="str">
        <f>IFERROR(IF($G3356="","",VLOOKUP('Dashboard And Emails Automate'!$G3356,Database!$H:$N,6,0)),"")</f>
        <v/>
      </c>
      <c r="M3356" s="55" t="str">
        <f>IFERROR(IF($G3356="","",VLOOKUP('Dashboard And Emails Automate'!$G3356,Database!$H:$N,7,0)),"")</f>
        <v/>
      </c>
      <c r="N3356" s="55" t="str">
        <f>IFERROR(IF(OR($B3356="",$B3356="(blank)"),"",VLOOKUP($B3356,'Email Marketing Raw Data'!$C:$O,6,0)),"")</f>
        <v/>
      </c>
      <c r="O3356" s="55" t="str">
        <f>IFERROR(IF(OR($B3356="",$B3356="(blank)"),"",VLOOKUP($B3356,'Email Marketing Raw Data'!$C:$O,7,0)),"")</f>
        <v/>
      </c>
      <c r="P3356" s="55" t="str">
        <f>IFERROR(IF(OR($B3356="",$B3356="(blank)"),"",VLOOKUP($B3356,'Email Marketing Raw Data'!$C:$O,8,0)),"")</f>
        <v/>
      </c>
      <c r="Q3356" s="62" t="str">
        <f>IFERROR(IF(OR($B3356="",$B3356="(blank)"),"",VLOOKUP($B3356,'Email Marketing Raw Data'!$C:$O,9,0)),"")</f>
        <v/>
      </c>
    </row>
    <row r="3357" spans="4:17" ht="12.75" customHeight="1" x14ac:dyDescent="0.2">
      <c r="D3357" s="58" t="str">
        <f>IFERROR(IF(F3357&lt;&gt;"pending","",IF(OR($B3357="",$B3357="(blank)"),"",VLOOKUP($B3357,'Email Marketing Raw Data'!$C:$O,10,0))),"")</f>
        <v/>
      </c>
      <c r="E3357" s="59" t="str">
        <f>IFERROR(IF(F3357&lt;&gt;"pending","",IF(OR($B3357="",$B3357="(blank)"),"",VLOOKUP($B3357,'Email Marketing Raw Data'!$C:$O,11,0))),"")</f>
        <v/>
      </c>
      <c r="F3357" s="54" t="str">
        <f>IFERROR(IF(OR($B3357="",$B3357="(blank)"),"",VLOOKUP($B3357,'Email Marketing Raw Data'!$C:$O,13,0)),"")</f>
        <v/>
      </c>
      <c r="G3357" s="55" t="str">
        <f>IFERROR(IF(OR($B3357="",$B3357="(blank)"),"",VLOOKUP($B3357,'Email Marketing Raw Data'!$C:$O,4,0)),"")</f>
        <v/>
      </c>
      <c r="H3357" s="55" t="str">
        <f>IFERROR(IF(OR($B3357="",$B3357="(blank)"),"",VLOOKUP($B3357,'Email Marketing Raw Data'!$C:$O,5,0)),"")</f>
        <v/>
      </c>
      <c r="I3357" s="55" t="str">
        <f>IFERROR(IF($G3357="","",VLOOKUP('Dashboard And Emails Automate'!$G3357,Database!$H:$N,3,0)),"")</f>
        <v/>
      </c>
      <c r="J3357" s="55" t="str">
        <f>IFERROR(IF($G3357="","",VLOOKUP('Dashboard And Emails Automate'!$G3357,Database!$H:$N,4,0)),"")</f>
        <v/>
      </c>
      <c r="K3357" s="55" t="str">
        <f>IFERROR(IF($G3357="","",VLOOKUP('Dashboard And Emails Automate'!$G3357,Database!$H:$N,5,0)),"")</f>
        <v/>
      </c>
      <c r="L3357" s="55" t="str">
        <f>IFERROR(IF($G3357="","",VLOOKUP('Dashboard And Emails Automate'!$G3357,Database!$H:$N,6,0)),"")</f>
        <v/>
      </c>
      <c r="M3357" s="55" t="str">
        <f>IFERROR(IF($G3357="","",VLOOKUP('Dashboard And Emails Automate'!$G3357,Database!$H:$N,7,0)),"")</f>
        <v/>
      </c>
      <c r="N3357" s="55" t="str">
        <f>IFERROR(IF(OR($B3357="",$B3357="(blank)"),"",VLOOKUP($B3357,'Email Marketing Raw Data'!$C:$O,6,0)),"")</f>
        <v/>
      </c>
      <c r="O3357" s="55" t="str">
        <f>IFERROR(IF(OR($B3357="",$B3357="(blank)"),"",VLOOKUP($B3357,'Email Marketing Raw Data'!$C:$O,7,0)),"")</f>
        <v/>
      </c>
      <c r="P3357" s="55" t="str">
        <f>IFERROR(IF(OR($B3357="",$B3357="(blank)"),"",VLOOKUP($B3357,'Email Marketing Raw Data'!$C:$O,8,0)),"")</f>
        <v/>
      </c>
      <c r="Q3357" s="62" t="str">
        <f>IFERROR(IF(OR($B3357="",$B3357="(blank)"),"",VLOOKUP($B3357,'Email Marketing Raw Data'!$C:$O,9,0)),"")</f>
        <v/>
      </c>
    </row>
    <row r="3358" spans="4:17" ht="12.75" customHeight="1" x14ac:dyDescent="0.2">
      <c r="D3358" s="58" t="str">
        <f>IFERROR(IF(F3358&lt;&gt;"pending","",IF(OR($B3358="",$B3358="(blank)"),"",VLOOKUP($B3358,'Email Marketing Raw Data'!$C:$O,10,0))),"")</f>
        <v/>
      </c>
      <c r="E3358" s="59" t="str">
        <f>IFERROR(IF(F3358&lt;&gt;"pending","",IF(OR($B3358="",$B3358="(blank)"),"",VLOOKUP($B3358,'Email Marketing Raw Data'!$C:$O,11,0))),"")</f>
        <v/>
      </c>
      <c r="F3358" s="54" t="str">
        <f>IFERROR(IF(OR($B3358="",$B3358="(blank)"),"",VLOOKUP($B3358,'Email Marketing Raw Data'!$C:$O,13,0)),"")</f>
        <v/>
      </c>
      <c r="G3358" s="55" t="str">
        <f>IFERROR(IF(OR($B3358="",$B3358="(blank)"),"",VLOOKUP($B3358,'Email Marketing Raw Data'!$C:$O,4,0)),"")</f>
        <v/>
      </c>
      <c r="H3358" s="55" t="str">
        <f>IFERROR(IF(OR($B3358="",$B3358="(blank)"),"",VLOOKUP($B3358,'Email Marketing Raw Data'!$C:$O,5,0)),"")</f>
        <v/>
      </c>
      <c r="I3358" s="55" t="str">
        <f>IFERROR(IF($G3358="","",VLOOKUP('Dashboard And Emails Automate'!$G3358,Database!$H:$N,3,0)),"")</f>
        <v/>
      </c>
      <c r="J3358" s="55" t="str">
        <f>IFERROR(IF($G3358="","",VLOOKUP('Dashboard And Emails Automate'!$G3358,Database!$H:$N,4,0)),"")</f>
        <v/>
      </c>
      <c r="K3358" s="55" t="str">
        <f>IFERROR(IF($G3358="","",VLOOKUP('Dashboard And Emails Automate'!$G3358,Database!$H:$N,5,0)),"")</f>
        <v/>
      </c>
      <c r="L3358" s="55" t="str">
        <f>IFERROR(IF($G3358="","",VLOOKUP('Dashboard And Emails Automate'!$G3358,Database!$H:$N,6,0)),"")</f>
        <v/>
      </c>
      <c r="M3358" s="55" t="str">
        <f>IFERROR(IF($G3358="","",VLOOKUP('Dashboard And Emails Automate'!$G3358,Database!$H:$N,7,0)),"")</f>
        <v/>
      </c>
      <c r="N3358" s="55" t="str">
        <f>IFERROR(IF(OR($B3358="",$B3358="(blank)"),"",VLOOKUP($B3358,'Email Marketing Raw Data'!$C:$O,6,0)),"")</f>
        <v/>
      </c>
      <c r="O3358" s="55" t="str">
        <f>IFERROR(IF(OR($B3358="",$B3358="(blank)"),"",VLOOKUP($B3358,'Email Marketing Raw Data'!$C:$O,7,0)),"")</f>
        <v/>
      </c>
      <c r="P3358" s="55" t="str">
        <f>IFERROR(IF(OR($B3358="",$B3358="(blank)"),"",VLOOKUP($B3358,'Email Marketing Raw Data'!$C:$O,8,0)),"")</f>
        <v/>
      </c>
      <c r="Q3358" s="62" t="str">
        <f>IFERROR(IF(OR($B3358="",$B3358="(blank)"),"",VLOOKUP($B3358,'Email Marketing Raw Data'!$C:$O,9,0)),"")</f>
        <v/>
      </c>
    </row>
    <row r="3359" spans="4:17" ht="12.75" customHeight="1" x14ac:dyDescent="0.2">
      <c r="D3359" s="58" t="str">
        <f>IFERROR(IF(F3359&lt;&gt;"pending","",IF(OR($B3359="",$B3359="(blank)"),"",VLOOKUP($B3359,'Email Marketing Raw Data'!$C:$O,10,0))),"")</f>
        <v/>
      </c>
      <c r="E3359" s="59" t="str">
        <f>IFERROR(IF(F3359&lt;&gt;"pending","",IF(OR($B3359="",$B3359="(blank)"),"",VLOOKUP($B3359,'Email Marketing Raw Data'!$C:$O,11,0))),"")</f>
        <v/>
      </c>
      <c r="F3359" s="54" t="str">
        <f>IFERROR(IF(OR($B3359="",$B3359="(blank)"),"",VLOOKUP($B3359,'Email Marketing Raw Data'!$C:$O,13,0)),"")</f>
        <v/>
      </c>
      <c r="G3359" s="55" t="str">
        <f>IFERROR(IF(OR($B3359="",$B3359="(blank)"),"",VLOOKUP($B3359,'Email Marketing Raw Data'!$C:$O,4,0)),"")</f>
        <v/>
      </c>
      <c r="H3359" s="55" t="str">
        <f>IFERROR(IF(OR($B3359="",$B3359="(blank)"),"",VLOOKUP($B3359,'Email Marketing Raw Data'!$C:$O,5,0)),"")</f>
        <v/>
      </c>
      <c r="I3359" s="55" t="str">
        <f>IFERROR(IF($G3359="","",VLOOKUP('Dashboard And Emails Automate'!$G3359,Database!$H:$N,3,0)),"")</f>
        <v/>
      </c>
      <c r="J3359" s="55" t="str">
        <f>IFERROR(IF($G3359="","",VLOOKUP('Dashboard And Emails Automate'!$G3359,Database!$H:$N,4,0)),"")</f>
        <v/>
      </c>
      <c r="K3359" s="55" t="str">
        <f>IFERROR(IF($G3359="","",VLOOKUP('Dashboard And Emails Automate'!$G3359,Database!$H:$N,5,0)),"")</f>
        <v/>
      </c>
      <c r="L3359" s="55" t="str">
        <f>IFERROR(IF($G3359="","",VLOOKUP('Dashboard And Emails Automate'!$G3359,Database!$H:$N,6,0)),"")</f>
        <v/>
      </c>
      <c r="M3359" s="55" t="str">
        <f>IFERROR(IF($G3359="","",VLOOKUP('Dashboard And Emails Automate'!$G3359,Database!$H:$N,7,0)),"")</f>
        <v/>
      </c>
      <c r="N3359" s="55" t="str">
        <f>IFERROR(IF(OR($B3359="",$B3359="(blank)"),"",VLOOKUP($B3359,'Email Marketing Raw Data'!$C:$O,6,0)),"")</f>
        <v/>
      </c>
      <c r="O3359" s="55" t="str">
        <f>IFERROR(IF(OR($B3359="",$B3359="(blank)"),"",VLOOKUP($B3359,'Email Marketing Raw Data'!$C:$O,7,0)),"")</f>
        <v/>
      </c>
      <c r="P3359" s="55" t="str">
        <f>IFERROR(IF(OR($B3359="",$B3359="(blank)"),"",VLOOKUP($B3359,'Email Marketing Raw Data'!$C:$O,8,0)),"")</f>
        <v/>
      </c>
      <c r="Q3359" s="62" t="str">
        <f>IFERROR(IF(OR($B3359="",$B3359="(blank)"),"",VLOOKUP($B3359,'Email Marketing Raw Data'!$C:$O,9,0)),"")</f>
        <v/>
      </c>
    </row>
    <row r="3360" spans="4:17" ht="12.75" customHeight="1" x14ac:dyDescent="0.2">
      <c r="D3360" s="58" t="str">
        <f>IFERROR(IF(F3360&lt;&gt;"pending","",IF(OR($B3360="",$B3360="(blank)"),"",VLOOKUP($B3360,'Email Marketing Raw Data'!$C:$O,10,0))),"")</f>
        <v/>
      </c>
      <c r="E3360" s="59" t="str">
        <f>IFERROR(IF(F3360&lt;&gt;"pending","",IF(OR($B3360="",$B3360="(blank)"),"",VLOOKUP($B3360,'Email Marketing Raw Data'!$C:$O,11,0))),"")</f>
        <v/>
      </c>
      <c r="F3360" s="54" t="str">
        <f>IFERROR(IF(OR($B3360="",$B3360="(blank)"),"",VLOOKUP($B3360,'Email Marketing Raw Data'!$C:$O,13,0)),"")</f>
        <v/>
      </c>
      <c r="G3360" s="55" t="str">
        <f>IFERROR(IF(OR($B3360="",$B3360="(blank)"),"",VLOOKUP($B3360,'Email Marketing Raw Data'!$C:$O,4,0)),"")</f>
        <v/>
      </c>
      <c r="H3360" s="55" t="str">
        <f>IFERROR(IF(OR($B3360="",$B3360="(blank)"),"",VLOOKUP($B3360,'Email Marketing Raw Data'!$C:$O,5,0)),"")</f>
        <v/>
      </c>
      <c r="I3360" s="55" t="str">
        <f>IFERROR(IF($G3360="","",VLOOKUP('Dashboard And Emails Automate'!$G3360,Database!$H:$N,3,0)),"")</f>
        <v/>
      </c>
      <c r="J3360" s="55" t="str">
        <f>IFERROR(IF($G3360="","",VLOOKUP('Dashboard And Emails Automate'!$G3360,Database!$H:$N,4,0)),"")</f>
        <v/>
      </c>
      <c r="K3360" s="55" t="str">
        <f>IFERROR(IF($G3360="","",VLOOKUP('Dashboard And Emails Automate'!$G3360,Database!$H:$N,5,0)),"")</f>
        <v/>
      </c>
      <c r="L3360" s="55" t="str">
        <f>IFERROR(IF($G3360="","",VLOOKUP('Dashboard And Emails Automate'!$G3360,Database!$H:$N,6,0)),"")</f>
        <v/>
      </c>
      <c r="M3360" s="55" t="str">
        <f>IFERROR(IF($G3360="","",VLOOKUP('Dashboard And Emails Automate'!$G3360,Database!$H:$N,7,0)),"")</f>
        <v/>
      </c>
      <c r="N3360" s="55" t="str">
        <f>IFERROR(IF(OR($B3360="",$B3360="(blank)"),"",VLOOKUP($B3360,'Email Marketing Raw Data'!$C:$O,6,0)),"")</f>
        <v/>
      </c>
      <c r="O3360" s="55" t="str">
        <f>IFERROR(IF(OR($B3360="",$B3360="(blank)"),"",VLOOKUP($B3360,'Email Marketing Raw Data'!$C:$O,7,0)),"")</f>
        <v/>
      </c>
      <c r="P3360" s="55" t="str">
        <f>IFERROR(IF(OR($B3360="",$B3360="(blank)"),"",VLOOKUP($B3360,'Email Marketing Raw Data'!$C:$O,8,0)),"")</f>
        <v/>
      </c>
      <c r="Q3360" s="62" t="str">
        <f>IFERROR(IF(OR($B3360="",$B3360="(blank)"),"",VLOOKUP($B3360,'Email Marketing Raw Data'!$C:$O,9,0)),"")</f>
        <v/>
      </c>
    </row>
    <row r="3361" spans="4:17" ht="12.75" customHeight="1" x14ac:dyDescent="0.2">
      <c r="D3361" s="58" t="str">
        <f>IFERROR(IF(F3361&lt;&gt;"pending","",IF(OR($B3361="",$B3361="(blank)"),"",VLOOKUP($B3361,'Email Marketing Raw Data'!$C:$O,10,0))),"")</f>
        <v/>
      </c>
      <c r="E3361" s="59" t="str">
        <f>IFERROR(IF(F3361&lt;&gt;"pending","",IF(OR($B3361="",$B3361="(blank)"),"",VLOOKUP($B3361,'Email Marketing Raw Data'!$C:$O,11,0))),"")</f>
        <v/>
      </c>
      <c r="F3361" s="54" t="str">
        <f>IFERROR(IF(OR($B3361="",$B3361="(blank)"),"",VLOOKUP($B3361,'Email Marketing Raw Data'!$C:$O,13,0)),"")</f>
        <v/>
      </c>
      <c r="G3361" s="55" t="str">
        <f>IFERROR(IF(OR($B3361="",$B3361="(blank)"),"",VLOOKUP($B3361,'Email Marketing Raw Data'!$C:$O,4,0)),"")</f>
        <v/>
      </c>
      <c r="H3361" s="55" t="str">
        <f>IFERROR(IF(OR($B3361="",$B3361="(blank)"),"",VLOOKUP($B3361,'Email Marketing Raw Data'!$C:$O,5,0)),"")</f>
        <v/>
      </c>
      <c r="I3361" s="55" t="str">
        <f>IFERROR(IF($G3361="","",VLOOKUP('Dashboard And Emails Automate'!$G3361,Database!$H:$N,3,0)),"")</f>
        <v/>
      </c>
      <c r="J3361" s="55" t="str">
        <f>IFERROR(IF($G3361="","",VLOOKUP('Dashboard And Emails Automate'!$G3361,Database!$H:$N,4,0)),"")</f>
        <v/>
      </c>
      <c r="K3361" s="55" t="str">
        <f>IFERROR(IF($G3361="","",VLOOKUP('Dashboard And Emails Automate'!$G3361,Database!$H:$N,5,0)),"")</f>
        <v/>
      </c>
      <c r="L3361" s="55" t="str">
        <f>IFERROR(IF($G3361="","",VLOOKUP('Dashboard And Emails Automate'!$G3361,Database!$H:$N,6,0)),"")</f>
        <v/>
      </c>
      <c r="M3361" s="55" t="str">
        <f>IFERROR(IF($G3361="","",VLOOKUP('Dashboard And Emails Automate'!$G3361,Database!$H:$N,7,0)),"")</f>
        <v/>
      </c>
      <c r="N3361" s="55" t="str">
        <f>IFERROR(IF(OR($B3361="",$B3361="(blank)"),"",VLOOKUP($B3361,'Email Marketing Raw Data'!$C:$O,6,0)),"")</f>
        <v/>
      </c>
      <c r="O3361" s="55" t="str">
        <f>IFERROR(IF(OR($B3361="",$B3361="(blank)"),"",VLOOKUP($B3361,'Email Marketing Raw Data'!$C:$O,7,0)),"")</f>
        <v/>
      </c>
      <c r="P3361" s="55" t="str">
        <f>IFERROR(IF(OR($B3361="",$B3361="(blank)"),"",VLOOKUP($B3361,'Email Marketing Raw Data'!$C:$O,8,0)),"")</f>
        <v/>
      </c>
      <c r="Q3361" s="62" t="str">
        <f>IFERROR(IF(OR($B3361="",$B3361="(blank)"),"",VLOOKUP($B3361,'Email Marketing Raw Data'!$C:$O,9,0)),"")</f>
        <v/>
      </c>
    </row>
    <row r="3362" spans="4:17" ht="12.75" customHeight="1" x14ac:dyDescent="0.2">
      <c r="D3362" s="58" t="str">
        <f>IFERROR(IF(F3362&lt;&gt;"pending","",IF(OR($B3362="",$B3362="(blank)"),"",VLOOKUP($B3362,'Email Marketing Raw Data'!$C:$O,10,0))),"")</f>
        <v/>
      </c>
      <c r="E3362" s="59" t="str">
        <f>IFERROR(IF(F3362&lt;&gt;"pending","",IF(OR($B3362="",$B3362="(blank)"),"",VLOOKUP($B3362,'Email Marketing Raw Data'!$C:$O,11,0))),"")</f>
        <v/>
      </c>
      <c r="F3362" s="54" t="str">
        <f>IFERROR(IF(OR($B3362="",$B3362="(blank)"),"",VLOOKUP($B3362,'Email Marketing Raw Data'!$C:$O,13,0)),"")</f>
        <v/>
      </c>
      <c r="G3362" s="55" t="str">
        <f>IFERROR(IF(OR($B3362="",$B3362="(blank)"),"",VLOOKUP($B3362,'Email Marketing Raw Data'!$C:$O,4,0)),"")</f>
        <v/>
      </c>
      <c r="H3362" s="55" t="str">
        <f>IFERROR(IF(OR($B3362="",$B3362="(blank)"),"",VLOOKUP($B3362,'Email Marketing Raw Data'!$C:$O,5,0)),"")</f>
        <v/>
      </c>
      <c r="I3362" s="55" t="str">
        <f>IFERROR(IF($G3362="","",VLOOKUP('Dashboard And Emails Automate'!$G3362,Database!$H:$N,3,0)),"")</f>
        <v/>
      </c>
      <c r="J3362" s="55" t="str">
        <f>IFERROR(IF($G3362="","",VLOOKUP('Dashboard And Emails Automate'!$G3362,Database!$H:$N,4,0)),"")</f>
        <v/>
      </c>
      <c r="K3362" s="55" t="str">
        <f>IFERROR(IF($G3362="","",VLOOKUP('Dashboard And Emails Automate'!$G3362,Database!$H:$N,5,0)),"")</f>
        <v/>
      </c>
      <c r="L3362" s="55" t="str">
        <f>IFERROR(IF($G3362="","",VLOOKUP('Dashboard And Emails Automate'!$G3362,Database!$H:$N,6,0)),"")</f>
        <v/>
      </c>
      <c r="M3362" s="55" t="str">
        <f>IFERROR(IF($G3362="","",VLOOKUP('Dashboard And Emails Automate'!$G3362,Database!$H:$N,7,0)),"")</f>
        <v/>
      </c>
      <c r="N3362" s="55" t="str">
        <f>IFERROR(IF(OR($B3362="",$B3362="(blank)"),"",VLOOKUP($B3362,'Email Marketing Raw Data'!$C:$O,6,0)),"")</f>
        <v/>
      </c>
      <c r="O3362" s="55" t="str">
        <f>IFERROR(IF(OR($B3362="",$B3362="(blank)"),"",VLOOKUP($B3362,'Email Marketing Raw Data'!$C:$O,7,0)),"")</f>
        <v/>
      </c>
      <c r="P3362" s="55" t="str">
        <f>IFERROR(IF(OR($B3362="",$B3362="(blank)"),"",VLOOKUP($B3362,'Email Marketing Raw Data'!$C:$O,8,0)),"")</f>
        <v/>
      </c>
      <c r="Q3362" s="62" t="str">
        <f>IFERROR(IF(OR($B3362="",$B3362="(blank)"),"",VLOOKUP($B3362,'Email Marketing Raw Data'!$C:$O,9,0)),"")</f>
        <v/>
      </c>
    </row>
    <row r="3363" spans="4:17" ht="12.75" customHeight="1" x14ac:dyDescent="0.2">
      <c r="D3363" s="58" t="str">
        <f>IFERROR(IF(F3363&lt;&gt;"pending","",IF(OR($B3363="",$B3363="(blank)"),"",VLOOKUP($B3363,'Email Marketing Raw Data'!$C:$O,10,0))),"")</f>
        <v/>
      </c>
      <c r="E3363" s="59" t="str">
        <f>IFERROR(IF(F3363&lt;&gt;"pending","",IF(OR($B3363="",$B3363="(blank)"),"",VLOOKUP($B3363,'Email Marketing Raw Data'!$C:$O,11,0))),"")</f>
        <v/>
      </c>
      <c r="F3363" s="54" t="str">
        <f>IFERROR(IF(OR($B3363="",$B3363="(blank)"),"",VLOOKUP($B3363,'Email Marketing Raw Data'!$C:$O,13,0)),"")</f>
        <v/>
      </c>
      <c r="G3363" s="55" t="str">
        <f>IFERROR(IF(OR($B3363="",$B3363="(blank)"),"",VLOOKUP($B3363,'Email Marketing Raw Data'!$C:$O,4,0)),"")</f>
        <v/>
      </c>
      <c r="H3363" s="55" t="str">
        <f>IFERROR(IF(OR($B3363="",$B3363="(blank)"),"",VLOOKUP($B3363,'Email Marketing Raw Data'!$C:$O,5,0)),"")</f>
        <v/>
      </c>
      <c r="I3363" s="55" t="str">
        <f>IFERROR(IF($G3363="","",VLOOKUP('Dashboard And Emails Automate'!$G3363,Database!$H:$N,3,0)),"")</f>
        <v/>
      </c>
      <c r="J3363" s="55" t="str">
        <f>IFERROR(IF($G3363="","",VLOOKUP('Dashboard And Emails Automate'!$G3363,Database!$H:$N,4,0)),"")</f>
        <v/>
      </c>
      <c r="K3363" s="55" t="str">
        <f>IFERROR(IF($G3363="","",VLOOKUP('Dashboard And Emails Automate'!$G3363,Database!$H:$N,5,0)),"")</f>
        <v/>
      </c>
      <c r="L3363" s="55" t="str">
        <f>IFERROR(IF($G3363="","",VLOOKUP('Dashboard And Emails Automate'!$G3363,Database!$H:$N,6,0)),"")</f>
        <v/>
      </c>
      <c r="M3363" s="55" t="str">
        <f>IFERROR(IF($G3363="","",VLOOKUP('Dashboard And Emails Automate'!$G3363,Database!$H:$N,7,0)),"")</f>
        <v/>
      </c>
      <c r="N3363" s="55" t="str">
        <f>IFERROR(IF(OR($B3363="",$B3363="(blank)"),"",VLOOKUP($B3363,'Email Marketing Raw Data'!$C:$O,6,0)),"")</f>
        <v/>
      </c>
      <c r="O3363" s="55" t="str">
        <f>IFERROR(IF(OR($B3363="",$B3363="(blank)"),"",VLOOKUP($B3363,'Email Marketing Raw Data'!$C:$O,7,0)),"")</f>
        <v/>
      </c>
      <c r="P3363" s="55" t="str">
        <f>IFERROR(IF(OR($B3363="",$B3363="(blank)"),"",VLOOKUP($B3363,'Email Marketing Raw Data'!$C:$O,8,0)),"")</f>
        <v/>
      </c>
      <c r="Q3363" s="62" t="str">
        <f>IFERROR(IF(OR($B3363="",$B3363="(blank)"),"",VLOOKUP($B3363,'Email Marketing Raw Data'!$C:$O,9,0)),"")</f>
        <v/>
      </c>
    </row>
    <row r="3364" spans="4:17" ht="12.75" customHeight="1" x14ac:dyDescent="0.2">
      <c r="D3364" s="58" t="str">
        <f>IFERROR(IF(F3364&lt;&gt;"pending","",IF(OR($B3364="",$B3364="(blank)"),"",VLOOKUP($B3364,'Email Marketing Raw Data'!$C:$O,10,0))),"")</f>
        <v/>
      </c>
      <c r="E3364" s="59" t="str">
        <f>IFERROR(IF(F3364&lt;&gt;"pending","",IF(OR($B3364="",$B3364="(blank)"),"",VLOOKUP($B3364,'Email Marketing Raw Data'!$C:$O,11,0))),"")</f>
        <v/>
      </c>
      <c r="F3364" s="54" t="str">
        <f>IFERROR(IF(OR($B3364="",$B3364="(blank)"),"",VLOOKUP($B3364,'Email Marketing Raw Data'!$C:$O,13,0)),"")</f>
        <v/>
      </c>
      <c r="G3364" s="55" t="str">
        <f>IFERROR(IF(OR($B3364="",$B3364="(blank)"),"",VLOOKUP($B3364,'Email Marketing Raw Data'!$C:$O,4,0)),"")</f>
        <v/>
      </c>
      <c r="H3364" s="55" t="str">
        <f>IFERROR(IF(OR($B3364="",$B3364="(blank)"),"",VLOOKUP($B3364,'Email Marketing Raw Data'!$C:$O,5,0)),"")</f>
        <v/>
      </c>
      <c r="I3364" s="55" t="str">
        <f>IFERROR(IF($G3364="","",VLOOKUP('Dashboard And Emails Automate'!$G3364,Database!$H:$N,3,0)),"")</f>
        <v/>
      </c>
      <c r="J3364" s="55" t="str">
        <f>IFERROR(IF($G3364="","",VLOOKUP('Dashboard And Emails Automate'!$G3364,Database!$H:$N,4,0)),"")</f>
        <v/>
      </c>
      <c r="K3364" s="55" t="str">
        <f>IFERROR(IF($G3364="","",VLOOKUP('Dashboard And Emails Automate'!$G3364,Database!$H:$N,5,0)),"")</f>
        <v/>
      </c>
      <c r="L3364" s="55" t="str">
        <f>IFERROR(IF($G3364="","",VLOOKUP('Dashboard And Emails Automate'!$G3364,Database!$H:$N,6,0)),"")</f>
        <v/>
      </c>
      <c r="M3364" s="55" t="str">
        <f>IFERROR(IF($G3364="","",VLOOKUP('Dashboard And Emails Automate'!$G3364,Database!$H:$N,7,0)),"")</f>
        <v/>
      </c>
      <c r="N3364" s="55" t="str">
        <f>IFERROR(IF(OR($B3364="",$B3364="(blank)"),"",VLOOKUP($B3364,'Email Marketing Raw Data'!$C:$O,6,0)),"")</f>
        <v/>
      </c>
      <c r="O3364" s="55" t="str">
        <f>IFERROR(IF(OR($B3364="",$B3364="(blank)"),"",VLOOKUP($B3364,'Email Marketing Raw Data'!$C:$O,7,0)),"")</f>
        <v/>
      </c>
      <c r="P3364" s="55" t="str">
        <f>IFERROR(IF(OR($B3364="",$B3364="(blank)"),"",VLOOKUP($B3364,'Email Marketing Raw Data'!$C:$O,8,0)),"")</f>
        <v/>
      </c>
      <c r="Q3364" s="62" t="str">
        <f>IFERROR(IF(OR($B3364="",$B3364="(blank)"),"",VLOOKUP($B3364,'Email Marketing Raw Data'!$C:$O,9,0)),"")</f>
        <v/>
      </c>
    </row>
    <row r="3365" spans="4:17" ht="12.75" customHeight="1" x14ac:dyDescent="0.2">
      <c r="D3365" s="58" t="str">
        <f>IFERROR(IF(F3365&lt;&gt;"pending","",IF(OR($B3365="",$B3365="(blank)"),"",VLOOKUP($B3365,'Email Marketing Raw Data'!$C:$O,10,0))),"")</f>
        <v/>
      </c>
      <c r="E3365" s="59" t="str">
        <f>IFERROR(IF(F3365&lt;&gt;"pending","",IF(OR($B3365="",$B3365="(blank)"),"",VLOOKUP($B3365,'Email Marketing Raw Data'!$C:$O,11,0))),"")</f>
        <v/>
      </c>
      <c r="F3365" s="54" t="str">
        <f>IFERROR(IF(OR($B3365="",$B3365="(blank)"),"",VLOOKUP($B3365,'Email Marketing Raw Data'!$C:$O,13,0)),"")</f>
        <v/>
      </c>
      <c r="G3365" s="55" t="str">
        <f>IFERROR(IF(OR($B3365="",$B3365="(blank)"),"",VLOOKUP($B3365,'Email Marketing Raw Data'!$C:$O,4,0)),"")</f>
        <v/>
      </c>
      <c r="H3365" s="55" t="str">
        <f>IFERROR(IF(OR($B3365="",$B3365="(blank)"),"",VLOOKUP($B3365,'Email Marketing Raw Data'!$C:$O,5,0)),"")</f>
        <v/>
      </c>
      <c r="I3365" s="55" t="str">
        <f>IFERROR(IF($G3365="","",VLOOKUP('Dashboard And Emails Automate'!$G3365,Database!$H:$N,3,0)),"")</f>
        <v/>
      </c>
      <c r="J3365" s="55" t="str">
        <f>IFERROR(IF($G3365="","",VLOOKUP('Dashboard And Emails Automate'!$G3365,Database!$H:$N,4,0)),"")</f>
        <v/>
      </c>
      <c r="K3365" s="55" t="str">
        <f>IFERROR(IF($G3365="","",VLOOKUP('Dashboard And Emails Automate'!$G3365,Database!$H:$N,5,0)),"")</f>
        <v/>
      </c>
      <c r="L3365" s="55" t="str">
        <f>IFERROR(IF($G3365="","",VLOOKUP('Dashboard And Emails Automate'!$G3365,Database!$H:$N,6,0)),"")</f>
        <v/>
      </c>
      <c r="M3365" s="55" t="str">
        <f>IFERROR(IF($G3365="","",VLOOKUP('Dashboard And Emails Automate'!$G3365,Database!$H:$N,7,0)),"")</f>
        <v/>
      </c>
      <c r="N3365" s="55" t="str">
        <f>IFERROR(IF(OR($B3365="",$B3365="(blank)"),"",VLOOKUP($B3365,'Email Marketing Raw Data'!$C:$O,6,0)),"")</f>
        <v/>
      </c>
      <c r="O3365" s="55" t="str">
        <f>IFERROR(IF(OR($B3365="",$B3365="(blank)"),"",VLOOKUP($B3365,'Email Marketing Raw Data'!$C:$O,7,0)),"")</f>
        <v/>
      </c>
      <c r="P3365" s="55" t="str">
        <f>IFERROR(IF(OR($B3365="",$B3365="(blank)"),"",VLOOKUP($B3365,'Email Marketing Raw Data'!$C:$O,8,0)),"")</f>
        <v/>
      </c>
      <c r="Q3365" s="62" t="str">
        <f>IFERROR(IF(OR($B3365="",$B3365="(blank)"),"",VLOOKUP($B3365,'Email Marketing Raw Data'!$C:$O,9,0)),"")</f>
        <v/>
      </c>
    </row>
    <row r="3366" spans="4:17" ht="12.75" customHeight="1" x14ac:dyDescent="0.2">
      <c r="D3366" s="58" t="str">
        <f>IFERROR(IF(F3366&lt;&gt;"pending","",IF(OR($B3366="",$B3366="(blank)"),"",VLOOKUP($B3366,'Email Marketing Raw Data'!$C:$O,10,0))),"")</f>
        <v/>
      </c>
      <c r="E3366" s="59" t="str">
        <f>IFERROR(IF(F3366&lt;&gt;"pending","",IF(OR($B3366="",$B3366="(blank)"),"",VLOOKUP($B3366,'Email Marketing Raw Data'!$C:$O,11,0))),"")</f>
        <v/>
      </c>
      <c r="F3366" s="54" t="str">
        <f>IFERROR(IF(OR($B3366="",$B3366="(blank)"),"",VLOOKUP($B3366,'Email Marketing Raw Data'!$C:$O,13,0)),"")</f>
        <v/>
      </c>
      <c r="G3366" s="55" t="str">
        <f>IFERROR(IF(OR($B3366="",$B3366="(blank)"),"",VLOOKUP($B3366,'Email Marketing Raw Data'!$C:$O,4,0)),"")</f>
        <v/>
      </c>
      <c r="H3366" s="55" t="str">
        <f>IFERROR(IF(OR($B3366="",$B3366="(blank)"),"",VLOOKUP($B3366,'Email Marketing Raw Data'!$C:$O,5,0)),"")</f>
        <v/>
      </c>
      <c r="I3366" s="55" t="str">
        <f>IFERROR(IF($G3366="","",VLOOKUP('Dashboard And Emails Automate'!$G3366,Database!$H:$N,3,0)),"")</f>
        <v/>
      </c>
      <c r="J3366" s="55" t="str">
        <f>IFERROR(IF($G3366="","",VLOOKUP('Dashboard And Emails Automate'!$G3366,Database!$H:$N,4,0)),"")</f>
        <v/>
      </c>
      <c r="K3366" s="55" t="str">
        <f>IFERROR(IF($G3366="","",VLOOKUP('Dashboard And Emails Automate'!$G3366,Database!$H:$N,5,0)),"")</f>
        <v/>
      </c>
      <c r="L3366" s="55" t="str">
        <f>IFERROR(IF($G3366="","",VLOOKUP('Dashboard And Emails Automate'!$G3366,Database!$H:$N,6,0)),"")</f>
        <v/>
      </c>
      <c r="M3366" s="55" t="str">
        <f>IFERROR(IF($G3366="","",VLOOKUP('Dashboard And Emails Automate'!$G3366,Database!$H:$N,7,0)),"")</f>
        <v/>
      </c>
      <c r="N3366" s="55" t="str">
        <f>IFERROR(IF(OR($B3366="",$B3366="(blank)"),"",VLOOKUP($B3366,'Email Marketing Raw Data'!$C:$O,6,0)),"")</f>
        <v/>
      </c>
      <c r="O3366" s="55" t="str">
        <f>IFERROR(IF(OR($B3366="",$B3366="(blank)"),"",VLOOKUP($B3366,'Email Marketing Raw Data'!$C:$O,7,0)),"")</f>
        <v/>
      </c>
      <c r="P3366" s="55" t="str">
        <f>IFERROR(IF(OR($B3366="",$B3366="(blank)"),"",VLOOKUP($B3366,'Email Marketing Raw Data'!$C:$O,8,0)),"")</f>
        <v/>
      </c>
      <c r="Q3366" s="62" t="str">
        <f>IFERROR(IF(OR($B3366="",$B3366="(blank)"),"",VLOOKUP($B3366,'Email Marketing Raw Data'!$C:$O,9,0)),"")</f>
        <v/>
      </c>
    </row>
    <row r="3367" spans="4:17" ht="12.75" customHeight="1" x14ac:dyDescent="0.2">
      <c r="D3367" s="58" t="str">
        <f>IFERROR(IF(F3367&lt;&gt;"pending","",IF(OR($B3367="",$B3367="(blank)"),"",VLOOKUP($B3367,'Email Marketing Raw Data'!$C:$O,10,0))),"")</f>
        <v/>
      </c>
      <c r="E3367" s="59" t="str">
        <f>IFERROR(IF(F3367&lt;&gt;"pending","",IF(OR($B3367="",$B3367="(blank)"),"",VLOOKUP($B3367,'Email Marketing Raw Data'!$C:$O,11,0))),"")</f>
        <v/>
      </c>
      <c r="F3367" s="54" t="str">
        <f>IFERROR(IF(OR($B3367="",$B3367="(blank)"),"",VLOOKUP($B3367,'Email Marketing Raw Data'!$C:$O,13,0)),"")</f>
        <v/>
      </c>
      <c r="G3367" s="55" t="str">
        <f>IFERROR(IF(OR($B3367="",$B3367="(blank)"),"",VLOOKUP($B3367,'Email Marketing Raw Data'!$C:$O,4,0)),"")</f>
        <v/>
      </c>
      <c r="H3367" s="55" t="str">
        <f>IFERROR(IF(OR($B3367="",$B3367="(blank)"),"",VLOOKUP($B3367,'Email Marketing Raw Data'!$C:$O,5,0)),"")</f>
        <v/>
      </c>
      <c r="I3367" s="55" t="str">
        <f>IFERROR(IF($G3367="","",VLOOKUP('Dashboard And Emails Automate'!$G3367,Database!$H:$N,3,0)),"")</f>
        <v/>
      </c>
      <c r="J3367" s="55" t="str">
        <f>IFERROR(IF($G3367="","",VLOOKUP('Dashboard And Emails Automate'!$G3367,Database!$H:$N,4,0)),"")</f>
        <v/>
      </c>
      <c r="K3367" s="55" t="str">
        <f>IFERROR(IF($G3367="","",VLOOKUP('Dashboard And Emails Automate'!$G3367,Database!$H:$N,5,0)),"")</f>
        <v/>
      </c>
      <c r="L3367" s="55" t="str">
        <f>IFERROR(IF($G3367="","",VLOOKUP('Dashboard And Emails Automate'!$G3367,Database!$H:$N,6,0)),"")</f>
        <v/>
      </c>
      <c r="M3367" s="55" t="str">
        <f>IFERROR(IF($G3367="","",VLOOKUP('Dashboard And Emails Automate'!$G3367,Database!$H:$N,7,0)),"")</f>
        <v/>
      </c>
      <c r="N3367" s="55" t="str">
        <f>IFERROR(IF(OR($B3367="",$B3367="(blank)"),"",VLOOKUP($B3367,'Email Marketing Raw Data'!$C:$O,6,0)),"")</f>
        <v/>
      </c>
      <c r="O3367" s="55" t="str">
        <f>IFERROR(IF(OR($B3367="",$B3367="(blank)"),"",VLOOKUP($B3367,'Email Marketing Raw Data'!$C:$O,7,0)),"")</f>
        <v/>
      </c>
      <c r="P3367" s="55" t="str">
        <f>IFERROR(IF(OR($B3367="",$B3367="(blank)"),"",VLOOKUP($B3367,'Email Marketing Raw Data'!$C:$O,8,0)),"")</f>
        <v/>
      </c>
      <c r="Q3367" s="62" t="str">
        <f>IFERROR(IF(OR($B3367="",$B3367="(blank)"),"",VLOOKUP($B3367,'Email Marketing Raw Data'!$C:$O,9,0)),"")</f>
        <v/>
      </c>
    </row>
    <row r="3368" spans="4:17" ht="12.75" customHeight="1" x14ac:dyDescent="0.2">
      <c r="D3368" s="58" t="str">
        <f>IFERROR(IF(F3368&lt;&gt;"pending","",IF(OR($B3368="",$B3368="(blank)"),"",VLOOKUP($B3368,'Email Marketing Raw Data'!$C:$O,10,0))),"")</f>
        <v/>
      </c>
      <c r="E3368" s="59" t="str">
        <f>IFERROR(IF(F3368&lt;&gt;"pending","",IF(OR($B3368="",$B3368="(blank)"),"",VLOOKUP($B3368,'Email Marketing Raw Data'!$C:$O,11,0))),"")</f>
        <v/>
      </c>
      <c r="F3368" s="54" t="str">
        <f>IFERROR(IF(OR($B3368="",$B3368="(blank)"),"",VLOOKUP($B3368,'Email Marketing Raw Data'!$C:$O,13,0)),"")</f>
        <v/>
      </c>
      <c r="G3368" s="55" t="str">
        <f>IFERROR(IF(OR($B3368="",$B3368="(blank)"),"",VLOOKUP($B3368,'Email Marketing Raw Data'!$C:$O,4,0)),"")</f>
        <v/>
      </c>
      <c r="H3368" s="55" t="str">
        <f>IFERROR(IF(OR($B3368="",$B3368="(blank)"),"",VLOOKUP($B3368,'Email Marketing Raw Data'!$C:$O,5,0)),"")</f>
        <v/>
      </c>
      <c r="I3368" s="55" t="str">
        <f>IFERROR(IF($G3368="","",VLOOKUP('Dashboard And Emails Automate'!$G3368,Database!$H:$N,3,0)),"")</f>
        <v/>
      </c>
      <c r="J3368" s="55" t="str">
        <f>IFERROR(IF($G3368="","",VLOOKUP('Dashboard And Emails Automate'!$G3368,Database!$H:$N,4,0)),"")</f>
        <v/>
      </c>
      <c r="K3368" s="55" t="str">
        <f>IFERROR(IF($G3368="","",VLOOKUP('Dashboard And Emails Automate'!$G3368,Database!$H:$N,5,0)),"")</f>
        <v/>
      </c>
      <c r="L3368" s="55" t="str">
        <f>IFERROR(IF($G3368="","",VLOOKUP('Dashboard And Emails Automate'!$G3368,Database!$H:$N,6,0)),"")</f>
        <v/>
      </c>
      <c r="M3368" s="55" t="str">
        <f>IFERROR(IF($G3368="","",VLOOKUP('Dashboard And Emails Automate'!$G3368,Database!$H:$N,7,0)),"")</f>
        <v/>
      </c>
      <c r="N3368" s="55" t="str">
        <f>IFERROR(IF(OR($B3368="",$B3368="(blank)"),"",VLOOKUP($B3368,'Email Marketing Raw Data'!$C:$O,6,0)),"")</f>
        <v/>
      </c>
      <c r="O3368" s="55" t="str">
        <f>IFERROR(IF(OR($B3368="",$B3368="(blank)"),"",VLOOKUP($B3368,'Email Marketing Raw Data'!$C:$O,7,0)),"")</f>
        <v/>
      </c>
      <c r="P3368" s="55" t="str">
        <f>IFERROR(IF(OR($B3368="",$B3368="(blank)"),"",VLOOKUP($B3368,'Email Marketing Raw Data'!$C:$O,8,0)),"")</f>
        <v/>
      </c>
      <c r="Q3368" s="62" t="str">
        <f>IFERROR(IF(OR($B3368="",$B3368="(blank)"),"",VLOOKUP($B3368,'Email Marketing Raw Data'!$C:$O,9,0)),"")</f>
        <v/>
      </c>
    </row>
    <row r="3369" spans="4:17" ht="12.75" customHeight="1" x14ac:dyDescent="0.2">
      <c r="D3369" s="58" t="str">
        <f>IFERROR(IF(F3369&lt;&gt;"pending","",IF(OR($B3369="",$B3369="(blank)"),"",VLOOKUP($B3369,'Email Marketing Raw Data'!$C:$O,10,0))),"")</f>
        <v/>
      </c>
      <c r="E3369" s="59" t="str">
        <f>IFERROR(IF(F3369&lt;&gt;"pending","",IF(OR($B3369="",$B3369="(blank)"),"",VLOOKUP($B3369,'Email Marketing Raw Data'!$C:$O,11,0))),"")</f>
        <v/>
      </c>
      <c r="F3369" s="54" t="str">
        <f>IFERROR(IF(OR($B3369="",$B3369="(blank)"),"",VLOOKUP($B3369,'Email Marketing Raw Data'!$C:$O,13,0)),"")</f>
        <v/>
      </c>
      <c r="G3369" s="55" t="str">
        <f>IFERROR(IF(OR($B3369="",$B3369="(blank)"),"",VLOOKUP($B3369,'Email Marketing Raw Data'!$C:$O,4,0)),"")</f>
        <v/>
      </c>
      <c r="H3369" s="55" t="str">
        <f>IFERROR(IF(OR($B3369="",$B3369="(blank)"),"",VLOOKUP($B3369,'Email Marketing Raw Data'!$C:$O,5,0)),"")</f>
        <v/>
      </c>
      <c r="I3369" s="55" t="str">
        <f>IFERROR(IF($G3369="","",VLOOKUP('Dashboard And Emails Automate'!$G3369,Database!$H:$N,3,0)),"")</f>
        <v/>
      </c>
      <c r="J3369" s="55" t="str">
        <f>IFERROR(IF($G3369="","",VLOOKUP('Dashboard And Emails Automate'!$G3369,Database!$H:$N,4,0)),"")</f>
        <v/>
      </c>
      <c r="K3369" s="55" t="str">
        <f>IFERROR(IF($G3369="","",VLOOKUP('Dashboard And Emails Automate'!$G3369,Database!$H:$N,5,0)),"")</f>
        <v/>
      </c>
      <c r="L3369" s="55" t="str">
        <f>IFERROR(IF($G3369="","",VLOOKUP('Dashboard And Emails Automate'!$G3369,Database!$H:$N,6,0)),"")</f>
        <v/>
      </c>
      <c r="M3369" s="55" t="str">
        <f>IFERROR(IF($G3369="","",VLOOKUP('Dashboard And Emails Automate'!$G3369,Database!$H:$N,7,0)),"")</f>
        <v/>
      </c>
      <c r="N3369" s="55" t="str">
        <f>IFERROR(IF(OR($B3369="",$B3369="(blank)"),"",VLOOKUP($B3369,'Email Marketing Raw Data'!$C:$O,6,0)),"")</f>
        <v/>
      </c>
      <c r="O3369" s="55" t="str">
        <f>IFERROR(IF(OR($B3369="",$B3369="(blank)"),"",VLOOKUP($B3369,'Email Marketing Raw Data'!$C:$O,7,0)),"")</f>
        <v/>
      </c>
      <c r="P3369" s="55" t="str">
        <f>IFERROR(IF(OR($B3369="",$B3369="(blank)"),"",VLOOKUP($B3369,'Email Marketing Raw Data'!$C:$O,8,0)),"")</f>
        <v/>
      </c>
      <c r="Q3369" s="62" t="str">
        <f>IFERROR(IF(OR($B3369="",$B3369="(blank)"),"",VLOOKUP($B3369,'Email Marketing Raw Data'!$C:$O,9,0)),"")</f>
        <v/>
      </c>
    </row>
    <row r="3370" spans="4:17" ht="12.75" customHeight="1" x14ac:dyDescent="0.2">
      <c r="D3370" s="58" t="str">
        <f>IFERROR(IF(F3370&lt;&gt;"pending","",IF(OR($B3370="",$B3370="(blank)"),"",VLOOKUP($B3370,'Email Marketing Raw Data'!$C:$O,10,0))),"")</f>
        <v/>
      </c>
      <c r="E3370" s="59" t="str">
        <f>IFERROR(IF(F3370&lt;&gt;"pending","",IF(OR($B3370="",$B3370="(blank)"),"",VLOOKUP($B3370,'Email Marketing Raw Data'!$C:$O,11,0))),"")</f>
        <v/>
      </c>
      <c r="F3370" s="54" t="str">
        <f>IFERROR(IF(OR($B3370="",$B3370="(blank)"),"",VLOOKUP($B3370,'Email Marketing Raw Data'!$C:$O,13,0)),"")</f>
        <v/>
      </c>
      <c r="G3370" s="55" t="str">
        <f>IFERROR(IF(OR($B3370="",$B3370="(blank)"),"",VLOOKUP($B3370,'Email Marketing Raw Data'!$C:$O,4,0)),"")</f>
        <v/>
      </c>
      <c r="H3370" s="55" t="str">
        <f>IFERROR(IF(OR($B3370="",$B3370="(blank)"),"",VLOOKUP($B3370,'Email Marketing Raw Data'!$C:$O,5,0)),"")</f>
        <v/>
      </c>
      <c r="I3370" s="55" t="str">
        <f>IFERROR(IF($G3370="","",VLOOKUP('Dashboard And Emails Automate'!$G3370,Database!$H:$N,3,0)),"")</f>
        <v/>
      </c>
      <c r="J3370" s="55" t="str">
        <f>IFERROR(IF($G3370="","",VLOOKUP('Dashboard And Emails Automate'!$G3370,Database!$H:$N,4,0)),"")</f>
        <v/>
      </c>
      <c r="K3370" s="55" t="str">
        <f>IFERROR(IF($G3370="","",VLOOKUP('Dashboard And Emails Automate'!$G3370,Database!$H:$N,5,0)),"")</f>
        <v/>
      </c>
      <c r="L3370" s="55" t="str">
        <f>IFERROR(IF($G3370="","",VLOOKUP('Dashboard And Emails Automate'!$G3370,Database!$H:$N,6,0)),"")</f>
        <v/>
      </c>
      <c r="M3370" s="55" t="str">
        <f>IFERROR(IF($G3370="","",VLOOKUP('Dashboard And Emails Automate'!$G3370,Database!$H:$N,7,0)),"")</f>
        <v/>
      </c>
      <c r="N3370" s="55" t="str">
        <f>IFERROR(IF(OR($B3370="",$B3370="(blank)"),"",VLOOKUP($B3370,'Email Marketing Raw Data'!$C:$O,6,0)),"")</f>
        <v/>
      </c>
      <c r="O3370" s="55" t="str">
        <f>IFERROR(IF(OR($B3370="",$B3370="(blank)"),"",VLOOKUP($B3370,'Email Marketing Raw Data'!$C:$O,7,0)),"")</f>
        <v/>
      </c>
      <c r="P3370" s="55" t="str">
        <f>IFERROR(IF(OR($B3370="",$B3370="(blank)"),"",VLOOKUP($B3370,'Email Marketing Raw Data'!$C:$O,8,0)),"")</f>
        <v/>
      </c>
      <c r="Q3370" s="62" t="str">
        <f>IFERROR(IF(OR($B3370="",$B3370="(blank)"),"",VLOOKUP($B3370,'Email Marketing Raw Data'!$C:$O,9,0)),"")</f>
        <v/>
      </c>
    </row>
    <row r="3371" spans="4:17" ht="12.75" customHeight="1" x14ac:dyDescent="0.2">
      <c r="D3371" s="58" t="str">
        <f>IFERROR(IF(F3371&lt;&gt;"pending","",IF(OR($B3371="",$B3371="(blank)"),"",VLOOKUP($B3371,'Email Marketing Raw Data'!$C:$O,10,0))),"")</f>
        <v/>
      </c>
      <c r="E3371" s="59" t="str">
        <f>IFERROR(IF(F3371&lt;&gt;"pending","",IF(OR($B3371="",$B3371="(blank)"),"",VLOOKUP($B3371,'Email Marketing Raw Data'!$C:$O,11,0))),"")</f>
        <v/>
      </c>
      <c r="F3371" s="54" t="str">
        <f>IFERROR(IF(OR($B3371="",$B3371="(blank)"),"",VLOOKUP($B3371,'Email Marketing Raw Data'!$C:$O,13,0)),"")</f>
        <v/>
      </c>
      <c r="G3371" s="55" t="str">
        <f>IFERROR(IF(OR($B3371="",$B3371="(blank)"),"",VLOOKUP($B3371,'Email Marketing Raw Data'!$C:$O,4,0)),"")</f>
        <v/>
      </c>
      <c r="H3371" s="55" t="str">
        <f>IFERROR(IF(OR($B3371="",$B3371="(blank)"),"",VLOOKUP($B3371,'Email Marketing Raw Data'!$C:$O,5,0)),"")</f>
        <v/>
      </c>
      <c r="I3371" s="55" t="str">
        <f>IFERROR(IF($G3371="","",VLOOKUP('Dashboard And Emails Automate'!$G3371,Database!$H:$N,3,0)),"")</f>
        <v/>
      </c>
      <c r="J3371" s="55" t="str">
        <f>IFERROR(IF($G3371="","",VLOOKUP('Dashboard And Emails Automate'!$G3371,Database!$H:$N,4,0)),"")</f>
        <v/>
      </c>
      <c r="K3371" s="55" t="str">
        <f>IFERROR(IF($G3371="","",VLOOKUP('Dashboard And Emails Automate'!$G3371,Database!$H:$N,5,0)),"")</f>
        <v/>
      </c>
      <c r="L3371" s="55" t="str">
        <f>IFERROR(IF($G3371="","",VLOOKUP('Dashboard And Emails Automate'!$G3371,Database!$H:$N,6,0)),"")</f>
        <v/>
      </c>
      <c r="M3371" s="55" t="str">
        <f>IFERROR(IF($G3371="","",VLOOKUP('Dashboard And Emails Automate'!$G3371,Database!$H:$N,7,0)),"")</f>
        <v/>
      </c>
      <c r="N3371" s="55" t="str">
        <f>IFERROR(IF(OR($B3371="",$B3371="(blank)"),"",VLOOKUP($B3371,'Email Marketing Raw Data'!$C:$O,6,0)),"")</f>
        <v/>
      </c>
      <c r="O3371" s="55" t="str">
        <f>IFERROR(IF(OR($B3371="",$B3371="(blank)"),"",VLOOKUP($B3371,'Email Marketing Raw Data'!$C:$O,7,0)),"")</f>
        <v/>
      </c>
      <c r="P3371" s="55" t="str">
        <f>IFERROR(IF(OR($B3371="",$B3371="(blank)"),"",VLOOKUP($B3371,'Email Marketing Raw Data'!$C:$O,8,0)),"")</f>
        <v/>
      </c>
      <c r="Q3371" s="62" t="str">
        <f>IFERROR(IF(OR($B3371="",$B3371="(blank)"),"",VLOOKUP($B3371,'Email Marketing Raw Data'!$C:$O,9,0)),"")</f>
        <v/>
      </c>
    </row>
    <row r="3372" spans="4:17" ht="12.75" customHeight="1" x14ac:dyDescent="0.2">
      <c r="D3372" s="58" t="str">
        <f>IFERROR(IF(F3372&lt;&gt;"pending","",IF(OR($B3372="",$B3372="(blank)"),"",VLOOKUP($B3372,'Email Marketing Raw Data'!$C:$O,10,0))),"")</f>
        <v/>
      </c>
      <c r="E3372" s="59" t="str">
        <f>IFERROR(IF(F3372&lt;&gt;"pending","",IF(OR($B3372="",$B3372="(blank)"),"",VLOOKUP($B3372,'Email Marketing Raw Data'!$C:$O,11,0))),"")</f>
        <v/>
      </c>
      <c r="F3372" s="54" t="str">
        <f>IFERROR(IF(OR($B3372="",$B3372="(blank)"),"",VLOOKUP($B3372,'Email Marketing Raw Data'!$C:$O,13,0)),"")</f>
        <v/>
      </c>
      <c r="G3372" s="55" t="str">
        <f>IFERROR(IF(OR($B3372="",$B3372="(blank)"),"",VLOOKUP($B3372,'Email Marketing Raw Data'!$C:$O,4,0)),"")</f>
        <v/>
      </c>
      <c r="H3372" s="55" t="str">
        <f>IFERROR(IF(OR($B3372="",$B3372="(blank)"),"",VLOOKUP($B3372,'Email Marketing Raw Data'!$C:$O,5,0)),"")</f>
        <v/>
      </c>
      <c r="I3372" s="55" t="str">
        <f>IFERROR(IF($G3372="","",VLOOKUP('Dashboard And Emails Automate'!$G3372,Database!$H:$N,3,0)),"")</f>
        <v/>
      </c>
      <c r="J3372" s="55" t="str">
        <f>IFERROR(IF($G3372="","",VLOOKUP('Dashboard And Emails Automate'!$G3372,Database!$H:$N,4,0)),"")</f>
        <v/>
      </c>
      <c r="K3372" s="55" t="str">
        <f>IFERROR(IF($G3372="","",VLOOKUP('Dashboard And Emails Automate'!$G3372,Database!$H:$N,5,0)),"")</f>
        <v/>
      </c>
      <c r="L3372" s="55" t="str">
        <f>IFERROR(IF($G3372="","",VLOOKUP('Dashboard And Emails Automate'!$G3372,Database!$H:$N,6,0)),"")</f>
        <v/>
      </c>
      <c r="M3372" s="55" t="str">
        <f>IFERROR(IF($G3372="","",VLOOKUP('Dashboard And Emails Automate'!$G3372,Database!$H:$N,7,0)),"")</f>
        <v/>
      </c>
      <c r="N3372" s="55" t="str">
        <f>IFERROR(IF(OR($B3372="",$B3372="(blank)"),"",VLOOKUP($B3372,'Email Marketing Raw Data'!$C:$O,6,0)),"")</f>
        <v/>
      </c>
      <c r="O3372" s="55" t="str">
        <f>IFERROR(IF(OR($B3372="",$B3372="(blank)"),"",VLOOKUP($B3372,'Email Marketing Raw Data'!$C:$O,7,0)),"")</f>
        <v/>
      </c>
      <c r="P3372" s="55" t="str">
        <f>IFERROR(IF(OR($B3372="",$B3372="(blank)"),"",VLOOKUP($B3372,'Email Marketing Raw Data'!$C:$O,8,0)),"")</f>
        <v/>
      </c>
      <c r="Q3372" s="62" t="str">
        <f>IFERROR(IF(OR($B3372="",$B3372="(blank)"),"",VLOOKUP($B3372,'Email Marketing Raw Data'!$C:$O,9,0)),"")</f>
        <v/>
      </c>
    </row>
    <row r="3373" spans="4:17" ht="12.75" customHeight="1" x14ac:dyDescent="0.2">
      <c r="D3373" s="58" t="str">
        <f>IFERROR(IF(F3373&lt;&gt;"pending","",IF(OR($B3373="",$B3373="(blank)"),"",VLOOKUP($B3373,'Email Marketing Raw Data'!$C:$O,10,0))),"")</f>
        <v/>
      </c>
      <c r="E3373" s="59" t="str">
        <f>IFERROR(IF(F3373&lt;&gt;"pending","",IF(OR($B3373="",$B3373="(blank)"),"",VLOOKUP($B3373,'Email Marketing Raw Data'!$C:$O,11,0))),"")</f>
        <v/>
      </c>
      <c r="F3373" s="54" t="str">
        <f>IFERROR(IF(OR($B3373="",$B3373="(blank)"),"",VLOOKUP($B3373,'Email Marketing Raw Data'!$C:$O,13,0)),"")</f>
        <v/>
      </c>
      <c r="G3373" s="55" t="str">
        <f>IFERROR(IF(OR($B3373="",$B3373="(blank)"),"",VLOOKUP($B3373,'Email Marketing Raw Data'!$C:$O,4,0)),"")</f>
        <v/>
      </c>
      <c r="H3373" s="55" t="str">
        <f>IFERROR(IF(OR($B3373="",$B3373="(blank)"),"",VLOOKUP($B3373,'Email Marketing Raw Data'!$C:$O,5,0)),"")</f>
        <v/>
      </c>
      <c r="I3373" s="55" t="str">
        <f>IFERROR(IF($G3373="","",VLOOKUP('Dashboard And Emails Automate'!$G3373,Database!$H:$N,3,0)),"")</f>
        <v/>
      </c>
      <c r="J3373" s="55" t="str">
        <f>IFERROR(IF($G3373="","",VLOOKUP('Dashboard And Emails Automate'!$G3373,Database!$H:$N,4,0)),"")</f>
        <v/>
      </c>
      <c r="K3373" s="55" t="str">
        <f>IFERROR(IF($G3373="","",VLOOKUP('Dashboard And Emails Automate'!$G3373,Database!$H:$N,5,0)),"")</f>
        <v/>
      </c>
      <c r="L3373" s="55" t="str">
        <f>IFERROR(IF($G3373="","",VLOOKUP('Dashboard And Emails Automate'!$G3373,Database!$H:$N,6,0)),"")</f>
        <v/>
      </c>
      <c r="M3373" s="55" t="str">
        <f>IFERROR(IF($G3373="","",VLOOKUP('Dashboard And Emails Automate'!$G3373,Database!$H:$N,7,0)),"")</f>
        <v/>
      </c>
      <c r="N3373" s="55" t="str">
        <f>IFERROR(IF(OR($B3373="",$B3373="(blank)"),"",VLOOKUP($B3373,'Email Marketing Raw Data'!$C:$O,6,0)),"")</f>
        <v/>
      </c>
      <c r="O3373" s="55" t="str">
        <f>IFERROR(IF(OR($B3373="",$B3373="(blank)"),"",VLOOKUP($B3373,'Email Marketing Raw Data'!$C:$O,7,0)),"")</f>
        <v/>
      </c>
      <c r="P3373" s="55" t="str">
        <f>IFERROR(IF(OR($B3373="",$B3373="(blank)"),"",VLOOKUP($B3373,'Email Marketing Raw Data'!$C:$O,8,0)),"")</f>
        <v/>
      </c>
      <c r="Q3373" s="62" t="str">
        <f>IFERROR(IF(OR($B3373="",$B3373="(blank)"),"",VLOOKUP($B3373,'Email Marketing Raw Data'!$C:$O,9,0)),"")</f>
        <v/>
      </c>
    </row>
    <row r="3374" spans="4:17" ht="12.75" customHeight="1" x14ac:dyDescent="0.2">
      <c r="D3374" s="58" t="str">
        <f>IFERROR(IF(F3374&lt;&gt;"pending","",IF(OR($B3374="",$B3374="(blank)"),"",VLOOKUP($B3374,'Email Marketing Raw Data'!$C:$O,10,0))),"")</f>
        <v/>
      </c>
      <c r="E3374" s="59" t="str">
        <f>IFERROR(IF(F3374&lt;&gt;"pending","",IF(OR($B3374="",$B3374="(blank)"),"",VLOOKUP($B3374,'Email Marketing Raw Data'!$C:$O,11,0))),"")</f>
        <v/>
      </c>
      <c r="F3374" s="54" t="str">
        <f>IFERROR(IF(OR($B3374="",$B3374="(blank)"),"",VLOOKUP($B3374,'Email Marketing Raw Data'!$C:$O,13,0)),"")</f>
        <v/>
      </c>
      <c r="G3374" s="55" t="str">
        <f>IFERROR(IF(OR($B3374="",$B3374="(blank)"),"",VLOOKUP($B3374,'Email Marketing Raw Data'!$C:$O,4,0)),"")</f>
        <v/>
      </c>
      <c r="H3374" s="55" t="str">
        <f>IFERROR(IF(OR($B3374="",$B3374="(blank)"),"",VLOOKUP($B3374,'Email Marketing Raw Data'!$C:$O,5,0)),"")</f>
        <v/>
      </c>
      <c r="I3374" s="55" t="str">
        <f>IFERROR(IF($G3374="","",VLOOKUP('Dashboard And Emails Automate'!$G3374,Database!$H:$N,3,0)),"")</f>
        <v/>
      </c>
      <c r="J3374" s="55" t="str">
        <f>IFERROR(IF($G3374="","",VLOOKUP('Dashboard And Emails Automate'!$G3374,Database!$H:$N,4,0)),"")</f>
        <v/>
      </c>
      <c r="K3374" s="55" t="str">
        <f>IFERROR(IF($G3374="","",VLOOKUP('Dashboard And Emails Automate'!$G3374,Database!$H:$N,5,0)),"")</f>
        <v/>
      </c>
      <c r="L3374" s="55" t="str">
        <f>IFERROR(IF($G3374="","",VLOOKUP('Dashboard And Emails Automate'!$G3374,Database!$H:$N,6,0)),"")</f>
        <v/>
      </c>
      <c r="M3374" s="55" t="str">
        <f>IFERROR(IF($G3374="","",VLOOKUP('Dashboard And Emails Automate'!$G3374,Database!$H:$N,7,0)),"")</f>
        <v/>
      </c>
      <c r="N3374" s="55" t="str">
        <f>IFERROR(IF(OR($B3374="",$B3374="(blank)"),"",VLOOKUP($B3374,'Email Marketing Raw Data'!$C:$O,6,0)),"")</f>
        <v/>
      </c>
      <c r="O3374" s="55" t="str">
        <f>IFERROR(IF(OR($B3374="",$B3374="(blank)"),"",VLOOKUP($B3374,'Email Marketing Raw Data'!$C:$O,7,0)),"")</f>
        <v/>
      </c>
      <c r="P3374" s="55" t="str">
        <f>IFERROR(IF(OR($B3374="",$B3374="(blank)"),"",VLOOKUP($B3374,'Email Marketing Raw Data'!$C:$O,8,0)),"")</f>
        <v/>
      </c>
      <c r="Q3374" s="62" t="str">
        <f>IFERROR(IF(OR($B3374="",$B3374="(blank)"),"",VLOOKUP($B3374,'Email Marketing Raw Data'!$C:$O,9,0)),"")</f>
        <v/>
      </c>
    </row>
    <row r="3375" spans="4:17" ht="12.75" customHeight="1" x14ac:dyDescent="0.2">
      <c r="D3375" s="58" t="str">
        <f>IFERROR(IF(F3375&lt;&gt;"pending","",IF(OR($B3375="",$B3375="(blank)"),"",VLOOKUP($B3375,'Email Marketing Raw Data'!$C:$O,10,0))),"")</f>
        <v/>
      </c>
      <c r="E3375" s="59" t="str">
        <f>IFERROR(IF(F3375&lt;&gt;"pending","",IF(OR($B3375="",$B3375="(blank)"),"",VLOOKUP($B3375,'Email Marketing Raw Data'!$C:$O,11,0))),"")</f>
        <v/>
      </c>
      <c r="F3375" s="54" t="str">
        <f>IFERROR(IF(OR($B3375="",$B3375="(blank)"),"",VLOOKUP($B3375,'Email Marketing Raw Data'!$C:$O,13,0)),"")</f>
        <v/>
      </c>
      <c r="G3375" s="55" t="str">
        <f>IFERROR(IF(OR($B3375="",$B3375="(blank)"),"",VLOOKUP($B3375,'Email Marketing Raw Data'!$C:$O,4,0)),"")</f>
        <v/>
      </c>
      <c r="H3375" s="55" t="str">
        <f>IFERROR(IF(OR($B3375="",$B3375="(blank)"),"",VLOOKUP($B3375,'Email Marketing Raw Data'!$C:$O,5,0)),"")</f>
        <v/>
      </c>
      <c r="I3375" s="55" t="str">
        <f>IFERROR(IF($G3375="","",VLOOKUP('Dashboard And Emails Automate'!$G3375,Database!$H:$N,3,0)),"")</f>
        <v/>
      </c>
      <c r="J3375" s="55" t="str">
        <f>IFERROR(IF($G3375="","",VLOOKUP('Dashboard And Emails Automate'!$G3375,Database!$H:$N,4,0)),"")</f>
        <v/>
      </c>
      <c r="K3375" s="55" t="str">
        <f>IFERROR(IF($G3375="","",VLOOKUP('Dashboard And Emails Automate'!$G3375,Database!$H:$N,5,0)),"")</f>
        <v/>
      </c>
      <c r="L3375" s="55" t="str">
        <f>IFERROR(IF($G3375="","",VLOOKUP('Dashboard And Emails Automate'!$G3375,Database!$H:$N,6,0)),"")</f>
        <v/>
      </c>
      <c r="M3375" s="55" t="str">
        <f>IFERROR(IF($G3375="","",VLOOKUP('Dashboard And Emails Automate'!$G3375,Database!$H:$N,7,0)),"")</f>
        <v/>
      </c>
      <c r="N3375" s="55" t="str">
        <f>IFERROR(IF(OR($B3375="",$B3375="(blank)"),"",VLOOKUP($B3375,'Email Marketing Raw Data'!$C:$O,6,0)),"")</f>
        <v/>
      </c>
      <c r="O3375" s="55" t="str">
        <f>IFERROR(IF(OR($B3375="",$B3375="(blank)"),"",VLOOKUP($B3375,'Email Marketing Raw Data'!$C:$O,7,0)),"")</f>
        <v/>
      </c>
      <c r="P3375" s="55" t="str">
        <f>IFERROR(IF(OR($B3375="",$B3375="(blank)"),"",VLOOKUP($B3375,'Email Marketing Raw Data'!$C:$O,8,0)),"")</f>
        <v/>
      </c>
      <c r="Q3375" s="62" t="str">
        <f>IFERROR(IF(OR($B3375="",$B3375="(blank)"),"",VLOOKUP($B3375,'Email Marketing Raw Data'!$C:$O,9,0)),"")</f>
        <v/>
      </c>
    </row>
    <row r="3376" spans="4:17" ht="12.75" customHeight="1" x14ac:dyDescent="0.2">
      <c r="D3376" s="58" t="str">
        <f>IFERROR(IF(F3376&lt;&gt;"pending","",IF(OR($B3376="",$B3376="(blank)"),"",VLOOKUP($B3376,'Email Marketing Raw Data'!$C:$O,10,0))),"")</f>
        <v/>
      </c>
      <c r="E3376" s="59" t="str">
        <f>IFERROR(IF(F3376&lt;&gt;"pending","",IF(OR($B3376="",$B3376="(blank)"),"",VLOOKUP($B3376,'Email Marketing Raw Data'!$C:$O,11,0))),"")</f>
        <v/>
      </c>
      <c r="F3376" s="54" t="str">
        <f>IFERROR(IF(OR($B3376="",$B3376="(blank)"),"",VLOOKUP($B3376,'Email Marketing Raw Data'!$C:$O,13,0)),"")</f>
        <v/>
      </c>
      <c r="G3376" s="55" t="str">
        <f>IFERROR(IF(OR($B3376="",$B3376="(blank)"),"",VLOOKUP($B3376,'Email Marketing Raw Data'!$C:$O,4,0)),"")</f>
        <v/>
      </c>
      <c r="H3376" s="55" t="str">
        <f>IFERROR(IF(OR($B3376="",$B3376="(blank)"),"",VLOOKUP($B3376,'Email Marketing Raw Data'!$C:$O,5,0)),"")</f>
        <v/>
      </c>
      <c r="I3376" s="55" t="str">
        <f>IFERROR(IF($G3376="","",VLOOKUP('Dashboard And Emails Automate'!$G3376,Database!$H:$N,3,0)),"")</f>
        <v/>
      </c>
      <c r="J3376" s="55" t="str">
        <f>IFERROR(IF($G3376="","",VLOOKUP('Dashboard And Emails Automate'!$G3376,Database!$H:$N,4,0)),"")</f>
        <v/>
      </c>
      <c r="K3376" s="55" t="str">
        <f>IFERROR(IF($G3376="","",VLOOKUP('Dashboard And Emails Automate'!$G3376,Database!$H:$N,5,0)),"")</f>
        <v/>
      </c>
      <c r="L3376" s="55" t="str">
        <f>IFERROR(IF($G3376="","",VLOOKUP('Dashboard And Emails Automate'!$G3376,Database!$H:$N,6,0)),"")</f>
        <v/>
      </c>
      <c r="M3376" s="55" t="str">
        <f>IFERROR(IF($G3376="","",VLOOKUP('Dashboard And Emails Automate'!$G3376,Database!$H:$N,7,0)),"")</f>
        <v/>
      </c>
      <c r="N3376" s="55" t="str">
        <f>IFERROR(IF(OR($B3376="",$B3376="(blank)"),"",VLOOKUP($B3376,'Email Marketing Raw Data'!$C:$O,6,0)),"")</f>
        <v/>
      </c>
      <c r="O3376" s="55" t="str">
        <f>IFERROR(IF(OR($B3376="",$B3376="(blank)"),"",VLOOKUP($B3376,'Email Marketing Raw Data'!$C:$O,7,0)),"")</f>
        <v/>
      </c>
      <c r="P3376" s="55" t="str">
        <f>IFERROR(IF(OR($B3376="",$B3376="(blank)"),"",VLOOKUP($B3376,'Email Marketing Raw Data'!$C:$O,8,0)),"")</f>
        <v/>
      </c>
      <c r="Q3376" s="62" t="str">
        <f>IFERROR(IF(OR($B3376="",$B3376="(blank)"),"",VLOOKUP($B3376,'Email Marketing Raw Data'!$C:$O,9,0)),"")</f>
        <v/>
      </c>
    </row>
    <row r="3377" spans="4:17" ht="12.75" customHeight="1" x14ac:dyDescent="0.2">
      <c r="D3377" s="58" t="str">
        <f>IFERROR(IF(F3377&lt;&gt;"pending","",IF(OR($B3377="",$B3377="(blank)"),"",VLOOKUP($B3377,'Email Marketing Raw Data'!$C:$O,10,0))),"")</f>
        <v/>
      </c>
      <c r="E3377" s="59" t="str">
        <f>IFERROR(IF(F3377&lt;&gt;"pending","",IF(OR($B3377="",$B3377="(blank)"),"",VLOOKUP($B3377,'Email Marketing Raw Data'!$C:$O,11,0))),"")</f>
        <v/>
      </c>
      <c r="F3377" s="54" t="str">
        <f>IFERROR(IF(OR($B3377="",$B3377="(blank)"),"",VLOOKUP($B3377,'Email Marketing Raw Data'!$C:$O,13,0)),"")</f>
        <v/>
      </c>
      <c r="G3377" s="55" t="str">
        <f>IFERROR(IF(OR($B3377="",$B3377="(blank)"),"",VLOOKUP($B3377,'Email Marketing Raw Data'!$C:$O,4,0)),"")</f>
        <v/>
      </c>
      <c r="H3377" s="55" t="str">
        <f>IFERROR(IF(OR($B3377="",$B3377="(blank)"),"",VLOOKUP($B3377,'Email Marketing Raw Data'!$C:$O,5,0)),"")</f>
        <v/>
      </c>
      <c r="I3377" s="55" t="str">
        <f>IFERROR(IF($G3377="","",VLOOKUP('Dashboard And Emails Automate'!$G3377,Database!$H:$N,3,0)),"")</f>
        <v/>
      </c>
      <c r="J3377" s="55" t="str">
        <f>IFERROR(IF($G3377="","",VLOOKUP('Dashboard And Emails Automate'!$G3377,Database!$H:$N,4,0)),"")</f>
        <v/>
      </c>
      <c r="K3377" s="55" t="str">
        <f>IFERROR(IF($G3377="","",VLOOKUP('Dashboard And Emails Automate'!$G3377,Database!$H:$N,5,0)),"")</f>
        <v/>
      </c>
      <c r="L3377" s="55" t="str">
        <f>IFERROR(IF($G3377="","",VLOOKUP('Dashboard And Emails Automate'!$G3377,Database!$H:$N,6,0)),"")</f>
        <v/>
      </c>
      <c r="M3377" s="55" t="str">
        <f>IFERROR(IF($G3377="","",VLOOKUP('Dashboard And Emails Automate'!$G3377,Database!$H:$N,7,0)),"")</f>
        <v/>
      </c>
      <c r="N3377" s="55" t="str">
        <f>IFERROR(IF(OR($B3377="",$B3377="(blank)"),"",VLOOKUP($B3377,'Email Marketing Raw Data'!$C:$O,6,0)),"")</f>
        <v/>
      </c>
      <c r="O3377" s="55" t="str">
        <f>IFERROR(IF(OR($B3377="",$B3377="(blank)"),"",VLOOKUP($B3377,'Email Marketing Raw Data'!$C:$O,7,0)),"")</f>
        <v/>
      </c>
      <c r="P3377" s="55" t="str">
        <f>IFERROR(IF(OR($B3377="",$B3377="(blank)"),"",VLOOKUP($B3377,'Email Marketing Raw Data'!$C:$O,8,0)),"")</f>
        <v/>
      </c>
      <c r="Q3377" s="62" t="str">
        <f>IFERROR(IF(OR($B3377="",$B3377="(blank)"),"",VLOOKUP($B3377,'Email Marketing Raw Data'!$C:$O,9,0)),"")</f>
        <v/>
      </c>
    </row>
    <row r="3378" spans="4:17" ht="12.75" customHeight="1" x14ac:dyDescent="0.2">
      <c r="D3378" s="58" t="str">
        <f>IFERROR(IF(F3378&lt;&gt;"pending","",IF(OR($B3378="",$B3378="(blank)"),"",VLOOKUP($B3378,'Email Marketing Raw Data'!$C:$O,10,0))),"")</f>
        <v/>
      </c>
      <c r="E3378" s="59" t="str">
        <f>IFERROR(IF(F3378&lt;&gt;"pending","",IF(OR($B3378="",$B3378="(blank)"),"",VLOOKUP($B3378,'Email Marketing Raw Data'!$C:$O,11,0))),"")</f>
        <v/>
      </c>
      <c r="F3378" s="54" t="str">
        <f>IFERROR(IF(OR($B3378="",$B3378="(blank)"),"",VLOOKUP($B3378,'Email Marketing Raw Data'!$C:$O,13,0)),"")</f>
        <v/>
      </c>
      <c r="G3378" s="55" t="str">
        <f>IFERROR(IF(OR($B3378="",$B3378="(blank)"),"",VLOOKUP($B3378,'Email Marketing Raw Data'!$C:$O,4,0)),"")</f>
        <v/>
      </c>
      <c r="H3378" s="55" t="str">
        <f>IFERROR(IF(OR($B3378="",$B3378="(blank)"),"",VLOOKUP($B3378,'Email Marketing Raw Data'!$C:$O,5,0)),"")</f>
        <v/>
      </c>
      <c r="I3378" s="55" t="str">
        <f>IFERROR(IF($G3378="","",VLOOKUP('Dashboard And Emails Automate'!$G3378,Database!$H:$N,3,0)),"")</f>
        <v/>
      </c>
      <c r="J3378" s="55" t="str">
        <f>IFERROR(IF($G3378="","",VLOOKUP('Dashboard And Emails Automate'!$G3378,Database!$H:$N,4,0)),"")</f>
        <v/>
      </c>
      <c r="K3378" s="55" t="str">
        <f>IFERROR(IF($G3378="","",VLOOKUP('Dashboard And Emails Automate'!$G3378,Database!$H:$N,5,0)),"")</f>
        <v/>
      </c>
      <c r="L3378" s="55" t="str">
        <f>IFERROR(IF($G3378="","",VLOOKUP('Dashboard And Emails Automate'!$G3378,Database!$H:$N,6,0)),"")</f>
        <v/>
      </c>
      <c r="M3378" s="55" t="str">
        <f>IFERROR(IF($G3378="","",VLOOKUP('Dashboard And Emails Automate'!$G3378,Database!$H:$N,7,0)),"")</f>
        <v/>
      </c>
      <c r="N3378" s="55" t="str">
        <f>IFERROR(IF(OR($B3378="",$B3378="(blank)"),"",VLOOKUP($B3378,'Email Marketing Raw Data'!$C:$O,6,0)),"")</f>
        <v/>
      </c>
      <c r="O3378" s="55" t="str">
        <f>IFERROR(IF(OR($B3378="",$B3378="(blank)"),"",VLOOKUP($B3378,'Email Marketing Raw Data'!$C:$O,7,0)),"")</f>
        <v/>
      </c>
      <c r="P3378" s="55" t="str">
        <f>IFERROR(IF(OR($B3378="",$B3378="(blank)"),"",VLOOKUP($B3378,'Email Marketing Raw Data'!$C:$O,8,0)),"")</f>
        <v/>
      </c>
      <c r="Q3378" s="62" t="str">
        <f>IFERROR(IF(OR($B3378="",$B3378="(blank)"),"",VLOOKUP($B3378,'Email Marketing Raw Data'!$C:$O,9,0)),"")</f>
        <v/>
      </c>
    </row>
    <row r="3379" spans="4:17" ht="12.75" customHeight="1" x14ac:dyDescent="0.2">
      <c r="D3379" s="58" t="str">
        <f>IFERROR(IF(F3379&lt;&gt;"pending","",IF(OR($B3379="",$B3379="(blank)"),"",VLOOKUP($B3379,'Email Marketing Raw Data'!$C:$O,10,0))),"")</f>
        <v/>
      </c>
      <c r="E3379" s="59" t="str">
        <f>IFERROR(IF(F3379&lt;&gt;"pending","",IF(OR($B3379="",$B3379="(blank)"),"",VLOOKUP($B3379,'Email Marketing Raw Data'!$C:$O,11,0))),"")</f>
        <v/>
      </c>
      <c r="F3379" s="54" t="str">
        <f>IFERROR(IF(OR($B3379="",$B3379="(blank)"),"",VLOOKUP($B3379,'Email Marketing Raw Data'!$C:$O,13,0)),"")</f>
        <v/>
      </c>
      <c r="G3379" s="55" t="str">
        <f>IFERROR(IF(OR($B3379="",$B3379="(blank)"),"",VLOOKUP($B3379,'Email Marketing Raw Data'!$C:$O,4,0)),"")</f>
        <v/>
      </c>
      <c r="H3379" s="55" t="str">
        <f>IFERROR(IF(OR($B3379="",$B3379="(blank)"),"",VLOOKUP($B3379,'Email Marketing Raw Data'!$C:$O,5,0)),"")</f>
        <v/>
      </c>
      <c r="I3379" s="55" t="str">
        <f>IFERROR(IF($G3379="","",VLOOKUP('Dashboard And Emails Automate'!$G3379,Database!$H:$N,3,0)),"")</f>
        <v/>
      </c>
      <c r="J3379" s="55" t="str">
        <f>IFERROR(IF($G3379="","",VLOOKUP('Dashboard And Emails Automate'!$G3379,Database!$H:$N,4,0)),"")</f>
        <v/>
      </c>
      <c r="K3379" s="55" t="str">
        <f>IFERROR(IF($G3379="","",VLOOKUP('Dashboard And Emails Automate'!$G3379,Database!$H:$N,5,0)),"")</f>
        <v/>
      </c>
      <c r="L3379" s="55" t="str">
        <f>IFERROR(IF($G3379="","",VLOOKUP('Dashboard And Emails Automate'!$G3379,Database!$H:$N,6,0)),"")</f>
        <v/>
      </c>
      <c r="M3379" s="55" t="str">
        <f>IFERROR(IF($G3379="","",VLOOKUP('Dashboard And Emails Automate'!$G3379,Database!$H:$N,7,0)),"")</f>
        <v/>
      </c>
      <c r="N3379" s="55" t="str">
        <f>IFERROR(IF(OR($B3379="",$B3379="(blank)"),"",VLOOKUP($B3379,'Email Marketing Raw Data'!$C:$O,6,0)),"")</f>
        <v/>
      </c>
      <c r="O3379" s="55" t="str">
        <f>IFERROR(IF(OR($B3379="",$B3379="(blank)"),"",VLOOKUP($B3379,'Email Marketing Raw Data'!$C:$O,7,0)),"")</f>
        <v/>
      </c>
      <c r="P3379" s="55" t="str">
        <f>IFERROR(IF(OR($B3379="",$B3379="(blank)"),"",VLOOKUP($B3379,'Email Marketing Raw Data'!$C:$O,8,0)),"")</f>
        <v/>
      </c>
      <c r="Q3379" s="62" t="str">
        <f>IFERROR(IF(OR($B3379="",$B3379="(blank)"),"",VLOOKUP($B3379,'Email Marketing Raw Data'!$C:$O,9,0)),"")</f>
        <v/>
      </c>
    </row>
    <row r="3380" spans="4:17" ht="12.75" customHeight="1" x14ac:dyDescent="0.2">
      <c r="D3380" s="58" t="str">
        <f>IFERROR(IF(F3380&lt;&gt;"pending","",IF(OR($B3380="",$B3380="(blank)"),"",VLOOKUP($B3380,'Email Marketing Raw Data'!$C:$O,10,0))),"")</f>
        <v/>
      </c>
      <c r="E3380" s="59" t="str">
        <f>IFERROR(IF(F3380&lt;&gt;"pending","",IF(OR($B3380="",$B3380="(blank)"),"",VLOOKUP($B3380,'Email Marketing Raw Data'!$C:$O,11,0))),"")</f>
        <v/>
      </c>
      <c r="F3380" s="54" t="str">
        <f>IFERROR(IF(OR($B3380="",$B3380="(blank)"),"",VLOOKUP($B3380,'Email Marketing Raw Data'!$C:$O,13,0)),"")</f>
        <v/>
      </c>
      <c r="G3380" s="55" t="str">
        <f>IFERROR(IF(OR($B3380="",$B3380="(blank)"),"",VLOOKUP($B3380,'Email Marketing Raw Data'!$C:$O,4,0)),"")</f>
        <v/>
      </c>
      <c r="H3380" s="55" t="str">
        <f>IFERROR(IF(OR($B3380="",$B3380="(blank)"),"",VLOOKUP($B3380,'Email Marketing Raw Data'!$C:$O,5,0)),"")</f>
        <v/>
      </c>
      <c r="I3380" s="55" t="str">
        <f>IFERROR(IF($G3380="","",VLOOKUP('Dashboard And Emails Automate'!$G3380,Database!$H:$N,3,0)),"")</f>
        <v/>
      </c>
      <c r="J3380" s="55" t="str">
        <f>IFERROR(IF($G3380="","",VLOOKUP('Dashboard And Emails Automate'!$G3380,Database!$H:$N,4,0)),"")</f>
        <v/>
      </c>
      <c r="K3380" s="55" t="str">
        <f>IFERROR(IF($G3380="","",VLOOKUP('Dashboard And Emails Automate'!$G3380,Database!$H:$N,5,0)),"")</f>
        <v/>
      </c>
      <c r="L3380" s="55" t="str">
        <f>IFERROR(IF($G3380="","",VLOOKUP('Dashboard And Emails Automate'!$G3380,Database!$H:$N,6,0)),"")</f>
        <v/>
      </c>
      <c r="M3380" s="55" t="str">
        <f>IFERROR(IF($G3380="","",VLOOKUP('Dashboard And Emails Automate'!$G3380,Database!$H:$N,7,0)),"")</f>
        <v/>
      </c>
      <c r="N3380" s="55" t="str">
        <f>IFERROR(IF(OR($B3380="",$B3380="(blank)"),"",VLOOKUP($B3380,'Email Marketing Raw Data'!$C:$O,6,0)),"")</f>
        <v/>
      </c>
      <c r="O3380" s="55" t="str">
        <f>IFERROR(IF(OR($B3380="",$B3380="(blank)"),"",VLOOKUP($B3380,'Email Marketing Raw Data'!$C:$O,7,0)),"")</f>
        <v/>
      </c>
      <c r="P3380" s="55" t="str">
        <f>IFERROR(IF(OR($B3380="",$B3380="(blank)"),"",VLOOKUP($B3380,'Email Marketing Raw Data'!$C:$O,8,0)),"")</f>
        <v/>
      </c>
      <c r="Q3380" s="62" t="str">
        <f>IFERROR(IF(OR($B3380="",$B3380="(blank)"),"",VLOOKUP($B3380,'Email Marketing Raw Data'!$C:$O,9,0)),"")</f>
        <v/>
      </c>
    </row>
    <row r="3381" spans="4:17" ht="12.75" customHeight="1" x14ac:dyDescent="0.2">
      <c r="D3381" s="58" t="str">
        <f>IFERROR(IF(F3381&lt;&gt;"pending","",IF(OR($B3381="",$B3381="(blank)"),"",VLOOKUP($B3381,'Email Marketing Raw Data'!$C:$O,10,0))),"")</f>
        <v/>
      </c>
      <c r="E3381" s="59" t="str">
        <f>IFERROR(IF(F3381&lt;&gt;"pending","",IF(OR($B3381="",$B3381="(blank)"),"",VLOOKUP($B3381,'Email Marketing Raw Data'!$C:$O,11,0))),"")</f>
        <v/>
      </c>
      <c r="F3381" s="54" t="str">
        <f>IFERROR(IF(OR($B3381="",$B3381="(blank)"),"",VLOOKUP($B3381,'Email Marketing Raw Data'!$C:$O,13,0)),"")</f>
        <v/>
      </c>
      <c r="G3381" s="55" t="str">
        <f>IFERROR(IF(OR($B3381="",$B3381="(blank)"),"",VLOOKUP($B3381,'Email Marketing Raw Data'!$C:$O,4,0)),"")</f>
        <v/>
      </c>
      <c r="H3381" s="55" t="str">
        <f>IFERROR(IF(OR($B3381="",$B3381="(blank)"),"",VLOOKUP($B3381,'Email Marketing Raw Data'!$C:$O,5,0)),"")</f>
        <v/>
      </c>
      <c r="I3381" s="55" t="str">
        <f>IFERROR(IF($G3381="","",VLOOKUP('Dashboard And Emails Automate'!$G3381,Database!$H:$N,3,0)),"")</f>
        <v/>
      </c>
      <c r="J3381" s="55" t="str">
        <f>IFERROR(IF($G3381="","",VLOOKUP('Dashboard And Emails Automate'!$G3381,Database!$H:$N,4,0)),"")</f>
        <v/>
      </c>
      <c r="K3381" s="55" t="str">
        <f>IFERROR(IF($G3381="","",VLOOKUP('Dashboard And Emails Automate'!$G3381,Database!$H:$N,5,0)),"")</f>
        <v/>
      </c>
      <c r="L3381" s="55" t="str">
        <f>IFERROR(IF($G3381="","",VLOOKUP('Dashboard And Emails Automate'!$G3381,Database!$H:$N,6,0)),"")</f>
        <v/>
      </c>
      <c r="M3381" s="55" t="str">
        <f>IFERROR(IF($G3381="","",VLOOKUP('Dashboard And Emails Automate'!$G3381,Database!$H:$N,7,0)),"")</f>
        <v/>
      </c>
      <c r="N3381" s="55" t="str">
        <f>IFERROR(IF(OR($B3381="",$B3381="(blank)"),"",VLOOKUP($B3381,'Email Marketing Raw Data'!$C:$O,6,0)),"")</f>
        <v/>
      </c>
      <c r="O3381" s="55" t="str">
        <f>IFERROR(IF(OR($B3381="",$B3381="(blank)"),"",VLOOKUP($B3381,'Email Marketing Raw Data'!$C:$O,7,0)),"")</f>
        <v/>
      </c>
      <c r="P3381" s="55" t="str">
        <f>IFERROR(IF(OR($B3381="",$B3381="(blank)"),"",VLOOKUP($B3381,'Email Marketing Raw Data'!$C:$O,8,0)),"")</f>
        <v/>
      </c>
      <c r="Q3381" s="62" t="str">
        <f>IFERROR(IF(OR($B3381="",$B3381="(blank)"),"",VLOOKUP($B3381,'Email Marketing Raw Data'!$C:$O,9,0)),"")</f>
        <v/>
      </c>
    </row>
    <row r="3382" spans="4:17" ht="12.75" customHeight="1" x14ac:dyDescent="0.2">
      <c r="D3382" s="58" t="str">
        <f>IFERROR(IF(F3382&lt;&gt;"pending","",IF(OR($B3382="",$B3382="(blank)"),"",VLOOKUP($B3382,'Email Marketing Raw Data'!$C:$O,10,0))),"")</f>
        <v/>
      </c>
      <c r="E3382" s="59" t="str">
        <f>IFERROR(IF(F3382&lt;&gt;"pending","",IF(OR($B3382="",$B3382="(blank)"),"",VLOOKUP($B3382,'Email Marketing Raw Data'!$C:$O,11,0))),"")</f>
        <v/>
      </c>
      <c r="F3382" s="54" t="str">
        <f>IFERROR(IF(OR($B3382="",$B3382="(blank)"),"",VLOOKUP($B3382,'Email Marketing Raw Data'!$C:$O,13,0)),"")</f>
        <v/>
      </c>
      <c r="G3382" s="55" t="str">
        <f>IFERROR(IF(OR($B3382="",$B3382="(blank)"),"",VLOOKUP($B3382,'Email Marketing Raw Data'!$C:$O,4,0)),"")</f>
        <v/>
      </c>
      <c r="H3382" s="55" t="str">
        <f>IFERROR(IF(OR($B3382="",$B3382="(blank)"),"",VLOOKUP($B3382,'Email Marketing Raw Data'!$C:$O,5,0)),"")</f>
        <v/>
      </c>
      <c r="I3382" s="55" t="str">
        <f>IFERROR(IF($G3382="","",VLOOKUP('Dashboard And Emails Automate'!$G3382,Database!$H:$N,3,0)),"")</f>
        <v/>
      </c>
      <c r="J3382" s="55" t="str">
        <f>IFERROR(IF($G3382="","",VLOOKUP('Dashboard And Emails Automate'!$G3382,Database!$H:$N,4,0)),"")</f>
        <v/>
      </c>
      <c r="K3382" s="55" t="str">
        <f>IFERROR(IF($G3382="","",VLOOKUP('Dashboard And Emails Automate'!$G3382,Database!$H:$N,5,0)),"")</f>
        <v/>
      </c>
      <c r="L3382" s="55" t="str">
        <f>IFERROR(IF($G3382="","",VLOOKUP('Dashboard And Emails Automate'!$G3382,Database!$H:$N,6,0)),"")</f>
        <v/>
      </c>
      <c r="M3382" s="55" t="str">
        <f>IFERROR(IF($G3382="","",VLOOKUP('Dashboard And Emails Automate'!$G3382,Database!$H:$N,7,0)),"")</f>
        <v/>
      </c>
      <c r="N3382" s="55" t="str">
        <f>IFERROR(IF(OR($B3382="",$B3382="(blank)"),"",VLOOKUP($B3382,'Email Marketing Raw Data'!$C:$O,6,0)),"")</f>
        <v/>
      </c>
      <c r="O3382" s="55" t="str">
        <f>IFERROR(IF(OR($B3382="",$B3382="(blank)"),"",VLOOKUP($B3382,'Email Marketing Raw Data'!$C:$O,7,0)),"")</f>
        <v/>
      </c>
      <c r="P3382" s="55" t="str">
        <f>IFERROR(IF(OR($B3382="",$B3382="(blank)"),"",VLOOKUP($B3382,'Email Marketing Raw Data'!$C:$O,8,0)),"")</f>
        <v/>
      </c>
      <c r="Q3382" s="62" t="str">
        <f>IFERROR(IF(OR($B3382="",$B3382="(blank)"),"",VLOOKUP($B3382,'Email Marketing Raw Data'!$C:$O,9,0)),"")</f>
        <v/>
      </c>
    </row>
    <row r="3383" spans="4:17" ht="12.75" customHeight="1" x14ac:dyDescent="0.2">
      <c r="D3383" s="58" t="str">
        <f>IFERROR(IF(F3383&lt;&gt;"pending","",IF(OR($B3383="",$B3383="(blank)"),"",VLOOKUP($B3383,'Email Marketing Raw Data'!$C:$O,10,0))),"")</f>
        <v/>
      </c>
      <c r="E3383" s="59" t="str">
        <f>IFERROR(IF(F3383&lt;&gt;"pending","",IF(OR($B3383="",$B3383="(blank)"),"",VLOOKUP($B3383,'Email Marketing Raw Data'!$C:$O,11,0))),"")</f>
        <v/>
      </c>
      <c r="F3383" s="54" t="str">
        <f>IFERROR(IF(OR($B3383="",$B3383="(blank)"),"",VLOOKUP($B3383,'Email Marketing Raw Data'!$C:$O,13,0)),"")</f>
        <v/>
      </c>
      <c r="G3383" s="55" t="str">
        <f>IFERROR(IF(OR($B3383="",$B3383="(blank)"),"",VLOOKUP($B3383,'Email Marketing Raw Data'!$C:$O,4,0)),"")</f>
        <v/>
      </c>
      <c r="H3383" s="55" t="str">
        <f>IFERROR(IF(OR($B3383="",$B3383="(blank)"),"",VLOOKUP($B3383,'Email Marketing Raw Data'!$C:$O,5,0)),"")</f>
        <v/>
      </c>
      <c r="I3383" s="55" t="str">
        <f>IFERROR(IF($G3383="","",VLOOKUP('Dashboard And Emails Automate'!$G3383,Database!$H:$N,3,0)),"")</f>
        <v/>
      </c>
      <c r="J3383" s="55" t="str">
        <f>IFERROR(IF($G3383="","",VLOOKUP('Dashboard And Emails Automate'!$G3383,Database!$H:$N,4,0)),"")</f>
        <v/>
      </c>
      <c r="K3383" s="55" t="str">
        <f>IFERROR(IF($G3383="","",VLOOKUP('Dashboard And Emails Automate'!$G3383,Database!$H:$N,5,0)),"")</f>
        <v/>
      </c>
      <c r="L3383" s="55" t="str">
        <f>IFERROR(IF($G3383="","",VLOOKUP('Dashboard And Emails Automate'!$G3383,Database!$H:$N,6,0)),"")</f>
        <v/>
      </c>
      <c r="M3383" s="55" t="str">
        <f>IFERROR(IF($G3383="","",VLOOKUP('Dashboard And Emails Automate'!$G3383,Database!$H:$N,7,0)),"")</f>
        <v/>
      </c>
      <c r="N3383" s="55" t="str">
        <f>IFERROR(IF(OR($B3383="",$B3383="(blank)"),"",VLOOKUP($B3383,'Email Marketing Raw Data'!$C:$O,6,0)),"")</f>
        <v/>
      </c>
      <c r="O3383" s="55" t="str">
        <f>IFERROR(IF(OR($B3383="",$B3383="(blank)"),"",VLOOKUP($B3383,'Email Marketing Raw Data'!$C:$O,7,0)),"")</f>
        <v/>
      </c>
      <c r="P3383" s="55" t="str">
        <f>IFERROR(IF(OR($B3383="",$B3383="(blank)"),"",VLOOKUP($B3383,'Email Marketing Raw Data'!$C:$O,8,0)),"")</f>
        <v/>
      </c>
      <c r="Q3383" s="62" t="str">
        <f>IFERROR(IF(OR($B3383="",$B3383="(blank)"),"",VLOOKUP($B3383,'Email Marketing Raw Data'!$C:$O,9,0)),"")</f>
        <v/>
      </c>
    </row>
    <row r="3384" spans="4:17" ht="12.75" customHeight="1" x14ac:dyDescent="0.2">
      <c r="D3384" s="58" t="str">
        <f>IFERROR(IF(F3384&lt;&gt;"pending","",IF(OR($B3384="",$B3384="(blank)"),"",VLOOKUP($B3384,'Email Marketing Raw Data'!$C:$O,10,0))),"")</f>
        <v/>
      </c>
      <c r="E3384" s="59" t="str">
        <f>IFERROR(IF(F3384&lt;&gt;"pending","",IF(OR($B3384="",$B3384="(blank)"),"",VLOOKUP($B3384,'Email Marketing Raw Data'!$C:$O,11,0))),"")</f>
        <v/>
      </c>
      <c r="F3384" s="54" t="str">
        <f>IFERROR(IF(OR($B3384="",$B3384="(blank)"),"",VLOOKUP($B3384,'Email Marketing Raw Data'!$C:$O,13,0)),"")</f>
        <v/>
      </c>
      <c r="G3384" s="55" t="str">
        <f>IFERROR(IF(OR($B3384="",$B3384="(blank)"),"",VLOOKUP($B3384,'Email Marketing Raw Data'!$C:$O,4,0)),"")</f>
        <v/>
      </c>
      <c r="H3384" s="55" t="str">
        <f>IFERROR(IF(OR($B3384="",$B3384="(blank)"),"",VLOOKUP($B3384,'Email Marketing Raw Data'!$C:$O,5,0)),"")</f>
        <v/>
      </c>
      <c r="I3384" s="55" t="str">
        <f>IFERROR(IF($G3384="","",VLOOKUP('Dashboard And Emails Automate'!$G3384,Database!$H:$N,3,0)),"")</f>
        <v/>
      </c>
      <c r="J3384" s="55" t="str">
        <f>IFERROR(IF($G3384="","",VLOOKUP('Dashboard And Emails Automate'!$G3384,Database!$H:$N,4,0)),"")</f>
        <v/>
      </c>
      <c r="K3384" s="55" t="str">
        <f>IFERROR(IF($G3384="","",VLOOKUP('Dashboard And Emails Automate'!$G3384,Database!$H:$N,5,0)),"")</f>
        <v/>
      </c>
      <c r="L3384" s="55" t="str">
        <f>IFERROR(IF($G3384="","",VLOOKUP('Dashboard And Emails Automate'!$G3384,Database!$H:$N,6,0)),"")</f>
        <v/>
      </c>
      <c r="M3384" s="55" t="str">
        <f>IFERROR(IF($G3384="","",VLOOKUP('Dashboard And Emails Automate'!$G3384,Database!$H:$N,7,0)),"")</f>
        <v/>
      </c>
      <c r="N3384" s="55" t="str">
        <f>IFERROR(IF(OR($B3384="",$B3384="(blank)"),"",VLOOKUP($B3384,'Email Marketing Raw Data'!$C:$O,6,0)),"")</f>
        <v/>
      </c>
      <c r="O3384" s="55" t="str">
        <f>IFERROR(IF(OR($B3384="",$B3384="(blank)"),"",VLOOKUP($B3384,'Email Marketing Raw Data'!$C:$O,7,0)),"")</f>
        <v/>
      </c>
      <c r="P3384" s="55" t="str">
        <f>IFERROR(IF(OR($B3384="",$B3384="(blank)"),"",VLOOKUP($B3384,'Email Marketing Raw Data'!$C:$O,8,0)),"")</f>
        <v/>
      </c>
      <c r="Q3384" s="62" t="str">
        <f>IFERROR(IF(OR($B3384="",$B3384="(blank)"),"",VLOOKUP($B3384,'Email Marketing Raw Data'!$C:$O,9,0)),"")</f>
        <v/>
      </c>
    </row>
    <row r="3385" spans="4:17" ht="12.75" customHeight="1" x14ac:dyDescent="0.2">
      <c r="D3385" s="58" t="str">
        <f>IFERROR(IF(F3385&lt;&gt;"pending","",IF(OR($B3385="",$B3385="(blank)"),"",VLOOKUP($B3385,'Email Marketing Raw Data'!$C:$O,10,0))),"")</f>
        <v/>
      </c>
      <c r="E3385" s="59" t="str">
        <f>IFERROR(IF(F3385&lt;&gt;"pending","",IF(OR($B3385="",$B3385="(blank)"),"",VLOOKUP($B3385,'Email Marketing Raw Data'!$C:$O,11,0))),"")</f>
        <v/>
      </c>
      <c r="F3385" s="54" t="str">
        <f>IFERROR(IF(OR($B3385="",$B3385="(blank)"),"",VLOOKUP($B3385,'Email Marketing Raw Data'!$C:$O,13,0)),"")</f>
        <v/>
      </c>
      <c r="G3385" s="55" t="str">
        <f>IFERROR(IF(OR($B3385="",$B3385="(blank)"),"",VLOOKUP($B3385,'Email Marketing Raw Data'!$C:$O,4,0)),"")</f>
        <v/>
      </c>
      <c r="H3385" s="55" t="str">
        <f>IFERROR(IF(OR($B3385="",$B3385="(blank)"),"",VLOOKUP($B3385,'Email Marketing Raw Data'!$C:$O,5,0)),"")</f>
        <v/>
      </c>
      <c r="I3385" s="55" t="str">
        <f>IFERROR(IF($G3385="","",VLOOKUP('Dashboard And Emails Automate'!$G3385,Database!$H:$N,3,0)),"")</f>
        <v/>
      </c>
      <c r="J3385" s="55" t="str">
        <f>IFERROR(IF($G3385="","",VLOOKUP('Dashboard And Emails Automate'!$G3385,Database!$H:$N,4,0)),"")</f>
        <v/>
      </c>
      <c r="K3385" s="55" t="str">
        <f>IFERROR(IF($G3385="","",VLOOKUP('Dashboard And Emails Automate'!$G3385,Database!$H:$N,5,0)),"")</f>
        <v/>
      </c>
      <c r="L3385" s="55" t="str">
        <f>IFERROR(IF($G3385="","",VLOOKUP('Dashboard And Emails Automate'!$G3385,Database!$H:$N,6,0)),"")</f>
        <v/>
      </c>
      <c r="M3385" s="55" t="str">
        <f>IFERROR(IF($G3385="","",VLOOKUP('Dashboard And Emails Automate'!$G3385,Database!$H:$N,7,0)),"")</f>
        <v/>
      </c>
      <c r="N3385" s="55" t="str">
        <f>IFERROR(IF(OR($B3385="",$B3385="(blank)"),"",VLOOKUP($B3385,'Email Marketing Raw Data'!$C:$O,6,0)),"")</f>
        <v/>
      </c>
      <c r="O3385" s="55" t="str">
        <f>IFERROR(IF(OR($B3385="",$B3385="(blank)"),"",VLOOKUP($B3385,'Email Marketing Raw Data'!$C:$O,7,0)),"")</f>
        <v/>
      </c>
      <c r="P3385" s="55" t="str">
        <f>IFERROR(IF(OR($B3385="",$B3385="(blank)"),"",VLOOKUP($B3385,'Email Marketing Raw Data'!$C:$O,8,0)),"")</f>
        <v/>
      </c>
      <c r="Q3385" s="62" t="str">
        <f>IFERROR(IF(OR($B3385="",$B3385="(blank)"),"",VLOOKUP($B3385,'Email Marketing Raw Data'!$C:$O,9,0)),"")</f>
        <v/>
      </c>
    </row>
    <row r="3386" spans="4:17" ht="12.75" customHeight="1" x14ac:dyDescent="0.2">
      <c r="D3386" s="58" t="str">
        <f>IFERROR(IF(F3386&lt;&gt;"pending","",IF(OR($B3386="",$B3386="(blank)"),"",VLOOKUP($B3386,'Email Marketing Raw Data'!$C:$O,10,0))),"")</f>
        <v/>
      </c>
      <c r="E3386" s="59" t="str">
        <f>IFERROR(IF(F3386&lt;&gt;"pending","",IF(OR($B3386="",$B3386="(blank)"),"",VLOOKUP($B3386,'Email Marketing Raw Data'!$C:$O,11,0))),"")</f>
        <v/>
      </c>
      <c r="F3386" s="54" t="str">
        <f>IFERROR(IF(OR($B3386="",$B3386="(blank)"),"",VLOOKUP($B3386,'Email Marketing Raw Data'!$C:$O,13,0)),"")</f>
        <v/>
      </c>
      <c r="G3386" s="55" t="str">
        <f>IFERROR(IF(OR($B3386="",$B3386="(blank)"),"",VLOOKUP($B3386,'Email Marketing Raw Data'!$C:$O,4,0)),"")</f>
        <v/>
      </c>
      <c r="H3386" s="55" t="str">
        <f>IFERROR(IF(OR($B3386="",$B3386="(blank)"),"",VLOOKUP($B3386,'Email Marketing Raw Data'!$C:$O,5,0)),"")</f>
        <v/>
      </c>
      <c r="I3386" s="55" t="str">
        <f>IFERROR(IF($G3386="","",VLOOKUP('Dashboard And Emails Automate'!$G3386,Database!$H:$N,3,0)),"")</f>
        <v/>
      </c>
      <c r="J3386" s="55" t="str">
        <f>IFERROR(IF($G3386="","",VLOOKUP('Dashboard And Emails Automate'!$G3386,Database!$H:$N,4,0)),"")</f>
        <v/>
      </c>
      <c r="K3386" s="55" t="str">
        <f>IFERROR(IF($G3386="","",VLOOKUP('Dashboard And Emails Automate'!$G3386,Database!$H:$N,5,0)),"")</f>
        <v/>
      </c>
      <c r="L3386" s="55" t="str">
        <f>IFERROR(IF($G3386="","",VLOOKUP('Dashboard And Emails Automate'!$G3386,Database!$H:$N,6,0)),"")</f>
        <v/>
      </c>
      <c r="M3386" s="55" t="str">
        <f>IFERROR(IF($G3386="","",VLOOKUP('Dashboard And Emails Automate'!$G3386,Database!$H:$N,7,0)),"")</f>
        <v/>
      </c>
      <c r="N3386" s="55" t="str">
        <f>IFERROR(IF(OR($B3386="",$B3386="(blank)"),"",VLOOKUP($B3386,'Email Marketing Raw Data'!$C:$O,6,0)),"")</f>
        <v/>
      </c>
      <c r="O3386" s="55" t="str">
        <f>IFERROR(IF(OR($B3386="",$B3386="(blank)"),"",VLOOKUP($B3386,'Email Marketing Raw Data'!$C:$O,7,0)),"")</f>
        <v/>
      </c>
      <c r="P3386" s="55" t="str">
        <f>IFERROR(IF(OR($B3386="",$B3386="(blank)"),"",VLOOKUP($B3386,'Email Marketing Raw Data'!$C:$O,8,0)),"")</f>
        <v/>
      </c>
      <c r="Q3386" s="62" t="str">
        <f>IFERROR(IF(OR($B3386="",$B3386="(blank)"),"",VLOOKUP($B3386,'Email Marketing Raw Data'!$C:$O,9,0)),"")</f>
        <v/>
      </c>
    </row>
    <row r="3387" spans="4:17" ht="12.75" customHeight="1" x14ac:dyDescent="0.2">
      <c r="D3387" s="58" t="str">
        <f>IFERROR(IF(F3387&lt;&gt;"pending","",IF(OR($B3387="",$B3387="(blank)"),"",VLOOKUP($B3387,'Email Marketing Raw Data'!$C:$O,10,0))),"")</f>
        <v/>
      </c>
      <c r="E3387" s="59" t="str">
        <f>IFERROR(IF(F3387&lt;&gt;"pending","",IF(OR($B3387="",$B3387="(blank)"),"",VLOOKUP($B3387,'Email Marketing Raw Data'!$C:$O,11,0))),"")</f>
        <v/>
      </c>
      <c r="F3387" s="54" t="str">
        <f>IFERROR(IF(OR($B3387="",$B3387="(blank)"),"",VLOOKUP($B3387,'Email Marketing Raw Data'!$C:$O,13,0)),"")</f>
        <v/>
      </c>
      <c r="G3387" s="55" t="str">
        <f>IFERROR(IF(OR($B3387="",$B3387="(blank)"),"",VLOOKUP($B3387,'Email Marketing Raw Data'!$C:$O,4,0)),"")</f>
        <v/>
      </c>
      <c r="H3387" s="55" t="str">
        <f>IFERROR(IF(OR($B3387="",$B3387="(blank)"),"",VLOOKUP($B3387,'Email Marketing Raw Data'!$C:$O,5,0)),"")</f>
        <v/>
      </c>
      <c r="I3387" s="55" t="str">
        <f>IFERROR(IF($G3387="","",VLOOKUP('Dashboard And Emails Automate'!$G3387,Database!$H:$N,3,0)),"")</f>
        <v/>
      </c>
      <c r="J3387" s="55" t="str">
        <f>IFERROR(IF($G3387="","",VLOOKUP('Dashboard And Emails Automate'!$G3387,Database!$H:$N,4,0)),"")</f>
        <v/>
      </c>
      <c r="K3387" s="55" t="str">
        <f>IFERROR(IF($G3387="","",VLOOKUP('Dashboard And Emails Automate'!$G3387,Database!$H:$N,5,0)),"")</f>
        <v/>
      </c>
      <c r="L3387" s="55" t="str">
        <f>IFERROR(IF($G3387="","",VLOOKUP('Dashboard And Emails Automate'!$G3387,Database!$H:$N,6,0)),"")</f>
        <v/>
      </c>
      <c r="M3387" s="55" t="str">
        <f>IFERROR(IF($G3387="","",VLOOKUP('Dashboard And Emails Automate'!$G3387,Database!$H:$N,7,0)),"")</f>
        <v/>
      </c>
      <c r="N3387" s="55" t="str">
        <f>IFERROR(IF(OR($B3387="",$B3387="(blank)"),"",VLOOKUP($B3387,'Email Marketing Raw Data'!$C:$O,6,0)),"")</f>
        <v/>
      </c>
      <c r="O3387" s="55" t="str">
        <f>IFERROR(IF(OR($B3387="",$B3387="(blank)"),"",VLOOKUP($B3387,'Email Marketing Raw Data'!$C:$O,7,0)),"")</f>
        <v/>
      </c>
      <c r="P3387" s="55" t="str">
        <f>IFERROR(IF(OR($B3387="",$B3387="(blank)"),"",VLOOKUP($B3387,'Email Marketing Raw Data'!$C:$O,8,0)),"")</f>
        <v/>
      </c>
      <c r="Q3387" s="62" t="str">
        <f>IFERROR(IF(OR($B3387="",$B3387="(blank)"),"",VLOOKUP($B3387,'Email Marketing Raw Data'!$C:$O,9,0)),"")</f>
        <v/>
      </c>
    </row>
    <row r="3388" spans="4:17" ht="12.75" customHeight="1" x14ac:dyDescent="0.2">
      <c r="D3388" s="58" t="str">
        <f>IFERROR(IF(F3388&lt;&gt;"pending","",IF(OR($B3388="",$B3388="(blank)"),"",VLOOKUP($B3388,'Email Marketing Raw Data'!$C:$O,10,0))),"")</f>
        <v/>
      </c>
      <c r="E3388" s="59" t="str">
        <f>IFERROR(IF(F3388&lt;&gt;"pending","",IF(OR($B3388="",$B3388="(blank)"),"",VLOOKUP($B3388,'Email Marketing Raw Data'!$C:$O,11,0))),"")</f>
        <v/>
      </c>
      <c r="F3388" s="54" t="str">
        <f>IFERROR(IF(OR($B3388="",$B3388="(blank)"),"",VLOOKUP($B3388,'Email Marketing Raw Data'!$C:$O,13,0)),"")</f>
        <v/>
      </c>
      <c r="G3388" s="55" t="str">
        <f>IFERROR(IF(OR($B3388="",$B3388="(blank)"),"",VLOOKUP($B3388,'Email Marketing Raw Data'!$C:$O,4,0)),"")</f>
        <v/>
      </c>
      <c r="H3388" s="55" t="str">
        <f>IFERROR(IF(OR($B3388="",$B3388="(blank)"),"",VLOOKUP($B3388,'Email Marketing Raw Data'!$C:$O,5,0)),"")</f>
        <v/>
      </c>
      <c r="I3388" s="55" t="str">
        <f>IFERROR(IF($G3388="","",VLOOKUP('Dashboard And Emails Automate'!$G3388,Database!$H:$N,3,0)),"")</f>
        <v/>
      </c>
      <c r="J3388" s="55" t="str">
        <f>IFERROR(IF($G3388="","",VLOOKUP('Dashboard And Emails Automate'!$G3388,Database!$H:$N,4,0)),"")</f>
        <v/>
      </c>
      <c r="K3388" s="55" t="str">
        <f>IFERROR(IF($G3388="","",VLOOKUP('Dashboard And Emails Automate'!$G3388,Database!$H:$N,5,0)),"")</f>
        <v/>
      </c>
      <c r="L3388" s="55" t="str">
        <f>IFERROR(IF($G3388="","",VLOOKUP('Dashboard And Emails Automate'!$G3388,Database!$H:$N,6,0)),"")</f>
        <v/>
      </c>
      <c r="M3388" s="55" t="str">
        <f>IFERROR(IF($G3388="","",VLOOKUP('Dashboard And Emails Automate'!$G3388,Database!$H:$N,7,0)),"")</f>
        <v/>
      </c>
      <c r="N3388" s="55" t="str">
        <f>IFERROR(IF(OR($B3388="",$B3388="(blank)"),"",VLOOKUP($B3388,'Email Marketing Raw Data'!$C:$O,6,0)),"")</f>
        <v/>
      </c>
      <c r="O3388" s="55" t="str">
        <f>IFERROR(IF(OR($B3388="",$B3388="(blank)"),"",VLOOKUP($B3388,'Email Marketing Raw Data'!$C:$O,7,0)),"")</f>
        <v/>
      </c>
      <c r="P3388" s="55" t="str">
        <f>IFERROR(IF(OR($B3388="",$B3388="(blank)"),"",VLOOKUP($B3388,'Email Marketing Raw Data'!$C:$O,8,0)),"")</f>
        <v/>
      </c>
      <c r="Q3388" s="62" t="str">
        <f>IFERROR(IF(OR($B3388="",$B3388="(blank)"),"",VLOOKUP($B3388,'Email Marketing Raw Data'!$C:$O,9,0)),"")</f>
        <v/>
      </c>
    </row>
    <row r="3389" spans="4:17" ht="12.75" customHeight="1" x14ac:dyDescent="0.2">
      <c r="D3389" s="58" t="str">
        <f>IFERROR(IF(F3389&lt;&gt;"pending","",IF(OR($B3389="",$B3389="(blank)"),"",VLOOKUP($B3389,'Email Marketing Raw Data'!$C:$O,10,0))),"")</f>
        <v/>
      </c>
      <c r="E3389" s="59" t="str">
        <f>IFERROR(IF(F3389&lt;&gt;"pending","",IF(OR($B3389="",$B3389="(blank)"),"",VLOOKUP($B3389,'Email Marketing Raw Data'!$C:$O,11,0))),"")</f>
        <v/>
      </c>
      <c r="F3389" s="54" t="str">
        <f>IFERROR(IF(OR($B3389="",$B3389="(blank)"),"",VLOOKUP($B3389,'Email Marketing Raw Data'!$C:$O,13,0)),"")</f>
        <v/>
      </c>
      <c r="G3389" s="55" t="str">
        <f>IFERROR(IF(OR($B3389="",$B3389="(blank)"),"",VLOOKUP($B3389,'Email Marketing Raw Data'!$C:$O,4,0)),"")</f>
        <v/>
      </c>
      <c r="H3389" s="55" t="str">
        <f>IFERROR(IF(OR($B3389="",$B3389="(blank)"),"",VLOOKUP($B3389,'Email Marketing Raw Data'!$C:$O,5,0)),"")</f>
        <v/>
      </c>
      <c r="I3389" s="55" t="str">
        <f>IFERROR(IF($G3389="","",VLOOKUP('Dashboard And Emails Automate'!$G3389,Database!$H:$N,3,0)),"")</f>
        <v/>
      </c>
      <c r="J3389" s="55" t="str">
        <f>IFERROR(IF($G3389="","",VLOOKUP('Dashboard And Emails Automate'!$G3389,Database!$H:$N,4,0)),"")</f>
        <v/>
      </c>
      <c r="K3389" s="55" t="str">
        <f>IFERROR(IF($G3389="","",VLOOKUP('Dashboard And Emails Automate'!$G3389,Database!$H:$N,5,0)),"")</f>
        <v/>
      </c>
      <c r="L3389" s="55" t="str">
        <f>IFERROR(IF($G3389="","",VLOOKUP('Dashboard And Emails Automate'!$G3389,Database!$H:$N,6,0)),"")</f>
        <v/>
      </c>
      <c r="M3389" s="55" t="str">
        <f>IFERROR(IF($G3389="","",VLOOKUP('Dashboard And Emails Automate'!$G3389,Database!$H:$N,7,0)),"")</f>
        <v/>
      </c>
      <c r="N3389" s="55" t="str">
        <f>IFERROR(IF(OR($B3389="",$B3389="(blank)"),"",VLOOKUP($B3389,'Email Marketing Raw Data'!$C:$O,6,0)),"")</f>
        <v/>
      </c>
      <c r="O3389" s="55" t="str">
        <f>IFERROR(IF(OR($B3389="",$B3389="(blank)"),"",VLOOKUP($B3389,'Email Marketing Raw Data'!$C:$O,7,0)),"")</f>
        <v/>
      </c>
      <c r="P3389" s="55" t="str">
        <f>IFERROR(IF(OR($B3389="",$B3389="(blank)"),"",VLOOKUP($B3389,'Email Marketing Raw Data'!$C:$O,8,0)),"")</f>
        <v/>
      </c>
      <c r="Q3389" s="62" t="str">
        <f>IFERROR(IF(OR($B3389="",$B3389="(blank)"),"",VLOOKUP($B3389,'Email Marketing Raw Data'!$C:$O,9,0)),"")</f>
        <v/>
      </c>
    </row>
    <row r="3390" spans="4:17" ht="12.75" customHeight="1" x14ac:dyDescent="0.2">
      <c r="D3390" s="58" t="str">
        <f>IFERROR(IF(F3390&lt;&gt;"pending","",IF(OR($B3390="",$B3390="(blank)"),"",VLOOKUP($B3390,'Email Marketing Raw Data'!$C:$O,10,0))),"")</f>
        <v/>
      </c>
      <c r="E3390" s="59" t="str">
        <f>IFERROR(IF(F3390&lt;&gt;"pending","",IF(OR($B3390="",$B3390="(blank)"),"",VLOOKUP($B3390,'Email Marketing Raw Data'!$C:$O,11,0))),"")</f>
        <v/>
      </c>
      <c r="F3390" s="54" t="str">
        <f>IFERROR(IF(OR($B3390="",$B3390="(blank)"),"",VLOOKUP($B3390,'Email Marketing Raw Data'!$C:$O,13,0)),"")</f>
        <v/>
      </c>
      <c r="G3390" s="55" t="str">
        <f>IFERROR(IF(OR($B3390="",$B3390="(blank)"),"",VLOOKUP($B3390,'Email Marketing Raw Data'!$C:$O,4,0)),"")</f>
        <v/>
      </c>
      <c r="H3390" s="55" t="str">
        <f>IFERROR(IF(OR($B3390="",$B3390="(blank)"),"",VLOOKUP($B3390,'Email Marketing Raw Data'!$C:$O,5,0)),"")</f>
        <v/>
      </c>
      <c r="I3390" s="55" t="str">
        <f>IFERROR(IF($G3390="","",VLOOKUP('Dashboard And Emails Automate'!$G3390,Database!$H:$N,3,0)),"")</f>
        <v/>
      </c>
      <c r="J3390" s="55" t="str">
        <f>IFERROR(IF($G3390="","",VLOOKUP('Dashboard And Emails Automate'!$G3390,Database!$H:$N,4,0)),"")</f>
        <v/>
      </c>
      <c r="K3390" s="55" t="str">
        <f>IFERROR(IF($G3390="","",VLOOKUP('Dashboard And Emails Automate'!$G3390,Database!$H:$N,5,0)),"")</f>
        <v/>
      </c>
      <c r="L3390" s="55" t="str">
        <f>IFERROR(IF($G3390="","",VLOOKUP('Dashboard And Emails Automate'!$G3390,Database!$H:$N,6,0)),"")</f>
        <v/>
      </c>
      <c r="M3390" s="55" t="str">
        <f>IFERROR(IF($G3390="","",VLOOKUP('Dashboard And Emails Automate'!$G3390,Database!$H:$N,7,0)),"")</f>
        <v/>
      </c>
      <c r="N3390" s="55" t="str">
        <f>IFERROR(IF(OR($B3390="",$B3390="(blank)"),"",VLOOKUP($B3390,'Email Marketing Raw Data'!$C:$O,6,0)),"")</f>
        <v/>
      </c>
      <c r="O3390" s="55" t="str">
        <f>IFERROR(IF(OR($B3390="",$B3390="(blank)"),"",VLOOKUP($B3390,'Email Marketing Raw Data'!$C:$O,7,0)),"")</f>
        <v/>
      </c>
      <c r="P3390" s="55" t="str">
        <f>IFERROR(IF(OR($B3390="",$B3390="(blank)"),"",VLOOKUP($B3390,'Email Marketing Raw Data'!$C:$O,8,0)),"")</f>
        <v/>
      </c>
      <c r="Q3390" s="62" t="str">
        <f>IFERROR(IF(OR($B3390="",$B3390="(blank)"),"",VLOOKUP($B3390,'Email Marketing Raw Data'!$C:$O,9,0)),"")</f>
        <v/>
      </c>
    </row>
    <row r="3391" spans="4:17" ht="12.75" customHeight="1" x14ac:dyDescent="0.2">
      <c r="D3391" s="58" t="str">
        <f>IFERROR(IF(F3391&lt;&gt;"pending","",IF(OR($B3391="",$B3391="(blank)"),"",VLOOKUP($B3391,'Email Marketing Raw Data'!$C:$O,10,0))),"")</f>
        <v/>
      </c>
      <c r="E3391" s="59" t="str">
        <f>IFERROR(IF(F3391&lt;&gt;"pending","",IF(OR($B3391="",$B3391="(blank)"),"",VLOOKUP($B3391,'Email Marketing Raw Data'!$C:$O,11,0))),"")</f>
        <v/>
      </c>
      <c r="F3391" s="54" t="str">
        <f>IFERROR(IF(OR($B3391="",$B3391="(blank)"),"",VLOOKUP($B3391,'Email Marketing Raw Data'!$C:$O,13,0)),"")</f>
        <v/>
      </c>
      <c r="G3391" s="55" t="str">
        <f>IFERROR(IF(OR($B3391="",$B3391="(blank)"),"",VLOOKUP($B3391,'Email Marketing Raw Data'!$C:$O,4,0)),"")</f>
        <v/>
      </c>
      <c r="H3391" s="55" t="str">
        <f>IFERROR(IF(OR($B3391="",$B3391="(blank)"),"",VLOOKUP($B3391,'Email Marketing Raw Data'!$C:$O,5,0)),"")</f>
        <v/>
      </c>
      <c r="I3391" s="55" t="str">
        <f>IFERROR(IF($G3391="","",VLOOKUP('Dashboard And Emails Automate'!$G3391,Database!$H:$N,3,0)),"")</f>
        <v/>
      </c>
      <c r="J3391" s="55" t="str">
        <f>IFERROR(IF($G3391="","",VLOOKUP('Dashboard And Emails Automate'!$G3391,Database!$H:$N,4,0)),"")</f>
        <v/>
      </c>
      <c r="K3391" s="55" t="str">
        <f>IFERROR(IF($G3391="","",VLOOKUP('Dashboard And Emails Automate'!$G3391,Database!$H:$N,5,0)),"")</f>
        <v/>
      </c>
      <c r="L3391" s="55" t="str">
        <f>IFERROR(IF($G3391="","",VLOOKUP('Dashboard And Emails Automate'!$G3391,Database!$H:$N,6,0)),"")</f>
        <v/>
      </c>
      <c r="M3391" s="55" t="str">
        <f>IFERROR(IF($G3391="","",VLOOKUP('Dashboard And Emails Automate'!$G3391,Database!$H:$N,7,0)),"")</f>
        <v/>
      </c>
      <c r="N3391" s="55" t="str">
        <f>IFERROR(IF(OR($B3391="",$B3391="(blank)"),"",VLOOKUP($B3391,'Email Marketing Raw Data'!$C:$O,6,0)),"")</f>
        <v/>
      </c>
      <c r="O3391" s="55" t="str">
        <f>IFERROR(IF(OR($B3391="",$B3391="(blank)"),"",VLOOKUP($B3391,'Email Marketing Raw Data'!$C:$O,7,0)),"")</f>
        <v/>
      </c>
      <c r="P3391" s="55" t="str">
        <f>IFERROR(IF(OR($B3391="",$B3391="(blank)"),"",VLOOKUP($B3391,'Email Marketing Raw Data'!$C:$O,8,0)),"")</f>
        <v/>
      </c>
      <c r="Q3391" s="62" t="str">
        <f>IFERROR(IF(OR($B3391="",$B3391="(blank)"),"",VLOOKUP($B3391,'Email Marketing Raw Data'!$C:$O,9,0)),"")</f>
        <v/>
      </c>
    </row>
    <row r="3392" spans="4:17" ht="12.75" customHeight="1" x14ac:dyDescent="0.2">
      <c r="D3392" s="58" t="str">
        <f>IFERROR(IF(F3392&lt;&gt;"pending","",IF(OR($B3392="",$B3392="(blank)"),"",VLOOKUP($B3392,'Email Marketing Raw Data'!$C:$O,10,0))),"")</f>
        <v/>
      </c>
      <c r="E3392" s="59" t="str">
        <f>IFERROR(IF(F3392&lt;&gt;"pending","",IF(OR($B3392="",$B3392="(blank)"),"",VLOOKUP($B3392,'Email Marketing Raw Data'!$C:$O,11,0))),"")</f>
        <v/>
      </c>
      <c r="F3392" s="54" t="str">
        <f>IFERROR(IF(OR($B3392="",$B3392="(blank)"),"",VLOOKUP($B3392,'Email Marketing Raw Data'!$C:$O,13,0)),"")</f>
        <v/>
      </c>
      <c r="G3392" s="55" t="str">
        <f>IFERROR(IF(OR($B3392="",$B3392="(blank)"),"",VLOOKUP($B3392,'Email Marketing Raw Data'!$C:$O,4,0)),"")</f>
        <v/>
      </c>
      <c r="H3392" s="55" t="str">
        <f>IFERROR(IF(OR($B3392="",$B3392="(blank)"),"",VLOOKUP($B3392,'Email Marketing Raw Data'!$C:$O,5,0)),"")</f>
        <v/>
      </c>
      <c r="I3392" s="55" t="str">
        <f>IFERROR(IF($G3392="","",VLOOKUP('Dashboard And Emails Automate'!$G3392,Database!$H:$N,3,0)),"")</f>
        <v/>
      </c>
      <c r="J3392" s="55" t="str">
        <f>IFERROR(IF($G3392="","",VLOOKUP('Dashboard And Emails Automate'!$G3392,Database!$H:$N,4,0)),"")</f>
        <v/>
      </c>
      <c r="K3392" s="55" t="str">
        <f>IFERROR(IF($G3392="","",VLOOKUP('Dashboard And Emails Automate'!$G3392,Database!$H:$N,5,0)),"")</f>
        <v/>
      </c>
      <c r="L3392" s="55" t="str">
        <f>IFERROR(IF($G3392="","",VLOOKUP('Dashboard And Emails Automate'!$G3392,Database!$H:$N,6,0)),"")</f>
        <v/>
      </c>
      <c r="M3392" s="55" t="str">
        <f>IFERROR(IF($G3392="","",VLOOKUP('Dashboard And Emails Automate'!$G3392,Database!$H:$N,7,0)),"")</f>
        <v/>
      </c>
      <c r="N3392" s="55" t="str">
        <f>IFERROR(IF(OR($B3392="",$B3392="(blank)"),"",VLOOKUP($B3392,'Email Marketing Raw Data'!$C:$O,6,0)),"")</f>
        <v/>
      </c>
      <c r="O3392" s="55" t="str">
        <f>IFERROR(IF(OR($B3392="",$B3392="(blank)"),"",VLOOKUP($B3392,'Email Marketing Raw Data'!$C:$O,7,0)),"")</f>
        <v/>
      </c>
      <c r="P3392" s="55" t="str">
        <f>IFERROR(IF(OR($B3392="",$B3392="(blank)"),"",VLOOKUP($B3392,'Email Marketing Raw Data'!$C:$O,8,0)),"")</f>
        <v/>
      </c>
      <c r="Q3392" s="62" t="str">
        <f>IFERROR(IF(OR($B3392="",$B3392="(blank)"),"",VLOOKUP($B3392,'Email Marketing Raw Data'!$C:$O,9,0)),"")</f>
        <v/>
      </c>
    </row>
    <row r="3393" spans="4:17" ht="12.75" customHeight="1" x14ac:dyDescent="0.2">
      <c r="D3393" s="58" t="str">
        <f>IFERROR(IF(F3393&lt;&gt;"pending","",IF(OR($B3393="",$B3393="(blank)"),"",VLOOKUP($B3393,'Email Marketing Raw Data'!$C:$O,10,0))),"")</f>
        <v/>
      </c>
      <c r="E3393" s="59" t="str">
        <f>IFERROR(IF(F3393&lt;&gt;"pending","",IF(OR($B3393="",$B3393="(blank)"),"",VLOOKUP($B3393,'Email Marketing Raw Data'!$C:$O,11,0))),"")</f>
        <v/>
      </c>
      <c r="F3393" s="54" t="str">
        <f>IFERROR(IF(OR($B3393="",$B3393="(blank)"),"",VLOOKUP($B3393,'Email Marketing Raw Data'!$C:$O,13,0)),"")</f>
        <v/>
      </c>
      <c r="G3393" s="55" t="str">
        <f>IFERROR(IF(OR($B3393="",$B3393="(blank)"),"",VLOOKUP($B3393,'Email Marketing Raw Data'!$C:$O,4,0)),"")</f>
        <v/>
      </c>
      <c r="H3393" s="55" t="str">
        <f>IFERROR(IF(OR($B3393="",$B3393="(blank)"),"",VLOOKUP($B3393,'Email Marketing Raw Data'!$C:$O,5,0)),"")</f>
        <v/>
      </c>
      <c r="I3393" s="55" t="str">
        <f>IFERROR(IF($G3393="","",VLOOKUP('Dashboard And Emails Automate'!$G3393,Database!$H:$N,3,0)),"")</f>
        <v/>
      </c>
      <c r="J3393" s="55" t="str">
        <f>IFERROR(IF($G3393="","",VLOOKUP('Dashboard And Emails Automate'!$G3393,Database!$H:$N,4,0)),"")</f>
        <v/>
      </c>
      <c r="K3393" s="55" t="str">
        <f>IFERROR(IF($G3393="","",VLOOKUP('Dashboard And Emails Automate'!$G3393,Database!$H:$N,5,0)),"")</f>
        <v/>
      </c>
      <c r="L3393" s="55" t="str">
        <f>IFERROR(IF($G3393="","",VLOOKUP('Dashboard And Emails Automate'!$G3393,Database!$H:$N,6,0)),"")</f>
        <v/>
      </c>
      <c r="M3393" s="55" t="str">
        <f>IFERROR(IF($G3393="","",VLOOKUP('Dashboard And Emails Automate'!$G3393,Database!$H:$N,7,0)),"")</f>
        <v/>
      </c>
      <c r="N3393" s="55" t="str">
        <f>IFERROR(IF(OR($B3393="",$B3393="(blank)"),"",VLOOKUP($B3393,'Email Marketing Raw Data'!$C:$O,6,0)),"")</f>
        <v/>
      </c>
      <c r="O3393" s="55" t="str">
        <f>IFERROR(IF(OR($B3393="",$B3393="(blank)"),"",VLOOKUP($B3393,'Email Marketing Raw Data'!$C:$O,7,0)),"")</f>
        <v/>
      </c>
      <c r="P3393" s="55" t="str">
        <f>IFERROR(IF(OR($B3393="",$B3393="(blank)"),"",VLOOKUP($B3393,'Email Marketing Raw Data'!$C:$O,8,0)),"")</f>
        <v/>
      </c>
      <c r="Q3393" s="62" t="str">
        <f>IFERROR(IF(OR($B3393="",$B3393="(blank)"),"",VLOOKUP($B3393,'Email Marketing Raw Data'!$C:$O,9,0)),"")</f>
        <v/>
      </c>
    </row>
    <row r="3394" spans="4:17" ht="12.75" customHeight="1" x14ac:dyDescent="0.2">
      <c r="D3394" s="58" t="str">
        <f>IFERROR(IF(F3394&lt;&gt;"pending","",IF(OR($B3394="",$B3394="(blank)"),"",VLOOKUP($B3394,'Email Marketing Raw Data'!$C:$O,10,0))),"")</f>
        <v/>
      </c>
      <c r="E3394" s="59" t="str">
        <f>IFERROR(IF(F3394&lt;&gt;"pending","",IF(OR($B3394="",$B3394="(blank)"),"",VLOOKUP($B3394,'Email Marketing Raw Data'!$C:$O,11,0))),"")</f>
        <v/>
      </c>
      <c r="F3394" s="54" t="str">
        <f>IFERROR(IF(OR($B3394="",$B3394="(blank)"),"",VLOOKUP($B3394,'Email Marketing Raw Data'!$C:$O,13,0)),"")</f>
        <v/>
      </c>
      <c r="G3394" s="55" t="str">
        <f>IFERROR(IF(OR($B3394="",$B3394="(blank)"),"",VLOOKUP($B3394,'Email Marketing Raw Data'!$C:$O,4,0)),"")</f>
        <v/>
      </c>
      <c r="H3394" s="55" t="str">
        <f>IFERROR(IF(OR($B3394="",$B3394="(blank)"),"",VLOOKUP($B3394,'Email Marketing Raw Data'!$C:$O,5,0)),"")</f>
        <v/>
      </c>
      <c r="I3394" s="55" t="str">
        <f>IFERROR(IF($G3394="","",VLOOKUP('Dashboard And Emails Automate'!$G3394,Database!$H:$N,3,0)),"")</f>
        <v/>
      </c>
      <c r="J3394" s="55" t="str">
        <f>IFERROR(IF($G3394="","",VLOOKUP('Dashboard And Emails Automate'!$G3394,Database!$H:$N,4,0)),"")</f>
        <v/>
      </c>
      <c r="K3394" s="55" t="str">
        <f>IFERROR(IF($G3394="","",VLOOKUP('Dashboard And Emails Automate'!$G3394,Database!$H:$N,5,0)),"")</f>
        <v/>
      </c>
      <c r="L3394" s="55" t="str">
        <f>IFERROR(IF($G3394="","",VLOOKUP('Dashboard And Emails Automate'!$G3394,Database!$H:$N,6,0)),"")</f>
        <v/>
      </c>
      <c r="M3394" s="55" t="str">
        <f>IFERROR(IF($G3394="","",VLOOKUP('Dashboard And Emails Automate'!$G3394,Database!$H:$N,7,0)),"")</f>
        <v/>
      </c>
      <c r="N3394" s="55" t="str">
        <f>IFERROR(IF(OR($B3394="",$B3394="(blank)"),"",VLOOKUP($B3394,'Email Marketing Raw Data'!$C:$O,6,0)),"")</f>
        <v/>
      </c>
      <c r="O3394" s="55" t="str">
        <f>IFERROR(IF(OR($B3394="",$B3394="(blank)"),"",VLOOKUP($B3394,'Email Marketing Raw Data'!$C:$O,7,0)),"")</f>
        <v/>
      </c>
      <c r="P3394" s="55" t="str">
        <f>IFERROR(IF(OR($B3394="",$B3394="(blank)"),"",VLOOKUP($B3394,'Email Marketing Raw Data'!$C:$O,8,0)),"")</f>
        <v/>
      </c>
      <c r="Q3394" s="62" t="str">
        <f>IFERROR(IF(OR($B3394="",$B3394="(blank)"),"",VLOOKUP($B3394,'Email Marketing Raw Data'!$C:$O,9,0)),"")</f>
        <v/>
      </c>
    </row>
    <row r="3395" spans="4:17" ht="12.75" customHeight="1" x14ac:dyDescent="0.2">
      <c r="D3395" s="58" t="str">
        <f>IFERROR(IF(F3395&lt;&gt;"pending","",IF(OR($B3395="",$B3395="(blank)"),"",VLOOKUP($B3395,'Email Marketing Raw Data'!$C:$O,10,0))),"")</f>
        <v/>
      </c>
      <c r="E3395" s="59" t="str">
        <f>IFERROR(IF(F3395&lt;&gt;"pending","",IF(OR($B3395="",$B3395="(blank)"),"",VLOOKUP($B3395,'Email Marketing Raw Data'!$C:$O,11,0))),"")</f>
        <v/>
      </c>
      <c r="F3395" s="54" t="str">
        <f>IFERROR(IF(OR($B3395="",$B3395="(blank)"),"",VLOOKUP($B3395,'Email Marketing Raw Data'!$C:$O,13,0)),"")</f>
        <v/>
      </c>
      <c r="G3395" s="55" t="str">
        <f>IFERROR(IF(OR($B3395="",$B3395="(blank)"),"",VLOOKUP($B3395,'Email Marketing Raw Data'!$C:$O,4,0)),"")</f>
        <v/>
      </c>
      <c r="H3395" s="55" t="str">
        <f>IFERROR(IF(OR($B3395="",$B3395="(blank)"),"",VLOOKUP($B3395,'Email Marketing Raw Data'!$C:$O,5,0)),"")</f>
        <v/>
      </c>
      <c r="I3395" s="55" t="str">
        <f>IFERROR(IF($G3395="","",VLOOKUP('Dashboard And Emails Automate'!$G3395,Database!$H:$N,3,0)),"")</f>
        <v/>
      </c>
      <c r="J3395" s="55" t="str">
        <f>IFERROR(IF($G3395="","",VLOOKUP('Dashboard And Emails Automate'!$G3395,Database!$H:$N,4,0)),"")</f>
        <v/>
      </c>
      <c r="K3395" s="55" t="str">
        <f>IFERROR(IF($G3395="","",VLOOKUP('Dashboard And Emails Automate'!$G3395,Database!$H:$N,5,0)),"")</f>
        <v/>
      </c>
      <c r="L3395" s="55" t="str">
        <f>IFERROR(IF($G3395="","",VLOOKUP('Dashboard And Emails Automate'!$G3395,Database!$H:$N,6,0)),"")</f>
        <v/>
      </c>
      <c r="M3395" s="55" t="str">
        <f>IFERROR(IF($G3395="","",VLOOKUP('Dashboard And Emails Automate'!$G3395,Database!$H:$N,7,0)),"")</f>
        <v/>
      </c>
      <c r="N3395" s="55" t="str">
        <f>IFERROR(IF(OR($B3395="",$B3395="(blank)"),"",VLOOKUP($B3395,'Email Marketing Raw Data'!$C:$O,6,0)),"")</f>
        <v/>
      </c>
      <c r="O3395" s="55" t="str">
        <f>IFERROR(IF(OR($B3395="",$B3395="(blank)"),"",VLOOKUP($B3395,'Email Marketing Raw Data'!$C:$O,7,0)),"")</f>
        <v/>
      </c>
      <c r="P3395" s="55" t="str">
        <f>IFERROR(IF(OR($B3395="",$B3395="(blank)"),"",VLOOKUP($B3395,'Email Marketing Raw Data'!$C:$O,8,0)),"")</f>
        <v/>
      </c>
      <c r="Q3395" s="62" t="str">
        <f>IFERROR(IF(OR($B3395="",$B3395="(blank)"),"",VLOOKUP($B3395,'Email Marketing Raw Data'!$C:$O,9,0)),"")</f>
        <v/>
      </c>
    </row>
    <row r="3396" spans="4:17" ht="12.75" customHeight="1" x14ac:dyDescent="0.2">
      <c r="D3396" s="58" t="str">
        <f>IFERROR(IF(F3396&lt;&gt;"pending","",IF(OR($B3396="",$B3396="(blank)"),"",VLOOKUP($B3396,'Email Marketing Raw Data'!$C:$O,10,0))),"")</f>
        <v/>
      </c>
      <c r="E3396" s="59" t="str">
        <f>IFERROR(IF(F3396&lt;&gt;"pending","",IF(OR($B3396="",$B3396="(blank)"),"",VLOOKUP($B3396,'Email Marketing Raw Data'!$C:$O,11,0))),"")</f>
        <v/>
      </c>
      <c r="F3396" s="54" t="str">
        <f>IFERROR(IF(OR($B3396="",$B3396="(blank)"),"",VLOOKUP($B3396,'Email Marketing Raw Data'!$C:$O,13,0)),"")</f>
        <v/>
      </c>
      <c r="G3396" s="55" t="str">
        <f>IFERROR(IF(OR($B3396="",$B3396="(blank)"),"",VLOOKUP($B3396,'Email Marketing Raw Data'!$C:$O,4,0)),"")</f>
        <v/>
      </c>
      <c r="H3396" s="55" t="str">
        <f>IFERROR(IF(OR($B3396="",$B3396="(blank)"),"",VLOOKUP($B3396,'Email Marketing Raw Data'!$C:$O,5,0)),"")</f>
        <v/>
      </c>
      <c r="I3396" s="55" t="str">
        <f>IFERROR(IF($G3396="","",VLOOKUP('Dashboard And Emails Automate'!$G3396,Database!$H:$N,3,0)),"")</f>
        <v/>
      </c>
      <c r="J3396" s="55" t="str">
        <f>IFERROR(IF($G3396="","",VLOOKUP('Dashboard And Emails Automate'!$G3396,Database!$H:$N,4,0)),"")</f>
        <v/>
      </c>
      <c r="K3396" s="55" t="str">
        <f>IFERROR(IF($G3396="","",VLOOKUP('Dashboard And Emails Automate'!$G3396,Database!$H:$N,5,0)),"")</f>
        <v/>
      </c>
      <c r="L3396" s="55" t="str">
        <f>IFERROR(IF($G3396="","",VLOOKUP('Dashboard And Emails Automate'!$G3396,Database!$H:$N,6,0)),"")</f>
        <v/>
      </c>
      <c r="M3396" s="55" t="str">
        <f>IFERROR(IF($G3396="","",VLOOKUP('Dashboard And Emails Automate'!$G3396,Database!$H:$N,7,0)),"")</f>
        <v/>
      </c>
      <c r="N3396" s="55" t="str">
        <f>IFERROR(IF(OR($B3396="",$B3396="(blank)"),"",VLOOKUP($B3396,'Email Marketing Raw Data'!$C:$O,6,0)),"")</f>
        <v/>
      </c>
      <c r="O3396" s="55" t="str">
        <f>IFERROR(IF(OR($B3396="",$B3396="(blank)"),"",VLOOKUP($B3396,'Email Marketing Raw Data'!$C:$O,7,0)),"")</f>
        <v/>
      </c>
      <c r="P3396" s="55" t="str">
        <f>IFERROR(IF(OR($B3396="",$B3396="(blank)"),"",VLOOKUP($B3396,'Email Marketing Raw Data'!$C:$O,8,0)),"")</f>
        <v/>
      </c>
      <c r="Q3396" s="62" t="str">
        <f>IFERROR(IF(OR($B3396="",$B3396="(blank)"),"",VLOOKUP($B3396,'Email Marketing Raw Data'!$C:$O,9,0)),"")</f>
        <v/>
      </c>
    </row>
    <row r="3397" spans="4:17" ht="12.75" customHeight="1" x14ac:dyDescent="0.2">
      <c r="D3397" s="58" t="str">
        <f>IFERROR(IF(F3397&lt;&gt;"pending","",IF(OR($B3397="",$B3397="(blank)"),"",VLOOKUP($B3397,'Email Marketing Raw Data'!$C:$O,10,0))),"")</f>
        <v/>
      </c>
      <c r="E3397" s="59" t="str">
        <f>IFERROR(IF(F3397&lt;&gt;"pending","",IF(OR($B3397="",$B3397="(blank)"),"",VLOOKUP($B3397,'Email Marketing Raw Data'!$C:$O,11,0))),"")</f>
        <v/>
      </c>
      <c r="F3397" s="54" t="str">
        <f>IFERROR(IF(OR($B3397="",$B3397="(blank)"),"",VLOOKUP($B3397,'Email Marketing Raw Data'!$C:$O,13,0)),"")</f>
        <v/>
      </c>
      <c r="G3397" s="55" t="str">
        <f>IFERROR(IF(OR($B3397="",$B3397="(blank)"),"",VLOOKUP($B3397,'Email Marketing Raw Data'!$C:$O,4,0)),"")</f>
        <v/>
      </c>
      <c r="H3397" s="55" t="str">
        <f>IFERROR(IF(OR($B3397="",$B3397="(blank)"),"",VLOOKUP($B3397,'Email Marketing Raw Data'!$C:$O,5,0)),"")</f>
        <v/>
      </c>
      <c r="I3397" s="55" t="str">
        <f>IFERROR(IF($G3397="","",VLOOKUP('Dashboard And Emails Automate'!$G3397,Database!$H:$N,3,0)),"")</f>
        <v/>
      </c>
      <c r="J3397" s="55" t="str">
        <f>IFERROR(IF($G3397="","",VLOOKUP('Dashboard And Emails Automate'!$G3397,Database!$H:$N,4,0)),"")</f>
        <v/>
      </c>
      <c r="K3397" s="55" t="str">
        <f>IFERROR(IF($G3397="","",VLOOKUP('Dashboard And Emails Automate'!$G3397,Database!$H:$N,5,0)),"")</f>
        <v/>
      </c>
      <c r="L3397" s="55" t="str">
        <f>IFERROR(IF($G3397="","",VLOOKUP('Dashboard And Emails Automate'!$G3397,Database!$H:$N,6,0)),"")</f>
        <v/>
      </c>
      <c r="M3397" s="55" t="str">
        <f>IFERROR(IF($G3397="","",VLOOKUP('Dashboard And Emails Automate'!$G3397,Database!$H:$N,7,0)),"")</f>
        <v/>
      </c>
      <c r="N3397" s="55" t="str">
        <f>IFERROR(IF(OR($B3397="",$B3397="(blank)"),"",VLOOKUP($B3397,'Email Marketing Raw Data'!$C:$O,6,0)),"")</f>
        <v/>
      </c>
      <c r="O3397" s="55" t="str">
        <f>IFERROR(IF(OR($B3397="",$B3397="(blank)"),"",VLOOKUP($B3397,'Email Marketing Raw Data'!$C:$O,7,0)),"")</f>
        <v/>
      </c>
      <c r="P3397" s="55" t="str">
        <f>IFERROR(IF(OR($B3397="",$B3397="(blank)"),"",VLOOKUP($B3397,'Email Marketing Raw Data'!$C:$O,8,0)),"")</f>
        <v/>
      </c>
      <c r="Q3397" s="62" t="str">
        <f>IFERROR(IF(OR($B3397="",$B3397="(blank)"),"",VLOOKUP($B3397,'Email Marketing Raw Data'!$C:$O,9,0)),"")</f>
        <v/>
      </c>
    </row>
    <row r="3398" spans="4:17" ht="12.75" customHeight="1" x14ac:dyDescent="0.2">
      <c r="D3398" s="58" t="str">
        <f>IFERROR(IF(F3398&lt;&gt;"pending","",IF(OR($B3398="",$B3398="(blank)"),"",VLOOKUP($B3398,'Email Marketing Raw Data'!$C:$O,10,0))),"")</f>
        <v/>
      </c>
      <c r="E3398" s="59" t="str">
        <f>IFERROR(IF(F3398&lt;&gt;"pending","",IF(OR($B3398="",$B3398="(blank)"),"",VLOOKUP($B3398,'Email Marketing Raw Data'!$C:$O,11,0))),"")</f>
        <v/>
      </c>
      <c r="F3398" s="54" t="str">
        <f>IFERROR(IF(OR($B3398="",$B3398="(blank)"),"",VLOOKUP($B3398,'Email Marketing Raw Data'!$C:$O,13,0)),"")</f>
        <v/>
      </c>
      <c r="G3398" s="55" t="str">
        <f>IFERROR(IF(OR($B3398="",$B3398="(blank)"),"",VLOOKUP($B3398,'Email Marketing Raw Data'!$C:$O,4,0)),"")</f>
        <v/>
      </c>
      <c r="H3398" s="55" t="str">
        <f>IFERROR(IF(OR($B3398="",$B3398="(blank)"),"",VLOOKUP($B3398,'Email Marketing Raw Data'!$C:$O,5,0)),"")</f>
        <v/>
      </c>
      <c r="I3398" s="55" t="str">
        <f>IFERROR(IF($G3398="","",VLOOKUP('Dashboard And Emails Automate'!$G3398,Database!$H:$N,3,0)),"")</f>
        <v/>
      </c>
      <c r="J3398" s="55" t="str">
        <f>IFERROR(IF($G3398="","",VLOOKUP('Dashboard And Emails Automate'!$G3398,Database!$H:$N,4,0)),"")</f>
        <v/>
      </c>
      <c r="K3398" s="55" t="str">
        <f>IFERROR(IF($G3398="","",VLOOKUP('Dashboard And Emails Automate'!$G3398,Database!$H:$N,5,0)),"")</f>
        <v/>
      </c>
      <c r="L3398" s="55" t="str">
        <f>IFERROR(IF($G3398="","",VLOOKUP('Dashboard And Emails Automate'!$G3398,Database!$H:$N,6,0)),"")</f>
        <v/>
      </c>
      <c r="M3398" s="55" t="str">
        <f>IFERROR(IF($G3398="","",VLOOKUP('Dashboard And Emails Automate'!$G3398,Database!$H:$N,7,0)),"")</f>
        <v/>
      </c>
      <c r="N3398" s="55" t="str">
        <f>IFERROR(IF(OR($B3398="",$B3398="(blank)"),"",VLOOKUP($B3398,'Email Marketing Raw Data'!$C:$O,6,0)),"")</f>
        <v/>
      </c>
      <c r="O3398" s="55" t="str">
        <f>IFERROR(IF(OR($B3398="",$B3398="(blank)"),"",VLOOKUP($B3398,'Email Marketing Raw Data'!$C:$O,7,0)),"")</f>
        <v/>
      </c>
      <c r="P3398" s="55" t="str">
        <f>IFERROR(IF(OR($B3398="",$B3398="(blank)"),"",VLOOKUP($B3398,'Email Marketing Raw Data'!$C:$O,8,0)),"")</f>
        <v/>
      </c>
      <c r="Q3398" s="62" t="str">
        <f>IFERROR(IF(OR($B3398="",$B3398="(blank)"),"",VLOOKUP($B3398,'Email Marketing Raw Data'!$C:$O,9,0)),"")</f>
        <v/>
      </c>
    </row>
    <row r="3399" spans="4:17" ht="12.75" customHeight="1" x14ac:dyDescent="0.2">
      <c r="D3399" s="58" t="str">
        <f>IFERROR(IF(F3399&lt;&gt;"pending","",IF(OR($B3399="",$B3399="(blank)"),"",VLOOKUP($B3399,'Email Marketing Raw Data'!$C:$O,10,0))),"")</f>
        <v/>
      </c>
      <c r="E3399" s="59" t="str">
        <f>IFERROR(IF(F3399&lt;&gt;"pending","",IF(OR($B3399="",$B3399="(blank)"),"",VLOOKUP($B3399,'Email Marketing Raw Data'!$C:$O,11,0))),"")</f>
        <v/>
      </c>
      <c r="F3399" s="54" t="str">
        <f>IFERROR(IF(OR($B3399="",$B3399="(blank)"),"",VLOOKUP($B3399,'Email Marketing Raw Data'!$C:$O,13,0)),"")</f>
        <v/>
      </c>
      <c r="G3399" s="55" t="str">
        <f>IFERROR(IF(OR($B3399="",$B3399="(blank)"),"",VLOOKUP($B3399,'Email Marketing Raw Data'!$C:$O,4,0)),"")</f>
        <v/>
      </c>
      <c r="H3399" s="55" t="str">
        <f>IFERROR(IF(OR($B3399="",$B3399="(blank)"),"",VLOOKUP($B3399,'Email Marketing Raw Data'!$C:$O,5,0)),"")</f>
        <v/>
      </c>
      <c r="I3399" s="55" t="str">
        <f>IFERROR(IF($G3399="","",VLOOKUP('Dashboard And Emails Automate'!$G3399,Database!$H:$N,3,0)),"")</f>
        <v/>
      </c>
      <c r="J3399" s="55" t="str">
        <f>IFERROR(IF($G3399="","",VLOOKUP('Dashboard And Emails Automate'!$G3399,Database!$H:$N,4,0)),"")</f>
        <v/>
      </c>
      <c r="K3399" s="55" t="str">
        <f>IFERROR(IF($G3399="","",VLOOKUP('Dashboard And Emails Automate'!$G3399,Database!$H:$N,5,0)),"")</f>
        <v/>
      </c>
      <c r="L3399" s="55" t="str">
        <f>IFERROR(IF($G3399="","",VLOOKUP('Dashboard And Emails Automate'!$G3399,Database!$H:$N,6,0)),"")</f>
        <v/>
      </c>
      <c r="M3399" s="55" t="str">
        <f>IFERROR(IF($G3399="","",VLOOKUP('Dashboard And Emails Automate'!$G3399,Database!$H:$N,7,0)),"")</f>
        <v/>
      </c>
      <c r="N3399" s="55" t="str">
        <f>IFERROR(IF(OR($B3399="",$B3399="(blank)"),"",VLOOKUP($B3399,'Email Marketing Raw Data'!$C:$O,6,0)),"")</f>
        <v/>
      </c>
      <c r="O3399" s="55" t="str">
        <f>IFERROR(IF(OR($B3399="",$B3399="(blank)"),"",VLOOKUP($B3399,'Email Marketing Raw Data'!$C:$O,7,0)),"")</f>
        <v/>
      </c>
      <c r="P3399" s="55" t="str">
        <f>IFERROR(IF(OR($B3399="",$B3399="(blank)"),"",VLOOKUP($B3399,'Email Marketing Raw Data'!$C:$O,8,0)),"")</f>
        <v/>
      </c>
      <c r="Q3399" s="62" t="str">
        <f>IFERROR(IF(OR($B3399="",$B3399="(blank)"),"",VLOOKUP($B3399,'Email Marketing Raw Data'!$C:$O,9,0)),"")</f>
        <v/>
      </c>
    </row>
    <row r="3400" spans="4:17" ht="12.75" customHeight="1" x14ac:dyDescent="0.2">
      <c r="D3400" s="58" t="str">
        <f>IFERROR(IF(F3400&lt;&gt;"pending","",IF(OR($B3400="",$B3400="(blank)"),"",VLOOKUP($B3400,'Email Marketing Raw Data'!$C:$O,10,0))),"")</f>
        <v/>
      </c>
      <c r="E3400" s="59" t="str">
        <f>IFERROR(IF(F3400&lt;&gt;"pending","",IF(OR($B3400="",$B3400="(blank)"),"",VLOOKUP($B3400,'Email Marketing Raw Data'!$C:$O,11,0))),"")</f>
        <v/>
      </c>
      <c r="F3400" s="54" t="str">
        <f>IFERROR(IF(OR($B3400="",$B3400="(blank)"),"",VLOOKUP($B3400,'Email Marketing Raw Data'!$C:$O,13,0)),"")</f>
        <v/>
      </c>
      <c r="G3400" s="55" t="str">
        <f>IFERROR(IF(OR($B3400="",$B3400="(blank)"),"",VLOOKUP($B3400,'Email Marketing Raw Data'!$C:$O,4,0)),"")</f>
        <v/>
      </c>
      <c r="H3400" s="55" t="str">
        <f>IFERROR(IF(OR($B3400="",$B3400="(blank)"),"",VLOOKUP($B3400,'Email Marketing Raw Data'!$C:$O,5,0)),"")</f>
        <v/>
      </c>
      <c r="I3400" s="55" t="str">
        <f>IFERROR(IF($G3400="","",VLOOKUP('Dashboard And Emails Automate'!$G3400,Database!$H:$N,3,0)),"")</f>
        <v/>
      </c>
      <c r="J3400" s="55" t="str">
        <f>IFERROR(IF($G3400="","",VLOOKUP('Dashboard And Emails Automate'!$G3400,Database!$H:$N,4,0)),"")</f>
        <v/>
      </c>
      <c r="K3400" s="55" t="str">
        <f>IFERROR(IF($G3400="","",VLOOKUP('Dashboard And Emails Automate'!$G3400,Database!$H:$N,5,0)),"")</f>
        <v/>
      </c>
      <c r="L3400" s="55" t="str">
        <f>IFERROR(IF($G3400="","",VLOOKUP('Dashboard And Emails Automate'!$G3400,Database!$H:$N,6,0)),"")</f>
        <v/>
      </c>
      <c r="M3400" s="55" t="str">
        <f>IFERROR(IF($G3400="","",VLOOKUP('Dashboard And Emails Automate'!$G3400,Database!$H:$N,7,0)),"")</f>
        <v/>
      </c>
      <c r="N3400" s="55" t="str">
        <f>IFERROR(IF(OR($B3400="",$B3400="(blank)"),"",VLOOKUP($B3400,'Email Marketing Raw Data'!$C:$O,6,0)),"")</f>
        <v/>
      </c>
      <c r="O3400" s="55" t="str">
        <f>IFERROR(IF(OR($B3400="",$B3400="(blank)"),"",VLOOKUP($B3400,'Email Marketing Raw Data'!$C:$O,7,0)),"")</f>
        <v/>
      </c>
      <c r="P3400" s="55" t="str">
        <f>IFERROR(IF(OR($B3400="",$B3400="(blank)"),"",VLOOKUP($B3400,'Email Marketing Raw Data'!$C:$O,8,0)),"")</f>
        <v/>
      </c>
      <c r="Q3400" s="62" t="str">
        <f>IFERROR(IF(OR($B3400="",$B3400="(blank)"),"",VLOOKUP($B3400,'Email Marketing Raw Data'!$C:$O,9,0)),"")</f>
        <v/>
      </c>
    </row>
    <row r="3401" spans="4:17" ht="12.75" customHeight="1" x14ac:dyDescent="0.2">
      <c r="D3401" s="58" t="str">
        <f>IFERROR(IF(F3401&lt;&gt;"pending","",IF(OR($B3401="",$B3401="(blank)"),"",VLOOKUP($B3401,'Email Marketing Raw Data'!$C:$O,10,0))),"")</f>
        <v/>
      </c>
      <c r="E3401" s="59" t="str">
        <f>IFERROR(IF(F3401&lt;&gt;"pending","",IF(OR($B3401="",$B3401="(blank)"),"",VLOOKUP($B3401,'Email Marketing Raw Data'!$C:$O,11,0))),"")</f>
        <v/>
      </c>
      <c r="F3401" s="54" t="str">
        <f>IFERROR(IF(OR($B3401="",$B3401="(blank)"),"",VLOOKUP($B3401,'Email Marketing Raw Data'!$C:$O,13,0)),"")</f>
        <v/>
      </c>
      <c r="G3401" s="55" t="str">
        <f>IFERROR(IF(OR($B3401="",$B3401="(blank)"),"",VLOOKUP($B3401,'Email Marketing Raw Data'!$C:$O,4,0)),"")</f>
        <v/>
      </c>
      <c r="H3401" s="55" t="str">
        <f>IFERROR(IF(OR($B3401="",$B3401="(blank)"),"",VLOOKUP($B3401,'Email Marketing Raw Data'!$C:$O,5,0)),"")</f>
        <v/>
      </c>
      <c r="I3401" s="55" t="str">
        <f>IFERROR(IF($G3401="","",VLOOKUP('Dashboard And Emails Automate'!$G3401,Database!$H:$N,3,0)),"")</f>
        <v/>
      </c>
      <c r="J3401" s="55" t="str">
        <f>IFERROR(IF($G3401="","",VLOOKUP('Dashboard And Emails Automate'!$G3401,Database!$H:$N,4,0)),"")</f>
        <v/>
      </c>
      <c r="K3401" s="55" t="str">
        <f>IFERROR(IF($G3401="","",VLOOKUP('Dashboard And Emails Automate'!$G3401,Database!$H:$N,5,0)),"")</f>
        <v/>
      </c>
      <c r="L3401" s="55" t="str">
        <f>IFERROR(IF($G3401="","",VLOOKUP('Dashboard And Emails Automate'!$G3401,Database!$H:$N,6,0)),"")</f>
        <v/>
      </c>
      <c r="M3401" s="55" t="str">
        <f>IFERROR(IF($G3401="","",VLOOKUP('Dashboard And Emails Automate'!$G3401,Database!$H:$N,7,0)),"")</f>
        <v/>
      </c>
      <c r="N3401" s="55" t="str">
        <f>IFERROR(IF(OR($B3401="",$B3401="(blank)"),"",VLOOKUP($B3401,'Email Marketing Raw Data'!$C:$O,6,0)),"")</f>
        <v/>
      </c>
      <c r="O3401" s="55" t="str">
        <f>IFERROR(IF(OR($B3401="",$B3401="(blank)"),"",VLOOKUP($B3401,'Email Marketing Raw Data'!$C:$O,7,0)),"")</f>
        <v/>
      </c>
      <c r="P3401" s="55" t="str">
        <f>IFERROR(IF(OR($B3401="",$B3401="(blank)"),"",VLOOKUP($B3401,'Email Marketing Raw Data'!$C:$O,8,0)),"")</f>
        <v/>
      </c>
      <c r="Q3401" s="62" t="str">
        <f>IFERROR(IF(OR($B3401="",$B3401="(blank)"),"",VLOOKUP($B3401,'Email Marketing Raw Data'!$C:$O,9,0)),"")</f>
        <v/>
      </c>
    </row>
    <row r="3402" spans="4:17" ht="12.75" customHeight="1" x14ac:dyDescent="0.2">
      <c r="D3402" s="58" t="str">
        <f>IFERROR(IF(F3402&lt;&gt;"pending","",IF(OR($B3402="",$B3402="(blank)"),"",VLOOKUP($B3402,'Email Marketing Raw Data'!$C:$O,10,0))),"")</f>
        <v/>
      </c>
      <c r="E3402" s="59" t="str">
        <f>IFERROR(IF(F3402&lt;&gt;"pending","",IF(OR($B3402="",$B3402="(blank)"),"",VLOOKUP($B3402,'Email Marketing Raw Data'!$C:$O,11,0))),"")</f>
        <v/>
      </c>
      <c r="F3402" s="54" t="str">
        <f>IFERROR(IF(OR($B3402="",$B3402="(blank)"),"",VLOOKUP($B3402,'Email Marketing Raw Data'!$C:$O,13,0)),"")</f>
        <v/>
      </c>
      <c r="G3402" s="55" t="str">
        <f>IFERROR(IF(OR($B3402="",$B3402="(blank)"),"",VLOOKUP($B3402,'Email Marketing Raw Data'!$C:$O,4,0)),"")</f>
        <v/>
      </c>
      <c r="H3402" s="55" t="str">
        <f>IFERROR(IF(OR($B3402="",$B3402="(blank)"),"",VLOOKUP($B3402,'Email Marketing Raw Data'!$C:$O,5,0)),"")</f>
        <v/>
      </c>
      <c r="I3402" s="55" t="str">
        <f>IFERROR(IF($G3402="","",VLOOKUP('Dashboard And Emails Automate'!$G3402,Database!$H:$N,3,0)),"")</f>
        <v/>
      </c>
      <c r="J3402" s="55" t="str">
        <f>IFERROR(IF($G3402="","",VLOOKUP('Dashboard And Emails Automate'!$G3402,Database!$H:$N,4,0)),"")</f>
        <v/>
      </c>
      <c r="K3402" s="55" t="str">
        <f>IFERROR(IF($G3402="","",VLOOKUP('Dashboard And Emails Automate'!$G3402,Database!$H:$N,5,0)),"")</f>
        <v/>
      </c>
      <c r="L3402" s="55" t="str">
        <f>IFERROR(IF($G3402="","",VLOOKUP('Dashboard And Emails Automate'!$G3402,Database!$H:$N,6,0)),"")</f>
        <v/>
      </c>
      <c r="M3402" s="55" t="str">
        <f>IFERROR(IF($G3402="","",VLOOKUP('Dashboard And Emails Automate'!$G3402,Database!$H:$N,7,0)),"")</f>
        <v/>
      </c>
      <c r="N3402" s="55" t="str">
        <f>IFERROR(IF(OR($B3402="",$B3402="(blank)"),"",VLOOKUP($B3402,'Email Marketing Raw Data'!$C:$O,6,0)),"")</f>
        <v/>
      </c>
      <c r="O3402" s="55" t="str">
        <f>IFERROR(IF(OR($B3402="",$B3402="(blank)"),"",VLOOKUP($B3402,'Email Marketing Raw Data'!$C:$O,7,0)),"")</f>
        <v/>
      </c>
      <c r="P3402" s="55" t="str">
        <f>IFERROR(IF(OR($B3402="",$B3402="(blank)"),"",VLOOKUP($B3402,'Email Marketing Raw Data'!$C:$O,8,0)),"")</f>
        <v/>
      </c>
      <c r="Q3402" s="62" t="str">
        <f>IFERROR(IF(OR($B3402="",$B3402="(blank)"),"",VLOOKUP($B3402,'Email Marketing Raw Data'!$C:$O,9,0)),"")</f>
        <v/>
      </c>
    </row>
    <row r="3403" spans="4:17" ht="12.75" customHeight="1" x14ac:dyDescent="0.2">
      <c r="D3403" s="58" t="str">
        <f>IFERROR(IF(F3403&lt;&gt;"pending","",IF(OR($B3403="",$B3403="(blank)"),"",VLOOKUP($B3403,'Email Marketing Raw Data'!$C:$O,10,0))),"")</f>
        <v/>
      </c>
      <c r="E3403" s="59" t="str">
        <f>IFERROR(IF(F3403&lt;&gt;"pending","",IF(OR($B3403="",$B3403="(blank)"),"",VLOOKUP($B3403,'Email Marketing Raw Data'!$C:$O,11,0))),"")</f>
        <v/>
      </c>
      <c r="F3403" s="54" t="str">
        <f>IFERROR(IF(OR($B3403="",$B3403="(blank)"),"",VLOOKUP($B3403,'Email Marketing Raw Data'!$C:$O,13,0)),"")</f>
        <v/>
      </c>
      <c r="G3403" s="55" t="str">
        <f>IFERROR(IF(OR($B3403="",$B3403="(blank)"),"",VLOOKUP($B3403,'Email Marketing Raw Data'!$C:$O,4,0)),"")</f>
        <v/>
      </c>
      <c r="H3403" s="55" t="str">
        <f>IFERROR(IF(OR($B3403="",$B3403="(blank)"),"",VLOOKUP($B3403,'Email Marketing Raw Data'!$C:$O,5,0)),"")</f>
        <v/>
      </c>
      <c r="I3403" s="55" t="str">
        <f>IFERROR(IF($G3403="","",VLOOKUP('Dashboard And Emails Automate'!$G3403,Database!$H:$N,3,0)),"")</f>
        <v/>
      </c>
      <c r="J3403" s="55" t="str">
        <f>IFERROR(IF($G3403="","",VLOOKUP('Dashboard And Emails Automate'!$G3403,Database!$H:$N,4,0)),"")</f>
        <v/>
      </c>
      <c r="K3403" s="55" t="str">
        <f>IFERROR(IF($G3403="","",VLOOKUP('Dashboard And Emails Automate'!$G3403,Database!$H:$N,5,0)),"")</f>
        <v/>
      </c>
      <c r="L3403" s="55" t="str">
        <f>IFERROR(IF($G3403="","",VLOOKUP('Dashboard And Emails Automate'!$G3403,Database!$H:$N,6,0)),"")</f>
        <v/>
      </c>
      <c r="M3403" s="55" t="str">
        <f>IFERROR(IF($G3403="","",VLOOKUP('Dashboard And Emails Automate'!$G3403,Database!$H:$N,7,0)),"")</f>
        <v/>
      </c>
      <c r="N3403" s="55" t="str">
        <f>IFERROR(IF(OR($B3403="",$B3403="(blank)"),"",VLOOKUP($B3403,'Email Marketing Raw Data'!$C:$O,6,0)),"")</f>
        <v/>
      </c>
      <c r="O3403" s="55" t="str">
        <f>IFERROR(IF(OR($B3403="",$B3403="(blank)"),"",VLOOKUP($B3403,'Email Marketing Raw Data'!$C:$O,7,0)),"")</f>
        <v/>
      </c>
      <c r="P3403" s="55" t="str">
        <f>IFERROR(IF(OR($B3403="",$B3403="(blank)"),"",VLOOKUP($B3403,'Email Marketing Raw Data'!$C:$O,8,0)),"")</f>
        <v/>
      </c>
      <c r="Q3403" s="62" t="str">
        <f>IFERROR(IF(OR($B3403="",$B3403="(blank)"),"",VLOOKUP($B3403,'Email Marketing Raw Data'!$C:$O,9,0)),"")</f>
        <v/>
      </c>
    </row>
    <row r="3404" spans="4:17" ht="12.75" customHeight="1" x14ac:dyDescent="0.2">
      <c r="D3404" s="58" t="str">
        <f>IFERROR(IF(F3404&lt;&gt;"pending","",IF(OR($B3404="",$B3404="(blank)"),"",VLOOKUP($B3404,'Email Marketing Raw Data'!$C:$O,10,0))),"")</f>
        <v/>
      </c>
      <c r="E3404" s="59" t="str">
        <f>IFERROR(IF(F3404&lt;&gt;"pending","",IF(OR($B3404="",$B3404="(blank)"),"",VLOOKUP($B3404,'Email Marketing Raw Data'!$C:$O,11,0))),"")</f>
        <v/>
      </c>
      <c r="F3404" s="54" t="str">
        <f>IFERROR(IF(OR($B3404="",$B3404="(blank)"),"",VLOOKUP($B3404,'Email Marketing Raw Data'!$C:$O,13,0)),"")</f>
        <v/>
      </c>
      <c r="G3404" s="55" t="str">
        <f>IFERROR(IF(OR($B3404="",$B3404="(blank)"),"",VLOOKUP($B3404,'Email Marketing Raw Data'!$C:$O,4,0)),"")</f>
        <v/>
      </c>
      <c r="H3404" s="55" t="str">
        <f>IFERROR(IF(OR($B3404="",$B3404="(blank)"),"",VLOOKUP($B3404,'Email Marketing Raw Data'!$C:$O,5,0)),"")</f>
        <v/>
      </c>
      <c r="I3404" s="55" t="str">
        <f>IFERROR(IF($G3404="","",VLOOKUP('Dashboard And Emails Automate'!$G3404,Database!$H:$N,3,0)),"")</f>
        <v/>
      </c>
      <c r="J3404" s="55" t="str">
        <f>IFERROR(IF($G3404="","",VLOOKUP('Dashboard And Emails Automate'!$G3404,Database!$H:$N,4,0)),"")</f>
        <v/>
      </c>
      <c r="K3404" s="55" t="str">
        <f>IFERROR(IF($G3404="","",VLOOKUP('Dashboard And Emails Automate'!$G3404,Database!$H:$N,5,0)),"")</f>
        <v/>
      </c>
      <c r="L3404" s="55" t="str">
        <f>IFERROR(IF($G3404="","",VLOOKUP('Dashboard And Emails Automate'!$G3404,Database!$H:$N,6,0)),"")</f>
        <v/>
      </c>
      <c r="M3404" s="55" t="str">
        <f>IFERROR(IF($G3404="","",VLOOKUP('Dashboard And Emails Automate'!$G3404,Database!$H:$N,7,0)),"")</f>
        <v/>
      </c>
      <c r="N3404" s="55" t="str">
        <f>IFERROR(IF(OR($B3404="",$B3404="(blank)"),"",VLOOKUP($B3404,'Email Marketing Raw Data'!$C:$O,6,0)),"")</f>
        <v/>
      </c>
      <c r="O3404" s="55" t="str">
        <f>IFERROR(IF(OR($B3404="",$B3404="(blank)"),"",VLOOKUP($B3404,'Email Marketing Raw Data'!$C:$O,7,0)),"")</f>
        <v/>
      </c>
      <c r="P3404" s="55" t="str">
        <f>IFERROR(IF(OR($B3404="",$B3404="(blank)"),"",VLOOKUP($B3404,'Email Marketing Raw Data'!$C:$O,8,0)),"")</f>
        <v/>
      </c>
      <c r="Q3404" s="62" t="str">
        <f>IFERROR(IF(OR($B3404="",$B3404="(blank)"),"",VLOOKUP($B3404,'Email Marketing Raw Data'!$C:$O,9,0)),"")</f>
        <v/>
      </c>
    </row>
    <row r="3405" spans="4:17" ht="12.75" customHeight="1" x14ac:dyDescent="0.2">
      <c r="D3405" s="58" t="str">
        <f>IFERROR(IF(F3405&lt;&gt;"pending","",IF(OR($B3405="",$B3405="(blank)"),"",VLOOKUP($B3405,'Email Marketing Raw Data'!$C:$O,10,0))),"")</f>
        <v/>
      </c>
      <c r="E3405" s="59" t="str">
        <f>IFERROR(IF(F3405&lt;&gt;"pending","",IF(OR($B3405="",$B3405="(blank)"),"",VLOOKUP($B3405,'Email Marketing Raw Data'!$C:$O,11,0))),"")</f>
        <v/>
      </c>
      <c r="F3405" s="54" t="str">
        <f>IFERROR(IF(OR($B3405="",$B3405="(blank)"),"",VLOOKUP($B3405,'Email Marketing Raw Data'!$C:$O,13,0)),"")</f>
        <v/>
      </c>
      <c r="G3405" s="55" t="str">
        <f>IFERROR(IF(OR($B3405="",$B3405="(blank)"),"",VLOOKUP($B3405,'Email Marketing Raw Data'!$C:$O,4,0)),"")</f>
        <v/>
      </c>
      <c r="H3405" s="55" t="str">
        <f>IFERROR(IF(OR($B3405="",$B3405="(blank)"),"",VLOOKUP($B3405,'Email Marketing Raw Data'!$C:$O,5,0)),"")</f>
        <v/>
      </c>
      <c r="I3405" s="55" t="str">
        <f>IFERROR(IF($G3405="","",VLOOKUP('Dashboard And Emails Automate'!$G3405,Database!$H:$N,3,0)),"")</f>
        <v/>
      </c>
      <c r="J3405" s="55" t="str">
        <f>IFERROR(IF($G3405="","",VLOOKUP('Dashboard And Emails Automate'!$G3405,Database!$H:$N,4,0)),"")</f>
        <v/>
      </c>
      <c r="K3405" s="55" t="str">
        <f>IFERROR(IF($G3405="","",VLOOKUP('Dashboard And Emails Automate'!$G3405,Database!$H:$N,5,0)),"")</f>
        <v/>
      </c>
      <c r="L3405" s="55" t="str">
        <f>IFERROR(IF($G3405="","",VLOOKUP('Dashboard And Emails Automate'!$G3405,Database!$H:$N,6,0)),"")</f>
        <v/>
      </c>
      <c r="M3405" s="55" t="str">
        <f>IFERROR(IF($G3405="","",VLOOKUP('Dashboard And Emails Automate'!$G3405,Database!$H:$N,7,0)),"")</f>
        <v/>
      </c>
      <c r="N3405" s="55" t="str">
        <f>IFERROR(IF(OR($B3405="",$B3405="(blank)"),"",VLOOKUP($B3405,'Email Marketing Raw Data'!$C:$O,6,0)),"")</f>
        <v/>
      </c>
      <c r="O3405" s="55" t="str">
        <f>IFERROR(IF(OR($B3405="",$B3405="(blank)"),"",VLOOKUP($B3405,'Email Marketing Raw Data'!$C:$O,7,0)),"")</f>
        <v/>
      </c>
      <c r="P3405" s="55" t="str">
        <f>IFERROR(IF(OR($B3405="",$B3405="(blank)"),"",VLOOKUP($B3405,'Email Marketing Raw Data'!$C:$O,8,0)),"")</f>
        <v/>
      </c>
      <c r="Q3405" s="62" t="str">
        <f>IFERROR(IF(OR($B3405="",$B3405="(blank)"),"",VLOOKUP($B3405,'Email Marketing Raw Data'!$C:$O,9,0)),"")</f>
        <v/>
      </c>
    </row>
    <row r="3406" spans="4:17" ht="12.75" customHeight="1" x14ac:dyDescent="0.2">
      <c r="D3406" s="58" t="str">
        <f>IFERROR(IF(F3406&lt;&gt;"pending","",IF(OR($B3406="",$B3406="(blank)"),"",VLOOKUP($B3406,'Email Marketing Raw Data'!$C:$O,10,0))),"")</f>
        <v/>
      </c>
      <c r="E3406" s="59" t="str">
        <f>IFERROR(IF(F3406&lt;&gt;"pending","",IF(OR($B3406="",$B3406="(blank)"),"",VLOOKUP($B3406,'Email Marketing Raw Data'!$C:$O,11,0))),"")</f>
        <v/>
      </c>
      <c r="F3406" s="54" t="str">
        <f>IFERROR(IF(OR($B3406="",$B3406="(blank)"),"",VLOOKUP($B3406,'Email Marketing Raw Data'!$C:$O,13,0)),"")</f>
        <v/>
      </c>
      <c r="G3406" s="55" t="str">
        <f>IFERROR(IF(OR($B3406="",$B3406="(blank)"),"",VLOOKUP($B3406,'Email Marketing Raw Data'!$C:$O,4,0)),"")</f>
        <v/>
      </c>
      <c r="H3406" s="55" t="str">
        <f>IFERROR(IF(OR($B3406="",$B3406="(blank)"),"",VLOOKUP($B3406,'Email Marketing Raw Data'!$C:$O,5,0)),"")</f>
        <v/>
      </c>
      <c r="I3406" s="55" t="str">
        <f>IFERROR(IF($G3406="","",VLOOKUP('Dashboard And Emails Automate'!$G3406,Database!$H:$N,3,0)),"")</f>
        <v/>
      </c>
      <c r="J3406" s="55" t="str">
        <f>IFERROR(IF($G3406="","",VLOOKUP('Dashboard And Emails Automate'!$G3406,Database!$H:$N,4,0)),"")</f>
        <v/>
      </c>
      <c r="K3406" s="55" t="str">
        <f>IFERROR(IF($G3406="","",VLOOKUP('Dashboard And Emails Automate'!$G3406,Database!$H:$N,5,0)),"")</f>
        <v/>
      </c>
      <c r="L3406" s="55" t="str">
        <f>IFERROR(IF($G3406="","",VLOOKUP('Dashboard And Emails Automate'!$G3406,Database!$H:$N,6,0)),"")</f>
        <v/>
      </c>
      <c r="M3406" s="55" t="str">
        <f>IFERROR(IF($G3406="","",VLOOKUP('Dashboard And Emails Automate'!$G3406,Database!$H:$N,7,0)),"")</f>
        <v/>
      </c>
      <c r="N3406" s="55" t="str">
        <f>IFERROR(IF(OR($B3406="",$B3406="(blank)"),"",VLOOKUP($B3406,'Email Marketing Raw Data'!$C:$O,6,0)),"")</f>
        <v/>
      </c>
      <c r="O3406" s="55" t="str">
        <f>IFERROR(IF(OR($B3406="",$B3406="(blank)"),"",VLOOKUP($B3406,'Email Marketing Raw Data'!$C:$O,7,0)),"")</f>
        <v/>
      </c>
      <c r="P3406" s="55" t="str">
        <f>IFERROR(IF(OR($B3406="",$B3406="(blank)"),"",VLOOKUP($B3406,'Email Marketing Raw Data'!$C:$O,8,0)),"")</f>
        <v/>
      </c>
      <c r="Q3406" s="62" t="str">
        <f>IFERROR(IF(OR($B3406="",$B3406="(blank)"),"",VLOOKUP($B3406,'Email Marketing Raw Data'!$C:$O,9,0)),"")</f>
        <v/>
      </c>
    </row>
    <row r="3407" spans="4:17" ht="12.75" customHeight="1" x14ac:dyDescent="0.2">
      <c r="D3407" s="58" t="str">
        <f>IFERROR(IF(F3407&lt;&gt;"pending","",IF(OR($B3407="",$B3407="(blank)"),"",VLOOKUP($B3407,'Email Marketing Raw Data'!$C:$O,10,0))),"")</f>
        <v/>
      </c>
      <c r="E3407" s="59" t="str">
        <f>IFERROR(IF(F3407&lt;&gt;"pending","",IF(OR($B3407="",$B3407="(blank)"),"",VLOOKUP($B3407,'Email Marketing Raw Data'!$C:$O,11,0))),"")</f>
        <v/>
      </c>
      <c r="F3407" s="54" t="str">
        <f>IFERROR(IF(OR($B3407="",$B3407="(blank)"),"",VLOOKUP($B3407,'Email Marketing Raw Data'!$C:$O,13,0)),"")</f>
        <v/>
      </c>
      <c r="G3407" s="55" t="str">
        <f>IFERROR(IF(OR($B3407="",$B3407="(blank)"),"",VLOOKUP($B3407,'Email Marketing Raw Data'!$C:$O,4,0)),"")</f>
        <v/>
      </c>
      <c r="H3407" s="55" t="str">
        <f>IFERROR(IF(OR($B3407="",$B3407="(blank)"),"",VLOOKUP($B3407,'Email Marketing Raw Data'!$C:$O,5,0)),"")</f>
        <v/>
      </c>
      <c r="I3407" s="55" t="str">
        <f>IFERROR(IF($G3407="","",VLOOKUP('Dashboard And Emails Automate'!$G3407,Database!$H:$N,3,0)),"")</f>
        <v/>
      </c>
      <c r="J3407" s="55" t="str">
        <f>IFERROR(IF($G3407="","",VLOOKUP('Dashboard And Emails Automate'!$G3407,Database!$H:$N,4,0)),"")</f>
        <v/>
      </c>
      <c r="K3407" s="55" t="str">
        <f>IFERROR(IF($G3407="","",VLOOKUP('Dashboard And Emails Automate'!$G3407,Database!$H:$N,5,0)),"")</f>
        <v/>
      </c>
      <c r="L3407" s="55" t="str">
        <f>IFERROR(IF($G3407="","",VLOOKUP('Dashboard And Emails Automate'!$G3407,Database!$H:$N,6,0)),"")</f>
        <v/>
      </c>
      <c r="M3407" s="55" t="str">
        <f>IFERROR(IF($G3407="","",VLOOKUP('Dashboard And Emails Automate'!$G3407,Database!$H:$N,7,0)),"")</f>
        <v/>
      </c>
      <c r="N3407" s="55" t="str">
        <f>IFERROR(IF(OR($B3407="",$B3407="(blank)"),"",VLOOKUP($B3407,'Email Marketing Raw Data'!$C:$O,6,0)),"")</f>
        <v/>
      </c>
      <c r="O3407" s="55" t="str">
        <f>IFERROR(IF(OR($B3407="",$B3407="(blank)"),"",VLOOKUP($B3407,'Email Marketing Raw Data'!$C:$O,7,0)),"")</f>
        <v/>
      </c>
      <c r="P3407" s="55" t="str">
        <f>IFERROR(IF(OR($B3407="",$B3407="(blank)"),"",VLOOKUP($B3407,'Email Marketing Raw Data'!$C:$O,8,0)),"")</f>
        <v/>
      </c>
      <c r="Q3407" s="62" t="str">
        <f>IFERROR(IF(OR($B3407="",$B3407="(blank)"),"",VLOOKUP($B3407,'Email Marketing Raw Data'!$C:$O,9,0)),"")</f>
        <v/>
      </c>
    </row>
    <row r="3408" spans="4:17" ht="12.75" customHeight="1" x14ac:dyDescent="0.2">
      <c r="D3408" s="58" t="str">
        <f>IFERROR(IF(F3408&lt;&gt;"pending","",IF(OR($B3408="",$B3408="(blank)"),"",VLOOKUP($B3408,'Email Marketing Raw Data'!$C:$O,10,0))),"")</f>
        <v/>
      </c>
      <c r="E3408" s="59" t="str">
        <f>IFERROR(IF(F3408&lt;&gt;"pending","",IF(OR($B3408="",$B3408="(blank)"),"",VLOOKUP($B3408,'Email Marketing Raw Data'!$C:$O,11,0))),"")</f>
        <v/>
      </c>
      <c r="F3408" s="54" t="str">
        <f>IFERROR(IF(OR($B3408="",$B3408="(blank)"),"",VLOOKUP($B3408,'Email Marketing Raw Data'!$C:$O,13,0)),"")</f>
        <v/>
      </c>
      <c r="G3408" s="55" t="str">
        <f>IFERROR(IF(OR($B3408="",$B3408="(blank)"),"",VLOOKUP($B3408,'Email Marketing Raw Data'!$C:$O,4,0)),"")</f>
        <v/>
      </c>
      <c r="H3408" s="55" t="str">
        <f>IFERROR(IF(OR($B3408="",$B3408="(blank)"),"",VLOOKUP($B3408,'Email Marketing Raw Data'!$C:$O,5,0)),"")</f>
        <v/>
      </c>
      <c r="I3408" s="55" t="str">
        <f>IFERROR(IF($G3408="","",VLOOKUP('Dashboard And Emails Automate'!$G3408,Database!$H:$N,3,0)),"")</f>
        <v/>
      </c>
      <c r="J3408" s="55" t="str">
        <f>IFERROR(IF($G3408="","",VLOOKUP('Dashboard And Emails Automate'!$G3408,Database!$H:$N,4,0)),"")</f>
        <v/>
      </c>
      <c r="K3408" s="55" t="str">
        <f>IFERROR(IF($G3408="","",VLOOKUP('Dashboard And Emails Automate'!$G3408,Database!$H:$N,5,0)),"")</f>
        <v/>
      </c>
      <c r="L3408" s="55" t="str">
        <f>IFERROR(IF($G3408="","",VLOOKUP('Dashboard And Emails Automate'!$G3408,Database!$H:$N,6,0)),"")</f>
        <v/>
      </c>
      <c r="M3408" s="55" t="str">
        <f>IFERROR(IF($G3408="","",VLOOKUP('Dashboard And Emails Automate'!$G3408,Database!$H:$N,7,0)),"")</f>
        <v/>
      </c>
      <c r="N3408" s="55" t="str">
        <f>IFERROR(IF(OR($B3408="",$B3408="(blank)"),"",VLOOKUP($B3408,'Email Marketing Raw Data'!$C:$O,6,0)),"")</f>
        <v/>
      </c>
      <c r="O3408" s="55" t="str">
        <f>IFERROR(IF(OR($B3408="",$B3408="(blank)"),"",VLOOKUP($B3408,'Email Marketing Raw Data'!$C:$O,7,0)),"")</f>
        <v/>
      </c>
      <c r="P3408" s="55" t="str">
        <f>IFERROR(IF(OR($B3408="",$B3408="(blank)"),"",VLOOKUP($B3408,'Email Marketing Raw Data'!$C:$O,8,0)),"")</f>
        <v/>
      </c>
      <c r="Q3408" s="62" t="str">
        <f>IFERROR(IF(OR($B3408="",$B3408="(blank)"),"",VLOOKUP($B3408,'Email Marketing Raw Data'!$C:$O,9,0)),"")</f>
        <v/>
      </c>
    </row>
    <row r="3409" spans="4:17" ht="12.75" customHeight="1" x14ac:dyDescent="0.2">
      <c r="D3409" s="58" t="str">
        <f>IFERROR(IF(F3409&lt;&gt;"pending","",IF(OR($B3409="",$B3409="(blank)"),"",VLOOKUP($B3409,'Email Marketing Raw Data'!$C:$O,10,0))),"")</f>
        <v/>
      </c>
      <c r="E3409" s="59" t="str">
        <f>IFERROR(IF(F3409&lt;&gt;"pending","",IF(OR($B3409="",$B3409="(blank)"),"",VLOOKUP($B3409,'Email Marketing Raw Data'!$C:$O,11,0))),"")</f>
        <v/>
      </c>
      <c r="F3409" s="54" t="str">
        <f>IFERROR(IF(OR($B3409="",$B3409="(blank)"),"",VLOOKUP($B3409,'Email Marketing Raw Data'!$C:$O,13,0)),"")</f>
        <v/>
      </c>
      <c r="G3409" s="55" t="str">
        <f>IFERROR(IF(OR($B3409="",$B3409="(blank)"),"",VLOOKUP($B3409,'Email Marketing Raw Data'!$C:$O,4,0)),"")</f>
        <v/>
      </c>
      <c r="H3409" s="55" t="str">
        <f>IFERROR(IF(OR($B3409="",$B3409="(blank)"),"",VLOOKUP($B3409,'Email Marketing Raw Data'!$C:$O,5,0)),"")</f>
        <v/>
      </c>
      <c r="I3409" s="55" t="str">
        <f>IFERROR(IF($G3409="","",VLOOKUP('Dashboard And Emails Automate'!$G3409,Database!$H:$N,3,0)),"")</f>
        <v/>
      </c>
      <c r="J3409" s="55" t="str">
        <f>IFERROR(IF($G3409="","",VLOOKUP('Dashboard And Emails Automate'!$G3409,Database!$H:$N,4,0)),"")</f>
        <v/>
      </c>
      <c r="K3409" s="55" t="str">
        <f>IFERROR(IF($G3409="","",VLOOKUP('Dashboard And Emails Automate'!$G3409,Database!$H:$N,5,0)),"")</f>
        <v/>
      </c>
      <c r="L3409" s="55" t="str">
        <f>IFERROR(IF($G3409="","",VLOOKUP('Dashboard And Emails Automate'!$G3409,Database!$H:$N,6,0)),"")</f>
        <v/>
      </c>
      <c r="M3409" s="55" t="str">
        <f>IFERROR(IF($G3409="","",VLOOKUP('Dashboard And Emails Automate'!$G3409,Database!$H:$N,7,0)),"")</f>
        <v/>
      </c>
      <c r="N3409" s="55" t="str">
        <f>IFERROR(IF(OR($B3409="",$B3409="(blank)"),"",VLOOKUP($B3409,'Email Marketing Raw Data'!$C:$O,6,0)),"")</f>
        <v/>
      </c>
      <c r="O3409" s="55" t="str">
        <f>IFERROR(IF(OR($B3409="",$B3409="(blank)"),"",VLOOKUP($B3409,'Email Marketing Raw Data'!$C:$O,7,0)),"")</f>
        <v/>
      </c>
      <c r="P3409" s="55" t="str">
        <f>IFERROR(IF(OR($B3409="",$B3409="(blank)"),"",VLOOKUP($B3409,'Email Marketing Raw Data'!$C:$O,8,0)),"")</f>
        <v/>
      </c>
      <c r="Q3409" s="62" t="str">
        <f>IFERROR(IF(OR($B3409="",$B3409="(blank)"),"",VLOOKUP($B3409,'Email Marketing Raw Data'!$C:$O,9,0)),"")</f>
        <v/>
      </c>
    </row>
    <row r="3410" spans="4:17" ht="12.75" customHeight="1" x14ac:dyDescent="0.2">
      <c r="D3410" s="58" t="str">
        <f>IFERROR(IF(F3410&lt;&gt;"pending","",IF(OR($B3410="",$B3410="(blank)"),"",VLOOKUP($B3410,'Email Marketing Raw Data'!$C:$O,10,0))),"")</f>
        <v/>
      </c>
      <c r="E3410" s="59" t="str">
        <f>IFERROR(IF(F3410&lt;&gt;"pending","",IF(OR($B3410="",$B3410="(blank)"),"",VLOOKUP($B3410,'Email Marketing Raw Data'!$C:$O,11,0))),"")</f>
        <v/>
      </c>
      <c r="F3410" s="54" t="str">
        <f>IFERROR(IF(OR($B3410="",$B3410="(blank)"),"",VLOOKUP($B3410,'Email Marketing Raw Data'!$C:$O,13,0)),"")</f>
        <v/>
      </c>
      <c r="G3410" s="55" t="str">
        <f>IFERROR(IF(OR($B3410="",$B3410="(blank)"),"",VLOOKUP($B3410,'Email Marketing Raw Data'!$C:$O,4,0)),"")</f>
        <v/>
      </c>
      <c r="H3410" s="55" t="str">
        <f>IFERROR(IF(OR($B3410="",$B3410="(blank)"),"",VLOOKUP($B3410,'Email Marketing Raw Data'!$C:$O,5,0)),"")</f>
        <v/>
      </c>
      <c r="I3410" s="55" t="str">
        <f>IFERROR(IF($G3410="","",VLOOKUP('Dashboard And Emails Automate'!$G3410,Database!$H:$N,3,0)),"")</f>
        <v/>
      </c>
      <c r="J3410" s="55" t="str">
        <f>IFERROR(IF($G3410="","",VLOOKUP('Dashboard And Emails Automate'!$G3410,Database!$H:$N,4,0)),"")</f>
        <v/>
      </c>
      <c r="K3410" s="55" t="str">
        <f>IFERROR(IF($G3410="","",VLOOKUP('Dashboard And Emails Automate'!$G3410,Database!$H:$N,5,0)),"")</f>
        <v/>
      </c>
      <c r="L3410" s="55" t="str">
        <f>IFERROR(IF($G3410="","",VLOOKUP('Dashboard And Emails Automate'!$G3410,Database!$H:$N,6,0)),"")</f>
        <v/>
      </c>
      <c r="M3410" s="55" t="str">
        <f>IFERROR(IF($G3410="","",VLOOKUP('Dashboard And Emails Automate'!$G3410,Database!$H:$N,7,0)),"")</f>
        <v/>
      </c>
      <c r="N3410" s="55" t="str">
        <f>IFERROR(IF(OR($B3410="",$B3410="(blank)"),"",VLOOKUP($B3410,'Email Marketing Raw Data'!$C:$O,6,0)),"")</f>
        <v/>
      </c>
      <c r="O3410" s="55" t="str">
        <f>IFERROR(IF(OR($B3410="",$B3410="(blank)"),"",VLOOKUP($B3410,'Email Marketing Raw Data'!$C:$O,7,0)),"")</f>
        <v/>
      </c>
      <c r="P3410" s="55" t="str">
        <f>IFERROR(IF(OR($B3410="",$B3410="(blank)"),"",VLOOKUP($B3410,'Email Marketing Raw Data'!$C:$O,8,0)),"")</f>
        <v/>
      </c>
      <c r="Q3410" s="62" t="str">
        <f>IFERROR(IF(OR($B3410="",$B3410="(blank)"),"",VLOOKUP($B3410,'Email Marketing Raw Data'!$C:$O,9,0)),"")</f>
        <v/>
      </c>
    </row>
    <row r="3411" spans="4:17" ht="12.75" customHeight="1" x14ac:dyDescent="0.2">
      <c r="D3411" s="58" t="str">
        <f>IFERROR(IF(F3411&lt;&gt;"pending","",IF(OR($B3411="",$B3411="(blank)"),"",VLOOKUP($B3411,'Email Marketing Raw Data'!$C:$O,10,0))),"")</f>
        <v/>
      </c>
      <c r="E3411" s="59" t="str">
        <f>IFERROR(IF(F3411&lt;&gt;"pending","",IF(OR($B3411="",$B3411="(blank)"),"",VLOOKUP($B3411,'Email Marketing Raw Data'!$C:$O,11,0))),"")</f>
        <v/>
      </c>
      <c r="F3411" s="54" t="str">
        <f>IFERROR(IF(OR($B3411="",$B3411="(blank)"),"",VLOOKUP($B3411,'Email Marketing Raw Data'!$C:$O,13,0)),"")</f>
        <v/>
      </c>
      <c r="G3411" s="55" t="str">
        <f>IFERROR(IF(OR($B3411="",$B3411="(blank)"),"",VLOOKUP($B3411,'Email Marketing Raw Data'!$C:$O,4,0)),"")</f>
        <v/>
      </c>
      <c r="H3411" s="55" t="str">
        <f>IFERROR(IF(OR($B3411="",$B3411="(blank)"),"",VLOOKUP($B3411,'Email Marketing Raw Data'!$C:$O,5,0)),"")</f>
        <v/>
      </c>
      <c r="I3411" s="55" t="str">
        <f>IFERROR(IF($G3411="","",VLOOKUP('Dashboard And Emails Automate'!$G3411,Database!$H:$N,3,0)),"")</f>
        <v/>
      </c>
      <c r="J3411" s="55" t="str">
        <f>IFERROR(IF($G3411="","",VLOOKUP('Dashboard And Emails Automate'!$G3411,Database!$H:$N,4,0)),"")</f>
        <v/>
      </c>
      <c r="K3411" s="55" t="str">
        <f>IFERROR(IF($G3411="","",VLOOKUP('Dashboard And Emails Automate'!$G3411,Database!$H:$N,5,0)),"")</f>
        <v/>
      </c>
      <c r="L3411" s="55" t="str">
        <f>IFERROR(IF($G3411="","",VLOOKUP('Dashboard And Emails Automate'!$G3411,Database!$H:$N,6,0)),"")</f>
        <v/>
      </c>
      <c r="M3411" s="55" t="str">
        <f>IFERROR(IF($G3411="","",VLOOKUP('Dashboard And Emails Automate'!$G3411,Database!$H:$N,7,0)),"")</f>
        <v/>
      </c>
      <c r="N3411" s="55" t="str">
        <f>IFERROR(IF(OR($B3411="",$B3411="(blank)"),"",VLOOKUP($B3411,'Email Marketing Raw Data'!$C:$O,6,0)),"")</f>
        <v/>
      </c>
      <c r="O3411" s="55" t="str">
        <f>IFERROR(IF(OR($B3411="",$B3411="(blank)"),"",VLOOKUP($B3411,'Email Marketing Raw Data'!$C:$O,7,0)),"")</f>
        <v/>
      </c>
      <c r="P3411" s="55" t="str">
        <f>IFERROR(IF(OR($B3411="",$B3411="(blank)"),"",VLOOKUP($B3411,'Email Marketing Raw Data'!$C:$O,8,0)),"")</f>
        <v/>
      </c>
      <c r="Q3411" s="62" t="str">
        <f>IFERROR(IF(OR($B3411="",$B3411="(blank)"),"",VLOOKUP($B3411,'Email Marketing Raw Data'!$C:$O,9,0)),"")</f>
        <v/>
      </c>
    </row>
    <row r="3412" spans="4:17" ht="12.75" customHeight="1" x14ac:dyDescent="0.2">
      <c r="D3412" s="58" t="str">
        <f>IFERROR(IF(F3412&lt;&gt;"pending","",IF(OR($B3412="",$B3412="(blank)"),"",VLOOKUP($B3412,'Email Marketing Raw Data'!$C:$O,10,0))),"")</f>
        <v/>
      </c>
      <c r="E3412" s="59" t="str">
        <f>IFERROR(IF(F3412&lt;&gt;"pending","",IF(OR($B3412="",$B3412="(blank)"),"",VLOOKUP($B3412,'Email Marketing Raw Data'!$C:$O,11,0))),"")</f>
        <v/>
      </c>
      <c r="F3412" s="54" t="str">
        <f>IFERROR(IF(OR($B3412="",$B3412="(blank)"),"",VLOOKUP($B3412,'Email Marketing Raw Data'!$C:$O,13,0)),"")</f>
        <v/>
      </c>
      <c r="G3412" s="55" t="str">
        <f>IFERROR(IF(OR($B3412="",$B3412="(blank)"),"",VLOOKUP($B3412,'Email Marketing Raw Data'!$C:$O,4,0)),"")</f>
        <v/>
      </c>
      <c r="H3412" s="55" t="str">
        <f>IFERROR(IF(OR($B3412="",$B3412="(blank)"),"",VLOOKUP($B3412,'Email Marketing Raw Data'!$C:$O,5,0)),"")</f>
        <v/>
      </c>
      <c r="I3412" s="55" t="str">
        <f>IFERROR(IF($G3412="","",VLOOKUP('Dashboard And Emails Automate'!$G3412,Database!$H:$N,3,0)),"")</f>
        <v/>
      </c>
      <c r="J3412" s="55" t="str">
        <f>IFERROR(IF($G3412="","",VLOOKUP('Dashboard And Emails Automate'!$G3412,Database!$H:$N,4,0)),"")</f>
        <v/>
      </c>
      <c r="K3412" s="55" t="str">
        <f>IFERROR(IF($G3412="","",VLOOKUP('Dashboard And Emails Automate'!$G3412,Database!$H:$N,5,0)),"")</f>
        <v/>
      </c>
      <c r="L3412" s="55" t="str">
        <f>IFERROR(IF($G3412="","",VLOOKUP('Dashboard And Emails Automate'!$G3412,Database!$H:$N,6,0)),"")</f>
        <v/>
      </c>
      <c r="M3412" s="55" t="str">
        <f>IFERROR(IF($G3412="","",VLOOKUP('Dashboard And Emails Automate'!$G3412,Database!$H:$N,7,0)),"")</f>
        <v/>
      </c>
      <c r="N3412" s="55" t="str">
        <f>IFERROR(IF(OR($B3412="",$B3412="(blank)"),"",VLOOKUP($B3412,'Email Marketing Raw Data'!$C:$O,6,0)),"")</f>
        <v/>
      </c>
      <c r="O3412" s="55" t="str">
        <f>IFERROR(IF(OR($B3412="",$B3412="(blank)"),"",VLOOKUP($B3412,'Email Marketing Raw Data'!$C:$O,7,0)),"")</f>
        <v/>
      </c>
      <c r="P3412" s="55" t="str">
        <f>IFERROR(IF(OR($B3412="",$B3412="(blank)"),"",VLOOKUP($B3412,'Email Marketing Raw Data'!$C:$O,8,0)),"")</f>
        <v/>
      </c>
      <c r="Q3412" s="62" t="str">
        <f>IFERROR(IF(OR($B3412="",$B3412="(blank)"),"",VLOOKUP($B3412,'Email Marketing Raw Data'!$C:$O,9,0)),"")</f>
        <v/>
      </c>
    </row>
    <row r="3413" spans="4:17" ht="12.75" customHeight="1" x14ac:dyDescent="0.2">
      <c r="D3413" s="58" t="str">
        <f>IFERROR(IF(F3413&lt;&gt;"pending","",IF(OR($B3413="",$B3413="(blank)"),"",VLOOKUP($B3413,'Email Marketing Raw Data'!$C:$O,10,0))),"")</f>
        <v/>
      </c>
      <c r="E3413" s="59" t="str">
        <f>IFERROR(IF(F3413&lt;&gt;"pending","",IF(OR($B3413="",$B3413="(blank)"),"",VLOOKUP($B3413,'Email Marketing Raw Data'!$C:$O,11,0))),"")</f>
        <v/>
      </c>
      <c r="F3413" s="54" t="str">
        <f>IFERROR(IF(OR($B3413="",$B3413="(blank)"),"",VLOOKUP($B3413,'Email Marketing Raw Data'!$C:$O,13,0)),"")</f>
        <v/>
      </c>
      <c r="G3413" s="55" t="str">
        <f>IFERROR(IF(OR($B3413="",$B3413="(blank)"),"",VLOOKUP($B3413,'Email Marketing Raw Data'!$C:$O,4,0)),"")</f>
        <v/>
      </c>
      <c r="H3413" s="55" t="str">
        <f>IFERROR(IF(OR($B3413="",$B3413="(blank)"),"",VLOOKUP($B3413,'Email Marketing Raw Data'!$C:$O,5,0)),"")</f>
        <v/>
      </c>
      <c r="I3413" s="55" t="str">
        <f>IFERROR(IF($G3413="","",VLOOKUP('Dashboard And Emails Automate'!$G3413,Database!$H:$N,3,0)),"")</f>
        <v/>
      </c>
      <c r="J3413" s="55" t="str">
        <f>IFERROR(IF($G3413="","",VLOOKUP('Dashboard And Emails Automate'!$G3413,Database!$H:$N,4,0)),"")</f>
        <v/>
      </c>
      <c r="K3413" s="55" t="str">
        <f>IFERROR(IF($G3413="","",VLOOKUP('Dashboard And Emails Automate'!$G3413,Database!$H:$N,5,0)),"")</f>
        <v/>
      </c>
      <c r="L3413" s="55" t="str">
        <f>IFERROR(IF($G3413="","",VLOOKUP('Dashboard And Emails Automate'!$G3413,Database!$H:$N,6,0)),"")</f>
        <v/>
      </c>
      <c r="M3413" s="55" t="str">
        <f>IFERROR(IF($G3413="","",VLOOKUP('Dashboard And Emails Automate'!$G3413,Database!$H:$N,7,0)),"")</f>
        <v/>
      </c>
      <c r="N3413" s="55" t="str">
        <f>IFERROR(IF(OR($B3413="",$B3413="(blank)"),"",VLOOKUP($B3413,'Email Marketing Raw Data'!$C:$O,6,0)),"")</f>
        <v/>
      </c>
      <c r="O3413" s="55" t="str">
        <f>IFERROR(IF(OR($B3413="",$B3413="(blank)"),"",VLOOKUP($B3413,'Email Marketing Raw Data'!$C:$O,7,0)),"")</f>
        <v/>
      </c>
      <c r="P3413" s="55" t="str">
        <f>IFERROR(IF(OR($B3413="",$B3413="(blank)"),"",VLOOKUP($B3413,'Email Marketing Raw Data'!$C:$O,8,0)),"")</f>
        <v/>
      </c>
      <c r="Q3413" s="62" t="str">
        <f>IFERROR(IF(OR($B3413="",$B3413="(blank)"),"",VLOOKUP($B3413,'Email Marketing Raw Data'!$C:$O,9,0)),"")</f>
        <v/>
      </c>
    </row>
    <row r="3414" spans="4:17" ht="12.75" customHeight="1" x14ac:dyDescent="0.2">
      <c r="D3414" s="58" t="str">
        <f>IFERROR(IF(F3414&lt;&gt;"pending","",IF(OR($B3414="",$B3414="(blank)"),"",VLOOKUP($B3414,'Email Marketing Raw Data'!$C:$O,10,0))),"")</f>
        <v/>
      </c>
      <c r="E3414" s="59" t="str">
        <f>IFERROR(IF(F3414&lt;&gt;"pending","",IF(OR($B3414="",$B3414="(blank)"),"",VLOOKUP($B3414,'Email Marketing Raw Data'!$C:$O,11,0))),"")</f>
        <v/>
      </c>
      <c r="F3414" s="54" t="str">
        <f>IFERROR(IF(OR($B3414="",$B3414="(blank)"),"",VLOOKUP($B3414,'Email Marketing Raw Data'!$C:$O,13,0)),"")</f>
        <v/>
      </c>
      <c r="G3414" s="55" t="str">
        <f>IFERROR(IF(OR($B3414="",$B3414="(blank)"),"",VLOOKUP($B3414,'Email Marketing Raw Data'!$C:$O,4,0)),"")</f>
        <v/>
      </c>
      <c r="H3414" s="55" t="str">
        <f>IFERROR(IF(OR($B3414="",$B3414="(blank)"),"",VLOOKUP($B3414,'Email Marketing Raw Data'!$C:$O,5,0)),"")</f>
        <v/>
      </c>
      <c r="I3414" s="55" t="str">
        <f>IFERROR(IF($G3414="","",VLOOKUP('Dashboard And Emails Automate'!$G3414,Database!$H:$N,3,0)),"")</f>
        <v/>
      </c>
      <c r="J3414" s="55" t="str">
        <f>IFERROR(IF($G3414="","",VLOOKUP('Dashboard And Emails Automate'!$G3414,Database!$H:$N,4,0)),"")</f>
        <v/>
      </c>
      <c r="K3414" s="55" t="str">
        <f>IFERROR(IF($G3414="","",VLOOKUP('Dashboard And Emails Automate'!$G3414,Database!$H:$N,5,0)),"")</f>
        <v/>
      </c>
      <c r="L3414" s="55" t="str">
        <f>IFERROR(IF($G3414="","",VLOOKUP('Dashboard And Emails Automate'!$G3414,Database!$H:$N,6,0)),"")</f>
        <v/>
      </c>
      <c r="M3414" s="55" t="str">
        <f>IFERROR(IF($G3414="","",VLOOKUP('Dashboard And Emails Automate'!$G3414,Database!$H:$N,7,0)),"")</f>
        <v/>
      </c>
      <c r="N3414" s="55" t="str">
        <f>IFERROR(IF(OR($B3414="",$B3414="(blank)"),"",VLOOKUP($B3414,'Email Marketing Raw Data'!$C:$O,6,0)),"")</f>
        <v/>
      </c>
      <c r="O3414" s="55" t="str">
        <f>IFERROR(IF(OR($B3414="",$B3414="(blank)"),"",VLOOKUP($B3414,'Email Marketing Raw Data'!$C:$O,7,0)),"")</f>
        <v/>
      </c>
      <c r="P3414" s="55" t="str">
        <f>IFERROR(IF(OR($B3414="",$B3414="(blank)"),"",VLOOKUP($B3414,'Email Marketing Raw Data'!$C:$O,8,0)),"")</f>
        <v/>
      </c>
      <c r="Q3414" s="62" t="str">
        <f>IFERROR(IF(OR($B3414="",$B3414="(blank)"),"",VLOOKUP($B3414,'Email Marketing Raw Data'!$C:$O,9,0)),"")</f>
        <v/>
      </c>
    </row>
    <row r="3415" spans="4:17" ht="12.75" customHeight="1" x14ac:dyDescent="0.2">
      <c r="D3415" s="58" t="str">
        <f>IFERROR(IF(F3415&lt;&gt;"pending","",IF(OR($B3415="",$B3415="(blank)"),"",VLOOKUP($B3415,'Email Marketing Raw Data'!$C:$O,10,0))),"")</f>
        <v/>
      </c>
      <c r="E3415" s="59" t="str">
        <f>IFERROR(IF(F3415&lt;&gt;"pending","",IF(OR($B3415="",$B3415="(blank)"),"",VLOOKUP($B3415,'Email Marketing Raw Data'!$C:$O,11,0))),"")</f>
        <v/>
      </c>
      <c r="F3415" s="54" t="str">
        <f>IFERROR(IF(OR($B3415="",$B3415="(blank)"),"",VLOOKUP($B3415,'Email Marketing Raw Data'!$C:$O,13,0)),"")</f>
        <v/>
      </c>
      <c r="G3415" s="55" t="str">
        <f>IFERROR(IF(OR($B3415="",$B3415="(blank)"),"",VLOOKUP($B3415,'Email Marketing Raw Data'!$C:$O,4,0)),"")</f>
        <v/>
      </c>
      <c r="H3415" s="55" t="str">
        <f>IFERROR(IF(OR($B3415="",$B3415="(blank)"),"",VLOOKUP($B3415,'Email Marketing Raw Data'!$C:$O,5,0)),"")</f>
        <v/>
      </c>
      <c r="I3415" s="55" t="str">
        <f>IFERROR(IF($G3415="","",VLOOKUP('Dashboard And Emails Automate'!$G3415,Database!$H:$N,3,0)),"")</f>
        <v/>
      </c>
      <c r="J3415" s="55" t="str">
        <f>IFERROR(IF($G3415="","",VLOOKUP('Dashboard And Emails Automate'!$G3415,Database!$H:$N,4,0)),"")</f>
        <v/>
      </c>
      <c r="K3415" s="55" t="str">
        <f>IFERROR(IF($G3415="","",VLOOKUP('Dashboard And Emails Automate'!$G3415,Database!$H:$N,5,0)),"")</f>
        <v/>
      </c>
      <c r="L3415" s="55" t="str">
        <f>IFERROR(IF($G3415="","",VLOOKUP('Dashboard And Emails Automate'!$G3415,Database!$H:$N,6,0)),"")</f>
        <v/>
      </c>
      <c r="M3415" s="55" t="str">
        <f>IFERROR(IF($G3415="","",VLOOKUP('Dashboard And Emails Automate'!$G3415,Database!$H:$N,7,0)),"")</f>
        <v/>
      </c>
      <c r="N3415" s="55" t="str">
        <f>IFERROR(IF(OR($B3415="",$B3415="(blank)"),"",VLOOKUP($B3415,'Email Marketing Raw Data'!$C:$O,6,0)),"")</f>
        <v/>
      </c>
      <c r="O3415" s="55" t="str">
        <f>IFERROR(IF(OR($B3415="",$B3415="(blank)"),"",VLOOKUP($B3415,'Email Marketing Raw Data'!$C:$O,7,0)),"")</f>
        <v/>
      </c>
      <c r="P3415" s="55" t="str">
        <f>IFERROR(IF(OR($B3415="",$B3415="(blank)"),"",VLOOKUP($B3415,'Email Marketing Raw Data'!$C:$O,8,0)),"")</f>
        <v/>
      </c>
      <c r="Q3415" s="62" t="str">
        <f>IFERROR(IF(OR($B3415="",$B3415="(blank)"),"",VLOOKUP($B3415,'Email Marketing Raw Data'!$C:$O,9,0)),"")</f>
        <v/>
      </c>
    </row>
    <row r="3416" spans="4:17" ht="12.75" customHeight="1" x14ac:dyDescent="0.2">
      <c r="D3416" s="58" t="str">
        <f>IFERROR(IF(F3416&lt;&gt;"pending","",IF(OR($B3416="",$B3416="(blank)"),"",VLOOKUP($B3416,'Email Marketing Raw Data'!$C:$O,10,0))),"")</f>
        <v/>
      </c>
      <c r="E3416" s="59" t="str">
        <f>IFERROR(IF(F3416&lt;&gt;"pending","",IF(OR($B3416="",$B3416="(blank)"),"",VLOOKUP($B3416,'Email Marketing Raw Data'!$C:$O,11,0))),"")</f>
        <v/>
      </c>
      <c r="F3416" s="54" t="str">
        <f>IFERROR(IF(OR($B3416="",$B3416="(blank)"),"",VLOOKUP($B3416,'Email Marketing Raw Data'!$C:$O,13,0)),"")</f>
        <v/>
      </c>
      <c r="G3416" s="55" t="str">
        <f>IFERROR(IF(OR($B3416="",$B3416="(blank)"),"",VLOOKUP($B3416,'Email Marketing Raw Data'!$C:$O,4,0)),"")</f>
        <v/>
      </c>
      <c r="H3416" s="55" t="str">
        <f>IFERROR(IF(OR($B3416="",$B3416="(blank)"),"",VLOOKUP($B3416,'Email Marketing Raw Data'!$C:$O,5,0)),"")</f>
        <v/>
      </c>
      <c r="I3416" s="55" t="str">
        <f>IFERROR(IF($G3416="","",VLOOKUP('Dashboard And Emails Automate'!$G3416,Database!$H:$N,3,0)),"")</f>
        <v/>
      </c>
      <c r="J3416" s="55" t="str">
        <f>IFERROR(IF($G3416="","",VLOOKUP('Dashboard And Emails Automate'!$G3416,Database!$H:$N,4,0)),"")</f>
        <v/>
      </c>
      <c r="K3416" s="55" t="str">
        <f>IFERROR(IF($G3416="","",VLOOKUP('Dashboard And Emails Automate'!$G3416,Database!$H:$N,5,0)),"")</f>
        <v/>
      </c>
      <c r="L3416" s="55" t="str">
        <f>IFERROR(IF($G3416="","",VLOOKUP('Dashboard And Emails Automate'!$G3416,Database!$H:$N,6,0)),"")</f>
        <v/>
      </c>
      <c r="M3416" s="55" t="str">
        <f>IFERROR(IF($G3416="","",VLOOKUP('Dashboard And Emails Automate'!$G3416,Database!$H:$N,7,0)),"")</f>
        <v/>
      </c>
      <c r="N3416" s="55" t="str">
        <f>IFERROR(IF(OR($B3416="",$B3416="(blank)"),"",VLOOKUP($B3416,'Email Marketing Raw Data'!$C:$O,6,0)),"")</f>
        <v/>
      </c>
      <c r="O3416" s="55" t="str">
        <f>IFERROR(IF(OR($B3416="",$B3416="(blank)"),"",VLOOKUP($B3416,'Email Marketing Raw Data'!$C:$O,7,0)),"")</f>
        <v/>
      </c>
      <c r="P3416" s="55" t="str">
        <f>IFERROR(IF(OR($B3416="",$B3416="(blank)"),"",VLOOKUP($B3416,'Email Marketing Raw Data'!$C:$O,8,0)),"")</f>
        <v/>
      </c>
      <c r="Q3416" s="62" t="str">
        <f>IFERROR(IF(OR($B3416="",$B3416="(blank)"),"",VLOOKUP($B3416,'Email Marketing Raw Data'!$C:$O,9,0)),"")</f>
        <v/>
      </c>
    </row>
    <row r="3417" spans="4:17" ht="12.75" customHeight="1" x14ac:dyDescent="0.2">
      <c r="D3417" s="58" t="str">
        <f>IFERROR(IF(F3417&lt;&gt;"pending","",IF(OR($B3417="",$B3417="(blank)"),"",VLOOKUP($B3417,'Email Marketing Raw Data'!$C:$O,10,0))),"")</f>
        <v/>
      </c>
      <c r="E3417" s="59" t="str">
        <f>IFERROR(IF(F3417&lt;&gt;"pending","",IF(OR($B3417="",$B3417="(blank)"),"",VLOOKUP($B3417,'Email Marketing Raw Data'!$C:$O,11,0))),"")</f>
        <v/>
      </c>
      <c r="F3417" s="54" t="str">
        <f>IFERROR(IF(OR($B3417="",$B3417="(blank)"),"",VLOOKUP($B3417,'Email Marketing Raw Data'!$C:$O,13,0)),"")</f>
        <v/>
      </c>
      <c r="G3417" s="55" t="str">
        <f>IFERROR(IF(OR($B3417="",$B3417="(blank)"),"",VLOOKUP($B3417,'Email Marketing Raw Data'!$C:$O,4,0)),"")</f>
        <v/>
      </c>
      <c r="H3417" s="55" t="str">
        <f>IFERROR(IF(OR($B3417="",$B3417="(blank)"),"",VLOOKUP($B3417,'Email Marketing Raw Data'!$C:$O,5,0)),"")</f>
        <v/>
      </c>
      <c r="I3417" s="55" t="str">
        <f>IFERROR(IF($G3417="","",VLOOKUP('Dashboard And Emails Automate'!$G3417,Database!$H:$N,3,0)),"")</f>
        <v/>
      </c>
      <c r="J3417" s="55" t="str">
        <f>IFERROR(IF($G3417="","",VLOOKUP('Dashboard And Emails Automate'!$G3417,Database!$H:$N,4,0)),"")</f>
        <v/>
      </c>
      <c r="K3417" s="55" t="str">
        <f>IFERROR(IF($G3417="","",VLOOKUP('Dashboard And Emails Automate'!$G3417,Database!$H:$N,5,0)),"")</f>
        <v/>
      </c>
      <c r="L3417" s="55" t="str">
        <f>IFERROR(IF($G3417="","",VLOOKUP('Dashboard And Emails Automate'!$G3417,Database!$H:$N,6,0)),"")</f>
        <v/>
      </c>
      <c r="M3417" s="55" t="str">
        <f>IFERROR(IF($G3417="","",VLOOKUP('Dashboard And Emails Automate'!$G3417,Database!$H:$N,7,0)),"")</f>
        <v/>
      </c>
      <c r="N3417" s="55" t="str">
        <f>IFERROR(IF(OR($B3417="",$B3417="(blank)"),"",VLOOKUP($B3417,'Email Marketing Raw Data'!$C:$O,6,0)),"")</f>
        <v/>
      </c>
      <c r="O3417" s="55" t="str">
        <f>IFERROR(IF(OR($B3417="",$B3417="(blank)"),"",VLOOKUP($B3417,'Email Marketing Raw Data'!$C:$O,7,0)),"")</f>
        <v/>
      </c>
      <c r="P3417" s="55" t="str">
        <f>IFERROR(IF(OR($B3417="",$B3417="(blank)"),"",VLOOKUP($B3417,'Email Marketing Raw Data'!$C:$O,8,0)),"")</f>
        <v/>
      </c>
      <c r="Q3417" s="62" t="str">
        <f>IFERROR(IF(OR($B3417="",$B3417="(blank)"),"",VLOOKUP($B3417,'Email Marketing Raw Data'!$C:$O,9,0)),"")</f>
        <v/>
      </c>
    </row>
    <row r="3418" spans="4:17" ht="12.75" customHeight="1" x14ac:dyDescent="0.2">
      <c r="D3418" s="58" t="str">
        <f>IFERROR(IF(F3418&lt;&gt;"pending","",IF(OR($B3418="",$B3418="(blank)"),"",VLOOKUP($B3418,'Email Marketing Raw Data'!$C:$O,10,0))),"")</f>
        <v/>
      </c>
      <c r="E3418" s="59" t="str">
        <f>IFERROR(IF(F3418&lt;&gt;"pending","",IF(OR($B3418="",$B3418="(blank)"),"",VLOOKUP($B3418,'Email Marketing Raw Data'!$C:$O,11,0))),"")</f>
        <v/>
      </c>
      <c r="F3418" s="54" t="str">
        <f>IFERROR(IF(OR($B3418="",$B3418="(blank)"),"",VLOOKUP($B3418,'Email Marketing Raw Data'!$C:$O,13,0)),"")</f>
        <v/>
      </c>
      <c r="G3418" s="55" t="str">
        <f>IFERROR(IF(OR($B3418="",$B3418="(blank)"),"",VLOOKUP($B3418,'Email Marketing Raw Data'!$C:$O,4,0)),"")</f>
        <v/>
      </c>
      <c r="H3418" s="55" t="str">
        <f>IFERROR(IF(OR($B3418="",$B3418="(blank)"),"",VLOOKUP($B3418,'Email Marketing Raw Data'!$C:$O,5,0)),"")</f>
        <v/>
      </c>
      <c r="I3418" s="55" t="str">
        <f>IFERROR(IF($G3418="","",VLOOKUP('Dashboard And Emails Automate'!$G3418,Database!$H:$N,3,0)),"")</f>
        <v/>
      </c>
      <c r="J3418" s="55" t="str">
        <f>IFERROR(IF($G3418="","",VLOOKUP('Dashboard And Emails Automate'!$G3418,Database!$H:$N,4,0)),"")</f>
        <v/>
      </c>
      <c r="K3418" s="55" t="str">
        <f>IFERROR(IF($G3418="","",VLOOKUP('Dashboard And Emails Automate'!$G3418,Database!$H:$N,5,0)),"")</f>
        <v/>
      </c>
      <c r="L3418" s="55" t="str">
        <f>IFERROR(IF($G3418="","",VLOOKUP('Dashboard And Emails Automate'!$G3418,Database!$H:$N,6,0)),"")</f>
        <v/>
      </c>
      <c r="M3418" s="55" t="str">
        <f>IFERROR(IF($G3418="","",VLOOKUP('Dashboard And Emails Automate'!$G3418,Database!$H:$N,7,0)),"")</f>
        <v/>
      </c>
      <c r="N3418" s="55" t="str">
        <f>IFERROR(IF(OR($B3418="",$B3418="(blank)"),"",VLOOKUP($B3418,'Email Marketing Raw Data'!$C:$O,6,0)),"")</f>
        <v/>
      </c>
      <c r="O3418" s="55" t="str">
        <f>IFERROR(IF(OR($B3418="",$B3418="(blank)"),"",VLOOKUP($B3418,'Email Marketing Raw Data'!$C:$O,7,0)),"")</f>
        <v/>
      </c>
      <c r="P3418" s="55" t="str">
        <f>IFERROR(IF(OR($B3418="",$B3418="(blank)"),"",VLOOKUP($B3418,'Email Marketing Raw Data'!$C:$O,8,0)),"")</f>
        <v/>
      </c>
      <c r="Q3418" s="62" t="str">
        <f>IFERROR(IF(OR($B3418="",$B3418="(blank)"),"",VLOOKUP($B3418,'Email Marketing Raw Data'!$C:$O,9,0)),"")</f>
        <v/>
      </c>
    </row>
    <row r="3419" spans="4:17" ht="12.75" customHeight="1" x14ac:dyDescent="0.2">
      <c r="D3419" s="58" t="str">
        <f>IFERROR(IF(F3419&lt;&gt;"pending","",IF(OR($B3419="",$B3419="(blank)"),"",VLOOKUP($B3419,'Email Marketing Raw Data'!$C:$O,10,0))),"")</f>
        <v/>
      </c>
      <c r="E3419" s="59" t="str">
        <f>IFERROR(IF(F3419&lt;&gt;"pending","",IF(OR($B3419="",$B3419="(blank)"),"",VLOOKUP($B3419,'Email Marketing Raw Data'!$C:$O,11,0))),"")</f>
        <v/>
      </c>
      <c r="F3419" s="54" t="str">
        <f>IFERROR(IF(OR($B3419="",$B3419="(blank)"),"",VLOOKUP($B3419,'Email Marketing Raw Data'!$C:$O,13,0)),"")</f>
        <v/>
      </c>
      <c r="G3419" s="55" t="str">
        <f>IFERROR(IF(OR($B3419="",$B3419="(blank)"),"",VLOOKUP($B3419,'Email Marketing Raw Data'!$C:$O,4,0)),"")</f>
        <v/>
      </c>
      <c r="H3419" s="55" t="str">
        <f>IFERROR(IF(OR($B3419="",$B3419="(blank)"),"",VLOOKUP($B3419,'Email Marketing Raw Data'!$C:$O,5,0)),"")</f>
        <v/>
      </c>
      <c r="I3419" s="55" t="str">
        <f>IFERROR(IF($G3419="","",VLOOKUP('Dashboard And Emails Automate'!$G3419,Database!$H:$N,3,0)),"")</f>
        <v/>
      </c>
      <c r="J3419" s="55" t="str">
        <f>IFERROR(IF($G3419="","",VLOOKUP('Dashboard And Emails Automate'!$G3419,Database!$H:$N,4,0)),"")</f>
        <v/>
      </c>
      <c r="K3419" s="55" t="str">
        <f>IFERROR(IF($G3419="","",VLOOKUP('Dashboard And Emails Automate'!$G3419,Database!$H:$N,5,0)),"")</f>
        <v/>
      </c>
      <c r="L3419" s="55" t="str">
        <f>IFERROR(IF($G3419="","",VLOOKUP('Dashboard And Emails Automate'!$G3419,Database!$H:$N,6,0)),"")</f>
        <v/>
      </c>
      <c r="M3419" s="55" t="str">
        <f>IFERROR(IF($G3419="","",VLOOKUP('Dashboard And Emails Automate'!$G3419,Database!$H:$N,7,0)),"")</f>
        <v/>
      </c>
      <c r="N3419" s="55" t="str">
        <f>IFERROR(IF(OR($B3419="",$B3419="(blank)"),"",VLOOKUP($B3419,'Email Marketing Raw Data'!$C:$O,6,0)),"")</f>
        <v/>
      </c>
      <c r="O3419" s="55" t="str">
        <f>IFERROR(IF(OR($B3419="",$B3419="(blank)"),"",VLOOKUP($B3419,'Email Marketing Raw Data'!$C:$O,7,0)),"")</f>
        <v/>
      </c>
      <c r="P3419" s="55" t="str">
        <f>IFERROR(IF(OR($B3419="",$B3419="(blank)"),"",VLOOKUP($B3419,'Email Marketing Raw Data'!$C:$O,8,0)),"")</f>
        <v/>
      </c>
      <c r="Q3419" s="62" t="str">
        <f>IFERROR(IF(OR($B3419="",$B3419="(blank)"),"",VLOOKUP($B3419,'Email Marketing Raw Data'!$C:$O,9,0)),"")</f>
        <v/>
      </c>
    </row>
    <row r="3420" spans="4:17" ht="12.75" customHeight="1" x14ac:dyDescent="0.2">
      <c r="D3420" s="58" t="str">
        <f>IFERROR(IF(F3420&lt;&gt;"pending","",IF(OR($B3420="",$B3420="(blank)"),"",VLOOKUP($B3420,'Email Marketing Raw Data'!$C:$O,10,0))),"")</f>
        <v/>
      </c>
      <c r="E3420" s="59" t="str">
        <f>IFERROR(IF(F3420&lt;&gt;"pending","",IF(OR($B3420="",$B3420="(blank)"),"",VLOOKUP($B3420,'Email Marketing Raw Data'!$C:$O,11,0))),"")</f>
        <v/>
      </c>
      <c r="F3420" s="54" t="str">
        <f>IFERROR(IF(OR($B3420="",$B3420="(blank)"),"",VLOOKUP($B3420,'Email Marketing Raw Data'!$C:$O,13,0)),"")</f>
        <v/>
      </c>
      <c r="G3420" s="55" t="str">
        <f>IFERROR(IF(OR($B3420="",$B3420="(blank)"),"",VLOOKUP($B3420,'Email Marketing Raw Data'!$C:$O,4,0)),"")</f>
        <v/>
      </c>
      <c r="H3420" s="55" t="str">
        <f>IFERROR(IF(OR($B3420="",$B3420="(blank)"),"",VLOOKUP($B3420,'Email Marketing Raw Data'!$C:$O,5,0)),"")</f>
        <v/>
      </c>
      <c r="I3420" s="55" t="str">
        <f>IFERROR(IF($G3420="","",VLOOKUP('Dashboard And Emails Automate'!$G3420,Database!$H:$N,3,0)),"")</f>
        <v/>
      </c>
      <c r="J3420" s="55" t="str">
        <f>IFERROR(IF($G3420="","",VLOOKUP('Dashboard And Emails Automate'!$G3420,Database!$H:$N,4,0)),"")</f>
        <v/>
      </c>
      <c r="K3420" s="55" t="str">
        <f>IFERROR(IF($G3420="","",VLOOKUP('Dashboard And Emails Automate'!$G3420,Database!$H:$N,5,0)),"")</f>
        <v/>
      </c>
      <c r="L3420" s="55" t="str">
        <f>IFERROR(IF($G3420="","",VLOOKUP('Dashboard And Emails Automate'!$G3420,Database!$H:$N,6,0)),"")</f>
        <v/>
      </c>
      <c r="M3420" s="55" t="str">
        <f>IFERROR(IF($G3420="","",VLOOKUP('Dashboard And Emails Automate'!$G3420,Database!$H:$N,7,0)),"")</f>
        <v/>
      </c>
      <c r="N3420" s="55" t="str">
        <f>IFERROR(IF(OR($B3420="",$B3420="(blank)"),"",VLOOKUP($B3420,'Email Marketing Raw Data'!$C:$O,6,0)),"")</f>
        <v/>
      </c>
      <c r="O3420" s="55" t="str">
        <f>IFERROR(IF(OR($B3420="",$B3420="(blank)"),"",VLOOKUP($B3420,'Email Marketing Raw Data'!$C:$O,7,0)),"")</f>
        <v/>
      </c>
      <c r="P3420" s="55" t="str">
        <f>IFERROR(IF(OR($B3420="",$B3420="(blank)"),"",VLOOKUP($B3420,'Email Marketing Raw Data'!$C:$O,8,0)),"")</f>
        <v/>
      </c>
      <c r="Q3420" s="62" t="str">
        <f>IFERROR(IF(OR($B3420="",$B3420="(blank)"),"",VLOOKUP($B3420,'Email Marketing Raw Data'!$C:$O,9,0)),"")</f>
        <v/>
      </c>
    </row>
    <row r="3421" spans="4:17" ht="12.75" customHeight="1" x14ac:dyDescent="0.2">
      <c r="D3421" s="58" t="str">
        <f>IFERROR(IF(F3421&lt;&gt;"pending","",IF(OR($B3421="",$B3421="(blank)"),"",VLOOKUP($B3421,'Email Marketing Raw Data'!$C:$O,10,0))),"")</f>
        <v/>
      </c>
      <c r="E3421" s="59" t="str">
        <f>IFERROR(IF(F3421&lt;&gt;"pending","",IF(OR($B3421="",$B3421="(blank)"),"",VLOOKUP($B3421,'Email Marketing Raw Data'!$C:$O,11,0))),"")</f>
        <v/>
      </c>
      <c r="F3421" s="54" t="str">
        <f>IFERROR(IF(OR($B3421="",$B3421="(blank)"),"",VLOOKUP($B3421,'Email Marketing Raw Data'!$C:$O,13,0)),"")</f>
        <v/>
      </c>
      <c r="G3421" s="55" t="str">
        <f>IFERROR(IF(OR($B3421="",$B3421="(blank)"),"",VLOOKUP($B3421,'Email Marketing Raw Data'!$C:$O,4,0)),"")</f>
        <v/>
      </c>
      <c r="H3421" s="55" t="str">
        <f>IFERROR(IF(OR($B3421="",$B3421="(blank)"),"",VLOOKUP($B3421,'Email Marketing Raw Data'!$C:$O,5,0)),"")</f>
        <v/>
      </c>
      <c r="I3421" s="55" t="str">
        <f>IFERROR(IF($G3421="","",VLOOKUP('Dashboard And Emails Automate'!$G3421,Database!$H:$N,3,0)),"")</f>
        <v/>
      </c>
      <c r="J3421" s="55" t="str">
        <f>IFERROR(IF($G3421="","",VLOOKUP('Dashboard And Emails Automate'!$G3421,Database!$H:$N,4,0)),"")</f>
        <v/>
      </c>
      <c r="K3421" s="55" t="str">
        <f>IFERROR(IF($G3421="","",VLOOKUP('Dashboard And Emails Automate'!$G3421,Database!$H:$N,5,0)),"")</f>
        <v/>
      </c>
      <c r="L3421" s="55" t="str">
        <f>IFERROR(IF($G3421="","",VLOOKUP('Dashboard And Emails Automate'!$G3421,Database!$H:$N,6,0)),"")</f>
        <v/>
      </c>
      <c r="M3421" s="55" t="str">
        <f>IFERROR(IF($G3421="","",VLOOKUP('Dashboard And Emails Automate'!$G3421,Database!$H:$N,7,0)),"")</f>
        <v/>
      </c>
      <c r="N3421" s="55" t="str">
        <f>IFERROR(IF(OR($B3421="",$B3421="(blank)"),"",VLOOKUP($B3421,'Email Marketing Raw Data'!$C:$O,6,0)),"")</f>
        <v/>
      </c>
      <c r="O3421" s="55" t="str">
        <f>IFERROR(IF(OR($B3421="",$B3421="(blank)"),"",VLOOKUP($B3421,'Email Marketing Raw Data'!$C:$O,7,0)),"")</f>
        <v/>
      </c>
      <c r="P3421" s="55" t="str">
        <f>IFERROR(IF(OR($B3421="",$B3421="(blank)"),"",VLOOKUP($B3421,'Email Marketing Raw Data'!$C:$O,8,0)),"")</f>
        <v/>
      </c>
      <c r="Q3421" s="62" t="str">
        <f>IFERROR(IF(OR($B3421="",$B3421="(blank)"),"",VLOOKUP($B3421,'Email Marketing Raw Data'!$C:$O,9,0)),"")</f>
        <v/>
      </c>
    </row>
    <row r="3422" spans="4:17" ht="12.75" customHeight="1" x14ac:dyDescent="0.2">
      <c r="D3422" s="58" t="str">
        <f>IFERROR(IF(F3422&lt;&gt;"pending","",IF(OR($B3422="",$B3422="(blank)"),"",VLOOKUP($B3422,'Email Marketing Raw Data'!$C:$O,10,0))),"")</f>
        <v/>
      </c>
      <c r="E3422" s="59" t="str">
        <f>IFERROR(IF(F3422&lt;&gt;"pending","",IF(OR($B3422="",$B3422="(blank)"),"",VLOOKUP($B3422,'Email Marketing Raw Data'!$C:$O,11,0))),"")</f>
        <v/>
      </c>
      <c r="F3422" s="54" t="str">
        <f>IFERROR(IF(OR($B3422="",$B3422="(blank)"),"",VLOOKUP($B3422,'Email Marketing Raw Data'!$C:$O,13,0)),"")</f>
        <v/>
      </c>
      <c r="G3422" s="55" t="str">
        <f>IFERROR(IF(OR($B3422="",$B3422="(blank)"),"",VLOOKUP($B3422,'Email Marketing Raw Data'!$C:$O,4,0)),"")</f>
        <v/>
      </c>
      <c r="H3422" s="55" t="str">
        <f>IFERROR(IF(OR($B3422="",$B3422="(blank)"),"",VLOOKUP($B3422,'Email Marketing Raw Data'!$C:$O,5,0)),"")</f>
        <v/>
      </c>
      <c r="I3422" s="55" t="str">
        <f>IFERROR(IF($G3422="","",VLOOKUP('Dashboard And Emails Automate'!$G3422,Database!$H:$N,3,0)),"")</f>
        <v/>
      </c>
      <c r="J3422" s="55" t="str">
        <f>IFERROR(IF($G3422="","",VLOOKUP('Dashboard And Emails Automate'!$G3422,Database!$H:$N,4,0)),"")</f>
        <v/>
      </c>
      <c r="K3422" s="55" t="str">
        <f>IFERROR(IF($G3422="","",VLOOKUP('Dashboard And Emails Automate'!$G3422,Database!$H:$N,5,0)),"")</f>
        <v/>
      </c>
      <c r="L3422" s="55" t="str">
        <f>IFERROR(IF($G3422="","",VLOOKUP('Dashboard And Emails Automate'!$G3422,Database!$H:$N,6,0)),"")</f>
        <v/>
      </c>
      <c r="M3422" s="55" t="str">
        <f>IFERROR(IF($G3422="","",VLOOKUP('Dashboard And Emails Automate'!$G3422,Database!$H:$N,7,0)),"")</f>
        <v/>
      </c>
      <c r="N3422" s="55" t="str">
        <f>IFERROR(IF(OR($B3422="",$B3422="(blank)"),"",VLOOKUP($B3422,'Email Marketing Raw Data'!$C:$O,6,0)),"")</f>
        <v/>
      </c>
      <c r="O3422" s="55" t="str">
        <f>IFERROR(IF(OR($B3422="",$B3422="(blank)"),"",VLOOKUP($B3422,'Email Marketing Raw Data'!$C:$O,7,0)),"")</f>
        <v/>
      </c>
      <c r="P3422" s="55" t="str">
        <f>IFERROR(IF(OR($B3422="",$B3422="(blank)"),"",VLOOKUP($B3422,'Email Marketing Raw Data'!$C:$O,8,0)),"")</f>
        <v/>
      </c>
      <c r="Q3422" s="62" t="str">
        <f>IFERROR(IF(OR($B3422="",$B3422="(blank)"),"",VLOOKUP($B3422,'Email Marketing Raw Data'!$C:$O,9,0)),"")</f>
        <v/>
      </c>
    </row>
    <row r="3423" spans="4:17" ht="12.75" customHeight="1" x14ac:dyDescent="0.2">
      <c r="D3423" s="58" t="str">
        <f>IFERROR(IF(F3423&lt;&gt;"pending","",IF(OR($B3423="",$B3423="(blank)"),"",VLOOKUP($B3423,'Email Marketing Raw Data'!$C:$O,10,0))),"")</f>
        <v/>
      </c>
      <c r="E3423" s="59" t="str">
        <f>IFERROR(IF(F3423&lt;&gt;"pending","",IF(OR($B3423="",$B3423="(blank)"),"",VLOOKUP($B3423,'Email Marketing Raw Data'!$C:$O,11,0))),"")</f>
        <v/>
      </c>
      <c r="F3423" s="54" t="str">
        <f>IFERROR(IF(OR($B3423="",$B3423="(blank)"),"",VLOOKUP($B3423,'Email Marketing Raw Data'!$C:$O,13,0)),"")</f>
        <v/>
      </c>
      <c r="G3423" s="55" t="str">
        <f>IFERROR(IF(OR($B3423="",$B3423="(blank)"),"",VLOOKUP($B3423,'Email Marketing Raw Data'!$C:$O,4,0)),"")</f>
        <v/>
      </c>
      <c r="H3423" s="55" t="str">
        <f>IFERROR(IF(OR($B3423="",$B3423="(blank)"),"",VLOOKUP($B3423,'Email Marketing Raw Data'!$C:$O,5,0)),"")</f>
        <v/>
      </c>
      <c r="I3423" s="55" t="str">
        <f>IFERROR(IF($G3423="","",VLOOKUP('Dashboard And Emails Automate'!$G3423,Database!$H:$N,3,0)),"")</f>
        <v/>
      </c>
      <c r="J3423" s="55" t="str">
        <f>IFERROR(IF($G3423="","",VLOOKUP('Dashboard And Emails Automate'!$G3423,Database!$H:$N,4,0)),"")</f>
        <v/>
      </c>
      <c r="K3423" s="55" t="str">
        <f>IFERROR(IF($G3423="","",VLOOKUP('Dashboard And Emails Automate'!$G3423,Database!$H:$N,5,0)),"")</f>
        <v/>
      </c>
      <c r="L3423" s="55" t="str">
        <f>IFERROR(IF($G3423="","",VLOOKUP('Dashboard And Emails Automate'!$G3423,Database!$H:$N,6,0)),"")</f>
        <v/>
      </c>
      <c r="M3423" s="55" t="str">
        <f>IFERROR(IF($G3423="","",VLOOKUP('Dashboard And Emails Automate'!$G3423,Database!$H:$N,7,0)),"")</f>
        <v/>
      </c>
      <c r="N3423" s="55" t="str">
        <f>IFERROR(IF(OR($B3423="",$B3423="(blank)"),"",VLOOKUP($B3423,'Email Marketing Raw Data'!$C:$O,6,0)),"")</f>
        <v/>
      </c>
      <c r="O3423" s="55" t="str">
        <f>IFERROR(IF(OR($B3423="",$B3423="(blank)"),"",VLOOKUP($B3423,'Email Marketing Raw Data'!$C:$O,7,0)),"")</f>
        <v/>
      </c>
      <c r="P3423" s="55" t="str">
        <f>IFERROR(IF(OR($B3423="",$B3423="(blank)"),"",VLOOKUP($B3423,'Email Marketing Raw Data'!$C:$O,8,0)),"")</f>
        <v/>
      </c>
      <c r="Q3423" s="62" t="str">
        <f>IFERROR(IF(OR($B3423="",$B3423="(blank)"),"",VLOOKUP($B3423,'Email Marketing Raw Data'!$C:$O,9,0)),"")</f>
        <v/>
      </c>
    </row>
    <row r="3424" spans="4:17" ht="12.75" customHeight="1" x14ac:dyDescent="0.2">
      <c r="D3424" s="58" t="str">
        <f>IFERROR(IF(F3424&lt;&gt;"pending","",IF(OR($B3424="",$B3424="(blank)"),"",VLOOKUP($B3424,'Email Marketing Raw Data'!$C:$O,10,0))),"")</f>
        <v/>
      </c>
      <c r="E3424" s="59" t="str">
        <f>IFERROR(IF(F3424&lt;&gt;"pending","",IF(OR($B3424="",$B3424="(blank)"),"",VLOOKUP($B3424,'Email Marketing Raw Data'!$C:$O,11,0))),"")</f>
        <v/>
      </c>
      <c r="F3424" s="54" t="str">
        <f>IFERROR(IF(OR($B3424="",$B3424="(blank)"),"",VLOOKUP($B3424,'Email Marketing Raw Data'!$C:$O,13,0)),"")</f>
        <v/>
      </c>
      <c r="G3424" s="55" t="str">
        <f>IFERROR(IF(OR($B3424="",$B3424="(blank)"),"",VLOOKUP($B3424,'Email Marketing Raw Data'!$C:$O,4,0)),"")</f>
        <v/>
      </c>
      <c r="H3424" s="55" t="str">
        <f>IFERROR(IF(OR($B3424="",$B3424="(blank)"),"",VLOOKUP($B3424,'Email Marketing Raw Data'!$C:$O,5,0)),"")</f>
        <v/>
      </c>
      <c r="I3424" s="55" t="str">
        <f>IFERROR(IF($G3424="","",VLOOKUP('Dashboard And Emails Automate'!$G3424,Database!$H:$N,3,0)),"")</f>
        <v/>
      </c>
      <c r="J3424" s="55" t="str">
        <f>IFERROR(IF($G3424="","",VLOOKUP('Dashboard And Emails Automate'!$G3424,Database!$H:$N,4,0)),"")</f>
        <v/>
      </c>
      <c r="K3424" s="55" t="str">
        <f>IFERROR(IF($G3424="","",VLOOKUP('Dashboard And Emails Automate'!$G3424,Database!$H:$N,5,0)),"")</f>
        <v/>
      </c>
      <c r="L3424" s="55" t="str">
        <f>IFERROR(IF($G3424="","",VLOOKUP('Dashboard And Emails Automate'!$G3424,Database!$H:$N,6,0)),"")</f>
        <v/>
      </c>
      <c r="M3424" s="55" t="str">
        <f>IFERROR(IF($G3424="","",VLOOKUP('Dashboard And Emails Automate'!$G3424,Database!$H:$N,7,0)),"")</f>
        <v/>
      </c>
      <c r="N3424" s="55" t="str">
        <f>IFERROR(IF(OR($B3424="",$B3424="(blank)"),"",VLOOKUP($B3424,'Email Marketing Raw Data'!$C:$O,6,0)),"")</f>
        <v/>
      </c>
      <c r="O3424" s="55" t="str">
        <f>IFERROR(IF(OR($B3424="",$B3424="(blank)"),"",VLOOKUP($B3424,'Email Marketing Raw Data'!$C:$O,7,0)),"")</f>
        <v/>
      </c>
      <c r="P3424" s="55" t="str">
        <f>IFERROR(IF(OR($B3424="",$B3424="(blank)"),"",VLOOKUP($B3424,'Email Marketing Raw Data'!$C:$O,8,0)),"")</f>
        <v/>
      </c>
      <c r="Q3424" s="62" t="str">
        <f>IFERROR(IF(OR($B3424="",$B3424="(blank)"),"",VLOOKUP($B3424,'Email Marketing Raw Data'!$C:$O,9,0)),"")</f>
        <v/>
      </c>
    </row>
    <row r="3425" spans="4:17" ht="12.75" customHeight="1" x14ac:dyDescent="0.2">
      <c r="D3425" s="58" t="str">
        <f>IFERROR(IF(F3425&lt;&gt;"pending","",IF(OR($B3425="",$B3425="(blank)"),"",VLOOKUP($B3425,'Email Marketing Raw Data'!$C:$O,10,0))),"")</f>
        <v/>
      </c>
      <c r="E3425" s="59" t="str">
        <f>IFERROR(IF(F3425&lt;&gt;"pending","",IF(OR($B3425="",$B3425="(blank)"),"",VLOOKUP($B3425,'Email Marketing Raw Data'!$C:$O,11,0))),"")</f>
        <v/>
      </c>
      <c r="F3425" s="54" t="str">
        <f>IFERROR(IF(OR($B3425="",$B3425="(blank)"),"",VLOOKUP($B3425,'Email Marketing Raw Data'!$C:$O,13,0)),"")</f>
        <v/>
      </c>
      <c r="G3425" s="55" t="str">
        <f>IFERROR(IF(OR($B3425="",$B3425="(blank)"),"",VLOOKUP($B3425,'Email Marketing Raw Data'!$C:$O,4,0)),"")</f>
        <v/>
      </c>
      <c r="H3425" s="55" t="str">
        <f>IFERROR(IF(OR($B3425="",$B3425="(blank)"),"",VLOOKUP($B3425,'Email Marketing Raw Data'!$C:$O,5,0)),"")</f>
        <v/>
      </c>
      <c r="I3425" s="55" t="str">
        <f>IFERROR(IF($G3425="","",VLOOKUP('Dashboard And Emails Automate'!$G3425,Database!$H:$N,3,0)),"")</f>
        <v/>
      </c>
      <c r="J3425" s="55" t="str">
        <f>IFERROR(IF($G3425="","",VLOOKUP('Dashboard And Emails Automate'!$G3425,Database!$H:$N,4,0)),"")</f>
        <v/>
      </c>
      <c r="K3425" s="55" t="str">
        <f>IFERROR(IF($G3425="","",VLOOKUP('Dashboard And Emails Automate'!$G3425,Database!$H:$N,5,0)),"")</f>
        <v/>
      </c>
      <c r="L3425" s="55" t="str">
        <f>IFERROR(IF($G3425="","",VLOOKUP('Dashboard And Emails Automate'!$G3425,Database!$H:$N,6,0)),"")</f>
        <v/>
      </c>
      <c r="M3425" s="55" t="str">
        <f>IFERROR(IF($G3425="","",VLOOKUP('Dashboard And Emails Automate'!$G3425,Database!$H:$N,7,0)),"")</f>
        <v/>
      </c>
      <c r="N3425" s="55" t="str">
        <f>IFERROR(IF(OR($B3425="",$B3425="(blank)"),"",VLOOKUP($B3425,'Email Marketing Raw Data'!$C:$O,6,0)),"")</f>
        <v/>
      </c>
      <c r="O3425" s="55" t="str">
        <f>IFERROR(IF(OR($B3425="",$B3425="(blank)"),"",VLOOKUP($B3425,'Email Marketing Raw Data'!$C:$O,7,0)),"")</f>
        <v/>
      </c>
      <c r="P3425" s="55" t="str">
        <f>IFERROR(IF(OR($B3425="",$B3425="(blank)"),"",VLOOKUP($B3425,'Email Marketing Raw Data'!$C:$O,8,0)),"")</f>
        <v/>
      </c>
      <c r="Q3425" s="62" t="str">
        <f>IFERROR(IF(OR($B3425="",$B3425="(blank)"),"",VLOOKUP($B3425,'Email Marketing Raw Data'!$C:$O,9,0)),"")</f>
        <v/>
      </c>
    </row>
    <row r="3426" spans="4:17" ht="12.75" customHeight="1" x14ac:dyDescent="0.2">
      <c r="D3426" s="58" t="str">
        <f>IFERROR(IF(F3426&lt;&gt;"pending","",IF(OR($B3426="",$B3426="(blank)"),"",VLOOKUP($B3426,'Email Marketing Raw Data'!$C:$O,10,0))),"")</f>
        <v/>
      </c>
      <c r="E3426" s="59" t="str">
        <f>IFERROR(IF(F3426&lt;&gt;"pending","",IF(OR($B3426="",$B3426="(blank)"),"",VLOOKUP($B3426,'Email Marketing Raw Data'!$C:$O,11,0))),"")</f>
        <v/>
      </c>
      <c r="F3426" s="54" t="str">
        <f>IFERROR(IF(OR($B3426="",$B3426="(blank)"),"",VLOOKUP($B3426,'Email Marketing Raw Data'!$C:$O,13,0)),"")</f>
        <v/>
      </c>
      <c r="G3426" s="55" t="str">
        <f>IFERROR(IF(OR($B3426="",$B3426="(blank)"),"",VLOOKUP($B3426,'Email Marketing Raw Data'!$C:$O,4,0)),"")</f>
        <v/>
      </c>
      <c r="H3426" s="55" t="str">
        <f>IFERROR(IF(OR($B3426="",$B3426="(blank)"),"",VLOOKUP($B3426,'Email Marketing Raw Data'!$C:$O,5,0)),"")</f>
        <v/>
      </c>
      <c r="I3426" s="55" t="str">
        <f>IFERROR(IF($G3426="","",VLOOKUP('Dashboard And Emails Automate'!$G3426,Database!$H:$N,3,0)),"")</f>
        <v/>
      </c>
      <c r="J3426" s="55" t="str">
        <f>IFERROR(IF($G3426="","",VLOOKUP('Dashboard And Emails Automate'!$G3426,Database!$H:$N,4,0)),"")</f>
        <v/>
      </c>
      <c r="K3426" s="55" t="str">
        <f>IFERROR(IF($G3426="","",VLOOKUP('Dashboard And Emails Automate'!$G3426,Database!$H:$N,5,0)),"")</f>
        <v/>
      </c>
      <c r="L3426" s="55" t="str">
        <f>IFERROR(IF($G3426="","",VLOOKUP('Dashboard And Emails Automate'!$G3426,Database!$H:$N,6,0)),"")</f>
        <v/>
      </c>
      <c r="M3426" s="55" t="str">
        <f>IFERROR(IF($G3426="","",VLOOKUP('Dashboard And Emails Automate'!$G3426,Database!$H:$N,7,0)),"")</f>
        <v/>
      </c>
      <c r="N3426" s="55" t="str">
        <f>IFERROR(IF(OR($B3426="",$B3426="(blank)"),"",VLOOKUP($B3426,'Email Marketing Raw Data'!$C:$O,6,0)),"")</f>
        <v/>
      </c>
      <c r="O3426" s="55" t="str">
        <f>IFERROR(IF(OR($B3426="",$B3426="(blank)"),"",VLOOKUP($B3426,'Email Marketing Raw Data'!$C:$O,7,0)),"")</f>
        <v/>
      </c>
      <c r="P3426" s="55" t="str">
        <f>IFERROR(IF(OR($B3426="",$B3426="(blank)"),"",VLOOKUP($B3426,'Email Marketing Raw Data'!$C:$O,8,0)),"")</f>
        <v/>
      </c>
      <c r="Q3426" s="62" t="str">
        <f>IFERROR(IF(OR($B3426="",$B3426="(blank)"),"",VLOOKUP($B3426,'Email Marketing Raw Data'!$C:$O,9,0)),"")</f>
        <v/>
      </c>
    </row>
    <row r="3427" spans="4:17" ht="12.75" customHeight="1" x14ac:dyDescent="0.2">
      <c r="D3427" s="58" t="str">
        <f>IFERROR(IF(F3427&lt;&gt;"pending","",IF(OR($B3427="",$B3427="(blank)"),"",VLOOKUP($B3427,'Email Marketing Raw Data'!$C:$O,10,0))),"")</f>
        <v/>
      </c>
      <c r="E3427" s="59" t="str">
        <f>IFERROR(IF(F3427&lt;&gt;"pending","",IF(OR($B3427="",$B3427="(blank)"),"",VLOOKUP($B3427,'Email Marketing Raw Data'!$C:$O,11,0))),"")</f>
        <v/>
      </c>
      <c r="F3427" s="54" t="str">
        <f>IFERROR(IF(OR($B3427="",$B3427="(blank)"),"",VLOOKUP($B3427,'Email Marketing Raw Data'!$C:$O,13,0)),"")</f>
        <v/>
      </c>
      <c r="G3427" s="55" t="str">
        <f>IFERROR(IF(OR($B3427="",$B3427="(blank)"),"",VLOOKUP($B3427,'Email Marketing Raw Data'!$C:$O,4,0)),"")</f>
        <v/>
      </c>
      <c r="H3427" s="55" t="str">
        <f>IFERROR(IF(OR($B3427="",$B3427="(blank)"),"",VLOOKUP($B3427,'Email Marketing Raw Data'!$C:$O,5,0)),"")</f>
        <v/>
      </c>
      <c r="I3427" s="55" t="str">
        <f>IFERROR(IF($G3427="","",VLOOKUP('Dashboard And Emails Automate'!$G3427,Database!$H:$N,3,0)),"")</f>
        <v/>
      </c>
      <c r="J3427" s="55" t="str">
        <f>IFERROR(IF($G3427="","",VLOOKUP('Dashboard And Emails Automate'!$G3427,Database!$H:$N,4,0)),"")</f>
        <v/>
      </c>
      <c r="K3427" s="55" t="str">
        <f>IFERROR(IF($G3427="","",VLOOKUP('Dashboard And Emails Automate'!$G3427,Database!$H:$N,5,0)),"")</f>
        <v/>
      </c>
      <c r="L3427" s="55" t="str">
        <f>IFERROR(IF($G3427="","",VLOOKUP('Dashboard And Emails Automate'!$G3427,Database!$H:$N,6,0)),"")</f>
        <v/>
      </c>
      <c r="M3427" s="55" t="str">
        <f>IFERROR(IF($G3427="","",VLOOKUP('Dashboard And Emails Automate'!$G3427,Database!$H:$N,7,0)),"")</f>
        <v/>
      </c>
      <c r="N3427" s="55" t="str">
        <f>IFERROR(IF(OR($B3427="",$B3427="(blank)"),"",VLOOKUP($B3427,'Email Marketing Raw Data'!$C:$O,6,0)),"")</f>
        <v/>
      </c>
      <c r="O3427" s="55" t="str">
        <f>IFERROR(IF(OR($B3427="",$B3427="(blank)"),"",VLOOKUP($B3427,'Email Marketing Raw Data'!$C:$O,7,0)),"")</f>
        <v/>
      </c>
      <c r="P3427" s="55" t="str">
        <f>IFERROR(IF(OR($B3427="",$B3427="(blank)"),"",VLOOKUP($B3427,'Email Marketing Raw Data'!$C:$O,8,0)),"")</f>
        <v/>
      </c>
      <c r="Q3427" s="62" t="str">
        <f>IFERROR(IF(OR($B3427="",$B3427="(blank)"),"",VLOOKUP($B3427,'Email Marketing Raw Data'!$C:$O,9,0)),"")</f>
        <v/>
      </c>
    </row>
    <row r="3428" spans="4:17" ht="12.75" customHeight="1" x14ac:dyDescent="0.2">
      <c r="D3428" s="58" t="str">
        <f>IFERROR(IF(F3428&lt;&gt;"pending","",IF(OR($B3428="",$B3428="(blank)"),"",VLOOKUP($B3428,'Email Marketing Raw Data'!$C:$O,10,0))),"")</f>
        <v/>
      </c>
      <c r="E3428" s="59" t="str">
        <f>IFERROR(IF(F3428&lt;&gt;"pending","",IF(OR($B3428="",$B3428="(blank)"),"",VLOOKUP($B3428,'Email Marketing Raw Data'!$C:$O,11,0))),"")</f>
        <v/>
      </c>
      <c r="F3428" s="54" t="str">
        <f>IFERROR(IF(OR($B3428="",$B3428="(blank)"),"",VLOOKUP($B3428,'Email Marketing Raw Data'!$C:$O,13,0)),"")</f>
        <v/>
      </c>
      <c r="G3428" s="55" t="str">
        <f>IFERROR(IF(OR($B3428="",$B3428="(blank)"),"",VLOOKUP($B3428,'Email Marketing Raw Data'!$C:$O,4,0)),"")</f>
        <v/>
      </c>
      <c r="H3428" s="55" t="str">
        <f>IFERROR(IF(OR($B3428="",$B3428="(blank)"),"",VLOOKUP($B3428,'Email Marketing Raw Data'!$C:$O,5,0)),"")</f>
        <v/>
      </c>
      <c r="I3428" s="55" t="str">
        <f>IFERROR(IF($G3428="","",VLOOKUP('Dashboard And Emails Automate'!$G3428,Database!$H:$N,3,0)),"")</f>
        <v/>
      </c>
      <c r="J3428" s="55" t="str">
        <f>IFERROR(IF($G3428="","",VLOOKUP('Dashboard And Emails Automate'!$G3428,Database!$H:$N,4,0)),"")</f>
        <v/>
      </c>
      <c r="K3428" s="55" t="str">
        <f>IFERROR(IF($G3428="","",VLOOKUP('Dashboard And Emails Automate'!$G3428,Database!$H:$N,5,0)),"")</f>
        <v/>
      </c>
      <c r="L3428" s="55" t="str">
        <f>IFERROR(IF($G3428="","",VLOOKUP('Dashboard And Emails Automate'!$G3428,Database!$H:$N,6,0)),"")</f>
        <v/>
      </c>
      <c r="M3428" s="55" t="str">
        <f>IFERROR(IF($G3428="","",VLOOKUP('Dashboard And Emails Automate'!$G3428,Database!$H:$N,7,0)),"")</f>
        <v/>
      </c>
      <c r="N3428" s="55" t="str">
        <f>IFERROR(IF(OR($B3428="",$B3428="(blank)"),"",VLOOKUP($B3428,'Email Marketing Raw Data'!$C:$O,6,0)),"")</f>
        <v/>
      </c>
      <c r="O3428" s="55" t="str">
        <f>IFERROR(IF(OR($B3428="",$B3428="(blank)"),"",VLOOKUP($B3428,'Email Marketing Raw Data'!$C:$O,7,0)),"")</f>
        <v/>
      </c>
      <c r="P3428" s="55" t="str">
        <f>IFERROR(IF(OR($B3428="",$B3428="(blank)"),"",VLOOKUP($B3428,'Email Marketing Raw Data'!$C:$O,8,0)),"")</f>
        <v/>
      </c>
      <c r="Q3428" s="62" t="str">
        <f>IFERROR(IF(OR($B3428="",$B3428="(blank)"),"",VLOOKUP($B3428,'Email Marketing Raw Data'!$C:$O,9,0)),"")</f>
        <v/>
      </c>
    </row>
    <row r="3429" spans="4:17" ht="12.75" customHeight="1" x14ac:dyDescent="0.2">
      <c r="D3429" s="58" t="str">
        <f>IFERROR(IF(F3429&lt;&gt;"pending","",IF(OR($B3429="",$B3429="(blank)"),"",VLOOKUP($B3429,'Email Marketing Raw Data'!$C:$O,10,0))),"")</f>
        <v/>
      </c>
      <c r="E3429" s="59" t="str">
        <f>IFERROR(IF(F3429&lt;&gt;"pending","",IF(OR($B3429="",$B3429="(blank)"),"",VLOOKUP($B3429,'Email Marketing Raw Data'!$C:$O,11,0))),"")</f>
        <v/>
      </c>
      <c r="F3429" s="54" t="str">
        <f>IFERROR(IF(OR($B3429="",$B3429="(blank)"),"",VLOOKUP($B3429,'Email Marketing Raw Data'!$C:$O,13,0)),"")</f>
        <v/>
      </c>
      <c r="G3429" s="55" t="str">
        <f>IFERROR(IF(OR($B3429="",$B3429="(blank)"),"",VLOOKUP($B3429,'Email Marketing Raw Data'!$C:$O,4,0)),"")</f>
        <v/>
      </c>
      <c r="H3429" s="55" t="str">
        <f>IFERROR(IF(OR($B3429="",$B3429="(blank)"),"",VLOOKUP($B3429,'Email Marketing Raw Data'!$C:$O,5,0)),"")</f>
        <v/>
      </c>
      <c r="I3429" s="55" t="str">
        <f>IFERROR(IF($G3429="","",VLOOKUP('Dashboard And Emails Automate'!$G3429,Database!$H:$N,3,0)),"")</f>
        <v/>
      </c>
      <c r="J3429" s="55" t="str">
        <f>IFERROR(IF($G3429="","",VLOOKUP('Dashboard And Emails Automate'!$G3429,Database!$H:$N,4,0)),"")</f>
        <v/>
      </c>
      <c r="K3429" s="55" t="str">
        <f>IFERROR(IF($G3429="","",VLOOKUP('Dashboard And Emails Automate'!$G3429,Database!$H:$N,5,0)),"")</f>
        <v/>
      </c>
      <c r="L3429" s="55" t="str">
        <f>IFERROR(IF($G3429="","",VLOOKUP('Dashboard And Emails Automate'!$G3429,Database!$H:$N,6,0)),"")</f>
        <v/>
      </c>
      <c r="M3429" s="55" t="str">
        <f>IFERROR(IF($G3429="","",VLOOKUP('Dashboard And Emails Automate'!$G3429,Database!$H:$N,7,0)),"")</f>
        <v/>
      </c>
      <c r="N3429" s="55" t="str">
        <f>IFERROR(IF(OR($B3429="",$B3429="(blank)"),"",VLOOKUP($B3429,'Email Marketing Raw Data'!$C:$O,6,0)),"")</f>
        <v/>
      </c>
      <c r="O3429" s="55" t="str">
        <f>IFERROR(IF(OR($B3429="",$B3429="(blank)"),"",VLOOKUP($B3429,'Email Marketing Raw Data'!$C:$O,7,0)),"")</f>
        <v/>
      </c>
      <c r="P3429" s="55" t="str">
        <f>IFERROR(IF(OR($B3429="",$B3429="(blank)"),"",VLOOKUP($B3429,'Email Marketing Raw Data'!$C:$O,8,0)),"")</f>
        <v/>
      </c>
      <c r="Q3429" s="62" t="str">
        <f>IFERROR(IF(OR($B3429="",$B3429="(blank)"),"",VLOOKUP($B3429,'Email Marketing Raw Data'!$C:$O,9,0)),"")</f>
        <v/>
      </c>
    </row>
    <row r="3430" spans="4:17" ht="12.75" customHeight="1" x14ac:dyDescent="0.2">
      <c r="D3430" s="58" t="str">
        <f>IFERROR(IF(F3430&lt;&gt;"pending","",IF(OR($B3430="",$B3430="(blank)"),"",VLOOKUP($B3430,'Email Marketing Raw Data'!$C:$O,10,0))),"")</f>
        <v/>
      </c>
      <c r="E3430" s="59" t="str">
        <f>IFERROR(IF(F3430&lt;&gt;"pending","",IF(OR($B3430="",$B3430="(blank)"),"",VLOOKUP($B3430,'Email Marketing Raw Data'!$C:$O,11,0))),"")</f>
        <v/>
      </c>
      <c r="F3430" s="54" t="str">
        <f>IFERROR(IF(OR($B3430="",$B3430="(blank)"),"",VLOOKUP($B3430,'Email Marketing Raw Data'!$C:$O,13,0)),"")</f>
        <v/>
      </c>
      <c r="G3430" s="55" t="str">
        <f>IFERROR(IF(OR($B3430="",$B3430="(blank)"),"",VLOOKUP($B3430,'Email Marketing Raw Data'!$C:$O,4,0)),"")</f>
        <v/>
      </c>
      <c r="H3430" s="55" t="str">
        <f>IFERROR(IF(OR($B3430="",$B3430="(blank)"),"",VLOOKUP($B3430,'Email Marketing Raw Data'!$C:$O,5,0)),"")</f>
        <v/>
      </c>
      <c r="I3430" s="55" t="str">
        <f>IFERROR(IF($G3430="","",VLOOKUP('Dashboard And Emails Automate'!$G3430,Database!$H:$N,3,0)),"")</f>
        <v/>
      </c>
      <c r="J3430" s="55" t="str">
        <f>IFERROR(IF($G3430="","",VLOOKUP('Dashboard And Emails Automate'!$G3430,Database!$H:$N,4,0)),"")</f>
        <v/>
      </c>
      <c r="K3430" s="55" t="str">
        <f>IFERROR(IF($G3430="","",VLOOKUP('Dashboard And Emails Automate'!$G3430,Database!$H:$N,5,0)),"")</f>
        <v/>
      </c>
      <c r="L3430" s="55" t="str">
        <f>IFERROR(IF($G3430="","",VLOOKUP('Dashboard And Emails Automate'!$G3430,Database!$H:$N,6,0)),"")</f>
        <v/>
      </c>
      <c r="M3430" s="55" t="str">
        <f>IFERROR(IF($G3430="","",VLOOKUP('Dashboard And Emails Automate'!$G3430,Database!$H:$N,7,0)),"")</f>
        <v/>
      </c>
      <c r="N3430" s="55" t="str">
        <f>IFERROR(IF(OR($B3430="",$B3430="(blank)"),"",VLOOKUP($B3430,'Email Marketing Raw Data'!$C:$O,6,0)),"")</f>
        <v/>
      </c>
      <c r="O3430" s="55" t="str">
        <f>IFERROR(IF(OR($B3430="",$B3430="(blank)"),"",VLOOKUP($B3430,'Email Marketing Raw Data'!$C:$O,7,0)),"")</f>
        <v/>
      </c>
      <c r="P3430" s="55" t="str">
        <f>IFERROR(IF(OR($B3430="",$B3430="(blank)"),"",VLOOKUP($B3430,'Email Marketing Raw Data'!$C:$O,8,0)),"")</f>
        <v/>
      </c>
      <c r="Q3430" s="62" t="str">
        <f>IFERROR(IF(OR($B3430="",$B3430="(blank)"),"",VLOOKUP($B3430,'Email Marketing Raw Data'!$C:$O,9,0)),"")</f>
        <v/>
      </c>
    </row>
    <row r="3431" spans="4:17" ht="12.75" customHeight="1" x14ac:dyDescent="0.2">
      <c r="D3431" s="58" t="str">
        <f>IFERROR(IF(F3431&lt;&gt;"pending","",IF(OR($B3431="",$B3431="(blank)"),"",VLOOKUP($B3431,'Email Marketing Raw Data'!$C:$O,10,0))),"")</f>
        <v/>
      </c>
      <c r="E3431" s="59" t="str">
        <f>IFERROR(IF(F3431&lt;&gt;"pending","",IF(OR($B3431="",$B3431="(blank)"),"",VLOOKUP($B3431,'Email Marketing Raw Data'!$C:$O,11,0))),"")</f>
        <v/>
      </c>
      <c r="F3431" s="54" t="str">
        <f>IFERROR(IF(OR($B3431="",$B3431="(blank)"),"",VLOOKUP($B3431,'Email Marketing Raw Data'!$C:$O,13,0)),"")</f>
        <v/>
      </c>
      <c r="G3431" s="55" t="str">
        <f>IFERROR(IF(OR($B3431="",$B3431="(blank)"),"",VLOOKUP($B3431,'Email Marketing Raw Data'!$C:$O,4,0)),"")</f>
        <v/>
      </c>
      <c r="H3431" s="55" t="str">
        <f>IFERROR(IF(OR($B3431="",$B3431="(blank)"),"",VLOOKUP($B3431,'Email Marketing Raw Data'!$C:$O,5,0)),"")</f>
        <v/>
      </c>
      <c r="I3431" s="55" t="str">
        <f>IFERROR(IF($G3431="","",VLOOKUP('Dashboard And Emails Automate'!$G3431,Database!$H:$N,3,0)),"")</f>
        <v/>
      </c>
      <c r="J3431" s="55" t="str">
        <f>IFERROR(IF($G3431="","",VLOOKUP('Dashboard And Emails Automate'!$G3431,Database!$H:$N,4,0)),"")</f>
        <v/>
      </c>
      <c r="K3431" s="55" t="str">
        <f>IFERROR(IF($G3431="","",VLOOKUP('Dashboard And Emails Automate'!$G3431,Database!$H:$N,5,0)),"")</f>
        <v/>
      </c>
      <c r="L3431" s="55" t="str">
        <f>IFERROR(IF($G3431="","",VLOOKUP('Dashboard And Emails Automate'!$G3431,Database!$H:$N,6,0)),"")</f>
        <v/>
      </c>
      <c r="M3431" s="55" t="str">
        <f>IFERROR(IF($G3431="","",VLOOKUP('Dashboard And Emails Automate'!$G3431,Database!$H:$N,7,0)),"")</f>
        <v/>
      </c>
      <c r="N3431" s="55" t="str">
        <f>IFERROR(IF(OR($B3431="",$B3431="(blank)"),"",VLOOKUP($B3431,'Email Marketing Raw Data'!$C:$O,6,0)),"")</f>
        <v/>
      </c>
      <c r="O3431" s="55" t="str">
        <f>IFERROR(IF(OR($B3431="",$B3431="(blank)"),"",VLOOKUP($B3431,'Email Marketing Raw Data'!$C:$O,7,0)),"")</f>
        <v/>
      </c>
      <c r="P3431" s="55" t="str">
        <f>IFERROR(IF(OR($B3431="",$B3431="(blank)"),"",VLOOKUP($B3431,'Email Marketing Raw Data'!$C:$O,8,0)),"")</f>
        <v/>
      </c>
      <c r="Q3431" s="62" t="str">
        <f>IFERROR(IF(OR($B3431="",$B3431="(blank)"),"",VLOOKUP($B3431,'Email Marketing Raw Data'!$C:$O,9,0)),"")</f>
        <v/>
      </c>
    </row>
    <row r="3432" spans="4:17" ht="12.75" customHeight="1" x14ac:dyDescent="0.2">
      <c r="D3432" s="58" t="str">
        <f>IFERROR(IF(F3432&lt;&gt;"pending","",IF(OR($B3432="",$B3432="(blank)"),"",VLOOKUP($B3432,'Email Marketing Raw Data'!$C:$O,10,0))),"")</f>
        <v/>
      </c>
      <c r="E3432" s="59" t="str">
        <f>IFERROR(IF(F3432&lt;&gt;"pending","",IF(OR($B3432="",$B3432="(blank)"),"",VLOOKUP($B3432,'Email Marketing Raw Data'!$C:$O,11,0))),"")</f>
        <v/>
      </c>
      <c r="F3432" s="54" t="str">
        <f>IFERROR(IF(OR($B3432="",$B3432="(blank)"),"",VLOOKUP($B3432,'Email Marketing Raw Data'!$C:$O,13,0)),"")</f>
        <v/>
      </c>
      <c r="G3432" s="55" t="str">
        <f>IFERROR(IF(OR($B3432="",$B3432="(blank)"),"",VLOOKUP($B3432,'Email Marketing Raw Data'!$C:$O,4,0)),"")</f>
        <v/>
      </c>
      <c r="H3432" s="55" t="str">
        <f>IFERROR(IF(OR($B3432="",$B3432="(blank)"),"",VLOOKUP($B3432,'Email Marketing Raw Data'!$C:$O,5,0)),"")</f>
        <v/>
      </c>
      <c r="I3432" s="55" t="str">
        <f>IFERROR(IF($G3432="","",VLOOKUP('Dashboard And Emails Automate'!$G3432,Database!$H:$N,3,0)),"")</f>
        <v/>
      </c>
      <c r="J3432" s="55" t="str">
        <f>IFERROR(IF($G3432="","",VLOOKUP('Dashboard And Emails Automate'!$G3432,Database!$H:$N,4,0)),"")</f>
        <v/>
      </c>
      <c r="K3432" s="55" t="str">
        <f>IFERROR(IF($G3432="","",VLOOKUP('Dashboard And Emails Automate'!$G3432,Database!$H:$N,5,0)),"")</f>
        <v/>
      </c>
      <c r="L3432" s="55" t="str">
        <f>IFERROR(IF($G3432="","",VLOOKUP('Dashboard And Emails Automate'!$G3432,Database!$H:$N,6,0)),"")</f>
        <v/>
      </c>
      <c r="M3432" s="55" t="str">
        <f>IFERROR(IF($G3432="","",VLOOKUP('Dashboard And Emails Automate'!$G3432,Database!$H:$N,7,0)),"")</f>
        <v/>
      </c>
      <c r="N3432" s="55" t="str">
        <f>IFERROR(IF(OR($B3432="",$B3432="(blank)"),"",VLOOKUP($B3432,'Email Marketing Raw Data'!$C:$O,6,0)),"")</f>
        <v/>
      </c>
      <c r="O3432" s="55" t="str">
        <f>IFERROR(IF(OR($B3432="",$B3432="(blank)"),"",VLOOKUP($B3432,'Email Marketing Raw Data'!$C:$O,7,0)),"")</f>
        <v/>
      </c>
      <c r="P3432" s="55" t="str">
        <f>IFERROR(IF(OR($B3432="",$B3432="(blank)"),"",VLOOKUP($B3432,'Email Marketing Raw Data'!$C:$O,8,0)),"")</f>
        <v/>
      </c>
      <c r="Q3432" s="62" t="str">
        <f>IFERROR(IF(OR($B3432="",$B3432="(blank)"),"",VLOOKUP($B3432,'Email Marketing Raw Data'!$C:$O,9,0)),"")</f>
        <v/>
      </c>
    </row>
    <row r="3433" spans="4:17" ht="12.75" customHeight="1" x14ac:dyDescent="0.2">
      <c r="D3433" s="58" t="str">
        <f>IFERROR(IF(F3433&lt;&gt;"pending","",IF(OR($B3433="",$B3433="(blank)"),"",VLOOKUP($B3433,'Email Marketing Raw Data'!$C:$O,10,0))),"")</f>
        <v/>
      </c>
      <c r="E3433" s="59" t="str">
        <f>IFERROR(IF(F3433&lt;&gt;"pending","",IF(OR($B3433="",$B3433="(blank)"),"",VLOOKUP($B3433,'Email Marketing Raw Data'!$C:$O,11,0))),"")</f>
        <v/>
      </c>
      <c r="F3433" s="54" t="str">
        <f>IFERROR(IF(OR($B3433="",$B3433="(blank)"),"",VLOOKUP($B3433,'Email Marketing Raw Data'!$C:$O,13,0)),"")</f>
        <v/>
      </c>
      <c r="G3433" s="55" t="str">
        <f>IFERROR(IF(OR($B3433="",$B3433="(blank)"),"",VLOOKUP($B3433,'Email Marketing Raw Data'!$C:$O,4,0)),"")</f>
        <v/>
      </c>
      <c r="H3433" s="55" t="str">
        <f>IFERROR(IF(OR($B3433="",$B3433="(blank)"),"",VLOOKUP($B3433,'Email Marketing Raw Data'!$C:$O,5,0)),"")</f>
        <v/>
      </c>
      <c r="I3433" s="55" t="str">
        <f>IFERROR(IF($G3433="","",VLOOKUP('Dashboard And Emails Automate'!$G3433,Database!$H:$N,3,0)),"")</f>
        <v/>
      </c>
      <c r="J3433" s="55" t="str">
        <f>IFERROR(IF($G3433="","",VLOOKUP('Dashboard And Emails Automate'!$G3433,Database!$H:$N,4,0)),"")</f>
        <v/>
      </c>
      <c r="K3433" s="55" t="str">
        <f>IFERROR(IF($G3433="","",VLOOKUP('Dashboard And Emails Automate'!$G3433,Database!$H:$N,5,0)),"")</f>
        <v/>
      </c>
      <c r="L3433" s="55" t="str">
        <f>IFERROR(IF($G3433="","",VLOOKUP('Dashboard And Emails Automate'!$G3433,Database!$H:$N,6,0)),"")</f>
        <v/>
      </c>
      <c r="M3433" s="55" t="str">
        <f>IFERROR(IF($G3433="","",VLOOKUP('Dashboard And Emails Automate'!$G3433,Database!$H:$N,7,0)),"")</f>
        <v/>
      </c>
      <c r="N3433" s="55" t="str">
        <f>IFERROR(IF(OR($B3433="",$B3433="(blank)"),"",VLOOKUP($B3433,'Email Marketing Raw Data'!$C:$O,6,0)),"")</f>
        <v/>
      </c>
      <c r="O3433" s="55" t="str">
        <f>IFERROR(IF(OR($B3433="",$B3433="(blank)"),"",VLOOKUP($B3433,'Email Marketing Raw Data'!$C:$O,7,0)),"")</f>
        <v/>
      </c>
      <c r="P3433" s="55" t="str">
        <f>IFERROR(IF(OR($B3433="",$B3433="(blank)"),"",VLOOKUP($B3433,'Email Marketing Raw Data'!$C:$O,8,0)),"")</f>
        <v/>
      </c>
      <c r="Q3433" s="62" t="str">
        <f>IFERROR(IF(OR($B3433="",$B3433="(blank)"),"",VLOOKUP($B3433,'Email Marketing Raw Data'!$C:$O,9,0)),"")</f>
        <v/>
      </c>
    </row>
    <row r="3434" spans="4:17" ht="12.75" customHeight="1" x14ac:dyDescent="0.2">
      <c r="D3434" s="58" t="str">
        <f>IFERROR(IF(F3434&lt;&gt;"pending","",IF(OR($B3434="",$B3434="(blank)"),"",VLOOKUP($B3434,'Email Marketing Raw Data'!$C:$O,10,0))),"")</f>
        <v/>
      </c>
      <c r="E3434" s="59" t="str">
        <f>IFERROR(IF(F3434&lt;&gt;"pending","",IF(OR($B3434="",$B3434="(blank)"),"",VLOOKUP($B3434,'Email Marketing Raw Data'!$C:$O,11,0))),"")</f>
        <v/>
      </c>
      <c r="F3434" s="54" t="str">
        <f>IFERROR(IF(OR($B3434="",$B3434="(blank)"),"",VLOOKUP($B3434,'Email Marketing Raw Data'!$C:$O,13,0)),"")</f>
        <v/>
      </c>
      <c r="G3434" s="55" t="str">
        <f>IFERROR(IF(OR($B3434="",$B3434="(blank)"),"",VLOOKUP($B3434,'Email Marketing Raw Data'!$C:$O,4,0)),"")</f>
        <v/>
      </c>
      <c r="H3434" s="55" t="str">
        <f>IFERROR(IF(OR($B3434="",$B3434="(blank)"),"",VLOOKUP($B3434,'Email Marketing Raw Data'!$C:$O,5,0)),"")</f>
        <v/>
      </c>
      <c r="I3434" s="55" t="str">
        <f>IFERROR(IF($G3434="","",VLOOKUP('Dashboard And Emails Automate'!$G3434,Database!$H:$N,3,0)),"")</f>
        <v/>
      </c>
      <c r="J3434" s="55" t="str">
        <f>IFERROR(IF($G3434="","",VLOOKUP('Dashboard And Emails Automate'!$G3434,Database!$H:$N,4,0)),"")</f>
        <v/>
      </c>
      <c r="K3434" s="55" t="str">
        <f>IFERROR(IF($G3434="","",VLOOKUP('Dashboard And Emails Automate'!$G3434,Database!$H:$N,5,0)),"")</f>
        <v/>
      </c>
      <c r="L3434" s="55" t="str">
        <f>IFERROR(IF($G3434="","",VLOOKUP('Dashboard And Emails Automate'!$G3434,Database!$H:$N,6,0)),"")</f>
        <v/>
      </c>
      <c r="M3434" s="55" t="str">
        <f>IFERROR(IF($G3434="","",VLOOKUP('Dashboard And Emails Automate'!$G3434,Database!$H:$N,7,0)),"")</f>
        <v/>
      </c>
      <c r="N3434" s="55" t="str">
        <f>IFERROR(IF(OR($B3434="",$B3434="(blank)"),"",VLOOKUP($B3434,'Email Marketing Raw Data'!$C:$O,6,0)),"")</f>
        <v/>
      </c>
      <c r="O3434" s="55" t="str">
        <f>IFERROR(IF(OR($B3434="",$B3434="(blank)"),"",VLOOKUP($B3434,'Email Marketing Raw Data'!$C:$O,7,0)),"")</f>
        <v/>
      </c>
      <c r="P3434" s="55" t="str">
        <f>IFERROR(IF(OR($B3434="",$B3434="(blank)"),"",VLOOKUP($B3434,'Email Marketing Raw Data'!$C:$O,8,0)),"")</f>
        <v/>
      </c>
      <c r="Q3434" s="62" t="str">
        <f>IFERROR(IF(OR($B3434="",$B3434="(blank)"),"",VLOOKUP($B3434,'Email Marketing Raw Data'!$C:$O,9,0)),"")</f>
        <v/>
      </c>
    </row>
    <row r="3435" spans="4:17" ht="12.75" customHeight="1" x14ac:dyDescent="0.2">
      <c r="D3435" s="58" t="str">
        <f>IFERROR(IF(F3435&lt;&gt;"pending","",IF(OR($B3435="",$B3435="(blank)"),"",VLOOKUP($B3435,'Email Marketing Raw Data'!$C:$O,10,0))),"")</f>
        <v/>
      </c>
      <c r="E3435" s="59" t="str">
        <f>IFERROR(IF(F3435&lt;&gt;"pending","",IF(OR($B3435="",$B3435="(blank)"),"",VLOOKUP($B3435,'Email Marketing Raw Data'!$C:$O,11,0))),"")</f>
        <v/>
      </c>
      <c r="F3435" s="54" t="str">
        <f>IFERROR(IF(OR($B3435="",$B3435="(blank)"),"",VLOOKUP($B3435,'Email Marketing Raw Data'!$C:$O,13,0)),"")</f>
        <v/>
      </c>
      <c r="G3435" s="55" t="str">
        <f>IFERROR(IF(OR($B3435="",$B3435="(blank)"),"",VLOOKUP($B3435,'Email Marketing Raw Data'!$C:$O,4,0)),"")</f>
        <v/>
      </c>
      <c r="H3435" s="55" t="str">
        <f>IFERROR(IF(OR($B3435="",$B3435="(blank)"),"",VLOOKUP($B3435,'Email Marketing Raw Data'!$C:$O,5,0)),"")</f>
        <v/>
      </c>
      <c r="I3435" s="55" t="str">
        <f>IFERROR(IF($G3435="","",VLOOKUP('Dashboard And Emails Automate'!$G3435,Database!$H:$N,3,0)),"")</f>
        <v/>
      </c>
      <c r="J3435" s="55" t="str">
        <f>IFERROR(IF($G3435="","",VLOOKUP('Dashboard And Emails Automate'!$G3435,Database!$H:$N,4,0)),"")</f>
        <v/>
      </c>
      <c r="K3435" s="55" t="str">
        <f>IFERROR(IF($G3435="","",VLOOKUP('Dashboard And Emails Automate'!$G3435,Database!$H:$N,5,0)),"")</f>
        <v/>
      </c>
      <c r="L3435" s="55" t="str">
        <f>IFERROR(IF($G3435="","",VLOOKUP('Dashboard And Emails Automate'!$G3435,Database!$H:$N,6,0)),"")</f>
        <v/>
      </c>
      <c r="M3435" s="55" t="str">
        <f>IFERROR(IF($G3435="","",VLOOKUP('Dashboard And Emails Automate'!$G3435,Database!$H:$N,7,0)),"")</f>
        <v/>
      </c>
      <c r="N3435" s="55" t="str">
        <f>IFERROR(IF(OR($B3435="",$B3435="(blank)"),"",VLOOKUP($B3435,'Email Marketing Raw Data'!$C:$O,6,0)),"")</f>
        <v/>
      </c>
      <c r="O3435" s="55" t="str">
        <f>IFERROR(IF(OR($B3435="",$B3435="(blank)"),"",VLOOKUP($B3435,'Email Marketing Raw Data'!$C:$O,7,0)),"")</f>
        <v/>
      </c>
      <c r="P3435" s="55" t="str">
        <f>IFERROR(IF(OR($B3435="",$B3435="(blank)"),"",VLOOKUP($B3435,'Email Marketing Raw Data'!$C:$O,8,0)),"")</f>
        <v/>
      </c>
      <c r="Q3435" s="62" t="str">
        <f>IFERROR(IF(OR($B3435="",$B3435="(blank)"),"",VLOOKUP($B3435,'Email Marketing Raw Data'!$C:$O,9,0)),"")</f>
        <v/>
      </c>
    </row>
    <row r="3436" spans="4:17" ht="12.75" customHeight="1" x14ac:dyDescent="0.2">
      <c r="D3436" s="58" t="str">
        <f>IFERROR(IF(F3436&lt;&gt;"pending","",IF(OR($B3436="",$B3436="(blank)"),"",VLOOKUP($B3436,'Email Marketing Raw Data'!$C:$O,10,0))),"")</f>
        <v/>
      </c>
      <c r="E3436" s="59" t="str">
        <f>IFERROR(IF(F3436&lt;&gt;"pending","",IF(OR($B3436="",$B3436="(blank)"),"",VLOOKUP($B3436,'Email Marketing Raw Data'!$C:$O,11,0))),"")</f>
        <v/>
      </c>
      <c r="F3436" s="54" t="str">
        <f>IFERROR(IF(OR($B3436="",$B3436="(blank)"),"",VLOOKUP($B3436,'Email Marketing Raw Data'!$C:$O,13,0)),"")</f>
        <v/>
      </c>
      <c r="G3436" s="55" t="str">
        <f>IFERROR(IF(OR($B3436="",$B3436="(blank)"),"",VLOOKUP($B3436,'Email Marketing Raw Data'!$C:$O,4,0)),"")</f>
        <v/>
      </c>
      <c r="H3436" s="55" t="str">
        <f>IFERROR(IF(OR($B3436="",$B3436="(blank)"),"",VLOOKUP($B3436,'Email Marketing Raw Data'!$C:$O,5,0)),"")</f>
        <v/>
      </c>
      <c r="I3436" s="55" t="str">
        <f>IFERROR(IF($G3436="","",VLOOKUP('Dashboard And Emails Automate'!$G3436,Database!$H:$N,3,0)),"")</f>
        <v/>
      </c>
      <c r="J3436" s="55" t="str">
        <f>IFERROR(IF($G3436="","",VLOOKUP('Dashboard And Emails Automate'!$G3436,Database!$H:$N,4,0)),"")</f>
        <v/>
      </c>
      <c r="K3436" s="55" t="str">
        <f>IFERROR(IF($G3436="","",VLOOKUP('Dashboard And Emails Automate'!$G3436,Database!$H:$N,5,0)),"")</f>
        <v/>
      </c>
      <c r="L3436" s="55" t="str">
        <f>IFERROR(IF($G3436="","",VLOOKUP('Dashboard And Emails Automate'!$G3436,Database!$H:$N,6,0)),"")</f>
        <v/>
      </c>
      <c r="M3436" s="55" t="str">
        <f>IFERROR(IF($G3436="","",VLOOKUP('Dashboard And Emails Automate'!$G3436,Database!$H:$N,7,0)),"")</f>
        <v/>
      </c>
      <c r="N3436" s="55" t="str">
        <f>IFERROR(IF(OR($B3436="",$B3436="(blank)"),"",VLOOKUP($B3436,'Email Marketing Raw Data'!$C:$O,6,0)),"")</f>
        <v/>
      </c>
      <c r="O3436" s="55" t="str">
        <f>IFERROR(IF(OR($B3436="",$B3436="(blank)"),"",VLOOKUP($B3436,'Email Marketing Raw Data'!$C:$O,7,0)),"")</f>
        <v/>
      </c>
      <c r="P3436" s="55" t="str">
        <f>IFERROR(IF(OR($B3436="",$B3436="(blank)"),"",VLOOKUP($B3436,'Email Marketing Raw Data'!$C:$O,8,0)),"")</f>
        <v/>
      </c>
      <c r="Q3436" s="62" t="str">
        <f>IFERROR(IF(OR($B3436="",$B3436="(blank)"),"",VLOOKUP($B3436,'Email Marketing Raw Data'!$C:$O,9,0)),"")</f>
        <v/>
      </c>
    </row>
    <row r="3437" spans="4:17" ht="12.75" customHeight="1" x14ac:dyDescent="0.2">
      <c r="D3437" s="58" t="str">
        <f>IFERROR(IF(F3437&lt;&gt;"pending","",IF(OR($B3437="",$B3437="(blank)"),"",VLOOKUP($B3437,'Email Marketing Raw Data'!$C:$O,10,0))),"")</f>
        <v/>
      </c>
      <c r="E3437" s="59" t="str">
        <f>IFERROR(IF(F3437&lt;&gt;"pending","",IF(OR($B3437="",$B3437="(blank)"),"",VLOOKUP($B3437,'Email Marketing Raw Data'!$C:$O,11,0))),"")</f>
        <v/>
      </c>
      <c r="F3437" s="54" t="str">
        <f>IFERROR(IF(OR($B3437="",$B3437="(blank)"),"",VLOOKUP($B3437,'Email Marketing Raw Data'!$C:$O,13,0)),"")</f>
        <v/>
      </c>
      <c r="G3437" s="55" t="str">
        <f>IFERROR(IF(OR($B3437="",$B3437="(blank)"),"",VLOOKUP($B3437,'Email Marketing Raw Data'!$C:$O,4,0)),"")</f>
        <v/>
      </c>
      <c r="H3437" s="55" t="str">
        <f>IFERROR(IF(OR($B3437="",$B3437="(blank)"),"",VLOOKUP($B3437,'Email Marketing Raw Data'!$C:$O,5,0)),"")</f>
        <v/>
      </c>
      <c r="I3437" s="55" t="str">
        <f>IFERROR(IF($G3437="","",VLOOKUP('Dashboard And Emails Automate'!$G3437,Database!$H:$N,3,0)),"")</f>
        <v/>
      </c>
      <c r="J3437" s="55" t="str">
        <f>IFERROR(IF($G3437="","",VLOOKUP('Dashboard And Emails Automate'!$G3437,Database!$H:$N,4,0)),"")</f>
        <v/>
      </c>
      <c r="K3437" s="55" t="str">
        <f>IFERROR(IF($G3437="","",VLOOKUP('Dashboard And Emails Automate'!$G3437,Database!$H:$N,5,0)),"")</f>
        <v/>
      </c>
      <c r="L3437" s="55" t="str">
        <f>IFERROR(IF($G3437="","",VLOOKUP('Dashboard And Emails Automate'!$G3437,Database!$H:$N,6,0)),"")</f>
        <v/>
      </c>
      <c r="M3437" s="55" t="str">
        <f>IFERROR(IF($G3437="","",VLOOKUP('Dashboard And Emails Automate'!$G3437,Database!$H:$N,7,0)),"")</f>
        <v/>
      </c>
      <c r="N3437" s="55" t="str">
        <f>IFERROR(IF(OR($B3437="",$B3437="(blank)"),"",VLOOKUP($B3437,'Email Marketing Raw Data'!$C:$O,6,0)),"")</f>
        <v/>
      </c>
      <c r="O3437" s="55" t="str">
        <f>IFERROR(IF(OR($B3437="",$B3437="(blank)"),"",VLOOKUP($B3437,'Email Marketing Raw Data'!$C:$O,7,0)),"")</f>
        <v/>
      </c>
      <c r="P3437" s="55" t="str">
        <f>IFERROR(IF(OR($B3437="",$B3437="(blank)"),"",VLOOKUP($B3437,'Email Marketing Raw Data'!$C:$O,8,0)),"")</f>
        <v/>
      </c>
      <c r="Q3437" s="62" t="str">
        <f>IFERROR(IF(OR($B3437="",$B3437="(blank)"),"",VLOOKUP($B3437,'Email Marketing Raw Data'!$C:$O,9,0)),"")</f>
        <v/>
      </c>
    </row>
    <row r="3438" spans="4:17" ht="12.75" customHeight="1" x14ac:dyDescent="0.2">
      <c r="D3438" s="58" t="str">
        <f>IFERROR(IF(F3438&lt;&gt;"pending","",IF(OR($B3438="",$B3438="(blank)"),"",VLOOKUP($B3438,'Email Marketing Raw Data'!$C:$O,10,0))),"")</f>
        <v/>
      </c>
      <c r="E3438" s="59" t="str">
        <f>IFERROR(IF(F3438&lt;&gt;"pending","",IF(OR($B3438="",$B3438="(blank)"),"",VLOOKUP($B3438,'Email Marketing Raw Data'!$C:$O,11,0))),"")</f>
        <v/>
      </c>
      <c r="F3438" s="54" t="str">
        <f>IFERROR(IF(OR($B3438="",$B3438="(blank)"),"",VLOOKUP($B3438,'Email Marketing Raw Data'!$C:$O,13,0)),"")</f>
        <v/>
      </c>
      <c r="G3438" s="55" t="str">
        <f>IFERROR(IF(OR($B3438="",$B3438="(blank)"),"",VLOOKUP($B3438,'Email Marketing Raw Data'!$C:$O,4,0)),"")</f>
        <v/>
      </c>
      <c r="H3438" s="55" t="str">
        <f>IFERROR(IF(OR($B3438="",$B3438="(blank)"),"",VLOOKUP($B3438,'Email Marketing Raw Data'!$C:$O,5,0)),"")</f>
        <v/>
      </c>
      <c r="I3438" s="55" t="str">
        <f>IFERROR(IF($G3438="","",VLOOKUP('Dashboard And Emails Automate'!$G3438,Database!$H:$N,3,0)),"")</f>
        <v/>
      </c>
      <c r="J3438" s="55" t="str">
        <f>IFERROR(IF($G3438="","",VLOOKUP('Dashboard And Emails Automate'!$G3438,Database!$H:$N,4,0)),"")</f>
        <v/>
      </c>
      <c r="K3438" s="55" t="str">
        <f>IFERROR(IF($G3438="","",VLOOKUP('Dashboard And Emails Automate'!$G3438,Database!$H:$N,5,0)),"")</f>
        <v/>
      </c>
      <c r="L3438" s="55" t="str">
        <f>IFERROR(IF($G3438="","",VLOOKUP('Dashboard And Emails Automate'!$G3438,Database!$H:$N,6,0)),"")</f>
        <v/>
      </c>
      <c r="M3438" s="55" t="str">
        <f>IFERROR(IF($G3438="","",VLOOKUP('Dashboard And Emails Automate'!$G3438,Database!$H:$N,7,0)),"")</f>
        <v/>
      </c>
      <c r="N3438" s="55" t="str">
        <f>IFERROR(IF(OR($B3438="",$B3438="(blank)"),"",VLOOKUP($B3438,'Email Marketing Raw Data'!$C:$O,6,0)),"")</f>
        <v/>
      </c>
      <c r="O3438" s="55" t="str">
        <f>IFERROR(IF(OR($B3438="",$B3438="(blank)"),"",VLOOKUP($B3438,'Email Marketing Raw Data'!$C:$O,7,0)),"")</f>
        <v/>
      </c>
      <c r="P3438" s="55" t="str">
        <f>IFERROR(IF(OR($B3438="",$B3438="(blank)"),"",VLOOKUP($B3438,'Email Marketing Raw Data'!$C:$O,8,0)),"")</f>
        <v/>
      </c>
      <c r="Q3438" s="62" t="str">
        <f>IFERROR(IF(OR($B3438="",$B3438="(blank)"),"",VLOOKUP($B3438,'Email Marketing Raw Data'!$C:$O,9,0)),"")</f>
        <v/>
      </c>
    </row>
    <row r="3439" spans="4:17" ht="12.75" customHeight="1" x14ac:dyDescent="0.2">
      <c r="D3439" s="58" t="str">
        <f>IFERROR(IF(F3439&lt;&gt;"pending","",IF(OR($B3439="",$B3439="(blank)"),"",VLOOKUP($B3439,'Email Marketing Raw Data'!$C:$O,10,0))),"")</f>
        <v/>
      </c>
      <c r="E3439" s="59" t="str">
        <f>IFERROR(IF(F3439&lt;&gt;"pending","",IF(OR($B3439="",$B3439="(blank)"),"",VLOOKUP($B3439,'Email Marketing Raw Data'!$C:$O,11,0))),"")</f>
        <v/>
      </c>
      <c r="F3439" s="54" t="str">
        <f>IFERROR(IF(OR($B3439="",$B3439="(blank)"),"",VLOOKUP($B3439,'Email Marketing Raw Data'!$C:$O,13,0)),"")</f>
        <v/>
      </c>
      <c r="G3439" s="55" t="str">
        <f>IFERROR(IF(OR($B3439="",$B3439="(blank)"),"",VLOOKUP($B3439,'Email Marketing Raw Data'!$C:$O,4,0)),"")</f>
        <v/>
      </c>
      <c r="H3439" s="55" t="str">
        <f>IFERROR(IF(OR($B3439="",$B3439="(blank)"),"",VLOOKUP($B3439,'Email Marketing Raw Data'!$C:$O,5,0)),"")</f>
        <v/>
      </c>
      <c r="I3439" s="55" t="str">
        <f>IFERROR(IF($G3439="","",VLOOKUP('Dashboard And Emails Automate'!$G3439,Database!$H:$N,3,0)),"")</f>
        <v/>
      </c>
      <c r="J3439" s="55" t="str">
        <f>IFERROR(IF($G3439="","",VLOOKUP('Dashboard And Emails Automate'!$G3439,Database!$H:$N,4,0)),"")</f>
        <v/>
      </c>
      <c r="K3439" s="55" t="str">
        <f>IFERROR(IF($G3439="","",VLOOKUP('Dashboard And Emails Automate'!$G3439,Database!$H:$N,5,0)),"")</f>
        <v/>
      </c>
      <c r="L3439" s="55" t="str">
        <f>IFERROR(IF($G3439="","",VLOOKUP('Dashboard And Emails Automate'!$G3439,Database!$H:$N,6,0)),"")</f>
        <v/>
      </c>
      <c r="M3439" s="55" t="str">
        <f>IFERROR(IF($G3439="","",VLOOKUP('Dashboard And Emails Automate'!$G3439,Database!$H:$N,7,0)),"")</f>
        <v/>
      </c>
      <c r="N3439" s="55" t="str">
        <f>IFERROR(IF(OR($B3439="",$B3439="(blank)"),"",VLOOKUP($B3439,'Email Marketing Raw Data'!$C:$O,6,0)),"")</f>
        <v/>
      </c>
      <c r="O3439" s="55" t="str">
        <f>IFERROR(IF(OR($B3439="",$B3439="(blank)"),"",VLOOKUP($B3439,'Email Marketing Raw Data'!$C:$O,7,0)),"")</f>
        <v/>
      </c>
      <c r="P3439" s="55" t="str">
        <f>IFERROR(IF(OR($B3439="",$B3439="(blank)"),"",VLOOKUP($B3439,'Email Marketing Raw Data'!$C:$O,8,0)),"")</f>
        <v/>
      </c>
      <c r="Q3439" s="62" t="str">
        <f>IFERROR(IF(OR($B3439="",$B3439="(blank)"),"",VLOOKUP($B3439,'Email Marketing Raw Data'!$C:$O,9,0)),"")</f>
        <v/>
      </c>
    </row>
    <row r="3440" spans="4:17" ht="12.75" customHeight="1" x14ac:dyDescent="0.2">
      <c r="D3440" s="58" t="str">
        <f>IFERROR(IF(F3440&lt;&gt;"pending","",IF(OR($B3440="",$B3440="(blank)"),"",VLOOKUP($B3440,'Email Marketing Raw Data'!$C:$O,10,0))),"")</f>
        <v/>
      </c>
      <c r="E3440" s="59" t="str">
        <f>IFERROR(IF(F3440&lt;&gt;"pending","",IF(OR($B3440="",$B3440="(blank)"),"",VLOOKUP($B3440,'Email Marketing Raw Data'!$C:$O,11,0))),"")</f>
        <v/>
      </c>
      <c r="F3440" s="54" t="str">
        <f>IFERROR(IF(OR($B3440="",$B3440="(blank)"),"",VLOOKUP($B3440,'Email Marketing Raw Data'!$C:$O,13,0)),"")</f>
        <v/>
      </c>
      <c r="G3440" s="55" t="str">
        <f>IFERROR(IF(OR($B3440="",$B3440="(blank)"),"",VLOOKUP($B3440,'Email Marketing Raw Data'!$C:$O,4,0)),"")</f>
        <v/>
      </c>
      <c r="H3440" s="55" t="str">
        <f>IFERROR(IF(OR($B3440="",$B3440="(blank)"),"",VLOOKUP($B3440,'Email Marketing Raw Data'!$C:$O,5,0)),"")</f>
        <v/>
      </c>
      <c r="I3440" s="55" t="str">
        <f>IFERROR(IF($G3440="","",VLOOKUP('Dashboard And Emails Automate'!$G3440,Database!$H:$N,3,0)),"")</f>
        <v/>
      </c>
      <c r="J3440" s="55" t="str">
        <f>IFERROR(IF($G3440="","",VLOOKUP('Dashboard And Emails Automate'!$G3440,Database!$H:$N,4,0)),"")</f>
        <v/>
      </c>
      <c r="K3440" s="55" t="str">
        <f>IFERROR(IF($G3440="","",VLOOKUP('Dashboard And Emails Automate'!$G3440,Database!$H:$N,5,0)),"")</f>
        <v/>
      </c>
      <c r="L3440" s="55" t="str">
        <f>IFERROR(IF($G3440="","",VLOOKUP('Dashboard And Emails Automate'!$G3440,Database!$H:$N,6,0)),"")</f>
        <v/>
      </c>
      <c r="M3440" s="55" t="str">
        <f>IFERROR(IF($G3440="","",VLOOKUP('Dashboard And Emails Automate'!$G3440,Database!$H:$N,7,0)),"")</f>
        <v/>
      </c>
      <c r="N3440" s="55" t="str">
        <f>IFERROR(IF(OR($B3440="",$B3440="(blank)"),"",VLOOKUP($B3440,'Email Marketing Raw Data'!$C:$O,6,0)),"")</f>
        <v/>
      </c>
      <c r="O3440" s="55" t="str">
        <f>IFERROR(IF(OR($B3440="",$B3440="(blank)"),"",VLOOKUP($B3440,'Email Marketing Raw Data'!$C:$O,7,0)),"")</f>
        <v/>
      </c>
      <c r="P3440" s="55" t="str">
        <f>IFERROR(IF(OR($B3440="",$B3440="(blank)"),"",VLOOKUP($B3440,'Email Marketing Raw Data'!$C:$O,8,0)),"")</f>
        <v/>
      </c>
      <c r="Q3440" s="62" t="str">
        <f>IFERROR(IF(OR($B3440="",$B3440="(blank)"),"",VLOOKUP($B3440,'Email Marketing Raw Data'!$C:$O,9,0)),"")</f>
        <v/>
      </c>
    </row>
    <row r="3441" spans="4:17" ht="12.75" customHeight="1" x14ac:dyDescent="0.2">
      <c r="D3441" s="58" t="str">
        <f>IFERROR(IF(F3441&lt;&gt;"pending","",IF(OR($B3441="",$B3441="(blank)"),"",VLOOKUP($B3441,'Email Marketing Raw Data'!$C:$O,10,0))),"")</f>
        <v/>
      </c>
      <c r="E3441" s="59" t="str">
        <f>IFERROR(IF(F3441&lt;&gt;"pending","",IF(OR($B3441="",$B3441="(blank)"),"",VLOOKUP($B3441,'Email Marketing Raw Data'!$C:$O,11,0))),"")</f>
        <v/>
      </c>
      <c r="F3441" s="54" t="str">
        <f>IFERROR(IF(OR($B3441="",$B3441="(blank)"),"",VLOOKUP($B3441,'Email Marketing Raw Data'!$C:$O,13,0)),"")</f>
        <v/>
      </c>
      <c r="G3441" s="55" t="str">
        <f>IFERROR(IF(OR($B3441="",$B3441="(blank)"),"",VLOOKUP($B3441,'Email Marketing Raw Data'!$C:$O,4,0)),"")</f>
        <v/>
      </c>
      <c r="H3441" s="55" t="str">
        <f>IFERROR(IF(OR($B3441="",$B3441="(blank)"),"",VLOOKUP($B3441,'Email Marketing Raw Data'!$C:$O,5,0)),"")</f>
        <v/>
      </c>
      <c r="I3441" s="55" t="str">
        <f>IFERROR(IF($G3441="","",VLOOKUP('Dashboard And Emails Automate'!$G3441,Database!$H:$N,3,0)),"")</f>
        <v/>
      </c>
      <c r="J3441" s="55" t="str">
        <f>IFERROR(IF($G3441="","",VLOOKUP('Dashboard And Emails Automate'!$G3441,Database!$H:$N,4,0)),"")</f>
        <v/>
      </c>
      <c r="K3441" s="55" t="str">
        <f>IFERROR(IF($G3441="","",VLOOKUP('Dashboard And Emails Automate'!$G3441,Database!$H:$N,5,0)),"")</f>
        <v/>
      </c>
      <c r="L3441" s="55" t="str">
        <f>IFERROR(IF($G3441="","",VLOOKUP('Dashboard And Emails Automate'!$G3441,Database!$H:$N,6,0)),"")</f>
        <v/>
      </c>
      <c r="M3441" s="55" t="str">
        <f>IFERROR(IF($G3441="","",VLOOKUP('Dashboard And Emails Automate'!$G3441,Database!$H:$N,7,0)),"")</f>
        <v/>
      </c>
      <c r="N3441" s="55" t="str">
        <f>IFERROR(IF(OR($B3441="",$B3441="(blank)"),"",VLOOKUP($B3441,'Email Marketing Raw Data'!$C:$O,6,0)),"")</f>
        <v/>
      </c>
      <c r="O3441" s="55" t="str">
        <f>IFERROR(IF(OR($B3441="",$B3441="(blank)"),"",VLOOKUP($B3441,'Email Marketing Raw Data'!$C:$O,7,0)),"")</f>
        <v/>
      </c>
      <c r="P3441" s="55" t="str">
        <f>IFERROR(IF(OR($B3441="",$B3441="(blank)"),"",VLOOKUP($B3441,'Email Marketing Raw Data'!$C:$O,8,0)),"")</f>
        <v/>
      </c>
      <c r="Q3441" s="62" t="str">
        <f>IFERROR(IF(OR($B3441="",$B3441="(blank)"),"",VLOOKUP($B3441,'Email Marketing Raw Data'!$C:$O,9,0)),"")</f>
        <v/>
      </c>
    </row>
    <row r="3442" spans="4:17" ht="12.75" customHeight="1" x14ac:dyDescent="0.2">
      <c r="D3442" s="58" t="str">
        <f>IFERROR(IF(F3442&lt;&gt;"pending","",IF(OR($B3442="",$B3442="(blank)"),"",VLOOKUP($B3442,'Email Marketing Raw Data'!$C:$O,10,0))),"")</f>
        <v/>
      </c>
      <c r="E3442" s="59" t="str">
        <f>IFERROR(IF(F3442&lt;&gt;"pending","",IF(OR($B3442="",$B3442="(blank)"),"",VLOOKUP($B3442,'Email Marketing Raw Data'!$C:$O,11,0))),"")</f>
        <v/>
      </c>
      <c r="F3442" s="54" t="str">
        <f>IFERROR(IF(OR($B3442="",$B3442="(blank)"),"",VLOOKUP($B3442,'Email Marketing Raw Data'!$C:$O,13,0)),"")</f>
        <v/>
      </c>
      <c r="G3442" s="55" t="str">
        <f>IFERROR(IF(OR($B3442="",$B3442="(blank)"),"",VLOOKUP($B3442,'Email Marketing Raw Data'!$C:$O,4,0)),"")</f>
        <v/>
      </c>
      <c r="H3442" s="55" t="str">
        <f>IFERROR(IF(OR($B3442="",$B3442="(blank)"),"",VLOOKUP($B3442,'Email Marketing Raw Data'!$C:$O,5,0)),"")</f>
        <v/>
      </c>
      <c r="I3442" s="55" t="str">
        <f>IFERROR(IF($G3442="","",VLOOKUP('Dashboard And Emails Automate'!$G3442,Database!$H:$N,3,0)),"")</f>
        <v/>
      </c>
      <c r="J3442" s="55" t="str">
        <f>IFERROR(IF($G3442="","",VLOOKUP('Dashboard And Emails Automate'!$G3442,Database!$H:$N,4,0)),"")</f>
        <v/>
      </c>
      <c r="K3442" s="55" t="str">
        <f>IFERROR(IF($G3442="","",VLOOKUP('Dashboard And Emails Automate'!$G3442,Database!$H:$N,5,0)),"")</f>
        <v/>
      </c>
      <c r="L3442" s="55" t="str">
        <f>IFERROR(IF($G3442="","",VLOOKUP('Dashboard And Emails Automate'!$G3442,Database!$H:$N,6,0)),"")</f>
        <v/>
      </c>
      <c r="M3442" s="55" t="str">
        <f>IFERROR(IF($G3442="","",VLOOKUP('Dashboard And Emails Automate'!$G3442,Database!$H:$N,7,0)),"")</f>
        <v/>
      </c>
      <c r="N3442" s="55" t="str">
        <f>IFERROR(IF(OR($B3442="",$B3442="(blank)"),"",VLOOKUP($B3442,'Email Marketing Raw Data'!$C:$O,6,0)),"")</f>
        <v/>
      </c>
      <c r="O3442" s="55" t="str">
        <f>IFERROR(IF(OR($B3442="",$B3442="(blank)"),"",VLOOKUP($B3442,'Email Marketing Raw Data'!$C:$O,7,0)),"")</f>
        <v/>
      </c>
      <c r="P3442" s="55" t="str">
        <f>IFERROR(IF(OR($B3442="",$B3442="(blank)"),"",VLOOKUP($B3442,'Email Marketing Raw Data'!$C:$O,8,0)),"")</f>
        <v/>
      </c>
      <c r="Q3442" s="62" t="str">
        <f>IFERROR(IF(OR($B3442="",$B3442="(blank)"),"",VLOOKUP($B3442,'Email Marketing Raw Data'!$C:$O,9,0)),"")</f>
        <v/>
      </c>
    </row>
    <row r="3443" spans="4:17" ht="12.75" customHeight="1" x14ac:dyDescent="0.2">
      <c r="D3443" s="58" t="str">
        <f>IFERROR(IF(F3443&lt;&gt;"pending","",IF(OR($B3443="",$B3443="(blank)"),"",VLOOKUP($B3443,'Email Marketing Raw Data'!$C:$O,10,0))),"")</f>
        <v/>
      </c>
      <c r="E3443" s="59" t="str">
        <f>IFERROR(IF(F3443&lt;&gt;"pending","",IF(OR($B3443="",$B3443="(blank)"),"",VLOOKUP($B3443,'Email Marketing Raw Data'!$C:$O,11,0))),"")</f>
        <v/>
      </c>
      <c r="F3443" s="54" t="str">
        <f>IFERROR(IF(OR($B3443="",$B3443="(blank)"),"",VLOOKUP($B3443,'Email Marketing Raw Data'!$C:$O,13,0)),"")</f>
        <v/>
      </c>
      <c r="G3443" s="55" t="str">
        <f>IFERROR(IF(OR($B3443="",$B3443="(blank)"),"",VLOOKUP($B3443,'Email Marketing Raw Data'!$C:$O,4,0)),"")</f>
        <v/>
      </c>
      <c r="H3443" s="55" t="str">
        <f>IFERROR(IF(OR($B3443="",$B3443="(blank)"),"",VLOOKUP($B3443,'Email Marketing Raw Data'!$C:$O,5,0)),"")</f>
        <v/>
      </c>
      <c r="I3443" s="55" t="str">
        <f>IFERROR(IF($G3443="","",VLOOKUP('Dashboard And Emails Automate'!$G3443,Database!$H:$N,3,0)),"")</f>
        <v/>
      </c>
      <c r="J3443" s="55" t="str">
        <f>IFERROR(IF($G3443="","",VLOOKUP('Dashboard And Emails Automate'!$G3443,Database!$H:$N,4,0)),"")</f>
        <v/>
      </c>
      <c r="K3443" s="55" t="str">
        <f>IFERROR(IF($G3443="","",VLOOKUP('Dashboard And Emails Automate'!$G3443,Database!$H:$N,5,0)),"")</f>
        <v/>
      </c>
      <c r="L3443" s="55" t="str">
        <f>IFERROR(IF($G3443="","",VLOOKUP('Dashboard And Emails Automate'!$G3443,Database!$H:$N,6,0)),"")</f>
        <v/>
      </c>
      <c r="M3443" s="55" t="str">
        <f>IFERROR(IF($G3443="","",VLOOKUP('Dashboard And Emails Automate'!$G3443,Database!$H:$N,7,0)),"")</f>
        <v/>
      </c>
      <c r="N3443" s="55" t="str">
        <f>IFERROR(IF(OR($B3443="",$B3443="(blank)"),"",VLOOKUP($B3443,'Email Marketing Raw Data'!$C:$O,6,0)),"")</f>
        <v/>
      </c>
      <c r="O3443" s="55" t="str">
        <f>IFERROR(IF(OR($B3443="",$B3443="(blank)"),"",VLOOKUP($B3443,'Email Marketing Raw Data'!$C:$O,7,0)),"")</f>
        <v/>
      </c>
      <c r="P3443" s="55" t="str">
        <f>IFERROR(IF(OR($B3443="",$B3443="(blank)"),"",VLOOKUP($B3443,'Email Marketing Raw Data'!$C:$O,8,0)),"")</f>
        <v/>
      </c>
      <c r="Q3443" s="62" t="str">
        <f>IFERROR(IF(OR($B3443="",$B3443="(blank)"),"",VLOOKUP($B3443,'Email Marketing Raw Data'!$C:$O,9,0)),"")</f>
        <v/>
      </c>
    </row>
    <row r="3444" spans="4:17" ht="12.75" customHeight="1" x14ac:dyDescent="0.2">
      <c r="D3444" s="58" t="str">
        <f>IFERROR(IF(F3444&lt;&gt;"pending","",IF(OR($B3444="",$B3444="(blank)"),"",VLOOKUP($B3444,'Email Marketing Raw Data'!$C:$O,10,0))),"")</f>
        <v/>
      </c>
      <c r="E3444" s="59" t="str">
        <f>IFERROR(IF(F3444&lt;&gt;"pending","",IF(OR($B3444="",$B3444="(blank)"),"",VLOOKUP($B3444,'Email Marketing Raw Data'!$C:$O,11,0))),"")</f>
        <v/>
      </c>
      <c r="F3444" s="54" t="str">
        <f>IFERROR(IF(OR($B3444="",$B3444="(blank)"),"",VLOOKUP($B3444,'Email Marketing Raw Data'!$C:$O,13,0)),"")</f>
        <v/>
      </c>
      <c r="G3444" s="55" t="str">
        <f>IFERROR(IF(OR($B3444="",$B3444="(blank)"),"",VLOOKUP($B3444,'Email Marketing Raw Data'!$C:$O,4,0)),"")</f>
        <v/>
      </c>
      <c r="H3444" s="55" t="str">
        <f>IFERROR(IF(OR($B3444="",$B3444="(blank)"),"",VLOOKUP($B3444,'Email Marketing Raw Data'!$C:$O,5,0)),"")</f>
        <v/>
      </c>
      <c r="I3444" s="55" t="str">
        <f>IFERROR(IF($G3444="","",VLOOKUP('Dashboard And Emails Automate'!$G3444,Database!$H:$N,3,0)),"")</f>
        <v/>
      </c>
      <c r="J3444" s="55" t="str">
        <f>IFERROR(IF($G3444="","",VLOOKUP('Dashboard And Emails Automate'!$G3444,Database!$H:$N,4,0)),"")</f>
        <v/>
      </c>
      <c r="K3444" s="55" t="str">
        <f>IFERROR(IF($G3444="","",VLOOKUP('Dashboard And Emails Automate'!$G3444,Database!$H:$N,5,0)),"")</f>
        <v/>
      </c>
      <c r="L3444" s="55" t="str">
        <f>IFERROR(IF($G3444="","",VLOOKUP('Dashboard And Emails Automate'!$G3444,Database!$H:$N,6,0)),"")</f>
        <v/>
      </c>
      <c r="M3444" s="55" t="str">
        <f>IFERROR(IF($G3444="","",VLOOKUP('Dashboard And Emails Automate'!$G3444,Database!$H:$N,7,0)),"")</f>
        <v/>
      </c>
      <c r="N3444" s="55" t="str">
        <f>IFERROR(IF(OR($B3444="",$B3444="(blank)"),"",VLOOKUP($B3444,'Email Marketing Raw Data'!$C:$O,6,0)),"")</f>
        <v/>
      </c>
      <c r="O3444" s="55" t="str">
        <f>IFERROR(IF(OR($B3444="",$B3444="(blank)"),"",VLOOKUP($B3444,'Email Marketing Raw Data'!$C:$O,7,0)),"")</f>
        <v/>
      </c>
      <c r="P3444" s="55" t="str">
        <f>IFERROR(IF(OR($B3444="",$B3444="(blank)"),"",VLOOKUP($B3444,'Email Marketing Raw Data'!$C:$O,8,0)),"")</f>
        <v/>
      </c>
      <c r="Q3444" s="62" t="str">
        <f>IFERROR(IF(OR($B3444="",$B3444="(blank)"),"",VLOOKUP($B3444,'Email Marketing Raw Data'!$C:$O,9,0)),"")</f>
        <v/>
      </c>
    </row>
    <row r="3445" spans="4:17" ht="12.75" customHeight="1" x14ac:dyDescent="0.2">
      <c r="D3445" s="58" t="str">
        <f>IFERROR(IF(F3445&lt;&gt;"pending","",IF(OR($B3445="",$B3445="(blank)"),"",VLOOKUP($B3445,'Email Marketing Raw Data'!$C:$O,10,0))),"")</f>
        <v/>
      </c>
      <c r="E3445" s="59" t="str">
        <f>IFERROR(IF(F3445&lt;&gt;"pending","",IF(OR($B3445="",$B3445="(blank)"),"",VLOOKUP($B3445,'Email Marketing Raw Data'!$C:$O,11,0))),"")</f>
        <v/>
      </c>
      <c r="F3445" s="54" t="str">
        <f>IFERROR(IF(OR($B3445="",$B3445="(blank)"),"",VLOOKUP($B3445,'Email Marketing Raw Data'!$C:$O,13,0)),"")</f>
        <v/>
      </c>
      <c r="G3445" s="55" t="str">
        <f>IFERROR(IF(OR($B3445="",$B3445="(blank)"),"",VLOOKUP($B3445,'Email Marketing Raw Data'!$C:$O,4,0)),"")</f>
        <v/>
      </c>
      <c r="H3445" s="55" t="str">
        <f>IFERROR(IF(OR($B3445="",$B3445="(blank)"),"",VLOOKUP($B3445,'Email Marketing Raw Data'!$C:$O,5,0)),"")</f>
        <v/>
      </c>
      <c r="I3445" s="55" t="str">
        <f>IFERROR(IF($G3445="","",VLOOKUP('Dashboard And Emails Automate'!$G3445,Database!$H:$N,3,0)),"")</f>
        <v/>
      </c>
      <c r="J3445" s="55" t="str">
        <f>IFERROR(IF($G3445="","",VLOOKUP('Dashboard And Emails Automate'!$G3445,Database!$H:$N,4,0)),"")</f>
        <v/>
      </c>
      <c r="K3445" s="55" t="str">
        <f>IFERROR(IF($G3445="","",VLOOKUP('Dashboard And Emails Automate'!$G3445,Database!$H:$N,5,0)),"")</f>
        <v/>
      </c>
      <c r="L3445" s="55" t="str">
        <f>IFERROR(IF($G3445="","",VLOOKUP('Dashboard And Emails Automate'!$G3445,Database!$H:$N,6,0)),"")</f>
        <v/>
      </c>
      <c r="M3445" s="55" t="str">
        <f>IFERROR(IF($G3445="","",VLOOKUP('Dashboard And Emails Automate'!$G3445,Database!$H:$N,7,0)),"")</f>
        <v/>
      </c>
      <c r="N3445" s="55" t="str">
        <f>IFERROR(IF(OR($B3445="",$B3445="(blank)"),"",VLOOKUP($B3445,'Email Marketing Raw Data'!$C:$O,6,0)),"")</f>
        <v/>
      </c>
      <c r="O3445" s="55" t="str">
        <f>IFERROR(IF(OR($B3445="",$B3445="(blank)"),"",VLOOKUP($B3445,'Email Marketing Raw Data'!$C:$O,7,0)),"")</f>
        <v/>
      </c>
      <c r="P3445" s="55" t="str">
        <f>IFERROR(IF(OR($B3445="",$B3445="(blank)"),"",VLOOKUP($B3445,'Email Marketing Raw Data'!$C:$O,8,0)),"")</f>
        <v/>
      </c>
      <c r="Q3445" s="62" t="str">
        <f>IFERROR(IF(OR($B3445="",$B3445="(blank)"),"",VLOOKUP($B3445,'Email Marketing Raw Data'!$C:$O,9,0)),"")</f>
        <v/>
      </c>
    </row>
    <row r="3446" spans="4:17" ht="12.75" customHeight="1" x14ac:dyDescent="0.2">
      <c r="D3446" s="58" t="str">
        <f>IFERROR(IF(F3446&lt;&gt;"pending","",IF(OR($B3446="",$B3446="(blank)"),"",VLOOKUP($B3446,'Email Marketing Raw Data'!$C:$O,10,0))),"")</f>
        <v/>
      </c>
      <c r="E3446" s="59" t="str">
        <f>IFERROR(IF(F3446&lt;&gt;"pending","",IF(OR($B3446="",$B3446="(blank)"),"",VLOOKUP($B3446,'Email Marketing Raw Data'!$C:$O,11,0))),"")</f>
        <v/>
      </c>
      <c r="F3446" s="54" t="str">
        <f>IFERROR(IF(OR($B3446="",$B3446="(blank)"),"",VLOOKUP($B3446,'Email Marketing Raw Data'!$C:$O,13,0)),"")</f>
        <v/>
      </c>
      <c r="G3446" s="55" t="str">
        <f>IFERROR(IF(OR($B3446="",$B3446="(blank)"),"",VLOOKUP($B3446,'Email Marketing Raw Data'!$C:$O,4,0)),"")</f>
        <v/>
      </c>
      <c r="H3446" s="55" t="str">
        <f>IFERROR(IF(OR($B3446="",$B3446="(blank)"),"",VLOOKUP($B3446,'Email Marketing Raw Data'!$C:$O,5,0)),"")</f>
        <v/>
      </c>
      <c r="I3446" s="55" t="str">
        <f>IFERROR(IF($G3446="","",VLOOKUP('Dashboard And Emails Automate'!$G3446,Database!$H:$N,3,0)),"")</f>
        <v/>
      </c>
      <c r="J3446" s="55" t="str">
        <f>IFERROR(IF($G3446="","",VLOOKUP('Dashboard And Emails Automate'!$G3446,Database!$H:$N,4,0)),"")</f>
        <v/>
      </c>
      <c r="K3446" s="55" t="str">
        <f>IFERROR(IF($G3446="","",VLOOKUP('Dashboard And Emails Automate'!$G3446,Database!$H:$N,5,0)),"")</f>
        <v/>
      </c>
      <c r="L3446" s="55" t="str">
        <f>IFERROR(IF($G3446="","",VLOOKUP('Dashboard And Emails Automate'!$G3446,Database!$H:$N,6,0)),"")</f>
        <v/>
      </c>
      <c r="M3446" s="55" t="str">
        <f>IFERROR(IF($G3446="","",VLOOKUP('Dashboard And Emails Automate'!$G3446,Database!$H:$N,7,0)),"")</f>
        <v/>
      </c>
      <c r="N3446" s="55" t="str">
        <f>IFERROR(IF(OR($B3446="",$B3446="(blank)"),"",VLOOKUP($B3446,'Email Marketing Raw Data'!$C:$O,6,0)),"")</f>
        <v/>
      </c>
      <c r="O3446" s="55" t="str">
        <f>IFERROR(IF(OR($B3446="",$B3446="(blank)"),"",VLOOKUP($B3446,'Email Marketing Raw Data'!$C:$O,7,0)),"")</f>
        <v/>
      </c>
      <c r="P3446" s="55" t="str">
        <f>IFERROR(IF(OR($B3446="",$B3446="(blank)"),"",VLOOKUP($B3446,'Email Marketing Raw Data'!$C:$O,8,0)),"")</f>
        <v/>
      </c>
      <c r="Q3446" s="62" t="str">
        <f>IFERROR(IF(OR($B3446="",$B3446="(blank)"),"",VLOOKUP($B3446,'Email Marketing Raw Data'!$C:$O,9,0)),"")</f>
        <v/>
      </c>
    </row>
    <row r="3447" spans="4:17" ht="12.75" customHeight="1" x14ac:dyDescent="0.2">
      <c r="D3447" s="58" t="str">
        <f>IFERROR(IF(F3447&lt;&gt;"pending","",IF(OR($B3447="",$B3447="(blank)"),"",VLOOKUP($B3447,'Email Marketing Raw Data'!$C:$O,10,0))),"")</f>
        <v/>
      </c>
      <c r="E3447" s="59" t="str">
        <f>IFERROR(IF(F3447&lt;&gt;"pending","",IF(OR($B3447="",$B3447="(blank)"),"",VLOOKUP($B3447,'Email Marketing Raw Data'!$C:$O,11,0))),"")</f>
        <v/>
      </c>
      <c r="F3447" s="54" t="str">
        <f>IFERROR(IF(OR($B3447="",$B3447="(blank)"),"",VLOOKUP($B3447,'Email Marketing Raw Data'!$C:$O,13,0)),"")</f>
        <v/>
      </c>
      <c r="G3447" s="55" t="str">
        <f>IFERROR(IF(OR($B3447="",$B3447="(blank)"),"",VLOOKUP($B3447,'Email Marketing Raw Data'!$C:$O,4,0)),"")</f>
        <v/>
      </c>
      <c r="H3447" s="55" t="str">
        <f>IFERROR(IF(OR($B3447="",$B3447="(blank)"),"",VLOOKUP($B3447,'Email Marketing Raw Data'!$C:$O,5,0)),"")</f>
        <v/>
      </c>
      <c r="I3447" s="55" t="str">
        <f>IFERROR(IF($G3447="","",VLOOKUP('Dashboard And Emails Automate'!$G3447,Database!$H:$N,3,0)),"")</f>
        <v/>
      </c>
      <c r="J3447" s="55" t="str">
        <f>IFERROR(IF($G3447="","",VLOOKUP('Dashboard And Emails Automate'!$G3447,Database!$H:$N,4,0)),"")</f>
        <v/>
      </c>
      <c r="K3447" s="55" t="str">
        <f>IFERROR(IF($G3447="","",VLOOKUP('Dashboard And Emails Automate'!$G3447,Database!$H:$N,5,0)),"")</f>
        <v/>
      </c>
      <c r="L3447" s="55" t="str">
        <f>IFERROR(IF($G3447="","",VLOOKUP('Dashboard And Emails Automate'!$G3447,Database!$H:$N,6,0)),"")</f>
        <v/>
      </c>
      <c r="M3447" s="55" t="str">
        <f>IFERROR(IF($G3447="","",VLOOKUP('Dashboard And Emails Automate'!$G3447,Database!$H:$N,7,0)),"")</f>
        <v/>
      </c>
      <c r="N3447" s="55" t="str">
        <f>IFERROR(IF(OR($B3447="",$B3447="(blank)"),"",VLOOKUP($B3447,'Email Marketing Raw Data'!$C:$O,6,0)),"")</f>
        <v/>
      </c>
      <c r="O3447" s="55" t="str">
        <f>IFERROR(IF(OR($B3447="",$B3447="(blank)"),"",VLOOKUP($B3447,'Email Marketing Raw Data'!$C:$O,7,0)),"")</f>
        <v/>
      </c>
      <c r="P3447" s="55" t="str">
        <f>IFERROR(IF(OR($B3447="",$B3447="(blank)"),"",VLOOKUP($B3447,'Email Marketing Raw Data'!$C:$O,8,0)),"")</f>
        <v/>
      </c>
      <c r="Q3447" s="62" t="str">
        <f>IFERROR(IF(OR($B3447="",$B3447="(blank)"),"",VLOOKUP($B3447,'Email Marketing Raw Data'!$C:$O,9,0)),"")</f>
        <v/>
      </c>
    </row>
    <row r="3448" spans="4:17" ht="12.75" customHeight="1" x14ac:dyDescent="0.2">
      <c r="D3448" s="58" t="str">
        <f>IFERROR(IF(F3448&lt;&gt;"pending","",IF(OR($B3448="",$B3448="(blank)"),"",VLOOKUP($B3448,'Email Marketing Raw Data'!$C:$O,10,0))),"")</f>
        <v/>
      </c>
      <c r="E3448" s="59" t="str">
        <f>IFERROR(IF(F3448&lt;&gt;"pending","",IF(OR($B3448="",$B3448="(blank)"),"",VLOOKUP($B3448,'Email Marketing Raw Data'!$C:$O,11,0))),"")</f>
        <v/>
      </c>
      <c r="F3448" s="54" t="str">
        <f>IFERROR(IF(OR($B3448="",$B3448="(blank)"),"",VLOOKUP($B3448,'Email Marketing Raw Data'!$C:$O,13,0)),"")</f>
        <v/>
      </c>
      <c r="G3448" s="55" t="str">
        <f>IFERROR(IF(OR($B3448="",$B3448="(blank)"),"",VLOOKUP($B3448,'Email Marketing Raw Data'!$C:$O,4,0)),"")</f>
        <v/>
      </c>
      <c r="H3448" s="55" t="str">
        <f>IFERROR(IF(OR($B3448="",$B3448="(blank)"),"",VLOOKUP($B3448,'Email Marketing Raw Data'!$C:$O,5,0)),"")</f>
        <v/>
      </c>
      <c r="I3448" s="55" t="str">
        <f>IFERROR(IF($G3448="","",VLOOKUP('Dashboard And Emails Automate'!$G3448,Database!$H:$N,3,0)),"")</f>
        <v/>
      </c>
      <c r="J3448" s="55" t="str">
        <f>IFERROR(IF($G3448="","",VLOOKUP('Dashboard And Emails Automate'!$G3448,Database!$H:$N,4,0)),"")</f>
        <v/>
      </c>
      <c r="K3448" s="55" t="str">
        <f>IFERROR(IF($G3448="","",VLOOKUP('Dashboard And Emails Automate'!$G3448,Database!$H:$N,5,0)),"")</f>
        <v/>
      </c>
      <c r="L3448" s="55" t="str">
        <f>IFERROR(IF($G3448="","",VLOOKUP('Dashboard And Emails Automate'!$G3448,Database!$H:$N,6,0)),"")</f>
        <v/>
      </c>
      <c r="M3448" s="55" t="str">
        <f>IFERROR(IF($G3448="","",VLOOKUP('Dashboard And Emails Automate'!$G3448,Database!$H:$N,7,0)),"")</f>
        <v/>
      </c>
      <c r="N3448" s="55" t="str">
        <f>IFERROR(IF(OR($B3448="",$B3448="(blank)"),"",VLOOKUP($B3448,'Email Marketing Raw Data'!$C:$O,6,0)),"")</f>
        <v/>
      </c>
      <c r="O3448" s="55" t="str">
        <f>IFERROR(IF(OR($B3448="",$B3448="(blank)"),"",VLOOKUP($B3448,'Email Marketing Raw Data'!$C:$O,7,0)),"")</f>
        <v/>
      </c>
      <c r="P3448" s="55" t="str">
        <f>IFERROR(IF(OR($B3448="",$B3448="(blank)"),"",VLOOKUP($B3448,'Email Marketing Raw Data'!$C:$O,8,0)),"")</f>
        <v/>
      </c>
      <c r="Q3448" s="62" t="str">
        <f>IFERROR(IF(OR($B3448="",$B3448="(blank)"),"",VLOOKUP($B3448,'Email Marketing Raw Data'!$C:$O,9,0)),"")</f>
        <v/>
      </c>
    </row>
    <row r="3449" spans="4:17" ht="12.75" customHeight="1" x14ac:dyDescent="0.2">
      <c r="D3449" s="58" t="str">
        <f>IFERROR(IF(F3449&lt;&gt;"pending","",IF(OR($B3449="",$B3449="(blank)"),"",VLOOKUP($B3449,'Email Marketing Raw Data'!$C:$O,10,0))),"")</f>
        <v/>
      </c>
      <c r="E3449" s="59" t="str">
        <f>IFERROR(IF(F3449&lt;&gt;"pending","",IF(OR($B3449="",$B3449="(blank)"),"",VLOOKUP($B3449,'Email Marketing Raw Data'!$C:$O,11,0))),"")</f>
        <v/>
      </c>
      <c r="F3449" s="54" t="str">
        <f>IFERROR(IF(OR($B3449="",$B3449="(blank)"),"",VLOOKUP($B3449,'Email Marketing Raw Data'!$C:$O,13,0)),"")</f>
        <v/>
      </c>
      <c r="G3449" s="55" t="str">
        <f>IFERROR(IF(OR($B3449="",$B3449="(blank)"),"",VLOOKUP($B3449,'Email Marketing Raw Data'!$C:$O,4,0)),"")</f>
        <v/>
      </c>
      <c r="H3449" s="55" t="str">
        <f>IFERROR(IF(OR($B3449="",$B3449="(blank)"),"",VLOOKUP($B3449,'Email Marketing Raw Data'!$C:$O,5,0)),"")</f>
        <v/>
      </c>
      <c r="I3449" s="55" t="str">
        <f>IFERROR(IF($G3449="","",VLOOKUP('Dashboard And Emails Automate'!$G3449,Database!$H:$N,3,0)),"")</f>
        <v/>
      </c>
      <c r="J3449" s="55" t="str">
        <f>IFERROR(IF($G3449="","",VLOOKUP('Dashboard And Emails Automate'!$G3449,Database!$H:$N,4,0)),"")</f>
        <v/>
      </c>
      <c r="K3449" s="55" t="str">
        <f>IFERROR(IF($G3449="","",VLOOKUP('Dashboard And Emails Automate'!$G3449,Database!$H:$N,5,0)),"")</f>
        <v/>
      </c>
      <c r="L3449" s="55" t="str">
        <f>IFERROR(IF($G3449="","",VLOOKUP('Dashboard And Emails Automate'!$G3449,Database!$H:$N,6,0)),"")</f>
        <v/>
      </c>
      <c r="M3449" s="55" t="str">
        <f>IFERROR(IF($G3449="","",VLOOKUP('Dashboard And Emails Automate'!$G3449,Database!$H:$N,7,0)),"")</f>
        <v/>
      </c>
      <c r="N3449" s="55" t="str">
        <f>IFERROR(IF(OR($B3449="",$B3449="(blank)"),"",VLOOKUP($B3449,'Email Marketing Raw Data'!$C:$O,6,0)),"")</f>
        <v/>
      </c>
      <c r="O3449" s="55" t="str">
        <f>IFERROR(IF(OR($B3449="",$B3449="(blank)"),"",VLOOKUP($B3449,'Email Marketing Raw Data'!$C:$O,7,0)),"")</f>
        <v/>
      </c>
      <c r="P3449" s="55" t="str">
        <f>IFERROR(IF(OR($B3449="",$B3449="(blank)"),"",VLOOKUP($B3449,'Email Marketing Raw Data'!$C:$O,8,0)),"")</f>
        <v/>
      </c>
      <c r="Q3449" s="62" t="str">
        <f>IFERROR(IF(OR($B3449="",$B3449="(blank)"),"",VLOOKUP($B3449,'Email Marketing Raw Data'!$C:$O,9,0)),"")</f>
        <v/>
      </c>
    </row>
    <row r="3450" spans="4:17" ht="12.75" customHeight="1" x14ac:dyDescent="0.2">
      <c r="D3450" s="58" t="str">
        <f>IFERROR(IF(F3450&lt;&gt;"pending","",IF(OR($B3450="",$B3450="(blank)"),"",VLOOKUP($B3450,'Email Marketing Raw Data'!$C:$O,10,0))),"")</f>
        <v/>
      </c>
      <c r="E3450" s="59" t="str">
        <f>IFERROR(IF(F3450&lt;&gt;"pending","",IF(OR($B3450="",$B3450="(blank)"),"",VLOOKUP($B3450,'Email Marketing Raw Data'!$C:$O,11,0))),"")</f>
        <v/>
      </c>
      <c r="F3450" s="54" t="str">
        <f>IFERROR(IF(OR($B3450="",$B3450="(blank)"),"",VLOOKUP($B3450,'Email Marketing Raw Data'!$C:$O,13,0)),"")</f>
        <v/>
      </c>
      <c r="G3450" s="55" t="str">
        <f>IFERROR(IF(OR($B3450="",$B3450="(blank)"),"",VLOOKUP($B3450,'Email Marketing Raw Data'!$C:$O,4,0)),"")</f>
        <v/>
      </c>
      <c r="H3450" s="55" t="str">
        <f>IFERROR(IF(OR($B3450="",$B3450="(blank)"),"",VLOOKUP($B3450,'Email Marketing Raw Data'!$C:$O,5,0)),"")</f>
        <v/>
      </c>
      <c r="I3450" s="55" t="str">
        <f>IFERROR(IF($G3450="","",VLOOKUP('Dashboard And Emails Automate'!$G3450,Database!$H:$N,3,0)),"")</f>
        <v/>
      </c>
      <c r="J3450" s="55" t="str">
        <f>IFERROR(IF($G3450="","",VLOOKUP('Dashboard And Emails Automate'!$G3450,Database!$H:$N,4,0)),"")</f>
        <v/>
      </c>
      <c r="K3450" s="55" t="str">
        <f>IFERROR(IF($G3450="","",VLOOKUP('Dashboard And Emails Automate'!$G3450,Database!$H:$N,5,0)),"")</f>
        <v/>
      </c>
      <c r="L3450" s="55" t="str">
        <f>IFERROR(IF($G3450="","",VLOOKUP('Dashboard And Emails Automate'!$G3450,Database!$H:$N,6,0)),"")</f>
        <v/>
      </c>
      <c r="M3450" s="55" t="str">
        <f>IFERROR(IF($G3450="","",VLOOKUP('Dashboard And Emails Automate'!$G3450,Database!$H:$N,7,0)),"")</f>
        <v/>
      </c>
      <c r="N3450" s="55" t="str">
        <f>IFERROR(IF(OR($B3450="",$B3450="(blank)"),"",VLOOKUP($B3450,'Email Marketing Raw Data'!$C:$O,6,0)),"")</f>
        <v/>
      </c>
      <c r="O3450" s="55" t="str">
        <f>IFERROR(IF(OR($B3450="",$B3450="(blank)"),"",VLOOKUP($B3450,'Email Marketing Raw Data'!$C:$O,7,0)),"")</f>
        <v/>
      </c>
      <c r="P3450" s="55" t="str">
        <f>IFERROR(IF(OR($B3450="",$B3450="(blank)"),"",VLOOKUP($B3450,'Email Marketing Raw Data'!$C:$O,8,0)),"")</f>
        <v/>
      </c>
      <c r="Q3450" s="62" t="str">
        <f>IFERROR(IF(OR($B3450="",$B3450="(blank)"),"",VLOOKUP($B3450,'Email Marketing Raw Data'!$C:$O,9,0)),"")</f>
        <v/>
      </c>
    </row>
    <row r="3451" spans="4:17" ht="12.75" customHeight="1" x14ac:dyDescent="0.2">
      <c r="D3451" s="58" t="str">
        <f>IFERROR(IF(F3451&lt;&gt;"pending","",IF(OR($B3451="",$B3451="(blank)"),"",VLOOKUP($B3451,'Email Marketing Raw Data'!$C:$O,10,0))),"")</f>
        <v/>
      </c>
      <c r="E3451" s="59" t="str">
        <f>IFERROR(IF(F3451&lt;&gt;"pending","",IF(OR($B3451="",$B3451="(blank)"),"",VLOOKUP($B3451,'Email Marketing Raw Data'!$C:$O,11,0))),"")</f>
        <v/>
      </c>
      <c r="F3451" s="54" t="str">
        <f>IFERROR(IF(OR($B3451="",$B3451="(blank)"),"",VLOOKUP($B3451,'Email Marketing Raw Data'!$C:$O,13,0)),"")</f>
        <v/>
      </c>
      <c r="G3451" s="55" t="str">
        <f>IFERROR(IF(OR($B3451="",$B3451="(blank)"),"",VLOOKUP($B3451,'Email Marketing Raw Data'!$C:$O,4,0)),"")</f>
        <v/>
      </c>
      <c r="H3451" s="55" t="str">
        <f>IFERROR(IF(OR($B3451="",$B3451="(blank)"),"",VLOOKUP($B3451,'Email Marketing Raw Data'!$C:$O,5,0)),"")</f>
        <v/>
      </c>
      <c r="I3451" s="55" t="str">
        <f>IFERROR(IF($G3451="","",VLOOKUP('Dashboard And Emails Automate'!$G3451,Database!$H:$N,3,0)),"")</f>
        <v/>
      </c>
      <c r="J3451" s="55" t="str">
        <f>IFERROR(IF($G3451="","",VLOOKUP('Dashboard And Emails Automate'!$G3451,Database!$H:$N,4,0)),"")</f>
        <v/>
      </c>
      <c r="K3451" s="55" t="str">
        <f>IFERROR(IF($G3451="","",VLOOKUP('Dashboard And Emails Automate'!$G3451,Database!$H:$N,5,0)),"")</f>
        <v/>
      </c>
      <c r="L3451" s="55" t="str">
        <f>IFERROR(IF($G3451="","",VLOOKUP('Dashboard And Emails Automate'!$G3451,Database!$H:$N,6,0)),"")</f>
        <v/>
      </c>
      <c r="M3451" s="55" t="str">
        <f>IFERROR(IF($G3451="","",VLOOKUP('Dashboard And Emails Automate'!$G3451,Database!$H:$N,7,0)),"")</f>
        <v/>
      </c>
      <c r="N3451" s="55" t="str">
        <f>IFERROR(IF(OR($B3451="",$B3451="(blank)"),"",VLOOKUP($B3451,'Email Marketing Raw Data'!$C:$O,6,0)),"")</f>
        <v/>
      </c>
      <c r="O3451" s="55" t="str">
        <f>IFERROR(IF(OR($B3451="",$B3451="(blank)"),"",VLOOKUP($B3451,'Email Marketing Raw Data'!$C:$O,7,0)),"")</f>
        <v/>
      </c>
      <c r="P3451" s="55" t="str">
        <f>IFERROR(IF(OR($B3451="",$B3451="(blank)"),"",VLOOKUP($B3451,'Email Marketing Raw Data'!$C:$O,8,0)),"")</f>
        <v/>
      </c>
      <c r="Q3451" s="62" t="str">
        <f>IFERROR(IF(OR($B3451="",$B3451="(blank)"),"",VLOOKUP($B3451,'Email Marketing Raw Data'!$C:$O,9,0)),"")</f>
        <v/>
      </c>
    </row>
    <row r="3452" spans="4:17" ht="12.75" customHeight="1" x14ac:dyDescent="0.2">
      <c r="D3452" s="58" t="str">
        <f>IFERROR(IF(F3452&lt;&gt;"pending","",IF(OR($B3452="",$B3452="(blank)"),"",VLOOKUP($B3452,'Email Marketing Raw Data'!$C:$O,10,0))),"")</f>
        <v/>
      </c>
      <c r="E3452" s="59" t="str">
        <f>IFERROR(IF(F3452&lt;&gt;"pending","",IF(OR($B3452="",$B3452="(blank)"),"",VLOOKUP($B3452,'Email Marketing Raw Data'!$C:$O,11,0))),"")</f>
        <v/>
      </c>
      <c r="F3452" s="54" t="str">
        <f>IFERROR(IF(OR($B3452="",$B3452="(blank)"),"",VLOOKUP($B3452,'Email Marketing Raw Data'!$C:$O,13,0)),"")</f>
        <v/>
      </c>
      <c r="G3452" s="55" t="str">
        <f>IFERROR(IF(OR($B3452="",$B3452="(blank)"),"",VLOOKUP($B3452,'Email Marketing Raw Data'!$C:$O,4,0)),"")</f>
        <v/>
      </c>
      <c r="H3452" s="55" t="str">
        <f>IFERROR(IF(OR($B3452="",$B3452="(blank)"),"",VLOOKUP($B3452,'Email Marketing Raw Data'!$C:$O,5,0)),"")</f>
        <v/>
      </c>
      <c r="I3452" s="55" t="str">
        <f>IFERROR(IF($G3452="","",VLOOKUP('Dashboard And Emails Automate'!$G3452,Database!$H:$N,3,0)),"")</f>
        <v/>
      </c>
      <c r="J3452" s="55" t="str">
        <f>IFERROR(IF($G3452="","",VLOOKUP('Dashboard And Emails Automate'!$G3452,Database!$H:$N,4,0)),"")</f>
        <v/>
      </c>
      <c r="K3452" s="55" t="str">
        <f>IFERROR(IF($G3452="","",VLOOKUP('Dashboard And Emails Automate'!$G3452,Database!$H:$N,5,0)),"")</f>
        <v/>
      </c>
      <c r="L3452" s="55" t="str">
        <f>IFERROR(IF($G3452="","",VLOOKUP('Dashboard And Emails Automate'!$G3452,Database!$H:$N,6,0)),"")</f>
        <v/>
      </c>
      <c r="M3452" s="55" t="str">
        <f>IFERROR(IF($G3452="","",VLOOKUP('Dashboard And Emails Automate'!$G3452,Database!$H:$N,7,0)),"")</f>
        <v/>
      </c>
      <c r="N3452" s="55" t="str">
        <f>IFERROR(IF(OR($B3452="",$B3452="(blank)"),"",VLOOKUP($B3452,'Email Marketing Raw Data'!$C:$O,6,0)),"")</f>
        <v/>
      </c>
      <c r="O3452" s="55" t="str">
        <f>IFERROR(IF(OR($B3452="",$B3452="(blank)"),"",VLOOKUP($B3452,'Email Marketing Raw Data'!$C:$O,7,0)),"")</f>
        <v/>
      </c>
      <c r="P3452" s="55" t="str">
        <f>IFERROR(IF(OR($B3452="",$B3452="(blank)"),"",VLOOKUP($B3452,'Email Marketing Raw Data'!$C:$O,8,0)),"")</f>
        <v/>
      </c>
      <c r="Q3452" s="62" t="str">
        <f>IFERROR(IF(OR($B3452="",$B3452="(blank)"),"",VLOOKUP($B3452,'Email Marketing Raw Data'!$C:$O,9,0)),"")</f>
        <v/>
      </c>
    </row>
    <row r="3453" spans="4:17" ht="12.75" customHeight="1" x14ac:dyDescent="0.2">
      <c r="D3453" s="58" t="str">
        <f>IFERROR(IF(F3453&lt;&gt;"pending","",IF(OR($B3453="",$B3453="(blank)"),"",VLOOKUP($B3453,'Email Marketing Raw Data'!$C:$O,10,0))),"")</f>
        <v/>
      </c>
      <c r="E3453" s="59" t="str">
        <f>IFERROR(IF(F3453&lt;&gt;"pending","",IF(OR($B3453="",$B3453="(blank)"),"",VLOOKUP($B3453,'Email Marketing Raw Data'!$C:$O,11,0))),"")</f>
        <v/>
      </c>
      <c r="F3453" s="54" t="str">
        <f>IFERROR(IF(OR($B3453="",$B3453="(blank)"),"",VLOOKUP($B3453,'Email Marketing Raw Data'!$C:$O,13,0)),"")</f>
        <v/>
      </c>
      <c r="G3453" s="55" t="str">
        <f>IFERROR(IF(OR($B3453="",$B3453="(blank)"),"",VLOOKUP($B3453,'Email Marketing Raw Data'!$C:$O,4,0)),"")</f>
        <v/>
      </c>
      <c r="H3453" s="55" t="str">
        <f>IFERROR(IF(OR($B3453="",$B3453="(blank)"),"",VLOOKUP($B3453,'Email Marketing Raw Data'!$C:$O,5,0)),"")</f>
        <v/>
      </c>
      <c r="I3453" s="55" t="str">
        <f>IFERROR(IF($G3453="","",VLOOKUP('Dashboard And Emails Automate'!$G3453,Database!$H:$N,3,0)),"")</f>
        <v/>
      </c>
      <c r="J3453" s="55" t="str">
        <f>IFERROR(IF($G3453="","",VLOOKUP('Dashboard And Emails Automate'!$G3453,Database!$H:$N,4,0)),"")</f>
        <v/>
      </c>
      <c r="K3453" s="55" t="str">
        <f>IFERROR(IF($G3453="","",VLOOKUP('Dashboard And Emails Automate'!$G3453,Database!$H:$N,5,0)),"")</f>
        <v/>
      </c>
      <c r="L3453" s="55" t="str">
        <f>IFERROR(IF($G3453="","",VLOOKUP('Dashboard And Emails Automate'!$G3453,Database!$H:$N,6,0)),"")</f>
        <v/>
      </c>
      <c r="M3453" s="55" t="str">
        <f>IFERROR(IF($G3453="","",VLOOKUP('Dashboard And Emails Automate'!$G3453,Database!$H:$N,7,0)),"")</f>
        <v/>
      </c>
      <c r="N3453" s="55" t="str">
        <f>IFERROR(IF(OR($B3453="",$B3453="(blank)"),"",VLOOKUP($B3453,'Email Marketing Raw Data'!$C:$O,6,0)),"")</f>
        <v/>
      </c>
      <c r="O3453" s="55" t="str">
        <f>IFERROR(IF(OR($B3453="",$B3453="(blank)"),"",VLOOKUP($B3453,'Email Marketing Raw Data'!$C:$O,7,0)),"")</f>
        <v/>
      </c>
      <c r="P3453" s="55" t="str">
        <f>IFERROR(IF(OR($B3453="",$B3453="(blank)"),"",VLOOKUP($B3453,'Email Marketing Raw Data'!$C:$O,8,0)),"")</f>
        <v/>
      </c>
      <c r="Q3453" s="62" t="str">
        <f>IFERROR(IF(OR($B3453="",$B3453="(blank)"),"",VLOOKUP($B3453,'Email Marketing Raw Data'!$C:$O,9,0)),"")</f>
        <v/>
      </c>
    </row>
    <row r="3454" spans="4:17" ht="12.75" customHeight="1" x14ac:dyDescent="0.2">
      <c r="D3454" s="58" t="str">
        <f>IFERROR(IF(F3454&lt;&gt;"pending","",IF(OR($B3454="",$B3454="(blank)"),"",VLOOKUP($B3454,'Email Marketing Raw Data'!$C:$O,10,0))),"")</f>
        <v/>
      </c>
      <c r="E3454" s="59" t="str">
        <f>IFERROR(IF(F3454&lt;&gt;"pending","",IF(OR($B3454="",$B3454="(blank)"),"",VLOOKUP($B3454,'Email Marketing Raw Data'!$C:$O,11,0))),"")</f>
        <v/>
      </c>
      <c r="F3454" s="54" t="str">
        <f>IFERROR(IF(OR($B3454="",$B3454="(blank)"),"",VLOOKUP($B3454,'Email Marketing Raw Data'!$C:$O,13,0)),"")</f>
        <v/>
      </c>
      <c r="G3454" s="55" t="str">
        <f>IFERROR(IF(OR($B3454="",$B3454="(blank)"),"",VLOOKUP($B3454,'Email Marketing Raw Data'!$C:$O,4,0)),"")</f>
        <v/>
      </c>
      <c r="H3454" s="55" t="str">
        <f>IFERROR(IF(OR($B3454="",$B3454="(blank)"),"",VLOOKUP($B3454,'Email Marketing Raw Data'!$C:$O,5,0)),"")</f>
        <v/>
      </c>
      <c r="I3454" s="55" t="str">
        <f>IFERROR(IF($G3454="","",VLOOKUP('Dashboard And Emails Automate'!$G3454,Database!$H:$N,3,0)),"")</f>
        <v/>
      </c>
      <c r="J3454" s="55" t="str">
        <f>IFERROR(IF($G3454="","",VLOOKUP('Dashboard And Emails Automate'!$G3454,Database!$H:$N,4,0)),"")</f>
        <v/>
      </c>
      <c r="K3454" s="55" t="str">
        <f>IFERROR(IF($G3454="","",VLOOKUP('Dashboard And Emails Automate'!$G3454,Database!$H:$N,5,0)),"")</f>
        <v/>
      </c>
      <c r="L3454" s="55" t="str">
        <f>IFERROR(IF($G3454="","",VLOOKUP('Dashboard And Emails Automate'!$G3454,Database!$H:$N,6,0)),"")</f>
        <v/>
      </c>
      <c r="M3454" s="55" t="str">
        <f>IFERROR(IF($G3454="","",VLOOKUP('Dashboard And Emails Automate'!$G3454,Database!$H:$N,7,0)),"")</f>
        <v/>
      </c>
      <c r="N3454" s="55" t="str">
        <f>IFERROR(IF(OR($B3454="",$B3454="(blank)"),"",VLOOKUP($B3454,'Email Marketing Raw Data'!$C:$O,6,0)),"")</f>
        <v/>
      </c>
      <c r="O3454" s="55" t="str">
        <f>IFERROR(IF(OR($B3454="",$B3454="(blank)"),"",VLOOKUP($B3454,'Email Marketing Raw Data'!$C:$O,7,0)),"")</f>
        <v/>
      </c>
      <c r="P3454" s="55" t="str">
        <f>IFERROR(IF(OR($B3454="",$B3454="(blank)"),"",VLOOKUP($B3454,'Email Marketing Raw Data'!$C:$O,8,0)),"")</f>
        <v/>
      </c>
      <c r="Q3454" s="62" t="str">
        <f>IFERROR(IF(OR($B3454="",$B3454="(blank)"),"",VLOOKUP($B3454,'Email Marketing Raw Data'!$C:$O,9,0)),"")</f>
        <v/>
      </c>
    </row>
    <row r="3455" spans="4:17" ht="12.75" customHeight="1" x14ac:dyDescent="0.2">
      <c r="D3455" s="58" t="str">
        <f>IFERROR(IF(F3455&lt;&gt;"pending","",IF(OR($B3455="",$B3455="(blank)"),"",VLOOKUP($B3455,'Email Marketing Raw Data'!$C:$O,10,0))),"")</f>
        <v/>
      </c>
      <c r="E3455" s="59" t="str">
        <f>IFERROR(IF(F3455&lt;&gt;"pending","",IF(OR($B3455="",$B3455="(blank)"),"",VLOOKUP($B3455,'Email Marketing Raw Data'!$C:$O,11,0))),"")</f>
        <v/>
      </c>
      <c r="F3455" s="54" t="str">
        <f>IFERROR(IF(OR($B3455="",$B3455="(blank)"),"",VLOOKUP($B3455,'Email Marketing Raw Data'!$C:$O,13,0)),"")</f>
        <v/>
      </c>
      <c r="G3455" s="55" t="str">
        <f>IFERROR(IF(OR($B3455="",$B3455="(blank)"),"",VLOOKUP($B3455,'Email Marketing Raw Data'!$C:$O,4,0)),"")</f>
        <v/>
      </c>
      <c r="H3455" s="55" t="str">
        <f>IFERROR(IF(OR($B3455="",$B3455="(blank)"),"",VLOOKUP($B3455,'Email Marketing Raw Data'!$C:$O,5,0)),"")</f>
        <v/>
      </c>
      <c r="I3455" s="55" t="str">
        <f>IFERROR(IF($G3455="","",VLOOKUP('Dashboard And Emails Automate'!$G3455,Database!$H:$N,3,0)),"")</f>
        <v/>
      </c>
      <c r="J3455" s="55" t="str">
        <f>IFERROR(IF($G3455="","",VLOOKUP('Dashboard And Emails Automate'!$G3455,Database!$H:$N,4,0)),"")</f>
        <v/>
      </c>
      <c r="K3455" s="55" t="str">
        <f>IFERROR(IF($G3455="","",VLOOKUP('Dashboard And Emails Automate'!$G3455,Database!$H:$N,5,0)),"")</f>
        <v/>
      </c>
      <c r="L3455" s="55" t="str">
        <f>IFERROR(IF($G3455="","",VLOOKUP('Dashboard And Emails Automate'!$G3455,Database!$H:$N,6,0)),"")</f>
        <v/>
      </c>
      <c r="M3455" s="55" t="str">
        <f>IFERROR(IF($G3455="","",VLOOKUP('Dashboard And Emails Automate'!$G3455,Database!$H:$N,7,0)),"")</f>
        <v/>
      </c>
      <c r="N3455" s="55" t="str">
        <f>IFERROR(IF(OR($B3455="",$B3455="(blank)"),"",VLOOKUP($B3455,'Email Marketing Raw Data'!$C:$O,6,0)),"")</f>
        <v/>
      </c>
      <c r="O3455" s="55" t="str">
        <f>IFERROR(IF(OR($B3455="",$B3455="(blank)"),"",VLOOKUP($B3455,'Email Marketing Raw Data'!$C:$O,7,0)),"")</f>
        <v/>
      </c>
      <c r="P3455" s="55" t="str">
        <f>IFERROR(IF(OR($B3455="",$B3455="(blank)"),"",VLOOKUP($B3455,'Email Marketing Raw Data'!$C:$O,8,0)),"")</f>
        <v/>
      </c>
      <c r="Q3455" s="62" t="str">
        <f>IFERROR(IF(OR($B3455="",$B3455="(blank)"),"",VLOOKUP($B3455,'Email Marketing Raw Data'!$C:$O,9,0)),"")</f>
        <v/>
      </c>
    </row>
    <row r="3456" spans="4:17" ht="12.75" customHeight="1" x14ac:dyDescent="0.2">
      <c r="D3456" s="58" t="str">
        <f>IFERROR(IF(F3456&lt;&gt;"pending","",IF(OR($B3456="",$B3456="(blank)"),"",VLOOKUP($B3456,'Email Marketing Raw Data'!$C:$O,10,0))),"")</f>
        <v/>
      </c>
      <c r="E3456" s="59" t="str">
        <f>IFERROR(IF(F3456&lt;&gt;"pending","",IF(OR($B3456="",$B3456="(blank)"),"",VLOOKUP($B3456,'Email Marketing Raw Data'!$C:$O,11,0))),"")</f>
        <v/>
      </c>
      <c r="F3456" s="54" t="str">
        <f>IFERROR(IF(OR($B3456="",$B3456="(blank)"),"",VLOOKUP($B3456,'Email Marketing Raw Data'!$C:$O,13,0)),"")</f>
        <v/>
      </c>
      <c r="G3456" s="55" t="str">
        <f>IFERROR(IF(OR($B3456="",$B3456="(blank)"),"",VLOOKUP($B3456,'Email Marketing Raw Data'!$C:$O,4,0)),"")</f>
        <v/>
      </c>
      <c r="H3456" s="55" t="str">
        <f>IFERROR(IF(OR($B3456="",$B3456="(blank)"),"",VLOOKUP($B3456,'Email Marketing Raw Data'!$C:$O,5,0)),"")</f>
        <v/>
      </c>
      <c r="I3456" s="55" t="str">
        <f>IFERROR(IF($G3456="","",VLOOKUP('Dashboard And Emails Automate'!$G3456,Database!$H:$N,3,0)),"")</f>
        <v/>
      </c>
      <c r="J3456" s="55" t="str">
        <f>IFERROR(IF($G3456="","",VLOOKUP('Dashboard And Emails Automate'!$G3456,Database!$H:$N,4,0)),"")</f>
        <v/>
      </c>
      <c r="K3456" s="55" t="str">
        <f>IFERROR(IF($G3456="","",VLOOKUP('Dashboard And Emails Automate'!$G3456,Database!$H:$N,5,0)),"")</f>
        <v/>
      </c>
      <c r="L3456" s="55" t="str">
        <f>IFERROR(IF($G3456="","",VLOOKUP('Dashboard And Emails Automate'!$G3456,Database!$H:$N,6,0)),"")</f>
        <v/>
      </c>
      <c r="M3456" s="55" t="str">
        <f>IFERROR(IF($G3456="","",VLOOKUP('Dashboard And Emails Automate'!$G3456,Database!$H:$N,7,0)),"")</f>
        <v/>
      </c>
      <c r="N3456" s="55" t="str">
        <f>IFERROR(IF(OR($B3456="",$B3456="(blank)"),"",VLOOKUP($B3456,'Email Marketing Raw Data'!$C:$O,6,0)),"")</f>
        <v/>
      </c>
      <c r="O3456" s="55" t="str">
        <f>IFERROR(IF(OR($B3456="",$B3456="(blank)"),"",VLOOKUP($B3456,'Email Marketing Raw Data'!$C:$O,7,0)),"")</f>
        <v/>
      </c>
      <c r="P3456" s="55" t="str">
        <f>IFERROR(IF(OR($B3456="",$B3456="(blank)"),"",VLOOKUP($B3456,'Email Marketing Raw Data'!$C:$O,8,0)),"")</f>
        <v/>
      </c>
      <c r="Q3456" s="62" t="str">
        <f>IFERROR(IF(OR($B3456="",$B3456="(blank)"),"",VLOOKUP($B3456,'Email Marketing Raw Data'!$C:$O,9,0)),"")</f>
        <v/>
      </c>
    </row>
    <row r="3457" spans="4:17" ht="12.75" customHeight="1" x14ac:dyDescent="0.2">
      <c r="D3457" s="58" t="str">
        <f>IFERROR(IF(F3457&lt;&gt;"pending","",IF(OR($B3457="",$B3457="(blank)"),"",VLOOKUP($B3457,'Email Marketing Raw Data'!$C:$O,10,0))),"")</f>
        <v/>
      </c>
      <c r="E3457" s="59" t="str">
        <f>IFERROR(IF(F3457&lt;&gt;"pending","",IF(OR($B3457="",$B3457="(blank)"),"",VLOOKUP($B3457,'Email Marketing Raw Data'!$C:$O,11,0))),"")</f>
        <v/>
      </c>
      <c r="F3457" s="54" t="str">
        <f>IFERROR(IF(OR($B3457="",$B3457="(blank)"),"",VLOOKUP($B3457,'Email Marketing Raw Data'!$C:$O,13,0)),"")</f>
        <v/>
      </c>
      <c r="G3457" s="55" t="str">
        <f>IFERROR(IF(OR($B3457="",$B3457="(blank)"),"",VLOOKUP($B3457,'Email Marketing Raw Data'!$C:$O,4,0)),"")</f>
        <v/>
      </c>
      <c r="H3457" s="55" t="str">
        <f>IFERROR(IF(OR($B3457="",$B3457="(blank)"),"",VLOOKUP($B3457,'Email Marketing Raw Data'!$C:$O,5,0)),"")</f>
        <v/>
      </c>
      <c r="I3457" s="55" t="str">
        <f>IFERROR(IF($G3457="","",VLOOKUP('Dashboard And Emails Automate'!$G3457,Database!$H:$N,3,0)),"")</f>
        <v/>
      </c>
      <c r="J3457" s="55" t="str">
        <f>IFERROR(IF($G3457="","",VLOOKUP('Dashboard And Emails Automate'!$G3457,Database!$H:$N,4,0)),"")</f>
        <v/>
      </c>
      <c r="K3457" s="55" t="str">
        <f>IFERROR(IF($G3457="","",VLOOKUP('Dashboard And Emails Automate'!$G3457,Database!$H:$N,5,0)),"")</f>
        <v/>
      </c>
      <c r="L3457" s="55" t="str">
        <f>IFERROR(IF($G3457="","",VLOOKUP('Dashboard And Emails Automate'!$G3457,Database!$H:$N,6,0)),"")</f>
        <v/>
      </c>
      <c r="M3457" s="55" t="str">
        <f>IFERROR(IF($G3457="","",VLOOKUP('Dashboard And Emails Automate'!$G3457,Database!$H:$N,7,0)),"")</f>
        <v/>
      </c>
      <c r="N3457" s="55" t="str">
        <f>IFERROR(IF(OR($B3457="",$B3457="(blank)"),"",VLOOKUP($B3457,'Email Marketing Raw Data'!$C:$O,6,0)),"")</f>
        <v/>
      </c>
      <c r="O3457" s="55" t="str">
        <f>IFERROR(IF(OR($B3457="",$B3457="(blank)"),"",VLOOKUP($B3457,'Email Marketing Raw Data'!$C:$O,7,0)),"")</f>
        <v/>
      </c>
      <c r="P3457" s="55" t="str">
        <f>IFERROR(IF(OR($B3457="",$B3457="(blank)"),"",VLOOKUP($B3457,'Email Marketing Raw Data'!$C:$O,8,0)),"")</f>
        <v/>
      </c>
      <c r="Q3457" s="62" t="str">
        <f>IFERROR(IF(OR($B3457="",$B3457="(blank)"),"",VLOOKUP($B3457,'Email Marketing Raw Data'!$C:$O,9,0)),"")</f>
        <v/>
      </c>
    </row>
    <row r="3458" spans="4:17" ht="12.75" customHeight="1" x14ac:dyDescent="0.2">
      <c r="D3458" s="58" t="str">
        <f>IFERROR(IF(F3458&lt;&gt;"pending","",IF(OR($B3458="",$B3458="(blank)"),"",VLOOKUP($B3458,'Email Marketing Raw Data'!$C:$O,10,0))),"")</f>
        <v/>
      </c>
      <c r="E3458" s="59" t="str">
        <f>IFERROR(IF(F3458&lt;&gt;"pending","",IF(OR($B3458="",$B3458="(blank)"),"",VLOOKUP($B3458,'Email Marketing Raw Data'!$C:$O,11,0))),"")</f>
        <v/>
      </c>
      <c r="F3458" s="54" t="str">
        <f>IFERROR(IF(OR($B3458="",$B3458="(blank)"),"",VLOOKUP($B3458,'Email Marketing Raw Data'!$C:$O,13,0)),"")</f>
        <v/>
      </c>
      <c r="G3458" s="55" t="str">
        <f>IFERROR(IF(OR($B3458="",$B3458="(blank)"),"",VLOOKUP($B3458,'Email Marketing Raw Data'!$C:$O,4,0)),"")</f>
        <v/>
      </c>
      <c r="H3458" s="55" t="str">
        <f>IFERROR(IF(OR($B3458="",$B3458="(blank)"),"",VLOOKUP($B3458,'Email Marketing Raw Data'!$C:$O,5,0)),"")</f>
        <v/>
      </c>
      <c r="I3458" s="55" t="str">
        <f>IFERROR(IF($G3458="","",VLOOKUP('Dashboard And Emails Automate'!$G3458,Database!$H:$N,3,0)),"")</f>
        <v/>
      </c>
      <c r="J3458" s="55" t="str">
        <f>IFERROR(IF($G3458="","",VLOOKUP('Dashboard And Emails Automate'!$G3458,Database!$H:$N,4,0)),"")</f>
        <v/>
      </c>
      <c r="K3458" s="55" t="str">
        <f>IFERROR(IF($G3458="","",VLOOKUP('Dashboard And Emails Automate'!$G3458,Database!$H:$N,5,0)),"")</f>
        <v/>
      </c>
      <c r="L3458" s="55" t="str">
        <f>IFERROR(IF($G3458="","",VLOOKUP('Dashboard And Emails Automate'!$G3458,Database!$H:$N,6,0)),"")</f>
        <v/>
      </c>
      <c r="M3458" s="55" t="str">
        <f>IFERROR(IF($G3458="","",VLOOKUP('Dashboard And Emails Automate'!$G3458,Database!$H:$N,7,0)),"")</f>
        <v/>
      </c>
      <c r="N3458" s="55" t="str">
        <f>IFERROR(IF(OR($B3458="",$B3458="(blank)"),"",VLOOKUP($B3458,'Email Marketing Raw Data'!$C:$O,6,0)),"")</f>
        <v/>
      </c>
      <c r="O3458" s="55" t="str">
        <f>IFERROR(IF(OR($B3458="",$B3458="(blank)"),"",VLOOKUP($B3458,'Email Marketing Raw Data'!$C:$O,7,0)),"")</f>
        <v/>
      </c>
      <c r="P3458" s="55" t="str">
        <f>IFERROR(IF(OR($B3458="",$B3458="(blank)"),"",VLOOKUP($B3458,'Email Marketing Raw Data'!$C:$O,8,0)),"")</f>
        <v/>
      </c>
      <c r="Q3458" s="62" t="str">
        <f>IFERROR(IF(OR($B3458="",$B3458="(blank)"),"",VLOOKUP($B3458,'Email Marketing Raw Data'!$C:$O,9,0)),"")</f>
        <v/>
      </c>
    </row>
    <row r="3459" spans="4:17" ht="12.75" customHeight="1" x14ac:dyDescent="0.2">
      <c r="D3459" s="58" t="str">
        <f>IFERROR(IF(F3459&lt;&gt;"pending","",IF(OR($B3459="",$B3459="(blank)"),"",VLOOKUP($B3459,'Email Marketing Raw Data'!$C:$O,10,0))),"")</f>
        <v/>
      </c>
      <c r="E3459" s="59" t="str">
        <f>IFERROR(IF(F3459&lt;&gt;"pending","",IF(OR($B3459="",$B3459="(blank)"),"",VLOOKUP($B3459,'Email Marketing Raw Data'!$C:$O,11,0))),"")</f>
        <v/>
      </c>
      <c r="F3459" s="54" t="str">
        <f>IFERROR(IF(OR($B3459="",$B3459="(blank)"),"",VLOOKUP($B3459,'Email Marketing Raw Data'!$C:$O,13,0)),"")</f>
        <v/>
      </c>
      <c r="G3459" s="55" t="str">
        <f>IFERROR(IF(OR($B3459="",$B3459="(blank)"),"",VLOOKUP($B3459,'Email Marketing Raw Data'!$C:$O,4,0)),"")</f>
        <v/>
      </c>
      <c r="H3459" s="55" t="str">
        <f>IFERROR(IF(OR($B3459="",$B3459="(blank)"),"",VLOOKUP($B3459,'Email Marketing Raw Data'!$C:$O,5,0)),"")</f>
        <v/>
      </c>
      <c r="I3459" s="55" t="str">
        <f>IFERROR(IF($G3459="","",VLOOKUP('Dashboard And Emails Automate'!$G3459,Database!$H:$N,3,0)),"")</f>
        <v/>
      </c>
      <c r="J3459" s="55" t="str">
        <f>IFERROR(IF($G3459="","",VLOOKUP('Dashboard And Emails Automate'!$G3459,Database!$H:$N,4,0)),"")</f>
        <v/>
      </c>
      <c r="K3459" s="55" t="str">
        <f>IFERROR(IF($G3459="","",VLOOKUP('Dashboard And Emails Automate'!$G3459,Database!$H:$N,5,0)),"")</f>
        <v/>
      </c>
      <c r="L3459" s="55" t="str">
        <f>IFERROR(IF($G3459="","",VLOOKUP('Dashboard And Emails Automate'!$G3459,Database!$H:$N,6,0)),"")</f>
        <v/>
      </c>
      <c r="M3459" s="55" t="str">
        <f>IFERROR(IF($G3459="","",VLOOKUP('Dashboard And Emails Automate'!$G3459,Database!$H:$N,7,0)),"")</f>
        <v/>
      </c>
      <c r="N3459" s="55" t="str">
        <f>IFERROR(IF(OR($B3459="",$B3459="(blank)"),"",VLOOKUP($B3459,'Email Marketing Raw Data'!$C:$O,6,0)),"")</f>
        <v/>
      </c>
      <c r="O3459" s="55" t="str">
        <f>IFERROR(IF(OR($B3459="",$B3459="(blank)"),"",VLOOKUP($B3459,'Email Marketing Raw Data'!$C:$O,7,0)),"")</f>
        <v/>
      </c>
      <c r="P3459" s="55" t="str">
        <f>IFERROR(IF(OR($B3459="",$B3459="(blank)"),"",VLOOKUP($B3459,'Email Marketing Raw Data'!$C:$O,8,0)),"")</f>
        <v/>
      </c>
      <c r="Q3459" s="62" t="str">
        <f>IFERROR(IF(OR($B3459="",$B3459="(blank)"),"",VLOOKUP($B3459,'Email Marketing Raw Data'!$C:$O,9,0)),"")</f>
        <v/>
      </c>
    </row>
    <row r="3460" spans="4:17" ht="12.75" customHeight="1" x14ac:dyDescent="0.2">
      <c r="D3460" s="58" t="str">
        <f>IFERROR(IF(F3460&lt;&gt;"pending","",IF(OR($B3460="",$B3460="(blank)"),"",VLOOKUP($B3460,'Email Marketing Raw Data'!$C:$O,10,0))),"")</f>
        <v/>
      </c>
      <c r="E3460" s="59" t="str">
        <f>IFERROR(IF(F3460&lt;&gt;"pending","",IF(OR($B3460="",$B3460="(blank)"),"",VLOOKUP($B3460,'Email Marketing Raw Data'!$C:$O,11,0))),"")</f>
        <v/>
      </c>
      <c r="F3460" s="54" t="str">
        <f>IFERROR(IF(OR($B3460="",$B3460="(blank)"),"",VLOOKUP($B3460,'Email Marketing Raw Data'!$C:$O,13,0)),"")</f>
        <v/>
      </c>
      <c r="G3460" s="55" t="str">
        <f>IFERROR(IF(OR($B3460="",$B3460="(blank)"),"",VLOOKUP($B3460,'Email Marketing Raw Data'!$C:$O,4,0)),"")</f>
        <v/>
      </c>
      <c r="H3460" s="55" t="str">
        <f>IFERROR(IF(OR($B3460="",$B3460="(blank)"),"",VLOOKUP($B3460,'Email Marketing Raw Data'!$C:$O,5,0)),"")</f>
        <v/>
      </c>
      <c r="I3460" s="55" t="str">
        <f>IFERROR(IF($G3460="","",VLOOKUP('Dashboard And Emails Automate'!$G3460,Database!$H:$N,3,0)),"")</f>
        <v/>
      </c>
      <c r="J3460" s="55" t="str">
        <f>IFERROR(IF($G3460="","",VLOOKUP('Dashboard And Emails Automate'!$G3460,Database!$H:$N,4,0)),"")</f>
        <v/>
      </c>
      <c r="K3460" s="55" t="str">
        <f>IFERROR(IF($G3460="","",VLOOKUP('Dashboard And Emails Automate'!$G3460,Database!$H:$N,5,0)),"")</f>
        <v/>
      </c>
      <c r="L3460" s="55" t="str">
        <f>IFERROR(IF($G3460="","",VLOOKUP('Dashboard And Emails Automate'!$G3460,Database!$H:$N,6,0)),"")</f>
        <v/>
      </c>
      <c r="M3460" s="55" t="str">
        <f>IFERROR(IF($G3460="","",VLOOKUP('Dashboard And Emails Automate'!$G3460,Database!$H:$N,7,0)),"")</f>
        <v/>
      </c>
      <c r="N3460" s="55" t="str">
        <f>IFERROR(IF(OR($B3460="",$B3460="(blank)"),"",VLOOKUP($B3460,'Email Marketing Raw Data'!$C:$O,6,0)),"")</f>
        <v/>
      </c>
      <c r="O3460" s="55" t="str">
        <f>IFERROR(IF(OR($B3460="",$B3460="(blank)"),"",VLOOKUP($B3460,'Email Marketing Raw Data'!$C:$O,7,0)),"")</f>
        <v/>
      </c>
      <c r="P3460" s="55" t="str">
        <f>IFERROR(IF(OR($B3460="",$B3460="(blank)"),"",VLOOKUP($B3460,'Email Marketing Raw Data'!$C:$O,8,0)),"")</f>
        <v/>
      </c>
      <c r="Q3460" s="62" t="str">
        <f>IFERROR(IF(OR($B3460="",$B3460="(blank)"),"",VLOOKUP($B3460,'Email Marketing Raw Data'!$C:$O,9,0)),"")</f>
        <v/>
      </c>
    </row>
    <row r="3461" spans="4:17" ht="12.75" customHeight="1" x14ac:dyDescent="0.2">
      <c r="D3461" s="58" t="str">
        <f>IFERROR(IF(F3461&lt;&gt;"pending","",IF(OR($B3461="",$B3461="(blank)"),"",VLOOKUP($B3461,'Email Marketing Raw Data'!$C:$O,10,0))),"")</f>
        <v/>
      </c>
      <c r="E3461" s="59" t="str">
        <f>IFERROR(IF(F3461&lt;&gt;"pending","",IF(OR($B3461="",$B3461="(blank)"),"",VLOOKUP($B3461,'Email Marketing Raw Data'!$C:$O,11,0))),"")</f>
        <v/>
      </c>
      <c r="F3461" s="54" t="str">
        <f>IFERROR(IF(OR($B3461="",$B3461="(blank)"),"",VLOOKUP($B3461,'Email Marketing Raw Data'!$C:$O,13,0)),"")</f>
        <v/>
      </c>
      <c r="G3461" s="55" t="str">
        <f>IFERROR(IF(OR($B3461="",$B3461="(blank)"),"",VLOOKUP($B3461,'Email Marketing Raw Data'!$C:$O,4,0)),"")</f>
        <v/>
      </c>
      <c r="H3461" s="55" t="str">
        <f>IFERROR(IF(OR($B3461="",$B3461="(blank)"),"",VLOOKUP($B3461,'Email Marketing Raw Data'!$C:$O,5,0)),"")</f>
        <v/>
      </c>
      <c r="I3461" s="55" t="str">
        <f>IFERROR(IF($G3461="","",VLOOKUP('Dashboard And Emails Automate'!$G3461,Database!$H:$N,3,0)),"")</f>
        <v/>
      </c>
      <c r="J3461" s="55" t="str">
        <f>IFERROR(IF($G3461="","",VLOOKUP('Dashboard And Emails Automate'!$G3461,Database!$H:$N,4,0)),"")</f>
        <v/>
      </c>
      <c r="K3461" s="55" t="str">
        <f>IFERROR(IF($G3461="","",VLOOKUP('Dashboard And Emails Automate'!$G3461,Database!$H:$N,5,0)),"")</f>
        <v/>
      </c>
      <c r="L3461" s="55" t="str">
        <f>IFERROR(IF($G3461="","",VLOOKUP('Dashboard And Emails Automate'!$G3461,Database!$H:$N,6,0)),"")</f>
        <v/>
      </c>
      <c r="M3461" s="55" t="str">
        <f>IFERROR(IF($G3461="","",VLOOKUP('Dashboard And Emails Automate'!$G3461,Database!$H:$N,7,0)),"")</f>
        <v/>
      </c>
      <c r="N3461" s="55" t="str">
        <f>IFERROR(IF(OR($B3461="",$B3461="(blank)"),"",VLOOKUP($B3461,'Email Marketing Raw Data'!$C:$O,6,0)),"")</f>
        <v/>
      </c>
      <c r="O3461" s="55" t="str">
        <f>IFERROR(IF(OR($B3461="",$B3461="(blank)"),"",VLOOKUP($B3461,'Email Marketing Raw Data'!$C:$O,7,0)),"")</f>
        <v/>
      </c>
      <c r="P3461" s="55" t="str">
        <f>IFERROR(IF(OR($B3461="",$B3461="(blank)"),"",VLOOKUP($B3461,'Email Marketing Raw Data'!$C:$O,8,0)),"")</f>
        <v/>
      </c>
      <c r="Q3461" s="62" t="str">
        <f>IFERROR(IF(OR($B3461="",$B3461="(blank)"),"",VLOOKUP($B3461,'Email Marketing Raw Data'!$C:$O,9,0)),"")</f>
        <v/>
      </c>
    </row>
    <row r="3462" spans="4:17" ht="12.75" customHeight="1" x14ac:dyDescent="0.2">
      <c r="D3462" s="58" t="str">
        <f>IFERROR(IF(F3462&lt;&gt;"pending","",IF(OR($B3462="",$B3462="(blank)"),"",VLOOKUP($B3462,'Email Marketing Raw Data'!$C:$O,10,0))),"")</f>
        <v/>
      </c>
      <c r="E3462" s="59" t="str">
        <f>IFERROR(IF(F3462&lt;&gt;"pending","",IF(OR($B3462="",$B3462="(blank)"),"",VLOOKUP($B3462,'Email Marketing Raw Data'!$C:$O,11,0))),"")</f>
        <v/>
      </c>
      <c r="F3462" s="54" t="str">
        <f>IFERROR(IF(OR($B3462="",$B3462="(blank)"),"",VLOOKUP($B3462,'Email Marketing Raw Data'!$C:$O,13,0)),"")</f>
        <v/>
      </c>
      <c r="G3462" s="55" t="str">
        <f>IFERROR(IF(OR($B3462="",$B3462="(blank)"),"",VLOOKUP($B3462,'Email Marketing Raw Data'!$C:$O,4,0)),"")</f>
        <v/>
      </c>
      <c r="H3462" s="55" t="str">
        <f>IFERROR(IF(OR($B3462="",$B3462="(blank)"),"",VLOOKUP($B3462,'Email Marketing Raw Data'!$C:$O,5,0)),"")</f>
        <v/>
      </c>
      <c r="I3462" s="55" t="str">
        <f>IFERROR(IF($G3462="","",VLOOKUP('Dashboard And Emails Automate'!$G3462,Database!$H:$N,3,0)),"")</f>
        <v/>
      </c>
      <c r="J3462" s="55" t="str">
        <f>IFERROR(IF($G3462="","",VLOOKUP('Dashboard And Emails Automate'!$G3462,Database!$H:$N,4,0)),"")</f>
        <v/>
      </c>
      <c r="K3462" s="55" t="str">
        <f>IFERROR(IF($G3462="","",VLOOKUP('Dashboard And Emails Automate'!$G3462,Database!$H:$N,5,0)),"")</f>
        <v/>
      </c>
      <c r="L3462" s="55" t="str">
        <f>IFERROR(IF($G3462="","",VLOOKUP('Dashboard And Emails Automate'!$G3462,Database!$H:$N,6,0)),"")</f>
        <v/>
      </c>
      <c r="M3462" s="55" t="str">
        <f>IFERROR(IF($G3462="","",VLOOKUP('Dashboard And Emails Automate'!$G3462,Database!$H:$N,7,0)),"")</f>
        <v/>
      </c>
      <c r="N3462" s="55" t="str">
        <f>IFERROR(IF(OR($B3462="",$B3462="(blank)"),"",VLOOKUP($B3462,'Email Marketing Raw Data'!$C:$O,6,0)),"")</f>
        <v/>
      </c>
      <c r="O3462" s="55" t="str">
        <f>IFERROR(IF(OR($B3462="",$B3462="(blank)"),"",VLOOKUP($B3462,'Email Marketing Raw Data'!$C:$O,7,0)),"")</f>
        <v/>
      </c>
      <c r="P3462" s="55" t="str">
        <f>IFERROR(IF(OR($B3462="",$B3462="(blank)"),"",VLOOKUP($B3462,'Email Marketing Raw Data'!$C:$O,8,0)),"")</f>
        <v/>
      </c>
      <c r="Q3462" s="62" t="str">
        <f>IFERROR(IF(OR($B3462="",$B3462="(blank)"),"",VLOOKUP($B3462,'Email Marketing Raw Data'!$C:$O,9,0)),"")</f>
        <v/>
      </c>
    </row>
    <row r="3463" spans="4:17" ht="12.75" customHeight="1" x14ac:dyDescent="0.2">
      <c r="D3463" s="58" t="str">
        <f>IFERROR(IF(F3463&lt;&gt;"pending","",IF(OR($B3463="",$B3463="(blank)"),"",VLOOKUP($B3463,'Email Marketing Raw Data'!$C:$O,10,0))),"")</f>
        <v/>
      </c>
      <c r="E3463" s="59" t="str">
        <f>IFERROR(IF(F3463&lt;&gt;"pending","",IF(OR($B3463="",$B3463="(blank)"),"",VLOOKUP($B3463,'Email Marketing Raw Data'!$C:$O,11,0))),"")</f>
        <v/>
      </c>
      <c r="F3463" s="54" t="str">
        <f>IFERROR(IF(OR($B3463="",$B3463="(blank)"),"",VLOOKUP($B3463,'Email Marketing Raw Data'!$C:$O,13,0)),"")</f>
        <v/>
      </c>
      <c r="G3463" s="55" t="str">
        <f>IFERROR(IF(OR($B3463="",$B3463="(blank)"),"",VLOOKUP($B3463,'Email Marketing Raw Data'!$C:$O,4,0)),"")</f>
        <v/>
      </c>
      <c r="H3463" s="55" t="str">
        <f>IFERROR(IF(OR($B3463="",$B3463="(blank)"),"",VLOOKUP($B3463,'Email Marketing Raw Data'!$C:$O,5,0)),"")</f>
        <v/>
      </c>
      <c r="I3463" s="55" t="str">
        <f>IFERROR(IF($G3463="","",VLOOKUP('Dashboard And Emails Automate'!$G3463,Database!$H:$N,3,0)),"")</f>
        <v/>
      </c>
      <c r="J3463" s="55" t="str">
        <f>IFERROR(IF($G3463="","",VLOOKUP('Dashboard And Emails Automate'!$G3463,Database!$H:$N,4,0)),"")</f>
        <v/>
      </c>
      <c r="K3463" s="55" t="str">
        <f>IFERROR(IF($G3463="","",VLOOKUP('Dashboard And Emails Automate'!$G3463,Database!$H:$N,5,0)),"")</f>
        <v/>
      </c>
      <c r="L3463" s="55" t="str">
        <f>IFERROR(IF($G3463="","",VLOOKUP('Dashboard And Emails Automate'!$G3463,Database!$H:$N,6,0)),"")</f>
        <v/>
      </c>
      <c r="M3463" s="55" t="str">
        <f>IFERROR(IF($G3463="","",VLOOKUP('Dashboard And Emails Automate'!$G3463,Database!$H:$N,7,0)),"")</f>
        <v/>
      </c>
      <c r="N3463" s="55" t="str">
        <f>IFERROR(IF(OR($B3463="",$B3463="(blank)"),"",VLOOKUP($B3463,'Email Marketing Raw Data'!$C:$O,6,0)),"")</f>
        <v/>
      </c>
      <c r="O3463" s="55" t="str">
        <f>IFERROR(IF(OR($B3463="",$B3463="(blank)"),"",VLOOKUP($B3463,'Email Marketing Raw Data'!$C:$O,7,0)),"")</f>
        <v/>
      </c>
      <c r="P3463" s="55" t="str">
        <f>IFERROR(IF(OR($B3463="",$B3463="(blank)"),"",VLOOKUP($B3463,'Email Marketing Raw Data'!$C:$O,8,0)),"")</f>
        <v/>
      </c>
      <c r="Q3463" s="62" t="str">
        <f>IFERROR(IF(OR($B3463="",$B3463="(blank)"),"",VLOOKUP($B3463,'Email Marketing Raw Data'!$C:$O,9,0)),"")</f>
        <v/>
      </c>
    </row>
    <row r="3464" spans="4:17" ht="12.75" customHeight="1" x14ac:dyDescent="0.2">
      <c r="D3464" s="58" t="str">
        <f>IFERROR(IF(F3464&lt;&gt;"pending","",IF(OR($B3464="",$B3464="(blank)"),"",VLOOKUP($B3464,'Email Marketing Raw Data'!$C:$O,10,0))),"")</f>
        <v/>
      </c>
      <c r="E3464" s="59" t="str">
        <f>IFERROR(IF(F3464&lt;&gt;"pending","",IF(OR($B3464="",$B3464="(blank)"),"",VLOOKUP($B3464,'Email Marketing Raw Data'!$C:$O,11,0))),"")</f>
        <v/>
      </c>
      <c r="F3464" s="54" t="str">
        <f>IFERROR(IF(OR($B3464="",$B3464="(blank)"),"",VLOOKUP($B3464,'Email Marketing Raw Data'!$C:$O,13,0)),"")</f>
        <v/>
      </c>
      <c r="G3464" s="55" t="str">
        <f>IFERROR(IF(OR($B3464="",$B3464="(blank)"),"",VLOOKUP($B3464,'Email Marketing Raw Data'!$C:$O,4,0)),"")</f>
        <v/>
      </c>
      <c r="H3464" s="55" t="str">
        <f>IFERROR(IF(OR($B3464="",$B3464="(blank)"),"",VLOOKUP($B3464,'Email Marketing Raw Data'!$C:$O,5,0)),"")</f>
        <v/>
      </c>
      <c r="I3464" s="55" t="str">
        <f>IFERROR(IF($G3464="","",VLOOKUP('Dashboard And Emails Automate'!$G3464,Database!$H:$N,3,0)),"")</f>
        <v/>
      </c>
      <c r="J3464" s="55" t="str">
        <f>IFERROR(IF($G3464="","",VLOOKUP('Dashboard And Emails Automate'!$G3464,Database!$H:$N,4,0)),"")</f>
        <v/>
      </c>
      <c r="K3464" s="55" t="str">
        <f>IFERROR(IF($G3464="","",VLOOKUP('Dashboard And Emails Automate'!$G3464,Database!$H:$N,5,0)),"")</f>
        <v/>
      </c>
      <c r="L3464" s="55" t="str">
        <f>IFERROR(IF($G3464="","",VLOOKUP('Dashboard And Emails Automate'!$G3464,Database!$H:$N,6,0)),"")</f>
        <v/>
      </c>
      <c r="M3464" s="55" t="str">
        <f>IFERROR(IF($G3464="","",VLOOKUP('Dashboard And Emails Automate'!$G3464,Database!$H:$N,7,0)),"")</f>
        <v/>
      </c>
      <c r="N3464" s="55" t="str">
        <f>IFERROR(IF(OR($B3464="",$B3464="(blank)"),"",VLOOKUP($B3464,'Email Marketing Raw Data'!$C:$O,6,0)),"")</f>
        <v/>
      </c>
      <c r="O3464" s="55" t="str">
        <f>IFERROR(IF(OR($B3464="",$B3464="(blank)"),"",VLOOKUP($B3464,'Email Marketing Raw Data'!$C:$O,7,0)),"")</f>
        <v/>
      </c>
      <c r="P3464" s="55" t="str">
        <f>IFERROR(IF(OR($B3464="",$B3464="(blank)"),"",VLOOKUP($B3464,'Email Marketing Raw Data'!$C:$O,8,0)),"")</f>
        <v/>
      </c>
      <c r="Q3464" s="62" t="str">
        <f>IFERROR(IF(OR($B3464="",$B3464="(blank)"),"",VLOOKUP($B3464,'Email Marketing Raw Data'!$C:$O,9,0)),"")</f>
        <v/>
      </c>
    </row>
    <row r="3465" spans="4:17" ht="12.75" customHeight="1" x14ac:dyDescent="0.2">
      <c r="D3465" s="58" t="str">
        <f>IFERROR(IF(F3465&lt;&gt;"pending","",IF(OR($B3465="",$B3465="(blank)"),"",VLOOKUP($B3465,'Email Marketing Raw Data'!$C:$O,10,0))),"")</f>
        <v/>
      </c>
      <c r="E3465" s="59" t="str">
        <f>IFERROR(IF(F3465&lt;&gt;"pending","",IF(OR($B3465="",$B3465="(blank)"),"",VLOOKUP($B3465,'Email Marketing Raw Data'!$C:$O,11,0))),"")</f>
        <v/>
      </c>
      <c r="F3465" s="54" t="str">
        <f>IFERROR(IF(OR($B3465="",$B3465="(blank)"),"",VLOOKUP($B3465,'Email Marketing Raw Data'!$C:$O,13,0)),"")</f>
        <v/>
      </c>
      <c r="G3465" s="55" t="str">
        <f>IFERROR(IF(OR($B3465="",$B3465="(blank)"),"",VLOOKUP($B3465,'Email Marketing Raw Data'!$C:$O,4,0)),"")</f>
        <v/>
      </c>
      <c r="H3465" s="55" t="str">
        <f>IFERROR(IF(OR($B3465="",$B3465="(blank)"),"",VLOOKUP($B3465,'Email Marketing Raw Data'!$C:$O,5,0)),"")</f>
        <v/>
      </c>
      <c r="I3465" s="55" t="str">
        <f>IFERROR(IF($G3465="","",VLOOKUP('Dashboard And Emails Automate'!$G3465,Database!$H:$N,3,0)),"")</f>
        <v/>
      </c>
      <c r="J3465" s="55" t="str">
        <f>IFERROR(IF($G3465="","",VLOOKUP('Dashboard And Emails Automate'!$G3465,Database!$H:$N,4,0)),"")</f>
        <v/>
      </c>
      <c r="K3465" s="55" t="str">
        <f>IFERROR(IF($G3465="","",VLOOKUP('Dashboard And Emails Automate'!$G3465,Database!$H:$N,5,0)),"")</f>
        <v/>
      </c>
      <c r="L3465" s="55" t="str">
        <f>IFERROR(IF($G3465="","",VLOOKUP('Dashboard And Emails Automate'!$G3465,Database!$H:$N,6,0)),"")</f>
        <v/>
      </c>
      <c r="M3465" s="55" t="str">
        <f>IFERROR(IF($G3465="","",VLOOKUP('Dashboard And Emails Automate'!$G3465,Database!$H:$N,7,0)),"")</f>
        <v/>
      </c>
      <c r="N3465" s="55" t="str">
        <f>IFERROR(IF(OR($B3465="",$B3465="(blank)"),"",VLOOKUP($B3465,'Email Marketing Raw Data'!$C:$O,6,0)),"")</f>
        <v/>
      </c>
      <c r="O3465" s="55" t="str">
        <f>IFERROR(IF(OR($B3465="",$B3465="(blank)"),"",VLOOKUP($B3465,'Email Marketing Raw Data'!$C:$O,7,0)),"")</f>
        <v/>
      </c>
      <c r="P3465" s="55" t="str">
        <f>IFERROR(IF(OR($B3465="",$B3465="(blank)"),"",VLOOKUP($B3465,'Email Marketing Raw Data'!$C:$O,8,0)),"")</f>
        <v/>
      </c>
      <c r="Q3465" s="62" t="str">
        <f>IFERROR(IF(OR($B3465="",$B3465="(blank)"),"",VLOOKUP($B3465,'Email Marketing Raw Data'!$C:$O,9,0)),"")</f>
        <v/>
      </c>
    </row>
    <row r="3466" spans="4:17" ht="12.75" customHeight="1" x14ac:dyDescent="0.2">
      <c r="D3466" s="58" t="str">
        <f>IFERROR(IF(F3466&lt;&gt;"pending","",IF(OR($B3466="",$B3466="(blank)"),"",VLOOKUP($B3466,'Email Marketing Raw Data'!$C:$O,10,0))),"")</f>
        <v/>
      </c>
      <c r="E3466" s="59" t="str">
        <f>IFERROR(IF(F3466&lt;&gt;"pending","",IF(OR($B3466="",$B3466="(blank)"),"",VLOOKUP($B3466,'Email Marketing Raw Data'!$C:$O,11,0))),"")</f>
        <v/>
      </c>
      <c r="F3466" s="54" t="str">
        <f>IFERROR(IF(OR($B3466="",$B3466="(blank)"),"",VLOOKUP($B3466,'Email Marketing Raw Data'!$C:$O,13,0)),"")</f>
        <v/>
      </c>
      <c r="G3466" s="55" t="str">
        <f>IFERROR(IF(OR($B3466="",$B3466="(blank)"),"",VLOOKUP($B3466,'Email Marketing Raw Data'!$C:$O,4,0)),"")</f>
        <v/>
      </c>
      <c r="H3466" s="55" t="str">
        <f>IFERROR(IF(OR($B3466="",$B3466="(blank)"),"",VLOOKUP($B3466,'Email Marketing Raw Data'!$C:$O,5,0)),"")</f>
        <v/>
      </c>
      <c r="I3466" s="55" t="str">
        <f>IFERROR(IF($G3466="","",VLOOKUP('Dashboard And Emails Automate'!$G3466,Database!$H:$N,3,0)),"")</f>
        <v/>
      </c>
      <c r="J3466" s="55" t="str">
        <f>IFERROR(IF($G3466="","",VLOOKUP('Dashboard And Emails Automate'!$G3466,Database!$H:$N,4,0)),"")</f>
        <v/>
      </c>
      <c r="K3466" s="55" t="str">
        <f>IFERROR(IF($G3466="","",VLOOKUP('Dashboard And Emails Automate'!$G3466,Database!$H:$N,5,0)),"")</f>
        <v/>
      </c>
      <c r="L3466" s="55" t="str">
        <f>IFERROR(IF($G3466="","",VLOOKUP('Dashboard And Emails Automate'!$G3466,Database!$H:$N,6,0)),"")</f>
        <v/>
      </c>
      <c r="M3466" s="55" t="str">
        <f>IFERROR(IF($G3466="","",VLOOKUP('Dashboard And Emails Automate'!$G3466,Database!$H:$N,7,0)),"")</f>
        <v/>
      </c>
      <c r="N3466" s="55" t="str">
        <f>IFERROR(IF(OR($B3466="",$B3466="(blank)"),"",VLOOKUP($B3466,'Email Marketing Raw Data'!$C:$O,6,0)),"")</f>
        <v/>
      </c>
      <c r="O3466" s="55" t="str">
        <f>IFERROR(IF(OR($B3466="",$B3466="(blank)"),"",VLOOKUP($B3466,'Email Marketing Raw Data'!$C:$O,7,0)),"")</f>
        <v/>
      </c>
      <c r="P3466" s="55" t="str">
        <f>IFERROR(IF(OR($B3466="",$B3466="(blank)"),"",VLOOKUP($B3466,'Email Marketing Raw Data'!$C:$O,8,0)),"")</f>
        <v/>
      </c>
      <c r="Q3466" s="62" t="str">
        <f>IFERROR(IF(OR($B3466="",$B3466="(blank)"),"",VLOOKUP($B3466,'Email Marketing Raw Data'!$C:$O,9,0)),"")</f>
        <v/>
      </c>
    </row>
    <row r="3467" spans="4:17" ht="12.75" customHeight="1" x14ac:dyDescent="0.2">
      <c r="D3467" s="58" t="str">
        <f>IFERROR(IF(F3467&lt;&gt;"pending","",IF(OR($B3467="",$B3467="(blank)"),"",VLOOKUP($B3467,'Email Marketing Raw Data'!$C:$O,10,0))),"")</f>
        <v/>
      </c>
      <c r="E3467" s="59" t="str">
        <f>IFERROR(IF(F3467&lt;&gt;"pending","",IF(OR($B3467="",$B3467="(blank)"),"",VLOOKUP($B3467,'Email Marketing Raw Data'!$C:$O,11,0))),"")</f>
        <v/>
      </c>
      <c r="F3467" s="54" t="str">
        <f>IFERROR(IF(OR($B3467="",$B3467="(blank)"),"",VLOOKUP($B3467,'Email Marketing Raw Data'!$C:$O,13,0)),"")</f>
        <v/>
      </c>
      <c r="G3467" s="55" t="str">
        <f>IFERROR(IF(OR($B3467="",$B3467="(blank)"),"",VLOOKUP($B3467,'Email Marketing Raw Data'!$C:$O,4,0)),"")</f>
        <v/>
      </c>
      <c r="H3467" s="55" t="str">
        <f>IFERROR(IF(OR($B3467="",$B3467="(blank)"),"",VLOOKUP($B3467,'Email Marketing Raw Data'!$C:$O,5,0)),"")</f>
        <v/>
      </c>
      <c r="I3467" s="55" t="str">
        <f>IFERROR(IF($G3467="","",VLOOKUP('Dashboard And Emails Automate'!$G3467,Database!$H:$N,3,0)),"")</f>
        <v/>
      </c>
      <c r="J3467" s="55" t="str">
        <f>IFERROR(IF($G3467="","",VLOOKUP('Dashboard And Emails Automate'!$G3467,Database!$H:$N,4,0)),"")</f>
        <v/>
      </c>
      <c r="K3467" s="55" t="str">
        <f>IFERROR(IF($G3467="","",VLOOKUP('Dashboard And Emails Automate'!$G3467,Database!$H:$N,5,0)),"")</f>
        <v/>
      </c>
      <c r="L3467" s="55" t="str">
        <f>IFERROR(IF($G3467="","",VLOOKUP('Dashboard And Emails Automate'!$G3467,Database!$H:$N,6,0)),"")</f>
        <v/>
      </c>
      <c r="M3467" s="55" t="str">
        <f>IFERROR(IF($G3467="","",VLOOKUP('Dashboard And Emails Automate'!$G3467,Database!$H:$N,7,0)),"")</f>
        <v/>
      </c>
      <c r="N3467" s="55" t="str">
        <f>IFERROR(IF(OR($B3467="",$B3467="(blank)"),"",VLOOKUP($B3467,'Email Marketing Raw Data'!$C:$O,6,0)),"")</f>
        <v/>
      </c>
      <c r="O3467" s="55" t="str">
        <f>IFERROR(IF(OR($B3467="",$B3467="(blank)"),"",VLOOKUP($B3467,'Email Marketing Raw Data'!$C:$O,7,0)),"")</f>
        <v/>
      </c>
      <c r="P3467" s="55" t="str">
        <f>IFERROR(IF(OR($B3467="",$B3467="(blank)"),"",VLOOKUP($B3467,'Email Marketing Raw Data'!$C:$O,8,0)),"")</f>
        <v/>
      </c>
      <c r="Q3467" s="62" t="str">
        <f>IFERROR(IF(OR($B3467="",$B3467="(blank)"),"",VLOOKUP($B3467,'Email Marketing Raw Data'!$C:$O,9,0)),"")</f>
        <v/>
      </c>
    </row>
    <row r="3468" spans="4:17" ht="12.75" customHeight="1" x14ac:dyDescent="0.2">
      <c r="D3468" s="58" t="str">
        <f>IFERROR(IF(F3468&lt;&gt;"pending","",IF(OR($B3468="",$B3468="(blank)"),"",VLOOKUP($B3468,'Email Marketing Raw Data'!$C:$O,10,0))),"")</f>
        <v/>
      </c>
      <c r="E3468" s="59" t="str">
        <f>IFERROR(IF(F3468&lt;&gt;"pending","",IF(OR($B3468="",$B3468="(blank)"),"",VLOOKUP($B3468,'Email Marketing Raw Data'!$C:$O,11,0))),"")</f>
        <v/>
      </c>
      <c r="F3468" s="54" t="str">
        <f>IFERROR(IF(OR($B3468="",$B3468="(blank)"),"",VLOOKUP($B3468,'Email Marketing Raw Data'!$C:$O,13,0)),"")</f>
        <v/>
      </c>
      <c r="G3468" s="55" t="str">
        <f>IFERROR(IF(OR($B3468="",$B3468="(blank)"),"",VLOOKUP($B3468,'Email Marketing Raw Data'!$C:$O,4,0)),"")</f>
        <v/>
      </c>
      <c r="H3468" s="55" t="str">
        <f>IFERROR(IF(OR($B3468="",$B3468="(blank)"),"",VLOOKUP($B3468,'Email Marketing Raw Data'!$C:$O,5,0)),"")</f>
        <v/>
      </c>
      <c r="I3468" s="55" t="str">
        <f>IFERROR(IF($G3468="","",VLOOKUP('Dashboard And Emails Automate'!$G3468,Database!$H:$N,3,0)),"")</f>
        <v/>
      </c>
      <c r="J3468" s="55" t="str">
        <f>IFERROR(IF($G3468="","",VLOOKUP('Dashboard And Emails Automate'!$G3468,Database!$H:$N,4,0)),"")</f>
        <v/>
      </c>
      <c r="K3468" s="55" t="str">
        <f>IFERROR(IF($G3468="","",VLOOKUP('Dashboard And Emails Automate'!$G3468,Database!$H:$N,5,0)),"")</f>
        <v/>
      </c>
      <c r="L3468" s="55" t="str">
        <f>IFERROR(IF($G3468="","",VLOOKUP('Dashboard And Emails Automate'!$G3468,Database!$H:$N,6,0)),"")</f>
        <v/>
      </c>
      <c r="M3468" s="55" t="str">
        <f>IFERROR(IF($G3468="","",VLOOKUP('Dashboard And Emails Automate'!$G3468,Database!$H:$N,7,0)),"")</f>
        <v/>
      </c>
      <c r="N3468" s="55" t="str">
        <f>IFERROR(IF(OR($B3468="",$B3468="(blank)"),"",VLOOKUP($B3468,'Email Marketing Raw Data'!$C:$O,6,0)),"")</f>
        <v/>
      </c>
      <c r="O3468" s="55" t="str">
        <f>IFERROR(IF(OR($B3468="",$B3468="(blank)"),"",VLOOKUP($B3468,'Email Marketing Raw Data'!$C:$O,7,0)),"")</f>
        <v/>
      </c>
      <c r="P3468" s="55" t="str">
        <f>IFERROR(IF(OR($B3468="",$B3468="(blank)"),"",VLOOKUP($B3468,'Email Marketing Raw Data'!$C:$O,8,0)),"")</f>
        <v/>
      </c>
      <c r="Q3468" s="62" t="str">
        <f>IFERROR(IF(OR($B3468="",$B3468="(blank)"),"",VLOOKUP($B3468,'Email Marketing Raw Data'!$C:$O,9,0)),"")</f>
        <v/>
      </c>
    </row>
    <row r="3469" spans="4:17" ht="12.75" customHeight="1" x14ac:dyDescent="0.2">
      <c r="D3469" s="58" t="str">
        <f>IFERROR(IF(F3469&lt;&gt;"pending","",IF(OR($B3469="",$B3469="(blank)"),"",VLOOKUP($B3469,'Email Marketing Raw Data'!$C:$O,10,0))),"")</f>
        <v/>
      </c>
      <c r="E3469" s="59" t="str">
        <f>IFERROR(IF(F3469&lt;&gt;"pending","",IF(OR($B3469="",$B3469="(blank)"),"",VLOOKUP($B3469,'Email Marketing Raw Data'!$C:$O,11,0))),"")</f>
        <v/>
      </c>
      <c r="F3469" s="54" t="str">
        <f>IFERROR(IF(OR($B3469="",$B3469="(blank)"),"",VLOOKUP($B3469,'Email Marketing Raw Data'!$C:$O,13,0)),"")</f>
        <v/>
      </c>
      <c r="G3469" s="55" t="str">
        <f>IFERROR(IF(OR($B3469="",$B3469="(blank)"),"",VLOOKUP($B3469,'Email Marketing Raw Data'!$C:$O,4,0)),"")</f>
        <v/>
      </c>
      <c r="H3469" s="55" t="str">
        <f>IFERROR(IF(OR($B3469="",$B3469="(blank)"),"",VLOOKUP($B3469,'Email Marketing Raw Data'!$C:$O,5,0)),"")</f>
        <v/>
      </c>
      <c r="I3469" s="55" t="str">
        <f>IFERROR(IF($G3469="","",VLOOKUP('Dashboard And Emails Automate'!$G3469,Database!$H:$N,3,0)),"")</f>
        <v/>
      </c>
      <c r="J3469" s="55" t="str">
        <f>IFERROR(IF($G3469="","",VLOOKUP('Dashboard And Emails Automate'!$G3469,Database!$H:$N,4,0)),"")</f>
        <v/>
      </c>
      <c r="K3469" s="55" t="str">
        <f>IFERROR(IF($G3469="","",VLOOKUP('Dashboard And Emails Automate'!$G3469,Database!$H:$N,5,0)),"")</f>
        <v/>
      </c>
      <c r="L3469" s="55" t="str">
        <f>IFERROR(IF($G3469="","",VLOOKUP('Dashboard And Emails Automate'!$G3469,Database!$H:$N,6,0)),"")</f>
        <v/>
      </c>
      <c r="M3469" s="55" t="str">
        <f>IFERROR(IF($G3469="","",VLOOKUP('Dashboard And Emails Automate'!$G3469,Database!$H:$N,7,0)),"")</f>
        <v/>
      </c>
      <c r="N3469" s="55" t="str">
        <f>IFERROR(IF(OR($B3469="",$B3469="(blank)"),"",VLOOKUP($B3469,'Email Marketing Raw Data'!$C:$O,6,0)),"")</f>
        <v/>
      </c>
      <c r="O3469" s="55" t="str">
        <f>IFERROR(IF(OR($B3469="",$B3469="(blank)"),"",VLOOKUP($B3469,'Email Marketing Raw Data'!$C:$O,7,0)),"")</f>
        <v/>
      </c>
      <c r="P3469" s="55" t="str">
        <f>IFERROR(IF(OR($B3469="",$B3469="(blank)"),"",VLOOKUP($B3469,'Email Marketing Raw Data'!$C:$O,8,0)),"")</f>
        <v/>
      </c>
      <c r="Q3469" s="62" t="str">
        <f>IFERROR(IF(OR($B3469="",$B3469="(blank)"),"",VLOOKUP($B3469,'Email Marketing Raw Data'!$C:$O,9,0)),"")</f>
        <v/>
      </c>
    </row>
    <row r="3470" spans="4:17" ht="12.75" customHeight="1" x14ac:dyDescent="0.2">
      <c r="D3470" s="58" t="str">
        <f>IFERROR(IF(F3470&lt;&gt;"pending","",IF(OR($B3470="",$B3470="(blank)"),"",VLOOKUP($B3470,'Email Marketing Raw Data'!$C:$O,10,0))),"")</f>
        <v/>
      </c>
      <c r="E3470" s="59" t="str">
        <f>IFERROR(IF(F3470&lt;&gt;"pending","",IF(OR($B3470="",$B3470="(blank)"),"",VLOOKUP($B3470,'Email Marketing Raw Data'!$C:$O,11,0))),"")</f>
        <v/>
      </c>
      <c r="F3470" s="54" t="str">
        <f>IFERROR(IF(OR($B3470="",$B3470="(blank)"),"",VLOOKUP($B3470,'Email Marketing Raw Data'!$C:$O,13,0)),"")</f>
        <v/>
      </c>
      <c r="G3470" s="55" t="str">
        <f>IFERROR(IF(OR($B3470="",$B3470="(blank)"),"",VLOOKUP($B3470,'Email Marketing Raw Data'!$C:$O,4,0)),"")</f>
        <v/>
      </c>
      <c r="H3470" s="55" t="str">
        <f>IFERROR(IF(OR($B3470="",$B3470="(blank)"),"",VLOOKUP($B3470,'Email Marketing Raw Data'!$C:$O,5,0)),"")</f>
        <v/>
      </c>
      <c r="I3470" s="55" t="str">
        <f>IFERROR(IF($G3470="","",VLOOKUP('Dashboard And Emails Automate'!$G3470,Database!$H:$N,3,0)),"")</f>
        <v/>
      </c>
      <c r="J3470" s="55" t="str">
        <f>IFERROR(IF($G3470="","",VLOOKUP('Dashboard And Emails Automate'!$G3470,Database!$H:$N,4,0)),"")</f>
        <v/>
      </c>
      <c r="K3470" s="55" t="str">
        <f>IFERROR(IF($G3470="","",VLOOKUP('Dashboard And Emails Automate'!$G3470,Database!$H:$N,5,0)),"")</f>
        <v/>
      </c>
      <c r="L3470" s="55" t="str">
        <f>IFERROR(IF($G3470="","",VLOOKUP('Dashboard And Emails Automate'!$G3470,Database!$H:$N,6,0)),"")</f>
        <v/>
      </c>
      <c r="M3470" s="55" t="str">
        <f>IFERROR(IF($G3470="","",VLOOKUP('Dashboard And Emails Automate'!$G3470,Database!$H:$N,7,0)),"")</f>
        <v/>
      </c>
      <c r="N3470" s="55" t="str">
        <f>IFERROR(IF(OR($B3470="",$B3470="(blank)"),"",VLOOKUP($B3470,'Email Marketing Raw Data'!$C:$O,6,0)),"")</f>
        <v/>
      </c>
      <c r="O3470" s="55" t="str">
        <f>IFERROR(IF(OR($B3470="",$B3470="(blank)"),"",VLOOKUP($B3470,'Email Marketing Raw Data'!$C:$O,7,0)),"")</f>
        <v/>
      </c>
      <c r="P3470" s="55" t="str">
        <f>IFERROR(IF(OR($B3470="",$B3470="(blank)"),"",VLOOKUP($B3470,'Email Marketing Raw Data'!$C:$O,8,0)),"")</f>
        <v/>
      </c>
      <c r="Q3470" s="62" t="str">
        <f>IFERROR(IF(OR($B3470="",$B3470="(blank)"),"",VLOOKUP($B3470,'Email Marketing Raw Data'!$C:$O,9,0)),"")</f>
        <v/>
      </c>
    </row>
    <row r="3471" spans="4:17" ht="12.75" customHeight="1" x14ac:dyDescent="0.2">
      <c r="D3471" s="58" t="str">
        <f>IFERROR(IF(F3471&lt;&gt;"pending","",IF(OR($B3471="",$B3471="(blank)"),"",VLOOKUP($B3471,'Email Marketing Raw Data'!$C:$O,10,0))),"")</f>
        <v/>
      </c>
      <c r="E3471" s="59" t="str">
        <f>IFERROR(IF(F3471&lt;&gt;"pending","",IF(OR($B3471="",$B3471="(blank)"),"",VLOOKUP($B3471,'Email Marketing Raw Data'!$C:$O,11,0))),"")</f>
        <v/>
      </c>
      <c r="F3471" s="54" t="str">
        <f>IFERROR(IF(OR($B3471="",$B3471="(blank)"),"",VLOOKUP($B3471,'Email Marketing Raw Data'!$C:$O,13,0)),"")</f>
        <v/>
      </c>
      <c r="G3471" s="55" t="str">
        <f>IFERROR(IF(OR($B3471="",$B3471="(blank)"),"",VLOOKUP($B3471,'Email Marketing Raw Data'!$C:$O,4,0)),"")</f>
        <v/>
      </c>
      <c r="H3471" s="55" t="str">
        <f>IFERROR(IF(OR($B3471="",$B3471="(blank)"),"",VLOOKUP($B3471,'Email Marketing Raw Data'!$C:$O,5,0)),"")</f>
        <v/>
      </c>
      <c r="I3471" s="55" t="str">
        <f>IFERROR(IF($G3471="","",VLOOKUP('Dashboard And Emails Automate'!$G3471,Database!$H:$N,3,0)),"")</f>
        <v/>
      </c>
      <c r="J3471" s="55" t="str">
        <f>IFERROR(IF($G3471="","",VLOOKUP('Dashboard And Emails Automate'!$G3471,Database!$H:$N,4,0)),"")</f>
        <v/>
      </c>
      <c r="K3471" s="55" t="str">
        <f>IFERROR(IF($G3471="","",VLOOKUP('Dashboard And Emails Automate'!$G3471,Database!$H:$N,5,0)),"")</f>
        <v/>
      </c>
      <c r="L3471" s="55" t="str">
        <f>IFERROR(IF($G3471="","",VLOOKUP('Dashboard And Emails Automate'!$G3471,Database!$H:$N,6,0)),"")</f>
        <v/>
      </c>
      <c r="M3471" s="55" t="str">
        <f>IFERROR(IF($G3471="","",VLOOKUP('Dashboard And Emails Automate'!$G3471,Database!$H:$N,7,0)),"")</f>
        <v/>
      </c>
      <c r="N3471" s="55" t="str">
        <f>IFERROR(IF(OR($B3471="",$B3471="(blank)"),"",VLOOKUP($B3471,'Email Marketing Raw Data'!$C:$O,6,0)),"")</f>
        <v/>
      </c>
      <c r="O3471" s="55" t="str">
        <f>IFERROR(IF(OR($B3471="",$B3471="(blank)"),"",VLOOKUP($B3471,'Email Marketing Raw Data'!$C:$O,7,0)),"")</f>
        <v/>
      </c>
      <c r="P3471" s="55" t="str">
        <f>IFERROR(IF(OR($B3471="",$B3471="(blank)"),"",VLOOKUP($B3471,'Email Marketing Raw Data'!$C:$O,8,0)),"")</f>
        <v/>
      </c>
      <c r="Q3471" s="62" t="str">
        <f>IFERROR(IF(OR($B3471="",$B3471="(blank)"),"",VLOOKUP($B3471,'Email Marketing Raw Data'!$C:$O,9,0)),"")</f>
        <v/>
      </c>
    </row>
    <row r="3472" spans="4:17" ht="12.75" customHeight="1" x14ac:dyDescent="0.2">
      <c r="D3472" s="58" t="str">
        <f>IFERROR(IF(F3472&lt;&gt;"pending","",IF(OR($B3472="",$B3472="(blank)"),"",VLOOKUP($B3472,'Email Marketing Raw Data'!$C:$O,10,0))),"")</f>
        <v/>
      </c>
      <c r="E3472" s="59" t="str">
        <f>IFERROR(IF(F3472&lt;&gt;"pending","",IF(OR($B3472="",$B3472="(blank)"),"",VLOOKUP($B3472,'Email Marketing Raw Data'!$C:$O,11,0))),"")</f>
        <v/>
      </c>
      <c r="F3472" s="54" t="str">
        <f>IFERROR(IF(OR($B3472="",$B3472="(blank)"),"",VLOOKUP($B3472,'Email Marketing Raw Data'!$C:$O,13,0)),"")</f>
        <v/>
      </c>
      <c r="G3472" s="55" t="str">
        <f>IFERROR(IF(OR($B3472="",$B3472="(blank)"),"",VLOOKUP($B3472,'Email Marketing Raw Data'!$C:$O,4,0)),"")</f>
        <v/>
      </c>
      <c r="H3472" s="55" t="str">
        <f>IFERROR(IF(OR($B3472="",$B3472="(blank)"),"",VLOOKUP($B3472,'Email Marketing Raw Data'!$C:$O,5,0)),"")</f>
        <v/>
      </c>
      <c r="I3472" s="55" t="str">
        <f>IFERROR(IF($G3472="","",VLOOKUP('Dashboard And Emails Automate'!$G3472,Database!$H:$N,3,0)),"")</f>
        <v/>
      </c>
      <c r="J3472" s="55" t="str">
        <f>IFERROR(IF($G3472="","",VLOOKUP('Dashboard And Emails Automate'!$G3472,Database!$H:$N,4,0)),"")</f>
        <v/>
      </c>
      <c r="K3472" s="55" t="str">
        <f>IFERROR(IF($G3472="","",VLOOKUP('Dashboard And Emails Automate'!$G3472,Database!$H:$N,5,0)),"")</f>
        <v/>
      </c>
      <c r="L3472" s="55" t="str">
        <f>IFERROR(IF($G3472="","",VLOOKUP('Dashboard And Emails Automate'!$G3472,Database!$H:$N,6,0)),"")</f>
        <v/>
      </c>
      <c r="M3472" s="55" t="str">
        <f>IFERROR(IF($G3472="","",VLOOKUP('Dashboard And Emails Automate'!$G3472,Database!$H:$N,7,0)),"")</f>
        <v/>
      </c>
      <c r="N3472" s="55" t="str">
        <f>IFERROR(IF(OR($B3472="",$B3472="(blank)"),"",VLOOKUP($B3472,'Email Marketing Raw Data'!$C:$O,6,0)),"")</f>
        <v/>
      </c>
      <c r="O3472" s="55" t="str">
        <f>IFERROR(IF(OR($B3472="",$B3472="(blank)"),"",VLOOKUP($B3472,'Email Marketing Raw Data'!$C:$O,7,0)),"")</f>
        <v/>
      </c>
      <c r="P3472" s="55" t="str">
        <f>IFERROR(IF(OR($B3472="",$B3472="(blank)"),"",VLOOKUP($B3472,'Email Marketing Raw Data'!$C:$O,8,0)),"")</f>
        <v/>
      </c>
      <c r="Q3472" s="62" t="str">
        <f>IFERROR(IF(OR($B3472="",$B3472="(blank)"),"",VLOOKUP($B3472,'Email Marketing Raw Data'!$C:$O,9,0)),"")</f>
        <v/>
      </c>
    </row>
    <row r="3473" spans="4:17" ht="12.75" customHeight="1" x14ac:dyDescent="0.2">
      <c r="D3473" s="58" t="str">
        <f>IFERROR(IF(F3473&lt;&gt;"pending","",IF(OR($B3473="",$B3473="(blank)"),"",VLOOKUP($B3473,'Email Marketing Raw Data'!$C:$O,10,0))),"")</f>
        <v/>
      </c>
      <c r="E3473" s="59" t="str">
        <f>IFERROR(IF(F3473&lt;&gt;"pending","",IF(OR($B3473="",$B3473="(blank)"),"",VLOOKUP($B3473,'Email Marketing Raw Data'!$C:$O,11,0))),"")</f>
        <v/>
      </c>
      <c r="F3473" s="54" t="str">
        <f>IFERROR(IF(OR($B3473="",$B3473="(blank)"),"",VLOOKUP($B3473,'Email Marketing Raw Data'!$C:$O,13,0)),"")</f>
        <v/>
      </c>
      <c r="G3473" s="55" t="str">
        <f>IFERROR(IF(OR($B3473="",$B3473="(blank)"),"",VLOOKUP($B3473,'Email Marketing Raw Data'!$C:$O,4,0)),"")</f>
        <v/>
      </c>
      <c r="H3473" s="55" t="str">
        <f>IFERROR(IF(OR($B3473="",$B3473="(blank)"),"",VLOOKUP($B3473,'Email Marketing Raw Data'!$C:$O,5,0)),"")</f>
        <v/>
      </c>
      <c r="I3473" s="55" t="str">
        <f>IFERROR(IF($G3473="","",VLOOKUP('Dashboard And Emails Automate'!$G3473,Database!$H:$N,3,0)),"")</f>
        <v/>
      </c>
      <c r="J3473" s="55" t="str">
        <f>IFERROR(IF($G3473="","",VLOOKUP('Dashboard And Emails Automate'!$G3473,Database!$H:$N,4,0)),"")</f>
        <v/>
      </c>
      <c r="K3473" s="55" t="str">
        <f>IFERROR(IF($G3473="","",VLOOKUP('Dashboard And Emails Automate'!$G3473,Database!$H:$N,5,0)),"")</f>
        <v/>
      </c>
      <c r="L3473" s="55" t="str">
        <f>IFERROR(IF($G3473="","",VLOOKUP('Dashboard And Emails Automate'!$G3473,Database!$H:$N,6,0)),"")</f>
        <v/>
      </c>
      <c r="M3473" s="55" t="str">
        <f>IFERROR(IF($G3473="","",VLOOKUP('Dashboard And Emails Automate'!$G3473,Database!$H:$N,7,0)),"")</f>
        <v/>
      </c>
      <c r="N3473" s="55" t="str">
        <f>IFERROR(IF(OR($B3473="",$B3473="(blank)"),"",VLOOKUP($B3473,'Email Marketing Raw Data'!$C:$O,6,0)),"")</f>
        <v/>
      </c>
      <c r="O3473" s="55" t="str">
        <f>IFERROR(IF(OR($B3473="",$B3473="(blank)"),"",VLOOKUP($B3473,'Email Marketing Raw Data'!$C:$O,7,0)),"")</f>
        <v/>
      </c>
      <c r="P3473" s="55" t="str">
        <f>IFERROR(IF(OR($B3473="",$B3473="(blank)"),"",VLOOKUP($B3473,'Email Marketing Raw Data'!$C:$O,8,0)),"")</f>
        <v/>
      </c>
      <c r="Q3473" s="62" t="str">
        <f>IFERROR(IF(OR($B3473="",$B3473="(blank)"),"",VLOOKUP($B3473,'Email Marketing Raw Data'!$C:$O,9,0)),"")</f>
        <v/>
      </c>
    </row>
    <row r="3474" spans="4:17" ht="12.75" customHeight="1" x14ac:dyDescent="0.2">
      <c r="D3474" s="58" t="str">
        <f>IFERROR(IF(F3474&lt;&gt;"pending","",IF(OR($B3474="",$B3474="(blank)"),"",VLOOKUP($B3474,'Email Marketing Raw Data'!$C:$O,10,0))),"")</f>
        <v/>
      </c>
      <c r="E3474" s="59" t="str">
        <f>IFERROR(IF(F3474&lt;&gt;"pending","",IF(OR($B3474="",$B3474="(blank)"),"",VLOOKUP($B3474,'Email Marketing Raw Data'!$C:$O,11,0))),"")</f>
        <v/>
      </c>
      <c r="F3474" s="54" t="str">
        <f>IFERROR(IF(OR($B3474="",$B3474="(blank)"),"",VLOOKUP($B3474,'Email Marketing Raw Data'!$C:$O,13,0)),"")</f>
        <v/>
      </c>
      <c r="G3474" s="55" t="str">
        <f>IFERROR(IF(OR($B3474="",$B3474="(blank)"),"",VLOOKUP($B3474,'Email Marketing Raw Data'!$C:$O,4,0)),"")</f>
        <v/>
      </c>
      <c r="H3474" s="55" t="str">
        <f>IFERROR(IF(OR($B3474="",$B3474="(blank)"),"",VLOOKUP($B3474,'Email Marketing Raw Data'!$C:$O,5,0)),"")</f>
        <v/>
      </c>
      <c r="I3474" s="55" t="str">
        <f>IFERROR(IF($G3474="","",VLOOKUP('Dashboard And Emails Automate'!$G3474,Database!$H:$N,3,0)),"")</f>
        <v/>
      </c>
      <c r="J3474" s="55" t="str">
        <f>IFERROR(IF($G3474="","",VLOOKUP('Dashboard And Emails Automate'!$G3474,Database!$H:$N,4,0)),"")</f>
        <v/>
      </c>
      <c r="K3474" s="55" t="str">
        <f>IFERROR(IF($G3474="","",VLOOKUP('Dashboard And Emails Automate'!$G3474,Database!$H:$N,5,0)),"")</f>
        <v/>
      </c>
      <c r="L3474" s="55" t="str">
        <f>IFERROR(IF($G3474="","",VLOOKUP('Dashboard And Emails Automate'!$G3474,Database!$H:$N,6,0)),"")</f>
        <v/>
      </c>
      <c r="M3474" s="55" t="str">
        <f>IFERROR(IF($G3474="","",VLOOKUP('Dashboard And Emails Automate'!$G3474,Database!$H:$N,7,0)),"")</f>
        <v/>
      </c>
      <c r="N3474" s="55" t="str">
        <f>IFERROR(IF(OR($B3474="",$B3474="(blank)"),"",VLOOKUP($B3474,'Email Marketing Raw Data'!$C:$O,6,0)),"")</f>
        <v/>
      </c>
      <c r="O3474" s="55" t="str">
        <f>IFERROR(IF(OR($B3474="",$B3474="(blank)"),"",VLOOKUP($B3474,'Email Marketing Raw Data'!$C:$O,7,0)),"")</f>
        <v/>
      </c>
      <c r="P3474" s="55" t="str">
        <f>IFERROR(IF(OR($B3474="",$B3474="(blank)"),"",VLOOKUP($B3474,'Email Marketing Raw Data'!$C:$O,8,0)),"")</f>
        <v/>
      </c>
      <c r="Q3474" s="62" t="str">
        <f>IFERROR(IF(OR($B3474="",$B3474="(blank)"),"",VLOOKUP($B3474,'Email Marketing Raw Data'!$C:$O,9,0)),"")</f>
        <v/>
      </c>
    </row>
    <row r="3475" spans="4:17" ht="12.75" customHeight="1" x14ac:dyDescent="0.2">
      <c r="D3475" s="58" t="str">
        <f>IFERROR(IF(F3475&lt;&gt;"pending","",IF(OR($B3475="",$B3475="(blank)"),"",VLOOKUP($B3475,'Email Marketing Raw Data'!$C:$O,10,0))),"")</f>
        <v/>
      </c>
      <c r="E3475" s="59" t="str">
        <f>IFERROR(IF(F3475&lt;&gt;"pending","",IF(OR($B3475="",$B3475="(blank)"),"",VLOOKUP($B3475,'Email Marketing Raw Data'!$C:$O,11,0))),"")</f>
        <v/>
      </c>
      <c r="F3475" s="54" t="str">
        <f>IFERROR(IF(OR($B3475="",$B3475="(blank)"),"",VLOOKUP($B3475,'Email Marketing Raw Data'!$C:$O,13,0)),"")</f>
        <v/>
      </c>
      <c r="G3475" s="55" t="str">
        <f>IFERROR(IF(OR($B3475="",$B3475="(blank)"),"",VLOOKUP($B3475,'Email Marketing Raw Data'!$C:$O,4,0)),"")</f>
        <v/>
      </c>
      <c r="H3475" s="55" t="str">
        <f>IFERROR(IF(OR($B3475="",$B3475="(blank)"),"",VLOOKUP($B3475,'Email Marketing Raw Data'!$C:$O,5,0)),"")</f>
        <v/>
      </c>
      <c r="I3475" s="55" t="str">
        <f>IFERROR(IF($G3475="","",VLOOKUP('Dashboard And Emails Automate'!$G3475,Database!$H:$N,3,0)),"")</f>
        <v/>
      </c>
      <c r="J3475" s="55" t="str">
        <f>IFERROR(IF($G3475="","",VLOOKUP('Dashboard And Emails Automate'!$G3475,Database!$H:$N,4,0)),"")</f>
        <v/>
      </c>
      <c r="K3475" s="55" t="str">
        <f>IFERROR(IF($G3475="","",VLOOKUP('Dashboard And Emails Automate'!$G3475,Database!$H:$N,5,0)),"")</f>
        <v/>
      </c>
      <c r="L3475" s="55" t="str">
        <f>IFERROR(IF($G3475="","",VLOOKUP('Dashboard And Emails Automate'!$G3475,Database!$H:$N,6,0)),"")</f>
        <v/>
      </c>
      <c r="M3475" s="55" t="str">
        <f>IFERROR(IF($G3475="","",VLOOKUP('Dashboard And Emails Automate'!$G3475,Database!$H:$N,7,0)),"")</f>
        <v/>
      </c>
      <c r="N3475" s="55" t="str">
        <f>IFERROR(IF(OR($B3475="",$B3475="(blank)"),"",VLOOKUP($B3475,'Email Marketing Raw Data'!$C:$O,6,0)),"")</f>
        <v/>
      </c>
      <c r="O3475" s="55" t="str">
        <f>IFERROR(IF(OR($B3475="",$B3475="(blank)"),"",VLOOKUP($B3475,'Email Marketing Raw Data'!$C:$O,7,0)),"")</f>
        <v/>
      </c>
      <c r="P3475" s="55" t="str">
        <f>IFERROR(IF(OR($B3475="",$B3475="(blank)"),"",VLOOKUP($B3475,'Email Marketing Raw Data'!$C:$O,8,0)),"")</f>
        <v/>
      </c>
      <c r="Q3475" s="62" t="str">
        <f>IFERROR(IF(OR($B3475="",$B3475="(blank)"),"",VLOOKUP($B3475,'Email Marketing Raw Data'!$C:$O,9,0)),"")</f>
        <v/>
      </c>
    </row>
    <row r="3476" spans="4:17" ht="12.75" customHeight="1" x14ac:dyDescent="0.2">
      <c r="D3476" s="58" t="str">
        <f>IFERROR(IF(F3476&lt;&gt;"pending","",IF(OR($B3476="",$B3476="(blank)"),"",VLOOKUP($B3476,'Email Marketing Raw Data'!$C:$O,10,0))),"")</f>
        <v/>
      </c>
      <c r="E3476" s="59" t="str">
        <f>IFERROR(IF(F3476&lt;&gt;"pending","",IF(OR($B3476="",$B3476="(blank)"),"",VLOOKUP($B3476,'Email Marketing Raw Data'!$C:$O,11,0))),"")</f>
        <v/>
      </c>
      <c r="F3476" s="54" t="str">
        <f>IFERROR(IF(OR($B3476="",$B3476="(blank)"),"",VLOOKUP($B3476,'Email Marketing Raw Data'!$C:$O,13,0)),"")</f>
        <v/>
      </c>
      <c r="G3476" s="55" t="str">
        <f>IFERROR(IF(OR($B3476="",$B3476="(blank)"),"",VLOOKUP($B3476,'Email Marketing Raw Data'!$C:$O,4,0)),"")</f>
        <v/>
      </c>
      <c r="H3476" s="55" t="str">
        <f>IFERROR(IF(OR($B3476="",$B3476="(blank)"),"",VLOOKUP($B3476,'Email Marketing Raw Data'!$C:$O,5,0)),"")</f>
        <v/>
      </c>
      <c r="I3476" s="55" t="str">
        <f>IFERROR(IF($G3476="","",VLOOKUP('Dashboard And Emails Automate'!$G3476,Database!$H:$N,3,0)),"")</f>
        <v/>
      </c>
      <c r="J3476" s="55" t="str">
        <f>IFERROR(IF($G3476="","",VLOOKUP('Dashboard And Emails Automate'!$G3476,Database!$H:$N,4,0)),"")</f>
        <v/>
      </c>
      <c r="K3476" s="55" t="str">
        <f>IFERROR(IF($G3476="","",VLOOKUP('Dashboard And Emails Automate'!$G3476,Database!$H:$N,5,0)),"")</f>
        <v/>
      </c>
      <c r="L3476" s="55" t="str">
        <f>IFERROR(IF($G3476="","",VLOOKUP('Dashboard And Emails Automate'!$G3476,Database!$H:$N,6,0)),"")</f>
        <v/>
      </c>
      <c r="M3476" s="55" t="str">
        <f>IFERROR(IF($G3476="","",VLOOKUP('Dashboard And Emails Automate'!$G3476,Database!$H:$N,7,0)),"")</f>
        <v/>
      </c>
      <c r="N3476" s="55" t="str">
        <f>IFERROR(IF(OR($B3476="",$B3476="(blank)"),"",VLOOKUP($B3476,'Email Marketing Raw Data'!$C:$O,6,0)),"")</f>
        <v/>
      </c>
      <c r="O3476" s="55" t="str">
        <f>IFERROR(IF(OR($B3476="",$B3476="(blank)"),"",VLOOKUP($B3476,'Email Marketing Raw Data'!$C:$O,7,0)),"")</f>
        <v/>
      </c>
      <c r="P3476" s="55" t="str">
        <f>IFERROR(IF(OR($B3476="",$B3476="(blank)"),"",VLOOKUP($B3476,'Email Marketing Raw Data'!$C:$O,8,0)),"")</f>
        <v/>
      </c>
      <c r="Q3476" s="62" t="str">
        <f>IFERROR(IF(OR($B3476="",$B3476="(blank)"),"",VLOOKUP($B3476,'Email Marketing Raw Data'!$C:$O,9,0)),"")</f>
        <v/>
      </c>
    </row>
    <row r="3477" spans="4:17" ht="12.75" customHeight="1" x14ac:dyDescent="0.2">
      <c r="D3477" s="58" t="str">
        <f>IFERROR(IF(F3477&lt;&gt;"pending","",IF(OR($B3477="",$B3477="(blank)"),"",VLOOKUP($B3477,'Email Marketing Raw Data'!$C:$O,10,0))),"")</f>
        <v/>
      </c>
      <c r="E3477" s="59" t="str">
        <f>IFERROR(IF(F3477&lt;&gt;"pending","",IF(OR($B3477="",$B3477="(blank)"),"",VLOOKUP($B3477,'Email Marketing Raw Data'!$C:$O,11,0))),"")</f>
        <v/>
      </c>
      <c r="F3477" s="54" t="str">
        <f>IFERROR(IF(OR($B3477="",$B3477="(blank)"),"",VLOOKUP($B3477,'Email Marketing Raw Data'!$C:$O,13,0)),"")</f>
        <v/>
      </c>
      <c r="G3477" s="55" t="str">
        <f>IFERROR(IF(OR($B3477="",$B3477="(blank)"),"",VLOOKUP($B3477,'Email Marketing Raw Data'!$C:$O,4,0)),"")</f>
        <v/>
      </c>
      <c r="H3477" s="55" t="str">
        <f>IFERROR(IF(OR($B3477="",$B3477="(blank)"),"",VLOOKUP($B3477,'Email Marketing Raw Data'!$C:$O,5,0)),"")</f>
        <v/>
      </c>
      <c r="I3477" s="55" t="str">
        <f>IFERROR(IF($G3477="","",VLOOKUP('Dashboard And Emails Automate'!$G3477,Database!$H:$N,3,0)),"")</f>
        <v/>
      </c>
      <c r="J3477" s="55" t="str">
        <f>IFERROR(IF($G3477="","",VLOOKUP('Dashboard And Emails Automate'!$G3477,Database!$H:$N,4,0)),"")</f>
        <v/>
      </c>
      <c r="K3477" s="55" t="str">
        <f>IFERROR(IF($G3477="","",VLOOKUP('Dashboard And Emails Automate'!$G3477,Database!$H:$N,5,0)),"")</f>
        <v/>
      </c>
      <c r="L3477" s="55" t="str">
        <f>IFERROR(IF($G3477="","",VLOOKUP('Dashboard And Emails Automate'!$G3477,Database!$H:$N,6,0)),"")</f>
        <v/>
      </c>
      <c r="M3477" s="55" t="str">
        <f>IFERROR(IF($G3477="","",VLOOKUP('Dashboard And Emails Automate'!$G3477,Database!$H:$N,7,0)),"")</f>
        <v/>
      </c>
      <c r="N3477" s="55" t="str">
        <f>IFERROR(IF(OR($B3477="",$B3477="(blank)"),"",VLOOKUP($B3477,'Email Marketing Raw Data'!$C:$O,6,0)),"")</f>
        <v/>
      </c>
      <c r="O3477" s="55" t="str">
        <f>IFERROR(IF(OR($B3477="",$B3477="(blank)"),"",VLOOKUP($B3477,'Email Marketing Raw Data'!$C:$O,7,0)),"")</f>
        <v/>
      </c>
      <c r="P3477" s="55" t="str">
        <f>IFERROR(IF(OR($B3477="",$B3477="(blank)"),"",VLOOKUP($B3477,'Email Marketing Raw Data'!$C:$O,8,0)),"")</f>
        <v/>
      </c>
      <c r="Q3477" s="62" t="str">
        <f>IFERROR(IF(OR($B3477="",$B3477="(blank)"),"",VLOOKUP($B3477,'Email Marketing Raw Data'!$C:$O,9,0)),"")</f>
        <v/>
      </c>
    </row>
    <row r="3478" spans="4:17" ht="12.75" customHeight="1" x14ac:dyDescent="0.2">
      <c r="D3478" s="58" t="str">
        <f>IFERROR(IF(F3478&lt;&gt;"pending","",IF(OR($B3478="",$B3478="(blank)"),"",VLOOKUP($B3478,'Email Marketing Raw Data'!$C:$O,10,0))),"")</f>
        <v/>
      </c>
      <c r="E3478" s="59" t="str">
        <f>IFERROR(IF(F3478&lt;&gt;"pending","",IF(OR($B3478="",$B3478="(blank)"),"",VLOOKUP($B3478,'Email Marketing Raw Data'!$C:$O,11,0))),"")</f>
        <v/>
      </c>
      <c r="F3478" s="54" t="str">
        <f>IFERROR(IF(OR($B3478="",$B3478="(blank)"),"",VLOOKUP($B3478,'Email Marketing Raw Data'!$C:$O,13,0)),"")</f>
        <v/>
      </c>
      <c r="G3478" s="55" t="str">
        <f>IFERROR(IF(OR($B3478="",$B3478="(blank)"),"",VLOOKUP($B3478,'Email Marketing Raw Data'!$C:$O,4,0)),"")</f>
        <v/>
      </c>
      <c r="H3478" s="55" t="str">
        <f>IFERROR(IF(OR($B3478="",$B3478="(blank)"),"",VLOOKUP($B3478,'Email Marketing Raw Data'!$C:$O,5,0)),"")</f>
        <v/>
      </c>
      <c r="I3478" s="55" t="str">
        <f>IFERROR(IF($G3478="","",VLOOKUP('Dashboard And Emails Automate'!$G3478,Database!$H:$N,3,0)),"")</f>
        <v/>
      </c>
      <c r="J3478" s="55" t="str">
        <f>IFERROR(IF($G3478="","",VLOOKUP('Dashboard And Emails Automate'!$G3478,Database!$H:$N,4,0)),"")</f>
        <v/>
      </c>
      <c r="K3478" s="55" t="str">
        <f>IFERROR(IF($G3478="","",VLOOKUP('Dashboard And Emails Automate'!$G3478,Database!$H:$N,5,0)),"")</f>
        <v/>
      </c>
      <c r="L3478" s="55" t="str">
        <f>IFERROR(IF($G3478="","",VLOOKUP('Dashboard And Emails Automate'!$G3478,Database!$H:$N,6,0)),"")</f>
        <v/>
      </c>
      <c r="M3478" s="55" t="str">
        <f>IFERROR(IF($G3478="","",VLOOKUP('Dashboard And Emails Automate'!$G3478,Database!$H:$N,7,0)),"")</f>
        <v/>
      </c>
      <c r="N3478" s="55" t="str">
        <f>IFERROR(IF(OR($B3478="",$B3478="(blank)"),"",VLOOKUP($B3478,'Email Marketing Raw Data'!$C:$O,6,0)),"")</f>
        <v/>
      </c>
      <c r="O3478" s="55" t="str">
        <f>IFERROR(IF(OR($B3478="",$B3478="(blank)"),"",VLOOKUP($B3478,'Email Marketing Raw Data'!$C:$O,7,0)),"")</f>
        <v/>
      </c>
      <c r="P3478" s="55" t="str">
        <f>IFERROR(IF(OR($B3478="",$B3478="(blank)"),"",VLOOKUP($B3478,'Email Marketing Raw Data'!$C:$O,8,0)),"")</f>
        <v/>
      </c>
      <c r="Q3478" s="62" t="str">
        <f>IFERROR(IF(OR($B3478="",$B3478="(blank)"),"",VLOOKUP($B3478,'Email Marketing Raw Data'!$C:$O,9,0)),"")</f>
        <v/>
      </c>
    </row>
    <row r="3479" spans="4:17" ht="12.75" customHeight="1" x14ac:dyDescent="0.2">
      <c r="D3479" s="58" t="str">
        <f>IFERROR(IF(F3479&lt;&gt;"pending","",IF(OR($B3479="",$B3479="(blank)"),"",VLOOKUP($B3479,'Email Marketing Raw Data'!$C:$O,10,0))),"")</f>
        <v/>
      </c>
      <c r="E3479" s="59" t="str">
        <f>IFERROR(IF(F3479&lt;&gt;"pending","",IF(OR($B3479="",$B3479="(blank)"),"",VLOOKUP($B3479,'Email Marketing Raw Data'!$C:$O,11,0))),"")</f>
        <v/>
      </c>
      <c r="F3479" s="54" t="str">
        <f>IFERROR(IF(OR($B3479="",$B3479="(blank)"),"",VLOOKUP($B3479,'Email Marketing Raw Data'!$C:$O,13,0)),"")</f>
        <v/>
      </c>
      <c r="G3479" s="55" t="str">
        <f>IFERROR(IF(OR($B3479="",$B3479="(blank)"),"",VLOOKUP($B3479,'Email Marketing Raw Data'!$C:$O,4,0)),"")</f>
        <v/>
      </c>
      <c r="H3479" s="55" t="str">
        <f>IFERROR(IF(OR($B3479="",$B3479="(blank)"),"",VLOOKUP($B3479,'Email Marketing Raw Data'!$C:$O,5,0)),"")</f>
        <v/>
      </c>
      <c r="I3479" s="55" t="str">
        <f>IFERROR(IF($G3479="","",VLOOKUP('Dashboard And Emails Automate'!$G3479,Database!$H:$N,3,0)),"")</f>
        <v/>
      </c>
      <c r="J3479" s="55" t="str">
        <f>IFERROR(IF($G3479="","",VLOOKUP('Dashboard And Emails Automate'!$G3479,Database!$H:$N,4,0)),"")</f>
        <v/>
      </c>
      <c r="K3479" s="55" t="str">
        <f>IFERROR(IF($G3479="","",VLOOKUP('Dashboard And Emails Automate'!$G3479,Database!$H:$N,5,0)),"")</f>
        <v/>
      </c>
      <c r="L3479" s="55" t="str">
        <f>IFERROR(IF($G3479="","",VLOOKUP('Dashboard And Emails Automate'!$G3479,Database!$H:$N,6,0)),"")</f>
        <v/>
      </c>
      <c r="M3479" s="55" t="str">
        <f>IFERROR(IF($G3479="","",VLOOKUP('Dashboard And Emails Automate'!$G3479,Database!$H:$N,7,0)),"")</f>
        <v/>
      </c>
      <c r="N3479" s="55" t="str">
        <f>IFERROR(IF(OR($B3479="",$B3479="(blank)"),"",VLOOKUP($B3479,'Email Marketing Raw Data'!$C:$O,6,0)),"")</f>
        <v/>
      </c>
      <c r="O3479" s="55" t="str">
        <f>IFERROR(IF(OR($B3479="",$B3479="(blank)"),"",VLOOKUP($B3479,'Email Marketing Raw Data'!$C:$O,7,0)),"")</f>
        <v/>
      </c>
      <c r="P3479" s="55" t="str">
        <f>IFERROR(IF(OR($B3479="",$B3479="(blank)"),"",VLOOKUP($B3479,'Email Marketing Raw Data'!$C:$O,8,0)),"")</f>
        <v/>
      </c>
      <c r="Q3479" s="62" t="str">
        <f>IFERROR(IF(OR($B3479="",$B3479="(blank)"),"",VLOOKUP($B3479,'Email Marketing Raw Data'!$C:$O,9,0)),"")</f>
        <v/>
      </c>
    </row>
    <row r="3480" spans="4:17" ht="12.75" customHeight="1" x14ac:dyDescent="0.2">
      <c r="D3480" s="58" t="str">
        <f>IFERROR(IF(F3480&lt;&gt;"pending","",IF(OR($B3480="",$B3480="(blank)"),"",VLOOKUP($B3480,'Email Marketing Raw Data'!$C:$O,10,0))),"")</f>
        <v/>
      </c>
      <c r="E3480" s="59" t="str">
        <f>IFERROR(IF(F3480&lt;&gt;"pending","",IF(OR($B3480="",$B3480="(blank)"),"",VLOOKUP($B3480,'Email Marketing Raw Data'!$C:$O,11,0))),"")</f>
        <v/>
      </c>
      <c r="F3480" s="54" t="str">
        <f>IFERROR(IF(OR($B3480="",$B3480="(blank)"),"",VLOOKUP($B3480,'Email Marketing Raw Data'!$C:$O,13,0)),"")</f>
        <v/>
      </c>
      <c r="G3480" s="55" t="str">
        <f>IFERROR(IF(OR($B3480="",$B3480="(blank)"),"",VLOOKUP($B3480,'Email Marketing Raw Data'!$C:$O,4,0)),"")</f>
        <v/>
      </c>
      <c r="H3480" s="55" t="str">
        <f>IFERROR(IF(OR($B3480="",$B3480="(blank)"),"",VLOOKUP($B3480,'Email Marketing Raw Data'!$C:$O,5,0)),"")</f>
        <v/>
      </c>
      <c r="I3480" s="55" t="str">
        <f>IFERROR(IF($G3480="","",VLOOKUP('Dashboard And Emails Automate'!$G3480,Database!$H:$N,3,0)),"")</f>
        <v/>
      </c>
      <c r="J3480" s="55" t="str">
        <f>IFERROR(IF($G3480="","",VLOOKUP('Dashboard And Emails Automate'!$G3480,Database!$H:$N,4,0)),"")</f>
        <v/>
      </c>
      <c r="K3480" s="55" t="str">
        <f>IFERROR(IF($G3480="","",VLOOKUP('Dashboard And Emails Automate'!$G3480,Database!$H:$N,5,0)),"")</f>
        <v/>
      </c>
      <c r="L3480" s="55" t="str">
        <f>IFERROR(IF($G3480="","",VLOOKUP('Dashboard And Emails Automate'!$G3480,Database!$H:$N,6,0)),"")</f>
        <v/>
      </c>
      <c r="M3480" s="55" t="str">
        <f>IFERROR(IF($G3480="","",VLOOKUP('Dashboard And Emails Automate'!$G3480,Database!$H:$N,7,0)),"")</f>
        <v/>
      </c>
      <c r="N3480" s="55" t="str">
        <f>IFERROR(IF(OR($B3480="",$B3480="(blank)"),"",VLOOKUP($B3480,'Email Marketing Raw Data'!$C:$O,6,0)),"")</f>
        <v/>
      </c>
      <c r="O3480" s="55" t="str">
        <f>IFERROR(IF(OR($B3480="",$B3480="(blank)"),"",VLOOKUP($B3480,'Email Marketing Raw Data'!$C:$O,7,0)),"")</f>
        <v/>
      </c>
      <c r="P3480" s="55" t="str">
        <f>IFERROR(IF(OR($B3480="",$B3480="(blank)"),"",VLOOKUP($B3480,'Email Marketing Raw Data'!$C:$O,8,0)),"")</f>
        <v/>
      </c>
      <c r="Q3480" s="62" t="str">
        <f>IFERROR(IF(OR($B3480="",$B3480="(blank)"),"",VLOOKUP($B3480,'Email Marketing Raw Data'!$C:$O,9,0)),"")</f>
        <v/>
      </c>
    </row>
    <row r="3481" spans="4:17" ht="12.75" customHeight="1" x14ac:dyDescent="0.2">
      <c r="D3481" s="58" t="str">
        <f>IFERROR(IF(F3481&lt;&gt;"pending","",IF(OR($B3481="",$B3481="(blank)"),"",VLOOKUP($B3481,'Email Marketing Raw Data'!$C:$O,10,0))),"")</f>
        <v/>
      </c>
      <c r="E3481" s="59" t="str">
        <f>IFERROR(IF(F3481&lt;&gt;"pending","",IF(OR($B3481="",$B3481="(blank)"),"",VLOOKUP($B3481,'Email Marketing Raw Data'!$C:$O,11,0))),"")</f>
        <v/>
      </c>
      <c r="F3481" s="54" t="str">
        <f>IFERROR(IF(OR($B3481="",$B3481="(blank)"),"",VLOOKUP($B3481,'Email Marketing Raw Data'!$C:$O,13,0)),"")</f>
        <v/>
      </c>
      <c r="G3481" s="55" t="str">
        <f>IFERROR(IF(OR($B3481="",$B3481="(blank)"),"",VLOOKUP($B3481,'Email Marketing Raw Data'!$C:$O,4,0)),"")</f>
        <v/>
      </c>
      <c r="H3481" s="55" t="str">
        <f>IFERROR(IF(OR($B3481="",$B3481="(blank)"),"",VLOOKUP($B3481,'Email Marketing Raw Data'!$C:$O,5,0)),"")</f>
        <v/>
      </c>
      <c r="I3481" s="55" t="str">
        <f>IFERROR(IF($G3481="","",VLOOKUP('Dashboard And Emails Automate'!$G3481,Database!$H:$N,3,0)),"")</f>
        <v/>
      </c>
      <c r="J3481" s="55" t="str">
        <f>IFERROR(IF($G3481="","",VLOOKUP('Dashboard And Emails Automate'!$G3481,Database!$H:$N,4,0)),"")</f>
        <v/>
      </c>
      <c r="K3481" s="55" t="str">
        <f>IFERROR(IF($G3481="","",VLOOKUP('Dashboard And Emails Automate'!$G3481,Database!$H:$N,5,0)),"")</f>
        <v/>
      </c>
      <c r="L3481" s="55" t="str">
        <f>IFERROR(IF($G3481="","",VLOOKUP('Dashboard And Emails Automate'!$G3481,Database!$H:$N,6,0)),"")</f>
        <v/>
      </c>
      <c r="M3481" s="55" t="str">
        <f>IFERROR(IF($G3481="","",VLOOKUP('Dashboard And Emails Automate'!$G3481,Database!$H:$N,7,0)),"")</f>
        <v/>
      </c>
      <c r="N3481" s="55" t="str">
        <f>IFERROR(IF(OR($B3481="",$B3481="(blank)"),"",VLOOKUP($B3481,'Email Marketing Raw Data'!$C:$O,6,0)),"")</f>
        <v/>
      </c>
      <c r="O3481" s="55" t="str">
        <f>IFERROR(IF(OR($B3481="",$B3481="(blank)"),"",VLOOKUP($B3481,'Email Marketing Raw Data'!$C:$O,7,0)),"")</f>
        <v/>
      </c>
      <c r="P3481" s="55" t="str">
        <f>IFERROR(IF(OR($B3481="",$B3481="(blank)"),"",VLOOKUP($B3481,'Email Marketing Raw Data'!$C:$O,8,0)),"")</f>
        <v/>
      </c>
      <c r="Q3481" s="62" t="str">
        <f>IFERROR(IF(OR($B3481="",$B3481="(blank)"),"",VLOOKUP($B3481,'Email Marketing Raw Data'!$C:$O,9,0)),"")</f>
        <v/>
      </c>
    </row>
    <row r="3482" spans="4:17" ht="12.75" customHeight="1" x14ac:dyDescent="0.2">
      <c r="D3482" s="58" t="str">
        <f>IFERROR(IF(F3482&lt;&gt;"pending","",IF(OR($B3482="",$B3482="(blank)"),"",VLOOKUP($B3482,'Email Marketing Raw Data'!$C:$O,10,0))),"")</f>
        <v/>
      </c>
      <c r="E3482" s="59" t="str">
        <f>IFERROR(IF(F3482&lt;&gt;"pending","",IF(OR($B3482="",$B3482="(blank)"),"",VLOOKUP($B3482,'Email Marketing Raw Data'!$C:$O,11,0))),"")</f>
        <v/>
      </c>
      <c r="F3482" s="54" t="str">
        <f>IFERROR(IF(OR($B3482="",$B3482="(blank)"),"",VLOOKUP($B3482,'Email Marketing Raw Data'!$C:$O,13,0)),"")</f>
        <v/>
      </c>
      <c r="G3482" s="55" t="str">
        <f>IFERROR(IF(OR($B3482="",$B3482="(blank)"),"",VLOOKUP($B3482,'Email Marketing Raw Data'!$C:$O,4,0)),"")</f>
        <v/>
      </c>
      <c r="H3482" s="55" t="str">
        <f>IFERROR(IF(OR($B3482="",$B3482="(blank)"),"",VLOOKUP($B3482,'Email Marketing Raw Data'!$C:$O,5,0)),"")</f>
        <v/>
      </c>
      <c r="I3482" s="55" t="str">
        <f>IFERROR(IF($G3482="","",VLOOKUP('Dashboard And Emails Automate'!$G3482,Database!$H:$N,3,0)),"")</f>
        <v/>
      </c>
      <c r="J3482" s="55" t="str">
        <f>IFERROR(IF($G3482="","",VLOOKUP('Dashboard And Emails Automate'!$G3482,Database!$H:$N,4,0)),"")</f>
        <v/>
      </c>
      <c r="K3482" s="55" t="str">
        <f>IFERROR(IF($G3482="","",VLOOKUP('Dashboard And Emails Automate'!$G3482,Database!$H:$N,5,0)),"")</f>
        <v/>
      </c>
      <c r="L3482" s="55" t="str">
        <f>IFERROR(IF($G3482="","",VLOOKUP('Dashboard And Emails Automate'!$G3482,Database!$H:$N,6,0)),"")</f>
        <v/>
      </c>
      <c r="M3482" s="55" t="str">
        <f>IFERROR(IF($G3482="","",VLOOKUP('Dashboard And Emails Automate'!$G3482,Database!$H:$N,7,0)),"")</f>
        <v/>
      </c>
      <c r="N3482" s="55" t="str">
        <f>IFERROR(IF(OR($B3482="",$B3482="(blank)"),"",VLOOKUP($B3482,'Email Marketing Raw Data'!$C:$O,6,0)),"")</f>
        <v/>
      </c>
      <c r="O3482" s="55" t="str">
        <f>IFERROR(IF(OR($B3482="",$B3482="(blank)"),"",VLOOKUP($B3482,'Email Marketing Raw Data'!$C:$O,7,0)),"")</f>
        <v/>
      </c>
      <c r="P3482" s="55" t="str">
        <f>IFERROR(IF(OR($B3482="",$B3482="(blank)"),"",VLOOKUP($B3482,'Email Marketing Raw Data'!$C:$O,8,0)),"")</f>
        <v/>
      </c>
      <c r="Q3482" s="62" t="str">
        <f>IFERROR(IF(OR($B3482="",$B3482="(blank)"),"",VLOOKUP($B3482,'Email Marketing Raw Data'!$C:$O,9,0)),"")</f>
        <v/>
      </c>
    </row>
    <row r="3483" spans="4:17" ht="12.75" customHeight="1" x14ac:dyDescent="0.2">
      <c r="D3483" s="58" t="str">
        <f>IFERROR(IF(F3483&lt;&gt;"pending","",IF(OR($B3483="",$B3483="(blank)"),"",VLOOKUP($B3483,'Email Marketing Raw Data'!$C:$O,10,0))),"")</f>
        <v/>
      </c>
      <c r="E3483" s="59" t="str">
        <f>IFERROR(IF(F3483&lt;&gt;"pending","",IF(OR($B3483="",$B3483="(blank)"),"",VLOOKUP($B3483,'Email Marketing Raw Data'!$C:$O,11,0))),"")</f>
        <v/>
      </c>
      <c r="F3483" s="54" t="str">
        <f>IFERROR(IF(OR($B3483="",$B3483="(blank)"),"",VLOOKUP($B3483,'Email Marketing Raw Data'!$C:$O,13,0)),"")</f>
        <v/>
      </c>
      <c r="G3483" s="55" t="str">
        <f>IFERROR(IF(OR($B3483="",$B3483="(blank)"),"",VLOOKUP($B3483,'Email Marketing Raw Data'!$C:$O,4,0)),"")</f>
        <v/>
      </c>
      <c r="H3483" s="55" t="str">
        <f>IFERROR(IF(OR($B3483="",$B3483="(blank)"),"",VLOOKUP($B3483,'Email Marketing Raw Data'!$C:$O,5,0)),"")</f>
        <v/>
      </c>
      <c r="I3483" s="55" t="str">
        <f>IFERROR(IF($G3483="","",VLOOKUP('Dashboard And Emails Automate'!$G3483,Database!$H:$N,3,0)),"")</f>
        <v/>
      </c>
      <c r="J3483" s="55" t="str">
        <f>IFERROR(IF($G3483="","",VLOOKUP('Dashboard And Emails Automate'!$G3483,Database!$H:$N,4,0)),"")</f>
        <v/>
      </c>
      <c r="K3483" s="55" t="str">
        <f>IFERROR(IF($G3483="","",VLOOKUP('Dashboard And Emails Automate'!$G3483,Database!$H:$N,5,0)),"")</f>
        <v/>
      </c>
      <c r="L3483" s="55" t="str">
        <f>IFERROR(IF($G3483="","",VLOOKUP('Dashboard And Emails Automate'!$G3483,Database!$H:$N,6,0)),"")</f>
        <v/>
      </c>
      <c r="M3483" s="55" t="str">
        <f>IFERROR(IF($G3483="","",VLOOKUP('Dashboard And Emails Automate'!$G3483,Database!$H:$N,7,0)),"")</f>
        <v/>
      </c>
      <c r="N3483" s="55" t="str">
        <f>IFERROR(IF(OR($B3483="",$B3483="(blank)"),"",VLOOKUP($B3483,'Email Marketing Raw Data'!$C:$O,6,0)),"")</f>
        <v/>
      </c>
      <c r="O3483" s="55" t="str">
        <f>IFERROR(IF(OR($B3483="",$B3483="(blank)"),"",VLOOKUP($B3483,'Email Marketing Raw Data'!$C:$O,7,0)),"")</f>
        <v/>
      </c>
      <c r="P3483" s="55" t="str">
        <f>IFERROR(IF(OR($B3483="",$B3483="(blank)"),"",VLOOKUP($B3483,'Email Marketing Raw Data'!$C:$O,8,0)),"")</f>
        <v/>
      </c>
      <c r="Q3483" s="62" t="str">
        <f>IFERROR(IF(OR($B3483="",$B3483="(blank)"),"",VLOOKUP($B3483,'Email Marketing Raw Data'!$C:$O,9,0)),"")</f>
        <v/>
      </c>
    </row>
    <row r="3484" spans="4:17" ht="12.75" customHeight="1" x14ac:dyDescent="0.2">
      <c r="D3484" s="58" t="str">
        <f>IFERROR(IF(F3484&lt;&gt;"pending","",IF(OR($B3484="",$B3484="(blank)"),"",VLOOKUP($B3484,'Email Marketing Raw Data'!$C:$O,10,0))),"")</f>
        <v/>
      </c>
      <c r="E3484" s="59" t="str">
        <f>IFERROR(IF(F3484&lt;&gt;"pending","",IF(OR($B3484="",$B3484="(blank)"),"",VLOOKUP($B3484,'Email Marketing Raw Data'!$C:$O,11,0))),"")</f>
        <v/>
      </c>
      <c r="F3484" s="54" t="str">
        <f>IFERROR(IF(OR($B3484="",$B3484="(blank)"),"",VLOOKUP($B3484,'Email Marketing Raw Data'!$C:$O,13,0)),"")</f>
        <v/>
      </c>
      <c r="G3484" s="55" t="str">
        <f>IFERROR(IF(OR($B3484="",$B3484="(blank)"),"",VLOOKUP($B3484,'Email Marketing Raw Data'!$C:$O,4,0)),"")</f>
        <v/>
      </c>
      <c r="H3484" s="55" t="str">
        <f>IFERROR(IF(OR($B3484="",$B3484="(blank)"),"",VLOOKUP($B3484,'Email Marketing Raw Data'!$C:$O,5,0)),"")</f>
        <v/>
      </c>
      <c r="I3484" s="55" t="str">
        <f>IFERROR(IF($G3484="","",VLOOKUP('Dashboard And Emails Automate'!$G3484,Database!$H:$N,3,0)),"")</f>
        <v/>
      </c>
      <c r="J3484" s="55" t="str">
        <f>IFERROR(IF($G3484="","",VLOOKUP('Dashboard And Emails Automate'!$G3484,Database!$H:$N,4,0)),"")</f>
        <v/>
      </c>
      <c r="K3484" s="55" t="str">
        <f>IFERROR(IF($G3484="","",VLOOKUP('Dashboard And Emails Automate'!$G3484,Database!$H:$N,5,0)),"")</f>
        <v/>
      </c>
      <c r="L3484" s="55" t="str">
        <f>IFERROR(IF($G3484="","",VLOOKUP('Dashboard And Emails Automate'!$G3484,Database!$H:$N,6,0)),"")</f>
        <v/>
      </c>
      <c r="M3484" s="55" t="str">
        <f>IFERROR(IF($G3484="","",VLOOKUP('Dashboard And Emails Automate'!$G3484,Database!$H:$N,7,0)),"")</f>
        <v/>
      </c>
      <c r="N3484" s="55" t="str">
        <f>IFERROR(IF(OR($B3484="",$B3484="(blank)"),"",VLOOKUP($B3484,'Email Marketing Raw Data'!$C:$O,6,0)),"")</f>
        <v/>
      </c>
      <c r="O3484" s="55" t="str">
        <f>IFERROR(IF(OR($B3484="",$B3484="(blank)"),"",VLOOKUP($B3484,'Email Marketing Raw Data'!$C:$O,7,0)),"")</f>
        <v/>
      </c>
      <c r="P3484" s="55" t="str">
        <f>IFERROR(IF(OR($B3484="",$B3484="(blank)"),"",VLOOKUP($B3484,'Email Marketing Raw Data'!$C:$O,8,0)),"")</f>
        <v/>
      </c>
      <c r="Q3484" s="62" t="str">
        <f>IFERROR(IF(OR($B3484="",$B3484="(blank)"),"",VLOOKUP($B3484,'Email Marketing Raw Data'!$C:$O,9,0)),"")</f>
        <v/>
      </c>
    </row>
    <row r="3485" spans="4:17" ht="12.75" customHeight="1" x14ac:dyDescent="0.2">
      <c r="D3485" s="58" t="str">
        <f>IFERROR(IF(F3485&lt;&gt;"pending","",IF(OR($B3485="",$B3485="(blank)"),"",VLOOKUP($B3485,'Email Marketing Raw Data'!$C:$O,10,0))),"")</f>
        <v/>
      </c>
      <c r="E3485" s="59" t="str">
        <f>IFERROR(IF(F3485&lt;&gt;"pending","",IF(OR($B3485="",$B3485="(blank)"),"",VLOOKUP($B3485,'Email Marketing Raw Data'!$C:$O,11,0))),"")</f>
        <v/>
      </c>
      <c r="F3485" s="54" t="str">
        <f>IFERROR(IF(OR($B3485="",$B3485="(blank)"),"",VLOOKUP($B3485,'Email Marketing Raw Data'!$C:$O,13,0)),"")</f>
        <v/>
      </c>
      <c r="G3485" s="55" t="str">
        <f>IFERROR(IF(OR($B3485="",$B3485="(blank)"),"",VLOOKUP($B3485,'Email Marketing Raw Data'!$C:$O,4,0)),"")</f>
        <v/>
      </c>
      <c r="H3485" s="55" t="str">
        <f>IFERROR(IF(OR($B3485="",$B3485="(blank)"),"",VLOOKUP($B3485,'Email Marketing Raw Data'!$C:$O,5,0)),"")</f>
        <v/>
      </c>
      <c r="I3485" s="55" t="str">
        <f>IFERROR(IF($G3485="","",VLOOKUP('Dashboard And Emails Automate'!$G3485,Database!$H:$N,3,0)),"")</f>
        <v/>
      </c>
      <c r="J3485" s="55" t="str">
        <f>IFERROR(IF($G3485="","",VLOOKUP('Dashboard And Emails Automate'!$G3485,Database!$H:$N,4,0)),"")</f>
        <v/>
      </c>
      <c r="K3485" s="55" t="str">
        <f>IFERROR(IF($G3485="","",VLOOKUP('Dashboard And Emails Automate'!$G3485,Database!$H:$N,5,0)),"")</f>
        <v/>
      </c>
      <c r="L3485" s="55" t="str">
        <f>IFERROR(IF($G3485="","",VLOOKUP('Dashboard And Emails Automate'!$G3485,Database!$H:$N,6,0)),"")</f>
        <v/>
      </c>
      <c r="M3485" s="55" t="str">
        <f>IFERROR(IF($G3485="","",VLOOKUP('Dashboard And Emails Automate'!$G3485,Database!$H:$N,7,0)),"")</f>
        <v/>
      </c>
      <c r="N3485" s="55" t="str">
        <f>IFERROR(IF(OR($B3485="",$B3485="(blank)"),"",VLOOKUP($B3485,'Email Marketing Raw Data'!$C:$O,6,0)),"")</f>
        <v/>
      </c>
      <c r="O3485" s="55" t="str">
        <f>IFERROR(IF(OR($B3485="",$B3485="(blank)"),"",VLOOKUP($B3485,'Email Marketing Raw Data'!$C:$O,7,0)),"")</f>
        <v/>
      </c>
      <c r="P3485" s="55" t="str">
        <f>IFERROR(IF(OR($B3485="",$B3485="(blank)"),"",VLOOKUP($B3485,'Email Marketing Raw Data'!$C:$O,8,0)),"")</f>
        <v/>
      </c>
      <c r="Q3485" s="62" t="str">
        <f>IFERROR(IF(OR($B3485="",$B3485="(blank)"),"",VLOOKUP($B3485,'Email Marketing Raw Data'!$C:$O,9,0)),"")</f>
        <v/>
      </c>
    </row>
    <row r="3486" spans="4:17" ht="12.75" customHeight="1" x14ac:dyDescent="0.2">
      <c r="D3486" s="58" t="str">
        <f>IFERROR(IF(F3486&lt;&gt;"pending","",IF(OR($B3486="",$B3486="(blank)"),"",VLOOKUP($B3486,'Email Marketing Raw Data'!$C:$O,10,0))),"")</f>
        <v/>
      </c>
      <c r="E3486" s="59" t="str">
        <f>IFERROR(IF(F3486&lt;&gt;"pending","",IF(OR($B3486="",$B3486="(blank)"),"",VLOOKUP($B3486,'Email Marketing Raw Data'!$C:$O,11,0))),"")</f>
        <v/>
      </c>
      <c r="F3486" s="54" t="str">
        <f>IFERROR(IF(OR($B3486="",$B3486="(blank)"),"",VLOOKUP($B3486,'Email Marketing Raw Data'!$C:$O,13,0)),"")</f>
        <v/>
      </c>
      <c r="G3486" s="55" t="str">
        <f>IFERROR(IF(OR($B3486="",$B3486="(blank)"),"",VLOOKUP($B3486,'Email Marketing Raw Data'!$C:$O,4,0)),"")</f>
        <v/>
      </c>
      <c r="H3486" s="55" t="str">
        <f>IFERROR(IF(OR($B3486="",$B3486="(blank)"),"",VLOOKUP($B3486,'Email Marketing Raw Data'!$C:$O,5,0)),"")</f>
        <v/>
      </c>
      <c r="I3486" s="55" t="str">
        <f>IFERROR(IF($G3486="","",VLOOKUP('Dashboard And Emails Automate'!$G3486,Database!$H:$N,3,0)),"")</f>
        <v/>
      </c>
      <c r="J3486" s="55" t="str">
        <f>IFERROR(IF($G3486="","",VLOOKUP('Dashboard And Emails Automate'!$G3486,Database!$H:$N,4,0)),"")</f>
        <v/>
      </c>
      <c r="K3486" s="55" t="str">
        <f>IFERROR(IF($G3486="","",VLOOKUP('Dashboard And Emails Automate'!$G3486,Database!$H:$N,5,0)),"")</f>
        <v/>
      </c>
      <c r="L3486" s="55" t="str">
        <f>IFERROR(IF($G3486="","",VLOOKUP('Dashboard And Emails Automate'!$G3486,Database!$H:$N,6,0)),"")</f>
        <v/>
      </c>
      <c r="M3486" s="55" t="str">
        <f>IFERROR(IF($G3486="","",VLOOKUP('Dashboard And Emails Automate'!$G3486,Database!$H:$N,7,0)),"")</f>
        <v/>
      </c>
      <c r="N3486" s="55" t="str">
        <f>IFERROR(IF(OR($B3486="",$B3486="(blank)"),"",VLOOKUP($B3486,'Email Marketing Raw Data'!$C:$O,6,0)),"")</f>
        <v/>
      </c>
      <c r="O3486" s="55" t="str">
        <f>IFERROR(IF(OR($B3486="",$B3486="(blank)"),"",VLOOKUP($B3486,'Email Marketing Raw Data'!$C:$O,7,0)),"")</f>
        <v/>
      </c>
      <c r="P3486" s="55" t="str">
        <f>IFERROR(IF(OR($B3486="",$B3486="(blank)"),"",VLOOKUP($B3486,'Email Marketing Raw Data'!$C:$O,8,0)),"")</f>
        <v/>
      </c>
      <c r="Q3486" s="62" t="str">
        <f>IFERROR(IF(OR($B3486="",$B3486="(blank)"),"",VLOOKUP($B3486,'Email Marketing Raw Data'!$C:$O,9,0)),"")</f>
        <v/>
      </c>
    </row>
    <row r="3487" spans="4:17" ht="12.75" customHeight="1" x14ac:dyDescent="0.2">
      <c r="D3487" s="58" t="str">
        <f>IFERROR(IF(F3487&lt;&gt;"pending","",IF(OR($B3487="",$B3487="(blank)"),"",VLOOKUP($B3487,'Email Marketing Raw Data'!$C:$O,10,0))),"")</f>
        <v/>
      </c>
      <c r="E3487" s="59" t="str">
        <f>IFERROR(IF(F3487&lt;&gt;"pending","",IF(OR($B3487="",$B3487="(blank)"),"",VLOOKUP($B3487,'Email Marketing Raw Data'!$C:$O,11,0))),"")</f>
        <v/>
      </c>
      <c r="F3487" s="54" t="str">
        <f>IFERROR(IF(OR($B3487="",$B3487="(blank)"),"",VLOOKUP($B3487,'Email Marketing Raw Data'!$C:$O,13,0)),"")</f>
        <v/>
      </c>
      <c r="G3487" s="55" t="str">
        <f>IFERROR(IF(OR($B3487="",$B3487="(blank)"),"",VLOOKUP($B3487,'Email Marketing Raw Data'!$C:$O,4,0)),"")</f>
        <v/>
      </c>
      <c r="H3487" s="55" t="str">
        <f>IFERROR(IF(OR($B3487="",$B3487="(blank)"),"",VLOOKUP($B3487,'Email Marketing Raw Data'!$C:$O,5,0)),"")</f>
        <v/>
      </c>
      <c r="I3487" s="55" t="str">
        <f>IFERROR(IF($G3487="","",VLOOKUP('Dashboard And Emails Automate'!$G3487,Database!$H:$N,3,0)),"")</f>
        <v/>
      </c>
      <c r="J3487" s="55" t="str">
        <f>IFERROR(IF($G3487="","",VLOOKUP('Dashboard And Emails Automate'!$G3487,Database!$H:$N,4,0)),"")</f>
        <v/>
      </c>
      <c r="K3487" s="55" t="str">
        <f>IFERROR(IF($G3487="","",VLOOKUP('Dashboard And Emails Automate'!$G3487,Database!$H:$N,5,0)),"")</f>
        <v/>
      </c>
      <c r="L3487" s="55" t="str">
        <f>IFERROR(IF($G3487="","",VLOOKUP('Dashboard And Emails Automate'!$G3487,Database!$H:$N,6,0)),"")</f>
        <v/>
      </c>
      <c r="M3487" s="55" t="str">
        <f>IFERROR(IF($G3487="","",VLOOKUP('Dashboard And Emails Automate'!$G3487,Database!$H:$N,7,0)),"")</f>
        <v/>
      </c>
      <c r="N3487" s="55" t="str">
        <f>IFERROR(IF(OR($B3487="",$B3487="(blank)"),"",VLOOKUP($B3487,'Email Marketing Raw Data'!$C:$O,6,0)),"")</f>
        <v/>
      </c>
      <c r="O3487" s="55" t="str">
        <f>IFERROR(IF(OR($B3487="",$B3487="(blank)"),"",VLOOKUP($B3487,'Email Marketing Raw Data'!$C:$O,7,0)),"")</f>
        <v/>
      </c>
      <c r="P3487" s="55" t="str">
        <f>IFERROR(IF(OR($B3487="",$B3487="(blank)"),"",VLOOKUP($B3487,'Email Marketing Raw Data'!$C:$O,8,0)),"")</f>
        <v/>
      </c>
      <c r="Q3487" s="62" t="str">
        <f>IFERROR(IF(OR($B3487="",$B3487="(blank)"),"",VLOOKUP($B3487,'Email Marketing Raw Data'!$C:$O,9,0)),"")</f>
        <v/>
      </c>
    </row>
    <row r="3488" spans="4:17" ht="12.75" customHeight="1" x14ac:dyDescent="0.2">
      <c r="D3488" s="58" t="str">
        <f>IFERROR(IF(F3488&lt;&gt;"pending","",IF(OR($B3488="",$B3488="(blank)"),"",VLOOKUP($B3488,'Email Marketing Raw Data'!$C:$O,10,0))),"")</f>
        <v/>
      </c>
      <c r="E3488" s="59" t="str">
        <f>IFERROR(IF(F3488&lt;&gt;"pending","",IF(OR($B3488="",$B3488="(blank)"),"",VLOOKUP($B3488,'Email Marketing Raw Data'!$C:$O,11,0))),"")</f>
        <v/>
      </c>
      <c r="F3488" s="54" t="str">
        <f>IFERROR(IF(OR($B3488="",$B3488="(blank)"),"",VLOOKUP($B3488,'Email Marketing Raw Data'!$C:$O,13,0)),"")</f>
        <v/>
      </c>
      <c r="G3488" s="55" t="str">
        <f>IFERROR(IF(OR($B3488="",$B3488="(blank)"),"",VLOOKUP($B3488,'Email Marketing Raw Data'!$C:$O,4,0)),"")</f>
        <v/>
      </c>
      <c r="H3488" s="55" t="str">
        <f>IFERROR(IF(OR($B3488="",$B3488="(blank)"),"",VLOOKUP($B3488,'Email Marketing Raw Data'!$C:$O,5,0)),"")</f>
        <v/>
      </c>
      <c r="I3488" s="55" t="str">
        <f>IFERROR(IF($G3488="","",VLOOKUP('Dashboard And Emails Automate'!$G3488,Database!$H:$N,3,0)),"")</f>
        <v/>
      </c>
      <c r="J3488" s="55" t="str">
        <f>IFERROR(IF($G3488="","",VLOOKUP('Dashboard And Emails Automate'!$G3488,Database!$H:$N,4,0)),"")</f>
        <v/>
      </c>
      <c r="K3488" s="55" t="str">
        <f>IFERROR(IF($G3488="","",VLOOKUP('Dashboard And Emails Automate'!$G3488,Database!$H:$N,5,0)),"")</f>
        <v/>
      </c>
      <c r="L3488" s="55" t="str">
        <f>IFERROR(IF($G3488="","",VLOOKUP('Dashboard And Emails Automate'!$G3488,Database!$H:$N,6,0)),"")</f>
        <v/>
      </c>
      <c r="M3488" s="55" t="str">
        <f>IFERROR(IF($G3488="","",VLOOKUP('Dashboard And Emails Automate'!$G3488,Database!$H:$N,7,0)),"")</f>
        <v/>
      </c>
      <c r="N3488" s="55" t="str">
        <f>IFERROR(IF(OR($B3488="",$B3488="(blank)"),"",VLOOKUP($B3488,'Email Marketing Raw Data'!$C:$O,6,0)),"")</f>
        <v/>
      </c>
      <c r="O3488" s="55" t="str">
        <f>IFERROR(IF(OR($B3488="",$B3488="(blank)"),"",VLOOKUP($B3488,'Email Marketing Raw Data'!$C:$O,7,0)),"")</f>
        <v/>
      </c>
      <c r="P3488" s="55" t="str">
        <f>IFERROR(IF(OR($B3488="",$B3488="(blank)"),"",VLOOKUP($B3488,'Email Marketing Raw Data'!$C:$O,8,0)),"")</f>
        <v/>
      </c>
      <c r="Q3488" s="62" t="str">
        <f>IFERROR(IF(OR($B3488="",$B3488="(blank)"),"",VLOOKUP($B3488,'Email Marketing Raw Data'!$C:$O,9,0)),"")</f>
        <v/>
      </c>
    </row>
    <row r="3489" spans="4:17" ht="12.75" customHeight="1" x14ac:dyDescent="0.2">
      <c r="D3489" s="58" t="str">
        <f>IFERROR(IF(F3489&lt;&gt;"pending","",IF(OR($B3489="",$B3489="(blank)"),"",VLOOKUP($B3489,'Email Marketing Raw Data'!$C:$O,10,0))),"")</f>
        <v/>
      </c>
      <c r="E3489" s="59" t="str">
        <f>IFERROR(IF(F3489&lt;&gt;"pending","",IF(OR($B3489="",$B3489="(blank)"),"",VLOOKUP($B3489,'Email Marketing Raw Data'!$C:$O,11,0))),"")</f>
        <v/>
      </c>
      <c r="F3489" s="54" t="str">
        <f>IFERROR(IF(OR($B3489="",$B3489="(blank)"),"",VLOOKUP($B3489,'Email Marketing Raw Data'!$C:$O,13,0)),"")</f>
        <v/>
      </c>
      <c r="G3489" s="55" t="str">
        <f>IFERROR(IF(OR($B3489="",$B3489="(blank)"),"",VLOOKUP($B3489,'Email Marketing Raw Data'!$C:$O,4,0)),"")</f>
        <v/>
      </c>
      <c r="H3489" s="55" t="str">
        <f>IFERROR(IF(OR($B3489="",$B3489="(blank)"),"",VLOOKUP($B3489,'Email Marketing Raw Data'!$C:$O,5,0)),"")</f>
        <v/>
      </c>
      <c r="I3489" s="55" t="str">
        <f>IFERROR(IF($G3489="","",VLOOKUP('Dashboard And Emails Automate'!$G3489,Database!$H:$N,3,0)),"")</f>
        <v/>
      </c>
      <c r="J3489" s="55" t="str">
        <f>IFERROR(IF($G3489="","",VLOOKUP('Dashboard And Emails Automate'!$G3489,Database!$H:$N,4,0)),"")</f>
        <v/>
      </c>
      <c r="K3489" s="55" t="str">
        <f>IFERROR(IF($G3489="","",VLOOKUP('Dashboard And Emails Automate'!$G3489,Database!$H:$N,5,0)),"")</f>
        <v/>
      </c>
      <c r="L3489" s="55" t="str">
        <f>IFERROR(IF($G3489="","",VLOOKUP('Dashboard And Emails Automate'!$G3489,Database!$H:$N,6,0)),"")</f>
        <v/>
      </c>
      <c r="M3489" s="55" t="str">
        <f>IFERROR(IF($G3489="","",VLOOKUP('Dashboard And Emails Automate'!$G3489,Database!$H:$N,7,0)),"")</f>
        <v/>
      </c>
      <c r="N3489" s="55" t="str">
        <f>IFERROR(IF(OR($B3489="",$B3489="(blank)"),"",VLOOKUP($B3489,'Email Marketing Raw Data'!$C:$O,6,0)),"")</f>
        <v/>
      </c>
      <c r="O3489" s="55" t="str">
        <f>IFERROR(IF(OR($B3489="",$B3489="(blank)"),"",VLOOKUP($B3489,'Email Marketing Raw Data'!$C:$O,7,0)),"")</f>
        <v/>
      </c>
      <c r="P3489" s="55" t="str">
        <f>IFERROR(IF(OR($B3489="",$B3489="(blank)"),"",VLOOKUP($B3489,'Email Marketing Raw Data'!$C:$O,8,0)),"")</f>
        <v/>
      </c>
      <c r="Q3489" s="62" t="str">
        <f>IFERROR(IF(OR($B3489="",$B3489="(blank)"),"",VLOOKUP($B3489,'Email Marketing Raw Data'!$C:$O,9,0)),"")</f>
        <v/>
      </c>
    </row>
    <row r="3490" spans="4:17" ht="12.75" customHeight="1" x14ac:dyDescent="0.2">
      <c r="D3490" s="58" t="str">
        <f>IFERROR(IF(F3490&lt;&gt;"pending","",IF(OR($B3490="",$B3490="(blank)"),"",VLOOKUP($B3490,'Email Marketing Raw Data'!$C:$O,10,0))),"")</f>
        <v/>
      </c>
      <c r="E3490" s="59" t="str">
        <f>IFERROR(IF(F3490&lt;&gt;"pending","",IF(OR($B3490="",$B3490="(blank)"),"",VLOOKUP($B3490,'Email Marketing Raw Data'!$C:$O,11,0))),"")</f>
        <v/>
      </c>
      <c r="F3490" s="54" t="str">
        <f>IFERROR(IF(OR($B3490="",$B3490="(blank)"),"",VLOOKUP($B3490,'Email Marketing Raw Data'!$C:$O,13,0)),"")</f>
        <v/>
      </c>
      <c r="G3490" s="55" t="str">
        <f>IFERROR(IF(OR($B3490="",$B3490="(blank)"),"",VLOOKUP($B3490,'Email Marketing Raw Data'!$C:$O,4,0)),"")</f>
        <v/>
      </c>
      <c r="H3490" s="55" t="str">
        <f>IFERROR(IF(OR($B3490="",$B3490="(blank)"),"",VLOOKUP($B3490,'Email Marketing Raw Data'!$C:$O,5,0)),"")</f>
        <v/>
      </c>
      <c r="I3490" s="55" t="str">
        <f>IFERROR(IF($G3490="","",VLOOKUP('Dashboard And Emails Automate'!$G3490,Database!$H:$N,3,0)),"")</f>
        <v/>
      </c>
      <c r="J3490" s="55" t="str">
        <f>IFERROR(IF($G3490="","",VLOOKUP('Dashboard And Emails Automate'!$G3490,Database!$H:$N,4,0)),"")</f>
        <v/>
      </c>
      <c r="K3490" s="55" t="str">
        <f>IFERROR(IF($G3490="","",VLOOKUP('Dashboard And Emails Automate'!$G3490,Database!$H:$N,5,0)),"")</f>
        <v/>
      </c>
      <c r="L3490" s="55" t="str">
        <f>IFERROR(IF($G3490="","",VLOOKUP('Dashboard And Emails Automate'!$G3490,Database!$H:$N,6,0)),"")</f>
        <v/>
      </c>
      <c r="M3490" s="55" t="str">
        <f>IFERROR(IF($G3490="","",VLOOKUP('Dashboard And Emails Automate'!$G3490,Database!$H:$N,7,0)),"")</f>
        <v/>
      </c>
      <c r="N3490" s="55" t="str">
        <f>IFERROR(IF(OR($B3490="",$B3490="(blank)"),"",VLOOKUP($B3490,'Email Marketing Raw Data'!$C:$O,6,0)),"")</f>
        <v/>
      </c>
      <c r="O3490" s="55" t="str">
        <f>IFERROR(IF(OR($B3490="",$B3490="(blank)"),"",VLOOKUP($B3490,'Email Marketing Raw Data'!$C:$O,7,0)),"")</f>
        <v/>
      </c>
      <c r="P3490" s="55" t="str">
        <f>IFERROR(IF(OR($B3490="",$B3490="(blank)"),"",VLOOKUP($B3490,'Email Marketing Raw Data'!$C:$O,8,0)),"")</f>
        <v/>
      </c>
      <c r="Q3490" s="62" t="str">
        <f>IFERROR(IF(OR($B3490="",$B3490="(blank)"),"",VLOOKUP($B3490,'Email Marketing Raw Data'!$C:$O,9,0)),"")</f>
        <v/>
      </c>
    </row>
    <row r="3491" spans="4:17" ht="12.75" customHeight="1" x14ac:dyDescent="0.2">
      <c r="D3491" s="58" t="str">
        <f>IFERROR(IF(F3491&lt;&gt;"pending","",IF(OR($B3491="",$B3491="(blank)"),"",VLOOKUP($B3491,'Email Marketing Raw Data'!$C:$O,10,0))),"")</f>
        <v/>
      </c>
      <c r="E3491" s="59" t="str">
        <f>IFERROR(IF(F3491&lt;&gt;"pending","",IF(OR($B3491="",$B3491="(blank)"),"",VLOOKUP($B3491,'Email Marketing Raw Data'!$C:$O,11,0))),"")</f>
        <v/>
      </c>
      <c r="F3491" s="54" t="str">
        <f>IFERROR(IF(OR($B3491="",$B3491="(blank)"),"",VLOOKUP($B3491,'Email Marketing Raw Data'!$C:$O,13,0)),"")</f>
        <v/>
      </c>
      <c r="G3491" s="55" t="str">
        <f>IFERROR(IF(OR($B3491="",$B3491="(blank)"),"",VLOOKUP($B3491,'Email Marketing Raw Data'!$C:$O,4,0)),"")</f>
        <v/>
      </c>
      <c r="H3491" s="55" t="str">
        <f>IFERROR(IF(OR($B3491="",$B3491="(blank)"),"",VLOOKUP($B3491,'Email Marketing Raw Data'!$C:$O,5,0)),"")</f>
        <v/>
      </c>
      <c r="I3491" s="55" t="str">
        <f>IFERROR(IF($G3491="","",VLOOKUP('Dashboard And Emails Automate'!$G3491,Database!$H:$N,3,0)),"")</f>
        <v/>
      </c>
      <c r="J3491" s="55" t="str">
        <f>IFERROR(IF($G3491="","",VLOOKUP('Dashboard And Emails Automate'!$G3491,Database!$H:$N,4,0)),"")</f>
        <v/>
      </c>
      <c r="K3491" s="55" t="str">
        <f>IFERROR(IF($G3491="","",VLOOKUP('Dashboard And Emails Automate'!$G3491,Database!$H:$N,5,0)),"")</f>
        <v/>
      </c>
      <c r="L3491" s="55" t="str">
        <f>IFERROR(IF($G3491="","",VLOOKUP('Dashboard And Emails Automate'!$G3491,Database!$H:$N,6,0)),"")</f>
        <v/>
      </c>
      <c r="M3491" s="55" t="str">
        <f>IFERROR(IF($G3491="","",VLOOKUP('Dashboard And Emails Automate'!$G3491,Database!$H:$N,7,0)),"")</f>
        <v/>
      </c>
      <c r="N3491" s="55" t="str">
        <f>IFERROR(IF(OR($B3491="",$B3491="(blank)"),"",VLOOKUP($B3491,'Email Marketing Raw Data'!$C:$O,6,0)),"")</f>
        <v/>
      </c>
      <c r="O3491" s="55" t="str">
        <f>IFERROR(IF(OR($B3491="",$B3491="(blank)"),"",VLOOKUP($B3491,'Email Marketing Raw Data'!$C:$O,7,0)),"")</f>
        <v/>
      </c>
      <c r="P3491" s="55" t="str">
        <f>IFERROR(IF(OR($B3491="",$B3491="(blank)"),"",VLOOKUP($B3491,'Email Marketing Raw Data'!$C:$O,8,0)),"")</f>
        <v/>
      </c>
      <c r="Q3491" s="62" t="str">
        <f>IFERROR(IF(OR($B3491="",$B3491="(blank)"),"",VLOOKUP($B3491,'Email Marketing Raw Data'!$C:$O,9,0)),"")</f>
        <v/>
      </c>
    </row>
    <row r="3492" spans="4:17" ht="12.75" customHeight="1" x14ac:dyDescent="0.2">
      <c r="D3492" s="58" t="str">
        <f>IFERROR(IF(F3492&lt;&gt;"pending","",IF(OR($B3492="",$B3492="(blank)"),"",VLOOKUP($B3492,'Email Marketing Raw Data'!$C:$O,10,0))),"")</f>
        <v/>
      </c>
      <c r="E3492" s="59" t="str">
        <f>IFERROR(IF(F3492&lt;&gt;"pending","",IF(OR($B3492="",$B3492="(blank)"),"",VLOOKUP($B3492,'Email Marketing Raw Data'!$C:$O,11,0))),"")</f>
        <v/>
      </c>
      <c r="F3492" s="54" t="str">
        <f>IFERROR(IF(OR($B3492="",$B3492="(blank)"),"",VLOOKUP($B3492,'Email Marketing Raw Data'!$C:$O,13,0)),"")</f>
        <v/>
      </c>
      <c r="G3492" s="55" t="str">
        <f>IFERROR(IF(OR($B3492="",$B3492="(blank)"),"",VLOOKUP($B3492,'Email Marketing Raw Data'!$C:$O,4,0)),"")</f>
        <v/>
      </c>
      <c r="H3492" s="55" t="str">
        <f>IFERROR(IF(OR($B3492="",$B3492="(blank)"),"",VLOOKUP($B3492,'Email Marketing Raw Data'!$C:$O,5,0)),"")</f>
        <v/>
      </c>
      <c r="I3492" s="55" t="str">
        <f>IFERROR(IF($G3492="","",VLOOKUP('Dashboard And Emails Automate'!$G3492,Database!$H:$N,3,0)),"")</f>
        <v/>
      </c>
      <c r="J3492" s="55" t="str">
        <f>IFERROR(IF($G3492="","",VLOOKUP('Dashboard And Emails Automate'!$G3492,Database!$H:$N,4,0)),"")</f>
        <v/>
      </c>
      <c r="K3492" s="55" t="str">
        <f>IFERROR(IF($G3492="","",VLOOKUP('Dashboard And Emails Automate'!$G3492,Database!$H:$N,5,0)),"")</f>
        <v/>
      </c>
      <c r="L3492" s="55" t="str">
        <f>IFERROR(IF($G3492="","",VLOOKUP('Dashboard And Emails Automate'!$G3492,Database!$H:$N,6,0)),"")</f>
        <v/>
      </c>
      <c r="M3492" s="55" t="str">
        <f>IFERROR(IF($G3492="","",VLOOKUP('Dashboard And Emails Automate'!$G3492,Database!$H:$N,7,0)),"")</f>
        <v/>
      </c>
      <c r="N3492" s="55" t="str">
        <f>IFERROR(IF(OR($B3492="",$B3492="(blank)"),"",VLOOKUP($B3492,'Email Marketing Raw Data'!$C:$O,6,0)),"")</f>
        <v/>
      </c>
      <c r="O3492" s="55" t="str">
        <f>IFERROR(IF(OR($B3492="",$B3492="(blank)"),"",VLOOKUP($B3492,'Email Marketing Raw Data'!$C:$O,7,0)),"")</f>
        <v/>
      </c>
      <c r="P3492" s="55" t="str">
        <f>IFERROR(IF(OR($B3492="",$B3492="(blank)"),"",VLOOKUP($B3492,'Email Marketing Raw Data'!$C:$O,8,0)),"")</f>
        <v/>
      </c>
      <c r="Q3492" s="62" t="str">
        <f>IFERROR(IF(OR($B3492="",$B3492="(blank)"),"",VLOOKUP($B3492,'Email Marketing Raw Data'!$C:$O,9,0)),"")</f>
        <v/>
      </c>
    </row>
    <row r="3493" spans="4:17" ht="12.75" customHeight="1" x14ac:dyDescent="0.2">
      <c r="D3493" s="58" t="str">
        <f>IFERROR(IF(F3493&lt;&gt;"pending","",IF(OR($B3493="",$B3493="(blank)"),"",VLOOKUP($B3493,'Email Marketing Raw Data'!$C:$O,10,0))),"")</f>
        <v/>
      </c>
      <c r="E3493" s="59" t="str">
        <f>IFERROR(IF(F3493&lt;&gt;"pending","",IF(OR($B3493="",$B3493="(blank)"),"",VLOOKUP($B3493,'Email Marketing Raw Data'!$C:$O,11,0))),"")</f>
        <v/>
      </c>
      <c r="F3493" s="54" t="str">
        <f>IFERROR(IF(OR($B3493="",$B3493="(blank)"),"",VLOOKUP($B3493,'Email Marketing Raw Data'!$C:$O,13,0)),"")</f>
        <v/>
      </c>
      <c r="G3493" s="55" t="str">
        <f>IFERROR(IF(OR($B3493="",$B3493="(blank)"),"",VLOOKUP($B3493,'Email Marketing Raw Data'!$C:$O,4,0)),"")</f>
        <v/>
      </c>
      <c r="H3493" s="55" t="str">
        <f>IFERROR(IF(OR($B3493="",$B3493="(blank)"),"",VLOOKUP($B3493,'Email Marketing Raw Data'!$C:$O,5,0)),"")</f>
        <v/>
      </c>
      <c r="I3493" s="55" t="str">
        <f>IFERROR(IF($G3493="","",VLOOKUP('Dashboard And Emails Automate'!$G3493,Database!$H:$N,3,0)),"")</f>
        <v/>
      </c>
      <c r="J3493" s="55" t="str">
        <f>IFERROR(IF($G3493="","",VLOOKUP('Dashboard And Emails Automate'!$G3493,Database!$H:$N,4,0)),"")</f>
        <v/>
      </c>
      <c r="K3493" s="55" t="str">
        <f>IFERROR(IF($G3493="","",VLOOKUP('Dashboard And Emails Automate'!$G3493,Database!$H:$N,5,0)),"")</f>
        <v/>
      </c>
      <c r="L3493" s="55" t="str">
        <f>IFERROR(IF($G3493="","",VLOOKUP('Dashboard And Emails Automate'!$G3493,Database!$H:$N,6,0)),"")</f>
        <v/>
      </c>
      <c r="M3493" s="55" t="str">
        <f>IFERROR(IF($G3493="","",VLOOKUP('Dashboard And Emails Automate'!$G3493,Database!$H:$N,7,0)),"")</f>
        <v/>
      </c>
      <c r="N3493" s="55" t="str">
        <f>IFERROR(IF(OR($B3493="",$B3493="(blank)"),"",VLOOKUP($B3493,'Email Marketing Raw Data'!$C:$O,6,0)),"")</f>
        <v/>
      </c>
      <c r="O3493" s="55" t="str">
        <f>IFERROR(IF(OR($B3493="",$B3493="(blank)"),"",VLOOKUP($B3493,'Email Marketing Raw Data'!$C:$O,7,0)),"")</f>
        <v/>
      </c>
      <c r="P3493" s="55" t="str">
        <f>IFERROR(IF(OR($B3493="",$B3493="(blank)"),"",VLOOKUP($B3493,'Email Marketing Raw Data'!$C:$O,8,0)),"")</f>
        <v/>
      </c>
      <c r="Q3493" s="62" t="str">
        <f>IFERROR(IF(OR($B3493="",$B3493="(blank)"),"",VLOOKUP($B3493,'Email Marketing Raw Data'!$C:$O,9,0)),"")</f>
        <v/>
      </c>
    </row>
    <row r="3494" spans="4:17" ht="12.75" customHeight="1" x14ac:dyDescent="0.2">
      <c r="D3494" s="58" t="str">
        <f>IFERROR(IF(F3494&lt;&gt;"pending","",IF(OR($B3494="",$B3494="(blank)"),"",VLOOKUP($B3494,'Email Marketing Raw Data'!$C:$O,10,0))),"")</f>
        <v/>
      </c>
      <c r="E3494" s="59" t="str">
        <f>IFERROR(IF(F3494&lt;&gt;"pending","",IF(OR($B3494="",$B3494="(blank)"),"",VLOOKUP($B3494,'Email Marketing Raw Data'!$C:$O,11,0))),"")</f>
        <v/>
      </c>
      <c r="F3494" s="54" t="str">
        <f>IFERROR(IF(OR($B3494="",$B3494="(blank)"),"",VLOOKUP($B3494,'Email Marketing Raw Data'!$C:$O,13,0)),"")</f>
        <v/>
      </c>
      <c r="G3494" s="55" t="str">
        <f>IFERROR(IF(OR($B3494="",$B3494="(blank)"),"",VLOOKUP($B3494,'Email Marketing Raw Data'!$C:$O,4,0)),"")</f>
        <v/>
      </c>
      <c r="H3494" s="55" t="str">
        <f>IFERROR(IF(OR($B3494="",$B3494="(blank)"),"",VLOOKUP($B3494,'Email Marketing Raw Data'!$C:$O,5,0)),"")</f>
        <v/>
      </c>
      <c r="I3494" s="55" t="str">
        <f>IFERROR(IF($G3494="","",VLOOKUP('Dashboard And Emails Automate'!$G3494,Database!$H:$N,3,0)),"")</f>
        <v/>
      </c>
      <c r="J3494" s="55" t="str">
        <f>IFERROR(IF($G3494="","",VLOOKUP('Dashboard And Emails Automate'!$G3494,Database!$H:$N,4,0)),"")</f>
        <v/>
      </c>
      <c r="K3494" s="55" t="str">
        <f>IFERROR(IF($G3494="","",VLOOKUP('Dashboard And Emails Automate'!$G3494,Database!$H:$N,5,0)),"")</f>
        <v/>
      </c>
      <c r="L3494" s="55" t="str">
        <f>IFERROR(IF($G3494="","",VLOOKUP('Dashboard And Emails Automate'!$G3494,Database!$H:$N,6,0)),"")</f>
        <v/>
      </c>
      <c r="M3494" s="55" t="str">
        <f>IFERROR(IF($G3494="","",VLOOKUP('Dashboard And Emails Automate'!$G3494,Database!$H:$N,7,0)),"")</f>
        <v/>
      </c>
      <c r="N3494" s="55" t="str">
        <f>IFERROR(IF(OR($B3494="",$B3494="(blank)"),"",VLOOKUP($B3494,'Email Marketing Raw Data'!$C:$O,6,0)),"")</f>
        <v/>
      </c>
      <c r="O3494" s="55" t="str">
        <f>IFERROR(IF(OR($B3494="",$B3494="(blank)"),"",VLOOKUP($B3494,'Email Marketing Raw Data'!$C:$O,7,0)),"")</f>
        <v/>
      </c>
      <c r="P3494" s="55" t="str">
        <f>IFERROR(IF(OR($B3494="",$B3494="(blank)"),"",VLOOKUP($B3494,'Email Marketing Raw Data'!$C:$O,8,0)),"")</f>
        <v/>
      </c>
      <c r="Q3494" s="62" t="str">
        <f>IFERROR(IF(OR($B3494="",$B3494="(blank)"),"",VLOOKUP($B3494,'Email Marketing Raw Data'!$C:$O,9,0)),"")</f>
        <v/>
      </c>
    </row>
    <row r="3495" spans="4:17" ht="12.75" customHeight="1" x14ac:dyDescent="0.2">
      <c r="D3495" s="58" t="str">
        <f>IFERROR(IF(F3495&lt;&gt;"pending","",IF(OR($B3495="",$B3495="(blank)"),"",VLOOKUP($B3495,'Email Marketing Raw Data'!$C:$O,10,0))),"")</f>
        <v/>
      </c>
      <c r="E3495" s="59" t="str">
        <f>IFERROR(IF(F3495&lt;&gt;"pending","",IF(OR($B3495="",$B3495="(blank)"),"",VLOOKUP($B3495,'Email Marketing Raw Data'!$C:$O,11,0))),"")</f>
        <v/>
      </c>
      <c r="F3495" s="54" t="str">
        <f>IFERROR(IF(OR($B3495="",$B3495="(blank)"),"",VLOOKUP($B3495,'Email Marketing Raw Data'!$C:$O,13,0)),"")</f>
        <v/>
      </c>
      <c r="G3495" s="55" t="str">
        <f>IFERROR(IF(OR($B3495="",$B3495="(blank)"),"",VLOOKUP($B3495,'Email Marketing Raw Data'!$C:$O,4,0)),"")</f>
        <v/>
      </c>
      <c r="H3495" s="55" t="str">
        <f>IFERROR(IF(OR($B3495="",$B3495="(blank)"),"",VLOOKUP($B3495,'Email Marketing Raw Data'!$C:$O,5,0)),"")</f>
        <v/>
      </c>
      <c r="I3495" s="55" t="str">
        <f>IFERROR(IF($G3495="","",VLOOKUP('Dashboard And Emails Automate'!$G3495,Database!$H:$N,3,0)),"")</f>
        <v/>
      </c>
      <c r="J3495" s="55" t="str">
        <f>IFERROR(IF($G3495="","",VLOOKUP('Dashboard And Emails Automate'!$G3495,Database!$H:$N,4,0)),"")</f>
        <v/>
      </c>
      <c r="K3495" s="55" t="str">
        <f>IFERROR(IF($G3495="","",VLOOKUP('Dashboard And Emails Automate'!$G3495,Database!$H:$N,5,0)),"")</f>
        <v/>
      </c>
      <c r="L3495" s="55" t="str">
        <f>IFERROR(IF($G3495="","",VLOOKUP('Dashboard And Emails Automate'!$G3495,Database!$H:$N,6,0)),"")</f>
        <v/>
      </c>
      <c r="M3495" s="55" t="str">
        <f>IFERROR(IF($G3495="","",VLOOKUP('Dashboard And Emails Automate'!$G3495,Database!$H:$N,7,0)),"")</f>
        <v/>
      </c>
      <c r="N3495" s="55" t="str">
        <f>IFERROR(IF(OR($B3495="",$B3495="(blank)"),"",VLOOKUP($B3495,'Email Marketing Raw Data'!$C:$O,6,0)),"")</f>
        <v/>
      </c>
      <c r="O3495" s="55" t="str">
        <f>IFERROR(IF(OR($B3495="",$B3495="(blank)"),"",VLOOKUP($B3495,'Email Marketing Raw Data'!$C:$O,7,0)),"")</f>
        <v/>
      </c>
      <c r="P3495" s="55" t="str">
        <f>IFERROR(IF(OR($B3495="",$B3495="(blank)"),"",VLOOKUP($B3495,'Email Marketing Raw Data'!$C:$O,8,0)),"")</f>
        <v/>
      </c>
      <c r="Q3495" s="62" t="str">
        <f>IFERROR(IF(OR($B3495="",$B3495="(blank)"),"",VLOOKUP($B3495,'Email Marketing Raw Data'!$C:$O,9,0)),"")</f>
        <v/>
      </c>
    </row>
    <row r="3496" spans="4:17" ht="12.75" customHeight="1" x14ac:dyDescent="0.2">
      <c r="D3496" s="58" t="str">
        <f>IFERROR(IF(F3496&lt;&gt;"pending","",IF(OR($B3496="",$B3496="(blank)"),"",VLOOKUP($B3496,'Email Marketing Raw Data'!$C:$O,10,0))),"")</f>
        <v/>
      </c>
      <c r="E3496" s="59" t="str">
        <f>IFERROR(IF(F3496&lt;&gt;"pending","",IF(OR($B3496="",$B3496="(blank)"),"",VLOOKUP($B3496,'Email Marketing Raw Data'!$C:$O,11,0))),"")</f>
        <v/>
      </c>
      <c r="F3496" s="54" t="str">
        <f>IFERROR(IF(OR($B3496="",$B3496="(blank)"),"",VLOOKUP($B3496,'Email Marketing Raw Data'!$C:$O,13,0)),"")</f>
        <v/>
      </c>
      <c r="G3496" s="55" t="str">
        <f>IFERROR(IF(OR($B3496="",$B3496="(blank)"),"",VLOOKUP($B3496,'Email Marketing Raw Data'!$C:$O,4,0)),"")</f>
        <v/>
      </c>
      <c r="H3496" s="55" t="str">
        <f>IFERROR(IF(OR($B3496="",$B3496="(blank)"),"",VLOOKUP($B3496,'Email Marketing Raw Data'!$C:$O,5,0)),"")</f>
        <v/>
      </c>
      <c r="I3496" s="55" t="str">
        <f>IFERROR(IF($G3496="","",VLOOKUP('Dashboard And Emails Automate'!$G3496,Database!$H:$N,3,0)),"")</f>
        <v/>
      </c>
      <c r="J3496" s="55" t="str">
        <f>IFERROR(IF($G3496="","",VLOOKUP('Dashboard And Emails Automate'!$G3496,Database!$H:$N,4,0)),"")</f>
        <v/>
      </c>
      <c r="K3496" s="55" t="str">
        <f>IFERROR(IF($G3496="","",VLOOKUP('Dashboard And Emails Automate'!$G3496,Database!$H:$N,5,0)),"")</f>
        <v/>
      </c>
      <c r="L3496" s="55" t="str">
        <f>IFERROR(IF($G3496="","",VLOOKUP('Dashboard And Emails Automate'!$G3496,Database!$H:$N,6,0)),"")</f>
        <v/>
      </c>
      <c r="M3496" s="55" t="str">
        <f>IFERROR(IF($G3496="","",VLOOKUP('Dashboard And Emails Automate'!$G3496,Database!$H:$N,7,0)),"")</f>
        <v/>
      </c>
      <c r="N3496" s="55" t="str">
        <f>IFERROR(IF(OR($B3496="",$B3496="(blank)"),"",VLOOKUP($B3496,'Email Marketing Raw Data'!$C:$O,6,0)),"")</f>
        <v/>
      </c>
      <c r="O3496" s="55" t="str">
        <f>IFERROR(IF(OR($B3496="",$B3496="(blank)"),"",VLOOKUP($B3496,'Email Marketing Raw Data'!$C:$O,7,0)),"")</f>
        <v/>
      </c>
      <c r="P3496" s="55" t="str">
        <f>IFERROR(IF(OR($B3496="",$B3496="(blank)"),"",VLOOKUP($B3496,'Email Marketing Raw Data'!$C:$O,8,0)),"")</f>
        <v/>
      </c>
      <c r="Q3496" s="62" t="str">
        <f>IFERROR(IF(OR($B3496="",$B3496="(blank)"),"",VLOOKUP($B3496,'Email Marketing Raw Data'!$C:$O,9,0)),"")</f>
        <v/>
      </c>
    </row>
    <row r="3497" spans="4:17" ht="12.75" customHeight="1" x14ac:dyDescent="0.2">
      <c r="D3497" s="58" t="str">
        <f>IFERROR(IF(F3497&lt;&gt;"pending","",IF(OR($B3497="",$B3497="(blank)"),"",VLOOKUP($B3497,'Email Marketing Raw Data'!$C:$O,10,0))),"")</f>
        <v/>
      </c>
      <c r="E3497" s="59" t="str">
        <f>IFERROR(IF(F3497&lt;&gt;"pending","",IF(OR($B3497="",$B3497="(blank)"),"",VLOOKUP($B3497,'Email Marketing Raw Data'!$C:$O,11,0))),"")</f>
        <v/>
      </c>
      <c r="F3497" s="54" t="str">
        <f>IFERROR(IF(OR($B3497="",$B3497="(blank)"),"",VLOOKUP($B3497,'Email Marketing Raw Data'!$C:$O,13,0)),"")</f>
        <v/>
      </c>
      <c r="G3497" s="55" t="str">
        <f>IFERROR(IF(OR($B3497="",$B3497="(blank)"),"",VLOOKUP($B3497,'Email Marketing Raw Data'!$C:$O,4,0)),"")</f>
        <v/>
      </c>
      <c r="H3497" s="55" t="str">
        <f>IFERROR(IF(OR($B3497="",$B3497="(blank)"),"",VLOOKUP($B3497,'Email Marketing Raw Data'!$C:$O,5,0)),"")</f>
        <v/>
      </c>
      <c r="I3497" s="55" t="str">
        <f>IFERROR(IF($G3497="","",VLOOKUP('Dashboard And Emails Automate'!$G3497,Database!$H:$N,3,0)),"")</f>
        <v/>
      </c>
      <c r="J3497" s="55" t="str">
        <f>IFERROR(IF($G3497="","",VLOOKUP('Dashboard And Emails Automate'!$G3497,Database!$H:$N,4,0)),"")</f>
        <v/>
      </c>
      <c r="K3497" s="55" t="str">
        <f>IFERROR(IF($G3497="","",VLOOKUP('Dashboard And Emails Automate'!$G3497,Database!$H:$N,5,0)),"")</f>
        <v/>
      </c>
      <c r="L3497" s="55" t="str">
        <f>IFERROR(IF($G3497="","",VLOOKUP('Dashboard And Emails Automate'!$G3497,Database!$H:$N,6,0)),"")</f>
        <v/>
      </c>
      <c r="M3497" s="55" t="str">
        <f>IFERROR(IF($G3497="","",VLOOKUP('Dashboard And Emails Automate'!$G3497,Database!$H:$N,7,0)),"")</f>
        <v/>
      </c>
      <c r="N3497" s="55" t="str">
        <f>IFERROR(IF(OR($B3497="",$B3497="(blank)"),"",VLOOKUP($B3497,'Email Marketing Raw Data'!$C:$O,6,0)),"")</f>
        <v/>
      </c>
      <c r="O3497" s="55" t="str">
        <f>IFERROR(IF(OR($B3497="",$B3497="(blank)"),"",VLOOKUP($B3497,'Email Marketing Raw Data'!$C:$O,7,0)),"")</f>
        <v/>
      </c>
      <c r="P3497" s="55" t="str">
        <f>IFERROR(IF(OR($B3497="",$B3497="(blank)"),"",VLOOKUP($B3497,'Email Marketing Raw Data'!$C:$O,8,0)),"")</f>
        <v/>
      </c>
      <c r="Q3497" s="62" t="str">
        <f>IFERROR(IF(OR($B3497="",$B3497="(blank)"),"",VLOOKUP($B3497,'Email Marketing Raw Data'!$C:$O,9,0)),"")</f>
        <v/>
      </c>
    </row>
    <row r="3498" spans="4:17" ht="12.75" customHeight="1" x14ac:dyDescent="0.2">
      <c r="D3498" s="58" t="str">
        <f>IFERROR(IF(F3498&lt;&gt;"pending","",IF(OR($B3498="",$B3498="(blank)"),"",VLOOKUP($B3498,'Email Marketing Raw Data'!$C:$O,10,0))),"")</f>
        <v/>
      </c>
      <c r="E3498" s="59" t="str">
        <f>IFERROR(IF(F3498&lt;&gt;"pending","",IF(OR($B3498="",$B3498="(blank)"),"",VLOOKUP($B3498,'Email Marketing Raw Data'!$C:$O,11,0))),"")</f>
        <v/>
      </c>
      <c r="F3498" s="54" t="str">
        <f>IFERROR(IF(OR($B3498="",$B3498="(blank)"),"",VLOOKUP($B3498,'Email Marketing Raw Data'!$C:$O,13,0)),"")</f>
        <v/>
      </c>
      <c r="G3498" s="55" t="str">
        <f>IFERROR(IF(OR($B3498="",$B3498="(blank)"),"",VLOOKUP($B3498,'Email Marketing Raw Data'!$C:$O,4,0)),"")</f>
        <v/>
      </c>
      <c r="H3498" s="55" t="str">
        <f>IFERROR(IF(OR($B3498="",$B3498="(blank)"),"",VLOOKUP($B3498,'Email Marketing Raw Data'!$C:$O,5,0)),"")</f>
        <v/>
      </c>
      <c r="I3498" s="55" t="str">
        <f>IFERROR(IF($G3498="","",VLOOKUP('Dashboard And Emails Automate'!$G3498,Database!$H:$N,3,0)),"")</f>
        <v/>
      </c>
      <c r="J3498" s="55" t="str">
        <f>IFERROR(IF($G3498="","",VLOOKUP('Dashboard And Emails Automate'!$G3498,Database!$H:$N,4,0)),"")</f>
        <v/>
      </c>
      <c r="K3498" s="55" t="str">
        <f>IFERROR(IF($G3498="","",VLOOKUP('Dashboard And Emails Automate'!$G3498,Database!$H:$N,5,0)),"")</f>
        <v/>
      </c>
      <c r="L3498" s="55" t="str">
        <f>IFERROR(IF($G3498="","",VLOOKUP('Dashboard And Emails Automate'!$G3498,Database!$H:$N,6,0)),"")</f>
        <v/>
      </c>
      <c r="M3498" s="55" t="str">
        <f>IFERROR(IF($G3498="","",VLOOKUP('Dashboard And Emails Automate'!$G3498,Database!$H:$N,7,0)),"")</f>
        <v/>
      </c>
      <c r="N3498" s="55" t="str">
        <f>IFERROR(IF(OR($B3498="",$B3498="(blank)"),"",VLOOKUP($B3498,'Email Marketing Raw Data'!$C:$O,6,0)),"")</f>
        <v/>
      </c>
      <c r="O3498" s="55" t="str">
        <f>IFERROR(IF(OR($B3498="",$B3498="(blank)"),"",VLOOKUP($B3498,'Email Marketing Raw Data'!$C:$O,7,0)),"")</f>
        <v/>
      </c>
      <c r="P3498" s="55" t="str">
        <f>IFERROR(IF(OR($B3498="",$B3498="(blank)"),"",VLOOKUP($B3498,'Email Marketing Raw Data'!$C:$O,8,0)),"")</f>
        <v/>
      </c>
      <c r="Q3498" s="62" t="str">
        <f>IFERROR(IF(OR($B3498="",$B3498="(blank)"),"",VLOOKUP($B3498,'Email Marketing Raw Data'!$C:$O,9,0)),"")</f>
        <v/>
      </c>
    </row>
    <row r="3499" spans="4:17" ht="12.75" customHeight="1" x14ac:dyDescent="0.2">
      <c r="D3499" s="58" t="str">
        <f>IFERROR(IF(F3499&lt;&gt;"pending","",IF(OR($B3499="",$B3499="(blank)"),"",VLOOKUP($B3499,'Email Marketing Raw Data'!$C:$O,10,0))),"")</f>
        <v/>
      </c>
      <c r="E3499" s="59" t="str">
        <f>IFERROR(IF(F3499&lt;&gt;"pending","",IF(OR($B3499="",$B3499="(blank)"),"",VLOOKUP($B3499,'Email Marketing Raw Data'!$C:$O,11,0))),"")</f>
        <v/>
      </c>
      <c r="F3499" s="54" t="str">
        <f>IFERROR(IF(OR($B3499="",$B3499="(blank)"),"",VLOOKUP($B3499,'Email Marketing Raw Data'!$C:$O,13,0)),"")</f>
        <v/>
      </c>
      <c r="G3499" s="55" t="str">
        <f>IFERROR(IF(OR($B3499="",$B3499="(blank)"),"",VLOOKUP($B3499,'Email Marketing Raw Data'!$C:$O,4,0)),"")</f>
        <v/>
      </c>
      <c r="H3499" s="55" t="str">
        <f>IFERROR(IF(OR($B3499="",$B3499="(blank)"),"",VLOOKUP($B3499,'Email Marketing Raw Data'!$C:$O,5,0)),"")</f>
        <v/>
      </c>
      <c r="I3499" s="55" t="str">
        <f>IFERROR(IF($G3499="","",VLOOKUP('Dashboard And Emails Automate'!$G3499,Database!$H:$N,3,0)),"")</f>
        <v/>
      </c>
      <c r="J3499" s="55" t="str">
        <f>IFERROR(IF($G3499="","",VLOOKUP('Dashboard And Emails Automate'!$G3499,Database!$H:$N,4,0)),"")</f>
        <v/>
      </c>
      <c r="K3499" s="55" t="str">
        <f>IFERROR(IF($G3499="","",VLOOKUP('Dashboard And Emails Automate'!$G3499,Database!$H:$N,5,0)),"")</f>
        <v/>
      </c>
      <c r="L3499" s="55" t="str">
        <f>IFERROR(IF($G3499="","",VLOOKUP('Dashboard And Emails Automate'!$G3499,Database!$H:$N,6,0)),"")</f>
        <v/>
      </c>
      <c r="M3499" s="55" t="str">
        <f>IFERROR(IF($G3499="","",VLOOKUP('Dashboard And Emails Automate'!$G3499,Database!$H:$N,7,0)),"")</f>
        <v/>
      </c>
      <c r="N3499" s="55" t="str">
        <f>IFERROR(IF(OR($B3499="",$B3499="(blank)"),"",VLOOKUP($B3499,'Email Marketing Raw Data'!$C:$O,6,0)),"")</f>
        <v/>
      </c>
      <c r="O3499" s="55" t="str">
        <f>IFERROR(IF(OR($B3499="",$B3499="(blank)"),"",VLOOKUP($B3499,'Email Marketing Raw Data'!$C:$O,7,0)),"")</f>
        <v/>
      </c>
      <c r="P3499" s="55" t="str">
        <f>IFERROR(IF(OR($B3499="",$B3499="(blank)"),"",VLOOKUP($B3499,'Email Marketing Raw Data'!$C:$O,8,0)),"")</f>
        <v/>
      </c>
      <c r="Q3499" s="62" t="str">
        <f>IFERROR(IF(OR($B3499="",$B3499="(blank)"),"",VLOOKUP($B3499,'Email Marketing Raw Data'!$C:$O,9,0)),"")</f>
        <v/>
      </c>
    </row>
    <row r="3500" spans="4:17" ht="12.75" customHeight="1" x14ac:dyDescent="0.2">
      <c r="D3500" s="58" t="str">
        <f>IFERROR(IF(F3500&lt;&gt;"pending","",IF(OR($B3500="",$B3500="(blank)"),"",VLOOKUP($B3500,'Email Marketing Raw Data'!$C:$O,10,0))),"")</f>
        <v/>
      </c>
      <c r="E3500" s="59" t="str">
        <f>IFERROR(IF(F3500&lt;&gt;"pending","",IF(OR($B3500="",$B3500="(blank)"),"",VLOOKUP($B3500,'Email Marketing Raw Data'!$C:$O,11,0))),"")</f>
        <v/>
      </c>
      <c r="F3500" s="54" t="str">
        <f>IFERROR(IF(OR($B3500="",$B3500="(blank)"),"",VLOOKUP($B3500,'Email Marketing Raw Data'!$C:$O,13,0)),"")</f>
        <v/>
      </c>
      <c r="G3500" s="55" t="str">
        <f>IFERROR(IF(OR($B3500="",$B3500="(blank)"),"",VLOOKUP($B3500,'Email Marketing Raw Data'!$C:$O,4,0)),"")</f>
        <v/>
      </c>
      <c r="H3500" s="55" t="str">
        <f>IFERROR(IF(OR($B3500="",$B3500="(blank)"),"",VLOOKUP($B3500,'Email Marketing Raw Data'!$C:$O,5,0)),"")</f>
        <v/>
      </c>
      <c r="I3500" s="55" t="str">
        <f>IFERROR(IF($G3500="","",VLOOKUP('Dashboard And Emails Automate'!$G3500,Database!$H:$N,3,0)),"")</f>
        <v/>
      </c>
      <c r="J3500" s="55" t="str">
        <f>IFERROR(IF($G3500="","",VLOOKUP('Dashboard And Emails Automate'!$G3500,Database!$H:$N,4,0)),"")</f>
        <v/>
      </c>
      <c r="K3500" s="55" t="str">
        <f>IFERROR(IF($G3500="","",VLOOKUP('Dashboard And Emails Automate'!$G3500,Database!$H:$N,5,0)),"")</f>
        <v/>
      </c>
      <c r="L3500" s="55" t="str">
        <f>IFERROR(IF($G3500="","",VLOOKUP('Dashboard And Emails Automate'!$G3500,Database!$H:$N,6,0)),"")</f>
        <v/>
      </c>
      <c r="M3500" s="55" t="str">
        <f>IFERROR(IF($G3500="","",VLOOKUP('Dashboard And Emails Automate'!$G3500,Database!$H:$N,7,0)),"")</f>
        <v/>
      </c>
      <c r="N3500" s="55" t="str">
        <f>IFERROR(IF(OR($B3500="",$B3500="(blank)"),"",VLOOKUP($B3500,'Email Marketing Raw Data'!$C:$O,6,0)),"")</f>
        <v/>
      </c>
      <c r="O3500" s="55" t="str">
        <f>IFERROR(IF(OR($B3500="",$B3500="(blank)"),"",VLOOKUP($B3500,'Email Marketing Raw Data'!$C:$O,7,0)),"")</f>
        <v/>
      </c>
      <c r="P3500" s="55" t="str">
        <f>IFERROR(IF(OR($B3500="",$B3500="(blank)"),"",VLOOKUP($B3500,'Email Marketing Raw Data'!$C:$O,8,0)),"")</f>
        <v/>
      </c>
      <c r="Q3500" s="62" t="str">
        <f>IFERROR(IF(OR($B3500="",$B3500="(blank)"),"",VLOOKUP($B3500,'Email Marketing Raw Data'!$C:$O,9,0)),"")</f>
        <v/>
      </c>
    </row>
    <row r="3501" spans="4:17" ht="12.75" customHeight="1" x14ac:dyDescent="0.2">
      <c r="D3501" s="58" t="str">
        <f>IFERROR(IF(F3501&lt;&gt;"pending","",IF(OR($B3501="",$B3501="(blank)"),"",VLOOKUP($B3501,'Email Marketing Raw Data'!$C:$O,10,0))),"")</f>
        <v/>
      </c>
      <c r="E3501" s="59" t="str">
        <f>IFERROR(IF(F3501&lt;&gt;"pending","",IF(OR($B3501="",$B3501="(blank)"),"",VLOOKUP($B3501,'Email Marketing Raw Data'!$C:$O,11,0))),"")</f>
        <v/>
      </c>
      <c r="F3501" s="54" t="str">
        <f>IFERROR(IF(OR($B3501="",$B3501="(blank)"),"",VLOOKUP($B3501,'Email Marketing Raw Data'!$C:$O,13,0)),"")</f>
        <v/>
      </c>
      <c r="G3501" s="55" t="str">
        <f>IFERROR(IF(OR($B3501="",$B3501="(blank)"),"",VLOOKUP($B3501,'Email Marketing Raw Data'!$C:$O,4,0)),"")</f>
        <v/>
      </c>
      <c r="H3501" s="55" t="str">
        <f>IFERROR(IF(OR($B3501="",$B3501="(blank)"),"",VLOOKUP($B3501,'Email Marketing Raw Data'!$C:$O,5,0)),"")</f>
        <v/>
      </c>
      <c r="I3501" s="55" t="str">
        <f>IFERROR(IF($G3501="","",VLOOKUP('Dashboard And Emails Automate'!$G3501,Database!$H:$N,3,0)),"")</f>
        <v/>
      </c>
      <c r="J3501" s="55" t="str">
        <f>IFERROR(IF($G3501="","",VLOOKUP('Dashboard And Emails Automate'!$G3501,Database!$H:$N,4,0)),"")</f>
        <v/>
      </c>
      <c r="K3501" s="55" t="str">
        <f>IFERROR(IF($G3501="","",VLOOKUP('Dashboard And Emails Automate'!$G3501,Database!$H:$N,5,0)),"")</f>
        <v/>
      </c>
      <c r="L3501" s="55" t="str">
        <f>IFERROR(IF($G3501="","",VLOOKUP('Dashboard And Emails Automate'!$G3501,Database!$H:$N,6,0)),"")</f>
        <v/>
      </c>
      <c r="M3501" s="55" t="str">
        <f>IFERROR(IF($G3501="","",VLOOKUP('Dashboard And Emails Automate'!$G3501,Database!$H:$N,7,0)),"")</f>
        <v/>
      </c>
      <c r="N3501" s="55" t="str">
        <f>IFERROR(IF(OR($B3501="",$B3501="(blank)"),"",VLOOKUP($B3501,'Email Marketing Raw Data'!$C:$O,6,0)),"")</f>
        <v/>
      </c>
      <c r="O3501" s="55" t="str">
        <f>IFERROR(IF(OR($B3501="",$B3501="(blank)"),"",VLOOKUP($B3501,'Email Marketing Raw Data'!$C:$O,7,0)),"")</f>
        <v/>
      </c>
      <c r="P3501" s="55" t="str">
        <f>IFERROR(IF(OR($B3501="",$B3501="(blank)"),"",VLOOKUP($B3501,'Email Marketing Raw Data'!$C:$O,8,0)),"")</f>
        <v/>
      </c>
      <c r="Q3501" s="62" t="str">
        <f>IFERROR(IF(OR($B3501="",$B3501="(blank)"),"",VLOOKUP($B3501,'Email Marketing Raw Data'!$C:$O,9,0)),"")</f>
        <v/>
      </c>
    </row>
    <row r="3502" spans="4:17" ht="12.75" customHeight="1" x14ac:dyDescent="0.2">
      <c r="D3502" s="58" t="str">
        <f>IFERROR(IF(F3502&lt;&gt;"pending","",IF(OR($B3502="",$B3502="(blank)"),"",VLOOKUP($B3502,'Email Marketing Raw Data'!$C:$O,10,0))),"")</f>
        <v/>
      </c>
      <c r="E3502" s="59" t="str">
        <f>IFERROR(IF(F3502&lt;&gt;"pending","",IF(OR($B3502="",$B3502="(blank)"),"",VLOOKUP($B3502,'Email Marketing Raw Data'!$C:$O,11,0))),"")</f>
        <v/>
      </c>
      <c r="F3502" s="54" t="str">
        <f>IFERROR(IF(OR($B3502="",$B3502="(blank)"),"",VLOOKUP($B3502,'Email Marketing Raw Data'!$C:$O,13,0)),"")</f>
        <v/>
      </c>
      <c r="G3502" s="55" t="str">
        <f>IFERROR(IF(OR($B3502="",$B3502="(blank)"),"",VLOOKUP($B3502,'Email Marketing Raw Data'!$C:$O,4,0)),"")</f>
        <v/>
      </c>
      <c r="H3502" s="55" t="str">
        <f>IFERROR(IF(OR($B3502="",$B3502="(blank)"),"",VLOOKUP($B3502,'Email Marketing Raw Data'!$C:$O,5,0)),"")</f>
        <v/>
      </c>
      <c r="I3502" s="55" t="str">
        <f>IFERROR(IF($G3502="","",VLOOKUP('Dashboard And Emails Automate'!$G3502,Database!$H:$N,3,0)),"")</f>
        <v/>
      </c>
      <c r="J3502" s="55" t="str">
        <f>IFERROR(IF($G3502="","",VLOOKUP('Dashboard And Emails Automate'!$G3502,Database!$H:$N,4,0)),"")</f>
        <v/>
      </c>
      <c r="K3502" s="55" t="str">
        <f>IFERROR(IF($G3502="","",VLOOKUP('Dashboard And Emails Automate'!$G3502,Database!$H:$N,5,0)),"")</f>
        <v/>
      </c>
      <c r="L3502" s="55" t="str">
        <f>IFERROR(IF($G3502="","",VLOOKUP('Dashboard And Emails Automate'!$G3502,Database!$H:$N,6,0)),"")</f>
        <v/>
      </c>
      <c r="M3502" s="55" t="str">
        <f>IFERROR(IF($G3502="","",VLOOKUP('Dashboard And Emails Automate'!$G3502,Database!$H:$N,7,0)),"")</f>
        <v/>
      </c>
      <c r="N3502" s="55" t="str">
        <f>IFERROR(IF(OR($B3502="",$B3502="(blank)"),"",VLOOKUP($B3502,'Email Marketing Raw Data'!$C:$O,6,0)),"")</f>
        <v/>
      </c>
      <c r="O3502" s="55" t="str">
        <f>IFERROR(IF(OR($B3502="",$B3502="(blank)"),"",VLOOKUP($B3502,'Email Marketing Raw Data'!$C:$O,7,0)),"")</f>
        <v/>
      </c>
      <c r="P3502" s="55" t="str">
        <f>IFERROR(IF(OR($B3502="",$B3502="(blank)"),"",VLOOKUP($B3502,'Email Marketing Raw Data'!$C:$O,8,0)),"")</f>
        <v/>
      </c>
      <c r="Q3502" s="62" t="str">
        <f>IFERROR(IF(OR($B3502="",$B3502="(blank)"),"",VLOOKUP($B3502,'Email Marketing Raw Data'!$C:$O,9,0)),"")</f>
        <v/>
      </c>
    </row>
    <row r="3503" spans="4:17" ht="12.75" customHeight="1" x14ac:dyDescent="0.2">
      <c r="D3503" s="58" t="str">
        <f>IFERROR(IF(F3503&lt;&gt;"pending","",IF(OR($B3503="",$B3503="(blank)"),"",VLOOKUP($B3503,'Email Marketing Raw Data'!$C:$O,10,0))),"")</f>
        <v/>
      </c>
      <c r="E3503" s="59" t="str">
        <f>IFERROR(IF(F3503&lt;&gt;"pending","",IF(OR($B3503="",$B3503="(blank)"),"",VLOOKUP($B3503,'Email Marketing Raw Data'!$C:$O,11,0))),"")</f>
        <v/>
      </c>
      <c r="F3503" s="54" t="str">
        <f>IFERROR(IF(OR($B3503="",$B3503="(blank)"),"",VLOOKUP($B3503,'Email Marketing Raw Data'!$C:$O,13,0)),"")</f>
        <v/>
      </c>
      <c r="G3503" s="55" t="str">
        <f>IFERROR(IF(OR($B3503="",$B3503="(blank)"),"",VLOOKUP($B3503,'Email Marketing Raw Data'!$C:$O,4,0)),"")</f>
        <v/>
      </c>
      <c r="H3503" s="55" t="str">
        <f>IFERROR(IF(OR($B3503="",$B3503="(blank)"),"",VLOOKUP($B3503,'Email Marketing Raw Data'!$C:$O,5,0)),"")</f>
        <v/>
      </c>
      <c r="I3503" s="55" t="str">
        <f>IFERROR(IF($G3503="","",VLOOKUP('Dashboard And Emails Automate'!$G3503,Database!$H:$N,3,0)),"")</f>
        <v/>
      </c>
      <c r="J3503" s="55" t="str">
        <f>IFERROR(IF($G3503="","",VLOOKUP('Dashboard And Emails Automate'!$G3503,Database!$H:$N,4,0)),"")</f>
        <v/>
      </c>
      <c r="K3503" s="55" t="str">
        <f>IFERROR(IF($G3503="","",VLOOKUP('Dashboard And Emails Automate'!$G3503,Database!$H:$N,5,0)),"")</f>
        <v/>
      </c>
      <c r="L3503" s="55" t="str">
        <f>IFERROR(IF($G3503="","",VLOOKUP('Dashboard And Emails Automate'!$G3503,Database!$H:$N,6,0)),"")</f>
        <v/>
      </c>
      <c r="M3503" s="55" t="str">
        <f>IFERROR(IF($G3503="","",VLOOKUP('Dashboard And Emails Automate'!$G3503,Database!$H:$N,7,0)),"")</f>
        <v/>
      </c>
      <c r="N3503" s="55" t="str">
        <f>IFERROR(IF(OR($B3503="",$B3503="(blank)"),"",VLOOKUP($B3503,'Email Marketing Raw Data'!$C:$O,6,0)),"")</f>
        <v/>
      </c>
      <c r="O3503" s="55" t="str">
        <f>IFERROR(IF(OR($B3503="",$B3503="(blank)"),"",VLOOKUP($B3503,'Email Marketing Raw Data'!$C:$O,7,0)),"")</f>
        <v/>
      </c>
      <c r="P3503" s="55" t="str">
        <f>IFERROR(IF(OR($B3503="",$B3503="(blank)"),"",VLOOKUP($B3503,'Email Marketing Raw Data'!$C:$O,8,0)),"")</f>
        <v/>
      </c>
      <c r="Q3503" s="62" t="str">
        <f>IFERROR(IF(OR($B3503="",$B3503="(blank)"),"",VLOOKUP($B3503,'Email Marketing Raw Data'!$C:$O,9,0)),"")</f>
        <v/>
      </c>
    </row>
    <row r="3504" spans="4:17" ht="12.75" customHeight="1" x14ac:dyDescent="0.2">
      <c r="D3504" s="58" t="str">
        <f>IFERROR(IF(F3504&lt;&gt;"pending","",IF(OR($B3504="",$B3504="(blank)"),"",VLOOKUP($B3504,'Email Marketing Raw Data'!$C:$O,10,0))),"")</f>
        <v/>
      </c>
      <c r="E3504" s="59" t="str">
        <f>IFERROR(IF(F3504&lt;&gt;"pending","",IF(OR($B3504="",$B3504="(blank)"),"",VLOOKUP($B3504,'Email Marketing Raw Data'!$C:$O,11,0))),"")</f>
        <v/>
      </c>
      <c r="F3504" s="54" t="str">
        <f>IFERROR(IF(OR($B3504="",$B3504="(blank)"),"",VLOOKUP($B3504,'Email Marketing Raw Data'!$C:$O,13,0)),"")</f>
        <v/>
      </c>
      <c r="G3504" s="55" t="str">
        <f>IFERROR(IF(OR($B3504="",$B3504="(blank)"),"",VLOOKUP($B3504,'Email Marketing Raw Data'!$C:$O,4,0)),"")</f>
        <v/>
      </c>
      <c r="H3504" s="55" t="str">
        <f>IFERROR(IF(OR($B3504="",$B3504="(blank)"),"",VLOOKUP($B3504,'Email Marketing Raw Data'!$C:$O,5,0)),"")</f>
        <v/>
      </c>
      <c r="I3504" s="55" t="str">
        <f>IFERROR(IF($G3504="","",VLOOKUP('Dashboard And Emails Automate'!$G3504,Database!$H:$N,3,0)),"")</f>
        <v/>
      </c>
      <c r="J3504" s="55" t="str">
        <f>IFERROR(IF($G3504="","",VLOOKUP('Dashboard And Emails Automate'!$G3504,Database!$H:$N,4,0)),"")</f>
        <v/>
      </c>
      <c r="K3504" s="55" t="str">
        <f>IFERROR(IF($G3504="","",VLOOKUP('Dashboard And Emails Automate'!$G3504,Database!$H:$N,5,0)),"")</f>
        <v/>
      </c>
      <c r="L3504" s="55" t="str">
        <f>IFERROR(IF($G3504="","",VLOOKUP('Dashboard And Emails Automate'!$G3504,Database!$H:$N,6,0)),"")</f>
        <v/>
      </c>
      <c r="M3504" s="55" t="str">
        <f>IFERROR(IF($G3504="","",VLOOKUP('Dashboard And Emails Automate'!$G3504,Database!$H:$N,7,0)),"")</f>
        <v/>
      </c>
      <c r="N3504" s="55" t="str">
        <f>IFERROR(IF(OR($B3504="",$B3504="(blank)"),"",VLOOKUP($B3504,'Email Marketing Raw Data'!$C:$O,6,0)),"")</f>
        <v/>
      </c>
      <c r="O3504" s="55" t="str">
        <f>IFERROR(IF(OR($B3504="",$B3504="(blank)"),"",VLOOKUP($B3504,'Email Marketing Raw Data'!$C:$O,7,0)),"")</f>
        <v/>
      </c>
      <c r="P3504" s="55" t="str">
        <f>IFERROR(IF(OR($B3504="",$B3504="(blank)"),"",VLOOKUP($B3504,'Email Marketing Raw Data'!$C:$O,8,0)),"")</f>
        <v/>
      </c>
      <c r="Q3504" s="62" t="str">
        <f>IFERROR(IF(OR($B3504="",$B3504="(blank)"),"",VLOOKUP($B3504,'Email Marketing Raw Data'!$C:$O,9,0)),"")</f>
        <v/>
      </c>
    </row>
    <row r="3505" spans="4:17" ht="12.75" customHeight="1" x14ac:dyDescent="0.2">
      <c r="D3505" s="58" t="str">
        <f>IFERROR(IF(F3505&lt;&gt;"pending","",IF(OR($B3505="",$B3505="(blank)"),"",VLOOKUP($B3505,'Email Marketing Raw Data'!$C:$O,10,0))),"")</f>
        <v/>
      </c>
      <c r="E3505" s="59" t="str">
        <f>IFERROR(IF(F3505&lt;&gt;"pending","",IF(OR($B3505="",$B3505="(blank)"),"",VLOOKUP($B3505,'Email Marketing Raw Data'!$C:$O,11,0))),"")</f>
        <v/>
      </c>
      <c r="F3505" s="54" t="str">
        <f>IFERROR(IF(OR($B3505="",$B3505="(blank)"),"",VLOOKUP($B3505,'Email Marketing Raw Data'!$C:$O,13,0)),"")</f>
        <v/>
      </c>
      <c r="G3505" s="55" t="str">
        <f>IFERROR(IF(OR($B3505="",$B3505="(blank)"),"",VLOOKUP($B3505,'Email Marketing Raw Data'!$C:$O,4,0)),"")</f>
        <v/>
      </c>
      <c r="H3505" s="55" t="str">
        <f>IFERROR(IF(OR($B3505="",$B3505="(blank)"),"",VLOOKUP($B3505,'Email Marketing Raw Data'!$C:$O,5,0)),"")</f>
        <v/>
      </c>
      <c r="I3505" s="55" t="str">
        <f>IFERROR(IF($G3505="","",VLOOKUP('Dashboard And Emails Automate'!$G3505,Database!$H:$N,3,0)),"")</f>
        <v/>
      </c>
      <c r="J3505" s="55" t="str">
        <f>IFERROR(IF($G3505="","",VLOOKUP('Dashboard And Emails Automate'!$G3505,Database!$H:$N,4,0)),"")</f>
        <v/>
      </c>
      <c r="K3505" s="55" t="str">
        <f>IFERROR(IF($G3505="","",VLOOKUP('Dashboard And Emails Automate'!$G3505,Database!$H:$N,5,0)),"")</f>
        <v/>
      </c>
      <c r="L3505" s="55" t="str">
        <f>IFERROR(IF($G3505="","",VLOOKUP('Dashboard And Emails Automate'!$G3505,Database!$H:$N,6,0)),"")</f>
        <v/>
      </c>
      <c r="M3505" s="55" t="str">
        <f>IFERROR(IF($G3505="","",VLOOKUP('Dashboard And Emails Automate'!$G3505,Database!$H:$N,7,0)),"")</f>
        <v/>
      </c>
      <c r="N3505" s="55" t="str">
        <f>IFERROR(IF(OR($B3505="",$B3505="(blank)"),"",VLOOKUP($B3505,'Email Marketing Raw Data'!$C:$O,6,0)),"")</f>
        <v/>
      </c>
      <c r="O3505" s="55" t="str">
        <f>IFERROR(IF(OR($B3505="",$B3505="(blank)"),"",VLOOKUP($B3505,'Email Marketing Raw Data'!$C:$O,7,0)),"")</f>
        <v/>
      </c>
      <c r="P3505" s="55" t="str">
        <f>IFERROR(IF(OR($B3505="",$B3505="(blank)"),"",VLOOKUP($B3505,'Email Marketing Raw Data'!$C:$O,8,0)),"")</f>
        <v/>
      </c>
      <c r="Q3505" s="62" t="str">
        <f>IFERROR(IF(OR($B3505="",$B3505="(blank)"),"",VLOOKUP($B3505,'Email Marketing Raw Data'!$C:$O,9,0)),"")</f>
        <v/>
      </c>
    </row>
    <row r="3506" spans="4:17" ht="12.75" customHeight="1" x14ac:dyDescent="0.2">
      <c r="D3506" s="58" t="str">
        <f>IFERROR(IF(F3506&lt;&gt;"pending","",IF(OR($B3506="",$B3506="(blank)"),"",VLOOKUP($B3506,'Email Marketing Raw Data'!$C:$O,10,0))),"")</f>
        <v/>
      </c>
      <c r="E3506" s="59" t="str">
        <f>IFERROR(IF(F3506&lt;&gt;"pending","",IF(OR($B3506="",$B3506="(blank)"),"",VLOOKUP($B3506,'Email Marketing Raw Data'!$C:$O,11,0))),"")</f>
        <v/>
      </c>
      <c r="F3506" s="54" t="str">
        <f>IFERROR(IF(OR($B3506="",$B3506="(blank)"),"",VLOOKUP($B3506,'Email Marketing Raw Data'!$C:$O,13,0)),"")</f>
        <v/>
      </c>
      <c r="G3506" s="55" t="str">
        <f>IFERROR(IF(OR($B3506="",$B3506="(blank)"),"",VLOOKUP($B3506,'Email Marketing Raw Data'!$C:$O,4,0)),"")</f>
        <v/>
      </c>
      <c r="H3506" s="55" t="str">
        <f>IFERROR(IF(OR($B3506="",$B3506="(blank)"),"",VLOOKUP($B3506,'Email Marketing Raw Data'!$C:$O,5,0)),"")</f>
        <v/>
      </c>
      <c r="I3506" s="55" t="str">
        <f>IFERROR(IF($G3506="","",VLOOKUP('Dashboard And Emails Automate'!$G3506,Database!$H:$N,3,0)),"")</f>
        <v/>
      </c>
      <c r="J3506" s="55" t="str">
        <f>IFERROR(IF($G3506="","",VLOOKUP('Dashboard And Emails Automate'!$G3506,Database!$H:$N,4,0)),"")</f>
        <v/>
      </c>
      <c r="K3506" s="55" t="str">
        <f>IFERROR(IF($G3506="","",VLOOKUP('Dashboard And Emails Automate'!$G3506,Database!$H:$N,5,0)),"")</f>
        <v/>
      </c>
      <c r="L3506" s="55" t="str">
        <f>IFERROR(IF($G3506="","",VLOOKUP('Dashboard And Emails Automate'!$G3506,Database!$H:$N,6,0)),"")</f>
        <v/>
      </c>
      <c r="M3506" s="55" t="str">
        <f>IFERROR(IF($G3506="","",VLOOKUP('Dashboard And Emails Automate'!$G3506,Database!$H:$N,7,0)),"")</f>
        <v/>
      </c>
      <c r="N3506" s="55" t="str">
        <f>IFERROR(IF(OR($B3506="",$B3506="(blank)"),"",VLOOKUP($B3506,'Email Marketing Raw Data'!$C:$O,6,0)),"")</f>
        <v/>
      </c>
      <c r="O3506" s="55" t="str">
        <f>IFERROR(IF(OR($B3506="",$B3506="(blank)"),"",VLOOKUP($B3506,'Email Marketing Raw Data'!$C:$O,7,0)),"")</f>
        <v/>
      </c>
      <c r="P3506" s="55" t="str">
        <f>IFERROR(IF(OR($B3506="",$B3506="(blank)"),"",VLOOKUP($B3506,'Email Marketing Raw Data'!$C:$O,8,0)),"")</f>
        <v/>
      </c>
      <c r="Q3506" s="62" t="str">
        <f>IFERROR(IF(OR($B3506="",$B3506="(blank)"),"",VLOOKUP($B3506,'Email Marketing Raw Data'!$C:$O,9,0)),"")</f>
        <v/>
      </c>
    </row>
    <row r="3507" spans="4:17" ht="12.75" customHeight="1" x14ac:dyDescent="0.2">
      <c r="D3507" s="58" t="str">
        <f>IFERROR(IF(F3507&lt;&gt;"pending","",IF(OR($B3507="",$B3507="(blank)"),"",VLOOKUP($B3507,'Email Marketing Raw Data'!$C:$O,10,0))),"")</f>
        <v/>
      </c>
      <c r="E3507" s="59" t="str">
        <f>IFERROR(IF(F3507&lt;&gt;"pending","",IF(OR($B3507="",$B3507="(blank)"),"",VLOOKUP($B3507,'Email Marketing Raw Data'!$C:$O,11,0))),"")</f>
        <v/>
      </c>
      <c r="F3507" s="54" t="str">
        <f>IFERROR(IF(OR($B3507="",$B3507="(blank)"),"",VLOOKUP($B3507,'Email Marketing Raw Data'!$C:$O,13,0)),"")</f>
        <v/>
      </c>
      <c r="G3507" s="55" t="str">
        <f>IFERROR(IF(OR($B3507="",$B3507="(blank)"),"",VLOOKUP($B3507,'Email Marketing Raw Data'!$C:$O,4,0)),"")</f>
        <v/>
      </c>
      <c r="H3507" s="55" t="str">
        <f>IFERROR(IF(OR($B3507="",$B3507="(blank)"),"",VLOOKUP($B3507,'Email Marketing Raw Data'!$C:$O,5,0)),"")</f>
        <v/>
      </c>
      <c r="I3507" s="55" t="str">
        <f>IFERROR(IF($G3507="","",VLOOKUP('Dashboard And Emails Automate'!$G3507,Database!$H:$N,3,0)),"")</f>
        <v/>
      </c>
      <c r="J3507" s="55" t="str">
        <f>IFERROR(IF($G3507="","",VLOOKUP('Dashboard And Emails Automate'!$G3507,Database!$H:$N,4,0)),"")</f>
        <v/>
      </c>
      <c r="K3507" s="55" t="str">
        <f>IFERROR(IF($G3507="","",VLOOKUP('Dashboard And Emails Automate'!$G3507,Database!$H:$N,5,0)),"")</f>
        <v/>
      </c>
      <c r="L3507" s="55" t="str">
        <f>IFERROR(IF($G3507="","",VLOOKUP('Dashboard And Emails Automate'!$G3507,Database!$H:$N,6,0)),"")</f>
        <v/>
      </c>
      <c r="M3507" s="55" t="str">
        <f>IFERROR(IF($G3507="","",VLOOKUP('Dashboard And Emails Automate'!$G3507,Database!$H:$N,7,0)),"")</f>
        <v/>
      </c>
      <c r="N3507" s="55" t="str">
        <f>IFERROR(IF(OR($B3507="",$B3507="(blank)"),"",VLOOKUP($B3507,'Email Marketing Raw Data'!$C:$O,6,0)),"")</f>
        <v/>
      </c>
      <c r="O3507" s="55" t="str">
        <f>IFERROR(IF(OR($B3507="",$B3507="(blank)"),"",VLOOKUP($B3507,'Email Marketing Raw Data'!$C:$O,7,0)),"")</f>
        <v/>
      </c>
      <c r="P3507" s="55" t="str">
        <f>IFERROR(IF(OR($B3507="",$B3507="(blank)"),"",VLOOKUP($B3507,'Email Marketing Raw Data'!$C:$O,8,0)),"")</f>
        <v/>
      </c>
      <c r="Q3507" s="62" t="str">
        <f>IFERROR(IF(OR($B3507="",$B3507="(blank)"),"",VLOOKUP($B3507,'Email Marketing Raw Data'!$C:$O,9,0)),"")</f>
        <v/>
      </c>
    </row>
    <row r="3508" spans="4:17" ht="12.75" customHeight="1" x14ac:dyDescent="0.2">
      <c r="D3508" s="58" t="str">
        <f>IFERROR(IF(F3508&lt;&gt;"pending","",IF(OR($B3508="",$B3508="(blank)"),"",VLOOKUP($B3508,'Email Marketing Raw Data'!$C:$O,10,0))),"")</f>
        <v/>
      </c>
      <c r="E3508" s="59" t="str">
        <f>IFERROR(IF(F3508&lt;&gt;"pending","",IF(OR($B3508="",$B3508="(blank)"),"",VLOOKUP($B3508,'Email Marketing Raw Data'!$C:$O,11,0))),"")</f>
        <v/>
      </c>
      <c r="F3508" s="54" t="str">
        <f>IFERROR(IF(OR($B3508="",$B3508="(blank)"),"",VLOOKUP($B3508,'Email Marketing Raw Data'!$C:$O,13,0)),"")</f>
        <v/>
      </c>
      <c r="G3508" s="55" t="str">
        <f>IFERROR(IF(OR($B3508="",$B3508="(blank)"),"",VLOOKUP($B3508,'Email Marketing Raw Data'!$C:$O,4,0)),"")</f>
        <v/>
      </c>
      <c r="H3508" s="55" t="str">
        <f>IFERROR(IF(OR($B3508="",$B3508="(blank)"),"",VLOOKUP($B3508,'Email Marketing Raw Data'!$C:$O,5,0)),"")</f>
        <v/>
      </c>
      <c r="I3508" s="55" t="str">
        <f>IFERROR(IF($G3508="","",VLOOKUP('Dashboard And Emails Automate'!$G3508,Database!$H:$N,3,0)),"")</f>
        <v/>
      </c>
      <c r="J3508" s="55" t="str">
        <f>IFERROR(IF($G3508="","",VLOOKUP('Dashboard And Emails Automate'!$G3508,Database!$H:$N,4,0)),"")</f>
        <v/>
      </c>
      <c r="K3508" s="55" t="str">
        <f>IFERROR(IF($G3508="","",VLOOKUP('Dashboard And Emails Automate'!$G3508,Database!$H:$N,5,0)),"")</f>
        <v/>
      </c>
      <c r="L3508" s="55" t="str">
        <f>IFERROR(IF($G3508="","",VLOOKUP('Dashboard And Emails Automate'!$G3508,Database!$H:$N,6,0)),"")</f>
        <v/>
      </c>
      <c r="M3508" s="55" t="str">
        <f>IFERROR(IF($G3508="","",VLOOKUP('Dashboard And Emails Automate'!$G3508,Database!$H:$N,7,0)),"")</f>
        <v/>
      </c>
      <c r="N3508" s="55" t="str">
        <f>IFERROR(IF(OR($B3508="",$B3508="(blank)"),"",VLOOKUP($B3508,'Email Marketing Raw Data'!$C:$O,6,0)),"")</f>
        <v/>
      </c>
      <c r="O3508" s="55" t="str">
        <f>IFERROR(IF(OR($B3508="",$B3508="(blank)"),"",VLOOKUP($B3508,'Email Marketing Raw Data'!$C:$O,7,0)),"")</f>
        <v/>
      </c>
      <c r="P3508" s="55" t="str">
        <f>IFERROR(IF(OR($B3508="",$B3508="(blank)"),"",VLOOKUP($B3508,'Email Marketing Raw Data'!$C:$O,8,0)),"")</f>
        <v/>
      </c>
      <c r="Q3508" s="62" t="str">
        <f>IFERROR(IF(OR($B3508="",$B3508="(blank)"),"",VLOOKUP($B3508,'Email Marketing Raw Data'!$C:$O,9,0)),"")</f>
        <v/>
      </c>
    </row>
    <row r="3509" spans="4:17" ht="12.75" customHeight="1" x14ac:dyDescent="0.2">
      <c r="D3509" s="58" t="str">
        <f>IFERROR(IF(F3509&lt;&gt;"pending","",IF(OR($B3509="",$B3509="(blank)"),"",VLOOKUP($B3509,'Email Marketing Raw Data'!$C:$O,10,0))),"")</f>
        <v/>
      </c>
      <c r="E3509" s="59" t="str">
        <f>IFERROR(IF(F3509&lt;&gt;"pending","",IF(OR($B3509="",$B3509="(blank)"),"",VLOOKUP($B3509,'Email Marketing Raw Data'!$C:$O,11,0))),"")</f>
        <v/>
      </c>
      <c r="F3509" s="54" t="str">
        <f>IFERROR(IF(OR($B3509="",$B3509="(blank)"),"",VLOOKUP($B3509,'Email Marketing Raw Data'!$C:$O,13,0)),"")</f>
        <v/>
      </c>
      <c r="G3509" s="55" t="str">
        <f>IFERROR(IF(OR($B3509="",$B3509="(blank)"),"",VLOOKUP($B3509,'Email Marketing Raw Data'!$C:$O,4,0)),"")</f>
        <v/>
      </c>
      <c r="H3509" s="55" t="str">
        <f>IFERROR(IF(OR($B3509="",$B3509="(blank)"),"",VLOOKUP($B3509,'Email Marketing Raw Data'!$C:$O,5,0)),"")</f>
        <v/>
      </c>
      <c r="I3509" s="55" t="str">
        <f>IFERROR(IF($G3509="","",VLOOKUP('Dashboard And Emails Automate'!$G3509,Database!$H:$N,3,0)),"")</f>
        <v/>
      </c>
      <c r="J3509" s="55" t="str">
        <f>IFERROR(IF($G3509="","",VLOOKUP('Dashboard And Emails Automate'!$G3509,Database!$H:$N,4,0)),"")</f>
        <v/>
      </c>
      <c r="K3509" s="55" t="str">
        <f>IFERROR(IF($G3509="","",VLOOKUP('Dashboard And Emails Automate'!$G3509,Database!$H:$N,5,0)),"")</f>
        <v/>
      </c>
      <c r="L3509" s="55" t="str">
        <f>IFERROR(IF($G3509="","",VLOOKUP('Dashboard And Emails Automate'!$G3509,Database!$H:$N,6,0)),"")</f>
        <v/>
      </c>
      <c r="M3509" s="55" t="str">
        <f>IFERROR(IF($G3509="","",VLOOKUP('Dashboard And Emails Automate'!$G3509,Database!$H:$N,7,0)),"")</f>
        <v/>
      </c>
      <c r="N3509" s="55" t="str">
        <f>IFERROR(IF(OR($B3509="",$B3509="(blank)"),"",VLOOKUP($B3509,'Email Marketing Raw Data'!$C:$O,6,0)),"")</f>
        <v/>
      </c>
      <c r="O3509" s="55" t="str">
        <f>IFERROR(IF(OR($B3509="",$B3509="(blank)"),"",VLOOKUP($B3509,'Email Marketing Raw Data'!$C:$O,7,0)),"")</f>
        <v/>
      </c>
      <c r="P3509" s="55" t="str">
        <f>IFERROR(IF(OR($B3509="",$B3509="(blank)"),"",VLOOKUP($B3509,'Email Marketing Raw Data'!$C:$O,8,0)),"")</f>
        <v/>
      </c>
      <c r="Q3509" s="62" t="str">
        <f>IFERROR(IF(OR($B3509="",$B3509="(blank)"),"",VLOOKUP($B3509,'Email Marketing Raw Data'!$C:$O,9,0)),"")</f>
        <v/>
      </c>
    </row>
    <row r="3510" spans="4:17" ht="12.75" customHeight="1" x14ac:dyDescent="0.2">
      <c r="D3510" s="58" t="str">
        <f>IFERROR(IF(F3510&lt;&gt;"pending","",IF(OR($B3510="",$B3510="(blank)"),"",VLOOKUP($B3510,'Email Marketing Raw Data'!$C:$O,10,0))),"")</f>
        <v/>
      </c>
      <c r="E3510" s="59" t="str">
        <f>IFERROR(IF(F3510&lt;&gt;"pending","",IF(OR($B3510="",$B3510="(blank)"),"",VLOOKUP($B3510,'Email Marketing Raw Data'!$C:$O,11,0))),"")</f>
        <v/>
      </c>
      <c r="F3510" s="54" t="str">
        <f>IFERROR(IF(OR($B3510="",$B3510="(blank)"),"",VLOOKUP($B3510,'Email Marketing Raw Data'!$C:$O,13,0)),"")</f>
        <v/>
      </c>
      <c r="G3510" s="55" t="str">
        <f>IFERROR(IF(OR($B3510="",$B3510="(blank)"),"",VLOOKUP($B3510,'Email Marketing Raw Data'!$C:$O,4,0)),"")</f>
        <v/>
      </c>
      <c r="H3510" s="55" t="str">
        <f>IFERROR(IF(OR($B3510="",$B3510="(blank)"),"",VLOOKUP($B3510,'Email Marketing Raw Data'!$C:$O,5,0)),"")</f>
        <v/>
      </c>
      <c r="I3510" s="55" t="str">
        <f>IFERROR(IF($G3510="","",VLOOKUP('Dashboard And Emails Automate'!$G3510,Database!$H:$N,3,0)),"")</f>
        <v/>
      </c>
      <c r="J3510" s="55" t="str">
        <f>IFERROR(IF($G3510="","",VLOOKUP('Dashboard And Emails Automate'!$G3510,Database!$H:$N,4,0)),"")</f>
        <v/>
      </c>
      <c r="K3510" s="55" t="str">
        <f>IFERROR(IF($G3510="","",VLOOKUP('Dashboard And Emails Automate'!$G3510,Database!$H:$N,5,0)),"")</f>
        <v/>
      </c>
      <c r="L3510" s="55" t="str">
        <f>IFERROR(IF($G3510="","",VLOOKUP('Dashboard And Emails Automate'!$G3510,Database!$H:$N,6,0)),"")</f>
        <v/>
      </c>
      <c r="M3510" s="55" t="str">
        <f>IFERROR(IF($G3510="","",VLOOKUP('Dashboard And Emails Automate'!$G3510,Database!$H:$N,7,0)),"")</f>
        <v/>
      </c>
      <c r="N3510" s="55" t="str">
        <f>IFERROR(IF(OR($B3510="",$B3510="(blank)"),"",VLOOKUP($B3510,'Email Marketing Raw Data'!$C:$O,6,0)),"")</f>
        <v/>
      </c>
      <c r="O3510" s="55" t="str">
        <f>IFERROR(IF(OR($B3510="",$B3510="(blank)"),"",VLOOKUP($B3510,'Email Marketing Raw Data'!$C:$O,7,0)),"")</f>
        <v/>
      </c>
      <c r="P3510" s="55" t="str">
        <f>IFERROR(IF(OR($B3510="",$B3510="(blank)"),"",VLOOKUP($B3510,'Email Marketing Raw Data'!$C:$O,8,0)),"")</f>
        <v/>
      </c>
      <c r="Q3510" s="62" t="str">
        <f>IFERROR(IF(OR($B3510="",$B3510="(blank)"),"",VLOOKUP($B3510,'Email Marketing Raw Data'!$C:$O,9,0)),"")</f>
        <v/>
      </c>
    </row>
    <row r="3511" spans="4:17" ht="12.75" customHeight="1" x14ac:dyDescent="0.2">
      <c r="D3511" s="58" t="str">
        <f>IFERROR(IF(F3511&lt;&gt;"pending","",IF(OR($B3511="",$B3511="(blank)"),"",VLOOKUP($B3511,'Email Marketing Raw Data'!$C:$O,10,0))),"")</f>
        <v/>
      </c>
      <c r="E3511" s="59" t="str">
        <f>IFERROR(IF(F3511&lt;&gt;"pending","",IF(OR($B3511="",$B3511="(blank)"),"",VLOOKUP($B3511,'Email Marketing Raw Data'!$C:$O,11,0))),"")</f>
        <v/>
      </c>
      <c r="F3511" s="54" t="str">
        <f>IFERROR(IF(OR($B3511="",$B3511="(blank)"),"",VLOOKUP($B3511,'Email Marketing Raw Data'!$C:$O,13,0)),"")</f>
        <v/>
      </c>
      <c r="G3511" s="55" t="str">
        <f>IFERROR(IF(OR($B3511="",$B3511="(blank)"),"",VLOOKUP($B3511,'Email Marketing Raw Data'!$C:$O,4,0)),"")</f>
        <v/>
      </c>
      <c r="H3511" s="55" t="str">
        <f>IFERROR(IF(OR($B3511="",$B3511="(blank)"),"",VLOOKUP($B3511,'Email Marketing Raw Data'!$C:$O,5,0)),"")</f>
        <v/>
      </c>
      <c r="I3511" s="55" t="str">
        <f>IFERROR(IF($G3511="","",VLOOKUP('Dashboard And Emails Automate'!$G3511,Database!$H:$N,3,0)),"")</f>
        <v/>
      </c>
      <c r="J3511" s="55" t="str">
        <f>IFERROR(IF($G3511="","",VLOOKUP('Dashboard And Emails Automate'!$G3511,Database!$H:$N,4,0)),"")</f>
        <v/>
      </c>
      <c r="K3511" s="55" t="str">
        <f>IFERROR(IF($G3511="","",VLOOKUP('Dashboard And Emails Automate'!$G3511,Database!$H:$N,5,0)),"")</f>
        <v/>
      </c>
      <c r="L3511" s="55" t="str">
        <f>IFERROR(IF($G3511="","",VLOOKUP('Dashboard And Emails Automate'!$G3511,Database!$H:$N,6,0)),"")</f>
        <v/>
      </c>
      <c r="M3511" s="55" t="str">
        <f>IFERROR(IF($G3511="","",VLOOKUP('Dashboard And Emails Automate'!$G3511,Database!$H:$N,7,0)),"")</f>
        <v/>
      </c>
      <c r="N3511" s="55" t="str">
        <f>IFERROR(IF(OR($B3511="",$B3511="(blank)"),"",VLOOKUP($B3511,'Email Marketing Raw Data'!$C:$O,6,0)),"")</f>
        <v/>
      </c>
      <c r="O3511" s="55" t="str">
        <f>IFERROR(IF(OR($B3511="",$B3511="(blank)"),"",VLOOKUP($B3511,'Email Marketing Raw Data'!$C:$O,7,0)),"")</f>
        <v/>
      </c>
      <c r="P3511" s="55" t="str">
        <f>IFERROR(IF(OR($B3511="",$B3511="(blank)"),"",VLOOKUP($B3511,'Email Marketing Raw Data'!$C:$O,8,0)),"")</f>
        <v/>
      </c>
      <c r="Q3511" s="62" t="str">
        <f>IFERROR(IF(OR($B3511="",$B3511="(blank)"),"",VLOOKUP($B3511,'Email Marketing Raw Data'!$C:$O,9,0)),"")</f>
        <v/>
      </c>
    </row>
    <row r="3512" spans="4:17" ht="12.75" customHeight="1" x14ac:dyDescent="0.2">
      <c r="D3512" s="58" t="str">
        <f>IFERROR(IF(F3512&lt;&gt;"pending","",IF(OR($B3512="",$B3512="(blank)"),"",VLOOKUP($B3512,'Email Marketing Raw Data'!$C:$O,10,0))),"")</f>
        <v/>
      </c>
      <c r="E3512" s="59" t="str">
        <f>IFERROR(IF(F3512&lt;&gt;"pending","",IF(OR($B3512="",$B3512="(blank)"),"",VLOOKUP($B3512,'Email Marketing Raw Data'!$C:$O,11,0))),"")</f>
        <v/>
      </c>
      <c r="F3512" s="54" t="str">
        <f>IFERROR(IF(OR($B3512="",$B3512="(blank)"),"",VLOOKUP($B3512,'Email Marketing Raw Data'!$C:$O,13,0)),"")</f>
        <v/>
      </c>
      <c r="G3512" s="55" t="str">
        <f>IFERROR(IF(OR($B3512="",$B3512="(blank)"),"",VLOOKUP($B3512,'Email Marketing Raw Data'!$C:$O,4,0)),"")</f>
        <v/>
      </c>
      <c r="H3512" s="55" t="str">
        <f>IFERROR(IF(OR($B3512="",$B3512="(blank)"),"",VLOOKUP($B3512,'Email Marketing Raw Data'!$C:$O,5,0)),"")</f>
        <v/>
      </c>
      <c r="I3512" s="55" t="str">
        <f>IFERROR(IF($G3512="","",VLOOKUP('Dashboard And Emails Automate'!$G3512,Database!$H:$N,3,0)),"")</f>
        <v/>
      </c>
      <c r="J3512" s="55" t="str">
        <f>IFERROR(IF($G3512="","",VLOOKUP('Dashboard And Emails Automate'!$G3512,Database!$H:$N,4,0)),"")</f>
        <v/>
      </c>
      <c r="K3512" s="55" t="str">
        <f>IFERROR(IF($G3512="","",VLOOKUP('Dashboard And Emails Automate'!$G3512,Database!$H:$N,5,0)),"")</f>
        <v/>
      </c>
      <c r="L3512" s="55" t="str">
        <f>IFERROR(IF($G3512="","",VLOOKUP('Dashboard And Emails Automate'!$G3512,Database!$H:$N,6,0)),"")</f>
        <v/>
      </c>
      <c r="M3512" s="55" t="str">
        <f>IFERROR(IF($G3512="","",VLOOKUP('Dashboard And Emails Automate'!$G3512,Database!$H:$N,7,0)),"")</f>
        <v/>
      </c>
      <c r="N3512" s="55" t="str">
        <f>IFERROR(IF(OR($B3512="",$B3512="(blank)"),"",VLOOKUP($B3512,'Email Marketing Raw Data'!$C:$O,6,0)),"")</f>
        <v/>
      </c>
      <c r="O3512" s="55" t="str">
        <f>IFERROR(IF(OR($B3512="",$B3512="(blank)"),"",VLOOKUP($B3512,'Email Marketing Raw Data'!$C:$O,7,0)),"")</f>
        <v/>
      </c>
      <c r="P3512" s="55" t="str">
        <f>IFERROR(IF(OR($B3512="",$B3512="(blank)"),"",VLOOKUP($B3512,'Email Marketing Raw Data'!$C:$O,8,0)),"")</f>
        <v/>
      </c>
      <c r="Q3512" s="62" t="str">
        <f>IFERROR(IF(OR($B3512="",$B3512="(blank)"),"",VLOOKUP($B3512,'Email Marketing Raw Data'!$C:$O,9,0)),"")</f>
        <v/>
      </c>
    </row>
    <row r="3513" spans="4:17" ht="12.75" customHeight="1" x14ac:dyDescent="0.2">
      <c r="D3513" s="58" t="str">
        <f>IFERROR(IF(F3513&lt;&gt;"pending","",IF(OR($B3513="",$B3513="(blank)"),"",VLOOKUP($B3513,'Email Marketing Raw Data'!$C:$O,10,0))),"")</f>
        <v/>
      </c>
      <c r="E3513" s="59" t="str">
        <f>IFERROR(IF(F3513&lt;&gt;"pending","",IF(OR($B3513="",$B3513="(blank)"),"",VLOOKUP($B3513,'Email Marketing Raw Data'!$C:$O,11,0))),"")</f>
        <v/>
      </c>
      <c r="F3513" s="54" t="str">
        <f>IFERROR(IF(OR($B3513="",$B3513="(blank)"),"",VLOOKUP($B3513,'Email Marketing Raw Data'!$C:$O,13,0)),"")</f>
        <v/>
      </c>
      <c r="G3513" s="55" t="str">
        <f>IFERROR(IF(OR($B3513="",$B3513="(blank)"),"",VLOOKUP($B3513,'Email Marketing Raw Data'!$C:$O,4,0)),"")</f>
        <v/>
      </c>
      <c r="H3513" s="55" t="str">
        <f>IFERROR(IF(OR($B3513="",$B3513="(blank)"),"",VLOOKUP($B3513,'Email Marketing Raw Data'!$C:$O,5,0)),"")</f>
        <v/>
      </c>
      <c r="I3513" s="55" t="str">
        <f>IFERROR(IF($G3513="","",VLOOKUP('Dashboard And Emails Automate'!$G3513,Database!$H:$N,3,0)),"")</f>
        <v/>
      </c>
      <c r="J3513" s="55" t="str">
        <f>IFERROR(IF($G3513="","",VLOOKUP('Dashboard And Emails Automate'!$G3513,Database!$H:$N,4,0)),"")</f>
        <v/>
      </c>
      <c r="K3513" s="55" t="str">
        <f>IFERROR(IF($G3513="","",VLOOKUP('Dashboard And Emails Automate'!$G3513,Database!$H:$N,5,0)),"")</f>
        <v/>
      </c>
      <c r="L3513" s="55" t="str">
        <f>IFERROR(IF($G3513="","",VLOOKUP('Dashboard And Emails Automate'!$G3513,Database!$H:$N,6,0)),"")</f>
        <v/>
      </c>
      <c r="M3513" s="55" t="str">
        <f>IFERROR(IF($G3513="","",VLOOKUP('Dashboard And Emails Automate'!$G3513,Database!$H:$N,7,0)),"")</f>
        <v/>
      </c>
      <c r="N3513" s="55" t="str">
        <f>IFERROR(IF(OR($B3513="",$B3513="(blank)"),"",VLOOKUP($B3513,'Email Marketing Raw Data'!$C:$O,6,0)),"")</f>
        <v/>
      </c>
      <c r="O3513" s="55" t="str">
        <f>IFERROR(IF(OR($B3513="",$B3513="(blank)"),"",VLOOKUP($B3513,'Email Marketing Raw Data'!$C:$O,7,0)),"")</f>
        <v/>
      </c>
      <c r="P3513" s="55" t="str">
        <f>IFERROR(IF(OR($B3513="",$B3513="(blank)"),"",VLOOKUP($B3513,'Email Marketing Raw Data'!$C:$O,8,0)),"")</f>
        <v/>
      </c>
      <c r="Q3513" s="62" t="str">
        <f>IFERROR(IF(OR($B3513="",$B3513="(blank)"),"",VLOOKUP($B3513,'Email Marketing Raw Data'!$C:$O,9,0)),"")</f>
        <v/>
      </c>
    </row>
    <row r="3514" spans="4:17" ht="12.75" customHeight="1" x14ac:dyDescent="0.2">
      <c r="D3514" s="58" t="str">
        <f>IFERROR(IF(F3514&lt;&gt;"pending","",IF(OR($B3514="",$B3514="(blank)"),"",VLOOKUP($B3514,'Email Marketing Raw Data'!$C:$O,10,0))),"")</f>
        <v/>
      </c>
      <c r="E3514" s="59" t="str">
        <f>IFERROR(IF(F3514&lt;&gt;"pending","",IF(OR($B3514="",$B3514="(blank)"),"",VLOOKUP($B3514,'Email Marketing Raw Data'!$C:$O,11,0))),"")</f>
        <v/>
      </c>
      <c r="F3514" s="54" t="str">
        <f>IFERROR(IF(OR($B3514="",$B3514="(blank)"),"",VLOOKUP($B3514,'Email Marketing Raw Data'!$C:$O,13,0)),"")</f>
        <v/>
      </c>
      <c r="G3514" s="55" t="str">
        <f>IFERROR(IF(OR($B3514="",$B3514="(blank)"),"",VLOOKUP($B3514,'Email Marketing Raw Data'!$C:$O,4,0)),"")</f>
        <v/>
      </c>
      <c r="H3514" s="55" t="str">
        <f>IFERROR(IF(OR($B3514="",$B3514="(blank)"),"",VLOOKUP($B3514,'Email Marketing Raw Data'!$C:$O,5,0)),"")</f>
        <v/>
      </c>
      <c r="I3514" s="55" t="str">
        <f>IFERROR(IF($G3514="","",VLOOKUP('Dashboard And Emails Automate'!$G3514,Database!$H:$N,3,0)),"")</f>
        <v/>
      </c>
      <c r="J3514" s="55" t="str">
        <f>IFERROR(IF($G3514="","",VLOOKUP('Dashboard And Emails Automate'!$G3514,Database!$H:$N,4,0)),"")</f>
        <v/>
      </c>
      <c r="K3514" s="55" t="str">
        <f>IFERROR(IF($G3514="","",VLOOKUP('Dashboard And Emails Automate'!$G3514,Database!$H:$N,5,0)),"")</f>
        <v/>
      </c>
      <c r="L3514" s="55" t="str">
        <f>IFERROR(IF($G3514="","",VLOOKUP('Dashboard And Emails Automate'!$G3514,Database!$H:$N,6,0)),"")</f>
        <v/>
      </c>
      <c r="M3514" s="55" t="str">
        <f>IFERROR(IF($G3514="","",VLOOKUP('Dashboard And Emails Automate'!$G3514,Database!$H:$N,7,0)),"")</f>
        <v/>
      </c>
      <c r="N3514" s="55" t="str">
        <f>IFERROR(IF(OR($B3514="",$B3514="(blank)"),"",VLOOKUP($B3514,'Email Marketing Raw Data'!$C:$O,6,0)),"")</f>
        <v/>
      </c>
      <c r="O3514" s="55" t="str">
        <f>IFERROR(IF(OR($B3514="",$B3514="(blank)"),"",VLOOKUP($B3514,'Email Marketing Raw Data'!$C:$O,7,0)),"")</f>
        <v/>
      </c>
      <c r="P3514" s="55" t="str">
        <f>IFERROR(IF(OR($B3514="",$B3514="(blank)"),"",VLOOKUP($B3514,'Email Marketing Raw Data'!$C:$O,8,0)),"")</f>
        <v/>
      </c>
      <c r="Q3514" s="62" t="str">
        <f>IFERROR(IF(OR($B3514="",$B3514="(blank)"),"",VLOOKUP($B3514,'Email Marketing Raw Data'!$C:$O,9,0)),"")</f>
        <v/>
      </c>
    </row>
    <row r="3515" spans="4:17" ht="12.75" customHeight="1" x14ac:dyDescent="0.2">
      <c r="D3515" s="58" t="str">
        <f>IFERROR(IF(F3515&lt;&gt;"pending","",IF(OR($B3515="",$B3515="(blank)"),"",VLOOKUP($B3515,'Email Marketing Raw Data'!$C:$O,10,0))),"")</f>
        <v/>
      </c>
      <c r="E3515" s="59" t="str">
        <f>IFERROR(IF(F3515&lt;&gt;"pending","",IF(OR($B3515="",$B3515="(blank)"),"",VLOOKUP($B3515,'Email Marketing Raw Data'!$C:$O,11,0))),"")</f>
        <v/>
      </c>
      <c r="F3515" s="54" t="str">
        <f>IFERROR(IF(OR($B3515="",$B3515="(blank)"),"",VLOOKUP($B3515,'Email Marketing Raw Data'!$C:$O,13,0)),"")</f>
        <v/>
      </c>
      <c r="G3515" s="55" t="str">
        <f>IFERROR(IF(OR($B3515="",$B3515="(blank)"),"",VLOOKUP($B3515,'Email Marketing Raw Data'!$C:$O,4,0)),"")</f>
        <v/>
      </c>
      <c r="H3515" s="55" t="str">
        <f>IFERROR(IF(OR($B3515="",$B3515="(blank)"),"",VLOOKUP($B3515,'Email Marketing Raw Data'!$C:$O,5,0)),"")</f>
        <v/>
      </c>
      <c r="I3515" s="55" t="str">
        <f>IFERROR(IF($G3515="","",VLOOKUP('Dashboard And Emails Automate'!$G3515,Database!$H:$N,3,0)),"")</f>
        <v/>
      </c>
      <c r="J3515" s="55" t="str">
        <f>IFERROR(IF($G3515="","",VLOOKUP('Dashboard And Emails Automate'!$G3515,Database!$H:$N,4,0)),"")</f>
        <v/>
      </c>
      <c r="K3515" s="55" t="str">
        <f>IFERROR(IF($G3515="","",VLOOKUP('Dashboard And Emails Automate'!$G3515,Database!$H:$N,5,0)),"")</f>
        <v/>
      </c>
      <c r="L3515" s="55" t="str">
        <f>IFERROR(IF($G3515="","",VLOOKUP('Dashboard And Emails Automate'!$G3515,Database!$H:$N,6,0)),"")</f>
        <v/>
      </c>
      <c r="M3515" s="55" t="str">
        <f>IFERROR(IF($G3515="","",VLOOKUP('Dashboard And Emails Automate'!$G3515,Database!$H:$N,7,0)),"")</f>
        <v/>
      </c>
      <c r="N3515" s="55" t="str">
        <f>IFERROR(IF(OR($B3515="",$B3515="(blank)"),"",VLOOKUP($B3515,'Email Marketing Raw Data'!$C:$O,6,0)),"")</f>
        <v/>
      </c>
      <c r="O3515" s="55" t="str">
        <f>IFERROR(IF(OR($B3515="",$B3515="(blank)"),"",VLOOKUP($B3515,'Email Marketing Raw Data'!$C:$O,7,0)),"")</f>
        <v/>
      </c>
      <c r="P3515" s="55" t="str">
        <f>IFERROR(IF(OR($B3515="",$B3515="(blank)"),"",VLOOKUP($B3515,'Email Marketing Raw Data'!$C:$O,8,0)),"")</f>
        <v/>
      </c>
      <c r="Q3515" s="62" t="str">
        <f>IFERROR(IF(OR($B3515="",$B3515="(blank)"),"",VLOOKUP($B3515,'Email Marketing Raw Data'!$C:$O,9,0)),"")</f>
        <v/>
      </c>
    </row>
    <row r="3516" spans="4:17" ht="12.75" customHeight="1" x14ac:dyDescent="0.2">
      <c r="D3516" s="58" t="str">
        <f>IFERROR(IF(F3516&lt;&gt;"pending","",IF(OR($B3516="",$B3516="(blank)"),"",VLOOKUP($B3516,'Email Marketing Raw Data'!$C:$O,10,0))),"")</f>
        <v/>
      </c>
      <c r="E3516" s="59" t="str">
        <f>IFERROR(IF(F3516&lt;&gt;"pending","",IF(OR($B3516="",$B3516="(blank)"),"",VLOOKUP($B3516,'Email Marketing Raw Data'!$C:$O,11,0))),"")</f>
        <v/>
      </c>
      <c r="F3516" s="54" t="str">
        <f>IFERROR(IF(OR($B3516="",$B3516="(blank)"),"",VLOOKUP($B3516,'Email Marketing Raw Data'!$C:$O,13,0)),"")</f>
        <v/>
      </c>
      <c r="G3516" s="55" t="str">
        <f>IFERROR(IF(OR($B3516="",$B3516="(blank)"),"",VLOOKUP($B3516,'Email Marketing Raw Data'!$C:$O,4,0)),"")</f>
        <v/>
      </c>
      <c r="H3516" s="55" t="str">
        <f>IFERROR(IF(OR($B3516="",$B3516="(blank)"),"",VLOOKUP($B3516,'Email Marketing Raw Data'!$C:$O,5,0)),"")</f>
        <v/>
      </c>
      <c r="I3516" s="55" t="str">
        <f>IFERROR(IF($G3516="","",VLOOKUP('Dashboard And Emails Automate'!$G3516,Database!$H:$N,3,0)),"")</f>
        <v/>
      </c>
      <c r="J3516" s="55" t="str">
        <f>IFERROR(IF($G3516="","",VLOOKUP('Dashboard And Emails Automate'!$G3516,Database!$H:$N,4,0)),"")</f>
        <v/>
      </c>
      <c r="K3516" s="55" t="str">
        <f>IFERROR(IF($G3516="","",VLOOKUP('Dashboard And Emails Automate'!$G3516,Database!$H:$N,5,0)),"")</f>
        <v/>
      </c>
      <c r="L3516" s="55" t="str">
        <f>IFERROR(IF($G3516="","",VLOOKUP('Dashboard And Emails Automate'!$G3516,Database!$H:$N,6,0)),"")</f>
        <v/>
      </c>
      <c r="M3516" s="55" t="str">
        <f>IFERROR(IF($G3516="","",VLOOKUP('Dashboard And Emails Automate'!$G3516,Database!$H:$N,7,0)),"")</f>
        <v/>
      </c>
      <c r="N3516" s="55" t="str">
        <f>IFERROR(IF(OR($B3516="",$B3516="(blank)"),"",VLOOKUP($B3516,'Email Marketing Raw Data'!$C:$O,6,0)),"")</f>
        <v/>
      </c>
      <c r="O3516" s="55" t="str">
        <f>IFERROR(IF(OR($B3516="",$B3516="(blank)"),"",VLOOKUP($B3516,'Email Marketing Raw Data'!$C:$O,7,0)),"")</f>
        <v/>
      </c>
      <c r="P3516" s="55" t="str">
        <f>IFERROR(IF(OR($B3516="",$B3516="(blank)"),"",VLOOKUP($B3516,'Email Marketing Raw Data'!$C:$O,8,0)),"")</f>
        <v/>
      </c>
      <c r="Q3516" s="62" t="str">
        <f>IFERROR(IF(OR($B3516="",$B3516="(blank)"),"",VLOOKUP($B3516,'Email Marketing Raw Data'!$C:$O,9,0)),"")</f>
        <v/>
      </c>
    </row>
    <row r="3517" spans="4:17" ht="12.75" customHeight="1" x14ac:dyDescent="0.2">
      <c r="D3517" s="58" t="str">
        <f>IFERROR(IF(F3517&lt;&gt;"pending","",IF(OR($B3517="",$B3517="(blank)"),"",VLOOKUP($B3517,'Email Marketing Raw Data'!$C:$O,10,0))),"")</f>
        <v/>
      </c>
      <c r="E3517" s="59" t="str">
        <f>IFERROR(IF(F3517&lt;&gt;"pending","",IF(OR($B3517="",$B3517="(blank)"),"",VLOOKUP($B3517,'Email Marketing Raw Data'!$C:$O,11,0))),"")</f>
        <v/>
      </c>
      <c r="F3517" s="54" t="str">
        <f>IFERROR(IF(OR($B3517="",$B3517="(blank)"),"",VLOOKUP($B3517,'Email Marketing Raw Data'!$C:$O,13,0)),"")</f>
        <v/>
      </c>
      <c r="G3517" s="55" t="str">
        <f>IFERROR(IF(OR($B3517="",$B3517="(blank)"),"",VLOOKUP($B3517,'Email Marketing Raw Data'!$C:$O,4,0)),"")</f>
        <v/>
      </c>
      <c r="H3517" s="55" t="str">
        <f>IFERROR(IF(OR($B3517="",$B3517="(blank)"),"",VLOOKUP($B3517,'Email Marketing Raw Data'!$C:$O,5,0)),"")</f>
        <v/>
      </c>
      <c r="I3517" s="55" t="str">
        <f>IFERROR(IF($G3517="","",VLOOKUP('Dashboard And Emails Automate'!$G3517,Database!$H:$N,3,0)),"")</f>
        <v/>
      </c>
      <c r="J3517" s="55" t="str">
        <f>IFERROR(IF($G3517="","",VLOOKUP('Dashboard And Emails Automate'!$G3517,Database!$H:$N,4,0)),"")</f>
        <v/>
      </c>
      <c r="K3517" s="55" t="str">
        <f>IFERROR(IF($G3517="","",VLOOKUP('Dashboard And Emails Automate'!$G3517,Database!$H:$N,5,0)),"")</f>
        <v/>
      </c>
      <c r="L3517" s="55" t="str">
        <f>IFERROR(IF($G3517="","",VLOOKUP('Dashboard And Emails Automate'!$G3517,Database!$H:$N,6,0)),"")</f>
        <v/>
      </c>
      <c r="M3517" s="55" t="str">
        <f>IFERROR(IF($G3517="","",VLOOKUP('Dashboard And Emails Automate'!$G3517,Database!$H:$N,7,0)),"")</f>
        <v/>
      </c>
      <c r="N3517" s="55" t="str">
        <f>IFERROR(IF(OR($B3517="",$B3517="(blank)"),"",VLOOKUP($B3517,'Email Marketing Raw Data'!$C:$O,6,0)),"")</f>
        <v/>
      </c>
      <c r="O3517" s="55" t="str">
        <f>IFERROR(IF(OR($B3517="",$B3517="(blank)"),"",VLOOKUP($B3517,'Email Marketing Raw Data'!$C:$O,7,0)),"")</f>
        <v/>
      </c>
      <c r="P3517" s="55" t="str">
        <f>IFERROR(IF(OR($B3517="",$B3517="(blank)"),"",VLOOKUP($B3517,'Email Marketing Raw Data'!$C:$O,8,0)),"")</f>
        <v/>
      </c>
      <c r="Q3517" s="62" t="str">
        <f>IFERROR(IF(OR($B3517="",$B3517="(blank)"),"",VLOOKUP($B3517,'Email Marketing Raw Data'!$C:$O,9,0)),"")</f>
        <v/>
      </c>
    </row>
    <row r="3518" spans="4:17" ht="12.75" customHeight="1" x14ac:dyDescent="0.2">
      <c r="D3518" s="58" t="str">
        <f>IFERROR(IF(F3518&lt;&gt;"pending","",IF(OR($B3518="",$B3518="(blank)"),"",VLOOKUP($B3518,'Email Marketing Raw Data'!$C:$O,10,0))),"")</f>
        <v/>
      </c>
      <c r="E3518" s="59" t="str">
        <f>IFERROR(IF(F3518&lt;&gt;"pending","",IF(OR($B3518="",$B3518="(blank)"),"",VLOOKUP($B3518,'Email Marketing Raw Data'!$C:$O,11,0))),"")</f>
        <v/>
      </c>
      <c r="F3518" s="54" t="str">
        <f>IFERROR(IF(OR($B3518="",$B3518="(blank)"),"",VLOOKUP($B3518,'Email Marketing Raw Data'!$C:$O,13,0)),"")</f>
        <v/>
      </c>
      <c r="G3518" s="55" t="str">
        <f>IFERROR(IF(OR($B3518="",$B3518="(blank)"),"",VLOOKUP($B3518,'Email Marketing Raw Data'!$C:$O,4,0)),"")</f>
        <v/>
      </c>
      <c r="H3518" s="55" t="str">
        <f>IFERROR(IF(OR($B3518="",$B3518="(blank)"),"",VLOOKUP($B3518,'Email Marketing Raw Data'!$C:$O,5,0)),"")</f>
        <v/>
      </c>
      <c r="I3518" s="55" t="str">
        <f>IFERROR(IF($G3518="","",VLOOKUP('Dashboard And Emails Automate'!$G3518,Database!$H:$N,3,0)),"")</f>
        <v/>
      </c>
      <c r="J3518" s="55" t="str">
        <f>IFERROR(IF($G3518="","",VLOOKUP('Dashboard And Emails Automate'!$G3518,Database!$H:$N,4,0)),"")</f>
        <v/>
      </c>
      <c r="K3518" s="55" t="str">
        <f>IFERROR(IF($G3518="","",VLOOKUP('Dashboard And Emails Automate'!$G3518,Database!$H:$N,5,0)),"")</f>
        <v/>
      </c>
      <c r="L3518" s="55" t="str">
        <f>IFERROR(IF($G3518="","",VLOOKUP('Dashboard And Emails Automate'!$G3518,Database!$H:$N,6,0)),"")</f>
        <v/>
      </c>
      <c r="M3518" s="55" t="str">
        <f>IFERROR(IF($G3518="","",VLOOKUP('Dashboard And Emails Automate'!$G3518,Database!$H:$N,7,0)),"")</f>
        <v/>
      </c>
      <c r="N3518" s="55" t="str">
        <f>IFERROR(IF(OR($B3518="",$B3518="(blank)"),"",VLOOKUP($B3518,'Email Marketing Raw Data'!$C:$O,6,0)),"")</f>
        <v/>
      </c>
      <c r="O3518" s="55" t="str">
        <f>IFERROR(IF(OR($B3518="",$B3518="(blank)"),"",VLOOKUP($B3518,'Email Marketing Raw Data'!$C:$O,7,0)),"")</f>
        <v/>
      </c>
      <c r="P3518" s="55" t="str">
        <f>IFERROR(IF(OR($B3518="",$B3518="(blank)"),"",VLOOKUP($B3518,'Email Marketing Raw Data'!$C:$O,8,0)),"")</f>
        <v/>
      </c>
      <c r="Q3518" s="62" t="str">
        <f>IFERROR(IF(OR($B3518="",$B3518="(blank)"),"",VLOOKUP($B3518,'Email Marketing Raw Data'!$C:$O,9,0)),"")</f>
        <v/>
      </c>
    </row>
    <row r="3519" spans="4:17" ht="12.75" customHeight="1" x14ac:dyDescent="0.2">
      <c r="D3519" s="58" t="str">
        <f>IFERROR(IF(F3519&lt;&gt;"pending","",IF(OR($B3519="",$B3519="(blank)"),"",VLOOKUP($B3519,'Email Marketing Raw Data'!$C:$O,10,0))),"")</f>
        <v/>
      </c>
      <c r="E3519" s="59" t="str">
        <f>IFERROR(IF(F3519&lt;&gt;"pending","",IF(OR($B3519="",$B3519="(blank)"),"",VLOOKUP($B3519,'Email Marketing Raw Data'!$C:$O,11,0))),"")</f>
        <v/>
      </c>
      <c r="F3519" s="54" t="str">
        <f>IFERROR(IF(OR($B3519="",$B3519="(blank)"),"",VLOOKUP($B3519,'Email Marketing Raw Data'!$C:$O,13,0)),"")</f>
        <v/>
      </c>
      <c r="G3519" s="55" t="str">
        <f>IFERROR(IF(OR($B3519="",$B3519="(blank)"),"",VLOOKUP($B3519,'Email Marketing Raw Data'!$C:$O,4,0)),"")</f>
        <v/>
      </c>
      <c r="H3519" s="55" t="str">
        <f>IFERROR(IF(OR($B3519="",$B3519="(blank)"),"",VLOOKUP($B3519,'Email Marketing Raw Data'!$C:$O,5,0)),"")</f>
        <v/>
      </c>
      <c r="I3519" s="55" t="str">
        <f>IFERROR(IF($G3519="","",VLOOKUP('Dashboard And Emails Automate'!$G3519,Database!$H:$N,3,0)),"")</f>
        <v/>
      </c>
      <c r="J3519" s="55" t="str">
        <f>IFERROR(IF($G3519="","",VLOOKUP('Dashboard And Emails Automate'!$G3519,Database!$H:$N,4,0)),"")</f>
        <v/>
      </c>
      <c r="K3519" s="55" t="str">
        <f>IFERROR(IF($G3519="","",VLOOKUP('Dashboard And Emails Automate'!$G3519,Database!$H:$N,5,0)),"")</f>
        <v/>
      </c>
      <c r="L3519" s="55" t="str">
        <f>IFERROR(IF($G3519="","",VLOOKUP('Dashboard And Emails Automate'!$G3519,Database!$H:$N,6,0)),"")</f>
        <v/>
      </c>
      <c r="M3519" s="55" t="str">
        <f>IFERROR(IF($G3519="","",VLOOKUP('Dashboard And Emails Automate'!$G3519,Database!$H:$N,7,0)),"")</f>
        <v/>
      </c>
      <c r="N3519" s="55" t="str">
        <f>IFERROR(IF(OR($B3519="",$B3519="(blank)"),"",VLOOKUP($B3519,'Email Marketing Raw Data'!$C:$O,6,0)),"")</f>
        <v/>
      </c>
      <c r="O3519" s="55" t="str">
        <f>IFERROR(IF(OR($B3519="",$B3519="(blank)"),"",VLOOKUP($B3519,'Email Marketing Raw Data'!$C:$O,7,0)),"")</f>
        <v/>
      </c>
      <c r="P3519" s="55" t="str">
        <f>IFERROR(IF(OR($B3519="",$B3519="(blank)"),"",VLOOKUP($B3519,'Email Marketing Raw Data'!$C:$O,8,0)),"")</f>
        <v/>
      </c>
      <c r="Q3519" s="62" t="str">
        <f>IFERROR(IF(OR($B3519="",$B3519="(blank)"),"",VLOOKUP($B3519,'Email Marketing Raw Data'!$C:$O,9,0)),"")</f>
        <v/>
      </c>
    </row>
    <row r="3520" spans="4:17" ht="12.75" customHeight="1" x14ac:dyDescent="0.2">
      <c r="D3520" s="58" t="str">
        <f>IFERROR(IF(F3520&lt;&gt;"pending","",IF(OR($B3520="",$B3520="(blank)"),"",VLOOKUP($B3520,'Email Marketing Raw Data'!$C:$O,10,0))),"")</f>
        <v/>
      </c>
      <c r="E3520" s="59" t="str">
        <f>IFERROR(IF(F3520&lt;&gt;"pending","",IF(OR($B3520="",$B3520="(blank)"),"",VLOOKUP($B3520,'Email Marketing Raw Data'!$C:$O,11,0))),"")</f>
        <v/>
      </c>
      <c r="F3520" s="54" t="str">
        <f>IFERROR(IF(OR($B3520="",$B3520="(blank)"),"",VLOOKUP($B3520,'Email Marketing Raw Data'!$C:$O,13,0)),"")</f>
        <v/>
      </c>
      <c r="G3520" s="55" t="str">
        <f>IFERROR(IF(OR($B3520="",$B3520="(blank)"),"",VLOOKUP($B3520,'Email Marketing Raw Data'!$C:$O,4,0)),"")</f>
        <v/>
      </c>
      <c r="H3520" s="55" t="str">
        <f>IFERROR(IF(OR($B3520="",$B3520="(blank)"),"",VLOOKUP($B3520,'Email Marketing Raw Data'!$C:$O,5,0)),"")</f>
        <v/>
      </c>
      <c r="I3520" s="55" t="str">
        <f>IFERROR(IF($G3520="","",VLOOKUP('Dashboard And Emails Automate'!$G3520,Database!$H:$N,3,0)),"")</f>
        <v/>
      </c>
      <c r="J3520" s="55" t="str">
        <f>IFERROR(IF($G3520="","",VLOOKUP('Dashboard And Emails Automate'!$G3520,Database!$H:$N,4,0)),"")</f>
        <v/>
      </c>
      <c r="K3520" s="55" t="str">
        <f>IFERROR(IF($G3520="","",VLOOKUP('Dashboard And Emails Automate'!$G3520,Database!$H:$N,5,0)),"")</f>
        <v/>
      </c>
      <c r="L3520" s="55" t="str">
        <f>IFERROR(IF($G3520="","",VLOOKUP('Dashboard And Emails Automate'!$G3520,Database!$H:$N,6,0)),"")</f>
        <v/>
      </c>
      <c r="M3520" s="55" t="str">
        <f>IFERROR(IF($G3520="","",VLOOKUP('Dashboard And Emails Automate'!$G3520,Database!$H:$N,7,0)),"")</f>
        <v/>
      </c>
      <c r="N3520" s="55" t="str">
        <f>IFERROR(IF(OR($B3520="",$B3520="(blank)"),"",VLOOKUP($B3520,'Email Marketing Raw Data'!$C:$O,6,0)),"")</f>
        <v/>
      </c>
      <c r="O3520" s="55" t="str">
        <f>IFERROR(IF(OR($B3520="",$B3520="(blank)"),"",VLOOKUP($B3520,'Email Marketing Raw Data'!$C:$O,7,0)),"")</f>
        <v/>
      </c>
      <c r="P3520" s="55" t="str">
        <f>IFERROR(IF(OR($B3520="",$B3520="(blank)"),"",VLOOKUP($B3520,'Email Marketing Raw Data'!$C:$O,8,0)),"")</f>
        <v/>
      </c>
      <c r="Q3520" s="62" t="str">
        <f>IFERROR(IF(OR($B3520="",$B3520="(blank)"),"",VLOOKUP($B3520,'Email Marketing Raw Data'!$C:$O,9,0)),"")</f>
        <v/>
      </c>
    </row>
    <row r="3521" spans="4:17" ht="12.75" customHeight="1" x14ac:dyDescent="0.2">
      <c r="D3521" s="58" t="str">
        <f>IFERROR(IF(F3521&lt;&gt;"pending","",IF(OR($B3521="",$B3521="(blank)"),"",VLOOKUP($B3521,'Email Marketing Raw Data'!$C:$O,10,0))),"")</f>
        <v/>
      </c>
      <c r="E3521" s="59" t="str">
        <f>IFERROR(IF(F3521&lt;&gt;"pending","",IF(OR($B3521="",$B3521="(blank)"),"",VLOOKUP($B3521,'Email Marketing Raw Data'!$C:$O,11,0))),"")</f>
        <v/>
      </c>
      <c r="F3521" s="54" t="str">
        <f>IFERROR(IF(OR($B3521="",$B3521="(blank)"),"",VLOOKUP($B3521,'Email Marketing Raw Data'!$C:$O,13,0)),"")</f>
        <v/>
      </c>
      <c r="G3521" s="55" t="str">
        <f>IFERROR(IF(OR($B3521="",$B3521="(blank)"),"",VLOOKUP($B3521,'Email Marketing Raw Data'!$C:$O,4,0)),"")</f>
        <v/>
      </c>
      <c r="H3521" s="55" t="str">
        <f>IFERROR(IF(OR($B3521="",$B3521="(blank)"),"",VLOOKUP($B3521,'Email Marketing Raw Data'!$C:$O,5,0)),"")</f>
        <v/>
      </c>
      <c r="I3521" s="55" t="str">
        <f>IFERROR(IF($G3521="","",VLOOKUP('Dashboard And Emails Automate'!$G3521,Database!$H:$N,3,0)),"")</f>
        <v/>
      </c>
      <c r="J3521" s="55" t="str">
        <f>IFERROR(IF($G3521="","",VLOOKUP('Dashboard And Emails Automate'!$G3521,Database!$H:$N,4,0)),"")</f>
        <v/>
      </c>
      <c r="K3521" s="55" t="str">
        <f>IFERROR(IF($G3521="","",VLOOKUP('Dashboard And Emails Automate'!$G3521,Database!$H:$N,5,0)),"")</f>
        <v/>
      </c>
      <c r="L3521" s="55" t="str">
        <f>IFERROR(IF($G3521="","",VLOOKUP('Dashboard And Emails Automate'!$G3521,Database!$H:$N,6,0)),"")</f>
        <v/>
      </c>
      <c r="M3521" s="55" t="str">
        <f>IFERROR(IF($G3521="","",VLOOKUP('Dashboard And Emails Automate'!$G3521,Database!$H:$N,7,0)),"")</f>
        <v/>
      </c>
      <c r="N3521" s="55" t="str">
        <f>IFERROR(IF(OR($B3521="",$B3521="(blank)"),"",VLOOKUP($B3521,'Email Marketing Raw Data'!$C:$O,6,0)),"")</f>
        <v/>
      </c>
      <c r="O3521" s="55" t="str">
        <f>IFERROR(IF(OR($B3521="",$B3521="(blank)"),"",VLOOKUP($B3521,'Email Marketing Raw Data'!$C:$O,7,0)),"")</f>
        <v/>
      </c>
      <c r="P3521" s="55" t="str">
        <f>IFERROR(IF(OR($B3521="",$B3521="(blank)"),"",VLOOKUP($B3521,'Email Marketing Raw Data'!$C:$O,8,0)),"")</f>
        <v/>
      </c>
      <c r="Q3521" s="62" t="str">
        <f>IFERROR(IF(OR($B3521="",$B3521="(blank)"),"",VLOOKUP($B3521,'Email Marketing Raw Data'!$C:$O,9,0)),"")</f>
        <v/>
      </c>
    </row>
    <row r="3522" spans="4:17" ht="12.75" customHeight="1" x14ac:dyDescent="0.2">
      <c r="D3522" s="58" t="str">
        <f>IFERROR(IF(F3522&lt;&gt;"pending","",IF(OR($B3522="",$B3522="(blank)"),"",VLOOKUP($B3522,'Email Marketing Raw Data'!$C:$O,10,0))),"")</f>
        <v/>
      </c>
      <c r="E3522" s="59" t="str">
        <f>IFERROR(IF(F3522&lt;&gt;"pending","",IF(OR($B3522="",$B3522="(blank)"),"",VLOOKUP($B3522,'Email Marketing Raw Data'!$C:$O,11,0))),"")</f>
        <v/>
      </c>
      <c r="F3522" s="54" t="str">
        <f>IFERROR(IF(OR($B3522="",$B3522="(blank)"),"",VLOOKUP($B3522,'Email Marketing Raw Data'!$C:$O,13,0)),"")</f>
        <v/>
      </c>
      <c r="G3522" s="55" t="str">
        <f>IFERROR(IF(OR($B3522="",$B3522="(blank)"),"",VLOOKUP($B3522,'Email Marketing Raw Data'!$C:$O,4,0)),"")</f>
        <v/>
      </c>
      <c r="H3522" s="55" t="str">
        <f>IFERROR(IF(OR($B3522="",$B3522="(blank)"),"",VLOOKUP($B3522,'Email Marketing Raw Data'!$C:$O,5,0)),"")</f>
        <v/>
      </c>
      <c r="I3522" s="55" t="str">
        <f>IFERROR(IF($G3522="","",VLOOKUP('Dashboard And Emails Automate'!$G3522,Database!$H:$N,3,0)),"")</f>
        <v/>
      </c>
      <c r="J3522" s="55" t="str">
        <f>IFERROR(IF($G3522="","",VLOOKUP('Dashboard And Emails Automate'!$G3522,Database!$H:$N,4,0)),"")</f>
        <v/>
      </c>
      <c r="K3522" s="55" t="str">
        <f>IFERROR(IF($G3522="","",VLOOKUP('Dashboard And Emails Automate'!$G3522,Database!$H:$N,5,0)),"")</f>
        <v/>
      </c>
      <c r="L3522" s="55" t="str">
        <f>IFERROR(IF($G3522="","",VLOOKUP('Dashboard And Emails Automate'!$G3522,Database!$H:$N,6,0)),"")</f>
        <v/>
      </c>
      <c r="M3522" s="55" t="str">
        <f>IFERROR(IF($G3522="","",VLOOKUP('Dashboard And Emails Automate'!$G3522,Database!$H:$N,7,0)),"")</f>
        <v/>
      </c>
      <c r="N3522" s="55" t="str">
        <f>IFERROR(IF(OR($B3522="",$B3522="(blank)"),"",VLOOKUP($B3522,'Email Marketing Raw Data'!$C:$O,6,0)),"")</f>
        <v/>
      </c>
      <c r="O3522" s="55" t="str">
        <f>IFERROR(IF(OR($B3522="",$B3522="(blank)"),"",VLOOKUP($B3522,'Email Marketing Raw Data'!$C:$O,7,0)),"")</f>
        <v/>
      </c>
      <c r="P3522" s="55" t="str">
        <f>IFERROR(IF(OR($B3522="",$B3522="(blank)"),"",VLOOKUP($B3522,'Email Marketing Raw Data'!$C:$O,8,0)),"")</f>
        <v/>
      </c>
      <c r="Q3522" s="62" t="str">
        <f>IFERROR(IF(OR($B3522="",$B3522="(blank)"),"",VLOOKUP($B3522,'Email Marketing Raw Data'!$C:$O,9,0)),"")</f>
        <v/>
      </c>
    </row>
    <row r="3523" spans="4:17" ht="12.75" customHeight="1" x14ac:dyDescent="0.2">
      <c r="D3523" s="58" t="str">
        <f>IFERROR(IF(F3523&lt;&gt;"pending","",IF(OR($B3523="",$B3523="(blank)"),"",VLOOKUP($B3523,'Email Marketing Raw Data'!$C:$O,10,0))),"")</f>
        <v/>
      </c>
      <c r="E3523" s="59" t="str">
        <f>IFERROR(IF(F3523&lt;&gt;"pending","",IF(OR($B3523="",$B3523="(blank)"),"",VLOOKUP($B3523,'Email Marketing Raw Data'!$C:$O,11,0))),"")</f>
        <v/>
      </c>
      <c r="F3523" s="54" t="str">
        <f>IFERROR(IF(OR($B3523="",$B3523="(blank)"),"",VLOOKUP($B3523,'Email Marketing Raw Data'!$C:$O,13,0)),"")</f>
        <v/>
      </c>
      <c r="G3523" s="55" t="str">
        <f>IFERROR(IF(OR($B3523="",$B3523="(blank)"),"",VLOOKUP($B3523,'Email Marketing Raw Data'!$C:$O,4,0)),"")</f>
        <v/>
      </c>
      <c r="H3523" s="55" t="str">
        <f>IFERROR(IF(OR($B3523="",$B3523="(blank)"),"",VLOOKUP($B3523,'Email Marketing Raw Data'!$C:$O,5,0)),"")</f>
        <v/>
      </c>
      <c r="I3523" s="55" t="str">
        <f>IFERROR(IF($G3523="","",VLOOKUP('Dashboard And Emails Automate'!$G3523,Database!$H:$N,3,0)),"")</f>
        <v/>
      </c>
      <c r="J3523" s="55" t="str">
        <f>IFERROR(IF($G3523="","",VLOOKUP('Dashboard And Emails Automate'!$G3523,Database!$H:$N,4,0)),"")</f>
        <v/>
      </c>
      <c r="K3523" s="55" t="str">
        <f>IFERROR(IF($G3523="","",VLOOKUP('Dashboard And Emails Automate'!$G3523,Database!$H:$N,5,0)),"")</f>
        <v/>
      </c>
      <c r="L3523" s="55" t="str">
        <f>IFERROR(IF($G3523="","",VLOOKUP('Dashboard And Emails Automate'!$G3523,Database!$H:$N,6,0)),"")</f>
        <v/>
      </c>
      <c r="M3523" s="55" t="str">
        <f>IFERROR(IF($G3523="","",VLOOKUP('Dashboard And Emails Automate'!$G3523,Database!$H:$N,7,0)),"")</f>
        <v/>
      </c>
      <c r="N3523" s="55" t="str">
        <f>IFERROR(IF(OR($B3523="",$B3523="(blank)"),"",VLOOKUP($B3523,'Email Marketing Raw Data'!$C:$O,6,0)),"")</f>
        <v/>
      </c>
      <c r="O3523" s="55" t="str">
        <f>IFERROR(IF(OR($B3523="",$B3523="(blank)"),"",VLOOKUP($B3523,'Email Marketing Raw Data'!$C:$O,7,0)),"")</f>
        <v/>
      </c>
      <c r="P3523" s="55" t="str">
        <f>IFERROR(IF(OR($B3523="",$B3523="(blank)"),"",VLOOKUP($B3523,'Email Marketing Raw Data'!$C:$O,8,0)),"")</f>
        <v/>
      </c>
      <c r="Q3523" s="62" t="str">
        <f>IFERROR(IF(OR($B3523="",$B3523="(blank)"),"",VLOOKUP($B3523,'Email Marketing Raw Data'!$C:$O,9,0)),"")</f>
        <v/>
      </c>
    </row>
    <row r="3524" spans="4:17" ht="12.75" customHeight="1" x14ac:dyDescent="0.2">
      <c r="D3524" s="58" t="str">
        <f>IFERROR(IF(F3524&lt;&gt;"pending","",IF(OR($B3524="",$B3524="(blank)"),"",VLOOKUP($B3524,'Email Marketing Raw Data'!$C:$O,10,0))),"")</f>
        <v/>
      </c>
      <c r="E3524" s="59" t="str">
        <f>IFERROR(IF(F3524&lt;&gt;"pending","",IF(OR($B3524="",$B3524="(blank)"),"",VLOOKUP($B3524,'Email Marketing Raw Data'!$C:$O,11,0))),"")</f>
        <v/>
      </c>
      <c r="F3524" s="54" t="str">
        <f>IFERROR(IF(OR($B3524="",$B3524="(blank)"),"",VLOOKUP($B3524,'Email Marketing Raw Data'!$C:$O,13,0)),"")</f>
        <v/>
      </c>
      <c r="G3524" s="55" t="str">
        <f>IFERROR(IF(OR($B3524="",$B3524="(blank)"),"",VLOOKUP($B3524,'Email Marketing Raw Data'!$C:$O,4,0)),"")</f>
        <v/>
      </c>
      <c r="H3524" s="55" t="str">
        <f>IFERROR(IF(OR($B3524="",$B3524="(blank)"),"",VLOOKUP($B3524,'Email Marketing Raw Data'!$C:$O,5,0)),"")</f>
        <v/>
      </c>
      <c r="I3524" s="55" t="str">
        <f>IFERROR(IF($G3524="","",VLOOKUP('Dashboard And Emails Automate'!$G3524,Database!$H:$N,3,0)),"")</f>
        <v/>
      </c>
      <c r="J3524" s="55" t="str">
        <f>IFERROR(IF($G3524="","",VLOOKUP('Dashboard And Emails Automate'!$G3524,Database!$H:$N,4,0)),"")</f>
        <v/>
      </c>
      <c r="K3524" s="55" t="str">
        <f>IFERROR(IF($G3524="","",VLOOKUP('Dashboard And Emails Automate'!$G3524,Database!$H:$N,5,0)),"")</f>
        <v/>
      </c>
      <c r="L3524" s="55" t="str">
        <f>IFERROR(IF($G3524="","",VLOOKUP('Dashboard And Emails Automate'!$G3524,Database!$H:$N,6,0)),"")</f>
        <v/>
      </c>
      <c r="M3524" s="55" t="str">
        <f>IFERROR(IF($G3524="","",VLOOKUP('Dashboard And Emails Automate'!$G3524,Database!$H:$N,7,0)),"")</f>
        <v/>
      </c>
      <c r="N3524" s="55" t="str">
        <f>IFERROR(IF(OR($B3524="",$B3524="(blank)"),"",VLOOKUP($B3524,'Email Marketing Raw Data'!$C:$O,6,0)),"")</f>
        <v/>
      </c>
      <c r="O3524" s="55" t="str">
        <f>IFERROR(IF(OR($B3524="",$B3524="(blank)"),"",VLOOKUP($B3524,'Email Marketing Raw Data'!$C:$O,7,0)),"")</f>
        <v/>
      </c>
      <c r="P3524" s="55" t="str">
        <f>IFERROR(IF(OR($B3524="",$B3524="(blank)"),"",VLOOKUP($B3524,'Email Marketing Raw Data'!$C:$O,8,0)),"")</f>
        <v/>
      </c>
      <c r="Q3524" s="62" t="str">
        <f>IFERROR(IF(OR($B3524="",$B3524="(blank)"),"",VLOOKUP($B3524,'Email Marketing Raw Data'!$C:$O,9,0)),"")</f>
        <v/>
      </c>
    </row>
    <row r="3525" spans="4:17" ht="12.75" customHeight="1" x14ac:dyDescent="0.2">
      <c r="D3525" s="58" t="str">
        <f>IFERROR(IF(F3525&lt;&gt;"pending","",IF(OR($B3525="",$B3525="(blank)"),"",VLOOKUP($B3525,'Email Marketing Raw Data'!$C:$O,10,0))),"")</f>
        <v/>
      </c>
      <c r="E3525" s="59" t="str">
        <f>IFERROR(IF(F3525&lt;&gt;"pending","",IF(OR($B3525="",$B3525="(blank)"),"",VLOOKUP($B3525,'Email Marketing Raw Data'!$C:$O,11,0))),"")</f>
        <v/>
      </c>
      <c r="F3525" s="54" t="str">
        <f>IFERROR(IF(OR($B3525="",$B3525="(blank)"),"",VLOOKUP($B3525,'Email Marketing Raw Data'!$C:$O,13,0)),"")</f>
        <v/>
      </c>
      <c r="G3525" s="55" t="str">
        <f>IFERROR(IF(OR($B3525="",$B3525="(blank)"),"",VLOOKUP($B3525,'Email Marketing Raw Data'!$C:$O,4,0)),"")</f>
        <v/>
      </c>
      <c r="H3525" s="55" t="str">
        <f>IFERROR(IF(OR($B3525="",$B3525="(blank)"),"",VLOOKUP($B3525,'Email Marketing Raw Data'!$C:$O,5,0)),"")</f>
        <v/>
      </c>
      <c r="I3525" s="55" t="str">
        <f>IFERROR(IF($G3525="","",VLOOKUP('Dashboard And Emails Automate'!$G3525,Database!$H:$N,3,0)),"")</f>
        <v/>
      </c>
      <c r="J3525" s="55" t="str">
        <f>IFERROR(IF($G3525="","",VLOOKUP('Dashboard And Emails Automate'!$G3525,Database!$H:$N,4,0)),"")</f>
        <v/>
      </c>
      <c r="K3525" s="55" t="str">
        <f>IFERROR(IF($G3525="","",VLOOKUP('Dashboard And Emails Automate'!$G3525,Database!$H:$N,5,0)),"")</f>
        <v/>
      </c>
      <c r="L3525" s="55" t="str">
        <f>IFERROR(IF($G3525="","",VLOOKUP('Dashboard And Emails Automate'!$G3525,Database!$H:$N,6,0)),"")</f>
        <v/>
      </c>
      <c r="M3525" s="55" t="str">
        <f>IFERROR(IF($G3525="","",VLOOKUP('Dashboard And Emails Automate'!$G3525,Database!$H:$N,7,0)),"")</f>
        <v/>
      </c>
      <c r="N3525" s="55" t="str">
        <f>IFERROR(IF(OR($B3525="",$B3525="(blank)"),"",VLOOKUP($B3525,'Email Marketing Raw Data'!$C:$O,6,0)),"")</f>
        <v/>
      </c>
      <c r="O3525" s="55" t="str">
        <f>IFERROR(IF(OR($B3525="",$B3525="(blank)"),"",VLOOKUP($B3525,'Email Marketing Raw Data'!$C:$O,7,0)),"")</f>
        <v/>
      </c>
      <c r="P3525" s="55" t="str">
        <f>IFERROR(IF(OR($B3525="",$B3525="(blank)"),"",VLOOKUP($B3525,'Email Marketing Raw Data'!$C:$O,8,0)),"")</f>
        <v/>
      </c>
      <c r="Q3525" s="62" t="str">
        <f>IFERROR(IF(OR($B3525="",$B3525="(blank)"),"",VLOOKUP($B3525,'Email Marketing Raw Data'!$C:$O,9,0)),"")</f>
        <v/>
      </c>
    </row>
    <row r="3526" spans="4:17" ht="12.75" customHeight="1" x14ac:dyDescent="0.2">
      <c r="D3526" s="58" t="str">
        <f>IFERROR(IF(F3526&lt;&gt;"pending","",IF(OR($B3526="",$B3526="(blank)"),"",VLOOKUP($B3526,'Email Marketing Raw Data'!$C:$O,10,0))),"")</f>
        <v/>
      </c>
      <c r="E3526" s="59" t="str">
        <f>IFERROR(IF(F3526&lt;&gt;"pending","",IF(OR($B3526="",$B3526="(blank)"),"",VLOOKUP($B3526,'Email Marketing Raw Data'!$C:$O,11,0))),"")</f>
        <v/>
      </c>
      <c r="F3526" s="54" t="str">
        <f>IFERROR(IF(OR($B3526="",$B3526="(blank)"),"",VLOOKUP($B3526,'Email Marketing Raw Data'!$C:$O,13,0)),"")</f>
        <v/>
      </c>
      <c r="G3526" s="55" t="str">
        <f>IFERROR(IF(OR($B3526="",$B3526="(blank)"),"",VLOOKUP($B3526,'Email Marketing Raw Data'!$C:$O,4,0)),"")</f>
        <v/>
      </c>
      <c r="H3526" s="55" t="str">
        <f>IFERROR(IF(OR($B3526="",$B3526="(blank)"),"",VLOOKUP($B3526,'Email Marketing Raw Data'!$C:$O,5,0)),"")</f>
        <v/>
      </c>
      <c r="I3526" s="55" t="str">
        <f>IFERROR(IF($G3526="","",VLOOKUP('Dashboard And Emails Automate'!$G3526,Database!$H:$N,3,0)),"")</f>
        <v/>
      </c>
      <c r="J3526" s="55" t="str">
        <f>IFERROR(IF($G3526="","",VLOOKUP('Dashboard And Emails Automate'!$G3526,Database!$H:$N,4,0)),"")</f>
        <v/>
      </c>
      <c r="K3526" s="55" t="str">
        <f>IFERROR(IF($G3526="","",VLOOKUP('Dashboard And Emails Automate'!$G3526,Database!$H:$N,5,0)),"")</f>
        <v/>
      </c>
      <c r="L3526" s="55" t="str">
        <f>IFERROR(IF($G3526="","",VLOOKUP('Dashboard And Emails Automate'!$G3526,Database!$H:$N,6,0)),"")</f>
        <v/>
      </c>
      <c r="M3526" s="55" t="str">
        <f>IFERROR(IF($G3526="","",VLOOKUP('Dashboard And Emails Automate'!$G3526,Database!$H:$N,7,0)),"")</f>
        <v/>
      </c>
      <c r="N3526" s="55" t="str">
        <f>IFERROR(IF(OR($B3526="",$B3526="(blank)"),"",VLOOKUP($B3526,'Email Marketing Raw Data'!$C:$O,6,0)),"")</f>
        <v/>
      </c>
      <c r="O3526" s="55" t="str">
        <f>IFERROR(IF(OR($B3526="",$B3526="(blank)"),"",VLOOKUP($B3526,'Email Marketing Raw Data'!$C:$O,7,0)),"")</f>
        <v/>
      </c>
      <c r="P3526" s="55" t="str">
        <f>IFERROR(IF(OR($B3526="",$B3526="(blank)"),"",VLOOKUP($B3526,'Email Marketing Raw Data'!$C:$O,8,0)),"")</f>
        <v/>
      </c>
      <c r="Q3526" s="62" t="str">
        <f>IFERROR(IF(OR($B3526="",$B3526="(blank)"),"",VLOOKUP($B3526,'Email Marketing Raw Data'!$C:$O,9,0)),"")</f>
        <v/>
      </c>
    </row>
    <row r="3527" spans="4:17" ht="12.75" customHeight="1" x14ac:dyDescent="0.2">
      <c r="D3527" s="58" t="str">
        <f>IFERROR(IF(F3527&lt;&gt;"pending","",IF(OR($B3527="",$B3527="(blank)"),"",VLOOKUP($B3527,'Email Marketing Raw Data'!$C:$O,10,0))),"")</f>
        <v/>
      </c>
      <c r="E3527" s="59" t="str">
        <f>IFERROR(IF(F3527&lt;&gt;"pending","",IF(OR($B3527="",$B3527="(blank)"),"",VLOOKUP($B3527,'Email Marketing Raw Data'!$C:$O,11,0))),"")</f>
        <v/>
      </c>
      <c r="F3527" s="54" t="str">
        <f>IFERROR(IF(OR($B3527="",$B3527="(blank)"),"",VLOOKUP($B3527,'Email Marketing Raw Data'!$C:$O,13,0)),"")</f>
        <v/>
      </c>
      <c r="G3527" s="55" t="str">
        <f>IFERROR(IF(OR($B3527="",$B3527="(blank)"),"",VLOOKUP($B3527,'Email Marketing Raw Data'!$C:$O,4,0)),"")</f>
        <v/>
      </c>
      <c r="H3527" s="55" t="str">
        <f>IFERROR(IF(OR($B3527="",$B3527="(blank)"),"",VLOOKUP($B3527,'Email Marketing Raw Data'!$C:$O,5,0)),"")</f>
        <v/>
      </c>
      <c r="I3527" s="55" t="str">
        <f>IFERROR(IF($G3527="","",VLOOKUP('Dashboard And Emails Automate'!$G3527,Database!$H:$N,3,0)),"")</f>
        <v/>
      </c>
      <c r="J3527" s="55" t="str">
        <f>IFERROR(IF($G3527="","",VLOOKUP('Dashboard And Emails Automate'!$G3527,Database!$H:$N,4,0)),"")</f>
        <v/>
      </c>
      <c r="K3527" s="55" t="str">
        <f>IFERROR(IF($G3527="","",VLOOKUP('Dashboard And Emails Automate'!$G3527,Database!$H:$N,5,0)),"")</f>
        <v/>
      </c>
      <c r="L3527" s="55" t="str">
        <f>IFERROR(IF($G3527="","",VLOOKUP('Dashboard And Emails Automate'!$G3527,Database!$H:$N,6,0)),"")</f>
        <v/>
      </c>
      <c r="M3527" s="55" t="str">
        <f>IFERROR(IF($G3527="","",VLOOKUP('Dashboard And Emails Automate'!$G3527,Database!$H:$N,7,0)),"")</f>
        <v/>
      </c>
      <c r="N3527" s="55" t="str">
        <f>IFERROR(IF(OR($B3527="",$B3527="(blank)"),"",VLOOKUP($B3527,'Email Marketing Raw Data'!$C:$O,6,0)),"")</f>
        <v/>
      </c>
      <c r="O3527" s="55" t="str">
        <f>IFERROR(IF(OR($B3527="",$B3527="(blank)"),"",VLOOKUP($B3527,'Email Marketing Raw Data'!$C:$O,7,0)),"")</f>
        <v/>
      </c>
      <c r="P3527" s="55" t="str">
        <f>IFERROR(IF(OR($B3527="",$B3527="(blank)"),"",VLOOKUP($B3527,'Email Marketing Raw Data'!$C:$O,8,0)),"")</f>
        <v/>
      </c>
      <c r="Q3527" s="62" t="str">
        <f>IFERROR(IF(OR($B3527="",$B3527="(blank)"),"",VLOOKUP($B3527,'Email Marketing Raw Data'!$C:$O,9,0)),"")</f>
        <v/>
      </c>
    </row>
    <row r="3528" spans="4:17" ht="12.75" customHeight="1" x14ac:dyDescent="0.2">
      <c r="D3528" s="58" t="str">
        <f>IFERROR(IF(F3528&lt;&gt;"pending","",IF(OR($B3528="",$B3528="(blank)"),"",VLOOKUP($B3528,'Email Marketing Raw Data'!$C:$O,10,0))),"")</f>
        <v/>
      </c>
      <c r="E3528" s="59" t="str">
        <f>IFERROR(IF(F3528&lt;&gt;"pending","",IF(OR($B3528="",$B3528="(blank)"),"",VLOOKUP($B3528,'Email Marketing Raw Data'!$C:$O,11,0))),"")</f>
        <v/>
      </c>
      <c r="F3528" s="54" t="str">
        <f>IFERROR(IF(OR($B3528="",$B3528="(blank)"),"",VLOOKUP($B3528,'Email Marketing Raw Data'!$C:$O,13,0)),"")</f>
        <v/>
      </c>
      <c r="G3528" s="55" t="str">
        <f>IFERROR(IF(OR($B3528="",$B3528="(blank)"),"",VLOOKUP($B3528,'Email Marketing Raw Data'!$C:$O,4,0)),"")</f>
        <v/>
      </c>
      <c r="H3528" s="55" t="str">
        <f>IFERROR(IF(OR($B3528="",$B3528="(blank)"),"",VLOOKUP($B3528,'Email Marketing Raw Data'!$C:$O,5,0)),"")</f>
        <v/>
      </c>
      <c r="I3528" s="55" t="str">
        <f>IFERROR(IF($G3528="","",VLOOKUP('Dashboard And Emails Automate'!$G3528,Database!$H:$N,3,0)),"")</f>
        <v/>
      </c>
      <c r="J3528" s="55" t="str">
        <f>IFERROR(IF($G3528="","",VLOOKUP('Dashboard And Emails Automate'!$G3528,Database!$H:$N,4,0)),"")</f>
        <v/>
      </c>
      <c r="K3528" s="55" t="str">
        <f>IFERROR(IF($G3528="","",VLOOKUP('Dashboard And Emails Automate'!$G3528,Database!$H:$N,5,0)),"")</f>
        <v/>
      </c>
      <c r="L3528" s="55" t="str">
        <f>IFERROR(IF($G3528="","",VLOOKUP('Dashboard And Emails Automate'!$G3528,Database!$H:$N,6,0)),"")</f>
        <v/>
      </c>
      <c r="M3528" s="55" t="str">
        <f>IFERROR(IF($G3528="","",VLOOKUP('Dashboard And Emails Automate'!$G3528,Database!$H:$N,7,0)),"")</f>
        <v/>
      </c>
      <c r="N3528" s="55" t="str">
        <f>IFERROR(IF(OR($B3528="",$B3528="(blank)"),"",VLOOKUP($B3528,'Email Marketing Raw Data'!$C:$O,6,0)),"")</f>
        <v/>
      </c>
      <c r="O3528" s="55" t="str">
        <f>IFERROR(IF(OR($B3528="",$B3528="(blank)"),"",VLOOKUP($B3528,'Email Marketing Raw Data'!$C:$O,7,0)),"")</f>
        <v/>
      </c>
      <c r="P3528" s="55" t="str">
        <f>IFERROR(IF(OR($B3528="",$B3528="(blank)"),"",VLOOKUP($B3528,'Email Marketing Raw Data'!$C:$O,8,0)),"")</f>
        <v/>
      </c>
      <c r="Q3528" s="62" t="str">
        <f>IFERROR(IF(OR($B3528="",$B3528="(blank)"),"",VLOOKUP($B3528,'Email Marketing Raw Data'!$C:$O,9,0)),"")</f>
        <v/>
      </c>
    </row>
    <row r="3529" spans="4:17" ht="12.75" customHeight="1" x14ac:dyDescent="0.2">
      <c r="D3529" s="58" t="str">
        <f>IFERROR(IF(F3529&lt;&gt;"pending","",IF(OR($B3529="",$B3529="(blank)"),"",VLOOKUP($B3529,'Email Marketing Raw Data'!$C:$O,10,0))),"")</f>
        <v/>
      </c>
      <c r="E3529" s="59" t="str">
        <f>IFERROR(IF(F3529&lt;&gt;"pending","",IF(OR($B3529="",$B3529="(blank)"),"",VLOOKUP($B3529,'Email Marketing Raw Data'!$C:$O,11,0))),"")</f>
        <v/>
      </c>
      <c r="F3529" s="54" t="str">
        <f>IFERROR(IF(OR($B3529="",$B3529="(blank)"),"",VLOOKUP($B3529,'Email Marketing Raw Data'!$C:$O,13,0)),"")</f>
        <v/>
      </c>
      <c r="G3529" s="55" t="str">
        <f>IFERROR(IF(OR($B3529="",$B3529="(blank)"),"",VLOOKUP($B3529,'Email Marketing Raw Data'!$C:$O,4,0)),"")</f>
        <v/>
      </c>
      <c r="H3529" s="55" t="str">
        <f>IFERROR(IF(OR($B3529="",$B3529="(blank)"),"",VLOOKUP($B3529,'Email Marketing Raw Data'!$C:$O,5,0)),"")</f>
        <v/>
      </c>
      <c r="I3529" s="55" t="str">
        <f>IFERROR(IF($G3529="","",VLOOKUP('Dashboard And Emails Automate'!$G3529,Database!$H:$N,3,0)),"")</f>
        <v/>
      </c>
      <c r="J3529" s="55" t="str">
        <f>IFERROR(IF($G3529="","",VLOOKUP('Dashboard And Emails Automate'!$G3529,Database!$H:$N,4,0)),"")</f>
        <v/>
      </c>
      <c r="K3529" s="55" t="str">
        <f>IFERROR(IF($G3529="","",VLOOKUP('Dashboard And Emails Automate'!$G3529,Database!$H:$N,5,0)),"")</f>
        <v/>
      </c>
      <c r="L3529" s="55" t="str">
        <f>IFERROR(IF($G3529="","",VLOOKUP('Dashboard And Emails Automate'!$G3529,Database!$H:$N,6,0)),"")</f>
        <v/>
      </c>
      <c r="M3529" s="55" t="str">
        <f>IFERROR(IF($G3529="","",VLOOKUP('Dashboard And Emails Automate'!$G3529,Database!$H:$N,7,0)),"")</f>
        <v/>
      </c>
      <c r="N3529" s="55" t="str">
        <f>IFERROR(IF(OR($B3529="",$B3529="(blank)"),"",VLOOKUP($B3529,'Email Marketing Raw Data'!$C:$O,6,0)),"")</f>
        <v/>
      </c>
      <c r="O3529" s="55" t="str">
        <f>IFERROR(IF(OR($B3529="",$B3529="(blank)"),"",VLOOKUP($B3529,'Email Marketing Raw Data'!$C:$O,7,0)),"")</f>
        <v/>
      </c>
      <c r="P3529" s="55" t="str">
        <f>IFERROR(IF(OR($B3529="",$B3529="(blank)"),"",VLOOKUP($B3529,'Email Marketing Raw Data'!$C:$O,8,0)),"")</f>
        <v/>
      </c>
      <c r="Q3529" s="62" t="str">
        <f>IFERROR(IF(OR($B3529="",$B3529="(blank)"),"",VLOOKUP($B3529,'Email Marketing Raw Data'!$C:$O,9,0)),"")</f>
        <v/>
      </c>
    </row>
    <row r="3530" spans="4:17" ht="12.75" customHeight="1" x14ac:dyDescent="0.2">
      <c r="D3530" s="58" t="str">
        <f>IFERROR(IF(F3530&lt;&gt;"pending","",IF(OR($B3530="",$B3530="(blank)"),"",VLOOKUP($B3530,'Email Marketing Raw Data'!$C:$O,10,0))),"")</f>
        <v/>
      </c>
      <c r="E3530" s="59" t="str">
        <f>IFERROR(IF(F3530&lt;&gt;"pending","",IF(OR($B3530="",$B3530="(blank)"),"",VLOOKUP($B3530,'Email Marketing Raw Data'!$C:$O,11,0))),"")</f>
        <v/>
      </c>
      <c r="F3530" s="54" t="str">
        <f>IFERROR(IF(OR($B3530="",$B3530="(blank)"),"",VLOOKUP($B3530,'Email Marketing Raw Data'!$C:$O,13,0)),"")</f>
        <v/>
      </c>
      <c r="G3530" s="55" t="str">
        <f>IFERROR(IF(OR($B3530="",$B3530="(blank)"),"",VLOOKUP($B3530,'Email Marketing Raw Data'!$C:$O,4,0)),"")</f>
        <v/>
      </c>
      <c r="H3530" s="55" t="str">
        <f>IFERROR(IF(OR($B3530="",$B3530="(blank)"),"",VLOOKUP($B3530,'Email Marketing Raw Data'!$C:$O,5,0)),"")</f>
        <v/>
      </c>
      <c r="I3530" s="55" t="str">
        <f>IFERROR(IF($G3530="","",VLOOKUP('Dashboard And Emails Automate'!$G3530,Database!$H:$N,3,0)),"")</f>
        <v/>
      </c>
      <c r="J3530" s="55" t="str">
        <f>IFERROR(IF($G3530="","",VLOOKUP('Dashboard And Emails Automate'!$G3530,Database!$H:$N,4,0)),"")</f>
        <v/>
      </c>
      <c r="K3530" s="55" t="str">
        <f>IFERROR(IF($G3530="","",VLOOKUP('Dashboard And Emails Automate'!$G3530,Database!$H:$N,5,0)),"")</f>
        <v/>
      </c>
      <c r="L3530" s="55" t="str">
        <f>IFERROR(IF($G3530="","",VLOOKUP('Dashboard And Emails Automate'!$G3530,Database!$H:$N,6,0)),"")</f>
        <v/>
      </c>
      <c r="M3530" s="55" t="str">
        <f>IFERROR(IF($G3530="","",VLOOKUP('Dashboard And Emails Automate'!$G3530,Database!$H:$N,7,0)),"")</f>
        <v/>
      </c>
      <c r="N3530" s="55" t="str">
        <f>IFERROR(IF(OR($B3530="",$B3530="(blank)"),"",VLOOKUP($B3530,'Email Marketing Raw Data'!$C:$O,6,0)),"")</f>
        <v/>
      </c>
      <c r="O3530" s="55" t="str">
        <f>IFERROR(IF(OR($B3530="",$B3530="(blank)"),"",VLOOKUP($B3530,'Email Marketing Raw Data'!$C:$O,7,0)),"")</f>
        <v/>
      </c>
      <c r="P3530" s="55" t="str">
        <f>IFERROR(IF(OR($B3530="",$B3530="(blank)"),"",VLOOKUP($B3530,'Email Marketing Raw Data'!$C:$O,8,0)),"")</f>
        <v/>
      </c>
      <c r="Q3530" s="62" t="str">
        <f>IFERROR(IF(OR($B3530="",$B3530="(blank)"),"",VLOOKUP($B3530,'Email Marketing Raw Data'!$C:$O,9,0)),"")</f>
        <v/>
      </c>
    </row>
    <row r="3531" spans="4:17" ht="12.75" customHeight="1" x14ac:dyDescent="0.2">
      <c r="D3531" s="58" t="str">
        <f>IFERROR(IF(F3531&lt;&gt;"pending","",IF(OR($B3531="",$B3531="(blank)"),"",VLOOKUP($B3531,'Email Marketing Raw Data'!$C:$O,10,0))),"")</f>
        <v/>
      </c>
      <c r="E3531" s="59" t="str">
        <f>IFERROR(IF(F3531&lt;&gt;"pending","",IF(OR($B3531="",$B3531="(blank)"),"",VLOOKUP($B3531,'Email Marketing Raw Data'!$C:$O,11,0))),"")</f>
        <v/>
      </c>
      <c r="F3531" s="54" t="str">
        <f>IFERROR(IF(OR($B3531="",$B3531="(blank)"),"",VLOOKUP($B3531,'Email Marketing Raw Data'!$C:$O,13,0)),"")</f>
        <v/>
      </c>
      <c r="G3531" s="55" t="str">
        <f>IFERROR(IF(OR($B3531="",$B3531="(blank)"),"",VLOOKUP($B3531,'Email Marketing Raw Data'!$C:$O,4,0)),"")</f>
        <v/>
      </c>
      <c r="H3531" s="55" t="str">
        <f>IFERROR(IF(OR($B3531="",$B3531="(blank)"),"",VLOOKUP($B3531,'Email Marketing Raw Data'!$C:$O,5,0)),"")</f>
        <v/>
      </c>
      <c r="I3531" s="55" t="str">
        <f>IFERROR(IF($G3531="","",VLOOKUP('Dashboard And Emails Automate'!$G3531,Database!$H:$N,3,0)),"")</f>
        <v/>
      </c>
      <c r="J3531" s="55" t="str">
        <f>IFERROR(IF($G3531="","",VLOOKUP('Dashboard And Emails Automate'!$G3531,Database!$H:$N,4,0)),"")</f>
        <v/>
      </c>
      <c r="K3531" s="55" t="str">
        <f>IFERROR(IF($G3531="","",VLOOKUP('Dashboard And Emails Automate'!$G3531,Database!$H:$N,5,0)),"")</f>
        <v/>
      </c>
      <c r="L3531" s="55" t="str">
        <f>IFERROR(IF($G3531="","",VLOOKUP('Dashboard And Emails Automate'!$G3531,Database!$H:$N,6,0)),"")</f>
        <v/>
      </c>
      <c r="M3531" s="55" t="str">
        <f>IFERROR(IF($G3531="","",VLOOKUP('Dashboard And Emails Automate'!$G3531,Database!$H:$N,7,0)),"")</f>
        <v/>
      </c>
      <c r="N3531" s="55" t="str">
        <f>IFERROR(IF(OR($B3531="",$B3531="(blank)"),"",VLOOKUP($B3531,'Email Marketing Raw Data'!$C:$O,6,0)),"")</f>
        <v/>
      </c>
      <c r="O3531" s="55" t="str">
        <f>IFERROR(IF(OR($B3531="",$B3531="(blank)"),"",VLOOKUP($B3531,'Email Marketing Raw Data'!$C:$O,7,0)),"")</f>
        <v/>
      </c>
      <c r="P3531" s="55" t="str">
        <f>IFERROR(IF(OR($B3531="",$B3531="(blank)"),"",VLOOKUP($B3531,'Email Marketing Raw Data'!$C:$O,8,0)),"")</f>
        <v/>
      </c>
      <c r="Q3531" s="62" t="str">
        <f>IFERROR(IF(OR($B3531="",$B3531="(blank)"),"",VLOOKUP($B3531,'Email Marketing Raw Data'!$C:$O,9,0)),"")</f>
        <v/>
      </c>
    </row>
    <row r="3532" spans="4:17" ht="12.75" customHeight="1" x14ac:dyDescent="0.2">
      <c r="D3532" s="58" t="str">
        <f>IFERROR(IF(F3532&lt;&gt;"pending","",IF(OR($B3532="",$B3532="(blank)"),"",VLOOKUP($B3532,'Email Marketing Raw Data'!$C:$O,10,0))),"")</f>
        <v/>
      </c>
      <c r="E3532" s="59" t="str">
        <f>IFERROR(IF(F3532&lt;&gt;"pending","",IF(OR($B3532="",$B3532="(blank)"),"",VLOOKUP($B3532,'Email Marketing Raw Data'!$C:$O,11,0))),"")</f>
        <v/>
      </c>
      <c r="F3532" s="54" t="str">
        <f>IFERROR(IF(OR($B3532="",$B3532="(blank)"),"",VLOOKUP($B3532,'Email Marketing Raw Data'!$C:$O,13,0)),"")</f>
        <v/>
      </c>
      <c r="G3532" s="55" t="str">
        <f>IFERROR(IF(OR($B3532="",$B3532="(blank)"),"",VLOOKUP($B3532,'Email Marketing Raw Data'!$C:$O,4,0)),"")</f>
        <v/>
      </c>
      <c r="H3532" s="55" t="str">
        <f>IFERROR(IF(OR($B3532="",$B3532="(blank)"),"",VLOOKUP($B3532,'Email Marketing Raw Data'!$C:$O,5,0)),"")</f>
        <v/>
      </c>
      <c r="I3532" s="55" t="str">
        <f>IFERROR(IF($G3532="","",VLOOKUP('Dashboard And Emails Automate'!$G3532,Database!$H:$N,3,0)),"")</f>
        <v/>
      </c>
      <c r="J3532" s="55" t="str">
        <f>IFERROR(IF($G3532="","",VLOOKUP('Dashboard And Emails Automate'!$G3532,Database!$H:$N,4,0)),"")</f>
        <v/>
      </c>
      <c r="K3532" s="55" t="str">
        <f>IFERROR(IF($G3532="","",VLOOKUP('Dashboard And Emails Automate'!$G3532,Database!$H:$N,5,0)),"")</f>
        <v/>
      </c>
      <c r="L3532" s="55" t="str">
        <f>IFERROR(IF($G3532="","",VLOOKUP('Dashboard And Emails Automate'!$G3532,Database!$H:$N,6,0)),"")</f>
        <v/>
      </c>
      <c r="M3532" s="55" t="str">
        <f>IFERROR(IF($G3532="","",VLOOKUP('Dashboard And Emails Automate'!$G3532,Database!$H:$N,7,0)),"")</f>
        <v/>
      </c>
      <c r="N3532" s="55" t="str">
        <f>IFERROR(IF(OR($B3532="",$B3532="(blank)"),"",VLOOKUP($B3532,'Email Marketing Raw Data'!$C:$O,6,0)),"")</f>
        <v/>
      </c>
      <c r="O3532" s="55" t="str">
        <f>IFERROR(IF(OR($B3532="",$B3532="(blank)"),"",VLOOKUP($B3532,'Email Marketing Raw Data'!$C:$O,7,0)),"")</f>
        <v/>
      </c>
      <c r="P3532" s="55" t="str">
        <f>IFERROR(IF(OR($B3532="",$B3532="(blank)"),"",VLOOKUP($B3532,'Email Marketing Raw Data'!$C:$O,8,0)),"")</f>
        <v/>
      </c>
      <c r="Q3532" s="62" t="str">
        <f>IFERROR(IF(OR($B3532="",$B3532="(blank)"),"",VLOOKUP($B3532,'Email Marketing Raw Data'!$C:$O,9,0)),"")</f>
        <v/>
      </c>
    </row>
    <row r="3533" spans="4:17" ht="12.75" customHeight="1" x14ac:dyDescent="0.2">
      <c r="D3533" s="58" t="str">
        <f>IFERROR(IF(F3533&lt;&gt;"pending","",IF(OR($B3533="",$B3533="(blank)"),"",VLOOKUP($B3533,'Email Marketing Raw Data'!$C:$O,10,0))),"")</f>
        <v/>
      </c>
      <c r="E3533" s="59" t="str">
        <f>IFERROR(IF(F3533&lt;&gt;"pending","",IF(OR($B3533="",$B3533="(blank)"),"",VLOOKUP($B3533,'Email Marketing Raw Data'!$C:$O,11,0))),"")</f>
        <v/>
      </c>
      <c r="F3533" s="54" t="str">
        <f>IFERROR(IF(OR($B3533="",$B3533="(blank)"),"",VLOOKUP($B3533,'Email Marketing Raw Data'!$C:$O,13,0)),"")</f>
        <v/>
      </c>
      <c r="G3533" s="55" t="str">
        <f>IFERROR(IF(OR($B3533="",$B3533="(blank)"),"",VLOOKUP($B3533,'Email Marketing Raw Data'!$C:$O,4,0)),"")</f>
        <v/>
      </c>
      <c r="H3533" s="55" t="str">
        <f>IFERROR(IF(OR($B3533="",$B3533="(blank)"),"",VLOOKUP($B3533,'Email Marketing Raw Data'!$C:$O,5,0)),"")</f>
        <v/>
      </c>
      <c r="I3533" s="55" t="str">
        <f>IFERROR(IF($G3533="","",VLOOKUP('Dashboard And Emails Automate'!$G3533,Database!$H:$N,3,0)),"")</f>
        <v/>
      </c>
      <c r="J3533" s="55" t="str">
        <f>IFERROR(IF($G3533="","",VLOOKUP('Dashboard And Emails Automate'!$G3533,Database!$H:$N,4,0)),"")</f>
        <v/>
      </c>
      <c r="K3533" s="55" t="str">
        <f>IFERROR(IF($G3533="","",VLOOKUP('Dashboard And Emails Automate'!$G3533,Database!$H:$N,5,0)),"")</f>
        <v/>
      </c>
      <c r="L3533" s="55" t="str">
        <f>IFERROR(IF($G3533="","",VLOOKUP('Dashboard And Emails Automate'!$G3533,Database!$H:$N,6,0)),"")</f>
        <v/>
      </c>
      <c r="M3533" s="55" t="str">
        <f>IFERROR(IF($G3533="","",VLOOKUP('Dashboard And Emails Automate'!$G3533,Database!$H:$N,7,0)),"")</f>
        <v/>
      </c>
      <c r="N3533" s="55" t="str">
        <f>IFERROR(IF(OR($B3533="",$B3533="(blank)"),"",VLOOKUP($B3533,'Email Marketing Raw Data'!$C:$O,6,0)),"")</f>
        <v/>
      </c>
      <c r="O3533" s="55" t="str">
        <f>IFERROR(IF(OR($B3533="",$B3533="(blank)"),"",VLOOKUP($B3533,'Email Marketing Raw Data'!$C:$O,7,0)),"")</f>
        <v/>
      </c>
      <c r="P3533" s="55" t="str">
        <f>IFERROR(IF(OR($B3533="",$B3533="(blank)"),"",VLOOKUP($B3533,'Email Marketing Raw Data'!$C:$O,8,0)),"")</f>
        <v/>
      </c>
      <c r="Q3533" s="62" t="str">
        <f>IFERROR(IF(OR($B3533="",$B3533="(blank)"),"",VLOOKUP($B3533,'Email Marketing Raw Data'!$C:$O,9,0)),"")</f>
        <v/>
      </c>
    </row>
    <row r="3534" spans="4:17" ht="12.75" customHeight="1" x14ac:dyDescent="0.2">
      <c r="D3534" s="58" t="str">
        <f>IFERROR(IF(F3534&lt;&gt;"pending","",IF(OR($B3534="",$B3534="(blank)"),"",VLOOKUP($B3534,'Email Marketing Raw Data'!$C:$O,10,0))),"")</f>
        <v/>
      </c>
      <c r="E3534" s="59" t="str">
        <f>IFERROR(IF(F3534&lt;&gt;"pending","",IF(OR($B3534="",$B3534="(blank)"),"",VLOOKUP($B3534,'Email Marketing Raw Data'!$C:$O,11,0))),"")</f>
        <v/>
      </c>
      <c r="F3534" s="54" t="str">
        <f>IFERROR(IF(OR($B3534="",$B3534="(blank)"),"",VLOOKUP($B3534,'Email Marketing Raw Data'!$C:$O,13,0)),"")</f>
        <v/>
      </c>
      <c r="G3534" s="55" t="str">
        <f>IFERROR(IF(OR($B3534="",$B3534="(blank)"),"",VLOOKUP($B3534,'Email Marketing Raw Data'!$C:$O,4,0)),"")</f>
        <v/>
      </c>
      <c r="H3534" s="55" t="str">
        <f>IFERROR(IF(OR($B3534="",$B3534="(blank)"),"",VLOOKUP($B3534,'Email Marketing Raw Data'!$C:$O,5,0)),"")</f>
        <v/>
      </c>
      <c r="I3534" s="55" t="str">
        <f>IFERROR(IF($G3534="","",VLOOKUP('Dashboard And Emails Automate'!$G3534,Database!$H:$N,3,0)),"")</f>
        <v/>
      </c>
      <c r="J3534" s="55" t="str">
        <f>IFERROR(IF($G3534="","",VLOOKUP('Dashboard And Emails Automate'!$G3534,Database!$H:$N,4,0)),"")</f>
        <v/>
      </c>
      <c r="K3534" s="55" t="str">
        <f>IFERROR(IF($G3534="","",VLOOKUP('Dashboard And Emails Automate'!$G3534,Database!$H:$N,5,0)),"")</f>
        <v/>
      </c>
      <c r="L3534" s="55" t="str">
        <f>IFERROR(IF($G3534="","",VLOOKUP('Dashboard And Emails Automate'!$G3534,Database!$H:$N,6,0)),"")</f>
        <v/>
      </c>
      <c r="M3534" s="55" t="str">
        <f>IFERROR(IF($G3534="","",VLOOKUP('Dashboard And Emails Automate'!$G3534,Database!$H:$N,7,0)),"")</f>
        <v/>
      </c>
      <c r="N3534" s="55" t="str">
        <f>IFERROR(IF(OR($B3534="",$B3534="(blank)"),"",VLOOKUP($B3534,'Email Marketing Raw Data'!$C:$O,6,0)),"")</f>
        <v/>
      </c>
      <c r="O3534" s="55" t="str">
        <f>IFERROR(IF(OR($B3534="",$B3534="(blank)"),"",VLOOKUP($B3534,'Email Marketing Raw Data'!$C:$O,7,0)),"")</f>
        <v/>
      </c>
      <c r="P3534" s="55" t="str">
        <f>IFERROR(IF(OR($B3534="",$B3534="(blank)"),"",VLOOKUP($B3534,'Email Marketing Raw Data'!$C:$O,8,0)),"")</f>
        <v/>
      </c>
      <c r="Q3534" s="62" t="str">
        <f>IFERROR(IF(OR($B3534="",$B3534="(blank)"),"",VLOOKUP($B3534,'Email Marketing Raw Data'!$C:$O,9,0)),"")</f>
        <v/>
      </c>
    </row>
    <row r="3535" spans="4:17" ht="12.75" customHeight="1" x14ac:dyDescent="0.2">
      <c r="D3535" s="58" t="str">
        <f>IFERROR(IF(F3535&lt;&gt;"pending","",IF(OR($B3535="",$B3535="(blank)"),"",VLOOKUP($B3535,'Email Marketing Raw Data'!$C:$O,10,0))),"")</f>
        <v/>
      </c>
      <c r="E3535" s="59" t="str">
        <f>IFERROR(IF(F3535&lt;&gt;"pending","",IF(OR($B3535="",$B3535="(blank)"),"",VLOOKUP($B3535,'Email Marketing Raw Data'!$C:$O,11,0))),"")</f>
        <v/>
      </c>
      <c r="F3535" s="54" t="str">
        <f>IFERROR(IF(OR($B3535="",$B3535="(blank)"),"",VLOOKUP($B3535,'Email Marketing Raw Data'!$C:$O,13,0)),"")</f>
        <v/>
      </c>
      <c r="G3535" s="55" t="str">
        <f>IFERROR(IF(OR($B3535="",$B3535="(blank)"),"",VLOOKUP($B3535,'Email Marketing Raw Data'!$C:$O,4,0)),"")</f>
        <v/>
      </c>
      <c r="H3535" s="55" t="str">
        <f>IFERROR(IF(OR($B3535="",$B3535="(blank)"),"",VLOOKUP($B3535,'Email Marketing Raw Data'!$C:$O,5,0)),"")</f>
        <v/>
      </c>
      <c r="I3535" s="55" t="str">
        <f>IFERROR(IF($G3535="","",VLOOKUP('Dashboard And Emails Automate'!$G3535,Database!$H:$N,3,0)),"")</f>
        <v/>
      </c>
      <c r="J3535" s="55" t="str">
        <f>IFERROR(IF($G3535="","",VLOOKUP('Dashboard And Emails Automate'!$G3535,Database!$H:$N,4,0)),"")</f>
        <v/>
      </c>
      <c r="K3535" s="55" t="str">
        <f>IFERROR(IF($G3535="","",VLOOKUP('Dashboard And Emails Automate'!$G3535,Database!$H:$N,5,0)),"")</f>
        <v/>
      </c>
      <c r="L3535" s="55" t="str">
        <f>IFERROR(IF($G3535="","",VLOOKUP('Dashboard And Emails Automate'!$G3535,Database!$H:$N,6,0)),"")</f>
        <v/>
      </c>
      <c r="M3535" s="55" t="str">
        <f>IFERROR(IF($G3535="","",VLOOKUP('Dashboard And Emails Automate'!$G3535,Database!$H:$N,7,0)),"")</f>
        <v/>
      </c>
      <c r="N3535" s="55" t="str">
        <f>IFERROR(IF(OR($B3535="",$B3535="(blank)"),"",VLOOKUP($B3535,'Email Marketing Raw Data'!$C:$O,6,0)),"")</f>
        <v/>
      </c>
      <c r="O3535" s="55" t="str">
        <f>IFERROR(IF(OR($B3535="",$B3535="(blank)"),"",VLOOKUP($B3535,'Email Marketing Raw Data'!$C:$O,7,0)),"")</f>
        <v/>
      </c>
      <c r="P3535" s="55" t="str">
        <f>IFERROR(IF(OR($B3535="",$B3535="(blank)"),"",VLOOKUP($B3535,'Email Marketing Raw Data'!$C:$O,8,0)),"")</f>
        <v/>
      </c>
      <c r="Q3535" s="62" t="str">
        <f>IFERROR(IF(OR($B3535="",$B3535="(blank)"),"",VLOOKUP($B3535,'Email Marketing Raw Data'!$C:$O,9,0)),"")</f>
        <v/>
      </c>
    </row>
    <row r="3536" spans="4:17" ht="12.75" customHeight="1" x14ac:dyDescent="0.2">
      <c r="D3536" s="58" t="str">
        <f>IFERROR(IF(F3536&lt;&gt;"pending","",IF(OR($B3536="",$B3536="(blank)"),"",VLOOKUP($B3536,'Email Marketing Raw Data'!$C:$O,10,0))),"")</f>
        <v/>
      </c>
      <c r="E3536" s="59" t="str">
        <f>IFERROR(IF(F3536&lt;&gt;"pending","",IF(OR($B3536="",$B3536="(blank)"),"",VLOOKUP($B3536,'Email Marketing Raw Data'!$C:$O,11,0))),"")</f>
        <v/>
      </c>
      <c r="F3536" s="54" t="str">
        <f>IFERROR(IF(OR($B3536="",$B3536="(blank)"),"",VLOOKUP($B3536,'Email Marketing Raw Data'!$C:$O,13,0)),"")</f>
        <v/>
      </c>
      <c r="G3536" s="55" t="str">
        <f>IFERROR(IF(OR($B3536="",$B3536="(blank)"),"",VLOOKUP($B3536,'Email Marketing Raw Data'!$C:$O,4,0)),"")</f>
        <v/>
      </c>
      <c r="H3536" s="55" t="str">
        <f>IFERROR(IF(OR($B3536="",$B3536="(blank)"),"",VLOOKUP($B3536,'Email Marketing Raw Data'!$C:$O,5,0)),"")</f>
        <v/>
      </c>
      <c r="I3536" s="55" t="str">
        <f>IFERROR(IF($G3536="","",VLOOKUP('Dashboard And Emails Automate'!$G3536,Database!$H:$N,3,0)),"")</f>
        <v/>
      </c>
      <c r="J3536" s="55" t="str">
        <f>IFERROR(IF($G3536="","",VLOOKUP('Dashboard And Emails Automate'!$G3536,Database!$H:$N,4,0)),"")</f>
        <v/>
      </c>
      <c r="K3536" s="55" t="str">
        <f>IFERROR(IF($G3536="","",VLOOKUP('Dashboard And Emails Automate'!$G3536,Database!$H:$N,5,0)),"")</f>
        <v/>
      </c>
      <c r="L3536" s="55" t="str">
        <f>IFERROR(IF($G3536="","",VLOOKUP('Dashboard And Emails Automate'!$G3536,Database!$H:$N,6,0)),"")</f>
        <v/>
      </c>
      <c r="M3536" s="55" t="str">
        <f>IFERROR(IF($G3536="","",VLOOKUP('Dashboard And Emails Automate'!$G3536,Database!$H:$N,7,0)),"")</f>
        <v/>
      </c>
      <c r="N3536" s="55" t="str">
        <f>IFERROR(IF(OR($B3536="",$B3536="(blank)"),"",VLOOKUP($B3536,'Email Marketing Raw Data'!$C:$O,6,0)),"")</f>
        <v/>
      </c>
      <c r="O3536" s="55" t="str">
        <f>IFERROR(IF(OR($B3536="",$B3536="(blank)"),"",VLOOKUP($B3536,'Email Marketing Raw Data'!$C:$O,7,0)),"")</f>
        <v/>
      </c>
      <c r="P3536" s="55" t="str">
        <f>IFERROR(IF(OR($B3536="",$B3536="(blank)"),"",VLOOKUP($B3536,'Email Marketing Raw Data'!$C:$O,8,0)),"")</f>
        <v/>
      </c>
      <c r="Q3536" s="62" t="str">
        <f>IFERROR(IF(OR($B3536="",$B3536="(blank)"),"",VLOOKUP($B3536,'Email Marketing Raw Data'!$C:$O,9,0)),"")</f>
        <v/>
      </c>
    </row>
    <row r="3537" spans="4:17" ht="12.75" customHeight="1" x14ac:dyDescent="0.2">
      <c r="D3537" s="58" t="str">
        <f>IFERROR(IF(F3537&lt;&gt;"pending","",IF(OR($B3537="",$B3537="(blank)"),"",VLOOKUP($B3537,'Email Marketing Raw Data'!$C:$O,10,0))),"")</f>
        <v/>
      </c>
      <c r="E3537" s="59" t="str">
        <f>IFERROR(IF(F3537&lt;&gt;"pending","",IF(OR($B3537="",$B3537="(blank)"),"",VLOOKUP($B3537,'Email Marketing Raw Data'!$C:$O,11,0))),"")</f>
        <v/>
      </c>
      <c r="F3537" s="54" t="str">
        <f>IFERROR(IF(OR($B3537="",$B3537="(blank)"),"",VLOOKUP($B3537,'Email Marketing Raw Data'!$C:$O,13,0)),"")</f>
        <v/>
      </c>
      <c r="G3537" s="55" t="str">
        <f>IFERROR(IF(OR($B3537="",$B3537="(blank)"),"",VLOOKUP($B3537,'Email Marketing Raw Data'!$C:$O,4,0)),"")</f>
        <v/>
      </c>
      <c r="H3537" s="55" t="str">
        <f>IFERROR(IF(OR($B3537="",$B3537="(blank)"),"",VLOOKUP($B3537,'Email Marketing Raw Data'!$C:$O,5,0)),"")</f>
        <v/>
      </c>
      <c r="I3537" s="55" t="str">
        <f>IFERROR(IF($G3537="","",VLOOKUP('Dashboard And Emails Automate'!$G3537,Database!$H:$N,3,0)),"")</f>
        <v/>
      </c>
      <c r="J3537" s="55" t="str">
        <f>IFERROR(IF($G3537="","",VLOOKUP('Dashboard And Emails Automate'!$G3537,Database!$H:$N,4,0)),"")</f>
        <v/>
      </c>
      <c r="K3537" s="55" t="str">
        <f>IFERROR(IF($G3537="","",VLOOKUP('Dashboard And Emails Automate'!$G3537,Database!$H:$N,5,0)),"")</f>
        <v/>
      </c>
      <c r="L3537" s="55" t="str">
        <f>IFERROR(IF($G3537="","",VLOOKUP('Dashboard And Emails Automate'!$G3537,Database!$H:$N,6,0)),"")</f>
        <v/>
      </c>
      <c r="M3537" s="55" t="str">
        <f>IFERROR(IF($G3537="","",VLOOKUP('Dashboard And Emails Automate'!$G3537,Database!$H:$N,7,0)),"")</f>
        <v/>
      </c>
      <c r="N3537" s="55" t="str">
        <f>IFERROR(IF(OR($B3537="",$B3537="(blank)"),"",VLOOKUP($B3537,'Email Marketing Raw Data'!$C:$O,6,0)),"")</f>
        <v/>
      </c>
      <c r="O3537" s="55" t="str">
        <f>IFERROR(IF(OR($B3537="",$B3537="(blank)"),"",VLOOKUP($B3537,'Email Marketing Raw Data'!$C:$O,7,0)),"")</f>
        <v/>
      </c>
      <c r="P3537" s="55" t="str">
        <f>IFERROR(IF(OR($B3537="",$B3537="(blank)"),"",VLOOKUP($B3537,'Email Marketing Raw Data'!$C:$O,8,0)),"")</f>
        <v/>
      </c>
      <c r="Q3537" s="62" t="str">
        <f>IFERROR(IF(OR($B3537="",$B3537="(blank)"),"",VLOOKUP($B3537,'Email Marketing Raw Data'!$C:$O,9,0)),"")</f>
        <v/>
      </c>
    </row>
    <row r="3538" spans="4:17" ht="12.75" customHeight="1" x14ac:dyDescent="0.2">
      <c r="D3538" s="58" t="str">
        <f>IFERROR(IF(F3538&lt;&gt;"pending","",IF(OR($B3538="",$B3538="(blank)"),"",VLOOKUP($B3538,'Email Marketing Raw Data'!$C:$O,10,0))),"")</f>
        <v/>
      </c>
      <c r="E3538" s="59" t="str">
        <f>IFERROR(IF(F3538&lt;&gt;"pending","",IF(OR($B3538="",$B3538="(blank)"),"",VLOOKUP($B3538,'Email Marketing Raw Data'!$C:$O,11,0))),"")</f>
        <v/>
      </c>
      <c r="F3538" s="54" t="str">
        <f>IFERROR(IF(OR($B3538="",$B3538="(blank)"),"",VLOOKUP($B3538,'Email Marketing Raw Data'!$C:$O,13,0)),"")</f>
        <v/>
      </c>
      <c r="G3538" s="55" t="str">
        <f>IFERROR(IF(OR($B3538="",$B3538="(blank)"),"",VLOOKUP($B3538,'Email Marketing Raw Data'!$C:$O,4,0)),"")</f>
        <v/>
      </c>
      <c r="H3538" s="55" t="str">
        <f>IFERROR(IF(OR($B3538="",$B3538="(blank)"),"",VLOOKUP($B3538,'Email Marketing Raw Data'!$C:$O,5,0)),"")</f>
        <v/>
      </c>
      <c r="I3538" s="55" t="str">
        <f>IFERROR(IF($G3538="","",VLOOKUP('Dashboard And Emails Automate'!$G3538,Database!$H:$N,3,0)),"")</f>
        <v/>
      </c>
      <c r="J3538" s="55" t="str">
        <f>IFERROR(IF($G3538="","",VLOOKUP('Dashboard And Emails Automate'!$G3538,Database!$H:$N,4,0)),"")</f>
        <v/>
      </c>
      <c r="K3538" s="55" t="str">
        <f>IFERROR(IF($G3538="","",VLOOKUP('Dashboard And Emails Automate'!$G3538,Database!$H:$N,5,0)),"")</f>
        <v/>
      </c>
      <c r="L3538" s="55" t="str">
        <f>IFERROR(IF($G3538="","",VLOOKUP('Dashboard And Emails Automate'!$G3538,Database!$H:$N,6,0)),"")</f>
        <v/>
      </c>
      <c r="M3538" s="55" t="str">
        <f>IFERROR(IF($G3538="","",VLOOKUP('Dashboard And Emails Automate'!$G3538,Database!$H:$N,7,0)),"")</f>
        <v/>
      </c>
      <c r="N3538" s="55" t="str">
        <f>IFERROR(IF(OR($B3538="",$B3538="(blank)"),"",VLOOKUP($B3538,'Email Marketing Raw Data'!$C:$O,6,0)),"")</f>
        <v/>
      </c>
      <c r="O3538" s="55" t="str">
        <f>IFERROR(IF(OR($B3538="",$B3538="(blank)"),"",VLOOKUP($B3538,'Email Marketing Raw Data'!$C:$O,7,0)),"")</f>
        <v/>
      </c>
      <c r="P3538" s="55" t="str">
        <f>IFERROR(IF(OR($B3538="",$B3538="(blank)"),"",VLOOKUP($B3538,'Email Marketing Raw Data'!$C:$O,8,0)),"")</f>
        <v/>
      </c>
      <c r="Q3538" s="62" t="str">
        <f>IFERROR(IF(OR($B3538="",$B3538="(blank)"),"",VLOOKUP($B3538,'Email Marketing Raw Data'!$C:$O,9,0)),"")</f>
        <v/>
      </c>
    </row>
    <row r="3539" spans="4:17" ht="12.75" customHeight="1" x14ac:dyDescent="0.2">
      <c r="D3539" s="58" t="str">
        <f>IFERROR(IF(F3539&lt;&gt;"pending","",IF(OR($B3539="",$B3539="(blank)"),"",VLOOKUP($B3539,'Email Marketing Raw Data'!$C:$O,10,0))),"")</f>
        <v/>
      </c>
      <c r="E3539" s="59" t="str">
        <f>IFERROR(IF(F3539&lt;&gt;"pending","",IF(OR($B3539="",$B3539="(blank)"),"",VLOOKUP($B3539,'Email Marketing Raw Data'!$C:$O,11,0))),"")</f>
        <v/>
      </c>
      <c r="F3539" s="54" t="str">
        <f>IFERROR(IF(OR($B3539="",$B3539="(blank)"),"",VLOOKUP($B3539,'Email Marketing Raw Data'!$C:$O,13,0)),"")</f>
        <v/>
      </c>
      <c r="G3539" s="55" t="str">
        <f>IFERROR(IF(OR($B3539="",$B3539="(blank)"),"",VLOOKUP($B3539,'Email Marketing Raw Data'!$C:$O,4,0)),"")</f>
        <v/>
      </c>
      <c r="H3539" s="55" t="str">
        <f>IFERROR(IF(OR($B3539="",$B3539="(blank)"),"",VLOOKUP($B3539,'Email Marketing Raw Data'!$C:$O,5,0)),"")</f>
        <v/>
      </c>
      <c r="I3539" s="55" t="str">
        <f>IFERROR(IF($G3539="","",VLOOKUP('Dashboard And Emails Automate'!$G3539,Database!$H:$N,3,0)),"")</f>
        <v/>
      </c>
      <c r="J3539" s="55" t="str">
        <f>IFERROR(IF($G3539="","",VLOOKUP('Dashboard And Emails Automate'!$G3539,Database!$H:$N,4,0)),"")</f>
        <v/>
      </c>
      <c r="K3539" s="55" t="str">
        <f>IFERROR(IF($G3539="","",VLOOKUP('Dashboard And Emails Automate'!$G3539,Database!$H:$N,5,0)),"")</f>
        <v/>
      </c>
      <c r="L3539" s="55" t="str">
        <f>IFERROR(IF($G3539="","",VLOOKUP('Dashboard And Emails Automate'!$G3539,Database!$H:$N,6,0)),"")</f>
        <v/>
      </c>
      <c r="M3539" s="55" t="str">
        <f>IFERROR(IF($G3539="","",VLOOKUP('Dashboard And Emails Automate'!$G3539,Database!$H:$N,7,0)),"")</f>
        <v/>
      </c>
      <c r="N3539" s="55" t="str">
        <f>IFERROR(IF(OR($B3539="",$B3539="(blank)"),"",VLOOKUP($B3539,'Email Marketing Raw Data'!$C:$O,6,0)),"")</f>
        <v/>
      </c>
      <c r="O3539" s="55" t="str">
        <f>IFERROR(IF(OR($B3539="",$B3539="(blank)"),"",VLOOKUP($B3539,'Email Marketing Raw Data'!$C:$O,7,0)),"")</f>
        <v/>
      </c>
      <c r="P3539" s="55" t="str">
        <f>IFERROR(IF(OR($B3539="",$B3539="(blank)"),"",VLOOKUP($B3539,'Email Marketing Raw Data'!$C:$O,8,0)),"")</f>
        <v/>
      </c>
      <c r="Q3539" s="62" t="str">
        <f>IFERROR(IF(OR($B3539="",$B3539="(blank)"),"",VLOOKUP($B3539,'Email Marketing Raw Data'!$C:$O,9,0)),"")</f>
        <v/>
      </c>
    </row>
    <row r="3540" spans="4:17" ht="12.75" customHeight="1" x14ac:dyDescent="0.2">
      <c r="D3540" s="58" t="str">
        <f>IFERROR(IF(F3540&lt;&gt;"pending","",IF(OR($B3540="",$B3540="(blank)"),"",VLOOKUP($B3540,'Email Marketing Raw Data'!$C:$O,10,0))),"")</f>
        <v/>
      </c>
      <c r="E3540" s="59" t="str">
        <f>IFERROR(IF(F3540&lt;&gt;"pending","",IF(OR($B3540="",$B3540="(blank)"),"",VLOOKUP($B3540,'Email Marketing Raw Data'!$C:$O,11,0))),"")</f>
        <v/>
      </c>
      <c r="F3540" s="54" t="str">
        <f>IFERROR(IF(OR($B3540="",$B3540="(blank)"),"",VLOOKUP($B3540,'Email Marketing Raw Data'!$C:$O,13,0)),"")</f>
        <v/>
      </c>
      <c r="G3540" s="55" t="str">
        <f>IFERROR(IF(OR($B3540="",$B3540="(blank)"),"",VLOOKUP($B3540,'Email Marketing Raw Data'!$C:$O,4,0)),"")</f>
        <v/>
      </c>
      <c r="H3540" s="55" t="str">
        <f>IFERROR(IF(OR($B3540="",$B3540="(blank)"),"",VLOOKUP($B3540,'Email Marketing Raw Data'!$C:$O,5,0)),"")</f>
        <v/>
      </c>
      <c r="I3540" s="55" t="str">
        <f>IFERROR(IF($G3540="","",VLOOKUP('Dashboard And Emails Automate'!$G3540,Database!$H:$N,3,0)),"")</f>
        <v/>
      </c>
      <c r="J3540" s="55" t="str">
        <f>IFERROR(IF($G3540="","",VLOOKUP('Dashboard And Emails Automate'!$G3540,Database!$H:$N,4,0)),"")</f>
        <v/>
      </c>
      <c r="K3540" s="55" t="str">
        <f>IFERROR(IF($G3540="","",VLOOKUP('Dashboard And Emails Automate'!$G3540,Database!$H:$N,5,0)),"")</f>
        <v/>
      </c>
      <c r="L3540" s="55" t="str">
        <f>IFERROR(IF($G3540="","",VLOOKUP('Dashboard And Emails Automate'!$G3540,Database!$H:$N,6,0)),"")</f>
        <v/>
      </c>
      <c r="M3540" s="55" t="str">
        <f>IFERROR(IF($G3540="","",VLOOKUP('Dashboard And Emails Automate'!$G3540,Database!$H:$N,7,0)),"")</f>
        <v/>
      </c>
      <c r="N3540" s="55" t="str">
        <f>IFERROR(IF(OR($B3540="",$B3540="(blank)"),"",VLOOKUP($B3540,'Email Marketing Raw Data'!$C:$O,6,0)),"")</f>
        <v/>
      </c>
      <c r="O3540" s="55" t="str">
        <f>IFERROR(IF(OR($B3540="",$B3540="(blank)"),"",VLOOKUP($B3540,'Email Marketing Raw Data'!$C:$O,7,0)),"")</f>
        <v/>
      </c>
      <c r="P3540" s="55" t="str">
        <f>IFERROR(IF(OR($B3540="",$B3540="(blank)"),"",VLOOKUP($B3540,'Email Marketing Raw Data'!$C:$O,8,0)),"")</f>
        <v/>
      </c>
      <c r="Q3540" s="62" t="str">
        <f>IFERROR(IF(OR($B3540="",$B3540="(blank)"),"",VLOOKUP($B3540,'Email Marketing Raw Data'!$C:$O,9,0)),"")</f>
        <v/>
      </c>
    </row>
    <row r="3541" spans="4:17" ht="12.75" customHeight="1" x14ac:dyDescent="0.2">
      <c r="D3541" s="58" t="str">
        <f>IFERROR(IF(F3541&lt;&gt;"pending","",IF(OR($B3541="",$B3541="(blank)"),"",VLOOKUP($B3541,'Email Marketing Raw Data'!$C:$O,10,0))),"")</f>
        <v/>
      </c>
      <c r="E3541" s="59" t="str">
        <f>IFERROR(IF(F3541&lt;&gt;"pending","",IF(OR($B3541="",$B3541="(blank)"),"",VLOOKUP($B3541,'Email Marketing Raw Data'!$C:$O,11,0))),"")</f>
        <v/>
      </c>
      <c r="F3541" s="54" t="str">
        <f>IFERROR(IF(OR($B3541="",$B3541="(blank)"),"",VLOOKUP($B3541,'Email Marketing Raw Data'!$C:$O,13,0)),"")</f>
        <v/>
      </c>
      <c r="G3541" s="55" t="str">
        <f>IFERROR(IF(OR($B3541="",$B3541="(blank)"),"",VLOOKUP($B3541,'Email Marketing Raw Data'!$C:$O,4,0)),"")</f>
        <v/>
      </c>
      <c r="H3541" s="55" t="str">
        <f>IFERROR(IF(OR($B3541="",$B3541="(blank)"),"",VLOOKUP($B3541,'Email Marketing Raw Data'!$C:$O,5,0)),"")</f>
        <v/>
      </c>
      <c r="I3541" s="55" t="str">
        <f>IFERROR(IF($G3541="","",VLOOKUP('Dashboard And Emails Automate'!$G3541,Database!$H:$N,3,0)),"")</f>
        <v/>
      </c>
      <c r="J3541" s="55" t="str">
        <f>IFERROR(IF($G3541="","",VLOOKUP('Dashboard And Emails Automate'!$G3541,Database!$H:$N,4,0)),"")</f>
        <v/>
      </c>
      <c r="K3541" s="55" t="str">
        <f>IFERROR(IF($G3541="","",VLOOKUP('Dashboard And Emails Automate'!$G3541,Database!$H:$N,5,0)),"")</f>
        <v/>
      </c>
      <c r="L3541" s="55" t="str">
        <f>IFERROR(IF($G3541="","",VLOOKUP('Dashboard And Emails Automate'!$G3541,Database!$H:$N,6,0)),"")</f>
        <v/>
      </c>
      <c r="M3541" s="55" t="str">
        <f>IFERROR(IF($G3541="","",VLOOKUP('Dashboard And Emails Automate'!$G3541,Database!$H:$N,7,0)),"")</f>
        <v/>
      </c>
      <c r="N3541" s="55" t="str">
        <f>IFERROR(IF(OR($B3541="",$B3541="(blank)"),"",VLOOKUP($B3541,'Email Marketing Raw Data'!$C:$O,6,0)),"")</f>
        <v/>
      </c>
      <c r="O3541" s="55" t="str">
        <f>IFERROR(IF(OR($B3541="",$B3541="(blank)"),"",VLOOKUP($B3541,'Email Marketing Raw Data'!$C:$O,7,0)),"")</f>
        <v/>
      </c>
      <c r="P3541" s="55" t="str">
        <f>IFERROR(IF(OR($B3541="",$B3541="(blank)"),"",VLOOKUP($B3541,'Email Marketing Raw Data'!$C:$O,8,0)),"")</f>
        <v/>
      </c>
      <c r="Q3541" s="62" t="str">
        <f>IFERROR(IF(OR($B3541="",$B3541="(blank)"),"",VLOOKUP($B3541,'Email Marketing Raw Data'!$C:$O,9,0)),"")</f>
        <v/>
      </c>
    </row>
    <row r="3542" spans="4:17" ht="12.75" customHeight="1" x14ac:dyDescent="0.2">
      <c r="D3542" s="58" t="str">
        <f>IFERROR(IF(F3542&lt;&gt;"pending","",IF(OR($B3542="",$B3542="(blank)"),"",VLOOKUP($B3542,'Email Marketing Raw Data'!$C:$O,10,0))),"")</f>
        <v/>
      </c>
      <c r="E3542" s="59" t="str">
        <f>IFERROR(IF(F3542&lt;&gt;"pending","",IF(OR($B3542="",$B3542="(blank)"),"",VLOOKUP($B3542,'Email Marketing Raw Data'!$C:$O,11,0))),"")</f>
        <v/>
      </c>
      <c r="F3542" s="54" t="str">
        <f>IFERROR(IF(OR($B3542="",$B3542="(blank)"),"",VLOOKUP($B3542,'Email Marketing Raw Data'!$C:$O,13,0)),"")</f>
        <v/>
      </c>
      <c r="G3542" s="55" t="str">
        <f>IFERROR(IF(OR($B3542="",$B3542="(blank)"),"",VLOOKUP($B3542,'Email Marketing Raw Data'!$C:$O,4,0)),"")</f>
        <v/>
      </c>
      <c r="H3542" s="55" t="str">
        <f>IFERROR(IF(OR($B3542="",$B3542="(blank)"),"",VLOOKUP($B3542,'Email Marketing Raw Data'!$C:$O,5,0)),"")</f>
        <v/>
      </c>
      <c r="I3542" s="55" t="str">
        <f>IFERROR(IF($G3542="","",VLOOKUP('Dashboard And Emails Automate'!$G3542,Database!$H:$N,3,0)),"")</f>
        <v/>
      </c>
      <c r="J3542" s="55" t="str">
        <f>IFERROR(IF($G3542="","",VLOOKUP('Dashboard And Emails Automate'!$G3542,Database!$H:$N,4,0)),"")</f>
        <v/>
      </c>
      <c r="K3542" s="55" t="str">
        <f>IFERROR(IF($G3542="","",VLOOKUP('Dashboard And Emails Automate'!$G3542,Database!$H:$N,5,0)),"")</f>
        <v/>
      </c>
      <c r="L3542" s="55" t="str">
        <f>IFERROR(IF($G3542="","",VLOOKUP('Dashboard And Emails Automate'!$G3542,Database!$H:$N,6,0)),"")</f>
        <v/>
      </c>
      <c r="M3542" s="55" t="str">
        <f>IFERROR(IF($G3542="","",VLOOKUP('Dashboard And Emails Automate'!$G3542,Database!$H:$N,7,0)),"")</f>
        <v/>
      </c>
      <c r="N3542" s="55" t="str">
        <f>IFERROR(IF(OR($B3542="",$B3542="(blank)"),"",VLOOKUP($B3542,'Email Marketing Raw Data'!$C:$O,6,0)),"")</f>
        <v/>
      </c>
      <c r="O3542" s="55" t="str">
        <f>IFERROR(IF(OR($B3542="",$B3542="(blank)"),"",VLOOKUP($B3542,'Email Marketing Raw Data'!$C:$O,7,0)),"")</f>
        <v/>
      </c>
      <c r="P3542" s="55" t="str">
        <f>IFERROR(IF(OR($B3542="",$B3542="(blank)"),"",VLOOKUP($B3542,'Email Marketing Raw Data'!$C:$O,8,0)),"")</f>
        <v/>
      </c>
      <c r="Q3542" s="62" t="str">
        <f>IFERROR(IF(OR($B3542="",$B3542="(blank)"),"",VLOOKUP($B3542,'Email Marketing Raw Data'!$C:$O,9,0)),"")</f>
        <v/>
      </c>
    </row>
    <row r="3543" spans="4:17" ht="12.75" customHeight="1" x14ac:dyDescent="0.2">
      <c r="D3543" s="58" t="str">
        <f>IFERROR(IF(F3543&lt;&gt;"pending","",IF(OR($B3543="",$B3543="(blank)"),"",VLOOKUP($B3543,'Email Marketing Raw Data'!$C:$O,10,0))),"")</f>
        <v/>
      </c>
      <c r="E3543" s="59" t="str">
        <f>IFERROR(IF(F3543&lt;&gt;"pending","",IF(OR($B3543="",$B3543="(blank)"),"",VLOOKUP($B3543,'Email Marketing Raw Data'!$C:$O,11,0))),"")</f>
        <v/>
      </c>
      <c r="F3543" s="54" t="str">
        <f>IFERROR(IF(OR($B3543="",$B3543="(blank)"),"",VLOOKUP($B3543,'Email Marketing Raw Data'!$C:$O,13,0)),"")</f>
        <v/>
      </c>
      <c r="G3543" s="55" t="str">
        <f>IFERROR(IF(OR($B3543="",$B3543="(blank)"),"",VLOOKUP($B3543,'Email Marketing Raw Data'!$C:$O,4,0)),"")</f>
        <v/>
      </c>
      <c r="H3543" s="55" t="str">
        <f>IFERROR(IF(OR($B3543="",$B3543="(blank)"),"",VLOOKUP($B3543,'Email Marketing Raw Data'!$C:$O,5,0)),"")</f>
        <v/>
      </c>
      <c r="I3543" s="55" t="str">
        <f>IFERROR(IF($G3543="","",VLOOKUP('Dashboard And Emails Automate'!$G3543,Database!$H:$N,3,0)),"")</f>
        <v/>
      </c>
      <c r="J3543" s="55" t="str">
        <f>IFERROR(IF($G3543="","",VLOOKUP('Dashboard And Emails Automate'!$G3543,Database!$H:$N,4,0)),"")</f>
        <v/>
      </c>
      <c r="K3543" s="55" t="str">
        <f>IFERROR(IF($G3543="","",VLOOKUP('Dashboard And Emails Automate'!$G3543,Database!$H:$N,5,0)),"")</f>
        <v/>
      </c>
      <c r="L3543" s="55" t="str">
        <f>IFERROR(IF($G3543="","",VLOOKUP('Dashboard And Emails Automate'!$G3543,Database!$H:$N,6,0)),"")</f>
        <v/>
      </c>
      <c r="M3543" s="55" t="str">
        <f>IFERROR(IF($G3543="","",VLOOKUP('Dashboard And Emails Automate'!$G3543,Database!$H:$N,7,0)),"")</f>
        <v/>
      </c>
      <c r="N3543" s="55" t="str">
        <f>IFERROR(IF(OR($B3543="",$B3543="(blank)"),"",VLOOKUP($B3543,'Email Marketing Raw Data'!$C:$O,6,0)),"")</f>
        <v/>
      </c>
      <c r="O3543" s="55" t="str">
        <f>IFERROR(IF(OR($B3543="",$B3543="(blank)"),"",VLOOKUP($B3543,'Email Marketing Raw Data'!$C:$O,7,0)),"")</f>
        <v/>
      </c>
      <c r="P3543" s="55" t="str">
        <f>IFERROR(IF(OR($B3543="",$B3543="(blank)"),"",VLOOKUP($B3543,'Email Marketing Raw Data'!$C:$O,8,0)),"")</f>
        <v/>
      </c>
      <c r="Q3543" s="62" t="str">
        <f>IFERROR(IF(OR($B3543="",$B3543="(blank)"),"",VLOOKUP($B3543,'Email Marketing Raw Data'!$C:$O,9,0)),"")</f>
        <v/>
      </c>
    </row>
    <row r="3544" spans="4:17" ht="12.75" customHeight="1" x14ac:dyDescent="0.2">
      <c r="D3544" s="58" t="str">
        <f>IFERROR(IF(F3544&lt;&gt;"pending","",IF(OR($B3544="",$B3544="(blank)"),"",VLOOKUP($B3544,'Email Marketing Raw Data'!$C:$O,10,0))),"")</f>
        <v/>
      </c>
      <c r="E3544" s="59" t="str">
        <f>IFERROR(IF(F3544&lt;&gt;"pending","",IF(OR($B3544="",$B3544="(blank)"),"",VLOOKUP($B3544,'Email Marketing Raw Data'!$C:$O,11,0))),"")</f>
        <v/>
      </c>
      <c r="F3544" s="54" t="str">
        <f>IFERROR(IF(OR($B3544="",$B3544="(blank)"),"",VLOOKUP($B3544,'Email Marketing Raw Data'!$C:$O,13,0)),"")</f>
        <v/>
      </c>
      <c r="G3544" s="55" t="str">
        <f>IFERROR(IF(OR($B3544="",$B3544="(blank)"),"",VLOOKUP($B3544,'Email Marketing Raw Data'!$C:$O,4,0)),"")</f>
        <v/>
      </c>
      <c r="H3544" s="55" t="str">
        <f>IFERROR(IF(OR($B3544="",$B3544="(blank)"),"",VLOOKUP($B3544,'Email Marketing Raw Data'!$C:$O,5,0)),"")</f>
        <v/>
      </c>
      <c r="I3544" s="55" t="str">
        <f>IFERROR(IF($G3544="","",VLOOKUP('Dashboard And Emails Automate'!$G3544,Database!$H:$N,3,0)),"")</f>
        <v/>
      </c>
      <c r="J3544" s="55" t="str">
        <f>IFERROR(IF($G3544="","",VLOOKUP('Dashboard And Emails Automate'!$G3544,Database!$H:$N,4,0)),"")</f>
        <v/>
      </c>
      <c r="K3544" s="55" t="str">
        <f>IFERROR(IF($G3544="","",VLOOKUP('Dashboard And Emails Automate'!$G3544,Database!$H:$N,5,0)),"")</f>
        <v/>
      </c>
      <c r="L3544" s="55" t="str">
        <f>IFERROR(IF($G3544="","",VLOOKUP('Dashboard And Emails Automate'!$G3544,Database!$H:$N,6,0)),"")</f>
        <v/>
      </c>
      <c r="M3544" s="55" t="str">
        <f>IFERROR(IF($G3544="","",VLOOKUP('Dashboard And Emails Automate'!$G3544,Database!$H:$N,7,0)),"")</f>
        <v/>
      </c>
      <c r="N3544" s="55" t="str">
        <f>IFERROR(IF(OR($B3544="",$B3544="(blank)"),"",VLOOKUP($B3544,'Email Marketing Raw Data'!$C:$O,6,0)),"")</f>
        <v/>
      </c>
      <c r="O3544" s="55" t="str">
        <f>IFERROR(IF(OR($B3544="",$B3544="(blank)"),"",VLOOKUP($B3544,'Email Marketing Raw Data'!$C:$O,7,0)),"")</f>
        <v/>
      </c>
      <c r="P3544" s="55" t="str">
        <f>IFERROR(IF(OR($B3544="",$B3544="(blank)"),"",VLOOKUP($B3544,'Email Marketing Raw Data'!$C:$O,8,0)),"")</f>
        <v/>
      </c>
      <c r="Q3544" s="62" t="str">
        <f>IFERROR(IF(OR($B3544="",$B3544="(blank)"),"",VLOOKUP($B3544,'Email Marketing Raw Data'!$C:$O,9,0)),"")</f>
        <v/>
      </c>
    </row>
    <row r="3545" spans="4:17" ht="12.75" customHeight="1" x14ac:dyDescent="0.2">
      <c r="D3545" s="58" t="str">
        <f>IFERROR(IF(F3545&lt;&gt;"pending","",IF(OR($B3545="",$B3545="(blank)"),"",VLOOKUP($B3545,'Email Marketing Raw Data'!$C:$O,10,0))),"")</f>
        <v/>
      </c>
      <c r="E3545" s="59" t="str">
        <f>IFERROR(IF(F3545&lt;&gt;"pending","",IF(OR($B3545="",$B3545="(blank)"),"",VLOOKUP($B3545,'Email Marketing Raw Data'!$C:$O,11,0))),"")</f>
        <v/>
      </c>
      <c r="F3545" s="54" t="str">
        <f>IFERROR(IF(OR($B3545="",$B3545="(blank)"),"",VLOOKUP($B3545,'Email Marketing Raw Data'!$C:$O,13,0)),"")</f>
        <v/>
      </c>
      <c r="G3545" s="55" t="str">
        <f>IFERROR(IF(OR($B3545="",$B3545="(blank)"),"",VLOOKUP($B3545,'Email Marketing Raw Data'!$C:$O,4,0)),"")</f>
        <v/>
      </c>
      <c r="H3545" s="55" t="str">
        <f>IFERROR(IF(OR($B3545="",$B3545="(blank)"),"",VLOOKUP($B3545,'Email Marketing Raw Data'!$C:$O,5,0)),"")</f>
        <v/>
      </c>
      <c r="I3545" s="55" t="str">
        <f>IFERROR(IF($G3545="","",VLOOKUP('Dashboard And Emails Automate'!$G3545,Database!$H:$N,3,0)),"")</f>
        <v/>
      </c>
      <c r="J3545" s="55" t="str">
        <f>IFERROR(IF($G3545="","",VLOOKUP('Dashboard And Emails Automate'!$G3545,Database!$H:$N,4,0)),"")</f>
        <v/>
      </c>
      <c r="K3545" s="55" t="str">
        <f>IFERROR(IF($G3545="","",VLOOKUP('Dashboard And Emails Automate'!$G3545,Database!$H:$N,5,0)),"")</f>
        <v/>
      </c>
      <c r="L3545" s="55" t="str">
        <f>IFERROR(IF($G3545="","",VLOOKUP('Dashboard And Emails Automate'!$G3545,Database!$H:$N,6,0)),"")</f>
        <v/>
      </c>
      <c r="M3545" s="55" t="str">
        <f>IFERROR(IF($G3545="","",VLOOKUP('Dashboard And Emails Automate'!$G3545,Database!$H:$N,7,0)),"")</f>
        <v/>
      </c>
      <c r="N3545" s="55" t="str">
        <f>IFERROR(IF(OR($B3545="",$B3545="(blank)"),"",VLOOKUP($B3545,'Email Marketing Raw Data'!$C:$O,6,0)),"")</f>
        <v/>
      </c>
      <c r="O3545" s="55" t="str">
        <f>IFERROR(IF(OR($B3545="",$B3545="(blank)"),"",VLOOKUP($B3545,'Email Marketing Raw Data'!$C:$O,7,0)),"")</f>
        <v/>
      </c>
      <c r="P3545" s="55" t="str">
        <f>IFERROR(IF(OR($B3545="",$B3545="(blank)"),"",VLOOKUP($B3545,'Email Marketing Raw Data'!$C:$O,8,0)),"")</f>
        <v/>
      </c>
      <c r="Q3545" s="62" t="str">
        <f>IFERROR(IF(OR($B3545="",$B3545="(blank)"),"",VLOOKUP($B3545,'Email Marketing Raw Data'!$C:$O,9,0)),"")</f>
        <v/>
      </c>
    </row>
    <row r="3546" spans="4:17" ht="12.75" customHeight="1" x14ac:dyDescent="0.2">
      <c r="D3546" s="58" t="str">
        <f>IFERROR(IF(F3546&lt;&gt;"pending","",IF(OR($B3546="",$B3546="(blank)"),"",VLOOKUP($B3546,'Email Marketing Raw Data'!$C:$O,10,0))),"")</f>
        <v/>
      </c>
      <c r="E3546" s="59" t="str">
        <f>IFERROR(IF(F3546&lt;&gt;"pending","",IF(OR($B3546="",$B3546="(blank)"),"",VLOOKUP($B3546,'Email Marketing Raw Data'!$C:$O,11,0))),"")</f>
        <v/>
      </c>
      <c r="F3546" s="54" t="str">
        <f>IFERROR(IF(OR($B3546="",$B3546="(blank)"),"",VLOOKUP($B3546,'Email Marketing Raw Data'!$C:$O,13,0)),"")</f>
        <v/>
      </c>
      <c r="G3546" s="55" t="str">
        <f>IFERROR(IF(OR($B3546="",$B3546="(blank)"),"",VLOOKUP($B3546,'Email Marketing Raw Data'!$C:$O,4,0)),"")</f>
        <v/>
      </c>
      <c r="H3546" s="55" t="str">
        <f>IFERROR(IF(OR($B3546="",$B3546="(blank)"),"",VLOOKUP($B3546,'Email Marketing Raw Data'!$C:$O,5,0)),"")</f>
        <v/>
      </c>
      <c r="I3546" s="55" t="str">
        <f>IFERROR(IF($G3546="","",VLOOKUP('Dashboard And Emails Automate'!$G3546,Database!$H:$N,3,0)),"")</f>
        <v/>
      </c>
      <c r="J3546" s="55" t="str">
        <f>IFERROR(IF($G3546="","",VLOOKUP('Dashboard And Emails Automate'!$G3546,Database!$H:$N,4,0)),"")</f>
        <v/>
      </c>
      <c r="K3546" s="55" t="str">
        <f>IFERROR(IF($G3546="","",VLOOKUP('Dashboard And Emails Automate'!$G3546,Database!$H:$N,5,0)),"")</f>
        <v/>
      </c>
      <c r="L3546" s="55" t="str">
        <f>IFERROR(IF($G3546="","",VLOOKUP('Dashboard And Emails Automate'!$G3546,Database!$H:$N,6,0)),"")</f>
        <v/>
      </c>
      <c r="M3546" s="55" t="str">
        <f>IFERROR(IF($G3546="","",VLOOKUP('Dashboard And Emails Automate'!$G3546,Database!$H:$N,7,0)),"")</f>
        <v/>
      </c>
      <c r="N3546" s="55" t="str">
        <f>IFERROR(IF(OR($B3546="",$B3546="(blank)"),"",VLOOKUP($B3546,'Email Marketing Raw Data'!$C:$O,6,0)),"")</f>
        <v/>
      </c>
      <c r="O3546" s="55" t="str">
        <f>IFERROR(IF(OR($B3546="",$B3546="(blank)"),"",VLOOKUP($B3546,'Email Marketing Raw Data'!$C:$O,7,0)),"")</f>
        <v/>
      </c>
      <c r="P3546" s="55" t="str">
        <f>IFERROR(IF(OR($B3546="",$B3546="(blank)"),"",VLOOKUP($B3546,'Email Marketing Raw Data'!$C:$O,8,0)),"")</f>
        <v/>
      </c>
      <c r="Q3546" s="62" t="str">
        <f>IFERROR(IF(OR($B3546="",$B3546="(blank)"),"",VLOOKUP($B3546,'Email Marketing Raw Data'!$C:$O,9,0)),"")</f>
        <v/>
      </c>
    </row>
    <row r="3547" spans="4:17" ht="12.75" customHeight="1" x14ac:dyDescent="0.2">
      <c r="D3547" s="58" t="str">
        <f>IFERROR(IF(F3547&lt;&gt;"pending","",IF(OR($B3547="",$B3547="(blank)"),"",VLOOKUP($B3547,'Email Marketing Raw Data'!$C:$O,10,0))),"")</f>
        <v/>
      </c>
      <c r="E3547" s="59" t="str">
        <f>IFERROR(IF(F3547&lt;&gt;"pending","",IF(OR($B3547="",$B3547="(blank)"),"",VLOOKUP($B3547,'Email Marketing Raw Data'!$C:$O,11,0))),"")</f>
        <v/>
      </c>
      <c r="F3547" s="54" t="str">
        <f>IFERROR(IF(OR($B3547="",$B3547="(blank)"),"",VLOOKUP($B3547,'Email Marketing Raw Data'!$C:$O,13,0)),"")</f>
        <v/>
      </c>
      <c r="G3547" s="55" t="str">
        <f>IFERROR(IF(OR($B3547="",$B3547="(blank)"),"",VLOOKUP($B3547,'Email Marketing Raw Data'!$C:$O,4,0)),"")</f>
        <v/>
      </c>
      <c r="H3547" s="55" t="str">
        <f>IFERROR(IF(OR($B3547="",$B3547="(blank)"),"",VLOOKUP($B3547,'Email Marketing Raw Data'!$C:$O,5,0)),"")</f>
        <v/>
      </c>
      <c r="I3547" s="55" t="str">
        <f>IFERROR(IF($G3547="","",VLOOKUP('Dashboard And Emails Automate'!$G3547,Database!$H:$N,3,0)),"")</f>
        <v/>
      </c>
      <c r="J3547" s="55" t="str">
        <f>IFERROR(IF($G3547="","",VLOOKUP('Dashboard And Emails Automate'!$G3547,Database!$H:$N,4,0)),"")</f>
        <v/>
      </c>
      <c r="K3547" s="55" t="str">
        <f>IFERROR(IF($G3547="","",VLOOKUP('Dashboard And Emails Automate'!$G3547,Database!$H:$N,5,0)),"")</f>
        <v/>
      </c>
      <c r="L3547" s="55" t="str">
        <f>IFERROR(IF($G3547="","",VLOOKUP('Dashboard And Emails Automate'!$G3547,Database!$H:$N,6,0)),"")</f>
        <v/>
      </c>
      <c r="M3547" s="55" t="str">
        <f>IFERROR(IF($G3547="","",VLOOKUP('Dashboard And Emails Automate'!$G3547,Database!$H:$N,7,0)),"")</f>
        <v/>
      </c>
      <c r="N3547" s="55" t="str">
        <f>IFERROR(IF(OR($B3547="",$B3547="(blank)"),"",VLOOKUP($B3547,'Email Marketing Raw Data'!$C:$O,6,0)),"")</f>
        <v/>
      </c>
      <c r="O3547" s="55" t="str">
        <f>IFERROR(IF(OR($B3547="",$B3547="(blank)"),"",VLOOKUP($B3547,'Email Marketing Raw Data'!$C:$O,7,0)),"")</f>
        <v/>
      </c>
      <c r="P3547" s="55" t="str">
        <f>IFERROR(IF(OR($B3547="",$B3547="(blank)"),"",VLOOKUP($B3547,'Email Marketing Raw Data'!$C:$O,8,0)),"")</f>
        <v/>
      </c>
      <c r="Q3547" s="62" t="str">
        <f>IFERROR(IF(OR($B3547="",$B3547="(blank)"),"",VLOOKUP($B3547,'Email Marketing Raw Data'!$C:$O,9,0)),"")</f>
        <v/>
      </c>
    </row>
    <row r="3548" spans="4:17" ht="12.75" customHeight="1" x14ac:dyDescent="0.2">
      <c r="D3548" s="58" t="str">
        <f>IFERROR(IF(F3548&lt;&gt;"pending","",IF(OR($B3548="",$B3548="(blank)"),"",VLOOKUP($B3548,'Email Marketing Raw Data'!$C:$O,10,0))),"")</f>
        <v/>
      </c>
      <c r="E3548" s="59" t="str">
        <f>IFERROR(IF(F3548&lt;&gt;"pending","",IF(OR($B3548="",$B3548="(blank)"),"",VLOOKUP($B3548,'Email Marketing Raw Data'!$C:$O,11,0))),"")</f>
        <v/>
      </c>
      <c r="F3548" s="54" t="str">
        <f>IFERROR(IF(OR($B3548="",$B3548="(blank)"),"",VLOOKUP($B3548,'Email Marketing Raw Data'!$C:$O,13,0)),"")</f>
        <v/>
      </c>
      <c r="G3548" s="55" t="str">
        <f>IFERROR(IF(OR($B3548="",$B3548="(blank)"),"",VLOOKUP($B3548,'Email Marketing Raw Data'!$C:$O,4,0)),"")</f>
        <v/>
      </c>
      <c r="H3548" s="55" t="str">
        <f>IFERROR(IF(OR($B3548="",$B3548="(blank)"),"",VLOOKUP($B3548,'Email Marketing Raw Data'!$C:$O,5,0)),"")</f>
        <v/>
      </c>
      <c r="I3548" s="55" t="str">
        <f>IFERROR(IF($G3548="","",VLOOKUP('Dashboard And Emails Automate'!$G3548,Database!$H:$N,3,0)),"")</f>
        <v/>
      </c>
      <c r="J3548" s="55" t="str">
        <f>IFERROR(IF($G3548="","",VLOOKUP('Dashboard And Emails Automate'!$G3548,Database!$H:$N,4,0)),"")</f>
        <v/>
      </c>
      <c r="K3548" s="55" t="str">
        <f>IFERROR(IF($G3548="","",VLOOKUP('Dashboard And Emails Automate'!$G3548,Database!$H:$N,5,0)),"")</f>
        <v/>
      </c>
      <c r="L3548" s="55" t="str">
        <f>IFERROR(IF($G3548="","",VLOOKUP('Dashboard And Emails Automate'!$G3548,Database!$H:$N,6,0)),"")</f>
        <v/>
      </c>
      <c r="M3548" s="55" t="str">
        <f>IFERROR(IF($G3548="","",VLOOKUP('Dashboard And Emails Automate'!$G3548,Database!$H:$N,7,0)),"")</f>
        <v/>
      </c>
      <c r="N3548" s="55" t="str">
        <f>IFERROR(IF(OR($B3548="",$B3548="(blank)"),"",VLOOKUP($B3548,'Email Marketing Raw Data'!$C:$O,6,0)),"")</f>
        <v/>
      </c>
      <c r="O3548" s="55" t="str">
        <f>IFERROR(IF(OR($B3548="",$B3548="(blank)"),"",VLOOKUP($B3548,'Email Marketing Raw Data'!$C:$O,7,0)),"")</f>
        <v/>
      </c>
      <c r="P3548" s="55" t="str">
        <f>IFERROR(IF(OR($B3548="",$B3548="(blank)"),"",VLOOKUP($B3548,'Email Marketing Raw Data'!$C:$O,8,0)),"")</f>
        <v/>
      </c>
      <c r="Q3548" s="62" t="str">
        <f>IFERROR(IF(OR($B3548="",$B3548="(blank)"),"",VLOOKUP($B3548,'Email Marketing Raw Data'!$C:$O,9,0)),"")</f>
        <v/>
      </c>
    </row>
    <row r="3549" spans="4:17" ht="12.75" customHeight="1" x14ac:dyDescent="0.2">
      <c r="D3549" s="58" t="str">
        <f>IFERROR(IF(F3549&lt;&gt;"pending","",IF(OR($B3549="",$B3549="(blank)"),"",VLOOKUP($B3549,'Email Marketing Raw Data'!$C:$O,10,0))),"")</f>
        <v/>
      </c>
      <c r="E3549" s="59" t="str">
        <f>IFERROR(IF(F3549&lt;&gt;"pending","",IF(OR($B3549="",$B3549="(blank)"),"",VLOOKUP($B3549,'Email Marketing Raw Data'!$C:$O,11,0))),"")</f>
        <v/>
      </c>
      <c r="F3549" s="54" t="str">
        <f>IFERROR(IF(OR($B3549="",$B3549="(blank)"),"",VLOOKUP($B3549,'Email Marketing Raw Data'!$C:$O,13,0)),"")</f>
        <v/>
      </c>
      <c r="G3549" s="55" t="str">
        <f>IFERROR(IF(OR($B3549="",$B3549="(blank)"),"",VLOOKUP($B3549,'Email Marketing Raw Data'!$C:$O,4,0)),"")</f>
        <v/>
      </c>
      <c r="H3549" s="55" t="str">
        <f>IFERROR(IF(OR($B3549="",$B3549="(blank)"),"",VLOOKUP($B3549,'Email Marketing Raw Data'!$C:$O,5,0)),"")</f>
        <v/>
      </c>
      <c r="I3549" s="55" t="str">
        <f>IFERROR(IF($G3549="","",VLOOKUP('Dashboard And Emails Automate'!$G3549,Database!$H:$N,3,0)),"")</f>
        <v/>
      </c>
      <c r="J3549" s="55" t="str">
        <f>IFERROR(IF($G3549="","",VLOOKUP('Dashboard And Emails Automate'!$G3549,Database!$H:$N,4,0)),"")</f>
        <v/>
      </c>
      <c r="K3549" s="55" t="str">
        <f>IFERROR(IF($G3549="","",VLOOKUP('Dashboard And Emails Automate'!$G3549,Database!$H:$N,5,0)),"")</f>
        <v/>
      </c>
      <c r="L3549" s="55" t="str">
        <f>IFERROR(IF($G3549="","",VLOOKUP('Dashboard And Emails Automate'!$G3549,Database!$H:$N,6,0)),"")</f>
        <v/>
      </c>
      <c r="M3549" s="55" t="str">
        <f>IFERROR(IF($G3549="","",VLOOKUP('Dashboard And Emails Automate'!$G3549,Database!$H:$N,7,0)),"")</f>
        <v/>
      </c>
      <c r="N3549" s="55" t="str">
        <f>IFERROR(IF(OR($B3549="",$B3549="(blank)"),"",VLOOKUP($B3549,'Email Marketing Raw Data'!$C:$O,6,0)),"")</f>
        <v/>
      </c>
      <c r="O3549" s="55" t="str">
        <f>IFERROR(IF(OR($B3549="",$B3549="(blank)"),"",VLOOKUP($B3549,'Email Marketing Raw Data'!$C:$O,7,0)),"")</f>
        <v/>
      </c>
      <c r="P3549" s="55" t="str">
        <f>IFERROR(IF(OR($B3549="",$B3549="(blank)"),"",VLOOKUP($B3549,'Email Marketing Raw Data'!$C:$O,8,0)),"")</f>
        <v/>
      </c>
      <c r="Q3549" s="62" t="str">
        <f>IFERROR(IF(OR($B3549="",$B3549="(blank)"),"",VLOOKUP($B3549,'Email Marketing Raw Data'!$C:$O,9,0)),"")</f>
        <v/>
      </c>
    </row>
    <row r="3550" spans="4:17" ht="12.75" customHeight="1" x14ac:dyDescent="0.2">
      <c r="D3550" s="58" t="str">
        <f>IFERROR(IF(F3550&lt;&gt;"pending","",IF(OR($B3550="",$B3550="(blank)"),"",VLOOKUP($B3550,'Email Marketing Raw Data'!$C:$O,10,0))),"")</f>
        <v/>
      </c>
      <c r="E3550" s="59" t="str">
        <f>IFERROR(IF(F3550&lt;&gt;"pending","",IF(OR($B3550="",$B3550="(blank)"),"",VLOOKUP($B3550,'Email Marketing Raw Data'!$C:$O,11,0))),"")</f>
        <v/>
      </c>
      <c r="F3550" s="54" t="str">
        <f>IFERROR(IF(OR($B3550="",$B3550="(blank)"),"",VLOOKUP($B3550,'Email Marketing Raw Data'!$C:$O,13,0)),"")</f>
        <v/>
      </c>
      <c r="G3550" s="55" t="str">
        <f>IFERROR(IF(OR($B3550="",$B3550="(blank)"),"",VLOOKUP($B3550,'Email Marketing Raw Data'!$C:$O,4,0)),"")</f>
        <v/>
      </c>
      <c r="H3550" s="55" t="str">
        <f>IFERROR(IF(OR($B3550="",$B3550="(blank)"),"",VLOOKUP($B3550,'Email Marketing Raw Data'!$C:$O,5,0)),"")</f>
        <v/>
      </c>
      <c r="I3550" s="55" t="str">
        <f>IFERROR(IF($G3550="","",VLOOKUP('Dashboard And Emails Automate'!$G3550,Database!$H:$N,3,0)),"")</f>
        <v/>
      </c>
      <c r="J3550" s="55" t="str">
        <f>IFERROR(IF($G3550="","",VLOOKUP('Dashboard And Emails Automate'!$G3550,Database!$H:$N,4,0)),"")</f>
        <v/>
      </c>
      <c r="K3550" s="55" t="str">
        <f>IFERROR(IF($G3550="","",VLOOKUP('Dashboard And Emails Automate'!$G3550,Database!$H:$N,5,0)),"")</f>
        <v/>
      </c>
      <c r="L3550" s="55" t="str">
        <f>IFERROR(IF($G3550="","",VLOOKUP('Dashboard And Emails Automate'!$G3550,Database!$H:$N,6,0)),"")</f>
        <v/>
      </c>
      <c r="M3550" s="55" t="str">
        <f>IFERROR(IF($G3550="","",VLOOKUP('Dashboard And Emails Automate'!$G3550,Database!$H:$N,7,0)),"")</f>
        <v/>
      </c>
      <c r="N3550" s="55" t="str">
        <f>IFERROR(IF(OR($B3550="",$B3550="(blank)"),"",VLOOKUP($B3550,'Email Marketing Raw Data'!$C:$O,6,0)),"")</f>
        <v/>
      </c>
      <c r="O3550" s="55" t="str">
        <f>IFERROR(IF(OR($B3550="",$B3550="(blank)"),"",VLOOKUP($B3550,'Email Marketing Raw Data'!$C:$O,7,0)),"")</f>
        <v/>
      </c>
      <c r="P3550" s="55" t="str">
        <f>IFERROR(IF(OR($B3550="",$B3550="(blank)"),"",VLOOKUP($B3550,'Email Marketing Raw Data'!$C:$O,8,0)),"")</f>
        <v/>
      </c>
      <c r="Q3550" s="62" t="str">
        <f>IFERROR(IF(OR($B3550="",$B3550="(blank)"),"",VLOOKUP($B3550,'Email Marketing Raw Data'!$C:$O,9,0)),"")</f>
        <v/>
      </c>
    </row>
    <row r="3551" spans="4:17" ht="12.75" customHeight="1" x14ac:dyDescent="0.2">
      <c r="D3551" s="58" t="str">
        <f>IFERROR(IF(F3551&lt;&gt;"pending","",IF(OR($B3551="",$B3551="(blank)"),"",VLOOKUP($B3551,'Email Marketing Raw Data'!$C:$O,10,0))),"")</f>
        <v/>
      </c>
      <c r="E3551" s="59" t="str">
        <f>IFERROR(IF(F3551&lt;&gt;"pending","",IF(OR($B3551="",$B3551="(blank)"),"",VLOOKUP($B3551,'Email Marketing Raw Data'!$C:$O,11,0))),"")</f>
        <v/>
      </c>
      <c r="F3551" s="54" t="str">
        <f>IFERROR(IF(OR($B3551="",$B3551="(blank)"),"",VLOOKUP($B3551,'Email Marketing Raw Data'!$C:$O,13,0)),"")</f>
        <v/>
      </c>
      <c r="G3551" s="55" t="str">
        <f>IFERROR(IF(OR($B3551="",$B3551="(blank)"),"",VLOOKUP($B3551,'Email Marketing Raw Data'!$C:$O,4,0)),"")</f>
        <v/>
      </c>
      <c r="H3551" s="55" t="str">
        <f>IFERROR(IF(OR($B3551="",$B3551="(blank)"),"",VLOOKUP($B3551,'Email Marketing Raw Data'!$C:$O,5,0)),"")</f>
        <v/>
      </c>
      <c r="I3551" s="55" t="str">
        <f>IFERROR(IF($G3551="","",VLOOKUP('Dashboard And Emails Automate'!$G3551,Database!$H:$N,3,0)),"")</f>
        <v/>
      </c>
      <c r="J3551" s="55" t="str">
        <f>IFERROR(IF($G3551="","",VLOOKUP('Dashboard And Emails Automate'!$G3551,Database!$H:$N,4,0)),"")</f>
        <v/>
      </c>
      <c r="K3551" s="55" t="str">
        <f>IFERROR(IF($G3551="","",VLOOKUP('Dashboard And Emails Automate'!$G3551,Database!$H:$N,5,0)),"")</f>
        <v/>
      </c>
      <c r="L3551" s="55" t="str">
        <f>IFERROR(IF($G3551="","",VLOOKUP('Dashboard And Emails Automate'!$G3551,Database!$H:$N,6,0)),"")</f>
        <v/>
      </c>
      <c r="M3551" s="55" t="str">
        <f>IFERROR(IF($G3551="","",VLOOKUP('Dashboard And Emails Automate'!$G3551,Database!$H:$N,7,0)),"")</f>
        <v/>
      </c>
      <c r="N3551" s="55" t="str">
        <f>IFERROR(IF(OR($B3551="",$B3551="(blank)"),"",VLOOKUP($B3551,'Email Marketing Raw Data'!$C:$O,6,0)),"")</f>
        <v/>
      </c>
      <c r="O3551" s="55" t="str">
        <f>IFERROR(IF(OR($B3551="",$B3551="(blank)"),"",VLOOKUP($B3551,'Email Marketing Raw Data'!$C:$O,7,0)),"")</f>
        <v/>
      </c>
      <c r="P3551" s="55" t="str">
        <f>IFERROR(IF(OR($B3551="",$B3551="(blank)"),"",VLOOKUP($B3551,'Email Marketing Raw Data'!$C:$O,8,0)),"")</f>
        <v/>
      </c>
      <c r="Q3551" s="62" t="str">
        <f>IFERROR(IF(OR($B3551="",$B3551="(blank)"),"",VLOOKUP($B3551,'Email Marketing Raw Data'!$C:$O,9,0)),"")</f>
        <v/>
      </c>
    </row>
    <row r="3552" spans="4:17" ht="12.75" customHeight="1" x14ac:dyDescent="0.2">
      <c r="D3552" s="58" t="str">
        <f>IFERROR(IF(F3552&lt;&gt;"pending","",IF(OR($B3552="",$B3552="(blank)"),"",VLOOKUP($B3552,'Email Marketing Raw Data'!$C:$O,10,0))),"")</f>
        <v/>
      </c>
      <c r="E3552" s="59" t="str">
        <f>IFERROR(IF(F3552&lt;&gt;"pending","",IF(OR($B3552="",$B3552="(blank)"),"",VLOOKUP($B3552,'Email Marketing Raw Data'!$C:$O,11,0))),"")</f>
        <v/>
      </c>
      <c r="F3552" s="54" t="str">
        <f>IFERROR(IF(OR($B3552="",$B3552="(blank)"),"",VLOOKUP($B3552,'Email Marketing Raw Data'!$C:$O,13,0)),"")</f>
        <v/>
      </c>
      <c r="G3552" s="55" t="str">
        <f>IFERROR(IF(OR($B3552="",$B3552="(blank)"),"",VLOOKUP($B3552,'Email Marketing Raw Data'!$C:$O,4,0)),"")</f>
        <v/>
      </c>
      <c r="H3552" s="55" t="str">
        <f>IFERROR(IF(OR($B3552="",$B3552="(blank)"),"",VLOOKUP($B3552,'Email Marketing Raw Data'!$C:$O,5,0)),"")</f>
        <v/>
      </c>
      <c r="I3552" s="55" t="str">
        <f>IFERROR(IF($G3552="","",VLOOKUP('Dashboard And Emails Automate'!$G3552,Database!$H:$N,3,0)),"")</f>
        <v/>
      </c>
      <c r="J3552" s="55" t="str">
        <f>IFERROR(IF($G3552="","",VLOOKUP('Dashboard And Emails Automate'!$G3552,Database!$H:$N,4,0)),"")</f>
        <v/>
      </c>
      <c r="K3552" s="55" t="str">
        <f>IFERROR(IF($G3552="","",VLOOKUP('Dashboard And Emails Automate'!$G3552,Database!$H:$N,5,0)),"")</f>
        <v/>
      </c>
      <c r="L3552" s="55" t="str">
        <f>IFERROR(IF($G3552="","",VLOOKUP('Dashboard And Emails Automate'!$G3552,Database!$H:$N,6,0)),"")</f>
        <v/>
      </c>
      <c r="M3552" s="55" t="str">
        <f>IFERROR(IF($G3552="","",VLOOKUP('Dashboard And Emails Automate'!$G3552,Database!$H:$N,7,0)),"")</f>
        <v/>
      </c>
      <c r="N3552" s="55" t="str">
        <f>IFERROR(IF(OR($B3552="",$B3552="(blank)"),"",VLOOKUP($B3552,'Email Marketing Raw Data'!$C:$O,6,0)),"")</f>
        <v/>
      </c>
      <c r="O3552" s="55" t="str">
        <f>IFERROR(IF(OR($B3552="",$B3552="(blank)"),"",VLOOKUP($B3552,'Email Marketing Raw Data'!$C:$O,7,0)),"")</f>
        <v/>
      </c>
      <c r="P3552" s="55" t="str">
        <f>IFERROR(IF(OR($B3552="",$B3552="(blank)"),"",VLOOKUP($B3552,'Email Marketing Raw Data'!$C:$O,8,0)),"")</f>
        <v/>
      </c>
      <c r="Q3552" s="62" t="str">
        <f>IFERROR(IF(OR($B3552="",$B3552="(blank)"),"",VLOOKUP($B3552,'Email Marketing Raw Data'!$C:$O,9,0)),"")</f>
        <v/>
      </c>
    </row>
    <row r="3553" spans="4:17" ht="12.75" customHeight="1" x14ac:dyDescent="0.2">
      <c r="D3553" s="58" t="str">
        <f>IFERROR(IF(F3553&lt;&gt;"pending","",IF(OR($B3553="",$B3553="(blank)"),"",VLOOKUP($B3553,'Email Marketing Raw Data'!$C:$O,10,0))),"")</f>
        <v/>
      </c>
      <c r="E3553" s="59" t="str">
        <f>IFERROR(IF(F3553&lt;&gt;"pending","",IF(OR($B3553="",$B3553="(blank)"),"",VLOOKUP($B3553,'Email Marketing Raw Data'!$C:$O,11,0))),"")</f>
        <v/>
      </c>
      <c r="F3553" s="54" t="str">
        <f>IFERROR(IF(OR($B3553="",$B3553="(blank)"),"",VLOOKUP($B3553,'Email Marketing Raw Data'!$C:$O,13,0)),"")</f>
        <v/>
      </c>
      <c r="G3553" s="55" t="str">
        <f>IFERROR(IF(OR($B3553="",$B3553="(blank)"),"",VLOOKUP($B3553,'Email Marketing Raw Data'!$C:$O,4,0)),"")</f>
        <v/>
      </c>
      <c r="H3553" s="55" t="str">
        <f>IFERROR(IF(OR($B3553="",$B3553="(blank)"),"",VLOOKUP($B3553,'Email Marketing Raw Data'!$C:$O,5,0)),"")</f>
        <v/>
      </c>
      <c r="I3553" s="55" t="str">
        <f>IFERROR(IF($G3553="","",VLOOKUP('Dashboard And Emails Automate'!$G3553,Database!$H:$N,3,0)),"")</f>
        <v/>
      </c>
      <c r="J3553" s="55" t="str">
        <f>IFERROR(IF($G3553="","",VLOOKUP('Dashboard And Emails Automate'!$G3553,Database!$H:$N,4,0)),"")</f>
        <v/>
      </c>
      <c r="K3553" s="55" t="str">
        <f>IFERROR(IF($G3553="","",VLOOKUP('Dashboard And Emails Automate'!$G3553,Database!$H:$N,5,0)),"")</f>
        <v/>
      </c>
      <c r="L3553" s="55" t="str">
        <f>IFERROR(IF($G3553="","",VLOOKUP('Dashboard And Emails Automate'!$G3553,Database!$H:$N,6,0)),"")</f>
        <v/>
      </c>
      <c r="M3553" s="55" t="str">
        <f>IFERROR(IF($G3553="","",VLOOKUP('Dashboard And Emails Automate'!$G3553,Database!$H:$N,7,0)),"")</f>
        <v/>
      </c>
      <c r="N3553" s="55" t="str">
        <f>IFERROR(IF(OR($B3553="",$B3553="(blank)"),"",VLOOKUP($B3553,'Email Marketing Raw Data'!$C:$O,6,0)),"")</f>
        <v/>
      </c>
      <c r="O3553" s="55" t="str">
        <f>IFERROR(IF(OR($B3553="",$B3553="(blank)"),"",VLOOKUP($B3553,'Email Marketing Raw Data'!$C:$O,7,0)),"")</f>
        <v/>
      </c>
      <c r="P3553" s="55" t="str">
        <f>IFERROR(IF(OR($B3553="",$B3553="(blank)"),"",VLOOKUP($B3553,'Email Marketing Raw Data'!$C:$O,8,0)),"")</f>
        <v/>
      </c>
      <c r="Q3553" s="62" t="str">
        <f>IFERROR(IF(OR($B3553="",$B3553="(blank)"),"",VLOOKUP($B3553,'Email Marketing Raw Data'!$C:$O,9,0)),"")</f>
        <v/>
      </c>
    </row>
    <row r="3554" spans="4:17" ht="12.75" customHeight="1" x14ac:dyDescent="0.2">
      <c r="D3554" s="58" t="str">
        <f>IFERROR(IF(F3554&lt;&gt;"pending","",IF(OR($B3554="",$B3554="(blank)"),"",VLOOKUP($B3554,'Email Marketing Raw Data'!$C:$O,10,0))),"")</f>
        <v/>
      </c>
      <c r="E3554" s="59" t="str">
        <f>IFERROR(IF(F3554&lt;&gt;"pending","",IF(OR($B3554="",$B3554="(blank)"),"",VLOOKUP($B3554,'Email Marketing Raw Data'!$C:$O,11,0))),"")</f>
        <v/>
      </c>
      <c r="F3554" s="54" t="str">
        <f>IFERROR(IF(OR($B3554="",$B3554="(blank)"),"",VLOOKUP($B3554,'Email Marketing Raw Data'!$C:$O,13,0)),"")</f>
        <v/>
      </c>
      <c r="G3554" s="55" t="str">
        <f>IFERROR(IF(OR($B3554="",$B3554="(blank)"),"",VLOOKUP($B3554,'Email Marketing Raw Data'!$C:$O,4,0)),"")</f>
        <v/>
      </c>
      <c r="H3554" s="55" t="str">
        <f>IFERROR(IF(OR($B3554="",$B3554="(blank)"),"",VLOOKUP($B3554,'Email Marketing Raw Data'!$C:$O,5,0)),"")</f>
        <v/>
      </c>
      <c r="I3554" s="55" t="str">
        <f>IFERROR(IF($G3554="","",VLOOKUP('Dashboard And Emails Automate'!$G3554,Database!$H:$N,3,0)),"")</f>
        <v/>
      </c>
      <c r="J3554" s="55" t="str">
        <f>IFERROR(IF($G3554="","",VLOOKUP('Dashboard And Emails Automate'!$G3554,Database!$H:$N,4,0)),"")</f>
        <v/>
      </c>
      <c r="K3554" s="55" t="str">
        <f>IFERROR(IF($G3554="","",VLOOKUP('Dashboard And Emails Automate'!$G3554,Database!$H:$N,5,0)),"")</f>
        <v/>
      </c>
      <c r="L3554" s="55" t="str">
        <f>IFERROR(IF($G3554="","",VLOOKUP('Dashboard And Emails Automate'!$G3554,Database!$H:$N,6,0)),"")</f>
        <v/>
      </c>
      <c r="M3554" s="55" t="str">
        <f>IFERROR(IF($G3554="","",VLOOKUP('Dashboard And Emails Automate'!$G3554,Database!$H:$N,7,0)),"")</f>
        <v/>
      </c>
      <c r="N3554" s="55" t="str">
        <f>IFERROR(IF(OR($B3554="",$B3554="(blank)"),"",VLOOKUP($B3554,'Email Marketing Raw Data'!$C:$O,6,0)),"")</f>
        <v/>
      </c>
      <c r="O3554" s="55" t="str">
        <f>IFERROR(IF(OR($B3554="",$B3554="(blank)"),"",VLOOKUP($B3554,'Email Marketing Raw Data'!$C:$O,7,0)),"")</f>
        <v/>
      </c>
      <c r="P3554" s="55" t="str">
        <f>IFERROR(IF(OR($B3554="",$B3554="(blank)"),"",VLOOKUP($B3554,'Email Marketing Raw Data'!$C:$O,8,0)),"")</f>
        <v/>
      </c>
      <c r="Q3554" s="62" t="str">
        <f>IFERROR(IF(OR($B3554="",$B3554="(blank)"),"",VLOOKUP($B3554,'Email Marketing Raw Data'!$C:$O,9,0)),"")</f>
        <v/>
      </c>
    </row>
    <row r="3555" spans="4:17" ht="12.75" customHeight="1" x14ac:dyDescent="0.2">
      <c r="D3555" s="58" t="str">
        <f>IFERROR(IF(F3555&lt;&gt;"pending","",IF(OR($B3555="",$B3555="(blank)"),"",VLOOKUP($B3555,'Email Marketing Raw Data'!$C:$O,10,0))),"")</f>
        <v/>
      </c>
      <c r="E3555" s="59" t="str">
        <f>IFERROR(IF(F3555&lt;&gt;"pending","",IF(OR($B3555="",$B3555="(blank)"),"",VLOOKUP($B3555,'Email Marketing Raw Data'!$C:$O,11,0))),"")</f>
        <v/>
      </c>
      <c r="F3555" s="54" t="str">
        <f>IFERROR(IF(OR($B3555="",$B3555="(blank)"),"",VLOOKUP($B3555,'Email Marketing Raw Data'!$C:$O,13,0)),"")</f>
        <v/>
      </c>
      <c r="G3555" s="55" t="str">
        <f>IFERROR(IF(OR($B3555="",$B3555="(blank)"),"",VLOOKUP($B3555,'Email Marketing Raw Data'!$C:$O,4,0)),"")</f>
        <v/>
      </c>
      <c r="H3555" s="55" t="str">
        <f>IFERROR(IF(OR($B3555="",$B3555="(blank)"),"",VLOOKUP($B3555,'Email Marketing Raw Data'!$C:$O,5,0)),"")</f>
        <v/>
      </c>
      <c r="I3555" s="55" t="str">
        <f>IFERROR(IF($G3555="","",VLOOKUP('Dashboard And Emails Automate'!$G3555,Database!$H:$N,3,0)),"")</f>
        <v/>
      </c>
      <c r="J3555" s="55" t="str">
        <f>IFERROR(IF($G3555="","",VLOOKUP('Dashboard And Emails Automate'!$G3555,Database!$H:$N,4,0)),"")</f>
        <v/>
      </c>
      <c r="K3555" s="55" t="str">
        <f>IFERROR(IF($G3555="","",VLOOKUP('Dashboard And Emails Automate'!$G3555,Database!$H:$N,5,0)),"")</f>
        <v/>
      </c>
      <c r="L3555" s="55" t="str">
        <f>IFERROR(IF($G3555="","",VLOOKUP('Dashboard And Emails Automate'!$G3555,Database!$H:$N,6,0)),"")</f>
        <v/>
      </c>
      <c r="M3555" s="55" t="str">
        <f>IFERROR(IF($G3555="","",VLOOKUP('Dashboard And Emails Automate'!$G3555,Database!$H:$N,7,0)),"")</f>
        <v/>
      </c>
      <c r="N3555" s="55" t="str">
        <f>IFERROR(IF(OR($B3555="",$B3555="(blank)"),"",VLOOKUP($B3555,'Email Marketing Raw Data'!$C:$O,6,0)),"")</f>
        <v/>
      </c>
      <c r="O3555" s="55" t="str">
        <f>IFERROR(IF(OR($B3555="",$B3555="(blank)"),"",VLOOKUP($B3555,'Email Marketing Raw Data'!$C:$O,7,0)),"")</f>
        <v/>
      </c>
      <c r="P3555" s="55" t="str">
        <f>IFERROR(IF(OR($B3555="",$B3555="(blank)"),"",VLOOKUP($B3555,'Email Marketing Raw Data'!$C:$O,8,0)),"")</f>
        <v/>
      </c>
      <c r="Q3555" s="62" t="str">
        <f>IFERROR(IF(OR($B3555="",$B3555="(blank)"),"",VLOOKUP($B3555,'Email Marketing Raw Data'!$C:$O,9,0)),"")</f>
        <v/>
      </c>
    </row>
    <row r="3556" spans="4:17" ht="12.75" customHeight="1" x14ac:dyDescent="0.2">
      <c r="D3556" s="58" t="str">
        <f>IFERROR(IF(F3556&lt;&gt;"pending","",IF(OR($B3556="",$B3556="(blank)"),"",VLOOKUP($B3556,'Email Marketing Raw Data'!$C:$O,10,0))),"")</f>
        <v/>
      </c>
      <c r="E3556" s="59" t="str">
        <f>IFERROR(IF(F3556&lt;&gt;"pending","",IF(OR($B3556="",$B3556="(blank)"),"",VLOOKUP($B3556,'Email Marketing Raw Data'!$C:$O,11,0))),"")</f>
        <v/>
      </c>
      <c r="F3556" s="54" t="str">
        <f>IFERROR(IF(OR($B3556="",$B3556="(blank)"),"",VLOOKUP($B3556,'Email Marketing Raw Data'!$C:$O,13,0)),"")</f>
        <v/>
      </c>
      <c r="G3556" s="55" t="str">
        <f>IFERROR(IF(OR($B3556="",$B3556="(blank)"),"",VLOOKUP($B3556,'Email Marketing Raw Data'!$C:$O,4,0)),"")</f>
        <v/>
      </c>
      <c r="H3556" s="55" t="str">
        <f>IFERROR(IF(OR($B3556="",$B3556="(blank)"),"",VLOOKUP($B3556,'Email Marketing Raw Data'!$C:$O,5,0)),"")</f>
        <v/>
      </c>
      <c r="I3556" s="55" t="str">
        <f>IFERROR(IF($G3556="","",VLOOKUP('Dashboard And Emails Automate'!$G3556,Database!$H:$N,3,0)),"")</f>
        <v/>
      </c>
      <c r="J3556" s="55" t="str">
        <f>IFERROR(IF($G3556="","",VLOOKUP('Dashboard And Emails Automate'!$G3556,Database!$H:$N,4,0)),"")</f>
        <v/>
      </c>
      <c r="K3556" s="55" t="str">
        <f>IFERROR(IF($G3556="","",VLOOKUP('Dashboard And Emails Automate'!$G3556,Database!$H:$N,5,0)),"")</f>
        <v/>
      </c>
      <c r="L3556" s="55" t="str">
        <f>IFERROR(IF($G3556="","",VLOOKUP('Dashboard And Emails Automate'!$G3556,Database!$H:$N,6,0)),"")</f>
        <v/>
      </c>
      <c r="M3556" s="55" t="str">
        <f>IFERROR(IF($G3556="","",VLOOKUP('Dashboard And Emails Automate'!$G3556,Database!$H:$N,7,0)),"")</f>
        <v/>
      </c>
      <c r="N3556" s="55" t="str">
        <f>IFERROR(IF(OR($B3556="",$B3556="(blank)"),"",VLOOKUP($B3556,'Email Marketing Raw Data'!$C:$O,6,0)),"")</f>
        <v/>
      </c>
      <c r="O3556" s="55" t="str">
        <f>IFERROR(IF(OR($B3556="",$B3556="(blank)"),"",VLOOKUP($B3556,'Email Marketing Raw Data'!$C:$O,7,0)),"")</f>
        <v/>
      </c>
      <c r="P3556" s="55" t="str">
        <f>IFERROR(IF(OR($B3556="",$B3556="(blank)"),"",VLOOKUP($B3556,'Email Marketing Raw Data'!$C:$O,8,0)),"")</f>
        <v/>
      </c>
      <c r="Q3556" s="62" t="str">
        <f>IFERROR(IF(OR($B3556="",$B3556="(blank)"),"",VLOOKUP($B3556,'Email Marketing Raw Data'!$C:$O,9,0)),"")</f>
        <v/>
      </c>
    </row>
    <row r="3557" spans="4:17" ht="12.75" customHeight="1" x14ac:dyDescent="0.2">
      <c r="D3557" s="58" t="str">
        <f>IFERROR(IF(F3557&lt;&gt;"pending","",IF(OR($B3557="",$B3557="(blank)"),"",VLOOKUP($B3557,'Email Marketing Raw Data'!$C:$O,10,0))),"")</f>
        <v/>
      </c>
      <c r="E3557" s="59" t="str">
        <f>IFERROR(IF(F3557&lt;&gt;"pending","",IF(OR($B3557="",$B3557="(blank)"),"",VLOOKUP($B3557,'Email Marketing Raw Data'!$C:$O,11,0))),"")</f>
        <v/>
      </c>
      <c r="F3557" s="54" t="str">
        <f>IFERROR(IF(OR($B3557="",$B3557="(blank)"),"",VLOOKUP($B3557,'Email Marketing Raw Data'!$C:$O,13,0)),"")</f>
        <v/>
      </c>
      <c r="G3557" s="55" t="str">
        <f>IFERROR(IF(OR($B3557="",$B3557="(blank)"),"",VLOOKUP($B3557,'Email Marketing Raw Data'!$C:$O,4,0)),"")</f>
        <v/>
      </c>
      <c r="H3557" s="55" t="str">
        <f>IFERROR(IF(OR($B3557="",$B3557="(blank)"),"",VLOOKUP($B3557,'Email Marketing Raw Data'!$C:$O,5,0)),"")</f>
        <v/>
      </c>
      <c r="I3557" s="55" t="str">
        <f>IFERROR(IF($G3557="","",VLOOKUP('Dashboard And Emails Automate'!$G3557,Database!$H:$N,3,0)),"")</f>
        <v/>
      </c>
      <c r="J3557" s="55" t="str">
        <f>IFERROR(IF($G3557="","",VLOOKUP('Dashboard And Emails Automate'!$G3557,Database!$H:$N,4,0)),"")</f>
        <v/>
      </c>
      <c r="K3557" s="55" t="str">
        <f>IFERROR(IF($G3557="","",VLOOKUP('Dashboard And Emails Automate'!$G3557,Database!$H:$N,5,0)),"")</f>
        <v/>
      </c>
      <c r="L3557" s="55" t="str">
        <f>IFERROR(IF($G3557="","",VLOOKUP('Dashboard And Emails Automate'!$G3557,Database!$H:$N,6,0)),"")</f>
        <v/>
      </c>
      <c r="M3557" s="55" t="str">
        <f>IFERROR(IF($G3557="","",VLOOKUP('Dashboard And Emails Automate'!$G3557,Database!$H:$N,7,0)),"")</f>
        <v/>
      </c>
      <c r="N3557" s="55" t="str">
        <f>IFERROR(IF(OR($B3557="",$B3557="(blank)"),"",VLOOKUP($B3557,'Email Marketing Raw Data'!$C:$O,6,0)),"")</f>
        <v/>
      </c>
      <c r="O3557" s="55" t="str">
        <f>IFERROR(IF(OR($B3557="",$B3557="(blank)"),"",VLOOKUP($B3557,'Email Marketing Raw Data'!$C:$O,7,0)),"")</f>
        <v/>
      </c>
      <c r="P3557" s="55" t="str">
        <f>IFERROR(IF(OR($B3557="",$B3557="(blank)"),"",VLOOKUP($B3557,'Email Marketing Raw Data'!$C:$O,8,0)),"")</f>
        <v/>
      </c>
      <c r="Q3557" s="62" t="str">
        <f>IFERROR(IF(OR($B3557="",$B3557="(blank)"),"",VLOOKUP($B3557,'Email Marketing Raw Data'!$C:$O,9,0)),"")</f>
        <v/>
      </c>
    </row>
    <row r="3558" spans="4:17" ht="12.75" customHeight="1" x14ac:dyDescent="0.2">
      <c r="D3558" s="58" t="str">
        <f>IFERROR(IF(F3558&lt;&gt;"pending","",IF(OR($B3558="",$B3558="(blank)"),"",VLOOKUP($B3558,'Email Marketing Raw Data'!$C:$O,10,0))),"")</f>
        <v/>
      </c>
      <c r="E3558" s="59" t="str">
        <f>IFERROR(IF(F3558&lt;&gt;"pending","",IF(OR($B3558="",$B3558="(blank)"),"",VLOOKUP($B3558,'Email Marketing Raw Data'!$C:$O,11,0))),"")</f>
        <v/>
      </c>
      <c r="F3558" s="54" t="str">
        <f>IFERROR(IF(OR($B3558="",$B3558="(blank)"),"",VLOOKUP($B3558,'Email Marketing Raw Data'!$C:$O,13,0)),"")</f>
        <v/>
      </c>
      <c r="G3558" s="55" t="str">
        <f>IFERROR(IF(OR($B3558="",$B3558="(blank)"),"",VLOOKUP($B3558,'Email Marketing Raw Data'!$C:$O,4,0)),"")</f>
        <v/>
      </c>
      <c r="H3558" s="55" t="str">
        <f>IFERROR(IF(OR($B3558="",$B3558="(blank)"),"",VLOOKUP($B3558,'Email Marketing Raw Data'!$C:$O,5,0)),"")</f>
        <v/>
      </c>
      <c r="I3558" s="55" t="str">
        <f>IFERROR(IF($G3558="","",VLOOKUP('Dashboard And Emails Automate'!$G3558,Database!$H:$N,3,0)),"")</f>
        <v/>
      </c>
      <c r="J3558" s="55" t="str">
        <f>IFERROR(IF($G3558="","",VLOOKUP('Dashboard And Emails Automate'!$G3558,Database!$H:$N,4,0)),"")</f>
        <v/>
      </c>
      <c r="K3558" s="55" t="str">
        <f>IFERROR(IF($G3558="","",VLOOKUP('Dashboard And Emails Automate'!$G3558,Database!$H:$N,5,0)),"")</f>
        <v/>
      </c>
      <c r="L3558" s="55" t="str">
        <f>IFERROR(IF($G3558="","",VLOOKUP('Dashboard And Emails Automate'!$G3558,Database!$H:$N,6,0)),"")</f>
        <v/>
      </c>
      <c r="M3558" s="55" t="str">
        <f>IFERROR(IF($G3558="","",VLOOKUP('Dashboard And Emails Automate'!$G3558,Database!$H:$N,7,0)),"")</f>
        <v/>
      </c>
      <c r="N3558" s="55" t="str">
        <f>IFERROR(IF(OR($B3558="",$B3558="(blank)"),"",VLOOKUP($B3558,'Email Marketing Raw Data'!$C:$O,6,0)),"")</f>
        <v/>
      </c>
      <c r="O3558" s="55" t="str">
        <f>IFERROR(IF(OR($B3558="",$B3558="(blank)"),"",VLOOKUP($B3558,'Email Marketing Raw Data'!$C:$O,7,0)),"")</f>
        <v/>
      </c>
      <c r="P3558" s="55" t="str">
        <f>IFERROR(IF(OR($B3558="",$B3558="(blank)"),"",VLOOKUP($B3558,'Email Marketing Raw Data'!$C:$O,8,0)),"")</f>
        <v/>
      </c>
      <c r="Q3558" s="62" t="str">
        <f>IFERROR(IF(OR($B3558="",$B3558="(blank)"),"",VLOOKUP($B3558,'Email Marketing Raw Data'!$C:$O,9,0)),"")</f>
        <v/>
      </c>
    </row>
    <row r="3559" spans="4:17" ht="12.75" customHeight="1" x14ac:dyDescent="0.2">
      <c r="D3559" s="58" t="str">
        <f>IFERROR(IF(F3559&lt;&gt;"pending","",IF(OR($B3559="",$B3559="(blank)"),"",VLOOKUP($B3559,'Email Marketing Raw Data'!$C:$O,10,0))),"")</f>
        <v/>
      </c>
      <c r="E3559" s="59" t="str">
        <f>IFERROR(IF(F3559&lt;&gt;"pending","",IF(OR($B3559="",$B3559="(blank)"),"",VLOOKUP($B3559,'Email Marketing Raw Data'!$C:$O,11,0))),"")</f>
        <v/>
      </c>
      <c r="F3559" s="54" t="str">
        <f>IFERROR(IF(OR($B3559="",$B3559="(blank)"),"",VLOOKUP($B3559,'Email Marketing Raw Data'!$C:$O,13,0)),"")</f>
        <v/>
      </c>
      <c r="G3559" s="55" t="str">
        <f>IFERROR(IF(OR($B3559="",$B3559="(blank)"),"",VLOOKUP($B3559,'Email Marketing Raw Data'!$C:$O,4,0)),"")</f>
        <v/>
      </c>
      <c r="H3559" s="55" t="str">
        <f>IFERROR(IF(OR($B3559="",$B3559="(blank)"),"",VLOOKUP($B3559,'Email Marketing Raw Data'!$C:$O,5,0)),"")</f>
        <v/>
      </c>
      <c r="I3559" s="55" t="str">
        <f>IFERROR(IF($G3559="","",VLOOKUP('Dashboard And Emails Automate'!$G3559,Database!$H:$N,3,0)),"")</f>
        <v/>
      </c>
      <c r="J3559" s="55" t="str">
        <f>IFERROR(IF($G3559="","",VLOOKUP('Dashboard And Emails Automate'!$G3559,Database!$H:$N,4,0)),"")</f>
        <v/>
      </c>
      <c r="K3559" s="55" t="str">
        <f>IFERROR(IF($G3559="","",VLOOKUP('Dashboard And Emails Automate'!$G3559,Database!$H:$N,5,0)),"")</f>
        <v/>
      </c>
      <c r="L3559" s="55" t="str">
        <f>IFERROR(IF($G3559="","",VLOOKUP('Dashboard And Emails Automate'!$G3559,Database!$H:$N,6,0)),"")</f>
        <v/>
      </c>
      <c r="M3559" s="55" t="str">
        <f>IFERROR(IF($G3559="","",VLOOKUP('Dashboard And Emails Automate'!$G3559,Database!$H:$N,7,0)),"")</f>
        <v/>
      </c>
      <c r="N3559" s="55" t="str">
        <f>IFERROR(IF(OR($B3559="",$B3559="(blank)"),"",VLOOKUP($B3559,'Email Marketing Raw Data'!$C:$O,6,0)),"")</f>
        <v/>
      </c>
      <c r="O3559" s="55" t="str">
        <f>IFERROR(IF(OR($B3559="",$B3559="(blank)"),"",VLOOKUP($B3559,'Email Marketing Raw Data'!$C:$O,7,0)),"")</f>
        <v/>
      </c>
      <c r="P3559" s="55" t="str">
        <f>IFERROR(IF(OR($B3559="",$B3559="(blank)"),"",VLOOKUP($B3559,'Email Marketing Raw Data'!$C:$O,8,0)),"")</f>
        <v/>
      </c>
      <c r="Q3559" s="62" t="str">
        <f>IFERROR(IF(OR($B3559="",$B3559="(blank)"),"",VLOOKUP($B3559,'Email Marketing Raw Data'!$C:$O,9,0)),"")</f>
        <v/>
      </c>
    </row>
    <row r="3560" spans="4:17" ht="12.75" customHeight="1" x14ac:dyDescent="0.2">
      <c r="D3560" s="58" t="str">
        <f>IFERROR(IF(F3560&lt;&gt;"pending","",IF(OR($B3560="",$B3560="(blank)"),"",VLOOKUP($B3560,'Email Marketing Raw Data'!$C:$O,10,0))),"")</f>
        <v/>
      </c>
      <c r="E3560" s="59" t="str">
        <f>IFERROR(IF(F3560&lt;&gt;"pending","",IF(OR($B3560="",$B3560="(blank)"),"",VLOOKUP($B3560,'Email Marketing Raw Data'!$C:$O,11,0))),"")</f>
        <v/>
      </c>
      <c r="F3560" s="54" t="str">
        <f>IFERROR(IF(OR($B3560="",$B3560="(blank)"),"",VLOOKUP($B3560,'Email Marketing Raw Data'!$C:$O,13,0)),"")</f>
        <v/>
      </c>
      <c r="G3560" s="55" t="str">
        <f>IFERROR(IF(OR($B3560="",$B3560="(blank)"),"",VLOOKUP($B3560,'Email Marketing Raw Data'!$C:$O,4,0)),"")</f>
        <v/>
      </c>
      <c r="H3560" s="55" t="str">
        <f>IFERROR(IF(OR($B3560="",$B3560="(blank)"),"",VLOOKUP($B3560,'Email Marketing Raw Data'!$C:$O,5,0)),"")</f>
        <v/>
      </c>
      <c r="I3560" s="55" t="str">
        <f>IFERROR(IF($G3560="","",VLOOKUP('Dashboard And Emails Automate'!$G3560,Database!$H:$N,3,0)),"")</f>
        <v/>
      </c>
      <c r="J3560" s="55" t="str">
        <f>IFERROR(IF($G3560="","",VLOOKUP('Dashboard And Emails Automate'!$G3560,Database!$H:$N,4,0)),"")</f>
        <v/>
      </c>
      <c r="K3560" s="55" t="str">
        <f>IFERROR(IF($G3560="","",VLOOKUP('Dashboard And Emails Automate'!$G3560,Database!$H:$N,5,0)),"")</f>
        <v/>
      </c>
      <c r="L3560" s="55" t="str">
        <f>IFERROR(IF($G3560="","",VLOOKUP('Dashboard And Emails Automate'!$G3560,Database!$H:$N,6,0)),"")</f>
        <v/>
      </c>
      <c r="M3560" s="55" t="str">
        <f>IFERROR(IF($G3560="","",VLOOKUP('Dashboard And Emails Automate'!$G3560,Database!$H:$N,7,0)),"")</f>
        <v/>
      </c>
      <c r="N3560" s="55" t="str">
        <f>IFERROR(IF(OR($B3560="",$B3560="(blank)"),"",VLOOKUP($B3560,'Email Marketing Raw Data'!$C:$O,6,0)),"")</f>
        <v/>
      </c>
      <c r="O3560" s="55" t="str">
        <f>IFERROR(IF(OR($B3560="",$B3560="(blank)"),"",VLOOKUP($B3560,'Email Marketing Raw Data'!$C:$O,7,0)),"")</f>
        <v/>
      </c>
      <c r="P3560" s="55" t="str">
        <f>IFERROR(IF(OR($B3560="",$B3560="(blank)"),"",VLOOKUP($B3560,'Email Marketing Raw Data'!$C:$O,8,0)),"")</f>
        <v/>
      </c>
      <c r="Q3560" s="62" t="str">
        <f>IFERROR(IF(OR($B3560="",$B3560="(blank)"),"",VLOOKUP($B3560,'Email Marketing Raw Data'!$C:$O,9,0)),"")</f>
        <v/>
      </c>
    </row>
    <row r="3561" spans="4:17" ht="12.75" customHeight="1" x14ac:dyDescent="0.2">
      <c r="D3561" s="58" t="str">
        <f>IFERROR(IF(F3561&lt;&gt;"pending","",IF(OR($B3561="",$B3561="(blank)"),"",VLOOKUP($B3561,'Email Marketing Raw Data'!$C:$O,10,0))),"")</f>
        <v/>
      </c>
      <c r="E3561" s="59" t="str">
        <f>IFERROR(IF(F3561&lt;&gt;"pending","",IF(OR($B3561="",$B3561="(blank)"),"",VLOOKUP($B3561,'Email Marketing Raw Data'!$C:$O,11,0))),"")</f>
        <v/>
      </c>
      <c r="F3561" s="54" t="str">
        <f>IFERROR(IF(OR($B3561="",$B3561="(blank)"),"",VLOOKUP($B3561,'Email Marketing Raw Data'!$C:$O,13,0)),"")</f>
        <v/>
      </c>
      <c r="G3561" s="55" t="str">
        <f>IFERROR(IF(OR($B3561="",$B3561="(blank)"),"",VLOOKUP($B3561,'Email Marketing Raw Data'!$C:$O,4,0)),"")</f>
        <v/>
      </c>
      <c r="H3561" s="55" t="str">
        <f>IFERROR(IF(OR($B3561="",$B3561="(blank)"),"",VLOOKUP($B3561,'Email Marketing Raw Data'!$C:$O,5,0)),"")</f>
        <v/>
      </c>
      <c r="I3561" s="55" t="str">
        <f>IFERROR(IF($G3561="","",VLOOKUP('Dashboard And Emails Automate'!$G3561,Database!$H:$N,3,0)),"")</f>
        <v/>
      </c>
      <c r="J3561" s="55" t="str">
        <f>IFERROR(IF($G3561="","",VLOOKUP('Dashboard And Emails Automate'!$G3561,Database!$H:$N,4,0)),"")</f>
        <v/>
      </c>
      <c r="K3561" s="55" t="str">
        <f>IFERROR(IF($G3561="","",VLOOKUP('Dashboard And Emails Automate'!$G3561,Database!$H:$N,5,0)),"")</f>
        <v/>
      </c>
      <c r="L3561" s="55" t="str">
        <f>IFERROR(IF($G3561="","",VLOOKUP('Dashboard And Emails Automate'!$G3561,Database!$H:$N,6,0)),"")</f>
        <v/>
      </c>
      <c r="M3561" s="55" t="str">
        <f>IFERROR(IF($G3561="","",VLOOKUP('Dashboard And Emails Automate'!$G3561,Database!$H:$N,7,0)),"")</f>
        <v/>
      </c>
      <c r="N3561" s="55" t="str">
        <f>IFERROR(IF(OR($B3561="",$B3561="(blank)"),"",VLOOKUP($B3561,'Email Marketing Raw Data'!$C:$O,6,0)),"")</f>
        <v/>
      </c>
      <c r="O3561" s="55" t="str">
        <f>IFERROR(IF(OR($B3561="",$B3561="(blank)"),"",VLOOKUP($B3561,'Email Marketing Raw Data'!$C:$O,7,0)),"")</f>
        <v/>
      </c>
      <c r="P3561" s="55" t="str">
        <f>IFERROR(IF(OR($B3561="",$B3561="(blank)"),"",VLOOKUP($B3561,'Email Marketing Raw Data'!$C:$O,8,0)),"")</f>
        <v/>
      </c>
      <c r="Q3561" s="62" t="str">
        <f>IFERROR(IF(OR($B3561="",$B3561="(blank)"),"",VLOOKUP($B3561,'Email Marketing Raw Data'!$C:$O,9,0)),"")</f>
        <v/>
      </c>
    </row>
    <row r="3562" spans="4:17" ht="12.75" customHeight="1" x14ac:dyDescent="0.2">
      <c r="D3562" s="58" t="str">
        <f>IFERROR(IF(F3562&lt;&gt;"pending","",IF(OR($B3562="",$B3562="(blank)"),"",VLOOKUP($B3562,'Email Marketing Raw Data'!$C:$O,10,0))),"")</f>
        <v/>
      </c>
      <c r="E3562" s="59" t="str">
        <f>IFERROR(IF(F3562&lt;&gt;"pending","",IF(OR($B3562="",$B3562="(blank)"),"",VLOOKUP($B3562,'Email Marketing Raw Data'!$C:$O,11,0))),"")</f>
        <v/>
      </c>
      <c r="F3562" s="54" t="str">
        <f>IFERROR(IF(OR($B3562="",$B3562="(blank)"),"",VLOOKUP($B3562,'Email Marketing Raw Data'!$C:$O,13,0)),"")</f>
        <v/>
      </c>
      <c r="G3562" s="55" t="str">
        <f>IFERROR(IF(OR($B3562="",$B3562="(blank)"),"",VLOOKUP($B3562,'Email Marketing Raw Data'!$C:$O,4,0)),"")</f>
        <v/>
      </c>
      <c r="H3562" s="55" t="str">
        <f>IFERROR(IF(OR($B3562="",$B3562="(blank)"),"",VLOOKUP($B3562,'Email Marketing Raw Data'!$C:$O,5,0)),"")</f>
        <v/>
      </c>
      <c r="I3562" s="55" t="str">
        <f>IFERROR(IF($G3562="","",VLOOKUP('Dashboard And Emails Automate'!$G3562,Database!$H:$N,3,0)),"")</f>
        <v/>
      </c>
      <c r="J3562" s="55" t="str">
        <f>IFERROR(IF($G3562="","",VLOOKUP('Dashboard And Emails Automate'!$G3562,Database!$H:$N,4,0)),"")</f>
        <v/>
      </c>
      <c r="K3562" s="55" t="str">
        <f>IFERROR(IF($G3562="","",VLOOKUP('Dashboard And Emails Automate'!$G3562,Database!$H:$N,5,0)),"")</f>
        <v/>
      </c>
      <c r="L3562" s="55" t="str">
        <f>IFERROR(IF($G3562="","",VLOOKUP('Dashboard And Emails Automate'!$G3562,Database!$H:$N,6,0)),"")</f>
        <v/>
      </c>
      <c r="M3562" s="55" t="str">
        <f>IFERROR(IF($G3562="","",VLOOKUP('Dashboard And Emails Automate'!$G3562,Database!$H:$N,7,0)),"")</f>
        <v/>
      </c>
      <c r="N3562" s="55" t="str">
        <f>IFERROR(IF(OR($B3562="",$B3562="(blank)"),"",VLOOKUP($B3562,'Email Marketing Raw Data'!$C:$O,6,0)),"")</f>
        <v/>
      </c>
      <c r="O3562" s="55" t="str">
        <f>IFERROR(IF(OR($B3562="",$B3562="(blank)"),"",VLOOKUP($B3562,'Email Marketing Raw Data'!$C:$O,7,0)),"")</f>
        <v/>
      </c>
      <c r="P3562" s="55" t="str">
        <f>IFERROR(IF(OR($B3562="",$B3562="(blank)"),"",VLOOKUP($B3562,'Email Marketing Raw Data'!$C:$O,8,0)),"")</f>
        <v/>
      </c>
      <c r="Q3562" s="62" t="str">
        <f>IFERROR(IF(OR($B3562="",$B3562="(blank)"),"",VLOOKUP($B3562,'Email Marketing Raw Data'!$C:$O,9,0)),"")</f>
        <v/>
      </c>
    </row>
    <row r="3563" spans="4:17" ht="12.75" customHeight="1" x14ac:dyDescent="0.2">
      <c r="D3563" s="58" t="str">
        <f>IFERROR(IF(F3563&lt;&gt;"pending","",IF(OR($B3563="",$B3563="(blank)"),"",VLOOKUP($B3563,'Email Marketing Raw Data'!$C:$O,10,0))),"")</f>
        <v/>
      </c>
      <c r="E3563" s="59" t="str">
        <f>IFERROR(IF(F3563&lt;&gt;"pending","",IF(OR($B3563="",$B3563="(blank)"),"",VLOOKUP($B3563,'Email Marketing Raw Data'!$C:$O,11,0))),"")</f>
        <v/>
      </c>
      <c r="F3563" s="54" t="str">
        <f>IFERROR(IF(OR($B3563="",$B3563="(blank)"),"",VLOOKUP($B3563,'Email Marketing Raw Data'!$C:$O,13,0)),"")</f>
        <v/>
      </c>
      <c r="G3563" s="55" t="str">
        <f>IFERROR(IF(OR($B3563="",$B3563="(blank)"),"",VLOOKUP($B3563,'Email Marketing Raw Data'!$C:$O,4,0)),"")</f>
        <v/>
      </c>
      <c r="H3563" s="55" t="str">
        <f>IFERROR(IF(OR($B3563="",$B3563="(blank)"),"",VLOOKUP($B3563,'Email Marketing Raw Data'!$C:$O,5,0)),"")</f>
        <v/>
      </c>
      <c r="I3563" s="55" t="str">
        <f>IFERROR(IF($G3563="","",VLOOKUP('Dashboard And Emails Automate'!$G3563,Database!$H:$N,3,0)),"")</f>
        <v/>
      </c>
      <c r="J3563" s="55" t="str">
        <f>IFERROR(IF($G3563="","",VLOOKUP('Dashboard And Emails Automate'!$G3563,Database!$H:$N,4,0)),"")</f>
        <v/>
      </c>
      <c r="K3563" s="55" t="str">
        <f>IFERROR(IF($G3563="","",VLOOKUP('Dashboard And Emails Automate'!$G3563,Database!$H:$N,5,0)),"")</f>
        <v/>
      </c>
      <c r="L3563" s="55" t="str">
        <f>IFERROR(IF($G3563="","",VLOOKUP('Dashboard And Emails Automate'!$G3563,Database!$H:$N,6,0)),"")</f>
        <v/>
      </c>
      <c r="M3563" s="55" t="str">
        <f>IFERROR(IF($G3563="","",VLOOKUP('Dashboard And Emails Automate'!$G3563,Database!$H:$N,7,0)),"")</f>
        <v/>
      </c>
      <c r="N3563" s="55" t="str">
        <f>IFERROR(IF(OR($B3563="",$B3563="(blank)"),"",VLOOKUP($B3563,'Email Marketing Raw Data'!$C:$O,6,0)),"")</f>
        <v/>
      </c>
      <c r="O3563" s="55" t="str">
        <f>IFERROR(IF(OR($B3563="",$B3563="(blank)"),"",VLOOKUP($B3563,'Email Marketing Raw Data'!$C:$O,7,0)),"")</f>
        <v/>
      </c>
      <c r="P3563" s="55" t="str">
        <f>IFERROR(IF(OR($B3563="",$B3563="(blank)"),"",VLOOKUP($B3563,'Email Marketing Raw Data'!$C:$O,8,0)),"")</f>
        <v/>
      </c>
      <c r="Q3563" s="62" t="str">
        <f>IFERROR(IF(OR($B3563="",$B3563="(blank)"),"",VLOOKUP($B3563,'Email Marketing Raw Data'!$C:$O,9,0)),"")</f>
        <v/>
      </c>
    </row>
    <row r="3564" spans="4:17" ht="12.75" customHeight="1" x14ac:dyDescent="0.2">
      <c r="D3564" s="58" t="str">
        <f>IFERROR(IF(F3564&lt;&gt;"pending","",IF(OR($B3564="",$B3564="(blank)"),"",VLOOKUP($B3564,'Email Marketing Raw Data'!$C:$O,10,0))),"")</f>
        <v/>
      </c>
      <c r="E3564" s="59" t="str">
        <f>IFERROR(IF(F3564&lt;&gt;"pending","",IF(OR($B3564="",$B3564="(blank)"),"",VLOOKUP($B3564,'Email Marketing Raw Data'!$C:$O,11,0))),"")</f>
        <v/>
      </c>
      <c r="F3564" s="54" t="str">
        <f>IFERROR(IF(OR($B3564="",$B3564="(blank)"),"",VLOOKUP($B3564,'Email Marketing Raw Data'!$C:$O,13,0)),"")</f>
        <v/>
      </c>
      <c r="G3564" s="55" t="str">
        <f>IFERROR(IF(OR($B3564="",$B3564="(blank)"),"",VLOOKUP($B3564,'Email Marketing Raw Data'!$C:$O,4,0)),"")</f>
        <v/>
      </c>
      <c r="H3564" s="55" t="str">
        <f>IFERROR(IF(OR($B3564="",$B3564="(blank)"),"",VLOOKUP($B3564,'Email Marketing Raw Data'!$C:$O,5,0)),"")</f>
        <v/>
      </c>
      <c r="I3564" s="55" t="str">
        <f>IFERROR(IF($G3564="","",VLOOKUP('Dashboard And Emails Automate'!$G3564,Database!$H:$N,3,0)),"")</f>
        <v/>
      </c>
      <c r="J3564" s="55" t="str">
        <f>IFERROR(IF($G3564="","",VLOOKUP('Dashboard And Emails Automate'!$G3564,Database!$H:$N,4,0)),"")</f>
        <v/>
      </c>
      <c r="K3564" s="55" t="str">
        <f>IFERROR(IF($G3564="","",VLOOKUP('Dashboard And Emails Automate'!$G3564,Database!$H:$N,5,0)),"")</f>
        <v/>
      </c>
      <c r="L3564" s="55" t="str">
        <f>IFERROR(IF($G3564="","",VLOOKUP('Dashboard And Emails Automate'!$G3564,Database!$H:$N,6,0)),"")</f>
        <v/>
      </c>
      <c r="M3564" s="55" t="str">
        <f>IFERROR(IF($G3564="","",VLOOKUP('Dashboard And Emails Automate'!$G3564,Database!$H:$N,7,0)),"")</f>
        <v/>
      </c>
      <c r="N3564" s="55" t="str">
        <f>IFERROR(IF(OR($B3564="",$B3564="(blank)"),"",VLOOKUP($B3564,'Email Marketing Raw Data'!$C:$O,6,0)),"")</f>
        <v/>
      </c>
      <c r="O3564" s="55" t="str">
        <f>IFERROR(IF(OR($B3564="",$B3564="(blank)"),"",VLOOKUP($B3564,'Email Marketing Raw Data'!$C:$O,7,0)),"")</f>
        <v/>
      </c>
      <c r="P3564" s="55" t="str">
        <f>IFERROR(IF(OR($B3564="",$B3564="(blank)"),"",VLOOKUP($B3564,'Email Marketing Raw Data'!$C:$O,8,0)),"")</f>
        <v/>
      </c>
      <c r="Q3564" s="62" t="str">
        <f>IFERROR(IF(OR($B3564="",$B3564="(blank)"),"",VLOOKUP($B3564,'Email Marketing Raw Data'!$C:$O,9,0)),"")</f>
        <v/>
      </c>
    </row>
    <row r="3565" spans="4:17" ht="12.75" customHeight="1" x14ac:dyDescent="0.2">
      <c r="D3565" s="58" t="str">
        <f>IFERROR(IF(F3565&lt;&gt;"pending","",IF(OR($B3565="",$B3565="(blank)"),"",VLOOKUP($B3565,'Email Marketing Raw Data'!$C:$O,10,0))),"")</f>
        <v/>
      </c>
      <c r="E3565" s="59" t="str">
        <f>IFERROR(IF(F3565&lt;&gt;"pending","",IF(OR($B3565="",$B3565="(blank)"),"",VLOOKUP($B3565,'Email Marketing Raw Data'!$C:$O,11,0))),"")</f>
        <v/>
      </c>
      <c r="F3565" s="54" t="str">
        <f>IFERROR(IF(OR($B3565="",$B3565="(blank)"),"",VLOOKUP($B3565,'Email Marketing Raw Data'!$C:$O,13,0)),"")</f>
        <v/>
      </c>
      <c r="G3565" s="55" t="str">
        <f>IFERROR(IF(OR($B3565="",$B3565="(blank)"),"",VLOOKUP($B3565,'Email Marketing Raw Data'!$C:$O,4,0)),"")</f>
        <v/>
      </c>
      <c r="H3565" s="55" t="str">
        <f>IFERROR(IF(OR($B3565="",$B3565="(blank)"),"",VLOOKUP($B3565,'Email Marketing Raw Data'!$C:$O,5,0)),"")</f>
        <v/>
      </c>
      <c r="I3565" s="55" t="str">
        <f>IFERROR(IF($G3565="","",VLOOKUP('Dashboard And Emails Automate'!$G3565,Database!$H:$N,3,0)),"")</f>
        <v/>
      </c>
      <c r="J3565" s="55" t="str">
        <f>IFERROR(IF($G3565="","",VLOOKUP('Dashboard And Emails Automate'!$G3565,Database!$H:$N,4,0)),"")</f>
        <v/>
      </c>
      <c r="K3565" s="55" t="str">
        <f>IFERROR(IF($G3565="","",VLOOKUP('Dashboard And Emails Automate'!$G3565,Database!$H:$N,5,0)),"")</f>
        <v/>
      </c>
      <c r="L3565" s="55" t="str">
        <f>IFERROR(IF($G3565="","",VLOOKUP('Dashboard And Emails Automate'!$G3565,Database!$H:$N,6,0)),"")</f>
        <v/>
      </c>
      <c r="M3565" s="55" t="str">
        <f>IFERROR(IF($G3565="","",VLOOKUP('Dashboard And Emails Automate'!$G3565,Database!$H:$N,7,0)),"")</f>
        <v/>
      </c>
      <c r="N3565" s="55" t="str">
        <f>IFERROR(IF(OR($B3565="",$B3565="(blank)"),"",VLOOKUP($B3565,'Email Marketing Raw Data'!$C:$O,6,0)),"")</f>
        <v/>
      </c>
      <c r="O3565" s="55" t="str">
        <f>IFERROR(IF(OR($B3565="",$B3565="(blank)"),"",VLOOKUP($B3565,'Email Marketing Raw Data'!$C:$O,7,0)),"")</f>
        <v/>
      </c>
      <c r="P3565" s="55" t="str">
        <f>IFERROR(IF(OR($B3565="",$B3565="(blank)"),"",VLOOKUP($B3565,'Email Marketing Raw Data'!$C:$O,8,0)),"")</f>
        <v/>
      </c>
      <c r="Q3565" s="62" t="str">
        <f>IFERROR(IF(OR($B3565="",$B3565="(blank)"),"",VLOOKUP($B3565,'Email Marketing Raw Data'!$C:$O,9,0)),"")</f>
        <v/>
      </c>
    </row>
    <row r="3566" spans="4:17" ht="12.75" customHeight="1" x14ac:dyDescent="0.2">
      <c r="D3566" s="58" t="str">
        <f>IFERROR(IF(F3566&lt;&gt;"pending","",IF(OR($B3566="",$B3566="(blank)"),"",VLOOKUP($B3566,'Email Marketing Raw Data'!$C:$O,10,0))),"")</f>
        <v/>
      </c>
      <c r="E3566" s="59" t="str">
        <f>IFERROR(IF(F3566&lt;&gt;"pending","",IF(OR($B3566="",$B3566="(blank)"),"",VLOOKUP($B3566,'Email Marketing Raw Data'!$C:$O,11,0))),"")</f>
        <v/>
      </c>
      <c r="F3566" s="54" t="str">
        <f>IFERROR(IF(OR($B3566="",$B3566="(blank)"),"",VLOOKUP($B3566,'Email Marketing Raw Data'!$C:$O,13,0)),"")</f>
        <v/>
      </c>
      <c r="G3566" s="55" t="str">
        <f>IFERROR(IF(OR($B3566="",$B3566="(blank)"),"",VLOOKUP($B3566,'Email Marketing Raw Data'!$C:$O,4,0)),"")</f>
        <v/>
      </c>
      <c r="H3566" s="55" t="str">
        <f>IFERROR(IF(OR($B3566="",$B3566="(blank)"),"",VLOOKUP($B3566,'Email Marketing Raw Data'!$C:$O,5,0)),"")</f>
        <v/>
      </c>
      <c r="I3566" s="55" t="str">
        <f>IFERROR(IF($G3566="","",VLOOKUP('Dashboard And Emails Automate'!$G3566,Database!$H:$N,3,0)),"")</f>
        <v/>
      </c>
      <c r="J3566" s="55" t="str">
        <f>IFERROR(IF($G3566="","",VLOOKUP('Dashboard And Emails Automate'!$G3566,Database!$H:$N,4,0)),"")</f>
        <v/>
      </c>
      <c r="K3566" s="55" t="str">
        <f>IFERROR(IF($G3566="","",VLOOKUP('Dashboard And Emails Automate'!$G3566,Database!$H:$N,5,0)),"")</f>
        <v/>
      </c>
      <c r="L3566" s="55" t="str">
        <f>IFERROR(IF($G3566="","",VLOOKUP('Dashboard And Emails Automate'!$G3566,Database!$H:$N,6,0)),"")</f>
        <v/>
      </c>
      <c r="M3566" s="55" t="str">
        <f>IFERROR(IF($G3566="","",VLOOKUP('Dashboard And Emails Automate'!$G3566,Database!$H:$N,7,0)),"")</f>
        <v/>
      </c>
      <c r="N3566" s="55" t="str">
        <f>IFERROR(IF(OR($B3566="",$B3566="(blank)"),"",VLOOKUP($B3566,'Email Marketing Raw Data'!$C:$O,6,0)),"")</f>
        <v/>
      </c>
      <c r="O3566" s="55" t="str">
        <f>IFERROR(IF(OR($B3566="",$B3566="(blank)"),"",VLOOKUP($B3566,'Email Marketing Raw Data'!$C:$O,7,0)),"")</f>
        <v/>
      </c>
      <c r="P3566" s="55" t="str">
        <f>IFERROR(IF(OR($B3566="",$B3566="(blank)"),"",VLOOKUP($B3566,'Email Marketing Raw Data'!$C:$O,8,0)),"")</f>
        <v/>
      </c>
      <c r="Q3566" s="62" t="str">
        <f>IFERROR(IF(OR($B3566="",$B3566="(blank)"),"",VLOOKUP($B3566,'Email Marketing Raw Data'!$C:$O,9,0)),"")</f>
        <v/>
      </c>
    </row>
    <row r="3567" spans="4:17" ht="12.75" customHeight="1" x14ac:dyDescent="0.2">
      <c r="D3567" s="58" t="str">
        <f>IFERROR(IF(F3567&lt;&gt;"pending","",IF(OR($B3567="",$B3567="(blank)"),"",VLOOKUP($B3567,'Email Marketing Raw Data'!$C:$O,10,0))),"")</f>
        <v/>
      </c>
      <c r="E3567" s="59" t="str">
        <f>IFERROR(IF(F3567&lt;&gt;"pending","",IF(OR($B3567="",$B3567="(blank)"),"",VLOOKUP($B3567,'Email Marketing Raw Data'!$C:$O,11,0))),"")</f>
        <v/>
      </c>
      <c r="F3567" s="54" t="str">
        <f>IFERROR(IF(OR($B3567="",$B3567="(blank)"),"",VLOOKUP($B3567,'Email Marketing Raw Data'!$C:$O,13,0)),"")</f>
        <v/>
      </c>
      <c r="G3567" s="55" t="str">
        <f>IFERROR(IF(OR($B3567="",$B3567="(blank)"),"",VLOOKUP($B3567,'Email Marketing Raw Data'!$C:$O,4,0)),"")</f>
        <v/>
      </c>
      <c r="H3567" s="55" t="str">
        <f>IFERROR(IF(OR($B3567="",$B3567="(blank)"),"",VLOOKUP($B3567,'Email Marketing Raw Data'!$C:$O,5,0)),"")</f>
        <v/>
      </c>
      <c r="I3567" s="55" t="str">
        <f>IFERROR(IF($G3567="","",VLOOKUP('Dashboard And Emails Automate'!$G3567,Database!$H:$N,3,0)),"")</f>
        <v/>
      </c>
      <c r="J3567" s="55" t="str">
        <f>IFERROR(IF($G3567="","",VLOOKUP('Dashboard And Emails Automate'!$G3567,Database!$H:$N,4,0)),"")</f>
        <v/>
      </c>
      <c r="K3567" s="55" t="str">
        <f>IFERROR(IF($G3567="","",VLOOKUP('Dashboard And Emails Automate'!$G3567,Database!$H:$N,5,0)),"")</f>
        <v/>
      </c>
      <c r="L3567" s="55" t="str">
        <f>IFERROR(IF($G3567="","",VLOOKUP('Dashboard And Emails Automate'!$G3567,Database!$H:$N,6,0)),"")</f>
        <v/>
      </c>
      <c r="M3567" s="55" t="str">
        <f>IFERROR(IF($G3567="","",VLOOKUP('Dashboard And Emails Automate'!$G3567,Database!$H:$N,7,0)),"")</f>
        <v/>
      </c>
      <c r="N3567" s="55" t="str">
        <f>IFERROR(IF(OR($B3567="",$B3567="(blank)"),"",VLOOKUP($B3567,'Email Marketing Raw Data'!$C:$O,6,0)),"")</f>
        <v/>
      </c>
      <c r="O3567" s="55" t="str">
        <f>IFERROR(IF(OR($B3567="",$B3567="(blank)"),"",VLOOKUP($B3567,'Email Marketing Raw Data'!$C:$O,7,0)),"")</f>
        <v/>
      </c>
      <c r="P3567" s="55" t="str">
        <f>IFERROR(IF(OR($B3567="",$B3567="(blank)"),"",VLOOKUP($B3567,'Email Marketing Raw Data'!$C:$O,8,0)),"")</f>
        <v/>
      </c>
      <c r="Q3567" s="62" t="str">
        <f>IFERROR(IF(OR($B3567="",$B3567="(blank)"),"",VLOOKUP($B3567,'Email Marketing Raw Data'!$C:$O,9,0)),"")</f>
        <v/>
      </c>
    </row>
    <row r="3568" spans="4:17" ht="12.75" customHeight="1" x14ac:dyDescent="0.2">
      <c r="D3568" s="58" t="str">
        <f>IFERROR(IF(F3568&lt;&gt;"pending","",IF(OR($B3568="",$B3568="(blank)"),"",VLOOKUP($B3568,'Email Marketing Raw Data'!$C:$O,10,0))),"")</f>
        <v/>
      </c>
      <c r="E3568" s="59" t="str">
        <f>IFERROR(IF(F3568&lt;&gt;"pending","",IF(OR($B3568="",$B3568="(blank)"),"",VLOOKUP($B3568,'Email Marketing Raw Data'!$C:$O,11,0))),"")</f>
        <v/>
      </c>
      <c r="F3568" s="54" t="str">
        <f>IFERROR(IF(OR($B3568="",$B3568="(blank)"),"",VLOOKUP($B3568,'Email Marketing Raw Data'!$C:$O,13,0)),"")</f>
        <v/>
      </c>
      <c r="G3568" s="55" t="str">
        <f>IFERROR(IF(OR($B3568="",$B3568="(blank)"),"",VLOOKUP($B3568,'Email Marketing Raw Data'!$C:$O,4,0)),"")</f>
        <v/>
      </c>
      <c r="H3568" s="55" t="str">
        <f>IFERROR(IF(OR($B3568="",$B3568="(blank)"),"",VLOOKUP($B3568,'Email Marketing Raw Data'!$C:$O,5,0)),"")</f>
        <v/>
      </c>
      <c r="I3568" s="55" t="str">
        <f>IFERROR(IF($G3568="","",VLOOKUP('Dashboard And Emails Automate'!$G3568,Database!$H:$N,3,0)),"")</f>
        <v/>
      </c>
      <c r="J3568" s="55" t="str">
        <f>IFERROR(IF($G3568="","",VLOOKUP('Dashboard And Emails Automate'!$G3568,Database!$H:$N,4,0)),"")</f>
        <v/>
      </c>
      <c r="K3568" s="55" t="str">
        <f>IFERROR(IF($G3568="","",VLOOKUP('Dashboard And Emails Automate'!$G3568,Database!$H:$N,5,0)),"")</f>
        <v/>
      </c>
      <c r="L3568" s="55" t="str">
        <f>IFERROR(IF($G3568="","",VLOOKUP('Dashboard And Emails Automate'!$G3568,Database!$H:$N,6,0)),"")</f>
        <v/>
      </c>
      <c r="M3568" s="55" t="str">
        <f>IFERROR(IF($G3568="","",VLOOKUP('Dashboard And Emails Automate'!$G3568,Database!$H:$N,7,0)),"")</f>
        <v/>
      </c>
      <c r="N3568" s="55" t="str">
        <f>IFERROR(IF(OR($B3568="",$B3568="(blank)"),"",VLOOKUP($B3568,'Email Marketing Raw Data'!$C:$O,6,0)),"")</f>
        <v/>
      </c>
      <c r="O3568" s="55" t="str">
        <f>IFERROR(IF(OR($B3568="",$B3568="(blank)"),"",VLOOKUP($B3568,'Email Marketing Raw Data'!$C:$O,7,0)),"")</f>
        <v/>
      </c>
      <c r="P3568" s="55" t="str">
        <f>IFERROR(IF(OR($B3568="",$B3568="(blank)"),"",VLOOKUP($B3568,'Email Marketing Raw Data'!$C:$O,8,0)),"")</f>
        <v/>
      </c>
      <c r="Q3568" s="62" t="str">
        <f>IFERROR(IF(OR($B3568="",$B3568="(blank)"),"",VLOOKUP($B3568,'Email Marketing Raw Data'!$C:$O,9,0)),"")</f>
        <v/>
      </c>
    </row>
    <row r="3569" spans="4:17" ht="12.75" customHeight="1" x14ac:dyDescent="0.2">
      <c r="D3569" s="58" t="str">
        <f>IFERROR(IF(F3569&lt;&gt;"pending","",IF(OR($B3569="",$B3569="(blank)"),"",VLOOKUP($B3569,'Email Marketing Raw Data'!$C:$O,10,0))),"")</f>
        <v/>
      </c>
      <c r="E3569" s="59" t="str">
        <f>IFERROR(IF(F3569&lt;&gt;"pending","",IF(OR($B3569="",$B3569="(blank)"),"",VLOOKUP($B3569,'Email Marketing Raw Data'!$C:$O,11,0))),"")</f>
        <v/>
      </c>
      <c r="F3569" s="54" t="str">
        <f>IFERROR(IF(OR($B3569="",$B3569="(blank)"),"",VLOOKUP($B3569,'Email Marketing Raw Data'!$C:$O,13,0)),"")</f>
        <v/>
      </c>
      <c r="G3569" s="55" t="str">
        <f>IFERROR(IF(OR($B3569="",$B3569="(blank)"),"",VLOOKUP($B3569,'Email Marketing Raw Data'!$C:$O,4,0)),"")</f>
        <v/>
      </c>
      <c r="H3569" s="55" t="str">
        <f>IFERROR(IF(OR($B3569="",$B3569="(blank)"),"",VLOOKUP($B3569,'Email Marketing Raw Data'!$C:$O,5,0)),"")</f>
        <v/>
      </c>
      <c r="I3569" s="55" t="str">
        <f>IFERROR(IF($G3569="","",VLOOKUP('Dashboard And Emails Automate'!$G3569,Database!$H:$N,3,0)),"")</f>
        <v/>
      </c>
      <c r="J3569" s="55" t="str">
        <f>IFERROR(IF($G3569="","",VLOOKUP('Dashboard And Emails Automate'!$G3569,Database!$H:$N,4,0)),"")</f>
        <v/>
      </c>
      <c r="K3569" s="55" t="str">
        <f>IFERROR(IF($G3569="","",VLOOKUP('Dashboard And Emails Automate'!$G3569,Database!$H:$N,5,0)),"")</f>
        <v/>
      </c>
      <c r="L3569" s="55" t="str">
        <f>IFERROR(IF($G3569="","",VLOOKUP('Dashboard And Emails Automate'!$G3569,Database!$H:$N,6,0)),"")</f>
        <v/>
      </c>
      <c r="M3569" s="55" t="str">
        <f>IFERROR(IF($G3569="","",VLOOKUP('Dashboard And Emails Automate'!$G3569,Database!$H:$N,7,0)),"")</f>
        <v/>
      </c>
      <c r="N3569" s="55" t="str">
        <f>IFERROR(IF(OR($B3569="",$B3569="(blank)"),"",VLOOKUP($B3569,'Email Marketing Raw Data'!$C:$O,6,0)),"")</f>
        <v/>
      </c>
      <c r="O3569" s="55" t="str">
        <f>IFERROR(IF(OR($B3569="",$B3569="(blank)"),"",VLOOKUP($B3569,'Email Marketing Raw Data'!$C:$O,7,0)),"")</f>
        <v/>
      </c>
      <c r="P3569" s="55" t="str">
        <f>IFERROR(IF(OR($B3569="",$B3569="(blank)"),"",VLOOKUP($B3569,'Email Marketing Raw Data'!$C:$O,8,0)),"")</f>
        <v/>
      </c>
      <c r="Q3569" s="62" t="str">
        <f>IFERROR(IF(OR($B3569="",$B3569="(blank)"),"",VLOOKUP($B3569,'Email Marketing Raw Data'!$C:$O,9,0)),"")</f>
        <v/>
      </c>
    </row>
    <row r="3570" spans="4:17" ht="12.75" customHeight="1" x14ac:dyDescent="0.2">
      <c r="D3570" s="58" t="str">
        <f>IFERROR(IF(F3570&lt;&gt;"pending","",IF(OR($B3570="",$B3570="(blank)"),"",VLOOKUP($B3570,'Email Marketing Raw Data'!$C:$O,10,0))),"")</f>
        <v/>
      </c>
      <c r="E3570" s="59" t="str">
        <f>IFERROR(IF(F3570&lt;&gt;"pending","",IF(OR($B3570="",$B3570="(blank)"),"",VLOOKUP($B3570,'Email Marketing Raw Data'!$C:$O,11,0))),"")</f>
        <v/>
      </c>
      <c r="F3570" s="54" t="str">
        <f>IFERROR(IF(OR($B3570="",$B3570="(blank)"),"",VLOOKUP($B3570,'Email Marketing Raw Data'!$C:$O,13,0)),"")</f>
        <v/>
      </c>
      <c r="G3570" s="55" t="str">
        <f>IFERROR(IF(OR($B3570="",$B3570="(blank)"),"",VLOOKUP($B3570,'Email Marketing Raw Data'!$C:$O,4,0)),"")</f>
        <v/>
      </c>
      <c r="H3570" s="55" t="str">
        <f>IFERROR(IF(OR($B3570="",$B3570="(blank)"),"",VLOOKUP($B3570,'Email Marketing Raw Data'!$C:$O,5,0)),"")</f>
        <v/>
      </c>
      <c r="I3570" s="55" t="str">
        <f>IFERROR(IF($G3570="","",VLOOKUP('Dashboard And Emails Automate'!$G3570,Database!$H:$N,3,0)),"")</f>
        <v/>
      </c>
      <c r="J3570" s="55" t="str">
        <f>IFERROR(IF($G3570="","",VLOOKUP('Dashboard And Emails Automate'!$G3570,Database!$H:$N,4,0)),"")</f>
        <v/>
      </c>
      <c r="K3570" s="55" t="str">
        <f>IFERROR(IF($G3570="","",VLOOKUP('Dashboard And Emails Automate'!$G3570,Database!$H:$N,5,0)),"")</f>
        <v/>
      </c>
      <c r="L3570" s="55" t="str">
        <f>IFERROR(IF($G3570="","",VLOOKUP('Dashboard And Emails Automate'!$G3570,Database!$H:$N,6,0)),"")</f>
        <v/>
      </c>
      <c r="M3570" s="55" t="str">
        <f>IFERROR(IF($G3570="","",VLOOKUP('Dashboard And Emails Automate'!$G3570,Database!$H:$N,7,0)),"")</f>
        <v/>
      </c>
      <c r="N3570" s="55" t="str">
        <f>IFERROR(IF(OR($B3570="",$B3570="(blank)"),"",VLOOKUP($B3570,'Email Marketing Raw Data'!$C:$O,6,0)),"")</f>
        <v/>
      </c>
      <c r="O3570" s="55" t="str">
        <f>IFERROR(IF(OR($B3570="",$B3570="(blank)"),"",VLOOKUP($B3570,'Email Marketing Raw Data'!$C:$O,7,0)),"")</f>
        <v/>
      </c>
      <c r="P3570" s="55" t="str">
        <f>IFERROR(IF(OR($B3570="",$B3570="(blank)"),"",VLOOKUP($B3570,'Email Marketing Raw Data'!$C:$O,8,0)),"")</f>
        <v/>
      </c>
      <c r="Q3570" s="62" t="str">
        <f>IFERROR(IF(OR($B3570="",$B3570="(blank)"),"",VLOOKUP($B3570,'Email Marketing Raw Data'!$C:$O,9,0)),"")</f>
        <v/>
      </c>
    </row>
    <row r="3571" spans="4:17" ht="12.75" customHeight="1" x14ac:dyDescent="0.2">
      <c r="D3571" s="58" t="str">
        <f>IFERROR(IF(F3571&lt;&gt;"pending","",IF(OR($B3571="",$B3571="(blank)"),"",VLOOKUP($B3571,'Email Marketing Raw Data'!$C:$O,10,0))),"")</f>
        <v/>
      </c>
      <c r="E3571" s="59" t="str">
        <f>IFERROR(IF(F3571&lt;&gt;"pending","",IF(OR($B3571="",$B3571="(blank)"),"",VLOOKUP($B3571,'Email Marketing Raw Data'!$C:$O,11,0))),"")</f>
        <v/>
      </c>
      <c r="F3571" s="54" t="str">
        <f>IFERROR(IF(OR($B3571="",$B3571="(blank)"),"",VLOOKUP($B3571,'Email Marketing Raw Data'!$C:$O,13,0)),"")</f>
        <v/>
      </c>
      <c r="G3571" s="55" t="str">
        <f>IFERROR(IF(OR($B3571="",$B3571="(blank)"),"",VLOOKUP($B3571,'Email Marketing Raw Data'!$C:$O,4,0)),"")</f>
        <v/>
      </c>
      <c r="H3571" s="55" t="str">
        <f>IFERROR(IF(OR($B3571="",$B3571="(blank)"),"",VLOOKUP($B3571,'Email Marketing Raw Data'!$C:$O,5,0)),"")</f>
        <v/>
      </c>
      <c r="I3571" s="55" t="str">
        <f>IFERROR(IF($G3571="","",VLOOKUP('Dashboard And Emails Automate'!$G3571,Database!$H:$N,3,0)),"")</f>
        <v/>
      </c>
      <c r="J3571" s="55" t="str">
        <f>IFERROR(IF($G3571="","",VLOOKUP('Dashboard And Emails Automate'!$G3571,Database!$H:$N,4,0)),"")</f>
        <v/>
      </c>
      <c r="K3571" s="55" t="str">
        <f>IFERROR(IF($G3571="","",VLOOKUP('Dashboard And Emails Automate'!$G3571,Database!$H:$N,5,0)),"")</f>
        <v/>
      </c>
      <c r="L3571" s="55" t="str">
        <f>IFERROR(IF($G3571="","",VLOOKUP('Dashboard And Emails Automate'!$G3571,Database!$H:$N,6,0)),"")</f>
        <v/>
      </c>
      <c r="M3571" s="55" t="str">
        <f>IFERROR(IF($G3571="","",VLOOKUP('Dashboard And Emails Automate'!$G3571,Database!$H:$N,7,0)),"")</f>
        <v/>
      </c>
      <c r="N3571" s="55" t="str">
        <f>IFERROR(IF(OR($B3571="",$B3571="(blank)"),"",VLOOKUP($B3571,'Email Marketing Raw Data'!$C:$O,6,0)),"")</f>
        <v/>
      </c>
      <c r="O3571" s="55" t="str">
        <f>IFERROR(IF(OR($B3571="",$B3571="(blank)"),"",VLOOKUP($B3571,'Email Marketing Raw Data'!$C:$O,7,0)),"")</f>
        <v/>
      </c>
      <c r="P3571" s="55" t="str">
        <f>IFERROR(IF(OR($B3571="",$B3571="(blank)"),"",VLOOKUP($B3571,'Email Marketing Raw Data'!$C:$O,8,0)),"")</f>
        <v/>
      </c>
      <c r="Q3571" s="62" t="str">
        <f>IFERROR(IF(OR($B3571="",$B3571="(blank)"),"",VLOOKUP($B3571,'Email Marketing Raw Data'!$C:$O,9,0)),"")</f>
        <v/>
      </c>
    </row>
    <row r="3572" spans="4:17" ht="12.75" customHeight="1" x14ac:dyDescent="0.2">
      <c r="D3572" s="58" t="str">
        <f>IFERROR(IF(F3572&lt;&gt;"pending","",IF(OR($B3572="",$B3572="(blank)"),"",VLOOKUP($B3572,'Email Marketing Raw Data'!$C:$O,10,0))),"")</f>
        <v/>
      </c>
      <c r="E3572" s="59" t="str">
        <f>IFERROR(IF(F3572&lt;&gt;"pending","",IF(OR($B3572="",$B3572="(blank)"),"",VLOOKUP($B3572,'Email Marketing Raw Data'!$C:$O,11,0))),"")</f>
        <v/>
      </c>
      <c r="F3572" s="54" t="str">
        <f>IFERROR(IF(OR($B3572="",$B3572="(blank)"),"",VLOOKUP($B3572,'Email Marketing Raw Data'!$C:$O,13,0)),"")</f>
        <v/>
      </c>
      <c r="G3572" s="55" t="str">
        <f>IFERROR(IF(OR($B3572="",$B3572="(blank)"),"",VLOOKUP($B3572,'Email Marketing Raw Data'!$C:$O,4,0)),"")</f>
        <v/>
      </c>
      <c r="H3572" s="55" t="str">
        <f>IFERROR(IF(OR($B3572="",$B3572="(blank)"),"",VLOOKUP($B3572,'Email Marketing Raw Data'!$C:$O,5,0)),"")</f>
        <v/>
      </c>
      <c r="I3572" s="55" t="str">
        <f>IFERROR(IF($G3572="","",VLOOKUP('Dashboard And Emails Automate'!$G3572,Database!$H:$N,3,0)),"")</f>
        <v/>
      </c>
      <c r="J3572" s="55" t="str">
        <f>IFERROR(IF($G3572="","",VLOOKUP('Dashboard And Emails Automate'!$G3572,Database!$H:$N,4,0)),"")</f>
        <v/>
      </c>
      <c r="K3572" s="55" t="str">
        <f>IFERROR(IF($G3572="","",VLOOKUP('Dashboard And Emails Automate'!$G3572,Database!$H:$N,5,0)),"")</f>
        <v/>
      </c>
      <c r="L3572" s="55" t="str">
        <f>IFERROR(IF($G3572="","",VLOOKUP('Dashboard And Emails Automate'!$G3572,Database!$H:$N,6,0)),"")</f>
        <v/>
      </c>
      <c r="M3572" s="55" t="str">
        <f>IFERROR(IF($G3572="","",VLOOKUP('Dashboard And Emails Automate'!$G3572,Database!$H:$N,7,0)),"")</f>
        <v/>
      </c>
      <c r="N3572" s="55" t="str">
        <f>IFERROR(IF(OR($B3572="",$B3572="(blank)"),"",VLOOKUP($B3572,'Email Marketing Raw Data'!$C:$O,6,0)),"")</f>
        <v/>
      </c>
      <c r="O3572" s="55" t="str">
        <f>IFERROR(IF(OR($B3572="",$B3572="(blank)"),"",VLOOKUP($B3572,'Email Marketing Raw Data'!$C:$O,7,0)),"")</f>
        <v/>
      </c>
      <c r="P3572" s="55" t="str">
        <f>IFERROR(IF(OR($B3572="",$B3572="(blank)"),"",VLOOKUP($B3572,'Email Marketing Raw Data'!$C:$O,8,0)),"")</f>
        <v/>
      </c>
      <c r="Q3572" s="62" t="str">
        <f>IFERROR(IF(OR($B3572="",$B3572="(blank)"),"",VLOOKUP($B3572,'Email Marketing Raw Data'!$C:$O,9,0)),"")</f>
        <v/>
      </c>
    </row>
    <row r="3573" spans="4:17" ht="12.75" customHeight="1" x14ac:dyDescent="0.2">
      <c r="D3573" s="58" t="str">
        <f>IFERROR(IF(F3573&lt;&gt;"pending","",IF(OR($B3573="",$B3573="(blank)"),"",VLOOKUP($B3573,'Email Marketing Raw Data'!$C:$O,10,0))),"")</f>
        <v/>
      </c>
      <c r="E3573" s="59" t="str">
        <f>IFERROR(IF(F3573&lt;&gt;"pending","",IF(OR($B3573="",$B3573="(blank)"),"",VLOOKUP($B3573,'Email Marketing Raw Data'!$C:$O,11,0))),"")</f>
        <v/>
      </c>
      <c r="F3573" s="54" t="str">
        <f>IFERROR(IF(OR($B3573="",$B3573="(blank)"),"",VLOOKUP($B3573,'Email Marketing Raw Data'!$C:$O,13,0)),"")</f>
        <v/>
      </c>
      <c r="G3573" s="55" t="str">
        <f>IFERROR(IF(OR($B3573="",$B3573="(blank)"),"",VLOOKUP($B3573,'Email Marketing Raw Data'!$C:$O,4,0)),"")</f>
        <v/>
      </c>
      <c r="H3573" s="55" t="str">
        <f>IFERROR(IF(OR($B3573="",$B3573="(blank)"),"",VLOOKUP($B3573,'Email Marketing Raw Data'!$C:$O,5,0)),"")</f>
        <v/>
      </c>
      <c r="I3573" s="55" t="str">
        <f>IFERROR(IF($G3573="","",VLOOKUP('Dashboard And Emails Automate'!$G3573,Database!$H:$N,3,0)),"")</f>
        <v/>
      </c>
      <c r="J3573" s="55" t="str">
        <f>IFERROR(IF($G3573="","",VLOOKUP('Dashboard And Emails Automate'!$G3573,Database!$H:$N,4,0)),"")</f>
        <v/>
      </c>
      <c r="K3573" s="55" t="str">
        <f>IFERROR(IF($G3573="","",VLOOKUP('Dashboard And Emails Automate'!$G3573,Database!$H:$N,5,0)),"")</f>
        <v/>
      </c>
      <c r="L3573" s="55" t="str">
        <f>IFERROR(IF($G3573="","",VLOOKUP('Dashboard And Emails Automate'!$G3573,Database!$H:$N,6,0)),"")</f>
        <v/>
      </c>
      <c r="M3573" s="55" t="str">
        <f>IFERROR(IF($G3573="","",VLOOKUP('Dashboard And Emails Automate'!$G3573,Database!$H:$N,7,0)),"")</f>
        <v/>
      </c>
      <c r="N3573" s="55" t="str">
        <f>IFERROR(IF(OR($B3573="",$B3573="(blank)"),"",VLOOKUP($B3573,'Email Marketing Raw Data'!$C:$O,6,0)),"")</f>
        <v/>
      </c>
      <c r="O3573" s="55" t="str">
        <f>IFERROR(IF(OR($B3573="",$B3573="(blank)"),"",VLOOKUP($B3573,'Email Marketing Raw Data'!$C:$O,7,0)),"")</f>
        <v/>
      </c>
      <c r="P3573" s="55" t="str">
        <f>IFERROR(IF(OR($B3573="",$B3573="(blank)"),"",VLOOKUP($B3573,'Email Marketing Raw Data'!$C:$O,8,0)),"")</f>
        <v/>
      </c>
      <c r="Q3573" s="62" t="str">
        <f>IFERROR(IF(OR($B3573="",$B3573="(blank)"),"",VLOOKUP($B3573,'Email Marketing Raw Data'!$C:$O,9,0)),"")</f>
        <v/>
      </c>
    </row>
    <row r="3574" spans="4:17" ht="12.75" customHeight="1" x14ac:dyDescent="0.2">
      <c r="D3574" s="58" t="str">
        <f>IFERROR(IF(F3574&lt;&gt;"pending","",IF(OR($B3574="",$B3574="(blank)"),"",VLOOKUP($B3574,'Email Marketing Raw Data'!$C:$O,10,0))),"")</f>
        <v/>
      </c>
      <c r="E3574" s="59" t="str">
        <f>IFERROR(IF(F3574&lt;&gt;"pending","",IF(OR($B3574="",$B3574="(blank)"),"",VLOOKUP($B3574,'Email Marketing Raw Data'!$C:$O,11,0))),"")</f>
        <v/>
      </c>
      <c r="F3574" s="54" t="str">
        <f>IFERROR(IF(OR($B3574="",$B3574="(blank)"),"",VLOOKUP($B3574,'Email Marketing Raw Data'!$C:$O,13,0)),"")</f>
        <v/>
      </c>
      <c r="G3574" s="55" t="str">
        <f>IFERROR(IF(OR($B3574="",$B3574="(blank)"),"",VLOOKUP($B3574,'Email Marketing Raw Data'!$C:$O,4,0)),"")</f>
        <v/>
      </c>
      <c r="H3574" s="55" t="str">
        <f>IFERROR(IF(OR($B3574="",$B3574="(blank)"),"",VLOOKUP($B3574,'Email Marketing Raw Data'!$C:$O,5,0)),"")</f>
        <v/>
      </c>
      <c r="I3574" s="55" t="str">
        <f>IFERROR(IF($G3574="","",VLOOKUP('Dashboard And Emails Automate'!$G3574,Database!$H:$N,3,0)),"")</f>
        <v/>
      </c>
      <c r="J3574" s="55" t="str">
        <f>IFERROR(IF($G3574="","",VLOOKUP('Dashboard And Emails Automate'!$G3574,Database!$H:$N,4,0)),"")</f>
        <v/>
      </c>
      <c r="K3574" s="55" t="str">
        <f>IFERROR(IF($G3574="","",VLOOKUP('Dashboard And Emails Automate'!$G3574,Database!$H:$N,5,0)),"")</f>
        <v/>
      </c>
      <c r="L3574" s="55" t="str">
        <f>IFERROR(IF($G3574="","",VLOOKUP('Dashboard And Emails Automate'!$G3574,Database!$H:$N,6,0)),"")</f>
        <v/>
      </c>
      <c r="M3574" s="55" t="str">
        <f>IFERROR(IF($G3574="","",VLOOKUP('Dashboard And Emails Automate'!$G3574,Database!$H:$N,7,0)),"")</f>
        <v/>
      </c>
      <c r="N3574" s="55" t="str">
        <f>IFERROR(IF(OR($B3574="",$B3574="(blank)"),"",VLOOKUP($B3574,'Email Marketing Raw Data'!$C:$O,6,0)),"")</f>
        <v/>
      </c>
      <c r="O3574" s="55" t="str">
        <f>IFERROR(IF(OR($B3574="",$B3574="(blank)"),"",VLOOKUP($B3574,'Email Marketing Raw Data'!$C:$O,7,0)),"")</f>
        <v/>
      </c>
      <c r="P3574" s="55" t="str">
        <f>IFERROR(IF(OR($B3574="",$B3574="(blank)"),"",VLOOKUP($B3574,'Email Marketing Raw Data'!$C:$O,8,0)),"")</f>
        <v/>
      </c>
      <c r="Q3574" s="62" t="str">
        <f>IFERROR(IF(OR($B3574="",$B3574="(blank)"),"",VLOOKUP($B3574,'Email Marketing Raw Data'!$C:$O,9,0)),"")</f>
        <v/>
      </c>
    </row>
    <row r="3575" spans="4:17" ht="12.75" customHeight="1" x14ac:dyDescent="0.2">
      <c r="D3575" s="58" t="str">
        <f>IFERROR(IF(F3575&lt;&gt;"pending","",IF(OR($B3575="",$B3575="(blank)"),"",VLOOKUP($B3575,'Email Marketing Raw Data'!$C:$O,10,0))),"")</f>
        <v/>
      </c>
      <c r="E3575" s="59" t="str">
        <f>IFERROR(IF(F3575&lt;&gt;"pending","",IF(OR($B3575="",$B3575="(blank)"),"",VLOOKUP($B3575,'Email Marketing Raw Data'!$C:$O,11,0))),"")</f>
        <v/>
      </c>
      <c r="F3575" s="54" t="str">
        <f>IFERROR(IF(OR($B3575="",$B3575="(blank)"),"",VLOOKUP($B3575,'Email Marketing Raw Data'!$C:$O,13,0)),"")</f>
        <v/>
      </c>
      <c r="G3575" s="55" t="str">
        <f>IFERROR(IF(OR($B3575="",$B3575="(blank)"),"",VLOOKUP($B3575,'Email Marketing Raw Data'!$C:$O,4,0)),"")</f>
        <v/>
      </c>
      <c r="H3575" s="55" t="str">
        <f>IFERROR(IF(OR($B3575="",$B3575="(blank)"),"",VLOOKUP($B3575,'Email Marketing Raw Data'!$C:$O,5,0)),"")</f>
        <v/>
      </c>
      <c r="I3575" s="55" t="str">
        <f>IFERROR(IF($G3575="","",VLOOKUP('Dashboard And Emails Automate'!$G3575,Database!$H:$N,3,0)),"")</f>
        <v/>
      </c>
      <c r="J3575" s="55" t="str">
        <f>IFERROR(IF($G3575="","",VLOOKUP('Dashboard And Emails Automate'!$G3575,Database!$H:$N,4,0)),"")</f>
        <v/>
      </c>
      <c r="K3575" s="55" t="str">
        <f>IFERROR(IF($G3575="","",VLOOKUP('Dashboard And Emails Automate'!$G3575,Database!$H:$N,5,0)),"")</f>
        <v/>
      </c>
      <c r="L3575" s="55" t="str">
        <f>IFERROR(IF($G3575="","",VLOOKUP('Dashboard And Emails Automate'!$G3575,Database!$H:$N,6,0)),"")</f>
        <v/>
      </c>
      <c r="M3575" s="55" t="str">
        <f>IFERROR(IF($G3575="","",VLOOKUP('Dashboard And Emails Automate'!$G3575,Database!$H:$N,7,0)),"")</f>
        <v/>
      </c>
      <c r="N3575" s="55" t="str">
        <f>IFERROR(IF(OR($B3575="",$B3575="(blank)"),"",VLOOKUP($B3575,'Email Marketing Raw Data'!$C:$O,6,0)),"")</f>
        <v/>
      </c>
      <c r="O3575" s="55" t="str">
        <f>IFERROR(IF(OR($B3575="",$B3575="(blank)"),"",VLOOKUP($B3575,'Email Marketing Raw Data'!$C:$O,7,0)),"")</f>
        <v/>
      </c>
      <c r="P3575" s="55" t="str">
        <f>IFERROR(IF(OR($B3575="",$B3575="(blank)"),"",VLOOKUP($B3575,'Email Marketing Raw Data'!$C:$O,8,0)),"")</f>
        <v/>
      </c>
      <c r="Q3575" s="62" t="str">
        <f>IFERROR(IF(OR($B3575="",$B3575="(blank)"),"",VLOOKUP($B3575,'Email Marketing Raw Data'!$C:$O,9,0)),"")</f>
        <v/>
      </c>
    </row>
    <row r="3576" spans="4:17" ht="12.75" customHeight="1" x14ac:dyDescent="0.2">
      <c r="D3576" s="58" t="str">
        <f>IFERROR(IF(F3576&lt;&gt;"pending","",IF(OR($B3576="",$B3576="(blank)"),"",VLOOKUP($B3576,'Email Marketing Raw Data'!$C:$O,10,0))),"")</f>
        <v/>
      </c>
      <c r="E3576" s="59" t="str">
        <f>IFERROR(IF(F3576&lt;&gt;"pending","",IF(OR($B3576="",$B3576="(blank)"),"",VLOOKUP($B3576,'Email Marketing Raw Data'!$C:$O,11,0))),"")</f>
        <v/>
      </c>
      <c r="F3576" s="54" t="str">
        <f>IFERROR(IF(OR($B3576="",$B3576="(blank)"),"",VLOOKUP($B3576,'Email Marketing Raw Data'!$C:$O,13,0)),"")</f>
        <v/>
      </c>
      <c r="G3576" s="55" t="str">
        <f>IFERROR(IF(OR($B3576="",$B3576="(blank)"),"",VLOOKUP($B3576,'Email Marketing Raw Data'!$C:$O,4,0)),"")</f>
        <v/>
      </c>
      <c r="H3576" s="55" t="str">
        <f>IFERROR(IF(OR($B3576="",$B3576="(blank)"),"",VLOOKUP($B3576,'Email Marketing Raw Data'!$C:$O,5,0)),"")</f>
        <v/>
      </c>
      <c r="I3576" s="55" t="str">
        <f>IFERROR(IF($G3576="","",VLOOKUP('Dashboard And Emails Automate'!$G3576,Database!$H:$N,3,0)),"")</f>
        <v/>
      </c>
      <c r="J3576" s="55" t="str">
        <f>IFERROR(IF($G3576="","",VLOOKUP('Dashboard And Emails Automate'!$G3576,Database!$H:$N,4,0)),"")</f>
        <v/>
      </c>
      <c r="K3576" s="55" t="str">
        <f>IFERROR(IF($G3576="","",VLOOKUP('Dashboard And Emails Automate'!$G3576,Database!$H:$N,5,0)),"")</f>
        <v/>
      </c>
      <c r="L3576" s="55" t="str">
        <f>IFERROR(IF($G3576="","",VLOOKUP('Dashboard And Emails Automate'!$G3576,Database!$H:$N,6,0)),"")</f>
        <v/>
      </c>
      <c r="M3576" s="55" t="str">
        <f>IFERROR(IF($G3576="","",VLOOKUP('Dashboard And Emails Automate'!$G3576,Database!$H:$N,7,0)),"")</f>
        <v/>
      </c>
      <c r="N3576" s="55" t="str">
        <f>IFERROR(IF(OR($B3576="",$B3576="(blank)"),"",VLOOKUP($B3576,'Email Marketing Raw Data'!$C:$O,6,0)),"")</f>
        <v/>
      </c>
      <c r="O3576" s="55" t="str">
        <f>IFERROR(IF(OR($B3576="",$B3576="(blank)"),"",VLOOKUP($B3576,'Email Marketing Raw Data'!$C:$O,7,0)),"")</f>
        <v/>
      </c>
      <c r="P3576" s="55" t="str">
        <f>IFERROR(IF(OR($B3576="",$B3576="(blank)"),"",VLOOKUP($B3576,'Email Marketing Raw Data'!$C:$O,8,0)),"")</f>
        <v/>
      </c>
      <c r="Q3576" s="62" t="str">
        <f>IFERROR(IF(OR($B3576="",$B3576="(blank)"),"",VLOOKUP($B3576,'Email Marketing Raw Data'!$C:$O,9,0)),"")</f>
        <v/>
      </c>
    </row>
    <row r="3577" spans="4:17" ht="12.75" customHeight="1" x14ac:dyDescent="0.2">
      <c r="D3577" s="58" t="str">
        <f>IFERROR(IF(F3577&lt;&gt;"pending","",IF(OR($B3577="",$B3577="(blank)"),"",VLOOKUP($B3577,'Email Marketing Raw Data'!$C:$O,10,0))),"")</f>
        <v/>
      </c>
      <c r="E3577" s="59" t="str">
        <f>IFERROR(IF(F3577&lt;&gt;"pending","",IF(OR($B3577="",$B3577="(blank)"),"",VLOOKUP($B3577,'Email Marketing Raw Data'!$C:$O,11,0))),"")</f>
        <v/>
      </c>
      <c r="F3577" s="54" t="str">
        <f>IFERROR(IF(OR($B3577="",$B3577="(blank)"),"",VLOOKUP($B3577,'Email Marketing Raw Data'!$C:$O,13,0)),"")</f>
        <v/>
      </c>
      <c r="G3577" s="55" t="str">
        <f>IFERROR(IF(OR($B3577="",$B3577="(blank)"),"",VLOOKUP($B3577,'Email Marketing Raw Data'!$C:$O,4,0)),"")</f>
        <v/>
      </c>
      <c r="H3577" s="55" t="str">
        <f>IFERROR(IF(OR($B3577="",$B3577="(blank)"),"",VLOOKUP($B3577,'Email Marketing Raw Data'!$C:$O,5,0)),"")</f>
        <v/>
      </c>
      <c r="I3577" s="55" t="str">
        <f>IFERROR(IF($G3577="","",VLOOKUP('Dashboard And Emails Automate'!$G3577,Database!$H:$N,3,0)),"")</f>
        <v/>
      </c>
      <c r="J3577" s="55" t="str">
        <f>IFERROR(IF($G3577="","",VLOOKUP('Dashboard And Emails Automate'!$G3577,Database!$H:$N,4,0)),"")</f>
        <v/>
      </c>
      <c r="K3577" s="55" t="str">
        <f>IFERROR(IF($G3577="","",VLOOKUP('Dashboard And Emails Automate'!$G3577,Database!$H:$N,5,0)),"")</f>
        <v/>
      </c>
      <c r="L3577" s="55" t="str">
        <f>IFERROR(IF($G3577="","",VLOOKUP('Dashboard And Emails Automate'!$G3577,Database!$H:$N,6,0)),"")</f>
        <v/>
      </c>
      <c r="M3577" s="55" t="str">
        <f>IFERROR(IF($G3577="","",VLOOKUP('Dashboard And Emails Automate'!$G3577,Database!$H:$N,7,0)),"")</f>
        <v/>
      </c>
      <c r="N3577" s="55" t="str">
        <f>IFERROR(IF(OR($B3577="",$B3577="(blank)"),"",VLOOKUP($B3577,'Email Marketing Raw Data'!$C:$O,6,0)),"")</f>
        <v/>
      </c>
      <c r="O3577" s="55" t="str">
        <f>IFERROR(IF(OR($B3577="",$B3577="(blank)"),"",VLOOKUP($B3577,'Email Marketing Raw Data'!$C:$O,7,0)),"")</f>
        <v/>
      </c>
      <c r="P3577" s="55" t="str">
        <f>IFERROR(IF(OR($B3577="",$B3577="(blank)"),"",VLOOKUP($B3577,'Email Marketing Raw Data'!$C:$O,8,0)),"")</f>
        <v/>
      </c>
      <c r="Q3577" s="62" t="str">
        <f>IFERROR(IF(OR($B3577="",$B3577="(blank)"),"",VLOOKUP($B3577,'Email Marketing Raw Data'!$C:$O,9,0)),"")</f>
        <v/>
      </c>
    </row>
    <row r="3578" spans="4:17" ht="12.75" customHeight="1" x14ac:dyDescent="0.2">
      <c r="D3578" s="58" t="str">
        <f>IFERROR(IF(F3578&lt;&gt;"pending","",IF(OR($B3578="",$B3578="(blank)"),"",VLOOKUP($B3578,'Email Marketing Raw Data'!$C:$O,10,0))),"")</f>
        <v/>
      </c>
      <c r="E3578" s="59" t="str">
        <f>IFERROR(IF(F3578&lt;&gt;"pending","",IF(OR($B3578="",$B3578="(blank)"),"",VLOOKUP($B3578,'Email Marketing Raw Data'!$C:$O,11,0))),"")</f>
        <v/>
      </c>
      <c r="F3578" s="54" t="str">
        <f>IFERROR(IF(OR($B3578="",$B3578="(blank)"),"",VLOOKUP($B3578,'Email Marketing Raw Data'!$C:$O,13,0)),"")</f>
        <v/>
      </c>
      <c r="G3578" s="55" t="str">
        <f>IFERROR(IF(OR($B3578="",$B3578="(blank)"),"",VLOOKUP($B3578,'Email Marketing Raw Data'!$C:$O,4,0)),"")</f>
        <v/>
      </c>
      <c r="H3578" s="55" t="str">
        <f>IFERROR(IF(OR($B3578="",$B3578="(blank)"),"",VLOOKUP($B3578,'Email Marketing Raw Data'!$C:$O,5,0)),"")</f>
        <v/>
      </c>
      <c r="I3578" s="55" t="str">
        <f>IFERROR(IF($G3578="","",VLOOKUP('Dashboard And Emails Automate'!$G3578,Database!$H:$N,3,0)),"")</f>
        <v/>
      </c>
      <c r="J3578" s="55" t="str">
        <f>IFERROR(IF($G3578="","",VLOOKUP('Dashboard And Emails Automate'!$G3578,Database!$H:$N,4,0)),"")</f>
        <v/>
      </c>
      <c r="K3578" s="55" t="str">
        <f>IFERROR(IF($G3578="","",VLOOKUP('Dashboard And Emails Automate'!$G3578,Database!$H:$N,5,0)),"")</f>
        <v/>
      </c>
      <c r="L3578" s="55" t="str">
        <f>IFERROR(IF($G3578="","",VLOOKUP('Dashboard And Emails Automate'!$G3578,Database!$H:$N,6,0)),"")</f>
        <v/>
      </c>
      <c r="M3578" s="55" t="str">
        <f>IFERROR(IF($G3578="","",VLOOKUP('Dashboard And Emails Automate'!$G3578,Database!$H:$N,7,0)),"")</f>
        <v/>
      </c>
      <c r="N3578" s="55" t="str">
        <f>IFERROR(IF(OR($B3578="",$B3578="(blank)"),"",VLOOKUP($B3578,'Email Marketing Raw Data'!$C:$O,6,0)),"")</f>
        <v/>
      </c>
      <c r="O3578" s="55" t="str">
        <f>IFERROR(IF(OR($B3578="",$B3578="(blank)"),"",VLOOKUP($B3578,'Email Marketing Raw Data'!$C:$O,7,0)),"")</f>
        <v/>
      </c>
      <c r="P3578" s="55" t="str">
        <f>IFERROR(IF(OR($B3578="",$B3578="(blank)"),"",VLOOKUP($B3578,'Email Marketing Raw Data'!$C:$O,8,0)),"")</f>
        <v/>
      </c>
      <c r="Q3578" s="62" t="str">
        <f>IFERROR(IF(OR($B3578="",$B3578="(blank)"),"",VLOOKUP($B3578,'Email Marketing Raw Data'!$C:$O,9,0)),"")</f>
        <v/>
      </c>
    </row>
    <row r="3579" spans="4:17" ht="12.75" customHeight="1" x14ac:dyDescent="0.2">
      <c r="D3579" s="58" t="str">
        <f>IFERROR(IF(F3579&lt;&gt;"pending","",IF(OR($B3579="",$B3579="(blank)"),"",VLOOKUP($B3579,'Email Marketing Raw Data'!$C:$O,10,0))),"")</f>
        <v/>
      </c>
      <c r="E3579" s="59" t="str">
        <f>IFERROR(IF(F3579&lt;&gt;"pending","",IF(OR($B3579="",$B3579="(blank)"),"",VLOOKUP($B3579,'Email Marketing Raw Data'!$C:$O,11,0))),"")</f>
        <v/>
      </c>
      <c r="F3579" s="54" t="str">
        <f>IFERROR(IF(OR($B3579="",$B3579="(blank)"),"",VLOOKUP($B3579,'Email Marketing Raw Data'!$C:$O,13,0)),"")</f>
        <v/>
      </c>
      <c r="G3579" s="55" t="str">
        <f>IFERROR(IF(OR($B3579="",$B3579="(blank)"),"",VLOOKUP($B3579,'Email Marketing Raw Data'!$C:$O,4,0)),"")</f>
        <v/>
      </c>
      <c r="H3579" s="55" t="str">
        <f>IFERROR(IF(OR($B3579="",$B3579="(blank)"),"",VLOOKUP($B3579,'Email Marketing Raw Data'!$C:$O,5,0)),"")</f>
        <v/>
      </c>
      <c r="I3579" s="55" t="str">
        <f>IFERROR(IF($G3579="","",VLOOKUP('Dashboard And Emails Automate'!$G3579,Database!$H:$N,3,0)),"")</f>
        <v/>
      </c>
      <c r="J3579" s="55" t="str">
        <f>IFERROR(IF($G3579="","",VLOOKUP('Dashboard And Emails Automate'!$G3579,Database!$H:$N,4,0)),"")</f>
        <v/>
      </c>
      <c r="K3579" s="55" t="str">
        <f>IFERROR(IF($G3579="","",VLOOKUP('Dashboard And Emails Automate'!$G3579,Database!$H:$N,5,0)),"")</f>
        <v/>
      </c>
      <c r="L3579" s="55" t="str">
        <f>IFERROR(IF($G3579="","",VLOOKUP('Dashboard And Emails Automate'!$G3579,Database!$H:$N,6,0)),"")</f>
        <v/>
      </c>
      <c r="M3579" s="55" t="str">
        <f>IFERROR(IF($G3579="","",VLOOKUP('Dashboard And Emails Automate'!$G3579,Database!$H:$N,7,0)),"")</f>
        <v/>
      </c>
      <c r="N3579" s="55" t="str">
        <f>IFERROR(IF(OR($B3579="",$B3579="(blank)"),"",VLOOKUP($B3579,'Email Marketing Raw Data'!$C:$O,6,0)),"")</f>
        <v/>
      </c>
      <c r="O3579" s="55" t="str">
        <f>IFERROR(IF(OR($B3579="",$B3579="(blank)"),"",VLOOKUP($B3579,'Email Marketing Raw Data'!$C:$O,7,0)),"")</f>
        <v/>
      </c>
      <c r="P3579" s="55" t="str">
        <f>IFERROR(IF(OR($B3579="",$B3579="(blank)"),"",VLOOKUP($B3579,'Email Marketing Raw Data'!$C:$O,8,0)),"")</f>
        <v/>
      </c>
      <c r="Q3579" s="62" t="str">
        <f>IFERROR(IF(OR($B3579="",$B3579="(blank)"),"",VLOOKUP($B3579,'Email Marketing Raw Data'!$C:$O,9,0)),"")</f>
        <v/>
      </c>
    </row>
    <row r="3580" spans="4:17" ht="12.75" customHeight="1" x14ac:dyDescent="0.2">
      <c r="D3580" s="58" t="str">
        <f>IFERROR(IF(F3580&lt;&gt;"pending","",IF(OR($B3580="",$B3580="(blank)"),"",VLOOKUP($B3580,'Email Marketing Raw Data'!$C:$O,10,0))),"")</f>
        <v/>
      </c>
      <c r="E3580" s="59" t="str">
        <f>IFERROR(IF(F3580&lt;&gt;"pending","",IF(OR($B3580="",$B3580="(blank)"),"",VLOOKUP($B3580,'Email Marketing Raw Data'!$C:$O,11,0))),"")</f>
        <v/>
      </c>
      <c r="F3580" s="54" t="str">
        <f>IFERROR(IF(OR($B3580="",$B3580="(blank)"),"",VLOOKUP($B3580,'Email Marketing Raw Data'!$C:$O,13,0)),"")</f>
        <v/>
      </c>
      <c r="G3580" s="55" t="str">
        <f>IFERROR(IF(OR($B3580="",$B3580="(blank)"),"",VLOOKUP($B3580,'Email Marketing Raw Data'!$C:$O,4,0)),"")</f>
        <v/>
      </c>
      <c r="H3580" s="55" t="str">
        <f>IFERROR(IF(OR($B3580="",$B3580="(blank)"),"",VLOOKUP($B3580,'Email Marketing Raw Data'!$C:$O,5,0)),"")</f>
        <v/>
      </c>
      <c r="I3580" s="55" t="str">
        <f>IFERROR(IF($G3580="","",VLOOKUP('Dashboard And Emails Automate'!$G3580,Database!$H:$N,3,0)),"")</f>
        <v/>
      </c>
      <c r="J3580" s="55" t="str">
        <f>IFERROR(IF($G3580="","",VLOOKUP('Dashboard And Emails Automate'!$G3580,Database!$H:$N,4,0)),"")</f>
        <v/>
      </c>
      <c r="K3580" s="55" t="str">
        <f>IFERROR(IF($G3580="","",VLOOKUP('Dashboard And Emails Automate'!$G3580,Database!$H:$N,5,0)),"")</f>
        <v/>
      </c>
      <c r="L3580" s="55" t="str">
        <f>IFERROR(IF($G3580="","",VLOOKUP('Dashboard And Emails Automate'!$G3580,Database!$H:$N,6,0)),"")</f>
        <v/>
      </c>
      <c r="M3580" s="55" t="str">
        <f>IFERROR(IF($G3580="","",VLOOKUP('Dashboard And Emails Automate'!$G3580,Database!$H:$N,7,0)),"")</f>
        <v/>
      </c>
      <c r="N3580" s="55" t="str">
        <f>IFERROR(IF(OR($B3580="",$B3580="(blank)"),"",VLOOKUP($B3580,'Email Marketing Raw Data'!$C:$O,6,0)),"")</f>
        <v/>
      </c>
      <c r="O3580" s="55" t="str">
        <f>IFERROR(IF(OR($B3580="",$B3580="(blank)"),"",VLOOKUP($B3580,'Email Marketing Raw Data'!$C:$O,7,0)),"")</f>
        <v/>
      </c>
      <c r="P3580" s="55" t="str">
        <f>IFERROR(IF(OR($B3580="",$B3580="(blank)"),"",VLOOKUP($B3580,'Email Marketing Raw Data'!$C:$O,8,0)),"")</f>
        <v/>
      </c>
      <c r="Q3580" s="62" t="str">
        <f>IFERROR(IF(OR($B3580="",$B3580="(blank)"),"",VLOOKUP($B3580,'Email Marketing Raw Data'!$C:$O,9,0)),"")</f>
        <v/>
      </c>
    </row>
    <row r="3581" spans="4:17" ht="12.75" customHeight="1" x14ac:dyDescent="0.2">
      <c r="D3581" s="58" t="str">
        <f>IFERROR(IF(F3581&lt;&gt;"pending","",IF(OR($B3581="",$B3581="(blank)"),"",VLOOKUP($B3581,'Email Marketing Raw Data'!$C:$O,10,0))),"")</f>
        <v/>
      </c>
      <c r="E3581" s="59" t="str">
        <f>IFERROR(IF(F3581&lt;&gt;"pending","",IF(OR($B3581="",$B3581="(blank)"),"",VLOOKUP($B3581,'Email Marketing Raw Data'!$C:$O,11,0))),"")</f>
        <v/>
      </c>
      <c r="F3581" s="54" t="str">
        <f>IFERROR(IF(OR($B3581="",$B3581="(blank)"),"",VLOOKUP($B3581,'Email Marketing Raw Data'!$C:$O,13,0)),"")</f>
        <v/>
      </c>
      <c r="G3581" s="55" t="str">
        <f>IFERROR(IF(OR($B3581="",$B3581="(blank)"),"",VLOOKUP($B3581,'Email Marketing Raw Data'!$C:$O,4,0)),"")</f>
        <v/>
      </c>
      <c r="H3581" s="55" t="str">
        <f>IFERROR(IF(OR($B3581="",$B3581="(blank)"),"",VLOOKUP($B3581,'Email Marketing Raw Data'!$C:$O,5,0)),"")</f>
        <v/>
      </c>
      <c r="I3581" s="55" t="str">
        <f>IFERROR(IF($G3581="","",VLOOKUP('Dashboard And Emails Automate'!$G3581,Database!$H:$N,3,0)),"")</f>
        <v/>
      </c>
      <c r="J3581" s="55" t="str">
        <f>IFERROR(IF($G3581="","",VLOOKUP('Dashboard And Emails Automate'!$G3581,Database!$H:$N,4,0)),"")</f>
        <v/>
      </c>
      <c r="K3581" s="55" t="str">
        <f>IFERROR(IF($G3581="","",VLOOKUP('Dashboard And Emails Automate'!$G3581,Database!$H:$N,5,0)),"")</f>
        <v/>
      </c>
      <c r="L3581" s="55" t="str">
        <f>IFERROR(IF($G3581="","",VLOOKUP('Dashboard And Emails Automate'!$G3581,Database!$H:$N,6,0)),"")</f>
        <v/>
      </c>
      <c r="M3581" s="55" t="str">
        <f>IFERROR(IF($G3581="","",VLOOKUP('Dashboard And Emails Automate'!$G3581,Database!$H:$N,7,0)),"")</f>
        <v/>
      </c>
      <c r="N3581" s="55" t="str">
        <f>IFERROR(IF(OR($B3581="",$B3581="(blank)"),"",VLOOKUP($B3581,'Email Marketing Raw Data'!$C:$O,6,0)),"")</f>
        <v/>
      </c>
      <c r="O3581" s="55" t="str">
        <f>IFERROR(IF(OR($B3581="",$B3581="(blank)"),"",VLOOKUP($B3581,'Email Marketing Raw Data'!$C:$O,7,0)),"")</f>
        <v/>
      </c>
      <c r="P3581" s="55" t="str">
        <f>IFERROR(IF(OR($B3581="",$B3581="(blank)"),"",VLOOKUP($B3581,'Email Marketing Raw Data'!$C:$O,8,0)),"")</f>
        <v/>
      </c>
      <c r="Q3581" s="62" t="str">
        <f>IFERROR(IF(OR($B3581="",$B3581="(blank)"),"",VLOOKUP($B3581,'Email Marketing Raw Data'!$C:$O,9,0)),"")</f>
        <v/>
      </c>
    </row>
    <row r="3582" spans="4:17" ht="12.75" customHeight="1" x14ac:dyDescent="0.2">
      <c r="D3582" s="58" t="str">
        <f>IFERROR(IF(F3582&lt;&gt;"pending","",IF(OR($B3582="",$B3582="(blank)"),"",VLOOKUP($B3582,'Email Marketing Raw Data'!$C:$O,10,0))),"")</f>
        <v/>
      </c>
      <c r="E3582" s="59" t="str">
        <f>IFERROR(IF(F3582&lt;&gt;"pending","",IF(OR($B3582="",$B3582="(blank)"),"",VLOOKUP($B3582,'Email Marketing Raw Data'!$C:$O,11,0))),"")</f>
        <v/>
      </c>
      <c r="F3582" s="54" t="str">
        <f>IFERROR(IF(OR($B3582="",$B3582="(blank)"),"",VLOOKUP($B3582,'Email Marketing Raw Data'!$C:$O,13,0)),"")</f>
        <v/>
      </c>
      <c r="G3582" s="55" t="str">
        <f>IFERROR(IF(OR($B3582="",$B3582="(blank)"),"",VLOOKUP($B3582,'Email Marketing Raw Data'!$C:$O,4,0)),"")</f>
        <v/>
      </c>
      <c r="H3582" s="55" t="str">
        <f>IFERROR(IF(OR($B3582="",$B3582="(blank)"),"",VLOOKUP($B3582,'Email Marketing Raw Data'!$C:$O,5,0)),"")</f>
        <v/>
      </c>
      <c r="I3582" s="55" t="str">
        <f>IFERROR(IF($G3582="","",VLOOKUP('Dashboard And Emails Automate'!$G3582,Database!$H:$N,3,0)),"")</f>
        <v/>
      </c>
      <c r="J3582" s="55" t="str">
        <f>IFERROR(IF($G3582="","",VLOOKUP('Dashboard And Emails Automate'!$G3582,Database!$H:$N,4,0)),"")</f>
        <v/>
      </c>
      <c r="K3582" s="55" t="str">
        <f>IFERROR(IF($G3582="","",VLOOKUP('Dashboard And Emails Automate'!$G3582,Database!$H:$N,5,0)),"")</f>
        <v/>
      </c>
      <c r="L3582" s="55" t="str">
        <f>IFERROR(IF($G3582="","",VLOOKUP('Dashboard And Emails Automate'!$G3582,Database!$H:$N,6,0)),"")</f>
        <v/>
      </c>
      <c r="M3582" s="55" t="str">
        <f>IFERROR(IF($G3582="","",VLOOKUP('Dashboard And Emails Automate'!$G3582,Database!$H:$N,7,0)),"")</f>
        <v/>
      </c>
      <c r="N3582" s="55" t="str">
        <f>IFERROR(IF(OR($B3582="",$B3582="(blank)"),"",VLOOKUP($B3582,'Email Marketing Raw Data'!$C:$O,6,0)),"")</f>
        <v/>
      </c>
      <c r="O3582" s="55" t="str">
        <f>IFERROR(IF(OR($B3582="",$B3582="(blank)"),"",VLOOKUP($B3582,'Email Marketing Raw Data'!$C:$O,7,0)),"")</f>
        <v/>
      </c>
      <c r="P3582" s="55" t="str">
        <f>IFERROR(IF(OR($B3582="",$B3582="(blank)"),"",VLOOKUP($B3582,'Email Marketing Raw Data'!$C:$O,8,0)),"")</f>
        <v/>
      </c>
      <c r="Q3582" s="62" t="str">
        <f>IFERROR(IF(OR($B3582="",$B3582="(blank)"),"",VLOOKUP($B3582,'Email Marketing Raw Data'!$C:$O,9,0)),"")</f>
        <v/>
      </c>
    </row>
    <row r="3583" spans="4:17" ht="12.75" customHeight="1" x14ac:dyDescent="0.2">
      <c r="D3583" s="58" t="str">
        <f>IFERROR(IF(F3583&lt;&gt;"pending","",IF(OR($B3583="",$B3583="(blank)"),"",VLOOKUP($B3583,'Email Marketing Raw Data'!$C:$O,10,0))),"")</f>
        <v/>
      </c>
      <c r="E3583" s="59" t="str">
        <f>IFERROR(IF(F3583&lt;&gt;"pending","",IF(OR($B3583="",$B3583="(blank)"),"",VLOOKUP($B3583,'Email Marketing Raw Data'!$C:$O,11,0))),"")</f>
        <v/>
      </c>
      <c r="F3583" s="54" t="str">
        <f>IFERROR(IF(OR($B3583="",$B3583="(blank)"),"",VLOOKUP($B3583,'Email Marketing Raw Data'!$C:$O,13,0)),"")</f>
        <v/>
      </c>
      <c r="G3583" s="55" t="str">
        <f>IFERROR(IF(OR($B3583="",$B3583="(blank)"),"",VLOOKUP($B3583,'Email Marketing Raw Data'!$C:$O,4,0)),"")</f>
        <v/>
      </c>
      <c r="H3583" s="55" t="str">
        <f>IFERROR(IF(OR($B3583="",$B3583="(blank)"),"",VLOOKUP($B3583,'Email Marketing Raw Data'!$C:$O,5,0)),"")</f>
        <v/>
      </c>
      <c r="I3583" s="55" t="str">
        <f>IFERROR(IF($G3583="","",VLOOKUP('Dashboard And Emails Automate'!$G3583,Database!$H:$N,3,0)),"")</f>
        <v/>
      </c>
      <c r="J3583" s="55" t="str">
        <f>IFERROR(IF($G3583="","",VLOOKUP('Dashboard And Emails Automate'!$G3583,Database!$H:$N,4,0)),"")</f>
        <v/>
      </c>
      <c r="K3583" s="55" t="str">
        <f>IFERROR(IF($G3583="","",VLOOKUP('Dashboard And Emails Automate'!$G3583,Database!$H:$N,5,0)),"")</f>
        <v/>
      </c>
      <c r="L3583" s="55" t="str">
        <f>IFERROR(IF($G3583="","",VLOOKUP('Dashboard And Emails Automate'!$G3583,Database!$H:$N,6,0)),"")</f>
        <v/>
      </c>
      <c r="M3583" s="55" t="str">
        <f>IFERROR(IF($G3583="","",VLOOKUP('Dashboard And Emails Automate'!$G3583,Database!$H:$N,7,0)),"")</f>
        <v/>
      </c>
      <c r="N3583" s="55" t="str">
        <f>IFERROR(IF(OR($B3583="",$B3583="(blank)"),"",VLOOKUP($B3583,'Email Marketing Raw Data'!$C:$O,6,0)),"")</f>
        <v/>
      </c>
      <c r="O3583" s="55" t="str">
        <f>IFERROR(IF(OR($B3583="",$B3583="(blank)"),"",VLOOKUP($B3583,'Email Marketing Raw Data'!$C:$O,7,0)),"")</f>
        <v/>
      </c>
      <c r="P3583" s="55" t="str">
        <f>IFERROR(IF(OR($B3583="",$B3583="(blank)"),"",VLOOKUP($B3583,'Email Marketing Raw Data'!$C:$O,8,0)),"")</f>
        <v/>
      </c>
      <c r="Q3583" s="62" t="str">
        <f>IFERROR(IF(OR($B3583="",$B3583="(blank)"),"",VLOOKUP($B3583,'Email Marketing Raw Data'!$C:$O,9,0)),"")</f>
        <v/>
      </c>
    </row>
    <row r="3584" spans="4:17" ht="12.75" customHeight="1" x14ac:dyDescent="0.2">
      <c r="D3584" s="58" t="str">
        <f>IFERROR(IF(F3584&lt;&gt;"pending","",IF(OR($B3584="",$B3584="(blank)"),"",VLOOKUP($B3584,'Email Marketing Raw Data'!$C:$O,10,0))),"")</f>
        <v/>
      </c>
      <c r="E3584" s="59" t="str">
        <f>IFERROR(IF(F3584&lt;&gt;"pending","",IF(OR($B3584="",$B3584="(blank)"),"",VLOOKUP($B3584,'Email Marketing Raw Data'!$C:$O,11,0))),"")</f>
        <v/>
      </c>
      <c r="F3584" s="54" t="str">
        <f>IFERROR(IF(OR($B3584="",$B3584="(blank)"),"",VLOOKUP($B3584,'Email Marketing Raw Data'!$C:$O,13,0)),"")</f>
        <v/>
      </c>
      <c r="G3584" s="55" t="str">
        <f>IFERROR(IF(OR($B3584="",$B3584="(blank)"),"",VLOOKUP($B3584,'Email Marketing Raw Data'!$C:$O,4,0)),"")</f>
        <v/>
      </c>
      <c r="H3584" s="55" t="str">
        <f>IFERROR(IF(OR($B3584="",$B3584="(blank)"),"",VLOOKUP($B3584,'Email Marketing Raw Data'!$C:$O,5,0)),"")</f>
        <v/>
      </c>
      <c r="I3584" s="55" t="str">
        <f>IFERROR(IF($G3584="","",VLOOKUP('Dashboard And Emails Automate'!$G3584,Database!$H:$N,3,0)),"")</f>
        <v/>
      </c>
      <c r="J3584" s="55" t="str">
        <f>IFERROR(IF($G3584="","",VLOOKUP('Dashboard And Emails Automate'!$G3584,Database!$H:$N,4,0)),"")</f>
        <v/>
      </c>
      <c r="K3584" s="55" t="str">
        <f>IFERROR(IF($G3584="","",VLOOKUP('Dashboard And Emails Automate'!$G3584,Database!$H:$N,5,0)),"")</f>
        <v/>
      </c>
      <c r="L3584" s="55" t="str">
        <f>IFERROR(IF($G3584="","",VLOOKUP('Dashboard And Emails Automate'!$G3584,Database!$H:$N,6,0)),"")</f>
        <v/>
      </c>
      <c r="M3584" s="55" t="str">
        <f>IFERROR(IF($G3584="","",VLOOKUP('Dashboard And Emails Automate'!$G3584,Database!$H:$N,7,0)),"")</f>
        <v/>
      </c>
      <c r="N3584" s="55" t="str">
        <f>IFERROR(IF(OR($B3584="",$B3584="(blank)"),"",VLOOKUP($B3584,'Email Marketing Raw Data'!$C:$O,6,0)),"")</f>
        <v/>
      </c>
      <c r="O3584" s="55" t="str">
        <f>IFERROR(IF(OR($B3584="",$B3584="(blank)"),"",VLOOKUP($B3584,'Email Marketing Raw Data'!$C:$O,7,0)),"")</f>
        <v/>
      </c>
      <c r="P3584" s="55" t="str">
        <f>IFERROR(IF(OR($B3584="",$B3584="(blank)"),"",VLOOKUP($B3584,'Email Marketing Raw Data'!$C:$O,8,0)),"")</f>
        <v/>
      </c>
      <c r="Q3584" s="62" t="str">
        <f>IFERROR(IF(OR($B3584="",$B3584="(blank)"),"",VLOOKUP($B3584,'Email Marketing Raw Data'!$C:$O,9,0)),"")</f>
        <v/>
      </c>
    </row>
    <row r="3585" spans="4:17" ht="12.75" customHeight="1" x14ac:dyDescent="0.2">
      <c r="D3585" s="58" t="str">
        <f>IFERROR(IF(F3585&lt;&gt;"pending","",IF(OR($B3585="",$B3585="(blank)"),"",VLOOKUP($B3585,'Email Marketing Raw Data'!$C:$O,10,0))),"")</f>
        <v/>
      </c>
      <c r="E3585" s="59" t="str">
        <f>IFERROR(IF(F3585&lt;&gt;"pending","",IF(OR($B3585="",$B3585="(blank)"),"",VLOOKUP($B3585,'Email Marketing Raw Data'!$C:$O,11,0))),"")</f>
        <v/>
      </c>
      <c r="F3585" s="54" t="str">
        <f>IFERROR(IF(OR($B3585="",$B3585="(blank)"),"",VLOOKUP($B3585,'Email Marketing Raw Data'!$C:$O,13,0)),"")</f>
        <v/>
      </c>
      <c r="G3585" s="55" t="str">
        <f>IFERROR(IF(OR($B3585="",$B3585="(blank)"),"",VLOOKUP($B3585,'Email Marketing Raw Data'!$C:$O,4,0)),"")</f>
        <v/>
      </c>
      <c r="H3585" s="55" t="str">
        <f>IFERROR(IF(OR($B3585="",$B3585="(blank)"),"",VLOOKUP($B3585,'Email Marketing Raw Data'!$C:$O,5,0)),"")</f>
        <v/>
      </c>
      <c r="I3585" s="55" t="str">
        <f>IFERROR(IF($G3585="","",VLOOKUP('Dashboard And Emails Automate'!$G3585,Database!$H:$N,3,0)),"")</f>
        <v/>
      </c>
      <c r="J3585" s="55" t="str">
        <f>IFERROR(IF($G3585="","",VLOOKUP('Dashboard And Emails Automate'!$G3585,Database!$H:$N,4,0)),"")</f>
        <v/>
      </c>
      <c r="K3585" s="55" t="str">
        <f>IFERROR(IF($G3585="","",VLOOKUP('Dashboard And Emails Automate'!$G3585,Database!$H:$N,5,0)),"")</f>
        <v/>
      </c>
      <c r="L3585" s="55" t="str">
        <f>IFERROR(IF($G3585="","",VLOOKUP('Dashboard And Emails Automate'!$G3585,Database!$H:$N,6,0)),"")</f>
        <v/>
      </c>
      <c r="M3585" s="55" t="str">
        <f>IFERROR(IF($G3585="","",VLOOKUP('Dashboard And Emails Automate'!$G3585,Database!$H:$N,7,0)),"")</f>
        <v/>
      </c>
      <c r="N3585" s="55" t="str">
        <f>IFERROR(IF(OR($B3585="",$B3585="(blank)"),"",VLOOKUP($B3585,'Email Marketing Raw Data'!$C:$O,6,0)),"")</f>
        <v/>
      </c>
      <c r="O3585" s="55" t="str">
        <f>IFERROR(IF(OR($B3585="",$B3585="(blank)"),"",VLOOKUP($B3585,'Email Marketing Raw Data'!$C:$O,7,0)),"")</f>
        <v/>
      </c>
      <c r="P3585" s="55" t="str">
        <f>IFERROR(IF(OR($B3585="",$B3585="(blank)"),"",VLOOKUP($B3585,'Email Marketing Raw Data'!$C:$O,8,0)),"")</f>
        <v/>
      </c>
      <c r="Q3585" s="62" t="str">
        <f>IFERROR(IF(OR($B3585="",$B3585="(blank)"),"",VLOOKUP($B3585,'Email Marketing Raw Data'!$C:$O,9,0)),"")</f>
        <v/>
      </c>
    </row>
    <row r="3586" spans="4:17" ht="12.75" customHeight="1" x14ac:dyDescent="0.2">
      <c r="D3586" s="58" t="str">
        <f>IFERROR(IF(F3586&lt;&gt;"pending","",IF(OR($B3586="",$B3586="(blank)"),"",VLOOKUP($B3586,'Email Marketing Raw Data'!$C:$O,10,0))),"")</f>
        <v/>
      </c>
      <c r="E3586" s="59" t="str">
        <f>IFERROR(IF(F3586&lt;&gt;"pending","",IF(OR($B3586="",$B3586="(blank)"),"",VLOOKUP($B3586,'Email Marketing Raw Data'!$C:$O,11,0))),"")</f>
        <v/>
      </c>
      <c r="F3586" s="54" t="str">
        <f>IFERROR(IF(OR($B3586="",$B3586="(blank)"),"",VLOOKUP($B3586,'Email Marketing Raw Data'!$C:$O,13,0)),"")</f>
        <v/>
      </c>
      <c r="G3586" s="55" t="str">
        <f>IFERROR(IF(OR($B3586="",$B3586="(blank)"),"",VLOOKUP($B3586,'Email Marketing Raw Data'!$C:$O,4,0)),"")</f>
        <v/>
      </c>
      <c r="H3586" s="55" t="str">
        <f>IFERROR(IF(OR($B3586="",$B3586="(blank)"),"",VLOOKUP($B3586,'Email Marketing Raw Data'!$C:$O,5,0)),"")</f>
        <v/>
      </c>
      <c r="I3586" s="55" t="str">
        <f>IFERROR(IF($G3586="","",VLOOKUP('Dashboard And Emails Automate'!$G3586,Database!$H:$N,3,0)),"")</f>
        <v/>
      </c>
      <c r="J3586" s="55" t="str">
        <f>IFERROR(IF($G3586="","",VLOOKUP('Dashboard And Emails Automate'!$G3586,Database!$H:$N,4,0)),"")</f>
        <v/>
      </c>
      <c r="K3586" s="55" t="str">
        <f>IFERROR(IF($G3586="","",VLOOKUP('Dashboard And Emails Automate'!$G3586,Database!$H:$N,5,0)),"")</f>
        <v/>
      </c>
      <c r="L3586" s="55" t="str">
        <f>IFERROR(IF($G3586="","",VLOOKUP('Dashboard And Emails Automate'!$G3586,Database!$H:$N,6,0)),"")</f>
        <v/>
      </c>
      <c r="M3586" s="55" t="str">
        <f>IFERROR(IF($G3586="","",VLOOKUP('Dashboard And Emails Automate'!$G3586,Database!$H:$N,7,0)),"")</f>
        <v/>
      </c>
      <c r="N3586" s="55" t="str">
        <f>IFERROR(IF(OR($B3586="",$B3586="(blank)"),"",VLOOKUP($B3586,'Email Marketing Raw Data'!$C:$O,6,0)),"")</f>
        <v/>
      </c>
      <c r="O3586" s="55" t="str">
        <f>IFERROR(IF(OR($B3586="",$B3586="(blank)"),"",VLOOKUP($B3586,'Email Marketing Raw Data'!$C:$O,7,0)),"")</f>
        <v/>
      </c>
      <c r="P3586" s="55" t="str">
        <f>IFERROR(IF(OR($B3586="",$B3586="(blank)"),"",VLOOKUP($B3586,'Email Marketing Raw Data'!$C:$O,8,0)),"")</f>
        <v/>
      </c>
      <c r="Q3586" s="62" t="str">
        <f>IFERROR(IF(OR($B3586="",$B3586="(blank)"),"",VLOOKUP($B3586,'Email Marketing Raw Data'!$C:$O,9,0)),"")</f>
        <v/>
      </c>
    </row>
    <row r="3587" spans="4:17" ht="12.75" customHeight="1" x14ac:dyDescent="0.2">
      <c r="D3587" s="58" t="str">
        <f>IFERROR(IF(F3587&lt;&gt;"pending","",IF(OR($B3587="",$B3587="(blank)"),"",VLOOKUP($B3587,'Email Marketing Raw Data'!$C:$O,10,0))),"")</f>
        <v/>
      </c>
      <c r="E3587" s="59" t="str">
        <f>IFERROR(IF(F3587&lt;&gt;"pending","",IF(OR($B3587="",$B3587="(blank)"),"",VLOOKUP($B3587,'Email Marketing Raw Data'!$C:$O,11,0))),"")</f>
        <v/>
      </c>
      <c r="F3587" s="54" t="str">
        <f>IFERROR(IF(OR($B3587="",$B3587="(blank)"),"",VLOOKUP($B3587,'Email Marketing Raw Data'!$C:$O,13,0)),"")</f>
        <v/>
      </c>
      <c r="G3587" s="55" t="str">
        <f>IFERROR(IF(OR($B3587="",$B3587="(blank)"),"",VLOOKUP($B3587,'Email Marketing Raw Data'!$C:$O,4,0)),"")</f>
        <v/>
      </c>
      <c r="H3587" s="55" t="str">
        <f>IFERROR(IF(OR($B3587="",$B3587="(blank)"),"",VLOOKUP($B3587,'Email Marketing Raw Data'!$C:$O,5,0)),"")</f>
        <v/>
      </c>
      <c r="I3587" s="55" t="str">
        <f>IFERROR(IF($G3587="","",VLOOKUP('Dashboard And Emails Automate'!$G3587,Database!$H:$N,3,0)),"")</f>
        <v/>
      </c>
      <c r="J3587" s="55" t="str">
        <f>IFERROR(IF($G3587="","",VLOOKUP('Dashboard And Emails Automate'!$G3587,Database!$H:$N,4,0)),"")</f>
        <v/>
      </c>
      <c r="K3587" s="55" t="str">
        <f>IFERROR(IF($G3587="","",VLOOKUP('Dashboard And Emails Automate'!$G3587,Database!$H:$N,5,0)),"")</f>
        <v/>
      </c>
      <c r="L3587" s="55" t="str">
        <f>IFERROR(IF($G3587="","",VLOOKUP('Dashboard And Emails Automate'!$G3587,Database!$H:$N,6,0)),"")</f>
        <v/>
      </c>
      <c r="M3587" s="55" t="str">
        <f>IFERROR(IF($G3587="","",VLOOKUP('Dashboard And Emails Automate'!$G3587,Database!$H:$N,7,0)),"")</f>
        <v/>
      </c>
      <c r="N3587" s="55" t="str">
        <f>IFERROR(IF(OR($B3587="",$B3587="(blank)"),"",VLOOKUP($B3587,'Email Marketing Raw Data'!$C:$O,6,0)),"")</f>
        <v/>
      </c>
      <c r="O3587" s="55" t="str">
        <f>IFERROR(IF(OR($B3587="",$B3587="(blank)"),"",VLOOKUP($B3587,'Email Marketing Raw Data'!$C:$O,7,0)),"")</f>
        <v/>
      </c>
      <c r="P3587" s="55" t="str">
        <f>IFERROR(IF(OR($B3587="",$B3587="(blank)"),"",VLOOKUP($B3587,'Email Marketing Raw Data'!$C:$O,8,0)),"")</f>
        <v/>
      </c>
      <c r="Q3587" s="62" t="str">
        <f>IFERROR(IF(OR($B3587="",$B3587="(blank)"),"",VLOOKUP($B3587,'Email Marketing Raw Data'!$C:$O,9,0)),"")</f>
        <v/>
      </c>
    </row>
    <row r="3588" spans="4:17" ht="12.75" customHeight="1" x14ac:dyDescent="0.2">
      <c r="D3588" s="58" t="str">
        <f>IFERROR(IF(F3588&lt;&gt;"pending","",IF(OR($B3588="",$B3588="(blank)"),"",VLOOKUP($B3588,'Email Marketing Raw Data'!$C:$O,10,0))),"")</f>
        <v/>
      </c>
      <c r="E3588" s="59" t="str">
        <f>IFERROR(IF(F3588&lt;&gt;"pending","",IF(OR($B3588="",$B3588="(blank)"),"",VLOOKUP($B3588,'Email Marketing Raw Data'!$C:$O,11,0))),"")</f>
        <v/>
      </c>
      <c r="F3588" s="54" t="str">
        <f>IFERROR(IF(OR($B3588="",$B3588="(blank)"),"",VLOOKUP($B3588,'Email Marketing Raw Data'!$C:$O,13,0)),"")</f>
        <v/>
      </c>
      <c r="G3588" s="55" t="str">
        <f>IFERROR(IF(OR($B3588="",$B3588="(blank)"),"",VLOOKUP($B3588,'Email Marketing Raw Data'!$C:$O,4,0)),"")</f>
        <v/>
      </c>
      <c r="H3588" s="55" t="str">
        <f>IFERROR(IF(OR($B3588="",$B3588="(blank)"),"",VLOOKUP($B3588,'Email Marketing Raw Data'!$C:$O,5,0)),"")</f>
        <v/>
      </c>
      <c r="I3588" s="55" t="str">
        <f>IFERROR(IF($G3588="","",VLOOKUP('Dashboard And Emails Automate'!$G3588,Database!$H:$N,3,0)),"")</f>
        <v/>
      </c>
      <c r="J3588" s="55" t="str">
        <f>IFERROR(IF($G3588="","",VLOOKUP('Dashboard And Emails Automate'!$G3588,Database!$H:$N,4,0)),"")</f>
        <v/>
      </c>
      <c r="K3588" s="55" t="str">
        <f>IFERROR(IF($G3588="","",VLOOKUP('Dashboard And Emails Automate'!$G3588,Database!$H:$N,5,0)),"")</f>
        <v/>
      </c>
      <c r="L3588" s="55" t="str">
        <f>IFERROR(IF($G3588="","",VLOOKUP('Dashboard And Emails Automate'!$G3588,Database!$H:$N,6,0)),"")</f>
        <v/>
      </c>
      <c r="M3588" s="55" t="str">
        <f>IFERROR(IF($G3588="","",VLOOKUP('Dashboard And Emails Automate'!$G3588,Database!$H:$N,7,0)),"")</f>
        <v/>
      </c>
      <c r="N3588" s="55" t="str">
        <f>IFERROR(IF(OR($B3588="",$B3588="(blank)"),"",VLOOKUP($B3588,'Email Marketing Raw Data'!$C:$O,6,0)),"")</f>
        <v/>
      </c>
      <c r="O3588" s="55" t="str">
        <f>IFERROR(IF(OR($B3588="",$B3588="(blank)"),"",VLOOKUP($B3588,'Email Marketing Raw Data'!$C:$O,7,0)),"")</f>
        <v/>
      </c>
      <c r="P3588" s="55" t="str">
        <f>IFERROR(IF(OR($B3588="",$B3588="(blank)"),"",VLOOKUP($B3588,'Email Marketing Raw Data'!$C:$O,8,0)),"")</f>
        <v/>
      </c>
      <c r="Q3588" s="62" t="str">
        <f>IFERROR(IF(OR($B3588="",$B3588="(blank)"),"",VLOOKUP($B3588,'Email Marketing Raw Data'!$C:$O,9,0)),"")</f>
        <v/>
      </c>
    </row>
    <row r="3589" spans="4:17" ht="12.75" customHeight="1" x14ac:dyDescent="0.2">
      <c r="D3589" s="58" t="str">
        <f>IFERROR(IF(F3589&lt;&gt;"pending","",IF(OR($B3589="",$B3589="(blank)"),"",VLOOKUP($B3589,'Email Marketing Raw Data'!$C:$O,10,0))),"")</f>
        <v/>
      </c>
      <c r="E3589" s="59" t="str">
        <f>IFERROR(IF(F3589&lt;&gt;"pending","",IF(OR($B3589="",$B3589="(blank)"),"",VLOOKUP($B3589,'Email Marketing Raw Data'!$C:$O,11,0))),"")</f>
        <v/>
      </c>
      <c r="F3589" s="54" t="str">
        <f>IFERROR(IF(OR($B3589="",$B3589="(blank)"),"",VLOOKUP($B3589,'Email Marketing Raw Data'!$C:$O,13,0)),"")</f>
        <v/>
      </c>
      <c r="G3589" s="55" t="str">
        <f>IFERROR(IF(OR($B3589="",$B3589="(blank)"),"",VLOOKUP($B3589,'Email Marketing Raw Data'!$C:$O,4,0)),"")</f>
        <v/>
      </c>
      <c r="H3589" s="55" t="str">
        <f>IFERROR(IF(OR($B3589="",$B3589="(blank)"),"",VLOOKUP($B3589,'Email Marketing Raw Data'!$C:$O,5,0)),"")</f>
        <v/>
      </c>
      <c r="I3589" s="55" t="str">
        <f>IFERROR(IF($G3589="","",VLOOKUP('Dashboard And Emails Automate'!$G3589,Database!$H:$N,3,0)),"")</f>
        <v/>
      </c>
      <c r="J3589" s="55" t="str">
        <f>IFERROR(IF($G3589="","",VLOOKUP('Dashboard And Emails Automate'!$G3589,Database!$H:$N,4,0)),"")</f>
        <v/>
      </c>
      <c r="K3589" s="55" t="str">
        <f>IFERROR(IF($G3589="","",VLOOKUP('Dashboard And Emails Automate'!$G3589,Database!$H:$N,5,0)),"")</f>
        <v/>
      </c>
      <c r="L3589" s="55" t="str">
        <f>IFERROR(IF($G3589="","",VLOOKUP('Dashboard And Emails Automate'!$G3589,Database!$H:$N,6,0)),"")</f>
        <v/>
      </c>
      <c r="M3589" s="55" t="str">
        <f>IFERROR(IF($G3589="","",VLOOKUP('Dashboard And Emails Automate'!$G3589,Database!$H:$N,7,0)),"")</f>
        <v/>
      </c>
      <c r="N3589" s="55" t="str">
        <f>IFERROR(IF(OR($B3589="",$B3589="(blank)"),"",VLOOKUP($B3589,'Email Marketing Raw Data'!$C:$O,6,0)),"")</f>
        <v/>
      </c>
      <c r="O3589" s="55" t="str">
        <f>IFERROR(IF(OR($B3589="",$B3589="(blank)"),"",VLOOKUP($B3589,'Email Marketing Raw Data'!$C:$O,7,0)),"")</f>
        <v/>
      </c>
      <c r="P3589" s="55" t="str">
        <f>IFERROR(IF(OR($B3589="",$B3589="(blank)"),"",VLOOKUP($B3589,'Email Marketing Raw Data'!$C:$O,8,0)),"")</f>
        <v/>
      </c>
      <c r="Q3589" s="62" t="str">
        <f>IFERROR(IF(OR($B3589="",$B3589="(blank)"),"",VLOOKUP($B3589,'Email Marketing Raw Data'!$C:$O,9,0)),"")</f>
        <v/>
      </c>
    </row>
    <row r="3590" spans="4:17" ht="12.75" customHeight="1" x14ac:dyDescent="0.2">
      <c r="D3590" s="58" t="str">
        <f>IFERROR(IF(F3590&lt;&gt;"pending","",IF(OR($B3590="",$B3590="(blank)"),"",VLOOKUP($B3590,'Email Marketing Raw Data'!$C:$O,10,0))),"")</f>
        <v/>
      </c>
      <c r="E3590" s="59" t="str">
        <f>IFERROR(IF(F3590&lt;&gt;"pending","",IF(OR($B3590="",$B3590="(blank)"),"",VLOOKUP($B3590,'Email Marketing Raw Data'!$C:$O,11,0))),"")</f>
        <v/>
      </c>
      <c r="F3590" s="54" t="str">
        <f>IFERROR(IF(OR($B3590="",$B3590="(blank)"),"",VLOOKUP($B3590,'Email Marketing Raw Data'!$C:$O,13,0)),"")</f>
        <v/>
      </c>
      <c r="G3590" s="55" t="str">
        <f>IFERROR(IF(OR($B3590="",$B3590="(blank)"),"",VLOOKUP($B3590,'Email Marketing Raw Data'!$C:$O,4,0)),"")</f>
        <v/>
      </c>
      <c r="H3590" s="55" t="str">
        <f>IFERROR(IF(OR($B3590="",$B3590="(blank)"),"",VLOOKUP($B3590,'Email Marketing Raw Data'!$C:$O,5,0)),"")</f>
        <v/>
      </c>
      <c r="I3590" s="55" t="str">
        <f>IFERROR(IF($G3590="","",VLOOKUP('Dashboard And Emails Automate'!$G3590,Database!$H:$N,3,0)),"")</f>
        <v/>
      </c>
      <c r="J3590" s="55" t="str">
        <f>IFERROR(IF($G3590="","",VLOOKUP('Dashboard And Emails Automate'!$G3590,Database!$H:$N,4,0)),"")</f>
        <v/>
      </c>
      <c r="K3590" s="55" t="str">
        <f>IFERROR(IF($G3590="","",VLOOKUP('Dashboard And Emails Automate'!$G3590,Database!$H:$N,5,0)),"")</f>
        <v/>
      </c>
      <c r="L3590" s="55" t="str">
        <f>IFERROR(IF($G3590="","",VLOOKUP('Dashboard And Emails Automate'!$G3590,Database!$H:$N,6,0)),"")</f>
        <v/>
      </c>
      <c r="M3590" s="55" t="str">
        <f>IFERROR(IF($G3590="","",VLOOKUP('Dashboard And Emails Automate'!$G3590,Database!$H:$N,7,0)),"")</f>
        <v/>
      </c>
      <c r="N3590" s="55" t="str">
        <f>IFERROR(IF(OR($B3590="",$B3590="(blank)"),"",VLOOKUP($B3590,'Email Marketing Raw Data'!$C:$O,6,0)),"")</f>
        <v/>
      </c>
      <c r="O3590" s="55" t="str">
        <f>IFERROR(IF(OR($B3590="",$B3590="(blank)"),"",VLOOKUP($B3590,'Email Marketing Raw Data'!$C:$O,7,0)),"")</f>
        <v/>
      </c>
      <c r="P3590" s="55" t="str">
        <f>IFERROR(IF(OR($B3590="",$B3590="(blank)"),"",VLOOKUP($B3590,'Email Marketing Raw Data'!$C:$O,8,0)),"")</f>
        <v/>
      </c>
      <c r="Q3590" s="62" t="str">
        <f>IFERROR(IF(OR($B3590="",$B3590="(blank)"),"",VLOOKUP($B3590,'Email Marketing Raw Data'!$C:$O,9,0)),"")</f>
        <v/>
      </c>
    </row>
    <row r="3591" spans="4:17" ht="12.75" customHeight="1" x14ac:dyDescent="0.2">
      <c r="D3591" s="58" t="str">
        <f>IFERROR(IF(F3591&lt;&gt;"pending","",IF(OR($B3591="",$B3591="(blank)"),"",VLOOKUP($B3591,'Email Marketing Raw Data'!$C:$O,10,0))),"")</f>
        <v/>
      </c>
      <c r="E3591" s="59" t="str">
        <f>IFERROR(IF(F3591&lt;&gt;"pending","",IF(OR($B3591="",$B3591="(blank)"),"",VLOOKUP($B3591,'Email Marketing Raw Data'!$C:$O,11,0))),"")</f>
        <v/>
      </c>
      <c r="F3591" s="54" t="str">
        <f>IFERROR(IF(OR($B3591="",$B3591="(blank)"),"",VLOOKUP($B3591,'Email Marketing Raw Data'!$C:$O,13,0)),"")</f>
        <v/>
      </c>
      <c r="G3591" s="55" t="str">
        <f>IFERROR(IF(OR($B3591="",$B3591="(blank)"),"",VLOOKUP($B3591,'Email Marketing Raw Data'!$C:$O,4,0)),"")</f>
        <v/>
      </c>
      <c r="H3591" s="55" t="str">
        <f>IFERROR(IF(OR($B3591="",$B3591="(blank)"),"",VLOOKUP($B3591,'Email Marketing Raw Data'!$C:$O,5,0)),"")</f>
        <v/>
      </c>
      <c r="I3591" s="55" t="str">
        <f>IFERROR(IF($G3591="","",VLOOKUP('Dashboard And Emails Automate'!$G3591,Database!$H:$N,3,0)),"")</f>
        <v/>
      </c>
      <c r="J3591" s="55" t="str">
        <f>IFERROR(IF($G3591="","",VLOOKUP('Dashboard And Emails Automate'!$G3591,Database!$H:$N,4,0)),"")</f>
        <v/>
      </c>
      <c r="K3591" s="55" t="str">
        <f>IFERROR(IF($G3591="","",VLOOKUP('Dashboard And Emails Automate'!$G3591,Database!$H:$N,5,0)),"")</f>
        <v/>
      </c>
      <c r="L3591" s="55" t="str">
        <f>IFERROR(IF($G3591="","",VLOOKUP('Dashboard And Emails Automate'!$G3591,Database!$H:$N,6,0)),"")</f>
        <v/>
      </c>
      <c r="M3591" s="55" t="str">
        <f>IFERROR(IF($G3591="","",VLOOKUP('Dashboard And Emails Automate'!$G3591,Database!$H:$N,7,0)),"")</f>
        <v/>
      </c>
      <c r="N3591" s="55" t="str">
        <f>IFERROR(IF(OR($B3591="",$B3591="(blank)"),"",VLOOKUP($B3591,'Email Marketing Raw Data'!$C:$O,6,0)),"")</f>
        <v/>
      </c>
      <c r="O3591" s="55" t="str">
        <f>IFERROR(IF(OR($B3591="",$B3591="(blank)"),"",VLOOKUP($B3591,'Email Marketing Raw Data'!$C:$O,7,0)),"")</f>
        <v/>
      </c>
      <c r="P3591" s="55" t="str">
        <f>IFERROR(IF(OR($B3591="",$B3591="(blank)"),"",VLOOKUP($B3591,'Email Marketing Raw Data'!$C:$O,8,0)),"")</f>
        <v/>
      </c>
      <c r="Q3591" s="62" t="str">
        <f>IFERROR(IF(OR($B3591="",$B3591="(blank)"),"",VLOOKUP($B3591,'Email Marketing Raw Data'!$C:$O,9,0)),"")</f>
        <v/>
      </c>
    </row>
    <row r="3592" spans="4:17" ht="12.75" customHeight="1" x14ac:dyDescent="0.2">
      <c r="D3592" s="58" t="str">
        <f>IFERROR(IF(F3592&lt;&gt;"pending","",IF(OR($B3592="",$B3592="(blank)"),"",VLOOKUP($B3592,'Email Marketing Raw Data'!$C:$O,10,0))),"")</f>
        <v/>
      </c>
      <c r="E3592" s="59" t="str">
        <f>IFERROR(IF(F3592&lt;&gt;"pending","",IF(OR($B3592="",$B3592="(blank)"),"",VLOOKUP($B3592,'Email Marketing Raw Data'!$C:$O,11,0))),"")</f>
        <v/>
      </c>
      <c r="F3592" s="54" t="str">
        <f>IFERROR(IF(OR($B3592="",$B3592="(blank)"),"",VLOOKUP($B3592,'Email Marketing Raw Data'!$C:$O,13,0)),"")</f>
        <v/>
      </c>
      <c r="G3592" s="55" t="str">
        <f>IFERROR(IF(OR($B3592="",$B3592="(blank)"),"",VLOOKUP($B3592,'Email Marketing Raw Data'!$C:$O,4,0)),"")</f>
        <v/>
      </c>
      <c r="H3592" s="55" t="str">
        <f>IFERROR(IF(OR($B3592="",$B3592="(blank)"),"",VLOOKUP($B3592,'Email Marketing Raw Data'!$C:$O,5,0)),"")</f>
        <v/>
      </c>
      <c r="I3592" s="55" t="str">
        <f>IFERROR(IF($G3592="","",VLOOKUP('Dashboard And Emails Automate'!$G3592,Database!$H:$N,3,0)),"")</f>
        <v/>
      </c>
      <c r="J3592" s="55" t="str">
        <f>IFERROR(IF($G3592="","",VLOOKUP('Dashboard And Emails Automate'!$G3592,Database!$H:$N,4,0)),"")</f>
        <v/>
      </c>
      <c r="K3592" s="55" t="str">
        <f>IFERROR(IF($G3592="","",VLOOKUP('Dashboard And Emails Automate'!$G3592,Database!$H:$N,5,0)),"")</f>
        <v/>
      </c>
      <c r="L3592" s="55" t="str">
        <f>IFERROR(IF($G3592="","",VLOOKUP('Dashboard And Emails Automate'!$G3592,Database!$H:$N,6,0)),"")</f>
        <v/>
      </c>
      <c r="M3592" s="55" t="str">
        <f>IFERROR(IF($G3592="","",VLOOKUP('Dashboard And Emails Automate'!$G3592,Database!$H:$N,7,0)),"")</f>
        <v/>
      </c>
      <c r="N3592" s="55" t="str">
        <f>IFERROR(IF(OR($B3592="",$B3592="(blank)"),"",VLOOKUP($B3592,'Email Marketing Raw Data'!$C:$O,6,0)),"")</f>
        <v/>
      </c>
      <c r="O3592" s="55" t="str">
        <f>IFERROR(IF(OR($B3592="",$B3592="(blank)"),"",VLOOKUP($B3592,'Email Marketing Raw Data'!$C:$O,7,0)),"")</f>
        <v/>
      </c>
      <c r="P3592" s="55" t="str">
        <f>IFERROR(IF(OR($B3592="",$B3592="(blank)"),"",VLOOKUP($B3592,'Email Marketing Raw Data'!$C:$O,8,0)),"")</f>
        <v/>
      </c>
      <c r="Q3592" s="62" t="str">
        <f>IFERROR(IF(OR($B3592="",$B3592="(blank)"),"",VLOOKUP($B3592,'Email Marketing Raw Data'!$C:$O,9,0)),"")</f>
        <v/>
      </c>
    </row>
    <row r="3593" spans="4:17" ht="12.75" customHeight="1" x14ac:dyDescent="0.2">
      <c r="D3593" s="58" t="str">
        <f>IFERROR(IF(F3593&lt;&gt;"pending","",IF(OR($B3593="",$B3593="(blank)"),"",VLOOKUP($B3593,'Email Marketing Raw Data'!$C:$O,10,0))),"")</f>
        <v/>
      </c>
      <c r="E3593" s="59" t="str">
        <f>IFERROR(IF(F3593&lt;&gt;"pending","",IF(OR($B3593="",$B3593="(blank)"),"",VLOOKUP($B3593,'Email Marketing Raw Data'!$C:$O,11,0))),"")</f>
        <v/>
      </c>
      <c r="F3593" s="54" t="str">
        <f>IFERROR(IF(OR($B3593="",$B3593="(blank)"),"",VLOOKUP($B3593,'Email Marketing Raw Data'!$C:$O,13,0)),"")</f>
        <v/>
      </c>
      <c r="G3593" s="55" t="str">
        <f>IFERROR(IF(OR($B3593="",$B3593="(blank)"),"",VLOOKUP($B3593,'Email Marketing Raw Data'!$C:$O,4,0)),"")</f>
        <v/>
      </c>
      <c r="H3593" s="55" t="str">
        <f>IFERROR(IF(OR($B3593="",$B3593="(blank)"),"",VLOOKUP($B3593,'Email Marketing Raw Data'!$C:$O,5,0)),"")</f>
        <v/>
      </c>
      <c r="I3593" s="55" t="str">
        <f>IFERROR(IF($G3593="","",VLOOKUP('Dashboard And Emails Automate'!$G3593,Database!$H:$N,3,0)),"")</f>
        <v/>
      </c>
      <c r="J3593" s="55" t="str">
        <f>IFERROR(IF($G3593="","",VLOOKUP('Dashboard And Emails Automate'!$G3593,Database!$H:$N,4,0)),"")</f>
        <v/>
      </c>
      <c r="K3593" s="55" t="str">
        <f>IFERROR(IF($G3593="","",VLOOKUP('Dashboard And Emails Automate'!$G3593,Database!$H:$N,5,0)),"")</f>
        <v/>
      </c>
      <c r="L3593" s="55" t="str">
        <f>IFERROR(IF($G3593="","",VLOOKUP('Dashboard And Emails Automate'!$G3593,Database!$H:$N,6,0)),"")</f>
        <v/>
      </c>
      <c r="M3593" s="55" t="str">
        <f>IFERROR(IF($G3593="","",VLOOKUP('Dashboard And Emails Automate'!$G3593,Database!$H:$N,7,0)),"")</f>
        <v/>
      </c>
      <c r="N3593" s="55" t="str">
        <f>IFERROR(IF(OR($B3593="",$B3593="(blank)"),"",VLOOKUP($B3593,'Email Marketing Raw Data'!$C:$O,6,0)),"")</f>
        <v/>
      </c>
      <c r="O3593" s="55" t="str">
        <f>IFERROR(IF(OR($B3593="",$B3593="(blank)"),"",VLOOKUP($B3593,'Email Marketing Raw Data'!$C:$O,7,0)),"")</f>
        <v/>
      </c>
      <c r="P3593" s="55" t="str">
        <f>IFERROR(IF(OR($B3593="",$B3593="(blank)"),"",VLOOKUP($B3593,'Email Marketing Raw Data'!$C:$O,8,0)),"")</f>
        <v/>
      </c>
      <c r="Q3593" s="62" t="str">
        <f>IFERROR(IF(OR($B3593="",$B3593="(blank)"),"",VLOOKUP($B3593,'Email Marketing Raw Data'!$C:$O,9,0)),"")</f>
        <v/>
      </c>
    </row>
    <row r="3594" spans="4:17" ht="12.75" customHeight="1" x14ac:dyDescent="0.2">
      <c r="D3594" s="58" t="str">
        <f>IFERROR(IF(F3594&lt;&gt;"pending","",IF(OR($B3594="",$B3594="(blank)"),"",VLOOKUP($B3594,'Email Marketing Raw Data'!$C:$O,10,0))),"")</f>
        <v/>
      </c>
      <c r="E3594" s="59" t="str">
        <f>IFERROR(IF(F3594&lt;&gt;"pending","",IF(OR($B3594="",$B3594="(blank)"),"",VLOOKUP($B3594,'Email Marketing Raw Data'!$C:$O,11,0))),"")</f>
        <v/>
      </c>
      <c r="F3594" s="54" t="str">
        <f>IFERROR(IF(OR($B3594="",$B3594="(blank)"),"",VLOOKUP($B3594,'Email Marketing Raw Data'!$C:$O,13,0)),"")</f>
        <v/>
      </c>
      <c r="G3594" s="55" t="str">
        <f>IFERROR(IF(OR($B3594="",$B3594="(blank)"),"",VLOOKUP($B3594,'Email Marketing Raw Data'!$C:$O,4,0)),"")</f>
        <v/>
      </c>
      <c r="H3594" s="55" t="str">
        <f>IFERROR(IF(OR($B3594="",$B3594="(blank)"),"",VLOOKUP($B3594,'Email Marketing Raw Data'!$C:$O,5,0)),"")</f>
        <v/>
      </c>
      <c r="I3594" s="55" t="str">
        <f>IFERROR(IF($G3594="","",VLOOKUP('Dashboard And Emails Automate'!$G3594,Database!$H:$N,3,0)),"")</f>
        <v/>
      </c>
      <c r="J3594" s="55" t="str">
        <f>IFERROR(IF($G3594="","",VLOOKUP('Dashboard And Emails Automate'!$G3594,Database!$H:$N,4,0)),"")</f>
        <v/>
      </c>
      <c r="K3594" s="55" t="str">
        <f>IFERROR(IF($G3594="","",VLOOKUP('Dashboard And Emails Automate'!$G3594,Database!$H:$N,5,0)),"")</f>
        <v/>
      </c>
      <c r="L3594" s="55" t="str">
        <f>IFERROR(IF($G3594="","",VLOOKUP('Dashboard And Emails Automate'!$G3594,Database!$H:$N,6,0)),"")</f>
        <v/>
      </c>
      <c r="M3594" s="55" t="str">
        <f>IFERROR(IF($G3594="","",VLOOKUP('Dashboard And Emails Automate'!$G3594,Database!$H:$N,7,0)),"")</f>
        <v/>
      </c>
      <c r="N3594" s="55" t="str">
        <f>IFERROR(IF(OR($B3594="",$B3594="(blank)"),"",VLOOKUP($B3594,'Email Marketing Raw Data'!$C:$O,6,0)),"")</f>
        <v/>
      </c>
      <c r="O3594" s="55" t="str">
        <f>IFERROR(IF(OR($B3594="",$B3594="(blank)"),"",VLOOKUP($B3594,'Email Marketing Raw Data'!$C:$O,7,0)),"")</f>
        <v/>
      </c>
      <c r="P3594" s="55" t="str">
        <f>IFERROR(IF(OR($B3594="",$B3594="(blank)"),"",VLOOKUP($B3594,'Email Marketing Raw Data'!$C:$O,8,0)),"")</f>
        <v/>
      </c>
      <c r="Q3594" s="62" t="str">
        <f>IFERROR(IF(OR($B3594="",$B3594="(blank)"),"",VLOOKUP($B3594,'Email Marketing Raw Data'!$C:$O,9,0)),"")</f>
        <v/>
      </c>
    </row>
    <row r="3595" spans="4:17" ht="12.75" customHeight="1" x14ac:dyDescent="0.2">
      <c r="D3595" s="58" t="str">
        <f>IFERROR(IF(F3595&lt;&gt;"pending","",IF(OR($B3595="",$B3595="(blank)"),"",VLOOKUP($B3595,'Email Marketing Raw Data'!$C:$O,10,0))),"")</f>
        <v/>
      </c>
      <c r="E3595" s="59" t="str">
        <f>IFERROR(IF(F3595&lt;&gt;"pending","",IF(OR($B3595="",$B3595="(blank)"),"",VLOOKUP($B3595,'Email Marketing Raw Data'!$C:$O,11,0))),"")</f>
        <v/>
      </c>
      <c r="F3595" s="54" t="str">
        <f>IFERROR(IF(OR($B3595="",$B3595="(blank)"),"",VLOOKUP($B3595,'Email Marketing Raw Data'!$C:$O,13,0)),"")</f>
        <v/>
      </c>
      <c r="G3595" s="55" t="str">
        <f>IFERROR(IF(OR($B3595="",$B3595="(blank)"),"",VLOOKUP($B3595,'Email Marketing Raw Data'!$C:$O,4,0)),"")</f>
        <v/>
      </c>
      <c r="H3595" s="55" t="str">
        <f>IFERROR(IF(OR($B3595="",$B3595="(blank)"),"",VLOOKUP($B3595,'Email Marketing Raw Data'!$C:$O,5,0)),"")</f>
        <v/>
      </c>
      <c r="I3595" s="55" t="str">
        <f>IFERROR(IF($G3595="","",VLOOKUP('Dashboard And Emails Automate'!$G3595,Database!$H:$N,3,0)),"")</f>
        <v/>
      </c>
      <c r="J3595" s="55" t="str">
        <f>IFERROR(IF($G3595="","",VLOOKUP('Dashboard And Emails Automate'!$G3595,Database!$H:$N,4,0)),"")</f>
        <v/>
      </c>
      <c r="K3595" s="55" t="str">
        <f>IFERROR(IF($G3595="","",VLOOKUP('Dashboard And Emails Automate'!$G3595,Database!$H:$N,5,0)),"")</f>
        <v/>
      </c>
      <c r="L3595" s="55" t="str">
        <f>IFERROR(IF($G3595="","",VLOOKUP('Dashboard And Emails Automate'!$G3595,Database!$H:$N,6,0)),"")</f>
        <v/>
      </c>
      <c r="M3595" s="55" t="str">
        <f>IFERROR(IF($G3595="","",VLOOKUP('Dashboard And Emails Automate'!$G3595,Database!$H:$N,7,0)),"")</f>
        <v/>
      </c>
      <c r="N3595" s="55" t="str">
        <f>IFERROR(IF(OR($B3595="",$B3595="(blank)"),"",VLOOKUP($B3595,'Email Marketing Raw Data'!$C:$O,6,0)),"")</f>
        <v/>
      </c>
      <c r="O3595" s="55" t="str">
        <f>IFERROR(IF(OR($B3595="",$B3595="(blank)"),"",VLOOKUP($B3595,'Email Marketing Raw Data'!$C:$O,7,0)),"")</f>
        <v/>
      </c>
      <c r="P3595" s="55" t="str">
        <f>IFERROR(IF(OR($B3595="",$B3595="(blank)"),"",VLOOKUP($B3595,'Email Marketing Raw Data'!$C:$O,8,0)),"")</f>
        <v/>
      </c>
      <c r="Q3595" s="62" t="str">
        <f>IFERROR(IF(OR($B3595="",$B3595="(blank)"),"",VLOOKUP($B3595,'Email Marketing Raw Data'!$C:$O,9,0)),"")</f>
        <v/>
      </c>
    </row>
    <row r="3596" spans="4:17" ht="12.75" customHeight="1" x14ac:dyDescent="0.2">
      <c r="D3596" s="58" t="str">
        <f>IFERROR(IF(F3596&lt;&gt;"pending","",IF(OR($B3596="",$B3596="(blank)"),"",VLOOKUP($B3596,'Email Marketing Raw Data'!$C:$O,10,0))),"")</f>
        <v/>
      </c>
      <c r="E3596" s="59" t="str">
        <f>IFERROR(IF(F3596&lt;&gt;"pending","",IF(OR($B3596="",$B3596="(blank)"),"",VLOOKUP($B3596,'Email Marketing Raw Data'!$C:$O,11,0))),"")</f>
        <v/>
      </c>
      <c r="F3596" s="54" t="str">
        <f>IFERROR(IF(OR($B3596="",$B3596="(blank)"),"",VLOOKUP($B3596,'Email Marketing Raw Data'!$C:$O,13,0)),"")</f>
        <v/>
      </c>
      <c r="G3596" s="55" t="str">
        <f>IFERROR(IF(OR($B3596="",$B3596="(blank)"),"",VLOOKUP($B3596,'Email Marketing Raw Data'!$C:$O,4,0)),"")</f>
        <v/>
      </c>
      <c r="H3596" s="55" t="str">
        <f>IFERROR(IF(OR($B3596="",$B3596="(blank)"),"",VLOOKUP($B3596,'Email Marketing Raw Data'!$C:$O,5,0)),"")</f>
        <v/>
      </c>
      <c r="I3596" s="55" t="str">
        <f>IFERROR(IF($G3596="","",VLOOKUP('Dashboard And Emails Automate'!$G3596,Database!$H:$N,3,0)),"")</f>
        <v/>
      </c>
      <c r="J3596" s="55" t="str">
        <f>IFERROR(IF($G3596="","",VLOOKUP('Dashboard And Emails Automate'!$G3596,Database!$H:$N,4,0)),"")</f>
        <v/>
      </c>
      <c r="K3596" s="55" t="str">
        <f>IFERROR(IF($G3596="","",VLOOKUP('Dashboard And Emails Automate'!$G3596,Database!$H:$N,5,0)),"")</f>
        <v/>
      </c>
      <c r="L3596" s="55" t="str">
        <f>IFERROR(IF($G3596="","",VLOOKUP('Dashboard And Emails Automate'!$G3596,Database!$H:$N,6,0)),"")</f>
        <v/>
      </c>
      <c r="M3596" s="55" t="str">
        <f>IFERROR(IF($G3596="","",VLOOKUP('Dashboard And Emails Automate'!$G3596,Database!$H:$N,7,0)),"")</f>
        <v/>
      </c>
      <c r="N3596" s="55" t="str">
        <f>IFERROR(IF(OR($B3596="",$B3596="(blank)"),"",VLOOKUP($B3596,'Email Marketing Raw Data'!$C:$O,6,0)),"")</f>
        <v/>
      </c>
      <c r="O3596" s="55" t="str">
        <f>IFERROR(IF(OR($B3596="",$B3596="(blank)"),"",VLOOKUP($B3596,'Email Marketing Raw Data'!$C:$O,7,0)),"")</f>
        <v/>
      </c>
      <c r="P3596" s="55" t="str">
        <f>IFERROR(IF(OR($B3596="",$B3596="(blank)"),"",VLOOKUP($B3596,'Email Marketing Raw Data'!$C:$O,8,0)),"")</f>
        <v/>
      </c>
      <c r="Q3596" s="62" t="str">
        <f>IFERROR(IF(OR($B3596="",$B3596="(blank)"),"",VLOOKUP($B3596,'Email Marketing Raw Data'!$C:$O,9,0)),"")</f>
        <v/>
      </c>
    </row>
    <row r="3597" spans="4:17" ht="12.75" customHeight="1" x14ac:dyDescent="0.2">
      <c r="D3597" s="58" t="str">
        <f>IFERROR(IF(F3597&lt;&gt;"pending","",IF(OR($B3597="",$B3597="(blank)"),"",VLOOKUP($B3597,'Email Marketing Raw Data'!$C:$O,10,0))),"")</f>
        <v/>
      </c>
      <c r="E3597" s="59" t="str">
        <f>IFERROR(IF(F3597&lt;&gt;"pending","",IF(OR($B3597="",$B3597="(blank)"),"",VLOOKUP($B3597,'Email Marketing Raw Data'!$C:$O,11,0))),"")</f>
        <v/>
      </c>
      <c r="F3597" s="54" t="str">
        <f>IFERROR(IF(OR($B3597="",$B3597="(blank)"),"",VLOOKUP($B3597,'Email Marketing Raw Data'!$C:$O,13,0)),"")</f>
        <v/>
      </c>
      <c r="G3597" s="55" t="str">
        <f>IFERROR(IF(OR($B3597="",$B3597="(blank)"),"",VLOOKUP($B3597,'Email Marketing Raw Data'!$C:$O,4,0)),"")</f>
        <v/>
      </c>
      <c r="H3597" s="55" t="str">
        <f>IFERROR(IF(OR($B3597="",$B3597="(blank)"),"",VLOOKUP($B3597,'Email Marketing Raw Data'!$C:$O,5,0)),"")</f>
        <v/>
      </c>
      <c r="I3597" s="55" t="str">
        <f>IFERROR(IF($G3597="","",VLOOKUP('Dashboard And Emails Automate'!$G3597,Database!$H:$N,3,0)),"")</f>
        <v/>
      </c>
      <c r="J3597" s="55" t="str">
        <f>IFERROR(IF($G3597="","",VLOOKUP('Dashboard And Emails Automate'!$G3597,Database!$H:$N,4,0)),"")</f>
        <v/>
      </c>
      <c r="K3597" s="55" t="str">
        <f>IFERROR(IF($G3597="","",VLOOKUP('Dashboard And Emails Automate'!$G3597,Database!$H:$N,5,0)),"")</f>
        <v/>
      </c>
      <c r="L3597" s="55" t="str">
        <f>IFERROR(IF($G3597="","",VLOOKUP('Dashboard And Emails Automate'!$G3597,Database!$H:$N,6,0)),"")</f>
        <v/>
      </c>
      <c r="M3597" s="55" t="str">
        <f>IFERROR(IF($G3597="","",VLOOKUP('Dashboard And Emails Automate'!$G3597,Database!$H:$N,7,0)),"")</f>
        <v/>
      </c>
      <c r="N3597" s="55" t="str">
        <f>IFERROR(IF(OR($B3597="",$B3597="(blank)"),"",VLOOKUP($B3597,'Email Marketing Raw Data'!$C:$O,6,0)),"")</f>
        <v/>
      </c>
      <c r="O3597" s="55" t="str">
        <f>IFERROR(IF(OR($B3597="",$B3597="(blank)"),"",VLOOKUP($B3597,'Email Marketing Raw Data'!$C:$O,7,0)),"")</f>
        <v/>
      </c>
      <c r="P3597" s="55" t="str">
        <f>IFERROR(IF(OR($B3597="",$B3597="(blank)"),"",VLOOKUP($B3597,'Email Marketing Raw Data'!$C:$O,8,0)),"")</f>
        <v/>
      </c>
      <c r="Q3597" s="62" t="str">
        <f>IFERROR(IF(OR($B3597="",$B3597="(blank)"),"",VLOOKUP($B3597,'Email Marketing Raw Data'!$C:$O,9,0)),"")</f>
        <v/>
      </c>
    </row>
    <row r="3598" spans="4:17" ht="12.75" customHeight="1" x14ac:dyDescent="0.2">
      <c r="D3598" s="58" t="str">
        <f>IFERROR(IF(F3598&lt;&gt;"pending","",IF(OR($B3598="",$B3598="(blank)"),"",VLOOKUP($B3598,'Email Marketing Raw Data'!$C:$O,10,0))),"")</f>
        <v/>
      </c>
      <c r="E3598" s="59" t="str">
        <f>IFERROR(IF(F3598&lt;&gt;"pending","",IF(OR($B3598="",$B3598="(blank)"),"",VLOOKUP($B3598,'Email Marketing Raw Data'!$C:$O,11,0))),"")</f>
        <v/>
      </c>
      <c r="F3598" s="54" t="str">
        <f>IFERROR(IF(OR($B3598="",$B3598="(blank)"),"",VLOOKUP($B3598,'Email Marketing Raw Data'!$C:$O,13,0)),"")</f>
        <v/>
      </c>
      <c r="G3598" s="55" t="str">
        <f>IFERROR(IF(OR($B3598="",$B3598="(blank)"),"",VLOOKUP($B3598,'Email Marketing Raw Data'!$C:$O,4,0)),"")</f>
        <v/>
      </c>
      <c r="H3598" s="55" t="str">
        <f>IFERROR(IF(OR($B3598="",$B3598="(blank)"),"",VLOOKUP($B3598,'Email Marketing Raw Data'!$C:$O,5,0)),"")</f>
        <v/>
      </c>
      <c r="I3598" s="55" t="str">
        <f>IFERROR(IF($G3598="","",VLOOKUP('Dashboard And Emails Automate'!$G3598,Database!$H:$N,3,0)),"")</f>
        <v/>
      </c>
      <c r="J3598" s="55" t="str">
        <f>IFERROR(IF($G3598="","",VLOOKUP('Dashboard And Emails Automate'!$G3598,Database!$H:$N,4,0)),"")</f>
        <v/>
      </c>
      <c r="K3598" s="55" t="str">
        <f>IFERROR(IF($G3598="","",VLOOKUP('Dashboard And Emails Automate'!$G3598,Database!$H:$N,5,0)),"")</f>
        <v/>
      </c>
      <c r="L3598" s="55" t="str">
        <f>IFERROR(IF($G3598="","",VLOOKUP('Dashboard And Emails Automate'!$G3598,Database!$H:$N,6,0)),"")</f>
        <v/>
      </c>
      <c r="M3598" s="55" t="str">
        <f>IFERROR(IF($G3598="","",VLOOKUP('Dashboard And Emails Automate'!$G3598,Database!$H:$N,7,0)),"")</f>
        <v/>
      </c>
      <c r="N3598" s="55" t="str">
        <f>IFERROR(IF(OR($B3598="",$B3598="(blank)"),"",VLOOKUP($B3598,'Email Marketing Raw Data'!$C:$O,6,0)),"")</f>
        <v/>
      </c>
      <c r="O3598" s="55" t="str">
        <f>IFERROR(IF(OR($B3598="",$B3598="(blank)"),"",VLOOKUP($B3598,'Email Marketing Raw Data'!$C:$O,7,0)),"")</f>
        <v/>
      </c>
      <c r="P3598" s="55" t="str">
        <f>IFERROR(IF(OR($B3598="",$B3598="(blank)"),"",VLOOKUP($B3598,'Email Marketing Raw Data'!$C:$O,8,0)),"")</f>
        <v/>
      </c>
      <c r="Q3598" s="62" t="str">
        <f>IFERROR(IF(OR($B3598="",$B3598="(blank)"),"",VLOOKUP($B3598,'Email Marketing Raw Data'!$C:$O,9,0)),"")</f>
        <v/>
      </c>
    </row>
    <row r="3599" spans="4:17" ht="12.75" customHeight="1" x14ac:dyDescent="0.2">
      <c r="D3599" s="58" t="str">
        <f>IFERROR(IF(F3599&lt;&gt;"pending","",IF(OR($B3599="",$B3599="(blank)"),"",VLOOKUP($B3599,'Email Marketing Raw Data'!$C:$O,10,0))),"")</f>
        <v/>
      </c>
      <c r="E3599" s="59" t="str">
        <f>IFERROR(IF(F3599&lt;&gt;"pending","",IF(OR($B3599="",$B3599="(blank)"),"",VLOOKUP($B3599,'Email Marketing Raw Data'!$C:$O,11,0))),"")</f>
        <v/>
      </c>
      <c r="F3599" s="54" t="str">
        <f>IFERROR(IF(OR($B3599="",$B3599="(blank)"),"",VLOOKUP($B3599,'Email Marketing Raw Data'!$C:$O,13,0)),"")</f>
        <v/>
      </c>
      <c r="G3599" s="55" t="str">
        <f>IFERROR(IF(OR($B3599="",$B3599="(blank)"),"",VLOOKUP($B3599,'Email Marketing Raw Data'!$C:$O,4,0)),"")</f>
        <v/>
      </c>
      <c r="H3599" s="55" t="str">
        <f>IFERROR(IF(OR($B3599="",$B3599="(blank)"),"",VLOOKUP($B3599,'Email Marketing Raw Data'!$C:$O,5,0)),"")</f>
        <v/>
      </c>
      <c r="I3599" s="55" t="str">
        <f>IFERROR(IF($G3599="","",VLOOKUP('Dashboard And Emails Automate'!$G3599,Database!$H:$N,3,0)),"")</f>
        <v/>
      </c>
      <c r="J3599" s="55" t="str">
        <f>IFERROR(IF($G3599="","",VLOOKUP('Dashboard And Emails Automate'!$G3599,Database!$H:$N,4,0)),"")</f>
        <v/>
      </c>
      <c r="K3599" s="55" t="str">
        <f>IFERROR(IF($G3599="","",VLOOKUP('Dashboard And Emails Automate'!$G3599,Database!$H:$N,5,0)),"")</f>
        <v/>
      </c>
      <c r="L3599" s="55" t="str">
        <f>IFERROR(IF($G3599="","",VLOOKUP('Dashboard And Emails Automate'!$G3599,Database!$H:$N,6,0)),"")</f>
        <v/>
      </c>
      <c r="M3599" s="55" t="str">
        <f>IFERROR(IF($G3599="","",VLOOKUP('Dashboard And Emails Automate'!$G3599,Database!$H:$N,7,0)),"")</f>
        <v/>
      </c>
      <c r="N3599" s="55" t="str">
        <f>IFERROR(IF(OR($B3599="",$B3599="(blank)"),"",VLOOKUP($B3599,'Email Marketing Raw Data'!$C:$O,6,0)),"")</f>
        <v/>
      </c>
      <c r="O3599" s="55" t="str">
        <f>IFERROR(IF(OR($B3599="",$B3599="(blank)"),"",VLOOKUP($B3599,'Email Marketing Raw Data'!$C:$O,7,0)),"")</f>
        <v/>
      </c>
      <c r="P3599" s="55" t="str">
        <f>IFERROR(IF(OR($B3599="",$B3599="(blank)"),"",VLOOKUP($B3599,'Email Marketing Raw Data'!$C:$O,8,0)),"")</f>
        <v/>
      </c>
      <c r="Q3599" s="62" t="str">
        <f>IFERROR(IF(OR($B3599="",$B3599="(blank)"),"",VLOOKUP($B3599,'Email Marketing Raw Data'!$C:$O,9,0)),"")</f>
        <v/>
      </c>
    </row>
    <row r="3600" spans="4:17" ht="12.75" customHeight="1" x14ac:dyDescent="0.2">
      <c r="D3600" s="58" t="str">
        <f>IFERROR(IF(F3600&lt;&gt;"pending","",IF(OR($B3600="",$B3600="(blank)"),"",VLOOKUP($B3600,'Email Marketing Raw Data'!$C:$O,10,0))),"")</f>
        <v/>
      </c>
      <c r="E3600" s="59" t="str">
        <f>IFERROR(IF(F3600&lt;&gt;"pending","",IF(OR($B3600="",$B3600="(blank)"),"",VLOOKUP($B3600,'Email Marketing Raw Data'!$C:$O,11,0))),"")</f>
        <v/>
      </c>
      <c r="F3600" s="54" t="str">
        <f>IFERROR(IF(OR($B3600="",$B3600="(blank)"),"",VLOOKUP($B3600,'Email Marketing Raw Data'!$C:$O,13,0)),"")</f>
        <v/>
      </c>
      <c r="G3600" s="55" t="str">
        <f>IFERROR(IF(OR($B3600="",$B3600="(blank)"),"",VLOOKUP($B3600,'Email Marketing Raw Data'!$C:$O,4,0)),"")</f>
        <v/>
      </c>
      <c r="H3600" s="55" t="str">
        <f>IFERROR(IF(OR($B3600="",$B3600="(blank)"),"",VLOOKUP($B3600,'Email Marketing Raw Data'!$C:$O,5,0)),"")</f>
        <v/>
      </c>
      <c r="I3600" s="55" t="str">
        <f>IFERROR(IF($G3600="","",VLOOKUP('Dashboard And Emails Automate'!$G3600,Database!$H:$N,3,0)),"")</f>
        <v/>
      </c>
      <c r="J3600" s="55" t="str">
        <f>IFERROR(IF($G3600="","",VLOOKUP('Dashboard And Emails Automate'!$G3600,Database!$H:$N,4,0)),"")</f>
        <v/>
      </c>
      <c r="K3600" s="55" t="str">
        <f>IFERROR(IF($G3600="","",VLOOKUP('Dashboard And Emails Automate'!$G3600,Database!$H:$N,5,0)),"")</f>
        <v/>
      </c>
      <c r="L3600" s="55" t="str">
        <f>IFERROR(IF($G3600="","",VLOOKUP('Dashboard And Emails Automate'!$G3600,Database!$H:$N,6,0)),"")</f>
        <v/>
      </c>
      <c r="M3600" s="55" t="str">
        <f>IFERROR(IF($G3600="","",VLOOKUP('Dashboard And Emails Automate'!$G3600,Database!$H:$N,7,0)),"")</f>
        <v/>
      </c>
      <c r="N3600" s="55" t="str">
        <f>IFERROR(IF(OR($B3600="",$B3600="(blank)"),"",VLOOKUP($B3600,'Email Marketing Raw Data'!$C:$O,6,0)),"")</f>
        <v/>
      </c>
      <c r="O3600" s="55" t="str">
        <f>IFERROR(IF(OR($B3600="",$B3600="(blank)"),"",VLOOKUP($B3600,'Email Marketing Raw Data'!$C:$O,7,0)),"")</f>
        <v/>
      </c>
      <c r="P3600" s="55" t="str">
        <f>IFERROR(IF(OR($B3600="",$B3600="(blank)"),"",VLOOKUP($B3600,'Email Marketing Raw Data'!$C:$O,8,0)),"")</f>
        <v/>
      </c>
      <c r="Q3600" s="62" t="str">
        <f>IFERROR(IF(OR($B3600="",$B3600="(blank)"),"",VLOOKUP($B3600,'Email Marketing Raw Data'!$C:$O,9,0)),"")</f>
        <v/>
      </c>
    </row>
    <row r="3601" spans="4:17" ht="12.75" customHeight="1" x14ac:dyDescent="0.2">
      <c r="D3601" s="58" t="str">
        <f>IFERROR(IF(F3601&lt;&gt;"pending","",IF(OR($B3601="",$B3601="(blank)"),"",VLOOKUP($B3601,'Email Marketing Raw Data'!$C:$O,10,0))),"")</f>
        <v/>
      </c>
      <c r="E3601" s="59" t="str">
        <f>IFERROR(IF(F3601&lt;&gt;"pending","",IF(OR($B3601="",$B3601="(blank)"),"",VLOOKUP($B3601,'Email Marketing Raw Data'!$C:$O,11,0))),"")</f>
        <v/>
      </c>
      <c r="F3601" s="54" t="str">
        <f>IFERROR(IF(OR($B3601="",$B3601="(blank)"),"",VLOOKUP($B3601,'Email Marketing Raw Data'!$C:$O,13,0)),"")</f>
        <v/>
      </c>
      <c r="G3601" s="55" t="str">
        <f>IFERROR(IF(OR($B3601="",$B3601="(blank)"),"",VLOOKUP($B3601,'Email Marketing Raw Data'!$C:$O,4,0)),"")</f>
        <v/>
      </c>
      <c r="H3601" s="55" t="str">
        <f>IFERROR(IF(OR($B3601="",$B3601="(blank)"),"",VLOOKUP($B3601,'Email Marketing Raw Data'!$C:$O,5,0)),"")</f>
        <v/>
      </c>
      <c r="I3601" s="55" t="str">
        <f>IFERROR(IF($G3601="","",VLOOKUP('Dashboard And Emails Automate'!$G3601,Database!$H:$N,3,0)),"")</f>
        <v/>
      </c>
      <c r="J3601" s="55" t="str">
        <f>IFERROR(IF($G3601="","",VLOOKUP('Dashboard And Emails Automate'!$G3601,Database!$H:$N,4,0)),"")</f>
        <v/>
      </c>
      <c r="K3601" s="55" t="str">
        <f>IFERROR(IF($G3601="","",VLOOKUP('Dashboard And Emails Automate'!$G3601,Database!$H:$N,5,0)),"")</f>
        <v/>
      </c>
      <c r="L3601" s="55" t="str">
        <f>IFERROR(IF($G3601="","",VLOOKUP('Dashboard And Emails Automate'!$G3601,Database!$H:$N,6,0)),"")</f>
        <v/>
      </c>
      <c r="M3601" s="55" t="str">
        <f>IFERROR(IF($G3601="","",VLOOKUP('Dashboard And Emails Automate'!$G3601,Database!$H:$N,7,0)),"")</f>
        <v/>
      </c>
      <c r="N3601" s="55" t="str">
        <f>IFERROR(IF(OR($B3601="",$B3601="(blank)"),"",VLOOKUP($B3601,'Email Marketing Raw Data'!$C:$O,6,0)),"")</f>
        <v/>
      </c>
      <c r="O3601" s="55" t="str">
        <f>IFERROR(IF(OR($B3601="",$B3601="(blank)"),"",VLOOKUP($B3601,'Email Marketing Raw Data'!$C:$O,7,0)),"")</f>
        <v/>
      </c>
      <c r="P3601" s="55" t="str">
        <f>IFERROR(IF(OR($B3601="",$B3601="(blank)"),"",VLOOKUP($B3601,'Email Marketing Raw Data'!$C:$O,8,0)),"")</f>
        <v/>
      </c>
      <c r="Q3601" s="62" t="str">
        <f>IFERROR(IF(OR($B3601="",$B3601="(blank)"),"",VLOOKUP($B3601,'Email Marketing Raw Data'!$C:$O,9,0)),"")</f>
        <v/>
      </c>
    </row>
    <row r="3602" spans="4:17" ht="12.75" customHeight="1" x14ac:dyDescent="0.2">
      <c r="D3602" s="58" t="str">
        <f>IFERROR(IF(F3602&lt;&gt;"pending","",IF(OR($B3602="",$B3602="(blank)"),"",VLOOKUP($B3602,'Email Marketing Raw Data'!$C:$O,10,0))),"")</f>
        <v/>
      </c>
      <c r="E3602" s="59" t="str">
        <f>IFERROR(IF(F3602&lt;&gt;"pending","",IF(OR($B3602="",$B3602="(blank)"),"",VLOOKUP($B3602,'Email Marketing Raw Data'!$C:$O,11,0))),"")</f>
        <v/>
      </c>
      <c r="F3602" s="54" t="str">
        <f>IFERROR(IF(OR($B3602="",$B3602="(blank)"),"",VLOOKUP($B3602,'Email Marketing Raw Data'!$C:$O,13,0)),"")</f>
        <v/>
      </c>
      <c r="G3602" s="55" t="str">
        <f>IFERROR(IF(OR($B3602="",$B3602="(blank)"),"",VLOOKUP($B3602,'Email Marketing Raw Data'!$C:$O,4,0)),"")</f>
        <v/>
      </c>
      <c r="H3602" s="55" t="str">
        <f>IFERROR(IF(OR($B3602="",$B3602="(blank)"),"",VLOOKUP($B3602,'Email Marketing Raw Data'!$C:$O,5,0)),"")</f>
        <v/>
      </c>
      <c r="I3602" s="55" t="str">
        <f>IFERROR(IF($G3602="","",VLOOKUP('Dashboard And Emails Automate'!$G3602,Database!$H:$N,3,0)),"")</f>
        <v/>
      </c>
      <c r="J3602" s="55" t="str">
        <f>IFERROR(IF($G3602="","",VLOOKUP('Dashboard And Emails Automate'!$G3602,Database!$H:$N,4,0)),"")</f>
        <v/>
      </c>
      <c r="K3602" s="55" t="str">
        <f>IFERROR(IF($G3602="","",VLOOKUP('Dashboard And Emails Automate'!$G3602,Database!$H:$N,5,0)),"")</f>
        <v/>
      </c>
      <c r="L3602" s="55" t="str">
        <f>IFERROR(IF($G3602="","",VLOOKUP('Dashboard And Emails Automate'!$G3602,Database!$H:$N,6,0)),"")</f>
        <v/>
      </c>
      <c r="M3602" s="55" t="str">
        <f>IFERROR(IF($G3602="","",VLOOKUP('Dashboard And Emails Automate'!$G3602,Database!$H:$N,7,0)),"")</f>
        <v/>
      </c>
      <c r="N3602" s="55" t="str">
        <f>IFERROR(IF(OR($B3602="",$B3602="(blank)"),"",VLOOKUP($B3602,'Email Marketing Raw Data'!$C:$O,6,0)),"")</f>
        <v/>
      </c>
      <c r="O3602" s="55" t="str">
        <f>IFERROR(IF(OR($B3602="",$B3602="(blank)"),"",VLOOKUP($B3602,'Email Marketing Raw Data'!$C:$O,7,0)),"")</f>
        <v/>
      </c>
      <c r="P3602" s="55" t="str">
        <f>IFERROR(IF(OR($B3602="",$B3602="(blank)"),"",VLOOKUP($B3602,'Email Marketing Raw Data'!$C:$O,8,0)),"")</f>
        <v/>
      </c>
      <c r="Q3602" s="62" t="str">
        <f>IFERROR(IF(OR($B3602="",$B3602="(blank)"),"",VLOOKUP($B3602,'Email Marketing Raw Data'!$C:$O,9,0)),"")</f>
        <v/>
      </c>
    </row>
    <row r="3603" spans="4:17" ht="12.75" customHeight="1" x14ac:dyDescent="0.2">
      <c r="D3603" s="58" t="str">
        <f>IFERROR(IF(F3603&lt;&gt;"pending","",IF(OR($B3603="",$B3603="(blank)"),"",VLOOKUP($B3603,'Email Marketing Raw Data'!$C:$O,10,0))),"")</f>
        <v/>
      </c>
      <c r="E3603" s="59" t="str">
        <f>IFERROR(IF(F3603&lt;&gt;"pending","",IF(OR($B3603="",$B3603="(blank)"),"",VLOOKUP($B3603,'Email Marketing Raw Data'!$C:$O,11,0))),"")</f>
        <v/>
      </c>
      <c r="F3603" s="54" t="str">
        <f>IFERROR(IF(OR($B3603="",$B3603="(blank)"),"",VLOOKUP($B3603,'Email Marketing Raw Data'!$C:$O,13,0)),"")</f>
        <v/>
      </c>
      <c r="G3603" s="55" t="str">
        <f>IFERROR(IF(OR($B3603="",$B3603="(blank)"),"",VLOOKUP($B3603,'Email Marketing Raw Data'!$C:$O,4,0)),"")</f>
        <v/>
      </c>
      <c r="H3603" s="55" t="str">
        <f>IFERROR(IF(OR($B3603="",$B3603="(blank)"),"",VLOOKUP($B3603,'Email Marketing Raw Data'!$C:$O,5,0)),"")</f>
        <v/>
      </c>
      <c r="I3603" s="55" t="str">
        <f>IFERROR(IF($G3603="","",VLOOKUP('Dashboard And Emails Automate'!$G3603,Database!$H:$N,3,0)),"")</f>
        <v/>
      </c>
      <c r="J3603" s="55" t="str">
        <f>IFERROR(IF($G3603="","",VLOOKUP('Dashboard And Emails Automate'!$G3603,Database!$H:$N,4,0)),"")</f>
        <v/>
      </c>
      <c r="K3603" s="55" t="str">
        <f>IFERROR(IF($G3603="","",VLOOKUP('Dashboard And Emails Automate'!$G3603,Database!$H:$N,5,0)),"")</f>
        <v/>
      </c>
      <c r="L3603" s="55" t="str">
        <f>IFERROR(IF($G3603="","",VLOOKUP('Dashboard And Emails Automate'!$G3603,Database!$H:$N,6,0)),"")</f>
        <v/>
      </c>
      <c r="M3603" s="55" t="str">
        <f>IFERROR(IF($G3603="","",VLOOKUP('Dashboard And Emails Automate'!$G3603,Database!$H:$N,7,0)),"")</f>
        <v/>
      </c>
      <c r="N3603" s="55" t="str">
        <f>IFERROR(IF(OR($B3603="",$B3603="(blank)"),"",VLOOKUP($B3603,'Email Marketing Raw Data'!$C:$O,6,0)),"")</f>
        <v/>
      </c>
      <c r="O3603" s="55" t="str">
        <f>IFERROR(IF(OR($B3603="",$B3603="(blank)"),"",VLOOKUP($B3603,'Email Marketing Raw Data'!$C:$O,7,0)),"")</f>
        <v/>
      </c>
      <c r="P3603" s="55" t="str">
        <f>IFERROR(IF(OR($B3603="",$B3603="(blank)"),"",VLOOKUP($B3603,'Email Marketing Raw Data'!$C:$O,8,0)),"")</f>
        <v/>
      </c>
      <c r="Q3603" s="62" t="str">
        <f>IFERROR(IF(OR($B3603="",$B3603="(blank)"),"",VLOOKUP($B3603,'Email Marketing Raw Data'!$C:$O,9,0)),"")</f>
        <v/>
      </c>
    </row>
    <row r="3604" spans="4:17" ht="12.75" customHeight="1" x14ac:dyDescent="0.2">
      <c r="D3604" s="58" t="str">
        <f>IFERROR(IF(F3604&lt;&gt;"pending","",IF(OR($B3604="",$B3604="(blank)"),"",VLOOKUP($B3604,'Email Marketing Raw Data'!$C:$O,10,0))),"")</f>
        <v/>
      </c>
      <c r="E3604" s="59" t="str">
        <f>IFERROR(IF(F3604&lt;&gt;"pending","",IF(OR($B3604="",$B3604="(blank)"),"",VLOOKUP($B3604,'Email Marketing Raw Data'!$C:$O,11,0))),"")</f>
        <v/>
      </c>
      <c r="F3604" s="54" t="str">
        <f>IFERROR(IF(OR($B3604="",$B3604="(blank)"),"",VLOOKUP($B3604,'Email Marketing Raw Data'!$C:$O,13,0)),"")</f>
        <v/>
      </c>
      <c r="G3604" s="55" t="str">
        <f>IFERROR(IF(OR($B3604="",$B3604="(blank)"),"",VLOOKUP($B3604,'Email Marketing Raw Data'!$C:$O,4,0)),"")</f>
        <v/>
      </c>
      <c r="H3604" s="55" t="str">
        <f>IFERROR(IF(OR($B3604="",$B3604="(blank)"),"",VLOOKUP($B3604,'Email Marketing Raw Data'!$C:$O,5,0)),"")</f>
        <v/>
      </c>
      <c r="I3604" s="55" t="str">
        <f>IFERROR(IF($G3604="","",VLOOKUP('Dashboard And Emails Automate'!$G3604,Database!$H:$N,3,0)),"")</f>
        <v/>
      </c>
      <c r="J3604" s="55" t="str">
        <f>IFERROR(IF($G3604="","",VLOOKUP('Dashboard And Emails Automate'!$G3604,Database!$H:$N,4,0)),"")</f>
        <v/>
      </c>
      <c r="K3604" s="55" t="str">
        <f>IFERROR(IF($G3604="","",VLOOKUP('Dashboard And Emails Automate'!$G3604,Database!$H:$N,5,0)),"")</f>
        <v/>
      </c>
      <c r="L3604" s="55" t="str">
        <f>IFERROR(IF($G3604="","",VLOOKUP('Dashboard And Emails Automate'!$G3604,Database!$H:$N,6,0)),"")</f>
        <v/>
      </c>
      <c r="M3604" s="55" t="str">
        <f>IFERROR(IF($G3604="","",VLOOKUP('Dashboard And Emails Automate'!$G3604,Database!$H:$N,7,0)),"")</f>
        <v/>
      </c>
      <c r="N3604" s="55" t="str">
        <f>IFERROR(IF(OR($B3604="",$B3604="(blank)"),"",VLOOKUP($B3604,'Email Marketing Raw Data'!$C:$O,6,0)),"")</f>
        <v/>
      </c>
      <c r="O3604" s="55" t="str">
        <f>IFERROR(IF(OR($B3604="",$B3604="(blank)"),"",VLOOKUP($B3604,'Email Marketing Raw Data'!$C:$O,7,0)),"")</f>
        <v/>
      </c>
      <c r="P3604" s="55" t="str">
        <f>IFERROR(IF(OR($B3604="",$B3604="(blank)"),"",VLOOKUP($B3604,'Email Marketing Raw Data'!$C:$O,8,0)),"")</f>
        <v/>
      </c>
      <c r="Q3604" s="62" t="str">
        <f>IFERROR(IF(OR($B3604="",$B3604="(blank)"),"",VLOOKUP($B3604,'Email Marketing Raw Data'!$C:$O,9,0)),"")</f>
        <v/>
      </c>
    </row>
    <row r="3605" spans="4:17" ht="12.75" customHeight="1" x14ac:dyDescent="0.2">
      <c r="D3605" s="58" t="str">
        <f>IFERROR(IF(F3605&lt;&gt;"pending","",IF(OR($B3605="",$B3605="(blank)"),"",VLOOKUP($B3605,'Email Marketing Raw Data'!$C:$O,10,0))),"")</f>
        <v/>
      </c>
      <c r="E3605" s="59" t="str">
        <f>IFERROR(IF(F3605&lt;&gt;"pending","",IF(OR($B3605="",$B3605="(blank)"),"",VLOOKUP($B3605,'Email Marketing Raw Data'!$C:$O,11,0))),"")</f>
        <v/>
      </c>
      <c r="F3605" s="54" t="str">
        <f>IFERROR(IF(OR($B3605="",$B3605="(blank)"),"",VLOOKUP($B3605,'Email Marketing Raw Data'!$C:$O,13,0)),"")</f>
        <v/>
      </c>
      <c r="G3605" s="55" t="str">
        <f>IFERROR(IF(OR($B3605="",$B3605="(blank)"),"",VLOOKUP($B3605,'Email Marketing Raw Data'!$C:$O,4,0)),"")</f>
        <v/>
      </c>
      <c r="H3605" s="55" t="str">
        <f>IFERROR(IF(OR($B3605="",$B3605="(blank)"),"",VLOOKUP($B3605,'Email Marketing Raw Data'!$C:$O,5,0)),"")</f>
        <v/>
      </c>
      <c r="I3605" s="55" t="str">
        <f>IFERROR(IF($G3605="","",VLOOKUP('Dashboard And Emails Automate'!$G3605,Database!$H:$N,3,0)),"")</f>
        <v/>
      </c>
      <c r="J3605" s="55" t="str">
        <f>IFERROR(IF($G3605="","",VLOOKUP('Dashboard And Emails Automate'!$G3605,Database!$H:$N,4,0)),"")</f>
        <v/>
      </c>
      <c r="K3605" s="55" t="str">
        <f>IFERROR(IF($G3605="","",VLOOKUP('Dashboard And Emails Automate'!$G3605,Database!$H:$N,5,0)),"")</f>
        <v/>
      </c>
      <c r="L3605" s="55" t="str">
        <f>IFERROR(IF($G3605="","",VLOOKUP('Dashboard And Emails Automate'!$G3605,Database!$H:$N,6,0)),"")</f>
        <v/>
      </c>
      <c r="M3605" s="55" t="str">
        <f>IFERROR(IF($G3605="","",VLOOKUP('Dashboard And Emails Automate'!$G3605,Database!$H:$N,7,0)),"")</f>
        <v/>
      </c>
      <c r="N3605" s="55" t="str">
        <f>IFERROR(IF(OR($B3605="",$B3605="(blank)"),"",VLOOKUP($B3605,'Email Marketing Raw Data'!$C:$O,6,0)),"")</f>
        <v/>
      </c>
      <c r="O3605" s="55" t="str">
        <f>IFERROR(IF(OR($B3605="",$B3605="(blank)"),"",VLOOKUP($B3605,'Email Marketing Raw Data'!$C:$O,7,0)),"")</f>
        <v/>
      </c>
      <c r="P3605" s="55" t="str">
        <f>IFERROR(IF(OR($B3605="",$B3605="(blank)"),"",VLOOKUP($B3605,'Email Marketing Raw Data'!$C:$O,8,0)),"")</f>
        <v/>
      </c>
      <c r="Q3605" s="62" t="str">
        <f>IFERROR(IF(OR($B3605="",$B3605="(blank)"),"",VLOOKUP($B3605,'Email Marketing Raw Data'!$C:$O,9,0)),"")</f>
        <v/>
      </c>
    </row>
    <row r="3606" spans="4:17" ht="12.75" customHeight="1" x14ac:dyDescent="0.2">
      <c r="D3606" s="58" t="str">
        <f>IFERROR(IF(F3606&lt;&gt;"pending","",IF(OR($B3606="",$B3606="(blank)"),"",VLOOKUP($B3606,'Email Marketing Raw Data'!$C:$O,10,0))),"")</f>
        <v/>
      </c>
      <c r="E3606" s="59" t="str">
        <f>IFERROR(IF(F3606&lt;&gt;"pending","",IF(OR($B3606="",$B3606="(blank)"),"",VLOOKUP($B3606,'Email Marketing Raw Data'!$C:$O,11,0))),"")</f>
        <v/>
      </c>
      <c r="F3606" s="54" t="str">
        <f>IFERROR(IF(OR($B3606="",$B3606="(blank)"),"",VLOOKUP($B3606,'Email Marketing Raw Data'!$C:$O,13,0)),"")</f>
        <v/>
      </c>
      <c r="G3606" s="55" t="str">
        <f>IFERROR(IF(OR($B3606="",$B3606="(blank)"),"",VLOOKUP($B3606,'Email Marketing Raw Data'!$C:$O,4,0)),"")</f>
        <v/>
      </c>
      <c r="H3606" s="55" t="str">
        <f>IFERROR(IF(OR($B3606="",$B3606="(blank)"),"",VLOOKUP($B3606,'Email Marketing Raw Data'!$C:$O,5,0)),"")</f>
        <v/>
      </c>
      <c r="I3606" s="55" t="str">
        <f>IFERROR(IF($G3606="","",VLOOKUP('Dashboard And Emails Automate'!$G3606,Database!$H:$N,3,0)),"")</f>
        <v/>
      </c>
      <c r="J3606" s="55" t="str">
        <f>IFERROR(IF($G3606="","",VLOOKUP('Dashboard And Emails Automate'!$G3606,Database!$H:$N,4,0)),"")</f>
        <v/>
      </c>
      <c r="K3606" s="55" t="str">
        <f>IFERROR(IF($G3606="","",VLOOKUP('Dashboard And Emails Automate'!$G3606,Database!$H:$N,5,0)),"")</f>
        <v/>
      </c>
      <c r="L3606" s="55" t="str">
        <f>IFERROR(IF($G3606="","",VLOOKUP('Dashboard And Emails Automate'!$G3606,Database!$H:$N,6,0)),"")</f>
        <v/>
      </c>
      <c r="M3606" s="55" t="str">
        <f>IFERROR(IF($G3606="","",VLOOKUP('Dashboard And Emails Automate'!$G3606,Database!$H:$N,7,0)),"")</f>
        <v/>
      </c>
      <c r="N3606" s="55" t="str">
        <f>IFERROR(IF(OR($B3606="",$B3606="(blank)"),"",VLOOKUP($B3606,'Email Marketing Raw Data'!$C:$O,6,0)),"")</f>
        <v/>
      </c>
      <c r="O3606" s="55" t="str">
        <f>IFERROR(IF(OR($B3606="",$B3606="(blank)"),"",VLOOKUP($B3606,'Email Marketing Raw Data'!$C:$O,7,0)),"")</f>
        <v/>
      </c>
      <c r="P3606" s="55" t="str">
        <f>IFERROR(IF(OR($B3606="",$B3606="(blank)"),"",VLOOKUP($B3606,'Email Marketing Raw Data'!$C:$O,8,0)),"")</f>
        <v/>
      </c>
      <c r="Q3606" s="62" t="str">
        <f>IFERROR(IF(OR($B3606="",$B3606="(blank)"),"",VLOOKUP($B3606,'Email Marketing Raw Data'!$C:$O,9,0)),"")</f>
        <v/>
      </c>
    </row>
    <row r="3607" spans="4:17" ht="12.75" customHeight="1" x14ac:dyDescent="0.2">
      <c r="D3607" s="58" t="str">
        <f>IFERROR(IF(F3607&lt;&gt;"pending","",IF(OR($B3607="",$B3607="(blank)"),"",VLOOKUP($B3607,'Email Marketing Raw Data'!$C:$O,10,0))),"")</f>
        <v/>
      </c>
      <c r="E3607" s="59" t="str">
        <f>IFERROR(IF(F3607&lt;&gt;"pending","",IF(OR($B3607="",$B3607="(blank)"),"",VLOOKUP($B3607,'Email Marketing Raw Data'!$C:$O,11,0))),"")</f>
        <v/>
      </c>
      <c r="F3607" s="54" t="str">
        <f>IFERROR(IF(OR($B3607="",$B3607="(blank)"),"",VLOOKUP($B3607,'Email Marketing Raw Data'!$C:$O,13,0)),"")</f>
        <v/>
      </c>
      <c r="G3607" s="55" t="str">
        <f>IFERROR(IF(OR($B3607="",$B3607="(blank)"),"",VLOOKUP($B3607,'Email Marketing Raw Data'!$C:$O,4,0)),"")</f>
        <v/>
      </c>
      <c r="H3607" s="55" t="str">
        <f>IFERROR(IF(OR($B3607="",$B3607="(blank)"),"",VLOOKUP($B3607,'Email Marketing Raw Data'!$C:$O,5,0)),"")</f>
        <v/>
      </c>
      <c r="I3607" s="55" t="str">
        <f>IFERROR(IF($G3607="","",VLOOKUP('Dashboard And Emails Automate'!$G3607,Database!$H:$N,3,0)),"")</f>
        <v/>
      </c>
      <c r="J3607" s="55" t="str">
        <f>IFERROR(IF($G3607="","",VLOOKUP('Dashboard And Emails Automate'!$G3607,Database!$H:$N,4,0)),"")</f>
        <v/>
      </c>
      <c r="K3607" s="55" t="str">
        <f>IFERROR(IF($G3607="","",VLOOKUP('Dashboard And Emails Automate'!$G3607,Database!$H:$N,5,0)),"")</f>
        <v/>
      </c>
      <c r="L3607" s="55" t="str">
        <f>IFERROR(IF($G3607="","",VLOOKUP('Dashboard And Emails Automate'!$G3607,Database!$H:$N,6,0)),"")</f>
        <v/>
      </c>
      <c r="M3607" s="55" t="str">
        <f>IFERROR(IF($G3607="","",VLOOKUP('Dashboard And Emails Automate'!$G3607,Database!$H:$N,7,0)),"")</f>
        <v/>
      </c>
      <c r="N3607" s="55" t="str">
        <f>IFERROR(IF(OR($B3607="",$B3607="(blank)"),"",VLOOKUP($B3607,'Email Marketing Raw Data'!$C:$O,6,0)),"")</f>
        <v/>
      </c>
      <c r="O3607" s="55" t="str">
        <f>IFERROR(IF(OR($B3607="",$B3607="(blank)"),"",VLOOKUP($B3607,'Email Marketing Raw Data'!$C:$O,7,0)),"")</f>
        <v/>
      </c>
      <c r="P3607" s="55" t="str">
        <f>IFERROR(IF(OR($B3607="",$B3607="(blank)"),"",VLOOKUP($B3607,'Email Marketing Raw Data'!$C:$O,8,0)),"")</f>
        <v/>
      </c>
      <c r="Q3607" s="62" t="str">
        <f>IFERROR(IF(OR($B3607="",$B3607="(blank)"),"",VLOOKUP($B3607,'Email Marketing Raw Data'!$C:$O,9,0)),"")</f>
        <v/>
      </c>
    </row>
    <row r="3608" spans="4:17" ht="12.75" customHeight="1" x14ac:dyDescent="0.2">
      <c r="D3608" s="58" t="str">
        <f>IFERROR(IF(F3608&lt;&gt;"pending","",IF(OR($B3608="",$B3608="(blank)"),"",VLOOKUP($B3608,'Email Marketing Raw Data'!$C:$O,10,0))),"")</f>
        <v/>
      </c>
      <c r="E3608" s="59" t="str">
        <f>IFERROR(IF(F3608&lt;&gt;"pending","",IF(OR($B3608="",$B3608="(blank)"),"",VLOOKUP($B3608,'Email Marketing Raw Data'!$C:$O,11,0))),"")</f>
        <v/>
      </c>
      <c r="F3608" s="54" t="str">
        <f>IFERROR(IF(OR($B3608="",$B3608="(blank)"),"",VLOOKUP($B3608,'Email Marketing Raw Data'!$C:$O,13,0)),"")</f>
        <v/>
      </c>
      <c r="G3608" s="55" t="str">
        <f>IFERROR(IF(OR($B3608="",$B3608="(blank)"),"",VLOOKUP($B3608,'Email Marketing Raw Data'!$C:$O,4,0)),"")</f>
        <v/>
      </c>
      <c r="H3608" s="55" t="str">
        <f>IFERROR(IF(OR($B3608="",$B3608="(blank)"),"",VLOOKUP($B3608,'Email Marketing Raw Data'!$C:$O,5,0)),"")</f>
        <v/>
      </c>
      <c r="I3608" s="55" t="str">
        <f>IFERROR(IF($G3608="","",VLOOKUP('Dashboard And Emails Automate'!$G3608,Database!$H:$N,3,0)),"")</f>
        <v/>
      </c>
      <c r="J3608" s="55" t="str">
        <f>IFERROR(IF($G3608="","",VLOOKUP('Dashboard And Emails Automate'!$G3608,Database!$H:$N,4,0)),"")</f>
        <v/>
      </c>
      <c r="K3608" s="55" t="str">
        <f>IFERROR(IF($G3608="","",VLOOKUP('Dashboard And Emails Automate'!$G3608,Database!$H:$N,5,0)),"")</f>
        <v/>
      </c>
      <c r="L3608" s="55" t="str">
        <f>IFERROR(IF($G3608="","",VLOOKUP('Dashboard And Emails Automate'!$G3608,Database!$H:$N,6,0)),"")</f>
        <v/>
      </c>
      <c r="M3608" s="55" t="str">
        <f>IFERROR(IF($G3608="","",VLOOKUP('Dashboard And Emails Automate'!$G3608,Database!$H:$N,7,0)),"")</f>
        <v/>
      </c>
      <c r="N3608" s="55" t="str">
        <f>IFERROR(IF(OR($B3608="",$B3608="(blank)"),"",VLOOKUP($B3608,'Email Marketing Raw Data'!$C:$O,6,0)),"")</f>
        <v/>
      </c>
      <c r="O3608" s="55" t="str">
        <f>IFERROR(IF(OR($B3608="",$B3608="(blank)"),"",VLOOKUP($B3608,'Email Marketing Raw Data'!$C:$O,7,0)),"")</f>
        <v/>
      </c>
      <c r="P3608" s="55" t="str">
        <f>IFERROR(IF(OR($B3608="",$B3608="(blank)"),"",VLOOKUP($B3608,'Email Marketing Raw Data'!$C:$O,8,0)),"")</f>
        <v/>
      </c>
      <c r="Q3608" s="62" t="str">
        <f>IFERROR(IF(OR($B3608="",$B3608="(blank)"),"",VLOOKUP($B3608,'Email Marketing Raw Data'!$C:$O,9,0)),"")</f>
        <v/>
      </c>
    </row>
    <row r="3609" spans="4:17" ht="12.75" customHeight="1" x14ac:dyDescent="0.2">
      <c r="D3609" s="58" t="str">
        <f>IFERROR(IF(F3609&lt;&gt;"pending","",IF(OR($B3609="",$B3609="(blank)"),"",VLOOKUP($B3609,'Email Marketing Raw Data'!$C:$O,10,0))),"")</f>
        <v/>
      </c>
      <c r="E3609" s="59" t="str">
        <f>IFERROR(IF(F3609&lt;&gt;"pending","",IF(OR($B3609="",$B3609="(blank)"),"",VLOOKUP($B3609,'Email Marketing Raw Data'!$C:$O,11,0))),"")</f>
        <v/>
      </c>
      <c r="F3609" s="54" t="str">
        <f>IFERROR(IF(OR($B3609="",$B3609="(blank)"),"",VLOOKUP($B3609,'Email Marketing Raw Data'!$C:$O,13,0)),"")</f>
        <v/>
      </c>
      <c r="G3609" s="55" t="str">
        <f>IFERROR(IF(OR($B3609="",$B3609="(blank)"),"",VLOOKUP($B3609,'Email Marketing Raw Data'!$C:$O,4,0)),"")</f>
        <v/>
      </c>
      <c r="H3609" s="55" t="str">
        <f>IFERROR(IF(OR($B3609="",$B3609="(blank)"),"",VLOOKUP($B3609,'Email Marketing Raw Data'!$C:$O,5,0)),"")</f>
        <v/>
      </c>
      <c r="I3609" s="55" t="str">
        <f>IFERROR(IF($G3609="","",VLOOKUP('Dashboard And Emails Automate'!$G3609,Database!$H:$N,3,0)),"")</f>
        <v/>
      </c>
      <c r="J3609" s="55" t="str">
        <f>IFERROR(IF($G3609="","",VLOOKUP('Dashboard And Emails Automate'!$G3609,Database!$H:$N,4,0)),"")</f>
        <v/>
      </c>
      <c r="K3609" s="55" t="str">
        <f>IFERROR(IF($G3609="","",VLOOKUP('Dashboard And Emails Automate'!$G3609,Database!$H:$N,5,0)),"")</f>
        <v/>
      </c>
      <c r="L3609" s="55" t="str">
        <f>IFERROR(IF($G3609="","",VLOOKUP('Dashboard And Emails Automate'!$G3609,Database!$H:$N,6,0)),"")</f>
        <v/>
      </c>
      <c r="M3609" s="55" t="str">
        <f>IFERROR(IF($G3609="","",VLOOKUP('Dashboard And Emails Automate'!$G3609,Database!$H:$N,7,0)),"")</f>
        <v/>
      </c>
      <c r="N3609" s="55" t="str">
        <f>IFERROR(IF(OR($B3609="",$B3609="(blank)"),"",VLOOKUP($B3609,'Email Marketing Raw Data'!$C:$O,6,0)),"")</f>
        <v/>
      </c>
      <c r="O3609" s="55" t="str">
        <f>IFERROR(IF(OR($B3609="",$B3609="(blank)"),"",VLOOKUP($B3609,'Email Marketing Raw Data'!$C:$O,7,0)),"")</f>
        <v/>
      </c>
      <c r="P3609" s="55" t="str">
        <f>IFERROR(IF(OR($B3609="",$B3609="(blank)"),"",VLOOKUP($B3609,'Email Marketing Raw Data'!$C:$O,8,0)),"")</f>
        <v/>
      </c>
      <c r="Q3609" s="62" t="str">
        <f>IFERROR(IF(OR($B3609="",$B3609="(blank)"),"",VLOOKUP($B3609,'Email Marketing Raw Data'!$C:$O,9,0)),"")</f>
        <v/>
      </c>
    </row>
    <row r="3610" spans="4:17" ht="12.75" customHeight="1" x14ac:dyDescent="0.2">
      <c r="D3610" s="58" t="str">
        <f>IFERROR(IF(F3610&lt;&gt;"pending","",IF(OR($B3610="",$B3610="(blank)"),"",VLOOKUP($B3610,'Email Marketing Raw Data'!$C:$O,10,0))),"")</f>
        <v/>
      </c>
      <c r="E3610" s="59" t="str">
        <f>IFERROR(IF(F3610&lt;&gt;"pending","",IF(OR($B3610="",$B3610="(blank)"),"",VLOOKUP($B3610,'Email Marketing Raw Data'!$C:$O,11,0))),"")</f>
        <v/>
      </c>
      <c r="F3610" s="54" t="str">
        <f>IFERROR(IF(OR($B3610="",$B3610="(blank)"),"",VLOOKUP($B3610,'Email Marketing Raw Data'!$C:$O,13,0)),"")</f>
        <v/>
      </c>
      <c r="G3610" s="55" t="str">
        <f>IFERROR(IF(OR($B3610="",$B3610="(blank)"),"",VLOOKUP($B3610,'Email Marketing Raw Data'!$C:$O,4,0)),"")</f>
        <v/>
      </c>
      <c r="H3610" s="55" t="str">
        <f>IFERROR(IF(OR($B3610="",$B3610="(blank)"),"",VLOOKUP($B3610,'Email Marketing Raw Data'!$C:$O,5,0)),"")</f>
        <v/>
      </c>
      <c r="I3610" s="55" t="str">
        <f>IFERROR(IF($G3610="","",VLOOKUP('Dashboard And Emails Automate'!$G3610,Database!$H:$N,3,0)),"")</f>
        <v/>
      </c>
      <c r="J3610" s="55" t="str">
        <f>IFERROR(IF($G3610="","",VLOOKUP('Dashboard And Emails Automate'!$G3610,Database!$H:$N,4,0)),"")</f>
        <v/>
      </c>
      <c r="K3610" s="55" t="str">
        <f>IFERROR(IF($G3610="","",VLOOKUP('Dashboard And Emails Automate'!$G3610,Database!$H:$N,5,0)),"")</f>
        <v/>
      </c>
      <c r="L3610" s="55" t="str">
        <f>IFERROR(IF($G3610="","",VLOOKUP('Dashboard And Emails Automate'!$G3610,Database!$H:$N,6,0)),"")</f>
        <v/>
      </c>
      <c r="M3610" s="55" t="str">
        <f>IFERROR(IF($G3610="","",VLOOKUP('Dashboard And Emails Automate'!$G3610,Database!$H:$N,7,0)),"")</f>
        <v/>
      </c>
      <c r="N3610" s="55" t="str">
        <f>IFERROR(IF(OR($B3610="",$B3610="(blank)"),"",VLOOKUP($B3610,'Email Marketing Raw Data'!$C:$O,6,0)),"")</f>
        <v/>
      </c>
      <c r="O3610" s="55" t="str">
        <f>IFERROR(IF(OR($B3610="",$B3610="(blank)"),"",VLOOKUP($B3610,'Email Marketing Raw Data'!$C:$O,7,0)),"")</f>
        <v/>
      </c>
      <c r="P3610" s="55" t="str">
        <f>IFERROR(IF(OR($B3610="",$B3610="(blank)"),"",VLOOKUP($B3610,'Email Marketing Raw Data'!$C:$O,8,0)),"")</f>
        <v/>
      </c>
      <c r="Q3610" s="62" t="str">
        <f>IFERROR(IF(OR($B3610="",$B3610="(blank)"),"",VLOOKUP($B3610,'Email Marketing Raw Data'!$C:$O,9,0)),"")</f>
        <v/>
      </c>
    </row>
    <row r="3611" spans="4:17" ht="12.75" customHeight="1" x14ac:dyDescent="0.2">
      <c r="D3611" s="58" t="str">
        <f>IFERROR(IF(F3611&lt;&gt;"pending","",IF(OR($B3611="",$B3611="(blank)"),"",VLOOKUP($B3611,'Email Marketing Raw Data'!$C:$O,10,0))),"")</f>
        <v/>
      </c>
      <c r="E3611" s="59" t="str">
        <f>IFERROR(IF(F3611&lt;&gt;"pending","",IF(OR($B3611="",$B3611="(blank)"),"",VLOOKUP($B3611,'Email Marketing Raw Data'!$C:$O,11,0))),"")</f>
        <v/>
      </c>
      <c r="F3611" s="54" t="str">
        <f>IFERROR(IF(OR($B3611="",$B3611="(blank)"),"",VLOOKUP($B3611,'Email Marketing Raw Data'!$C:$O,13,0)),"")</f>
        <v/>
      </c>
      <c r="G3611" s="55" t="str">
        <f>IFERROR(IF(OR($B3611="",$B3611="(blank)"),"",VLOOKUP($B3611,'Email Marketing Raw Data'!$C:$O,4,0)),"")</f>
        <v/>
      </c>
      <c r="H3611" s="55" t="str">
        <f>IFERROR(IF(OR($B3611="",$B3611="(blank)"),"",VLOOKUP($B3611,'Email Marketing Raw Data'!$C:$O,5,0)),"")</f>
        <v/>
      </c>
      <c r="I3611" s="55" t="str">
        <f>IFERROR(IF($G3611="","",VLOOKUP('Dashboard And Emails Automate'!$G3611,Database!$H:$N,3,0)),"")</f>
        <v/>
      </c>
      <c r="J3611" s="55" t="str">
        <f>IFERROR(IF($G3611="","",VLOOKUP('Dashboard And Emails Automate'!$G3611,Database!$H:$N,4,0)),"")</f>
        <v/>
      </c>
      <c r="K3611" s="55" t="str">
        <f>IFERROR(IF($G3611="","",VLOOKUP('Dashboard And Emails Automate'!$G3611,Database!$H:$N,5,0)),"")</f>
        <v/>
      </c>
      <c r="L3611" s="55" t="str">
        <f>IFERROR(IF($G3611="","",VLOOKUP('Dashboard And Emails Automate'!$G3611,Database!$H:$N,6,0)),"")</f>
        <v/>
      </c>
      <c r="M3611" s="55" t="str">
        <f>IFERROR(IF($G3611="","",VLOOKUP('Dashboard And Emails Automate'!$G3611,Database!$H:$N,7,0)),"")</f>
        <v/>
      </c>
      <c r="N3611" s="55" t="str">
        <f>IFERROR(IF(OR($B3611="",$B3611="(blank)"),"",VLOOKUP($B3611,'Email Marketing Raw Data'!$C:$O,6,0)),"")</f>
        <v/>
      </c>
      <c r="O3611" s="55" t="str">
        <f>IFERROR(IF(OR($B3611="",$B3611="(blank)"),"",VLOOKUP($B3611,'Email Marketing Raw Data'!$C:$O,7,0)),"")</f>
        <v/>
      </c>
      <c r="P3611" s="55" t="str">
        <f>IFERROR(IF(OR($B3611="",$B3611="(blank)"),"",VLOOKUP($B3611,'Email Marketing Raw Data'!$C:$O,8,0)),"")</f>
        <v/>
      </c>
      <c r="Q3611" s="62" t="str">
        <f>IFERROR(IF(OR($B3611="",$B3611="(blank)"),"",VLOOKUP($B3611,'Email Marketing Raw Data'!$C:$O,9,0)),"")</f>
        <v/>
      </c>
    </row>
    <row r="3612" spans="4:17" ht="12.75" customHeight="1" x14ac:dyDescent="0.2">
      <c r="D3612" s="58" t="str">
        <f>IFERROR(IF(F3612&lt;&gt;"pending","",IF(OR($B3612="",$B3612="(blank)"),"",VLOOKUP($B3612,'Email Marketing Raw Data'!$C:$O,10,0))),"")</f>
        <v/>
      </c>
      <c r="E3612" s="59" t="str">
        <f>IFERROR(IF(F3612&lt;&gt;"pending","",IF(OR($B3612="",$B3612="(blank)"),"",VLOOKUP($B3612,'Email Marketing Raw Data'!$C:$O,11,0))),"")</f>
        <v/>
      </c>
      <c r="F3612" s="54" t="str">
        <f>IFERROR(IF(OR($B3612="",$B3612="(blank)"),"",VLOOKUP($B3612,'Email Marketing Raw Data'!$C:$O,13,0)),"")</f>
        <v/>
      </c>
      <c r="G3612" s="55" t="str">
        <f>IFERROR(IF(OR($B3612="",$B3612="(blank)"),"",VLOOKUP($B3612,'Email Marketing Raw Data'!$C:$O,4,0)),"")</f>
        <v/>
      </c>
      <c r="H3612" s="55" t="str">
        <f>IFERROR(IF(OR($B3612="",$B3612="(blank)"),"",VLOOKUP($B3612,'Email Marketing Raw Data'!$C:$O,5,0)),"")</f>
        <v/>
      </c>
      <c r="I3612" s="55" t="str">
        <f>IFERROR(IF($G3612="","",VLOOKUP('Dashboard And Emails Automate'!$G3612,Database!$H:$N,3,0)),"")</f>
        <v/>
      </c>
      <c r="J3612" s="55" t="str">
        <f>IFERROR(IF($G3612="","",VLOOKUP('Dashboard And Emails Automate'!$G3612,Database!$H:$N,4,0)),"")</f>
        <v/>
      </c>
      <c r="K3612" s="55" t="str">
        <f>IFERROR(IF($G3612="","",VLOOKUP('Dashboard And Emails Automate'!$G3612,Database!$H:$N,5,0)),"")</f>
        <v/>
      </c>
      <c r="L3612" s="55" t="str">
        <f>IFERROR(IF($G3612="","",VLOOKUP('Dashboard And Emails Automate'!$G3612,Database!$H:$N,6,0)),"")</f>
        <v/>
      </c>
      <c r="M3612" s="55" t="str">
        <f>IFERROR(IF($G3612="","",VLOOKUP('Dashboard And Emails Automate'!$G3612,Database!$H:$N,7,0)),"")</f>
        <v/>
      </c>
      <c r="N3612" s="55" t="str">
        <f>IFERROR(IF(OR($B3612="",$B3612="(blank)"),"",VLOOKUP($B3612,'Email Marketing Raw Data'!$C:$O,6,0)),"")</f>
        <v/>
      </c>
      <c r="O3612" s="55" t="str">
        <f>IFERROR(IF(OR($B3612="",$B3612="(blank)"),"",VLOOKUP($B3612,'Email Marketing Raw Data'!$C:$O,7,0)),"")</f>
        <v/>
      </c>
      <c r="P3612" s="55" t="str">
        <f>IFERROR(IF(OR($B3612="",$B3612="(blank)"),"",VLOOKUP($B3612,'Email Marketing Raw Data'!$C:$O,8,0)),"")</f>
        <v/>
      </c>
      <c r="Q3612" s="62" t="str">
        <f>IFERROR(IF(OR($B3612="",$B3612="(blank)"),"",VLOOKUP($B3612,'Email Marketing Raw Data'!$C:$O,9,0)),"")</f>
        <v/>
      </c>
    </row>
    <row r="3613" spans="4:17" ht="12.75" customHeight="1" x14ac:dyDescent="0.2">
      <c r="D3613" s="58" t="str">
        <f>IFERROR(IF(F3613&lt;&gt;"pending","",IF(OR($B3613="",$B3613="(blank)"),"",VLOOKUP($B3613,'Email Marketing Raw Data'!$C:$O,10,0))),"")</f>
        <v/>
      </c>
      <c r="E3613" s="59" t="str">
        <f>IFERROR(IF(F3613&lt;&gt;"pending","",IF(OR($B3613="",$B3613="(blank)"),"",VLOOKUP($B3613,'Email Marketing Raw Data'!$C:$O,11,0))),"")</f>
        <v/>
      </c>
      <c r="F3613" s="54" t="str">
        <f>IFERROR(IF(OR($B3613="",$B3613="(blank)"),"",VLOOKUP($B3613,'Email Marketing Raw Data'!$C:$O,13,0)),"")</f>
        <v/>
      </c>
      <c r="G3613" s="55" t="str">
        <f>IFERROR(IF(OR($B3613="",$B3613="(blank)"),"",VLOOKUP($B3613,'Email Marketing Raw Data'!$C:$O,4,0)),"")</f>
        <v/>
      </c>
      <c r="H3613" s="55" t="str">
        <f>IFERROR(IF(OR($B3613="",$B3613="(blank)"),"",VLOOKUP($B3613,'Email Marketing Raw Data'!$C:$O,5,0)),"")</f>
        <v/>
      </c>
      <c r="I3613" s="55" t="str">
        <f>IFERROR(IF($G3613="","",VLOOKUP('Dashboard And Emails Automate'!$G3613,Database!$H:$N,3,0)),"")</f>
        <v/>
      </c>
      <c r="J3613" s="55" t="str">
        <f>IFERROR(IF($G3613="","",VLOOKUP('Dashboard And Emails Automate'!$G3613,Database!$H:$N,4,0)),"")</f>
        <v/>
      </c>
      <c r="K3613" s="55" t="str">
        <f>IFERROR(IF($G3613="","",VLOOKUP('Dashboard And Emails Automate'!$G3613,Database!$H:$N,5,0)),"")</f>
        <v/>
      </c>
      <c r="L3613" s="55" t="str">
        <f>IFERROR(IF($G3613="","",VLOOKUP('Dashboard And Emails Automate'!$G3613,Database!$H:$N,6,0)),"")</f>
        <v/>
      </c>
      <c r="M3613" s="55" t="str">
        <f>IFERROR(IF($G3613="","",VLOOKUP('Dashboard And Emails Automate'!$G3613,Database!$H:$N,7,0)),"")</f>
        <v/>
      </c>
      <c r="N3613" s="55" t="str">
        <f>IFERROR(IF(OR($B3613="",$B3613="(blank)"),"",VLOOKUP($B3613,'Email Marketing Raw Data'!$C:$O,6,0)),"")</f>
        <v/>
      </c>
      <c r="O3613" s="55" t="str">
        <f>IFERROR(IF(OR($B3613="",$B3613="(blank)"),"",VLOOKUP($B3613,'Email Marketing Raw Data'!$C:$O,7,0)),"")</f>
        <v/>
      </c>
      <c r="P3613" s="55" t="str">
        <f>IFERROR(IF(OR($B3613="",$B3613="(blank)"),"",VLOOKUP($B3613,'Email Marketing Raw Data'!$C:$O,8,0)),"")</f>
        <v/>
      </c>
      <c r="Q3613" s="62" t="str">
        <f>IFERROR(IF(OR($B3613="",$B3613="(blank)"),"",VLOOKUP($B3613,'Email Marketing Raw Data'!$C:$O,9,0)),"")</f>
        <v/>
      </c>
    </row>
    <row r="3614" spans="4:17" ht="12.75" customHeight="1" x14ac:dyDescent="0.2">
      <c r="D3614" s="58" t="str">
        <f>IFERROR(IF(F3614&lt;&gt;"pending","",IF(OR($B3614="",$B3614="(blank)"),"",VLOOKUP($B3614,'Email Marketing Raw Data'!$C:$O,10,0))),"")</f>
        <v/>
      </c>
      <c r="E3614" s="59" t="str">
        <f>IFERROR(IF(F3614&lt;&gt;"pending","",IF(OR($B3614="",$B3614="(blank)"),"",VLOOKUP($B3614,'Email Marketing Raw Data'!$C:$O,11,0))),"")</f>
        <v/>
      </c>
      <c r="F3614" s="54" t="str">
        <f>IFERROR(IF(OR($B3614="",$B3614="(blank)"),"",VLOOKUP($B3614,'Email Marketing Raw Data'!$C:$O,13,0)),"")</f>
        <v/>
      </c>
      <c r="G3614" s="55" t="str">
        <f>IFERROR(IF(OR($B3614="",$B3614="(blank)"),"",VLOOKUP($B3614,'Email Marketing Raw Data'!$C:$O,4,0)),"")</f>
        <v/>
      </c>
      <c r="H3614" s="55" t="str">
        <f>IFERROR(IF(OR($B3614="",$B3614="(blank)"),"",VLOOKUP($B3614,'Email Marketing Raw Data'!$C:$O,5,0)),"")</f>
        <v/>
      </c>
      <c r="I3614" s="55" t="str">
        <f>IFERROR(IF($G3614="","",VLOOKUP('Dashboard And Emails Automate'!$G3614,Database!$H:$N,3,0)),"")</f>
        <v/>
      </c>
      <c r="J3614" s="55" t="str">
        <f>IFERROR(IF($G3614="","",VLOOKUP('Dashboard And Emails Automate'!$G3614,Database!$H:$N,4,0)),"")</f>
        <v/>
      </c>
      <c r="K3614" s="55" t="str">
        <f>IFERROR(IF($G3614="","",VLOOKUP('Dashboard And Emails Automate'!$G3614,Database!$H:$N,5,0)),"")</f>
        <v/>
      </c>
      <c r="L3614" s="55" t="str">
        <f>IFERROR(IF($G3614="","",VLOOKUP('Dashboard And Emails Automate'!$G3614,Database!$H:$N,6,0)),"")</f>
        <v/>
      </c>
      <c r="M3614" s="55" t="str">
        <f>IFERROR(IF($G3614="","",VLOOKUP('Dashboard And Emails Automate'!$G3614,Database!$H:$N,7,0)),"")</f>
        <v/>
      </c>
      <c r="N3614" s="55" t="str">
        <f>IFERROR(IF(OR($B3614="",$B3614="(blank)"),"",VLOOKUP($B3614,'Email Marketing Raw Data'!$C:$O,6,0)),"")</f>
        <v/>
      </c>
      <c r="O3614" s="55" t="str">
        <f>IFERROR(IF(OR($B3614="",$B3614="(blank)"),"",VLOOKUP($B3614,'Email Marketing Raw Data'!$C:$O,7,0)),"")</f>
        <v/>
      </c>
      <c r="P3614" s="55" t="str">
        <f>IFERROR(IF(OR($B3614="",$B3614="(blank)"),"",VLOOKUP($B3614,'Email Marketing Raw Data'!$C:$O,8,0)),"")</f>
        <v/>
      </c>
      <c r="Q3614" s="62" t="str">
        <f>IFERROR(IF(OR($B3614="",$B3614="(blank)"),"",VLOOKUP($B3614,'Email Marketing Raw Data'!$C:$O,9,0)),"")</f>
        <v/>
      </c>
    </row>
    <row r="3615" spans="4:17" ht="12.75" customHeight="1" x14ac:dyDescent="0.2">
      <c r="D3615" s="58" t="str">
        <f>IFERROR(IF(F3615&lt;&gt;"pending","",IF(OR($B3615="",$B3615="(blank)"),"",VLOOKUP($B3615,'Email Marketing Raw Data'!$C:$O,10,0))),"")</f>
        <v/>
      </c>
      <c r="E3615" s="59" t="str">
        <f>IFERROR(IF(F3615&lt;&gt;"pending","",IF(OR($B3615="",$B3615="(blank)"),"",VLOOKUP($B3615,'Email Marketing Raw Data'!$C:$O,11,0))),"")</f>
        <v/>
      </c>
      <c r="F3615" s="54" t="str">
        <f>IFERROR(IF(OR($B3615="",$B3615="(blank)"),"",VLOOKUP($B3615,'Email Marketing Raw Data'!$C:$O,13,0)),"")</f>
        <v/>
      </c>
      <c r="G3615" s="55" t="str">
        <f>IFERROR(IF(OR($B3615="",$B3615="(blank)"),"",VLOOKUP($B3615,'Email Marketing Raw Data'!$C:$O,4,0)),"")</f>
        <v/>
      </c>
      <c r="H3615" s="55" t="str">
        <f>IFERROR(IF(OR($B3615="",$B3615="(blank)"),"",VLOOKUP($B3615,'Email Marketing Raw Data'!$C:$O,5,0)),"")</f>
        <v/>
      </c>
      <c r="I3615" s="55" t="str">
        <f>IFERROR(IF($G3615="","",VLOOKUP('Dashboard And Emails Automate'!$G3615,Database!$H:$N,3,0)),"")</f>
        <v/>
      </c>
      <c r="J3615" s="55" t="str">
        <f>IFERROR(IF($G3615="","",VLOOKUP('Dashboard And Emails Automate'!$G3615,Database!$H:$N,4,0)),"")</f>
        <v/>
      </c>
      <c r="K3615" s="55" t="str">
        <f>IFERROR(IF($G3615="","",VLOOKUP('Dashboard And Emails Automate'!$G3615,Database!$H:$N,5,0)),"")</f>
        <v/>
      </c>
      <c r="L3615" s="55" t="str">
        <f>IFERROR(IF($G3615="","",VLOOKUP('Dashboard And Emails Automate'!$G3615,Database!$H:$N,6,0)),"")</f>
        <v/>
      </c>
      <c r="M3615" s="55" t="str">
        <f>IFERROR(IF($G3615="","",VLOOKUP('Dashboard And Emails Automate'!$G3615,Database!$H:$N,7,0)),"")</f>
        <v/>
      </c>
      <c r="N3615" s="55" t="str">
        <f>IFERROR(IF(OR($B3615="",$B3615="(blank)"),"",VLOOKUP($B3615,'Email Marketing Raw Data'!$C:$O,6,0)),"")</f>
        <v/>
      </c>
      <c r="O3615" s="55" t="str">
        <f>IFERROR(IF(OR($B3615="",$B3615="(blank)"),"",VLOOKUP($B3615,'Email Marketing Raw Data'!$C:$O,7,0)),"")</f>
        <v/>
      </c>
      <c r="P3615" s="55" t="str">
        <f>IFERROR(IF(OR($B3615="",$B3615="(blank)"),"",VLOOKUP($B3615,'Email Marketing Raw Data'!$C:$O,8,0)),"")</f>
        <v/>
      </c>
      <c r="Q3615" s="62" t="str">
        <f>IFERROR(IF(OR($B3615="",$B3615="(blank)"),"",VLOOKUP($B3615,'Email Marketing Raw Data'!$C:$O,9,0)),"")</f>
        <v/>
      </c>
    </row>
    <row r="3616" spans="4:17" ht="12.75" customHeight="1" x14ac:dyDescent="0.2">
      <c r="D3616" s="58" t="str">
        <f>IFERROR(IF(F3616&lt;&gt;"pending","",IF(OR($B3616="",$B3616="(blank)"),"",VLOOKUP($B3616,'Email Marketing Raw Data'!$C:$O,10,0))),"")</f>
        <v/>
      </c>
      <c r="E3616" s="59" t="str">
        <f>IFERROR(IF(F3616&lt;&gt;"pending","",IF(OR($B3616="",$B3616="(blank)"),"",VLOOKUP($B3616,'Email Marketing Raw Data'!$C:$O,11,0))),"")</f>
        <v/>
      </c>
      <c r="F3616" s="54" t="str">
        <f>IFERROR(IF(OR($B3616="",$B3616="(blank)"),"",VLOOKUP($B3616,'Email Marketing Raw Data'!$C:$O,13,0)),"")</f>
        <v/>
      </c>
      <c r="G3616" s="55" t="str">
        <f>IFERROR(IF(OR($B3616="",$B3616="(blank)"),"",VLOOKUP($B3616,'Email Marketing Raw Data'!$C:$O,4,0)),"")</f>
        <v/>
      </c>
      <c r="H3616" s="55" t="str">
        <f>IFERROR(IF(OR($B3616="",$B3616="(blank)"),"",VLOOKUP($B3616,'Email Marketing Raw Data'!$C:$O,5,0)),"")</f>
        <v/>
      </c>
      <c r="I3616" s="55" t="str">
        <f>IFERROR(IF($G3616="","",VLOOKUP('Dashboard And Emails Automate'!$G3616,Database!$H:$N,3,0)),"")</f>
        <v/>
      </c>
      <c r="J3616" s="55" t="str">
        <f>IFERROR(IF($G3616="","",VLOOKUP('Dashboard And Emails Automate'!$G3616,Database!$H:$N,4,0)),"")</f>
        <v/>
      </c>
      <c r="K3616" s="55" t="str">
        <f>IFERROR(IF($G3616="","",VLOOKUP('Dashboard And Emails Automate'!$G3616,Database!$H:$N,5,0)),"")</f>
        <v/>
      </c>
      <c r="L3616" s="55" t="str">
        <f>IFERROR(IF($G3616="","",VLOOKUP('Dashboard And Emails Automate'!$G3616,Database!$H:$N,6,0)),"")</f>
        <v/>
      </c>
      <c r="M3616" s="55" t="str">
        <f>IFERROR(IF($G3616="","",VLOOKUP('Dashboard And Emails Automate'!$G3616,Database!$H:$N,7,0)),"")</f>
        <v/>
      </c>
      <c r="N3616" s="55" t="str">
        <f>IFERROR(IF(OR($B3616="",$B3616="(blank)"),"",VLOOKUP($B3616,'Email Marketing Raw Data'!$C:$O,6,0)),"")</f>
        <v/>
      </c>
      <c r="O3616" s="55" t="str">
        <f>IFERROR(IF(OR($B3616="",$B3616="(blank)"),"",VLOOKUP($B3616,'Email Marketing Raw Data'!$C:$O,7,0)),"")</f>
        <v/>
      </c>
      <c r="P3616" s="55" t="str">
        <f>IFERROR(IF(OR($B3616="",$B3616="(blank)"),"",VLOOKUP($B3616,'Email Marketing Raw Data'!$C:$O,8,0)),"")</f>
        <v/>
      </c>
      <c r="Q3616" s="62" t="str">
        <f>IFERROR(IF(OR($B3616="",$B3616="(blank)"),"",VLOOKUP($B3616,'Email Marketing Raw Data'!$C:$O,9,0)),"")</f>
        <v/>
      </c>
    </row>
    <row r="3617" spans="4:17" ht="12.75" customHeight="1" x14ac:dyDescent="0.2">
      <c r="D3617" s="58" t="str">
        <f>IFERROR(IF(F3617&lt;&gt;"pending","",IF(OR($B3617="",$B3617="(blank)"),"",VLOOKUP($B3617,'Email Marketing Raw Data'!$C:$O,10,0))),"")</f>
        <v/>
      </c>
      <c r="E3617" s="59" t="str">
        <f>IFERROR(IF(F3617&lt;&gt;"pending","",IF(OR($B3617="",$B3617="(blank)"),"",VLOOKUP($B3617,'Email Marketing Raw Data'!$C:$O,11,0))),"")</f>
        <v/>
      </c>
      <c r="F3617" s="54" t="str">
        <f>IFERROR(IF(OR($B3617="",$B3617="(blank)"),"",VLOOKUP($B3617,'Email Marketing Raw Data'!$C:$O,13,0)),"")</f>
        <v/>
      </c>
      <c r="G3617" s="55" t="str">
        <f>IFERROR(IF(OR($B3617="",$B3617="(blank)"),"",VLOOKUP($B3617,'Email Marketing Raw Data'!$C:$O,4,0)),"")</f>
        <v/>
      </c>
      <c r="H3617" s="55" t="str">
        <f>IFERROR(IF(OR($B3617="",$B3617="(blank)"),"",VLOOKUP($B3617,'Email Marketing Raw Data'!$C:$O,5,0)),"")</f>
        <v/>
      </c>
      <c r="I3617" s="55" t="str">
        <f>IFERROR(IF($G3617="","",VLOOKUP('Dashboard And Emails Automate'!$G3617,Database!$H:$N,3,0)),"")</f>
        <v/>
      </c>
      <c r="J3617" s="55" t="str">
        <f>IFERROR(IF($G3617="","",VLOOKUP('Dashboard And Emails Automate'!$G3617,Database!$H:$N,4,0)),"")</f>
        <v/>
      </c>
      <c r="K3617" s="55" t="str">
        <f>IFERROR(IF($G3617="","",VLOOKUP('Dashboard And Emails Automate'!$G3617,Database!$H:$N,5,0)),"")</f>
        <v/>
      </c>
      <c r="L3617" s="55" t="str">
        <f>IFERROR(IF($G3617="","",VLOOKUP('Dashboard And Emails Automate'!$G3617,Database!$H:$N,6,0)),"")</f>
        <v/>
      </c>
      <c r="M3617" s="55" t="str">
        <f>IFERROR(IF($G3617="","",VLOOKUP('Dashboard And Emails Automate'!$G3617,Database!$H:$N,7,0)),"")</f>
        <v/>
      </c>
      <c r="N3617" s="55" t="str">
        <f>IFERROR(IF(OR($B3617="",$B3617="(blank)"),"",VLOOKUP($B3617,'Email Marketing Raw Data'!$C:$O,6,0)),"")</f>
        <v/>
      </c>
      <c r="O3617" s="55" t="str">
        <f>IFERROR(IF(OR($B3617="",$B3617="(blank)"),"",VLOOKUP($B3617,'Email Marketing Raw Data'!$C:$O,7,0)),"")</f>
        <v/>
      </c>
      <c r="P3617" s="55" t="str">
        <f>IFERROR(IF(OR($B3617="",$B3617="(blank)"),"",VLOOKUP($B3617,'Email Marketing Raw Data'!$C:$O,8,0)),"")</f>
        <v/>
      </c>
      <c r="Q3617" s="62" t="str">
        <f>IFERROR(IF(OR($B3617="",$B3617="(blank)"),"",VLOOKUP($B3617,'Email Marketing Raw Data'!$C:$O,9,0)),"")</f>
        <v/>
      </c>
    </row>
    <row r="3618" spans="4:17" ht="12.75" customHeight="1" x14ac:dyDescent="0.2">
      <c r="D3618" s="58" t="str">
        <f>IFERROR(IF(F3618&lt;&gt;"pending","",IF(OR($B3618="",$B3618="(blank)"),"",VLOOKUP($B3618,'Email Marketing Raw Data'!$C:$O,10,0))),"")</f>
        <v/>
      </c>
      <c r="E3618" s="59" t="str">
        <f>IFERROR(IF(F3618&lt;&gt;"pending","",IF(OR($B3618="",$B3618="(blank)"),"",VLOOKUP($B3618,'Email Marketing Raw Data'!$C:$O,11,0))),"")</f>
        <v/>
      </c>
      <c r="F3618" s="54" t="str">
        <f>IFERROR(IF(OR($B3618="",$B3618="(blank)"),"",VLOOKUP($B3618,'Email Marketing Raw Data'!$C:$O,13,0)),"")</f>
        <v/>
      </c>
      <c r="G3618" s="55" t="str">
        <f>IFERROR(IF(OR($B3618="",$B3618="(blank)"),"",VLOOKUP($B3618,'Email Marketing Raw Data'!$C:$O,4,0)),"")</f>
        <v/>
      </c>
      <c r="H3618" s="55" t="str">
        <f>IFERROR(IF(OR($B3618="",$B3618="(blank)"),"",VLOOKUP($B3618,'Email Marketing Raw Data'!$C:$O,5,0)),"")</f>
        <v/>
      </c>
      <c r="I3618" s="55" t="str">
        <f>IFERROR(IF($G3618="","",VLOOKUP('Dashboard And Emails Automate'!$G3618,Database!$H:$N,3,0)),"")</f>
        <v/>
      </c>
      <c r="J3618" s="55" t="str">
        <f>IFERROR(IF($G3618="","",VLOOKUP('Dashboard And Emails Automate'!$G3618,Database!$H:$N,4,0)),"")</f>
        <v/>
      </c>
      <c r="K3618" s="55" t="str">
        <f>IFERROR(IF($G3618="","",VLOOKUP('Dashboard And Emails Automate'!$G3618,Database!$H:$N,5,0)),"")</f>
        <v/>
      </c>
      <c r="L3618" s="55" t="str">
        <f>IFERROR(IF($G3618="","",VLOOKUP('Dashboard And Emails Automate'!$G3618,Database!$H:$N,6,0)),"")</f>
        <v/>
      </c>
      <c r="M3618" s="55" t="str">
        <f>IFERROR(IF($G3618="","",VLOOKUP('Dashboard And Emails Automate'!$G3618,Database!$H:$N,7,0)),"")</f>
        <v/>
      </c>
      <c r="N3618" s="55" t="str">
        <f>IFERROR(IF(OR($B3618="",$B3618="(blank)"),"",VLOOKUP($B3618,'Email Marketing Raw Data'!$C:$O,6,0)),"")</f>
        <v/>
      </c>
      <c r="O3618" s="55" t="str">
        <f>IFERROR(IF(OR($B3618="",$B3618="(blank)"),"",VLOOKUP($B3618,'Email Marketing Raw Data'!$C:$O,7,0)),"")</f>
        <v/>
      </c>
      <c r="P3618" s="55" t="str">
        <f>IFERROR(IF(OR($B3618="",$B3618="(blank)"),"",VLOOKUP($B3618,'Email Marketing Raw Data'!$C:$O,8,0)),"")</f>
        <v/>
      </c>
      <c r="Q3618" s="62" t="str">
        <f>IFERROR(IF(OR($B3618="",$B3618="(blank)"),"",VLOOKUP($B3618,'Email Marketing Raw Data'!$C:$O,9,0)),"")</f>
        <v/>
      </c>
    </row>
    <row r="3619" spans="4:17" ht="12.75" customHeight="1" x14ac:dyDescent="0.2">
      <c r="D3619" s="58" t="str">
        <f>IFERROR(IF(F3619&lt;&gt;"pending","",IF(OR($B3619="",$B3619="(blank)"),"",VLOOKUP($B3619,'Email Marketing Raw Data'!$C:$O,10,0))),"")</f>
        <v/>
      </c>
      <c r="E3619" s="59" t="str">
        <f>IFERROR(IF(F3619&lt;&gt;"pending","",IF(OR($B3619="",$B3619="(blank)"),"",VLOOKUP($B3619,'Email Marketing Raw Data'!$C:$O,11,0))),"")</f>
        <v/>
      </c>
      <c r="F3619" s="54" t="str">
        <f>IFERROR(IF(OR($B3619="",$B3619="(blank)"),"",VLOOKUP($B3619,'Email Marketing Raw Data'!$C:$O,13,0)),"")</f>
        <v/>
      </c>
      <c r="G3619" s="55" t="str">
        <f>IFERROR(IF(OR($B3619="",$B3619="(blank)"),"",VLOOKUP($B3619,'Email Marketing Raw Data'!$C:$O,4,0)),"")</f>
        <v/>
      </c>
      <c r="H3619" s="55" t="str">
        <f>IFERROR(IF(OR($B3619="",$B3619="(blank)"),"",VLOOKUP($B3619,'Email Marketing Raw Data'!$C:$O,5,0)),"")</f>
        <v/>
      </c>
      <c r="I3619" s="55" t="str">
        <f>IFERROR(IF($G3619="","",VLOOKUP('Dashboard And Emails Automate'!$G3619,Database!$H:$N,3,0)),"")</f>
        <v/>
      </c>
      <c r="J3619" s="55" t="str">
        <f>IFERROR(IF($G3619="","",VLOOKUP('Dashboard And Emails Automate'!$G3619,Database!$H:$N,4,0)),"")</f>
        <v/>
      </c>
      <c r="K3619" s="55" t="str">
        <f>IFERROR(IF($G3619="","",VLOOKUP('Dashboard And Emails Automate'!$G3619,Database!$H:$N,5,0)),"")</f>
        <v/>
      </c>
      <c r="L3619" s="55" t="str">
        <f>IFERROR(IF($G3619="","",VLOOKUP('Dashboard And Emails Automate'!$G3619,Database!$H:$N,6,0)),"")</f>
        <v/>
      </c>
      <c r="M3619" s="55" t="str">
        <f>IFERROR(IF($G3619="","",VLOOKUP('Dashboard And Emails Automate'!$G3619,Database!$H:$N,7,0)),"")</f>
        <v/>
      </c>
      <c r="N3619" s="55" t="str">
        <f>IFERROR(IF(OR($B3619="",$B3619="(blank)"),"",VLOOKUP($B3619,'Email Marketing Raw Data'!$C:$O,6,0)),"")</f>
        <v/>
      </c>
      <c r="O3619" s="55" t="str">
        <f>IFERROR(IF(OR($B3619="",$B3619="(blank)"),"",VLOOKUP($B3619,'Email Marketing Raw Data'!$C:$O,7,0)),"")</f>
        <v/>
      </c>
      <c r="P3619" s="55" t="str">
        <f>IFERROR(IF(OR($B3619="",$B3619="(blank)"),"",VLOOKUP($B3619,'Email Marketing Raw Data'!$C:$O,8,0)),"")</f>
        <v/>
      </c>
      <c r="Q3619" s="62" t="str">
        <f>IFERROR(IF(OR($B3619="",$B3619="(blank)"),"",VLOOKUP($B3619,'Email Marketing Raw Data'!$C:$O,9,0)),"")</f>
        <v/>
      </c>
    </row>
    <row r="3620" spans="4:17" ht="12.75" customHeight="1" x14ac:dyDescent="0.2">
      <c r="D3620" s="58" t="str">
        <f>IFERROR(IF(F3620&lt;&gt;"pending","",IF(OR($B3620="",$B3620="(blank)"),"",VLOOKUP($B3620,'Email Marketing Raw Data'!$C:$O,10,0))),"")</f>
        <v/>
      </c>
      <c r="E3620" s="59" t="str">
        <f>IFERROR(IF(F3620&lt;&gt;"pending","",IF(OR($B3620="",$B3620="(blank)"),"",VLOOKUP($B3620,'Email Marketing Raw Data'!$C:$O,11,0))),"")</f>
        <v/>
      </c>
      <c r="F3620" s="54" t="str">
        <f>IFERROR(IF(OR($B3620="",$B3620="(blank)"),"",VLOOKUP($B3620,'Email Marketing Raw Data'!$C:$O,13,0)),"")</f>
        <v/>
      </c>
      <c r="G3620" s="55" t="str">
        <f>IFERROR(IF(OR($B3620="",$B3620="(blank)"),"",VLOOKUP($B3620,'Email Marketing Raw Data'!$C:$O,4,0)),"")</f>
        <v/>
      </c>
      <c r="H3620" s="55" t="str">
        <f>IFERROR(IF(OR($B3620="",$B3620="(blank)"),"",VLOOKUP($B3620,'Email Marketing Raw Data'!$C:$O,5,0)),"")</f>
        <v/>
      </c>
      <c r="I3620" s="55" t="str">
        <f>IFERROR(IF($G3620="","",VLOOKUP('Dashboard And Emails Automate'!$G3620,Database!$H:$N,3,0)),"")</f>
        <v/>
      </c>
      <c r="J3620" s="55" t="str">
        <f>IFERROR(IF($G3620="","",VLOOKUP('Dashboard And Emails Automate'!$G3620,Database!$H:$N,4,0)),"")</f>
        <v/>
      </c>
      <c r="K3620" s="55" t="str">
        <f>IFERROR(IF($G3620="","",VLOOKUP('Dashboard And Emails Automate'!$G3620,Database!$H:$N,5,0)),"")</f>
        <v/>
      </c>
      <c r="L3620" s="55" t="str">
        <f>IFERROR(IF($G3620="","",VLOOKUP('Dashboard And Emails Automate'!$G3620,Database!$H:$N,6,0)),"")</f>
        <v/>
      </c>
      <c r="M3620" s="55" t="str">
        <f>IFERROR(IF($G3620="","",VLOOKUP('Dashboard And Emails Automate'!$G3620,Database!$H:$N,7,0)),"")</f>
        <v/>
      </c>
      <c r="N3620" s="55" t="str">
        <f>IFERROR(IF(OR($B3620="",$B3620="(blank)"),"",VLOOKUP($B3620,'Email Marketing Raw Data'!$C:$O,6,0)),"")</f>
        <v/>
      </c>
      <c r="O3620" s="55" t="str">
        <f>IFERROR(IF(OR($B3620="",$B3620="(blank)"),"",VLOOKUP($B3620,'Email Marketing Raw Data'!$C:$O,7,0)),"")</f>
        <v/>
      </c>
      <c r="P3620" s="55" t="str">
        <f>IFERROR(IF(OR($B3620="",$B3620="(blank)"),"",VLOOKUP($B3620,'Email Marketing Raw Data'!$C:$O,8,0)),"")</f>
        <v/>
      </c>
      <c r="Q3620" s="62" t="str">
        <f>IFERROR(IF(OR($B3620="",$B3620="(blank)"),"",VLOOKUP($B3620,'Email Marketing Raw Data'!$C:$O,9,0)),"")</f>
        <v/>
      </c>
    </row>
    <row r="3621" spans="4:17" ht="12.75" customHeight="1" x14ac:dyDescent="0.2">
      <c r="D3621" s="58" t="str">
        <f>IFERROR(IF(F3621&lt;&gt;"pending","",IF(OR($B3621="",$B3621="(blank)"),"",VLOOKUP($B3621,'Email Marketing Raw Data'!$C:$O,10,0))),"")</f>
        <v/>
      </c>
      <c r="E3621" s="59" t="str">
        <f>IFERROR(IF(F3621&lt;&gt;"pending","",IF(OR($B3621="",$B3621="(blank)"),"",VLOOKUP($B3621,'Email Marketing Raw Data'!$C:$O,11,0))),"")</f>
        <v/>
      </c>
      <c r="F3621" s="54" t="str">
        <f>IFERROR(IF(OR($B3621="",$B3621="(blank)"),"",VLOOKUP($B3621,'Email Marketing Raw Data'!$C:$O,13,0)),"")</f>
        <v/>
      </c>
      <c r="G3621" s="55" t="str">
        <f>IFERROR(IF(OR($B3621="",$B3621="(blank)"),"",VLOOKUP($B3621,'Email Marketing Raw Data'!$C:$O,4,0)),"")</f>
        <v/>
      </c>
      <c r="H3621" s="55" t="str">
        <f>IFERROR(IF(OR($B3621="",$B3621="(blank)"),"",VLOOKUP($B3621,'Email Marketing Raw Data'!$C:$O,5,0)),"")</f>
        <v/>
      </c>
      <c r="I3621" s="55" t="str">
        <f>IFERROR(IF($G3621="","",VLOOKUP('Dashboard And Emails Automate'!$G3621,Database!$H:$N,3,0)),"")</f>
        <v/>
      </c>
      <c r="J3621" s="55" t="str">
        <f>IFERROR(IF($G3621="","",VLOOKUP('Dashboard And Emails Automate'!$G3621,Database!$H:$N,4,0)),"")</f>
        <v/>
      </c>
      <c r="K3621" s="55" t="str">
        <f>IFERROR(IF($G3621="","",VLOOKUP('Dashboard And Emails Automate'!$G3621,Database!$H:$N,5,0)),"")</f>
        <v/>
      </c>
      <c r="L3621" s="55" t="str">
        <f>IFERROR(IF($G3621="","",VLOOKUP('Dashboard And Emails Automate'!$G3621,Database!$H:$N,6,0)),"")</f>
        <v/>
      </c>
      <c r="M3621" s="55" t="str">
        <f>IFERROR(IF($G3621="","",VLOOKUP('Dashboard And Emails Automate'!$G3621,Database!$H:$N,7,0)),"")</f>
        <v/>
      </c>
      <c r="N3621" s="55" t="str">
        <f>IFERROR(IF(OR($B3621="",$B3621="(blank)"),"",VLOOKUP($B3621,'Email Marketing Raw Data'!$C:$O,6,0)),"")</f>
        <v/>
      </c>
      <c r="O3621" s="55" t="str">
        <f>IFERROR(IF(OR($B3621="",$B3621="(blank)"),"",VLOOKUP($B3621,'Email Marketing Raw Data'!$C:$O,7,0)),"")</f>
        <v/>
      </c>
      <c r="P3621" s="55" t="str">
        <f>IFERROR(IF(OR($B3621="",$B3621="(blank)"),"",VLOOKUP($B3621,'Email Marketing Raw Data'!$C:$O,8,0)),"")</f>
        <v/>
      </c>
      <c r="Q3621" s="62" t="str">
        <f>IFERROR(IF(OR($B3621="",$B3621="(blank)"),"",VLOOKUP($B3621,'Email Marketing Raw Data'!$C:$O,9,0)),"")</f>
        <v/>
      </c>
    </row>
    <row r="3622" spans="4:17" ht="12.75" customHeight="1" x14ac:dyDescent="0.2">
      <c r="D3622" s="58" t="str">
        <f>IFERROR(IF(F3622&lt;&gt;"pending","",IF(OR($B3622="",$B3622="(blank)"),"",VLOOKUP($B3622,'Email Marketing Raw Data'!$C:$O,10,0))),"")</f>
        <v/>
      </c>
      <c r="E3622" s="59" t="str">
        <f>IFERROR(IF(F3622&lt;&gt;"pending","",IF(OR($B3622="",$B3622="(blank)"),"",VLOOKUP($B3622,'Email Marketing Raw Data'!$C:$O,11,0))),"")</f>
        <v/>
      </c>
      <c r="F3622" s="54" t="str">
        <f>IFERROR(IF(OR($B3622="",$B3622="(blank)"),"",VLOOKUP($B3622,'Email Marketing Raw Data'!$C:$O,13,0)),"")</f>
        <v/>
      </c>
      <c r="G3622" s="55" t="str">
        <f>IFERROR(IF(OR($B3622="",$B3622="(blank)"),"",VLOOKUP($B3622,'Email Marketing Raw Data'!$C:$O,4,0)),"")</f>
        <v/>
      </c>
      <c r="H3622" s="55" t="str">
        <f>IFERROR(IF(OR($B3622="",$B3622="(blank)"),"",VLOOKUP($B3622,'Email Marketing Raw Data'!$C:$O,5,0)),"")</f>
        <v/>
      </c>
      <c r="I3622" s="55" t="str">
        <f>IFERROR(IF($G3622="","",VLOOKUP('Dashboard And Emails Automate'!$G3622,Database!$H:$N,3,0)),"")</f>
        <v/>
      </c>
      <c r="J3622" s="55" t="str">
        <f>IFERROR(IF($G3622="","",VLOOKUP('Dashboard And Emails Automate'!$G3622,Database!$H:$N,4,0)),"")</f>
        <v/>
      </c>
      <c r="K3622" s="55" t="str">
        <f>IFERROR(IF($G3622="","",VLOOKUP('Dashboard And Emails Automate'!$G3622,Database!$H:$N,5,0)),"")</f>
        <v/>
      </c>
      <c r="L3622" s="55" t="str">
        <f>IFERROR(IF($G3622="","",VLOOKUP('Dashboard And Emails Automate'!$G3622,Database!$H:$N,6,0)),"")</f>
        <v/>
      </c>
      <c r="M3622" s="55" t="str">
        <f>IFERROR(IF($G3622="","",VLOOKUP('Dashboard And Emails Automate'!$G3622,Database!$H:$N,7,0)),"")</f>
        <v/>
      </c>
      <c r="N3622" s="55" t="str">
        <f>IFERROR(IF(OR($B3622="",$B3622="(blank)"),"",VLOOKUP($B3622,'Email Marketing Raw Data'!$C:$O,6,0)),"")</f>
        <v/>
      </c>
      <c r="O3622" s="55" t="str">
        <f>IFERROR(IF(OR($B3622="",$B3622="(blank)"),"",VLOOKUP($B3622,'Email Marketing Raw Data'!$C:$O,7,0)),"")</f>
        <v/>
      </c>
      <c r="P3622" s="55" t="str">
        <f>IFERROR(IF(OR($B3622="",$B3622="(blank)"),"",VLOOKUP($B3622,'Email Marketing Raw Data'!$C:$O,8,0)),"")</f>
        <v/>
      </c>
      <c r="Q3622" s="62" t="str">
        <f>IFERROR(IF(OR($B3622="",$B3622="(blank)"),"",VLOOKUP($B3622,'Email Marketing Raw Data'!$C:$O,9,0)),"")</f>
        <v/>
      </c>
    </row>
    <row r="3623" spans="4:17" ht="12.75" customHeight="1" x14ac:dyDescent="0.2">
      <c r="D3623" s="58" t="str">
        <f>IFERROR(IF(F3623&lt;&gt;"pending","",IF(OR($B3623="",$B3623="(blank)"),"",VLOOKUP($B3623,'Email Marketing Raw Data'!$C:$O,10,0))),"")</f>
        <v/>
      </c>
      <c r="E3623" s="59" t="str">
        <f>IFERROR(IF(F3623&lt;&gt;"pending","",IF(OR($B3623="",$B3623="(blank)"),"",VLOOKUP($B3623,'Email Marketing Raw Data'!$C:$O,11,0))),"")</f>
        <v/>
      </c>
      <c r="F3623" s="54" t="str">
        <f>IFERROR(IF(OR($B3623="",$B3623="(blank)"),"",VLOOKUP($B3623,'Email Marketing Raw Data'!$C:$O,13,0)),"")</f>
        <v/>
      </c>
      <c r="G3623" s="55" t="str">
        <f>IFERROR(IF(OR($B3623="",$B3623="(blank)"),"",VLOOKUP($B3623,'Email Marketing Raw Data'!$C:$O,4,0)),"")</f>
        <v/>
      </c>
      <c r="H3623" s="55" t="str">
        <f>IFERROR(IF(OR($B3623="",$B3623="(blank)"),"",VLOOKUP($B3623,'Email Marketing Raw Data'!$C:$O,5,0)),"")</f>
        <v/>
      </c>
      <c r="I3623" s="55" t="str">
        <f>IFERROR(IF($G3623="","",VLOOKUP('Dashboard And Emails Automate'!$G3623,Database!$H:$N,3,0)),"")</f>
        <v/>
      </c>
      <c r="J3623" s="55" t="str">
        <f>IFERROR(IF($G3623="","",VLOOKUP('Dashboard And Emails Automate'!$G3623,Database!$H:$N,4,0)),"")</f>
        <v/>
      </c>
      <c r="K3623" s="55" t="str">
        <f>IFERROR(IF($G3623="","",VLOOKUP('Dashboard And Emails Automate'!$G3623,Database!$H:$N,5,0)),"")</f>
        <v/>
      </c>
      <c r="L3623" s="55" t="str">
        <f>IFERROR(IF($G3623="","",VLOOKUP('Dashboard And Emails Automate'!$G3623,Database!$H:$N,6,0)),"")</f>
        <v/>
      </c>
      <c r="M3623" s="55" t="str">
        <f>IFERROR(IF($G3623="","",VLOOKUP('Dashboard And Emails Automate'!$G3623,Database!$H:$N,7,0)),"")</f>
        <v/>
      </c>
      <c r="N3623" s="55" t="str">
        <f>IFERROR(IF(OR($B3623="",$B3623="(blank)"),"",VLOOKUP($B3623,'Email Marketing Raw Data'!$C:$O,6,0)),"")</f>
        <v/>
      </c>
      <c r="O3623" s="55" t="str">
        <f>IFERROR(IF(OR($B3623="",$B3623="(blank)"),"",VLOOKUP($B3623,'Email Marketing Raw Data'!$C:$O,7,0)),"")</f>
        <v/>
      </c>
      <c r="P3623" s="55" t="str">
        <f>IFERROR(IF(OR($B3623="",$B3623="(blank)"),"",VLOOKUP($B3623,'Email Marketing Raw Data'!$C:$O,8,0)),"")</f>
        <v/>
      </c>
      <c r="Q3623" s="62" t="str">
        <f>IFERROR(IF(OR($B3623="",$B3623="(blank)"),"",VLOOKUP($B3623,'Email Marketing Raw Data'!$C:$O,9,0)),"")</f>
        <v/>
      </c>
    </row>
    <row r="3624" spans="4:17" ht="12.75" customHeight="1" x14ac:dyDescent="0.2">
      <c r="D3624" s="58" t="str">
        <f>IFERROR(IF(F3624&lt;&gt;"pending","",IF(OR($B3624="",$B3624="(blank)"),"",VLOOKUP($B3624,'Email Marketing Raw Data'!$C:$O,10,0))),"")</f>
        <v/>
      </c>
      <c r="E3624" s="59" t="str">
        <f>IFERROR(IF(F3624&lt;&gt;"pending","",IF(OR($B3624="",$B3624="(blank)"),"",VLOOKUP($B3624,'Email Marketing Raw Data'!$C:$O,11,0))),"")</f>
        <v/>
      </c>
      <c r="F3624" s="54" t="str">
        <f>IFERROR(IF(OR($B3624="",$B3624="(blank)"),"",VLOOKUP($B3624,'Email Marketing Raw Data'!$C:$O,13,0)),"")</f>
        <v/>
      </c>
      <c r="G3624" s="55" t="str">
        <f>IFERROR(IF(OR($B3624="",$B3624="(blank)"),"",VLOOKUP($B3624,'Email Marketing Raw Data'!$C:$O,4,0)),"")</f>
        <v/>
      </c>
      <c r="H3624" s="55" t="str">
        <f>IFERROR(IF(OR($B3624="",$B3624="(blank)"),"",VLOOKUP($B3624,'Email Marketing Raw Data'!$C:$O,5,0)),"")</f>
        <v/>
      </c>
      <c r="I3624" s="55" t="str">
        <f>IFERROR(IF($G3624="","",VLOOKUP('Dashboard And Emails Automate'!$G3624,Database!$H:$N,3,0)),"")</f>
        <v/>
      </c>
      <c r="J3624" s="55" t="str">
        <f>IFERROR(IF($G3624="","",VLOOKUP('Dashboard And Emails Automate'!$G3624,Database!$H:$N,4,0)),"")</f>
        <v/>
      </c>
      <c r="K3624" s="55" t="str">
        <f>IFERROR(IF($G3624="","",VLOOKUP('Dashboard And Emails Automate'!$G3624,Database!$H:$N,5,0)),"")</f>
        <v/>
      </c>
      <c r="L3624" s="55" t="str">
        <f>IFERROR(IF($G3624="","",VLOOKUP('Dashboard And Emails Automate'!$G3624,Database!$H:$N,6,0)),"")</f>
        <v/>
      </c>
      <c r="M3624" s="55" t="str">
        <f>IFERROR(IF($G3624="","",VLOOKUP('Dashboard And Emails Automate'!$G3624,Database!$H:$N,7,0)),"")</f>
        <v/>
      </c>
      <c r="N3624" s="55" t="str">
        <f>IFERROR(IF(OR($B3624="",$B3624="(blank)"),"",VLOOKUP($B3624,'Email Marketing Raw Data'!$C:$O,6,0)),"")</f>
        <v/>
      </c>
      <c r="O3624" s="55" t="str">
        <f>IFERROR(IF(OR($B3624="",$B3624="(blank)"),"",VLOOKUP($B3624,'Email Marketing Raw Data'!$C:$O,7,0)),"")</f>
        <v/>
      </c>
      <c r="P3624" s="55" t="str">
        <f>IFERROR(IF(OR($B3624="",$B3624="(blank)"),"",VLOOKUP($B3624,'Email Marketing Raw Data'!$C:$O,8,0)),"")</f>
        <v/>
      </c>
      <c r="Q3624" s="62" t="str">
        <f>IFERROR(IF(OR($B3624="",$B3624="(blank)"),"",VLOOKUP($B3624,'Email Marketing Raw Data'!$C:$O,9,0)),"")</f>
        <v/>
      </c>
    </row>
    <row r="3625" spans="4:17" ht="12.75" customHeight="1" x14ac:dyDescent="0.2">
      <c r="D3625" s="58" t="str">
        <f>IFERROR(IF(F3625&lt;&gt;"pending","",IF(OR($B3625="",$B3625="(blank)"),"",VLOOKUP($B3625,'Email Marketing Raw Data'!$C:$O,10,0))),"")</f>
        <v/>
      </c>
      <c r="E3625" s="59" t="str">
        <f>IFERROR(IF(F3625&lt;&gt;"pending","",IF(OR($B3625="",$B3625="(blank)"),"",VLOOKUP($B3625,'Email Marketing Raw Data'!$C:$O,11,0))),"")</f>
        <v/>
      </c>
      <c r="F3625" s="54" t="str">
        <f>IFERROR(IF(OR($B3625="",$B3625="(blank)"),"",VLOOKUP($B3625,'Email Marketing Raw Data'!$C:$O,13,0)),"")</f>
        <v/>
      </c>
      <c r="G3625" s="55" t="str">
        <f>IFERROR(IF(OR($B3625="",$B3625="(blank)"),"",VLOOKUP($B3625,'Email Marketing Raw Data'!$C:$O,4,0)),"")</f>
        <v/>
      </c>
      <c r="H3625" s="55" t="str">
        <f>IFERROR(IF(OR($B3625="",$B3625="(blank)"),"",VLOOKUP($B3625,'Email Marketing Raw Data'!$C:$O,5,0)),"")</f>
        <v/>
      </c>
      <c r="I3625" s="55" t="str">
        <f>IFERROR(IF($G3625="","",VLOOKUP('Dashboard And Emails Automate'!$G3625,Database!$H:$N,3,0)),"")</f>
        <v/>
      </c>
      <c r="J3625" s="55" t="str">
        <f>IFERROR(IF($G3625="","",VLOOKUP('Dashboard And Emails Automate'!$G3625,Database!$H:$N,4,0)),"")</f>
        <v/>
      </c>
      <c r="K3625" s="55" t="str">
        <f>IFERROR(IF($G3625="","",VLOOKUP('Dashboard And Emails Automate'!$G3625,Database!$H:$N,5,0)),"")</f>
        <v/>
      </c>
      <c r="L3625" s="55" t="str">
        <f>IFERROR(IF($G3625="","",VLOOKUP('Dashboard And Emails Automate'!$G3625,Database!$H:$N,6,0)),"")</f>
        <v/>
      </c>
      <c r="M3625" s="55" t="str">
        <f>IFERROR(IF($G3625="","",VLOOKUP('Dashboard And Emails Automate'!$G3625,Database!$H:$N,7,0)),"")</f>
        <v/>
      </c>
      <c r="N3625" s="55" t="str">
        <f>IFERROR(IF(OR($B3625="",$B3625="(blank)"),"",VLOOKUP($B3625,'Email Marketing Raw Data'!$C:$O,6,0)),"")</f>
        <v/>
      </c>
      <c r="O3625" s="55" t="str">
        <f>IFERROR(IF(OR($B3625="",$B3625="(blank)"),"",VLOOKUP($B3625,'Email Marketing Raw Data'!$C:$O,7,0)),"")</f>
        <v/>
      </c>
      <c r="P3625" s="55" t="str">
        <f>IFERROR(IF(OR($B3625="",$B3625="(blank)"),"",VLOOKUP($B3625,'Email Marketing Raw Data'!$C:$O,8,0)),"")</f>
        <v/>
      </c>
      <c r="Q3625" s="62" t="str">
        <f>IFERROR(IF(OR($B3625="",$B3625="(blank)"),"",VLOOKUP($B3625,'Email Marketing Raw Data'!$C:$O,9,0)),"")</f>
        <v/>
      </c>
    </row>
    <row r="3626" spans="4:17" ht="12.75" customHeight="1" x14ac:dyDescent="0.2">
      <c r="D3626" s="58" t="str">
        <f>IFERROR(IF(F3626&lt;&gt;"pending","",IF(OR($B3626="",$B3626="(blank)"),"",VLOOKUP($B3626,'Email Marketing Raw Data'!$C:$O,10,0))),"")</f>
        <v/>
      </c>
      <c r="E3626" s="59" t="str">
        <f>IFERROR(IF(F3626&lt;&gt;"pending","",IF(OR($B3626="",$B3626="(blank)"),"",VLOOKUP($B3626,'Email Marketing Raw Data'!$C:$O,11,0))),"")</f>
        <v/>
      </c>
      <c r="F3626" s="54" t="str">
        <f>IFERROR(IF(OR($B3626="",$B3626="(blank)"),"",VLOOKUP($B3626,'Email Marketing Raw Data'!$C:$O,13,0)),"")</f>
        <v/>
      </c>
      <c r="G3626" s="55" t="str">
        <f>IFERROR(IF(OR($B3626="",$B3626="(blank)"),"",VLOOKUP($B3626,'Email Marketing Raw Data'!$C:$O,4,0)),"")</f>
        <v/>
      </c>
      <c r="H3626" s="55" t="str">
        <f>IFERROR(IF(OR($B3626="",$B3626="(blank)"),"",VLOOKUP($B3626,'Email Marketing Raw Data'!$C:$O,5,0)),"")</f>
        <v/>
      </c>
      <c r="I3626" s="55" t="str">
        <f>IFERROR(IF($G3626="","",VLOOKUP('Dashboard And Emails Automate'!$G3626,Database!$H:$N,3,0)),"")</f>
        <v/>
      </c>
      <c r="J3626" s="55" t="str">
        <f>IFERROR(IF($G3626="","",VLOOKUP('Dashboard And Emails Automate'!$G3626,Database!$H:$N,4,0)),"")</f>
        <v/>
      </c>
      <c r="K3626" s="55" t="str">
        <f>IFERROR(IF($G3626="","",VLOOKUP('Dashboard And Emails Automate'!$G3626,Database!$H:$N,5,0)),"")</f>
        <v/>
      </c>
      <c r="L3626" s="55" t="str">
        <f>IFERROR(IF($G3626="","",VLOOKUP('Dashboard And Emails Automate'!$G3626,Database!$H:$N,6,0)),"")</f>
        <v/>
      </c>
      <c r="M3626" s="55" t="str">
        <f>IFERROR(IF($G3626="","",VLOOKUP('Dashboard And Emails Automate'!$G3626,Database!$H:$N,7,0)),"")</f>
        <v/>
      </c>
      <c r="N3626" s="55" t="str">
        <f>IFERROR(IF(OR($B3626="",$B3626="(blank)"),"",VLOOKUP($B3626,'Email Marketing Raw Data'!$C:$O,6,0)),"")</f>
        <v/>
      </c>
      <c r="O3626" s="55" t="str">
        <f>IFERROR(IF(OR($B3626="",$B3626="(blank)"),"",VLOOKUP($B3626,'Email Marketing Raw Data'!$C:$O,7,0)),"")</f>
        <v/>
      </c>
      <c r="P3626" s="55" t="str">
        <f>IFERROR(IF(OR($B3626="",$B3626="(blank)"),"",VLOOKUP($B3626,'Email Marketing Raw Data'!$C:$O,8,0)),"")</f>
        <v/>
      </c>
      <c r="Q3626" s="62" t="str">
        <f>IFERROR(IF(OR($B3626="",$B3626="(blank)"),"",VLOOKUP($B3626,'Email Marketing Raw Data'!$C:$O,9,0)),"")</f>
        <v/>
      </c>
    </row>
    <row r="3627" spans="4:17" ht="12.75" customHeight="1" x14ac:dyDescent="0.2">
      <c r="D3627" s="58" t="str">
        <f>IFERROR(IF(F3627&lt;&gt;"pending","",IF(OR($B3627="",$B3627="(blank)"),"",VLOOKUP($B3627,'Email Marketing Raw Data'!$C:$O,10,0))),"")</f>
        <v/>
      </c>
      <c r="E3627" s="59" t="str">
        <f>IFERROR(IF(F3627&lt;&gt;"pending","",IF(OR($B3627="",$B3627="(blank)"),"",VLOOKUP($B3627,'Email Marketing Raw Data'!$C:$O,11,0))),"")</f>
        <v/>
      </c>
      <c r="F3627" s="54" t="str">
        <f>IFERROR(IF(OR($B3627="",$B3627="(blank)"),"",VLOOKUP($B3627,'Email Marketing Raw Data'!$C:$O,13,0)),"")</f>
        <v/>
      </c>
      <c r="G3627" s="55" t="str">
        <f>IFERROR(IF(OR($B3627="",$B3627="(blank)"),"",VLOOKUP($B3627,'Email Marketing Raw Data'!$C:$O,4,0)),"")</f>
        <v/>
      </c>
      <c r="H3627" s="55" t="str">
        <f>IFERROR(IF(OR($B3627="",$B3627="(blank)"),"",VLOOKUP($B3627,'Email Marketing Raw Data'!$C:$O,5,0)),"")</f>
        <v/>
      </c>
      <c r="I3627" s="55" t="str">
        <f>IFERROR(IF($G3627="","",VLOOKUP('Dashboard And Emails Automate'!$G3627,Database!$H:$N,3,0)),"")</f>
        <v/>
      </c>
      <c r="J3627" s="55" t="str">
        <f>IFERROR(IF($G3627="","",VLOOKUP('Dashboard And Emails Automate'!$G3627,Database!$H:$N,4,0)),"")</f>
        <v/>
      </c>
      <c r="K3627" s="55" t="str">
        <f>IFERROR(IF($G3627="","",VLOOKUP('Dashboard And Emails Automate'!$G3627,Database!$H:$N,5,0)),"")</f>
        <v/>
      </c>
      <c r="L3627" s="55" t="str">
        <f>IFERROR(IF($G3627="","",VLOOKUP('Dashboard And Emails Automate'!$G3627,Database!$H:$N,6,0)),"")</f>
        <v/>
      </c>
      <c r="M3627" s="55" t="str">
        <f>IFERROR(IF($G3627="","",VLOOKUP('Dashboard And Emails Automate'!$G3627,Database!$H:$N,7,0)),"")</f>
        <v/>
      </c>
      <c r="N3627" s="55" t="str">
        <f>IFERROR(IF(OR($B3627="",$B3627="(blank)"),"",VLOOKUP($B3627,'Email Marketing Raw Data'!$C:$O,6,0)),"")</f>
        <v/>
      </c>
      <c r="O3627" s="55" t="str">
        <f>IFERROR(IF(OR($B3627="",$B3627="(blank)"),"",VLOOKUP($B3627,'Email Marketing Raw Data'!$C:$O,7,0)),"")</f>
        <v/>
      </c>
      <c r="P3627" s="55" t="str">
        <f>IFERROR(IF(OR($B3627="",$B3627="(blank)"),"",VLOOKUP($B3627,'Email Marketing Raw Data'!$C:$O,8,0)),"")</f>
        <v/>
      </c>
      <c r="Q3627" s="62" t="str">
        <f>IFERROR(IF(OR($B3627="",$B3627="(blank)"),"",VLOOKUP($B3627,'Email Marketing Raw Data'!$C:$O,9,0)),"")</f>
        <v/>
      </c>
    </row>
    <row r="3628" spans="4:17" ht="12.75" customHeight="1" x14ac:dyDescent="0.2">
      <c r="D3628" s="58" t="str">
        <f>IFERROR(IF(F3628&lt;&gt;"pending","",IF(OR($B3628="",$B3628="(blank)"),"",VLOOKUP($B3628,'Email Marketing Raw Data'!$C:$O,10,0))),"")</f>
        <v/>
      </c>
      <c r="E3628" s="59" t="str">
        <f>IFERROR(IF(F3628&lt;&gt;"pending","",IF(OR($B3628="",$B3628="(blank)"),"",VLOOKUP($B3628,'Email Marketing Raw Data'!$C:$O,11,0))),"")</f>
        <v/>
      </c>
      <c r="F3628" s="54" t="str">
        <f>IFERROR(IF(OR($B3628="",$B3628="(blank)"),"",VLOOKUP($B3628,'Email Marketing Raw Data'!$C:$O,13,0)),"")</f>
        <v/>
      </c>
      <c r="G3628" s="55" t="str">
        <f>IFERROR(IF(OR($B3628="",$B3628="(blank)"),"",VLOOKUP($B3628,'Email Marketing Raw Data'!$C:$O,4,0)),"")</f>
        <v/>
      </c>
      <c r="H3628" s="55" t="str">
        <f>IFERROR(IF(OR($B3628="",$B3628="(blank)"),"",VLOOKUP($B3628,'Email Marketing Raw Data'!$C:$O,5,0)),"")</f>
        <v/>
      </c>
      <c r="I3628" s="55" t="str">
        <f>IFERROR(IF($G3628="","",VLOOKUP('Dashboard And Emails Automate'!$G3628,Database!$H:$N,3,0)),"")</f>
        <v/>
      </c>
      <c r="J3628" s="55" t="str">
        <f>IFERROR(IF($G3628="","",VLOOKUP('Dashboard And Emails Automate'!$G3628,Database!$H:$N,4,0)),"")</f>
        <v/>
      </c>
      <c r="K3628" s="55" t="str">
        <f>IFERROR(IF($G3628="","",VLOOKUP('Dashboard And Emails Automate'!$G3628,Database!$H:$N,5,0)),"")</f>
        <v/>
      </c>
      <c r="L3628" s="55" t="str">
        <f>IFERROR(IF($G3628="","",VLOOKUP('Dashboard And Emails Automate'!$G3628,Database!$H:$N,6,0)),"")</f>
        <v/>
      </c>
      <c r="M3628" s="55" t="str">
        <f>IFERROR(IF($G3628="","",VLOOKUP('Dashboard And Emails Automate'!$G3628,Database!$H:$N,7,0)),"")</f>
        <v/>
      </c>
      <c r="N3628" s="55" t="str">
        <f>IFERROR(IF(OR($B3628="",$B3628="(blank)"),"",VLOOKUP($B3628,'Email Marketing Raw Data'!$C:$O,6,0)),"")</f>
        <v/>
      </c>
      <c r="O3628" s="55" t="str">
        <f>IFERROR(IF(OR($B3628="",$B3628="(blank)"),"",VLOOKUP($B3628,'Email Marketing Raw Data'!$C:$O,7,0)),"")</f>
        <v/>
      </c>
      <c r="P3628" s="55" t="str">
        <f>IFERROR(IF(OR($B3628="",$B3628="(blank)"),"",VLOOKUP($B3628,'Email Marketing Raw Data'!$C:$O,8,0)),"")</f>
        <v/>
      </c>
      <c r="Q3628" s="62" t="str">
        <f>IFERROR(IF(OR($B3628="",$B3628="(blank)"),"",VLOOKUP($B3628,'Email Marketing Raw Data'!$C:$O,9,0)),"")</f>
        <v/>
      </c>
    </row>
    <row r="3629" spans="4:17" ht="12.75" customHeight="1" x14ac:dyDescent="0.2">
      <c r="D3629" s="58" t="str">
        <f>IFERROR(IF(F3629&lt;&gt;"pending","",IF(OR($B3629="",$B3629="(blank)"),"",VLOOKUP($B3629,'Email Marketing Raw Data'!$C:$O,10,0))),"")</f>
        <v/>
      </c>
      <c r="E3629" s="59" t="str">
        <f>IFERROR(IF(F3629&lt;&gt;"pending","",IF(OR($B3629="",$B3629="(blank)"),"",VLOOKUP($B3629,'Email Marketing Raw Data'!$C:$O,11,0))),"")</f>
        <v/>
      </c>
      <c r="F3629" s="54" t="str">
        <f>IFERROR(IF(OR($B3629="",$B3629="(blank)"),"",VLOOKUP($B3629,'Email Marketing Raw Data'!$C:$O,13,0)),"")</f>
        <v/>
      </c>
      <c r="G3629" s="55" t="str">
        <f>IFERROR(IF(OR($B3629="",$B3629="(blank)"),"",VLOOKUP($B3629,'Email Marketing Raw Data'!$C:$O,4,0)),"")</f>
        <v/>
      </c>
      <c r="H3629" s="55" t="str">
        <f>IFERROR(IF(OR($B3629="",$B3629="(blank)"),"",VLOOKUP($B3629,'Email Marketing Raw Data'!$C:$O,5,0)),"")</f>
        <v/>
      </c>
      <c r="I3629" s="55" t="str">
        <f>IFERROR(IF($G3629="","",VLOOKUP('Dashboard And Emails Automate'!$G3629,Database!$H:$N,3,0)),"")</f>
        <v/>
      </c>
      <c r="J3629" s="55" t="str">
        <f>IFERROR(IF($G3629="","",VLOOKUP('Dashboard And Emails Automate'!$G3629,Database!$H:$N,4,0)),"")</f>
        <v/>
      </c>
      <c r="K3629" s="55" t="str">
        <f>IFERROR(IF($G3629="","",VLOOKUP('Dashboard And Emails Automate'!$G3629,Database!$H:$N,5,0)),"")</f>
        <v/>
      </c>
      <c r="L3629" s="55" t="str">
        <f>IFERROR(IF($G3629="","",VLOOKUP('Dashboard And Emails Automate'!$G3629,Database!$H:$N,6,0)),"")</f>
        <v/>
      </c>
      <c r="M3629" s="55" t="str">
        <f>IFERROR(IF($G3629="","",VLOOKUP('Dashboard And Emails Automate'!$G3629,Database!$H:$N,7,0)),"")</f>
        <v/>
      </c>
      <c r="N3629" s="55" t="str">
        <f>IFERROR(IF(OR($B3629="",$B3629="(blank)"),"",VLOOKUP($B3629,'Email Marketing Raw Data'!$C:$O,6,0)),"")</f>
        <v/>
      </c>
      <c r="O3629" s="55" t="str">
        <f>IFERROR(IF(OR($B3629="",$B3629="(blank)"),"",VLOOKUP($B3629,'Email Marketing Raw Data'!$C:$O,7,0)),"")</f>
        <v/>
      </c>
      <c r="P3629" s="55" t="str">
        <f>IFERROR(IF(OR($B3629="",$B3629="(blank)"),"",VLOOKUP($B3629,'Email Marketing Raw Data'!$C:$O,8,0)),"")</f>
        <v/>
      </c>
      <c r="Q3629" s="62" t="str">
        <f>IFERROR(IF(OR($B3629="",$B3629="(blank)"),"",VLOOKUP($B3629,'Email Marketing Raw Data'!$C:$O,9,0)),"")</f>
        <v/>
      </c>
    </row>
    <row r="3630" spans="4:17" ht="12.75" customHeight="1" x14ac:dyDescent="0.2">
      <c r="D3630" s="58" t="str">
        <f>IFERROR(IF(F3630&lt;&gt;"pending","",IF(OR($B3630="",$B3630="(blank)"),"",VLOOKUP($B3630,'Email Marketing Raw Data'!$C:$O,10,0))),"")</f>
        <v/>
      </c>
      <c r="E3630" s="59" t="str">
        <f>IFERROR(IF(F3630&lt;&gt;"pending","",IF(OR($B3630="",$B3630="(blank)"),"",VLOOKUP($B3630,'Email Marketing Raw Data'!$C:$O,11,0))),"")</f>
        <v/>
      </c>
      <c r="F3630" s="54" t="str">
        <f>IFERROR(IF(OR($B3630="",$B3630="(blank)"),"",VLOOKUP($B3630,'Email Marketing Raw Data'!$C:$O,13,0)),"")</f>
        <v/>
      </c>
      <c r="G3630" s="55" t="str">
        <f>IFERROR(IF(OR($B3630="",$B3630="(blank)"),"",VLOOKUP($B3630,'Email Marketing Raw Data'!$C:$O,4,0)),"")</f>
        <v/>
      </c>
      <c r="H3630" s="55" t="str">
        <f>IFERROR(IF(OR($B3630="",$B3630="(blank)"),"",VLOOKUP($B3630,'Email Marketing Raw Data'!$C:$O,5,0)),"")</f>
        <v/>
      </c>
      <c r="I3630" s="55" t="str">
        <f>IFERROR(IF($G3630="","",VLOOKUP('Dashboard And Emails Automate'!$G3630,Database!$H:$N,3,0)),"")</f>
        <v/>
      </c>
      <c r="J3630" s="55" t="str">
        <f>IFERROR(IF($G3630="","",VLOOKUP('Dashboard And Emails Automate'!$G3630,Database!$H:$N,4,0)),"")</f>
        <v/>
      </c>
      <c r="K3630" s="55" t="str">
        <f>IFERROR(IF($G3630="","",VLOOKUP('Dashboard And Emails Automate'!$G3630,Database!$H:$N,5,0)),"")</f>
        <v/>
      </c>
      <c r="L3630" s="55" t="str">
        <f>IFERROR(IF($G3630="","",VLOOKUP('Dashboard And Emails Automate'!$G3630,Database!$H:$N,6,0)),"")</f>
        <v/>
      </c>
      <c r="M3630" s="55" t="str">
        <f>IFERROR(IF($G3630="","",VLOOKUP('Dashboard And Emails Automate'!$G3630,Database!$H:$N,7,0)),"")</f>
        <v/>
      </c>
      <c r="N3630" s="55" t="str">
        <f>IFERROR(IF(OR($B3630="",$B3630="(blank)"),"",VLOOKUP($B3630,'Email Marketing Raw Data'!$C:$O,6,0)),"")</f>
        <v/>
      </c>
      <c r="O3630" s="55" t="str">
        <f>IFERROR(IF(OR($B3630="",$B3630="(blank)"),"",VLOOKUP($B3630,'Email Marketing Raw Data'!$C:$O,7,0)),"")</f>
        <v/>
      </c>
      <c r="P3630" s="55" t="str">
        <f>IFERROR(IF(OR($B3630="",$B3630="(blank)"),"",VLOOKUP($B3630,'Email Marketing Raw Data'!$C:$O,8,0)),"")</f>
        <v/>
      </c>
      <c r="Q3630" s="62" t="str">
        <f>IFERROR(IF(OR($B3630="",$B3630="(blank)"),"",VLOOKUP($B3630,'Email Marketing Raw Data'!$C:$O,9,0)),"")</f>
        <v/>
      </c>
    </row>
    <row r="3631" spans="4:17" ht="12.75" customHeight="1" x14ac:dyDescent="0.2">
      <c r="D3631" s="58" t="str">
        <f>IFERROR(IF(F3631&lt;&gt;"pending","",IF(OR($B3631="",$B3631="(blank)"),"",VLOOKUP($B3631,'Email Marketing Raw Data'!$C:$O,10,0))),"")</f>
        <v/>
      </c>
      <c r="E3631" s="59" t="str">
        <f>IFERROR(IF(F3631&lt;&gt;"pending","",IF(OR($B3631="",$B3631="(blank)"),"",VLOOKUP($B3631,'Email Marketing Raw Data'!$C:$O,11,0))),"")</f>
        <v/>
      </c>
      <c r="F3631" s="54" t="str">
        <f>IFERROR(IF(OR($B3631="",$B3631="(blank)"),"",VLOOKUP($B3631,'Email Marketing Raw Data'!$C:$O,13,0)),"")</f>
        <v/>
      </c>
      <c r="G3631" s="55" t="str">
        <f>IFERROR(IF(OR($B3631="",$B3631="(blank)"),"",VLOOKUP($B3631,'Email Marketing Raw Data'!$C:$O,4,0)),"")</f>
        <v/>
      </c>
      <c r="H3631" s="55" t="str">
        <f>IFERROR(IF(OR($B3631="",$B3631="(blank)"),"",VLOOKUP($B3631,'Email Marketing Raw Data'!$C:$O,5,0)),"")</f>
        <v/>
      </c>
      <c r="I3631" s="55" t="str">
        <f>IFERROR(IF($G3631="","",VLOOKUP('Dashboard And Emails Automate'!$G3631,Database!$H:$N,3,0)),"")</f>
        <v/>
      </c>
      <c r="J3631" s="55" t="str">
        <f>IFERROR(IF($G3631="","",VLOOKUP('Dashboard And Emails Automate'!$G3631,Database!$H:$N,4,0)),"")</f>
        <v/>
      </c>
      <c r="K3631" s="55" t="str">
        <f>IFERROR(IF($G3631="","",VLOOKUP('Dashboard And Emails Automate'!$G3631,Database!$H:$N,5,0)),"")</f>
        <v/>
      </c>
      <c r="L3631" s="55" t="str">
        <f>IFERROR(IF($G3631="","",VLOOKUP('Dashboard And Emails Automate'!$G3631,Database!$H:$N,6,0)),"")</f>
        <v/>
      </c>
      <c r="M3631" s="55" t="str">
        <f>IFERROR(IF($G3631="","",VLOOKUP('Dashboard And Emails Automate'!$G3631,Database!$H:$N,7,0)),"")</f>
        <v/>
      </c>
      <c r="N3631" s="55" t="str">
        <f>IFERROR(IF(OR($B3631="",$B3631="(blank)"),"",VLOOKUP($B3631,'Email Marketing Raw Data'!$C:$O,6,0)),"")</f>
        <v/>
      </c>
      <c r="O3631" s="55" t="str">
        <f>IFERROR(IF(OR($B3631="",$B3631="(blank)"),"",VLOOKUP($B3631,'Email Marketing Raw Data'!$C:$O,7,0)),"")</f>
        <v/>
      </c>
      <c r="P3631" s="55" t="str">
        <f>IFERROR(IF(OR($B3631="",$B3631="(blank)"),"",VLOOKUP($B3631,'Email Marketing Raw Data'!$C:$O,8,0)),"")</f>
        <v/>
      </c>
      <c r="Q3631" s="62" t="str">
        <f>IFERROR(IF(OR($B3631="",$B3631="(blank)"),"",VLOOKUP($B3631,'Email Marketing Raw Data'!$C:$O,9,0)),"")</f>
        <v/>
      </c>
    </row>
    <row r="3632" spans="4:17" ht="12.75" customHeight="1" x14ac:dyDescent="0.2">
      <c r="D3632" s="58" t="str">
        <f>IFERROR(IF(F3632&lt;&gt;"pending","",IF(OR($B3632="",$B3632="(blank)"),"",VLOOKUP($B3632,'Email Marketing Raw Data'!$C:$O,10,0))),"")</f>
        <v/>
      </c>
      <c r="E3632" s="59" t="str">
        <f>IFERROR(IF(F3632&lt;&gt;"pending","",IF(OR($B3632="",$B3632="(blank)"),"",VLOOKUP($B3632,'Email Marketing Raw Data'!$C:$O,11,0))),"")</f>
        <v/>
      </c>
      <c r="F3632" s="54" t="str">
        <f>IFERROR(IF(OR($B3632="",$B3632="(blank)"),"",VLOOKUP($B3632,'Email Marketing Raw Data'!$C:$O,13,0)),"")</f>
        <v/>
      </c>
      <c r="G3632" s="55" t="str">
        <f>IFERROR(IF(OR($B3632="",$B3632="(blank)"),"",VLOOKUP($B3632,'Email Marketing Raw Data'!$C:$O,4,0)),"")</f>
        <v/>
      </c>
      <c r="H3632" s="55" t="str">
        <f>IFERROR(IF(OR($B3632="",$B3632="(blank)"),"",VLOOKUP($B3632,'Email Marketing Raw Data'!$C:$O,5,0)),"")</f>
        <v/>
      </c>
      <c r="I3632" s="55" t="str">
        <f>IFERROR(IF($G3632="","",VLOOKUP('Dashboard And Emails Automate'!$G3632,Database!$H:$N,3,0)),"")</f>
        <v/>
      </c>
      <c r="J3632" s="55" t="str">
        <f>IFERROR(IF($G3632="","",VLOOKUP('Dashboard And Emails Automate'!$G3632,Database!$H:$N,4,0)),"")</f>
        <v/>
      </c>
      <c r="K3632" s="55" t="str">
        <f>IFERROR(IF($G3632="","",VLOOKUP('Dashboard And Emails Automate'!$G3632,Database!$H:$N,5,0)),"")</f>
        <v/>
      </c>
      <c r="L3632" s="55" t="str">
        <f>IFERROR(IF($G3632="","",VLOOKUP('Dashboard And Emails Automate'!$G3632,Database!$H:$N,6,0)),"")</f>
        <v/>
      </c>
      <c r="M3632" s="55" t="str">
        <f>IFERROR(IF($G3632="","",VLOOKUP('Dashboard And Emails Automate'!$G3632,Database!$H:$N,7,0)),"")</f>
        <v/>
      </c>
      <c r="N3632" s="55" t="str">
        <f>IFERROR(IF(OR($B3632="",$B3632="(blank)"),"",VLOOKUP($B3632,'Email Marketing Raw Data'!$C:$O,6,0)),"")</f>
        <v/>
      </c>
      <c r="O3632" s="55" t="str">
        <f>IFERROR(IF(OR($B3632="",$B3632="(blank)"),"",VLOOKUP($B3632,'Email Marketing Raw Data'!$C:$O,7,0)),"")</f>
        <v/>
      </c>
      <c r="P3632" s="55" t="str">
        <f>IFERROR(IF(OR($B3632="",$B3632="(blank)"),"",VLOOKUP($B3632,'Email Marketing Raw Data'!$C:$O,8,0)),"")</f>
        <v/>
      </c>
      <c r="Q3632" s="62" t="str">
        <f>IFERROR(IF(OR($B3632="",$B3632="(blank)"),"",VLOOKUP($B3632,'Email Marketing Raw Data'!$C:$O,9,0)),"")</f>
        <v/>
      </c>
    </row>
    <row r="3633" spans="4:17" ht="12.75" customHeight="1" x14ac:dyDescent="0.2">
      <c r="D3633" s="58" t="str">
        <f>IFERROR(IF(F3633&lt;&gt;"pending","",IF(OR($B3633="",$B3633="(blank)"),"",VLOOKUP($B3633,'Email Marketing Raw Data'!$C:$O,10,0))),"")</f>
        <v/>
      </c>
      <c r="E3633" s="59" t="str">
        <f>IFERROR(IF(F3633&lt;&gt;"pending","",IF(OR($B3633="",$B3633="(blank)"),"",VLOOKUP($B3633,'Email Marketing Raw Data'!$C:$O,11,0))),"")</f>
        <v/>
      </c>
      <c r="F3633" s="54" t="str">
        <f>IFERROR(IF(OR($B3633="",$B3633="(blank)"),"",VLOOKUP($B3633,'Email Marketing Raw Data'!$C:$O,13,0)),"")</f>
        <v/>
      </c>
      <c r="G3633" s="55" t="str">
        <f>IFERROR(IF(OR($B3633="",$B3633="(blank)"),"",VLOOKUP($B3633,'Email Marketing Raw Data'!$C:$O,4,0)),"")</f>
        <v/>
      </c>
      <c r="H3633" s="55" t="str">
        <f>IFERROR(IF(OR($B3633="",$B3633="(blank)"),"",VLOOKUP($B3633,'Email Marketing Raw Data'!$C:$O,5,0)),"")</f>
        <v/>
      </c>
      <c r="I3633" s="55" t="str">
        <f>IFERROR(IF($G3633="","",VLOOKUP('Dashboard And Emails Automate'!$G3633,Database!$H:$N,3,0)),"")</f>
        <v/>
      </c>
      <c r="J3633" s="55" t="str">
        <f>IFERROR(IF($G3633="","",VLOOKUP('Dashboard And Emails Automate'!$G3633,Database!$H:$N,4,0)),"")</f>
        <v/>
      </c>
      <c r="K3633" s="55" t="str">
        <f>IFERROR(IF($G3633="","",VLOOKUP('Dashboard And Emails Automate'!$G3633,Database!$H:$N,5,0)),"")</f>
        <v/>
      </c>
      <c r="L3633" s="55" t="str">
        <f>IFERROR(IF($G3633="","",VLOOKUP('Dashboard And Emails Automate'!$G3633,Database!$H:$N,6,0)),"")</f>
        <v/>
      </c>
      <c r="M3633" s="55" t="str">
        <f>IFERROR(IF($G3633="","",VLOOKUP('Dashboard And Emails Automate'!$G3633,Database!$H:$N,7,0)),"")</f>
        <v/>
      </c>
      <c r="N3633" s="55" t="str">
        <f>IFERROR(IF(OR($B3633="",$B3633="(blank)"),"",VLOOKUP($B3633,'Email Marketing Raw Data'!$C:$O,6,0)),"")</f>
        <v/>
      </c>
      <c r="O3633" s="55" t="str">
        <f>IFERROR(IF(OR($B3633="",$B3633="(blank)"),"",VLOOKUP($B3633,'Email Marketing Raw Data'!$C:$O,7,0)),"")</f>
        <v/>
      </c>
      <c r="P3633" s="55" t="str">
        <f>IFERROR(IF(OR($B3633="",$B3633="(blank)"),"",VLOOKUP($B3633,'Email Marketing Raw Data'!$C:$O,8,0)),"")</f>
        <v/>
      </c>
      <c r="Q3633" s="62" t="str">
        <f>IFERROR(IF(OR($B3633="",$B3633="(blank)"),"",VLOOKUP($B3633,'Email Marketing Raw Data'!$C:$O,9,0)),"")</f>
        <v/>
      </c>
    </row>
    <row r="3634" spans="4:17" ht="12.75" customHeight="1" x14ac:dyDescent="0.2">
      <c r="D3634" s="58" t="str">
        <f>IFERROR(IF(F3634&lt;&gt;"pending","",IF(OR($B3634="",$B3634="(blank)"),"",VLOOKUP($B3634,'Email Marketing Raw Data'!$C:$O,10,0))),"")</f>
        <v/>
      </c>
      <c r="E3634" s="59" t="str">
        <f>IFERROR(IF(F3634&lt;&gt;"pending","",IF(OR($B3634="",$B3634="(blank)"),"",VLOOKUP($B3634,'Email Marketing Raw Data'!$C:$O,11,0))),"")</f>
        <v/>
      </c>
      <c r="F3634" s="54" t="str">
        <f>IFERROR(IF(OR($B3634="",$B3634="(blank)"),"",VLOOKUP($B3634,'Email Marketing Raw Data'!$C:$O,13,0)),"")</f>
        <v/>
      </c>
      <c r="G3634" s="55" t="str">
        <f>IFERROR(IF(OR($B3634="",$B3634="(blank)"),"",VLOOKUP($B3634,'Email Marketing Raw Data'!$C:$O,4,0)),"")</f>
        <v/>
      </c>
      <c r="H3634" s="55" t="str">
        <f>IFERROR(IF(OR($B3634="",$B3634="(blank)"),"",VLOOKUP($B3634,'Email Marketing Raw Data'!$C:$O,5,0)),"")</f>
        <v/>
      </c>
      <c r="I3634" s="55" t="str">
        <f>IFERROR(IF($G3634="","",VLOOKUP('Dashboard And Emails Automate'!$G3634,Database!$H:$N,3,0)),"")</f>
        <v/>
      </c>
      <c r="J3634" s="55" t="str">
        <f>IFERROR(IF($G3634="","",VLOOKUP('Dashboard And Emails Automate'!$G3634,Database!$H:$N,4,0)),"")</f>
        <v/>
      </c>
      <c r="K3634" s="55" t="str">
        <f>IFERROR(IF($G3634="","",VLOOKUP('Dashboard And Emails Automate'!$G3634,Database!$H:$N,5,0)),"")</f>
        <v/>
      </c>
      <c r="L3634" s="55" t="str">
        <f>IFERROR(IF($G3634="","",VLOOKUP('Dashboard And Emails Automate'!$G3634,Database!$H:$N,6,0)),"")</f>
        <v/>
      </c>
      <c r="M3634" s="55" t="str">
        <f>IFERROR(IF($G3634="","",VLOOKUP('Dashboard And Emails Automate'!$G3634,Database!$H:$N,7,0)),"")</f>
        <v/>
      </c>
      <c r="N3634" s="55" t="str">
        <f>IFERROR(IF(OR($B3634="",$B3634="(blank)"),"",VLOOKUP($B3634,'Email Marketing Raw Data'!$C:$O,6,0)),"")</f>
        <v/>
      </c>
      <c r="O3634" s="55" t="str">
        <f>IFERROR(IF(OR($B3634="",$B3634="(blank)"),"",VLOOKUP($B3634,'Email Marketing Raw Data'!$C:$O,7,0)),"")</f>
        <v/>
      </c>
      <c r="P3634" s="55" t="str">
        <f>IFERROR(IF(OR($B3634="",$B3634="(blank)"),"",VLOOKUP($B3634,'Email Marketing Raw Data'!$C:$O,8,0)),"")</f>
        <v/>
      </c>
      <c r="Q3634" s="62" t="str">
        <f>IFERROR(IF(OR($B3634="",$B3634="(blank)"),"",VLOOKUP($B3634,'Email Marketing Raw Data'!$C:$O,9,0)),"")</f>
        <v/>
      </c>
    </row>
    <row r="3635" spans="4:17" ht="12.75" customHeight="1" x14ac:dyDescent="0.2">
      <c r="D3635" s="58" t="str">
        <f>IFERROR(IF(F3635&lt;&gt;"pending","",IF(OR($B3635="",$B3635="(blank)"),"",VLOOKUP($B3635,'Email Marketing Raw Data'!$C:$O,10,0))),"")</f>
        <v/>
      </c>
      <c r="E3635" s="59" t="str">
        <f>IFERROR(IF(F3635&lt;&gt;"pending","",IF(OR($B3635="",$B3635="(blank)"),"",VLOOKUP($B3635,'Email Marketing Raw Data'!$C:$O,11,0))),"")</f>
        <v/>
      </c>
      <c r="F3635" s="54" t="str">
        <f>IFERROR(IF(OR($B3635="",$B3635="(blank)"),"",VLOOKUP($B3635,'Email Marketing Raw Data'!$C:$O,13,0)),"")</f>
        <v/>
      </c>
      <c r="G3635" s="55" t="str">
        <f>IFERROR(IF(OR($B3635="",$B3635="(blank)"),"",VLOOKUP($B3635,'Email Marketing Raw Data'!$C:$O,4,0)),"")</f>
        <v/>
      </c>
      <c r="H3635" s="55" t="str">
        <f>IFERROR(IF(OR($B3635="",$B3635="(blank)"),"",VLOOKUP($B3635,'Email Marketing Raw Data'!$C:$O,5,0)),"")</f>
        <v/>
      </c>
      <c r="I3635" s="55" t="str">
        <f>IFERROR(IF($G3635="","",VLOOKUP('Dashboard And Emails Automate'!$G3635,Database!$H:$N,3,0)),"")</f>
        <v/>
      </c>
      <c r="J3635" s="55" t="str">
        <f>IFERROR(IF($G3635="","",VLOOKUP('Dashboard And Emails Automate'!$G3635,Database!$H:$N,4,0)),"")</f>
        <v/>
      </c>
      <c r="K3635" s="55" t="str">
        <f>IFERROR(IF($G3635="","",VLOOKUP('Dashboard And Emails Automate'!$G3635,Database!$H:$N,5,0)),"")</f>
        <v/>
      </c>
      <c r="L3635" s="55" t="str">
        <f>IFERROR(IF($G3635="","",VLOOKUP('Dashboard And Emails Automate'!$G3635,Database!$H:$N,6,0)),"")</f>
        <v/>
      </c>
      <c r="M3635" s="55" t="str">
        <f>IFERROR(IF($G3635="","",VLOOKUP('Dashboard And Emails Automate'!$G3635,Database!$H:$N,7,0)),"")</f>
        <v/>
      </c>
      <c r="N3635" s="55" t="str">
        <f>IFERROR(IF(OR($B3635="",$B3635="(blank)"),"",VLOOKUP($B3635,'Email Marketing Raw Data'!$C:$O,6,0)),"")</f>
        <v/>
      </c>
      <c r="O3635" s="55" t="str">
        <f>IFERROR(IF(OR($B3635="",$B3635="(blank)"),"",VLOOKUP($B3635,'Email Marketing Raw Data'!$C:$O,7,0)),"")</f>
        <v/>
      </c>
      <c r="P3635" s="55" t="str">
        <f>IFERROR(IF(OR($B3635="",$B3635="(blank)"),"",VLOOKUP($B3635,'Email Marketing Raw Data'!$C:$O,8,0)),"")</f>
        <v/>
      </c>
      <c r="Q3635" s="62" t="str">
        <f>IFERROR(IF(OR($B3635="",$B3635="(blank)"),"",VLOOKUP($B3635,'Email Marketing Raw Data'!$C:$O,9,0)),"")</f>
        <v/>
      </c>
    </row>
    <row r="3636" spans="4:17" ht="12.75" customHeight="1" x14ac:dyDescent="0.2">
      <c r="D3636" s="58" t="str">
        <f>IFERROR(IF(F3636&lt;&gt;"pending","",IF(OR($B3636="",$B3636="(blank)"),"",VLOOKUP($B3636,'Email Marketing Raw Data'!$C:$O,10,0))),"")</f>
        <v/>
      </c>
      <c r="E3636" s="59" t="str">
        <f>IFERROR(IF(F3636&lt;&gt;"pending","",IF(OR($B3636="",$B3636="(blank)"),"",VLOOKUP($B3636,'Email Marketing Raw Data'!$C:$O,11,0))),"")</f>
        <v/>
      </c>
      <c r="F3636" s="54" t="str">
        <f>IFERROR(IF(OR($B3636="",$B3636="(blank)"),"",VLOOKUP($B3636,'Email Marketing Raw Data'!$C:$O,13,0)),"")</f>
        <v/>
      </c>
      <c r="G3636" s="55" t="str">
        <f>IFERROR(IF(OR($B3636="",$B3636="(blank)"),"",VLOOKUP($B3636,'Email Marketing Raw Data'!$C:$O,4,0)),"")</f>
        <v/>
      </c>
      <c r="H3636" s="55" t="str">
        <f>IFERROR(IF(OR($B3636="",$B3636="(blank)"),"",VLOOKUP($B3636,'Email Marketing Raw Data'!$C:$O,5,0)),"")</f>
        <v/>
      </c>
      <c r="I3636" s="55" t="str">
        <f>IFERROR(IF($G3636="","",VLOOKUP('Dashboard And Emails Automate'!$G3636,Database!$H:$N,3,0)),"")</f>
        <v/>
      </c>
      <c r="J3636" s="55" t="str">
        <f>IFERROR(IF($G3636="","",VLOOKUP('Dashboard And Emails Automate'!$G3636,Database!$H:$N,4,0)),"")</f>
        <v/>
      </c>
      <c r="K3636" s="55" t="str">
        <f>IFERROR(IF($G3636="","",VLOOKUP('Dashboard And Emails Automate'!$G3636,Database!$H:$N,5,0)),"")</f>
        <v/>
      </c>
      <c r="L3636" s="55" t="str">
        <f>IFERROR(IF($G3636="","",VLOOKUP('Dashboard And Emails Automate'!$G3636,Database!$H:$N,6,0)),"")</f>
        <v/>
      </c>
      <c r="M3636" s="55" t="str">
        <f>IFERROR(IF($G3636="","",VLOOKUP('Dashboard And Emails Automate'!$G3636,Database!$H:$N,7,0)),"")</f>
        <v/>
      </c>
      <c r="N3636" s="55" t="str">
        <f>IFERROR(IF(OR($B3636="",$B3636="(blank)"),"",VLOOKUP($B3636,'Email Marketing Raw Data'!$C:$O,6,0)),"")</f>
        <v/>
      </c>
      <c r="O3636" s="55" t="str">
        <f>IFERROR(IF(OR($B3636="",$B3636="(blank)"),"",VLOOKUP($B3636,'Email Marketing Raw Data'!$C:$O,7,0)),"")</f>
        <v/>
      </c>
      <c r="P3636" s="55" t="str">
        <f>IFERROR(IF(OR($B3636="",$B3636="(blank)"),"",VLOOKUP($B3636,'Email Marketing Raw Data'!$C:$O,8,0)),"")</f>
        <v/>
      </c>
      <c r="Q3636" s="62" t="str">
        <f>IFERROR(IF(OR($B3636="",$B3636="(blank)"),"",VLOOKUP($B3636,'Email Marketing Raw Data'!$C:$O,9,0)),"")</f>
        <v/>
      </c>
    </row>
    <row r="3637" spans="4:17" ht="12.75" customHeight="1" x14ac:dyDescent="0.2">
      <c r="D3637" s="58" t="str">
        <f>IFERROR(IF(F3637&lt;&gt;"pending","",IF(OR($B3637="",$B3637="(blank)"),"",VLOOKUP($B3637,'Email Marketing Raw Data'!$C:$O,10,0))),"")</f>
        <v/>
      </c>
      <c r="E3637" s="59" t="str">
        <f>IFERROR(IF(F3637&lt;&gt;"pending","",IF(OR($B3637="",$B3637="(blank)"),"",VLOOKUP($B3637,'Email Marketing Raw Data'!$C:$O,11,0))),"")</f>
        <v/>
      </c>
      <c r="F3637" s="54" t="str">
        <f>IFERROR(IF(OR($B3637="",$B3637="(blank)"),"",VLOOKUP($B3637,'Email Marketing Raw Data'!$C:$O,13,0)),"")</f>
        <v/>
      </c>
      <c r="G3637" s="55" t="str">
        <f>IFERROR(IF(OR($B3637="",$B3637="(blank)"),"",VLOOKUP($B3637,'Email Marketing Raw Data'!$C:$O,4,0)),"")</f>
        <v/>
      </c>
      <c r="H3637" s="55" t="str">
        <f>IFERROR(IF(OR($B3637="",$B3637="(blank)"),"",VLOOKUP($B3637,'Email Marketing Raw Data'!$C:$O,5,0)),"")</f>
        <v/>
      </c>
      <c r="I3637" s="55" t="str">
        <f>IFERROR(IF($G3637="","",VLOOKUP('Dashboard And Emails Automate'!$G3637,Database!$H:$N,3,0)),"")</f>
        <v/>
      </c>
      <c r="J3637" s="55" t="str">
        <f>IFERROR(IF($G3637="","",VLOOKUP('Dashboard And Emails Automate'!$G3637,Database!$H:$N,4,0)),"")</f>
        <v/>
      </c>
      <c r="K3637" s="55" t="str">
        <f>IFERROR(IF($G3637="","",VLOOKUP('Dashboard And Emails Automate'!$G3637,Database!$H:$N,5,0)),"")</f>
        <v/>
      </c>
      <c r="L3637" s="55" t="str">
        <f>IFERROR(IF($G3637="","",VLOOKUP('Dashboard And Emails Automate'!$G3637,Database!$H:$N,6,0)),"")</f>
        <v/>
      </c>
      <c r="M3637" s="55" t="str">
        <f>IFERROR(IF($G3637="","",VLOOKUP('Dashboard And Emails Automate'!$G3637,Database!$H:$N,7,0)),"")</f>
        <v/>
      </c>
      <c r="N3637" s="55" t="str">
        <f>IFERROR(IF(OR($B3637="",$B3637="(blank)"),"",VLOOKUP($B3637,'Email Marketing Raw Data'!$C:$O,6,0)),"")</f>
        <v/>
      </c>
      <c r="O3637" s="55" t="str">
        <f>IFERROR(IF(OR($B3637="",$B3637="(blank)"),"",VLOOKUP($B3637,'Email Marketing Raw Data'!$C:$O,7,0)),"")</f>
        <v/>
      </c>
      <c r="P3637" s="55" t="str">
        <f>IFERROR(IF(OR($B3637="",$B3637="(blank)"),"",VLOOKUP($B3637,'Email Marketing Raw Data'!$C:$O,8,0)),"")</f>
        <v/>
      </c>
      <c r="Q3637" s="62" t="str">
        <f>IFERROR(IF(OR($B3637="",$B3637="(blank)"),"",VLOOKUP($B3637,'Email Marketing Raw Data'!$C:$O,9,0)),"")</f>
        <v/>
      </c>
    </row>
    <row r="3638" spans="4:17" ht="12.75" customHeight="1" x14ac:dyDescent="0.2">
      <c r="D3638" s="58" t="str">
        <f>IFERROR(IF(F3638&lt;&gt;"pending","",IF(OR($B3638="",$B3638="(blank)"),"",VLOOKUP($B3638,'Email Marketing Raw Data'!$C:$O,10,0))),"")</f>
        <v/>
      </c>
      <c r="E3638" s="59" t="str">
        <f>IFERROR(IF(F3638&lt;&gt;"pending","",IF(OR($B3638="",$B3638="(blank)"),"",VLOOKUP($B3638,'Email Marketing Raw Data'!$C:$O,11,0))),"")</f>
        <v/>
      </c>
      <c r="F3638" s="54" t="str">
        <f>IFERROR(IF(OR($B3638="",$B3638="(blank)"),"",VLOOKUP($B3638,'Email Marketing Raw Data'!$C:$O,13,0)),"")</f>
        <v/>
      </c>
      <c r="G3638" s="55" t="str">
        <f>IFERROR(IF(OR($B3638="",$B3638="(blank)"),"",VLOOKUP($B3638,'Email Marketing Raw Data'!$C:$O,4,0)),"")</f>
        <v/>
      </c>
      <c r="H3638" s="55" t="str">
        <f>IFERROR(IF(OR($B3638="",$B3638="(blank)"),"",VLOOKUP($B3638,'Email Marketing Raw Data'!$C:$O,5,0)),"")</f>
        <v/>
      </c>
      <c r="I3638" s="55" t="str">
        <f>IFERROR(IF($G3638="","",VLOOKUP('Dashboard And Emails Automate'!$G3638,Database!$H:$N,3,0)),"")</f>
        <v/>
      </c>
      <c r="J3638" s="55" t="str">
        <f>IFERROR(IF($G3638="","",VLOOKUP('Dashboard And Emails Automate'!$G3638,Database!$H:$N,4,0)),"")</f>
        <v/>
      </c>
      <c r="K3638" s="55" t="str">
        <f>IFERROR(IF($G3638="","",VLOOKUP('Dashboard And Emails Automate'!$G3638,Database!$H:$N,5,0)),"")</f>
        <v/>
      </c>
      <c r="L3638" s="55" t="str">
        <f>IFERROR(IF($G3638="","",VLOOKUP('Dashboard And Emails Automate'!$G3638,Database!$H:$N,6,0)),"")</f>
        <v/>
      </c>
      <c r="M3638" s="55" t="str">
        <f>IFERROR(IF($G3638="","",VLOOKUP('Dashboard And Emails Automate'!$G3638,Database!$H:$N,7,0)),"")</f>
        <v/>
      </c>
      <c r="N3638" s="55" t="str">
        <f>IFERROR(IF(OR($B3638="",$B3638="(blank)"),"",VLOOKUP($B3638,'Email Marketing Raw Data'!$C:$O,6,0)),"")</f>
        <v/>
      </c>
      <c r="O3638" s="55" t="str">
        <f>IFERROR(IF(OR($B3638="",$B3638="(blank)"),"",VLOOKUP($B3638,'Email Marketing Raw Data'!$C:$O,7,0)),"")</f>
        <v/>
      </c>
      <c r="P3638" s="55" t="str">
        <f>IFERROR(IF(OR($B3638="",$B3638="(blank)"),"",VLOOKUP($B3638,'Email Marketing Raw Data'!$C:$O,8,0)),"")</f>
        <v/>
      </c>
      <c r="Q3638" s="62" t="str">
        <f>IFERROR(IF(OR($B3638="",$B3638="(blank)"),"",VLOOKUP($B3638,'Email Marketing Raw Data'!$C:$O,9,0)),"")</f>
        <v/>
      </c>
    </row>
    <row r="3639" spans="4:17" ht="12.75" customHeight="1" x14ac:dyDescent="0.2">
      <c r="D3639" s="58" t="str">
        <f>IFERROR(IF(F3639&lt;&gt;"pending","",IF(OR($B3639="",$B3639="(blank)"),"",VLOOKUP($B3639,'Email Marketing Raw Data'!$C:$O,10,0))),"")</f>
        <v/>
      </c>
      <c r="E3639" s="59" t="str">
        <f>IFERROR(IF(F3639&lt;&gt;"pending","",IF(OR($B3639="",$B3639="(blank)"),"",VLOOKUP($B3639,'Email Marketing Raw Data'!$C:$O,11,0))),"")</f>
        <v/>
      </c>
      <c r="F3639" s="54" t="str">
        <f>IFERROR(IF(OR($B3639="",$B3639="(blank)"),"",VLOOKUP($B3639,'Email Marketing Raw Data'!$C:$O,13,0)),"")</f>
        <v/>
      </c>
      <c r="G3639" s="55" t="str">
        <f>IFERROR(IF(OR($B3639="",$B3639="(blank)"),"",VLOOKUP($B3639,'Email Marketing Raw Data'!$C:$O,4,0)),"")</f>
        <v/>
      </c>
      <c r="H3639" s="55" t="str">
        <f>IFERROR(IF(OR($B3639="",$B3639="(blank)"),"",VLOOKUP($B3639,'Email Marketing Raw Data'!$C:$O,5,0)),"")</f>
        <v/>
      </c>
      <c r="I3639" s="55" t="str">
        <f>IFERROR(IF($G3639="","",VLOOKUP('Dashboard And Emails Automate'!$G3639,Database!$H:$N,3,0)),"")</f>
        <v/>
      </c>
      <c r="J3639" s="55" t="str">
        <f>IFERROR(IF($G3639="","",VLOOKUP('Dashboard And Emails Automate'!$G3639,Database!$H:$N,4,0)),"")</f>
        <v/>
      </c>
      <c r="K3639" s="55" t="str">
        <f>IFERROR(IF($G3639="","",VLOOKUP('Dashboard And Emails Automate'!$G3639,Database!$H:$N,5,0)),"")</f>
        <v/>
      </c>
      <c r="L3639" s="55" t="str">
        <f>IFERROR(IF($G3639="","",VLOOKUP('Dashboard And Emails Automate'!$G3639,Database!$H:$N,6,0)),"")</f>
        <v/>
      </c>
      <c r="M3639" s="55" t="str">
        <f>IFERROR(IF($G3639="","",VLOOKUP('Dashboard And Emails Automate'!$G3639,Database!$H:$N,7,0)),"")</f>
        <v/>
      </c>
      <c r="N3639" s="55" t="str">
        <f>IFERROR(IF(OR($B3639="",$B3639="(blank)"),"",VLOOKUP($B3639,'Email Marketing Raw Data'!$C:$O,6,0)),"")</f>
        <v/>
      </c>
      <c r="O3639" s="55" t="str">
        <f>IFERROR(IF(OR($B3639="",$B3639="(blank)"),"",VLOOKUP($B3639,'Email Marketing Raw Data'!$C:$O,7,0)),"")</f>
        <v/>
      </c>
      <c r="P3639" s="55" t="str">
        <f>IFERROR(IF(OR($B3639="",$B3639="(blank)"),"",VLOOKUP($B3639,'Email Marketing Raw Data'!$C:$O,8,0)),"")</f>
        <v/>
      </c>
      <c r="Q3639" s="62" t="str">
        <f>IFERROR(IF(OR($B3639="",$B3639="(blank)"),"",VLOOKUP($B3639,'Email Marketing Raw Data'!$C:$O,9,0)),"")</f>
        <v/>
      </c>
    </row>
    <row r="3640" spans="4:17" ht="12.75" customHeight="1" x14ac:dyDescent="0.2">
      <c r="D3640" s="58" t="str">
        <f>IFERROR(IF(F3640&lt;&gt;"pending","",IF(OR($B3640="",$B3640="(blank)"),"",VLOOKUP($B3640,'Email Marketing Raw Data'!$C:$O,10,0))),"")</f>
        <v/>
      </c>
      <c r="E3640" s="59" t="str">
        <f>IFERROR(IF(F3640&lt;&gt;"pending","",IF(OR($B3640="",$B3640="(blank)"),"",VLOOKUP($B3640,'Email Marketing Raw Data'!$C:$O,11,0))),"")</f>
        <v/>
      </c>
      <c r="F3640" s="54" t="str">
        <f>IFERROR(IF(OR($B3640="",$B3640="(blank)"),"",VLOOKUP($B3640,'Email Marketing Raw Data'!$C:$O,13,0)),"")</f>
        <v/>
      </c>
      <c r="G3640" s="55" t="str">
        <f>IFERROR(IF(OR($B3640="",$B3640="(blank)"),"",VLOOKUP($B3640,'Email Marketing Raw Data'!$C:$O,4,0)),"")</f>
        <v/>
      </c>
      <c r="H3640" s="55" t="str">
        <f>IFERROR(IF(OR($B3640="",$B3640="(blank)"),"",VLOOKUP($B3640,'Email Marketing Raw Data'!$C:$O,5,0)),"")</f>
        <v/>
      </c>
      <c r="I3640" s="55" t="str">
        <f>IFERROR(IF($G3640="","",VLOOKUP('Dashboard And Emails Automate'!$G3640,Database!$H:$N,3,0)),"")</f>
        <v/>
      </c>
      <c r="J3640" s="55" t="str">
        <f>IFERROR(IF($G3640="","",VLOOKUP('Dashboard And Emails Automate'!$G3640,Database!$H:$N,4,0)),"")</f>
        <v/>
      </c>
      <c r="K3640" s="55" t="str">
        <f>IFERROR(IF($G3640="","",VLOOKUP('Dashboard And Emails Automate'!$G3640,Database!$H:$N,5,0)),"")</f>
        <v/>
      </c>
      <c r="L3640" s="55" t="str">
        <f>IFERROR(IF($G3640="","",VLOOKUP('Dashboard And Emails Automate'!$G3640,Database!$H:$N,6,0)),"")</f>
        <v/>
      </c>
      <c r="M3640" s="55" t="str">
        <f>IFERROR(IF($G3640="","",VLOOKUP('Dashboard And Emails Automate'!$G3640,Database!$H:$N,7,0)),"")</f>
        <v/>
      </c>
      <c r="N3640" s="55" t="str">
        <f>IFERROR(IF(OR($B3640="",$B3640="(blank)"),"",VLOOKUP($B3640,'Email Marketing Raw Data'!$C:$O,6,0)),"")</f>
        <v/>
      </c>
      <c r="O3640" s="55" t="str">
        <f>IFERROR(IF(OR($B3640="",$B3640="(blank)"),"",VLOOKUP($B3640,'Email Marketing Raw Data'!$C:$O,7,0)),"")</f>
        <v/>
      </c>
      <c r="P3640" s="55" t="str">
        <f>IFERROR(IF(OR($B3640="",$B3640="(blank)"),"",VLOOKUP($B3640,'Email Marketing Raw Data'!$C:$O,8,0)),"")</f>
        <v/>
      </c>
      <c r="Q3640" s="62" t="str">
        <f>IFERROR(IF(OR($B3640="",$B3640="(blank)"),"",VLOOKUP($B3640,'Email Marketing Raw Data'!$C:$O,9,0)),"")</f>
        <v/>
      </c>
    </row>
    <row r="3641" spans="4:17" ht="12.75" customHeight="1" x14ac:dyDescent="0.2">
      <c r="D3641" s="58" t="str">
        <f>IFERROR(IF(F3641&lt;&gt;"pending","",IF(OR($B3641="",$B3641="(blank)"),"",VLOOKUP($B3641,'Email Marketing Raw Data'!$C:$O,10,0))),"")</f>
        <v/>
      </c>
      <c r="E3641" s="59" t="str">
        <f>IFERROR(IF(F3641&lt;&gt;"pending","",IF(OR($B3641="",$B3641="(blank)"),"",VLOOKUP($B3641,'Email Marketing Raw Data'!$C:$O,11,0))),"")</f>
        <v/>
      </c>
      <c r="F3641" s="54" t="str">
        <f>IFERROR(IF(OR($B3641="",$B3641="(blank)"),"",VLOOKUP($B3641,'Email Marketing Raw Data'!$C:$O,13,0)),"")</f>
        <v/>
      </c>
      <c r="G3641" s="55" t="str">
        <f>IFERROR(IF(OR($B3641="",$B3641="(blank)"),"",VLOOKUP($B3641,'Email Marketing Raw Data'!$C:$O,4,0)),"")</f>
        <v/>
      </c>
      <c r="H3641" s="55" t="str">
        <f>IFERROR(IF(OR($B3641="",$B3641="(blank)"),"",VLOOKUP($B3641,'Email Marketing Raw Data'!$C:$O,5,0)),"")</f>
        <v/>
      </c>
      <c r="I3641" s="55" t="str">
        <f>IFERROR(IF($G3641="","",VLOOKUP('Dashboard And Emails Automate'!$G3641,Database!$H:$N,3,0)),"")</f>
        <v/>
      </c>
      <c r="J3641" s="55" t="str">
        <f>IFERROR(IF($G3641="","",VLOOKUP('Dashboard And Emails Automate'!$G3641,Database!$H:$N,4,0)),"")</f>
        <v/>
      </c>
      <c r="K3641" s="55" t="str">
        <f>IFERROR(IF($G3641="","",VLOOKUP('Dashboard And Emails Automate'!$G3641,Database!$H:$N,5,0)),"")</f>
        <v/>
      </c>
      <c r="L3641" s="55" t="str">
        <f>IFERROR(IF($G3641="","",VLOOKUP('Dashboard And Emails Automate'!$G3641,Database!$H:$N,6,0)),"")</f>
        <v/>
      </c>
      <c r="M3641" s="55" t="str">
        <f>IFERROR(IF($G3641="","",VLOOKUP('Dashboard And Emails Automate'!$G3641,Database!$H:$N,7,0)),"")</f>
        <v/>
      </c>
      <c r="N3641" s="55" t="str">
        <f>IFERROR(IF(OR($B3641="",$B3641="(blank)"),"",VLOOKUP($B3641,'Email Marketing Raw Data'!$C:$O,6,0)),"")</f>
        <v/>
      </c>
      <c r="O3641" s="55" t="str">
        <f>IFERROR(IF(OR($B3641="",$B3641="(blank)"),"",VLOOKUP($B3641,'Email Marketing Raw Data'!$C:$O,7,0)),"")</f>
        <v/>
      </c>
      <c r="P3641" s="55" t="str">
        <f>IFERROR(IF(OR($B3641="",$B3641="(blank)"),"",VLOOKUP($B3641,'Email Marketing Raw Data'!$C:$O,8,0)),"")</f>
        <v/>
      </c>
      <c r="Q3641" s="62" t="str">
        <f>IFERROR(IF(OR($B3641="",$B3641="(blank)"),"",VLOOKUP($B3641,'Email Marketing Raw Data'!$C:$O,9,0)),"")</f>
        <v/>
      </c>
    </row>
    <row r="3642" spans="4:17" ht="12.75" customHeight="1" x14ac:dyDescent="0.2">
      <c r="D3642" s="58" t="str">
        <f>IFERROR(IF(F3642&lt;&gt;"pending","",IF(OR($B3642="",$B3642="(blank)"),"",VLOOKUP($B3642,'Email Marketing Raw Data'!$C:$O,10,0))),"")</f>
        <v/>
      </c>
      <c r="E3642" s="59" t="str">
        <f>IFERROR(IF(F3642&lt;&gt;"pending","",IF(OR($B3642="",$B3642="(blank)"),"",VLOOKUP($B3642,'Email Marketing Raw Data'!$C:$O,11,0))),"")</f>
        <v/>
      </c>
      <c r="F3642" s="54" t="str">
        <f>IFERROR(IF(OR($B3642="",$B3642="(blank)"),"",VLOOKUP($B3642,'Email Marketing Raw Data'!$C:$O,13,0)),"")</f>
        <v/>
      </c>
      <c r="G3642" s="55" t="str">
        <f>IFERROR(IF(OR($B3642="",$B3642="(blank)"),"",VLOOKUP($B3642,'Email Marketing Raw Data'!$C:$O,4,0)),"")</f>
        <v/>
      </c>
      <c r="H3642" s="55" t="str">
        <f>IFERROR(IF(OR($B3642="",$B3642="(blank)"),"",VLOOKUP($B3642,'Email Marketing Raw Data'!$C:$O,5,0)),"")</f>
        <v/>
      </c>
      <c r="I3642" s="55" t="str">
        <f>IFERROR(IF($G3642="","",VLOOKUP('Dashboard And Emails Automate'!$G3642,Database!$H:$N,3,0)),"")</f>
        <v/>
      </c>
      <c r="J3642" s="55" t="str">
        <f>IFERROR(IF($G3642="","",VLOOKUP('Dashboard And Emails Automate'!$G3642,Database!$H:$N,4,0)),"")</f>
        <v/>
      </c>
      <c r="K3642" s="55" t="str">
        <f>IFERROR(IF($G3642="","",VLOOKUP('Dashboard And Emails Automate'!$G3642,Database!$H:$N,5,0)),"")</f>
        <v/>
      </c>
      <c r="L3642" s="55" t="str">
        <f>IFERROR(IF($G3642="","",VLOOKUP('Dashboard And Emails Automate'!$G3642,Database!$H:$N,6,0)),"")</f>
        <v/>
      </c>
      <c r="M3642" s="55" t="str">
        <f>IFERROR(IF($G3642="","",VLOOKUP('Dashboard And Emails Automate'!$G3642,Database!$H:$N,7,0)),"")</f>
        <v/>
      </c>
      <c r="N3642" s="55" t="str">
        <f>IFERROR(IF(OR($B3642="",$B3642="(blank)"),"",VLOOKUP($B3642,'Email Marketing Raw Data'!$C:$O,6,0)),"")</f>
        <v/>
      </c>
      <c r="O3642" s="55" t="str">
        <f>IFERROR(IF(OR($B3642="",$B3642="(blank)"),"",VLOOKUP($B3642,'Email Marketing Raw Data'!$C:$O,7,0)),"")</f>
        <v/>
      </c>
      <c r="P3642" s="55" t="str">
        <f>IFERROR(IF(OR($B3642="",$B3642="(blank)"),"",VLOOKUP($B3642,'Email Marketing Raw Data'!$C:$O,8,0)),"")</f>
        <v/>
      </c>
      <c r="Q3642" s="62" t="str">
        <f>IFERROR(IF(OR($B3642="",$B3642="(blank)"),"",VLOOKUP($B3642,'Email Marketing Raw Data'!$C:$O,9,0)),"")</f>
        <v/>
      </c>
    </row>
    <row r="3643" spans="4:17" ht="12.75" customHeight="1" x14ac:dyDescent="0.2">
      <c r="D3643" s="58" t="str">
        <f>IFERROR(IF(F3643&lt;&gt;"pending","",IF(OR($B3643="",$B3643="(blank)"),"",VLOOKUP($B3643,'Email Marketing Raw Data'!$C:$O,10,0))),"")</f>
        <v/>
      </c>
      <c r="E3643" s="59" t="str">
        <f>IFERROR(IF(F3643&lt;&gt;"pending","",IF(OR($B3643="",$B3643="(blank)"),"",VLOOKUP($B3643,'Email Marketing Raw Data'!$C:$O,11,0))),"")</f>
        <v/>
      </c>
      <c r="F3643" s="54" t="str">
        <f>IFERROR(IF(OR($B3643="",$B3643="(blank)"),"",VLOOKUP($B3643,'Email Marketing Raw Data'!$C:$O,13,0)),"")</f>
        <v/>
      </c>
      <c r="G3643" s="55" t="str">
        <f>IFERROR(IF(OR($B3643="",$B3643="(blank)"),"",VLOOKUP($B3643,'Email Marketing Raw Data'!$C:$O,4,0)),"")</f>
        <v/>
      </c>
      <c r="H3643" s="55" t="str">
        <f>IFERROR(IF(OR($B3643="",$B3643="(blank)"),"",VLOOKUP($B3643,'Email Marketing Raw Data'!$C:$O,5,0)),"")</f>
        <v/>
      </c>
      <c r="I3643" s="55" t="str">
        <f>IFERROR(IF($G3643="","",VLOOKUP('Dashboard And Emails Automate'!$G3643,Database!$H:$N,3,0)),"")</f>
        <v/>
      </c>
      <c r="J3643" s="55" t="str">
        <f>IFERROR(IF($G3643="","",VLOOKUP('Dashboard And Emails Automate'!$G3643,Database!$H:$N,4,0)),"")</f>
        <v/>
      </c>
      <c r="K3643" s="55" t="str">
        <f>IFERROR(IF($G3643="","",VLOOKUP('Dashboard And Emails Automate'!$G3643,Database!$H:$N,5,0)),"")</f>
        <v/>
      </c>
      <c r="L3643" s="55" t="str">
        <f>IFERROR(IF($G3643="","",VLOOKUP('Dashboard And Emails Automate'!$G3643,Database!$H:$N,6,0)),"")</f>
        <v/>
      </c>
      <c r="M3643" s="55" t="str">
        <f>IFERROR(IF($G3643="","",VLOOKUP('Dashboard And Emails Automate'!$G3643,Database!$H:$N,7,0)),"")</f>
        <v/>
      </c>
      <c r="N3643" s="55" t="str">
        <f>IFERROR(IF(OR($B3643="",$B3643="(blank)"),"",VLOOKUP($B3643,'Email Marketing Raw Data'!$C:$O,6,0)),"")</f>
        <v/>
      </c>
      <c r="O3643" s="55" t="str">
        <f>IFERROR(IF(OR($B3643="",$B3643="(blank)"),"",VLOOKUP($B3643,'Email Marketing Raw Data'!$C:$O,7,0)),"")</f>
        <v/>
      </c>
      <c r="P3643" s="55" t="str">
        <f>IFERROR(IF(OR($B3643="",$B3643="(blank)"),"",VLOOKUP($B3643,'Email Marketing Raw Data'!$C:$O,8,0)),"")</f>
        <v/>
      </c>
      <c r="Q3643" s="62" t="str">
        <f>IFERROR(IF(OR($B3643="",$B3643="(blank)"),"",VLOOKUP($B3643,'Email Marketing Raw Data'!$C:$O,9,0)),"")</f>
        <v/>
      </c>
    </row>
    <row r="3644" spans="4:17" ht="12.75" customHeight="1" x14ac:dyDescent="0.2">
      <c r="D3644" s="58" t="str">
        <f>IFERROR(IF(F3644&lt;&gt;"pending","",IF(OR($B3644="",$B3644="(blank)"),"",VLOOKUP($B3644,'Email Marketing Raw Data'!$C:$O,10,0))),"")</f>
        <v/>
      </c>
      <c r="E3644" s="59" t="str">
        <f>IFERROR(IF(F3644&lt;&gt;"pending","",IF(OR($B3644="",$B3644="(blank)"),"",VLOOKUP($B3644,'Email Marketing Raw Data'!$C:$O,11,0))),"")</f>
        <v/>
      </c>
      <c r="F3644" s="54" t="str">
        <f>IFERROR(IF(OR($B3644="",$B3644="(blank)"),"",VLOOKUP($B3644,'Email Marketing Raw Data'!$C:$O,13,0)),"")</f>
        <v/>
      </c>
      <c r="G3644" s="55" t="str">
        <f>IFERROR(IF(OR($B3644="",$B3644="(blank)"),"",VLOOKUP($B3644,'Email Marketing Raw Data'!$C:$O,4,0)),"")</f>
        <v/>
      </c>
      <c r="H3644" s="55" t="str">
        <f>IFERROR(IF(OR($B3644="",$B3644="(blank)"),"",VLOOKUP($B3644,'Email Marketing Raw Data'!$C:$O,5,0)),"")</f>
        <v/>
      </c>
      <c r="I3644" s="55" t="str">
        <f>IFERROR(IF($G3644="","",VLOOKUP('Dashboard And Emails Automate'!$G3644,Database!$H:$N,3,0)),"")</f>
        <v/>
      </c>
      <c r="J3644" s="55" t="str">
        <f>IFERROR(IF($G3644="","",VLOOKUP('Dashboard And Emails Automate'!$G3644,Database!$H:$N,4,0)),"")</f>
        <v/>
      </c>
      <c r="K3644" s="55" t="str">
        <f>IFERROR(IF($G3644="","",VLOOKUP('Dashboard And Emails Automate'!$G3644,Database!$H:$N,5,0)),"")</f>
        <v/>
      </c>
      <c r="L3644" s="55" t="str">
        <f>IFERROR(IF($G3644="","",VLOOKUP('Dashboard And Emails Automate'!$G3644,Database!$H:$N,6,0)),"")</f>
        <v/>
      </c>
      <c r="M3644" s="55" t="str">
        <f>IFERROR(IF($G3644="","",VLOOKUP('Dashboard And Emails Automate'!$G3644,Database!$H:$N,7,0)),"")</f>
        <v/>
      </c>
      <c r="N3644" s="55" t="str">
        <f>IFERROR(IF(OR($B3644="",$B3644="(blank)"),"",VLOOKUP($B3644,'Email Marketing Raw Data'!$C:$O,6,0)),"")</f>
        <v/>
      </c>
      <c r="O3644" s="55" t="str">
        <f>IFERROR(IF(OR($B3644="",$B3644="(blank)"),"",VLOOKUP($B3644,'Email Marketing Raw Data'!$C:$O,7,0)),"")</f>
        <v/>
      </c>
      <c r="P3644" s="55" t="str">
        <f>IFERROR(IF(OR($B3644="",$B3644="(blank)"),"",VLOOKUP($B3644,'Email Marketing Raw Data'!$C:$O,8,0)),"")</f>
        <v/>
      </c>
      <c r="Q3644" s="62" t="str">
        <f>IFERROR(IF(OR($B3644="",$B3644="(blank)"),"",VLOOKUP($B3644,'Email Marketing Raw Data'!$C:$O,9,0)),"")</f>
        <v/>
      </c>
    </row>
    <row r="3645" spans="4:17" ht="12.75" customHeight="1" x14ac:dyDescent="0.2">
      <c r="D3645" s="58" t="str">
        <f>IFERROR(IF(F3645&lt;&gt;"pending","",IF(OR($B3645="",$B3645="(blank)"),"",VLOOKUP($B3645,'Email Marketing Raw Data'!$C:$O,10,0))),"")</f>
        <v/>
      </c>
      <c r="E3645" s="59" t="str">
        <f>IFERROR(IF(F3645&lt;&gt;"pending","",IF(OR($B3645="",$B3645="(blank)"),"",VLOOKUP($B3645,'Email Marketing Raw Data'!$C:$O,11,0))),"")</f>
        <v/>
      </c>
      <c r="F3645" s="54" t="str">
        <f>IFERROR(IF(OR($B3645="",$B3645="(blank)"),"",VLOOKUP($B3645,'Email Marketing Raw Data'!$C:$O,13,0)),"")</f>
        <v/>
      </c>
      <c r="G3645" s="55" t="str">
        <f>IFERROR(IF(OR($B3645="",$B3645="(blank)"),"",VLOOKUP($B3645,'Email Marketing Raw Data'!$C:$O,4,0)),"")</f>
        <v/>
      </c>
      <c r="H3645" s="55" t="str">
        <f>IFERROR(IF(OR($B3645="",$B3645="(blank)"),"",VLOOKUP($B3645,'Email Marketing Raw Data'!$C:$O,5,0)),"")</f>
        <v/>
      </c>
      <c r="I3645" s="55" t="str">
        <f>IFERROR(IF($G3645="","",VLOOKUP('Dashboard And Emails Automate'!$G3645,Database!$H:$N,3,0)),"")</f>
        <v/>
      </c>
      <c r="J3645" s="55" t="str">
        <f>IFERROR(IF($G3645="","",VLOOKUP('Dashboard And Emails Automate'!$G3645,Database!$H:$N,4,0)),"")</f>
        <v/>
      </c>
      <c r="K3645" s="55" t="str">
        <f>IFERROR(IF($G3645="","",VLOOKUP('Dashboard And Emails Automate'!$G3645,Database!$H:$N,5,0)),"")</f>
        <v/>
      </c>
      <c r="L3645" s="55" t="str">
        <f>IFERROR(IF($G3645="","",VLOOKUP('Dashboard And Emails Automate'!$G3645,Database!$H:$N,6,0)),"")</f>
        <v/>
      </c>
      <c r="M3645" s="55" t="str">
        <f>IFERROR(IF($G3645="","",VLOOKUP('Dashboard And Emails Automate'!$G3645,Database!$H:$N,7,0)),"")</f>
        <v/>
      </c>
      <c r="N3645" s="55" t="str">
        <f>IFERROR(IF(OR($B3645="",$B3645="(blank)"),"",VLOOKUP($B3645,'Email Marketing Raw Data'!$C:$O,6,0)),"")</f>
        <v/>
      </c>
      <c r="O3645" s="55" t="str">
        <f>IFERROR(IF(OR($B3645="",$B3645="(blank)"),"",VLOOKUP($B3645,'Email Marketing Raw Data'!$C:$O,7,0)),"")</f>
        <v/>
      </c>
      <c r="P3645" s="55" t="str">
        <f>IFERROR(IF(OR($B3645="",$B3645="(blank)"),"",VLOOKUP($B3645,'Email Marketing Raw Data'!$C:$O,8,0)),"")</f>
        <v/>
      </c>
      <c r="Q3645" s="62" t="str">
        <f>IFERROR(IF(OR($B3645="",$B3645="(blank)"),"",VLOOKUP($B3645,'Email Marketing Raw Data'!$C:$O,9,0)),"")</f>
        <v/>
      </c>
    </row>
    <row r="3646" spans="4:17" ht="12.75" customHeight="1" x14ac:dyDescent="0.2">
      <c r="D3646" s="58" t="str">
        <f>IFERROR(IF(F3646&lt;&gt;"pending","",IF(OR($B3646="",$B3646="(blank)"),"",VLOOKUP($B3646,'Email Marketing Raw Data'!$C:$O,10,0))),"")</f>
        <v/>
      </c>
      <c r="E3646" s="59" t="str">
        <f>IFERROR(IF(F3646&lt;&gt;"pending","",IF(OR($B3646="",$B3646="(blank)"),"",VLOOKUP($B3646,'Email Marketing Raw Data'!$C:$O,11,0))),"")</f>
        <v/>
      </c>
      <c r="F3646" s="54" t="str">
        <f>IFERROR(IF(OR($B3646="",$B3646="(blank)"),"",VLOOKUP($B3646,'Email Marketing Raw Data'!$C:$O,13,0)),"")</f>
        <v/>
      </c>
      <c r="G3646" s="55" t="str">
        <f>IFERROR(IF(OR($B3646="",$B3646="(blank)"),"",VLOOKUP($B3646,'Email Marketing Raw Data'!$C:$O,4,0)),"")</f>
        <v/>
      </c>
      <c r="H3646" s="55" t="str">
        <f>IFERROR(IF(OR($B3646="",$B3646="(blank)"),"",VLOOKUP($B3646,'Email Marketing Raw Data'!$C:$O,5,0)),"")</f>
        <v/>
      </c>
      <c r="I3646" s="55" t="str">
        <f>IFERROR(IF($G3646="","",VLOOKUP('Dashboard And Emails Automate'!$G3646,Database!$H:$N,3,0)),"")</f>
        <v/>
      </c>
      <c r="J3646" s="55" t="str">
        <f>IFERROR(IF($G3646="","",VLOOKUP('Dashboard And Emails Automate'!$G3646,Database!$H:$N,4,0)),"")</f>
        <v/>
      </c>
      <c r="K3646" s="55" t="str">
        <f>IFERROR(IF($G3646="","",VLOOKUP('Dashboard And Emails Automate'!$G3646,Database!$H:$N,5,0)),"")</f>
        <v/>
      </c>
      <c r="L3646" s="55" t="str">
        <f>IFERROR(IF($G3646="","",VLOOKUP('Dashboard And Emails Automate'!$G3646,Database!$H:$N,6,0)),"")</f>
        <v/>
      </c>
      <c r="M3646" s="55" t="str">
        <f>IFERROR(IF($G3646="","",VLOOKUP('Dashboard And Emails Automate'!$G3646,Database!$H:$N,7,0)),"")</f>
        <v/>
      </c>
      <c r="N3646" s="55" t="str">
        <f>IFERROR(IF(OR($B3646="",$B3646="(blank)"),"",VLOOKUP($B3646,'Email Marketing Raw Data'!$C:$O,6,0)),"")</f>
        <v/>
      </c>
      <c r="O3646" s="55" t="str">
        <f>IFERROR(IF(OR($B3646="",$B3646="(blank)"),"",VLOOKUP($B3646,'Email Marketing Raw Data'!$C:$O,7,0)),"")</f>
        <v/>
      </c>
      <c r="P3646" s="55" t="str">
        <f>IFERROR(IF(OR($B3646="",$B3646="(blank)"),"",VLOOKUP($B3646,'Email Marketing Raw Data'!$C:$O,8,0)),"")</f>
        <v/>
      </c>
      <c r="Q3646" s="62" t="str">
        <f>IFERROR(IF(OR($B3646="",$B3646="(blank)"),"",VLOOKUP($B3646,'Email Marketing Raw Data'!$C:$O,9,0)),"")</f>
        <v/>
      </c>
    </row>
    <row r="3647" spans="4:17" ht="12.75" customHeight="1" x14ac:dyDescent="0.2">
      <c r="D3647" s="58" t="str">
        <f>IFERROR(IF(F3647&lt;&gt;"pending","",IF(OR($B3647="",$B3647="(blank)"),"",VLOOKUP($B3647,'Email Marketing Raw Data'!$C:$O,10,0))),"")</f>
        <v/>
      </c>
      <c r="E3647" s="59" t="str">
        <f>IFERROR(IF(F3647&lt;&gt;"pending","",IF(OR($B3647="",$B3647="(blank)"),"",VLOOKUP($B3647,'Email Marketing Raw Data'!$C:$O,11,0))),"")</f>
        <v/>
      </c>
      <c r="F3647" s="54" t="str">
        <f>IFERROR(IF(OR($B3647="",$B3647="(blank)"),"",VLOOKUP($B3647,'Email Marketing Raw Data'!$C:$O,13,0)),"")</f>
        <v/>
      </c>
      <c r="G3647" s="55" t="str">
        <f>IFERROR(IF(OR($B3647="",$B3647="(blank)"),"",VLOOKUP($B3647,'Email Marketing Raw Data'!$C:$O,4,0)),"")</f>
        <v/>
      </c>
      <c r="H3647" s="55" t="str">
        <f>IFERROR(IF(OR($B3647="",$B3647="(blank)"),"",VLOOKUP($B3647,'Email Marketing Raw Data'!$C:$O,5,0)),"")</f>
        <v/>
      </c>
      <c r="I3647" s="55" t="str">
        <f>IFERROR(IF($G3647="","",VLOOKUP('Dashboard And Emails Automate'!$G3647,Database!$H:$N,3,0)),"")</f>
        <v/>
      </c>
      <c r="J3647" s="55" t="str">
        <f>IFERROR(IF($G3647="","",VLOOKUP('Dashboard And Emails Automate'!$G3647,Database!$H:$N,4,0)),"")</f>
        <v/>
      </c>
      <c r="K3647" s="55" t="str">
        <f>IFERROR(IF($G3647="","",VLOOKUP('Dashboard And Emails Automate'!$G3647,Database!$H:$N,5,0)),"")</f>
        <v/>
      </c>
      <c r="L3647" s="55" t="str">
        <f>IFERROR(IF($G3647="","",VLOOKUP('Dashboard And Emails Automate'!$G3647,Database!$H:$N,6,0)),"")</f>
        <v/>
      </c>
      <c r="M3647" s="55" t="str">
        <f>IFERROR(IF($G3647="","",VLOOKUP('Dashboard And Emails Automate'!$G3647,Database!$H:$N,7,0)),"")</f>
        <v/>
      </c>
      <c r="N3647" s="55" t="str">
        <f>IFERROR(IF(OR($B3647="",$B3647="(blank)"),"",VLOOKUP($B3647,'Email Marketing Raw Data'!$C:$O,6,0)),"")</f>
        <v/>
      </c>
      <c r="O3647" s="55" t="str">
        <f>IFERROR(IF(OR($B3647="",$B3647="(blank)"),"",VLOOKUP($B3647,'Email Marketing Raw Data'!$C:$O,7,0)),"")</f>
        <v/>
      </c>
      <c r="P3647" s="55" t="str">
        <f>IFERROR(IF(OR($B3647="",$B3647="(blank)"),"",VLOOKUP($B3647,'Email Marketing Raw Data'!$C:$O,8,0)),"")</f>
        <v/>
      </c>
      <c r="Q3647" s="62" t="str">
        <f>IFERROR(IF(OR($B3647="",$B3647="(blank)"),"",VLOOKUP($B3647,'Email Marketing Raw Data'!$C:$O,9,0)),"")</f>
        <v/>
      </c>
    </row>
    <row r="3648" spans="4:17" ht="12.75" customHeight="1" x14ac:dyDescent="0.2">
      <c r="D3648" s="58" t="str">
        <f>IFERROR(IF(F3648&lt;&gt;"pending","",IF(OR($B3648="",$B3648="(blank)"),"",VLOOKUP($B3648,'Email Marketing Raw Data'!$C:$O,10,0))),"")</f>
        <v/>
      </c>
      <c r="E3648" s="59" t="str">
        <f>IFERROR(IF(F3648&lt;&gt;"pending","",IF(OR($B3648="",$B3648="(blank)"),"",VLOOKUP($B3648,'Email Marketing Raw Data'!$C:$O,11,0))),"")</f>
        <v/>
      </c>
      <c r="F3648" s="54" t="str">
        <f>IFERROR(IF(OR($B3648="",$B3648="(blank)"),"",VLOOKUP($B3648,'Email Marketing Raw Data'!$C:$O,13,0)),"")</f>
        <v/>
      </c>
      <c r="G3648" s="55" t="str">
        <f>IFERROR(IF(OR($B3648="",$B3648="(blank)"),"",VLOOKUP($B3648,'Email Marketing Raw Data'!$C:$O,4,0)),"")</f>
        <v/>
      </c>
      <c r="H3648" s="55" t="str">
        <f>IFERROR(IF(OR($B3648="",$B3648="(blank)"),"",VLOOKUP($B3648,'Email Marketing Raw Data'!$C:$O,5,0)),"")</f>
        <v/>
      </c>
      <c r="I3648" s="55" t="str">
        <f>IFERROR(IF($G3648="","",VLOOKUP('Dashboard And Emails Automate'!$G3648,Database!$H:$N,3,0)),"")</f>
        <v/>
      </c>
      <c r="J3648" s="55" t="str">
        <f>IFERROR(IF($G3648="","",VLOOKUP('Dashboard And Emails Automate'!$G3648,Database!$H:$N,4,0)),"")</f>
        <v/>
      </c>
      <c r="K3648" s="55" t="str">
        <f>IFERROR(IF($G3648="","",VLOOKUP('Dashboard And Emails Automate'!$G3648,Database!$H:$N,5,0)),"")</f>
        <v/>
      </c>
      <c r="L3648" s="55" t="str">
        <f>IFERROR(IF($G3648="","",VLOOKUP('Dashboard And Emails Automate'!$G3648,Database!$H:$N,6,0)),"")</f>
        <v/>
      </c>
      <c r="M3648" s="55" t="str">
        <f>IFERROR(IF($G3648="","",VLOOKUP('Dashboard And Emails Automate'!$G3648,Database!$H:$N,7,0)),"")</f>
        <v/>
      </c>
      <c r="N3648" s="55" t="str">
        <f>IFERROR(IF(OR($B3648="",$B3648="(blank)"),"",VLOOKUP($B3648,'Email Marketing Raw Data'!$C:$O,6,0)),"")</f>
        <v/>
      </c>
      <c r="O3648" s="55" t="str">
        <f>IFERROR(IF(OR($B3648="",$B3648="(blank)"),"",VLOOKUP($B3648,'Email Marketing Raw Data'!$C:$O,7,0)),"")</f>
        <v/>
      </c>
      <c r="P3648" s="55" t="str">
        <f>IFERROR(IF(OR($B3648="",$B3648="(blank)"),"",VLOOKUP($B3648,'Email Marketing Raw Data'!$C:$O,8,0)),"")</f>
        <v/>
      </c>
      <c r="Q3648" s="62" t="str">
        <f>IFERROR(IF(OR($B3648="",$B3648="(blank)"),"",VLOOKUP($B3648,'Email Marketing Raw Data'!$C:$O,9,0)),"")</f>
        <v/>
      </c>
    </row>
    <row r="3649" spans="4:17" ht="12.75" customHeight="1" x14ac:dyDescent="0.2">
      <c r="D3649" s="58" t="str">
        <f>IFERROR(IF(F3649&lt;&gt;"pending","",IF(OR($B3649="",$B3649="(blank)"),"",VLOOKUP($B3649,'Email Marketing Raw Data'!$C:$O,10,0))),"")</f>
        <v/>
      </c>
      <c r="E3649" s="59" t="str">
        <f>IFERROR(IF(F3649&lt;&gt;"pending","",IF(OR($B3649="",$B3649="(blank)"),"",VLOOKUP($B3649,'Email Marketing Raw Data'!$C:$O,11,0))),"")</f>
        <v/>
      </c>
      <c r="F3649" s="54" t="str">
        <f>IFERROR(IF(OR($B3649="",$B3649="(blank)"),"",VLOOKUP($B3649,'Email Marketing Raw Data'!$C:$O,13,0)),"")</f>
        <v/>
      </c>
      <c r="G3649" s="55" t="str">
        <f>IFERROR(IF(OR($B3649="",$B3649="(blank)"),"",VLOOKUP($B3649,'Email Marketing Raw Data'!$C:$O,4,0)),"")</f>
        <v/>
      </c>
      <c r="H3649" s="55" t="str">
        <f>IFERROR(IF(OR($B3649="",$B3649="(blank)"),"",VLOOKUP($B3649,'Email Marketing Raw Data'!$C:$O,5,0)),"")</f>
        <v/>
      </c>
      <c r="I3649" s="55" t="str">
        <f>IFERROR(IF($G3649="","",VLOOKUP('Dashboard And Emails Automate'!$G3649,Database!$H:$N,3,0)),"")</f>
        <v/>
      </c>
      <c r="J3649" s="55" t="str">
        <f>IFERROR(IF($G3649="","",VLOOKUP('Dashboard And Emails Automate'!$G3649,Database!$H:$N,4,0)),"")</f>
        <v/>
      </c>
      <c r="K3649" s="55" t="str">
        <f>IFERROR(IF($G3649="","",VLOOKUP('Dashboard And Emails Automate'!$G3649,Database!$H:$N,5,0)),"")</f>
        <v/>
      </c>
      <c r="L3649" s="55" t="str">
        <f>IFERROR(IF($G3649="","",VLOOKUP('Dashboard And Emails Automate'!$G3649,Database!$H:$N,6,0)),"")</f>
        <v/>
      </c>
      <c r="M3649" s="55" t="str">
        <f>IFERROR(IF($G3649="","",VLOOKUP('Dashboard And Emails Automate'!$G3649,Database!$H:$N,7,0)),"")</f>
        <v/>
      </c>
      <c r="N3649" s="55" t="str">
        <f>IFERROR(IF(OR($B3649="",$B3649="(blank)"),"",VLOOKUP($B3649,'Email Marketing Raw Data'!$C:$O,6,0)),"")</f>
        <v/>
      </c>
      <c r="O3649" s="55" t="str">
        <f>IFERROR(IF(OR($B3649="",$B3649="(blank)"),"",VLOOKUP($B3649,'Email Marketing Raw Data'!$C:$O,7,0)),"")</f>
        <v/>
      </c>
      <c r="P3649" s="55" t="str">
        <f>IFERROR(IF(OR($B3649="",$B3649="(blank)"),"",VLOOKUP($B3649,'Email Marketing Raw Data'!$C:$O,8,0)),"")</f>
        <v/>
      </c>
      <c r="Q3649" s="62" t="str">
        <f>IFERROR(IF(OR($B3649="",$B3649="(blank)"),"",VLOOKUP($B3649,'Email Marketing Raw Data'!$C:$O,9,0)),"")</f>
        <v/>
      </c>
    </row>
    <row r="3650" spans="4:17" ht="12.75" customHeight="1" x14ac:dyDescent="0.2">
      <c r="D3650" s="58" t="str">
        <f>IFERROR(IF(F3650&lt;&gt;"pending","",IF(OR($B3650="",$B3650="(blank)"),"",VLOOKUP($B3650,'Email Marketing Raw Data'!$C:$O,10,0))),"")</f>
        <v/>
      </c>
      <c r="E3650" s="59" t="str">
        <f>IFERROR(IF(F3650&lt;&gt;"pending","",IF(OR($B3650="",$B3650="(blank)"),"",VLOOKUP($B3650,'Email Marketing Raw Data'!$C:$O,11,0))),"")</f>
        <v/>
      </c>
      <c r="F3650" s="54" t="str">
        <f>IFERROR(IF(OR($B3650="",$B3650="(blank)"),"",VLOOKUP($B3650,'Email Marketing Raw Data'!$C:$O,13,0)),"")</f>
        <v/>
      </c>
      <c r="G3650" s="55" t="str">
        <f>IFERROR(IF(OR($B3650="",$B3650="(blank)"),"",VLOOKUP($B3650,'Email Marketing Raw Data'!$C:$O,4,0)),"")</f>
        <v/>
      </c>
      <c r="H3650" s="55" t="str">
        <f>IFERROR(IF(OR($B3650="",$B3650="(blank)"),"",VLOOKUP($B3650,'Email Marketing Raw Data'!$C:$O,5,0)),"")</f>
        <v/>
      </c>
      <c r="I3650" s="55" t="str">
        <f>IFERROR(IF($G3650="","",VLOOKUP('Dashboard And Emails Automate'!$G3650,Database!$H:$N,3,0)),"")</f>
        <v/>
      </c>
      <c r="J3650" s="55" t="str">
        <f>IFERROR(IF($G3650="","",VLOOKUP('Dashboard And Emails Automate'!$G3650,Database!$H:$N,4,0)),"")</f>
        <v/>
      </c>
      <c r="K3650" s="55" t="str">
        <f>IFERROR(IF($G3650="","",VLOOKUP('Dashboard And Emails Automate'!$G3650,Database!$H:$N,5,0)),"")</f>
        <v/>
      </c>
      <c r="L3650" s="55" t="str">
        <f>IFERROR(IF($G3650="","",VLOOKUP('Dashboard And Emails Automate'!$G3650,Database!$H:$N,6,0)),"")</f>
        <v/>
      </c>
      <c r="M3650" s="55" t="str">
        <f>IFERROR(IF($G3650="","",VLOOKUP('Dashboard And Emails Automate'!$G3650,Database!$H:$N,7,0)),"")</f>
        <v/>
      </c>
      <c r="N3650" s="55" t="str">
        <f>IFERROR(IF(OR($B3650="",$B3650="(blank)"),"",VLOOKUP($B3650,'Email Marketing Raw Data'!$C:$O,6,0)),"")</f>
        <v/>
      </c>
      <c r="O3650" s="55" t="str">
        <f>IFERROR(IF(OR($B3650="",$B3650="(blank)"),"",VLOOKUP($B3650,'Email Marketing Raw Data'!$C:$O,7,0)),"")</f>
        <v/>
      </c>
      <c r="P3650" s="55" t="str">
        <f>IFERROR(IF(OR($B3650="",$B3650="(blank)"),"",VLOOKUP($B3650,'Email Marketing Raw Data'!$C:$O,8,0)),"")</f>
        <v/>
      </c>
      <c r="Q3650" s="62" t="str">
        <f>IFERROR(IF(OR($B3650="",$B3650="(blank)"),"",VLOOKUP($B3650,'Email Marketing Raw Data'!$C:$O,9,0)),"")</f>
        <v/>
      </c>
    </row>
    <row r="3651" spans="4:17" ht="12.75" customHeight="1" x14ac:dyDescent="0.2">
      <c r="D3651" s="58" t="str">
        <f>IFERROR(IF(F3651&lt;&gt;"pending","",IF(OR($B3651="",$B3651="(blank)"),"",VLOOKUP($B3651,'Email Marketing Raw Data'!$C:$O,10,0))),"")</f>
        <v/>
      </c>
      <c r="E3651" s="59" t="str">
        <f>IFERROR(IF(F3651&lt;&gt;"pending","",IF(OR($B3651="",$B3651="(blank)"),"",VLOOKUP($B3651,'Email Marketing Raw Data'!$C:$O,11,0))),"")</f>
        <v/>
      </c>
      <c r="F3651" s="54" t="str">
        <f>IFERROR(IF(OR($B3651="",$B3651="(blank)"),"",VLOOKUP($B3651,'Email Marketing Raw Data'!$C:$O,13,0)),"")</f>
        <v/>
      </c>
      <c r="G3651" s="55" t="str">
        <f>IFERROR(IF(OR($B3651="",$B3651="(blank)"),"",VLOOKUP($B3651,'Email Marketing Raw Data'!$C:$O,4,0)),"")</f>
        <v/>
      </c>
      <c r="H3651" s="55" t="str">
        <f>IFERROR(IF(OR($B3651="",$B3651="(blank)"),"",VLOOKUP($B3651,'Email Marketing Raw Data'!$C:$O,5,0)),"")</f>
        <v/>
      </c>
      <c r="I3651" s="55" t="str">
        <f>IFERROR(IF($G3651="","",VLOOKUP('Dashboard And Emails Automate'!$G3651,Database!$H:$N,3,0)),"")</f>
        <v/>
      </c>
      <c r="J3651" s="55" t="str">
        <f>IFERROR(IF($G3651="","",VLOOKUP('Dashboard And Emails Automate'!$G3651,Database!$H:$N,4,0)),"")</f>
        <v/>
      </c>
      <c r="K3651" s="55" t="str">
        <f>IFERROR(IF($G3651="","",VLOOKUP('Dashboard And Emails Automate'!$G3651,Database!$H:$N,5,0)),"")</f>
        <v/>
      </c>
      <c r="L3651" s="55" t="str">
        <f>IFERROR(IF($G3651="","",VLOOKUP('Dashboard And Emails Automate'!$G3651,Database!$H:$N,6,0)),"")</f>
        <v/>
      </c>
      <c r="M3651" s="55" t="str">
        <f>IFERROR(IF($G3651="","",VLOOKUP('Dashboard And Emails Automate'!$G3651,Database!$H:$N,7,0)),"")</f>
        <v/>
      </c>
      <c r="N3651" s="55" t="str">
        <f>IFERROR(IF(OR($B3651="",$B3651="(blank)"),"",VLOOKUP($B3651,'Email Marketing Raw Data'!$C:$O,6,0)),"")</f>
        <v/>
      </c>
      <c r="O3651" s="55" t="str">
        <f>IFERROR(IF(OR($B3651="",$B3651="(blank)"),"",VLOOKUP($B3651,'Email Marketing Raw Data'!$C:$O,7,0)),"")</f>
        <v/>
      </c>
      <c r="P3651" s="55" t="str">
        <f>IFERROR(IF(OR($B3651="",$B3651="(blank)"),"",VLOOKUP($B3651,'Email Marketing Raw Data'!$C:$O,8,0)),"")</f>
        <v/>
      </c>
      <c r="Q3651" s="62" t="str">
        <f>IFERROR(IF(OR($B3651="",$B3651="(blank)"),"",VLOOKUP($B3651,'Email Marketing Raw Data'!$C:$O,9,0)),"")</f>
        <v/>
      </c>
    </row>
    <row r="3652" spans="4:17" ht="12.75" customHeight="1" x14ac:dyDescent="0.2">
      <c r="D3652" s="58" t="str">
        <f>IFERROR(IF(F3652&lt;&gt;"pending","",IF(OR($B3652="",$B3652="(blank)"),"",VLOOKUP($B3652,'Email Marketing Raw Data'!$C:$O,10,0))),"")</f>
        <v/>
      </c>
      <c r="E3652" s="59" t="str">
        <f>IFERROR(IF(F3652&lt;&gt;"pending","",IF(OR($B3652="",$B3652="(blank)"),"",VLOOKUP($B3652,'Email Marketing Raw Data'!$C:$O,11,0))),"")</f>
        <v/>
      </c>
      <c r="F3652" s="54" t="str">
        <f>IFERROR(IF(OR($B3652="",$B3652="(blank)"),"",VLOOKUP($B3652,'Email Marketing Raw Data'!$C:$O,13,0)),"")</f>
        <v/>
      </c>
      <c r="G3652" s="55" t="str">
        <f>IFERROR(IF(OR($B3652="",$B3652="(blank)"),"",VLOOKUP($B3652,'Email Marketing Raw Data'!$C:$O,4,0)),"")</f>
        <v/>
      </c>
      <c r="H3652" s="55" t="str">
        <f>IFERROR(IF(OR($B3652="",$B3652="(blank)"),"",VLOOKUP($B3652,'Email Marketing Raw Data'!$C:$O,5,0)),"")</f>
        <v/>
      </c>
      <c r="I3652" s="55" t="str">
        <f>IFERROR(IF($G3652="","",VLOOKUP('Dashboard And Emails Automate'!$G3652,Database!$H:$N,3,0)),"")</f>
        <v/>
      </c>
      <c r="J3652" s="55" t="str">
        <f>IFERROR(IF($G3652="","",VLOOKUP('Dashboard And Emails Automate'!$G3652,Database!$H:$N,4,0)),"")</f>
        <v/>
      </c>
      <c r="K3652" s="55" t="str">
        <f>IFERROR(IF($G3652="","",VLOOKUP('Dashboard And Emails Automate'!$G3652,Database!$H:$N,5,0)),"")</f>
        <v/>
      </c>
      <c r="L3652" s="55" t="str">
        <f>IFERROR(IF($G3652="","",VLOOKUP('Dashboard And Emails Automate'!$G3652,Database!$H:$N,6,0)),"")</f>
        <v/>
      </c>
      <c r="M3652" s="55" t="str">
        <f>IFERROR(IF($G3652="","",VLOOKUP('Dashboard And Emails Automate'!$G3652,Database!$H:$N,7,0)),"")</f>
        <v/>
      </c>
      <c r="N3652" s="55" t="str">
        <f>IFERROR(IF(OR($B3652="",$B3652="(blank)"),"",VLOOKUP($B3652,'Email Marketing Raw Data'!$C:$O,6,0)),"")</f>
        <v/>
      </c>
      <c r="O3652" s="55" t="str">
        <f>IFERROR(IF(OR($B3652="",$B3652="(blank)"),"",VLOOKUP($B3652,'Email Marketing Raw Data'!$C:$O,7,0)),"")</f>
        <v/>
      </c>
      <c r="P3652" s="55" t="str">
        <f>IFERROR(IF(OR($B3652="",$B3652="(blank)"),"",VLOOKUP($B3652,'Email Marketing Raw Data'!$C:$O,8,0)),"")</f>
        <v/>
      </c>
      <c r="Q3652" s="62" t="str">
        <f>IFERROR(IF(OR($B3652="",$B3652="(blank)"),"",VLOOKUP($B3652,'Email Marketing Raw Data'!$C:$O,9,0)),"")</f>
        <v/>
      </c>
    </row>
    <row r="3653" spans="4:17" ht="12.75" customHeight="1" x14ac:dyDescent="0.2">
      <c r="D3653" s="58" t="str">
        <f>IFERROR(IF(F3653&lt;&gt;"pending","",IF(OR($B3653="",$B3653="(blank)"),"",VLOOKUP($B3653,'Email Marketing Raw Data'!$C:$O,10,0))),"")</f>
        <v/>
      </c>
      <c r="E3653" s="59" t="str">
        <f>IFERROR(IF(F3653&lt;&gt;"pending","",IF(OR($B3653="",$B3653="(blank)"),"",VLOOKUP($B3653,'Email Marketing Raw Data'!$C:$O,11,0))),"")</f>
        <v/>
      </c>
      <c r="F3653" s="54" t="str">
        <f>IFERROR(IF(OR($B3653="",$B3653="(blank)"),"",VLOOKUP($B3653,'Email Marketing Raw Data'!$C:$O,13,0)),"")</f>
        <v/>
      </c>
      <c r="G3653" s="55" t="str">
        <f>IFERROR(IF(OR($B3653="",$B3653="(blank)"),"",VLOOKUP($B3653,'Email Marketing Raw Data'!$C:$O,4,0)),"")</f>
        <v/>
      </c>
      <c r="H3653" s="55" t="str">
        <f>IFERROR(IF(OR($B3653="",$B3653="(blank)"),"",VLOOKUP($B3653,'Email Marketing Raw Data'!$C:$O,5,0)),"")</f>
        <v/>
      </c>
      <c r="I3653" s="55" t="str">
        <f>IFERROR(IF($G3653="","",VLOOKUP('Dashboard And Emails Automate'!$G3653,Database!$H:$N,3,0)),"")</f>
        <v/>
      </c>
      <c r="J3653" s="55" t="str">
        <f>IFERROR(IF($G3653="","",VLOOKUP('Dashboard And Emails Automate'!$G3653,Database!$H:$N,4,0)),"")</f>
        <v/>
      </c>
      <c r="K3653" s="55" t="str">
        <f>IFERROR(IF($G3653="","",VLOOKUP('Dashboard And Emails Automate'!$G3653,Database!$H:$N,5,0)),"")</f>
        <v/>
      </c>
      <c r="L3653" s="55" t="str">
        <f>IFERROR(IF($G3653="","",VLOOKUP('Dashboard And Emails Automate'!$G3653,Database!$H:$N,6,0)),"")</f>
        <v/>
      </c>
      <c r="M3653" s="55" t="str">
        <f>IFERROR(IF($G3653="","",VLOOKUP('Dashboard And Emails Automate'!$G3653,Database!$H:$N,7,0)),"")</f>
        <v/>
      </c>
      <c r="N3653" s="55" t="str">
        <f>IFERROR(IF(OR($B3653="",$B3653="(blank)"),"",VLOOKUP($B3653,'Email Marketing Raw Data'!$C:$O,6,0)),"")</f>
        <v/>
      </c>
      <c r="O3653" s="55" t="str">
        <f>IFERROR(IF(OR($B3653="",$B3653="(blank)"),"",VLOOKUP($B3653,'Email Marketing Raw Data'!$C:$O,7,0)),"")</f>
        <v/>
      </c>
      <c r="P3653" s="55" t="str">
        <f>IFERROR(IF(OR($B3653="",$B3653="(blank)"),"",VLOOKUP($B3653,'Email Marketing Raw Data'!$C:$O,8,0)),"")</f>
        <v/>
      </c>
      <c r="Q3653" s="62" t="str">
        <f>IFERROR(IF(OR($B3653="",$B3653="(blank)"),"",VLOOKUP($B3653,'Email Marketing Raw Data'!$C:$O,9,0)),"")</f>
        <v/>
      </c>
    </row>
    <row r="3654" spans="4:17" ht="12.75" customHeight="1" x14ac:dyDescent="0.2">
      <c r="D3654" s="58" t="str">
        <f>IFERROR(IF(F3654&lt;&gt;"pending","",IF(OR($B3654="",$B3654="(blank)"),"",VLOOKUP($B3654,'Email Marketing Raw Data'!$C:$O,10,0))),"")</f>
        <v/>
      </c>
      <c r="E3654" s="59" t="str">
        <f>IFERROR(IF(F3654&lt;&gt;"pending","",IF(OR($B3654="",$B3654="(blank)"),"",VLOOKUP($B3654,'Email Marketing Raw Data'!$C:$O,11,0))),"")</f>
        <v/>
      </c>
      <c r="F3654" s="54" t="str">
        <f>IFERROR(IF(OR($B3654="",$B3654="(blank)"),"",VLOOKUP($B3654,'Email Marketing Raw Data'!$C:$O,13,0)),"")</f>
        <v/>
      </c>
      <c r="G3654" s="55" t="str">
        <f>IFERROR(IF(OR($B3654="",$B3654="(blank)"),"",VLOOKUP($B3654,'Email Marketing Raw Data'!$C:$O,4,0)),"")</f>
        <v/>
      </c>
      <c r="H3654" s="55" t="str">
        <f>IFERROR(IF(OR($B3654="",$B3654="(blank)"),"",VLOOKUP($B3654,'Email Marketing Raw Data'!$C:$O,5,0)),"")</f>
        <v/>
      </c>
      <c r="I3654" s="55" t="str">
        <f>IFERROR(IF($G3654="","",VLOOKUP('Dashboard And Emails Automate'!$G3654,Database!$H:$N,3,0)),"")</f>
        <v/>
      </c>
      <c r="J3654" s="55" t="str">
        <f>IFERROR(IF($G3654="","",VLOOKUP('Dashboard And Emails Automate'!$G3654,Database!$H:$N,4,0)),"")</f>
        <v/>
      </c>
      <c r="K3654" s="55" t="str">
        <f>IFERROR(IF($G3654="","",VLOOKUP('Dashboard And Emails Automate'!$G3654,Database!$H:$N,5,0)),"")</f>
        <v/>
      </c>
      <c r="L3654" s="55" t="str">
        <f>IFERROR(IF($G3654="","",VLOOKUP('Dashboard And Emails Automate'!$G3654,Database!$H:$N,6,0)),"")</f>
        <v/>
      </c>
      <c r="M3654" s="55" t="str">
        <f>IFERROR(IF($G3654="","",VLOOKUP('Dashboard And Emails Automate'!$G3654,Database!$H:$N,7,0)),"")</f>
        <v/>
      </c>
      <c r="N3654" s="55" t="str">
        <f>IFERROR(IF(OR($B3654="",$B3654="(blank)"),"",VLOOKUP($B3654,'Email Marketing Raw Data'!$C:$O,6,0)),"")</f>
        <v/>
      </c>
      <c r="O3654" s="55" t="str">
        <f>IFERROR(IF(OR($B3654="",$B3654="(blank)"),"",VLOOKUP($B3654,'Email Marketing Raw Data'!$C:$O,7,0)),"")</f>
        <v/>
      </c>
      <c r="P3654" s="55" t="str">
        <f>IFERROR(IF(OR($B3654="",$B3654="(blank)"),"",VLOOKUP($B3654,'Email Marketing Raw Data'!$C:$O,8,0)),"")</f>
        <v/>
      </c>
      <c r="Q3654" s="62" t="str">
        <f>IFERROR(IF(OR($B3654="",$B3654="(blank)"),"",VLOOKUP($B3654,'Email Marketing Raw Data'!$C:$O,9,0)),"")</f>
        <v/>
      </c>
    </row>
    <row r="3655" spans="4:17" ht="12.75" customHeight="1" x14ac:dyDescent="0.2">
      <c r="D3655" s="58" t="str">
        <f>IFERROR(IF(F3655&lt;&gt;"pending","",IF(OR($B3655="",$B3655="(blank)"),"",VLOOKUP($B3655,'Email Marketing Raw Data'!$C:$O,10,0))),"")</f>
        <v/>
      </c>
      <c r="E3655" s="59" t="str">
        <f>IFERROR(IF(F3655&lt;&gt;"pending","",IF(OR($B3655="",$B3655="(blank)"),"",VLOOKUP($B3655,'Email Marketing Raw Data'!$C:$O,11,0))),"")</f>
        <v/>
      </c>
      <c r="F3655" s="54" t="str">
        <f>IFERROR(IF(OR($B3655="",$B3655="(blank)"),"",VLOOKUP($B3655,'Email Marketing Raw Data'!$C:$O,13,0)),"")</f>
        <v/>
      </c>
      <c r="G3655" s="55" t="str">
        <f>IFERROR(IF(OR($B3655="",$B3655="(blank)"),"",VLOOKUP($B3655,'Email Marketing Raw Data'!$C:$O,4,0)),"")</f>
        <v/>
      </c>
      <c r="H3655" s="55" t="str">
        <f>IFERROR(IF(OR($B3655="",$B3655="(blank)"),"",VLOOKUP($B3655,'Email Marketing Raw Data'!$C:$O,5,0)),"")</f>
        <v/>
      </c>
      <c r="I3655" s="55" t="str">
        <f>IFERROR(IF($G3655="","",VLOOKUP('Dashboard And Emails Automate'!$G3655,Database!$H:$N,3,0)),"")</f>
        <v/>
      </c>
      <c r="J3655" s="55" t="str">
        <f>IFERROR(IF($G3655="","",VLOOKUP('Dashboard And Emails Automate'!$G3655,Database!$H:$N,4,0)),"")</f>
        <v/>
      </c>
      <c r="K3655" s="55" t="str">
        <f>IFERROR(IF($G3655="","",VLOOKUP('Dashboard And Emails Automate'!$G3655,Database!$H:$N,5,0)),"")</f>
        <v/>
      </c>
      <c r="L3655" s="55" t="str">
        <f>IFERROR(IF($G3655="","",VLOOKUP('Dashboard And Emails Automate'!$G3655,Database!$H:$N,6,0)),"")</f>
        <v/>
      </c>
      <c r="M3655" s="55" t="str">
        <f>IFERROR(IF($G3655="","",VLOOKUP('Dashboard And Emails Automate'!$G3655,Database!$H:$N,7,0)),"")</f>
        <v/>
      </c>
      <c r="N3655" s="55" t="str">
        <f>IFERROR(IF(OR($B3655="",$B3655="(blank)"),"",VLOOKUP($B3655,'Email Marketing Raw Data'!$C:$O,6,0)),"")</f>
        <v/>
      </c>
      <c r="O3655" s="55" t="str">
        <f>IFERROR(IF(OR($B3655="",$B3655="(blank)"),"",VLOOKUP($B3655,'Email Marketing Raw Data'!$C:$O,7,0)),"")</f>
        <v/>
      </c>
      <c r="P3655" s="55" t="str">
        <f>IFERROR(IF(OR($B3655="",$B3655="(blank)"),"",VLOOKUP($B3655,'Email Marketing Raw Data'!$C:$O,8,0)),"")</f>
        <v/>
      </c>
      <c r="Q3655" s="62" t="str">
        <f>IFERROR(IF(OR($B3655="",$B3655="(blank)"),"",VLOOKUP($B3655,'Email Marketing Raw Data'!$C:$O,9,0)),"")</f>
        <v/>
      </c>
    </row>
    <row r="3656" spans="4:17" ht="12.75" customHeight="1" x14ac:dyDescent="0.2">
      <c r="D3656" s="58" t="str">
        <f>IFERROR(IF(F3656&lt;&gt;"pending","",IF(OR($B3656="",$B3656="(blank)"),"",VLOOKUP($B3656,'Email Marketing Raw Data'!$C:$O,10,0))),"")</f>
        <v/>
      </c>
      <c r="E3656" s="59" t="str">
        <f>IFERROR(IF(F3656&lt;&gt;"pending","",IF(OR($B3656="",$B3656="(blank)"),"",VLOOKUP($B3656,'Email Marketing Raw Data'!$C:$O,11,0))),"")</f>
        <v/>
      </c>
      <c r="F3656" s="54" t="str">
        <f>IFERROR(IF(OR($B3656="",$B3656="(blank)"),"",VLOOKUP($B3656,'Email Marketing Raw Data'!$C:$O,13,0)),"")</f>
        <v/>
      </c>
      <c r="G3656" s="55" t="str">
        <f>IFERROR(IF(OR($B3656="",$B3656="(blank)"),"",VLOOKUP($B3656,'Email Marketing Raw Data'!$C:$O,4,0)),"")</f>
        <v/>
      </c>
      <c r="H3656" s="55" t="str">
        <f>IFERROR(IF(OR($B3656="",$B3656="(blank)"),"",VLOOKUP($B3656,'Email Marketing Raw Data'!$C:$O,5,0)),"")</f>
        <v/>
      </c>
      <c r="I3656" s="55" t="str">
        <f>IFERROR(IF($G3656="","",VLOOKUP('Dashboard And Emails Automate'!$G3656,Database!$H:$N,3,0)),"")</f>
        <v/>
      </c>
      <c r="J3656" s="55" t="str">
        <f>IFERROR(IF($G3656="","",VLOOKUP('Dashboard And Emails Automate'!$G3656,Database!$H:$N,4,0)),"")</f>
        <v/>
      </c>
      <c r="K3656" s="55" t="str">
        <f>IFERROR(IF($G3656="","",VLOOKUP('Dashboard And Emails Automate'!$G3656,Database!$H:$N,5,0)),"")</f>
        <v/>
      </c>
      <c r="L3656" s="55" t="str">
        <f>IFERROR(IF($G3656="","",VLOOKUP('Dashboard And Emails Automate'!$G3656,Database!$H:$N,6,0)),"")</f>
        <v/>
      </c>
      <c r="M3656" s="55" t="str">
        <f>IFERROR(IF($G3656="","",VLOOKUP('Dashboard And Emails Automate'!$G3656,Database!$H:$N,7,0)),"")</f>
        <v/>
      </c>
      <c r="N3656" s="55" t="str">
        <f>IFERROR(IF(OR($B3656="",$B3656="(blank)"),"",VLOOKUP($B3656,'Email Marketing Raw Data'!$C:$O,6,0)),"")</f>
        <v/>
      </c>
      <c r="O3656" s="55" t="str">
        <f>IFERROR(IF(OR($B3656="",$B3656="(blank)"),"",VLOOKUP($B3656,'Email Marketing Raw Data'!$C:$O,7,0)),"")</f>
        <v/>
      </c>
      <c r="P3656" s="55" t="str">
        <f>IFERROR(IF(OR($B3656="",$B3656="(blank)"),"",VLOOKUP($B3656,'Email Marketing Raw Data'!$C:$O,8,0)),"")</f>
        <v/>
      </c>
      <c r="Q3656" s="62" t="str">
        <f>IFERROR(IF(OR($B3656="",$B3656="(blank)"),"",VLOOKUP($B3656,'Email Marketing Raw Data'!$C:$O,9,0)),"")</f>
        <v/>
      </c>
    </row>
    <row r="3657" spans="4:17" ht="12.75" customHeight="1" x14ac:dyDescent="0.2">
      <c r="D3657" s="58" t="str">
        <f>IFERROR(IF(F3657&lt;&gt;"pending","",IF(OR($B3657="",$B3657="(blank)"),"",VLOOKUP($B3657,'Email Marketing Raw Data'!$C:$O,10,0))),"")</f>
        <v/>
      </c>
      <c r="E3657" s="59" t="str">
        <f>IFERROR(IF(F3657&lt;&gt;"pending","",IF(OR($B3657="",$B3657="(blank)"),"",VLOOKUP($B3657,'Email Marketing Raw Data'!$C:$O,11,0))),"")</f>
        <v/>
      </c>
      <c r="F3657" s="54" t="str">
        <f>IFERROR(IF(OR($B3657="",$B3657="(blank)"),"",VLOOKUP($B3657,'Email Marketing Raw Data'!$C:$O,13,0)),"")</f>
        <v/>
      </c>
      <c r="G3657" s="55" t="str">
        <f>IFERROR(IF(OR($B3657="",$B3657="(blank)"),"",VLOOKUP($B3657,'Email Marketing Raw Data'!$C:$O,4,0)),"")</f>
        <v/>
      </c>
      <c r="H3657" s="55" t="str">
        <f>IFERROR(IF(OR($B3657="",$B3657="(blank)"),"",VLOOKUP($B3657,'Email Marketing Raw Data'!$C:$O,5,0)),"")</f>
        <v/>
      </c>
      <c r="I3657" s="55" t="str">
        <f>IFERROR(IF($G3657="","",VLOOKUP('Dashboard And Emails Automate'!$G3657,Database!$H:$N,3,0)),"")</f>
        <v/>
      </c>
      <c r="J3657" s="55" t="str">
        <f>IFERROR(IF($G3657="","",VLOOKUP('Dashboard And Emails Automate'!$G3657,Database!$H:$N,4,0)),"")</f>
        <v/>
      </c>
      <c r="K3657" s="55" t="str">
        <f>IFERROR(IF($G3657="","",VLOOKUP('Dashboard And Emails Automate'!$G3657,Database!$H:$N,5,0)),"")</f>
        <v/>
      </c>
      <c r="L3657" s="55" t="str">
        <f>IFERROR(IF($G3657="","",VLOOKUP('Dashboard And Emails Automate'!$G3657,Database!$H:$N,6,0)),"")</f>
        <v/>
      </c>
      <c r="M3657" s="55" t="str">
        <f>IFERROR(IF($G3657="","",VLOOKUP('Dashboard And Emails Automate'!$G3657,Database!$H:$N,7,0)),"")</f>
        <v/>
      </c>
      <c r="N3657" s="55" t="str">
        <f>IFERROR(IF(OR($B3657="",$B3657="(blank)"),"",VLOOKUP($B3657,'Email Marketing Raw Data'!$C:$O,6,0)),"")</f>
        <v/>
      </c>
      <c r="O3657" s="55" t="str">
        <f>IFERROR(IF(OR($B3657="",$B3657="(blank)"),"",VLOOKUP($B3657,'Email Marketing Raw Data'!$C:$O,7,0)),"")</f>
        <v/>
      </c>
      <c r="P3657" s="55" t="str">
        <f>IFERROR(IF(OR($B3657="",$B3657="(blank)"),"",VLOOKUP($B3657,'Email Marketing Raw Data'!$C:$O,8,0)),"")</f>
        <v/>
      </c>
      <c r="Q3657" s="62" t="str">
        <f>IFERROR(IF(OR($B3657="",$B3657="(blank)"),"",VLOOKUP($B3657,'Email Marketing Raw Data'!$C:$O,9,0)),"")</f>
        <v/>
      </c>
    </row>
    <row r="3658" spans="4:17" ht="12.75" customHeight="1" x14ac:dyDescent="0.2">
      <c r="D3658" s="58" t="str">
        <f>IFERROR(IF(F3658&lt;&gt;"pending","",IF(OR($B3658="",$B3658="(blank)"),"",VLOOKUP($B3658,'Email Marketing Raw Data'!$C:$O,10,0))),"")</f>
        <v/>
      </c>
      <c r="E3658" s="59" t="str">
        <f>IFERROR(IF(F3658&lt;&gt;"pending","",IF(OR($B3658="",$B3658="(blank)"),"",VLOOKUP($B3658,'Email Marketing Raw Data'!$C:$O,11,0))),"")</f>
        <v/>
      </c>
      <c r="F3658" s="54" t="str">
        <f>IFERROR(IF(OR($B3658="",$B3658="(blank)"),"",VLOOKUP($B3658,'Email Marketing Raw Data'!$C:$O,13,0)),"")</f>
        <v/>
      </c>
      <c r="G3658" s="55" t="str">
        <f>IFERROR(IF(OR($B3658="",$B3658="(blank)"),"",VLOOKUP($B3658,'Email Marketing Raw Data'!$C:$O,4,0)),"")</f>
        <v/>
      </c>
      <c r="H3658" s="55" t="str">
        <f>IFERROR(IF(OR($B3658="",$B3658="(blank)"),"",VLOOKUP($B3658,'Email Marketing Raw Data'!$C:$O,5,0)),"")</f>
        <v/>
      </c>
      <c r="I3658" s="55" t="str">
        <f>IFERROR(IF($G3658="","",VLOOKUP('Dashboard And Emails Automate'!$G3658,Database!$H:$N,3,0)),"")</f>
        <v/>
      </c>
      <c r="J3658" s="55" t="str">
        <f>IFERROR(IF($G3658="","",VLOOKUP('Dashboard And Emails Automate'!$G3658,Database!$H:$N,4,0)),"")</f>
        <v/>
      </c>
      <c r="K3658" s="55" t="str">
        <f>IFERROR(IF($G3658="","",VLOOKUP('Dashboard And Emails Automate'!$G3658,Database!$H:$N,5,0)),"")</f>
        <v/>
      </c>
      <c r="L3658" s="55" t="str">
        <f>IFERROR(IF($G3658="","",VLOOKUP('Dashboard And Emails Automate'!$G3658,Database!$H:$N,6,0)),"")</f>
        <v/>
      </c>
      <c r="M3658" s="55" t="str">
        <f>IFERROR(IF($G3658="","",VLOOKUP('Dashboard And Emails Automate'!$G3658,Database!$H:$N,7,0)),"")</f>
        <v/>
      </c>
      <c r="N3658" s="55" t="str">
        <f>IFERROR(IF(OR($B3658="",$B3658="(blank)"),"",VLOOKUP($B3658,'Email Marketing Raw Data'!$C:$O,6,0)),"")</f>
        <v/>
      </c>
      <c r="O3658" s="55" t="str">
        <f>IFERROR(IF(OR($B3658="",$B3658="(blank)"),"",VLOOKUP($B3658,'Email Marketing Raw Data'!$C:$O,7,0)),"")</f>
        <v/>
      </c>
      <c r="P3658" s="55" t="str">
        <f>IFERROR(IF(OR($B3658="",$B3658="(blank)"),"",VLOOKUP($B3658,'Email Marketing Raw Data'!$C:$O,8,0)),"")</f>
        <v/>
      </c>
      <c r="Q3658" s="62" t="str">
        <f>IFERROR(IF(OR($B3658="",$B3658="(blank)"),"",VLOOKUP($B3658,'Email Marketing Raw Data'!$C:$O,9,0)),"")</f>
        <v/>
      </c>
    </row>
    <row r="3659" spans="4:17" ht="12.75" customHeight="1" x14ac:dyDescent="0.2">
      <c r="D3659" s="58" t="str">
        <f>IFERROR(IF(F3659&lt;&gt;"pending","",IF(OR($B3659="",$B3659="(blank)"),"",VLOOKUP($B3659,'Email Marketing Raw Data'!$C:$O,10,0))),"")</f>
        <v/>
      </c>
      <c r="E3659" s="59" t="str">
        <f>IFERROR(IF(F3659&lt;&gt;"pending","",IF(OR($B3659="",$B3659="(blank)"),"",VLOOKUP($B3659,'Email Marketing Raw Data'!$C:$O,11,0))),"")</f>
        <v/>
      </c>
      <c r="F3659" s="54" t="str">
        <f>IFERROR(IF(OR($B3659="",$B3659="(blank)"),"",VLOOKUP($B3659,'Email Marketing Raw Data'!$C:$O,13,0)),"")</f>
        <v/>
      </c>
      <c r="G3659" s="55" t="str">
        <f>IFERROR(IF(OR($B3659="",$B3659="(blank)"),"",VLOOKUP($B3659,'Email Marketing Raw Data'!$C:$O,4,0)),"")</f>
        <v/>
      </c>
      <c r="H3659" s="55" t="str">
        <f>IFERROR(IF(OR($B3659="",$B3659="(blank)"),"",VLOOKUP($B3659,'Email Marketing Raw Data'!$C:$O,5,0)),"")</f>
        <v/>
      </c>
      <c r="I3659" s="55" t="str">
        <f>IFERROR(IF($G3659="","",VLOOKUP('Dashboard And Emails Automate'!$G3659,Database!$H:$N,3,0)),"")</f>
        <v/>
      </c>
      <c r="J3659" s="55" t="str">
        <f>IFERROR(IF($G3659="","",VLOOKUP('Dashboard And Emails Automate'!$G3659,Database!$H:$N,4,0)),"")</f>
        <v/>
      </c>
      <c r="K3659" s="55" t="str">
        <f>IFERROR(IF($G3659="","",VLOOKUP('Dashboard And Emails Automate'!$G3659,Database!$H:$N,5,0)),"")</f>
        <v/>
      </c>
      <c r="L3659" s="55" t="str">
        <f>IFERROR(IF($G3659="","",VLOOKUP('Dashboard And Emails Automate'!$G3659,Database!$H:$N,6,0)),"")</f>
        <v/>
      </c>
      <c r="M3659" s="55" t="str">
        <f>IFERROR(IF($G3659="","",VLOOKUP('Dashboard And Emails Automate'!$G3659,Database!$H:$N,7,0)),"")</f>
        <v/>
      </c>
      <c r="N3659" s="55" t="str">
        <f>IFERROR(IF(OR($B3659="",$B3659="(blank)"),"",VLOOKUP($B3659,'Email Marketing Raw Data'!$C:$O,6,0)),"")</f>
        <v/>
      </c>
      <c r="O3659" s="55" t="str">
        <f>IFERROR(IF(OR($B3659="",$B3659="(blank)"),"",VLOOKUP($B3659,'Email Marketing Raw Data'!$C:$O,7,0)),"")</f>
        <v/>
      </c>
      <c r="P3659" s="55" t="str">
        <f>IFERROR(IF(OR($B3659="",$B3659="(blank)"),"",VLOOKUP($B3659,'Email Marketing Raw Data'!$C:$O,8,0)),"")</f>
        <v/>
      </c>
      <c r="Q3659" s="62" t="str">
        <f>IFERROR(IF(OR($B3659="",$B3659="(blank)"),"",VLOOKUP($B3659,'Email Marketing Raw Data'!$C:$O,9,0)),"")</f>
        <v/>
      </c>
    </row>
    <row r="3660" spans="4:17" ht="12.75" customHeight="1" x14ac:dyDescent="0.2">
      <c r="D3660" s="58" t="str">
        <f>IFERROR(IF(F3660&lt;&gt;"pending","",IF(OR($B3660="",$B3660="(blank)"),"",VLOOKUP($B3660,'Email Marketing Raw Data'!$C:$O,10,0))),"")</f>
        <v/>
      </c>
      <c r="E3660" s="59" t="str">
        <f>IFERROR(IF(F3660&lt;&gt;"pending","",IF(OR($B3660="",$B3660="(blank)"),"",VLOOKUP($B3660,'Email Marketing Raw Data'!$C:$O,11,0))),"")</f>
        <v/>
      </c>
      <c r="F3660" s="54" t="str">
        <f>IFERROR(IF(OR($B3660="",$B3660="(blank)"),"",VLOOKUP($B3660,'Email Marketing Raw Data'!$C:$O,13,0)),"")</f>
        <v/>
      </c>
      <c r="G3660" s="55" t="str">
        <f>IFERROR(IF(OR($B3660="",$B3660="(blank)"),"",VLOOKUP($B3660,'Email Marketing Raw Data'!$C:$O,4,0)),"")</f>
        <v/>
      </c>
      <c r="H3660" s="55" t="str">
        <f>IFERROR(IF(OR($B3660="",$B3660="(blank)"),"",VLOOKUP($B3660,'Email Marketing Raw Data'!$C:$O,5,0)),"")</f>
        <v/>
      </c>
      <c r="I3660" s="55" t="str">
        <f>IFERROR(IF($G3660="","",VLOOKUP('Dashboard And Emails Automate'!$G3660,Database!$H:$N,3,0)),"")</f>
        <v/>
      </c>
      <c r="J3660" s="55" t="str">
        <f>IFERROR(IF($G3660="","",VLOOKUP('Dashboard And Emails Automate'!$G3660,Database!$H:$N,4,0)),"")</f>
        <v/>
      </c>
      <c r="K3660" s="55" t="str">
        <f>IFERROR(IF($G3660="","",VLOOKUP('Dashboard And Emails Automate'!$G3660,Database!$H:$N,5,0)),"")</f>
        <v/>
      </c>
      <c r="L3660" s="55" t="str">
        <f>IFERROR(IF($G3660="","",VLOOKUP('Dashboard And Emails Automate'!$G3660,Database!$H:$N,6,0)),"")</f>
        <v/>
      </c>
      <c r="M3660" s="55" t="str">
        <f>IFERROR(IF($G3660="","",VLOOKUP('Dashboard And Emails Automate'!$G3660,Database!$H:$N,7,0)),"")</f>
        <v/>
      </c>
      <c r="N3660" s="55" t="str">
        <f>IFERROR(IF(OR($B3660="",$B3660="(blank)"),"",VLOOKUP($B3660,'Email Marketing Raw Data'!$C:$O,6,0)),"")</f>
        <v/>
      </c>
      <c r="O3660" s="55" t="str">
        <f>IFERROR(IF(OR($B3660="",$B3660="(blank)"),"",VLOOKUP($B3660,'Email Marketing Raw Data'!$C:$O,7,0)),"")</f>
        <v/>
      </c>
      <c r="P3660" s="55" t="str">
        <f>IFERROR(IF(OR($B3660="",$B3660="(blank)"),"",VLOOKUP($B3660,'Email Marketing Raw Data'!$C:$O,8,0)),"")</f>
        <v/>
      </c>
      <c r="Q3660" s="62" t="str">
        <f>IFERROR(IF(OR($B3660="",$B3660="(blank)"),"",VLOOKUP($B3660,'Email Marketing Raw Data'!$C:$O,9,0)),"")</f>
        <v/>
      </c>
    </row>
    <row r="3661" spans="4:17" ht="12.75" customHeight="1" x14ac:dyDescent="0.2">
      <c r="D3661" s="58" t="str">
        <f>IFERROR(IF(F3661&lt;&gt;"pending","",IF(OR($B3661="",$B3661="(blank)"),"",VLOOKUP($B3661,'Email Marketing Raw Data'!$C:$O,10,0))),"")</f>
        <v/>
      </c>
      <c r="E3661" s="59" t="str">
        <f>IFERROR(IF(F3661&lt;&gt;"pending","",IF(OR($B3661="",$B3661="(blank)"),"",VLOOKUP($B3661,'Email Marketing Raw Data'!$C:$O,11,0))),"")</f>
        <v/>
      </c>
      <c r="F3661" s="54" t="str">
        <f>IFERROR(IF(OR($B3661="",$B3661="(blank)"),"",VLOOKUP($B3661,'Email Marketing Raw Data'!$C:$O,13,0)),"")</f>
        <v/>
      </c>
      <c r="G3661" s="55" t="str">
        <f>IFERROR(IF(OR($B3661="",$B3661="(blank)"),"",VLOOKUP($B3661,'Email Marketing Raw Data'!$C:$O,4,0)),"")</f>
        <v/>
      </c>
      <c r="H3661" s="55" t="str">
        <f>IFERROR(IF(OR($B3661="",$B3661="(blank)"),"",VLOOKUP($B3661,'Email Marketing Raw Data'!$C:$O,5,0)),"")</f>
        <v/>
      </c>
      <c r="I3661" s="55" t="str">
        <f>IFERROR(IF($G3661="","",VLOOKUP('Dashboard And Emails Automate'!$G3661,Database!$H:$N,3,0)),"")</f>
        <v/>
      </c>
      <c r="J3661" s="55" t="str">
        <f>IFERROR(IF($G3661="","",VLOOKUP('Dashboard And Emails Automate'!$G3661,Database!$H:$N,4,0)),"")</f>
        <v/>
      </c>
      <c r="K3661" s="55" t="str">
        <f>IFERROR(IF($G3661="","",VLOOKUP('Dashboard And Emails Automate'!$G3661,Database!$H:$N,5,0)),"")</f>
        <v/>
      </c>
      <c r="L3661" s="55" t="str">
        <f>IFERROR(IF($G3661="","",VLOOKUP('Dashboard And Emails Automate'!$G3661,Database!$H:$N,6,0)),"")</f>
        <v/>
      </c>
      <c r="M3661" s="55" t="str">
        <f>IFERROR(IF($G3661="","",VLOOKUP('Dashboard And Emails Automate'!$G3661,Database!$H:$N,7,0)),"")</f>
        <v/>
      </c>
      <c r="N3661" s="55" t="str">
        <f>IFERROR(IF(OR($B3661="",$B3661="(blank)"),"",VLOOKUP($B3661,'Email Marketing Raw Data'!$C:$O,6,0)),"")</f>
        <v/>
      </c>
      <c r="O3661" s="55" t="str">
        <f>IFERROR(IF(OR($B3661="",$B3661="(blank)"),"",VLOOKUP($B3661,'Email Marketing Raw Data'!$C:$O,7,0)),"")</f>
        <v/>
      </c>
      <c r="P3661" s="55" t="str">
        <f>IFERROR(IF(OR($B3661="",$B3661="(blank)"),"",VLOOKUP($B3661,'Email Marketing Raw Data'!$C:$O,8,0)),"")</f>
        <v/>
      </c>
      <c r="Q3661" s="62" t="str">
        <f>IFERROR(IF(OR($B3661="",$B3661="(blank)"),"",VLOOKUP($B3661,'Email Marketing Raw Data'!$C:$O,9,0)),"")</f>
        <v/>
      </c>
    </row>
    <row r="3662" spans="4:17" ht="12.75" customHeight="1" x14ac:dyDescent="0.2">
      <c r="D3662" s="58" t="str">
        <f>IFERROR(IF(F3662&lt;&gt;"pending","",IF(OR($B3662="",$B3662="(blank)"),"",VLOOKUP($B3662,'Email Marketing Raw Data'!$C:$O,10,0))),"")</f>
        <v/>
      </c>
      <c r="E3662" s="59" t="str">
        <f>IFERROR(IF(F3662&lt;&gt;"pending","",IF(OR($B3662="",$B3662="(blank)"),"",VLOOKUP($B3662,'Email Marketing Raw Data'!$C:$O,11,0))),"")</f>
        <v/>
      </c>
      <c r="F3662" s="54" t="str">
        <f>IFERROR(IF(OR($B3662="",$B3662="(blank)"),"",VLOOKUP($B3662,'Email Marketing Raw Data'!$C:$O,13,0)),"")</f>
        <v/>
      </c>
      <c r="G3662" s="55" t="str">
        <f>IFERROR(IF(OR($B3662="",$B3662="(blank)"),"",VLOOKUP($B3662,'Email Marketing Raw Data'!$C:$O,4,0)),"")</f>
        <v/>
      </c>
      <c r="H3662" s="55" t="str">
        <f>IFERROR(IF(OR($B3662="",$B3662="(blank)"),"",VLOOKUP($B3662,'Email Marketing Raw Data'!$C:$O,5,0)),"")</f>
        <v/>
      </c>
      <c r="I3662" s="55" t="str">
        <f>IFERROR(IF($G3662="","",VLOOKUP('Dashboard And Emails Automate'!$G3662,Database!$H:$N,3,0)),"")</f>
        <v/>
      </c>
      <c r="J3662" s="55" t="str">
        <f>IFERROR(IF($G3662="","",VLOOKUP('Dashboard And Emails Automate'!$G3662,Database!$H:$N,4,0)),"")</f>
        <v/>
      </c>
      <c r="K3662" s="55" t="str">
        <f>IFERROR(IF($G3662="","",VLOOKUP('Dashboard And Emails Automate'!$G3662,Database!$H:$N,5,0)),"")</f>
        <v/>
      </c>
      <c r="L3662" s="55" t="str">
        <f>IFERROR(IF($G3662="","",VLOOKUP('Dashboard And Emails Automate'!$G3662,Database!$H:$N,6,0)),"")</f>
        <v/>
      </c>
      <c r="M3662" s="55" t="str">
        <f>IFERROR(IF($G3662="","",VLOOKUP('Dashboard And Emails Automate'!$G3662,Database!$H:$N,7,0)),"")</f>
        <v/>
      </c>
      <c r="N3662" s="55" t="str">
        <f>IFERROR(IF(OR($B3662="",$B3662="(blank)"),"",VLOOKUP($B3662,'Email Marketing Raw Data'!$C:$O,6,0)),"")</f>
        <v/>
      </c>
      <c r="O3662" s="55" t="str">
        <f>IFERROR(IF(OR($B3662="",$B3662="(blank)"),"",VLOOKUP($B3662,'Email Marketing Raw Data'!$C:$O,7,0)),"")</f>
        <v/>
      </c>
      <c r="P3662" s="55" t="str">
        <f>IFERROR(IF(OR($B3662="",$B3662="(blank)"),"",VLOOKUP($B3662,'Email Marketing Raw Data'!$C:$O,8,0)),"")</f>
        <v/>
      </c>
      <c r="Q3662" s="62" t="str">
        <f>IFERROR(IF(OR($B3662="",$B3662="(blank)"),"",VLOOKUP($B3662,'Email Marketing Raw Data'!$C:$O,9,0)),"")</f>
        <v/>
      </c>
    </row>
    <row r="3663" spans="4:17" ht="12.75" customHeight="1" x14ac:dyDescent="0.2">
      <c r="D3663" s="58" t="str">
        <f>IFERROR(IF(F3663&lt;&gt;"pending","",IF(OR($B3663="",$B3663="(blank)"),"",VLOOKUP($B3663,'Email Marketing Raw Data'!$C:$O,10,0))),"")</f>
        <v/>
      </c>
      <c r="E3663" s="59" t="str">
        <f>IFERROR(IF(F3663&lt;&gt;"pending","",IF(OR($B3663="",$B3663="(blank)"),"",VLOOKUP($B3663,'Email Marketing Raw Data'!$C:$O,11,0))),"")</f>
        <v/>
      </c>
      <c r="F3663" s="54" t="str">
        <f>IFERROR(IF(OR($B3663="",$B3663="(blank)"),"",VLOOKUP($B3663,'Email Marketing Raw Data'!$C:$O,13,0)),"")</f>
        <v/>
      </c>
      <c r="G3663" s="55" t="str">
        <f>IFERROR(IF(OR($B3663="",$B3663="(blank)"),"",VLOOKUP($B3663,'Email Marketing Raw Data'!$C:$O,4,0)),"")</f>
        <v/>
      </c>
      <c r="H3663" s="55" t="str">
        <f>IFERROR(IF(OR($B3663="",$B3663="(blank)"),"",VLOOKUP($B3663,'Email Marketing Raw Data'!$C:$O,5,0)),"")</f>
        <v/>
      </c>
      <c r="I3663" s="55" t="str">
        <f>IFERROR(IF($G3663="","",VLOOKUP('Dashboard And Emails Automate'!$G3663,Database!$H:$N,3,0)),"")</f>
        <v/>
      </c>
      <c r="J3663" s="55" t="str">
        <f>IFERROR(IF($G3663="","",VLOOKUP('Dashboard And Emails Automate'!$G3663,Database!$H:$N,4,0)),"")</f>
        <v/>
      </c>
      <c r="K3663" s="55" t="str">
        <f>IFERROR(IF($G3663="","",VLOOKUP('Dashboard And Emails Automate'!$G3663,Database!$H:$N,5,0)),"")</f>
        <v/>
      </c>
      <c r="L3663" s="55" t="str">
        <f>IFERROR(IF($G3663="","",VLOOKUP('Dashboard And Emails Automate'!$G3663,Database!$H:$N,6,0)),"")</f>
        <v/>
      </c>
      <c r="M3663" s="55" t="str">
        <f>IFERROR(IF($G3663="","",VLOOKUP('Dashboard And Emails Automate'!$G3663,Database!$H:$N,7,0)),"")</f>
        <v/>
      </c>
      <c r="N3663" s="55" t="str">
        <f>IFERROR(IF(OR($B3663="",$B3663="(blank)"),"",VLOOKUP($B3663,'Email Marketing Raw Data'!$C:$O,6,0)),"")</f>
        <v/>
      </c>
      <c r="O3663" s="55" t="str">
        <f>IFERROR(IF(OR($B3663="",$B3663="(blank)"),"",VLOOKUP($B3663,'Email Marketing Raw Data'!$C:$O,7,0)),"")</f>
        <v/>
      </c>
      <c r="P3663" s="55" t="str">
        <f>IFERROR(IF(OR($B3663="",$B3663="(blank)"),"",VLOOKUP($B3663,'Email Marketing Raw Data'!$C:$O,8,0)),"")</f>
        <v/>
      </c>
      <c r="Q3663" s="62" t="str">
        <f>IFERROR(IF(OR($B3663="",$B3663="(blank)"),"",VLOOKUP($B3663,'Email Marketing Raw Data'!$C:$O,9,0)),"")</f>
        <v/>
      </c>
    </row>
    <row r="3664" spans="4:17" ht="12.75" customHeight="1" x14ac:dyDescent="0.2">
      <c r="D3664" s="58" t="str">
        <f>IFERROR(IF(F3664&lt;&gt;"pending","",IF(OR($B3664="",$B3664="(blank)"),"",VLOOKUP($B3664,'Email Marketing Raw Data'!$C:$O,10,0))),"")</f>
        <v/>
      </c>
      <c r="E3664" s="59" t="str">
        <f>IFERROR(IF(F3664&lt;&gt;"pending","",IF(OR($B3664="",$B3664="(blank)"),"",VLOOKUP($B3664,'Email Marketing Raw Data'!$C:$O,11,0))),"")</f>
        <v/>
      </c>
      <c r="F3664" s="54" t="str">
        <f>IFERROR(IF(OR($B3664="",$B3664="(blank)"),"",VLOOKUP($B3664,'Email Marketing Raw Data'!$C:$O,13,0)),"")</f>
        <v/>
      </c>
      <c r="G3664" s="55" t="str">
        <f>IFERROR(IF(OR($B3664="",$B3664="(blank)"),"",VLOOKUP($B3664,'Email Marketing Raw Data'!$C:$O,4,0)),"")</f>
        <v/>
      </c>
      <c r="H3664" s="55" t="str">
        <f>IFERROR(IF(OR($B3664="",$B3664="(blank)"),"",VLOOKUP($B3664,'Email Marketing Raw Data'!$C:$O,5,0)),"")</f>
        <v/>
      </c>
      <c r="I3664" s="55" t="str">
        <f>IFERROR(IF($G3664="","",VLOOKUP('Dashboard And Emails Automate'!$G3664,Database!$H:$N,3,0)),"")</f>
        <v/>
      </c>
      <c r="J3664" s="55" t="str">
        <f>IFERROR(IF($G3664="","",VLOOKUP('Dashboard And Emails Automate'!$G3664,Database!$H:$N,4,0)),"")</f>
        <v/>
      </c>
      <c r="K3664" s="55" t="str">
        <f>IFERROR(IF($G3664="","",VLOOKUP('Dashboard And Emails Automate'!$G3664,Database!$H:$N,5,0)),"")</f>
        <v/>
      </c>
      <c r="L3664" s="55" t="str">
        <f>IFERROR(IF($G3664="","",VLOOKUP('Dashboard And Emails Automate'!$G3664,Database!$H:$N,6,0)),"")</f>
        <v/>
      </c>
      <c r="M3664" s="55" t="str">
        <f>IFERROR(IF($G3664="","",VLOOKUP('Dashboard And Emails Automate'!$G3664,Database!$H:$N,7,0)),"")</f>
        <v/>
      </c>
      <c r="N3664" s="55" t="str">
        <f>IFERROR(IF(OR($B3664="",$B3664="(blank)"),"",VLOOKUP($B3664,'Email Marketing Raw Data'!$C:$O,6,0)),"")</f>
        <v/>
      </c>
      <c r="O3664" s="55" t="str">
        <f>IFERROR(IF(OR($B3664="",$B3664="(blank)"),"",VLOOKUP($B3664,'Email Marketing Raw Data'!$C:$O,7,0)),"")</f>
        <v/>
      </c>
      <c r="P3664" s="55" t="str">
        <f>IFERROR(IF(OR($B3664="",$B3664="(blank)"),"",VLOOKUP($B3664,'Email Marketing Raw Data'!$C:$O,8,0)),"")</f>
        <v/>
      </c>
      <c r="Q3664" s="62" t="str">
        <f>IFERROR(IF(OR($B3664="",$B3664="(blank)"),"",VLOOKUP($B3664,'Email Marketing Raw Data'!$C:$O,9,0)),"")</f>
        <v/>
      </c>
    </row>
    <row r="3665" spans="4:17" ht="12.75" customHeight="1" x14ac:dyDescent="0.2">
      <c r="D3665" s="58" t="str">
        <f>IFERROR(IF(F3665&lt;&gt;"pending","",IF(OR($B3665="",$B3665="(blank)"),"",VLOOKUP($B3665,'Email Marketing Raw Data'!$C:$O,10,0))),"")</f>
        <v/>
      </c>
      <c r="E3665" s="59" t="str">
        <f>IFERROR(IF(F3665&lt;&gt;"pending","",IF(OR($B3665="",$B3665="(blank)"),"",VLOOKUP($B3665,'Email Marketing Raw Data'!$C:$O,11,0))),"")</f>
        <v/>
      </c>
      <c r="F3665" s="54" t="str">
        <f>IFERROR(IF(OR($B3665="",$B3665="(blank)"),"",VLOOKUP($B3665,'Email Marketing Raw Data'!$C:$O,13,0)),"")</f>
        <v/>
      </c>
      <c r="G3665" s="55" t="str">
        <f>IFERROR(IF(OR($B3665="",$B3665="(blank)"),"",VLOOKUP($B3665,'Email Marketing Raw Data'!$C:$O,4,0)),"")</f>
        <v/>
      </c>
      <c r="H3665" s="55" t="str">
        <f>IFERROR(IF(OR($B3665="",$B3665="(blank)"),"",VLOOKUP($B3665,'Email Marketing Raw Data'!$C:$O,5,0)),"")</f>
        <v/>
      </c>
      <c r="I3665" s="55" t="str">
        <f>IFERROR(IF($G3665="","",VLOOKUP('Dashboard And Emails Automate'!$G3665,Database!$H:$N,3,0)),"")</f>
        <v/>
      </c>
      <c r="J3665" s="55" t="str">
        <f>IFERROR(IF($G3665="","",VLOOKUP('Dashboard And Emails Automate'!$G3665,Database!$H:$N,4,0)),"")</f>
        <v/>
      </c>
      <c r="K3665" s="55" t="str">
        <f>IFERROR(IF($G3665="","",VLOOKUP('Dashboard And Emails Automate'!$G3665,Database!$H:$N,5,0)),"")</f>
        <v/>
      </c>
      <c r="L3665" s="55" t="str">
        <f>IFERROR(IF($G3665="","",VLOOKUP('Dashboard And Emails Automate'!$G3665,Database!$H:$N,6,0)),"")</f>
        <v/>
      </c>
      <c r="M3665" s="55" t="str">
        <f>IFERROR(IF($G3665="","",VLOOKUP('Dashboard And Emails Automate'!$G3665,Database!$H:$N,7,0)),"")</f>
        <v/>
      </c>
      <c r="N3665" s="55" t="str">
        <f>IFERROR(IF(OR($B3665="",$B3665="(blank)"),"",VLOOKUP($B3665,'Email Marketing Raw Data'!$C:$O,6,0)),"")</f>
        <v/>
      </c>
      <c r="O3665" s="55" t="str">
        <f>IFERROR(IF(OR($B3665="",$B3665="(blank)"),"",VLOOKUP($B3665,'Email Marketing Raw Data'!$C:$O,7,0)),"")</f>
        <v/>
      </c>
      <c r="P3665" s="55" t="str">
        <f>IFERROR(IF(OR($B3665="",$B3665="(blank)"),"",VLOOKUP($B3665,'Email Marketing Raw Data'!$C:$O,8,0)),"")</f>
        <v/>
      </c>
      <c r="Q3665" s="62" t="str">
        <f>IFERROR(IF(OR($B3665="",$B3665="(blank)"),"",VLOOKUP($B3665,'Email Marketing Raw Data'!$C:$O,9,0)),"")</f>
        <v/>
      </c>
    </row>
    <row r="3666" spans="4:17" ht="12.75" customHeight="1" x14ac:dyDescent="0.2">
      <c r="D3666" s="58" t="str">
        <f>IFERROR(IF(F3666&lt;&gt;"pending","",IF(OR($B3666="",$B3666="(blank)"),"",VLOOKUP($B3666,'Email Marketing Raw Data'!$C:$O,10,0))),"")</f>
        <v/>
      </c>
      <c r="E3666" s="59" t="str">
        <f>IFERROR(IF(F3666&lt;&gt;"pending","",IF(OR($B3666="",$B3666="(blank)"),"",VLOOKUP($B3666,'Email Marketing Raw Data'!$C:$O,11,0))),"")</f>
        <v/>
      </c>
      <c r="F3666" s="54" t="str">
        <f>IFERROR(IF(OR($B3666="",$B3666="(blank)"),"",VLOOKUP($B3666,'Email Marketing Raw Data'!$C:$O,13,0)),"")</f>
        <v/>
      </c>
      <c r="G3666" s="55" t="str">
        <f>IFERROR(IF(OR($B3666="",$B3666="(blank)"),"",VLOOKUP($B3666,'Email Marketing Raw Data'!$C:$O,4,0)),"")</f>
        <v/>
      </c>
      <c r="H3666" s="55" t="str">
        <f>IFERROR(IF(OR($B3666="",$B3666="(blank)"),"",VLOOKUP($B3666,'Email Marketing Raw Data'!$C:$O,5,0)),"")</f>
        <v/>
      </c>
      <c r="I3666" s="55" t="str">
        <f>IFERROR(IF($G3666="","",VLOOKUP('Dashboard And Emails Automate'!$G3666,Database!$H:$N,3,0)),"")</f>
        <v/>
      </c>
      <c r="J3666" s="55" t="str">
        <f>IFERROR(IF($G3666="","",VLOOKUP('Dashboard And Emails Automate'!$G3666,Database!$H:$N,4,0)),"")</f>
        <v/>
      </c>
      <c r="K3666" s="55" t="str">
        <f>IFERROR(IF($G3666="","",VLOOKUP('Dashboard And Emails Automate'!$G3666,Database!$H:$N,5,0)),"")</f>
        <v/>
      </c>
      <c r="L3666" s="55" t="str">
        <f>IFERROR(IF($G3666="","",VLOOKUP('Dashboard And Emails Automate'!$G3666,Database!$H:$N,6,0)),"")</f>
        <v/>
      </c>
      <c r="M3666" s="55" t="str">
        <f>IFERROR(IF($G3666="","",VLOOKUP('Dashboard And Emails Automate'!$G3666,Database!$H:$N,7,0)),"")</f>
        <v/>
      </c>
      <c r="N3666" s="55" t="str">
        <f>IFERROR(IF(OR($B3666="",$B3666="(blank)"),"",VLOOKUP($B3666,'Email Marketing Raw Data'!$C:$O,6,0)),"")</f>
        <v/>
      </c>
      <c r="O3666" s="55" t="str">
        <f>IFERROR(IF(OR($B3666="",$B3666="(blank)"),"",VLOOKUP($B3666,'Email Marketing Raw Data'!$C:$O,7,0)),"")</f>
        <v/>
      </c>
      <c r="P3666" s="55" t="str">
        <f>IFERROR(IF(OR($B3666="",$B3666="(blank)"),"",VLOOKUP($B3666,'Email Marketing Raw Data'!$C:$O,8,0)),"")</f>
        <v/>
      </c>
      <c r="Q3666" s="62" t="str">
        <f>IFERROR(IF(OR($B3666="",$B3666="(blank)"),"",VLOOKUP($B3666,'Email Marketing Raw Data'!$C:$O,9,0)),"")</f>
        <v/>
      </c>
    </row>
    <row r="3667" spans="4:17" ht="12.75" customHeight="1" x14ac:dyDescent="0.2">
      <c r="D3667" s="58" t="str">
        <f>IFERROR(IF(F3667&lt;&gt;"pending","",IF(OR($B3667="",$B3667="(blank)"),"",VLOOKUP($B3667,'Email Marketing Raw Data'!$C:$O,10,0))),"")</f>
        <v/>
      </c>
      <c r="E3667" s="59" t="str">
        <f>IFERROR(IF(F3667&lt;&gt;"pending","",IF(OR($B3667="",$B3667="(blank)"),"",VLOOKUP($B3667,'Email Marketing Raw Data'!$C:$O,11,0))),"")</f>
        <v/>
      </c>
      <c r="F3667" s="54" t="str">
        <f>IFERROR(IF(OR($B3667="",$B3667="(blank)"),"",VLOOKUP($B3667,'Email Marketing Raw Data'!$C:$O,13,0)),"")</f>
        <v/>
      </c>
      <c r="G3667" s="55" t="str">
        <f>IFERROR(IF(OR($B3667="",$B3667="(blank)"),"",VLOOKUP($B3667,'Email Marketing Raw Data'!$C:$O,4,0)),"")</f>
        <v/>
      </c>
      <c r="H3667" s="55" t="str">
        <f>IFERROR(IF(OR($B3667="",$B3667="(blank)"),"",VLOOKUP($B3667,'Email Marketing Raw Data'!$C:$O,5,0)),"")</f>
        <v/>
      </c>
      <c r="I3667" s="55" t="str">
        <f>IFERROR(IF($G3667="","",VLOOKUP('Dashboard And Emails Automate'!$G3667,Database!$H:$N,3,0)),"")</f>
        <v/>
      </c>
      <c r="J3667" s="55" t="str">
        <f>IFERROR(IF($G3667="","",VLOOKUP('Dashboard And Emails Automate'!$G3667,Database!$H:$N,4,0)),"")</f>
        <v/>
      </c>
      <c r="K3667" s="55" t="str">
        <f>IFERROR(IF($G3667="","",VLOOKUP('Dashboard And Emails Automate'!$G3667,Database!$H:$N,5,0)),"")</f>
        <v/>
      </c>
      <c r="L3667" s="55" t="str">
        <f>IFERROR(IF($G3667="","",VLOOKUP('Dashboard And Emails Automate'!$G3667,Database!$H:$N,6,0)),"")</f>
        <v/>
      </c>
      <c r="M3667" s="55" t="str">
        <f>IFERROR(IF($G3667="","",VLOOKUP('Dashboard And Emails Automate'!$G3667,Database!$H:$N,7,0)),"")</f>
        <v/>
      </c>
      <c r="N3667" s="55" t="str">
        <f>IFERROR(IF(OR($B3667="",$B3667="(blank)"),"",VLOOKUP($B3667,'Email Marketing Raw Data'!$C:$O,6,0)),"")</f>
        <v/>
      </c>
      <c r="O3667" s="55" t="str">
        <f>IFERROR(IF(OR($B3667="",$B3667="(blank)"),"",VLOOKUP($B3667,'Email Marketing Raw Data'!$C:$O,7,0)),"")</f>
        <v/>
      </c>
      <c r="P3667" s="55" t="str">
        <f>IFERROR(IF(OR($B3667="",$B3667="(blank)"),"",VLOOKUP($B3667,'Email Marketing Raw Data'!$C:$O,8,0)),"")</f>
        <v/>
      </c>
      <c r="Q3667" s="62" t="str">
        <f>IFERROR(IF(OR($B3667="",$B3667="(blank)"),"",VLOOKUP($B3667,'Email Marketing Raw Data'!$C:$O,9,0)),"")</f>
        <v/>
      </c>
    </row>
    <row r="3668" spans="4:17" ht="12.75" customHeight="1" x14ac:dyDescent="0.2">
      <c r="D3668" s="58" t="str">
        <f>IFERROR(IF(F3668&lt;&gt;"pending","",IF(OR($B3668="",$B3668="(blank)"),"",VLOOKUP($B3668,'Email Marketing Raw Data'!$C:$O,10,0))),"")</f>
        <v/>
      </c>
      <c r="E3668" s="59" t="str">
        <f>IFERROR(IF(F3668&lt;&gt;"pending","",IF(OR($B3668="",$B3668="(blank)"),"",VLOOKUP($B3668,'Email Marketing Raw Data'!$C:$O,11,0))),"")</f>
        <v/>
      </c>
      <c r="F3668" s="54" t="str">
        <f>IFERROR(IF(OR($B3668="",$B3668="(blank)"),"",VLOOKUP($B3668,'Email Marketing Raw Data'!$C:$O,13,0)),"")</f>
        <v/>
      </c>
      <c r="G3668" s="55" t="str">
        <f>IFERROR(IF(OR($B3668="",$B3668="(blank)"),"",VLOOKUP($B3668,'Email Marketing Raw Data'!$C:$O,4,0)),"")</f>
        <v/>
      </c>
      <c r="H3668" s="55" t="str">
        <f>IFERROR(IF(OR($B3668="",$B3668="(blank)"),"",VLOOKUP($B3668,'Email Marketing Raw Data'!$C:$O,5,0)),"")</f>
        <v/>
      </c>
      <c r="I3668" s="55" t="str">
        <f>IFERROR(IF($G3668="","",VLOOKUP('Dashboard And Emails Automate'!$G3668,Database!$H:$N,3,0)),"")</f>
        <v/>
      </c>
      <c r="J3668" s="55" t="str">
        <f>IFERROR(IF($G3668="","",VLOOKUP('Dashboard And Emails Automate'!$G3668,Database!$H:$N,4,0)),"")</f>
        <v/>
      </c>
      <c r="K3668" s="55" t="str">
        <f>IFERROR(IF($G3668="","",VLOOKUP('Dashboard And Emails Automate'!$G3668,Database!$H:$N,5,0)),"")</f>
        <v/>
      </c>
      <c r="L3668" s="55" t="str">
        <f>IFERROR(IF($G3668="","",VLOOKUP('Dashboard And Emails Automate'!$G3668,Database!$H:$N,6,0)),"")</f>
        <v/>
      </c>
      <c r="M3668" s="55" t="str">
        <f>IFERROR(IF($G3668="","",VLOOKUP('Dashboard And Emails Automate'!$G3668,Database!$H:$N,7,0)),"")</f>
        <v/>
      </c>
      <c r="N3668" s="55" t="str">
        <f>IFERROR(IF(OR($B3668="",$B3668="(blank)"),"",VLOOKUP($B3668,'Email Marketing Raw Data'!$C:$O,6,0)),"")</f>
        <v/>
      </c>
      <c r="O3668" s="55" t="str">
        <f>IFERROR(IF(OR($B3668="",$B3668="(blank)"),"",VLOOKUP($B3668,'Email Marketing Raw Data'!$C:$O,7,0)),"")</f>
        <v/>
      </c>
      <c r="P3668" s="55" t="str">
        <f>IFERROR(IF(OR($B3668="",$B3668="(blank)"),"",VLOOKUP($B3668,'Email Marketing Raw Data'!$C:$O,8,0)),"")</f>
        <v/>
      </c>
      <c r="Q3668" s="62" t="str">
        <f>IFERROR(IF(OR($B3668="",$B3668="(blank)"),"",VLOOKUP($B3668,'Email Marketing Raw Data'!$C:$O,9,0)),"")</f>
        <v/>
      </c>
    </row>
    <row r="3669" spans="4:17" ht="12.75" customHeight="1" x14ac:dyDescent="0.2">
      <c r="D3669" s="58" t="str">
        <f>IFERROR(IF(F3669&lt;&gt;"pending","",IF(OR($B3669="",$B3669="(blank)"),"",VLOOKUP($B3669,'Email Marketing Raw Data'!$C:$O,10,0))),"")</f>
        <v/>
      </c>
      <c r="E3669" s="59" t="str">
        <f>IFERROR(IF(F3669&lt;&gt;"pending","",IF(OR($B3669="",$B3669="(blank)"),"",VLOOKUP($B3669,'Email Marketing Raw Data'!$C:$O,11,0))),"")</f>
        <v/>
      </c>
      <c r="F3669" s="54" t="str">
        <f>IFERROR(IF(OR($B3669="",$B3669="(blank)"),"",VLOOKUP($B3669,'Email Marketing Raw Data'!$C:$O,13,0)),"")</f>
        <v/>
      </c>
      <c r="G3669" s="55" t="str">
        <f>IFERROR(IF(OR($B3669="",$B3669="(blank)"),"",VLOOKUP($B3669,'Email Marketing Raw Data'!$C:$O,4,0)),"")</f>
        <v/>
      </c>
      <c r="H3669" s="55" t="str">
        <f>IFERROR(IF(OR($B3669="",$B3669="(blank)"),"",VLOOKUP($B3669,'Email Marketing Raw Data'!$C:$O,5,0)),"")</f>
        <v/>
      </c>
      <c r="I3669" s="55" t="str">
        <f>IFERROR(IF($G3669="","",VLOOKUP('Dashboard And Emails Automate'!$G3669,Database!$H:$N,3,0)),"")</f>
        <v/>
      </c>
      <c r="J3669" s="55" t="str">
        <f>IFERROR(IF($G3669="","",VLOOKUP('Dashboard And Emails Automate'!$G3669,Database!$H:$N,4,0)),"")</f>
        <v/>
      </c>
      <c r="K3669" s="55" t="str">
        <f>IFERROR(IF($G3669="","",VLOOKUP('Dashboard And Emails Automate'!$G3669,Database!$H:$N,5,0)),"")</f>
        <v/>
      </c>
      <c r="L3669" s="55" t="str">
        <f>IFERROR(IF($G3669="","",VLOOKUP('Dashboard And Emails Automate'!$G3669,Database!$H:$N,6,0)),"")</f>
        <v/>
      </c>
      <c r="M3669" s="55" t="str">
        <f>IFERROR(IF($G3669="","",VLOOKUP('Dashboard And Emails Automate'!$G3669,Database!$H:$N,7,0)),"")</f>
        <v/>
      </c>
      <c r="N3669" s="55" t="str">
        <f>IFERROR(IF(OR($B3669="",$B3669="(blank)"),"",VLOOKUP($B3669,'Email Marketing Raw Data'!$C:$O,6,0)),"")</f>
        <v/>
      </c>
      <c r="O3669" s="55" t="str">
        <f>IFERROR(IF(OR($B3669="",$B3669="(blank)"),"",VLOOKUP($B3669,'Email Marketing Raw Data'!$C:$O,7,0)),"")</f>
        <v/>
      </c>
      <c r="P3669" s="55" t="str">
        <f>IFERROR(IF(OR($B3669="",$B3669="(blank)"),"",VLOOKUP($B3669,'Email Marketing Raw Data'!$C:$O,8,0)),"")</f>
        <v/>
      </c>
      <c r="Q3669" s="62" t="str">
        <f>IFERROR(IF(OR($B3669="",$B3669="(blank)"),"",VLOOKUP($B3669,'Email Marketing Raw Data'!$C:$O,9,0)),"")</f>
        <v/>
      </c>
    </row>
    <row r="3670" spans="4:17" ht="12.75" customHeight="1" x14ac:dyDescent="0.2">
      <c r="D3670" s="58" t="str">
        <f>IFERROR(IF(F3670&lt;&gt;"pending","",IF(OR($B3670="",$B3670="(blank)"),"",VLOOKUP($B3670,'Email Marketing Raw Data'!$C:$O,10,0))),"")</f>
        <v/>
      </c>
      <c r="E3670" s="59" t="str">
        <f>IFERROR(IF(F3670&lt;&gt;"pending","",IF(OR($B3670="",$B3670="(blank)"),"",VLOOKUP($B3670,'Email Marketing Raw Data'!$C:$O,11,0))),"")</f>
        <v/>
      </c>
      <c r="F3670" s="54" t="str">
        <f>IFERROR(IF(OR($B3670="",$B3670="(blank)"),"",VLOOKUP($B3670,'Email Marketing Raw Data'!$C:$O,13,0)),"")</f>
        <v/>
      </c>
      <c r="G3670" s="55" t="str">
        <f>IFERROR(IF(OR($B3670="",$B3670="(blank)"),"",VLOOKUP($B3670,'Email Marketing Raw Data'!$C:$O,4,0)),"")</f>
        <v/>
      </c>
      <c r="H3670" s="55" t="str">
        <f>IFERROR(IF(OR($B3670="",$B3670="(blank)"),"",VLOOKUP($B3670,'Email Marketing Raw Data'!$C:$O,5,0)),"")</f>
        <v/>
      </c>
      <c r="I3670" s="55" t="str">
        <f>IFERROR(IF($G3670="","",VLOOKUP('Dashboard And Emails Automate'!$G3670,Database!$H:$N,3,0)),"")</f>
        <v/>
      </c>
      <c r="J3670" s="55" t="str">
        <f>IFERROR(IF($G3670="","",VLOOKUP('Dashboard And Emails Automate'!$G3670,Database!$H:$N,4,0)),"")</f>
        <v/>
      </c>
      <c r="K3670" s="55" t="str">
        <f>IFERROR(IF($G3670="","",VLOOKUP('Dashboard And Emails Automate'!$G3670,Database!$H:$N,5,0)),"")</f>
        <v/>
      </c>
      <c r="L3670" s="55" t="str">
        <f>IFERROR(IF($G3670="","",VLOOKUP('Dashboard And Emails Automate'!$G3670,Database!$H:$N,6,0)),"")</f>
        <v/>
      </c>
      <c r="M3670" s="55" t="str">
        <f>IFERROR(IF($G3670="","",VLOOKUP('Dashboard And Emails Automate'!$G3670,Database!$H:$N,7,0)),"")</f>
        <v/>
      </c>
      <c r="N3670" s="55" t="str">
        <f>IFERROR(IF(OR($B3670="",$B3670="(blank)"),"",VLOOKUP($B3670,'Email Marketing Raw Data'!$C:$O,6,0)),"")</f>
        <v/>
      </c>
      <c r="O3670" s="55" t="str">
        <f>IFERROR(IF(OR($B3670="",$B3670="(blank)"),"",VLOOKUP($B3670,'Email Marketing Raw Data'!$C:$O,7,0)),"")</f>
        <v/>
      </c>
      <c r="P3670" s="55" t="str">
        <f>IFERROR(IF(OR($B3670="",$B3670="(blank)"),"",VLOOKUP($B3670,'Email Marketing Raw Data'!$C:$O,8,0)),"")</f>
        <v/>
      </c>
      <c r="Q3670" s="62" t="str">
        <f>IFERROR(IF(OR($B3670="",$B3670="(blank)"),"",VLOOKUP($B3670,'Email Marketing Raw Data'!$C:$O,9,0)),"")</f>
        <v/>
      </c>
    </row>
    <row r="3671" spans="4:17" ht="12.75" customHeight="1" x14ac:dyDescent="0.2">
      <c r="D3671" s="58" t="str">
        <f>IFERROR(IF(F3671&lt;&gt;"pending","",IF(OR($B3671="",$B3671="(blank)"),"",VLOOKUP($B3671,'Email Marketing Raw Data'!$C:$O,10,0))),"")</f>
        <v/>
      </c>
      <c r="E3671" s="59" t="str">
        <f>IFERROR(IF(F3671&lt;&gt;"pending","",IF(OR($B3671="",$B3671="(blank)"),"",VLOOKUP($B3671,'Email Marketing Raw Data'!$C:$O,11,0))),"")</f>
        <v/>
      </c>
      <c r="F3671" s="54" t="str">
        <f>IFERROR(IF(OR($B3671="",$B3671="(blank)"),"",VLOOKUP($B3671,'Email Marketing Raw Data'!$C:$O,13,0)),"")</f>
        <v/>
      </c>
      <c r="G3671" s="55" t="str">
        <f>IFERROR(IF(OR($B3671="",$B3671="(blank)"),"",VLOOKUP($B3671,'Email Marketing Raw Data'!$C:$O,4,0)),"")</f>
        <v/>
      </c>
      <c r="H3671" s="55" t="str">
        <f>IFERROR(IF(OR($B3671="",$B3671="(blank)"),"",VLOOKUP($B3671,'Email Marketing Raw Data'!$C:$O,5,0)),"")</f>
        <v/>
      </c>
      <c r="I3671" s="55" t="str">
        <f>IFERROR(IF($G3671="","",VLOOKUP('Dashboard And Emails Automate'!$G3671,Database!$H:$N,3,0)),"")</f>
        <v/>
      </c>
      <c r="J3671" s="55" t="str">
        <f>IFERROR(IF($G3671="","",VLOOKUP('Dashboard And Emails Automate'!$G3671,Database!$H:$N,4,0)),"")</f>
        <v/>
      </c>
      <c r="K3671" s="55" t="str">
        <f>IFERROR(IF($G3671="","",VLOOKUP('Dashboard And Emails Automate'!$G3671,Database!$H:$N,5,0)),"")</f>
        <v/>
      </c>
      <c r="L3671" s="55" t="str">
        <f>IFERROR(IF($G3671="","",VLOOKUP('Dashboard And Emails Automate'!$G3671,Database!$H:$N,6,0)),"")</f>
        <v/>
      </c>
      <c r="M3671" s="55" t="str">
        <f>IFERROR(IF($G3671="","",VLOOKUP('Dashboard And Emails Automate'!$G3671,Database!$H:$N,7,0)),"")</f>
        <v/>
      </c>
      <c r="N3671" s="55" t="str">
        <f>IFERROR(IF(OR($B3671="",$B3671="(blank)"),"",VLOOKUP($B3671,'Email Marketing Raw Data'!$C:$O,6,0)),"")</f>
        <v/>
      </c>
      <c r="O3671" s="55" t="str">
        <f>IFERROR(IF(OR($B3671="",$B3671="(blank)"),"",VLOOKUP($B3671,'Email Marketing Raw Data'!$C:$O,7,0)),"")</f>
        <v/>
      </c>
      <c r="P3671" s="55" t="str">
        <f>IFERROR(IF(OR($B3671="",$B3671="(blank)"),"",VLOOKUP($B3671,'Email Marketing Raw Data'!$C:$O,8,0)),"")</f>
        <v/>
      </c>
      <c r="Q3671" s="62" t="str">
        <f>IFERROR(IF(OR($B3671="",$B3671="(blank)"),"",VLOOKUP($B3671,'Email Marketing Raw Data'!$C:$O,9,0)),"")</f>
        <v/>
      </c>
    </row>
    <row r="3672" spans="4:17" ht="12.75" customHeight="1" x14ac:dyDescent="0.2">
      <c r="D3672" s="58" t="str">
        <f>IFERROR(IF(F3672&lt;&gt;"pending","",IF(OR($B3672="",$B3672="(blank)"),"",VLOOKUP($B3672,'Email Marketing Raw Data'!$C:$O,10,0))),"")</f>
        <v/>
      </c>
      <c r="E3672" s="59" t="str">
        <f>IFERROR(IF(F3672&lt;&gt;"pending","",IF(OR($B3672="",$B3672="(blank)"),"",VLOOKUP($B3672,'Email Marketing Raw Data'!$C:$O,11,0))),"")</f>
        <v/>
      </c>
      <c r="F3672" s="54" t="str">
        <f>IFERROR(IF(OR($B3672="",$B3672="(blank)"),"",VLOOKUP($B3672,'Email Marketing Raw Data'!$C:$O,13,0)),"")</f>
        <v/>
      </c>
      <c r="G3672" s="55" t="str">
        <f>IFERROR(IF(OR($B3672="",$B3672="(blank)"),"",VLOOKUP($B3672,'Email Marketing Raw Data'!$C:$O,4,0)),"")</f>
        <v/>
      </c>
      <c r="H3672" s="55" t="str">
        <f>IFERROR(IF(OR($B3672="",$B3672="(blank)"),"",VLOOKUP($B3672,'Email Marketing Raw Data'!$C:$O,5,0)),"")</f>
        <v/>
      </c>
      <c r="I3672" s="55" t="str">
        <f>IFERROR(IF($G3672="","",VLOOKUP('Dashboard And Emails Automate'!$G3672,Database!$H:$N,3,0)),"")</f>
        <v/>
      </c>
      <c r="J3672" s="55" t="str">
        <f>IFERROR(IF($G3672="","",VLOOKUP('Dashboard And Emails Automate'!$G3672,Database!$H:$N,4,0)),"")</f>
        <v/>
      </c>
      <c r="K3672" s="55" t="str">
        <f>IFERROR(IF($G3672="","",VLOOKUP('Dashboard And Emails Automate'!$G3672,Database!$H:$N,5,0)),"")</f>
        <v/>
      </c>
      <c r="L3672" s="55" t="str">
        <f>IFERROR(IF($G3672="","",VLOOKUP('Dashboard And Emails Automate'!$G3672,Database!$H:$N,6,0)),"")</f>
        <v/>
      </c>
      <c r="M3672" s="55" t="str">
        <f>IFERROR(IF($G3672="","",VLOOKUP('Dashboard And Emails Automate'!$G3672,Database!$H:$N,7,0)),"")</f>
        <v/>
      </c>
      <c r="N3672" s="55" t="str">
        <f>IFERROR(IF(OR($B3672="",$B3672="(blank)"),"",VLOOKUP($B3672,'Email Marketing Raw Data'!$C:$O,6,0)),"")</f>
        <v/>
      </c>
      <c r="O3672" s="55" t="str">
        <f>IFERROR(IF(OR($B3672="",$B3672="(blank)"),"",VLOOKUP($B3672,'Email Marketing Raw Data'!$C:$O,7,0)),"")</f>
        <v/>
      </c>
      <c r="P3672" s="55" t="str">
        <f>IFERROR(IF(OR($B3672="",$B3672="(blank)"),"",VLOOKUP($B3672,'Email Marketing Raw Data'!$C:$O,8,0)),"")</f>
        <v/>
      </c>
      <c r="Q3672" s="62" t="str">
        <f>IFERROR(IF(OR($B3672="",$B3672="(blank)"),"",VLOOKUP($B3672,'Email Marketing Raw Data'!$C:$O,9,0)),"")</f>
        <v/>
      </c>
    </row>
    <row r="3673" spans="4:17" ht="12.75" customHeight="1" x14ac:dyDescent="0.2">
      <c r="D3673" s="58" t="str">
        <f>IFERROR(IF(F3673&lt;&gt;"pending","",IF(OR($B3673="",$B3673="(blank)"),"",VLOOKUP($B3673,'Email Marketing Raw Data'!$C:$O,10,0))),"")</f>
        <v/>
      </c>
      <c r="E3673" s="59" t="str">
        <f>IFERROR(IF(F3673&lt;&gt;"pending","",IF(OR($B3673="",$B3673="(blank)"),"",VLOOKUP($B3673,'Email Marketing Raw Data'!$C:$O,11,0))),"")</f>
        <v/>
      </c>
      <c r="F3673" s="54" t="str">
        <f>IFERROR(IF(OR($B3673="",$B3673="(blank)"),"",VLOOKUP($B3673,'Email Marketing Raw Data'!$C:$O,13,0)),"")</f>
        <v/>
      </c>
      <c r="G3673" s="55" t="str">
        <f>IFERROR(IF(OR($B3673="",$B3673="(blank)"),"",VLOOKUP($B3673,'Email Marketing Raw Data'!$C:$O,4,0)),"")</f>
        <v/>
      </c>
      <c r="H3673" s="55" t="str">
        <f>IFERROR(IF(OR($B3673="",$B3673="(blank)"),"",VLOOKUP($B3673,'Email Marketing Raw Data'!$C:$O,5,0)),"")</f>
        <v/>
      </c>
      <c r="I3673" s="55" t="str">
        <f>IFERROR(IF($G3673="","",VLOOKUP('Dashboard And Emails Automate'!$G3673,Database!$H:$N,3,0)),"")</f>
        <v/>
      </c>
      <c r="J3673" s="55" t="str">
        <f>IFERROR(IF($G3673="","",VLOOKUP('Dashboard And Emails Automate'!$G3673,Database!$H:$N,4,0)),"")</f>
        <v/>
      </c>
      <c r="K3673" s="55" t="str">
        <f>IFERROR(IF($G3673="","",VLOOKUP('Dashboard And Emails Automate'!$G3673,Database!$H:$N,5,0)),"")</f>
        <v/>
      </c>
      <c r="L3673" s="55" t="str">
        <f>IFERROR(IF($G3673="","",VLOOKUP('Dashboard And Emails Automate'!$G3673,Database!$H:$N,6,0)),"")</f>
        <v/>
      </c>
      <c r="M3673" s="55" t="str">
        <f>IFERROR(IF($G3673="","",VLOOKUP('Dashboard And Emails Automate'!$G3673,Database!$H:$N,7,0)),"")</f>
        <v/>
      </c>
      <c r="N3673" s="55" t="str">
        <f>IFERROR(IF(OR($B3673="",$B3673="(blank)"),"",VLOOKUP($B3673,'Email Marketing Raw Data'!$C:$O,6,0)),"")</f>
        <v/>
      </c>
      <c r="O3673" s="55" t="str">
        <f>IFERROR(IF(OR($B3673="",$B3673="(blank)"),"",VLOOKUP($B3673,'Email Marketing Raw Data'!$C:$O,7,0)),"")</f>
        <v/>
      </c>
      <c r="P3673" s="55" t="str">
        <f>IFERROR(IF(OR($B3673="",$B3673="(blank)"),"",VLOOKUP($B3673,'Email Marketing Raw Data'!$C:$O,8,0)),"")</f>
        <v/>
      </c>
      <c r="Q3673" s="62" t="str">
        <f>IFERROR(IF(OR($B3673="",$B3673="(blank)"),"",VLOOKUP($B3673,'Email Marketing Raw Data'!$C:$O,9,0)),"")</f>
        <v/>
      </c>
    </row>
    <row r="3674" spans="4:17" ht="12.75" customHeight="1" x14ac:dyDescent="0.2">
      <c r="D3674" s="58" t="str">
        <f>IFERROR(IF(F3674&lt;&gt;"pending","",IF(OR($B3674="",$B3674="(blank)"),"",VLOOKUP($B3674,'Email Marketing Raw Data'!$C:$O,10,0))),"")</f>
        <v/>
      </c>
      <c r="E3674" s="59" t="str">
        <f>IFERROR(IF(F3674&lt;&gt;"pending","",IF(OR($B3674="",$B3674="(blank)"),"",VLOOKUP($B3674,'Email Marketing Raw Data'!$C:$O,11,0))),"")</f>
        <v/>
      </c>
      <c r="F3674" s="54" t="str">
        <f>IFERROR(IF(OR($B3674="",$B3674="(blank)"),"",VLOOKUP($B3674,'Email Marketing Raw Data'!$C:$O,13,0)),"")</f>
        <v/>
      </c>
      <c r="G3674" s="55" t="str">
        <f>IFERROR(IF(OR($B3674="",$B3674="(blank)"),"",VLOOKUP($B3674,'Email Marketing Raw Data'!$C:$O,4,0)),"")</f>
        <v/>
      </c>
      <c r="H3674" s="55" t="str">
        <f>IFERROR(IF(OR($B3674="",$B3674="(blank)"),"",VLOOKUP($B3674,'Email Marketing Raw Data'!$C:$O,5,0)),"")</f>
        <v/>
      </c>
      <c r="I3674" s="55" t="str">
        <f>IFERROR(IF($G3674="","",VLOOKUP('Dashboard And Emails Automate'!$G3674,Database!$H:$N,3,0)),"")</f>
        <v/>
      </c>
      <c r="J3674" s="55" t="str">
        <f>IFERROR(IF($G3674="","",VLOOKUP('Dashboard And Emails Automate'!$G3674,Database!$H:$N,4,0)),"")</f>
        <v/>
      </c>
      <c r="K3674" s="55" t="str">
        <f>IFERROR(IF($G3674="","",VLOOKUP('Dashboard And Emails Automate'!$G3674,Database!$H:$N,5,0)),"")</f>
        <v/>
      </c>
      <c r="L3674" s="55" t="str">
        <f>IFERROR(IF($G3674="","",VLOOKUP('Dashboard And Emails Automate'!$G3674,Database!$H:$N,6,0)),"")</f>
        <v/>
      </c>
      <c r="M3674" s="55" t="str">
        <f>IFERROR(IF($G3674="","",VLOOKUP('Dashboard And Emails Automate'!$G3674,Database!$H:$N,7,0)),"")</f>
        <v/>
      </c>
      <c r="N3674" s="55" t="str">
        <f>IFERROR(IF(OR($B3674="",$B3674="(blank)"),"",VLOOKUP($B3674,'Email Marketing Raw Data'!$C:$O,6,0)),"")</f>
        <v/>
      </c>
      <c r="O3674" s="55" t="str">
        <f>IFERROR(IF(OR($B3674="",$B3674="(blank)"),"",VLOOKUP($B3674,'Email Marketing Raw Data'!$C:$O,7,0)),"")</f>
        <v/>
      </c>
      <c r="P3674" s="55" t="str">
        <f>IFERROR(IF(OR($B3674="",$B3674="(blank)"),"",VLOOKUP($B3674,'Email Marketing Raw Data'!$C:$O,8,0)),"")</f>
        <v/>
      </c>
      <c r="Q3674" s="62" t="str">
        <f>IFERROR(IF(OR($B3674="",$B3674="(blank)"),"",VLOOKUP($B3674,'Email Marketing Raw Data'!$C:$O,9,0)),"")</f>
        <v/>
      </c>
    </row>
    <row r="3675" spans="4:17" ht="12.75" customHeight="1" x14ac:dyDescent="0.2">
      <c r="D3675" s="58" t="str">
        <f>IFERROR(IF(F3675&lt;&gt;"pending","",IF(OR($B3675="",$B3675="(blank)"),"",VLOOKUP($B3675,'Email Marketing Raw Data'!$C:$O,10,0))),"")</f>
        <v/>
      </c>
      <c r="E3675" s="59" t="str">
        <f>IFERROR(IF(F3675&lt;&gt;"pending","",IF(OR($B3675="",$B3675="(blank)"),"",VLOOKUP($B3675,'Email Marketing Raw Data'!$C:$O,11,0))),"")</f>
        <v/>
      </c>
      <c r="F3675" s="54" t="str">
        <f>IFERROR(IF(OR($B3675="",$B3675="(blank)"),"",VLOOKUP($B3675,'Email Marketing Raw Data'!$C:$O,13,0)),"")</f>
        <v/>
      </c>
      <c r="G3675" s="55" t="str">
        <f>IFERROR(IF(OR($B3675="",$B3675="(blank)"),"",VLOOKUP($B3675,'Email Marketing Raw Data'!$C:$O,4,0)),"")</f>
        <v/>
      </c>
      <c r="H3675" s="55" t="str">
        <f>IFERROR(IF(OR($B3675="",$B3675="(blank)"),"",VLOOKUP($B3675,'Email Marketing Raw Data'!$C:$O,5,0)),"")</f>
        <v/>
      </c>
      <c r="I3675" s="55" t="str">
        <f>IFERROR(IF($G3675="","",VLOOKUP('Dashboard And Emails Automate'!$G3675,Database!$H:$N,3,0)),"")</f>
        <v/>
      </c>
      <c r="J3675" s="55" t="str">
        <f>IFERROR(IF($G3675="","",VLOOKUP('Dashboard And Emails Automate'!$G3675,Database!$H:$N,4,0)),"")</f>
        <v/>
      </c>
      <c r="K3675" s="55" t="str">
        <f>IFERROR(IF($G3675="","",VLOOKUP('Dashboard And Emails Automate'!$G3675,Database!$H:$N,5,0)),"")</f>
        <v/>
      </c>
      <c r="L3675" s="55" t="str">
        <f>IFERROR(IF($G3675="","",VLOOKUP('Dashboard And Emails Automate'!$G3675,Database!$H:$N,6,0)),"")</f>
        <v/>
      </c>
      <c r="M3675" s="55" t="str">
        <f>IFERROR(IF($G3675="","",VLOOKUP('Dashboard And Emails Automate'!$G3675,Database!$H:$N,7,0)),"")</f>
        <v/>
      </c>
      <c r="N3675" s="55" t="str">
        <f>IFERROR(IF(OR($B3675="",$B3675="(blank)"),"",VLOOKUP($B3675,'Email Marketing Raw Data'!$C:$O,6,0)),"")</f>
        <v/>
      </c>
      <c r="O3675" s="55" t="str">
        <f>IFERROR(IF(OR($B3675="",$B3675="(blank)"),"",VLOOKUP($B3675,'Email Marketing Raw Data'!$C:$O,7,0)),"")</f>
        <v/>
      </c>
      <c r="P3675" s="55" t="str">
        <f>IFERROR(IF(OR($B3675="",$B3675="(blank)"),"",VLOOKUP($B3675,'Email Marketing Raw Data'!$C:$O,8,0)),"")</f>
        <v/>
      </c>
      <c r="Q3675" s="62" t="str">
        <f>IFERROR(IF(OR($B3675="",$B3675="(blank)"),"",VLOOKUP($B3675,'Email Marketing Raw Data'!$C:$O,9,0)),"")</f>
        <v/>
      </c>
    </row>
    <row r="3676" spans="4:17" ht="12.75" customHeight="1" x14ac:dyDescent="0.2">
      <c r="D3676" s="58" t="str">
        <f>IFERROR(IF(F3676&lt;&gt;"pending","",IF(OR($B3676="",$B3676="(blank)"),"",VLOOKUP($B3676,'Email Marketing Raw Data'!$C:$O,10,0))),"")</f>
        <v/>
      </c>
      <c r="E3676" s="59" t="str">
        <f>IFERROR(IF(F3676&lt;&gt;"pending","",IF(OR($B3676="",$B3676="(blank)"),"",VLOOKUP($B3676,'Email Marketing Raw Data'!$C:$O,11,0))),"")</f>
        <v/>
      </c>
      <c r="F3676" s="54" t="str">
        <f>IFERROR(IF(OR($B3676="",$B3676="(blank)"),"",VLOOKUP($B3676,'Email Marketing Raw Data'!$C:$O,13,0)),"")</f>
        <v/>
      </c>
      <c r="G3676" s="55" t="str">
        <f>IFERROR(IF(OR($B3676="",$B3676="(blank)"),"",VLOOKUP($B3676,'Email Marketing Raw Data'!$C:$O,4,0)),"")</f>
        <v/>
      </c>
      <c r="H3676" s="55" t="str">
        <f>IFERROR(IF(OR($B3676="",$B3676="(blank)"),"",VLOOKUP($B3676,'Email Marketing Raw Data'!$C:$O,5,0)),"")</f>
        <v/>
      </c>
      <c r="I3676" s="55" t="str">
        <f>IFERROR(IF($G3676="","",VLOOKUP('Dashboard And Emails Automate'!$G3676,Database!$H:$N,3,0)),"")</f>
        <v/>
      </c>
      <c r="J3676" s="55" t="str">
        <f>IFERROR(IF($G3676="","",VLOOKUP('Dashboard And Emails Automate'!$G3676,Database!$H:$N,4,0)),"")</f>
        <v/>
      </c>
      <c r="K3676" s="55" t="str">
        <f>IFERROR(IF($G3676="","",VLOOKUP('Dashboard And Emails Automate'!$G3676,Database!$H:$N,5,0)),"")</f>
        <v/>
      </c>
      <c r="L3676" s="55" t="str">
        <f>IFERROR(IF($G3676="","",VLOOKUP('Dashboard And Emails Automate'!$G3676,Database!$H:$N,6,0)),"")</f>
        <v/>
      </c>
      <c r="M3676" s="55" t="str">
        <f>IFERROR(IF($G3676="","",VLOOKUP('Dashboard And Emails Automate'!$G3676,Database!$H:$N,7,0)),"")</f>
        <v/>
      </c>
      <c r="N3676" s="55" t="str">
        <f>IFERROR(IF(OR($B3676="",$B3676="(blank)"),"",VLOOKUP($B3676,'Email Marketing Raw Data'!$C:$O,6,0)),"")</f>
        <v/>
      </c>
      <c r="O3676" s="55" t="str">
        <f>IFERROR(IF(OR($B3676="",$B3676="(blank)"),"",VLOOKUP($B3676,'Email Marketing Raw Data'!$C:$O,7,0)),"")</f>
        <v/>
      </c>
      <c r="P3676" s="55" t="str">
        <f>IFERROR(IF(OR($B3676="",$B3676="(blank)"),"",VLOOKUP($B3676,'Email Marketing Raw Data'!$C:$O,8,0)),"")</f>
        <v/>
      </c>
      <c r="Q3676" s="62" t="str">
        <f>IFERROR(IF(OR($B3676="",$B3676="(blank)"),"",VLOOKUP($B3676,'Email Marketing Raw Data'!$C:$O,9,0)),"")</f>
        <v/>
      </c>
    </row>
    <row r="3677" spans="4:17" ht="12.75" customHeight="1" x14ac:dyDescent="0.2">
      <c r="D3677" s="58" t="str">
        <f>IFERROR(IF(F3677&lt;&gt;"pending","",IF(OR($B3677="",$B3677="(blank)"),"",VLOOKUP($B3677,'Email Marketing Raw Data'!$C:$O,10,0))),"")</f>
        <v/>
      </c>
      <c r="E3677" s="59" t="str">
        <f>IFERROR(IF(F3677&lt;&gt;"pending","",IF(OR($B3677="",$B3677="(blank)"),"",VLOOKUP($B3677,'Email Marketing Raw Data'!$C:$O,11,0))),"")</f>
        <v/>
      </c>
      <c r="F3677" s="54" t="str">
        <f>IFERROR(IF(OR($B3677="",$B3677="(blank)"),"",VLOOKUP($B3677,'Email Marketing Raw Data'!$C:$O,13,0)),"")</f>
        <v/>
      </c>
      <c r="G3677" s="55" t="str">
        <f>IFERROR(IF(OR($B3677="",$B3677="(blank)"),"",VLOOKUP($B3677,'Email Marketing Raw Data'!$C:$O,4,0)),"")</f>
        <v/>
      </c>
      <c r="H3677" s="55" t="str">
        <f>IFERROR(IF(OR($B3677="",$B3677="(blank)"),"",VLOOKUP($B3677,'Email Marketing Raw Data'!$C:$O,5,0)),"")</f>
        <v/>
      </c>
      <c r="I3677" s="55" t="str">
        <f>IFERROR(IF($G3677="","",VLOOKUP('Dashboard And Emails Automate'!$G3677,Database!$H:$N,3,0)),"")</f>
        <v/>
      </c>
      <c r="J3677" s="55" t="str">
        <f>IFERROR(IF($G3677="","",VLOOKUP('Dashboard And Emails Automate'!$G3677,Database!$H:$N,4,0)),"")</f>
        <v/>
      </c>
      <c r="K3677" s="55" t="str">
        <f>IFERROR(IF($G3677="","",VLOOKUP('Dashboard And Emails Automate'!$G3677,Database!$H:$N,5,0)),"")</f>
        <v/>
      </c>
      <c r="L3677" s="55" t="str">
        <f>IFERROR(IF($G3677="","",VLOOKUP('Dashboard And Emails Automate'!$G3677,Database!$H:$N,6,0)),"")</f>
        <v/>
      </c>
      <c r="M3677" s="55" t="str">
        <f>IFERROR(IF($G3677="","",VLOOKUP('Dashboard And Emails Automate'!$G3677,Database!$H:$N,7,0)),"")</f>
        <v/>
      </c>
      <c r="N3677" s="55" t="str">
        <f>IFERROR(IF(OR($B3677="",$B3677="(blank)"),"",VLOOKUP($B3677,'Email Marketing Raw Data'!$C:$O,6,0)),"")</f>
        <v/>
      </c>
      <c r="O3677" s="55" t="str">
        <f>IFERROR(IF(OR($B3677="",$B3677="(blank)"),"",VLOOKUP($B3677,'Email Marketing Raw Data'!$C:$O,7,0)),"")</f>
        <v/>
      </c>
      <c r="P3677" s="55" t="str">
        <f>IFERROR(IF(OR($B3677="",$B3677="(blank)"),"",VLOOKUP($B3677,'Email Marketing Raw Data'!$C:$O,8,0)),"")</f>
        <v/>
      </c>
      <c r="Q3677" s="62" t="str">
        <f>IFERROR(IF(OR($B3677="",$B3677="(blank)"),"",VLOOKUP($B3677,'Email Marketing Raw Data'!$C:$O,9,0)),"")</f>
        <v/>
      </c>
    </row>
    <row r="3678" spans="4:17" ht="12.75" customHeight="1" x14ac:dyDescent="0.2">
      <c r="D3678" s="58" t="str">
        <f>IFERROR(IF(F3678&lt;&gt;"pending","",IF(OR($B3678="",$B3678="(blank)"),"",VLOOKUP($B3678,'Email Marketing Raw Data'!$C:$O,10,0))),"")</f>
        <v/>
      </c>
      <c r="E3678" s="59" t="str">
        <f>IFERROR(IF(F3678&lt;&gt;"pending","",IF(OR($B3678="",$B3678="(blank)"),"",VLOOKUP($B3678,'Email Marketing Raw Data'!$C:$O,11,0))),"")</f>
        <v/>
      </c>
      <c r="F3678" s="54" t="str">
        <f>IFERROR(IF(OR($B3678="",$B3678="(blank)"),"",VLOOKUP($B3678,'Email Marketing Raw Data'!$C:$O,13,0)),"")</f>
        <v/>
      </c>
      <c r="G3678" s="55" t="str">
        <f>IFERROR(IF(OR($B3678="",$B3678="(blank)"),"",VLOOKUP($B3678,'Email Marketing Raw Data'!$C:$O,4,0)),"")</f>
        <v/>
      </c>
      <c r="H3678" s="55" t="str">
        <f>IFERROR(IF(OR($B3678="",$B3678="(blank)"),"",VLOOKUP($B3678,'Email Marketing Raw Data'!$C:$O,5,0)),"")</f>
        <v/>
      </c>
      <c r="I3678" s="55" t="str">
        <f>IFERROR(IF($G3678="","",VLOOKUP('Dashboard And Emails Automate'!$G3678,Database!$H:$N,3,0)),"")</f>
        <v/>
      </c>
      <c r="J3678" s="55" t="str">
        <f>IFERROR(IF($G3678="","",VLOOKUP('Dashboard And Emails Automate'!$G3678,Database!$H:$N,4,0)),"")</f>
        <v/>
      </c>
      <c r="K3678" s="55" t="str">
        <f>IFERROR(IF($G3678="","",VLOOKUP('Dashboard And Emails Automate'!$G3678,Database!$H:$N,5,0)),"")</f>
        <v/>
      </c>
      <c r="L3678" s="55" t="str">
        <f>IFERROR(IF($G3678="","",VLOOKUP('Dashboard And Emails Automate'!$G3678,Database!$H:$N,6,0)),"")</f>
        <v/>
      </c>
      <c r="M3678" s="55" t="str">
        <f>IFERROR(IF($G3678="","",VLOOKUP('Dashboard And Emails Automate'!$G3678,Database!$H:$N,7,0)),"")</f>
        <v/>
      </c>
      <c r="N3678" s="55" t="str">
        <f>IFERROR(IF(OR($B3678="",$B3678="(blank)"),"",VLOOKUP($B3678,'Email Marketing Raw Data'!$C:$O,6,0)),"")</f>
        <v/>
      </c>
      <c r="O3678" s="55" t="str">
        <f>IFERROR(IF(OR($B3678="",$B3678="(blank)"),"",VLOOKUP($B3678,'Email Marketing Raw Data'!$C:$O,7,0)),"")</f>
        <v/>
      </c>
      <c r="P3678" s="55" t="str">
        <f>IFERROR(IF(OR($B3678="",$B3678="(blank)"),"",VLOOKUP($B3678,'Email Marketing Raw Data'!$C:$O,8,0)),"")</f>
        <v/>
      </c>
      <c r="Q3678" s="62" t="str">
        <f>IFERROR(IF(OR($B3678="",$B3678="(blank)"),"",VLOOKUP($B3678,'Email Marketing Raw Data'!$C:$O,9,0)),"")</f>
        <v/>
      </c>
    </row>
    <row r="3679" spans="4:17" ht="12.75" customHeight="1" x14ac:dyDescent="0.2">
      <c r="D3679" s="58" t="str">
        <f>IFERROR(IF(F3679&lt;&gt;"pending","",IF(OR($B3679="",$B3679="(blank)"),"",VLOOKUP($B3679,'Email Marketing Raw Data'!$C:$O,10,0))),"")</f>
        <v/>
      </c>
      <c r="E3679" s="59" t="str">
        <f>IFERROR(IF(F3679&lt;&gt;"pending","",IF(OR($B3679="",$B3679="(blank)"),"",VLOOKUP($B3679,'Email Marketing Raw Data'!$C:$O,11,0))),"")</f>
        <v/>
      </c>
      <c r="F3679" s="54" t="str">
        <f>IFERROR(IF(OR($B3679="",$B3679="(blank)"),"",VLOOKUP($B3679,'Email Marketing Raw Data'!$C:$O,13,0)),"")</f>
        <v/>
      </c>
      <c r="G3679" s="55" t="str">
        <f>IFERROR(IF(OR($B3679="",$B3679="(blank)"),"",VLOOKUP($B3679,'Email Marketing Raw Data'!$C:$O,4,0)),"")</f>
        <v/>
      </c>
      <c r="H3679" s="55" t="str">
        <f>IFERROR(IF(OR($B3679="",$B3679="(blank)"),"",VLOOKUP($B3679,'Email Marketing Raw Data'!$C:$O,5,0)),"")</f>
        <v/>
      </c>
      <c r="I3679" s="55" t="str">
        <f>IFERROR(IF($G3679="","",VLOOKUP('Dashboard And Emails Automate'!$G3679,Database!$H:$N,3,0)),"")</f>
        <v/>
      </c>
      <c r="J3679" s="55" t="str">
        <f>IFERROR(IF($G3679="","",VLOOKUP('Dashboard And Emails Automate'!$G3679,Database!$H:$N,4,0)),"")</f>
        <v/>
      </c>
      <c r="K3679" s="55" t="str">
        <f>IFERROR(IF($G3679="","",VLOOKUP('Dashboard And Emails Automate'!$G3679,Database!$H:$N,5,0)),"")</f>
        <v/>
      </c>
      <c r="L3679" s="55" t="str">
        <f>IFERROR(IF($G3679="","",VLOOKUP('Dashboard And Emails Automate'!$G3679,Database!$H:$N,6,0)),"")</f>
        <v/>
      </c>
      <c r="M3679" s="55" t="str">
        <f>IFERROR(IF($G3679="","",VLOOKUP('Dashboard And Emails Automate'!$G3679,Database!$H:$N,7,0)),"")</f>
        <v/>
      </c>
      <c r="N3679" s="55" t="str">
        <f>IFERROR(IF(OR($B3679="",$B3679="(blank)"),"",VLOOKUP($B3679,'Email Marketing Raw Data'!$C:$O,6,0)),"")</f>
        <v/>
      </c>
      <c r="O3679" s="55" t="str">
        <f>IFERROR(IF(OR($B3679="",$B3679="(blank)"),"",VLOOKUP($B3679,'Email Marketing Raw Data'!$C:$O,7,0)),"")</f>
        <v/>
      </c>
      <c r="P3679" s="55" t="str">
        <f>IFERROR(IF(OR($B3679="",$B3679="(blank)"),"",VLOOKUP($B3679,'Email Marketing Raw Data'!$C:$O,8,0)),"")</f>
        <v/>
      </c>
      <c r="Q3679" s="62" t="str">
        <f>IFERROR(IF(OR($B3679="",$B3679="(blank)"),"",VLOOKUP($B3679,'Email Marketing Raw Data'!$C:$O,9,0)),"")</f>
        <v/>
      </c>
    </row>
    <row r="3680" spans="4:17" ht="12.75" customHeight="1" x14ac:dyDescent="0.2">
      <c r="D3680" s="58" t="str">
        <f>IFERROR(IF(F3680&lt;&gt;"pending","",IF(OR($B3680="",$B3680="(blank)"),"",VLOOKUP($B3680,'Email Marketing Raw Data'!$C:$O,10,0))),"")</f>
        <v/>
      </c>
      <c r="E3680" s="59" t="str">
        <f>IFERROR(IF(F3680&lt;&gt;"pending","",IF(OR($B3680="",$B3680="(blank)"),"",VLOOKUP($B3680,'Email Marketing Raw Data'!$C:$O,11,0))),"")</f>
        <v/>
      </c>
      <c r="F3680" s="54" t="str">
        <f>IFERROR(IF(OR($B3680="",$B3680="(blank)"),"",VLOOKUP($B3680,'Email Marketing Raw Data'!$C:$O,13,0)),"")</f>
        <v/>
      </c>
      <c r="G3680" s="55" t="str">
        <f>IFERROR(IF(OR($B3680="",$B3680="(blank)"),"",VLOOKUP($B3680,'Email Marketing Raw Data'!$C:$O,4,0)),"")</f>
        <v/>
      </c>
      <c r="H3680" s="55" t="str">
        <f>IFERROR(IF(OR($B3680="",$B3680="(blank)"),"",VLOOKUP($B3680,'Email Marketing Raw Data'!$C:$O,5,0)),"")</f>
        <v/>
      </c>
      <c r="I3680" s="55" t="str">
        <f>IFERROR(IF($G3680="","",VLOOKUP('Dashboard And Emails Automate'!$G3680,Database!$H:$N,3,0)),"")</f>
        <v/>
      </c>
      <c r="J3680" s="55" t="str">
        <f>IFERROR(IF($G3680="","",VLOOKUP('Dashboard And Emails Automate'!$G3680,Database!$H:$N,4,0)),"")</f>
        <v/>
      </c>
      <c r="K3680" s="55" t="str">
        <f>IFERROR(IF($G3680="","",VLOOKUP('Dashboard And Emails Automate'!$G3680,Database!$H:$N,5,0)),"")</f>
        <v/>
      </c>
      <c r="L3680" s="55" t="str">
        <f>IFERROR(IF($G3680="","",VLOOKUP('Dashboard And Emails Automate'!$G3680,Database!$H:$N,6,0)),"")</f>
        <v/>
      </c>
      <c r="M3680" s="55" t="str">
        <f>IFERROR(IF($G3680="","",VLOOKUP('Dashboard And Emails Automate'!$G3680,Database!$H:$N,7,0)),"")</f>
        <v/>
      </c>
      <c r="N3680" s="55" t="str">
        <f>IFERROR(IF(OR($B3680="",$B3680="(blank)"),"",VLOOKUP($B3680,'Email Marketing Raw Data'!$C:$O,6,0)),"")</f>
        <v/>
      </c>
      <c r="O3680" s="55" t="str">
        <f>IFERROR(IF(OR($B3680="",$B3680="(blank)"),"",VLOOKUP($B3680,'Email Marketing Raw Data'!$C:$O,7,0)),"")</f>
        <v/>
      </c>
      <c r="P3680" s="55" t="str">
        <f>IFERROR(IF(OR($B3680="",$B3680="(blank)"),"",VLOOKUP($B3680,'Email Marketing Raw Data'!$C:$O,8,0)),"")</f>
        <v/>
      </c>
      <c r="Q3680" s="62" t="str">
        <f>IFERROR(IF(OR($B3680="",$B3680="(blank)"),"",VLOOKUP($B3680,'Email Marketing Raw Data'!$C:$O,9,0)),"")</f>
        <v/>
      </c>
    </row>
    <row r="3681" spans="4:17" ht="12.75" customHeight="1" x14ac:dyDescent="0.2">
      <c r="D3681" s="58" t="str">
        <f>IFERROR(IF(F3681&lt;&gt;"pending","",IF(OR($B3681="",$B3681="(blank)"),"",VLOOKUP($B3681,'Email Marketing Raw Data'!$C:$O,10,0))),"")</f>
        <v/>
      </c>
      <c r="E3681" s="59" t="str">
        <f>IFERROR(IF(F3681&lt;&gt;"pending","",IF(OR($B3681="",$B3681="(blank)"),"",VLOOKUP($B3681,'Email Marketing Raw Data'!$C:$O,11,0))),"")</f>
        <v/>
      </c>
      <c r="F3681" s="54" t="str">
        <f>IFERROR(IF(OR($B3681="",$B3681="(blank)"),"",VLOOKUP($B3681,'Email Marketing Raw Data'!$C:$O,13,0)),"")</f>
        <v/>
      </c>
      <c r="G3681" s="55" t="str">
        <f>IFERROR(IF(OR($B3681="",$B3681="(blank)"),"",VLOOKUP($B3681,'Email Marketing Raw Data'!$C:$O,4,0)),"")</f>
        <v/>
      </c>
      <c r="H3681" s="55" t="str">
        <f>IFERROR(IF(OR($B3681="",$B3681="(blank)"),"",VLOOKUP($B3681,'Email Marketing Raw Data'!$C:$O,5,0)),"")</f>
        <v/>
      </c>
      <c r="I3681" s="55" t="str">
        <f>IFERROR(IF($G3681="","",VLOOKUP('Dashboard And Emails Automate'!$G3681,Database!$H:$N,3,0)),"")</f>
        <v/>
      </c>
      <c r="J3681" s="55" t="str">
        <f>IFERROR(IF($G3681="","",VLOOKUP('Dashboard And Emails Automate'!$G3681,Database!$H:$N,4,0)),"")</f>
        <v/>
      </c>
      <c r="K3681" s="55" t="str">
        <f>IFERROR(IF($G3681="","",VLOOKUP('Dashboard And Emails Automate'!$G3681,Database!$H:$N,5,0)),"")</f>
        <v/>
      </c>
      <c r="L3681" s="55" t="str">
        <f>IFERROR(IF($G3681="","",VLOOKUP('Dashboard And Emails Automate'!$G3681,Database!$H:$N,6,0)),"")</f>
        <v/>
      </c>
      <c r="M3681" s="55" t="str">
        <f>IFERROR(IF($G3681="","",VLOOKUP('Dashboard And Emails Automate'!$G3681,Database!$H:$N,7,0)),"")</f>
        <v/>
      </c>
      <c r="N3681" s="55" t="str">
        <f>IFERROR(IF(OR($B3681="",$B3681="(blank)"),"",VLOOKUP($B3681,'Email Marketing Raw Data'!$C:$O,6,0)),"")</f>
        <v/>
      </c>
      <c r="O3681" s="55" t="str">
        <f>IFERROR(IF(OR($B3681="",$B3681="(blank)"),"",VLOOKUP($B3681,'Email Marketing Raw Data'!$C:$O,7,0)),"")</f>
        <v/>
      </c>
      <c r="P3681" s="55" t="str">
        <f>IFERROR(IF(OR($B3681="",$B3681="(blank)"),"",VLOOKUP($B3681,'Email Marketing Raw Data'!$C:$O,8,0)),"")</f>
        <v/>
      </c>
      <c r="Q3681" s="62" t="str">
        <f>IFERROR(IF(OR($B3681="",$B3681="(blank)"),"",VLOOKUP($B3681,'Email Marketing Raw Data'!$C:$O,9,0)),"")</f>
        <v/>
      </c>
    </row>
    <row r="3682" spans="4:17" ht="12.75" customHeight="1" x14ac:dyDescent="0.2">
      <c r="D3682" s="58" t="str">
        <f>IFERROR(IF(F3682&lt;&gt;"pending","",IF(OR($B3682="",$B3682="(blank)"),"",VLOOKUP($B3682,'Email Marketing Raw Data'!$C:$O,10,0))),"")</f>
        <v/>
      </c>
      <c r="E3682" s="59" t="str">
        <f>IFERROR(IF(F3682&lt;&gt;"pending","",IF(OR($B3682="",$B3682="(blank)"),"",VLOOKUP($B3682,'Email Marketing Raw Data'!$C:$O,11,0))),"")</f>
        <v/>
      </c>
      <c r="F3682" s="54" t="str">
        <f>IFERROR(IF(OR($B3682="",$B3682="(blank)"),"",VLOOKUP($B3682,'Email Marketing Raw Data'!$C:$O,13,0)),"")</f>
        <v/>
      </c>
      <c r="G3682" s="55" t="str">
        <f>IFERROR(IF(OR($B3682="",$B3682="(blank)"),"",VLOOKUP($B3682,'Email Marketing Raw Data'!$C:$O,4,0)),"")</f>
        <v/>
      </c>
      <c r="H3682" s="55" t="str">
        <f>IFERROR(IF(OR($B3682="",$B3682="(blank)"),"",VLOOKUP($B3682,'Email Marketing Raw Data'!$C:$O,5,0)),"")</f>
        <v/>
      </c>
      <c r="I3682" s="55" t="str">
        <f>IFERROR(IF($G3682="","",VLOOKUP('Dashboard And Emails Automate'!$G3682,Database!$H:$N,3,0)),"")</f>
        <v/>
      </c>
      <c r="J3682" s="55" t="str">
        <f>IFERROR(IF($G3682="","",VLOOKUP('Dashboard And Emails Automate'!$G3682,Database!$H:$N,4,0)),"")</f>
        <v/>
      </c>
      <c r="K3682" s="55" t="str">
        <f>IFERROR(IF($G3682="","",VLOOKUP('Dashboard And Emails Automate'!$G3682,Database!$H:$N,5,0)),"")</f>
        <v/>
      </c>
      <c r="L3682" s="55" t="str">
        <f>IFERROR(IF($G3682="","",VLOOKUP('Dashboard And Emails Automate'!$G3682,Database!$H:$N,6,0)),"")</f>
        <v/>
      </c>
      <c r="M3682" s="55" t="str">
        <f>IFERROR(IF($G3682="","",VLOOKUP('Dashboard And Emails Automate'!$G3682,Database!$H:$N,7,0)),"")</f>
        <v/>
      </c>
      <c r="N3682" s="55" t="str">
        <f>IFERROR(IF(OR($B3682="",$B3682="(blank)"),"",VLOOKUP($B3682,'Email Marketing Raw Data'!$C:$O,6,0)),"")</f>
        <v/>
      </c>
      <c r="O3682" s="55" t="str">
        <f>IFERROR(IF(OR($B3682="",$B3682="(blank)"),"",VLOOKUP($B3682,'Email Marketing Raw Data'!$C:$O,7,0)),"")</f>
        <v/>
      </c>
      <c r="P3682" s="55" t="str">
        <f>IFERROR(IF(OR($B3682="",$B3682="(blank)"),"",VLOOKUP($B3682,'Email Marketing Raw Data'!$C:$O,8,0)),"")</f>
        <v/>
      </c>
      <c r="Q3682" s="62" t="str">
        <f>IFERROR(IF(OR($B3682="",$B3682="(blank)"),"",VLOOKUP($B3682,'Email Marketing Raw Data'!$C:$O,9,0)),"")</f>
        <v/>
      </c>
    </row>
    <row r="3683" spans="4:17" ht="12.75" customHeight="1" x14ac:dyDescent="0.2">
      <c r="D3683" s="58" t="str">
        <f>IFERROR(IF(F3683&lt;&gt;"pending","",IF(OR($B3683="",$B3683="(blank)"),"",VLOOKUP($B3683,'Email Marketing Raw Data'!$C:$O,10,0))),"")</f>
        <v/>
      </c>
      <c r="E3683" s="59" t="str">
        <f>IFERROR(IF(F3683&lt;&gt;"pending","",IF(OR($B3683="",$B3683="(blank)"),"",VLOOKUP($B3683,'Email Marketing Raw Data'!$C:$O,11,0))),"")</f>
        <v/>
      </c>
      <c r="F3683" s="54" t="str">
        <f>IFERROR(IF(OR($B3683="",$B3683="(blank)"),"",VLOOKUP($B3683,'Email Marketing Raw Data'!$C:$O,13,0)),"")</f>
        <v/>
      </c>
      <c r="G3683" s="55" t="str">
        <f>IFERROR(IF(OR($B3683="",$B3683="(blank)"),"",VLOOKUP($B3683,'Email Marketing Raw Data'!$C:$O,4,0)),"")</f>
        <v/>
      </c>
      <c r="H3683" s="55" t="str">
        <f>IFERROR(IF(OR($B3683="",$B3683="(blank)"),"",VLOOKUP($B3683,'Email Marketing Raw Data'!$C:$O,5,0)),"")</f>
        <v/>
      </c>
      <c r="I3683" s="55" t="str">
        <f>IFERROR(IF($G3683="","",VLOOKUP('Dashboard And Emails Automate'!$G3683,Database!$H:$N,3,0)),"")</f>
        <v/>
      </c>
      <c r="J3683" s="55" t="str">
        <f>IFERROR(IF($G3683="","",VLOOKUP('Dashboard And Emails Automate'!$G3683,Database!$H:$N,4,0)),"")</f>
        <v/>
      </c>
      <c r="K3683" s="55" t="str">
        <f>IFERROR(IF($G3683="","",VLOOKUP('Dashboard And Emails Automate'!$G3683,Database!$H:$N,5,0)),"")</f>
        <v/>
      </c>
      <c r="L3683" s="55" t="str">
        <f>IFERROR(IF($G3683="","",VLOOKUP('Dashboard And Emails Automate'!$G3683,Database!$H:$N,6,0)),"")</f>
        <v/>
      </c>
      <c r="M3683" s="55" t="str">
        <f>IFERROR(IF($G3683="","",VLOOKUP('Dashboard And Emails Automate'!$G3683,Database!$H:$N,7,0)),"")</f>
        <v/>
      </c>
      <c r="N3683" s="55" t="str">
        <f>IFERROR(IF(OR($B3683="",$B3683="(blank)"),"",VLOOKUP($B3683,'Email Marketing Raw Data'!$C:$O,6,0)),"")</f>
        <v/>
      </c>
      <c r="O3683" s="55" t="str">
        <f>IFERROR(IF(OR($B3683="",$B3683="(blank)"),"",VLOOKUP($B3683,'Email Marketing Raw Data'!$C:$O,7,0)),"")</f>
        <v/>
      </c>
      <c r="P3683" s="55" t="str">
        <f>IFERROR(IF(OR($B3683="",$B3683="(blank)"),"",VLOOKUP($B3683,'Email Marketing Raw Data'!$C:$O,8,0)),"")</f>
        <v/>
      </c>
      <c r="Q3683" s="62" t="str">
        <f>IFERROR(IF(OR($B3683="",$B3683="(blank)"),"",VLOOKUP($B3683,'Email Marketing Raw Data'!$C:$O,9,0)),"")</f>
        <v/>
      </c>
    </row>
    <row r="3684" spans="4:17" ht="12.75" customHeight="1" x14ac:dyDescent="0.2">
      <c r="D3684" s="58" t="str">
        <f>IFERROR(IF(F3684&lt;&gt;"pending","",IF(OR($B3684="",$B3684="(blank)"),"",VLOOKUP($B3684,'Email Marketing Raw Data'!$C:$O,10,0))),"")</f>
        <v/>
      </c>
      <c r="E3684" s="59" t="str">
        <f>IFERROR(IF(F3684&lt;&gt;"pending","",IF(OR($B3684="",$B3684="(blank)"),"",VLOOKUP($B3684,'Email Marketing Raw Data'!$C:$O,11,0))),"")</f>
        <v/>
      </c>
      <c r="F3684" s="54" t="str">
        <f>IFERROR(IF(OR($B3684="",$B3684="(blank)"),"",VLOOKUP($B3684,'Email Marketing Raw Data'!$C:$O,13,0)),"")</f>
        <v/>
      </c>
      <c r="G3684" s="55" t="str">
        <f>IFERROR(IF(OR($B3684="",$B3684="(blank)"),"",VLOOKUP($B3684,'Email Marketing Raw Data'!$C:$O,4,0)),"")</f>
        <v/>
      </c>
      <c r="H3684" s="55" t="str">
        <f>IFERROR(IF(OR($B3684="",$B3684="(blank)"),"",VLOOKUP($B3684,'Email Marketing Raw Data'!$C:$O,5,0)),"")</f>
        <v/>
      </c>
      <c r="I3684" s="55" t="str">
        <f>IFERROR(IF($G3684="","",VLOOKUP('Dashboard And Emails Automate'!$G3684,Database!$H:$N,3,0)),"")</f>
        <v/>
      </c>
      <c r="J3684" s="55" t="str">
        <f>IFERROR(IF($G3684="","",VLOOKUP('Dashboard And Emails Automate'!$G3684,Database!$H:$N,4,0)),"")</f>
        <v/>
      </c>
      <c r="K3684" s="55" t="str">
        <f>IFERROR(IF($G3684="","",VLOOKUP('Dashboard And Emails Automate'!$G3684,Database!$H:$N,5,0)),"")</f>
        <v/>
      </c>
      <c r="L3684" s="55" t="str">
        <f>IFERROR(IF($G3684="","",VLOOKUP('Dashboard And Emails Automate'!$G3684,Database!$H:$N,6,0)),"")</f>
        <v/>
      </c>
      <c r="M3684" s="55" t="str">
        <f>IFERROR(IF($G3684="","",VLOOKUP('Dashboard And Emails Automate'!$G3684,Database!$H:$N,7,0)),"")</f>
        <v/>
      </c>
      <c r="N3684" s="55" t="str">
        <f>IFERROR(IF(OR($B3684="",$B3684="(blank)"),"",VLOOKUP($B3684,'Email Marketing Raw Data'!$C:$O,6,0)),"")</f>
        <v/>
      </c>
      <c r="O3684" s="55" t="str">
        <f>IFERROR(IF(OR($B3684="",$B3684="(blank)"),"",VLOOKUP($B3684,'Email Marketing Raw Data'!$C:$O,7,0)),"")</f>
        <v/>
      </c>
      <c r="P3684" s="55" t="str">
        <f>IFERROR(IF(OR($B3684="",$B3684="(blank)"),"",VLOOKUP($B3684,'Email Marketing Raw Data'!$C:$O,8,0)),"")</f>
        <v/>
      </c>
      <c r="Q3684" s="62" t="str">
        <f>IFERROR(IF(OR($B3684="",$B3684="(blank)"),"",VLOOKUP($B3684,'Email Marketing Raw Data'!$C:$O,9,0)),"")</f>
        <v/>
      </c>
    </row>
    <row r="3685" spans="4:17" ht="12.75" customHeight="1" x14ac:dyDescent="0.2">
      <c r="D3685" s="58" t="str">
        <f>IFERROR(IF(F3685&lt;&gt;"pending","",IF(OR($B3685="",$B3685="(blank)"),"",VLOOKUP($B3685,'Email Marketing Raw Data'!$C:$O,10,0))),"")</f>
        <v/>
      </c>
      <c r="E3685" s="59" t="str">
        <f>IFERROR(IF(F3685&lt;&gt;"pending","",IF(OR($B3685="",$B3685="(blank)"),"",VLOOKUP($B3685,'Email Marketing Raw Data'!$C:$O,11,0))),"")</f>
        <v/>
      </c>
      <c r="F3685" s="54" t="str">
        <f>IFERROR(IF(OR($B3685="",$B3685="(blank)"),"",VLOOKUP($B3685,'Email Marketing Raw Data'!$C:$O,13,0)),"")</f>
        <v/>
      </c>
      <c r="G3685" s="55" t="str">
        <f>IFERROR(IF(OR($B3685="",$B3685="(blank)"),"",VLOOKUP($B3685,'Email Marketing Raw Data'!$C:$O,4,0)),"")</f>
        <v/>
      </c>
      <c r="H3685" s="55" t="str">
        <f>IFERROR(IF(OR($B3685="",$B3685="(blank)"),"",VLOOKUP($B3685,'Email Marketing Raw Data'!$C:$O,5,0)),"")</f>
        <v/>
      </c>
      <c r="I3685" s="55" t="str">
        <f>IFERROR(IF($G3685="","",VLOOKUP('Dashboard And Emails Automate'!$G3685,Database!$H:$N,3,0)),"")</f>
        <v/>
      </c>
      <c r="J3685" s="55" t="str">
        <f>IFERROR(IF($G3685="","",VLOOKUP('Dashboard And Emails Automate'!$G3685,Database!$H:$N,4,0)),"")</f>
        <v/>
      </c>
      <c r="K3685" s="55" t="str">
        <f>IFERROR(IF($G3685="","",VLOOKUP('Dashboard And Emails Automate'!$G3685,Database!$H:$N,5,0)),"")</f>
        <v/>
      </c>
      <c r="L3685" s="55" t="str">
        <f>IFERROR(IF($G3685="","",VLOOKUP('Dashboard And Emails Automate'!$G3685,Database!$H:$N,6,0)),"")</f>
        <v/>
      </c>
      <c r="M3685" s="55" t="str">
        <f>IFERROR(IF($G3685="","",VLOOKUP('Dashboard And Emails Automate'!$G3685,Database!$H:$N,7,0)),"")</f>
        <v/>
      </c>
      <c r="N3685" s="55" t="str">
        <f>IFERROR(IF(OR($B3685="",$B3685="(blank)"),"",VLOOKUP($B3685,'Email Marketing Raw Data'!$C:$O,6,0)),"")</f>
        <v/>
      </c>
      <c r="O3685" s="55" t="str">
        <f>IFERROR(IF(OR($B3685="",$B3685="(blank)"),"",VLOOKUP($B3685,'Email Marketing Raw Data'!$C:$O,7,0)),"")</f>
        <v/>
      </c>
      <c r="P3685" s="55" t="str">
        <f>IFERROR(IF(OR($B3685="",$B3685="(blank)"),"",VLOOKUP($B3685,'Email Marketing Raw Data'!$C:$O,8,0)),"")</f>
        <v/>
      </c>
      <c r="Q3685" s="62" t="str">
        <f>IFERROR(IF(OR($B3685="",$B3685="(blank)"),"",VLOOKUP($B3685,'Email Marketing Raw Data'!$C:$O,9,0)),"")</f>
        <v/>
      </c>
    </row>
    <row r="3686" spans="4:17" ht="12.75" customHeight="1" x14ac:dyDescent="0.2">
      <c r="D3686" s="58" t="str">
        <f>IFERROR(IF(F3686&lt;&gt;"pending","",IF(OR($B3686="",$B3686="(blank)"),"",VLOOKUP($B3686,'Email Marketing Raw Data'!$C:$O,10,0))),"")</f>
        <v/>
      </c>
      <c r="E3686" s="59" t="str">
        <f>IFERROR(IF(F3686&lt;&gt;"pending","",IF(OR($B3686="",$B3686="(blank)"),"",VLOOKUP($B3686,'Email Marketing Raw Data'!$C:$O,11,0))),"")</f>
        <v/>
      </c>
      <c r="F3686" s="54" t="str">
        <f>IFERROR(IF(OR($B3686="",$B3686="(blank)"),"",VLOOKUP($B3686,'Email Marketing Raw Data'!$C:$O,13,0)),"")</f>
        <v/>
      </c>
      <c r="G3686" s="55" t="str">
        <f>IFERROR(IF(OR($B3686="",$B3686="(blank)"),"",VLOOKUP($B3686,'Email Marketing Raw Data'!$C:$O,4,0)),"")</f>
        <v/>
      </c>
      <c r="H3686" s="55" t="str">
        <f>IFERROR(IF(OR($B3686="",$B3686="(blank)"),"",VLOOKUP($B3686,'Email Marketing Raw Data'!$C:$O,5,0)),"")</f>
        <v/>
      </c>
      <c r="I3686" s="55" t="str">
        <f>IFERROR(IF($G3686="","",VLOOKUP('Dashboard And Emails Automate'!$G3686,Database!$H:$N,3,0)),"")</f>
        <v/>
      </c>
      <c r="J3686" s="55" t="str">
        <f>IFERROR(IF($G3686="","",VLOOKUP('Dashboard And Emails Automate'!$G3686,Database!$H:$N,4,0)),"")</f>
        <v/>
      </c>
      <c r="K3686" s="55" t="str">
        <f>IFERROR(IF($G3686="","",VLOOKUP('Dashboard And Emails Automate'!$G3686,Database!$H:$N,5,0)),"")</f>
        <v/>
      </c>
      <c r="L3686" s="55" t="str">
        <f>IFERROR(IF($G3686="","",VLOOKUP('Dashboard And Emails Automate'!$G3686,Database!$H:$N,6,0)),"")</f>
        <v/>
      </c>
      <c r="M3686" s="55" t="str">
        <f>IFERROR(IF($G3686="","",VLOOKUP('Dashboard And Emails Automate'!$G3686,Database!$H:$N,7,0)),"")</f>
        <v/>
      </c>
      <c r="N3686" s="55" t="str">
        <f>IFERROR(IF(OR($B3686="",$B3686="(blank)"),"",VLOOKUP($B3686,'Email Marketing Raw Data'!$C:$O,6,0)),"")</f>
        <v/>
      </c>
      <c r="O3686" s="55" t="str">
        <f>IFERROR(IF(OR($B3686="",$B3686="(blank)"),"",VLOOKUP($B3686,'Email Marketing Raw Data'!$C:$O,7,0)),"")</f>
        <v/>
      </c>
      <c r="P3686" s="55" t="str">
        <f>IFERROR(IF(OR($B3686="",$B3686="(blank)"),"",VLOOKUP($B3686,'Email Marketing Raw Data'!$C:$O,8,0)),"")</f>
        <v/>
      </c>
      <c r="Q3686" s="62" t="str">
        <f>IFERROR(IF(OR($B3686="",$B3686="(blank)"),"",VLOOKUP($B3686,'Email Marketing Raw Data'!$C:$O,9,0)),"")</f>
        <v/>
      </c>
    </row>
    <row r="3687" spans="4:17" ht="12.75" customHeight="1" x14ac:dyDescent="0.2">
      <c r="D3687" s="58" t="str">
        <f>IFERROR(IF(F3687&lt;&gt;"pending","",IF(OR($B3687="",$B3687="(blank)"),"",VLOOKUP($B3687,'Email Marketing Raw Data'!$C:$O,10,0))),"")</f>
        <v/>
      </c>
      <c r="E3687" s="59" t="str">
        <f>IFERROR(IF(F3687&lt;&gt;"pending","",IF(OR($B3687="",$B3687="(blank)"),"",VLOOKUP($B3687,'Email Marketing Raw Data'!$C:$O,11,0))),"")</f>
        <v/>
      </c>
      <c r="F3687" s="54" t="str">
        <f>IFERROR(IF(OR($B3687="",$B3687="(blank)"),"",VLOOKUP($B3687,'Email Marketing Raw Data'!$C:$O,13,0)),"")</f>
        <v/>
      </c>
      <c r="G3687" s="55" t="str">
        <f>IFERROR(IF(OR($B3687="",$B3687="(blank)"),"",VLOOKUP($B3687,'Email Marketing Raw Data'!$C:$O,4,0)),"")</f>
        <v/>
      </c>
      <c r="H3687" s="55" t="str">
        <f>IFERROR(IF(OR($B3687="",$B3687="(blank)"),"",VLOOKUP($B3687,'Email Marketing Raw Data'!$C:$O,5,0)),"")</f>
        <v/>
      </c>
      <c r="I3687" s="55" t="str">
        <f>IFERROR(IF($G3687="","",VLOOKUP('Dashboard And Emails Automate'!$G3687,Database!$H:$N,3,0)),"")</f>
        <v/>
      </c>
      <c r="J3687" s="55" t="str">
        <f>IFERROR(IF($G3687="","",VLOOKUP('Dashboard And Emails Automate'!$G3687,Database!$H:$N,4,0)),"")</f>
        <v/>
      </c>
      <c r="K3687" s="55" t="str">
        <f>IFERROR(IF($G3687="","",VLOOKUP('Dashboard And Emails Automate'!$G3687,Database!$H:$N,5,0)),"")</f>
        <v/>
      </c>
      <c r="L3687" s="55" t="str">
        <f>IFERROR(IF($G3687="","",VLOOKUP('Dashboard And Emails Automate'!$G3687,Database!$H:$N,6,0)),"")</f>
        <v/>
      </c>
      <c r="M3687" s="55" t="str">
        <f>IFERROR(IF($G3687="","",VLOOKUP('Dashboard And Emails Automate'!$G3687,Database!$H:$N,7,0)),"")</f>
        <v/>
      </c>
      <c r="N3687" s="55" t="str">
        <f>IFERROR(IF(OR($B3687="",$B3687="(blank)"),"",VLOOKUP($B3687,'Email Marketing Raw Data'!$C:$O,6,0)),"")</f>
        <v/>
      </c>
      <c r="O3687" s="55" t="str">
        <f>IFERROR(IF(OR($B3687="",$B3687="(blank)"),"",VLOOKUP($B3687,'Email Marketing Raw Data'!$C:$O,7,0)),"")</f>
        <v/>
      </c>
      <c r="P3687" s="55" t="str">
        <f>IFERROR(IF(OR($B3687="",$B3687="(blank)"),"",VLOOKUP($B3687,'Email Marketing Raw Data'!$C:$O,8,0)),"")</f>
        <v/>
      </c>
      <c r="Q3687" s="62" t="str">
        <f>IFERROR(IF(OR($B3687="",$B3687="(blank)"),"",VLOOKUP($B3687,'Email Marketing Raw Data'!$C:$O,9,0)),"")</f>
        <v/>
      </c>
    </row>
    <row r="3688" spans="4:17" ht="12.75" customHeight="1" x14ac:dyDescent="0.2">
      <c r="D3688" s="58" t="str">
        <f>IFERROR(IF(F3688&lt;&gt;"pending","",IF(OR($B3688="",$B3688="(blank)"),"",VLOOKUP($B3688,'Email Marketing Raw Data'!$C:$O,10,0))),"")</f>
        <v/>
      </c>
      <c r="E3688" s="59" t="str">
        <f>IFERROR(IF(F3688&lt;&gt;"pending","",IF(OR($B3688="",$B3688="(blank)"),"",VLOOKUP($B3688,'Email Marketing Raw Data'!$C:$O,11,0))),"")</f>
        <v/>
      </c>
      <c r="F3688" s="54" t="str">
        <f>IFERROR(IF(OR($B3688="",$B3688="(blank)"),"",VLOOKUP($B3688,'Email Marketing Raw Data'!$C:$O,13,0)),"")</f>
        <v/>
      </c>
      <c r="G3688" s="55" t="str">
        <f>IFERROR(IF(OR($B3688="",$B3688="(blank)"),"",VLOOKUP($B3688,'Email Marketing Raw Data'!$C:$O,4,0)),"")</f>
        <v/>
      </c>
      <c r="H3688" s="55" t="str">
        <f>IFERROR(IF(OR($B3688="",$B3688="(blank)"),"",VLOOKUP($B3688,'Email Marketing Raw Data'!$C:$O,5,0)),"")</f>
        <v/>
      </c>
      <c r="I3688" s="55" t="str">
        <f>IFERROR(IF($G3688="","",VLOOKUP('Dashboard And Emails Automate'!$G3688,Database!$H:$N,3,0)),"")</f>
        <v/>
      </c>
      <c r="J3688" s="55" t="str">
        <f>IFERROR(IF($G3688="","",VLOOKUP('Dashboard And Emails Automate'!$G3688,Database!$H:$N,4,0)),"")</f>
        <v/>
      </c>
      <c r="K3688" s="55" t="str">
        <f>IFERROR(IF($G3688="","",VLOOKUP('Dashboard And Emails Automate'!$G3688,Database!$H:$N,5,0)),"")</f>
        <v/>
      </c>
      <c r="L3688" s="55" t="str">
        <f>IFERROR(IF($G3688="","",VLOOKUP('Dashboard And Emails Automate'!$G3688,Database!$H:$N,6,0)),"")</f>
        <v/>
      </c>
      <c r="M3688" s="55" t="str">
        <f>IFERROR(IF($G3688="","",VLOOKUP('Dashboard And Emails Automate'!$G3688,Database!$H:$N,7,0)),"")</f>
        <v/>
      </c>
      <c r="N3688" s="55" t="str">
        <f>IFERROR(IF(OR($B3688="",$B3688="(blank)"),"",VLOOKUP($B3688,'Email Marketing Raw Data'!$C:$O,6,0)),"")</f>
        <v/>
      </c>
      <c r="O3688" s="55" t="str">
        <f>IFERROR(IF(OR($B3688="",$B3688="(blank)"),"",VLOOKUP($B3688,'Email Marketing Raw Data'!$C:$O,7,0)),"")</f>
        <v/>
      </c>
      <c r="P3688" s="55" t="str">
        <f>IFERROR(IF(OR($B3688="",$B3688="(blank)"),"",VLOOKUP($B3688,'Email Marketing Raw Data'!$C:$O,8,0)),"")</f>
        <v/>
      </c>
      <c r="Q3688" s="62" t="str">
        <f>IFERROR(IF(OR($B3688="",$B3688="(blank)"),"",VLOOKUP($B3688,'Email Marketing Raw Data'!$C:$O,9,0)),"")</f>
        <v/>
      </c>
    </row>
    <row r="3689" spans="4:17" ht="12.75" customHeight="1" x14ac:dyDescent="0.2">
      <c r="D3689" s="58" t="str">
        <f>IFERROR(IF(F3689&lt;&gt;"pending","",IF(OR($B3689="",$B3689="(blank)"),"",VLOOKUP($B3689,'Email Marketing Raw Data'!$C:$O,10,0))),"")</f>
        <v/>
      </c>
      <c r="E3689" s="59" t="str">
        <f>IFERROR(IF(F3689&lt;&gt;"pending","",IF(OR($B3689="",$B3689="(blank)"),"",VLOOKUP($B3689,'Email Marketing Raw Data'!$C:$O,11,0))),"")</f>
        <v/>
      </c>
      <c r="F3689" s="54" t="str">
        <f>IFERROR(IF(OR($B3689="",$B3689="(blank)"),"",VLOOKUP($B3689,'Email Marketing Raw Data'!$C:$O,13,0)),"")</f>
        <v/>
      </c>
      <c r="G3689" s="55" t="str">
        <f>IFERROR(IF(OR($B3689="",$B3689="(blank)"),"",VLOOKUP($B3689,'Email Marketing Raw Data'!$C:$O,4,0)),"")</f>
        <v/>
      </c>
      <c r="H3689" s="55" t="str">
        <f>IFERROR(IF(OR($B3689="",$B3689="(blank)"),"",VLOOKUP($B3689,'Email Marketing Raw Data'!$C:$O,5,0)),"")</f>
        <v/>
      </c>
      <c r="I3689" s="55" t="str">
        <f>IFERROR(IF($G3689="","",VLOOKUP('Dashboard And Emails Automate'!$G3689,Database!$H:$N,3,0)),"")</f>
        <v/>
      </c>
      <c r="J3689" s="55" t="str">
        <f>IFERROR(IF($G3689="","",VLOOKUP('Dashboard And Emails Automate'!$G3689,Database!$H:$N,4,0)),"")</f>
        <v/>
      </c>
      <c r="K3689" s="55" t="str">
        <f>IFERROR(IF($G3689="","",VLOOKUP('Dashboard And Emails Automate'!$G3689,Database!$H:$N,5,0)),"")</f>
        <v/>
      </c>
      <c r="L3689" s="55" t="str">
        <f>IFERROR(IF($G3689="","",VLOOKUP('Dashboard And Emails Automate'!$G3689,Database!$H:$N,6,0)),"")</f>
        <v/>
      </c>
      <c r="M3689" s="55" t="str">
        <f>IFERROR(IF($G3689="","",VLOOKUP('Dashboard And Emails Automate'!$G3689,Database!$H:$N,7,0)),"")</f>
        <v/>
      </c>
      <c r="N3689" s="55" t="str">
        <f>IFERROR(IF(OR($B3689="",$B3689="(blank)"),"",VLOOKUP($B3689,'Email Marketing Raw Data'!$C:$O,6,0)),"")</f>
        <v/>
      </c>
      <c r="O3689" s="55" t="str">
        <f>IFERROR(IF(OR($B3689="",$B3689="(blank)"),"",VLOOKUP($B3689,'Email Marketing Raw Data'!$C:$O,7,0)),"")</f>
        <v/>
      </c>
      <c r="P3689" s="55" t="str">
        <f>IFERROR(IF(OR($B3689="",$B3689="(blank)"),"",VLOOKUP($B3689,'Email Marketing Raw Data'!$C:$O,8,0)),"")</f>
        <v/>
      </c>
      <c r="Q3689" s="62" t="str">
        <f>IFERROR(IF(OR($B3689="",$B3689="(blank)"),"",VLOOKUP($B3689,'Email Marketing Raw Data'!$C:$O,9,0)),"")</f>
        <v/>
      </c>
    </row>
    <row r="3690" spans="4:17" ht="12.75" customHeight="1" x14ac:dyDescent="0.2">
      <c r="D3690" s="58" t="str">
        <f>IFERROR(IF(F3690&lt;&gt;"pending","",IF(OR($B3690="",$B3690="(blank)"),"",VLOOKUP($B3690,'Email Marketing Raw Data'!$C:$O,10,0))),"")</f>
        <v/>
      </c>
      <c r="E3690" s="59" t="str">
        <f>IFERROR(IF(F3690&lt;&gt;"pending","",IF(OR($B3690="",$B3690="(blank)"),"",VLOOKUP($B3690,'Email Marketing Raw Data'!$C:$O,11,0))),"")</f>
        <v/>
      </c>
      <c r="F3690" s="54" t="str">
        <f>IFERROR(IF(OR($B3690="",$B3690="(blank)"),"",VLOOKUP($B3690,'Email Marketing Raw Data'!$C:$O,13,0)),"")</f>
        <v/>
      </c>
      <c r="G3690" s="55" t="str">
        <f>IFERROR(IF(OR($B3690="",$B3690="(blank)"),"",VLOOKUP($B3690,'Email Marketing Raw Data'!$C:$O,4,0)),"")</f>
        <v/>
      </c>
      <c r="H3690" s="55" t="str">
        <f>IFERROR(IF(OR($B3690="",$B3690="(blank)"),"",VLOOKUP($B3690,'Email Marketing Raw Data'!$C:$O,5,0)),"")</f>
        <v/>
      </c>
      <c r="I3690" s="55" t="str">
        <f>IFERROR(IF($G3690="","",VLOOKUP('Dashboard And Emails Automate'!$G3690,Database!$H:$N,3,0)),"")</f>
        <v/>
      </c>
      <c r="J3690" s="55" t="str">
        <f>IFERROR(IF($G3690="","",VLOOKUP('Dashboard And Emails Automate'!$G3690,Database!$H:$N,4,0)),"")</f>
        <v/>
      </c>
      <c r="K3690" s="55" t="str">
        <f>IFERROR(IF($G3690="","",VLOOKUP('Dashboard And Emails Automate'!$G3690,Database!$H:$N,5,0)),"")</f>
        <v/>
      </c>
      <c r="L3690" s="55" t="str">
        <f>IFERROR(IF($G3690="","",VLOOKUP('Dashboard And Emails Automate'!$G3690,Database!$H:$N,6,0)),"")</f>
        <v/>
      </c>
      <c r="M3690" s="55" t="str">
        <f>IFERROR(IF($G3690="","",VLOOKUP('Dashboard And Emails Automate'!$G3690,Database!$H:$N,7,0)),"")</f>
        <v/>
      </c>
      <c r="N3690" s="55" t="str">
        <f>IFERROR(IF(OR($B3690="",$B3690="(blank)"),"",VLOOKUP($B3690,'Email Marketing Raw Data'!$C:$O,6,0)),"")</f>
        <v/>
      </c>
      <c r="O3690" s="55" t="str">
        <f>IFERROR(IF(OR($B3690="",$B3690="(blank)"),"",VLOOKUP($B3690,'Email Marketing Raw Data'!$C:$O,7,0)),"")</f>
        <v/>
      </c>
      <c r="P3690" s="55" t="str">
        <f>IFERROR(IF(OR($B3690="",$B3690="(blank)"),"",VLOOKUP($B3690,'Email Marketing Raw Data'!$C:$O,8,0)),"")</f>
        <v/>
      </c>
      <c r="Q3690" s="62" t="str">
        <f>IFERROR(IF(OR($B3690="",$B3690="(blank)"),"",VLOOKUP($B3690,'Email Marketing Raw Data'!$C:$O,9,0)),"")</f>
        <v/>
      </c>
    </row>
    <row r="3691" spans="4:17" ht="12.75" customHeight="1" x14ac:dyDescent="0.2">
      <c r="D3691" s="58" t="str">
        <f>IFERROR(IF(F3691&lt;&gt;"pending","",IF(OR($B3691="",$B3691="(blank)"),"",VLOOKUP($B3691,'Email Marketing Raw Data'!$C:$O,10,0))),"")</f>
        <v/>
      </c>
      <c r="E3691" s="59" t="str">
        <f>IFERROR(IF(F3691&lt;&gt;"pending","",IF(OR($B3691="",$B3691="(blank)"),"",VLOOKUP($B3691,'Email Marketing Raw Data'!$C:$O,11,0))),"")</f>
        <v/>
      </c>
      <c r="F3691" s="54" t="str">
        <f>IFERROR(IF(OR($B3691="",$B3691="(blank)"),"",VLOOKUP($B3691,'Email Marketing Raw Data'!$C:$O,13,0)),"")</f>
        <v/>
      </c>
      <c r="G3691" s="55" t="str">
        <f>IFERROR(IF(OR($B3691="",$B3691="(blank)"),"",VLOOKUP($B3691,'Email Marketing Raw Data'!$C:$O,4,0)),"")</f>
        <v/>
      </c>
      <c r="H3691" s="55" t="str">
        <f>IFERROR(IF(OR($B3691="",$B3691="(blank)"),"",VLOOKUP($B3691,'Email Marketing Raw Data'!$C:$O,5,0)),"")</f>
        <v/>
      </c>
      <c r="I3691" s="55" t="str">
        <f>IFERROR(IF($G3691="","",VLOOKUP('Dashboard And Emails Automate'!$G3691,Database!$H:$N,3,0)),"")</f>
        <v/>
      </c>
      <c r="J3691" s="55" t="str">
        <f>IFERROR(IF($G3691="","",VLOOKUP('Dashboard And Emails Automate'!$G3691,Database!$H:$N,4,0)),"")</f>
        <v/>
      </c>
      <c r="K3691" s="55" t="str">
        <f>IFERROR(IF($G3691="","",VLOOKUP('Dashboard And Emails Automate'!$G3691,Database!$H:$N,5,0)),"")</f>
        <v/>
      </c>
      <c r="L3691" s="55" t="str">
        <f>IFERROR(IF($G3691="","",VLOOKUP('Dashboard And Emails Automate'!$G3691,Database!$H:$N,6,0)),"")</f>
        <v/>
      </c>
      <c r="M3691" s="55" t="str">
        <f>IFERROR(IF($G3691="","",VLOOKUP('Dashboard And Emails Automate'!$G3691,Database!$H:$N,7,0)),"")</f>
        <v/>
      </c>
      <c r="N3691" s="55" t="str">
        <f>IFERROR(IF(OR($B3691="",$B3691="(blank)"),"",VLOOKUP($B3691,'Email Marketing Raw Data'!$C:$O,6,0)),"")</f>
        <v/>
      </c>
      <c r="O3691" s="55" t="str">
        <f>IFERROR(IF(OR($B3691="",$B3691="(blank)"),"",VLOOKUP($B3691,'Email Marketing Raw Data'!$C:$O,7,0)),"")</f>
        <v/>
      </c>
      <c r="P3691" s="55" t="str">
        <f>IFERROR(IF(OR($B3691="",$B3691="(blank)"),"",VLOOKUP($B3691,'Email Marketing Raw Data'!$C:$O,8,0)),"")</f>
        <v/>
      </c>
      <c r="Q3691" s="62" t="str">
        <f>IFERROR(IF(OR($B3691="",$B3691="(blank)"),"",VLOOKUP($B3691,'Email Marketing Raw Data'!$C:$O,9,0)),"")</f>
        <v/>
      </c>
    </row>
    <row r="3692" spans="4:17" ht="12.75" customHeight="1" x14ac:dyDescent="0.2">
      <c r="D3692" s="58" t="str">
        <f>IFERROR(IF(F3692&lt;&gt;"pending","",IF(OR($B3692="",$B3692="(blank)"),"",VLOOKUP($B3692,'Email Marketing Raw Data'!$C:$O,10,0))),"")</f>
        <v/>
      </c>
      <c r="E3692" s="59" t="str">
        <f>IFERROR(IF(F3692&lt;&gt;"pending","",IF(OR($B3692="",$B3692="(blank)"),"",VLOOKUP($B3692,'Email Marketing Raw Data'!$C:$O,11,0))),"")</f>
        <v/>
      </c>
      <c r="F3692" s="54" t="str">
        <f>IFERROR(IF(OR($B3692="",$B3692="(blank)"),"",VLOOKUP($B3692,'Email Marketing Raw Data'!$C:$O,13,0)),"")</f>
        <v/>
      </c>
      <c r="G3692" s="55" t="str">
        <f>IFERROR(IF(OR($B3692="",$B3692="(blank)"),"",VLOOKUP($B3692,'Email Marketing Raw Data'!$C:$O,4,0)),"")</f>
        <v/>
      </c>
      <c r="H3692" s="55" t="str">
        <f>IFERROR(IF(OR($B3692="",$B3692="(blank)"),"",VLOOKUP($B3692,'Email Marketing Raw Data'!$C:$O,5,0)),"")</f>
        <v/>
      </c>
      <c r="I3692" s="55" t="str">
        <f>IFERROR(IF($G3692="","",VLOOKUP('Dashboard And Emails Automate'!$G3692,Database!$H:$N,3,0)),"")</f>
        <v/>
      </c>
      <c r="J3692" s="55" t="str">
        <f>IFERROR(IF($G3692="","",VLOOKUP('Dashboard And Emails Automate'!$G3692,Database!$H:$N,4,0)),"")</f>
        <v/>
      </c>
      <c r="K3692" s="55" t="str">
        <f>IFERROR(IF($G3692="","",VLOOKUP('Dashboard And Emails Automate'!$G3692,Database!$H:$N,5,0)),"")</f>
        <v/>
      </c>
      <c r="L3692" s="55" t="str">
        <f>IFERROR(IF($G3692="","",VLOOKUP('Dashboard And Emails Automate'!$G3692,Database!$H:$N,6,0)),"")</f>
        <v/>
      </c>
      <c r="M3692" s="55" t="str">
        <f>IFERROR(IF($G3692="","",VLOOKUP('Dashboard And Emails Automate'!$G3692,Database!$H:$N,7,0)),"")</f>
        <v/>
      </c>
      <c r="N3692" s="55" t="str">
        <f>IFERROR(IF(OR($B3692="",$B3692="(blank)"),"",VLOOKUP($B3692,'Email Marketing Raw Data'!$C:$O,6,0)),"")</f>
        <v/>
      </c>
      <c r="O3692" s="55" t="str">
        <f>IFERROR(IF(OR($B3692="",$B3692="(blank)"),"",VLOOKUP($B3692,'Email Marketing Raw Data'!$C:$O,7,0)),"")</f>
        <v/>
      </c>
      <c r="P3692" s="55" t="str">
        <f>IFERROR(IF(OR($B3692="",$B3692="(blank)"),"",VLOOKUP($B3692,'Email Marketing Raw Data'!$C:$O,8,0)),"")</f>
        <v/>
      </c>
      <c r="Q3692" s="62" t="str">
        <f>IFERROR(IF(OR($B3692="",$B3692="(blank)"),"",VLOOKUP($B3692,'Email Marketing Raw Data'!$C:$O,9,0)),"")</f>
        <v/>
      </c>
    </row>
    <row r="3693" spans="4:17" ht="12.75" customHeight="1" x14ac:dyDescent="0.2">
      <c r="D3693" s="58" t="str">
        <f>IFERROR(IF(F3693&lt;&gt;"pending","",IF(OR($B3693="",$B3693="(blank)"),"",VLOOKUP($B3693,'Email Marketing Raw Data'!$C:$O,10,0))),"")</f>
        <v/>
      </c>
      <c r="E3693" s="59" t="str">
        <f>IFERROR(IF(F3693&lt;&gt;"pending","",IF(OR($B3693="",$B3693="(blank)"),"",VLOOKUP($B3693,'Email Marketing Raw Data'!$C:$O,11,0))),"")</f>
        <v/>
      </c>
      <c r="F3693" s="54" t="str">
        <f>IFERROR(IF(OR($B3693="",$B3693="(blank)"),"",VLOOKUP($B3693,'Email Marketing Raw Data'!$C:$O,13,0)),"")</f>
        <v/>
      </c>
      <c r="G3693" s="55" t="str">
        <f>IFERROR(IF(OR($B3693="",$B3693="(blank)"),"",VLOOKUP($B3693,'Email Marketing Raw Data'!$C:$O,4,0)),"")</f>
        <v/>
      </c>
      <c r="H3693" s="55" t="str">
        <f>IFERROR(IF(OR($B3693="",$B3693="(blank)"),"",VLOOKUP($B3693,'Email Marketing Raw Data'!$C:$O,5,0)),"")</f>
        <v/>
      </c>
      <c r="I3693" s="55" t="str">
        <f>IFERROR(IF($G3693="","",VLOOKUP('Dashboard And Emails Automate'!$G3693,Database!$H:$N,3,0)),"")</f>
        <v/>
      </c>
      <c r="J3693" s="55" t="str">
        <f>IFERROR(IF($G3693="","",VLOOKUP('Dashboard And Emails Automate'!$G3693,Database!$H:$N,4,0)),"")</f>
        <v/>
      </c>
      <c r="K3693" s="55" t="str">
        <f>IFERROR(IF($G3693="","",VLOOKUP('Dashboard And Emails Automate'!$G3693,Database!$H:$N,5,0)),"")</f>
        <v/>
      </c>
      <c r="L3693" s="55" t="str">
        <f>IFERROR(IF($G3693="","",VLOOKUP('Dashboard And Emails Automate'!$G3693,Database!$H:$N,6,0)),"")</f>
        <v/>
      </c>
      <c r="M3693" s="55" t="str">
        <f>IFERROR(IF($G3693="","",VLOOKUP('Dashboard And Emails Automate'!$G3693,Database!$H:$N,7,0)),"")</f>
        <v/>
      </c>
      <c r="N3693" s="55" t="str">
        <f>IFERROR(IF(OR($B3693="",$B3693="(blank)"),"",VLOOKUP($B3693,'Email Marketing Raw Data'!$C:$O,6,0)),"")</f>
        <v/>
      </c>
      <c r="O3693" s="55" t="str">
        <f>IFERROR(IF(OR($B3693="",$B3693="(blank)"),"",VLOOKUP($B3693,'Email Marketing Raw Data'!$C:$O,7,0)),"")</f>
        <v/>
      </c>
      <c r="P3693" s="55" t="str">
        <f>IFERROR(IF(OR($B3693="",$B3693="(blank)"),"",VLOOKUP($B3693,'Email Marketing Raw Data'!$C:$O,8,0)),"")</f>
        <v/>
      </c>
      <c r="Q3693" s="62" t="str">
        <f>IFERROR(IF(OR($B3693="",$B3693="(blank)"),"",VLOOKUP($B3693,'Email Marketing Raw Data'!$C:$O,9,0)),"")</f>
        <v/>
      </c>
    </row>
    <row r="3694" spans="4:17" ht="12.75" customHeight="1" x14ac:dyDescent="0.2">
      <c r="D3694" s="58" t="str">
        <f>IFERROR(IF(F3694&lt;&gt;"pending","",IF(OR($B3694="",$B3694="(blank)"),"",VLOOKUP($B3694,'Email Marketing Raw Data'!$C:$O,10,0))),"")</f>
        <v/>
      </c>
      <c r="E3694" s="59" t="str">
        <f>IFERROR(IF(F3694&lt;&gt;"pending","",IF(OR($B3694="",$B3694="(blank)"),"",VLOOKUP($B3694,'Email Marketing Raw Data'!$C:$O,11,0))),"")</f>
        <v/>
      </c>
      <c r="F3694" s="54" t="str">
        <f>IFERROR(IF(OR($B3694="",$B3694="(blank)"),"",VLOOKUP($B3694,'Email Marketing Raw Data'!$C:$O,13,0)),"")</f>
        <v/>
      </c>
      <c r="G3694" s="55" t="str">
        <f>IFERROR(IF(OR($B3694="",$B3694="(blank)"),"",VLOOKUP($B3694,'Email Marketing Raw Data'!$C:$O,4,0)),"")</f>
        <v/>
      </c>
      <c r="H3694" s="55" t="str">
        <f>IFERROR(IF(OR($B3694="",$B3694="(blank)"),"",VLOOKUP($B3694,'Email Marketing Raw Data'!$C:$O,5,0)),"")</f>
        <v/>
      </c>
      <c r="I3694" s="55" t="str">
        <f>IFERROR(IF($G3694="","",VLOOKUP('Dashboard And Emails Automate'!$G3694,Database!$H:$N,3,0)),"")</f>
        <v/>
      </c>
      <c r="J3694" s="55" t="str">
        <f>IFERROR(IF($G3694="","",VLOOKUP('Dashboard And Emails Automate'!$G3694,Database!$H:$N,4,0)),"")</f>
        <v/>
      </c>
      <c r="K3694" s="55" t="str">
        <f>IFERROR(IF($G3694="","",VLOOKUP('Dashboard And Emails Automate'!$G3694,Database!$H:$N,5,0)),"")</f>
        <v/>
      </c>
      <c r="L3694" s="55" t="str">
        <f>IFERROR(IF($G3694="","",VLOOKUP('Dashboard And Emails Automate'!$G3694,Database!$H:$N,6,0)),"")</f>
        <v/>
      </c>
      <c r="M3694" s="55" t="str">
        <f>IFERROR(IF($G3694="","",VLOOKUP('Dashboard And Emails Automate'!$G3694,Database!$H:$N,7,0)),"")</f>
        <v/>
      </c>
      <c r="N3694" s="55" t="str">
        <f>IFERROR(IF(OR($B3694="",$B3694="(blank)"),"",VLOOKUP($B3694,'Email Marketing Raw Data'!$C:$O,6,0)),"")</f>
        <v/>
      </c>
      <c r="O3694" s="55" t="str">
        <f>IFERROR(IF(OR($B3694="",$B3694="(blank)"),"",VLOOKUP($B3694,'Email Marketing Raw Data'!$C:$O,7,0)),"")</f>
        <v/>
      </c>
      <c r="P3694" s="55" t="str">
        <f>IFERROR(IF(OR($B3694="",$B3694="(blank)"),"",VLOOKUP($B3694,'Email Marketing Raw Data'!$C:$O,8,0)),"")</f>
        <v/>
      </c>
      <c r="Q3694" s="62" t="str">
        <f>IFERROR(IF(OR($B3694="",$B3694="(blank)"),"",VLOOKUP($B3694,'Email Marketing Raw Data'!$C:$O,9,0)),"")</f>
        <v/>
      </c>
    </row>
    <row r="3695" spans="4:17" ht="12.75" customHeight="1" x14ac:dyDescent="0.2">
      <c r="D3695" s="58" t="str">
        <f>IFERROR(IF(F3695&lt;&gt;"pending","",IF(OR($B3695="",$B3695="(blank)"),"",VLOOKUP($B3695,'Email Marketing Raw Data'!$C:$O,10,0))),"")</f>
        <v/>
      </c>
      <c r="E3695" s="59" t="str">
        <f>IFERROR(IF(F3695&lt;&gt;"pending","",IF(OR($B3695="",$B3695="(blank)"),"",VLOOKUP($B3695,'Email Marketing Raw Data'!$C:$O,11,0))),"")</f>
        <v/>
      </c>
      <c r="F3695" s="54" t="str">
        <f>IFERROR(IF(OR($B3695="",$B3695="(blank)"),"",VLOOKUP($B3695,'Email Marketing Raw Data'!$C:$O,13,0)),"")</f>
        <v/>
      </c>
      <c r="G3695" s="55" t="str">
        <f>IFERROR(IF(OR($B3695="",$B3695="(blank)"),"",VLOOKUP($B3695,'Email Marketing Raw Data'!$C:$O,4,0)),"")</f>
        <v/>
      </c>
      <c r="H3695" s="55" t="str">
        <f>IFERROR(IF(OR($B3695="",$B3695="(blank)"),"",VLOOKUP($B3695,'Email Marketing Raw Data'!$C:$O,5,0)),"")</f>
        <v/>
      </c>
      <c r="I3695" s="55" t="str">
        <f>IFERROR(IF($G3695="","",VLOOKUP('Dashboard And Emails Automate'!$G3695,Database!$H:$N,3,0)),"")</f>
        <v/>
      </c>
      <c r="J3695" s="55" t="str">
        <f>IFERROR(IF($G3695="","",VLOOKUP('Dashboard And Emails Automate'!$G3695,Database!$H:$N,4,0)),"")</f>
        <v/>
      </c>
      <c r="K3695" s="55" t="str">
        <f>IFERROR(IF($G3695="","",VLOOKUP('Dashboard And Emails Automate'!$G3695,Database!$H:$N,5,0)),"")</f>
        <v/>
      </c>
      <c r="L3695" s="55" t="str">
        <f>IFERROR(IF($G3695="","",VLOOKUP('Dashboard And Emails Automate'!$G3695,Database!$H:$N,6,0)),"")</f>
        <v/>
      </c>
      <c r="M3695" s="55" t="str">
        <f>IFERROR(IF($G3695="","",VLOOKUP('Dashboard And Emails Automate'!$G3695,Database!$H:$N,7,0)),"")</f>
        <v/>
      </c>
      <c r="N3695" s="55" t="str">
        <f>IFERROR(IF(OR($B3695="",$B3695="(blank)"),"",VLOOKUP($B3695,'Email Marketing Raw Data'!$C:$O,6,0)),"")</f>
        <v/>
      </c>
      <c r="O3695" s="55" t="str">
        <f>IFERROR(IF(OR($B3695="",$B3695="(blank)"),"",VLOOKUP($B3695,'Email Marketing Raw Data'!$C:$O,7,0)),"")</f>
        <v/>
      </c>
      <c r="P3695" s="55" t="str">
        <f>IFERROR(IF(OR($B3695="",$B3695="(blank)"),"",VLOOKUP($B3695,'Email Marketing Raw Data'!$C:$O,8,0)),"")</f>
        <v/>
      </c>
      <c r="Q3695" s="62" t="str">
        <f>IFERROR(IF(OR($B3695="",$B3695="(blank)"),"",VLOOKUP($B3695,'Email Marketing Raw Data'!$C:$O,9,0)),"")</f>
        <v/>
      </c>
    </row>
    <row r="3696" spans="4:17" ht="12.75" customHeight="1" x14ac:dyDescent="0.2">
      <c r="D3696" s="58" t="str">
        <f>IFERROR(IF(F3696&lt;&gt;"pending","",IF(OR($B3696="",$B3696="(blank)"),"",VLOOKUP($B3696,'Email Marketing Raw Data'!$C:$O,10,0))),"")</f>
        <v/>
      </c>
      <c r="E3696" s="59" t="str">
        <f>IFERROR(IF(F3696&lt;&gt;"pending","",IF(OR($B3696="",$B3696="(blank)"),"",VLOOKUP($B3696,'Email Marketing Raw Data'!$C:$O,11,0))),"")</f>
        <v/>
      </c>
      <c r="F3696" s="54" t="str">
        <f>IFERROR(IF(OR($B3696="",$B3696="(blank)"),"",VLOOKUP($B3696,'Email Marketing Raw Data'!$C:$O,13,0)),"")</f>
        <v/>
      </c>
      <c r="G3696" s="55" t="str">
        <f>IFERROR(IF(OR($B3696="",$B3696="(blank)"),"",VLOOKUP($B3696,'Email Marketing Raw Data'!$C:$O,4,0)),"")</f>
        <v/>
      </c>
      <c r="H3696" s="55" t="str">
        <f>IFERROR(IF(OR($B3696="",$B3696="(blank)"),"",VLOOKUP($B3696,'Email Marketing Raw Data'!$C:$O,5,0)),"")</f>
        <v/>
      </c>
      <c r="I3696" s="55" t="str">
        <f>IFERROR(IF($G3696="","",VLOOKUP('Dashboard And Emails Automate'!$G3696,Database!$H:$N,3,0)),"")</f>
        <v/>
      </c>
      <c r="J3696" s="55" t="str">
        <f>IFERROR(IF($G3696="","",VLOOKUP('Dashboard And Emails Automate'!$G3696,Database!$H:$N,4,0)),"")</f>
        <v/>
      </c>
      <c r="K3696" s="55" t="str">
        <f>IFERROR(IF($G3696="","",VLOOKUP('Dashboard And Emails Automate'!$G3696,Database!$H:$N,5,0)),"")</f>
        <v/>
      </c>
      <c r="L3696" s="55" t="str">
        <f>IFERROR(IF($G3696="","",VLOOKUP('Dashboard And Emails Automate'!$G3696,Database!$H:$N,6,0)),"")</f>
        <v/>
      </c>
      <c r="M3696" s="55" t="str">
        <f>IFERROR(IF($G3696="","",VLOOKUP('Dashboard And Emails Automate'!$G3696,Database!$H:$N,7,0)),"")</f>
        <v/>
      </c>
      <c r="N3696" s="55" t="str">
        <f>IFERROR(IF(OR($B3696="",$B3696="(blank)"),"",VLOOKUP($B3696,'Email Marketing Raw Data'!$C:$O,6,0)),"")</f>
        <v/>
      </c>
      <c r="O3696" s="55" t="str">
        <f>IFERROR(IF(OR($B3696="",$B3696="(blank)"),"",VLOOKUP($B3696,'Email Marketing Raw Data'!$C:$O,7,0)),"")</f>
        <v/>
      </c>
      <c r="P3696" s="55" t="str">
        <f>IFERROR(IF(OR($B3696="",$B3696="(blank)"),"",VLOOKUP($B3696,'Email Marketing Raw Data'!$C:$O,8,0)),"")</f>
        <v/>
      </c>
      <c r="Q3696" s="62" t="str">
        <f>IFERROR(IF(OR($B3696="",$B3696="(blank)"),"",VLOOKUP($B3696,'Email Marketing Raw Data'!$C:$O,9,0)),"")</f>
        <v/>
      </c>
    </row>
    <row r="3697" spans="4:17" ht="12.75" customHeight="1" x14ac:dyDescent="0.2">
      <c r="D3697" s="58" t="str">
        <f>IFERROR(IF(F3697&lt;&gt;"pending","",IF(OR($B3697="",$B3697="(blank)"),"",VLOOKUP($B3697,'Email Marketing Raw Data'!$C:$O,10,0))),"")</f>
        <v/>
      </c>
      <c r="E3697" s="59" t="str">
        <f>IFERROR(IF(F3697&lt;&gt;"pending","",IF(OR($B3697="",$B3697="(blank)"),"",VLOOKUP($B3697,'Email Marketing Raw Data'!$C:$O,11,0))),"")</f>
        <v/>
      </c>
      <c r="F3697" s="54" t="str">
        <f>IFERROR(IF(OR($B3697="",$B3697="(blank)"),"",VLOOKUP($B3697,'Email Marketing Raw Data'!$C:$O,13,0)),"")</f>
        <v/>
      </c>
      <c r="G3697" s="55" t="str">
        <f>IFERROR(IF(OR($B3697="",$B3697="(blank)"),"",VLOOKUP($B3697,'Email Marketing Raw Data'!$C:$O,4,0)),"")</f>
        <v/>
      </c>
      <c r="H3697" s="55" t="str">
        <f>IFERROR(IF(OR($B3697="",$B3697="(blank)"),"",VLOOKUP($B3697,'Email Marketing Raw Data'!$C:$O,5,0)),"")</f>
        <v/>
      </c>
      <c r="I3697" s="55" t="str">
        <f>IFERROR(IF($G3697="","",VLOOKUP('Dashboard And Emails Automate'!$G3697,Database!$H:$N,3,0)),"")</f>
        <v/>
      </c>
      <c r="J3697" s="55" t="str">
        <f>IFERROR(IF($G3697="","",VLOOKUP('Dashboard And Emails Automate'!$G3697,Database!$H:$N,4,0)),"")</f>
        <v/>
      </c>
      <c r="K3697" s="55" t="str">
        <f>IFERROR(IF($G3697="","",VLOOKUP('Dashboard And Emails Automate'!$G3697,Database!$H:$N,5,0)),"")</f>
        <v/>
      </c>
      <c r="L3697" s="55" t="str">
        <f>IFERROR(IF($G3697="","",VLOOKUP('Dashboard And Emails Automate'!$G3697,Database!$H:$N,6,0)),"")</f>
        <v/>
      </c>
      <c r="M3697" s="55" t="str">
        <f>IFERROR(IF($G3697="","",VLOOKUP('Dashboard And Emails Automate'!$G3697,Database!$H:$N,7,0)),"")</f>
        <v/>
      </c>
      <c r="N3697" s="55" t="str">
        <f>IFERROR(IF(OR($B3697="",$B3697="(blank)"),"",VLOOKUP($B3697,'Email Marketing Raw Data'!$C:$O,6,0)),"")</f>
        <v/>
      </c>
      <c r="O3697" s="55" t="str">
        <f>IFERROR(IF(OR($B3697="",$B3697="(blank)"),"",VLOOKUP($B3697,'Email Marketing Raw Data'!$C:$O,7,0)),"")</f>
        <v/>
      </c>
      <c r="P3697" s="55" t="str">
        <f>IFERROR(IF(OR($B3697="",$B3697="(blank)"),"",VLOOKUP($B3697,'Email Marketing Raw Data'!$C:$O,8,0)),"")</f>
        <v/>
      </c>
      <c r="Q3697" s="62" t="str">
        <f>IFERROR(IF(OR($B3697="",$B3697="(blank)"),"",VLOOKUP($B3697,'Email Marketing Raw Data'!$C:$O,9,0)),"")</f>
        <v/>
      </c>
    </row>
    <row r="3698" spans="4:17" ht="12.75" customHeight="1" x14ac:dyDescent="0.2">
      <c r="D3698" s="58" t="str">
        <f>IFERROR(IF(F3698&lt;&gt;"pending","",IF(OR($B3698="",$B3698="(blank)"),"",VLOOKUP($B3698,'Email Marketing Raw Data'!$C:$O,10,0))),"")</f>
        <v/>
      </c>
      <c r="E3698" s="59" t="str">
        <f>IFERROR(IF(F3698&lt;&gt;"pending","",IF(OR($B3698="",$B3698="(blank)"),"",VLOOKUP($B3698,'Email Marketing Raw Data'!$C:$O,11,0))),"")</f>
        <v/>
      </c>
      <c r="F3698" s="54" t="str">
        <f>IFERROR(IF(OR($B3698="",$B3698="(blank)"),"",VLOOKUP($B3698,'Email Marketing Raw Data'!$C:$O,13,0)),"")</f>
        <v/>
      </c>
      <c r="G3698" s="55" t="str">
        <f>IFERROR(IF(OR($B3698="",$B3698="(blank)"),"",VLOOKUP($B3698,'Email Marketing Raw Data'!$C:$O,4,0)),"")</f>
        <v/>
      </c>
      <c r="H3698" s="55" t="str">
        <f>IFERROR(IF(OR($B3698="",$B3698="(blank)"),"",VLOOKUP($B3698,'Email Marketing Raw Data'!$C:$O,5,0)),"")</f>
        <v/>
      </c>
      <c r="I3698" s="55" t="str">
        <f>IFERROR(IF($G3698="","",VLOOKUP('Dashboard And Emails Automate'!$G3698,Database!$H:$N,3,0)),"")</f>
        <v/>
      </c>
      <c r="J3698" s="55" t="str">
        <f>IFERROR(IF($G3698="","",VLOOKUP('Dashboard And Emails Automate'!$G3698,Database!$H:$N,4,0)),"")</f>
        <v/>
      </c>
      <c r="K3698" s="55" t="str">
        <f>IFERROR(IF($G3698="","",VLOOKUP('Dashboard And Emails Automate'!$G3698,Database!$H:$N,5,0)),"")</f>
        <v/>
      </c>
      <c r="L3698" s="55" t="str">
        <f>IFERROR(IF($G3698="","",VLOOKUP('Dashboard And Emails Automate'!$G3698,Database!$H:$N,6,0)),"")</f>
        <v/>
      </c>
      <c r="M3698" s="55" t="str">
        <f>IFERROR(IF($G3698="","",VLOOKUP('Dashboard And Emails Automate'!$G3698,Database!$H:$N,7,0)),"")</f>
        <v/>
      </c>
      <c r="N3698" s="55" t="str">
        <f>IFERROR(IF(OR($B3698="",$B3698="(blank)"),"",VLOOKUP($B3698,'Email Marketing Raw Data'!$C:$O,6,0)),"")</f>
        <v/>
      </c>
      <c r="O3698" s="55" t="str">
        <f>IFERROR(IF(OR($B3698="",$B3698="(blank)"),"",VLOOKUP($B3698,'Email Marketing Raw Data'!$C:$O,7,0)),"")</f>
        <v/>
      </c>
      <c r="P3698" s="55" t="str">
        <f>IFERROR(IF(OR($B3698="",$B3698="(blank)"),"",VLOOKUP($B3698,'Email Marketing Raw Data'!$C:$O,8,0)),"")</f>
        <v/>
      </c>
      <c r="Q3698" s="62" t="str">
        <f>IFERROR(IF(OR($B3698="",$B3698="(blank)"),"",VLOOKUP($B3698,'Email Marketing Raw Data'!$C:$O,9,0)),"")</f>
        <v/>
      </c>
    </row>
    <row r="3699" spans="4:17" ht="12.75" customHeight="1" x14ac:dyDescent="0.2">
      <c r="D3699" s="58" t="str">
        <f>IFERROR(IF(F3699&lt;&gt;"pending","",IF(OR($B3699="",$B3699="(blank)"),"",VLOOKUP($B3699,'Email Marketing Raw Data'!$C:$O,10,0))),"")</f>
        <v/>
      </c>
      <c r="E3699" s="59" t="str">
        <f>IFERROR(IF(F3699&lt;&gt;"pending","",IF(OR($B3699="",$B3699="(blank)"),"",VLOOKUP($B3699,'Email Marketing Raw Data'!$C:$O,11,0))),"")</f>
        <v/>
      </c>
      <c r="F3699" s="54" t="str">
        <f>IFERROR(IF(OR($B3699="",$B3699="(blank)"),"",VLOOKUP($B3699,'Email Marketing Raw Data'!$C:$O,13,0)),"")</f>
        <v/>
      </c>
      <c r="G3699" s="55" t="str">
        <f>IFERROR(IF(OR($B3699="",$B3699="(blank)"),"",VLOOKUP($B3699,'Email Marketing Raw Data'!$C:$O,4,0)),"")</f>
        <v/>
      </c>
      <c r="H3699" s="55" t="str">
        <f>IFERROR(IF(OR($B3699="",$B3699="(blank)"),"",VLOOKUP($B3699,'Email Marketing Raw Data'!$C:$O,5,0)),"")</f>
        <v/>
      </c>
      <c r="I3699" s="55" t="str">
        <f>IFERROR(IF($G3699="","",VLOOKUP('Dashboard And Emails Automate'!$G3699,Database!$H:$N,3,0)),"")</f>
        <v/>
      </c>
      <c r="J3699" s="55" t="str">
        <f>IFERROR(IF($G3699="","",VLOOKUP('Dashboard And Emails Automate'!$G3699,Database!$H:$N,4,0)),"")</f>
        <v/>
      </c>
      <c r="K3699" s="55" t="str">
        <f>IFERROR(IF($G3699="","",VLOOKUP('Dashboard And Emails Automate'!$G3699,Database!$H:$N,5,0)),"")</f>
        <v/>
      </c>
      <c r="L3699" s="55" t="str">
        <f>IFERROR(IF($G3699="","",VLOOKUP('Dashboard And Emails Automate'!$G3699,Database!$H:$N,6,0)),"")</f>
        <v/>
      </c>
      <c r="M3699" s="55" t="str">
        <f>IFERROR(IF($G3699="","",VLOOKUP('Dashboard And Emails Automate'!$G3699,Database!$H:$N,7,0)),"")</f>
        <v/>
      </c>
      <c r="N3699" s="55" t="str">
        <f>IFERROR(IF(OR($B3699="",$B3699="(blank)"),"",VLOOKUP($B3699,'Email Marketing Raw Data'!$C:$O,6,0)),"")</f>
        <v/>
      </c>
      <c r="O3699" s="55" t="str">
        <f>IFERROR(IF(OR($B3699="",$B3699="(blank)"),"",VLOOKUP($B3699,'Email Marketing Raw Data'!$C:$O,7,0)),"")</f>
        <v/>
      </c>
      <c r="P3699" s="55" t="str">
        <f>IFERROR(IF(OR($B3699="",$B3699="(blank)"),"",VLOOKUP($B3699,'Email Marketing Raw Data'!$C:$O,8,0)),"")</f>
        <v/>
      </c>
      <c r="Q3699" s="62" t="str">
        <f>IFERROR(IF(OR($B3699="",$B3699="(blank)"),"",VLOOKUP($B3699,'Email Marketing Raw Data'!$C:$O,9,0)),"")</f>
        <v/>
      </c>
    </row>
    <row r="3700" spans="4:17" ht="12.75" customHeight="1" x14ac:dyDescent="0.2">
      <c r="D3700" s="58" t="str">
        <f>IFERROR(IF(F3700&lt;&gt;"pending","",IF(OR($B3700="",$B3700="(blank)"),"",VLOOKUP($B3700,'Email Marketing Raw Data'!$C:$O,10,0))),"")</f>
        <v/>
      </c>
      <c r="E3700" s="59" t="str">
        <f>IFERROR(IF(F3700&lt;&gt;"pending","",IF(OR($B3700="",$B3700="(blank)"),"",VLOOKUP($B3700,'Email Marketing Raw Data'!$C:$O,11,0))),"")</f>
        <v/>
      </c>
      <c r="F3700" s="54" t="str">
        <f>IFERROR(IF(OR($B3700="",$B3700="(blank)"),"",VLOOKUP($B3700,'Email Marketing Raw Data'!$C:$O,13,0)),"")</f>
        <v/>
      </c>
      <c r="G3700" s="55" t="str">
        <f>IFERROR(IF(OR($B3700="",$B3700="(blank)"),"",VLOOKUP($B3700,'Email Marketing Raw Data'!$C:$O,4,0)),"")</f>
        <v/>
      </c>
      <c r="H3700" s="55" t="str">
        <f>IFERROR(IF(OR($B3700="",$B3700="(blank)"),"",VLOOKUP($B3700,'Email Marketing Raw Data'!$C:$O,5,0)),"")</f>
        <v/>
      </c>
      <c r="I3700" s="55" t="str">
        <f>IFERROR(IF($G3700="","",VLOOKUP('Dashboard And Emails Automate'!$G3700,Database!$H:$N,3,0)),"")</f>
        <v/>
      </c>
      <c r="J3700" s="55" t="str">
        <f>IFERROR(IF($G3700="","",VLOOKUP('Dashboard And Emails Automate'!$G3700,Database!$H:$N,4,0)),"")</f>
        <v/>
      </c>
      <c r="K3700" s="55" t="str">
        <f>IFERROR(IF($G3700="","",VLOOKUP('Dashboard And Emails Automate'!$G3700,Database!$H:$N,5,0)),"")</f>
        <v/>
      </c>
      <c r="L3700" s="55" t="str">
        <f>IFERROR(IF($G3700="","",VLOOKUP('Dashboard And Emails Automate'!$G3700,Database!$H:$N,6,0)),"")</f>
        <v/>
      </c>
      <c r="M3700" s="55" t="str">
        <f>IFERROR(IF($G3700="","",VLOOKUP('Dashboard And Emails Automate'!$G3700,Database!$H:$N,7,0)),"")</f>
        <v/>
      </c>
      <c r="N3700" s="55" t="str">
        <f>IFERROR(IF(OR($B3700="",$B3700="(blank)"),"",VLOOKUP($B3700,'Email Marketing Raw Data'!$C:$O,6,0)),"")</f>
        <v/>
      </c>
      <c r="O3700" s="55" t="str">
        <f>IFERROR(IF(OR($B3700="",$B3700="(blank)"),"",VLOOKUP($B3700,'Email Marketing Raw Data'!$C:$O,7,0)),"")</f>
        <v/>
      </c>
      <c r="P3700" s="55" t="str">
        <f>IFERROR(IF(OR($B3700="",$B3700="(blank)"),"",VLOOKUP($B3700,'Email Marketing Raw Data'!$C:$O,8,0)),"")</f>
        <v/>
      </c>
      <c r="Q3700" s="62" t="str">
        <f>IFERROR(IF(OR($B3700="",$B3700="(blank)"),"",VLOOKUP($B3700,'Email Marketing Raw Data'!$C:$O,9,0)),"")</f>
        <v/>
      </c>
    </row>
    <row r="3701" spans="4:17" ht="12.75" customHeight="1" x14ac:dyDescent="0.2">
      <c r="D3701" s="58" t="str">
        <f>IFERROR(IF(F3701&lt;&gt;"pending","",IF(OR($B3701="",$B3701="(blank)"),"",VLOOKUP($B3701,'Email Marketing Raw Data'!$C:$O,10,0))),"")</f>
        <v/>
      </c>
      <c r="E3701" s="59" t="str">
        <f>IFERROR(IF(F3701&lt;&gt;"pending","",IF(OR($B3701="",$B3701="(blank)"),"",VLOOKUP($B3701,'Email Marketing Raw Data'!$C:$O,11,0))),"")</f>
        <v/>
      </c>
      <c r="F3701" s="54" t="str">
        <f>IFERROR(IF(OR($B3701="",$B3701="(blank)"),"",VLOOKUP($B3701,'Email Marketing Raw Data'!$C:$O,13,0)),"")</f>
        <v/>
      </c>
      <c r="G3701" s="55" t="str">
        <f>IFERROR(IF(OR($B3701="",$B3701="(blank)"),"",VLOOKUP($B3701,'Email Marketing Raw Data'!$C:$O,4,0)),"")</f>
        <v/>
      </c>
      <c r="H3701" s="55" t="str">
        <f>IFERROR(IF(OR($B3701="",$B3701="(blank)"),"",VLOOKUP($B3701,'Email Marketing Raw Data'!$C:$O,5,0)),"")</f>
        <v/>
      </c>
      <c r="I3701" s="55" t="str">
        <f>IFERROR(IF($G3701="","",VLOOKUP('Dashboard And Emails Automate'!$G3701,Database!$H:$N,3,0)),"")</f>
        <v/>
      </c>
      <c r="J3701" s="55" t="str">
        <f>IFERROR(IF($G3701="","",VLOOKUP('Dashboard And Emails Automate'!$G3701,Database!$H:$N,4,0)),"")</f>
        <v/>
      </c>
      <c r="K3701" s="55" t="str">
        <f>IFERROR(IF($G3701="","",VLOOKUP('Dashboard And Emails Automate'!$G3701,Database!$H:$N,5,0)),"")</f>
        <v/>
      </c>
      <c r="L3701" s="55" t="str">
        <f>IFERROR(IF($G3701="","",VLOOKUP('Dashboard And Emails Automate'!$G3701,Database!$H:$N,6,0)),"")</f>
        <v/>
      </c>
      <c r="M3701" s="55" t="str">
        <f>IFERROR(IF($G3701="","",VLOOKUP('Dashboard And Emails Automate'!$G3701,Database!$H:$N,7,0)),"")</f>
        <v/>
      </c>
      <c r="N3701" s="55" t="str">
        <f>IFERROR(IF(OR($B3701="",$B3701="(blank)"),"",VLOOKUP($B3701,'Email Marketing Raw Data'!$C:$O,6,0)),"")</f>
        <v/>
      </c>
      <c r="O3701" s="55" t="str">
        <f>IFERROR(IF(OR($B3701="",$B3701="(blank)"),"",VLOOKUP($B3701,'Email Marketing Raw Data'!$C:$O,7,0)),"")</f>
        <v/>
      </c>
      <c r="P3701" s="55" t="str">
        <f>IFERROR(IF(OR($B3701="",$B3701="(blank)"),"",VLOOKUP($B3701,'Email Marketing Raw Data'!$C:$O,8,0)),"")</f>
        <v/>
      </c>
      <c r="Q3701" s="62" t="str">
        <f>IFERROR(IF(OR($B3701="",$B3701="(blank)"),"",VLOOKUP($B3701,'Email Marketing Raw Data'!$C:$O,9,0)),"")</f>
        <v/>
      </c>
    </row>
    <row r="3702" spans="4:17" ht="12.75" customHeight="1" x14ac:dyDescent="0.2">
      <c r="D3702" s="58" t="str">
        <f>IFERROR(IF(F3702&lt;&gt;"pending","",IF(OR($B3702="",$B3702="(blank)"),"",VLOOKUP($B3702,'Email Marketing Raw Data'!$C:$O,10,0))),"")</f>
        <v/>
      </c>
      <c r="E3702" s="59" t="str">
        <f>IFERROR(IF(F3702&lt;&gt;"pending","",IF(OR($B3702="",$B3702="(blank)"),"",VLOOKUP($B3702,'Email Marketing Raw Data'!$C:$O,11,0))),"")</f>
        <v/>
      </c>
      <c r="F3702" s="54" t="str">
        <f>IFERROR(IF(OR($B3702="",$B3702="(blank)"),"",VLOOKUP($B3702,'Email Marketing Raw Data'!$C:$O,13,0)),"")</f>
        <v/>
      </c>
      <c r="G3702" s="55" t="str">
        <f>IFERROR(IF(OR($B3702="",$B3702="(blank)"),"",VLOOKUP($B3702,'Email Marketing Raw Data'!$C:$O,4,0)),"")</f>
        <v/>
      </c>
      <c r="H3702" s="55" t="str">
        <f>IFERROR(IF(OR($B3702="",$B3702="(blank)"),"",VLOOKUP($B3702,'Email Marketing Raw Data'!$C:$O,5,0)),"")</f>
        <v/>
      </c>
      <c r="I3702" s="55" t="str">
        <f>IFERROR(IF($G3702="","",VLOOKUP('Dashboard And Emails Automate'!$G3702,Database!$H:$N,3,0)),"")</f>
        <v/>
      </c>
      <c r="J3702" s="55" t="str">
        <f>IFERROR(IF($G3702="","",VLOOKUP('Dashboard And Emails Automate'!$G3702,Database!$H:$N,4,0)),"")</f>
        <v/>
      </c>
      <c r="K3702" s="55" t="str">
        <f>IFERROR(IF($G3702="","",VLOOKUP('Dashboard And Emails Automate'!$G3702,Database!$H:$N,5,0)),"")</f>
        <v/>
      </c>
      <c r="L3702" s="55" t="str">
        <f>IFERROR(IF($G3702="","",VLOOKUP('Dashboard And Emails Automate'!$G3702,Database!$H:$N,6,0)),"")</f>
        <v/>
      </c>
      <c r="M3702" s="55" t="str">
        <f>IFERROR(IF($G3702="","",VLOOKUP('Dashboard And Emails Automate'!$G3702,Database!$H:$N,7,0)),"")</f>
        <v/>
      </c>
      <c r="N3702" s="55" t="str">
        <f>IFERROR(IF(OR($B3702="",$B3702="(blank)"),"",VLOOKUP($B3702,'Email Marketing Raw Data'!$C:$O,6,0)),"")</f>
        <v/>
      </c>
      <c r="O3702" s="55" t="str">
        <f>IFERROR(IF(OR($B3702="",$B3702="(blank)"),"",VLOOKUP($B3702,'Email Marketing Raw Data'!$C:$O,7,0)),"")</f>
        <v/>
      </c>
      <c r="P3702" s="55" t="str">
        <f>IFERROR(IF(OR($B3702="",$B3702="(blank)"),"",VLOOKUP($B3702,'Email Marketing Raw Data'!$C:$O,8,0)),"")</f>
        <v/>
      </c>
      <c r="Q3702" s="62" t="str">
        <f>IFERROR(IF(OR($B3702="",$B3702="(blank)"),"",VLOOKUP($B3702,'Email Marketing Raw Data'!$C:$O,9,0)),"")</f>
        <v/>
      </c>
    </row>
    <row r="3703" spans="4:17" ht="12.75" customHeight="1" x14ac:dyDescent="0.2">
      <c r="D3703" s="58" t="str">
        <f>IFERROR(IF(F3703&lt;&gt;"pending","",IF(OR($B3703="",$B3703="(blank)"),"",VLOOKUP($B3703,'Email Marketing Raw Data'!$C:$O,10,0))),"")</f>
        <v/>
      </c>
      <c r="E3703" s="59" t="str">
        <f>IFERROR(IF(F3703&lt;&gt;"pending","",IF(OR($B3703="",$B3703="(blank)"),"",VLOOKUP($B3703,'Email Marketing Raw Data'!$C:$O,11,0))),"")</f>
        <v/>
      </c>
      <c r="F3703" s="54" t="str">
        <f>IFERROR(IF(OR($B3703="",$B3703="(blank)"),"",VLOOKUP($B3703,'Email Marketing Raw Data'!$C:$O,13,0)),"")</f>
        <v/>
      </c>
      <c r="G3703" s="55" t="str">
        <f>IFERROR(IF(OR($B3703="",$B3703="(blank)"),"",VLOOKUP($B3703,'Email Marketing Raw Data'!$C:$O,4,0)),"")</f>
        <v/>
      </c>
      <c r="H3703" s="55" t="str">
        <f>IFERROR(IF(OR($B3703="",$B3703="(blank)"),"",VLOOKUP($B3703,'Email Marketing Raw Data'!$C:$O,5,0)),"")</f>
        <v/>
      </c>
      <c r="I3703" s="55" t="str">
        <f>IFERROR(IF($G3703="","",VLOOKUP('Dashboard And Emails Automate'!$G3703,Database!$H:$N,3,0)),"")</f>
        <v/>
      </c>
      <c r="J3703" s="55" t="str">
        <f>IFERROR(IF($G3703="","",VLOOKUP('Dashboard And Emails Automate'!$G3703,Database!$H:$N,4,0)),"")</f>
        <v/>
      </c>
      <c r="K3703" s="55" t="str">
        <f>IFERROR(IF($G3703="","",VLOOKUP('Dashboard And Emails Automate'!$G3703,Database!$H:$N,5,0)),"")</f>
        <v/>
      </c>
      <c r="L3703" s="55" t="str">
        <f>IFERROR(IF($G3703="","",VLOOKUP('Dashboard And Emails Automate'!$G3703,Database!$H:$N,6,0)),"")</f>
        <v/>
      </c>
      <c r="M3703" s="55" t="str">
        <f>IFERROR(IF($G3703="","",VLOOKUP('Dashboard And Emails Automate'!$G3703,Database!$H:$N,7,0)),"")</f>
        <v/>
      </c>
      <c r="N3703" s="55" t="str">
        <f>IFERROR(IF(OR($B3703="",$B3703="(blank)"),"",VLOOKUP($B3703,'Email Marketing Raw Data'!$C:$O,6,0)),"")</f>
        <v/>
      </c>
      <c r="O3703" s="55" t="str">
        <f>IFERROR(IF(OR($B3703="",$B3703="(blank)"),"",VLOOKUP($B3703,'Email Marketing Raw Data'!$C:$O,7,0)),"")</f>
        <v/>
      </c>
      <c r="P3703" s="55" t="str">
        <f>IFERROR(IF(OR($B3703="",$B3703="(blank)"),"",VLOOKUP($B3703,'Email Marketing Raw Data'!$C:$O,8,0)),"")</f>
        <v/>
      </c>
      <c r="Q3703" s="62" t="str">
        <f>IFERROR(IF(OR($B3703="",$B3703="(blank)"),"",VLOOKUP($B3703,'Email Marketing Raw Data'!$C:$O,9,0)),"")</f>
        <v/>
      </c>
    </row>
    <row r="3704" spans="4:17" ht="12.75" customHeight="1" x14ac:dyDescent="0.2">
      <c r="D3704" s="58" t="str">
        <f>IFERROR(IF(F3704&lt;&gt;"pending","",IF(OR($B3704="",$B3704="(blank)"),"",VLOOKUP($B3704,'Email Marketing Raw Data'!$C:$O,10,0))),"")</f>
        <v/>
      </c>
      <c r="E3704" s="59" t="str">
        <f>IFERROR(IF(F3704&lt;&gt;"pending","",IF(OR($B3704="",$B3704="(blank)"),"",VLOOKUP($B3704,'Email Marketing Raw Data'!$C:$O,11,0))),"")</f>
        <v/>
      </c>
      <c r="F3704" s="54" t="str">
        <f>IFERROR(IF(OR($B3704="",$B3704="(blank)"),"",VLOOKUP($B3704,'Email Marketing Raw Data'!$C:$O,13,0)),"")</f>
        <v/>
      </c>
      <c r="G3704" s="55" t="str">
        <f>IFERROR(IF(OR($B3704="",$B3704="(blank)"),"",VLOOKUP($B3704,'Email Marketing Raw Data'!$C:$O,4,0)),"")</f>
        <v/>
      </c>
      <c r="H3704" s="55" t="str">
        <f>IFERROR(IF(OR($B3704="",$B3704="(blank)"),"",VLOOKUP($B3704,'Email Marketing Raw Data'!$C:$O,5,0)),"")</f>
        <v/>
      </c>
      <c r="I3704" s="55" t="str">
        <f>IFERROR(IF($G3704="","",VLOOKUP('Dashboard And Emails Automate'!$G3704,Database!$H:$N,3,0)),"")</f>
        <v/>
      </c>
      <c r="J3704" s="55" t="str">
        <f>IFERROR(IF($G3704="","",VLOOKUP('Dashboard And Emails Automate'!$G3704,Database!$H:$N,4,0)),"")</f>
        <v/>
      </c>
      <c r="K3704" s="55" t="str">
        <f>IFERROR(IF($G3704="","",VLOOKUP('Dashboard And Emails Automate'!$G3704,Database!$H:$N,5,0)),"")</f>
        <v/>
      </c>
      <c r="L3704" s="55" t="str">
        <f>IFERROR(IF($G3704="","",VLOOKUP('Dashboard And Emails Automate'!$G3704,Database!$H:$N,6,0)),"")</f>
        <v/>
      </c>
      <c r="M3704" s="55" t="str">
        <f>IFERROR(IF($G3704="","",VLOOKUP('Dashboard And Emails Automate'!$G3704,Database!$H:$N,7,0)),"")</f>
        <v/>
      </c>
      <c r="N3704" s="55" t="str">
        <f>IFERROR(IF(OR($B3704="",$B3704="(blank)"),"",VLOOKUP($B3704,'Email Marketing Raw Data'!$C:$O,6,0)),"")</f>
        <v/>
      </c>
      <c r="O3704" s="55" t="str">
        <f>IFERROR(IF(OR($B3704="",$B3704="(blank)"),"",VLOOKUP($B3704,'Email Marketing Raw Data'!$C:$O,7,0)),"")</f>
        <v/>
      </c>
      <c r="P3704" s="55" t="str">
        <f>IFERROR(IF(OR($B3704="",$B3704="(blank)"),"",VLOOKUP($B3704,'Email Marketing Raw Data'!$C:$O,8,0)),"")</f>
        <v/>
      </c>
      <c r="Q3704" s="62" t="str">
        <f>IFERROR(IF(OR($B3704="",$B3704="(blank)"),"",VLOOKUP($B3704,'Email Marketing Raw Data'!$C:$O,9,0)),"")</f>
        <v/>
      </c>
    </row>
    <row r="3705" spans="4:17" ht="12.75" customHeight="1" x14ac:dyDescent="0.2">
      <c r="D3705" s="58" t="str">
        <f>IFERROR(IF(F3705&lt;&gt;"pending","",IF(OR($B3705="",$B3705="(blank)"),"",VLOOKUP($B3705,'Email Marketing Raw Data'!$C:$O,10,0))),"")</f>
        <v/>
      </c>
      <c r="E3705" s="59" t="str">
        <f>IFERROR(IF(F3705&lt;&gt;"pending","",IF(OR($B3705="",$B3705="(blank)"),"",VLOOKUP($B3705,'Email Marketing Raw Data'!$C:$O,11,0))),"")</f>
        <v/>
      </c>
      <c r="F3705" s="54" t="str">
        <f>IFERROR(IF(OR($B3705="",$B3705="(blank)"),"",VLOOKUP($B3705,'Email Marketing Raw Data'!$C:$O,13,0)),"")</f>
        <v/>
      </c>
      <c r="G3705" s="55" t="str">
        <f>IFERROR(IF(OR($B3705="",$B3705="(blank)"),"",VLOOKUP($B3705,'Email Marketing Raw Data'!$C:$O,4,0)),"")</f>
        <v/>
      </c>
      <c r="H3705" s="55" t="str">
        <f>IFERROR(IF(OR($B3705="",$B3705="(blank)"),"",VLOOKUP($B3705,'Email Marketing Raw Data'!$C:$O,5,0)),"")</f>
        <v/>
      </c>
      <c r="I3705" s="55" t="str">
        <f>IFERROR(IF($G3705="","",VLOOKUP('Dashboard And Emails Automate'!$G3705,Database!$H:$N,3,0)),"")</f>
        <v/>
      </c>
      <c r="J3705" s="55" t="str">
        <f>IFERROR(IF($G3705="","",VLOOKUP('Dashboard And Emails Automate'!$G3705,Database!$H:$N,4,0)),"")</f>
        <v/>
      </c>
      <c r="K3705" s="55" t="str">
        <f>IFERROR(IF($G3705="","",VLOOKUP('Dashboard And Emails Automate'!$G3705,Database!$H:$N,5,0)),"")</f>
        <v/>
      </c>
      <c r="L3705" s="55" t="str">
        <f>IFERROR(IF($G3705="","",VLOOKUP('Dashboard And Emails Automate'!$G3705,Database!$H:$N,6,0)),"")</f>
        <v/>
      </c>
      <c r="M3705" s="55" t="str">
        <f>IFERROR(IF($G3705="","",VLOOKUP('Dashboard And Emails Automate'!$G3705,Database!$H:$N,7,0)),"")</f>
        <v/>
      </c>
      <c r="N3705" s="55" t="str">
        <f>IFERROR(IF(OR($B3705="",$B3705="(blank)"),"",VLOOKUP($B3705,'Email Marketing Raw Data'!$C:$O,6,0)),"")</f>
        <v/>
      </c>
      <c r="O3705" s="55" t="str">
        <f>IFERROR(IF(OR($B3705="",$B3705="(blank)"),"",VLOOKUP($B3705,'Email Marketing Raw Data'!$C:$O,7,0)),"")</f>
        <v/>
      </c>
      <c r="P3705" s="55" t="str">
        <f>IFERROR(IF(OR($B3705="",$B3705="(blank)"),"",VLOOKUP($B3705,'Email Marketing Raw Data'!$C:$O,8,0)),"")</f>
        <v/>
      </c>
      <c r="Q3705" s="62" t="str">
        <f>IFERROR(IF(OR($B3705="",$B3705="(blank)"),"",VLOOKUP($B3705,'Email Marketing Raw Data'!$C:$O,9,0)),"")</f>
        <v/>
      </c>
    </row>
    <row r="3706" spans="4:17" ht="12.75" customHeight="1" x14ac:dyDescent="0.2">
      <c r="D3706" s="58" t="str">
        <f>IFERROR(IF(F3706&lt;&gt;"pending","",IF(OR($B3706="",$B3706="(blank)"),"",VLOOKUP($B3706,'Email Marketing Raw Data'!$C:$O,10,0))),"")</f>
        <v/>
      </c>
      <c r="E3706" s="59" t="str">
        <f>IFERROR(IF(F3706&lt;&gt;"pending","",IF(OR($B3706="",$B3706="(blank)"),"",VLOOKUP($B3706,'Email Marketing Raw Data'!$C:$O,11,0))),"")</f>
        <v/>
      </c>
      <c r="F3706" s="54" t="str">
        <f>IFERROR(IF(OR($B3706="",$B3706="(blank)"),"",VLOOKUP($B3706,'Email Marketing Raw Data'!$C:$O,13,0)),"")</f>
        <v/>
      </c>
      <c r="G3706" s="55" t="str">
        <f>IFERROR(IF(OR($B3706="",$B3706="(blank)"),"",VLOOKUP($B3706,'Email Marketing Raw Data'!$C:$O,4,0)),"")</f>
        <v/>
      </c>
      <c r="H3706" s="55" t="str">
        <f>IFERROR(IF(OR($B3706="",$B3706="(blank)"),"",VLOOKUP($B3706,'Email Marketing Raw Data'!$C:$O,5,0)),"")</f>
        <v/>
      </c>
      <c r="I3706" s="55" t="str">
        <f>IFERROR(IF($G3706="","",VLOOKUP('Dashboard And Emails Automate'!$G3706,Database!$H:$N,3,0)),"")</f>
        <v/>
      </c>
      <c r="J3706" s="55" t="str">
        <f>IFERROR(IF($G3706="","",VLOOKUP('Dashboard And Emails Automate'!$G3706,Database!$H:$N,4,0)),"")</f>
        <v/>
      </c>
      <c r="K3706" s="55" t="str">
        <f>IFERROR(IF($G3706="","",VLOOKUP('Dashboard And Emails Automate'!$G3706,Database!$H:$N,5,0)),"")</f>
        <v/>
      </c>
      <c r="L3706" s="55" t="str">
        <f>IFERROR(IF($G3706="","",VLOOKUP('Dashboard And Emails Automate'!$G3706,Database!$H:$N,6,0)),"")</f>
        <v/>
      </c>
      <c r="M3706" s="55" t="str">
        <f>IFERROR(IF($G3706="","",VLOOKUP('Dashboard And Emails Automate'!$G3706,Database!$H:$N,7,0)),"")</f>
        <v/>
      </c>
      <c r="N3706" s="55" t="str">
        <f>IFERROR(IF(OR($B3706="",$B3706="(blank)"),"",VLOOKUP($B3706,'Email Marketing Raw Data'!$C:$O,6,0)),"")</f>
        <v/>
      </c>
      <c r="O3706" s="55" t="str">
        <f>IFERROR(IF(OR($B3706="",$B3706="(blank)"),"",VLOOKUP($B3706,'Email Marketing Raw Data'!$C:$O,7,0)),"")</f>
        <v/>
      </c>
      <c r="P3706" s="55" t="str">
        <f>IFERROR(IF(OR($B3706="",$B3706="(blank)"),"",VLOOKUP($B3706,'Email Marketing Raw Data'!$C:$O,8,0)),"")</f>
        <v/>
      </c>
      <c r="Q3706" s="62" t="str">
        <f>IFERROR(IF(OR($B3706="",$B3706="(blank)"),"",VLOOKUP($B3706,'Email Marketing Raw Data'!$C:$O,9,0)),"")</f>
        <v/>
      </c>
    </row>
    <row r="3707" spans="4:17" ht="12.75" customHeight="1" x14ac:dyDescent="0.2">
      <c r="D3707" s="58" t="str">
        <f>IFERROR(IF(F3707&lt;&gt;"pending","",IF(OR($B3707="",$B3707="(blank)"),"",VLOOKUP($B3707,'Email Marketing Raw Data'!$C:$O,10,0))),"")</f>
        <v/>
      </c>
      <c r="E3707" s="59" t="str">
        <f>IFERROR(IF(F3707&lt;&gt;"pending","",IF(OR($B3707="",$B3707="(blank)"),"",VLOOKUP($B3707,'Email Marketing Raw Data'!$C:$O,11,0))),"")</f>
        <v/>
      </c>
      <c r="F3707" s="54" t="str">
        <f>IFERROR(IF(OR($B3707="",$B3707="(blank)"),"",VLOOKUP($B3707,'Email Marketing Raw Data'!$C:$O,13,0)),"")</f>
        <v/>
      </c>
      <c r="G3707" s="55" t="str">
        <f>IFERROR(IF(OR($B3707="",$B3707="(blank)"),"",VLOOKUP($B3707,'Email Marketing Raw Data'!$C:$O,4,0)),"")</f>
        <v/>
      </c>
      <c r="H3707" s="55" t="str">
        <f>IFERROR(IF(OR($B3707="",$B3707="(blank)"),"",VLOOKUP($B3707,'Email Marketing Raw Data'!$C:$O,5,0)),"")</f>
        <v/>
      </c>
      <c r="I3707" s="55" t="str">
        <f>IFERROR(IF($G3707="","",VLOOKUP('Dashboard And Emails Automate'!$G3707,Database!$H:$N,3,0)),"")</f>
        <v/>
      </c>
      <c r="J3707" s="55" t="str">
        <f>IFERROR(IF($G3707="","",VLOOKUP('Dashboard And Emails Automate'!$G3707,Database!$H:$N,4,0)),"")</f>
        <v/>
      </c>
      <c r="K3707" s="55" t="str">
        <f>IFERROR(IF($G3707="","",VLOOKUP('Dashboard And Emails Automate'!$G3707,Database!$H:$N,5,0)),"")</f>
        <v/>
      </c>
      <c r="L3707" s="55" t="str">
        <f>IFERROR(IF($G3707="","",VLOOKUP('Dashboard And Emails Automate'!$G3707,Database!$H:$N,6,0)),"")</f>
        <v/>
      </c>
      <c r="M3707" s="55" t="str">
        <f>IFERROR(IF($G3707="","",VLOOKUP('Dashboard And Emails Automate'!$G3707,Database!$H:$N,7,0)),"")</f>
        <v/>
      </c>
      <c r="N3707" s="55" t="str">
        <f>IFERROR(IF(OR($B3707="",$B3707="(blank)"),"",VLOOKUP($B3707,'Email Marketing Raw Data'!$C:$O,6,0)),"")</f>
        <v/>
      </c>
      <c r="O3707" s="55" t="str">
        <f>IFERROR(IF(OR($B3707="",$B3707="(blank)"),"",VLOOKUP($B3707,'Email Marketing Raw Data'!$C:$O,7,0)),"")</f>
        <v/>
      </c>
      <c r="P3707" s="55" t="str">
        <f>IFERROR(IF(OR($B3707="",$B3707="(blank)"),"",VLOOKUP($B3707,'Email Marketing Raw Data'!$C:$O,8,0)),"")</f>
        <v/>
      </c>
      <c r="Q3707" s="62" t="str">
        <f>IFERROR(IF(OR($B3707="",$B3707="(blank)"),"",VLOOKUP($B3707,'Email Marketing Raw Data'!$C:$O,9,0)),"")</f>
        <v/>
      </c>
    </row>
    <row r="3708" spans="4:17" ht="12.75" customHeight="1" x14ac:dyDescent="0.2">
      <c r="D3708" s="58" t="str">
        <f>IFERROR(IF(F3708&lt;&gt;"pending","",IF(OR($B3708="",$B3708="(blank)"),"",VLOOKUP($B3708,'Email Marketing Raw Data'!$C:$O,10,0))),"")</f>
        <v/>
      </c>
      <c r="E3708" s="59" t="str">
        <f>IFERROR(IF(F3708&lt;&gt;"pending","",IF(OR($B3708="",$B3708="(blank)"),"",VLOOKUP($B3708,'Email Marketing Raw Data'!$C:$O,11,0))),"")</f>
        <v/>
      </c>
      <c r="F3708" s="54" t="str">
        <f>IFERROR(IF(OR($B3708="",$B3708="(blank)"),"",VLOOKUP($B3708,'Email Marketing Raw Data'!$C:$O,13,0)),"")</f>
        <v/>
      </c>
      <c r="G3708" s="55" t="str">
        <f>IFERROR(IF(OR($B3708="",$B3708="(blank)"),"",VLOOKUP($B3708,'Email Marketing Raw Data'!$C:$O,4,0)),"")</f>
        <v/>
      </c>
      <c r="H3708" s="55" t="str">
        <f>IFERROR(IF(OR($B3708="",$B3708="(blank)"),"",VLOOKUP($B3708,'Email Marketing Raw Data'!$C:$O,5,0)),"")</f>
        <v/>
      </c>
      <c r="I3708" s="55" t="str">
        <f>IFERROR(IF($G3708="","",VLOOKUP('Dashboard And Emails Automate'!$G3708,Database!$H:$N,3,0)),"")</f>
        <v/>
      </c>
      <c r="J3708" s="55" t="str">
        <f>IFERROR(IF($G3708="","",VLOOKUP('Dashboard And Emails Automate'!$G3708,Database!$H:$N,4,0)),"")</f>
        <v/>
      </c>
      <c r="K3708" s="55" t="str">
        <f>IFERROR(IF($G3708="","",VLOOKUP('Dashboard And Emails Automate'!$G3708,Database!$H:$N,5,0)),"")</f>
        <v/>
      </c>
      <c r="L3708" s="55" t="str">
        <f>IFERROR(IF($G3708="","",VLOOKUP('Dashboard And Emails Automate'!$G3708,Database!$H:$N,6,0)),"")</f>
        <v/>
      </c>
      <c r="M3708" s="55" t="str">
        <f>IFERROR(IF($G3708="","",VLOOKUP('Dashboard And Emails Automate'!$G3708,Database!$H:$N,7,0)),"")</f>
        <v/>
      </c>
      <c r="N3708" s="55" t="str">
        <f>IFERROR(IF(OR($B3708="",$B3708="(blank)"),"",VLOOKUP($B3708,'Email Marketing Raw Data'!$C:$O,6,0)),"")</f>
        <v/>
      </c>
      <c r="O3708" s="55" t="str">
        <f>IFERROR(IF(OR($B3708="",$B3708="(blank)"),"",VLOOKUP($B3708,'Email Marketing Raw Data'!$C:$O,7,0)),"")</f>
        <v/>
      </c>
      <c r="P3708" s="55" t="str">
        <f>IFERROR(IF(OR($B3708="",$B3708="(blank)"),"",VLOOKUP($B3708,'Email Marketing Raw Data'!$C:$O,8,0)),"")</f>
        <v/>
      </c>
      <c r="Q3708" s="62" t="str">
        <f>IFERROR(IF(OR($B3708="",$B3708="(blank)"),"",VLOOKUP($B3708,'Email Marketing Raw Data'!$C:$O,9,0)),"")</f>
        <v/>
      </c>
    </row>
    <row r="3709" spans="4:17" ht="12.75" customHeight="1" x14ac:dyDescent="0.2">
      <c r="D3709" s="58" t="str">
        <f>IFERROR(IF(F3709&lt;&gt;"pending","",IF(OR($B3709="",$B3709="(blank)"),"",VLOOKUP($B3709,'Email Marketing Raw Data'!$C:$O,10,0))),"")</f>
        <v/>
      </c>
      <c r="E3709" s="59" t="str">
        <f>IFERROR(IF(F3709&lt;&gt;"pending","",IF(OR($B3709="",$B3709="(blank)"),"",VLOOKUP($B3709,'Email Marketing Raw Data'!$C:$O,11,0))),"")</f>
        <v/>
      </c>
      <c r="F3709" s="54" t="str">
        <f>IFERROR(IF(OR($B3709="",$B3709="(blank)"),"",VLOOKUP($B3709,'Email Marketing Raw Data'!$C:$O,13,0)),"")</f>
        <v/>
      </c>
      <c r="G3709" s="55" t="str">
        <f>IFERROR(IF(OR($B3709="",$B3709="(blank)"),"",VLOOKUP($B3709,'Email Marketing Raw Data'!$C:$O,4,0)),"")</f>
        <v/>
      </c>
      <c r="H3709" s="55" t="str">
        <f>IFERROR(IF(OR($B3709="",$B3709="(blank)"),"",VLOOKUP($B3709,'Email Marketing Raw Data'!$C:$O,5,0)),"")</f>
        <v/>
      </c>
      <c r="I3709" s="55" t="str">
        <f>IFERROR(IF($G3709="","",VLOOKUP('Dashboard And Emails Automate'!$G3709,Database!$H:$N,3,0)),"")</f>
        <v/>
      </c>
      <c r="J3709" s="55" t="str">
        <f>IFERROR(IF($G3709="","",VLOOKUP('Dashboard And Emails Automate'!$G3709,Database!$H:$N,4,0)),"")</f>
        <v/>
      </c>
      <c r="K3709" s="55" t="str">
        <f>IFERROR(IF($G3709="","",VLOOKUP('Dashboard And Emails Automate'!$G3709,Database!$H:$N,5,0)),"")</f>
        <v/>
      </c>
      <c r="L3709" s="55" t="str">
        <f>IFERROR(IF($G3709="","",VLOOKUP('Dashboard And Emails Automate'!$G3709,Database!$H:$N,6,0)),"")</f>
        <v/>
      </c>
      <c r="M3709" s="55" t="str">
        <f>IFERROR(IF($G3709="","",VLOOKUP('Dashboard And Emails Automate'!$G3709,Database!$H:$N,7,0)),"")</f>
        <v/>
      </c>
      <c r="N3709" s="55" t="str">
        <f>IFERROR(IF(OR($B3709="",$B3709="(blank)"),"",VLOOKUP($B3709,'Email Marketing Raw Data'!$C:$O,6,0)),"")</f>
        <v/>
      </c>
      <c r="O3709" s="55" t="str">
        <f>IFERROR(IF(OR($B3709="",$B3709="(blank)"),"",VLOOKUP($B3709,'Email Marketing Raw Data'!$C:$O,7,0)),"")</f>
        <v/>
      </c>
      <c r="P3709" s="55" t="str">
        <f>IFERROR(IF(OR($B3709="",$B3709="(blank)"),"",VLOOKUP($B3709,'Email Marketing Raw Data'!$C:$O,8,0)),"")</f>
        <v/>
      </c>
      <c r="Q3709" s="62" t="str">
        <f>IFERROR(IF(OR($B3709="",$B3709="(blank)"),"",VLOOKUP($B3709,'Email Marketing Raw Data'!$C:$O,9,0)),"")</f>
        <v/>
      </c>
    </row>
    <row r="3710" spans="4:17" ht="12.75" customHeight="1" x14ac:dyDescent="0.2">
      <c r="D3710" s="58" t="str">
        <f>IFERROR(IF(F3710&lt;&gt;"pending","",IF(OR($B3710="",$B3710="(blank)"),"",VLOOKUP($B3710,'Email Marketing Raw Data'!$C:$O,10,0))),"")</f>
        <v/>
      </c>
      <c r="E3710" s="59" t="str">
        <f>IFERROR(IF(F3710&lt;&gt;"pending","",IF(OR($B3710="",$B3710="(blank)"),"",VLOOKUP($B3710,'Email Marketing Raw Data'!$C:$O,11,0))),"")</f>
        <v/>
      </c>
      <c r="F3710" s="54" t="str">
        <f>IFERROR(IF(OR($B3710="",$B3710="(blank)"),"",VLOOKUP($B3710,'Email Marketing Raw Data'!$C:$O,13,0)),"")</f>
        <v/>
      </c>
      <c r="G3710" s="55" t="str">
        <f>IFERROR(IF(OR($B3710="",$B3710="(blank)"),"",VLOOKUP($B3710,'Email Marketing Raw Data'!$C:$O,4,0)),"")</f>
        <v/>
      </c>
      <c r="H3710" s="55" t="str">
        <f>IFERROR(IF(OR($B3710="",$B3710="(blank)"),"",VLOOKUP($B3710,'Email Marketing Raw Data'!$C:$O,5,0)),"")</f>
        <v/>
      </c>
      <c r="I3710" s="55" t="str">
        <f>IFERROR(IF($G3710="","",VLOOKUP('Dashboard And Emails Automate'!$G3710,Database!$H:$N,3,0)),"")</f>
        <v/>
      </c>
      <c r="J3710" s="55" t="str">
        <f>IFERROR(IF($G3710="","",VLOOKUP('Dashboard And Emails Automate'!$G3710,Database!$H:$N,4,0)),"")</f>
        <v/>
      </c>
      <c r="K3710" s="55" t="str">
        <f>IFERROR(IF($G3710="","",VLOOKUP('Dashboard And Emails Automate'!$G3710,Database!$H:$N,5,0)),"")</f>
        <v/>
      </c>
      <c r="L3710" s="55" t="str">
        <f>IFERROR(IF($G3710="","",VLOOKUP('Dashboard And Emails Automate'!$G3710,Database!$H:$N,6,0)),"")</f>
        <v/>
      </c>
      <c r="M3710" s="55" t="str">
        <f>IFERROR(IF($G3710="","",VLOOKUP('Dashboard And Emails Automate'!$G3710,Database!$H:$N,7,0)),"")</f>
        <v/>
      </c>
      <c r="N3710" s="55" t="str">
        <f>IFERROR(IF(OR($B3710="",$B3710="(blank)"),"",VLOOKUP($B3710,'Email Marketing Raw Data'!$C:$O,6,0)),"")</f>
        <v/>
      </c>
      <c r="O3710" s="55" t="str">
        <f>IFERROR(IF(OR($B3710="",$B3710="(blank)"),"",VLOOKUP($B3710,'Email Marketing Raw Data'!$C:$O,7,0)),"")</f>
        <v/>
      </c>
      <c r="P3710" s="55" t="str">
        <f>IFERROR(IF(OR($B3710="",$B3710="(blank)"),"",VLOOKUP($B3710,'Email Marketing Raw Data'!$C:$O,8,0)),"")</f>
        <v/>
      </c>
      <c r="Q3710" s="62" t="str">
        <f>IFERROR(IF(OR($B3710="",$B3710="(blank)"),"",VLOOKUP($B3710,'Email Marketing Raw Data'!$C:$O,9,0)),"")</f>
        <v/>
      </c>
    </row>
    <row r="3711" spans="4:17" ht="12.75" customHeight="1" x14ac:dyDescent="0.2">
      <c r="D3711" s="58" t="str">
        <f>IFERROR(IF(F3711&lt;&gt;"pending","",IF(OR($B3711="",$B3711="(blank)"),"",VLOOKUP($B3711,'Email Marketing Raw Data'!$C:$O,10,0))),"")</f>
        <v/>
      </c>
      <c r="E3711" s="59" t="str">
        <f>IFERROR(IF(F3711&lt;&gt;"pending","",IF(OR($B3711="",$B3711="(blank)"),"",VLOOKUP($B3711,'Email Marketing Raw Data'!$C:$O,11,0))),"")</f>
        <v/>
      </c>
      <c r="F3711" s="54" t="str">
        <f>IFERROR(IF(OR($B3711="",$B3711="(blank)"),"",VLOOKUP($B3711,'Email Marketing Raw Data'!$C:$O,13,0)),"")</f>
        <v/>
      </c>
      <c r="G3711" s="55" t="str">
        <f>IFERROR(IF(OR($B3711="",$B3711="(blank)"),"",VLOOKUP($B3711,'Email Marketing Raw Data'!$C:$O,4,0)),"")</f>
        <v/>
      </c>
      <c r="H3711" s="55" t="str">
        <f>IFERROR(IF(OR($B3711="",$B3711="(blank)"),"",VLOOKUP($B3711,'Email Marketing Raw Data'!$C:$O,5,0)),"")</f>
        <v/>
      </c>
      <c r="I3711" s="55" t="str">
        <f>IFERROR(IF($G3711="","",VLOOKUP('Dashboard And Emails Automate'!$G3711,Database!$H:$N,3,0)),"")</f>
        <v/>
      </c>
      <c r="J3711" s="55" t="str">
        <f>IFERROR(IF($G3711="","",VLOOKUP('Dashboard And Emails Automate'!$G3711,Database!$H:$N,4,0)),"")</f>
        <v/>
      </c>
      <c r="K3711" s="55" t="str">
        <f>IFERROR(IF($G3711="","",VLOOKUP('Dashboard And Emails Automate'!$G3711,Database!$H:$N,5,0)),"")</f>
        <v/>
      </c>
      <c r="L3711" s="55" t="str">
        <f>IFERROR(IF($G3711="","",VLOOKUP('Dashboard And Emails Automate'!$G3711,Database!$H:$N,6,0)),"")</f>
        <v/>
      </c>
      <c r="M3711" s="55" t="str">
        <f>IFERROR(IF($G3711="","",VLOOKUP('Dashboard And Emails Automate'!$G3711,Database!$H:$N,7,0)),"")</f>
        <v/>
      </c>
      <c r="N3711" s="55" t="str">
        <f>IFERROR(IF(OR($B3711="",$B3711="(blank)"),"",VLOOKUP($B3711,'Email Marketing Raw Data'!$C:$O,6,0)),"")</f>
        <v/>
      </c>
      <c r="O3711" s="55" t="str">
        <f>IFERROR(IF(OR($B3711="",$B3711="(blank)"),"",VLOOKUP($B3711,'Email Marketing Raw Data'!$C:$O,7,0)),"")</f>
        <v/>
      </c>
      <c r="P3711" s="55" t="str">
        <f>IFERROR(IF(OR($B3711="",$B3711="(blank)"),"",VLOOKUP($B3711,'Email Marketing Raw Data'!$C:$O,8,0)),"")</f>
        <v/>
      </c>
      <c r="Q3711" s="62" t="str">
        <f>IFERROR(IF(OR($B3711="",$B3711="(blank)"),"",VLOOKUP($B3711,'Email Marketing Raw Data'!$C:$O,9,0)),"")</f>
        <v/>
      </c>
    </row>
    <row r="3712" spans="4:17" ht="12.75" customHeight="1" x14ac:dyDescent="0.2">
      <c r="D3712" s="58" t="str">
        <f>IFERROR(IF(F3712&lt;&gt;"pending","",IF(OR($B3712="",$B3712="(blank)"),"",VLOOKUP($B3712,'Email Marketing Raw Data'!$C:$O,10,0))),"")</f>
        <v/>
      </c>
      <c r="E3712" s="59" t="str">
        <f>IFERROR(IF(F3712&lt;&gt;"pending","",IF(OR($B3712="",$B3712="(blank)"),"",VLOOKUP($B3712,'Email Marketing Raw Data'!$C:$O,11,0))),"")</f>
        <v/>
      </c>
      <c r="F3712" s="54" t="str">
        <f>IFERROR(IF(OR($B3712="",$B3712="(blank)"),"",VLOOKUP($B3712,'Email Marketing Raw Data'!$C:$O,13,0)),"")</f>
        <v/>
      </c>
      <c r="G3712" s="55" t="str">
        <f>IFERROR(IF(OR($B3712="",$B3712="(blank)"),"",VLOOKUP($B3712,'Email Marketing Raw Data'!$C:$O,4,0)),"")</f>
        <v/>
      </c>
      <c r="H3712" s="55" t="str">
        <f>IFERROR(IF(OR($B3712="",$B3712="(blank)"),"",VLOOKUP($B3712,'Email Marketing Raw Data'!$C:$O,5,0)),"")</f>
        <v/>
      </c>
      <c r="I3712" s="55" t="str">
        <f>IFERROR(IF($G3712="","",VLOOKUP('Dashboard And Emails Automate'!$G3712,Database!$H:$N,3,0)),"")</f>
        <v/>
      </c>
      <c r="J3712" s="55" t="str">
        <f>IFERROR(IF($G3712="","",VLOOKUP('Dashboard And Emails Automate'!$G3712,Database!$H:$N,4,0)),"")</f>
        <v/>
      </c>
      <c r="K3712" s="55" t="str">
        <f>IFERROR(IF($G3712="","",VLOOKUP('Dashboard And Emails Automate'!$G3712,Database!$H:$N,5,0)),"")</f>
        <v/>
      </c>
      <c r="L3712" s="55" t="str">
        <f>IFERROR(IF($G3712="","",VLOOKUP('Dashboard And Emails Automate'!$G3712,Database!$H:$N,6,0)),"")</f>
        <v/>
      </c>
      <c r="M3712" s="55" t="str">
        <f>IFERROR(IF($G3712="","",VLOOKUP('Dashboard And Emails Automate'!$G3712,Database!$H:$N,7,0)),"")</f>
        <v/>
      </c>
      <c r="N3712" s="55" t="str">
        <f>IFERROR(IF(OR($B3712="",$B3712="(blank)"),"",VLOOKUP($B3712,'Email Marketing Raw Data'!$C:$O,6,0)),"")</f>
        <v/>
      </c>
      <c r="O3712" s="55" t="str">
        <f>IFERROR(IF(OR($B3712="",$B3712="(blank)"),"",VLOOKUP($B3712,'Email Marketing Raw Data'!$C:$O,7,0)),"")</f>
        <v/>
      </c>
      <c r="P3712" s="55" t="str">
        <f>IFERROR(IF(OR($B3712="",$B3712="(blank)"),"",VLOOKUP($B3712,'Email Marketing Raw Data'!$C:$O,8,0)),"")</f>
        <v/>
      </c>
      <c r="Q3712" s="62" t="str">
        <f>IFERROR(IF(OR($B3712="",$B3712="(blank)"),"",VLOOKUP($B3712,'Email Marketing Raw Data'!$C:$O,9,0)),"")</f>
        <v/>
      </c>
    </row>
    <row r="3713" spans="4:17" ht="12.75" customHeight="1" x14ac:dyDescent="0.2">
      <c r="D3713" s="58" t="str">
        <f>IFERROR(IF(F3713&lt;&gt;"pending","",IF(OR($B3713="",$B3713="(blank)"),"",VLOOKUP($B3713,'Email Marketing Raw Data'!$C:$O,10,0))),"")</f>
        <v/>
      </c>
      <c r="E3713" s="59" t="str">
        <f>IFERROR(IF(F3713&lt;&gt;"pending","",IF(OR($B3713="",$B3713="(blank)"),"",VLOOKUP($B3713,'Email Marketing Raw Data'!$C:$O,11,0))),"")</f>
        <v/>
      </c>
      <c r="F3713" s="54" t="str">
        <f>IFERROR(IF(OR($B3713="",$B3713="(blank)"),"",VLOOKUP($B3713,'Email Marketing Raw Data'!$C:$O,13,0)),"")</f>
        <v/>
      </c>
      <c r="G3713" s="55" t="str">
        <f>IFERROR(IF(OR($B3713="",$B3713="(blank)"),"",VLOOKUP($B3713,'Email Marketing Raw Data'!$C:$O,4,0)),"")</f>
        <v/>
      </c>
      <c r="H3713" s="55" t="str">
        <f>IFERROR(IF(OR($B3713="",$B3713="(blank)"),"",VLOOKUP($B3713,'Email Marketing Raw Data'!$C:$O,5,0)),"")</f>
        <v/>
      </c>
      <c r="I3713" s="55" t="str">
        <f>IFERROR(IF($G3713="","",VLOOKUP('Dashboard And Emails Automate'!$G3713,Database!$H:$N,3,0)),"")</f>
        <v/>
      </c>
      <c r="J3713" s="55" t="str">
        <f>IFERROR(IF($G3713="","",VLOOKUP('Dashboard And Emails Automate'!$G3713,Database!$H:$N,4,0)),"")</f>
        <v/>
      </c>
      <c r="K3713" s="55" t="str">
        <f>IFERROR(IF($G3713="","",VLOOKUP('Dashboard And Emails Automate'!$G3713,Database!$H:$N,5,0)),"")</f>
        <v/>
      </c>
      <c r="L3713" s="55" t="str">
        <f>IFERROR(IF($G3713="","",VLOOKUP('Dashboard And Emails Automate'!$G3713,Database!$H:$N,6,0)),"")</f>
        <v/>
      </c>
      <c r="M3713" s="55" t="str">
        <f>IFERROR(IF($G3713="","",VLOOKUP('Dashboard And Emails Automate'!$G3713,Database!$H:$N,7,0)),"")</f>
        <v/>
      </c>
      <c r="N3713" s="55" t="str">
        <f>IFERROR(IF(OR($B3713="",$B3713="(blank)"),"",VLOOKUP($B3713,'Email Marketing Raw Data'!$C:$O,6,0)),"")</f>
        <v/>
      </c>
      <c r="O3713" s="55" t="str">
        <f>IFERROR(IF(OR($B3713="",$B3713="(blank)"),"",VLOOKUP($B3713,'Email Marketing Raw Data'!$C:$O,7,0)),"")</f>
        <v/>
      </c>
      <c r="P3713" s="55" t="str">
        <f>IFERROR(IF(OR($B3713="",$B3713="(blank)"),"",VLOOKUP($B3713,'Email Marketing Raw Data'!$C:$O,8,0)),"")</f>
        <v/>
      </c>
      <c r="Q3713" s="62" t="str">
        <f>IFERROR(IF(OR($B3713="",$B3713="(blank)"),"",VLOOKUP($B3713,'Email Marketing Raw Data'!$C:$O,9,0)),"")</f>
        <v/>
      </c>
    </row>
    <row r="3714" spans="4:17" ht="12.75" customHeight="1" x14ac:dyDescent="0.2">
      <c r="D3714" s="58" t="str">
        <f>IFERROR(IF(F3714&lt;&gt;"pending","",IF(OR($B3714="",$B3714="(blank)"),"",VLOOKUP($B3714,'Email Marketing Raw Data'!$C:$O,10,0))),"")</f>
        <v/>
      </c>
      <c r="E3714" s="59" t="str">
        <f>IFERROR(IF(F3714&lt;&gt;"pending","",IF(OR($B3714="",$B3714="(blank)"),"",VLOOKUP($B3714,'Email Marketing Raw Data'!$C:$O,11,0))),"")</f>
        <v/>
      </c>
      <c r="F3714" s="54" t="str">
        <f>IFERROR(IF(OR($B3714="",$B3714="(blank)"),"",VLOOKUP($B3714,'Email Marketing Raw Data'!$C:$O,13,0)),"")</f>
        <v/>
      </c>
      <c r="G3714" s="55" t="str">
        <f>IFERROR(IF(OR($B3714="",$B3714="(blank)"),"",VLOOKUP($B3714,'Email Marketing Raw Data'!$C:$O,4,0)),"")</f>
        <v/>
      </c>
      <c r="H3714" s="55" t="str">
        <f>IFERROR(IF(OR($B3714="",$B3714="(blank)"),"",VLOOKUP($B3714,'Email Marketing Raw Data'!$C:$O,5,0)),"")</f>
        <v/>
      </c>
      <c r="I3714" s="55" t="str">
        <f>IFERROR(IF($G3714="","",VLOOKUP('Dashboard And Emails Automate'!$G3714,Database!$H:$N,3,0)),"")</f>
        <v/>
      </c>
      <c r="J3714" s="55" t="str">
        <f>IFERROR(IF($G3714="","",VLOOKUP('Dashboard And Emails Automate'!$G3714,Database!$H:$N,4,0)),"")</f>
        <v/>
      </c>
      <c r="K3714" s="55" t="str">
        <f>IFERROR(IF($G3714="","",VLOOKUP('Dashboard And Emails Automate'!$G3714,Database!$H:$N,5,0)),"")</f>
        <v/>
      </c>
      <c r="L3714" s="55" t="str">
        <f>IFERROR(IF($G3714="","",VLOOKUP('Dashboard And Emails Automate'!$G3714,Database!$H:$N,6,0)),"")</f>
        <v/>
      </c>
      <c r="M3714" s="55" t="str">
        <f>IFERROR(IF($G3714="","",VLOOKUP('Dashboard And Emails Automate'!$G3714,Database!$H:$N,7,0)),"")</f>
        <v/>
      </c>
      <c r="N3714" s="55" t="str">
        <f>IFERROR(IF(OR($B3714="",$B3714="(blank)"),"",VLOOKUP($B3714,'Email Marketing Raw Data'!$C:$O,6,0)),"")</f>
        <v/>
      </c>
      <c r="O3714" s="55" t="str">
        <f>IFERROR(IF(OR($B3714="",$B3714="(blank)"),"",VLOOKUP($B3714,'Email Marketing Raw Data'!$C:$O,7,0)),"")</f>
        <v/>
      </c>
      <c r="P3714" s="55" t="str">
        <f>IFERROR(IF(OR($B3714="",$B3714="(blank)"),"",VLOOKUP($B3714,'Email Marketing Raw Data'!$C:$O,8,0)),"")</f>
        <v/>
      </c>
      <c r="Q3714" s="62" t="str">
        <f>IFERROR(IF(OR($B3714="",$B3714="(blank)"),"",VLOOKUP($B3714,'Email Marketing Raw Data'!$C:$O,9,0)),"")</f>
        <v/>
      </c>
    </row>
    <row r="3715" spans="4:17" ht="12.75" customHeight="1" x14ac:dyDescent="0.2">
      <c r="D3715" s="58" t="str">
        <f>IFERROR(IF(F3715&lt;&gt;"pending","",IF(OR($B3715="",$B3715="(blank)"),"",VLOOKUP($B3715,'Email Marketing Raw Data'!$C:$O,10,0))),"")</f>
        <v/>
      </c>
      <c r="E3715" s="59" t="str">
        <f>IFERROR(IF(F3715&lt;&gt;"pending","",IF(OR($B3715="",$B3715="(blank)"),"",VLOOKUP($B3715,'Email Marketing Raw Data'!$C:$O,11,0))),"")</f>
        <v/>
      </c>
      <c r="F3715" s="54" t="str">
        <f>IFERROR(IF(OR($B3715="",$B3715="(blank)"),"",VLOOKUP($B3715,'Email Marketing Raw Data'!$C:$O,13,0)),"")</f>
        <v/>
      </c>
      <c r="G3715" s="55" t="str">
        <f>IFERROR(IF(OR($B3715="",$B3715="(blank)"),"",VLOOKUP($B3715,'Email Marketing Raw Data'!$C:$O,4,0)),"")</f>
        <v/>
      </c>
      <c r="H3715" s="55" t="str">
        <f>IFERROR(IF(OR($B3715="",$B3715="(blank)"),"",VLOOKUP($B3715,'Email Marketing Raw Data'!$C:$O,5,0)),"")</f>
        <v/>
      </c>
      <c r="I3715" s="55" t="str">
        <f>IFERROR(IF($G3715="","",VLOOKUP('Dashboard And Emails Automate'!$G3715,Database!$H:$N,3,0)),"")</f>
        <v/>
      </c>
      <c r="J3715" s="55" t="str">
        <f>IFERROR(IF($G3715="","",VLOOKUP('Dashboard And Emails Automate'!$G3715,Database!$H:$N,4,0)),"")</f>
        <v/>
      </c>
      <c r="K3715" s="55" t="str">
        <f>IFERROR(IF($G3715="","",VLOOKUP('Dashboard And Emails Automate'!$G3715,Database!$H:$N,5,0)),"")</f>
        <v/>
      </c>
      <c r="L3715" s="55" t="str">
        <f>IFERROR(IF($G3715="","",VLOOKUP('Dashboard And Emails Automate'!$G3715,Database!$H:$N,6,0)),"")</f>
        <v/>
      </c>
      <c r="M3715" s="55" t="str">
        <f>IFERROR(IF($G3715="","",VLOOKUP('Dashboard And Emails Automate'!$G3715,Database!$H:$N,7,0)),"")</f>
        <v/>
      </c>
      <c r="N3715" s="55" t="str">
        <f>IFERROR(IF(OR($B3715="",$B3715="(blank)"),"",VLOOKUP($B3715,'Email Marketing Raw Data'!$C:$O,6,0)),"")</f>
        <v/>
      </c>
      <c r="O3715" s="55" t="str">
        <f>IFERROR(IF(OR($B3715="",$B3715="(blank)"),"",VLOOKUP($B3715,'Email Marketing Raw Data'!$C:$O,7,0)),"")</f>
        <v/>
      </c>
      <c r="P3715" s="55" t="str">
        <f>IFERROR(IF(OR($B3715="",$B3715="(blank)"),"",VLOOKUP($B3715,'Email Marketing Raw Data'!$C:$O,8,0)),"")</f>
        <v/>
      </c>
      <c r="Q3715" s="62" t="str">
        <f>IFERROR(IF(OR($B3715="",$B3715="(blank)"),"",VLOOKUP($B3715,'Email Marketing Raw Data'!$C:$O,9,0)),"")</f>
        <v/>
      </c>
    </row>
    <row r="3716" spans="4:17" ht="12.75" customHeight="1" x14ac:dyDescent="0.2">
      <c r="D3716" s="58" t="str">
        <f>IFERROR(IF(F3716&lt;&gt;"pending","",IF(OR($B3716="",$B3716="(blank)"),"",VLOOKUP($B3716,'Email Marketing Raw Data'!$C:$O,10,0))),"")</f>
        <v/>
      </c>
      <c r="E3716" s="59" t="str">
        <f>IFERROR(IF(F3716&lt;&gt;"pending","",IF(OR($B3716="",$B3716="(blank)"),"",VLOOKUP($B3716,'Email Marketing Raw Data'!$C:$O,11,0))),"")</f>
        <v/>
      </c>
      <c r="F3716" s="54" t="str">
        <f>IFERROR(IF(OR($B3716="",$B3716="(blank)"),"",VLOOKUP($B3716,'Email Marketing Raw Data'!$C:$O,13,0)),"")</f>
        <v/>
      </c>
      <c r="G3716" s="55" t="str">
        <f>IFERROR(IF(OR($B3716="",$B3716="(blank)"),"",VLOOKUP($B3716,'Email Marketing Raw Data'!$C:$O,4,0)),"")</f>
        <v/>
      </c>
      <c r="H3716" s="55" t="str">
        <f>IFERROR(IF(OR($B3716="",$B3716="(blank)"),"",VLOOKUP($B3716,'Email Marketing Raw Data'!$C:$O,5,0)),"")</f>
        <v/>
      </c>
      <c r="I3716" s="55" t="str">
        <f>IFERROR(IF($G3716="","",VLOOKUP('Dashboard And Emails Automate'!$G3716,Database!$H:$N,3,0)),"")</f>
        <v/>
      </c>
      <c r="J3716" s="55" t="str">
        <f>IFERROR(IF($G3716="","",VLOOKUP('Dashboard And Emails Automate'!$G3716,Database!$H:$N,4,0)),"")</f>
        <v/>
      </c>
      <c r="K3716" s="55" t="str">
        <f>IFERROR(IF($G3716="","",VLOOKUP('Dashboard And Emails Automate'!$G3716,Database!$H:$N,5,0)),"")</f>
        <v/>
      </c>
      <c r="L3716" s="55" t="str">
        <f>IFERROR(IF($G3716="","",VLOOKUP('Dashboard And Emails Automate'!$G3716,Database!$H:$N,6,0)),"")</f>
        <v/>
      </c>
      <c r="M3716" s="55" t="str">
        <f>IFERROR(IF($G3716="","",VLOOKUP('Dashboard And Emails Automate'!$G3716,Database!$H:$N,7,0)),"")</f>
        <v/>
      </c>
      <c r="N3716" s="55" t="str">
        <f>IFERROR(IF(OR($B3716="",$B3716="(blank)"),"",VLOOKUP($B3716,'Email Marketing Raw Data'!$C:$O,6,0)),"")</f>
        <v/>
      </c>
      <c r="O3716" s="55" t="str">
        <f>IFERROR(IF(OR($B3716="",$B3716="(blank)"),"",VLOOKUP($B3716,'Email Marketing Raw Data'!$C:$O,7,0)),"")</f>
        <v/>
      </c>
      <c r="P3716" s="55" t="str">
        <f>IFERROR(IF(OR($B3716="",$B3716="(blank)"),"",VLOOKUP($B3716,'Email Marketing Raw Data'!$C:$O,8,0)),"")</f>
        <v/>
      </c>
      <c r="Q3716" s="62" t="str">
        <f>IFERROR(IF(OR($B3716="",$B3716="(blank)"),"",VLOOKUP($B3716,'Email Marketing Raw Data'!$C:$O,9,0)),"")</f>
        <v/>
      </c>
    </row>
    <row r="3717" spans="4:17" ht="12.75" customHeight="1" x14ac:dyDescent="0.2">
      <c r="D3717" s="58" t="str">
        <f>IFERROR(IF(F3717&lt;&gt;"pending","",IF(OR($B3717="",$B3717="(blank)"),"",VLOOKUP($B3717,'Email Marketing Raw Data'!$C:$O,10,0))),"")</f>
        <v/>
      </c>
      <c r="E3717" s="59" t="str">
        <f>IFERROR(IF(F3717&lt;&gt;"pending","",IF(OR($B3717="",$B3717="(blank)"),"",VLOOKUP($B3717,'Email Marketing Raw Data'!$C:$O,11,0))),"")</f>
        <v/>
      </c>
      <c r="F3717" s="54" t="str">
        <f>IFERROR(IF(OR($B3717="",$B3717="(blank)"),"",VLOOKUP($B3717,'Email Marketing Raw Data'!$C:$O,13,0)),"")</f>
        <v/>
      </c>
      <c r="G3717" s="55" t="str">
        <f>IFERROR(IF(OR($B3717="",$B3717="(blank)"),"",VLOOKUP($B3717,'Email Marketing Raw Data'!$C:$O,4,0)),"")</f>
        <v/>
      </c>
      <c r="H3717" s="55" t="str">
        <f>IFERROR(IF(OR($B3717="",$B3717="(blank)"),"",VLOOKUP($B3717,'Email Marketing Raw Data'!$C:$O,5,0)),"")</f>
        <v/>
      </c>
      <c r="I3717" s="55" t="str">
        <f>IFERROR(IF($G3717="","",VLOOKUP('Dashboard And Emails Automate'!$G3717,Database!$H:$N,3,0)),"")</f>
        <v/>
      </c>
      <c r="J3717" s="55" t="str">
        <f>IFERROR(IF($G3717="","",VLOOKUP('Dashboard And Emails Automate'!$G3717,Database!$H:$N,4,0)),"")</f>
        <v/>
      </c>
      <c r="K3717" s="55" t="str">
        <f>IFERROR(IF($G3717="","",VLOOKUP('Dashboard And Emails Automate'!$G3717,Database!$H:$N,5,0)),"")</f>
        <v/>
      </c>
      <c r="L3717" s="55" t="str">
        <f>IFERROR(IF($G3717="","",VLOOKUP('Dashboard And Emails Automate'!$G3717,Database!$H:$N,6,0)),"")</f>
        <v/>
      </c>
      <c r="M3717" s="55" t="str">
        <f>IFERROR(IF($G3717="","",VLOOKUP('Dashboard And Emails Automate'!$G3717,Database!$H:$N,7,0)),"")</f>
        <v/>
      </c>
      <c r="N3717" s="55" t="str">
        <f>IFERROR(IF(OR($B3717="",$B3717="(blank)"),"",VLOOKUP($B3717,'Email Marketing Raw Data'!$C:$O,6,0)),"")</f>
        <v/>
      </c>
      <c r="O3717" s="55" t="str">
        <f>IFERROR(IF(OR($B3717="",$B3717="(blank)"),"",VLOOKUP($B3717,'Email Marketing Raw Data'!$C:$O,7,0)),"")</f>
        <v/>
      </c>
      <c r="P3717" s="55" t="str">
        <f>IFERROR(IF(OR($B3717="",$B3717="(blank)"),"",VLOOKUP($B3717,'Email Marketing Raw Data'!$C:$O,8,0)),"")</f>
        <v/>
      </c>
      <c r="Q3717" s="62" t="str">
        <f>IFERROR(IF(OR($B3717="",$B3717="(blank)"),"",VLOOKUP($B3717,'Email Marketing Raw Data'!$C:$O,9,0)),"")</f>
        <v/>
      </c>
    </row>
    <row r="3718" spans="4:17" ht="12.75" customHeight="1" x14ac:dyDescent="0.2">
      <c r="D3718" s="58" t="str">
        <f>IFERROR(IF(F3718&lt;&gt;"pending","",IF(OR($B3718="",$B3718="(blank)"),"",VLOOKUP($B3718,'Email Marketing Raw Data'!$C:$O,10,0))),"")</f>
        <v/>
      </c>
      <c r="E3718" s="59" t="str">
        <f>IFERROR(IF(F3718&lt;&gt;"pending","",IF(OR($B3718="",$B3718="(blank)"),"",VLOOKUP($B3718,'Email Marketing Raw Data'!$C:$O,11,0))),"")</f>
        <v/>
      </c>
      <c r="F3718" s="54" t="str">
        <f>IFERROR(IF(OR($B3718="",$B3718="(blank)"),"",VLOOKUP($B3718,'Email Marketing Raw Data'!$C:$O,13,0)),"")</f>
        <v/>
      </c>
      <c r="G3718" s="55" t="str">
        <f>IFERROR(IF(OR($B3718="",$B3718="(blank)"),"",VLOOKUP($B3718,'Email Marketing Raw Data'!$C:$O,4,0)),"")</f>
        <v/>
      </c>
      <c r="H3718" s="55" t="str">
        <f>IFERROR(IF(OR($B3718="",$B3718="(blank)"),"",VLOOKUP($B3718,'Email Marketing Raw Data'!$C:$O,5,0)),"")</f>
        <v/>
      </c>
      <c r="I3718" s="55" t="str">
        <f>IFERROR(IF($G3718="","",VLOOKUP('Dashboard And Emails Automate'!$G3718,Database!$H:$N,3,0)),"")</f>
        <v/>
      </c>
      <c r="J3718" s="55" t="str">
        <f>IFERROR(IF($G3718="","",VLOOKUP('Dashboard And Emails Automate'!$G3718,Database!$H:$N,4,0)),"")</f>
        <v/>
      </c>
      <c r="K3718" s="55" t="str">
        <f>IFERROR(IF($G3718="","",VLOOKUP('Dashboard And Emails Automate'!$G3718,Database!$H:$N,5,0)),"")</f>
        <v/>
      </c>
      <c r="L3718" s="55" t="str">
        <f>IFERROR(IF($G3718="","",VLOOKUP('Dashboard And Emails Automate'!$G3718,Database!$H:$N,6,0)),"")</f>
        <v/>
      </c>
      <c r="M3718" s="55" t="str">
        <f>IFERROR(IF($G3718="","",VLOOKUP('Dashboard And Emails Automate'!$G3718,Database!$H:$N,7,0)),"")</f>
        <v/>
      </c>
      <c r="N3718" s="55" t="str">
        <f>IFERROR(IF(OR($B3718="",$B3718="(blank)"),"",VLOOKUP($B3718,'Email Marketing Raw Data'!$C:$O,6,0)),"")</f>
        <v/>
      </c>
      <c r="O3718" s="55" t="str">
        <f>IFERROR(IF(OR($B3718="",$B3718="(blank)"),"",VLOOKUP($B3718,'Email Marketing Raw Data'!$C:$O,7,0)),"")</f>
        <v/>
      </c>
      <c r="P3718" s="55" t="str">
        <f>IFERROR(IF(OR($B3718="",$B3718="(blank)"),"",VLOOKUP($B3718,'Email Marketing Raw Data'!$C:$O,8,0)),"")</f>
        <v/>
      </c>
      <c r="Q3718" s="62" t="str">
        <f>IFERROR(IF(OR($B3718="",$B3718="(blank)"),"",VLOOKUP($B3718,'Email Marketing Raw Data'!$C:$O,9,0)),"")</f>
        <v/>
      </c>
    </row>
    <row r="3719" spans="4:17" ht="12.75" customHeight="1" x14ac:dyDescent="0.2">
      <c r="D3719" s="58" t="str">
        <f>IFERROR(IF(F3719&lt;&gt;"pending","",IF(OR($B3719="",$B3719="(blank)"),"",VLOOKUP($B3719,'Email Marketing Raw Data'!$C:$O,10,0))),"")</f>
        <v/>
      </c>
      <c r="E3719" s="59" t="str">
        <f>IFERROR(IF(F3719&lt;&gt;"pending","",IF(OR($B3719="",$B3719="(blank)"),"",VLOOKUP($B3719,'Email Marketing Raw Data'!$C:$O,11,0))),"")</f>
        <v/>
      </c>
      <c r="F3719" s="54" t="str">
        <f>IFERROR(IF(OR($B3719="",$B3719="(blank)"),"",VLOOKUP($B3719,'Email Marketing Raw Data'!$C:$O,13,0)),"")</f>
        <v/>
      </c>
      <c r="G3719" s="55" t="str">
        <f>IFERROR(IF(OR($B3719="",$B3719="(blank)"),"",VLOOKUP($B3719,'Email Marketing Raw Data'!$C:$O,4,0)),"")</f>
        <v/>
      </c>
      <c r="H3719" s="55" t="str">
        <f>IFERROR(IF(OR($B3719="",$B3719="(blank)"),"",VLOOKUP($B3719,'Email Marketing Raw Data'!$C:$O,5,0)),"")</f>
        <v/>
      </c>
      <c r="I3719" s="55" t="str">
        <f>IFERROR(IF($G3719="","",VLOOKUP('Dashboard And Emails Automate'!$G3719,Database!$H:$N,3,0)),"")</f>
        <v/>
      </c>
      <c r="J3719" s="55" t="str">
        <f>IFERROR(IF($G3719="","",VLOOKUP('Dashboard And Emails Automate'!$G3719,Database!$H:$N,4,0)),"")</f>
        <v/>
      </c>
      <c r="K3719" s="55" t="str">
        <f>IFERROR(IF($G3719="","",VLOOKUP('Dashboard And Emails Automate'!$G3719,Database!$H:$N,5,0)),"")</f>
        <v/>
      </c>
      <c r="L3719" s="55" t="str">
        <f>IFERROR(IF($G3719="","",VLOOKUP('Dashboard And Emails Automate'!$G3719,Database!$H:$N,6,0)),"")</f>
        <v/>
      </c>
      <c r="M3719" s="55" t="str">
        <f>IFERROR(IF($G3719="","",VLOOKUP('Dashboard And Emails Automate'!$G3719,Database!$H:$N,7,0)),"")</f>
        <v/>
      </c>
      <c r="N3719" s="55" t="str">
        <f>IFERROR(IF(OR($B3719="",$B3719="(blank)"),"",VLOOKUP($B3719,'Email Marketing Raw Data'!$C:$O,6,0)),"")</f>
        <v/>
      </c>
      <c r="O3719" s="55" t="str">
        <f>IFERROR(IF(OR($B3719="",$B3719="(blank)"),"",VLOOKUP($B3719,'Email Marketing Raw Data'!$C:$O,7,0)),"")</f>
        <v/>
      </c>
      <c r="P3719" s="55" t="str">
        <f>IFERROR(IF(OR($B3719="",$B3719="(blank)"),"",VLOOKUP($B3719,'Email Marketing Raw Data'!$C:$O,8,0)),"")</f>
        <v/>
      </c>
      <c r="Q3719" s="62" t="str">
        <f>IFERROR(IF(OR($B3719="",$B3719="(blank)"),"",VLOOKUP($B3719,'Email Marketing Raw Data'!$C:$O,9,0)),"")</f>
        <v/>
      </c>
    </row>
    <row r="3720" spans="4:17" ht="12.75" customHeight="1" x14ac:dyDescent="0.2">
      <c r="D3720" s="58" t="str">
        <f>IFERROR(IF(F3720&lt;&gt;"pending","",IF(OR($B3720="",$B3720="(blank)"),"",VLOOKUP($B3720,'Email Marketing Raw Data'!$C:$O,10,0))),"")</f>
        <v/>
      </c>
      <c r="E3720" s="59" t="str">
        <f>IFERROR(IF(F3720&lt;&gt;"pending","",IF(OR($B3720="",$B3720="(blank)"),"",VLOOKUP($B3720,'Email Marketing Raw Data'!$C:$O,11,0))),"")</f>
        <v/>
      </c>
      <c r="F3720" s="54" t="str">
        <f>IFERROR(IF(OR($B3720="",$B3720="(blank)"),"",VLOOKUP($B3720,'Email Marketing Raw Data'!$C:$O,13,0)),"")</f>
        <v/>
      </c>
      <c r="G3720" s="55" t="str">
        <f>IFERROR(IF(OR($B3720="",$B3720="(blank)"),"",VLOOKUP($B3720,'Email Marketing Raw Data'!$C:$O,4,0)),"")</f>
        <v/>
      </c>
      <c r="H3720" s="55" t="str">
        <f>IFERROR(IF(OR($B3720="",$B3720="(blank)"),"",VLOOKUP($B3720,'Email Marketing Raw Data'!$C:$O,5,0)),"")</f>
        <v/>
      </c>
      <c r="I3720" s="55" t="str">
        <f>IFERROR(IF($G3720="","",VLOOKUP('Dashboard And Emails Automate'!$G3720,Database!$H:$N,3,0)),"")</f>
        <v/>
      </c>
      <c r="J3720" s="55" t="str">
        <f>IFERROR(IF($G3720="","",VLOOKUP('Dashboard And Emails Automate'!$G3720,Database!$H:$N,4,0)),"")</f>
        <v/>
      </c>
      <c r="K3720" s="55" t="str">
        <f>IFERROR(IF($G3720="","",VLOOKUP('Dashboard And Emails Automate'!$G3720,Database!$H:$N,5,0)),"")</f>
        <v/>
      </c>
      <c r="L3720" s="55" t="str">
        <f>IFERROR(IF($G3720="","",VLOOKUP('Dashboard And Emails Automate'!$G3720,Database!$H:$N,6,0)),"")</f>
        <v/>
      </c>
      <c r="M3720" s="55" t="str">
        <f>IFERROR(IF($G3720="","",VLOOKUP('Dashboard And Emails Automate'!$G3720,Database!$H:$N,7,0)),"")</f>
        <v/>
      </c>
      <c r="N3720" s="55" t="str">
        <f>IFERROR(IF(OR($B3720="",$B3720="(blank)"),"",VLOOKUP($B3720,'Email Marketing Raw Data'!$C:$O,6,0)),"")</f>
        <v/>
      </c>
      <c r="O3720" s="55" t="str">
        <f>IFERROR(IF(OR($B3720="",$B3720="(blank)"),"",VLOOKUP($B3720,'Email Marketing Raw Data'!$C:$O,7,0)),"")</f>
        <v/>
      </c>
      <c r="P3720" s="55" t="str">
        <f>IFERROR(IF(OR($B3720="",$B3720="(blank)"),"",VLOOKUP($B3720,'Email Marketing Raw Data'!$C:$O,8,0)),"")</f>
        <v/>
      </c>
      <c r="Q3720" s="62" t="str">
        <f>IFERROR(IF(OR($B3720="",$B3720="(blank)"),"",VLOOKUP($B3720,'Email Marketing Raw Data'!$C:$O,9,0)),"")</f>
        <v/>
      </c>
    </row>
    <row r="3721" spans="4:17" ht="12.75" customHeight="1" x14ac:dyDescent="0.2">
      <c r="D3721" s="58" t="str">
        <f>IFERROR(IF(F3721&lt;&gt;"pending","",IF(OR($B3721="",$B3721="(blank)"),"",VLOOKUP($B3721,'Email Marketing Raw Data'!$C:$O,10,0))),"")</f>
        <v/>
      </c>
      <c r="E3721" s="59" t="str">
        <f>IFERROR(IF(F3721&lt;&gt;"pending","",IF(OR($B3721="",$B3721="(blank)"),"",VLOOKUP($B3721,'Email Marketing Raw Data'!$C:$O,11,0))),"")</f>
        <v/>
      </c>
      <c r="F3721" s="54" t="str">
        <f>IFERROR(IF(OR($B3721="",$B3721="(blank)"),"",VLOOKUP($B3721,'Email Marketing Raw Data'!$C:$O,13,0)),"")</f>
        <v/>
      </c>
      <c r="G3721" s="55" t="str">
        <f>IFERROR(IF(OR($B3721="",$B3721="(blank)"),"",VLOOKUP($B3721,'Email Marketing Raw Data'!$C:$O,4,0)),"")</f>
        <v/>
      </c>
      <c r="H3721" s="55" t="str">
        <f>IFERROR(IF(OR($B3721="",$B3721="(blank)"),"",VLOOKUP($B3721,'Email Marketing Raw Data'!$C:$O,5,0)),"")</f>
        <v/>
      </c>
      <c r="I3721" s="55" t="str">
        <f>IFERROR(IF($G3721="","",VLOOKUP('Dashboard And Emails Automate'!$G3721,Database!$H:$N,3,0)),"")</f>
        <v/>
      </c>
      <c r="J3721" s="55" t="str">
        <f>IFERROR(IF($G3721="","",VLOOKUP('Dashboard And Emails Automate'!$G3721,Database!$H:$N,4,0)),"")</f>
        <v/>
      </c>
      <c r="K3721" s="55" t="str">
        <f>IFERROR(IF($G3721="","",VLOOKUP('Dashboard And Emails Automate'!$G3721,Database!$H:$N,5,0)),"")</f>
        <v/>
      </c>
      <c r="L3721" s="55" t="str">
        <f>IFERROR(IF($G3721="","",VLOOKUP('Dashboard And Emails Automate'!$G3721,Database!$H:$N,6,0)),"")</f>
        <v/>
      </c>
      <c r="M3721" s="55" t="str">
        <f>IFERROR(IF($G3721="","",VLOOKUP('Dashboard And Emails Automate'!$G3721,Database!$H:$N,7,0)),"")</f>
        <v/>
      </c>
      <c r="N3721" s="55" t="str">
        <f>IFERROR(IF(OR($B3721="",$B3721="(blank)"),"",VLOOKUP($B3721,'Email Marketing Raw Data'!$C:$O,6,0)),"")</f>
        <v/>
      </c>
      <c r="O3721" s="55" t="str">
        <f>IFERROR(IF(OR($B3721="",$B3721="(blank)"),"",VLOOKUP($B3721,'Email Marketing Raw Data'!$C:$O,7,0)),"")</f>
        <v/>
      </c>
      <c r="P3721" s="55" t="str">
        <f>IFERROR(IF(OR($B3721="",$B3721="(blank)"),"",VLOOKUP($B3721,'Email Marketing Raw Data'!$C:$O,8,0)),"")</f>
        <v/>
      </c>
      <c r="Q3721" s="62" t="str">
        <f>IFERROR(IF(OR($B3721="",$B3721="(blank)"),"",VLOOKUP($B3721,'Email Marketing Raw Data'!$C:$O,9,0)),"")</f>
        <v/>
      </c>
    </row>
    <row r="3722" spans="4:17" ht="12.75" customHeight="1" x14ac:dyDescent="0.2">
      <c r="D3722" s="58" t="str">
        <f>IFERROR(IF(F3722&lt;&gt;"pending","",IF(OR($B3722="",$B3722="(blank)"),"",VLOOKUP($B3722,'Email Marketing Raw Data'!$C:$O,10,0))),"")</f>
        <v/>
      </c>
      <c r="E3722" s="59" t="str">
        <f>IFERROR(IF(F3722&lt;&gt;"pending","",IF(OR($B3722="",$B3722="(blank)"),"",VLOOKUP($B3722,'Email Marketing Raw Data'!$C:$O,11,0))),"")</f>
        <v/>
      </c>
      <c r="F3722" s="54" t="str">
        <f>IFERROR(IF(OR($B3722="",$B3722="(blank)"),"",VLOOKUP($B3722,'Email Marketing Raw Data'!$C:$O,13,0)),"")</f>
        <v/>
      </c>
      <c r="G3722" s="55" t="str">
        <f>IFERROR(IF(OR($B3722="",$B3722="(blank)"),"",VLOOKUP($B3722,'Email Marketing Raw Data'!$C:$O,4,0)),"")</f>
        <v/>
      </c>
      <c r="H3722" s="55" t="str">
        <f>IFERROR(IF(OR($B3722="",$B3722="(blank)"),"",VLOOKUP($B3722,'Email Marketing Raw Data'!$C:$O,5,0)),"")</f>
        <v/>
      </c>
      <c r="I3722" s="55" t="str">
        <f>IFERROR(IF($G3722="","",VLOOKUP('Dashboard And Emails Automate'!$G3722,Database!$H:$N,3,0)),"")</f>
        <v/>
      </c>
      <c r="J3722" s="55" t="str">
        <f>IFERROR(IF($G3722="","",VLOOKUP('Dashboard And Emails Automate'!$G3722,Database!$H:$N,4,0)),"")</f>
        <v/>
      </c>
      <c r="K3722" s="55" t="str">
        <f>IFERROR(IF($G3722="","",VLOOKUP('Dashboard And Emails Automate'!$G3722,Database!$H:$N,5,0)),"")</f>
        <v/>
      </c>
      <c r="L3722" s="55" t="str">
        <f>IFERROR(IF($G3722="","",VLOOKUP('Dashboard And Emails Automate'!$G3722,Database!$H:$N,6,0)),"")</f>
        <v/>
      </c>
      <c r="M3722" s="55" t="str">
        <f>IFERROR(IF($G3722="","",VLOOKUP('Dashboard And Emails Automate'!$G3722,Database!$H:$N,7,0)),"")</f>
        <v/>
      </c>
      <c r="N3722" s="55" t="str">
        <f>IFERROR(IF(OR($B3722="",$B3722="(blank)"),"",VLOOKUP($B3722,'Email Marketing Raw Data'!$C:$O,6,0)),"")</f>
        <v/>
      </c>
      <c r="O3722" s="55" t="str">
        <f>IFERROR(IF(OR($B3722="",$B3722="(blank)"),"",VLOOKUP($B3722,'Email Marketing Raw Data'!$C:$O,7,0)),"")</f>
        <v/>
      </c>
      <c r="P3722" s="55" t="str">
        <f>IFERROR(IF(OR($B3722="",$B3722="(blank)"),"",VLOOKUP($B3722,'Email Marketing Raw Data'!$C:$O,8,0)),"")</f>
        <v/>
      </c>
      <c r="Q3722" s="62" t="str">
        <f>IFERROR(IF(OR($B3722="",$B3722="(blank)"),"",VLOOKUP($B3722,'Email Marketing Raw Data'!$C:$O,9,0)),"")</f>
        <v/>
      </c>
    </row>
    <row r="3723" spans="4:17" ht="12.75" customHeight="1" x14ac:dyDescent="0.2">
      <c r="D3723" s="58" t="str">
        <f>IFERROR(IF(F3723&lt;&gt;"pending","",IF(OR($B3723="",$B3723="(blank)"),"",VLOOKUP($B3723,'Email Marketing Raw Data'!$C:$O,10,0))),"")</f>
        <v/>
      </c>
      <c r="E3723" s="59" t="str">
        <f>IFERROR(IF(F3723&lt;&gt;"pending","",IF(OR($B3723="",$B3723="(blank)"),"",VLOOKUP($B3723,'Email Marketing Raw Data'!$C:$O,11,0))),"")</f>
        <v/>
      </c>
      <c r="F3723" s="54" t="str">
        <f>IFERROR(IF(OR($B3723="",$B3723="(blank)"),"",VLOOKUP($B3723,'Email Marketing Raw Data'!$C:$O,13,0)),"")</f>
        <v/>
      </c>
      <c r="G3723" s="55" t="str">
        <f>IFERROR(IF(OR($B3723="",$B3723="(blank)"),"",VLOOKUP($B3723,'Email Marketing Raw Data'!$C:$O,4,0)),"")</f>
        <v/>
      </c>
      <c r="H3723" s="55" t="str">
        <f>IFERROR(IF(OR($B3723="",$B3723="(blank)"),"",VLOOKUP($B3723,'Email Marketing Raw Data'!$C:$O,5,0)),"")</f>
        <v/>
      </c>
      <c r="I3723" s="55" t="str">
        <f>IFERROR(IF($G3723="","",VLOOKUP('Dashboard And Emails Automate'!$G3723,Database!$H:$N,3,0)),"")</f>
        <v/>
      </c>
      <c r="J3723" s="55" t="str">
        <f>IFERROR(IF($G3723="","",VLOOKUP('Dashboard And Emails Automate'!$G3723,Database!$H:$N,4,0)),"")</f>
        <v/>
      </c>
      <c r="K3723" s="55" t="str">
        <f>IFERROR(IF($G3723="","",VLOOKUP('Dashboard And Emails Automate'!$G3723,Database!$H:$N,5,0)),"")</f>
        <v/>
      </c>
      <c r="L3723" s="55" t="str">
        <f>IFERROR(IF($G3723="","",VLOOKUP('Dashboard And Emails Automate'!$G3723,Database!$H:$N,6,0)),"")</f>
        <v/>
      </c>
      <c r="M3723" s="55" t="str">
        <f>IFERROR(IF($G3723="","",VLOOKUP('Dashboard And Emails Automate'!$G3723,Database!$H:$N,7,0)),"")</f>
        <v/>
      </c>
      <c r="N3723" s="55" t="str">
        <f>IFERROR(IF(OR($B3723="",$B3723="(blank)"),"",VLOOKUP($B3723,'Email Marketing Raw Data'!$C:$O,6,0)),"")</f>
        <v/>
      </c>
      <c r="O3723" s="55" t="str">
        <f>IFERROR(IF(OR($B3723="",$B3723="(blank)"),"",VLOOKUP($B3723,'Email Marketing Raw Data'!$C:$O,7,0)),"")</f>
        <v/>
      </c>
      <c r="P3723" s="55" t="str">
        <f>IFERROR(IF(OR($B3723="",$B3723="(blank)"),"",VLOOKUP($B3723,'Email Marketing Raw Data'!$C:$O,8,0)),"")</f>
        <v/>
      </c>
      <c r="Q3723" s="62" t="str">
        <f>IFERROR(IF(OR($B3723="",$B3723="(blank)"),"",VLOOKUP($B3723,'Email Marketing Raw Data'!$C:$O,9,0)),"")</f>
        <v/>
      </c>
    </row>
    <row r="3724" spans="4:17" ht="12.75" customHeight="1" x14ac:dyDescent="0.2">
      <c r="D3724" s="58" t="str">
        <f>IFERROR(IF(F3724&lt;&gt;"pending","",IF(OR($B3724="",$B3724="(blank)"),"",VLOOKUP($B3724,'Email Marketing Raw Data'!$C:$O,10,0))),"")</f>
        <v/>
      </c>
      <c r="E3724" s="59" t="str">
        <f>IFERROR(IF(F3724&lt;&gt;"pending","",IF(OR($B3724="",$B3724="(blank)"),"",VLOOKUP($B3724,'Email Marketing Raw Data'!$C:$O,11,0))),"")</f>
        <v/>
      </c>
      <c r="F3724" s="54" t="str">
        <f>IFERROR(IF(OR($B3724="",$B3724="(blank)"),"",VLOOKUP($B3724,'Email Marketing Raw Data'!$C:$O,13,0)),"")</f>
        <v/>
      </c>
      <c r="G3724" s="55" t="str">
        <f>IFERROR(IF(OR($B3724="",$B3724="(blank)"),"",VLOOKUP($B3724,'Email Marketing Raw Data'!$C:$O,4,0)),"")</f>
        <v/>
      </c>
      <c r="H3724" s="55" t="str">
        <f>IFERROR(IF(OR($B3724="",$B3724="(blank)"),"",VLOOKUP($B3724,'Email Marketing Raw Data'!$C:$O,5,0)),"")</f>
        <v/>
      </c>
      <c r="I3724" s="55" t="str">
        <f>IFERROR(IF($G3724="","",VLOOKUP('Dashboard And Emails Automate'!$G3724,Database!$H:$N,3,0)),"")</f>
        <v/>
      </c>
      <c r="J3724" s="55" t="str">
        <f>IFERROR(IF($G3724="","",VLOOKUP('Dashboard And Emails Automate'!$G3724,Database!$H:$N,4,0)),"")</f>
        <v/>
      </c>
      <c r="K3724" s="55" t="str">
        <f>IFERROR(IF($G3724="","",VLOOKUP('Dashboard And Emails Automate'!$G3724,Database!$H:$N,5,0)),"")</f>
        <v/>
      </c>
      <c r="L3724" s="55" t="str">
        <f>IFERROR(IF($G3724="","",VLOOKUP('Dashboard And Emails Automate'!$G3724,Database!$H:$N,6,0)),"")</f>
        <v/>
      </c>
      <c r="M3724" s="55" t="str">
        <f>IFERROR(IF($G3724="","",VLOOKUP('Dashboard And Emails Automate'!$G3724,Database!$H:$N,7,0)),"")</f>
        <v/>
      </c>
      <c r="N3724" s="55" t="str">
        <f>IFERROR(IF(OR($B3724="",$B3724="(blank)"),"",VLOOKUP($B3724,'Email Marketing Raw Data'!$C:$O,6,0)),"")</f>
        <v/>
      </c>
      <c r="O3724" s="55" t="str">
        <f>IFERROR(IF(OR($B3724="",$B3724="(blank)"),"",VLOOKUP($B3724,'Email Marketing Raw Data'!$C:$O,7,0)),"")</f>
        <v/>
      </c>
      <c r="P3724" s="55" t="str">
        <f>IFERROR(IF(OR($B3724="",$B3724="(blank)"),"",VLOOKUP($B3724,'Email Marketing Raw Data'!$C:$O,8,0)),"")</f>
        <v/>
      </c>
      <c r="Q3724" s="62" t="str">
        <f>IFERROR(IF(OR($B3724="",$B3724="(blank)"),"",VLOOKUP($B3724,'Email Marketing Raw Data'!$C:$O,9,0)),"")</f>
        <v/>
      </c>
    </row>
    <row r="3725" spans="4:17" ht="12.75" customHeight="1" x14ac:dyDescent="0.2">
      <c r="D3725" s="58" t="str">
        <f>IFERROR(IF(F3725&lt;&gt;"pending","",IF(OR($B3725="",$B3725="(blank)"),"",VLOOKUP($B3725,'Email Marketing Raw Data'!$C:$O,10,0))),"")</f>
        <v/>
      </c>
      <c r="E3725" s="59" t="str">
        <f>IFERROR(IF(F3725&lt;&gt;"pending","",IF(OR($B3725="",$B3725="(blank)"),"",VLOOKUP($B3725,'Email Marketing Raw Data'!$C:$O,11,0))),"")</f>
        <v/>
      </c>
      <c r="F3725" s="54" t="str">
        <f>IFERROR(IF(OR($B3725="",$B3725="(blank)"),"",VLOOKUP($B3725,'Email Marketing Raw Data'!$C:$O,13,0)),"")</f>
        <v/>
      </c>
      <c r="G3725" s="55" t="str">
        <f>IFERROR(IF(OR($B3725="",$B3725="(blank)"),"",VLOOKUP($B3725,'Email Marketing Raw Data'!$C:$O,4,0)),"")</f>
        <v/>
      </c>
      <c r="H3725" s="55" t="str">
        <f>IFERROR(IF(OR($B3725="",$B3725="(blank)"),"",VLOOKUP($B3725,'Email Marketing Raw Data'!$C:$O,5,0)),"")</f>
        <v/>
      </c>
      <c r="I3725" s="55" t="str">
        <f>IFERROR(IF($G3725="","",VLOOKUP('Dashboard And Emails Automate'!$G3725,Database!$H:$N,3,0)),"")</f>
        <v/>
      </c>
      <c r="J3725" s="55" t="str">
        <f>IFERROR(IF($G3725="","",VLOOKUP('Dashboard And Emails Automate'!$G3725,Database!$H:$N,4,0)),"")</f>
        <v/>
      </c>
      <c r="K3725" s="55" t="str">
        <f>IFERROR(IF($G3725="","",VLOOKUP('Dashboard And Emails Automate'!$G3725,Database!$H:$N,5,0)),"")</f>
        <v/>
      </c>
      <c r="L3725" s="55" t="str">
        <f>IFERROR(IF($G3725="","",VLOOKUP('Dashboard And Emails Automate'!$G3725,Database!$H:$N,6,0)),"")</f>
        <v/>
      </c>
      <c r="M3725" s="55" t="str">
        <f>IFERROR(IF($G3725="","",VLOOKUP('Dashboard And Emails Automate'!$G3725,Database!$H:$N,7,0)),"")</f>
        <v/>
      </c>
      <c r="N3725" s="55" t="str">
        <f>IFERROR(IF(OR($B3725="",$B3725="(blank)"),"",VLOOKUP($B3725,'Email Marketing Raw Data'!$C:$O,6,0)),"")</f>
        <v/>
      </c>
      <c r="O3725" s="55" t="str">
        <f>IFERROR(IF(OR($B3725="",$B3725="(blank)"),"",VLOOKUP($B3725,'Email Marketing Raw Data'!$C:$O,7,0)),"")</f>
        <v/>
      </c>
      <c r="P3725" s="55" t="str">
        <f>IFERROR(IF(OR($B3725="",$B3725="(blank)"),"",VLOOKUP($B3725,'Email Marketing Raw Data'!$C:$O,8,0)),"")</f>
        <v/>
      </c>
      <c r="Q3725" s="62" t="str">
        <f>IFERROR(IF(OR($B3725="",$B3725="(blank)"),"",VLOOKUP($B3725,'Email Marketing Raw Data'!$C:$O,9,0)),"")</f>
        <v/>
      </c>
    </row>
    <row r="3726" spans="4:17" ht="12.75" customHeight="1" x14ac:dyDescent="0.2">
      <c r="D3726" s="58" t="str">
        <f>IFERROR(IF(F3726&lt;&gt;"pending","",IF(OR($B3726="",$B3726="(blank)"),"",VLOOKUP($B3726,'Email Marketing Raw Data'!$C:$O,10,0))),"")</f>
        <v/>
      </c>
      <c r="E3726" s="59" t="str">
        <f>IFERROR(IF(F3726&lt;&gt;"pending","",IF(OR($B3726="",$B3726="(blank)"),"",VLOOKUP($B3726,'Email Marketing Raw Data'!$C:$O,11,0))),"")</f>
        <v/>
      </c>
      <c r="F3726" s="54" t="str">
        <f>IFERROR(IF(OR($B3726="",$B3726="(blank)"),"",VLOOKUP($B3726,'Email Marketing Raw Data'!$C:$O,13,0)),"")</f>
        <v/>
      </c>
      <c r="G3726" s="55" t="str">
        <f>IFERROR(IF(OR($B3726="",$B3726="(blank)"),"",VLOOKUP($B3726,'Email Marketing Raw Data'!$C:$O,4,0)),"")</f>
        <v/>
      </c>
      <c r="H3726" s="55" t="str">
        <f>IFERROR(IF(OR($B3726="",$B3726="(blank)"),"",VLOOKUP($B3726,'Email Marketing Raw Data'!$C:$O,5,0)),"")</f>
        <v/>
      </c>
      <c r="I3726" s="55" t="str">
        <f>IFERROR(IF($G3726="","",VLOOKUP('Dashboard And Emails Automate'!$G3726,Database!$H:$N,3,0)),"")</f>
        <v/>
      </c>
      <c r="J3726" s="55" t="str">
        <f>IFERROR(IF($G3726="","",VLOOKUP('Dashboard And Emails Automate'!$G3726,Database!$H:$N,4,0)),"")</f>
        <v/>
      </c>
      <c r="K3726" s="55" t="str">
        <f>IFERROR(IF($G3726="","",VLOOKUP('Dashboard And Emails Automate'!$G3726,Database!$H:$N,5,0)),"")</f>
        <v/>
      </c>
      <c r="L3726" s="55" t="str">
        <f>IFERROR(IF($G3726="","",VLOOKUP('Dashboard And Emails Automate'!$G3726,Database!$H:$N,6,0)),"")</f>
        <v/>
      </c>
      <c r="M3726" s="55" t="str">
        <f>IFERROR(IF($G3726="","",VLOOKUP('Dashboard And Emails Automate'!$G3726,Database!$H:$N,7,0)),"")</f>
        <v/>
      </c>
      <c r="N3726" s="55" t="str">
        <f>IFERROR(IF(OR($B3726="",$B3726="(blank)"),"",VLOOKUP($B3726,'Email Marketing Raw Data'!$C:$O,6,0)),"")</f>
        <v/>
      </c>
      <c r="O3726" s="55" t="str">
        <f>IFERROR(IF(OR($B3726="",$B3726="(blank)"),"",VLOOKUP($B3726,'Email Marketing Raw Data'!$C:$O,7,0)),"")</f>
        <v/>
      </c>
      <c r="P3726" s="55" t="str">
        <f>IFERROR(IF(OR($B3726="",$B3726="(blank)"),"",VLOOKUP($B3726,'Email Marketing Raw Data'!$C:$O,8,0)),"")</f>
        <v/>
      </c>
      <c r="Q3726" s="62" t="str">
        <f>IFERROR(IF(OR($B3726="",$B3726="(blank)"),"",VLOOKUP($B3726,'Email Marketing Raw Data'!$C:$O,9,0)),"")</f>
        <v/>
      </c>
    </row>
    <row r="3727" spans="4:17" ht="12.75" customHeight="1" x14ac:dyDescent="0.2">
      <c r="D3727" s="58" t="str">
        <f>IFERROR(IF(F3727&lt;&gt;"pending","",IF(OR($B3727="",$B3727="(blank)"),"",VLOOKUP($B3727,'Email Marketing Raw Data'!$C:$O,10,0))),"")</f>
        <v/>
      </c>
      <c r="E3727" s="59" t="str">
        <f>IFERROR(IF(F3727&lt;&gt;"pending","",IF(OR($B3727="",$B3727="(blank)"),"",VLOOKUP($B3727,'Email Marketing Raw Data'!$C:$O,11,0))),"")</f>
        <v/>
      </c>
      <c r="F3727" s="54" t="str">
        <f>IFERROR(IF(OR($B3727="",$B3727="(blank)"),"",VLOOKUP($B3727,'Email Marketing Raw Data'!$C:$O,13,0)),"")</f>
        <v/>
      </c>
      <c r="G3727" s="55" t="str">
        <f>IFERROR(IF(OR($B3727="",$B3727="(blank)"),"",VLOOKUP($B3727,'Email Marketing Raw Data'!$C:$O,4,0)),"")</f>
        <v/>
      </c>
      <c r="H3727" s="55" t="str">
        <f>IFERROR(IF(OR($B3727="",$B3727="(blank)"),"",VLOOKUP($B3727,'Email Marketing Raw Data'!$C:$O,5,0)),"")</f>
        <v/>
      </c>
      <c r="I3727" s="55" t="str">
        <f>IFERROR(IF($G3727="","",VLOOKUP('Dashboard And Emails Automate'!$G3727,Database!$H:$N,3,0)),"")</f>
        <v/>
      </c>
      <c r="J3727" s="55" t="str">
        <f>IFERROR(IF($G3727="","",VLOOKUP('Dashboard And Emails Automate'!$G3727,Database!$H:$N,4,0)),"")</f>
        <v/>
      </c>
      <c r="K3727" s="55" t="str">
        <f>IFERROR(IF($G3727="","",VLOOKUP('Dashboard And Emails Automate'!$G3727,Database!$H:$N,5,0)),"")</f>
        <v/>
      </c>
      <c r="L3727" s="55" t="str">
        <f>IFERROR(IF($G3727="","",VLOOKUP('Dashboard And Emails Automate'!$G3727,Database!$H:$N,6,0)),"")</f>
        <v/>
      </c>
      <c r="M3727" s="55" t="str">
        <f>IFERROR(IF($G3727="","",VLOOKUP('Dashboard And Emails Automate'!$G3727,Database!$H:$N,7,0)),"")</f>
        <v/>
      </c>
      <c r="N3727" s="55" t="str">
        <f>IFERROR(IF(OR($B3727="",$B3727="(blank)"),"",VLOOKUP($B3727,'Email Marketing Raw Data'!$C:$O,6,0)),"")</f>
        <v/>
      </c>
      <c r="O3727" s="55" t="str">
        <f>IFERROR(IF(OR($B3727="",$B3727="(blank)"),"",VLOOKUP($B3727,'Email Marketing Raw Data'!$C:$O,7,0)),"")</f>
        <v/>
      </c>
      <c r="P3727" s="55" t="str">
        <f>IFERROR(IF(OR($B3727="",$B3727="(blank)"),"",VLOOKUP($B3727,'Email Marketing Raw Data'!$C:$O,8,0)),"")</f>
        <v/>
      </c>
      <c r="Q3727" s="62" t="str">
        <f>IFERROR(IF(OR($B3727="",$B3727="(blank)"),"",VLOOKUP($B3727,'Email Marketing Raw Data'!$C:$O,9,0)),"")</f>
        <v/>
      </c>
    </row>
    <row r="3728" spans="4:17" ht="12.75" customHeight="1" x14ac:dyDescent="0.2">
      <c r="D3728" s="58" t="str">
        <f>IFERROR(IF(F3728&lt;&gt;"pending","",IF(OR($B3728="",$B3728="(blank)"),"",VLOOKUP($B3728,'Email Marketing Raw Data'!$C:$O,10,0))),"")</f>
        <v/>
      </c>
      <c r="E3728" s="59" t="str">
        <f>IFERROR(IF(F3728&lt;&gt;"pending","",IF(OR($B3728="",$B3728="(blank)"),"",VLOOKUP($B3728,'Email Marketing Raw Data'!$C:$O,11,0))),"")</f>
        <v/>
      </c>
      <c r="F3728" s="54" t="str">
        <f>IFERROR(IF(OR($B3728="",$B3728="(blank)"),"",VLOOKUP($B3728,'Email Marketing Raw Data'!$C:$O,13,0)),"")</f>
        <v/>
      </c>
      <c r="G3728" s="55" t="str">
        <f>IFERROR(IF(OR($B3728="",$B3728="(blank)"),"",VLOOKUP($B3728,'Email Marketing Raw Data'!$C:$O,4,0)),"")</f>
        <v/>
      </c>
      <c r="H3728" s="55" t="str">
        <f>IFERROR(IF(OR($B3728="",$B3728="(blank)"),"",VLOOKUP($B3728,'Email Marketing Raw Data'!$C:$O,5,0)),"")</f>
        <v/>
      </c>
      <c r="I3728" s="55" t="str">
        <f>IFERROR(IF($G3728="","",VLOOKUP('Dashboard And Emails Automate'!$G3728,Database!$H:$N,3,0)),"")</f>
        <v/>
      </c>
      <c r="J3728" s="55" t="str">
        <f>IFERROR(IF($G3728="","",VLOOKUP('Dashboard And Emails Automate'!$G3728,Database!$H:$N,4,0)),"")</f>
        <v/>
      </c>
      <c r="K3728" s="55" t="str">
        <f>IFERROR(IF($G3728="","",VLOOKUP('Dashboard And Emails Automate'!$G3728,Database!$H:$N,5,0)),"")</f>
        <v/>
      </c>
      <c r="L3728" s="55" t="str">
        <f>IFERROR(IF($G3728="","",VLOOKUP('Dashboard And Emails Automate'!$G3728,Database!$H:$N,6,0)),"")</f>
        <v/>
      </c>
      <c r="M3728" s="55" t="str">
        <f>IFERROR(IF($G3728="","",VLOOKUP('Dashboard And Emails Automate'!$G3728,Database!$H:$N,7,0)),"")</f>
        <v/>
      </c>
      <c r="N3728" s="55" t="str">
        <f>IFERROR(IF(OR($B3728="",$B3728="(blank)"),"",VLOOKUP($B3728,'Email Marketing Raw Data'!$C:$O,6,0)),"")</f>
        <v/>
      </c>
      <c r="O3728" s="55" t="str">
        <f>IFERROR(IF(OR($B3728="",$B3728="(blank)"),"",VLOOKUP($B3728,'Email Marketing Raw Data'!$C:$O,7,0)),"")</f>
        <v/>
      </c>
      <c r="P3728" s="55" t="str">
        <f>IFERROR(IF(OR($B3728="",$B3728="(blank)"),"",VLOOKUP($B3728,'Email Marketing Raw Data'!$C:$O,8,0)),"")</f>
        <v/>
      </c>
      <c r="Q3728" s="62" t="str">
        <f>IFERROR(IF(OR($B3728="",$B3728="(blank)"),"",VLOOKUP($B3728,'Email Marketing Raw Data'!$C:$O,9,0)),"")</f>
        <v/>
      </c>
    </row>
    <row r="3729" spans="4:17" ht="12.75" customHeight="1" x14ac:dyDescent="0.2">
      <c r="D3729" s="58" t="str">
        <f>IFERROR(IF(F3729&lt;&gt;"pending","",IF(OR($B3729="",$B3729="(blank)"),"",VLOOKUP($B3729,'Email Marketing Raw Data'!$C:$O,10,0))),"")</f>
        <v/>
      </c>
      <c r="E3729" s="59" t="str">
        <f>IFERROR(IF(F3729&lt;&gt;"pending","",IF(OR($B3729="",$B3729="(blank)"),"",VLOOKUP($B3729,'Email Marketing Raw Data'!$C:$O,11,0))),"")</f>
        <v/>
      </c>
      <c r="F3729" s="54" t="str">
        <f>IFERROR(IF(OR($B3729="",$B3729="(blank)"),"",VLOOKUP($B3729,'Email Marketing Raw Data'!$C:$O,13,0)),"")</f>
        <v/>
      </c>
      <c r="G3729" s="55" t="str">
        <f>IFERROR(IF(OR($B3729="",$B3729="(blank)"),"",VLOOKUP($B3729,'Email Marketing Raw Data'!$C:$O,4,0)),"")</f>
        <v/>
      </c>
      <c r="H3729" s="55" t="str">
        <f>IFERROR(IF(OR($B3729="",$B3729="(blank)"),"",VLOOKUP($B3729,'Email Marketing Raw Data'!$C:$O,5,0)),"")</f>
        <v/>
      </c>
      <c r="I3729" s="55" t="str">
        <f>IFERROR(IF($G3729="","",VLOOKUP('Dashboard And Emails Automate'!$G3729,Database!$H:$N,3,0)),"")</f>
        <v/>
      </c>
      <c r="J3729" s="55" t="str">
        <f>IFERROR(IF($G3729="","",VLOOKUP('Dashboard And Emails Automate'!$G3729,Database!$H:$N,4,0)),"")</f>
        <v/>
      </c>
      <c r="K3729" s="55" t="str">
        <f>IFERROR(IF($G3729="","",VLOOKUP('Dashboard And Emails Automate'!$G3729,Database!$H:$N,5,0)),"")</f>
        <v/>
      </c>
      <c r="L3729" s="55" t="str">
        <f>IFERROR(IF($G3729="","",VLOOKUP('Dashboard And Emails Automate'!$G3729,Database!$H:$N,6,0)),"")</f>
        <v/>
      </c>
      <c r="M3729" s="55" t="str">
        <f>IFERROR(IF($G3729="","",VLOOKUP('Dashboard And Emails Automate'!$G3729,Database!$H:$N,7,0)),"")</f>
        <v/>
      </c>
      <c r="N3729" s="55" t="str">
        <f>IFERROR(IF(OR($B3729="",$B3729="(blank)"),"",VLOOKUP($B3729,'Email Marketing Raw Data'!$C:$O,6,0)),"")</f>
        <v/>
      </c>
      <c r="O3729" s="55" t="str">
        <f>IFERROR(IF(OR($B3729="",$B3729="(blank)"),"",VLOOKUP($B3729,'Email Marketing Raw Data'!$C:$O,7,0)),"")</f>
        <v/>
      </c>
      <c r="P3729" s="55" t="str">
        <f>IFERROR(IF(OR($B3729="",$B3729="(blank)"),"",VLOOKUP($B3729,'Email Marketing Raw Data'!$C:$O,8,0)),"")</f>
        <v/>
      </c>
      <c r="Q3729" s="62" t="str">
        <f>IFERROR(IF(OR($B3729="",$B3729="(blank)"),"",VLOOKUP($B3729,'Email Marketing Raw Data'!$C:$O,9,0)),"")</f>
        <v/>
      </c>
    </row>
    <row r="3730" spans="4:17" ht="12.75" customHeight="1" x14ac:dyDescent="0.2">
      <c r="D3730" s="58" t="str">
        <f>IFERROR(IF(F3730&lt;&gt;"pending","",IF(OR($B3730="",$B3730="(blank)"),"",VLOOKUP($B3730,'Email Marketing Raw Data'!$C:$O,10,0))),"")</f>
        <v/>
      </c>
      <c r="E3730" s="59" t="str">
        <f>IFERROR(IF(F3730&lt;&gt;"pending","",IF(OR($B3730="",$B3730="(blank)"),"",VLOOKUP($B3730,'Email Marketing Raw Data'!$C:$O,11,0))),"")</f>
        <v/>
      </c>
      <c r="F3730" s="54" t="str">
        <f>IFERROR(IF(OR($B3730="",$B3730="(blank)"),"",VLOOKUP($B3730,'Email Marketing Raw Data'!$C:$O,13,0)),"")</f>
        <v/>
      </c>
      <c r="G3730" s="55" t="str">
        <f>IFERROR(IF(OR($B3730="",$B3730="(blank)"),"",VLOOKUP($B3730,'Email Marketing Raw Data'!$C:$O,4,0)),"")</f>
        <v/>
      </c>
      <c r="H3730" s="55" t="str">
        <f>IFERROR(IF(OR($B3730="",$B3730="(blank)"),"",VLOOKUP($B3730,'Email Marketing Raw Data'!$C:$O,5,0)),"")</f>
        <v/>
      </c>
      <c r="I3730" s="55" t="str">
        <f>IFERROR(IF($G3730="","",VLOOKUP('Dashboard And Emails Automate'!$G3730,Database!$H:$N,3,0)),"")</f>
        <v/>
      </c>
      <c r="J3730" s="55" t="str">
        <f>IFERROR(IF($G3730="","",VLOOKUP('Dashboard And Emails Automate'!$G3730,Database!$H:$N,4,0)),"")</f>
        <v/>
      </c>
      <c r="K3730" s="55" t="str">
        <f>IFERROR(IF($G3730="","",VLOOKUP('Dashboard And Emails Automate'!$G3730,Database!$H:$N,5,0)),"")</f>
        <v/>
      </c>
      <c r="L3730" s="55" t="str">
        <f>IFERROR(IF($G3730="","",VLOOKUP('Dashboard And Emails Automate'!$G3730,Database!$H:$N,6,0)),"")</f>
        <v/>
      </c>
      <c r="M3730" s="55" t="str">
        <f>IFERROR(IF($G3730="","",VLOOKUP('Dashboard And Emails Automate'!$G3730,Database!$H:$N,7,0)),"")</f>
        <v/>
      </c>
      <c r="N3730" s="55" t="str">
        <f>IFERROR(IF(OR($B3730="",$B3730="(blank)"),"",VLOOKUP($B3730,'Email Marketing Raw Data'!$C:$O,6,0)),"")</f>
        <v/>
      </c>
      <c r="O3730" s="55" t="str">
        <f>IFERROR(IF(OR($B3730="",$B3730="(blank)"),"",VLOOKUP($B3730,'Email Marketing Raw Data'!$C:$O,7,0)),"")</f>
        <v/>
      </c>
      <c r="P3730" s="55" t="str">
        <f>IFERROR(IF(OR($B3730="",$B3730="(blank)"),"",VLOOKUP($B3730,'Email Marketing Raw Data'!$C:$O,8,0)),"")</f>
        <v/>
      </c>
      <c r="Q3730" s="62" t="str">
        <f>IFERROR(IF(OR($B3730="",$B3730="(blank)"),"",VLOOKUP($B3730,'Email Marketing Raw Data'!$C:$O,9,0)),"")</f>
        <v/>
      </c>
    </row>
    <row r="3731" spans="4:17" ht="12.75" customHeight="1" x14ac:dyDescent="0.2">
      <c r="D3731" s="58" t="str">
        <f>IFERROR(IF(F3731&lt;&gt;"pending","",IF(OR($B3731="",$B3731="(blank)"),"",VLOOKUP($B3731,'Email Marketing Raw Data'!$C:$O,10,0))),"")</f>
        <v/>
      </c>
      <c r="E3731" s="59" t="str">
        <f>IFERROR(IF(F3731&lt;&gt;"pending","",IF(OR($B3731="",$B3731="(blank)"),"",VLOOKUP($B3731,'Email Marketing Raw Data'!$C:$O,11,0))),"")</f>
        <v/>
      </c>
      <c r="F3731" s="54" t="str">
        <f>IFERROR(IF(OR($B3731="",$B3731="(blank)"),"",VLOOKUP($B3731,'Email Marketing Raw Data'!$C:$O,13,0)),"")</f>
        <v/>
      </c>
      <c r="G3731" s="55" t="str">
        <f>IFERROR(IF(OR($B3731="",$B3731="(blank)"),"",VLOOKUP($B3731,'Email Marketing Raw Data'!$C:$O,4,0)),"")</f>
        <v/>
      </c>
      <c r="H3731" s="55" t="str">
        <f>IFERROR(IF(OR($B3731="",$B3731="(blank)"),"",VLOOKUP($B3731,'Email Marketing Raw Data'!$C:$O,5,0)),"")</f>
        <v/>
      </c>
      <c r="I3731" s="55" t="str">
        <f>IFERROR(IF($G3731="","",VLOOKUP('Dashboard And Emails Automate'!$G3731,Database!$H:$N,3,0)),"")</f>
        <v/>
      </c>
      <c r="J3731" s="55" t="str">
        <f>IFERROR(IF($G3731="","",VLOOKUP('Dashboard And Emails Automate'!$G3731,Database!$H:$N,4,0)),"")</f>
        <v/>
      </c>
      <c r="K3731" s="55" t="str">
        <f>IFERROR(IF($G3731="","",VLOOKUP('Dashboard And Emails Automate'!$G3731,Database!$H:$N,5,0)),"")</f>
        <v/>
      </c>
      <c r="L3731" s="55" t="str">
        <f>IFERROR(IF($G3731="","",VLOOKUP('Dashboard And Emails Automate'!$G3731,Database!$H:$N,6,0)),"")</f>
        <v/>
      </c>
      <c r="M3731" s="55" t="str">
        <f>IFERROR(IF($G3731="","",VLOOKUP('Dashboard And Emails Automate'!$G3731,Database!$H:$N,7,0)),"")</f>
        <v/>
      </c>
      <c r="N3731" s="55" t="str">
        <f>IFERROR(IF(OR($B3731="",$B3731="(blank)"),"",VLOOKUP($B3731,'Email Marketing Raw Data'!$C:$O,6,0)),"")</f>
        <v/>
      </c>
      <c r="O3731" s="55" t="str">
        <f>IFERROR(IF(OR($B3731="",$B3731="(blank)"),"",VLOOKUP($B3731,'Email Marketing Raw Data'!$C:$O,7,0)),"")</f>
        <v/>
      </c>
      <c r="P3731" s="55" t="str">
        <f>IFERROR(IF(OR($B3731="",$B3731="(blank)"),"",VLOOKUP($B3731,'Email Marketing Raw Data'!$C:$O,8,0)),"")</f>
        <v/>
      </c>
      <c r="Q3731" s="62" t="str">
        <f>IFERROR(IF(OR($B3731="",$B3731="(blank)"),"",VLOOKUP($B3731,'Email Marketing Raw Data'!$C:$O,9,0)),"")</f>
        <v/>
      </c>
    </row>
    <row r="3732" spans="4:17" ht="12.75" customHeight="1" x14ac:dyDescent="0.2">
      <c r="D3732" s="58" t="str">
        <f>IFERROR(IF(F3732&lt;&gt;"pending","",IF(OR($B3732="",$B3732="(blank)"),"",VLOOKUP($B3732,'Email Marketing Raw Data'!$C:$O,10,0))),"")</f>
        <v/>
      </c>
      <c r="E3732" s="59" t="str">
        <f>IFERROR(IF(F3732&lt;&gt;"pending","",IF(OR($B3732="",$B3732="(blank)"),"",VLOOKUP($B3732,'Email Marketing Raw Data'!$C:$O,11,0))),"")</f>
        <v/>
      </c>
      <c r="F3732" s="54" t="str">
        <f>IFERROR(IF(OR($B3732="",$B3732="(blank)"),"",VLOOKUP($B3732,'Email Marketing Raw Data'!$C:$O,13,0)),"")</f>
        <v/>
      </c>
      <c r="G3732" s="55" t="str">
        <f>IFERROR(IF(OR($B3732="",$B3732="(blank)"),"",VLOOKUP($B3732,'Email Marketing Raw Data'!$C:$O,4,0)),"")</f>
        <v/>
      </c>
      <c r="H3732" s="55" t="str">
        <f>IFERROR(IF(OR($B3732="",$B3732="(blank)"),"",VLOOKUP($B3732,'Email Marketing Raw Data'!$C:$O,5,0)),"")</f>
        <v/>
      </c>
      <c r="I3732" s="55" t="str">
        <f>IFERROR(IF($G3732="","",VLOOKUP('Dashboard And Emails Automate'!$G3732,Database!$H:$N,3,0)),"")</f>
        <v/>
      </c>
      <c r="J3732" s="55" t="str">
        <f>IFERROR(IF($G3732="","",VLOOKUP('Dashboard And Emails Automate'!$G3732,Database!$H:$N,4,0)),"")</f>
        <v/>
      </c>
      <c r="K3732" s="55" t="str">
        <f>IFERROR(IF($G3732="","",VLOOKUP('Dashboard And Emails Automate'!$G3732,Database!$H:$N,5,0)),"")</f>
        <v/>
      </c>
      <c r="L3732" s="55" t="str">
        <f>IFERROR(IF($G3732="","",VLOOKUP('Dashboard And Emails Automate'!$G3732,Database!$H:$N,6,0)),"")</f>
        <v/>
      </c>
      <c r="M3732" s="55" t="str">
        <f>IFERROR(IF($G3732="","",VLOOKUP('Dashboard And Emails Automate'!$G3732,Database!$H:$N,7,0)),"")</f>
        <v/>
      </c>
      <c r="N3732" s="55" t="str">
        <f>IFERROR(IF(OR($B3732="",$B3732="(blank)"),"",VLOOKUP($B3732,'Email Marketing Raw Data'!$C:$O,6,0)),"")</f>
        <v/>
      </c>
      <c r="O3732" s="55" t="str">
        <f>IFERROR(IF(OR($B3732="",$B3732="(blank)"),"",VLOOKUP($B3732,'Email Marketing Raw Data'!$C:$O,7,0)),"")</f>
        <v/>
      </c>
      <c r="P3732" s="55" t="str">
        <f>IFERROR(IF(OR($B3732="",$B3732="(blank)"),"",VLOOKUP($B3732,'Email Marketing Raw Data'!$C:$O,8,0)),"")</f>
        <v/>
      </c>
      <c r="Q3732" s="62" t="str">
        <f>IFERROR(IF(OR($B3732="",$B3732="(blank)"),"",VLOOKUP($B3732,'Email Marketing Raw Data'!$C:$O,9,0)),"")</f>
        <v/>
      </c>
    </row>
    <row r="3733" spans="4:17" ht="12.75" customHeight="1" x14ac:dyDescent="0.2">
      <c r="D3733" s="58" t="str">
        <f>IFERROR(IF(F3733&lt;&gt;"pending","",IF(OR($B3733="",$B3733="(blank)"),"",VLOOKUP($B3733,'Email Marketing Raw Data'!$C:$O,10,0))),"")</f>
        <v/>
      </c>
      <c r="E3733" s="59" t="str">
        <f>IFERROR(IF(F3733&lt;&gt;"pending","",IF(OR($B3733="",$B3733="(blank)"),"",VLOOKUP($B3733,'Email Marketing Raw Data'!$C:$O,11,0))),"")</f>
        <v/>
      </c>
      <c r="F3733" s="54" t="str">
        <f>IFERROR(IF(OR($B3733="",$B3733="(blank)"),"",VLOOKUP($B3733,'Email Marketing Raw Data'!$C:$O,13,0)),"")</f>
        <v/>
      </c>
      <c r="G3733" s="55" t="str">
        <f>IFERROR(IF(OR($B3733="",$B3733="(blank)"),"",VLOOKUP($B3733,'Email Marketing Raw Data'!$C:$O,4,0)),"")</f>
        <v/>
      </c>
      <c r="H3733" s="55" t="str">
        <f>IFERROR(IF(OR($B3733="",$B3733="(blank)"),"",VLOOKUP($B3733,'Email Marketing Raw Data'!$C:$O,5,0)),"")</f>
        <v/>
      </c>
      <c r="I3733" s="55" t="str">
        <f>IFERROR(IF($G3733="","",VLOOKUP('Dashboard And Emails Automate'!$G3733,Database!$H:$N,3,0)),"")</f>
        <v/>
      </c>
      <c r="J3733" s="55" t="str">
        <f>IFERROR(IF($G3733="","",VLOOKUP('Dashboard And Emails Automate'!$G3733,Database!$H:$N,4,0)),"")</f>
        <v/>
      </c>
      <c r="K3733" s="55" t="str">
        <f>IFERROR(IF($G3733="","",VLOOKUP('Dashboard And Emails Automate'!$G3733,Database!$H:$N,5,0)),"")</f>
        <v/>
      </c>
      <c r="L3733" s="55" t="str">
        <f>IFERROR(IF($G3733="","",VLOOKUP('Dashboard And Emails Automate'!$G3733,Database!$H:$N,6,0)),"")</f>
        <v/>
      </c>
      <c r="M3733" s="55" t="str">
        <f>IFERROR(IF($G3733="","",VLOOKUP('Dashboard And Emails Automate'!$G3733,Database!$H:$N,7,0)),"")</f>
        <v/>
      </c>
      <c r="N3733" s="55" t="str">
        <f>IFERROR(IF(OR($B3733="",$B3733="(blank)"),"",VLOOKUP($B3733,'Email Marketing Raw Data'!$C:$O,6,0)),"")</f>
        <v/>
      </c>
      <c r="O3733" s="55" t="str">
        <f>IFERROR(IF(OR($B3733="",$B3733="(blank)"),"",VLOOKUP($B3733,'Email Marketing Raw Data'!$C:$O,7,0)),"")</f>
        <v/>
      </c>
      <c r="P3733" s="55" t="str">
        <f>IFERROR(IF(OR($B3733="",$B3733="(blank)"),"",VLOOKUP($B3733,'Email Marketing Raw Data'!$C:$O,8,0)),"")</f>
        <v/>
      </c>
      <c r="Q3733" s="62" t="str">
        <f>IFERROR(IF(OR($B3733="",$B3733="(blank)"),"",VLOOKUP($B3733,'Email Marketing Raw Data'!$C:$O,9,0)),"")</f>
        <v/>
      </c>
    </row>
    <row r="3734" spans="4:17" ht="12.75" customHeight="1" x14ac:dyDescent="0.2">
      <c r="D3734" s="58" t="str">
        <f>IFERROR(IF(F3734&lt;&gt;"pending","",IF(OR($B3734="",$B3734="(blank)"),"",VLOOKUP($B3734,'Email Marketing Raw Data'!$C:$O,10,0))),"")</f>
        <v/>
      </c>
      <c r="E3734" s="59" t="str">
        <f>IFERROR(IF(F3734&lt;&gt;"pending","",IF(OR($B3734="",$B3734="(blank)"),"",VLOOKUP($B3734,'Email Marketing Raw Data'!$C:$O,11,0))),"")</f>
        <v/>
      </c>
      <c r="F3734" s="54" t="str">
        <f>IFERROR(IF(OR($B3734="",$B3734="(blank)"),"",VLOOKUP($B3734,'Email Marketing Raw Data'!$C:$O,13,0)),"")</f>
        <v/>
      </c>
      <c r="G3734" s="55" t="str">
        <f>IFERROR(IF(OR($B3734="",$B3734="(blank)"),"",VLOOKUP($B3734,'Email Marketing Raw Data'!$C:$O,4,0)),"")</f>
        <v/>
      </c>
      <c r="H3734" s="55" t="str">
        <f>IFERROR(IF(OR($B3734="",$B3734="(blank)"),"",VLOOKUP($B3734,'Email Marketing Raw Data'!$C:$O,5,0)),"")</f>
        <v/>
      </c>
      <c r="I3734" s="55" t="str">
        <f>IFERROR(IF($G3734="","",VLOOKUP('Dashboard And Emails Automate'!$G3734,Database!$H:$N,3,0)),"")</f>
        <v/>
      </c>
      <c r="J3734" s="55" t="str">
        <f>IFERROR(IF($G3734="","",VLOOKUP('Dashboard And Emails Automate'!$G3734,Database!$H:$N,4,0)),"")</f>
        <v/>
      </c>
      <c r="K3734" s="55" t="str">
        <f>IFERROR(IF($G3734="","",VLOOKUP('Dashboard And Emails Automate'!$G3734,Database!$H:$N,5,0)),"")</f>
        <v/>
      </c>
      <c r="L3734" s="55" t="str">
        <f>IFERROR(IF($G3734="","",VLOOKUP('Dashboard And Emails Automate'!$G3734,Database!$H:$N,6,0)),"")</f>
        <v/>
      </c>
      <c r="M3734" s="55" t="str">
        <f>IFERROR(IF($G3734="","",VLOOKUP('Dashboard And Emails Automate'!$G3734,Database!$H:$N,7,0)),"")</f>
        <v/>
      </c>
      <c r="N3734" s="55" t="str">
        <f>IFERROR(IF(OR($B3734="",$B3734="(blank)"),"",VLOOKUP($B3734,'Email Marketing Raw Data'!$C:$O,6,0)),"")</f>
        <v/>
      </c>
      <c r="O3734" s="55" t="str">
        <f>IFERROR(IF(OR($B3734="",$B3734="(blank)"),"",VLOOKUP($B3734,'Email Marketing Raw Data'!$C:$O,7,0)),"")</f>
        <v/>
      </c>
      <c r="P3734" s="55" t="str">
        <f>IFERROR(IF(OR($B3734="",$B3734="(blank)"),"",VLOOKUP($B3734,'Email Marketing Raw Data'!$C:$O,8,0)),"")</f>
        <v/>
      </c>
      <c r="Q3734" s="62" t="str">
        <f>IFERROR(IF(OR($B3734="",$B3734="(blank)"),"",VLOOKUP($B3734,'Email Marketing Raw Data'!$C:$O,9,0)),"")</f>
        <v/>
      </c>
    </row>
    <row r="3735" spans="4:17" ht="12.75" customHeight="1" x14ac:dyDescent="0.2">
      <c r="D3735" s="58" t="str">
        <f>IFERROR(IF(F3735&lt;&gt;"pending","",IF(OR($B3735="",$B3735="(blank)"),"",VLOOKUP($B3735,'Email Marketing Raw Data'!$C:$O,10,0))),"")</f>
        <v/>
      </c>
      <c r="E3735" s="59" t="str">
        <f>IFERROR(IF(F3735&lt;&gt;"pending","",IF(OR($B3735="",$B3735="(blank)"),"",VLOOKUP($B3735,'Email Marketing Raw Data'!$C:$O,11,0))),"")</f>
        <v/>
      </c>
      <c r="F3735" s="54" t="str">
        <f>IFERROR(IF(OR($B3735="",$B3735="(blank)"),"",VLOOKUP($B3735,'Email Marketing Raw Data'!$C:$O,13,0)),"")</f>
        <v/>
      </c>
      <c r="G3735" s="55" t="str">
        <f>IFERROR(IF(OR($B3735="",$B3735="(blank)"),"",VLOOKUP($B3735,'Email Marketing Raw Data'!$C:$O,4,0)),"")</f>
        <v/>
      </c>
      <c r="H3735" s="55" t="str">
        <f>IFERROR(IF(OR($B3735="",$B3735="(blank)"),"",VLOOKUP($B3735,'Email Marketing Raw Data'!$C:$O,5,0)),"")</f>
        <v/>
      </c>
      <c r="I3735" s="55" t="str">
        <f>IFERROR(IF($G3735="","",VLOOKUP('Dashboard And Emails Automate'!$G3735,Database!$H:$N,3,0)),"")</f>
        <v/>
      </c>
      <c r="J3735" s="55" t="str">
        <f>IFERROR(IF($G3735="","",VLOOKUP('Dashboard And Emails Automate'!$G3735,Database!$H:$N,4,0)),"")</f>
        <v/>
      </c>
      <c r="K3735" s="55" t="str">
        <f>IFERROR(IF($G3735="","",VLOOKUP('Dashboard And Emails Automate'!$G3735,Database!$H:$N,5,0)),"")</f>
        <v/>
      </c>
      <c r="L3735" s="55" t="str">
        <f>IFERROR(IF($G3735="","",VLOOKUP('Dashboard And Emails Automate'!$G3735,Database!$H:$N,6,0)),"")</f>
        <v/>
      </c>
      <c r="M3735" s="55" t="str">
        <f>IFERROR(IF($G3735="","",VLOOKUP('Dashboard And Emails Automate'!$G3735,Database!$H:$N,7,0)),"")</f>
        <v/>
      </c>
      <c r="N3735" s="55" t="str">
        <f>IFERROR(IF(OR($B3735="",$B3735="(blank)"),"",VLOOKUP($B3735,'Email Marketing Raw Data'!$C:$O,6,0)),"")</f>
        <v/>
      </c>
      <c r="O3735" s="55" t="str">
        <f>IFERROR(IF(OR($B3735="",$B3735="(blank)"),"",VLOOKUP($B3735,'Email Marketing Raw Data'!$C:$O,7,0)),"")</f>
        <v/>
      </c>
      <c r="P3735" s="55" t="str">
        <f>IFERROR(IF(OR($B3735="",$B3735="(blank)"),"",VLOOKUP($B3735,'Email Marketing Raw Data'!$C:$O,8,0)),"")</f>
        <v/>
      </c>
      <c r="Q3735" s="62" t="str">
        <f>IFERROR(IF(OR($B3735="",$B3735="(blank)"),"",VLOOKUP($B3735,'Email Marketing Raw Data'!$C:$O,9,0)),"")</f>
        <v/>
      </c>
    </row>
    <row r="3736" spans="4:17" ht="12.75" customHeight="1" x14ac:dyDescent="0.2">
      <c r="D3736" s="58" t="str">
        <f>IFERROR(IF(F3736&lt;&gt;"pending","",IF(OR($B3736="",$B3736="(blank)"),"",VLOOKUP($B3736,'Email Marketing Raw Data'!$C:$O,10,0))),"")</f>
        <v/>
      </c>
      <c r="E3736" s="59" t="str">
        <f>IFERROR(IF(F3736&lt;&gt;"pending","",IF(OR($B3736="",$B3736="(blank)"),"",VLOOKUP($B3736,'Email Marketing Raw Data'!$C:$O,11,0))),"")</f>
        <v/>
      </c>
      <c r="F3736" s="54" t="str">
        <f>IFERROR(IF(OR($B3736="",$B3736="(blank)"),"",VLOOKUP($B3736,'Email Marketing Raw Data'!$C:$O,13,0)),"")</f>
        <v/>
      </c>
      <c r="G3736" s="55" t="str">
        <f>IFERROR(IF(OR($B3736="",$B3736="(blank)"),"",VLOOKUP($B3736,'Email Marketing Raw Data'!$C:$O,4,0)),"")</f>
        <v/>
      </c>
      <c r="H3736" s="55" t="str">
        <f>IFERROR(IF(OR($B3736="",$B3736="(blank)"),"",VLOOKUP($B3736,'Email Marketing Raw Data'!$C:$O,5,0)),"")</f>
        <v/>
      </c>
      <c r="I3736" s="55" t="str">
        <f>IFERROR(IF($G3736="","",VLOOKUP('Dashboard And Emails Automate'!$G3736,Database!$H:$N,3,0)),"")</f>
        <v/>
      </c>
      <c r="J3736" s="55" t="str">
        <f>IFERROR(IF($G3736="","",VLOOKUP('Dashboard And Emails Automate'!$G3736,Database!$H:$N,4,0)),"")</f>
        <v/>
      </c>
      <c r="K3736" s="55" t="str">
        <f>IFERROR(IF($G3736="","",VLOOKUP('Dashboard And Emails Automate'!$G3736,Database!$H:$N,5,0)),"")</f>
        <v/>
      </c>
      <c r="L3736" s="55" t="str">
        <f>IFERROR(IF($G3736="","",VLOOKUP('Dashboard And Emails Automate'!$G3736,Database!$H:$N,6,0)),"")</f>
        <v/>
      </c>
      <c r="M3736" s="55" t="str">
        <f>IFERROR(IF($G3736="","",VLOOKUP('Dashboard And Emails Automate'!$G3736,Database!$H:$N,7,0)),"")</f>
        <v/>
      </c>
      <c r="N3736" s="55" t="str">
        <f>IFERROR(IF(OR($B3736="",$B3736="(blank)"),"",VLOOKUP($B3736,'Email Marketing Raw Data'!$C:$O,6,0)),"")</f>
        <v/>
      </c>
      <c r="O3736" s="55" t="str">
        <f>IFERROR(IF(OR($B3736="",$B3736="(blank)"),"",VLOOKUP($B3736,'Email Marketing Raw Data'!$C:$O,7,0)),"")</f>
        <v/>
      </c>
      <c r="P3736" s="55" t="str">
        <f>IFERROR(IF(OR($B3736="",$B3736="(blank)"),"",VLOOKUP($B3736,'Email Marketing Raw Data'!$C:$O,8,0)),"")</f>
        <v/>
      </c>
      <c r="Q3736" s="62" t="str">
        <f>IFERROR(IF(OR($B3736="",$B3736="(blank)"),"",VLOOKUP($B3736,'Email Marketing Raw Data'!$C:$O,9,0)),"")</f>
        <v/>
      </c>
    </row>
    <row r="3737" spans="4:17" ht="12.75" customHeight="1" x14ac:dyDescent="0.2">
      <c r="D3737" s="58" t="str">
        <f>IFERROR(IF(F3737&lt;&gt;"pending","",IF(OR($B3737="",$B3737="(blank)"),"",VLOOKUP($B3737,'Email Marketing Raw Data'!$C:$O,10,0))),"")</f>
        <v/>
      </c>
      <c r="E3737" s="59" t="str">
        <f>IFERROR(IF(F3737&lt;&gt;"pending","",IF(OR($B3737="",$B3737="(blank)"),"",VLOOKUP($B3737,'Email Marketing Raw Data'!$C:$O,11,0))),"")</f>
        <v/>
      </c>
      <c r="F3737" s="54" t="str">
        <f>IFERROR(IF(OR($B3737="",$B3737="(blank)"),"",VLOOKUP($B3737,'Email Marketing Raw Data'!$C:$O,13,0)),"")</f>
        <v/>
      </c>
      <c r="G3737" s="55" t="str">
        <f>IFERROR(IF(OR($B3737="",$B3737="(blank)"),"",VLOOKUP($B3737,'Email Marketing Raw Data'!$C:$O,4,0)),"")</f>
        <v/>
      </c>
      <c r="H3737" s="55" t="str">
        <f>IFERROR(IF(OR($B3737="",$B3737="(blank)"),"",VLOOKUP($B3737,'Email Marketing Raw Data'!$C:$O,5,0)),"")</f>
        <v/>
      </c>
      <c r="I3737" s="55" t="str">
        <f>IFERROR(IF($G3737="","",VLOOKUP('Dashboard And Emails Automate'!$G3737,Database!$H:$N,3,0)),"")</f>
        <v/>
      </c>
      <c r="J3737" s="55" t="str">
        <f>IFERROR(IF($G3737="","",VLOOKUP('Dashboard And Emails Automate'!$G3737,Database!$H:$N,4,0)),"")</f>
        <v/>
      </c>
      <c r="K3737" s="55" t="str">
        <f>IFERROR(IF($G3737="","",VLOOKUP('Dashboard And Emails Automate'!$G3737,Database!$H:$N,5,0)),"")</f>
        <v/>
      </c>
      <c r="L3737" s="55" t="str">
        <f>IFERROR(IF($G3737="","",VLOOKUP('Dashboard And Emails Automate'!$G3737,Database!$H:$N,6,0)),"")</f>
        <v/>
      </c>
      <c r="M3737" s="55" t="str">
        <f>IFERROR(IF($G3737="","",VLOOKUP('Dashboard And Emails Automate'!$G3737,Database!$H:$N,7,0)),"")</f>
        <v/>
      </c>
      <c r="N3737" s="55" t="str">
        <f>IFERROR(IF(OR($B3737="",$B3737="(blank)"),"",VLOOKUP($B3737,'Email Marketing Raw Data'!$C:$O,6,0)),"")</f>
        <v/>
      </c>
      <c r="O3737" s="55" t="str">
        <f>IFERROR(IF(OR($B3737="",$B3737="(blank)"),"",VLOOKUP($B3737,'Email Marketing Raw Data'!$C:$O,7,0)),"")</f>
        <v/>
      </c>
      <c r="P3737" s="55" t="str">
        <f>IFERROR(IF(OR($B3737="",$B3737="(blank)"),"",VLOOKUP($B3737,'Email Marketing Raw Data'!$C:$O,8,0)),"")</f>
        <v/>
      </c>
      <c r="Q3737" s="62" t="str">
        <f>IFERROR(IF(OR($B3737="",$B3737="(blank)"),"",VLOOKUP($B3737,'Email Marketing Raw Data'!$C:$O,9,0)),"")</f>
        <v/>
      </c>
    </row>
    <row r="3738" spans="4:17" ht="12.75" customHeight="1" x14ac:dyDescent="0.2">
      <c r="D3738" s="58" t="str">
        <f>IFERROR(IF(F3738&lt;&gt;"pending","",IF(OR($B3738="",$B3738="(blank)"),"",VLOOKUP($B3738,'Email Marketing Raw Data'!$C:$O,10,0))),"")</f>
        <v/>
      </c>
      <c r="E3738" s="59" t="str">
        <f>IFERROR(IF(F3738&lt;&gt;"pending","",IF(OR($B3738="",$B3738="(blank)"),"",VLOOKUP($B3738,'Email Marketing Raw Data'!$C:$O,11,0))),"")</f>
        <v/>
      </c>
      <c r="F3738" s="54" t="str">
        <f>IFERROR(IF(OR($B3738="",$B3738="(blank)"),"",VLOOKUP($B3738,'Email Marketing Raw Data'!$C:$O,13,0)),"")</f>
        <v/>
      </c>
      <c r="G3738" s="55" t="str">
        <f>IFERROR(IF(OR($B3738="",$B3738="(blank)"),"",VLOOKUP($B3738,'Email Marketing Raw Data'!$C:$O,4,0)),"")</f>
        <v/>
      </c>
      <c r="H3738" s="55" t="str">
        <f>IFERROR(IF(OR($B3738="",$B3738="(blank)"),"",VLOOKUP($B3738,'Email Marketing Raw Data'!$C:$O,5,0)),"")</f>
        <v/>
      </c>
      <c r="I3738" s="55" t="str">
        <f>IFERROR(IF($G3738="","",VLOOKUP('Dashboard And Emails Automate'!$G3738,Database!$H:$N,3,0)),"")</f>
        <v/>
      </c>
      <c r="J3738" s="55" t="str">
        <f>IFERROR(IF($G3738="","",VLOOKUP('Dashboard And Emails Automate'!$G3738,Database!$H:$N,4,0)),"")</f>
        <v/>
      </c>
      <c r="K3738" s="55" t="str">
        <f>IFERROR(IF($G3738="","",VLOOKUP('Dashboard And Emails Automate'!$G3738,Database!$H:$N,5,0)),"")</f>
        <v/>
      </c>
      <c r="L3738" s="55" t="str">
        <f>IFERROR(IF($G3738="","",VLOOKUP('Dashboard And Emails Automate'!$G3738,Database!$H:$N,6,0)),"")</f>
        <v/>
      </c>
      <c r="M3738" s="55" t="str">
        <f>IFERROR(IF($G3738="","",VLOOKUP('Dashboard And Emails Automate'!$G3738,Database!$H:$N,7,0)),"")</f>
        <v/>
      </c>
      <c r="N3738" s="55" t="str">
        <f>IFERROR(IF(OR($B3738="",$B3738="(blank)"),"",VLOOKUP($B3738,'Email Marketing Raw Data'!$C:$O,6,0)),"")</f>
        <v/>
      </c>
      <c r="O3738" s="55" t="str">
        <f>IFERROR(IF(OR($B3738="",$B3738="(blank)"),"",VLOOKUP($B3738,'Email Marketing Raw Data'!$C:$O,7,0)),"")</f>
        <v/>
      </c>
      <c r="P3738" s="55" t="str">
        <f>IFERROR(IF(OR($B3738="",$B3738="(blank)"),"",VLOOKUP($B3738,'Email Marketing Raw Data'!$C:$O,8,0)),"")</f>
        <v/>
      </c>
      <c r="Q3738" s="62" t="str">
        <f>IFERROR(IF(OR($B3738="",$B3738="(blank)"),"",VLOOKUP($B3738,'Email Marketing Raw Data'!$C:$O,9,0)),"")</f>
        <v/>
      </c>
    </row>
    <row r="3739" spans="4:17" ht="12.75" customHeight="1" x14ac:dyDescent="0.2">
      <c r="D3739" s="58" t="str">
        <f>IFERROR(IF(F3739&lt;&gt;"pending","",IF(OR($B3739="",$B3739="(blank)"),"",VLOOKUP($B3739,'Email Marketing Raw Data'!$C:$O,10,0))),"")</f>
        <v/>
      </c>
      <c r="E3739" s="59" t="str">
        <f>IFERROR(IF(F3739&lt;&gt;"pending","",IF(OR($B3739="",$B3739="(blank)"),"",VLOOKUP($B3739,'Email Marketing Raw Data'!$C:$O,11,0))),"")</f>
        <v/>
      </c>
      <c r="F3739" s="54" t="str">
        <f>IFERROR(IF(OR($B3739="",$B3739="(blank)"),"",VLOOKUP($B3739,'Email Marketing Raw Data'!$C:$O,13,0)),"")</f>
        <v/>
      </c>
      <c r="G3739" s="55" t="str">
        <f>IFERROR(IF(OR($B3739="",$B3739="(blank)"),"",VLOOKUP($B3739,'Email Marketing Raw Data'!$C:$O,4,0)),"")</f>
        <v/>
      </c>
      <c r="H3739" s="55" t="str">
        <f>IFERROR(IF(OR($B3739="",$B3739="(blank)"),"",VLOOKUP($B3739,'Email Marketing Raw Data'!$C:$O,5,0)),"")</f>
        <v/>
      </c>
      <c r="I3739" s="55" t="str">
        <f>IFERROR(IF($G3739="","",VLOOKUP('Dashboard And Emails Automate'!$G3739,Database!$H:$N,3,0)),"")</f>
        <v/>
      </c>
      <c r="J3739" s="55" t="str">
        <f>IFERROR(IF($G3739="","",VLOOKUP('Dashboard And Emails Automate'!$G3739,Database!$H:$N,4,0)),"")</f>
        <v/>
      </c>
      <c r="K3739" s="55" t="str">
        <f>IFERROR(IF($G3739="","",VLOOKUP('Dashboard And Emails Automate'!$G3739,Database!$H:$N,5,0)),"")</f>
        <v/>
      </c>
      <c r="L3739" s="55" t="str">
        <f>IFERROR(IF($G3739="","",VLOOKUP('Dashboard And Emails Automate'!$G3739,Database!$H:$N,6,0)),"")</f>
        <v/>
      </c>
      <c r="M3739" s="55" t="str">
        <f>IFERROR(IF($G3739="","",VLOOKUP('Dashboard And Emails Automate'!$G3739,Database!$H:$N,7,0)),"")</f>
        <v/>
      </c>
      <c r="N3739" s="55" t="str">
        <f>IFERROR(IF(OR($B3739="",$B3739="(blank)"),"",VLOOKUP($B3739,'Email Marketing Raw Data'!$C:$O,6,0)),"")</f>
        <v/>
      </c>
      <c r="O3739" s="55" t="str">
        <f>IFERROR(IF(OR($B3739="",$B3739="(blank)"),"",VLOOKUP($B3739,'Email Marketing Raw Data'!$C:$O,7,0)),"")</f>
        <v/>
      </c>
      <c r="P3739" s="55" t="str">
        <f>IFERROR(IF(OR($B3739="",$B3739="(blank)"),"",VLOOKUP($B3739,'Email Marketing Raw Data'!$C:$O,8,0)),"")</f>
        <v/>
      </c>
      <c r="Q3739" s="62" t="str">
        <f>IFERROR(IF(OR($B3739="",$B3739="(blank)"),"",VLOOKUP($B3739,'Email Marketing Raw Data'!$C:$O,9,0)),"")</f>
        <v/>
      </c>
    </row>
    <row r="3740" spans="4:17" ht="12.75" customHeight="1" x14ac:dyDescent="0.2">
      <c r="D3740" s="58" t="str">
        <f>IFERROR(IF(F3740&lt;&gt;"pending","",IF(OR($B3740="",$B3740="(blank)"),"",VLOOKUP($B3740,'Email Marketing Raw Data'!$C:$O,10,0))),"")</f>
        <v/>
      </c>
      <c r="E3740" s="59" t="str">
        <f>IFERROR(IF(F3740&lt;&gt;"pending","",IF(OR($B3740="",$B3740="(blank)"),"",VLOOKUP($B3740,'Email Marketing Raw Data'!$C:$O,11,0))),"")</f>
        <v/>
      </c>
      <c r="F3740" s="54" t="str">
        <f>IFERROR(IF(OR($B3740="",$B3740="(blank)"),"",VLOOKUP($B3740,'Email Marketing Raw Data'!$C:$O,13,0)),"")</f>
        <v/>
      </c>
      <c r="G3740" s="55" t="str">
        <f>IFERROR(IF(OR($B3740="",$B3740="(blank)"),"",VLOOKUP($B3740,'Email Marketing Raw Data'!$C:$O,4,0)),"")</f>
        <v/>
      </c>
      <c r="H3740" s="55" t="str">
        <f>IFERROR(IF(OR($B3740="",$B3740="(blank)"),"",VLOOKUP($B3740,'Email Marketing Raw Data'!$C:$O,5,0)),"")</f>
        <v/>
      </c>
      <c r="I3740" s="55" t="str">
        <f>IFERROR(IF($G3740="","",VLOOKUP('Dashboard And Emails Automate'!$G3740,Database!$H:$N,3,0)),"")</f>
        <v/>
      </c>
      <c r="J3740" s="55" t="str">
        <f>IFERROR(IF($G3740="","",VLOOKUP('Dashboard And Emails Automate'!$G3740,Database!$H:$N,4,0)),"")</f>
        <v/>
      </c>
      <c r="K3740" s="55" t="str">
        <f>IFERROR(IF($G3740="","",VLOOKUP('Dashboard And Emails Automate'!$G3740,Database!$H:$N,5,0)),"")</f>
        <v/>
      </c>
      <c r="L3740" s="55" t="str">
        <f>IFERROR(IF($G3740="","",VLOOKUP('Dashboard And Emails Automate'!$G3740,Database!$H:$N,6,0)),"")</f>
        <v/>
      </c>
      <c r="M3740" s="55" t="str">
        <f>IFERROR(IF($G3740="","",VLOOKUP('Dashboard And Emails Automate'!$G3740,Database!$H:$N,7,0)),"")</f>
        <v/>
      </c>
      <c r="N3740" s="55" t="str">
        <f>IFERROR(IF(OR($B3740="",$B3740="(blank)"),"",VLOOKUP($B3740,'Email Marketing Raw Data'!$C:$O,6,0)),"")</f>
        <v/>
      </c>
      <c r="O3740" s="55" t="str">
        <f>IFERROR(IF(OR($B3740="",$B3740="(blank)"),"",VLOOKUP($B3740,'Email Marketing Raw Data'!$C:$O,7,0)),"")</f>
        <v/>
      </c>
      <c r="P3740" s="55" t="str">
        <f>IFERROR(IF(OR($B3740="",$B3740="(blank)"),"",VLOOKUP($B3740,'Email Marketing Raw Data'!$C:$O,8,0)),"")</f>
        <v/>
      </c>
      <c r="Q3740" s="62" t="str">
        <f>IFERROR(IF(OR($B3740="",$B3740="(blank)"),"",VLOOKUP($B3740,'Email Marketing Raw Data'!$C:$O,9,0)),"")</f>
        <v/>
      </c>
    </row>
    <row r="3741" spans="4:17" ht="12.75" customHeight="1" x14ac:dyDescent="0.2">
      <c r="D3741" s="58" t="str">
        <f>IFERROR(IF(F3741&lt;&gt;"pending","",IF(OR($B3741="",$B3741="(blank)"),"",VLOOKUP($B3741,'Email Marketing Raw Data'!$C:$O,10,0))),"")</f>
        <v/>
      </c>
      <c r="E3741" s="59" t="str">
        <f>IFERROR(IF(F3741&lt;&gt;"pending","",IF(OR($B3741="",$B3741="(blank)"),"",VLOOKUP($B3741,'Email Marketing Raw Data'!$C:$O,11,0))),"")</f>
        <v/>
      </c>
      <c r="F3741" s="54" t="str">
        <f>IFERROR(IF(OR($B3741="",$B3741="(blank)"),"",VLOOKUP($B3741,'Email Marketing Raw Data'!$C:$O,13,0)),"")</f>
        <v/>
      </c>
      <c r="G3741" s="55" t="str">
        <f>IFERROR(IF(OR($B3741="",$B3741="(blank)"),"",VLOOKUP($B3741,'Email Marketing Raw Data'!$C:$O,4,0)),"")</f>
        <v/>
      </c>
      <c r="H3741" s="55" t="str">
        <f>IFERROR(IF(OR($B3741="",$B3741="(blank)"),"",VLOOKUP($B3741,'Email Marketing Raw Data'!$C:$O,5,0)),"")</f>
        <v/>
      </c>
      <c r="I3741" s="55" t="str">
        <f>IFERROR(IF($G3741="","",VLOOKUP('Dashboard And Emails Automate'!$G3741,Database!$H:$N,3,0)),"")</f>
        <v/>
      </c>
      <c r="J3741" s="55" t="str">
        <f>IFERROR(IF($G3741="","",VLOOKUP('Dashboard And Emails Automate'!$G3741,Database!$H:$N,4,0)),"")</f>
        <v/>
      </c>
      <c r="K3741" s="55" t="str">
        <f>IFERROR(IF($G3741="","",VLOOKUP('Dashboard And Emails Automate'!$G3741,Database!$H:$N,5,0)),"")</f>
        <v/>
      </c>
      <c r="L3741" s="55" t="str">
        <f>IFERROR(IF($G3741="","",VLOOKUP('Dashboard And Emails Automate'!$G3741,Database!$H:$N,6,0)),"")</f>
        <v/>
      </c>
      <c r="M3741" s="55" t="str">
        <f>IFERROR(IF($G3741="","",VLOOKUP('Dashboard And Emails Automate'!$G3741,Database!$H:$N,7,0)),"")</f>
        <v/>
      </c>
      <c r="N3741" s="55" t="str">
        <f>IFERROR(IF(OR($B3741="",$B3741="(blank)"),"",VLOOKUP($B3741,'Email Marketing Raw Data'!$C:$O,6,0)),"")</f>
        <v/>
      </c>
      <c r="O3741" s="55" t="str">
        <f>IFERROR(IF(OR($B3741="",$B3741="(blank)"),"",VLOOKUP($B3741,'Email Marketing Raw Data'!$C:$O,7,0)),"")</f>
        <v/>
      </c>
      <c r="P3741" s="55" t="str">
        <f>IFERROR(IF(OR($B3741="",$B3741="(blank)"),"",VLOOKUP($B3741,'Email Marketing Raw Data'!$C:$O,8,0)),"")</f>
        <v/>
      </c>
      <c r="Q3741" s="62" t="str">
        <f>IFERROR(IF(OR($B3741="",$B3741="(blank)"),"",VLOOKUP($B3741,'Email Marketing Raw Data'!$C:$O,9,0)),"")</f>
        <v/>
      </c>
    </row>
    <row r="3742" spans="4:17" ht="12.75" customHeight="1" x14ac:dyDescent="0.2">
      <c r="D3742" s="58" t="str">
        <f>IFERROR(IF(F3742&lt;&gt;"pending","",IF(OR($B3742="",$B3742="(blank)"),"",VLOOKUP($B3742,'Email Marketing Raw Data'!$C:$O,10,0))),"")</f>
        <v/>
      </c>
      <c r="E3742" s="59" t="str">
        <f>IFERROR(IF(F3742&lt;&gt;"pending","",IF(OR($B3742="",$B3742="(blank)"),"",VLOOKUP($B3742,'Email Marketing Raw Data'!$C:$O,11,0))),"")</f>
        <v/>
      </c>
      <c r="F3742" s="54" t="str">
        <f>IFERROR(IF(OR($B3742="",$B3742="(blank)"),"",VLOOKUP($B3742,'Email Marketing Raw Data'!$C:$O,13,0)),"")</f>
        <v/>
      </c>
      <c r="G3742" s="55" t="str">
        <f>IFERROR(IF(OR($B3742="",$B3742="(blank)"),"",VLOOKUP($B3742,'Email Marketing Raw Data'!$C:$O,4,0)),"")</f>
        <v/>
      </c>
      <c r="H3742" s="55" t="str">
        <f>IFERROR(IF(OR($B3742="",$B3742="(blank)"),"",VLOOKUP($B3742,'Email Marketing Raw Data'!$C:$O,5,0)),"")</f>
        <v/>
      </c>
      <c r="I3742" s="55" t="str">
        <f>IFERROR(IF($G3742="","",VLOOKUP('Dashboard And Emails Automate'!$G3742,Database!$H:$N,3,0)),"")</f>
        <v/>
      </c>
      <c r="J3742" s="55" t="str">
        <f>IFERROR(IF($G3742="","",VLOOKUP('Dashboard And Emails Automate'!$G3742,Database!$H:$N,4,0)),"")</f>
        <v/>
      </c>
      <c r="K3742" s="55" t="str">
        <f>IFERROR(IF($G3742="","",VLOOKUP('Dashboard And Emails Automate'!$G3742,Database!$H:$N,5,0)),"")</f>
        <v/>
      </c>
      <c r="L3742" s="55" t="str">
        <f>IFERROR(IF($G3742="","",VLOOKUP('Dashboard And Emails Automate'!$G3742,Database!$H:$N,6,0)),"")</f>
        <v/>
      </c>
      <c r="M3742" s="55" t="str">
        <f>IFERROR(IF($G3742="","",VLOOKUP('Dashboard And Emails Automate'!$G3742,Database!$H:$N,7,0)),"")</f>
        <v/>
      </c>
      <c r="N3742" s="55" t="str">
        <f>IFERROR(IF(OR($B3742="",$B3742="(blank)"),"",VLOOKUP($B3742,'Email Marketing Raw Data'!$C:$O,6,0)),"")</f>
        <v/>
      </c>
      <c r="O3742" s="55" t="str">
        <f>IFERROR(IF(OR($B3742="",$B3742="(blank)"),"",VLOOKUP($B3742,'Email Marketing Raw Data'!$C:$O,7,0)),"")</f>
        <v/>
      </c>
      <c r="P3742" s="55" t="str">
        <f>IFERROR(IF(OR($B3742="",$B3742="(blank)"),"",VLOOKUP($B3742,'Email Marketing Raw Data'!$C:$O,8,0)),"")</f>
        <v/>
      </c>
      <c r="Q3742" s="62" t="str">
        <f>IFERROR(IF(OR($B3742="",$B3742="(blank)"),"",VLOOKUP($B3742,'Email Marketing Raw Data'!$C:$O,9,0)),"")</f>
        <v/>
      </c>
    </row>
    <row r="3743" spans="4:17" ht="12.75" customHeight="1" x14ac:dyDescent="0.2">
      <c r="D3743" s="58" t="str">
        <f>IFERROR(IF(F3743&lt;&gt;"pending","",IF(OR($B3743="",$B3743="(blank)"),"",VLOOKUP($B3743,'Email Marketing Raw Data'!$C:$O,10,0))),"")</f>
        <v/>
      </c>
      <c r="E3743" s="59" t="str">
        <f>IFERROR(IF(F3743&lt;&gt;"pending","",IF(OR($B3743="",$B3743="(blank)"),"",VLOOKUP($B3743,'Email Marketing Raw Data'!$C:$O,11,0))),"")</f>
        <v/>
      </c>
      <c r="F3743" s="54" t="str">
        <f>IFERROR(IF(OR($B3743="",$B3743="(blank)"),"",VLOOKUP($B3743,'Email Marketing Raw Data'!$C:$O,13,0)),"")</f>
        <v/>
      </c>
      <c r="G3743" s="55" t="str">
        <f>IFERROR(IF(OR($B3743="",$B3743="(blank)"),"",VLOOKUP($B3743,'Email Marketing Raw Data'!$C:$O,4,0)),"")</f>
        <v/>
      </c>
      <c r="H3743" s="55" t="str">
        <f>IFERROR(IF(OR($B3743="",$B3743="(blank)"),"",VLOOKUP($B3743,'Email Marketing Raw Data'!$C:$O,5,0)),"")</f>
        <v/>
      </c>
      <c r="I3743" s="55" t="str">
        <f>IFERROR(IF($G3743="","",VLOOKUP('Dashboard And Emails Automate'!$G3743,Database!$H:$N,3,0)),"")</f>
        <v/>
      </c>
      <c r="J3743" s="55" t="str">
        <f>IFERROR(IF($G3743="","",VLOOKUP('Dashboard And Emails Automate'!$G3743,Database!$H:$N,4,0)),"")</f>
        <v/>
      </c>
      <c r="K3743" s="55" t="str">
        <f>IFERROR(IF($G3743="","",VLOOKUP('Dashboard And Emails Automate'!$G3743,Database!$H:$N,5,0)),"")</f>
        <v/>
      </c>
      <c r="L3743" s="55" t="str">
        <f>IFERROR(IF($G3743="","",VLOOKUP('Dashboard And Emails Automate'!$G3743,Database!$H:$N,6,0)),"")</f>
        <v/>
      </c>
      <c r="M3743" s="55" t="str">
        <f>IFERROR(IF($G3743="","",VLOOKUP('Dashboard And Emails Automate'!$G3743,Database!$H:$N,7,0)),"")</f>
        <v/>
      </c>
      <c r="N3743" s="55" t="str">
        <f>IFERROR(IF(OR($B3743="",$B3743="(blank)"),"",VLOOKUP($B3743,'Email Marketing Raw Data'!$C:$O,6,0)),"")</f>
        <v/>
      </c>
      <c r="O3743" s="55" t="str">
        <f>IFERROR(IF(OR($B3743="",$B3743="(blank)"),"",VLOOKUP($B3743,'Email Marketing Raw Data'!$C:$O,7,0)),"")</f>
        <v/>
      </c>
      <c r="P3743" s="55" t="str">
        <f>IFERROR(IF(OR($B3743="",$B3743="(blank)"),"",VLOOKUP($B3743,'Email Marketing Raw Data'!$C:$O,8,0)),"")</f>
        <v/>
      </c>
      <c r="Q3743" s="62" t="str">
        <f>IFERROR(IF(OR($B3743="",$B3743="(blank)"),"",VLOOKUP($B3743,'Email Marketing Raw Data'!$C:$O,9,0)),"")</f>
        <v/>
      </c>
    </row>
    <row r="3744" spans="4:17" ht="12.75" customHeight="1" x14ac:dyDescent="0.2">
      <c r="D3744" s="58" t="str">
        <f>IFERROR(IF(F3744&lt;&gt;"pending","",IF(OR($B3744="",$B3744="(blank)"),"",VLOOKUP($B3744,'Email Marketing Raw Data'!$C:$O,10,0))),"")</f>
        <v/>
      </c>
      <c r="E3744" s="59" t="str">
        <f>IFERROR(IF(F3744&lt;&gt;"pending","",IF(OR($B3744="",$B3744="(blank)"),"",VLOOKUP($B3744,'Email Marketing Raw Data'!$C:$O,11,0))),"")</f>
        <v/>
      </c>
      <c r="F3744" s="54" t="str">
        <f>IFERROR(IF(OR($B3744="",$B3744="(blank)"),"",VLOOKUP($B3744,'Email Marketing Raw Data'!$C:$O,13,0)),"")</f>
        <v/>
      </c>
      <c r="G3744" s="55" t="str">
        <f>IFERROR(IF(OR($B3744="",$B3744="(blank)"),"",VLOOKUP($B3744,'Email Marketing Raw Data'!$C:$O,4,0)),"")</f>
        <v/>
      </c>
      <c r="H3744" s="55" t="str">
        <f>IFERROR(IF(OR($B3744="",$B3744="(blank)"),"",VLOOKUP($B3744,'Email Marketing Raw Data'!$C:$O,5,0)),"")</f>
        <v/>
      </c>
      <c r="I3744" s="55" t="str">
        <f>IFERROR(IF($G3744="","",VLOOKUP('Dashboard And Emails Automate'!$G3744,Database!$H:$N,3,0)),"")</f>
        <v/>
      </c>
      <c r="J3744" s="55" t="str">
        <f>IFERROR(IF($G3744="","",VLOOKUP('Dashboard And Emails Automate'!$G3744,Database!$H:$N,4,0)),"")</f>
        <v/>
      </c>
      <c r="K3744" s="55" t="str">
        <f>IFERROR(IF($G3744="","",VLOOKUP('Dashboard And Emails Automate'!$G3744,Database!$H:$N,5,0)),"")</f>
        <v/>
      </c>
      <c r="L3744" s="55" t="str">
        <f>IFERROR(IF($G3744="","",VLOOKUP('Dashboard And Emails Automate'!$G3744,Database!$H:$N,6,0)),"")</f>
        <v/>
      </c>
      <c r="M3744" s="55" t="str">
        <f>IFERROR(IF($G3744="","",VLOOKUP('Dashboard And Emails Automate'!$G3744,Database!$H:$N,7,0)),"")</f>
        <v/>
      </c>
      <c r="N3744" s="55" t="str">
        <f>IFERROR(IF(OR($B3744="",$B3744="(blank)"),"",VLOOKUP($B3744,'Email Marketing Raw Data'!$C:$O,6,0)),"")</f>
        <v/>
      </c>
      <c r="O3744" s="55" t="str">
        <f>IFERROR(IF(OR($B3744="",$B3744="(blank)"),"",VLOOKUP($B3744,'Email Marketing Raw Data'!$C:$O,7,0)),"")</f>
        <v/>
      </c>
      <c r="P3744" s="55" t="str">
        <f>IFERROR(IF(OR($B3744="",$B3744="(blank)"),"",VLOOKUP($B3744,'Email Marketing Raw Data'!$C:$O,8,0)),"")</f>
        <v/>
      </c>
      <c r="Q3744" s="62" t="str">
        <f>IFERROR(IF(OR($B3744="",$B3744="(blank)"),"",VLOOKUP($B3744,'Email Marketing Raw Data'!$C:$O,9,0)),"")</f>
        <v/>
      </c>
    </row>
    <row r="3745" spans="4:17" ht="12.75" customHeight="1" x14ac:dyDescent="0.2">
      <c r="D3745" s="58" t="str">
        <f>IFERROR(IF(F3745&lt;&gt;"pending","",IF(OR($B3745="",$B3745="(blank)"),"",VLOOKUP($B3745,'Email Marketing Raw Data'!$C:$O,10,0))),"")</f>
        <v/>
      </c>
      <c r="E3745" s="59" t="str">
        <f>IFERROR(IF(F3745&lt;&gt;"pending","",IF(OR($B3745="",$B3745="(blank)"),"",VLOOKUP($B3745,'Email Marketing Raw Data'!$C:$O,11,0))),"")</f>
        <v/>
      </c>
      <c r="F3745" s="54" t="str">
        <f>IFERROR(IF(OR($B3745="",$B3745="(blank)"),"",VLOOKUP($B3745,'Email Marketing Raw Data'!$C:$O,13,0)),"")</f>
        <v/>
      </c>
      <c r="G3745" s="55" t="str">
        <f>IFERROR(IF(OR($B3745="",$B3745="(blank)"),"",VLOOKUP($B3745,'Email Marketing Raw Data'!$C:$O,4,0)),"")</f>
        <v/>
      </c>
      <c r="H3745" s="55" t="str">
        <f>IFERROR(IF(OR($B3745="",$B3745="(blank)"),"",VLOOKUP($B3745,'Email Marketing Raw Data'!$C:$O,5,0)),"")</f>
        <v/>
      </c>
      <c r="I3745" s="55" t="str">
        <f>IFERROR(IF($G3745="","",VLOOKUP('Dashboard And Emails Automate'!$G3745,Database!$H:$N,3,0)),"")</f>
        <v/>
      </c>
      <c r="J3745" s="55" t="str">
        <f>IFERROR(IF($G3745="","",VLOOKUP('Dashboard And Emails Automate'!$G3745,Database!$H:$N,4,0)),"")</f>
        <v/>
      </c>
      <c r="K3745" s="55" t="str">
        <f>IFERROR(IF($G3745="","",VLOOKUP('Dashboard And Emails Automate'!$G3745,Database!$H:$N,5,0)),"")</f>
        <v/>
      </c>
      <c r="L3745" s="55" t="str">
        <f>IFERROR(IF($G3745="","",VLOOKUP('Dashboard And Emails Automate'!$G3745,Database!$H:$N,6,0)),"")</f>
        <v/>
      </c>
      <c r="M3745" s="55" t="str">
        <f>IFERROR(IF($G3745="","",VLOOKUP('Dashboard And Emails Automate'!$G3745,Database!$H:$N,7,0)),"")</f>
        <v/>
      </c>
      <c r="N3745" s="55" t="str">
        <f>IFERROR(IF(OR($B3745="",$B3745="(blank)"),"",VLOOKUP($B3745,'Email Marketing Raw Data'!$C:$O,6,0)),"")</f>
        <v/>
      </c>
      <c r="O3745" s="55" t="str">
        <f>IFERROR(IF(OR($B3745="",$B3745="(blank)"),"",VLOOKUP($B3745,'Email Marketing Raw Data'!$C:$O,7,0)),"")</f>
        <v/>
      </c>
      <c r="P3745" s="55" t="str">
        <f>IFERROR(IF(OR($B3745="",$B3745="(blank)"),"",VLOOKUP($B3745,'Email Marketing Raw Data'!$C:$O,8,0)),"")</f>
        <v/>
      </c>
      <c r="Q3745" s="62" t="str">
        <f>IFERROR(IF(OR($B3745="",$B3745="(blank)"),"",VLOOKUP($B3745,'Email Marketing Raw Data'!$C:$O,9,0)),"")</f>
        <v/>
      </c>
    </row>
    <row r="3746" spans="4:17" ht="12.75" customHeight="1" x14ac:dyDescent="0.2">
      <c r="D3746" s="58" t="str">
        <f>IFERROR(IF(F3746&lt;&gt;"pending","",IF(OR($B3746="",$B3746="(blank)"),"",VLOOKUP($B3746,'Email Marketing Raw Data'!$C:$O,10,0))),"")</f>
        <v/>
      </c>
      <c r="E3746" s="59" t="str">
        <f>IFERROR(IF(F3746&lt;&gt;"pending","",IF(OR($B3746="",$B3746="(blank)"),"",VLOOKUP($B3746,'Email Marketing Raw Data'!$C:$O,11,0))),"")</f>
        <v/>
      </c>
      <c r="F3746" s="54" t="str">
        <f>IFERROR(IF(OR($B3746="",$B3746="(blank)"),"",VLOOKUP($B3746,'Email Marketing Raw Data'!$C:$O,13,0)),"")</f>
        <v/>
      </c>
      <c r="G3746" s="55" t="str">
        <f>IFERROR(IF(OR($B3746="",$B3746="(blank)"),"",VLOOKUP($B3746,'Email Marketing Raw Data'!$C:$O,4,0)),"")</f>
        <v/>
      </c>
      <c r="H3746" s="55" t="str">
        <f>IFERROR(IF(OR($B3746="",$B3746="(blank)"),"",VLOOKUP($B3746,'Email Marketing Raw Data'!$C:$O,5,0)),"")</f>
        <v/>
      </c>
      <c r="I3746" s="55" t="str">
        <f>IFERROR(IF($G3746="","",VLOOKUP('Dashboard And Emails Automate'!$G3746,Database!$H:$N,3,0)),"")</f>
        <v/>
      </c>
      <c r="J3746" s="55" t="str">
        <f>IFERROR(IF($G3746="","",VLOOKUP('Dashboard And Emails Automate'!$G3746,Database!$H:$N,4,0)),"")</f>
        <v/>
      </c>
      <c r="K3746" s="55" t="str">
        <f>IFERROR(IF($G3746="","",VLOOKUP('Dashboard And Emails Automate'!$G3746,Database!$H:$N,5,0)),"")</f>
        <v/>
      </c>
      <c r="L3746" s="55" t="str">
        <f>IFERROR(IF($G3746="","",VLOOKUP('Dashboard And Emails Automate'!$G3746,Database!$H:$N,6,0)),"")</f>
        <v/>
      </c>
      <c r="M3746" s="55" t="str">
        <f>IFERROR(IF($G3746="","",VLOOKUP('Dashboard And Emails Automate'!$G3746,Database!$H:$N,7,0)),"")</f>
        <v/>
      </c>
      <c r="N3746" s="55" t="str">
        <f>IFERROR(IF(OR($B3746="",$B3746="(blank)"),"",VLOOKUP($B3746,'Email Marketing Raw Data'!$C:$O,6,0)),"")</f>
        <v/>
      </c>
      <c r="O3746" s="55" t="str">
        <f>IFERROR(IF(OR($B3746="",$B3746="(blank)"),"",VLOOKUP($B3746,'Email Marketing Raw Data'!$C:$O,7,0)),"")</f>
        <v/>
      </c>
      <c r="P3746" s="55" t="str">
        <f>IFERROR(IF(OR($B3746="",$B3746="(blank)"),"",VLOOKUP($B3746,'Email Marketing Raw Data'!$C:$O,8,0)),"")</f>
        <v/>
      </c>
      <c r="Q3746" s="62" t="str">
        <f>IFERROR(IF(OR($B3746="",$B3746="(blank)"),"",VLOOKUP($B3746,'Email Marketing Raw Data'!$C:$O,9,0)),"")</f>
        <v/>
      </c>
    </row>
    <row r="3747" spans="4:17" ht="12.75" customHeight="1" x14ac:dyDescent="0.2">
      <c r="D3747" s="58" t="str">
        <f>IFERROR(IF(F3747&lt;&gt;"pending","",IF(OR($B3747="",$B3747="(blank)"),"",VLOOKUP($B3747,'Email Marketing Raw Data'!$C:$O,10,0))),"")</f>
        <v/>
      </c>
      <c r="E3747" s="59" t="str">
        <f>IFERROR(IF(F3747&lt;&gt;"pending","",IF(OR($B3747="",$B3747="(blank)"),"",VLOOKUP($B3747,'Email Marketing Raw Data'!$C:$O,11,0))),"")</f>
        <v/>
      </c>
      <c r="F3747" s="54" t="str">
        <f>IFERROR(IF(OR($B3747="",$B3747="(blank)"),"",VLOOKUP($B3747,'Email Marketing Raw Data'!$C:$O,13,0)),"")</f>
        <v/>
      </c>
      <c r="G3747" s="55" t="str">
        <f>IFERROR(IF(OR($B3747="",$B3747="(blank)"),"",VLOOKUP($B3747,'Email Marketing Raw Data'!$C:$O,4,0)),"")</f>
        <v/>
      </c>
      <c r="H3747" s="55" t="str">
        <f>IFERROR(IF(OR($B3747="",$B3747="(blank)"),"",VLOOKUP($B3747,'Email Marketing Raw Data'!$C:$O,5,0)),"")</f>
        <v/>
      </c>
      <c r="I3747" s="55" t="str">
        <f>IFERROR(IF($G3747="","",VLOOKUP('Dashboard And Emails Automate'!$G3747,Database!$H:$N,3,0)),"")</f>
        <v/>
      </c>
      <c r="J3747" s="55" t="str">
        <f>IFERROR(IF($G3747="","",VLOOKUP('Dashboard And Emails Automate'!$G3747,Database!$H:$N,4,0)),"")</f>
        <v/>
      </c>
      <c r="K3747" s="55" t="str">
        <f>IFERROR(IF($G3747="","",VLOOKUP('Dashboard And Emails Automate'!$G3747,Database!$H:$N,5,0)),"")</f>
        <v/>
      </c>
      <c r="L3747" s="55" t="str">
        <f>IFERROR(IF($G3747="","",VLOOKUP('Dashboard And Emails Automate'!$G3747,Database!$H:$N,6,0)),"")</f>
        <v/>
      </c>
      <c r="M3747" s="55" t="str">
        <f>IFERROR(IF($G3747="","",VLOOKUP('Dashboard And Emails Automate'!$G3747,Database!$H:$N,7,0)),"")</f>
        <v/>
      </c>
      <c r="N3747" s="55" t="str">
        <f>IFERROR(IF(OR($B3747="",$B3747="(blank)"),"",VLOOKUP($B3747,'Email Marketing Raw Data'!$C:$O,6,0)),"")</f>
        <v/>
      </c>
      <c r="O3747" s="55" t="str">
        <f>IFERROR(IF(OR($B3747="",$B3747="(blank)"),"",VLOOKUP($B3747,'Email Marketing Raw Data'!$C:$O,7,0)),"")</f>
        <v/>
      </c>
      <c r="P3747" s="55" t="str">
        <f>IFERROR(IF(OR($B3747="",$B3747="(blank)"),"",VLOOKUP($B3747,'Email Marketing Raw Data'!$C:$O,8,0)),"")</f>
        <v/>
      </c>
      <c r="Q3747" s="62" t="str">
        <f>IFERROR(IF(OR($B3747="",$B3747="(blank)"),"",VLOOKUP($B3747,'Email Marketing Raw Data'!$C:$O,9,0)),"")</f>
        <v/>
      </c>
    </row>
    <row r="3748" spans="4:17" ht="12.75" customHeight="1" x14ac:dyDescent="0.2">
      <c r="D3748" s="58" t="str">
        <f>IFERROR(IF(F3748&lt;&gt;"pending","",IF(OR($B3748="",$B3748="(blank)"),"",VLOOKUP($B3748,'Email Marketing Raw Data'!$C:$O,10,0))),"")</f>
        <v/>
      </c>
      <c r="E3748" s="59" t="str">
        <f>IFERROR(IF(F3748&lt;&gt;"pending","",IF(OR($B3748="",$B3748="(blank)"),"",VLOOKUP($B3748,'Email Marketing Raw Data'!$C:$O,11,0))),"")</f>
        <v/>
      </c>
      <c r="F3748" s="54" t="str">
        <f>IFERROR(IF(OR($B3748="",$B3748="(blank)"),"",VLOOKUP($B3748,'Email Marketing Raw Data'!$C:$O,13,0)),"")</f>
        <v/>
      </c>
      <c r="G3748" s="55" t="str">
        <f>IFERROR(IF(OR($B3748="",$B3748="(blank)"),"",VLOOKUP($B3748,'Email Marketing Raw Data'!$C:$O,4,0)),"")</f>
        <v/>
      </c>
      <c r="H3748" s="55" t="str">
        <f>IFERROR(IF(OR($B3748="",$B3748="(blank)"),"",VLOOKUP($B3748,'Email Marketing Raw Data'!$C:$O,5,0)),"")</f>
        <v/>
      </c>
      <c r="I3748" s="55" t="str">
        <f>IFERROR(IF($G3748="","",VLOOKUP('Dashboard And Emails Automate'!$G3748,Database!$H:$N,3,0)),"")</f>
        <v/>
      </c>
      <c r="J3748" s="55" t="str">
        <f>IFERROR(IF($G3748="","",VLOOKUP('Dashboard And Emails Automate'!$G3748,Database!$H:$N,4,0)),"")</f>
        <v/>
      </c>
      <c r="K3748" s="55" t="str">
        <f>IFERROR(IF($G3748="","",VLOOKUP('Dashboard And Emails Automate'!$G3748,Database!$H:$N,5,0)),"")</f>
        <v/>
      </c>
      <c r="L3748" s="55" t="str">
        <f>IFERROR(IF($G3748="","",VLOOKUP('Dashboard And Emails Automate'!$G3748,Database!$H:$N,6,0)),"")</f>
        <v/>
      </c>
      <c r="M3748" s="55" t="str">
        <f>IFERROR(IF($G3748="","",VLOOKUP('Dashboard And Emails Automate'!$G3748,Database!$H:$N,7,0)),"")</f>
        <v/>
      </c>
      <c r="N3748" s="55" t="str">
        <f>IFERROR(IF(OR($B3748="",$B3748="(blank)"),"",VLOOKUP($B3748,'Email Marketing Raw Data'!$C:$O,6,0)),"")</f>
        <v/>
      </c>
      <c r="O3748" s="55" t="str">
        <f>IFERROR(IF(OR($B3748="",$B3748="(blank)"),"",VLOOKUP($B3748,'Email Marketing Raw Data'!$C:$O,7,0)),"")</f>
        <v/>
      </c>
      <c r="P3748" s="55" t="str">
        <f>IFERROR(IF(OR($B3748="",$B3748="(blank)"),"",VLOOKUP($B3748,'Email Marketing Raw Data'!$C:$O,8,0)),"")</f>
        <v/>
      </c>
      <c r="Q3748" s="62" t="str">
        <f>IFERROR(IF(OR($B3748="",$B3748="(blank)"),"",VLOOKUP($B3748,'Email Marketing Raw Data'!$C:$O,9,0)),"")</f>
        <v/>
      </c>
    </row>
    <row r="3749" spans="4:17" ht="12.75" customHeight="1" x14ac:dyDescent="0.2">
      <c r="D3749" s="58" t="str">
        <f>IFERROR(IF(F3749&lt;&gt;"pending","",IF(OR($B3749="",$B3749="(blank)"),"",VLOOKUP($B3749,'Email Marketing Raw Data'!$C:$O,10,0))),"")</f>
        <v/>
      </c>
      <c r="E3749" s="59" t="str">
        <f>IFERROR(IF(F3749&lt;&gt;"pending","",IF(OR($B3749="",$B3749="(blank)"),"",VLOOKUP($B3749,'Email Marketing Raw Data'!$C:$O,11,0))),"")</f>
        <v/>
      </c>
      <c r="F3749" s="54" t="str">
        <f>IFERROR(IF(OR($B3749="",$B3749="(blank)"),"",VLOOKUP($B3749,'Email Marketing Raw Data'!$C:$O,13,0)),"")</f>
        <v/>
      </c>
      <c r="G3749" s="55" t="str">
        <f>IFERROR(IF(OR($B3749="",$B3749="(blank)"),"",VLOOKUP($B3749,'Email Marketing Raw Data'!$C:$O,4,0)),"")</f>
        <v/>
      </c>
      <c r="H3749" s="55" t="str">
        <f>IFERROR(IF(OR($B3749="",$B3749="(blank)"),"",VLOOKUP($B3749,'Email Marketing Raw Data'!$C:$O,5,0)),"")</f>
        <v/>
      </c>
      <c r="I3749" s="55" t="str">
        <f>IFERROR(IF($G3749="","",VLOOKUP('Dashboard And Emails Automate'!$G3749,Database!$H:$N,3,0)),"")</f>
        <v/>
      </c>
      <c r="J3749" s="55" t="str">
        <f>IFERROR(IF($G3749="","",VLOOKUP('Dashboard And Emails Automate'!$G3749,Database!$H:$N,4,0)),"")</f>
        <v/>
      </c>
      <c r="K3749" s="55" t="str">
        <f>IFERROR(IF($G3749="","",VLOOKUP('Dashboard And Emails Automate'!$G3749,Database!$H:$N,5,0)),"")</f>
        <v/>
      </c>
      <c r="L3749" s="55" t="str">
        <f>IFERROR(IF($G3749="","",VLOOKUP('Dashboard And Emails Automate'!$G3749,Database!$H:$N,6,0)),"")</f>
        <v/>
      </c>
      <c r="M3749" s="55" t="str">
        <f>IFERROR(IF($G3749="","",VLOOKUP('Dashboard And Emails Automate'!$G3749,Database!$H:$N,7,0)),"")</f>
        <v/>
      </c>
      <c r="N3749" s="55" t="str">
        <f>IFERROR(IF(OR($B3749="",$B3749="(blank)"),"",VLOOKUP($B3749,'Email Marketing Raw Data'!$C:$O,6,0)),"")</f>
        <v/>
      </c>
      <c r="O3749" s="55" t="str">
        <f>IFERROR(IF(OR($B3749="",$B3749="(blank)"),"",VLOOKUP($B3749,'Email Marketing Raw Data'!$C:$O,7,0)),"")</f>
        <v/>
      </c>
      <c r="P3749" s="55" t="str">
        <f>IFERROR(IF(OR($B3749="",$B3749="(blank)"),"",VLOOKUP($B3749,'Email Marketing Raw Data'!$C:$O,8,0)),"")</f>
        <v/>
      </c>
      <c r="Q3749" s="62" t="str">
        <f>IFERROR(IF(OR($B3749="",$B3749="(blank)"),"",VLOOKUP($B3749,'Email Marketing Raw Data'!$C:$O,9,0)),"")</f>
        <v/>
      </c>
    </row>
    <row r="3750" spans="4:17" ht="12.75" customHeight="1" x14ac:dyDescent="0.2">
      <c r="D3750" s="58" t="str">
        <f>IFERROR(IF(F3750&lt;&gt;"pending","",IF(OR($B3750="",$B3750="(blank)"),"",VLOOKUP($B3750,'Email Marketing Raw Data'!$C:$O,10,0))),"")</f>
        <v/>
      </c>
      <c r="E3750" s="59" t="str">
        <f>IFERROR(IF(F3750&lt;&gt;"pending","",IF(OR($B3750="",$B3750="(blank)"),"",VLOOKUP($B3750,'Email Marketing Raw Data'!$C:$O,11,0))),"")</f>
        <v/>
      </c>
      <c r="F3750" s="54" t="str">
        <f>IFERROR(IF(OR($B3750="",$B3750="(blank)"),"",VLOOKUP($B3750,'Email Marketing Raw Data'!$C:$O,13,0)),"")</f>
        <v/>
      </c>
      <c r="G3750" s="55" t="str">
        <f>IFERROR(IF(OR($B3750="",$B3750="(blank)"),"",VLOOKUP($B3750,'Email Marketing Raw Data'!$C:$O,4,0)),"")</f>
        <v/>
      </c>
      <c r="H3750" s="55" t="str">
        <f>IFERROR(IF(OR($B3750="",$B3750="(blank)"),"",VLOOKUP($B3750,'Email Marketing Raw Data'!$C:$O,5,0)),"")</f>
        <v/>
      </c>
      <c r="I3750" s="55" t="str">
        <f>IFERROR(IF($G3750="","",VLOOKUP('Dashboard And Emails Automate'!$G3750,Database!$H:$N,3,0)),"")</f>
        <v/>
      </c>
      <c r="J3750" s="55" t="str">
        <f>IFERROR(IF($G3750="","",VLOOKUP('Dashboard And Emails Automate'!$G3750,Database!$H:$N,4,0)),"")</f>
        <v/>
      </c>
      <c r="K3750" s="55" t="str">
        <f>IFERROR(IF($G3750="","",VLOOKUP('Dashboard And Emails Automate'!$G3750,Database!$H:$N,5,0)),"")</f>
        <v/>
      </c>
      <c r="L3750" s="55" t="str">
        <f>IFERROR(IF($G3750="","",VLOOKUP('Dashboard And Emails Automate'!$G3750,Database!$H:$N,6,0)),"")</f>
        <v/>
      </c>
      <c r="M3750" s="55" t="str">
        <f>IFERROR(IF($G3750="","",VLOOKUP('Dashboard And Emails Automate'!$G3750,Database!$H:$N,7,0)),"")</f>
        <v/>
      </c>
      <c r="N3750" s="55" t="str">
        <f>IFERROR(IF(OR($B3750="",$B3750="(blank)"),"",VLOOKUP($B3750,'Email Marketing Raw Data'!$C:$O,6,0)),"")</f>
        <v/>
      </c>
      <c r="O3750" s="55" t="str">
        <f>IFERROR(IF(OR($B3750="",$B3750="(blank)"),"",VLOOKUP($B3750,'Email Marketing Raw Data'!$C:$O,7,0)),"")</f>
        <v/>
      </c>
      <c r="P3750" s="55" t="str">
        <f>IFERROR(IF(OR($B3750="",$B3750="(blank)"),"",VLOOKUP($B3750,'Email Marketing Raw Data'!$C:$O,8,0)),"")</f>
        <v/>
      </c>
      <c r="Q3750" s="62" t="str">
        <f>IFERROR(IF(OR($B3750="",$B3750="(blank)"),"",VLOOKUP($B3750,'Email Marketing Raw Data'!$C:$O,9,0)),"")</f>
        <v/>
      </c>
    </row>
    <row r="3751" spans="4:17" ht="12.75" customHeight="1" x14ac:dyDescent="0.2">
      <c r="D3751" s="58" t="str">
        <f>IFERROR(IF(F3751&lt;&gt;"pending","",IF(OR($B3751="",$B3751="(blank)"),"",VLOOKUP($B3751,'Email Marketing Raw Data'!$C:$O,10,0))),"")</f>
        <v/>
      </c>
      <c r="E3751" s="59" t="str">
        <f>IFERROR(IF(F3751&lt;&gt;"pending","",IF(OR($B3751="",$B3751="(blank)"),"",VLOOKUP($B3751,'Email Marketing Raw Data'!$C:$O,11,0))),"")</f>
        <v/>
      </c>
      <c r="F3751" s="54" t="str">
        <f>IFERROR(IF(OR($B3751="",$B3751="(blank)"),"",VLOOKUP($B3751,'Email Marketing Raw Data'!$C:$O,13,0)),"")</f>
        <v/>
      </c>
      <c r="G3751" s="55" t="str">
        <f>IFERROR(IF(OR($B3751="",$B3751="(blank)"),"",VLOOKUP($B3751,'Email Marketing Raw Data'!$C:$O,4,0)),"")</f>
        <v/>
      </c>
      <c r="H3751" s="55" t="str">
        <f>IFERROR(IF(OR($B3751="",$B3751="(blank)"),"",VLOOKUP($B3751,'Email Marketing Raw Data'!$C:$O,5,0)),"")</f>
        <v/>
      </c>
      <c r="I3751" s="55" t="str">
        <f>IFERROR(IF($G3751="","",VLOOKUP('Dashboard And Emails Automate'!$G3751,Database!$H:$N,3,0)),"")</f>
        <v/>
      </c>
      <c r="J3751" s="55" t="str">
        <f>IFERROR(IF($G3751="","",VLOOKUP('Dashboard And Emails Automate'!$G3751,Database!$H:$N,4,0)),"")</f>
        <v/>
      </c>
      <c r="K3751" s="55" t="str">
        <f>IFERROR(IF($G3751="","",VLOOKUP('Dashboard And Emails Automate'!$G3751,Database!$H:$N,5,0)),"")</f>
        <v/>
      </c>
      <c r="L3751" s="55" t="str">
        <f>IFERROR(IF($G3751="","",VLOOKUP('Dashboard And Emails Automate'!$G3751,Database!$H:$N,6,0)),"")</f>
        <v/>
      </c>
      <c r="M3751" s="55" t="str">
        <f>IFERROR(IF($G3751="","",VLOOKUP('Dashboard And Emails Automate'!$G3751,Database!$H:$N,7,0)),"")</f>
        <v/>
      </c>
      <c r="N3751" s="55" t="str">
        <f>IFERROR(IF(OR($B3751="",$B3751="(blank)"),"",VLOOKUP($B3751,'Email Marketing Raw Data'!$C:$O,6,0)),"")</f>
        <v/>
      </c>
      <c r="O3751" s="55" t="str">
        <f>IFERROR(IF(OR($B3751="",$B3751="(blank)"),"",VLOOKUP($B3751,'Email Marketing Raw Data'!$C:$O,7,0)),"")</f>
        <v/>
      </c>
      <c r="P3751" s="55" t="str">
        <f>IFERROR(IF(OR($B3751="",$B3751="(blank)"),"",VLOOKUP($B3751,'Email Marketing Raw Data'!$C:$O,8,0)),"")</f>
        <v/>
      </c>
      <c r="Q3751" s="62" t="str">
        <f>IFERROR(IF(OR($B3751="",$B3751="(blank)"),"",VLOOKUP($B3751,'Email Marketing Raw Data'!$C:$O,9,0)),"")</f>
        <v/>
      </c>
    </row>
    <row r="3752" spans="4:17" ht="12.75" customHeight="1" x14ac:dyDescent="0.2">
      <c r="D3752" s="58" t="str">
        <f>IFERROR(IF(F3752&lt;&gt;"pending","",IF(OR($B3752="",$B3752="(blank)"),"",VLOOKUP($B3752,'Email Marketing Raw Data'!$C:$O,10,0))),"")</f>
        <v/>
      </c>
      <c r="E3752" s="59" t="str">
        <f>IFERROR(IF(F3752&lt;&gt;"pending","",IF(OR($B3752="",$B3752="(blank)"),"",VLOOKUP($B3752,'Email Marketing Raw Data'!$C:$O,11,0))),"")</f>
        <v/>
      </c>
      <c r="F3752" s="54" t="str">
        <f>IFERROR(IF(OR($B3752="",$B3752="(blank)"),"",VLOOKUP($B3752,'Email Marketing Raw Data'!$C:$O,13,0)),"")</f>
        <v/>
      </c>
      <c r="G3752" s="55" t="str">
        <f>IFERROR(IF(OR($B3752="",$B3752="(blank)"),"",VLOOKUP($B3752,'Email Marketing Raw Data'!$C:$O,4,0)),"")</f>
        <v/>
      </c>
      <c r="H3752" s="55" t="str">
        <f>IFERROR(IF(OR($B3752="",$B3752="(blank)"),"",VLOOKUP($B3752,'Email Marketing Raw Data'!$C:$O,5,0)),"")</f>
        <v/>
      </c>
      <c r="I3752" s="55" t="str">
        <f>IFERROR(IF($G3752="","",VLOOKUP('Dashboard And Emails Automate'!$G3752,Database!$H:$N,3,0)),"")</f>
        <v/>
      </c>
      <c r="J3752" s="55" t="str">
        <f>IFERROR(IF($G3752="","",VLOOKUP('Dashboard And Emails Automate'!$G3752,Database!$H:$N,4,0)),"")</f>
        <v/>
      </c>
      <c r="K3752" s="55" t="str">
        <f>IFERROR(IF($G3752="","",VLOOKUP('Dashboard And Emails Automate'!$G3752,Database!$H:$N,5,0)),"")</f>
        <v/>
      </c>
      <c r="L3752" s="55" t="str">
        <f>IFERROR(IF($G3752="","",VLOOKUP('Dashboard And Emails Automate'!$G3752,Database!$H:$N,6,0)),"")</f>
        <v/>
      </c>
      <c r="M3752" s="55" t="str">
        <f>IFERROR(IF($G3752="","",VLOOKUP('Dashboard And Emails Automate'!$G3752,Database!$H:$N,7,0)),"")</f>
        <v/>
      </c>
      <c r="N3752" s="55" t="str">
        <f>IFERROR(IF(OR($B3752="",$B3752="(blank)"),"",VLOOKUP($B3752,'Email Marketing Raw Data'!$C:$O,6,0)),"")</f>
        <v/>
      </c>
      <c r="O3752" s="55" t="str">
        <f>IFERROR(IF(OR($B3752="",$B3752="(blank)"),"",VLOOKUP($B3752,'Email Marketing Raw Data'!$C:$O,7,0)),"")</f>
        <v/>
      </c>
      <c r="P3752" s="55" t="str">
        <f>IFERROR(IF(OR($B3752="",$B3752="(blank)"),"",VLOOKUP($B3752,'Email Marketing Raw Data'!$C:$O,8,0)),"")</f>
        <v/>
      </c>
      <c r="Q3752" s="62" t="str">
        <f>IFERROR(IF(OR($B3752="",$B3752="(blank)"),"",VLOOKUP($B3752,'Email Marketing Raw Data'!$C:$O,9,0)),"")</f>
        <v/>
      </c>
    </row>
    <row r="3753" spans="4:17" ht="12.75" customHeight="1" x14ac:dyDescent="0.2">
      <c r="D3753" s="58" t="str">
        <f>IFERROR(IF(F3753&lt;&gt;"pending","",IF(OR($B3753="",$B3753="(blank)"),"",VLOOKUP($B3753,'Email Marketing Raw Data'!$C:$O,10,0))),"")</f>
        <v/>
      </c>
      <c r="E3753" s="59" t="str">
        <f>IFERROR(IF(F3753&lt;&gt;"pending","",IF(OR($B3753="",$B3753="(blank)"),"",VLOOKUP($B3753,'Email Marketing Raw Data'!$C:$O,11,0))),"")</f>
        <v/>
      </c>
      <c r="F3753" s="54" t="str">
        <f>IFERROR(IF(OR($B3753="",$B3753="(blank)"),"",VLOOKUP($B3753,'Email Marketing Raw Data'!$C:$O,13,0)),"")</f>
        <v/>
      </c>
      <c r="G3753" s="55" t="str">
        <f>IFERROR(IF(OR($B3753="",$B3753="(blank)"),"",VLOOKUP($B3753,'Email Marketing Raw Data'!$C:$O,4,0)),"")</f>
        <v/>
      </c>
      <c r="H3753" s="55" t="str">
        <f>IFERROR(IF(OR($B3753="",$B3753="(blank)"),"",VLOOKUP($B3753,'Email Marketing Raw Data'!$C:$O,5,0)),"")</f>
        <v/>
      </c>
      <c r="I3753" s="55" t="str">
        <f>IFERROR(IF($G3753="","",VLOOKUP('Dashboard And Emails Automate'!$G3753,Database!$H:$N,3,0)),"")</f>
        <v/>
      </c>
      <c r="J3753" s="55" t="str">
        <f>IFERROR(IF($G3753="","",VLOOKUP('Dashboard And Emails Automate'!$G3753,Database!$H:$N,4,0)),"")</f>
        <v/>
      </c>
      <c r="K3753" s="55" t="str">
        <f>IFERROR(IF($G3753="","",VLOOKUP('Dashboard And Emails Automate'!$G3753,Database!$H:$N,5,0)),"")</f>
        <v/>
      </c>
      <c r="L3753" s="55" t="str">
        <f>IFERROR(IF($G3753="","",VLOOKUP('Dashboard And Emails Automate'!$G3753,Database!$H:$N,6,0)),"")</f>
        <v/>
      </c>
      <c r="M3753" s="55" t="str">
        <f>IFERROR(IF($G3753="","",VLOOKUP('Dashboard And Emails Automate'!$G3753,Database!$H:$N,7,0)),"")</f>
        <v/>
      </c>
      <c r="N3753" s="55" t="str">
        <f>IFERROR(IF(OR($B3753="",$B3753="(blank)"),"",VLOOKUP($B3753,'Email Marketing Raw Data'!$C:$O,6,0)),"")</f>
        <v/>
      </c>
      <c r="O3753" s="55" t="str">
        <f>IFERROR(IF(OR($B3753="",$B3753="(blank)"),"",VLOOKUP($B3753,'Email Marketing Raw Data'!$C:$O,7,0)),"")</f>
        <v/>
      </c>
      <c r="P3753" s="55" t="str">
        <f>IFERROR(IF(OR($B3753="",$B3753="(blank)"),"",VLOOKUP($B3753,'Email Marketing Raw Data'!$C:$O,8,0)),"")</f>
        <v/>
      </c>
      <c r="Q3753" s="62" t="str">
        <f>IFERROR(IF(OR($B3753="",$B3753="(blank)"),"",VLOOKUP($B3753,'Email Marketing Raw Data'!$C:$O,9,0)),"")</f>
        <v/>
      </c>
    </row>
    <row r="3754" spans="4:17" ht="12.75" customHeight="1" x14ac:dyDescent="0.2">
      <c r="D3754" s="58" t="str">
        <f>IFERROR(IF(F3754&lt;&gt;"pending","",IF(OR($B3754="",$B3754="(blank)"),"",VLOOKUP($B3754,'Email Marketing Raw Data'!$C:$O,10,0))),"")</f>
        <v/>
      </c>
      <c r="E3754" s="59" t="str">
        <f>IFERROR(IF(F3754&lt;&gt;"pending","",IF(OR($B3754="",$B3754="(blank)"),"",VLOOKUP($B3754,'Email Marketing Raw Data'!$C:$O,11,0))),"")</f>
        <v/>
      </c>
      <c r="F3754" s="54" t="str">
        <f>IFERROR(IF(OR($B3754="",$B3754="(blank)"),"",VLOOKUP($B3754,'Email Marketing Raw Data'!$C:$O,13,0)),"")</f>
        <v/>
      </c>
      <c r="G3754" s="55" t="str">
        <f>IFERROR(IF(OR($B3754="",$B3754="(blank)"),"",VLOOKUP($B3754,'Email Marketing Raw Data'!$C:$O,4,0)),"")</f>
        <v/>
      </c>
      <c r="H3754" s="55" t="str">
        <f>IFERROR(IF(OR($B3754="",$B3754="(blank)"),"",VLOOKUP($B3754,'Email Marketing Raw Data'!$C:$O,5,0)),"")</f>
        <v/>
      </c>
      <c r="I3754" s="55" t="str">
        <f>IFERROR(IF($G3754="","",VLOOKUP('Dashboard And Emails Automate'!$G3754,Database!$H:$N,3,0)),"")</f>
        <v/>
      </c>
      <c r="J3754" s="55" t="str">
        <f>IFERROR(IF($G3754="","",VLOOKUP('Dashboard And Emails Automate'!$G3754,Database!$H:$N,4,0)),"")</f>
        <v/>
      </c>
      <c r="K3754" s="55" t="str">
        <f>IFERROR(IF($G3754="","",VLOOKUP('Dashboard And Emails Automate'!$G3754,Database!$H:$N,5,0)),"")</f>
        <v/>
      </c>
      <c r="L3754" s="55" t="str">
        <f>IFERROR(IF($G3754="","",VLOOKUP('Dashboard And Emails Automate'!$G3754,Database!$H:$N,6,0)),"")</f>
        <v/>
      </c>
      <c r="M3754" s="55" t="str">
        <f>IFERROR(IF($G3754="","",VLOOKUP('Dashboard And Emails Automate'!$G3754,Database!$H:$N,7,0)),"")</f>
        <v/>
      </c>
      <c r="N3754" s="55" t="str">
        <f>IFERROR(IF(OR($B3754="",$B3754="(blank)"),"",VLOOKUP($B3754,'Email Marketing Raw Data'!$C:$O,6,0)),"")</f>
        <v/>
      </c>
      <c r="O3754" s="55" t="str">
        <f>IFERROR(IF(OR($B3754="",$B3754="(blank)"),"",VLOOKUP($B3754,'Email Marketing Raw Data'!$C:$O,7,0)),"")</f>
        <v/>
      </c>
      <c r="P3754" s="55" t="str">
        <f>IFERROR(IF(OR($B3754="",$B3754="(blank)"),"",VLOOKUP($B3754,'Email Marketing Raw Data'!$C:$O,8,0)),"")</f>
        <v/>
      </c>
      <c r="Q3754" s="62" t="str">
        <f>IFERROR(IF(OR($B3754="",$B3754="(blank)"),"",VLOOKUP($B3754,'Email Marketing Raw Data'!$C:$O,9,0)),"")</f>
        <v/>
      </c>
    </row>
    <row r="3755" spans="4:17" ht="12.75" customHeight="1" x14ac:dyDescent="0.2">
      <c r="D3755" s="58" t="str">
        <f>IFERROR(IF(F3755&lt;&gt;"pending","",IF(OR($B3755="",$B3755="(blank)"),"",VLOOKUP($B3755,'Email Marketing Raw Data'!$C:$O,10,0))),"")</f>
        <v/>
      </c>
      <c r="E3755" s="59" t="str">
        <f>IFERROR(IF(F3755&lt;&gt;"pending","",IF(OR($B3755="",$B3755="(blank)"),"",VLOOKUP($B3755,'Email Marketing Raw Data'!$C:$O,11,0))),"")</f>
        <v/>
      </c>
      <c r="F3755" s="54" t="str">
        <f>IFERROR(IF(OR($B3755="",$B3755="(blank)"),"",VLOOKUP($B3755,'Email Marketing Raw Data'!$C:$O,13,0)),"")</f>
        <v/>
      </c>
      <c r="G3755" s="55" t="str">
        <f>IFERROR(IF(OR($B3755="",$B3755="(blank)"),"",VLOOKUP($B3755,'Email Marketing Raw Data'!$C:$O,4,0)),"")</f>
        <v/>
      </c>
      <c r="H3755" s="55" t="str">
        <f>IFERROR(IF(OR($B3755="",$B3755="(blank)"),"",VLOOKUP($B3755,'Email Marketing Raw Data'!$C:$O,5,0)),"")</f>
        <v/>
      </c>
      <c r="I3755" s="55" t="str">
        <f>IFERROR(IF($G3755="","",VLOOKUP('Dashboard And Emails Automate'!$G3755,Database!$H:$N,3,0)),"")</f>
        <v/>
      </c>
      <c r="J3755" s="55" t="str">
        <f>IFERROR(IF($G3755="","",VLOOKUP('Dashboard And Emails Automate'!$G3755,Database!$H:$N,4,0)),"")</f>
        <v/>
      </c>
      <c r="K3755" s="55" t="str">
        <f>IFERROR(IF($G3755="","",VLOOKUP('Dashboard And Emails Automate'!$G3755,Database!$H:$N,5,0)),"")</f>
        <v/>
      </c>
      <c r="L3755" s="55" t="str">
        <f>IFERROR(IF($G3755="","",VLOOKUP('Dashboard And Emails Automate'!$G3755,Database!$H:$N,6,0)),"")</f>
        <v/>
      </c>
      <c r="M3755" s="55" t="str">
        <f>IFERROR(IF($G3755="","",VLOOKUP('Dashboard And Emails Automate'!$G3755,Database!$H:$N,7,0)),"")</f>
        <v/>
      </c>
      <c r="N3755" s="55" t="str">
        <f>IFERROR(IF(OR($B3755="",$B3755="(blank)"),"",VLOOKUP($B3755,'Email Marketing Raw Data'!$C:$O,6,0)),"")</f>
        <v/>
      </c>
      <c r="O3755" s="55" t="str">
        <f>IFERROR(IF(OR($B3755="",$B3755="(blank)"),"",VLOOKUP($B3755,'Email Marketing Raw Data'!$C:$O,7,0)),"")</f>
        <v/>
      </c>
      <c r="P3755" s="55" t="str">
        <f>IFERROR(IF(OR($B3755="",$B3755="(blank)"),"",VLOOKUP($B3755,'Email Marketing Raw Data'!$C:$O,8,0)),"")</f>
        <v/>
      </c>
      <c r="Q3755" s="62" t="str">
        <f>IFERROR(IF(OR($B3755="",$B3755="(blank)"),"",VLOOKUP($B3755,'Email Marketing Raw Data'!$C:$O,9,0)),"")</f>
        <v/>
      </c>
    </row>
    <row r="3756" spans="4:17" ht="12.75" customHeight="1" x14ac:dyDescent="0.2">
      <c r="D3756" s="58" t="str">
        <f>IFERROR(IF(F3756&lt;&gt;"pending","",IF(OR($B3756="",$B3756="(blank)"),"",VLOOKUP($B3756,'Email Marketing Raw Data'!$C:$O,10,0))),"")</f>
        <v/>
      </c>
      <c r="E3756" s="59" t="str">
        <f>IFERROR(IF(F3756&lt;&gt;"pending","",IF(OR($B3756="",$B3756="(blank)"),"",VLOOKUP($B3756,'Email Marketing Raw Data'!$C:$O,11,0))),"")</f>
        <v/>
      </c>
      <c r="F3756" s="54" t="str">
        <f>IFERROR(IF(OR($B3756="",$B3756="(blank)"),"",VLOOKUP($B3756,'Email Marketing Raw Data'!$C:$O,13,0)),"")</f>
        <v/>
      </c>
      <c r="G3756" s="55" t="str">
        <f>IFERROR(IF(OR($B3756="",$B3756="(blank)"),"",VLOOKUP($B3756,'Email Marketing Raw Data'!$C:$O,4,0)),"")</f>
        <v/>
      </c>
      <c r="H3756" s="55" t="str">
        <f>IFERROR(IF(OR($B3756="",$B3756="(blank)"),"",VLOOKUP($B3756,'Email Marketing Raw Data'!$C:$O,5,0)),"")</f>
        <v/>
      </c>
      <c r="I3756" s="55" t="str">
        <f>IFERROR(IF($G3756="","",VLOOKUP('Dashboard And Emails Automate'!$G3756,Database!$H:$N,3,0)),"")</f>
        <v/>
      </c>
      <c r="J3756" s="55" t="str">
        <f>IFERROR(IF($G3756="","",VLOOKUP('Dashboard And Emails Automate'!$G3756,Database!$H:$N,4,0)),"")</f>
        <v/>
      </c>
      <c r="K3756" s="55" t="str">
        <f>IFERROR(IF($G3756="","",VLOOKUP('Dashboard And Emails Automate'!$G3756,Database!$H:$N,5,0)),"")</f>
        <v/>
      </c>
      <c r="L3756" s="55" t="str">
        <f>IFERROR(IF($G3756="","",VLOOKUP('Dashboard And Emails Automate'!$G3756,Database!$H:$N,6,0)),"")</f>
        <v/>
      </c>
      <c r="M3756" s="55" t="str">
        <f>IFERROR(IF($G3756="","",VLOOKUP('Dashboard And Emails Automate'!$G3756,Database!$H:$N,7,0)),"")</f>
        <v/>
      </c>
      <c r="N3756" s="55" t="str">
        <f>IFERROR(IF(OR($B3756="",$B3756="(blank)"),"",VLOOKUP($B3756,'Email Marketing Raw Data'!$C:$O,6,0)),"")</f>
        <v/>
      </c>
      <c r="O3756" s="55" t="str">
        <f>IFERROR(IF(OR($B3756="",$B3756="(blank)"),"",VLOOKUP($B3756,'Email Marketing Raw Data'!$C:$O,7,0)),"")</f>
        <v/>
      </c>
      <c r="P3756" s="55" t="str">
        <f>IFERROR(IF(OR($B3756="",$B3756="(blank)"),"",VLOOKUP($B3756,'Email Marketing Raw Data'!$C:$O,8,0)),"")</f>
        <v/>
      </c>
      <c r="Q3756" s="62" t="str">
        <f>IFERROR(IF(OR($B3756="",$B3756="(blank)"),"",VLOOKUP($B3756,'Email Marketing Raw Data'!$C:$O,9,0)),"")</f>
        <v/>
      </c>
    </row>
    <row r="3757" spans="4:17" ht="12.75" customHeight="1" x14ac:dyDescent="0.2">
      <c r="D3757" s="58" t="str">
        <f>IFERROR(IF(F3757&lt;&gt;"pending","",IF(OR($B3757="",$B3757="(blank)"),"",VLOOKUP($B3757,'Email Marketing Raw Data'!$C:$O,10,0))),"")</f>
        <v/>
      </c>
      <c r="E3757" s="59" t="str">
        <f>IFERROR(IF(F3757&lt;&gt;"pending","",IF(OR($B3757="",$B3757="(blank)"),"",VLOOKUP($B3757,'Email Marketing Raw Data'!$C:$O,11,0))),"")</f>
        <v/>
      </c>
      <c r="F3757" s="54" t="str">
        <f>IFERROR(IF(OR($B3757="",$B3757="(blank)"),"",VLOOKUP($B3757,'Email Marketing Raw Data'!$C:$O,13,0)),"")</f>
        <v/>
      </c>
      <c r="G3757" s="55" t="str">
        <f>IFERROR(IF(OR($B3757="",$B3757="(blank)"),"",VLOOKUP($B3757,'Email Marketing Raw Data'!$C:$O,4,0)),"")</f>
        <v/>
      </c>
      <c r="H3757" s="55" t="str">
        <f>IFERROR(IF(OR($B3757="",$B3757="(blank)"),"",VLOOKUP($B3757,'Email Marketing Raw Data'!$C:$O,5,0)),"")</f>
        <v/>
      </c>
      <c r="I3757" s="55" t="str">
        <f>IFERROR(IF($G3757="","",VLOOKUP('Dashboard And Emails Automate'!$G3757,Database!$H:$N,3,0)),"")</f>
        <v/>
      </c>
      <c r="J3757" s="55" t="str">
        <f>IFERROR(IF($G3757="","",VLOOKUP('Dashboard And Emails Automate'!$G3757,Database!$H:$N,4,0)),"")</f>
        <v/>
      </c>
      <c r="K3757" s="55" t="str">
        <f>IFERROR(IF($G3757="","",VLOOKUP('Dashboard And Emails Automate'!$G3757,Database!$H:$N,5,0)),"")</f>
        <v/>
      </c>
      <c r="L3757" s="55" t="str">
        <f>IFERROR(IF($G3757="","",VLOOKUP('Dashboard And Emails Automate'!$G3757,Database!$H:$N,6,0)),"")</f>
        <v/>
      </c>
      <c r="M3757" s="55" t="str">
        <f>IFERROR(IF($G3757="","",VLOOKUP('Dashboard And Emails Automate'!$G3757,Database!$H:$N,7,0)),"")</f>
        <v/>
      </c>
      <c r="N3757" s="55" t="str">
        <f>IFERROR(IF(OR($B3757="",$B3757="(blank)"),"",VLOOKUP($B3757,'Email Marketing Raw Data'!$C:$O,6,0)),"")</f>
        <v/>
      </c>
      <c r="O3757" s="55" t="str">
        <f>IFERROR(IF(OR($B3757="",$B3757="(blank)"),"",VLOOKUP($B3757,'Email Marketing Raw Data'!$C:$O,7,0)),"")</f>
        <v/>
      </c>
      <c r="P3757" s="55" t="str">
        <f>IFERROR(IF(OR($B3757="",$B3757="(blank)"),"",VLOOKUP($B3757,'Email Marketing Raw Data'!$C:$O,8,0)),"")</f>
        <v/>
      </c>
      <c r="Q3757" s="62" t="str">
        <f>IFERROR(IF(OR($B3757="",$B3757="(blank)"),"",VLOOKUP($B3757,'Email Marketing Raw Data'!$C:$O,9,0)),"")</f>
        <v/>
      </c>
    </row>
    <row r="3758" spans="4:17" ht="12.75" customHeight="1" x14ac:dyDescent="0.2">
      <c r="D3758" s="58" t="str">
        <f>IFERROR(IF(F3758&lt;&gt;"pending","",IF(OR($B3758="",$B3758="(blank)"),"",VLOOKUP($B3758,'Email Marketing Raw Data'!$C:$O,10,0))),"")</f>
        <v/>
      </c>
      <c r="E3758" s="59" t="str">
        <f>IFERROR(IF(F3758&lt;&gt;"pending","",IF(OR($B3758="",$B3758="(blank)"),"",VLOOKUP($B3758,'Email Marketing Raw Data'!$C:$O,11,0))),"")</f>
        <v/>
      </c>
      <c r="F3758" s="54" t="str">
        <f>IFERROR(IF(OR($B3758="",$B3758="(blank)"),"",VLOOKUP($B3758,'Email Marketing Raw Data'!$C:$O,13,0)),"")</f>
        <v/>
      </c>
      <c r="G3758" s="55" t="str">
        <f>IFERROR(IF(OR($B3758="",$B3758="(blank)"),"",VLOOKUP($B3758,'Email Marketing Raw Data'!$C:$O,4,0)),"")</f>
        <v/>
      </c>
      <c r="H3758" s="55" t="str">
        <f>IFERROR(IF(OR($B3758="",$B3758="(blank)"),"",VLOOKUP($B3758,'Email Marketing Raw Data'!$C:$O,5,0)),"")</f>
        <v/>
      </c>
      <c r="I3758" s="55" t="str">
        <f>IFERROR(IF($G3758="","",VLOOKUP('Dashboard And Emails Automate'!$G3758,Database!$H:$N,3,0)),"")</f>
        <v/>
      </c>
      <c r="J3758" s="55" t="str">
        <f>IFERROR(IF($G3758="","",VLOOKUP('Dashboard And Emails Automate'!$G3758,Database!$H:$N,4,0)),"")</f>
        <v/>
      </c>
      <c r="K3758" s="55" t="str">
        <f>IFERROR(IF($G3758="","",VLOOKUP('Dashboard And Emails Automate'!$G3758,Database!$H:$N,5,0)),"")</f>
        <v/>
      </c>
      <c r="L3758" s="55" t="str">
        <f>IFERROR(IF($G3758="","",VLOOKUP('Dashboard And Emails Automate'!$G3758,Database!$H:$N,6,0)),"")</f>
        <v/>
      </c>
      <c r="M3758" s="55" t="str">
        <f>IFERROR(IF($G3758="","",VLOOKUP('Dashboard And Emails Automate'!$G3758,Database!$H:$N,7,0)),"")</f>
        <v/>
      </c>
      <c r="N3758" s="55" t="str">
        <f>IFERROR(IF(OR($B3758="",$B3758="(blank)"),"",VLOOKUP($B3758,'Email Marketing Raw Data'!$C:$O,6,0)),"")</f>
        <v/>
      </c>
      <c r="O3758" s="55" t="str">
        <f>IFERROR(IF(OR($B3758="",$B3758="(blank)"),"",VLOOKUP($B3758,'Email Marketing Raw Data'!$C:$O,7,0)),"")</f>
        <v/>
      </c>
      <c r="P3758" s="55" t="str">
        <f>IFERROR(IF(OR($B3758="",$B3758="(blank)"),"",VLOOKUP($B3758,'Email Marketing Raw Data'!$C:$O,8,0)),"")</f>
        <v/>
      </c>
      <c r="Q3758" s="62" t="str">
        <f>IFERROR(IF(OR($B3758="",$B3758="(blank)"),"",VLOOKUP($B3758,'Email Marketing Raw Data'!$C:$O,9,0)),"")</f>
        <v/>
      </c>
    </row>
    <row r="3759" spans="4:17" ht="12.75" customHeight="1" x14ac:dyDescent="0.2">
      <c r="D3759" s="58" t="str">
        <f>IFERROR(IF(F3759&lt;&gt;"pending","",IF(OR($B3759="",$B3759="(blank)"),"",VLOOKUP($B3759,'Email Marketing Raw Data'!$C:$O,10,0))),"")</f>
        <v/>
      </c>
      <c r="E3759" s="59" t="str">
        <f>IFERROR(IF(F3759&lt;&gt;"pending","",IF(OR($B3759="",$B3759="(blank)"),"",VLOOKUP($B3759,'Email Marketing Raw Data'!$C:$O,11,0))),"")</f>
        <v/>
      </c>
      <c r="F3759" s="54" t="str">
        <f>IFERROR(IF(OR($B3759="",$B3759="(blank)"),"",VLOOKUP($B3759,'Email Marketing Raw Data'!$C:$O,13,0)),"")</f>
        <v/>
      </c>
      <c r="G3759" s="55" t="str">
        <f>IFERROR(IF(OR($B3759="",$B3759="(blank)"),"",VLOOKUP($B3759,'Email Marketing Raw Data'!$C:$O,4,0)),"")</f>
        <v/>
      </c>
      <c r="H3759" s="55" t="str">
        <f>IFERROR(IF(OR($B3759="",$B3759="(blank)"),"",VLOOKUP($B3759,'Email Marketing Raw Data'!$C:$O,5,0)),"")</f>
        <v/>
      </c>
      <c r="I3759" s="55" t="str">
        <f>IFERROR(IF($G3759="","",VLOOKUP('Dashboard And Emails Automate'!$G3759,Database!$H:$N,3,0)),"")</f>
        <v/>
      </c>
      <c r="J3759" s="55" t="str">
        <f>IFERROR(IF($G3759="","",VLOOKUP('Dashboard And Emails Automate'!$G3759,Database!$H:$N,4,0)),"")</f>
        <v/>
      </c>
      <c r="K3759" s="55" t="str">
        <f>IFERROR(IF($G3759="","",VLOOKUP('Dashboard And Emails Automate'!$G3759,Database!$H:$N,5,0)),"")</f>
        <v/>
      </c>
      <c r="L3759" s="55" t="str">
        <f>IFERROR(IF($G3759="","",VLOOKUP('Dashboard And Emails Automate'!$G3759,Database!$H:$N,6,0)),"")</f>
        <v/>
      </c>
      <c r="M3759" s="55" t="str">
        <f>IFERROR(IF($G3759="","",VLOOKUP('Dashboard And Emails Automate'!$G3759,Database!$H:$N,7,0)),"")</f>
        <v/>
      </c>
      <c r="N3759" s="55" t="str">
        <f>IFERROR(IF(OR($B3759="",$B3759="(blank)"),"",VLOOKUP($B3759,'Email Marketing Raw Data'!$C:$O,6,0)),"")</f>
        <v/>
      </c>
      <c r="O3759" s="55" t="str">
        <f>IFERROR(IF(OR($B3759="",$B3759="(blank)"),"",VLOOKUP($B3759,'Email Marketing Raw Data'!$C:$O,7,0)),"")</f>
        <v/>
      </c>
      <c r="P3759" s="55" t="str">
        <f>IFERROR(IF(OR($B3759="",$B3759="(blank)"),"",VLOOKUP($B3759,'Email Marketing Raw Data'!$C:$O,8,0)),"")</f>
        <v/>
      </c>
      <c r="Q3759" s="62" t="str">
        <f>IFERROR(IF(OR($B3759="",$B3759="(blank)"),"",VLOOKUP($B3759,'Email Marketing Raw Data'!$C:$O,9,0)),"")</f>
        <v/>
      </c>
    </row>
    <row r="3760" spans="4:17" ht="12.75" customHeight="1" x14ac:dyDescent="0.2">
      <c r="D3760" s="58" t="str">
        <f>IFERROR(IF(F3760&lt;&gt;"pending","",IF(OR($B3760="",$B3760="(blank)"),"",VLOOKUP($B3760,'Email Marketing Raw Data'!$C:$O,10,0))),"")</f>
        <v/>
      </c>
      <c r="E3760" s="59" t="str">
        <f>IFERROR(IF(F3760&lt;&gt;"pending","",IF(OR($B3760="",$B3760="(blank)"),"",VLOOKUP($B3760,'Email Marketing Raw Data'!$C:$O,11,0))),"")</f>
        <v/>
      </c>
      <c r="F3760" s="54" t="str">
        <f>IFERROR(IF(OR($B3760="",$B3760="(blank)"),"",VLOOKUP($B3760,'Email Marketing Raw Data'!$C:$O,13,0)),"")</f>
        <v/>
      </c>
      <c r="G3760" s="55" t="str">
        <f>IFERROR(IF(OR($B3760="",$B3760="(blank)"),"",VLOOKUP($B3760,'Email Marketing Raw Data'!$C:$O,4,0)),"")</f>
        <v/>
      </c>
      <c r="H3760" s="55" t="str">
        <f>IFERROR(IF(OR($B3760="",$B3760="(blank)"),"",VLOOKUP($B3760,'Email Marketing Raw Data'!$C:$O,5,0)),"")</f>
        <v/>
      </c>
      <c r="I3760" s="55" t="str">
        <f>IFERROR(IF($G3760="","",VLOOKUP('Dashboard And Emails Automate'!$G3760,Database!$H:$N,3,0)),"")</f>
        <v/>
      </c>
      <c r="J3760" s="55" t="str">
        <f>IFERROR(IF($G3760="","",VLOOKUP('Dashboard And Emails Automate'!$G3760,Database!$H:$N,4,0)),"")</f>
        <v/>
      </c>
      <c r="K3760" s="55" t="str">
        <f>IFERROR(IF($G3760="","",VLOOKUP('Dashboard And Emails Automate'!$G3760,Database!$H:$N,5,0)),"")</f>
        <v/>
      </c>
      <c r="L3760" s="55" t="str">
        <f>IFERROR(IF($G3760="","",VLOOKUP('Dashboard And Emails Automate'!$G3760,Database!$H:$N,6,0)),"")</f>
        <v/>
      </c>
      <c r="M3760" s="55" t="str">
        <f>IFERROR(IF($G3760="","",VLOOKUP('Dashboard And Emails Automate'!$G3760,Database!$H:$N,7,0)),"")</f>
        <v/>
      </c>
      <c r="N3760" s="55" t="str">
        <f>IFERROR(IF(OR($B3760="",$B3760="(blank)"),"",VLOOKUP($B3760,'Email Marketing Raw Data'!$C:$O,6,0)),"")</f>
        <v/>
      </c>
      <c r="O3760" s="55" t="str">
        <f>IFERROR(IF(OR($B3760="",$B3760="(blank)"),"",VLOOKUP($B3760,'Email Marketing Raw Data'!$C:$O,7,0)),"")</f>
        <v/>
      </c>
      <c r="P3760" s="55" t="str">
        <f>IFERROR(IF(OR($B3760="",$B3760="(blank)"),"",VLOOKUP($B3760,'Email Marketing Raw Data'!$C:$O,8,0)),"")</f>
        <v/>
      </c>
      <c r="Q3760" s="62" t="str">
        <f>IFERROR(IF(OR($B3760="",$B3760="(blank)"),"",VLOOKUP($B3760,'Email Marketing Raw Data'!$C:$O,9,0)),"")</f>
        <v/>
      </c>
    </row>
    <row r="3761" spans="4:17" ht="12.75" customHeight="1" x14ac:dyDescent="0.2">
      <c r="D3761" s="58" t="str">
        <f>IFERROR(IF(F3761&lt;&gt;"pending","",IF(OR($B3761="",$B3761="(blank)"),"",VLOOKUP($B3761,'Email Marketing Raw Data'!$C:$O,10,0))),"")</f>
        <v/>
      </c>
      <c r="E3761" s="59" t="str">
        <f>IFERROR(IF(F3761&lt;&gt;"pending","",IF(OR($B3761="",$B3761="(blank)"),"",VLOOKUP($B3761,'Email Marketing Raw Data'!$C:$O,11,0))),"")</f>
        <v/>
      </c>
      <c r="F3761" s="54" t="str">
        <f>IFERROR(IF(OR($B3761="",$B3761="(blank)"),"",VLOOKUP($B3761,'Email Marketing Raw Data'!$C:$O,13,0)),"")</f>
        <v/>
      </c>
      <c r="G3761" s="55" t="str">
        <f>IFERROR(IF(OR($B3761="",$B3761="(blank)"),"",VLOOKUP($B3761,'Email Marketing Raw Data'!$C:$O,4,0)),"")</f>
        <v/>
      </c>
      <c r="H3761" s="55" t="str">
        <f>IFERROR(IF(OR($B3761="",$B3761="(blank)"),"",VLOOKUP($B3761,'Email Marketing Raw Data'!$C:$O,5,0)),"")</f>
        <v/>
      </c>
      <c r="I3761" s="55" t="str">
        <f>IFERROR(IF($G3761="","",VLOOKUP('Dashboard And Emails Automate'!$G3761,Database!$H:$N,3,0)),"")</f>
        <v/>
      </c>
      <c r="J3761" s="55" t="str">
        <f>IFERROR(IF($G3761="","",VLOOKUP('Dashboard And Emails Automate'!$G3761,Database!$H:$N,4,0)),"")</f>
        <v/>
      </c>
      <c r="K3761" s="55" t="str">
        <f>IFERROR(IF($G3761="","",VLOOKUP('Dashboard And Emails Automate'!$G3761,Database!$H:$N,5,0)),"")</f>
        <v/>
      </c>
      <c r="L3761" s="55" t="str">
        <f>IFERROR(IF($G3761="","",VLOOKUP('Dashboard And Emails Automate'!$G3761,Database!$H:$N,6,0)),"")</f>
        <v/>
      </c>
      <c r="M3761" s="55" t="str">
        <f>IFERROR(IF($G3761="","",VLOOKUP('Dashboard And Emails Automate'!$G3761,Database!$H:$N,7,0)),"")</f>
        <v/>
      </c>
      <c r="N3761" s="55" t="str">
        <f>IFERROR(IF(OR($B3761="",$B3761="(blank)"),"",VLOOKUP($B3761,'Email Marketing Raw Data'!$C:$O,6,0)),"")</f>
        <v/>
      </c>
      <c r="O3761" s="55" t="str">
        <f>IFERROR(IF(OR($B3761="",$B3761="(blank)"),"",VLOOKUP($B3761,'Email Marketing Raw Data'!$C:$O,7,0)),"")</f>
        <v/>
      </c>
      <c r="P3761" s="55" t="str">
        <f>IFERROR(IF(OR($B3761="",$B3761="(blank)"),"",VLOOKUP($B3761,'Email Marketing Raw Data'!$C:$O,8,0)),"")</f>
        <v/>
      </c>
      <c r="Q3761" s="62" t="str">
        <f>IFERROR(IF(OR($B3761="",$B3761="(blank)"),"",VLOOKUP($B3761,'Email Marketing Raw Data'!$C:$O,9,0)),"")</f>
        <v/>
      </c>
    </row>
    <row r="3762" spans="4:17" ht="12.75" customHeight="1" x14ac:dyDescent="0.2">
      <c r="D3762" s="58" t="str">
        <f>IFERROR(IF(F3762&lt;&gt;"pending","",IF(OR($B3762="",$B3762="(blank)"),"",VLOOKUP($B3762,'Email Marketing Raw Data'!$C:$O,10,0))),"")</f>
        <v/>
      </c>
      <c r="E3762" s="59" t="str">
        <f>IFERROR(IF(F3762&lt;&gt;"pending","",IF(OR($B3762="",$B3762="(blank)"),"",VLOOKUP($B3762,'Email Marketing Raw Data'!$C:$O,11,0))),"")</f>
        <v/>
      </c>
      <c r="F3762" s="54" t="str">
        <f>IFERROR(IF(OR($B3762="",$B3762="(blank)"),"",VLOOKUP($B3762,'Email Marketing Raw Data'!$C:$O,13,0)),"")</f>
        <v/>
      </c>
      <c r="G3762" s="55" t="str">
        <f>IFERROR(IF(OR($B3762="",$B3762="(blank)"),"",VLOOKUP($B3762,'Email Marketing Raw Data'!$C:$O,4,0)),"")</f>
        <v/>
      </c>
      <c r="H3762" s="55" t="str">
        <f>IFERROR(IF(OR($B3762="",$B3762="(blank)"),"",VLOOKUP($B3762,'Email Marketing Raw Data'!$C:$O,5,0)),"")</f>
        <v/>
      </c>
      <c r="I3762" s="55" t="str">
        <f>IFERROR(IF($G3762="","",VLOOKUP('Dashboard And Emails Automate'!$G3762,Database!$H:$N,3,0)),"")</f>
        <v/>
      </c>
      <c r="J3762" s="55" t="str">
        <f>IFERROR(IF($G3762="","",VLOOKUP('Dashboard And Emails Automate'!$G3762,Database!$H:$N,4,0)),"")</f>
        <v/>
      </c>
      <c r="K3762" s="55" t="str">
        <f>IFERROR(IF($G3762="","",VLOOKUP('Dashboard And Emails Automate'!$G3762,Database!$H:$N,5,0)),"")</f>
        <v/>
      </c>
      <c r="L3762" s="55" t="str">
        <f>IFERROR(IF($G3762="","",VLOOKUP('Dashboard And Emails Automate'!$G3762,Database!$H:$N,6,0)),"")</f>
        <v/>
      </c>
      <c r="M3762" s="55" t="str">
        <f>IFERROR(IF($G3762="","",VLOOKUP('Dashboard And Emails Automate'!$G3762,Database!$H:$N,7,0)),"")</f>
        <v/>
      </c>
      <c r="N3762" s="55" t="str">
        <f>IFERROR(IF(OR($B3762="",$B3762="(blank)"),"",VLOOKUP($B3762,'Email Marketing Raw Data'!$C:$O,6,0)),"")</f>
        <v/>
      </c>
      <c r="O3762" s="55" t="str">
        <f>IFERROR(IF(OR($B3762="",$B3762="(blank)"),"",VLOOKUP($B3762,'Email Marketing Raw Data'!$C:$O,7,0)),"")</f>
        <v/>
      </c>
      <c r="P3762" s="55" t="str">
        <f>IFERROR(IF(OR($B3762="",$B3762="(blank)"),"",VLOOKUP($B3762,'Email Marketing Raw Data'!$C:$O,8,0)),"")</f>
        <v/>
      </c>
      <c r="Q3762" s="62" t="str">
        <f>IFERROR(IF(OR($B3762="",$B3762="(blank)"),"",VLOOKUP($B3762,'Email Marketing Raw Data'!$C:$O,9,0)),"")</f>
        <v/>
      </c>
    </row>
    <row r="3763" spans="4:17" ht="12.75" customHeight="1" x14ac:dyDescent="0.2">
      <c r="D3763" s="58" t="str">
        <f>IFERROR(IF(F3763&lt;&gt;"pending","",IF(OR($B3763="",$B3763="(blank)"),"",VLOOKUP($B3763,'Email Marketing Raw Data'!$C:$O,10,0))),"")</f>
        <v/>
      </c>
      <c r="E3763" s="59" t="str">
        <f>IFERROR(IF(F3763&lt;&gt;"pending","",IF(OR($B3763="",$B3763="(blank)"),"",VLOOKUP($B3763,'Email Marketing Raw Data'!$C:$O,11,0))),"")</f>
        <v/>
      </c>
      <c r="F3763" s="54" t="str">
        <f>IFERROR(IF(OR($B3763="",$B3763="(blank)"),"",VLOOKUP($B3763,'Email Marketing Raw Data'!$C:$O,13,0)),"")</f>
        <v/>
      </c>
      <c r="G3763" s="55" t="str">
        <f>IFERROR(IF(OR($B3763="",$B3763="(blank)"),"",VLOOKUP($B3763,'Email Marketing Raw Data'!$C:$O,4,0)),"")</f>
        <v/>
      </c>
      <c r="H3763" s="55" t="str">
        <f>IFERROR(IF(OR($B3763="",$B3763="(blank)"),"",VLOOKUP($B3763,'Email Marketing Raw Data'!$C:$O,5,0)),"")</f>
        <v/>
      </c>
      <c r="I3763" s="55" t="str">
        <f>IFERROR(IF($G3763="","",VLOOKUP('Dashboard And Emails Automate'!$G3763,Database!$H:$N,3,0)),"")</f>
        <v/>
      </c>
      <c r="J3763" s="55" t="str">
        <f>IFERROR(IF($G3763="","",VLOOKUP('Dashboard And Emails Automate'!$G3763,Database!$H:$N,4,0)),"")</f>
        <v/>
      </c>
      <c r="K3763" s="55" t="str">
        <f>IFERROR(IF($G3763="","",VLOOKUP('Dashboard And Emails Automate'!$G3763,Database!$H:$N,5,0)),"")</f>
        <v/>
      </c>
      <c r="L3763" s="55" t="str">
        <f>IFERROR(IF($G3763="","",VLOOKUP('Dashboard And Emails Automate'!$G3763,Database!$H:$N,6,0)),"")</f>
        <v/>
      </c>
      <c r="M3763" s="55" t="str">
        <f>IFERROR(IF($G3763="","",VLOOKUP('Dashboard And Emails Automate'!$G3763,Database!$H:$N,7,0)),"")</f>
        <v/>
      </c>
      <c r="N3763" s="55" t="str">
        <f>IFERROR(IF(OR($B3763="",$B3763="(blank)"),"",VLOOKUP($B3763,'Email Marketing Raw Data'!$C:$O,6,0)),"")</f>
        <v/>
      </c>
      <c r="O3763" s="55" t="str">
        <f>IFERROR(IF(OR($B3763="",$B3763="(blank)"),"",VLOOKUP($B3763,'Email Marketing Raw Data'!$C:$O,7,0)),"")</f>
        <v/>
      </c>
      <c r="P3763" s="55" t="str">
        <f>IFERROR(IF(OR($B3763="",$B3763="(blank)"),"",VLOOKUP($B3763,'Email Marketing Raw Data'!$C:$O,8,0)),"")</f>
        <v/>
      </c>
      <c r="Q3763" s="62" t="str">
        <f>IFERROR(IF(OR($B3763="",$B3763="(blank)"),"",VLOOKUP($B3763,'Email Marketing Raw Data'!$C:$O,9,0)),"")</f>
        <v/>
      </c>
    </row>
    <row r="3764" spans="4:17" ht="12.75" customHeight="1" x14ac:dyDescent="0.2">
      <c r="D3764" s="58" t="str">
        <f>IFERROR(IF(F3764&lt;&gt;"pending","",IF(OR($B3764="",$B3764="(blank)"),"",VLOOKUP($B3764,'Email Marketing Raw Data'!$C:$O,10,0))),"")</f>
        <v/>
      </c>
      <c r="E3764" s="59" t="str">
        <f>IFERROR(IF(F3764&lt;&gt;"pending","",IF(OR($B3764="",$B3764="(blank)"),"",VLOOKUP($B3764,'Email Marketing Raw Data'!$C:$O,11,0))),"")</f>
        <v/>
      </c>
      <c r="F3764" s="54" t="str">
        <f>IFERROR(IF(OR($B3764="",$B3764="(blank)"),"",VLOOKUP($B3764,'Email Marketing Raw Data'!$C:$O,13,0)),"")</f>
        <v/>
      </c>
      <c r="G3764" s="55" t="str">
        <f>IFERROR(IF(OR($B3764="",$B3764="(blank)"),"",VLOOKUP($B3764,'Email Marketing Raw Data'!$C:$O,4,0)),"")</f>
        <v/>
      </c>
      <c r="H3764" s="55" t="str">
        <f>IFERROR(IF(OR($B3764="",$B3764="(blank)"),"",VLOOKUP($B3764,'Email Marketing Raw Data'!$C:$O,5,0)),"")</f>
        <v/>
      </c>
      <c r="I3764" s="55" t="str">
        <f>IFERROR(IF($G3764="","",VLOOKUP('Dashboard And Emails Automate'!$G3764,Database!$H:$N,3,0)),"")</f>
        <v/>
      </c>
      <c r="J3764" s="55" t="str">
        <f>IFERROR(IF($G3764="","",VLOOKUP('Dashboard And Emails Automate'!$G3764,Database!$H:$N,4,0)),"")</f>
        <v/>
      </c>
      <c r="K3764" s="55" t="str">
        <f>IFERROR(IF($G3764="","",VLOOKUP('Dashboard And Emails Automate'!$G3764,Database!$H:$N,5,0)),"")</f>
        <v/>
      </c>
      <c r="L3764" s="55" t="str">
        <f>IFERROR(IF($G3764="","",VLOOKUP('Dashboard And Emails Automate'!$G3764,Database!$H:$N,6,0)),"")</f>
        <v/>
      </c>
      <c r="M3764" s="55" t="str">
        <f>IFERROR(IF($G3764="","",VLOOKUP('Dashboard And Emails Automate'!$G3764,Database!$H:$N,7,0)),"")</f>
        <v/>
      </c>
      <c r="N3764" s="55" t="str">
        <f>IFERROR(IF(OR($B3764="",$B3764="(blank)"),"",VLOOKUP($B3764,'Email Marketing Raw Data'!$C:$O,6,0)),"")</f>
        <v/>
      </c>
      <c r="O3764" s="55" t="str">
        <f>IFERROR(IF(OR($B3764="",$B3764="(blank)"),"",VLOOKUP($B3764,'Email Marketing Raw Data'!$C:$O,7,0)),"")</f>
        <v/>
      </c>
      <c r="P3764" s="55" t="str">
        <f>IFERROR(IF(OR($B3764="",$B3764="(blank)"),"",VLOOKUP($B3764,'Email Marketing Raw Data'!$C:$O,8,0)),"")</f>
        <v/>
      </c>
      <c r="Q3764" s="62" t="str">
        <f>IFERROR(IF(OR($B3764="",$B3764="(blank)"),"",VLOOKUP($B3764,'Email Marketing Raw Data'!$C:$O,9,0)),"")</f>
        <v/>
      </c>
    </row>
    <row r="3765" spans="4:17" ht="12.75" customHeight="1" x14ac:dyDescent="0.2">
      <c r="D3765" s="58" t="str">
        <f>IFERROR(IF(F3765&lt;&gt;"pending","",IF(OR($B3765="",$B3765="(blank)"),"",VLOOKUP($B3765,'Email Marketing Raw Data'!$C:$O,10,0))),"")</f>
        <v/>
      </c>
      <c r="E3765" s="59" t="str">
        <f>IFERROR(IF(F3765&lt;&gt;"pending","",IF(OR($B3765="",$B3765="(blank)"),"",VLOOKUP($B3765,'Email Marketing Raw Data'!$C:$O,11,0))),"")</f>
        <v/>
      </c>
      <c r="F3765" s="54" t="str">
        <f>IFERROR(IF(OR($B3765="",$B3765="(blank)"),"",VLOOKUP($B3765,'Email Marketing Raw Data'!$C:$O,13,0)),"")</f>
        <v/>
      </c>
      <c r="G3765" s="55" t="str">
        <f>IFERROR(IF(OR($B3765="",$B3765="(blank)"),"",VLOOKUP($B3765,'Email Marketing Raw Data'!$C:$O,4,0)),"")</f>
        <v/>
      </c>
      <c r="H3765" s="55" t="str">
        <f>IFERROR(IF(OR($B3765="",$B3765="(blank)"),"",VLOOKUP($B3765,'Email Marketing Raw Data'!$C:$O,5,0)),"")</f>
        <v/>
      </c>
      <c r="I3765" s="55" t="str">
        <f>IFERROR(IF($G3765="","",VLOOKUP('Dashboard And Emails Automate'!$G3765,Database!$H:$N,3,0)),"")</f>
        <v/>
      </c>
      <c r="J3765" s="55" t="str">
        <f>IFERROR(IF($G3765="","",VLOOKUP('Dashboard And Emails Automate'!$G3765,Database!$H:$N,4,0)),"")</f>
        <v/>
      </c>
      <c r="K3765" s="55" t="str">
        <f>IFERROR(IF($G3765="","",VLOOKUP('Dashboard And Emails Automate'!$G3765,Database!$H:$N,5,0)),"")</f>
        <v/>
      </c>
      <c r="L3765" s="55" t="str">
        <f>IFERROR(IF($G3765="","",VLOOKUP('Dashboard And Emails Automate'!$G3765,Database!$H:$N,6,0)),"")</f>
        <v/>
      </c>
      <c r="M3765" s="55" t="str">
        <f>IFERROR(IF($G3765="","",VLOOKUP('Dashboard And Emails Automate'!$G3765,Database!$H:$N,7,0)),"")</f>
        <v/>
      </c>
      <c r="N3765" s="55" t="str">
        <f>IFERROR(IF(OR($B3765="",$B3765="(blank)"),"",VLOOKUP($B3765,'Email Marketing Raw Data'!$C:$O,6,0)),"")</f>
        <v/>
      </c>
      <c r="O3765" s="55" t="str">
        <f>IFERROR(IF(OR($B3765="",$B3765="(blank)"),"",VLOOKUP($B3765,'Email Marketing Raw Data'!$C:$O,7,0)),"")</f>
        <v/>
      </c>
      <c r="P3765" s="55" t="str">
        <f>IFERROR(IF(OR($B3765="",$B3765="(blank)"),"",VLOOKUP($B3765,'Email Marketing Raw Data'!$C:$O,8,0)),"")</f>
        <v/>
      </c>
      <c r="Q3765" s="62" t="str">
        <f>IFERROR(IF(OR($B3765="",$B3765="(blank)"),"",VLOOKUP($B3765,'Email Marketing Raw Data'!$C:$O,9,0)),"")</f>
        <v/>
      </c>
    </row>
    <row r="3766" spans="4:17" ht="12.75" customHeight="1" x14ac:dyDescent="0.2">
      <c r="D3766" s="58" t="str">
        <f>IFERROR(IF(F3766&lt;&gt;"pending","",IF(OR($B3766="",$B3766="(blank)"),"",VLOOKUP($B3766,'Email Marketing Raw Data'!$C:$O,10,0))),"")</f>
        <v/>
      </c>
      <c r="E3766" s="59" t="str">
        <f>IFERROR(IF(F3766&lt;&gt;"pending","",IF(OR($B3766="",$B3766="(blank)"),"",VLOOKUP($B3766,'Email Marketing Raw Data'!$C:$O,11,0))),"")</f>
        <v/>
      </c>
      <c r="F3766" s="54" t="str">
        <f>IFERROR(IF(OR($B3766="",$B3766="(blank)"),"",VLOOKUP($B3766,'Email Marketing Raw Data'!$C:$O,13,0)),"")</f>
        <v/>
      </c>
      <c r="G3766" s="55" t="str">
        <f>IFERROR(IF(OR($B3766="",$B3766="(blank)"),"",VLOOKUP($B3766,'Email Marketing Raw Data'!$C:$O,4,0)),"")</f>
        <v/>
      </c>
      <c r="H3766" s="55" t="str">
        <f>IFERROR(IF(OR($B3766="",$B3766="(blank)"),"",VLOOKUP($B3766,'Email Marketing Raw Data'!$C:$O,5,0)),"")</f>
        <v/>
      </c>
      <c r="I3766" s="55" t="str">
        <f>IFERROR(IF($G3766="","",VLOOKUP('Dashboard And Emails Automate'!$G3766,Database!$H:$N,3,0)),"")</f>
        <v/>
      </c>
      <c r="J3766" s="55" t="str">
        <f>IFERROR(IF($G3766="","",VLOOKUP('Dashboard And Emails Automate'!$G3766,Database!$H:$N,4,0)),"")</f>
        <v/>
      </c>
      <c r="K3766" s="55" t="str">
        <f>IFERROR(IF($G3766="","",VLOOKUP('Dashboard And Emails Automate'!$G3766,Database!$H:$N,5,0)),"")</f>
        <v/>
      </c>
      <c r="L3766" s="55" t="str">
        <f>IFERROR(IF($G3766="","",VLOOKUP('Dashboard And Emails Automate'!$G3766,Database!$H:$N,6,0)),"")</f>
        <v/>
      </c>
      <c r="M3766" s="55" t="str">
        <f>IFERROR(IF($G3766="","",VLOOKUP('Dashboard And Emails Automate'!$G3766,Database!$H:$N,7,0)),"")</f>
        <v/>
      </c>
      <c r="N3766" s="55" t="str">
        <f>IFERROR(IF(OR($B3766="",$B3766="(blank)"),"",VLOOKUP($B3766,'Email Marketing Raw Data'!$C:$O,6,0)),"")</f>
        <v/>
      </c>
      <c r="O3766" s="55" t="str">
        <f>IFERROR(IF(OR($B3766="",$B3766="(blank)"),"",VLOOKUP($B3766,'Email Marketing Raw Data'!$C:$O,7,0)),"")</f>
        <v/>
      </c>
      <c r="P3766" s="55" t="str">
        <f>IFERROR(IF(OR($B3766="",$B3766="(blank)"),"",VLOOKUP($B3766,'Email Marketing Raw Data'!$C:$O,8,0)),"")</f>
        <v/>
      </c>
      <c r="Q3766" s="62" t="str">
        <f>IFERROR(IF(OR($B3766="",$B3766="(blank)"),"",VLOOKUP($B3766,'Email Marketing Raw Data'!$C:$O,9,0)),"")</f>
        <v/>
      </c>
    </row>
    <row r="3767" spans="4:17" ht="12.75" customHeight="1" x14ac:dyDescent="0.2">
      <c r="D3767" s="58" t="str">
        <f>IFERROR(IF(F3767&lt;&gt;"pending","",IF(OR($B3767="",$B3767="(blank)"),"",VLOOKUP($B3767,'Email Marketing Raw Data'!$C:$O,10,0))),"")</f>
        <v/>
      </c>
      <c r="E3767" s="59" t="str">
        <f>IFERROR(IF(F3767&lt;&gt;"pending","",IF(OR($B3767="",$B3767="(blank)"),"",VLOOKUP($B3767,'Email Marketing Raw Data'!$C:$O,11,0))),"")</f>
        <v/>
      </c>
      <c r="F3767" s="54" t="str">
        <f>IFERROR(IF(OR($B3767="",$B3767="(blank)"),"",VLOOKUP($B3767,'Email Marketing Raw Data'!$C:$O,13,0)),"")</f>
        <v/>
      </c>
      <c r="G3767" s="55" t="str">
        <f>IFERROR(IF(OR($B3767="",$B3767="(blank)"),"",VLOOKUP($B3767,'Email Marketing Raw Data'!$C:$O,4,0)),"")</f>
        <v/>
      </c>
      <c r="H3767" s="55" t="str">
        <f>IFERROR(IF(OR($B3767="",$B3767="(blank)"),"",VLOOKUP($B3767,'Email Marketing Raw Data'!$C:$O,5,0)),"")</f>
        <v/>
      </c>
      <c r="I3767" s="55" t="str">
        <f>IFERROR(IF($G3767="","",VLOOKUP('Dashboard And Emails Automate'!$G3767,Database!$H:$N,3,0)),"")</f>
        <v/>
      </c>
      <c r="J3767" s="55" t="str">
        <f>IFERROR(IF($G3767="","",VLOOKUP('Dashboard And Emails Automate'!$G3767,Database!$H:$N,4,0)),"")</f>
        <v/>
      </c>
      <c r="K3767" s="55" t="str">
        <f>IFERROR(IF($G3767="","",VLOOKUP('Dashboard And Emails Automate'!$G3767,Database!$H:$N,5,0)),"")</f>
        <v/>
      </c>
      <c r="L3767" s="55" t="str">
        <f>IFERROR(IF($G3767="","",VLOOKUP('Dashboard And Emails Automate'!$G3767,Database!$H:$N,6,0)),"")</f>
        <v/>
      </c>
      <c r="M3767" s="55" t="str">
        <f>IFERROR(IF($G3767="","",VLOOKUP('Dashboard And Emails Automate'!$G3767,Database!$H:$N,7,0)),"")</f>
        <v/>
      </c>
      <c r="N3767" s="55" t="str">
        <f>IFERROR(IF(OR($B3767="",$B3767="(blank)"),"",VLOOKUP($B3767,'Email Marketing Raw Data'!$C:$O,6,0)),"")</f>
        <v/>
      </c>
      <c r="O3767" s="55" t="str">
        <f>IFERROR(IF(OR($B3767="",$B3767="(blank)"),"",VLOOKUP($B3767,'Email Marketing Raw Data'!$C:$O,7,0)),"")</f>
        <v/>
      </c>
      <c r="P3767" s="55" t="str">
        <f>IFERROR(IF(OR($B3767="",$B3767="(blank)"),"",VLOOKUP($B3767,'Email Marketing Raw Data'!$C:$O,8,0)),"")</f>
        <v/>
      </c>
      <c r="Q3767" s="62" t="str">
        <f>IFERROR(IF(OR($B3767="",$B3767="(blank)"),"",VLOOKUP($B3767,'Email Marketing Raw Data'!$C:$O,9,0)),"")</f>
        <v/>
      </c>
    </row>
    <row r="3768" spans="4:17" ht="12.75" customHeight="1" x14ac:dyDescent="0.2">
      <c r="D3768" s="58" t="str">
        <f>IFERROR(IF(F3768&lt;&gt;"pending","",IF(OR($B3768="",$B3768="(blank)"),"",VLOOKUP($B3768,'Email Marketing Raw Data'!$C:$O,10,0))),"")</f>
        <v/>
      </c>
      <c r="E3768" s="59" t="str">
        <f>IFERROR(IF(F3768&lt;&gt;"pending","",IF(OR($B3768="",$B3768="(blank)"),"",VLOOKUP($B3768,'Email Marketing Raw Data'!$C:$O,11,0))),"")</f>
        <v/>
      </c>
      <c r="F3768" s="54" t="str">
        <f>IFERROR(IF(OR($B3768="",$B3768="(blank)"),"",VLOOKUP($B3768,'Email Marketing Raw Data'!$C:$O,13,0)),"")</f>
        <v/>
      </c>
      <c r="G3768" s="55" t="str">
        <f>IFERROR(IF(OR($B3768="",$B3768="(blank)"),"",VLOOKUP($B3768,'Email Marketing Raw Data'!$C:$O,4,0)),"")</f>
        <v/>
      </c>
      <c r="H3768" s="55" t="str">
        <f>IFERROR(IF(OR($B3768="",$B3768="(blank)"),"",VLOOKUP($B3768,'Email Marketing Raw Data'!$C:$O,5,0)),"")</f>
        <v/>
      </c>
      <c r="I3768" s="55" t="str">
        <f>IFERROR(IF($G3768="","",VLOOKUP('Dashboard And Emails Automate'!$G3768,Database!$H:$N,3,0)),"")</f>
        <v/>
      </c>
      <c r="J3768" s="55" t="str">
        <f>IFERROR(IF($G3768="","",VLOOKUP('Dashboard And Emails Automate'!$G3768,Database!$H:$N,4,0)),"")</f>
        <v/>
      </c>
      <c r="K3768" s="55" t="str">
        <f>IFERROR(IF($G3768="","",VLOOKUP('Dashboard And Emails Automate'!$G3768,Database!$H:$N,5,0)),"")</f>
        <v/>
      </c>
      <c r="L3768" s="55" t="str">
        <f>IFERROR(IF($G3768="","",VLOOKUP('Dashboard And Emails Automate'!$G3768,Database!$H:$N,6,0)),"")</f>
        <v/>
      </c>
      <c r="M3768" s="55" t="str">
        <f>IFERROR(IF($G3768="","",VLOOKUP('Dashboard And Emails Automate'!$G3768,Database!$H:$N,7,0)),"")</f>
        <v/>
      </c>
      <c r="N3768" s="55" t="str">
        <f>IFERROR(IF(OR($B3768="",$B3768="(blank)"),"",VLOOKUP($B3768,'Email Marketing Raw Data'!$C:$O,6,0)),"")</f>
        <v/>
      </c>
      <c r="O3768" s="55" t="str">
        <f>IFERROR(IF(OR($B3768="",$B3768="(blank)"),"",VLOOKUP($B3768,'Email Marketing Raw Data'!$C:$O,7,0)),"")</f>
        <v/>
      </c>
      <c r="P3768" s="55" t="str">
        <f>IFERROR(IF(OR($B3768="",$B3768="(blank)"),"",VLOOKUP($B3768,'Email Marketing Raw Data'!$C:$O,8,0)),"")</f>
        <v/>
      </c>
      <c r="Q3768" s="62" t="str">
        <f>IFERROR(IF(OR($B3768="",$B3768="(blank)"),"",VLOOKUP($B3768,'Email Marketing Raw Data'!$C:$O,9,0)),"")</f>
        <v/>
      </c>
    </row>
    <row r="3769" spans="4:17" ht="12.75" customHeight="1" x14ac:dyDescent="0.2">
      <c r="D3769" s="58" t="str">
        <f>IFERROR(IF(F3769&lt;&gt;"pending","",IF(OR($B3769="",$B3769="(blank)"),"",VLOOKUP($B3769,'Email Marketing Raw Data'!$C:$O,10,0))),"")</f>
        <v/>
      </c>
      <c r="E3769" s="59" t="str">
        <f>IFERROR(IF(F3769&lt;&gt;"pending","",IF(OR($B3769="",$B3769="(blank)"),"",VLOOKUP($B3769,'Email Marketing Raw Data'!$C:$O,11,0))),"")</f>
        <v/>
      </c>
      <c r="F3769" s="54" t="str">
        <f>IFERROR(IF(OR($B3769="",$B3769="(blank)"),"",VLOOKUP($B3769,'Email Marketing Raw Data'!$C:$O,13,0)),"")</f>
        <v/>
      </c>
      <c r="G3769" s="55" t="str">
        <f>IFERROR(IF(OR($B3769="",$B3769="(blank)"),"",VLOOKUP($B3769,'Email Marketing Raw Data'!$C:$O,4,0)),"")</f>
        <v/>
      </c>
      <c r="H3769" s="55" t="str">
        <f>IFERROR(IF(OR($B3769="",$B3769="(blank)"),"",VLOOKUP($B3769,'Email Marketing Raw Data'!$C:$O,5,0)),"")</f>
        <v/>
      </c>
      <c r="I3769" s="55" t="str">
        <f>IFERROR(IF($G3769="","",VLOOKUP('Dashboard And Emails Automate'!$G3769,Database!$H:$N,3,0)),"")</f>
        <v/>
      </c>
      <c r="J3769" s="55" t="str">
        <f>IFERROR(IF($G3769="","",VLOOKUP('Dashboard And Emails Automate'!$G3769,Database!$H:$N,4,0)),"")</f>
        <v/>
      </c>
      <c r="K3769" s="55" t="str">
        <f>IFERROR(IF($G3769="","",VLOOKUP('Dashboard And Emails Automate'!$G3769,Database!$H:$N,5,0)),"")</f>
        <v/>
      </c>
      <c r="L3769" s="55" t="str">
        <f>IFERROR(IF($G3769="","",VLOOKUP('Dashboard And Emails Automate'!$G3769,Database!$H:$N,6,0)),"")</f>
        <v/>
      </c>
      <c r="M3769" s="55" t="str">
        <f>IFERROR(IF($G3769="","",VLOOKUP('Dashboard And Emails Automate'!$G3769,Database!$H:$N,7,0)),"")</f>
        <v/>
      </c>
      <c r="N3769" s="55" t="str">
        <f>IFERROR(IF(OR($B3769="",$B3769="(blank)"),"",VLOOKUP($B3769,'Email Marketing Raw Data'!$C:$O,6,0)),"")</f>
        <v/>
      </c>
      <c r="O3769" s="55" t="str">
        <f>IFERROR(IF(OR($B3769="",$B3769="(blank)"),"",VLOOKUP($B3769,'Email Marketing Raw Data'!$C:$O,7,0)),"")</f>
        <v/>
      </c>
      <c r="P3769" s="55" t="str">
        <f>IFERROR(IF(OR($B3769="",$B3769="(blank)"),"",VLOOKUP($B3769,'Email Marketing Raw Data'!$C:$O,8,0)),"")</f>
        <v/>
      </c>
      <c r="Q3769" s="62" t="str">
        <f>IFERROR(IF(OR($B3769="",$B3769="(blank)"),"",VLOOKUP($B3769,'Email Marketing Raw Data'!$C:$O,9,0)),"")</f>
        <v/>
      </c>
    </row>
    <row r="3770" spans="4:17" ht="12.75" customHeight="1" x14ac:dyDescent="0.2">
      <c r="D3770" s="58" t="str">
        <f>IFERROR(IF(F3770&lt;&gt;"pending","",IF(OR($B3770="",$B3770="(blank)"),"",VLOOKUP($B3770,'Email Marketing Raw Data'!$C:$O,10,0))),"")</f>
        <v/>
      </c>
      <c r="E3770" s="59" t="str">
        <f>IFERROR(IF(F3770&lt;&gt;"pending","",IF(OR($B3770="",$B3770="(blank)"),"",VLOOKUP($B3770,'Email Marketing Raw Data'!$C:$O,11,0))),"")</f>
        <v/>
      </c>
      <c r="F3770" s="54" t="str">
        <f>IFERROR(IF(OR($B3770="",$B3770="(blank)"),"",VLOOKUP($B3770,'Email Marketing Raw Data'!$C:$O,13,0)),"")</f>
        <v/>
      </c>
      <c r="G3770" s="55" t="str">
        <f>IFERROR(IF(OR($B3770="",$B3770="(blank)"),"",VLOOKUP($B3770,'Email Marketing Raw Data'!$C:$O,4,0)),"")</f>
        <v/>
      </c>
      <c r="H3770" s="55" t="str">
        <f>IFERROR(IF(OR($B3770="",$B3770="(blank)"),"",VLOOKUP($B3770,'Email Marketing Raw Data'!$C:$O,5,0)),"")</f>
        <v/>
      </c>
      <c r="I3770" s="55" t="str">
        <f>IFERROR(IF($G3770="","",VLOOKUP('Dashboard And Emails Automate'!$G3770,Database!$H:$N,3,0)),"")</f>
        <v/>
      </c>
      <c r="J3770" s="55" t="str">
        <f>IFERROR(IF($G3770="","",VLOOKUP('Dashboard And Emails Automate'!$G3770,Database!$H:$N,4,0)),"")</f>
        <v/>
      </c>
      <c r="K3770" s="55" t="str">
        <f>IFERROR(IF($G3770="","",VLOOKUP('Dashboard And Emails Automate'!$G3770,Database!$H:$N,5,0)),"")</f>
        <v/>
      </c>
      <c r="L3770" s="55" t="str">
        <f>IFERROR(IF($G3770="","",VLOOKUP('Dashboard And Emails Automate'!$G3770,Database!$H:$N,6,0)),"")</f>
        <v/>
      </c>
      <c r="M3770" s="55" t="str">
        <f>IFERROR(IF($G3770="","",VLOOKUP('Dashboard And Emails Automate'!$G3770,Database!$H:$N,7,0)),"")</f>
        <v/>
      </c>
      <c r="N3770" s="55" t="str">
        <f>IFERROR(IF(OR($B3770="",$B3770="(blank)"),"",VLOOKUP($B3770,'Email Marketing Raw Data'!$C:$O,6,0)),"")</f>
        <v/>
      </c>
      <c r="O3770" s="55" t="str">
        <f>IFERROR(IF(OR($B3770="",$B3770="(blank)"),"",VLOOKUP($B3770,'Email Marketing Raw Data'!$C:$O,7,0)),"")</f>
        <v/>
      </c>
      <c r="P3770" s="55" t="str">
        <f>IFERROR(IF(OR($B3770="",$B3770="(blank)"),"",VLOOKUP($B3770,'Email Marketing Raw Data'!$C:$O,8,0)),"")</f>
        <v/>
      </c>
      <c r="Q3770" s="62" t="str">
        <f>IFERROR(IF(OR($B3770="",$B3770="(blank)"),"",VLOOKUP($B3770,'Email Marketing Raw Data'!$C:$O,9,0)),"")</f>
        <v/>
      </c>
    </row>
    <row r="3771" spans="4:17" ht="12.75" customHeight="1" x14ac:dyDescent="0.2">
      <c r="D3771" s="58" t="str">
        <f>IFERROR(IF(F3771&lt;&gt;"pending","",IF(OR($B3771="",$B3771="(blank)"),"",VLOOKUP($B3771,'Email Marketing Raw Data'!$C:$O,10,0))),"")</f>
        <v/>
      </c>
      <c r="E3771" s="59" t="str">
        <f>IFERROR(IF(F3771&lt;&gt;"pending","",IF(OR($B3771="",$B3771="(blank)"),"",VLOOKUP($B3771,'Email Marketing Raw Data'!$C:$O,11,0))),"")</f>
        <v/>
      </c>
      <c r="F3771" s="54" t="str">
        <f>IFERROR(IF(OR($B3771="",$B3771="(blank)"),"",VLOOKUP($B3771,'Email Marketing Raw Data'!$C:$O,13,0)),"")</f>
        <v/>
      </c>
      <c r="G3771" s="55" t="str">
        <f>IFERROR(IF(OR($B3771="",$B3771="(blank)"),"",VLOOKUP($B3771,'Email Marketing Raw Data'!$C:$O,4,0)),"")</f>
        <v/>
      </c>
      <c r="H3771" s="55" t="str">
        <f>IFERROR(IF(OR($B3771="",$B3771="(blank)"),"",VLOOKUP($B3771,'Email Marketing Raw Data'!$C:$O,5,0)),"")</f>
        <v/>
      </c>
      <c r="I3771" s="55" t="str">
        <f>IFERROR(IF($G3771="","",VLOOKUP('Dashboard And Emails Automate'!$G3771,Database!$H:$N,3,0)),"")</f>
        <v/>
      </c>
      <c r="J3771" s="55" t="str">
        <f>IFERROR(IF($G3771="","",VLOOKUP('Dashboard And Emails Automate'!$G3771,Database!$H:$N,4,0)),"")</f>
        <v/>
      </c>
      <c r="K3771" s="55" t="str">
        <f>IFERROR(IF($G3771="","",VLOOKUP('Dashboard And Emails Automate'!$G3771,Database!$H:$N,5,0)),"")</f>
        <v/>
      </c>
      <c r="L3771" s="55" t="str">
        <f>IFERROR(IF($G3771="","",VLOOKUP('Dashboard And Emails Automate'!$G3771,Database!$H:$N,6,0)),"")</f>
        <v/>
      </c>
      <c r="M3771" s="55" t="str">
        <f>IFERROR(IF($G3771="","",VLOOKUP('Dashboard And Emails Automate'!$G3771,Database!$H:$N,7,0)),"")</f>
        <v/>
      </c>
      <c r="N3771" s="55" t="str">
        <f>IFERROR(IF(OR($B3771="",$B3771="(blank)"),"",VLOOKUP($B3771,'Email Marketing Raw Data'!$C:$O,6,0)),"")</f>
        <v/>
      </c>
      <c r="O3771" s="55" t="str">
        <f>IFERROR(IF(OR($B3771="",$B3771="(blank)"),"",VLOOKUP($B3771,'Email Marketing Raw Data'!$C:$O,7,0)),"")</f>
        <v/>
      </c>
      <c r="P3771" s="55" t="str">
        <f>IFERROR(IF(OR($B3771="",$B3771="(blank)"),"",VLOOKUP($B3771,'Email Marketing Raw Data'!$C:$O,8,0)),"")</f>
        <v/>
      </c>
      <c r="Q3771" s="62" t="str">
        <f>IFERROR(IF(OR($B3771="",$B3771="(blank)"),"",VLOOKUP($B3771,'Email Marketing Raw Data'!$C:$O,9,0)),"")</f>
        <v/>
      </c>
    </row>
    <row r="3772" spans="4:17" ht="12.75" customHeight="1" x14ac:dyDescent="0.2">
      <c r="D3772" s="58" t="str">
        <f>IFERROR(IF(F3772&lt;&gt;"pending","",IF(OR($B3772="",$B3772="(blank)"),"",VLOOKUP($B3772,'Email Marketing Raw Data'!$C:$O,10,0))),"")</f>
        <v/>
      </c>
      <c r="E3772" s="59" t="str">
        <f>IFERROR(IF(F3772&lt;&gt;"pending","",IF(OR($B3772="",$B3772="(blank)"),"",VLOOKUP($B3772,'Email Marketing Raw Data'!$C:$O,11,0))),"")</f>
        <v/>
      </c>
      <c r="F3772" s="54" t="str">
        <f>IFERROR(IF(OR($B3772="",$B3772="(blank)"),"",VLOOKUP($B3772,'Email Marketing Raw Data'!$C:$O,13,0)),"")</f>
        <v/>
      </c>
      <c r="G3772" s="55" t="str">
        <f>IFERROR(IF(OR($B3772="",$B3772="(blank)"),"",VLOOKUP($B3772,'Email Marketing Raw Data'!$C:$O,4,0)),"")</f>
        <v/>
      </c>
      <c r="H3772" s="55" t="str">
        <f>IFERROR(IF(OR($B3772="",$B3772="(blank)"),"",VLOOKUP($B3772,'Email Marketing Raw Data'!$C:$O,5,0)),"")</f>
        <v/>
      </c>
      <c r="I3772" s="55" t="str">
        <f>IFERROR(IF($G3772="","",VLOOKUP('Dashboard And Emails Automate'!$G3772,Database!$H:$N,3,0)),"")</f>
        <v/>
      </c>
      <c r="J3772" s="55" t="str">
        <f>IFERROR(IF($G3772="","",VLOOKUP('Dashboard And Emails Automate'!$G3772,Database!$H:$N,4,0)),"")</f>
        <v/>
      </c>
      <c r="K3772" s="55" t="str">
        <f>IFERROR(IF($G3772="","",VLOOKUP('Dashboard And Emails Automate'!$G3772,Database!$H:$N,5,0)),"")</f>
        <v/>
      </c>
      <c r="L3772" s="55" t="str">
        <f>IFERROR(IF($G3772="","",VLOOKUP('Dashboard And Emails Automate'!$G3772,Database!$H:$N,6,0)),"")</f>
        <v/>
      </c>
      <c r="M3772" s="55" t="str">
        <f>IFERROR(IF($G3772="","",VLOOKUP('Dashboard And Emails Automate'!$G3772,Database!$H:$N,7,0)),"")</f>
        <v/>
      </c>
      <c r="N3772" s="55" t="str">
        <f>IFERROR(IF(OR($B3772="",$B3772="(blank)"),"",VLOOKUP($B3772,'Email Marketing Raw Data'!$C:$O,6,0)),"")</f>
        <v/>
      </c>
      <c r="O3772" s="55" t="str">
        <f>IFERROR(IF(OR($B3772="",$B3772="(blank)"),"",VLOOKUP($B3772,'Email Marketing Raw Data'!$C:$O,7,0)),"")</f>
        <v/>
      </c>
      <c r="P3772" s="55" t="str">
        <f>IFERROR(IF(OR($B3772="",$B3772="(blank)"),"",VLOOKUP($B3772,'Email Marketing Raw Data'!$C:$O,8,0)),"")</f>
        <v/>
      </c>
      <c r="Q3772" s="62" t="str">
        <f>IFERROR(IF(OR($B3772="",$B3772="(blank)"),"",VLOOKUP($B3772,'Email Marketing Raw Data'!$C:$O,9,0)),"")</f>
        <v/>
      </c>
    </row>
    <row r="3773" spans="4:17" ht="12.75" customHeight="1" x14ac:dyDescent="0.2">
      <c r="D3773" s="58" t="str">
        <f>IFERROR(IF(F3773&lt;&gt;"pending","",IF(OR($B3773="",$B3773="(blank)"),"",VLOOKUP($B3773,'Email Marketing Raw Data'!$C:$O,10,0))),"")</f>
        <v/>
      </c>
      <c r="E3773" s="59" t="str">
        <f>IFERROR(IF(F3773&lt;&gt;"pending","",IF(OR($B3773="",$B3773="(blank)"),"",VLOOKUP($B3773,'Email Marketing Raw Data'!$C:$O,11,0))),"")</f>
        <v/>
      </c>
      <c r="F3773" s="54" t="str">
        <f>IFERROR(IF(OR($B3773="",$B3773="(blank)"),"",VLOOKUP($B3773,'Email Marketing Raw Data'!$C:$O,13,0)),"")</f>
        <v/>
      </c>
      <c r="G3773" s="55" t="str">
        <f>IFERROR(IF(OR($B3773="",$B3773="(blank)"),"",VLOOKUP($B3773,'Email Marketing Raw Data'!$C:$O,4,0)),"")</f>
        <v/>
      </c>
      <c r="H3773" s="55" t="str">
        <f>IFERROR(IF(OR($B3773="",$B3773="(blank)"),"",VLOOKUP($B3773,'Email Marketing Raw Data'!$C:$O,5,0)),"")</f>
        <v/>
      </c>
      <c r="I3773" s="55" t="str">
        <f>IFERROR(IF($G3773="","",VLOOKUP('Dashboard And Emails Automate'!$G3773,Database!$H:$N,3,0)),"")</f>
        <v/>
      </c>
      <c r="J3773" s="55" t="str">
        <f>IFERROR(IF($G3773="","",VLOOKUP('Dashboard And Emails Automate'!$G3773,Database!$H:$N,4,0)),"")</f>
        <v/>
      </c>
      <c r="K3773" s="55" t="str">
        <f>IFERROR(IF($G3773="","",VLOOKUP('Dashboard And Emails Automate'!$G3773,Database!$H:$N,5,0)),"")</f>
        <v/>
      </c>
      <c r="L3773" s="55" t="str">
        <f>IFERROR(IF($G3773="","",VLOOKUP('Dashboard And Emails Automate'!$G3773,Database!$H:$N,6,0)),"")</f>
        <v/>
      </c>
      <c r="M3773" s="55" t="str">
        <f>IFERROR(IF($G3773="","",VLOOKUP('Dashboard And Emails Automate'!$G3773,Database!$H:$N,7,0)),"")</f>
        <v/>
      </c>
      <c r="N3773" s="55" t="str">
        <f>IFERROR(IF(OR($B3773="",$B3773="(blank)"),"",VLOOKUP($B3773,'Email Marketing Raw Data'!$C:$O,6,0)),"")</f>
        <v/>
      </c>
      <c r="O3773" s="55" t="str">
        <f>IFERROR(IF(OR($B3773="",$B3773="(blank)"),"",VLOOKUP($B3773,'Email Marketing Raw Data'!$C:$O,7,0)),"")</f>
        <v/>
      </c>
      <c r="P3773" s="55" t="str">
        <f>IFERROR(IF(OR($B3773="",$B3773="(blank)"),"",VLOOKUP($B3773,'Email Marketing Raw Data'!$C:$O,8,0)),"")</f>
        <v/>
      </c>
      <c r="Q3773" s="62" t="str">
        <f>IFERROR(IF(OR($B3773="",$B3773="(blank)"),"",VLOOKUP($B3773,'Email Marketing Raw Data'!$C:$O,9,0)),"")</f>
        <v/>
      </c>
    </row>
    <row r="3774" spans="4:17" ht="12.75" customHeight="1" x14ac:dyDescent="0.2">
      <c r="D3774" s="58" t="str">
        <f>IFERROR(IF(F3774&lt;&gt;"pending","",IF(OR($B3774="",$B3774="(blank)"),"",VLOOKUP($B3774,'Email Marketing Raw Data'!$C:$O,10,0))),"")</f>
        <v/>
      </c>
      <c r="E3774" s="59" t="str">
        <f>IFERROR(IF(F3774&lt;&gt;"pending","",IF(OR($B3774="",$B3774="(blank)"),"",VLOOKUP($B3774,'Email Marketing Raw Data'!$C:$O,11,0))),"")</f>
        <v/>
      </c>
      <c r="F3774" s="54" t="str">
        <f>IFERROR(IF(OR($B3774="",$B3774="(blank)"),"",VLOOKUP($B3774,'Email Marketing Raw Data'!$C:$O,13,0)),"")</f>
        <v/>
      </c>
      <c r="G3774" s="55" t="str">
        <f>IFERROR(IF(OR($B3774="",$B3774="(blank)"),"",VLOOKUP($B3774,'Email Marketing Raw Data'!$C:$O,4,0)),"")</f>
        <v/>
      </c>
      <c r="H3774" s="55" t="str">
        <f>IFERROR(IF(OR($B3774="",$B3774="(blank)"),"",VLOOKUP($B3774,'Email Marketing Raw Data'!$C:$O,5,0)),"")</f>
        <v/>
      </c>
      <c r="I3774" s="55" t="str">
        <f>IFERROR(IF($G3774="","",VLOOKUP('Dashboard And Emails Automate'!$G3774,Database!$H:$N,3,0)),"")</f>
        <v/>
      </c>
      <c r="J3774" s="55" t="str">
        <f>IFERROR(IF($G3774="","",VLOOKUP('Dashboard And Emails Automate'!$G3774,Database!$H:$N,4,0)),"")</f>
        <v/>
      </c>
      <c r="K3774" s="55" t="str">
        <f>IFERROR(IF($G3774="","",VLOOKUP('Dashboard And Emails Automate'!$G3774,Database!$H:$N,5,0)),"")</f>
        <v/>
      </c>
      <c r="L3774" s="55" t="str">
        <f>IFERROR(IF($G3774="","",VLOOKUP('Dashboard And Emails Automate'!$G3774,Database!$H:$N,6,0)),"")</f>
        <v/>
      </c>
      <c r="M3774" s="55" t="str">
        <f>IFERROR(IF($G3774="","",VLOOKUP('Dashboard And Emails Automate'!$G3774,Database!$H:$N,7,0)),"")</f>
        <v/>
      </c>
      <c r="N3774" s="55" t="str">
        <f>IFERROR(IF(OR($B3774="",$B3774="(blank)"),"",VLOOKUP($B3774,'Email Marketing Raw Data'!$C:$O,6,0)),"")</f>
        <v/>
      </c>
      <c r="O3774" s="55" t="str">
        <f>IFERROR(IF(OR($B3774="",$B3774="(blank)"),"",VLOOKUP($B3774,'Email Marketing Raw Data'!$C:$O,7,0)),"")</f>
        <v/>
      </c>
      <c r="P3774" s="55" t="str">
        <f>IFERROR(IF(OR($B3774="",$B3774="(blank)"),"",VLOOKUP($B3774,'Email Marketing Raw Data'!$C:$O,8,0)),"")</f>
        <v/>
      </c>
      <c r="Q3774" s="62" t="str">
        <f>IFERROR(IF(OR($B3774="",$B3774="(blank)"),"",VLOOKUP($B3774,'Email Marketing Raw Data'!$C:$O,9,0)),"")</f>
        <v/>
      </c>
    </row>
    <row r="3775" spans="4:17" ht="12.75" customHeight="1" x14ac:dyDescent="0.2">
      <c r="D3775" s="58" t="str">
        <f>IFERROR(IF(F3775&lt;&gt;"pending","",IF(OR($B3775="",$B3775="(blank)"),"",VLOOKUP($B3775,'Email Marketing Raw Data'!$C:$O,10,0))),"")</f>
        <v/>
      </c>
      <c r="E3775" s="59" t="str">
        <f>IFERROR(IF(F3775&lt;&gt;"pending","",IF(OR($B3775="",$B3775="(blank)"),"",VLOOKUP($B3775,'Email Marketing Raw Data'!$C:$O,11,0))),"")</f>
        <v/>
      </c>
      <c r="F3775" s="54" t="str">
        <f>IFERROR(IF(OR($B3775="",$B3775="(blank)"),"",VLOOKUP($B3775,'Email Marketing Raw Data'!$C:$O,13,0)),"")</f>
        <v/>
      </c>
      <c r="G3775" s="55" t="str">
        <f>IFERROR(IF(OR($B3775="",$B3775="(blank)"),"",VLOOKUP($B3775,'Email Marketing Raw Data'!$C:$O,4,0)),"")</f>
        <v/>
      </c>
      <c r="H3775" s="55" t="str">
        <f>IFERROR(IF(OR($B3775="",$B3775="(blank)"),"",VLOOKUP($B3775,'Email Marketing Raw Data'!$C:$O,5,0)),"")</f>
        <v/>
      </c>
      <c r="I3775" s="55" t="str">
        <f>IFERROR(IF($G3775="","",VLOOKUP('Dashboard And Emails Automate'!$G3775,Database!$H:$N,3,0)),"")</f>
        <v/>
      </c>
      <c r="J3775" s="55" t="str">
        <f>IFERROR(IF($G3775="","",VLOOKUP('Dashboard And Emails Automate'!$G3775,Database!$H:$N,4,0)),"")</f>
        <v/>
      </c>
      <c r="K3775" s="55" t="str">
        <f>IFERROR(IF($G3775="","",VLOOKUP('Dashboard And Emails Automate'!$G3775,Database!$H:$N,5,0)),"")</f>
        <v/>
      </c>
      <c r="L3775" s="55" t="str">
        <f>IFERROR(IF($G3775="","",VLOOKUP('Dashboard And Emails Automate'!$G3775,Database!$H:$N,6,0)),"")</f>
        <v/>
      </c>
      <c r="M3775" s="55" t="str">
        <f>IFERROR(IF($G3775="","",VLOOKUP('Dashboard And Emails Automate'!$G3775,Database!$H:$N,7,0)),"")</f>
        <v/>
      </c>
      <c r="N3775" s="55" t="str">
        <f>IFERROR(IF(OR($B3775="",$B3775="(blank)"),"",VLOOKUP($B3775,'Email Marketing Raw Data'!$C:$O,6,0)),"")</f>
        <v/>
      </c>
      <c r="O3775" s="55" t="str">
        <f>IFERROR(IF(OR($B3775="",$B3775="(blank)"),"",VLOOKUP($B3775,'Email Marketing Raw Data'!$C:$O,7,0)),"")</f>
        <v/>
      </c>
      <c r="P3775" s="55" t="str">
        <f>IFERROR(IF(OR($B3775="",$B3775="(blank)"),"",VLOOKUP($B3775,'Email Marketing Raw Data'!$C:$O,8,0)),"")</f>
        <v/>
      </c>
      <c r="Q3775" s="62" t="str">
        <f>IFERROR(IF(OR($B3775="",$B3775="(blank)"),"",VLOOKUP($B3775,'Email Marketing Raw Data'!$C:$O,9,0)),"")</f>
        <v/>
      </c>
    </row>
    <row r="3776" spans="4:17" ht="12.75" customHeight="1" x14ac:dyDescent="0.2">
      <c r="D3776" s="58" t="str">
        <f>IFERROR(IF(F3776&lt;&gt;"pending","",IF(OR($B3776="",$B3776="(blank)"),"",VLOOKUP($B3776,'Email Marketing Raw Data'!$C:$O,10,0))),"")</f>
        <v/>
      </c>
      <c r="E3776" s="59" t="str">
        <f>IFERROR(IF(F3776&lt;&gt;"pending","",IF(OR($B3776="",$B3776="(blank)"),"",VLOOKUP($B3776,'Email Marketing Raw Data'!$C:$O,11,0))),"")</f>
        <v/>
      </c>
      <c r="F3776" s="54" t="str">
        <f>IFERROR(IF(OR($B3776="",$B3776="(blank)"),"",VLOOKUP($B3776,'Email Marketing Raw Data'!$C:$O,13,0)),"")</f>
        <v/>
      </c>
      <c r="G3776" s="55" t="str">
        <f>IFERROR(IF(OR($B3776="",$B3776="(blank)"),"",VLOOKUP($B3776,'Email Marketing Raw Data'!$C:$O,4,0)),"")</f>
        <v/>
      </c>
      <c r="H3776" s="55" t="str">
        <f>IFERROR(IF(OR($B3776="",$B3776="(blank)"),"",VLOOKUP($B3776,'Email Marketing Raw Data'!$C:$O,5,0)),"")</f>
        <v/>
      </c>
      <c r="I3776" s="55" t="str">
        <f>IFERROR(IF($G3776="","",VLOOKUP('Dashboard And Emails Automate'!$G3776,Database!$H:$N,3,0)),"")</f>
        <v/>
      </c>
      <c r="J3776" s="55" t="str">
        <f>IFERROR(IF($G3776="","",VLOOKUP('Dashboard And Emails Automate'!$G3776,Database!$H:$N,4,0)),"")</f>
        <v/>
      </c>
      <c r="K3776" s="55" t="str">
        <f>IFERROR(IF($G3776="","",VLOOKUP('Dashboard And Emails Automate'!$G3776,Database!$H:$N,5,0)),"")</f>
        <v/>
      </c>
      <c r="L3776" s="55" t="str">
        <f>IFERROR(IF($G3776="","",VLOOKUP('Dashboard And Emails Automate'!$G3776,Database!$H:$N,6,0)),"")</f>
        <v/>
      </c>
      <c r="M3776" s="55" t="str">
        <f>IFERROR(IF($G3776="","",VLOOKUP('Dashboard And Emails Automate'!$G3776,Database!$H:$N,7,0)),"")</f>
        <v/>
      </c>
      <c r="N3776" s="55" t="str">
        <f>IFERROR(IF(OR($B3776="",$B3776="(blank)"),"",VLOOKUP($B3776,'Email Marketing Raw Data'!$C:$O,6,0)),"")</f>
        <v/>
      </c>
      <c r="O3776" s="55" t="str">
        <f>IFERROR(IF(OR($B3776="",$B3776="(blank)"),"",VLOOKUP($B3776,'Email Marketing Raw Data'!$C:$O,7,0)),"")</f>
        <v/>
      </c>
      <c r="P3776" s="55" t="str">
        <f>IFERROR(IF(OR($B3776="",$B3776="(blank)"),"",VLOOKUP($B3776,'Email Marketing Raw Data'!$C:$O,8,0)),"")</f>
        <v/>
      </c>
      <c r="Q3776" s="62" t="str">
        <f>IFERROR(IF(OR($B3776="",$B3776="(blank)"),"",VLOOKUP($B3776,'Email Marketing Raw Data'!$C:$O,9,0)),"")</f>
        <v/>
      </c>
    </row>
    <row r="3777" spans="4:17" ht="12.75" customHeight="1" x14ac:dyDescent="0.2">
      <c r="D3777" s="58" t="str">
        <f>IFERROR(IF(F3777&lt;&gt;"pending","",IF(OR($B3777="",$B3777="(blank)"),"",VLOOKUP($B3777,'Email Marketing Raw Data'!$C:$O,10,0))),"")</f>
        <v/>
      </c>
      <c r="E3777" s="59" t="str">
        <f>IFERROR(IF(F3777&lt;&gt;"pending","",IF(OR($B3777="",$B3777="(blank)"),"",VLOOKUP($B3777,'Email Marketing Raw Data'!$C:$O,11,0))),"")</f>
        <v/>
      </c>
      <c r="F3777" s="54" t="str">
        <f>IFERROR(IF(OR($B3777="",$B3777="(blank)"),"",VLOOKUP($B3777,'Email Marketing Raw Data'!$C:$O,13,0)),"")</f>
        <v/>
      </c>
      <c r="G3777" s="55" t="str">
        <f>IFERROR(IF(OR($B3777="",$B3777="(blank)"),"",VLOOKUP($B3777,'Email Marketing Raw Data'!$C:$O,4,0)),"")</f>
        <v/>
      </c>
      <c r="H3777" s="55" t="str">
        <f>IFERROR(IF(OR($B3777="",$B3777="(blank)"),"",VLOOKUP($B3777,'Email Marketing Raw Data'!$C:$O,5,0)),"")</f>
        <v/>
      </c>
      <c r="I3777" s="55" t="str">
        <f>IFERROR(IF($G3777="","",VLOOKUP('Dashboard And Emails Automate'!$G3777,Database!$H:$N,3,0)),"")</f>
        <v/>
      </c>
      <c r="J3777" s="55" t="str">
        <f>IFERROR(IF($G3777="","",VLOOKUP('Dashboard And Emails Automate'!$G3777,Database!$H:$N,4,0)),"")</f>
        <v/>
      </c>
      <c r="K3777" s="55" t="str">
        <f>IFERROR(IF($G3777="","",VLOOKUP('Dashboard And Emails Automate'!$G3777,Database!$H:$N,5,0)),"")</f>
        <v/>
      </c>
      <c r="L3777" s="55" t="str">
        <f>IFERROR(IF($G3777="","",VLOOKUP('Dashboard And Emails Automate'!$G3777,Database!$H:$N,6,0)),"")</f>
        <v/>
      </c>
      <c r="M3777" s="55" t="str">
        <f>IFERROR(IF($G3777="","",VLOOKUP('Dashboard And Emails Automate'!$G3777,Database!$H:$N,7,0)),"")</f>
        <v/>
      </c>
      <c r="N3777" s="55" t="str">
        <f>IFERROR(IF(OR($B3777="",$B3777="(blank)"),"",VLOOKUP($B3777,'Email Marketing Raw Data'!$C:$O,6,0)),"")</f>
        <v/>
      </c>
      <c r="O3777" s="55" t="str">
        <f>IFERROR(IF(OR($B3777="",$B3777="(blank)"),"",VLOOKUP($B3777,'Email Marketing Raw Data'!$C:$O,7,0)),"")</f>
        <v/>
      </c>
      <c r="P3777" s="55" t="str">
        <f>IFERROR(IF(OR($B3777="",$B3777="(blank)"),"",VLOOKUP($B3777,'Email Marketing Raw Data'!$C:$O,8,0)),"")</f>
        <v/>
      </c>
      <c r="Q3777" s="62" t="str">
        <f>IFERROR(IF(OR($B3777="",$B3777="(blank)"),"",VLOOKUP($B3777,'Email Marketing Raw Data'!$C:$O,9,0)),"")</f>
        <v/>
      </c>
    </row>
    <row r="3778" spans="4:17" ht="12.75" customHeight="1" x14ac:dyDescent="0.2">
      <c r="D3778" s="58" t="str">
        <f>IFERROR(IF(F3778&lt;&gt;"pending","",IF(OR($B3778="",$B3778="(blank)"),"",VLOOKUP($B3778,'Email Marketing Raw Data'!$C:$O,10,0))),"")</f>
        <v/>
      </c>
      <c r="E3778" s="59" t="str">
        <f>IFERROR(IF(F3778&lt;&gt;"pending","",IF(OR($B3778="",$B3778="(blank)"),"",VLOOKUP($B3778,'Email Marketing Raw Data'!$C:$O,11,0))),"")</f>
        <v/>
      </c>
      <c r="F3778" s="54" t="str">
        <f>IFERROR(IF(OR($B3778="",$B3778="(blank)"),"",VLOOKUP($B3778,'Email Marketing Raw Data'!$C:$O,13,0)),"")</f>
        <v/>
      </c>
      <c r="G3778" s="55" t="str">
        <f>IFERROR(IF(OR($B3778="",$B3778="(blank)"),"",VLOOKUP($B3778,'Email Marketing Raw Data'!$C:$O,4,0)),"")</f>
        <v/>
      </c>
      <c r="H3778" s="55" t="str">
        <f>IFERROR(IF(OR($B3778="",$B3778="(blank)"),"",VLOOKUP($B3778,'Email Marketing Raw Data'!$C:$O,5,0)),"")</f>
        <v/>
      </c>
      <c r="I3778" s="55" t="str">
        <f>IFERROR(IF($G3778="","",VLOOKUP('Dashboard And Emails Automate'!$G3778,Database!$H:$N,3,0)),"")</f>
        <v/>
      </c>
      <c r="J3778" s="55" t="str">
        <f>IFERROR(IF($G3778="","",VLOOKUP('Dashboard And Emails Automate'!$G3778,Database!$H:$N,4,0)),"")</f>
        <v/>
      </c>
      <c r="K3778" s="55" t="str">
        <f>IFERROR(IF($G3778="","",VLOOKUP('Dashboard And Emails Automate'!$G3778,Database!$H:$N,5,0)),"")</f>
        <v/>
      </c>
      <c r="L3778" s="55" t="str">
        <f>IFERROR(IF($G3778="","",VLOOKUP('Dashboard And Emails Automate'!$G3778,Database!$H:$N,6,0)),"")</f>
        <v/>
      </c>
      <c r="M3778" s="55" t="str">
        <f>IFERROR(IF($G3778="","",VLOOKUP('Dashboard And Emails Automate'!$G3778,Database!$H:$N,7,0)),"")</f>
        <v/>
      </c>
      <c r="N3778" s="55" t="str">
        <f>IFERROR(IF(OR($B3778="",$B3778="(blank)"),"",VLOOKUP($B3778,'Email Marketing Raw Data'!$C:$O,6,0)),"")</f>
        <v/>
      </c>
      <c r="O3778" s="55" t="str">
        <f>IFERROR(IF(OR($B3778="",$B3778="(blank)"),"",VLOOKUP($B3778,'Email Marketing Raw Data'!$C:$O,7,0)),"")</f>
        <v/>
      </c>
      <c r="P3778" s="55" t="str">
        <f>IFERROR(IF(OR($B3778="",$B3778="(blank)"),"",VLOOKUP($B3778,'Email Marketing Raw Data'!$C:$O,8,0)),"")</f>
        <v/>
      </c>
      <c r="Q3778" s="62" t="str">
        <f>IFERROR(IF(OR($B3778="",$B3778="(blank)"),"",VLOOKUP($B3778,'Email Marketing Raw Data'!$C:$O,9,0)),"")</f>
        <v/>
      </c>
    </row>
    <row r="3779" spans="4:17" ht="12.75" customHeight="1" x14ac:dyDescent="0.2">
      <c r="D3779" s="58" t="str">
        <f>IFERROR(IF(F3779&lt;&gt;"pending","",IF(OR($B3779="",$B3779="(blank)"),"",VLOOKUP($B3779,'Email Marketing Raw Data'!$C:$O,10,0))),"")</f>
        <v/>
      </c>
      <c r="E3779" s="59" t="str">
        <f>IFERROR(IF(F3779&lt;&gt;"pending","",IF(OR($B3779="",$B3779="(blank)"),"",VLOOKUP($B3779,'Email Marketing Raw Data'!$C:$O,11,0))),"")</f>
        <v/>
      </c>
      <c r="F3779" s="54" t="str">
        <f>IFERROR(IF(OR($B3779="",$B3779="(blank)"),"",VLOOKUP($B3779,'Email Marketing Raw Data'!$C:$O,13,0)),"")</f>
        <v/>
      </c>
      <c r="G3779" s="55" t="str">
        <f>IFERROR(IF(OR($B3779="",$B3779="(blank)"),"",VLOOKUP($B3779,'Email Marketing Raw Data'!$C:$O,4,0)),"")</f>
        <v/>
      </c>
      <c r="H3779" s="55" t="str">
        <f>IFERROR(IF(OR($B3779="",$B3779="(blank)"),"",VLOOKUP($B3779,'Email Marketing Raw Data'!$C:$O,5,0)),"")</f>
        <v/>
      </c>
      <c r="I3779" s="55" t="str">
        <f>IFERROR(IF($G3779="","",VLOOKUP('Dashboard And Emails Automate'!$G3779,Database!$H:$N,3,0)),"")</f>
        <v/>
      </c>
      <c r="J3779" s="55" t="str">
        <f>IFERROR(IF($G3779="","",VLOOKUP('Dashboard And Emails Automate'!$G3779,Database!$H:$N,4,0)),"")</f>
        <v/>
      </c>
      <c r="K3779" s="55" t="str">
        <f>IFERROR(IF($G3779="","",VLOOKUP('Dashboard And Emails Automate'!$G3779,Database!$H:$N,5,0)),"")</f>
        <v/>
      </c>
      <c r="L3779" s="55" t="str">
        <f>IFERROR(IF($G3779="","",VLOOKUP('Dashboard And Emails Automate'!$G3779,Database!$H:$N,6,0)),"")</f>
        <v/>
      </c>
      <c r="M3779" s="55" t="str">
        <f>IFERROR(IF($G3779="","",VLOOKUP('Dashboard And Emails Automate'!$G3779,Database!$H:$N,7,0)),"")</f>
        <v/>
      </c>
      <c r="N3779" s="55" t="str">
        <f>IFERROR(IF(OR($B3779="",$B3779="(blank)"),"",VLOOKUP($B3779,'Email Marketing Raw Data'!$C:$O,6,0)),"")</f>
        <v/>
      </c>
      <c r="O3779" s="55" t="str">
        <f>IFERROR(IF(OR($B3779="",$B3779="(blank)"),"",VLOOKUP($B3779,'Email Marketing Raw Data'!$C:$O,7,0)),"")</f>
        <v/>
      </c>
      <c r="P3779" s="55" t="str">
        <f>IFERROR(IF(OR($B3779="",$B3779="(blank)"),"",VLOOKUP($B3779,'Email Marketing Raw Data'!$C:$O,8,0)),"")</f>
        <v/>
      </c>
      <c r="Q3779" s="62" t="str">
        <f>IFERROR(IF(OR($B3779="",$B3779="(blank)"),"",VLOOKUP($B3779,'Email Marketing Raw Data'!$C:$O,9,0)),"")</f>
        <v/>
      </c>
    </row>
    <row r="3780" spans="4:17" ht="12.75" customHeight="1" x14ac:dyDescent="0.2">
      <c r="D3780" s="58" t="str">
        <f>IFERROR(IF(F3780&lt;&gt;"pending","",IF(OR($B3780="",$B3780="(blank)"),"",VLOOKUP($B3780,'Email Marketing Raw Data'!$C:$O,10,0))),"")</f>
        <v/>
      </c>
      <c r="E3780" s="59" t="str">
        <f>IFERROR(IF(F3780&lt;&gt;"pending","",IF(OR($B3780="",$B3780="(blank)"),"",VLOOKUP($B3780,'Email Marketing Raw Data'!$C:$O,11,0))),"")</f>
        <v/>
      </c>
      <c r="F3780" s="54" t="str">
        <f>IFERROR(IF(OR($B3780="",$B3780="(blank)"),"",VLOOKUP($B3780,'Email Marketing Raw Data'!$C:$O,13,0)),"")</f>
        <v/>
      </c>
      <c r="G3780" s="55" t="str">
        <f>IFERROR(IF(OR($B3780="",$B3780="(blank)"),"",VLOOKUP($B3780,'Email Marketing Raw Data'!$C:$O,4,0)),"")</f>
        <v/>
      </c>
      <c r="H3780" s="55" t="str">
        <f>IFERROR(IF(OR($B3780="",$B3780="(blank)"),"",VLOOKUP($B3780,'Email Marketing Raw Data'!$C:$O,5,0)),"")</f>
        <v/>
      </c>
      <c r="I3780" s="55" t="str">
        <f>IFERROR(IF($G3780="","",VLOOKUP('Dashboard And Emails Automate'!$G3780,Database!$H:$N,3,0)),"")</f>
        <v/>
      </c>
      <c r="J3780" s="55" t="str">
        <f>IFERROR(IF($G3780="","",VLOOKUP('Dashboard And Emails Automate'!$G3780,Database!$H:$N,4,0)),"")</f>
        <v/>
      </c>
      <c r="K3780" s="55" t="str">
        <f>IFERROR(IF($G3780="","",VLOOKUP('Dashboard And Emails Automate'!$G3780,Database!$H:$N,5,0)),"")</f>
        <v/>
      </c>
      <c r="L3780" s="55" t="str">
        <f>IFERROR(IF($G3780="","",VLOOKUP('Dashboard And Emails Automate'!$G3780,Database!$H:$N,6,0)),"")</f>
        <v/>
      </c>
      <c r="M3780" s="55" t="str">
        <f>IFERROR(IF($G3780="","",VLOOKUP('Dashboard And Emails Automate'!$G3780,Database!$H:$N,7,0)),"")</f>
        <v/>
      </c>
      <c r="N3780" s="55" t="str">
        <f>IFERROR(IF(OR($B3780="",$B3780="(blank)"),"",VLOOKUP($B3780,'Email Marketing Raw Data'!$C:$O,6,0)),"")</f>
        <v/>
      </c>
      <c r="O3780" s="55" t="str">
        <f>IFERROR(IF(OR($B3780="",$B3780="(blank)"),"",VLOOKUP($B3780,'Email Marketing Raw Data'!$C:$O,7,0)),"")</f>
        <v/>
      </c>
      <c r="P3780" s="55" t="str">
        <f>IFERROR(IF(OR($B3780="",$B3780="(blank)"),"",VLOOKUP($B3780,'Email Marketing Raw Data'!$C:$O,8,0)),"")</f>
        <v/>
      </c>
      <c r="Q3780" s="62" t="str">
        <f>IFERROR(IF(OR($B3780="",$B3780="(blank)"),"",VLOOKUP($B3780,'Email Marketing Raw Data'!$C:$O,9,0)),"")</f>
        <v/>
      </c>
    </row>
    <row r="3781" spans="4:17" ht="12.75" customHeight="1" x14ac:dyDescent="0.2">
      <c r="D3781" s="58" t="str">
        <f>IFERROR(IF(F3781&lt;&gt;"pending","",IF(OR($B3781="",$B3781="(blank)"),"",VLOOKUP($B3781,'Email Marketing Raw Data'!$C:$O,10,0))),"")</f>
        <v/>
      </c>
      <c r="E3781" s="59" t="str">
        <f>IFERROR(IF(F3781&lt;&gt;"pending","",IF(OR($B3781="",$B3781="(blank)"),"",VLOOKUP($B3781,'Email Marketing Raw Data'!$C:$O,11,0))),"")</f>
        <v/>
      </c>
      <c r="F3781" s="54" t="str">
        <f>IFERROR(IF(OR($B3781="",$B3781="(blank)"),"",VLOOKUP($B3781,'Email Marketing Raw Data'!$C:$O,13,0)),"")</f>
        <v/>
      </c>
      <c r="G3781" s="55" t="str">
        <f>IFERROR(IF(OR($B3781="",$B3781="(blank)"),"",VLOOKUP($B3781,'Email Marketing Raw Data'!$C:$O,4,0)),"")</f>
        <v/>
      </c>
      <c r="H3781" s="55" t="str">
        <f>IFERROR(IF(OR($B3781="",$B3781="(blank)"),"",VLOOKUP($B3781,'Email Marketing Raw Data'!$C:$O,5,0)),"")</f>
        <v/>
      </c>
      <c r="I3781" s="55" t="str">
        <f>IFERROR(IF($G3781="","",VLOOKUP('Dashboard And Emails Automate'!$G3781,Database!$H:$N,3,0)),"")</f>
        <v/>
      </c>
      <c r="J3781" s="55" t="str">
        <f>IFERROR(IF($G3781="","",VLOOKUP('Dashboard And Emails Automate'!$G3781,Database!$H:$N,4,0)),"")</f>
        <v/>
      </c>
      <c r="K3781" s="55" t="str">
        <f>IFERROR(IF($G3781="","",VLOOKUP('Dashboard And Emails Automate'!$G3781,Database!$H:$N,5,0)),"")</f>
        <v/>
      </c>
      <c r="L3781" s="55" t="str">
        <f>IFERROR(IF($G3781="","",VLOOKUP('Dashboard And Emails Automate'!$G3781,Database!$H:$N,6,0)),"")</f>
        <v/>
      </c>
      <c r="M3781" s="55" t="str">
        <f>IFERROR(IF($G3781="","",VLOOKUP('Dashboard And Emails Automate'!$G3781,Database!$H:$N,7,0)),"")</f>
        <v/>
      </c>
      <c r="N3781" s="55" t="str">
        <f>IFERROR(IF(OR($B3781="",$B3781="(blank)"),"",VLOOKUP($B3781,'Email Marketing Raw Data'!$C:$O,6,0)),"")</f>
        <v/>
      </c>
      <c r="O3781" s="55" t="str">
        <f>IFERROR(IF(OR($B3781="",$B3781="(blank)"),"",VLOOKUP($B3781,'Email Marketing Raw Data'!$C:$O,7,0)),"")</f>
        <v/>
      </c>
      <c r="P3781" s="55" t="str">
        <f>IFERROR(IF(OR($B3781="",$B3781="(blank)"),"",VLOOKUP($B3781,'Email Marketing Raw Data'!$C:$O,8,0)),"")</f>
        <v/>
      </c>
      <c r="Q3781" s="62" t="str">
        <f>IFERROR(IF(OR($B3781="",$B3781="(blank)"),"",VLOOKUP($B3781,'Email Marketing Raw Data'!$C:$O,9,0)),"")</f>
        <v/>
      </c>
    </row>
    <row r="3782" spans="4:17" ht="12.75" customHeight="1" x14ac:dyDescent="0.2">
      <c r="D3782" s="58" t="str">
        <f>IFERROR(IF(F3782&lt;&gt;"pending","",IF(OR($B3782="",$B3782="(blank)"),"",VLOOKUP($B3782,'Email Marketing Raw Data'!$C:$O,10,0))),"")</f>
        <v/>
      </c>
      <c r="E3782" s="59" t="str">
        <f>IFERROR(IF(F3782&lt;&gt;"pending","",IF(OR($B3782="",$B3782="(blank)"),"",VLOOKUP($B3782,'Email Marketing Raw Data'!$C:$O,11,0))),"")</f>
        <v/>
      </c>
      <c r="F3782" s="54" t="str">
        <f>IFERROR(IF(OR($B3782="",$B3782="(blank)"),"",VLOOKUP($B3782,'Email Marketing Raw Data'!$C:$O,13,0)),"")</f>
        <v/>
      </c>
      <c r="G3782" s="55" t="str">
        <f>IFERROR(IF(OR($B3782="",$B3782="(blank)"),"",VLOOKUP($B3782,'Email Marketing Raw Data'!$C:$O,4,0)),"")</f>
        <v/>
      </c>
      <c r="H3782" s="55" t="str">
        <f>IFERROR(IF(OR($B3782="",$B3782="(blank)"),"",VLOOKUP($B3782,'Email Marketing Raw Data'!$C:$O,5,0)),"")</f>
        <v/>
      </c>
      <c r="I3782" s="55" t="str">
        <f>IFERROR(IF($G3782="","",VLOOKUP('Dashboard And Emails Automate'!$G3782,Database!$H:$N,3,0)),"")</f>
        <v/>
      </c>
      <c r="J3782" s="55" t="str">
        <f>IFERROR(IF($G3782="","",VLOOKUP('Dashboard And Emails Automate'!$G3782,Database!$H:$N,4,0)),"")</f>
        <v/>
      </c>
      <c r="K3782" s="55" t="str">
        <f>IFERROR(IF($G3782="","",VLOOKUP('Dashboard And Emails Automate'!$G3782,Database!$H:$N,5,0)),"")</f>
        <v/>
      </c>
      <c r="L3782" s="55" t="str">
        <f>IFERROR(IF($G3782="","",VLOOKUP('Dashboard And Emails Automate'!$G3782,Database!$H:$N,6,0)),"")</f>
        <v/>
      </c>
      <c r="M3782" s="55" t="str">
        <f>IFERROR(IF($G3782="","",VLOOKUP('Dashboard And Emails Automate'!$G3782,Database!$H:$N,7,0)),"")</f>
        <v/>
      </c>
      <c r="N3782" s="55" t="str">
        <f>IFERROR(IF(OR($B3782="",$B3782="(blank)"),"",VLOOKUP($B3782,'Email Marketing Raw Data'!$C:$O,6,0)),"")</f>
        <v/>
      </c>
      <c r="O3782" s="55" t="str">
        <f>IFERROR(IF(OR($B3782="",$B3782="(blank)"),"",VLOOKUP($B3782,'Email Marketing Raw Data'!$C:$O,7,0)),"")</f>
        <v/>
      </c>
      <c r="P3782" s="55" t="str">
        <f>IFERROR(IF(OR($B3782="",$B3782="(blank)"),"",VLOOKUP($B3782,'Email Marketing Raw Data'!$C:$O,8,0)),"")</f>
        <v/>
      </c>
      <c r="Q3782" s="62" t="str">
        <f>IFERROR(IF(OR($B3782="",$B3782="(blank)"),"",VLOOKUP($B3782,'Email Marketing Raw Data'!$C:$O,9,0)),"")</f>
        <v/>
      </c>
    </row>
    <row r="3783" spans="4:17" ht="12.75" customHeight="1" x14ac:dyDescent="0.2">
      <c r="D3783" s="58" t="str">
        <f>IFERROR(IF(F3783&lt;&gt;"pending","",IF(OR($B3783="",$B3783="(blank)"),"",VLOOKUP($B3783,'Email Marketing Raw Data'!$C:$O,10,0))),"")</f>
        <v/>
      </c>
      <c r="E3783" s="59" t="str">
        <f>IFERROR(IF(F3783&lt;&gt;"pending","",IF(OR($B3783="",$B3783="(blank)"),"",VLOOKUP($B3783,'Email Marketing Raw Data'!$C:$O,11,0))),"")</f>
        <v/>
      </c>
      <c r="F3783" s="54" t="str">
        <f>IFERROR(IF(OR($B3783="",$B3783="(blank)"),"",VLOOKUP($B3783,'Email Marketing Raw Data'!$C:$O,13,0)),"")</f>
        <v/>
      </c>
      <c r="G3783" s="55" t="str">
        <f>IFERROR(IF(OR($B3783="",$B3783="(blank)"),"",VLOOKUP($B3783,'Email Marketing Raw Data'!$C:$O,4,0)),"")</f>
        <v/>
      </c>
      <c r="H3783" s="55" t="str">
        <f>IFERROR(IF(OR($B3783="",$B3783="(blank)"),"",VLOOKUP($B3783,'Email Marketing Raw Data'!$C:$O,5,0)),"")</f>
        <v/>
      </c>
      <c r="I3783" s="55" t="str">
        <f>IFERROR(IF($G3783="","",VLOOKUP('Dashboard And Emails Automate'!$G3783,Database!$H:$N,3,0)),"")</f>
        <v/>
      </c>
      <c r="J3783" s="55" t="str">
        <f>IFERROR(IF($G3783="","",VLOOKUP('Dashboard And Emails Automate'!$G3783,Database!$H:$N,4,0)),"")</f>
        <v/>
      </c>
      <c r="K3783" s="55" t="str">
        <f>IFERROR(IF($G3783="","",VLOOKUP('Dashboard And Emails Automate'!$G3783,Database!$H:$N,5,0)),"")</f>
        <v/>
      </c>
      <c r="L3783" s="55" t="str">
        <f>IFERROR(IF($G3783="","",VLOOKUP('Dashboard And Emails Automate'!$G3783,Database!$H:$N,6,0)),"")</f>
        <v/>
      </c>
      <c r="M3783" s="55" t="str">
        <f>IFERROR(IF($G3783="","",VLOOKUP('Dashboard And Emails Automate'!$G3783,Database!$H:$N,7,0)),"")</f>
        <v/>
      </c>
      <c r="N3783" s="55" t="str">
        <f>IFERROR(IF(OR($B3783="",$B3783="(blank)"),"",VLOOKUP($B3783,'Email Marketing Raw Data'!$C:$O,6,0)),"")</f>
        <v/>
      </c>
      <c r="O3783" s="55" t="str">
        <f>IFERROR(IF(OR($B3783="",$B3783="(blank)"),"",VLOOKUP($B3783,'Email Marketing Raw Data'!$C:$O,7,0)),"")</f>
        <v/>
      </c>
      <c r="P3783" s="55" t="str">
        <f>IFERROR(IF(OR($B3783="",$B3783="(blank)"),"",VLOOKUP($B3783,'Email Marketing Raw Data'!$C:$O,8,0)),"")</f>
        <v/>
      </c>
      <c r="Q3783" s="62" t="str">
        <f>IFERROR(IF(OR($B3783="",$B3783="(blank)"),"",VLOOKUP($B3783,'Email Marketing Raw Data'!$C:$O,9,0)),"")</f>
        <v/>
      </c>
    </row>
    <row r="3784" spans="4:17" ht="12.75" customHeight="1" x14ac:dyDescent="0.2">
      <c r="D3784" s="58" t="str">
        <f>IFERROR(IF(F3784&lt;&gt;"pending","",IF(OR($B3784="",$B3784="(blank)"),"",VLOOKUP($B3784,'Email Marketing Raw Data'!$C:$O,10,0))),"")</f>
        <v/>
      </c>
      <c r="E3784" s="59" t="str">
        <f>IFERROR(IF(F3784&lt;&gt;"pending","",IF(OR($B3784="",$B3784="(blank)"),"",VLOOKUP($B3784,'Email Marketing Raw Data'!$C:$O,11,0))),"")</f>
        <v/>
      </c>
      <c r="F3784" s="54" t="str">
        <f>IFERROR(IF(OR($B3784="",$B3784="(blank)"),"",VLOOKUP($B3784,'Email Marketing Raw Data'!$C:$O,13,0)),"")</f>
        <v/>
      </c>
      <c r="G3784" s="55" t="str">
        <f>IFERROR(IF(OR($B3784="",$B3784="(blank)"),"",VLOOKUP($B3784,'Email Marketing Raw Data'!$C:$O,4,0)),"")</f>
        <v/>
      </c>
      <c r="H3784" s="55" t="str">
        <f>IFERROR(IF(OR($B3784="",$B3784="(blank)"),"",VLOOKUP($B3784,'Email Marketing Raw Data'!$C:$O,5,0)),"")</f>
        <v/>
      </c>
      <c r="I3784" s="55" t="str">
        <f>IFERROR(IF($G3784="","",VLOOKUP('Dashboard And Emails Automate'!$G3784,Database!$H:$N,3,0)),"")</f>
        <v/>
      </c>
      <c r="J3784" s="55" t="str">
        <f>IFERROR(IF($G3784="","",VLOOKUP('Dashboard And Emails Automate'!$G3784,Database!$H:$N,4,0)),"")</f>
        <v/>
      </c>
      <c r="K3784" s="55" t="str">
        <f>IFERROR(IF($G3784="","",VLOOKUP('Dashboard And Emails Automate'!$G3784,Database!$H:$N,5,0)),"")</f>
        <v/>
      </c>
      <c r="L3784" s="55" t="str">
        <f>IFERROR(IF($G3784="","",VLOOKUP('Dashboard And Emails Automate'!$G3784,Database!$H:$N,6,0)),"")</f>
        <v/>
      </c>
      <c r="M3784" s="55" t="str">
        <f>IFERROR(IF($G3784="","",VLOOKUP('Dashboard And Emails Automate'!$G3784,Database!$H:$N,7,0)),"")</f>
        <v/>
      </c>
      <c r="N3784" s="55" t="str">
        <f>IFERROR(IF(OR($B3784="",$B3784="(blank)"),"",VLOOKUP($B3784,'Email Marketing Raw Data'!$C:$O,6,0)),"")</f>
        <v/>
      </c>
      <c r="O3784" s="55" t="str">
        <f>IFERROR(IF(OR($B3784="",$B3784="(blank)"),"",VLOOKUP($B3784,'Email Marketing Raw Data'!$C:$O,7,0)),"")</f>
        <v/>
      </c>
      <c r="P3784" s="55" t="str">
        <f>IFERROR(IF(OR($B3784="",$B3784="(blank)"),"",VLOOKUP($B3784,'Email Marketing Raw Data'!$C:$O,8,0)),"")</f>
        <v/>
      </c>
      <c r="Q3784" s="62" t="str">
        <f>IFERROR(IF(OR($B3784="",$B3784="(blank)"),"",VLOOKUP($B3784,'Email Marketing Raw Data'!$C:$O,9,0)),"")</f>
        <v/>
      </c>
    </row>
    <row r="3785" spans="4:17" ht="12.75" customHeight="1" x14ac:dyDescent="0.2">
      <c r="D3785" s="58" t="str">
        <f>IFERROR(IF(F3785&lt;&gt;"pending","",IF(OR($B3785="",$B3785="(blank)"),"",VLOOKUP($B3785,'Email Marketing Raw Data'!$C:$O,10,0))),"")</f>
        <v/>
      </c>
      <c r="E3785" s="59" t="str">
        <f>IFERROR(IF(F3785&lt;&gt;"pending","",IF(OR($B3785="",$B3785="(blank)"),"",VLOOKUP($B3785,'Email Marketing Raw Data'!$C:$O,11,0))),"")</f>
        <v/>
      </c>
      <c r="F3785" s="54" t="str">
        <f>IFERROR(IF(OR($B3785="",$B3785="(blank)"),"",VLOOKUP($B3785,'Email Marketing Raw Data'!$C:$O,13,0)),"")</f>
        <v/>
      </c>
      <c r="G3785" s="55" t="str">
        <f>IFERROR(IF(OR($B3785="",$B3785="(blank)"),"",VLOOKUP($B3785,'Email Marketing Raw Data'!$C:$O,4,0)),"")</f>
        <v/>
      </c>
      <c r="H3785" s="55" t="str">
        <f>IFERROR(IF(OR($B3785="",$B3785="(blank)"),"",VLOOKUP($B3785,'Email Marketing Raw Data'!$C:$O,5,0)),"")</f>
        <v/>
      </c>
      <c r="I3785" s="55" t="str">
        <f>IFERROR(IF($G3785="","",VLOOKUP('Dashboard And Emails Automate'!$G3785,Database!$H:$N,3,0)),"")</f>
        <v/>
      </c>
      <c r="J3785" s="55" t="str">
        <f>IFERROR(IF($G3785="","",VLOOKUP('Dashboard And Emails Automate'!$G3785,Database!$H:$N,4,0)),"")</f>
        <v/>
      </c>
      <c r="K3785" s="55" t="str">
        <f>IFERROR(IF($G3785="","",VLOOKUP('Dashboard And Emails Automate'!$G3785,Database!$H:$N,5,0)),"")</f>
        <v/>
      </c>
      <c r="L3785" s="55" t="str">
        <f>IFERROR(IF($G3785="","",VLOOKUP('Dashboard And Emails Automate'!$G3785,Database!$H:$N,6,0)),"")</f>
        <v/>
      </c>
      <c r="M3785" s="55" t="str">
        <f>IFERROR(IF($G3785="","",VLOOKUP('Dashboard And Emails Automate'!$G3785,Database!$H:$N,7,0)),"")</f>
        <v/>
      </c>
      <c r="N3785" s="55" t="str">
        <f>IFERROR(IF(OR($B3785="",$B3785="(blank)"),"",VLOOKUP($B3785,'Email Marketing Raw Data'!$C:$O,6,0)),"")</f>
        <v/>
      </c>
      <c r="O3785" s="55" t="str">
        <f>IFERROR(IF(OR($B3785="",$B3785="(blank)"),"",VLOOKUP($B3785,'Email Marketing Raw Data'!$C:$O,7,0)),"")</f>
        <v/>
      </c>
      <c r="P3785" s="55" t="str">
        <f>IFERROR(IF(OR($B3785="",$B3785="(blank)"),"",VLOOKUP($B3785,'Email Marketing Raw Data'!$C:$O,8,0)),"")</f>
        <v/>
      </c>
      <c r="Q3785" s="62" t="str">
        <f>IFERROR(IF(OR($B3785="",$B3785="(blank)"),"",VLOOKUP($B3785,'Email Marketing Raw Data'!$C:$O,9,0)),"")</f>
        <v/>
      </c>
    </row>
    <row r="3786" spans="4:17" ht="12.75" customHeight="1" x14ac:dyDescent="0.2">
      <c r="D3786" s="58" t="str">
        <f>IFERROR(IF(F3786&lt;&gt;"pending","",IF(OR($B3786="",$B3786="(blank)"),"",VLOOKUP($B3786,'Email Marketing Raw Data'!$C:$O,10,0))),"")</f>
        <v/>
      </c>
      <c r="E3786" s="59" t="str">
        <f>IFERROR(IF(F3786&lt;&gt;"pending","",IF(OR($B3786="",$B3786="(blank)"),"",VLOOKUP($B3786,'Email Marketing Raw Data'!$C:$O,11,0))),"")</f>
        <v/>
      </c>
      <c r="F3786" s="54" t="str">
        <f>IFERROR(IF(OR($B3786="",$B3786="(blank)"),"",VLOOKUP($B3786,'Email Marketing Raw Data'!$C:$O,13,0)),"")</f>
        <v/>
      </c>
      <c r="G3786" s="55" t="str">
        <f>IFERROR(IF(OR($B3786="",$B3786="(blank)"),"",VLOOKUP($B3786,'Email Marketing Raw Data'!$C:$O,4,0)),"")</f>
        <v/>
      </c>
      <c r="H3786" s="55" t="str">
        <f>IFERROR(IF(OR($B3786="",$B3786="(blank)"),"",VLOOKUP($B3786,'Email Marketing Raw Data'!$C:$O,5,0)),"")</f>
        <v/>
      </c>
      <c r="I3786" s="55" t="str">
        <f>IFERROR(IF($G3786="","",VLOOKUP('Dashboard And Emails Automate'!$G3786,Database!$H:$N,3,0)),"")</f>
        <v/>
      </c>
      <c r="J3786" s="55" t="str">
        <f>IFERROR(IF($G3786="","",VLOOKUP('Dashboard And Emails Automate'!$G3786,Database!$H:$N,4,0)),"")</f>
        <v/>
      </c>
      <c r="K3786" s="55" t="str">
        <f>IFERROR(IF($G3786="","",VLOOKUP('Dashboard And Emails Automate'!$G3786,Database!$H:$N,5,0)),"")</f>
        <v/>
      </c>
      <c r="L3786" s="55" t="str">
        <f>IFERROR(IF($G3786="","",VLOOKUP('Dashboard And Emails Automate'!$G3786,Database!$H:$N,6,0)),"")</f>
        <v/>
      </c>
      <c r="M3786" s="55" t="str">
        <f>IFERROR(IF($G3786="","",VLOOKUP('Dashboard And Emails Automate'!$G3786,Database!$H:$N,7,0)),"")</f>
        <v/>
      </c>
      <c r="N3786" s="55" t="str">
        <f>IFERROR(IF(OR($B3786="",$B3786="(blank)"),"",VLOOKUP($B3786,'Email Marketing Raw Data'!$C:$O,6,0)),"")</f>
        <v/>
      </c>
      <c r="O3786" s="55" t="str">
        <f>IFERROR(IF(OR($B3786="",$B3786="(blank)"),"",VLOOKUP($B3786,'Email Marketing Raw Data'!$C:$O,7,0)),"")</f>
        <v/>
      </c>
      <c r="P3786" s="55" t="str">
        <f>IFERROR(IF(OR($B3786="",$B3786="(blank)"),"",VLOOKUP($B3786,'Email Marketing Raw Data'!$C:$O,8,0)),"")</f>
        <v/>
      </c>
      <c r="Q3786" s="62" t="str">
        <f>IFERROR(IF(OR($B3786="",$B3786="(blank)"),"",VLOOKUP($B3786,'Email Marketing Raw Data'!$C:$O,9,0)),"")</f>
        <v/>
      </c>
    </row>
    <row r="3787" spans="4:17" ht="12.75" customHeight="1" x14ac:dyDescent="0.2">
      <c r="D3787" s="58" t="str">
        <f>IFERROR(IF(F3787&lt;&gt;"pending","",IF(OR($B3787="",$B3787="(blank)"),"",VLOOKUP($B3787,'Email Marketing Raw Data'!$C:$O,10,0))),"")</f>
        <v/>
      </c>
      <c r="E3787" s="59" t="str">
        <f>IFERROR(IF(F3787&lt;&gt;"pending","",IF(OR($B3787="",$B3787="(blank)"),"",VLOOKUP($B3787,'Email Marketing Raw Data'!$C:$O,11,0))),"")</f>
        <v/>
      </c>
      <c r="F3787" s="54" t="str">
        <f>IFERROR(IF(OR($B3787="",$B3787="(blank)"),"",VLOOKUP($B3787,'Email Marketing Raw Data'!$C:$O,13,0)),"")</f>
        <v/>
      </c>
      <c r="G3787" s="55" t="str">
        <f>IFERROR(IF(OR($B3787="",$B3787="(blank)"),"",VLOOKUP($B3787,'Email Marketing Raw Data'!$C:$O,4,0)),"")</f>
        <v/>
      </c>
      <c r="H3787" s="55" t="str">
        <f>IFERROR(IF(OR($B3787="",$B3787="(blank)"),"",VLOOKUP($B3787,'Email Marketing Raw Data'!$C:$O,5,0)),"")</f>
        <v/>
      </c>
      <c r="I3787" s="55" t="str">
        <f>IFERROR(IF($G3787="","",VLOOKUP('Dashboard And Emails Automate'!$G3787,Database!$H:$N,3,0)),"")</f>
        <v/>
      </c>
      <c r="J3787" s="55" t="str">
        <f>IFERROR(IF($G3787="","",VLOOKUP('Dashboard And Emails Automate'!$G3787,Database!$H:$N,4,0)),"")</f>
        <v/>
      </c>
      <c r="K3787" s="55" t="str">
        <f>IFERROR(IF($G3787="","",VLOOKUP('Dashboard And Emails Automate'!$G3787,Database!$H:$N,5,0)),"")</f>
        <v/>
      </c>
      <c r="L3787" s="55" t="str">
        <f>IFERROR(IF($G3787="","",VLOOKUP('Dashboard And Emails Automate'!$G3787,Database!$H:$N,6,0)),"")</f>
        <v/>
      </c>
      <c r="M3787" s="55" t="str">
        <f>IFERROR(IF($G3787="","",VLOOKUP('Dashboard And Emails Automate'!$G3787,Database!$H:$N,7,0)),"")</f>
        <v/>
      </c>
      <c r="N3787" s="55" t="str">
        <f>IFERROR(IF(OR($B3787="",$B3787="(blank)"),"",VLOOKUP($B3787,'Email Marketing Raw Data'!$C:$O,6,0)),"")</f>
        <v/>
      </c>
      <c r="O3787" s="55" t="str">
        <f>IFERROR(IF(OR($B3787="",$B3787="(blank)"),"",VLOOKUP($B3787,'Email Marketing Raw Data'!$C:$O,7,0)),"")</f>
        <v/>
      </c>
      <c r="P3787" s="55" t="str">
        <f>IFERROR(IF(OR($B3787="",$B3787="(blank)"),"",VLOOKUP($B3787,'Email Marketing Raw Data'!$C:$O,8,0)),"")</f>
        <v/>
      </c>
      <c r="Q3787" s="62" t="str">
        <f>IFERROR(IF(OR($B3787="",$B3787="(blank)"),"",VLOOKUP($B3787,'Email Marketing Raw Data'!$C:$O,9,0)),"")</f>
        <v/>
      </c>
    </row>
    <row r="3788" spans="4:17" ht="12.75" customHeight="1" x14ac:dyDescent="0.2">
      <c r="D3788" s="58" t="str">
        <f>IFERROR(IF(F3788&lt;&gt;"pending","",IF(OR($B3788="",$B3788="(blank)"),"",VLOOKUP($B3788,'Email Marketing Raw Data'!$C:$O,10,0))),"")</f>
        <v/>
      </c>
      <c r="E3788" s="59" t="str">
        <f>IFERROR(IF(F3788&lt;&gt;"pending","",IF(OR($B3788="",$B3788="(blank)"),"",VLOOKUP($B3788,'Email Marketing Raw Data'!$C:$O,11,0))),"")</f>
        <v/>
      </c>
      <c r="F3788" s="54" t="str">
        <f>IFERROR(IF(OR($B3788="",$B3788="(blank)"),"",VLOOKUP($B3788,'Email Marketing Raw Data'!$C:$O,13,0)),"")</f>
        <v/>
      </c>
      <c r="G3788" s="55" t="str">
        <f>IFERROR(IF(OR($B3788="",$B3788="(blank)"),"",VLOOKUP($B3788,'Email Marketing Raw Data'!$C:$O,4,0)),"")</f>
        <v/>
      </c>
      <c r="H3788" s="55" t="str">
        <f>IFERROR(IF(OR($B3788="",$B3788="(blank)"),"",VLOOKUP($B3788,'Email Marketing Raw Data'!$C:$O,5,0)),"")</f>
        <v/>
      </c>
      <c r="I3788" s="55" t="str">
        <f>IFERROR(IF($G3788="","",VLOOKUP('Dashboard And Emails Automate'!$G3788,Database!$H:$N,3,0)),"")</f>
        <v/>
      </c>
      <c r="J3788" s="55" t="str">
        <f>IFERROR(IF($G3788="","",VLOOKUP('Dashboard And Emails Automate'!$G3788,Database!$H:$N,4,0)),"")</f>
        <v/>
      </c>
      <c r="K3788" s="55" t="str">
        <f>IFERROR(IF($G3788="","",VLOOKUP('Dashboard And Emails Automate'!$G3788,Database!$H:$N,5,0)),"")</f>
        <v/>
      </c>
      <c r="L3788" s="55" t="str">
        <f>IFERROR(IF($G3788="","",VLOOKUP('Dashboard And Emails Automate'!$G3788,Database!$H:$N,6,0)),"")</f>
        <v/>
      </c>
      <c r="M3788" s="55" t="str">
        <f>IFERROR(IF($G3788="","",VLOOKUP('Dashboard And Emails Automate'!$G3788,Database!$H:$N,7,0)),"")</f>
        <v/>
      </c>
      <c r="N3788" s="55" t="str">
        <f>IFERROR(IF(OR($B3788="",$B3788="(blank)"),"",VLOOKUP($B3788,'Email Marketing Raw Data'!$C:$O,6,0)),"")</f>
        <v/>
      </c>
      <c r="O3788" s="55" t="str">
        <f>IFERROR(IF(OR($B3788="",$B3788="(blank)"),"",VLOOKUP($B3788,'Email Marketing Raw Data'!$C:$O,7,0)),"")</f>
        <v/>
      </c>
      <c r="P3788" s="55" t="str">
        <f>IFERROR(IF(OR($B3788="",$B3788="(blank)"),"",VLOOKUP($B3788,'Email Marketing Raw Data'!$C:$O,8,0)),"")</f>
        <v/>
      </c>
      <c r="Q3788" s="62" t="str">
        <f>IFERROR(IF(OR($B3788="",$B3788="(blank)"),"",VLOOKUP($B3788,'Email Marketing Raw Data'!$C:$O,9,0)),"")</f>
        <v/>
      </c>
    </row>
    <row r="3789" spans="4:17" ht="12.75" customHeight="1" x14ac:dyDescent="0.2">
      <c r="D3789" s="58" t="str">
        <f>IFERROR(IF(F3789&lt;&gt;"pending","",IF(OR($B3789="",$B3789="(blank)"),"",VLOOKUP($B3789,'Email Marketing Raw Data'!$C:$O,10,0))),"")</f>
        <v/>
      </c>
      <c r="E3789" s="59" t="str">
        <f>IFERROR(IF(F3789&lt;&gt;"pending","",IF(OR($B3789="",$B3789="(blank)"),"",VLOOKUP($B3789,'Email Marketing Raw Data'!$C:$O,11,0))),"")</f>
        <v/>
      </c>
      <c r="F3789" s="54" t="str">
        <f>IFERROR(IF(OR($B3789="",$B3789="(blank)"),"",VLOOKUP($B3789,'Email Marketing Raw Data'!$C:$O,13,0)),"")</f>
        <v/>
      </c>
      <c r="G3789" s="55" t="str">
        <f>IFERROR(IF(OR($B3789="",$B3789="(blank)"),"",VLOOKUP($B3789,'Email Marketing Raw Data'!$C:$O,4,0)),"")</f>
        <v/>
      </c>
      <c r="H3789" s="55" t="str">
        <f>IFERROR(IF(OR($B3789="",$B3789="(blank)"),"",VLOOKUP($B3789,'Email Marketing Raw Data'!$C:$O,5,0)),"")</f>
        <v/>
      </c>
      <c r="I3789" s="55" t="str">
        <f>IFERROR(IF($G3789="","",VLOOKUP('Dashboard And Emails Automate'!$G3789,Database!$H:$N,3,0)),"")</f>
        <v/>
      </c>
      <c r="J3789" s="55" t="str">
        <f>IFERROR(IF($G3789="","",VLOOKUP('Dashboard And Emails Automate'!$G3789,Database!$H:$N,4,0)),"")</f>
        <v/>
      </c>
      <c r="K3789" s="55" t="str">
        <f>IFERROR(IF($G3789="","",VLOOKUP('Dashboard And Emails Automate'!$G3789,Database!$H:$N,5,0)),"")</f>
        <v/>
      </c>
      <c r="L3789" s="55" t="str">
        <f>IFERROR(IF($G3789="","",VLOOKUP('Dashboard And Emails Automate'!$G3789,Database!$H:$N,6,0)),"")</f>
        <v/>
      </c>
      <c r="M3789" s="55" t="str">
        <f>IFERROR(IF($G3789="","",VLOOKUP('Dashboard And Emails Automate'!$G3789,Database!$H:$N,7,0)),"")</f>
        <v/>
      </c>
      <c r="N3789" s="55" t="str">
        <f>IFERROR(IF(OR($B3789="",$B3789="(blank)"),"",VLOOKUP($B3789,'Email Marketing Raw Data'!$C:$O,6,0)),"")</f>
        <v/>
      </c>
      <c r="O3789" s="55" t="str">
        <f>IFERROR(IF(OR($B3789="",$B3789="(blank)"),"",VLOOKUP($B3789,'Email Marketing Raw Data'!$C:$O,7,0)),"")</f>
        <v/>
      </c>
      <c r="P3789" s="55" t="str">
        <f>IFERROR(IF(OR($B3789="",$B3789="(blank)"),"",VLOOKUP($B3789,'Email Marketing Raw Data'!$C:$O,8,0)),"")</f>
        <v/>
      </c>
      <c r="Q3789" s="62" t="str">
        <f>IFERROR(IF(OR($B3789="",$B3789="(blank)"),"",VLOOKUP($B3789,'Email Marketing Raw Data'!$C:$O,9,0)),"")</f>
        <v/>
      </c>
    </row>
    <row r="3790" spans="4:17" ht="12.75" customHeight="1" x14ac:dyDescent="0.2">
      <c r="D3790" s="58" t="str">
        <f>IFERROR(IF(F3790&lt;&gt;"pending","",IF(OR($B3790="",$B3790="(blank)"),"",VLOOKUP($B3790,'Email Marketing Raw Data'!$C:$O,10,0))),"")</f>
        <v/>
      </c>
      <c r="E3790" s="59" t="str">
        <f>IFERROR(IF(F3790&lt;&gt;"pending","",IF(OR($B3790="",$B3790="(blank)"),"",VLOOKUP($B3790,'Email Marketing Raw Data'!$C:$O,11,0))),"")</f>
        <v/>
      </c>
      <c r="F3790" s="54" t="str">
        <f>IFERROR(IF(OR($B3790="",$B3790="(blank)"),"",VLOOKUP($B3790,'Email Marketing Raw Data'!$C:$O,13,0)),"")</f>
        <v/>
      </c>
      <c r="G3790" s="55" t="str">
        <f>IFERROR(IF(OR($B3790="",$B3790="(blank)"),"",VLOOKUP($B3790,'Email Marketing Raw Data'!$C:$O,4,0)),"")</f>
        <v/>
      </c>
      <c r="H3790" s="55" t="str">
        <f>IFERROR(IF(OR($B3790="",$B3790="(blank)"),"",VLOOKUP($B3790,'Email Marketing Raw Data'!$C:$O,5,0)),"")</f>
        <v/>
      </c>
      <c r="I3790" s="55" t="str">
        <f>IFERROR(IF($G3790="","",VLOOKUP('Dashboard And Emails Automate'!$G3790,Database!$H:$N,3,0)),"")</f>
        <v/>
      </c>
      <c r="J3790" s="55" t="str">
        <f>IFERROR(IF($G3790="","",VLOOKUP('Dashboard And Emails Automate'!$G3790,Database!$H:$N,4,0)),"")</f>
        <v/>
      </c>
      <c r="K3790" s="55" t="str">
        <f>IFERROR(IF($G3790="","",VLOOKUP('Dashboard And Emails Automate'!$G3790,Database!$H:$N,5,0)),"")</f>
        <v/>
      </c>
      <c r="L3790" s="55" t="str">
        <f>IFERROR(IF($G3790="","",VLOOKUP('Dashboard And Emails Automate'!$G3790,Database!$H:$N,6,0)),"")</f>
        <v/>
      </c>
      <c r="M3790" s="55" t="str">
        <f>IFERROR(IF($G3790="","",VLOOKUP('Dashboard And Emails Automate'!$G3790,Database!$H:$N,7,0)),"")</f>
        <v/>
      </c>
      <c r="N3790" s="55" t="str">
        <f>IFERROR(IF(OR($B3790="",$B3790="(blank)"),"",VLOOKUP($B3790,'Email Marketing Raw Data'!$C:$O,6,0)),"")</f>
        <v/>
      </c>
      <c r="O3790" s="55" t="str">
        <f>IFERROR(IF(OR($B3790="",$B3790="(blank)"),"",VLOOKUP($B3790,'Email Marketing Raw Data'!$C:$O,7,0)),"")</f>
        <v/>
      </c>
      <c r="P3790" s="55" t="str">
        <f>IFERROR(IF(OR($B3790="",$B3790="(blank)"),"",VLOOKUP($B3790,'Email Marketing Raw Data'!$C:$O,8,0)),"")</f>
        <v/>
      </c>
      <c r="Q3790" s="62" t="str">
        <f>IFERROR(IF(OR($B3790="",$B3790="(blank)"),"",VLOOKUP($B3790,'Email Marketing Raw Data'!$C:$O,9,0)),"")</f>
        <v/>
      </c>
    </row>
    <row r="3791" spans="4:17" ht="12.75" customHeight="1" x14ac:dyDescent="0.2">
      <c r="D3791" s="58" t="str">
        <f>IFERROR(IF(F3791&lt;&gt;"pending","",IF(OR($B3791="",$B3791="(blank)"),"",VLOOKUP($B3791,'Email Marketing Raw Data'!$C:$O,10,0))),"")</f>
        <v/>
      </c>
      <c r="E3791" s="59" t="str">
        <f>IFERROR(IF(F3791&lt;&gt;"pending","",IF(OR($B3791="",$B3791="(blank)"),"",VLOOKUP($B3791,'Email Marketing Raw Data'!$C:$O,11,0))),"")</f>
        <v/>
      </c>
      <c r="F3791" s="54" t="str">
        <f>IFERROR(IF(OR($B3791="",$B3791="(blank)"),"",VLOOKUP($B3791,'Email Marketing Raw Data'!$C:$O,13,0)),"")</f>
        <v/>
      </c>
      <c r="G3791" s="55" t="str">
        <f>IFERROR(IF(OR($B3791="",$B3791="(blank)"),"",VLOOKUP($B3791,'Email Marketing Raw Data'!$C:$O,4,0)),"")</f>
        <v/>
      </c>
      <c r="H3791" s="55" t="str">
        <f>IFERROR(IF(OR($B3791="",$B3791="(blank)"),"",VLOOKUP($B3791,'Email Marketing Raw Data'!$C:$O,5,0)),"")</f>
        <v/>
      </c>
      <c r="I3791" s="55" t="str">
        <f>IFERROR(IF($G3791="","",VLOOKUP('Dashboard And Emails Automate'!$G3791,Database!$H:$N,3,0)),"")</f>
        <v/>
      </c>
      <c r="J3791" s="55" t="str">
        <f>IFERROR(IF($G3791="","",VLOOKUP('Dashboard And Emails Automate'!$G3791,Database!$H:$N,4,0)),"")</f>
        <v/>
      </c>
      <c r="K3791" s="55" t="str">
        <f>IFERROR(IF($G3791="","",VLOOKUP('Dashboard And Emails Automate'!$G3791,Database!$H:$N,5,0)),"")</f>
        <v/>
      </c>
      <c r="L3791" s="55" t="str">
        <f>IFERROR(IF($G3791="","",VLOOKUP('Dashboard And Emails Automate'!$G3791,Database!$H:$N,6,0)),"")</f>
        <v/>
      </c>
      <c r="M3791" s="55" t="str">
        <f>IFERROR(IF($G3791="","",VLOOKUP('Dashboard And Emails Automate'!$G3791,Database!$H:$N,7,0)),"")</f>
        <v/>
      </c>
      <c r="N3791" s="55" t="str">
        <f>IFERROR(IF(OR($B3791="",$B3791="(blank)"),"",VLOOKUP($B3791,'Email Marketing Raw Data'!$C:$O,6,0)),"")</f>
        <v/>
      </c>
      <c r="O3791" s="55" t="str">
        <f>IFERROR(IF(OR($B3791="",$B3791="(blank)"),"",VLOOKUP($B3791,'Email Marketing Raw Data'!$C:$O,7,0)),"")</f>
        <v/>
      </c>
      <c r="P3791" s="55" t="str">
        <f>IFERROR(IF(OR($B3791="",$B3791="(blank)"),"",VLOOKUP($B3791,'Email Marketing Raw Data'!$C:$O,8,0)),"")</f>
        <v/>
      </c>
      <c r="Q3791" s="62" t="str">
        <f>IFERROR(IF(OR($B3791="",$B3791="(blank)"),"",VLOOKUP($B3791,'Email Marketing Raw Data'!$C:$O,9,0)),"")</f>
        <v/>
      </c>
    </row>
    <row r="3792" spans="4:17" ht="12.75" customHeight="1" x14ac:dyDescent="0.2">
      <c r="D3792" s="58" t="str">
        <f>IFERROR(IF(F3792&lt;&gt;"pending","",IF(OR($B3792="",$B3792="(blank)"),"",VLOOKUP($B3792,'Email Marketing Raw Data'!$C:$O,10,0))),"")</f>
        <v/>
      </c>
      <c r="E3792" s="59" t="str">
        <f>IFERROR(IF(F3792&lt;&gt;"pending","",IF(OR($B3792="",$B3792="(blank)"),"",VLOOKUP($B3792,'Email Marketing Raw Data'!$C:$O,11,0))),"")</f>
        <v/>
      </c>
      <c r="F3792" s="54" t="str">
        <f>IFERROR(IF(OR($B3792="",$B3792="(blank)"),"",VLOOKUP($B3792,'Email Marketing Raw Data'!$C:$O,13,0)),"")</f>
        <v/>
      </c>
      <c r="G3792" s="55" t="str">
        <f>IFERROR(IF(OR($B3792="",$B3792="(blank)"),"",VLOOKUP($B3792,'Email Marketing Raw Data'!$C:$O,4,0)),"")</f>
        <v/>
      </c>
      <c r="H3792" s="55" t="str">
        <f>IFERROR(IF(OR($B3792="",$B3792="(blank)"),"",VLOOKUP($B3792,'Email Marketing Raw Data'!$C:$O,5,0)),"")</f>
        <v/>
      </c>
      <c r="I3792" s="55" t="str">
        <f>IFERROR(IF($G3792="","",VLOOKUP('Dashboard And Emails Automate'!$G3792,Database!$H:$N,3,0)),"")</f>
        <v/>
      </c>
      <c r="J3792" s="55" t="str">
        <f>IFERROR(IF($G3792="","",VLOOKUP('Dashboard And Emails Automate'!$G3792,Database!$H:$N,4,0)),"")</f>
        <v/>
      </c>
      <c r="K3792" s="55" t="str">
        <f>IFERROR(IF($G3792="","",VLOOKUP('Dashboard And Emails Automate'!$G3792,Database!$H:$N,5,0)),"")</f>
        <v/>
      </c>
      <c r="L3792" s="55" t="str">
        <f>IFERROR(IF($G3792="","",VLOOKUP('Dashboard And Emails Automate'!$G3792,Database!$H:$N,6,0)),"")</f>
        <v/>
      </c>
      <c r="M3792" s="55" t="str">
        <f>IFERROR(IF($G3792="","",VLOOKUP('Dashboard And Emails Automate'!$G3792,Database!$H:$N,7,0)),"")</f>
        <v/>
      </c>
      <c r="N3792" s="55" t="str">
        <f>IFERROR(IF(OR($B3792="",$B3792="(blank)"),"",VLOOKUP($B3792,'Email Marketing Raw Data'!$C:$O,6,0)),"")</f>
        <v/>
      </c>
      <c r="O3792" s="55" t="str">
        <f>IFERROR(IF(OR($B3792="",$B3792="(blank)"),"",VLOOKUP($B3792,'Email Marketing Raw Data'!$C:$O,7,0)),"")</f>
        <v/>
      </c>
      <c r="P3792" s="55" t="str">
        <f>IFERROR(IF(OR($B3792="",$B3792="(blank)"),"",VLOOKUP($B3792,'Email Marketing Raw Data'!$C:$O,8,0)),"")</f>
        <v/>
      </c>
      <c r="Q3792" s="62" t="str">
        <f>IFERROR(IF(OR($B3792="",$B3792="(blank)"),"",VLOOKUP($B3792,'Email Marketing Raw Data'!$C:$O,9,0)),"")</f>
        <v/>
      </c>
    </row>
    <row r="3793" spans="4:17" ht="12.75" customHeight="1" x14ac:dyDescent="0.2">
      <c r="D3793" s="58" t="str">
        <f>IFERROR(IF(F3793&lt;&gt;"pending","",IF(OR($B3793="",$B3793="(blank)"),"",VLOOKUP($B3793,'Email Marketing Raw Data'!$C:$O,10,0))),"")</f>
        <v/>
      </c>
      <c r="E3793" s="59" t="str">
        <f>IFERROR(IF(F3793&lt;&gt;"pending","",IF(OR($B3793="",$B3793="(blank)"),"",VLOOKUP($B3793,'Email Marketing Raw Data'!$C:$O,11,0))),"")</f>
        <v/>
      </c>
      <c r="F3793" s="54" t="str">
        <f>IFERROR(IF(OR($B3793="",$B3793="(blank)"),"",VLOOKUP($B3793,'Email Marketing Raw Data'!$C:$O,13,0)),"")</f>
        <v/>
      </c>
      <c r="G3793" s="55" t="str">
        <f>IFERROR(IF(OR($B3793="",$B3793="(blank)"),"",VLOOKUP($B3793,'Email Marketing Raw Data'!$C:$O,4,0)),"")</f>
        <v/>
      </c>
      <c r="H3793" s="55" t="str">
        <f>IFERROR(IF(OR($B3793="",$B3793="(blank)"),"",VLOOKUP($B3793,'Email Marketing Raw Data'!$C:$O,5,0)),"")</f>
        <v/>
      </c>
      <c r="I3793" s="55" t="str">
        <f>IFERROR(IF($G3793="","",VLOOKUP('Dashboard And Emails Automate'!$G3793,Database!$H:$N,3,0)),"")</f>
        <v/>
      </c>
      <c r="J3793" s="55" t="str">
        <f>IFERROR(IF($G3793="","",VLOOKUP('Dashboard And Emails Automate'!$G3793,Database!$H:$N,4,0)),"")</f>
        <v/>
      </c>
      <c r="K3793" s="55" t="str">
        <f>IFERROR(IF($G3793="","",VLOOKUP('Dashboard And Emails Automate'!$G3793,Database!$H:$N,5,0)),"")</f>
        <v/>
      </c>
      <c r="L3793" s="55" t="str">
        <f>IFERROR(IF($G3793="","",VLOOKUP('Dashboard And Emails Automate'!$G3793,Database!$H:$N,6,0)),"")</f>
        <v/>
      </c>
      <c r="M3793" s="55" t="str">
        <f>IFERROR(IF($G3793="","",VLOOKUP('Dashboard And Emails Automate'!$G3793,Database!$H:$N,7,0)),"")</f>
        <v/>
      </c>
      <c r="N3793" s="55" t="str">
        <f>IFERROR(IF(OR($B3793="",$B3793="(blank)"),"",VLOOKUP($B3793,'Email Marketing Raw Data'!$C:$O,6,0)),"")</f>
        <v/>
      </c>
      <c r="O3793" s="55" t="str">
        <f>IFERROR(IF(OR($B3793="",$B3793="(blank)"),"",VLOOKUP($B3793,'Email Marketing Raw Data'!$C:$O,7,0)),"")</f>
        <v/>
      </c>
      <c r="P3793" s="55" t="str">
        <f>IFERROR(IF(OR($B3793="",$B3793="(blank)"),"",VLOOKUP($B3793,'Email Marketing Raw Data'!$C:$O,8,0)),"")</f>
        <v/>
      </c>
      <c r="Q3793" s="62" t="str">
        <f>IFERROR(IF(OR($B3793="",$B3793="(blank)"),"",VLOOKUP($B3793,'Email Marketing Raw Data'!$C:$O,9,0)),"")</f>
        <v/>
      </c>
    </row>
    <row r="3794" spans="4:17" ht="12.75" customHeight="1" x14ac:dyDescent="0.2">
      <c r="D3794" s="58" t="str">
        <f>IFERROR(IF(F3794&lt;&gt;"pending","",IF(OR($B3794="",$B3794="(blank)"),"",VLOOKUP($B3794,'Email Marketing Raw Data'!$C:$O,10,0))),"")</f>
        <v/>
      </c>
      <c r="E3794" s="59" t="str">
        <f>IFERROR(IF(F3794&lt;&gt;"pending","",IF(OR($B3794="",$B3794="(blank)"),"",VLOOKUP($B3794,'Email Marketing Raw Data'!$C:$O,11,0))),"")</f>
        <v/>
      </c>
      <c r="F3794" s="54" t="str">
        <f>IFERROR(IF(OR($B3794="",$B3794="(blank)"),"",VLOOKUP($B3794,'Email Marketing Raw Data'!$C:$O,13,0)),"")</f>
        <v/>
      </c>
      <c r="G3794" s="55" t="str">
        <f>IFERROR(IF(OR($B3794="",$B3794="(blank)"),"",VLOOKUP($B3794,'Email Marketing Raw Data'!$C:$O,4,0)),"")</f>
        <v/>
      </c>
      <c r="H3794" s="55" t="str">
        <f>IFERROR(IF(OR($B3794="",$B3794="(blank)"),"",VLOOKUP($B3794,'Email Marketing Raw Data'!$C:$O,5,0)),"")</f>
        <v/>
      </c>
      <c r="I3794" s="55" t="str">
        <f>IFERROR(IF($G3794="","",VLOOKUP('Dashboard And Emails Automate'!$G3794,Database!$H:$N,3,0)),"")</f>
        <v/>
      </c>
      <c r="J3794" s="55" t="str">
        <f>IFERROR(IF($G3794="","",VLOOKUP('Dashboard And Emails Automate'!$G3794,Database!$H:$N,4,0)),"")</f>
        <v/>
      </c>
      <c r="K3794" s="55" t="str">
        <f>IFERROR(IF($G3794="","",VLOOKUP('Dashboard And Emails Automate'!$G3794,Database!$H:$N,5,0)),"")</f>
        <v/>
      </c>
      <c r="L3794" s="55" t="str">
        <f>IFERROR(IF($G3794="","",VLOOKUP('Dashboard And Emails Automate'!$G3794,Database!$H:$N,6,0)),"")</f>
        <v/>
      </c>
      <c r="M3794" s="55" t="str">
        <f>IFERROR(IF($G3794="","",VLOOKUP('Dashboard And Emails Automate'!$G3794,Database!$H:$N,7,0)),"")</f>
        <v/>
      </c>
      <c r="N3794" s="55" t="str">
        <f>IFERROR(IF(OR($B3794="",$B3794="(blank)"),"",VLOOKUP($B3794,'Email Marketing Raw Data'!$C:$O,6,0)),"")</f>
        <v/>
      </c>
      <c r="O3794" s="55" t="str">
        <f>IFERROR(IF(OR($B3794="",$B3794="(blank)"),"",VLOOKUP($B3794,'Email Marketing Raw Data'!$C:$O,7,0)),"")</f>
        <v/>
      </c>
      <c r="P3794" s="55" t="str">
        <f>IFERROR(IF(OR($B3794="",$B3794="(blank)"),"",VLOOKUP($B3794,'Email Marketing Raw Data'!$C:$O,8,0)),"")</f>
        <v/>
      </c>
      <c r="Q3794" s="62" t="str">
        <f>IFERROR(IF(OR($B3794="",$B3794="(blank)"),"",VLOOKUP($B3794,'Email Marketing Raw Data'!$C:$O,9,0)),"")</f>
        <v/>
      </c>
    </row>
    <row r="3795" spans="4:17" ht="12.75" customHeight="1" x14ac:dyDescent="0.2">
      <c r="D3795" s="58" t="str">
        <f>IFERROR(IF(F3795&lt;&gt;"pending","",IF(OR($B3795="",$B3795="(blank)"),"",VLOOKUP($B3795,'Email Marketing Raw Data'!$C:$O,10,0))),"")</f>
        <v/>
      </c>
      <c r="E3795" s="59" t="str">
        <f>IFERROR(IF(F3795&lt;&gt;"pending","",IF(OR($B3795="",$B3795="(blank)"),"",VLOOKUP($B3795,'Email Marketing Raw Data'!$C:$O,11,0))),"")</f>
        <v/>
      </c>
      <c r="F3795" s="54" t="str">
        <f>IFERROR(IF(OR($B3795="",$B3795="(blank)"),"",VLOOKUP($B3795,'Email Marketing Raw Data'!$C:$O,13,0)),"")</f>
        <v/>
      </c>
      <c r="G3795" s="55" t="str">
        <f>IFERROR(IF(OR($B3795="",$B3795="(blank)"),"",VLOOKUP($B3795,'Email Marketing Raw Data'!$C:$O,4,0)),"")</f>
        <v/>
      </c>
      <c r="H3795" s="55" t="str">
        <f>IFERROR(IF(OR($B3795="",$B3795="(blank)"),"",VLOOKUP($B3795,'Email Marketing Raw Data'!$C:$O,5,0)),"")</f>
        <v/>
      </c>
      <c r="I3795" s="55" t="str">
        <f>IFERROR(IF($G3795="","",VLOOKUP('Dashboard And Emails Automate'!$G3795,Database!$H:$N,3,0)),"")</f>
        <v/>
      </c>
      <c r="J3795" s="55" t="str">
        <f>IFERROR(IF($G3795="","",VLOOKUP('Dashboard And Emails Automate'!$G3795,Database!$H:$N,4,0)),"")</f>
        <v/>
      </c>
      <c r="K3795" s="55" t="str">
        <f>IFERROR(IF($G3795="","",VLOOKUP('Dashboard And Emails Automate'!$G3795,Database!$H:$N,5,0)),"")</f>
        <v/>
      </c>
      <c r="L3795" s="55" t="str">
        <f>IFERROR(IF($G3795="","",VLOOKUP('Dashboard And Emails Automate'!$G3795,Database!$H:$N,6,0)),"")</f>
        <v/>
      </c>
      <c r="M3795" s="55" t="str">
        <f>IFERROR(IF($G3795="","",VLOOKUP('Dashboard And Emails Automate'!$G3795,Database!$H:$N,7,0)),"")</f>
        <v/>
      </c>
      <c r="N3795" s="55" t="str">
        <f>IFERROR(IF(OR($B3795="",$B3795="(blank)"),"",VLOOKUP($B3795,'Email Marketing Raw Data'!$C:$O,6,0)),"")</f>
        <v/>
      </c>
      <c r="O3795" s="55" t="str">
        <f>IFERROR(IF(OR($B3795="",$B3795="(blank)"),"",VLOOKUP($B3795,'Email Marketing Raw Data'!$C:$O,7,0)),"")</f>
        <v/>
      </c>
      <c r="P3795" s="55" t="str">
        <f>IFERROR(IF(OR($B3795="",$B3795="(blank)"),"",VLOOKUP($B3795,'Email Marketing Raw Data'!$C:$O,8,0)),"")</f>
        <v/>
      </c>
      <c r="Q3795" s="62" t="str">
        <f>IFERROR(IF(OR($B3795="",$B3795="(blank)"),"",VLOOKUP($B3795,'Email Marketing Raw Data'!$C:$O,9,0)),"")</f>
        <v/>
      </c>
    </row>
    <row r="3796" spans="4:17" ht="12.75" customHeight="1" x14ac:dyDescent="0.2">
      <c r="D3796" s="58" t="str">
        <f>IFERROR(IF(F3796&lt;&gt;"pending","",IF(OR($B3796="",$B3796="(blank)"),"",VLOOKUP($B3796,'Email Marketing Raw Data'!$C:$O,10,0))),"")</f>
        <v/>
      </c>
      <c r="E3796" s="59" t="str">
        <f>IFERROR(IF(F3796&lt;&gt;"pending","",IF(OR($B3796="",$B3796="(blank)"),"",VLOOKUP($B3796,'Email Marketing Raw Data'!$C:$O,11,0))),"")</f>
        <v/>
      </c>
      <c r="F3796" s="54" t="str">
        <f>IFERROR(IF(OR($B3796="",$B3796="(blank)"),"",VLOOKUP($B3796,'Email Marketing Raw Data'!$C:$O,13,0)),"")</f>
        <v/>
      </c>
      <c r="G3796" s="55" t="str">
        <f>IFERROR(IF(OR($B3796="",$B3796="(blank)"),"",VLOOKUP($B3796,'Email Marketing Raw Data'!$C:$O,4,0)),"")</f>
        <v/>
      </c>
      <c r="H3796" s="55" t="str">
        <f>IFERROR(IF(OR($B3796="",$B3796="(blank)"),"",VLOOKUP($B3796,'Email Marketing Raw Data'!$C:$O,5,0)),"")</f>
        <v/>
      </c>
      <c r="I3796" s="55" t="str">
        <f>IFERROR(IF($G3796="","",VLOOKUP('Dashboard And Emails Automate'!$G3796,Database!$H:$N,3,0)),"")</f>
        <v/>
      </c>
      <c r="J3796" s="55" t="str">
        <f>IFERROR(IF($G3796="","",VLOOKUP('Dashboard And Emails Automate'!$G3796,Database!$H:$N,4,0)),"")</f>
        <v/>
      </c>
      <c r="K3796" s="55" t="str">
        <f>IFERROR(IF($G3796="","",VLOOKUP('Dashboard And Emails Automate'!$G3796,Database!$H:$N,5,0)),"")</f>
        <v/>
      </c>
      <c r="L3796" s="55" t="str">
        <f>IFERROR(IF($G3796="","",VLOOKUP('Dashboard And Emails Automate'!$G3796,Database!$H:$N,6,0)),"")</f>
        <v/>
      </c>
      <c r="M3796" s="55" t="str">
        <f>IFERROR(IF($G3796="","",VLOOKUP('Dashboard And Emails Automate'!$G3796,Database!$H:$N,7,0)),"")</f>
        <v/>
      </c>
      <c r="N3796" s="55" t="str">
        <f>IFERROR(IF(OR($B3796="",$B3796="(blank)"),"",VLOOKUP($B3796,'Email Marketing Raw Data'!$C:$O,6,0)),"")</f>
        <v/>
      </c>
      <c r="O3796" s="55" t="str">
        <f>IFERROR(IF(OR($B3796="",$B3796="(blank)"),"",VLOOKUP($B3796,'Email Marketing Raw Data'!$C:$O,7,0)),"")</f>
        <v/>
      </c>
      <c r="P3796" s="55" t="str">
        <f>IFERROR(IF(OR($B3796="",$B3796="(blank)"),"",VLOOKUP($B3796,'Email Marketing Raw Data'!$C:$O,8,0)),"")</f>
        <v/>
      </c>
      <c r="Q3796" s="62" t="str">
        <f>IFERROR(IF(OR($B3796="",$B3796="(blank)"),"",VLOOKUP($B3796,'Email Marketing Raw Data'!$C:$O,9,0)),"")</f>
        <v/>
      </c>
    </row>
    <row r="3797" spans="4:17" ht="12.75" customHeight="1" x14ac:dyDescent="0.2">
      <c r="D3797" s="58" t="str">
        <f>IFERROR(IF(F3797&lt;&gt;"pending","",IF(OR($B3797="",$B3797="(blank)"),"",VLOOKUP($B3797,'Email Marketing Raw Data'!$C:$O,10,0))),"")</f>
        <v/>
      </c>
      <c r="E3797" s="59" t="str">
        <f>IFERROR(IF(F3797&lt;&gt;"pending","",IF(OR($B3797="",$B3797="(blank)"),"",VLOOKUP($B3797,'Email Marketing Raw Data'!$C:$O,11,0))),"")</f>
        <v/>
      </c>
      <c r="F3797" s="54" t="str">
        <f>IFERROR(IF(OR($B3797="",$B3797="(blank)"),"",VLOOKUP($B3797,'Email Marketing Raw Data'!$C:$O,13,0)),"")</f>
        <v/>
      </c>
      <c r="G3797" s="55" t="str">
        <f>IFERROR(IF(OR($B3797="",$B3797="(blank)"),"",VLOOKUP($B3797,'Email Marketing Raw Data'!$C:$O,4,0)),"")</f>
        <v/>
      </c>
      <c r="H3797" s="55" t="str">
        <f>IFERROR(IF(OR($B3797="",$B3797="(blank)"),"",VLOOKUP($B3797,'Email Marketing Raw Data'!$C:$O,5,0)),"")</f>
        <v/>
      </c>
      <c r="I3797" s="55" t="str">
        <f>IFERROR(IF($G3797="","",VLOOKUP('Dashboard And Emails Automate'!$G3797,Database!$H:$N,3,0)),"")</f>
        <v/>
      </c>
      <c r="J3797" s="55" t="str">
        <f>IFERROR(IF($G3797="","",VLOOKUP('Dashboard And Emails Automate'!$G3797,Database!$H:$N,4,0)),"")</f>
        <v/>
      </c>
      <c r="K3797" s="55" t="str">
        <f>IFERROR(IF($G3797="","",VLOOKUP('Dashboard And Emails Automate'!$G3797,Database!$H:$N,5,0)),"")</f>
        <v/>
      </c>
      <c r="L3797" s="55" t="str">
        <f>IFERROR(IF($G3797="","",VLOOKUP('Dashboard And Emails Automate'!$G3797,Database!$H:$N,6,0)),"")</f>
        <v/>
      </c>
      <c r="M3797" s="55" t="str">
        <f>IFERROR(IF($G3797="","",VLOOKUP('Dashboard And Emails Automate'!$G3797,Database!$H:$N,7,0)),"")</f>
        <v/>
      </c>
      <c r="N3797" s="55" t="str">
        <f>IFERROR(IF(OR($B3797="",$B3797="(blank)"),"",VLOOKUP($B3797,'Email Marketing Raw Data'!$C:$O,6,0)),"")</f>
        <v/>
      </c>
      <c r="O3797" s="55" t="str">
        <f>IFERROR(IF(OR($B3797="",$B3797="(blank)"),"",VLOOKUP($B3797,'Email Marketing Raw Data'!$C:$O,7,0)),"")</f>
        <v/>
      </c>
      <c r="P3797" s="55" t="str">
        <f>IFERROR(IF(OR($B3797="",$B3797="(blank)"),"",VLOOKUP($B3797,'Email Marketing Raw Data'!$C:$O,8,0)),"")</f>
        <v/>
      </c>
      <c r="Q3797" s="62" t="str">
        <f>IFERROR(IF(OR($B3797="",$B3797="(blank)"),"",VLOOKUP($B3797,'Email Marketing Raw Data'!$C:$O,9,0)),"")</f>
        <v/>
      </c>
    </row>
    <row r="3798" spans="4:17" ht="12.75" customHeight="1" x14ac:dyDescent="0.2">
      <c r="D3798" s="58" t="str">
        <f>IFERROR(IF(F3798&lt;&gt;"pending","",IF(OR($B3798="",$B3798="(blank)"),"",VLOOKUP($B3798,'Email Marketing Raw Data'!$C:$O,10,0))),"")</f>
        <v/>
      </c>
      <c r="E3798" s="59" t="str">
        <f>IFERROR(IF(F3798&lt;&gt;"pending","",IF(OR($B3798="",$B3798="(blank)"),"",VLOOKUP($B3798,'Email Marketing Raw Data'!$C:$O,11,0))),"")</f>
        <v/>
      </c>
      <c r="F3798" s="54" t="str">
        <f>IFERROR(IF(OR($B3798="",$B3798="(blank)"),"",VLOOKUP($B3798,'Email Marketing Raw Data'!$C:$O,13,0)),"")</f>
        <v/>
      </c>
      <c r="G3798" s="55" t="str">
        <f>IFERROR(IF(OR($B3798="",$B3798="(blank)"),"",VLOOKUP($B3798,'Email Marketing Raw Data'!$C:$O,4,0)),"")</f>
        <v/>
      </c>
      <c r="H3798" s="55" t="str">
        <f>IFERROR(IF(OR($B3798="",$B3798="(blank)"),"",VLOOKUP($B3798,'Email Marketing Raw Data'!$C:$O,5,0)),"")</f>
        <v/>
      </c>
      <c r="I3798" s="55" t="str">
        <f>IFERROR(IF($G3798="","",VLOOKUP('Dashboard And Emails Automate'!$G3798,Database!$H:$N,3,0)),"")</f>
        <v/>
      </c>
      <c r="J3798" s="55" t="str">
        <f>IFERROR(IF($G3798="","",VLOOKUP('Dashboard And Emails Automate'!$G3798,Database!$H:$N,4,0)),"")</f>
        <v/>
      </c>
      <c r="K3798" s="55" t="str">
        <f>IFERROR(IF($G3798="","",VLOOKUP('Dashboard And Emails Automate'!$G3798,Database!$H:$N,5,0)),"")</f>
        <v/>
      </c>
      <c r="L3798" s="55" t="str">
        <f>IFERROR(IF($G3798="","",VLOOKUP('Dashboard And Emails Automate'!$G3798,Database!$H:$N,6,0)),"")</f>
        <v/>
      </c>
      <c r="M3798" s="55" t="str">
        <f>IFERROR(IF($G3798="","",VLOOKUP('Dashboard And Emails Automate'!$G3798,Database!$H:$N,7,0)),"")</f>
        <v/>
      </c>
      <c r="N3798" s="55" t="str">
        <f>IFERROR(IF(OR($B3798="",$B3798="(blank)"),"",VLOOKUP($B3798,'Email Marketing Raw Data'!$C:$O,6,0)),"")</f>
        <v/>
      </c>
      <c r="O3798" s="55" t="str">
        <f>IFERROR(IF(OR($B3798="",$B3798="(blank)"),"",VLOOKUP($B3798,'Email Marketing Raw Data'!$C:$O,7,0)),"")</f>
        <v/>
      </c>
      <c r="P3798" s="55" t="str">
        <f>IFERROR(IF(OR($B3798="",$B3798="(blank)"),"",VLOOKUP($B3798,'Email Marketing Raw Data'!$C:$O,8,0)),"")</f>
        <v/>
      </c>
      <c r="Q3798" s="62" t="str">
        <f>IFERROR(IF(OR($B3798="",$B3798="(blank)"),"",VLOOKUP($B3798,'Email Marketing Raw Data'!$C:$O,9,0)),"")</f>
        <v/>
      </c>
    </row>
    <row r="3799" spans="4:17" ht="12.75" customHeight="1" x14ac:dyDescent="0.2">
      <c r="D3799" s="58" t="str">
        <f>IFERROR(IF(F3799&lt;&gt;"pending","",IF(OR($B3799="",$B3799="(blank)"),"",VLOOKUP($B3799,'Email Marketing Raw Data'!$C:$O,10,0))),"")</f>
        <v/>
      </c>
      <c r="E3799" s="59" t="str">
        <f>IFERROR(IF(F3799&lt;&gt;"pending","",IF(OR($B3799="",$B3799="(blank)"),"",VLOOKUP($B3799,'Email Marketing Raw Data'!$C:$O,11,0))),"")</f>
        <v/>
      </c>
      <c r="F3799" s="54" t="str">
        <f>IFERROR(IF(OR($B3799="",$B3799="(blank)"),"",VLOOKUP($B3799,'Email Marketing Raw Data'!$C:$O,13,0)),"")</f>
        <v/>
      </c>
      <c r="G3799" s="55" t="str">
        <f>IFERROR(IF(OR($B3799="",$B3799="(blank)"),"",VLOOKUP($B3799,'Email Marketing Raw Data'!$C:$O,4,0)),"")</f>
        <v/>
      </c>
      <c r="H3799" s="55" t="str">
        <f>IFERROR(IF(OR($B3799="",$B3799="(blank)"),"",VLOOKUP($B3799,'Email Marketing Raw Data'!$C:$O,5,0)),"")</f>
        <v/>
      </c>
      <c r="I3799" s="55" t="str">
        <f>IFERROR(IF($G3799="","",VLOOKUP('Dashboard And Emails Automate'!$G3799,Database!$H:$N,3,0)),"")</f>
        <v/>
      </c>
      <c r="J3799" s="55" t="str">
        <f>IFERROR(IF($G3799="","",VLOOKUP('Dashboard And Emails Automate'!$G3799,Database!$H:$N,4,0)),"")</f>
        <v/>
      </c>
      <c r="K3799" s="55" t="str">
        <f>IFERROR(IF($G3799="","",VLOOKUP('Dashboard And Emails Automate'!$G3799,Database!$H:$N,5,0)),"")</f>
        <v/>
      </c>
      <c r="L3799" s="55" t="str">
        <f>IFERROR(IF($G3799="","",VLOOKUP('Dashboard And Emails Automate'!$G3799,Database!$H:$N,6,0)),"")</f>
        <v/>
      </c>
      <c r="M3799" s="55" t="str">
        <f>IFERROR(IF($G3799="","",VLOOKUP('Dashboard And Emails Automate'!$G3799,Database!$H:$N,7,0)),"")</f>
        <v/>
      </c>
      <c r="N3799" s="55" t="str">
        <f>IFERROR(IF(OR($B3799="",$B3799="(blank)"),"",VLOOKUP($B3799,'Email Marketing Raw Data'!$C:$O,6,0)),"")</f>
        <v/>
      </c>
      <c r="O3799" s="55" t="str">
        <f>IFERROR(IF(OR($B3799="",$B3799="(blank)"),"",VLOOKUP($B3799,'Email Marketing Raw Data'!$C:$O,7,0)),"")</f>
        <v/>
      </c>
      <c r="P3799" s="55" t="str">
        <f>IFERROR(IF(OR($B3799="",$B3799="(blank)"),"",VLOOKUP($B3799,'Email Marketing Raw Data'!$C:$O,8,0)),"")</f>
        <v/>
      </c>
      <c r="Q3799" s="62" t="str">
        <f>IFERROR(IF(OR($B3799="",$B3799="(blank)"),"",VLOOKUP($B3799,'Email Marketing Raw Data'!$C:$O,9,0)),"")</f>
        <v/>
      </c>
    </row>
    <row r="3800" spans="4:17" ht="12.75" customHeight="1" x14ac:dyDescent="0.2">
      <c r="D3800" s="58" t="str">
        <f>IFERROR(IF(F3800&lt;&gt;"pending","",IF(OR($B3800="",$B3800="(blank)"),"",VLOOKUP($B3800,'Email Marketing Raw Data'!$C:$O,10,0))),"")</f>
        <v/>
      </c>
      <c r="E3800" s="59" t="str">
        <f>IFERROR(IF(F3800&lt;&gt;"pending","",IF(OR($B3800="",$B3800="(blank)"),"",VLOOKUP($B3800,'Email Marketing Raw Data'!$C:$O,11,0))),"")</f>
        <v/>
      </c>
      <c r="F3800" s="54" t="str">
        <f>IFERROR(IF(OR($B3800="",$B3800="(blank)"),"",VLOOKUP($B3800,'Email Marketing Raw Data'!$C:$O,13,0)),"")</f>
        <v/>
      </c>
      <c r="G3800" s="55" t="str">
        <f>IFERROR(IF(OR($B3800="",$B3800="(blank)"),"",VLOOKUP($B3800,'Email Marketing Raw Data'!$C:$O,4,0)),"")</f>
        <v/>
      </c>
      <c r="H3800" s="55" t="str">
        <f>IFERROR(IF(OR($B3800="",$B3800="(blank)"),"",VLOOKUP($B3800,'Email Marketing Raw Data'!$C:$O,5,0)),"")</f>
        <v/>
      </c>
      <c r="I3800" s="55" t="str">
        <f>IFERROR(IF($G3800="","",VLOOKUP('Dashboard And Emails Automate'!$G3800,Database!$H:$N,3,0)),"")</f>
        <v/>
      </c>
      <c r="J3800" s="55" t="str">
        <f>IFERROR(IF($G3800="","",VLOOKUP('Dashboard And Emails Automate'!$G3800,Database!$H:$N,4,0)),"")</f>
        <v/>
      </c>
      <c r="K3800" s="55" t="str">
        <f>IFERROR(IF($G3800="","",VLOOKUP('Dashboard And Emails Automate'!$G3800,Database!$H:$N,5,0)),"")</f>
        <v/>
      </c>
      <c r="L3800" s="55" t="str">
        <f>IFERROR(IF($G3800="","",VLOOKUP('Dashboard And Emails Automate'!$G3800,Database!$H:$N,6,0)),"")</f>
        <v/>
      </c>
      <c r="M3800" s="55" t="str">
        <f>IFERROR(IF($G3800="","",VLOOKUP('Dashboard And Emails Automate'!$G3800,Database!$H:$N,7,0)),"")</f>
        <v/>
      </c>
      <c r="N3800" s="55" t="str">
        <f>IFERROR(IF(OR($B3800="",$B3800="(blank)"),"",VLOOKUP($B3800,'Email Marketing Raw Data'!$C:$O,6,0)),"")</f>
        <v/>
      </c>
      <c r="O3800" s="55" t="str">
        <f>IFERROR(IF(OR($B3800="",$B3800="(blank)"),"",VLOOKUP($B3800,'Email Marketing Raw Data'!$C:$O,7,0)),"")</f>
        <v/>
      </c>
      <c r="P3800" s="55" t="str">
        <f>IFERROR(IF(OR($B3800="",$B3800="(blank)"),"",VLOOKUP($B3800,'Email Marketing Raw Data'!$C:$O,8,0)),"")</f>
        <v/>
      </c>
      <c r="Q3800" s="62" t="str">
        <f>IFERROR(IF(OR($B3800="",$B3800="(blank)"),"",VLOOKUP($B3800,'Email Marketing Raw Data'!$C:$O,9,0)),"")</f>
        <v/>
      </c>
    </row>
    <row r="3801" spans="4:17" ht="12.75" customHeight="1" x14ac:dyDescent="0.2">
      <c r="D3801" s="58" t="str">
        <f>IFERROR(IF(F3801&lt;&gt;"pending","",IF(OR($B3801="",$B3801="(blank)"),"",VLOOKUP($B3801,'Email Marketing Raw Data'!$C:$O,10,0))),"")</f>
        <v/>
      </c>
      <c r="E3801" s="59" t="str">
        <f>IFERROR(IF(F3801&lt;&gt;"pending","",IF(OR($B3801="",$B3801="(blank)"),"",VLOOKUP($B3801,'Email Marketing Raw Data'!$C:$O,11,0))),"")</f>
        <v/>
      </c>
      <c r="F3801" s="54" t="str">
        <f>IFERROR(IF(OR($B3801="",$B3801="(blank)"),"",VLOOKUP($B3801,'Email Marketing Raw Data'!$C:$O,13,0)),"")</f>
        <v/>
      </c>
      <c r="G3801" s="55" t="str">
        <f>IFERROR(IF(OR($B3801="",$B3801="(blank)"),"",VLOOKUP($B3801,'Email Marketing Raw Data'!$C:$O,4,0)),"")</f>
        <v/>
      </c>
      <c r="H3801" s="55" t="str">
        <f>IFERROR(IF(OR($B3801="",$B3801="(blank)"),"",VLOOKUP($B3801,'Email Marketing Raw Data'!$C:$O,5,0)),"")</f>
        <v/>
      </c>
      <c r="I3801" s="55" t="str">
        <f>IFERROR(IF($G3801="","",VLOOKUP('Dashboard And Emails Automate'!$G3801,Database!$H:$N,3,0)),"")</f>
        <v/>
      </c>
      <c r="J3801" s="55" t="str">
        <f>IFERROR(IF($G3801="","",VLOOKUP('Dashboard And Emails Automate'!$G3801,Database!$H:$N,4,0)),"")</f>
        <v/>
      </c>
      <c r="K3801" s="55" t="str">
        <f>IFERROR(IF($G3801="","",VLOOKUP('Dashboard And Emails Automate'!$G3801,Database!$H:$N,5,0)),"")</f>
        <v/>
      </c>
      <c r="L3801" s="55" t="str">
        <f>IFERROR(IF($G3801="","",VLOOKUP('Dashboard And Emails Automate'!$G3801,Database!$H:$N,6,0)),"")</f>
        <v/>
      </c>
      <c r="M3801" s="55" t="str">
        <f>IFERROR(IF($G3801="","",VLOOKUP('Dashboard And Emails Automate'!$G3801,Database!$H:$N,7,0)),"")</f>
        <v/>
      </c>
      <c r="N3801" s="55" t="str">
        <f>IFERROR(IF(OR($B3801="",$B3801="(blank)"),"",VLOOKUP($B3801,'Email Marketing Raw Data'!$C:$O,6,0)),"")</f>
        <v/>
      </c>
      <c r="O3801" s="55" t="str">
        <f>IFERROR(IF(OR($B3801="",$B3801="(blank)"),"",VLOOKUP($B3801,'Email Marketing Raw Data'!$C:$O,7,0)),"")</f>
        <v/>
      </c>
      <c r="P3801" s="55" t="str">
        <f>IFERROR(IF(OR($B3801="",$B3801="(blank)"),"",VLOOKUP($B3801,'Email Marketing Raw Data'!$C:$O,8,0)),"")</f>
        <v/>
      </c>
      <c r="Q3801" s="62" t="str">
        <f>IFERROR(IF(OR($B3801="",$B3801="(blank)"),"",VLOOKUP($B3801,'Email Marketing Raw Data'!$C:$O,9,0)),"")</f>
        <v/>
      </c>
    </row>
    <row r="3802" spans="4:17" ht="12.75" customHeight="1" x14ac:dyDescent="0.2">
      <c r="D3802" s="58" t="str">
        <f>IFERROR(IF(F3802&lt;&gt;"pending","",IF(OR($B3802="",$B3802="(blank)"),"",VLOOKUP($B3802,'Email Marketing Raw Data'!$C:$O,10,0))),"")</f>
        <v/>
      </c>
      <c r="E3802" s="59" t="str">
        <f>IFERROR(IF(F3802&lt;&gt;"pending","",IF(OR($B3802="",$B3802="(blank)"),"",VLOOKUP($B3802,'Email Marketing Raw Data'!$C:$O,11,0))),"")</f>
        <v/>
      </c>
      <c r="F3802" s="54" t="str">
        <f>IFERROR(IF(OR($B3802="",$B3802="(blank)"),"",VLOOKUP($B3802,'Email Marketing Raw Data'!$C:$O,13,0)),"")</f>
        <v/>
      </c>
      <c r="G3802" s="55" t="str">
        <f>IFERROR(IF(OR($B3802="",$B3802="(blank)"),"",VLOOKUP($B3802,'Email Marketing Raw Data'!$C:$O,4,0)),"")</f>
        <v/>
      </c>
      <c r="H3802" s="55" t="str">
        <f>IFERROR(IF(OR($B3802="",$B3802="(blank)"),"",VLOOKUP($B3802,'Email Marketing Raw Data'!$C:$O,5,0)),"")</f>
        <v/>
      </c>
      <c r="I3802" s="55" t="str">
        <f>IFERROR(IF($G3802="","",VLOOKUP('Dashboard And Emails Automate'!$G3802,Database!$H:$N,3,0)),"")</f>
        <v/>
      </c>
      <c r="J3802" s="55" t="str">
        <f>IFERROR(IF($G3802="","",VLOOKUP('Dashboard And Emails Automate'!$G3802,Database!$H:$N,4,0)),"")</f>
        <v/>
      </c>
      <c r="K3802" s="55" t="str">
        <f>IFERROR(IF($G3802="","",VLOOKUP('Dashboard And Emails Automate'!$G3802,Database!$H:$N,5,0)),"")</f>
        <v/>
      </c>
      <c r="L3802" s="55" t="str">
        <f>IFERROR(IF($G3802="","",VLOOKUP('Dashboard And Emails Automate'!$G3802,Database!$H:$N,6,0)),"")</f>
        <v/>
      </c>
      <c r="M3802" s="55" t="str">
        <f>IFERROR(IF($G3802="","",VLOOKUP('Dashboard And Emails Automate'!$G3802,Database!$H:$N,7,0)),"")</f>
        <v/>
      </c>
      <c r="N3802" s="55" t="str">
        <f>IFERROR(IF(OR($B3802="",$B3802="(blank)"),"",VLOOKUP($B3802,'Email Marketing Raw Data'!$C:$O,6,0)),"")</f>
        <v/>
      </c>
      <c r="O3802" s="55" t="str">
        <f>IFERROR(IF(OR($B3802="",$B3802="(blank)"),"",VLOOKUP($B3802,'Email Marketing Raw Data'!$C:$O,7,0)),"")</f>
        <v/>
      </c>
      <c r="P3802" s="55" t="str">
        <f>IFERROR(IF(OR($B3802="",$B3802="(blank)"),"",VLOOKUP($B3802,'Email Marketing Raw Data'!$C:$O,8,0)),"")</f>
        <v/>
      </c>
      <c r="Q3802" s="62" t="str">
        <f>IFERROR(IF(OR($B3802="",$B3802="(blank)"),"",VLOOKUP($B3802,'Email Marketing Raw Data'!$C:$O,9,0)),"")</f>
        <v/>
      </c>
    </row>
    <row r="3803" spans="4:17" ht="12.75" customHeight="1" x14ac:dyDescent="0.2">
      <c r="D3803" s="58" t="str">
        <f>IFERROR(IF(F3803&lt;&gt;"pending","",IF(OR($B3803="",$B3803="(blank)"),"",VLOOKUP($B3803,'Email Marketing Raw Data'!$C:$O,10,0))),"")</f>
        <v/>
      </c>
      <c r="E3803" s="59" t="str">
        <f>IFERROR(IF(F3803&lt;&gt;"pending","",IF(OR($B3803="",$B3803="(blank)"),"",VLOOKUP($B3803,'Email Marketing Raw Data'!$C:$O,11,0))),"")</f>
        <v/>
      </c>
      <c r="F3803" s="54" t="str">
        <f>IFERROR(IF(OR($B3803="",$B3803="(blank)"),"",VLOOKUP($B3803,'Email Marketing Raw Data'!$C:$O,13,0)),"")</f>
        <v/>
      </c>
      <c r="G3803" s="55" t="str">
        <f>IFERROR(IF(OR($B3803="",$B3803="(blank)"),"",VLOOKUP($B3803,'Email Marketing Raw Data'!$C:$O,4,0)),"")</f>
        <v/>
      </c>
      <c r="H3803" s="55" t="str">
        <f>IFERROR(IF(OR($B3803="",$B3803="(blank)"),"",VLOOKUP($B3803,'Email Marketing Raw Data'!$C:$O,5,0)),"")</f>
        <v/>
      </c>
      <c r="I3803" s="55" t="str">
        <f>IFERROR(IF($G3803="","",VLOOKUP('Dashboard And Emails Automate'!$G3803,Database!$H:$N,3,0)),"")</f>
        <v/>
      </c>
      <c r="J3803" s="55" t="str">
        <f>IFERROR(IF($G3803="","",VLOOKUP('Dashboard And Emails Automate'!$G3803,Database!$H:$N,4,0)),"")</f>
        <v/>
      </c>
      <c r="K3803" s="55" t="str">
        <f>IFERROR(IF($G3803="","",VLOOKUP('Dashboard And Emails Automate'!$G3803,Database!$H:$N,5,0)),"")</f>
        <v/>
      </c>
      <c r="L3803" s="55" t="str">
        <f>IFERROR(IF($G3803="","",VLOOKUP('Dashboard And Emails Automate'!$G3803,Database!$H:$N,6,0)),"")</f>
        <v/>
      </c>
      <c r="M3803" s="55" t="str">
        <f>IFERROR(IF($G3803="","",VLOOKUP('Dashboard And Emails Automate'!$G3803,Database!$H:$N,7,0)),"")</f>
        <v/>
      </c>
      <c r="N3803" s="55" t="str">
        <f>IFERROR(IF(OR($B3803="",$B3803="(blank)"),"",VLOOKUP($B3803,'Email Marketing Raw Data'!$C:$O,6,0)),"")</f>
        <v/>
      </c>
      <c r="O3803" s="55" t="str">
        <f>IFERROR(IF(OR($B3803="",$B3803="(blank)"),"",VLOOKUP($B3803,'Email Marketing Raw Data'!$C:$O,7,0)),"")</f>
        <v/>
      </c>
      <c r="P3803" s="55" t="str">
        <f>IFERROR(IF(OR($B3803="",$B3803="(blank)"),"",VLOOKUP($B3803,'Email Marketing Raw Data'!$C:$O,8,0)),"")</f>
        <v/>
      </c>
      <c r="Q3803" s="62" t="str">
        <f>IFERROR(IF(OR($B3803="",$B3803="(blank)"),"",VLOOKUP($B3803,'Email Marketing Raw Data'!$C:$O,9,0)),"")</f>
        <v/>
      </c>
    </row>
    <row r="3804" spans="4:17" ht="12.75" customHeight="1" x14ac:dyDescent="0.2">
      <c r="D3804" s="58" t="str">
        <f>IFERROR(IF(F3804&lt;&gt;"pending","",IF(OR($B3804="",$B3804="(blank)"),"",VLOOKUP($B3804,'Email Marketing Raw Data'!$C:$O,10,0))),"")</f>
        <v/>
      </c>
      <c r="E3804" s="59" t="str">
        <f>IFERROR(IF(F3804&lt;&gt;"pending","",IF(OR($B3804="",$B3804="(blank)"),"",VLOOKUP($B3804,'Email Marketing Raw Data'!$C:$O,11,0))),"")</f>
        <v/>
      </c>
      <c r="F3804" s="54" t="str">
        <f>IFERROR(IF(OR($B3804="",$B3804="(blank)"),"",VLOOKUP($B3804,'Email Marketing Raw Data'!$C:$O,13,0)),"")</f>
        <v/>
      </c>
      <c r="G3804" s="55" t="str">
        <f>IFERROR(IF(OR($B3804="",$B3804="(blank)"),"",VLOOKUP($B3804,'Email Marketing Raw Data'!$C:$O,4,0)),"")</f>
        <v/>
      </c>
      <c r="H3804" s="55" t="str">
        <f>IFERROR(IF(OR($B3804="",$B3804="(blank)"),"",VLOOKUP($B3804,'Email Marketing Raw Data'!$C:$O,5,0)),"")</f>
        <v/>
      </c>
      <c r="I3804" s="55" t="str">
        <f>IFERROR(IF($G3804="","",VLOOKUP('Dashboard And Emails Automate'!$G3804,Database!$H:$N,3,0)),"")</f>
        <v/>
      </c>
      <c r="J3804" s="55" t="str">
        <f>IFERROR(IF($G3804="","",VLOOKUP('Dashboard And Emails Automate'!$G3804,Database!$H:$N,4,0)),"")</f>
        <v/>
      </c>
      <c r="K3804" s="55" t="str">
        <f>IFERROR(IF($G3804="","",VLOOKUP('Dashboard And Emails Automate'!$G3804,Database!$H:$N,5,0)),"")</f>
        <v/>
      </c>
      <c r="L3804" s="55" t="str">
        <f>IFERROR(IF($G3804="","",VLOOKUP('Dashboard And Emails Automate'!$G3804,Database!$H:$N,6,0)),"")</f>
        <v/>
      </c>
      <c r="M3804" s="55" t="str">
        <f>IFERROR(IF($G3804="","",VLOOKUP('Dashboard And Emails Automate'!$G3804,Database!$H:$N,7,0)),"")</f>
        <v/>
      </c>
      <c r="N3804" s="55" t="str">
        <f>IFERROR(IF(OR($B3804="",$B3804="(blank)"),"",VLOOKUP($B3804,'Email Marketing Raw Data'!$C:$O,6,0)),"")</f>
        <v/>
      </c>
      <c r="O3804" s="55" t="str">
        <f>IFERROR(IF(OR($B3804="",$B3804="(blank)"),"",VLOOKUP($B3804,'Email Marketing Raw Data'!$C:$O,7,0)),"")</f>
        <v/>
      </c>
      <c r="P3804" s="55" t="str">
        <f>IFERROR(IF(OR($B3804="",$B3804="(blank)"),"",VLOOKUP($B3804,'Email Marketing Raw Data'!$C:$O,8,0)),"")</f>
        <v/>
      </c>
      <c r="Q3804" s="62" t="str">
        <f>IFERROR(IF(OR($B3804="",$B3804="(blank)"),"",VLOOKUP($B3804,'Email Marketing Raw Data'!$C:$O,9,0)),"")</f>
        <v/>
      </c>
    </row>
    <row r="3805" spans="4:17" ht="12.75" customHeight="1" x14ac:dyDescent="0.2">
      <c r="D3805" s="58" t="str">
        <f>IFERROR(IF(F3805&lt;&gt;"pending","",IF(OR($B3805="",$B3805="(blank)"),"",VLOOKUP($B3805,'Email Marketing Raw Data'!$C:$O,10,0))),"")</f>
        <v/>
      </c>
      <c r="E3805" s="59" t="str">
        <f>IFERROR(IF(F3805&lt;&gt;"pending","",IF(OR($B3805="",$B3805="(blank)"),"",VLOOKUP($B3805,'Email Marketing Raw Data'!$C:$O,11,0))),"")</f>
        <v/>
      </c>
      <c r="F3805" s="54" t="str">
        <f>IFERROR(IF(OR($B3805="",$B3805="(blank)"),"",VLOOKUP($B3805,'Email Marketing Raw Data'!$C:$O,13,0)),"")</f>
        <v/>
      </c>
      <c r="G3805" s="55" t="str">
        <f>IFERROR(IF(OR($B3805="",$B3805="(blank)"),"",VLOOKUP($B3805,'Email Marketing Raw Data'!$C:$O,4,0)),"")</f>
        <v/>
      </c>
      <c r="H3805" s="55" t="str">
        <f>IFERROR(IF(OR($B3805="",$B3805="(blank)"),"",VLOOKUP($B3805,'Email Marketing Raw Data'!$C:$O,5,0)),"")</f>
        <v/>
      </c>
      <c r="I3805" s="55" t="str">
        <f>IFERROR(IF($G3805="","",VLOOKUP('Dashboard And Emails Automate'!$G3805,Database!$H:$N,3,0)),"")</f>
        <v/>
      </c>
      <c r="J3805" s="55" t="str">
        <f>IFERROR(IF($G3805="","",VLOOKUP('Dashboard And Emails Automate'!$G3805,Database!$H:$N,4,0)),"")</f>
        <v/>
      </c>
      <c r="K3805" s="55" t="str">
        <f>IFERROR(IF($G3805="","",VLOOKUP('Dashboard And Emails Automate'!$G3805,Database!$H:$N,5,0)),"")</f>
        <v/>
      </c>
      <c r="L3805" s="55" t="str">
        <f>IFERROR(IF($G3805="","",VLOOKUP('Dashboard And Emails Automate'!$G3805,Database!$H:$N,6,0)),"")</f>
        <v/>
      </c>
      <c r="M3805" s="55" t="str">
        <f>IFERROR(IF($G3805="","",VLOOKUP('Dashboard And Emails Automate'!$G3805,Database!$H:$N,7,0)),"")</f>
        <v/>
      </c>
      <c r="N3805" s="55" t="str">
        <f>IFERROR(IF(OR($B3805="",$B3805="(blank)"),"",VLOOKUP($B3805,'Email Marketing Raw Data'!$C:$O,6,0)),"")</f>
        <v/>
      </c>
      <c r="O3805" s="55" t="str">
        <f>IFERROR(IF(OR($B3805="",$B3805="(blank)"),"",VLOOKUP($B3805,'Email Marketing Raw Data'!$C:$O,7,0)),"")</f>
        <v/>
      </c>
      <c r="P3805" s="55" t="str">
        <f>IFERROR(IF(OR($B3805="",$B3805="(blank)"),"",VLOOKUP($B3805,'Email Marketing Raw Data'!$C:$O,8,0)),"")</f>
        <v/>
      </c>
      <c r="Q3805" s="62" t="str">
        <f>IFERROR(IF(OR($B3805="",$B3805="(blank)"),"",VLOOKUP($B3805,'Email Marketing Raw Data'!$C:$O,9,0)),"")</f>
        <v/>
      </c>
    </row>
    <row r="3806" spans="4:17" ht="12.75" customHeight="1" x14ac:dyDescent="0.2">
      <c r="D3806" s="58" t="str">
        <f>IFERROR(IF(F3806&lt;&gt;"pending","",IF(OR($B3806="",$B3806="(blank)"),"",VLOOKUP($B3806,'Email Marketing Raw Data'!$C:$O,10,0))),"")</f>
        <v/>
      </c>
      <c r="E3806" s="59" t="str">
        <f>IFERROR(IF(F3806&lt;&gt;"pending","",IF(OR($B3806="",$B3806="(blank)"),"",VLOOKUP($B3806,'Email Marketing Raw Data'!$C:$O,11,0))),"")</f>
        <v/>
      </c>
      <c r="F3806" s="54" t="str">
        <f>IFERROR(IF(OR($B3806="",$B3806="(blank)"),"",VLOOKUP($B3806,'Email Marketing Raw Data'!$C:$O,13,0)),"")</f>
        <v/>
      </c>
      <c r="G3806" s="55" t="str">
        <f>IFERROR(IF(OR($B3806="",$B3806="(blank)"),"",VLOOKUP($B3806,'Email Marketing Raw Data'!$C:$O,4,0)),"")</f>
        <v/>
      </c>
      <c r="H3806" s="55" t="str">
        <f>IFERROR(IF(OR($B3806="",$B3806="(blank)"),"",VLOOKUP($B3806,'Email Marketing Raw Data'!$C:$O,5,0)),"")</f>
        <v/>
      </c>
      <c r="I3806" s="55" t="str">
        <f>IFERROR(IF($G3806="","",VLOOKUP('Dashboard And Emails Automate'!$G3806,Database!$H:$N,3,0)),"")</f>
        <v/>
      </c>
      <c r="J3806" s="55" t="str">
        <f>IFERROR(IF($G3806="","",VLOOKUP('Dashboard And Emails Automate'!$G3806,Database!$H:$N,4,0)),"")</f>
        <v/>
      </c>
      <c r="K3806" s="55" t="str">
        <f>IFERROR(IF($G3806="","",VLOOKUP('Dashboard And Emails Automate'!$G3806,Database!$H:$N,5,0)),"")</f>
        <v/>
      </c>
      <c r="L3806" s="55" t="str">
        <f>IFERROR(IF($G3806="","",VLOOKUP('Dashboard And Emails Automate'!$G3806,Database!$H:$N,6,0)),"")</f>
        <v/>
      </c>
      <c r="M3806" s="55" t="str">
        <f>IFERROR(IF($G3806="","",VLOOKUP('Dashboard And Emails Automate'!$G3806,Database!$H:$N,7,0)),"")</f>
        <v/>
      </c>
      <c r="N3806" s="55" t="str">
        <f>IFERROR(IF(OR($B3806="",$B3806="(blank)"),"",VLOOKUP($B3806,'Email Marketing Raw Data'!$C:$O,6,0)),"")</f>
        <v/>
      </c>
      <c r="O3806" s="55" t="str">
        <f>IFERROR(IF(OR($B3806="",$B3806="(blank)"),"",VLOOKUP($B3806,'Email Marketing Raw Data'!$C:$O,7,0)),"")</f>
        <v/>
      </c>
      <c r="P3806" s="55" t="str">
        <f>IFERROR(IF(OR($B3806="",$B3806="(blank)"),"",VLOOKUP($B3806,'Email Marketing Raw Data'!$C:$O,8,0)),"")</f>
        <v/>
      </c>
      <c r="Q3806" s="62" t="str">
        <f>IFERROR(IF(OR($B3806="",$B3806="(blank)"),"",VLOOKUP($B3806,'Email Marketing Raw Data'!$C:$O,9,0)),"")</f>
        <v/>
      </c>
    </row>
    <row r="3807" spans="4:17" ht="12.75" customHeight="1" x14ac:dyDescent="0.2">
      <c r="D3807" s="58" t="str">
        <f>IFERROR(IF(F3807&lt;&gt;"pending","",IF(OR($B3807="",$B3807="(blank)"),"",VLOOKUP($B3807,'Email Marketing Raw Data'!$C:$O,10,0))),"")</f>
        <v/>
      </c>
      <c r="E3807" s="59" t="str">
        <f>IFERROR(IF(F3807&lt;&gt;"pending","",IF(OR($B3807="",$B3807="(blank)"),"",VLOOKUP($B3807,'Email Marketing Raw Data'!$C:$O,11,0))),"")</f>
        <v/>
      </c>
      <c r="F3807" s="54" t="str">
        <f>IFERROR(IF(OR($B3807="",$B3807="(blank)"),"",VLOOKUP($B3807,'Email Marketing Raw Data'!$C:$O,13,0)),"")</f>
        <v/>
      </c>
      <c r="G3807" s="55" t="str">
        <f>IFERROR(IF(OR($B3807="",$B3807="(blank)"),"",VLOOKUP($B3807,'Email Marketing Raw Data'!$C:$O,4,0)),"")</f>
        <v/>
      </c>
      <c r="H3807" s="55" t="str">
        <f>IFERROR(IF(OR($B3807="",$B3807="(blank)"),"",VLOOKUP($B3807,'Email Marketing Raw Data'!$C:$O,5,0)),"")</f>
        <v/>
      </c>
      <c r="I3807" s="55" t="str">
        <f>IFERROR(IF($G3807="","",VLOOKUP('Dashboard And Emails Automate'!$G3807,Database!$H:$N,3,0)),"")</f>
        <v/>
      </c>
      <c r="J3807" s="55" t="str">
        <f>IFERROR(IF($G3807="","",VLOOKUP('Dashboard And Emails Automate'!$G3807,Database!$H:$N,4,0)),"")</f>
        <v/>
      </c>
      <c r="K3807" s="55" t="str">
        <f>IFERROR(IF($G3807="","",VLOOKUP('Dashboard And Emails Automate'!$G3807,Database!$H:$N,5,0)),"")</f>
        <v/>
      </c>
      <c r="L3807" s="55" t="str">
        <f>IFERROR(IF($G3807="","",VLOOKUP('Dashboard And Emails Automate'!$G3807,Database!$H:$N,6,0)),"")</f>
        <v/>
      </c>
      <c r="M3807" s="55" t="str">
        <f>IFERROR(IF($G3807="","",VLOOKUP('Dashboard And Emails Automate'!$G3807,Database!$H:$N,7,0)),"")</f>
        <v/>
      </c>
      <c r="N3807" s="55" t="str">
        <f>IFERROR(IF(OR($B3807="",$B3807="(blank)"),"",VLOOKUP($B3807,'Email Marketing Raw Data'!$C:$O,6,0)),"")</f>
        <v/>
      </c>
      <c r="O3807" s="55" t="str">
        <f>IFERROR(IF(OR($B3807="",$B3807="(blank)"),"",VLOOKUP($B3807,'Email Marketing Raw Data'!$C:$O,7,0)),"")</f>
        <v/>
      </c>
      <c r="P3807" s="55" t="str">
        <f>IFERROR(IF(OR($B3807="",$B3807="(blank)"),"",VLOOKUP($B3807,'Email Marketing Raw Data'!$C:$O,8,0)),"")</f>
        <v/>
      </c>
      <c r="Q3807" s="62" t="str">
        <f>IFERROR(IF(OR($B3807="",$B3807="(blank)"),"",VLOOKUP($B3807,'Email Marketing Raw Data'!$C:$O,9,0)),"")</f>
        <v/>
      </c>
    </row>
    <row r="3808" spans="4:17" ht="12.75" customHeight="1" x14ac:dyDescent="0.2">
      <c r="D3808" s="58" t="str">
        <f>IFERROR(IF(F3808&lt;&gt;"pending","",IF(OR($B3808="",$B3808="(blank)"),"",VLOOKUP($B3808,'Email Marketing Raw Data'!$C:$O,10,0))),"")</f>
        <v/>
      </c>
      <c r="E3808" s="59" t="str">
        <f>IFERROR(IF(F3808&lt;&gt;"pending","",IF(OR($B3808="",$B3808="(blank)"),"",VLOOKUP($B3808,'Email Marketing Raw Data'!$C:$O,11,0))),"")</f>
        <v/>
      </c>
      <c r="F3808" s="54" t="str">
        <f>IFERROR(IF(OR($B3808="",$B3808="(blank)"),"",VLOOKUP($B3808,'Email Marketing Raw Data'!$C:$O,13,0)),"")</f>
        <v/>
      </c>
      <c r="G3808" s="55" t="str">
        <f>IFERROR(IF(OR($B3808="",$B3808="(blank)"),"",VLOOKUP($B3808,'Email Marketing Raw Data'!$C:$O,4,0)),"")</f>
        <v/>
      </c>
      <c r="H3808" s="55" t="str">
        <f>IFERROR(IF(OR($B3808="",$B3808="(blank)"),"",VLOOKUP($B3808,'Email Marketing Raw Data'!$C:$O,5,0)),"")</f>
        <v/>
      </c>
      <c r="I3808" s="55" t="str">
        <f>IFERROR(IF($G3808="","",VLOOKUP('Dashboard And Emails Automate'!$G3808,Database!$H:$N,3,0)),"")</f>
        <v/>
      </c>
      <c r="J3808" s="55" t="str">
        <f>IFERROR(IF($G3808="","",VLOOKUP('Dashboard And Emails Automate'!$G3808,Database!$H:$N,4,0)),"")</f>
        <v/>
      </c>
      <c r="K3808" s="55" t="str">
        <f>IFERROR(IF($G3808="","",VLOOKUP('Dashboard And Emails Automate'!$G3808,Database!$H:$N,5,0)),"")</f>
        <v/>
      </c>
      <c r="L3808" s="55" t="str">
        <f>IFERROR(IF($G3808="","",VLOOKUP('Dashboard And Emails Automate'!$G3808,Database!$H:$N,6,0)),"")</f>
        <v/>
      </c>
      <c r="M3808" s="55" t="str">
        <f>IFERROR(IF($G3808="","",VLOOKUP('Dashboard And Emails Automate'!$G3808,Database!$H:$N,7,0)),"")</f>
        <v/>
      </c>
      <c r="N3808" s="55" t="str">
        <f>IFERROR(IF(OR($B3808="",$B3808="(blank)"),"",VLOOKUP($B3808,'Email Marketing Raw Data'!$C:$O,6,0)),"")</f>
        <v/>
      </c>
      <c r="O3808" s="55" t="str">
        <f>IFERROR(IF(OR($B3808="",$B3808="(blank)"),"",VLOOKUP($B3808,'Email Marketing Raw Data'!$C:$O,7,0)),"")</f>
        <v/>
      </c>
      <c r="P3808" s="55" t="str">
        <f>IFERROR(IF(OR($B3808="",$B3808="(blank)"),"",VLOOKUP($B3808,'Email Marketing Raw Data'!$C:$O,8,0)),"")</f>
        <v/>
      </c>
      <c r="Q3808" s="62" t="str">
        <f>IFERROR(IF(OR($B3808="",$B3808="(blank)"),"",VLOOKUP($B3808,'Email Marketing Raw Data'!$C:$O,9,0)),"")</f>
        <v/>
      </c>
    </row>
    <row r="3809" spans="4:17" ht="12.75" customHeight="1" x14ac:dyDescent="0.2">
      <c r="D3809" s="58" t="str">
        <f>IFERROR(IF(F3809&lt;&gt;"pending","",IF(OR($B3809="",$B3809="(blank)"),"",VLOOKUP($B3809,'Email Marketing Raw Data'!$C:$O,10,0))),"")</f>
        <v/>
      </c>
      <c r="E3809" s="59" t="str">
        <f>IFERROR(IF(F3809&lt;&gt;"pending","",IF(OR($B3809="",$B3809="(blank)"),"",VLOOKUP($B3809,'Email Marketing Raw Data'!$C:$O,11,0))),"")</f>
        <v/>
      </c>
      <c r="F3809" s="54" t="str">
        <f>IFERROR(IF(OR($B3809="",$B3809="(blank)"),"",VLOOKUP($B3809,'Email Marketing Raw Data'!$C:$O,13,0)),"")</f>
        <v/>
      </c>
      <c r="G3809" s="55" t="str">
        <f>IFERROR(IF(OR($B3809="",$B3809="(blank)"),"",VLOOKUP($B3809,'Email Marketing Raw Data'!$C:$O,4,0)),"")</f>
        <v/>
      </c>
      <c r="H3809" s="55" t="str">
        <f>IFERROR(IF(OR($B3809="",$B3809="(blank)"),"",VLOOKUP($B3809,'Email Marketing Raw Data'!$C:$O,5,0)),"")</f>
        <v/>
      </c>
      <c r="I3809" s="55" t="str">
        <f>IFERROR(IF($G3809="","",VLOOKUP('Dashboard And Emails Automate'!$G3809,Database!$H:$N,3,0)),"")</f>
        <v/>
      </c>
      <c r="J3809" s="55" t="str">
        <f>IFERROR(IF($G3809="","",VLOOKUP('Dashboard And Emails Automate'!$G3809,Database!$H:$N,4,0)),"")</f>
        <v/>
      </c>
      <c r="K3809" s="55" t="str">
        <f>IFERROR(IF($G3809="","",VLOOKUP('Dashboard And Emails Automate'!$G3809,Database!$H:$N,5,0)),"")</f>
        <v/>
      </c>
      <c r="L3809" s="55" t="str">
        <f>IFERROR(IF($G3809="","",VLOOKUP('Dashboard And Emails Automate'!$G3809,Database!$H:$N,6,0)),"")</f>
        <v/>
      </c>
      <c r="M3809" s="55" t="str">
        <f>IFERROR(IF($G3809="","",VLOOKUP('Dashboard And Emails Automate'!$G3809,Database!$H:$N,7,0)),"")</f>
        <v/>
      </c>
      <c r="N3809" s="55" t="str">
        <f>IFERROR(IF(OR($B3809="",$B3809="(blank)"),"",VLOOKUP($B3809,'Email Marketing Raw Data'!$C:$O,6,0)),"")</f>
        <v/>
      </c>
      <c r="O3809" s="55" t="str">
        <f>IFERROR(IF(OR($B3809="",$B3809="(blank)"),"",VLOOKUP($B3809,'Email Marketing Raw Data'!$C:$O,7,0)),"")</f>
        <v/>
      </c>
      <c r="P3809" s="55" t="str">
        <f>IFERROR(IF(OR($B3809="",$B3809="(blank)"),"",VLOOKUP($B3809,'Email Marketing Raw Data'!$C:$O,8,0)),"")</f>
        <v/>
      </c>
      <c r="Q3809" s="62" t="str">
        <f>IFERROR(IF(OR($B3809="",$B3809="(blank)"),"",VLOOKUP($B3809,'Email Marketing Raw Data'!$C:$O,9,0)),"")</f>
        <v/>
      </c>
    </row>
    <row r="3810" spans="4:17" ht="12.75" customHeight="1" x14ac:dyDescent="0.2">
      <c r="D3810" s="58" t="str">
        <f>IFERROR(IF(F3810&lt;&gt;"pending","",IF(OR($B3810="",$B3810="(blank)"),"",VLOOKUP($B3810,'Email Marketing Raw Data'!$C:$O,10,0))),"")</f>
        <v/>
      </c>
      <c r="E3810" s="59" t="str">
        <f>IFERROR(IF(F3810&lt;&gt;"pending","",IF(OR($B3810="",$B3810="(blank)"),"",VLOOKUP($B3810,'Email Marketing Raw Data'!$C:$O,11,0))),"")</f>
        <v/>
      </c>
      <c r="F3810" s="54" t="str">
        <f>IFERROR(IF(OR($B3810="",$B3810="(blank)"),"",VLOOKUP($B3810,'Email Marketing Raw Data'!$C:$O,13,0)),"")</f>
        <v/>
      </c>
      <c r="G3810" s="55" t="str">
        <f>IFERROR(IF(OR($B3810="",$B3810="(blank)"),"",VLOOKUP($B3810,'Email Marketing Raw Data'!$C:$O,4,0)),"")</f>
        <v/>
      </c>
      <c r="H3810" s="55" t="str">
        <f>IFERROR(IF(OR($B3810="",$B3810="(blank)"),"",VLOOKUP($B3810,'Email Marketing Raw Data'!$C:$O,5,0)),"")</f>
        <v/>
      </c>
      <c r="I3810" s="55" t="str">
        <f>IFERROR(IF($G3810="","",VLOOKUP('Dashboard And Emails Automate'!$G3810,Database!$H:$N,3,0)),"")</f>
        <v/>
      </c>
      <c r="J3810" s="55" t="str">
        <f>IFERROR(IF($G3810="","",VLOOKUP('Dashboard And Emails Automate'!$G3810,Database!$H:$N,4,0)),"")</f>
        <v/>
      </c>
      <c r="K3810" s="55" t="str">
        <f>IFERROR(IF($G3810="","",VLOOKUP('Dashboard And Emails Automate'!$G3810,Database!$H:$N,5,0)),"")</f>
        <v/>
      </c>
      <c r="L3810" s="55" t="str">
        <f>IFERROR(IF($G3810="","",VLOOKUP('Dashboard And Emails Automate'!$G3810,Database!$H:$N,6,0)),"")</f>
        <v/>
      </c>
      <c r="M3810" s="55" t="str">
        <f>IFERROR(IF($G3810="","",VLOOKUP('Dashboard And Emails Automate'!$G3810,Database!$H:$N,7,0)),"")</f>
        <v/>
      </c>
      <c r="N3810" s="55" t="str">
        <f>IFERROR(IF(OR($B3810="",$B3810="(blank)"),"",VLOOKUP($B3810,'Email Marketing Raw Data'!$C:$O,6,0)),"")</f>
        <v/>
      </c>
      <c r="O3810" s="55" t="str">
        <f>IFERROR(IF(OR($B3810="",$B3810="(blank)"),"",VLOOKUP($B3810,'Email Marketing Raw Data'!$C:$O,7,0)),"")</f>
        <v/>
      </c>
      <c r="P3810" s="55" t="str">
        <f>IFERROR(IF(OR($B3810="",$B3810="(blank)"),"",VLOOKUP($B3810,'Email Marketing Raw Data'!$C:$O,8,0)),"")</f>
        <v/>
      </c>
      <c r="Q3810" s="62" t="str">
        <f>IFERROR(IF(OR($B3810="",$B3810="(blank)"),"",VLOOKUP($B3810,'Email Marketing Raw Data'!$C:$O,9,0)),"")</f>
        <v/>
      </c>
    </row>
    <row r="3811" spans="4:17" ht="12.75" customHeight="1" x14ac:dyDescent="0.2">
      <c r="D3811" s="58" t="str">
        <f>IFERROR(IF(F3811&lt;&gt;"pending","",IF(OR($B3811="",$B3811="(blank)"),"",VLOOKUP($B3811,'Email Marketing Raw Data'!$C:$O,10,0))),"")</f>
        <v/>
      </c>
      <c r="E3811" s="59" t="str">
        <f>IFERROR(IF(F3811&lt;&gt;"pending","",IF(OR($B3811="",$B3811="(blank)"),"",VLOOKUP($B3811,'Email Marketing Raw Data'!$C:$O,11,0))),"")</f>
        <v/>
      </c>
      <c r="F3811" s="54" t="str">
        <f>IFERROR(IF(OR($B3811="",$B3811="(blank)"),"",VLOOKUP($B3811,'Email Marketing Raw Data'!$C:$O,13,0)),"")</f>
        <v/>
      </c>
      <c r="G3811" s="55" t="str">
        <f>IFERROR(IF(OR($B3811="",$B3811="(blank)"),"",VLOOKUP($B3811,'Email Marketing Raw Data'!$C:$O,4,0)),"")</f>
        <v/>
      </c>
      <c r="H3811" s="55" t="str">
        <f>IFERROR(IF(OR($B3811="",$B3811="(blank)"),"",VLOOKUP($B3811,'Email Marketing Raw Data'!$C:$O,5,0)),"")</f>
        <v/>
      </c>
      <c r="I3811" s="55" t="str">
        <f>IFERROR(IF($G3811="","",VLOOKUP('Dashboard And Emails Automate'!$G3811,Database!$H:$N,3,0)),"")</f>
        <v/>
      </c>
      <c r="J3811" s="55" t="str">
        <f>IFERROR(IF($G3811="","",VLOOKUP('Dashboard And Emails Automate'!$G3811,Database!$H:$N,4,0)),"")</f>
        <v/>
      </c>
      <c r="K3811" s="55" t="str">
        <f>IFERROR(IF($G3811="","",VLOOKUP('Dashboard And Emails Automate'!$G3811,Database!$H:$N,5,0)),"")</f>
        <v/>
      </c>
      <c r="L3811" s="55" t="str">
        <f>IFERROR(IF($G3811="","",VLOOKUP('Dashboard And Emails Automate'!$G3811,Database!$H:$N,6,0)),"")</f>
        <v/>
      </c>
      <c r="M3811" s="55" t="str">
        <f>IFERROR(IF($G3811="","",VLOOKUP('Dashboard And Emails Automate'!$G3811,Database!$H:$N,7,0)),"")</f>
        <v/>
      </c>
      <c r="N3811" s="55" t="str">
        <f>IFERROR(IF(OR($B3811="",$B3811="(blank)"),"",VLOOKUP($B3811,'Email Marketing Raw Data'!$C:$O,6,0)),"")</f>
        <v/>
      </c>
      <c r="O3811" s="55" t="str">
        <f>IFERROR(IF(OR($B3811="",$B3811="(blank)"),"",VLOOKUP($B3811,'Email Marketing Raw Data'!$C:$O,7,0)),"")</f>
        <v/>
      </c>
      <c r="P3811" s="55" t="str">
        <f>IFERROR(IF(OR($B3811="",$B3811="(blank)"),"",VLOOKUP($B3811,'Email Marketing Raw Data'!$C:$O,8,0)),"")</f>
        <v/>
      </c>
      <c r="Q3811" s="62" t="str">
        <f>IFERROR(IF(OR($B3811="",$B3811="(blank)"),"",VLOOKUP($B3811,'Email Marketing Raw Data'!$C:$O,9,0)),"")</f>
        <v/>
      </c>
    </row>
    <row r="3812" spans="4:17" ht="12.75" customHeight="1" x14ac:dyDescent="0.2">
      <c r="D3812" s="58" t="str">
        <f>IFERROR(IF(F3812&lt;&gt;"pending","",IF(OR($B3812="",$B3812="(blank)"),"",VLOOKUP($B3812,'Email Marketing Raw Data'!$C:$O,10,0))),"")</f>
        <v/>
      </c>
      <c r="E3812" s="59" t="str">
        <f>IFERROR(IF(F3812&lt;&gt;"pending","",IF(OR($B3812="",$B3812="(blank)"),"",VLOOKUP($B3812,'Email Marketing Raw Data'!$C:$O,11,0))),"")</f>
        <v/>
      </c>
      <c r="F3812" s="54" t="str">
        <f>IFERROR(IF(OR($B3812="",$B3812="(blank)"),"",VLOOKUP($B3812,'Email Marketing Raw Data'!$C:$O,13,0)),"")</f>
        <v/>
      </c>
      <c r="G3812" s="55" t="str">
        <f>IFERROR(IF(OR($B3812="",$B3812="(blank)"),"",VLOOKUP($B3812,'Email Marketing Raw Data'!$C:$O,4,0)),"")</f>
        <v/>
      </c>
      <c r="H3812" s="55" t="str">
        <f>IFERROR(IF(OR($B3812="",$B3812="(blank)"),"",VLOOKUP($B3812,'Email Marketing Raw Data'!$C:$O,5,0)),"")</f>
        <v/>
      </c>
      <c r="I3812" s="55" t="str">
        <f>IFERROR(IF($G3812="","",VLOOKUP('Dashboard And Emails Automate'!$G3812,Database!$H:$N,3,0)),"")</f>
        <v/>
      </c>
      <c r="J3812" s="55" t="str">
        <f>IFERROR(IF($G3812="","",VLOOKUP('Dashboard And Emails Automate'!$G3812,Database!$H:$N,4,0)),"")</f>
        <v/>
      </c>
      <c r="K3812" s="55" t="str">
        <f>IFERROR(IF($G3812="","",VLOOKUP('Dashboard And Emails Automate'!$G3812,Database!$H:$N,5,0)),"")</f>
        <v/>
      </c>
      <c r="L3812" s="55" t="str">
        <f>IFERROR(IF($G3812="","",VLOOKUP('Dashboard And Emails Automate'!$G3812,Database!$H:$N,6,0)),"")</f>
        <v/>
      </c>
      <c r="M3812" s="55" t="str">
        <f>IFERROR(IF($G3812="","",VLOOKUP('Dashboard And Emails Automate'!$G3812,Database!$H:$N,7,0)),"")</f>
        <v/>
      </c>
      <c r="N3812" s="55" t="str">
        <f>IFERROR(IF(OR($B3812="",$B3812="(blank)"),"",VLOOKUP($B3812,'Email Marketing Raw Data'!$C:$O,6,0)),"")</f>
        <v/>
      </c>
      <c r="O3812" s="55" t="str">
        <f>IFERROR(IF(OR($B3812="",$B3812="(blank)"),"",VLOOKUP($B3812,'Email Marketing Raw Data'!$C:$O,7,0)),"")</f>
        <v/>
      </c>
      <c r="P3812" s="55" t="str">
        <f>IFERROR(IF(OR($B3812="",$B3812="(blank)"),"",VLOOKUP($B3812,'Email Marketing Raw Data'!$C:$O,8,0)),"")</f>
        <v/>
      </c>
      <c r="Q3812" s="62" t="str">
        <f>IFERROR(IF(OR($B3812="",$B3812="(blank)"),"",VLOOKUP($B3812,'Email Marketing Raw Data'!$C:$O,9,0)),"")</f>
        <v/>
      </c>
    </row>
    <row r="3813" spans="4:17" ht="12.75" customHeight="1" x14ac:dyDescent="0.2">
      <c r="D3813" s="58" t="str">
        <f>IFERROR(IF(F3813&lt;&gt;"pending","",IF(OR($B3813="",$B3813="(blank)"),"",VLOOKUP($B3813,'Email Marketing Raw Data'!$C:$O,10,0))),"")</f>
        <v/>
      </c>
      <c r="E3813" s="59" t="str">
        <f>IFERROR(IF(F3813&lt;&gt;"pending","",IF(OR($B3813="",$B3813="(blank)"),"",VLOOKUP($B3813,'Email Marketing Raw Data'!$C:$O,11,0))),"")</f>
        <v/>
      </c>
      <c r="F3813" s="54" t="str">
        <f>IFERROR(IF(OR($B3813="",$B3813="(blank)"),"",VLOOKUP($B3813,'Email Marketing Raw Data'!$C:$O,13,0)),"")</f>
        <v/>
      </c>
      <c r="G3813" s="55" t="str">
        <f>IFERROR(IF(OR($B3813="",$B3813="(blank)"),"",VLOOKUP($B3813,'Email Marketing Raw Data'!$C:$O,4,0)),"")</f>
        <v/>
      </c>
      <c r="H3813" s="55" t="str">
        <f>IFERROR(IF(OR($B3813="",$B3813="(blank)"),"",VLOOKUP($B3813,'Email Marketing Raw Data'!$C:$O,5,0)),"")</f>
        <v/>
      </c>
      <c r="I3813" s="55" t="str">
        <f>IFERROR(IF($G3813="","",VLOOKUP('Dashboard And Emails Automate'!$G3813,Database!$H:$N,3,0)),"")</f>
        <v/>
      </c>
      <c r="J3813" s="55" t="str">
        <f>IFERROR(IF($G3813="","",VLOOKUP('Dashboard And Emails Automate'!$G3813,Database!$H:$N,4,0)),"")</f>
        <v/>
      </c>
      <c r="K3813" s="55" t="str">
        <f>IFERROR(IF($G3813="","",VLOOKUP('Dashboard And Emails Automate'!$G3813,Database!$H:$N,5,0)),"")</f>
        <v/>
      </c>
      <c r="L3813" s="55" t="str">
        <f>IFERROR(IF($G3813="","",VLOOKUP('Dashboard And Emails Automate'!$G3813,Database!$H:$N,6,0)),"")</f>
        <v/>
      </c>
      <c r="M3813" s="55" t="str">
        <f>IFERROR(IF($G3813="","",VLOOKUP('Dashboard And Emails Automate'!$G3813,Database!$H:$N,7,0)),"")</f>
        <v/>
      </c>
      <c r="N3813" s="55" t="str">
        <f>IFERROR(IF(OR($B3813="",$B3813="(blank)"),"",VLOOKUP($B3813,'Email Marketing Raw Data'!$C:$O,6,0)),"")</f>
        <v/>
      </c>
      <c r="O3813" s="55" t="str">
        <f>IFERROR(IF(OR($B3813="",$B3813="(blank)"),"",VLOOKUP($B3813,'Email Marketing Raw Data'!$C:$O,7,0)),"")</f>
        <v/>
      </c>
      <c r="P3813" s="55" t="str">
        <f>IFERROR(IF(OR($B3813="",$B3813="(blank)"),"",VLOOKUP($B3813,'Email Marketing Raw Data'!$C:$O,8,0)),"")</f>
        <v/>
      </c>
      <c r="Q3813" s="62" t="str">
        <f>IFERROR(IF(OR($B3813="",$B3813="(blank)"),"",VLOOKUP($B3813,'Email Marketing Raw Data'!$C:$O,9,0)),"")</f>
        <v/>
      </c>
    </row>
    <row r="3814" spans="4:17" ht="12.75" customHeight="1" x14ac:dyDescent="0.2">
      <c r="D3814" s="58" t="str">
        <f>IFERROR(IF(F3814&lt;&gt;"pending","",IF(OR($B3814="",$B3814="(blank)"),"",VLOOKUP($B3814,'Email Marketing Raw Data'!$C:$O,10,0))),"")</f>
        <v/>
      </c>
      <c r="E3814" s="59" t="str">
        <f>IFERROR(IF(F3814&lt;&gt;"pending","",IF(OR($B3814="",$B3814="(blank)"),"",VLOOKUP($B3814,'Email Marketing Raw Data'!$C:$O,11,0))),"")</f>
        <v/>
      </c>
      <c r="F3814" s="54" t="str">
        <f>IFERROR(IF(OR($B3814="",$B3814="(blank)"),"",VLOOKUP($B3814,'Email Marketing Raw Data'!$C:$O,13,0)),"")</f>
        <v/>
      </c>
      <c r="G3814" s="55" t="str">
        <f>IFERROR(IF(OR($B3814="",$B3814="(blank)"),"",VLOOKUP($B3814,'Email Marketing Raw Data'!$C:$O,4,0)),"")</f>
        <v/>
      </c>
      <c r="H3814" s="55" t="str">
        <f>IFERROR(IF(OR($B3814="",$B3814="(blank)"),"",VLOOKUP($B3814,'Email Marketing Raw Data'!$C:$O,5,0)),"")</f>
        <v/>
      </c>
      <c r="I3814" s="55" t="str">
        <f>IFERROR(IF($G3814="","",VLOOKUP('Dashboard And Emails Automate'!$G3814,Database!$H:$N,3,0)),"")</f>
        <v/>
      </c>
      <c r="J3814" s="55" t="str">
        <f>IFERROR(IF($G3814="","",VLOOKUP('Dashboard And Emails Automate'!$G3814,Database!$H:$N,4,0)),"")</f>
        <v/>
      </c>
      <c r="K3814" s="55" t="str">
        <f>IFERROR(IF($G3814="","",VLOOKUP('Dashboard And Emails Automate'!$G3814,Database!$H:$N,5,0)),"")</f>
        <v/>
      </c>
      <c r="L3814" s="55" t="str">
        <f>IFERROR(IF($G3814="","",VLOOKUP('Dashboard And Emails Automate'!$G3814,Database!$H:$N,6,0)),"")</f>
        <v/>
      </c>
      <c r="M3814" s="55" t="str">
        <f>IFERROR(IF($G3814="","",VLOOKUP('Dashboard And Emails Automate'!$G3814,Database!$H:$N,7,0)),"")</f>
        <v/>
      </c>
      <c r="N3814" s="55" t="str">
        <f>IFERROR(IF(OR($B3814="",$B3814="(blank)"),"",VLOOKUP($B3814,'Email Marketing Raw Data'!$C:$O,6,0)),"")</f>
        <v/>
      </c>
      <c r="O3814" s="55" t="str">
        <f>IFERROR(IF(OR($B3814="",$B3814="(blank)"),"",VLOOKUP($B3814,'Email Marketing Raw Data'!$C:$O,7,0)),"")</f>
        <v/>
      </c>
      <c r="P3814" s="55" t="str">
        <f>IFERROR(IF(OR($B3814="",$B3814="(blank)"),"",VLOOKUP($B3814,'Email Marketing Raw Data'!$C:$O,8,0)),"")</f>
        <v/>
      </c>
      <c r="Q3814" s="62" t="str">
        <f>IFERROR(IF(OR($B3814="",$B3814="(blank)"),"",VLOOKUP($B3814,'Email Marketing Raw Data'!$C:$O,9,0)),"")</f>
        <v/>
      </c>
    </row>
    <row r="3815" spans="4:17" ht="12.75" customHeight="1" x14ac:dyDescent="0.2">
      <c r="D3815" s="58" t="str">
        <f>IFERROR(IF(F3815&lt;&gt;"pending","",IF(OR($B3815="",$B3815="(blank)"),"",VLOOKUP($B3815,'Email Marketing Raw Data'!$C:$O,10,0))),"")</f>
        <v/>
      </c>
      <c r="E3815" s="59" t="str">
        <f>IFERROR(IF(F3815&lt;&gt;"pending","",IF(OR($B3815="",$B3815="(blank)"),"",VLOOKUP($B3815,'Email Marketing Raw Data'!$C:$O,11,0))),"")</f>
        <v/>
      </c>
      <c r="F3815" s="54" t="str">
        <f>IFERROR(IF(OR($B3815="",$B3815="(blank)"),"",VLOOKUP($B3815,'Email Marketing Raw Data'!$C:$O,13,0)),"")</f>
        <v/>
      </c>
      <c r="G3815" s="55" t="str">
        <f>IFERROR(IF(OR($B3815="",$B3815="(blank)"),"",VLOOKUP($B3815,'Email Marketing Raw Data'!$C:$O,4,0)),"")</f>
        <v/>
      </c>
      <c r="H3815" s="55" t="str">
        <f>IFERROR(IF(OR($B3815="",$B3815="(blank)"),"",VLOOKUP($B3815,'Email Marketing Raw Data'!$C:$O,5,0)),"")</f>
        <v/>
      </c>
      <c r="I3815" s="55" t="str">
        <f>IFERROR(IF($G3815="","",VLOOKUP('Dashboard And Emails Automate'!$G3815,Database!$H:$N,3,0)),"")</f>
        <v/>
      </c>
      <c r="J3815" s="55" t="str">
        <f>IFERROR(IF($G3815="","",VLOOKUP('Dashboard And Emails Automate'!$G3815,Database!$H:$N,4,0)),"")</f>
        <v/>
      </c>
      <c r="K3815" s="55" t="str">
        <f>IFERROR(IF($G3815="","",VLOOKUP('Dashboard And Emails Automate'!$G3815,Database!$H:$N,5,0)),"")</f>
        <v/>
      </c>
      <c r="L3815" s="55" t="str">
        <f>IFERROR(IF($G3815="","",VLOOKUP('Dashboard And Emails Automate'!$G3815,Database!$H:$N,6,0)),"")</f>
        <v/>
      </c>
      <c r="M3815" s="55" t="str">
        <f>IFERROR(IF($G3815="","",VLOOKUP('Dashboard And Emails Automate'!$G3815,Database!$H:$N,7,0)),"")</f>
        <v/>
      </c>
      <c r="N3815" s="55" t="str">
        <f>IFERROR(IF(OR($B3815="",$B3815="(blank)"),"",VLOOKUP($B3815,'Email Marketing Raw Data'!$C:$O,6,0)),"")</f>
        <v/>
      </c>
      <c r="O3815" s="55" t="str">
        <f>IFERROR(IF(OR($B3815="",$B3815="(blank)"),"",VLOOKUP($B3815,'Email Marketing Raw Data'!$C:$O,7,0)),"")</f>
        <v/>
      </c>
      <c r="P3815" s="55" t="str">
        <f>IFERROR(IF(OR($B3815="",$B3815="(blank)"),"",VLOOKUP($B3815,'Email Marketing Raw Data'!$C:$O,8,0)),"")</f>
        <v/>
      </c>
      <c r="Q3815" s="62" t="str">
        <f>IFERROR(IF(OR($B3815="",$B3815="(blank)"),"",VLOOKUP($B3815,'Email Marketing Raw Data'!$C:$O,9,0)),"")</f>
        <v/>
      </c>
    </row>
    <row r="3816" spans="4:17" ht="12.75" customHeight="1" x14ac:dyDescent="0.2">
      <c r="D3816" s="58" t="str">
        <f>IFERROR(IF(F3816&lt;&gt;"pending","",IF(OR($B3816="",$B3816="(blank)"),"",VLOOKUP($B3816,'Email Marketing Raw Data'!$C:$O,10,0))),"")</f>
        <v/>
      </c>
      <c r="E3816" s="59" t="str">
        <f>IFERROR(IF(F3816&lt;&gt;"pending","",IF(OR($B3816="",$B3816="(blank)"),"",VLOOKUP($B3816,'Email Marketing Raw Data'!$C:$O,11,0))),"")</f>
        <v/>
      </c>
      <c r="F3816" s="54" t="str">
        <f>IFERROR(IF(OR($B3816="",$B3816="(blank)"),"",VLOOKUP($B3816,'Email Marketing Raw Data'!$C:$O,13,0)),"")</f>
        <v/>
      </c>
      <c r="G3816" s="55" t="str">
        <f>IFERROR(IF(OR($B3816="",$B3816="(blank)"),"",VLOOKUP($B3816,'Email Marketing Raw Data'!$C:$O,4,0)),"")</f>
        <v/>
      </c>
      <c r="H3816" s="55" t="str">
        <f>IFERROR(IF(OR($B3816="",$B3816="(blank)"),"",VLOOKUP($B3816,'Email Marketing Raw Data'!$C:$O,5,0)),"")</f>
        <v/>
      </c>
      <c r="I3816" s="55" t="str">
        <f>IFERROR(IF($G3816="","",VLOOKUP('Dashboard And Emails Automate'!$G3816,Database!$H:$N,3,0)),"")</f>
        <v/>
      </c>
      <c r="J3816" s="55" t="str">
        <f>IFERROR(IF($G3816="","",VLOOKUP('Dashboard And Emails Automate'!$G3816,Database!$H:$N,4,0)),"")</f>
        <v/>
      </c>
      <c r="K3816" s="55" t="str">
        <f>IFERROR(IF($G3816="","",VLOOKUP('Dashboard And Emails Automate'!$G3816,Database!$H:$N,5,0)),"")</f>
        <v/>
      </c>
      <c r="L3816" s="55" t="str">
        <f>IFERROR(IF($G3816="","",VLOOKUP('Dashboard And Emails Automate'!$G3816,Database!$H:$N,6,0)),"")</f>
        <v/>
      </c>
      <c r="M3816" s="55" t="str">
        <f>IFERROR(IF($G3816="","",VLOOKUP('Dashboard And Emails Automate'!$G3816,Database!$H:$N,7,0)),"")</f>
        <v/>
      </c>
      <c r="N3816" s="55" t="str">
        <f>IFERROR(IF(OR($B3816="",$B3816="(blank)"),"",VLOOKUP($B3816,'Email Marketing Raw Data'!$C:$O,6,0)),"")</f>
        <v/>
      </c>
      <c r="O3816" s="55" t="str">
        <f>IFERROR(IF(OR($B3816="",$B3816="(blank)"),"",VLOOKUP($B3816,'Email Marketing Raw Data'!$C:$O,7,0)),"")</f>
        <v/>
      </c>
      <c r="P3816" s="55" t="str">
        <f>IFERROR(IF(OR($B3816="",$B3816="(blank)"),"",VLOOKUP($B3816,'Email Marketing Raw Data'!$C:$O,8,0)),"")</f>
        <v/>
      </c>
      <c r="Q3816" s="62" t="str">
        <f>IFERROR(IF(OR($B3816="",$B3816="(blank)"),"",VLOOKUP($B3816,'Email Marketing Raw Data'!$C:$O,9,0)),"")</f>
        <v/>
      </c>
    </row>
    <row r="3817" spans="4:17" ht="12.75" customHeight="1" x14ac:dyDescent="0.2">
      <c r="D3817" s="58" t="str">
        <f>IFERROR(IF(F3817&lt;&gt;"pending","",IF(OR($B3817="",$B3817="(blank)"),"",VLOOKUP($B3817,'Email Marketing Raw Data'!$C:$O,10,0))),"")</f>
        <v/>
      </c>
      <c r="E3817" s="59" t="str">
        <f>IFERROR(IF(F3817&lt;&gt;"pending","",IF(OR($B3817="",$B3817="(blank)"),"",VLOOKUP($B3817,'Email Marketing Raw Data'!$C:$O,11,0))),"")</f>
        <v/>
      </c>
      <c r="F3817" s="54" t="str">
        <f>IFERROR(IF(OR($B3817="",$B3817="(blank)"),"",VLOOKUP($B3817,'Email Marketing Raw Data'!$C:$O,13,0)),"")</f>
        <v/>
      </c>
      <c r="G3817" s="55" t="str">
        <f>IFERROR(IF(OR($B3817="",$B3817="(blank)"),"",VLOOKUP($B3817,'Email Marketing Raw Data'!$C:$O,4,0)),"")</f>
        <v/>
      </c>
      <c r="H3817" s="55" t="str">
        <f>IFERROR(IF(OR($B3817="",$B3817="(blank)"),"",VLOOKUP($B3817,'Email Marketing Raw Data'!$C:$O,5,0)),"")</f>
        <v/>
      </c>
      <c r="I3817" s="55" t="str">
        <f>IFERROR(IF($G3817="","",VLOOKUP('Dashboard And Emails Automate'!$G3817,Database!$H:$N,3,0)),"")</f>
        <v/>
      </c>
      <c r="J3817" s="55" t="str">
        <f>IFERROR(IF($G3817="","",VLOOKUP('Dashboard And Emails Automate'!$G3817,Database!$H:$N,4,0)),"")</f>
        <v/>
      </c>
      <c r="K3817" s="55" t="str">
        <f>IFERROR(IF($G3817="","",VLOOKUP('Dashboard And Emails Automate'!$G3817,Database!$H:$N,5,0)),"")</f>
        <v/>
      </c>
      <c r="L3817" s="55" t="str">
        <f>IFERROR(IF($G3817="","",VLOOKUP('Dashboard And Emails Automate'!$G3817,Database!$H:$N,6,0)),"")</f>
        <v/>
      </c>
      <c r="M3817" s="55" t="str">
        <f>IFERROR(IF($G3817="","",VLOOKUP('Dashboard And Emails Automate'!$G3817,Database!$H:$N,7,0)),"")</f>
        <v/>
      </c>
      <c r="N3817" s="55" t="str">
        <f>IFERROR(IF(OR($B3817="",$B3817="(blank)"),"",VLOOKUP($B3817,'Email Marketing Raw Data'!$C:$O,6,0)),"")</f>
        <v/>
      </c>
      <c r="O3817" s="55" t="str">
        <f>IFERROR(IF(OR($B3817="",$B3817="(blank)"),"",VLOOKUP($B3817,'Email Marketing Raw Data'!$C:$O,7,0)),"")</f>
        <v/>
      </c>
      <c r="P3817" s="55" t="str">
        <f>IFERROR(IF(OR($B3817="",$B3817="(blank)"),"",VLOOKUP($B3817,'Email Marketing Raw Data'!$C:$O,8,0)),"")</f>
        <v/>
      </c>
      <c r="Q3817" s="62" t="str">
        <f>IFERROR(IF(OR($B3817="",$B3817="(blank)"),"",VLOOKUP($B3817,'Email Marketing Raw Data'!$C:$O,9,0)),"")</f>
        <v/>
      </c>
    </row>
    <row r="3818" spans="4:17" ht="12.75" customHeight="1" x14ac:dyDescent="0.2">
      <c r="D3818" s="58" t="str">
        <f>IFERROR(IF(F3818&lt;&gt;"pending","",IF(OR($B3818="",$B3818="(blank)"),"",VLOOKUP($B3818,'Email Marketing Raw Data'!$C:$O,10,0))),"")</f>
        <v/>
      </c>
      <c r="E3818" s="59" t="str">
        <f>IFERROR(IF(F3818&lt;&gt;"pending","",IF(OR($B3818="",$B3818="(blank)"),"",VLOOKUP($B3818,'Email Marketing Raw Data'!$C:$O,11,0))),"")</f>
        <v/>
      </c>
      <c r="F3818" s="54" t="str">
        <f>IFERROR(IF(OR($B3818="",$B3818="(blank)"),"",VLOOKUP($B3818,'Email Marketing Raw Data'!$C:$O,13,0)),"")</f>
        <v/>
      </c>
      <c r="G3818" s="55" t="str">
        <f>IFERROR(IF(OR($B3818="",$B3818="(blank)"),"",VLOOKUP($B3818,'Email Marketing Raw Data'!$C:$O,4,0)),"")</f>
        <v/>
      </c>
      <c r="H3818" s="55" t="str">
        <f>IFERROR(IF(OR($B3818="",$B3818="(blank)"),"",VLOOKUP($B3818,'Email Marketing Raw Data'!$C:$O,5,0)),"")</f>
        <v/>
      </c>
      <c r="I3818" s="55" t="str">
        <f>IFERROR(IF($G3818="","",VLOOKUP('Dashboard And Emails Automate'!$G3818,Database!$H:$N,3,0)),"")</f>
        <v/>
      </c>
      <c r="J3818" s="55" t="str">
        <f>IFERROR(IF($G3818="","",VLOOKUP('Dashboard And Emails Automate'!$G3818,Database!$H:$N,4,0)),"")</f>
        <v/>
      </c>
      <c r="K3818" s="55" t="str">
        <f>IFERROR(IF($G3818="","",VLOOKUP('Dashboard And Emails Automate'!$G3818,Database!$H:$N,5,0)),"")</f>
        <v/>
      </c>
      <c r="L3818" s="55" t="str">
        <f>IFERROR(IF($G3818="","",VLOOKUP('Dashboard And Emails Automate'!$G3818,Database!$H:$N,6,0)),"")</f>
        <v/>
      </c>
      <c r="M3818" s="55" t="str">
        <f>IFERROR(IF($G3818="","",VLOOKUP('Dashboard And Emails Automate'!$G3818,Database!$H:$N,7,0)),"")</f>
        <v/>
      </c>
      <c r="N3818" s="55" t="str">
        <f>IFERROR(IF(OR($B3818="",$B3818="(blank)"),"",VLOOKUP($B3818,'Email Marketing Raw Data'!$C:$O,6,0)),"")</f>
        <v/>
      </c>
      <c r="O3818" s="55" t="str">
        <f>IFERROR(IF(OR($B3818="",$B3818="(blank)"),"",VLOOKUP($B3818,'Email Marketing Raw Data'!$C:$O,7,0)),"")</f>
        <v/>
      </c>
      <c r="P3818" s="55" t="str">
        <f>IFERROR(IF(OR($B3818="",$B3818="(blank)"),"",VLOOKUP($B3818,'Email Marketing Raw Data'!$C:$O,8,0)),"")</f>
        <v/>
      </c>
      <c r="Q3818" s="62" t="str">
        <f>IFERROR(IF(OR($B3818="",$B3818="(blank)"),"",VLOOKUP($B3818,'Email Marketing Raw Data'!$C:$O,9,0)),"")</f>
        <v/>
      </c>
    </row>
    <row r="3819" spans="4:17" ht="12.75" customHeight="1" x14ac:dyDescent="0.2">
      <c r="D3819" s="58" t="str">
        <f>IFERROR(IF(F3819&lt;&gt;"pending","",IF(OR($B3819="",$B3819="(blank)"),"",VLOOKUP($B3819,'Email Marketing Raw Data'!$C:$O,10,0))),"")</f>
        <v/>
      </c>
      <c r="E3819" s="59" t="str">
        <f>IFERROR(IF(F3819&lt;&gt;"pending","",IF(OR($B3819="",$B3819="(blank)"),"",VLOOKUP($B3819,'Email Marketing Raw Data'!$C:$O,11,0))),"")</f>
        <v/>
      </c>
      <c r="F3819" s="54" t="str">
        <f>IFERROR(IF(OR($B3819="",$B3819="(blank)"),"",VLOOKUP($B3819,'Email Marketing Raw Data'!$C:$O,13,0)),"")</f>
        <v/>
      </c>
      <c r="G3819" s="55" t="str">
        <f>IFERROR(IF(OR($B3819="",$B3819="(blank)"),"",VLOOKUP($B3819,'Email Marketing Raw Data'!$C:$O,4,0)),"")</f>
        <v/>
      </c>
      <c r="H3819" s="55" t="str">
        <f>IFERROR(IF(OR($B3819="",$B3819="(blank)"),"",VLOOKUP($B3819,'Email Marketing Raw Data'!$C:$O,5,0)),"")</f>
        <v/>
      </c>
      <c r="I3819" s="55" t="str">
        <f>IFERROR(IF($G3819="","",VLOOKUP('Dashboard And Emails Automate'!$G3819,Database!$H:$N,3,0)),"")</f>
        <v/>
      </c>
      <c r="J3819" s="55" t="str">
        <f>IFERROR(IF($G3819="","",VLOOKUP('Dashboard And Emails Automate'!$G3819,Database!$H:$N,4,0)),"")</f>
        <v/>
      </c>
      <c r="K3819" s="55" t="str">
        <f>IFERROR(IF($G3819="","",VLOOKUP('Dashboard And Emails Automate'!$G3819,Database!$H:$N,5,0)),"")</f>
        <v/>
      </c>
      <c r="L3819" s="55" t="str">
        <f>IFERROR(IF($G3819="","",VLOOKUP('Dashboard And Emails Automate'!$G3819,Database!$H:$N,6,0)),"")</f>
        <v/>
      </c>
      <c r="M3819" s="55" t="str">
        <f>IFERROR(IF($G3819="","",VLOOKUP('Dashboard And Emails Automate'!$G3819,Database!$H:$N,7,0)),"")</f>
        <v/>
      </c>
      <c r="N3819" s="55" t="str">
        <f>IFERROR(IF(OR($B3819="",$B3819="(blank)"),"",VLOOKUP($B3819,'Email Marketing Raw Data'!$C:$O,6,0)),"")</f>
        <v/>
      </c>
      <c r="O3819" s="55" t="str">
        <f>IFERROR(IF(OR($B3819="",$B3819="(blank)"),"",VLOOKUP($B3819,'Email Marketing Raw Data'!$C:$O,7,0)),"")</f>
        <v/>
      </c>
      <c r="P3819" s="55" t="str">
        <f>IFERROR(IF(OR($B3819="",$B3819="(blank)"),"",VLOOKUP($B3819,'Email Marketing Raw Data'!$C:$O,8,0)),"")</f>
        <v/>
      </c>
      <c r="Q3819" s="62" t="str">
        <f>IFERROR(IF(OR($B3819="",$B3819="(blank)"),"",VLOOKUP($B3819,'Email Marketing Raw Data'!$C:$O,9,0)),"")</f>
        <v/>
      </c>
    </row>
    <row r="3820" spans="4:17" ht="12.75" customHeight="1" x14ac:dyDescent="0.2">
      <c r="D3820" s="58" t="str">
        <f>IFERROR(IF(F3820&lt;&gt;"pending","",IF(OR($B3820="",$B3820="(blank)"),"",VLOOKUP($B3820,'Email Marketing Raw Data'!$C:$O,10,0))),"")</f>
        <v/>
      </c>
      <c r="E3820" s="59" t="str">
        <f>IFERROR(IF(F3820&lt;&gt;"pending","",IF(OR($B3820="",$B3820="(blank)"),"",VLOOKUP($B3820,'Email Marketing Raw Data'!$C:$O,11,0))),"")</f>
        <v/>
      </c>
      <c r="F3820" s="54" t="str">
        <f>IFERROR(IF(OR($B3820="",$B3820="(blank)"),"",VLOOKUP($B3820,'Email Marketing Raw Data'!$C:$O,13,0)),"")</f>
        <v/>
      </c>
      <c r="G3820" s="55" t="str">
        <f>IFERROR(IF(OR($B3820="",$B3820="(blank)"),"",VLOOKUP($B3820,'Email Marketing Raw Data'!$C:$O,4,0)),"")</f>
        <v/>
      </c>
      <c r="H3820" s="55" t="str">
        <f>IFERROR(IF(OR($B3820="",$B3820="(blank)"),"",VLOOKUP($B3820,'Email Marketing Raw Data'!$C:$O,5,0)),"")</f>
        <v/>
      </c>
      <c r="I3820" s="55" t="str">
        <f>IFERROR(IF($G3820="","",VLOOKUP('Dashboard And Emails Automate'!$G3820,Database!$H:$N,3,0)),"")</f>
        <v/>
      </c>
      <c r="J3820" s="55" t="str">
        <f>IFERROR(IF($G3820="","",VLOOKUP('Dashboard And Emails Automate'!$G3820,Database!$H:$N,4,0)),"")</f>
        <v/>
      </c>
      <c r="K3820" s="55" t="str">
        <f>IFERROR(IF($G3820="","",VLOOKUP('Dashboard And Emails Automate'!$G3820,Database!$H:$N,5,0)),"")</f>
        <v/>
      </c>
      <c r="L3820" s="55" t="str">
        <f>IFERROR(IF($G3820="","",VLOOKUP('Dashboard And Emails Automate'!$G3820,Database!$H:$N,6,0)),"")</f>
        <v/>
      </c>
      <c r="M3820" s="55" t="str">
        <f>IFERROR(IF($G3820="","",VLOOKUP('Dashboard And Emails Automate'!$G3820,Database!$H:$N,7,0)),"")</f>
        <v/>
      </c>
      <c r="N3820" s="55" t="str">
        <f>IFERROR(IF(OR($B3820="",$B3820="(blank)"),"",VLOOKUP($B3820,'Email Marketing Raw Data'!$C:$O,6,0)),"")</f>
        <v/>
      </c>
      <c r="O3820" s="55" t="str">
        <f>IFERROR(IF(OR($B3820="",$B3820="(blank)"),"",VLOOKUP($B3820,'Email Marketing Raw Data'!$C:$O,7,0)),"")</f>
        <v/>
      </c>
      <c r="P3820" s="55" t="str">
        <f>IFERROR(IF(OR($B3820="",$B3820="(blank)"),"",VLOOKUP($B3820,'Email Marketing Raw Data'!$C:$O,8,0)),"")</f>
        <v/>
      </c>
      <c r="Q3820" s="62" t="str">
        <f>IFERROR(IF(OR($B3820="",$B3820="(blank)"),"",VLOOKUP($B3820,'Email Marketing Raw Data'!$C:$O,9,0)),"")</f>
        <v/>
      </c>
    </row>
    <row r="3821" spans="4:17" ht="12.75" customHeight="1" x14ac:dyDescent="0.2">
      <c r="D3821" s="58" t="str">
        <f>IFERROR(IF(F3821&lt;&gt;"pending","",IF(OR($B3821="",$B3821="(blank)"),"",VLOOKUP($B3821,'Email Marketing Raw Data'!$C:$O,10,0))),"")</f>
        <v/>
      </c>
      <c r="E3821" s="59" t="str">
        <f>IFERROR(IF(F3821&lt;&gt;"pending","",IF(OR($B3821="",$B3821="(blank)"),"",VLOOKUP($B3821,'Email Marketing Raw Data'!$C:$O,11,0))),"")</f>
        <v/>
      </c>
      <c r="F3821" s="54" t="str">
        <f>IFERROR(IF(OR($B3821="",$B3821="(blank)"),"",VLOOKUP($B3821,'Email Marketing Raw Data'!$C:$O,13,0)),"")</f>
        <v/>
      </c>
      <c r="G3821" s="55" t="str">
        <f>IFERROR(IF(OR($B3821="",$B3821="(blank)"),"",VLOOKUP($B3821,'Email Marketing Raw Data'!$C:$O,4,0)),"")</f>
        <v/>
      </c>
      <c r="H3821" s="55" t="str">
        <f>IFERROR(IF(OR($B3821="",$B3821="(blank)"),"",VLOOKUP($B3821,'Email Marketing Raw Data'!$C:$O,5,0)),"")</f>
        <v/>
      </c>
      <c r="I3821" s="55" t="str">
        <f>IFERROR(IF($G3821="","",VLOOKUP('Dashboard And Emails Automate'!$G3821,Database!$H:$N,3,0)),"")</f>
        <v/>
      </c>
      <c r="J3821" s="55" t="str">
        <f>IFERROR(IF($G3821="","",VLOOKUP('Dashboard And Emails Automate'!$G3821,Database!$H:$N,4,0)),"")</f>
        <v/>
      </c>
      <c r="K3821" s="55" t="str">
        <f>IFERROR(IF($G3821="","",VLOOKUP('Dashboard And Emails Automate'!$G3821,Database!$H:$N,5,0)),"")</f>
        <v/>
      </c>
      <c r="L3821" s="55" t="str">
        <f>IFERROR(IF($G3821="","",VLOOKUP('Dashboard And Emails Automate'!$G3821,Database!$H:$N,6,0)),"")</f>
        <v/>
      </c>
      <c r="M3821" s="55" t="str">
        <f>IFERROR(IF($G3821="","",VLOOKUP('Dashboard And Emails Automate'!$G3821,Database!$H:$N,7,0)),"")</f>
        <v/>
      </c>
      <c r="N3821" s="55" t="str">
        <f>IFERROR(IF(OR($B3821="",$B3821="(blank)"),"",VLOOKUP($B3821,'Email Marketing Raw Data'!$C:$O,6,0)),"")</f>
        <v/>
      </c>
      <c r="O3821" s="55" t="str">
        <f>IFERROR(IF(OR($B3821="",$B3821="(blank)"),"",VLOOKUP($B3821,'Email Marketing Raw Data'!$C:$O,7,0)),"")</f>
        <v/>
      </c>
      <c r="P3821" s="55" t="str">
        <f>IFERROR(IF(OR($B3821="",$B3821="(blank)"),"",VLOOKUP($B3821,'Email Marketing Raw Data'!$C:$O,8,0)),"")</f>
        <v/>
      </c>
      <c r="Q3821" s="62" t="str">
        <f>IFERROR(IF(OR($B3821="",$B3821="(blank)"),"",VLOOKUP($B3821,'Email Marketing Raw Data'!$C:$O,9,0)),"")</f>
        <v/>
      </c>
    </row>
    <row r="3822" spans="4:17" ht="12.75" customHeight="1" x14ac:dyDescent="0.2">
      <c r="D3822" s="58" t="str">
        <f>IFERROR(IF(F3822&lt;&gt;"pending","",IF(OR($B3822="",$B3822="(blank)"),"",VLOOKUP($B3822,'Email Marketing Raw Data'!$C:$O,10,0))),"")</f>
        <v/>
      </c>
      <c r="E3822" s="59" t="str">
        <f>IFERROR(IF(F3822&lt;&gt;"pending","",IF(OR($B3822="",$B3822="(blank)"),"",VLOOKUP($B3822,'Email Marketing Raw Data'!$C:$O,11,0))),"")</f>
        <v/>
      </c>
      <c r="F3822" s="54" t="str">
        <f>IFERROR(IF(OR($B3822="",$B3822="(blank)"),"",VLOOKUP($B3822,'Email Marketing Raw Data'!$C:$O,13,0)),"")</f>
        <v/>
      </c>
      <c r="G3822" s="55" t="str">
        <f>IFERROR(IF(OR($B3822="",$B3822="(blank)"),"",VLOOKUP($B3822,'Email Marketing Raw Data'!$C:$O,4,0)),"")</f>
        <v/>
      </c>
      <c r="H3822" s="55" t="str">
        <f>IFERROR(IF(OR($B3822="",$B3822="(blank)"),"",VLOOKUP($B3822,'Email Marketing Raw Data'!$C:$O,5,0)),"")</f>
        <v/>
      </c>
      <c r="I3822" s="55" t="str">
        <f>IFERROR(IF($G3822="","",VLOOKUP('Dashboard And Emails Automate'!$G3822,Database!$H:$N,3,0)),"")</f>
        <v/>
      </c>
      <c r="J3822" s="55" t="str">
        <f>IFERROR(IF($G3822="","",VLOOKUP('Dashboard And Emails Automate'!$G3822,Database!$H:$N,4,0)),"")</f>
        <v/>
      </c>
      <c r="K3822" s="55" t="str">
        <f>IFERROR(IF($G3822="","",VLOOKUP('Dashboard And Emails Automate'!$G3822,Database!$H:$N,5,0)),"")</f>
        <v/>
      </c>
      <c r="L3822" s="55" t="str">
        <f>IFERROR(IF($G3822="","",VLOOKUP('Dashboard And Emails Automate'!$G3822,Database!$H:$N,6,0)),"")</f>
        <v/>
      </c>
      <c r="M3822" s="55" t="str">
        <f>IFERROR(IF($G3822="","",VLOOKUP('Dashboard And Emails Automate'!$G3822,Database!$H:$N,7,0)),"")</f>
        <v/>
      </c>
      <c r="N3822" s="55" t="str">
        <f>IFERROR(IF(OR($B3822="",$B3822="(blank)"),"",VLOOKUP($B3822,'Email Marketing Raw Data'!$C:$O,6,0)),"")</f>
        <v/>
      </c>
      <c r="O3822" s="55" t="str">
        <f>IFERROR(IF(OR($B3822="",$B3822="(blank)"),"",VLOOKUP($B3822,'Email Marketing Raw Data'!$C:$O,7,0)),"")</f>
        <v/>
      </c>
      <c r="P3822" s="55" t="str">
        <f>IFERROR(IF(OR($B3822="",$B3822="(blank)"),"",VLOOKUP($B3822,'Email Marketing Raw Data'!$C:$O,8,0)),"")</f>
        <v/>
      </c>
      <c r="Q3822" s="62" t="str">
        <f>IFERROR(IF(OR($B3822="",$B3822="(blank)"),"",VLOOKUP($B3822,'Email Marketing Raw Data'!$C:$O,9,0)),"")</f>
        <v/>
      </c>
    </row>
    <row r="3823" spans="4:17" ht="12.75" customHeight="1" x14ac:dyDescent="0.2">
      <c r="D3823" s="58" t="str">
        <f>IFERROR(IF(F3823&lt;&gt;"pending","",IF(OR($B3823="",$B3823="(blank)"),"",VLOOKUP($B3823,'Email Marketing Raw Data'!$C:$O,10,0))),"")</f>
        <v/>
      </c>
      <c r="E3823" s="59" t="str">
        <f>IFERROR(IF(F3823&lt;&gt;"pending","",IF(OR($B3823="",$B3823="(blank)"),"",VLOOKUP($B3823,'Email Marketing Raw Data'!$C:$O,11,0))),"")</f>
        <v/>
      </c>
      <c r="F3823" s="54" t="str">
        <f>IFERROR(IF(OR($B3823="",$B3823="(blank)"),"",VLOOKUP($B3823,'Email Marketing Raw Data'!$C:$O,13,0)),"")</f>
        <v/>
      </c>
      <c r="G3823" s="55" t="str">
        <f>IFERROR(IF(OR($B3823="",$B3823="(blank)"),"",VLOOKUP($B3823,'Email Marketing Raw Data'!$C:$O,4,0)),"")</f>
        <v/>
      </c>
      <c r="H3823" s="55" t="str">
        <f>IFERROR(IF(OR($B3823="",$B3823="(blank)"),"",VLOOKUP($B3823,'Email Marketing Raw Data'!$C:$O,5,0)),"")</f>
        <v/>
      </c>
      <c r="I3823" s="55" t="str">
        <f>IFERROR(IF($G3823="","",VLOOKUP('Dashboard And Emails Automate'!$G3823,Database!$H:$N,3,0)),"")</f>
        <v/>
      </c>
      <c r="J3823" s="55" t="str">
        <f>IFERROR(IF($G3823="","",VLOOKUP('Dashboard And Emails Automate'!$G3823,Database!$H:$N,4,0)),"")</f>
        <v/>
      </c>
      <c r="K3823" s="55" t="str">
        <f>IFERROR(IF($G3823="","",VLOOKUP('Dashboard And Emails Automate'!$G3823,Database!$H:$N,5,0)),"")</f>
        <v/>
      </c>
      <c r="L3823" s="55" t="str">
        <f>IFERROR(IF($G3823="","",VLOOKUP('Dashboard And Emails Automate'!$G3823,Database!$H:$N,6,0)),"")</f>
        <v/>
      </c>
      <c r="M3823" s="55" t="str">
        <f>IFERROR(IF($G3823="","",VLOOKUP('Dashboard And Emails Automate'!$G3823,Database!$H:$N,7,0)),"")</f>
        <v/>
      </c>
      <c r="N3823" s="55" t="str">
        <f>IFERROR(IF(OR($B3823="",$B3823="(blank)"),"",VLOOKUP($B3823,'Email Marketing Raw Data'!$C:$O,6,0)),"")</f>
        <v/>
      </c>
      <c r="O3823" s="55" t="str">
        <f>IFERROR(IF(OR($B3823="",$B3823="(blank)"),"",VLOOKUP($B3823,'Email Marketing Raw Data'!$C:$O,7,0)),"")</f>
        <v/>
      </c>
      <c r="P3823" s="55" t="str">
        <f>IFERROR(IF(OR($B3823="",$B3823="(blank)"),"",VLOOKUP($B3823,'Email Marketing Raw Data'!$C:$O,8,0)),"")</f>
        <v/>
      </c>
      <c r="Q3823" s="62" t="str">
        <f>IFERROR(IF(OR($B3823="",$B3823="(blank)"),"",VLOOKUP($B3823,'Email Marketing Raw Data'!$C:$O,9,0)),"")</f>
        <v/>
      </c>
    </row>
    <row r="3824" spans="4:17" ht="12.75" customHeight="1" x14ac:dyDescent="0.2">
      <c r="D3824" s="58" t="str">
        <f>IFERROR(IF(F3824&lt;&gt;"pending","",IF(OR($B3824="",$B3824="(blank)"),"",VLOOKUP($B3824,'Email Marketing Raw Data'!$C:$O,10,0))),"")</f>
        <v/>
      </c>
      <c r="E3824" s="59" t="str">
        <f>IFERROR(IF(F3824&lt;&gt;"pending","",IF(OR($B3824="",$B3824="(blank)"),"",VLOOKUP($B3824,'Email Marketing Raw Data'!$C:$O,11,0))),"")</f>
        <v/>
      </c>
      <c r="F3824" s="54" t="str">
        <f>IFERROR(IF(OR($B3824="",$B3824="(blank)"),"",VLOOKUP($B3824,'Email Marketing Raw Data'!$C:$O,13,0)),"")</f>
        <v/>
      </c>
      <c r="G3824" s="55" t="str">
        <f>IFERROR(IF(OR($B3824="",$B3824="(blank)"),"",VLOOKUP($B3824,'Email Marketing Raw Data'!$C:$O,4,0)),"")</f>
        <v/>
      </c>
      <c r="H3824" s="55" t="str">
        <f>IFERROR(IF(OR($B3824="",$B3824="(blank)"),"",VLOOKUP($B3824,'Email Marketing Raw Data'!$C:$O,5,0)),"")</f>
        <v/>
      </c>
      <c r="I3824" s="55" t="str">
        <f>IFERROR(IF($G3824="","",VLOOKUP('Dashboard And Emails Automate'!$G3824,Database!$H:$N,3,0)),"")</f>
        <v/>
      </c>
      <c r="J3824" s="55" t="str">
        <f>IFERROR(IF($G3824="","",VLOOKUP('Dashboard And Emails Automate'!$G3824,Database!$H:$N,4,0)),"")</f>
        <v/>
      </c>
      <c r="K3824" s="55" t="str">
        <f>IFERROR(IF($G3824="","",VLOOKUP('Dashboard And Emails Automate'!$G3824,Database!$H:$N,5,0)),"")</f>
        <v/>
      </c>
      <c r="L3824" s="55" t="str">
        <f>IFERROR(IF($G3824="","",VLOOKUP('Dashboard And Emails Automate'!$G3824,Database!$H:$N,6,0)),"")</f>
        <v/>
      </c>
      <c r="M3824" s="55" t="str">
        <f>IFERROR(IF($G3824="","",VLOOKUP('Dashboard And Emails Automate'!$G3824,Database!$H:$N,7,0)),"")</f>
        <v/>
      </c>
      <c r="N3824" s="55" t="str">
        <f>IFERROR(IF(OR($B3824="",$B3824="(blank)"),"",VLOOKUP($B3824,'Email Marketing Raw Data'!$C:$O,6,0)),"")</f>
        <v/>
      </c>
      <c r="O3824" s="55" t="str">
        <f>IFERROR(IF(OR($B3824="",$B3824="(blank)"),"",VLOOKUP($B3824,'Email Marketing Raw Data'!$C:$O,7,0)),"")</f>
        <v/>
      </c>
      <c r="P3824" s="55" t="str">
        <f>IFERROR(IF(OR($B3824="",$B3824="(blank)"),"",VLOOKUP($B3824,'Email Marketing Raw Data'!$C:$O,8,0)),"")</f>
        <v/>
      </c>
      <c r="Q3824" s="62" t="str">
        <f>IFERROR(IF(OR($B3824="",$B3824="(blank)"),"",VLOOKUP($B3824,'Email Marketing Raw Data'!$C:$O,9,0)),"")</f>
        <v/>
      </c>
    </row>
    <row r="3825" spans="4:17" ht="12.75" customHeight="1" x14ac:dyDescent="0.2">
      <c r="D3825" s="58" t="str">
        <f>IFERROR(IF(F3825&lt;&gt;"pending","",IF(OR($B3825="",$B3825="(blank)"),"",VLOOKUP($B3825,'Email Marketing Raw Data'!$C:$O,10,0))),"")</f>
        <v/>
      </c>
      <c r="E3825" s="59" t="str">
        <f>IFERROR(IF(F3825&lt;&gt;"pending","",IF(OR($B3825="",$B3825="(blank)"),"",VLOOKUP($B3825,'Email Marketing Raw Data'!$C:$O,11,0))),"")</f>
        <v/>
      </c>
      <c r="F3825" s="54" t="str">
        <f>IFERROR(IF(OR($B3825="",$B3825="(blank)"),"",VLOOKUP($B3825,'Email Marketing Raw Data'!$C:$O,13,0)),"")</f>
        <v/>
      </c>
      <c r="G3825" s="55" t="str">
        <f>IFERROR(IF(OR($B3825="",$B3825="(blank)"),"",VLOOKUP($B3825,'Email Marketing Raw Data'!$C:$O,4,0)),"")</f>
        <v/>
      </c>
      <c r="H3825" s="55" t="str">
        <f>IFERROR(IF(OR($B3825="",$B3825="(blank)"),"",VLOOKUP($B3825,'Email Marketing Raw Data'!$C:$O,5,0)),"")</f>
        <v/>
      </c>
      <c r="I3825" s="55" t="str">
        <f>IFERROR(IF($G3825="","",VLOOKUP('Dashboard And Emails Automate'!$G3825,Database!$H:$N,3,0)),"")</f>
        <v/>
      </c>
      <c r="J3825" s="55" t="str">
        <f>IFERROR(IF($G3825="","",VLOOKUP('Dashboard And Emails Automate'!$G3825,Database!$H:$N,4,0)),"")</f>
        <v/>
      </c>
      <c r="K3825" s="55" t="str">
        <f>IFERROR(IF($G3825="","",VLOOKUP('Dashboard And Emails Automate'!$G3825,Database!$H:$N,5,0)),"")</f>
        <v/>
      </c>
      <c r="L3825" s="55" t="str">
        <f>IFERROR(IF($G3825="","",VLOOKUP('Dashboard And Emails Automate'!$G3825,Database!$H:$N,6,0)),"")</f>
        <v/>
      </c>
      <c r="M3825" s="55" t="str">
        <f>IFERROR(IF($G3825="","",VLOOKUP('Dashboard And Emails Automate'!$G3825,Database!$H:$N,7,0)),"")</f>
        <v/>
      </c>
      <c r="N3825" s="55" t="str">
        <f>IFERROR(IF(OR($B3825="",$B3825="(blank)"),"",VLOOKUP($B3825,'Email Marketing Raw Data'!$C:$O,6,0)),"")</f>
        <v/>
      </c>
      <c r="O3825" s="55" t="str">
        <f>IFERROR(IF(OR($B3825="",$B3825="(blank)"),"",VLOOKUP($B3825,'Email Marketing Raw Data'!$C:$O,7,0)),"")</f>
        <v/>
      </c>
      <c r="P3825" s="55" t="str">
        <f>IFERROR(IF(OR($B3825="",$B3825="(blank)"),"",VLOOKUP($B3825,'Email Marketing Raw Data'!$C:$O,8,0)),"")</f>
        <v/>
      </c>
      <c r="Q3825" s="62" t="str">
        <f>IFERROR(IF(OR($B3825="",$B3825="(blank)"),"",VLOOKUP($B3825,'Email Marketing Raw Data'!$C:$O,9,0)),"")</f>
        <v/>
      </c>
    </row>
    <row r="3826" spans="4:17" ht="12.75" customHeight="1" x14ac:dyDescent="0.2">
      <c r="D3826" s="58" t="str">
        <f>IFERROR(IF(F3826&lt;&gt;"pending","",IF(OR($B3826="",$B3826="(blank)"),"",VLOOKUP($B3826,'Email Marketing Raw Data'!$C:$O,10,0))),"")</f>
        <v/>
      </c>
      <c r="E3826" s="59" t="str">
        <f>IFERROR(IF(F3826&lt;&gt;"pending","",IF(OR($B3826="",$B3826="(blank)"),"",VLOOKUP($B3826,'Email Marketing Raw Data'!$C:$O,11,0))),"")</f>
        <v/>
      </c>
      <c r="F3826" s="54" t="str">
        <f>IFERROR(IF(OR($B3826="",$B3826="(blank)"),"",VLOOKUP($B3826,'Email Marketing Raw Data'!$C:$O,13,0)),"")</f>
        <v/>
      </c>
      <c r="G3826" s="55" t="str">
        <f>IFERROR(IF(OR($B3826="",$B3826="(blank)"),"",VLOOKUP($B3826,'Email Marketing Raw Data'!$C:$O,4,0)),"")</f>
        <v/>
      </c>
      <c r="H3826" s="55" t="str">
        <f>IFERROR(IF(OR($B3826="",$B3826="(blank)"),"",VLOOKUP($B3826,'Email Marketing Raw Data'!$C:$O,5,0)),"")</f>
        <v/>
      </c>
      <c r="I3826" s="55" t="str">
        <f>IFERROR(IF($G3826="","",VLOOKUP('Dashboard And Emails Automate'!$G3826,Database!$H:$N,3,0)),"")</f>
        <v/>
      </c>
      <c r="J3826" s="55" t="str">
        <f>IFERROR(IF($G3826="","",VLOOKUP('Dashboard And Emails Automate'!$G3826,Database!$H:$N,4,0)),"")</f>
        <v/>
      </c>
      <c r="K3826" s="55" t="str">
        <f>IFERROR(IF($G3826="","",VLOOKUP('Dashboard And Emails Automate'!$G3826,Database!$H:$N,5,0)),"")</f>
        <v/>
      </c>
      <c r="L3826" s="55" t="str">
        <f>IFERROR(IF($G3826="","",VLOOKUP('Dashboard And Emails Automate'!$G3826,Database!$H:$N,6,0)),"")</f>
        <v/>
      </c>
      <c r="M3826" s="55" t="str">
        <f>IFERROR(IF($G3826="","",VLOOKUP('Dashboard And Emails Automate'!$G3826,Database!$H:$N,7,0)),"")</f>
        <v/>
      </c>
      <c r="N3826" s="55" t="str">
        <f>IFERROR(IF(OR($B3826="",$B3826="(blank)"),"",VLOOKUP($B3826,'Email Marketing Raw Data'!$C:$O,6,0)),"")</f>
        <v/>
      </c>
      <c r="O3826" s="55" t="str">
        <f>IFERROR(IF(OR($B3826="",$B3826="(blank)"),"",VLOOKUP($B3826,'Email Marketing Raw Data'!$C:$O,7,0)),"")</f>
        <v/>
      </c>
      <c r="P3826" s="55" t="str">
        <f>IFERROR(IF(OR($B3826="",$B3826="(blank)"),"",VLOOKUP($B3826,'Email Marketing Raw Data'!$C:$O,8,0)),"")</f>
        <v/>
      </c>
      <c r="Q3826" s="62" t="str">
        <f>IFERROR(IF(OR($B3826="",$B3826="(blank)"),"",VLOOKUP($B3826,'Email Marketing Raw Data'!$C:$O,9,0)),"")</f>
        <v/>
      </c>
    </row>
    <row r="3827" spans="4:17" ht="12.75" customHeight="1" x14ac:dyDescent="0.2">
      <c r="D3827" s="58" t="str">
        <f>IFERROR(IF(F3827&lt;&gt;"pending","",IF(OR($B3827="",$B3827="(blank)"),"",VLOOKUP($B3827,'Email Marketing Raw Data'!$C:$O,10,0))),"")</f>
        <v/>
      </c>
      <c r="E3827" s="59" t="str">
        <f>IFERROR(IF(F3827&lt;&gt;"pending","",IF(OR($B3827="",$B3827="(blank)"),"",VLOOKUP($B3827,'Email Marketing Raw Data'!$C:$O,11,0))),"")</f>
        <v/>
      </c>
      <c r="F3827" s="54" t="str">
        <f>IFERROR(IF(OR($B3827="",$B3827="(blank)"),"",VLOOKUP($B3827,'Email Marketing Raw Data'!$C:$O,13,0)),"")</f>
        <v/>
      </c>
      <c r="G3827" s="55" t="str">
        <f>IFERROR(IF(OR($B3827="",$B3827="(blank)"),"",VLOOKUP($B3827,'Email Marketing Raw Data'!$C:$O,4,0)),"")</f>
        <v/>
      </c>
      <c r="H3827" s="55" t="str">
        <f>IFERROR(IF(OR($B3827="",$B3827="(blank)"),"",VLOOKUP($B3827,'Email Marketing Raw Data'!$C:$O,5,0)),"")</f>
        <v/>
      </c>
      <c r="I3827" s="55" t="str">
        <f>IFERROR(IF($G3827="","",VLOOKUP('Dashboard And Emails Automate'!$G3827,Database!$H:$N,3,0)),"")</f>
        <v/>
      </c>
      <c r="J3827" s="55" t="str">
        <f>IFERROR(IF($G3827="","",VLOOKUP('Dashboard And Emails Automate'!$G3827,Database!$H:$N,4,0)),"")</f>
        <v/>
      </c>
      <c r="K3827" s="55" t="str">
        <f>IFERROR(IF($G3827="","",VLOOKUP('Dashboard And Emails Automate'!$G3827,Database!$H:$N,5,0)),"")</f>
        <v/>
      </c>
      <c r="L3827" s="55" t="str">
        <f>IFERROR(IF($G3827="","",VLOOKUP('Dashboard And Emails Automate'!$G3827,Database!$H:$N,6,0)),"")</f>
        <v/>
      </c>
      <c r="M3827" s="55" t="str">
        <f>IFERROR(IF($G3827="","",VLOOKUP('Dashboard And Emails Automate'!$G3827,Database!$H:$N,7,0)),"")</f>
        <v/>
      </c>
      <c r="N3827" s="55" t="str">
        <f>IFERROR(IF(OR($B3827="",$B3827="(blank)"),"",VLOOKUP($B3827,'Email Marketing Raw Data'!$C:$O,6,0)),"")</f>
        <v/>
      </c>
      <c r="O3827" s="55" t="str">
        <f>IFERROR(IF(OR($B3827="",$B3827="(blank)"),"",VLOOKUP($B3827,'Email Marketing Raw Data'!$C:$O,7,0)),"")</f>
        <v/>
      </c>
      <c r="P3827" s="55" t="str">
        <f>IFERROR(IF(OR($B3827="",$B3827="(blank)"),"",VLOOKUP($B3827,'Email Marketing Raw Data'!$C:$O,8,0)),"")</f>
        <v/>
      </c>
      <c r="Q3827" s="62" t="str">
        <f>IFERROR(IF(OR($B3827="",$B3827="(blank)"),"",VLOOKUP($B3827,'Email Marketing Raw Data'!$C:$O,9,0)),"")</f>
        <v/>
      </c>
    </row>
    <row r="3828" spans="4:17" ht="12.75" customHeight="1" x14ac:dyDescent="0.2">
      <c r="D3828" s="58" t="str">
        <f>IFERROR(IF(F3828&lt;&gt;"pending","",IF(OR($B3828="",$B3828="(blank)"),"",VLOOKUP($B3828,'Email Marketing Raw Data'!$C:$O,10,0))),"")</f>
        <v/>
      </c>
      <c r="E3828" s="59" t="str">
        <f>IFERROR(IF(F3828&lt;&gt;"pending","",IF(OR($B3828="",$B3828="(blank)"),"",VLOOKUP($B3828,'Email Marketing Raw Data'!$C:$O,11,0))),"")</f>
        <v/>
      </c>
      <c r="F3828" s="54" t="str">
        <f>IFERROR(IF(OR($B3828="",$B3828="(blank)"),"",VLOOKUP($B3828,'Email Marketing Raw Data'!$C:$O,13,0)),"")</f>
        <v/>
      </c>
      <c r="G3828" s="55" t="str">
        <f>IFERROR(IF(OR($B3828="",$B3828="(blank)"),"",VLOOKUP($B3828,'Email Marketing Raw Data'!$C:$O,4,0)),"")</f>
        <v/>
      </c>
      <c r="H3828" s="55" t="str">
        <f>IFERROR(IF(OR($B3828="",$B3828="(blank)"),"",VLOOKUP($B3828,'Email Marketing Raw Data'!$C:$O,5,0)),"")</f>
        <v/>
      </c>
      <c r="I3828" s="55" t="str">
        <f>IFERROR(IF($G3828="","",VLOOKUP('Dashboard And Emails Automate'!$G3828,Database!$H:$N,3,0)),"")</f>
        <v/>
      </c>
      <c r="J3828" s="55" t="str">
        <f>IFERROR(IF($G3828="","",VLOOKUP('Dashboard And Emails Automate'!$G3828,Database!$H:$N,4,0)),"")</f>
        <v/>
      </c>
      <c r="K3828" s="55" t="str">
        <f>IFERROR(IF($G3828="","",VLOOKUP('Dashboard And Emails Automate'!$G3828,Database!$H:$N,5,0)),"")</f>
        <v/>
      </c>
      <c r="L3828" s="55" t="str">
        <f>IFERROR(IF($G3828="","",VLOOKUP('Dashboard And Emails Automate'!$G3828,Database!$H:$N,6,0)),"")</f>
        <v/>
      </c>
      <c r="M3828" s="55" t="str">
        <f>IFERROR(IF($G3828="","",VLOOKUP('Dashboard And Emails Automate'!$G3828,Database!$H:$N,7,0)),"")</f>
        <v/>
      </c>
      <c r="N3828" s="55" t="str">
        <f>IFERROR(IF(OR($B3828="",$B3828="(blank)"),"",VLOOKUP($B3828,'Email Marketing Raw Data'!$C:$O,6,0)),"")</f>
        <v/>
      </c>
      <c r="O3828" s="55" t="str">
        <f>IFERROR(IF(OR($B3828="",$B3828="(blank)"),"",VLOOKUP($B3828,'Email Marketing Raw Data'!$C:$O,7,0)),"")</f>
        <v/>
      </c>
      <c r="P3828" s="55" t="str">
        <f>IFERROR(IF(OR($B3828="",$B3828="(blank)"),"",VLOOKUP($B3828,'Email Marketing Raw Data'!$C:$O,8,0)),"")</f>
        <v/>
      </c>
      <c r="Q3828" s="62" t="str">
        <f>IFERROR(IF(OR($B3828="",$B3828="(blank)"),"",VLOOKUP($B3828,'Email Marketing Raw Data'!$C:$O,9,0)),"")</f>
        <v/>
      </c>
    </row>
    <row r="3829" spans="4:17" ht="12.75" customHeight="1" x14ac:dyDescent="0.2">
      <c r="D3829" s="58" t="str">
        <f>IFERROR(IF(F3829&lt;&gt;"pending","",IF(OR($B3829="",$B3829="(blank)"),"",VLOOKUP($B3829,'Email Marketing Raw Data'!$C:$O,10,0))),"")</f>
        <v/>
      </c>
      <c r="E3829" s="59" t="str">
        <f>IFERROR(IF(F3829&lt;&gt;"pending","",IF(OR($B3829="",$B3829="(blank)"),"",VLOOKUP($B3829,'Email Marketing Raw Data'!$C:$O,11,0))),"")</f>
        <v/>
      </c>
      <c r="F3829" s="54" t="str">
        <f>IFERROR(IF(OR($B3829="",$B3829="(blank)"),"",VLOOKUP($B3829,'Email Marketing Raw Data'!$C:$O,13,0)),"")</f>
        <v/>
      </c>
      <c r="G3829" s="55" t="str">
        <f>IFERROR(IF(OR($B3829="",$B3829="(blank)"),"",VLOOKUP($B3829,'Email Marketing Raw Data'!$C:$O,4,0)),"")</f>
        <v/>
      </c>
      <c r="H3829" s="55" t="str">
        <f>IFERROR(IF(OR($B3829="",$B3829="(blank)"),"",VLOOKUP($B3829,'Email Marketing Raw Data'!$C:$O,5,0)),"")</f>
        <v/>
      </c>
      <c r="I3829" s="55" t="str">
        <f>IFERROR(IF($G3829="","",VLOOKUP('Dashboard And Emails Automate'!$G3829,Database!$H:$N,3,0)),"")</f>
        <v/>
      </c>
      <c r="J3829" s="55" t="str">
        <f>IFERROR(IF($G3829="","",VLOOKUP('Dashboard And Emails Automate'!$G3829,Database!$H:$N,4,0)),"")</f>
        <v/>
      </c>
      <c r="K3829" s="55" t="str">
        <f>IFERROR(IF($G3829="","",VLOOKUP('Dashboard And Emails Automate'!$G3829,Database!$H:$N,5,0)),"")</f>
        <v/>
      </c>
      <c r="L3829" s="55" t="str">
        <f>IFERROR(IF($G3829="","",VLOOKUP('Dashboard And Emails Automate'!$G3829,Database!$H:$N,6,0)),"")</f>
        <v/>
      </c>
      <c r="M3829" s="55" t="str">
        <f>IFERROR(IF($G3829="","",VLOOKUP('Dashboard And Emails Automate'!$G3829,Database!$H:$N,7,0)),"")</f>
        <v/>
      </c>
      <c r="N3829" s="55" t="str">
        <f>IFERROR(IF(OR($B3829="",$B3829="(blank)"),"",VLOOKUP($B3829,'Email Marketing Raw Data'!$C:$O,6,0)),"")</f>
        <v/>
      </c>
      <c r="O3829" s="55" t="str">
        <f>IFERROR(IF(OR($B3829="",$B3829="(blank)"),"",VLOOKUP($B3829,'Email Marketing Raw Data'!$C:$O,7,0)),"")</f>
        <v/>
      </c>
      <c r="P3829" s="55" t="str">
        <f>IFERROR(IF(OR($B3829="",$B3829="(blank)"),"",VLOOKUP($B3829,'Email Marketing Raw Data'!$C:$O,8,0)),"")</f>
        <v/>
      </c>
      <c r="Q3829" s="62" t="str">
        <f>IFERROR(IF(OR($B3829="",$B3829="(blank)"),"",VLOOKUP($B3829,'Email Marketing Raw Data'!$C:$O,9,0)),"")</f>
        <v/>
      </c>
    </row>
    <row r="3830" spans="4:17" ht="12.75" customHeight="1" x14ac:dyDescent="0.2">
      <c r="D3830" s="58" t="str">
        <f>IFERROR(IF(F3830&lt;&gt;"pending","",IF(OR($B3830="",$B3830="(blank)"),"",VLOOKUP($B3830,'Email Marketing Raw Data'!$C:$O,10,0))),"")</f>
        <v/>
      </c>
      <c r="E3830" s="59" t="str">
        <f>IFERROR(IF(F3830&lt;&gt;"pending","",IF(OR($B3830="",$B3830="(blank)"),"",VLOOKUP($B3830,'Email Marketing Raw Data'!$C:$O,11,0))),"")</f>
        <v/>
      </c>
      <c r="F3830" s="54" t="str">
        <f>IFERROR(IF(OR($B3830="",$B3830="(blank)"),"",VLOOKUP($B3830,'Email Marketing Raw Data'!$C:$O,13,0)),"")</f>
        <v/>
      </c>
      <c r="G3830" s="55" t="str">
        <f>IFERROR(IF(OR($B3830="",$B3830="(blank)"),"",VLOOKUP($B3830,'Email Marketing Raw Data'!$C:$O,4,0)),"")</f>
        <v/>
      </c>
      <c r="H3830" s="55" t="str">
        <f>IFERROR(IF(OR($B3830="",$B3830="(blank)"),"",VLOOKUP($B3830,'Email Marketing Raw Data'!$C:$O,5,0)),"")</f>
        <v/>
      </c>
      <c r="I3830" s="55" t="str">
        <f>IFERROR(IF($G3830="","",VLOOKUP('Dashboard And Emails Automate'!$G3830,Database!$H:$N,3,0)),"")</f>
        <v/>
      </c>
      <c r="J3830" s="55" t="str">
        <f>IFERROR(IF($G3830="","",VLOOKUP('Dashboard And Emails Automate'!$G3830,Database!$H:$N,4,0)),"")</f>
        <v/>
      </c>
      <c r="K3830" s="55" t="str">
        <f>IFERROR(IF($G3830="","",VLOOKUP('Dashboard And Emails Automate'!$G3830,Database!$H:$N,5,0)),"")</f>
        <v/>
      </c>
      <c r="L3830" s="55" t="str">
        <f>IFERROR(IF($G3830="","",VLOOKUP('Dashboard And Emails Automate'!$G3830,Database!$H:$N,6,0)),"")</f>
        <v/>
      </c>
      <c r="M3830" s="55" t="str">
        <f>IFERROR(IF($G3830="","",VLOOKUP('Dashboard And Emails Automate'!$G3830,Database!$H:$N,7,0)),"")</f>
        <v/>
      </c>
      <c r="N3830" s="55" t="str">
        <f>IFERROR(IF(OR($B3830="",$B3830="(blank)"),"",VLOOKUP($B3830,'Email Marketing Raw Data'!$C:$O,6,0)),"")</f>
        <v/>
      </c>
      <c r="O3830" s="55" t="str">
        <f>IFERROR(IF(OR($B3830="",$B3830="(blank)"),"",VLOOKUP($B3830,'Email Marketing Raw Data'!$C:$O,7,0)),"")</f>
        <v/>
      </c>
      <c r="P3830" s="55" t="str">
        <f>IFERROR(IF(OR($B3830="",$B3830="(blank)"),"",VLOOKUP($B3830,'Email Marketing Raw Data'!$C:$O,8,0)),"")</f>
        <v/>
      </c>
      <c r="Q3830" s="62" t="str">
        <f>IFERROR(IF(OR($B3830="",$B3830="(blank)"),"",VLOOKUP($B3830,'Email Marketing Raw Data'!$C:$O,9,0)),"")</f>
        <v/>
      </c>
    </row>
    <row r="3831" spans="4:17" ht="12.75" customHeight="1" x14ac:dyDescent="0.2">
      <c r="D3831" s="58" t="str">
        <f>IFERROR(IF(F3831&lt;&gt;"pending","",IF(OR($B3831="",$B3831="(blank)"),"",VLOOKUP($B3831,'Email Marketing Raw Data'!$C:$O,10,0))),"")</f>
        <v/>
      </c>
      <c r="E3831" s="59" t="str">
        <f>IFERROR(IF(F3831&lt;&gt;"pending","",IF(OR($B3831="",$B3831="(blank)"),"",VLOOKUP($B3831,'Email Marketing Raw Data'!$C:$O,11,0))),"")</f>
        <v/>
      </c>
      <c r="F3831" s="54" t="str">
        <f>IFERROR(IF(OR($B3831="",$B3831="(blank)"),"",VLOOKUP($B3831,'Email Marketing Raw Data'!$C:$O,13,0)),"")</f>
        <v/>
      </c>
      <c r="G3831" s="55" t="str">
        <f>IFERROR(IF(OR($B3831="",$B3831="(blank)"),"",VLOOKUP($B3831,'Email Marketing Raw Data'!$C:$O,4,0)),"")</f>
        <v/>
      </c>
      <c r="H3831" s="55" t="str">
        <f>IFERROR(IF(OR($B3831="",$B3831="(blank)"),"",VLOOKUP($B3831,'Email Marketing Raw Data'!$C:$O,5,0)),"")</f>
        <v/>
      </c>
      <c r="I3831" s="55" t="str">
        <f>IFERROR(IF($G3831="","",VLOOKUP('Dashboard And Emails Automate'!$G3831,Database!$H:$N,3,0)),"")</f>
        <v/>
      </c>
      <c r="J3831" s="55" t="str">
        <f>IFERROR(IF($G3831="","",VLOOKUP('Dashboard And Emails Automate'!$G3831,Database!$H:$N,4,0)),"")</f>
        <v/>
      </c>
      <c r="K3831" s="55" t="str">
        <f>IFERROR(IF($G3831="","",VLOOKUP('Dashboard And Emails Automate'!$G3831,Database!$H:$N,5,0)),"")</f>
        <v/>
      </c>
      <c r="L3831" s="55" t="str">
        <f>IFERROR(IF($G3831="","",VLOOKUP('Dashboard And Emails Automate'!$G3831,Database!$H:$N,6,0)),"")</f>
        <v/>
      </c>
      <c r="M3831" s="55" t="str">
        <f>IFERROR(IF($G3831="","",VLOOKUP('Dashboard And Emails Automate'!$G3831,Database!$H:$N,7,0)),"")</f>
        <v/>
      </c>
      <c r="N3831" s="55" t="str">
        <f>IFERROR(IF(OR($B3831="",$B3831="(blank)"),"",VLOOKUP($B3831,'Email Marketing Raw Data'!$C:$O,6,0)),"")</f>
        <v/>
      </c>
      <c r="O3831" s="55" t="str">
        <f>IFERROR(IF(OR($B3831="",$B3831="(blank)"),"",VLOOKUP($B3831,'Email Marketing Raw Data'!$C:$O,7,0)),"")</f>
        <v/>
      </c>
      <c r="P3831" s="55" t="str">
        <f>IFERROR(IF(OR($B3831="",$B3831="(blank)"),"",VLOOKUP($B3831,'Email Marketing Raw Data'!$C:$O,8,0)),"")</f>
        <v/>
      </c>
      <c r="Q3831" s="62" t="str">
        <f>IFERROR(IF(OR($B3831="",$B3831="(blank)"),"",VLOOKUP($B3831,'Email Marketing Raw Data'!$C:$O,9,0)),"")</f>
        <v/>
      </c>
    </row>
    <row r="3832" spans="4:17" ht="12.75" customHeight="1" x14ac:dyDescent="0.2">
      <c r="D3832" s="58" t="str">
        <f>IFERROR(IF(F3832&lt;&gt;"pending","",IF(OR($B3832="",$B3832="(blank)"),"",VLOOKUP($B3832,'Email Marketing Raw Data'!$C:$O,10,0))),"")</f>
        <v/>
      </c>
      <c r="E3832" s="59" t="str">
        <f>IFERROR(IF(F3832&lt;&gt;"pending","",IF(OR($B3832="",$B3832="(blank)"),"",VLOOKUP($B3832,'Email Marketing Raw Data'!$C:$O,11,0))),"")</f>
        <v/>
      </c>
      <c r="F3832" s="54" t="str">
        <f>IFERROR(IF(OR($B3832="",$B3832="(blank)"),"",VLOOKUP($B3832,'Email Marketing Raw Data'!$C:$O,13,0)),"")</f>
        <v/>
      </c>
      <c r="G3832" s="55" t="str">
        <f>IFERROR(IF(OR($B3832="",$B3832="(blank)"),"",VLOOKUP($B3832,'Email Marketing Raw Data'!$C:$O,4,0)),"")</f>
        <v/>
      </c>
      <c r="H3832" s="55" t="str">
        <f>IFERROR(IF(OR($B3832="",$B3832="(blank)"),"",VLOOKUP($B3832,'Email Marketing Raw Data'!$C:$O,5,0)),"")</f>
        <v/>
      </c>
      <c r="I3832" s="55" t="str">
        <f>IFERROR(IF($G3832="","",VLOOKUP('Dashboard And Emails Automate'!$G3832,Database!$H:$N,3,0)),"")</f>
        <v/>
      </c>
      <c r="J3832" s="55" t="str">
        <f>IFERROR(IF($G3832="","",VLOOKUP('Dashboard And Emails Automate'!$G3832,Database!$H:$N,4,0)),"")</f>
        <v/>
      </c>
      <c r="K3832" s="55" t="str">
        <f>IFERROR(IF($G3832="","",VLOOKUP('Dashboard And Emails Automate'!$G3832,Database!$H:$N,5,0)),"")</f>
        <v/>
      </c>
      <c r="L3832" s="55" t="str">
        <f>IFERROR(IF($G3832="","",VLOOKUP('Dashboard And Emails Automate'!$G3832,Database!$H:$N,6,0)),"")</f>
        <v/>
      </c>
      <c r="M3832" s="55" t="str">
        <f>IFERROR(IF($G3832="","",VLOOKUP('Dashboard And Emails Automate'!$G3832,Database!$H:$N,7,0)),"")</f>
        <v/>
      </c>
      <c r="N3832" s="55" t="str">
        <f>IFERROR(IF(OR($B3832="",$B3832="(blank)"),"",VLOOKUP($B3832,'Email Marketing Raw Data'!$C:$O,6,0)),"")</f>
        <v/>
      </c>
      <c r="O3832" s="55" t="str">
        <f>IFERROR(IF(OR($B3832="",$B3832="(blank)"),"",VLOOKUP($B3832,'Email Marketing Raw Data'!$C:$O,7,0)),"")</f>
        <v/>
      </c>
      <c r="P3832" s="55" t="str">
        <f>IFERROR(IF(OR($B3832="",$B3832="(blank)"),"",VLOOKUP($B3832,'Email Marketing Raw Data'!$C:$O,8,0)),"")</f>
        <v/>
      </c>
      <c r="Q3832" s="62" t="str">
        <f>IFERROR(IF(OR($B3832="",$B3832="(blank)"),"",VLOOKUP($B3832,'Email Marketing Raw Data'!$C:$O,9,0)),"")</f>
        <v/>
      </c>
    </row>
    <row r="3833" spans="4:17" ht="12.75" customHeight="1" x14ac:dyDescent="0.2">
      <c r="D3833" s="58" t="str">
        <f>IFERROR(IF(F3833&lt;&gt;"pending","",IF(OR($B3833="",$B3833="(blank)"),"",VLOOKUP($B3833,'Email Marketing Raw Data'!$C:$O,10,0))),"")</f>
        <v/>
      </c>
      <c r="E3833" s="59" t="str">
        <f>IFERROR(IF(F3833&lt;&gt;"pending","",IF(OR($B3833="",$B3833="(blank)"),"",VLOOKUP($B3833,'Email Marketing Raw Data'!$C:$O,11,0))),"")</f>
        <v/>
      </c>
      <c r="F3833" s="54" t="str">
        <f>IFERROR(IF(OR($B3833="",$B3833="(blank)"),"",VLOOKUP($B3833,'Email Marketing Raw Data'!$C:$O,13,0)),"")</f>
        <v/>
      </c>
      <c r="G3833" s="55" t="str">
        <f>IFERROR(IF(OR($B3833="",$B3833="(blank)"),"",VLOOKUP($B3833,'Email Marketing Raw Data'!$C:$O,4,0)),"")</f>
        <v/>
      </c>
      <c r="H3833" s="55" t="str">
        <f>IFERROR(IF(OR($B3833="",$B3833="(blank)"),"",VLOOKUP($B3833,'Email Marketing Raw Data'!$C:$O,5,0)),"")</f>
        <v/>
      </c>
      <c r="I3833" s="55" t="str">
        <f>IFERROR(IF($G3833="","",VLOOKUP('Dashboard And Emails Automate'!$G3833,Database!$H:$N,3,0)),"")</f>
        <v/>
      </c>
      <c r="J3833" s="55" t="str">
        <f>IFERROR(IF($G3833="","",VLOOKUP('Dashboard And Emails Automate'!$G3833,Database!$H:$N,4,0)),"")</f>
        <v/>
      </c>
      <c r="K3833" s="55" t="str">
        <f>IFERROR(IF($G3833="","",VLOOKUP('Dashboard And Emails Automate'!$G3833,Database!$H:$N,5,0)),"")</f>
        <v/>
      </c>
      <c r="L3833" s="55" t="str">
        <f>IFERROR(IF($G3833="","",VLOOKUP('Dashboard And Emails Automate'!$G3833,Database!$H:$N,6,0)),"")</f>
        <v/>
      </c>
      <c r="M3833" s="55" t="str">
        <f>IFERROR(IF($G3833="","",VLOOKUP('Dashboard And Emails Automate'!$G3833,Database!$H:$N,7,0)),"")</f>
        <v/>
      </c>
      <c r="N3833" s="55" t="str">
        <f>IFERROR(IF(OR($B3833="",$B3833="(blank)"),"",VLOOKUP($B3833,'Email Marketing Raw Data'!$C:$O,6,0)),"")</f>
        <v/>
      </c>
      <c r="O3833" s="55" t="str">
        <f>IFERROR(IF(OR($B3833="",$B3833="(blank)"),"",VLOOKUP($B3833,'Email Marketing Raw Data'!$C:$O,7,0)),"")</f>
        <v/>
      </c>
      <c r="P3833" s="55" t="str">
        <f>IFERROR(IF(OR($B3833="",$B3833="(blank)"),"",VLOOKUP($B3833,'Email Marketing Raw Data'!$C:$O,8,0)),"")</f>
        <v/>
      </c>
      <c r="Q3833" s="62" t="str">
        <f>IFERROR(IF(OR($B3833="",$B3833="(blank)"),"",VLOOKUP($B3833,'Email Marketing Raw Data'!$C:$O,9,0)),"")</f>
        <v/>
      </c>
    </row>
    <row r="3834" spans="4:17" ht="12.75" customHeight="1" x14ac:dyDescent="0.2">
      <c r="D3834" s="58" t="str">
        <f>IFERROR(IF(F3834&lt;&gt;"pending","",IF(OR($B3834="",$B3834="(blank)"),"",VLOOKUP($B3834,'Email Marketing Raw Data'!$C:$O,10,0))),"")</f>
        <v/>
      </c>
      <c r="E3834" s="59" t="str">
        <f>IFERROR(IF(F3834&lt;&gt;"pending","",IF(OR($B3834="",$B3834="(blank)"),"",VLOOKUP($B3834,'Email Marketing Raw Data'!$C:$O,11,0))),"")</f>
        <v/>
      </c>
      <c r="F3834" s="54" t="str">
        <f>IFERROR(IF(OR($B3834="",$B3834="(blank)"),"",VLOOKUP($B3834,'Email Marketing Raw Data'!$C:$O,13,0)),"")</f>
        <v/>
      </c>
      <c r="G3834" s="55" t="str">
        <f>IFERROR(IF(OR($B3834="",$B3834="(blank)"),"",VLOOKUP($B3834,'Email Marketing Raw Data'!$C:$O,4,0)),"")</f>
        <v/>
      </c>
      <c r="H3834" s="55" t="str">
        <f>IFERROR(IF(OR($B3834="",$B3834="(blank)"),"",VLOOKUP($B3834,'Email Marketing Raw Data'!$C:$O,5,0)),"")</f>
        <v/>
      </c>
      <c r="I3834" s="55" t="str">
        <f>IFERROR(IF($G3834="","",VLOOKUP('Dashboard And Emails Automate'!$G3834,Database!$H:$N,3,0)),"")</f>
        <v/>
      </c>
      <c r="J3834" s="55" t="str">
        <f>IFERROR(IF($G3834="","",VLOOKUP('Dashboard And Emails Automate'!$G3834,Database!$H:$N,4,0)),"")</f>
        <v/>
      </c>
      <c r="K3834" s="55" t="str">
        <f>IFERROR(IF($G3834="","",VLOOKUP('Dashboard And Emails Automate'!$G3834,Database!$H:$N,5,0)),"")</f>
        <v/>
      </c>
      <c r="L3834" s="55" t="str">
        <f>IFERROR(IF($G3834="","",VLOOKUP('Dashboard And Emails Automate'!$G3834,Database!$H:$N,6,0)),"")</f>
        <v/>
      </c>
      <c r="M3834" s="55" t="str">
        <f>IFERROR(IF($G3834="","",VLOOKUP('Dashboard And Emails Automate'!$G3834,Database!$H:$N,7,0)),"")</f>
        <v/>
      </c>
      <c r="N3834" s="55" t="str">
        <f>IFERROR(IF(OR($B3834="",$B3834="(blank)"),"",VLOOKUP($B3834,'Email Marketing Raw Data'!$C:$O,6,0)),"")</f>
        <v/>
      </c>
      <c r="O3834" s="55" t="str">
        <f>IFERROR(IF(OR($B3834="",$B3834="(blank)"),"",VLOOKUP($B3834,'Email Marketing Raw Data'!$C:$O,7,0)),"")</f>
        <v/>
      </c>
      <c r="P3834" s="55" t="str">
        <f>IFERROR(IF(OR($B3834="",$B3834="(blank)"),"",VLOOKUP($B3834,'Email Marketing Raw Data'!$C:$O,8,0)),"")</f>
        <v/>
      </c>
      <c r="Q3834" s="62" t="str">
        <f>IFERROR(IF(OR($B3834="",$B3834="(blank)"),"",VLOOKUP($B3834,'Email Marketing Raw Data'!$C:$O,9,0)),"")</f>
        <v/>
      </c>
    </row>
    <row r="3835" spans="4:17" ht="12.75" customHeight="1" x14ac:dyDescent="0.2">
      <c r="D3835" s="58" t="str">
        <f>IFERROR(IF(F3835&lt;&gt;"pending","",IF(OR($B3835="",$B3835="(blank)"),"",VLOOKUP($B3835,'Email Marketing Raw Data'!$C:$O,10,0))),"")</f>
        <v/>
      </c>
      <c r="E3835" s="59" t="str">
        <f>IFERROR(IF(F3835&lt;&gt;"pending","",IF(OR($B3835="",$B3835="(blank)"),"",VLOOKUP($B3835,'Email Marketing Raw Data'!$C:$O,11,0))),"")</f>
        <v/>
      </c>
      <c r="F3835" s="54" t="str">
        <f>IFERROR(IF(OR($B3835="",$B3835="(blank)"),"",VLOOKUP($B3835,'Email Marketing Raw Data'!$C:$O,13,0)),"")</f>
        <v/>
      </c>
      <c r="G3835" s="55" t="str">
        <f>IFERROR(IF(OR($B3835="",$B3835="(blank)"),"",VLOOKUP($B3835,'Email Marketing Raw Data'!$C:$O,4,0)),"")</f>
        <v/>
      </c>
      <c r="H3835" s="55" t="str">
        <f>IFERROR(IF(OR($B3835="",$B3835="(blank)"),"",VLOOKUP($B3835,'Email Marketing Raw Data'!$C:$O,5,0)),"")</f>
        <v/>
      </c>
      <c r="I3835" s="55" t="str">
        <f>IFERROR(IF($G3835="","",VLOOKUP('Dashboard And Emails Automate'!$G3835,Database!$H:$N,3,0)),"")</f>
        <v/>
      </c>
      <c r="J3835" s="55" t="str">
        <f>IFERROR(IF($G3835="","",VLOOKUP('Dashboard And Emails Automate'!$G3835,Database!$H:$N,4,0)),"")</f>
        <v/>
      </c>
      <c r="K3835" s="55" t="str">
        <f>IFERROR(IF($G3835="","",VLOOKUP('Dashboard And Emails Automate'!$G3835,Database!$H:$N,5,0)),"")</f>
        <v/>
      </c>
      <c r="L3835" s="55" t="str">
        <f>IFERROR(IF($G3835="","",VLOOKUP('Dashboard And Emails Automate'!$G3835,Database!$H:$N,6,0)),"")</f>
        <v/>
      </c>
      <c r="M3835" s="55" t="str">
        <f>IFERROR(IF($G3835="","",VLOOKUP('Dashboard And Emails Automate'!$G3835,Database!$H:$N,7,0)),"")</f>
        <v/>
      </c>
      <c r="N3835" s="55" t="str">
        <f>IFERROR(IF(OR($B3835="",$B3835="(blank)"),"",VLOOKUP($B3835,'Email Marketing Raw Data'!$C:$O,6,0)),"")</f>
        <v/>
      </c>
      <c r="O3835" s="55" t="str">
        <f>IFERROR(IF(OR($B3835="",$B3835="(blank)"),"",VLOOKUP($B3835,'Email Marketing Raw Data'!$C:$O,7,0)),"")</f>
        <v/>
      </c>
      <c r="P3835" s="55" t="str">
        <f>IFERROR(IF(OR($B3835="",$B3835="(blank)"),"",VLOOKUP($B3835,'Email Marketing Raw Data'!$C:$O,8,0)),"")</f>
        <v/>
      </c>
      <c r="Q3835" s="62" t="str">
        <f>IFERROR(IF(OR($B3835="",$B3835="(blank)"),"",VLOOKUP($B3835,'Email Marketing Raw Data'!$C:$O,9,0)),"")</f>
        <v/>
      </c>
    </row>
    <row r="3836" spans="4:17" ht="12.75" customHeight="1" x14ac:dyDescent="0.2">
      <c r="D3836" s="58" t="str">
        <f>IFERROR(IF(F3836&lt;&gt;"pending","",IF(OR($B3836="",$B3836="(blank)"),"",VLOOKUP($B3836,'Email Marketing Raw Data'!$C:$O,10,0))),"")</f>
        <v/>
      </c>
      <c r="E3836" s="59" t="str">
        <f>IFERROR(IF(F3836&lt;&gt;"pending","",IF(OR($B3836="",$B3836="(blank)"),"",VLOOKUP($B3836,'Email Marketing Raw Data'!$C:$O,11,0))),"")</f>
        <v/>
      </c>
      <c r="F3836" s="54" t="str">
        <f>IFERROR(IF(OR($B3836="",$B3836="(blank)"),"",VLOOKUP($B3836,'Email Marketing Raw Data'!$C:$O,13,0)),"")</f>
        <v/>
      </c>
      <c r="G3836" s="55" t="str">
        <f>IFERROR(IF(OR($B3836="",$B3836="(blank)"),"",VLOOKUP($B3836,'Email Marketing Raw Data'!$C:$O,4,0)),"")</f>
        <v/>
      </c>
      <c r="H3836" s="55" t="str">
        <f>IFERROR(IF(OR($B3836="",$B3836="(blank)"),"",VLOOKUP($B3836,'Email Marketing Raw Data'!$C:$O,5,0)),"")</f>
        <v/>
      </c>
      <c r="I3836" s="55" t="str">
        <f>IFERROR(IF($G3836="","",VLOOKUP('Dashboard And Emails Automate'!$G3836,Database!$H:$N,3,0)),"")</f>
        <v/>
      </c>
      <c r="J3836" s="55" t="str">
        <f>IFERROR(IF($G3836="","",VLOOKUP('Dashboard And Emails Automate'!$G3836,Database!$H:$N,4,0)),"")</f>
        <v/>
      </c>
      <c r="K3836" s="55" t="str">
        <f>IFERROR(IF($G3836="","",VLOOKUP('Dashboard And Emails Automate'!$G3836,Database!$H:$N,5,0)),"")</f>
        <v/>
      </c>
      <c r="L3836" s="55" t="str">
        <f>IFERROR(IF($G3836="","",VLOOKUP('Dashboard And Emails Automate'!$G3836,Database!$H:$N,6,0)),"")</f>
        <v/>
      </c>
      <c r="M3836" s="55" t="str">
        <f>IFERROR(IF($G3836="","",VLOOKUP('Dashboard And Emails Automate'!$G3836,Database!$H:$N,7,0)),"")</f>
        <v/>
      </c>
      <c r="N3836" s="55" t="str">
        <f>IFERROR(IF(OR($B3836="",$B3836="(blank)"),"",VLOOKUP($B3836,'Email Marketing Raw Data'!$C:$O,6,0)),"")</f>
        <v/>
      </c>
      <c r="O3836" s="55" t="str">
        <f>IFERROR(IF(OR($B3836="",$B3836="(blank)"),"",VLOOKUP($B3836,'Email Marketing Raw Data'!$C:$O,7,0)),"")</f>
        <v/>
      </c>
      <c r="P3836" s="55" t="str">
        <f>IFERROR(IF(OR($B3836="",$B3836="(blank)"),"",VLOOKUP($B3836,'Email Marketing Raw Data'!$C:$O,8,0)),"")</f>
        <v/>
      </c>
      <c r="Q3836" s="62" t="str">
        <f>IFERROR(IF(OR($B3836="",$B3836="(blank)"),"",VLOOKUP($B3836,'Email Marketing Raw Data'!$C:$O,9,0)),"")</f>
        <v/>
      </c>
    </row>
    <row r="3837" spans="4:17" ht="12.75" customHeight="1" x14ac:dyDescent="0.2">
      <c r="D3837" s="58" t="str">
        <f>IFERROR(IF(F3837&lt;&gt;"pending","",IF(OR($B3837="",$B3837="(blank)"),"",VLOOKUP($B3837,'Email Marketing Raw Data'!$C:$O,10,0))),"")</f>
        <v/>
      </c>
      <c r="E3837" s="59" t="str">
        <f>IFERROR(IF(F3837&lt;&gt;"pending","",IF(OR($B3837="",$B3837="(blank)"),"",VLOOKUP($B3837,'Email Marketing Raw Data'!$C:$O,11,0))),"")</f>
        <v/>
      </c>
      <c r="F3837" s="54" t="str">
        <f>IFERROR(IF(OR($B3837="",$B3837="(blank)"),"",VLOOKUP($B3837,'Email Marketing Raw Data'!$C:$O,13,0)),"")</f>
        <v/>
      </c>
      <c r="G3837" s="55" t="str">
        <f>IFERROR(IF(OR($B3837="",$B3837="(blank)"),"",VLOOKUP($B3837,'Email Marketing Raw Data'!$C:$O,4,0)),"")</f>
        <v/>
      </c>
      <c r="H3837" s="55" t="str">
        <f>IFERROR(IF(OR($B3837="",$B3837="(blank)"),"",VLOOKUP($B3837,'Email Marketing Raw Data'!$C:$O,5,0)),"")</f>
        <v/>
      </c>
      <c r="I3837" s="55" t="str">
        <f>IFERROR(IF($G3837="","",VLOOKUP('Dashboard And Emails Automate'!$G3837,Database!$H:$N,3,0)),"")</f>
        <v/>
      </c>
      <c r="J3837" s="55" t="str">
        <f>IFERROR(IF($G3837="","",VLOOKUP('Dashboard And Emails Automate'!$G3837,Database!$H:$N,4,0)),"")</f>
        <v/>
      </c>
      <c r="K3837" s="55" t="str">
        <f>IFERROR(IF($G3837="","",VLOOKUP('Dashboard And Emails Automate'!$G3837,Database!$H:$N,5,0)),"")</f>
        <v/>
      </c>
      <c r="L3837" s="55" t="str">
        <f>IFERROR(IF($G3837="","",VLOOKUP('Dashboard And Emails Automate'!$G3837,Database!$H:$N,6,0)),"")</f>
        <v/>
      </c>
      <c r="M3837" s="55" t="str">
        <f>IFERROR(IF($G3837="","",VLOOKUP('Dashboard And Emails Automate'!$G3837,Database!$H:$N,7,0)),"")</f>
        <v/>
      </c>
      <c r="N3837" s="55" t="str">
        <f>IFERROR(IF(OR($B3837="",$B3837="(blank)"),"",VLOOKUP($B3837,'Email Marketing Raw Data'!$C:$O,6,0)),"")</f>
        <v/>
      </c>
      <c r="O3837" s="55" t="str">
        <f>IFERROR(IF(OR($B3837="",$B3837="(blank)"),"",VLOOKUP($B3837,'Email Marketing Raw Data'!$C:$O,7,0)),"")</f>
        <v/>
      </c>
      <c r="P3837" s="55" t="str">
        <f>IFERROR(IF(OR($B3837="",$B3837="(blank)"),"",VLOOKUP($B3837,'Email Marketing Raw Data'!$C:$O,8,0)),"")</f>
        <v/>
      </c>
      <c r="Q3837" s="62" t="str">
        <f>IFERROR(IF(OR($B3837="",$B3837="(blank)"),"",VLOOKUP($B3837,'Email Marketing Raw Data'!$C:$O,9,0)),"")</f>
        <v/>
      </c>
    </row>
    <row r="3838" spans="4:17" ht="12.75" customHeight="1" x14ac:dyDescent="0.2">
      <c r="D3838" s="58" t="str">
        <f>IFERROR(IF(F3838&lt;&gt;"pending","",IF(OR($B3838="",$B3838="(blank)"),"",VLOOKUP($B3838,'Email Marketing Raw Data'!$C:$O,10,0))),"")</f>
        <v/>
      </c>
      <c r="E3838" s="59" t="str">
        <f>IFERROR(IF(F3838&lt;&gt;"pending","",IF(OR($B3838="",$B3838="(blank)"),"",VLOOKUP($B3838,'Email Marketing Raw Data'!$C:$O,11,0))),"")</f>
        <v/>
      </c>
      <c r="F3838" s="54" t="str">
        <f>IFERROR(IF(OR($B3838="",$B3838="(blank)"),"",VLOOKUP($B3838,'Email Marketing Raw Data'!$C:$O,13,0)),"")</f>
        <v/>
      </c>
      <c r="G3838" s="55" t="str">
        <f>IFERROR(IF(OR($B3838="",$B3838="(blank)"),"",VLOOKUP($B3838,'Email Marketing Raw Data'!$C:$O,4,0)),"")</f>
        <v/>
      </c>
      <c r="H3838" s="55" t="str">
        <f>IFERROR(IF(OR($B3838="",$B3838="(blank)"),"",VLOOKUP($B3838,'Email Marketing Raw Data'!$C:$O,5,0)),"")</f>
        <v/>
      </c>
      <c r="I3838" s="55" t="str">
        <f>IFERROR(IF($G3838="","",VLOOKUP('Dashboard And Emails Automate'!$G3838,Database!$H:$N,3,0)),"")</f>
        <v/>
      </c>
      <c r="J3838" s="55" t="str">
        <f>IFERROR(IF($G3838="","",VLOOKUP('Dashboard And Emails Automate'!$G3838,Database!$H:$N,4,0)),"")</f>
        <v/>
      </c>
      <c r="K3838" s="55" t="str">
        <f>IFERROR(IF($G3838="","",VLOOKUP('Dashboard And Emails Automate'!$G3838,Database!$H:$N,5,0)),"")</f>
        <v/>
      </c>
      <c r="L3838" s="55" t="str">
        <f>IFERROR(IF($G3838="","",VLOOKUP('Dashboard And Emails Automate'!$G3838,Database!$H:$N,6,0)),"")</f>
        <v/>
      </c>
      <c r="M3838" s="55" t="str">
        <f>IFERROR(IF($G3838="","",VLOOKUP('Dashboard And Emails Automate'!$G3838,Database!$H:$N,7,0)),"")</f>
        <v/>
      </c>
      <c r="N3838" s="55" t="str">
        <f>IFERROR(IF(OR($B3838="",$B3838="(blank)"),"",VLOOKUP($B3838,'Email Marketing Raw Data'!$C:$O,6,0)),"")</f>
        <v/>
      </c>
      <c r="O3838" s="55" t="str">
        <f>IFERROR(IF(OR($B3838="",$B3838="(blank)"),"",VLOOKUP($B3838,'Email Marketing Raw Data'!$C:$O,7,0)),"")</f>
        <v/>
      </c>
      <c r="P3838" s="55" t="str">
        <f>IFERROR(IF(OR($B3838="",$B3838="(blank)"),"",VLOOKUP($B3838,'Email Marketing Raw Data'!$C:$O,8,0)),"")</f>
        <v/>
      </c>
      <c r="Q3838" s="62" t="str">
        <f>IFERROR(IF(OR($B3838="",$B3838="(blank)"),"",VLOOKUP($B3838,'Email Marketing Raw Data'!$C:$O,9,0)),"")</f>
        <v/>
      </c>
    </row>
    <row r="3839" spans="4:17" ht="12.75" customHeight="1" x14ac:dyDescent="0.2">
      <c r="D3839" s="58" t="str">
        <f>IFERROR(IF(F3839&lt;&gt;"pending","",IF(OR($B3839="",$B3839="(blank)"),"",VLOOKUP($B3839,'Email Marketing Raw Data'!$C:$O,10,0))),"")</f>
        <v/>
      </c>
      <c r="E3839" s="59" t="str">
        <f>IFERROR(IF(F3839&lt;&gt;"pending","",IF(OR($B3839="",$B3839="(blank)"),"",VLOOKUP($B3839,'Email Marketing Raw Data'!$C:$O,11,0))),"")</f>
        <v/>
      </c>
      <c r="F3839" s="54" t="str">
        <f>IFERROR(IF(OR($B3839="",$B3839="(blank)"),"",VLOOKUP($B3839,'Email Marketing Raw Data'!$C:$O,13,0)),"")</f>
        <v/>
      </c>
      <c r="G3839" s="55" t="str">
        <f>IFERROR(IF(OR($B3839="",$B3839="(blank)"),"",VLOOKUP($B3839,'Email Marketing Raw Data'!$C:$O,4,0)),"")</f>
        <v/>
      </c>
      <c r="H3839" s="55" t="str">
        <f>IFERROR(IF(OR($B3839="",$B3839="(blank)"),"",VLOOKUP($B3839,'Email Marketing Raw Data'!$C:$O,5,0)),"")</f>
        <v/>
      </c>
      <c r="I3839" s="55" t="str">
        <f>IFERROR(IF($G3839="","",VLOOKUP('Dashboard And Emails Automate'!$G3839,Database!$H:$N,3,0)),"")</f>
        <v/>
      </c>
      <c r="J3839" s="55" t="str">
        <f>IFERROR(IF($G3839="","",VLOOKUP('Dashboard And Emails Automate'!$G3839,Database!$H:$N,4,0)),"")</f>
        <v/>
      </c>
      <c r="K3839" s="55" t="str">
        <f>IFERROR(IF($G3839="","",VLOOKUP('Dashboard And Emails Automate'!$G3839,Database!$H:$N,5,0)),"")</f>
        <v/>
      </c>
      <c r="L3839" s="55" t="str">
        <f>IFERROR(IF($G3839="","",VLOOKUP('Dashboard And Emails Automate'!$G3839,Database!$H:$N,6,0)),"")</f>
        <v/>
      </c>
      <c r="M3839" s="55" t="str">
        <f>IFERROR(IF($G3839="","",VLOOKUP('Dashboard And Emails Automate'!$G3839,Database!$H:$N,7,0)),"")</f>
        <v/>
      </c>
      <c r="N3839" s="55" t="str">
        <f>IFERROR(IF(OR($B3839="",$B3839="(blank)"),"",VLOOKUP($B3839,'Email Marketing Raw Data'!$C:$O,6,0)),"")</f>
        <v/>
      </c>
      <c r="O3839" s="55" t="str">
        <f>IFERROR(IF(OR($B3839="",$B3839="(blank)"),"",VLOOKUP($B3839,'Email Marketing Raw Data'!$C:$O,7,0)),"")</f>
        <v/>
      </c>
      <c r="P3839" s="55" t="str">
        <f>IFERROR(IF(OR($B3839="",$B3839="(blank)"),"",VLOOKUP($B3839,'Email Marketing Raw Data'!$C:$O,8,0)),"")</f>
        <v/>
      </c>
      <c r="Q3839" s="62" t="str">
        <f>IFERROR(IF(OR($B3839="",$B3839="(blank)"),"",VLOOKUP($B3839,'Email Marketing Raw Data'!$C:$O,9,0)),"")</f>
        <v/>
      </c>
    </row>
    <row r="3840" spans="4:17" ht="12.75" customHeight="1" x14ac:dyDescent="0.2">
      <c r="D3840" s="58" t="str">
        <f>IFERROR(IF(F3840&lt;&gt;"pending","",IF(OR($B3840="",$B3840="(blank)"),"",VLOOKUP($B3840,'Email Marketing Raw Data'!$C:$O,10,0))),"")</f>
        <v/>
      </c>
      <c r="E3840" s="59" t="str">
        <f>IFERROR(IF(F3840&lt;&gt;"pending","",IF(OR($B3840="",$B3840="(blank)"),"",VLOOKUP($B3840,'Email Marketing Raw Data'!$C:$O,11,0))),"")</f>
        <v/>
      </c>
      <c r="F3840" s="54" t="str">
        <f>IFERROR(IF(OR($B3840="",$B3840="(blank)"),"",VLOOKUP($B3840,'Email Marketing Raw Data'!$C:$O,13,0)),"")</f>
        <v/>
      </c>
      <c r="G3840" s="55" t="str">
        <f>IFERROR(IF(OR($B3840="",$B3840="(blank)"),"",VLOOKUP($B3840,'Email Marketing Raw Data'!$C:$O,4,0)),"")</f>
        <v/>
      </c>
      <c r="H3840" s="55" t="str">
        <f>IFERROR(IF(OR($B3840="",$B3840="(blank)"),"",VLOOKUP($B3840,'Email Marketing Raw Data'!$C:$O,5,0)),"")</f>
        <v/>
      </c>
      <c r="I3840" s="55" t="str">
        <f>IFERROR(IF($G3840="","",VLOOKUP('Dashboard And Emails Automate'!$G3840,Database!$H:$N,3,0)),"")</f>
        <v/>
      </c>
      <c r="J3840" s="55" t="str">
        <f>IFERROR(IF($G3840="","",VLOOKUP('Dashboard And Emails Automate'!$G3840,Database!$H:$N,4,0)),"")</f>
        <v/>
      </c>
      <c r="K3840" s="55" t="str">
        <f>IFERROR(IF($G3840="","",VLOOKUP('Dashboard And Emails Automate'!$G3840,Database!$H:$N,5,0)),"")</f>
        <v/>
      </c>
      <c r="L3840" s="55" t="str">
        <f>IFERROR(IF($G3840="","",VLOOKUP('Dashboard And Emails Automate'!$G3840,Database!$H:$N,6,0)),"")</f>
        <v/>
      </c>
      <c r="M3840" s="55" t="str">
        <f>IFERROR(IF($G3840="","",VLOOKUP('Dashboard And Emails Automate'!$G3840,Database!$H:$N,7,0)),"")</f>
        <v/>
      </c>
      <c r="N3840" s="55" t="str">
        <f>IFERROR(IF(OR($B3840="",$B3840="(blank)"),"",VLOOKUP($B3840,'Email Marketing Raw Data'!$C:$O,6,0)),"")</f>
        <v/>
      </c>
      <c r="O3840" s="55" t="str">
        <f>IFERROR(IF(OR($B3840="",$B3840="(blank)"),"",VLOOKUP($B3840,'Email Marketing Raw Data'!$C:$O,7,0)),"")</f>
        <v/>
      </c>
      <c r="P3840" s="55" t="str">
        <f>IFERROR(IF(OR($B3840="",$B3840="(blank)"),"",VLOOKUP($B3840,'Email Marketing Raw Data'!$C:$O,8,0)),"")</f>
        <v/>
      </c>
      <c r="Q3840" s="62" t="str">
        <f>IFERROR(IF(OR($B3840="",$B3840="(blank)"),"",VLOOKUP($B3840,'Email Marketing Raw Data'!$C:$O,9,0)),"")</f>
        <v/>
      </c>
    </row>
    <row r="3841" spans="4:17" ht="12.75" customHeight="1" x14ac:dyDescent="0.2">
      <c r="D3841" s="58" t="str">
        <f>IFERROR(IF(F3841&lt;&gt;"pending","",IF(OR($B3841="",$B3841="(blank)"),"",VLOOKUP($B3841,'Email Marketing Raw Data'!$C:$O,10,0))),"")</f>
        <v/>
      </c>
      <c r="E3841" s="59" t="str">
        <f>IFERROR(IF(F3841&lt;&gt;"pending","",IF(OR($B3841="",$B3841="(blank)"),"",VLOOKUP($B3841,'Email Marketing Raw Data'!$C:$O,11,0))),"")</f>
        <v/>
      </c>
      <c r="F3841" s="54" t="str">
        <f>IFERROR(IF(OR($B3841="",$B3841="(blank)"),"",VLOOKUP($B3841,'Email Marketing Raw Data'!$C:$O,13,0)),"")</f>
        <v/>
      </c>
      <c r="G3841" s="55" t="str">
        <f>IFERROR(IF(OR($B3841="",$B3841="(blank)"),"",VLOOKUP($B3841,'Email Marketing Raw Data'!$C:$O,4,0)),"")</f>
        <v/>
      </c>
      <c r="H3841" s="55" t="str">
        <f>IFERROR(IF(OR($B3841="",$B3841="(blank)"),"",VLOOKUP($B3841,'Email Marketing Raw Data'!$C:$O,5,0)),"")</f>
        <v/>
      </c>
      <c r="I3841" s="55" t="str">
        <f>IFERROR(IF($G3841="","",VLOOKUP('Dashboard And Emails Automate'!$G3841,Database!$H:$N,3,0)),"")</f>
        <v/>
      </c>
      <c r="J3841" s="55" t="str">
        <f>IFERROR(IF($G3841="","",VLOOKUP('Dashboard And Emails Automate'!$G3841,Database!$H:$N,4,0)),"")</f>
        <v/>
      </c>
      <c r="K3841" s="55" t="str">
        <f>IFERROR(IF($G3841="","",VLOOKUP('Dashboard And Emails Automate'!$G3841,Database!$H:$N,5,0)),"")</f>
        <v/>
      </c>
      <c r="L3841" s="55" t="str">
        <f>IFERROR(IF($G3841="","",VLOOKUP('Dashboard And Emails Automate'!$G3841,Database!$H:$N,6,0)),"")</f>
        <v/>
      </c>
      <c r="M3841" s="55" t="str">
        <f>IFERROR(IF($G3841="","",VLOOKUP('Dashboard And Emails Automate'!$G3841,Database!$H:$N,7,0)),"")</f>
        <v/>
      </c>
      <c r="N3841" s="55" t="str">
        <f>IFERROR(IF(OR($B3841="",$B3841="(blank)"),"",VLOOKUP($B3841,'Email Marketing Raw Data'!$C:$O,6,0)),"")</f>
        <v/>
      </c>
      <c r="O3841" s="55" t="str">
        <f>IFERROR(IF(OR($B3841="",$B3841="(blank)"),"",VLOOKUP($B3841,'Email Marketing Raw Data'!$C:$O,7,0)),"")</f>
        <v/>
      </c>
      <c r="P3841" s="55" t="str">
        <f>IFERROR(IF(OR($B3841="",$B3841="(blank)"),"",VLOOKUP($B3841,'Email Marketing Raw Data'!$C:$O,8,0)),"")</f>
        <v/>
      </c>
      <c r="Q3841" s="62" t="str">
        <f>IFERROR(IF(OR($B3841="",$B3841="(blank)"),"",VLOOKUP($B3841,'Email Marketing Raw Data'!$C:$O,9,0)),"")</f>
        <v/>
      </c>
    </row>
    <row r="3842" spans="4:17" ht="12.75" customHeight="1" x14ac:dyDescent="0.2">
      <c r="D3842" s="58" t="str">
        <f>IFERROR(IF(F3842&lt;&gt;"pending","",IF(OR($B3842="",$B3842="(blank)"),"",VLOOKUP($B3842,'Email Marketing Raw Data'!$C:$O,10,0))),"")</f>
        <v/>
      </c>
      <c r="E3842" s="59" t="str">
        <f>IFERROR(IF(F3842&lt;&gt;"pending","",IF(OR($B3842="",$B3842="(blank)"),"",VLOOKUP($B3842,'Email Marketing Raw Data'!$C:$O,11,0))),"")</f>
        <v/>
      </c>
      <c r="F3842" s="54" t="str">
        <f>IFERROR(IF(OR($B3842="",$B3842="(blank)"),"",VLOOKUP($B3842,'Email Marketing Raw Data'!$C:$O,13,0)),"")</f>
        <v/>
      </c>
      <c r="G3842" s="55" t="str">
        <f>IFERROR(IF(OR($B3842="",$B3842="(blank)"),"",VLOOKUP($B3842,'Email Marketing Raw Data'!$C:$O,4,0)),"")</f>
        <v/>
      </c>
      <c r="H3842" s="55" t="str">
        <f>IFERROR(IF(OR($B3842="",$B3842="(blank)"),"",VLOOKUP($B3842,'Email Marketing Raw Data'!$C:$O,5,0)),"")</f>
        <v/>
      </c>
      <c r="I3842" s="55" t="str">
        <f>IFERROR(IF($G3842="","",VLOOKUP('Dashboard And Emails Automate'!$G3842,Database!$H:$N,3,0)),"")</f>
        <v/>
      </c>
      <c r="J3842" s="55" t="str">
        <f>IFERROR(IF($G3842="","",VLOOKUP('Dashboard And Emails Automate'!$G3842,Database!$H:$N,4,0)),"")</f>
        <v/>
      </c>
      <c r="K3842" s="55" t="str">
        <f>IFERROR(IF($G3842="","",VLOOKUP('Dashboard And Emails Automate'!$G3842,Database!$H:$N,5,0)),"")</f>
        <v/>
      </c>
      <c r="L3842" s="55" t="str">
        <f>IFERROR(IF($G3842="","",VLOOKUP('Dashboard And Emails Automate'!$G3842,Database!$H:$N,6,0)),"")</f>
        <v/>
      </c>
      <c r="M3842" s="55" t="str">
        <f>IFERROR(IF($G3842="","",VLOOKUP('Dashboard And Emails Automate'!$G3842,Database!$H:$N,7,0)),"")</f>
        <v/>
      </c>
      <c r="N3842" s="55" t="str">
        <f>IFERROR(IF(OR($B3842="",$B3842="(blank)"),"",VLOOKUP($B3842,'Email Marketing Raw Data'!$C:$O,6,0)),"")</f>
        <v/>
      </c>
      <c r="O3842" s="55" t="str">
        <f>IFERROR(IF(OR($B3842="",$B3842="(blank)"),"",VLOOKUP($B3842,'Email Marketing Raw Data'!$C:$O,7,0)),"")</f>
        <v/>
      </c>
      <c r="P3842" s="55" t="str">
        <f>IFERROR(IF(OR($B3842="",$B3842="(blank)"),"",VLOOKUP($B3842,'Email Marketing Raw Data'!$C:$O,8,0)),"")</f>
        <v/>
      </c>
      <c r="Q3842" s="62" t="str">
        <f>IFERROR(IF(OR($B3842="",$B3842="(blank)"),"",VLOOKUP($B3842,'Email Marketing Raw Data'!$C:$O,9,0)),"")</f>
        <v/>
      </c>
    </row>
    <row r="3843" spans="4:17" ht="12.75" customHeight="1" x14ac:dyDescent="0.2">
      <c r="D3843" s="58" t="str">
        <f>IFERROR(IF(F3843&lt;&gt;"pending","",IF(OR($B3843="",$B3843="(blank)"),"",VLOOKUP($B3843,'Email Marketing Raw Data'!$C:$O,10,0))),"")</f>
        <v/>
      </c>
      <c r="E3843" s="59" t="str">
        <f>IFERROR(IF(F3843&lt;&gt;"pending","",IF(OR($B3843="",$B3843="(blank)"),"",VLOOKUP($B3843,'Email Marketing Raw Data'!$C:$O,11,0))),"")</f>
        <v/>
      </c>
      <c r="F3843" s="54" t="str">
        <f>IFERROR(IF(OR($B3843="",$B3843="(blank)"),"",VLOOKUP($B3843,'Email Marketing Raw Data'!$C:$O,13,0)),"")</f>
        <v/>
      </c>
      <c r="G3843" s="55" t="str">
        <f>IFERROR(IF(OR($B3843="",$B3843="(blank)"),"",VLOOKUP($B3843,'Email Marketing Raw Data'!$C:$O,4,0)),"")</f>
        <v/>
      </c>
      <c r="H3843" s="55" t="str">
        <f>IFERROR(IF(OR($B3843="",$B3843="(blank)"),"",VLOOKUP($B3843,'Email Marketing Raw Data'!$C:$O,5,0)),"")</f>
        <v/>
      </c>
      <c r="I3843" s="55" t="str">
        <f>IFERROR(IF($G3843="","",VLOOKUP('Dashboard And Emails Automate'!$G3843,Database!$H:$N,3,0)),"")</f>
        <v/>
      </c>
      <c r="J3843" s="55" t="str">
        <f>IFERROR(IF($G3843="","",VLOOKUP('Dashboard And Emails Automate'!$G3843,Database!$H:$N,4,0)),"")</f>
        <v/>
      </c>
      <c r="K3843" s="55" t="str">
        <f>IFERROR(IF($G3843="","",VLOOKUP('Dashboard And Emails Automate'!$G3843,Database!$H:$N,5,0)),"")</f>
        <v/>
      </c>
      <c r="L3843" s="55" t="str">
        <f>IFERROR(IF($G3843="","",VLOOKUP('Dashboard And Emails Automate'!$G3843,Database!$H:$N,6,0)),"")</f>
        <v/>
      </c>
      <c r="M3843" s="55" t="str">
        <f>IFERROR(IF($G3843="","",VLOOKUP('Dashboard And Emails Automate'!$G3843,Database!$H:$N,7,0)),"")</f>
        <v/>
      </c>
      <c r="N3843" s="55" t="str">
        <f>IFERROR(IF(OR($B3843="",$B3843="(blank)"),"",VLOOKUP($B3843,'Email Marketing Raw Data'!$C:$O,6,0)),"")</f>
        <v/>
      </c>
      <c r="O3843" s="55" t="str">
        <f>IFERROR(IF(OR($B3843="",$B3843="(blank)"),"",VLOOKUP($B3843,'Email Marketing Raw Data'!$C:$O,7,0)),"")</f>
        <v/>
      </c>
      <c r="P3843" s="55" t="str">
        <f>IFERROR(IF(OR($B3843="",$B3843="(blank)"),"",VLOOKUP($B3843,'Email Marketing Raw Data'!$C:$O,8,0)),"")</f>
        <v/>
      </c>
      <c r="Q3843" s="62" t="str">
        <f>IFERROR(IF(OR($B3843="",$B3843="(blank)"),"",VLOOKUP($B3843,'Email Marketing Raw Data'!$C:$O,9,0)),"")</f>
        <v/>
      </c>
    </row>
    <row r="3844" spans="4:17" ht="12.75" customHeight="1" x14ac:dyDescent="0.2">
      <c r="D3844" s="58" t="str">
        <f>IFERROR(IF(F3844&lt;&gt;"pending","",IF(OR($B3844="",$B3844="(blank)"),"",VLOOKUP($B3844,'Email Marketing Raw Data'!$C:$O,10,0))),"")</f>
        <v/>
      </c>
      <c r="E3844" s="59" t="str">
        <f>IFERROR(IF(F3844&lt;&gt;"pending","",IF(OR($B3844="",$B3844="(blank)"),"",VLOOKUP($B3844,'Email Marketing Raw Data'!$C:$O,11,0))),"")</f>
        <v/>
      </c>
      <c r="F3844" s="54" t="str">
        <f>IFERROR(IF(OR($B3844="",$B3844="(blank)"),"",VLOOKUP($B3844,'Email Marketing Raw Data'!$C:$O,13,0)),"")</f>
        <v/>
      </c>
      <c r="G3844" s="55" t="str">
        <f>IFERROR(IF(OR($B3844="",$B3844="(blank)"),"",VLOOKUP($B3844,'Email Marketing Raw Data'!$C:$O,4,0)),"")</f>
        <v/>
      </c>
      <c r="H3844" s="55" t="str">
        <f>IFERROR(IF(OR($B3844="",$B3844="(blank)"),"",VLOOKUP($B3844,'Email Marketing Raw Data'!$C:$O,5,0)),"")</f>
        <v/>
      </c>
      <c r="I3844" s="55" t="str">
        <f>IFERROR(IF($G3844="","",VLOOKUP('Dashboard And Emails Automate'!$G3844,Database!$H:$N,3,0)),"")</f>
        <v/>
      </c>
      <c r="J3844" s="55" t="str">
        <f>IFERROR(IF($G3844="","",VLOOKUP('Dashboard And Emails Automate'!$G3844,Database!$H:$N,4,0)),"")</f>
        <v/>
      </c>
      <c r="K3844" s="55" t="str">
        <f>IFERROR(IF($G3844="","",VLOOKUP('Dashboard And Emails Automate'!$G3844,Database!$H:$N,5,0)),"")</f>
        <v/>
      </c>
      <c r="L3844" s="55" t="str">
        <f>IFERROR(IF($G3844="","",VLOOKUP('Dashboard And Emails Automate'!$G3844,Database!$H:$N,6,0)),"")</f>
        <v/>
      </c>
      <c r="M3844" s="55" t="str">
        <f>IFERROR(IF($G3844="","",VLOOKUP('Dashboard And Emails Automate'!$G3844,Database!$H:$N,7,0)),"")</f>
        <v/>
      </c>
      <c r="N3844" s="55" t="str">
        <f>IFERROR(IF(OR($B3844="",$B3844="(blank)"),"",VLOOKUP($B3844,'Email Marketing Raw Data'!$C:$O,6,0)),"")</f>
        <v/>
      </c>
      <c r="O3844" s="55" t="str">
        <f>IFERROR(IF(OR($B3844="",$B3844="(blank)"),"",VLOOKUP($B3844,'Email Marketing Raw Data'!$C:$O,7,0)),"")</f>
        <v/>
      </c>
      <c r="P3844" s="55" t="str">
        <f>IFERROR(IF(OR($B3844="",$B3844="(blank)"),"",VLOOKUP($B3844,'Email Marketing Raw Data'!$C:$O,8,0)),"")</f>
        <v/>
      </c>
      <c r="Q3844" s="62" t="str">
        <f>IFERROR(IF(OR($B3844="",$B3844="(blank)"),"",VLOOKUP($B3844,'Email Marketing Raw Data'!$C:$O,9,0)),"")</f>
        <v/>
      </c>
    </row>
    <row r="3845" spans="4:17" ht="12.75" customHeight="1" x14ac:dyDescent="0.2">
      <c r="D3845" s="58" t="str">
        <f>IFERROR(IF(F3845&lt;&gt;"pending","",IF(OR($B3845="",$B3845="(blank)"),"",VLOOKUP($B3845,'Email Marketing Raw Data'!$C:$O,10,0))),"")</f>
        <v/>
      </c>
      <c r="E3845" s="59" t="str">
        <f>IFERROR(IF(F3845&lt;&gt;"pending","",IF(OR($B3845="",$B3845="(blank)"),"",VLOOKUP($B3845,'Email Marketing Raw Data'!$C:$O,11,0))),"")</f>
        <v/>
      </c>
      <c r="F3845" s="54" t="str">
        <f>IFERROR(IF(OR($B3845="",$B3845="(blank)"),"",VLOOKUP($B3845,'Email Marketing Raw Data'!$C:$O,13,0)),"")</f>
        <v/>
      </c>
      <c r="G3845" s="55" t="str">
        <f>IFERROR(IF(OR($B3845="",$B3845="(blank)"),"",VLOOKUP($B3845,'Email Marketing Raw Data'!$C:$O,4,0)),"")</f>
        <v/>
      </c>
      <c r="H3845" s="55" t="str">
        <f>IFERROR(IF(OR($B3845="",$B3845="(blank)"),"",VLOOKUP($B3845,'Email Marketing Raw Data'!$C:$O,5,0)),"")</f>
        <v/>
      </c>
      <c r="I3845" s="55" t="str">
        <f>IFERROR(IF($G3845="","",VLOOKUP('Dashboard And Emails Automate'!$G3845,Database!$H:$N,3,0)),"")</f>
        <v/>
      </c>
      <c r="J3845" s="55" t="str">
        <f>IFERROR(IF($G3845="","",VLOOKUP('Dashboard And Emails Automate'!$G3845,Database!$H:$N,4,0)),"")</f>
        <v/>
      </c>
      <c r="K3845" s="55" t="str">
        <f>IFERROR(IF($G3845="","",VLOOKUP('Dashboard And Emails Automate'!$G3845,Database!$H:$N,5,0)),"")</f>
        <v/>
      </c>
      <c r="L3845" s="55" t="str">
        <f>IFERROR(IF($G3845="","",VLOOKUP('Dashboard And Emails Automate'!$G3845,Database!$H:$N,6,0)),"")</f>
        <v/>
      </c>
      <c r="M3845" s="55" t="str">
        <f>IFERROR(IF($G3845="","",VLOOKUP('Dashboard And Emails Automate'!$G3845,Database!$H:$N,7,0)),"")</f>
        <v/>
      </c>
      <c r="N3845" s="55" t="str">
        <f>IFERROR(IF(OR($B3845="",$B3845="(blank)"),"",VLOOKUP($B3845,'Email Marketing Raw Data'!$C:$O,6,0)),"")</f>
        <v/>
      </c>
      <c r="O3845" s="55" t="str">
        <f>IFERROR(IF(OR($B3845="",$B3845="(blank)"),"",VLOOKUP($B3845,'Email Marketing Raw Data'!$C:$O,7,0)),"")</f>
        <v/>
      </c>
      <c r="P3845" s="55" t="str">
        <f>IFERROR(IF(OR($B3845="",$B3845="(blank)"),"",VLOOKUP($B3845,'Email Marketing Raw Data'!$C:$O,8,0)),"")</f>
        <v/>
      </c>
      <c r="Q3845" s="62" t="str">
        <f>IFERROR(IF(OR($B3845="",$B3845="(blank)"),"",VLOOKUP($B3845,'Email Marketing Raw Data'!$C:$O,9,0)),"")</f>
        <v/>
      </c>
    </row>
    <row r="3846" spans="4:17" ht="12.75" customHeight="1" x14ac:dyDescent="0.2">
      <c r="D3846" s="58" t="str">
        <f>IFERROR(IF(F3846&lt;&gt;"pending","",IF(OR($B3846="",$B3846="(blank)"),"",VLOOKUP($B3846,'Email Marketing Raw Data'!$C:$O,10,0))),"")</f>
        <v/>
      </c>
      <c r="E3846" s="59" t="str">
        <f>IFERROR(IF(F3846&lt;&gt;"pending","",IF(OR($B3846="",$B3846="(blank)"),"",VLOOKUP($B3846,'Email Marketing Raw Data'!$C:$O,11,0))),"")</f>
        <v/>
      </c>
      <c r="F3846" s="54" t="str">
        <f>IFERROR(IF(OR($B3846="",$B3846="(blank)"),"",VLOOKUP($B3846,'Email Marketing Raw Data'!$C:$O,13,0)),"")</f>
        <v/>
      </c>
      <c r="G3846" s="55" t="str">
        <f>IFERROR(IF(OR($B3846="",$B3846="(blank)"),"",VLOOKUP($B3846,'Email Marketing Raw Data'!$C:$O,4,0)),"")</f>
        <v/>
      </c>
      <c r="H3846" s="55" t="str">
        <f>IFERROR(IF(OR($B3846="",$B3846="(blank)"),"",VLOOKUP($B3846,'Email Marketing Raw Data'!$C:$O,5,0)),"")</f>
        <v/>
      </c>
      <c r="I3846" s="55" t="str">
        <f>IFERROR(IF($G3846="","",VLOOKUP('Dashboard And Emails Automate'!$G3846,Database!$H:$N,3,0)),"")</f>
        <v/>
      </c>
      <c r="J3846" s="55" t="str">
        <f>IFERROR(IF($G3846="","",VLOOKUP('Dashboard And Emails Automate'!$G3846,Database!$H:$N,4,0)),"")</f>
        <v/>
      </c>
      <c r="K3846" s="55" t="str">
        <f>IFERROR(IF($G3846="","",VLOOKUP('Dashboard And Emails Automate'!$G3846,Database!$H:$N,5,0)),"")</f>
        <v/>
      </c>
      <c r="L3846" s="55" t="str">
        <f>IFERROR(IF($G3846="","",VLOOKUP('Dashboard And Emails Automate'!$G3846,Database!$H:$N,6,0)),"")</f>
        <v/>
      </c>
      <c r="M3846" s="55" t="str">
        <f>IFERROR(IF($G3846="","",VLOOKUP('Dashboard And Emails Automate'!$G3846,Database!$H:$N,7,0)),"")</f>
        <v/>
      </c>
      <c r="N3846" s="55" t="str">
        <f>IFERROR(IF(OR($B3846="",$B3846="(blank)"),"",VLOOKUP($B3846,'Email Marketing Raw Data'!$C:$O,6,0)),"")</f>
        <v/>
      </c>
      <c r="O3846" s="55" t="str">
        <f>IFERROR(IF(OR($B3846="",$B3846="(blank)"),"",VLOOKUP($B3846,'Email Marketing Raw Data'!$C:$O,7,0)),"")</f>
        <v/>
      </c>
      <c r="P3846" s="55" t="str">
        <f>IFERROR(IF(OR($B3846="",$B3846="(blank)"),"",VLOOKUP($B3846,'Email Marketing Raw Data'!$C:$O,8,0)),"")</f>
        <v/>
      </c>
      <c r="Q3846" s="62" t="str">
        <f>IFERROR(IF(OR($B3846="",$B3846="(blank)"),"",VLOOKUP($B3846,'Email Marketing Raw Data'!$C:$O,9,0)),"")</f>
        <v/>
      </c>
    </row>
    <row r="3847" spans="4:17" ht="12.75" customHeight="1" x14ac:dyDescent="0.2">
      <c r="D3847" s="58" t="str">
        <f>IFERROR(IF(F3847&lt;&gt;"pending","",IF(OR($B3847="",$B3847="(blank)"),"",VLOOKUP($B3847,'Email Marketing Raw Data'!$C:$O,10,0))),"")</f>
        <v/>
      </c>
      <c r="E3847" s="59" t="str">
        <f>IFERROR(IF(F3847&lt;&gt;"pending","",IF(OR($B3847="",$B3847="(blank)"),"",VLOOKUP($B3847,'Email Marketing Raw Data'!$C:$O,11,0))),"")</f>
        <v/>
      </c>
      <c r="F3847" s="54" t="str">
        <f>IFERROR(IF(OR($B3847="",$B3847="(blank)"),"",VLOOKUP($B3847,'Email Marketing Raw Data'!$C:$O,13,0)),"")</f>
        <v/>
      </c>
      <c r="G3847" s="55" t="str">
        <f>IFERROR(IF(OR($B3847="",$B3847="(blank)"),"",VLOOKUP($B3847,'Email Marketing Raw Data'!$C:$O,4,0)),"")</f>
        <v/>
      </c>
      <c r="H3847" s="55" t="str">
        <f>IFERROR(IF(OR($B3847="",$B3847="(blank)"),"",VLOOKUP($B3847,'Email Marketing Raw Data'!$C:$O,5,0)),"")</f>
        <v/>
      </c>
      <c r="I3847" s="55" t="str">
        <f>IFERROR(IF($G3847="","",VLOOKUP('Dashboard And Emails Automate'!$G3847,Database!$H:$N,3,0)),"")</f>
        <v/>
      </c>
      <c r="J3847" s="55" t="str">
        <f>IFERROR(IF($G3847="","",VLOOKUP('Dashboard And Emails Automate'!$G3847,Database!$H:$N,4,0)),"")</f>
        <v/>
      </c>
      <c r="K3847" s="55" t="str">
        <f>IFERROR(IF($G3847="","",VLOOKUP('Dashboard And Emails Automate'!$G3847,Database!$H:$N,5,0)),"")</f>
        <v/>
      </c>
      <c r="L3847" s="55" t="str">
        <f>IFERROR(IF($G3847="","",VLOOKUP('Dashboard And Emails Automate'!$G3847,Database!$H:$N,6,0)),"")</f>
        <v/>
      </c>
      <c r="M3847" s="55" t="str">
        <f>IFERROR(IF($G3847="","",VLOOKUP('Dashboard And Emails Automate'!$G3847,Database!$H:$N,7,0)),"")</f>
        <v/>
      </c>
      <c r="N3847" s="55" t="str">
        <f>IFERROR(IF(OR($B3847="",$B3847="(blank)"),"",VLOOKUP($B3847,'Email Marketing Raw Data'!$C:$O,6,0)),"")</f>
        <v/>
      </c>
      <c r="O3847" s="55" t="str">
        <f>IFERROR(IF(OR($B3847="",$B3847="(blank)"),"",VLOOKUP($B3847,'Email Marketing Raw Data'!$C:$O,7,0)),"")</f>
        <v/>
      </c>
      <c r="P3847" s="55" t="str">
        <f>IFERROR(IF(OR($B3847="",$B3847="(blank)"),"",VLOOKUP($B3847,'Email Marketing Raw Data'!$C:$O,8,0)),"")</f>
        <v/>
      </c>
      <c r="Q3847" s="62" t="str">
        <f>IFERROR(IF(OR($B3847="",$B3847="(blank)"),"",VLOOKUP($B3847,'Email Marketing Raw Data'!$C:$O,9,0)),"")</f>
        <v/>
      </c>
    </row>
    <row r="3848" spans="4:17" ht="12.75" customHeight="1" x14ac:dyDescent="0.2">
      <c r="D3848" s="58" t="str">
        <f>IFERROR(IF(F3848&lt;&gt;"pending","",IF(OR($B3848="",$B3848="(blank)"),"",VLOOKUP($B3848,'Email Marketing Raw Data'!$C:$O,10,0))),"")</f>
        <v/>
      </c>
      <c r="E3848" s="59" t="str">
        <f>IFERROR(IF(F3848&lt;&gt;"pending","",IF(OR($B3848="",$B3848="(blank)"),"",VLOOKUP($B3848,'Email Marketing Raw Data'!$C:$O,11,0))),"")</f>
        <v/>
      </c>
      <c r="F3848" s="54" t="str">
        <f>IFERROR(IF(OR($B3848="",$B3848="(blank)"),"",VLOOKUP($B3848,'Email Marketing Raw Data'!$C:$O,13,0)),"")</f>
        <v/>
      </c>
      <c r="G3848" s="55" t="str">
        <f>IFERROR(IF(OR($B3848="",$B3848="(blank)"),"",VLOOKUP($B3848,'Email Marketing Raw Data'!$C:$O,4,0)),"")</f>
        <v/>
      </c>
      <c r="H3848" s="55" t="str">
        <f>IFERROR(IF(OR($B3848="",$B3848="(blank)"),"",VLOOKUP($B3848,'Email Marketing Raw Data'!$C:$O,5,0)),"")</f>
        <v/>
      </c>
      <c r="I3848" s="55" t="str">
        <f>IFERROR(IF($G3848="","",VLOOKUP('Dashboard And Emails Automate'!$G3848,Database!$H:$N,3,0)),"")</f>
        <v/>
      </c>
      <c r="J3848" s="55" t="str">
        <f>IFERROR(IF($G3848="","",VLOOKUP('Dashboard And Emails Automate'!$G3848,Database!$H:$N,4,0)),"")</f>
        <v/>
      </c>
      <c r="K3848" s="55" t="str">
        <f>IFERROR(IF($G3848="","",VLOOKUP('Dashboard And Emails Automate'!$G3848,Database!$H:$N,5,0)),"")</f>
        <v/>
      </c>
      <c r="L3848" s="55" t="str">
        <f>IFERROR(IF($G3848="","",VLOOKUP('Dashboard And Emails Automate'!$G3848,Database!$H:$N,6,0)),"")</f>
        <v/>
      </c>
      <c r="M3848" s="55" t="str">
        <f>IFERROR(IF($G3848="","",VLOOKUP('Dashboard And Emails Automate'!$G3848,Database!$H:$N,7,0)),"")</f>
        <v/>
      </c>
      <c r="N3848" s="55" t="str">
        <f>IFERROR(IF(OR($B3848="",$B3848="(blank)"),"",VLOOKUP($B3848,'Email Marketing Raw Data'!$C:$O,6,0)),"")</f>
        <v/>
      </c>
      <c r="O3848" s="55" t="str">
        <f>IFERROR(IF(OR($B3848="",$B3848="(blank)"),"",VLOOKUP($B3848,'Email Marketing Raw Data'!$C:$O,7,0)),"")</f>
        <v/>
      </c>
      <c r="P3848" s="55" t="str">
        <f>IFERROR(IF(OR($B3848="",$B3848="(blank)"),"",VLOOKUP($B3848,'Email Marketing Raw Data'!$C:$O,8,0)),"")</f>
        <v/>
      </c>
      <c r="Q3848" s="62" t="str">
        <f>IFERROR(IF(OR($B3848="",$B3848="(blank)"),"",VLOOKUP($B3848,'Email Marketing Raw Data'!$C:$O,9,0)),"")</f>
        <v/>
      </c>
    </row>
    <row r="3849" spans="4:17" ht="12.75" customHeight="1" x14ac:dyDescent="0.2">
      <c r="D3849" s="58" t="str">
        <f>IFERROR(IF(F3849&lt;&gt;"pending","",IF(OR($B3849="",$B3849="(blank)"),"",VLOOKUP($B3849,'Email Marketing Raw Data'!$C:$O,10,0))),"")</f>
        <v/>
      </c>
      <c r="E3849" s="59" t="str">
        <f>IFERROR(IF(F3849&lt;&gt;"pending","",IF(OR($B3849="",$B3849="(blank)"),"",VLOOKUP($B3849,'Email Marketing Raw Data'!$C:$O,11,0))),"")</f>
        <v/>
      </c>
      <c r="F3849" s="54" t="str">
        <f>IFERROR(IF(OR($B3849="",$B3849="(blank)"),"",VLOOKUP($B3849,'Email Marketing Raw Data'!$C:$O,13,0)),"")</f>
        <v/>
      </c>
      <c r="G3849" s="55" t="str">
        <f>IFERROR(IF(OR($B3849="",$B3849="(blank)"),"",VLOOKUP($B3849,'Email Marketing Raw Data'!$C:$O,4,0)),"")</f>
        <v/>
      </c>
      <c r="H3849" s="55" t="str">
        <f>IFERROR(IF(OR($B3849="",$B3849="(blank)"),"",VLOOKUP($B3849,'Email Marketing Raw Data'!$C:$O,5,0)),"")</f>
        <v/>
      </c>
      <c r="I3849" s="55" t="str">
        <f>IFERROR(IF($G3849="","",VLOOKUP('Dashboard And Emails Automate'!$G3849,Database!$H:$N,3,0)),"")</f>
        <v/>
      </c>
      <c r="J3849" s="55" t="str">
        <f>IFERROR(IF($G3849="","",VLOOKUP('Dashboard And Emails Automate'!$G3849,Database!$H:$N,4,0)),"")</f>
        <v/>
      </c>
      <c r="K3849" s="55" t="str">
        <f>IFERROR(IF($G3849="","",VLOOKUP('Dashboard And Emails Automate'!$G3849,Database!$H:$N,5,0)),"")</f>
        <v/>
      </c>
      <c r="L3849" s="55" t="str">
        <f>IFERROR(IF($G3849="","",VLOOKUP('Dashboard And Emails Automate'!$G3849,Database!$H:$N,6,0)),"")</f>
        <v/>
      </c>
      <c r="M3849" s="55" t="str">
        <f>IFERROR(IF($G3849="","",VLOOKUP('Dashboard And Emails Automate'!$G3849,Database!$H:$N,7,0)),"")</f>
        <v/>
      </c>
      <c r="N3849" s="55" t="str">
        <f>IFERROR(IF(OR($B3849="",$B3849="(blank)"),"",VLOOKUP($B3849,'Email Marketing Raw Data'!$C:$O,6,0)),"")</f>
        <v/>
      </c>
      <c r="O3849" s="55" t="str">
        <f>IFERROR(IF(OR($B3849="",$B3849="(blank)"),"",VLOOKUP($B3849,'Email Marketing Raw Data'!$C:$O,7,0)),"")</f>
        <v/>
      </c>
      <c r="P3849" s="55" t="str">
        <f>IFERROR(IF(OR($B3849="",$B3849="(blank)"),"",VLOOKUP($B3849,'Email Marketing Raw Data'!$C:$O,8,0)),"")</f>
        <v/>
      </c>
      <c r="Q3849" s="62" t="str">
        <f>IFERROR(IF(OR($B3849="",$B3849="(blank)"),"",VLOOKUP($B3849,'Email Marketing Raw Data'!$C:$O,9,0)),"")</f>
        <v/>
      </c>
    </row>
    <row r="3850" spans="4:17" ht="12.75" customHeight="1" x14ac:dyDescent="0.2">
      <c r="D3850" s="58" t="str">
        <f>IFERROR(IF(F3850&lt;&gt;"pending","",IF(OR($B3850="",$B3850="(blank)"),"",VLOOKUP($B3850,'Email Marketing Raw Data'!$C:$O,10,0))),"")</f>
        <v/>
      </c>
      <c r="E3850" s="59" t="str">
        <f>IFERROR(IF(F3850&lt;&gt;"pending","",IF(OR($B3850="",$B3850="(blank)"),"",VLOOKUP($B3850,'Email Marketing Raw Data'!$C:$O,11,0))),"")</f>
        <v/>
      </c>
      <c r="F3850" s="54" t="str">
        <f>IFERROR(IF(OR($B3850="",$B3850="(blank)"),"",VLOOKUP($B3850,'Email Marketing Raw Data'!$C:$O,13,0)),"")</f>
        <v/>
      </c>
      <c r="G3850" s="55" t="str">
        <f>IFERROR(IF(OR($B3850="",$B3850="(blank)"),"",VLOOKUP($B3850,'Email Marketing Raw Data'!$C:$O,4,0)),"")</f>
        <v/>
      </c>
      <c r="H3850" s="55" t="str">
        <f>IFERROR(IF(OR($B3850="",$B3850="(blank)"),"",VLOOKUP($B3850,'Email Marketing Raw Data'!$C:$O,5,0)),"")</f>
        <v/>
      </c>
      <c r="I3850" s="55" t="str">
        <f>IFERROR(IF($G3850="","",VLOOKUP('Dashboard And Emails Automate'!$G3850,Database!$H:$N,3,0)),"")</f>
        <v/>
      </c>
      <c r="J3850" s="55" t="str">
        <f>IFERROR(IF($G3850="","",VLOOKUP('Dashboard And Emails Automate'!$G3850,Database!$H:$N,4,0)),"")</f>
        <v/>
      </c>
      <c r="K3850" s="55" t="str">
        <f>IFERROR(IF($G3850="","",VLOOKUP('Dashboard And Emails Automate'!$G3850,Database!$H:$N,5,0)),"")</f>
        <v/>
      </c>
      <c r="L3850" s="55" t="str">
        <f>IFERROR(IF($G3850="","",VLOOKUP('Dashboard And Emails Automate'!$G3850,Database!$H:$N,6,0)),"")</f>
        <v/>
      </c>
      <c r="M3850" s="55" t="str">
        <f>IFERROR(IF($G3850="","",VLOOKUP('Dashboard And Emails Automate'!$G3850,Database!$H:$N,7,0)),"")</f>
        <v/>
      </c>
      <c r="N3850" s="55" t="str">
        <f>IFERROR(IF(OR($B3850="",$B3850="(blank)"),"",VLOOKUP($B3850,'Email Marketing Raw Data'!$C:$O,6,0)),"")</f>
        <v/>
      </c>
      <c r="O3850" s="55" t="str">
        <f>IFERROR(IF(OR($B3850="",$B3850="(blank)"),"",VLOOKUP($B3850,'Email Marketing Raw Data'!$C:$O,7,0)),"")</f>
        <v/>
      </c>
      <c r="P3850" s="55" t="str">
        <f>IFERROR(IF(OR($B3850="",$B3850="(blank)"),"",VLOOKUP($B3850,'Email Marketing Raw Data'!$C:$O,8,0)),"")</f>
        <v/>
      </c>
      <c r="Q3850" s="62" t="str">
        <f>IFERROR(IF(OR($B3850="",$B3850="(blank)"),"",VLOOKUP($B3850,'Email Marketing Raw Data'!$C:$O,9,0)),"")</f>
        <v/>
      </c>
    </row>
    <row r="3851" spans="4:17" ht="12.75" customHeight="1" x14ac:dyDescent="0.2">
      <c r="D3851" s="58" t="str">
        <f>IFERROR(IF(F3851&lt;&gt;"pending","",IF(OR($B3851="",$B3851="(blank)"),"",VLOOKUP($B3851,'Email Marketing Raw Data'!$C:$O,10,0))),"")</f>
        <v/>
      </c>
      <c r="E3851" s="59" t="str">
        <f>IFERROR(IF(F3851&lt;&gt;"pending","",IF(OR($B3851="",$B3851="(blank)"),"",VLOOKUP($B3851,'Email Marketing Raw Data'!$C:$O,11,0))),"")</f>
        <v/>
      </c>
      <c r="F3851" s="54" t="str">
        <f>IFERROR(IF(OR($B3851="",$B3851="(blank)"),"",VLOOKUP($B3851,'Email Marketing Raw Data'!$C:$O,13,0)),"")</f>
        <v/>
      </c>
      <c r="G3851" s="55" t="str">
        <f>IFERROR(IF(OR($B3851="",$B3851="(blank)"),"",VLOOKUP($B3851,'Email Marketing Raw Data'!$C:$O,4,0)),"")</f>
        <v/>
      </c>
      <c r="H3851" s="55" t="str">
        <f>IFERROR(IF(OR($B3851="",$B3851="(blank)"),"",VLOOKUP($B3851,'Email Marketing Raw Data'!$C:$O,5,0)),"")</f>
        <v/>
      </c>
      <c r="I3851" s="55" t="str">
        <f>IFERROR(IF($G3851="","",VLOOKUP('Dashboard And Emails Automate'!$G3851,Database!$H:$N,3,0)),"")</f>
        <v/>
      </c>
      <c r="J3851" s="55" t="str">
        <f>IFERROR(IF($G3851="","",VLOOKUP('Dashboard And Emails Automate'!$G3851,Database!$H:$N,4,0)),"")</f>
        <v/>
      </c>
      <c r="K3851" s="55" t="str">
        <f>IFERROR(IF($G3851="","",VLOOKUP('Dashboard And Emails Automate'!$G3851,Database!$H:$N,5,0)),"")</f>
        <v/>
      </c>
      <c r="L3851" s="55" t="str">
        <f>IFERROR(IF($G3851="","",VLOOKUP('Dashboard And Emails Automate'!$G3851,Database!$H:$N,6,0)),"")</f>
        <v/>
      </c>
      <c r="M3851" s="55" t="str">
        <f>IFERROR(IF($G3851="","",VLOOKUP('Dashboard And Emails Automate'!$G3851,Database!$H:$N,7,0)),"")</f>
        <v/>
      </c>
      <c r="N3851" s="55" t="str">
        <f>IFERROR(IF(OR($B3851="",$B3851="(blank)"),"",VLOOKUP($B3851,'Email Marketing Raw Data'!$C:$O,6,0)),"")</f>
        <v/>
      </c>
      <c r="O3851" s="55" t="str">
        <f>IFERROR(IF(OR($B3851="",$B3851="(blank)"),"",VLOOKUP($B3851,'Email Marketing Raw Data'!$C:$O,7,0)),"")</f>
        <v/>
      </c>
      <c r="P3851" s="55" t="str">
        <f>IFERROR(IF(OR($B3851="",$B3851="(blank)"),"",VLOOKUP($B3851,'Email Marketing Raw Data'!$C:$O,8,0)),"")</f>
        <v/>
      </c>
      <c r="Q3851" s="62" t="str">
        <f>IFERROR(IF(OR($B3851="",$B3851="(blank)"),"",VLOOKUP($B3851,'Email Marketing Raw Data'!$C:$O,9,0)),"")</f>
        <v/>
      </c>
    </row>
    <row r="3852" spans="4:17" ht="12.75" customHeight="1" x14ac:dyDescent="0.2">
      <c r="D3852" s="58" t="str">
        <f>IFERROR(IF(F3852&lt;&gt;"pending","",IF(OR($B3852="",$B3852="(blank)"),"",VLOOKUP($B3852,'Email Marketing Raw Data'!$C:$O,10,0))),"")</f>
        <v/>
      </c>
      <c r="E3852" s="59" t="str">
        <f>IFERROR(IF(F3852&lt;&gt;"pending","",IF(OR($B3852="",$B3852="(blank)"),"",VLOOKUP($B3852,'Email Marketing Raw Data'!$C:$O,11,0))),"")</f>
        <v/>
      </c>
      <c r="F3852" s="54" t="str">
        <f>IFERROR(IF(OR($B3852="",$B3852="(blank)"),"",VLOOKUP($B3852,'Email Marketing Raw Data'!$C:$O,13,0)),"")</f>
        <v/>
      </c>
      <c r="G3852" s="55" t="str">
        <f>IFERROR(IF(OR($B3852="",$B3852="(blank)"),"",VLOOKUP($B3852,'Email Marketing Raw Data'!$C:$O,4,0)),"")</f>
        <v/>
      </c>
      <c r="H3852" s="55" t="str">
        <f>IFERROR(IF(OR($B3852="",$B3852="(blank)"),"",VLOOKUP($B3852,'Email Marketing Raw Data'!$C:$O,5,0)),"")</f>
        <v/>
      </c>
      <c r="I3852" s="55" t="str">
        <f>IFERROR(IF($G3852="","",VLOOKUP('Dashboard And Emails Automate'!$G3852,Database!$H:$N,3,0)),"")</f>
        <v/>
      </c>
      <c r="J3852" s="55" t="str">
        <f>IFERROR(IF($G3852="","",VLOOKUP('Dashboard And Emails Automate'!$G3852,Database!$H:$N,4,0)),"")</f>
        <v/>
      </c>
      <c r="K3852" s="55" t="str">
        <f>IFERROR(IF($G3852="","",VLOOKUP('Dashboard And Emails Automate'!$G3852,Database!$H:$N,5,0)),"")</f>
        <v/>
      </c>
      <c r="L3852" s="55" t="str">
        <f>IFERROR(IF($G3852="","",VLOOKUP('Dashboard And Emails Automate'!$G3852,Database!$H:$N,6,0)),"")</f>
        <v/>
      </c>
      <c r="M3852" s="55" t="str">
        <f>IFERROR(IF($G3852="","",VLOOKUP('Dashboard And Emails Automate'!$G3852,Database!$H:$N,7,0)),"")</f>
        <v/>
      </c>
      <c r="N3852" s="55" t="str">
        <f>IFERROR(IF(OR($B3852="",$B3852="(blank)"),"",VLOOKUP($B3852,'Email Marketing Raw Data'!$C:$O,6,0)),"")</f>
        <v/>
      </c>
      <c r="O3852" s="55" t="str">
        <f>IFERROR(IF(OR($B3852="",$B3852="(blank)"),"",VLOOKUP($B3852,'Email Marketing Raw Data'!$C:$O,7,0)),"")</f>
        <v/>
      </c>
      <c r="P3852" s="55" t="str">
        <f>IFERROR(IF(OR($B3852="",$B3852="(blank)"),"",VLOOKUP($B3852,'Email Marketing Raw Data'!$C:$O,8,0)),"")</f>
        <v/>
      </c>
      <c r="Q3852" s="62" t="str">
        <f>IFERROR(IF(OR($B3852="",$B3852="(blank)"),"",VLOOKUP($B3852,'Email Marketing Raw Data'!$C:$O,9,0)),"")</f>
        <v/>
      </c>
    </row>
    <row r="3853" spans="4:17" ht="12.75" customHeight="1" x14ac:dyDescent="0.2">
      <c r="D3853" s="58" t="str">
        <f>IFERROR(IF(F3853&lt;&gt;"pending","",IF(OR($B3853="",$B3853="(blank)"),"",VLOOKUP($B3853,'Email Marketing Raw Data'!$C:$O,10,0))),"")</f>
        <v/>
      </c>
      <c r="E3853" s="59" t="str">
        <f>IFERROR(IF(F3853&lt;&gt;"pending","",IF(OR($B3853="",$B3853="(blank)"),"",VLOOKUP($B3853,'Email Marketing Raw Data'!$C:$O,11,0))),"")</f>
        <v/>
      </c>
      <c r="F3853" s="54" t="str">
        <f>IFERROR(IF(OR($B3853="",$B3853="(blank)"),"",VLOOKUP($B3853,'Email Marketing Raw Data'!$C:$O,13,0)),"")</f>
        <v/>
      </c>
      <c r="G3853" s="55" t="str">
        <f>IFERROR(IF(OR($B3853="",$B3853="(blank)"),"",VLOOKUP($B3853,'Email Marketing Raw Data'!$C:$O,4,0)),"")</f>
        <v/>
      </c>
      <c r="H3853" s="55" t="str">
        <f>IFERROR(IF(OR($B3853="",$B3853="(blank)"),"",VLOOKUP($B3853,'Email Marketing Raw Data'!$C:$O,5,0)),"")</f>
        <v/>
      </c>
      <c r="I3853" s="55" t="str">
        <f>IFERROR(IF($G3853="","",VLOOKUP('Dashboard And Emails Automate'!$G3853,Database!$H:$N,3,0)),"")</f>
        <v/>
      </c>
      <c r="J3853" s="55" t="str">
        <f>IFERROR(IF($G3853="","",VLOOKUP('Dashboard And Emails Automate'!$G3853,Database!$H:$N,4,0)),"")</f>
        <v/>
      </c>
      <c r="K3853" s="55" t="str">
        <f>IFERROR(IF($G3853="","",VLOOKUP('Dashboard And Emails Automate'!$G3853,Database!$H:$N,5,0)),"")</f>
        <v/>
      </c>
      <c r="L3853" s="55" t="str">
        <f>IFERROR(IF($G3853="","",VLOOKUP('Dashboard And Emails Automate'!$G3853,Database!$H:$N,6,0)),"")</f>
        <v/>
      </c>
      <c r="M3853" s="55" t="str">
        <f>IFERROR(IF($G3853="","",VLOOKUP('Dashboard And Emails Automate'!$G3853,Database!$H:$N,7,0)),"")</f>
        <v/>
      </c>
      <c r="N3853" s="55" t="str">
        <f>IFERROR(IF(OR($B3853="",$B3853="(blank)"),"",VLOOKUP($B3853,'Email Marketing Raw Data'!$C:$O,6,0)),"")</f>
        <v/>
      </c>
      <c r="O3853" s="55" t="str">
        <f>IFERROR(IF(OR($B3853="",$B3853="(blank)"),"",VLOOKUP($B3853,'Email Marketing Raw Data'!$C:$O,7,0)),"")</f>
        <v/>
      </c>
      <c r="P3853" s="55" t="str">
        <f>IFERROR(IF(OR($B3853="",$B3853="(blank)"),"",VLOOKUP($B3853,'Email Marketing Raw Data'!$C:$O,8,0)),"")</f>
        <v/>
      </c>
      <c r="Q3853" s="62" t="str">
        <f>IFERROR(IF(OR($B3853="",$B3853="(blank)"),"",VLOOKUP($B3853,'Email Marketing Raw Data'!$C:$O,9,0)),"")</f>
        <v/>
      </c>
    </row>
    <row r="3854" spans="4:17" ht="12.75" customHeight="1" x14ac:dyDescent="0.2">
      <c r="D3854" s="58" t="str">
        <f>IFERROR(IF(F3854&lt;&gt;"pending","",IF(OR($B3854="",$B3854="(blank)"),"",VLOOKUP($B3854,'Email Marketing Raw Data'!$C:$O,10,0))),"")</f>
        <v/>
      </c>
      <c r="E3854" s="59" t="str">
        <f>IFERROR(IF(F3854&lt;&gt;"pending","",IF(OR($B3854="",$B3854="(blank)"),"",VLOOKUP($B3854,'Email Marketing Raw Data'!$C:$O,11,0))),"")</f>
        <v/>
      </c>
      <c r="F3854" s="54" t="str">
        <f>IFERROR(IF(OR($B3854="",$B3854="(blank)"),"",VLOOKUP($B3854,'Email Marketing Raw Data'!$C:$O,13,0)),"")</f>
        <v/>
      </c>
      <c r="G3854" s="55" t="str">
        <f>IFERROR(IF(OR($B3854="",$B3854="(blank)"),"",VLOOKUP($B3854,'Email Marketing Raw Data'!$C:$O,4,0)),"")</f>
        <v/>
      </c>
      <c r="H3854" s="55" t="str">
        <f>IFERROR(IF(OR($B3854="",$B3854="(blank)"),"",VLOOKUP($B3854,'Email Marketing Raw Data'!$C:$O,5,0)),"")</f>
        <v/>
      </c>
      <c r="I3854" s="55" t="str">
        <f>IFERROR(IF($G3854="","",VLOOKUP('Dashboard And Emails Automate'!$G3854,Database!$H:$N,3,0)),"")</f>
        <v/>
      </c>
      <c r="J3854" s="55" t="str">
        <f>IFERROR(IF($G3854="","",VLOOKUP('Dashboard And Emails Automate'!$G3854,Database!$H:$N,4,0)),"")</f>
        <v/>
      </c>
      <c r="K3854" s="55" t="str">
        <f>IFERROR(IF($G3854="","",VLOOKUP('Dashboard And Emails Automate'!$G3854,Database!$H:$N,5,0)),"")</f>
        <v/>
      </c>
      <c r="L3854" s="55" t="str">
        <f>IFERROR(IF($G3854="","",VLOOKUP('Dashboard And Emails Automate'!$G3854,Database!$H:$N,6,0)),"")</f>
        <v/>
      </c>
      <c r="M3854" s="55" t="str">
        <f>IFERROR(IF($G3854="","",VLOOKUP('Dashboard And Emails Automate'!$G3854,Database!$H:$N,7,0)),"")</f>
        <v/>
      </c>
      <c r="N3854" s="55" t="str">
        <f>IFERROR(IF(OR($B3854="",$B3854="(blank)"),"",VLOOKUP($B3854,'Email Marketing Raw Data'!$C:$O,6,0)),"")</f>
        <v/>
      </c>
      <c r="O3854" s="55" t="str">
        <f>IFERROR(IF(OR($B3854="",$B3854="(blank)"),"",VLOOKUP($B3854,'Email Marketing Raw Data'!$C:$O,7,0)),"")</f>
        <v/>
      </c>
      <c r="P3854" s="55" t="str">
        <f>IFERROR(IF(OR($B3854="",$B3854="(blank)"),"",VLOOKUP($B3854,'Email Marketing Raw Data'!$C:$O,8,0)),"")</f>
        <v/>
      </c>
      <c r="Q3854" s="62" t="str">
        <f>IFERROR(IF(OR($B3854="",$B3854="(blank)"),"",VLOOKUP($B3854,'Email Marketing Raw Data'!$C:$O,9,0)),"")</f>
        <v/>
      </c>
    </row>
    <row r="3855" spans="4:17" ht="12.75" customHeight="1" x14ac:dyDescent="0.2">
      <c r="D3855" s="58" t="str">
        <f>IFERROR(IF(F3855&lt;&gt;"pending","",IF(OR($B3855="",$B3855="(blank)"),"",VLOOKUP($B3855,'Email Marketing Raw Data'!$C:$O,10,0))),"")</f>
        <v/>
      </c>
      <c r="E3855" s="59" t="str">
        <f>IFERROR(IF(F3855&lt;&gt;"pending","",IF(OR($B3855="",$B3855="(blank)"),"",VLOOKUP($B3855,'Email Marketing Raw Data'!$C:$O,11,0))),"")</f>
        <v/>
      </c>
      <c r="F3855" s="54" t="str">
        <f>IFERROR(IF(OR($B3855="",$B3855="(blank)"),"",VLOOKUP($B3855,'Email Marketing Raw Data'!$C:$O,13,0)),"")</f>
        <v/>
      </c>
      <c r="G3855" s="55" t="str">
        <f>IFERROR(IF(OR($B3855="",$B3855="(blank)"),"",VLOOKUP($B3855,'Email Marketing Raw Data'!$C:$O,4,0)),"")</f>
        <v/>
      </c>
      <c r="H3855" s="55" t="str">
        <f>IFERROR(IF(OR($B3855="",$B3855="(blank)"),"",VLOOKUP($B3855,'Email Marketing Raw Data'!$C:$O,5,0)),"")</f>
        <v/>
      </c>
      <c r="I3855" s="55" t="str">
        <f>IFERROR(IF($G3855="","",VLOOKUP('Dashboard And Emails Automate'!$G3855,Database!$H:$N,3,0)),"")</f>
        <v/>
      </c>
      <c r="J3855" s="55" t="str">
        <f>IFERROR(IF($G3855="","",VLOOKUP('Dashboard And Emails Automate'!$G3855,Database!$H:$N,4,0)),"")</f>
        <v/>
      </c>
      <c r="K3855" s="55" t="str">
        <f>IFERROR(IF($G3855="","",VLOOKUP('Dashboard And Emails Automate'!$G3855,Database!$H:$N,5,0)),"")</f>
        <v/>
      </c>
      <c r="L3855" s="55" t="str">
        <f>IFERROR(IF($G3855="","",VLOOKUP('Dashboard And Emails Automate'!$G3855,Database!$H:$N,6,0)),"")</f>
        <v/>
      </c>
      <c r="M3855" s="55" t="str">
        <f>IFERROR(IF($G3855="","",VLOOKUP('Dashboard And Emails Automate'!$G3855,Database!$H:$N,7,0)),"")</f>
        <v/>
      </c>
      <c r="N3855" s="55" t="str">
        <f>IFERROR(IF(OR($B3855="",$B3855="(blank)"),"",VLOOKUP($B3855,'Email Marketing Raw Data'!$C:$O,6,0)),"")</f>
        <v/>
      </c>
      <c r="O3855" s="55" t="str">
        <f>IFERROR(IF(OR($B3855="",$B3855="(blank)"),"",VLOOKUP($B3855,'Email Marketing Raw Data'!$C:$O,7,0)),"")</f>
        <v/>
      </c>
      <c r="P3855" s="55" t="str">
        <f>IFERROR(IF(OR($B3855="",$B3855="(blank)"),"",VLOOKUP($B3855,'Email Marketing Raw Data'!$C:$O,8,0)),"")</f>
        <v/>
      </c>
      <c r="Q3855" s="62" t="str">
        <f>IFERROR(IF(OR($B3855="",$B3855="(blank)"),"",VLOOKUP($B3855,'Email Marketing Raw Data'!$C:$O,9,0)),"")</f>
        <v/>
      </c>
    </row>
    <row r="3856" spans="4:17" ht="12.75" customHeight="1" x14ac:dyDescent="0.2">
      <c r="D3856" s="58" t="str">
        <f>IFERROR(IF(F3856&lt;&gt;"pending","",IF(OR($B3856="",$B3856="(blank)"),"",VLOOKUP($B3856,'Email Marketing Raw Data'!$C:$O,10,0))),"")</f>
        <v/>
      </c>
      <c r="E3856" s="59" t="str">
        <f>IFERROR(IF(F3856&lt;&gt;"pending","",IF(OR($B3856="",$B3856="(blank)"),"",VLOOKUP($B3856,'Email Marketing Raw Data'!$C:$O,11,0))),"")</f>
        <v/>
      </c>
      <c r="F3856" s="54" t="str">
        <f>IFERROR(IF(OR($B3856="",$B3856="(blank)"),"",VLOOKUP($B3856,'Email Marketing Raw Data'!$C:$O,13,0)),"")</f>
        <v/>
      </c>
      <c r="G3856" s="55" t="str">
        <f>IFERROR(IF(OR($B3856="",$B3856="(blank)"),"",VLOOKUP($B3856,'Email Marketing Raw Data'!$C:$O,4,0)),"")</f>
        <v/>
      </c>
      <c r="H3856" s="55" t="str">
        <f>IFERROR(IF(OR($B3856="",$B3856="(blank)"),"",VLOOKUP($B3856,'Email Marketing Raw Data'!$C:$O,5,0)),"")</f>
        <v/>
      </c>
      <c r="I3856" s="55" t="str">
        <f>IFERROR(IF($G3856="","",VLOOKUP('Dashboard And Emails Automate'!$G3856,Database!$H:$N,3,0)),"")</f>
        <v/>
      </c>
      <c r="J3856" s="55" t="str">
        <f>IFERROR(IF($G3856="","",VLOOKUP('Dashboard And Emails Automate'!$G3856,Database!$H:$N,4,0)),"")</f>
        <v/>
      </c>
      <c r="K3856" s="55" t="str">
        <f>IFERROR(IF($G3856="","",VLOOKUP('Dashboard And Emails Automate'!$G3856,Database!$H:$N,5,0)),"")</f>
        <v/>
      </c>
      <c r="L3856" s="55" t="str">
        <f>IFERROR(IF($G3856="","",VLOOKUP('Dashboard And Emails Automate'!$G3856,Database!$H:$N,6,0)),"")</f>
        <v/>
      </c>
      <c r="M3856" s="55" t="str">
        <f>IFERROR(IF($G3856="","",VLOOKUP('Dashboard And Emails Automate'!$G3856,Database!$H:$N,7,0)),"")</f>
        <v/>
      </c>
      <c r="N3856" s="55" t="str">
        <f>IFERROR(IF(OR($B3856="",$B3856="(blank)"),"",VLOOKUP($B3856,'Email Marketing Raw Data'!$C:$O,6,0)),"")</f>
        <v/>
      </c>
      <c r="O3856" s="55" t="str">
        <f>IFERROR(IF(OR($B3856="",$B3856="(blank)"),"",VLOOKUP($B3856,'Email Marketing Raw Data'!$C:$O,7,0)),"")</f>
        <v/>
      </c>
      <c r="P3856" s="55" t="str">
        <f>IFERROR(IF(OR($B3856="",$B3856="(blank)"),"",VLOOKUP($B3856,'Email Marketing Raw Data'!$C:$O,8,0)),"")</f>
        <v/>
      </c>
      <c r="Q3856" s="62" t="str">
        <f>IFERROR(IF(OR($B3856="",$B3856="(blank)"),"",VLOOKUP($B3856,'Email Marketing Raw Data'!$C:$O,9,0)),"")</f>
        <v/>
      </c>
    </row>
    <row r="3857" spans="4:17" ht="12.75" customHeight="1" x14ac:dyDescent="0.2">
      <c r="D3857" s="58" t="str">
        <f>IFERROR(IF(F3857&lt;&gt;"pending","",IF(OR($B3857="",$B3857="(blank)"),"",VLOOKUP($B3857,'Email Marketing Raw Data'!$C:$O,10,0))),"")</f>
        <v/>
      </c>
      <c r="E3857" s="59" t="str">
        <f>IFERROR(IF(F3857&lt;&gt;"pending","",IF(OR($B3857="",$B3857="(blank)"),"",VLOOKUP($B3857,'Email Marketing Raw Data'!$C:$O,11,0))),"")</f>
        <v/>
      </c>
      <c r="F3857" s="54" t="str">
        <f>IFERROR(IF(OR($B3857="",$B3857="(blank)"),"",VLOOKUP($B3857,'Email Marketing Raw Data'!$C:$O,13,0)),"")</f>
        <v/>
      </c>
      <c r="G3857" s="55" t="str">
        <f>IFERROR(IF(OR($B3857="",$B3857="(blank)"),"",VLOOKUP($B3857,'Email Marketing Raw Data'!$C:$O,4,0)),"")</f>
        <v/>
      </c>
      <c r="H3857" s="55" t="str">
        <f>IFERROR(IF(OR($B3857="",$B3857="(blank)"),"",VLOOKUP($B3857,'Email Marketing Raw Data'!$C:$O,5,0)),"")</f>
        <v/>
      </c>
      <c r="I3857" s="55" t="str">
        <f>IFERROR(IF($G3857="","",VLOOKUP('Dashboard And Emails Automate'!$G3857,Database!$H:$N,3,0)),"")</f>
        <v/>
      </c>
      <c r="J3857" s="55" t="str">
        <f>IFERROR(IF($G3857="","",VLOOKUP('Dashboard And Emails Automate'!$G3857,Database!$H:$N,4,0)),"")</f>
        <v/>
      </c>
      <c r="K3857" s="55" t="str">
        <f>IFERROR(IF($G3857="","",VLOOKUP('Dashboard And Emails Automate'!$G3857,Database!$H:$N,5,0)),"")</f>
        <v/>
      </c>
      <c r="L3857" s="55" t="str">
        <f>IFERROR(IF($G3857="","",VLOOKUP('Dashboard And Emails Automate'!$G3857,Database!$H:$N,6,0)),"")</f>
        <v/>
      </c>
      <c r="M3857" s="55" t="str">
        <f>IFERROR(IF($G3857="","",VLOOKUP('Dashboard And Emails Automate'!$G3857,Database!$H:$N,7,0)),"")</f>
        <v/>
      </c>
      <c r="N3857" s="55" t="str">
        <f>IFERROR(IF(OR($B3857="",$B3857="(blank)"),"",VLOOKUP($B3857,'Email Marketing Raw Data'!$C:$O,6,0)),"")</f>
        <v/>
      </c>
      <c r="O3857" s="55" t="str">
        <f>IFERROR(IF(OR($B3857="",$B3857="(blank)"),"",VLOOKUP($B3857,'Email Marketing Raw Data'!$C:$O,7,0)),"")</f>
        <v/>
      </c>
      <c r="P3857" s="55" t="str">
        <f>IFERROR(IF(OR($B3857="",$B3857="(blank)"),"",VLOOKUP($B3857,'Email Marketing Raw Data'!$C:$O,8,0)),"")</f>
        <v/>
      </c>
      <c r="Q3857" s="62" t="str">
        <f>IFERROR(IF(OR($B3857="",$B3857="(blank)"),"",VLOOKUP($B3857,'Email Marketing Raw Data'!$C:$O,9,0)),"")</f>
        <v/>
      </c>
    </row>
    <row r="3858" spans="4:17" ht="12.75" customHeight="1" x14ac:dyDescent="0.2">
      <c r="D3858" s="58" t="str">
        <f>IFERROR(IF(F3858&lt;&gt;"pending","",IF(OR($B3858="",$B3858="(blank)"),"",VLOOKUP($B3858,'Email Marketing Raw Data'!$C:$O,10,0))),"")</f>
        <v/>
      </c>
      <c r="E3858" s="59" t="str">
        <f>IFERROR(IF(F3858&lt;&gt;"pending","",IF(OR($B3858="",$B3858="(blank)"),"",VLOOKUP($B3858,'Email Marketing Raw Data'!$C:$O,11,0))),"")</f>
        <v/>
      </c>
      <c r="F3858" s="54" t="str">
        <f>IFERROR(IF(OR($B3858="",$B3858="(blank)"),"",VLOOKUP($B3858,'Email Marketing Raw Data'!$C:$O,13,0)),"")</f>
        <v/>
      </c>
      <c r="G3858" s="55" t="str">
        <f>IFERROR(IF(OR($B3858="",$B3858="(blank)"),"",VLOOKUP($B3858,'Email Marketing Raw Data'!$C:$O,4,0)),"")</f>
        <v/>
      </c>
      <c r="H3858" s="55" t="str">
        <f>IFERROR(IF(OR($B3858="",$B3858="(blank)"),"",VLOOKUP($B3858,'Email Marketing Raw Data'!$C:$O,5,0)),"")</f>
        <v/>
      </c>
      <c r="I3858" s="55" t="str">
        <f>IFERROR(IF($G3858="","",VLOOKUP('Dashboard And Emails Automate'!$G3858,Database!$H:$N,3,0)),"")</f>
        <v/>
      </c>
      <c r="J3858" s="55" t="str">
        <f>IFERROR(IF($G3858="","",VLOOKUP('Dashboard And Emails Automate'!$G3858,Database!$H:$N,4,0)),"")</f>
        <v/>
      </c>
      <c r="K3858" s="55" t="str">
        <f>IFERROR(IF($G3858="","",VLOOKUP('Dashboard And Emails Automate'!$G3858,Database!$H:$N,5,0)),"")</f>
        <v/>
      </c>
      <c r="L3858" s="55" t="str">
        <f>IFERROR(IF($G3858="","",VLOOKUP('Dashboard And Emails Automate'!$G3858,Database!$H:$N,6,0)),"")</f>
        <v/>
      </c>
      <c r="M3858" s="55" t="str">
        <f>IFERROR(IF($G3858="","",VLOOKUP('Dashboard And Emails Automate'!$G3858,Database!$H:$N,7,0)),"")</f>
        <v/>
      </c>
      <c r="N3858" s="55" t="str">
        <f>IFERROR(IF(OR($B3858="",$B3858="(blank)"),"",VLOOKUP($B3858,'Email Marketing Raw Data'!$C:$O,6,0)),"")</f>
        <v/>
      </c>
      <c r="O3858" s="55" t="str">
        <f>IFERROR(IF(OR($B3858="",$B3858="(blank)"),"",VLOOKUP($B3858,'Email Marketing Raw Data'!$C:$O,7,0)),"")</f>
        <v/>
      </c>
      <c r="P3858" s="55" t="str">
        <f>IFERROR(IF(OR($B3858="",$B3858="(blank)"),"",VLOOKUP($B3858,'Email Marketing Raw Data'!$C:$O,8,0)),"")</f>
        <v/>
      </c>
      <c r="Q3858" s="62" t="str">
        <f>IFERROR(IF(OR($B3858="",$B3858="(blank)"),"",VLOOKUP($B3858,'Email Marketing Raw Data'!$C:$O,9,0)),"")</f>
        <v/>
      </c>
    </row>
    <row r="3859" spans="4:17" ht="12.75" customHeight="1" x14ac:dyDescent="0.2">
      <c r="D3859" s="58" t="str">
        <f>IFERROR(IF(F3859&lt;&gt;"pending","",IF(OR($B3859="",$B3859="(blank)"),"",VLOOKUP($B3859,'Email Marketing Raw Data'!$C:$O,10,0))),"")</f>
        <v/>
      </c>
      <c r="E3859" s="59" t="str">
        <f>IFERROR(IF(F3859&lt;&gt;"pending","",IF(OR($B3859="",$B3859="(blank)"),"",VLOOKUP($B3859,'Email Marketing Raw Data'!$C:$O,11,0))),"")</f>
        <v/>
      </c>
      <c r="F3859" s="54" t="str">
        <f>IFERROR(IF(OR($B3859="",$B3859="(blank)"),"",VLOOKUP($B3859,'Email Marketing Raw Data'!$C:$O,13,0)),"")</f>
        <v/>
      </c>
      <c r="G3859" s="55" t="str">
        <f>IFERROR(IF(OR($B3859="",$B3859="(blank)"),"",VLOOKUP($B3859,'Email Marketing Raw Data'!$C:$O,4,0)),"")</f>
        <v/>
      </c>
      <c r="H3859" s="55" t="str">
        <f>IFERROR(IF(OR($B3859="",$B3859="(blank)"),"",VLOOKUP($B3859,'Email Marketing Raw Data'!$C:$O,5,0)),"")</f>
        <v/>
      </c>
      <c r="I3859" s="55" t="str">
        <f>IFERROR(IF($G3859="","",VLOOKUP('Dashboard And Emails Automate'!$G3859,Database!$H:$N,3,0)),"")</f>
        <v/>
      </c>
      <c r="J3859" s="55" t="str">
        <f>IFERROR(IF($G3859="","",VLOOKUP('Dashboard And Emails Automate'!$G3859,Database!$H:$N,4,0)),"")</f>
        <v/>
      </c>
      <c r="K3859" s="55" t="str">
        <f>IFERROR(IF($G3859="","",VLOOKUP('Dashboard And Emails Automate'!$G3859,Database!$H:$N,5,0)),"")</f>
        <v/>
      </c>
      <c r="L3859" s="55" t="str">
        <f>IFERROR(IF($G3859="","",VLOOKUP('Dashboard And Emails Automate'!$G3859,Database!$H:$N,6,0)),"")</f>
        <v/>
      </c>
      <c r="M3859" s="55" t="str">
        <f>IFERROR(IF($G3859="","",VLOOKUP('Dashboard And Emails Automate'!$G3859,Database!$H:$N,7,0)),"")</f>
        <v/>
      </c>
      <c r="N3859" s="55" t="str">
        <f>IFERROR(IF(OR($B3859="",$B3859="(blank)"),"",VLOOKUP($B3859,'Email Marketing Raw Data'!$C:$O,6,0)),"")</f>
        <v/>
      </c>
      <c r="O3859" s="55" t="str">
        <f>IFERROR(IF(OR($B3859="",$B3859="(blank)"),"",VLOOKUP($B3859,'Email Marketing Raw Data'!$C:$O,7,0)),"")</f>
        <v/>
      </c>
      <c r="P3859" s="55" t="str">
        <f>IFERROR(IF(OR($B3859="",$B3859="(blank)"),"",VLOOKUP($B3859,'Email Marketing Raw Data'!$C:$O,8,0)),"")</f>
        <v/>
      </c>
      <c r="Q3859" s="62" t="str">
        <f>IFERROR(IF(OR($B3859="",$B3859="(blank)"),"",VLOOKUP($B3859,'Email Marketing Raw Data'!$C:$O,9,0)),"")</f>
        <v/>
      </c>
    </row>
    <row r="3860" spans="4:17" ht="12.75" customHeight="1" x14ac:dyDescent="0.2">
      <c r="D3860" s="58" t="str">
        <f>IFERROR(IF(F3860&lt;&gt;"pending","",IF(OR($B3860="",$B3860="(blank)"),"",VLOOKUP($B3860,'Email Marketing Raw Data'!$C:$O,10,0))),"")</f>
        <v/>
      </c>
      <c r="E3860" s="59" t="str">
        <f>IFERROR(IF(F3860&lt;&gt;"pending","",IF(OR($B3860="",$B3860="(blank)"),"",VLOOKUP($B3860,'Email Marketing Raw Data'!$C:$O,11,0))),"")</f>
        <v/>
      </c>
      <c r="F3860" s="54" t="str">
        <f>IFERROR(IF(OR($B3860="",$B3860="(blank)"),"",VLOOKUP($B3860,'Email Marketing Raw Data'!$C:$O,13,0)),"")</f>
        <v/>
      </c>
      <c r="G3860" s="55" t="str">
        <f>IFERROR(IF(OR($B3860="",$B3860="(blank)"),"",VLOOKUP($B3860,'Email Marketing Raw Data'!$C:$O,4,0)),"")</f>
        <v/>
      </c>
      <c r="H3860" s="55" t="str">
        <f>IFERROR(IF(OR($B3860="",$B3860="(blank)"),"",VLOOKUP($B3860,'Email Marketing Raw Data'!$C:$O,5,0)),"")</f>
        <v/>
      </c>
      <c r="I3860" s="55" t="str">
        <f>IFERROR(IF($G3860="","",VLOOKUP('Dashboard And Emails Automate'!$G3860,Database!$H:$N,3,0)),"")</f>
        <v/>
      </c>
      <c r="J3860" s="55" t="str">
        <f>IFERROR(IF($G3860="","",VLOOKUP('Dashboard And Emails Automate'!$G3860,Database!$H:$N,4,0)),"")</f>
        <v/>
      </c>
      <c r="K3860" s="55" t="str">
        <f>IFERROR(IF($G3860="","",VLOOKUP('Dashboard And Emails Automate'!$G3860,Database!$H:$N,5,0)),"")</f>
        <v/>
      </c>
      <c r="L3860" s="55" t="str">
        <f>IFERROR(IF($G3860="","",VLOOKUP('Dashboard And Emails Automate'!$G3860,Database!$H:$N,6,0)),"")</f>
        <v/>
      </c>
      <c r="M3860" s="55" t="str">
        <f>IFERROR(IF($G3860="","",VLOOKUP('Dashboard And Emails Automate'!$G3860,Database!$H:$N,7,0)),"")</f>
        <v/>
      </c>
      <c r="N3860" s="55" t="str">
        <f>IFERROR(IF(OR($B3860="",$B3860="(blank)"),"",VLOOKUP($B3860,'Email Marketing Raw Data'!$C:$O,6,0)),"")</f>
        <v/>
      </c>
      <c r="O3860" s="55" t="str">
        <f>IFERROR(IF(OR($B3860="",$B3860="(blank)"),"",VLOOKUP($B3860,'Email Marketing Raw Data'!$C:$O,7,0)),"")</f>
        <v/>
      </c>
      <c r="P3860" s="55" t="str">
        <f>IFERROR(IF(OR($B3860="",$B3860="(blank)"),"",VLOOKUP($B3860,'Email Marketing Raw Data'!$C:$O,8,0)),"")</f>
        <v/>
      </c>
      <c r="Q3860" s="62" t="str">
        <f>IFERROR(IF(OR($B3860="",$B3860="(blank)"),"",VLOOKUP($B3860,'Email Marketing Raw Data'!$C:$O,9,0)),"")</f>
        <v/>
      </c>
    </row>
    <row r="3861" spans="4:17" ht="12.75" customHeight="1" x14ac:dyDescent="0.2">
      <c r="D3861" s="58" t="str">
        <f>IFERROR(IF(F3861&lt;&gt;"pending","",IF(OR($B3861="",$B3861="(blank)"),"",VLOOKUP($B3861,'Email Marketing Raw Data'!$C:$O,10,0))),"")</f>
        <v/>
      </c>
      <c r="E3861" s="59" t="str">
        <f>IFERROR(IF(F3861&lt;&gt;"pending","",IF(OR($B3861="",$B3861="(blank)"),"",VLOOKUP($B3861,'Email Marketing Raw Data'!$C:$O,11,0))),"")</f>
        <v/>
      </c>
      <c r="F3861" s="54" t="str">
        <f>IFERROR(IF(OR($B3861="",$B3861="(blank)"),"",VLOOKUP($B3861,'Email Marketing Raw Data'!$C:$O,13,0)),"")</f>
        <v/>
      </c>
      <c r="G3861" s="55" t="str">
        <f>IFERROR(IF(OR($B3861="",$B3861="(blank)"),"",VLOOKUP($B3861,'Email Marketing Raw Data'!$C:$O,4,0)),"")</f>
        <v/>
      </c>
      <c r="H3861" s="55" t="str">
        <f>IFERROR(IF(OR($B3861="",$B3861="(blank)"),"",VLOOKUP($B3861,'Email Marketing Raw Data'!$C:$O,5,0)),"")</f>
        <v/>
      </c>
      <c r="I3861" s="55" t="str">
        <f>IFERROR(IF($G3861="","",VLOOKUP('Dashboard And Emails Automate'!$G3861,Database!$H:$N,3,0)),"")</f>
        <v/>
      </c>
      <c r="J3861" s="55" t="str">
        <f>IFERROR(IF($G3861="","",VLOOKUP('Dashboard And Emails Automate'!$G3861,Database!$H:$N,4,0)),"")</f>
        <v/>
      </c>
      <c r="K3861" s="55" t="str">
        <f>IFERROR(IF($G3861="","",VLOOKUP('Dashboard And Emails Automate'!$G3861,Database!$H:$N,5,0)),"")</f>
        <v/>
      </c>
      <c r="L3861" s="55" t="str">
        <f>IFERROR(IF($G3861="","",VLOOKUP('Dashboard And Emails Automate'!$G3861,Database!$H:$N,6,0)),"")</f>
        <v/>
      </c>
      <c r="M3861" s="55" t="str">
        <f>IFERROR(IF($G3861="","",VLOOKUP('Dashboard And Emails Automate'!$G3861,Database!$H:$N,7,0)),"")</f>
        <v/>
      </c>
      <c r="N3861" s="55" t="str">
        <f>IFERROR(IF(OR($B3861="",$B3861="(blank)"),"",VLOOKUP($B3861,'Email Marketing Raw Data'!$C:$O,6,0)),"")</f>
        <v/>
      </c>
      <c r="O3861" s="55" t="str">
        <f>IFERROR(IF(OR($B3861="",$B3861="(blank)"),"",VLOOKUP($B3861,'Email Marketing Raw Data'!$C:$O,7,0)),"")</f>
        <v/>
      </c>
      <c r="P3861" s="55" t="str">
        <f>IFERROR(IF(OR($B3861="",$B3861="(blank)"),"",VLOOKUP($B3861,'Email Marketing Raw Data'!$C:$O,8,0)),"")</f>
        <v/>
      </c>
      <c r="Q3861" s="62" t="str">
        <f>IFERROR(IF(OR($B3861="",$B3861="(blank)"),"",VLOOKUP($B3861,'Email Marketing Raw Data'!$C:$O,9,0)),"")</f>
        <v/>
      </c>
    </row>
    <row r="3862" spans="4:17" ht="12.75" customHeight="1" x14ac:dyDescent="0.2">
      <c r="D3862" s="58" t="str">
        <f>IFERROR(IF(F3862&lt;&gt;"pending","",IF(OR($B3862="",$B3862="(blank)"),"",VLOOKUP($B3862,'Email Marketing Raw Data'!$C:$O,10,0))),"")</f>
        <v/>
      </c>
      <c r="E3862" s="59" t="str">
        <f>IFERROR(IF(F3862&lt;&gt;"pending","",IF(OR($B3862="",$B3862="(blank)"),"",VLOOKUP($B3862,'Email Marketing Raw Data'!$C:$O,11,0))),"")</f>
        <v/>
      </c>
      <c r="F3862" s="54" t="str">
        <f>IFERROR(IF(OR($B3862="",$B3862="(blank)"),"",VLOOKUP($B3862,'Email Marketing Raw Data'!$C:$O,13,0)),"")</f>
        <v/>
      </c>
      <c r="G3862" s="55" t="str">
        <f>IFERROR(IF(OR($B3862="",$B3862="(blank)"),"",VLOOKUP($B3862,'Email Marketing Raw Data'!$C:$O,4,0)),"")</f>
        <v/>
      </c>
      <c r="H3862" s="55" t="str">
        <f>IFERROR(IF(OR($B3862="",$B3862="(blank)"),"",VLOOKUP($B3862,'Email Marketing Raw Data'!$C:$O,5,0)),"")</f>
        <v/>
      </c>
      <c r="I3862" s="55" t="str">
        <f>IFERROR(IF($G3862="","",VLOOKUP('Dashboard And Emails Automate'!$G3862,Database!$H:$N,3,0)),"")</f>
        <v/>
      </c>
      <c r="J3862" s="55" t="str">
        <f>IFERROR(IF($G3862="","",VLOOKUP('Dashboard And Emails Automate'!$G3862,Database!$H:$N,4,0)),"")</f>
        <v/>
      </c>
      <c r="K3862" s="55" t="str">
        <f>IFERROR(IF($G3862="","",VLOOKUP('Dashboard And Emails Automate'!$G3862,Database!$H:$N,5,0)),"")</f>
        <v/>
      </c>
      <c r="L3862" s="55" t="str">
        <f>IFERROR(IF($G3862="","",VLOOKUP('Dashboard And Emails Automate'!$G3862,Database!$H:$N,6,0)),"")</f>
        <v/>
      </c>
      <c r="M3862" s="55" t="str">
        <f>IFERROR(IF($G3862="","",VLOOKUP('Dashboard And Emails Automate'!$G3862,Database!$H:$N,7,0)),"")</f>
        <v/>
      </c>
      <c r="N3862" s="55" t="str">
        <f>IFERROR(IF(OR($B3862="",$B3862="(blank)"),"",VLOOKUP($B3862,'Email Marketing Raw Data'!$C:$O,6,0)),"")</f>
        <v/>
      </c>
      <c r="O3862" s="55" t="str">
        <f>IFERROR(IF(OR($B3862="",$B3862="(blank)"),"",VLOOKUP($B3862,'Email Marketing Raw Data'!$C:$O,7,0)),"")</f>
        <v/>
      </c>
      <c r="P3862" s="55" t="str">
        <f>IFERROR(IF(OR($B3862="",$B3862="(blank)"),"",VLOOKUP($B3862,'Email Marketing Raw Data'!$C:$O,8,0)),"")</f>
        <v/>
      </c>
      <c r="Q3862" s="62" t="str">
        <f>IFERROR(IF(OR($B3862="",$B3862="(blank)"),"",VLOOKUP($B3862,'Email Marketing Raw Data'!$C:$O,9,0)),"")</f>
        <v/>
      </c>
    </row>
    <row r="3863" spans="4:17" ht="12.75" customHeight="1" x14ac:dyDescent="0.2">
      <c r="D3863" s="58" t="str">
        <f>IFERROR(IF(F3863&lt;&gt;"pending","",IF(OR($B3863="",$B3863="(blank)"),"",VLOOKUP($B3863,'Email Marketing Raw Data'!$C:$O,10,0))),"")</f>
        <v/>
      </c>
      <c r="E3863" s="59" t="str">
        <f>IFERROR(IF(F3863&lt;&gt;"pending","",IF(OR($B3863="",$B3863="(blank)"),"",VLOOKUP($B3863,'Email Marketing Raw Data'!$C:$O,11,0))),"")</f>
        <v/>
      </c>
      <c r="F3863" s="54" t="str">
        <f>IFERROR(IF(OR($B3863="",$B3863="(blank)"),"",VLOOKUP($B3863,'Email Marketing Raw Data'!$C:$O,13,0)),"")</f>
        <v/>
      </c>
      <c r="G3863" s="55" t="str">
        <f>IFERROR(IF(OR($B3863="",$B3863="(blank)"),"",VLOOKUP($B3863,'Email Marketing Raw Data'!$C:$O,4,0)),"")</f>
        <v/>
      </c>
      <c r="H3863" s="55" t="str">
        <f>IFERROR(IF(OR($B3863="",$B3863="(blank)"),"",VLOOKUP($B3863,'Email Marketing Raw Data'!$C:$O,5,0)),"")</f>
        <v/>
      </c>
      <c r="I3863" s="55" t="str">
        <f>IFERROR(IF($G3863="","",VLOOKUP('Dashboard And Emails Automate'!$G3863,Database!$H:$N,3,0)),"")</f>
        <v/>
      </c>
      <c r="J3863" s="55" t="str">
        <f>IFERROR(IF($G3863="","",VLOOKUP('Dashboard And Emails Automate'!$G3863,Database!$H:$N,4,0)),"")</f>
        <v/>
      </c>
      <c r="K3863" s="55" t="str">
        <f>IFERROR(IF($G3863="","",VLOOKUP('Dashboard And Emails Automate'!$G3863,Database!$H:$N,5,0)),"")</f>
        <v/>
      </c>
      <c r="L3863" s="55" t="str">
        <f>IFERROR(IF($G3863="","",VLOOKUP('Dashboard And Emails Automate'!$G3863,Database!$H:$N,6,0)),"")</f>
        <v/>
      </c>
      <c r="M3863" s="55" t="str">
        <f>IFERROR(IF($G3863="","",VLOOKUP('Dashboard And Emails Automate'!$G3863,Database!$H:$N,7,0)),"")</f>
        <v/>
      </c>
      <c r="N3863" s="55" t="str">
        <f>IFERROR(IF(OR($B3863="",$B3863="(blank)"),"",VLOOKUP($B3863,'Email Marketing Raw Data'!$C:$O,6,0)),"")</f>
        <v/>
      </c>
      <c r="O3863" s="55" t="str">
        <f>IFERROR(IF(OR($B3863="",$B3863="(blank)"),"",VLOOKUP($B3863,'Email Marketing Raw Data'!$C:$O,7,0)),"")</f>
        <v/>
      </c>
      <c r="P3863" s="55" t="str">
        <f>IFERROR(IF(OR($B3863="",$B3863="(blank)"),"",VLOOKUP($B3863,'Email Marketing Raw Data'!$C:$O,8,0)),"")</f>
        <v/>
      </c>
      <c r="Q3863" s="62" t="str">
        <f>IFERROR(IF(OR($B3863="",$B3863="(blank)"),"",VLOOKUP($B3863,'Email Marketing Raw Data'!$C:$O,9,0)),"")</f>
        <v/>
      </c>
    </row>
    <row r="3864" spans="4:17" ht="12.75" customHeight="1" x14ac:dyDescent="0.2">
      <c r="D3864" s="58" t="str">
        <f>IFERROR(IF(F3864&lt;&gt;"pending","",IF(OR($B3864="",$B3864="(blank)"),"",VLOOKUP($B3864,'Email Marketing Raw Data'!$C:$O,10,0))),"")</f>
        <v/>
      </c>
      <c r="E3864" s="59" t="str">
        <f>IFERROR(IF(F3864&lt;&gt;"pending","",IF(OR($B3864="",$B3864="(blank)"),"",VLOOKUP($B3864,'Email Marketing Raw Data'!$C:$O,11,0))),"")</f>
        <v/>
      </c>
      <c r="F3864" s="54" t="str">
        <f>IFERROR(IF(OR($B3864="",$B3864="(blank)"),"",VLOOKUP($B3864,'Email Marketing Raw Data'!$C:$O,13,0)),"")</f>
        <v/>
      </c>
      <c r="G3864" s="55" t="str">
        <f>IFERROR(IF(OR($B3864="",$B3864="(blank)"),"",VLOOKUP($B3864,'Email Marketing Raw Data'!$C:$O,4,0)),"")</f>
        <v/>
      </c>
      <c r="H3864" s="55" t="str">
        <f>IFERROR(IF(OR($B3864="",$B3864="(blank)"),"",VLOOKUP($B3864,'Email Marketing Raw Data'!$C:$O,5,0)),"")</f>
        <v/>
      </c>
      <c r="I3864" s="55" t="str">
        <f>IFERROR(IF($G3864="","",VLOOKUP('Dashboard And Emails Automate'!$G3864,Database!$H:$N,3,0)),"")</f>
        <v/>
      </c>
      <c r="J3864" s="55" t="str">
        <f>IFERROR(IF($G3864="","",VLOOKUP('Dashboard And Emails Automate'!$G3864,Database!$H:$N,4,0)),"")</f>
        <v/>
      </c>
      <c r="K3864" s="55" t="str">
        <f>IFERROR(IF($G3864="","",VLOOKUP('Dashboard And Emails Automate'!$G3864,Database!$H:$N,5,0)),"")</f>
        <v/>
      </c>
      <c r="L3864" s="55" t="str">
        <f>IFERROR(IF($G3864="","",VLOOKUP('Dashboard And Emails Automate'!$G3864,Database!$H:$N,6,0)),"")</f>
        <v/>
      </c>
      <c r="M3864" s="55" t="str">
        <f>IFERROR(IF($G3864="","",VLOOKUP('Dashboard And Emails Automate'!$G3864,Database!$H:$N,7,0)),"")</f>
        <v/>
      </c>
      <c r="N3864" s="55" t="str">
        <f>IFERROR(IF(OR($B3864="",$B3864="(blank)"),"",VLOOKUP($B3864,'Email Marketing Raw Data'!$C:$O,6,0)),"")</f>
        <v/>
      </c>
      <c r="O3864" s="55" t="str">
        <f>IFERROR(IF(OR($B3864="",$B3864="(blank)"),"",VLOOKUP($B3864,'Email Marketing Raw Data'!$C:$O,7,0)),"")</f>
        <v/>
      </c>
      <c r="P3864" s="55" t="str">
        <f>IFERROR(IF(OR($B3864="",$B3864="(blank)"),"",VLOOKUP($B3864,'Email Marketing Raw Data'!$C:$O,8,0)),"")</f>
        <v/>
      </c>
      <c r="Q3864" s="62" t="str">
        <f>IFERROR(IF(OR($B3864="",$B3864="(blank)"),"",VLOOKUP($B3864,'Email Marketing Raw Data'!$C:$O,9,0)),"")</f>
        <v/>
      </c>
    </row>
    <row r="3865" spans="4:17" ht="12.75" customHeight="1" x14ac:dyDescent="0.2">
      <c r="D3865" s="58" t="str">
        <f>IFERROR(IF(F3865&lt;&gt;"pending","",IF(OR($B3865="",$B3865="(blank)"),"",VLOOKUP($B3865,'Email Marketing Raw Data'!$C:$O,10,0))),"")</f>
        <v/>
      </c>
      <c r="E3865" s="59" t="str">
        <f>IFERROR(IF(F3865&lt;&gt;"pending","",IF(OR($B3865="",$B3865="(blank)"),"",VLOOKUP($B3865,'Email Marketing Raw Data'!$C:$O,11,0))),"")</f>
        <v/>
      </c>
      <c r="F3865" s="54" t="str">
        <f>IFERROR(IF(OR($B3865="",$B3865="(blank)"),"",VLOOKUP($B3865,'Email Marketing Raw Data'!$C:$O,13,0)),"")</f>
        <v/>
      </c>
      <c r="G3865" s="55" t="str">
        <f>IFERROR(IF(OR($B3865="",$B3865="(blank)"),"",VLOOKUP($B3865,'Email Marketing Raw Data'!$C:$O,4,0)),"")</f>
        <v/>
      </c>
      <c r="H3865" s="55" t="str">
        <f>IFERROR(IF(OR($B3865="",$B3865="(blank)"),"",VLOOKUP($B3865,'Email Marketing Raw Data'!$C:$O,5,0)),"")</f>
        <v/>
      </c>
      <c r="I3865" s="55" t="str">
        <f>IFERROR(IF($G3865="","",VLOOKUP('Dashboard And Emails Automate'!$G3865,Database!$H:$N,3,0)),"")</f>
        <v/>
      </c>
      <c r="J3865" s="55" t="str">
        <f>IFERROR(IF($G3865="","",VLOOKUP('Dashboard And Emails Automate'!$G3865,Database!$H:$N,4,0)),"")</f>
        <v/>
      </c>
      <c r="K3865" s="55" t="str">
        <f>IFERROR(IF($G3865="","",VLOOKUP('Dashboard And Emails Automate'!$G3865,Database!$H:$N,5,0)),"")</f>
        <v/>
      </c>
      <c r="L3865" s="55" t="str">
        <f>IFERROR(IF($G3865="","",VLOOKUP('Dashboard And Emails Automate'!$G3865,Database!$H:$N,6,0)),"")</f>
        <v/>
      </c>
      <c r="M3865" s="55" t="str">
        <f>IFERROR(IF($G3865="","",VLOOKUP('Dashboard And Emails Automate'!$G3865,Database!$H:$N,7,0)),"")</f>
        <v/>
      </c>
      <c r="N3865" s="55" t="str">
        <f>IFERROR(IF(OR($B3865="",$B3865="(blank)"),"",VLOOKUP($B3865,'Email Marketing Raw Data'!$C:$O,6,0)),"")</f>
        <v/>
      </c>
      <c r="O3865" s="55" t="str">
        <f>IFERROR(IF(OR($B3865="",$B3865="(blank)"),"",VLOOKUP($B3865,'Email Marketing Raw Data'!$C:$O,7,0)),"")</f>
        <v/>
      </c>
      <c r="P3865" s="55" t="str">
        <f>IFERROR(IF(OR($B3865="",$B3865="(blank)"),"",VLOOKUP($B3865,'Email Marketing Raw Data'!$C:$O,8,0)),"")</f>
        <v/>
      </c>
      <c r="Q3865" s="62" t="str">
        <f>IFERROR(IF(OR($B3865="",$B3865="(blank)"),"",VLOOKUP($B3865,'Email Marketing Raw Data'!$C:$O,9,0)),"")</f>
        <v/>
      </c>
    </row>
    <row r="3866" spans="4:17" ht="12.75" customHeight="1" x14ac:dyDescent="0.2">
      <c r="D3866" s="58" t="str">
        <f>IFERROR(IF(F3866&lt;&gt;"pending","",IF(OR($B3866="",$B3866="(blank)"),"",VLOOKUP($B3866,'Email Marketing Raw Data'!$C:$O,10,0))),"")</f>
        <v/>
      </c>
      <c r="E3866" s="59" t="str">
        <f>IFERROR(IF(F3866&lt;&gt;"pending","",IF(OR($B3866="",$B3866="(blank)"),"",VLOOKUP($B3866,'Email Marketing Raw Data'!$C:$O,11,0))),"")</f>
        <v/>
      </c>
      <c r="F3866" s="54" t="str">
        <f>IFERROR(IF(OR($B3866="",$B3866="(blank)"),"",VLOOKUP($B3866,'Email Marketing Raw Data'!$C:$O,13,0)),"")</f>
        <v/>
      </c>
      <c r="G3866" s="55" t="str">
        <f>IFERROR(IF(OR($B3866="",$B3866="(blank)"),"",VLOOKUP($B3866,'Email Marketing Raw Data'!$C:$O,4,0)),"")</f>
        <v/>
      </c>
      <c r="H3866" s="55" t="str">
        <f>IFERROR(IF(OR($B3866="",$B3866="(blank)"),"",VLOOKUP($B3866,'Email Marketing Raw Data'!$C:$O,5,0)),"")</f>
        <v/>
      </c>
      <c r="I3866" s="55" t="str">
        <f>IFERROR(IF($G3866="","",VLOOKUP('Dashboard And Emails Automate'!$G3866,Database!$H:$N,3,0)),"")</f>
        <v/>
      </c>
      <c r="J3866" s="55" t="str">
        <f>IFERROR(IF($G3866="","",VLOOKUP('Dashboard And Emails Automate'!$G3866,Database!$H:$N,4,0)),"")</f>
        <v/>
      </c>
      <c r="K3866" s="55" t="str">
        <f>IFERROR(IF($G3866="","",VLOOKUP('Dashboard And Emails Automate'!$G3866,Database!$H:$N,5,0)),"")</f>
        <v/>
      </c>
      <c r="L3866" s="55" t="str">
        <f>IFERROR(IF($G3866="","",VLOOKUP('Dashboard And Emails Automate'!$G3866,Database!$H:$N,6,0)),"")</f>
        <v/>
      </c>
      <c r="M3866" s="55" t="str">
        <f>IFERROR(IF($G3866="","",VLOOKUP('Dashboard And Emails Automate'!$G3866,Database!$H:$N,7,0)),"")</f>
        <v/>
      </c>
      <c r="N3866" s="55" t="str">
        <f>IFERROR(IF(OR($B3866="",$B3866="(blank)"),"",VLOOKUP($B3866,'Email Marketing Raw Data'!$C:$O,6,0)),"")</f>
        <v/>
      </c>
      <c r="O3866" s="55" t="str">
        <f>IFERROR(IF(OR($B3866="",$B3866="(blank)"),"",VLOOKUP($B3866,'Email Marketing Raw Data'!$C:$O,7,0)),"")</f>
        <v/>
      </c>
      <c r="P3866" s="55" t="str">
        <f>IFERROR(IF(OR($B3866="",$B3866="(blank)"),"",VLOOKUP($B3866,'Email Marketing Raw Data'!$C:$O,8,0)),"")</f>
        <v/>
      </c>
      <c r="Q3866" s="62" t="str">
        <f>IFERROR(IF(OR($B3866="",$B3866="(blank)"),"",VLOOKUP($B3866,'Email Marketing Raw Data'!$C:$O,9,0)),"")</f>
        <v/>
      </c>
    </row>
    <row r="3867" spans="4:17" ht="12.75" customHeight="1" x14ac:dyDescent="0.2">
      <c r="D3867" s="58" t="str">
        <f>IFERROR(IF(F3867&lt;&gt;"pending","",IF(OR($B3867="",$B3867="(blank)"),"",VLOOKUP($B3867,'Email Marketing Raw Data'!$C:$O,10,0))),"")</f>
        <v/>
      </c>
      <c r="E3867" s="59" t="str">
        <f>IFERROR(IF(F3867&lt;&gt;"pending","",IF(OR($B3867="",$B3867="(blank)"),"",VLOOKUP($B3867,'Email Marketing Raw Data'!$C:$O,11,0))),"")</f>
        <v/>
      </c>
      <c r="F3867" s="54" t="str">
        <f>IFERROR(IF(OR($B3867="",$B3867="(blank)"),"",VLOOKUP($B3867,'Email Marketing Raw Data'!$C:$O,13,0)),"")</f>
        <v/>
      </c>
      <c r="G3867" s="55" t="str">
        <f>IFERROR(IF(OR($B3867="",$B3867="(blank)"),"",VLOOKUP($B3867,'Email Marketing Raw Data'!$C:$O,4,0)),"")</f>
        <v/>
      </c>
      <c r="H3867" s="55" t="str">
        <f>IFERROR(IF(OR($B3867="",$B3867="(blank)"),"",VLOOKUP($B3867,'Email Marketing Raw Data'!$C:$O,5,0)),"")</f>
        <v/>
      </c>
      <c r="I3867" s="55" t="str">
        <f>IFERROR(IF($G3867="","",VLOOKUP('Dashboard And Emails Automate'!$G3867,Database!$H:$N,3,0)),"")</f>
        <v/>
      </c>
      <c r="J3867" s="55" t="str">
        <f>IFERROR(IF($G3867="","",VLOOKUP('Dashboard And Emails Automate'!$G3867,Database!$H:$N,4,0)),"")</f>
        <v/>
      </c>
      <c r="K3867" s="55" t="str">
        <f>IFERROR(IF($G3867="","",VLOOKUP('Dashboard And Emails Automate'!$G3867,Database!$H:$N,5,0)),"")</f>
        <v/>
      </c>
      <c r="L3867" s="55" t="str">
        <f>IFERROR(IF($G3867="","",VLOOKUP('Dashboard And Emails Automate'!$G3867,Database!$H:$N,6,0)),"")</f>
        <v/>
      </c>
      <c r="M3867" s="55" t="str">
        <f>IFERROR(IF($G3867="","",VLOOKUP('Dashboard And Emails Automate'!$G3867,Database!$H:$N,7,0)),"")</f>
        <v/>
      </c>
      <c r="N3867" s="55" t="str">
        <f>IFERROR(IF(OR($B3867="",$B3867="(blank)"),"",VLOOKUP($B3867,'Email Marketing Raw Data'!$C:$O,6,0)),"")</f>
        <v/>
      </c>
      <c r="O3867" s="55" t="str">
        <f>IFERROR(IF(OR($B3867="",$B3867="(blank)"),"",VLOOKUP($B3867,'Email Marketing Raw Data'!$C:$O,7,0)),"")</f>
        <v/>
      </c>
      <c r="P3867" s="55" t="str">
        <f>IFERROR(IF(OR($B3867="",$B3867="(blank)"),"",VLOOKUP($B3867,'Email Marketing Raw Data'!$C:$O,8,0)),"")</f>
        <v/>
      </c>
      <c r="Q3867" s="62" t="str">
        <f>IFERROR(IF(OR($B3867="",$B3867="(blank)"),"",VLOOKUP($B3867,'Email Marketing Raw Data'!$C:$O,9,0)),"")</f>
        <v/>
      </c>
    </row>
    <row r="3868" spans="4:17" ht="12.75" customHeight="1" x14ac:dyDescent="0.2">
      <c r="D3868" s="58" t="str">
        <f>IFERROR(IF(F3868&lt;&gt;"pending","",IF(OR($B3868="",$B3868="(blank)"),"",VLOOKUP($B3868,'Email Marketing Raw Data'!$C:$O,10,0))),"")</f>
        <v/>
      </c>
      <c r="E3868" s="59" t="str">
        <f>IFERROR(IF(F3868&lt;&gt;"pending","",IF(OR($B3868="",$B3868="(blank)"),"",VLOOKUP($B3868,'Email Marketing Raw Data'!$C:$O,11,0))),"")</f>
        <v/>
      </c>
      <c r="F3868" s="54" t="str">
        <f>IFERROR(IF(OR($B3868="",$B3868="(blank)"),"",VLOOKUP($B3868,'Email Marketing Raw Data'!$C:$O,13,0)),"")</f>
        <v/>
      </c>
      <c r="G3868" s="55" t="str">
        <f>IFERROR(IF(OR($B3868="",$B3868="(blank)"),"",VLOOKUP($B3868,'Email Marketing Raw Data'!$C:$O,4,0)),"")</f>
        <v/>
      </c>
      <c r="H3868" s="55" t="str">
        <f>IFERROR(IF(OR($B3868="",$B3868="(blank)"),"",VLOOKUP($B3868,'Email Marketing Raw Data'!$C:$O,5,0)),"")</f>
        <v/>
      </c>
      <c r="I3868" s="55" t="str">
        <f>IFERROR(IF($G3868="","",VLOOKUP('Dashboard And Emails Automate'!$G3868,Database!$H:$N,3,0)),"")</f>
        <v/>
      </c>
      <c r="J3868" s="55" t="str">
        <f>IFERROR(IF($G3868="","",VLOOKUP('Dashboard And Emails Automate'!$G3868,Database!$H:$N,4,0)),"")</f>
        <v/>
      </c>
      <c r="K3868" s="55" t="str">
        <f>IFERROR(IF($G3868="","",VLOOKUP('Dashboard And Emails Automate'!$G3868,Database!$H:$N,5,0)),"")</f>
        <v/>
      </c>
      <c r="L3868" s="55" t="str">
        <f>IFERROR(IF($G3868="","",VLOOKUP('Dashboard And Emails Automate'!$G3868,Database!$H:$N,6,0)),"")</f>
        <v/>
      </c>
      <c r="M3868" s="55" t="str">
        <f>IFERROR(IF($G3868="","",VLOOKUP('Dashboard And Emails Automate'!$G3868,Database!$H:$N,7,0)),"")</f>
        <v/>
      </c>
      <c r="N3868" s="55" t="str">
        <f>IFERROR(IF(OR($B3868="",$B3868="(blank)"),"",VLOOKUP($B3868,'Email Marketing Raw Data'!$C:$O,6,0)),"")</f>
        <v/>
      </c>
      <c r="O3868" s="55" t="str">
        <f>IFERROR(IF(OR($B3868="",$B3868="(blank)"),"",VLOOKUP($B3868,'Email Marketing Raw Data'!$C:$O,7,0)),"")</f>
        <v/>
      </c>
      <c r="P3868" s="55" t="str">
        <f>IFERROR(IF(OR($B3868="",$B3868="(blank)"),"",VLOOKUP($B3868,'Email Marketing Raw Data'!$C:$O,8,0)),"")</f>
        <v/>
      </c>
      <c r="Q3868" s="62" t="str">
        <f>IFERROR(IF(OR($B3868="",$B3868="(blank)"),"",VLOOKUP($B3868,'Email Marketing Raw Data'!$C:$O,9,0)),"")</f>
        <v/>
      </c>
    </row>
    <row r="3869" spans="4:17" ht="12.75" customHeight="1" x14ac:dyDescent="0.2">
      <c r="D3869" s="58" t="str">
        <f>IFERROR(IF(F3869&lt;&gt;"pending","",IF(OR($B3869="",$B3869="(blank)"),"",VLOOKUP($B3869,'Email Marketing Raw Data'!$C:$O,10,0))),"")</f>
        <v/>
      </c>
      <c r="E3869" s="59" t="str">
        <f>IFERROR(IF(F3869&lt;&gt;"pending","",IF(OR($B3869="",$B3869="(blank)"),"",VLOOKUP($B3869,'Email Marketing Raw Data'!$C:$O,11,0))),"")</f>
        <v/>
      </c>
      <c r="F3869" s="54" t="str">
        <f>IFERROR(IF(OR($B3869="",$B3869="(blank)"),"",VLOOKUP($B3869,'Email Marketing Raw Data'!$C:$O,13,0)),"")</f>
        <v/>
      </c>
      <c r="G3869" s="55" t="str">
        <f>IFERROR(IF(OR($B3869="",$B3869="(blank)"),"",VLOOKUP($B3869,'Email Marketing Raw Data'!$C:$O,4,0)),"")</f>
        <v/>
      </c>
      <c r="H3869" s="55" t="str">
        <f>IFERROR(IF(OR($B3869="",$B3869="(blank)"),"",VLOOKUP($B3869,'Email Marketing Raw Data'!$C:$O,5,0)),"")</f>
        <v/>
      </c>
      <c r="I3869" s="55" t="str">
        <f>IFERROR(IF($G3869="","",VLOOKUP('Dashboard And Emails Automate'!$G3869,Database!$H:$N,3,0)),"")</f>
        <v/>
      </c>
      <c r="J3869" s="55" t="str">
        <f>IFERROR(IF($G3869="","",VLOOKUP('Dashboard And Emails Automate'!$G3869,Database!$H:$N,4,0)),"")</f>
        <v/>
      </c>
      <c r="K3869" s="55" t="str">
        <f>IFERROR(IF($G3869="","",VLOOKUP('Dashboard And Emails Automate'!$G3869,Database!$H:$N,5,0)),"")</f>
        <v/>
      </c>
      <c r="L3869" s="55" t="str">
        <f>IFERROR(IF($G3869="","",VLOOKUP('Dashboard And Emails Automate'!$G3869,Database!$H:$N,6,0)),"")</f>
        <v/>
      </c>
      <c r="M3869" s="55" t="str">
        <f>IFERROR(IF($G3869="","",VLOOKUP('Dashboard And Emails Automate'!$G3869,Database!$H:$N,7,0)),"")</f>
        <v/>
      </c>
      <c r="N3869" s="55" t="str">
        <f>IFERROR(IF(OR($B3869="",$B3869="(blank)"),"",VLOOKUP($B3869,'Email Marketing Raw Data'!$C:$O,6,0)),"")</f>
        <v/>
      </c>
      <c r="O3869" s="55" t="str">
        <f>IFERROR(IF(OR($B3869="",$B3869="(blank)"),"",VLOOKUP($B3869,'Email Marketing Raw Data'!$C:$O,7,0)),"")</f>
        <v/>
      </c>
      <c r="P3869" s="55" t="str">
        <f>IFERROR(IF(OR($B3869="",$B3869="(blank)"),"",VLOOKUP($B3869,'Email Marketing Raw Data'!$C:$O,8,0)),"")</f>
        <v/>
      </c>
      <c r="Q3869" s="62" t="str">
        <f>IFERROR(IF(OR($B3869="",$B3869="(blank)"),"",VLOOKUP($B3869,'Email Marketing Raw Data'!$C:$O,9,0)),"")</f>
        <v/>
      </c>
    </row>
    <row r="3870" spans="4:17" ht="12.75" customHeight="1" x14ac:dyDescent="0.2">
      <c r="D3870" s="58" t="str">
        <f>IFERROR(IF(F3870&lt;&gt;"pending","",IF(OR($B3870="",$B3870="(blank)"),"",VLOOKUP($B3870,'Email Marketing Raw Data'!$C:$O,10,0))),"")</f>
        <v/>
      </c>
      <c r="E3870" s="59" t="str">
        <f>IFERROR(IF(F3870&lt;&gt;"pending","",IF(OR($B3870="",$B3870="(blank)"),"",VLOOKUP($B3870,'Email Marketing Raw Data'!$C:$O,11,0))),"")</f>
        <v/>
      </c>
      <c r="F3870" s="54" t="str">
        <f>IFERROR(IF(OR($B3870="",$B3870="(blank)"),"",VLOOKUP($B3870,'Email Marketing Raw Data'!$C:$O,13,0)),"")</f>
        <v/>
      </c>
      <c r="G3870" s="55" t="str">
        <f>IFERROR(IF(OR($B3870="",$B3870="(blank)"),"",VLOOKUP($B3870,'Email Marketing Raw Data'!$C:$O,4,0)),"")</f>
        <v/>
      </c>
      <c r="H3870" s="55" t="str">
        <f>IFERROR(IF(OR($B3870="",$B3870="(blank)"),"",VLOOKUP($B3870,'Email Marketing Raw Data'!$C:$O,5,0)),"")</f>
        <v/>
      </c>
      <c r="I3870" s="55" t="str">
        <f>IFERROR(IF($G3870="","",VLOOKUP('Dashboard And Emails Automate'!$G3870,Database!$H:$N,3,0)),"")</f>
        <v/>
      </c>
      <c r="J3870" s="55" t="str">
        <f>IFERROR(IF($G3870="","",VLOOKUP('Dashboard And Emails Automate'!$G3870,Database!$H:$N,4,0)),"")</f>
        <v/>
      </c>
      <c r="K3870" s="55" t="str">
        <f>IFERROR(IF($G3870="","",VLOOKUP('Dashboard And Emails Automate'!$G3870,Database!$H:$N,5,0)),"")</f>
        <v/>
      </c>
      <c r="L3870" s="55" t="str">
        <f>IFERROR(IF($G3870="","",VLOOKUP('Dashboard And Emails Automate'!$G3870,Database!$H:$N,6,0)),"")</f>
        <v/>
      </c>
      <c r="M3870" s="55" t="str">
        <f>IFERROR(IF($G3870="","",VLOOKUP('Dashboard And Emails Automate'!$G3870,Database!$H:$N,7,0)),"")</f>
        <v/>
      </c>
      <c r="N3870" s="55" t="str">
        <f>IFERROR(IF(OR($B3870="",$B3870="(blank)"),"",VLOOKUP($B3870,'Email Marketing Raw Data'!$C:$O,6,0)),"")</f>
        <v/>
      </c>
      <c r="O3870" s="55" t="str">
        <f>IFERROR(IF(OR($B3870="",$B3870="(blank)"),"",VLOOKUP($B3870,'Email Marketing Raw Data'!$C:$O,7,0)),"")</f>
        <v/>
      </c>
      <c r="P3870" s="55" t="str">
        <f>IFERROR(IF(OR($B3870="",$B3870="(blank)"),"",VLOOKUP($B3870,'Email Marketing Raw Data'!$C:$O,8,0)),"")</f>
        <v/>
      </c>
      <c r="Q3870" s="62" t="str">
        <f>IFERROR(IF(OR($B3870="",$B3870="(blank)"),"",VLOOKUP($B3870,'Email Marketing Raw Data'!$C:$O,9,0)),"")</f>
        <v/>
      </c>
    </row>
    <row r="3871" spans="4:17" ht="12.75" customHeight="1" x14ac:dyDescent="0.2">
      <c r="D3871" s="58" t="str">
        <f>IFERROR(IF(F3871&lt;&gt;"pending","",IF(OR($B3871="",$B3871="(blank)"),"",VLOOKUP($B3871,'Email Marketing Raw Data'!$C:$O,10,0))),"")</f>
        <v/>
      </c>
      <c r="E3871" s="59" t="str">
        <f>IFERROR(IF(F3871&lt;&gt;"pending","",IF(OR($B3871="",$B3871="(blank)"),"",VLOOKUP($B3871,'Email Marketing Raw Data'!$C:$O,11,0))),"")</f>
        <v/>
      </c>
      <c r="F3871" s="54" t="str">
        <f>IFERROR(IF(OR($B3871="",$B3871="(blank)"),"",VLOOKUP($B3871,'Email Marketing Raw Data'!$C:$O,13,0)),"")</f>
        <v/>
      </c>
      <c r="G3871" s="55" t="str">
        <f>IFERROR(IF(OR($B3871="",$B3871="(blank)"),"",VLOOKUP($B3871,'Email Marketing Raw Data'!$C:$O,4,0)),"")</f>
        <v/>
      </c>
      <c r="H3871" s="55" t="str">
        <f>IFERROR(IF(OR($B3871="",$B3871="(blank)"),"",VLOOKUP($B3871,'Email Marketing Raw Data'!$C:$O,5,0)),"")</f>
        <v/>
      </c>
      <c r="I3871" s="55" t="str">
        <f>IFERROR(IF($G3871="","",VLOOKUP('Dashboard And Emails Automate'!$G3871,Database!$H:$N,3,0)),"")</f>
        <v/>
      </c>
      <c r="J3871" s="55" t="str">
        <f>IFERROR(IF($G3871="","",VLOOKUP('Dashboard And Emails Automate'!$G3871,Database!$H:$N,4,0)),"")</f>
        <v/>
      </c>
      <c r="K3871" s="55" t="str">
        <f>IFERROR(IF($G3871="","",VLOOKUP('Dashboard And Emails Automate'!$G3871,Database!$H:$N,5,0)),"")</f>
        <v/>
      </c>
      <c r="L3871" s="55" t="str">
        <f>IFERROR(IF($G3871="","",VLOOKUP('Dashboard And Emails Automate'!$G3871,Database!$H:$N,6,0)),"")</f>
        <v/>
      </c>
      <c r="M3871" s="55" t="str">
        <f>IFERROR(IF($G3871="","",VLOOKUP('Dashboard And Emails Automate'!$G3871,Database!$H:$N,7,0)),"")</f>
        <v/>
      </c>
      <c r="N3871" s="55" t="str">
        <f>IFERROR(IF(OR($B3871="",$B3871="(blank)"),"",VLOOKUP($B3871,'Email Marketing Raw Data'!$C:$O,6,0)),"")</f>
        <v/>
      </c>
      <c r="O3871" s="55" t="str">
        <f>IFERROR(IF(OR($B3871="",$B3871="(blank)"),"",VLOOKUP($B3871,'Email Marketing Raw Data'!$C:$O,7,0)),"")</f>
        <v/>
      </c>
      <c r="P3871" s="55" t="str">
        <f>IFERROR(IF(OR($B3871="",$B3871="(blank)"),"",VLOOKUP($B3871,'Email Marketing Raw Data'!$C:$O,8,0)),"")</f>
        <v/>
      </c>
      <c r="Q3871" s="62" t="str">
        <f>IFERROR(IF(OR($B3871="",$B3871="(blank)"),"",VLOOKUP($B3871,'Email Marketing Raw Data'!$C:$O,9,0)),"")</f>
        <v/>
      </c>
    </row>
    <row r="3872" spans="4:17" ht="12.75" customHeight="1" x14ac:dyDescent="0.2">
      <c r="D3872" s="58" t="str">
        <f>IFERROR(IF(F3872&lt;&gt;"pending","",IF(OR($B3872="",$B3872="(blank)"),"",VLOOKUP($B3872,'Email Marketing Raw Data'!$C:$O,10,0))),"")</f>
        <v/>
      </c>
      <c r="E3872" s="59" t="str">
        <f>IFERROR(IF(F3872&lt;&gt;"pending","",IF(OR($B3872="",$B3872="(blank)"),"",VLOOKUP($B3872,'Email Marketing Raw Data'!$C:$O,11,0))),"")</f>
        <v/>
      </c>
      <c r="F3872" s="54" t="str">
        <f>IFERROR(IF(OR($B3872="",$B3872="(blank)"),"",VLOOKUP($B3872,'Email Marketing Raw Data'!$C:$O,13,0)),"")</f>
        <v/>
      </c>
      <c r="G3872" s="55" t="str">
        <f>IFERROR(IF(OR($B3872="",$B3872="(blank)"),"",VLOOKUP($B3872,'Email Marketing Raw Data'!$C:$O,4,0)),"")</f>
        <v/>
      </c>
      <c r="H3872" s="55" t="str">
        <f>IFERROR(IF(OR($B3872="",$B3872="(blank)"),"",VLOOKUP($B3872,'Email Marketing Raw Data'!$C:$O,5,0)),"")</f>
        <v/>
      </c>
      <c r="I3872" s="55" t="str">
        <f>IFERROR(IF($G3872="","",VLOOKUP('Dashboard And Emails Automate'!$G3872,Database!$H:$N,3,0)),"")</f>
        <v/>
      </c>
      <c r="J3872" s="55" t="str">
        <f>IFERROR(IF($G3872="","",VLOOKUP('Dashboard And Emails Automate'!$G3872,Database!$H:$N,4,0)),"")</f>
        <v/>
      </c>
      <c r="K3872" s="55" t="str">
        <f>IFERROR(IF($G3872="","",VLOOKUP('Dashboard And Emails Automate'!$G3872,Database!$H:$N,5,0)),"")</f>
        <v/>
      </c>
      <c r="L3872" s="55" t="str">
        <f>IFERROR(IF($G3872="","",VLOOKUP('Dashboard And Emails Automate'!$G3872,Database!$H:$N,6,0)),"")</f>
        <v/>
      </c>
      <c r="M3872" s="55" t="str">
        <f>IFERROR(IF($G3872="","",VLOOKUP('Dashboard And Emails Automate'!$G3872,Database!$H:$N,7,0)),"")</f>
        <v/>
      </c>
      <c r="N3872" s="55" t="str">
        <f>IFERROR(IF(OR($B3872="",$B3872="(blank)"),"",VLOOKUP($B3872,'Email Marketing Raw Data'!$C:$O,6,0)),"")</f>
        <v/>
      </c>
      <c r="O3872" s="55" t="str">
        <f>IFERROR(IF(OR($B3872="",$B3872="(blank)"),"",VLOOKUP($B3872,'Email Marketing Raw Data'!$C:$O,7,0)),"")</f>
        <v/>
      </c>
      <c r="P3872" s="55" t="str">
        <f>IFERROR(IF(OR($B3872="",$B3872="(blank)"),"",VLOOKUP($B3872,'Email Marketing Raw Data'!$C:$O,8,0)),"")</f>
        <v/>
      </c>
      <c r="Q3872" s="62" t="str">
        <f>IFERROR(IF(OR($B3872="",$B3872="(blank)"),"",VLOOKUP($B3872,'Email Marketing Raw Data'!$C:$O,9,0)),"")</f>
        <v/>
      </c>
    </row>
    <row r="3873" spans="4:17" ht="12.75" customHeight="1" x14ac:dyDescent="0.2">
      <c r="D3873" s="58" t="str">
        <f>IFERROR(IF(F3873&lt;&gt;"pending","",IF(OR($B3873="",$B3873="(blank)"),"",VLOOKUP($B3873,'Email Marketing Raw Data'!$C:$O,10,0))),"")</f>
        <v/>
      </c>
      <c r="E3873" s="59" t="str">
        <f>IFERROR(IF(F3873&lt;&gt;"pending","",IF(OR($B3873="",$B3873="(blank)"),"",VLOOKUP($B3873,'Email Marketing Raw Data'!$C:$O,11,0))),"")</f>
        <v/>
      </c>
      <c r="F3873" s="54" t="str">
        <f>IFERROR(IF(OR($B3873="",$B3873="(blank)"),"",VLOOKUP($B3873,'Email Marketing Raw Data'!$C:$O,13,0)),"")</f>
        <v/>
      </c>
      <c r="G3873" s="55" t="str">
        <f>IFERROR(IF(OR($B3873="",$B3873="(blank)"),"",VLOOKUP($B3873,'Email Marketing Raw Data'!$C:$O,4,0)),"")</f>
        <v/>
      </c>
      <c r="H3873" s="55" t="str">
        <f>IFERROR(IF(OR($B3873="",$B3873="(blank)"),"",VLOOKUP($B3873,'Email Marketing Raw Data'!$C:$O,5,0)),"")</f>
        <v/>
      </c>
      <c r="I3873" s="55" t="str">
        <f>IFERROR(IF($G3873="","",VLOOKUP('Dashboard And Emails Automate'!$G3873,Database!$H:$N,3,0)),"")</f>
        <v/>
      </c>
      <c r="J3873" s="55" t="str">
        <f>IFERROR(IF($G3873="","",VLOOKUP('Dashboard And Emails Automate'!$G3873,Database!$H:$N,4,0)),"")</f>
        <v/>
      </c>
      <c r="K3873" s="55" t="str">
        <f>IFERROR(IF($G3873="","",VLOOKUP('Dashboard And Emails Automate'!$G3873,Database!$H:$N,5,0)),"")</f>
        <v/>
      </c>
      <c r="L3873" s="55" t="str">
        <f>IFERROR(IF($G3873="","",VLOOKUP('Dashboard And Emails Automate'!$G3873,Database!$H:$N,6,0)),"")</f>
        <v/>
      </c>
      <c r="M3873" s="55" t="str">
        <f>IFERROR(IF($G3873="","",VLOOKUP('Dashboard And Emails Automate'!$G3873,Database!$H:$N,7,0)),"")</f>
        <v/>
      </c>
      <c r="N3873" s="55" t="str">
        <f>IFERROR(IF(OR($B3873="",$B3873="(blank)"),"",VLOOKUP($B3873,'Email Marketing Raw Data'!$C:$O,6,0)),"")</f>
        <v/>
      </c>
      <c r="O3873" s="55" t="str">
        <f>IFERROR(IF(OR($B3873="",$B3873="(blank)"),"",VLOOKUP($B3873,'Email Marketing Raw Data'!$C:$O,7,0)),"")</f>
        <v/>
      </c>
      <c r="P3873" s="55" t="str">
        <f>IFERROR(IF(OR($B3873="",$B3873="(blank)"),"",VLOOKUP($B3873,'Email Marketing Raw Data'!$C:$O,8,0)),"")</f>
        <v/>
      </c>
      <c r="Q3873" s="62" t="str">
        <f>IFERROR(IF(OR($B3873="",$B3873="(blank)"),"",VLOOKUP($B3873,'Email Marketing Raw Data'!$C:$O,9,0)),"")</f>
        <v/>
      </c>
    </row>
    <row r="3874" spans="4:17" ht="12.75" customHeight="1" x14ac:dyDescent="0.2">
      <c r="D3874" s="58" t="str">
        <f>IFERROR(IF(F3874&lt;&gt;"pending","",IF(OR($B3874="",$B3874="(blank)"),"",VLOOKUP($B3874,'Email Marketing Raw Data'!$C:$O,10,0))),"")</f>
        <v/>
      </c>
      <c r="E3874" s="59" t="str">
        <f>IFERROR(IF(F3874&lt;&gt;"pending","",IF(OR($B3874="",$B3874="(blank)"),"",VLOOKUP($B3874,'Email Marketing Raw Data'!$C:$O,11,0))),"")</f>
        <v/>
      </c>
      <c r="F3874" s="54" t="str">
        <f>IFERROR(IF(OR($B3874="",$B3874="(blank)"),"",VLOOKUP($B3874,'Email Marketing Raw Data'!$C:$O,13,0)),"")</f>
        <v/>
      </c>
      <c r="G3874" s="55" t="str">
        <f>IFERROR(IF(OR($B3874="",$B3874="(blank)"),"",VLOOKUP($B3874,'Email Marketing Raw Data'!$C:$O,4,0)),"")</f>
        <v/>
      </c>
      <c r="H3874" s="55" t="str">
        <f>IFERROR(IF(OR($B3874="",$B3874="(blank)"),"",VLOOKUP($B3874,'Email Marketing Raw Data'!$C:$O,5,0)),"")</f>
        <v/>
      </c>
      <c r="I3874" s="55" t="str">
        <f>IFERROR(IF($G3874="","",VLOOKUP('Dashboard And Emails Automate'!$G3874,Database!$H:$N,3,0)),"")</f>
        <v/>
      </c>
      <c r="J3874" s="55" t="str">
        <f>IFERROR(IF($G3874="","",VLOOKUP('Dashboard And Emails Automate'!$G3874,Database!$H:$N,4,0)),"")</f>
        <v/>
      </c>
      <c r="K3874" s="55" t="str">
        <f>IFERROR(IF($G3874="","",VLOOKUP('Dashboard And Emails Automate'!$G3874,Database!$H:$N,5,0)),"")</f>
        <v/>
      </c>
      <c r="L3874" s="55" t="str">
        <f>IFERROR(IF($G3874="","",VLOOKUP('Dashboard And Emails Automate'!$G3874,Database!$H:$N,6,0)),"")</f>
        <v/>
      </c>
      <c r="M3874" s="55" t="str">
        <f>IFERROR(IF($G3874="","",VLOOKUP('Dashboard And Emails Automate'!$G3874,Database!$H:$N,7,0)),"")</f>
        <v/>
      </c>
      <c r="N3874" s="55" t="str">
        <f>IFERROR(IF(OR($B3874="",$B3874="(blank)"),"",VLOOKUP($B3874,'Email Marketing Raw Data'!$C:$O,6,0)),"")</f>
        <v/>
      </c>
      <c r="O3874" s="55" t="str">
        <f>IFERROR(IF(OR($B3874="",$B3874="(blank)"),"",VLOOKUP($B3874,'Email Marketing Raw Data'!$C:$O,7,0)),"")</f>
        <v/>
      </c>
      <c r="P3874" s="55" t="str">
        <f>IFERROR(IF(OR($B3874="",$B3874="(blank)"),"",VLOOKUP($B3874,'Email Marketing Raw Data'!$C:$O,8,0)),"")</f>
        <v/>
      </c>
      <c r="Q3874" s="62" t="str">
        <f>IFERROR(IF(OR($B3874="",$B3874="(blank)"),"",VLOOKUP($B3874,'Email Marketing Raw Data'!$C:$O,9,0)),"")</f>
        <v/>
      </c>
    </row>
    <row r="3875" spans="4:17" ht="12.75" customHeight="1" x14ac:dyDescent="0.2">
      <c r="D3875" s="58" t="str">
        <f>IFERROR(IF(F3875&lt;&gt;"pending","",IF(OR($B3875="",$B3875="(blank)"),"",VLOOKUP($B3875,'Email Marketing Raw Data'!$C:$O,10,0))),"")</f>
        <v/>
      </c>
      <c r="E3875" s="59" t="str">
        <f>IFERROR(IF(F3875&lt;&gt;"pending","",IF(OR($B3875="",$B3875="(blank)"),"",VLOOKUP($B3875,'Email Marketing Raw Data'!$C:$O,11,0))),"")</f>
        <v/>
      </c>
      <c r="F3875" s="54" t="str">
        <f>IFERROR(IF(OR($B3875="",$B3875="(blank)"),"",VLOOKUP($B3875,'Email Marketing Raw Data'!$C:$O,13,0)),"")</f>
        <v/>
      </c>
      <c r="G3875" s="55" t="str">
        <f>IFERROR(IF(OR($B3875="",$B3875="(blank)"),"",VLOOKUP($B3875,'Email Marketing Raw Data'!$C:$O,4,0)),"")</f>
        <v/>
      </c>
      <c r="H3875" s="55" t="str">
        <f>IFERROR(IF(OR($B3875="",$B3875="(blank)"),"",VLOOKUP($B3875,'Email Marketing Raw Data'!$C:$O,5,0)),"")</f>
        <v/>
      </c>
      <c r="I3875" s="55" t="str">
        <f>IFERROR(IF($G3875="","",VLOOKUP('Dashboard And Emails Automate'!$G3875,Database!$H:$N,3,0)),"")</f>
        <v/>
      </c>
      <c r="J3875" s="55" t="str">
        <f>IFERROR(IF($G3875="","",VLOOKUP('Dashboard And Emails Automate'!$G3875,Database!$H:$N,4,0)),"")</f>
        <v/>
      </c>
      <c r="K3875" s="55" t="str">
        <f>IFERROR(IF($G3875="","",VLOOKUP('Dashboard And Emails Automate'!$G3875,Database!$H:$N,5,0)),"")</f>
        <v/>
      </c>
      <c r="L3875" s="55" t="str">
        <f>IFERROR(IF($G3875="","",VLOOKUP('Dashboard And Emails Automate'!$G3875,Database!$H:$N,6,0)),"")</f>
        <v/>
      </c>
      <c r="M3875" s="55" t="str">
        <f>IFERROR(IF($G3875="","",VLOOKUP('Dashboard And Emails Automate'!$G3875,Database!$H:$N,7,0)),"")</f>
        <v/>
      </c>
      <c r="N3875" s="55" t="str">
        <f>IFERROR(IF(OR($B3875="",$B3875="(blank)"),"",VLOOKUP($B3875,'Email Marketing Raw Data'!$C:$O,6,0)),"")</f>
        <v/>
      </c>
      <c r="O3875" s="55" t="str">
        <f>IFERROR(IF(OR($B3875="",$B3875="(blank)"),"",VLOOKUP($B3875,'Email Marketing Raw Data'!$C:$O,7,0)),"")</f>
        <v/>
      </c>
      <c r="P3875" s="55" t="str">
        <f>IFERROR(IF(OR($B3875="",$B3875="(blank)"),"",VLOOKUP($B3875,'Email Marketing Raw Data'!$C:$O,8,0)),"")</f>
        <v/>
      </c>
      <c r="Q3875" s="62" t="str">
        <f>IFERROR(IF(OR($B3875="",$B3875="(blank)"),"",VLOOKUP($B3875,'Email Marketing Raw Data'!$C:$O,9,0)),"")</f>
        <v/>
      </c>
    </row>
    <row r="3876" spans="4:17" ht="12.75" customHeight="1" x14ac:dyDescent="0.2">
      <c r="D3876" s="58" t="str">
        <f>IFERROR(IF(F3876&lt;&gt;"pending","",IF(OR($B3876="",$B3876="(blank)"),"",VLOOKUP($B3876,'Email Marketing Raw Data'!$C:$O,10,0))),"")</f>
        <v/>
      </c>
      <c r="E3876" s="59" t="str">
        <f>IFERROR(IF(F3876&lt;&gt;"pending","",IF(OR($B3876="",$B3876="(blank)"),"",VLOOKUP($B3876,'Email Marketing Raw Data'!$C:$O,11,0))),"")</f>
        <v/>
      </c>
      <c r="F3876" s="54" t="str">
        <f>IFERROR(IF(OR($B3876="",$B3876="(blank)"),"",VLOOKUP($B3876,'Email Marketing Raw Data'!$C:$O,13,0)),"")</f>
        <v/>
      </c>
      <c r="G3876" s="55" t="str">
        <f>IFERROR(IF(OR($B3876="",$B3876="(blank)"),"",VLOOKUP($B3876,'Email Marketing Raw Data'!$C:$O,4,0)),"")</f>
        <v/>
      </c>
      <c r="H3876" s="55" t="str">
        <f>IFERROR(IF(OR($B3876="",$B3876="(blank)"),"",VLOOKUP($B3876,'Email Marketing Raw Data'!$C:$O,5,0)),"")</f>
        <v/>
      </c>
      <c r="I3876" s="55" t="str">
        <f>IFERROR(IF($G3876="","",VLOOKUP('Dashboard And Emails Automate'!$G3876,Database!$H:$N,3,0)),"")</f>
        <v/>
      </c>
      <c r="J3876" s="55" t="str">
        <f>IFERROR(IF($G3876="","",VLOOKUP('Dashboard And Emails Automate'!$G3876,Database!$H:$N,4,0)),"")</f>
        <v/>
      </c>
      <c r="K3876" s="55" t="str">
        <f>IFERROR(IF($G3876="","",VLOOKUP('Dashboard And Emails Automate'!$G3876,Database!$H:$N,5,0)),"")</f>
        <v/>
      </c>
      <c r="L3876" s="55" t="str">
        <f>IFERROR(IF($G3876="","",VLOOKUP('Dashboard And Emails Automate'!$G3876,Database!$H:$N,6,0)),"")</f>
        <v/>
      </c>
      <c r="M3876" s="55" t="str">
        <f>IFERROR(IF($G3876="","",VLOOKUP('Dashboard And Emails Automate'!$G3876,Database!$H:$N,7,0)),"")</f>
        <v/>
      </c>
      <c r="N3876" s="55" t="str">
        <f>IFERROR(IF(OR($B3876="",$B3876="(blank)"),"",VLOOKUP($B3876,'Email Marketing Raw Data'!$C:$O,6,0)),"")</f>
        <v/>
      </c>
      <c r="O3876" s="55" t="str">
        <f>IFERROR(IF(OR($B3876="",$B3876="(blank)"),"",VLOOKUP($B3876,'Email Marketing Raw Data'!$C:$O,7,0)),"")</f>
        <v/>
      </c>
      <c r="P3876" s="55" t="str">
        <f>IFERROR(IF(OR($B3876="",$B3876="(blank)"),"",VLOOKUP($B3876,'Email Marketing Raw Data'!$C:$O,8,0)),"")</f>
        <v/>
      </c>
      <c r="Q3876" s="62" t="str">
        <f>IFERROR(IF(OR($B3876="",$B3876="(blank)"),"",VLOOKUP($B3876,'Email Marketing Raw Data'!$C:$O,9,0)),"")</f>
        <v/>
      </c>
    </row>
    <row r="3877" spans="4:17" ht="12.75" customHeight="1" x14ac:dyDescent="0.2">
      <c r="D3877" s="58" t="str">
        <f>IFERROR(IF(F3877&lt;&gt;"pending","",IF(OR($B3877="",$B3877="(blank)"),"",VLOOKUP($B3877,'Email Marketing Raw Data'!$C:$O,10,0))),"")</f>
        <v/>
      </c>
      <c r="E3877" s="59" t="str">
        <f>IFERROR(IF(F3877&lt;&gt;"pending","",IF(OR($B3877="",$B3877="(blank)"),"",VLOOKUP($B3877,'Email Marketing Raw Data'!$C:$O,11,0))),"")</f>
        <v/>
      </c>
      <c r="F3877" s="54" t="str">
        <f>IFERROR(IF(OR($B3877="",$B3877="(blank)"),"",VLOOKUP($B3877,'Email Marketing Raw Data'!$C:$O,13,0)),"")</f>
        <v/>
      </c>
      <c r="G3877" s="55" t="str">
        <f>IFERROR(IF(OR($B3877="",$B3877="(blank)"),"",VLOOKUP($B3877,'Email Marketing Raw Data'!$C:$O,4,0)),"")</f>
        <v/>
      </c>
      <c r="H3877" s="55" t="str">
        <f>IFERROR(IF(OR($B3877="",$B3877="(blank)"),"",VLOOKUP($B3877,'Email Marketing Raw Data'!$C:$O,5,0)),"")</f>
        <v/>
      </c>
      <c r="I3877" s="55" t="str">
        <f>IFERROR(IF($G3877="","",VLOOKUP('Dashboard And Emails Automate'!$G3877,Database!$H:$N,3,0)),"")</f>
        <v/>
      </c>
      <c r="J3877" s="55" t="str">
        <f>IFERROR(IF($G3877="","",VLOOKUP('Dashboard And Emails Automate'!$G3877,Database!$H:$N,4,0)),"")</f>
        <v/>
      </c>
      <c r="K3877" s="55" t="str">
        <f>IFERROR(IF($G3877="","",VLOOKUP('Dashboard And Emails Automate'!$G3877,Database!$H:$N,5,0)),"")</f>
        <v/>
      </c>
      <c r="L3877" s="55" t="str">
        <f>IFERROR(IF($G3877="","",VLOOKUP('Dashboard And Emails Automate'!$G3877,Database!$H:$N,6,0)),"")</f>
        <v/>
      </c>
      <c r="M3877" s="55" t="str">
        <f>IFERROR(IF($G3877="","",VLOOKUP('Dashboard And Emails Automate'!$G3877,Database!$H:$N,7,0)),"")</f>
        <v/>
      </c>
      <c r="N3877" s="55" t="str">
        <f>IFERROR(IF(OR($B3877="",$B3877="(blank)"),"",VLOOKUP($B3877,'Email Marketing Raw Data'!$C:$O,6,0)),"")</f>
        <v/>
      </c>
      <c r="O3877" s="55" t="str">
        <f>IFERROR(IF(OR($B3877="",$B3877="(blank)"),"",VLOOKUP($B3877,'Email Marketing Raw Data'!$C:$O,7,0)),"")</f>
        <v/>
      </c>
      <c r="P3877" s="55" t="str">
        <f>IFERROR(IF(OR($B3877="",$B3877="(blank)"),"",VLOOKUP($B3877,'Email Marketing Raw Data'!$C:$O,8,0)),"")</f>
        <v/>
      </c>
      <c r="Q3877" s="62" t="str">
        <f>IFERROR(IF(OR($B3877="",$B3877="(blank)"),"",VLOOKUP($B3877,'Email Marketing Raw Data'!$C:$O,9,0)),"")</f>
        <v/>
      </c>
    </row>
    <row r="3878" spans="4:17" ht="12.75" customHeight="1" x14ac:dyDescent="0.2">
      <c r="D3878" s="58" t="str">
        <f>IFERROR(IF(F3878&lt;&gt;"pending","",IF(OR($B3878="",$B3878="(blank)"),"",VLOOKUP($B3878,'Email Marketing Raw Data'!$C:$O,10,0))),"")</f>
        <v/>
      </c>
      <c r="E3878" s="59" t="str">
        <f>IFERROR(IF(F3878&lt;&gt;"pending","",IF(OR($B3878="",$B3878="(blank)"),"",VLOOKUP($B3878,'Email Marketing Raw Data'!$C:$O,11,0))),"")</f>
        <v/>
      </c>
      <c r="F3878" s="54" t="str">
        <f>IFERROR(IF(OR($B3878="",$B3878="(blank)"),"",VLOOKUP($B3878,'Email Marketing Raw Data'!$C:$O,13,0)),"")</f>
        <v/>
      </c>
      <c r="G3878" s="55" t="str">
        <f>IFERROR(IF(OR($B3878="",$B3878="(blank)"),"",VLOOKUP($B3878,'Email Marketing Raw Data'!$C:$O,4,0)),"")</f>
        <v/>
      </c>
      <c r="H3878" s="55" t="str">
        <f>IFERROR(IF(OR($B3878="",$B3878="(blank)"),"",VLOOKUP($B3878,'Email Marketing Raw Data'!$C:$O,5,0)),"")</f>
        <v/>
      </c>
      <c r="I3878" s="55" t="str">
        <f>IFERROR(IF($G3878="","",VLOOKUP('Dashboard And Emails Automate'!$G3878,Database!$H:$N,3,0)),"")</f>
        <v/>
      </c>
      <c r="J3878" s="55" t="str">
        <f>IFERROR(IF($G3878="","",VLOOKUP('Dashboard And Emails Automate'!$G3878,Database!$H:$N,4,0)),"")</f>
        <v/>
      </c>
      <c r="K3878" s="55" t="str">
        <f>IFERROR(IF($G3878="","",VLOOKUP('Dashboard And Emails Automate'!$G3878,Database!$H:$N,5,0)),"")</f>
        <v/>
      </c>
      <c r="L3878" s="55" t="str">
        <f>IFERROR(IF($G3878="","",VLOOKUP('Dashboard And Emails Automate'!$G3878,Database!$H:$N,6,0)),"")</f>
        <v/>
      </c>
      <c r="M3878" s="55" t="str">
        <f>IFERROR(IF($G3878="","",VLOOKUP('Dashboard And Emails Automate'!$G3878,Database!$H:$N,7,0)),"")</f>
        <v/>
      </c>
      <c r="N3878" s="55" t="str">
        <f>IFERROR(IF(OR($B3878="",$B3878="(blank)"),"",VLOOKUP($B3878,'Email Marketing Raw Data'!$C:$O,6,0)),"")</f>
        <v/>
      </c>
      <c r="O3878" s="55" t="str">
        <f>IFERROR(IF(OR($B3878="",$B3878="(blank)"),"",VLOOKUP($B3878,'Email Marketing Raw Data'!$C:$O,7,0)),"")</f>
        <v/>
      </c>
      <c r="P3878" s="55" t="str">
        <f>IFERROR(IF(OR($B3878="",$B3878="(blank)"),"",VLOOKUP($B3878,'Email Marketing Raw Data'!$C:$O,8,0)),"")</f>
        <v/>
      </c>
      <c r="Q3878" s="62" t="str">
        <f>IFERROR(IF(OR($B3878="",$B3878="(blank)"),"",VLOOKUP($B3878,'Email Marketing Raw Data'!$C:$O,9,0)),"")</f>
        <v/>
      </c>
    </row>
    <row r="3879" spans="4:17" ht="12.75" customHeight="1" x14ac:dyDescent="0.2">
      <c r="D3879" s="58" t="str">
        <f>IFERROR(IF(F3879&lt;&gt;"pending","",IF(OR($B3879="",$B3879="(blank)"),"",VLOOKUP($B3879,'Email Marketing Raw Data'!$C:$O,10,0))),"")</f>
        <v/>
      </c>
      <c r="E3879" s="59" t="str">
        <f>IFERROR(IF(F3879&lt;&gt;"pending","",IF(OR($B3879="",$B3879="(blank)"),"",VLOOKUP($B3879,'Email Marketing Raw Data'!$C:$O,11,0))),"")</f>
        <v/>
      </c>
      <c r="F3879" s="54" t="str">
        <f>IFERROR(IF(OR($B3879="",$B3879="(blank)"),"",VLOOKUP($B3879,'Email Marketing Raw Data'!$C:$O,13,0)),"")</f>
        <v/>
      </c>
      <c r="G3879" s="55" t="str">
        <f>IFERROR(IF(OR($B3879="",$B3879="(blank)"),"",VLOOKUP($B3879,'Email Marketing Raw Data'!$C:$O,4,0)),"")</f>
        <v/>
      </c>
      <c r="H3879" s="55" t="str">
        <f>IFERROR(IF(OR($B3879="",$B3879="(blank)"),"",VLOOKUP($B3879,'Email Marketing Raw Data'!$C:$O,5,0)),"")</f>
        <v/>
      </c>
      <c r="I3879" s="55" t="str">
        <f>IFERROR(IF($G3879="","",VLOOKUP('Dashboard And Emails Automate'!$G3879,Database!$H:$N,3,0)),"")</f>
        <v/>
      </c>
      <c r="J3879" s="55" t="str">
        <f>IFERROR(IF($G3879="","",VLOOKUP('Dashboard And Emails Automate'!$G3879,Database!$H:$N,4,0)),"")</f>
        <v/>
      </c>
      <c r="K3879" s="55" t="str">
        <f>IFERROR(IF($G3879="","",VLOOKUP('Dashboard And Emails Automate'!$G3879,Database!$H:$N,5,0)),"")</f>
        <v/>
      </c>
      <c r="L3879" s="55" t="str">
        <f>IFERROR(IF($G3879="","",VLOOKUP('Dashboard And Emails Automate'!$G3879,Database!$H:$N,6,0)),"")</f>
        <v/>
      </c>
      <c r="M3879" s="55" t="str">
        <f>IFERROR(IF($G3879="","",VLOOKUP('Dashboard And Emails Automate'!$G3879,Database!$H:$N,7,0)),"")</f>
        <v/>
      </c>
      <c r="N3879" s="55" t="str">
        <f>IFERROR(IF(OR($B3879="",$B3879="(blank)"),"",VLOOKUP($B3879,'Email Marketing Raw Data'!$C:$O,6,0)),"")</f>
        <v/>
      </c>
      <c r="O3879" s="55" t="str">
        <f>IFERROR(IF(OR($B3879="",$B3879="(blank)"),"",VLOOKUP($B3879,'Email Marketing Raw Data'!$C:$O,7,0)),"")</f>
        <v/>
      </c>
      <c r="P3879" s="55" t="str">
        <f>IFERROR(IF(OR($B3879="",$B3879="(blank)"),"",VLOOKUP($B3879,'Email Marketing Raw Data'!$C:$O,8,0)),"")</f>
        <v/>
      </c>
      <c r="Q3879" s="62" t="str">
        <f>IFERROR(IF(OR($B3879="",$B3879="(blank)"),"",VLOOKUP($B3879,'Email Marketing Raw Data'!$C:$O,9,0)),"")</f>
        <v/>
      </c>
    </row>
    <row r="3880" spans="4:17" ht="12.75" customHeight="1" x14ac:dyDescent="0.2">
      <c r="D3880" s="58" t="str">
        <f>IFERROR(IF(F3880&lt;&gt;"pending","",IF(OR($B3880="",$B3880="(blank)"),"",VLOOKUP($B3880,'Email Marketing Raw Data'!$C:$O,10,0))),"")</f>
        <v/>
      </c>
      <c r="E3880" s="59" t="str">
        <f>IFERROR(IF(F3880&lt;&gt;"pending","",IF(OR($B3880="",$B3880="(blank)"),"",VLOOKUP($B3880,'Email Marketing Raw Data'!$C:$O,11,0))),"")</f>
        <v/>
      </c>
      <c r="F3880" s="54" t="str">
        <f>IFERROR(IF(OR($B3880="",$B3880="(blank)"),"",VLOOKUP($B3880,'Email Marketing Raw Data'!$C:$O,13,0)),"")</f>
        <v/>
      </c>
      <c r="G3880" s="55" t="str">
        <f>IFERROR(IF(OR($B3880="",$B3880="(blank)"),"",VLOOKUP($B3880,'Email Marketing Raw Data'!$C:$O,4,0)),"")</f>
        <v/>
      </c>
      <c r="H3880" s="55" t="str">
        <f>IFERROR(IF(OR($B3880="",$B3880="(blank)"),"",VLOOKUP($B3880,'Email Marketing Raw Data'!$C:$O,5,0)),"")</f>
        <v/>
      </c>
      <c r="I3880" s="55" t="str">
        <f>IFERROR(IF($G3880="","",VLOOKUP('Dashboard And Emails Automate'!$G3880,Database!$H:$N,3,0)),"")</f>
        <v/>
      </c>
      <c r="J3880" s="55" t="str">
        <f>IFERROR(IF($G3880="","",VLOOKUP('Dashboard And Emails Automate'!$G3880,Database!$H:$N,4,0)),"")</f>
        <v/>
      </c>
      <c r="K3880" s="55" t="str">
        <f>IFERROR(IF($G3880="","",VLOOKUP('Dashboard And Emails Automate'!$G3880,Database!$H:$N,5,0)),"")</f>
        <v/>
      </c>
      <c r="L3880" s="55" t="str">
        <f>IFERROR(IF($G3880="","",VLOOKUP('Dashboard And Emails Automate'!$G3880,Database!$H:$N,6,0)),"")</f>
        <v/>
      </c>
      <c r="M3880" s="55" t="str">
        <f>IFERROR(IF($G3880="","",VLOOKUP('Dashboard And Emails Automate'!$G3880,Database!$H:$N,7,0)),"")</f>
        <v/>
      </c>
      <c r="N3880" s="55" t="str">
        <f>IFERROR(IF(OR($B3880="",$B3880="(blank)"),"",VLOOKUP($B3880,'Email Marketing Raw Data'!$C:$O,6,0)),"")</f>
        <v/>
      </c>
      <c r="O3880" s="55" t="str">
        <f>IFERROR(IF(OR($B3880="",$B3880="(blank)"),"",VLOOKUP($B3880,'Email Marketing Raw Data'!$C:$O,7,0)),"")</f>
        <v/>
      </c>
      <c r="P3880" s="55" t="str">
        <f>IFERROR(IF(OR($B3880="",$B3880="(blank)"),"",VLOOKUP($B3880,'Email Marketing Raw Data'!$C:$O,8,0)),"")</f>
        <v/>
      </c>
      <c r="Q3880" s="62" t="str">
        <f>IFERROR(IF(OR($B3880="",$B3880="(blank)"),"",VLOOKUP($B3880,'Email Marketing Raw Data'!$C:$O,9,0)),"")</f>
        <v/>
      </c>
    </row>
    <row r="3881" spans="4:17" ht="12.75" customHeight="1" x14ac:dyDescent="0.2">
      <c r="D3881" s="58" t="str">
        <f>IFERROR(IF(F3881&lt;&gt;"pending","",IF(OR($B3881="",$B3881="(blank)"),"",VLOOKUP($B3881,'Email Marketing Raw Data'!$C:$O,10,0))),"")</f>
        <v/>
      </c>
      <c r="E3881" s="59" t="str">
        <f>IFERROR(IF(F3881&lt;&gt;"pending","",IF(OR($B3881="",$B3881="(blank)"),"",VLOOKUP($B3881,'Email Marketing Raw Data'!$C:$O,11,0))),"")</f>
        <v/>
      </c>
      <c r="F3881" s="54" t="str">
        <f>IFERROR(IF(OR($B3881="",$B3881="(blank)"),"",VLOOKUP($B3881,'Email Marketing Raw Data'!$C:$O,13,0)),"")</f>
        <v/>
      </c>
      <c r="G3881" s="55" t="str">
        <f>IFERROR(IF(OR($B3881="",$B3881="(blank)"),"",VLOOKUP($B3881,'Email Marketing Raw Data'!$C:$O,4,0)),"")</f>
        <v/>
      </c>
      <c r="H3881" s="55" t="str">
        <f>IFERROR(IF(OR($B3881="",$B3881="(blank)"),"",VLOOKUP($B3881,'Email Marketing Raw Data'!$C:$O,5,0)),"")</f>
        <v/>
      </c>
      <c r="I3881" s="55" t="str">
        <f>IFERROR(IF($G3881="","",VLOOKUP('Dashboard And Emails Automate'!$G3881,Database!$H:$N,3,0)),"")</f>
        <v/>
      </c>
      <c r="J3881" s="55" t="str">
        <f>IFERROR(IF($G3881="","",VLOOKUP('Dashboard And Emails Automate'!$G3881,Database!$H:$N,4,0)),"")</f>
        <v/>
      </c>
      <c r="K3881" s="55" t="str">
        <f>IFERROR(IF($G3881="","",VLOOKUP('Dashboard And Emails Automate'!$G3881,Database!$H:$N,5,0)),"")</f>
        <v/>
      </c>
      <c r="L3881" s="55" t="str">
        <f>IFERROR(IF($G3881="","",VLOOKUP('Dashboard And Emails Automate'!$G3881,Database!$H:$N,6,0)),"")</f>
        <v/>
      </c>
      <c r="M3881" s="55" t="str">
        <f>IFERROR(IF($G3881="","",VLOOKUP('Dashboard And Emails Automate'!$G3881,Database!$H:$N,7,0)),"")</f>
        <v/>
      </c>
      <c r="N3881" s="55" t="str">
        <f>IFERROR(IF(OR($B3881="",$B3881="(blank)"),"",VLOOKUP($B3881,'Email Marketing Raw Data'!$C:$O,6,0)),"")</f>
        <v/>
      </c>
      <c r="O3881" s="55" t="str">
        <f>IFERROR(IF(OR($B3881="",$B3881="(blank)"),"",VLOOKUP($B3881,'Email Marketing Raw Data'!$C:$O,7,0)),"")</f>
        <v/>
      </c>
      <c r="P3881" s="55" t="str">
        <f>IFERROR(IF(OR($B3881="",$B3881="(blank)"),"",VLOOKUP($B3881,'Email Marketing Raw Data'!$C:$O,8,0)),"")</f>
        <v/>
      </c>
      <c r="Q3881" s="62" t="str">
        <f>IFERROR(IF(OR($B3881="",$B3881="(blank)"),"",VLOOKUP($B3881,'Email Marketing Raw Data'!$C:$O,9,0)),"")</f>
        <v/>
      </c>
    </row>
    <row r="3882" spans="4:17" ht="12.75" customHeight="1" x14ac:dyDescent="0.2">
      <c r="D3882" s="58" t="str">
        <f>IFERROR(IF(F3882&lt;&gt;"pending","",IF(OR($B3882="",$B3882="(blank)"),"",VLOOKUP($B3882,'Email Marketing Raw Data'!$C:$O,10,0))),"")</f>
        <v/>
      </c>
      <c r="E3882" s="59" t="str">
        <f>IFERROR(IF(F3882&lt;&gt;"pending","",IF(OR($B3882="",$B3882="(blank)"),"",VLOOKUP($B3882,'Email Marketing Raw Data'!$C:$O,11,0))),"")</f>
        <v/>
      </c>
      <c r="F3882" s="54" t="str">
        <f>IFERROR(IF(OR($B3882="",$B3882="(blank)"),"",VLOOKUP($B3882,'Email Marketing Raw Data'!$C:$O,13,0)),"")</f>
        <v/>
      </c>
      <c r="G3882" s="55" t="str">
        <f>IFERROR(IF(OR($B3882="",$B3882="(blank)"),"",VLOOKUP($B3882,'Email Marketing Raw Data'!$C:$O,4,0)),"")</f>
        <v/>
      </c>
      <c r="H3882" s="55" t="str">
        <f>IFERROR(IF(OR($B3882="",$B3882="(blank)"),"",VLOOKUP($B3882,'Email Marketing Raw Data'!$C:$O,5,0)),"")</f>
        <v/>
      </c>
      <c r="I3882" s="55" t="str">
        <f>IFERROR(IF($G3882="","",VLOOKUP('Dashboard And Emails Automate'!$G3882,Database!$H:$N,3,0)),"")</f>
        <v/>
      </c>
      <c r="J3882" s="55" t="str">
        <f>IFERROR(IF($G3882="","",VLOOKUP('Dashboard And Emails Automate'!$G3882,Database!$H:$N,4,0)),"")</f>
        <v/>
      </c>
      <c r="K3882" s="55" t="str">
        <f>IFERROR(IF($G3882="","",VLOOKUP('Dashboard And Emails Automate'!$G3882,Database!$H:$N,5,0)),"")</f>
        <v/>
      </c>
      <c r="L3882" s="55" t="str">
        <f>IFERROR(IF($G3882="","",VLOOKUP('Dashboard And Emails Automate'!$G3882,Database!$H:$N,6,0)),"")</f>
        <v/>
      </c>
      <c r="M3882" s="55" t="str">
        <f>IFERROR(IF($G3882="","",VLOOKUP('Dashboard And Emails Automate'!$G3882,Database!$H:$N,7,0)),"")</f>
        <v/>
      </c>
      <c r="N3882" s="55" t="str">
        <f>IFERROR(IF(OR($B3882="",$B3882="(blank)"),"",VLOOKUP($B3882,'Email Marketing Raw Data'!$C:$O,6,0)),"")</f>
        <v/>
      </c>
      <c r="O3882" s="55" t="str">
        <f>IFERROR(IF(OR($B3882="",$B3882="(blank)"),"",VLOOKUP($B3882,'Email Marketing Raw Data'!$C:$O,7,0)),"")</f>
        <v/>
      </c>
      <c r="P3882" s="55" t="str">
        <f>IFERROR(IF(OR($B3882="",$B3882="(blank)"),"",VLOOKUP($B3882,'Email Marketing Raw Data'!$C:$O,8,0)),"")</f>
        <v/>
      </c>
      <c r="Q3882" s="62" t="str">
        <f>IFERROR(IF(OR($B3882="",$B3882="(blank)"),"",VLOOKUP($B3882,'Email Marketing Raw Data'!$C:$O,9,0)),"")</f>
        <v/>
      </c>
    </row>
    <row r="3883" spans="4:17" ht="12.75" customHeight="1" x14ac:dyDescent="0.2">
      <c r="D3883" s="58" t="str">
        <f>IFERROR(IF(F3883&lt;&gt;"pending","",IF(OR($B3883="",$B3883="(blank)"),"",VLOOKUP($B3883,'Email Marketing Raw Data'!$C:$O,10,0))),"")</f>
        <v/>
      </c>
      <c r="E3883" s="59" t="str">
        <f>IFERROR(IF(F3883&lt;&gt;"pending","",IF(OR($B3883="",$B3883="(blank)"),"",VLOOKUP($B3883,'Email Marketing Raw Data'!$C:$O,11,0))),"")</f>
        <v/>
      </c>
      <c r="F3883" s="54" t="str">
        <f>IFERROR(IF(OR($B3883="",$B3883="(blank)"),"",VLOOKUP($B3883,'Email Marketing Raw Data'!$C:$O,13,0)),"")</f>
        <v/>
      </c>
      <c r="G3883" s="55" t="str">
        <f>IFERROR(IF(OR($B3883="",$B3883="(blank)"),"",VLOOKUP($B3883,'Email Marketing Raw Data'!$C:$O,4,0)),"")</f>
        <v/>
      </c>
      <c r="H3883" s="55" t="str">
        <f>IFERROR(IF(OR($B3883="",$B3883="(blank)"),"",VLOOKUP($B3883,'Email Marketing Raw Data'!$C:$O,5,0)),"")</f>
        <v/>
      </c>
      <c r="I3883" s="55" t="str">
        <f>IFERROR(IF($G3883="","",VLOOKUP('Dashboard And Emails Automate'!$G3883,Database!$H:$N,3,0)),"")</f>
        <v/>
      </c>
      <c r="J3883" s="55" t="str">
        <f>IFERROR(IF($G3883="","",VLOOKUP('Dashboard And Emails Automate'!$G3883,Database!$H:$N,4,0)),"")</f>
        <v/>
      </c>
      <c r="K3883" s="55" t="str">
        <f>IFERROR(IF($G3883="","",VLOOKUP('Dashboard And Emails Automate'!$G3883,Database!$H:$N,5,0)),"")</f>
        <v/>
      </c>
      <c r="L3883" s="55" t="str">
        <f>IFERROR(IF($G3883="","",VLOOKUP('Dashboard And Emails Automate'!$G3883,Database!$H:$N,6,0)),"")</f>
        <v/>
      </c>
      <c r="M3883" s="55" t="str">
        <f>IFERROR(IF($G3883="","",VLOOKUP('Dashboard And Emails Automate'!$G3883,Database!$H:$N,7,0)),"")</f>
        <v/>
      </c>
      <c r="N3883" s="55" t="str">
        <f>IFERROR(IF(OR($B3883="",$B3883="(blank)"),"",VLOOKUP($B3883,'Email Marketing Raw Data'!$C:$O,6,0)),"")</f>
        <v/>
      </c>
      <c r="O3883" s="55" t="str">
        <f>IFERROR(IF(OR($B3883="",$B3883="(blank)"),"",VLOOKUP($B3883,'Email Marketing Raw Data'!$C:$O,7,0)),"")</f>
        <v/>
      </c>
      <c r="P3883" s="55" t="str">
        <f>IFERROR(IF(OR($B3883="",$B3883="(blank)"),"",VLOOKUP($B3883,'Email Marketing Raw Data'!$C:$O,8,0)),"")</f>
        <v/>
      </c>
      <c r="Q3883" s="62" t="str">
        <f>IFERROR(IF(OR($B3883="",$B3883="(blank)"),"",VLOOKUP($B3883,'Email Marketing Raw Data'!$C:$O,9,0)),"")</f>
        <v/>
      </c>
    </row>
    <row r="3884" spans="4:17" ht="12.75" customHeight="1" x14ac:dyDescent="0.2">
      <c r="D3884" s="58" t="str">
        <f>IFERROR(IF(F3884&lt;&gt;"pending","",IF(OR($B3884="",$B3884="(blank)"),"",VLOOKUP($B3884,'Email Marketing Raw Data'!$C:$O,10,0))),"")</f>
        <v/>
      </c>
      <c r="E3884" s="59" t="str">
        <f>IFERROR(IF(F3884&lt;&gt;"pending","",IF(OR($B3884="",$B3884="(blank)"),"",VLOOKUP($B3884,'Email Marketing Raw Data'!$C:$O,11,0))),"")</f>
        <v/>
      </c>
      <c r="F3884" s="54" t="str">
        <f>IFERROR(IF(OR($B3884="",$B3884="(blank)"),"",VLOOKUP($B3884,'Email Marketing Raw Data'!$C:$O,13,0)),"")</f>
        <v/>
      </c>
      <c r="G3884" s="55" t="str">
        <f>IFERROR(IF(OR($B3884="",$B3884="(blank)"),"",VLOOKUP($B3884,'Email Marketing Raw Data'!$C:$O,4,0)),"")</f>
        <v/>
      </c>
      <c r="H3884" s="55" t="str">
        <f>IFERROR(IF(OR($B3884="",$B3884="(blank)"),"",VLOOKUP($B3884,'Email Marketing Raw Data'!$C:$O,5,0)),"")</f>
        <v/>
      </c>
      <c r="I3884" s="55" t="str">
        <f>IFERROR(IF($G3884="","",VLOOKUP('Dashboard And Emails Automate'!$G3884,Database!$H:$N,3,0)),"")</f>
        <v/>
      </c>
      <c r="J3884" s="55" t="str">
        <f>IFERROR(IF($G3884="","",VLOOKUP('Dashboard And Emails Automate'!$G3884,Database!$H:$N,4,0)),"")</f>
        <v/>
      </c>
      <c r="K3884" s="55" t="str">
        <f>IFERROR(IF($G3884="","",VLOOKUP('Dashboard And Emails Automate'!$G3884,Database!$H:$N,5,0)),"")</f>
        <v/>
      </c>
      <c r="L3884" s="55" t="str">
        <f>IFERROR(IF($G3884="","",VLOOKUP('Dashboard And Emails Automate'!$G3884,Database!$H:$N,6,0)),"")</f>
        <v/>
      </c>
      <c r="M3884" s="55" t="str">
        <f>IFERROR(IF($G3884="","",VLOOKUP('Dashboard And Emails Automate'!$G3884,Database!$H:$N,7,0)),"")</f>
        <v/>
      </c>
      <c r="N3884" s="55" t="str">
        <f>IFERROR(IF(OR($B3884="",$B3884="(blank)"),"",VLOOKUP($B3884,'Email Marketing Raw Data'!$C:$O,6,0)),"")</f>
        <v/>
      </c>
      <c r="O3884" s="55" t="str">
        <f>IFERROR(IF(OR($B3884="",$B3884="(blank)"),"",VLOOKUP($B3884,'Email Marketing Raw Data'!$C:$O,7,0)),"")</f>
        <v/>
      </c>
      <c r="P3884" s="55" t="str">
        <f>IFERROR(IF(OR($B3884="",$B3884="(blank)"),"",VLOOKUP($B3884,'Email Marketing Raw Data'!$C:$O,8,0)),"")</f>
        <v/>
      </c>
      <c r="Q3884" s="62" t="str">
        <f>IFERROR(IF(OR($B3884="",$B3884="(blank)"),"",VLOOKUP($B3884,'Email Marketing Raw Data'!$C:$O,9,0)),"")</f>
        <v/>
      </c>
    </row>
    <row r="3885" spans="4:17" ht="12.75" customHeight="1" x14ac:dyDescent="0.2">
      <c r="D3885" s="58" t="str">
        <f>IFERROR(IF(F3885&lt;&gt;"pending","",IF(OR($B3885="",$B3885="(blank)"),"",VLOOKUP($B3885,'Email Marketing Raw Data'!$C:$O,10,0))),"")</f>
        <v/>
      </c>
      <c r="E3885" s="59" t="str">
        <f>IFERROR(IF(F3885&lt;&gt;"pending","",IF(OR($B3885="",$B3885="(blank)"),"",VLOOKUP($B3885,'Email Marketing Raw Data'!$C:$O,11,0))),"")</f>
        <v/>
      </c>
      <c r="F3885" s="54" t="str">
        <f>IFERROR(IF(OR($B3885="",$B3885="(blank)"),"",VLOOKUP($B3885,'Email Marketing Raw Data'!$C:$O,13,0)),"")</f>
        <v/>
      </c>
      <c r="G3885" s="55" t="str">
        <f>IFERROR(IF(OR($B3885="",$B3885="(blank)"),"",VLOOKUP($B3885,'Email Marketing Raw Data'!$C:$O,4,0)),"")</f>
        <v/>
      </c>
      <c r="H3885" s="55" t="str">
        <f>IFERROR(IF(OR($B3885="",$B3885="(blank)"),"",VLOOKUP($B3885,'Email Marketing Raw Data'!$C:$O,5,0)),"")</f>
        <v/>
      </c>
      <c r="I3885" s="55" t="str">
        <f>IFERROR(IF($G3885="","",VLOOKUP('Dashboard And Emails Automate'!$G3885,Database!$H:$N,3,0)),"")</f>
        <v/>
      </c>
      <c r="J3885" s="55" t="str">
        <f>IFERROR(IF($G3885="","",VLOOKUP('Dashboard And Emails Automate'!$G3885,Database!$H:$N,4,0)),"")</f>
        <v/>
      </c>
      <c r="K3885" s="55" t="str">
        <f>IFERROR(IF($G3885="","",VLOOKUP('Dashboard And Emails Automate'!$G3885,Database!$H:$N,5,0)),"")</f>
        <v/>
      </c>
      <c r="L3885" s="55" t="str">
        <f>IFERROR(IF($G3885="","",VLOOKUP('Dashboard And Emails Automate'!$G3885,Database!$H:$N,6,0)),"")</f>
        <v/>
      </c>
      <c r="M3885" s="55" t="str">
        <f>IFERROR(IF($G3885="","",VLOOKUP('Dashboard And Emails Automate'!$G3885,Database!$H:$N,7,0)),"")</f>
        <v/>
      </c>
      <c r="N3885" s="55" t="str">
        <f>IFERROR(IF(OR($B3885="",$B3885="(blank)"),"",VLOOKUP($B3885,'Email Marketing Raw Data'!$C:$O,6,0)),"")</f>
        <v/>
      </c>
      <c r="O3885" s="55" t="str">
        <f>IFERROR(IF(OR($B3885="",$B3885="(blank)"),"",VLOOKUP($B3885,'Email Marketing Raw Data'!$C:$O,7,0)),"")</f>
        <v/>
      </c>
      <c r="P3885" s="55" t="str">
        <f>IFERROR(IF(OR($B3885="",$B3885="(blank)"),"",VLOOKUP($B3885,'Email Marketing Raw Data'!$C:$O,8,0)),"")</f>
        <v/>
      </c>
      <c r="Q3885" s="62" t="str">
        <f>IFERROR(IF(OR($B3885="",$B3885="(blank)"),"",VLOOKUP($B3885,'Email Marketing Raw Data'!$C:$O,9,0)),"")</f>
        <v/>
      </c>
    </row>
    <row r="3886" spans="4:17" ht="12.75" customHeight="1" x14ac:dyDescent="0.2">
      <c r="D3886" s="58" t="str">
        <f>IFERROR(IF(F3886&lt;&gt;"pending","",IF(OR($B3886="",$B3886="(blank)"),"",VLOOKUP($B3886,'Email Marketing Raw Data'!$C:$O,10,0))),"")</f>
        <v/>
      </c>
      <c r="E3886" s="59" t="str">
        <f>IFERROR(IF(F3886&lt;&gt;"pending","",IF(OR($B3886="",$B3886="(blank)"),"",VLOOKUP($B3886,'Email Marketing Raw Data'!$C:$O,11,0))),"")</f>
        <v/>
      </c>
      <c r="F3886" s="54" t="str">
        <f>IFERROR(IF(OR($B3886="",$B3886="(blank)"),"",VLOOKUP($B3886,'Email Marketing Raw Data'!$C:$O,13,0)),"")</f>
        <v/>
      </c>
      <c r="G3886" s="55" t="str">
        <f>IFERROR(IF(OR($B3886="",$B3886="(blank)"),"",VLOOKUP($B3886,'Email Marketing Raw Data'!$C:$O,4,0)),"")</f>
        <v/>
      </c>
      <c r="H3886" s="55" t="str">
        <f>IFERROR(IF(OR($B3886="",$B3886="(blank)"),"",VLOOKUP($B3886,'Email Marketing Raw Data'!$C:$O,5,0)),"")</f>
        <v/>
      </c>
      <c r="I3886" s="55" t="str">
        <f>IFERROR(IF($G3886="","",VLOOKUP('Dashboard And Emails Automate'!$G3886,Database!$H:$N,3,0)),"")</f>
        <v/>
      </c>
      <c r="J3886" s="55" t="str">
        <f>IFERROR(IF($G3886="","",VLOOKUP('Dashboard And Emails Automate'!$G3886,Database!$H:$N,4,0)),"")</f>
        <v/>
      </c>
      <c r="K3886" s="55" t="str">
        <f>IFERROR(IF($G3886="","",VLOOKUP('Dashboard And Emails Automate'!$G3886,Database!$H:$N,5,0)),"")</f>
        <v/>
      </c>
      <c r="L3886" s="55" t="str">
        <f>IFERROR(IF($G3886="","",VLOOKUP('Dashboard And Emails Automate'!$G3886,Database!$H:$N,6,0)),"")</f>
        <v/>
      </c>
      <c r="M3886" s="55" t="str">
        <f>IFERROR(IF($G3886="","",VLOOKUP('Dashboard And Emails Automate'!$G3886,Database!$H:$N,7,0)),"")</f>
        <v/>
      </c>
      <c r="N3886" s="55" t="str">
        <f>IFERROR(IF(OR($B3886="",$B3886="(blank)"),"",VLOOKUP($B3886,'Email Marketing Raw Data'!$C:$O,6,0)),"")</f>
        <v/>
      </c>
      <c r="O3886" s="55" t="str">
        <f>IFERROR(IF(OR($B3886="",$B3886="(blank)"),"",VLOOKUP($B3886,'Email Marketing Raw Data'!$C:$O,7,0)),"")</f>
        <v/>
      </c>
      <c r="P3886" s="55" t="str">
        <f>IFERROR(IF(OR($B3886="",$B3886="(blank)"),"",VLOOKUP($B3886,'Email Marketing Raw Data'!$C:$O,8,0)),"")</f>
        <v/>
      </c>
      <c r="Q3886" s="62" t="str">
        <f>IFERROR(IF(OR($B3886="",$B3886="(blank)"),"",VLOOKUP($B3886,'Email Marketing Raw Data'!$C:$O,9,0)),"")</f>
        <v/>
      </c>
    </row>
    <row r="3887" spans="4:17" ht="12.75" customHeight="1" x14ac:dyDescent="0.2">
      <c r="D3887" s="58" t="str">
        <f>IFERROR(IF(F3887&lt;&gt;"pending","",IF(OR($B3887="",$B3887="(blank)"),"",VLOOKUP($B3887,'Email Marketing Raw Data'!$C:$O,10,0))),"")</f>
        <v/>
      </c>
      <c r="E3887" s="59" t="str">
        <f>IFERROR(IF(F3887&lt;&gt;"pending","",IF(OR($B3887="",$B3887="(blank)"),"",VLOOKUP($B3887,'Email Marketing Raw Data'!$C:$O,11,0))),"")</f>
        <v/>
      </c>
      <c r="F3887" s="54" t="str">
        <f>IFERROR(IF(OR($B3887="",$B3887="(blank)"),"",VLOOKUP($B3887,'Email Marketing Raw Data'!$C:$O,13,0)),"")</f>
        <v/>
      </c>
      <c r="G3887" s="55" t="str">
        <f>IFERROR(IF(OR($B3887="",$B3887="(blank)"),"",VLOOKUP($B3887,'Email Marketing Raw Data'!$C:$O,4,0)),"")</f>
        <v/>
      </c>
      <c r="H3887" s="55" t="str">
        <f>IFERROR(IF(OR($B3887="",$B3887="(blank)"),"",VLOOKUP($B3887,'Email Marketing Raw Data'!$C:$O,5,0)),"")</f>
        <v/>
      </c>
      <c r="I3887" s="55" t="str">
        <f>IFERROR(IF($G3887="","",VLOOKUP('Dashboard And Emails Automate'!$G3887,Database!$H:$N,3,0)),"")</f>
        <v/>
      </c>
      <c r="J3887" s="55" t="str">
        <f>IFERROR(IF($G3887="","",VLOOKUP('Dashboard And Emails Automate'!$G3887,Database!$H:$N,4,0)),"")</f>
        <v/>
      </c>
      <c r="K3887" s="55" t="str">
        <f>IFERROR(IF($G3887="","",VLOOKUP('Dashboard And Emails Automate'!$G3887,Database!$H:$N,5,0)),"")</f>
        <v/>
      </c>
      <c r="L3887" s="55" t="str">
        <f>IFERROR(IF($G3887="","",VLOOKUP('Dashboard And Emails Automate'!$G3887,Database!$H:$N,6,0)),"")</f>
        <v/>
      </c>
      <c r="M3887" s="55" t="str">
        <f>IFERROR(IF($G3887="","",VLOOKUP('Dashboard And Emails Automate'!$G3887,Database!$H:$N,7,0)),"")</f>
        <v/>
      </c>
      <c r="N3887" s="55" t="str">
        <f>IFERROR(IF(OR($B3887="",$B3887="(blank)"),"",VLOOKUP($B3887,'Email Marketing Raw Data'!$C:$O,6,0)),"")</f>
        <v/>
      </c>
      <c r="O3887" s="55" t="str">
        <f>IFERROR(IF(OR($B3887="",$B3887="(blank)"),"",VLOOKUP($B3887,'Email Marketing Raw Data'!$C:$O,7,0)),"")</f>
        <v/>
      </c>
      <c r="P3887" s="55" t="str">
        <f>IFERROR(IF(OR($B3887="",$B3887="(blank)"),"",VLOOKUP($B3887,'Email Marketing Raw Data'!$C:$O,8,0)),"")</f>
        <v/>
      </c>
      <c r="Q3887" s="62" t="str">
        <f>IFERROR(IF(OR($B3887="",$B3887="(blank)"),"",VLOOKUP($B3887,'Email Marketing Raw Data'!$C:$O,9,0)),"")</f>
        <v/>
      </c>
    </row>
    <row r="3888" spans="4:17" ht="12.75" customHeight="1" x14ac:dyDescent="0.2">
      <c r="D3888" s="58" t="str">
        <f>IFERROR(IF(F3888&lt;&gt;"pending","",IF(OR($B3888="",$B3888="(blank)"),"",VLOOKUP($B3888,'Email Marketing Raw Data'!$C:$O,10,0))),"")</f>
        <v/>
      </c>
      <c r="E3888" s="59" t="str">
        <f>IFERROR(IF(F3888&lt;&gt;"pending","",IF(OR($B3888="",$B3888="(blank)"),"",VLOOKUP($B3888,'Email Marketing Raw Data'!$C:$O,11,0))),"")</f>
        <v/>
      </c>
      <c r="F3888" s="54" t="str">
        <f>IFERROR(IF(OR($B3888="",$B3888="(blank)"),"",VLOOKUP($B3888,'Email Marketing Raw Data'!$C:$O,13,0)),"")</f>
        <v/>
      </c>
      <c r="G3888" s="55" t="str">
        <f>IFERROR(IF(OR($B3888="",$B3888="(blank)"),"",VLOOKUP($B3888,'Email Marketing Raw Data'!$C:$O,4,0)),"")</f>
        <v/>
      </c>
      <c r="H3888" s="55" t="str">
        <f>IFERROR(IF(OR($B3888="",$B3888="(blank)"),"",VLOOKUP($B3888,'Email Marketing Raw Data'!$C:$O,5,0)),"")</f>
        <v/>
      </c>
      <c r="I3888" s="55" t="str">
        <f>IFERROR(IF($G3888="","",VLOOKUP('Dashboard And Emails Automate'!$G3888,Database!$H:$N,3,0)),"")</f>
        <v/>
      </c>
      <c r="J3888" s="55" t="str">
        <f>IFERROR(IF($G3888="","",VLOOKUP('Dashboard And Emails Automate'!$G3888,Database!$H:$N,4,0)),"")</f>
        <v/>
      </c>
      <c r="K3888" s="55" t="str">
        <f>IFERROR(IF($G3888="","",VLOOKUP('Dashboard And Emails Automate'!$G3888,Database!$H:$N,5,0)),"")</f>
        <v/>
      </c>
      <c r="L3888" s="55" t="str">
        <f>IFERROR(IF($G3888="","",VLOOKUP('Dashboard And Emails Automate'!$G3888,Database!$H:$N,6,0)),"")</f>
        <v/>
      </c>
      <c r="M3888" s="55" t="str">
        <f>IFERROR(IF($G3888="","",VLOOKUP('Dashboard And Emails Automate'!$G3888,Database!$H:$N,7,0)),"")</f>
        <v/>
      </c>
      <c r="N3888" s="55" t="str">
        <f>IFERROR(IF(OR($B3888="",$B3888="(blank)"),"",VLOOKUP($B3888,'Email Marketing Raw Data'!$C:$O,6,0)),"")</f>
        <v/>
      </c>
      <c r="O3888" s="55" t="str">
        <f>IFERROR(IF(OR($B3888="",$B3888="(blank)"),"",VLOOKUP($B3888,'Email Marketing Raw Data'!$C:$O,7,0)),"")</f>
        <v/>
      </c>
      <c r="P3888" s="55" t="str">
        <f>IFERROR(IF(OR($B3888="",$B3888="(blank)"),"",VLOOKUP($B3888,'Email Marketing Raw Data'!$C:$O,8,0)),"")</f>
        <v/>
      </c>
      <c r="Q3888" s="62" t="str">
        <f>IFERROR(IF(OR($B3888="",$B3888="(blank)"),"",VLOOKUP($B3888,'Email Marketing Raw Data'!$C:$O,9,0)),"")</f>
        <v/>
      </c>
    </row>
    <row r="3889" spans="4:17" ht="12.75" customHeight="1" x14ac:dyDescent="0.2">
      <c r="D3889" s="58" t="str">
        <f>IFERROR(IF(F3889&lt;&gt;"pending","",IF(OR($B3889="",$B3889="(blank)"),"",VLOOKUP($B3889,'Email Marketing Raw Data'!$C:$O,10,0))),"")</f>
        <v/>
      </c>
      <c r="E3889" s="59" t="str">
        <f>IFERROR(IF(F3889&lt;&gt;"pending","",IF(OR($B3889="",$B3889="(blank)"),"",VLOOKUP($B3889,'Email Marketing Raw Data'!$C:$O,11,0))),"")</f>
        <v/>
      </c>
      <c r="F3889" s="54" t="str">
        <f>IFERROR(IF(OR($B3889="",$B3889="(blank)"),"",VLOOKUP($B3889,'Email Marketing Raw Data'!$C:$O,13,0)),"")</f>
        <v/>
      </c>
      <c r="G3889" s="55" t="str">
        <f>IFERROR(IF(OR($B3889="",$B3889="(blank)"),"",VLOOKUP($B3889,'Email Marketing Raw Data'!$C:$O,4,0)),"")</f>
        <v/>
      </c>
      <c r="H3889" s="55" t="str">
        <f>IFERROR(IF(OR($B3889="",$B3889="(blank)"),"",VLOOKUP($B3889,'Email Marketing Raw Data'!$C:$O,5,0)),"")</f>
        <v/>
      </c>
      <c r="I3889" s="55" t="str">
        <f>IFERROR(IF($G3889="","",VLOOKUP('Dashboard And Emails Automate'!$G3889,Database!$H:$N,3,0)),"")</f>
        <v/>
      </c>
      <c r="J3889" s="55" t="str">
        <f>IFERROR(IF($G3889="","",VLOOKUP('Dashboard And Emails Automate'!$G3889,Database!$H:$N,4,0)),"")</f>
        <v/>
      </c>
      <c r="K3889" s="55" t="str">
        <f>IFERROR(IF($G3889="","",VLOOKUP('Dashboard And Emails Automate'!$G3889,Database!$H:$N,5,0)),"")</f>
        <v/>
      </c>
      <c r="L3889" s="55" t="str">
        <f>IFERROR(IF($G3889="","",VLOOKUP('Dashboard And Emails Automate'!$G3889,Database!$H:$N,6,0)),"")</f>
        <v/>
      </c>
      <c r="M3889" s="55" t="str">
        <f>IFERROR(IF($G3889="","",VLOOKUP('Dashboard And Emails Automate'!$G3889,Database!$H:$N,7,0)),"")</f>
        <v/>
      </c>
      <c r="N3889" s="55" t="str">
        <f>IFERROR(IF(OR($B3889="",$B3889="(blank)"),"",VLOOKUP($B3889,'Email Marketing Raw Data'!$C:$O,6,0)),"")</f>
        <v/>
      </c>
      <c r="O3889" s="55" t="str">
        <f>IFERROR(IF(OR($B3889="",$B3889="(blank)"),"",VLOOKUP($B3889,'Email Marketing Raw Data'!$C:$O,7,0)),"")</f>
        <v/>
      </c>
      <c r="P3889" s="55" t="str">
        <f>IFERROR(IF(OR($B3889="",$B3889="(blank)"),"",VLOOKUP($B3889,'Email Marketing Raw Data'!$C:$O,8,0)),"")</f>
        <v/>
      </c>
      <c r="Q3889" s="62" t="str">
        <f>IFERROR(IF(OR($B3889="",$B3889="(blank)"),"",VLOOKUP($B3889,'Email Marketing Raw Data'!$C:$O,9,0)),"")</f>
        <v/>
      </c>
    </row>
    <row r="3890" spans="4:17" ht="12.75" customHeight="1" x14ac:dyDescent="0.2">
      <c r="D3890" s="58" t="str">
        <f>IFERROR(IF(F3890&lt;&gt;"pending","",IF(OR($B3890="",$B3890="(blank)"),"",VLOOKUP($B3890,'Email Marketing Raw Data'!$C:$O,10,0))),"")</f>
        <v/>
      </c>
      <c r="E3890" s="59" t="str">
        <f>IFERROR(IF(F3890&lt;&gt;"pending","",IF(OR($B3890="",$B3890="(blank)"),"",VLOOKUP($B3890,'Email Marketing Raw Data'!$C:$O,11,0))),"")</f>
        <v/>
      </c>
      <c r="F3890" s="54" t="str">
        <f>IFERROR(IF(OR($B3890="",$B3890="(blank)"),"",VLOOKUP($B3890,'Email Marketing Raw Data'!$C:$O,13,0)),"")</f>
        <v/>
      </c>
      <c r="G3890" s="55" t="str">
        <f>IFERROR(IF(OR($B3890="",$B3890="(blank)"),"",VLOOKUP($B3890,'Email Marketing Raw Data'!$C:$O,4,0)),"")</f>
        <v/>
      </c>
      <c r="H3890" s="55" t="str">
        <f>IFERROR(IF(OR($B3890="",$B3890="(blank)"),"",VLOOKUP($B3890,'Email Marketing Raw Data'!$C:$O,5,0)),"")</f>
        <v/>
      </c>
      <c r="I3890" s="55" t="str">
        <f>IFERROR(IF($G3890="","",VLOOKUP('Dashboard And Emails Automate'!$G3890,Database!$H:$N,3,0)),"")</f>
        <v/>
      </c>
      <c r="J3890" s="55" t="str">
        <f>IFERROR(IF($G3890="","",VLOOKUP('Dashboard And Emails Automate'!$G3890,Database!$H:$N,4,0)),"")</f>
        <v/>
      </c>
      <c r="K3890" s="55" t="str">
        <f>IFERROR(IF($G3890="","",VLOOKUP('Dashboard And Emails Automate'!$G3890,Database!$H:$N,5,0)),"")</f>
        <v/>
      </c>
      <c r="L3890" s="55" t="str">
        <f>IFERROR(IF($G3890="","",VLOOKUP('Dashboard And Emails Automate'!$G3890,Database!$H:$N,6,0)),"")</f>
        <v/>
      </c>
      <c r="M3890" s="55" t="str">
        <f>IFERROR(IF($G3890="","",VLOOKUP('Dashboard And Emails Automate'!$G3890,Database!$H:$N,7,0)),"")</f>
        <v/>
      </c>
      <c r="N3890" s="55" t="str">
        <f>IFERROR(IF(OR($B3890="",$B3890="(blank)"),"",VLOOKUP($B3890,'Email Marketing Raw Data'!$C:$O,6,0)),"")</f>
        <v/>
      </c>
      <c r="O3890" s="55" t="str">
        <f>IFERROR(IF(OR($B3890="",$B3890="(blank)"),"",VLOOKUP($B3890,'Email Marketing Raw Data'!$C:$O,7,0)),"")</f>
        <v/>
      </c>
      <c r="P3890" s="55" t="str">
        <f>IFERROR(IF(OR($B3890="",$B3890="(blank)"),"",VLOOKUP($B3890,'Email Marketing Raw Data'!$C:$O,8,0)),"")</f>
        <v/>
      </c>
      <c r="Q3890" s="62" t="str">
        <f>IFERROR(IF(OR($B3890="",$B3890="(blank)"),"",VLOOKUP($B3890,'Email Marketing Raw Data'!$C:$O,9,0)),"")</f>
        <v/>
      </c>
    </row>
    <row r="3891" spans="4:17" ht="12.75" customHeight="1" x14ac:dyDescent="0.2">
      <c r="D3891" s="58" t="str">
        <f>IFERROR(IF(F3891&lt;&gt;"pending","",IF(OR($B3891="",$B3891="(blank)"),"",VLOOKUP($B3891,'Email Marketing Raw Data'!$C:$O,10,0))),"")</f>
        <v/>
      </c>
      <c r="E3891" s="59" t="str">
        <f>IFERROR(IF(F3891&lt;&gt;"pending","",IF(OR($B3891="",$B3891="(blank)"),"",VLOOKUP($B3891,'Email Marketing Raw Data'!$C:$O,11,0))),"")</f>
        <v/>
      </c>
      <c r="F3891" s="54" t="str">
        <f>IFERROR(IF(OR($B3891="",$B3891="(blank)"),"",VLOOKUP($B3891,'Email Marketing Raw Data'!$C:$O,13,0)),"")</f>
        <v/>
      </c>
      <c r="G3891" s="55" t="str">
        <f>IFERROR(IF(OR($B3891="",$B3891="(blank)"),"",VLOOKUP($B3891,'Email Marketing Raw Data'!$C:$O,4,0)),"")</f>
        <v/>
      </c>
      <c r="H3891" s="55" t="str">
        <f>IFERROR(IF(OR($B3891="",$B3891="(blank)"),"",VLOOKUP($B3891,'Email Marketing Raw Data'!$C:$O,5,0)),"")</f>
        <v/>
      </c>
      <c r="I3891" s="55" t="str">
        <f>IFERROR(IF($G3891="","",VLOOKUP('Dashboard And Emails Automate'!$G3891,Database!$H:$N,3,0)),"")</f>
        <v/>
      </c>
      <c r="J3891" s="55" t="str">
        <f>IFERROR(IF($G3891="","",VLOOKUP('Dashboard And Emails Automate'!$G3891,Database!$H:$N,4,0)),"")</f>
        <v/>
      </c>
      <c r="K3891" s="55" t="str">
        <f>IFERROR(IF($G3891="","",VLOOKUP('Dashboard And Emails Automate'!$G3891,Database!$H:$N,5,0)),"")</f>
        <v/>
      </c>
      <c r="L3891" s="55" t="str">
        <f>IFERROR(IF($G3891="","",VLOOKUP('Dashboard And Emails Automate'!$G3891,Database!$H:$N,6,0)),"")</f>
        <v/>
      </c>
      <c r="M3891" s="55" t="str">
        <f>IFERROR(IF($G3891="","",VLOOKUP('Dashboard And Emails Automate'!$G3891,Database!$H:$N,7,0)),"")</f>
        <v/>
      </c>
      <c r="N3891" s="55" t="str">
        <f>IFERROR(IF(OR($B3891="",$B3891="(blank)"),"",VLOOKUP($B3891,'Email Marketing Raw Data'!$C:$O,6,0)),"")</f>
        <v/>
      </c>
      <c r="O3891" s="55" t="str">
        <f>IFERROR(IF(OR($B3891="",$B3891="(blank)"),"",VLOOKUP($B3891,'Email Marketing Raw Data'!$C:$O,7,0)),"")</f>
        <v/>
      </c>
      <c r="P3891" s="55" t="str">
        <f>IFERROR(IF(OR($B3891="",$B3891="(blank)"),"",VLOOKUP($B3891,'Email Marketing Raw Data'!$C:$O,8,0)),"")</f>
        <v/>
      </c>
      <c r="Q3891" s="62" t="str">
        <f>IFERROR(IF(OR($B3891="",$B3891="(blank)"),"",VLOOKUP($B3891,'Email Marketing Raw Data'!$C:$O,9,0)),"")</f>
        <v/>
      </c>
    </row>
    <row r="3892" spans="4:17" ht="12.75" customHeight="1" x14ac:dyDescent="0.2">
      <c r="D3892" s="58" t="str">
        <f>IFERROR(IF(F3892&lt;&gt;"pending","",IF(OR($B3892="",$B3892="(blank)"),"",VLOOKUP($B3892,'Email Marketing Raw Data'!$C:$O,10,0))),"")</f>
        <v/>
      </c>
      <c r="E3892" s="59" t="str">
        <f>IFERROR(IF(F3892&lt;&gt;"pending","",IF(OR($B3892="",$B3892="(blank)"),"",VLOOKUP($B3892,'Email Marketing Raw Data'!$C:$O,11,0))),"")</f>
        <v/>
      </c>
      <c r="F3892" s="54" t="str">
        <f>IFERROR(IF(OR($B3892="",$B3892="(blank)"),"",VLOOKUP($B3892,'Email Marketing Raw Data'!$C:$O,13,0)),"")</f>
        <v/>
      </c>
      <c r="G3892" s="55" t="str">
        <f>IFERROR(IF(OR($B3892="",$B3892="(blank)"),"",VLOOKUP($B3892,'Email Marketing Raw Data'!$C:$O,4,0)),"")</f>
        <v/>
      </c>
      <c r="H3892" s="55" t="str">
        <f>IFERROR(IF(OR($B3892="",$B3892="(blank)"),"",VLOOKUP($B3892,'Email Marketing Raw Data'!$C:$O,5,0)),"")</f>
        <v/>
      </c>
      <c r="I3892" s="55" t="str">
        <f>IFERROR(IF($G3892="","",VLOOKUP('Dashboard And Emails Automate'!$G3892,Database!$H:$N,3,0)),"")</f>
        <v/>
      </c>
      <c r="J3892" s="55" t="str">
        <f>IFERROR(IF($G3892="","",VLOOKUP('Dashboard And Emails Automate'!$G3892,Database!$H:$N,4,0)),"")</f>
        <v/>
      </c>
      <c r="K3892" s="55" t="str">
        <f>IFERROR(IF($G3892="","",VLOOKUP('Dashboard And Emails Automate'!$G3892,Database!$H:$N,5,0)),"")</f>
        <v/>
      </c>
      <c r="L3892" s="55" t="str">
        <f>IFERROR(IF($G3892="","",VLOOKUP('Dashboard And Emails Automate'!$G3892,Database!$H:$N,6,0)),"")</f>
        <v/>
      </c>
      <c r="M3892" s="55" t="str">
        <f>IFERROR(IF($G3892="","",VLOOKUP('Dashboard And Emails Automate'!$G3892,Database!$H:$N,7,0)),"")</f>
        <v/>
      </c>
      <c r="N3892" s="55" t="str">
        <f>IFERROR(IF(OR($B3892="",$B3892="(blank)"),"",VLOOKUP($B3892,'Email Marketing Raw Data'!$C:$O,6,0)),"")</f>
        <v/>
      </c>
      <c r="O3892" s="55" t="str">
        <f>IFERROR(IF(OR($B3892="",$B3892="(blank)"),"",VLOOKUP($B3892,'Email Marketing Raw Data'!$C:$O,7,0)),"")</f>
        <v/>
      </c>
      <c r="P3892" s="55" t="str">
        <f>IFERROR(IF(OR($B3892="",$B3892="(blank)"),"",VLOOKUP($B3892,'Email Marketing Raw Data'!$C:$O,8,0)),"")</f>
        <v/>
      </c>
      <c r="Q3892" s="62" t="str">
        <f>IFERROR(IF(OR($B3892="",$B3892="(blank)"),"",VLOOKUP($B3892,'Email Marketing Raw Data'!$C:$O,9,0)),"")</f>
        <v/>
      </c>
    </row>
    <row r="3893" spans="4:17" ht="12.75" customHeight="1" x14ac:dyDescent="0.2">
      <c r="D3893" s="58" t="str">
        <f>IFERROR(IF(F3893&lt;&gt;"pending","",IF(OR($B3893="",$B3893="(blank)"),"",VLOOKUP($B3893,'Email Marketing Raw Data'!$C:$O,10,0))),"")</f>
        <v/>
      </c>
      <c r="E3893" s="59" t="str">
        <f>IFERROR(IF(F3893&lt;&gt;"pending","",IF(OR($B3893="",$B3893="(blank)"),"",VLOOKUP($B3893,'Email Marketing Raw Data'!$C:$O,11,0))),"")</f>
        <v/>
      </c>
      <c r="F3893" s="54" t="str">
        <f>IFERROR(IF(OR($B3893="",$B3893="(blank)"),"",VLOOKUP($B3893,'Email Marketing Raw Data'!$C:$O,13,0)),"")</f>
        <v/>
      </c>
      <c r="G3893" s="55" t="str">
        <f>IFERROR(IF(OR($B3893="",$B3893="(blank)"),"",VLOOKUP($B3893,'Email Marketing Raw Data'!$C:$O,4,0)),"")</f>
        <v/>
      </c>
      <c r="H3893" s="55" t="str">
        <f>IFERROR(IF(OR($B3893="",$B3893="(blank)"),"",VLOOKUP($B3893,'Email Marketing Raw Data'!$C:$O,5,0)),"")</f>
        <v/>
      </c>
      <c r="I3893" s="55" t="str">
        <f>IFERROR(IF($G3893="","",VLOOKUP('Dashboard And Emails Automate'!$G3893,Database!$H:$N,3,0)),"")</f>
        <v/>
      </c>
      <c r="J3893" s="55" t="str">
        <f>IFERROR(IF($G3893="","",VLOOKUP('Dashboard And Emails Automate'!$G3893,Database!$H:$N,4,0)),"")</f>
        <v/>
      </c>
      <c r="K3893" s="55" t="str">
        <f>IFERROR(IF($G3893="","",VLOOKUP('Dashboard And Emails Automate'!$G3893,Database!$H:$N,5,0)),"")</f>
        <v/>
      </c>
      <c r="L3893" s="55" t="str">
        <f>IFERROR(IF($G3893="","",VLOOKUP('Dashboard And Emails Automate'!$G3893,Database!$H:$N,6,0)),"")</f>
        <v/>
      </c>
      <c r="M3893" s="55" t="str">
        <f>IFERROR(IF($G3893="","",VLOOKUP('Dashboard And Emails Automate'!$G3893,Database!$H:$N,7,0)),"")</f>
        <v/>
      </c>
      <c r="N3893" s="55" t="str">
        <f>IFERROR(IF(OR($B3893="",$B3893="(blank)"),"",VLOOKUP($B3893,'Email Marketing Raw Data'!$C:$O,6,0)),"")</f>
        <v/>
      </c>
      <c r="O3893" s="55" t="str">
        <f>IFERROR(IF(OR($B3893="",$B3893="(blank)"),"",VLOOKUP($B3893,'Email Marketing Raw Data'!$C:$O,7,0)),"")</f>
        <v/>
      </c>
      <c r="P3893" s="55" t="str">
        <f>IFERROR(IF(OR($B3893="",$B3893="(blank)"),"",VLOOKUP($B3893,'Email Marketing Raw Data'!$C:$O,8,0)),"")</f>
        <v/>
      </c>
      <c r="Q3893" s="62" t="str">
        <f>IFERROR(IF(OR($B3893="",$B3893="(blank)"),"",VLOOKUP($B3893,'Email Marketing Raw Data'!$C:$O,9,0)),"")</f>
        <v/>
      </c>
    </row>
    <row r="3894" spans="4:17" ht="12.75" customHeight="1" x14ac:dyDescent="0.2">
      <c r="D3894" s="58" t="str">
        <f>IFERROR(IF(F3894&lt;&gt;"pending","",IF(OR($B3894="",$B3894="(blank)"),"",VLOOKUP($B3894,'Email Marketing Raw Data'!$C:$O,10,0))),"")</f>
        <v/>
      </c>
      <c r="E3894" s="59" t="str">
        <f>IFERROR(IF(F3894&lt;&gt;"pending","",IF(OR($B3894="",$B3894="(blank)"),"",VLOOKUP($B3894,'Email Marketing Raw Data'!$C:$O,11,0))),"")</f>
        <v/>
      </c>
      <c r="F3894" s="54" t="str">
        <f>IFERROR(IF(OR($B3894="",$B3894="(blank)"),"",VLOOKUP($B3894,'Email Marketing Raw Data'!$C:$O,13,0)),"")</f>
        <v/>
      </c>
      <c r="G3894" s="55" t="str">
        <f>IFERROR(IF(OR($B3894="",$B3894="(blank)"),"",VLOOKUP($B3894,'Email Marketing Raw Data'!$C:$O,4,0)),"")</f>
        <v/>
      </c>
      <c r="H3894" s="55" t="str">
        <f>IFERROR(IF(OR($B3894="",$B3894="(blank)"),"",VLOOKUP($B3894,'Email Marketing Raw Data'!$C:$O,5,0)),"")</f>
        <v/>
      </c>
      <c r="I3894" s="55" t="str">
        <f>IFERROR(IF($G3894="","",VLOOKUP('Dashboard And Emails Automate'!$G3894,Database!$H:$N,3,0)),"")</f>
        <v/>
      </c>
      <c r="J3894" s="55" t="str">
        <f>IFERROR(IF($G3894="","",VLOOKUP('Dashboard And Emails Automate'!$G3894,Database!$H:$N,4,0)),"")</f>
        <v/>
      </c>
      <c r="K3894" s="55" t="str">
        <f>IFERROR(IF($G3894="","",VLOOKUP('Dashboard And Emails Automate'!$G3894,Database!$H:$N,5,0)),"")</f>
        <v/>
      </c>
      <c r="L3894" s="55" t="str">
        <f>IFERROR(IF($G3894="","",VLOOKUP('Dashboard And Emails Automate'!$G3894,Database!$H:$N,6,0)),"")</f>
        <v/>
      </c>
      <c r="M3894" s="55" t="str">
        <f>IFERROR(IF($G3894="","",VLOOKUP('Dashboard And Emails Automate'!$G3894,Database!$H:$N,7,0)),"")</f>
        <v/>
      </c>
      <c r="N3894" s="55" t="str">
        <f>IFERROR(IF(OR($B3894="",$B3894="(blank)"),"",VLOOKUP($B3894,'Email Marketing Raw Data'!$C:$O,6,0)),"")</f>
        <v/>
      </c>
      <c r="O3894" s="55" t="str">
        <f>IFERROR(IF(OR($B3894="",$B3894="(blank)"),"",VLOOKUP($B3894,'Email Marketing Raw Data'!$C:$O,7,0)),"")</f>
        <v/>
      </c>
      <c r="P3894" s="55" t="str">
        <f>IFERROR(IF(OR($B3894="",$B3894="(blank)"),"",VLOOKUP($B3894,'Email Marketing Raw Data'!$C:$O,8,0)),"")</f>
        <v/>
      </c>
      <c r="Q3894" s="62" t="str">
        <f>IFERROR(IF(OR($B3894="",$B3894="(blank)"),"",VLOOKUP($B3894,'Email Marketing Raw Data'!$C:$O,9,0)),"")</f>
        <v/>
      </c>
    </row>
    <row r="3895" spans="4:17" ht="12.75" customHeight="1" x14ac:dyDescent="0.2">
      <c r="D3895" s="58" t="str">
        <f>IFERROR(IF(F3895&lt;&gt;"pending","",IF(OR($B3895="",$B3895="(blank)"),"",VLOOKUP($B3895,'Email Marketing Raw Data'!$C:$O,10,0))),"")</f>
        <v/>
      </c>
      <c r="E3895" s="59" t="str">
        <f>IFERROR(IF(F3895&lt;&gt;"pending","",IF(OR($B3895="",$B3895="(blank)"),"",VLOOKUP($B3895,'Email Marketing Raw Data'!$C:$O,11,0))),"")</f>
        <v/>
      </c>
      <c r="F3895" s="54" t="str">
        <f>IFERROR(IF(OR($B3895="",$B3895="(blank)"),"",VLOOKUP($B3895,'Email Marketing Raw Data'!$C:$O,13,0)),"")</f>
        <v/>
      </c>
      <c r="G3895" s="55" t="str">
        <f>IFERROR(IF(OR($B3895="",$B3895="(blank)"),"",VLOOKUP($B3895,'Email Marketing Raw Data'!$C:$O,4,0)),"")</f>
        <v/>
      </c>
      <c r="H3895" s="55" t="str">
        <f>IFERROR(IF(OR($B3895="",$B3895="(blank)"),"",VLOOKUP($B3895,'Email Marketing Raw Data'!$C:$O,5,0)),"")</f>
        <v/>
      </c>
      <c r="I3895" s="55" t="str">
        <f>IFERROR(IF($G3895="","",VLOOKUP('Dashboard And Emails Automate'!$G3895,Database!$H:$N,3,0)),"")</f>
        <v/>
      </c>
      <c r="J3895" s="55" t="str">
        <f>IFERROR(IF($G3895="","",VLOOKUP('Dashboard And Emails Automate'!$G3895,Database!$H:$N,4,0)),"")</f>
        <v/>
      </c>
      <c r="K3895" s="55" t="str">
        <f>IFERROR(IF($G3895="","",VLOOKUP('Dashboard And Emails Automate'!$G3895,Database!$H:$N,5,0)),"")</f>
        <v/>
      </c>
      <c r="L3895" s="55" t="str">
        <f>IFERROR(IF($G3895="","",VLOOKUP('Dashboard And Emails Automate'!$G3895,Database!$H:$N,6,0)),"")</f>
        <v/>
      </c>
      <c r="M3895" s="55" t="str">
        <f>IFERROR(IF($G3895="","",VLOOKUP('Dashboard And Emails Automate'!$G3895,Database!$H:$N,7,0)),"")</f>
        <v/>
      </c>
      <c r="N3895" s="55" t="str">
        <f>IFERROR(IF(OR($B3895="",$B3895="(blank)"),"",VLOOKUP($B3895,'Email Marketing Raw Data'!$C:$O,6,0)),"")</f>
        <v/>
      </c>
      <c r="O3895" s="55" t="str">
        <f>IFERROR(IF(OR($B3895="",$B3895="(blank)"),"",VLOOKUP($B3895,'Email Marketing Raw Data'!$C:$O,7,0)),"")</f>
        <v/>
      </c>
      <c r="P3895" s="55" t="str">
        <f>IFERROR(IF(OR($B3895="",$B3895="(blank)"),"",VLOOKUP($B3895,'Email Marketing Raw Data'!$C:$O,8,0)),"")</f>
        <v/>
      </c>
      <c r="Q3895" s="62" t="str">
        <f>IFERROR(IF(OR($B3895="",$B3895="(blank)"),"",VLOOKUP($B3895,'Email Marketing Raw Data'!$C:$O,9,0)),"")</f>
        <v/>
      </c>
    </row>
    <row r="3896" spans="4:17" ht="12.75" customHeight="1" x14ac:dyDescent="0.2">
      <c r="D3896" s="58" t="str">
        <f>IFERROR(IF(F3896&lt;&gt;"pending","",IF(OR($B3896="",$B3896="(blank)"),"",VLOOKUP($B3896,'Email Marketing Raw Data'!$C:$O,10,0))),"")</f>
        <v/>
      </c>
      <c r="E3896" s="59" t="str">
        <f>IFERROR(IF(F3896&lt;&gt;"pending","",IF(OR($B3896="",$B3896="(blank)"),"",VLOOKUP($B3896,'Email Marketing Raw Data'!$C:$O,11,0))),"")</f>
        <v/>
      </c>
      <c r="F3896" s="54" t="str">
        <f>IFERROR(IF(OR($B3896="",$B3896="(blank)"),"",VLOOKUP($B3896,'Email Marketing Raw Data'!$C:$O,13,0)),"")</f>
        <v/>
      </c>
      <c r="G3896" s="55" t="str">
        <f>IFERROR(IF(OR($B3896="",$B3896="(blank)"),"",VLOOKUP($B3896,'Email Marketing Raw Data'!$C:$O,4,0)),"")</f>
        <v/>
      </c>
      <c r="H3896" s="55" t="str">
        <f>IFERROR(IF(OR($B3896="",$B3896="(blank)"),"",VLOOKUP($B3896,'Email Marketing Raw Data'!$C:$O,5,0)),"")</f>
        <v/>
      </c>
      <c r="I3896" s="55" t="str">
        <f>IFERROR(IF($G3896="","",VLOOKUP('Dashboard And Emails Automate'!$G3896,Database!$H:$N,3,0)),"")</f>
        <v/>
      </c>
      <c r="J3896" s="55" t="str">
        <f>IFERROR(IF($G3896="","",VLOOKUP('Dashboard And Emails Automate'!$G3896,Database!$H:$N,4,0)),"")</f>
        <v/>
      </c>
      <c r="K3896" s="55" t="str">
        <f>IFERROR(IF($G3896="","",VLOOKUP('Dashboard And Emails Automate'!$G3896,Database!$H:$N,5,0)),"")</f>
        <v/>
      </c>
      <c r="L3896" s="55" t="str">
        <f>IFERROR(IF($G3896="","",VLOOKUP('Dashboard And Emails Automate'!$G3896,Database!$H:$N,6,0)),"")</f>
        <v/>
      </c>
      <c r="M3896" s="55" t="str">
        <f>IFERROR(IF($G3896="","",VLOOKUP('Dashboard And Emails Automate'!$G3896,Database!$H:$N,7,0)),"")</f>
        <v/>
      </c>
      <c r="N3896" s="55" t="str">
        <f>IFERROR(IF(OR($B3896="",$B3896="(blank)"),"",VLOOKUP($B3896,'Email Marketing Raw Data'!$C:$O,6,0)),"")</f>
        <v/>
      </c>
      <c r="O3896" s="55" t="str">
        <f>IFERROR(IF(OR($B3896="",$B3896="(blank)"),"",VLOOKUP($B3896,'Email Marketing Raw Data'!$C:$O,7,0)),"")</f>
        <v/>
      </c>
      <c r="P3896" s="55" t="str">
        <f>IFERROR(IF(OR($B3896="",$B3896="(blank)"),"",VLOOKUP($B3896,'Email Marketing Raw Data'!$C:$O,8,0)),"")</f>
        <v/>
      </c>
      <c r="Q3896" s="62" t="str">
        <f>IFERROR(IF(OR($B3896="",$B3896="(blank)"),"",VLOOKUP($B3896,'Email Marketing Raw Data'!$C:$O,9,0)),"")</f>
        <v/>
      </c>
    </row>
    <row r="3897" spans="4:17" ht="12.75" customHeight="1" x14ac:dyDescent="0.2">
      <c r="D3897" s="58" t="str">
        <f>IFERROR(IF(F3897&lt;&gt;"pending","",IF(OR($B3897="",$B3897="(blank)"),"",VLOOKUP($B3897,'Email Marketing Raw Data'!$C:$O,10,0))),"")</f>
        <v/>
      </c>
      <c r="E3897" s="59" t="str">
        <f>IFERROR(IF(F3897&lt;&gt;"pending","",IF(OR($B3897="",$B3897="(blank)"),"",VLOOKUP($B3897,'Email Marketing Raw Data'!$C:$O,11,0))),"")</f>
        <v/>
      </c>
      <c r="F3897" s="54" t="str">
        <f>IFERROR(IF(OR($B3897="",$B3897="(blank)"),"",VLOOKUP($B3897,'Email Marketing Raw Data'!$C:$O,13,0)),"")</f>
        <v/>
      </c>
      <c r="G3897" s="55" t="str">
        <f>IFERROR(IF(OR($B3897="",$B3897="(blank)"),"",VLOOKUP($B3897,'Email Marketing Raw Data'!$C:$O,4,0)),"")</f>
        <v/>
      </c>
      <c r="H3897" s="55" t="str">
        <f>IFERROR(IF(OR($B3897="",$B3897="(blank)"),"",VLOOKUP($B3897,'Email Marketing Raw Data'!$C:$O,5,0)),"")</f>
        <v/>
      </c>
      <c r="I3897" s="55" t="str">
        <f>IFERROR(IF($G3897="","",VLOOKUP('Dashboard And Emails Automate'!$G3897,Database!$H:$N,3,0)),"")</f>
        <v/>
      </c>
      <c r="J3897" s="55" t="str">
        <f>IFERROR(IF($G3897="","",VLOOKUP('Dashboard And Emails Automate'!$G3897,Database!$H:$N,4,0)),"")</f>
        <v/>
      </c>
      <c r="K3897" s="55" t="str">
        <f>IFERROR(IF($G3897="","",VLOOKUP('Dashboard And Emails Automate'!$G3897,Database!$H:$N,5,0)),"")</f>
        <v/>
      </c>
      <c r="L3897" s="55" t="str">
        <f>IFERROR(IF($G3897="","",VLOOKUP('Dashboard And Emails Automate'!$G3897,Database!$H:$N,6,0)),"")</f>
        <v/>
      </c>
      <c r="M3897" s="55" t="str">
        <f>IFERROR(IF($G3897="","",VLOOKUP('Dashboard And Emails Automate'!$G3897,Database!$H:$N,7,0)),"")</f>
        <v/>
      </c>
      <c r="N3897" s="55" t="str">
        <f>IFERROR(IF(OR($B3897="",$B3897="(blank)"),"",VLOOKUP($B3897,'Email Marketing Raw Data'!$C:$O,6,0)),"")</f>
        <v/>
      </c>
      <c r="O3897" s="55" t="str">
        <f>IFERROR(IF(OR($B3897="",$B3897="(blank)"),"",VLOOKUP($B3897,'Email Marketing Raw Data'!$C:$O,7,0)),"")</f>
        <v/>
      </c>
      <c r="P3897" s="55" t="str">
        <f>IFERROR(IF(OR($B3897="",$B3897="(blank)"),"",VLOOKUP($B3897,'Email Marketing Raw Data'!$C:$O,8,0)),"")</f>
        <v/>
      </c>
      <c r="Q3897" s="62" t="str">
        <f>IFERROR(IF(OR($B3897="",$B3897="(blank)"),"",VLOOKUP($B3897,'Email Marketing Raw Data'!$C:$O,9,0)),"")</f>
        <v/>
      </c>
    </row>
    <row r="3898" spans="4:17" ht="12.75" customHeight="1" x14ac:dyDescent="0.2">
      <c r="D3898" s="58" t="str">
        <f>IFERROR(IF(F3898&lt;&gt;"pending","",IF(OR($B3898="",$B3898="(blank)"),"",VLOOKUP($B3898,'Email Marketing Raw Data'!$C:$O,10,0))),"")</f>
        <v/>
      </c>
      <c r="E3898" s="59" t="str">
        <f>IFERROR(IF(F3898&lt;&gt;"pending","",IF(OR($B3898="",$B3898="(blank)"),"",VLOOKUP($B3898,'Email Marketing Raw Data'!$C:$O,11,0))),"")</f>
        <v/>
      </c>
      <c r="F3898" s="54" t="str">
        <f>IFERROR(IF(OR($B3898="",$B3898="(blank)"),"",VLOOKUP($B3898,'Email Marketing Raw Data'!$C:$O,13,0)),"")</f>
        <v/>
      </c>
      <c r="G3898" s="55" t="str">
        <f>IFERROR(IF(OR($B3898="",$B3898="(blank)"),"",VLOOKUP($B3898,'Email Marketing Raw Data'!$C:$O,4,0)),"")</f>
        <v/>
      </c>
      <c r="H3898" s="55" t="str">
        <f>IFERROR(IF(OR($B3898="",$B3898="(blank)"),"",VLOOKUP($B3898,'Email Marketing Raw Data'!$C:$O,5,0)),"")</f>
        <v/>
      </c>
      <c r="I3898" s="55" t="str">
        <f>IFERROR(IF($G3898="","",VLOOKUP('Dashboard And Emails Automate'!$G3898,Database!$H:$N,3,0)),"")</f>
        <v/>
      </c>
      <c r="J3898" s="55" t="str">
        <f>IFERROR(IF($G3898="","",VLOOKUP('Dashboard And Emails Automate'!$G3898,Database!$H:$N,4,0)),"")</f>
        <v/>
      </c>
      <c r="K3898" s="55" t="str">
        <f>IFERROR(IF($G3898="","",VLOOKUP('Dashboard And Emails Automate'!$G3898,Database!$H:$N,5,0)),"")</f>
        <v/>
      </c>
      <c r="L3898" s="55" t="str">
        <f>IFERROR(IF($G3898="","",VLOOKUP('Dashboard And Emails Automate'!$G3898,Database!$H:$N,6,0)),"")</f>
        <v/>
      </c>
      <c r="M3898" s="55" t="str">
        <f>IFERROR(IF($G3898="","",VLOOKUP('Dashboard And Emails Automate'!$G3898,Database!$H:$N,7,0)),"")</f>
        <v/>
      </c>
      <c r="N3898" s="55" t="str">
        <f>IFERROR(IF(OR($B3898="",$B3898="(blank)"),"",VLOOKUP($B3898,'Email Marketing Raw Data'!$C:$O,6,0)),"")</f>
        <v/>
      </c>
      <c r="O3898" s="55" t="str">
        <f>IFERROR(IF(OR($B3898="",$B3898="(blank)"),"",VLOOKUP($B3898,'Email Marketing Raw Data'!$C:$O,7,0)),"")</f>
        <v/>
      </c>
      <c r="P3898" s="55" t="str">
        <f>IFERROR(IF(OR($B3898="",$B3898="(blank)"),"",VLOOKUP($B3898,'Email Marketing Raw Data'!$C:$O,8,0)),"")</f>
        <v/>
      </c>
      <c r="Q3898" s="62" t="str">
        <f>IFERROR(IF(OR($B3898="",$B3898="(blank)"),"",VLOOKUP($B3898,'Email Marketing Raw Data'!$C:$O,9,0)),"")</f>
        <v/>
      </c>
    </row>
    <row r="3899" spans="4:17" ht="12.75" customHeight="1" x14ac:dyDescent="0.2">
      <c r="D3899" s="58" t="str">
        <f>IFERROR(IF(F3899&lt;&gt;"pending","",IF(OR($B3899="",$B3899="(blank)"),"",VLOOKUP($B3899,'Email Marketing Raw Data'!$C:$O,10,0))),"")</f>
        <v/>
      </c>
      <c r="E3899" s="59" t="str">
        <f>IFERROR(IF(F3899&lt;&gt;"pending","",IF(OR($B3899="",$B3899="(blank)"),"",VLOOKUP($B3899,'Email Marketing Raw Data'!$C:$O,11,0))),"")</f>
        <v/>
      </c>
      <c r="F3899" s="54" t="str">
        <f>IFERROR(IF(OR($B3899="",$B3899="(blank)"),"",VLOOKUP($B3899,'Email Marketing Raw Data'!$C:$O,13,0)),"")</f>
        <v/>
      </c>
      <c r="G3899" s="55" t="str">
        <f>IFERROR(IF(OR($B3899="",$B3899="(blank)"),"",VLOOKUP($B3899,'Email Marketing Raw Data'!$C:$O,4,0)),"")</f>
        <v/>
      </c>
      <c r="H3899" s="55" t="str">
        <f>IFERROR(IF(OR($B3899="",$B3899="(blank)"),"",VLOOKUP($B3899,'Email Marketing Raw Data'!$C:$O,5,0)),"")</f>
        <v/>
      </c>
      <c r="I3899" s="55" t="str">
        <f>IFERROR(IF($G3899="","",VLOOKUP('Dashboard And Emails Automate'!$G3899,Database!$H:$N,3,0)),"")</f>
        <v/>
      </c>
      <c r="J3899" s="55" t="str">
        <f>IFERROR(IF($G3899="","",VLOOKUP('Dashboard And Emails Automate'!$G3899,Database!$H:$N,4,0)),"")</f>
        <v/>
      </c>
      <c r="K3899" s="55" t="str">
        <f>IFERROR(IF($G3899="","",VLOOKUP('Dashboard And Emails Automate'!$G3899,Database!$H:$N,5,0)),"")</f>
        <v/>
      </c>
      <c r="L3899" s="55" t="str">
        <f>IFERROR(IF($G3899="","",VLOOKUP('Dashboard And Emails Automate'!$G3899,Database!$H:$N,6,0)),"")</f>
        <v/>
      </c>
      <c r="M3899" s="55" t="str">
        <f>IFERROR(IF($G3899="","",VLOOKUP('Dashboard And Emails Automate'!$G3899,Database!$H:$N,7,0)),"")</f>
        <v/>
      </c>
      <c r="N3899" s="55" t="str">
        <f>IFERROR(IF(OR($B3899="",$B3899="(blank)"),"",VLOOKUP($B3899,'Email Marketing Raw Data'!$C:$O,6,0)),"")</f>
        <v/>
      </c>
      <c r="O3899" s="55" t="str">
        <f>IFERROR(IF(OR($B3899="",$B3899="(blank)"),"",VLOOKUP($B3899,'Email Marketing Raw Data'!$C:$O,7,0)),"")</f>
        <v/>
      </c>
      <c r="P3899" s="55" t="str">
        <f>IFERROR(IF(OR($B3899="",$B3899="(blank)"),"",VLOOKUP($B3899,'Email Marketing Raw Data'!$C:$O,8,0)),"")</f>
        <v/>
      </c>
      <c r="Q3899" s="62" t="str">
        <f>IFERROR(IF(OR($B3899="",$B3899="(blank)"),"",VLOOKUP($B3899,'Email Marketing Raw Data'!$C:$O,9,0)),"")</f>
        <v/>
      </c>
    </row>
    <row r="3900" spans="4:17" ht="12.75" customHeight="1" x14ac:dyDescent="0.2">
      <c r="D3900" s="58" t="str">
        <f>IFERROR(IF(F3900&lt;&gt;"pending","",IF(OR($B3900="",$B3900="(blank)"),"",VLOOKUP($B3900,'Email Marketing Raw Data'!$C:$O,10,0))),"")</f>
        <v/>
      </c>
      <c r="E3900" s="59" t="str">
        <f>IFERROR(IF(F3900&lt;&gt;"pending","",IF(OR($B3900="",$B3900="(blank)"),"",VLOOKUP($B3900,'Email Marketing Raw Data'!$C:$O,11,0))),"")</f>
        <v/>
      </c>
      <c r="F3900" s="54" t="str">
        <f>IFERROR(IF(OR($B3900="",$B3900="(blank)"),"",VLOOKUP($B3900,'Email Marketing Raw Data'!$C:$O,13,0)),"")</f>
        <v/>
      </c>
      <c r="G3900" s="55" t="str">
        <f>IFERROR(IF(OR($B3900="",$B3900="(blank)"),"",VLOOKUP($B3900,'Email Marketing Raw Data'!$C:$O,4,0)),"")</f>
        <v/>
      </c>
      <c r="H3900" s="55" t="str">
        <f>IFERROR(IF(OR($B3900="",$B3900="(blank)"),"",VLOOKUP($B3900,'Email Marketing Raw Data'!$C:$O,5,0)),"")</f>
        <v/>
      </c>
      <c r="I3900" s="55" t="str">
        <f>IFERROR(IF($G3900="","",VLOOKUP('Dashboard And Emails Automate'!$G3900,Database!$H:$N,3,0)),"")</f>
        <v/>
      </c>
      <c r="J3900" s="55" t="str">
        <f>IFERROR(IF($G3900="","",VLOOKUP('Dashboard And Emails Automate'!$G3900,Database!$H:$N,4,0)),"")</f>
        <v/>
      </c>
      <c r="K3900" s="55" t="str">
        <f>IFERROR(IF($G3900="","",VLOOKUP('Dashboard And Emails Automate'!$G3900,Database!$H:$N,5,0)),"")</f>
        <v/>
      </c>
      <c r="L3900" s="55" t="str">
        <f>IFERROR(IF($G3900="","",VLOOKUP('Dashboard And Emails Automate'!$G3900,Database!$H:$N,6,0)),"")</f>
        <v/>
      </c>
      <c r="M3900" s="55" t="str">
        <f>IFERROR(IF($G3900="","",VLOOKUP('Dashboard And Emails Automate'!$G3900,Database!$H:$N,7,0)),"")</f>
        <v/>
      </c>
      <c r="N3900" s="55" t="str">
        <f>IFERROR(IF(OR($B3900="",$B3900="(blank)"),"",VLOOKUP($B3900,'Email Marketing Raw Data'!$C:$O,6,0)),"")</f>
        <v/>
      </c>
      <c r="O3900" s="55" t="str">
        <f>IFERROR(IF(OR($B3900="",$B3900="(blank)"),"",VLOOKUP($B3900,'Email Marketing Raw Data'!$C:$O,7,0)),"")</f>
        <v/>
      </c>
      <c r="P3900" s="55" t="str">
        <f>IFERROR(IF(OR($B3900="",$B3900="(blank)"),"",VLOOKUP($B3900,'Email Marketing Raw Data'!$C:$O,8,0)),"")</f>
        <v/>
      </c>
      <c r="Q3900" s="62" t="str">
        <f>IFERROR(IF(OR($B3900="",$B3900="(blank)"),"",VLOOKUP($B3900,'Email Marketing Raw Data'!$C:$O,9,0)),"")</f>
        <v/>
      </c>
    </row>
    <row r="3901" spans="4:17" ht="12.75" customHeight="1" x14ac:dyDescent="0.2">
      <c r="D3901" s="58" t="str">
        <f>IFERROR(IF(F3901&lt;&gt;"pending","",IF(OR($B3901="",$B3901="(blank)"),"",VLOOKUP($B3901,'Email Marketing Raw Data'!$C:$O,10,0))),"")</f>
        <v/>
      </c>
      <c r="E3901" s="59" t="str">
        <f>IFERROR(IF(F3901&lt;&gt;"pending","",IF(OR($B3901="",$B3901="(blank)"),"",VLOOKUP($B3901,'Email Marketing Raw Data'!$C:$O,11,0))),"")</f>
        <v/>
      </c>
      <c r="F3901" s="54" t="str">
        <f>IFERROR(IF(OR($B3901="",$B3901="(blank)"),"",VLOOKUP($B3901,'Email Marketing Raw Data'!$C:$O,13,0)),"")</f>
        <v/>
      </c>
      <c r="G3901" s="55" t="str">
        <f>IFERROR(IF(OR($B3901="",$B3901="(blank)"),"",VLOOKUP($B3901,'Email Marketing Raw Data'!$C:$O,4,0)),"")</f>
        <v/>
      </c>
      <c r="H3901" s="55" t="str">
        <f>IFERROR(IF(OR($B3901="",$B3901="(blank)"),"",VLOOKUP($B3901,'Email Marketing Raw Data'!$C:$O,5,0)),"")</f>
        <v/>
      </c>
      <c r="I3901" s="55" t="str">
        <f>IFERROR(IF($G3901="","",VLOOKUP('Dashboard And Emails Automate'!$G3901,Database!$H:$N,3,0)),"")</f>
        <v/>
      </c>
      <c r="J3901" s="55" t="str">
        <f>IFERROR(IF($G3901="","",VLOOKUP('Dashboard And Emails Automate'!$G3901,Database!$H:$N,4,0)),"")</f>
        <v/>
      </c>
      <c r="K3901" s="55" t="str">
        <f>IFERROR(IF($G3901="","",VLOOKUP('Dashboard And Emails Automate'!$G3901,Database!$H:$N,5,0)),"")</f>
        <v/>
      </c>
      <c r="L3901" s="55" t="str">
        <f>IFERROR(IF($G3901="","",VLOOKUP('Dashboard And Emails Automate'!$G3901,Database!$H:$N,6,0)),"")</f>
        <v/>
      </c>
      <c r="M3901" s="55" t="str">
        <f>IFERROR(IF($G3901="","",VLOOKUP('Dashboard And Emails Automate'!$G3901,Database!$H:$N,7,0)),"")</f>
        <v/>
      </c>
      <c r="N3901" s="55" t="str">
        <f>IFERROR(IF(OR($B3901="",$B3901="(blank)"),"",VLOOKUP($B3901,'Email Marketing Raw Data'!$C:$O,6,0)),"")</f>
        <v/>
      </c>
      <c r="O3901" s="55" t="str">
        <f>IFERROR(IF(OR($B3901="",$B3901="(blank)"),"",VLOOKUP($B3901,'Email Marketing Raw Data'!$C:$O,7,0)),"")</f>
        <v/>
      </c>
      <c r="P3901" s="55" t="str">
        <f>IFERROR(IF(OR($B3901="",$B3901="(blank)"),"",VLOOKUP($B3901,'Email Marketing Raw Data'!$C:$O,8,0)),"")</f>
        <v/>
      </c>
      <c r="Q3901" s="62" t="str">
        <f>IFERROR(IF(OR($B3901="",$B3901="(blank)"),"",VLOOKUP($B3901,'Email Marketing Raw Data'!$C:$O,9,0)),"")</f>
        <v/>
      </c>
    </row>
    <row r="3902" spans="4:17" ht="12.75" customHeight="1" x14ac:dyDescent="0.2">
      <c r="D3902" s="58" t="str">
        <f>IFERROR(IF(F3902&lt;&gt;"pending","",IF(OR($B3902="",$B3902="(blank)"),"",VLOOKUP($B3902,'Email Marketing Raw Data'!$C:$O,10,0))),"")</f>
        <v/>
      </c>
      <c r="E3902" s="59" t="str">
        <f>IFERROR(IF(F3902&lt;&gt;"pending","",IF(OR($B3902="",$B3902="(blank)"),"",VLOOKUP($B3902,'Email Marketing Raw Data'!$C:$O,11,0))),"")</f>
        <v/>
      </c>
      <c r="F3902" s="54" t="str">
        <f>IFERROR(IF(OR($B3902="",$B3902="(blank)"),"",VLOOKUP($B3902,'Email Marketing Raw Data'!$C:$O,13,0)),"")</f>
        <v/>
      </c>
      <c r="G3902" s="55" t="str">
        <f>IFERROR(IF(OR($B3902="",$B3902="(blank)"),"",VLOOKUP($B3902,'Email Marketing Raw Data'!$C:$O,4,0)),"")</f>
        <v/>
      </c>
      <c r="H3902" s="55" t="str">
        <f>IFERROR(IF(OR($B3902="",$B3902="(blank)"),"",VLOOKUP($B3902,'Email Marketing Raw Data'!$C:$O,5,0)),"")</f>
        <v/>
      </c>
      <c r="I3902" s="55" t="str">
        <f>IFERROR(IF($G3902="","",VLOOKUP('Dashboard And Emails Automate'!$G3902,Database!$H:$N,3,0)),"")</f>
        <v/>
      </c>
      <c r="J3902" s="55" t="str">
        <f>IFERROR(IF($G3902="","",VLOOKUP('Dashboard And Emails Automate'!$G3902,Database!$H:$N,4,0)),"")</f>
        <v/>
      </c>
      <c r="K3902" s="55" t="str">
        <f>IFERROR(IF($G3902="","",VLOOKUP('Dashboard And Emails Automate'!$G3902,Database!$H:$N,5,0)),"")</f>
        <v/>
      </c>
      <c r="L3902" s="55" t="str">
        <f>IFERROR(IF($G3902="","",VLOOKUP('Dashboard And Emails Automate'!$G3902,Database!$H:$N,6,0)),"")</f>
        <v/>
      </c>
      <c r="M3902" s="55" t="str">
        <f>IFERROR(IF($G3902="","",VLOOKUP('Dashboard And Emails Automate'!$G3902,Database!$H:$N,7,0)),"")</f>
        <v/>
      </c>
      <c r="N3902" s="55" t="str">
        <f>IFERROR(IF(OR($B3902="",$B3902="(blank)"),"",VLOOKUP($B3902,'Email Marketing Raw Data'!$C:$O,6,0)),"")</f>
        <v/>
      </c>
      <c r="O3902" s="55" t="str">
        <f>IFERROR(IF(OR($B3902="",$B3902="(blank)"),"",VLOOKUP($B3902,'Email Marketing Raw Data'!$C:$O,7,0)),"")</f>
        <v/>
      </c>
      <c r="P3902" s="55" t="str">
        <f>IFERROR(IF(OR($B3902="",$B3902="(blank)"),"",VLOOKUP($B3902,'Email Marketing Raw Data'!$C:$O,8,0)),"")</f>
        <v/>
      </c>
      <c r="Q3902" s="62" t="str">
        <f>IFERROR(IF(OR($B3902="",$B3902="(blank)"),"",VLOOKUP($B3902,'Email Marketing Raw Data'!$C:$O,9,0)),"")</f>
        <v/>
      </c>
    </row>
    <row r="3903" spans="4:17" ht="12.75" customHeight="1" x14ac:dyDescent="0.2">
      <c r="D3903" s="58" t="str">
        <f>IFERROR(IF(F3903&lt;&gt;"pending","",IF(OR($B3903="",$B3903="(blank)"),"",VLOOKUP($B3903,'Email Marketing Raw Data'!$C:$O,10,0))),"")</f>
        <v/>
      </c>
      <c r="E3903" s="59" t="str">
        <f>IFERROR(IF(F3903&lt;&gt;"pending","",IF(OR($B3903="",$B3903="(blank)"),"",VLOOKUP($B3903,'Email Marketing Raw Data'!$C:$O,11,0))),"")</f>
        <v/>
      </c>
      <c r="F3903" s="54" t="str">
        <f>IFERROR(IF(OR($B3903="",$B3903="(blank)"),"",VLOOKUP($B3903,'Email Marketing Raw Data'!$C:$O,13,0)),"")</f>
        <v/>
      </c>
      <c r="G3903" s="55" t="str">
        <f>IFERROR(IF(OR($B3903="",$B3903="(blank)"),"",VLOOKUP($B3903,'Email Marketing Raw Data'!$C:$O,4,0)),"")</f>
        <v/>
      </c>
      <c r="H3903" s="55" t="str">
        <f>IFERROR(IF(OR($B3903="",$B3903="(blank)"),"",VLOOKUP($B3903,'Email Marketing Raw Data'!$C:$O,5,0)),"")</f>
        <v/>
      </c>
      <c r="I3903" s="55" t="str">
        <f>IFERROR(IF($G3903="","",VLOOKUP('Dashboard And Emails Automate'!$G3903,Database!$H:$N,3,0)),"")</f>
        <v/>
      </c>
      <c r="J3903" s="55" t="str">
        <f>IFERROR(IF($G3903="","",VLOOKUP('Dashboard And Emails Automate'!$G3903,Database!$H:$N,4,0)),"")</f>
        <v/>
      </c>
      <c r="K3903" s="55" t="str">
        <f>IFERROR(IF($G3903="","",VLOOKUP('Dashboard And Emails Automate'!$G3903,Database!$H:$N,5,0)),"")</f>
        <v/>
      </c>
      <c r="L3903" s="55" t="str">
        <f>IFERROR(IF($G3903="","",VLOOKUP('Dashboard And Emails Automate'!$G3903,Database!$H:$N,6,0)),"")</f>
        <v/>
      </c>
      <c r="M3903" s="55" t="str">
        <f>IFERROR(IF($G3903="","",VLOOKUP('Dashboard And Emails Automate'!$G3903,Database!$H:$N,7,0)),"")</f>
        <v/>
      </c>
      <c r="N3903" s="55" t="str">
        <f>IFERROR(IF(OR($B3903="",$B3903="(blank)"),"",VLOOKUP($B3903,'Email Marketing Raw Data'!$C:$O,6,0)),"")</f>
        <v/>
      </c>
      <c r="O3903" s="55" t="str">
        <f>IFERROR(IF(OR($B3903="",$B3903="(blank)"),"",VLOOKUP($B3903,'Email Marketing Raw Data'!$C:$O,7,0)),"")</f>
        <v/>
      </c>
      <c r="P3903" s="55" t="str">
        <f>IFERROR(IF(OR($B3903="",$B3903="(blank)"),"",VLOOKUP($B3903,'Email Marketing Raw Data'!$C:$O,8,0)),"")</f>
        <v/>
      </c>
      <c r="Q3903" s="62" t="str">
        <f>IFERROR(IF(OR($B3903="",$B3903="(blank)"),"",VLOOKUP($B3903,'Email Marketing Raw Data'!$C:$O,9,0)),"")</f>
        <v/>
      </c>
    </row>
    <row r="3904" spans="4:17" ht="12.75" customHeight="1" x14ac:dyDescent="0.2">
      <c r="D3904" s="58" t="str">
        <f>IFERROR(IF(F3904&lt;&gt;"pending","",IF(OR($B3904="",$B3904="(blank)"),"",VLOOKUP($B3904,'Email Marketing Raw Data'!$C:$O,10,0))),"")</f>
        <v/>
      </c>
      <c r="E3904" s="59" t="str">
        <f>IFERROR(IF(F3904&lt;&gt;"pending","",IF(OR($B3904="",$B3904="(blank)"),"",VLOOKUP($B3904,'Email Marketing Raw Data'!$C:$O,11,0))),"")</f>
        <v/>
      </c>
      <c r="F3904" s="54" t="str">
        <f>IFERROR(IF(OR($B3904="",$B3904="(blank)"),"",VLOOKUP($B3904,'Email Marketing Raw Data'!$C:$O,13,0)),"")</f>
        <v/>
      </c>
      <c r="G3904" s="55" t="str">
        <f>IFERROR(IF(OR($B3904="",$B3904="(blank)"),"",VLOOKUP($B3904,'Email Marketing Raw Data'!$C:$O,4,0)),"")</f>
        <v/>
      </c>
      <c r="H3904" s="55" t="str">
        <f>IFERROR(IF(OR($B3904="",$B3904="(blank)"),"",VLOOKUP($B3904,'Email Marketing Raw Data'!$C:$O,5,0)),"")</f>
        <v/>
      </c>
      <c r="I3904" s="55" t="str">
        <f>IFERROR(IF($G3904="","",VLOOKUP('Dashboard And Emails Automate'!$G3904,Database!$H:$N,3,0)),"")</f>
        <v/>
      </c>
      <c r="J3904" s="55" t="str">
        <f>IFERROR(IF($G3904="","",VLOOKUP('Dashboard And Emails Automate'!$G3904,Database!$H:$N,4,0)),"")</f>
        <v/>
      </c>
      <c r="K3904" s="55" t="str">
        <f>IFERROR(IF($G3904="","",VLOOKUP('Dashboard And Emails Automate'!$G3904,Database!$H:$N,5,0)),"")</f>
        <v/>
      </c>
      <c r="L3904" s="55" t="str">
        <f>IFERROR(IF($G3904="","",VLOOKUP('Dashboard And Emails Automate'!$G3904,Database!$H:$N,6,0)),"")</f>
        <v/>
      </c>
      <c r="M3904" s="55" t="str">
        <f>IFERROR(IF($G3904="","",VLOOKUP('Dashboard And Emails Automate'!$G3904,Database!$H:$N,7,0)),"")</f>
        <v/>
      </c>
      <c r="N3904" s="55" t="str">
        <f>IFERROR(IF(OR($B3904="",$B3904="(blank)"),"",VLOOKUP($B3904,'Email Marketing Raw Data'!$C:$O,6,0)),"")</f>
        <v/>
      </c>
      <c r="O3904" s="55" t="str">
        <f>IFERROR(IF(OR($B3904="",$B3904="(blank)"),"",VLOOKUP($B3904,'Email Marketing Raw Data'!$C:$O,7,0)),"")</f>
        <v/>
      </c>
      <c r="P3904" s="55" t="str">
        <f>IFERROR(IF(OR($B3904="",$B3904="(blank)"),"",VLOOKUP($B3904,'Email Marketing Raw Data'!$C:$O,8,0)),"")</f>
        <v/>
      </c>
      <c r="Q3904" s="62" t="str">
        <f>IFERROR(IF(OR($B3904="",$B3904="(blank)"),"",VLOOKUP($B3904,'Email Marketing Raw Data'!$C:$O,9,0)),"")</f>
        <v/>
      </c>
    </row>
    <row r="3905" spans="4:17" ht="12.75" customHeight="1" x14ac:dyDescent="0.2">
      <c r="D3905" s="58" t="str">
        <f>IFERROR(IF(F3905&lt;&gt;"pending","",IF(OR($B3905="",$B3905="(blank)"),"",VLOOKUP($B3905,'Email Marketing Raw Data'!$C:$O,10,0))),"")</f>
        <v/>
      </c>
      <c r="E3905" s="59" t="str">
        <f>IFERROR(IF(F3905&lt;&gt;"pending","",IF(OR($B3905="",$B3905="(blank)"),"",VLOOKUP($B3905,'Email Marketing Raw Data'!$C:$O,11,0))),"")</f>
        <v/>
      </c>
      <c r="F3905" s="54" t="str">
        <f>IFERROR(IF(OR($B3905="",$B3905="(blank)"),"",VLOOKUP($B3905,'Email Marketing Raw Data'!$C:$O,13,0)),"")</f>
        <v/>
      </c>
      <c r="G3905" s="55" t="str">
        <f>IFERROR(IF(OR($B3905="",$B3905="(blank)"),"",VLOOKUP($B3905,'Email Marketing Raw Data'!$C:$O,4,0)),"")</f>
        <v/>
      </c>
      <c r="H3905" s="55" t="str">
        <f>IFERROR(IF(OR($B3905="",$B3905="(blank)"),"",VLOOKUP($B3905,'Email Marketing Raw Data'!$C:$O,5,0)),"")</f>
        <v/>
      </c>
      <c r="I3905" s="55" t="str">
        <f>IFERROR(IF($G3905="","",VLOOKUP('Dashboard And Emails Automate'!$G3905,Database!$H:$N,3,0)),"")</f>
        <v/>
      </c>
      <c r="J3905" s="55" t="str">
        <f>IFERROR(IF($G3905="","",VLOOKUP('Dashboard And Emails Automate'!$G3905,Database!$H:$N,4,0)),"")</f>
        <v/>
      </c>
      <c r="K3905" s="55" t="str">
        <f>IFERROR(IF($G3905="","",VLOOKUP('Dashboard And Emails Automate'!$G3905,Database!$H:$N,5,0)),"")</f>
        <v/>
      </c>
      <c r="L3905" s="55" t="str">
        <f>IFERROR(IF($G3905="","",VLOOKUP('Dashboard And Emails Automate'!$G3905,Database!$H:$N,6,0)),"")</f>
        <v/>
      </c>
      <c r="M3905" s="55" t="str">
        <f>IFERROR(IF($G3905="","",VLOOKUP('Dashboard And Emails Automate'!$G3905,Database!$H:$N,7,0)),"")</f>
        <v/>
      </c>
      <c r="N3905" s="55" t="str">
        <f>IFERROR(IF(OR($B3905="",$B3905="(blank)"),"",VLOOKUP($B3905,'Email Marketing Raw Data'!$C:$O,6,0)),"")</f>
        <v/>
      </c>
      <c r="O3905" s="55" t="str">
        <f>IFERROR(IF(OR($B3905="",$B3905="(blank)"),"",VLOOKUP($B3905,'Email Marketing Raw Data'!$C:$O,7,0)),"")</f>
        <v/>
      </c>
      <c r="P3905" s="55" t="str">
        <f>IFERROR(IF(OR($B3905="",$B3905="(blank)"),"",VLOOKUP($B3905,'Email Marketing Raw Data'!$C:$O,8,0)),"")</f>
        <v/>
      </c>
      <c r="Q3905" s="62" t="str">
        <f>IFERROR(IF(OR($B3905="",$B3905="(blank)"),"",VLOOKUP($B3905,'Email Marketing Raw Data'!$C:$O,9,0)),"")</f>
        <v/>
      </c>
    </row>
    <row r="3906" spans="4:17" ht="12.75" customHeight="1" x14ac:dyDescent="0.2">
      <c r="D3906" s="58" t="str">
        <f>IFERROR(IF(F3906&lt;&gt;"pending","",IF(OR($B3906="",$B3906="(blank)"),"",VLOOKUP($B3906,'Email Marketing Raw Data'!$C:$O,10,0))),"")</f>
        <v/>
      </c>
      <c r="E3906" s="59" t="str">
        <f>IFERROR(IF(F3906&lt;&gt;"pending","",IF(OR($B3906="",$B3906="(blank)"),"",VLOOKUP($B3906,'Email Marketing Raw Data'!$C:$O,11,0))),"")</f>
        <v/>
      </c>
      <c r="F3906" s="54" t="str">
        <f>IFERROR(IF(OR($B3906="",$B3906="(blank)"),"",VLOOKUP($B3906,'Email Marketing Raw Data'!$C:$O,13,0)),"")</f>
        <v/>
      </c>
      <c r="G3906" s="55" t="str">
        <f>IFERROR(IF(OR($B3906="",$B3906="(blank)"),"",VLOOKUP($B3906,'Email Marketing Raw Data'!$C:$O,4,0)),"")</f>
        <v/>
      </c>
      <c r="H3906" s="55" t="str">
        <f>IFERROR(IF(OR($B3906="",$B3906="(blank)"),"",VLOOKUP($B3906,'Email Marketing Raw Data'!$C:$O,5,0)),"")</f>
        <v/>
      </c>
      <c r="I3906" s="55" t="str">
        <f>IFERROR(IF($G3906="","",VLOOKUP('Dashboard And Emails Automate'!$G3906,Database!$H:$N,3,0)),"")</f>
        <v/>
      </c>
      <c r="J3906" s="55" t="str">
        <f>IFERROR(IF($G3906="","",VLOOKUP('Dashboard And Emails Automate'!$G3906,Database!$H:$N,4,0)),"")</f>
        <v/>
      </c>
      <c r="K3906" s="55" t="str">
        <f>IFERROR(IF($G3906="","",VLOOKUP('Dashboard And Emails Automate'!$G3906,Database!$H:$N,5,0)),"")</f>
        <v/>
      </c>
      <c r="L3906" s="55" t="str">
        <f>IFERROR(IF($G3906="","",VLOOKUP('Dashboard And Emails Automate'!$G3906,Database!$H:$N,6,0)),"")</f>
        <v/>
      </c>
      <c r="M3906" s="55" t="str">
        <f>IFERROR(IF($G3906="","",VLOOKUP('Dashboard And Emails Automate'!$G3906,Database!$H:$N,7,0)),"")</f>
        <v/>
      </c>
      <c r="N3906" s="55" t="str">
        <f>IFERROR(IF(OR($B3906="",$B3906="(blank)"),"",VLOOKUP($B3906,'Email Marketing Raw Data'!$C:$O,6,0)),"")</f>
        <v/>
      </c>
      <c r="O3906" s="55" t="str">
        <f>IFERROR(IF(OR($B3906="",$B3906="(blank)"),"",VLOOKUP($B3906,'Email Marketing Raw Data'!$C:$O,7,0)),"")</f>
        <v/>
      </c>
      <c r="P3906" s="55" t="str">
        <f>IFERROR(IF(OR($B3906="",$B3906="(blank)"),"",VLOOKUP($B3906,'Email Marketing Raw Data'!$C:$O,8,0)),"")</f>
        <v/>
      </c>
      <c r="Q3906" s="62" t="str">
        <f>IFERROR(IF(OR($B3906="",$B3906="(blank)"),"",VLOOKUP($B3906,'Email Marketing Raw Data'!$C:$O,9,0)),"")</f>
        <v/>
      </c>
    </row>
    <row r="3907" spans="4:17" ht="12.75" customHeight="1" x14ac:dyDescent="0.2">
      <c r="D3907" s="58" t="str">
        <f>IFERROR(IF(F3907&lt;&gt;"pending","",IF(OR($B3907="",$B3907="(blank)"),"",VLOOKUP($B3907,'Email Marketing Raw Data'!$C:$O,10,0))),"")</f>
        <v/>
      </c>
      <c r="E3907" s="59" t="str">
        <f>IFERROR(IF(F3907&lt;&gt;"pending","",IF(OR($B3907="",$B3907="(blank)"),"",VLOOKUP($B3907,'Email Marketing Raw Data'!$C:$O,11,0))),"")</f>
        <v/>
      </c>
      <c r="F3907" s="54" t="str">
        <f>IFERROR(IF(OR($B3907="",$B3907="(blank)"),"",VLOOKUP($B3907,'Email Marketing Raw Data'!$C:$O,13,0)),"")</f>
        <v/>
      </c>
      <c r="G3907" s="55" t="str">
        <f>IFERROR(IF(OR($B3907="",$B3907="(blank)"),"",VLOOKUP($B3907,'Email Marketing Raw Data'!$C:$O,4,0)),"")</f>
        <v/>
      </c>
      <c r="H3907" s="55" t="str">
        <f>IFERROR(IF(OR($B3907="",$B3907="(blank)"),"",VLOOKUP($B3907,'Email Marketing Raw Data'!$C:$O,5,0)),"")</f>
        <v/>
      </c>
      <c r="I3907" s="55" t="str">
        <f>IFERROR(IF($G3907="","",VLOOKUP('Dashboard And Emails Automate'!$G3907,Database!$H:$N,3,0)),"")</f>
        <v/>
      </c>
      <c r="J3907" s="55" t="str">
        <f>IFERROR(IF($G3907="","",VLOOKUP('Dashboard And Emails Automate'!$G3907,Database!$H:$N,4,0)),"")</f>
        <v/>
      </c>
      <c r="K3907" s="55" t="str">
        <f>IFERROR(IF($G3907="","",VLOOKUP('Dashboard And Emails Automate'!$G3907,Database!$H:$N,5,0)),"")</f>
        <v/>
      </c>
      <c r="L3907" s="55" t="str">
        <f>IFERROR(IF($G3907="","",VLOOKUP('Dashboard And Emails Automate'!$G3907,Database!$H:$N,6,0)),"")</f>
        <v/>
      </c>
      <c r="M3907" s="55" t="str">
        <f>IFERROR(IF($G3907="","",VLOOKUP('Dashboard And Emails Automate'!$G3907,Database!$H:$N,7,0)),"")</f>
        <v/>
      </c>
      <c r="N3907" s="55" t="str">
        <f>IFERROR(IF(OR($B3907="",$B3907="(blank)"),"",VLOOKUP($B3907,'Email Marketing Raw Data'!$C:$O,6,0)),"")</f>
        <v/>
      </c>
      <c r="O3907" s="55" t="str">
        <f>IFERROR(IF(OR($B3907="",$B3907="(blank)"),"",VLOOKUP($B3907,'Email Marketing Raw Data'!$C:$O,7,0)),"")</f>
        <v/>
      </c>
      <c r="P3907" s="55" t="str">
        <f>IFERROR(IF(OR($B3907="",$B3907="(blank)"),"",VLOOKUP($B3907,'Email Marketing Raw Data'!$C:$O,8,0)),"")</f>
        <v/>
      </c>
      <c r="Q3907" s="62" t="str">
        <f>IFERROR(IF(OR($B3907="",$B3907="(blank)"),"",VLOOKUP($B3907,'Email Marketing Raw Data'!$C:$O,9,0)),"")</f>
        <v/>
      </c>
    </row>
    <row r="3908" spans="4:17" ht="12.75" customHeight="1" x14ac:dyDescent="0.2">
      <c r="D3908" s="58" t="str">
        <f>IFERROR(IF(F3908&lt;&gt;"pending","",IF(OR($B3908="",$B3908="(blank)"),"",VLOOKUP($B3908,'Email Marketing Raw Data'!$C:$O,10,0))),"")</f>
        <v/>
      </c>
      <c r="E3908" s="59" t="str">
        <f>IFERROR(IF(F3908&lt;&gt;"pending","",IF(OR($B3908="",$B3908="(blank)"),"",VLOOKUP($B3908,'Email Marketing Raw Data'!$C:$O,11,0))),"")</f>
        <v/>
      </c>
      <c r="F3908" s="54" t="str">
        <f>IFERROR(IF(OR($B3908="",$B3908="(blank)"),"",VLOOKUP($B3908,'Email Marketing Raw Data'!$C:$O,13,0)),"")</f>
        <v/>
      </c>
      <c r="G3908" s="55" t="str">
        <f>IFERROR(IF(OR($B3908="",$B3908="(blank)"),"",VLOOKUP($B3908,'Email Marketing Raw Data'!$C:$O,4,0)),"")</f>
        <v/>
      </c>
      <c r="H3908" s="55" t="str">
        <f>IFERROR(IF(OR($B3908="",$B3908="(blank)"),"",VLOOKUP($B3908,'Email Marketing Raw Data'!$C:$O,5,0)),"")</f>
        <v/>
      </c>
      <c r="I3908" s="55" t="str">
        <f>IFERROR(IF($G3908="","",VLOOKUP('Dashboard And Emails Automate'!$G3908,Database!$H:$N,3,0)),"")</f>
        <v/>
      </c>
      <c r="J3908" s="55" t="str">
        <f>IFERROR(IF($G3908="","",VLOOKUP('Dashboard And Emails Automate'!$G3908,Database!$H:$N,4,0)),"")</f>
        <v/>
      </c>
      <c r="K3908" s="55" t="str">
        <f>IFERROR(IF($G3908="","",VLOOKUP('Dashboard And Emails Automate'!$G3908,Database!$H:$N,5,0)),"")</f>
        <v/>
      </c>
      <c r="L3908" s="55" t="str">
        <f>IFERROR(IF($G3908="","",VLOOKUP('Dashboard And Emails Automate'!$G3908,Database!$H:$N,6,0)),"")</f>
        <v/>
      </c>
      <c r="M3908" s="55" t="str">
        <f>IFERROR(IF($G3908="","",VLOOKUP('Dashboard And Emails Automate'!$G3908,Database!$H:$N,7,0)),"")</f>
        <v/>
      </c>
      <c r="N3908" s="55" t="str">
        <f>IFERROR(IF(OR($B3908="",$B3908="(blank)"),"",VLOOKUP($B3908,'Email Marketing Raw Data'!$C:$O,6,0)),"")</f>
        <v/>
      </c>
      <c r="O3908" s="55" t="str">
        <f>IFERROR(IF(OR($B3908="",$B3908="(blank)"),"",VLOOKUP($B3908,'Email Marketing Raw Data'!$C:$O,7,0)),"")</f>
        <v/>
      </c>
      <c r="P3908" s="55" t="str">
        <f>IFERROR(IF(OR($B3908="",$B3908="(blank)"),"",VLOOKUP($B3908,'Email Marketing Raw Data'!$C:$O,8,0)),"")</f>
        <v/>
      </c>
      <c r="Q3908" s="62" t="str">
        <f>IFERROR(IF(OR($B3908="",$B3908="(blank)"),"",VLOOKUP($B3908,'Email Marketing Raw Data'!$C:$O,9,0)),"")</f>
        <v/>
      </c>
    </row>
    <row r="3909" spans="4:17" ht="12.75" customHeight="1" x14ac:dyDescent="0.2">
      <c r="D3909" s="58" t="str">
        <f>IFERROR(IF(F3909&lt;&gt;"pending","",IF(OR($B3909="",$B3909="(blank)"),"",VLOOKUP($B3909,'Email Marketing Raw Data'!$C:$O,10,0))),"")</f>
        <v/>
      </c>
      <c r="E3909" s="59" t="str">
        <f>IFERROR(IF(F3909&lt;&gt;"pending","",IF(OR($B3909="",$B3909="(blank)"),"",VLOOKUP($B3909,'Email Marketing Raw Data'!$C:$O,11,0))),"")</f>
        <v/>
      </c>
      <c r="F3909" s="54" t="str">
        <f>IFERROR(IF(OR($B3909="",$B3909="(blank)"),"",VLOOKUP($B3909,'Email Marketing Raw Data'!$C:$O,13,0)),"")</f>
        <v/>
      </c>
      <c r="G3909" s="55" t="str">
        <f>IFERROR(IF(OR($B3909="",$B3909="(blank)"),"",VLOOKUP($B3909,'Email Marketing Raw Data'!$C:$O,4,0)),"")</f>
        <v/>
      </c>
      <c r="H3909" s="55" t="str">
        <f>IFERROR(IF(OR($B3909="",$B3909="(blank)"),"",VLOOKUP($B3909,'Email Marketing Raw Data'!$C:$O,5,0)),"")</f>
        <v/>
      </c>
      <c r="I3909" s="55" t="str">
        <f>IFERROR(IF($G3909="","",VLOOKUP('Dashboard And Emails Automate'!$G3909,Database!$H:$N,3,0)),"")</f>
        <v/>
      </c>
      <c r="J3909" s="55" t="str">
        <f>IFERROR(IF($G3909="","",VLOOKUP('Dashboard And Emails Automate'!$G3909,Database!$H:$N,4,0)),"")</f>
        <v/>
      </c>
      <c r="K3909" s="55" t="str">
        <f>IFERROR(IF($G3909="","",VLOOKUP('Dashboard And Emails Automate'!$G3909,Database!$H:$N,5,0)),"")</f>
        <v/>
      </c>
      <c r="L3909" s="55" t="str">
        <f>IFERROR(IF($G3909="","",VLOOKUP('Dashboard And Emails Automate'!$G3909,Database!$H:$N,6,0)),"")</f>
        <v/>
      </c>
      <c r="M3909" s="55" t="str">
        <f>IFERROR(IF($G3909="","",VLOOKUP('Dashboard And Emails Automate'!$G3909,Database!$H:$N,7,0)),"")</f>
        <v/>
      </c>
      <c r="N3909" s="55" t="str">
        <f>IFERROR(IF(OR($B3909="",$B3909="(blank)"),"",VLOOKUP($B3909,'Email Marketing Raw Data'!$C:$O,6,0)),"")</f>
        <v/>
      </c>
      <c r="O3909" s="55" t="str">
        <f>IFERROR(IF(OR($B3909="",$B3909="(blank)"),"",VLOOKUP($B3909,'Email Marketing Raw Data'!$C:$O,7,0)),"")</f>
        <v/>
      </c>
      <c r="P3909" s="55" t="str">
        <f>IFERROR(IF(OR($B3909="",$B3909="(blank)"),"",VLOOKUP($B3909,'Email Marketing Raw Data'!$C:$O,8,0)),"")</f>
        <v/>
      </c>
      <c r="Q3909" s="62" t="str">
        <f>IFERROR(IF(OR($B3909="",$B3909="(blank)"),"",VLOOKUP($B3909,'Email Marketing Raw Data'!$C:$O,9,0)),"")</f>
        <v/>
      </c>
    </row>
    <row r="3910" spans="4:17" ht="12.75" customHeight="1" x14ac:dyDescent="0.2">
      <c r="D3910" s="58" t="str">
        <f>IFERROR(IF(F3910&lt;&gt;"pending","",IF(OR($B3910="",$B3910="(blank)"),"",VLOOKUP($B3910,'Email Marketing Raw Data'!$C:$O,10,0))),"")</f>
        <v/>
      </c>
      <c r="E3910" s="59" t="str">
        <f>IFERROR(IF(F3910&lt;&gt;"pending","",IF(OR($B3910="",$B3910="(blank)"),"",VLOOKUP($B3910,'Email Marketing Raw Data'!$C:$O,11,0))),"")</f>
        <v/>
      </c>
      <c r="F3910" s="54" t="str">
        <f>IFERROR(IF(OR($B3910="",$B3910="(blank)"),"",VLOOKUP($B3910,'Email Marketing Raw Data'!$C:$O,13,0)),"")</f>
        <v/>
      </c>
      <c r="G3910" s="55" t="str">
        <f>IFERROR(IF(OR($B3910="",$B3910="(blank)"),"",VLOOKUP($B3910,'Email Marketing Raw Data'!$C:$O,4,0)),"")</f>
        <v/>
      </c>
      <c r="H3910" s="55" t="str">
        <f>IFERROR(IF(OR($B3910="",$B3910="(blank)"),"",VLOOKUP($B3910,'Email Marketing Raw Data'!$C:$O,5,0)),"")</f>
        <v/>
      </c>
      <c r="I3910" s="55" t="str">
        <f>IFERROR(IF($G3910="","",VLOOKUP('Dashboard And Emails Automate'!$G3910,Database!$H:$N,3,0)),"")</f>
        <v/>
      </c>
      <c r="J3910" s="55" t="str">
        <f>IFERROR(IF($G3910="","",VLOOKUP('Dashboard And Emails Automate'!$G3910,Database!$H:$N,4,0)),"")</f>
        <v/>
      </c>
      <c r="K3910" s="55" t="str">
        <f>IFERROR(IF($G3910="","",VLOOKUP('Dashboard And Emails Automate'!$G3910,Database!$H:$N,5,0)),"")</f>
        <v/>
      </c>
      <c r="L3910" s="55" t="str">
        <f>IFERROR(IF($G3910="","",VLOOKUP('Dashboard And Emails Automate'!$G3910,Database!$H:$N,6,0)),"")</f>
        <v/>
      </c>
      <c r="M3910" s="55" t="str">
        <f>IFERROR(IF($G3910="","",VLOOKUP('Dashboard And Emails Automate'!$G3910,Database!$H:$N,7,0)),"")</f>
        <v/>
      </c>
      <c r="N3910" s="55" t="str">
        <f>IFERROR(IF(OR($B3910="",$B3910="(blank)"),"",VLOOKUP($B3910,'Email Marketing Raw Data'!$C:$O,6,0)),"")</f>
        <v/>
      </c>
      <c r="O3910" s="55" t="str">
        <f>IFERROR(IF(OR($B3910="",$B3910="(blank)"),"",VLOOKUP($B3910,'Email Marketing Raw Data'!$C:$O,7,0)),"")</f>
        <v/>
      </c>
      <c r="P3910" s="55" t="str">
        <f>IFERROR(IF(OR($B3910="",$B3910="(blank)"),"",VLOOKUP($B3910,'Email Marketing Raw Data'!$C:$O,8,0)),"")</f>
        <v/>
      </c>
      <c r="Q3910" s="62" t="str">
        <f>IFERROR(IF(OR($B3910="",$B3910="(blank)"),"",VLOOKUP($B3910,'Email Marketing Raw Data'!$C:$O,9,0)),"")</f>
        <v/>
      </c>
    </row>
    <row r="3911" spans="4:17" ht="12.75" customHeight="1" x14ac:dyDescent="0.2">
      <c r="D3911" s="58" t="str">
        <f>IFERROR(IF(F3911&lt;&gt;"pending","",IF(OR($B3911="",$B3911="(blank)"),"",VLOOKUP($B3911,'Email Marketing Raw Data'!$C:$O,10,0))),"")</f>
        <v/>
      </c>
      <c r="E3911" s="59" t="str">
        <f>IFERROR(IF(F3911&lt;&gt;"pending","",IF(OR($B3911="",$B3911="(blank)"),"",VLOOKUP($B3911,'Email Marketing Raw Data'!$C:$O,11,0))),"")</f>
        <v/>
      </c>
      <c r="F3911" s="54" t="str">
        <f>IFERROR(IF(OR($B3911="",$B3911="(blank)"),"",VLOOKUP($B3911,'Email Marketing Raw Data'!$C:$O,13,0)),"")</f>
        <v/>
      </c>
      <c r="G3911" s="55" t="str">
        <f>IFERROR(IF(OR($B3911="",$B3911="(blank)"),"",VLOOKUP($B3911,'Email Marketing Raw Data'!$C:$O,4,0)),"")</f>
        <v/>
      </c>
      <c r="H3911" s="55" t="str">
        <f>IFERROR(IF(OR($B3911="",$B3911="(blank)"),"",VLOOKUP($B3911,'Email Marketing Raw Data'!$C:$O,5,0)),"")</f>
        <v/>
      </c>
      <c r="I3911" s="55" t="str">
        <f>IFERROR(IF($G3911="","",VLOOKUP('Dashboard And Emails Automate'!$G3911,Database!$H:$N,3,0)),"")</f>
        <v/>
      </c>
      <c r="J3911" s="55" t="str">
        <f>IFERROR(IF($G3911="","",VLOOKUP('Dashboard And Emails Automate'!$G3911,Database!$H:$N,4,0)),"")</f>
        <v/>
      </c>
      <c r="K3911" s="55" t="str">
        <f>IFERROR(IF($G3911="","",VLOOKUP('Dashboard And Emails Automate'!$G3911,Database!$H:$N,5,0)),"")</f>
        <v/>
      </c>
      <c r="L3911" s="55" t="str">
        <f>IFERROR(IF($G3911="","",VLOOKUP('Dashboard And Emails Automate'!$G3911,Database!$H:$N,6,0)),"")</f>
        <v/>
      </c>
      <c r="M3911" s="55" t="str">
        <f>IFERROR(IF($G3911="","",VLOOKUP('Dashboard And Emails Automate'!$G3911,Database!$H:$N,7,0)),"")</f>
        <v/>
      </c>
      <c r="N3911" s="55" t="str">
        <f>IFERROR(IF(OR($B3911="",$B3911="(blank)"),"",VLOOKUP($B3911,'Email Marketing Raw Data'!$C:$O,6,0)),"")</f>
        <v/>
      </c>
      <c r="O3911" s="55" t="str">
        <f>IFERROR(IF(OR($B3911="",$B3911="(blank)"),"",VLOOKUP($B3911,'Email Marketing Raw Data'!$C:$O,7,0)),"")</f>
        <v/>
      </c>
      <c r="P3911" s="55" t="str">
        <f>IFERROR(IF(OR($B3911="",$B3911="(blank)"),"",VLOOKUP($B3911,'Email Marketing Raw Data'!$C:$O,8,0)),"")</f>
        <v/>
      </c>
      <c r="Q3911" s="62" t="str">
        <f>IFERROR(IF(OR($B3911="",$B3911="(blank)"),"",VLOOKUP($B3911,'Email Marketing Raw Data'!$C:$O,9,0)),"")</f>
        <v/>
      </c>
    </row>
    <row r="3912" spans="4:17" ht="12.75" customHeight="1" x14ac:dyDescent="0.2">
      <c r="D3912" s="58" t="str">
        <f>IFERROR(IF(F3912&lt;&gt;"pending","",IF(OR($B3912="",$B3912="(blank)"),"",VLOOKUP($B3912,'Email Marketing Raw Data'!$C:$O,10,0))),"")</f>
        <v/>
      </c>
      <c r="E3912" s="59" t="str">
        <f>IFERROR(IF(F3912&lt;&gt;"pending","",IF(OR($B3912="",$B3912="(blank)"),"",VLOOKUP($B3912,'Email Marketing Raw Data'!$C:$O,11,0))),"")</f>
        <v/>
      </c>
      <c r="F3912" s="54" t="str">
        <f>IFERROR(IF(OR($B3912="",$B3912="(blank)"),"",VLOOKUP($B3912,'Email Marketing Raw Data'!$C:$O,13,0)),"")</f>
        <v/>
      </c>
      <c r="G3912" s="55" t="str">
        <f>IFERROR(IF(OR($B3912="",$B3912="(blank)"),"",VLOOKUP($B3912,'Email Marketing Raw Data'!$C:$O,4,0)),"")</f>
        <v/>
      </c>
      <c r="H3912" s="55" t="str">
        <f>IFERROR(IF(OR($B3912="",$B3912="(blank)"),"",VLOOKUP($B3912,'Email Marketing Raw Data'!$C:$O,5,0)),"")</f>
        <v/>
      </c>
      <c r="I3912" s="55" t="str">
        <f>IFERROR(IF($G3912="","",VLOOKUP('Dashboard And Emails Automate'!$G3912,Database!$H:$N,3,0)),"")</f>
        <v/>
      </c>
      <c r="J3912" s="55" t="str">
        <f>IFERROR(IF($G3912="","",VLOOKUP('Dashboard And Emails Automate'!$G3912,Database!$H:$N,4,0)),"")</f>
        <v/>
      </c>
      <c r="K3912" s="55" t="str">
        <f>IFERROR(IF($G3912="","",VLOOKUP('Dashboard And Emails Automate'!$G3912,Database!$H:$N,5,0)),"")</f>
        <v/>
      </c>
      <c r="L3912" s="55" t="str">
        <f>IFERROR(IF($G3912="","",VLOOKUP('Dashboard And Emails Automate'!$G3912,Database!$H:$N,6,0)),"")</f>
        <v/>
      </c>
      <c r="M3912" s="55" t="str">
        <f>IFERROR(IF($G3912="","",VLOOKUP('Dashboard And Emails Automate'!$G3912,Database!$H:$N,7,0)),"")</f>
        <v/>
      </c>
      <c r="N3912" s="55" t="str">
        <f>IFERROR(IF(OR($B3912="",$B3912="(blank)"),"",VLOOKUP($B3912,'Email Marketing Raw Data'!$C:$O,6,0)),"")</f>
        <v/>
      </c>
      <c r="O3912" s="55" t="str">
        <f>IFERROR(IF(OR($B3912="",$B3912="(blank)"),"",VLOOKUP($B3912,'Email Marketing Raw Data'!$C:$O,7,0)),"")</f>
        <v/>
      </c>
      <c r="P3912" s="55" t="str">
        <f>IFERROR(IF(OR($B3912="",$B3912="(blank)"),"",VLOOKUP($B3912,'Email Marketing Raw Data'!$C:$O,8,0)),"")</f>
        <v/>
      </c>
      <c r="Q3912" s="62" t="str">
        <f>IFERROR(IF(OR($B3912="",$B3912="(blank)"),"",VLOOKUP($B3912,'Email Marketing Raw Data'!$C:$O,9,0)),"")</f>
        <v/>
      </c>
    </row>
    <row r="3913" spans="4:17" ht="12.75" customHeight="1" x14ac:dyDescent="0.2">
      <c r="D3913" s="58" t="str">
        <f>IFERROR(IF(F3913&lt;&gt;"pending","",IF(OR($B3913="",$B3913="(blank)"),"",VLOOKUP($B3913,'Email Marketing Raw Data'!$C:$O,10,0))),"")</f>
        <v/>
      </c>
      <c r="E3913" s="59" t="str">
        <f>IFERROR(IF(F3913&lt;&gt;"pending","",IF(OR($B3913="",$B3913="(blank)"),"",VLOOKUP($B3913,'Email Marketing Raw Data'!$C:$O,11,0))),"")</f>
        <v/>
      </c>
      <c r="F3913" s="54" t="str">
        <f>IFERROR(IF(OR($B3913="",$B3913="(blank)"),"",VLOOKUP($B3913,'Email Marketing Raw Data'!$C:$O,13,0)),"")</f>
        <v/>
      </c>
      <c r="G3913" s="55" t="str">
        <f>IFERROR(IF(OR($B3913="",$B3913="(blank)"),"",VLOOKUP($B3913,'Email Marketing Raw Data'!$C:$O,4,0)),"")</f>
        <v/>
      </c>
      <c r="H3913" s="55" t="str">
        <f>IFERROR(IF(OR($B3913="",$B3913="(blank)"),"",VLOOKUP($B3913,'Email Marketing Raw Data'!$C:$O,5,0)),"")</f>
        <v/>
      </c>
      <c r="I3913" s="55" t="str">
        <f>IFERROR(IF($G3913="","",VLOOKUP('Dashboard And Emails Automate'!$G3913,Database!$H:$N,3,0)),"")</f>
        <v/>
      </c>
      <c r="J3913" s="55" t="str">
        <f>IFERROR(IF($G3913="","",VLOOKUP('Dashboard And Emails Automate'!$G3913,Database!$H:$N,4,0)),"")</f>
        <v/>
      </c>
      <c r="K3913" s="55" t="str">
        <f>IFERROR(IF($G3913="","",VLOOKUP('Dashboard And Emails Automate'!$G3913,Database!$H:$N,5,0)),"")</f>
        <v/>
      </c>
      <c r="L3913" s="55" t="str">
        <f>IFERROR(IF($G3913="","",VLOOKUP('Dashboard And Emails Automate'!$G3913,Database!$H:$N,6,0)),"")</f>
        <v/>
      </c>
      <c r="M3913" s="55" t="str">
        <f>IFERROR(IF($G3913="","",VLOOKUP('Dashboard And Emails Automate'!$G3913,Database!$H:$N,7,0)),"")</f>
        <v/>
      </c>
      <c r="N3913" s="55" t="str">
        <f>IFERROR(IF(OR($B3913="",$B3913="(blank)"),"",VLOOKUP($B3913,'Email Marketing Raw Data'!$C:$O,6,0)),"")</f>
        <v/>
      </c>
      <c r="O3913" s="55" t="str">
        <f>IFERROR(IF(OR($B3913="",$B3913="(blank)"),"",VLOOKUP($B3913,'Email Marketing Raw Data'!$C:$O,7,0)),"")</f>
        <v/>
      </c>
      <c r="P3913" s="55" t="str">
        <f>IFERROR(IF(OR($B3913="",$B3913="(blank)"),"",VLOOKUP($B3913,'Email Marketing Raw Data'!$C:$O,8,0)),"")</f>
        <v/>
      </c>
      <c r="Q3913" s="62" t="str">
        <f>IFERROR(IF(OR($B3913="",$B3913="(blank)"),"",VLOOKUP($B3913,'Email Marketing Raw Data'!$C:$O,9,0)),"")</f>
        <v/>
      </c>
    </row>
    <row r="3914" spans="4:17" ht="12.75" customHeight="1" x14ac:dyDescent="0.2">
      <c r="D3914" s="58" t="str">
        <f>IFERROR(IF(F3914&lt;&gt;"pending","",IF(OR($B3914="",$B3914="(blank)"),"",VLOOKUP($B3914,'Email Marketing Raw Data'!$C:$O,10,0))),"")</f>
        <v/>
      </c>
      <c r="E3914" s="59" t="str">
        <f>IFERROR(IF(F3914&lt;&gt;"pending","",IF(OR($B3914="",$B3914="(blank)"),"",VLOOKUP($B3914,'Email Marketing Raw Data'!$C:$O,11,0))),"")</f>
        <v/>
      </c>
      <c r="F3914" s="54" t="str">
        <f>IFERROR(IF(OR($B3914="",$B3914="(blank)"),"",VLOOKUP($B3914,'Email Marketing Raw Data'!$C:$O,13,0)),"")</f>
        <v/>
      </c>
      <c r="G3914" s="55" t="str">
        <f>IFERROR(IF(OR($B3914="",$B3914="(blank)"),"",VLOOKUP($B3914,'Email Marketing Raw Data'!$C:$O,4,0)),"")</f>
        <v/>
      </c>
      <c r="H3914" s="55" t="str">
        <f>IFERROR(IF(OR($B3914="",$B3914="(blank)"),"",VLOOKUP($B3914,'Email Marketing Raw Data'!$C:$O,5,0)),"")</f>
        <v/>
      </c>
      <c r="I3914" s="55" t="str">
        <f>IFERROR(IF($G3914="","",VLOOKUP('Dashboard And Emails Automate'!$G3914,Database!$H:$N,3,0)),"")</f>
        <v/>
      </c>
      <c r="J3914" s="55" t="str">
        <f>IFERROR(IF($G3914="","",VLOOKUP('Dashboard And Emails Automate'!$G3914,Database!$H:$N,4,0)),"")</f>
        <v/>
      </c>
      <c r="K3914" s="55" t="str">
        <f>IFERROR(IF($G3914="","",VLOOKUP('Dashboard And Emails Automate'!$G3914,Database!$H:$N,5,0)),"")</f>
        <v/>
      </c>
      <c r="L3914" s="55" t="str">
        <f>IFERROR(IF($G3914="","",VLOOKUP('Dashboard And Emails Automate'!$G3914,Database!$H:$N,6,0)),"")</f>
        <v/>
      </c>
      <c r="M3914" s="55" t="str">
        <f>IFERROR(IF($G3914="","",VLOOKUP('Dashboard And Emails Automate'!$G3914,Database!$H:$N,7,0)),"")</f>
        <v/>
      </c>
      <c r="N3914" s="55" t="str">
        <f>IFERROR(IF(OR($B3914="",$B3914="(blank)"),"",VLOOKUP($B3914,'Email Marketing Raw Data'!$C:$O,6,0)),"")</f>
        <v/>
      </c>
      <c r="O3914" s="55" t="str">
        <f>IFERROR(IF(OR($B3914="",$B3914="(blank)"),"",VLOOKUP($B3914,'Email Marketing Raw Data'!$C:$O,7,0)),"")</f>
        <v/>
      </c>
      <c r="P3914" s="55" t="str">
        <f>IFERROR(IF(OR($B3914="",$B3914="(blank)"),"",VLOOKUP($B3914,'Email Marketing Raw Data'!$C:$O,8,0)),"")</f>
        <v/>
      </c>
      <c r="Q3914" s="62" t="str">
        <f>IFERROR(IF(OR($B3914="",$B3914="(blank)"),"",VLOOKUP($B3914,'Email Marketing Raw Data'!$C:$O,9,0)),"")</f>
        <v/>
      </c>
    </row>
    <row r="3915" spans="4:17" ht="12.75" customHeight="1" x14ac:dyDescent="0.2">
      <c r="D3915" s="58" t="str">
        <f>IFERROR(IF(F3915&lt;&gt;"pending","",IF(OR($B3915="",$B3915="(blank)"),"",VLOOKUP($B3915,'Email Marketing Raw Data'!$C:$O,10,0))),"")</f>
        <v/>
      </c>
      <c r="E3915" s="59" t="str">
        <f>IFERROR(IF(F3915&lt;&gt;"pending","",IF(OR($B3915="",$B3915="(blank)"),"",VLOOKUP($B3915,'Email Marketing Raw Data'!$C:$O,11,0))),"")</f>
        <v/>
      </c>
      <c r="F3915" s="54" t="str">
        <f>IFERROR(IF(OR($B3915="",$B3915="(blank)"),"",VLOOKUP($B3915,'Email Marketing Raw Data'!$C:$O,13,0)),"")</f>
        <v/>
      </c>
      <c r="G3915" s="55" t="str">
        <f>IFERROR(IF(OR($B3915="",$B3915="(blank)"),"",VLOOKUP($B3915,'Email Marketing Raw Data'!$C:$O,4,0)),"")</f>
        <v/>
      </c>
      <c r="H3915" s="55" t="str">
        <f>IFERROR(IF(OR($B3915="",$B3915="(blank)"),"",VLOOKUP($B3915,'Email Marketing Raw Data'!$C:$O,5,0)),"")</f>
        <v/>
      </c>
      <c r="I3915" s="55" t="str">
        <f>IFERROR(IF($G3915="","",VLOOKUP('Dashboard And Emails Automate'!$G3915,Database!$H:$N,3,0)),"")</f>
        <v/>
      </c>
      <c r="J3915" s="55" t="str">
        <f>IFERROR(IF($G3915="","",VLOOKUP('Dashboard And Emails Automate'!$G3915,Database!$H:$N,4,0)),"")</f>
        <v/>
      </c>
      <c r="K3915" s="55" t="str">
        <f>IFERROR(IF($G3915="","",VLOOKUP('Dashboard And Emails Automate'!$G3915,Database!$H:$N,5,0)),"")</f>
        <v/>
      </c>
      <c r="L3915" s="55" t="str">
        <f>IFERROR(IF($G3915="","",VLOOKUP('Dashboard And Emails Automate'!$G3915,Database!$H:$N,6,0)),"")</f>
        <v/>
      </c>
      <c r="M3915" s="55" t="str">
        <f>IFERROR(IF($G3915="","",VLOOKUP('Dashboard And Emails Automate'!$G3915,Database!$H:$N,7,0)),"")</f>
        <v/>
      </c>
      <c r="N3915" s="55" t="str">
        <f>IFERROR(IF(OR($B3915="",$B3915="(blank)"),"",VLOOKUP($B3915,'Email Marketing Raw Data'!$C:$O,6,0)),"")</f>
        <v/>
      </c>
      <c r="O3915" s="55" t="str">
        <f>IFERROR(IF(OR($B3915="",$B3915="(blank)"),"",VLOOKUP($B3915,'Email Marketing Raw Data'!$C:$O,7,0)),"")</f>
        <v/>
      </c>
      <c r="P3915" s="55" t="str">
        <f>IFERROR(IF(OR($B3915="",$B3915="(blank)"),"",VLOOKUP($B3915,'Email Marketing Raw Data'!$C:$O,8,0)),"")</f>
        <v/>
      </c>
      <c r="Q3915" s="62" t="str">
        <f>IFERROR(IF(OR($B3915="",$B3915="(blank)"),"",VLOOKUP($B3915,'Email Marketing Raw Data'!$C:$O,9,0)),"")</f>
        <v/>
      </c>
    </row>
    <row r="3916" spans="4:17" ht="12.75" customHeight="1" x14ac:dyDescent="0.2">
      <c r="D3916" s="58" t="str">
        <f>IFERROR(IF(F3916&lt;&gt;"pending","",IF(OR($B3916="",$B3916="(blank)"),"",VLOOKUP($B3916,'Email Marketing Raw Data'!$C:$O,10,0))),"")</f>
        <v/>
      </c>
      <c r="E3916" s="59" t="str">
        <f>IFERROR(IF(F3916&lt;&gt;"pending","",IF(OR($B3916="",$B3916="(blank)"),"",VLOOKUP($B3916,'Email Marketing Raw Data'!$C:$O,11,0))),"")</f>
        <v/>
      </c>
      <c r="F3916" s="54" t="str">
        <f>IFERROR(IF(OR($B3916="",$B3916="(blank)"),"",VLOOKUP($B3916,'Email Marketing Raw Data'!$C:$O,13,0)),"")</f>
        <v/>
      </c>
      <c r="G3916" s="55" t="str">
        <f>IFERROR(IF(OR($B3916="",$B3916="(blank)"),"",VLOOKUP($B3916,'Email Marketing Raw Data'!$C:$O,4,0)),"")</f>
        <v/>
      </c>
      <c r="H3916" s="55" t="str">
        <f>IFERROR(IF(OR($B3916="",$B3916="(blank)"),"",VLOOKUP($B3916,'Email Marketing Raw Data'!$C:$O,5,0)),"")</f>
        <v/>
      </c>
      <c r="I3916" s="55" t="str">
        <f>IFERROR(IF($G3916="","",VLOOKUP('Dashboard And Emails Automate'!$G3916,Database!$H:$N,3,0)),"")</f>
        <v/>
      </c>
      <c r="J3916" s="55" t="str">
        <f>IFERROR(IF($G3916="","",VLOOKUP('Dashboard And Emails Automate'!$G3916,Database!$H:$N,4,0)),"")</f>
        <v/>
      </c>
      <c r="K3916" s="55" t="str">
        <f>IFERROR(IF($G3916="","",VLOOKUP('Dashboard And Emails Automate'!$G3916,Database!$H:$N,5,0)),"")</f>
        <v/>
      </c>
      <c r="L3916" s="55" t="str">
        <f>IFERROR(IF($G3916="","",VLOOKUP('Dashboard And Emails Automate'!$G3916,Database!$H:$N,6,0)),"")</f>
        <v/>
      </c>
      <c r="M3916" s="55" t="str">
        <f>IFERROR(IF($G3916="","",VLOOKUP('Dashboard And Emails Automate'!$G3916,Database!$H:$N,7,0)),"")</f>
        <v/>
      </c>
      <c r="N3916" s="55" t="str">
        <f>IFERROR(IF(OR($B3916="",$B3916="(blank)"),"",VLOOKUP($B3916,'Email Marketing Raw Data'!$C:$O,6,0)),"")</f>
        <v/>
      </c>
      <c r="O3916" s="55" t="str">
        <f>IFERROR(IF(OR($B3916="",$B3916="(blank)"),"",VLOOKUP($B3916,'Email Marketing Raw Data'!$C:$O,7,0)),"")</f>
        <v/>
      </c>
      <c r="P3916" s="55" t="str">
        <f>IFERROR(IF(OR($B3916="",$B3916="(blank)"),"",VLOOKUP($B3916,'Email Marketing Raw Data'!$C:$O,8,0)),"")</f>
        <v/>
      </c>
      <c r="Q3916" s="62" t="str">
        <f>IFERROR(IF(OR($B3916="",$B3916="(blank)"),"",VLOOKUP($B3916,'Email Marketing Raw Data'!$C:$O,9,0)),"")</f>
        <v/>
      </c>
    </row>
    <row r="3917" spans="4:17" ht="12.75" customHeight="1" x14ac:dyDescent="0.2">
      <c r="D3917" s="58" t="str">
        <f>IFERROR(IF(F3917&lt;&gt;"pending","",IF(OR($B3917="",$B3917="(blank)"),"",VLOOKUP($B3917,'Email Marketing Raw Data'!$C:$O,10,0))),"")</f>
        <v/>
      </c>
      <c r="E3917" s="59" t="str">
        <f>IFERROR(IF(F3917&lt;&gt;"pending","",IF(OR($B3917="",$B3917="(blank)"),"",VLOOKUP($B3917,'Email Marketing Raw Data'!$C:$O,11,0))),"")</f>
        <v/>
      </c>
      <c r="F3917" s="54" t="str">
        <f>IFERROR(IF(OR($B3917="",$B3917="(blank)"),"",VLOOKUP($B3917,'Email Marketing Raw Data'!$C:$O,13,0)),"")</f>
        <v/>
      </c>
      <c r="G3917" s="55" t="str">
        <f>IFERROR(IF(OR($B3917="",$B3917="(blank)"),"",VLOOKUP($B3917,'Email Marketing Raw Data'!$C:$O,4,0)),"")</f>
        <v/>
      </c>
      <c r="H3917" s="55" t="str">
        <f>IFERROR(IF(OR($B3917="",$B3917="(blank)"),"",VLOOKUP($B3917,'Email Marketing Raw Data'!$C:$O,5,0)),"")</f>
        <v/>
      </c>
      <c r="I3917" s="55" t="str">
        <f>IFERROR(IF($G3917="","",VLOOKUP('Dashboard And Emails Automate'!$G3917,Database!$H:$N,3,0)),"")</f>
        <v/>
      </c>
      <c r="J3917" s="55" t="str">
        <f>IFERROR(IF($G3917="","",VLOOKUP('Dashboard And Emails Automate'!$G3917,Database!$H:$N,4,0)),"")</f>
        <v/>
      </c>
      <c r="K3917" s="55" t="str">
        <f>IFERROR(IF($G3917="","",VLOOKUP('Dashboard And Emails Automate'!$G3917,Database!$H:$N,5,0)),"")</f>
        <v/>
      </c>
      <c r="L3917" s="55" t="str">
        <f>IFERROR(IF($G3917="","",VLOOKUP('Dashboard And Emails Automate'!$G3917,Database!$H:$N,6,0)),"")</f>
        <v/>
      </c>
      <c r="M3917" s="55" t="str">
        <f>IFERROR(IF($G3917="","",VLOOKUP('Dashboard And Emails Automate'!$G3917,Database!$H:$N,7,0)),"")</f>
        <v/>
      </c>
      <c r="N3917" s="55" t="str">
        <f>IFERROR(IF(OR($B3917="",$B3917="(blank)"),"",VLOOKUP($B3917,'Email Marketing Raw Data'!$C:$O,6,0)),"")</f>
        <v/>
      </c>
      <c r="O3917" s="55" t="str">
        <f>IFERROR(IF(OR($B3917="",$B3917="(blank)"),"",VLOOKUP($B3917,'Email Marketing Raw Data'!$C:$O,7,0)),"")</f>
        <v/>
      </c>
      <c r="P3917" s="55" t="str">
        <f>IFERROR(IF(OR($B3917="",$B3917="(blank)"),"",VLOOKUP($B3917,'Email Marketing Raw Data'!$C:$O,8,0)),"")</f>
        <v/>
      </c>
      <c r="Q3917" s="62" t="str">
        <f>IFERROR(IF(OR($B3917="",$B3917="(blank)"),"",VLOOKUP($B3917,'Email Marketing Raw Data'!$C:$O,9,0)),"")</f>
        <v/>
      </c>
    </row>
    <row r="3918" spans="4:17" ht="12.75" customHeight="1" x14ac:dyDescent="0.2">
      <c r="D3918" s="58" t="str">
        <f>IFERROR(IF(F3918&lt;&gt;"pending","",IF(OR($B3918="",$B3918="(blank)"),"",VLOOKUP($B3918,'Email Marketing Raw Data'!$C:$O,10,0))),"")</f>
        <v/>
      </c>
      <c r="E3918" s="59" t="str">
        <f>IFERROR(IF(F3918&lt;&gt;"pending","",IF(OR($B3918="",$B3918="(blank)"),"",VLOOKUP($B3918,'Email Marketing Raw Data'!$C:$O,11,0))),"")</f>
        <v/>
      </c>
      <c r="F3918" s="54" t="str">
        <f>IFERROR(IF(OR($B3918="",$B3918="(blank)"),"",VLOOKUP($B3918,'Email Marketing Raw Data'!$C:$O,13,0)),"")</f>
        <v/>
      </c>
      <c r="G3918" s="55" t="str">
        <f>IFERROR(IF(OR($B3918="",$B3918="(blank)"),"",VLOOKUP($B3918,'Email Marketing Raw Data'!$C:$O,4,0)),"")</f>
        <v/>
      </c>
      <c r="H3918" s="55" t="str">
        <f>IFERROR(IF(OR($B3918="",$B3918="(blank)"),"",VLOOKUP($B3918,'Email Marketing Raw Data'!$C:$O,5,0)),"")</f>
        <v/>
      </c>
      <c r="I3918" s="55" t="str">
        <f>IFERROR(IF($G3918="","",VLOOKUP('Dashboard And Emails Automate'!$G3918,Database!$H:$N,3,0)),"")</f>
        <v/>
      </c>
      <c r="J3918" s="55" t="str">
        <f>IFERROR(IF($G3918="","",VLOOKUP('Dashboard And Emails Automate'!$G3918,Database!$H:$N,4,0)),"")</f>
        <v/>
      </c>
      <c r="K3918" s="55" t="str">
        <f>IFERROR(IF($G3918="","",VLOOKUP('Dashboard And Emails Automate'!$G3918,Database!$H:$N,5,0)),"")</f>
        <v/>
      </c>
      <c r="L3918" s="55" t="str">
        <f>IFERROR(IF($G3918="","",VLOOKUP('Dashboard And Emails Automate'!$G3918,Database!$H:$N,6,0)),"")</f>
        <v/>
      </c>
      <c r="M3918" s="55" t="str">
        <f>IFERROR(IF($G3918="","",VLOOKUP('Dashboard And Emails Automate'!$G3918,Database!$H:$N,7,0)),"")</f>
        <v/>
      </c>
      <c r="N3918" s="55" t="str">
        <f>IFERROR(IF(OR($B3918="",$B3918="(blank)"),"",VLOOKUP($B3918,'Email Marketing Raw Data'!$C:$O,6,0)),"")</f>
        <v/>
      </c>
      <c r="O3918" s="55" t="str">
        <f>IFERROR(IF(OR($B3918="",$B3918="(blank)"),"",VLOOKUP($B3918,'Email Marketing Raw Data'!$C:$O,7,0)),"")</f>
        <v/>
      </c>
      <c r="P3918" s="55" t="str">
        <f>IFERROR(IF(OR($B3918="",$B3918="(blank)"),"",VLOOKUP($B3918,'Email Marketing Raw Data'!$C:$O,8,0)),"")</f>
        <v/>
      </c>
      <c r="Q3918" s="62" t="str">
        <f>IFERROR(IF(OR($B3918="",$B3918="(blank)"),"",VLOOKUP($B3918,'Email Marketing Raw Data'!$C:$O,9,0)),"")</f>
        <v/>
      </c>
    </row>
    <row r="3919" spans="4:17" ht="12.75" customHeight="1" x14ac:dyDescent="0.2">
      <c r="D3919" s="58" t="str">
        <f>IFERROR(IF(F3919&lt;&gt;"pending","",IF(OR($B3919="",$B3919="(blank)"),"",VLOOKUP($B3919,'Email Marketing Raw Data'!$C:$O,10,0))),"")</f>
        <v/>
      </c>
      <c r="E3919" s="59" t="str">
        <f>IFERROR(IF(F3919&lt;&gt;"pending","",IF(OR($B3919="",$B3919="(blank)"),"",VLOOKUP($B3919,'Email Marketing Raw Data'!$C:$O,11,0))),"")</f>
        <v/>
      </c>
      <c r="F3919" s="54" t="str">
        <f>IFERROR(IF(OR($B3919="",$B3919="(blank)"),"",VLOOKUP($B3919,'Email Marketing Raw Data'!$C:$O,13,0)),"")</f>
        <v/>
      </c>
      <c r="G3919" s="55" t="str">
        <f>IFERROR(IF(OR($B3919="",$B3919="(blank)"),"",VLOOKUP($B3919,'Email Marketing Raw Data'!$C:$O,4,0)),"")</f>
        <v/>
      </c>
      <c r="H3919" s="55" t="str">
        <f>IFERROR(IF(OR($B3919="",$B3919="(blank)"),"",VLOOKUP($B3919,'Email Marketing Raw Data'!$C:$O,5,0)),"")</f>
        <v/>
      </c>
      <c r="I3919" s="55" t="str">
        <f>IFERROR(IF($G3919="","",VLOOKUP('Dashboard And Emails Automate'!$G3919,Database!$H:$N,3,0)),"")</f>
        <v/>
      </c>
      <c r="J3919" s="55" t="str">
        <f>IFERROR(IF($G3919="","",VLOOKUP('Dashboard And Emails Automate'!$G3919,Database!$H:$N,4,0)),"")</f>
        <v/>
      </c>
      <c r="K3919" s="55" t="str">
        <f>IFERROR(IF($G3919="","",VLOOKUP('Dashboard And Emails Automate'!$G3919,Database!$H:$N,5,0)),"")</f>
        <v/>
      </c>
      <c r="L3919" s="55" t="str">
        <f>IFERROR(IF($G3919="","",VLOOKUP('Dashboard And Emails Automate'!$G3919,Database!$H:$N,6,0)),"")</f>
        <v/>
      </c>
      <c r="M3919" s="55" t="str">
        <f>IFERROR(IF($G3919="","",VLOOKUP('Dashboard And Emails Automate'!$G3919,Database!$H:$N,7,0)),"")</f>
        <v/>
      </c>
      <c r="N3919" s="55" t="str">
        <f>IFERROR(IF(OR($B3919="",$B3919="(blank)"),"",VLOOKUP($B3919,'Email Marketing Raw Data'!$C:$O,6,0)),"")</f>
        <v/>
      </c>
      <c r="O3919" s="55" t="str">
        <f>IFERROR(IF(OR($B3919="",$B3919="(blank)"),"",VLOOKUP($B3919,'Email Marketing Raw Data'!$C:$O,7,0)),"")</f>
        <v/>
      </c>
      <c r="P3919" s="55" t="str">
        <f>IFERROR(IF(OR($B3919="",$B3919="(blank)"),"",VLOOKUP($B3919,'Email Marketing Raw Data'!$C:$O,8,0)),"")</f>
        <v/>
      </c>
      <c r="Q3919" s="62" t="str">
        <f>IFERROR(IF(OR($B3919="",$B3919="(blank)"),"",VLOOKUP($B3919,'Email Marketing Raw Data'!$C:$O,9,0)),"")</f>
        <v/>
      </c>
    </row>
    <row r="3920" spans="4:17" ht="12.75" customHeight="1" x14ac:dyDescent="0.2">
      <c r="D3920" s="58" t="str">
        <f>IFERROR(IF(F3920&lt;&gt;"pending","",IF(OR($B3920="",$B3920="(blank)"),"",VLOOKUP($B3920,'Email Marketing Raw Data'!$C:$O,10,0))),"")</f>
        <v/>
      </c>
      <c r="E3920" s="59" t="str">
        <f>IFERROR(IF(F3920&lt;&gt;"pending","",IF(OR($B3920="",$B3920="(blank)"),"",VLOOKUP($B3920,'Email Marketing Raw Data'!$C:$O,11,0))),"")</f>
        <v/>
      </c>
      <c r="F3920" s="54" t="str">
        <f>IFERROR(IF(OR($B3920="",$B3920="(blank)"),"",VLOOKUP($B3920,'Email Marketing Raw Data'!$C:$O,13,0)),"")</f>
        <v/>
      </c>
      <c r="G3920" s="55" t="str">
        <f>IFERROR(IF(OR($B3920="",$B3920="(blank)"),"",VLOOKUP($B3920,'Email Marketing Raw Data'!$C:$O,4,0)),"")</f>
        <v/>
      </c>
      <c r="H3920" s="55" t="str">
        <f>IFERROR(IF(OR($B3920="",$B3920="(blank)"),"",VLOOKUP($B3920,'Email Marketing Raw Data'!$C:$O,5,0)),"")</f>
        <v/>
      </c>
      <c r="I3920" s="55" t="str">
        <f>IFERROR(IF($G3920="","",VLOOKUP('Dashboard And Emails Automate'!$G3920,Database!$H:$N,3,0)),"")</f>
        <v/>
      </c>
      <c r="J3920" s="55" t="str">
        <f>IFERROR(IF($G3920="","",VLOOKUP('Dashboard And Emails Automate'!$G3920,Database!$H:$N,4,0)),"")</f>
        <v/>
      </c>
      <c r="K3920" s="55" t="str">
        <f>IFERROR(IF($G3920="","",VLOOKUP('Dashboard And Emails Automate'!$G3920,Database!$H:$N,5,0)),"")</f>
        <v/>
      </c>
      <c r="L3920" s="55" t="str">
        <f>IFERROR(IF($G3920="","",VLOOKUP('Dashboard And Emails Automate'!$G3920,Database!$H:$N,6,0)),"")</f>
        <v/>
      </c>
      <c r="M3920" s="55" t="str">
        <f>IFERROR(IF($G3920="","",VLOOKUP('Dashboard And Emails Automate'!$G3920,Database!$H:$N,7,0)),"")</f>
        <v/>
      </c>
      <c r="N3920" s="55" t="str">
        <f>IFERROR(IF(OR($B3920="",$B3920="(blank)"),"",VLOOKUP($B3920,'Email Marketing Raw Data'!$C:$O,6,0)),"")</f>
        <v/>
      </c>
      <c r="O3920" s="55" t="str">
        <f>IFERROR(IF(OR($B3920="",$B3920="(blank)"),"",VLOOKUP($B3920,'Email Marketing Raw Data'!$C:$O,7,0)),"")</f>
        <v/>
      </c>
      <c r="P3920" s="55" t="str">
        <f>IFERROR(IF(OR($B3920="",$B3920="(blank)"),"",VLOOKUP($B3920,'Email Marketing Raw Data'!$C:$O,8,0)),"")</f>
        <v/>
      </c>
      <c r="Q3920" s="62" t="str">
        <f>IFERROR(IF(OR($B3920="",$B3920="(blank)"),"",VLOOKUP($B3920,'Email Marketing Raw Data'!$C:$O,9,0)),"")</f>
        <v/>
      </c>
    </row>
    <row r="3921" spans="4:17" ht="12.75" customHeight="1" x14ac:dyDescent="0.2">
      <c r="D3921" s="58" t="str">
        <f>IFERROR(IF(F3921&lt;&gt;"pending","",IF(OR($B3921="",$B3921="(blank)"),"",VLOOKUP($B3921,'Email Marketing Raw Data'!$C:$O,10,0))),"")</f>
        <v/>
      </c>
      <c r="E3921" s="59" t="str">
        <f>IFERROR(IF(F3921&lt;&gt;"pending","",IF(OR($B3921="",$B3921="(blank)"),"",VLOOKUP($B3921,'Email Marketing Raw Data'!$C:$O,11,0))),"")</f>
        <v/>
      </c>
      <c r="F3921" s="54" t="str">
        <f>IFERROR(IF(OR($B3921="",$B3921="(blank)"),"",VLOOKUP($B3921,'Email Marketing Raw Data'!$C:$O,13,0)),"")</f>
        <v/>
      </c>
      <c r="G3921" s="55" t="str">
        <f>IFERROR(IF(OR($B3921="",$B3921="(blank)"),"",VLOOKUP($B3921,'Email Marketing Raw Data'!$C:$O,4,0)),"")</f>
        <v/>
      </c>
      <c r="H3921" s="55" t="str">
        <f>IFERROR(IF(OR($B3921="",$B3921="(blank)"),"",VLOOKUP($B3921,'Email Marketing Raw Data'!$C:$O,5,0)),"")</f>
        <v/>
      </c>
      <c r="I3921" s="55" t="str">
        <f>IFERROR(IF($G3921="","",VLOOKUP('Dashboard And Emails Automate'!$G3921,Database!$H:$N,3,0)),"")</f>
        <v/>
      </c>
      <c r="J3921" s="55" t="str">
        <f>IFERROR(IF($G3921="","",VLOOKUP('Dashboard And Emails Automate'!$G3921,Database!$H:$N,4,0)),"")</f>
        <v/>
      </c>
      <c r="K3921" s="55" t="str">
        <f>IFERROR(IF($G3921="","",VLOOKUP('Dashboard And Emails Automate'!$G3921,Database!$H:$N,5,0)),"")</f>
        <v/>
      </c>
      <c r="L3921" s="55" t="str">
        <f>IFERROR(IF($G3921="","",VLOOKUP('Dashboard And Emails Automate'!$G3921,Database!$H:$N,6,0)),"")</f>
        <v/>
      </c>
      <c r="M3921" s="55" t="str">
        <f>IFERROR(IF($G3921="","",VLOOKUP('Dashboard And Emails Automate'!$G3921,Database!$H:$N,7,0)),"")</f>
        <v/>
      </c>
      <c r="N3921" s="55" t="str">
        <f>IFERROR(IF(OR($B3921="",$B3921="(blank)"),"",VLOOKUP($B3921,'Email Marketing Raw Data'!$C:$O,6,0)),"")</f>
        <v/>
      </c>
      <c r="O3921" s="55" t="str">
        <f>IFERROR(IF(OR($B3921="",$B3921="(blank)"),"",VLOOKUP($B3921,'Email Marketing Raw Data'!$C:$O,7,0)),"")</f>
        <v/>
      </c>
      <c r="P3921" s="55" t="str">
        <f>IFERROR(IF(OR($B3921="",$B3921="(blank)"),"",VLOOKUP($B3921,'Email Marketing Raw Data'!$C:$O,8,0)),"")</f>
        <v/>
      </c>
      <c r="Q3921" s="62" t="str">
        <f>IFERROR(IF(OR($B3921="",$B3921="(blank)"),"",VLOOKUP($B3921,'Email Marketing Raw Data'!$C:$O,9,0)),"")</f>
        <v/>
      </c>
    </row>
    <row r="3922" spans="4:17" ht="12.75" customHeight="1" x14ac:dyDescent="0.2">
      <c r="D3922" s="58" t="str">
        <f>IFERROR(IF(F3922&lt;&gt;"pending","",IF(OR($B3922="",$B3922="(blank)"),"",VLOOKUP($B3922,'Email Marketing Raw Data'!$C:$O,10,0))),"")</f>
        <v/>
      </c>
      <c r="E3922" s="59" t="str">
        <f>IFERROR(IF(F3922&lt;&gt;"pending","",IF(OR($B3922="",$B3922="(blank)"),"",VLOOKUP($B3922,'Email Marketing Raw Data'!$C:$O,11,0))),"")</f>
        <v/>
      </c>
      <c r="F3922" s="54" t="str">
        <f>IFERROR(IF(OR($B3922="",$B3922="(blank)"),"",VLOOKUP($B3922,'Email Marketing Raw Data'!$C:$O,13,0)),"")</f>
        <v/>
      </c>
      <c r="G3922" s="55" t="str">
        <f>IFERROR(IF(OR($B3922="",$B3922="(blank)"),"",VLOOKUP($B3922,'Email Marketing Raw Data'!$C:$O,4,0)),"")</f>
        <v/>
      </c>
      <c r="H3922" s="55" t="str">
        <f>IFERROR(IF(OR($B3922="",$B3922="(blank)"),"",VLOOKUP($B3922,'Email Marketing Raw Data'!$C:$O,5,0)),"")</f>
        <v/>
      </c>
      <c r="I3922" s="55" t="str">
        <f>IFERROR(IF($G3922="","",VLOOKUP('Dashboard And Emails Automate'!$G3922,Database!$H:$N,3,0)),"")</f>
        <v/>
      </c>
      <c r="J3922" s="55" t="str">
        <f>IFERROR(IF($G3922="","",VLOOKUP('Dashboard And Emails Automate'!$G3922,Database!$H:$N,4,0)),"")</f>
        <v/>
      </c>
      <c r="K3922" s="55" t="str">
        <f>IFERROR(IF($G3922="","",VLOOKUP('Dashboard And Emails Automate'!$G3922,Database!$H:$N,5,0)),"")</f>
        <v/>
      </c>
      <c r="L3922" s="55" t="str">
        <f>IFERROR(IF($G3922="","",VLOOKUP('Dashboard And Emails Automate'!$G3922,Database!$H:$N,6,0)),"")</f>
        <v/>
      </c>
      <c r="M3922" s="55" t="str">
        <f>IFERROR(IF($G3922="","",VLOOKUP('Dashboard And Emails Automate'!$G3922,Database!$H:$N,7,0)),"")</f>
        <v/>
      </c>
      <c r="N3922" s="55" t="str">
        <f>IFERROR(IF(OR($B3922="",$B3922="(blank)"),"",VLOOKUP($B3922,'Email Marketing Raw Data'!$C:$O,6,0)),"")</f>
        <v/>
      </c>
      <c r="O3922" s="55" t="str">
        <f>IFERROR(IF(OR($B3922="",$B3922="(blank)"),"",VLOOKUP($B3922,'Email Marketing Raw Data'!$C:$O,7,0)),"")</f>
        <v/>
      </c>
      <c r="P3922" s="55" t="str">
        <f>IFERROR(IF(OR($B3922="",$B3922="(blank)"),"",VLOOKUP($B3922,'Email Marketing Raw Data'!$C:$O,8,0)),"")</f>
        <v/>
      </c>
      <c r="Q3922" s="62" t="str">
        <f>IFERROR(IF(OR($B3922="",$B3922="(blank)"),"",VLOOKUP($B3922,'Email Marketing Raw Data'!$C:$O,9,0)),"")</f>
        <v/>
      </c>
    </row>
    <row r="3923" spans="4:17" ht="12.75" customHeight="1" x14ac:dyDescent="0.2">
      <c r="D3923" s="58" t="str">
        <f>IFERROR(IF(F3923&lt;&gt;"pending","",IF(OR($B3923="",$B3923="(blank)"),"",VLOOKUP($B3923,'Email Marketing Raw Data'!$C:$O,10,0))),"")</f>
        <v/>
      </c>
      <c r="E3923" s="59" t="str">
        <f>IFERROR(IF(F3923&lt;&gt;"pending","",IF(OR($B3923="",$B3923="(blank)"),"",VLOOKUP($B3923,'Email Marketing Raw Data'!$C:$O,11,0))),"")</f>
        <v/>
      </c>
      <c r="F3923" s="54" t="str">
        <f>IFERROR(IF(OR($B3923="",$B3923="(blank)"),"",VLOOKUP($B3923,'Email Marketing Raw Data'!$C:$O,13,0)),"")</f>
        <v/>
      </c>
      <c r="G3923" s="55" t="str">
        <f>IFERROR(IF(OR($B3923="",$B3923="(blank)"),"",VLOOKUP($B3923,'Email Marketing Raw Data'!$C:$O,4,0)),"")</f>
        <v/>
      </c>
      <c r="H3923" s="55" t="str">
        <f>IFERROR(IF(OR($B3923="",$B3923="(blank)"),"",VLOOKUP($B3923,'Email Marketing Raw Data'!$C:$O,5,0)),"")</f>
        <v/>
      </c>
      <c r="I3923" s="55" t="str">
        <f>IFERROR(IF($G3923="","",VLOOKUP('Dashboard And Emails Automate'!$G3923,Database!$H:$N,3,0)),"")</f>
        <v/>
      </c>
      <c r="J3923" s="55" t="str">
        <f>IFERROR(IF($G3923="","",VLOOKUP('Dashboard And Emails Automate'!$G3923,Database!$H:$N,4,0)),"")</f>
        <v/>
      </c>
      <c r="K3923" s="55" t="str">
        <f>IFERROR(IF($G3923="","",VLOOKUP('Dashboard And Emails Automate'!$G3923,Database!$H:$N,5,0)),"")</f>
        <v/>
      </c>
      <c r="L3923" s="55" t="str">
        <f>IFERROR(IF($G3923="","",VLOOKUP('Dashboard And Emails Automate'!$G3923,Database!$H:$N,6,0)),"")</f>
        <v/>
      </c>
      <c r="M3923" s="55" t="str">
        <f>IFERROR(IF($G3923="","",VLOOKUP('Dashboard And Emails Automate'!$G3923,Database!$H:$N,7,0)),"")</f>
        <v/>
      </c>
      <c r="N3923" s="55" t="str">
        <f>IFERROR(IF(OR($B3923="",$B3923="(blank)"),"",VLOOKUP($B3923,'Email Marketing Raw Data'!$C:$O,6,0)),"")</f>
        <v/>
      </c>
      <c r="O3923" s="55" t="str">
        <f>IFERROR(IF(OR($B3923="",$B3923="(blank)"),"",VLOOKUP($B3923,'Email Marketing Raw Data'!$C:$O,7,0)),"")</f>
        <v/>
      </c>
      <c r="P3923" s="55" t="str">
        <f>IFERROR(IF(OR($B3923="",$B3923="(blank)"),"",VLOOKUP($B3923,'Email Marketing Raw Data'!$C:$O,8,0)),"")</f>
        <v/>
      </c>
      <c r="Q3923" s="62" t="str">
        <f>IFERROR(IF(OR($B3923="",$B3923="(blank)"),"",VLOOKUP($B3923,'Email Marketing Raw Data'!$C:$O,9,0)),"")</f>
        <v/>
      </c>
    </row>
    <row r="3924" spans="4:17" ht="12.75" customHeight="1" x14ac:dyDescent="0.2">
      <c r="D3924" s="58" t="str">
        <f>IFERROR(IF(F3924&lt;&gt;"pending","",IF(OR($B3924="",$B3924="(blank)"),"",VLOOKUP($B3924,'Email Marketing Raw Data'!$C:$O,10,0))),"")</f>
        <v/>
      </c>
      <c r="E3924" s="59" t="str">
        <f>IFERROR(IF(F3924&lt;&gt;"pending","",IF(OR($B3924="",$B3924="(blank)"),"",VLOOKUP($B3924,'Email Marketing Raw Data'!$C:$O,11,0))),"")</f>
        <v/>
      </c>
      <c r="F3924" s="54" t="str">
        <f>IFERROR(IF(OR($B3924="",$B3924="(blank)"),"",VLOOKUP($B3924,'Email Marketing Raw Data'!$C:$O,13,0)),"")</f>
        <v/>
      </c>
      <c r="G3924" s="55" t="str">
        <f>IFERROR(IF(OR($B3924="",$B3924="(blank)"),"",VLOOKUP($B3924,'Email Marketing Raw Data'!$C:$O,4,0)),"")</f>
        <v/>
      </c>
      <c r="H3924" s="55" t="str">
        <f>IFERROR(IF(OR($B3924="",$B3924="(blank)"),"",VLOOKUP($B3924,'Email Marketing Raw Data'!$C:$O,5,0)),"")</f>
        <v/>
      </c>
      <c r="I3924" s="55" t="str">
        <f>IFERROR(IF($G3924="","",VLOOKUP('Dashboard And Emails Automate'!$G3924,Database!$H:$N,3,0)),"")</f>
        <v/>
      </c>
      <c r="J3924" s="55" t="str">
        <f>IFERROR(IF($G3924="","",VLOOKUP('Dashboard And Emails Automate'!$G3924,Database!$H:$N,4,0)),"")</f>
        <v/>
      </c>
      <c r="K3924" s="55" t="str">
        <f>IFERROR(IF($G3924="","",VLOOKUP('Dashboard And Emails Automate'!$G3924,Database!$H:$N,5,0)),"")</f>
        <v/>
      </c>
      <c r="L3924" s="55" t="str">
        <f>IFERROR(IF($G3924="","",VLOOKUP('Dashboard And Emails Automate'!$G3924,Database!$H:$N,6,0)),"")</f>
        <v/>
      </c>
      <c r="M3924" s="55" t="str">
        <f>IFERROR(IF($G3924="","",VLOOKUP('Dashboard And Emails Automate'!$G3924,Database!$H:$N,7,0)),"")</f>
        <v/>
      </c>
      <c r="N3924" s="55" t="str">
        <f>IFERROR(IF(OR($B3924="",$B3924="(blank)"),"",VLOOKUP($B3924,'Email Marketing Raw Data'!$C:$O,6,0)),"")</f>
        <v/>
      </c>
      <c r="O3924" s="55" t="str">
        <f>IFERROR(IF(OR($B3924="",$B3924="(blank)"),"",VLOOKUP($B3924,'Email Marketing Raw Data'!$C:$O,7,0)),"")</f>
        <v/>
      </c>
      <c r="P3924" s="55" t="str">
        <f>IFERROR(IF(OR($B3924="",$B3924="(blank)"),"",VLOOKUP($B3924,'Email Marketing Raw Data'!$C:$O,8,0)),"")</f>
        <v/>
      </c>
      <c r="Q3924" s="62" t="str">
        <f>IFERROR(IF(OR($B3924="",$B3924="(blank)"),"",VLOOKUP($B3924,'Email Marketing Raw Data'!$C:$O,9,0)),"")</f>
        <v/>
      </c>
    </row>
    <row r="3925" spans="4:17" ht="12.75" customHeight="1" x14ac:dyDescent="0.2">
      <c r="D3925" s="58" t="str">
        <f>IFERROR(IF(F3925&lt;&gt;"pending","",IF(OR($B3925="",$B3925="(blank)"),"",VLOOKUP($B3925,'Email Marketing Raw Data'!$C:$O,10,0))),"")</f>
        <v/>
      </c>
      <c r="E3925" s="59" t="str">
        <f>IFERROR(IF(F3925&lt;&gt;"pending","",IF(OR($B3925="",$B3925="(blank)"),"",VLOOKUP($B3925,'Email Marketing Raw Data'!$C:$O,11,0))),"")</f>
        <v/>
      </c>
      <c r="F3925" s="54" t="str">
        <f>IFERROR(IF(OR($B3925="",$B3925="(blank)"),"",VLOOKUP($B3925,'Email Marketing Raw Data'!$C:$O,13,0)),"")</f>
        <v/>
      </c>
      <c r="G3925" s="55" t="str">
        <f>IFERROR(IF(OR($B3925="",$B3925="(blank)"),"",VLOOKUP($B3925,'Email Marketing Raw Data'!$C:$O,4,0)),"")</f>
        <v/>
      </c>
      <c r="H3925" s="55" t="str">
        <f>IFERROR(IF(OR($B3925="",$B3925="(blank)"),"",VLOOKUP($B3925,'Email Marketing Raw Data'!$C:$O,5,0)),"")</f>
        <v/>
      </c>
      <c r="I3925" s="55" t="str">
        <f>IFERROR(IF($G3925="","",VLOOKUP('Dashboard And Emails Automate'!$G3925,Database!$H:$N,3,0)),"")</f>
        <v/>
      </c>
      <c r="J3925" s="55" t="str">
        <f>IFERROR(IF($G3925="","",VLOOKUP('Dashboard And Emails Automate'!$G3925,Database!$H:$N,4,0)),"")</f>
        <v/>
      </c>
      <c r="K3925" s="55" t="str">
        <f>IFERROR(IF($G3925="","",VLOOKUP('Dashboard And Emails Automate'!$G3925,Database!$H:$N,5,0)),"")</f>
        <v/>
      </c>
      <c r="L3925" s="55" t="str">
        <f>IFERROR(IF($G3925="","",VLOOKUP('Dashboard And Emails Automate'!$G3925,Database!$H:$N,6,0)),"")</f>
        <v/>
      </c>
      <c r="M3925" s="55" t="str">
        <f>IFERROR(IF($G3925="","",VLOOKUP('Dashboard And Emails Automate'!$G3925,Database!$H:$N,7,0)),"")</f>
        <v/>
      </c>
      <c r="N3925" s="55" t="str">
        <f>IFERROR(IF(OR($B3925="",$B3925="(blank)"),"",VLOOKUP($B3925,'Email Marketing Raw Data'!$C:$O,6,0)),"")</f>
        <v/>
      </c>
      <c r="O3925" s="55" t="str">
        <f>IFERROR(IF(OR($B3925="",$B3925="(blank)"),"",VLOOKUP($B3925,'Email Marketing Raw Data'!$C:$O,7,0)),"")</f>
        <v/>
      </c>
      <c r="P3925" s="55" t="str">
        <f>IFERROR(IF(OR($B3925="",$B3925="(blank)"),"",VLOOKUP($B3925,'Email Marketing Raw Data'!$C:$O,8,0)),"")</f>
        <v/>
      </c>
      <c r="Q3925" s="62" t="str">
        <f>IFERROR(IF(OR($B3925="",$B3925="(blank)"),"",VLOOKUP($B3925,'Email Marketing Raw Data'!$C:$O,9,0)),"")</f>
        <v/>
      </c>
    </row>
    <row r="3926" spans="4:17" ht="12.75" customHeight="1" x14ac:dyDescent="0.2">
      <c r="D3926" s="58" t="str">
        <f>IFERROR(IF(F3926&lt;&gt;"pending","",IF(OR($B3926="",$B3926="(blank)"),"",VLOOKUP($B3926,'Email Marketing Raw Data'!$C:$O,10,0))),"")</f>
        <v/>
      </c>
      <c r="E3926" s="59" t="str">
        <f>IFERROR(IF(F3926&lt;&gt;"pending","",IF(OR($B3926="",$B3926="(blank)"),"",VLOOKUP($B3926,'Email Marketing Raw Data'!$C:$O,11,0))),"")</f>
        <v/>
      </c>
      <c r="F3926" s="54" t="str">
        <f>IFERROR(IF(OR($B3926="",$B3926="(blank)"),"",VLOOKUP($B3926,'Email Marketing Raw Data'!$C:$O,13,0)),"")</f>
        <v/>
      </c>
      <c r="G3926" s="55" t="str">
        <f>IFERROR(IF(OR($B3926="",$B3926="(blank)"),"",VLOOKUP($B3926,'Email Marketing Raw Data'!$C:$O,4,0)),"")</f>
        <v/>
      </c>
      <c r="H3926" s="55" t="str">
        <f>IFERROR(IF(OR($B3926="",$B3926="(blank)"),"",VLOOKUP($B3926,'Email Marketing Raw Data'!$C:$O,5,0)),"")</f>
        <v/>
      </c>
      <c r="I3926" s="55" t="str">
        <f>IFERROR(IF($G3926="","",VLOOKUP('Dashboard And Emails Automate'!$G3926,Database!$H:$N,3,0)),"")</f>
        <v/>
      </c>
      <c r="J3926" s="55" t="str">
        <f>IFERROR(IF($G3926="","",VLOOKUP('Dashboard And Emails Automate'!$G3926,Database!$H:$N,4,0)),"")</f>
        <v/>
      </c>
      <c r="K3926" s="55" t="str">
        <f>IFERROR(IF($G3926="","",VLOOKUP('Dashboard And Emails Automate'!$G3926,Database!$H:$N,5,0)),"")</f>
        <v/>
      </c>
      <c r="L3926" s="55" t="str">
        <f>IFERROR(IF($G3926="","",VLOOKUP('Dashboard And Emails Automate'!$G3926,Database!$H:$N,6,0)),"")</f>
        <v/>
      </c>
      <c r="M3926" s="55" t="str">
        <f>IFERROR(IF($G3926="","",VLOOKUP('Dashboard And Emails Automate'!$G3926,Database!$H:$N,7,0)),"")</f>
        <v/>
      </c>
      <c r="N3926" s="55" t="str">
        <f>IFERROR(IF(OR($B3926="",$B3926="(blank)"),"",VLOOKUP($B3926,'Email Marketing Raw Data'!$C:$O,6,0)),"")</f>
        <v/>
      </c>
      <c r="O3926" s="55" t="str">
        <f>IFERROR(IF(OR($B3926="",$B3926="(blank)"),"",VLOOKUP($B3926,'Email Marketing Raw Data'!$C:$O,7,0)),"")</f>
        <v/>
      </c>
      <c r="P3926" s="55" t="str">
        <f>IFERROR(IF(OR($B3926="",$B3926="(blank)"),"",VLOOKUP($B3926,'Email Marketing Raw Data'!$C:$O,8,0)),"")</f>
        <v/>
      </c>
      <c r="Q3926" s="62" t="str">
        <f>IFERROR(IF(OR($B3926="",$B3926="(blank)"),"",VLOOKUP($B3926,'Email Marketing Raw Data'!$C:$O,9,0)),"")</f>
        <v/>
      </c>
    </row>
    <row r="3927" spans="4:17" ht="12.75" customHeight="1" x14ac:dyDescent="0.2">
      <c r="D3927" s="58" t="str">
        <f>IFERROR(IF(F3927&lt;&gt;"pending","",IF(OR($B3927="",$B3927="(blank)"),"",VLOOKUP($B3927,'Email Marketing Raw Data'!$C:$O,10,0))),"")</f>
        <v/>
      </c>
      <c r="E3927" s="59" t="str">
        <f>IFERROR(IF(F3927&lt;&gt;"pending","",IF(OR($B3927="",$B3927="(blank)"),"",VLOOKUP($B3927,'Email Marketing Raw Data'!$C:$O,11,0))),"")</f>
        <v/>
      </c>
      <c r="F3927" s="54" t="str">
        <f>IFERROR(IF(OR($B3927="",$B3927="(blank)"),"",VLOOKUP($B3927,'Email Marketing Raw Data'!$C:$O,13,0)),"")</f>
        <v/>
      </c>
      <c r="G3927" s="55" t="str">
        <f>IFERROR(IF(OR($B3927="",$B3927="(blank)"),"",VLOOKUP($B3927,'Email Marketing Raw Data'!$C:$O,4,0)),"")</f>
        <v/>
      </c>
      <c r="H3927" s="55" t="str">
        <f>IFERROR(IF(OR($B3927="",$B3927="(blank)"),"",VLOOKUP($B3927,'Email Marketing Raw Data'!$C:$O,5,0)),"")</f>
        <v/>
      </c>
      <c r="I3927" s="55" t="str">
        <f>IFERROR(IF($G3927="","",VLOOKUP('Dashboard And Emails Automate'!$G3927,Database!$H:$N,3,0)),"")</f>
        <v/>
      </c>
      <c r="J3927" s="55" t="str">
        <f>IFERROR(IF($G3927="","",VLOOKUP('Dashboard And Emails Automate'!$G3927,Database!$H:$N,4,0)),"")</f>
        <v/>
      </c>
      <c r="K3927" s="55" t="str">
        <f>IFERROR(IF($G3927="","",VLOOKUP('Dashboard And Emails Automate'!$G3927,Database!$H:$N,5,0)),"")</f>
        <v/>
      </c>
      <c r="L3927" s="55" t="str">
        <f>IFERROR(IF($G3927="","",VLOOKUP('Dashboard And Emails Automate'!$G3927,Database!$H:$N,6,0)),"")</f>
        <v/>
      </c>
      <c r="M3927" s="55" t="str">
        <f>IFERROR(IF($G3927="","",VLOOKUP('Dashboard And Emails Automate'!$G3927,Database!$H:$N,7,0)),"")</f>
        <v/>
      </c>
      <c r="N3927" s="55" t="str">
        <f>IFERROR(IF(OR($B3927="",$B3927="(blank)"),"",VLOOKUP($B3927,'Email Marketing Raw Data'!$C:$O,6,0)),"")</f>
        <v/>
      </c>
      <c r="O3927" s="55" t="str">
        <f>IFERROR(IF(OR($B3927="",$B3927="(blank)"),"",VLOOKUP($B3927,'Email Marketing Raw Data'!$C:$O,7,0)),"")</f>
        <v/>
      </c>
      <c r="P3927" s="55" t="str">
        <f>IFERROR(IF(OR($B3927="",$B3927="(blank)"),"",VLOOKUP($B3927,'Email Marketing Raw Data'!$C:$O,8,0)),"")</f>
        <v/>
      </c>
      <c r="Q3927" s="62" t="str">
        <f>IFERROR(IF(OR($B3927="",$B3927="(blank)"),"",VLOOKUP($B3927,'Email Marketing Raw Data'!$C:$O,9,0)),"")</f>
        <v/>
      </c>
    </row>
    <row r="3928" spans="4:17" ht="12.75" customHeight="1" x14ac:dyDescent="0.2">
      <c r="D3928" s="58" t="str">
        <f>IFERROR(IF(F3928&lt;&gt;"pending","",IF(OR($B3928="",$B3928="(blank)"),"",VLOOKUP($B3928,'Email Marketing Raw Data'!$C:$O,10,0))),"")</f>
        <v/>
      </c>
      <c r="E3928" s="59" t="str">
        <f>IFERROR(IF(F3928&lt;&gt;"pending","",IF(OR($B3928="",$B3928="(blank)"),"",VLOOKUP($B3928,'Email Marketing Raw Data'!$C:$O,11,0))),"")</f>
        <v/>
      </c>
      <c r="F3928" s="54" t="str">
        <f>IFERROR(IF(OR($B3928="",$B3928="(blank)"),"",VLOOKUP($B3928,'Email Marketing Raw Data'!$C:$O,13,0)),"")</f>
        <v/>
      </c>
      <c r="G3928" s="55" t="str">
        <f>IFERROR(IF(OR($B3928="",$B3928="(blank)"),"",VLOOKUP($B3928,'Email Marketing Raw Data'!$C:$O,4,0)),"")</f>
        <v/>
      </c>
      <c r="H3928" s="55" t="str">
        <f>IFERROR(IF(OR($B3928="",$B3928="(blank)"),"",VLOOKUP($B3928,'Email Marketing Raw Data'!$C:$O,5,0)),"")</f>
        <v/>
      </c>
      <c r="I3928" s="55" t="str">
        <f>IFERROR(IF($G3928="","",VLOOKUP('Dashboard And Emails Automate'!$G3928,Database!$H:$N,3,0)),"")</f>
        <v/>
      </c>
      <c r="J3928" s="55" t="str">
        <f>IFERROR(IF($G3928="","",VLOOKUP('Dashboard And Emails Automate'!$G3928,Database!$H:$N,4,0)),"")</f>
        <v/>
      </c>
      <c r="K3928" s="55" t="str">
        <f>IFERROR(IF($G3928="","",VLOOKUP('Dashboard And Emails Automate'!$G3928,Database!$H:$N,5,0)),"")</f>
        <v/>
      </c>
      <c r="L3928" s="55" t="str">
        <f>IFERROR(IF($G3928="","",VLOOKUP('Dashboard And Emails Automate'!$G3928,Database!$H:$N,6,0)),"")</f>
        <v/>
      </c>
      <c r="M3928" s="55" t="str">
        <f>IFERROR(IF($G3928="","",VLOOKUP('Dashboard And Emails Automate'!$G3928,Database!$H:$N,7,0)),"")</f>
        <v/>
      </c>
      <c r="N3928" s="55" t="str">
        <f>IFERROR(IF(OR($B3928="",$B3928="(blank)"),"",VLOOKUP($B3928,'Email Marketing Raw Data'!$C:$O,6,0)),"")</f>
        <v/>
      </c>
      <c r="O3928" s="55" t="str">
        <f>IFERROR(IF(OR($B3928="",$B3928="(blank)"),"",VLOOKUP($B3928,'Email Marketing Raw Data'!$C:$O,7,0)),"")</f>
        <v/>
      </c>
      <c r="P3928" s="55" t="str">
        <f>IFERROR(IF(OR($B3928="",$B3928="(blank)"),"",VLOOKUP($B3928,'Email Marketing Raw Data'!$C:$O,8,0)),"")</f>
        <v/>
      </c>
      <c r="Q3928" s="62" t="str">
        <f>IFERROR(IF(OR($B3928="",$B3928="(blank)"),"",VLOOKUP($B3928,'Email Marketing Raw Data'!$C:$O,9,0)),"")</f>
        <v/>
      </c>
    </row>
    <row r="3929" spans="4:17" ht="12.75" customHeight="1" x14ac:dyDescent="0.2">
      <c r="D3929" s="58" t="str">
        <f>IFERROR(IF(F3929&lt;&gt;"pending","",IF(OR($B3929="",$B3929="(blank)"),"",VLOOKUP($B3929,'Email Marketing Raw Data'!$C:$O,10,0))),"")</f>
        <v/>
      </c>
      <c r="E3929" s="59" t="str">
        <f>IFERROR(IF(F3929&lt;&gt;"pending","",IF(OR($B3929="",$B3929="(blank)"),"",VLOOKUP($B3929,'Email Marketing Raw Data'!$C:$O,11,0))),"")</f>
        <v/>
      </c>
      <c r="F3929" s="54" t="str">
        <f>IFERROR(IF(OR($B3929="",$B3929="(blank)"),"",VLOOKUP($B3929,'Email Marketing Raw Data'!$C:$O,13,0)),"")</f>
        <v/>
      </c>
      <c r="G3929" s="55" t="str">
        <f>IFERROR(IF(OR($B3929="",$B3929="(blank)"),"",VLOOKUP($B3929,'Email Marketing Raw Data'!$C:$O,4,0)),"")</f>
        <v/>
      </c>
      <c r="H3929" s="55" t="str">
        <f>IFERROR(IF(OR($B3929="",$B3929="(blank)"),"",VLOOKUP($B3929,'Email Marketing Raw Data'!$C:$O,5,0)),"")</f>
        <v/>
      </c>
      <c r="I3929" s="55" t="str">
        <f>IFERROR(IF($G3929="","",VLOOKUP('Dashboard And Emails Automate'!$G3929,Database!$H:$N,3,0)),"")</f>
        <v/>
      </c>
      <c r="J3929" s="55" t="str">
        <f>IFERROR(IF($G3929="","",VLOOKUP('Dashboard And Emails Automate'!$G3929,Database!$H:$N,4,0)),"")</f>
        <v/>
      </c>
      <c r="K3929" s="55" t="str">
        <f>IFERROR(IF($G3929="","",VLOOKUP('Dashboard And Emails Automate'!$G3929,Database!$H:$N,5,0)),"")</f>
        <v/>
      </c>
      <c r="L3929" s="55" t="str">
        <f>IFERROR(IF($G3929="","",VLOOKUP('Dashboard And Emails Automate'!$G3929,Database!$H:$N,6,0)),"")</f>
        <v/>
      </c>
      <c r="M3929" s="55" t="str">
        <f>IFERROR(IF($G3929="","",VLOOKUP('Dashboard And Emails Automate'!$G3929,Database!$H:$N,7,0)),"")</f>
        <v/>
      </c>
      <c r="N3929" s="55" t="str">
        <f>IFERROR(IF(OR($B3929="",$B3929="(blank)"),"",VLOOKUP($B3929,'Email Marketing Raw Data'!$C:$O,6,0)),"")</f>
        <v/>
      </c>
      <c r="O3929" s="55" t="str">
        <f>IFERROR(IF(OR($B3929="",$B3929="(blank)"),"",VLOOKUP($B3929,'Email Marketing Raw Data'!$C:$O,7,0)),"")</f>
        <v/>
      </c>
      <c r="P3929" s="55" t="str">
        <f>IFERROR(IF(OR($B3929="",$B3929="(blank)"),"",VLOOKUP($B3929,'Email Marketing Raw Data'!$C:$O,8,0)),"")</f>
        <v/>
      </c>
      <c r="Q3929" s="62" t="str">
        <f>IFERROR(IF(OR($B3929="",$B3929="(blank)"),"",VLOOKUP($B3929,'Email Marketing Raw Data'!$C:$O,9,0)),"")</f>
        <v/>
      </c>
    </row>
    <row r="3930" spans="4:17" ht="12.75" customHeight="1" x14ac:dyDescent="0.2">
      <c r="D3930" s="58" t="str">
        <f>IFERROR(IF(F3930&lt;&gt;"pending","",IF(OR($B3930="",$B3930="(blank)"),"",VLOOKUP($B3930,'Email Marketing Raw Data'!$C:$O,10,0))),"")</f>
        <v/>
      </c>
      <c r="E3930" s="59" t="str">
        <f>IFERROR(IF(F3930&lt;&gt;"pending","",IF(OR($B3930="",$B3930="(blank)"),"",VLOOKUP($B3930,'Email Marketing Raw Data'!$C:$O,11,0))),"")</f>
        <v/>
      </c>
      <c r="F3930" s="54" t="str">
        <f>IFERROR(IF(OR($B3930="",$B3930="(blank)"),"",VLOOKUP($B3930,'Email Marketing Raw Data'!$C:$O,13,0)),"")</f>
        <v/>
      </c>
      <c r="G3930" s="55" t="str">
        <f>IFERROR(IF(OR($B3930="",$B3930="(blank)"),"",VLOOKUP($B3930,'Email Marketing Raw Data'!$C:$O,4,0)),"")</f>
        <v/>
      </c>
      <c r="H3930" s="55" t="str">
        <f>IFERROR(IF(OR($B3930="",$B3930="(blank)"),"",VLOOKUP($B3930,'Email Marketing Raw Data'!$C:$O,5,0)),"")</f>
        <v/>
      </c>
      <c r="I3930" s="55" t="str">
        <f>IFERROR(IF($G3930="","",VLOOKUP('Dashboard And Emails Automate'!$G3930,Database!$H:$N,3,0)),"")</f>
        <v/>
      </c>
      <c r="J3930" s="55" t="str">
        <f>IFERROR(IF($G3930="","",VLOOKUP('Dashboard And Emails Automate'!$G3930,Database!$H:$N,4,0)),"")</f>
        <v/>
      </c>
      <c r="K3930" s="55" t="str">
        <f>IFERROR(IF($G3930="","",VLOOKUP('Dashboard And Emails Automate'!$G3930,Database!$H:$N,5,0)),"")</f>
        <v/>
      </c>
      <c r="L3930" s="55" t="str">
        <f>IFERROR(IF($G3930="","",VLOOKUP('Dashboard And Emails Automate'!$G3930,Database!$H:$N,6,0)),"")</f>
        <v/>
      </c>
      <c r="M3930" s="55" t="str">
        <f>IFERROR(IF($G3930="","",VLOOKUP('Dashboard And Emails Automate'!$G3930,Database!$H:$N,7,0)),"")</f>
        <v/>
      </c>
      <c r="N3930" s="55" t="str">
        <f>IFERROR(IF(OR($B3930="",$B3930="(blank)"),"",VLOOKUP($B3930,'Email Marketing Raw Data'!$C:$O,6,0)),"")</f>
        <v/>
      </c>
      <c r="O3930" s="55" t="str">
        <f>IFERROR(IF(OR($B3930="",$B3930="(blank)"),"",VLOOKUP($B3930,'Email Marketing Raw Data'!$C:$O,7,0)),"")</f>
        <v/>
      </c>
      <c r="P3930" s="55" t="str">
        <f>IFERROR(IF(OR($B3930="",$B3930="(blank)"),"",VLOOKUP($B3930,'Email Marketing Raw Data'!$C:$O,8,0)),"")</f>
        <v/>
      </c>
      <c r="Q3930" s="62" t="str">
        <f>IFERROR(IF(OR($B3930="",$B3930="(blank)"),"",VLOOKUP($B3930,'Email Marketing Raw Data'!$C:$O,9,0)),"")</f>
        <v/>
      </c>
    </row>
    <row r="3931" spans="4:17" ht="12.75" customHeight="1" x14ac:dyDescent="0.2">
      <c r="D3931" s="58" t="str">
        <f>IFERROR(IF(F3931&lt;&gt;"pending","",IF(OR($B3931="",$B3931="(blank)"),"",VLOOKUP($B3931,'Email Marketing Raw Data'!$C:$O,10,0))),"")</f>
        <v/>
      </c>
      <c r="E3931" s="59" t="str">
        <f>IFERROR(IF(F3931&lt;&gt;"pending","",IF(OR($B3931="",$B3931="(blank)"),"",VLOOKUP($B3931,'Email Marketing Raw Data'!$C:$O,11,0))),"")</f>
        <v/>
      </c>
      <c r="F3931" s="54" t="str">
        <f>IFERROR(IF(OR($B3931="",$B3931="(blank)"),"",VLOOKUP($B3931,'Email Marketing Raw Data'!$C:$O,13,0)),"")</f>
        <v/>
      </c>
      <c r="G3931" s="55" t="str">
        <f>IFERROR(IF(OR($B3931="",$B3931="(blank)"),"",VLOOKUP($B3931,'Email Marketing Raw Data'!$C:$O,4,0)),"")</f>
        <v/>
      </c>
      <c r="H3931" s="55" t="str">
        <f>IFERROR(IF(OR($B3931="",$B3931="(blank)"),"",VLOOKUP($B3931,'Email Marketing Raw Data'!$C:$O,5,0)),"")</f>
        <v/>
      </c>
      <c r="I3931" s="55" t="str">
        <f>IFERROR(IF($G3931="","",VLOOKUP('Dashboard And Emails Automate'!$G3931,Database!$H:$N,3,0)),"")</f>
        <v/>
      </c>
      <c r="J3931" s="55" t="str">
        <f>IFERROR(IF($G3931="","",VLOOKUP('Dashboard And Emails Automate'!$G3931,Database!$H:$N,4,0)),"")</f>
        <v/>
      </c>
      <c r="K3931" s="55" t="str">
        <f>IFERROR(IF($G3931="","",VLOOKUP('Dashboard And Emails Automate'!$G3931,Database!$H:$N,5,0)),"")</f>
        <v/>
      </c>
      <c r="L3931" s="55" t="str">
        <f>IFERROR(IF($G3931="","",VLOOKUP('Dashboard And Emails Automate'!$G3931,Database!$H:$N,6,0)),"")</f>
        <v/>
      </c>
      <c r="M3931" s="55" t="str">
        <f>IFERROR(IF($G3931="","",VLOOKUP('Dashboard And Emails Automate'!$G3931,Database!$H:$N,7,0)),"")</f>
        <v/>
      </c>
      <c r="N3931" s="55" t="str">
        <f>IFERROR(IF(OR($B3931="",$B3931="(blank)"),"",VLOOKUP($B3931,'Email Marketing Raw Data'!$C:$O,6,0)),"")</f>
        <v/>
      </c>
      <c r="O3931" s="55" t="str">
        <f>IFERROR(IF(OR($B3931="",$B3931="(blank)"),"",VLOOKUP($B3931,'Email Marketing Raw Data'!$C:$O,7,0)),"")</f>
        <v/>
      </c>
      <c r="P3931" s="55" t="str">
        <f>IFERROR(IF(OR($B3931="",$B3931="(blank)"),"",VLOOKUP($B3931,'Email Marketing Raw Data'!$C:$O,8,0)),"")</f>
        <v/>
      </c>
      <c r="Q3931" s="62" t="str">
        <f>IFERROR(IF(OR($B3931="",$B3931="(blank)"),"",VLOOKUP($B3931,'Email Marketing Raw Data'!$C:$O,9,0)),"")</f>
        <v/>
      </c>
    </row>
    <row r="3932" spans="4:17" ht="12.75" customHeight="1" x14ac:dyDescent="0.2">
      <c r="D3932" s="58" t="str">
        <f>IFERROR(IF(F3932&lt;&gt;"pending","",IF(OR($B3932="",$B3932="(blank)"),"",VLOOKUP($B3932,'Email Marketing Raw Data'!$C:$O,10,0))),"")</f>
        <v/>
      </c>
      <c r="E3932" s="59" t="str">
        <f>IFERROR(IF(F3932&lt;&gt;"pending","",IF(OR($B3932="",$B3932="(blank)"),"",VLOOKUP($B3932,'Email Marketing Raw Data'!$C:$O,11,0))),"")</f>
        <v/>
      </c>
      <c r="F3932" s="54" t="str">
        <f>IFERROR(IF(OR($B3932="",$B3932="(blank)"),"",VLOOKUP($B3932,'Email Marketing Raw Data'!$C:$O,13,0)),"")</f>
        <v/>
      </c>
      <c r="G3932" s="55" t="str">
        <f>IFERROR(IF(OR($B3932="",$B3932="(blank)"),"",VLOOKUP($B3932,'Email Marketing Raw Data'!$C:$O,4,0)),"")</f>
        <v/>
      </c>
      <c r="H3932" s="55" t="str">
        <f>IFERROR(IF(OR($B3932="",$B3932="(blank)"),"",VLOOKUP($B3932,'Email Marketing Raw Data'!$C:$O,5,0)),"")</f>
        <v/>
      </c>
      <c r="I3932" s="55" t="str">
        <f>IFERROR(IF($G3932="","",VLOOKUP('Dashboard And Emails Automate'!$G3932,Database!$H:$N,3,0)),"")</f>
        <v/>
      </c>
      <c r="J3932" s="55" t="str">
        <f>IFERROR(IF($G3932="","",VLOOKUP('Dashboard And Emails Automate'!$G3932,Database!$H:$N,4,0)),"")</f>
        <v/>
      </c>
      <c r="K3932" s="55" t="str">
        <f>IFERROR(IF($G3932="","",VLOOKUP('Dashboard And Emails Automate'!$G3932,Database!$H:$N,5,0)),"")</f>
        <v/>
      </c>
      <c r="L3932" s="55" t="str">
        <f>IFERROR(IF($G3932="","",VLOOKUP('Dashboard And Emails Automate'!$G3932,Database!$H:$N,6,0)),"")</f>
        <v/>
      </c>
      <c r="M3932" s="55" t="str">
        <f>IFERROR(IF($G3932="","",VLOOKUP('Dashboard And Emails Automate'!$G3932,Database!$H:$N,7,0)),"")</f>
        <v/>
      </c>
      <c r="N3932" s="55" t="str">
        <f>IFERROR(IF(OR($B3932="",$B3932="(blank)"),"",VLOOKUP($B3932,'Email Marketing Raw Data'!$C:$O,6,0)),"")</f>
        <v/>
      </c>
      <c r="O3932" s="55" t="str">
        <f>IFERROR(IF(OR($B3932="",$B3932="(blank)"),"",VLOOKUP($B3932,'Email Marketing Raw Data'!$C:$O,7,0)),"")</f>
        <v/>
      </c>
      <c r="P3932" s="55" t="str">
        <f>IFERROR(IF(OR($B3932="",$B3932="(blank)"),"",VLOOKUP($B3932,'Email Marketing Raw Data'!$C:$O,8,0)),"")</f>
        <v/>
      </c>
      <c r="Q3932" s="62" t="str">
        <f>IFERROR(IF(OR($B3932="",$B3932="(blank)"),"",VLOOKUP($B3932,'Email Marketing Raw Data'!$C:$O,9,0)),"")</f>
        <v/>
      </c>
    </row>
    <row r="3933" spans="4:17" ht="12.75" customHeight="1" x14ac:dyDescent="0.2">
      <c r="D3933" s="58" t="str">
        <f>IFERROR(IF(F3933&lt;&gt;"pending","",IF(OR($B3933="",$B3933="(blank)"),"",VLOOKUP($B3933,'Email Marketing Raw Data'!$C:$O,10,0))),"")</f>
        <v/>
      </c>
      <c r="E3933" s="59" t="str">
        <f>IFERROR(IF(F3933&lt;&gt;"pending","",IF(OR($B3933="",$B3933="(blank)"),"",VLOOKUP($B3933,'Email Marketing Raw Data'!$C:$O,11,0))),"")</f>
        <v/>
      </c>
      <c r="F3933" s="54" t="str">
        <f>IFERROR(IF(OR($B3933="",$B3933="(blank)"),"",VLOOKUP($B3933,'Email Marketing Raw Data'!$C:$O,13,0)),"")</f>
        <v/>
      </c>
      <c r="G3933" s="55" t="str">
        <f>IFERROR(IF(OR($B3933="",$B3933="(blank)"),"",VLOOKUP($B3933,'Email Marketing Raw Data'!$C:$O,4,0)),"")</f>
        <v/>
      </c>
      <c r="H3933" s="55" t="str">
        <f>IFERROR(IF(OR($B3933="",$B3933="(blank)"),"",VLOOKUP($B3933,'Email Marketing Raw Data'!$C:$O,5,0)),"")</f>
        <v/>
      </c>
      <c r="I3933" s="55" t="str">
        <f>IFERROR(IF($G3933="","",VLOOKUP('Dashboard And Emails Automate'!$G3933,Database!$H:$N,3,0)),"")</f>
        <v/>
      </c>
      <c r="J3933" s="55" t="str">
        <f>IFERROR(IF($G3933="","",VLOOKUP('Dashboard And Emails Automate'!$G3933,Database!$H:$N,4,0)),"")</f>
        <v/>
      </c>
      <c r="K3933" s="55" t="str">
        <f>IFERROR(IF($G3933="","",VLOOKUP('Dashboard And Emails Automate'!$G3933,Database!$H:$N,5,0)),"")</f>
        <v/>
      </c>
      <c r="L3933" s="55" t="str">
        <f>IFERROR(IF($G3933="","",VLOOKUP('Dashboard And Emails Automate'!$G3933,Database!$H:$N,6,0)),"")</f>
        <v/>
      </c>
      <c r="M3933" s="55" t="str">
        <f>IFERROR(IF($G3933="","",VLOOKUP('Dashboard And Emails Automate'!$G3933,Database!$H:$N,7,0)),"")</f>
        <v/>
      </c>
      <c r="N3933" s="55" t="str">
        <f>IFERROR(IF(OR($B3933="",$B3933="(blank)"),"",VLOOKUP($B3933,'Email Marketing Raw Data'!$C:$O,6,0)),"")</f>
        <v/>
      </c>
      <c r="O3933" s="55" t="str">
        <f>IFERROR(IF(OR($B3933="",$B3933="(blank)"),"",VLOOKUP($B3933,'Email Marketing Raw Data'!$C:$O,7,0)),"")</f>
        <v/>
      </c>
      <c r="P3933" s="55" t="str">
        <f>IFERROR(IF(OR($B3933="",$B3933="(blank)"),"",VLOOKUP($B3933,'Email Marketing Raw Data'!$C:$O,8,0)),"")</f>
        <v/>
      </c>
      <c r="Q3933" s="62" t="str">
        <f>IFERROR(IF(OR($B3933="",$B3933="(blank)"),"",VLOOKUP($B3933,'Email Marketing Raw Data'!$C:$O,9,0)),"")</f>
        <v/>
      </c>
    </row>
    <row r="3934" spans="4:17" ht="12.75" customHeight="1" x14ac:dyDescent="0.2">
      <c r="D3934" s="58" t="str">
        <f>IFERROR(IF(F3934&lt;&gt;"pending","",IF(OR($B3934="",$B3934="(blank)"),"",VLOOKUP($B3934,'Email Marketing Raw Data'!$C:$O,10,0))),"")</f>
        <v/>
      </c>
      <c r="E3934" s="59" t="str">
        <f>IFERROR(IF(F3934&lt;&gt;"pending","",IF(OR($B3934="",$B3934="(blank)"),"",VLOOKUP($B3934,'Email Marketing Raw Data'!$C:$O,11,0))),"")</f>
        <v/>
      </c>
      <c r="F3934" s="54" t="str">
        <f>IFERROR(IF(OR($B3934="",$B3934="(blank)"),"",VLOOKUP($B3934,'Email Marketing Raw Data'!$C:$O,13,0)),"")</f>
        <v/>
      </c>
      <c r="G3934" s="55" t="str">
        <f>IFERROR(IF(OR($B3934="",$B3934="(blank)"),"",VLOOKUP($B3934,'Email Marketing Raw Data'!$C:$O,4,0)),"")</f>
        <v/>
      </c>
      <c r="H3934" s="55" t="str">
        <f>IFERROR(IF(OR($B3934="",$B3934="(blank)"),"",VLOOKUP($B3934,'Email Marketing Raw Data'!$C:$O,5,0)),"")</f>
        <v/>
      </c>
      <c r="I3934" s="55" t="str">
        <f>IFERROR(IF($G3934="","",VLOOKUP('Dashboard And Emails Automate'!$G3934,Database!$H:$N,3,0)),"")</f>
        <v/>
      </c>
      <c r="J3934" s="55" t="str">
        <f>IFERROR(IF($G3934="","",VLOOKUP('Dashboard And Emails Automate'!$G3934,Database!$H:$N,4,0)),"")</f>
        <v/>
      </c>
      <c r="K3934" s="55" t="str">
        <f>IFERROR(IF($G3934="","",VLOOKUP('Dashboard And Emails Automate'!$G3934,Database!$H:$N,5,0)),"")</f>
        <v/>
      </c>
      <c r="L3934" s="55" t="str">
        <f>IFERROR(IF($G3934="","",VLOOKUP('Dashboard And Emails Automate'!$G3934,Database!$H:$N,6,0)),"")</f>
        <v/>
      </c>
      <c r="M3934" s="55" t="str">
        <f>IFERROR(IF($G3934="","",VLOOKUP('Dashboard And Emails Automate'!$G3934,Database!$H:$N,7,0)),"")</f>
        <v/>
      </c>
      <c r="N3934" s="55" t="str">
        <f>IFERROR(IF(OR($B3934="",$B3934="(blank)"),"",VLOOKUP($B3934,'Email Marketing Raw Data'!$C:$O,6,0)),"")</f>
        <v/>
      </c>
      <c r="O3934" s="55" t="str">
        <f>IFERROR(IF(OR($B3934="",$B3934="(blank)"),"",VLOOKUP($B3934,'Email Marketing Raw Data'!$C:$O,7,0)),"")</f>
        <v/>
      </c>
      <c r="P3934" s="55" t="str">
        <f>IFERROR(IF(OR($B3934="",$B3934="(blank)"),"",VLOOKUP($B3934,'Email Marketing Raw Data'!$C:$O,8,0)),"")</f>
        <v/>
      </c>
      <c r="Q3934" s="62" t="str">
        <f>IFERROR(IF(OR($B3934="",$B3934="(blank)"),"",VLOOKUP($B3934,'Email Marketing Raw Data'!$C:$O,9,0)),"")</f>
        <v/>
      </c>
    </row>
    <row r="3935" spans="4:17" ht="12.75" customHeight="1" x14ac:dyDescent="0.2">
      <c r="D3935" s="58" t="str">
        <f>IFERROR(IF(F3935&lt;&gt;"pending","",IF(OR($B3935="",$B3935="(blank)"),"",VLOOKUP($B3935,'Email Marketing Raw Data'!$C:$O,10,0))),"")</f>
        <v/>
      </c>
      <c r="E3935" s="59" t="str">
        <f>IFERROR(IF(F3935&lt;&gt;"pending","",IF(OR($B3935="",$B3935="(blank)"),"",VLOOKUP($B3935,'Email Marketing Raw Data'!$C:$O,11,0))),"")</f>
        <v/>
      </c>
      <c r="F3935" s="54" t="str">
        <f>IFERROR(IF(OR($B3935="",$B3935="(blank)"),"",VLOOKUP($B3935,'Email Marketing Raw Data'!$C:$O,13,0)),"")</f>
        <v/>
      </c>
      <c r="G3935" s="55" t="str">
        <f>IFERROR(IF(OR($B3935="",$B3935="(blank)"),"",VLOOKUP($B3935,'Email Marketing Raw Data'!$C:$O,4,0)),"")</f>
        <v/>
      </c>
      <c r="H3935" s="55" t="str">
        <f>IFERROR(IF(OR($B3935="",$B3935="(blank)"),"",VLOOKUP($B3935,'Email Marketing Raw Data'!$C:$O,5,0)),"")</f>
        <v/>
      </c>
      <c r="I3935" s="55" t="str">
        <f>IFERROR(IF($G3935="","",VLOOKUP('Dashboard And Emails Automate'!$G3935,Database!$H:$N,3,0)),"")</f>
        <v/>
      </c>
      <c r="J3935" s="55" t="str">
        <f>IFERROR(IF($G3935="","",VLOOKUP('Dashboard And Emails Automate'!$G3935,Database!$H:$N,4,0)),"")</f>
        <v/>
      </c>
      <c r="K3935" s="55" t="str">
        <f>IFERROR(IF($G3935="","",VLOOKUP('Dashboard And Emails Automate'!$G3935,Database!$H:$N,5,0)),"")</f>
        <v/>
      </c>
      <c r="L3935" s="55" t="str">
        <f>IFERROR(IF($G3935="","",VLOOKUP('Dashboard And Emails Automate'!$G3935,Database!$H:$N,6,0)),"")</f>
        <v/>
      </c>
      <c r="M3935" s="55" t="str">
        <f>IFERROR(IF($G3935="","",VLOOKUP('Dashboard And Emails Automate'!$G3935,Database!$H:$N,7,0)),"")</f>
        <v/>
      </c>
      <c r="N3935" s="55" t="str">
        <f>IFERROR(IF(OR($B3935="",$B3935="(blank)"),"",VLOOKUP($B3935,'Email Marketing Raw Data'!$C:$O,6,0)),"")</f>
        <v/>
      </c>
      <c r="O3935" s="55" t="str">
        <f>IFERROR(IF(OR($B3935="",$B3935="(blank)"),"",VLOOKUP($B3935,'Email Marketing Raw Data'!$C:$O,7,0)),"")</f>
        <v/>
      </c>
      <c r="P3935" s="55" t="str">
        <f>IFERROR(IF(OR($B3935="",$B3935="(blank)"),"",VLOOKUP($B3935,'Email Marketing Raw Data'!$C:$O,8,0)),"")</f>
        <v/>
      </c>
      <c r="Q3935" s="62" t="str">
        <f>IFERROR(IF(OR($B3935="",$B3935="(blank)"),"",VLOOKUP($B3935,'Email Marketing Raw Data'!$C:$O,9,0)),"")</f>
        <v/>
      </c>
    </row>
    <row r="3936" spans="4:17" ht="12.75" customHeight="1" x14ac:dyDescent="0.2">
      <c r="D3936" s="58" t="str">
        <f>IFERROR(IF(F3936&lt;&gt;"pending","",IF(OR($B3936="",$B3936="(blank)"),"",VLOOKUP($B3936,'Email Marketing Raw Data'!$C:$O,10,0))),"")</f>
        <v/>
      </c>
      <c r="E3936" s="59" t="str">
        <f>IFERROR(IF(F3936&lt;&gt;"pending","",IF(OR($B3936="",$B3936="(blank)"),"",VLOOKUP($B3936,'Email Marketing Raw Data'!$C:$O,11,0))),"")</f>
        <v/>
      </c>
      <c r="F3936" s="54" t="str">
        <f>IFERROR(IF(OR($B3936="",$B3936="(blank)"),"",VLOOKUP($B3936,'Email Marketing Raw Data'!$C:$O,13,0)),"")</f>
        <v/>
      </c>
      <c r="G3936" s="55" t="str">
        <f>IFERROR(IF(OR($B3936="",$B3936="(blank)"),"",VLOOKUP($B3936,'Email Marketing Raw Data'!$C:$O,4,0)),"")</f>
        <v/>
      </c>
      <c r="H3936" s="55" t="str">
        <f>IFERROR(IF(OR($B3936="",$B3936="(blank)"),"",VLOOKUP($B3936,'Email Marketing Raw Data'!$C:$O,5,0)),"")</f>
        <v/>
      </c>
      <c r="I3936" s="55" t="str">
        <f>IFERROR(IF($G3936="","",VLOOKUP('Dashboard And Emails Automate'!$G3936,Database!$H:$N,3,0)),"")</f>
        <v/>
      </c>
      <c r="J3936" s="55" t="str">
        <f>IFERROR(IF($G3936="","",VLOOKUP('Dashboard And Emails Automate'!$G3936,Database!$H:$N,4,0)),"")</f>
        <v/>
      </c>
      <c r="K3936" s="55" t="str">
        <f>IFERROR(IF($G3936="","",VLOOKUP('Dashboard And Emails Automate'!$G3936,Database!$H:$N,5,0)),"")</f>
        <v/>
      </c>
      <c r="L3936" s="55" t="str">
        <f>IFERROR(IF($G3936="","",VLOOKUP('Dashboard And Emails Automate'!$G3936,Database!$H:$N,6,0)),"")</f>
        <v/>
      </c>
      <c r="M3936" s="55" t="str">
        <f>IFERROR(IF($G3936="","",VLOOKUP('Dashboard And Emails Automate'!$G3936,Database!$H:$N,7,0)),"")</f>
        <v/>
      </c>
      <c r="N3936" s="55" t="str">
        <f>IFERROR(IF(OR($B3936="",$B3936="(blank)"),"",VLOOKUP($B3936,'Email Marketing Raw Data'!$C:$O,6,0)),"")</f>
        <v/>
      </c>
      <c r="O3936" s="55" t="str">
        <f>IFERROR(IF(OR($B3936="",$B3936="(blank)"),"",VLOOKUP($B3936,'Email Marketing Raw Data'!$C:$O,7,0)),"")</f>
        <v/>
      </c>
      <c r="P3936" s="55" t="str">
        <f>IFERROR(IF(OR($B3936="",$B3936="(blank)"),"",VLOOKUP($B3936,'Email Marketing Raw Data'!$C:$O,8,0)),"")</f>
        <v/>
      </c>
      <c r="Q3936" s="62" t="str">
        <f>IFERROR(IF(OR($B3936="",$B3936="(blank)"),"",VLOOKUP($B3936,'Email Marketing Raw Data'!$C:$O,9,0)),"")</f>
        <v/>
      </c>
    </row>
    <row r="3937" spans="4:17" ht="12.75" customHeight="1" x14ac:dyDescent="0.2">
      <c r="D3937" s="58" t="str">
        <f>IFERROR(IF(F3937&lt;&gt;"pending","",IF(OR($B3937="",$B3937="(blank)"),"",VLOOKUP($B3937,'Email Marketing Raw Data'!$C:$O,10,0))),"")</f>
        <v/>
      </c>
      <c r="E3937" s="59" t="str">
        <f>IFERROR(IF(F3937&lt;&gt;"pending","",IF(OR($B3937="",$B3937="(blank)"),"",VLOOKUP($B3937,'Email Marketing Raw Data'!$C:$O,11,0))),"")</f>
        <v/>
      </c>
      <c r="F3937" s="54" t="str">
        <f>IFERROR(IF(OR($B3937="",$B3937="(blank)"),"",VLOOKUP($B3937,'Email Marketing Raw Data'!$C:$O,13,0)),"")</f>
        <v/>
      </c>
      <c r="G3937" s="55" t="str">
        <f>IFERROR(IF(OR($B3937="",$B3937="(blank)"),"",VLOOKUP($B3937,'Email Marketing Raw Data'!$C:$O,4,0)),"")</f>
        <v/>
      </c>
      <c r="H3937" s="55" t="str">
        <f>IFERROR(IF(OR($B3937="",$B3937="(blank)"),"",VLOOKUP($B3937,'Email Marketing Raw Data'!$C:$O,5,0)),"")</f>
        <v/>
      </c>
      <c r="I3937" s="55" t="str">
        <f>IFERROR(IF($G3937="","",VLOOKUP('Dashboard And Emails Automate'!$G3937,Database!$H:$N,3,0)),"")</f>
        <v/>
      </c>
      <c r="J3937" s="55" t="str">
        <f>IFERROR(IF($G3937="","",VLOOKUP('Dashboard And Emails Automate'!$G3937,Database!$H:$N,4,0)),"")</f>
        <v/>
      </c>
      <c r="K3937" s="55" t="str">
        <f>IFERROR(IF($G3937="","",VLOOKUP('Dashboard And Emails Automate'!$G3937,Database!$H:$N,5,0)),"")</f>
        <v/>
      </c>
      <c r="L3937" s="55" t="str">
        <f>IFERROR(IF($G3937="","",VLOOKUP('Dashboard And Emails Automate'!$G3937,Database!$H:$N,6,0)),"")</f>
        <v/>
      </c>
      <c r="M3937" s="55" t="str">
        <f>IFERROR(IF($G3937="","",VLOOKUP('Dashboard And Emails Automate'!$G3937,Database!$H:$N,7,0)),"")</f>
        <v/>
      </c>
      <c r="N3937" s="55" t="str">
        <f>IFERROR(IF(OR($B3937="",$B3937="(blank)"),"",VLOOKUP($B3937,'Email Marketing Raw Data'!$C:$O,6,0)),"")</f>
        <v/>
      </c>
      <c r="O3937" s="55" t="str">
        <f>IFERROR(IF(OR($B3937="",$B3937="(blank)"),"",VLOOKUP($B3937,'Email Marketing Raw Data'!$C:$O,7,0)),"")</f>
        <v/>
      </c>
      <c r="P3937" s="55" t="str">
        <f>IFERROR(IF(OR($B3937="",$B3937="(blank)"),"",VLOOKUP($B3937,'Email Marketing Raw Data'!$C:$O,8,0)),"")</f>
        <v/>
      </c>
      <c r="Q3937" s="62" t="str">
        <f>IFERROR(IF(OR($B3937="",$B3937="(blank)"),"",VLOOKUP($B3937,'Email Marketing Raw Data'!$C:$O,9,0)),"")</f>
        <v/>
      </c>
    </row>
    <row r="3938" spans="4:17" ht="12.75" customHeight="1" x14ac:dyDescent="0.2">
      <c r="D3938" s="58" t="str">
        <f>IFERROR(IF(F3938&lt;&gt;"pending","",IF(OR($B3938="",$B3938="(blank)"),"",VLOOKUP($B3938,'Email Marketing Raw Data'!$C:$O,10,0))),"")</f>
        <v/>
      </c>
      <c r="E3938" s="59" t="str">
        <f>IFERROR(IF(F3938&lt;&gt;"pending","",IF(OR($B3938="",$B3938="(blank)"),"",VLOOKUP($B3938,'Email Marketing Raw Data'!$C:$O,11,0))),"")</f>
        <v/>
      </c>
      <c r="F3938" s="54" t="str">
        <f>IFERROR(IF(OR($B3938="",$B3938="(blank)"),"",VLOOKUP($B3938,'Email Marketing Raw Data'!$C:$O,13,0)),"")</f>
        <v/>
      </c>
      <c r="G3938" s="55" t="str">
        <f>IFERROR(IF(OR($B3938="",$B3938="(blank)"),"",VLOOKUP($B3938,'Email Marketing Raw Data'!$C:$O,4,0)),"")</f>
        <v/>
      </c>
      <c r="H3938" s="55" t="str">
        <f>IFERROR(IF(OR($B3938="",$B3938="(blank)"),"",VLOOKUP($B3938,'Email Marketing Raw Data'!$C:$O,5,0)),"")</f>
        <v/>
      </c>
      <c r="I3938" s="55" t="str">
        <f>IFERROR(IF($G3938="","",VLOOKUP('Dashboard And Emails Automate'!$G3938,Database!$H:$N,3,0)),"")</f>
        <v/>
      </c>
      <c r="J3938" s="55" t="str">
        <f>IFERROR(IF($G3938="","",VLOOKUP('Dashboard And Emails Automate'!$G3938,Database!$H:$N,4,0)),"")</f>
        <v/>
      </c>
      <c r="K3938" s="55" t="str">
        <f>IFERROR(IF($G3938="","",VLOOKUP('Dashboard And Emails Automate'!$G3938,Database!$H:$N,5,0)),"")</f>
        <v/>
      </c>
      <c r="L3938" s="55" t="str">
        <f>IFERROR(IF($G3938="","",VLOOKUP('Dashboard And Emails Automate'!$G3938,Database!$H:$N,6,0)),"")</f>
        <v/>
      </c>
      <c r="M3938" s="55" t="str">
        <f>IFERROR(IF($G3938="","",VLOOKUP('Dashboard And Emails Automate'!$G3938,Database!$H:$N,7,0)),"")</f>
        <v/>
      </c>
      <c r="N3938" s="55" t="str">
        <f>IFERROR(IF(OR($B3938="",$B3938="(blank)"),"",VLOOKUP($B3938,'Email Marketing Raw Data'!$C:$O,6,0)),"")</f>
        <v/>
      </c>
      <c r="O3938" s="55" t="str">
        <f>IFERROR(IF(OR($B3938="",$B3938="(blank)"),"",VLOOKUP($B3938,'Email Marketing Raw Data'!$C:$O,7,0)),"")</f>
        <v/>
      </c>
      <c r="P3938" s="55" t="str">
        <f>IFERROR(IF(OR($B3938="",$B3938="(blank)"),"",VLOOKUP($B3938,'Email Marketing Raw Data'!$C:$O,8,0)),"")</f>
        <v/>
      </c>
      <c r="Q3938" s="62" t="str">
        <f>IFERROR(IF(OR($B3938="",$B3938="(blank)"),"",VLOOKUP($B3938,'Email Marketing Raw Data'!$C:$O,9,0)),"")</f>
        <v/>
      </c>
    </row>
    <row r="3939" spans="4:17" ht="12.75" customHeight="1" x14ac:dyDescent="0.2">
      <c r="D3939" s="58" t="str">
        <f>IFERROR(IF(F3939&lt;&gt;"pending","",IF(OR($B3939="",$B3939="(blank)"),"",VLOOKUP($B3939,'Email Marketing Raw Data'!$C:$O,10,0))),"")</f>
        <v/>
      </c>
      <c r="E3939" s="59" t="str">
        <f>IFERROR(IF(F3939&lt;&gt;"pending","",IF(OR($B3939="",$B3939="(blank)"),"",VLOOKUP($B3939,'Email Marketing Raw Data'!$C:$O,11,0))),"")</f>
        <v/>
      </c>
      <c r="F3939" s="54" t="str">
        <f>IFERROR(IF(OR($B3939="",$B3939="(blank)"),"",VLOOKUP($B3939,'Email Marketing Raw Data'!$C:$O,13,0)),"")</f>
        <v/>
      </c>
      <c r="G3939" s="55" t="str">
        <f>IFERROR(IF(OR($B3939="",$B3939="(blank)"),"",VLOOKUP($B3939,'Email Marketing Raw Data'!$C:$O,4,0)),"")</f>
        <v/>
      </c>
      <c r="H3939" s="55" t="str">
        <f>IFERROR(IF(OR($B3939="",$B3939="(blank)"),"",VLOOKUP($B3939,'Email Marketing Raw Data'!$C:$O,5,0)),"")</f>
        <v/>
      </c>
      <c r="I3939" s="55" t="str">
        <f>IFERROR(IF($G3939="","",VLOOKUP('Dashboard And Emails Automate'!$G3939,Database!$H:$N,3,0)),"")</f>
        <v/>
      </c>
      <c r="J3939" s="55" t="str">
        <f>IFERROR(IF($G3939="","",VLOOKUP('Dashboard And Emails Automate'!$G3939,Database!$H:$N,4,0)),"")</f>
        <v/>
      </c>
      <c r="K3939" s="55" t="str">
        <f>IFERROR(IF($G3939="","",VLOOKUP('Dashboard And Emails Automate'!$G3939,Database!$H:$N,5,0)),"")</f>
        <v/>
      </c>
      <c r="L3939" s="55" t="str">
        <f>IFERROR(IF($G3939="","",VLOOKUP('Dashboard And Emails Automate'!$G3939,Database!$H:$N,6,0)),"")</f>
        <v/>
      </c>
      <c r="M3939" s="55" t="str">
        <f>IFERROR(IF($G3939="","",VLOOKUP('Dashboard And Emails Automate'!$G3939,Database!$H:$N,7,0)),"")</f>
        <v/>
      </c>
      <c r="N3939" s="55" t="str">
        <f>IFERROR(IF(OR($B3939="",$B3939="(blank)"),"",VLOOKUP($B3939,'Email Marketing Raw Data'!$C:$O,6,0)),"")</f>
        <v/>
      </c>
      <c r="O3939" s="55" t="str">
        <f>IFERROR(IF(OR($B3939="",$B3939="(blank)"),"",VLOOKUP($B3939,'Email Marketing Raw Data'!$C:$O,7,0)),"")</f>
        <v/>
      </c>
      <c r="P3939" s="55" t="str">
        <f>IFERROR(IF(OR($B3939="",$B3939="(blank)"),"",VLOOKUP($B3939,'Email Marketing Raw Data'!$C:$O,8,0)),"")</f>
        <v/>
      </c>
      <c r="Q3939" s="62" t="str">
        <f>IFERROR(IF(OR($B3939="",$B3939="(blank)"),"",VLOOKUP($B3939,'Email Marketing Raw Data'!$C:$O,9,0)),"")</f>
        <v/>
      </c>
    </row>
    <row r="3940" spans="4:17" ht="12.75" customHeight="1" x14ac:dyDescent="0.2">
      <c r="D3940" s="58" t="str">
        <f>IFERROR(IF(F3940&lt;&gt;"pending","",IF(OR($B3940="",$B3940="(blank)"),"",VLOOKUP($B3940,'Email Marketing Raw Data'!$C:$O,10,0))),"")</f>
        <v/>
      </c>
      <c r="E3940" s="59" t="str">
        <f>IFERROR(IF(F3940&lt;&gt;"pending","",IF(OR($B3940="",$B3940="(blank)"),"",VLOOKUP($B3940,'Email Marketing Raw Data'!$C:$O,11,0))),"")</f>
        <v/>
      </c>
      <c r="F3940" s="54" t="str">
        <f>IFERROR(IF(OR($B3940="",$B3940="(blank)"),"",VLOOKUP($B3940,'Email Marketing Raw Data'!$C:$O,13,0)),"")</f>
        <v/>
      </c>
      <c r="G3940" s="55" t="str">
        <f>IFERROR(IF(OR($B3940="",$B3940="(blank)"),"",VLOOKUP($B3940,'Email Marketing Raw Data'!$C:$O,4,0)),"")</f>
        <v/>
      </c>
      <c r="H3940" s="55" t="str">
        <f>IFERROR(IF(OR($B3940="",$B3940="(blank)"),"",VLOOKUP($B3940,'Email Marketing Raw Data'!$C:$O,5,0)),"")</f>
        <v/>
      </c>
      <c r="I3940" s="55" t="str">
        <f>IFERROR(IF($G3940="","",VLOOKUP('Dashboard And Emails Automate'!$G3940,Database!$H:$N,3,0)),"")</f>
        <v/>
      </c>
      <c r="J3940" s="55" t="str">
        <f>IFERROR(IF($G3940="","",VLOOKUP('Dashboard And Emails Automate'!$G3940,Database!$H:$N,4,0)),"")</f>
        <v/>
      </c>
      <c r="K3940" s="55" t="str">
        <f>IFERROR(IF($G3940="","",VLOOKUP('Dashboard And Emails Automate'!$G3940,Database!$H:$N,5,0)),"")</f>
        <v/>
      </c>
      <c r="L3940" s="55" t="str">
        <f>IFERROR(IF($G3940="","",VLOOKUP('Dashboard And Emails Automate'!$G3940,Database!$H:$N,6,0)),"")</f>
        <v/>
      </c>
      <c r="M3940" s="55" t="str">
        <f>IFERROR(IF($G3940="","",VLOOKUP('Dashboard And Emails Automate'!$G3940,Database!$H:$N,7,0)),"")</f>
        <v/>
      </c>
      <c r="N3940" s="55" t="str">
        <f>IFERROR(IF(OR($B3940="",$B3940="(blank)"),"",VLOOKUP($B3940,'Email Marketing Raw Data'!$C:$O,6,0)),"")</f>
        <v/>
      </c>
      <c r="O3940" s="55" t="str">
        <f>IFERROR(IF(OR($B3940="",$B3940="(blank)"),"",VLOOKUP($B3940,'Email Marketing Raw Data'!$C:$O,7,0)),"")</f>
        <v/>
      </c>
      <c r="P3940" s="55" t="str">
        <f>IFERROR(IF(OR($B3940="",$B3940="(blank)"),"",VLOOKUP($B3940,'Email Marketing Raw Data'!$C:$O,8,0)),"")</f>
        <v/>
      </c>
      <c r="Q3940" s="62" t="str">
        <f>IFERROR(IF(OR($B3940="",$B3940="(blank)"),"",VLOOKUP($B3940,'Email Marketing Raw Data'!$C:$O,9,0)),"")</f>
        <v/>
      </c>
    </row>
    <row r="3941" spans="4:17" ht="12.75" customHeight="1" x14ac:dyDescent="0.2">
      <c r="D3941" s="58" t="str">
        <f>IFERROR(IF(F3941&lt;&gt;"pending","",IF(OR($B3941="",$B3941="(blank)"),"",VLOOKUP($B3941,'Email Marketing Raw Data'!$C:$O,10,0))),"")</f>
        <v/>
      </c>
      <c r="E3941" s="59" t="str">
        <f>IFERROR(IF(F3941&lt;&gt;"pending","",IF(OR($B3941="",$B3941="(blank)"),"",VLOOKUP($B3941,'Email Marketing Raw Data'!$C:$O,11,0))),"")</f>
        <v/>
      </c>
      <c r="F3941" s="54" t="str">
        <f>IFERROR(IF(OR($B3941="",$B3941="(blank)"),"",VLOOKUP($B3941,'Email Marketing Raw Data'!$C:$O,13,0)),"")</f>
        <v/>
      </c>
      <c r="G3941" s="55" t="str">
        <f>IFERROR(IF(OR($B3941="",$B3941="(blank)"),"",VLOOKUP($B3941,'Email Marketing Raw Data'!$C:$O,4,0)),"")</f>
        <v/>
      </c>
      <c r="H3941" s="55" t="str">
        <f>IFERROR(IF(OR($B3941="",$B3941="(blank)"),"",VLOOKUP($B3941,'Email Marketing Raw Data'!$C:$O,5,0)),"")</f>
        <v/>
      </c>
      <c r="I3941" s="55" t="str">
        <f>IFERROR(IF($G3941="","",VLOOKUP('Dashboard And Emails Automate'!$G3941,Database!$H:$N,3,0)),"")</f>
        <v/>
      </c>
      <c r="J3941" s="55" t="str">
        <f>IFERROR(IF($G3941="","",VLOOKUP('Dashboard And Emails Automate'!$G3941,Database!$H:$N,4,0)),"")</f>
        <v/>
      </c>
      <c r="K3941" s="55" t="str">
        <f>IFERROR(IF($G3941="","",VLOOKUP('Dashboard And Emails Automate'!$G3941,Database!$H:$N,5,0)),"")</f>
        <v/>
      </c>
      <c r="L3941" s="55" t="str">
        <f>IFERROR(IF($G3941="","",VLOOKUP('Dashboard And Emails Automate'!$G3941,Database!$H:$N,6,0)),"")</f>
        <v/>
      </c>
      <c r="M3941" s="55" t="str">
        <f>IFERROR(IF($G3941="","",VLOOKUP('Dashboard And Emails Automate'!$G3941,Database!$H:$N,7,0)),"")</f>
        <v/>
      </c>
      <c r="N3941" s="55" t="str">
        <f>IFERROR(IF(OR($B3941="",$B3941="(blank)"),"",VLOOKUP($B3941,'Email Marketing Raw Data'!$C:$O,6,0)),"")</f>
        <v/>
      </c>
      <c r="O3941" s="55" t="str">
        <f>IFERROR(IF(OR($B3941="",$B3941="(blank)"),"",VLOOKUP($B3941,'Email Marketing Raw Data'!$C:$O,7,0)),"")</f>
        <v/>
      </c>
      <c r="P3941" s="55" t="str">
        <f>IFERROR(IF(OR($B3941="",$B3941="(blank)"),"",VLOOKUP($B3941,'Email Marketing Raw Data'!$C:$O,8,0)),"")</f>
        <v/>
      </c>
      <c r="Q3941" s="62" t="str">
        <f>IFERROR(IF(OR($B3941="",$B3941="(blank)"),"",VLOOKUP($B3941,'Email Marketing Raw Data'!$C:$O,9,0)),"")</f>
        <v/>
      </c>
    </row>
    <row r="3942" spans="4:17" ht="12.75" customHeight="1" x14ac:dyDescent="0.2">
      <c r="D3942" s="58" t="str">
        <f>IFERROR(IF(F3942&lt;&gt;"pending","",IF(OR($B3942="",$B3942="(blank)"),"",VLOOKUP($B3942,'Email Marketing Raw Data'!$C:$O,10,0))),"")</f>
        <v/>
      </c>
      <c r="E3942" s="59" t="str">
        <f>IFERROR(IF(F3942&lt;&gt;"pending","",IF(OR($B3942="",$B3942="(blank)"),"",VLOOKUP($B3942,'Email Marketing Raw Data'!$C:$O,11,0))),"")</f>
        <v/>
      </c>
      <c r="F3942" s="54" t="str">
        <f>IFERROR(IF(OR($B3942="",$B3942="(blank)"),"",VLOOKUP($B3942,'Email Marketing Raw Data'!$C:$O,13,0)),"")</f>
        <v/>
      </c>
      <c r="G3942" s="55" t="str">
        <f>IFERROR(IF(OR($B3942="",$B3942="(blank)"),"",VLOOKUP($B3942,'Email Marketing Raw Data'!$C:$O,4,0)),"")</f>
        <v/>
      </c>
      <c r="H3942" s="55" t="str">
        <f>IFERROR(IF(OR($B3942="",$B3942="(blank)"),"",VLOOKUP($B3942,'Email Marketing Raw Data'!$C:$O,5,0)),"")</f>
        <v/>
      </c>
      <c r="I3942" s="55" t="str">
        <f>IFERROR(IF($G3942="","",VLOOKUP('Dashboard And Emails Automate'!$G3942,Database!$H:$N,3,0)),"")</f>
        <v/>
      </c>
      <c r="J3942" s="55" t="str">
        <f>IFERROR(IF($G3942="","",VLOOKUP('Dashboard And Emails Automate'!$G3942,Database!$H:$N,4,0)),"")</f>
        <v/>
      </c>
      <c r="K3942" s="55" t="str">
        <f>IFERROR(IF($G3942="","",VLOOKUP('Dashboard And Emails Automate'!$G3942,Database!$H:$N,5,0)),"")</f>
        <v/>
      </c>
      <c r="L3942" s="55" t="str">
        <f>IFERROR(IF($G3942="","",VLOOKUP('Dashboard And Emails Automate'!$G3942,Database!$H:$N,6,0)),"")</f>
        <v/>
      </c>
      <c r="M3942" s="55" t="str">
        <f>IFERROR(IF($G3942="","",VLOOKUP('Dashboard And Emails Automate'!$G3942,Database!$H:$N,7,0)),"")</f>
        <v/>
      </c>
      <c r="N3942" s="55" t="str">
        <f>IFERROR(IF(OR($B3942="",$B3942="(blank)"),"",VLOOKUP($B3942,'Email Marketing Raw Data'!$C:$O,6,0)),"")</f>
        <v/>
      </c>
      <c r="O3942" s="55" t="str">
        <f>IFERROR(IF(OR($B3942="",$B3942="(blank)"),"",VLOOKUP($B3942,'Email Marketing Raw Data'!$C:$O,7,0)),"")</f>
        <v/>
      </c>
      <c r="P3942" s="55" t="str">
        <f>IFERROR(IF(OR($B3942="",$B3942="(blank)"),"",VLOOKUP($B3942,'Email Marketing Raw Data'!$C:$O,8,0)),"")</f>
        <v/>
      </c>
      <c r="Q3942" s="62" t="str">
        <f>IFERROR(IF(OR($B3942="",$B3942="(blank)"),"",VLOOKUP($B3942,'Email Marketing Raw Data'!$C:$O,9,0)),"")</f>
        <v/>
      </c>
    </row>
    <row r="3943" spans="4:17" ht="12.75" customHeight="1" x14ac:dyDescent="0.2">
      <c r="D3943" s="58" t="str">
        <f>IFERROR(IF(F3943&lt;&gt;"pending","",IF(OR($B3943="",$B3943="(blank)"),"",VLOOKUP($B3943,'Email Marketing Raw Data'!$C:$O,10,0))),"")</f>
        <v/>
      </c>
      <c r="E3943" s="59" t="str">
        <f>IFERROR(IF(F3943&lt;&gt;"pending","",IF(OR($B3943="",$B3943="(blank)"),"",VLOOKUP($B3943,'Email Marketing Raw Data'!$C:$O,11,0))),"")</f>
        <v/>
      </c>
      <c r="F3943" s="54" t="str">
        <f>IFERROR(IF(OR($B3943="",$B3943="(blank)"),"",VLOOKUP($B3943,'Email Marketing Raw Data'!$C:$O,13,0)),"")</f>
        <v/>
      </c>
      <c r="G3943" s="55" t="str">
        <f>IFERROR(IF(OR($B3943="",$B3943="(blank)"),"",VLOOKUP($B3943,'Email Marketing Raw Data'!$C:$O,4,0)),"")</f>
        <v/>
      </c>
      <c r="H3943" s="55" t="str">
        <f>IFERROR(IF(OR($B3943="",$B3943="(blank)"),"",VLOOKUP($B3943,'Email Marketing Raw Data'!$C:$O,5,0)),"")</f>
        <v/>
      </c>
      <c r="I3943" s="55" t="str">
        <f>IFERROR(IF($G3943="","",VLOOKUP('Dashboard And Emails Automate'!$G3943,Database!$H:$N,3,0)),"")</f>
        <v/>
      </c>
      <c r="J3943" s="55" t="str">
        <f>IFERROR(IF($G3943="","",VLOOKUP('Dashboard And Emails Automate'!$G3943,Database!$H:$N,4,0)),"")</f>
        <v/>
      </c>
      <c r="K3943" s="55" t="str">
        <f>IFERROR(IF($G3943="","",VLOOKUP('Dashboard And Emails Automate'!$G3943,Database!$H:$N,5,0)),"")</f>
        <v/>
      </c>
      <c r="L3943" s="55" t="str">
        <f>IFERROR(IF($G3943="","",VLOOKUP('Dashboard And Emails Automate'!$G3943,Database!$H:$N,6,0)),"")</f>
        <v/>
      </c>
      <c r="M3943" s="55" t="str">
        <f>IFERROR(IF($G3943="","",VLOOKUP('Dashboard And Emails Automate'!$G3943,Database!$H:$N,7,0)),"")</f>
        <v/>
      </c>
      <c r="N3943" s="55" t="str">
        <f>IFERROR(IF(OR($B3943="",$B3943="(blank)"),"",VLOOKUP($B3943,'Email Marketing Raw Data'!$C:$O,6,0)),"")</f>
        <v/>
      </c>
      <c r="O3943" s="55" t="str">
        <f>IFERROR(IF(OR($B3943="",$B3943="(blank)"),"",VLOOKUP($B3943,'Email Marketing Raw Data'!$C:$O,7,0)),"")</f>
        <v/>
      </c>
      <c r="P3943" s="55" t="str">
        <f>IFERROR(IF(OR($B3943="",$B3943="(blank)"),"",VLOOKUP($B3943,'Email Marketing Raw Data'!$C:$O,8,0)),"")</f>
        <v/>
      </c>
      <c r="Q3943" s="62" t="str">
        <f>IFERROR(IF(OR($B3943="",$B3943="(blank)"),"",VLOOKUP($B3943,'Email Marketing Raw Data'!$C:$O,9,0)),"")</f>
        <v/>
      </c>
    </row>
    <row r="3944" spans="4:17" ht="12.75" customHeight="1" x14ac:dyDescent="0.2">
      <c r="D3944" s="58" t="str">
        <f>IFERROR(IF(F3944&lt;&gt;"pending","",IF(OR($B3944="",$B3944="(blank)"),"",VLOOKUP($B3944,'Email Marketing Raw Data'!$C:$O,10,0))),"")</f>
        <v/>
      </c>
      <c r="E3944" s="59" t="str">
        <f>IFERROR(IF(F3944&lt;&gt;"pending","",IF(OR($B3944="",$B3944="(blank)"),"",VLOOKUP($B3944,'Email Marketing Raw Data'!$C:$O,11,0))),"")</f>
        <v/>
      </c>
      <c r="F3944" s="54" t="str">
        <f>IFERROR(IF(OR($B3944="",$B3944="(blank)"),"",VLOOKUP($B3944,'Email Marketing Raw Data'!$C:$O,13,0)),"")</f>
        <v/>
      </c>
      <c r="G3944" s="55" t="str">
        <f>IFERROR(IF(OR($B3944="",$B3944="(blank)"),"",VLOOKUP($B3944,'Email Marketing Raw Data'!$C:$O,4,0)),"")</f>
        <v/>
      </c>
      <c r="H3944" s="55" t="str">
        <f>IFERROR(IF(OR($B3944="",$B3944="(blank)"),"",VLOOKUP($B3944,'Email Marketing Raw Data'!$C:$O,5,0)),"")</f>
        <v/>
      </c>
      <c r="I3944" s="55" t="str">
        <f>IFERROR(IF($G3944="","",VLOOKUP('Dashboard And Emails Automate'!$G3944,Database!$H:$N,3,0)),"")</f>
        <v/>
      </c>
      <c r="J3944" s="55" t="str">
        <f>IFERROR(IF($G3944="","",VLOOKUP('Dashboard And Emails Automate'!$G3944,Database!$H:$N,4,0)),"")</f>
        <v/>
      </c>
      <c r="K3944" s="55" t="str">
        <f>IFERROR(IF($G3944="","",VLOOKUP('Dashboard And Emails Automate'!$G3944,Database!$H:$N,5,0)),"")</f>
        <v/>
      </c>
      <c r="L3944" s="55" t="str">
        <f>IFERROR(IF($G3944="","",VLOOKUP('Dashboard And Emails Automate'!$G3944,Database!$H:$N,6,0)),"")</f>
        <v/>
      </c>
      <c r="M3944" s="55" t="str">
        <f>IFERROR(IF($G3944="","",VLOOKUP('Dashboard And Emails Automate'!$G3944,Database!$H:$N,7,0)),"")</f>
        <v/>
      </c>
      <c r="N3944" s="55" t="str">
        <f>IFERROR(IF(OR($B3944="",$B3944="(blank)"),"",VLOOKUP($B3944,'Email Marketing Raw Data'!$C:$O,6,0)),"")</f>
        <v/>
      </c>
      <c r="O3944" s="55" t="str">
        <f>IFERROR(IF(OR($B3944="",$B3944="(blank)"),"",VLOOKUP($B3944,'Email Marketing Raw Data'!$C:$O,7,0)),"")</f>
        <v/>
      </c>
      <c r="P3944" s="55" t="str">
        <f>IFERROR(IF(OR($B3944="",$B3944="(blank)"),"",VLOOKUP($B3944,'Email Marketing Raw Data'!$C:$O,8,0)),"")</f>
        <v/>
      </c>
      <c r="Q3944" s="62" t="str">
        <f>IFERROR(IF(OR($B3944="",$B3944="(blank)"),"",VLOOKUP($B3944,'Email Marketing Raw Data'!$C:$O,9,0)),"")</f>
        <v/>
      </c>
    </row>
    <row r="3945" spans="4:17" ht="12.75" customHeight="1" x14ac:dyDescent="0.2">
      <c r="D3945" s="58" t="str">
        <f>IFERROR(IF(F3945&lt;&gt;"pending","",IF(OR($B3945="",$B3945="(blank)"),"",VLOOKUP($B3945,'Email Marketing Raw Data'!$C:$O,10,0))),"")</f>
        <v/>
      </c>
      <c r="E3945" s="59" t="str">
        <f>IFERROR(IF(F3945&lt;&gt;"pending","",IF(OR($B3945="",$B3945="(blank)"),"",VLOOKUP($B3945,'Email Marketing Raw Data'!$C:$O,11,0))),"")</f>
        <v/>
      </c>
      <c r="F3945" s="54" t="str">
        <f>IFERROR(IF(OR($B3945="",$B3945="(blank)"),"",VLOOKUP($B3945,'Email Marketing Raw Data'!$C:$O,13,0)),"")</f>
        <v/>
      </c>
      <c r="G3945" s="55" t="str">
        <f>IFERROR(IF(OR($B3945="",$B3945="(blank)"),"",VLOOKUP($B3945,'Email Marketing Raw Data'!$C:$O,4,0)),"")</f>
        <v/>
      </c>
      <c r="H3945" s="55" t="str">
        <f>IFERROR(IF(OR($B3945="",$B3945="(blank)"),"",VLOOKUP($B3945,'Email Marketing Raw Data'!$C:$O,5,0)),"")</f>
        <v/>
      </c>
      <c r="I3945" s="55" t="str">
        <f>IFERROR(IF($G3945="","",VLOOKUP('Dashboard And Emails Automate'!$G3945,Database!$H:$N,3,0)),"")</f>
        <v/>
      </c>
      <c r="J3945" s="55" t="str">
        <f>IFERROR(IF($G3945="","",VLOOKUP('Dashboard And Emails Automate'!$G3945,Database!$H:$N,4,0)),"")</f>
        <v/>
      </c>
      <c r="K3945" s="55" t="str">
        <f>IFERROR(IF($G3945="","",VLOOKUP('Dashboard And Emails Automate'!$G3945,Database!$H:$N,5,0)),"")</f>
        <v/>
      </c>
      <c r="L3945" s="55" t="str">
        <f>IFERROR(IF($G3945="","",VLOOKUP('Dashboard And Emails Automate'!$G3945,Database!$H:$N,6,0)),"")</f>
        <v/>
      </c>
      <c r="M3945" s="55" t="str">
        <f>IFERROR(IF($G3945="","",VLOOKUP('Dashboard And Emails Automate'!$G3945,Database!$H:$N,7,0)),"")</f>
        <v/>
      </c>
      <c r="N3945" s="55" t="str">
        <f>IFERROR(IF(OR($B3945="",$B3945="(blank)"),"",VLOOKUP($B3945,'Email Marketing Raw Data'!$C:$O,6,0)),"")</f>
        <v/>
      </c>
      <c r="O3945" s="55" t="str">
        <f>IFERROR(IF(OR($B3945="",$B3945="(blank)"),"",VLOOKUP($B3945,'Email Marketing Raw Data'!$C:$O,7,0)),"")</f>
        <v/>
      </c>
      <c r="P3945" s="55" t="str">
        <f>IFERROR(IF(OR($B3945="",$B3945="(blank)"),"",VLOOKUP($B3945,'Email Marketing Raw Data'!$C:$O,8,0)),"")</f>
        <v/>
      </c>
      <c r="Q3945" s="62" t="str">
        <f>IFERROR(IF(OR($B3945="",$B3945="(blank)"),"",VLOOKUP($B3945,'Email Marketing Raw Data'!$C:$O,9,0)),"")</f>
        <v/>
      </c>
    </row>
    <row r="3946" spans="4:17" ht="12.75" customHeight="1" x14ac:dyDescent="0.2">
      <c r="D3946" s="58" t="str">
        <f>IFERROR(IF(F3946&lt;&gt;"pending","",IF(OR($B3946="",$B3946="(blank)"),"",VLOOKUP($B3946,'Email Marketing Raw Data'!$C:$O,10,0))),"")</f>
        <v/>
      </c>
      <c r="E3946" s="59" t="str">
        <f>IFERROR(IF(F3946&lt;&gt;"pending","",IF(OR($B3946="",$B3946="(blank)"),"",VLOOKUP($B3946,'Email Marketing Raw Data'!$C:$O,11,0))),"")</f>
        <v/>
      </c>
      <c r="F3946" s="54" t="str">
        <f>IFERROR(IF(OR($B3946="",$B3946="(blank)"),"",VLOOKUP($B3946,'Email Marketing Raw Data'!$C:$O,13,0)),"")</f>
        <v/>
      </c>
      <c r="G3946" s="55" t="str">
        <f>IFERROR(IF(OR($B3946="",$B3946="(blank)"),"",VLOOKUP($B3946,'Email Marketing Raw Data'!$C:$O,4,0)),"")</f>
        <v/>
      </c>
      <c r="H3946" s="55" t="str">
        <f>IFERROR(IF(OR($B3946="",$B3946="(blank)"),"",VLOOKUP($B3946,'Email Marketing Raw Data'!$C:$O,5,0)),"")</f>
        <v/>
      </c>
      <c r="I3946" s="55" t="str">
        <f>IFERROR(IF($G3946="","",VLOOKUP('Dashboard And Emails Automate'!$G3946,Database!$H:$N,3,0)),"")</f>
        <v/>
      </c>
      <c r="J3946" s="55" t="str">
        <f>IFERROR(IF($G3946="","",VLOOKUP('Dashboard And Emails Automate'!$G3946,Database!$H:$N,4,0)),"")</f>
        <v/>
      </c>
      <c r="K3946" s="55" t="str">
        <f>IFERROR(IF($G3946="","",VLOOKUP('Dashboard And Emails Automate'!$G3946,Database!$H:$N,5,0)),"")</f>
        <v/>
      </c>
      <c r="L3946" s="55" t="str">
        <f>IFERROR(IF($G3946="","",VLOOKUP('Dashboard And Emails Automate'!$G3946,Database!$H:$N,6,0)),"")</f>
        <v/>
      </c>
      <c r="M3946" s="55" t="str">
        <f>IFERROR(IF($G3946="","",VLOOKUP('Dashboard And Emails Automate'!$G3946,Database!$H:$N,7,0)),"")</f>
        <v/>
      </c>
      <c r="N3946" s="55" t="str">
        <f>IFERROR(IF(OR($B3946="",$B3946="(blank)"),"",VLOOKUP($B3946,'Email Marketing Raw Data'!$C:$O,6,0)),"")</f>
        <v/>
      </c>
      <c r="O3946" s="55" t="str">
        <f>IFERROR(IF(OR($B3946="",$B3946="(blank)"),"",VLOOKUP($B3946,'Email Marketing Raw Data'!$C:$O,7,0)),"")</f>
        <v/>
      </c>
      <c r="P3946" s="55" t="str">
        <f>IFERROR(IF(OR($B3946="",$B3946="(blank)"),"",VLOOKUP($B3946,'Email Marketing Raw Data'!$C:$O,8,0)),"")</f>
        <v/>
      </c>
      <c r="Q3946" s="62" t="str">
        <f>IFERROR(IF(OR($B3946="",$B3946="(blank)"),"",VLOOKUP($B3946,'Email Marketing Raw Data'!$C:$O,9,0)),"")</f>
        <v/>
      </c>
    </row>
    <row r="3947" spans="4:17" ht="12.75" customHeight="1" x14ac:dyDescent="0.2">
      <c r="D3947" s="58" t="str">
        <f>IFERROR(IF(F3947&lt;&gt;"pending","",IF(OR($B3947="",$B3947="(blank)"),"",VLOOKUP($B3947,'Email Marketing Raw Data'!$C:$O,10,0))),"")</f>
        <v/>
      </c>
      <c r="E3947" s="59" t="str">
        <f>IFERROR(IF(F3947&lt;&gt;"pending","",IF(OR($B3947="",$B3947="(blank)"),"",VLOOKUP($B3947,'Email Marketing Raw Data'!$C:$O,11,0))),"")</f>
        <v/>
      </c>
      <c r="F3947" s="54" t="str">
        <f>IFERROR(IF(OR($B3947="",$B3947="(blank)"),"",VLOOKUP($B3947,'Email Marketing Raw Data'!$C:$O,13,0)),"")</f>
        <v/>
      </c>
      <c r="G3947" s="55" t="str">
        <f>IFERROR(IF(OR($B3947="",$B3947="(blank)"),"",VLOOKUP($B3947,'Email Marketing Raw Data'!$C:$O,4,0)),"")</f>
        <v/>
      </c>
      <c r="H3947" s="55" t="str">
        <f>IFERROR(IF(OR($B3947="",$B3947="(blank)"),"",VLOOKUP($B3947,'Email Marketing Raw Data'!$C:$O,5,0)),"")</f>
        <v/>
      </c>
      <c r="I3947" s="55" t="str">
        <f>IFERROR(IF($G3947="","",VLOOKUP('Dashboard And Emails Automate'!$G3947,Database!$H:$N,3,0)),"")</f>
        <v/>
      </c>
      <c r="J3947" s="55" t="str">
        <f>IFERROR(IF($G3947="","",VLOOKUP('Dashboard And Emails Automate'!$G3947,Database!$H:$N,4,0)),"")</f>
        <v/>
      </c>
      <c r="K3947" s="55" t="str">
        <f>IFERROR(IF($G3947="","",VLOOKUP('Dashboard And Emails Automate'!$G3947,Database!$H:$N,5,0)),"")</f>
        <v/>
      </c>
      <c r="L3947" s="55" t="str">
        <f>IFERROR(IF($G3947="","",VLOOKUP('Dashboard And Emails Automate'!$G3947,Database!$H:$N,6,0)),"")</f>
        <v/>
      </c>
      <c r="M3947" s="55" t="str">
        <f>IFERROR(IF($G3947="","",VLOOKUP('Dashboard And Emails Automate'!$G3947,Database!$H:$N,7,0)),"")</f>
        <v/>
      </c>
      <c r="N3947" s="55" t="str">
        <f>IFERROR(IF(OR($B3947="",$B3947="(blank)"),"",VLOOKUP($B3947,'Email Marketing Raw Data'!$C:$O,6,0)),"")</f>
        <v/>
      </c>
      <c r="O3947" s="55" t="str">
        <f>IFERROR(IF(OR($B3947="",$B3947="(blank)"),"",VLOOKUP($B3947,'Email Marketing Raw Data'!$C:$O,7,0)),"")</f>
        <v/>
      </c>
      <c r="P3947" s="55" t="str">
        <f>IFERROR(IF(OR($B3947="",$B3947="(blank)"),"",VLOOKUP($B3947,'Email Marketing Raw Data'!$C:$O,8,0)),"")</f>
        <v/>
      </c>
      <c r="Q3947" s="62" t="str">
        <f>IFERROR(IF(OR($B3947="",$B3947="(blank)"),"",VLOOKUP($B3947,'Email Marketing Raw Data'!$C:$O,9,0)),"")</f>
        <v/>
      </c>
    </row>
    <row r="3948" spans="4:17" ht="12.75" customHeight="1" x14ac:dyDescent="0.2">
      <c r="D3948" s="58" t="str">
        <f>IFERROR(IF(F3948&lt;&gt;"pending","",IF(OR($B3948="",$B3948="(blank)"),"",VLOOKUP($B3948,'Email Marketing Raw Data'!$C:$O,10,0))),"")</f>
        <v/>
      </c>
      <c r="E3948" s="59" t="str">
        <f>IFERROR(IF(F3948&lt;&gt;"pending","",IF(OR($B3948="",$B3948="(blank)"),"",VLOOKUP($B3948,'Email Marketing Raw Data'!$C:$O,11,0))),"")</f>
        <v/>
      </c>
      <c r="F3948" s="54" t="str">
        <f>IFERROR(IF(OR($B3948="",$B3948="(blank)"),"",VLOOKUP($B3948,'Email Marketing Raw Data'!$C:$O,13,0)),"")</f>
        <v/>
      </c>
      <c r="G3948" s="55" t="str">
        <f>IFERROR(IF(OR($B3948="",$B3948="(blank)"),"",VLOOKUP($B3948,'Email Marketing Raw Data'!$C:$O,4,0)),"")</f>
        <v/>
      </c>
      <c r="H3948" s="55" t="str">
        <f>IFERROR(IF(OR($B3948="",$B3948="(blank)"),"",VLOOKUP($B3948,'Email Marketing Raw Data'!$C:$O,5,0)),"")</f>
        <v/>
      </c>
      <c r="I3948" s="55" t="str">
        <f>IFERROR(IF($G3948="","",VLOOKUP('Dashboard And Emails Automate'!$G3948,Database!$H:$N,3,0)),"")</f>
        <v/>
      </c>
      <c r="J3948" s="55" t="str">
        <f>IFERROR(IF($G3948="","",VLOOKUP('Dashboard And Emails Automate'!$G3948,Database!$H:$N,4,0)),"")</f>
        <v/>
      </c>
      <c r="K3948" s="55" t="str">
        <f>IFERROR(IF($G3948="","",VLOOKUP('Dashboard And Emails Automate'!$G3948,Database!$H:$N,5,0)),"")</f>
        <v/>
      </c>
      <c r="L3948" s="55" t="str">
        <f>IFERROR(IF($G3948="","",VLOOKUP('Dashboard And Emails Automate'!$G3948,Database!$H:$N,6,0)),"")</f>
        <v/>
      </c>
      <c r="M3948" s="55" t="str">
        <f>IFERROR(IF($G3948="","",VLOOKUP('Dashboard And Emails Automate'!$G3948,Database!$H:$N,7,0)),"")</f>
        <v/>
      </c>
      <c r="N3948" s="55" t="str">
        <f>IFERROR(IF(OR($B3948="",$B3948="(blank)"),"",VLOOKUP($B3948,'Email Marketing Raw Data'!$C:$O,6,0)),"")</f>
        <v/>
      </c>
      <c r="O3948" s="55" t="str">
        <f>IFERROR(IF(OR($B3948="",$B3948="(blank)"),"",VLOOKUP($B3948,'Email Marketing Raw Data'!$C:$O,7,0)),"")</f>
        <v/>
      </c>
      <c r="P3948" s="55" t="str">
        <f>IFERROR(IF(OR($B3948="",$B3948="(blank)"),"",VLOOKUP($B3948,'Email Marketing Raw Data'!$C:$O,8,0)),"")</f>
        <v/>
      </c>
      <c r="Q3948" s="62" t="str">
        <f>IFERROR(IF(OR($B3948="",$B3948="(blank)"),"",VLOOKUP($B3948,'Email Marketing Raw Data'!$C:$O,9,0)),"")</f>
        <v/>
      </c>
    </row>
    <row r="3949" spans="4:17" ht="12.75" customHeight="1" x14ac:dyDescent="0.2">
      <c r="D3949" s="58" t="str">
        <f>IFERROR(IF(F3949&lt;&gt;"pending","",IF(OR($B3949="",$B3949="(blank)"),"",VLOOKUP($B3949,'Email Marketing Raw Data'!$C:$O,10,0))),"")</f>
        <v/>
      </c>
      <c r="E3949" s="59" t="str">
        <f>IFERROR(IF(F3949&lt;&gt;"pending","",IF(OR($B3949="",$B3949="(blank)"),"",VLOOKUP($B3949,'Email Marketing Raw Data'!$C:$O,11,0))),"")</f>
        <v/>
      </c>
      <c r="F3949" s="54" t="str">
        <f>IFERROR(IF(OR($B3949="",$B3949="(blank)"),"",VLOOKUP($B3949,'Email Marketing Raw Data'!$C:$O,13,0)),"")</f>
        <v/>
      </c>
      <c r="G3949" s="55" t="str">
        <f>IFERROR(IF(OR($B3949="",$B3949="(blank)"),"",VLOOKUP($B3949,'Email Marketing Raw Data'!$C:$O,4,0)),"")</f>
        <v/>
      </c>
      <c r="H3949" s="55" t="str">
        <f>IFERROR(IF(OR($B3949="",$B3949="(blank)"),"",VLOOKUP($B3949,'Email Marketing Raw Data'!$C:$O,5,0)),"")</f>
        <v/>
      </c>
      <c r="I3949" s="55" t="str">
        <f>IFERROR(IF($G3949="","",VLOOKUP('Dashboard And Emails Automate'!$G3949,Database!$H:$N,3,0)),"")</f>
        <v/>
      </c>
      <c r="J3949" s="55" t="str">
        <f>IFERROR(IF($G3949="","",VLOOKUP('Dashboard And Emails Automate'!$G3949,Database!$H:$N,4,0)),"")</f>
        <v/>
      </c>
      <c r="K3949" s="55" t="str">
        <f>IFERROR(IF($G3949="","",VLOOKUP('Dashboard And Emails Automate'!$G3949,Database!$H:$N,5,0)),"")</f>
        <v/>
      </c>
      <c r="L3949" s="55" t="str">
        <f>IFERROR(IF($G3949="","",VLOOKUP('Dashboard And Emails Automate'!$G3949,Database!$H:$N,6,0)),"")</f>
        <v/>
      </c>
      <c r="M3949" s="55" t="str">
        <f>IFERROR(IF($G3949="","",VLOOKUP('Dashboard And Emails Automate'!$G3949,Database!$H:$N,7,0)),"")</f>
        <v/>
      </c>
      <c r="N3949" s="55" t="str">
        <f>IFERROR(IF(OR($B3949="",$B3949="(blank)"),"",VLOOKUP($B3949,'Email Marketing Raw Data'!$C:$O,6,0)),"")</f>
        <v/>
      </c>
      <c r="O3949" s="55" t="str">
        <f>IFERROR(IF(OR($B3949="",$B3949="(blank)"),"",VLOOKUP($B3949,'Email Marketing Raw Data'!$C:$O,7,0)),"")</f>
        <v/>
      </c>
      <c r="P3949" s="55" t="str">
        <f>IFERROR(IF(OR($B3949="",$B3949="(blank)"),"",VLOOKUP($B3949,'Email Marketing Raw Data'!$C:$O,8,0)),"")</f>
        <v/>
      </c>
      <c r="Q3949" s="62" t="str">
        <f>IFERROR(IF(OR($B3949="",$B3949="(blank)"),"",VLOOKUP($B3949,'Email Marketing Raw Data'!$C:$O,9,0)),"")</f>
        <v/>
      </c>
    </row>
    <row r="3950" spans="4:17" ht="12.75" customHeight="1" x14ac:dyDescent="0.2">
      <c r="D3950" s="58" t="str">
        <f>IFERROR(IF(F3950&lt;&gt;"pending","",IF(OR($B3950="",$B3950="(blank)"),"",VLOOKUP($B3950,'Email Marketing Raw Data'!$C:$O,10,0))),"")</f>
        <v/>
      </c>
      <c r="E3950" s="59" t="str">
        <f>IFERROR(IF(F3950&lt;&gt;"pending","",IF(OR($B3950="",$B3950="(blank)"),"",VLOOKUP($B3950,'Email Marketing Raw Data'!$C:$O,11,0))),"")</f>
        <v/>
      </c>
      <c r="F3950" s="54" t="str">
        <f>IFERROR(IF(OR($B3950="",$B3950="(blank)"),"",VLOOKUP($B3950,'Email Marketing Raw Data'!$C:$O,13,0)),"")</f>
        <v/>
      </c>
      <c r="G3950" s="55" t="str">
        <f>IFERROR(IF(OR($B3950="",$B3950="(blank)"),"",VLOOKUP($B3950,'Email Marketing Raw Data'!$C:$O,4,0)),"")</f>
        <v/>
      </c>
      <c r="H3950" s="55" t="str">
        <f>IFERROR(IF(OR($B3950="",$B3950="(blank)"),"",VLOOKUP($B3950,'Email Marketing Raw Data'!$C:$O,5,0)),"")</f>
        <v/>
      </c>
      <c r="I3950" s="55" t="str">
        <f>IFERROR(IF($G3950="","",VLOOKUP('Dashboard And Emails Automate'!$G3950,Database!$H:$N,3,0)),"")</f>
        <v/>
      </c>
      <c r="J3950" s="55" t="str">
        <f>IFERROR(IF($G3950="","",VLOOKUP('Dashboard And Emails Automate'!$G3950,Database!$H:$N,4,0)),"")</f>
        <v/>
      </c>
      <c r="K3950" s="55" t="str">
        <f>IFERROR(IF($G3950="","",VLOOKUP('Dashboard And Emails Automate'!$G3950,Database!$H:$N,5,0)),"")</f>
        <v/>
      </c>
      <c r="L3950" s="55" t="str">
        <f>IFERROR(IF($G3950="","",VLOOKUP('Dashboard And Emails Automate'!$G3950,Database!$H:$N,6,0)),"")</f>
        <v/>
      </c>
      <c r="M3950" s="55" t="str">
        <f>IFERROR(IF($G3950="","",VLOOKUP('Dashboard And Emails Automate'!$G3950,Database!$H:$N,7,0)),"")</f>
        <v/>
      </c>
      <c r="N3950" s="55" t="str">
        <f>IFERROR(IF(OR($B3950="",$B3950="(blank)"),"",VLOOKUP($B3950,'Email Marketing Raw Data'!$C:$O,6,0)),"")</f>
        <v/>
      </c>
      <c r="O3950" s="55" t="str">
        <f>IFERROR(IF(OR($B3950="",$B3950="(blank)"),"",VLOOKUP($B3950,'Email Marketing Raw Data'!$C:$O,7,0)),"")</f>
        <v/>
      </c>
      <c r="P3950" s="55" t="str">
        <f>IFERROR(IF(OR($B3950="",$B3950="(blank)"),"",VLOOKUP($B3950,'Email Marketing Raw Data'!$C:$O,8,0)),"")</f>
        <v/>
      </c>
      <c r="Q3950" s="62" t="str">
        <f>IFERROR(IF(OR($B3950="",$B3950="(blank)"),"",VLOOKUP($B3950,'Email Marketing Raw Data'!$C:$O,9,0)),"")</f>
        <v/>
      </c>
    </row>
    <row r="3951" spans="4:17" ht="12.75" customHeight="1" x14ac:dyDescent="0.2">
      <c r="D3951" s="58" t="str">
        <f>IFERROR(IF(F3951&lt;&gt;"pending","",IF(OR($B3951="",$B3951="(blank)"),"",VLOOKUP($B3951,'Email Marketing Raw Data'!$C:$O,10,0))),"")</f>
        <v/>
      </c>
      <c r="E3951" s="59" t="str">
        <f>IFERROR(IF(F3951&lt;&gt;"pending","",IF(OR($B3951="",$B3951="(blank)"),"",VLOOKUP($B3951,'Email Marketing Raw Data'!$C:$O,11,0))),"")</f>
        <v/>
      </c>
      <c r="F3951" s="54" t="str">
        <f>IFERROR(IF(OR($B3951="",$B3951="(blank)"),"",VLOOKUP($B3951,'Email Marketing Raw Data'!$C:$O,13,0)),"")</f>
        <v/>
      </c>
      <c r="G3951" s="55" t="str">
        <f>IFERROR(IF(OR($B3951="",$B3951="(blank)"),"",VLOOKUP($B3951,'Email Marketing Raw Data'!$C:$O,4,0)),"")</f>
        <v/>
      </c>
      <c r="H3951" s="55" t="str">
        <f>IFERROR(IF(OR($B3951="",$B3951="(blank)"),"",VLOOKUP($B3951,'Email Marketing Raw Data'!$C:$O,5,0)),"")</f>
        <v/>
      </c>
      <c r="I3951" s="55" t="str">
        <f>IFERROR(IF($G3951="","",VLOOKUP('Dashboard And Emails Automate'!$G3951,Database!$H:$N,3,0)),"")</f>
        <v/>
      </c>
      <c r="J3951" s="55" t="str">
        <f>IFERROR(IF($G3951="","",VLOOKUP('Dashboard And Emails Automate'!$G3951,Database!$H:$N,4,0)),"")</f>
        <v/>
      </c>
      <c r="K3951" s="55" t="str">
        <f>IFERROR(IF($G3951="","",VLOOKUP('Dashboard And Emails Automate'!$G3951,Database!$H:$N,5,0)),"")</f>
        <v/>
      </c>
      <c r="L3951" s="55" t="str">
        <f>IFERROR(IF($G3951="","",VLOOKUP('Dashboard And Emails Automate'!$G3951,Database!$H:$N,6,0)),"")</f>
        <v/>
      </c>
      <c r="M3951" s="55" t="str">
        <f>IFERROR(IF($G3951="","",VLOOKUP('Dashboard And Emails Automate'!$G3951,Database!$H:$N,7,0)),"")</f>
        <v/>
      </c>
      <c r="N3951" s="55" t="str">
        <f>IFERROR(IF(OR($B3951="",$B3951="(blank)"),"",VLOOKUP($B3951,'Email Marketing Raw Data'!$C:$O,6,0)),"")</f>
        <v/>
      </c>
      <c r="O3951" s="55" t="str">
        <f>IFERROR(IF(OR($B3951="",$B3951="(blank)"),"",VLOOKUP($B3951,'Email Marketing Raw Data'!$C:$O,7,0)),"")</f>
        <v/>
      </c>
      <c r="P3951" s="55" t="str">
        <f>IFERROR(IF(OR($B3951="",$B3951="(blank)"),"",VLOOKUP($B3951,'Email Marketing Raw Data'!$C:$O,8,0)),"")</f>
        <v/>
      </c>
      <c r="Q3951" s="62" t="str">
        <f>IFERROR(IF(OR($B3951="",$B3951="(blank)"),"",VLOOKUP($B3951,'Email Marketing Raw Data'!$C:$O,9,0)),"")</f>
        <v/>
      </c>
    </row>
    <row r="3952" spans="4:17" ht="12.75" customHeight="1" x14ac:dyDescent="0.2">
      <c r="D3952" s="58" t="str">
        <f>IFERROR(IF(F3952&lt;&gt;"pending","",IF(OR($B3952="",$B3952="(blank)"),"",VLOOKUP($B3952,'Email Marketing Raw Data'!$C:$O,10,0))),"")</f>
        <v/>
      </c>
      <c r="E3952" s="59" t="str">
        <f>IFERROR(IF(F3952&lt;&gt;"pending","",IF(OR($B3952="",$B3952="(blank)"),"",VLOOKUP($B3952,'Email Marketing Raw Data'!$C:$O,11,0))),"")</f>
        <v/>
      </c>
      <c r="F3952" s="54" t="str">
        <f>IFERROR(IF(OR($B3952="",$B3952="(blank)"),"",VLOOKUP($B3952,'Email Marketing Raw Data'!$C:$O,13,0)),"")</f>
        <v/>
      </c>
      <c r="G3952" s="55" t="str">
        <f>IFERROR(IF(OR($B3952="",$B3952="(blank)"),"",VLOOKUP($B3952,'Email Marketing Raw Data'!$C:$O,4,0)),"")</f>
        <v/>
      </c>
      <c r="H3952" s="55" t="str">
        <f>IFERROR(IF(OR($B3952="",$B3952="(blank)"),"",VLOOKUP($B3952,'Email Marketing Raw Data'!$C:$O,5,0)),"")</f>
        <v/>
      </c>
      <c r="I3952" s="55" t="str">
        <f>IFERROR(IF($G3952="","",VLOOKUP('Dashboard And Emails Automate'!$G3952,Database!$H:$N,3,0)),"")</f>
        <v/>
      </c>
      <c r="J3952" s="55" t="str">
        <f>IFERROR(IF($G3952="","",VLOOKUP('Dashboard And Emails Automate'!$G3952,Database!$H:$N,4,0)),"")</f>
        <v/>
      </c>
      <c r="K3952" s="55" t="str">
        <f>IFERROR(IF($G3952="","",VLOOKUP('Dashboard And Emails Automate'!$G3952,Database!$H:$N,5,0)),"")</f>
        <v/>
      </c>
      <c r="L3952" s="55" t="str">
        <f>IFERROR(IF($G3952="","",VLOOKUP('Dashboard And Emails Automate'!$G3952,Database!$H:$N,6,0)),"")</f>
        <v/>
      </c>
      <c r="M3952" s="55" t="str">
        <f>IFERROR(IF($G3952="","",VLOOKUP('Dashboard And Emails Automate'!$G3952,Database!$H:$N,7,0)),"")</f>
        <v/>
      </c>
      <c r="N3952" s="55" t="str">
        <f>IFERROR(IF(OR($B3952="",$B3952="(blank)"),"",VLOOKUP($B3952,'Email Marketing Raw Data'!$C:$O,6,0)),"")</f>
        <v/>
      </c>
      <c r="O3952" s="55" t="str">
        <f>IFERROR(IF(OR($B3952="",$B3952="(blank)"),"",VLOOKUP($B3952,'Email Marketing Raw Data'!$C:$O,7,0)),"")</f>
        <v/>
      </c>
      <c r="P3952" s="55" t="str">
        <f>IFERROR(IF(OR($B3952="",$B3952="(blank)"),"",VLOOKUP($B3952,'Email Marketing Raw Data'!$C:$O,8,0)),"")</f>
        <v/>
      </c>
      <c r="Q3952" s="62" t="str">
        <f>IFERROR(IF(OR($B3952="",$B3952="(blank)"),"",VLOOKUP($B3952,'Email Marketing Raw Data'!$C:$O,9,0)),"")</f>
        <v/>
      </c>
    </row>
    <row r="3953" spans="4:17" ht="12.75" customHeight="1" x14ac:dyDescent="0.2">
      <c r="D3953" s="58" t="str">
        <f>IFERROR(IF(F3953&lt;&gt;"pending","",IF(OR($B3953="",$B3953="(blank)"),"",VLOOKUP($B3953,'Email Marketing Raw Data'!$C:$O,10,0))),"")</f>
        <v/>
      </c>
      <c r="E3953" s="59" t="str">
        <f>IFERROR(IF(F3953&lt;&gt;"pending","",IF(OR($B3953="",$B3953="(blank)"),"",VLOOKUP($B3953,'Email Marketing Raw Data'!$C:$O,11,0))),"")</f>
        <v/>
      </c>
      <c r="F3953" s="54" t="str">
        <f>IFERROR(IF(OR($B3953="",$B3953="(blank)"),"",VLOOKUP($B3953,'Email Marketing Raw Data'!$C:$O,13,0)),"")</f>
        <v/>
      </c>
      <c r="G3953" s="55" t="str">
        <f>IFERROR(IF(OR($B3953="",$B3953="(blank)"),"",VLOOKUP($B3953,'Email Marketing Raw Data'!$C:$O,4,0)),"")</f>
        <v/>
      </c>
      <c r="H3953" s="55" t="str">
        <f>IFERROR(IF(OR($B3953="",$B3953="(blank)"),"",VLOOKUP($B3953,'Email Marketing Raw Data'!$C:$O,5,0)),"")</f>
        <v/>
      </c>
      <c r="I3953" s="55" t="str">
        <f>IFERROR(IF($G3953="","",VLOOKUP('Dashboard And Emails Automate'!$G3953,Database!$H:$N,3,0)),"")</f>
        <v/>
      </c>
      <c r="J3953" s="55" t="str">
        <f>IFERROR(IF($G3953="","",VLOOKUP('Dashboard And Emails Automate'!$G3953,Database!$H:$N,4,0)),"")</f>
        <v/>
      </c>
      <c r="K3953" s="55" t="str">
        <f>IFERROR(IF($G3953="","",VLOOKUP('Dashboard And Emails Automate'!$G3953,Database!$H:$N,5,0)),"")</f>
        <v/>
      </c>
      <c r="L3953" s="55" t="str">
        <f>IFERROR(IF($G3953="","",VLOOKUP('Dashboard And Emails Automate'!$G3953,Database!$H:$N,6,0)),"")</f>
        <v/>
      </c>
      <c r="M3953" s="55" t="str">
        <f>IFERROR(IF($G3953="","",VLOOKUP('Dashboard And Emails Automate'!$G3953,Database!$H:$N,7,0)),"")</f>
        <v/>
      </c>
      <c r="N3953" s="55" t="str">
        <f>IFERROR(IF(OR($B3953="",$B3953="(blank)"),"",VLOOKUP($B3953,'Email Marketing Raw Data'!$C:$O,6,0)),"")</f>
        <v/>
      </c>
      <c r="O3953" s="55" t="str">
        <f>IFERROR(IF(OR($B3953="",$B3953="(blank)"),"",VLOOKUP($B3953,'Email Marketing Raw Data'!$C:$O,7,0)),"")</f>
        <v/>
      </c>
      <c r="P3953" s="55" t="str">
        <f>IFERROR(IF(OR($B3953="",$B3953="(blank)"),"",VLOOKUP($B3953,'Email Marketing Raw Data'!$C:$O,8,0)),"")</f>
        <v/>
      </c>
      <c r="Q3953" s="62" t="str">
        <f>IFERROR(IF(OR($B3953="",$B3953="(blank)"),"",VLOOKUP($B3953,'Email Marketing Raw Data'!$C:$O,9,0)),"")</f>
        <v/>
      </c>
    </row>
    <row r="3954" spans="4:17" ht="12.75" customHeight="1" x14ac:dyDescent="0.2">
      <c r="D3954" s="58" t="str">
        <f>IFERROR(IF(F3954&lt;&gt;"pending","",IF(OR($B3954="",$B3954="(blank)"),"",VLOOKUP($B3954,'Email Marketing Raw Data'!$C:$O,10,0))),"")</f>
        <v/>
      </c>
      <c r="E3954" s="59" t="str">
        <f>IFERROR(IF(F3954&lt;&gt;"pending","",IF(OR($B3954="",$B3954="(blank)"),"",VLOOKUP($B3954,'Email Marketing Raw Data'!$C:$O,11,0))),"")</f>
        <v/>
      </c>
      <c r="F3954" s="54" t="str">
        <f>IFERROR(IF(OR($B3954="",$B3954="(blank)"),"",VLOOKUP($B3954,'Email Marketing Raw Data'!$C:$O,13,0)),"")</f>
        <v/>
      </c>
      <c r="G3954" s="55" t="str">
        <f>IFERROR(IF(OR($B3954="",$B3954="(blank)"),"",VLOOKUP($B3954,'Email Marketing Raw Data'!$C:$O,4,0)),"")</f>
        <v/>
      </c>
      <c r="H3954" s="55" t="str">
        <f>IFERROR(IF(OR($B3954="",$B3954="(blank)"),"",VLOOKUP($B3954,'Email Marketing Raw Data'!$C:$O,5,0)),"")</f>
        <v/>
      </c>
      <c r="I3954" s="55" t="str">
        <f>IFERROR(IF($G3954="","",VLOOKUP('Dashboard And Emails Automate'!$G3954,Database!$H:$N,3,0)),"")</f>
        <v/>
      </c>
      <c r="J3954" s="55" t="str">
        <f>IFERROR(IF($G3954="","",VLOOKUP('Dashboard And Emails Automate'!$G3954,Database!$H:$N,4,0)),"")</f>
        <v/>
      </c>
      <c r="K3954" s="55" t="str">
        <f>IFERROR(IF($G3954="","",VLOOKUP('Dashboard And Emails Automate'!$G3954,Database!$H:$N,5,0)),"")</f>
        <v/>
      </c>
      <c r="L3954" s="55" t="str">
        <f>IFERROR(IF($G3954="","",VLOOKUP('Dashboard And Emails Automate'!$G3954,Database!$H:$N,6,0)),"")</f>
        <v/>
      </c>
      <c r="M3954" s="55" t="str">
        <f>IFERROR(IF($G3954="","",VLOOKUP('Dashboard And Emails Automate'!$G3954,Database!$H:$N,7,0)),"")</f>
        <v/>
      </c>
      <c r="N3954" s="55" t="str">
        <f>IFERROR(IF(OR($B3954="",$B3954="(blank)"),"",VLOOKUP($B3954,'Email Marketing Raw Data'!$C:$O,6,0)),"")</f>
        <v/>
      </c>
      <c r="O3954" s="55" t="str">
        <f>IFERROR(IF(OR($B3954="",$B3954="(blank)"),"",VLOOKUP($B3954,'Email Marketing Raw Data'!$C:$O,7,0)),"")</f>
        <v/>
      </c>
      <c r="P3954" s="55" t="str">
        <f>IFERROR(IF(OR($B3954="",$B3954="(blank)"),"",VLOOKUP($B3954,'Email Marketing Raw Data'!$C:$O,8,0)),"")</f>
        <v/>
      </c>
      <c r="Q3954" s="62" t="str">
        <f>IFERROR(IF(OR($B3954="",$B3954="(blank)"),"",VLOOKUP($B3954,'Email Marketing Raw Data'!$C:$O,9,0)),"")</f>
        <v/>
      </c>
    </row>
    <row r="3955" spans="4:17" ht="12.75" customHeight="1" x14ac:dyDescent="0.2">
      <c r="D3955" s="58" t="str">
        <f>IFERROR(IF(F3955&lt;&gt;"pending","",IF(OR($B3955="",$B3955="(blank)"),"",VLOOKUP($B3955,'Email Marketing Raw Data'!$C:$O,10,0))),"")</f>
        <v/>
      </c>
      <c r="E3955" s="59" t="str">
        <f>IFERROR(IF(F3955&lt;&gt;"pending","",IF(OR($B3955="",$B3955="(blank)"),"",VLOOKUP($B3955,'Email Marketing Raw Data'!$C:$O,11,0))),"")</f>
        <v/>
      </c>
      <c r="F3955" s="54" t="str">
        <f>IFERROR(IF(OR($B3955="",$B3955="(blank)"),"",VLOOKUP($B3955,'Email Marketing Raw Data'!$C:$O,13,0)),"")</f>
        <v/>
      </c>
      <c r="G3955" s="55" t="str">
        <f>IFERROR(IF(OR($B3955="",$B3955="(blank)"),"",VLOOKUP($B3955,'Email Marketing Raw Data'!$C:$O,4,0)),"")</f>
        <v/>
      </c>
      <c r="H3955" s="55" t="str">
        <f>IFERROR(IF(OR($B3955="",$B3955="(blank)"),"",VLOOKUP($B3955,'Email Marketing Raw Data'!$C:$O,5,0)),"")</f>
        <v/>
      </c>
      <c r="I3955" s="55" t="str">
        <f>IFERROR(IF($G3955="","",VLOOKUP('Dashboard And Emails Automate'!$G3955,Database!$H:$N,3,0)),"")</f>
        <v/>
      </c>
      <c r="J3955" s="55" t="str">
        <f>IFERROR(IF($G3955="","",VLOOKUP('Dashboard And Emails Automate'!$G3955,Database!$H:$N,4,0)),"")</f>
        <v/>
      </c>
      <c r="K3955" s="55" t="str">
        <f>IFERROR(IF($G3955="","",VLOOKUP('Dashboard And Emails Automate'!$G3955,Database!$H:$N,5,0)),"")</f>
        <v/>
      </c>
      <c r="L3955" s="55" t="str">
        <f>IFERROR(IF($G3955="","",VLOOKUP('Dashboard And Emails Automate'!$G3955,Database!$H:$N,6,0)),"")</f>
        <v/>
      </c>
      <c r="M3955" s="55" t="str">
        <f>IFERROR(IF($G3955="","",VLOOKUP('Dashboard And Emails Automate'!$G3955,Database!$H:$N,7,0)),"")</f>
        <v/>
      </c>
      <c r="N3955" s="55" t="str">
        <f>IFERROR(IF(OR($B3955="",$B3955="(blank)"),"",VLOOKUP($B3955,'Email Marketing Raw Data'!$C:$O,6,0)),"")</f>
        <v/>
      </c>
      <c r="O3955" s="55" t="str">
        <f>IFERROR(IF(OR($B3955="",$B3955="(blank)"),"",VLOOKUP($B3955,'Email Marketing Raw Data'!$C:$O,7,0)),"")</f>
        <v/>
      </c>
      <c r="P3955" s="55" t="str">
        <f>IFERROR(IF(OR($B3955="",$B3955="(blank)"),"",VLOOKUP($B3955,'Email Marketing Raw Data'!$C:$O,8,0)),"")</f>
        <v/>
      </c>
      <c r="Q3955" s="62" t="str">
        <f>IFERROR(IF(OR($B3955="",$B3955="(blank)"),"",VLOOKUP($B3955,'Email Marketing Raw Data'!$C:$O,9,0)),"")</f>
        <v/>
      </c>
    </row>
    <row r="3956" spans="4:17" ht="12.75" customHeight="1" x14ac:dyDescent="0.2">
      <c r="D3956" s="58" t="str">
        <f>IFERROR(IF(F3956&lt;&gt;"pending","",IF(OR($B3956="",$B3956="(blank)"),"",VLOOKUP($B3956,'Email Marketing Raw Data'!$C:$O,10,0))),"")</f>
        <v/>
      </c>
      <c r="E3956" s="59" t="str">
        <f>IFERROR(IF(F3956&lt;&gt;"pending","",IF(OR($B3956="",$B3956="(blank)"),"",VLOOKUP($B3956,'Email Marketing Raw Data'!$C:$O,11,0))),"")</f>
        <v/>
      </c>
      <c r="F3956" s="54" t="str">
        <f>IFERROR(IF(OR($B3956="",$B3956="(blank)"),"",VLOOKUP($B3956,'Email Marketing Raw Data'!$C:$O,13,0)),"")</f>
        <v/>
      </c>
      <c r="G3956" s="55" t="str">
        <f>IFERROR(IF(OR($B3956="",$B3956="(blank)"),"",VLOOKUP($B3956,'Email Marketing Raw Data'!$C:$O,4,0)),"")</f>
        <v/>
      </c>
      <c r="H3956" s="55" t="str">
        <f>IFERROR(IF(OR($B3956="",$B3956="(blank)"),"",VLOOKUP($B3956,'Email Marketing Raw Data'!$C:$O,5,0)),"")</f>
        <v/>
      </c>
      <c r="I3956" s="55" t="str">
        <f>IFERROR(IF($G3956="","",VLOOKUP('Dashboard And Emails Automate'!$G3956,Database!$H:$N,3,0)),"")</f>
        <v/>
      </c>
      <c r="J3956" s="55" t="str">
        <f>IFERROR(IF($G3956="","",VLOOKUP('Dashboard And Emails Automate'!$G3956,Database!$H:$N,4,0)),"")</f>
        <v/>
      </c>
      <c r="K3956" s="55" t="str">
        <f>IFERROR(IF($G3956="","",VLOOKUP('Dashboard And Emails Automate'!$G3956,Database!$H:$N,5,0)),"")</f>
        <v/>
      </c>
      <c r="L3956" s="55" t="str">
        <f>IFERROR(IF($G3956="","",VLOOKUP('Dashboard And Emails Automate'!$G3956,Database!$H:$N,6,0)),"")</f>
        <v/>
      </c>
      <c r="M3956" s="55" t="str">
        <f>IFERROR(IF($G3956="","",VLOOKUP('Dashboard And Emails Automate'!$G3956,Database!$H:$N,7,0)),"")</f>
        <v/>
      </c>
      <c r="N3956" s="55" t="str">
        <f>IFERROR(IF(OR($B3956="",$B3956="(blank)"),"",VLOOKUP($B3956,'Email Marketing Raw Data'!$C:$O,6,0)),"")</f>
        <v/>
      </c>
      <c r="O3956" s="55" t="str">
        <f>IFERROR(IF(OR($B3956="",$B3956="(blank)"),"",VLOOKUP($B3956,'Email Marketing Raw Data'!$C:$O,7,0)),"")</f>
        <v/>
      </c>
      <c r="P3956" s="55" t="str">
        <f>IFERROR(IF(OR($B3956="",$B3956="(blank)"),"",VLOOKUP($B3956,'Email Marketing Raw Data'!$C:$O,8,0)),"")</f>
        <v/>
      </c>
      <c r="Q3956" s="62" t="str">
        <f>IFERROR(IF(OR($B3956="",$B3956="(blank)"),"",VLOOKUP($B3956,'Email Marketing Raw Data'!$C:$O,9,0)),"")</f>
        <v/>
      </c>
    </row>
    <row r="3957" spans="4:17" ht="12.75" customHeight="1" x14ac:dyDescent="0.2">
      <c r="D3957" s="58" t="str">
        <f>IFERROR(IF(F3957&lt;&gt;"pending","",IF(OR($B3957="",$B3957="(blank)"),"",VLOOKUP($B3957,'Email Marketing Raw Data'!$C:$O,10,0))),"")</f>
        <v/>
      </c>
      <c r="E3957" s="59" t="str">
        <f>IFERROR(IF(F3957&lt;&gt;"pending","",IF(OR($B3957="",$B3957="(blank)"),"",VLOOKUP($B3957,'Email Marketing Raw Data'!$C:$O,11,0))),"")</f>
        <v/>
      </c>
      <c r="F3957" s="54" t="str">
        <f>IFERROR(IF(OR($B3957="",$B3957="(blank)"),"",VLOOKUP($B3957,'Email Marketing Raw Data'!$C:$O,13,0)),"")</f>
        <v/>
      </c>
      <c r="G3957" s="55" t="str">
        <f>IFERROR(IF(OR($B3957="",$B3957="(blank)"),"",VLOOKUP($B3957,'Email Marketing Raw Data'!$C:$O,4,0)),"")</f>
        <v/>
      </c>
      <c r="H3957" s="55" t="str">
        <f>IFERROR(IF(OR($B3957="",$B3957="(blank)"),"",VLOOKUP($B3957,'Email Marketing Raw Data'!$C:$O,5,0)),"")</f>
        <v/>
      </c>
      <c r="I3957" s="55" t="str">
        <f>IFERROR(IF($G3957="","",VLOOKUP('Dashboard And Emails Automate'!$G3957,Database!$H:$N,3,0)),"")</f>
        <v/>
      </c>
      <c r="J3957" s="55" t="str">
        <f>IFERROR(IF($G3957="","",VLOOKUP('Dashboard And Emails Automate'!$G3957,Database!$H:$N,4,0)),"")</f>
        <v/>
      </c>
      <c r="K3957" s="55" t="str">
        <f>IFERROR(IF($G3957="","",VLOOKUP('Dashboard And Emails Automate'!$G3957,Database!$H:$N,5,0)),"")</f>
        <v/>
      </c>
      <c r="L3957" s="55" t="str">
        <f>IFERROR(IF($G3957="","",VLOOKUP('Dashboard And Emails Automate'!$G3957,Database!$H:$N,6,0)),"")</f>
        <v/>
      </c>
      <c r="M3957" s="55" t="str">
        <f>IFERROR(IF($G3957="","",VLOOKUP('Dashboard And Emails Automate'!$G3957,Database!$H:$N,7,0)),"")</f>
        <v/>
      </c>
      <c r="N3957" s="55" t="str">
        <f>IFERROR(IF(OR($B3957="",$B3957="(blank)"),"",VLOOKUP($B3957,'Email Marketing Raw Data'!$C:$O,6,0)),"")</f>
        <v/>
      </c>
      <c r="O3957" s="55" t="str">
        <f>IFERROR(IF(OR($B3957="",$B3957="(blank)"),"",VLOOKUP($B3957,'Email Marketing Raw Data'!$C:$O,7,0)),"")</f>
        <v/>
      </c>
      <c r="P3957" s="55" t="str">
        <f>IFERROR(IF(OR($B3957="",$B3957="(blank)"),"",VLOOKUP($B3957,'Email Marketing Raw Data'!$C:$O,8,0)),"")</f>
        <v/>
      </c>
      <c r="Q3957" s="62" t="str">
        <f>IFERROR(IF(OR($B3957="",$B3957="(blank)"),"",VLOOKUP($B3957,'Email Marketing Raw Data'!$C:$O,9,0)),"")</f>
        <v/>
      </c>
    </row>
    <row r="3958" spans="4:17" ht="12.75" customHeight="1" x14ac:dyDescent="0.2">
      <c r="D3958" s="58" t="str">
        <f>IFERROR(IF(F3958&lt;&gt;"pending","",IF(OR($B3958="",$B3958="(blank)"),"",VLOOKUP($B3958,'Email Marketing Raw Data'!$C:$O,10,0))),"")</f>
        <v/>
      </c>
      <c r="E3958" s="59" t="str">
        <f>IFERROR(IF(F3958&lt;&gt;"pending","",IF(OR($B3958="",$B3958="(blank)"),"",VLOOKUP($B3958,'Email Marketing Raw Data'!$C:$O,11,0))),"")</f>
        <v/>
      </c>
      <c r="F3958" s="54" t="str">
        <f>IFERROR(IF(OR($B3958="",$B3958="(blank)"),"",VLOOKUP($B3958,'Email Marketing Raw Data'!$C:$O,13,0)),"")</f>
        <v/>
      </c>
      <c r="G3958" s="55" t="str">
        <f>IFERROR(IF(OR($B3958="",$B3958="(blank)"),"",VLOOKUP($B3958,'Email Marketing Raw Data'!$C:$O,4,0)),"")</f>
        <v/>
      </c>
      <c r="H3958" s="55" t="str">
        <f>IFERROR(IF(OR($B3958="",$B3958="(blank)"),"",VLOOKUP($B3958,'Email Marketing Raw Data'!$C:$O,5,0)),"")</f>
        <v/>
      </c>
      <c r="I3958" s="55" t="str">
        <f>IFERROR(IF($G3958="","",VLOOKUP('Dashboard And Emails Automate'!$G3958,Database!$H:$N,3,0)),"")</f>
        <v/>
      </c>
      <c r="J3958" s="55" t="str">
        <f>IFERROR(IF($G3958="","",VLOOKUP('Dashboard And Emails Automate'!$G3958,Database!$H:$N,4,0)),"")</f>
        <v/>
      </c>
      <c r="K3958" s="55" t="str">
        <f>IFERROR(IF($G3958="","",VLOOKUP('Dashboard And Emails Automate'!$G3958,Database!$H:$N,5,0)),"")</f>
        <v/>
      </c>
      <c r="L3958" s="55" t="str">
        <f>IFERROR(IF($G3958="","",VLOOKUP('Dashboard And Emails Automate'!$G3958,Database!$H:$N,6,0)),"")</f>
        <v/>
      </c>
      <c r="M3958" s="55" t="str">
        <f>IFERROR(IF($G3958="","",VLOOKUP('Dashboard And Emails Automate'!$G3958,Database!$H:$N,7,0)),"")</f>
        <v/>
      </c>
      <c r="N3958" s="55" t="str">
        <f>IFERROR(IF(OR($B3958="",$B3958="(blank)"),"",VLOOKUP($B3958,'Email Marketing Raw Data'!$C:$O,6,0)),"")</f>
        <v/>
      </c>
      <c r="O3958" s="55" t="str">
        <f>IFERROR(IF(OR($B3958="",$B3958="(blank)"),"",VLOOKUP($B3958,'Email Marketing Raw Data'!$C:$O,7,0)),"")</f>
        <v/>
      </c>
      <c r="P3958" s="55" t="str">
        <f>IFERROR(IF(OR($B3958="",$B3958="(blank)"),"",VLOOKUP($B3958,'Email Marketing Raw Data'!$C:$O,8,0)),"")</f>
        <v/>
      </c>
      <c r="Q3958" s="62" t="str">
        <f>IFERROR(IF(OR($B3958="",$B3958="(blank)"),"",VLOOKUP($B3958,'Email Marketing Raw Data'!$C:$O,9,0)),"")</f>
        <v/>
      </c>
    </row>
    <row r="3959" spans="4:17" ht="12.75" customHeight="1" x14ac:dyDescent="0.2">
      <c r="D3959" s="58" t="str">
        <f>IFERROR(IF(F3959&lt;&gt;"pending","",IF(OR($B3959="",$B3959="(blank)"),"",VLOOKUP($B3959,'Email Marketing Raw Data'!$C:$O,10,0))),"")</f>
        <v/>
      </c>
      <c r="E3959" s="59" t="str">
        <f>IFERROR(IF(F3959&lt;&gt;"pending","",IF(OR($B3959="",$B3959="(blank)"),"",VLOOKUP($B3959,'Email Marketing Raw Data'!$C:$O,11,0))),"")</f>
        <v/>
      </c>
      <c r="F3959" s="54" t="str">
        <f>IFERROR(IF(OR($B3959="",$B3959="(blank)"),"",VLOOKUP($B3959,'Email Marketing Raw Data'!$C:$O,13,0)),"")</f>
        <v/>
      </c>
      <c r="G3959" s="55" t="str">
        <f>IFERROR(IF(OR($B3959="",$B3959="(blank)"),"",VLOOKUP($B3959,'Email Marketing Raw Data'!$C:$O,4,0)),"")</f>
        <v/>
      </c>
      <c r="H3959" s="55" t="str">
        <f>IFERROR(IF(OR($B3959="",$B3959="(blank)"),"",VLOOKUP($B3959,'Email Marketing Raw Data'!$C:$O,5,0)),"")</f>
        <v/>
      </c>
      <c r="I3959" s="55" t="str">
        <f>IFERROR(IF($G3959="","",VLOOKUP('Dashboard And Emails Automate'!$G3959,Database!$H:$N,3,0)),"")</f>
        <v/>
      </c>
      <c r="J3959" s="55" t="str">
        <f>IFERROR(IF($G3959="","",VLOOKUP('Dashboard And Emails Automate'!$G3959,Database!$H:$N,4,0)),"")</f>
        <v/>
      </c>
      <c r="K3959" s="55" t="str">
        <f>IFERROR(IF($G3959="","",VLOOKUP('Dashboard And Emails Automate'!$G3959,Database!$H:$N,5,0)),"")</f>
        <v/>
      </c>
      <c r="L3959" s="55" t="str">
        <f>IFERROR(IF($G3959="","",VLOOKUP('Dashboard And Emails Automate'!$G3959,Database!$H:$N,6,0)),"")</f>
        <v/>
      </c>
      <c r="M3959" s="55" t="str">
        <f>IFERROR(IF($G3959="","",VLOOKUP('Dashboard And Emails Automate'!$G3959,Database!$H:$N,7,0)),"")</f>
        <v/>
      </c>
      <c r="N3959" s="55" t="str">
        <f>IFERROR(IF(OR($B3959="",$B3959="(blank)"),"",VLOOKUP($B3959,'Email Marketing Raw Data'!$C:$O,6,0)),"")</f>
        <v/>
      </c>
      <c r="O3959" s="55" t="str">
        <f>IFERROR(IF(OR($B3959="",$B3959="(blank)"),"",VLOOKUP($B3959,'Email Marketing Raw Data'!$C:$O,7,0)),"")</f>
        <v/>
      </c>
      <c r="P3959" s="55" t="str">
        <f>IFERROR(IF(OR($B3959="",$B3959="(blank)"),"",VLOOKUP($B3959,'Email Marketing Raw Data'!$C:$O,8,0)),"")</f>
        <v/>
      </c>
      <c r="Q3959" s="62" t="str">
        <f>IFERROR(IF(OR($B3959="",$B3959="(blank)"),"",VLOOKUP($B3959,'Email Marketing Raw Data'!$C:$O,9,0)),"")</f>
        <v/>
      </c>
    </row>
    <row r="3960" spans="4:17" ht="12.75" customHeight="1" x14ac:dyDescent="0.2">
      <c r="D3960" s="58" t="str">
        <f>IFERROR(IF(F3960&lt;&gt;"pending","",IF(OR($B3960="",$B3960="(blank)"),"",VLOOKUP($B3960,'Email Marketing Raw Data'!$C:$O,10,0))),"")</f>
        <v/>
      </c>
      <c r="E3960" s="59" t="str">
        <f>IFERROR(IF(F3960&lt;&gt;"pending","",IF(OR($B3960="",$B3960="(blank)"),"",VLOOKUP($B3960,'Email Marketing Raw Data'!$C:$O,11,0))),"")</f>
        <v/>
      </c>
      <c r="F3960" s="54" t="str">
        <f>IFERROR(IF(OR($B3960="",$B3960="(blank)"),"",VLOOKUP($B3960,'Email Marketing Raw Data'!$C:$O,13,0)),"")</f>
        <v/>
      </c>
      <c r="G3960" s="55" t="str">
        <f>IFERROR(IF(OR($B3960="",$B3960="(blank)"),"",VLOOKUP($B3960,'Email Marketing Raw Data'!$C:$O,4,0)),"")</f>
        <v/>
      </c>
      <c r="H3960" s="55" t="str">
        <f>IFERROR(IF(OR($B3960="",$B3960="(blank)"),"",VLOOKUP($B3960,'Email Marketing Raw Data'!$C:$O,5,0)),"")</f>
        <v/>
      </c>
      <c r="I3960" s="55" t="str">
        <f>IFERROR(IF($G3960="","",VLOOKUP('Dashboard And Emails Automate'!$G3960,Database!$H:$N,3,0)),"")</f>
        <v/>
      </c>
      <c r="J3960" s="55" t="str">
        <f>IFERROR(IF($G3960="","",VLOOKUP('Dashboard And Emails Automate'!$G3960,Database!$H:$N,4,0)),"")</f>
        <v/>
      </c>
      <c r="K3960" s="55" t="str">
        <f>IFERROR(IF($G3960="","",VLOOKUP('Dashboard And Emails Automate'!$G3960,Database!$H:$N,5,0)),"")</f>
        <v/>
      </c>
      <c r="L3960" s="55" t="str">
        <f>IFERROR(IF($G3960="","",VLOOKUP('Dashboard And Emails Automate'!$G3960,Database!$H:$N,6,0)),"")</f>
        <v/>
      </c>
      <c r="M3960" s="55" t="str">
        <f>IFERROR(IF($G3960="","",VLOOKUP('Dashboard And Emails Automate'!$G3960,Database!$H:$N,7,0)),"")</f>
        <v/>
      </c>
      <c r="N3960" s="55" t="str">
        <f>IFERROR(IF(OR($B3960="",$B3960="(blank)"),"",VLOOKUP($B3960,'Email Marketing Raw Data'!$C:$O,6,0)),"")</f>
        <v/>
      </c>
      <c r="O3960" s="55" t="str">
        <f>IFERROR(IF(OR($B3960="",$B3960="(blank)"),"",VLOOKUP($B3960,'Email Marketing Raw Data'!$C:$O,7,0)),"")</f>
        <v/>
      </c>
      <c r="P3960" s="55" t="str">
        <f>IFERROR(IF(OR($B3960="",$B3960="(blank)"),"",VLOOKUP($B3960,'Email Marketing Raw Data'!$C:$O,8,0)),"")</f>
        <v/>
      </c>
      <c r="Q3960" s="62" t="str">
        <f>IFERROR(IF(OR($B3960="",$B3960="(blank)"),"",VLOOKUP($B3960,'Email Marketing Raw Data'!$C:$O,9,0)),"")</f>
        <v/>
      </c>
    </row>
    <row r="3961" spans="4:17" ht="12.75" customHeight="1" x14ac:dyDescent="0.2">
      <c r="D3961" s="58" t="str">
        <f>IFERROR(IF(F3961&lt;&gt;"pending","",IF(OR($B3961="",$B3961="(blank)"),"",VLOOKUP($B3961,'Email Marketing Raw Data'!$C:$O,10,0))),"")</f>
        <v/>
      </c>
      <c r="E3961" s="59" t="str">
        <f>IFERROR(IF(F3961&lt;&gt;"pending","",IF(OR($B3961="",$B3961="(blank)"),"",VLOOKUP($B3961,'Email Marketing Raw Data'!$C:$O,11,0))),"")</f>
        <v/>
      </c>
      <c r="F3961" s="54" t="str">
        <f>IFERROR(IF(OR($B3961="",$B3961="(blank)"),"",VLOOKUP($B3961,'Email Marketing Raw Data'!$C:$O,13,0)),"")</f>
        <v/>
      </c>
      <c r="G3961" s="55" t="str">
        <f>IFERROR(IF(OR($B3961="",$B3961="(blank)"),"",VLOOKUP($B3961,'Email Marketing Raw Data'!$C:$O,4,0)),"")</f>
        <v/>
      </c>
      <c r="H3961" s="55" t="str">
        <f>IFERROR(IF(OR($B3961="",$B3961="(blank)"),"",VLOOKUP($B3961,'Email Marketing Raw Data'!$C:$O,5,0)),"")</f>
        <v/>
      </c>
      <c r="I3961" s="55" t="str">
        <f>IFERROR(IF($G3961="","",VLOOKUP('Dashboard And Emails Automate'!$G3961,Database!$H:$N,3,0)),"")</f>
        <v/>
      </c>
      <c r="J3961" s="55" t="str">
        <f>IFERROR(IF($G3961="","",VLOOKUP('Dashboard And Emails Automate'!$G3961,Database!$H:$N,4,0)),"")</f>
        <v/>
      </c>
      <c r="K3961" s="55" t="str">
        <f>IFERROR(IF($G3961="","",VLOOKUP('Dashboard And Emails Automate'!$G3961,Database!$H:$N,5,0)),"")</f>
        <v/>
      </c>
      <c r="L3961" s="55" t="str">
        <f>IFERROR(IF($G3961="","",VLOOKUP('Dashboard And Emails Automate'!$G3961,Database!$H:$N,6,0)),"")</f>
        <v/>
      </c>
      <c r="M3961" s="55" t="str">
        <f>IFERROR(IF($G3961="","",VLOOKUP('Dashboard And Emails Automate'!$G3961,Database!$H:$N,7,0)),"")</f>
        <v/>
      </c>
      <c r="N3961" s="55" t="str">
        <f>IFERROR(IF(OR($B3961="",$B3961="(blank)"),"",VLOOKUP($B3961,'Email Marketing Raw Data'!$C:$O,6,0)),"")</f>
        <v/>
      </c>
      <c r="O3961" s="55" t="str">
        <f>IFERROR(IF(OR($B3961="",$B3961="(blank)"),"",VLOOKUP($B3961,'Email Marketing Raw Data'!$C:$O,7,0)),"")</f>
        <v/>
      </c>
      <c r="P3961" s="55" t="str">
        <f>IFERROR(IF(OR($B3961="",$B3961="(blank)"),"",VLOOKUP($B3961,'Email Marketing Raw Data'!$C:$O,8,0)),"")</f>
        <v/>
      </c>
      <c r="Q3961" s="62" t="str">
        <f>IFERROR(IF(OR($B3961="",$B3961="(blank)"),"",VLOOKUP($B3961,'Email Marketing Raw Data'!$C:$O,9,0)),"")</f>
        <v/>
      </c>
    </row>
    <row r="3962" spans="4:17" ht="12.75" customHeight="1" x14ac:dyDescent="0.2">
      <c r="D3962" s="58" t="str">
        <f>IFERROR(IF(F3962&lt;&gt;"pending","",IF(OR($B3962="",$B3962="(blank)"),"",VLOOKUP($B3962,'Email Marketing Raw Data'!$C:$O,10,0))),"")</f>
        <v/>
      </c>
      <c r="E3962" s="59" t="str">
        <f>IFERROR(IF(F3962&lt;&gt;"pending","",IF(OR($B3962="",$B3962="(blank)"),"",VLOOKUP($B3962,'Email Marketing Raw Data'!$C:$O,11,0))),"")</f>
        <v/>
      </c>
      <c r="F3962" s="54" t="str">
        <f>IFERROR(IF(OR($B3962="",$B3962="(blank)"),"",VLOOKUP($B3962,'Email Marketing Raw Data'!$C:$O,13,0)),"")</f>
        <v/>
      </c>
      <c r="G3962" s="55" t="str">
        <f>IFERROR(IF(OR($B3962="",$B3962="(blank)"),"",VLOOKUP($B3962,'Email Marketing Raw Data'!$C:$O,4,0)),"")</f>
        <v/>
      </c>
      <c r="H3962" s="55" t="str">
        <f>IFERROR(IF(OR($B3962="",$B3962="(blank)"),"",VLOOKUP($B3962,'Email Marketing Raw Data'!$C:$O,5,0)),"")</f>
        <v/>
      </c>
      <c r="I3962" s="55" t="str">
        <f>IFERROR(IF($G3962="","",VLOOKUP('Dashboard And Emails Automate'!$G3962,Database!$H:$N,3,0)),"")</f>
        <v/>
      </c>
      <c r="J3962" s="55" t="str">
        <f>IFERROR(IF($G3962="","",VLOOKUP('Dashboard And Emails Automate'!$G3962,Database!$H:$N,4,0)),"")</f>
        <v/>
      </c>
      <c r="K3962" s="55" t="str">
        <f>IFERROR(IF($G3962="","",VLOOKUP('Dashboard And Emails Automate'!$G3962,Database!$H:$N,5,0)),"")</f>
        <v/>
      </c>
      <c r="L3962" s="55" t="str">
        <f>IFERROR(IF($G3962="","",VLOOKUP('Dashboard And Emails Automate'!$G3962,Database!$H:$N,6,0)),"")</f>
        <v/>
      </c>
      <c r="M3962" s="55" t="str">
        <f>IFERROR(IF($G3962="","",VLOOKUP('Dashboard And Emails Automate'!$G3962,Database!$H:$N,7,0)),"")</f>
        <v/>
      </c>
      <c r="N3962" s="55" t="str">
        <f>IFERROR(IF(OR($B3962="",$B3962="(blank)"),"",VLOOKUP($B3962,'Email Marketing Raw Data'!$C:$O,6,0)),"")</f>
        <v/>
      </c>
      <c r="O3962" s="55" t="str">
        <f>IFERROR(IF(OR($B3962="",$B3962="(blank)"),"",VLOOKUP($B3962,'Email Marketing Raw Data'!$C:$O,7,0)),"")</f>
        <v/>
      </c>
      <c r="P3962" s="55" t="str">
        <f>IFERROR(IF(OR($B3962="",$B3962="(blank)"),"",VLOOKUP($B3962,'Email Marketing Raw Data'!$C:$O,8,0)),"")</f>
        <v/>
      </c>
      <c r="Q3962" s="62" t="str">
        <f>IFERROR(IF(OR($B3962="",$B3962="(blank)"),"",VLOOKUP($B3962,'Email Marketing Raw Data'!$C:$O,9,0)),"")</f>
        <v/>
      </c>
    </row>
    <row r="3963" spans="4:17" ht="12.75" customHeight="1" x14ac:dyDescent="0.2">
      <c r="D3963" s="58" t="str">
        <f>IFERROR(IF(F3963&lt;&gt;"pending","",IF(OR($B3963="",$B3963="(blank)"),"",VLOOKUP($B3963,'Email Marketing Raw Data'!$C:$O,10,0))),"")</f>
        <v/>
      </c>
      <c r="E3963" s="59" t="str">
        <f>IFERROR(IF(F3963&lt;&gt;"pending","",IF(OR($B3963="",$B3963="(blank)"),"",VLOOKUP($B3963,'Email Marketing Raw Data'!$C:$O,11,0))),"")</f>
        <v/>
      </c>
      <c r="F3963" s="54" t="str">
        <f>IFERROR(IF(OR($B3963="",$B3963="(blank)"),"",VLOOKUP($B3963,'Email Marketing Raw Data'!$C:$O,13,0)),"")</f>
        <v/>
      </c>
      <c r="G3963" s="55" t="str">
        <f>IFERROR(IF(OR($B3963="",$B3963="(blank)"),"",VLOOKUP($B3963,'Email Marketing Raw Data'!$C:$O,4,0)),"")</f>
        <v/>
      </c>
      <c r="H3963" s="55" t="str">
        <f>IFERROR(IF(OR($B3963="",$B3963="(blank)"),"",VLOOKUP($B3963,'Email Marketing Raw Data'!$C:$O,5,0)),"")</f>
        <v/>
      </c>
      <c r="I3963" s="55" t="str">
        <f>IFERROR(IF($G3963="","",VLOOKUP('Dashboard And Emails Automate'!$G3963,Database!$H:$N,3,0)),"")</f>
        <v/>
      </c>
      <c r="J3963" s="55" t="str">
        <f>IFERROR(IF($G3963="","",VLOOKUP('Dashboard And Emails Automate'!$G3963,Database!$H:$N,4,0)),"")</f>
        <v/>
      </c>
      <c r="K3963" s="55" t="str">
        <f>IFERROR(IF($G3963="","",VLOOKUP('Dashboard And Emails Automate'!$G3963,Database!$H:$N,5,0)),"")</f>
        <v/>
      </c>
      <c r="L3963" s="55" t="str">
        <f>IFERROR(IF($G3963="","",VLOOKUP('Dashboard And Emails Automate'!$G3963,Database!$H:$N,6,0)),"")</f>
        <v/>
      </c>
      <c r="M3963" s="55" t="str">
        <f>IFERROR(IF($G3963="","",VLOOKUP('Dashboard And Emails Automate'!$G3963,Database!$H:$N,7,0)),"")</f>
        <v/>
      </c>
      <c r="N3963" s="55" t="str">
        <f>IFERROR(IF(OR($B3963="",$B3963="(blank)"),"",VLOOKUP($B3963,'Email Marketing Raw Data'!$C:$O,6,0)),"")</f>
        <v/>
      </c>
      <c r="O3963" s="55" t="str">
        <f>IFERROR(IF(OR($B3963="",$B3963="(blank)"),"",VLOOKUP($B3963,'Email Marketing Raw Data'!$C:$O,7,0)),"")</f>
        <v/>
      </c>
      <c r="P3963" s="55" t="str">
        <f>IFERROR(IF(OR($B3963="",$B3963="(blank)"),"",VLOOKUP($B3963,'Email Marketing Raw Data'!$C:$O,8,0)),"")</f>
        <v/>
      </c>
      <c r="Q3963" s="62" t="str">
        <f>IFERROR(IF(OR($B3963="",$B3963="(blank)"),"",VLOOKUP($B3963,'Email Marketing Raw Data'!$C:$O,9,0)),"")</f>
        <v/>
      </c>
    </row>
    <row r="3964" spans="4:17" ht="12.75" customHeight="1" x14ac:dyDescent="0.2">
      <c r="D3964" s="58" t="str">
        <f>IFERROR(IF(F3964&lt;&gt;"pending","",IF(OR($B3964="",$B3964="(blank)"),"",VLOOKUP($B3964,'Email Marketing Raw Data'!$C:$O,10,0))),"")</f>
        <v/>
      </c>
      <c r="E3964" s="59" t="str">
        <f>IFERROR(IF(F3964&lt;&gt;"pending","",IF(OR($B3964="",$B3964="(blank)"),"",VLOOKUP($B3964,'Email Marketing Raw Data'!$C:$O,11,0))),"")</f>
        <v/>
      </c>
      <c r="F3964" s="54" t="str">
        <f>IFERROR(IF(OR($B3964="",$B3964="(blank)"),"",VLOOKUP($B3964,'Email Marketing Raw Data'!$C:$O,13,0)),"")</f>
        <v/>
      </c>
      <c r="G3964" s="55" t="str">
        <f>IFERROR(IF(OR($B3964="",$B3964="(blank)"),"",VLOOKUP($B3964,'Email Marketing Raw Data'!$C:$O,4,0)),"")</f>
        <v/>
      </c>
      <c r="H3964" s="55" t="str">
        <f>IFERROR(IF(OR($B3964="",$B3964="(blank)"),"",VLOOKUP($B3964,'Email Marketing Raw Data'!$C:$O,5,0)),"")</f>
        <v/>
      </c>
      <c r="I3964" s="55" t="str">
        <f>IFERROR(IF($G3964="","",VLOOKUP('Dashboard And Emails Automate'!$G3964,Database!$H:$N,3,0)),"")</f>
        <v/>
      </c>
      <c r="J3964" s="55" t="str">
        <f>IFERROR(IF($G3964="","",VLOOKUP('Dashboard And Emails Automate'!$G3964,Database!$H:$N,4,0)),"")</f>
        <v/>
      </c>
      <c r="K3964" s="55" t="str">
        <f>IFERROR(IF($G3964="","",VLOOKUP('Dashboard And Emails Automate'!$G3964,Database!$H:$N,5,0)),"")</f>
        <v/>
      </c>
      <c r="L3964" s="55" t="str">
        <f>IFERROR(IF($G3964="","",VLOOKUP('Dashboard And Emails Automate'!$G3964,Database!$H:$N,6,0)),"")</f>
        <v/>
      </c>
      <c r="M3964" s="55" t="str">
        <f>IFERROR(IF($G3964="","",VLOOKUP('Dashboard And Emails Automate'!$G3964,Database!$H:$N,7,0)),"")</f>
        <v/>
      </c>
      <c r="N3964" s="55" t="str">
        <f>IFERROR(IF(OR($B3964="",$B3964="(blank)"),"",VLOOKUP($B3964,'Email Marketing Raw Data'!$C:$O,6,0)),"")</f>
        <v/>
      </c>
      <c r="O3964" s="55" t="str">
        <f>IFERROR(IF(OR($B3964="",$B3964="(blank)"),"",VLOOKUP($B3964,'Email Marketing Raw Data'!$C:$O,7,0)),"")</f>
        <v/>
      </c>
      <c r="P3964" s="55" t="str">
        <f>IFERROR(IF(OR($B3964="",$B3964="(blank)"),"",VLOOKUP($B3964,'Email Marketing Raw Data'!$C:$O,8,0)),"")</f>
        <v/>
      </c>
      <c r="Q3964" s="62" t="str">
        <f>IFERROR(IF(OR($B3964="",$B3964="(blank)"),"",VLOOKUP($B3964,'Email Marketing Raw Data'!$C:$O,9,0)),"")</f>
        <v/>
      </c>
    </row>
    <row r="3965" spans="4:17" ht="12.75" customHeight="1" x14ac:dyDescent="0.2">
      <c r="D3965" s="58" t="str">
        <f>IFERROR(IF(F3965&lt;&gt;"pending","",IF(OR($B3965="",$B3965="(blank)"),"",VLOOKUP($B3965,'Email Marketing Raw Data'!$C:$O,10,0))),"")</f>
        <v/>
      </c>
      <c r="E3965" s="59" t="str">
        <f>IFERROR(IF(F3965&lt;&gt;"pending","",IF(OR($B3965="",$B3965="(blank)"),"",VLOOKUP($B3965,'Email Marketing Raw Data'!$C:$O,11,0))),"")</f>
        <v/>
      </c>
      <c r="F3965" s="54" t="str">
        <f>IFERROR(IF(OR($B3965="",$B3965="(blank)"),"",VLOOKUP($B3965,'Email Marketing Raw Data'!$C:$O,13,0)),"")</f>
        <v/>
      </c>
      <c r="G3965" s="55" t="str">
        <f>IFERROR(IF(OR($B3965="",$B3965="(blank)"),"",VLOOKUP($B3965,'Email Marketing Raw Data'!$C:$O,4,0)),"")</f>
        <v/>
      </c>
      <c r="H3965" s="55" t="str">
        <f>IFERROR(IF(OR($B3965="",$B3965="(blank)"),"",VLOOKUP($B3965,'Email Marketing Raw Data'!$C:$O,5,0)),"")</f>
        <v/>
      </c>
      <c r="I3965" s="55" t="str">
        <f>IFERROR(IF($G3965="","",VLOOKUP('Dashboard And Emails Automate'!$G3965,Database!$H:$N,3,0)),"")</f>
        <v/>
      </c>
      <c r="J3965" s="55" t="str">
        <f>IFERROR(IF($G3965="","",VLOOKUP('Dashboard And Emails Automate'!$G3965,Database!$H:$N,4,0)),"")</f>
        <v/>
      </c>
      <c r="K3965" s="55" t="str">
        <f>IFERROR(IF($G3965="","",VLOOKUP('Dashboard And Emails Automate'!$G3965,Database!$H:$N,5,0)),"")</f>
        <v/>
      </c>
      <c r="L3965" s="55" t="str">
        <f>IFERROR(IF($G3965="","",VLOOKUP('Dashboard And Emails Automate'!$G3965,Database!$H:$N,6,0)),"")</f>
        <v/>
      </c>
      <c r="M3965" s="55" t="str">
        <f>IFERROR(IF($G3965="","",VLOOKUP('Dashboard And Emails Automate'!$G3965,Database!$H:$N,7,0)),"")</f>
        <v/>
      </c>
      <c r="N3965" s="55" t="str">
        <f>IFERROR(IF(OR($B3965="",$B3965="(blank)"),"",VLOOKUP($B3965,'Email Marketing Raw Data'!$C:$O,6,0)),"")</f>
        <v/>
      </c>
      <c r="O3965" s="55" t="str">
        <f>IFERROR(IF(OR($B3965="",$B3965="(blank)"),"",VLOOKUP($B3965,'Email Marketing Raw Data'!$C:$O,7,0)),"")</f>
        <v/>
      </c>
      <c r="P3965" s="55" t="str">
        <f>IFERROR(IF(OR($B3965="",$B3965="(blank)"),"",VLOOKUP($B3965,'Email Marketing Raw Data'!$C:$O,8,0)),"")</f>
        <v/>
      </c>
      <c r="Q3965" s="62" t="str">
        <f>IFERROR(IF(OR($B3965="",$B3965="(blank)"),"",VLOOKUP($B3965,'Email Marketing Raw Data'!$C:$O,9,0)),"")</f>
        <v/>
      </c>
    </row>
    <row r="3966" spans="4:17" ht="12.75" customHeight="1" x14ac:dyDescent="0.2">
      <c r="D3966" s="58" t="str">
        <f>IFERROR(IF(F3966&lt;&gt;"pending","",IF(OR($B3966="",$B3966="(blank)"),"",VLOOKUP($B3966,'Email Marketing Raw Data'!$C:$O,10,0))),"")</f>
        <v/>
      </c>
      <c r="E3966" s="59" t="str">
        <f>IFERROR(IF(F3966&lt;&gt;"pending","",IF(OR($B3966="",$B3966="(blank)"),"",VLOOKUP($B3966,'Email Marketing Raw Data'!$C:$O,11,0))),"")</f>
        <v/>
      </c>
      <c r="F3966" s="54" t="str">
        <f>IFERROR(IF(OR($B3966="",$B3966="(blank)"),"",VLOOKUP($B3966,'Email Marketing Raw Data'!$C:$O,13,0)),"")</f>
        <v/>
      </c>
      <c r="G3966" s="55" t="str">
        <f>IFERROR(IF(OR($B3966="",$B3966="(blank)"),"",VLOOKUP($B3966,'Email Marketing Raw Data'!$C:$O,4,0)),"")</f>
        <v/>
      </c>
      <c r="H3966" s="55" t="str">
        <f>IFERROR(IF(OR($B3966="",$B3966="(blank)"),"",VLOOKUP($B3966,'Email Marketing Raw Data'!$C:$O,5,0)),"")</f>
        <v/>
      </c>
      <c r="I3966" s="55" t="str">
        <f>IFERROR(IF($G3966="","",VLOOKUP('Dashboard And Emails Automate'!$G3966,Database!$H:$N,3,0)),"")</f>
        <v/>
      </c>
      <c r="J3966" s="55" t="str">
        <f>IFERROR(IF($G3966="","",VLOOKUP('Dashboard And Emails Automate'!$G3966,Database!$H:$N,4,0)),"")</f>
        <v/>
      </c>
      <c r="K3966" s="55" t="str">
        <f>IFERROR(IF($G3966="","",VLOOKUP('Dashboard And Emails Automate'!$G3966,Database!$H:$N,5,0)),"")</f>
        <v/>
      </c>
      <c r="L3966" s="55" t="str">
        <f>IFERROR(IF($G3966="","",VLOOKUP('Dashboard And Emails Automate'!$G3966,Database!$H:$N,6,0)),"")</f>
        <v/>
      </c>
      <c r="M3966" s="55" t="str">
        <f>IFERROR(IF($G3966="","",VLOOKUP('Dashboard And Emails Automate'!$G3966,Database!$H:$N,7,0)),"")</f>
        <v/>
      </c>
      <c r="N3966" s="55" t="str">
        <f>IFERROR(IF(OR($B3966="",$B3966="(blank)"),"",VLOOKUP($B3966,'Email Marketing Raw Data'!$C:$O,6,0)),"")</f>
        <v/>
      </c>
      <c r="O3966" s="55" t="str">
        <f>IFERROR(IF(OR($B3966="",$B3966="(blank)"),"",VLOOKUP($B3966,'Email Marketing Raw Data'!$C:$O,7,0)),"")</f>
        <v/>
      </c>
      <c r="P3966" s="55" t="str">
        <f>IFERROR(IF(OR($B3966="",$B3966="(blank)"),"",VLOOKUP($B3966,'Email Marketing Raw Data'!$C:$O,8,0)),"")</f>
        <v/>
      </c>
      <c r="Q3966" s="62" t="str">
        <f>IFERROR(IF(OR($B3966="",$B3966="(blank)"),"",VLOOKUP($B3966,'Email Marketing Raw Data'!$C:$O,9,0)),"")</f>
        <v/>
      </c>
    </row>
    <row r="3967" spans="4:17" ht="12.75" customHeight="1" x14ac:dyDescent="0.2">
      <c r="D3967" s="58" t="str">
        <f>IFERROR(IF(F3967&lt;&gt;"pending","",IF(OR($B3967="",$B3967="(blank)"),"",VLOOKUP($B3967,'Email Marketing Raw Data'!$C:$O,10,0))),"")</f>
        <v/>
      </c>
      <c r="E3967" s="59" t="str">
        <f>IFERROR(IF(F3967&lt;&gt;"pending","",IF(OR($B3967="",$B3967="(blank)"),"",VLOOKUP($B3967,'Email Marketing Raw Data'!$C:$O,11,0))),"")</f>
        <v/>
      </c>
      <c r="F3967" s="54" t="str">
        <f>IFERROR(IF(OR($B3967="",$B3967="(blank)"),"",VLOOKUP($B3967,'Email Marketing Raw Data'!$C:$O,13,0)),"")</f>
        <v/>
      </c>
      <c r="G3967" s="55" t="str">
        <f>IFERROR(IF(OR($B3967="",$B3967="(blank)"),"",VLOOKUP($B3967,'Email Marketing Raw Data'!$C:$O,4,0)),"")</f>
        <v/>
      </c>
      <c r="H3967" s="55" t="str">
        <f>IFERROR(IF(OR($B3967="",$B3967="(blank)"),"",VLOOKUP($B3967,'Email Marketing Raw Data'!$C:$O,5,0)),"")</f>
        <v/>
      </c>
      <c r="I3967" s="55" t="str">
        <f>IFERROR(IF($G3967="","",VLOOKUP('Dashboard And Emails Automate'!$G3967,Database!$H:$N,3,0)),"")</f>
        <v/>
      </c>
      <c r="J3967" s="55" t="str">
        <f>IFERROR(IF($G3967="","",VLOOKUP('Dashboard And Emails Automate'!$G3967,Database!$H:$N,4,0)),"")</f>
        <v/>
      </c>
      <c r="K3967" s="55" t="str">
        <f>IFERROR(IF($G3967="","",VLOOKUP('Dashboard And Emails Automate'!$G3967,Database!$H:$N,5,0)),"")</f>
        <v/>
      </c>
      <c r="L3967" s="55" t="str">
        <f>IFERROR(IF($G3967="","",VLOOKUP('Dashboard And Emails Automate'!$G3967,Database!$H:$N,6,0)),"")</f>
        <v/>
      </c>
      <c r="M3967" s="55" t="str">
        <f>IFERROR(IF($G3967="","",VLOOKUP('Dashboard And Emails Automate'!$G3967,Database!$H:$N,7,0)),"")</f>
        <v/>
      </c>
      <c r="N3967" s="55" t="str">
        <f>IFERROR(IF(OR($B3967="",$B3967="(blank)"),"",VLOOKUP($B3967,'Email Marketing Raw Data'!$C:$O,6,0)),"")</f>
        <v/>
      </c>
      <c r="O3967" s="55" t="str">
        <f>IFERROR(IF(OR($B3967="",$B3967="(blank)"),"",VLOOKUP($B3967,'Email Marketing Raw Data'!$C:$O,7,0)),"")</f>
        <v/>
      </c>
      <c r="P3967" s="55" t="str">
        <f>IFERROR(IF(OR($B3967="",$B3967="(blank)"),"",VLOOKUP($B3967,'Email Marketing Raw Data'!$C:$O,8,0)),"")</f>
        <v/>
      </c>
      <c r="Q3967" s="62" t="str">
        <f>IFERROR(IF(OR($B3967="",$B3967="(blank)"),"",VLOOKUP($B3967,'Email Marketing Raw Data'!$C:$O,9,0)),"")</f>
        <v/>
      </c>
    </row>
    <row r="3968" spans="4:17" ht="12.75" customHeight="1" x14ac:dyDescent="0.2">
      <c r="D3968" s="58" t="str">
        <f>IFERROR(IF(F3968&lt;&gt;"pending","",IF(OR($B3968="",$B3968="(blank)"),"",VLOOKUP($B3968,'Email Marketing Raw Data'!$C:$O,10,0))),"")</f>
        <v/>
      </c>
      <c r="E3968" s="59" t="str">
        <f>IFERROR(IF(F3968&lt;&gt;"pending","",IF(OR($B3968="",$B3968="(blank)"),"",VLOOKUP($B3968,'Email Marketing Raw Data'!$C:$O,11,0))),"")</f>
        <v/>
      </c>
      <c r="F3968" s="54" t="str">
        <f>IFERROR(IF(OR($B3968="",$B3968="(blank)"),"",VLOOKUP($B3968,'Email Marketing Raw Data'!$C:$O,13,0)),"")</f>
        <v/>
      </c>
      <c r="G3968" s="55" t="str">
        <f>IFERROR(IF(OR($B3968="",$B3968="(blank)"),"",VLOOKUP($B3968,'Email Marketing Raw Data'!$C:$O,4,0)),"")</f>
        <v/>
      </c>
      <c r="H3968" s="55" t="str">
        <f>IFERROR(IF(OR($B3968="",$B3968="(blank)"),"",VLOOKUP($B3968,'Email Marketing Raw Data'!$C:$O,5,0)),"")</f>
        <v/>
      </c>
      <c r="I3968" s="55" t="str">
        <f>IFERROR(IF($G3968="","",VLOOKUP('Dashboard And Emails Automate'!$G3968,Database!$H:$N,3,0)),"")</f>
        <v/>
      </c>
      <c r="J3968" s="55" t="str">
        <f>IFERROR(IF($G3968="","",VLOOKUP('Dashboard And Emails Automate'!$G3968,Database!$H:$N,4,0)),"")</f>
        <v/>
      </c>
      <c r="K3968" s="55" t="str">
        <f>IFERROR(IF($G3968="","",VLOOKUP('Dashboard And Emails Automate'!$G3968,Database!$H:$N,5,0)),"")</f>
        <v/>
      </c>
      <c r="L3968" s="55" t="str">
        <f>IFERROR(IF($G3968="","",VLOOKUP('Dashboard And Emails Automate'!$G3968,Database!$H:$N,6,0)),"")</f>
        <v/>
      </c>
      <c r="M3968" s="55" t="str">
        <f>IFERROR(IF($G3968="","",VLOOKUP('Dashboard And Emails Automate'!$G3968,Database!$H:$N,7,0)),"")</f>
        <v/>
      </c>
      <c r="N3968" s="55" t="str">
        <f>IFERROR(IF(OR($B3968="",$B3968="(blank)"),"",VLOOKUP($B3968,'Email Marketing Raw Data'!$C:$O,6,0)),"")</f>
        <v/>
      </c>
      <c r="O3968" s="55" t="str">
        <f>IFERROR(IF(OR($B3968="",$B3968="(blank)"),"",VLOOKUP($B3968,'Email Marketing Raw Data'!$C:$O,7,0)),"")</f>
        <v/>
      </c>
      <c r="P3968" s="55" t="str">
        <f>IFERROR(IF(OR($B3968="",$B3968="(blank)"),"",VLOOKUP($B3968,'Email Marketing Raw Data'!$C:$O,8,0)),"")</f>
        <v/>
      </c>
      <c r="Q3968" s="62" t="str">
        <f>IFERROR(IF(OR($B3968="",$B3968="(blank)"),"",VLOOKUP($B3968,'Email Marketing Raw Data'!$C:$O,9,0)),"")</f>
        <v/>
      </c>
    </row>
    <row r="3969" spans="4:17" ht="12.75" customHeight="1" x14ac:dyDescent="0.2">
      <c r="D3969" s="58" t="str">
        <f>IFERROR(IF(F3969&lt;&gt;"pending","",IF(OR($B3969="",$B3969="(blank)"),"",VLOOKUP($B3969,'Email Marketing Raw Data'!$C:$O,10,0))),"")</f>
        <v/>
      </c>
      <c r="E3969" s="59" t="str">
        <f>IFERROR(IF(F3969&lt;&gt;"pending","",IF(OR($B3969="",$B3969="(blank)"),"",VLOOKUP($B3969,'Email Marketing Raw Data'!$C:$O,11,0))),"")</f>
        <v/>
      </c>
      <c r="F3969" s="54" t="str">
        <f>IFERROR(IF(OR($B3969="",$B3969="(blank)"),"",VLOOKUP($B3969,'Email Marketing Raw Data'!$C:$O,13,0)),"")</f>
        <v/>
      </c>
      <c r="G3969" s="55" t="str">
        <f>IFERROR(IF(OR($B3969="",$B3969="(blank)"),"",VLOOKUP($B3969,'Email Marketing Raw Data'!$C:$O,4,0)),"")</f>
        <v/>
      </c>
      <c r="H3969" s="55" t="str">
        <f>IFERROR(IF(OR($B3969="",$B3969="(blank)"),"",VLOOKUP($B3969,'Email Marketing Raw Data'!$C:$O,5,0)),"")</f>
        <v/>
      </c>
      <c r="I3969" s="55" t="str">
        <f>IFERROR(IF($G3969="","",VLOOKUP('Dashboard And Emails Automate'!$G3969,Database!$H:$N,3,0)),"")</f>
        <v/>
      </c>
      <c r="J3969" s="55" t="str">
        <f>IFERROR(IF($G3969="","",VLOOKUP('Dashboard And Emails Automate'!$G3969,Database!$H:$N,4,0)),"")</f>
        <v/>
      </c>
      <c r="K3969" s="55" t="str">
        <f>IFERROR(IF($G3969="","",VLOOKUP('Dashboard And Emails Automate'!$G3969,Database!$H:$N,5,0)),"")</f>
        <v/>
      </c>
      <c r="L3969" s="55" t="str">
        <f>IFERROR(IF($G3969="","",VLOOKUP('Dashboard And Emails Automate'!$G3969,Database!$H:$N,6,0)),"")</f>
        <v/>
      </c>
      <c r="M3969" s="55" t="str">
        <f>IFERROR(IF($G3969="","",VLOOKUP('Dashboard And Emails Automate'!$G3969,Database!$H:$N,7,0)),"")</f>
        <v/>
      </c>
      <c r="N3969" s="55" t="str">
        <f>IFERROR(IF(OR($B3969="",$B3969="(blank)"),"",VLOOKUP($B3969,'Email Marketing Raw Data'!$C:$O,6,0)),"")</f>
        <v/>
      </c>
      <c r="O3969" s="55" t="str">
        <f>IFERROR(IF(OR($B3969="",$B3969="(blank)"),"",VLOOKUP($B3969,'Email Marketing Raw Data'!$C:$O,7,0)),"")</f>
        <v/>
      </c>
      <c r="P3969" s="55" t="str">
        <f>IFERROR(IF(OR($B3969="",$B3969="(blank)"),"",VLOOKUP($B3969,'Email Marketing Raw Data'!$C:$O,8,0)),"")</f>
        <v/>
      </c>
      <c r="Q3969" s="62" t="str">
        <f>IFERROR(IF(OR($B3969="",$B3969="(blank)"),"",VLOOKUP($B3969,'Email Marketing Raw Data'!$C:$O,9,0)),"")</f>
        <v/>
      </c>
    </row>
    <row r="3970" spans="4:17" ht="12.75" customHeight="1" x14ac:dyDescent="0.2">
      <c r="D3970" s="58" t="str">
        <f>IFERROR(IF(F3970&lt;&gt;"pending","",IF(OR($B3970="",$B3970="(blank)"),"",VLOOKUP($B3970,'Email Marketing Raw Data'!$C:$O,10,0))),"")</f>
        <v/>
      </c>
      <c r="E3970" s="59" t="str">
        <f>IFERROR(IF(F3970&lt;&gt;"pending","",IF(OR($B3970="",$B3970="(blank)"),"",VLOOKUP($B3970,'Email Marketing Raw Data'!$C:$O,11,0))),"")</f>
        <v/>
      </c>
      <c r="F3970" s="54" t="str">
        <f>IFERROR(IF(OR($B3970="",$B3970="(blank)"),"",VLOOKUP($B3970,'Email Marketing Raw Data'!$C:$O,13,0)),"")</f>
        <v/>
      </c>
      <c r="G3970" s="55" t="str">
        <f>IFERROR(IF(OR($B3970="",$B3970="(blank)"),"",VLOOKUP($B3970,'Email Marketing Raw Data'!$C:$O,4,0)),"")</f>
        <v/>
      </c>
      <c r="H3970" s="55" t="str">
        <f>IFERROR(IF(OR($B3970="",$B3970="(blank)"),"",VLOOKUP($B3970,'Email Marketing Raw Data'!$C:$O,5,0)),"")</f>
        <v/>
      </c>
      <c r="I3970" s="55" t="str">
        <f>IFERROR(IF($G3970="","",VLOOKUP('Dashboard And Emails Automate'!$G3970,Database!$H:$N,3,0)),"")</f>
        <v/>
      </c>
      <c r="J3970" s="55" t="str">
        <f>IFERROR(IF($G3970="","",VLOOKUP('Dashboard And Emails Automate'!$G3970,Database!$H:$N,4,0)),"")</f>
        <v/>
      </c>
      <c r="K3970" s="55" t="str">
        <f>IFERROR(IF($G3970="","",VLOOKUP('Dashboard And Emails Automate'!$G3970,Database!$H:$N,5,0)),"")</f>
        <v/>
      </c>
      <c r="L3970" s="55" t="str">
        <f>IFERROR(IF($G3970="","",VLOOKUP('Dashboard And Emails Automate'!$G3970,Database!$H:$N,6,0)),"")</f>
        <v/>
      </c>
      <c r="M3970" s="55" t="str">
        <f>IFERROR(IF($G3970="","",VLOOKUP('Dashboard And Emails Automate'!$G3970,Database!$H:$N,7,0)),"")</f>
        <v/>
      </c>
      <c r="N3970" s="55" t="str">
        <f>IFERROR(IF(OR($B3970="",$B3970="(blank)"),"",VLOOKUP($B3970,'Email Marketing Raw Data'!$C:$O,6,0)),"")</f>
        <v/>
      </c>
      <c r="O3970" s="55" t="str">
        <f>IFERROR(IF(OR($B3970="",$B3970="(blank)"),"",VLOOKUP($B3970,'Email Marketing Raw Data'!$C:$O,7,0)),"")</f>
        <v/>
      </c>
      <c r="P3970" s="55" t="str">
        <f>IFERROR(IF(OR($B3970="",$B3970="(blank)"),"",VLOOKUP($B3970,'Email Marketing Raw Data'!$C:$O,8,0)),"")</f>
        <v/>
      </c>
      <c r="Q3970" s="62" t="str">
        <f>IFERROR(IF(OR($B3970="",$B3970="(blank)"),"",VLOOKUP($B3970,'Email Marketing Raw Data'!$C:$O,9,0)),"")</f>
        <v/>
      </c>
    </row>
    <row r="3971" spans="4:17" ht="12.75" customHeight="1" x14ac:dyDescent="0.2">
      <c r="D3971" s="58" t="str">
        <f>IFERROR(IF(F3971&lt;&gt;"pending","",IF(OR($B3971="",$B3971="(blank)"),"",VLOOKUP($B3971,'Email Marketing Raw Data'!$C:$O,10,0))),"")</f>
        <v/>
      </c>
      <c r="E3971" s="59" t="str">
        <f>IFERROR(IF(F3971&lt;&gt;"pending","",IF(OR($B3971="",$B3971="(blank)"),"",VLOOKUP($B3971,'Email Marketing Raw Data'!$C:$O,11,0))),"")</f>
        <v/>
      </c>
      <c r="F3971" s="54" t="str">
        <f>IFERROR(IF(OR($B3971="",$B3971="(blank)"),"",VLOOKUP($B3971,'Email Marketing Raw Data'!$C:$O,13,0)),"")</f>
        <v/>
      </c>
      <c r="G3971" s="55" t="str">
        <f>IFERROR(IF(OR($B3971="",$B3971="(blank)"),"",VLOOKUP($B3971,'Email Marketing Raw Data'!$C:$O,4,0)),"")</f>
        <v/>
      </c>
      <c r="H3971" s="55" t="str">
        <f>IFERROR(IF(OR($B3971="",$B3971="(blank)"),"",VLOOKUP($B3971,'Email Marketing Raw Data'!$C:$O,5,0)),"")</f>
        <v/>
      </c>
      <c r="I3971" s="55" t="str">
        <f>IFERROR(IF($G3971="","",VLOOKUP('Dashboard And Emails Automate'!$G3971,Database!$H:$N,3,0)),"")</f>
        <v/>
      </c>
      <c r="J3971" s="55" t="str">
        <f>IFERROR(IF($G3971="","",VLOOKUP('Dashboard And Emails Automate'!$G3971,Database!$H:$N,4,0)),"")</f>
        <v/>
      </c>
      <c r="K3971" s="55" t="str">
        <f>IFERROR(IF($G3971="","",VLOOKUP('Dashboard And Emails Automate'!$G3971,Database!$H:$N,5,0)),"")</f>
        <v/>
      </c>
      <c r="L3971" s="55" t="str">
        <f>IFERROR(IF($G3971="","",VLOOKUP('Dashboard And Emails Automate'!$G3971,Database!$H:$N,6,0)),"")</f>
        <v/>
      </c>
      <c r="M3971" s="55" t="str">
        <f>IFERROR(IF($G3971="","",VLOOKUP('Dashboard And Emails Automate'!$G3971,Database!$H:$N,7,0)),"")</f>
        <v/>
      </c>
      <c r="N3971" s="55" t="str">
        <f>IFERROR(IF(OR($B3971="",$B3971="(blank)"),"",VLOOKUP($B3971,'Email Marketing Raw Data'!$C:$O,6,0)),"")</f>
        <v/>
      </c>
      <c r="O3971" s="55" t="str">
        <f>IFERROR(IF(OR($B3971="",$B3971="(blank)"),"",VLOOKUP($B3971,'Email Marketing Raw Data'!$C:$O,7,0)),"")</f>
        <v/>
      </c>
      <c r="P3971" s="55" t="str">
        <f>IFERROR(IF(OR($B3971="",$B3971="(blank)"),"",VLOOKUP($B3971,'Email Marketing Raw Data'!$C:$O,8,0)),"")</f>
        <v/>
      </c>
      <c r="Q3971" s="62" t="str">
        <f>IFERROR(IF(OR($B3971="",$B3971="(blank)"),"",VLOOKUP($B3971,'Email Marketing Raw Data'!$C:$O,9,0)),"")</f>
        <v/>
      </c>
    </row>
    <row r="3972" spans="4:17" ht="12.75" customHeight="1" x14ac:dyDescent="0.2">
      <c r="D3972" s="58" t="str">
        <f>IFERROR(IF(F3972&lt;&gt;"pending","",IF(OR($B3972="",$B3972="(blank)"),"",VLOOKUP($B3972,'Email Marketing Raw Data'!$C:$O,10,0))),"")</f>
        <v/>
      </c>
      <c r="E3972" s="59" t="str">
        <f>IFERROR(IF(F3972&lt;&gt;"pending","",IF(OR($B3972="",$B3972="(blank)"),"",VLOOKUP($B3972,'Email Marketing Raw Data'!$C:$O,11,0))),"")</f>
        <v/>
      </c>
      <c r="F3972" s="54" t="str">
        <f>IFERROR(IF(OR($B3972="",$B3972="(blank)"),"",VLOOKUP($B3972,'Email Marketing Raw Data'!$C:$O,13,0)),"")</f>
        <v/>
      </c>
      <c r="G3972" s="55" t="str">
        <f>IFERROR(IF(OR($B3972="",$B3972="(blank)"),"",VLOOKUP($B3972,'Email Marketing Raw Data'!$C:$O,4,0)),"")</f>
        <v/>
      </c>
      <c r="H3972" s="55" t="str">
        <f>IFERROR(IF(OR($B3972="",$B3972="(blank)"),"",VLOOKUP($B3972,'Email Marketing Raw Data'!$C:$O,5,0)),"")</f>
        <v/>
      </c>
      <c r="I3972" s="55" t="str">
        <f>IFERROR(IF($G3972="","",VLOOKUP('Dashboard And Emails Automate'!$G3972,Database!$H:$N,3,0)),"")</f>
        <v/>
      </c>
      <c r="J3972" s="55" t="str">
        <f>IFERROR(IF($G3972="","",VLOOKUP('Dashboard And Emails Automate'!$G3972,Database!$H:$N,4,0)),"")</f>
        <v/>
      </c>
      <c r="K3972" s="55" t="str">
        <f>IFERROR(IF($G3972="","",VLOOKUP('Dashboard And Emails Automate'!$G3972,Database!$H:$N,5,0)),"")</f>
        <v/>
      </c>
      <c r="L3972" s="55" t="str">
        <f>IFERROR(IF($G3972="","",VLOOKUP('Dashboard And Emails Automate'!$G3972,Database!$H:$N,6,0)),"")</f>
        <v/>
      </c>
      <c r="M3972" s="55" t="str">
        <f>IFERROR(IF($G3972="","",VLOOKUP('Dashboard And Emails Automate'!$G3972,Database!$H:$N,7,0)),"")</f>
        <v/>
      </c>
      <c r="N3972" s="55" t="str">
        <f>IFERROR(IF(OR($B3972="",$B3972="(blank)"),"",VLOOKUP($B3972,'Email Marketing Raw Data'!$C:$O,6,0)),"")</f>
        <v/>
      </c>
      <c r="O3972" s="55" t="str">
        <f>IFERROR(IF(OR($B3972="",$B3972="(blank)"),"",VLOOKUP($B3972,'Email Marketing Raw Data'!$C:$O,7,0)),"")</f>
        <v/>
      </c>
      <c r="P3972" s="55" t="str">
        <f>IFERROR(IF(OR($B3972="",$B3972="(blank)"),"",VLOOKUP($B3972,'Email Marketing Raw Data'!$C:$O,8,0)),"")</f>
        <v/>
      </c>
      <c r="Q3972" s="62" t="str">
        <f>IFERROR(IF(OR($B3972="",$B3972="(blank)"),"",VLOOKUP($B3972,'Email Marketing Raw Data'!$C:$O,9,0)),"")</f>
        <v/>
      </c>
    </row>
    <row r="3973" spans="4:17" ht="12.75" customHeight="1" x14ac:dyDescent="0.2">
      <c r="D3973" s="58" t="str">
        <f>IFERROR(IF(F3973&lt;&gt;"pending","",IF(OR($B3973="",$B3973="(blank)"),"",VLOOKUP($B3973,'Email Marketing Raw Data'!$C:$O,10,0))),"")</f>
        <v/>
      </c>
      <c r="E3973" s="59" t="str">
        <f>IFERROR(IF(F3973&lt;&gt;"pending","",IF(OR($B3973="",$B3973="(blank)"),"",VLOOKUP($B3973,'Email Marketing Raw Data'!$C:$O,11,0))),"")</f>
        <v/>
      </c>
      <c r="F3973" s="54" t="str">
        <f>IFERROR(IF(OR($B3973="",$B3973="(blank)"),"",VLOOKUP($B3973,'Email Marketing Raw Data'!$C:$O,13,0)),"")</f>
        <v/>
      </c>
      <c r="G3973" s="55" t="str">
        <f>IFERROR(IF(OR($B3973="",$B3973="(blank)"),"",VLOOKUP($B3973,'Email Marketing Raw Data'!$C:$O,4,0)),"")</f>
        <v/>
      </c>
      <c r="H3973" s="55" t="str">
        <f>IFERROR(IF(OR($B3973="",$B3973="(blank)"),"",VLOOKUP($B3973,'Email Marketing Raw Data'!$C:$O,5,0)),"")</f>
        <v/>
      </c>
      <c r="I3973" s="55" t="str">
        <f>IFERROR(IF($G3973="","",VLOOKUP('Dashboard And Emails Automate'!$G3973,Database!$H:$N,3,0)),"")</f>
        <v/>
      </c>
      <c r="J3973" s="55" t="str">
        <f>IFERROR(IF($G3973="","",VLOOKUP('Dashboard And Emails Automate'!$G3973,Database!$H:$N,4,0)),"")</f>
        <v/>
      </c>
      <c r="K3973" s="55" t="str">
        <f>IFERROR(IF($G3973="","",VLOOKUP('Dashboard And Emails Automate'!$G3973,Database!$H:$N,5,0)),"")</f>
        <v/>
      </c>
      <c r="L3973" s="55" t="str">
        <f>IFERROR(IF($G3973="","",VLOOKUP('Dashboard And Emails Automate'!$G3973,Database!$H:$N,6,0)),"")</f>
        <v/>
      </c>
      <c r="M3973" s="55" t="str">
        <f>IFERROR(IF($G3973="","",VLOOKUP('Dashboard And Emails Automate'!$G3973,Database!$H:$N,7,0)),"")</f>
        <v/>
      </c>
      <c r="N3973" s="55" t="str">
        <f>IFERROR(IF(OR($B3973="",$B3973="(blank)"),"",VLOOKUP($B3973,'Email Marketing Raw Data'!$C:$O,6,0)),"")</f>
        <v/>
      </c>
      <c r="O3973" s="55" t="str">
        <f>IFERROR(IF(OR($B3973="",$B3973="(blank)"),"",VLOOKUP($B3973,'Email Marketing Raw Data'!$C:$O,7,0)),"")</f>
        <v/>
      </c>
      <c r="P3973" s="55" t="str">
        <f>IFERROR(IF(OR($B3973="",$B3973="(blank)"),"",VLOOKUP($B3973,'Email Marketing Raw Data'!$C:$O,8,0)),"")</f>
        <v/>
      </c>
      <c r="Q3973" s="62" t="str">
        <f>IFERROR(IF(OR($B3973="",$B3973="(blank)"),"",VLOOKUP($B3973,'Email Marketing Raw Data'!$C:$O,9,0)),"")</f>
        <v/>
      </c>
    </row>
    <row r="3974" spans="4:17" ht="12.75" customHeight="1" x14ac:dyDescent="0.2">
      <c r="D3974" s="58" t="str">
        <f>IFERROR(IF(F3974&lt;&gt;"pending","",IF(OR($B3974="",$B3974="(blank)"),"",VLOOKUP($B3974,'Email Marketing Raw Data'!$C:$O,10,0))),"")</f>
        <v/>
      </c>
      <c r="E3974" s="59" t="str">
        <f>IFERROR(IF(F3974&lt;&gt;"pending","",IF(OR($B3974="",$B3974="(blank)"),"",VLOOKUP($B3974,'Email Marketing Raw Data'!$C:$O,11,0))),"")</f>
        <v/>
      </c>
      <c r="F3974" s="54" t="str">
        <f>IFERROR(IF(OR($B3974="",$B3974="(blank)"),"",VLOOKUP($B3974,'Email Marketing Raw Data'!$C:$O,13,0)),"")</f>
        <v/>
      </c>
      <c r="G3974" s="55" t="str">
        <f>IFERROR(IF(OR($B3974="",$B3974="(blank)"),"",VLOOKUP($B3974,'Email Marketing Raw Data'!$C:$O,4,0)),"")</f>
        <v/>
      </c>
      <c r="H3974" s="55" t="str">
        <f>IFERROR(IF(OR($B3974="",$B3974="(blank)"),"",VLOOKUP($B3974,'Email Marketing Raw Data'!$C:$O,5,0)),"")</f>
        <v/>
      </c>
      <c r="I3974" s="55" t="str">
        <f>IFERROR(IF($G3974="","",VLOOKUP('Dashboard And Emails Automate'!$G3974,Database!$H:$N,3,0)),"")</f>
        <v/>
      </c>
      <c r="J3974" s="55" t="str">
        <f>IFERROR(IF($G3974="","",VLOOKUP('Dashboard And Emails Automate'!$G3974,Database!$H:$N,4,0)),"")</f>
        <v/>
      </c>
      <c r="K3974" s="55" t="str">
        <f>IFERROR(IF($G3974="","",VLOOKUP('Dashboard And Emails Automate'!$G3974,Database!$H:$N,5,0)),"")</f>
        <v/>
      </c>
      <c r="L3974" s="55" t="str">
        <f>IFERROR(IF($G3974="","",VLOOKUP('Dashboard And Emails Automate'!$G3974,Database!$H:$N,6,0)),"")</f>
        <v/>
      </c>
      <c r="M3974" s="55" t="str">
        <f>IFERROR(IF($G3974="","",VLOOKUP('Dashboard And Emails Automate'!$G3974,Database!$H:$N,7,0)),"")</f>
        <v/>
      </c>
      <c r="N3974" s="55" t="str">
        <f>IFERROR(IF(OR($B3974="",$B3974="(blank)"),"",VLOOKUP($B3974,'Email Marketing Raw Data'!$C:$O,6,0)),"")</f>
        <v/>
      </c>
      <c r="O3974" s="55" t="str">
        <f>IFERROR(IF(OR($B3974="",$B3974="(blank)"),"",VLOOKUP($B3974,'Email Marketing Raw Data'!$C:$O,7,0)),"")</f>
        <v/>
      </c>
      <c r="P3974" s="55" t="str">
        <f>IFERROR(IF(OR($B3974="",$B3974="(blank)"),"",VLOOKUP($B3974,'Email Marketing Raw Data'!$C:$O,8,0)),"")</f>
        <v/>
      </c>
      <c r="Q3974" s="62" t="str">
        <f>IFERROR(IF(OR($B3974="",$B3974="(blank)"),"",VLOOKUP($B3974,'Email Marketing Raw Data'!$C:$O,9,0)),"")</f>
        <v/>
      </c>
    </row>
    <row r="3975" spans="4:17" ht="12.75" customHeight="1" x14ac:dyDescent="0.2">
      <c r="D3975" s="58" t="str">
        <f>IFERROR(IF(F3975&lt;&gt;"pending","",IF(OR($B3975="",$B3975="(blank)"),"",VLOOKUP($B3975,'Email Marketing Raw Data'!$C:$O,10,0))),"")</f>
        <v/>
      </c>
      <c r="E3975" s="59" t="str">
        <f>IFERROR(IF(F3975&lt;&gt;"pending","",IF(OR($B3975="",$B3975="(blank)"),"",VLOOKUP($B3975,'Email Marketing Raw Data'!$C:$O,11,0))),"")</f>
        <v/>
      </c>
      <c r="F3975" s="54" t="str">
        <f>IFERROR(IF(OR($B3975="",$B3975="(blank)"),"",VLOOKUP($B3975,'Email Marketing Raw Data'!$C:$O,13,0)),"")</f>
        <v/>
      </c>
      <c r="G3975" s="55" t="str">
        <f>IFERROR(IF(OR($B3975="",$B3975="(blank)"),"",VLOOKUP($B3975,'Email Marketing Raw Data'!$C:$O,4,0)),"")</f>
        <v/>
      </c>
      <c r="H3975" s="55" t="str">
        <f>IFERROR(IF(OR($B3975="",$B3975="(blank)"),"",VLOOKUP($B3975,'Email Marketing Raw Data'!$C:$O,5,0)),"")</f>
        <v/>
      </c>
      <c r="I3975" s="55" t="str">
        <f>IFERROR(IF($G3975="","",VLOOKUP('Dashboard And Emails Automate'!$G3975,Database!$H:$N,3,0)),"")</f>
        <v/>
      </c>
      <c r="J3975" s="55" t="str">
        <f>IFERROR(IF($G3975="","",VLOOKUP('Dashboard And Emails Automate'!$G3975,Database!$H:$N,4,0)),"")</f>
        <v/>
      </c>
      <c r="K3975" s="55" t="str">
        <f>IFERROR(IF($G3975="","",VLOOKUP('Dashboard And Emails Automate'!$G3975,Database!$H:$N,5,0)),"")</f>
        <v/>
      </c>
      <c r="L3975" s="55" t="str">
        <f>IFERROR(IF($G3975="","",VLOOKUP('Dashboard And Emails Automate'!$G3975,Database!$H:$N,6,0)),"")</f>
        <v/>
      </c>
      <c r="M3975" s="55" t="str">
        <f>IFERROR(IF($G3975="","",VLOOKUP('Dashboard And Emails Automate'!$G3975,Database!$H:$N,7,0)),"")</f>
        <v/>
      </c>
      <c r="N3975" s="55" t="str">
        <f>IFERROR(IF(OR($B3975="",$B3975="(blank)"),"",VLOOKUP($B3975,'Email Marketing Raw Data'!$C:$O,6,0)),"")</f>
        <v/>
      </c>
      <c r="O3975" s="55" t="str">
        <f>IFERROR(IF(OR($B3975="",$B3975="(blank)"),"",VLOOKUP($B3975,'Email Marketing Raw Data'!$C:$O,7,0)),"")</f>
        <v/>
      </c>
      <c r="P3975" s="55" t="str">
        <f>IFERROR(IF(OR($B3975="",$B3975="(blank)"),"",VLOOKUP($B3975,'Email Marketing Raw Data'!$C:$O,8,0)),"")</f>
        <v/>
      </c>
      <c r="Q3975" s="62" t="str">
        <f>IFERROR(IF(OR($B3975="",$B3975="(blank)"),"",VLOOKUP($B3975,'Email Marketing Raw Data'!$C:$O,9,0)),"")</f>
        <v/>
      </c>
    </row>
    <row r="3976" spans="4:17" ht="12.75" customHeight="1" x14ac:dyDescent="0.2">
      <c r="D3976" s="58" t="str">
        <f>IFERROR(IF(F3976&lt;&gt;"pending","",IF(OR($B3976="",$B3976="(blank)"),"",VLOOKUP($B3976,'Email Marketing Raw Data'!$C:$O,10,0))),"")</f>
        <v/>
      </c>
      <c r="E3976" s="59" t="str">
        <f>IFERROR(IF(F3976&lt;&gt;"pending","",IF(OR($B3976="",$B3976="(blank)"),"",VLOOKUP($B3976,'Email Marketing Raw Data'!$C:$O,11,0))),"")</f>
        <v/>
      </c>
      <c r="F3976" s="54" t="str">
        <f>IFERROR(IF(OR($B3976="",$B3976="(blank)"),"",VLOOKUP($B3976,'Email Marketing Raw Data'!$C:$O,13,0)),"")</f>
        <v/>
      </c>
      <c r="G3976" s="55" t="str">
        <f>IFERROR(IF(OR($B3976="",$B3976="(blank)"),"",VLOOKUP($B3976,'Email Marketing Raw Data'!$C:$O,4,0)),"")</f>
        <v/>
      </c>
      <c r="H3976" s="55" t="str">
        <f>IFERROR(IF(OR($B3976="",$B3976="(blank)"),"",VLOOKUP($B3976,'Email Marketing Raw Data'!$C:$O,5,0)),"")</f>
        <v/>
      </c>
      <c r="I3976" s="55" t="str">
        <f>IFERROR(IF($G3976="","",VLOOKUP('Dashboard And Emails Automate'!$G3976,Database!$H:$N,3,0)),"")</f>
        <v/>
      </c>
      <c r="J3976" s="55" t="str">
        <f>IFERROR(IF($G3976="","",VLOOKUP('Dashboard And Emails Automate'!$G3976,Database!$H:$N,4,0)),"")</f>
        <v/>
      </c>
      <c r="K3976" s="55" t="str">
        <f>IFERROR(IF($G3976="","",VLOOKUP('Dashboard And Emails Automate'!$G3976,Database!$H:$N,5,0)),"")</f>
        <v/>
      </c>
      <c r="L3976" s="55" t="str">
        <f>IFERROR(IF($G3976="","",VLOOKUP('Dashboard And Emails Automate'!$G3976,Database!$H:$N,6,0)),"")</f>
        <v/>
      </c>
      <c r="M3976" s="55" t="str">
        <f>IFERROR(IF($G3976="","",VLOOKUP('Dashboard And Emails Automate'!$G3976,Database!$H:$N,7,0)),"")</f>
        <v/>
      </c>
      <c r="N3976" s="55" t="str">
        <f>IFERROR(IF(OR($B3976="",$B3976="(blank)"),"",VLOOKUP($B3976,'Email Marketing Raw Data'!$C:$O,6,0)),"")</f>
        <v/>
      </c>
      <c r="O3976" s="55" t="str">
        <f>IFERROR(IF(OR($B3976="",$B3976="(blank)"),"",VLOOKUP($B3976,'Email Marketing Raw Data'!$C:$O,7,0)),"")</f>
        <v/>
      </c>
      <c r="P3976" s="55" t="str">
        <f>IFERROR(IF(OR($B3976="",$B3976="(blank)"),"",VLOOKUP($B3976,'Email Marketing Raw Data'!$C:$O,8,0)),"")</f>
        <v/>
      </c>
      <c r="Q3976" s="62" t="str">
        <f>IFERROR(IF(OR($B3976="",$B3976="(blank)"),"",VLOOKUP($B3976,'Email Marketing Raw Data'!$C:$O,9,0)),"")</f>
        <v/>
      </c>
    </row>
    <row r="3977" spans="4:17" ht="12.75" customHeight="1" x14ac:dyDescent="0.2">
      <c r="D3977" s="58" t="str">
        <f>IFERROR(IF(F3977&lt;&gt;"pending","",IF(OR($B3977="",$B3977="(blank)"),"",VLOOKUP($B3977,'Email Marketing Raw Data'!$C:$O,10,0))),"")</f>
        <v/>
      </c>
      <c r="E3977" s="59" t="str">
        <f>IFERROR(IF(F3977&lt;&gt;"pending","",IF(OR($B3977="",$B3977="(blank)"),"",VLOOKUP($B3977,'Email Marketing Raw Data'!$C:$O,11,0))),"")</f>
        <v/>
      </c>
      <c r="F3977" s="54" t="str">
        <f>IFERROR(IF(OR($B3977="",$B3977="(blank)"),"",VLOOKUP($B3977,'Email Marketing Raw Data'!$C:$O,13,0)),"")</f>
        <v/>
      </c>
      <c r="G3977" s="55" t="str">
        <f>IFERROR(IF(OR($B3977="",$B3977="(blank)"),"",VLOOKUP($B3977,'Email Marketing Raw Data'!$C:$O,4,0)),"")</f>
        <v/>
      </c>
      <c r="H3977" s="55" t="str">
        <f>IFERROR(IF(OR($B3977="",$B3977="(blank)"),"",VLOOKUP($B3977,'Email Marketing Raw Data'!$C:$O,5,0)),"")</f>
        <v/>
      </c>
      <c r="I3977" s="55" t="str">
        <f>IFERROR(IF($G3977="","",VLOOKUP('Dashboard And Emails Automate'!$G3977,Database!$H:$N,3,0)),"")</f>
        <v/>
      </c>
      <c r="J3977" s="55" t="str">
        <f>IFERROR(IF($G3977="","",VLOOKUP('Dashboard And Emails Automate'!$G3977,Database!$H:$N,4,0)),"")</f>
        <v/>
      </c>
      <c r="K3977" s="55" t="str">
        <f>IFERROR(IF($G3977="","",VLOOKUP('Dashboard And Emails Automate'!$G3977,Database!$H:$N,5,0)),"")</f>
        <v/>
      </c>
      <c r="L3977" s="55" t="str">
        <f>IFERROR(IF($G3977="","",VLOOKUP('Dashboard And Emails Automate'!$G3977,Database!$H:$N,6,0)),"")</f>
        <v/>
      </c>
      <c r="M3977" s="55" t="str">
        <f>IFERROR(IF($G3977="","",VLOOKUP('Dashboard And Emails Automate'!$G3977,Database!$H:$N,7,0)),"")</f>
        <v/>
      </c>
      <c r="N3977" s="55" t="str">
        <f>IFERROR(IF(OR($B3977="",$B3977="(blank)"),"",VLOOKUP($B3977,'Email Marketing Raw Data'!$C:$O,6,0)),"")</f>
        <v/>
      </c>
      <c r="O3977" s="55" t="str">
        <f>IFERROR(IF(OR($B3977="",$B3977="(blank)"),"",VLOOKUP($B3977,'Email Marketing Raw Data'!$C:$O,7,0)),"")</f>
        <v/>
      </c>
      <c r="P3977" s="55" t="str">
        <f>IFERROR(IF(OR($B3977="",$B3977="(blank)"),"",VLOOKUP($B3977,'Email Marketing Raw Data'!$C:$O,8,0)),"")</f>
        <v/>
      </c>
      <c r="Q3977" s="62" t="str">
        <f>IFERROR(IF(OR($B3977="",$B3977="(blank)"),"",VLOOKUP($B3977,'Email Marketing Raw Data'!$C:$O,9,0)),"")</f>
        <v/>
      </c>
    </row>
    <row r="3978" spans="4:17" ht="12.75" customHeight="1" x14ac:dyDescent="0.2">
      <c r="D3978" s="58" t="str">
        <f>IFERROR(IF(F3978&lt;&gt;"pending","",IF(OR($B3978="",$B3978="(blank)"),"",VLOOKUP($B3978,'Email Marketing Raw Data'!$C:$O,10,0))),"")</f>
        <v/>
      </c>
      <c r="E3978" s="59" t="str">
        <f>IFERROR(IF(F3978&lt;&gt;"pending","",IF(OR($B3978="",$B3978="(blank)"),"",VLOOKUP($B3978,'Email Marketing Raw Data'!$C:$O,11,0))),"")</f>
        <v/>
      </c>
      <c r="F3978" s="54" t="str">
        <f>IFERROR(IF(OR($B3978="",$B3978="(blank)"),"",VLOOKUP($B3978,'Email Marketing Raw Data'!$C:$O,13,0)),"")</f>
        <v/>
      </c>
      <c r="G3978" s="55" t="str">
        <f>IFERROR(IF(OR($B3978="",$B3978="(blank)"),"",VLOOKUP($B3978,'Email Marketing Raw Data'!$C:$O,4,0)),"")</f>
        <v/>
      </c>
      <c r="H3978" s="55" t="str">
        <f>IFERROR(IF(OR($B3978="",$B3978="(blank)"),"",VLOOKUP($B3978,'Email Marketing Raw Data'!$C:$O,5,0)),"")</f>
        <v/>
      </c>
      <c r="I3978" s="55" t="str">
        <f>IFERROR(IF($G3978="","",VLOOKUP('Dashboard And Emails Automate'!$G3978,Database!$H:$N,3,0)),"")</f>
        <v/>
      </c>
      <c r="J3978" s="55" t="str">
        <f>IFERROR(IF($G3978="","",VLOOKUP('Dashboard And Emails Automate'!$G3978,Database!$H:$N,4,0)),"")</f>
        <v/>
      </c>
      <c r="K3978" s="55" t="str">
        <f>IFERROR(IF($G3978="","",VLOOKUP('Dashboard And Emails Automate'!$G3978,Database!$H:$N,5,0)),"")</f>
        <v/>
      </c>
      <c r="L3978" s="55" t="str">
        <f>IFERROR(IF($G3978="","",VLOOKUP('Dashboard And Emails Automate'!$G3978,Database!$H:$N,6,0)),"")</f>
        <v/>
      </c>
      <c r="M3978" s="55" t="str">
        <f>IFERROR(IF($G3978="","",VLOOKUP('Dashboard And Emails Automate'!$G3978,Database!$H:$N,7,0)),"")</f>
        <v/>
      </c>
      <c r="N3978" s="55" t="str">
        <f>IFERROR(IF(OR($B3978="",$B3978="(blank)"),"",VLOOKUP($B3978,'Email Marketing Raw Data'!$C:$O,6,0)),"")</f>
        <v/>
      </c>
      <c r="O3978" s="55" t="str">
        <f>IFERROR(IF(OR($B3978="",$B3978="(blank)"),"",VLOOKUP($B3978,'Email Marketing Raw Data'!$C:$O,7,0)),"")</f>
        <v/>
      </c>
      <c r="P3978" s="55" t="str">
        <f>IFERROR(IF(OR($B3978="",$B3978="(blank)"),"",VLOOKUP($B3978,'Email Marketing Raw Data'!$C:$O,8,0)),"")</f>
        <v/>
      </c>
      <c r="Q3978" s="62" t="str">
        <f>IFERROR(IF(OR($B3978="",$B3978="(blank)"),"",VLOOKUP($B3978,'Email Marketing Raw Data'!$C:$O,9,0)),"")</f>
        <v/>
      </c>
    </row>
    <row r="3979" spans="4:17" ht="12.75" customHeight="1" x14ac:dyDescent="0.2">
      <c r="D3979" s="58" t="str">
        <f>IFERROR(IF(F3979&lt;&gt;"pending","",IF(OR($B3979="",$B3979="(blank)"),"",VLOOKUP($B3979,'Email Marketing Raw Data'!$C:$O,10,0))),"")</f>
        <v/>
      </c>
      <c r="E3979" s="59" t="str">
        <f>IFERROR(IF(F3979&lt;&gt;"pending","",IF(OR($B3979="",$B3979="(blank)"),"",VLOOKUP($B3979,'Email Marketing Raw Data'!$C:$O,11,0))),"")</f>
        <v/>
      </c>
      <c r="F3979" s="54" t="str">
        <f>IFERROR(IF(OR($B3979="",$B3979="(blank)"),"",VLOOKUP($B3979,'Email Marketing Raw Data'!$C:$O,13,0)),"")</f>
        <v/>
      </c>
      <c r="G3979" s="55" t="str">
        <f>IFERROR(IF(OR($B3979="",$B3979="(blank)"),"",VLOOKUP($B3979,'Email Marketing Raw Data'!$C:$O,4,0)),"")</f>
        <v/>
      </c>
      <c r="H3979" s="55" t="str">
        <f>IFERROR(IF(OR($B3979="",$B3979="(blank)"),"",VLOOKUP($B3979,'Email Marketing Raw Data'!$C:$O,5,0)),"")</f>
        <v/>
      </c>
      <c r="I3979" s="55" t="str">
        <f>IFERROR(IF($G3979="","",VLOOKUP('Dashboard And Emails Automate'!$G3979,Database!$H:$N,3,0)),"")</f>
        <v/>
      </c>
      <c r="J3979" s="55" t="str">
        <f>IFERROR(IF($G3979="","",VLOOKUP('Dashboard And Emails Automate'!$G3979,Database!$H:$N,4,0)),"")</f>
        <v/>
      </c>
      <c r="K3979" s="55" t="str">
        <f>IFERROR(IF($G3979="","",VLOOKUP('Dashboard And Emails Automate'!$G3979,Database!$H:$N,5,0)),"")</f>
        <v/>
      </c>
      <c r="L3979" s="55" t="str">
        <f>IFERROR(IF($G3979="","",VLOOKUP('Dashboard And Emails Automate'!$G3979,Database!$H:$N,6,0)),"")</f>
        <v/>
      </c>
      <c r="M3979" s="55" t="str">
        <f>IFERROR(IF($G3979="","",VLOOKUP('Dashboard And Emails Automate'!$G3979,Database!$H:$N,7,0)),"")</f>
        <v/>
      </c>
      <c r="N3979" s="55" t="str">
        <f>IFERROR(IF(OR($B3979="",$B3979="(blank)"),"",VLOOKUP($B3979,'Email Marketing Raw Data'!$C:$O,6,0)),"")</f>
        <v/>
      </c>
      <c r="O3979" s="55" t="str">
        <f>IFERROR(IF(OR($B3979="",$B3979="(blank)"),"",VLOOKUP($B3979,'Email Marketing Raw Data'!$C:$O,7,0)),"")</f>
        <v/>
      </c>
      <c r="P3979" s="55" t="str">
        <f>IFERROR(IF(OR($B3979="",$B3979="(blank)"),"",VLOOKUP($B3979,'Email Marketing Raw Data'!$C:$O,8,0)),"")</f>
        <v/>
      </c>
      <c r="Q3979" s="62" t="str">
        <f>IFERROR(IF(OR($B3979="",$B3979="(blank)"),"",VLOOKUP($B3979,'Email Marketing Raw Data'!$C:$O,9,0)),"")</f>
        <v/>
      </c>
    </row>
    <row r="3980" spans="4:17" ht="12.75" customHeight="1" x14ac:dyDescent="0.2">
      <c r="D3980" s="58" t="str">
        <f>IFERROR(IF(F3980&lt;&gt;"pending","",IF(OR($B3980="",$B3980="(blank)"),"",VLOOKUP($B3980,'Email Marketing Raw Data'!$C:$O,10,0))),"")</f>
        <v/>
      </c>
      <c r="E3980" s="59" t="str">
        <f>IFERROR(IF(F3980&lt;&gt;"pending","",IF(OR($B3980="",$B3980="(blank)"),"",VLOOKUP($B3980,'Email Marketing Raw Data'!$C:$O,11,0))),"")</f>
        <v/>
      </c>
      <c r="F3980" s="54" t="str">
        <f>IFERROR(IF(OR($B3980="",$B3980="(blank)"),"",VLOOKUP($B3980,'Email Marketing Raw Data'!$C:$O,13,0)),"")</f>
        <v/>
      </c>
      <c r="G3980" s="55" t="str">
        <f>IFERROR(IF(OR($B3980="",$B3980="(blank)"),"",VLOOKUP($B3980,'Email Marketing Raw Data'!$C:$O,4,0)),"")</f>
        <v/>
      </c>
      <c r="H3980" s="55" t="str">
        <f>IFERROR(IF(OR($B3980="",$B3980="(blank)"),"",VLOOKUP($B3980,'Email Marketing Raw Data'!$C:$O,5,0)),"")</f>
        <v/>
      </c>
      <c r="I3980" s="55" t="str">
        <f>IFERROR(IF($G3980="","",VLOOKUP('Dashboard And Emails Automate'!$G3980,Database!$H:$N,3,0)),"")</f>
        <v/>
      </c>
      <c r="J3980" s="55" t="str">
        <f>IFERROR(IF($G3980="","",VLOOKUP('Dashboard And Emails Automate'!$G3980,Database!$H:$N,4,0)),"")</f>
        <v/>
      </c>
      <c r="K3980" s="55" t="str">
        <f>IFERROR(IF($G3980="","",VLOOKUP('Dashboard And Emails Automate'!$G3980,Database!$H:$N,5,0)),"")</f>
        <v/>
      </c>
      <c r="L3980" s="55" t="str">
        <f>IFERROR(IF($G3980="","",VLOOKUP('Dashboard And Emails Automate'!$G3980,Database!$H:$N,6,0)),"")</f>
        <v/>
      </c>
      <c r="M3980" s="55" t="str">
        <f>IFERROR(IF($G3980="","",VLOOKUP('Dashboard And Emails Automate'!$G3980,Database!$H:$N,7,0)),"")</f>
        <v/>
      </c>
      <c r="N3980" s="55" t="str">
        <f>IFERROR(IF(OR($B3980="",$B3980="(blank)"),"",VLOOKUP($B3980,'Email Marketing Raw Data'!$C:$O,6,0)),"")</f>
        <v/>
      </c>
      <c r="O3980" s="55" t="str">
        <f>IFERROR(IF(OR($B3980="",$B3980="(blank)"),"",VLOOKUP($B3980,'Email Marketing Raw Data'!$C:$O,7,0)),"")</f>
        <v/>
      </c>
      <c r="P3980" s="55" t="str">
        <f>IFERROR(IF(OR($B3980="",$B3980="(blank)"),"",VLOOKUP($B3980,'Email Marketing Raw Data'!$C:$O,8,0)),"")</f>
        <v/>
      </c>
      <c r="Q3980" s="62" t="str">
        <f>IFERROR(IF(OR($B3980="",$B3980="(blank)"),"",VLOOKUP($B3980,'Email Marketing Raw Data'!$C:$O,9,0)),"")</f>
        <v/>
      </c>
    </row>
    <row r="3981" spans="4:17" ht="12.75" customHeight="1" x14ac:dyDescent="0.2">
      <c r="D3981" s="58" t="str">
        <f>IFERROR(IF(F3981&lt;&gt;"pending","",IF(OR($B3981="",$B3981="(blank)"),"",VLOOKUP($B3981,'Email Marketing Raw Data'!$C:$O,10,0))),"")</f>
        <v/>
      </c>
      <c r="E3981" s="59" t="str">
        <f>IFERROR(IF(F3981&lt;&gt;"pending","",IF(OR($B3981="",$B3981="(blank)"),"",VLOOKUP($B3981,'Email Marketing Raw Data'!$C:$O,11,0))),"")</f>
        <v/>
      </c>
      <c r="F3981" s="54" t="str">
        <f>IFERROR(IF(OR($B3981="",$B3981="(blank)"),"",VLOOKUP($B3981,'Email Marketing Raw Data'!$C:$O,13,0)),"")</f>
        <v/>
      </c>
      <c r="G3981" s="55" t="str">
        <f>IFERROR(IF(OR($B3981="",$B3981="(blank)"),"",VLOOKUP($B3981,'Email Marketing Raw Data'!$C:$O,4,0)),"")</f>
        <v/>
      </c>
      <c r="H3981" s="55" t="str">
        <f>IFERROR(IF(OR($B3981="",$B3981="(blank)"),"",VLOOKUP($B3981,'Email Marketing Raw Data'!$C:$O,5,0)),"")</f>
        <v/>
      </c>
      <c r="I3981" s="55" t="str">
        <f>IFERROR(IF($G3981="","",VLOOKUP('Dashboard And Emails Automate'!$G3981,Database!$H:$N,3,0)),"")</f>
        <v/>
      </c>
      <c r="J3981" s="55" t="str">
        <f>IFERROR(IF($G3981="","",VLOOKUP('Dashboard And Emails Automate'!$G3981,Database!$H:$N,4,0)),"")</f>
        <v/>
      </c>
      <c r="K3981" s="55" t="str">
        <f>IFERROR(IF($G3981="","",VLOOKUP('Dashboard And Emails Automate'!$G3981,Database!$H:$N,5,0)),"")</f>
        <v/>
      </c>
      <c r="L3981" s="55" t="str">
        <f>IFERROR(IF($G3981="","",VLOOKUP('Dashboard And Emails Automate'!$G3981,Database!$H:$N,6,0)),"")</f>
        <v/>
      </c>
      <c r="M3981" s="55" t="str">
        <f>IFERROR(IF($G3981="","",VLOOKUP('Dashboard And Emails Automate'!$G3981,Database!$H:$N,7,0)),"")</f>
        <v/>
      </c>
      <c r="N3981" s="55" t="str">
        <f>IFERROR(IF(OR($B3981="",$B3981="(blank)"),"",VLOOKUP($B3981,'Email Marketing Raw Data'!$C:$O,6,0)),"")</f>
        <v/>
      </c>
      <c r="O3981" s="55" t="str">
        <f>IFERROR(IF(OR($B3981="",$B3981="(blank)"),"",VLOOKUP($B3981,'Email Marketing Raw Data'!$C:$O,7,0)),"")</f>
        <v/>
      </c>
      <c r="P3981" s="55" t="str">
        <f>IFERROR(IF(OR($B3981="",$B3981="(blank)"),"",VLOOKUP($B3981,'Email Marketing Raw Data'!$C:$O,8,0)),"")</f>
        <v/>
      </c>
      <c r="Q3981" s="62" t="str">
        <f>IFERROR(IF(OR($B3981="",$B3981="(blank)"),"",VLOOKUP($B3981,'Email Marketing Raw Data'!$C:$O,9,0)),"")</f>
        <v/>
      </c>
    </row>
    <row r="3982" spans="4:17" ht="12.75" customHeight="1" x14ac:dyDescent="0.2">
      <c r="D3982" s="58" t="str">
        <f>IFERROR(IF(F3982&lt;&gt;"pending","",IF(OR($B3982="",$B3982="(blank)"),"",VLOOKUP($B3982,'Email Marketing Raw Data'!$C:$O,10,0))),"")</f>
        <v/>
      </c>
      <c r="E3982" s="59" t="str">
        <f>IFERROR(IF(F3982&lt;&gt;"pending","",IF(OR($B3982="",$B3982="(blank)"),"",VLOOKUP($B3982,'Email Marketing Raw Data'!$C:$O,11,0))),"")</f>
        <v/>
      </c>
      <c r="F3982" s="54" t="str">
        <f>IFERROR(IF(OR($B3982="",$B3982="(blank)"),"",VLOOKUP($B3982,'Email Marketing Raw Data'!$C:$O,13,0)),"")</f>
        <v/>
      </c>
      <c r="G3982" s="55" t="str">
        <f>IFERROR(IF(OR($B3982="",$B3982="(blank)"),"",VLOOKUP($B3982,'Email Marketing Raw Data'!$C:$O,4,0)),"")</f>
        <v/>
      </c>
      <c r="H3982" s="55" t="str">
        <f>IFERROR(IF(OR($B3982="",$B3982="(blank)"),"",VLOOKUP($B3982,'Email Marketing Raw Data'!$C:$O,5,0)),"")</f>
        <v/>
      </c>
      <c r="I3982" s="55" t="str">
        <f>IFERROR(IF($G3982="","",VLOOKUP('Dashboard And Emails Automate'!$G3982,Database!$H:$N,3,0)),"")</f>
        <v/>
      </c>
      <c r="J3982" s="55" t="str">
        <f>IFERROR(IF($G3982="","",VLOOKUP('Dashboard And Emails Automate'!$G3982,Database!$H:$N,4,0)),"")</f>
        <v/>
      </c>
      <c r="K3982" s="55" t="str">
        <f>IFERROR(IF($G3982="","",VLOOKUP('Dashboard And Emails Automate'!$G3982,Database!$H:$N,5,0)),"")</f>
        <v/>
      </c>
      <c r="L3982" s="55" t="str">
        <f>IFERROR(IF($G3982="","",VLOOKUP('Dashboard And Emails Automate'!$G3982,Database!$H:$N,6,0)),"")</f>
        <v/>
      </c>
      <c r="M3982" s="55" t="str">
        <f>IFERROR(IF($G3982="","",VLOOKUP('Dashboard And Emails Automate'!$G3982,Database!$H:$N,7,0)),"")</f>
        <v/>
      </c>
      <c r="N3982" s="55" t="str">
        <f>IFERROR(IF(OR($B3982="",$B3982="(blank)"),"",VLOOKUP($B3982,'Email Marketing Raw Data'!$C:$O,6,0)),"")</f>
        <v/>
      </c>
      <c r="O3982" s="55" t="str">
        <f>IFERROR(IF(OR($B3982="",$B3982="(blank)"),"",VLOOKUP($B3982,'Email Marketing Raw Data'!$C:$O,7,0)),"")</f>
        <v/>
      </c>
      <c r="P3982" s="55" t="str">
        <f>IFERROR(IF(OR($B3982="",$B3982="(blank)"),"",VLOOKUP($B3982,'Email Marketing Raw Data'!$C:$O,8,0)),"")</f>
        <v/>
      </c>
      <c r="Q3982" s="62" t="str">
        <f>IFERROR(IF(OR($B3982="",$B3982="(blank)"),"",VLOOKUP($B3982,'Email Marketing Raw Data'!$C:$O,9,0)),"")</f>
        <v/>
      </c>
    </row>
    <row r="3983" spans="4:17" ht="12.75" customHeight="1" x14ac:dyDescent="0.2">
      <c r="D3983" s="58" t="str">
        <f>IFERROR(IF(F3983&lt;&gt;"pending","",IF(OR($B3983="",$B3983="(blank)"),"",VLOOKUP($B3983,'Email Marketing Raw Data'!$C:$O,10,0))),"")</f>
        <v/>
      </c>
      <c r="E3983" s="59" t="str">
        <f>IFERROR(IF(F3983&lt;&gt;"pending","",IF(OR($B3983="",$B3983="(blank)"),"",VLOOKUP($B3983,'Email Marketing Raw Data'!$C:$O,11,0))),"")</f>
        <v/>
      </c>
      <c r="F3983" s="54" t="str">
        <f>IFERROR(IF(OR($B3983="",$B3983="(blank)"),"",VLOOKUP($B3983,'Email Marketing Raw Data'!$C:$O,13,0)),"")</f>
        <v/>
      </c>
      <c r="G3983" s="55" t="str">
        <f>IFERROR(IF(OR($B3983="",$B3983="(blank)"),"",VLOOKUP($B3983,'Email Marketing Raw Data'!$C:$O,4,0)),"")</f>
        <v/>
      </c>
      <c r="H3983" s="55" t="str">
        <f>IFERROR(IF(OR($B3983="",$B3983="(blank)"),"",VLOOKUP($B3983,'Email Marketing Raw Data'!$C:$O,5,0)),"")</f>
        <v/>
      </c>
      <c r="I3983" s="55" t="str">
        <f>IFERROR(IF($G3983="","",VLOOKUP('Dashboard And Emails Automate'!$G3983,Database!$H:$N,3,0)),"")</f>
        <v/>
      </c>
      <c r="J3983" s="55" t="str">
        <f>IFERROR(IF($G3983="","",VLOOKUP('Dashboard And Emails Automate'!$G3983,Database!$H:$N,4,0)),"")</f>
        <v/>
      </c>
      <c r="K3983" s="55" t="str">
        <f>IFERROR(IF($G3983="","",VLOOKUP('Dashboard And Emails Automate'!$G3983,Database!$H:$N,5,0)),"")</f>
        <v/>
      </c>
      <c r="L3983" s="55" t="str">
        <f>IFERROR(IF($G3983="","",VLOOKUP('Dashboard And Emails Automate'!$G3983,Database!$H:$N,6,0)),"")</f>
        <v/>
      </c>
      <c r="M3983" s="55" t="str">
        <f>IFERROR(IF($G3983="","",VLOOKUP('Dashboard And Emails Automate'!$G3983,Database!$H:$N,7,0)),"")</f>
        <v/>
      </c>
      <c r="N3983" s="55" t="str">
        <f>IFERROR(IF(OR($B3983="",$B3983="(blank)"),"",VLOOKUP($B3983,'Email Marketing Raw Data'!$C:$O,6,0)),"")</f>
        <v/>
      </c>
      <c r="O3983" s="55" t="str">
        <f>IFERROR(IF(OR($B3983="",$B3983="(blank)"),"",VLOOKUP($B3983,'Email Marketing Raw Data'!$C:$O,7,0)),"")</f>
        <v/>
      </c>
      <c r="P3983" s="55" t="str">
        <f>IFERROR(IF(OR($B3983="",$B3983="(blank)"),"",VLOOKUP($B3983,'Email Marketing Raw Data'!$C:$O,8,0)),"")</f>
        <v/>
      </c>
      <c r="Q3983" s="62" t="str">
        <f>IFERROR(IF(OR($B3983="",$B3983="(blank)"),"",VLOOKUP($B3983,'Email Marketing Raw Data'!$C:$O,9,0)),"")</f>
        <v/>
      </c>
    </row>
    <row r="3984" spans="4:17" ht="12.75" customHeight="1" x14ac:dyDescent="0.2">
      <c r="D3984" s="58" t="str">
        <f>IFERROR(IF(F3984&lt;&gt;"pending","",IF(OR($B3984="",$B3984="(blank)"),"",VLOOKUP($B3984,'Email Marketing Raw Data'!$C:$O,10,0))),"")</f>
        <v/>
      </c>
      <c r="E3984" s="59" t="str">
        <f>IFERROR(IF(F3984&lt;&gt;"pending","",IF(OR($B3984="",$B3984="(blank)"),"",VLOOKUP($B3984,'Email Marketing Raw Data'!$C:$O,11,0))),"")</f>
        <v/>
      </c>
      <c r="F3984" s="54" t="str">
        <f>IFERROR(IF(OR($B3984="",$B3984="(blank)"),"",VLOOKUP($B3984,'Email Marketing Raw Data'!$C:$O,13,0)),"")</f>
        <v/>
      </c>
      <c r="G3984" s="55" t="str">
        <f>IFERROR(IF(OR($B3984="",$B3984="(blank)"),"",VLOOKUP($B3984,'Email Marketing Raw Data'!$C:$O,4,0)),"")</f>
        <v/>
      </c>
      <c r="H3984" s="55" t="str">
        <f>IFERROR(IF(OR($B3984="",$B3984="(blank)"),"",VLOOKUP($B3984,'Email Marketing Raw Data'!$C:$O,5,0)),"")</f>
        <v/>
      </c>
      <c r="I3984" s="55" t="str">
        <f>IFERROR(IF($G3984="","",VLOOKUP('Dashboard And Emails Automate'!$G3984,Database!$H:$N,3,0)),"")</f>
        <v/>
      </c>
      <c r="J3984" s="55" t="str">
        <f>IFERROR(IF($G3984="","",VLOOKUP('Dashboard And Emails Automate'!$G3984,Database!$H:$N,4,0)),"")</f>
        <v/>
      </c>
      <c r="K3984" s="55" t="str">
        <f>IFERROR(IF($G3984="","",VLOOKUP('Dashboard And Emails Automate'!$G3984,Database!$H:$N,5,0)),"")</f>
        <v/>
      </c>
      <c r="L3984" s="55" t="str">
        <f>IFERROR(IF($G3984="","",VLOOKUP('Dashboard And Emails Automate'!$G3984,Database!$H:$N,6,0)),"")</f>
        <v/>
      </c>
      <c r="M3984" s="55" t="str">
        <f>IFERROR(IF($G3984="","",VLOOKUP('Dashboard And Emails Automate'!$G3984,Database!$H:$N,7,0)),"")</f>
        <v/>
      </c>
      <c r="N3984" s="55" t="str">
        <f>IFERROR(IF(OR($B3984="",$B3984="(blank)"),"",VLOOKUP($B3984,'Email Marketing Raw Data'!$C:$O,6,0)),"")</f>
        <v/>
      </c>
      <c r="O3984" s="55" t="str">
        <f>IFERROR(IF(OR($B3984="",$B3984="(blank)"),"",VLOOKUP($B3984,'Email Marketing Raw Data'!$C:$O,7,0)),"")</f>
        <v/>
      </c>
      <c r="P3984" s="55" t="str">
        <f>IFERROR(IF(OR($B3984="",$B3984="(blank)"),"",VLOOKUP($B3984,'Email Marketing Raw Data'!$C:$O,8,0)),"")</f>
        <v/>
      </c>
      <c r="Q3984" s="62" t="str">
        <f>IFERROR(IF(OR($B3984="",$B3984="(blank)"),"",VLOOKUP($B3984,'Email Marketing Raw Data'!$C:$O,9,0)),"")</f>
        <v/>
      </c>
    </row>
    <row r="3985" spans="4:17" ht="12.75" customHeight="1" x14ac:dyDescent="0.2">
      <c r="D3985" s="58" t="str">
        <f>IFERROR(IF(F3985&lt;&gt;"pending","",IF(OR($B3985="",$B3985="(blank)"),"",VLOOKUP($B3985,'Email Marketing Raw Data'!$C:$O,10,0))),"")</f>
        <v/>
      </c>
      <c r="E3985" s="59" t="str">
        <f>IFERROR(IF(F3985&lt;&gt;"pending","",IF(OR($B3985="",$B3985="(blank)"),"",VLOOKUP($B3985,'Email Marketing Raw Data'!$C:$O,11,0))),"")</f>
        <v/>
      </c>
      <c r="F3985" s="54" t="str">
        <f>IFERROR(IF(OR($B3985="",$B3985="(blank)"),"",VLOOKUP($B3985,'Email Marketing Raw Data'!$C:$O,13,0)),"")</f>
        <v/>
      </c>
      <c r="G3985" s="55" t="str">
        <f>IFERROR(IF(OR($B3985="",$B3985="(blank)"),"",VLOOKUP($B3985,'Email Marketing Raw Data'!$C:$O,4,0)),"")</f>
        <v/>
      </c>
      <c r="H3985" s="55" t="str">
        <f>IFERROR(IF(OR($B3985="",$B3985="(blank)"),"",VLOOKUP($B3985,'Email Marketing Raw Data'!$C:$O,5,0)),"")</f>
        <v/>
      </c>
      <c r="I3985" s="55" t="str">
        <f>IFERROR(IF($G3985="","",VLOOKUP('Dashboard And Emails Automate'!$G3985,Database!$H:$N,3,0)),"")</f>
        <v/>
      </c>
      <c r="J3985" s="55" t="str">
        <f>IFERROR(IF($G3985="","",VLOOKUP('Dashboard And Emails Automate'!$G3985,Database!$H:$N,4,0)),"")</f>
        <v/>
      </c>
      <c r="K3985" s="55" t="str">
        <f>IFERROR(IF($G3985="","",VLOOKUP('Dashboard And Emails Automate'!$G3985,Database!$H:$N,5,0)),"")</f>
        <v/>
      </c>
      <c r="L3985" s="55" t="str">
        <f>IFERROR(IF($G3985="","",VLOOKUP('Dashboard And Emails Automate'!$G3985,Database!$H:$N,6,0)),"")</f>
        <v/>
      </c>
      <c r="M3985" s="55" t="str">
        <f>IFERROR(IF($G3985="","",VLOOKUP('Dashboard And Emails Automate'!$G3985,Database!$H:$N,7,0)),"")</f>
        <v/>
      </c>
      <c r="N3985" s="55" t="str">
        <f>IFERROR(IF(OR($B3985="",$B3985="(blank)"),"",VLOOKUP($B3985,'Email Marketing Raw Data'!$C:$O,6,0)),"")</f>
        <v/>
      </c>
      <c r="O3985" s="55" t="str">
        <f>IFERROR(IF(OR($B3985="",$B3985="(blank)"),"",VLOOKUP($B3985,'Email Marketing Raw Data'!$C:$O,7,0)),"")</f>
        <v/>
      </c>
      <c r="P3985" s="55" t="str">
        <f>IFERROR(IF(OR($B3985="",$B3985="(blank)"),"",VLOOKUP($B3985,'Email Marketing Raw Data'!$C:$O,8,0)),"")</f>
        <v/>
      </c>
      <c r="Q3985" s="62" t="str">
        <f>IFERROR(IF(OR($B3985="",$B3985="(blank)"),"",VLOOKUP($B3985,'Email Marketing Raw Data'!$C:$O,9,0)),"")</f>
        <v/>
      </c>
    </row>
    <row r="3986" spans="4:17" ht="12.75" customHeight="1" x14ac:dyDescent="0.2">
      <c r="D3986" s="58" t="str">
        <f>IFERROR(IF(F3986&lt;&gt;"pending","",IF(OR($B3986="",$B3986="(blank)"),"",VLOOKUP($B3986,'Email Marketing Raw Data'!$C:$O,10,0))),"")</f>
        <v/>
      </c>
      <c r="E3986" s="59" t="str">
        <f>IFERROR(IF(F3986&lt;&gt;"pending","",IF(OR($B3986="",$B3986="(blank)"),"",VLOOKUP($B3986,'Email Marketing Raw Data'!$C:$O,11,0))),"")</f>
        <v/>
      </c>
      <c r="F3986" s="54" t="str">
        <f>IFERROR(IF(OR($B3986="",$B3986="(blank)"),"",VLOOKUP($B3986,'Email Marketing Raw Data'!$C:$O,13,0)),"")</f>
        <v/>
      </c>
      <c r="G3986" s="55" t="str">
        <f>IFERROR(IF(OR($B3986="",$B3986="(blank)"),"",VLOOKUP($B3986,'Email Marketing Raw Data'!$C:$O,4,0)),"")</f>
        <v/>
      </c>
      <c r="H3986" s="55" t="str">
        <f>IFERROR(IF(OR($B3986="",$B3986="(blank)"),"",VLOOKUP($B3986,'Email Marketing Raw Data'!$C:$O,5,0)),"")</f>
        <v/>
      </c>
      <c r="I3986" s="55" t="str">
        <f>IFERROR(IF($G3986="","",VLOOKUP('Dashboard And Emails Automate'!$G3986,Database!$H:$N,3,0)),"")</f>
        <v/>
      </c>
      <c r="J3986" s="55" t="str">
        <f>IFERROR(IF($G3986="","",VLOOKUP('Dashboard And Emails Automate'!$G3986,Database!$H:$N,4,0)),"")</f>
        <v/>
      </c>
      <c r="K3986" s="55" t="str">
        <f>IFERROR(IF($G3986="","",VLOOKUP('Dashboard And Emails Automate'!$G3986,Database!$H:$N,5,0)),"")</f>
        <v/>
      </c>
      <c r="L3986" s="55" t="str">
        <f>IFERROR(IF($G3986="","",VLOOKUP('Dashboard And Emails Automate'!$G3986,Database!$H:$N,6,0)),"")</f>
        <v/>
      </c>
      <c r="M3986" s="55" t="str">
        <f>IFERROR(IF($G3986="","",VLOOKUP('Dashboard And Emails Automate'!$G3986,Database!$H:$N,7,0)),"")</f>
        <v/>
      </c>
      <c r="N3986" s="55" t="str">
        <f>IFERROR(IF(OR($B3986="",$B3986="(blank)"),"",VLOOKUP($B3986,'Email Marketing Raw Data'!$C:$O,6,0)),"")</f>
        <v/>
      </c>
      <c r="O3986" s="55" t="str">
        <f>IFERROR(IF(OR($B3986="",$B3986="(blank)"),"",VLOOKUP($B3986,'Email Marketing Raw Data'!$C:$O,7,0)),"")</f>
        <v/>
      </c>
      <c r="P3986" s="55" t="str">
        <f>IFERROR(IF(OR($B3986="",$B3986="(blank)"),"",VLOOKUP($B3986,'Email Marketing Raw Data'!$C:$O,8,0)),"")</f>
        <v/>
      </c>
      <c r="Q3986" s="62" t="str">
        <f>IFERROR(IF(OR($B3986="",$B3986="(blank)"),"",VLOOKUP($B3986,'Email Marketing Raw Data'!$C:$O,9,0)),"")</f>
        <v/>
      </c>
    </row>
    <row r="3987" spans="4:17" ht="12.75" customHeight="1" x14ac:dyDescent="0.2">
      <c r="D3987" s="58" t="str">
        <f>IFERROR(IF(F3987&lt;&gt;"pending","",IF(OR($B3987="",$B3987="(blank)"),"",VLOOKUP($B3987,'Email Marketing Raw Data'!$C:$O,10,0))),"")</f>
        <v/>
      </c>
      <c r="E3987" s="59" t="str">
        <f>IFERROR(IF(F3987&lt;&gt;"pending","",IF(OR($B3987="",$B3987="(blank)"),"",VLOOKUP($B3987,'Email Marketing Raw Data'!$C:$O,11,0))),"")</f>
        <v/>
      </c>
      <c r="F3987" s="54" t="str">
        <f>IFERROR(IF(OR($B3987="",$B3987="(blank)"),"",VLOOKUP($B3987,'Email Marketing Raw Data'!$C:$O,13,0)),"")</f>
        <v/>
      </c>
      <c r="G3987" s="55" t="str">
        <f>IFERROR(IF(OR($B3987="",$B3987="(blank)"),"",VLOOKUP($B3987,'Email Marketing Raw Data'!$C:$O,4,0)),"")</f>
        <v/>
      </c>
      <c r="H3987" s="55" t="str">
        <f>IFERROR(IF(OR($B3987="",$B3987="(blank)"),"",VLOOKUP($B3987,'Email Marketing Raw Data'!$C:$O,5,0)),"")</f>
        <v/>
      </c>
      <c r="I3987" s="55" t="str">
        <f>IFERROR(IF($G3987="","",VLOOKUP('Dashboard And Emails Automate'!$G3987,Database!$H:$N,3,0)),"")</f>
        <v/>
      </c>
      <c r="J3987" s="55" t="str">
        <f>IFERROR(IF($G3987="","",VLOOKUP('Dashboard And Emails Automate'!$G3987,Database!$H:$N,4,0)),"")</f>
        <v/>
      </c>
      <c r="K3987" s="55" t="str">
        <f>IFERROR(IF($G3987="","",VLOOKUP('Dashboard And Emails Automate'!$G3987,Database!$H:$N,5,0)),"")</f>
        <v/>
      </c>
      <c r="L3987" s="55" t="str">
        <f>IFERROR(IF($G3987="","",VLOOKUP('Dashboard And Emails Automate'!$G3987,Database!$H:$N,6,0)),"")</f>
        <v/>
      </c>
      <c r="M3987" s="55" t="str">
        <f>IFERROR(IF($G3987="","",VLOOKUP('Dashboard And Emails Automate'!$G3987,Database!$H:$N,7,0)),"")</f>
        <v/>
      </c>
      <c r="N3987" s="55" t="str">
        <f>IFERROR(IF(OR($B3987="",$B3987="(blank)"),"",VLOOKUP($B3987,'Email Marketing Raw Data'!$C:$O,6,0)),"")</f>
        <v/>
      </c>
      <c r="O3987" s="55" t="str">
        <f>IFERROR(IF(OR($B3987="",$B3987="(blank)"),"",VLOOKUP($B3987,'Email Marketing Raw Data'!$C:$O,7,0)),"")</f>
        <v/>
      </c>
      <c r="P3987" s="55" t="str">
        <f>IFERROR(IF(OR($B3987="",$B3987="(blank)"),"",VLOOKUP($B3987,'Email Marketing Raw Data'!$C:$O,8,0)),"")</f>
        <v/>
      </c>
      <c r="Q3987" s="62" t="str">
        <f>IFERROR(IF(OR($B3987="",$B3987="(blank)"),"",VLOOKUP($B3987,'Email Marketing Raw Data'!$C:$O,9,0)),"")</f>
        <v/>
      </c>
    </row>
    <row r="3988" spans="4:17" ht="12.75" customHeight="1" x14ac:dyDescent="0.2">
      <c r="D3988" s="58" t="str">
        <f>IFERROR(IF(F3988&lt;&gt;"pending","",IF(OR($B3988="",$B3988="(blank)"),"",VLOOKUP($B3988,'Email Marketing Raw Data'!$C:$O,10,0))),"")</f>
        <v/>
      </c>
      <c r="E3988" s="59" t="str">
        <f>IFERROR(IF(F3988&lt;&gt;"pending","",IF(OR($B3988="",$B3988="(blank)"),"",VLOOKUP($B3988,'Email Marketing Raw Data'!$C:$O,11,0))),"")</f>
        <v/>
      </c>
      <c r="F3988" s="54" t="str">
        <f>IFERROR(IF(OR($B3988="",$B3988="(blank)"),"",VLOOKUP($B3988,'Email Marketing Raw Data'!$C:$O,13,0)),"")</f>
        <v/>
      </c>
      <c r="G3988" s="55" t="str">
        <f>IFERROR(IF(OR($B3988="",$B3988="(blank)"),"",VLOOKUP($B3988,'Email Marketing Raw Data'!$C:$O,4,0)),"")</f>
        <v/>
      </c>
      <c r="H3988" s="55" t="str">
        <f>IFERROR(IF(OR($B3988="",$B3988="(blank)"),"",VLOOKUP($B3988,'Email Marketing Raw Data'!$C:$O,5,0)),"")</f>
        <v/>
      </c>
      <c r="I3988" s="55" t="str">
        <f>IFERROR(IF($G3988="","",VLOOKUP('Dashboard And Emails Automate'!$G3988,Database!$H:$N,3,0)),"")</f>
        <v/>
      </c>
      <c r="J3988" s="55" t="str">
        <f>IFERROR(IF($G3988="","",VLOOKUP('Dashboard And Emails Automate'!$G3988,Database!$H:$N,4,0)),"")</f>
        <v/>
      </c>
      <c r="K3988" s="55" t="str">
        <f>IFERROR(IF($G3988="","",VLOOKUP('Dashboard And Emails Automate'!$G3988,Database!$H:$N,5,0)),"")</f>
        <v/>
      </c>
      <c r="L3988" s="55" t="str">
        <f>IFERROR(IF($G3988="","",VLOOKUP('Dashboard And Emails Automate'!$G3988,Database!$H:$N,6,0)),"")</f>
        <v/>
      </c>
      <c r="M3988" s="55" t="str">
        <f>IFERROR(IF($G3988="","",VLOOKUP('Dashboard And Emails Automate'!$G3988,Database!$H:$N,7,0)),"")</f>
        <v/>
      </c>
      <c r="N3988" s="55" t="str">
        <f>IFERROR(IF(OR($B3988="",$B3988="(blank)"),"",VLOOKUP($B3988,'Email Marketing Raw Data'!$C:$O,6,0)),"")</f>
        <v/>
      </c>
      <c r="O3988" s="55" t="str">
        <f>IFERROR(IF(OR($B3988="",$B3988="(blank)"),"",VLOOKUP($B3988,'Email Marketing Raw Data'!$C:$O,7,0)),"")</f>
        <v/>
      </c>
      <c r="P3988" s="55" t="str">
        <f>IFERROR(IF(OR($B3988="",$B3988="(blank)"),"",VLOOKUP($B3988,'Email Marketing Raw Data'!$C:$O,8,0)),"")</f>
        <v/>
      </c>
      <c r="Q3988" s="62" t="str">
        <f>IFERROR(IF(OR($B3988="",$B3988="(blank)"),"",VLOOKUP($B3988,'Email Marketing Raw Data'!$C:$O,9,0)),"")</f>
        <v/>
      </c>
    </row>
    <row r="3989" spans="4:17" ht="12.75" customHeight="1" x14ac:dyDescent="0.2">
      <c r="D3989" s="58" t="str">
        <f>IFERROR(IF(F3989&lt;&gt;"pending","",IF(OR($B3989="",$B3989="(blank)"),"",VLOOKUP($B3989,'Email Marketing Raw Data'!$C:$O,10,0))),"")</f>
        <v/>
      </c>
      <c r="E3989" s="59" t="str">
        <f>IFERROR(IF(F3989&lt;&gt;"pending","",IF(OR($B3989="",$B3989="(blank)"),"",VLOOKUP($B3989,'Email Marketing Raw Data'!$C:$O,11,0))),"")</f>
        <v/>
      </c>
      <c r="F3989" s="54" t="str">
        <f>IFERROR(IF(OR($B3989="",$B3989="(blank)"),"",VLOOKUP($B3989,'Email Marketing Raw Data'!$C:$O,13,0)),"")</f>
        <v/>
      </c>
      <c r="G3989" s="55" t="str">
        <f>IFERROR(IF(OR($B3989="",$B3989="(blank)"),"",VLOOKUP($B3989,'Email Marketing Raw Data'!$C:$O,4,0)),"")</f>
        <v/>
      </c>
      <c r="H3989" s="55" t="str">
        <f>IFERROR(IF(OR($B3989="",$B3989="(blank)"),"",VLOOKUP($B3989,'Email Marketing Raw Data'!$C:$O,5,0)),"")</f>
        <v/>
      </c>
      <c r="I3989" s="55" t="str">
        <f>IFERROR(IF($G3989="","",VLOOKUP('Dashboard And Emails Automate'!$G3989,Database!$H:$N,3,0)),"")</f>
        <v/>
      </c>
      <c r="J3989" s="55" t="str">
        <f>IFERROR(IF($G3989="","",VLOOKUP('Dashboard And Emails Automate'!$G3989,Database!$H:$N,4,0)),"")</f>
        <v/>
      </c>
      <c r="K3989" s="55" t="str">
        <f>IFERROR(IF($G3989="","",VLOOKUP('Dashboard And Emails Automate'!$G3989,Database!$H:$N,5,0)),"")</f>
        <v/>
      </c>
      <c r="L3989" s="55" t="str">
        <f>IFERROR(IF($G3989="","",VLOOKUP('Dashboard And Emails Automate'!$G3989,Database!$H:$N,6,0)),"")</f>
        <v/>
      </c>
      <c r="M3989" s="55" t="str">
        <f>IFERROR(IF($G3989="","",VLOOKUP('Dashboard And Emails Automate'!$G3989,Database!$H:$N,7,0)),"")</f>
        <v/>
      </c>
      <c r="N3989" s="55" t="str">
        <f>IFERROR(IF(OR($B3989="",$B3989="(blank)"),"",VLOOKUP($B3989,'Email Marketing Raw Data'!$C:$O,6,0)),"")</f>
        <v/>
      </c>
      <c r="O3989" s="55" t="str">
        <f>IFERROR(IF(OR($B3989="",$B3989="(blank)"),"",VLOOKUP($B3989,'Email Marketing Raw Data'!$C:$O,7,0)),"")</f>
        <v/>
      </c>
      <c r="P3989" s="55" t="str">
        <f>IFERROR(IF(OR($B3989="",$B3989="(blank)"),"",VLOOKUP($B3989,'Email Marketing Raw Data'!$C:$O,8,0)),"")</f>
        <v/>
      </c>
      <c r="Q3989" s="62" t="str">
        <f>IFERROR(IF(OR($B3989="",$B3989="(blank)"),"",VLOOKUP($B3989,'Email Marketing Raw Data'!$C:$O,9,0)),"")</f>
        <v/>
      </c>
    </row>
    <row r="3990" spans="4:17" ht="12.75" customHeight="1" x14ac:dyDescent="0.2">
      <c r="D3990" s="58" t="str">
        <f>IFERROR(IF(F3990&lt;&gt;"pending","",IF(OR($B3990="",$B3990="(blank)"),"",VLOOKUP($B3990,'Email Marketing Raw Data'!$C:$O,10,0))),"")</f>
        <v/>
      </c>
      <c r="E3990" s="59" t="str">
        <f>IFERROR(IF(F3990&lt;&gt;"pending","",IF(OR($B3990="",$B3990="(blank)"),"",VLOOKUP($B3990,'Email Marketing Raw Data'!$C:$O,11,0))),"")</f>
        <v/>
      </c>
      <c r="F3990" s="54" t="str">
        <f>IFERROR(IF(OR($B3990="",$B3990="(blank)"),"",VLOOKUP($B3990,'Email Marketing Raw Data'!$C:$O,13,0)),"")</f>
        <v/>
      </c>
      <c r="G3990" s="55" t="str">
        <f>IFERROR(IF(OR($B3990="",$B3990="(blank)"),"",VLOOKUP($B3990,'Email Marketing Raw Data'!$C:$O,4,0)),"")</f>
        <v/>
      </c>
      <c r="H3990" s="55" t="str">
        <f>IFERROR(IF(OR($B3990="",$B3990="(blank)"),"",VLOOKUP($B3990,'Email Marketing Raw Data'!$C:$O,5,0)),"")</f>
        <v/>
      </c>
      <c r="I3990" s="55" t="str">
        <f>IFERROR(IF($G3990="","",VLOOKUP('Dashboard And Emails Automate'!$G3990,Database!$H:$N,3,0)),"")</f>
        <v/>
      </c>
      <c r="J3990" s="55" t="str">
        <f>IFERROR(IF($G3990="","",VLOOKUP('Dashboard And Emails Automate'!$G3990,Database!$H:$N,4,0)),"")</f>
        <v/>
      </c>
      <c r="K3990" s="55" t="str">
        <f>IFERROR(IF($G3990="","",VLOOKUP('Dashboard And Emails Automate'!$G3990,Database!$H:$N,5,0)),"")</f>
        <v/>
      </c>
      <c r="L3990" s="55" t="str">
        <f>IFERROR(IF($G3990="","",VLOOKUP('Dashboard And Emails Automate'!$G3990,Database!$H:$N,6,0)),"")</f>
        <v/>
      </c>
      <c r="M3990" s="55" t="str">
        <f>IFERROR(IF($G3990="","",VLOOKUP('Dashboard And Emails Automate'!$G3990,Database!$H:$N,7,0)),"")</f>
        <v/>
      </c>
      <c r="N3990" s="55" t="str">
        <f>IFERROR(IF(OR($B3990="",$B3990="(blank)"),"",VLOOKUP($B3990,'Email Marketing Raw Data'!$C:$O,6,0)),"")</f>
        <v/>
      </c>
      <c r="O3990" s="55" t="str">
        <f>IFERROR(IF(OR($B3990="",$B3990="(blank)"),"",VLOOKUP($B3990,'Email Marketing Raw Data'!$C:$O,7,0)),"")</f>
        <v/>
      </c>
      <c r="P3990" s="55" t="str">
        <f>IFERROR(IF(OR($B3990="",$B3990="(blank)"),"",VLOOKUP($B3990,'Email Marketing Raw Data'!$C:$O,8,0)),"")</f>
        <v/>
      </c>
      <c r="Q3990" s="62" t="str">
        <f>IFERROR(IF(OR($B3990="",$B3990="(blank)"),"",VLOOKUP($B3990,'Email Marketing Raw Data'!$C:$O,9,0)),"")</f>
        <v/>
      </c>
    </row>
    <row r="3991" spans="4:17" ht="12.75" customHeight="1" x14ac:dyDescent="0.2">
      <c r="D3991" s="58" t="str">
        <f>IFERROR(IF(F3991&lt;&gt;"pending","",IF(OR($B3991="",$B3991="(blank)"),"",VLOOKUP($B3991,'Email Marketing Raw Data'!$C:$O,10,0))),"")</f>
        <v/>
      </c>
      <c r="E3991" s="59" t="str">
        <f>IFERROR(IF(F3991&lt;&gt;"pending","",IF(OR($B3991="",$B3991="(blank)"),"",VLOOKUP($B3991,'Email Marketing Raw Data'!$C:$O,11,0))),"")</f>
        <v/>
      </c>
      <c r="F3991" s="54" t="str">
        <f>IFERROR(IF(OR($B3991="",$B3991="(blank)"),"",VLOOKUP($B3991,'Email Marketing Raw Data'!$C:$O,13,0)),"")</f>
        <v/>
      </c>
      <c r="G3991" s="55" t="str">
        <f>IFERROR(IF(OR($B3991="",$B3991="(blank)"),"",VLOOKUP($B3991,'Email Marketing Raw Data'!$C:$O,4,0)),"")</f>
        <v/>
      </c>
      <c r="H3991" s="55" t="str">
        <f>IFERROR(IF(OR($B3991="",$B3991="(blank)"),"",VLOOKUP($B3991,'Email Marketing Raw Data'!$C:$O,5,0)),"")</f>
        <v/>
      </c>
      <c r="I3991" s="55" t="str">
        <f>IFERROR(IF($G3991="","",VLOOKUP('Dashboard And Emails Automate'!$G3991,Database!$H:$N,3,0)),"")</f>
        <v/>
      </c>
      <c r="J3991" s="55" t="str">
        <f>IFERROR(IF($G3991="","",VLOOKUP('Dashboard And Emails Automate'!$G3991,Database!$H:$N,4,0)),"")</f>
        <v/>
      </c>
      <c r="K3991" s="55" t="str">
        <f>IFERROR(IF($G3991="","",VLOOKUP('Dashboard And Emails Automate'!$G3991,Database!$H:$N,5,0)),"")</f>
        <v/>
      </c>
      <c r="L3991" s="55" t="str">
        <f>IFERROR(IF($G3991="","",VLOOKUP('Dashboard And Emails Automate'!$G3991,Database!$H:$N,6,0)),"")</f>
        <v/>
      </c>
      <c r="M3991" s="55" t="str">
        <f>IFERROR(IF($G3991="","",VLOOKUP('Dashboard And Emails Automate'!$G3991,Database!$H:$N,7,0)),"")</f>
        <v/>
      </c>
      <c r="N3991" s="55" t="str">
        <f>IFERROR(IF(OR($B3991="",$B3991="(blank)"),"",VLOOKUP($B3991,'Email Marketing Raw Data'!$C:$O,6,0)),"")</f>
        <v/>
      </c>
      <c r="O3991" s="55" t="str">
        <f>IFERROR(IF(OR($B3991="",$B3991="(blank)"),"",VLOOKUP($B3991,'Email Marketing Raw Data'!$C:$O,7,0)),"")</f>
        <v/>
      </c>
      <c r="P3991" s="55" t="str">
        <f>IFERROR(IF(OR($B3991="",$B3991="(blank)"),"",VLOOKUP($B3991,'Email Marketing Raw Data'!$C:$O,8,0)),"")</f>
        <v/>
      </c>
      <c r="Q3991" s="62" t="str">
        <f>IFERROR(IF(OR($B3991="",$B3991="(blank)"),"",VLOOKUP($B3991,'Email Marketing Raw Data'!$C:$O,9,0)),"")</f>
        <v/>
      </c>
    </row>
    <row r="3992" spans="4:17" ht="12.75" customHeight="1" x14ac:dyDescent="0.2">
      <c r="D3992" s="58" t="str">
        <f>IFERROR(IF(F3992&lt;&gt;"pending","",IF(OR($B3992="",$B3992="(blank)"),"",VLOOKUP($B3992,'Email Marketing Raw Data'!$C:$O,10,0))),"")</f>
        <v/>
      </c>
      <c r="E3992" s="59" t="str">
        <f>IFERROR(IF(F3992&lt;&gt;"pending","",IF(OR($B3992="",$B3992="(blank)"),"",VLOOKUP($B3992,'Email Marketing Raw Data'!$C:$O,11,0))),"")</f>
        <v/>
      </c>
      <c r="F3992" s="54" t="str">
        <f>IFERROR(IF(OR($B3992="",$B3992="(blank)"),"",VLOOKUP($B3992,'Email Marketing Raw Data'!$C:$O,13,0)),"")</f>
        <v/>
      </c>
      <c r="G3992" s="55" t="str">
        <f>IFERROR(IF(OR($B3992="",$B3992="(blank)"),"",VLOOKUP($B3992,'Email Marketing Raw Data'!$C:$O,4,0)),"")</f>
        <v/>
      </c>
      <c r="H3992" s="55" t="str">
        <f>IFERROR(IF(OR($B3992="",$B3992="(blank)"),"",VLOOKUP($B3992,'Email Marketing Raw Data'!$C:$O,5,0)),"")</f>
        <v/>
      </c>
      <c r="I3992" s="55" t="str">
        <f>IFERROR(IF($G3992="","",VLOOKUP('Dashboard And Emails Automate'!$G3992,Database!$H:$N,3,0)),"")</f>
        <v/>
      </c>
      <c r="J3992" s="55" t="str">
        <f>IFERROR(IF($G3992="","",VLOOKUP('Dashboard And Emails Automate'!$G3992,Database!$H:$N,4,0)),"")</f>
        <v/>
      </c>
      <c r="K3992" s="55" t="str">
        <f>IFERROR(IF($G3992="","",VLOOKUP('Dashboard And Emails Automate'!$G3992,Database!$H:$N,5,0)),"")</f>
        <v/>
      </c>
      <c r="L3992" s="55" t="str">
        <f>IFERROR(IF($G3992="","",VLOOKUP('Dashboard And Emails Automate'!$G3992,Database!$H:$N,6,0)),"")</f>
        <v/>
      </c>
      <c r="M3992" s="55" t="str">
        <f>IFERROR(IF($G3992="","",VLOOKUP('Dashboard And Emails Automate'!$G3992,Database!$H:$N,7,0)),"")</f>
        <v/>
      </c>
      <c r="N3992" s="55" t="str">
        <f>IFERROR(IF(OR($B3992="",$B3992="(blank)"),"",VLOOKUP($B3992,'Email Marketing Raw Data'!$C:$O,6,0)),"")</f>
        <v/>
      </c>
      <c r="O3992" s="55" t="str">
        <f>IFERROR(IF(OR($B3992="",$B3992="(blank)"),"",VLOOKUP($B3992,'Email Marketing Raw Data'!$C:$O,7,0)),"")</f>
        <v/>
      </c>
      <c r="P3992" s="55" t="str">
        <f>IFERROR(IF(OR($B3992="",$B3992="(blank)"),"",VLOOKUP($B3992,'Email Marketing Raw Data'!$C:$O,8,0)),"")</f>
        <v/>
      </c>
      <c r="Q3992" s="62" t="str">
        <f>IFERROR(IF(OR($B3992="",$B3992="(blank)"),"",VLOOKUP($B3992,'Email Marketing Raw Data'!$C:$O,9,0)),"")</f>
        <v/>
      </c>
    </row>
    <row r="3993" spans="4:17" ht="12.75" customHeight="1" x14ac:dyDescent="0.2">
      <c r="D3993" s="58" t="str">
        <f>IFERROR(IF(F3993&lt;&gt;"pending","",IF(OR($B3993="",$B3993="(blank)"),"",VLOOKUP($B3993,'Email Marketing Raw Data'!$C:$O,10,0))),"")</f>
        <v/>
      </c>
      <c r="E3993" s="59" t="str">
        <f>IFERROR(IF(F3993&lt;&gt;"pending","",IF(OR($B3993="",$B3993="(blank)"),"",VLOOKUP($B3993,'Email Marketing Raw Data'!$C:$O,11,0))),"")</f>
        <v/>
      </c>
      <c r="F3993" s="54" t="str">
        <f>IFERROR(IF(OR($B3993="",$B3993="(blank)"),"",VLOOKUP($B3993,'Email Marketing Raw Data'!$C:$O,13,0)),"")</f>
        <v/>
      </c>
      <c r="G3993" s="55" t="str">
        <f>IFERROR(IF(OR($B3993="",$B3993="(blank)"),"",VLOOKUP($B3993,'Email Marketing Raw Data'!$C:$O,4,0)),"")</f>
        <v/>
      </c>
      <c r="H3993" s="55" t="str">
        <f>IFERROR(IF(OR($B3993="",$B3993="(blank)"),"",VLOOKUP($B3993,'Email Marketing Raw Data'!$C:$O,5,0)),"")</f>
        <v/>
      </c>
      <c r="I3993" s="55" t="str">
        <f>IFERROR(IF($G3993="","",VLOOKUP('Dashboard And Emails Automate'!$G3993,Database!$H:$N,3,0)),"")</f>
        <v/>
      </c>
      <c r="J3993" s="55" t="str">
        <f>IFERROR(IF($G3993="","",VLOOKUP('Dashboard And Emails Automate'!$G3993,Database!$H:$N,4,0)),"")</f>
        <v/>
      </c>
      <c r="K3993" s="55" t="str">
        <f>IFERROR(IF($G3993="","",VLOOKUP('Dashboard And Emails Automate'!$G3993,Database!$H:$N,5,0)),"")</f>
        <v/>
      </c>
      <c r="L3993" s="55" t="str">
        <f>IFERROR(IF($G3993="","",VLOOKUP('Dashboard And Emails Automate'!$G3993,Database!$H:$N,6,0)),"")</f>
        <v/>
      </c>
      <c r="M3993" s="55" t="str">
        <f>IFERROR(IF($G3993="","",VLOOKUP('Dashboard And Emails Automate'!$G3993,Database!$H:$N,7,0)),"")</f>
        <v/>
      </c>
      <c r="N3993" s="55" t="str">
        <f>IFERROR(IF(OR($B3993="",$B3993="(blank)"),"",VLOOKUP($B3993,'Email Marketing Raw Data'!$C:$O,6,0)),"")</f>
        <v/>
      </c>
      <c r="O3993" s="55" t="str">
        <f>IFERROR(IF(OR($B3993="",$B3993="(blank)"),"",VLOOKUP($B3993,'Email Marketing Raw Data'!$C:$O,7,0)),"")</f>
        <v/>
      </c>
      <c r="P3993" s="55" t="str">
        <f>IFERROR(IF(OR($B3993="",$B3993="(blank)"),"",VLOOKUP($B3993,'Email Marketing Raw Data'!$C:$O,8,0)),"")</f>
        <v/>
      </c>
      <c r="Q3993" s="62" t="str">
        <f>IFERROR(IF(OR($B3993="",$B3993="(blank)"),"",VLOOKUP($B3993,'Email Marketing Raw Data'!$C:$O,9,0)),"")</f>
        <v/>
      </c>
    </row>
    <row r="3994" spans="4:17" ht="12.75" customHeight="1" x14ac:dyDescent="0.2">
      <c r="D3994" s="58" t="str">
        <f>IFERROR(IF(F3994&lt;&gt;"pending","",IF(OR($B3994="",$B3994="(blank)"),"",VLOOKUP($B3994,'Email Marketing Raw Data'!$C:$O,10,0))),"")</f>
        <v/>
      </c>
      <c r="E3994" s="59" t="str">
        <f>IFERROR(IF(F3994&lt;&gt;"pending","",IF(OR($B3994="",$B3994="(blank)"),"",VLOOKUP($B3994,'Email Marketing Raw Data'!$C:$O,11,0))),"")</f>
        <v/>
      </c>
      <c r="F3994" s="54" t="str">
        <f>IFERROR(IF(OR($B3994="",$B3994="(blank)"),"",VLOOKUP($B3994,'Email Marketing Raw Data'!$C:$O,13,0)),"")</f>
        <v/>
      </c>
      <c r="G3994" s="55" t="str">
        <f>IFERROR(IF(OR($B3994="",$B3994="(blank)"),"",VLOOKUP($B3994,'Email Marketing Raw Data'!$C:$O,4,0)),"")</f>
        <v/>
      </c>
      <c r="H3994" s="55" t="str">
        <f>IFERROR(IF(OR($B3994="",$B3994="(blank)"),"",VLOOKUP($B3994,'Email Marketing Raw Data'!$C:$O,5,0)),"")</f>
        <v/>
      </c>
      <c r="I3994" s="55" t="str">
        <f>IFERROR(IF($G3994="","",VLOOKUP('Dashboard And Emails Automate'!$G3994,Database!$H:$N,3,0)),"")</f>
        <v/>
      </c>
      <c r="J3994" s="55" t="str">
        <f>IFERROR(IF($G3994="","",VLOOKUP('Dashboard And Emails Automate'!$G3994,Database!$H:$N,4,0)),"")</f>
        <v/>
      </c>
      <c r="K3994" s="55" t="str">
        <f>IFERROR(IF($G3994="","",VLOOKUP('Dashboard And Emails Automate'!$G3994,Database!$H:$N,5,0)),"")</f>
        <v/>
      </c>
      <c r="L3994" s="55" t="str">
        <f>IFERROR(IF($G3994="","",VLOOKUP('Dashboard And Emails Automate'!$G3994,Database!$H:$N,6,0)),"")</f>
        <v/>
      </c>
      <c r="M3994" s="55" t="str">
        <f>IFERROR(IF($G3994="","",VLOOKUP('Dashboard And Emails Automate'!$G3994,Database!$H:$N,7,0)),"")</f>
        <v/>
      </c>
      <c r="N3994" s="55" t="str">
        <f>IFERROR(IF(OR($B3994="",$B3994="(blank)"),"",VLOOKUP($B3994,'Email Marketing Raw Data'!$C:$O,6,0)),"")</f>
        <v/>
      </c>
      <c r="O3994" s="55" t="str">
        <f>IFERROR(IF(OR($B3994="",$B3994="(blank)"),"",VLOOKUP($B3994,'Email Marketing Raw Data'!$C:$O,7,0)),"")</f>
        <v/>
      </c>
      <c r="P3994" s="55" t="str">
        <f>IFERROR(IF(OR($B3994="",$B3994="(blank)"),"",VLOOKUP($B3994,'Email Marketing Raw Data'!$C:$O,8,0)),"")</f>
        <v/>
      </c>
      <c r="Q3994" s="62" t="str">
        <f>IFERROR(IF(OR($B3994="",$B3994="(blank)"),"",VLOOKUP($B3994,'Email Marketing Raw Data'!$C:$O,9,0)),"")</f>
        <v/>
      </c>
    </row>
    <row r="3995" spans="4:17" ht="12.75" customHeight="1" x14ac:dyDescent="0.2">
      <c r="D3995" s="58" t="str">
        <f>IFERROR(IF(F3995&lt;&gt;"pending","",IF(OR($B3995="",$B3995="(blank)"),"",VLOOKUP($B3995,'Email Marketing Raw Data'!$C:$O,10,0))),"")</f>
        <v/>
      </c>
      <c r="E3995" s="59" t="str">
        <f>IFERROR(IF(F3995&lt;&gt;"pending","",IF(OR($B3995="",$B3995="(blank)"),"",VLOOKUP($B3995,'Email Marketing Raw Data'!$C:$O,11,0))),"")</f>
        <v/>
      </c>
      <c r="F3995" s="54" t="str">
        <f>IFERROR(IF(OR($B3995="",$B3995="(blank)"),"",VLOOKUP($B3995,'Email Marketing Raw Data'!$C:$O,13,0)),"")</f>
        <v/>
      </c>
      <c r="G3995" s="55" t="str">
        <f>IFERROR(IF(OR($B3995="",$B3995="(blank)"),"",VLOOKUP($B3995,'Email Marketing Raw Data'!$C:$O,4,0)),"")</f>
        <v/>
      </c>
      <c r="H3995" s="55" t="str">
        <f>IFERROR(IF(OR($B3995="",$B3995="(blank)"),"",VLOOKUP($B3995,'Email Marketing Raw Data'!$C:$O,5,0)),"")</f>
        <v/>
      </c>
      <c r="I3995" s="55" t="str">
        <f>IFERROR(IF($G3995="","",VLOOKUP('Dashboard And Emails Automate'!$G3995,Database!$H:$N,3,0)),"")</f>
        <v/>
      </c>
      <c r="J3995" s="55" t="str">
        <f>IFERROR(IF($G3995="","",VLOOKUP('Dashboard And Emails Automate'!$G3995,Database!$H:$N,4,0)),"")</f>
        <v/>
      </c>
      <c r="K3995" s="55" t="str">
        <f>IFERROR(IF($G3995="","",VLOOKUP('Dashboard And Emails Automate'!$G3995,Database!$H:$N,5,0)),"")</f>
        <v/>
      </c>
      <c r="L3995" s="55" t="str">
        <f>IFERROR(IF($G3995="","",VLOOKUP('Dashboard And Emails Automate'!$G3995,Database!$H:$N,6,0)),"")</f>
        <v/>
      </c>
      <c r="M3995" s="55" t="str">
        <f>IFERROR(IF($G3995="","",VLOOKUP('Dashboard And Emails Automate'!$G3995,Database!$H:$N,7,0)),"")</f>
        <v/>
      </c>
      <c r="N3995" s="55" t="str">
        <f>IFERROR(IF(OR($B3995="",$B3995="(blank)"),"",VLOOKUP($B3995,'Email Marketing Raw Data'!$C:$O,6,0)),"")</f>
        <v/>
      </c>
      <c r="O3995" s="55" t="str">
        <f>IFERROR(IF(OR($B3995="",$B3995="(blank)"),"",VLOOKUP($B3995,'Email Marketing Raw Data'!$C:$O,7,0)),"")</f>
        <v/>
      </c>
      <c r="P3995" s="55" t="str">
        <f>IFERROR(IF(OR($B3995="",$B3995="(blank)"),"",VLOOKUP($B3995,'Email Marketing Raw Data'!$C:$O,8,0)),"")</f>
        <v/>
      </c>
      <c r="Q3995" s="62" t="str">
        <f>IFERROR(IF(OR($B3995="",$B3995="(blank)"),"",VLOOKUP($B3995,'Email Marketing Raw Data'!$C:$O,9,0)),"")</f>
        <v/>
      </c>
    </row>
    <row r="3996" spans="4:17" ht="12.75" customHeight="1" x14ac:dyDescent="0.2">
      <c r="D3996" s="58" t="str">
        <f>IFERROR(IF(F3996&lt;&gt;"pending","",IF(OR($B3996="",$B3996="(blank)"),"",VLOOKUP($B3996,'Email Marketing Raw Data'!$C:$O,10,0))),"")</f>
        <v/>
      </c>
      <c r="E3996" s="59" t="str">
        <f>IFERROR(IF(F3996&lt;&gt;"pending","",IF(OR($B3996="",$B3996="(blank)"),"",VLOOKUP($B3996,'Email Marketing Raw Data'!$C:$O,11,0))),"")</f>
        <v/>
      </c>
      <c r="F3996" s="54" t="str">
        <f>IFERROR(IF(OR($B3996="",$B3996="(blank)"),"",VLOOKUP($B3996,'Email Marketing Raw Data'!$C:$O,13,0)),"")</f>
        <v/>
      </c>
      <c r="G3996" s="55" t="str">
        <f>IFERROR(IF(OR($B3996="",$B3996="(blank)"),"",VLOOKUP($B3996,'Email Marketing Raw Data'!$C:$O,4,0)),"")</f>
        <v/>
      </c>
      <c r="H3996" s="55" t="str">
        <f>IFERROR(IF(OR($B3996="",$B3996="(blank)"),"",VLOOKUP($B3996,'Email Marketing Raw Data'!$C:$O,5,0)),"")</f>
        <v/>
      </c>
      <c r="I3996" s="55" t="str">
        <f>IFERROR(IF($G3996="","",VLOOKUP('Dashboard And Emails Automate'!$G3996,Database!$H:$N,3,0)),"")</f>
        <v/>
      </c>
      <c r="J3996" s="55" t="str">
        <f>IFERROR(IF($G3996="","",VLOOKUP('Dashboard And Emails Automate'!$G3996,Database!$H:$N,4,0)),"")</f>
        <v/>
      </c>
      <c r="K3996" s="55" t="str">
        <f>IFERROR(IF($G3996="","",VLOOKUP('Dashboard And Emails Automate'!$G3996,Database!$H:$N,5,0)),"")</f>
        <v/>
      </c>
      <c r="L3996" s="55" t="str">
        <f>IFERROR(IF($G3996="","",VLOOKUP('Dashboard And Emails Automate'!$G3996,Database!$H:$N,6,0)),"")</f>
        <v/>
      </c>
      <c r="M3996" s="55" t="str">
        <f>IFERROR(IF($G3996="","",VLOOKUP('Dashboard And Emails Automate'!$G3996,Database!$H:$N,7,0)),"")</f>
        <v/>
      </c>
      <c r="N3996" s="55" t="str">
        <f>IFERROR(IF(OR($B3996="",$B3996="(blank)"),"",VLOOKUP($B3996,'Email Marketing Raw Data'!$C:$O,6,0)),"")</f>
        <v/>
      </c>
      <c r="O3996" s="55" t="str">
        <f>IFERROR(IF(OR($B3996="",$B3996="(blank)"),"",VLOOKUP($B3996,'Email Marketing Raw Data'!$C:$O,7,0)),"")</f>
        <v/>
      </c>
      <c r="P3996" s="55" t="str">
        <f>IFERROR(IF(OR($B3996="",$B3996="(blank)"),"",VLOOKUP($B3996,'Email Marketing Raw Data'!$C:$O,8,0)),"")</f>
        <v/>
      </c>
      <c r="Q3996" s="62" t="str">
        <f>IFERROR(IF(OR($B3996="",$B3996="(blank)"),"",VLOOKUP($B3996,'Email Marketing Raw Data'!$C:$O,9,0)),"")</f>
        <v/>
      </c>
    </row>
    <row r="3997" spans="4:17" ht="12.75" customHeight="1" x14ac:dyDescent="0.2">
      <c r="D3997" s="58" t="str">
        <f>IFERROR(IF(F3997&lt;&gt;"pending","",IF(OR($B3997="",$B3997="(blank)"),"",VLOOKUP($B3997,'Email Marketing Raw Data'!$C:$O,10,0))),"")</f>
        <v/>
      </c>
      <c r="E3997" s="59" t="str">
        <f>IFERROR(IF(F3997&lt;&gt;"pending","",IF(OR($B3997="",$B3997="(blank)"),"",VLOOKUP($B3997,'Email Marketing Raw Data'!$C:$O,11,0))),"")</f>
        <v/>
      </c>
      <c r="F3997" s="54" t="str">
        <f>IFERROR(IF(OR($B3997="",$B3997="(blank)"),"",VLOOKUP($B3997,'Email Marketing Raw Data'!$C:$O,13,0)),"")</f>
        <v/>
      </c>
      <c r="G3997" s="55" t="str">
        <f>IFERROR(IF(OR($B3997="",$B3997="(blank)"),"",VLOOKUP($B3997,'Email Marketing Raw Data'!$C:$O,4,0)),"")</f>
        <v/>
      </c>
      <c r="H3997" s="55" t="str">
        <f>IFERROR(IF(OR($B3997="",$B3997="(blank)"),"",VLOOKUP($B3997,'Email Marketing Raw Data'!$C:$O,5,0)),"")</f>
        <v/>
      </c>
      <c r="I3997" s="55" t="str">
        <f>IFERROR(IF($G3997="","",VLOOKUP('Dashboard And Emails Automate'!$G3997,Database!$H:$N,3,0)),"")</f>
        <v/>
      </c>
      <c r="J3997" s="55" t="str">
        <f>IFERROR(IF($G3997="","",VLOOKUP('Dashboard And Emails Automate'!$G3997,Database!$H:$N,4,0)),"")</f>
        <v/>
      </c>
      <c r="K3997" s="55" t="str">
        <f>IFERROR(IF($G3997="","",VLOOKUP('Dashboard And Emails Automate'!$G3997,Database!$H:$N,5,0)),"")</f>
        <v/>
      </c>
      <c r="L3997" s="55" t="str">
        <f>IFERROR(IF($G3997="","",VLOOKUP('Dashboard And Emails Automate'!$G3997,Database!$H:$N,6,0)),"")</f>
        <v/>
      </c>
      <c r="M3997" s="55" t="str">
        <f>IFERROR(IF($G3997="","",VLOOKUP('Dashboard And Emails Automate'!$G3997,Database!$H:$N,7,0)),"")</f>
        <v/>
      </c>
      <c r="N3997" s="55" t="str">
        <f>IFERROR(IF(OR($B3997="",$B3997="(blank)"),"",VLOOKUP($B3997,'Email Marketing Raw Data'!$C:$O,6,0)),"")</f>
        <v/>
      </c>
      <c r="O3997" s="55" t="str">
        <f>IFERROR(IF(OR($B3997="",$B3997="(blank)"),"",VLOOKUP($B3997,'Email Marketing Raw Data'!$C:$O,7,0)),"")</f>
        <v/>
      </c>
      <c r="P3997" s="55" t="str">
        <f>IFERROR(IF(OR($B3997="",$B3997="(blank)"),"",VLOOKUP($B3997,'Email Marketing Raw Data'!$C:$O,8,0)),"")</f>
        <v/>
      </c>
      <c r="Q3997" s="62" t="str">
        <f>IFERROR(IF(OR($B3997="",$B3997="(blank)"),"",VLOOKUP($B3997,'Email Marketing Raw Data'!$C:$O,9,0)),"")</f>
        <v/>
      </c>
    </row>
    <row r="3998" spans="4:17" ht="12.75" customHeight="1" x14ac:dyDescent="0.2">
      <c r="D3998" s="58" t="str">
        <f>IFERROR(IF(F3998&lt;&gt;"pending","",IF(OR($B3998="",$B3998="(blank)"),"",VLOOKUP($B3998,'Email Marketing Raw Data'!$C:$O,10,0))),"")</f>
        <v/>
      </c>
      <c r="E3998" s="59" t="str">
        <f>IFERROR(IF(F3998&lt;&gt;"pending","",IF(OR($B3998="",$B3998="(blank)"),"",VLOOKUP($B3998,'Email Marketing Raw Data'!$C:$O,11,0))),"")</f>
        <v/>
      </c>
      <c r="F3998" s="54" t="str">
        <f>IFERROR(IF(OR($B3998="",$B3998="(blank)"),"",VLOOKUP($B3998,'Email Marketing Raw Data'!$C:$O,13,0)),"")</f>
        <v/>
      </c>
      <c r="G3998" s="55" t="str">
        <f>IFERROR(IF(OR($B3998="",$B3998="(blank)"),"",VLOOKUP($B3998,'Email Marketing Raw Data'!$C:$O,4,0)),"")</f>
        <v/>
      </c>
      <c r="H3998" s="55" t="str">
        <f>IFERROR(IF(OR($B3998="",$B3998="(blank)"),"",VLOOKUP($B3998,'Email Marketing Raw Data'!$C:$O,5,0)),"")</f>
        <v/>
      </c>
      <c r="I3998" s="55" t="str">
        <f>IFERROR(IF($G3998="","",VLOOKUP('Dashboard And Emails Automate'!$G3998,Database!$H:$N,3,0)),"")</f>
        <v/>
      </c>
      <c r="J3998" s="55" t="str">
        <f>IFERROR(IF($G3998="","",VLOOKUP('Dashboard And Emails Automate'!$G3998,Database!$H:$N,4,0)),"")</f>
        <v/>
      </c>
      <c r="K3998" s="55" t="str">
        <f>IFERROR(IF($G3998="","",VLOOKUP('Dashboard And Emails Automate'!$G3998,Database!$H:$N,5,0)),"")</f>
        <v/>
      </c>
      <c r="L3998" s="55" t="str">
        <f>IFERROR(IF($G3998="","",VLOOKUP('Dashboard And Emails Automate'!$G3998,Database!$H:$N,6,0)),"")</f>
        <v/>
      </c>
      <c r="M3998" s="55" t="str">
        <f>IFERROR(IF($G3998="","",VLOOKUP('Dashboard And Emails Automate'!$G3998,Database!$H:$N,7,0)),"")</f>
        <v/>
      </c>
      <c r="N3998" s="55" t="str">
        <f>IFERROR(IF(OR($B3998="",$B3998="(blank)"),"",VLOOKUP($B3998,'Email Marketing Raw Data'!$C:$O,6,0)),"")</f>
        <v/>
      </c>
      <c r="O3998" s="55" t="str">
        <f>IFERROR(IF(OR($B3998="",$B3998="(blank)"),"",VLOOKUP($B3998,'Email Marketing Raw Data'!$C:$O,7,0)),"")</f>
        <v/>
      </c>
      <c r="P3998" s="55" t="str">
        <f>IFERROR(IF(OR($B3998="",$B3998="(blank)"),"",VLOOKUP($B3998,'Email Marketing Raw Data'!$C:$O,8,0)),"")</f>
        <v/>
      </c>
      <c r="Q3998" s="62" t="str">
        <f>IFERROR(IF(OR($B3998="",$B3998="(blank)"),"",VLOOKUP($B3998,'Email Marketing Raw Data'!$C:$O,9,0)),"")</f>
        <v/>
      </c>
    </row>
    <row r="3999" spans="4:17" ht="12.75" customHeight="1" x14ac:dyDescent="0.2">
      <c r="D3999" s="58" t="str">
        <f>IFERROR(IF(F3999&lt;&gt;"pending","",IF(OR($B3999="",$B3999="(blank)"),"",VLOOKUP($B3999,'Email Marketing Raw Data'!$C:$O,10,0))),"")</f>
        <v/>
      </c>
      <c r="E3999" s="59" t="str">
        <f>IFERROR(IF(F3999&lt;&gt;"pending","",IF(OR($B3999="",$B3999="(blank)"),"",VLOOKUP($B3999,'Email Marketing Raw Data'!$C:$O,11,0))),"")</f>
        <v/>
      </c>
      <c r="F3999" s="54" t="str">
        <f>IFERROR(IF(OR($B3999="",$B3999="(blank)"),"",VLOOKUP($B3999,'Email Marketing Raw Data'!$C:$O,13,0)),"")</f>
        <v/>
      </c>
      <c r="G3999" s="55" t="str">
        <f>IFERROR(IF(OR($B3999="",$B3999="(blank)"),"",VLOOKUP($B3999,'Email Marketing Raw Data'!$C:$O,4,0)),"")</f>
        <v/>
      </c>
      <c r="H3999" s="55" t="str">
        <f>IFERROR(IF(OR($B3999="",$B3999="(blank)"),"",VLOOKUP($B3999,'Email Marketing Raw Data'!$C:$O,5,0)),"")</f>
        <v/>
      </c>
      <c r="I3999" s="55" t="str">
        <f>IFERROR(IF($G3999="","",VLOOKUP('Dashboard And Emails Automate'!$G3999,Database!$H:$N,3,0)),"")</f>
        <v/>
      </c>
      <c r="J3999" s="55" t="str">
        <f>IFERROR(IF($G3999="","",VLOOKUP('Dashboard And Emails Automate'!$G3999,Database!$H:$N,4,0)),"")</f>
        <v/>
      </c>
      <c r="K3999" s="55" t="str">
        <f>IFERROR(IF($G3999="","",VLOOKUP('Dashboard And Emails Automate'!$G3999,Database!$H:$N,5,0)),"")</f>
        <v/>
      </c>
      <c r="L3999" s="55" t="str">
        <f>IFERROR(IF($G3999="","",VLOOKUP('Dashboard And Emails Automate'!$G3999,Database!$H:$N,6,0)),"")</f>
        <v/>
      </c>
      <c r="M3999" s="55" t="str">
        <f>IFERROR(IF($G3999="","",VLOOKUP('Dashboard And Emails Automate'!$G3999,Database!$H:$N,7,0)),"")</f>
        <v/>
      </c>
      <c r="N3999" s="55" t="str">
        <f>IFERROR(IF(OR($B3999="",$B3999="(blank)"),"",VLOOKUP($B3999,'Email Marketing Raw Data'!$C:$O,6,0)),"")</f>
        <v/>
      </c>
      <c r="O3999" s="55" t="str">
        <f>IFERROR(IF(OR($B3999="",$B3999="(blank)"),"",VLOOKUP($B3999,'Email Marketing Raw Data'!$C:$O,7,0)),"")</f>
        <v/>
      </c>
      <c r="P3999" s="55" t="str">
        <f>IFERROR(IF(OR($B3999="",$B3999="(blank)"),"",VLOOKUP($B3999,'Email Marketing Raw Data'!$C:$O,8,0)),"")</f>
        <v/>
      </c>
      <c r="Q3999" s="62" t="str">
        <f>IFERROR(IF(OR($B3999="",$B3999="(blank)"),"",VLOOKUP($B3999,'Email Marketing Raw Data'!$C:$O,9,0)),"")</f>
        <v/>
      </c>
    </row>
    <row r="4000" spans="4:17" ht="12.75" customHeight="1" x14ac:dyDescent="0.2">
      <c r="D4000" s="58" t="str">
        <f>IFERROR(IF(F4000&lt;&gt;"pending","",IF(OR($B4000="",$B4000="(blank)"),"",VLOOKUP($B4000,'Email Marketing Raw Data'!$C:$O,10,0))),"")</f>
        <v/>
      </c>
      <c r="E4000" s="59" t="str">
        <f>IFERROR(IF(F4000&lt;&gt;"pending","",IF(OR($B4000="",$B4000="(blank)"),"",VLOOKUP($B4000,'Email Marketing Raw Data'!$C:$O,11,0))),"")</f>
        <v/>
      </c>
      <c r="F4000" s="54" t="str">
        <f>IFERROR(IF(OR($B4000="",$B4000="(blank)"),"",VLOOKUP($B4000,'Email Marketing Raw Data'!$C:$O,13,0)),"")</f>
        <v/>
      </c>
      <c r="G4000" s="55" t="str">
        <f>IFERROR(IF(OR($B4000="",$B4000="(blank)"),"",VLOOKUP($B4000,'Email Marketing Raw Data'!$C:$O,4,0)),"")</f>
        <v/>
      </c>
      <c r="H4000" s="55" t="str">
        <f>IFERROR(IF(OR($B4000="",$B4000="(blank)"),"",VLOOKUP($B4000,'Email Marketing Raw Data'!$C:$O,5,0)),"")</f>
        <v/>
      </c>
      <c r="I4000" s="55" t="str">
        <f>IFERROR(IF($G4000="","",VLOOKUP('Dashboard And Emails Automate'!$G4000,Database!$H:$N,3,0)),"")</f>
        <v/>
      </c>
      <c r="J4000" s="55" t="str">
        <f>IFERROR(IF($G4000="","",VLOOKUP('Dashboard And Emails Automate'!$G4000,Database!$H:$N,4,0)),"")</f>
        <v/>
      </c>
      <c r="K4000" s="55" t="str">
        <f>IFERROR(IF($G4000="","",VLOOKUP('Dashboard And Emails Automate'!$G4000,Database!$H:$N,5,0)),"")</f>
        <v/>
      </c>
      <c r="L4000" s="55" t="str">
        <f>IFERROR(IF($G4000="","",VLOOKUP('Dashboard And Emails Automate'!$G4000,Database!$H:$N,6,0)),"")</f>
        <v/>
      </c>
      <c r="M4000" s="55" t="str">
        <f>IFERROR(IF($G4000="","",VLOOKUP('Dashboard And Emails Automate'!$G4000,Database!$H:$N,7,0)),"")</f>
        <v/>
      </c>
      <c r="N4000" s="55" t="str">
        <f>IFERROR(IF(OR($B4000="",$B4000="(blank)"),"",VLOOKUP($B4000,'Email Marketing Raw Data'!$C:$O,6,0)),"")</f>
        <v/>
      </c>
      <c r="O4000" s="55" t="str">
        <f>IFERROR(IF(OR($B4000="",$B4000="(blank)"),"",VLOOKUP($B4000,'Email Marketing Raw Data'!$C:$O,7,0)),"")</f>
        <v/>
      </c>
      <c r="P4000" s="55" t="str">
        <f>IFERROR(IF(OR($B4000="",$B4000="(blank)"),"",VLOOKUP($B4000,'Email Marketing Raw Data'!$C:$O,8,0)),"")</f>
        <v/>
      </c>
      <c r="Q4000" s="62" t="str">
        <f>IFERROR(IF(OR($B4000="",$B4000="(blank)"),"",VLOOKUP($B4000,'Email Marketing Raw Data'!$C:$O,9,0)),"")</f>
        <v/>
      </c>
    </row>
    <row r="4001" spans="4:17" ht="12.75" customHeight="1" x14ac:dyDescent="0.2">
      <c r="D4001" s="58" t="str">
        <f>IFERROR(IF(F4001&lt;&gt;"pending","",IF(OR($B4001="",$B4001="(blank)"),"",VLOOKUP($B4001,'Email Marketing Raw Data'!$C:$O,10,0))),"")</f>
        <v/>
      </c>
      <c r="E4001" s="59" t="str">
        <f>IFERROR(IF(F4001&lt;&gt;"pending","",IF(OR($B4001="",$B4001="(blank)"),"",VLOOKUP($B4001,'Email Marketing Raw Data'!$C:$O,11,0))),"")</f>
        <v/>
      </c>
      <c r="F4001" s="54" t="str">
        <f>IFERROR(IF(OR($B4001="",$B4001="(blank)"),"",VLOOKUP($B4001,'Email Marketing Raw Data'!$C:$O,13,0)),"")</f>
        <v/>
      </c>
      <c r="G4001" s="55" t="str">
        <f>IFERROR(IF(OR($B4001="",$B4001="(blank)"),"",VLOOKUP($B4001,'Email Marketing Raw Data'!$C:$O,4,0)),"")</f>
        <v/>
      </c>
      <c r="H4001" s="55" t="str">
        <f>IFERROR(IF(OR($B4001="",$B4001="(blank)"),"",VLOOKUP($B4001,'Email Marketing Raw Data'!$C:$O,5,0)),"")</f>
        <v/>
      </c>
      <c r="I4001" s="55" t="str">
        <f>IFERROR(IF($G4001="","",VLOOKUP('Dashboard And Emails Automate'!$G4001,Database!$H:$N,3,0)),"")</f>
        <v/>
      </c>
      <c r="J4001" s="55" t="str">
        <f>IFERROR(IF($G4001="","",VLOOKUP('Dashboard And Emails Automate'!$G4001,Database!$H:$N,4,0)),"")</f>
        <v/>
      </c>
      <c r="K4001" s="55" t="str">
        <f>IFERROR(IF($G4001="","",VLOOKUP('Dashboard And Emails Automate'!$G4001,Database!$H:$N,5,0)),"")</f>
        <v/>
      </c>
      <c r="L4001" s="55" t="str">
        <f>IFERROR(IF($G4001="","",VLOOKUP('Dashboard And Emails Automate'!$G4001,Database!$H:$N,6,0)),"")</f>
        <v/>
      </c>
      <c r="M4001" s="55" t="str">
        <f>IFERROR(IF($G4001="","",VLOOKUP('Dashboard And Emails Automate'!$G4001,Database!$H:$N,7,0)),"")</f>
        <v/>
      </c>
      <c r="N4001" s="55" t="str">
        <f>IFERROR(IF(OR($B4001="",$B4001="(blank)"),"",VLOOKUP($B4001,'Email Marketing Raw Data'!$C:$O,6,0)),"")</f>
        <v/>
      </c>
      <c r="O4001" s="55" t="str">
        <f>IFERROR(IF(OR($B4001="",$B4001="(blank)"),"",VLOOKUP($B4001,'Email Marketing Raw Data'!$C:$O,7,0)),"")</f>
        <v/>
      </c>
      <c r="P4001" s="55" t="str">
        <f>IFERROR(IF(OR($B4001="",$B4001="(blank)"),"",VLOOKUP($B4001,'Email Marketing Raw Data'!$C:$O,8,0)),"")</f>
        <v/>
      </c>
      <c r="Q4001" s="62" t="str">
        <f>IFERROR(IF(OR($B4001="",$B4001="(blank)"),"",VLOOKUP($B4001,'Email Marketing Raw Data'!$C:$O,9,0)),"")</f>
        <v/>
      </c>
    </row>
    <row r="4002" spans="4:17" ht="12.75" customHeight="1" x14ac:dyDescent="0.2">
      <c r="D4002" s="58" t="str">
        <f>IFERROR(IF(F4002&lt;&gt;"pending","",IF(OR($B4002="",$B4002="(blank)"),"",VLOOKUP($B4002,'Email Marketing Raw Data'!$C:$O,10,0))),"")</f>
        <v/>
      </c>
      <c r="E4002" s="59" t="str">
        <f>IFERROR(IF(F4002&lt;&gt;"pending","",IF(OR($B4002="",$B4002="(blank)"),"",VLOOKUP($B4002,'Email Marketing Raw Data'!$C:$O,11,0))),"")</f>
        <v/>
      </c>
      <c r="F4002" s="54" t="str">
        <f>IFERROR(IF(OR($B4002="",$B4002="(blank)"),"",VLOOKUP($B4002,'Email Marketing Raw Data'!$C:$O,13,0)),"")</f>
        <v/>
      </c>
      <c r="G4002" s="55" t="str">
        <f>IFERROR(IF(OR($B4002="",$B4002="(blank)"),"",VLOOKUP($B4002,'Email Marketing Raw Data'!$C:$O,4,0)),"")</f>
        <v/>
      </c>
      <c r="H4002" s="55" t="str">
        <f>IFERROR(IF(OR($B4002="",$B4002="(blank)"),"",VLOOKUP($B4002,'Email Marketing Raw Data'!$C:$O,5,0)),"")</f>
        <v/>
      </c>
      <c r="I4002" s="55" t="str">
        <f>IFERROR(IF($G4002="","",VLOOKUP('Dashboard And Emails Automate'!$G4002,Database!$H:$N,3,0)),"")</f>
        <v/>
      </c>
      <c r="J4002" s="55" t="str">
        <f>IFERROR(IF($G4002="","",VLOOKUP('Dashboard And Emails Automate'!$G4002,Database!$H:$N,4,0)),"")</f>
        <v/>
      </c>
      <c r="K4002" s="55" t="str">
        <f>IFERROR(IF($G4002="","",VLOOKUP('Dashboard And Emails Automate'!$G4002,Database!$H:$N,5,0)),"")</f>
        <v/>
      </c>
      <c r="L4002" s="55" t="str">
        <f>IFERROR(IF($G4002="","",VLOOKUP('Dashboard And Emails Automate'!$G4002,Database!$H:$N,6,0)),"")</f>
        <v/>
      </c>
      <c r="M4002" s="55" t="str">
        <f>IFERROR(IF($G4002="","",VLOOKUP('Dashboard And Emails Automate'!$G4002,Database!$H:$N,7,0)),"")</f>
        <v/>
      </c>
      <c r="N4002" s="55" t="str">
        <f>IFERROR(IF(OR($B4002="",$B4002="(blank)"),"",VLOOKUP($B4002,'Email Marketing Raw Data'!$C:$O,6,0)),"")</f>
        <v/>
      </c>
      <c r="O4002" s="55" t="str">
        <f>IFERROR(IF(OR($B4002="",$B4002="(blank)"),"",VLOOKUP($B4002,'Email Marketing Raw Data'!$C:$O,7,0)),"")</f>
        <v/>
      </c>
      <c r="P4002" s="55" t="str">
        <f>IFERROR(IF(OR($B4002="",$B4002="(blank)"),"",VLOOKUP($B4002,'Email Marketing Raw Data'!$C:$O,8,0)),"")</f>
        <v/>
      </c>
      <c r="Q4002" s="62" t="str">
        <f>IFERROR(IF(OR($B4002="",$B4002="(blank)"),"",VLOOKUP($B4002,'Email Marketing Raw Data'!$C:$O,9,0)),"")</f>
        <v/>
      </c>
    </row>
    <row r="4003" spans="4:17" ht="12.75" customHeight="1" x14ac:dyDescent="0.2">
      <c r="D4003" s="58" t="str">
        <f>IFERROR(IF(F4003&lt;&gt;"pending","",IF(OR($B4003="",$B4003="(blank)"),"",VLOOKUP($B4003,'Email Marketing Raw Data'!$C:$O,10,0))),"")</f>
        <v/>
      </c>
      <c r="E4003" s="59" t="str">
        <f>IFERROR(IF(F4003&lt;&gt;"pending","",IF(OR($B4003="",$B4003="(blank)"),"",VLOOKUP($B4003,'Email Marketing Raw Data'!$C:$O,11,0))),"")</f>
        <v/>
      </c>
      <c r="F4003" s="54" t="str">
        <f>IFERROR(IF(OR($B4003="",$B4003="(blank)"),"",VLOOKUP($B4003,'Email Marketing Raw Data'!$C:$O,13,0)),"")</f>
        <v/>
      </c>
      <c r="G4003" s="55" t="str">
        <f>IFERROR(IF(OR($B4003="",$B4003="(blank)"),"",VLOOKUP($B4003,'Email Marketing Raw Data'!$C:$O,4,0)),"")</f>
        <v/>
      </c>
      <c r="H4003" s="55" t="str">
        <f>IFERROR(IF(OR($B4003="",$B4003="(blank)"),"",VLOOKUP($B4003,'Email Marketing Raw Data'!$C:$O,5,0)),"")</f>
        <v/>
      </c>
      <c r="I4003" s="55" t="str">
        <f>IFERROR(IF($G4003="","",VLOOKUP('Dashboard And Emails Automate'!$G4003,Database!$H:$N,3,0)),"")</f>
        <v/>
      </c>
      <c r="J4003" s="55" t="str">
        <f>IFERROR(IF($G4003="","",VLOOKUP('Dashboard And Emails Automate'!$G4003,Database!$H:$N,4,0)),"")</f>
        <v/>
      </c>
      <c r="K4003" s="55" t="str">
        <f>IFERROR(IF($G4003="","",VLOOKUP('Dashboard And Emails Automate'!$G4003,Database!$H:$N,5,0)),"")</f>
        <v/>
      </c>
      <c r="L4003" s="55" t="str">
        <f>IFERROR(IF($G4003="","",VLOOKUP('Dashboard And Emails Automate'!$G4003,Database!$H:$N,6,0)),"")</f>
        <v/>
      </c>
      <c r="M4003" s="55" t="str">
        <f>IFERROR(IF($G4003="","",VLOOKUP('Dashboard And Emails Automate'!$G4003,Database!$H:$N,7,0)),"")</f>
        <v/>
      </c>
      <c r="N4003" s="55" t="str">
        <f>IFERROR(IF(OR($B4003="",$B4003="(blank)"),"",VLOOKUP($B4003,'Email Marketing Raw Data'!$C:$O,6,0)),"")</f>
        <v/>
      </c>
      <c r="O4003" s="55" t="str">
        <f>IFERROR(IF(OR($B4003="",$B4003="(blank)"),"",VLOOKUP($B4003,'Email Marketing Raw Data'!$C:$O,7,0)),"")</f>
        <v/>
      </c>
      <c r="P4003" s="55" t="str">
        <f>IFERROR(IF(OR($B4003="",$B4003="(blank)"),"",VLOOKUP($B4003,'Email Marketing Raw Data'!$C:$O,8,0)),"")</f>
        <v/>
      </c>
      <c r="Q4003" s="62" t="str">
        <f>IFERROR(IF(OR($B4003="",$B4003="(blank)"),"",VLOOKUP($B4003,'Email Marketing Raw Data'!$C:$O,9,0)),"")</f>
        <v/>
      </c>
    </row>
    <row r="4004" spans="4:17" ht="12.75" customHeight="1" x14ac:dyDescent="0.2">
      <c r="D4004" s="58" t="str">
        <f>IFERROR(IF(F4004&lt;&gt;"pending","",IF(OR($B4004="",$B4004="(blank)"),"",VLOOKUP($B4004,'Email Marketing Raw Data'!$C:$O,10,0))),"")</f>
        <v/>
      </c>
      <c r="E4004" s="59" t="str">
        <f>IFERROR(IF(F4004&lt;&gt;"pending","",IF(OR($B4004="",$B4004="(blank)"),"",VLOOKUP($B4004,'Email Marketing Raw Data'!$C:$O,11,0))),"")</f>
        <v/>
      </c>
      <c r="F4004" s="54" t="str">
        <f>IFERROR(IF(OR($B4004="",$B4004="(blank)"),"",VLOOKUP($B4004,'Email Marketing Raw Data'!$C:$O,13,0)),"")</f>
        <v/>
      </c>
      <c r="G4004" s="55" t="str">
        <f>IFERROR(IF(OR($B4004="",$B4004="(blank)"),"",VLOOKUP($B4004,'Email Marketing Raw Data'!$C:$O,4,0)),"")</f>
        <v/>
      </c>
      <c r="H4004" s="55" t="str">
        <f>IFERROR(IF(OR($B4004="",$B4004="(blank)"),"",VLOOKUP($B4004,'Email Marketing Raw Data'!$C:$O,5,0)),"")</f>
        <v/>
      </c>
      <c r="I4004" s="55" t="str">
        <f>IFERROR(IF($G4004="","",VLOOKUP('Dashboard And Emails Automate'!$G4004,Database!$H:$N,3,0)),"")</f>
        <v/>
      </c>
      <c r="J4004" s="55" t="str">
        <f>IFERROR(IF($G4004="","",VLOOKUP('Dashboard And Emails Automate'!$G4004,Database!$H:$N,4,0)),"")</f>
        <v/>
      </c>
      <c r="K4004" s="55" t="str">
        <f>IFERROR(IF($G4004="","",VLOOKUP('Dashboard And Emails Automate'!$G4004,Database!$H:$N,5,0)),"")</f>
        <v/>
      </c>
      <c r="L4004" s="55" t="str">
        <f>IFERROR(IF($G4004="","",VLOOKUP('Dashboard And Emails Automate'!$G4004,Database!$H:$N,6,0)),"")</f>
        <v/>
      </c>
      <c r="M4004" s="55" t="str">
        <f>IFERROR(IF($G4004="","",VLOOKUP('Dashboard And Emails Automate'!$G4004,Database!$H:$N,7,0)),"")</f>
        <v/>
      </c>
      <c r="N4004" s="55" t="str">
        <f>IFERROR(IF(OR($B4004="",$B4004="(blank)"),"",VLOOKUP($B4004,'Email Marketing Raw Data'!$C:$O,6,0)),"")</f>
        <v/>
      </c>
      <c r="O4004" s="55" t="str">
        <f>IFERROR(IF(OR($B4004="",$B4004="(blank)"),"",VLOOKUP($B4004,'Email Marketing Raw Data'!$C:$O,7,0)),"")</f>
        <v/>
      </c>
      <c r="P4004" s="55" t="str">
        <f>IFERROR(IF(OR($B4004="",$B4004="(blank)"),"",VLOOKUP($B4004,'Email Marketing Raw Data'!$C:$O,8,0)),"")</f>
        <v/>
      </c>
      <c r="Q4004" s="62" t="str">
        <f>IFERROR(IF(OR($B4004="",$B4004="(blank)"),"",VLOOKUP($B4004,'Email Marketing Raw Data'!$C:$O,9,0)),"")</f>
        <v/>
      </c>
    </row>
    <row r="4005" spans="4:17" ht="12.75" customHeight="1" x14ac:dyDescent="0.2">
      <c r="D4005" s="58" t="str">
        <f>IFERROR(IF(F4005&lt;&gt;"pending","",IF(OR($B4005="",$B4005="(blank)"),"",VLOOKUP($B4005,'Email Marketing Raw Data'!$C:$O,10,0))),"")</f>
        <v/>
      </c>
      <c r="E4005" s="59" t="str">
        <f>IFERROR(IF(F4005&lt;&gt;"pending","",IF(OR($B4005="",$B4005="(blank)"),"",VLOOKUP($B4005,'Email Marketing Raw Data'!$C:$O,11,0))),"")</f>
        <v/>
      </c>
      <c r="F4005" s="54" t="str">
        <f>IFERROR(IF(OR($B4005="",$B4005="(blank)"),"",VLOOKUP($B4005,'Email Marketing Raw Data'!$C:$O,13,0)),"")</f>
        <v/>
      </c>
      <c r="G4005" s="55" t="str">
        <f>IFERROR(IF(OR($B4005="",$B4005="(blank)"),"",VLOOKUP($B4005,'Email Marketing Raw Data'!$C:$O,4,0)),"")</f>
        <v/>
      </c>
      <c r="H4005" s="55" t="str">
        <f>IFERROR(IF(OR($B4005="",$B4005="(blank)"),"",VLOOKUP($B4005,'Email Marketing Raw Data'!$C:$O,5,0)),"")</f>
        <v/>
      </c>
      <c r="I4005" s="55" t="str">
        <f>IFERROR(IF($G4005="","",VLOOKUP('Dashboard And Emails Automate'!$G4005,Database!$H:$N,3,0)),"")</f>
        <v/>
      </c>
      <c r="J4005" s="55" t="str">
        <f>IFERROR(IF($G4005="","",VLOOKUP('Dashboard And Emails Automate'!$G4005,Database!$H:$N,4,0)),"")</f>
        <v/>
      </c>
      <c r="K4005" s="55" t="str">
        <f>IFERROR(IF($G4005="","",VLOOKUP('Dashboard And Emails Automate'!$G4005,Database!$H:$N,5,0)),"")</f>
        <v/>
      </c>
      <c r="L4005" s="55" t="str">
        <f>IFERROR(IF($G4005="","",VLOOKUP('Dashboard And Emails Automate'!$G4005,Database!$H:$N,6,0)),"")</f>
        <v/>
      </c>
      <c r="M4005" s="55" t="str">
        <f>IFERROR(IF($G4005="","",VLOOKUP('Dashboard And Emails Automate'!$G4005,Database!$H:$N,7,0)),"")</f>
        <v/>
      </c>
      <c r="N4005" s="55" t="str">
        <f>IFERROR(IF(OR($B4005="",$B4005="(blank)"),"",VLOOKUP($B4005,'Email Marketing Raw Data'!$C:$O,6,0)),"")</f>
        <v/>
      </c>
      <c r="O4005" s="55" t="str">
        <f>IFERROR(IF(OR($B4005="",$B4005="(blank)"),"",VLOOKUP($B4005,'Email Marketing Raw Data'!$C:$O,7,0)),"")</f>
        <v/>
      </c>
      <c r="P4005" s="55" t="str">
        <f>IFERROR(IF(OR($B4005="",$B4005="(blank)"),"",VLOOKUP($B4005,'Email Marketing Raw Data'!$C:$O,8,0)),"")</f>
        <v/>
      </c>
      <c r="Q4005" s="62" t="str">
        <f>IFERROR(IF(OR($B4005="",$B4005="(blank)"),"",VLOOKUP($B4005,'Email Marketing Raw Data'!$C:$O,9,0)),"")</f>
        <v/>
      </c>
    </row>
    <row r="4006" spans="4:17" ht="12.75" customHeight="1" x14ac:dyDescent="0.2">
      <c r="D4006" s="58" t="str">
        <f>IFERROR(IF(F4006&lt;&gt;"pending","",IF(OR($B4006="",$B4006="(blank)"),"",VLOOKUP($B4006,'Email Marketing Raw Data'!$C:$O,10,0))),"")</f>
        <v/>
      </c>
      <c r="E4006" s="59" t="str">
        <f>IFERROR(IF(F4006&lt;&gt;"pending","",IF(OR($B4006="",$B4006="(blank)"),"",VLOOKUP($B4006,'Email Marketing Raw Data'!$C:$O,11,0))),"")</f>
        <v/>
      </c>
      <c r="F4006" s="54" t="str">
        <f>IFERROR(IF(OR($B4006="",$B4006="(blank)"),"",VLOOKUP($B4006,'Email Marketing Raw Data'!$C:$O,13,0)),"")</f>
        <v/>
      </c>
      <c r="G4006" s="55" t="str">
        <f>IFERROR(IF(OR($B4006="",$B4006="(blank)"),"",VLOOKUP($B4006,'Email Marketing Raw Data'!$C:$O,4,0)),"")</f>
        <v/>
      </c>
      <c r="H4006" s="55" t="str">
        <f>IFERROR(IF(OR($B4006="",$B4006="(blank)"),"",VLOOKUP($B4006,'Email Marketing Raw Data'!$C:$O,5,0)),"")</f>
        <v/>
      </c>
      <c r="I4006" s="55" t="str">
        <f>IFERROR(IF($G4006="","",VLOOKUP('Dashboard And Emails Automate'!$G4006,Database!$H:$N,3,0)),"")</f>
        <v/>
      </c>
      <c r="J4006" s="55" t="str">
        <f>IFERROR(IF($G4006="","",VLOOKUP('Dashboard And Emails Automate'!$G4006,Database!$H:$N,4,0)),"")</f>
        <v/>
      </c>
      <c r="K4006" s="55" t="str">
        <f>IFERROR(IF($G4006="","",VLOOKUP('Dashboard And Emails Automate'!$G4006,Database!$H:$N,5,0)),"")</f>
        <v/>
      </c>
      <c r="L4006" s="55" t="str">
        <f>IFERROR(IF($G4006="","",VLOOKUP('Dashboard And Emails Automate'!$G4006,Database!$H:$N,6,0)),"")</f>
        <v/>
      </c>
      <c r="M4006" s="55" t="str">
        <f>IFERROR(IF($G4006="","",VLOOKUP('Dashboard And Emails Automate'!$G4006,Database!$H:$N,7,0)),"")</f>
        <v/>
      </c>
      <c r="N4006" s="55" t="str">
        <f>IFERROR(IF(OR($B4006="",$B4006="(blank)"),"",VLOOKUP($B4006,'Email Marketing Raw Data'!$C:$O,6,0)),"")</f>
        <v/>
      </c>
      <c r="O4006" s="55" t="str">
        <f>IFERROR(IF(OR($B4006="",$B4006="(blank)"),"",VLOOKUP($B4006,'Email Marketing Raw Data'!$C:$O,7,0)),"")</f>
        <v/>
      </c>
      <c r="P4006" s="55" t="str">
        <f>IFERROR(IF(OR($B4006="",$B4006="(blank)"),"",VLOOKUP($B4006,'Email Marketing Raw Data'!$C:$O,8,0)),"")</f>
        <v/>
      </c>
      <c r="Q4006" s="62" t="str">
        <f>IFERROR(IF(OR($B4006="",$B4006="(blank)"),"",VLOOKUP($B4006,'Email Marketing Raw Data'!$C:$O,9,0)),"")</f>
        <v/>
      </c>
    </row>
    <row r="4007" spans="4:17" ht="12.75" customHeight="1" x14ac:dyDescent="0.2">
      <c r="D4007" s="58" t="str">
        <f>IFERROR(IF(F4007&lt;&gt;"pending","",IF(OR($B4007="",$B4007="(blank)"),"",VLOOKUP($B4007,'Email Marketing Raw Data'!$C:$O,10,0))),"")</f>
        <v/>
      </c>
      <c r="E4007" s="59" t="str">
        <f>IFERROR(IF(F4007&lt;&gt;"pending","",IF(OR($B4007="",$B4007="(blank)"),"",VLOOKUP($B4007,'Email Marketing Raw Data'!$C:$O,11,0))),"")</f>
        <v/>
      </c>
      <c r="F4007" s="54" t="str">
        <f>IFERROR(IF(OR($B4007="",$B4007="(blank)"),"",VLOOKUP($B4007,'Email Marketing Raw Data'!$C:$O,13,0)),"")</f>
        <v/>
      </c>
      <c r="G4007" s="55" t="str">
        <f>IFERROR(IF(OR($B4007="",$B4007="(blank)"),"",VLOOKUP($B4007,'Email Marketing Raw Data'!$C:$O,4,0)),"")</f>
        <v/>
      </c>
      <c r="H4007" s="55" t="str">
        <f>IFERROR(IF(OR($B4007="",$B4007="(blank)"),"",VLOOKUP($B4007,'Email Marketing Raw Data'!$C:$O,5,0)),"")</f>
        <v/>
      </c>
      <c r="I4007" s="55" t="str">
        <f>IFERROR(IF($G4007="","",VLOOKUP('Dashboard And Emails Automate'!$G4007,Database!$H:$N,3,0)),"")</f>
        <v/>
      </c>
      <c r="J4007" s="55" t="str">
        <f>IFERROR(IF($G4007="","",VLOOKUP('Dashboard And Emails Automate'!$G4007,Database!$H:$N,4,0)),"")</f>
        <v/>
      </c>
      <c r="K4007" s="55" t="str">
        <f>IFERROR(IF($G4007="","",VLOOKUP('Dashboard And Emails Automate'!$G4007,Database!$H:$N,5,0)),"")</f>
        <v/>
      </c>
      <c r="L4007" s="55" t="str">
        <f>IFERROR(IF($G4007="","",VLOOKUP('Dashboard And Emails Automate'!$G4007,Database!$H:$N,6,0)),"")</f>
        <v/>
      </c>
      <c r="M4007" s="55" t="str">
        <f>IFERROR(IF($G4007="","",VLOOKUP('Dashboard And Emails Automate'!$G4007,Database!$H:$N,7,0)),"")</f>
        <v/>
      </c>
      <c r="N4007" s="55" t="str">
        <f>IFERROR(IF(OR($B4007="",$B4007="(blank)"),"",VLOOKUP($B4007,'Email Marketing Raw Data'!$C:$O,6,0)),"")</f>
        <v/>
      </c>
      <c r="O4007" s="55" t="str">
        <f>IFERROR(IF(OR($B4007="",$B4007="(blank)"),"",VLOOKUP($B4007,'Email Marketing Raw Data'!$C:$O,7,0)),"")</f>
        <v/>
      </c>
      <c r="P4007" s="55" t="str">
        <f>IFERROR(IF(OR($B4007="",$B4007="(blank)"),"",VLOOKUP($B4007,'Email Marketing Raw Data'!$C:$O,8,0)),"")</f>
        <v/>
      </c>
      <c r="Q4007" s="62" t="str">
        <f>IFERROR(IF(OR($B4007="",$B4007="(blank)"),"",VLOOKUP($B4007,'Email Marketing Raw Data'!$C:$O,9,0)),"")</f>
        <v/>
      </c>
    </row>
    <row r="4008" spans="4:17" ht="12.75" customHeight="1" x14ac:dyDescent="0.2">
      <c r="D4008" s="58" t="str">
        <f>IFERROR(IF(F4008&lt;&gt;"pending","",IF(OR($B4008="",$B4008="(blank)"),"",VLOOKUP($B4008,'Email Marketing Raw Data'!$C:$O,10,0))),"")</f>
        <v/>
      </c>
      <c r="E4008" s="59" t="str">
        <f>IFERROR(IF(F4008&lt;&gt;"pending","",IF(OR($B4008="",$B4008="(blank)"),"",VLOOKUP($B4008,'Email Marketing Raw Data'!$C:$O,11,0))),"")</f>
        <v/>
      </c>
      <c r="F4008" s="54" t="str">
        <f>IFERROR(IF(OR($B4008="",$B4008="(blank)"),"",VLOOKUP($B4008,'Email Marketing Raw Data'!$C:$O,13,0)),"")</f>
        <v/>
      </c>
      <c r="G4008" s="55" t="str">
        <f>IFERROR(IF(OR($B4008="",$B4008="(blank)"),"",VLOOKUP($B4008,'Email Marketing Raw Data'!$C:$O,4,0)),"")</f>
        <v/>
      </c>
      <c r="H4008" s="55" t="str">
        <f>IFERROR(IF(OR($B4008="",$B4008="(blank)"),"",VLOOKUP($B4008,'Email Marketing Raw Data'!$C:$O,5,0)),"")</f>
        <v/>
      </c>
      <c r="I4008" s="55" t="str">
        <f>IFERROR(IF($G4008="","",VLOOKUP('Dashboard And Emails Automate'!$G4008,Database!$H:$N,3,0)),"")</f>
        <v/>
      </c>
      <c r="J4008" s="55" t="str">
        <f>IFERROR(IF($G4008="","",VLOOKUP('Dashboard And Emails Automate'!$G4008,Database!$H:$N,4,0)),"")</f>
        <v/>
      </c>
      <c r="K4008" s="55" t="str">
        <f>IFERROR(IF($G4008="","",VLOOKUP('Dashboard And Emails Automate'!$G4008,Database!$H:$N,5,0)),"")</f>
        <v/>
      </c>
      <c r="L4008" s="55" t="str">
        <f>IFERROR(IF($G4008="","",VLOOKUP('Dashboard And Emails Automate'!$G4008,Database!$H:$N,6,0)),"")</f>
        <v/>
      </c>
      <c r="M4008" s="55" t="str">
        <f>IFERROR(IF($G4008="","",VLOOKUP('Dashboard And Emails Automate'!$G4008,Database!$H:$N,7,0)),"")</f>
        <v/>
      </c>
      <c r="N4008" s="55" t="str">
        <f>IFERROR(IF(OR($B4008="",$B4008="(blank)"),"",VLOOKUP($B4008,'Email Marketing Raw Data'!$C:$O,6,0)),"")</f>
        <v/>
      </c>
      <c r="O4008" s="55" t="str">
        <f>IFERROR(IF(OR($B4008="",$B4008="(blank)"),"",VLOOKUP($B4008,'Email Marketing Raw Data'!$C:$O,7,0)),"")</f>
        <v/>
      </c>
      <c r="P4008" s="55" t="str">
        <f>IFERROR(IF(OR($B4008="",$B4008="(blank)"),"",VLOOKUP($B4008,'Email Marketing Raw Data'!$C:$O,8,0)),"")</f>
        <v/>
      </c>
      <c r="Q4008" s="62" t="str">
        <f>IFERROR(IF(OR($B4008="",$B4008="(blank)"),"",VLOOKUP($B4008,'Email Marketing Raw Data'!$C:$O,9,0)),"")</f>
        <v/>
      </c>
    </row>
    <row r="4009" spans="4:17" ht="12.75" customHeight="1" x14ac:dyDescent="0.2">
      <c r="D4009" s="58" t="str">
        <f>IFERROR(IF(F4009&lt;&gt;"pending","",IF(OR($B4009="",$B4009="(blank)"),"",VLOOKUP($B4009,'Email Marketing Raw Data'!$C:$O,10,0))),"")</f>
        <v/>
      </c>
      <c r="E4009" s="59" t="str">
        <f>IFERROR(IF(F4009&lt;&gt;"pending","",IF(OR($B4009="",$B4009="(blank)"),"",VLOOKUP($B4009,'Email Marketing Raw Data'!$C:$O,11,0))),"")</f>
        <v/>
      </c>
      <c r="F4009" s="54" t="str">
        <f>IFERROR(IF(OR($B4009="",$B4009="(blank)"),"",VLOOKUP($B4009,'Email Marketing Raw Data'!$C:$O,13,0)),"")</f>
        <v/>
      </c>
      <c r="G4009" s="55" t="str">
        <f>IFERROR(IF(OR($B4009="",$B4009="(blank)"),"",VLOOKUP($B4009,'Email Marketing Raw Data'!$C:$O,4,0)),"")</f>
        <v/>
      </c>
      <c r="H4009" s="55" t="str">
        <f>IFERROR(IF(OR($B4009="",$B4009="(blank)"),"",VLOOKUP($B4009,'Email Marketing Raw Data'!$C:$O,5,0)),"")</f>
        <v/>
      </c>
      <c r="I4009" s="55" t="str">
        <f>IFERROR(IF($G4009="","",VLOOKUP('Dashboard And Emails Automate'!$G4009,Database!$H:$N,3,0)),"")</f>
        <v/>
      </c>
      <c r="J4009" s="55" t="str">
        <f>IFERROR(IF($G4009="","",VLOOKUP('Dashboard And Emails Automate'!$G4009,Database!$H:$N,4,0)),"")</f>
        <v/>
      </c>
      <c r="K4009" s="55" t="str">
        <f>IFERROR(IF($G4009="","",VLOOKUP('Dashboard And Emails Automate'!$G4009,Database!$H:$N,5,0)),"")</f>
        <v/>
      </c>
      <c r="L4009" s="55" t="str">
        <f>IFERROR(IF($G4009="","",VLOOKUP('Dashboard And Emails Automate'!$G4009,Database!$H:$N,6,0)),"")</f>
        <v/>
      </c>
      <c r="M4009" s="55" t="str">
        <f>IFERROR(IF($G4009="","",VLOOKUP('Dashboard And Emails Automate'!$G4009,Database!$H:$N,7,0)),"")</f>
        <v/>
      </c>
      <c r="N4009" s="55" t="str">
        <f>IFERROR(IF(OR($B4009="",$B4009="(blank)"),"",VLOOKUP($B4009,'Email Marketing Raw Data'!$C:$O,6,0)),"")</f>
        <v/>
      </c>
      <c r="O4009" s="55" t="str">
        <f>IFERROR(IF(OR($B4009="",$B4009="(blank)"),"",VLOOKUP($B4009,'Email Marketing Raw Data'!$C:$O,7,0)),"")</f>
        <v/>
      </c>
      <c r="P4009" s="55" t="str">
        <f>IFERROR(IF(OR($B4009="",$B4009="(blank)"),"",VLOOKUP($B4009,'Email Marketing Raw Data'!$C:$O,8,0)),"")</f>
        <v/>
      </c>
      <c r="Q4009" s="62" t="str">
        <f>IFERROR(IF(OR($B4009="",$B4009="(blank)"),"",VLOOKUP($B4009,'Email Marketing Raw Data'!$C:$O,9,0)),"")</f>
        <v/>
      </c>
    </row>
    <row r="4010" spans="4:17" ht="12.75" customHeight="1" x14ac:dyDescent="0.2">
      <c r="D4010" s="58" t="str">
        <f>IFERROR(IF(F4010&lt;&gt;"pending","",IF(OR($B4010="",$B4010="(blank)"),"",VLOOKUP($B4010,'Email Marketing Raw Data'!$C:$O,10,0))),"")</f>
        <v/>
      </c>
      <c r="E4010" s="59" t="str">
        <f>IFERROR(IF(F4010&lt;&gt;"pending","",IF(OR($B4010="",$B4010="(blank)"),"",VLOOKUP($B4010,'Email Marketing Raw Data'!$C:$O,11,0))),"")</f>
        <v/>
      </c>
      <c r="F4010" s="54" t="str">
        <f>IFERROR(IF(OR($B4010="",$B4010="(blank)"),"",VLOOKUP($B4010,'Email Marketing Raw Data'!$C:$O,13,0)),"")</f>
        <v/>
      </c>
      <c r="G4010" s="55" t="str">
        <f>IFERROR(IF(OR($B4010="",$B4010="(blank)"),"",VLOOKUP($B4010,'Email Marketing Raw Data'!$C:$O,4,0)),"")</f>
        <v/>
      </c>
      <c r="H4010" s="55" t="str">
        <f>IFERROR(IF(OR($B4010="",$B4010="(blank)"),"",VLOOKUP($B4010,'Email Marketing Raw Data'!$C:$O,5,0)),"")</f>
        <v/>
      </c>
      <c r="I4010" s="55" t="str">
        <f>IFERROR(IF($G4010="","",VLOOKUP('Dashboard And Emails Automate'!$G4010,Database!$H:$N,3,0)),"")</f>
        <v/>
      </c>
      <c r="J4010" s="55" t="str">
        <f>IFERROR(IF($G4010="","",VLOOKUP('Dashboard And Emails Automate'!$G4010,Database!$H:$N,4,0)),"")</f>
        <v/>
      </c>
      <c r="K4010" s="55" t="str">
        <f>IFERROR(IF($G4010="","",VLOOKUP('Dashboard And Emails Automate'!$G4010,Database!$H:$N,5,0)),"")</f>
        <v/>
      </c>
      <c r="L4010" s="55" t="str">
        <f>IFERROR(IF($G4010="","",VLOOKUP('Dashboard And Emails Automate'!$G4010,Database!$H:$N,6,0)),"")</f>
        <v/>
      </c>
      <c r="M4010" s="55" t="str">
        <f>IFERROR(IF($G4010="","",VLOOKUP('Dashboard And Emails Automate'!$G4010,Database!$H:$N,7,0)),"")</f>
        <v/>
      </c>
      <c r="N4010" s="55" t="str">
        <f>IFERROR(IF(OR($B4010="",$B4010="(blank)"),"",VLOOKUP($B4010,'Email Marketing Raw Data'!$C:$O,6,0)),"")</f>
        <v/>
      </c>
      <c r="O4010" s="55" t="str">
        <f>IFERROR(IF(OR($B4010="",$B4010="(blank)"),"",VLOOKUP($B4010,'Email Marketing Raw Data'!$C:$O,7,0)),"")</f>
        <v/>
      </c>
      <c r="P4010" s="55" t="str">
        <f>IFERROR(IF(OR($B4010="",$B4010="(blank)"),"",VLOOKUP($B4010,'Email Marketing Raw Data'!$C:$O,8,0)),"")</f>
        <v/>
      </c>
      <c r="Q4010" s="62" t="str">
        <f>IFERROR(IF(OR($B4010="",$B4010="(blank)"),"",VLOOKUP($B4010,'Email Marketing Raw Data'!$C:$O,9,0)),"")</f>
        <v/>
      </c>
    </row>
    <row r="4011" spans="4:17" ht="12.75" customHeight="1" x14ac:dyDescent="0.2">
      <c r="D4011" s="58" t="str">
        <f>IFERROR(IF(F4011&lt;&gt;"pending","",IF(OR($B4011="",$B4011="(blank)"),"",VLOOKUP($B4011,'Email Marketing Raw Data'!$C:$O,10,0))),"")</f>
        <v/>
      </c>
      <c r="E4011" s="59" t="str">
        <f>IFERROR(IF(F4011&lt;&gt;"pending","",IF(OR($B4011="",$B4011="(blank)"),"",VLOOKUP($B4011,'Email Marketing Raw Data'!$C:$O,11,0))),"")</f>
        <v/>
      </c>
      <c r="F4011" s="54" t="str">
        <f>IFERROR(IF(OR($B4011="",$B4011="(blank)"),"",VLOOKUP($B4011,'Email Marketing Raw Data'!$C:$O,13,0)),"")</f>
        <v/>
      </c>
      <c r="G4011" s="55" t="str">
        <f>IFERROR(IF(OR($B4011="",$B4011="(blank)"),"",VLOOKUP($B4011,'Email Marketing Raw Data'!$C:$O,4,0)),"")</f>
        <v/>
      </c>
      <c r="H4011" s="55" t="str">
        <f>IFERROR(IF(OR($B4011="",$B4011="(blank)"),"",VLOOKUP($B4011,'Email Marketing Raw Data'!$C:$O,5,0)),"")</f>
        <v/>
      </c>
      <c r="I4011" s="55" t="str">
        <f>IFERROR(IF($G4011="","",VLOOKUP('Dashboard And Emails Automate'!$G4011,Database!$H:$N,3,0)),"")</f>
        <v/>
      </c>
      <c r="J4011" s="55" t="str">
        <f>IFERROR(IF($G4011="","",VLOOKUP('Dashboard And Emails Automate'!$G4011,Database!$H:$N,4,0)),"")</f>
        <v/>
      </c>
      <c r="K4011" s="55" t="str">
        <f>IFERROR(IF($G4011="","",VLOOKUP('Dashboard And Emails Automate'!$G4011,Database!$H:$N,5,0)),"")</f>
        <v/>
      </c>
      <c r="L4011" s="55" t="str">
        <f>IFERROR(IF($G4011="","",VLOOKUP('Dashboard And Emails Automate'!$G4011,Database!$H:$N,6,0)),"")</f>
        <v/>
      </c>
      <c r="M4011" s="55" t="str">
        <f>IFERROR(IF($G4011="","",VLOOKUP('Dashboard And Emails Automate'!$G4011,Database!$H:$N,7,0)),"")</f>
        <v/>
      </c>
      <c r="N4011" s="55" t="str">
        <f>IFERROR(IF(OR($B4011="",$B4011="(blank)"),"",VLOOKUP($B4011,'Email Marketing Raw Data'!$C:$O,6,0)),"")</f>
        <v/>
      </c>
      <c r="O4011" s="55" t="str">
        <f>IFERROR(IF(OR($B4011="",$B4011="(blank)"),"",VLOOKUP($B4011,'Email Marketing Raw Data'!$C:$O,7,0)),"")</f>
        <v/>
      </c>
      <c r="P4011" s="55" t="str">
        <f>IFERROR(IF(OR($B4011="",$B4011="(blank)"),"",VLOOKUP($B4011,'Email Marketing Raw Data'!$C:$O,8,0)),"")</f>
        <v/>
      </c>
      <c r="Q4011" s="62" t="str">
        <f>IFERROR(IF(OR($B4011="",$B4011="(blank)"),"",VLOOKUP($B4011,'Email Marketing Raw Data'!$C:$O,9,0)),"")</f>
        <v/>
      </c>
    </row>
    <row r="4012" spans="4:17" ht="12.75" customHeight="1" x14ac:dyDescent="0.2">
      <c r="D4012" s="58" t="str">
        <f>IFERROR(IF(F4012&lt;&gt;"pending","",IF(OR($B4012="",$B4012="(blank)"),"",VLOOKUP($B4012,'Email Marketing Raw Data'!$C:$O,10,0))),"")</f>
        <v/>
      </c>
      <c r="E4012" s="59" t="str">
        <f>IFERROR(IF(F4012&lt;&gt;"pending","",IF(OR($B4012="",$B4012="(blank)"),"",VLOOKUP($B4012,'Email Marketing Raw Data'!$C:$O,11,0))),"")</f>
        <v/>
      </c>
      <c r="F4012" s="54" t="str">
        <f>IFERROR(IF(OR($B4012="",$B4012="(blank)"),"",VLOOKUP($B4012,'Email Marketing Raw Data'!$C:$O,13,0)),"")</f>
        <v/>
      </c>
      <c r="G4012" s="55" t="str">
        <f>IFERROR(IF(OR($B4012="",$B4012="(blank)"),"",VLOOKUP($B4012,'Email Marketing Raw Data'!$C:$O,4,0)),"")</f>
        <v/>
      </c>
      <c r="H4012" s="55" t="str">
        <f>IFERROR(IF(OR($B4012="",$B4012="(blank)"),"",VLOOKUP($B4012,'Email Marketing Raw Data'!$C:$O,5,0)),"")</f>
        <v/>
      </c>
      <c r="I4012" s="55" t="str">
        <f>IFERROR(IF($G4012="","",VLOOKUP('Dashboard And Emails Automate'!$G4012,Database!$H:$N,3,0)),"")</f>
        <v/>
      </c>
      <c r="J4012" s="55" t="str">
        <f>IFERROR(IF($G4012="","",VLOOKUP('Dashboard And Emails Automate'!$G4012,Database!$H:$N,4,0)),"")</f>
        <v/>
      </c>
      <c r="K4012" s="55" t="str">
        <f>IFERROR(IF($G4012="","",VLOOKUP('Dashboard And Emails Automate'!$G4012,Database!$H:$N,5,0)),"")</f>
        <v/>
      </c>
      <c r="L4012" s="55" t="str">
        <f>IFERROR(IF($G4012="","",VLOOKUP('Dashboard And Emails Automate'!$G4012,Database!$H:$N,6,0)),"")</f>
        <v/>
      </c>
      <c r="M4012" s="55" t="str">
        <f>IFERROR(IF($G4012="","",VLOOKUP('Dashboard And Emails Automate'!$G4012,Database!$H:$N,7,0)),"")</f>
        <v/>
      </c>
      <c r="N4012" s="55" t="str">
        <f>IFERROR(IF(OR($B4012="",$B4012="(blank)"),"",VLOOKUP($B4012,'Email Marketing Raw Data'!$C:$O,6,0)),"")</f>
        <v/>
      </c>
      <c r="O4012" s="55" t="str">
        <f>IFERROR(IF(OR($B4012="",$B4012="(blank)"),"",VLOOKUP($B4012,'Email Marketing Raw Data'!$C:$O,7,0)),"")</f>
        <v/>
      </c>
      <c r="P4012" s="55" t="str">
        <f>IFERROR(IF(OR($B4012="",$B4012="(blank)"),"",VLOOKUP($B4012,'Email Marketing Raw Data'!$C:$O,8,0)),"")</f>
        <v/>
      </c>
      <c r="Q4012" s="62" t="str">
        <f>IFERROR(IF(OR($B4012="",$B4012="(blank)"),"",VLOOKUP($B4012,'Email Marketing Raw Data'!$C:$O,9,0)),"")</f>
        <v/>
      </c>
    </row>
    <row r="4013" spans="4:17" ht="12.75" customHeight="1" x14ac:dyDescent="0.2">
      <c r="D4013" s="58" t="str">
        <f>IFERROR(IF(F4013&lt;&gt;"pending","",IF(OR($B4013="",$B4013="(blank)"),"",VLOOKUP($B4013,'Email Marketing Raw Data'!$C:$O,10,0))),"")</f>
        <v/>
      </c>
      <c r="E4013" s="59" t="str">
        <f>IFERROR(IF(F4013&lt;&gt;"pending","",IF(OR($B4013="",$B4013="(blank)"),"",VLOOKUP($B4013,'Email Marketing Raw Data'!$C:$O,11,0))),"")</f>
        <v/>
      </c>
      <c r="F4013" s="54" t="str">
        <f>IFERROR(IF(OR($B4013="",$B4013="(blank)"),"",VLOOKUP($B4013,'Email Marketing Raw Data'!$C:$O,13,0)),"")</f>
        <v/>
      </c>
      <c r="G4013" s="55" t="str">
        <f>IFERROR(IF(OR($B4013="",$B4013="(blank)"),"",VLOOKUP($B4013,'Email Marketing Raw Data'!$C:$O,4,0)),"")</f>
        <v/>
      </c>
      <c r="H4013" s="55" t="str">
        <f>IFERROR(IF(OR($B4013="",$B4013="(blank)"),"",VLOOKUP($B4013,'Email Marketing Raw Data'!$C:$O,5,0)),"")</f>
        <v/>
      </c>
      <c r="I4013" s="55" t="str">
        <f>IFERROR(IF($G4013="","",VLOOKUP('Dashboard And Emails Automate'!$G4013,Database!$H:$N,3,0)),"")</f>
        <v/>
      </c>
      <c r="J4013" s="55" t="str">
        <f>IFERROR(IF($G4013="","",VLOOKUP('Dashboard And Emails Automate'!$G4013,Database!$H:$N,4,0)),"")</f>
        <v/>
      </c>
      <c r="K4013" s="55" t="str">
        <f>IFERROR(IF($G4013="","",VLOOKUP('Dashboard And Emails Automate'!$G4013,Database!$H:$N,5,0)),"")</f>
        <v/>
      </c>
      <c r="L4013" s="55" t="str">
        <f>IFERROR(IF($G4013="","",VLOOKUP('Dashboard And Emails Automate'!$G4013,Database!$H:$N,6,0)),"")</f>
        <v/>
      </c>
      <c r="M4013" s="55" t="str">
        <f>IFERROR(IF($G4013="","",VLOOKUP('Dashboard And Emails Automate'!$G4013,Database!$H:$N,7,0)),"")</f>
        <v/>
      </c>
      <c r="N4013" s="55" t="str">
        <f>IFERROR(IF(OR($B4013="",$B4013="(blank)"),"",VLOOKUP($B4013,'Email Marketing Raw Data'!$C:$O,6,0)),"")</f>
        <v/>
      </c>
      <c r="O4013" s="55" t="str">
        <f>IFERROR(IF(OR($B4013="",$B4013="(blank)"),"",VLOOKUP($B4013,'Email Marketing Raw Data'!$C:$O,7,0)),"")</f>
        <v/>
      </c>
      <c r="P4013" s="55" t="str">
        <f>IFERROR(IF(OR($B4013="",$B4013="(blank)"),"",VLOOKUP($B4013,'Email Marketing Raw Data'!$C:$O,8,0)),"")</f>
        <v/>
      </c>
      <c r="Q4013" s="62" t="str">
        <f>IFERROR(IF(OR($B4013="",$B4013="(blank)"),"",VLOOKUP($B4013,'Email Marketing Raw Data'!$C:$O,9,0)),"")</f>
        <v/>
      </c>
    </row>
    <row r="4014" spans="4:17" ht="12.75" customHeight="1" x14ac:dyDescent="0.2">
      <c r="D4014" s="58" t="str">
        <f>IFERROR(IF(F4014&lt;&gt;"pending","",IF(OR($B4014="",$B4014="(blank)"),"",VLOOKUP($B4014,'Email Marketing Raw Data'!$C:$O,10,0))),"")</f>
        <v/>
      </c>
      <c r="E4014" s="59" t="str">
        <f>IFERROR(IF(F4014&lt;&gt;"pending","",IF(OR($B4014="",$B4014="(blank)"),"",VLOOKUP($B4014,'Email Marketing Raw Data'!$C:$O,11,0))),"")</f>
        <v/>
      </c>
      <c r="F4014" s="54" t="str">
        <f>IFERROR(IF(OR($B4014="",$B4014="(blank)"),"",VLOOKUP($B4014,'Email Marketing Raw Data'!$C:$O,13,0)),"")</f>
        <v/>
      </c>
      <c r="G4014" s="55" t="str">
        <f>IFERROR(IF(OR($B4014="",$B4014="(blank)"),"",VLOOKUP($B4014,'Email Marketing Raw Data'!$C:$O,4,0)),"")</f>
        <v/>
      </c>
      <c r="H4014" s="55" t="str">
        <f>IFERROR(IF(OR($B4014="",$B4014="(blank)"),"",VLOOKUP($B4014,'Email Marketing Raw Data'!$C:$O,5,0)),"")</f>
        <v/>
      </c>
      <c r="I4014" s="55" t="str">
        <f>IFERROR(IF($G4014="","",VLOOKUP('Dashboard And Emails Automate'!$G4014,Database!$H:$N,3,0)),"")</f>
        <v/>
      </c>
      <c r="J4014" s="55" t="str">
        <f>IFERROR(IF($G4014="","",VLOOKUP('Dashboard And Emails Automate'!$G4014,Database!$H:$N,4,0)),"")</f>
        <v/>
      </c>
      <c r="K4014" s="55" t="str">
        <f>IFERROR(IF($G4014="","",VLOOKUP('Dashboard And Emails Automate'!$G4014,Database!$H:$N,5,0)),"")</f>
        <v/>
      </c>
      <c r="L4014" s="55" t="str">
        <f>IFERROR(IF($G4014="","",VLOOKUP('Dashboard And Emails Automate'!$G4014,Database!$H:$N,6,0)),"")</f>
        <v/>
      </c>
      <c r="M4014" s="55" t="str">
        <f>IFERROR(IF($G4014="","",VLOOKUP('Dashboard And Emails Automate'!$G4014,Database!$H:$N,7,0)),"")</f>
        <v/>
      </c>
      <c r="N4014" s="55" t="str">
        <f>IFERROR(IF(OR($B4014="",$B4014="(blank)"),"",VLOOKUP($B4014,'Email Marketing Raw Data'!$C:$O,6,0)),"")</f>
        <v/>
      </c>
      <c r="O4014" s="55" t="str">
        <f>IFERROR(IF(OR($B4014="",$B4014="(blank)"),"",VLOOKUP($B4014,'Email Marketing Raw Data'!$C:$O,7,0)),"")</f>
        <v/>
      </c>
      <c r="P4014" s="55" t="str">
        <f>IFERROR(IF(OR($B4014="",$B4014="(blank)"),"",VLOOKUP($B4014,'Email Marketing Raw Data'!$C:$O,8,0)),"")</f>
        <v/>
      </c>
      <c r="Q4014" s="62" t="str">
        <f>IFERROR(IF(OR($B4014="",$B4014="(blank)"),"",VLOOKUP($B4014,'Email Marketing Raw Data'!$C:$O,9,0)),"")</f>
        <v/>
      </c>
    </row>
    <row r="4015" spans="4:17" ht="12.75" customHeight="1" x14ac:dyDescent="0.2">
      <c r="D4015" s="58" t="str">
        <f>IFERROR(IF(F4015&lt;&gt;"pending","",IF(OR($B4015="",$B4015="(blank)"),"",VLOOKUP($B4015,'Email Marketing Raw Data'!$C:$O,10,0))),"")</f>
        <v/>
      </c>
      <c r="E4015" s="59" t="str">
        <f>IFERROR(IF(F4015&lt;&gt;"pending","",IF(OR($B4015="",$B4015="(blank)"),"",VLOOKUP($B4015,'Email Marketing Raw Data'!$C:$O,11,0))),"")</f>
        <v/>
      </c>
      <c r="F4015" s="54" t="str">
        <f>IFERROR(IF(OR($B4015="",$B4015="(blank)"),"",VLOOKUP($B4015,'Email Marketing Raw Data'!$C:$O,13,0)),"")</f>
        <v/>
      </c>
      <c r="G4015" s="55" t="str">
        <f>IFERROR(IF(OR($B4015="",$B4015="(blank)"),"",VLOOKUP($B4015,'Email Marketing Raw Data'!$C:$O,4,0)),"")</f>
        <v/>
      </c>
      <c r="H4015" s="55" t="str">
        <f>IFERROR(IF(OR($B4015="",$B4015="(blank)"),"",VLOOKUP($B4015,'Email Marketing Raw Data'!$C:$O,5,0)),"")</f>
        <v/>
      </c>
      <c r="I4015" s="55" t="str">
        <f>IFERROR(IF($G4015="","",VLOOKUP('Dashboard And Emails Automate'!$G4015,Database!$H:$N,3,0)),"")</f>
        <v/>
      </c>
      <c r="J4015" s="55" t="str">
        <f>IFERROR(IF($G4015="","",VLOOKUP('Dashboard And Emails Automate'!$G4015,Database!$H:$N,4,0)),"")</f>
        <v/>
      </c>
      <c r="K4015" s="55" t="str">
        <f>IFERROR(IF($G4015="","",VLOOKUP('Dashboard And Emails Automate'!$G4015,Database!$H:$N,5,0)),"")</f>
        <v/>
      </c>
      <c r="L4015" s="55" t="str">
        <f>IFERROR(IF($G4015="","",VLOOKUP('Dashboard And Emails Automate'!$G4015,Database!$H:$N,6,0)),"")</f>
        <v/>
      </c>
      <c r="M4015" s="55" t="str">
        <f>IFERROR(IF($G4015="","",VLOOKUP('Dashboard And Emails Automate'!$G4015,Database!$H:$N,7,0)),"")</f>
        <v/>
      </c>
      <c r="N4015" s="55" t="str">
        <f>IFERROR(IF(OR($B4015="",$B4015="(blank)"),"",VLOOKUP($B4015,'Email Marketing Raw Data'!$C:$O,6,0)),"")</f>
        <v/>
      </c>
      <c r="O4015" s="55" t="str">
        <f>IFERROR(IF(OR($B4015="",$B4015="(blank)"),"",VLOOKUP($B4015,'Email Marketing Raw Data'!$C:$O,7,0)),"")</f>
        <v/>
      </c>
      <c r="P4015" s="55" t="str">
        <f>IFERROR(IF(OR($B4015="",$B4015="(blank)"),"",VLOOKUP($B4015,'Email Marketing Raw Data'!$C:$O,8,0)),"")</f>
        <v/>
      </c>
      <c r="Q4015" s="62" t="str">
        <f>IFERROR(IF(OR($B4015="",$B4015="(blank)"),"",VLOOKUP($B4015,'Email Marketing Raw Data'!$C:$O,9,0)),"")</f>
        <v/>
      </c>
    </row>
    <row r="4016" spans="4:17" ht="12.75" customHeight="1" x14ac:dyDescent="0.2">
      <c r="D4016" s="58" t="str">
        <f>IFERROR(IF(F4016&lt;&gt;"pending","",IF(OR($B4016="",$B4016="(blank)"),"",VLOOKUP($B4016,'Email Marketing Raw Data'!$C:$O,10,0))),"")</f>
        <v/>
      </c>
      <c r="E4016" s="59" t="str">
        <f>IFERROR(IF(F4016&lt;&gt;"pending","",IF(OR($B4016="",$B4016="(blank)"),"",VLOOKUP($B4016,'Email Marketing Raw Data'!$C:$O,11,0))),"")</f>
        <v/>
      </c>
      <c r="F4016" s="54" t="str">
        <f>IFERROR(IF(OR($B4016="",$B4016="(blank)"),"",VLOOKUP($B4016,'Email Marketing Raw Data'!$C:$O,13,0)),"")</f>
        <v/>
      </c>
      <c r="G4016" s="55" t="str">
        <f>IFERROR(IF(OR($B4016="",$B4016="(blank)"),"",VLOOKUP($B4016,'Email Marketing Raw Data'!$C:$O,4,0)),"")</f>
        <v/>
      </c>
      <c r="H4016" s="55" t="str">
        <f>IFERROR(IF(OR($B4016="",$B4016="(blank)"),"",VLOOKUP($B4016,'Email Marketing Raw Data'!$C:$O,5,0)),"")</f>
        <v/>
      </c>
      <c r="I4016" s="55" t="str">
        <f>IFERROR(IF($G4016="","",VLOOKUP('Dashboard And Emails Automate'!$G4016,Database!$H:$N,3,0)),"")</f>
        <v/>
      </c>
      <c r="J4016" s="55" t="str">
        <f>IFERROR(IF($G4016="","",VLOOKUP('Dashboard And Emails Automate'!$G4016,Database!$H:$N,4,0)),"")</f>
        <v/>
      </c>
      <c r="K4016" s="55" t="str">
        <f>IFERROR(IF($G4016="","",VLOOKUP('Dashboard And Emails Automate'!$G4016,Database!$H:$N,5,0)),"")</f>
        <v/>
      </c>
      <c r="L4016" s="55" t="str">
        <f>IFERROR(IF($G4016="","",VLOOKUP('Dashboard And Emails Automate'!$G4016,Database!$H:$N,6,0)),"")</f>
        <v/>
      </c>
      <c r="M4016" s="55" t="str">
        <f>IFERROR(IF($G4016="","",VLOOKUP('Dashboard And Emails Automate'!$G4016,Database!$H:$N,7,0)),"")</f>
        <v/>
      </c>
      <c r="N4016" s="55" t="str">
        <f>IFERROR(IF(OR($B4016="",$B4016="(blank)"),"",VLOOKUP($B4016,'Email Marketing Raw Data'!$C:$O,6,0)),"")</f>
        <v/>
      </c>
      <c r="O4016" s="55" t="str">
        <f>IFERROR(IF(OR($B4016="",$B4016="(blank)"),"",VLOOKUP($B4016,'Email Marketing Raw Data'!$C:$O,7,0)),"")</f>
        <v/>
      </c>
      <c r="P4016" s="55" t="str">
        <f>IFERROR(IF(OR($B4016="",$B4016="(blank)"),"",VLOOKUP($B4016,'Email Marketing Raw Data'!$C:$O,8,0)),"")</f>
        <v/>
      </c>
      <c r="Q4016" s="62" t="str">
        <f>IFERROR(IF(OR($B4016="",$B4016="(blank)"),"",VLOOKUP($B4016,'Email Marketing Raw Data'!$C:$O,9,0)),"")</f>
        <v/>
      </c>
    </row>
    <row r="4017" spans="4:17" ht="12.75" customHeight="1" x14ac:dyDescent="0.2">
      <c r="D4017" s="58" t="str">
        <f>IFERROR(IF(F4017&lt;&gt;"pending","",IF(OR($B4017="",$B4017="(blank)"),"",VLOOKUP($B4017,'Email Marketing Raw Data'!$C:$O,10,0))),"")</f>
        <v/>
      </c>
      <c r="E4017" s="59" t="str">
        <f>IFERROR(IF(F4017&lt;&gt;"pending","",IF(OR($B4017="",$B4017="(blank)"),"",VLOOKUP($B4017,'Email Marketing Raw Data'!$C:$O,11,0))),"")</f>
        <v/>
      </c>
      <c r="F4017" s="54" t="str">
        <f>IFERROR(IF(OR($B4017="",$B4017="(blank)"),"",VLOOKUP($B4017,'Email Marketing Raw Data'!$C:$O,13,0)),"")</f>
        <v/>
      </c>
      <c r="G4017" s="55" t="str">
        <f>IFERROR(IF(OR($B4017="",$B4017="(blank)"),"",VLOOKUP($B4017,'Email Marketing Raw Data'!$C:$O,4,0)),"")</f>
        <v/>
      </c>
      <c r="H4017" s="55" t="str">
        <f>IFERROR(IF(OR($B4017="",$B4017="(blank)"),"",VLOOKUP($B4017,'Email Marketing Raw Data'!$C:$O,5,0)),"")</f>
        <v/>
      </c>
      <c r="I4017" s="55" t="str">
        <f>IFERROR(IF($G4017="","",VLOOKUP('Dashboard And Emails Automate'!$G4017,Database!$H:$N,3,0)),"")</f>
        <v/>
      </c>
      <c r="J4017" s="55" t="str">
        <f>IFERROR(IF($G4017="","",VLOOKUP('Dashboard And Emails Automate'!$G4017,Database!$H:$N,4,0)),"")</f>
        <v/>
      </c>
      <c r="K4017" s="55" t="str">
        <f>IFERROR(IF($G4017="","",VLOOKUP('Dashboard And Emails Automate'!$G4017,Database!$H:$N,5,0)),"")</f>
        <v/>
      </c>
      <c r="L4017" s="55" t="str">
        <f>IFERROR(IF($G4017="","",VLOOKUP('Dashboard And Emails Automate'!$G4017,Database!$H:$N,6,0)),"")</f>
        <v/>
      </c>
      <c r="M4017" s="55" t="str">
        <f>IFERROR(IF($G4017="","",VLOOKUP('Dashboard And Emails Automate'!$G4017,Database!$H:$N,7,0)),"")</f>
        <v/>
      </c>
      <c r="N4017" s="55" t="str">
        <f>IFERROR(IF(OR($B4017="",$B4017="(blank)"),"",VLOOKUP($B4017,'Email Marketing Raw Data'!$C:$O,6,0)),"")</f>
        <v/>
      </c>
      <c r="O4017" s="55" t="str">
        <f>IFERROR(IF(OR($B4017="",$B4017="(blank)"),"",VLOOKUP($B4017,'Email Marketing Raw Data'!$C:$O,7,0)),"")</f>
        <v/>
      </c>
      <c r="P4017" s="55" t="str">
        <f>IFERROR(IF(OR($B4017="",$B4017="(blank)"),"",VLOOKUP($B4017,'Email Marketing Raw Data'!$C:$O,8,0)),"")</f>
        <v/>
      </c>
      <c r="Q4017" s="62" t="str">
        <f>IFERROR(IF(OR($B4017="",$B4017="(blank)"),"",VLOOKUP($B4017,'Email Marketing Raw Data'!$C:$O,9,0)),"")</f>
        <v/>
      </c>
    </row>
    <row r="4018" spans="4:17" ht="12.75" customHeight="1" x14ac:dyDescent="0.2">
      <c r="D4018" s="58" t="str">
        <f>IFERROR(IF(F4018&lt;&gt;"pending","",IF(OR($B4018="",$B4018="(blank)"),"",VLOOKUP($B4018,'Email Marketing Raw Data'!$C:$O,10,0))),"")</f>
        <v/>
      </c>
      <c r="E4018" s="59" t="str">
        <f>IFERROR(IF(F4018&lt;&gt;"pending","",IF(OR($B4018="",$B4018="(blank)"),"",VLOOKUP($B4018,'Email Marketing Raw Data'!$C:$O,11,0))),"")</f>
        <v/>
      </c>
      <c r="F4018" s="54" t="str">
        <f>IFERROR(IF(OR($B4018="",$B4018="(blank)"),"",VLOOKUP($B4018,'Email Marketing Raw Data'!$C:$O,13,0)),"")</f>
        <v/>
      </c>
      <c r="G4018" s="55" t="str">
        <f>IFERROR(IF(OR($B4018="",$B4018="(blank)"),"",VLOOKUP($B4018,'Email Marketing Raw Data'!$C:$O,4,0)),"")</f>
        <v/>
      </c>
      <c r="H4018" s="55" t="str">
        <f>IFERROR(IF(OR($B4018="",$B4018="(blank)"),"",VLOOKUP($B4018,'Email Marketing Raw Data'!$C:$O,5,0)),"")</f>
        <v/>
      </c>
      <c r="I4018" s="55" t="str">
        <f>IFERROR(IF($G4018="","",VLOOKUP('Dashboard And Emails Automate'!$G4018,Database!$H:$N,3,0)),"")</f>
        <v/>
      </c>
      <c r="J4018" s="55" t="str">
        <f>IFERROR(IF($G4018="","",VLOOKUP('Dashboard And Emails Automate'!$G4018,Database!$H:$N,4,0)),"")</f>
        <v/>
      </c>
      <c r="K4018" s="55" t="str">
        <f>IFERROR(IF($G4018="","",VLOOKUP('Dashboard And Emails Automate'!$G4018,Database!$H:$N,5,0)),"")</f>
        <v/>
      </c>
      <c r="L4018" s="55" t="str">
        <f>IFERROR(IF($G4018="","",VLOOKUP('Dashboard And Emails Automate'!$G4018,Database!$H:$N,6,0)),"")</f>
        <v/>
      </c>
      <c r="M4018" s="55" t="str">
        <f>IFERROR(IF($G4018="","",VLOOKUP('Dashboard And Emails Automate'!$G4018,Database!$H:$N,7,0)),"")</f>
        <v/>
      </c>
      <c r="N4018" s="55" t="str">
        <f>IFERROR(IF(OR($B4018="",$B4018="(blank)"),"",VLOOKUP($B4018,'Email Marketing Raw Data'!$C:$O,6,0)),"")</f>
        <v/>
      </c>
      <c r="O4018" s="55" t="str">
        <f>IFERROR(IF(OR($B4018="",$B4018="(blank)"),"",VLOOKUP($B4018,'Email Marketing Raw Data'!$C:$O,7,0)),"")</f>
        <v/>
      </c>
      <c r="P4018" s="55" t="str">
        <f>IFERROR(IF(OR($B4018="",$B4018="(blank)"),"",VLOOKUP($B4018,'Email Marketing Raw Data'!$C:$O,8,0)),"")</f>
        <v/>
      </c>
      <c r="Q4018" s="62" t="str">
        <f>IFERROR(IF(OR($B4018="",$B4018="(blank)"),"",VLOOKUP($B4018,'Email Marketing Raw Data'!$C:$O,9,0)),"")</f>
        <v/>
      </c>
    </row>
    <row r="4019" spans="4:17" ht="12.75" customHeight="1" x14ac:dyDescent="0.2">
      <c r="D4019" s="58" t="str">
        <f>IFERROR(IF(F4019&lt;&gt;"pending","",IF(OR($B4019="",$B4019="(blank)"),"",VLOOKUP($B4019,'Email Marketing Raw Data'!$C:$O,10,0))),"")</f>
        <v/>
      </c>
      <c r="E4019" s="59" t="str">
        <f>IFERROR(IF(F4019&lt;&gt;"pending","",IF(OR($B4019="",$B4019="(blank)"),"",VLOOKUP($B4019,'Email Marketing Raw Data'!$C:$O,11,0))),"")</f>
        <v/>
      </c>
      <c r="F4019" s="54" t="str">
        <f>IFERROR(IF(OR($B4019="",$B4019="(blank)"),"",VLOOKUP($B4019,'Email Marketing Raw Data'!$C:$O,13,0)),"")</f>
        <v/>
      </c>
      <c r="G4019" s="55" t="str">
        <f>IFERROR(IF(OR($B4019="",$B4019="(blank)"),"",VLOOKUP($B4019,'Email Marketing Raw Data'!$C:$O,4,0)),"")</f>
        <v/>
      </c>
      <c r="H4019" s="55" t="str">
        <f>IFERROR(IF(OR($B4019="",$B4019="(blank)"),"",VLOOKUP($B4019,'Email Marketing Raw Data'!$C:$O,5,0)),"")</f>
        <v/>
      </c>
      <c r="I4019" s="55" t="str">
        <f>IFERROR(IF($G4019="","",VLOOKUP('Dashboard And Emails Automate'!$G4019,Database!$H:$N,3,0)),"")</f>
        <v/>
      </c>
      <c r="J4019" s="55" t="str">
        <f>IFERROR(IF($G4019="","",VLOOKUP('Dashboard And Emails Automate'!$G4019,Database!$H:$N,4,0)),"")</f>
        <v/>
      </c>
      <c r="K4019" s="55" t="str">
        <f>IFERROR(IF($G4019="","",VLOOKUP('Dashboard And Emails Automate'!$G4019,Database!$H:$N,5,0)),"")</f>
        <v/>
      </c>
      <c r="L4019" s="55" t="str">
        <f>IFERROR(IF($G4019="","",VLOOKUP('Dashboard And Emails Automate'!$G4019,Database!$H:$N,6,0)),"")</f>
        <v/>
      </c>
      <c r="M4019" s="55" t="str">
        <f>IFERROR(IF($G4019="","",VLOOKUP('Dashboard And Emails Automate'!$G4019,Database!$H:$N,7,0)),"")</f>
        <v/>
      </c>
      <c r="N4019" s="55" t="str">
        <f>IFERROR(IF(OR($B4019="",$B4019="(blank)"),"",VLOOKUP($B4019,'Email Marketing Raw Data'!$C:$O,6,0)),"")</f>
        <v/>
      </c>
      <c r="O4019" s="55" t="str">
        <f>IFERROR(IF(OR($B4019="",$B4019="(blank)"),"",VLOOKUP($B4019,'Email Marketing Raw Data'!$C:$O,7,0)),"")</f>
        <v/>
      </c>
      <c r="P4019" s="55" t="str">
        <f>IFERROR(IF(OR($B4019="",$B4019="(blank)"),"",VLOOKUP($B4019,'Email Marketing Raw Data'!$C:$O,8,0)),"")</f>
        <v/>
      </c>
      <c r="Q4019" s="62" t="str">
        <f>IFERROR(IF(OR($B4019="",$B4019="(blank)"),"",VLOOKUP($B4019,'Email Marketing Raw Data'!$C:$O,9,0)),"")</f>
        <v/>
      </c>
    </row>
    <row r="4020" spans="4:17" ht="12.75" customHeight="1" x14ac:dyDescent="0.2">
      <c r="D4020" s="58" t="str">
        <f>IFERROR(IF(F4020&lt;&gt;"pending","",IF(OR($B4020="",$B4020="(blank)"),"",VLOOKUP($B4020,'Email Marketing Raw Data'!$C:$O,10,0))),"")</f>
        <v/>
      </c>
      <c r="E4020" s="59" t="str">
        <f>IFERROR(IF(F4020&lt;&gt;"pending","",IF(OR($B4020="",$B4020="(blank)"),"",VLOOKUP($B4020,'Email Marketing Raw Data'!$C:$O,11,0))),"")</f>
        <v/>
      </c>
      <c r="F4020" s="54" t="str">
        <f>IFERROR(IF(OR($B4020="",$B4020="(blank)"),"",VLOOKUP($B4020,'Email Marketing Raw Data'!$C:$O,13,0)),"")</f>
        <v/>
      </c>
      <c r="G4020" s="55" t="str">
        <f>IFERROR(IF(OR($B4020="",$B4020="(blank)"),"",VLOOKUP($B4020,'Email Marketing Raw Data'!$C:$O,4,0)),"")</f>
        <v/>
      </c>
      <c r="H4020" s="55" t="str">
        <f>IFERROR(IF(OR($B4020="",$B4020="(blank)"),"",VLOOKUP($B4020,'Email Marketing Raw Data'!$C:$O,5,0)),"")</f>
        <v/>
      </c>
      <c r="I4020" s="55" t="str">
        <f>IFERROR(IF($G4020="","",VLOOKUP('Dashboard And Emails Automate'!$G4020,Database!$H:$N,3,0)),"")</f>
        <v/>
      </c>
      <c r="J4020" s="55" t="str">
        <f>IFERROR(IF($G4020="","",VLOOKUP('Dashboard And Emails Automate'!$G4020,Database!$H:$N,4,0)),"")</f>
        <v/>
      </c>
      <c r="K4020" s="55" t="str">
        <f>IFERROR(IF($G4020="","",VLOOKUP('Dashboard And Emails Automate'!$G4020,Database!$H:$N,5,0)),"")</f>
        <v/>
      </c>
      <c r="L4020" s="55" t="str">
        <f>IFERROR(IF($G4020="","",VLOOKUP('Dashboard And Emails Automate'!$G4020,Database!$H:$N,6,0)),"")</f>
        <v/>
      </c>
      <c r="M4020" s="55" t="str">
        <f>IFERROR(IF($G4020="","",VLOOKUP('Dashboard And Emails Automate'!$G4020,Database!$H:$N,7,0)),"")</f>
        <v/>
      </c>
      <c r="N4020" s="55" t="str">
        <f>IFERROR(IF(OR($B4020="",$B4020="(blank)"),"",VLOOKUP($B4020,'Email Marketing Raw Data'!$C:$O,6,0)),"")</f>
        <v/>
      </c>
      <c r="O4020" s="55" t="str">
        <f>IFERROR(IF(OR($B4020="",$B4020="(blank)"),"",VLOOKUP($B4020,'Email Marketing Raw Data'!$C:$O,7,0)),"")</f>
        <v/>
      </c>
      <c r="P4020" s="55" t="str">
        <f>IFERROR(IF(OR($B4020="",$B4020="(blank)"),"",VLOOKUP($B4020,'Email Marketing Raw Data'!$C:$O,8,0)),"")</f>
        <v/>
      </c>
      <c r="Q4020" s="62" t="str">
        <f>IFERROR(IF(OR($B4020="",$B4020="(blank)"),"",VLOOKUP($B4020,'Email Marketing Raw Data'!$C:$O,9,0)),"")</f>
        <v/>
      </c>
    </row>
    <row r="4021" spans="4:17" ht="12.75" customHeight="1" x14ac:dyDescent="0.2">
      <c r="D4021" s="58" t="str">
        <f>IFERROR(IF(F4021&lt;&gt;"pending","",IF(OR($B4021="",$B4021="(blank)"),"",VLOOKUP($B4021,'Email Marketing Raw Data'!$C:$O,10,0))),"")</f>
        <v/>
      </c>
      <c r="E4021" s="59" t="str">
        <f>IFERROR(IF(F4021&lt;&gt;"pending","",IF(OR($B4021="",$B4021="(blank)"),"",VLOOKUP($B4021,'Email Marketing Raw Data'!$C:$O,11,0))),"")</f>
        <v/>
      </c>
      <c r="F4021" s="54" t="str">
        <f>IFERROR(IF(OR($B4021="",$B4021="(blank)"),"",VLOOKUP($B4021,'Email Marketing Raw Data'!$C:$O,13,0)),"")</f>
        <v/>
      </c>
      <c r="G4021" s="55" t="str">
        <f>IFERROR(IF(OR($B4021="",$B4021="(blank)"),"",VLOOKUP($B4021,'Email Marketing Raw Data'!$C:$O,4,0)),"")</f>
        <v/>
      </c>
      <c r="H4021" s="55" t="str">
        <f>IFERROR(IF(OR($B4021="",$B4021="(blank)"),"",VLOOKUP($B4021,'Email Marketing Raw Data'!$C:$O,5,0)),"")</f>
        <v/>
      </c>
      <c r="I4021" s="55" t="str">
        <f>IFERROR(IF($G4021="","",VLOOKUP('Dashboard And Emails Automate'!$G4021,Database!$H:$N,3,0)),"")</f>
        <v/>
      </c>
      <c r="J4021" s="55" t="str">
        <f>IFERROR(IF($G4021="","",VLOOKUP('Dashboard And Emails Automate'!$G4021,Database!$H:$N,4,0)),"")</f>
        <v/>
      </c>
      <c r="K4021" s="55" t="str">
        <f>IFERROR(IF($G4021="","",VLOOKUP('Dashboard And Emails Automate'!$G4021,Database!$H:$N,5,0)),"")</f>
        <v/>
      </c>
      <c r="L4021" s="55" t="str">
        <f>IFERROR(IF($G4021="","",VLOOKUP('Dashboard And Emails Automate'!$G4021,Database!$H:$N,6,0)),"")</f>
        <v/>
      </c>
      <c r="M4021" s="55" t="str">
        <f>IFERROR(IF($G4021="","",VLOOKUP('Dashboard And Emails Automate'!$G4021,Database!$H:$N,7,0)),"")</f>
        <v/>
      </c>
      <c r="N4021" s="55" t="str">
        <f>IFERROR(IF(OR($B4021="",$B4021="(blank)"),"",VLOOKUP($B4021,'Email Marketing Raw Data'!$C:$O,6,0)),"")</f>
        <v/>
      </c>
      <c r="O4021" s="55" t="str">
        <f>IFERROR(IF(OR($B4021="",$B4021="(blank)"),"",VLOOKUP($B4021,'Email Marketing Raw Data'!$C:$O,7,0)),"")</f>
        <v/>
      </c>
      <c r="P4021" s="55" t="str">
        <f>IFERROR(IF(OR($B4021="",$B4021="(blank)"),"",VLOOKUP($B4021,'Email Marketing Raw Data'!$C:$O,8,0)),"")</f>
        <v/>
      </c>
      <c r="Q4021" s="62" t="str">
        <f>IFERROR(IF(OR($B4021="",$B4021="(blank)"),"",VLOOKUP($B4021,'Email Marketing Raw Data'!$C:$O,9,0)),"")</f>
        <v/>
      </c>
    </row>
    <row r="4022" spans="4:17" ht="12.75" customHeight="1" x14ac:dyDescent="0.2">
      <c r="D4022" s="58" t="str">
        <f>IFERROR(IF(F4022&lt;&gt;"pending","",IF(OR($B4022="",$B4022="(blank)"),"",VLOOKUP($B4022,'Email Marketing Raw Data'!$C:$O,10,0))),"")</f>
        <v/>
      </c>
      <c r="E4022" s="59" t="str">
        <f>IFERROR(IF(F4022&lt;&gt;"pending","",IF(OR($B4022="",$B4022="(blank)"),"",VLOOKUP($B4022,'Email Marketing Raw Data'!$C:$O,11,0))),"")</f>
        <v/>
      </c>
      <c r="F4022" s="54" t="str">
        <f>IFERROR(IF(OR($B4022="",$B4022="(blank)"),"",VLOOKUP($B4022,'Email Marketing Raw Data'!$C:$O,13,0)),"")</f>
        <v/>
      </c>
      <c r="G4022" s="55" t="str">
        <f>IFERROR(IF(OR($B4022="",$B4022="(blank)"),"",VLOOKUP($B4022,'Email Marketing Raw Data'!$C:$O,4,0)),"")</f>
        <v/>
      </c>
      <c r="H4022" s="55" t="str">
        <f>IFERROR(IF(OR($B4022="",$B4022="(blank)"),"",VLOOKUP($B4022,'Email Marketing Raw Data'!$C:$O,5,0)),"")</f>
        <v/>
      </c>
      <c r="I4022" s="55" t="str">
        <f>IFERROR(IF($G4022="","",VLOOKUP('Dashboard And Emails Automate'!$G4022,Database!$H:$N,3,0)),"")</f>
        <v/>
      </c>
      <c r="J4022" s="55" t="str">
        <f>IFERROR(IF($G4022="","",VLOOKUP('Dashboard And Emails Automate'!$G4022,Database!$H:$N,4,0)),"")</f>
        <v/>
      </c>
      <c r="K4022" s="55" t="str">
        <f>IFERROR(IF($G4022="","",VLOOKUP('Dashboard And Emails Automate'!$G4022,Database!$H:$N,5,0)),"")</f>
        <v/>
      </c>
      <c r="L4022" s="55" t="str">
        <f>IFERROR(IF($G4022="","",VLOOKUP('Dashboard And Emails Automate'!$G4022,Database!$H:$N,6,0)),"")</f>
        <v/>
      </c>
      <c r="M4022" s="55" t="str">
        <f>IFERROR(IF($G4022="","",VLOOKUP('Dashboard And Emails Automate'!$G4022,Database!$H:$N,7,0)),"")</f>
        <v/>
      </c>
      <c r="N4022" s="55" t="str">
        <f>IFERROR(IF(OR($B4022="",$B4022="(blank)"),"",VLOOKUP($B4022,'Email Marketing Raw Data'!$C:$O,6,0)),"")</f>
        <v/>
      </c>
      <c r="O4022" s="55" t="str">
        <f>IFERROR(IF(OR($B4022="",$B4022="(blank)"),"",VLOOKUP($B4022,'Email Marketing Raw Data'!$C:$O,7,0)),"")</f>
        <v/>
      </c>
      <c r="P4022" s="55" t="str">
        <f>IFERROR(IF(OR($B4022="",$B4022="(blank)"),"",VLOOKUP($B4022,'Email Marketing Raw Data'!$C:$O,8,0)),"")</f>
        <v/>
      </c>
      <c r="Q4022" s="62" t="str">
        <f>IFERROR(IF(OR($B4022="",$B4022="(blank)"),"",VLOOKUP($B4022,'Email Marketing Raw Data'!$C:$O,9,0)),"")</f>
        <v/>
      </c>
    </row>
    <row r="4023" spans="4:17" ht="12.75" customHeight="1" x14ac:dyDescent="0.2">
      <c r="D4023" s="58" t="str">
        <f>IFERROR(IF(F4023&lt;&gt;"pending","",IF(OR($B4023="",$B4023="(blank)"),"",VLOOKUP($B4023,'Email Marketing Raw Data'!$C:$O,10,0))),"")</f>
        <v/>
      </c>
      <c r="E4023" s="59" t="str">
        <f>IFERROR(IF(F4023&lt;&gt;"pending","",IF(OR($B4023="",$B4023="(blank)"),"",VLOOKUP($B4023,'Email Marketing Raw Data'!$C:$O,11,0))),"")</f>
        <v/>
      </c>
      <c r="F4023" s="54" t="str">
        <f>IFERROR(IF(OR($B4023="",$B4023="(blank)"),"",VLOOKUP($B4023,'Email Marketing Raw Data'!$C:$O,13,0)),"")</f>
        <v/>
      </c>
      <c r="G4023" s="55" t="str">
        <f>IFERROR(IF(OR($B4023="",$B4023="(blank)"),"",VLOOKUP($B4023,'Email Marketing Raw Data'!$C:$O,4,0)),"")</f>
        <v/>
      </c>
      <c r="H4023" s="55" t="str">
        <f>IFERROR(IF(OR($B4023="",$B4023="(blank)"),"",VLOOKUP($B4023,'Email Marketing Raw Data'!$C:$O,5,0)),"")</f>
        <v/>
      </c>
      <c r="I4023" s="55" t="str">
        <f>IFERROR(IF($G4023="","",VLOOKUP('Dashboard And Emails Automate'!$G4023,Database!$H:$N,3,0)),"")</f>
        <v/>
      </c>
      <c r="J4023" s="55" t="str">
        <f>IFERROR(IF($G4023="","",VLOOKUP('Dashboard And Emails Automate'!$G4023,Database!$H:$N,4,0)),"")</f>
        <v/>
      </c>
      <c r="K4023" s="55" t="str">
        <f>IFERROR(IF($G4023="","",VLOOKUP('Dashboard And Emails Automate'!$G4023,Database!$H:$N,5,0)),"")</f>
        <v/>
      </c>
      <c r="L4023" s="55" t="str">
        <f>IFERROR(IF($G4023="","",VLOOKUP('Dashboard And Emails Automate'!$G4023,Database!$H:$N,6,0)),"")</f>
        <v/>
      </c>
      <c r="M4023" s="55" t="str">
        <f>IFERROR(IF($G4023="","",VLOOKUP('Dashboard And Emails Automate'!$G4023,Database!$H:$N,7,0)),"")</f>
        <v/>
      </c>
      <c r="N4023" s="55" t="str">
        <f>IFERROR(IF(OR($B4023="",$B4023="(blank)"),"",VLOOKUP($B4023,'Email Marketing Raw Data'!$C:$O,6,0)),"")</f>
        <v/>
      </c>
      <c r="O4023" s="55" t="str">
        <f>IFERROR(IF(OR($B4023="",$B4023="(blank)"),"",VLOOKUP($B4023,'Email Marketing Raw Data'!$C:$O,7,0)),"")</f>
        <v/>
      </c>
      <c r="P4023" s="55" t="str">
        <f>IFERROR(IF(OR($B4023="",$B4023="(blank)"),"",VLOOKUP($B4023,'Email Marketing Raw Data'!$C:$O,8,0)),"")</f>
        <v/>
      </c>
      <c r="Q4023" s="62" t="str">
        <f>IFERROR(IF(OR($B4023="",$B4023="(blank)"),"",VLOOKUP($B4023,'Email Marketing Raw Data'!$C:$O,9,0)),"")</f>
        <v/>
      </c>
    </row>
    <row r="4024" spans="4:17" ht="12.75" customHeight="1" x14ac:dyDescent="0.2">
      <c r="D4024" s="58" t="str">
        <f>IFERROR(IF(F4024&lt;&gt;"pending","",IF(OR($B4024="",$B4024="(blank)"),"",VLOOKUP($B4024,'Email Marketing Raw Data'!$C:$O,10,0))),"")</f>
        <v/>
      </c>
      <c r="E4024" s="59" t="str">
        <f>IFERROR(IF(F4024&lt;&gt;"pending","",IF(OR($B4024="",$B4024="(blank)"),"",VLOOKUP($B4024,'Email Marketing Raw Data'!$C:$O,11,0))),"")</f>
        <v/>
      </c>
      <c r="F4024" s="54" t="str">
        <f>IFERROR(IF(OR($B4024="",$B4024="(blank)"),"",VLOOKUP($B4024,'Email Marketing Raw Data'!$C:$O,13,0)),"")</f>
        <v/>
      </c>
      <c r="G4024" s="55" t="str">
        <f>IFERROR(IF(OR($B4024="",$B4024="(blank)"),"",VLOOKUP($B4024,'Email Marketing Raw Data'!$C:$O,4,0)),"")</f>
        <v/>
      </c>
      <c r="H4024" s="55" t="str">
        <f>IFERROR(IF(OR($B4024="",$B4024="(blank)"),"",VLOOKUP($B4024,'Email Marketing Raw Data'!$C:$O,5,0)),"")</f>
        <v/>
      </c>
      <c r="I4024" s="55" t="str">
        <f>IFERROR(IF($G4024="","",VLOOKUP('Dashboard And Emails Automate'!$G4024,Database!$H:$N,3,0)),"")</f>
        <v/>
      </c>
      <c r="J4024" s="55" t="str">
        <f>IFERROR(IF($G4024="","",VLOOKUP('Dashboard And Emails Automate'!$G4024,Database!$H:$N,4,0)),"")</f>
        <v/>
      </c>
      <c r="K4024" s="55" t="str">
        <f>IFERROR(IF($G4024="","",VLOOKUP('Dashboard And Emails Automate'!$G4024,Database!$H:$N,5,0)),"")</f>
        <v/>
      </c>
      <c r="L4024" s="55" t="str">
        <f>IFERROR(IF($G4024="","",VLOOKUP('Dashboard And Emails Automate'!$G4024,Database!$H:$N,6,0)),"")</f>
        <v/>
      </c>
      <c r="M4024" s="55" t="str">
        <f>IFERROR(IF($G4024="","",VLOOKUP('Dashboard And Emails Automate'!$G4024,Database!$H:$N,7,0)),"")</f>
        <v/>
      </c>
      <c r="N4024" s="55" t="str">
        <f>IFERROR(IF(OR($B4024="",$B4024="(blank)"),"",VLOOKUP($B4024,'Email Marketing Raw Data'!$C:$O,6,0)),"")</f>
        <v/>
      </c>
      <c r="O4024" s="55" t="str">
        <f>IFERROR(IF(OR($B4024="",$B4024="(blank)"),"",VLOOKUP($B4024,'Email Marketing Raw Data'!$C:$O,7,0)),"")</f>
        <v/>
      </c>
      <c r="P4024" s="55" t="str">
        <f>IFERROR(IF(OR($B4024="",$B4024="(blank)"),"",VLOOKUP($B4024,'Email Marketing Raw Data'!$C:$O,8,0)),"")</f>
        <v/>
      </c>
      <c r="Q4024" s="62" t="str">
        <f>IFERROR(IF(OR($B4024="",$B4024="(blank)"),"",VLOOKUP($B4024,'Email Marketing Raw Data'!$C:$O,9,0)),"")</f>
        <v/>
      </c>
    </row>
    <row r="4025" spans="4:17" ht="12.75" customHeight="1" x14ac:dyDescent="0.2">
      <c r="D4025" s="58" t="str">
        <f>IFERROR(IF(F4025&lt;&gt;"pending","",IF(OR($B4025="",$B4025="(blank)"),"",VLOOKUP($B4025,'Email Marketing Raw Data'!$C:$O,10,0))),"")</f>
        <v/>
      </c>
      <c r="E4025" s="59" t="str">
        <f>IFERROR(IF(F4025&lt;&gt;"pending","",IF(OR($B4025="",$B4025="(blank)"),"",VLOOKUP($B4025,'Email Marketing Raw Data'!$C:$O,11,0))),"")</f>
        <v/>
      </c>
      <c r="F4025" s="54" t="str">
        <f>IFERROR(IF(OR($B4025="",$B4025="(blank)"),"",VLOOKUP($B4025,'Email Marketing Raw Data'!$C:$O,13,0)),"")</f>
        <v/>
      </c>
      <c r="G4025" s="55" t="str">
        <f>IFERROR(IF(OR($B4025="",$B4025="(blank)"),"",VLOOKUP($B4025,'Email Marketing Raw Data'!$C:$O,4,0)),"")</f>
        <v/>
      </c>
      <c r="H4025" s="55" t="str">
        <f>IFERROR(IF(OR($B4025="",$B4025="(blank)"),"",VLOOKUP($B4025,'Email Marketing Raw Data'!$C:$O,5,0)),"")</f>
        <v/>
      </c>
      <c r="I4025" s="55" t="str">
        <f>IFERROR(IF($G4025="","",VLOOKUP('Dashboard And Emails Automate'!$G4025,Database!$H:$N,3,0)),"")</f>
        <v/>
      </c>
      <c r="J4025" s="55" t="str">
        <f>IFERROR(IF($G4025="","",VLOOKUP('Dashboard And Emails Automate'!$G4025,Database!$H:$N,4,0)),"")</f>
        <v/>
      </c>
      <c r="K4025" s="55" t="str">
        <f>IFERROR(IF($G4025="","",VLOOKUP('Dashboard And Emails Automate'!$G4025,Database!$H:$N,5,0)),"")</f>
        <v/>
      </c>
      <c r="L4025" s="55" t="str">
        <f>IFERROR(IF($G4025="","",VLOOKUP('Dashboard And Emails Automate'!$G4025,Database!$H:$N,6,0)),"")</f>
        <v/>
      </c>
      <c r="M4025" s="55" t="str">
        <f>IFERROR(IF($G4025="","",VLOOKUP('Dashboard And Emails Automate'!$G4025,Database!$H:$N,7,0)),"")</f>
        <v/>
      </c>
      <c r="N4025" s="55" t="str">
        <f>IFERROR(IF(OR($B4025="",$B4025="(blank)"),"",VLOOKUP($B4025,'Email Marketing Raw Data'!$C:$O,6,0)),"")</f>
        <v/>
      </c>
      <c r="O4025" s="55" t="str">
        <f>IFERROR(IF(OR($B4025="",$B4025="(blank)"),"",VLOOKUP($B4025,'Email Marketing Raw Data'!$C:$O,7,0)),"")</f>
        <v/>
      </c>
      <c r="P4025" s="55" t="str">
        <f>IFERROR(IF(OR($B4025="",$B4025="(blank)"),"",VLOOKUP($B4025,'Email Marketing Raw Data'!$C:$O,8,0)),"")</f>
        <v/>
      </c>
      <c r="Q4025" s="62" t="str">
        <f>IFERROR(IF(OR($B4025="",$B4025="(blank)"),"",VLOOKUP($B4025,'Email Marketing Raw Data'!$C:$O,9,0)),"")</f>
        <v/>
      </c>
    </row>
    <row r="4026" spans="4:17" ht="12.75" customHeight="1" x14ac:dyDescent="0.2">
      <c r="D4026" s="58" t="str">
        <f>IFERROR(IF(F4026&lt;&gt;"pending","",IF(OR($B4026="",$B4026="(blank)"),"",VLOOKUP($B4026,'Email Marketing Raw Data'!$C:$O,10,0))),"")</f>
        <v/>
      </c>
      <c r="E4026" s="59" t="str">
        <f>IFERROR(IF(F4026&lt;&gt;"pending","",IF(OR($B4026="",$B4026="(blank)"),"",VLOOKUP($B4026,'Email Marketing Raw Data'!$C:$O,11,0))),"")</f>
        <v/>
      </c>
      <c r="F4026" s="54" t="str">
        <f>IFERROR(IF(OR($B4026="",$B4026="(blank)"),"",VLOOKUP($B4026,'Email Marketing Raw Data'!$C:$O,13,0)),"")</f>
        <v/>
      </c>
      <c r="G4026" s="55" t="str">
        <f>IFERROR(IF(OR($B4026="",$B4026="(blank)"),"",VLOOKUP($B4026,'Email Marketing Raw Data'!$C:$O,4,0)),"")</f>
        <v/>
      </c>
      <c r="H4026" s="55" t="str">
        <f>IFERROR(IF(OR($B4026="",$B4026="(blank)"),"",VLOOKUP($B4026,'Email Marketing Raw Data'!$C:$O,5,0)),"")</f>
        <v/>
      </c>
      <c r="I4026" s="55" t="str">
        <f>IFERROR(IF($G4026="","",VLOOKUP('Dashboard And Emails Automate'!$G4026,Database!$H:$N,3,0)),"")</f>
        <v/>
      </c>
      <c r="J4026" s="55" t="str">
        <f>IFERROR(IF($G4026="","",VLOOKUP('Dashboard And Emails Automate'!$G4026,Database!$H:$N,4,0)),"")</f>
        <v/>
      </c>
      <c r="K4026" s="55" t="str">
        <f>IFERROR(IF($G4026="","",VLOOKUP('Dashboard And Emails Automate'!$G4026,Database!$H:$N,5,0)),"")</f>
        <v/>
      </c>
      <c r="L4026" s="55" t="str">
        <f>IFERROR(IF($G4026="","",VLOOKUP('Dashboard And Emails Automate'!$G4026,Database!$H:$N,6,0)),"")</f>
        <v/>
      </c>
      <c r="M4026" s="55" t="str">
        <f>IFERROR(IF($G4026="","",VLOOKUP('Dashboard And Emails Automate'!$G4026,Database!$H:$N,7,0)),"")</f>
        <v/>
      </c>
      <c r="N4026" s="55" t="str">
        <f>IFERROR(IF(OR($B4026="",$B4026="(blank)"),"",VLOOKUP($B4026,'Email Marketing Raw Data'!$C:$O,6,0)),"")</f>
        <v/>
      </c>
      <c r="O4026" s="55" t="str">
        <f>IFERROR(IF(OR($B4026="",$B4026="(blank)"),"",VLOOKUP($B4026,'Email Marketing Raw Data'!$C:$O,7,0)),"")</f>
        <v/>
      </c>
      <c r="P4026" s="55" t="str">
        <f>IFERROR(IF(OR($B4026="",$B4026="(blank)"),"",VLOOKUP($B4026,'Email Marketing Raw Data'!$C:$O,8,0)),"")</f>
        <v/>
      </c>
      <c r="Q4026" s="62" t="str">
        <f>IFERROR(IF(OR($B4026="",$B4026="(blank)"),"",VLOOKUP($B4026,'Email Marketing Raw Data'!$C:$O,9,0)),"")</f>
        <v/>
      </c>
    </row>
    <row r="4027" spans="4:17" ht="12.75" customHeight="1" x14ac:dyDescent="0.2">
      <c r="D4027" s="58" t="str">
        <f>IFERROR(IF(F4027&lt;&gt;"pending","",IF(OR($B4027="",$B4027="(blank)"),"",VLOOKUP($B4027,'Email Marketing Raw Data'!$C:$O,10,0))),"")</f>
        <v/>
      </c>
      <c r="E4027" s="59" t="str">
        <f>IFERROR(IF(F4027&lt;&gt;"pending","",IF(OR($B4027="",$B4027="(blank)"),"",VLOOKUP($B4027,'Email Marketing Raw Data'!$C:$O,11,0))),"")</f>
        <v/>
      </c>
      <c r="F4027" s="54" t="str">
        <f>IFERROR(IF(OR($B4027="",$B4027="(blank)"),"",VLOOKUP($B4027,'Email Marketing Raw Data'!$C:$O,13,0)),"")</f>
        <v/>
      </c>
      <c r="G4027" s="55" t="str">
        <f>IFERROR(IF(OR($B4027="",$B4027="(blank)"),"",VLOOKUP($B4027,'Email Marketing Raw Data'!$C:$O,4,0)),"")</f>
        <v/>
      </c>
      <c r="H4027" s="55" t="str">
        <f>IFERROR(IF(OR($B4027="",$B4027="(blank)"),"",VLOOKUP($B4027,'Email Marketing Raw Data'!$C:$O,5,0)),"")</f>
        <v/>
      </c>
      <c r="I4027" s="55" t="str">
        <f>IFERROR(IF($G4027="","",VLOOKUP('Dashboard And Emails Automate'!$G4027,Database!$H:$N,3,0)),"")</f>
        <v/>
      </c>
      <c r="J4027" s="55" t="str">
        <f>IFERROR(IF($G4027="","",VLOOKUP('Dashboard And Emails Automate'!$G4027,Database!$H:$N,4,0)),"")</f>
        <v/>
      </c>
      <c r="K4027" s="55" t="str">
        <f>IFERROR(IF($G4027="","",VLOOKUP('Dashboard And Emails Automate'!$G4027,Database!$H:$N,5,0)),"")</f>
        <v/>
      </c>
      <c r="L4027" s="55" t="str">
        <f>IFERROR(IF($G4027="","",VLOOKUP('Dashboard And Emails Automate'!$G4027,Database!$H:$N,6,0)),"")</f>
        <v/>
      </c>
      <c r="M4027" s="55" t="str">
        <f>IFERROR(IF($G4027="","",VLOOKUP('Dashboard And Emails Automate'!$G4027,Database!$H:$N,7,0)),"")</f>
        <v/>
      </c>
      <c r="N4027" s="55" t="str">
        <f>IFERROR(IF(OR($B4027="",$B4027="(blank)"),"",VLOOKUP($B4027,'Email Marketing Raw Data'!$C:$O,6,0)),"")</f>
        <v/>
      </c>
      <c r="O4027" s="55" t="str">
        <f>IFERROR(IF(OR($B4027="",$B4027="(blank)"),"",VLOOKUP($B4027,'Email Marketing Raw Data'!$C:$O,7,0)),"")</f>
        <v/>
      </c>
      <c r="P4027" s="55" t="str">
        <f>IFERROR(IF(OR($B4027="",$B4027="(blank)"),"",VLOOKUP($B4027,'Email Marketing Raw Data'!$C:$O,8,0)),"")</f>
        <v/>
      </c>
      <c r="Q4027" s="62" t="str">
        <f>IFERROR(IF(OR($B4027="",$B4027="(blank)"),"",VLOOKUP($B4027,'Email Marketing Raw Data'!$C:$O,9,0)),"")</f>
        <v/>
      </c>
    </row>
    <row r="4028" spans="4:17" ht="12.75" customHeight="1" x14ac:dyDescent="0.2">
      <c r="D4028" s="58" t="str">
        <f>IFERROR(IF(F4028&lt;&gt;"pending","",IF(OR($B4028="",$B4028="(blank)"),"",VLOOKUP($B4028,'Email Marketing Raw Data'!$C:$O,10,0))),"")</f>
        <v/>
      </c>
      <c r="E4028" s="59" t="str">
        <f>IFERROR(IF(F4028&lt;&gt;"pending","",IF(OR($B4028="",$B4028="(blank)"),"",VLOOKUP($B4028,'Email Marketing Raw Data'!$C:$O,11,0))),"")</f>
        <v/>
      </c>
      <c r="F4028" s="54" t="str">
        <f>IFERROR(IF(OR($B4028="",$B4028="(blank)"),"",VLOOKUP($B4028,'Email Marketing Raw Data'!$C:$O,13,0)),"")</f>
        <v/>
      </c>
      <c r="G4028" s="55" t="str">
        <f>IFERROR(IF(OR($B4028="",$B4028="(blank)"),"",VLOOKUP($B4028,'Email Marketing Raw Data'!$C:$O,4,0)),"")</f>
        <v/>
      </c>
      <c r="H4028" s="55" t="str">
        <f>IFERROR(IF(OR($B4028="",$B4028="(blank)"),"",VLOOKUP($B4028,'Email Marketing Raw Data'!$C:$O,5,0)),"")</f>
        <v/>
      </c>
      <c r="I4028" s="55" t="str">
        <f>IFERROR(IF($G4028="","",VLOOKUP('Dashboard And Emails Automate'!$G4028,Database!$H:$N,3,0)),"")</f>
        <v/>
      </c>
      <c r="J4028" s="55" t="str">
        <f>IFERROR(IF($G4028="","",VLOOKUP('Dashboard And Emails Automate'!$G4028,Database!$H:$N,4,0)),"")</f>
        <v/>
      </c>
      <c r="K4028" s="55" t="str">
        <f>IFERROR(IF($G4028="","",VLOOKUP('Dashboard And Emails Automate'!$G4028,Database!$H:$N,5,0)),"")</f>
        <v/>
      </c>
      <c r="L4028" s="55" t="str">
        <f>IFERROR(IF($G4028="","",VLOOKUP('Dashboard And Emails Automate'!$G4028,Database!$H:$N,6,0)),"")</f>
        <v/>
      </c>
      <c r="M4028" s="55" t="str">
        <f>IFERROR(IF($G4028="","",VLOOKUP('Dashboard And Emails Automate'!$G4028,Database!$H:$N,7,0)),"")</f>
        <v/>
      </c>
      <c r="N4028" s="55" t="str">
        <f>IFERROR(IF(OR($B4028="",$B4028="(blank)"),"",VLOOKUP($B4028,'Email Marketing Raw Data'!$C:$O,6,0)),"")</f>
        <v/>
      </c>
      <c r="O4028" s="55" t="str">
        <f>IFERROR(IF(OR($B4028="",$B4028="(blank)"),"",VLOOKUP($B4028,'Email Marketing Raw Data'!$C:$O,7,0)),"")</f>
        <v/>
      </c>
      <c r="P4028" s="55" t="str">
        <f>IFERROR(IF(OR($B4028="",$B4028="(blank)"),"",VLOOKUP($B4028,'Email Marketing Raw Data'!$C:$O,8,0)),"")</f>
        <v/>
      </c>
      <c r="Q4028" s="62" t="str">
        <f>IFERROR(IF(OR($B4028="",$B4028="(blank)"),"",VLOOKUP($B4028,'Email Marketing Raw Data'!$C:$O,9,0)),"")</f>
        <v/>
      </c>
    </row>
    <row r="4029" spans="4:17" ht="12.75" customHeight="1" x14ac:dyDescent="0.2">
      <c r="D4029" s="58" t="str">
        <f>IFERROR(IF(F4029&lt;&gt;"pending","",IF(OR($B4029="",$B4029="(blank)"),"",VLOOKUP($B4029,'Email Marketing Raw Data'!$C:$O,10,0))),"")</f>
        <v/>
      </c>
      <c r="E4029" s="59" t="str">
        <f>IFERROR(IF(F4029&lt;&gt;"pending","",IF(OR($B4029="",$B4029="(blank)"),"",VLOOKUP($B4029,'Email Marketing Raw Data'!$C:$O,11,0))),"")</f>
        <v/>
      </c>
      <c r="F4029" s="54" t="str">
        <f>IFERROR(IF(OR($B4029="",$B4029="(blank)"),"",VLOOKUP($B4029,'Email Marketing Raw Data'!$C:$O,13,0)),"")</f>
        <v/>
      </c>
      <c r="G4029" s="55" t="str">
        <f>IFERROR(IF(OR($B4029="",$B4029="(blank)"),"",VLOOKUP($B4029,'Email Marketing Raw Data'!$C:$O,4,0)),"")</f>
        <v/>
      </c>
      <c r="H4029" s="55" t="str">
        <f>IFERROR(IF(OR($B4029="",$B4029="(blank)"),"",VLOOKUP($B4029,'Email Marketing Raw Data'!$C:$O,5,0)),"")</f>
        <v/>
      </c>
      <c r="I4029" s="55" t="str">
        <f>IFERROR(IF($G4029="","",VLOOKUP('Dashboard And Emails Automate'!$G4029,Database!$H:$N,3,0)),"")</f>
        <v/>
      </c>
      <c r="J4029" s="55" t="str">
        <f>IFERROR(IF($G4029="","",VLOOKUP('Dashboard And Emails Automate'!$G4029,Database!$H:$N,4,0)),"")</f>
        <v/>
      </c>
      <c r="K4029" s="55" t="str">
        <f>IFERROR(IF($G4029="","",VLOOKUP('Dashboard And Emails Automate'!$G4029,Database!$H:$N,5,0)),"")</f>
        <v/>
      </c>
      <c r="L4029" s="55" t="str">
        <f>IFERROR(IF($G4029="","",VLOOKUP('Dashboard And Emails Automate'!$G4029,Database!$H:$N,6,0)),"")</f>
        <v/>
      </c>
      <c r="M4029" s="55" t="str">
        <f>IFERROR(IF($G4029="","",VLOOKUP('Dashboard And Emails Automate'!$G4029,Database!$H:$N,7,0)),"")</f>
        <v/>
      </c>
      <c r="N4029" s="55" t="str">
        <f>IFERROR(IF(OR($B4029="",$B4029="(blank)"),"",VLOOKUP($B4029,'Email Marketing Raw Data'!$C:$O,6,0)),"")</f>
        <v/>
      </c>
      <c r="O4029" s="55" t="str">
        <f>IFERROR(IF(OR($B4029="",$B4029="(blank)"),"",VLOOKUP($B4029,'Email Marketing Raw Data'!$C:$O,7,0)),"")</f>
        <v/>
      </c>
      <c r="P4029" s="55" t="str">
        <f>IFERROR(IF(OR($B4029="",$B4029="(blank)"),"",VLOOKUP($B4029,'Email Marketing Raw Data'!$C:$O,8,0)),"")</f>
        <v/>
      </c>
      <c r="Q4029" s="62" t="str">
        <f>IFERROR(IF(OR($B4029="",$B4029="(blank)"),"",VLOOKUP($B4029,'Email Marketing Raw Data'!$C:$O,9,0)),"")</f>
        <v/>
      </c>
    </row>
    <row r="4030" spans="4:17" ht="12.75" customHeight="1" x14ac:dyDescent="0.2">
      <c r="D4030" s="58" t="str">
        <f>IFERROR(IF(F4030&lt;&gt;"pending","",IF(OR($B4030="",$B4030="(blank)"),"",VLOOKUP($B4030,'Email Marketing Raw Data'!$C:$O,10,0))),"")</f>
        <v/>
      </c>
      <c r="E4030" s="59" t="str">
        <f>IFERROR(IF(F4030&lt;&gt;"pending","",IF(OR($B4030="",$B4030="(blank)"),"",VLOOKUP($B4030,'Email Marketing Raw Data'!$C:$O,11,0))),"")</f>
        <v/>
      </c>
      <c r="F4030" s="54" t="str">
        <f>IFERROR(IF(OR($B4030="",$B4030="(blank)"),"",VLOOKUP($B4030,'Email Marketing Raw Data'!$C:$O,13,0)),"")</f>
        <v/>
      </c>
      <c r="G4030" s="55" t="str">
        <f>IFERROR(IF(OR($B4030="",$B4030="(blank)"),"",VLOOKUP($B4030,'Email Marketing Raw Data'!$C:$O,4,0)),"")</f>
        <v/>
      </c>
      <c r="H4030" s="55" t="str">
        <f>IFERROR(IF(OR($B4030="",$B4030="(blank)"),"",VLOOKUP($B4030,'Email Marketing Raw Data'!$C:$O,5,0)),"")</f>
        <v/>
      </c>
      <c r="I4030" s="55" t="str">
        <f>IFERROR(IF($G4030="","",VLOOKUP('Dashboard And Emails Automate'!$G4030,Database!$H:$N,3,0)),"")</f>
        <v/>
      </c>
      <c r="J4030" s="55" t="str">
        <f>IFERROR(IF($G4030="","",VLOOKUP('Dashboard And Emails Automate'!$G4030,Database!$H:$N,4,0)),"")</f>
        <v/>
      </c>
      <c r="K4030" s="55" t="str">
        <f>IFERROR(IF($G4030="","",VLOOKUP('Dashboard And Emails Automate'!$G4030,Database!$H:$N,5,0)),"")</f>
        <v/>
      </c>
      <c r="L4030" s="55" t="str">
        <f>IFERROR(IF($G4030="","",VLOOKUP('Dashboard And Emails Automate'!$G4030,Database!$H:$N,6,0)),"")</f>
        <v/>
      </c>
      <c r="M4030" s="55" t="str">
        <f>IFERROR(IF($G4030="","",VLOOKUP('Dashboard And Emails Automate'!$G4030,Database!$H:$N,7,0)),"")</f>
        <v/>
      </c>
      <c r="N4030" s="55" t="str">
        <f>IFERROR(IF(OR($B4030="",$B4030="(blank)"),"",VLOOKUP($B4030,'Email Marketing Raw Data'!$C:$O,6,0)),"")</f>
        <v/>
      </c>
      <c r="O4030" s="55" t="str">
        <f>IFERROR(IF(OR($B4030="",$B4030="(blank)"),"",VLOOKUP($B4030,'Email Marketing Raw Data'!$C:$O,7,0)),"")</f>
        <v/>
      </c>
      <c r="P4030" s="55" t="str">
        <f>IFERROR(IF(OR($B4030="",$B4030="(blank)"),"",VLOOKUP($B4030,'Email Marketing Raw Data'!$C:$O,8,0)),"")</f>
        <v/>
      </c>
      <c r="Q4030" s="62" t="str">
        <f>IFERROR(IF(OR($B4030="",$B4030="(blank)"),"",VLOOKUP($B4030,'Email Marketing Raw Data'!$C:$O,9,0)),"")</f>
        <v/>
      </c>
    </row>
    <row r="4031" spans="4:17" ht="12.75" customHeight="1" x14ac:dyDescent="0.2">
      <c r="D4031" s="58" t="str">
        <f>IFERROR(IF(F4031&lt;&gt;"pending","",IF(OR($B4031="",$B4031="(blank)"),"",VLOOKUP($B4031,'Email Marketing Raw Data'!$C:$O,10,0))),"")</f>
        <v/>
      </c>
      <c r="E4031" s="59" t="str">
        <f>IFERROR(IF(F4031&lt;&gt;"pending","",IF(OR($B4031="",$B4031="(blank)"),"",VLOOKUP($B4031,'Email Marketing Raw Data'!$C:$O,11,0))),"")</f>
        <v/>
      </c>
      <c r="F4031" s="54" t="str">
        <f>IFERROR(IF(OR($B4031="",$B4031="(blank)"),"",VLOOKUP($B4031,'Email Marketing Raw Data'!$C:$O,13,0)),"")</f>
        <v/>
      </c>
      <c r="G4031" s="55" t="str">
        <f>IFERROR(IF(OR($B4031="",$B4031="(blank)"),"",VLOOKUP($B4031,'Email Marketing Raw Data'!$C:$O,4,0)),"")</f>
        <v/>
      </c>
      <c r="H4031" s="55" t="str">
        <f>IFERROR(IF(OR($B4031="",$B4031="(blank)"),"",VLOOKUP($B4031,'Email Marketing Raw Data'!$C:$O,5,0)),"")</f>
        <v/>
      </c>
      <c r="I4031" s="55" t="str">
        <f>IFERROR(IF($G4031="","",VLOOKUP('Dashboard And Emails Automate'!$G4031,Database!$H:$N,3,0)),"")</f>
        <v/>
      </c>
      <c r="J4031" s="55" t="str">
        <f>IFERROR(IF($G4031="","",VLOOKUP('Dashboard And Emails Automate'!$G4031,Database!$H:$N,4,0)),"")</f>
        <v/>
      </c>
      <c r="K4031" s="55" t="str">
        <f>IFERROR(IF($G4031="","",VLOOKUP('Dashboard And Emails Automate'!$G4031,Database!$H:$N,5,0)),"")</f>
        <v/>
      </c>
      <c r="L4031" s="55" t="str">
        <f>IFERROR(IF($G4031="","",VLOOKUP('Dashboard And Emails Automate'!$G4031,Database!$H:$N,6,0)),"")</f>
        <v/>
      </c>
      <c r="M4031" s="55" t="str">
        <f>IFERROR(IF($G4031="","",VLOOKUP('Dashboard And Emails Automate'!$G4031,Database!$H:$N,7,0)),"")</f>
        <v/>
      </c>
      <c r="N4031" s="55" t="str">
        <f>IFERROR(IF(OR($B4031="",$B4031="(blank)"),"",VLOOKUP($B4031,'Email Marketing Raw Data'!$C:$O,6,0)),"")</f>
        <v/>
      </c>
      <c r="O4031" s="55" t="str">
        <f>IFERROR(IF(OR($B4031="",$B4031="(blank)"),"",VLOOKUP($B4031,'Email Marketing Raw Data'!$C:$O,7,0)),"")</f>
        <v/>
      </c>
      <c r="P4031" s="55" t="str">
        <f>IFERROR(IF(OR($B4031="",$B4031="(blank)"),"",VLOOKUP($B4031,'Email Marketing Raw Data'!$C:$O,8,0)),"")</f>
        <v/>
      </c>
      <c r="Q4031" s="62" t="str">
        <f>IFERROR(IF(OR($B4031="",$B4031="(blank)"),"",VLOOKUP($B4031,'Email Marketing Raw Data'!$C:$O,9,0)),"")</f>
        <v/>
      </c>
    </row>
    <row r="4032" spans="4:17" ht="12.75" customHeight="1" x14ac:dyDescent="0.2">
      <c r="D4032" s="58" t="str">
        <f>IFERROR(IF(F4032&lt;&gt;"pending","",IF(OR($B4032="",$B4032="(blank)"),"",VLOOKUP($B4032,'Email Marketing Raw Data'!$C:$O,10,0))),"")</f>
        <v/>
      </c>
      <c r="E4032" s="59" t="str">
        <f>IFERROR(IF(F4032&lt;&gt;"pending","",IF(OR($B4032="",$B4032="(blank)"),"",VLOOKUP($B4032,'Email Marketing Raw Data'!$C:$O,11,0))),"")</f>
        <v/>
      </c>
      <c r="F4032" s="54" t="str">
        <f>IFERROR(IF(OR($B4032="",$B4032="(blank)"),"",VLOOKUP($B4032,'Email Marketing Raw Data'!$C:$O,13,0)),"")</f>
        <v/>
      </c>
      <c r="G4032" s="55" t="str">
        <f>IFERROR(IF(OR($B4032="",$B4032="(blank)"),"",VLOOKUP($B4032,'Email Marketing Raw Data'!$C:$O,4,0)),"")</f>
        <v/>
      </c>
      <c r="H4032" s="55" t="str">
        <f>IFERROR(IF(OR($B4032="",$B4032="(blank)"),"",VLOOKUP($B4032,'Email Marketing Raw Data'!$C:$O,5,0)),"")</f>
        <v/>
      </c>
      <c r="I4032" s="55" t="str">
        <f>IFERROR(IF($G4032="","",VLOOKUP('Dashboard And Emails Automate'!$G4032,Database!$H:$N,3,0)),"")</f>
        <v/>
      </c>
      <c r="J4032" s="55" t="str">
        <f>IFERROR(IF($G4032="","",VLOOKUP('Dashboard And Emails Automate'!$G4032,Database!$H:$N,4,0)),"")</f>
        <v/>
      </c>
      <c r="K4032" s="55" t="str">
        <f>IFERROR(IF($G4032="","",VLOOKUP('Dashboard And Emails Automate'!$G4032,Database!$H:$N,5,0)),"")</f>
        <v/>
      </c>
      <c r="L4032" s="55" t="str">
        <f>IFERROR(IF($G4032="","",VLOOKUP('Dashboard And Emails Automate'!$G4032,Database!$H:$N,6,0)),"")</f>
        <v/>
      </c>
      <c r="M4032" s="55" t="str">
        <f>IFERROR(IF($G4032="","",VLOOKUP('Dashboard And Emails Automate'!$G4032,Database!$H:$N,7,0)),"")</f>
        <v/>
      </c>
      <c r="N4032" s="55" t="str">
        <f>IFERROR(IF(OR($B4032="",$B4032="(blank)"),"",VLOOKUP($B4032,'Email Marketing Raw Data'!$C:$O,6,0)),"")</f>
        <v/>
      </c>
      <c r="O4032" s="55" t="str">
        <f>IFERROR(IF(OR($B4032="",$B4032="(blank)"),"",VLOOKUP($B4032,'Email Marketing Raw Data'!$C:$O,7,0)),"")</f>
        <v/>
      </c>
      <c r="P4032" s="55" t="str">
        <f>IFERROR(IF(OR($B4032="",$B4032="(blank)"),"",VLOOKUP($B4032,'Email Marketing Raw Data'!$C:$O,8,0)),"")</f>
        <v/>
      </c>
      <c r="Q4032" s="62" t="str">
        <f>IFERROR(IF(OR($B4032="",$B4032="(blank)"),"",VLOOKUP($B4032,'Email Marketing Raw Data'!$C:$O,9,0)),"")</f>
        <v/>
      </c>
    </row>
    <row r="4033" spans="4:17" ht="12.75" customHeight="1" x14ac:dyDescent="0.2">
      <c r="D4033" s="58" t="str">
        <f>IFERROR(IF(F4033&lt;&gt;"pending","",IF(OR($B4033="",$B4033="(blank)"),"",VLOOKUP($B4033,'Email Marketing Raw Data'!$C:$O,10,0))),"")</f>
        <v/>
      </c>
      <c r="E4033" s="59" t="str">
        <f>IFERROR(IF(F4033&lt;&gt;"pending","",IF(OR($B4033="",$B4033="(blank)"),"",VLOOKUP($B4033,'Email Marketing Raw Data'!$C:$O,11,0))),"")</f>
        <v/>
      </c>
      <c r="F4033" s="54" t="str">
        <f>IFERROR(IF(OR($B4033="",$B4033="(blank)"),"",VLOOKUP($B4033,'Email Marketing Raw Data'!$C:$O,13,0)),"")</f>
        <v/>
      </c>
      <c r="G4033" s="55" t="str">
        <f>IFERROR(IF(OR($B4033="",$B4033="(blank)"),"",VLOOKUP($B4033,'Email Marketing Raw Data'!$C:$O,4,0)),"")</f>
        <v/>
      </c>
      <c r="H4033" s="55" t="str">
        <f>IFERROR(IF(OR($B4033="",$B4033="(blank)"),"",VLOOKUP($B4033,'Email Marketing Raw Data'!$C:$O,5,0)),"")</f>
        <v/>
      </c>
      <c r="I4033" s="55" t="str">
        <f>IFERROR(IF($G4033="","",VLOOKUP('Dashboard And Emails Automate'!$G4033,Database!$H:$N,3,0)),"")</f>
        <v/>
      </c>
      <c r="J4033" s="55" t="str">
        <f>IFERROR(IF($G4033="","",VLOOKUP('Dashboard And Emails Automate'!$G4033,Database!$H:$N,4,0)),"")</f>
        <v/>
      </c>
      <c r="K4033" s="55" t="str">
        <f>IFERROR(IF($G4033="","",VLOOKUP('Dashboard And Emails Automate'!$G4033,Database!$H:$N,5,0)),"")</f>
        <v/>
      </c>
      <c r="L4033" s="55" t="str">
        <f>IFERROR(IF($G4033="","",VLOOKUP('Dashboard And Emails Automate'!$G4033,Database!$H:$N,6,0)),"")</f>
        <v/>
      </c>
      <c r="M4033" s="55" t="str">
        <f>IFERROR(IF($G4033="","",VLOOKUP('Dashboard And Emails Automate'!$G4033,Database!$H:$N,7,0)),"")</f>
        <v/>
      </c>
      <c r="N4033" s="55" t="str">
        <f>IFERROR(IF(OR($B4033="",$B4033="(blank)"),"",VLOOKUP($B4033,'Email Marketing Raw Data'!$C:$O,6,0)),"")</f>
        <v/>
      </c>
      <c r="O4033" s="55" t="str">
        <f>IFERROR(IF(OR($B4033="",$B4033="(blank)"),"",VLOOKUP($B4033,'Email Marketing Raw Data'!$C:$O,7,0)),"")</f>
        <v/>
      </c>
      <c r="P4033" s="55" t="str">
        <f>IFERROR(IF(OR($B4033="",$B4033="(blank)"),"",VLOOKUP($B4033,'Email Marketing Raw Data'!$C:$O,8,0)),"")</f>
        <v/>
      </c>
      <c r="Q4033" s="62" t="str">
        <f>IFERROR(IF(OR($B4033="",$B4033="(blank)"),"",VLOOKUP($B4033,'Email Marketing Raw Data'!$C:$O,9,0)),"")</f>
        <v/>
      </c>
    </row>
    <row r="4034" spans="4:17" ht="12.75" customHeight="1" x14ac:dyDescent="0.2">
      <c r="D4034" s="58" t="str">
        <f>IFERROR(IF(F4034&lt;&gt;"pending","",IF(OR($B4034="",$B4034="(blank)"),"",VLOOKUP($B4034,'Email Marketing Raw Data'!$C:$O,10,0))),"")</f>
        <v/>
      </c>
      <c r="E4034" s="59" t="str">
        <f>IFERROR(IF(F4034&lt;&gt;"pending","",IF(OR($B4034="",$B4034="(blank)"),"",VLOOKUP($B4034,'Email Marketing Raw Data'!$C:$O,11,0))),"")</f>
        <v/>
      </c>
      <c r="F4034" s="54" t="str">
        <f>IFERROR(IF(OR($B4034="",$B4034="(blank)"),"",VLOOKUP($B4034,'Email Marketing Raw Data'!$C:$O,13,0)),"")</f>
        <v/>
      </c>
      <c r="G4034" s="55" t="str">
        <f>IFERROR(IF(OR($B4034="",$B4034="(blank)"),"",VLOOKUP($B4034,'Email Marketing Raw Data'!$C:$O,4,0)),"")</f>
        <v/>
      </c>
      <c r="H4034" s="55" t="str">
        <f>IFERROR(IF(OR($B4034="",$B4034="(blank)"),"",VLOOKUP($B4034,'Email Marketing Raw Data'!$C:$O,5,0)),"")</f>
        <v/>
      </c>
      <c r="I4034" s="55" t="str">
        <f>IFERROR(IF($G4034="","",VLOOKUP('Dashboard And Emails Automate'!$G4034,Database!$H:$N,3,0)),"")</f>
        <v/>
      </c>
      <c r="J4034" s="55" t="str">
        <f>IFERROR(IF($G4034="","",VLOOKUP('Dashboard And Emails Automate'!$G4034,Database!$H:$N,4,0)),"")</f>
        <v/>
      </c>
      <c r="K4034" s="55" t="str">
        <f>IFERROR(IF($G4034="","",VLOOKUP('Dashboard And Emails Automate'!$G4034,Database!$H:$N,5,0)),"")</f>
        <v/>
      </c>
      <c r="L4034" s="55" t="str">
        <f>IFERROR(IF($G4034="","",VLOOKUP('Dashboard And Emails Automate'!$G4034,Database!$H:$N,6,0)),"")</f>
        <v/>
      </c>
      <c r="M4034" s="55" t="str">
        <f>IFERROR(IF($G4034="","",VLOOKUP('Dashboard And Emails Automate'!$G4034,Database!$H:$N,7,0)),"")</f>
        <v/>
      </c>
      <c r="N4034" s="55" t="str">
        <f>IFERROR(IF(OR($B4034="",$B4034="(blank)"),"",VLOOKUP($B4034,'Email Marketing Raw Data'!$C:$O,6,0)),"")</f>
        <v/>
      </c>
      <c r="O4034" s="55" t="str">
        <f>IFERROR(IF(OR($B4034="",$B4034="(blank)"),"",VLOOKUP($B4034,'Email Marketing Raw Data'!$C:$O,7,0)),"")</f>
        <v/>
      </c>
      <c r="P4034" s="55" t="str">
        <f>IFERROR(IF(OR($B4034="",$B4034="(blank)"),"",VLOOKUP($B4034,'Email Marketing Raw Data'!$C:$O,8,0)),"")</f>
        <v/>
      </c>
      <c r="Q4034" s="62" t="str">
        <f>IFERROR(IF(OR($B4034="",$B4034="(blank)"),"",VLOOKUP($B4034,'Email Marketing Raw Data'!$C:$O,9,0)),"")</f>
        <v/>
      </c>
    </row>
    <row r="4035" spans="4:17" ht="12.75" customHeight="1" x14ac:dyDescent="0.2">
      <c r="D4035" s="58" t="str">
        <f>IFERROR(IF(F4035&lt;&gt;"pending","",IF(OR($B4035="",$B4035="(blank)"),"",VLOOKUP($B4035,'Email Marketing Raw Data'!$C:$O,10,0))),"")</f>
        <v/>
      </c>
      <c r="E4035" s="59" t="str">
        <f>IFERROR(IF(F4035&lt;&gt;"pending","",IF(OR($B4035="",$B4035="(blank)"),"",VLOOKUP($B4035,'Email Marketing Raw Data'!$C:$O,11,0))),"")</f>
        <v/>
      </c>
      <c r="F4035" s="54" t="str">
        <f>IFERROR(IF(OR($B4035="",$B4035="(blank)"),"",VLOOKUP($B4035,'Email Marketing Raw Data'!$C:$O,13,0)),"")</f>
        <v/>
      </c>
      <c r="G4035" s="55" t="str">
        <f>IFERROR(IF(OR($B4035="",$B4035="(blank)"),"",VLOOKUP($B4035,'Email Marketing Raw Data'!$C:$O,4,0)),"")</f>
        <v/>
      </c>
      <c r="H4035" s="55" t="str">
        <f>IFERROR(IF(OR($B4035="",$B4035="(blank)"),"",VLOOKUP($B4035,'Email Marketing Raw Data'!$C:$O,5,0)),"")</f>
        <v/>
      </c>
      <c r="I4035" s="55" t="str">
        <f>IFERROR(IF($G4035="","",VLOOKUP('Dashboard And Emails Automate'!$G4035,Database!$H:$N,3,0)),"")</f>
        <v/>
      </c>
      <c r="J4035" s="55" t="str">
        <f>IFERROR(IF($G4035="","",VLOOKUP('Dashboard And Emails Automate'!$G4035,Database!$H:$N,4,0)),"")</f>
        <v/>
      </c>
      <c r="K4035" s="55" t="str">
        <f>IFERROR(IF($G4035="","",VLOOKUP('Dashboard And Emails Automate'!$G4035,Database!$H:$N,5,0)),"")</f>
        <v/>
      </c>
      <c r="L4035" s="55" t="str">
        <f>IFERROR(IF($G4035="","",VLOOKUP('Dashboard And Emails Automate'!$G4035,Database!$H:$N,6,0)),"")</f>
        <v/>
      </c>
      <c r="M4035" s="55" t="str">
        <f>IFERROR(IF($G4035="","",VLOOKUP('Dashboard And Emails Automate'!$G4035,Database!$H:$N,7,0)),"")</f>
        <v/>
      </c>
      <c r="N4035" s="55" t="str">
        <f>IFERROR(IF(OR($B4035="",$B4035="(blank)"),"",VLOOKUP($B4035,'Email Marketing Raw Data'!$C:$O,6,0)),"")</f>
        <v/>
      </c>
      <c r="O4035" s="55" t="str">
        <f>IFERROR(IF(OR($B4035="",$B4035="(blank)"),"",VLOOKUP($B4035,'Email Marketing Raw Data'!$C:$O,7,0)),"")</f>
        <v/>
      </c>
      <c r="P4035" s="55" t="str">
        <f>IFERROR(IF(OR($B4035="",$B4035="(blank)"),"",VLOOKUP($B4035,'Email Marketing Raw Data'!$C:$O,8,0)),"")</f>
        <v/>
      </c>
      <c r="Q4035" s="62" t="str">
        <f>IFERROR(IF(OR($B4035="",$B4035="(blank)"),"",VLOOKUP($B4035,'Email Marketing Raw Data'!$C:$O,9,0)),"")</f>
        <v/>
      </c>
    </row>
    <row r="4036" spans="4:17" ht="12.75" customHeight="1" x14ac:dyDescent="0.2">
      <c r="D4036" s="58" t="str">
        <f>IFERROR(IF(F4036&lt;&gt;"pending","",IF(OR($B4036="",$B4036="(blank)"),"",VLOOKUP($B4036,'Email Marketing Raw Data'!$C:$O,10,0))),"")</f>
        <v/>
      </c>
      <c r="E4036" s="59" t="str">
        <f>IFERROR(IF(F4036&lt;&gt;"pending","",IF(OR($B4036="",$B4036="(blank)"),"",VLOOKUP($B4036,'Email Marketing Raw Data'!$C:$O,11,0))),"")</f>
        <v/>
      </c>
      <c r="F4036" s="54" t="str">
        <f>IFERROR(IF(OR($B4036="",$B4036="(blank)"),"",VLOOKUP($B4036,'Email Marketing Raw Data'!$C:$O,13,0)),"")</f>
        <v/>
      </c>
      <c r="G4036" s="55" t="str">
        <f>IFERROR(IF(OR($B4036="",$B4036="(blank)"),"",VLOOKUP($B4036,'Email Marketing Raw Data'!$C:$O,4,0)),"")</f>
        <v/>
      </c>
      <c r="H4036" s="55" t="str">
        <f>IFERROR(IF(OR($B4036="",$B4036="(blank)"),"",VLOOKUP($B4036,'Email Marketing Raw Data'!$C:$O,5,0)),"")</f>
        <v/>
      </c>
      <c r="I4036" s="55" t="str">
        <f>IFERROR(IF($G4036="","",VLOOKUP('Dashboard And Emails Automate'!$G4036,Database!$H:$N,3,0)),"")</f>
        <v/>
      </c>
      <c r="J4036" s="55" t="str">
        <f>IFERROR(IF($G4036="","",VLOOKUP('Dashboard And Emails Automate'!$G4036,Database!$H:$N,4,0)),"")</f>
        <v/>
      </c>
      <c r="K4036" s="55" t="str">
        <f>IFERROR(IF($G4036="","",VLOOKUP('Dashboard And Emails Automate'!$G4036,Database!$H:$N,5,0)),"")</f>
        <v/>
      </c>
      <c r="L4036" s="55" t="str">
        <f>IFERROR(IF($G4036="","",VLOOKUP('Dashboard And Emails Automate'!$G4036,Database!$H:$N,6,0)),"")</f>
        <v/>
      </c>
      <c r="M4036" s="55" t="str">
        <f>IFERROR(IF($G4036="","",VLOOKUP('Dashboard And Emails Automate'!$G4036,Database!$H:$N,7,0)),"")</f>
        <v/>
      </c>
      <c r="N4036" s="55" t="str">
        <f>IFERROR(IF(OR($B4036="",$B4036="(blank)"),"",VLOOKUP($B4036,'Email Marketing Raw Data'!$C:$O,6,0)),"")</f>
        <v/>
      </c>
      <c r="O4036" s="55" t="str">
        <f>IFERROR(IF(OR($B4036="",$B4036="(blank)"),"",VLOOKUP($B4036,'Email Marketing Raw Data'!$C:$O,7,0)),"")</f>
        <v/>
      </c>
      <c r="P4036" s="55" t="str">
        <f>IFERROR(IF(OR($B4036="",$B4036="(blank)"),"",VLOOKUP($B4036,'Email Marketing Raw Data'!$C:$O,8,0)),"")</f>
        <v/>
      </c>
      <c r="Q4036" s="62" t="str">
        <f>IFERROR(IF(OR($B4036="",$B4036="(blank)"),"",VLOOKUP($B4036,'Email Marketing Raw Data'!$C:$O,9,0)),"")</f>
        <v/>
      </c>
    </row>
    <row r="4037" spans="4:17" ht="12.75" customHeight="1" x14ac:dyDescent="0.2">
      <c r="D4037" s="58" t="str">
        <f>IFERROR(IF(F4037&lt;&gt;"pending","",IF(OR($B4037="",$B4037="(blank)"),"",VLOOKUP($B4037,'Email Marketing Raw Data'!$C:$O,10,0))),"")</f>
        <v/>
      </c>
      <c r="E4037" s="59" t="str">
        <f>IFERROR(IF(F4037&lt;&gt;"pending","",IF(OR($B4037="",$B4037="(blank)"),"",VLOOKUP($B4037,'Email Marketing Raw Data'!$C:$O,11,0))),"")</f>
        <v/>
      </c>
      <c r="F4037" s="54" t="str">
        <f>IFERROR(IF(OR($B4037="",$B4037="(blank)"),"",VLOOKUP($B4037,'Email Marketing Raw Data'!$C:$O,13,0)),"")</f>
        <v/>
      </c>
      <c r="G4037" s="55" t="str">
        <f>IFERROR(IF(OR($B4037="",$B4037="(blank)"),"",VLOOKUP($B4037,'Email Marketing Raw Data'!$C:$O,4,0)),"")</f>
        <v/>
      </c>
      <c r="H4037" s="55" t="str">
        <f>IFERROR(IF(OR($B4037="",$B4037="(blank)"),"",VLOOKUP($B4037,'Email Marketing Raw Data'!$C:$O,5,0)),"")</f>
        <v/>
      </c>
      <c r="I4037" s="55" t="str">
        <f>IFERROR(IF($G4037="","",VLOOKUP('Dashboard And Emails Automate'!$G4037,Database!$H:$N,3,0)),"")</f>
        <v/>
      </c>
      <c r="J4037" s="55" t="str">
        <f>IFERROR(IF($G4037="","",VLOOKUP('Dashboard And Emails Automate'!$G4037,Database!$H:$N,4,0)),"")</f>
        <v/>
      </c>
      <c r="K4037" s="55" t="str">
        <f>IFERROR(IF($G4037="","",VLOOKUP('Dashboard And Emails Automate'!$G4037,Database!$H:$N,5,0)),"")</f>
        <v/>
      </c>
      <c r="L4037" s="55" t="str">
        <f>IFERROR(IF($G4037="","",VLOOKUP('Dashboard And Emails Automate'!$G4037,Database!$H:$N,6,0)),"")</f>
        <v/>
      </c>
      <c r="M4037" s="55" t="str">
        <f>IFERROR(IF($G4037="","",VLOOKUP('Dashboard And Emails Automate'!$G4037,Database!$H:$N,7,0)),"")</f>
        <v/>
      </c>
      <c r="N4037" s="55" t="str">
        <f>IFERROR(IF(OR($B4037="",$B4037="(blank)"),"",VLOOKUP($B4037,'Email Marketing Raw Data'!$C:$O,6,0)),"")</f>
        <v/>
      </c>
      <c r="O4037" s="55" t="str">
        <f>IFERROR(IF(OR($B4037="",$B4037="(blank)"),"",VLOOKUP($B4037,'Email Marketing Raw Data'!$C:$O,7,0)),"")</f>
        <v/>
      </c>
      <c r="P4037" s="55" t="str">
        <f>IFERROR(IF(OR($B4037="",$B4037="(blank)"),"",VLOOKUP($B4037,'Email Marketing Raw Data'!$C:$O,8,0)),"")</f>
        <v/>
      </c>
      <c r="Q4037" s="62" t="str">
        <f>IFERROR(IF(OR($B4037="",$B4037="(blank)"),"",VLOOKUP($B4037,'Email Marketing Raw Data'!$C:$O,9,0)),"")</f>
        <v/>
      </c>
    </row>
    <row r="4038" spans="4:17" ht="12.75" customHeight="1" x14ac:dyDescent="0.2">
      <c r="D4038" s="58" t="str">
        <f>IFERROR(IF(F4038&lt;&gt;"pending","",IF(OR($B4038="",$B4038="(blank)"),"",VLOOKUP($B4038,'Email Marketing Raw Data'!$C:$O,10,0))),"")</f>
        <v/>
      </c>
      <c r="E4038" s="59" t="str">
        <f>IFERROR(IF(F4038&lt;&gt;"pending","",IF(OR($B4038="",$B4038="(blank)"),"",VLOOKUP($B4038,'Email Marketing Raw Data'!$C:$O,11,0))),"")</f>
        <v/>
      </c>
      <c r="F4038" s="54" t="str">
        <f>IFERROR(IF(OR($B4038="",$B4038="(blank)"),"",VLOOKUP($B4038,'Email Marketing Raw Data'!$C:$O,13,0)),"")</f>
        <v/>
      </c>
      <c r="G4038" s="55" t="str">
        <f>IFERROR(IF(OR($B4038="",$B4038="(blank)"),"",VLOOKUP($B4038,'Email Marketing Raw Data'!$C:$O,4,0)),"")</f>
        <v/>
      </c>
      <c r="H4038" s="55" t="str">
        <f>IFERROR(IF(OR($B4038="",$B4038="(blank)"),"",VLOOKUP($B4038,'Email Marketing Raw Data'!$C:$O,5,0)),"")</f>
        <v/>
      </c>
      <c r="I4038" s="55" t="str">
        <f>IFERROR(IF($G4038="","",VLOOKUP('Dashboard And Emails Automate'!$G4038,Database!$H:$N,3,0)),"")</f>
        <v/>
      </c>
      <c r="J4038" s="55" t="str">
        <f>IFERROR(IF($G4038="","",VLOOKUP('Dashboard And Emails Automate'!$G4038,Database!$H:$N,4,0)),"")</f>
        <v/>
      </c>
      <c r="K4038" s="55" t="str">
        <f>IFERROR(IF($G4038="","",VLOOKUP('Dashboard And Emails Automate'!$G4038,Database!$H:$N,5,0)),"")</f>
        <v/>
      </c>
      <c r="L4038" s="55" t="str">
        <f>IFERROR(IF($G4038="","",VLOOKUP('Dashboard And Emails Automate'!$G4038,Database!$H:$N,6,0)),"")</f>
        <v/>
      </c>
      <c r="M4038" s="55" t="str">
        <f>IFERROR(IF($G4038="","",VLOOKUP('Dashboard And Emails Automate'!$G4038,Database!$H:$N,7,0)),"")</f>
        <v/>
      </c>
      <c r="N4038" s="55" t="str">
        <f>IFERROR(IF(OR($B4038="",$B4038="(blank)"),"",VLOOKUP($B4038,'Email Marketing Raw Data'!$C:$O,6,0)),"")</f>
        <v/>
      </c>
      <c r="O4038" s="55" t="str">
        <f>IFERROR(IF(OR($B4038="",$B4038="(blank)"),"",VLOOKUP($B4038,'Email Marketing Raw Data'!$C:$O,7,0)),"")</f>
        <v/>
      </c>
      <c r="P4038" s="55" t="str">
        <f>IFERROR(IF(OR($B4038="",$B4038="(blank)"),"",VLOOKUP($B4038,'Email Marketing Raw Data'!$C:$O,8,0)),"")</f>
        <v/>
      </c>
      <c r="Q4038" s="62" t="str">
        <f>IFERROR(IF(OR($B4038="",$B4038="(blank)"),"",VLOOKUP($B4038,'Email Marketing Raw Data'!$C:$O,9,0)),"")</f>
        <v/>
      </c>
    </row>
    <row r="4039" spans="4:17" ht="12.75" customHeight="1" x14ac:dyDescent="0.2">
      <c r="D4039" s="58" t="str">
        <f>IFERROR(IF(F4039&lt;&gt;"pending","",IF(OR($B4039="",$B4039="(blank)"),"",VLOOKUP($B4039,'Email Marketing Raw Data'!$C:$O,10,0))),"")</f>
        <v/>
      </c>
      <c r="E4039" s="59" t="str">
        <f>IFERROR(IF(F4039&lt;&gt;"pending","",IF(OR($B4039="",$B4039="(blank)"),"",VLOOKUP($B4039,'Email Marketing Raw Data'!$C:$O,11,0))),"")</f>
        <v/>
      </c>
      <c r="F4039" s="54" t="str">
        <f>IFERROR(IF(OR($B4039="",$B4039="(blank)"),"",VLOOKUP($B4039,'Email Marketing Raw Data'!$C:$O,13,0)),"")</f>
        <v/>
      </c>
      <c r="G4039" s="55" t="str">
        <f>IFERROR(IF(OR($B4039="",$B4039="(blank)"),"",VLOOKUP($B4039,'Email Marketing Raw Data'!$C:$O,4,0)),"")</f>
        <v/>
      </c>
      <c r="H4039" s="55" t="str">
        <f>IFERROR(IF(OR($B4039="",$B4039="(blank)"),"",VLOOKUP($B4039,'Email Marketing Raw Data'!$C:$O,5,0)),"")</f>
        <v/>
      </c>
      <c r="I4039" s="55" t="str">
        <f>IFERROR(IF($G4039="","",VLOOKUP('Dashboard And Emails Automate'!$G4039,Database!$H:$N,3,0)),"")</f>
        <v/>
      </c>
      <c r="J4039" s="55" t="str">
        <f>IFERROR(IF($G4039="","",VLOOKUP('Dashboard And Emails Automate'!$G4039,Database!$H:$N,4,0)),"")</f>
        <v/>
      </c>
      <c r="K4039" s="55" t="str">
        <f>IFERROR(IF($G4039="","",VLOOKUP('Dashboard And Emails Automate'!$G4039,Database!$H:$N,5,0)),"")</f>
        <v/>
      </c>
      <c r="L4039" s="55" t="str">
        <f>IFERROR(IF($G4039="","",VLOOKUP('Dashboard And Emails Automate'!$G4039,Database!$H:$N,6,0)),"")</f>
        <v/>
      </c>
      <c r="M4039" s="55" t="str">
        <f>IFERROR(IF($G4039="","",VLOOKUP('Dashboard And Emails Automate'!$G4039,Database!$H:$N,7,0)),"")</f>
        <v/>
      </c>
      <c r="N4039" s="55" t="str">
        <f>IFERROR(IF(OR($B4039="",$B4039="(blank)"),"",VLOOKUP($B4039,'Email Marketing Raw Data'!$C:$O,6,0)),"")</f>
        <v/>
      </c>
      <c r="O4039" s="55" t="str">
        <f>IFERROR(IF(OR($B4039="",$B4039="(blank)"),"",VLOOKUP($B4039,'Email Marketing Raw Data'!$C:$O,7,0)),"")</f>
        <v/>
      </c>
      <c r="P4039" s="55" t="str">
        <f>IFERROR(IF(OR($B4039="",$B4039="(blank)"),"",VLOOKUP($B4039,'Email Marketing Raw Data'!$C:$O,8,0)),"")</f>
        <v/>
      </c>
      <c r="Q4039" s="62" t="str">
        <f>IFERROR(IF(OR($B4039="",$B4039="(blank)"),"",VLOOKUP($B4039,'Email Marketing Raw Data'!$C:$O,9,0)),"")</f>
        <v/>
      </c>
    </row>
    <row r="4040" spans="4:17" ht="12.75" customHeight="1" x14ac:dyDescent="0.2">
      <c r="D4040" s="58" t="str">
        <f>IFERROR(IF(F4040&lt;&gt;"pending","",IF(OR($B4040="",$B4040="(blank)"),"",VLOOKUP($B4040,'Email Marketing Raw Data'!$C:$O,10,0))),"")</f>
        <v/>
      </c>
      <c r="E4040" s="59" t="str">
        <f>IFERROR(IF(F4040&lt;&gt;"pending","",IF(OR($B4040="",$B4040="(blank)"),"",VLOOKUP($B4040,'Email Marketing Raw Data'!$C:$O,11,0))),"")</f>
        <v/>
      </c>
      <c r="F4040" s="54" t="str">
        <f>IFERROR(IF(OR($B4040="",$B4040="(blank)"),"",VLOOKUP($B4040,'Email Marketing Raw Data'!$C:$O,13,0)),"")</f>
        <v/>
      </c>
      <c r="G4040" s="55" t="str">
        <f>IFERROR(IF(OR($B4040="",$B4040="(blank)"),"",VLOOKUP($B4040,'Email Marketing Raw Data'!$C:$O,4,0)),"")</f>
        <v/>
      </c>
      <c r="H4040" s="55" t="str">
        <f>IFERROR(IF(OR($B4040="",$B4040="(blank)"),"",VLOOKUP($B4040,'Email Marketing Raw Data'!$C:$O,5,0)),"")</f>
        <v/>
      </c>
      <c r="I4040" s="55" t="str">
        <f>IFERROR(IF($G4040="","",VLOOKUP('Dashboard And Emails Automate'!$G4040,Database!$H:$N,3,0)),"")</f>
        <v/>
      </c>
      <c r="J4040" s="55" t="str">
        <f>IFERROR(IF($G4040="","",VLOOKUP('Dashboard And Emails Automate'!$G4040,Database!$H:$N,4,0)),"")</f>
        <v/>
      </c>
      <c r="K4040" s="55" t="str">
        <f>IFERROR(IF($G4040="","",VLOOKUP('Dashboard And Emails Automate'!$G4040,Database!$H:$N,5,0)),"")</f>
        <v/>
      </c>
      <c r="L4040" s="55" t="str">
        <f>IFERROR(IF($G4040="","",VLOOKUP('Dashboard And Emails Automate'!$G4040,Database!$H:$N,6,0)),"")</f>
        <v/>
      </c>
      <c r="M4040" s="55" t="str">
        <f>IFERROR(IF($G4040="","",VLOOKUP('Dashboard And Emails Automate'!$G4040,Database!$H:$N,7,0)),"")</f>
        <v/>
      </c>
      <c r="N4040" s="55" t="str">
        <f>IFERROR(IF(OR($B4040="",$B4040="(blank)"),"",VLOOKUP($B4040,'Email Marketing Raw Data'!$C:$O,6,0)),"")</f>
        <v/>
      </c>
      <c r="O4040" s="55" t="str">
        <f>IFERROR(IF(OR($B4040="",$B4040="(blank)"),"",VLOOKUP($B4040,'Email Marketing Raw Data'!$C:$O,7,0)),"")</f>
        <v/>
      </c>
      <c r="P4040" s="55" t="str">
        <f>IFERROR(IF(OR($B4040="",$B4040="(blank)"),"",VLOOKUP($B4040,'Email Marketing Raw Data'!$C:$O,8,0)),"")</f>
        <v/>
      </c>
      <c r="Q4040" s="62" t="str">
        <f>IFERROR(IF(OR($B4040="",$B4040="(blank)"),"",VLOOKUP($B4040,'Email Marketing Raw Data'!$C:$O,9,0)),"")</f>
        <v/>
      </c>
    </row>
    <row r="4041" spans="4:17" ht="12.75" customHeight="1" x14ac:dyDescent="0.2">
      <c r="D4041" s="58" t="str">
        <f>IFERROR(IF(F4041&lt;&gt;"pending","",IF(OR($B4041="",$B4041="(blank)"),"",VLOOKUP($B4041,'Email Marketing Raw Data'!$C:$O,10,0))),"")</f>
        <v/>
      </c>
      <c r="E4041" s="59" t="str">
        <f>IFERROR(IF(F4041&lt;&gt;"pending","",IF(OR($B4041="",$B4041="(blank)"),"",VLOOKUP($B4041,'Email Marketing Raw Data'!$C:$O,11,0))),"")</f>
        <v/>
      </c>
      <c r="F4041" s="54" t="str">
        <f>IFERROR(IF(OR($B4041="",$B4041="(blank)"),"",VLOOKUP($B4041,'Email Marketing Raw Data'!$C:$O,13,0)),"")</f>
        <v/>
      </c>
      <c r="G4041" s="55" t="str">
        <f>IFERROR(IF(OR($B4041="",$B4041="(blank)"),"",VLOOKUP($B4041,'Email Marketing Raw Data'!$C:$O,4,0)),"")</f>
        <v/>
      </c>
      <c r="H4041" s="55" t="str">
        <f>IFERROR(IF(OR($B4041="",$B4041="(blank)"),"",VLOOKUP($B4041,'Email Marketing Raw Data'!$C:$O,5,0)),"")</f>
        <v/>
      </c>
      <c r="I4041" s="55" t="str">
        <f>IFERROR(IF($G4041="","",VLOOKUP('Dashboard And Emails Automate'!$G4041,Database!$H:$N,3,0)),"")</f>
        <v/>
      </c>
      <c r="J4041" s="55" t="str">
        <f>IFERROR(IF($G4041="","",VLOOKUP('Dashboard And Emails Automate'!$G4041,Database!$H:$N,4,0)),"")</f>
        <v/>
      </c>
      <c r="K4041" s="55" t="str">
        <f>IFERROR(IF($G4041="","",VLOOKUP('Dashboard And Emails Automate'!$G4041,Database!$H:$N,5,0)),"")</f>
        <v/>
      </c>
      <c r="L4041" s="55" t="str">
        <f>IFERROR(IF($G4041="","",VLOOKUP('Dashboard And Emails Automate'!$G4041,Database!$H:$N,6,0)),"")</f>
        <v/>
      </c>
      <c r="M4041" s="55" t="str">
        <f>IFERROR(IF($G4041="","",VLOOKUP('Dashboard And Emails Automate'!$G4041,Database!$H:$N,7,0)),"")</f>
        <v/>
      </c>
      <c r="N4041" s="55" t="str">
        <f>IFERROR(IF(OR($B4041="",$B4041="(blank)"),"",VLOOKUP($B4041,'Email Marketing Raw Data'!$C:$O,6,0)),"")</f>
        <v/>
      </c>
      <c r="O4041" s="55" t="str">
        <f>IFERROR(IF(OR($B4041="",$B4041="(blank)"),"",VLOOKUP($B4041,'Email Marketing Raw Data'!$C:$O,7,0)),"")</f>
        <v/>
      </c>
      <c r="P4041" s="55" t="str">
        <f>IFERROR(IF(OR($B4041="",$B4041="(blank)"),"",VLOOKUP($B4041,'Email Marketing Raw Data'!$C:$O,8,0)),"")</f>
        <v/>
      </c>
      <c r="Q4041" s="62" t="str">
        <f>IFERROR(IF(OR($B4041="",$B4041="(blank)"),"",VLOOKUP($B4041,'Email Marketing Raw Data'!$C:$O,9,0)),"")</f>
        <v/>
      </c>
    </row>
    <row r="4042" spans="4:17" ht="12.75" customHeight="1" x14ac:dyDescent="0.2">
      <c r="D4042" s="58" t="str">
        <f>IFERROR(IF(F4042&lt;&gt;"pending","",IF(OR($B4042="",$B4042="(blank)"),"",VLOOKUP($B4042,'Email Marketing Raw Data'!$C:$O,10,0))),"")</f>
        <v/>
      </c>
      <c r="E4042" s="59" t="str">
        <f>IFERROR(IF(F4042&lt;&gt;"pending","",IF(OR($B4042="",$B4042="(blank)"),"",VLOOKUP($B4042,'Email Marketing Raw Data'!$C:$O,11,0))),"")</f>
        <v/>
      </c>
      <c r="F4042" s="54" t="str">
        <f>IFERROR(IF(OR($B4042="",$B4042="(blank)"),"",VLOOKUP($B4042,'Email Marketing Raw Data'!$C:$O,13,0)),"")</f>
        <v/>
      </c>
      <c r="G4042" s="55" t="str">
        <f>IFERROR(IF(OR($B4042="",$B4042="(blank)"),"",VLOOKUP($B4042,'Email Marketing Raw Data'!$C:$O,4,0)),"")</f>
        <v/>
      </c>
      <c r="H4042" s="55" t="str">
        <f>IFERROR(IF(OR($B4042="",$B4042="(blank)"),"",VLOOKUP($B4042,'Email Marketing Raw Data'!$C:$O,5,0)),"")</f>
        <v/>
      </c>
      <c r="I4042" s="55" t="str">
        <f>IFERROR(IF($G4042="","",VLOOKUP('Dashboard And Emails Automate'!$G4042,Database!$H:$N,3,0)),"")</f>
        <v/>
      </c>
      <c r="J4042" s="55" t="str">
        <f>IFERROR(IF($G4042="","",VLOOKUP('Dashboard And Emails Automate'!$G4042,Database!$H:$N,4,0)),"")</f>
        <v/>
      </c>
      <c r="K4042" s="55" t="str">
        <f>IFERROR(IF($G4042="","",VLOOKUP('Dashboard And Emails Automate'!$G4042,Database!$H:$N,5,0)),"")</f>
        <v/>
      </c>
      <c r="L4042" s="55" t="str">
        <f>IFERROR(IF($G4042="","",VLOOKUP('Dashboard And Emails Automate'!$G4042,Database!$H:$N,6,0)),"")</f>
        <v/>
      </c>
      <c r="M4042" s="55" t="str">
        <f>IFERROR(IF($G4042="","",VLOOKUP('Dashboard And Emails Automate'!$G4042,Database!$H:$N,7,0)),"")</f>
        <v/>
      </c>
      <c r="N4042" s="55" t="str">
        <f>IFERROR(IF(OR($B4042="",$B4042="(blank)"),"",VLOOKUP($B4042,'Email Marketing Raw Data'!$C:$O,6,0)),"")</f>
        <v/>
      </c>
      <c r="O4042" s="55" t="str">
        <f>IFERROR(IF(OR($B4042="",$B4042="(blank)"),"",VLOOKUP($B4042,'Email Marketing Raw Data'!$C:$O,7,0)),"")</f>
        <v/>
      </c>
      <c r="P4042" s="55" t="str">
        <f>IFERROR(IF(OR($B4042="",$B4042="(blank)"),"",VLOOKUP($B4042,'Email Marketing Raw Data'!$C:$O,8,0)),"")</f>
        <v/>
      </c>
      <c r="Q4042" s="62" t="str">
        <f>IFERROR(IF(OR($B4042="",$B4042="(blank)"),"",VLOOKUP($B4042,'Email Marketing Raw Data'!$C:$O,9,0)),"")</f>
        <v/>
      </c>
    </row>
    <row r="4043" spans="4:17" ht="12.75" customHeight="1" x14ac:dyDescent="0.2">
      <c r="D4043" s="58" t="str">
        <f>IFERROR(IF(F4043&lt;&gt;"pending","",IF(OR($B4043="",$B4043="(blank)"),"",VLOOKUP($B4043,'Email Marketing Raw Data'!$C:$O,10,0))),"")</f>
        <v/>
      </c>
      <c r="E4043" s="59" t="str">
        <f>IFERROR(IF(F4043&lt;&gt;"pending","",IF(OR($B4043="",$B4043="(blank)"),"",VLOOKUP($B4043,'Email Marketing Raw Data'!$C:$O,11,0))),"")</f>
        <v/>
      </c>
      <c r="F4043" s="54" t="str">
        <f>IFERROR(IF(OR($B4043="",$B4043="(blank)"),"",VLOOKUP($B4043,'Email Marketing Raw Data'!$C:$O,13,0)),"")</f>
        <v/>
      </c>
      <c r="G4043" s="55" t="str">
        <f>IFERROR(IF(OR($B4043="",$B4043="(blank)"),"",VLOOKUP($B4043,'Email Marketing Raw Data'!$C:$O,4,0)),"")</f>
        <v/>
      </c>
      <c r="H4043" s="55" t="str">
        <f>IFERROR(IF(OR($B4043="",$B4043="(blank)"),"",VLOOKUP($B4043,'Email Marketing Raw Data'!$C:$O,5,0)),"")</f>
        <v/>
      </c>
      <c r="I4043" s="55" t="str">
        <f>IFERROR(IF($G4043="","",VLOOKUP('Dashboard And Emails Automate'!$G4043,Database!$H:$N,3,0)),"")</f>
        <v/>
      </c>
      <c r="J4043" s="55" t="str">
        <f>IFERROR(IF($G4043="","",VLOOKUP('Dashboard And Emails Automate'!$G4043,Database!$H:$N,4,0)),"")</f>
        <v/>
      </c>
      <c r="K4043" s="55" t="str">
        <f>IFERROR(IF($G4043="","",VLOOKUP('Dashboard And Emails Automate'!$G4043,Database!$H:$N,5,0)),"")</f>
        <v/>
      </c>
      <c r="L4043" s="55" t="str">
        <f>IFERROR(IF($G4043="","",VLOOKUP('Dashboard And Emails Automate'!$G4043,Database!$H:$N,6,0)),"")</f>
        <v/>
      </c>
      <c r="M4043" s="55" t="str">
        <f>IFERROR(IF($G4043="","",VLOOKUP('Dashboard And Emails Automate'!$G4043,Database!$H:$N,7,0)),"")</f>
        <v/>
      </c>
      <c r="N4043" s="55" t="str">
        <f>IFERROR(IF(OR($B4043="",$B4043="(blank)"),"",VLOOKUP($B4043,'Email Marketing Raw Data'!$C:$O,6,0)),"")</f>
        <v/>
      </c>
      <c r="O4043" s="55" t="str">
        <f>IFERROR(IF(OR($B4043="",$B4043="(blank)"),"",VLOOKUP($B4043,'Email Marketing Raw Data'!$C:$O,7,0)),"")</f>
        <v/>
      </c>
      <c r="P4043" s="55" t="str">
        <f>IFERROR(IF(OR($B4043="",$B4043="(blank)"),"",VLOOKUP($B4043,'Email Marketing Raw Data'!$C:$O,8,0)),"")</f>
        <v/>
      </c>
      <c r="Q4043" s="62" t="str">
        <f>IFERROR(IF(OR($B4043="",$B4043="(blank)"),"",VLOOKUP($B4043,'Email Marketing Raw Data'!$C:$O,9,0)),"")</f>
        <v/>
      </c>
    </row>
    <row r="4044" spans="4:17" ht="12.75" customHeight="1" x14ac:dyDescent="0.2">
      <c r="D4044" s="58" t="str">
        <f>IFERROR(IF(F4044&lt;&gt;"pending","",IF(OR($B4044="",$B4044="(blank)"),"",VLOOKUP($B4044,'Email Marketing Raw Data'!$C:$O,10,0))),"")</f>
        <v/>
      </c>
      <c r="E4044" s="59" t="str">
        <f>IFERROR(IF(F4044&lt;&gt;"pending","",IF(OR($B4044="",$B4044="(blank)"),"",VLOOKUP($B4044,'Email Marketing Raw Data'!$C:$O,11,0))),"")</f>
        <v/>
      </c>
      <c r="F4044" s="54" t="str">
        <f>IFERROR(IF(OR($B4044="",$B4044="(blank)"),"",VLOOKUP($B4044,'Email Marketing Raw Data'!$C:$O,13,0)),"")</f>
        <v/>
      </c>
      <c r="G4044" s="55" t="str">
        <f>IFERROR(IF(OR($B4044="",$B4044="(blank)"),"",VLOOKUP($B4044,'Email Marketing Raw Data'!$C:$O,4,0)),"")</f>
        <v/>
      </c>
      <c r="H4044" s="55" t="str">
        <f>IFERROR(IF(OR($B4044="",$B4044="(blank)"),"",VLOOKUP($B4044,'Email Marketing Raw Data'!$C:$O,5,0)),"")</f>
        <v/>
      </c>
      <c r="I4044" s="55" t="str">
        <f>IFERROR(IF($G4044="","",VLOOKUP('Dashboard And Emails Automate'!$G4044,Database!$H:$N,3,0)),"")</f>
        <v/>
      </c>
      <c r="J4044" s="55" t="str">
        <f>IFERROR(IF($G4044="","",VLOOKUP('Dashboard And Emails Automate'!$G4044,Database!$H:$N,4,0)),"")</f>
        <v/>
      </c>
      <c r="K4044" s="55" t="str">
        <f>IFERROR(IF($G4044="","",VLOOKUP('Dashboard And Emails Automate'!$G4044,Database!$H:$N,5,0)),"")</f>
        <v/>
      </c>
      <c r="L4044" s="55" t="str">
        <f>IFERROR(IF($G4044="","",VLOOKUP('Dashboard And Emails Automate'!$G4044,Database!$H:$N,6,0)),"")</f>
        <v/>
      </c>
      <c r="M4044" s="55" t="str">
        <f>IFERROR(IF($G4044="","",VLOOKUP('Dashboard And Emails Automate'!$G4044,Database!$H:$N,7,0)),"")</f>
        <v/>
      </c>
      <c r="N4044" s="55" t="str">
        <f>IFERROR(IF(OR($B4044="",$B4044="(blank)"),"",VLOOKUP($B4044,'Email Marketing Raw Data'!$C:$O,6,0)),"")</f>
        <v/>
      </c>
      <c r="O4044" s="55" t="str">
        <f>IFERROR(IF(OR($B4044="",$B4044="(blank)"),"",VLOOKUP($B4044,'Email Marketing Raw Data'!$C:$O,7,0)),"")</f>
        <v/>
      </c>
      <c r="P4044" s="55" t="str">
        <f>IFERROR(IF(OR($B4044="",$B4044="(blank)"),"",VLOOKUP($B4044,'Email Marketing Raw Data'!$C:$O,8,0)),"")</f>
        <v/>
      </c>
      <c r="Q4044" s="62" t="str">
        <f>IFERROR(IF(OR($B4044="",$B4044="(blank)"),"",VLOOKUP($B4044,'Email Marketing Raw Data'!$C:$O,9,0)),"")</f>
        <v/>
      </c>
    </row>
    <row r="4045" spans="4:17" ht="12.75" customHeight="1" x14ac:dyDescent="0.2">
      <c r="D4045" s="58" t="str">
        <f>IFERROR(IF(F4045&lt;&gt;"pending","",IF(OR($B4045="",$B4045="(blank)"),"",VLOOKUP($B4045,'Email Marketing Raw Data'!$C:$O,10,0))),"")</f>
        <v/>
      </c>
      <c r="E4045" s="59" t="str">
        <f>IFERROR(IF(F4045&lt;&gt;"pending","",IF(OR($B4045="",$B4045="(blank)"),"",VLOOKUP($B4045,'Email Marketing Raw Data'!$C:$O,11,0))),"")</f>
        <v/>
      </c>
      <c r="F4045" s="54" t="str">
        <f>IFERROR(IF(OR($B4045="",$B4045="(blank)"),"",VLOOKUP($B4045,'Email Marketing Raw Data'!$C:$O,13,0)),"")</f>
        <v/>
      </c>
      <c r="G4045" s="55" t="str">
        <f>IFERROR(IF(OR($B4045="",$B4045="(blank)"),"",VLOOKUP($B4045,'Email Marketing Raw Data'!$C:$O,4,0)),"")</f>
        <v/>
      </c>
      <c r="H4045" s="55" t="str">
        <f>IFERROR(IF(OR($B4045="",$B4045="(blank)"),"",VLOOKUP($B4045,'Email Marketing Raw Data'!$C:$O,5,0)),"")</f>
        <v/>
      </c>
      <c r="I4045" s="55" t="str">
        <f>IFERROR(IF($G4045="","",VLOOKUP('Dashboard And Emails Automate'!$G4045,Database!$H:$N,3,0)),"")</f>
        <v/>
      </c>
      <c r="J4045" s="55" t="str">
        <f>IFERROR(IF($G4045="","",VLOOKUP('Dashboard And Emails Automate'!$G4045,Database!$H:$N,4,0)),"")</f>
        <v/>
      </c>
      <c r="K4045" s="55" t="str">
        <f>IFERROR(IF($G4045="","",VLOOKUP('Dashboard And Emails Automate'!$G4045,Database!$H:$N,5,0)),"")</f>
        <v/>
      </c>
      <c r="L4045" s="55" t="str">
        <f>IFERROR(IF($G4045="","",VLOOKUP('Dashboard And Emails Automate'!$G4045,Database!$H:$N,6,0)),"")</f>
        <v/>
      </c>
      <c r="M4045" s="55" t="str">
        <f>IFERROR(IF($G4045="","",VLOOKUP('Dashboard And Emails Automate'!$G4045,Database!$H:$N,7,0)),"")</f>
        <v/>
      </c>
      <c r="N4045" s="55" t="str">
        <f>IFERROR(IF(OR($B4045="",$B4045="(blank)"),"",VLOOKUP($B4045,'Email Marketing Raw Data'!$C:$O,6,0)),"")</f>
        <v/>
      </c>
      <c r="O4045" s="55" t="str">
        <f>IFERROR(IF(OR($B4045="",$B4045="(blank)"),"",VLOOKUP($B4045,'Email Marketing Raw Data'!$C:$O,7,0)),"")</f>
        <v/>
      </c>
      <c r="P4045" s="55" t="str">
        <f>IFERROR(IF(OR($B4045="",$B4045="(blank)"),"",VLOOKUP($B4045,'Email Marketing Raw Data'!$C:$O,8,0)),"")</f>
        <v/>
      </c>
      <c r="Q4045" s="62" t="str">
        <f>IFERROR(IF(OR($B4045="",$B4045="(blank)"),"",VLOOKUP($B4045,'Email Marketing Raw Data'!$C:$O,9,0)),"")</f>
        <v/>
      </c>
    </row>
    <row r="4046" spans="4:17" ht="12.75" customHeight="1" x14ac:dyDescent="0.2">
      <c r="D4046" s="58" t="str">
        <f>IFERROR(IF(F4046&lt;&gt;"pending","",IF(OR($B4046="",$B4046="(blank)"),"",VLOOKUP($B4046,'Email Marketing Raw Data'!$C:$O,10,0))),"")</f>
        <v/>
      </c>
      <c r="E4046" s="59" t="str">
        <f>IFERROR(IF(F4046&lt;&gt;"pending","",IF(OR($B4046="",$B4046="(blank)"),"",VLOOKUP($B4046,'Email Marketing Raw Data'!$C:$O,11,0))),"")</f>
        <v/>
      </c>
      <c r="F4046" s="54" t="str">
        <f>IFERROR(IF(OR($B4046="",$B4046="(blank)"),"",VLOOKUP($B4046,'Email Marketing Raw Data'!$C:$O,13,0)),"")</f>
        <v/>
      </c>
      <c r="G4046" s="55" t="str">
        <f>IFERROR(IF(OR($B4046="",$B4046="(blank)"),"",VLOOKUP($B4046,'Email Marketing Raw Data'!$C:$O,4,0)),"")</f>
        <v/>
      </c>
      <c r="H4046" s="55" t="str">
        <f>IFERROR(IF(OR($B4046="",$B4046="(blank)"),"",VLOOKUP($B4046,'Email Marketing Raw Data'!$C:$O,5,0)),"")</f>
        <v/>
      </c>
      <c r="I4046" s="55" t="str">
        <f>IFERROR(IF($G4046="","",VLOOKUP('Dashboard And Emails Automate'!$G4046,Database!$H:$N,3,0)),"")</f>
        <v/>
      </c>
      <c r="J4046" s="55" t="str">
        <f>IFERROR(IF($G4046="","",VLOOKUP('Dashboard And Emails Automate'!$G4046,Database!$H:$N,4,0)),"")</f>
        <v/>
      </c>
      <c r="K4046" s="55" t="str">
        <f>IFERROR(IF($G4046="","",VLOOKUP('Dashboard And Emails Automate'!$G4046,Database!$H:$N,5,0)),"")</f>
        <v/>
      </c>
      <c r="L4046" s="55" t="str">
        <f>IFERROR(IF($G4046="","",VLOOKUP('Dashboard And Emails Automate'!$G4046,Database!$H:$N,6,0)),"")</f>
        <v/>
      </c>
      <c r="M4046" s="55" t="str">
        <f>IFERROR(IF($G4046="","",VLOOKUP('Dashboard And Emails Automate'!$G4046,Database!$H:$N,7,0)),"")</f>
        <v/>
      </c>
      <c r="N4046" s="55" t="str">
        <f>IFERROR(IF(OR($B4046="",$B4046="(blank)"),"",VLOOKUP($B4046,'Email Marketing Raw Data'!$C:$O,6,0)),"")</f>
        <v/>
      </c>
      <c r="O4046" s="55" t="str">
        <f>IFERROR(IF(OR($B4046="",$B4046="(blank)"),"",VLOOKUP($B4046,'Email Marketing Raw Data'!$C:$O,7,0)),"")</f>
        <v/>
      </c>
      <c r="P4046" s="55" t="str">
        <f>IFERROR(IF(OR($B4046="",$B4046="(blank)"),"",VLOOKUP($B4046,'Email Marketing Raw Data'!$C:$O,8,0)),"")</f>
        <v/>
      </c>
      <c r="Q4046" s="62" t="str">
        <f>IFERROR(IF(OR($B4046="",$B4046="(blank)"),"",VLOOKUP($B4046,'Email Marketing Raw Data'!$C:$O,9,0)),"")</f>
        <v/>
      </c>
    </row>
    <row r="4047" spans="4:17" ht="12.75" customHeight="1" x14ac:dyDescent="0.2">
      <c r="D4047" s="58" t="str">
        <f>IFERROR(IF(F4047&lt;&gt;"pending","",IF(OR($B4047="",$B4047="(blank)"),"",VLOOKUP($B4047,'Email Marketing Raw Data'!$C:$O,10,0))),"")</f>
        <v/>
      </c>
      <c r="E4047" s="59" t="str">
        <f>IFERROR(IF(F4047&lt;&gt;"pending","",IF(OR($B4047="",$B4047="(blank)"),"",VLOOKUP($B4047,'Email Marketing Raw Data'!$C:$O,11,0))),"")</f>
        <v/>
      </c>
      <c r="F4047" s="54" t="str">
        <f>IFERROR(IF(OR($B4047="",$B4047="(blank)"),"",VLOOKUP($B4047,'Email Marketing Raw Data'!$C:$O,13,0)),"")</f>
        <v/>
      </c>
      <c r="G4047" s="55" t="str">
        <f>IFERROR(IF(OR($B4047="",$B4047="(blank)"),"",VLOOKUP($B4047,'Email Marketing Raw Data'!$C:$O,4,0)),"")</f>
        <v/>
      </c>
      <c r="H4047" s="55" t="str">
        <f>IFERROR(IF(OR($B4047="",$B4047="(blank)"),"",VLOOKUP($B4047,'Email Marketing Raw Data'!$C:$O,5,0)),"")</f>
        <v/>
      </c>
      <c r="I4047" s="55" t="str">
        <f>IFERROR(IF($G4047="","",VLOOKUP('Dashboard And Emails Automate'!$G4047,Database!$H:$N,3,0)),"")</f>
        <v/>
      </c>
      <c r="J4047" s="55" t="str">
        <f>IFERROR(IF($G4047="","",VLOOKUP('Dashboard And Emails Automate'!$G4047,Database!$H:$N,4,0)),"")</f>
        <v/>
      </c>
      <c r="K4047" s="55" t="str">
        <f>IFERROR(IF($G4047="","",VLOOKUP('Dashboard And Emails Automate'!$G4047,Database!$H:$N,5,0)),"")</f>
        <v/>
      </c>
      <c r="L4047" s="55" t="str">
        <f>IFERROR(IF($G4047="","",VLOOKUP('Dashboard And Emails Automate'!$G4047,Database!$H:$N,6,0)),"")</f>
        <v/>
      </c>
      <c r="M4047" s="55" t="str">
        <f>IFERROR(IF($G4047="","",VLOOKUP('Dashboard And Emails Automate'!$G4047,Database!$H:$N,7,0)),"")</f>
        <v/>
      </c>
      <c r="N4047" s="55" t="str">
        <f>IFERROR(IF(OR($B4047="",$B4047="(blank)"),"",VLOOKUP($B4047,'Email Marketing Raw Data'!$C:$O,6,0)),"")</f>
        <v/>
      </c>
      <c r="O4047" s="55" t="str">
        <f>IFERROR(IF(OR($B4047="",$B4047="(blank)"),"",VLOOKUP($B4047,'Email Marketing Raw Data'!$C:$O,7,0)),"")</f>
        <v/>
      </c>
      <c r="P4047" s="55" t="str">
        <f>IFERROR(IF(OR($B4047="",$B4047="(blank)"),"",VLOOKUP($B4047,'Email Marketing Raw Data'!$C:$O,8,0)),"")</f>
        <v/>
      </c>
      <c r="Q4047" s="62" t="str">
        <f>IFERROR(IF(OR($B4047="",$B4047="(blank)"),"",VLOOKUP($B4047,'Email Marketing Raw Data'!$C:$O,9,0)),"")</f>
        <v/>
      </c>
    </row>
    <row r="4048" spans="4:17" ht="12.75" customHeight="1" x14ac:dyDescent="0.2">
      <c r="D4048" s="58" t="str">
        <f>IFERROR(IF(F4048&lt;&gt;"pending","",IF(OR($B4048="",$B4048="(blank)"),"",VLOOKUP($B4048,'Email Marketing Raw Data'!$C:$O,10,0))),"")</f>
        <v/>
      </c>
      <c r="E4048" s="59" t="str">
        <f>IFERROR(IF(F4048&lt;&gt;"pending","",IF(OR($B4048="",$B4048="(blank)"),"",VLOOKUP($B4048,'Email Marketing Raw Data'!$C:$O,11,0))),"")</f>
        <v/>
      </c>
      <c r="F4048" s="54" t="str">
        <f>IFERROR(IF(OR($B4048="",$B4048="(blank)"),"",VLOOKUP($B4048,'Email Marketing Raw Data'!$C:$O,13,0)),"")</f>
        <v/>
      </c>
      <c r="G4048" s="55" t="str">
        <f>IFERROR(IF(OR($B4048="",$B4048="(blank)"),"",VLOOKUP($B4048,'Email Marketing Raw Data'!$C:$O,4,0)),"")</f>
        <v/>
      </c>
      <c r="H4048" s="55" t="str">
        <f>IFERROR(IF(OR($B4048="",$B4048="(blank)"),"",VLOOKUP($B4048,'Email Marketing Raw Data'!$C:$O,5,0)),"")</f>
        <v/>
      </c>
      <c r="I4048" s="55" t="str">
        <f>IFERROR(IF($G4048="","",VLOOKUP('Dashboard And Emails Automate'!$G4048,Database!$H:$N,3,0)),"")</f>
        <v/>
      </c>
      <c r="J4048" s="55" t="str">
        <f>IFERROR(IF($G4048="","",VLOOKUP('Dashboard And Emails Automate'!$G4048,Database!$H:$N,4,0)),"")</f>
        <v/>
      </c>
      <c r="K4048" s="55" t="str">
        <f>IFERROR(IF($G4048="","",VLOOKUP('Dashboard And Emails Automate'!$G4048,Database!$H:$N,5,0)),"")</f>
        <v/>
      </c>
      <c r="L4048" s="55" t="str">
        <f>IFERROR(IF($G4048="","",VLOOKUP('Dashboard And Emails Automate'!$G4048,Database!$H:$N,6,0)),"")</f>
        <v/>
      </c>
      <c r="M4048" s="55" t="str">
        <f>IFERROR(IF($G4048="","",VLOOKUP('Dashboard And Emails Automate'!$G4048,Database!$H:$N,7,0)),"")</f>
        <v/>
      </c>
      <c r="N4048" s="55" t="str">
        <f>IFERROR(IF(OR($B4048="",$B4048="(blank)"),"",VLOOKUP($B4048,'Email Marketing Raw Data'!$C:$O,6,0)),"")</f>
        <v/>
      </c>
      <c r="O4048" s="55" t="str">
        <f>IFERROR(IF(OR($B4048="",$B4048="(blank)"),"",VLOOKUP($B4048,'Email Marketing Raw Data'!$C:$O,7,0)),"")</f>
        <v/>
      </c>
      <c r="P4048" s="55" t="str">
        <f>IFERROR(IF(OR($B4048="",$B4048="(blank)"),"",VLOOKUP($B4048,'Email Marketing Raw Data'!$C:$O,8,0)),"")</f>
        <v/>
      </c>
      <c r="Q4048" s="62" t="str">
        <f>IFERROR(IF(OR($B4048="",$B4048="(blank)"),"",VLOOKUP($B4048,'Email Marketing Raw Data'!$C:$O,9,0)),"")</f>
        <v/>
      </c>
    </row>
    <row r="4049" spans="4:17" ht="12.75" customHeight="1" x14ac:dyDescent="0.2">
      <c r="D4049" s="58" t="str">
        <f>IFERROR(IF(F4049&lt;&gt;"pending","",IF(OR($B4049="",$B4049="(blank)"),"",VLOOKUP($B4049,'Email Marketing Raw Data'!$C:$O,10,0))),"")</f>
        <v/>
      </c>
      <c r="E4049" s="59" t="str">
        <f>IFERROR(IF(F4049&lt;&gt;"pending","",IF(OR($B4049="",$B4049="(blank)"),"",VLOOKUP($B4049,'Email Marketing Raw Data'!$C:$O,11,0))),"")</f>
        <v/>
      </c>
      <c r="F4049" s="54" t="str">
        <f>IFERROR(IF(OR($B4049="",$B4049="(blank)"),"",VLOOKUP($B4049,'Email Marketing Raw Data'!$C:$O,13,0)),"")</f>
        <v/>
      </c>
      <c r="G4049" s="55" t="str">
        <f>IFERROR(IF(OR($B4049="",$B4049="(blank)"),"",VLOOKUP($B4049,'Email Marketing Raw Data'!$C:$O,4,0)),"")</f>
        <v/>
      </c>
      <c r="H4049" s="55" t="str">
        <f>IFERROR(IF(OR($B4049="",$B4049="(blank)"),"",VLOOKUP($B4049,'Email Marketing Raw Data'!$C:$O,5,0)),"")</f>
        <v/>
      </c>
      <c r="I4049" s="55" t="str">
        <f>IFERROR(IF($G4049="","",VLOOKUP('Dashboard And Emails Automate'!$G4049,Database!$H:$N,3,0)),"")</f>
        <v/>
      </c>
      <c r="J4049" s="55" t="str">
        <f>IFERROR(IF($G4049="","",VLOOKUP('Dashboard And Emails Automate'!$G4049,Database!$H:$N,4,0)),"")</f>
        <v/>
      </c>
      <c r="K4049" s="55" t="str">
        <f>IFERROR(IF($G4049="","",VLOOKUP('Dashboard And Emails Automate'!$G4049,Database!$H:$N,5,0)),"")</f>
        <v/>
      </c>
      <c r="L4049" s="55" t="str">
        <f>IFERROR(IF($G4049="","",VLOOKUP('Dashboard And Emails Automate'!$G4049,Database!$H:$N,6,0)),"")</f>
        <v/>
      </c>
      <c r="M4049" s="55" t="str">
        <f>IFERROR(IF($G4049="","",VLOOKUP('Dashboard And Emails Automate'!$G4049,Database!$H:$N,7,0)),"")</f>
        <v/>
      </c>
      <c r="N4049" s="55" t="str">
        <f>IFERROR(IF(OR($B4049="",$B4049="(blank)"),"",VLOOKUP($B4049,'Email Marketing Raw Data'!$C:$O,6,0)),"")</f>
        <v/>
      </c>
      <c r="O4049" s="55" t="str">
        <f>IFERROR(IF(OR($B4049="",$B4049="(blank)"),"",VLOOKUP($B4049,'Email Marketing Raw Data'!$C:$O,7,0)),"")</f>
        <v/>
      </c>
      <c r="P4049" s="55" t="str">
        <f>IFERROR(IF(OR($B4049="",$B4049="(blank)"),"",VLOOKUP($B4049,'Email Marketing Raw Data'!$C:$O,8,0)),"")</f>
        <v/>
      </c>
      <c r="Q4049" s="62" t="str">
        <f>IFERROR(IF(OR($B4049="",$B4049="(blank)"),"",VLOOKUP($B4049,'Email Marketing Raw Data'!$C:$O,9,0)),"")</f>
        <v/>
      </c>
    </row>
    <row r="4050" spans="4:17" ht="12.75" customHeight="1" x14ac:dyDescent="0.2">
      <c r="D4050" s="58" t="str">
        <f>IFERROR(IF(F4050&lt;&gt;"pending","",IF(OR($B4050="",$B4050="(blank)"),"",VLOOKUP($B4050,'Email Marketing Raw Data'!$C:$O,10,0))),"")</f>
        <v/>
      </c>
      <c r="E4050" s="59" t="str">
        <f>IFERROR(IF(F4050&lt;&gt;"pending","",IF(OR($B4050="",$B4050="(blank)"),"",VLOOKUP($B4050,'Email Marketing Raw Data'!$C:$O,11,0))),"")</f>
        <v/>
      </c>
      <c r="F4050" s="54" t="str">
        <f>IFERROR(IF(OR($B4050="",$B4050="(blank)"),"",VLOOKUP($B4050,'Email Marketing Raw Data'!$C:$O,13,0)),"")</f>
        <v/>
      </c>
      <c r="G4050" s="55" t="str">
        <f>IFERROR(IF(OR($B4050="",$B4050="(blank)"),"",VLOOKUP($B4050,'Email Marketing Raw Data'!$C:$O,4,0)),"")</f>
        <v/>
      </c>
      <c r="H4050" s="55" t="str">
        <f>IFERROR(IF(OR($B4050="",$B4050="(blank)"),"",VLOOKUP($B4050,'Email Marketing Raw Data'!$C:$O,5,0)),"")</f>
        <v/>
      </c>
      <c r="I4050" s="55" t="str">
        <f>IFERROR(IF($G4050="","",VLOOKUP('Dashboard And Emails Automate'!$G4050,Database!$H:$N,3,0)),"")</f>
        <v/>
      </c>
      <c r="J4050" s="55" t="str">
        <f>IFERROR(IF($G4050="","",VLOOKUP('Dashboard And Emails Automate'!$G4050,Database!$H:$N,4,0)),"")</f>
        <v/>
      </c>
      <c r="K4050" s="55" t="str">
        <f>IFERROR(IF($G4050="","",VLOOKUP('Dashboard And Emails Automate'!$G4050,Database!$H:$N,5,0)),"")</f>
        <v/>
      </c>
      <c r="L4050" s="55" t="str">
        <f>IFERROR(IF($G4050="","",VLOOKUP('Dashboard And Emails Automate'!$G4050,Database!$H:$N,6,0)),"")</f>
        <v/>
      </c>
      <c r="M4050" s="55" t="str">
        <f>IFERROR(IF($G4050="","",VLOOKUP('Dashboard And Emails Automate'!$G4050,Database!$H:$N,7,0)),"")</f>
        <v/>
      </c>
      <c r="N4050" s="55" t="str">
        <f>IFERROR(IF(OR($B4050="",$B4050="(blank)"),"",VLOOKUP($B4050,'Email Marketing Raw Data'!$C:$O,6,0)),"")</f>
        <v/>
      </c>
      <c r="O4050" s="55" t="str">
        <f>IFERROR(IF(OR($B4050="",$B4050="(blank)"),"",VLOOKUP($B4050,'Email Marketing Raw Data'!$C:$O,7,0)),"")</f>
        <v/>
      </c>
      <c r="P4050" s="55" t="str">
        <f>IFERROR(IF(OR($B4050="",$B4050="(blank)"),"",VLOOKUP($B4050,'Email Marketing Raw Data'!$C:$O,8,0)),"")</f>
        <v/>
      </c>
      <c r="Q4050" s="62" t="str">
        <f>IFERROR(IF(OR($B4050="",$B4050="(blank)"),"",VLOOKUP($B4050,'Email Marketing Raw Data'!$C:$O,9,0)),"")</f>
        <v/>
      </c>
    </row>
    <row r="4051" spans="4:17" ht="12.75" customHeight="1" x14ac:dyDescent="0.2">
      <c r="D4051" s="58" t="str">
        <f>IFERROR(IF(F4051&lt;&gt;"pending","",IF(OR($B4051="",$B4051="(blank)"),"",VLOOKUP($B4051,'Email Marketing Raw Data'!$C:$O,10,0))),"")</f>
        <v/>
      </c>
      <c r="E4051" s="59" t="str">
        <f>IFERROR(IF(F4051&lt;&gt;"pending","",IF(OR($B4051="",$B4051="(blank)"),"",VLOOKUP($B4051,'Email Marketing Raw Data'!$C:$O,11,0))),"")</f>
        <v/>
      </c>
      <c r="F4051" s="54" t="str">
        <f>IFERROR(IF(OR($B4051="",$B4051="(blank)"),"",VLOOKUP($B4051,'Email Marketing Raw Data'!$C:$O,13,0)),"")</f>
        <v/>
      </c>
      <c r="G4051" s="55" t="str">
        <f>IFERROR(IF(OR($B4051="",$B4051="(blank)"),"",VLOOKUP($B4051,'Email Marketing Raw Data'!$C:$O,4,0)),"")</f>
        <v/>
      </c>
      <c r="H4051" s="55" t="str">
        <f>IFERROR(IF(OR($B4051="",$B4051="(blank)"),"",VLOOKUP($B4051,'Email Marketing Raw Data'!$C:$O,5,0)),"")</f>
        <v/>
      </c>
      <c r="I4051" s="55" t="str">
        <f>IFERROR(IF($G4051="","",VLOOKUP('Dashboard And Emails Automate'!$G4051,Database!$H:$N,3,0)),"")</f>
        <v/>
      </c>
      <c r="J4051" s="55" t="str">
        <f>IFERROR(IF($G4051="","",VLOOKUP('Dashboard And Emails Automate'!$G4051,Database!$H:$N,4,0)),"")</f>
        <v/>
      </c>
      <c r="K4051" s="55" t="str">
        <f>IFERROR(IF($G4051="","",VLOOKUP('Dashboard And Emails Automate'!$G4051,Database!$H:$N,5,0)),"")</f>
        <v/>
      </c>
      <c r="L4051" s="55" t="str">
        <f>IFERROR(IF($G4051="","",VLOOKUP('Dashboard And Emails Automate'!$G4051,Database!$H:$N,6,0)),"")</f>
        <v/>
      </c>
      <c r="M4051" s="55" t="str">
        <f>IFERROR(IF($G4051="","",VLOOKUP('Dashboard And Emails Automate'!$G4051,Database!$H:$N,7,0)),"")</f>
        <v/>
      </c>
      <c r="N4051" s="55" t="str">
        <f>IFERROR(IF(OR($B4051="",$B4051="(blank)"),"",VLOOKUP($B4051,'Email Marketing Raw Data'!$C:$O,6,0)),"")</f>
        <v/>
      </c>
      <c r="O4051" s="55" t="str">
        <f>IFERROR(IF(OR($B4051="",$B4051="(blank)"),"",VLOOKUP($B4051,'Email Marketing Raw Data'!$C:$O,7,0)),"")</f>
        <v/>
      </c>
      <c r="P4051" s="55" t="str">
        <f>IFERROR(IF(OR($B4051="",$B4051="(blank)"),"",VLOOKUP($B4051,'Email Marketing Raw Data'!$C:$O,8,0)),"")</f>
        <v/>
      </c>
      <c r="Q4051" s="62" t="str">
        <f>IFERROR(IF(OR($B4051="",$B4051="(blank)"),"",VLOOKUP($B4051,'Email Marketing Raw Data'!$C:$O,9,0)),"")</f>
        <v/>
      </c>
    </row>
    <row r="4052" spans="4:17" ht="12.75" customHeight="1" x14ac:dyDescent="0.2">
      <c r="D4052" s="58" t="str">
        <f>IFERROR(IF(F4052&lt;&gt;"pending","",IF(OR($B4052="",$B4052="(blank)"),"",VLOOKUP($B4052,'Email Marketing Raw Data'!$C:$O,10,0))),"")</f>
        <v/>
      </c>
      <c r="E4052" s="59" t="str">
        <f>IFERROR(IF(F4052&lt;&gt;"pending","",IF(OR($B4052="",$B4052="(blank)"),"",VLOOKUP($B4052,'Email Marketing Raw Data'!$C:$O,11,0))),"")</f>
        <v/>
      </c>
      <c r="F4052" s="54" t="str">
        <f>IFERROR(IF(OR($B4052="",$B4052="(blank)"),"",VLOOKUP($B4052,'Email Marketing Raw Data'!$C:$O,13,0)),"")</f>
        <v/>
      </c>
      <c r="G4052" s="55" t="str">
        <f>IFERROR(IF(OR($B4052="",$B4052="(blank)"),"",VLOOKUP($B4052,'Email Marketing Raw Data'!$C:$O,4,0)),"")</f>
        <v/>
      </c>
      <c r="H4052" s="55" t="str">
        <f>IFERROR(IF(OR($B4052="",$B4052="(blank)"),"",VLOOKUP($B4052,'Email Marketing Raw Data'!$C:$O,5,0)),"")</f>
        <v/>
      </c>
      <c r="I4052" s="55" t="str">
        <f>IFERROR(IF($G4052="","",VLOOKUP('Dashboard And Emails Automate'!$G4052,Database!$H:$N,3,0)),"")</f>
        <v/>
      </c>
      <c r="J4052" s="55" t="str">
        <f>IFERROR(IF($G4052="","",VLOOKUP('Dashboard And Emails Automate'!$G4052,Database!$H:$N,4,0)),"")</f>
        <v/>
      </c>
      <c r="K4052" s="55" t="str">
        <f>IFERROR(IF($G4052="","",VLOOKUP('Dashboard And Emails Automate'!$G4052,Database!$H:$N,5,0)),"")</f>
        <v/>
      </c>
      <c r="L4052" s="55" t="str">
        <f>IFERROR(IF($G4052="","",VLOOKUP('Dashboard And Emails Automate'!$G4052,Database!$H:$N,6,0)),"")</f>
        <v/>
      </c>
      <c r="M4052" s="55" t="str">
        <f>IFERROR(IF($G4052="","",VLOOKUP('Dashboard And Emails Automate'!$G4052,Database!$H:$N,7,0)),"")</f>
        <v/>
      </c>
      <c r="N4052" s="55" t="str">
        <f>IFERROR(IF(OR($B4052="",$B4052="(blank)"),"",VLOOKUP($B4052,'Email Marketing Raw Data'!$C:$O,6,0)),"")</f>
        <v/>
      </c>
      <c r="O4052" s="55" t="str">
        <f>IFERROR(IF(OR($B4052="",$B4052="(blank)"),"",VLOOKUP($B4052,'Email Marketing Raw Data'!$C:$O,7,0)),"")</f>
        <v/>
      </c>
      <c r="P4052" s="55" t="str">
        <f>IFERROR(IF(OR($B4052="",$B4052="(blank)"),"",VLOOKUP($B4052,'Email Marketing Raw Data'!$C:$O,8,0)),"")</f>
        <v/>
      </c>
      <c r="Q4052" s="62" t="str">
        <f>IFERROR(IF(OR($B4052="",$B4052="(blank)"),"",VLOOKUP($B4052,'Email Marketing Raw Data'!$C:$O,9,0)),"")</f>
        <v/>
      </c>
    </row>
    <row r="4053" spans="4:17" ht="12.75" customHeight="1" x14ac:dyDescent="0.2">
      <c r="D4053" s="58" t="str">
        <f>IFERROR(IF(F4053&lt;&gt;"pending","",IF(OR($B4053="",$B4053="(blank)"),"",VLOOKUP($B4053,'Email Marketing Raw Data'!$C:$O,10,0))),"")</f>
        <v/>
      </c>
      <c r="E4053" s="59" t="str">
        <f>IFERROR(IF(F4053&lt;&gt;"pending","",IF(OR($B4053="",$B4053="(blank)"),"",VLOOKUP($B4053,'Email Marketing Raw Data'!$C:$O,11,0))),"")</f>
        <v/>
      </c>
      <c r="F4053" s="54" t="str">
        <f>IFERROR(IF(OR($B4053="",$B4053="(blank)"),"",VLOOKUP($B4053,'Email Marketing Raw Data'!$C:$O,13,0)),"")</f>
        <v/>
      </c>
      <c r="G4053" s="55" t="str">
        <f>IFERROR(IF(OR($B4053="",$B4053="(blank)"),"",VLOOKUP($B4053,'Email Marketing Raw Data'!$C:$O,4,0)),"")</f>
        <v/>
      </c>
      <c r="H4053" s="55" t="str">
        <f>IFERROR(IF(OR($B4053="",$B4053="(blank)"),"",VLOOKUP($B4053,'Email Marketing Raw Data'!$C:$O,5,0)),"")</f>
        <v/>
      </c>
      <c r="I4053" s="55" t="str">
        <f>IFERROR(IF($G4053="","",VLOOKUP('Dashboard And Emails Automate'!$G4053,Database!$H:$N,3,0)),"")</f>
        <v/>
      </c>
      <c r="J4053" s="55" t="str">
        <f>IFERROR(IF($G4053="","",VLOOKUP('Dashboard And Emails Automate'!$G4053,Database!$H:$N,4,0)),"")</f>
        <v/>
      </c>
      <c r="K4053" s="55" t="str">
        <f>IFERROR(IF($G4053="","",VLOOKUP('Dashboard And Emails Automate'!$G4053,Database!$H:$N,5,0)),"")</f>
        <v/>
      </c>
      <c r="L4053" s="55" t="str">
        <f>IFERROR(IF($G4053="","",VLOOKUP('Dashboard And Emails Automate'!$G4053,Database!$H:$N,6,0)),"")</f>
        <v/>
      </c>
      <c r="M4053" s="55" t="str">
        <f>IFERROR(IF($G4053="","",VLOOKUP('Dashboard And Emails Automate'!$G4053,Database!$H:$N,7,0)),"")</f>
        <v/>
      </c>
      <c r="N4053" s="55" t="str">
        <f>IFERROR(IF(OR($B4053="",$B4053="(blank)"),"",VLOOKUP($B4053,'Email Marketing Raw Data'!$C:$O,6,0)),"")</f>
        <v/>
      </c>
      <c r="O4053" s="55" t="str">
        <f>IFERROR(IF(OR($B4053="",$B4053="(blank)"),"",VLOOKUP($B4053,'Email Marketing Raw Data'!$C:$O,7,0)),"")</f>
        <v/>
      </c>
      <c r="P4053" s="55" t="str">
        <f>IFERROR(IF(OR($B4053="",$B4053="(blank)"),"",VLOOKUP($B4053,'Email Marketing Raw Data'!$C:$O,8,0)),"")</f>
        <v/>
      </c>
      <c r="Q4053" s="62" t="str">
        <f>IFERROR(IF(OR($B4053="",$B4053="(blank)"),"",VLOOKUP($B4053,'Email Marketing Raw Data'!$C:$O,9,0)),"")</f>
        <v/>
      </c>
    </row>
    <row r="4054" spans="4:17" ht="12.75" customHeight="1" x14ac:dyDescent="0.2">
      <c r="D4054" s="58" t="str">
        <f>IFERROR(IF(F4054&lt;&gt;"pending","",IF(OR($B4054="",$B4054="(blank)"),"",VLOOKUP($B4054,'Email Marketing Raw Data'!$C:$O,10,0))),"")</f>
        <v/>
      </c>
      <c r="E4054" s="59" t="str">
        <f>IFERROR(IF(F4054&lt;&gt;"pending","",IF(OR($B4054="",$B4054="(blank)"),"",VLOOKUP($B4054,'Email Marketing Raw Data'!$C:$O,11,0))),"")</f>
        <v/>
      </c>
      <c r="F4054" s="54" t="str">
        <f>IFERROR(IF(OR($B4054="",$B4054="(blank)"),"",VLOOKUP($B4054,'Email Marketing Raw Data'!$C:$O,13,0)),"")</f>
        <v/>
      </c>
      <c r="G4054" s="55" t="str">
        <f>IFERROR(IF(OR($B4054="",$B4054="(blank)"),"",VLOOKUP($B4054,'Email Marketing Raw Data'!$C:$O,4,0)),"")</f>
        <v/>
      </c>
      <c r="H4054" s="55" t="str">
        <f>IFERROR(IF(OR($B4054="",$B4054="(blank)"),"",VLOOKUP($B4054,'Email Marketing Raw Data'!$C:$O,5,0)),"")</f>
        <v/>
      </c>
      <c r="I4054" s="55" t="str">
        <f>IFERROR(IF($G4054="","",VLOOKUP('Dashboard And Emails Automate'!$G4054,Database!$H:$N,3,0)),"")</f>
        <v/>
      </c>
      <c r="J4054" s="55" t="str">
        <f>IFERROR(IF($G4054="","",VLOOKUP('Dashboard And Emails Automate'!$G4054,Database!$H:$N,4,0)),"")</f>
        <v/>
      </c>
      <c r="K4054" s="55" t="str">
        <f>IFERROR(IF($G4054="","",VLOOKUP('Dashboard And Emails Automate'!$G4054,Database!$H:$N,5,0)),"")</f>
        <v/>
      </c>
      <c r="L4054" s="55" t="str">
        <f>IFERROR(IF($G4054="","",VLOOKUP('Dashboard And Emails Automate'!$G4054,Database!$H:$N,6,0)),"")</f>
        <v/>
      </c>
      <c r="M4054" s="55" t="str">
        <f>IFERROR(IF($G4054="","",VLOOKUP('Dashboard And Emails Automate'!$G4054,Database!$H:$N,7,0)),"")</f>
        <v/>
      </c>
      <c r="N4054" s="55" t="str">
        <f>IFERROR(IF(OR($B4054="",$B4054="(blank)"),"",VLOOKUP($B4054,'Email Marketing Raw Data'!$C:$O,6,0)),"")</f>
        <v/>
      </c>
      <c r="O4054" s="55" t="str">
        <f>IFERROR(IF(OR($B4054="",$B4054="(blank)"),"",VLOOKUP($B4054,'Email Marketing Raw Data'!$C:$O,7,0)),"")</f>
        <v/>
      </c>
      <c r="P4054" s="55" t="str">
        <f>IFERROR(IF(OR($B4054="",$B4054="(blank)"),"",VLOOKUP($B4054,'Email Marketing Raw Data'!$C:$O,8,0)),"")</f>
        <v/>
      </c>
      <c r="Q4054" s="62" t="str">
        <f>IFERROR(IF(OR($B4054="",$B4054="(blank)"),"",VLOOKUP($B4054,'Email Marketing Raw Data'!$C:$O,9,0)),"")</f>
        <v/>
      </c>
    </row>
    <row r="4055" spans="4:17" ht="12.75" customHeight="1" x14ac:dyDescent="0.2">
      <c r="D4055" s="58" t="str">
        <f>IFERROR(IF(F4055&lt;&gt;"pending","",IF(OR($B4055="",$B4055="(blank)"),"",VLOOKUP($B4055,'Email Marketing Raw Data'!$C:$O,10,0))),"")</f>
        <v/>
      </c>
      <c r="E4055" s="59" t="str">
        <f>IFERROR(IF(F4055&lt;&gt;"pending","",IF(OR($B4055="",$B4055="(blank)"),"",VLOOKUP($B4055,'Email Marketing Raw Data'!$C:$O,11,0))),"")</f>
        <v/>
      </c>
      <c r="F4055" s="54" t="str">
        <f>IFERROR(IF(OR($B4055="",$B4055="(blank)"),"",VLOOKUP($B4055,'Email Marketing Raw Data'!$C:$O,13,0)),"")</f>
        <v/>
      </c>
      <c r="G4055" s="55" t="str">
        <f>IFERROR(IF(OR($B4055="",$B4055="(blank)"),"",VLOOKUP($B4055,'Email Marketing Raw Data'!$C:$O,4,0)),"")</f>
        <v/>
      </c>
      <c r="H4055" s="55" t="str">
        <f>IFERROR(IF(OR($B4055="",$B4055="(blank)"),"",VLOOKUP($B4055,'Email Marketing Raw Data'!$C:$O,5,0)),"")</f>
        <v/>
      </c>
      <c r="I4055" s="55" t="str">
        <f>IFERROR(IF($G4055="","",VLOOKUP('Dashboard And Emails Automate'!$G4055,Database!$H:$N,3,0)),"")</f>
        <v/>
      </c>
      <c r="J4055" s="55" t="str">
        <f>IFERROR(IF($G4055="","",VLOOKUP('Dashboard And Emails Automate'!$G4055,Database!$H:$N,4,0)),"")</f>
        <v/>
      </c>
      <c r="K4055" s="55" t="str">
        <f>IFERROR(IF($G4055="","",VLOOKUP('Dashboard And Emails Automate'!$G4055,Database!$H:$N,5,0)),"")</f>
        <v/>
      </c>
      <c r="L4055" s="55" t="str">
        <f>IFERROR(IF($G4055="","",VLOOKUP('Dashboard And Emails Automate'!$G4055,Database!$H:$N,6,0)),"")</f>
        <v/>
      </c>
      <c r="M4055" s="55" t="str">
        <f>IFERROR(IF($G4055="","",VLOOKUP('Dashboard And Emails Automate'!$G4055,Database!$H:$N,7,0)),"")</f>
        <v/>
      </c>
      <c r="N4055" s="55" t="str">
        <f>IFERROR(IF(OR($B4055="",$B4055="(blank)"),"",VLOOKUP($B4055,'Email Marketing Raw Data'!$C:$O,6,0)),"")</f>
        <v/>
      </c>
      <c r="O4055" s="55" t="str">
        <f>IFERROR(IF(OR($B4055="",$B4055="(blank)"),"",VLOOKUP($B4055,'Email Marketing Raw Data'!$C:$O,7,0)),"")</f>
        <v/>
      </c>
      <c r="P4055" s="55" t="str">
        <f>IFERROR(IF(OR($B4055="",$B4055="(blank)"),"",VLOOKUP($B4055,'Email Marketing Raw Data'!$C:$O,8,0)),"")</f>
        <v/>
      </c>
      <c r="Q4055" s="62" t="str">
        <f>IFERROR(IF(OR($B4055="",$B4055="(blank)"),"",VLOOKUP($B4055,'Email Marketing Raw Data'!$C:$O,9,0)),"")</f>
        <v/>
      </c>
    </row>
    <row r="4056" spans="4:17" ht="12.75" customHeight="1" x14ac:dyDescent="0.2">
      <c r="D4056" s="58" t="str">
        <f>IFERROR(IF(F4056&lt;&gt;"pending","",IF(OR($B4056="",$B4056="(blank)"),"",VLOOKUP($B4056,'Email Marketing Raw Data'!$C:$O,10,0))),"")</f>
        <v/>
      </c>
      <c r="E4056" s="59" t="str">
        <f>IFERROR(IF(F4056&lt;&gt;"pending","",IF(OR($B4056="",$B4056="(blank)"),"",VLOOKUP($B4056,'Email Marketing Raw Data'!$C:$O,11,0))),"")</f>
        <v/>
      </c>
      <c r="F4056" s="54" t="str">
        <f>IFERROR(IF(OR($B4056="",$B4056="(blank)"),"",VLOOKUP($B4056,'Email Marketing Raw Data'!$C:$O,13,0)),"")</f>
        <v/>
      </c>
      <c r="G4056" s="55" t="str">
        <f>IFERROR(IF(OR($B4056="",$B4056="(blank)"),"",VLOOKUP($B4056,'Email Marketing Raw Data'!$C:$O,4,0)),"")</f>
        <v/>
      </c>
      <c r="H4056" s="55" t="str">
        <f>IFERROR(IF(OR($B4056="",$B4056="(blank)"),"",VLOOKUP($B4056,'Email Marketing Raw Data'!$C:$O,5,0)),"")</f>
        <v/>
      </c>
      <c r="I4056" s="55" t="str">
        <f>IFERROR(IF($G4056="","",VLOOKUP('Dashboard And Emails Automate'!$G4056,Database!$H:$N,3,0)),"")</f>
        <v/>
      </c>
      <c r="J4056" s="55" t="str">
        <f>IFERROR(IF($G4056="","",VLOOKUP('Dashboard And Emails Automate'!$G4056,Database!$H:$N,4,0)),"")</f>
        <v/>
      </c>
      <c r="K4056" s="55" t="str">
        <f>IFERROR(IF($G4056="","",VLOOKUP('Dashboard And Emails Automate'!$G4056,Database!$H:$N,5,0)),"")</f>
        <v/>
      </c>
      <c r="L4056" s="55" t="str">
        <f>IFERROR(IF($G4056="","",VLOOKUP('Dashboard And Emails Automate'!$G4056,Database!$H:$N,6,0)),"")</f>
        <v/>
      </c>
      <c r="M4056" s="55" t="str">
        <f>IFERROR(IF($G4056="","",VLOOKUP('Dashboard And Emails Automate'!$G4056,Database!$H:$N,7,0)),"")</f>
        <v/>
      </c>
      <c r="N4056" s="55" t="str">
        <f>IFERROR(IF(OR($B4056="",$B4056="(blank)"),"",VLOOKUP($B4056,'Email Marketing Raw Data'!$C:$O,6,0)),"")</f>
        <v/>
      </c>
      <c r="O4056" s="55" t="str">
        <f>IFERROR(IF(OR($B4056="",$B4056="(blank)"),"",VLOOKUP($B4056,'Email Marketing Raw Data'!$C:$O,7,0)),"")</f>
        <v/>
      </c>
      <c r="P4056" s="55" t="str">
        <f>IFERROR(IF(OR($B4056="",$B4056="(blank)"),"",VLOOKUP($B4056,'Email Marketing Raw Data'!$C:$O,8,0)),"")</f>
        <v/>
      </c>
      <c r="Q4056" s="62" t="str">
        <f>IFERROR(IF(OR($B4056="",$B4056="(blank)"),"",VLOOKUP($B4056,'Email Marketing Raw Data'!$C:$O,9,0)),"")</f>
        <v/>
      </c>
    </row>
    <row r="4057" spans="4:17" ht="12.75" customHeight="1" x14ac:dyDescent="0.2">
      <c r="D4057" s="58" t="str">
        <f>IFERROR(IF(F4057&lt;&gt;"pending","",IF(OR($B4057="",$B4057="(blank)"),"",VLOOKUP($B4057,'Email Marketing Raw Data'!$C:$O,10,0))),"")</f>
        <v/>
      </c>
      <c r="E4057" s="59" t="str">
        <f>IFERROR(IF(F4057&lt;&gt;"pending","",IF(OR($B4057="",$B4057="(blank)"),"",VLOOKUP($B4057,'Email Marketing Raw Data'!$C:$O,11,0))),"")</f>
        <v/>
      </c>
      <c r="F4057" s="54" t="str">
        <f>IFERROR(IF(OR($B4057="",$B4057="(blank)"),"",VLOOKUP($B4057,'Email Marketing Raw Data'!$C:$O,13,0)),"")</f>
        <v/>
      </c>
      <c r="G4057" s="55" t="str">
        <f>IFERROR(IF(OR($B4057="",$B4057="(blank)"),"",VLOOKUP($B4057,'Email Marketing Raw Data'!$C:$O,4,0)),"")</f>
        <v/>
      </c>
      <c r="H4057" s="55" t="str">
        <f>IFERROR(IF(OR($B4057="",$B4057="(blank)"),"",VLOOKUP($B4057,'Email Marketing Raw Data'!$C:$O,5,0)),"")</f>
        <v/>
      </c>
      <c r="I4057" s="55" t="str">
        <f>IFERROR(IF($G4057="","",VLOOKUP('Dashboard And Emails Automate'!$G4057,Database!$H:$N,3,0)),"")</f>
        <v/>
      </c>
      <c r="J4057" s="55" t="str">
        <f>IFERROR(IF($G4057="","",VLOOKUP('Dashboard And Emails Automate'!$G4057,Database!$H:$N,4,0)),"")</f>
        <v/>
      </c>
      <c r="K4057" s="55" t="str">
        <f>IFERROR(IF($G4057="","",VLOOKUP('Dashboard And Emails Automate'!$G4057,Database!$H:$N,5,0)),"")</f>
        <v/>
      </c>
      <c r="L4057" s="55" t="str">
        <f>IFERROR(IF($G4057="","",VLOOKUP('Dashboard And Emails Automate'!$G4057,Database!$H:$N,6,0)),"")</f>
        <v/>
      </c>
      <c r="M4057" s="55" t="str">
        <f>IFERROR(IF($G4057="","",VLOOKUP('Dashboard And Emails Automate'!$G4057,Database!$H:$N,7,0)),"")</f>
        <v/>
      </c>
      <c r="N4057" s="55" t="str">
        <f>IFERROR(IF(OR($B4057="",$B4057="(blank)"),"",VLOOKUP($B4057,'Email Marketing Raw Data'!$C:$O,6,0)),"")</f>
        <v/>
      </c>
      <c r="O4057" s="55" t="str">
        <f>IFERROR(IF(OR($B4057="",$B4057="(blank)"),"",VLOOKUP($B4057,'Email Marketing Raw Data'!$C:$O,7,0)),"")</f>
        <v/>
      </c>
      <c r="P4057" s="55" t="str">
        <f>IFERROR(IF(OR($B4057="",$B4057="(blank)"),"",VLOOKUP($B4057,'Email Marketing Raw Data'!$C:$O,8,0)),"")</f>
        <v/>
      </c>
      <c r="Q4057" s="62" t="str">
        <f>IFERROR(IF(OR($B4057="",$B4057="(blank)"),"",VLOOKUP($B4057,'Email Marketing Raw Data'!$C:$O,9,0)),"")</f>
        <v/>
      </c>
    </row>
    <row r="4058" spans="4:17" ht="12.75" customHeight="1" x14ac:dyDescent="0.2">
      <c r="D4058" s="58" t="str">
        <f>IFERROR(IF(F4058&lt;&gt;"pending","",IF(OR($B4058="",$B4058="(blank)"),"",VLOOKUP($B4058,'Email Marketing Raw Data'!$C:$O,10,0))),"")</f>
        <v/>
      </c>
      <c r="E4058" s="59" t="str">
        <f>IFERROR(IF(F4058&lt;&gt;"pending","",IF(OR($B4058="",$B4058="(blank)"),"",VLOOKUP($B4058,'Email Marketing Raw Data'!$C:$O,11,0))),"")</f>
        <v/>
      </c>
      <c r="F4058" s="54" t="str">
        <f>IFERROR(IF(OR($B4058="",$B4058="(blank)"),"",VLOOKUP($B4058,'Email Marketing Raw Data'!$C:$O,13,0)),"")</f>
        <v/>
      </c>
      <c r="G4058" s="55" t="str">
        <f>IFERROR(IF(OR($B4058="",$B4058="(blank)"),"",VLOOKUP($B4058,'Email Marketing Raw Data'!$C:$O,4,0)),"")</f>
        <v/>
      </c>
      <c r="H4058" s="55" t="str">
        <f>IFERROR(IF(OR($B4058="",$B4058="(blank)"),"",VLOOKUP($B4058,'Email Marketing Raw Data'!$C:$O,5,0)),"")</f>
        <v/>
      </c>
      <c r="I4058" s="55" t="str">
        <f>IFERROR(IF($G4058="","",VLOOKUP('Dashboard And Emails Automate'!$G4058,Database!$H:$N,3,0)),"")</f>
        <v/>
      </c>
      <c r="J4058" s="55" t="str">
        <f>IFERROR(IF($G4058="","",VLOOKUP('Dashboard And Emails Automate'!$G4058,Database!$H:$N,4,0)),"")</f>
        <v/>
      </c>
      <c r="K4058" s="55" t="str">
        <f>IFERROR(IF($G4058="","",VLOOKUP('Dashboard And Emails Automate'!$G4058,Database!$H:$N,5,0)),"")</f>
        <v/>
      </c>
      <c r="L4058" s="55" t="str">
        <f>IFERROR(IF($G4058="","",VLOOKUP('Dashboard And Emails Automate'!$G4058,Database!$H:$N,6,0)),"")</f>
        <v/>
      </c>
      <c r="M4058" s="55" t="str">
        <f>IFERROR(IF($G4058="","",VLOOKUP('Dashboard And Emails Automate'!$G4058,Database!$H:$N,7,0)),"")</f>
        <v/>
      </c>
      <c r="N4058" s="55" t="str">
        <f>IFERROR(IF(OR($B4058="",$B4058="(blank)"),"",VLOOKUP($B4058,'Email Marketing Raw Data'!$C:$O,6,0)),"")</f>
        <v/>
      </c>
      <c r="O4058" s="55" t="str">
        <f>IFERROR(IF(OR($B4058="",$B4058="(blank)"),"",VLOOKUP($B4058,'Email Marketing Raw Data'!$C:$O,7,0)),"")</f>
        <v/>
      </c>
      <c r="P4058" s="55" t="str">
        <f>IFERROR(IF(OR($B4058="",$B4058="(blank)"),"",VLOOKUP($B4058,'Email Marketing Raw Data'!$C:$O,8,0)),"")</f>
        <v/>
      </c>
      <c r="Q4058" s="62" t="str">
        <f>IFERROR(IF(OR($B4058="",$B4058="(blank)"),"",VLOOKUP($B4058,'Email Marketing Raw Data'!$C:$O,9,0)),"")</f>
        <v/>
      </c>
    </row>
    <row r="4059" spans="4:17" ht="12.75" customHeight="1" x14ac:dyDescent="0.2">
      <c r="D4059" s="58" t="str">
        <f>IFERROR(IF(F4059&lt;&gt;"pending","",IF(OR($B4059="",$B4059="(blank)"),"",VLOOKUP($B4059,'Email Marketing Raw Data'!$C:$O,10,0))),"")</f>
        <v/>
      </c>
      <c r="E4059" s="59" t="str">
        <f>IFERROR(IF(F4059&lt;&gt;"pending","",IF(OR($B4059="",$B4059="(blank)"),"",VLOOKUP($B4059,'Email Marketing Raw Data'!$C:$O,11,0))),"")</f>
        <v/>
      </c>
      <c r="F4059" s="54" t="str">
        <f>IFERROR(IF(OR($B4059="",$B4059="(blank)"),"",VLOOKUP($B4059,'Email Marketing Raw Data'!$C:$O,13,0)),"")</f>
        <v/>
      </c>
      <c r="G4059" s="55" t="str">
        <f>IFERROR(IF(OR($B4059="",$B4059="(blank)"),"",VLOOKUP($B4059,'Email Marketing Raw Data'!$C:$O,4,0)),"")</f>
        <v/>
      </c>
      <c r="H4059" s="55" t="str">
        <f>IFERROR(IF(OR($B4059="",$B4059="(blank)"),"",VLOOKUP($B4059,'Email Marketing Raw Data'!$C:$O,5,0)),"")</f>
        <v/>
      </c>
      <c r="I4059" s="55" t="str">
        <f>IFERROR(IF($G4059="","",VLOOKUP('Dashboard And Emails Automate'!$G4059,Database!$H:$N,3,0)),"")</f>
        <v/>
      </c>
      <c r="J4059" s="55" t="str">
        <f>IFERROR(IF($G4059="","",VLOOKUP('Dashboard And Emails Automate'!$G4059,Database!$H:$N,4,0)),"")</f>
        <v/>
      </c>
      <c r="K4059" s="55" t="str">
        <f>IFERROR(IF($G4059="","",VLOOKUP('Dashboard And Emails Automate'!$G4059,Database!$H:$N,5,0)),"")</f>
        <v/>
      </c>
      <c r="L4059" s="55" t="str">
        <f>IFERROR(IF($G4059="","",VLOOKUP('Dashboard And Emails Automate'!$G4059,Database!$H:$N,6,0)),"")</f>
        <v/>
      </c>
      <c r="M4059" s="55" t="str">
        <f>IFERROR(IF($G4059="","",VLOOKUP('Dashboard And Emails Automate'!$G4059,Database!$H:$N,7,0)),"")</f>
        <v/>
      </c>
      <c r="N4059" s="55" t="str">
        <f>IFERROR(IF(OR($B4059="",$B4059="(blank)"),"",VLOOKUP($B4059,'Email Marketing Raw Data'!$C:$O,6,0)),"")</f>
        <v/>
      </c>
      <c r="O4059" s="55" t="str">
        <f>IFERROR(IF(OR($B4059="",$B4059="(blank)"),"",VLOOKUP($B4059,'Email Marketing Raw Data'!$C:$O,7,0)),"")</f>
        <v/>
      </c>
      <c r="P4059" s="55" t="str">
        <f>IFERROR(IF(OR($B4059="",$B4059="(blank)"),"",VLOOKUP($B4059,'Email Marketing Raw Data'!$C:$O,8,0)),"")</f>
        <v/>
      </c>
      <c r="Q4059" s="62" t="str">
        <f>IFERROR(IF(OR($B4059="",$B4059="(blank)"),"",VLOOKUP($B4059,'Email Marketing Raw Data'!$C:$O,9,0)),"")</f>
        <v/>
      </c>
    </row>
    <row r="4060" spans="4:17" ht="12.75" customHeight="1" x14ac:dyDescent="0.2">
      <c r="D4060" s="58" t="str">
        <f>IFERROR(IF(F4060&lt;&gt;"pending","",IF(OR($B4060="",$B4060="(blank)"),"",VLOOKUP($B4060,'Email Marketing Raw Data'!$C:$O,10,0))),"")</f>
        <v/>
      </c>
      <c r="E4060" s="59" t="str">
        <f>IFERROR(IF(F4060&lt;&gt;"pending","",IF(OR($B4060="",$B4060="(blank)"),"",VLOOKUP($B4060,'Email Marketing Raw Data'!$C:$O,11,0))),"")</f>
        <v/>
      </c>
      <c r="F4060" s="54" t="str">
        <f>IFERROR(IF(OR($B4060="",$B4060="(blank)"),"",VLOOKUP($B4060,'Email Marketing Raw Data'!$C:$O,13,0)),"")</f>
        <v/>
      </c>
      <c r="G4060" s="55" t="str">
        <f>IFERROR(IF(OR($B4060="",$B4060="(blank)"),"",VLOOKUP($B4060,'Email Marketing Raw Data'!$C:$O,4,0)),"")</f>
        <v/>
      </c>
      <c r="H4060" s="55" t="str">
        <f>IFERROR(IF(OR($B4060="",$B4060="(blank)"),"",VLOOKUP($B4060,'Email Marketing Raw Data'!$C:$O,5,0)),"")</f>
        <v/>
      </c>
      <c r="I4060" s="55" t="str">
        <f>IFERROR(IF($G4060="","",VLOOKUP('Dashboard And Emails Automate'!$G4060,Database!$H:$N,3,0)),"")</f>
        <v/>
      </c>
      <c r="J4060" s="55" t="str">
        <f>IFERROR(IF($G4060="","",VLOOKUP('Dashboard And Emails Automate'!$G4060,Database!$H:$N,4,0)),"")</f>
        <v/>
      </c>
      <c r="K4060" s="55" t="str">
        <f>IFERROR(IF($G4060="","",VLOOKUP('Dashboard And Emails Automate'!$G4060,Database!$H:$N,5,0)),"")</f>
        <v/>
      </c>
      <c r="L4060" s="55" t="str">
        <f>IFERROR(IF($G4060="","",VLOOKUP('Dashboard And Emails Automate'!$G4060,Database!$H:$N,6,0)),"")</f>
        <v/>
      </c>
      <c r="M4060" s="55" t="str">
        <f>IFERROR(IF($G4060="","",VLOOKUP('Dashboard And Emails Automate'!$G4060,Database!$H:$N,7,0)),"")</f>
        <v/>
      </c>
      <c r="N4060" s="55" t="str">
        <f>IFERROR(IF(OR($B4060="",$B4060="(blank)"),"",VLOOKUP($B4060,'Email Marketing Raw Data'!$C:$O,6,0)),"")</f>
        <v/>
      </c>
      <c r="O4060" s="55" t="str">
        <f>IFERROR(IF(OR($B4060="",$B4060="(blank)"),"",VLOOKUP($B4060,'Email Marketing Raw Data'!$C:$O,7,0)),"")</f>
        <v/>
      </c>
      <c r="P4060" s="55" t="str">
        <f>IFERROR(IF(OR($B4060="",$B4060="(blank)"),"",VLOOKUP($B4060,'Email Marketing Raw Data'!$C:$O,8,0)),"")</f>
        <v/>
      </c>
      <c r="Q4060" s="62" t="str">
        <f>IFERROR(IF(OR($B4060="",$B4060="(blank)"),"",VLOOKUP($B4060,'Email Marketing Raw Data'!$C:$O,9,0)),"")</f>
        <v/>
      </c>
    </row>
    <row r="4061" spans="4:17" ht="12.75" customHeight="1" x14ac:dyDescent="0.2">
      <c r="D4061" s="58" t="str">
        <f>IFERROR(IF(F4061&lt;&gt;"pending","",IF(OR($B4061="",$B4061="(blank)"),"",VLOOKUP($B4061,'Email Marketing Raw Data'!$C:$O,10,0))),"")</f>
        <v/>
      </c>
      <c r="E4061" s="59" t="str">
        <f>IFERROR(IF(F4061&lt;&gt;"pending","",IF(OR($B4061="",$B4061="(blank)"),"",VLOOKUP($B4061,'Email Marketing Raw Data'!$C:$O,11,0))),"")</f>
        <v/>
      </c>
      <c r="F4061" s="54" t="str">
        <f>IFERROR(IF(OR($B4061="",$B4061="(blank)"),"",VLOOKUP($B4061,'Email Marketing Raw Data'!$C:$O,13,0)),"")</f>
        <v/>
      </c>
      <c r="G4061" s="55" t="str">
        <f>IFERROR(IF(OR($B4061="",$B4061="(blank)"),"",VLOOKUP($B4061,'Email Marketing Raw Data'!$C:$O,4,0)),"")</f>
        <v/>
      </c>
      <c r="H4061" s="55" t="str">
        <f>IFERROR(IF(OR($B4061="",$B4061="(blank)"),"",VLOOKUP($B4061,'Email Marketing Raw Data'!$C:$O,5,0)),"")</f>
        <v/>
      </c>
      <c r="I4061" s="55" t="str">
        <f>IFERROR(IF($G4061="","",VLOOKUP('Dashboard And Emails Automate'!$G4061,Database!$H:$N,3,0)),"")</f>
        <v/>
      </c>
      <c r="J4061" s="55" t="str">
        <f>IFERROR(IF($G4061="","",VLOOKUP('Dashboard And Emails Automate'!$G4061,Database!$H:$N,4,0)),"")</f>
        <v/>
      </c>
      <c r="K4061" s="55" t="str">
        <f>IFERROR(IF($G4061="","",VLOOKUP('Dashboard And Emails Automate'!$G4061,Database!$H:$N,5,0)),"")</f>
        <v/>
      </c>
      <c r="L4061" s="55" t="str">
        <f>IFERROR(IF($G4061="","",VLOOKUP('Dashboard And Emails Automate'!$G4061,Database!$H:$N,6,0)),"")</f>
        <v/>
      </c>
      <c r="M4061" s="55" t="str">
        <f>IFERROR(IF($G4061="","",VLOOKUP('Dashboard And Emails Automate'!$G4061,Database!$H:$N,7,0)),"")</f>
        <v/>
      </c>
      <c r="N4061" s="55" t="str">
        <f>IFERROR(IF(OR($B4061="",$B4061="(blank)"),"",VLOOKUP($B4061,'Email Marketing Raw Data'!$C:$O,6,0)),"")</f>
        <v/>
      </c>
      <c r="O4061" s="55" t="str">
        <f>IFERROR(IF(OR($B4061="",$B4061="(blank)"),"",VLOOKUP($B4061,'Email Marketing Raw Data'!$C:$O,7,0)),"")</f>
        <v/>
      </c>
      <c r="P4061" s="55" t="str">
        <f>IFERROR(IF(OR($B4061="",$B4061="(blank)"),"",VLOOKUP($B4061,'Email Marketing Raw Data'!$C:$O,8,0)),"")</f>
        <v/>
      </c>
      <c r="Q4061" s="62" t="str">
        <f>IFERROR(IF(OR($B4061="",$B4061="(blank)"),"",VLOOKUP($B4061,'Email Marketing Raw Data'!$C:$O,9,0)),"")</f>
        <v/>
      </c>
    </row>
    <row r="4062" spans="4:17" ht="12.75" customHeight="1" x14ac:dyDescent="0.2">
      <c r="D4062" s="58" t="str">
        <f>IFERROR(IF(F4062&lt;&gt;"pending","",IF(OR($B4062="",$B4062="(blank)"),"",VLOOKUP($B4062,'Email Marketing Raw Data'!$C:$O,10,0))),"")</f>
        <v/>
      </c>
      <c r="E4062" s="59" t="str">
        <f>IFERROR(IF(F4062&lt;&gt;"pending","",IF(OR($B4062="",$B4062="(blank)"),"",VLOOKUP($B4062,'Email Marketing Raw Data'!$C:$O,11,0))),"")</f>
        <v/>
      </c>
      <c r="F4062" s="54" t="str">
        <f>IFERROR(IF(OR($B4062="",$B4062="(blank)"),"",VLOOKUP($B4062,'Email Marketing Raw Data'!$C:$O,13,0)),"")</f>
        <v/>
      </c>
      <c r="G4062" s="55" t="str">
        <f>IFERROR(IF(OR($B4062="",$B4062="(blank)"),"",VLOOKUP($B4062,'Email Marketing Raw Data'!$C:$O,4,0)),"")</f>
        <v/>
      </c>
      <c r="H4062" s="55" t="str">
        <f>IFERROR(IF(OR($B4062="",$B4062="(blank)"),"",VLOOKUP($B4062,'Email Marketing Raw Data'!$C:$O,5,0)),"")</f>
        <v/>
      </c>
      <c r="I4062" s="55" t="str">
        <f>IFERROR(IF($G4062="","",VLOOKUP('Dashboard And Emails Automate'!$G4062,Database!$H:$N,3,0)),"")</f>
        <v/>
      </c>
      <c r="J4062" s="55" t="str">
        <f>IFERROR(IF($G4062="","",VLOOKUP('Dashboard And Emails Automate'!$G4062,Database!$H:$N,4,0)),"")</f>
        <v/>
      </c>
      <c r="K4062" s="55" t="str">
        <f>IFERROR(IF($G4062="","",VLOOKUP('Dashboard And Emails Automate'!$G4062,Database!$H:$N,5,0)),"")</f>
        <v/>
      </c>
      <c r="L4062" s="55" t="str">
        <f>IFERROR(IF($G4062="","",VLOOKUP('Dashboard And Emails Automate'!$G4062,Database!$H:$N,6,0)),"")</f>
        <v/>
      </c>
      <c r="M4062" s="55" t="str">
        <f>IFERROR(IF($G4062="","",VLOOKUP('Dashboard And Emails Automate'!$G4062,Database!$H:$N,7,0)),"")</f>
        <v/>
      </c>
      <c r="N4062" s="55" t="str">
        <f>IFERROR(IF(OR($B4062="",$B4062="(blank)"),"",VLOOKUP($B4062,'Email Marketing Raw Data'!$C:$O,6,0)),"")</f>
        <v/>
      </c>
      <c r="O4062" s="55" t="str">
        <f>IFERROR(IF(OR($B4062="",$B4062="(blank)"),"",VLOOKUP($B4062,'Email Marketing Raw Data'!$C:$O,7,0)),"")</f>
        <v/>
      </c>
      <c r="P4062" s="55" t="str">
        <f>IFERROR(IF(OR($B4062="",$B4062="(blank)"),"",VLOOKUP($B4062,'Email Marketing Raw Data'!$C:$O,8,0)),"")</f>
        <v/>
      </c>
      <c r="Q4062" s="62" t="str">
        <f>IFERROR(IF(OR($B4062="",$B4062="(blank)"),"",VLOOKUP($B4062,'Email Marketing Raw Data'!$C:$O,9,0)),"")</f>
        <v/>
      </c>
    </row>
    <row r="4063" spans="4:17" ht="12.75" customHeight="1" x14ac:dyDescent="0.2">
      <c r="D4063" s="58" t="str">
        <f>IFERROR(IF(F4063&lt;&gt;"pending","",IF(OR($B4063="",$B4063="(blank)"),"",VLOOKUP($B4063,'Email Marketing Raw Data'!$C:$O,10,0))),"")</f>
        <v/>
      </c>
      <c r="E4063" s="59" t="str">
        <f>IFERROR(IF(F4063&lt;&gt;"pending","",IF(OR($B4063="",$B4063="(blank)"),"",VLOOKUP($B4063,'Email Marketing Raw Data'!$C:$O,11,0))),"")</f>
        <v/>
      </c>
      <c r="F4063" s="54" t="str">
        <f>IFERROR(IF(OR($B4063="",$B4063="(blank)"),"",VLOOKUP($B4063,'Email Marketing Raw Data'!$C:$O,13,0)),"")</f>
        <v/>
      </c>
      <c r="G4063" s="55" t="str">
        <f>IFERROR(IF(OR($B4063="",$B4063="(blank)"),"",VLOOKUP($B4063,'Email Marketing Raw Data'!$C:$O,4,0)),"")</f>
        <v/>
      </c>
      <c r="H4063" s="55" t="str">
        <f>IFERROR(IF(OR($B4063="",$B4063="(blank)"),"",VLOOKUP($B4063,'Email Marketing Raw Data'!$C:$O,5,0)),"")</f>
        <v/>
      </c>
      <c r="I4063" s="55" t="str">
        <f>IFERROR(IF($G4063="","",VLOOKUP('Dashboard And Emails Automate'!$G4063,Database!$H:$N,3,0)),"")</f>
        <v/>
      </c>
      <c r="J4063" s="55" t="str">
        <f>IFERROR(IF($G4063="","",VLOOKUP('Dashboard And Emails Automate'!$G4063,Database!$H:$N,4,0)),"")</f>
        <v/>
      </c>
      <c r="K4063" s="55" t="str">
        <f>IFERROR(IF($G4063="","",VLOOKUP('Dashboard And Emails Automate'!$G4063,Database!$H:$N,5,0)),"")</f>
        <v/>
      </c>
      <c r="L4063" s="55" t="str">
        <f>IFERROR(IF($G4063="","",VLOOKUP('Dashboard And Emails Automate'!$G4063,Database!$H:$N,6,0)),"")</f>
        <v/>
      </c>
      <c r="M4063" s="55" t="str">
        <f>IFERROR(IF($G4063="","",VLOOKUP('Dashboard And Emails Automate'!$G4063,Database!$H:$N,7,0)),"")</f>
        <v/>
      </c>
      <c r="N4063" s="55" t="str">
        <f>IFERROR(IF(OR($B4063="",$B4063="(blank)"),"",VLOOKUP($B4063,'Email Marketing Raw Data'!$C:$O,6,0)),"")</f>
        <v/>
      </c>
      <c r="O4063" s="55" t="str">
        <f>IFERROR(IF(OR($B4063="",$B4063="(blank)"),"",VLOOKUP($B4063,'Email Marketing Raw Data'!$C:$O,7,0)),"")</f>
        <v/>
      </c>
      <c r="P4063" s="55" t="str">
        <f>IFERROR(IF(OR($B4063="",$B4063="(blank)"),"",VLOOKUP($B4063,'Email Marketing Raw Data'!$C:$O,8,0)),"")</f>
        <v/>
      </c>
      <c r="Q4063" s="62" t="str">
        <f>IFERROR(IF(OR($B4063="",$B4063="(blank)"),"",VLOOKUP($B4063,'Email Marketing Raw Data'!$C:$O,9,0)),"")</f>
        <v/>
      </c>
    </row>
    <row r="4064" spans="4:17" ht="12.75" customHeight="1" x14ac:dyDescent="0.2">
      <c r="D4064" s="58" t="str">
        <f>IFERROR(IF(F4064&lt;&gt;"pending","",IF(OR($B4064="",$B4064="(blank)"),"",VLOOKUP($B4064,'Email Marketing Raw Data'!$C:$O,10,0))),"")</f>
        <v/>
      </c>
      <c r="E4064" s="59" t="str">
        <f>IFERROR(IF(F4064&lt;&gt;"pending","",IF(OR($B4064="",$B4064="(blank)"),"",VLOOKUP($B4064,'Email Marketing Raw Data'!$C:$O,11,0))),"")</f>
        <v/>
      </c>
      <c r="F4064" s="54" t="str">
        <f>IFERROR(IF(OR($B4064="",$B4064="(blank)"),"",VLOOKUP($B4064,'Email Marketing Raw Data'!$C:$O,13,0)),"")</f>
        <v/>
      </c>
      <c r="G4064" s="55" t="str">
        <f>IFERROR(IF(OR($B4064="",$B4064="(blank)"),"",VLOOKUP($B4064,'Email Marketing Raw Data'!$C:$O,4,0)),"")</f>
        <v/>
      </c>
      <c r="H4064" s="55" t="str">
        <f>IFERROR(IF(OR($B4064="",$B4064="(blank)"),"",VLOOKUP($B4064,'Email Marketing Raw Data'!$C:$O,5,0)),"")</f>
        <v/>
      </c>
      <c r="I4064" s="55" t="str">
        <f>IFERROR(IF($G4064="","",VLOOKUP('Dashboard And Emails Automate'!$G4064,Database!$H:$N,3,0)),"")</f>
        <v/>
      </c>
      <c r="J4064" s="55" t="str">
        <f>IFERROR(IF($G4064="","",VLOOKUP('Dashboard And Emails Automate'!$G4064,Database!$H:$N,4,0)),"")</f>
        <v/>
      </c>
      <c r="K4064" s="55" t="str">
        <f>IFERROR(IF($G4064="","",VLOOKUP('Dashboard And Emails Automate'!$G4064,Database!$H:$N,5,0)),"")</f>
        <v/>
      </c>
      <c r="L4064" s="55" t="str">
        <f>IFERROR(IF($G4064="","",VLOOKUP('Dashboard And Emails Automate'!$G4064,Database!$H:$N,6,0)),"")</f>
        <v/>
      </c>
      <c r="M4064" s="55" t="str">
        <f>IFERROR(IF($G4064="","",VLOOKUP('Dashboard And Emails Automate'!$G4064,Database!$H:$N,7,0)),"")</f>
        <v/>
      </c>
      <c r="N4064" s="55" t="str">
        <f>IFERROR(IF(OR($B4064="",$B4064="(blank)"),"",VLOOKUP($B4064,'Email Marketing Raw Data'!$C:$O,6,0)),"")</f>
        <v/>
      </c>
      <c r="O4064" s="55" t="str">
        <f>IFERROR(IF(OR($B4064="",$B4064="(blank)"),"",VLOOKUP($B4064,'Email Marketing Raw Data'!$C:$O,7,0)),"")</f>
        <v/>
      </c>
      <c r="P4064" s="55" t="str">
        <f>IFERROR(IF(OR($B4064="",$B4064="(blank)"),"",VLOOKUP($B4064,'Email Marketing Raw Data'!$C:$O,8,0)),"")</f>
        <v/>
      </c>
      <c r="Q4064" s="62" t="str">
        <f>IFERROR(IF(OR($B4064="",$B4064="(blank)"),"",VLOOKUP($B4064,'Email Marketing Raw Data'!$C:$O,9,0)),"")</f>
        <v/>
      </c>
    </row>
    <row r="4065" spans="4:17" ht="12.75" customHeight="1" x14ac:dyDescent="0.2">
      <c r="D4065" s="58" t="str">
        <f>IFERROR(IF(F4065&lt;&gt;"pending","",IF(OR($B4065="",$B4065="(blank)"),"",VLOOKUP($B4065,'Email Marketing Raw Data'!$C:$O,10,0))),"")</f>
        <v/>
      </c>
      <c r="E4065" s="59" t="str">
        <f>IFERROR(IF(F4065&lt;&gt;"pending","",IF(OR($B4065="",$B4065="(blank)"),"",VLOOKUP($B4065,'Email Marketing Raw Data'!$C:$O,11,0))),"")</f>
        <v/>
      </c>
      <c r="F4065" s="54" t="str">
        <f>IFERROR(IF(OR($B4065="",$B4065="(blank)"),"",VLOOKUP($B4065,'Email Marketing Raw Data'!$C:$O,13,0)),"")</f>
        <v/>
      </c>
      <c r="G4065" s="55" t="str">
        <f>IFERROR(IF(OR($B4065="",$B4065="(blank)"),"",VLOOKUP($B4065,'Email Marketing Raw Data'!$C:$O,4,0)),"")</f>
        <v/>
      </c>
      <c r="H4065" s="55" t="str">
        <f>IFERROR(IF(OR($B4065="",$B4065="(blank)"),"",VLOOKUP($B4065,'Email Marketing Raw Data'!$C:$O,5,0)),"")</f>
        <v/>
      </c>
      <c r="I4065" s="55" t="str">
        <f>IFERROR(IF($G4065="","",VLOOKUP('Dashboard And Emails Automate'!$G4065,Database!$H:$N,3,0)),"")</f>
        <v/>
      </c>
      <c r="J4065" s="55" t="str">
        <f>IFERROR(IF($G4065="","",VLOOKUP('Dashboard And Emails Automate'!$G4065,Database!$H:$N,4,0)),"")</f>
        <v/>
      </c>
      <c r="K4065" s="55" t="str">
        <f>IFERROR(IF($G4065="","",VLOOKUP('Dashboard And Emails Automate'!$G4065,Database!$H:$N,5,0)),"")</f>
        <v/>
      </c>
      <c r="L4065" s="55" t="str">
        <f>IFERROR(IF($G4065="","",VLOOKUP('Dashboard And Emails Automate'!$G4065,Database!$H:$N,6,0)),"")</f>
        <v/>
      </c>
      <c r="M4065" s="55" t="str">
        <f>IFERROR(IF($G4065="","",VLOOKUP('Dashboard And Emails Automate'!$G4065,Database!$H:$N,7,0)),"")</f>
        <v/>
      </c>
      <c r="N4065" s="55" t="str">
        <f>IFERROR(IF(OR($B4065="",$B4065="(blank)"),"",VLOOKUP($B4065,'Email Marketing Raw Data'!$C:$O,6,0)),"")</f>
        <v/>
      </c>
      <c r="O4065" s="55" t="str">
        <f>IFERROR(IF(OR($B4065="",$B4065="(blank)"),"",VLOOKUP($B4065,'Email Marketing Raw Data'!$C:$O,7,0)),"")</f>
        <v/>
      </c>
      <c r="P4065" s="55" t="str">
        <f>IFERROR(IF(OR($B4065="",$B4065="(blank)"),"",VLOOKUP($B4065,'Email Marketing Raw Data'!$C:$O,8,0)),"")</f>
        <v/>
      </c>
      <c r="Q4065" s="62" t="str">
        <f>IFERROR(IF(OR($B4065="",$B4065="(blank)"),"",VLOOKUP($B4065,'Email Marketing Raw Data'!$C:$O,9,0)),"")</f>
        <v/>
      </c>
    </row>
    <row r="4066" spans="4:17" ht="12.75" customHeight="1" x14ac:dyDescent="0.2">
      <c r="D4066" s="58" t="str">
        <f>IFERROR(IF(F4066&lt;&gt;"pending","",IF(OR($B4066="",$B4066="(blank)"),"",VLOOKUP($B4066,'Email Marketing Raw Data'!$C:$O,10,0))),"")</f>
        <v/>
      </c>
      <c r="E4066" s="59" t="str">
        <f>IFERROR(IF(F4066&lt;&gt;"pending","",IF(OR($B4066="",$B4066="(blank)"),"",VLOOKUP($B4066,'Email Marketing Raw Data'!$C:$O,11,0))),"")</f>
        <v/>
      </c>
      <c r="F4066" s="54" t="str">
        <f>IFERROR(IF(OR($B4066="",$B4066="(blank)"),"",VLOOKUP($B4066,'Email Marketing Raw Data'!$C:$O,13,0)),"")</f>
        <v/>
      </c>
      <c r="G4066" s="55" t="str">
        <f>IFERROR(IF(OR($B4066="",$B4066="(blank)"),"",VLOOKUP($B4066,'Email Marketing Raw Data'!$C:$O,4,0)),"")</f>
        <v/>
      </c>
      <c r="H4066" s="55" t="str">
        <f>IFERROR(IF(OR($B4066="",$B4066="(blank)"),"",VLOOKUP($B4066,'Email Marketing Raw Data'!$C:$O,5,0)),"")</f>
        <v/>
      </c>
      <c r="I4066" s="55" t="str">
        <f>IFERROR(IF($G4066="","",VLOOKUP('Dashboard And Emails Automate'!$G4066,Database!$H:$N,3,0)),"")</f>
        <v/>
      </c>
      <c r="J4066" s="55" t="str">
        <f>IFERROR(IF($G4066="","",VLOOKUP('Dashboard And Emails Automate'!$G4066,Database!$H:$N,4,0)),"")</f>
        <v/>
      </c>
      <c r="K4066" s="55" t="str">
        <f>IFERROR(IF($G4066="","",VLOOKUP('Dashboard And Emails Automate'!$G4066,Database!$H:$N,5,0)),"")</f>
        <v/>
      </c>
      <c r="L4066" s="55" t="str">
        <f>IFERROR(IF($G4066="","",VLOOKUP('Dashboard And Emails Automate'!$G4066,Database!$H:$N,6,0)),"")</f>
        <v/>
      </c>
      <c r="M4066" s="55" t="str">
        <f>IFERROR(IF($G4066="","",VLOOKUP('Dashboard And Emails Automate'!$G4066,Database!$H:$N,7,0)),"")</f>
        <v/>
      </c>
      <c r="N4066" s="55" t="str">
        <f>IFERROR(IF(OR($B4066="",$B4066="(blank)"),"",VLOOKUP($B4066,'Email Marketing Raw Data'!$C:$O,6,0)),"")</f>
        <v/>
      </c>
      <c r="O4066" s="55" t="str">
        <f>IFERROR(IF(OR($B4066="",$B4066="(blank)"),"",VLOOKUP($B4066,'Email Marketing Raw Data'!$C:$O,7,0)),"")</f>
        <v/>
      </c>
      <c r="P4066" s="55" t="str">
        <f>IFERROR(IF(OR($B4066="",$B4066="(blank)"),"",VLOOKUP($B4066,'Email Marketing Raw Data'!$C:$O,8,0)),"")</f>
        <v/>
      </c>
      <c r="Q4066" s="62" t="str">
        <f>IFERROR(IF(OR($B4066="",$B4066="(blank)"),"",VLOOKUP($B4066,'Email Marketing Raw Data'!$C:$O,9,0)),"")</f>
        <v/>
      </c>
    </row>
    <row r="4067" spans="4:17" ht="12.75" customHeight="1" x14ac:dyDescent="0.2">
      <c r="D4067" s="58" t="str">
        <f>IFERROR(IF(F4067&lt;&gt;"pending","",IF(OR($B4067="",$B4067="(blank)"),"",VLOOKUP($B4067,'Email Marketing Raw Data'!$C:$O,10,0))),"")</f>
        <v/>
      </c>
      <c r="E4067" s="59" t="str">
        <f>IFERROR(IF(F4067&lt;&gt;"pending","",IF(OR($B4067="",$B4067="(blank)"),"",VLOOKUP($B4067,'Email Marketing Raw Data'!$C:$O,11,0))),"")</f>
        <v/>
      </c>
      <c r="F4067" s="54" t="str">
        <f>IFERROR(IF(OR($B4067="",$B4067="(blank)"),"",VLOOKUP($B4067,'Email Marketing Raw Data'!$C:$O,13,0)),"")</f>
        <v/>
      </c>
      <c r="G4067" s="55" t="str">
        <f>IFERROR(IF(OR($B4067="",$B4067="(blank)"),"",VLOOKUP($B4067,'Email Marketing Raw Data'!$C:$O,4,0)),"")</f>
        <v/>
      </c>
      <c r="H4067" s="55" t="str">
        <f>IFERROR(IF(OR($B4067="",$B4067="(blank)"),"",VLOOKUP($B4067,'Email Marketing Raw Data'!$C:$O,5,0)),"")</f>
        <v/>
      </c>
      <c r="I4067" s="55" t="str">
        <f>IFERROR(IF($G4067="","",VLOOKUP('Dashboard And Emails Automate'!$G4067,Database!$H:$N,3,0)),"")</f>
        <v/>
      </c>
      <c r="J4067" s="55" t="str">
        <f>IFERROR(IF($G4067="","",VLOOKUP('Dashboard And Emails Automate'!$G4067,Database!$H:$N,4,0)),"")</f>
        <v/>
      </c>
      <c r="K4067" s="55" t="str">
        <f>IFERROR(IF($G4067="","",VLOOKUP('Dashboard And Emails Automate'!$G4067,Database!$H:$N,5,0)),"")</f>
        <v/>
      </c>
      <c r="L4067" s="55" t="str">
        <f>IFERROR(IF($G4067="","",VLOOKUP('Dashboard And Emails Automate'!$G4067,Database!$H:$N,6,0)),"")</f>
        <v/>
      </c>
      <c r="M4067" s="55" t="str">
        <f>IFERROR(IF($G4067="","",VLOOKUP('Dashboard And Emails Automate'!$G4067,Database!$H:$N,7,0)),"")</f>
        <v/>
      </c>
      <c r="N4067" s="55" t="str">
        <f>IFERROR(IF(OR($B4067="",$B4067="(blank)"),"",VLOOKUP($B4067,'Email Marketing Raw Data'!$C:$O,6,0)),"")</f>
        <v/>
      </c>
      <c r="O4067" s="55" t="str">
        <f>IFERROR(IF(OR($B4067="",$B4067="(blank)"),"",VLOOKUP($B4067,'Email Marketing Raw Data'!$C:$O,7,0)),"")</f>
        <v/>
      </c>
      <c r="P4067" s="55" t="str">
        <f>IFERROR(IF(OR($B4067="",$B4067="(blank)"),"",VLOOKUP($B4067,'Email Marketing Raw Data'!$C:$O,8,0)),"")</f>
        <v/>
      </c>
      <c r="Q4067" s="62" t="str">
        <f>IFERROR(IF(OR($B4067="",$B4067="(blank)"),"",VLOOKUP($B4067,'Email Marketing Raw Data'!$C:$O,9,0)),"")</f>
        <v/>
      </c>
    </row>
    <row r="4068" spans="4:17" ht="12.75" customHeight="1" x14ac:dyDescent="0.2">
      <c r="D4068" s="58" t="str">
        <f>IFERROR(IF(F4068&lt;&gt;"pending","",IF(OR($B4068="",$B4068="(blank)"),"",VLOOKUP($B4068,'Email Marketing Raw Data'!$C:$O,10,0))),"")</f>
        <v/>
      </c>
      <c r="E4068" s="59" t="str">
        <f>IFERROR(IF(F4068&lt;&gt;"pending","",IF(OR($B4068="",$B4068="(blank)"),"",VLOOKUP($B4068,'Email Marketing Raw Data'!$C:$O,11,0))),"")</f>
        <v/>
      </c>
      <c r="F4068" s="54" t="str">
        <f>IFERROR(IF(OR($B4068="",$B4068="(blank)"),"",VLOOKUP($B4068,'Email Marketing Raw Data'!$C:$O,13,0)),"")</f>
        <v/>
      </c>
      <c r="G4068" s="55" t="str">
        <f>IFERROR(IF(OR($B4068="",$B4068="(blank)"),"",VLOOKUP($B4068,'Email Marketing Raw Data'!$C:$O,4,0)),"")</f>
        <v/>
      </c>
      <c r="H4068" s="55" t="str">
        <f>IFERROR(IF(OR($B4068="",$B4068="(blank)"),"",VLOOKUP($B4068,'Email Marketing Raw Data'!$C:$O,5,0)),"")</f>
        <v/>
      </c>
      <c r="I4068" s="55" t="str">
        <f>IFERROR(IF($G4068="","",VLOOKUP('Dashboard And Emails Automate'!$G4068,Database!$H:$N,3,0)),"")</f>
        <v/>
      </c>
      <c r="J4068" s="55" t="str">
        <f>IFERROR(IF($G4068="","",VLOOKUP('Dashboard And Emails Automate'!$G4068,Database!$H:$N,4,0)),"")</f>
        <v/>
      </c>
      <c r="K4068" s="55" t="str">
        <f>IFERROR(IF($G4068="","",VLOOKUP('Dashboard And Emails Automate'!$G4068,Database!$H:$N,5,0)),"")</f>
        <v/>
      </c>
      <c r="L4068" s="55" t="str">
        <f>IFERROR(IF($G4068="","",VLOOKUP('Dashboard And Emails Automate'!$G4068,Database!$H:$N,6,0)),"")</f>
        <v/>
      </c>
      <c r="M4068" s="55" t="str">
        <f>IFERROR(IF($G4068="","",VLOOKUP('Dashboard And Emails Automate'!$G4068,Database!$H:$N,7,0)),"")</f>
        <v/>
      </c>
      <c r="N4068" s="55" t="str">
        <f>IFERROR(IF(OR($B4068="",$B4068="(blank)"),"",VLOOKUP($B4068,'Email Marketing Raw Data'!$C:$O,6,0)),"")</f>
        <v/>
      </c>
      <c r="O4068" s="55" t="str">
        <f>IFERROR(IF(OR($B4068="",$B4068="(blank)"),"",VLOOKUP($B4068,'Email Marketing Raw Data'!$C:$O,7,0)),"")</f>
        <v/>
      </c>
      <c r="P4068" s="55" t="str">
        <f>IFERROR(IF(OR($B4068="",$B4068="(blank)"),"",VLOOKUP($B4068,'Email Marketing Raw Data'!$C:$O,8,0)),"")</f>
        <v/>
      </c>
      <c r="Q4068" s="62" t="str">
        <f>IFERROR(IF(OR($B4068="",$B4068="(blank)"),"",VLOOKUP($B4068,'Email Marketing Raw Data'!$C:$O,9,0)),"")</f>
        <v/>
      </c>
    </row>
    <row r="4069" spans="4:17" ht="12.75" customHeight="1" x14ac:dyDescent="0.2">
      <c r="D4069" s="58" t="str">
        <f>IFERROR(IF(F4069&lt;&gt;"pending","",IF(OR($B4069="",$B4069="(blank)"),"",VLOOKUP($B4069,'Email Marketing Raw Data'!$C:$O,10,0))),"")</f>
        <v/>
      </c>
      <c r="E4069" s="59" t="str">
        <f>IFERROR(IF(F4069&lt;&gt;"pending","",IF(OR($B4069="",$B4069="(blank)"),"",VLOOKUP($B4069,'Email Marketing Raw Data'!$C:$O,11,0))),"")</f>
        <v/>
      </c>
      <c r="F4069" s="54" t="str">
        <f>IFERROR(IF(OR($B4069="",$B4069="(blank)"),"",VLOOKUP($B4069,'Email Marketing Raw Data'!$C:$O,13,0)),"")</f>
        <v/>
      </c>
      <c r="G4069" s="55" t="str">
        <f>IFERROR(IF(OR($B4069="",$B4069="(blank)"),"",VLOOKUP($B4069,'Email Marketing Raw Data'!$C:$O,4,0)),"")</f>
        <v/>
      </c>
      <c r="H4069" s="55" t="str">
        <f>IFERROR(IF(OR($B4069="",$B4069="(blank)"),"",VLOOKUP($B4069,'Email Marketing Raw Data'!$C:$O,5,0)),"")</f>
        <v/>
      </c>
      <c r="I4069" s="55" t="str">
        <f>IFERROR(IF($G4069="","",VLOOKUP('Dashboard And Emails Automate'!$G4069,Database!$H:$N,3,0)),"")</f>
        <v/>
      </c>
      <c r="J4069" s="55" t="str">
        <f>IFERROR(IF($G4069="","",VLOOKUP('Dashboard And Emails Automate'!$G4069,Database!$H:$N,4,0)),"")</f>
        <v/>
      </c>
      <c r="K4069" s="55" t="str">
        <f>IFERROR(IF($G4069="","",VLOOKUP('Dashboard And Emails Automate'!$G4069,Database!$H:$N,5,0)),"")</f>
        <v/>
      </c>
      <c r="L4069" s="55" t="str">
        <f>IFERROR(IF($G4069="","",VLOOKUP('Dashboard And Emails Automate'!$G4069,Database!$H:$N,6,0)),"")</f>
        <v/>
      </c>
      <c r="M4069" s="55" t="str">
        <f>IFERROR(IF($G4069="","",VLOOKUP('Dashboard And Emails Automate'!$G4069,Database!$H:$N,7,0)),"")</f>
        <v/>
      </c>
      <c r="N4069" s="55" t="str">
        <f>IFERROR(IF(OR($B4069="",$B4069="(blank)"),"",VLOOKUP($B4069,'Email Marketing Raw Data'!$C:$O,6,0)),"")</f>
        <v/>
      </c>
      <c r="O4069" s="55" t="str">
        <f>IFERROR(IF(OR($B4069="",$B4069="(blank)"),"",VLOOKUP($B4069,'Email Marketing Raw Data'!$C:$O,7,0)),"")</f>
        <v/>
      </c>
      <c r="P4069" s="55" t="str">
        <f>IFERROR(IF(OR($B4069="",$B4069="(blank)"),"",VLOOKUP($B4069,'Email Marketing Raw Data'!$C:$O,8,0)),"")</f>
        <v/>
      </c>
      <c r="Q4069" s="62" t="str">
        <f>IFERROR(IF(OR($B4069="",$B4069="(blank)"),"",VLOOKUP($B4069,'Email Marketing Raw Data'!$C:$O,9,0)),"")</f>
        <v/>
      </c>
    </row>
    <row r="4070" spans="4:17" ht="12.75" customHeight="1" x14ac:dyDescent="0.2">
      <c r="D4070" s="58" t="str">
        <f>IFERROR(IF(F4070&lt;&gt;"pending","",IF(OR($B4070="",$B4070="(blank)"),"",VLOOKUP($B4070,'Email Marketing Raw Data'!$C:$O,10,0))),"")</f>
        <v/>
      </c>
      <c r="E4070" s="59" t="str">
        <f>IFERROR(IF(F4070&lt;&gt;"pending","",IF(OR($B4070="",$B4070="(blank)"),"",VLOOKUP($B4070,'Email Marketing Raw Data'!$C:$O,11,0))),"")</f>
        <v/>
      </c>
      <c r="F4070" s="54" t="str">
        <f>IFERROR(IF(OR($B4070="",$B4070="(blank)"),"",VLOOKUP($B4070,'Email Marketing Raw Data'!$C:$O,13,0)),"")</f>
        <v/>
      </c>
      <c r="G4070" s="55" t="str">
        <f>IFERROR(IF(OR($B4070="",$B4070="(blank)"),"",VLOOKUP($B4070,'Email Marketing Raw Data'!$C:$O,4,0)),"")</f>
        <v/>
      </c>
      <c r="H4070" s="55" t="str">
        <f>IFERROR(IF(OR($B4070="",$B4070="(blank)"),"",VLOOKUP($B4070,'Email Marketing Raw Data'!$C:$O,5,0)),"")</f>
        <v/>
      </c>
      <c r="I4070" s="55" t="str">
        <f>IFERROR(IF($G4070="","",VLOOKUP('Dashboard And Emails Automate'!$G4070,Database!$H:$N,3,0)),"")</f>
        <v/>
      </c>
      <c r="J4070" s="55" t="str">
        <f>IFERROR(IF($G4070="","",VLOOKUP('Dashboard And Emails Automate'!$G4070,Database!$H:$N,4,0)),"")</f>
        <v/>
      </c>
      <c r="K4070" s="55" t="str">
        <f>IFERROR(IF($G4070="","",VLOOKUP('Dashboard And Emails Automate'!$G4070,Database!$H:$N,5,0)),"")</f>
        <v/>
      </c>
      <c r="L4070" s="55" t="str">
        <f>IFERROR(IF($G4070="","",VLOOKUP('Dashboard And Emails Automate'!$G4070,Database!$H:$N,6,0)),"")</f>
        <v/>
      </c>
      <c r="M4070" s="55" t="str">
        <f>IFERROR(IF($G4070="","",VLOOKUP('Dashboard And Emails Automate'!$G4070,Database!$H:$N,7,0)),"")</f>
        <v/>
      </c>
      <c r="N4070" s="55" t="str">
        <f>IFERROR(IF(OR($B4070="",$B4070="(blank)"),"",VLOOKUP($B4070,'Email Marketing Raw Data'!$C:$O,6,0)),"")</f>
        <v/>
      </c>
      <c r="O4070" s="55" t="str">
        <f>IFERROR(IF(OR($B4070="",$B4070="(blank)"),"",VLOOKUP($B4070,'Email Marketing Raw Data'!$C:$O,7,0)),"")</f>
        <v/>
      </c>
      <c r="P4070" s="55" t="str">
        <f>IFERROR(IF(OR($B4070="",$B4070="(blank)"),"",VLOOKUP($B4070,'Email Marketing Raw Data'!$C:$O,8,0)),"")</f>
        <v/>
      </c>
      <c r="Q4070" s="62" t="str">
        <f>IFERROR(IF(OR($B4070="",$B4070="(blank)"),"",VLOOKUP($B4070,'Email Marketing Raw Data'!$C:$O,9,0)),"")</f>
        <v/>
      </c>
    </row>
    <row r="4071" spans="4:17" ht="12.75" customHeight="1" x14ac:dyDescent="0.2">
      <c r="D4071" s="58" t="str">
        <f>IFERROR(IF(F4071&lt;&gt;"pending","",IF(OR($B4071="",$B4071="(blank)"),"",VLOOKUP($B4071,'Email Marketing Raw Data'!$C:$O,10,0))),"")</f>
        <v/>
      </c>
      <c r="E4071" s="59" t="str">
        <f>IFERROR(IF(F4071&lt;&gt;"pending","",IF(OR($B4071="",$B4071="(blank)"),"",VLOOKUP($B4071,'Email Marketing Raw Data'!$C:$O,11,0))),"")</f>
        <v/>
      </c>
      <c r="F4071" s="54" t="str">
        <f>IFERROR(IF(OR($B4071="",$B4071="(blank)"),"",VLOOKUP($B4071,'Email Marketing Raw Data'!$C:$O,13,0)),"")</f>
        <v/>
      </c>
      <c r="G4071" s="55" t="str">
        <f>IFERROR(IF(OR($B4071="",$B4071="(blank)"),"",VLOOKUP($B4071,'Email Marketing Raw Data'!$C:$O,4,0)),"")</f>
        <v/>
      </c>
      <c r="H4071" s="55" t="str">
        <f>IFERROR(IF(OR($B4071="",$B4071="(blank)"),"",VLOOKUP($B4071,'Email Marketing Raw Data'!$C:$O,5,0)),"")</f>
        <v/>
      </c>
      <c r="I4071" s="55" t="str">
        <f>IFERROR(IF($G4071="","",VLOOKUP('Dashboard And Emails Automate'!$G4071,Database!$H:$N,3,0)),"")</f>
        <v/>
      </c>
      <c r="J4071" s="55" t="str">
        <f>IFERROR(IF($G4071="","",VLOOKUP('Dashboard And Emails Automate'!$G4071,Database!$H:$N,4,0)),"")</f>
        <v/>
      </c>
      <c r="K4071" s="55" t="str">
        <f>IFERROR(IF($G4071="","",VLOOKUP('Dashboard And Emails Automate'!$G4071,Database!$H:$N,5,0)),"")</f>
        <v/>
      </c>
      <c r="L4071" s="55" t="str">
        <f>IFERROR(IF($G4071="","",VLOOKUP('Dashboard And Emails Automate'!$G4071,Database!$H:$N,6,0)),"")</f>
        <v/>
      </c>
      <c r="M4071" s="55" t="str">
        <f>IFERROR(IF($G4071="","",VLOOKUP('Dashboard And Emails Automate'!$G4071,Database!$H:$N,7,0)),"")</f>
        <v/>
      </c>
      <c r="N4071" s="55" t="str">
        <f>IFERROR(IF(OR($B4071="",$B4071="(blank)"),"",VLOOKUP($B4071,'Email Marketing Raw Data'!$C:$O,6,0)),"")</f>
        <v/>
      </c>
      <c r="O4071" s="55" t="str">
        <f>IFERROR(IF(OR($B4071="",$B4071="(blank)"),"",VLOOKUP($B4071,'Email Marketing Raw Data'!$C:$O,7,0)),"")</f>
        <v/>
      </c>
      <c r="P4071" s="55" t="str">
        <f>IFERROR(IF(OR($B4071="",$B4071="(blank)"),"",VLOOKUP($B4071,'Email Marketing Raw Data'!$C:$O,8,0)),"")</f>
        <v/>
      </c>
      <c r="Q4071" s="62" t="str">
        <f>IFERROR(IF(OR($B4071="",$B4071="(blank)"),"",VLOOKUP($B4071,'Email Marketing Raw Data'!$C:$O,9,0)),"")</f>
        <v/>
      </c>
    </row>
    <row r="4072" spans="4:17" ht="12.75" customHeight="1" x14ac:dyDescent="0.2">
      <c r="D4072" s="58" t="str">
        <f>IFERROR(IF(F4072&lt;&gt;"pending","",IF(OR($B4072="",$B4072="(blank)"),"",VLOOKUP($B4072,'Email Marketing Raw Data'!$C:$O,10,0))),"")</f>
        <v/>
      </c>
      <c r="E4072" s="59" t="str">
        <f>IFERROR(IF(F4072&lt;&gt;"pending","",IF(OR($B4072="",$B4072="(blank)"),"",VLOOKUP($B4072,'Email Marketing Raw Data'!$C:$O,11,0))),"")</f>
        <v/>
      </c>
      <c r="F4072" s="54" t="str">
        <f>IFERROR(IF(OR($B4072="",$B4072="(blank)"),"",VLOOKUP($B4072,'Email Marketing Raw Data'!$C:$O,13,0)),"")</f>
        <v/>
      </c>
      <c r="G4072" s="55" t="str">
        <f>IFERROR(IF(OR($B4072="",$B4072="(blank)"),"",VLOOKUP($B4072,'Email Marketing Raw Data'!$C:$O,4,0)),"")</f>
        <v/>
      </c>
      <c r="H4072" s="55" t="str">
        <f>IFERROR(IF(OR($B4072="",$B4072="(blank)"),"",VLOOKUP($B4072,'Email Marketing Raw Data'!$C:$O,5,0)),"")</f>
        <v/>
      </c>
      <c r="I4072" s="55" t="str">
        <f>IFERROR(IF($G4072="","",VLOOKUP('Dashboard And Emails Automate'!$G4072,Database!$H:$N,3,0)),"")</f>
        <v/>
      </c>
      <c r="J4072" s="55" t="str">
        <f>IFERROR(IF($G4072="","",VLOOKUP('Dashboard And Emails Automate'!$G4072,Database!$H:$N,4,0)),"")</f>
        <v/>
      </c>
      <c r="K4072" s="55" t="str">
        <f>IFERROR(IF($G4072="","",VLOOKUP('Dashboard And Emails Automate'!$G4072,Database!$H:$N,5,0)),"")</f>
        <v/>
      </c>
      <c r="L4072" s="55" t="str">
        <f>IFERROR(IF($G4072="","",VLOOKUP('Dashboard And Emails Automate'!$G4072,Database!$H:$N,6,0)),"")</f>
        <v/>
      </c>
      <c r="M4072" s="55" t="str">
        <f>IFERROR(IF($G4072="","",VLOOKUP('Dashboard And Emails Automate'!$G4072,Database!$H:$N,7,0)),"")</f>
        <v/>
      </c>
      <c r="N4072" s="55" t="str">
        <f>IFERROR(IF(OR($B4072="",$B4072="(blank)"),"",VLOOKUP($B4072,'Email Marketing Raw Data'!$C:$O,6,0)),"")</f>
        <v/>
      </c>
      <c r="O4072" s="55" t="str">
        <f>IFERROR(IF(OR($B4072="",$B4072="(blank)"),"",VLOOKUP($B4072,'Email Marketing Raw Data'!$C:$O,7,0)),"")</f>
        <v/>
      </c>
      <c r="P4072" s="55" t="str">
        <f>IFERROR(IF(OR($B4072="",$B4072="(blank)"),"",VLOOKUP($B4072,'Email Marketing Raw Data'!$C:$O,8,0)),"")</f>
        <v/>
      </c>
      <c r="Q4072" s="62" t="str">
        <f>IFERROR(IF(OR($B4072="",$B4072="(blank)"),"",VLOOKUP($B4072,'Email Marketing Raw Data'!$C:$O,9,0)),"")</f>
        <v/>
      </c>
    </row>
    <row r="4073" spans="4:17" ht="12.75" customHeight="1" x14ac:dyDescent="0.2">
      <c r="D4073" s="58" t="str">
        <f>IFERROR(IF(F4073&lt;&gt;"pending","",IF(OR($B4073="",$B4073="(blank)"),"",VLOOKUP($B4073,'Email Marketing Raw Data'!$C:$O,10,0))),"")</f>
        <v/>
      </c>
      <c r="E4073" s="59" t="str">
        <f>IFERROR(IF(F4073&lt;&gt;"pending","",IF(OR($B4073="",$B4073="(blank)"),"",VLOOKUP($B4073,'Email Marketing Raw Data'!$C:$O,11,0))),"")</f>
        <v/>
      </c>
      <c r="F4073" s="54" t="str">
        <f>IFERROR(IF(OR($B4073="",$B4073="(blank)"),"",VLOOKUP($B4073,'Email Marketing Raw Data'!$C:$O,13,0)),"")</f>
        <v/>
      </c>
      <c r="G4073" s="55" t="str">
        <f>IFERROR(IF(OR($B4073="",$B4073="(blank)"),"",VLOOKUP($B4073,'Email Marketing Raw Data'!$C:$O,4,0)),"")</f>
        <v/>
      </c>
      <c r="H4073" s="55" t="str">
        <f>IFERROR(IF(OR($B4073="",$B4073="(blank)"),"",VLOOKUP($B4073,'Email Marketing Raw Data'!$C:$O,5,0)),"")</f>
        <v/>
      </c>
      <c r="I4073" s="55" t="str">
        <f>IFERROR(IF($G4073="","",VLOOKUP('Dashboard And Emails Automate'!$G4073,Database!$H:$N,3,0)),"")</f>
        <v/>
      </c>
      <c r="J4073" s="55" t="str">
        <f>IFERROR(IF($G4073="","",VLOOKUP('Dashboard And Emails Automate'!$G4073,Database!$H:$N,4,0)),"")</f>
        <v/>
      </c>
      <c r="K4073" s="55" t="str">
        <f>IFERROR(IF($G4073="","",VLOOKUP('Dashboard And Emails Automate'!$G4073,Database!$H:$N,5,0)),"")</f>
        <v/>
      </c>
      <c r="L4073" s="55" t="str">
        <f>IFERROR(IF($G4073="","",VLOOKUP('Dashboard And Emails Automate'!$G4073,Database!$H:$N,6,0)),"")</f>
        <v/>
      </c>
      <c r="M4073" s="55" t="str">
        <f>IFERROR(IF($G4073="","",VLOOKUP('Dashboard And Emails Automate'!$G4073,Database!$H:$N,7,0)),"")</f>
        <v/>
      </c>
      <c r="N4073" s="55" t="str">
        <f>IFERROR(IF(OR($B4073="",$B4073="(blank)"),"",VLOOKUP($B4073,'Email Marketing Raw Data'!$C:$O,6,0)),"")</f>
        <v/>
      </c>
      <c r="O4073" s="55" t="str">
        <f>IFERROR(IF(OR($B4073="",$B4073="(blank)"),"",VLOOKUP($B4073,'Email Marketing Raw Data'!$C:$O,7,0)),"")</f>
        <v/>
      </c>
      <c r="P4073" s="55" t="str">
        <f>IFERROR(IF(OR($B4073="",$B4073="(blank)"),"",VLOOKUP($B4073,'Email Marketing Raw Data'!$C:$O,8,0)),"")</f>
        <v/>
      </c>
      <c r="Q4073" s="62" t="str">
        <f>IFERROR(IF(OR($B4073="",$B4073="(blank)"),"",VLOOKUP($B4073,'Email Marketing Raw Data'!$C:$O,9,0)),"")</f>
        <v/>
      </c>
    </row>
    <row r="4074" spans="4:17" ht="12.75" customHeight="1" x14ac:dyDescent="0.2">
      <c r="D4074" s="58" t="str">
        <f>IFERROR(IF(F4074&lt;&gt;"pending","",IF(OR($B4074="",$B4074="(blank)"),"",VLOOKUP($B4074,'Email Marketing Raw Data'!$C:$O,10,0))),"")</f>
        <v/>
      </c>
      <c r="E4074" s="59" t="str">
        <f>IFERROR(IF(F4074&lt;&gt;"pending","",IF(OR($B4074="",$B4074="(blank)"),"",VLOOKUP($B4074,'Email Marketing Raw Data'!$C:$O,11,0))),"")</f>
        <v/>
      </c>
      <c r="F4074" s="54" t="str">
        <f>IFERROR(IF(OR($B4074="",$B4074="(blank)"),"",VLOOKUP($B4074,'Email Marketing Raw Data'!$C:$O,13,0)),"")</f>
        <v/>
      </c>
      <c r="G4074" s="55" t="str">
        <f>IFERROR(IF(OR($B4074="",$B4074="(blank)"),"",VLOOKUP($B4074,'Email Marketing Raw Data'!$C:$O,4,0)),"")</f>
        <v/>
      </c>
      <c r="H4074" s="55" t="str">
        <f>IFERROR(IF(OR($B4074="",$B4074="(blank)"),"",VLOOKUP($B4074,'Email Marketing Raw Data'!$C:$O,5,0)),"")</f>
        <v/>
      </c>
      <c r="I4074" s="55" t="str">
        <f>IFERROR(IF($G4074="","",VLOOKUP('Dashboard And Emails Automate'!$G4074,Database!$H:$N,3,0)),"")</f>
        <v/>
      </c>
      <c r="J4074" s="55" t="str">
        <f>IFERROR(IF($G4074="","",VLOOKUP('Dashboard And Emails Automate'!$G4074,Database!$H:$N,4,0)),"")</f>
        <v/>
      </c>
      <c r="K4074" s="55" t="str">
        <f>IFERROR(IF($G4074="","",VLOOKUP('Dashboard And Emails Automate'!$G4074,Database!$H:$N,5,0)),"")</f>
        <v/>
      </c>
      <c r="L4074" s="55" t="str">
        <f>IFERROR(IF($G4074="","",VLOOKUP('Dashboard And Emails Automate'!$G4074,Database!$H:$N,6,0)),"")</f>
        <v/>
      </c>
      <c r="M4074" s="55" t="str">
        <f>IFERROR(IF($G4074="","",VLOOKUP('Dashboard And Emails Automate'!$G4074,Database!$H:$N,7,0)),"")</f>
        <v/>
      </c>
      <c r="N4074" s="55" t="str">
        <f>IFERROR(IF(OR($B4074="",$B4074="(blank)"),"",VLOOKUP($B4074,'Email Marketing Raw Data'!$C:$O,6,0)),"")</f>
        <v/>
      </c>
      <c r="O4074" s="55" t="str">
        <f>IFERROR(IF(OR($B4074="",$B4074="(blank)"),"",VLOOKUP($B4074,'Email Marketing Raw Data'!$C:$O,7,0)),"")</f>
        <v/>
      </c>
      <c r="P4074" s="55" t="str">
        <f>IFERROR(IF(OR($B4074="",$B4074="(blank)"),"",VLOOKUP($B4074,'Email Marketing Raw Data'!$C:$O,8,0)),"")</f>
        <v/>
      </c>
      <c r="Q4074" s="62" t="str">
        <f>IFERROR(IF(OR($B4074="",$B4074="(blank)"),"",VLOOKUP($B4074,'Email Marketing Raw Data'!$C:$O,9,0)),"")</f>
        <v/>
      </c>
    </row>
    <row r="4075" spans="4:17" ht="12.75" customHeight="1" x14ac:dyDescent="0.2">
      <c r="D4075" s="58" t="str">
        <f>IFERROR(IF(F4075&lt;&gt;"pending","",IF(OR($B4075="",$B4075="(blank)"),"",VLOOKUP($B4075,'Email Marketing Raw Data'!$C:$O,10,0))),"")</f>
        <v/>
      </c>
      <c r="E4075" s="59" t="str">
        <f>IFERROR(IF(F4075&lt;&gt;"pending","",IF(OR($B4075="",$B4075="(blank)"),"",VLOOKUP($B4075,'Email Marketing Raw Data'!$C:$O,11,0))),"")</f>
        <v/>
      </c>
      <c r="F4075" s="54" t="str">
        <f>IFERROR(IF(OR($B4075="",$B4075="(blank)"),"",VLOOKUP($B4075,'Email Marketing Raw Data'!$C:$O,13,0)),"")</f>
        <v/>
      </c>
      <c r="G4075" s="55" t="str">
        <f>IFERROR(IF(OR($B4075="",$B4075="(blank)"),"",VLOOKUP($B4075,'Email Marketing Raw Data'!$C:$O,4,0)),"")</f>
        <v/>
      </c>
      <c r="H4075" s="55" t="str">
        <f>IFERROR(IF(OR($B4075="",$B4075="(blank)"),"",VLOOKUP($B4075,'Email Marketing Raw Data'!$C:$O,5,0)),"")</f>
        <v/>
      </c>
      <c r="I4075" s="55" t="str">
        <f>IFERROR(IF($G4075="","",VLOOKUP('Dashboard And Emails Automate'!$G4075,Database!$H:$N,3,0)),"")</f>
        <v/>
      </c>
      <c r="J4075" s="55" t="str">
        <f>IFERROR(IF($G4075="","",VLOOKUP('Dashboard And Emails Automate'!$G4075,Database!$H:$N,4,0)),"")</f>
        <v/>
      </c>
      <c r="K4075" s="55" t="str">
        <f>IFERROR(IF($G4075="","",VLOOKUP('Dashboard And Emails Automate'!$G4075,Database!$H:$N,5,0)),"")</f>
        <v/>
      </c>
      <c r="L4075" s="55" t="str">
        <f>IFERROR(IF($G4075="","",VLOOKUP('Dashboard And Emails Automate'!$G4075,Database!$H:$N,6,0)),"")</f>
        <v/>
      </c>
      <c r="M4075" s="55" t="str">
        <f>IFERROR(IF($G4075="","",VLOOKUP('Dashboard And Emails Automate'!$G4075,Database!$H:$N,7,0)),"")</f>
        <v/>
      </c>
      <c r="N4075" s="55" t="str">
        <f>IFERROR(IF(OR($B4075="",$B4075="(blank)"),"",VLOOKUP($B4075,'Email Marketing Raw Data'!$C:$O,6,0)),"")</f>
        <v/>
      </c>
      <c r="O4075" s="55" t="str">
        <f>IFERROR(IF(OR($B4075="",$B4075="(blank)"),"",VLOOKUP($B4075,'Email Marketing Raw Data'!$C:$O,7,0)),"")</f>
        <v/>
      </c>
      <c r="P4075" s="55" t="str">
        <f>IFERROR(IF(OR($B4075="",$B4075="(blank)"),"",VLOOKUP($B4075,'Email Marketing Raw Data'!$C:$O,8,0)),"")</f>
        <v/>
      </c>
      <c r="Q4075" s="62" t="str">
        <f>IFERROR(IF(OR($B4075="",$B4075="(blank)"),"",VLOOKUP($B4075,'Email Marketing Raw Data'!$C:$O,9,0)),"")</f>
        <v/>
      </c>
    </row>
    <row r="4076" spans="4:17" ht="12.75" customHeight="1" x14ac:dyDescent="0.2">
      <c r="D4076" s="58" t="str">
        <f>IFERROR(IF(F4076&lt;&gt;"pending","",IF(OR($B4076="",$B4076="(blank)"),"",VLOOKUP($B4076,'Email Marketing Raw Data'!$C:$O,10,0))),"")</f>
        <v/>
      </c>
      <c r="E4076" s="59" t="str">
        <f>IFERROR(IF(F4076&lt;&gt;"pending","",IF(OR($B4076="",$B4076="(blank)"),"",VLOOKUP($B4076,'Email Marketing Raw Data'!$C:$O,11,0))),"")</f>
        <v/>
      </c>
      <c r="F4076" s="54" t="str">
        <f>IFERROR(IF(OR($B4076="",$B4076="(blank)"),"",VLOOKUP($B4076,'Email Marketing Raw Data'!$C:$O,13,0)),"")</f>
        <v/>
      </c>
      <c r="G4076" s="55" t="str">
        <f>IFERROR(IF(OR($B4076="",$B4076="(blank)"),"",VLOOKUP($B4076,'Email Marketing Raw Data'!$C:$O,4,0)),"")</f>
        <v/>
      </c>
      <c r="H4076" s="55" t="str">
        <f>IFERROR(IF(OR($B4076="",$B4076="(blank)"),"",VLOOKUP($B4076,'Email Marketing Raw Data'!$C:$O,5,0)),"")</f>
        <v/>
      </c>
      <c r="I4076" s="55" t="str">
        <f>IFERROR(IF($G4076="","",VLOOKUP('Dashboard And Emails Automate'!$G4076,Database!$H:$N,3,0)),"")</f>
        <v/>
      </c>
      <c r="J4076" s="55" t="str">
        <f>IFERROR(IF($G4076="","",VLOOKUP('Dashboard And Emails Automate'!$G4076,Database!$H:$N,4,0)),"")</f>
        <v/>
      </c>
      <c r="K4076" s="55" t="str">
        <f>IFERROR(IF($G4076="","",VLOOKUP('Dashboard And Emails Automate'!$G4076,Database!$H:$N,5,0)),"")</f>
        <v/>
      </c>
      <c r="L4076" s="55" t="str">
        <f>IFERROR(IF($G4076="","",VLOOKUP('Dashboard And Emails Automate'!$G4076,Database!$H:$N,6,0)),"")</f>
        <v/>
      </c>
      <c r="M4076" s="55" t="str">
        <f>IFERROR(IF($G4076="","",VLOOKUP('Dashboard And Emails Automate'!$G4076,Database!$H:$N,7,0)),"")</f>
        <v/>
      </c>
      <c r="N4076" s="55" t="str">
        <f>IFERROR(IF(OR($B4076="",$B4076="(blank)"),"",VLOOKUP($B4076,'Email Marketing Raw Data'!$C:$O,6,0)),"")</f>
        <v/>
      </c>
      <c r="O4076" s="55" t="str">
        <f>IFERROR(IF(OR($B4076="",$B4076="(blank)"),"",VLOOKUP($B4076,'Email Marketing Raw Data'!$C:$O,7,0)),"")</f>
        <v/>
      </c>
      <c r="P4076" s="55" t="str">
        <f>IFERROR(IF(OR($B4076="",$B4076="(blank)"),"",VLOOKUP($B4076,'Email Marketing Raw Data'!$C:$O,8,0)),"")</f>
        <v/>
      </c>
      <c r="Q4076" s="62" t="str">
        <f>IFERROR(IF(OR($B4076="",$B4076="(blank)"),"",VLOOKUP($B4076,'Email Marketing Raw Data'!$C:$O,9,0)),"")</f>
        <v/>
      </c>
    </row>
    <row r="4077" spans="4:17" ht="12.75" customHeight="1" x14ac:dyDescent="0.2">
      <c r="D4077" s="58" t="str">
        <f>IFERROR(IF(F4077&lt;&gt;"pending","",IF(OR($B4077="",$B4077="(blank)"),"",VLOOKUP($B4077,'Email Marketing Raw Data'!$C:$O,10,0))),"")</f>
        <v/>
      </c>
      <c r="E4077" s="59" t="str">
        <f>IFERROR(IF(F4077&lt;&gt;"pending","",IF(OR($B4077="",$B4077="(blank)"),"",VLOOKUP($B4077,'Email Marketing Raw Data'!$C:$O,11,0))),"")</f>
        <v/>
      </c>
      <c r="F4077" s="54" t="str">
        <f>IFERROR(IF(OR($B4077="",$B4077="(blank)"),"",VLOOKUP($B4077,'Email Marketing Raw Data'!$C:$O,13,0)),"")</f>
        <v/>
      </c>
      <c r="G4077" s="55" t="str">
        <f>IFERROR(IF(OR($B4077="",$B4077="(blank)"),"",VLOOKUP($B4077,'Email Marketing Raw Data'!$C:$O,4,0)),"")</f>
        <v/>
      </c>
      <c r="H4077" s="55" t="str">
        <f>IFERROR(IF(OR($B4077="",$B4077="(blank)"),"",VLOOKUP($B4077,'Email Marketing Raw Data'!$C:$O,5,0)),"")</f>
        <v/>
      </c>
      <c r="I4077" s="55" t="str">
        <f>IFERROR(IF($G4077="","",VLOOKUP('Dashboard And Emails Automate'!$G4077,Database!$H:$N,3,0)),"")</f>
        <v/>
      </c>
      <c r="J4077" s="55" t="str">
        <f>IFERROR(IF($G4077="","",VLOOKUP('Dashboard And Emails Automate'!$G4077,Database!$H:$N,4,0)),"")</f>
        <v/>
      </c>
      <c r="K4077" s="55" t="str">
        <f>IFERROR(IF($G4077="","",VLOOKUP('Dashboard And Emails Automate'!$G4077,Database!$H:$N,5,0)),"")</f>
        <v/>
      </c>
      <c r="L4077" s="55" t="str">
        <f>IFERROR(IF($G4077="","",VLOOKUP('Dashboard And Emails Automate'!$G4077,Database!$H:$N,6,0)),"")</f>
        <v/>
      </c>
      <c r="M4077" s="55" t="str">
        <f>IFERROR(IF($G4077="","",VLOOKUP('Dashboard And Emails Automate'!$G4077,Database!$H:$N,7,0)),"")</f>
        <v/>
      </c>
      <c r="N4077" s="55" t="str">
        <f>IFERROR(IF(OR($B4077="",$B4077="(blank)"),"",VLOOKUP($B4077,'Email Marketing Raw Data'!$C:$O,6,0)),"")</f>
        <v/>
      </c>
      <c r="O4077" s="55" t="str">
        <f>IFERROR(IF(OR($B4077="",$B4077="(blank)"),"",VLOOKUP($B4077,'Email Marketing Raw Data'!$C:$O,7,0)),"")</f>
        <v/>
      </c>
      <c r="P4077" s="55" t="str">
        <f>IFERROR(IF(OR($B4077="",$B4077="(blank)"),"",VLOOKUP($B4077,'Email Marketing Raw Data'!$C:$O,8,0)),"")</f>
        <v/>
      </c>
      <c r="Q4077" s="62" t="str">
        <f>IFERROR(IF(OR($B4077="",$B4077="(blank)"),"",VLOOKUP($B4077,'Email Marketing Raw Data'!$C:$O,9,0)),"")</f>
        <v/>
      </c>
    </row>
    <row r="4078" spans="4:17" ht="12.75" customHeight="1" x14ac:dyDescent="0.2">
      <c r="D4078" s="58" t="str">
        <f>IFERROR(IF(F4078&lt;&gt;"pending","",IF(OR($B4078="",$B4078="(blank)"),"",VLOOKUP($B4078,'Email Marketing Raw Data'!$C:$O,10,0))),"")</f>
        <v/>
      </c>
      <c r="E4078" s="59" t="str">
        <f>IFERROR(IF(F4078&lt;&gt;"pending","",IF(OR($B4078="",$B4078="(blank)"),"",VLOOKUP($B4078,'Email Marketing Raw Data'!$C:$O,11,0))),"")</f>
        <v/>
      </c>
      <c r="F4078" s="54" t="str">
        <f>IFERROR(IF(OR($B4078="",$B4078="(blank)"),"",VLOOKUP($B4078,'Email Marketing Raw Data'!$C:$O,13,0)),"")</f>
        <v/>
      </c>
      <c r="G4078" s="55" t="str">
        <f>IFERROR(IF(OR($B4078="",$B4078="(blank)"),"",VLOOKUP($B4078,'Email Marketing Raw Data'!$C:$O,4,0)),"")</f>
        <v/>
      </c>
      <c r="H4078" s="55" t="str">
        <f>IFERROR(IF(OR($B4078="",$B4078="(blank)"),"",VLOOKUP($B4078,'Email Marketing Raw Data'!$C:$O,5,0)),"")</f>
        <v/>
      </c>
      <c r="I4078" s="55" t="str">
        <f>IFERROR(IF($G4078="","",VLOOKUP('Dashboard And Emails Automate'!$G4078,Database!$H:$N,3,0)),"")</f>
        <v/>
      </c>
      <c r="J4078" s="55" t="str">
        <f>IFERROR(IF($G4078="","",VLOOKUP('Dashboard And Emails Automate'!$G4078,Database!$H:$N,4,0)),"")</f>
        <v/>
      </c>
      <c r="K4078" s="55" t="str">
        <f>IFERROR(IF($G4078="","",VLOOKUP('Dashboard And Emails Automate'!$G4078,Database!$H:$N,5,0)),"")</f>
        <v/>
      </c>
      <c r="L4078" s="55" t="str">
        <f>IFERROR(IF($G4078="","",VLOOKUP('Dashboard And Emails Automate'!$G4078,Database!$H:$N,6,0)),"")</f>
        <v/>
      </c>
      <c r="M4078" s="55" t="str">
        <f>IFERROR(IF($G4078="","",VLOOKUP('Dashboard And Emails Automate'!$G4078,Database!$H:$N,7,0)),"")</f>
        <v/>
      </c>
      <c r="N4078" s="55" t="str">
        <f>IFERROR(IF(OR($B4078="",$B4078="(blank)"),"",VLOOKUP($B4078,'Email Marketing Raw Data'!$C:$O,6,0)),"")</f>
        <v/>
      </c>
      <c r="O4078" s="55" t="str">
        <f>IFERROR(IF(OR($B4078="",$B4078="(blank)"),"",VLOOKUP($B4078,'Email Marketing Raw Data'!$C:$O,7,0)),"")</f>
        <v/>
      </c>
      <c r="P4078" s="55" t="str">
        <f>IFERROR(IF(OR($B4078="",$B4078="(blank)"),"",VLOOKUP($B4078,'Email Marketing Raw Data'!$C:$O,8,0)),"")</f>
        <v/>
      </c>
      <c r="Q4078" s="62" t="str">
        <f>IFERROR(IF(OR($B4078="",$B4078="(blank)"),"",VLOOKUP($B4078,'Email Marketing Raw Data'!$C:$O,9,0)),"")</f>
        <v/>
      </c>
    </row>
    <row r="4079" spans="4:17" ht="12.75" customHeight="1" x14ac:dyDescent="0.2">
      <c r="D4079" s="58" t="str">
        <f>IFERROR(IF(F4079&lt;&gt;"pending","",IF(OR($B4079="",$B4079="(blank)"),"",VLOOKUP($B4079,'Email Marketing Raw Data'!$C:$O,10,0))),"")</f>
        <v/>
      </c>
      <c r="E4079" s="59" t="str">
        <f>IFERROR(IF(F4079&lt;&gt;"pending","",IF(OR($B4079="",$B4079="(blank)"),"",VLOOKUP($B4079,'Email Marketing Raw Data'!$C:$O,11,0))),"")</f>
        <v/>
      </c>
      <c r="F4079" s="54" t="str">
        <f>IFERROR(IF(OR($B4079="",$B4079="(blank)"),"",VLOOKUP($B4079,'Email Marketing Raw Data'!$C:$O,13,0)),"")</f>
        <v/>
      </c>
      <c r="G4079" s="55" t="str">
        <f>IFERROR(IF(OR($B4079="",$B4079="(blank)"),"",VLOOKUP($B4079,'Email Marketing Raw Data'!$C:$O,4,0)),"")</f>
        <v/>
      </c>
      <c r="H4079" s="55" t="str">
        <f>IFERROR(IF(OR($B4079="",$B4079="(blank)"),"",VLOOKUP($B4079,'Email Marketing Raw Data'!$C:$O,5,0)),"")</f>
        <v/>
      </c>
      <c r="I4079" s="55" t="str">
        <f>IFERROR(IF($G4079="","",VLOOKUP('Dashboard And Emails Automate'!$G4079,Database!$H:$N,3,0)),"")</f>
        <v/>
      </c>
      <c r="J4079" s="55" t="str">
        <f>IFERROR(IF($G4079="","",VLOOKUP('Dashboard And Emails Automate'!$G4079,Database!$H:$N,4,0)),"")</f>
        <v/>
      </c>
      <c r="K4079" s="55" t="str">
        <f>IFERROR(IF($G4079="","",VLOOKUP('Dashboard And Emails Automate'!$G4079,Database!$H:$N,5,0)),"")</f>
        <v/>
      </c>
      <c r="L4079" s="55" t="str">
        <f>IFERROR(IF($G4079="","",VLOOKUP('Dashboard And Emails Automate'!$G4079,Database!$H:$N,6,0)),"")</f>
        <v/>
      </c>
      <c r="M4079" s="55" t="str">
        <f>IFERROR(IF($G4079="","",VLOOKUP('Dashboard And Emails Automate'!$G4079,Database!$H:$N,7,0)),"")</f>
        <v/>
      </c>
      <c r="N4079" s="55" t="str">
        <f>IFERROR(IF(OR($B4079="",$B4079="(blank)"),"",VLOOKUP($B4079,'Email Marketing Raw Data'!$C:$O,6,0)),"")</f>
        <v/>
      </c>
      <c r="O4079" s="55" t="str">
        <f>IFERROR(IF(OR($B4079="",$B4079="(blank)"),"",VLOOKUP($B4079,'Email Marketing Raw Data'!$C:$O,7,0)),"")</f>
        <v/>
      </c>
      <c r="P4079" s="55" t="str">
        <f>IFERROR(IF(OR($B4079="",$B4079="(blank)"),"",VLOOKUP($B4079,'Email Marketing Raw Data'!$C:$O,8,0)),"")</f>
        <v/>
      </c>
      <c r="Q4079" s="62" t="str">
        <f>IFERROR(IF(OR($B4079="",$B4079="(blank)"),"",VLOOKUP($B4079,'Email Marketing Raw Data'!$C:$O,9,0)),"")</f>
        <v/>
      </c>
    </row>
    <row r="4080" spans="4:17" ht="12.75" customHeight="1" x14ac:dyDescent="0.2">
      <c r="D4080" s="58" t="str">
        <f>IFERROR(IF(F4080&lt;&gt;"pending","",IF(OR($B4080="",$B4080="(blank)"),"",VLOOKUP($B4080,'Email Marketing Raw Data'!$C:$O,10,0))),"")</f>
        <v/>
      </c>
      <c r="E4080" s="59" t="str">
        <f>IFERROR(IF(F4080&lt;&gt;"pending","",IF(OR($B4080="",$B4080="(blank)"),"",VLOOKUP($B4080,'Email Marketing Raw Data'!$C:$O,11,0))),"")</f>
        <v/>
      </c>
      <c r="F4080" s="54" t="str">
        <f>IFERROR(IF(OR($B4080="",$B4080="(blank)"),"",VLOOKUP($B4080,'Email Marketing Raw Data'!$C:$O,13,0)),"")</f>
        <v/>
      </c>
      <c r="G4080" s="55" t="str">
        <f>IFERROR(IF(OR($B4080="",$B4080="(blank)"),"",VLOOKUP($B4080,'Email Marketing Raw Data'!$C:$O,4,0)),"")</f>
        <v/>
      </c>
      <c r="H4080" s="55" t="str">
        <f>IFERROR(IF(OR($B4080="",$B4080="(blank)"),"",VLOOKUP($B4080,'Email Marketing Raw Data'!$C:$O,5,0)),"")</f>
        <v/>
      </c>
      <c r="I4080" s="55" t="str">
        <f>IFERROR(IF($G4080="","",VLOOKUP('Dashboard And Emails Automate'!$G4080,Database!$H:$N,3,0)),"")</f>
        <v/>
      </c>
      <c r="J4080" s="55" t="str">
        <f>IFERROR(IF($G4080="","",VLOOKUP('Dashboard And Emails Automate'!$G4080,Database!$H:$N,4,0)),"")</f>
        <v/>
      </c>
      <c r="K4080" s="55" t="str">
        <f>IFERROR(IF($G4080="","",VLOOKUP('Dashboard And Emails Automate'!$G4080,Database!$H:$N,5,0)),"")</f>
        <v/>
      </c>
      <c r="L4080" s="55" t="str">
        <f>IFERROR(IF($G4080="","",VLOOKUP('Dashboard And Emails Automate'!$G4080,Database!$H:$N,6,0)),"")</f>
        <v/>
      </c>
      <c r="M4080" s="55" t="str">
        <f>IFERROR(IF($G4080="","",VLOOKUP('Dashboard And Emails Automate'!$G4080,Database!$H:$N,7,0)),"")</f>
        <v/>
      </c>
      <c r="N4080" s="55" t="str">
        <f>IFERROR(IF(OR($B4080="",$B4080="(blank)"),"",VLOOKUP($B4080,'Email Marketing Raw Data'!$C:$O,6,0)),"")</f>
        <v/>
      </c>
      <c r="O4080" s="55" t="str">
        <f>IFERROR(IF(OR($B4080="",$B4080="(blank)"),"",VLOOKUP($B4080,'Email Marketing Raw Data'!$C:$O,7,0)),"")</f>
        <v/>
      </c>
      <c r="P4080" s="55" t="str">
        <f>IFERROR(IF(OR($B4080="",$B4080="(blank)"),"",VLOOKUP($B4080,'Email Marketing Raw Data'!$C:$O,8,0)),"")</f>
        <v/>
      </c>
      <c r="Q4080" s="62" t="str">
        <f>IFERROR(IF(OR($B4080="",$B4080="(blank)"),"",VLOOKUP($B4080,'Email Marketing Raw Data'!$C:$O,9,0)),"")</f>
        <v/>
      </c>
    </row>
    <row r="4081" spans="4:17" ht="12.75" customHeight="1" x14ac:dyDescent="0.2">
      <c r="D4081" s="58" t="str">
        <f>IFERROR(IF(F4081&lt;&gt;"pending","",IF(OR($B4081="",$B4081="(blank)"),"",VLOOKUP($B4081,'Email Marketing Raw Data'!$C:$O,10,0))),"")</f>
        <v/>
      </c>
      <c r="E4081" s="59" t="str">
        <f>IFERROR(IF(F4081&lt;&gt;"pending","",IF(OR($B4081="",$B4081="(blank)"),"",VLOOKUP($B4081,'Email Marketing Raw Data'!$C:$O,11,0))),"")</f>
        <v/>
      </c>
      <c r="F4081" s="54" t="str">
        <f>IFERROR(IF(OR($B4081="",$B4081="(blank)"),"",VLOOKUP($B4081,'Email Marketing Raw Data'!$C:$O,13,0)),"")</f>
        <v/>
      </c>
      <c r="G4081" s="55" t="str">
        <f>IFERROR(IF(OR($B4081="",$B4081="(blank)"),"",VLOOKUP($B4081,'Email Marketing Raw Data'!$C:$O,4,0)),"")</f>
        <v/>
      </c>
      <c r="H4081" s="55" t="str">
        <f>IFERROR(IF(OR($B4081="",$B4081="(blank)"),"",VLOOKUP($B4081,'Email Marketing Raw Data'!$C:$O,5,0)),"")</f>
        <v/>
      </c>
      <c r="I4081" s="55" t="str">
        <f>IFERROR(IF($G4081="","",VLOOKUP('Dashboard And Emails Automate'!$G4081,Database!$H:$N,3,0)),"")</f>
        <v/>
      </c>
      <c r="J4081" s="55" t="str">
        <f>IFERROR(IF($G4081="","",VLOOKUP('Dashboard And Emails Automate'!$G4081,Database!$H:$N,4,0)),"")</f>
        <v/>
      </c>
      <c r="K4081" s="55" t="str">
        <f>IFERROR(IF($G4081="","",VLOOKUP('Dashboard And Emails Automate'!$G4081,Database!$H:$N,5,0)),"")</f>
        <v/>
      </c>
      <c r="L4081" s="55" t="str">
        <f>IFERROR(IF($G4081="","",VLOOKUP('Dashboard And Emails Automate'!$G4081,Database!$H:$N,6,0)),"")</f>
        <v/>
      </c>
      <c r="M4081" s="55" t="str">
        <f>IFERROR(IF($G4081="","",VLOOKUP('Dashboard And Emails Automate'!$G4081,Database!$H:$N,7,0)),"")</f>
        <v/>
      </c>
      <c r="N4081" s="55" t="str">
        <f>IFERROR(IF(OR($B4081="",$B4081="(blank)"),"",VLOOKUP($B4081,'Email Marketing Raw Data'!$C:$O,6,0)),"")</f>
        <v/>
      </c>
      <c r="O4081" s="55" t="str">
        <f>IFERROR(IF(OR($B4081="",$B4081="(blank)"),"",VLOOKUP($B4081,'Email Marketing Raw Data'!$C:$O,7,0)),"")</f>
        <v/>
      </c>
      <c r="P4081" s="55" t="str">
        <f>IFERROR(IF(OR($B4081="",$B4081="(blank)"),"",VLOOKUP($B4081,'Email Marketing Raw Data'!$C:$O,8,0)),"")</f>
        <v/>
      </c>
      <c r="Q4081" s="62" t="str">
        <f>IFERROR(IF(OR($B4081="",$B4081="(blank)"),"",VLOOKUP($B4081,'Email Marketing Raw Data'!$C:$O,9,0)),"")</f>
        <v/>
      </c>
    </row>
    <row r="4082" spans="4:17" ht="12.75" customHeight="1" x14ac:dyDescent="0.2">
      <c r="D4082" s="58" t="str">
        <f>IFERROR(IF(F4082&lt;&gt;"pending","",IF(OR($B4082="",$B4082="(blank)"),"",VLOOKUP($B4082,'Email Marketing Raw Data'!$C:$O,10,0))),"")</f>
        <v/>
      </c>
      <c r="E4082" s="59" t="str">
        <f>IFERROR(IF(F4082&lt;&gt;"pending","",IF(OR($B4082="",$B4082="(blank)"),"",VLOOKUP($B4082,'Email Marketing Raw Data'!$C:$O,11,0))),"")</f>
        <v/>
      </c>
      <c r="F4082" s="54" t="str">
        <f>IFERROR(IF(OR($B4082="",$B4082="(blank)"),"",VLOOKUP($B4082,'Email Marketing Raw Data'!$C:$O,13,0)),"")</f>
        <v/>
      </c>
      <c r="G4082" s="55" t="str">
        <f>IFERROR(IF(OR($B4082="",$B4082="(blank)"),"",VLOOKUP($B4082,'Email Marketing Raw Data'!$C:$O,4,0)),"")</f>
        <v/>
      </c>
      <c r="H4082" s="55" t="str">
        <f>IFERROR(IF(OR($B4082="",$B4082="(blank)"),"",VLOOKUP($B4082,'Email Marketing Raw Data'!$C:$O,5,0)),"")</f>
        <v/>
      </c>
      <c r="I4082" s="55" t="str">
        <f>IFERROR(IF($G4082="","",VLOOKUP('Dashboard And Emails Automate'!$G4082,Database!$H:$N,3,0)),"")</f>
        <v/>
      </c>
      <c r="J4082" s="55" t="str">
        <f>IFERROR(IF($G4082="","",VLOOKUP('Dashboard And Emails Automate'!$G4082,Database!$H:$N,4,0)),"")</f>
        <v/>
      </c>
      <c r="K4082" s="55" t="str">
        <f>IFERROR(IF($G4082="","",VLOOKUP('Dashboard And Emails Automate'!$G4082,Database!$H:$N,5,0)),"")</f>
        <v/>
      </c>
      <c r="L4082" s="55" t="str">
        <f>IFERROR(IF($G4082="","",VLOOKUP('Dashboard And Emails Automate'!$G4082,Database!$H:$N,6,0)),"")</f>
        <v/>
      </c>
      <c r="M4082" s="55" t="str">
        <f>IFERROR(IF($G4082="","",VLOOKUP('Dashboard And Emails Automate'!$G4082,Database!$H:$N,7,0)),"")</f>
        <v/>
      </c>
      <c r="N4082" s="55" t="str">
        <f>IFERROR(IF(OR($B4082="",$B4082="(blank)"),"",VLOOKUP($B4082,'Email Marketing Raw Data'!$C:$O,6,0)),"")</f>
        <v/>
      </c>
      <c r="O4082" s="55" t="str">
        <f>IFERROR(IF(OR($B4082="",$B4082="(blank)"),"",VLOOKUP($B4082,'Email Marketing Raw Data'!$C:$O,7,0)),"")</f>
        <v/>
      </c>
      <c r="P4082" s="55" t="str">
        <f>IFERROR(IF(OR($B4082="",$B4082="(blank)"),"",VLOOKUP($B4082,'Email Marketing Raw Data'!$C:$O,8,0)),"")</f>
        <v/>
      </c>
      <c r="Q4082" s="62" t="str">
        <f>IFERROR(IF(OR($B4082="",$B4082="(blank)"),"",VLOOKUP($B4082,'Email Marketing Raw Data'!$C:$O,9,0)),"")</f>
        <v/>
      </c>
    </row>
    <row r="4083" spans="4:17" ht="12.75" customHeight="1" x14ac:dyDescent="0.2">
      <c r="D4083" s="58" t="str">
        <f>IFERROR(IF(F4083&lt;&gt;"pending","",IF(OR($B4083="",$B4083="(blank)"),"",VLOOKUP($B4083,'Email Marketing Raw Data'!$C:$O,10,0))),"")</f>
        <v/>
      </c>
      <c r="E4083" s="59" t="str">
        <f>IFERROR(IF(F4083&lt;&gt;"pending","",IF(OR($B4083="",$B4083="(blank)"),"",VLOOKUP($B4083,'Email Marketing Raw Data'!$C:$O,11,0))),"")</f>
        <v/>
      </c>
      <c r="F4083" s="54" t="str">
        <f>IFERROR(IF(OR($B4083="",$B4083="(blank)"),"",VLOOKUP($B4083,'Email Marketing Raw Data'!$C:$O,13,0)),"")</f>
        <v/>
      </c>
      <c r="G4083" s="55" t="str">
        <f>IFERROR(IF(OR($B4083="",$B4083="(blank)"),"",VLOOKUP($B4083,'Email Marketing Raw Data'!$C:$O,4,0)),"")</f>
        <v/>
      </c>
      <c r="H4083" s="55" t="str">
        <f>IFERROR(IF(OR($B4083="",$B4083="(blank)"),"",VLOOKUP($B4083,'Email Marketing Raw Data'!$C:$O,5,0)),"")</f>
        <v/>
      </c>
      <c r="I4083" s="55" t="str">
        <f>IFERROR(IF($G4083="","",VLOOKUP('Dashboard And Emails Automate'!$G4083,Database!$H:$N,3,0)),"")</f>
        <v/>
      </c>
      <c r="J4083" s="55" t="str">
        <f>IFERROR(IF($G4083="","",VLOOKUP('Dashboard And Emails Automate'!$G4083,Database!$H:$N,4,0)),"")</f>
        <v/>
      </c>
      <c r="K4083" s="55" t="str">
        <f>IFERROR(IF($G4083="","",VLOOKUP('Dashboard And Emails Automate'!$G4083,Database!$H:$N,5,0)),"")</f>
        <v/>
      </c>
      <c r="L4083" s="55" t="str">
        <f>IFERROR(IF($G4083="","",VLOOKUP('Dashboard And Emails Automate'!$G4083,Database!$H:$N,6,0)),"")</f>
        <v/>
      </c>
      <c r="M4083" s="55" t="str">
        <f>IFERROR(IF($G4083="","",VLOOKUP('Dashboard And Emails Automate'!$G4083,Database!$H:$N,7,0)),"")</f>
        <v/>
      </c>
      <c r="N4083" s="55" t="str">
        <f>IFERROR(IF(OR($B4083="",$B4083="(blank)"),"",VLOOKUP($B4083,'Email Marketing Raw Data'!$C:$O,6,0)),"")</f>
        <v/>
      </c>
      <c r="O4083" s="55" t="str">
        <f>IFERROR(IF(OR($B4083="",$B4083="(blank)"),"",VLOOKUP($B4083,'Email Marketing Raw Data'!$C:$O,7,0)),"")</f>
        <v/>
      </c>
      <c r="P4083" s="55" t="str">
        <f>IFERROR(IF(OR($B4083="",$B4083="(blank)"),"",VLOOKUP($B4083,'Email Marketing Raw Data'!$C:$O,8,0)),"")</f>
        <v/>
      </c>
      <c r="Q4083" s="62" t="str">
        <f>IFERROR(IF(OR($B4083="",$B4083="(blank)"),"",VLOOKUP($B4083,'Email Marketing Raw Data'!$C:$O,9,0)),"")</f>
        <v/>
      </c>
    </row>
    <row r="4084" spans="4:17" ht="12.75" customHeight="1" x14ac:dyDescent="0.2">
      <c r="D4084" s="58" t="str">
        <f>IFERROR(IF(F4084&lt;&gt;"pending","",IF(OR($B4084="",$B4084="(blank)"),"",VLOOKUP($B4084,'Email Marketing Raw Data'!$C:$O,10,0))),"")</f>
        <v/>
      </c>
      <c r="E4084" s="59" t="str">
        <f>IFERROR(IF(F4084&lt;&gt;"pending","",IF(OR($B4084="",$B4084="(blank)"),"",VLOOKUP($B4084,'Email Marketing Raw Data'!$C:$O,11,0))),"")</f>
        <v/>
      </c>
      <c r="F4084" s="54" t="str">
        <f>IFERROR(IF(OR($B4084="",$B4084="(blank)"),"",VLOOKUP($B4084,'Email Marketing Raw Data'!$C:$O,13,0)),"")</f>
        <v/>
      </c>
      <c r="G4084" s="55" t="str">
        <f>IFERROR(IF(OR($B4084="",$B4084="(blank)"),"",VLOOKUP($B4084,'Email Marketing Raw Data'!$C:$O,4,0)),"")</f>
        <v/>
      </c>
      <c r="H4084" s="55" t="str">
        <f>IFERROR(IF(OR($B4084="",$B4084="(blank)"),"",VLOOKUP($B4084,'Email Marketing Raw Data'!$C:$O,5,0)),"")</f>
        <v/>
      </c>
      <c r="I4084" s="55" t="str">
        <f>IFERROR(IF($G4084="","",VLOOKUP('Dashboard And Emails Automate'!$G4084,Database!$H:$N,3,0)),"")</f>
        <v/>
      </c>
      <c r="J4084" s="55" t="str">
        <f>IFERROR(IF($G4084="","",VLOOKUP('Dashboard And Emails Automate'!$G4084,Database!$H:$N,4,0)),"")</f>
        <v/>
      </c>
      <c r="K4084" s="55" t="str">
        <f>IFERROR(IF($G4084="","",VLOOKUP('Dashboard And Emails Automate'!$G4084,Database!$H:$N,5,0)),"")</f>
        <v/>
      </c>
      <c r="L4084" s="55" t="str">
        <f>IFERROR(IF($G4084="","",VLOOKUP('Dashboard And Emails Automate'!$G4084,Database!$H:$N,6,0)),"")</f>
        <v/>
      </c>
      <c r="M4084" s="55" t="str">
        <f>IFERROR(IF($G4084="","",VLOOKUP('Dashboard And Emails Automate'!$G4084,Database!$H:$N,7,0)),"")</f>
        <v/>
      </c>
      <c r="N4084" s="55" t="str">
        <f>IFERROR(IF(OR($B4084="",$B4084="(blank)"),"",VLOOKUP($B4084,'Email Marketing Raw Data'!$C:$O,6,0)),"")</f>
        <v/>
      </c>
      <c r="O4084" s="55" t="str">
        <f>IFERROR(IF(OR($B4084="",$B4084="(blank)"),"",VLOOKUP($B4084,'Email Marketing Raw Data'!$C:$O,7,0)),"")</f>
        <v/>
      </c>
      <c r="P4084" s="55" t="str">
        <f>IFERROR(IF(OR($B4084="",$B4084="(blank)"),"",VLOOKUP($B4084,'Email Marketing Raw Data'!$C:$O,8,0)),"")</f>
        <v/>
      </c>
      <c r="Q4084" s="62" t="str">
        <f>IFERROR(IF(OR($B4084="",$B4084="(blank)"),"",VLOOKUP($B4084,'Email Marketing Raw Data'!$C:$O,9,0)),"")</f>
        <v/>
      </c>
    </row>
    <row r="4085" spans="4:17" ht="12.75" customHeight="1" x14ac:dyDescent="0.2">
      <c r="D4085" s="58" t="str">
        <f>IFERROR(IF(F4085&lt;&gt;"pending","",IF(OR($B4085="",$B4085="(blank)"),"",VLOOKUP($B4085,'Email Marketing Raw Data'!$C:$O,10,0))),"")</f>
        <v/>
      </c>
      <c r="E4085" s="59" t="str">
        <f>IFERROR(IF(F4085&lt;&gt;"pending","",IF(OR($B4085="",$B4085="(blank)"),"",VLOOKUP($B4085,'Email Marketing Raw Data'!$C:$O,11,0))),"")</f>
        <v/>
      </c>
      <c r="F4085" s="54" t="str">
        <f>IFERROR(IF(OR($B4085="",$B4085="(blank)"),"",VLOOKUP($B4085,'Email Marketing Raw Data'!$C:$O,13,0)),"")</f>
        <v/>
      </c>
      <c r="G4085" s="55" t="str">
        <f>IFERROR(IF(OR($B4085="",$B4085="(blank)"),"",VLOOKUP($B4085,'Email Marketing Raw Data'!$C:$O,4,0)),"")</f>
        <v/>
      </c>
      <c r="H4085" s="55" t="str">
        <f>IFERROR(IF(OR($B4085="",$B4085="(blank)"),"",VLOOKUP($B4085,'Email Marketing Raw Data'!$C:$O,5,0)),"")</f>
        <v/>
      </c>
      <c r="I4085" s="55" t="str">
        <f>IFERROR(IF($G4085="","",VLOOKUP('Dashboard And Emails Automate'!$G4085,Database!$H:$N,3,0)),"")</f>
        <v/>
      </c>
      <c r="J4085" s="55" t="str">
        <f>IFERROR(IF($G4085="","",VLOOKUP('Dashboard And Emails Automate'!$G4085,Database!$H:$N,4,0)),"")</f>
        <v/>
      </c>
      <c r="K4085" s="55" t="str">
        <f>IFERROR(IF($G4085="","",VLOOKUP('Dashboard And Emails Automate'!$G4085,Database!$H:$N,5,0)),"")</f>
        <v/>
      </c>
      <c r="L4085" s="55" t="str">
        <f>IFERROR(IF($G4085="","",VLOOKUP('Dashboard And Emails Automate'!$G4085,Database!$H:$N,6,0)),"")</f>
        <v/>
      </c>
      <c r="M4085" s="55" t="str">
        <f>IFERROR(IF($G4085="","",VLOOKUP('Dashboard And Emails Automate'!$G4085,Database!$H:$N,7,0)),"")</f>
        <v/>
      </c>
      <c r="N4085" s="55" t="str">
        <f>IFERROR(IF(OR($B4085="",$B4085="(blank)"),"",VLOOKUP($B4085,'Email Marketing Raw Data'!$C:$O,6,0)),"")</f>
        <v/>
      </c>
      <c r="O4085" s="55" t="str">
        <f>IFERROR(IF(OR($B4085="",$B4085="(blank)"),"",VLOOKUP($B4085,'Email Marketing Raw Data'!$C:$O,7,0)),"")</f>
        <v/>
      </c>
      <c r="P4085" s="55" t="str">
        <f>IFERROR(IF(OR($B4085="",$B4085="(blank)"),"",VLOOKUP($B4085,'Email Marketing Raw Data'!$C:$O,8,0)),"")</f>
        <v/>
      </c>
      <c r="Q4085" s="62" t="str">
        <f>IFERROR(IF(OR($B4085="",$B4085="(blank)"),"",VLOOKUP($B4085,'Email Marketing Raw Data'!$C:$O,9,0)),"")</f>
        <v/>
      </c>
    </row>
    <row r="4086" spans="4:17" ht="12.75" customHeight="1" x14ac:dyDescent="0.2">
      <c r="D4086" s="58" t="str">
        <f>IFERROR(IF(F4086&lt;&gt;"pending","",IF(OR($B4086="",$B4086="(blank)"),"",VLOOKUP($B4086,'Email Marketing Raw Data'!$C:$O,10,0))),"")</f>
        <v/>
      </c>
      <c r="E4086" s="59" t="str">
        <f>IFERROR(IF(F4086&lt;&gt;"pending","",IF(OR($B4086="",$B4086="(blank)"),"",VLOOKUP($B4086,'Email Marketing Raw Data'!$C:$O,11,0))),"")</f>
        <v/>
      </c>
      <c r="F4086" s="54" t="str">
        <f>IFERROR(IF(OR($B4086="",$B4086="(blank)"),"",VLOOKUP($B4086,'Email Marketing Raw Data'!$C:$O,13,0)),"")</f>
        <v/>
      </c>
      <c r="G4086" s="55" t="str">
        <f>IFERROR(IF(OR($B4086="",$B4086="(blank)"),"",VLOOKUP($B4086,'Email Marketing Raw Data'!$C:$O,4,0)),"")</f>
        <v/>
      </c>
      <c r="H4086" s="55" t="str">
        <f>IFERROR(IF(OR($B4086="",$B4086="(blank)"),"",VLOOKUP($B4086,'Email Marketing Raw Data'!$C:$O,5,0)),"")</f>
        <v/>
      </c>
      <c r="I4086" s="55" t="str">
        <f>IFERROR(IF($G4086="","",VLOOKUP('Dashboard And Emails Automate'!$G4086,Database!$H:$N,3,0)),"")</f>
        <v/>
      </c>
      <c r="J4086" s="55" t="str">
        <f>IFERROR(IF($G4086="","",VLOOKUP('Dashboard And Emails Automate'!$G4086,Database!$H:$N,4,0)),"")</f>
        <v/>
      </c>
      <c r="K4086" s="55" t="str">
        <f>IFERROR(IF($G4086="","",VLOOKUP('Dashboard And Emails Automate'!$G4086,Database!$H:$N,5,0)),"")</f>
        <v/>
      </c>
      <c r="L4086" s="55" t="str">
        <f>IFERROR(IF($G4086="","",VLOOKUP('Dashboard And Emails Automate'!$G4086,Database!$H:$N,6,0)),"")</f>
        <v/>
      </c>
      <c r="M4086" s="55" t="str">
        <f>IFERROR(IF($G4086="","",VLOOKUP('Dashboard And Emails Automate'!$G4086,Database!$H:$N,7,0)),"")</f>
        <v/>
      </c>
      <c r="N4086" s="55" t="str">
        <f>IFERROR(IF(OR($B4086="",$B4086="(blank)"),"",VLOOKUP($B4086,'Email Marketing Raw Data'!$C:$O,6,0)),"")</f>
        <v/>
      </c>
      <c r="O4086" s="55" t="str">
        <f>IFERROR(IF(OR($B4086="",$B4086="(blank)"),"",VLOOKUP($B4086,'Email Marketing Raw Data'!$C:$O,7,0)),"")</f>
        <v/>
      </c>
      <c r="P4086" s="55" t="str">
        <f>IFERROR(IF(OR($B4086="",$B4086="(blank)"),"",VLOOKUP($B4086,'Email Marketing Raw Data'!$C:$O,8,0)),"")</f>
        <v/>
      </c>
      <c r="Q4086" s="62" t="str">
        <f>IFERROR(IF(OR($B4086="",$B4086="(blank)"),"",VLOOKUP($B4086,'Email Marketing Raw Data'!$C:$O,9,0)),"")</f>
        <v/>
      </c>
    </row>
    <row r="4087" spans="4:17" ht="12.75" customHeight="1" x14ac:dyDescent="0.2">
      <c r="D4087" s="58" t="str">
        <f>IFERROR(IF(F4087&lt;&gt;"pending","",IF(OR($B4087="",$B4087="(blank)"),"",VLOOKUP($B4087,'Email Marketing Raw Data'!$C:$O,10,0))),"")</f>
        <v/>
      </c>
      <c r="E4087" s="59" t="str">
        <f>IFERROR(IF(F4087&lt;&gt;"pending","",IF(OR($B4087="",$B4087="(blank)"),"",VLOOKUP($B4087,'Email Marketing Raw Data'!$C:$O,11,0))),"")</f>
        <v/>
      </c>
      <c r="F4087" s="54" t="str">
        <f>IFERROR(IF(OR($B4087="",$B4087="(blank)"),"",VLOOKUP($B4087,'Email Marketing Raw Data'!$C:$O,13,0)),"")</f>
        <v/>
      </c>
      <c r="G4087" s="55" t="str">
        <f>IFERROR(IF(OR($B4087="",$B4087="(blank)"),"",VLOOKUP($B4087,'Email Marketing Raw Data'!$C:$O,4,0)),"")</f>
        <v/>
      </c>
      <c r="H4087" s="55" t="str">
        <f>IFERROR(IF(OR($B4087="",$B4087="(blank)"),"",VLOOKUP($B4087,'Email Marketing Raw Data'!$C:$O,5,0)),"")</f>
        <v/>
      </c>
      <c r="I4087" s="55" t="str">
        <f>IFERROR(IF($G4087="","",VLOOKUP('Dashboard And Emails Automate'!$G4087,Database!$H:$N,3,0)),"")</f>
        <v/>
      </c>
      <c r="J4087" s="55" t="str">
        <f>IFERROR(IF($G4087="","",VLOOKUP('Dashboard And Emails Automate'!$G4087,Database!$H:$N,4,0)),"")</f>
        <v/>
      </c>
      <c r="K4087" s="55" t="str">
        <f>IFERROR(IF($G4087="","",VLOOKUP('Dashboard And Emails Automate'!$G4087,Database!$H:$N,5,0)),"")</f>
        <v/>
      </c>
      <c r="L4087" s="55" t="str">
        <f>IFERROR(IF($G4087="","",VLOOKUP('Dashboard And Emails Automate'!$G4087,Database!$H:$N,6,0)),"")</f>
        <v/>
      </c>
      <c r="M4087" s="55" t="str">
        <f>IFERROR(IF($G4087="","",VLOOKUP('Dashboard And Emails Automate'!$G4087,Database!$H:$N,7,0)),"")</f>
        <v/>
      </c>
      <c r="N4087" s="55" t="str">
        <f>IFERROR(IF(OR($B4087="",$B4087="(blank)"),"",VLOOKUP($B4087,'Email Marketing Raw Data'!$C:$O,6,0)),"")</f>
        <v/>
      </c>
      <c r="O4087" s="55" t="str">
        <f>IFERROR(IF(OR($B4087="",$B4087="(blank)"),"",VLOOKUP($B4087,'Email Marketing Raw Data'!$C:$O,7,0)),"")</f>
        <v/>
      </c>
      <c r="P4087" s="55" t="str">
        <f>IFERROR(IF(OR($B4087="",$B4087="(blank)"),"",VLOOKUP($B4087,'Email Marketing Raw Data'!$C:$O,8,0)),"")</f>
        <v/>
      </c>
      <c r="Q4087" s="62" t="str">
        <f>IFERROR(IF(OR($B4087="",$B4087="(blank)"),"",VLOOKUP($B4087,'Email Marketing Raw Data'!$C:$O,9,0)),"")</f>
        <v/>
      </c>
    </row>
    <row r="4088" spans="4:17" ht="12.75" customHeight="1" x14ac:dyDescent="0.2">
      <c r="D4088" s="58" t="str">
        <f>IFERROR(IF(F4088&lt;&gt;"pending","",IF(OR($B4088="",$B4088="(blank)"),"",VLOOKUP($B4088,'Email Marketing Raw Data'!$C:$O,10,0))),"")</f>
        <v/>
      </c>
      <c r="E4088" s="59" t="str">
        <f>IFERROR(IF(F4088&lt;&gt;"pending","",IF(OR($B4088="",$B4088="(blank)"),"",VLOOKUP($B4088,'Email Marketing Raw Data'!$C:$O,11,0))),"")</f>
        <v/>
      </c>
      <c r="F4088" s="54" t="str">
        <f>IFERROR(IF(OR($B4088="",$B4088="(blank)"),"",VLOOKUP($B4088,'Email Marketing Raw Data'!$C:$O,13,0)),"")</f>
        <v/>
      </c>
      <c r="G4088" s="55" t="str">
        <f>IFERROR(IF(OR($B4088="",$B4088="(blank)"),"",VLOOKUP($B4088,'Email Marketing Raw Data'!$C:$O,4,0)),"")</f>
        <v/>
      </c>
      <c r="H4088" s="55" t="str">
        <f>IFERROR(IF(OR($B4088="",$B4088="(blank)"),"",VLOOKUP($B4088,'Email Marketing Raw Data'!$C:$O,5,0)),"")</f>
        <v/>
      </c>
      <c r="I4088" s="55" t="str">
        <f>IFERROR(IF($G4088="","",VLOOKUP('Dashboard And Emails Automate'!$G4088,Database!$H:$N,3,0)),"")</f>
        <v/>
      </c>
      <c r="J4088" s="55" t="str">
        <f>IFERROR(IF($G4088="","",VLOOKUP('Dashboard And Emails Automate'!$G4088,Database!$H:$N,4,0)),"")</f>
        <v/>
      </c>
      <c r="K4088" s="55" t="str">
        <f>IFERROR(IF($G4088="","",VLOOKUP('Dashboard And Emails Automate'!$G4088,Database!$H:$N,5,0)),"")</f>
        <v/>
      </c>
      <c r="L4088" s="55" t="str">
        <f>IFERROR(IF($G4088="","",VLOOKUP('Dashboard And Emails Automate'!$G4088,Database!$H:$N,6,0)),"")</f>
        <v/>
      </c>
      <c r="M4088" s="55" t="str">
        <f>IFERROR(IF($G4088="","",VLOOKUP('Dashboard And Emails Automate'!$G4088,Database!$H:$N,7,0)),"")</f>
        <v/>
      </c>
      <c r="N4088" s="55" t="str">
        <f>IFERROR(IF(OR($B4088="",$B4088="(blank)"),"",VLOOKUP($B4088,'Email Marketing Raw Data'!$C:$O,6,0)),"")</f>
        <v/>
      </c>
      <c r="O4088" s="55" t="str">
        <f>IFERROR(IF(OR($B4088="",$B4088="(blank)"),"",VLOOKUP($B4088,'Email Marketing Raw Data'!$C:$O,7,0)),"")</f>
        <v/>
      </c>
      <c r="P4088" s="55" t="str">
        <f>IFERROR(IF(OR($B4088="",$B4088="(blank)"),"",VLOOKUP($B4088,'Email Marketing Raw Data'!$C:$O,8,0)),"")</f>
        <v/>
      </c>
      <c r="Q4088" s="62" t="str">
        <f>IFERROR(IF(OR($B4088="",$B4088="(blank)"),"",VLOOKUP($B4088,'Email Marketing Raw Data'!$C:$O,9,0)),"")</f>
        <v/>
      </c>
    </row>
    <row r="4089" spans="4:17" ht="12.75" customHeight="1" x14ac:dyDescent="0.2">
      <c r="D4089" s="58" t="str">
        <f>IFERROR(IF(F4089&lt;&gt;"pending","",IF(OR($B4089="",$B4089="(blank)"),"",VLOOKUP($B4089,'Email Marketing Raw Data'!$C:$O,10,0))),"")</f>
        <v/>
      </c>
      <c r="E4089" s="59" t="str">
        <f>IFERROR(IF(F4089&lt;&gt;"pending","",IF(OR($B4089="",$B4089="(blank)"),"",VLOOKUP($B4089,'Email Marketing Raw Data'!$C:$O,11,0))),"")</f>
        <v/>
      </c>
      <c r="F4089" s="54" t="str">
        <f>IFERROR(IF(OR($B4089="",$B4089="(blank)"),"",VLOOKUP($B4089,'Email Marketing Raw Data'!$C:$O,13,0)),"")</f>
        <v/>
      </c>
      <c r="G4089" s="55" t="str">
        <f>IFERROR(IF(OR($B4089="",$B4089="(blank)"),"",VLOOKUP($B4089,'Email Marketing Raw Data'!$C:$O,4,0)),"")</f>
        <v/>
      </c>
      <c r="H4089" s="55" t="str">
        <f>IFERROR(IF(OR($B4089="",$B4089="(blank)"),"",VLOOKUP($B4089,'Email Marketing Raw Data'!$C:$O,5,0)),"")</f>
        <v/>
      </c>
      <c r="I4089" s="55" t="str">
        <f>IFERROR(IF($G4089="","",VLOOKUP('Dashboard And Emails Automate'!$G4089,Database!$H:$N,3,0)),"")</f>
        <v/>
      </c>
      <c r="J4089" s="55" t="str">
        <f>IFERROR(IF($G4089="","",VLOOKUP('Dashboard And Emails Automate'!$G4089,Database!$H:$N,4,0)),"")</f>
        <v/>
      </c>
      <c r="K4089" s="55" t="str">
        <f>IFERROR(IF($G4089="","",VLOOKUP('Dashboard And Emails Automate'!$G4089,Database!$H:$N,5,0)),"")</f>
        <v/>
      </c>
      <c r="L4089" s="55" t="str">
        <f>IFERROR(IF($G4089="","",VLOOKUP('Dashboard And Emails Automate'!$G4089,Database!$H:$N,6,0)),"")</f>
        <v/>
      </c>
      <c r="M4089" s="55" t="str">
        <f>IFERROR(IF($G4089="","",VLOOKUP('Dashboard And Emails Automate'!$G4089,Database!$H:$N,7,0)),"")</f>
        <v/>
      </c>
      <c r="N4089" s="55" t="str">
        <f>IFERROR(IF(OR($B4089="",$B4089="(blank)"),"",VLOOKUP($B4089,'Email Marketing Raw Data'!$C:$O,6,0)),"")</f>
        <v/>
      </c>
      <c r="O4089" s="55" t="str">
        <f>IFERROR(IF(OR($B4089="",$B4089="(blank)"),"",VLOOKUP($B4089,'Email Marketing Raw Data'!$C:$O,7,0)),"")</f>
        <v/>
      </c>
      <c r="P4089" s="55" t="str">
        <f>IFERROR(IF(OR($B4089="",$B4089="(blank)"),"",VLOOKUP($B4089,'Email Marketing Raw Data'!$C:$O,8,0)),"")</f>
        <v/>
      </c>
      <c r="Q4089" s="62" t="str">
        <f>IFERROR(IF(OR($B4089="",$B4089="(blank)"),"",VLOOKUP($B4089,'Email Marketing Raw Data'!$C:$O,9,0)),"")</f>
        <v/>
      </c>
    </row>
    <row r="4090" spans="4:17" ht="12.75" customHeight="1" x14ac:dyDescent="0.2">
      <c r="D4090" s="58" t="str">
        <f>IFERROR(IF(F4090&lt;&gt;"pending","",IF(OR($B4090="",$B4090="(blank)"),"",VLOOKUP($B4090,'Email Marketing Raw Data'!$C:$O,10,0))),"")</f>
        <v/>
      </c>
      <c r="E4090" s="59" t="str">
        <f>IFERROR(IF(F4090&lt;&gt;"pending","",IF(OR($B4090="",$B4090="(blank)"),"",VLOOKUP($B4090,'Email Marketing Raw Data'!$C:$O,11,0))),"")</f>
        <v/>
      </c>
      <c r="F4090" s="54" t="str">
        <f>IFERROR(IF(OR($B4090="",$B4090="(blank)"),"",VLOOKUP($B4090,'Email Marketing Raw Data'!$C:$O,13,0)),"")</f>
        <v/>
      </c>
      <c r="G4090" s="55" t="str">
        <f>IFERROR(IF(OR($B4090="",$B4090="(blank)"),"",VLOOKUP($B4090,'Email Marketing Raw Data'!$C:$O,4,0)),"")</f>
        <v/>
      </c>
      <c r="H4090" s="55" t="str">
        <f>IFERROR(IF(OR($B4090="",$B4090="(blank)"),"",VLOOKUP($B4090,'Email Marketing Raw Data'!$C:$O,5,0)),"")</f>
        <v/>
      </c>
      <c r="I4090" s="55" t="str">
        <f>IFERROR(IF($G4090="","",VLOOKUP('Dashboard And Emails Automate'!$G4090,Database!$H:$N,3,0)),"")</f>
        <v/>
      </c>
      <c r="J4090" s="55" t="str">
        <f>IFERROR(IF($G4090="","",VLOOKUP('Dashboard And Emails Automate'!$G4090,Database!$H:$N,4,0)),"")</f>
        <v/>
      </c>
      <c r="K4090" s="55" t="str">
        <f>IFERROR(IF($G4090="","",VLOOKUP('Dashboard And Emails Automate'!$G4090,Database!$H:$N,5,0)),"")</f>
        <v/>
      </c>
      <c r="L4090" s="55" t="str">
        <f>IFERROR(IF($G4090="","",VLOOKUP('Dashboard And Emails Automate'!$G4090,Database!$H:$N,6,0)),"")</f>
        <v/>
      </c>
      <c r="M4090" s="55" t="str">
        <f>IFERROR(IF($G4090="","",VLOOKUP('Dashboard And Emails Automate'!$G4090,Database!$H:$N,7,0)),"")</f>
        <v/>
      </c>
      <c r="N4090" s="55" t="str">
        <f>IFERROR(IF(OR($B4090="",$B4090="(blank)"),"",VLOOKUP($B4090,'Email Marketing Raw Data'!$C:$O,6,0)),"")</f>
        <v/>
      </c>
      <c r="O4090" s="55" t="str">
        <f>IFERROR(IF(OR($B4090="",$B4090="(blank)"),"",VLOOKUP($B4090,'Email Marketing Raw Data'!$C:$O,7,0)),"")</f>
        <v/>
      </c>
      <c r="P4090" s="55" t="str">
        <f>IFERROR(IF(OR($B4090="",$B4090="(blank)"),"",VLOOKUP($B4090,'Email Marketing Raw Data'!$C:$O,8,0)),"")</f>
        <v/>
      </c>
      <c r="Q4090" s="62" t="str">
        <f>IFERROR(IF(OR($B4090="",$B4090="(blank)"),"",VLOOKUP($B4090,'Email Marketing Raw Data'!$C:$O,9,0)),"")</f>
        <v/>
      </c>
    </row>
    <row r="4091" spans="4:17" ht="12.75" customHeight="1" x14ac:dyDescent="0.2">
      <c r="D4091" s="58" t="str">
        <f>IFERROR(IF(F4091&lt;&gt;"pending","",IF(OR($B4091="",$B4091="(blank)"),"",VLOOKUP($B4091,'Email Marketing Raw Data'!$C:$O,10,0))),"")</f>
        <v/>
      </c>
      <c r="E4091" s="59" t="str">
        <f>IFERROR(IF(F4091&lt;&gt;"pending","",IF(OR($B4091="",$B4091="(blank)"),"",VLOOKUP($B4091,'Email Marketing Raw Data'!$C:$O,11,0))),"")</f>
        <v/>
      </c>
      <c r="F4091" s="54" t="str">
        <f>IFERROR(IF(OR($B4091="",$B4091="(blank)"),"",VLOOKUP($B4091,'Email Marketing Raw Data'!$C:$O,13,0)),"")</f>
        <v/>
      </c>
      <c r="G4091" s="55" t="str">
        <f>IFERROR(IF(OR($B4091="",$B4091="(blank)"),"",VLOOKUP($B4091,'Email Marketing Raw Data'!$C:$O,4,0)),"")</f>
        <v/>
      </c>
      <c r="H4091" s="55" t="str">
        <f>IFERROR(IF(OR($B4091="",$B4091="(blank)"),"",VLOOKUP($B4091,'Email Marketing Raw Data'!$C:$O,5,0)),"")</f>
        <v/>
      </c>
      <c r="I4091" s="55" t="str">
        <f>IFERROR(IF($G4091="","",VLOOKUP('Dashboard And Emails Automate'!$G4091,Database!$H:$N,3,0)),"")</f>
        <v/>
      </c>
      <c r="J4091" s="55" t="str">
        <f>IFERROR(IF($G4091="","",VLOOKUP('Dashboard And Emails Automate'!$G4091,Database!$H:$N,4,0)),"")</f>
        <v/>
      </c>
      <c r="K4091" s="55" t="str">
        <f>IFERROR(IF($G4091="","",VLOOKUP('Dashboard And Emails Automate'!$G4091,Database!$H:$N,5,0)),"")</f>
        <v/>
      </c>
      <c r="L4091" s="55" t="str">
        <f>IFERROR(IF($G4091="","",VLOOKUP('Dashboard And Emails Automate'!$G4091,Database!$H:$N,6,0)),"")</f>
        <v/>
      </c>
      <c r="M4091" s="55" t="str">
        <f>IFERROR(IF($G4091="","",VLOOKUP('Dashboard And Emails Automate'!$G4091,Database!$H:$N,7,0)),"")</f>
        <v/>
      </c>
      <c r="N4091" s="55" t="str">
        <f>IFERROR(IF(OR($B4091="",$B4091="(blank)"),"",VLOOKUP($B4091,'Email Marketing Raw Data'!$C:$O,6,0)),"")</f>
        <v/>
      </c>
      <c r="O4091" s="55" t="str">
        <f>IFERROR(IF(OR($B4091="",$B4091="(blank)"),"",VLOOKUP($B4091,'Email Marketing Raw Data'!$C:$O,7,0)),"")</f>
        <v/>
      </c>
      <c r="P4091" s="55" t="str">
        <f>IFERROR(IF(OR($B4091="",$B4091="(blank)"),"",VLOOKUP($B4091,'Email Marketing Raw Data'!$C:$O,8,0)),"")</f>
        <v/>
      </c>
      <c r="Q4091" s="62" t="str">
        <f>IFERROR(IF(OR($B4091="",$B4091="(blank)"),"",VLOOKUP($B4091,'Email Marketing Raw Data'!$C:$O,9,0)),"")</f>
        <v/>
      </c>
    </row>
    <row r="4092" spans="4:17" ht="12.75" customHeight="1" x14ac:dyDescent="0.2">
      <c r="D4092" s="58" t="str">
        <f>IFERROR(IF(F4092&lt;&gt;"pending","",IF(OR($B4092="",$B4092="(blank)"),"",VLOOKUP($B4092,'Email Marketing Raw Data'!$C:$O,10,0))),"")</f>
        <v/>
      </c>
      <c r="E4092" s="59" t="str">
        <f>IFERROR(IF(F4092&lt;&gt;"pending","",IF(OR($B4092="",$B4092="(blank)"),"",VLOOKUP($B4092,'Email Marketing Raw Data'!$C:$O,11,0))),"")</f>
        <v/>
      </c>
      <c r="F4092" s="54" t="str">
        <f>IFERROR(IF(OR($B4092="",$B4092="(blank)"),"",VLOOKUP($B4092,'Email Marketing Raw Data'!$C:$O,13,0)),"")</f>
        <v/>
      </c>
      <c r="G4092" s="55" t="str">
        <f>IFERROR(IF(OR($B4092="",$B4092="(blank)"),"",VLOOKUP($B4092,'Email Marketing Raw Data'!$C:$O,4,0)),"")</f>
        <v/>
      </c>
      <c r="H4092" s="55" t="str">
        <f>IFERROR(IF(OR($B4092="",$B4092="(blank)"),"",VLOOKUP($B4092,'Email Marketing Raw Data'!$C:$O,5,0)),"")</f>
        <v/>
      </c>
      <c r="I4092" s="55" t="str">
        <f>IFERROR(IF($G4092="","",VLOOKUP('Dashboard And Emails Automate'!$G4092,Database!$H:$N,3,0)),"")</f>
        <v/>
      </c>
      <c r="J4092" s="55" t="str">
        <f>IFERROR(IF($G4092="","",VLOOKUP('Dashboard And Emails Automate'!$G4092,Database!$H:$N,4,0)),"")</f>
        <v/>
      </c>
      <c r="K4092" s="55" t="str">
        <f>IFERROR(IF($G4092="","",VLOOKUP('Dashboard And Emails Automate'!$G4092,Database!$H:$N,5,0)),"")</f>
        <v/>
      </c>
      <c r="L4092" s="55" t="str">
        <f>IFERROR(IF($G4092="","",VLOOKUP('Dashboard And Emails Automate'!$G4092,Database!$H:$N,6,0)),"")</f>
        <v/>
      </c>
      <c r="M4092" s="55" t="str">
        <f>IFERROR(IF($G4092="","",VLOOKUP('Dashboard And Emails Automate'!$G4092,Database!$H:$N,7,0)),"")</f>
        <v/>
      </c>
      <c r="N4092" s="55" t="str">
        <f>IFERROR(IF(OR($B4092="",$B4092="(blank)"),"",VLOOKUP($B4092,'Email Marketing Raw Data'!$C:$O,6,0)),"")</f>
        <v/>
      </c>
      <c r="O4092" s="55" t="str">
        <f>IFERROR(IF(OR($B4092="",$B4092="(blank)"),"",VLOOKUP($B4092,'Email Marketing Raw Data'!$C:$O,7,0)),"")</f>
        <v/>
      </c>
      <c r="P4092" s="55" t="str">
        <f>IFERROR(IF(OR($B4092="",$B4092="(blank)"),"",VLOOKUP($B4092,'Email Marketing Raw Data'!$C:$O,8,0)),"")</f>
        <v/>
      </c>
      <c r="Q4092" s="62" t="str">
        <f>IFERROR(IF(OR($B4092="",$B4092="(blank)"),"",VLOOKUP($B4092,'Email Marketing Raw Data'!$C:$O,9,0)),"")</f>
        <v/>
      </c>
    </row>
    <row r="4093" spans="4:17" ht="12.75" customHeight="1" x14ac:dyDescent="0.2">
      <c r="D4093" s="58" t="str">
        <f>IFERROR(IF(F4093&lt;&gt;"pending","",IF(OR($B4093="",$B4093="(blank)"),"",VLOOKUP($B4093,'Email Marketing Raw Data'!$C:$O,10,0))),"")</f>
        <v/>
      </c>
      <c r="E4093" s="59" t="str">
        <f>IFERROR(IF(F4093&lt;&gt;"pending","",IF(OR($B4093="",$B4093="(blank)"),"",VLOOKUP($B4093,'Email Marketing Raw Data'!$C:$O,11,0))),"")</f>
        <v/>
      </c>
      <c r="F4093" s="54" t="str">
        <f>IFERROR(IF(OR($B4093="",$B4093="(blank)"),"",VLOOKUP($B4093,'Email Marketing Raw Data'!$C:$O,13,0)),"")</f>
        <v/>
      </c>
      <c r="G4093" s="55" t="str">
        <f>IFERROR(IF(OR($B4093="",$B4093="(blank)"),"",VLOOKUP($B4093,'Email Marketing Raw Data'!$C:$O,4,0)),"")</f>
        <v/>
      </c>
      <c r="H4093" s="55" t="str">
        <f>IFERROR(IF(OR($B4093="",$B4093="(blank)"),"",VLOOKUP($B4093,'Email Marketing Raw Data'!$C:$O,5,0)),"")</f>
        <v/>
      </c>
      <c r="I4093" s="55" t="str">
        <f>IFERROR(IF($G4093="","",VLOOKUP('Dashboard And Emails Automate'!$G4093,Database!$H:$N,3,0)),"")</f>
        <v/>
      </c>
      <c r="J4093" s="55" t="str">
        <f>IFERROR(IF($G4093="","",VLOOKUP('Dashboard And Emails Automate'!$G4093,Database!$H:$N,4,0)),"")</f>
        <v/>
      </c>
      <c r="K4093" s="55" t="str">
        <f>IFERROR(IF($G4093="","",VLOOKUP('Dashboard And Emails Automate'!$G4093,Database!$H:$N,5,0)),"")</f>
        <v/>
      </c>
      <c r="L4093" s="55" t="str">
        <f>IFERROR(IF($G4093="","",VLOOKUP('Dashboard And Emails Automate'!$G4093,Database!$H:$N,6,0)),"")</f>
        <v/>
      </c>
      <c r="M4093" s="55" t="str">
        <f>IFERROR(IF($G4093="","",VLOOKUP('Dashboard And Emails Automate'!$G4093,Database!$H:$N,7,0)),"")</f>
        <v/>
      </c>
      <c r="N4093" s="55" t="str">
        <f>IFERROR(IF(OR($B4093="",$B4093="(blank)"),"",VLOOKUP($B4093,'Email Marketing Raw Data'!$C:$O,6,0)),"")</f>
        <v/>
      </c>
      <c r="O4093" s="55" t="str">
        <f>IFERROR(IF(OR($B4093="",$B4093="(blank)"),"",VLOOKUP($B4093,'Email Marketing Raw Data'!$C:$O,7,0)),"")</f>
        <v/>
      </c>
      <c r="P4093" s="55" t="str">
        <f>IFERROR(IF(OR($B4093="",$B4093="(blank)"),"",VLOOKUP($B4093,'Email Marketing Raw Data'!$C:$O,8,0)),"")</f>
        <v/>
      </c>
      <c r="Q4093" s="62" t="str">
        <f>IFERROR(IF(OR($B4093="",$B4093="(blank)"),"",VLOOKUP($B4093,'Email Marketing Raw Data'!$C:$O,9,0)),"")</f>
        <v/>
      </c>
    </row>
    <row r="4094" spans="4:17" ht="12.75" customHeight="1" x14ac:dyDescent="0.2">
      <c r="D4094" s="58" t="str">
        <f>IFERROR(IF(F4094&lt;&gt;"pending","",IF(OR($B4094="",$B4094="(blank)"),"",VLOOKUP($B4094,'Email Marketing Raw Data'!$C:$O,10,0))),"")</f>
        <v/>
      </c>
      <c r="E4094" s="59" t="str">
        <f>IFERROR(IF(F4094&lt;&gt;"pending","",IF(OR($B4094="",$B4094="(blank)"),"",VLOOKUP($B4094,'Email Marketing Raw Data'!$C:$O,11,0))),"")</f>
        <v/>
      </c>
      <c r="F4094" s="54" t="str">
        <f>IFERROR(IF(OR($B4094="",$B4094="(blank)"),"",VLOOKUP($B4094,'Email Marketing Raw Data'!$C:$O,13,0)),"")</f>
        <v/>
      </c>
      <c r="G4094" s="55" t="str">
        <f>IFERROR(IF(OR($B4094="",$B4094="(blank)"),"",VLOOKUP($B4094,'Email Marketing Raw Data'!$C:$O,4,0)),"")</f>
        <v/>
      </c>
      <c r="H4094" s="55" t="str">
        <f>IFERROR(IF(OR($B4094="",$B4094="(blank)"),"",VLOOKUP($B4094,'Email Marketing Raw Data'!$C:$O,5,0)),"")</f>
        <v/>
      </c>
      <c r="I4094" s="55" t="str">
        <f>IFERROR(IF($G4094="","",VLOOKUP('Dashboard And Emails Automate'!$G4094,Database!$H:$N,3,0)),"")</f>
        <v/>
      </c>
      <c r="J4094" s="55" t="str">
        <f>IFERROR(IF($G4094="","",VLOOKUP('Dashboard And Emails Automate'!$G4094,Database!$H:$N,4,0)),"")</f>
        <v/>
      </c>
      <c r="K4094" s="55" t="str">
        <f>IFERROR(IF($G4094="","",VLOOKUP('Dashboard And Emails Automate'!$G4094,Database!$H:$N,5,0)),"")</f>
        <v/>
      </c>
      <c r="L4094" s="55" t="str">
        <f>IFERROR(IF($G4094="","",VLOOKUP('Dashboard And Emails Automate'!$G4094,Database!$H:$N,6,0)),"")</f>
        <v/>
      </c>
      <c r="M4094" s="55" t="str">
        <f>IFERROR(IF($G4094="","",VLOOKUP('Dashboard And Emails Automate'!$G4094,Database!$H:$N,7,0)),"")</f>
        <v/>
      </c>
      <c r="N4094" s="55" t="str">
        <f>IFERROR(IF(OR($B4094="",$B4094="(blank)"),"",VLOOKUP($B4094,'Email Marketing Raw Data'!$C:$O,6,0)),"")</f>
        <v/>
      </c>
      <c r="O4094" s="55" t="str">
        <f>IFERROR(IF(OR($B4094="",$B4094="(blank)"),"",VLOOKUP($B4094,'Email Marketing Raw Data'!$C:$O,7,0)),"")</f>
        <v/>
      </c>
      <c r="P4094" s="55" t="str">
        <f>IFERROR(IF(OR($B4094="",$B4094="(blank)"),"",VLOOKUP($B4094,'Email Marketing Raw Data'!$C:$O,8,0)),"")</f>
        <v/>
      </c>
      <c r="Q4094" s="62" t="str">
        <f>IFERROR(IF(OR($B4094="",$B4094="(blank)"),"",VLOOKUP($B4094,'Email Marketing Raw Data'!$C:$O,9,0)),"")</f>
        <v/>
      </c>
    </row>
    <row r="4095" spans="4:17" ht="12.75" customHeight="1" x14ac:dyDescent="0.2">
      <c r="D4095" s="58" t="str">
        <f>IFERROR(IF(F4095&lt;&gt;"pending","",IF(OR($B4095="",$B4095="(blank)"),"",VLOOKUP($B4095,'Email Marketing Raw Data'!$C:$O,10,0))),"")</f>
        <v/>
      </c>
      <c r="E4095" s="59" t="str">
        <f>IFERROR(IF(F4095&lt;&gt;"pending","",IF(OR($B4095="",$B4095="(blank)"),"",VLOOKUP($B4095,'Email Marketing Raw Data'!$C:$O,11,0))),"")</f>
        <v/>
      </c>
      <c r="F4095" s="54" t="str">
        <f>IFERROR(IF(OR($B4095="",$B4095="(blank)"),"",VLOOKUP($B4095,'Email Marketing Raw Data'!$C:$O,13,0)),"")</f>
        <v/>
      </c>
      <c r="G4095" s="55" t="str">
        <f>IFERROR(IF(OR($B4095="",$B4095="(blank)"),"",VLOOKUP($B4095,'Email Marketing Raw Data'!$C:$O,4,0)),"")</f>
        <v/>
      </c>
      <c r="H4095" s="55" t="str">
        <f>IFERROR(IF(OR($B4095="",$B4095="(blank)"),"",VLOOKUP($B4095,'Email Marketing Raw Data'!$C:$O,5,0)),"")</f>
        <v/>
      </c>
      <c r="I4095" s="55" t="str">
        <f>IFERROR(IF($G4095="","",VLOOKUP('Dashboard And Emails Automate'!$G4095,Database!$H:$N,3,0)),"")</f>
        <v/>
      </c>
      <c r="J4095" s="55" t="str">
        <f>IFERROR(IF($G4095="","",VLOOKUP('Dashboard And Emails Automate'!$G4095,Database!$H:$N,4,0)),"")</f>
        <v/>
      </c>
      <c r="K4095" s="55" t="str">
        <f>IFERROR(IF($G4095="","",VLOOKUP('Dashboard And Emails Automate'!$G4095,Database!$H:$N,5,0)),"")</f>
        <v/>
      </c>
      <c r="L4095" s="55" t="str">
        <f>IFERROR(IF($G4095="","",VLOOKUP('Dashboard And Emails Automate'!$G4095,Database!$H:$N,6,0)),"")</f>
        <v/>
      </c>
      <c r="M4095" s="55" t="str">
        <f>IFERROR(IF($G4095="","",VLOOKUP('Dashboard And Emails Automate'!$G4095,Database!$H:$N,7,0)),"")</f>
        <v/>
      </c>
      <c r="N4095" s="55" t="str">
        <f>IFERROR(IF(OR($B4095="",$B4095="(blank)"),"",VLOOKUP($B4095,'Email Marketing Raw Data'!$C:$O,6,0)),"")</f>
        <v/>
      </c>
      <c r="O4095" s="55" t="str">
        <f>IFERROR(IF(OR($B4095="",$B4095="(blank)"),"",VLOOKUP($B4095,'Email Marketing Raw Data'!$C:$O,7,0)),"")</f>
        <v/>
      </c>
      <c r="P4095" s="55" t="str">
        <f>IFERROR(IF(OR($B4095="",$B4095="(blank)"),"",VLOOKUP($B4095,'Email Marketing Raw Data'!$C:$O,8,0)),"")</f>
        <v/>
      </c>
      <c r="Q4095" s="62" t="str">
        <f>IFERROR(IF(OR($B4095="",$B4095="(blank)"),"",VLOOKUP($B4095,'Email Marketing Raw Data'!$C:$O,9,0)),"")</f>
        <v/>
      </c>
    </row>
    <row r="4096" spans="4:17" ht="12.75" customHeight="1" x14ac:dyDescent="0.2">
      <c r="D4096" s="58" t="str">
        <f>IFERROR(IF(F4096&lt;&gt;"pending","",IF(OR($B4096="",$B4096="(blank)"),"",VLOOKUP($B4096,'Email Marketing Raw Data'!$C:$O,10,0))),"")</f>
        <v/>
      </c>
      <c r="E4096" s="59" t="str">
        <f>IFERROR(IF(F4096&lt;&gt;"pending","",IF(OR($B4096="",$B4096="(blank)"),"",VLOOKUP($B4096,'Email Marketing Raw Data'!$C:$O,11,0))),"")</f>
        <v/>
      </c>
      <c r="F4096" s="54" t="str">
        <f>IFERROR(IF(OR($B4096="",$B4096="(blank)"),"",VLOOKUP($B4096,'Email Marketing Raw Data'!$C:$O,13,0)),"")</f>
        <v/>
      </c>
      <c r="G4096" s="55" t="str">
        <f>IFERROR(IF(OR($B4096="",$B4096="(blank)"),"",VLOOKUP($B4096,'Email Marketing Raw Data'!$C:$O,4,0)),"")</f>
        <v/>
      </c>
      <c r="H4096" s="55" t="str">
        <f>IFERROR(IF(OR($B4096="",$B4096="(blank)"),"",VLOOKUP($B4096,'Email Marketing Raw Data'!$C:$O,5,0)),"")</f>
        <v/>
      </c>
      <c r="I4096" s="55" t="str">
        <f>IFERROR(IF($G4096="","",VLOOKUP('Dashboard And Emails Automate'!$G4096,Database!$H:$N,3,0)),"")</f>
        <v/>
      </c>
      <c r="J4096" s="55" t="str">
        <f>IFERROR(IF($G4096="","",VLOOKUP('Dashboard And Emails Automate'!$G4096,Database!$H:$N,4,0)),"")</f>
        <v/>
      </c>
      <c r="K4096" s="55" t="str">
        <f>IFERROR(IF($G4096="","",VLOOKUP('Dashboard And Emails Automate'!$G4096,Database!$H:$N,5,0)),"")</f>
        <v/>
      </c>
      <c r="L4096" s="55" t="str">
        <f>IFERROR(IF($G4096="","",VLOOKUP('Dashboard And Emails Automate'!$G4096,Database!$H:$N,6,0)),"")</f>
        <v/>
      </c>
      <c r="M4096" s="55" t="str">
        <f>IFERROR(IF($G4096="","",VLOOKUP('Dashboard And Emails Automate'!$G4096,Database!$H:$N,7,0)),"")</f>
        <v/>
      </c>
      <c r="N4096" s="55" t="str">
        <f>IFERROR(IF(OR($B4096="",$B4096="(blank)"),"",VLOOKUP($B4096,'Email Marketing Raw Data'!$C:$O,6,0)),"")</f>
        <v/>
      </c>
      <c r="O4096" s="55" t="str">
        <f>IFERROR(IF(OR($B4096="",$B4096="(blank)"),"",VLOOKUP($B4096,'Email Marketing Raw Data'!$C:$O,7,0)),"")</f>
        <v/>
      </c>
      <c r="P4096" s="55" t="str">
        <f>IFERROR(IF(OR($B4096="",$B4096="(blank)"),"",VLOOKUP($B4096,'Email Marketing Raw Data'!$C:$O,8,0)),"")</f>
        <v/>
      </c>
      <c r="Q4096" s="62" t="str">
        <f>IFERROR(IF(OR($B4096="",$B4096="(blank)"),"",VLOOKUP($B4096,'Email Marketing Raw Data'!$C:$O,9,0)),"")</f>
        <v/>
      </c>
    </row>
    <row r="4097" spans="4:17" ht="12.75" customHeight="1" x14ac:dyDescent="0.2">
      <c r="D4097" s="58" t="str">
        <f>IFERROR(IF(F4097&lt;&gt;"pending","",IF(OR($B4097="",$B4097="(blank)"),"",VLOOKUP($B4097,'Email Marketing Raw Data'!$C:$O,10,0))),"")</f>
        <v/>
      </c>
      <c r="E4097" s="59" t="str">
        <f>IFERROR(IF(F4097&lt;&gt;"pending","",IF(OR($B4097="",$B4097="(blank)"),"",VLOOKUP($B4097,'Email Marketing Raw Data'!$C:$O,11,0))),"")</f>
        <v/>
      </c>
      <c r="F4097" s="54" t="str">
        <f>IFERROR(IF(OR($B4097="",$B4097="(blank)"),"",VLOOKUP($B4097,'Email Marketing Raw Data'!$C:$O,13,0)),"")</f>
        <v/>
      </c>
      <c r="G4097" s="55" t="str">
        <f>IFERROR(IF(OR($B4097="",$B4097="(blank)"),"",VLOOKUP($B4097,'Email Marketing Raw Data'!$C:$O,4,0)),"")</f>
        <v/>
      </c>
      <c r="H4097" s="55" t="str">
        <f>IFERROR(IF(OR($B4097="",$B4097="(blank)"),"",VLOOKUP($B4097,'Email Marketing Raw Data'!$C:$O,5,0)),"")</f>
        <v/>
      </c>
      <c r="I4097" s="55" t="str">
        <f>IFERROR(IF($G4097="","",VLOOKUP('Dashboard And Emails Automate'!$G4097,Database!$H:$N,3,0)),"")</f>
        <v/>
      </c>
      <c r="J4097" s="55" t="str">
        <f>IFERROR(IF($G4097="","",VLOOKUP('Dashboard And Emails Automate'!$G4097,Database!$H:$N,4,0)),"")</f>
        <v/>
      </c>
      <c r="K4097" s="55" t="str">
        <f>IFERROR(IF($G4097="","",VLOOKUP('Dashboard And Emails Automate'!$G4097,Database!$H:$N,5,0)),"")</f>
        <v/>
      </c>
      <c r="L4097" s="55" t="str">
        <f>IFERROR(IF($G4097="","",VLOOKUP('Dashboard And Emails Automate'!$G4097,Database!$H:$N,6,0)),"")</f>
        <v/>
      </c>
      <c r="M4097" s="55" t="str">
        <f>IFERROR(IF($G4097="","",VLOOKUP('Dashboard And Emails Automate'!$G4097,Database!$H:$N,7,0)),"")</f>
        <v/>
      </c>
      <c r="N4097" s="55" t="str">
        <f>IFERROR(IF(OR($B4097="",$B4097="(blank)"),"",VLOOKUP($B4097,'Email Marketing Raw Data'!$C:$O,6,0)),"")</f>
        <v/>
      </c>
      <c r="O4097" s="55" t="str">
        <f>IFERROR(IF(OR($B4097="",$B4097="(blank)"),"",VLOOKUP($B4097,'Email Marketing Raw Data'!$C:$O,7,0)),"")</f>
        <v/>
      </c>
      <c r="P4097" s="55" t="str">
        <f>IFERROR(IF(OR($B4097="",$B4097="(blank)"),"",VLOOKUP($B4097,'Email Marketing Raw Data'!$C:$O,8,0)),"")</f>
        <v/>
      </c>
      <c r="Q4097" s="62" t="str">
        <f>IFERROR(IF(OR($B4097="",$B4097="(blank)"),"",VLOOKUP($B4097,'Email Marketing Raw Data'!$C:$O,9,0)),"")</f>
        <v/>
      </c>
    </row>
    <row r="4098" spans="4:17" ht="12.75" customHeight="1" x14ac:dyDescent="0.2">
      <c r="D4098" s="58" t="str">
        <f>IFERROR(IF(F4098&lt;&gt;"pending","",IF(OR($B4098="",$B4098="(blank)"),"",VLOOKUP($B4098,'Email Marketing Raw Data'!$C:$O,10,0))),"")</f>
        <v/>
      </c>
      <c r="E4098" s="59" t="str">
        <f>IFERROR(IF(F4098&lt;&gt;"pending","",IF(OR($B4098="",$B4098="(blank)"),"",VLOOKUP($B4098,'Email Marketing Raw Data'!$C:$O,11,0))),"")</f>
        <v/>
      </c>
      <c r="F4098" s="54" t="str">
        <f>IFERROR(IF(OR($B4098="",$B4098="(blank)"),"",VLOOKUP($B4098,'Email Marketing Raw Data'!$C:$O,13,0)),"")</f>
        <v/>
      </c>
      <c r="G4098" s="55" t="str">
        <f>IFERROR(IF(OR($B4098="",$B4098="(blank)"),"",VLOOKUP($B4098,'Email Marketing Raw Data'!$C:$O,4,0)),"")</f>
        <v/>
      </c>
      <c r="H4098" s="55" t="str">
        <f>IFERROR(IF(OR($B4098="",$B4098="(blank)"),"",VLOOKUP($B4098,'Email Marketing Raw Data'!$C:$O,5,0)),"")</f>
        <v/>
      </c>
      <c r="I4098" s="55" t="str">
        <f>IFERROR(IF($G4098="","",VLOOKUP('Dashboard And Emails Automate'!$G4098,Database!$H:$N,3,0)),"")</f>
        <v/>
      </c>
      <c r="J4098" s="55" t="str">
        <f>IFERROR(IF($G4098="","",VLOOKUP('Dashboard And Emails Automate'!$G4098,Database!$H:$N,4,0)),"")</f>
        <v/>
      </c>
      <c r="K4098" s="55" t="str">
        <f>IFERROR(IF($G4098="","",VLOOKUP('Dashboard And Emails Automate'!$G4098,Database!$H:$N,5,0)),"")</f>
        <v/>
      </c>
      <c r="L4098" s="55" t="str">
        <f>IFERROR(IF($G4098="","",VLOOKUP('Dashboard And Emails Automate'!$G4098,Database!$H:$N,6,0)),"")</f>
        <v/>
      </c>
      <c r="M4098" s="55" t="str">
        <f>IFERROR(IF($G4098="","",VLOOKUP('Dashboard And Emails Automate'!$G4098,Database!$H:$N,7,0)),"")</f>
        <v/>
      </c>
      <c r="N4098" s="55" t="str">
        <f>IFERROR(IF(OR($B4098="",$B4098="(blank)"),"",VLOOKUP($B4098,'Email Marketing Raw Data'!$C:$O,6,0)),"")</f>
        <v/>
      </c>
      <c r="O4098" s="55" t="str">
        <f>IFERROR(IF(OR($B4098="",$B4098="(blank)"),"",VLOOKUP($B4098,'Email Marketing Raw Data'!$C:$O,7,0)),"")</f>
        <v/>
      </c>
      <c r="P4098" s="55" t="str">
        <f>IFERROR(IF(OR($B4098="",$B4098="(blank)"),"",VLOOKUP($B4098,'Email Marketing Raw Data'!$C:$O,8,0)),"")</f>
        <v/>
      </c>
      <c r="Q4098" s="62" t="str">
        <f>IFERROR(IF(OR($B4098="",$B4098="(blank)"),"",VLOOKUP($B4098,'Email Marketing Raw Data'!$C:$O,9,0)),"")</f>
        <v/>
      </c>
    </row>
    <row r="4099" spans="4:17" ht="12.75" customHeight="1" x14ac:dyDescent="0.2">
      <c r="D4099" s="58" t="str">
        <f>IFERROR(IF(F4099&lt;&gt;"pending","",IF(OR($B4099="",$B4099="(blank)"),"",VLOOKUP($B4099,'Email Marketing Raw Data'!$C:$O,10,0))),"")</f>
        <v/>
      </c>
      <c r="E4099" s="59" t="str">
        <f>IFERROR(IF(F4099&lt;&gt;"pending","",IF(OR($B4099="",$B4099="(blank)"),"",VLOOKUP($B4099,'Email Marketing Raw Data'!$C:$O,11,0))),"")</f>
        <v/>
      </c>
      <c r="F4099" s="54" t="str">
        <f>IFERROR(IF(OR($B4099="",$B4099="(blank)"),"",VLOOKUP($B4099,'Email Marketing Raw Data'!$C:$O,13,0)),"")</f>
        <v/>
      </c>
      <c r="G4099" s="55" t="str">
        <f>IFERROR(IF(OR($B4099="",$B4099="(blank)"),"",VLOOKUP($B4099,'Email Marketing Raw Data'!$C:$O,4,0)),"")</f>
        <v/>
      </c>
      <c r="H4099" s="55" t="str">
        <f>IFERROR(IF(OR($B4099="",$B4099="(blank)"),"",VLOOKUP($B4099,'Email Marketing Raw Data'!$C:$O,5,0)),"")</f>
        <v/>
      </c>
      <c r="I4099" s="55" t="str">
        <f>IFERROR(IF($G4099="","",VLOOKUP('Dashboard And Emails Automate'!$G4099,Database!$H:$N,3,0)),"")</f>
        <v/>
      </c>
      <c r="J4099" s="55" t="str">
        <f>IFERROR(IF($G4099="","",VLOOKUP('Dashboard And Emails Automate'!$G4099,Database!$H:$N,4,0)),"")</f>
        <v/>
      </c>
      <c r="K4099" s="55" t="str">
        <f>IFERROR(IF($G4099="","",VLOOKUP('Dashboard And Emails Automate'!$G4099,Database!$H:$N,5,0)),"")</f>
        <v/>
      </c>
      <c r="L4099" s="55" t="str">
        <f>IFERROR(IF($G4099="","",VLOOKUP('Dashboard And Emails Automate'!$G4099,Database!$H:$N,6,0)),"")</f>
        <v/>
      </c>
      <c r="M4099" s="55" t="str">
        <f>IFERROR(IF($G4099="","",VLOOKUP('Dashboard And Emails Automate'!$G4099,Database!$H:$N,7,0)),"")</f>
        <v/>
      </c>
      <c r="N4099" s="55" t="str">
        <f>IFERROR(IF(OR($B4099="",$B4099="(blank)"),"",VLOOKUP($B4099,'Email Marketing Raw Data'!$C:$O,6,0)),"")</f>
        <v/>
      </c>
      <c r="O4099" s="55" t="str">
        <f>IFERROR(IF(OR($B4099="",$B4099="(blank)"),"",VLOOKUP($B4099,'Email Marketing Raw Data'!$C:$O,7,0)),"")</f>
        <v/>
      </c>
      <c r="P4099" s="55" t="str">
        <f>IFERROR(IF(OR($B4099="",$B4099="(blank)"),"",VLOOKUP($B4099,'Email Marketing Raw Data'!$C:$O,8,0)),"")</f>
        <v/>
      </c>
      <c r="Q4099" s="62" t="str">
        <f>IFERROR(IF(OR($B4099="",$B4099="(blank)"),"",VLOOKUP($B4099,'Email Marketing Raw Data'!$C:$O,9,0)),"")</f>
        <v/>
      </c>
    </row>
    <row r="4100" spans="4:17" ht="12.75" customHeight="1" x14ac:dyDescent="0.2">
      <c r="D4100" s="58" t="str">
        <f>IFERROR(IF(F4100&lt;&gt;"pending","",IF(OR($B4100="",$B4100="(blank)"),"",VLOOKUP($B4100,'Email Marketing Raw Data'!$C:$O,10,0))),"")</f>
        <v/>
      </c>
      <c r="E4100" s="59" t="str">
        <f>IFERROR(IF(F4100&lt;&gt;"pending","",IF(OR($B4100="",$B4100="(blank)"),"",VLOOKUP($B4100,'Email Marketing Raw Data'!$C:$O,11,0))),"")</f>
        <v/>
      </c>
      <c r="F4100" s="54" t="str">
        <f>IFERROR(IF(OR($B4100="",$B4100="(blank)"),"",VLOOKUP($B4100,'Email Marketing Raw Data'!$C:$O,13,0)),"")</f>
        <v/>
      </c>
      <c r="G4100" s="55" t="str">
        <f>IFERROR(IF(OR($B4100="",$B4100="(blank)"),"",VLOOKUP($B4100,'Email Marketing Raw Data'!$C:$O,4,0)),"")</f>
        <v/>
      </c>
      <c r="H4100" s="55" t="str">
        <f>IFERROR(IF(OR($B4100="",$B4100="(blank)"),"",VLOOKUP($B4100,'Email Marketing Raw Data'!$C:$O,5,0)),"")</f>
        <v/>
      </c>
      <c r="I4100" s="55" t="str">
        <f>IFERROR(IF($G4100="","",VLOOKUP('Dashboard And Emails Automate'!$G4100,Database!$H:$N,3,0)),"")</f>
        <v/>
      </c>
      <c r="J4100" s="55" t="str">
        <f>IFERROR(IF($G4100="","",VLOOKUP('Dashboard And Emails Automate'!$G4100,Database!$H:$N,4,0)),"")</f>
        <v/>
      </c>
      <c r="K4100" s="55" t="str">
        <f>IFERROR(IF($G4100="","",VLOOKUP('Dashboard And Emails Automate'!$G4100,Database!$H:$N,5,0)),"")</f>
        <v/>
      </c>
      <c r="L4100" s="55" t="str">
        <f>IFERROR(IF($G4100="","",VLOOKUP('Dashboard And Emails Automate'!$G4100,Database!$H:$N,6,0)),"")</f>
        <v/>
      </c>
      <c r="M4100" s="55" t="str">
        <f>IFERROR(IF($G4100="","",VLOOKUP('Dashboard And Emails Automate'!$G4100,Database!$H:$N,7,0)),"")</f>
        <v/>
      </c>
      <c r="N4100" s="55" t="str">
        <f>IFERROR(IF(OR($B4100="",$B4100="(blank)"),"",VLOOKUP($B4100,'Email Marketing Raw Data'!$C:$O,6,0)),"")</f>
        <v/>
      </c>
      <c r="O4100" s="55" t="str">
        <f>IFERROR(IF(OR($B4100="",$B4100="(blank)"),"",VLOOKUP($B4100,'Email Marketing Raw Data'!$C:$O,7,0)),"")</f>
        <v/>
      </c>
      <c r="P4100" s="55" t="str">
        <f>IFERROR(IF(OR($B4100="",$B4100="(blank)"),"",VLOOKUP($B4100,'Email Marketing Raw Data'!$C:$O,8,0)),"")</f>
        <v/>
      </c>
      <c r="Q4100" s="62" t="str">
        <f>IFERROR(IF(OR($B4100="",$B4100="(blank)"),"",VLOOKUP($B4100,'Email Marketing Raw Data'!$C:$O,9,0)),"")</f>
        <v/>
      </c>
    </row>
    <row r="4101" spans="4:17" ht="12.75" customHeight="1" x14ac:dyDescent="0.2">
      <c r="D4101" s="58" t="str">
        <f>IFERROR(IF(F4101&lt;&gt;"pending","",IF(OR($B4101="",$B4101="(blank)"),"",VLOOKUP($B4101,'Email Marketing Raw Data'!$C:$O,10,0))),"")</f>
        <v/>
      </c>
      <c r="E4101" s="59" t="str">
        <f>IFERROR(IF(F4101&lt;&gt;"pending","",IF(OR($B4101="",$B4101="(blank)"),"",VLOOKUP($B4101,'Email Marketing Raw Data'!$C:$O,11,0))),"")</f>
        <v/>
      </c>
      <c r="F4101" s="54" t="str">
        <f>IFERROR(IF(OR($B4101="",$B4101="(blank)"),"",VLOOKUP($B4101,'Email Marketing Raw Data'!$C:$O,13,0)),"")</f>
        <v/>
      </c>
      <c r="G4101" s="55" t="str">
        <f>IFERROR(IF(OR($B4101="",$B4101="(blank)"),"",VLOOKUP($B4101,'Email Marketing Raw Data'!$C:$O,4,0)),"")</f>
        <v/>
      </c>
      <c r="H4101" s="55" t="str">
        <f>IFERROR(IF(OR($B4101="",$B4101="(blank)"),"",VLOOKUP($B4101,'Email Marketing Raw Data'!$C:$O,5,0)),"")</f>
        <v/>
      </c>
      <c r="I4101" s="55" t="str">
        <f>IFERROR(IF($G4101="","",VLOOKUP('Dashboard And Emails Automate'!$G4101,Database!$H:$N,3,0)),"")</f>
        <v/>
      </c>
      <c r="J4101" s="55" t="str">
        <f>IFERROR(IF($G4101="","",VLOOKUP('Dashboard And Emails Automate'!$G4101,Database!$H:$N,4,0)),"")</f>
        <v/>
      </c>
      <c r="K4101" s="55" t="str">
        <f>IFERROR(IF($G4101="","",VLOOKUP('Dashboard And Emails Automate'!$G4101,Database!$H:$N,5,0)),"")</f>
        <v/>
      </c>
      <c r="L4101" s="55" t="str">
        <f>IFERROR(IF($G4101="","",VLOOKUP('Dashboard And Emails Automate'!$G4101,Database!$H:$N,6,0)),"")</f>
        <v/>
      </c>
      <c r="M4101" s="55" t="str">
        <f>IFERROR(IF($G4101="","",VLOOKUP('Dashboard And Emails Automate'!$G4101,Database!$H:$N,7,0)),"")</f>
        <v/>
      </c>
      <c r="N4101" s="55" t="str">
        <f>IFERROR(IF(OR($B4101="",$B4101="(blank)"),"",VLOOKUP($B4101,'Email Marketing Raw Data'!$C:$O,6,0)),"")</f>
        <v/>
      </c>
      <c r="O4101" s="55" t="str">
        <f>IFERROR(IF(OR($B4101="",$B4101="(blank)"),"",VLOOKUP($B4101,'Email Marketing Raw Data'!$C:$O,7,0)),"")</f>
        <v/>
      </c>
      <c r="P4101" s="55" t="str">
        <f>IFERROR(IF(OR($B4101="",$B4101="(blank)"),"",VLOOKUP($B4101,'Email Marketing Raw Data'!$C:$O,8,0)),"")</f>
        <v/>
      </c>
      <c r="Q4101" s="62" t="str">
        <f>IFERROR(IF(OR($B4101="",$B4101="(blank)"),"",VLOOKUP($B4101,'Email Marketing Raw Data'!$C:$O,9,0)),"")</f>
        <v/>
      </c>
    </row>
    <row r="4102" spans="4:17" ht="12.75" customHeight="1" x14ac:dyDescent="0.2">
      <c r="D4102" s="58" t="str">
        <f>IFERROR(IF(F4102&lt;&gt;"pending","",IF(OR($B4102="",$B4102="(blank)"),"",VLOOKUP($B4102,'Email Marketing Raw Data'!$C:$O,10,0))),"")</f>
        <v/>
      </c>
      <c r="E4102" s="59" t="str">
        <f>IFERROR(IF(F4102&lt;&gt;"pending","",IF(OR($B4102="",$B4102="(blank)"),"",VLOOKUP($B4102,'Email Marketing Raw Data'!$C:$O,11,0))),"")</f>
        <v/>
      </c>
      <c r="F4102" s="54" t="str">
        <f>IFERROR(IF(OR($B4102="",$B4102="(blank)"),"",VLOOKUP($B4102,'Email Marketing Raw Data'!$C:$O,13,0)),"")</f>
        <v/>
      </c>
      <c r="G4102" s="55" t="str">
        <f>IFERROR(IF(OR($B4102="",$B4102="(blank)"),"",VLOOKUP($B4102,'Email Marketing Raw Data'!$C:$O,4,0)),"")</f>
        <v/>
      </c>
      <c r="H4102" s="55" t="str">
        <f>IFERROR(IF(OR($B4102="",$B4102="(blank)"),"",VLOOKUP($B4102,'Email Marketing Raw Data'!$C:$O,5,0)),"")</f>
        <v/>
      </c>
      <c r="I4102" s="55" t="str">
        <f>IFERROR(IF($G4102="","",VLOOKUP('Dashboard And Emails Automate'!$G4102,Database!$H:$N,3,0)),"")</f>
        <v/>
      </c>
      <c r="J4102" s="55" t="str">
        <f>IFERROR(IF($G4102="","",VLOOKUP('Dashboard And Emails Automate'!$G4102,Database!$H:$N,4,0)),"")</f>
        <v/>
      </c>
      <c r="K4102" s="55" t="str">
        <f>IFERROR(IF($G4102="","",VLOOKUP('Dashboard And Emails Automate'!$G4102,Database!$H:$N,5,0)),"")</f>
        <v/>
      </c>
      <c r="L4102" s="55" t="str">
        <f>IFERROR(IF($G4102="","",VLOOKUP('Dashboard And Emails Automate'!$G4102,Database!$H:$N,6,0)),"")</f>
        <v/>
      </c>
      <c r="M4102" s="55" t="str">
        <f>IFERROR(IF($G4102="","",VLOOKUP('Dashboard And Emails Automate'!$G4102,Database!$H:$N,7,0)),"")</f>
        <v/>
      </c>
      <c r="N4102" s="55" t="str">
        <f>IFERROR(IF(OR($B4102="",$B4102="(blank)"),"",VLOOKUP($B4102,'Email Marketing Raw Data'!$C:$O,6,0)),"")</f>
        <v/>
      </c>
      <c r="O4102" s="55" t="str">
        <f>IFERROR(IF(OR($B4102="",$B4102="(blank)"),"",VLOOKUP($B4102,'Email Marketing Raw Data'!$C:$O,7,0)),"")</f>
        <v/>
      </c>
      <c r="P4102" s="55" t="str">
        <f>IFERROR(IF(OR($B4102="",$B4102="(blank)"),"",VLOOKUP($B4102,'Email Marketing Raw Data'!$C:$O,8,0)),"")</f>
        <v/>
      </c>
      <c r="Q4102" s="62" t="str">
        <f>IFERROR(IF(OR($B4102="",$B4102="(blank)"),"",VLOOKUP($B4102,'Email Marketing Raw Data'!$C:$O,9,0)),"")</f>
        <v/>
      </c>
    </row>
    <row r="4103" spans="4:17" ht="12.75" customHeight="1" x14ac:dyDescent="0.2">
      <c r="D4103" s="58" t="str">
        <f>IFERROR(IF(F4103&lt;&gt;"pending","",IF(OR($B4103="",$B4103="(blank)"),"",VLOOKUP($B4103,'Email Marketing Raw Data'!$C:$O,10,0))),"")</f>
        <v/>
      </c>
      <c r="E4103" s="59" t="str">
        <f>IFERROR(IF(F4103&lt;&gt;"pending","",IF(OR($B4103="",$B4103="(blank)"),"",VLOOKUP($B4103,'Email Marketing Raw Data'!$C:$O,11,0))),"")</f>
        <v/>
      </c>
      <c r="F4103" s="54" t="str">
        <f>IFERROR(IF(OR($B4103="",$B4103="(blank)"),"",VLOOKUP($B4103,'Email Marketing Raw Data'!$C:$O,13,0)),"")</f>
        <v/>
      </c>
      <c r="G4103" s="55" t="str">
        <f>IFERROR(IF(OR($B4103="",$B4103="(blank)"),"",VLOOKUP($B4103,'Email Marketing Raw Data'!$C:$O,4,0)),"")</f>
        <v/>
      </c>
      <c r="H4103" s="55" t="str">
        <f>IFERROR(IF(OR($B4103="",$B4103="(blank)"),"",VLOOKUP($B4103,'Email Marketing Raw Data'!$C:$O,5,0)),"")</f>
        <v/>
      </c>
      <c r="I4103" s="55" t="str">
        <f>IFERROR(IF($G4103="","",VLOOKUP('Dashboard And Emails Automate'!$G4103,Database!$H:$N,3,0)),"")</f>
        <v/>
      </c>
      <c r="J4103" s="55" t="str">
        <f>IFERROR(IF($G4103="","",VLOOKUP('Dashboard And Emails Automate'!$G4103,Database!$H:$N,4,0)),"")</f>
        <v/>
      </c>
      <c r="K4103" s="55" t="str">
        <f>IFERROR(IF($G4103="","",VLOOKUP('Dashboard And Emails Automate'!$G4103,Database!$H:$N,5,0)),"")</f>
        <v/>
      </c>
      <c r="L4103" s="55" t="str">
        <f>IFERROR(IF($G4103="","",VLOOKUP('Dashboard And Emails Automate'!$G4103,Database!$H:$N,6,0)),"")</f>
        <v/>
      </c>
      <c r="M4103" s="55" t="str">
        <f>IFERROR(IF($G4103="","",VLOOKUP('Dashboard And Emails Automate'!$G4103,Database!$H:$N,7,0)),"")</f>
        <v/>
      </c>
      <c r="N4103" s="55" t="str">
        <f>IFERROR(IF(OR($B4103="",$B4103="(blank)"),"",VLOOKUP($B4103,'Email Marketing Raw Data'!$C:$O,6,0)),"")</f>
        <v/>
      </c>
      <c r="O4103" s="55" t="str">
        <f>IFERROR(IF(OR($B4103="",$B4103="(blank)"),"",VLOOKUP($B4103,'Email Marketing Raw Data'!$C:$O,7,0)),"")</f>
        <v/>
      </c>
      <c r="P4103" s="55" t="str">
        <f>IFERROR(IF(OR($B4103="",$B4103="(blank)"),"",VLOOKUP($B4103,'Email Marketing Raw Data'!$C:$O,8,0)),"")</f>
        <v/>
      </c>
      <c r="Q4103" s="62" t="str">
        <f>IFERROR(IF(OR($B4103="",$B4103="(blank)"),"",VLOOKUP($B4103,'Email Marketing Raw Data'!$C:$O,9,0)),"")</f>
        <v/>
      </c>
    </row>
    <row r="4104" spans="4:17" ht="12.75" customHeight="1" x14ac:dyDescent="0.2">
      <c r="D4104" s="58" t="str">
        <f>IFERROR(IF(F4104&lt;&gt;"pending","",IF(OR($B4104="",$B4104="(blank)"),"",VLOOKUP($B4104,'Email Marketing Raw Data'!$C:$O,10,0))),"")</f>
        <v/>
      </c>
      <c r="E4104" s="59" t="str">
        <f>IFERROR(IF(F4104&lt;&gt;"pending","",IF(OR($B4104="",$B4104="(blank)"),"",VLOOKUP($B4104,'Email Marketing Raw Data'!$C:$O,11,0))),"")</f>
        <v/>
      </c>
      <c r="F4104" s="54" t="str">
        <f>IFERROR(IF(OR($B4104="",$B4104="(blank)"),"",VLOOKUP($B4104,'Email Marketing Raw Data'!$C:$O,13,0)),"")</f>
        <v/>
      </c>
      <c r="G4104" s="55" t="str">
        <f>IFERROR(IF(OR($B4104="",$B4104="(blank)"),"",VLOOKUP($B4104,'Email Marketing Raw Data'!$C:$O,4,0)),"")</f>
        <v/>
      </c>
      <c r="H4104" s="55" t="str">
        <f>IFERROR(IF(OR($B4104="",$B4104="(blank)"),"",VLOOKUP($B4104,'Email Marketing Raw Data'!$C:$O,5,0)),"")</f>
        <v/>
      </c>
      <c r="I4104" s="55" t="str">
        <f>IFERROR(IF($G4104="","",VLOOKUP('Dashboard And Emails Automate'!$G4104,Database!$H:$N,3,0)),"")</f>
        <v/>
      </c>
      <c r="J4104" s="55" t="str">
        <f>IFERROR(IF($G4104="","",VLOOKUP('Dashboard And Emails Automate'!$G4104,Database!$H:$N,4,0)),"")</f>
        <v/>
      </c>
      <c r="K4104" s="55" t="str">
        <f>IFERROR(IF($G4104="","",VLOOKUP('Dashboard And Emails Automate'!$G4104,Database!$H:$N,5,0)),"")</f>
        <v/>
      </c>
      <c r="L4104" s="55" t="str">
        <f>IFERROR(IF($G4104="","",VLOOKUP('Dashboard And Emails Automate'!$G4104,Database!$H:$N,6,0)),"")</f>
        <v/>
      </c>
      <c r="M4104" s="55" t="str">
        <f>IFERROR(IF($G4104="","",VLOOKUP('Dashboard And Emails Automate'!$G4104,Database!$H:$N,7,0)),"")</f>
        <v/>
      </c>
      <c r="N4104" s="55" t="str">
        <f>IFERROR(IF(OR($B4104="",$B4104="(blank)"),"",VLOOKUP($B4104,'Email Marketing Raw Data'!$C:$O,6,0)),"")</f>
        <v/>
      </c>
      <c r="O4104" s="55" t="str">
        <f>IFERROR(IF(OR($B4104="",$B4104="(blank)"),"",VLOOKUP($B4104,'Email Marketing Raw Data'!$C:$O,7,0)),"")</f>
        <v/>
      </c>
      <c r="P4104" s="55" t="str">
        <f>IFERROR(IF(OR($B4104="",$B4104="(blank)"),"",VLOOKUP($B4104,'Email Marketing Raw Data'!$C:$O,8,0)),"")</f>
        <v/>
      </c>
      <c r="Q4104" s="62" t="str">
        <f>IFERROR(IF(OR($B4104="",$B4104="(blank)"),"",VLOOKUP($B4104,'Email Marketing Raw Data'!$C:$O,9,0)),"")</f>
        <v/>
      </c>
    </row>
    <row r="4105" spans="4:17" ht="12.75" customHeight="1" x14ac:dyDescent="0.2">
      <c r="D4105" s="58" t="str">
        <f>IFERROR(IF(F4105&lt;&gt;"pending","",IF(OR($B4105="",$B4105="(blank)"),"",VLOOKUP($B4105,'Email Marketing Raw Data'!$C:$O,10,0))),"")</f>
        <v/>
      </c>
      <c r="E4105" s="59" t="str">
        <f>IFERROR(IF(F4105&lt;&gt;"pending","",IF(OR($B4105="",$B4105="(blank)"),"",VLOOKUP($B4105,'Email Marketing Raw Data'!$C:$O,11,0))),"")</f>
        <v/>
      </c>
      <c r="F4105" s="54" t="str">
        <f>IFERROR(IF(OR($B4105="",$B4105="(blank)"),"",VLOOKUP($B4105,'Email Marketing Raw Data'!$C:$O,13,0)),"")</f>
        <v/>
      </c>
      <c r="G4105" s="55" t="str">
        <f>IFERROR(IF(OR($B4105="",$B4105="(blank)"),"",VLOOKUP($B4105,'Email Marketing Raw Data'!$C:$O,4,0)),"")</f>
        <v/>
      </c>
      <c r="H4105" s="55" t="str">
        <f>IFERROR(IF(OR($B4105="",$B4105="(blank)"),"",VLOOKUP($B4105,'Email Marketing Raw Data'!$C:$O,5,0)),"")</f>
        <v/>
      </c>
      <c r="I4105" s="55" t="str">
        <f>IFERROR(IF($G4105="","",VLOOKUP('Dashboard And Emails Automate'!$G4105,Database!$H:$N,3,0)),"")</f>
        <v/>
      </c>
      <c r="J4105" s="55" t="str">
        <f>IFERROR(IF($G4105="","",VLOOKUP('Dashboard And Emails Automate'!$G4105,Database!$H:$N,4,0)),"")</f>
        <v/>
      </c>
      <c r="K4105" s="55" t="str">
        <f>IFERROR(IF($G4105="","",VLOOKUP('Dashboard And Emails Automate'!$G4105,Database!$H:$N,5,0)),"")</f>
        <v/>
      </c>
      <c r="L4105" s="55" t="str">
        <f>IFERROR(IF($G4105="","",VLOOKUP('Dashboard And Emails Automate'!$G4105,Database!$H:$N,6,0)),"")</f>
        <v/>
      </c>
      <c r="M4105" s="55" t="str">
        <f>IFERROR(IF($G4105="","",VLOOKUP('Dashboard And Emails Automate'!$G4105,Database!$H:$N,7,0)),"")</f>
        <v/>
      </c>
      <c r="N4105" s="55" t="str">
        <f>IFERROR(IF(OR($B4105="",$B4105="(blank)"),"",VLOOKUP($B4105,'Email Marketing Raw Data'!$C:$O,6,0)),"")</f>
        <v/>
      </c>
      <c r="O4105" s="55" t="str">
        <f>IFERROR(IF(OR($B4105="",$B4105="(blank)"),"",VLOOKUP($B4105,'Email Marketing Raw Data'!$C:$O,7,0)),"")</f>
        <v/>
      </c>
      <c r="P4105" s="55" t="str">
        <f>IFERROR(IF(OR($B4105="",$B4105="(blank)"),"",VLOOKUP($B4105,'Email Marketing Raw Data'!$C:$O,8,0)),"")</f>
        <v/>
      </c>
      <c r="Q4105" s="62" t="str">
        <f>IFERROR(IF(OR($B4105="",$B4105="(blank)"),"",VLOOKUP($B4105,'Email Marketing Raw Data'!$C:$O,9,0)),"")</f>
        <v/>
      </c>
    </row>
    <row r="4106" spans="4:17" ht="12.75" customHeight="1" x14ac:dyDescent="0.2">
      <c r="D4106" s="58" t="str">
        <f>IFERROR(IF(F4106&lt;&gt;"pending","",IF(OR($B4106="",$B4106="(blank)"),"",VLOOKUP($B4106,'Email Marketing Raw Data'!$C:$O,10,0))),"")</f>
        <v/>
      </c>
      <c r="E4106" s="59" t="str">
        <f>IFERROR(IF(F4106&lt;&gt;"pending","",IF(OR($B4106="",$B4106="(blank)"),"",VLOOKUP($B4106,'Email Marketing Raw Data'!$C:$O,11,0))),"")</f>
        <v/>
      </c>
      <c r="F4106" s="54" t="str">
        <f>IFERROR(IF(OR($B4106="",$B4106="(blank)"),"",VLOOKUP($B4106,'Email Marketing Raw Data'!$C:$O,13,0)),"")</f>
        <v/>
      </c>
      <c r="G4106" s="55" t="str">
        <f>IFERROR(IF(OR($B4106="",$B4106="(blank)"),"",VLOOKUP($B4106,'Email Marketing Raw Data'!$C:$O,4,0)),"")</f>
        <v/>
      </c>
      <c r="H4106" s="55" t="str">
        <f>IFERROR(IF(OR($B4106="",$B4106="(blank)"),"",VLOOKUP($B4106,'Email Marketing Raw Data'!$C:$O,5,0)),"")</f>
        <v/>
      </c>
      <c r="I4106" s="55" t="str">
        <f>IFERROR(IF($G4106="","",VLOOKUP('Dashboard And Emails Automate'!$G4106,Database!$H:$N,3,0)),"")</f>
        <v/>
      </c>
      <c r="J4106" s="55" t="str">
        <f>IFERROR(IF($G4106="","",VLOOKUP('Dashboard And Emails Automate'!$G4106,Database!$H:$N,4,0)),"")</f>
        <v/>
      </c>
      <c r="K4106" s="55" t="str">
        <f>IFERROR(IF($G4106="","",VLOOKUP('Dashboard And Emails Automate'!$G4106,Database!$H:$N,5,0)),"")</f>
        <v/>
      </c>
      <c r="L4106" s="55" t="str">
        <f>IFERROR(IF($G4106="","",VLOOKUP('Dashboard And Emails Automate'!$G4106,Database!$H:$N,6,0)),"")</f>
        <v/>
      </c>
      <c r="M4106" s="55" t="str">
        <f>IFERROR(IF($G4106="","",VLOOKUP('Dashboard And Emails Automate'!$G4106,Database!$H:$N,7,0)),"")</f>
        <v/>
      </c>
      <c r="N4106" s="55" t="str">
        <f>IFERROR(IF(OR($B4106="",$B4106="(blank)"),"",VLOOKUP($B4106,'Email Marketing Raw Data'!$C:$O,6,0)),"")</f>
        <v/>
      </c>
      <c r="O4106" s="55" t="str">
        <f>IFERROR(IF(OR($B4106="",$B4106="(blank)"),"",VLOOKUP($B4106,'Email Marketing Raw Data'!$C:$O,7,0)),"")</f>
        <v/>
      </c>
      <c r="P4106" s="55" t="str">
        <f>IFERROR(IF(OR($B4106="",$B4106="(blank)"),"",VLOOKUP($B4106,'Email Marketing Raw Data'!$C:$O,8,0)),"")</f>
        <v/>
      </c>
      <c r="Q4106" s="62" t="str">
        <f>IFERROR(IF(OR($B4106="",$B4106="(blank)"),"",VLOOKUP($B4106,'Email Marketing Raw Data'!$C:$O,9,0)),"")</f>
        <v/>
      </c>
    </row>
    <row r="4107" spans="4:17" ht="12.75" customHeight="1" x14ac:dyDescent="0.2">
      <c r="D4107" s="58" t="str">
        <f>IFERROR(IF(F4107&lt;&gt;"pending","",IF(OR($B4107="",$B4107="(blank)"),"",VLOOKUP($B4107,'Email Marketing Raw Data'!$C:$O,10,0))),"")</f>
        <v/>
      </c>
      <c r="E4107" s="59" t="str">
        <f>IFERROR(IF(F4107&lt;&gt;"pending","",IF(OR($B4107="",$B4107="(blank)"),"",VLOOKUP($B4107,'Email Marketing Raw Data'!$C:$O,11,0))),"")</f>
        <v/>
      </c>
      <c r="F4107" s="54" t="str">
        <f>IFERROR(IF(OR($B4107="",$B4107="(blank)"),"",VLOOKUP($B4107,'Email Marketing Raw Data'!$C:$O,13,0)),"")</f>
        <v/>
      </c>
      <c r="G4107" s="55" t="str">
        <f>IFERROR(IF(OR($B4107="",$B4107="(blank)"),"",VLOOKUP($B4107,'Email Marketing Raw Data'!$C:$O,4,0)),"")</f>
        <v/>
      </c>
      <c r="H4107" s="55" t="str">
        <f>IFERROR(IF(OR($B4107="",$B4107="(blank)"),"",VLOOKUP($B4107,'Email Marketing Raw Data'!$C:$O,5,0)),"")</f>
        <v/>
      </c>
      <c r="I4107" s="55" t="str">
        <f>IFERROR(IF($G4107="","",VLOOKUP('Dashboard And Emails Automate'!$G4107,Database!$H:$N,3,0)),"")</f>
        <v/>
      </c>
      <c r="J4107" s="55" t="str">
        <f>IFERROR(IF($G4107="","",VLOOKUP('Dashboard And Emails Automate'!$G4107,Database!$H:$N,4,0)),"")</f>
        <v/>
      </c>
      <c r="K4107" s="55" t="str">
        <f>IFERROR(IF($G4107="","",VLOOKUP('Dashboard And Emails Automate'!$G4107,Database!$H:$N,5,0)),"")</f>
        <v/>
      </c>
      <c r="L4107" s="55" t="str">
        <f>IFERROR(IF($G4107="","",VLOOKUP('Dashboard And Emails Automate'!$G4107,Database!$H:$N,6,0)),"")</f>
        <v/>
      </c>
      <c r="M4107" s="55" t="str">
        <f>IFERROR(IF($G4107="","",VLOOKUP('Dashboard And Emails Automate'!$G4107,Database!$H:$N,7,0)),"")</f>
        <v/>
      </c>
      <c r="N4107" s="55" t="str">
        <f>IFERROR(IF(OR($B4107="",$B4107="(blank)"),"",VLOOKUP($B4107,'Email Marketing Raw Data'!$C:$O,6,0)),"")</f>
        <v/>
      </c>
      <c r="O4107" s="55" t="str">
        <f>IFERROR(IF(OR($B4107="",$B4107="(blank)"),"",VLOOKUP($B4107,'Email Marketing Raw Data'!$C:$O,7,0)),"")</f>
        <v/>
      </c>
      <c r="P4107" s="55" t="str">
        <f>IFERROR(IF(OR($B4107="",$B4107="(blank)"),"",VLOOKUP($B4107,'Email Marketing Raw Data'!$C:$O,8,0)),"")</f>
        <v/>
      </c>
      <c r="Q4107" s="62" t="str">
        <f>IFERROR(IF(OR($B4107="",$B4107="(blank)"),"",VLOOKUP($B4107,'Email Marketing Raw Data'!$C:$O,9,0)),"")</f>
        <v/>
      </c>
    </row>
    <row r="4108" spans="4:17" ht="12.75" customHeight="1" x14ac:dyDescent="0.2">
      <c r="D4108" s="58" t="str">
        <f>IFERROR(IF(F4108&lt;&gt;"pending","",IF(OR($B4108="",$B4108="(blank)"),"",VLOOKUP($B4108,'Email Marketing Raw Data'!$C:$O,10,0))),"")</f>
        <v/>
      </c>
      <c r="E4108" s="59" t="str">
        <f>IFERROR(IF(F4108&lt;&gt;"pending","",IF(OR($B4108="",$B4108="(blank)"),"",VLOOKUP($B4108,'Email Marketing Raw Data'!$C:$O,11,0))),"")</f>
        <v/>
      </c>
      <c r="F4108" s="54" t="str">
        <f>IFERROR(IF(OR($B4108="",$B4108="(blank)"),"",VLOOKUP($B4108,'Email Marketing Raw Data'!$C:$O,13,0)),"")</f>
        <v/>
      </c>
      <c r="G4108" s="55" t="str">
        <f>IFERROR(IF(OR($B4108="",$B4108="(blank)"),"",VLOOKUP($B4108,'Email Marketing Raw Data'!$C:$O,4,0)),"")</f>
        <v/>
      </c>
      <c r="H4108" s="55" t="str">
        <f>IFERROR(IF(OR($B4108="",$B4108="(blank)"),"",VLOOKUP($B4108,'Email Marketing Raw Data'!$C:$O,5,0)),"")</f>
        <v/>
      </c>
      <c r="I4108" s="55" t="str">
        <f>IFERROR(IF($G4108="","",VLOOKUP('Dashboard And Emails Automate'!$G4108,Database!$H:$N,3,0)),"")</f>
        <v/>
      </c>
      <c r="J4108" s="55" t="str">
        <f>IFERROR(IF($G4108="","",VLOOKUP('Dashboard And Emails Automate'!$G4108,Database!$H:$N,4,0)),"")</f>
        <v/>
      </c>
      <c r="K4108" s="55" t="str">
        <f>IFERROR(IF($G4108="","",VLOOKUP('Dashboard And Emails Automate'!$G4108,Database!$H:$N,5,0)),"")</f>
        <v/>
      </c>
      <c r="L4108" s="55" t="str">
        <f>IFERROR(IF($G4108="","",VLOOKUP('Dashboard And Emails Automate'!$G4108,Database!$H:$N,6,0)),"")</f>
        <v/>
      </c>
      <c r="M4108" s="55" t="str">
        <f>IFERROR(IF($G4108="","",VLOOKUP('Dashboard And Emails Automate'!$G4108,Database!$H:$N,7,0)),"")</f>
        <v/>
      </c>
      <c r="N4108" s="55" t="str">
        <f>IFERROR(IF(OR($B4108="",$B4108="(blank)"),"",VLOOKUP($B4108,'Email Marketing Raw Data'!$C:$O,6,0)),"")</f>
        <v/>
      </c>
      <c r="O4108" s="55" t="str">
        <f>IFERROR(IF(OR($B4108="",$B4108="(blank)"),"",VLOOKUP($B4108,'Email Marketing Raw Data'!$C:$O,7,0)),"")</f>
        <v/>
      </c>
      <c r="P4108" s="55" t="str">
        <f>IFERROR(IF(OR($B4108="",$B4108="(blank)"),"",VLOOKUP($B4108,'Email Marketing Raw Data'!$C:$O,8,0)),"")</f>
        <v/>
      </c>
      <c r="Q4108" s="62" t="str">
        <f>IFERROR(IF(OR($B4108="",$B4108="(blank)"),"",VLOOKUP($B4108,'Email Marketing Raw Data'!$C:$O,9,0)),"")</f>
        <v/>
      </c>
    </row>
    <row r="4109" spans="4:17" ht="12.75" customHeight="1" x14ac:dyDescent="0.2">
      <c r="D4109" s="58" t="str">
        <f>IFERROR(IF(F4109&lt;&gt;"pending","",IF(OR($B4109="",$B4109="(blank)"),"",VLOOKUP($B4109,'Email Marketing Raw Data'!$C:$O,10,0))),"")</f>
        <v/>
      </c>
      <c r="E4109" s="59" t="str">
        <f>IFERROR(IF(F4109&lt;&gt;"pending","",IF(OR($B4109="",$B4109="(blank)"),"",VLOOKUP($B4109,'Email Marketing Raw Data'!$C:$O,11,0))),"")</f>
        <v/>
      </c>
      <c r="F4109" s="54" t="str">
        <f>IFERROR(IF(OR($B4109="",$B4109="(blank)"),"",VLOOKUP($B4109,'Email Marketing Raw Data'!$C:$O,13,0)),"")</f>
        <v/>
      </c>
      <c r="G4109" s="55" t="str">
        <f>IFERROR(IF(OR($B4109="",$B4109="(blank)"),"",VLOOKUP($B4109,'Email Marketing Raw Data'!$C:$O,4,0)),"")</f>
        <v/>
      </c>
      <c r="H4109" s="55" t="str">
        <f>IFERROR(IF(OR($B4109="",$B4109="(blank)"),"",VLOOKUP($B4109,'Email Marketing Raw Data'!$C:$O,5,0)),"")</f>
        <v/>
      </c>
      <c r="I4109" s="55" t="str">
        <f>IFERROR(IF($G4109="","",VLOOKUP('Dashboard And Emails Automate'!$G4109,Database!$H:$N,3,0)),"")</f>
        <v/>
      </c>
      <c r="J4109" s="55" t="str">
        <f>IFERROR(IF($G4109="","",VLOOKUP('Dashboard And Emails Automate'!$G4109,Database!$H:$N,4,0)),"")</f>
        <v/>
      </c>
      <c r="K4109" s="55" t="str">
        <f>IFERROR(IF($G4109="","",VLOOKUP('Dashboard And Emails Automate'!$G4109,Database!$H:$N,5,0)),"")</f>
        <v/>
      </c>
      <c r="L4109" s="55" t="str">
        <f>IFERROR(IF($G4109="","",VLOOKUP('Dashboard And Emails Automate'!$G4109,Database!$H:$N,6,0)),"")</f>
        <v/>
      </c>
      <c r="M4109" s="55" t="str">
        <f>IFERROR(IF($G4109="","",VLOOKUP('Dashboard And Emails Automate'!$G4109,Database!$H:$N,7,0)),"")</f>
        <v/>
      </c>
      <c r="N4109" s="55" t="str">
        <f>IFERROR(IF(OR($B4109="",$B4109="(blank)"),"",VLOOKUP($B4109,'Email Marketing Raw Data'!$C:$O,6,0)),"")</f>
        <v/>
      </c>
      <c r="O4109" s="55" t="str">
        <f>IFERROR(IF(OR($B4109="",$B4109="(blank)"),"",VLOOKUP($B4109,'Email Marketing Raw Data'!$C:$O,7,0)),"")</f>
        <v/>
      </c>
      <c r="P4109" s="55" t="str">
        <f>IFERROR(IF(OR($B4109="",$B4109="(blank)"),"",VLOOKUP($B4109,'Email Marketing Raw Data'!$C:$O,8,0)),"")</f>
        <v/>
      </c>
      <c r="Q4109" s="62" t="str">
        <f>IFERROR(IF(OR($B4109="",$B4109="(blank)"),"",VLOOKUP($B4109,'Email Marketing Raw Data'!$C:$O,9,0)),"")</f>
        <v/>
      </c>
    </row>
    <row r="4110" spans="4:17" ht="12.75" customHeight="1" x14ac:dyDescent="0.2">
      <c r="D4110" s="58" t="str">
        <f>IFERROR(IF(F4110&lt;&gt;"pending","",IF(OR($B4110="",$B4110="(blank)"),"",VLOOKUP($B4110,'Email Marketing Raw Data'!$C:$O,10,0))),"")</f>
        <v/>
      </c>
      <c r="E4110" s="59" t="str">
        <f>IFERROR(IF(F4110&lt;&gt;"pending","",IF(OR($B4110="",$B4110="(blank)"),"",VLOOKUP($B4110,'Email Marketing Raw Data'!$C:$O,11,0))),"")</f>
        <v/>
      </c>
      <c r="F4110" s="54" t="str">
        <f>IFERROR(IF(OR($B4110="",$B4110="(blank)"),"",VLOOKUP($B4110,'Email Marketing Raw Data'!$C:$O,13,0)),"")</f>
        <v/>
      </c>
      <c r="G4110" s="55" t="str">
        <f>IFERROR(IF(OR($B4110="",$B4110="(blank)"),"",VLOOKUP($B4110,'Email Marketing Raw Data'!$C:$O,4,0)),"")</f>
        <v/>
      </c>
      <c r="H4110" s="55" t="str">
        <f>IFERROR(IF(OR($B4110="",$B4110="(blank)"),"",VLOOKUP($B4110,'Email Marketing Raw Data'!$C:$O,5,0)),"")</f>
        <v/>
      </c>
      <c r="I4110" s="55" t="str">
        <f>IFERROR(IF($G4110="","",VLOOKUP('Dashboard And Emails Automate'!$G4110,Database!$H:$N,3,0)),"")</f>
        <v/>
      </c>
      <c r="J4110" s="55" t="str">
        <f>IFERROR(IF($G4110="","",VLOOKUP('Dashboard And Emails Automate'!$G4110,Database!$H:$N,4,0)),"")</f>
        <v/>
      </c>
      <c r="K4110" s="55" t="str">
        <f>IFERROR(IF($G4110="","",VLOOKUP('Dashboard And Emails Automate'!$G4110,Database!$H:$N,5,0)),"")</f>
        <v/>
      </c>
      <c r="L4110" s="55" t="str">
        <f>IFERROR(IF($G4110="","",VLOOKUP('Dashboard And Emails Automate'!$G4110,Database!$H:$N,6,0)),"")</f>
        <v/>
      </c>
      <c r="M4110" s="55" t="str">
        <f>IFERROR(IF($G4110="","",VLOOKUP('Dashboard And Emails Automate'!$G4110,Database!$H:$N,7,0)),"")</f>
        <v/>
      </c>
      <c r="N4110" s="55" t="str">
        <f>IFERROR(IF(OR($B4110="",$B4110="(blank)"),"",VLOOKUP($B4110,'Email Marketing Raw Data'!$C:$O,6,0)),"")</f>
        <v/>
      </c>
      <c r="O4110" s="55" t="str">
        <f>IFERROR(IF(OR($B4110="",$B4110="(blank)"),"",VLOOKUP($B4110,'Email Marketing Raw Data'!$C:$O,7,0)),"")</f>
        <v/>
      </c>
      <c r="P4110" s="55" t="str">
        <f>IFERROR(IF(OR($B4110="",$B4110="(blank)"),"",VLOOKUP($B4110,'Email Marketing Raw Data'!$C:$O,8,0)),"")</f>
        <v/>
      </c>
      <c r="Q4110" s="62" t="str">
        <f>IFERROR(IF(OR($B4110="",$B4110="(blank)"),"",VLOOKUP($B4110,'Email Marketing Raw Data'!$C:$O,9,0)),"")</f>
        <v/>
      </c>
    </row>
    <row r="4111" spans="4:17" ht="12.75" customHeight="1" x14ac:dyDescent="0.2">
      <c r="D4111" s="58" t="str">
        <f>IFERROR(IF(F4111&lt;&gt;"pending","",IF(OR($B4111="",$B4111="(blank)"),"",VLOOKUP($B4111,'Email Marketing Raw Data'!$C:$O,10,0))),"")</f>
        <v/>
      </c>
      <c r="E4111" s="59" t="str">
        <f>IFERROR(IF(F4111&lt;&gt;"pending","",IF(OR($B4111="",$B4111="(blank)"),"",VLOOKUP($B4111,'Email Marketing Raw Data'!$C:$O,11,0))),"")</f>
        <v/>
      </c>
      <c r="F4111" s="54" t="str">
        <f>IFERROR(IF(OR($B4111="",$B4111="(blank)"),"",VLOOKUP($B4111,'Email Marketing Raw Data'!$C:$O,13,0)),"")</f>
        <v/>
      </c>
      <c r="G4111" s="55" t="str">
        <f>IFERROR(IF(OR($B4111="",$B4111="(blank)"),"",VLOOKUP($B4111,'Email Marketing Raw Data'!$C:$O,4,0)),"")</f>
        <v/>
      </c>
      <c r="H4111" s="55" t="str">
        <f>IFERROR(IF(OR($B4111="",$B4111="(blank)"),"",VLOOKUP($B4111,'Email Marketing Raw Data'!$C:$O,5,0)),"")</f>
        <v/>
      </c>
      <c r="I4111" s="55" t="str">
        <f>IFERROR(IF($G4111="","",VLOOKUP('Dashboard And Emails Automate'!$G4111,Database!$H:$N,3,0)),"")</f>
        <v/>
      </c>
      <c r="J4111" s="55" t="str">
        <f>IFERROR(IF($G4111="","",VLOOKUP('Dashboard And Emails Automate'!$G4111,Database!$H:$N,4,0)),"")</f>
        <v/>
      </c>
      <c r="K4111" s="55" t="str">
        <f>IFERROR(IF($G4111="","",VLOOKUP('Dashboard And Emails Automate'!$G4111,Database!$H:$N,5,0)),"")</f>
        <v/>
      </c>
      <c r="L4111" s="55" t="str">
        <f>IFERROR(IF($G4111="","",VLOOKUP('Dashboard And Emails Automate'!$G4111,Database!$H:$N,6,0)),"")</f>
        <v/>
      </c>
      <c r="M4111" s="55" t="str">
        <f>IFERROR(IF($G4111="","",VLOOKUP('Dashboard And Emails Automate'!$G4111,Database!$H:$N,7,0)),"")</f>
        <v/>
      </c>
      <c r="N4111" s="55" t="str">
        <f>IFERROR(IF(OR($B4111="",$B4111="(blank)"),"",VLOOKUP($B4111,'Email Marketing Raw Data'!$C:$O,6,0)),"")</f>
        <v/>
      </c>
      <c r="O4111" s="55" t="str">
        <f>IFERROR(IF(OR($B4111="",$B4111="(blank)"),"",VLOOKUP($B4111,'Email Marketing Raw Data'!$C:$O,7,0)),"")</f>
        <v/>
      </c>
      <c r="P4111" s="55" t="str">
        <f>IFERROR(IF(OR($B4111="",$B4111="(blank)"),"",VLOOKUP($B4111,'Email Marketing Raw Data'!$C:$O,8,0)),"")</f>
        <v/>
      </c>
      <c r="Q4111" s="62" t="str">
        <f>IFERROR(IF(OR($B4111="",$B4111="(blank)"),"",VLOOKUP($B4111,'Email Marketing Raw Data'!$C:$O,9,0)),"")</f>
        <v/>
      </c>
    </row>
    <row r="4112" spans="4:17" ht="12.75" customHeight="1" x14ac:dyDescent="0.2">
      <c r="D4112" s="58" t="str">
        <f>IFERROR(IF(F4112&lt;&gt;"pending","",IF(OR($B4112="",$B4112="(blank)"),"",VLOOKUP($B4112,'Email Marketing Raw Data'!$C:$O,10,0))),"")</f>
        <v/>
      </c>
      <c r="E4112" s="59" t="str">
        <f>IFERROR(IF(F4112&lt;&gt;"pending","",IF(OR($B4112="",$B4112="(blank)"),"",VLOOKUP($B4112,'Email Marketing Raw Data'!$C:$O,11,0))),"")</f>
        <v/>
      </c>
      <c r="F4112" s="54" t="str">
        <f>IFERROR(IF(OR($B4112="",$B4112="(blank)"),"",VLOOKUP($B4112,'Email Marketing Raw Data'!$C:$O,13,0)),"")</f>
        <v/>
      </c>
      <c r="G4112" s="55" t="str">
        <f>IFERROR(IF(OR($B4112="",$B4112="(blank)"),"",VLOOKUP($B4112,'Email Marketing Raw Data'!$C:$O,4,0)),"")</f>
        <v/>
      </c>
      <c r="H4112" s="55" t="str">
        <f>IFERROR(IF(OR($B4112="",$B4112="(blank)"),"",VLOOKUP($B4112,'Email Marketing Raw Data'!$C:$O,5,0)),"")</f>
        <v/>
      </c>
      <c r="I4112" s="55" t="str">
        <f>IFERROR(IF($G4112="","",VLOOKUP('Dashboard And Emails Automate'!$G4112,Database!$H:$N,3,0)),"")</f>
        <v/>
      </c>
      <c r="J4112" s="55" t="str">
        <f>IFERROR(IF($G4112="","",VLOOKUP('Dashboard And Emails Automate'!$G4112,Database!$H:$N,4,0)),"")</f>
        <v/>
      </c>
      <c r="K4112" s="55" t="str">
        <f>IFERROR(IF($G4112="","",VLOOKUP('Dashboard And Emails Automate'!$G4112,Database!$H:$N,5,0)),"")</f>
        <v/>
      </c>
      <c r="L4112" s="55" t="str">
        <f>IFERROR(IF($G4112="","",VLOOKUP('Dashboard And Emails Automate'!$G4112,Database!$H:$N,6,0)),"")</f>
        <v/>
      </c>
      <c r="M4112" s="55" t="str">
        <f>IFERROR(IF($G4112="","",VLOOKUP('Dashboard And Emails Automate'!$G4112,Database!$H:$N,7,0)),"")</f>
        <v/>
      </c>
      <c r="N4112" s="55" t="str">
        <f>IFERROR(IF(OR($B4112="",$B4112="(blank)"),"",VLOOKUP($B4112,'Email Marketing Raw Data'!$C:$O,6,0)),"")</f>
        <v/>
      </c>
      <c r="O4112" s="55" t="str">
        <f>IFERROR(IF(OR($B4112="",$B4112="(blank)"),"",VLOOKUP($B4112,'Email Marketing Raw Data'!$C:$O,7,0)),"")</f>
        <v/>
      </c>
      <c r="P4112" s="55" t="str">
        <f>IFERROR(IF(OR($B4112="",$B4112="(blank)"),"",VLOOKUP($B4112,'Email Marketing Raw Data'!$C:$O,8,0)),"")</f>
        <v/>
      </c>
      <c r="Q4112" s="62" t="str">
        <f>IFERROR(IF(OR($B4112="",$B4112="(blank)"),"",VLOOKUP($B4112,'Email Marketing Raw Data'!$C:$O,9,0)),"")</f>
        <v/>
      </c>
    </row>
    <row r="4113" spans="4:17" ht="12.75" customHeight="1" x14ac:dyDescent="0.2">
      <c r="D4113" s="58" t="str">
        <f>IFERROR(IF(F4113&lt;&gt;"pending","",IF(OR($B4113="",$B4113="(blank)"),"",VLOOKUP($B4113,'Email Marketing Raw Data'!$C:$O,10,0))),"")</f>
        <v/>
      </c>
      <c r="E4113" s="59" t="str">
        <f>IFERROR(IF(F4113&lt;&gt;"pending","",IF(OR($B4113="",$B4113="(blank)"),"",VLOOKUP($B4113,'Email Marketing Raw Data'!$C:$O,11,0))),"")</f>
        <v/>
      </c>
      <c r="F4113" s="54" t="str">
        <f>IFERROR(IF(OR($B4113="",$B4113="(blank)"),"",VLOOKUP($B4113,'Email Marketing Raw Data'!$C:$O,13,0)),"")</f>
        <v/>
      </c>
      <c r="G4113" s="55" t="str">
        <f>IFERROR(IF(OR($B4113="",$B4113="(blank)"),"",VLOOKUP($B4113,'Email Marketing Raw Data'!$C:$O,4,0)),"")</f>
        <v/>
      </c>
      <c r="H4113" s="55" t="str">
        <f>IFERROR(IF(OR($B4113="",$B4113="(blank)"),"",VLOOKUP($B4113,'Email Marketing Raw Data'!$C:$O,5,0)),"")</f>
        <v/>
      </c>
      <c r="I4113" s="55" t="str">
        <f>IFERROR(IF($G4113="","",VLOOKUP('Dashboard And Emails Automate'!$G4113,Database!$H:$N,3,0)),"")</f>
        <v/>
      </c>
      <c r="J4113" s="55" t="str">
        <f>IFERROR(IF($G4113="","",VLOOKUP('Dashboard And Emails Automate'!$G4113,Database!$H:$N,4,0)),"")</f>
        <v/>
      </c>
      <c r="K4113" s="55" t="str">
        <f>IFERROR(IF($G4113="","",VLOOKUP('Dashboard And Emails Automate'!$G4113,Database!$H:$N,5,0)),"")</f>
        <v/>
      </c>
      <c r="L4113" s="55" t="str">
        <f>IFERROR(IF($G4113="","",VLOOKUP('Dashboard And Emails Automate'!$G4113,Database!$H:$N,6,0)),"")</f>
        <v/>
      </c>
      <c r="M4113" s="55" t="str">
        <f>IFERROR(IF($G4113="","",VLOOKUP('Dashboard And Emails Automate'!$G4113,Database!$H:$N,7,0)),"")</f>
        <v/>
      </c>
      <c r="N4113" s="55" t="str">
        <f>IFERROR(IF(OR($B4113="",$B4113="(blank)"),"",VLOOKUP($B4113,'Email Marketing Raw Data'!$C:$O,6,0)),"")</f>
        <v/>
      </c>
      <c r="O4113" s="55" t="str">
        <f>IFERROR(IF(OR($B4113="",$B4113="(blank)"),"",VLOOKUP($B4113,'Email Marketing Raw Data'!$C:$O,7,0)),"")</f>
        <v/>
      </c>
      <c r="P4113" s="55" t="str">
        <f>IFERROR(IF(OR($B4113="",$B4113="(blank)"),"",VLOOKUP($B4113,'Email Marketing Raw Data'!$C:$O,8,0)),"")</f>
        <v/>
      </c>
      <c r="Q4113" s="62" t="str">
        <f>IFERROR(IF(OR($B4113="",$B4113="(blank)"),"",VLOOKUP($B4113,'Email Marketing Raw Data'!$C:$O,9,0)),"")</f>
        <v/>
      </c>
    </row>
    <row r="4114" spans="4:17" ht="12.75" customHeight="1" x14ac:dyDescent="0.2">
      <c r="D4114" s="58" t="str">
        <f>IFERROR(IF(F4114&lt;&gt;"pending","",IF(OR($B4114="",$B4114="(blank)"),"",VLOOKUP($B4114,'Email Marketing Raw Data'!$C:$O,10,0))),"")</f>
        <v/>
      </c>
      <c r="E4114" s="59" t="str">
        <f>IFERROR(IF(F4114&lt;&gt;"pending","",IF(OR($B4114="",$B4114="(blank)"),"",VLOOKUP($B4114,'Email Marketing Raw Data'!$C:$O,11,0))),"")</f>
        <v/>
      </c>
      <c r="F4114" s="54" t="str">
        <f>IFERROR(IF(OR($B4114="",$B4114="(blank)"),"",VLOOKUP($B4114,'Email Marketing Raw Data'!$C:$O,13,0)),"")</f>
        <v/>
      </c>
      <c r="G4114" s="55" t="str">
        <f>IFERROR(IF(OR($B4114="",$B4114="(blank)"),"",VLOOKUP($B4114,'Email Marketing Raw Data'!$C:$O,4,0)),"")</f>
        <v/>
      </c>
      <c r="H4114" s="55" t="str">
        <f>IFERROR(IF(OR($B4114="",$B4114="(blank)"),"",VLOOKUP($B4114,'Email Marketing Raw Data'!$C:$O,5,0)),"")</f>
        <v/>
      </c>
      <c r="I4114" s="55" t="str">
        <f>IFERROR(IF($G4114="","",VLOOKUP('Dashboard And Emails Automate'!$G4114,Database!$H:$N,3,0)),"")</f>
        <v/>
      </c>
      <c r="J4114" s="55" t="str">
        <f>IFERROR(IF($G4114="","",VLOOKUP('Dashboard And Emails Automate'!$G4114,Database!$H:$N,4,0)),"")</f>
        <v/>
      </c>
      <c r="K4114" s="55" t="str">
        <f>IFERROR(IF($G4114="","",VLOOKUP('Dashboard And Emails Automate'!$G4114,Database!$H:$N,5,0)),"")</f>
        <v/>
      </c>
      <c r="L4114" s="55" t="str">
        <f>IFERROR(IF($G4114="","",VLOOKUP('Dashboard And Emails Automate'!$G4114,Database!$H:$N,6,0)),"")</f>
        <v/>
      </c>
      <c r="M4114" s="55" t="str">
        <f>IFERROR(IF($G4114="","",VLOOKUP('Dashboard And Emails Automate'!$G4114,Database!$H:$N,7,0)),"")</f>
        <v/>
      </c>
      <c r="N4114" s="55" t="str">
        <f>IFERROR(IF(OR($B4114="",$B4114="(blank)"),"",VLOOKUP($B4114,'Email Marketing Raw Data'!$C:$O,6,0)),"")</f>
        <v/>
      </c>
      <c r="O4114" s="55" t="str">
        <f>IFERROR(IF(OR($B4114="",$B4114="(blank)"),"",VLOOKUP($B4114,'Email Marketing Raw Data'!$C:$O,7,0)),"")</f>
        <v/>
      </c>
      <c r="P4114" s="55" t="str">
        <f>IFERROR(IF(OR($B4114="",$B4114="(blank)"),"",VLOOKUP($B4114,'Email Marketing Raw Data'!$C:$O,8,0)),"")</f>
        <v/>
      </c>
      <c r="Q4114" s="62" t="str">
        <f>IFERROR(IF(OR($B4114="",$B4114="(blank)"),"",VLOOKUP($B4114,'Email Marketing Raw Data'!$C:$O,9,0)),"")</f>
        <v/>
      </c>
    </row>
    <row r="4115" spans="4:17" ht="12.75" customHeight="1" x14ac:dyDescent="0.2">
      <c r="D4115" s="58" t="str">
        <f>IFERROR(IF(F4115&lt;&gt;"pending","",IF(OR($B4115="",$B4115="(blank)"),"",VLOOKUP($B4115,'Email Marketing Raw Data'!$C:$O,10,0))),"")</f>
        <v/>
      </c>
      <c r="E4115" s="59" t="str">
        <f>IFERROR(IF(F4115&lt;&gt;"pending","",IF(OR($B4115="",$B4115="(blank)"),"",VLOOKUP($B4115,'Email Marketing Raw Data'!$C:$O,11,0))),"")</f>
        <v/>
      </c>
      <c r="F4115" s="54" t="str">
        <f>IFERROR(IF(OR($B4115="",$B4115="(blank)"),"",VLOOKUP($B4115,'Email Marketing Raw Data'!$C:$O,13,0)),"")</f>
        <v/>
      </c>
      <c r="G4115" s="55" t="str">
        <f>IFERROR(IF(OR($B4115="",$B4115="(blank)"),"",VLOOKUP($B4115,'Email Marketing Raw Data'!$C:$O,4,0)),"")</f>
        <v/>
      </c>
      <c r="H4115" s="55" t="str">
        <f>IFERROR(IF(OR($B4115="",$B4115="(blank)"),"",VLOOKUP($B4115,'Email Marketing Raw Data'!$C:$O,5,0)),"")</f>
        <v/>
      </c>
      <c r="I4115" s="55" t="str">
        <f>IFERROR(IF($G4115="","",VLOOKUP('Dashboard And Emails Automate'!$G4115,Database!$H:$N,3,0)),"")</f>
        <v/>
      </c>
      <c r="J4115" s="55" t="str">
        <f>IFERROR(IF($G4115="","",VLOOKUP('Dashboard And Emails Automate'!$G4115,Database!$H:$N,4,0)),"")</f>
        <v/>
      </c>
      <c r="K4115" s="55" t="str">
        <f>IFERROR(IF($G4115="","",VLOOKUP('Dashboard And Emails Automate'!$G4115,Database!$H:$N,5,0)),"")</f>
        <v/>
      </c>
      <c r="L4115" s="55" t="str">
        <f>IFERROR(IF($G4115="","",VLOOKUP('Dashboard And Emails Automate'!$G4115,Database!$H:$N,6,0)),"")</f>
        <v/>
      </c>
      <c r="M4115" s="55" t="str">
        <f>IFERROR(IF($G4115="","",VLOOKUP('Dashboard And Emails Automate'!$G4115,Database!$H:$N,7,0)),"")</f>
        <v/>
      </c>
      <c r="N4115" s="55" t="str">
        <f>IFERROR(IF(OR($B4115="",$B4115="(blank)"),"",VLOOKUP($B4115,'Email Marketing Raw Data'!$C:$O,6,0)),"")</f>
        <v/>
      </c>
      <c r="O4115" s="55" t="str">
        <f>IFERROR(IF(OR($B4115="",$B4115="(blank)"),"",VLOOKUP($B4115,'Email Marketing Raw Data'!$C:$O,7,0)),"")</f>
        <v/>
      </c>
      <c r="P4115" s="55" t="str">
        <f>IFERROR(IF(OR($B4115="",$B4115="(blank)"),"",VLOOKUP($B4115,'Email Marketing Raw Data'!$C:$O,8,0)),"")</f>
        <v/>
      </c>
      <c r="Q4115" s="62" t="str">
        <f>IFERROR(IF(OR($B4115="",$B4115="(blank)"),"",VLOOKUP($B4115,'Email Marketing Raw Data'!$C:$O,9,0)),"")</f>
        <v/>
      </c>
    </row>
    <row r="4116" spans="4:17" ht="12.75" customHeight="1" x14ac:dyDescent="0.2">
      <c r="D4116" s="58" t="str">
        <f>IFERROR(IF(F4116&lt;&gt;"pending","",IF(OR($B4116="",$B4116="(blank)"),"",VLOOKUP($B4116,'Email Marketing Raw Data'!$C:$O,10,0))),"")</f>
        <v/>
      </c>
      <c r="E4116" s="59" t="str">
        <f>IFERROR(IF(F4116&lt;&gt;"pending","",IF(OR($B4116="",$B4116="(blank)"),"",VLOOKUP($B4116,'Email Marketing Raw Data'!$C:$O,11,0))),"")</f>
        <v/>
      </c>
      <c r="F4116" s="54" t="str">
        <f>IFERROR(IF(OR($B4116="",$B4116="(blank)"),"",VLOOKUP($B4116,'Email Marketing Raw Data'!$C:$O,13,0)),"")</f>
        <v/>
      </c>
      <c r="G4116" s="55" t="str">
        <f>IFERROR(IF(OR($B4116="",$B4116="(blank)"),"",VLOOKUP($B4116,'Email Marketing Raw Data'!$C:$O,4,0)),"")</f>
        <v/>
      </c>
      <c r="H4116" s="55" t="str">
        <f>IFERROR(IF(OR($B4116="",$B4116="(blank)"),"",VLOOKUP($B4116,'Email Marketing Raw Data'!$C:$O,5,0)),"")</f>
        <v/>
      </c>
      <c r="I4116" s="55" t="str">
        <f>IFERROR(IF($G4116="","",VLOOKUP('Dashboard And Emails Automate'!$G4116,Database!$H:$N,3,0)),"")</f>
        <v/>
      </c>
      <c r="J4116" s="55" t="str">
        <f>IFERROR(IF($G4116="","",VLOOKUP('Dashboard And Emails Automate'!$G4116,Database!$H:$N,4,0)),"")</f>
        <v/>
      </c>
      <c r="K4116" s="55" t="str">
        <f>IFERROR(IF($G4116="","",VLOOKUP('Dashboard And Emails Automate'!$G4116,Database!$H:$N,5,0)),"")</f>
        <v/>
      </c>
      <c r="L4116" s="55" t="str">
        <f>IFERROR(IF($G4116="","",VLOOKUP('Dashboard And Emails Automate'!$G4116,Database!$H:$N,6,0)),"")</f>
        <v/>
      </c>
      <c r="M4116" s="55" t="str">
        <f>IFERROR(IF($G4116="","",VLOOKUP('Dashboard And Emails Automate'!$G4116,Database!$H:$N,7,0)),"")</f>
        <v/>
      </c>
      <c r="N4116" s="55" t="str">
        <f>IFERROR(IF(OR($B4116="",$B4116="(blank)"),"",VLOOKUP($B4116,'Email Marketing Raw Data'!$C:$O,6,0)),"")</f>
        <v/>
      </c>
      <c r="O4116" s="55" t="str">
        <f>IFERROR(IF(OR($B4116="",$B4116="(blank)"),"",VLOOKUP($B4116,'Email Marketing Raw Data'!$C:$O,7,0)),"")</f>
        <v/>
      </c>
      <c r="P4116" s="55" t="str">
        <f>IFERROR(IF(OR($B4116="",$B4116="(blank)"),"",VLOOKUP($B4116,'Email Marketing Raw Data'!$C:$O,8,0)),"")</f>
        <v/>
      </c>
      <c r="Q4116" s="62" t="str">
        <f>IFERROR(IF(OR($B4116="",$B4116="(blank)"),"",VLOOKUP($B4116,'Email Marketing Raw Data'!$C:$O,9,0)),"")</f>
        <v/>
      </c>
    </row>
    <row r="4117" spans="4:17" ht="12.75" customHeight="1" x14ac:dyDescent="0.2">
      <c r="D4117" s="58" t="str">
        <f>IFERROR(IF(F4117&lt;&gt;"pending","",IF(OR($B4117="",$B4117="(blank)"),"",VLOOKUP($B4117,'Email Marketing Raw Data'!$C:$O,10,0))),"")</f>
        <v/>
      </c>
      <c r="E4117" s="59" t="str">
        <f>IFERROR(IF(F4117&lt;&gt;"pending","",IF(OR($B4117="",$B4117="(blank)"),"",VLOOKUP($B4117,'Email Marketing Raw Data'!$C:$O,11,0))),"")</f>
        <v/>
      </c>
      <c r="F4117" s="54" t="str">
        <f>IFERROR(IF(OR($B4117="",$B4117="(blank)"),"",VLOOKUP($B4117,'Email Marketing Raw Data'!$C:$O,13,0)),"")</f>
        <v/>
      </c>
      <c r="G4117" s="55" t="str">
        <f>IFERROR(IF(OR($B4117="",$B4117="(blank)"),"",VLOOKUP($B4117,'Email Marketing Raw Data'!$C:$O,4,0)),"")</f>
        <v/>
      </c>
      <c r="H4117" s="55" t="str">
        <f>IFERROR(IF(OR($B4117="",$B4117="(blank)"),"",VLOOKUP($B4117,'Email Marketing Raw Data'!$C:$O,5,0)),"")</f>
        <v/>
      </c>
      <c r="I4117" s="55" t="str">
        <f>IFERROR(IF($G4117="","",VLOOKUP('Dashboard And Emails Automate'!$G4117,Database!$H:$N,3,0)),"")</f>
        <v/>
      </c>
      <c r="J4117" s="55" t="str">
        <f>IFERROR(IF($G4117="","",VLOOKUP('Dashboard And Emails Automate'!$G4117,Database!$H:$N,4,0)),"")</f>
        <v/>
      </c>
      <c r="K4117" s="55" t="str">
        <f>IFERROR(IF($G4117="","",VLOOKUP('Dashboard And Emails Automate'!$G4117,Database!$H:$N,5,0)),"")</f>
        <v/>
      </c>
      <c r="L4117" s="55" t="str">
        <f>IFERROR(IF($G4117="","",VLOOKUP('Dashboard And Emails Automate'!$G4117,Database!$H:$N,6,0)),"")</f>
        <v/>
      </c>
      <c r="M4117" s="55" t="str">
        <f>IFERROR(IF($G4117="","",VLOOKUP('Dashboard And Emails Automate'!$G4117,Database!$H:$N,7,0)),"")</f>
        <v/>
      </c>
      <c r="N4117" s="55" t="str">
        <f>IFERROR(IF(OR($B4117="",$B4117="(blank)"),"",VLOOKUP($B4117,'Email Marketing Raw Data'!$C:$O,6,0)),"")</f>
        <v/>
      </c>
      <c r="O4117" s="55" t="str">
        <f>IFERROR(IF(OR($B4117="",$B4117="(blank)"),"",VLOOKUP($B4117,'Email Marketing Raw Data'!$C:$O,7,0)),"")</f>
        <v/>
      </c>
      <c r="P4117" s="55" t="str">
        <f>IFERROR(IF(OR($B4117="",$B4117="(blank)"),"",VLOOKUP($B4117,'Email Marketing Raw Data'!$C:$O,8,0)),"")</f>
        <v/>
      </c>
      <c r="Q4117" s="62" t="str">
        <f>IFERROR(IF(OR($B4117="",$B4117="(blank)"),"",VLOOKUP($B4117,'Email Marketing Raw Data'!$C:$O,9,0)),"")</f>
        <v/>
      </c>
    </row>
    <row r="4118" spans="4:17" ht="12.75" customHeight="1" x14ac:dyDescent="0.2">
      <c r="D4118" s="58" t="str">
        <f>IFERROR(IF(F4118&lt;&gt;"pending","",IF(OR($B4118="",$B4118="(blank)"),"",VLOOKUP($B4118,'Email Marketing Raw Data'!$C:$O,10,0))),"")</f>
        <v/>
      </c>
      <c r="E4118" s="59" t="str">
        <f>IFERROR(IF(F4118&lt;&gt;"pending","",IF(OR($B4118="",$B4118="(blank)"),"",VLOOKUP($B4118,'Email Marketing Raw Data'!$C:$O,11,0))),"")</f>
        <v/>
      </c>
      <c r="F4118" s="54" t="str">
        <f>IFERROR(IF(OR($B4118="",$B4118="(blank)"),"",VLOOKUP($B4118,'Email Marketing Raw Data'!$C:$O,13,0)),"")</f>
        <v/>
      </c>
      <c r="G4118" s="55" t="str">
        <f>IFERROR(IF(OR($B4118="",$B4118="(blank)"),"",VLOOKUP($B4118,'Email Marketing Raw Data'!$C:$O,4,0)),"")</f>
        <v/>
      </c>
      <c r="H4118" s="55" t="str">
        <f>IFERROR(IF(OR($B4118="",$B4118="(blank)"),"",VLOOKUP($B4118,'Email Marketing Raw Data'!$C:$O,5,0)),"")</f>
        <v/>
      </c>
      <c r="I4118" s="55" t="str">
        <f>IFERROR(IF($G4118="","",VLOOKUP('Dashboard And Emails Automate'!$G4118,Database!$H:$N,3,0)),"")</f>
        <v/>
      </c>
      <c r="J4118" s="55" t="str">
        <f>IFERROR(IF($G4118="","",VLOOKUP('Dashboard And Emails Automate'!$G4118,Database!$H:$N,4,0)),"")</f>
        <v/>
      </c>
      <c r="K4118" s="55" t="str">
        <f>IFERROR(IF($G4118="","",VLOOKUP('Dashboard And Emails Automate'!$G4118,Database!$H:$N,5,0)),"")</f>
        <v/>
      </c>
      <c r="L4118" s="55" t="str">
        <f>IFERROR(IF($G4118="","",VLOOKUP('Dashboard And Emails Automate'!$G4118,Database!$H:$N,6,0)),"")</f>
        <v/>
      </c>
      <c r="M4118" s="55" t="str">
        <f>IFERROR(IF($G4118="","",VLOOKUP('Dashboard And Emails Automate'!$G4118,Database!$H:$N,7,0)),"")</f>
        <v/>
      </c>
      <c r="N4118" s="55" t="str">
        <f>IFERROR(IF(OR($B4118="",$B4118="(blank)"),"",VLOOKUP($B4118,'Email Marketing Raw Data'!$C:$O,6,0)),"")</f>
        <v/>
      </c>
      <c r="O4118" s="55" t="str">
        <f>IFERROR(IF(OR($B4118="",$B4118="(blank)"),"",VLOOKUP($B4118,'Email Marketing Raw Data'!$C:$O,7,0)),"")</f>
        <v/>
      </c>
      <c r="P4118" s="55" t="str">
        <f>IFERROR(IF(OR($B4118="",$B4118="(blank)"),"",VLOOKUP($B4118,'Email Marketing Raw Data'!$C:$O,8,0)),"")</f>
        <v/>
      </c>
      <c r="Q4118" s="62" t="str">
        <f>IFERROR(IF(OR($B4118="",$B4118="(blank)"),"",VLOOKUP($B4118,'Email Marketing Raw Data'!$C:$O,9,0)),"")</f>
        <v/>
      </c>
    </row>
    <row r="4119" spans="4:17" ht="12.75" customHeight="1" x14ac:dyDescent="0.2">
      <c r="D4119" s="58" t="str">
        <f>IFERROR(IF(F4119&lt;&gt;"pending","",IF(OR($B4119="",$B4119="(blank)"),"",VLOOKUP($B4119,'Email Marketing Raw Data'!$C:$O,10,0))),"")</f>
        <v/>
      </c>
      <c r="E4119" s="59" t="str">
        <f>IFERROR(IF(F4119&lt;&gt;"pending","",IF(OR($B4119="",$B4119="(blank)"),"",VLOOKUP($B4119,'Email Marketing Raw Data'!$C:$O,11,0))),"")</f>
        <v/>
      </c>
      <c r="F4119" s="54" t="str">
        <f>IFERROR(IF(OR($B4119="",$B4119="(blank)"),"",VLOOKUP($B4119,'Email Marketing Raw Data'!$C:$O,13,0)),"")</f>
        <v/>
      </c>
      <c r="G4119" s="55" t="str">
        <f>IFERROR(IF(OR($B4119="",$B4119="(blank)"),"",VLOOKUP($B4119,'Email Marketing Raw Data'!$C:$O,4,0)),"")</f>
        <v/>
      </c>
      <c r="H4119" s="55" t="str">
        <f>IFERROR(IF(OR($B4119="",$B4119="(blank)"),"",VLOOKUP($B4119,'Email Marketing Raw Data'!$C:$O,5,0)),"")</f>
        <v/>
      </c>
      <c r="I4119" s="55" t="str">
        <f>IFERROR(IF($G4119="","",VLOOKUP('Dashboard And Emails Automate'!$G4119,Database!$H:$N,3,0)),"")</f>
        <v/>
      </c>
      <c r="J4119" s="55" t="str">
        <f>IFERROR(IF($G4119="","",VLOOKUP('Dashboard And Emails Automate'!$G4119,Database!$H:$N,4,0)),"")</f>
        <v/>
      </c>
      <c r="K4119" s="55" t="str">
        <f>IFERROR(IF($G4119="","",VLOOKUP('Dashboard And Emails Automate'!$G4119,Database!$H:$N,5,0)),"")</f>
        <v/>
      </c>
      <c r="L4119" s="55" t="str">
        <f>IFERROR(IF($G4119="","",VLOOKUP('Dashboard And Emails Automate'!$G4119,Database!$H:$N,6,0)),"")</f>
        <v/>
      </c>
      <c r="M4119" s="55" t="str">
        <f>IFERROR(IF($G4119="","",VLOOKUP('Dashboard And Emails Automate'!$G4119,Database!$H:$N,7,0)),"")</f>
        <v/>
      </c>
      <c r="N4119" s="55" t="str">
        <f>IFERROR(IF(OR($B4119="",$B4119="(blank)"),"",VLOOKUP($B4119,'Email Marketing Raw Data'!$C:$O,6,0)),"")</f>
        <v/>
      </c>
      <c r="O4119" s="55" t="str">
        <f>IFERROR(IF(OR($B4119="",$B4119="(blank)"),"",VLOOKUP($B4119,'Email Marketing Raw Data'!$C:$O,7,0)),"")</f>
        <v/>
      </c>
      <c r="P4119" s="55" t="str">
        <f>IFERROR(IF(OR($B4119="",$B4119="(blank)"),"",VLOOKUP($B4119,'Email Marketing Raw Data'!$C:$O,8,0)),"")</f>
        <v/>
      </c>
      <c r="Q4119" s="62" t="str">
        <f>IFERROR(IF(OR($B4119="",$B4119="(blank)"),"",VLOOKUP($B4119,'Email Marketing Raw Data'!$C:$O,9,0)),"")</f>
        <v/>
      </c>
    </row>
    <row r="4120" spans="4:17" ht="12.75" customHeight="1" x14ac:dyDescent="0.2">
      <c r="D4120" s="58" t="str">
        <f>IFERROR(IF(F4120&lt;&gt;"pending","",IF(OR($B4120="",$B4120="(blank)"),"",VLOOKUP($B4120,'Email Marketing Raw Data'!$C:$O,10,0))),"")</f>
        <v/>
      </c>
      <c r="E4120" s="59" t="str">
        <f>IFERROR(IF(F4120&lt;&gt;"pending","",IF(OR($B4120="",$B4120="(blank)"),"",VLOOKUP($B4120,'Email Marketing Raw Data'!$C:$O,11,0))),"")</f>
        <v/>
      </c>
      <c r="F4120" s="54" t="str">
        <f>IFERROR(IF(OR($B4120="",$B4120="(blank)"),"",VLOOKUP($B4120,'Email Marketing Raw Data'!$C:$O,13,0)),"")</f>
        <v/>
      </c>
      <c r="G4120" s="55" t="str">
        <f>IFERROR(IF(OR($B4120="",$B4120="(blank)"),"",VLOOKUP($B4120,'Email Marketing Raw Data'!$C:$O,4,0)),"")</f>
        <v/>
      </c>
      <c r="H4120" s="55" t="str">
        <f>IFERROR(IF(OR($B4120="",$B4120="(blank)"),"",VLOOKUP($B4120,'Email Marketing Raw Data'!$C:$O,5,0)),"")</f>
        <v/>
      </c>
      <c r="I4120" s="55" t="str">
        <f>IFERROR(IF($G4120="","",VLOOKUP('Dashboard And Emails Automate'!$G4120,Database!$H:$N,3,0)),"")</f>
        <v/>
      </c>
      <c r="J4120" s="55" t="str">
        <f>IFERROR(IF($G4120="","",VLOOKUP('Dashboard And Emails Automate'!$G4120,Database!$H:$N,4,0)),"")</f>
        <v/>
      </c>
      <c r="K4120" s="55" t="str">
        <f>IFERROR(IF($G4120="","",VLOOKUP('Dashboard And Emails Automate'!$G4120,Database!$H:$N,5,0)),"")</f>
        <v/>
      </c>
      <c r="L4120" s="55" t="str">
        <f>IFERROR(IF($G4120="","",VLOOKUP('Dashboard And Emails Automate'!$G4120,Database!$H:$N,6,0)),"")</f>
        <v/>
      </c>
      <c r="M4120" s="55" t="str">
        <f>IFERROR(IF($G4120="","",VLOOKUP('Dashboard And Emails Automate'!$G4120,Database!$H:$N,7,0)),"")</f>
        <v/>
      </c>
      <c r="N4120" s="55" t="str">
        <f>IFERROR(IF(OR($B4120="",$B4120="(blank)"),"",VLOOKUP($B4120,'Email Marketing Raw Data'!$C:$O,6,0)),"")</f>
        <v/>
      </c>
      <c r="O4120" s="55" t="str">
        <f>IFERROR(IF(OR($B4120="",$B4120="(blank)"),"",VLOOKUP($B4120,'Email Marketing Raw Data'!$C:$O,7,0)),"")</f>
        <v/>
      </c>
      <c r="P4120" s="55" t="str">
        <f>IFERROR(IF(OR($B4120="",$B4120="(blank)"),"",VLOOKUP($B4120,'Email Marketing Raw Data'!$C:$O,8,0)),"")</f>
        <v/>
      </c>
      <c r="Q4120" s="62" t="str">
        <f>IFERROR(IF(OR($B4120="",$B4120="(blank)"),"",VLOOKUP($B4120,'Email Marketing Raw Data'!$C:$O,9,0)),"")</f>
        <v/>
      </c>
    </row>
    <row r="4121" spans="4:17" ht="12.75" customHeight="1" x14ac:dyDescent="0.2">
      <c r="D4121" s="58" t="str">
        <f>IFERROR(IF(F4121&lt;&gt;"pending","",IF(OR($B4121="",$B4121="(blank)"),"",VLOOKUP($B4121,'Email Marketing Raw Data'!$C:$O,10,0))),"")</f>
        <v/>
      </c>
      <c r="E4121" s="59" t="str">
        <f>IFERROR(IF(F4121&lt;&gt;"pending","",IF(OR($B4121="",$B4121="(blank)"),"",VLOOKUP($B4121,'Email Marketing Raw Data'!$C:$O,11,0))),"")</f>
        <v/>
      </c>
      <c r="F4121" s="54" t="str">
        <f>IFERROR(IF(OR($B4121="",$B4121="(blank)"),"",VLOOKUP($B4121,'Email Marketing Raw Data'!$C:$O,13,0)),"")</f>
        <v/>
      </c>
      <c r="G4121" s="55" t="str">
        <f>IFERROR(IF(OR($B4121="",$B4121="(blank)"),"",VLOOKUP($B4121,'Email Marketing Raw Data'!$C:$O,4,0)),"")</f>
        <v/>
      </c>
      <c r="H4121" s="55" t="str">
        <f>IFERROR(IF(OR($B4121="",$B4121="(blank)"),"",VLOOKUP($B4121,'Email Marketing Raw Data'!$C:$O,5,0)),"")</f>
        <v/>
      </c>
      <c r="I4121" s="55" t="str">
        <f>IFERROR(IF($G4121="","",VLOOKUP('Dashboard And Emails Automate'!$G4121,Database!$H:$N,3,0)),"")</f>
        <v/>
      </c>
      <c r="J4121" s="55" t="str">
        <f>IFERROR(IF($G4121="","",VLOOKUP('Dashboard And Emails Automate'!$G4121,Database!$H:$N,4,0)),"")</f>
        <v/>
      </c>
      <c r="K4121" s="55" t="str">
        <f>IFERROR(IF($G4121="","",VLOOKUP('Dashboard And Emails Automate'!$G4121,Database!$H:$N,5,0)),"")</f>
        <v/>
      </c>
      <c r="L4121" s="55" t="str">
        <f>IFERROR(IF($G4121="","",VLOOKUP('Dashboard And Emails Automate'!$G4121,Database!$H:$N,6,0)),"")</f>
        <v/>
      </c>
      <c r="M4121" s="55" t="str">
        <f>IFERROR(IF($G4121="","",VLOOKUP('Dashboard And Emails Automate'!$G4121,Database!$H:$N,7,0)),"")</f>
        <v/>
      </c>
      <c r="N4121" s="55" t="str">
        <f>IFERROR(IF(OR($B4121="",$B4121="(blank)"),"",VLOOKUP($B4121,'Email Marketing Raw Data'!$C:$O,6,0)),"")</f>
        <v/>
      </c>
      <c r="O4121" s="55" t="str">
        <f>IFERROR(IF(OR($B4121="",$B4121="(blank)"),"",VLOOKUP($B4121,'Email Marketing Raw Data'!$C:$O,7,0)),"")</f>
        <v/>
      </c>
      <c r="P4121" s="55" t="str">
        <f>IFERROR(IF(OR($B4121="",$B4121="(blank)"),"",VLOOKUP($B4121,'Email Marketing Raw Data'!$C:$O,8,0)),"")</f>
        <v/>
      </c>
      <c r="Q4121" s="62" t="str">
        <f>IFERROR(IF(OR($B4121="",$B4121="(blank)"),"",VLOOKUP($B4121,'Email Marketing Raw Data'!$C:$O,9,0)),"")</f>
        <v/>
      </c>
    </row>
    <row r="4122" spans="4:17" ht="12.75" customHeight="1" x14ac:dyDescent="0.2">
      <c r="D4122" s="58" t="str">
        <f>IFERROR(IF(F4122&lt;&gt;"pending","",IF(OR($B4122="",$B4122="(blank)"),"",VLOOKUP($B4122,'Email Marketing Raw Data'!$C:$O,10,0))),"")</f>
        <v/>
      </c>
      <c r="E4122" s="59" t="str">
        <f>IFERROR(IF(F4122&lt;&gt;"pending","",IF(OR($B4122="",$B4122="(blank)"),"",VLOOKUP($B4122,'Email Marketing Raw Data'!$C:$O,11,0))),"")</f>
        <v/>
      </c>
      <c r="F4122" s="54" t="str">
        <f>IFERROR(IF(OR($B4122="",$B4122="(blank)"),"",VLOOKUP($B4122,'Email Marketing Raw Data'!$C:$O,13,0)),"")</f>
        <v/>
      </c>
      <c r="G4122" s="55" t="str">
        <f>IFERROR(IF(OR($B4122="",$B4122="(blank)"),"",VLOOKUP($B4122,'Email Marketing Raw Data'!$C:$O,4,0)),"")</f>
        <v/>
      </c>
      <c r="H4122" s="55" t="str">
        <f>IFERROR(IF(OR($B4122="",$B4122="(blank)"),"",VLOOKUP($B4122,'Email Marketing Raw Data'!$C:$O,5,0)),"")</f>
        <v/>
      </c>
      <c r="I4122" s="55" t="str">
        <f>IFERROR(IF($G4122="","",VLOOKUP('Dashboard And Emails Automate'!$G4122,Database!$H:$N,3,0)),"")</f>
        <v/>
      </c>
      <c r="J4122" s="55" t="str">
        <f>IFERROR(IF($G4122="","",VLOOKUP('Dashboard And Emails Automate'!$G4122,Database!$H:$N,4,0)),"")</f>
        <v/>
      </c>
      <c r="K4122" s="55" t="str">
        <f>IFERROR(IF($G4122="","",VLOOKUP('Dashboard And Emails Automate'!$G4122,Database!$H:$N,5,0)),"")</f>
        <v/>
      </c>
      <c r="L4122" s="55" t="str">
        <f>IFERROR(IF($G4122="","",VLOOKUP('Dashboard And Emails Automate'!$G4122,Database!$H:$N,6,0)),"")</f>
        <v/>
      </c>
      <c r="M4122" s="55" t="str">
        <f>IFERROR(IF($G4122="","",VLOOKUP('Dashboard And Emails Automate'!$G4122,Database!$H:$N,7,0)),"")</f>
        <v/>
      </c>
      <c r="N4122" s="55" t="str">
        <f>IFERROR(IF(OR($B4122="",$B4122="(blank)"),"",VLOOKUP($B4122,'Email Marketing Raw Data'!$C:$O,6,0)),"")</f>
        <v/>
      </c>
      <c r="O4122" s="55" t="str">
        <f>IFERROR(IF(OR($B4122="",$B4122="(blank)"),"",VLOOKUP($B4122,'Email Marketing Raw Data'!$C:$O,7,0)),"")</f>
        <v/>
      </c>
      <c r="P4122" s="55" t="str">
        <f>IFERROR(IF(OR($B4122="",$B4122="(blank)"),"",VLOOKUP($B4122,'Email Marketing Raw Data'!$C:$O,8,0)),"")</f>
        <v/>
      </c>
      <c r="Q4122" s="62" t="str">
        <f>IFERROR(IF(OR($B4122="",$B4122="(blank)"),"",VLOOKUP($B4122,'Email Marketing Raw Data'!$C:$O,9,0)),"")</f>
        <v/>
      </c>
    </row>
    <row r="4123" spans="4:17" ht="12.75" customHeight="1" x14ac:dyDescent="0.2">
      <c r="D4123" s="58" t="str">
        <f>IFERROR(IF(F4123&lt;&gt;"pending","",IF(OR($B4123="",$B4123="(blank)"),"",VLOOKUP($B4123,'Email Marketing Raw Data'!$C:$O,10,0))),"")</f>
        <v/>
      </c>
      <c r="E4123" s="59" t="str">
        <f>IFERROR(IF(F4123&lt;&gt;"pending","",IF(OR($B4123="",$B4123="(blank)"),"",VLOOKUP($B4123,'Email Marketing Raw Data'!$C:$O,11,0))),"")</f>
        <v/>
      </c>
      <c r="F4123" s="54" t="str">
        <f>IFERROR(IF(OR($B4123="",$B4123="(blank)"),"",VLOOKUP($B4123,'Email Marketing Raw Data'!$C:$O,13,0)),"")</f>
        <v/>
      </c>
      <c r="G4123" s="55" t="str">
        <f>IFERROR(IF(OR($B4123="",$B4123="(blank)"),"",VLOOKUP($B4123,'Email Marketing Raw Data'!$C:$O,4,0)),"")</f>
        <v/>
      </c>
      <c r="H4123" s="55" t="str">
        <f>IFERROR(IF(OR($B4123="",$B4123="(blank)"),"",VLOOKUP($B4123,'Email Marketing Raw Data'!$C:$O,5,0)),"")</f>
        <v/>
      </c>
      <c r="I4123" s="55" t="str">
        <f>IFERROR(IF($G4123="","",VLOOKUP('Dashboard And Emails Automate'!$G4123,Database!$H:$N,3,0)),"")</f>
        <v/>
      </c>
      <c r="J4123" s="55" t="str">
        <f>IFERROR(IF($G4123="","",VLOOKUP('Dashboard And Emails Automate'!$G4123,Database!$H:$N,4,0)),"")</f>
        <v/>
      </c>
      <c r="K4123" s="55" t="str">
        <f>IFERROR(IF($G4123="","",VLOOKUP('Dashboard And Emails Automate'!$G4123,Database!$H:$N,5,0)),"")</f>
        <v/>
      </c>
      <c r="L4123" s="55" t="str">
        <f>IFERROR(IF($G4123="","",VLOOKUP('Dashboard And Emails Automate'!$G4123,Database!$H:$N,6,0)),"")</f>
        <v/>
      </c>
      <c r="M4123" s="55" t="str">
        <f>IFERROR(IF($G4123="","",VLOOKUP('Dashboard And Emails Automate'!$G4123,Database!$H:$N,7,0)),"")</f>
        <v/>
      </c>
      <c r="N4123" s="55" t="str">
        <f>IFERROR(IF(OR($B4123="",$B4123="(blank)"),"",VLOOKUP($B4123,'Email Marketing Raw Data'!$C:$O,6,0)),"")</f>
        <v/>
      </c>
      <c r="O4123" s="55" t="str">
        <f>IFERROR(IF(OR($B4123="",$B4123="(blank)"),"",VLOOKUP($B4123,'Email Marketing Raw Data'!$C:$O,7,0)),"")</f>
        <v/>
      </c>
      <c r="P4123" s="55" t="str">
        <f>IFERROR(IF(OR($B4123="",$B4123="(blank)"),"",VLOOKUP($B4123,'Email Marketing Raw Data'!$C:$O,8,0)),"")</f>
        <v/>
      </c>
      <c r="Q4123" s="62" t="str">
        <f>IFERROR(IF(OR($B4123="",$B4123="(blank)"),"",VLOOKUP($B4123,'Email Marketing Raw Data'!$C:$O,9,0)),"")</f>
        <v/>
      </c>
    </row>
    <row r="4124" spans="4:17" ht="12.75" customHeight="1" x14ac:dyDescent="0.2">
      <c r="D4124" s="58" t="str">
        <f>IFERROR(IF(F4124&lt;&gt;"pending","",IF(OR($B4124="",$B4124="(blank)"),"",VLOOKUP($B4124,'Email Marketing Raw Data'!$C:$O,10,0))),"")</f>
        <v/>
      </c>
      <c r="E4124" s="59" t="str">
        <f>IFERROR(IF(F4124&lt;&gt;"pending","",IF(OR($B4124="",$B4124="(blank)"),"",VLOOKUP($B4124,'Email Marketing Raw Data'!$C:$O,11,0))),"")</f>
        <v/>
      </c>
      <c r="F4124" s="54" t="str">
        <f>IFERROR(IF(OR($B4124="",$B4124="(blank)"),"",VLOOKUP($B4124,'Email Marketing Raw Data'!$C:$O,13,0)),"")</f>
        <v/>
      </c>
      <c r="G4124" s="55" t="str">
        <f>IFERROR(IF(OR($B4124="",$B4124="(blank)"),"",VLOOKUP($B4124,'Email Marketing Raw Data'!$C:$O,4,0)),"")</f>
        <v/>
      </c>
      <c r="H4124" s="55" t="str">
        <f>IFERROR(IF(OR($B4124="",$B4124="(blank)"),"",VLOOKUP($B4124,'Email Marketing Raw Data'!$C:$O,5,0)),"")</f>
        <v/>
      </c>
      <c r="I4124" s="55" t="str">
        <f>IFERROR(IF($G4124="","",VLOOKUP('Dashboard And Emails Automate'!$G4124,Database!$H:$N,3,0)),"")</f>
        <v/>
      </c>
      <c r="J4124" s="55" t="str">
        <f>IFERROR(IF($G4124="","",VLOOKUP('Dashboard And Emails Automate'!$G4124,Database!$H:$N,4,0)),"")</f>
        <v/>
      </c>
      <c r="K4124" s="55" t="str">
        <f>IFERROR(IF($G4124="","",VLOOKUP('Dashboard And Emails Automate'!$G4124,Database!$H:$N,5,0)),"")</f>
        <v/>
      </c>
      <c r="L4124" s="55" t="str">
        <f>IFERROR(IF($G4124="","",VLOOKUP('Dashboard And Emails Automate'!$G4124,Database!$H:$N,6,0)),"")</f>
        <v/>
      </c>
      <c r="M4124" s="55" t="str">
        <f>IFERROR(IF($G4124="","",VLOOKUP('Dashboard And Emails Automate'!$G4124,Database!$H:$N,7,0)),"")</f>
        <v/>
      </c>
      <c r="N4124" s="55" t="str">
        <f>IFERROR(IF(OR($B4124="",$B4124="(blank)"),"",VLOOKUP($B4124,'Email Marketing Raw Data'!$C:$O,6,0)),"")</f>
        <v/>
      </c>
      <c r="O4124" s="55" t="str">
        <f>IFERROR(IF(OR($B4124="",$B4124="(blank)"),"",VLOOKUP($B4124,'Email Marketing Raw Data'!$C:$O,7,0)),"")</f>
        <v/>
      </c>
      <c r="P4124" s="55" t="str">
        <f>IFERROR(IF(OR($B4124="",$B4124="(blank)"),"",VLOOKUP($B4124,'Email Marketing Raw Data'!$C:$O,8,0)),"")</f>
        <v/>
      </c>
      <c r="Q4124" s="62" t="str">
        <f>IFERROR(IF(OR($B4124="",$B4124="(blank)"),"",VLOOKUP($B4124,'Email Marketing Raw Data'!$C:$O,9,0)),"")</f>
        <v/>
      </c>
    </row>
    <row r="4125" spans="4:17" ht="12.75" customHeight="1" x14ac:dyDescent="0.2">
      <c r="D4125" s="58" t="str">
        <f>IFERROR(IF(F4125&lt;&gt;"pending","",IF(OR($B4125="",$B4125="(blank)"),"",VLOOKUP($B4125,'Email Marketing Raw Data'!$C:$O,10,0))),"")</f>
        <v/>
      </c>
      <c r="E4125" s="59" t="str">
        <f>IFERROR(IF(F4125&lt;&gt;"pending","",IF(OR($B4125="",$B4125="(blank)"),"",VLOOKUP($B4125,'Email Marketing Raw Data'!$C:$O,11,0))),"")</f>
        <v/>
      </c>
      <c r="F4125" s="54" t="str">
        <f>IFERROR(IF(OR($B4125="",$B4125="(blank)"),"",VLOOKUP($B4125,'Email Marketing Raw Data'!$C:$O,13,0)),"")</f>
        <v/>
      </c>
      <c r="G4125" s="55" t="str">
        <f>IFERROR(IF(OR($B4125="",$B4125="(blank)"),"",VLOOKUP($B4125,'Email Marketing Raw Data'!$C:$O,4,0)),"")</f>
        <v/>
      </c>
      <c r="H4125" s="55" t="str">
        <f>IFERROR(IF(OR($B4125="",$B4125="(blank)"),"",VLOOKUP($B4125,'Email Marketing Raw Data'!$C:$O,5,0)),"")</f>
        <v/>
      </c>
      <c r="I4125" s="55" t="str">
        <f>IFERROR(IF($G4125="","",VLOOKUP('Dashboard And Emails Automate'!$G4125,Database!$H:$N,3,0)),"")</f>
        <v/>
      </c>
      <c r="J4125" s="55" t="str">
        <f>IFERROR(IF($G4125="","",VLOOKUP('Dashboard And Emails Automate'!$G4125,Database!$H:$N,4,0)),"")</f>
        <v/>
      </c>
      <c r="K4125" s="55" t="str">
        <f>IFERROR(IF($G4125="","",VLOOKUP('Dashboard And Emails Automate'!$G4125,Database!$H:$N,5,0)),"")</f>
        <v/>
      </c>
      <c r="L4125" s="55" t="str">
        <f>IFERROR(IF($G4125="","",VLOOKUP('Dashboard And Emails Automate'!$G4125,Database!$H:$N,6,0)),"")</f>
        <v/>
      </c>
      <c r="M4125" s="55" t="str">
        <f>IFERROR(IF($G4125="","",VLOOKUP('Dashboard And Emails Automate'!$G4125,Database!$H:$N,7,0)),"")</f>
        <v/>
      </c>
      <c r="N4125" s="55" t="str">
        <f>IFERROR(IF(OR($B4125="",$B4125="(blank)"),"",VLOOKUP($B4125,'Email Marketing Raw Data'!$C:$O,6,0)),"")</f>
        <v/>
      </c>
      <c r="O4125" s="55" t="str">
        <f>IFERROR(IF(OR($B4125="",$B4125="(blank)"),"",VLOOKUP($B4125,'Email Marketing Raw Data'!$C:$O,7,0)),"")</f>
        <v/>
      </c>
      <c r="P4125" s="55" t="str">
        <f>IFERROR(IF(OR($B4125="",$B4125="(blank)"),"",VLOOKUP($B4125,'Email Marketing Raw Data'!$C:$O,8,0)),"")</f>
        <v/>
      </c>
      <c r="Q4125" s="62" t="str">
        <f>IFERROR(IF(OR($B4125="",$B4125="(blank)"),"",VLOOKUP($B4125,'Email Marketing Raw Data'!$C:$O,9,0)),"")</f>
        <v/>
      </c>
    </row>
    <row r="4126" spans="4:17" ht="12.75" customHeight="1" x14ac:dyDescent="0.2">
      <c r="D4126" s="58" t="str">
        <f>IFERROR(IF(F4126&lt;&gt;"pending","",IF(OR($B4126="",$B4126="(blank)"),"",VLOOKUP($B4126,'Email Marketing Raw Data'!$C:$O,10,0))),"")</f>
        <v/>
      </c>
      <c r="E4126" s="59" t="str">
        <f>IFERROR(IF(F4126&lt;&gt;"pending","",IF(OR($B4126="",$B4126="(blank)"),"",VLOOKUP($B4126,'Email Marketing Raw Data'!$C:$O,11,0))),"")</f>
        <v/>
      </c>
      <c r="F4126" s="54" t="str">
        <f>IFERROR(IF(OR($B4126="",$B4126="(blank)"),"",VLOOKUP($B4126,'Email Marketing Raw Data'!$C:$O,13,0)),"")</f>
        <v/>
      </c>
      <c r="G4126" s="55" t="str">
        <f>IFERROR(IF(OR($B4126="",$B4126="(blank)"),"",VLOOKUP($B4126,'Email Marketing Raw Data'!$C:$O,4,0)),"")</f>
        <v/>
      </c>
      <c r="H4126" s="55" t="str">
        <f>IFERROR(IF(OR($B4126="",$B4126="(blank)"),"",VLOOKUP($B4126,'Email Marketing Raw Data'!$C:$O,5,0)),"")</f>
        <v/>
      </c>
      <c r="I4126" s="55" t="str">
        <f>IFERROR(IF($G4126="","",VLOOKUP('Dashboard And Emails Automate'!$G4126,Database!$H:$N,3,0)),"")</f>
        <v/>
      </c>
      <c r="J4126" s="55" t="str">
        <f>IFERROR(IF($G4126="","",VLOOKUP('Dashboard And Emails Automate'!$G4126,Database!$H:$N,4,0)),"")</f>
        <v/>
      </c>
      <c r="K4126" s="55" t="str">
        <f>IFERROR(IF($G4126="","",VLOOKUP('Dashboard And Emails Automate'!$G4126,Database!$H:$N,5,0)),"")</f>
        <v/>
      </c>
      <c r="L4126" s="55" t="str">
        <f>IFERROR(IF($G4126="","",VLOOKUP('Dashboard And Emails Automate'!$G4126,Database!$H:$N,6,0)),"")</f>
        <v/>
      </c>
      <c r="M4126" s="55" t="str">
        <f>IFERROR(IF($G4126="","",VLOOKUP('Dashboard And Emails Automate'!$G4126,Database!$H:$N,7,0)),"")</f>
        <v/>
      </c>
      <c r="N4126" s="55" t="str">
        <f>IFERROR(IF(OR($B4126="",$B4126="(blank)"),"",VLOOKUP($B4126,'Email Marketing Raw Data'!$C:$O,6,0)),"")</f>
        <v/>
      </c>
      <c r="O4126" s="55" t="str">
        <f>IFERROR(IF(OR($B4126="",$B4126="(blank)"),"",VLOOKUP($B4126,'Email Marketing Raw Data'!$C:$O,7,0)),"")</f>
        <v/>
      </c>
      <c r="P4126" s="55" t="str">
        <f>IFERROR(IF(OR($B4126="",$B4126="(blank)"),"",VLOOKUP($B4126,'Email Marketing Raw Data'!$C:$O,8,0)),"")</f>
        <v/>
      </c>
      <c r="Q4126" s="62" t="str">
        <f>IFERROR(IF(OR($B4126="",$B4126="(blank)"),"",VLOOKUP($B4126,'Email Marketing Raw Data'!$C:$O,9,0)),"")</f>
        <v/>
      </c>
    </row>
    <row r="4127" spans="4:17" ht="12.75" customHeight="1" x14ac:dyDescent="0.2">
      <c r="D4127" s="58" t="str">
        <f>IFERROR(IF(F4127&lt;&gt;"pending","",IF(OR($B4127="",$B4127="(blank)"),"",VLOOKUP($B4127,'Email Marketing Raw Data'!$C:$O,10,0))),"")</f>
        <v/>
      </c>
      <c r="E4127" s="59" t="str">
        <f>IFERROR(IF(F4127&lt;&gt;"pending","",IF(OR($B4127="",$B4127="(blank)"),"",VLOOKUP($B4127,'Email Marketing Raw Data'!$C:$O,11,0))),"")</f>
        <v/>
      </c>
      <c r="F4127" s="54" t="str">
        <f>IFERROR(IF(OR($B4127="",$B4127="(blank)"),"",VLOOKUP($B4127,'Email Marketing Raw Data'!$C:$O,13,0)),"")</f>
        <v/>
      </c>
      <c r="G4127" s="55" t="str">
        <f>IFERROR(IF(OR($B4127="",$B4127="(blank)"),"",VLOOKUP($B4127,'Email Marketing Raw Data'!$C:$O,4,0)),"")</f>
        <v/>
      </c>
      <c r="H4127" s="55" t="str">
        <f>IFERROR(IF(OR($B4127="",$B4127="(blank)"),"",VLOOKUP($B4127,'Email Marketing Raw Data'!$C:$O,5,0)),"")</f>
        <v/>
      </c>
      <c r="I4127" s="55" t="str">
        <f>IFERROR(IF($G4127="","",VLOOKUP('Dashboard And Emails Automate'!$G4127,Database!$H:$N,3,0)),"")</f>
        <v/>
      </c>
      <c r="J4127" s="55" t="str">
        <f>IFERROR(IF($G4127="","",VLOOKUP('Dashboard And Emails Automate'!$G4127,Database!$H:$N,4,0)),"")</f>
        <v/>
      </c>
      <c r="K4127" s="55" t="str">
        <f>IFERROR(IF($G4127="","",VLOOKUP('Dashboard And Emails Automate'!$G4127,Database!$H:$N,5,0)),"")</f>
        <v/>
      </c>
      <c r="L4127" s="55" t="str">
        <f>IFERROR(IF($G4127="","",VLOOKUP('Dashboard And Emails Automate'!$G4127,Database!$H:$N,6,0)),"")</f>
        <v/>
      </c>
      <c r="M4127" s="55" t="str">
        <f>IFERROR(IF($G4127="","",VLOOKUP('Dashboard And Emails Automate'!$G4127,Database!$H:$N,7,0)),"")</f>
        <v/>
      </c>
      <c r="N4127" s="55" t="str">
        <f>IFERROR(IF(OR($B4127="",$B4127="(blank)"),"",VLOOKUP($B4127,'Email Marketing Raw Data'!$C:$O,6,0)),"")</f>
        <v/>
      </c>
      <c r="O4127" s="55" t="str">
        <f>IFERROR(IF(OR($B4127="",$B4127="(blank)"),"",VLOOKUP($B4127,'Email Marketing Raw Data'!$C:$O,7,0)),"")</f>
        <v/>
      </c>
      <c r="P4127" s="55" t="str">
        <f>IFERROR(IF(OR($B4127="",$B4127="(blank)"),"",VLOOKUP($B4127,'Email Marketing Raw Data'!$C:$O,8,0)),"")</f>
        <v/>
      </c>
      <c r="Q4127" s="62" t="str">
        <f>IFERROR(IF(OR($B4127="",$B4127="(blank)"),"",VLOOKUP($B4127,'Email Marketing Raw Data'!$C:$O,9,0)),"")</f>
        <v/>
      </c>
    </row>
    <row r="4128" spans="4:17" ht="12.75" customHeight="1" x14ac:dyDescent="0.2">
      <c r="D4128" s="58" t="str">
        <f>IFERROR(IF(F4128&lt;&gt;"pending","",IF(OR($B4128="",$B4128="(blank)"),"",VLOOKUP($B4128,'Email Marketing Raw Data'!$C:$O,10,0))),"")</f>
        <v/>
      </c>
      <c r="E4128" s="59" t="str">
        <f>IFERROR(IF(F4128&lt;&gt;"pending","",IF(OR($B4128="",$B4128="(blank)"),"",VLOOKUP($B4128,'Email Marketing Raw Data'!$C:$O,11,0))),"")</f>
        <v/>
      </c>
      <c r="F4128" s="54" t="str">
        <f>IFERROR(IF(OR($B4128="",$B4128="(blank)"),"",VLOOKUP($B4128,'Email Marketing Raw Data'!$C:$O,13,0)),"")</f>
        <v/>
      </c>
      <c r="G4128" s="55" t="str">
        <f>IFERROR(IF(OR($B4128="",$B4128="(blank)"),"",VLOOKUP($B4128,'Email Marketing Raw Data'!$C:$O,4,0)),"")</f>
        <v/>
      </c>
      <c r="H4128" s="55" t="str">
        <f>IFERROR(IF(OR($B4128="",$B4128="(blank)"),"",VLOOKUP($B4128,'Email Marketing Raw Data'!$C:$O,5,0)),"")</f>
        <v/>
      </c>
      <c r="I4128" s="55" t="str">
        <f>IFERROR(IF($G4128="","",VLOOKUP('Dashboard And Emails Automate'!$G4128,Database!$H:$N,3,0)),"")</f>
        <v/>
      </c>
      <c r="J4128" s="55" t="str">
        <f>IFERROR(IF($G4128="","",VLOOKUP('Dashboard And Emails Automate'!$G4128,Database!$H:$N,4,0)),"")</f>
        <v/>
      </c>
      <c r="K4128" s="55" t="str">
        <f>IFERROR(IF($G4128="","",VLOOKUP('Dashboard And Emails Automate'!$G4128,Database!$H:$N,5,0)),"")</f>
        <v/>
      </c>
      <c r="L4128" s="55" t="str">
        <f>IFERROR(IF($G4128="","",VLOOKUP('Dashboard And Emails Automate'!$G4128,Database!$H:$N,6,0)),"")</f>
        <v/>
      </c>
      <c r="M4128" s="55" t="str">
        <f>IFERROR(IF($G4128="","",VLOOKUP('Dashboard And Emails Automate'!$G4128,Database!$H:$N,7,0)),"")</f>
        <v/>
      </c>
      <c r="N4128" s="55" t="str">
        <f>IFERROR(IF(OR($B4128="",$B4128="(blank)"),"",VLOOKUP($B4128,'Email Marketing Raw Data'!$C:$O,6,0)),"")</f>
        <v/>
      </c>
      <c r="O4128" s="55" t="str">
        <f>IFERROR(IF(OR($B4128="",$B4128="(blank)"),"",VLOOKUP($B4128,'Email Marketing Raw Data'!$C:$O,7,0)),"")</f>
        <v/>
      </c>
      <c r="P4128" s="55" t="str">
        <f>IFERROR(IF(OR($B4128="",$B4128="(blank)"),"",VLOOKUP($B4128,'Email Marketing Raw Data'!$C:$O,8,0)),"")</f>
        <v/>
      </c>
      <c r="Q4128" s="62" t="str">
        <f>IFERROR(IF(OR($B4128="",$B4128="(blank)"),"",VLOOKUP($B4128,'Email Marketing Raw Data'!$C:$O,9,0)),"")</f>
        <v/>
      </c>
    </row>
    <row r="4129" spans="4:17" ht="12.75" customHeight="1" x14ac:dyDescent="0.2">
      <c r="D4129" s="58" t="str">
        <f>IFERROR(IF(F4129&lt;&gt;"pending","",IF(OR($B4129="",$B4129="(blank)"),"",VLOOKUP($B4129,'Email Marketing Raw Data'!$C:$O,10,0))),"")</f>
        <v/>
      </c>
      <c r="E4129" s="59" t="str">
        <f>IFERROR(IF(F4129&lt;&gt;"pending","",IF(OR($B4129="",$B4129="(blank)"),"",VLOOKUP($B4129,'Email Marketing Raw Data'!$C:$O,11,0))),"")</f>
        <v/>
      </c>
      <c r="F4129" s="54" t="str">
        <f>IFERROR(IF(OR($B4129="",$B4129="(blank)"),"",VLOOKUP($B4129,'Email Marketing Raw Data'!$C:$O,13,0)),"")</f>
        <v/>
      </c>
      <c r="G4129" s="55" t="str">
        <f>IFERROR(IF(OR($B4129="",$B4129="(blank)"),"",VLOOKUP($B4129,'Email Marketing Raw Data'!$C:$O,4,0)),"")</f>
        <v/>
      </c>
      <c r="H4129" s="55" t="str">
        <f>IFERROR(IF(OR($B4129="",$B4129="(blank)"),"",VLOOKUP($B4129,'Email Marketing Raw Data'!$C:$O,5,0)),"")</f>
        <v/>
      </c>
      <c r="I4129" s="55" t="str">
        <f>IFERROR(IF($G4129="","",VLOOKUP('Dashboard And Emails Automate'!$G4129,Database!$H:$N,3,0)),"")</f>
        <v/>
      </c>
      <c r="J4129" s="55" t="str">
        <f>IFERROR(IF($G4129="","",VLOOKUP('Dashboard And Emails Automate'!$G4129,Database!$H:$N,4,0)),"")</f>
        <v/>
      </c>
      <c r="K4129" s="55" t="str">
        <f>IFERROR(IF($G4129="","",VLOOKUP('Dashboard And Emails Automate'!$G4129,Database!$H:$N,5,0)),"")</f>
        <v/>
      </c>
      <c r="L4129" s="55" t="str">
        <f>IFERROR(IF($G4129="","",VLOOKUP('Dashboard And Emails Automate'!$G4129,Database!$H:$N,6,0)),"")</f>
        <v/>
      </c>
      <c r="M4129" s="55" t="str">
        <f>IFERROR(IF($G4129="","",VLOOKUP('Dashboard And Emails Automate'!$G4129,Database!$H:$N,7,0)),"")</f>
        <v/>
      </c>
      <c r="N4129" s="55" t="str">
        <f>IFERROR(IF(OR($B4129="",$B4129="(blank)"),"",VLOOKUP($B4129,'Email Marketing Raw Data'!$C:$O,6,0)),"")</f>
        <v/>
      </c>
      <c r="O4129" s="55" t="str">
        <f>IFERROR(IF(OR($B4129="",$B4129="(blank)"),"",VLOOKUP($B4129,'Email Marketing Raw Data'!$C:$O,7,0)),"")</f>
        <v/>
      </c>
      <c r="P4129" s="55" t="str">
        <f>IFERROR(IF(OR($B4129="",$B4129="(blank)"),"",VLOOKUP($B4129,'Email Marketing Raw Data'!$C:$O,8,0)),"")</f>
        <v/>
      </c>
      <c r="Q4129" s="62" t="str">
        <f>IFERROR(IF(OR($B4129="",$B4129="(blank)"),"",VLOOKUP($B4129,'Email Marketing Raw Data'!$C:$O,9,0)),"")</f>
        <v/>
      </c>
    </row>
    <row r="4130" spans="4:17" ht="12.75" customHeight="1" x14ac:dyDescent="0.2">
      <c r="D4130" s="58" t="str">
        <f>IFERROR(IF(F4130&lt;&gt;"pending","",IF(OR($B4130="",$B4130="(blank)"),"",VLOOKUP($B4130,'Email Marketing Raw Data'!$C:$O,10,0))),"")</f>
        <v/>
      </c>
      <c r="E4130" s="59" t="str">
        <f>IFERROR(IF(F4130&lt;&gt;"pending","",IF(OR($B4130="",$B4130="(blank)"),"",VLOOKUP($B4130,'Email Marketing Raw Data'!$C:$O,11,0))),"")</f>
        <v/>
      </c>
      <c r="F4130" s="54" t="str">
        <f>IFERROR(IF(OR($B4130="",$B4130="(blank)"),"",VLOOKUP($B4130,'Email Marketing Raw Data'!$C:$O,13,0)),"")</f>
        <v/>
      </c>
      <c r="G4130" s="55" t="str">
        <f>IFERROR(IF(OR($B4130="",$B4130="(blank)"),"",VLOOKUP($B4130,'Email Marketing Raw Data'!$C:$O,4,0)),"")</f>
        <v/>
      </c>
      <c r="H4130" s="55" t="str">
        <f>IFERROR(IF(OR($B4130="",$B4130="(blank)"),"",VLOOKUP($B4130,'Email Marketing Raw Data'!$C:$O,5,0)),"")</f>
        <v/>
      </c>
      <c r="I4130" s="55" t="str">
        <f>IFERROR(IF($G4130="","",VLOOKUP('Dashboard And Emails Automate'!$G4130,Database!$H:$N,3,0)),"")</f>
        <v/>
      </c>
      <c r="J4130" s="55" t="str">
        <f>IFERROR(IF($G4130="","",VLOOKUP('Dashboard And Emails Automate'!$G4130,Database!$H:$N,4,0)),"")</f>
        <v/>
      </c>
      <c r="K4130" s="55" t="str">
        <f>IFERROR(IF($G4130="","",VLOOKUP('Dashboard And Emails Automate'!$G4130,Database!$H:$N,5,0)),"")</f>
        <v/>
      </c>
      <c r="L4130" s="55" t="str">
        <f>IFERROR(IF($G4130="","",VLOOKUP('Dashboard And Emails Automate'!$G4130,Database!$H:$N,6,0)),"")</f>
        <v/>
      </c>
      <c r="M4130" s="55" t="str">
        <f>IFERROR(IF($G4130="","",VLOOKUP('Dashboard And Emails Automate'!$G4130,Database!$H:$N,7,0)),"")</f>
        <v/>
      </c>
      <c r="N4130" s="55" t="str">
        <f>IFERROR(IF(OR($B4130="",$B4130="(blank)"),"",VLOOKUP($B4130,'Email Marketing Raw Data'!$C:$O,6,0)),"")</f>
        <v/>
      </c>
      <c r="O4130" s="55" t="str">
        <f>IFERROR(IF(OR($B4130="",$B4130="(blank)"),"",VLOOKUP($B4130,'Email Marketing Raw Data'!$C:$O,7,0)),"")</f>
        <v/>
      </c>
      <c r="P4130" s="55" t="str">
        <f>IFERROR(IF(OR($B4130="",$B4130="(blank)"),"",VLOOKUP($B4130,'Email Marketing Raw Data'!$C:$O,8,0)),"")</f>
        <v/>
      </c>
      <c r="Q4130" s="62" t="str">
        <f>IFERROR(IF(OR($B4130="",$B4130="(blank)"),"",VLOOKUP($B4130,'Email Marketing Raw Data'!$C:$O,9,0)),"")</f>
        <v/>
      </c>
    </row>
    <row r="4131" spans="4:17" ht="12.75" customHeight="1" x14ac:dyDescent="0.2">
      <c r="D4131" s="58" t="str">
        <f>IFERROR(IF(F4131&lt;&gt;"pending","",IF(OR($B4131="",$B4131="(blank)"),"",VLOOKUP($B4131,'Email Marketing Raw Data'!$C:$O,10,0))),"")</f>
        <v/>
      </c>
      <c r="E4131" s="59" t="str">
        <f>IFERROR(IF(F4131&lt;&gt;"pending","",IF(OR($B4131="",$B4131="(blank)"),"",VLOOKUP($B4131,'Email Marketing Raw Data'!$C:$O,11,0))),"")</f>
        <v/>
      </c>
      <c r="F4131" s="54" t="str">
        <f>IFERROR(IF(OR($B4131="",$B4131="(blank)"),"",VLOOKUP($B4131,'Email Marketing Raw Data'!$C:$O,13,0)),"")</f>
        <v/>
      </c>
      <c r="G4131" s="55" t="str">
        <f>IFERROR(IF(OR($B4131="",$B4131="(blank)"),"",VLOOKUP($B4131,'Email Marketing Raw Data'!$C:$O,4,0)),"")</f>
        <v/>
      </c>
      <c r="H4131" s="55" t="str">
        <f>IFERROR(IF(OR($B4131="",$B4131="(blank)"),"",VLOOKUP($B4131,'Email Marketing Raw Data'!$C:$O,5,0)),"")</f>
        <v/>
      </c>
      <c r="I4131" s="55" t="str">
        <f>IFERROR(IF($G4131="","",VLOOKUP('Dashboard And Emails Automate'!$G4131,Database!$H:$N,3,0)),"")</f>
        <v/>
      </c>
      <c r="J4131" s="55" t="str">
        <f>IFERROR(IF($G4131="","",VLOOKUP('Dashboard And Emails Automate'!$G4131,Database!$H:$N,4,0)),"")</f>
        <v/>
      </c>
      <c r="K4131" s="55" t="str">
        <f>IFERROR(IF($G4131="","",VLOOKUP('Dashboard And Emails Automate'!$G4131,Database!$H:$N,5,0)),"")</f>
        <v/>
      </c>
      <c r="L4131" s="55" t="str">
        <f>IFERROR(IF($G4131="","",VLOOKUP('Dashboard And Emails Automate'!$G4131,Database!$H:$N,6,0)),"")</f>
        <v/>
      </c>
      <c r="M4131" s="55" t="str">
        <f>IFERROR(IF($G4131="","",VLOOKUP('Dashboard And Emails Automate'!$G4131,Database!$H:$N,7,0)),"")</f>
        <v/>
      </c>
      <c r="N4131" s="55" t="str">
        <f>IFERROR(IF(OR($B4131="",$B4131="(blank)"),"",VLOOKUP($B4131,'Email Marketing Raw Data'!$C:$O,6,0)),"")</f>
        <v/>
      </c>
      <c r="O4131" s="55" t="str">
        <f>IFERROR(IF(OR($B4131="",$B4131="(blank)"),"",VLOOKUP($B4131,'Email Marketing Raw Data'!$C:$O,7,0)),"")</f>
        <v/>
      </c>
      <c r="P4131" s="55" t="str">
        <f>IFERROR(IF(OR($B4131="",$B4131="(blank)"),"",VLOOKUP($B4131,'Email Marketing Raw Data'!$C:$O,8,0)),"")</f>
        <v/>
      </c>
      <c r="Q4131" s="62" t="str">
        <f>IFERROR(IF(OR($B4131="",$B4131="(blank)"),"",VLOOKUP($B4131,'Email Marketing Raw Data'!$C:$O,9,0)),"")</f>
        <v/>
      </c>
    </row>
    <row r="4132" spans="4:17" ht="12.75" customHeight="1" x14ac:dyDescent="0.2">
      <c r="D4132" s="58" t="str">
        <f>IFERROR(IF(F4132&lt;&gt;"pending","",IF(OR($B4132="",$B4132="(blank)"),"",VLOOKUP($B4132,'Email Marketing Raw Data'!$C:$O,10,0))),"")</f>
        <v/>
      </c>
      <c r="E4132" s="59" t="str">
        <f>IFERROR(IF(F4132&lt;&gt;"pending","",IF(OR($B4132="",$B4132="(blank)"),"",VLOOKUP($B4132,'Email Marketing Raw Data'!$C:$O,11,0))),"")</f>
        <v/>
      </c>
      <c r="F4132" s="54" t="str">
        <f>IFERROR(IF(OR($B4132="",$B4132="(blank)"),"",VLOOKUP($B4132,'Email Marketing Raw Data'!$C:$O,13,0)),"")</f>
        <v/>
      </c>
      <c r="G4132" s="55" t="str">
        <f>IFERROR(IF(OR($B4132="",$B4132="(blank)"),"",VLOOKUP($B4132,'Email Marketing Raw Data'!$C:$O,4,0)),"")</f>
        <v/>
      </c>
      <c r="H4132" s="55" t="str">
        <f>IFERROR(IF(OR($B4132="",$B4132="(blank)"),"",VLOOKUP($B4132,'Email Marketing Raw Data'!$C:$O,5,0)),"")</f>
        <v/>
      </c>
      <c r="I4132" s="55" t="str">
        <f>IFERROR(IF($G4132="","",VLOOKUP('Dashboard And Emails Automate'!$G4132,Database!$H:$N,3,0)),"")</f>
        <v/>
      </c>
      <c r="J4132" s="55" t="str">
        <f>IFERROR(IF($G4132="","",VLOOKUP('Dashboard And Emails Automate'!$G4132,Database!$H:$N,4,0)),"")</f>
        <v/>
      </c>
      <c r="K4132" s="55" t="str">
        <f>IFERROR(IF($G4132="","",VLOOKUP('Dashboard And Emails Automate'!$G4132,Database!$H:$N,5,0)),"")</f>
        <v/>
      </c>
      <c r="L4132" s="55" t="str">
        <f>IFERROR(IF($G4132="","",VLOOKUP('Dashboard And Emails Automate'!$G4132,Database!$H:$N,6,0)),"")</f>
        <v/>
      </c>
      <c r="M4132" s="55" t="str">
        <f>IFERROR(IF($G4132="","",VLOOKUP('Dashboard And Emails Automate'!$G4132,Database!$H:$N,7,0)),"")</f>
        <v/>
      </c>
      <c r="N4132" s="55" t="str">
        <f>IFERROR(IF(OR($B4132="",$B4132="(blank)"),"",VLOOKUP($B4132,'Email Marketing Raw Data'!$C:$O,6,0)),"")</f>
        <v/>
      </c>
      <c r="O4132" s="55" t="str">
        <f>IFERROR(IF(OR($B4132="",$B4132="(blank)"),"",VLOOKUP($B4132,'Email Marketing Raw Data'!$C:$O,7,0)),"")</f>
        <v/>
      </c>
      <c r="P4132" s="55" t="str">
        <f>IFERROR(IF(OR($B4132="",$B4132="(blank)"),"",VLOOKUP($B4132,'Email Marketing Raw Data'!$C:$O,8,0)),"")</f>
        <v/>
      </c>
      <c r="Q4132" s="62" t="str">
        <f>IFERROR(IF(OR($B4132="",$B4132="(blank)"),"",VLOOKUP($B4132,'Email Marketing Raw Data'!$C:$O,9,0)),"")</f>
        <v/>
      </c>
    </row>
    <row r="4133" spans="4:17" ht="12.75" customHeight="1" x14ac:dyDescent="0.2">
      <c r="D4133" s="58" t="str">
        <f>IFERROR(IF(F4133&lt;&gt;"pending","",IF(OR($B4133="",$B4133="(blank)"),"",VLOOKUP($B4133,'Email Marketing Raw Data'!$C:$O,10,0))),"")</f>
        <v/>
      </c>
      <c r="E4133" s="59" t="str">
        <f>IFERROR(IF(F4133&lt;&gt;"pending","",IF(OR($B4133="",$B4133="(blank)"),"",VLOOKUP($B4133,'Email Marketing Raw Data'!$C:$O,11,0))),"")</f>
        <v/>
      </c>
      <c r="F4133" s="54" t="str">
        <f>IFERROR(IF(OR($B4133="",$B4133="(blank)"),"",VLOOKUP($B4133,'Email Marketing Raw Data'!$C:$O,13,0)),"")</f>
        <v/>
      </c>
      <c r="G4133" s="55" t="str">
        <f>IFERROR(IF(OR($B4133="",$B4133="(blank)"),"",VLOOKUP($B4133,'Email Marketing Raw Data'!$C:$O,4,0)),"")</f>
        <v/>
      </c>
      <c r="H4133" s="55" t="str">
        <f>IFERROR(IF(OR($B4133="",$B4133="(blank)"),"",VLOOKUP($B4133,'Email Marketing Raw Data'!$C:$O,5,0)),"")</f>
        <v/>
      </c>
      <c r="I4133" s="55" t="str">
        <f>IFERROR(IF($G4133="","",VLOOKUP('Dashboard And Emails Automate'!$G4133,Database!$H:$N,3,0)),"")</f>
        <v/>
      </c>
      <c r="J4133" s="55" t="str">
        <f>IFERROR(IF($G4133="","",VLOOKUP('Dashboard And Emails Automate'!$G4133,Database!$H:$N,4,0)),"")</f>
        <v/>
      </c>
      <c r="K4133" s="55" t="str">
        <f>IFERROR(IF($G4133="","",VLOOKUP('Dashboard And Emails Automate'!$G4133,Database!$H:$N,5,0)),"")</f>
        <v/>
      </c>
      <c r="L4133" s="55" t="str">
        <f>IFERROR(IF($G4133="","",VLOOKUP('Dashboard And Emails Automate'!$G4133,Database!$H:$N,6,0)),"")</f>
        <v/>
      </c>
      <c r="M4133" s="55" t="str">
        <f>IFERROR(IF($G4133="","",VLOOKUP('Dashboard And Emails Automate'!$G4133,Database!$H:$N,7,0)),"")</f>
        <v/>
      </c>
      <c r="N4133" s="55" t="str">
        <f>IFERROR(IF(OR($B4133="",$B4133="(blank)"),"",VLOOKUP($B4133,'Email Marketing Raw Data'!$C:$O,6,0)),"")</f>
        <v/>
      </c>
      <c r="O4133" s="55" t="str">
        <f>IFERROR(IF(OR($B4133="",$B4133="(blank)"),"",VLOOKUP($B4133,'Email Marketing Raw Data'!$C:$O,7,0)),"")</f>
        <v/>
      </c>
      <c r="P4133" s="55" t="str">
        <f>IFERROR(IF(OR($B4133="",$B4133="(blank)"),"",VLOOKUP($B4133,'Email Marketing Raw Data'!$C:$O,8,0)),"")</f>
        <v/>
      </c>
      <c r="Q4133" s="62" t="str">
        <f>IFERROR(IF(OR($B4133="",$B4133="(blank)"),"",VLOOKUP($B4133,'Email Marketing Raw Data'!$C:$O,9,0)),"")</f>
        <v/>
      </c>
    </row>
    <row r="4134" spans="4:17" ht="12.75" customHeight="1" x14ac:dyDescent="0.2">
      <c r="D4134" s="58" t="str">
        <f>IFERROR(IF(F4134&lt;&gt;"pending","",IF(OR($B4134="",$B4134="(blank)"),"",VLOOKUP($B4134,'Email Marketing Raw Data'!$C:$O,10,0))),"")</f>
        <v/>
      </c>
      <c r="E4134" s="59" t="str">
        <f>IFERROR(IF(F4134&lt;&gt;"pending","",IF(OR($B4134="",$B4134="(blank)"),"",VLOOKUP($B4134,'Email Marketing Raw Data'!$C:$O,11,0))),"")</f>
        <v/>
      </c>
      <c r="F4134" s="54" t="str">
        <f>IFERROR(IF(OR($B4134="",$B4134="(blank)"),"",VLOOKUP($B4134,'Email Marketing Raw Data'!$C:$O,13,0)),"")</f>
        <v/>
      </c>
      <c r="G4134" s="55" t="str">
        <f>IFERROR(IF(OR($B4134="",$B4134="(blank)"),"",VLOOKUP($B4134,'Email Marketing Raw Data'!$C:$O,4,0)),"")</f>
        <v/>
      </c>
      <c r="H4134" s="55" t="str">
        <f>IFERROR(IF(OR($B4134="",$B4134="(blank)"),"",VLOOKUP($B4134,'Email Marketing Raw Data'!$C:$O,5,0)),"")</f>
        <v/>
      </c>
      <c r="I4134" s="55" t="str">
        <f>IFERROR(IF($G4134="","",VLOOKUP('Dashboard And Emails Automate'!$G4134,Database!$H:$N,3,0)),"")</f>
        <v/>
      </c>
      <c r="J4134" s="55" t="str">
        <f>IFERROR(IF($G4134="","",VLOOKUP('Dashboard And Emails Automate'!$G4134,Database!$H:$N,4,0)),"")</f>
        <v/>
      </c>
      <c r="K4134" s="55" t="str">
        <f>IFERROR(IF($G4134="","",VLOOKUP('Dashboard And Emails Automate'!$G4134,Database!$H:$N,5,0)),"")</f>
        <v/>
      </c>
      <c r="L4134" s="55" t="str">
        <f>IFERROR(IF($G4134="","",VLOOKUP('Dashboard And Emails Automate'!$G4134,Database!$H:$N,6,0)),"")</f>
        <v/>
      </c>
      <c r="M4134" s="55" t="str">
        <f>IFERROR(IF($G4134="","",VLOOKUP('Dashboard And Emails Automate'!$G4134,Database!$H:$N,7,0)),"")</f>
        <v/>
      </c>
      <c r="N4134" s="55" t="str">
        <f>IFERROR(IF(OR($B4134="",$B4134="(blank)"),"",VLOOKUP($B4134,'Email Marketing Raw Data'!$C:$O,6,0)),"")</f>
        <v/>
      </c>
      <c r="O4134" s="55" t="str">
        <f>IFERROR(IF(OR($B4134="",$B4134="(blank)"),"",VLOOKUP($B4134,'Email Marketing Raw Data'!$C:$O,7,0)),"")</f>
        <v/>
      </c>
      <c r="P4134" s="55" t="str">
        <f>IFERROR(IF(OR($B4134="",$B4134="(blank)"),"",VLOOKUP($B4134,'Email Marketing Raw Data'!$C:$O,8,0)),"")</f>
        <v/>
      </c>
      <c r="Q4134" s="62" t="str">
        <f>IFERROR(IF(OR($B4134="",$B4134="(blank)"),"",VLOOKUP($B4134,'Email Marketing Raw Data'!$C:$O,9,0)),"")</f>
        <v/>
      </c>
    </row>
    <row r="4135" spans="4:17" ht="12.75" customHeight="1" x14ac:dyDescent="0.2">
      <c r="D4135" s="58" t="str">
        <f>IFERROR(IF(F4135&lt;&gt;"pending","",IF(OR($B4135="",$B4135="(blank)"),"",VLOOKUP($B4135,'Email Marketing Raw Data'!$C:$O,10,0))),"")</f>
        <v/>
      </c>
      <c r="E4135" s="59" t="str">
        <f>IFERROR(IF(F4135&lt;&gt;"pending","",IF(OR($B4135="",$B4135="(blank)"),"",VLOOKUP($B4135,'Email Marketing Raw Data'!$C:$O,11,0))),"")</f>
        <v/>
      </c>
      <c r="F4135" s="54" t="str">
        <f>IFERROR(IF(OR($B4135="",$B4135="(blank)"),"",VLOOKUP($B4135,'Email Marketing Raw Data'!$C:$O,13,0)),"")</f>
        <v/>
      </c>
      <c r="G4135" s="55" t="str">
        <f>IFERROR(IF(OR($B4135="",$B4135="(blank)"),"",VLOOKUP($B4135,'Email Marketing Raw Data'!$C:$O,4,0)),"")</f>
        <v/>
      </c>
      <c r="H4135" s="55" t="str">
        <f>IFERROR(IF(OR($B4135="",$B4135="(blank)"),"",VLOOKUP($B4135,'Email Marketing Raw Data'!$C:$O,5,0)),"")</f>
        <v/>
      </c>
      <c r="I4135" s="55" t="str">
        <f>IFERROR(IF($G4135="","",VLOOKUP('Dashboard And Emails Automate'!$G4135,Database!$H:$N,3,0)),"")</f>
        <v/>
      </c>
      <c r="J4135" s="55" t="str">
        <f>IFERROR(IF($G4135="","",VLOOKUP('Dashboard And Emails Automate'!$G4135,Database!$H:$N,4,0)),"")</f>
        <v/>
      </c>
      <c r="K4135" s="55" t="str">
        <f>IFERROR(IF($G4135="","",VLOOKUP('Dashboard And Emails Automate'!$G4135,Database!$H:$N,5,0)),"")</f>
        <v/>
      </c>
      <c r="L4135" s="55" t="str">
        <f>IFERROR(IF($G4135="","",VLOOKUP('Dashboard And Emails Automate'!$G4135,Database!$H:$N,6,0)),"")</f>
        <v/>
      </c>
      <c r="M4135" s="55" t="str">
        <f>IFERROR(IF($G4135="","",VLOOKUP('Dashboard And Emails Automate'!$G4135,Database!$H:$N,7,0)),"")</f>
        <v/>
      </c>
      <c r="N4135" s="55" t="str">
        <f>IFERROR(IF(OR($B4135="",$B4135="(blank)"),"",VLOOKUP($B4135,'Email Marketing Raw Data'!$C:$O,6,0)),"")</f>
        <v/>
      </c>
      <c r="O4135" s="55" t="str">
        <f>IFERROR(IF(OR($B4135="",$B4135="(blank)"),"",VLOOKUP($B4135,'Email Marketing Raw Data'!$C:$O,7,0)),"")</f>
        <v/>
      </c>
      <c r="P4135" s="55" t="str">
        <f>IFERROR(IF(OR($B4135="",$B4135="(blank)"),"",VLOOKUP($B4135,'Email Marketing Raw Data'!$C:$O,8,0)),"")</f>
        <v/>
      </c>
      <c r="Q4135" s="62" t="str">
        <f>IFERROR(IF(OR($B4135="",$B4135="(blank)"),"",VLOOKUP($B4135,'Email Marketing Raw Data'!$C:$O,9,0)),"")</f>
        <v/>
      </c>
    </row>
    <row r="4136" spans="4:17" ht="12.75" customHeight="1" x14ac:dyDescent="0.2">
      <c r="D4136" s="58" t="str">
        <f>IFERROR(IF(F4136&lt;&gt;"pending","",IF(OR($B4136="",$B4136="(blank)"),"",VLOOKUP($B4136,'Email Marketing Raw Data'!$C:$O,10,0))),"")</f>
        <v/>
      </c>
      <c r="E4136" s="59" t="str">
        <f>IFERROR(IF(F4136&lt;&gt;"pending","",IF(OR($B4136="",$B4136="(blank)"),"",VLOOKUP($B4136,'Email Marketing Raw Data'!$C:$O,11,0))),"")</f>
        <v/>
      </c>
      <c r="F4136" s="54" t="str">
        <f>IFERROR(IF(OR($B4136="",$B4136="(blank)"),"",VLOOKUP($B4136,'Email Marketing Raw Data'!$C:$O,13,0)),"")</f>
        <v/>
      </c>
      <c r="G4136" s="55" t="str">
        <f>IFERROR(IF(OR($B4136="",$B4136="(blank)"),"",VLOOKUP($B4136,'Email Marketing Raw Data'!$C:$O,4,0)),"")</f>
        <v/>
      </c>
      <c r="H4136" s="55" t="str">
        <f>IFERROR(IF(OR($B4136="",$B4136="(blank)"),"",VLOOKUP($B4136,'Email Marketing Raw Data'!$C:$O,5,0)),"")</f>
        <v/>
      </c>
      <c r="I4136" s="55" t="str">
        <f>IFERROR(IF($G4136="","",VLOOKUP('Dashboard And Emails Automate'!$G4136,Database!$H:$N,3,0)),"")</f>
        <v/>
      </c>
      <c r="J4136" s="55" t="str">
        <f>IFERROR(IF($G4136="","",VLOOKUP('Dashboard And Emails Automate'!$G4136,Database!$H:$N,4,0)),"")</f>
        <v/>
      </c>
      <c r="K4136" s="55" t="str">
        <f>IFERROR(IF($G4136="","",VLOOKUP('Dashboard And Emails Automate'!$G4136,Database!$H:$N,5,0)),"")</f>
        <v/>
      </c>
      <c r="L4136" s="55" t="str">
        <f>IFERROR(IF($G4136="","",VLOOKUP('Dashboard And Emails Automate'!$G4136,Database!$H:$N,6,0)),"")</f>
        <v/>
      </c>
      <c r="M4136" s="55" t="str">
        <f>IFERROR(IF($G4136="","",VLOOKUP('Dashboard And Emails Automate'!$G4136,Database!$H:$N,7,0)),"")</f>
        <v/>
      </c>
      <c r="N4136" s="55" t="str">
        <f>IFERROR(IF(OR($B4136="",$B4136="(blank)"),"",VLOOKUP($B4136,'Email Marketing Raw Data'!$C:$O,6,0)),"")</f>
        <v/>
      </c>
      <c r="O4136" s="55" t="str">
        <f>IFERROR(IF(OR($B4136="",$B4136="(blank)"),"",VLOOKUP($B4136,'Email Marketing Raw Data'!$C:$O,7,0)),"")</f>
        <v/>
      </c>
      <c r="P4136" s="55" t="str">
        <f>IFERROR(IF(OR($B4136="",$B4136="(blank)"),"",VLOOKUP($B4136,'Email Marketing Raw Data'!$C:$O,8,0)),"")</f>
        <v/>
      </c>
      <c r="Q4136" s="62" t="str">
        <f>IFERROR(IF(OR($B4136="",$B4136="(blank)"),"",VLOOKUP($B4136,'Email Marketing Raw Data'!$C:$O,9,0)),"")</f>
        <v/>
      </c>
    </row>
    <row r="4137" spans="4:17" ht="12.75" customHeight="1" x14ac:dyDescent="0.2">
      <c r="D4137" s="58" t="str">
        <f>IFERROR(IF(F4137&lt;&gt;"pending","",IF(OR($B4137="",$B4137="(blank)"),"",VLOOKUP($B4137,'Email Marketing Raw Data'!$C:$O,10,0))),"")</f>
        <v/>
      </c>
      <c r="E4137" s="59" t="str">
        <f>IFERROR(IF(F4137&lt;&gt;"pending","",IF(OR($B4137="",$B4137="(blank)"),"",VLOOKUP($B4137,'Email Marketing Raw Data'!$C:$O,11,0))),"")</f>
        <v/>
      </c>
      <c r="F4137" s="54" t="str">
        <f>IFERROR(IF(OR($B4137="",$B4137="(blank)"),"",VLOOKUP($B4137,'Email Marketing Raw Data'!$C:$O,13,0)),"")</f>
        <v/>
      </c>
      <c r="G4137" s="55" t="str">
        <f>IFERROR(IF(OR($B4137="",$B4137="(blank)"),"",VLOOKUP($B4137,'Email Marketing Raw Data'!$C:$O,4,0)),"")</f>
        <v/>
      </c>
      <c r="H4137" s="55" t="str">
        <f>IFERROR(IF(OR($B4137="",$B4137="(blank)"),"",VLOOKUP($B4137,'Email Marketing Raw Data'!$C:$O,5,0)),"")</f>
        <v/>
      </c>
      <c r="I4137" s="55" t="str">
        <f>IFERROR(IF($G4137="","",VLOOKUP('Dashboard And Emails Automate'!$G4137,Database!$H:$N,3,0)),"")</f>
        <v/>
      </c>
      <c r="J4137" s="55" t="str">
        <f>IFERROR(IF($G4137="","",VLOOKUP('Dashboard And Emails Automate'!$G4137,Database!$H:$N,4,0)),"")</f>
        <v/>
      </c>
      <c r="K4137" s="55" t="str">
        <f>IFERROR(IF($G4137="","",VLOOKUP('Dashboard And Emails Automate'!$G4137,Database!$H:$N,5,0)),"")</f>
        <v/>
      </c>
      <c r="L4137" s="55" t="str">
        <f>IFERROR(IF($G4137="","",VLOOKUP('Dashboard And Emails Automate'!$G4137,Database!$H:$N,6,0)),"")</f>
        <v/>
      </c>
      <c r="M4137" s="55" t="str">
        <f>IFERROR(IF($G4137="","",VLOOKUP('Dashboard And Emails Automate'!$G4137,Database!$H:$N,7,0)),"")</f>
        <v/>
      </c>
      <c r="N4137" s="55" t="str">
        <f>IFERROR(IF(OR($B4137="",$B4137="(blank)"),"",VLOOKUP($B4137,'Email Marketing Raw Data'!$C:$O,6,0)),"")</f>
        <v/>
      </c>
      <c r="O4137" s="55" t="str">
        <f>IFERROR(IF(OR($B4137="",$B4137="(blank)"),"",VLOOKUP($B4137,'Email Marketing Raw Data'!$C:$O,7,0)),"")</f>
        <v/>
      </c>
      <c r="P4137" s="55" t="str">
        <f>IFERROR(IF(OR($B4137="",$B4137="(blank)"),"",VLOOKUP($B4137,'Email Marketing Raw Data'!$C:$O,8,0)),"")</f>
        <v/>
      </c>
      <c r="Q4137" s="62" t="str">
        <f>IFERROR(IF(OR($B4137="",$B4137="(blank)"),"",VLOOKUP($B4137,'Email Marketing Raw Data'!$C:$O,9,0)),"")</f>
        <v/>
      </c>
    </row>
    <row r="4138" spans="4:17" ht="12.75" customHeight="1" x14ac:dyDescent="0.2">
      <c r="D4138" s="58" t="str">
        <f>IFERROR(IF(F4138&lt;&gt;"pending","",IF(OR($B4138="",$B4138="(blank)"),"",VLOOKUP($B4138,'Email Marketing Raw Data'!$C:$O,10,0))),"")</f>
        <v/>
      </c>
      <c r="E4138" s="59" t="str">
        <f>IFERROR(IF(F4138&lt;&gt;"pending","",IF(OR($B4138="",$B4138="(blank)"),"",VLOOKUP($B4138,'Email Marketing Raw Data'!$C:$O,11,0))),"")</f>
        <v/>
      </c>
      <c r="F4138" s="54" t="str">
        <f>IFERROR(IF(OR($B4138="",$B4138="(blank)"),"",VLOOKUP($B4138,'Email Marketing Raw Data'!$C:$O,13,0)),"")</f>
        <v/>
      </c>
      <c r="G4138" s="55" t="str">
        <f>IFERROR(IF(OR($B4138="",$B4138="(blank)"),"",VLOOKUP($B4138,'Email Marketing Raw Data'!$C:$O,4,0)),"")</f>
        <v/>
      </c>
      <c r="H4138" s="55" t="str">
        <f>IFERROR(IF(OR($B4138="",$B4138="(blank)"),"",VLOOKUP($B4138,'Email Marketing Raw Data'!$C:$O,5,0)),"")</f>
        <v/>
      </c>
      <c r="I4138" s="55" t="str">
        <f>IFERROR(IF($G4138="","",VLOOKUP('Dashboard And Emails Automate'!$G4138,Database!$H:$N,3,0)),"")</f>
        <v/>
      </c>
      <c r="J4138" s="55" t="str">
        <f>IFERROR(IF($G4138="","",VLOOKUP('Dashboard And Emails Automate'!$G4138,Database!$H:$N,4,0)),"")</f>
        <v/>
      </c>
      <c r="K4138" s="55" t="str">
        <f>IFERROR(IF($G4138="","",VLOOKUP('Dashboard And Emails Automate'!$G4138,Database!$H:$N,5,0)),"")</f>
        <v/>
      </c>
      <c r="L4138" s="55" t="str">
        <f>IFERROR(IF($G4138="","",VLOOKUP('Dashboard And Emails Automate'!$G4138,Database!$H:$N,6,0)),"")</f>
        <v/>
      </c>
      <c r="M4138" s="55" t="str">
        <f>IFERROR(IF($G4138="","",VLOOKUP('Dashboard And Emails Automate'!$G4138,Database!$H:$N,7,0)),"")</f>
        <v/>
      </c>
      <c r="N4138" s="55" t="str">
        <f>IFERROR(IF(OR($B4138="",$B4138="(blank)"),"",VLOOKUP($B4138,'Email Marketing Raw Data'!$C:$O,6,0)),"")</f>
        <v/>
      </c>
      <c r="O4138" s="55" t="str">
        <f>IFERROR(IF(OR($B4138="",$B4138="(blank)"),"",VLOOKUP($B4138,'Email Marketing Raw Data'!$C:$O,7,0)),"")</f>
        <v/>
      </c>
      <c r="P4138" s="55" t="str">
        <f>IFERROR(IF(OR($B4138="",$B4138="(blank)"),"",VLOOKUP($B4138,'Email Marketing Raw Data'!$C:$O,8,0)),"")</f>
        <v/>
      </c>
      <c r="Q4138" s="62" t="str">
        <f>IFERROR(IF(OR($B4138="",$B4138="(blank)"),"",VLOOKUP($B4138,'Email Marketing Raw Data'!$C:$O,9,0)),"")</f>
        <v/>
      </c>
    </row>
    <row r="4139" spans="4:17" ht="12.75" customHeight="1" x14ac:dyDescent="0.2">
      <c r="D4139" s="58" t="str">
        <f>IFERROR(IF(F4139&lt;&gt;"pending","",IF(OR($B4139="",$B4139="(blank)"),"",VLOOKUP($B4139,'Email Marketing Raw Data'!$C:$O,10,0))),"")</f>
        <v/>
      </c>
      <c r="E4139" s="59" t="str">
        <f>IFERROR(IF(F4139&lt;&gt;"pending","",IF(OR($B4139="",$B4139="(blank)"),"",VLOOKUP($B4139,'Email Marketing Raw Data'!$C:$O,11,0))),"")</f>
        <v/>
      </c>
      <c r="F4139" s="54" t="str">
        <f>IFERROR(IF(OR($B4139="",$B4139="(blank)"),"",VLOOKUP($B4139,'Email Marketing Raw Data'!$C:$O,13,0)),"")</f>
        <v/>
      </c>
      <c r="G4139" s="55" t="str">
        <f>IFERROR(IF(OR($B4139="",$B4139="(blank)"),"",VLOOKUP($B4139,'Email Marketing Raw Data'!$C:$O,4,0)),"")</f>
        <v/>
      </c>
      <c r="H4139" s="55" t="str">
        <f>IFERROR(IF(OR($B4139="",$B4139="(blank)"),"",VLOOKUP($B4139,'Email Marketing Raw Data'!$C:$O,5,0)),"")</f>
        <v/>
      </c>
      <c r="I4139" s="55" t="str">
        <f>IFERROR(IF($G4139="","",VLOOKUP('Dashboard And Emails Automate'!$G4139,Database!$H:$N,3,0)),"")</f>
        <v/>
      </c>
      <c r="J4139" s="55" t="str">
        <f>IFERROR(IF($G4139="","",VLOOKUP('Dashboard And Emails Automate'!$G4139,Database!$H:$N,4,0)),"")</f>
        <v/>
      </c>
      <c r="K4139" s="55" t="str">
        <f>IFERROR(IF($G4139="","",VLOOKUP('Dashboard And Emails Automate'!$G4139,Database!$H:$N,5,0)),"")</f>
        <v/>
      </c>
      <c r="L4139" s="55" t="str">
        <f>IFERROR(IF($G4139="","",VLOOKUP('Dashboard And Emails Automate'!$G4139,Database!$H:$N,6,0)),"")</f>
        <v/>
      </c>
      <c r="M4139" s="55" t="str">
        <f>IFERROR(IF($G4139="","",VLOOKUP('Dashboard And Emails Automate'!$G4139,Database!$H:$N,7,0)),"")</f>
        <v/>
      </c>
      <c r="N4139" s="55" t="str">
        <f>IFERROR(IF(OR($B4139="",$B4139="(blank)"),"",VLOOKUP($B4139,'Email Marketing Raw Data'!$C:$O,6,0)),"")</f>
        <v/>
      </c>
      <c r="O4139" s="55" t="str">
        <f>IFERROR(IF(OR($B4139="",$B4139="(blank)"),"",VLOOKUP($B4139,'Email Marketing Raw Data'!$C:$O,7,0)),"")</f>
        <v/>
      </c>
      <c r="P4139" s="55" t="str">
        <f>IFERROR(IF(OR($B4139="",$B4139="(blank)"),"",VLOOKUP($B4139,'Email Marketing Raw Data'!$C:$O,8,0)),"")</f>
        <v/>
      </c>
      <c r="Q4139" s="62" t="str">
        <f>IFERROR(IF(OR($B4139="",$B4139="(blank)"),"",VLOOKUP($B4139,'Email Marketing Raw Data'!$C:$O,9,0)),"")</f>
        <v/>
      </c>
    </row>
    <row r="4140" spans="4:17" ht="12.75" customHeight="1" x14ac:dyDescent="0.2">
      <c r="D4140" s="58" t="str">
        <f>IFERROR(IF(F4140&lt;&gt;"pending","",IF(OR($B4140="",$B4140="(blank)"),"",VLOOKUP($B4140,'Email Marketing Raw Data'!$C:$O,10,0))),"")</f>
        <v/>
      </c>
      <c r="E4140" s="59" t="str">
        <f>IFERROR(IF(F4140&lt;&gt;"pending","",IF(OR($B4140="",$B4140="(blank)"),"",VLOOKUP($B4140,'Email Marketing Raw Data'!$C:$O,11,0))),"")</f>
        <v/>
      </c>
      <c r="F4140" s="54" t="str">
        <f>IFERROR(IF(OR($B4140="",$B4140="(blank)"),"",VLOOKUP($B4140,'Email Marketing Raw Data'!$C:$O,13,0)),"")</f>
        <v/>
      </c>
      <c r="G4140" s="55" t="str">
        <f>IFERROR(IF(OR($B4140="",$B4140="(blank)"),"",VLOOKUP($B4140,'Email Marketing Raw Data'!$C:$O,4,0)),"")</f>
        <v/>
      </c>
      <c r="H4140" s="55" t="str">
        <f>IFERROR(IF(OR($B4140="",$B4140="(blank)"),"",VLOOKUP($B4140,'Email Marketing Raw Data'!$C:$O,5,0)),"")</f>
        <v/>
      </c>
      <c r="I4140" s="55" t="str">
        <f>IFERROR(IF($G4140="","",VLOOKUP('Dashboard And Emails Automate'!$G4140,Database!$H:$N,3,0)),"")</f>
        <v/>
      </c>
      <c r="J4140" s="55" t="str">
        <f>IFERROR(IF($G4140="","",VLOOKUP('Dashboard And Emails Automate'!$G4140,Database!$H:$N,4,0)),"")</f>
        <v/>
      </c>
      <c r="K4140" s="55" t="str">
        <f>IFERROR(IF($G4140="","",VLOOKUP('Dashboard And Emails Automate'!$G4140,Database!$H:$N,5,0)),"")</f>
        <v/>
      </c>
      <c r="L4140" s="55" t="str">
        <f>IFERROR(IF($G4140="","",VLOOKUP('Dashboard And Emails Automate'!$G4140,Database!$H:$N,6,0)),"")</f>
        <v/>
      </c>
      <c r="M4140" s="55" t="str">
        <f>IFERROR(IF($G4140="","",VLOOKUP('Dashboard And Emails Automate'!$G4140,Database!$H:$N,7,0)),"")</f>
        <v/>
      </c>
      <c r="N4140" s="55" t="str">
        <f>IFERROR(IF(OR($B4140="",$B4140="(blank)"),"",VLOOKUP($B4140,'Email Marketing Raw Data'!$C:$O,6,0)),"")</f>
        <v/>
      </c>
      <c r="O4140" s="55" t="str">
        <f>IFERROR(IF(OR($B4140="",$B4140="(blank)"),"",VLOOKUP($B4140,'Email Marketing Raw Data'!$C:$O,7,0)),"")</f>
        <v/>
      </c>
      <c r="P4140" s="55" t="str">
        <f>IFERROR(IF(OR($B4140="",$B4140="(blank)"),"",VLOOKUP($B4140,'Email Marketing Raw Data'!$C:$O,8,0)),"")</f>
        <v/>
      </c>
      <c r="Q4140" s="62" t="str">
        <f>IFERROR(IF(OR($B4140="",$B4140="(blank)"),"",VLOOKUP($B4140,'Email Marketing Raw Data'!$C:$O,9,0)),"")</f>
        <v/>
      </c>
    </row>
    <row r="4141" spans="4:17" ht="12.75" customHeight="1" x14ac:dyDescent="0.2">
      <c r="D4141" s="58" t="str">
        <f>IFERROR(IF(F4141&lt;&gt;"pending","",IF(OR($B4141="",$B4141="(blank)"),"",VLOOKUP($B4141,'Email Marketing Raw Data'!$C:$O,10,0))),"")</f>
        <v/>
      </c>
      <c r="E4141" s="59" t="str">
        <f>IFERROR(IF(F4141&lt;&gt;"pending","",IF(OR($B4141="",$B4141="(blank)"),"",VLOOKUP($B4141,'Email Marketing Raw Data'!$C:$O,11,0))),"")</f>
        <v/>
      </c>
      <c r="F4141" s="54" t="str">
        <f>IFERROR(IF(OR($B4141="",$B4141="(blank)"),"",VLOOKUP($B4141,'Email Marketing Raw Data'!$C:$O,13,0)),"")</f>
        <v/>
      </c>
      <c r="G4141" s="55" t="str">
        <f>IFERROR(IF(OR($B4141="",$B4141="(blank)"),"",VLOOKUP($B4141,'Email Marketing Raw Data'!$C:$O,4,0)),"")</f>
        <v/>
      </c>
      <c r="H4141" s="55" t="str">
        <f>IFERROR(IF(OR($B4141="",$B4141="(blank)"),"",VLOOKUP($B4141,'Email Marketing Raw Data'!$C:$O,5,0)),"")</f>
        <v/>
      </c>
      <c r="I4141" s="55" t="str">
        <f>IFERROR(IF($G4141="","",VLOOKUP('Dashboard And Emails Automate'!$G4141,Database!$H:$N,3,0)),"")</f>
        <v/>
      </c>
      <c r="J4141" s="55" t="str">
        <f>IFERROR(IF($G4141="","",VLOOKUP('Dashboard And Emails Automate'!$G4141,Database!$H:$N,4,0)),"")</f>
        <v/>
      </c>
      <c r="K4141" s="55" t="str">
        <f>IFERROR(IF($G4141="","",VLOOKUP('Dashboard And Emails Automate'!$G4141,Database!$H:$N,5,0)),"")</f>
        <v/>
      </c>
      <c r="L4141" s="55" t="str">
        <f>IFERROR(IF($G4141="","",VLOOKUP('Dashboard And Emails Automate'!$G4141,Database!$H:$N,6,0)),"")</f>
        <v/>
      </c>
      <c r="M4141" s="55" t="str">
        <f>IFERROR(IF($G4141="","",VLOOKUP('Dashboard And Emails Automate'!$G4141,Database!$H:$N,7,0)),"")</f>
        <v/>
      </c>
      <c r="N4141" s="55" t="str">
        <f>IFERROR(IF(OR($B4141="",$B4141="(blank)"),"",VLOOKUP($B4141,'Email Marketing Raw Data'!$C:$O,6,0)),"")</f>
        <v/>
      </c>
      <c r="O4141" s="55" t="str">
        <f>IFERROR(IF(OR($B4141="",$B4141="(blank)"),"",VLOOKUP($B4141,'Email Marketing Raw Data'!$C:$O,7,0)),"")</f>
        <v/>
      </c>
      <c r="P4141" s="55" t="str">
        <f>IFERROR(IF(OR($B4141="",$B4141="(blank)"),"",VLOOKUP($B4141,'Email Marketing Raw Data'!$C:$O,8,0)),"")</f>
        <v/>
      </c>
      <c r="Q4141" s="62" t="str">
        <f>IFERROR(IF(OR($B4141="",$B4141="(blank)"),"",VLOOKUP($B4141,'Email Marketing Raw Data'!$C:$O,9,0)),"")</f>
        <v/>
      </c>
    </row>
    <row r="4142" spans="4:17" ht="12.75" customHeight="1" x14ac:dyDescent="0.2">
      <c r="D4142" s="58" t="str">
        <f>IFERROR(IF(F4142&lt;&gt;"pending","",IF(OR($B4142="",$B4142="(blank)"),"",VLOOKUP($B4142,'Email Marketing Raw Data'!$C:$O,10,0))),"")</f>
        <v/>
      </c>
      <c r="E4142" s="59" t="str">
        <f>IFERROR(IF(F4142&lt;&gt;"pending","",IF(OR($B4142="",$B4142="(blank)"),"",VLOOKUP($B4142,'Email Marketing Raw Data'!$C:$O,11,0))),"")</f>
        <v/>
      </c>
      <c r="F4142" s="54" t="str">
        <f>IFERROR(IF(OR($B4142="",$B4142="(blank)"),"",VLOOKUP($B4142,'Email Marketing Raw Data'!$C:$O,13,0)),"")</f>
        <v/>
      </c>
      <c r="G4142" s="55" t="str">
        <f>IFERROR(IF(OR($B4142="",$B4142="(blank)"),"",VLOOKUP($B4142,'Email Marketing Raw Data'!$C:$O,4,0)),"")</f>
        <v/>
      </c>
      <c r="H4142" s="55" t="str">
        <f>IFERROR(IF(OR($B4142="",$B4142="(blank)"),"",VLOOKUP($B4142,'Email Marketing Raw Data'!$C:$O,5,0)),"")</f>
        <v/>
      </c>
      <c r="I4142" s="55" t="str">
        <f>IFERROR(IF($G4142="","",VLOOKUP('Dashboard And Emails Automate'!$G4142,Database!$H:$N,3,0)),"")</f>
        <v/>
      </c>
      <c r="J4142" s="55" t="str">
        <f>IFERROR(IF($G4142="","",VLOOKUP('Dashboard And Emails Automate'!$G4142,Database!$H:$N,4,0)),"")</f>
        <v/>
      </c>
      <c r="K4142" s="55" t="str">
        <f>IFERROR(IF($G4142="","",VLOOKUP('Dashboard And Emails Automate'!$G4142,Database!$H:$N,5,0)),"")</f>
        <v/>
      </c>
      <c r="L4142" s="55" t="str">
        <f>IFERROR(IF($G4142="","",VLOOKUP('Dashboard And Emails Automate'!$G4142,Database!$H:$N,6,0)),"")</f>
        <v/>
      </c>
      <c r="M4142" s="55" t="str">
        <f>IFERROR(IF($G4142="","",VLOOKUP('Dashboard And Emails Automate'!$G4142,Database!$H:$N,7,0)),"")</f>
        <v/>
      </c>
      <c r="N4142" s="55" t="str">
        <f>IFERROR(IF(OR($B4142="",$B4142="(blank)"),"",VLOOKUP($B4142,'Email Marketing Raw Data'!$C:$O,6,0)),"")</f>
        <v/>
      </c>
      <c r="O4142" s="55" t="str">
        <f>IFERROR(IF(OR($B4142="",$B4142="(blank)"),"",VLOOKUP($B4142,'Email Marketing Raw Data'!$C:$O,7,0)),"")</f>
        <v/>
      </c>
      <c r="P4142" s="55" t="str">
        <f>IFERROR(IF(OR($B4142="",$B4142="(blank)"),"",VLOOKUP($B4142,'Email Marketing Raw Data'!$C:$O,8,0)),"")</f>
        <v/>
      </c>
      <c r="Q4142" s="62" t="str">
        <f>IFERROR(IF(OR($B4142="",$B4142="(blank)"),"",VLOOKUP($B4142,'Email Marketing Raw Data'!$C:$O,9,0)),"")</f>
        <v/>
      </c>
    </row>
    <row r="4143" spans="4:17" ht="12.75" customHeight="1" x14ac:dyDescent="0.2">
      <c r="D4143" s="58" t="str">
        <f>IFERROR(IF(F4143&lt;&gt;"pending","",IF(OR($B4143="",$B4143="(blank)"),"",VLOOKUP($B4143,'Email Marketing Raw Data'!$C:$O,10,0))),"")</f>
        <v/>
      </c>
      <c r="E4143" s="59" t="str">
        <f>IFERROR(IF(F4143&lt;&gt;"pending","",IF(OR($B4143="",$B4143="(blank)"),"",VLOOKUP($B4143,'Email Marketing Raw Data'!$C:$O,11,0))),"")</f>
        <v/>
      </c>
      <c r="F4143" s="54" t="str">
        <f>IFERROR(IF(OR($B4143="",$B4143="(blank)"),"",VLOOKUP($B4143,'Email Marketing Raw Data'!$C:$O,13,0)),"")</f>
        <v/>
      </c>
      <c r="G4143" s="55" t="str">
        <f>IFERROR(IF(OR($B4143="",$B4143="(blank)"),"",VLOOKUP($B4143,'Email Marketing Raw Data'!$C:$O,4,0)),"")</f>
        <v/>
      </c>
      <c r="H4143" s="55" t="str">
        <f>IFERROR(IF(OR($B4143="",$B4143="(blank)"),"",VLOOKUP($B4143,'Email Marketing Raw Data'!$C:$O,5,0)),"")</f>
        <v/>
      </c>
      <c r="I4143" s="55" t="str">
        <f>IFERROR(IF($G4143="","",VLOOKUP('Dashboard And Emails Automate'!$G4143,Database!$H:$N,3,0)),"")</f>
        <v/>
      </c>
      <c r="J4143" s="55" t="str">
        <f>IFERROR(IF($G4143="","",VLOOKUP('Dashboard And Emails Automate'!$G4143,Database!$H:$N,4,0)),"")</f>
        <v/>
      </c>
      <c r="K4143" s="55" t="str">
        <f>IFERROR(IF($G4143="","",VLOOKUP('Dashboard And Emails Automate'!$G4143,Database!$H:$N,5,0)),"")</f>
        <v/>
      </c>
      <c r="L4143" s="55" t="str">
        <f>IFERROR(IF($G4143="","",VLOOKUP('Dashboard And Emails Automate'!$G4143,Database!$H:$N,6,0)),"")</f>
        <v/>
      </c>
      <c r="M4143" s="55" t="str">
        <f>IFERROR(IF($G4143="","",VLOOKUP('Dashboard And Emails Automate'!$G4143,Database!$H:$N,7,0)),"")</f>
        <v/>
      </c>
      <c r="N4143" s="55" t="str">
        <f>IFERROR(IF(OR($B4143="",$B4143="(blank)"),"",VLOOKUP($B4143,'Email Marketing Raw Data'!$C:$O,6,0)),"")</f>
        <v/>
      </c>
      <c r="O4143" s="55" t="str">
        <f>IFERROR(IF(OR($B4143="",$B4143="(blank)"),"",VLOOKUP($B4143,'Email Marketing Raw Data'!$C:$O,7,0)),"")</f>
        <v/>
      </c>
      <c r="P4143" s="55" t="str">
        <f>IFERROR(IF(OR($B4143="",$B4143="(blank)"),"",VLOOKUP($B4143,'Email Marketing Raw Data'!$C:$O,8,0)),"")</f>
        <v/>
      </c>
      <c r="Q4143" s="62" t="str">
        <f>IFERROR(IF(OR($B4143="",$B4143="(blank)"),"",VLOOKUP($B4143,'Email Marketing Raw Data'!$C:$O,9,0)),"")</f>
        <v/>
      </c>
    </row>
    <row r="4144" spans="4:17" ht="12.75" customHeight="1" x14ac:dyDescent="0.2">
      <c r="D4144" s="58" t="str">
        <f>IFERROR(IF(F4144&lt;&gt;"pending","",IF(OR($B4144="",$B4144="(blank)"),"",VLOOKUP($B4144,'Email Marketing Raw Data'!$C:$O,10,0))),"")</f>
        <v/>
      </c>
      <c r="E4144" s="59" t="str">
        <f>IFERROR(IF(F4144&lt;&gt;"pending","",IF(OR($B4144="",$B4144="(blank)"),"",VLOOKUP($B4144,'Email Marketing Raw Data'!$C:$O,11,0))),"")</f>
        <v/>
      </c>
      <c r="F4144" s="54" t="str">
        <f>IFERROR(IF(OR($B4144="",$B4144="(blank)"),"",VLOOKUP($B4144,'Email Marketing Raw Data'!$C:$O,13,0)),"")</f>
        <v/>
      </c>
      <c r="G4144" s="55" t="str">
        <f>IFERROR(IF(OR($B4144="",$B4144="(blank)"),"",VLOOKUP($B4144,'Email Marketing Raw Data'!$C:$O,4,0)),"")</f>
        <v/>
      </c>
      <c r="H4144" s="55" t="str">
        <f>IFERROR(IF(OR($B4144="",$B4144="(blank)"),"",VLOOKUP($B4144,'Email Marketing Raw Data'!$C:$O,5,0)),"")</f>
        <v/>
      </c>
      <c r="I4144" s="55" t="str">
        <f>IFERROR(IF($G4144="","",VLOOKUP('Dashboard And Emails Automate'!$G4144,Database!$H:$N,3,0)),"")</f>
        <v/>
      </c>
      <c r="J4144" s="55" t="str">
        <f>IFERROR(IF($G4144="","",VLOOKUP('Dashboard And Emails Automate'!$G4144,Database!$H:$N,4,0)),"")</f>
        <v/>
      </c>
      <c r="K4144" s="55" t="str">
        <f>IFERROR(IF($G4144="","",VLOOKUP('Dashboard And Emails Automate'!$G4144,Database!$H:$N,5,0)),"")</f>
        <v/>
      </c>
      <c r="L4144" s="55" t="str">
        <f>IFERROR(IF($G4144="","",VLOOKUP('Dashboard And Emails Automate'!$G4144,Database!$H:$N,6,0)),"")</f>
        <v/>
      </c>
      <c r="M4144" s="55" t="str">
        <f>IFERROR(IF($G4144="","",VLOOKUP('Dashboard And Emails Automate'!$G4144,Database!$H:$N,7,0)),"")</f>
        <v/>
      </c>
      <c r="N4144" s="55" t="str">
        <f>IFERROR(IF(OR($B4144="",$B4144="(blank)"),"",VLOOKUP($B4144,'Email Marketing Raw Data'!$C:$O,6,0)),"")</f>
        <v/>
      </c>
      <c r="O4144" s="55" t="str">
        <f>IFERROR(IF(OR($B4144="",$B4144="(blank)"),"",VLOOKUP($B4144,'Email Marketing Raw Data'!$C:$O,7,0)),"")</f>
        <v/>
      </c>
      <c r="P4144" s="55" t="str">
        <f>IFERROR(IF(OR($B4144="",$B4144="(blank)"),"",VLOOKUP($B4144,'Email Marketing Raw Data'!$C:$O,8,0)),"")</f>
        <v/>
      </c>
      <c r="Q4144" s="62" t="str">
        <f>IFERROR(IF(OR($B4144="",$B4144="(blank)"),"",VLOOKUP($B4144,'Email Marketing Raw Data'!$C:$O,9,0)),"")</f>
        <v/>
      </c>
    </row>
    <row r="4145" spans="4:17" ht="12.75" customHeight="1" x14ac:dyDescent="0.2">
      <c r="D4145" s="58" t="str">
        <f>IFERROR(IF(F4145&lt;&gt;"pending","",IF(OR($B4145="",$B4145="(blank)"),"",VLOOKUP($B4145,'Email Marketing Raw Data'!$C:$O,10,0))),"")</f>
        <v/>
      </c>
      <c r="E4145" s="59" t="str">
        <f>IFERROR(IF(F4145&lt;&gt;"pending","",IF(OR($B4145="",$B4145="(blank)"),"",VLOOKUP($B4145,'Email Marketing Raw Data'!$C:$O,11,0))),"")</f>
        <v/>
      </c>
      <c r="F4145" s="54" t="str">
        <f>IFERROR(IF(OR($B4145="",$B4145="(blank)"),"",VLOOKUP($B4145,'Email Marketing Raw Data'!$C:$O,13,0)),"")</f>
        <v/>
      </c>
      <c r="G4145" s="55" t="str">
        <f>IFERROR(IF(OR($B4145="",$B4145="(blank)"),"",VLOOKUP($B4145,'Email Marketing Raw Data'!$C:$O,4,0)),"")</f>
        <v/>
      </c>
      <c r="H4145" s="55" t="str">
        <f>IFERROR(IF(OR($B4145="",$B4145="(blank)"),"",VLOOKUP($B4145,'Email Marketing Raw Data'!$C:$O,5,0)),"")</f>
        <v/>
      </c>
      <c r="I4145" s="55" t="str">
        <f>IFERROR(IF($G4145="","",VLOOKUP('Dashboard And Emails Automate'!$G4145,Database!$H:$N,3,0)),"")</f>
        <v/>
      </c>
      <c r="J4145" s="55" t="str">
        <f>IFERROR(IF($G4145="","",VLOOKUP('Dashboard And Emails Automate'!$G4145,Database!$H:$N,4,0)),"")</f>
        <v/>
      </c>
      <c r="K4145" s="55" t="str">
        <f>IFERROR(IF($G4145="","",VLOOKUP('Dashboard And Emails Automate'!$G4145,Database!$H:$N,5,0)),"")</f>
        <v/>
      </c>
      <c r="L4145" s="55" t="str">
        <f>IFERROR(IF($G4145="","",VLOOKUP('Dashboard And Emails Automate'!$G4145,Database!$H:$N,6,0)),"")</f>
        <v/>
      </c>
      <c r="M4145" s="55" t="str">
        <f>IFERROR(IF($G4145="","",VLOOKUP('Dashboard And Emails Automate'!$G4145,Database!$H:$N,7,0)),"")</f>
        <v/>
      </c>
      <c r="N4145" s="55" t="str">
        <f>IFERROR(IF(OR($B4145="",$B4145="(blank)"),"",VLOOKUP($B4145,'Email Marketing Raw Data'!$C:$O,6,0)),"")</f>
        <v/>
      </c>
      <c r="O4145" s="55" t="str">
        <f>IFERROR(IF(OR($B4145="",$B4145="(blank)"),"",VLOOKUP($B4145,'Email Marketing Raw Data'!$C:$O,7,0)),"")</f>
        <v/>
      </c>
      <c r="P4145" s="55" t="str">
        <f>IFERROR(IF(OR($B4145="",$B4145="(blank)"),"",VLOOKUP($B4145,'Email Marketing Raw Data'!$C:$O,8,0)),"")</f>
        <v/>
      </c>
      <c r="Q4145" s="62" t="str">
        <f>IFERROR(IF(OR($B4145="",$B4145="(blank)"),"",VLOOKUP($B4145,'Email Marketing Raw Data'!$C:$O,9,0)),"")</f>
        <v/>
      </c>
    </row>
    <row r="4146" spans="4:17" ht="12.75" customHeight="1" x14ac:dyDescent="0.2">
      <c r="D4146" s="58" t="str">
        <f>IFERROR(IF(F4146&lt;&gt;"pending","",IF(OR($B4146="",$B4146="(blank)"),"",VLOOKUP($B4146,'Email Marketing Raw Data'!$C:$O,10,0))),"")</f>
        <v/>
      </c>
      <c r="E4146" s="59" t="str">
        <f>IFERROR(IF(F4146&lt;&gt;"pending","",IF(OR($B4146="",$B4146="(blank)"),"",VLOOKUP($B4146,'Email Marketing Raw Data'!$C:$O,11,0))),"")</f>
        <v/>
      </c>
      <c r="F4146" s="54" t="str">
        <f>IFERROR(IF(OR($B4146="",$B4146="(blank)"),"",VLOOKUP($B4146,'Email Marketing Raw Data'!$C:$O,13,0)),"")</f>
        <v/>
      </c>
      <c r="G4146" s="55" t="str">
        <f>IFERROR(IF(OR($B4146="",$B4146="(blank)"),"",VLOOKUP($B4146,'Email Marketing Raw Data'!$C:$O,4,0)),"")</f>
        <v/>
      </c>
      <c r="H4146" s="55" t="str">
        <f>IFERROR(IF(OR($B4146="",$B4146="(blank)"),"",VLOOKUP($B4146,'Email Marketing Raw Data'!$C:$O,5,0)),"")</f>
        <v/>
      </c>
      <c r="I4146" s="55" t="str">
        <f>IFERROR(IF($G4146="","",VLOOKUP('Dashboard And Emails Automate'!$G4146,Database!$H:$N,3,0)),"")</f>
        <v/>
      </c>
      <c r="J4146" s="55" t="str">
        <f>IFERROR(IF($G4146="","",VLOOKUP('Dashboard And Emails Automate'!$G4146,Database!$H:$N,4,0)),"")</f>
        <v/>
      </c>
      <c r="K4146" s="55" t="str">
        <f>IFERROR(IF($G4146="","",VLOOKUP('Dashboard And Emails Automate'!$G4146,Database!$H:$N,5,0)),"")</f>
        <v/>
      </c>
      <c r="L4146" s="55" t="str">
        <f>IFERROR(IF($G4146="","",VLOOKUP('Dashboard And Emails Automate'!$G4146,Database!$H:$N,6,0)),"")</f>
        <v/>
      </c>
      <c r="M4146" s="55" t="str">
        <f>IFERROR(IF($G4146="","",VLOOKUP('Dashboard And Emails Automate'!$G4146,Database!$H:$N,7,0)),"")</f>
        <v/>
      </c>
      <c r="N4146" s="55" t="str">
        <f>IFERROR(IF(OR($B4146="",$B4146="(blank)"),"",VLOOKUP($B4146,'Email Marketing Raw Data'!$C:$O,6,0)),"")</f>
        <v/>
      </c>
      <c r="O4146" s="55" t="str">
        <f>IFERROR(IF(OR($B4146="",$B4146="(blank)"),"",VLOOKUP($B4146,'Email Marketing Raw Data'!$C:$O,7,0)),"")</f>
        <v/>
      </c>
      <c r="P4146" s="55" t="str">
        <f>IFERROR(IF(OR($B4146="",$B4146="(blank)"),"",VLOOKUP($B4146,'Email Marketing Raw Data'!$C:$O,8,0)),"")</f>
        <v/>
      </c>
      <c r="Q4146" s="62" t="str">
        <f>IFERROR(IF(OR($B4146="",$B4146="(blank)"),"",VLOOKUP($B4146,'Email Marketing Raw Data'!$C:$O,9,0)),"")</f>
        <v/>
      </c>
    </row>
    <row r="4147" spans="4:17" ht="12.75" customHeight="1" x14ac:dyDescent="0.2">
      <c r="D4147" s="58" t="str">
        <f>IFERROR(IF(F4147&lt;&gt;"pending","",IF(OR($B4147="",$B4147="(blank)"),"",VLOOKUP($B4147,'Email Marketing Raw Data'!$C:$O,10,0))),"")</f>
        <v/>
      </c>
      <c r="E4147" s="59" t="str">
        <f>IFERROR(IF(F4147&lt;&gt;"pending","",IF(OR($B4147="",$B4147="(blank)"),"",VLOOKUP($B4147,'Email Marketing Raw Data'!$C:$O,11,0))),"")</f>
        <v/>
      </c>
      <c r="F4147" s="54" t="str">
        <f>IFERROR(IF(OR($B4147="",$B4147="(blank)"),"",VLOOKUP($B4147,'Email Marketing Raw Data'!$C:$O,13,0)),"")</f>
        <v/>
      </c>
      <c r="G4147" s="55" t="str">
        <f>IFERROR(IF(OR($B4147="",$B4147="(blank)"),"",VLOOKUP($B4147,'Email Marketing Raw Data'!$C:$O,4,0)),"")</f>
        <v/>
      </c>
      <c r="H4147" s="55" t="str">
        <f>IFERROR(IF(OR($B4147="",$B4147="(blank)"),"",VLOOKUP($B4147,'Email Marketing Raw Data'!$C:$O,5,0)),"")</f>
        <v/>
      </c>
      <c r="I4147" s="55" t="str">
        <f>IFERROR(IF($G4147="","",VLOOKUP('Dashboard And Emails Automate'!$G4147,Database!$H:$N,3,0)),"")</f>
        <v/>
      </c>
      <c r="J4147" s="55" t="str">
        <f>IFERROR(IF($G4147="","",VLOOKUP('Dashboard And Emails Automate'!$G4147,Database!$H:$N,4,0)),"")</f>
        <v/>
      </c>
      <c r="K4147" s="55" t="str">
        <f>IFERROR(IF($G4147="","",VLOOKUP('Dashboard And Emails Automate'!$G4147,Database!$H:$N,5,0)),"")</f>
        <v/>
      </c>
      <c r="L4147" s="55" t="str">
        <f>IFERROR(IF($G4147="","",VLOOKUP('Dashboard And Emails Automate'!$G4147,Database!$H:$N,6,0)),"")</f>
        <v/>
      </c>
      <c r="M4147" s="55" t="str">
        <f>IFERROR(IF($G4147="","",VLOOKUP('Dashboard And Emails Automate'!$G4147,Database!$H:$N,7,0)),"")</f>
        <v/>
      </c>
      <c r="N4147" s="55" t="str">
        <f>IFERROR(IF(OR($B4147="",$B4147="(blank)"),"",VLOOKUP($B4147,'Email Marketing Raw Data'!$C:$O,6,0)),"")</f>
        <v/>
      </c>
      <c r="O4147" s="55" t="str">
        <f>IFERROR(IF(OR($B4147="",$B4147="(blank)"),"",VLOOKUP($B4147,'Email Marketing Raw Data'!$C:$O,7,0)),"")</f>
        <v/>
      </c>
      <c r="P4147" s="55" t="str">
        <f>IFERROR(IF(OR($B4147="",$B4147="(blank)"),"",VLOOKUP($B4147,'Email Marketing Raw Data'!$C:$O,8,0)),"")</f>
        <v/>
      </c>
      <c r="Q4147" s="62" t="str">
        <f>IFERROR(IF(OR($B4147="",$B4147="(blank)"),"",VLOOKUP($B4147,'Email Marketing Raw Data'!$C:$O,9,0)),"")</f>
        <v/>
      </c>
    </row>
    <row r="4148" spans="4:17" ht="12.75" customHeight="1" x14ac:dyDescent="0.2">
      <c r="D4148" s="58" t="str">
        <f>IFERROR(IF(F4148&lt;&gt;"pending","",IF(OR($B4148="",$B4148="(blank)"),"",VLOOKUP($B4148,'Email Marketing Raw Data'!$C:$O,10,0))),"")</f>
        <v/>
      </c>
      <c r="E4148" s="59" t="str">
        <f>IFERROR(IF(F4148&lt;&gt;"pending","",IF(OR($B4148="",$B4148="(blank)"),"",VLOOKUP($B4148,'Email Marketing Raw Data'!$C:$O,11,0))),"")</f>
        <v/>
      </c>
      <c r="F4148" s="54" t="str">
        <f>IFERROR(IF(OR($B4148="",$B4148="(blank)"),"",VLOOKUP($B4148,'Email Marketing Raw Data'!$C:$O,13,0)),"")</f>
        <v/>
      </c>
      <c r="G4148" s="55" t="str">
        <f>IFERROR(IF(OR($B4148="",$B4148="(blank)"),"",VLOOKUP($B4148,'Email Marketing Raw Data'!$C:$O,4,0)),"")</f>
        <v/>
      </c>
      <c r="H4148" s="55" t="str">
        <f>IFERROR(IF(OR($B4148="",$B4148="(blank)"),"",VLOOKUP($B4148,'Email Marketing Raw Data'!$C:$O,5,0)),"")</f>
        <v/>
      </c>
      <c r="I4148" s="55" t="str">
        <f>IFERROR(IF($G4148="","",VLOOKUP('Dashboard And Emails Automate'!$G4148,Database!$H:$N,3,0)),"")</f>
        <v/>
      </c>
      <c r="J4148" s="55" t="str">
        <f>IFERROR(IF($G4148="","",VLOOKUP('Dashboard And Emails Automate'!$G4148,Database!$H:$N,4,0)),"")</f>
        <v/>
      </c>
      <c r="K4148" s="55" t="str">
        <f>IFERROR(IF($G4148="","",VLOOKUP('Dashboard And Emails Automate'!$G4148,Database!$H:$N,5,0)),"")</f>
        <v/>
      </c>
      <c r="L4148" s="55" t="str">
        <f>IFERROR(IF($G4148="","",VLOOKUP('Dashboard And Emails Automate'!$G4148,Database!$H:$N,6,0)),"")</f>
        <v/>
      </c>
      <c r="M4148" s="55" t="str">
        <f>IFERROR(IF($G4148="","",VLOOKUP('Dashboard And Emails Automate'!$G4148,Database!$H:$N,7,0)),"")</f>
        <v/>
      </c>
      <c r="N4148" s="55" t="str">
        <f>IFERROR(IF(OR($B4148="",$B4148="(blank)"),"",VLOOKUP($B4148,'Email Marketing Raw Data'!$C:$O,6,0)),"")</f>
        <v/>
      </c>
      <c r="O4148" s="55" t="str">
        <f>IFERROR(IF(OR($B4148="",$B4148="(blank)"),"",VLOOKUP($B4148,'Email Marketing Raw Data'!$C:$O,7,0)),"")</f>
        <v/>
      </c>
      <c r="P4148" s="55" t="str">
        <f>IFERROR(IF(OR($B4148="",$B4148="(blank)"),"",VLOOKUP($B4148,'Email Marketing Raw Data'!$C:$O,8,0)),"")</f>
        <v/>
      </c>
      <c r="Q4148" s="62" t="str">
        <f>IFERROR(IF(OR($B4148="",$B4148="(blank)"),"",VLOOKUP($B4148,'Email Marketing Raw Data'!$C:$O,9,0)),"")</f>
        <v/>
      </c>
    </row>
    <row r="4149" spans="4:17" ht="12.75" customHeight="1" x14ac:dyDescent="0.2">
      <c r="D4149" s="58" t="str">
        <f>IFERROR(IF(F4149&lt;&gt;"pending","",IF(OR($B4149="",$B4149="(blank)"),"",VLOOKUP($B4149,'Email Marketing Raw Data'!$C:$O,10,0))),"")</f>
        <v/>
      </c>
      <c r="E4149" s="59" t="str">
        <f>IFERROR(IF(F4149&lt;&gt;"pending","",IF(OR($B4149="",$B4149="(blank)"),"",VLOOKUP($B4149,'Email Marketing Raw Data'!$C:$O,11,0))),"")</f>
        <v/>
      </c>
      <c r="F4149" s="54" t="str">
        <f>IFERROR(IF(OR($B4149="",$B4149="(blank)"),"",VLOOKUP($B4149,'Email Marketing Raw Data'!$C:$O,13,0)),"")</f>
        <v/>
      </c>
      <c r="G4149" s="55" t="str">
        <f>IFERROR(IF(OR($B4149="",$B4149="(blank)"),"",VLOOKUP($B4149,'Email Marketing Raw Data'!$C:$O,4,0)),"")</f>
        <v/>
      </c>
      <c r="H4149" s="55" t="str">
        <f>IFERROR(IF(OR($B4149="",$B4149="(blank)"),"",VLOOKUP($B4149,'Email Marketing Raw Data'!$C:$O,5,0)),"")</f>
        <v/>
      </c>
      <c r="I4149" s="55" t="str">
        <f>IFERROR(IF($G4149="","",VLOOKUP('Dashboard And Emails Automate'!$G4149,Database!$H:$N,3,0)),"")</f>
        <v/>
      </c>
      <c r="J4149" s="55" t="str">
        <f>IFERROR(IF($G4149="","",VLOOKUP('Dashboard And Emails Automate'!$G4149,Database!$H:$N,4,0)),"")</f>
        <v/>
      </c>
      <c r="K4149" s="55" t="str">
        <f>IFERROR(IF($G4149="","",VLOOKUP('Dashboard And Emails Automate'!$G4149,Database!$H:$N,5,0)),"")</f>
        <v/>
      </c>
      <c r="L4149" s="55" t="str">
        <f>IFERROR(IF($G4149="","",VLOOKUP('Dashboard And Emails Automate'!$G4149,Database!$H:$N,6,0)),"")</f>
        <v/>
      </c>
      <c r="M4149" s="55" t="str">
        <f>IFERROR(IF($G4149="","",VLOOKUP('Dashboard And Emails Automate'!$G4149,Database!$H:$N,7,0)),"")</f>
        <v/>
      </c>
      <c r="N4149" s="55" t="str">
        <f>IFERROR(IF(OR($B4149="",$B4149="(blank)"),"",VLOOKUP($B4149,'Email Marketing Raw Data'!$C:$O,6,0)),"")</f>
        <v/>
      </c>
      <c r="O4149" s="55" t="str">
        <f>IFERROR(IF(OR($B4149="",$B4149="(blank)"),"",VLOOKUP($B4149,'Email Marketing Raw Data'!$C:$O,7,0)),"")</f>
        <v/>
      </c>
      <c r="P4149" s="55" t="str">
        <f>IFERROR(IF(OR($B4149="",$B4149="(blank)"),"",VLOOKUP($B4149,'Email Marketing Raw Data'!$C:$O,8,0)),"")</f>
        <v/>
      </c>
      <c r="Q4149" s="62" t="str">
        <f>IFERROR(IF(OR($B4149="",$B4149="(blank)"),"",VLOOKUP($B4149,'Email Marketing Raw Data'!$C:$O,9,0)),"")</f>
        <v/>
      </c>
    </row>
    <row r="4150" spans="4:17" ht="12.75" customHeight="1" x14ac:dyDescent="0.2">
      <c r="D4150" s="58" t="str">
        <f>IFERROR(IF(F4150&lt;&gt;"pending","",IF(OR($B4150="",$B4150="(blank)"),"",VLOOKUP($B4150,'Email Marketing Raw Data'!$C:$O,10,0))),"")</f>
        <v/>
      </c>
      <c r="E4150" s="59" t="str">
        <f>IFERROR(IF(F4150&lt;&gt;"pending","",IF(OR($B4150="",$B4150="(blank)"),"",VLOOKUP($B4150,'Email Marketing Raw Data'!$C:$O,11,0))),"")</f>
        <v/>
      </c>
      <c r="F4150" s="54" t="str">
        <f>IFERROR(IF(OR($B4150="",$B4150="(blank)"),"",VLOOKUP($B4150,'Email Marketing Raw Data'!$C:$O,13,0)),"")</f>
        <v/>
      </c>
      <c r="G4150" s="55" t="str">
        <f>IFERROR(IF(OR($B4150="",$B4150="(blank)"),"",VLOOKUP($B4150,'Email Marketing Raw Data'!$C:$O,4,0)),"")</f>
        <v/>
      </c>
      <c r="H4150" s="55" t="str">
        <f>IFERROR(IF(OR($B4150="",$B4150="(blank)"),"",VLOOKUP($B4150,'Email Marketing Raw Data'!$C:$O,5,0)),"")</f>
        <v/>
      </c>
      <c r="I4150" s="55" t="str">
        <f>IFERROR(IF($G4150="","",VLOOKUP('Dashboard And Emails Automate'!$G4150,Database!$H:$N,3,0)),"")</f>
        <v/>
      </c>
      <c r="J4150" s="55" t="str">
        <f>IFERROR(IF($G4150="","",VLOOKUP('Dashboard And Emails Automate'!$G4150,Database!$H:$N,4,0)),"")</f>
        <v/>
      </c>
      <c r="K4150" s="55" t="str">
        <f>IFERROR(IF($G4150="","",VLOOKUP('Dashboard And Emails Automate'!$G4150,Database!$H:$N,5,0)),"")</f>
        <v/>
      </c>
      <c r="L4150" s="55" t="str">
        <f>IFERROR(IF($G4150="","",VLOOKUP('Dashboard And Emails Automate'!$G4150,Database!$H:$N,6,0)),"")</f>
        <v/>
      </c>
      <c r="M4150" s="55" t="str">
        <f>IFERROR(IF($G4150="","",VLOOKUP('Dashboard And Emails Automate'!$G4150,Database!$H:$N,7,0)),"")</f>
        <v/>
      </c>
      <c r="N4150" s="55" t="str">
        <f>IFERROR(IF(OR($B4150="",$B4150="(blank)"),"",VLOOKUP($B4150,'Email Marketing Raw Data'!$C:$O,6,0)),"")</f>
        <v/>
      </c>
      <c r="O4150" s="55" t="str">
        <f>IFERROR(IF(OR($B4150="",$B4150="(blank)"),"",VLOOKUP($B4150,'Email Marketing Raw Data'!$C:$O,7,0)),"")</f>
        <v/>
      </c>
      <c r="P4150" s="55" t="str">
        <f>IFERROR(IF(OR($B4150="",$B4150="(blank)"),"",VLOOKUP($B4150,'Email Marketing Raw Data'!$C:$O,8,0)),"")</f>
        <v/>
      </c>
      <c r="Q4150" s="62" t="str">
        <f>IFERROR(IF(OR($B4150="",$B4150="(blank)"),"",VLOOKUP($B4150,'Email Marketing Raw Data'!$C:$O,9,0)),"")</f>
        <v/>
      </c>
    </row>
    <row r="4151" spans="4:17" ht="12.75" customHeight="1" x14ac:dyDescent="0.2">
      <c r="D4151" s="58" t="str">
        <f>IFERROR(IF(F4151&lt;&gt;"pending","",IF(OR($B4151="",$B4151="(blank)"),"",VLOOKUP($B4151,'Email Marketing Raw Data'!$C:$O,10,0))),"")</f>
        <v/>
      </c>
      <c r="E4151" s="59" t="str">
        <f>IFERROR(IF(F4151&lt;&gt;"pending","",IF(OR($B4151="",$B4151="(blank)"),"",VLOOKUP($B4151,'Email Marketing Raw Data'!$C:$O,11,0))),"")</f>
        <v/>
      </c>
      <c r="F4151" s="54" t="str">
        <f>IFERROR(IF(OR($B4151="",$B4151="(blank)"),"",VLOOKUP($B4151,'Email Marketing Raw Data'!$C:$O,13,0)),"")</f>
        <v/>
      </c>
      <c r="G4151" s="55" t="str">
        <f>IFERROR(IF(OR($B4151="",$B4151="(blank)"),"",VLOOKUP($B4151,'Email Marketing Raw Data'!$C:$O,4,0)),"")</f>
        <v/>
      </c>
      <c r="H4151" s="55" t="str">
        <f>IFERROR(IF(OR($B4151="",$B4151="(blank)"),"",VLOOKUP($B4151,'Email Marketing Raw Data'!$C:$O,5,0)),"")</f>
        <v/>
      </c>
      <c r="I4151" s="55" t="str">
        <f>IFERROR(IF($G4151="","",VLOOKUP('Dashboard And Emails Automate'!$G4151,Database!$H:$N,3,0)),"")</f>
        <v/>
      </c>
      <c r="J4151" s="55" t="str">
        <f>IFERROR(IF($G4151="","",VLOOKUP('Dashboard And Emails Automate'!$G4151,Database!$H:$N,4,0)),"")</f>
        <v/>
      </c>
      <c r="K4151" s="55" t="str">
        <f>IFERROR(IF($G4151="","",VLOOKUP('Dashboard And Emails Automate'!$G4151,Database!$H:$N,5,0)),"")</f>
        <v/>
      </c>
      <c r="L4151" s="55" t="str">
        <f>IFERROR(IF($G4151="","",VLOOKUP('Dashboard And Emails Automate'!$G4151,Database!$H:$N,6,0)),"")</f>
        <v/>
      </c>
      <c r="M4151" s="55" t="str">
        <f>IFERROR(IF($G4151="","",VLOOKUP('Dashboard And Emails Automate'!$G4151,Database!$H:$N,7,0)),"")</f>
        <v/>
      </c>
      <c r="N4151" s="55" t="str">
        <f>IFERROR(IF(OR($B4151="",$B4151="(blank)"),"",VLOOKUP($B4151,'Email Marketing Raw Data'!$C:$O,6,0)),"")</f>
        <v/>
      </c>
      <c r="O4151" s="55" t="str">
        <f>IFERROR(IF(OR($B4151="",$B4151="(blank)"),"",VLOOKUP($B4151,'Email Marketing Raw Data'!$C:$O,7,0)),"")</f>
        <v/>
      </c>
      <c r="P4151" s="55" t="str">
        <f>IFERROR(IF(OR($B4151="",$B4151="(blank)"),"",VLOOKUP($B4151,'Email Marketing Raw Data'!$C:$O,8,0)),"")</f>
        <v/>
      </c>
      <c r="Q4151" s="62" t="str">
        <f>IFERROR(IF(OR($B4151="",$B4151="(blank)"),"",VLOOKUP($B4151,'Email Marketing Raw Data'!$C:$O,9,0)),"")</f>
        <v/>
      </c>
    </row>
    <row r="4152" spans="4:17" ht="12.75" customHeight="1" x14ac:dyDescent="0.2">
      <c r="D4152" s="58" t="str">
        <f>IFERROR(IF(F4152&lt;&gt;"pending","",IF(OR($B4152="",$B4152="(blank)"),"",VLOOKUP($B4152,'Email Marketing Raw Data'!$C:$O,10,0))),"")</f>
        <v/>
      </c>
      <c r="E4152" s="59" t="str">
        <f>IFERROR(IF(F4152&lt;&gt;"pending","",IF(OR($B4152="",$B4152="(blank)"),"",VLOOKUP($B4152,'Email Marketing Raw Data'!$C:$O,11,0))),"")</f>
        <v/>
      </c>
      <c r="F4152" s="54" t="str">
        <f>IFERROR(IF(OR($B4152="",$B4152="(blank)"),"",VLOOKUP($B4152,'Email Marketing Raw Data'!$C:$O,13,0)),"")</f>
        <v/>
      </c>
      <c r="G4152" s="55" t="str">
        <f>IFERROR(IF(OR($B4152="",$B4152="(blank)"),"",VLOOKUP($B4152,'Email Marketing Raw Data'!$C:$O,4,0)),"")</f>
        <v/>
      </c>
      <c r="H4152" s="55" t="str">
        <f>IFERROR(IF(OR($B4152="",$B4152="(blank)"),"",VLOOKUP($B4152,'Email Marketing Raw Data'!$C:$O,5,0)),"")</f>
        <v/>
      </c>
      <c r="I4152" s="55" t="str">
        <f>IFERROR(IF($G4152="","",VLOOKUP('Dashboard And Emails Automate'!$G4152,Database!$H:$N,3,0)),"")</f>
        <v/>
      </c>
      <c r="J4152" s="55" t="str">
        <f>IFERROR(IF($G4152="","",VLOOKUP('Dashboard And Emails Automate'!$G4152,Database!$H:$N,4,0)),"")</f>
        <v/>
      </c>
      <c r="K4152" s="55" t="str">
        <f>IFERROR(IF($G4152="","",VLOOKUP('Dashboard And Emails Automate'!$G4152,Database!$H:$N,5,0)),"")</f>
        <v/>
      </c>
      <c r="L4152" s="55" t="str">
        <f>IFERROR(IF($G4152="","",VLOOKUP('Dashboard And Emails Automate'!$G4152,Database!$H:$N,6,0)),"")</f>
        <v/>
      </c>
      <c r="M4152" s="55" t="str">
        <f>IFERROR(IF($G4152="","",VLOOKUP('Dashboard And Emails Automate'!$G4152,Database!$H:$N,7,0)),"")</f>
        <v/>
      </c>
      <c r="N4152" s="55" t="str">
        <f>IFERROR(IF(OR($B4152="",$B4152="(blank)"),"",VLOOKUP($B4152,'Email Marketing Raw Data'!$C:$O,6,0)),"")</f>
        <v/>
      </c>
      <c r="O4152" s="55" t="str">
        <f>IFERROR(IF(OR($B4152="",$B4152="(blank)"),"",VLOOKUP($B4152,'Email Marketing Raw Data'!$C:$O,7,0)),"")</f>
        <v/>
      </c>
      <c r="P4152" s="55" t="str">
        <f>IFERROR(IF(OR($B4152="",$B4152="(blank)"),"",VLOOKUP($B4152,'Email Marketing Raw Data'!$C:$O,8,0)),"")</f>
        <v/>
      </c>
      <c r="Q4152" s="62" t="str">
        <f>IFERROR(IF(OR($B4152="",$B4152="(blank)"),"",VLOOKUP($B4152,'Email Marketing Raw Data'!$C:$O,9,0)),"")</f>
        <v/>
      </c>
    </row>
    <row r="4153" spans="4:17" ht="12.75" customHeight="1" x14ac:dyDescent="0.2">
      <c r="D4153" s="58" t="str">
        <f>IFERROR(IF(F4153&lt;&gt;"pending","",IF(OR($B4153="",$B4153="(blank)"),"",VLOOKUP($B4153,'Email Marketing Raw Data'!$C:$O,10,0))),"")</f>
        <v/>
      </c>
      <c r="E4153" s="59" t="str">
        <f>IFERROR(IF(F4153&lt;&gt;"pending","",IF(OR($B4153="",$B4153="(blank)"),"",VLOOKUP($B4153,'Email Marketing Raw Data'!$C:$O,11,0))),"")</f>
        <v/>
      </c>
      <c r="F4153" s="54" t="str">
        <f>IFERROR(IF(OR($B4153="",$B4153="(blank)"),"",VLOOKUP($B4153,'Email Marketing Raw Data'!$C:$O,13,0)),"")</f>
        <v/>
      </c>
      <c r="G4153" s="55" t="str">
        <f>IFERROR(IF(OR($B4153="",$B4153="(blank)"),"",VLOOKUP($B4153,'Email Marketing Raw Data'!$C:$O,4,0)),"")</f>
        <v/>
      </c>
      <c r="H4153" s="55" t="str">
        <f>IFERROR(IF(OR($B4153="",$B4153="(blank)"),"",VLOOKUP($B4153,'Email Marketing Raw Data'!$C:$O,5,0)),"")</f>
        <v/>
      </c>
      <c r="I4153" s="55" t="str">
        <f>IFERROR(IF($G4153="","",VLOOKUP('Dashboard And Emails Automate'!$G4153,Database!$H:$N,3,0)),"")</f>
        <v/>
      </c>
      <c r="J4153" s="55" t="str">
        <f>IFERROR(IF($G4153="","",VLOOKUP('Dashboard And Emails Automate'!$G4153,Database!$H:$N,4,0)),"")</f>
        <v/>
      </c>
      <c r="K4153" s="55" t="str">
        <f>IFERROR(IF($G4153="","",VLOOKUP('Dashboard And Emails Automate'!$G4153,Database!$H:$N,5,0)),"")</f>
        <v/>
      </c>
      <c r="L4153" s="55" t="str">
        <f>IFERROR(IF($G4153="","",VLOOKUP('Dashboard And Emails Automate'!$G4153,Database!$H:$N,6,0)),"")</f>
        <v/>
      </c>
      <c r="M4153" s="55" t="str">
        <f>IFERROR(IF($G4153="","",VLOOKUP('Dashboard And Emails Automate'!$G4153,Database!$H:$N,7,0)),"")</f>
        <v/>
      </c>
      <c r="N4153" s="55" t="str">
        <f>IFERROR(IF(OR($B4153="",$B4153="(blank)"),"",VLOOKUP($B4153,'Email Marketing Raw Data'!$C:$O,6,0)),"")</f>
        <v/>
      </c>
      <c r="O4153" s="55" t="str">
        <f>IFERROR(IF(OR($B4153="",$B4153="(blank)"),"",VLOOKUP($B4153,'Email Marketing Raw Data'!$C:$O,7,0)),"")</f>
        <v/>
      </c>
      <c r="P4153" s="55" t="str">
        <f>IFERROR(IF(OR($B4153="",$B4153="(blank)"),"",VLOOKUP($B4153,'Email Marketing Raw Data'!$C:$O,8,0)),"")</f>
        <v/>
      </c>
      <c r="Q4153" s="62" t="str">
        <f>IFERROR(IF(OR($B4153="",$B4153="(blank)"),"",VLOOKUP($B4153,'Email Marketing Raw Data'!$C:$O,9,0)),"")</f>
        <v/>
      </c>
    </row>
    <row r="4154" spans="4:17" ht="12.75" customHeight="1" x14ac:dyDescent="0.2">
      <c r="D4154" s="58" t="str">
        <f>IFERROR(IF(F4154&lt;&gt;"pending","",IF(OR($B4154="",$B4154="(blank)"),"",VLOOKUP($B4154,'Email Marketing Raw Data'!$C:$O,10,0))),"")</f>
        <v/>
      </c>
      <c r="E4154" s="59" t="str">
        <f>IFERROR(IF(F4154&lt;&gt;"pending","",IF(OR($B4154="",$B4154="(blank)"),"",VLOOKUP($B4154,'Email Marketing Raw Data'!$C:$O,11,0))),"")</f>
        <v/>
      </c>
      <c r="F4154" s="54" t="str">
        <f>IFERROR(IF(OR($B4154="",$B4154="(blank)"),"",VLOOKUP($B4154,'Email Marketing Raw Data'!$C:$O,13,0)),"")</f>
        <v/>
      </c>
      <c r="G4154" s="55" t="str">
        <f>IFERROR(IF(OR($B4154="",$B4154="(blank)"),"",VLOOKUP($B4154,'Email Marketing Raw Data'!$C:$O,4,0)),"")</f>
        <v/>
      </c>
      <c r="H4154" s="55" t="str">
        <f>IFERROR(IF(OR($B4154="",$B4154="(blank)"),"",VLOOKUP($B4154,'Email Marketing Raw Data'!$C:$O,5,0)),"")</f>
        <v/>
      </c>
      <c r="I4154" s="55" t="str">
        <f>IFERROR(IF($G4154="","",VLOOKUP('Dashboard And Emails Automate'!$G4154,Database!$H:$N,3,0)),"")</f>
        <v/>
      </c>
      <c r="J4154" s="55" t="str">
        <f>IFERROR(IF($G4154="","",VLOOKUP('Dashboard And Emails Automate'!$G4154,Database!$H:$N,4,0)),"")</f>
        <v/>
      </c>
      <c r="K4154" s="55" t="str">
        <f>IFERROR(IF($G4154="","",VLOOKUP('Dashboard And Emails Automate'!$G4154,Database!$H:$N,5,0)),"")</f>
        <v/>
      </c>
      <c r="L4154" s="55" t="str">
        <f>IFERROR(IF($G4154="","",VLOOKUP('Dashboard And Emails Automate'!$G4154,Database!$H:$N,6,0)),"")</f>
        <v/>
      </c>
      <c r="M4154" s="55" t="str">
        <f>IFERROR(IF($G4154="","",VLOOKUP('Dashboard And Emails Automate'!$G4154,Database!$H:$N,7,0)),"")</f>
        <v/>
      </c>
      <c r="N4154" s="55" t="str">
        <f>IFERROR(IF(OR($B4154="",$B4154="(blank)"),"",VLOOKUP($B4154,'Email Marketing Raw Data'!$C:$O,6,0)),"")</f>
        <v/>
      </c>
      <c r="O4154" s="55" t="str">
        <f>IFERROR(IF(OR($B4154="",$B4154="(blank)"),"",VLOOKUP($B4154,'Email Marketing Raw Data'!$C:$O,7,0)),"")</f>
        <v/>
      </c>
      <c r="P4154" s="55" t="str">
        <f>IFERROR(IF(OR($B4154="",$B4154="(blank)"),"",VLOOKUP($B4154,'Email Marketing Raw Data'!$C:$O,8,0)),"")</f>
        <v/>
      </c>
      <c r="Q4154" s="62" t="str">
        <f>IFERROR(IF(OR($B4154="",$B4154="(blank)"),"",VLOOKUP($B4154,'Email Marketing Raw Data'!$C:$O,9,0)),"")</f>
        <v/>
      </c>
    </row>
    <row r="4155" spans="4:17" ht="12.75" customHeight="1" x14ac:dyDescent="0.2">
      <c r="D4155" s="58" t="str">
        <f>IFERROR(IF(F4155&lt;&gt;"pending","",IF(OR($B4155="",$B4155="(blank)"),"",VLOOKUP($B4155,'Email Marketing Raw Data'!$C:$O,10,0))),"")</f>
        <v/>
      </c>
      <c r="E4155" s="59" t="str">
        <f>IFERROR(IF(F4155&lt;&gt;"pending","",IF(OR($B4155="",$B4155="(blank)"),"",VLOOKUP($B4155,'Email Marketing Raw Data'!$C:$O,11,0))),"")</f>
        <v/>
      </c>
      <c r="F4155" s="54" t="str">
        <f>IFERROR(IF(OR($B4155="",$B4155="(blank)"),"",VLOOKUP($B4155,'Email Marketing Raw Data'!$C:$O,13,0)),"")</f>
        <v/>
      </c>
      <c r="G4155" s="55" t="str">
        <f>IFERROR(IF(OR($B4155="",$B4155="(blank)"),"",VLOOKUP($B4155,'Email Marketing Raw Data'!$C:$O,4,0)),"")</f>
        <v/>
      </c>
      <c r="H4155" s="55" t="str">
        <f>IFERROR(IF(OR($B4155="",$B4155="(blank)"),"",VLOOKUP($B4155,'Email Marketing Raw Data'!$C:$O,5,0)),"")</f>
        <v/>
      </c>
      <c r="I4155" s="55" t="str">
        <f>IFERROR(IF($G4155="","",VLOOKUP('Dashboard And Emails Automate'!$G4155,Database!$H:$N,3,0)),"")</f>
        <v/>
      </c>
      <c r="J4155" s="55" t="str">
        <f>IFERROR(IF($G4155="","",VLOOKUP('Dashboard And Emails Automate'!$G4155,Database!$H:$N,4,0)),"")</f>
        <v/>
      </c>
      <c r="K4155" s="55" t="str">
        <f>IFERROR(IF($G4155="","",VLOOKUP('Dashboard And Emails Automate'!$G4155,Database!$H:$N,5,0)),"")</f>
        <v/>
      </c>
      <c r="L4155" s="55" t="str">
        <f>IFERROR(IF($G4155="","",VLOOKUP('Dashboard And Emails Automate'!$G4155,Database!$H:$N,6,0)),"")</f>
        <v/>
      </c>
      <c r="M4155" s="55" t="str">
        <f>IFERROR(IF($G4155="","",VLOOKUP('Dashboard And Emails Automate'!$G4155,Database!$H:$N,7,0)),"")</f>
        <v/>
      </c>
      <c r="N4155" s="55" t="str">
        <f>IFERROR(IF(OR($B4155="",$B4155="(blank)"),"",VLOOKUP($B4155,'Email Marketing Raw Data'!$C:$O,6,0)),"")</f>
        <v/>
      </c>
      <c r="O4155" s="55" t="str">
        <f>IFERROR(IF(OR($B4155="",$B4155="(blank)"),"",VLOOKUP($B4155,'Email Marketing Raw Data'!$C:$O,7,0)),"")</f>
        <v/>
      </c>
      <c r="P4155" s="55" t="str">
        <f>IFERROR(IF(OR($B4155="",$B4155="(blank)"),"",VLOOKUP($B4155,'Email Marketing Raw Data'!$C:$O,8,0)),"")</f>
        <v/>
      </c>
      <c r="Q4155" s="62" t="str">
        <f>IFERROR(IF(OR($B4155="",$B4155="(blank)"),"",VLOOKUP($B4155,'Email Marketing Raw Data'!$C:$O,9,0)),"")</f>
        <v/>
      </c>
    </row>
    <row r="4156" spans="4:17" ht="12.75" customHeight="1" x14ac:dyDescent="0.2">
      <c r="D4156" s="58" t="str">
        <f>IFERROR(IF(F4156&lt;&gt;"pending","",IF(OR($B4156="",$B4156="(blank)"),"",VLOOKUP($B4156,'Email Marketing Raw Data'!$C:$O,10,0))),"")</f>
        <v/>
      </c>
      <c r="E4156" s="59" t="str">
        <f>IFERROR(IF(F4156&lt;&gt;"pending","",IF(OR($B4156="",$B4156="(blank)"),"",VLOOKUP($B4156,'Email Marketing Raw Data'!$C:$O,11,0))),"")</f>
        <v/>
      </c>
      <c r="F4156" s="54" t="str">
        <f>IFERROR(IF(OR($B4156="",$B4156="(blank)"),"",VLOOKUP($B4156,'Email Marketing Raw Data'!$C:$O,13,0)),"")</f>
        <v/>
      </c>
      <c r="G4156" s="55" t="str">
        <f>IFERROR(IF(OR($B4156="",$B4156="(blank)"),"",VLOOKUP($B4156,'Email Marketing Raw Data'!$C:$O,4,0)),"")</f>
        <v/>
      </c>
      <c r="H4156" s="55" t="str">
        <f>IFERROR(IF(OR($B4156="",$B4156="(blank)"),"",VLOOKUP($B4156,'Email Marketing Raw Data'!$C:$O,5,0)),"")</f>
        <v/>
      </c>
      <c r="I4156" s="55" t="str">
        <f>IFERROR(IF($G4156="","",VLOOKUP('Dashboard And Emails Automate'!$G4156,Database!$H:$N,3,0)),"")</f>
        <v/>
      </c>
      <c r="J4156" s="55" t="str">
        <f>IFERROR(IF($G4156="","",VLOOKUP('Dashboard And Emails Automate'!$G4156,Database!$H:$N,4,0)),"")</f>
        <v/>
      </c>
      <c r="K4156" s="55" t="str">
        <f>IFERROR(IF($G4156="","",VLOOKUP('Dashboard And Emails Automate'!$G4156,Database!$H:$N,5,0)),"")</f>
        <v/>
      </c>
      <c r="L4156" s="55" t="str">
        <f>IFERROR(IF($G4156="","",VLOOKUP('Dashboard And Emails Automate'!$G4156,Database!$H:$N,6,0)),"")</f>
        <v/>
      </c>
      <c r="M4156" s="55" t="str">
        <f>IFERROR(IF($G4156="","",VLOOKUP('Dashboard And Emails Automate'!$G4156,Database!$H:$N,7,0)),"")</f>
        <v/>
      </c>
      <c r="N4156" s="55" t="str">
        <f>IFERROR(IF(OR($B4156="",$B4156="(blank)"),"",VLOOKUP($B4156,'Email Marketing Raw Data'!$C:$O,6,0)),"")</f>
        <v/>
      </c>
      <c r="O4156" s="55" t="str">
        <f>IFERROR(IF(OR($B4156="",$B4156="(blank)"),"",VLOOKUP($B4156,'Email Marketing Raw Data'!$C:$O,7,0)),"")</f>
        <v/>
      </c>
      <c r="P4156" s="55" t="str">
        <f>IFERROR(IF(OR($B4156="",$B4156="(blank)"),"",VLOOKUP($B4156,'Email Marketing Raw Data'!$C:$O,8,0)),"")</f>
        <v/>
      </c>
      <c r="Q4156" s="62" t="str">
        <f>IFERROR(IF(OR($B4156="",$B4156="(blank)"),"",VLOOKUP($B4156,'Email Marketing Raw Data'!$C:$O,9,0)),"")</f>
        <v/>
      </c>
    </row>
    <row r="4157" spans="4:17" ht="12.75" customHeight="1" x14ac:dyDescent="0.2">
      <c r="D4157" s="58" t="str">
        <f>IFERROR(IF(F4157&lt;&gt;"pending","",IF(OR($B4157="",$B4157="(blank)"),"",VLOOKUP($B4157,'Email Marketing Raw Data'!$C:$O,10,0))),"")</f>
        <v/>
      </c>
      <c r="E4157" s="59" t="str">
        <f>IFERROR(IF(F4157&lt;&gt;"pending","",IF(OR($B4157="",$B4157="(blank)"),"",VLOOKUP($B4157,'Email Marketing Raw Data'!$C:$O,11,0))),"")</f>
        <v/>
      </c>
      <c r="F4157" s="54" t="str">
        <f>IFERROR(IF(OR($B4157="",$B4157="(blank)"),"",VLOOKUP($B4157,'Email Marketing Raw Data'!$C:$O,13,0)),"")</f>
        <v/>
      </c>
      <c r="G4157" s="55" t="str">
        <f>IFERROR(IF(OR($B4157="",$B4157="(blank)"),"",VLOOKUP($B4157,'Email Marketing Raw Data'!$C:$O,4,0)),"")</f>
        <v/>
      </c>
      <c r="H4157" s="55" t="str">
        <f>IFERROR(IF(OR($B4157="",$B4157="(blank)"),"",VLOOKUP($B4157,'Email Marketing Raw Data'!$C:$O,5,0)),"")</f>
        <v/>
      </c>
      <c r="I4157" s="55" t="str">
        <f>IFERROR(IF($G4157="","",VLOOKUP('Dashboard And Emails Automate'!$G4157,Database!$H:$N,3,0)),"")</f>
        <v/>
      </c>
      <c r="J4157" s="55" t="str">
        <f>IFERROR(IF($G4157="","",VLOOKUP('Dashboard And Emails Automate'!$G4157,Database!$H:$N,4,0)),"")</f>
        <v/>
      </c>
      <c r="K4157" s="55" t="str">
        <f>IFERROR(IF($G4157="","",VLOOKUP('Dashboard And Emails Automate'!$G4157,Database!$H:$N,5,0)),"")</f>
        <v/>
      </c>
      <c r="L4157" s="55" t="str">
        <f>IFERROR(IF($G4157="","",VLOOKUP('Dashboard And Emails Automate'!$G4157,Database!$H:$N,6,0)),"")</f>
        <v/>
      </c>
      <c r="M4157" s="55" t="str">
        <f>IFERROR(IF($G4157="","",VLOOKUP('Dashboard And Emails Automate'!$G4157,Database!$H:$N,7,0)),"")</f>
        <v/>
      </c>
      <c r="N4157" s="55" t="str">
        <f>IFERROR(IF(OR($B4157="",$B4157="(blank)"),"",VLOOKUP($B4157,'Email Marketing Raw Data'!$C:$O,6,0)),"")</f>
        <v/>
      </c>
      <c r="O4157" s="55" t="str">
        <f>IFERROR(IF(OR($B4157="",$B4157="(blank)"),"",VLOOKUP($B4157,'Email Marketing Raw Data'!$C:$O,7,0)),"")</f>
        <v/>
      </c>
      <c r="P4157" s="55" t="str">
        <f>IFERROR(IF(OR($B4157="",$B4157="(blank)"),"",VLOOKUP($B4157,'Email Marketing Raw Data'!$C:$O,8,0)),"")</f>
        <v/>
      </c>
      <c r="Q4157" s="62" t="str">
        <f>IFERROR(IF(OR($B4157="",$B4157="(blank)"),"",VLOOKUP($B4157,'Email Marketing Raw Data'!$C:$O,9,0)),"")</f>
        <v/>
      </c>
    </row>
    <row r="4158" spans="4:17" ht="12.75" customHeight="1" x14ac:dyDescent="0.2">
      <c r="D4158" s="58" t="str">
        <f>IFERROR(IF(F4158&lt;&gt;"pending","",IF(OR($B4158="",$B4158="(blank)"),"",VLOOKUP($B4158,'Email Marketing Raw Data'!$C:$O,10,0))),"")</f>
        <v/>
      </c>
      <c r="E4158" s="59" t="str">
        <f>IFERROR(IF(F4158&lt;&gt;"pending","",IF(OR($B4158="",$B4158="(blank)"),"",VLOOKUP($B4158,'Email Marketing Raw Data'!$C:$O,11,0))),"")</f>
        <v/>
      </c>
      <c r="F4158" s="54" t="str">
        <f>IFERROR(IF(OR($B4158="",$B4158="(blank)"),"",VLOOKUP($B4158,'Email Marketing Raw Data'!$C:$O,13,0)),"")</f>
        <v/>
      </c>
      <c r="G4158" s="55" t="str">
        <f>IFERROR(IF(OR($B4158="",$B4158="(blank)"),"",VLOOKUP($B4158,'Email Marketing Raw Data'!$C:$O,4,0)),"")</f>
        <v/>
      </c>
      <c r="H4158" s="55" t="str">
        <f>IFERROR(IF(OR($B4158="",$B4158="(blank)"),"",VLOOKUP($B4158,'Email Marketing Raw Data'!$C:$O,5,0)),"")</f>
        <v/>
      </c>
      <c r="I4158" s="55" t="str">
        <f>IFERROR(IF($G4158="","",VLOOKUP('Dashboard And Emails Automate'!$G4158,Database!$H:$N,3,0)),"")</f>
        <v/>
      </c>
      <c r="J4158" s="55" t="str">
        <f>IFERROR(IF($G4158="","",VLOOKUP('Dashboard And Emails Automate'!$G4158,Database!$H:$N,4,0)),"")</f>
        <v/>
      </c>
      <c r="K4158" s="55" t="str">
        <f>IFERROR(IF($G4158="","",VLOOKUP('Dashboard And Emails Automate'!$G4158,Database!$H:$N,5,0)),"")</f>
        <v/>
      </c>
      <c r="L4158" s="55" t="str">
        <f>IFERROR(IF($G4158="","",VLOOKUP('Dashboard And Emails Automate'!$G4158,Database!$H:$N,6,0)),"")</f>
        <v/>
      </c>
      <c r="M4158" s="55" t="str">
        <f>IFERROR(IF($G4158="","",VLOOKUP('Dashboard And Emails Automate'!$G4158,Database!$H:$N,7,0)),"")</f>
        <v/>
      </c>
      <c r="N4158" s="55" t="str">
        <f>IFERROR(IF(OR($B4158="",$B4158="(blank)"),"",VLOOKUP($B4158,'Email Marketing Raw Data'!$C:$O,6,0)),"")</f>
        <v/>
      </c>
      <c r="O4158" s="55" t="str">
        <f>IFERROR(IF(OR($B4158="",$B4158="(blank)"),"",VLOOKUP($B4158,'Email Marketing Raw Data'!$C:$O,7,0)),"")</f>
        <v/>
      </c>
      <c r="P4158" s="55" t="str">
        <f>IFERROR(IF(OR($B4158="",$B4158="(blank)"),"",VLOOKUP($B4158,'Email Marketing Raw Data'!$C:$O,8,0)),"")</f>
        <v/>
      </c>
      <c r="Q4158" s="62" t="str">
        <f>IFERROR(IF(OR($B4158="",$B4158="(blank)"),"",VLOOKUP($B4158,'Email Marketing Raw Data'!$C:$O,9,0)),"")</f>
        <v/>
      </c>
    </row>
    <row r="4159" spans="4:17" ht="12.75" customHeight="1" x14ac:dyDescent="0.2">
      <c r="D4159" s="58" t="str">
        <f>IFERROR(IF(F4159&lt;&gt;"pending","",IF(OR($B4159="",$B4159="(blank)"),"",VLOOKUP($B4159,'Email Marketing Raw Data'!$C:$O,10,0))),"")</f>
        <v/>
      </c>
      <c r="E4159" s="59" t="str">
        <f>IFERROR(IF(F4159&lt;&gt;"pending","",IF(OR($B4159="",$B4159="(blank)"),"",VLOOKUP($B4159,'Email Marketing Raw Data'!$C:$O,11,0))),"")</f>
        <v/>
      </c>
      <c r="F4159" s="54" t="str">
        <f>IFERROR(IF(OR($B4159="",$B4159="(blank)"),"",VLOOKUP($B4159,'Email Marketing Raw Data'!$C:$O,13,0)),"")</f>
        <v/>
      </c>
      <c r="G4159" s="55" t="str">
        <f>IFERROR(IF(OR($B4159="",$B4159="(blank)"),"",VLOOKUP($B4159,'Email Marketing Raw Data'!$C:$O,4,0)),"")</f>
        <v/>
      </c>
      <c r="H4159" s="55" t="str">
        <f>IFERROR(IF(OR($B4159="",$B4159="(blank)"),"",VLOOKUP($B4159,'Email Marketing Raw Data'!$C:$O,5,0)),"")</f>
        <v/>
      </c>
      <c r="I4159" s="55" t="str">
        <f>IFERROR(IF($G4159="","",VLOOKUP('Dashboard And Emails Automate'!$G4159,Database!$H:$N,3,0)),"")</f>
        <v/>
      </c>
      <c r="J4159" s="55" t="str">
        <f>IFERROR(IF($G4159="","",VLOOKUP('Dashboard And Emails Automate'!$G4159,Database!$H:$N,4,0)),"")</f>
        <v/>
      </c>
      <c r="K4159" s="55" t="str">
        <f>IFERROR(IF($G4159="","",VLOOKUP('Dashboard And Emails Automate'!$G4159,Database!$H:$N,5,0)),"")</f>
        <v/>
      </c>
      <c r="L4159" s="55" t="str">
        <f>IFERROR(IF($G4159="","",VLOOKUP('Dashboard And Emails Automate'!$G4159,Database!$H:$N,6,0)),"")</f>
        <v/>
      </c>
      <c r="M4159" s="55" t="str">
        <f>IFERROR(IF($G4159="","",VLOOKUP('Dashboard And Emails Automate'!$G4159,Database!$H:$N,7,0)),"")</f>
        <v/>
      </c>
      <c r="N4159" s="55" t="str">
        <f>IFERROR(IF(OR($B4159="",$B4159="(blank)"),"",VLOOKUP($B4159,'Email Marketing Raw Data'!$C:$O,6,0)),"")</f>
        <v/>
      </c>
      <c r="O4159" s="55" t="str">
        <f>IFERROR(IF(OR($B4159="",$B4159="(blank)"),"",VLOOKUP($B4159,'Email Marketing Raw Data'!$C:$O,7,0)),"")</f>
        <v/>
      </c>
      <c r="P4159" s="55" t="str">
        <f>IFERROR(IF(OR($B4159="",$B4159="(blank)"),"",VLOOKUP($B4159,'Email Marketing Raw Data'!$C:$O,8,0)),"")</f>
        <v/>
      </c>
      <c r="Q4159" s="62" t="str">
        <f>IFERROR(IF(OR($B4159="",$B4159="(blank)"),"",VLOOKUP($B4159,'Email Marketing Raw Data'!$C:$O,9,0)),"")</f>
        <v/>
      </c>
    </row>
    <row r="4160" spans="4:17" ht="12.75" customHeight="1" x14ac:dyDescent="0.2">
      <c r="D4160" s="58" t="str">
        <f>IFERROR(IF(F4160&lt;&gt;"pending","",IF(OR($B4160="",$B4160="(blank)"),"",VLOOKUP($B4160,'Email Marketing Raw Data'!$C:$O,10,0))),"")</f>
        <v/>
      </c>
      <c r="E4160" s="59" t="str">
        <f>IFERROR(IF(F4160&lt;&gt;"pending","",IF(OR($B4160="",$B4160="(blank)"),"",VLOOKUP($B4160,'Email Marketing Raw Data'!$C:$O,11,0))),"")</f>
        <v/>
      </c>
      <c r="F4160" s="54" t="str">
        <f>IFERROR(IF(OR($B4160="",$B4160="(blank)"),"",VLOOKUP($B4160,'Email Marketing Raw Data'!$C:$O,13,0)),"")</f>
        <v/>
      </c>
      <c r="G4160" s="55" t="str">
        <f>IFERROR(IF(OR($B4160="",$B4160="(blank)"),"",VLOOKUP($B4160,'Email Marketing Raw Data'!$C:$O,4,0)),"")</f>
        <v/>
      </c>
      <c r="H4160" s="55" t="str">
        <f>IFERROR(IF(OR($B4160="",$B4160="(blank)"),"",VLOOKUP($B4160,'Email Marketing Raw Data'!$C:$O,5,0)),"")</f>
        <v/>
      </c>
      <c r="I4160" s="55" t="str">
        <f>IFERROR(IF($G4160="","",VLOOKUP('Dashboard And Emails Automate'!$G4160,Database!$H:$N,3,0)),"")</f>
        <v/>
      </c>
      <c r="J4160" s="55" t="str">
        <f>IFERROR(IF($G4160="","",VLOOKUP('Dashboard And Emails Automate'!$G4160,Database!$H:$N,4,0)),"")</f>
        <v/>
      </c>
      <c r="K4160" s="55" t="str">
        <f>IFERROR(IF($G4160="","",VLOOKUP('Dashboard And Emails Automate'!$G4160,Database!$H:$N,5,0)),"")</f>
        <v/>
      </c>
      <c r="L4160" s="55" t="str">
        <f>IFERROR(IF($G4160="","",VLOOKUP('Dashboard And Emails Automate'!$G4160,Database!$H:$N,6,0)),"")</f>
        <v/>
      </c>
      <c r="M4160" s="55" t="str">
        <f>IFERROR(IF($G4160="","",VLOOKUP('Dashboard And Emails Automate'!$G4160,Database!$H:$N,7,0)),"")</f>
        <v/>
      </c>
      <c r="N4160" s="55" t="str">
        <f>IFERROR(IF(OR($B4160="",$B4160="(blank)"),"",VLOOKUP($B4160,'Email Marketing Raw Data'!$C:$O,6,0)),"")</f>
        <v/>
      </c>
      <c r="O4160" s="55" t="str">
        <f>IFERROR(IF(OR($B4160="",$B4160="(blank)"),"",VLOOKUP($B4160,'Email Marketing Raw Data'!$C:$O,7,0)),"")</f>
        <v/>
      </c>
      <c r="P4160" s="55" t="str">
        <f>IFERROR(IF(OR($B4160="",$B4160="(blank)"),"",VLOOKUP($B4160,'Email Marketing Raw Data'!$C:$O,8,0)),"")</f>
        <v/>
      </c>
      <c r="Q4160" s="62" t="str">
        <f>IFERROR(IF(OR($B4160="",$B4160="(blank)"),"",VLOOKUP($B4160,'Email Marketing Raw Data'!$C:$O,9,0)),"")</f>
        <v/>
      </c>
    </row>
    <row r="4161" spans="4:17" ht="12.75" customHeight="1" x14ac:dyDescent="0.2">
      <c r="D4161" s="58" t="str">
        <f>IFERROR(IF(F4161&lt;&gt;"pending","",IF(OR($B4161="",$B4161="(blank)"),"",VLOOKUP($B4161,'Email Marketing Raw Data'!$C:$O,10,0))),"")</f>
        <v/>
      </c>
      <c r="E4161" s="59" t="str">
        <f>IFERROR(IF(F4161&lt;&gt;"pending","",IF(OR($B4161="",$B4161="(blank)"),"",VLOOKUP($B4161,'Email Marketing Raw Data'!$C:$O,11,0))),"")</f>
        <v/>
      </c>
      <c r="F4161" s="54" t="str">
        <f>IFERROR(IF(OR($B4161="",$B4161="(blank)"),"",VLOOKUP($B4161,'Email Marketing Raw Data'!$C:$O,13,0)),"")</f>
        <v/>
      </c>
      <c r="G4161" s="55" t="str">
        <f>IFERROR(IF(OR($B4161="",$B4161="(blank)"),"",VLOOKUP($B4161,'Email Marketing Raw Data'!$C:$O,4,0)),"")</f>
        <v/>
      </c>
      <c r="H4161" s="55" t="str">
        <f>IFERROR(IF(OR($B4161="",$B4161="(blank)"),"",VLOOKUP($B4161,'Email Marketing Raw Data'!$C:$O,5,0)),"")</f>
        <v/>
      </c>
      <c r="I4161" s="55" t="str">
        <f>IFERROR(IF($G4161="","",VLOOKUP('Dashboard And Emails Automate'!$G4161,Database!$H:$N,3,0)),"")</f>
        <v/>
      </c>
      <c r="J4161" s="55" t="str">
        <f>IFERROR(IF($G4161="","",VLOOKUP('Dashboard And Emails Automate'!$G4161,Database!$H:$N,4,0)),"")</f>
        <v/>
      </c>
      <c r="K4161" s="55" t="str">
        <f>IFERROR(IF($G4161="","",VLOOKUP('Dashboard And Emails Automate'!$G4161,Database!$H:$N,5,0)),"")</f>
        <v/>
      </c>
      <c r="L4161" s="55" t="str">
        <f>IFERROR(IF($G4161="","",VLOOKUP('Dashboard And Emails Automate'!$G4161,Database!$H:$N,6,0)),"")</f>
        <v/>
      </c>
      <c r="M4161" s="55" t="str">
        <f>IFERROR(IF($G4161="","",VLOOKUP('Dashboard And Emails Automate'!$G4161,Database!$H:$N,7,0)),"")</f>
        <v/>
      </c>
      <c r="N4161" s="55" t="str">
        <f>IFERROR(IF(OR($B4161="",$B4161="(blank)"),"",VLOOKUP($B4161,'Email Marketing Raw Data'!$C:$O,6,0)),"")</f>
        <v/>
      </c>
      <c r="O4161" s="55" t="str">
        <f>IFERROR(IF(OR($B4161="",$B4161="(blank)"),"",VLOOKUP($B4161,'Email Marketing Raw Data'!$C:$O,7,0)),"")</f>
        <v/>
      </c>
      <c r="P4161" s="55" t="str">
        <f>IFERROR(IF(OR($B4161="",$B4161="(blank)"),"",VLOOKUP($B4161,'Email Marketing Raw Data'!$C:$O,8,0)),"")</f>
        <v/>
      </c>
      <c r="Q4161" s="62" t="str">
        <f>IFERROR(IF(OR($B4161="",$B4161="(blank)"),"",VLOOKUP($B4161,'Email Marketing Raw Data'!$C:$O,9,0)),"")</f>
        <v/>
      </c>
    </row>
    <row r="4162" spans="4:17" ht="12.75" customHeight="1" x14ac:dyDescent="0.2">
      <c r="D4162" s="58" t="str">
        <f>IFERROR(IF(F4162&lt;&gt;"pending","",IF(OR($B4162="",$B4162="(blank)"),"",VLOOKUP($B4162,'Email Marketing Raw Data'!$C:$O,10,0))),"")</f>
        <v/>
      </c>
      <c r="E4162" s="59" t="str">
        <f>IFERROR(IF(F4162&lt;&gt;"pending","",IF(OR($B4162="",$B4162="(blank)"),"",VLOOKUP($B4162,'Email Marketing Raw Data'!$C:$O,11,0))),"")</f>
        <v/>
      </c>
      <c r="F4162" s="54" t="str">
        <f>IFERROR(IF(OR($B4162="",$B4162="(blank)"),"",VLOOKUP($B4162,'Email Marketing Raw Data'!$C:$O,13,0)),"")</f>
        <v/>
      </c>
      <c r="G4162" s="55" t="str">
        <f>IFERROR(IF(OR($B4162="",$B4162="(blank)"),"",VLOOKUP($B4162,'Email Marketing Raw Data'!$C:$O,4,0)),"")</f>
        <v/>
      </c>
      <c r="H4162" s="55" t="str">
        <f>IFERROR(IF(OR($B4162="",$B4162="(blank)"),"",VLOOKUP($B4162,'Email Marketing Raw Data'!$C:$O,5,0)),"")</f>
        <v/>
      </c>
      <c r="I4162" s="55" t="str">
        <f>IFERROR(IF($G4162="","",VLOOKUP('Dashboard And Emails Automate'!$G4162,Database!$H:$N,3,0)),"")</f>
        <v/>
      </c>
      <c r="J4162" s="55" t="str">
        <f>IFERROR(IF($G4162="","",VLOOKUP('Dashboard And Emails Automate'!$G4162,Database!$H:$N,4,0)),"")</f>
        <v/>
      </c>
      <c r="K4162" s="55" t="str">
        <f>IFERROR(IF($G4162="","",VLOOKUP('Dashboard And Emails Automate'!$G4162,Database!$H:$N,5,0)),"")</f>
        <v/>
      </c>
      <c r="L4162" s="55" t="str">
        <f>IFERROR(IF($G4162="","",VLOOKUP('Dashboard And Emails Automate'!$G4162,Database!$H:$N,6,0)),"")</f>
        <v/>
      </c>
      <c r="M4162" s="55" t="str">
        <f>IFERROR(IF($G4162="","",VLOOKUP('Dashboard And Emails Automate'!$G4162,Database!$H:$N,7,0)),"")</f>
        <v/>
      </c>
      <c r="N4162" s="55" t="str">
        <f>IFERROR(IF(OR($B4162="",$B4162="(blank)"),"",VLOOKUP($B4162,'Email Marketing Raw Data'!$C:$O,6,0)),"")</f>
        <v/>
      </c>
      <c r="O4162" s="55" t="str">
        <f>IFERROR(IF(OR($B4162="",$B4162="(blank)"),"",VLOOKUP($B4162,'Email Marketing Raw Data'!$C:$O,7,0)),"")</f>
        <v/>
      </c>
      <c r="P4162" s="55" t="str">
        <f>IFERROR(IF(OR($B4162="",$B4162="(blank)"),"",VLOOKUP($B4162,'Email Marketing Raw Data'!$C:$O,8,0)),"")</f>
        <v/>
      </c>
      <c r="Q4162" s="62" t="str">
        <f>IFERROR(IF(OR($B4162="",$B4162="(blank)"),"",VLOOKUP($B4162,'Email Marketing Raw Data'!$C:$O,9,0)),"")</f>
        <v/>
      </c>
    </row>
    <row r="4163" spans="4:17" ht="12.75" customHeight="1" x14ac:dyDescent="0.2">
      <c r="D4163" s="58" t="str">
        <f>IFERROR(IF(F4163&lt;&gt;"pending","",IF(OR($B4163="",$B4163="(blank)"),"",VLOOKUP($B4163,'Email Marketing Raw Data'!$C:$O,10,0))),"")</f>
        <v/>
      </c>
      <c r="E4163" s="59" t="str">
        <f>IFERROR(IF(F4163&lt;&gt;"pending","",IF(OR($B4163="",$B4163="(blank)"),"",VLOOKUP($B4163,'Email Marketing Raw Data'!$C:$O,11,0))),"")</f>
        <v/>
      </c>
      <c r="F4163" s="54" t="str">
        <f>IFERROR(IF(OR($B4163="",$B4163="(blank)"),"",VLOOKUP($B4163,'Email Marketing Raw Data'!$C:$O,13,0)),"")</f>
        <v/>
      </c>
      <c r="G4163" s="55" t="str">
        <f>IFERROR(IF(OR($B4163="",$B4163="(blank)"),"",VLOOKUP($B4163,'Email Marketing Raw Data'!$C:$O,4,0)),"")</f>
        <v/>
      </c>
      <c r="H4163" s="55" t="str">
        <f>IFERROR(IF(OR($B4163="",$B4163="(blank)"),"",VLOOKUP($B4163,'Email Marketing Raw Data'!$C:$O,5,0)),"")</f>
        <v/>
      </c>
      <c r="I4163" s="55" t="str">
        <f>IFERROR(IF($G4163="","",VLOOKUP('Dashboard And Emails Automate'!$G4163,Database!$H:$N,3,0)),"")</f>
        <v/>
      </c>
      <c r="J4163" s="55" t="str">
        <f>IFERROR(IF($G4163="","",VLOOKUP('Dashboard And Emails Automate'!$G4163,Database!$H:$N,4,0)),"")</f>
        <v/>
      </c>
      <c r="K4163" s="55" t="str">
        <f>IFERROR(IF($G4163="","",VLOOKUP('Dashboard And Emails Automate'!$G4163,Database!$H:$N,5,0)),"")</f>
        <v/>
      </c>
      <c r="L4163" s="55" t="str">
        <f>IFERROR(IF($G4163="","",VLOOKUP('Dashboard And Emails Automate'!$G4163,Database!$H:$N,6,0)),"")</f>
        <v/>
      </c>
      <c r="M4163" s="55" t="str">
        <f>IFERROR(IF($G4163="","",VLOOKUP('Dashboard And Emails Automate'!$G4163,Database!$H:$N,7,0)),"")</f>
        <v/>
      </c>
      <c r="N4163" s="55" t="str">
        <f>IFERROR(IF(OR($B4163="",$B4163="(blank)"),"",VLOOKUP($B4163,'Email Marketing Raw Data'!$C:$O,6,0)),"")</f>
        <v/>
      </c>
      <c r="O4163" s="55" t="str">
        <f>IFERROR(IF(OR($B4163="",$B4163="(blank)"),"",VLOOKUP($B4163,'Email Marketing Raw Data'!$C:$O,7,0)),"")</f>
        <v/>
      </c>
      <c r="P4163" s="55" t="str">
        <f>IFERROR(IF(OR($B4163="",$B4163="(blank)"),"",VLOOKUP($B4163,'Email Marketing Raw Data'!$C:$O,8,0)),"")</f>
        <v/>
      </c>
      <c r="Q4163" s="62" t="str">
        <f>IFERROR(IF(OR($B4163="",$B4163="(blank)"),"",VLOOKUP($B4163,'Email Marketing Raw Data'!$C:$O,9,0)),"")</f>
        <v/>
      </c>
    </row>
    <row r="4164" spans="4:17" ht="12.75" customHeight="1" x14ac:dyDescent="0.2">
      <c r="D4164" s="58" t="str">
        <f>IFERROR(IF(F4164&lt;&gt;"pending","",IF(OR($B4164="",$B4164="(blank)"),"",VLOOKUP($B4164,'Email Marketing Raw Data'!$C:$O,10,0))),"")</f>
        <v/>
      </c>
      <c r="E4164" s="59" t="str">
        <f>IFERROR(IF(F4164&lt;&gt;"pending","",IF(OR($B4164="",$B4164="(blank)"),"",VLOOKUP($B4164,'Email Marketing Raw Data'!$C:$O,11,0))),"")</f>
        <v/>
      </c>
      <c r="F4164" s="54" t="str">
        <f>IFERROR(IF(OR($B4164="",$B4164="(blank)"),"",VLOOKUP($B4164,'Email Marketing Raw Data'!$C:$O,13,0)),"")</f>
        <v/>
      </c>
      <c r="G4164" s="55" t="str">
        <f>IFERROR(IF(OR($B4164="",$B4164="(blank)"),"",VLOOKUP($B4164,'Email Marketing Raw Data'!$C:$O,4,0)),"")</f>
        <v/>
      </c>
      <c r="H4164" s="55" t="str">
        <f>IFERROR(IF(OR($B4164="",$B4164="(blank)"),"",VLOOKUP($B4164,'Email Marketing Raw Data'!$C:$O,5,0)),"")</f>
        <v/>
      </c>
      <c r="I4164" s="55" t="str">
        <f>IFERROR(IF($G4164="","",VLOOKUP('Dashboard And Emails Automate'!$G4164,Database!$H:$N,3,0)),"")</f>
        <v/>
      </c>
      <c r="J4164" s="55" t="str">
        <f>IFERROR(IF($G4164="","",VLOOKUP('Dashboard And Emails Automate'!$G4164,Database!$H:$N,4,0)),"")</f>
        <v/>
      </c>
      <c r="K4164" s="55" t="str">
        <f>IFERROR(IF($G4164="","",VLOOKUP('Dashboard And Emails Automate'!$G4164,Database!$H:$N,5,0)),"")</f>
        <v/>
      </c>
      <c r="L4164" s="55" t="str">
        <f>IFERROR(IF($G4164="","",VLOOKUP('Dashboard And Emails Automate'!$G4164,Database!$H:$N,6,0)),"")</f>
        <v/>
      </c>
      <c r="M4164" s="55" t="str">
        <f>IFERROR(IF($G4164="","",VLOOKUP('Dashboard And Emails Automate'!$G4164,Database!$H:$N,7,0)),"")</f>
        <v/>
      </c>
      <c r="N4164" s="55" t="str">
        <f>IFERROR(IF(OR($B4164="",$B4164="(blank)"),"",VLOOKUP($B4164,'Email Marketing Raw Data'!$C:$O,6,0)),"")</f>
        <v/>
      </c>
      <c r="O4164" s="55" t="str">
        <f>IFERROR(IF(OR($B4164="",$B4164="(blank)"),"",VLOOKUP($B4164,'Email Marketing Raw Data'!$C:$O,7,0)),"")</f>
        <v/>
      </c>
      <c r="P4164" s="55" t="str">
        <f>IFERROR(IF(OR($B4164="",$B4164="(blank)"),"",VLOOKUP($B4164,'Email Marketing Raw Data'!$C:$O,8,0)),"")</f>
        <v/>
      </c>
      <c r="Q4164" s="62" t="str">
        <f>IFERROR(IF(OR($B4164="",$B4164="(blank)"),"",VLOOKUP($B4164,'Email Marketing Raw Data'!$C:$O,9,0)),"")</f>
        <v/>
      </c>
    </row>
    <row r="4165" spans="4:17" ht="12.75" customHeight="1" x14ac:dyDescent="0.2">
      <c r="D4165" s="58" t="str">
        <f>IFERROR(IF(F4165&lt;&gt;"pending","",IF(OR($B4165="",$B4165="(blank)"),"",VLOOKUP($B4165,'Email Marketing Raw Data'!$C:$O,10,0))),"")</f>
        <v/>
      </c>
      <c r="E4165" s="59" t="str">
        <f>IFERROR(IF(F4165&lt;&gt;"pending","",IF(OR($B4165="",$B4165="(blank)"),"",VLOOKUP($B4165,'Email Marketing Raw Data'!$C:$O,11,0))),"")</f>
        <v/>
      </c>
      <c r="F4165" s="54" t="str">
        <f>IFERROR(IF(OR($B4165="",$B4165="(blank)"),"",VLOOKUP($B4165,'Email Marketing Raw Data'!$C:$O,13,0)),"")</f>
        <v/>
      </c>
      <c r="G4165" s="55" t="str">
        <f>IFERROR(IF(OR($B4165="",$B4165="(blank)"),"",VLOOKUP($B4165,'Email Marketing Raw Data'!$C:$O,4,0)),"")</f>
        <v/>
      </c>
      <c r="H4165" s="55" t="str">
        <f>IFERROR(IF(OR($B4165="",$B4165="(blank)"),"",VLOOKUP($B4165,'Email Marketing Raw Data'!$C:$O,5,0)),"")</f>
        <v/>
      </c>
      <c r="I4165" s="55" t="str">
        <f>IFERROR(IF($G4165="","",VLOOKUP('Dashboard And Emails Automate'!$G4165,Database!$H:$N,3,0)),"")</f>
        <v/>
      </c>
      <c r="J4165" s="55" t="str">
        <f>IFERROR(IF($G4165="","",VLOOKUP('Dashboard And Emails Automate'!$G4165,Database!$H:$N,4,0)),"")</f>
        <v/>
      </c>
      <c r="K4165" s="55" t="str">
        <f>IFERROR(IF($G4165="","",VLOOKUP('Dashboard And Emails Automate'!$G4165,Database!$H:$N,5,0)),"")</f>
        <v/>
      </c>
      <c r="L4165" s="55" t="str">
        <f>IFERROR(IF($G4165="","",VLOOKUP('Dashboard And Emails Automate'!$G4165,Database!$H:$N,6,0)),"")</f>
        <v/>
      </c>
      <c r="M4165" s="55" t="str">
        <f>IFERROR(IF($G4165="","",VLOOKUP('Dashboard And Emails Automate'!$G4165,Database!$H:$N,7,0)),"")</f>
        <v/>
      </c>
      <c r="N4165" s="55" t="str">
        <f>IFERROR(IF(OR($B4165="",$B4165="(blank)"),"",VLOOKUP($B4165,'Email Marketing Raw Data'!$C:$O,6,0)),"")</f>
        <v/>
      </c>
      <c r="O4165" s="55" t="str">
        <f>IFERROR(IF(OR($B4165="",$B4165="(blank)"),"",VLOOKUP($B4165,'Email Marketing Raw Data'!$C:$O,7,0)),"")</f>
        <v/>
      </c>
      <c r="P4165" s="55" t="str">
        <f>IFERROR(IF(OR($B4165="",$B4165="(blank)"),"",VLOOKUP($B4165,'Email Marketing Raw Data'!$C:$O,8,0)),"")</f>
        <v/>
      </c>
      <c r="Q4165" s="62" t="str">
        <f>IFERROR(IF(OR($B4165="",$B4165="(blank)"),"",VLOOKUP($B4165,'Email Marketing Raw Data'!$C:$O,9,0)),"")</f>
        <v/>
      </c>
    </row>
    <row r="4166" spans="4:17" ht="12.75" customHeight="1" x14ac:dyDescent="0.2">
      <c r="D4166" s="58" t="str">
        <f>IFERROR(IF(F4166&lt;&gt;"pending","",IF(OR($B4166="",$B4166="(blank)"),"",VLOOKUP($B4166,'Email Marketing Raw Data'!$C:$O,10,0))),"")</f>
        <v/>
      </c>
      <c r="E4166" s="59" t="str">
        <f>IFERROR(IF(F4166&lt;&gt;"pending","",IF(OR($B4166="",$B4166="(blank)"),"",VLOOKUP($B4166,'Email Marketing Raw Data'!$C:$O,11,0))),"")</f>
        <v/>
      </c>
      <c r="F4166" s="54" t="str">
        <f>IFERROR(IF(OR($B4166="",$B4166="(blank)"),"",VLOOKUP($B4166,'Email Marketing Raw Data'!$C:$O,13,0)),"")</f>
        <v/>
      </c>
      <c r="G4166" s="55" t="str">
        <f>IFERROR(IF(OR($B4166="",$B4166="(blank)"),"",VLOOKUP($B4166,'Email Marketing Raw Data'!$C:$O,4,0)),"")</f>
        <v/>
      </c>
      <c r="H4166" s="55" t="str">
        <f>IFERROR(IF(OR($B4166="",$B4166="(blank)"),"",VLOOKUP($B4166,'Email Marketing Raw Data'!$C:$O,5,0)),"")</f>
        <v/>
      </c>
      <c r="I4166" s="55" t="str">
        <f>IFERROR(IF($G4166="","",VLOOKUP('Dashboard And Emails Automate'!$G4166,Database!$H:$N,3,0)),"")</f>
        <v/>
      </c>
      <c r="J4166" s="55" t="str">
        <f>IFERROR(IF($G4166="","",VLOOKUP('Dashboard And Emails Automate'!$G4166,Database!$H:$N,4,0)),"")</f>
        <v/>
      </c>
      <c r="K4166" s="55" t="str">
        <f>IFERROR(IF($G4166="","",VLOOKUP('Dashboard And Emails Automate'!$G4166,Database!$H:$N,5,0)),"")</f>
        <v/>
      </c>
      <c r="L4166" s="55" t="str">
        <f>IFERROR(IF($G4166="","",VLOOKUP('Dashboard And Emails Automate'!$G4166,Database!$H:$N,6,0)),"")</f>
        <v/>
      </c>
      <c r="M4166" s="55" t="str">
        <f>IFERROR(IF($G4166="","",VLOOKUP('Dashboard And Emails Automate'!$G4166,Database!$H:$N,7,0)),"")</f>
        <v/>
      </c>
      <c r="N4166" s="55" t="str">
        <f>IFERROR(IF(OR($B4166="",$B4166="(blank)"),"",VLOOKUP($B4166,'Email Marketing Raw Data'!$C:$O,6,0)),"")</f>
        <v/>
      </c>
      <c r="O4166" s="55" t="str">
        <f>IFERROR(IF(OR($B4166="",$B4166="(blank)"),"",VLOOKUP($B4166,'Email Marketing Raw Data'!$C:$O,7,0)),"")</f>
        <v/>
      </c>
      <c r="P4166" s="55" t="str">
        <f>IFERROR(IF(OR($B4166="",$B4166="(blank)"),"",VLOOKUP($B4166,'Email Marketing Raw Data'!$C:$O,8,0)),"")</f>
        <v/>
      </c>
      <c r="Q4166" s="62" t="str">
        <f>IFERROR(IF(OR($B4166="",$B4166="(blank)"),"",VLOOKUP($B4166,'Email Marketing Raw Data'!$C:$O,9,0)),"")</f>
        <v/>
      </c>
    </row>
    <row r="4167" spans="4:17" ht="12.75" customHeight="1" x14ac:dyDescent="0.2">
      <c r="D4167" s="58" t="str">
        <f>IFERROR(IF(F4167&lt;&gt;"pending","",IF(OR($B4167="",$B4167="(blank)"),"",VLOOKUP($B4167,'Email Marketing Raw Data'!$C:$O,10,0))),"")</f>
        <v/>
      </c>
      <c r="E4167" s="59" t="str">
        <f>IFERROR(IF(F4167&lt;&gt;"pending","",IF(OR($B4167="",$B4167="(blank)"),"",VLOOKUP($B4167,'Email Marketing Raw Data'!$C:$O,11,0))),"")</f>
        <v/>
      </c>
      <c r="F4167" s="54" t="str">
        <f>IFERROR(IF(OR($B4167="",$B4167="(blank)"),"",VLOOKUP($B4167,'Email Marketing Raw Data'!$C:$O,13,0)),"")</f>
        <v/>
      </c>
      <c r="G4167" s="55" t="str">
        <f>IFERROR(IF(OR($B4167="",$B4167="(blank)"),"",VLOOKUP($B4167,'Email Marketing Raw Data'!$C:$O,4,0)),"")</f>
        <v/>
      </c>
      <c r="H4167" s="55" t="str">
        <f>IFERROR(IF(OR($B4167="",$B4167="(blank)"),"",VLOOKUP($B4167,'Email Marketing Raw Data'!$C:$O,5,0)),"")</f>
        <v/>
      </c>
      <c r="I4167" s="55" t="str">
        <f>IFERROR(IF($G4167="","",VLOOKUP('Dashboard And Emails Automate'!$G4167,Database!$H:$N,3,0)),"")</f>
        <v/>
      </c>
      <c r="J4167" s="55" t="str">
        <f>IFERROR(IF($G4167="","",VLOOKUP('Dashboard And Emails Automate'!$G4167,Database!$H:$N,4,0)),"")</f>
        <v/>
      </c>
      <c r="K4167" s="55" t="str">
        <f>IFERROR(IF($G4167="","",VLOOKUP('Dashboard And Emails Automate'!$G4167,Database!$H:$N,5,0)),"")</f>
        <v/>
      </c>
      <c r="L4167" s="55" t="str">
        <f>IFERROR(IF($G4167="","",VLOOKUP('Dashboard And Emails Automate'!$G4167,Database!$H:$N,6,0)),"")</f>
        <v/>
      </c>
      <c r="M4167" s="55" t="str">
        <f>IFERROR(IF($G4167="","",VLOOKUP('Dashboard And Emails Automate'!$G4167,Database!$H:$N,7,0)),"")</f>
        <v/>
      </c>
      <c r="N4167" s="55" t="str">
        <f>IFERROR(IF(OR($B4167="",$B4167="(blank)"),"",VLOOKUP($B4167,'Email Marketing Raw Data'!$C:$O,6,0)),"")</f>
        <v/>
      </c>
      <c r="O4167" s="55" t="str">
        <f>IFERROR(IF(OR($B4167="",$B4167="(blank)"),"",VLOOKUP($B4167,'Email Marketing Raw Data'!$C:$O,7,0)),"")</f>
        <v/>
      </c>
      <c r="P4167" s="55" t="str">
        <f>IFERROR(IF(OR($B4167="",$B4167="(blank)"),"",VLOOKUP($B4167,'Email Marketing Raw Data'!$C:$O,8,0)),"")</f>
        <v/>
      </c>
      <c r="Q4167" s="62" t="str">
        <f>IFERROR(IF(OR($B4167="",$B4167="(blank)"),"",VLOOKUP($B4167,'Email Marketing Raw Data'!$C:$O,9,0)),"")</f>
        <v/>
      </c>
    </row>
    <row r="4168" spans="4:17" ht="12.75" customHeight="1" x14ac:dyDescent="0.2">
      <c r="D4168" s="58" t="str">
        <f>IFERROR(IF(F4168&lt;&gt;"pending","",IF(OR($B4168="",$B4168="(blank)"),"",VLOOKUP($B4168,'Email Marketing Raw Data'!$C:$O,10,0))),"")</f>
        <v/>
      </c>
      <c r="E4168" s="59" t="str">
        <f>IFERROR(IF(F4168&lt;&gt;"pending","",IF(OR($B4168="",$B4168="(blank)"),"",VLOOKUP($B4168,'Email Marketing Raw Data'!$C:$O,11,0))),"")</f>
        <v/>
      </c>
      <c r="F4168" s="54" t="str">
        <f>IFERROR(IF(OR($B4168="",$B4168="(blank)"),"",VLOOKUP($B4168,'Email Marketing Raw Data'!$C:$O,13,0)),"")</f>
        <v/>
      </c>
      <c r="G4168" s="55" t="str">
        <f>IFERROR(IF(OR($B4168="",$B4168="(blank)"),"",VLOOKUP($B4168,'Email Marketing Raw Data'!$C:$O,4,0)),"")</f>
        <v/>
      </c>
      <c r="H4168" s="55" t="str">
        <f>IFERROR(IF(OR($B4168="",$B4168="(blank)"),"",VLOOKUP($B4168,'Email Marketing Raw Data'!$C:$O,5,0)),"")</f>
        <v/>
      </c>
      <c r="I4168" s="55" t="str">
        <f>IFERROR(IF($G4168="","",VLOOKUP('Dashboard And Emails Automate'!$G4168,Database!$H:$N,3,0)),"")</f>
        <v/>
      </c>
      <c r="J4168" s="55" t="str">
        <f>IFERROR(IF($G4168="","",VLOOKUP('Dashboard And Emails Automate'!$G4168,Database!$H:$N,4,0)),"")</f>
        <v/>
      </c>
      <c r="K4168" s="55" t="str">
        <f>IFERROR(IF($G4168="","",VLOOKUP('Dashboard And Emails Automate'!$G4168,Database!$H:$N,5,0)),"")</f>
        <v/>
      </c>
      <c r="L4168" s="55" t="str">
        <f>IFERROR(IF($G4168="","",VLOOKUP('Dashboard And Emails Automate'!$G4168,Database!$H:$N,6,0)),"")</f>
        <v/>
      </c>
      <c r="M4168" s="55" t="str">
        <f>IFERROR(IF($G4168="","",VLOOKUP('Dashboard And Emails Automate'!$G4168,Database!$H:$N,7,0)),"")</f>
        <v/>
      </c>
      <c r="N4168" s="55" t="str">
        <f>IFERROR(IF(OR($B4168="",$B4168="(blank)"),"",VLOOKUP($B4168,'Email Marketing Raw Data'!$C:$O,6,0)),"")</f>
        <v/>
      </c>
      <c r="O4168" s="55" t="str">
        <f>IFERROR(IF(OR($B4168="",$B4168="(blank)"),"",VLOOKUP($B4168,'Email Marketing Raw Data'!$C:$O,7,0)),"")</f>
        <v/>
      </c>
      <c r="P4168" s="55" t="str">
        <f>IFERROR(IF(OR($B4168="",$B4168="(blank)"),"",VLOOKUP($B4168,'Email Marketing Raw Data'!$C:$O,8,0)),"")</f>
        <v/>
      </c>
      <c r="Q4168" s="62" t="str">
        <f>IFERROR(IF(OR($B4168="",$B4168="(blank)"),"",VLOOKUP($B4168,'Email Marketing Raw Data'!$C:$O,9,0)),"")</f>
        <v/>
      </c>
    </row>
    <row r="4169" spans="4:17" ht="12.75" customHeight="1" x14ac:dyDescent="0.2">
      <c r="D4169" s="58" t="str">
        <f>IFERROR(IF(F4169&lt;&gt;"pending","",IF(OR($B4169="",$B4169="(blank)"),"",VLOOKUP($B4169,'Email Marketing Raw Data'!$C:$O,10,0))),"")</f>
        <v/>
      </c>
      <c r="E4169" s="59" t="str">
        <f>IFERROR(IF(F4169&lt;&gt;"pending","",IF(OR($B4169="",$B4169="(blank)"),"",VLOOKUP($B4169,'Email Marketing Raw Data'!$C:$O,11,0))),"")</f>
        <v/>
      </c>
      <c r="F4169" s="54" t="str">
        <f>IFERROR(IF(OR($B4169="",$B4169="(blank)"),"",VLOOKUP($B4169,'Email Marketing Raw Data'!$C:$O,13,0)),"")</f>
        <v/>
      </c>
      <c r="G4169" s="55" t="str">
        <f>IFERROR(IF(OR($B4169="",$B4169="(blank)"),"",VLOOKUP($B4169,'Email Marketing Raw Data'!$C:$O,4,0)),"")</f>
        <v/>
      </c>
      <c r="H4169" s="55" t="str">
        <f>IFERROR(IF(OR($B4169="",$B4169="(blank)"),"",VLOOKUP($B4169,'Email Marketing Raw Data'!$C:$O,5,0)),"")</f>
        <v/>
      </c>
      <c r="I4169" s="55" t="str">
        <f>IFERROR(IF($G4169="","",VLOOKUP('Dashboard And Emails Automate'!$G4169,Database!$H:$N,3,0)),"")</f>
        <v/>
      </c>
      <c r="J4169" s="55" t="str">
        <f>IFERROR(IF($G4169="","",VLOOKUP('Dashboard And Emails Automate'!$G4169,Database!$H:$N,4,0)),"")</f>
        <v/>
      </c>
      <c r="K4169" s="55" t="str">
        <f>IFERROR(IF($G4169="","",VLOOKUP('Dashboard And Emails Automate'!$G4169,Database!$H:$N,5,0)),"")</f>
        <v/>
      </c>
      <c r="L4169" s="55" t="str">
        <f>IFERROR(IF($G4169="","",VLOOKUP('Dashboard And Emails Automate'!$G4169,Database!$H:$N,6,0)),"")</f>
        <v/>
      </c>
      <c r="M4169" s="55" t="str">
        <f>IFERROR(IF($G4169="","",VLOOKUP('Dashboard And Emails Automate'!$G4169,Database!$H:$N,7,0)),"")</f>
        <v/>
      </c>
      <c r="N4169" s="55" t="str">
        <f>IFERROR(IF(OR($B4169="",$B4169="(blank)"),"",VLOOKUP($B4169,'Email Marketing Raw Data'!$C:$O,6,0)),"")</f>
        <v/>
      </c>
      <c r="O4169" s="55" t="str">
        <f>IFERROR(IF(OR($B4169="",$B4169="(blank)"),"",VLOOKUP($B4169,'Email Marketing Raw Data'!$C:$O,7,0)),"")</f>
        <v/>
      </c>
      <c r="P4169" s="55" t="str">
        <f>IFERROR(IF(OR($B4169="",$B4169="(blank)"),"",VLOOKUP($B4169,'Email Marketing Raw Data'!$C:$O,8,0)),"")</f>
        <v/>
      </c>
      <c r="Q4169" s="62" t="str">
        <f>IFERROR(IF(OR($B4169="",$B4169="(blank)"),"",VLOOKUP($B4169,'Email Marketing Raw Data'!$C:$O,9,0)),"")</f>
        <v/>
      </c>
    </row>
    <row r="4170" spans="4:17" ht="12.75" customHeight="1" x14ac:dyDescent="0.2">
      <c r="D4170" s="58" t="str">
        <f>IFERROR(IF(F4170&lt;&gt;"pending","",IF(OR($B4170="",$B4170="(blank)"),"",VLOOKUP($B4170,'Email Marketing Raw Data'!$C:$O,10,0))),"")</f>
        <v/>
      </c>
      <c r="E4170" s="59" t="str">
        <f>IFERROR(IF(F4170&lt;&gt;"pending","",IF(OR($B4170="",$B4170="(blank)"),"",VLOOKUP($B4170,'Email Marketing Raw Data'!$C:$O,11,0))),"")</f>
        <v/>
      </c>
      <c r="F4170" s="54" t="str">
        <f>IFERROR(IF(OR($B4170="",$B4170="(blank)"),"",VLOOKUP($B4170,'Email Marketing Raw Data'!$C:$O,13,0)),"")</f>
        <v/>
      </c>
      <c r="G4170" s="55" t="str">
        <f>IFERROR(IF(OR($B4170="",$B4170="(blank)"),"",VLOOKUP($B4170,'Email Marketing Raw Data'!$C:$O,4,0)),"")</f>
        <v/>
      </c>
      <c r="H4170" s="55" t="str">
        <f>IFERROR(IF(OR($B4170="",$B4170="(blank)"),"",VLOOKUP($B4170,'Email Marketing Raw Data'!$C:$O,5,0)),"")</f>
        <v/>
      </c>
      <c r="I4170" s="55" t="str">
        <f>IFERROR(IF($G4170="","",VLOOKUP('Dashboard And Emails Automate'!$G4170,Database!$H:$N,3,0)),"")</f>
        <v/>
      </c>
      <c r="J4170" s="55" t="str">
        <f>IFERROR(IF($G4170="","",VLOOKUP('Dashboard And Emails Automate'!$G4170,Database!$H:$N,4,0)),"")</f>
        <v/>
      </c>
      <c r="K4170" s="55" t="str">
        <f>IFERROR(IF($G4170="","",VLOOKUP('Dashboard And Emails Automate'!$G4170,Database!$H:$N,5,0)),"")</f>
        <v/>
      </c>
      <c r="L4170" s="55" t="str">
        <f>IFERROR(IF($G4170="","",VLOOKUP('Dashboard And Emails Automate'!$G4170,Database!$H:$N,6,0)),"")</f>
        <v/>
      </c>
      <c r="M4170" s="55" t="str">
        <f>IFERROR(IF($G4170="","",VLOOKUP('Dashboard And Emails Automate'!$G4170,Database!$H:$N,7,0)),"")</f>
        <v/>
      </c>
      <c r="N4170" s="55" t="str">
        <f>IFERROR(IF(OR($B4170="",$B4170="(blank)"),"",VLOOKUP($B4170,'Email Marketing Raw Data'!$C:$O,6,0)),"")</f>
        <v/>
      </c>
      <c r="O4170" s="55" t="str">
        <f>IFERROR(IF(OR($B4170="",$B4170="(blank)"),"",VLOOKUP($B4170,'Email Marketing Raw Data'!$C:$O,7,0)),"")</f>
        <v/>
      </c>
      <c r="P4170" s="55" t="str">
        <f>IFERROR(IF(OR($B4170="",$B4170="(blank)"),"",VLOOKUP($B4170,'Email Marketing Raw Data'!$C:$O,8,0)),"")</f>
        <v/>
      </c>
      <c r="Q4170" s="62" t="str">
        <f>IFERROR(IF(OR($B4170="",$B4170="(blank)"),"",VLOOKUP($B4170,'Email Marketing Raw Data'!$C:$O,9,0)),"")</f>
        <v/>
      </c>
    </row>
    <row r="4171" spans="4:17" ht="12.75" customHeight="1" x14ac:dyDescent="0.2">
      <c r="D4171" s="58" t="str">
        <f>IFERROR(IF(F4171&lt;&gt;"pending","",IF(OR($B4171="",$B4171="(blank)"),"",VLOOKUP($B4171,'Email Marketing Raw Data'!$C:$O,10,0))),"")</f>
        <v/>
      </c>
      <c r="E4171" s="59" t="str">
        <f>IFERROR(IF(F4171&lt;&gt;"pending","",IF(OR($B4171="",$B4171="(blank)"),"",VLOOKUP($B4171,'Email Marketing Raw Data'!$C:$O,11,0))),"")</f>
        <v/>
      </c>
      <c r="F4171" s="54" t="str">
        <f>IFERROR(IF(OR($B4171="",$B4171="(blank)"),"",VLOOKUP($B4171,'Email Marketing Raw Data'!$C:$O,13,0)),"")</f>
        <v/>
      </c>
      <c r="G4171" s="55" t="str">
        <f>IFERROR(IF(OR($B4171="",$B4171="(blank)"),"",VLOOKUP($B4171,'Email Marketing Raw Data'!$C:$O,4,0)),"")</f>
        <v/>
      </c>
      <c r="H4171" s="55" t="str">
        <f>IFERROR(IF(OR($B4171="",$B4171="(blank)"),"",VLOOKUP($B4171,'Email Marketing Raw Data'!$C:$O,5,0)),"")</f>
        <v/>
      </c>
      <c r="I4171" s="55" t="str">
        <f>IFERROR(IF($G4171="","",VLOOKUP('Dashboard And Emails Automate'!$G4171,Database!$H:$N,3,0)),"")</f>
        <v/>
      </c>
      <c r="J4171" s="55" t="str">
        <f>IFERROR(IF($G4171="","",VLOOKUP('Dashboard And Emails Automate'!$G4171,Database!$H:$N,4,0)),"")</f>
        <v/>
      </c>
      <c r="K4171" s="55" t="str">
        <f>IFERROR(IF($G4171="","",VLOOKUP('Dashboard And Emails Automate'!$G4171,Database!$H:$N,5,0)),"")</f>
        <v/>
      </c>
      <c r="L4171" s="55" t="str">
        <f>IFERROR(IF($G4171="","",VLOOKUP('Dashboard And Emails Automate'!$G4171,Database!$H:$N,6,0)),"")</f>
        <v/>
      </c>
      <c r="M4171" s="55" t="str">
        <f>IFERROR(IF($G4171="","",VLOOKUP('Dashboard And Emails Automate'!$G4171,Database!$H:$N,7,0)),"")</f>
        <v/>
      </c>
      <c r="N4171" s="55" t="str">
        <f>IFERROR(IF(OR($B4171="",$B4171="(blank)"),"",VLOOKUP($B4171,'Email Marketing Raw Data'!$C:$O,6,0)),"")</f>
        <v/>
      </c>
      <c r="O4171" s="55" t="str">
        <f>IFERROR(IF(OR($B4171="",$B4171="(blank)"),"",VLOOKUP($B4171,'Email Marketing Raw Data'!$C:$O,7,0)),"")</f>
        <v/>
      </c>
      <c r="P4171" s="55" t="str">
        <f>IFERROR(IF(OR($B4171="",$B4171="(blank)"),"",VLOOKUP($B4171,'Email Marketing Raw Data'!$C:$O,8,0)),"")</f>
        <v/>
      </c>
      <c r="Q4171" s="62" t="str">
        <f>IFERROR(IF(OR($B4171="",$B4171="(blank)"),"",VLOOKUP($B4171,'Email Marketing Raw Data'!$C:$O,9,0)),"")</f>
        <v/>
      </c>
    </row>
    <row r="4172" spans="4:17" ht="12.75" customHeight="1" x14ac:dyDescent="0.2">
      <c r="D4172" s="58" t="str">
        <f>IFERROR(IF(F4172&lt;&gt;"pending","",IF(OR($B4172="",$B4172="(blank)"),"",VLOOKUP($B4172,'Email Marketing Raw Data'!$C:$O,10,0))),"")</f>
        <v/>
      </c>
      <c r="E4172" s="59" t="str">
        <f>IFERROR(IF(F4172&lt;&gt;"pending","",IF(OR($B4172="",$B4172="(blank)"),"",VLOOKUP($B4172,'Email Marketing Raw Data'!$C:$O,11,0))),"")</f>
        <v/>
      </c>
      <c r="F4172" s="54" t="str">
        <f>IFERROR(IF(OR($B4172="",$B4172="(blank)"),"",VLOOKUP($B4172,'Email Marketing Raw Data'!$C:$O,13,0)),"")</f>
        <v/>
      </c>
      <c r="G4172" s="55" t="str">
        <f>IFERROR(IF(OR($B4172="",$B4172="(blank)"),"",VLOOKUP($B4172,'Email Marketing Raw Data'!$C:$O,4,0)),"")</f>
        <v/>
      </c>
      <c r="H4172" s="55" t="str">
        <f>IFERROR(IF(OR($B4172="",$B4172="(blank)"),"",VLOOKUP($B4172,'Email Marketing Raw Data'!$C:$O,5,0)),"")</f>
        <v/>
      </c>
      <c r="I4172" s="55" t="str">
        <f>IFERROR(IF($G4172="","",VLOOKUP('Dashboard And Emails Automate'!$G4172,Database!$H:$N,3,0)),"")</f>
        <v/>
      </c>
      <c r="J4172" s="55" t="str">
        <f>IFERROR(IF($G4172="","",VLOOKUP('Dashboard And Emails Automate'!$G4172,Database!$H:$N,4,0)),"")</f>
        <v/>
      </c>
      <c r="K4172" s="55" t="str">
        <f>IFERROR(IF($G4172="","",VLOOKUP('Dashboard And Emails Automate'!$G4172,Database!$H:$N,5,0)),"")</f>
        <v/>
      </c>
      <c r="L4172" s="55" t="str">
        <f>IFERROR(IF($G4172="","",VLOOKUP('Dashboard And Emails Automate'!$G4172,Database!$H:$N,6,0)),"")</f>
        <v/>
      </c>
      <c r="M4172" s="55" t="str">
        <f>IFERROR(IF($G4172="","",VLOOKUP('Dashboard And Emails Automate'!$G4172,Database!$H:$N,7,0)),"")</f>
        <v/>
      </c>
      <c r="N4172" s="55" t="str">
        <f>IFERROR(IF(OR($B4172="",$B4172="(blank)"),"",VLOOKUP($B4172,'Email Marketing Raw Data'!$C:$O,6,0)),"")</f>
        <v/>
      </c>
      <c r="O4172" s="55" t="str">
        <f>IFERROR(IF(OR($B4172="",$B4172="(blank)"),"",VLOOKUP($B4172,'Email Marketing Raw Data'!$C:$O,7,0)),"")</f>
        <v/>
      </c>
      <c r="P4172" s="55" t="str">
        <f>IFERROR(IF(OR($B4172="",$B4172="(blank)"),"",VLOOKUP($B4172,'Email Marketing Raw Data'!$C:$O,8,0)),"")</f>
        <v/>
      </c>
      <c r="Q4172" s="62" t="str">
        <f>IFERROR(IF(OR($B4172="",$B4172="(blank)"),"",VLOOKUP($B4172,'Email Marketing Raw Data'!$C:$O,9,0)),"")</f>
        <v/>
      </c>
    </row>
    <row r="4173" spans="4:17" ht="12.75" customHeight="1" x14ac:dyDescent="0.2">
      <c r="D4173" s="58" t="str">
        <f>IFERROR(IF(F4173&lt;&gt;"pending","",IF(OR($B4173="",$B4173="(blank)"),"",VLOOKUP($B4173,'Email Marketing Raw Data'!$C:$O,10,0))),"")</f>
        <v/>
      </c>
      <c r="E4173" s="59" t="str">
        <f>IFERROR(IF(F4173&lt;&gt;"pending","",IF(OR($B4173="",$B4173="(blank)"),"",VLOOKUP($B4173,'Email Marketing Raw Data'!$C:$O,11,0))),"")</f>
        <v/>
      </c>
      <c r="F4173" s="54" t="str">
        <f>IFERROR(IF(OR($B4173="",$B4173="(blank)"),"",VLOOKUP($B4173,'Email Marketing Raw Data'!$C:$O,13,0)),"")</f>
        <v/>
      </c>
      <c r="G4173" s="55" t="str">
        <f>IFERROR(IF(OR($B4173="",$B4173="(blank)"),"",VLOOKUP($B4173,'Email Marketing Raw Data'!$C:$O,4,0)),"")</f>
        <v/>
      </c>
      <c r="H4173" s="55" t="str">
        <f>IFERROR(IF(OR($B4173="",$B4173="(blank)"),"",VLOOKUP($B4173,'Email Marketing Raw Data'!$C:$O,5,0)),"")</f>
        <v/>
      </c>
      <c r="I4173" s="55" t="str">
        <f>IFERROR(IF($G4173="","",VLOOKUP('Dashboard And Emails Automate'!$G4173,Database!$H:$N,3,0)),"")</f>
        <v/>
      </c>
      <c r="J4173" s="55" t="str">
        <f>IFERROR(IF($G4173="","",VLOOKUP('Dashboard And Emails Automate'!$G4173,Database!$H:$N,4,0)),"")</f>
        <v/>
      </c>
      <c r="K4173" s="55" t="str">
        <f>IFERROR(IF($G4173="","",VLOOKUP('Dashboard And Emails Automate'!$G4173,Database!$H:$N,5,0)),"")</f>
        <v/>
      </c>
      <c r="L4173" s="55" t="str">
        <f>IFERROR(IF($G4173="","",VLOOKUP('Dashboard And Emails Automate'!$G4173,Database!$H:$N,6,0)),"")</f>
        <v/>
      </c>
      <c r="M4173" s="55" t="str">
        <f>IFERROR(IF($G4173="","",VLOOKUP('Dashboard And Emails Automate'!$G4173,Database!$H:$N,7,0)),"")</f>
        <v/>
      </c>
      <c r="N4173" s="55" t="str">
        <f>IFERROR(IF(OR($B4173="",$B4173="(blank)"),"",VLOOKUP($B4173,'Email Marketing Raw Data'!$C:$O,6,0)),"")</f>
        <v/>
      </c>
      <c r="O4173" s="55" t="str">
        <f>IFERROR(IF(OR($B4173="",$B4173="(blank)"),"",VLOOKUP($B4173,'Email Marketing Raw Data'!$C:$O,7,0)),"")</f>
        <v/>
      </c>
      <c r="P4173" s="55" t="str">
        <f>IFERROR(IF(OR($B4173="",$B4173="(blank)"),"",VLOOKUP($B4173,'Email Marketing Raw Data'!$C:$O,8,0)),"")</f>
        <v/>
      </c>
      <c r="Q4173" s="62" t="str">
        <f>IFERROR(IF(OR($B4173="",$B4173="(blank)"),"",VLOOKUP($B4173,'Email Marketing Raw Data'!$C:$O,9,0)),"")</f>
        <v/>
      </c>
    </row>
    <row r="4174" spans="4:17" ht="12.75" customHeight="1" x14ac:dyDescent="0.2">
      <c r="D4174" s="58" t="str">
        <f>IFERROR(IF(F4174&lt;&gt;"pending","",IF(OR($B4174="",$B4174="(blank)"),"",VLOOKUP($B4174,'Email Marketing Raw Data'!$C:$O,10,0))),"")</f>
        <v/>
      </c>
      <c r="E4174" s="59" t="str">
        <f>IFERROR(IF(F4174&lt;&gt;"pending","",IF(OR($B4174="",$B4174="(blank)"),"",VLOOKUP($B4174,'Email Marketing Raw Data'!$C:$O,11,0))),"")</f>
        <v/>
      </c>
      <c r="F4174" s="54" t="str">
        <f>IFERROR(IF(OR($B4174="",$B4174="(blank)"),"",VLOOKUP($B4174,'Email Marketing Raw Data'!$C:$O,13,0)),"")</f>
        <v/>
      </c>
      <c r="G4174" s="55" t="str">
        <f>IFERROR(IF(OR($B4174="",$B4174="(blank)"),"",VLOOKUP($B4174,'Email Marketing Raw Data'!$C:$O,4,0)),"")</f>
        <v/>
      </c>
      <c r="H4174" s="55" t="str">
        <f>IFERROR(IF(OR($B4174="",$B4174="(blank)"),"",VLOOKUP($B4174,'Email Marketing Raw Data'!$C:$O,5,0)),"")</f>
        <v/>
      </c>
      <c r="I4174" s="55" t="str">
        <f>IFERROR(IF($G4174="","",VLOOKUP('Dashboard And Emails Automate'!$G4174,Database!$H:$N,3,0)),"")</f>
        <v/>
      </c>
      <c r="J4174" s="55" t="str">
        <f>IFERROR(IF($G4174="","",VLOOKUP('Dashboard And Emails Automate'!$G4174,Database!$H:$N,4,0)),"")</f>
        <v/>
      </c>
      <c r="K4174" s="55" t="str">
        <f>IFERROR(IF($G4174="","",VLOOKUP('Dashboard And Emails Automate'!$G4174,Database!$H:$N,5,0)),"")</f>
        <v/>
      </c>
      <c r="L4174" s="55" t="str">
        <f>IFERROR(IF($G4174="","",VLOOKUP('Dashboard And Emails Automate'!$G4174,Database!$H:$N,6,0)),"")</f>
        <v/>
      </c>
      <c r="M4174" s="55" t="str">
        <f>IFERROR(IF($G4174="","",VLOOKUP('Dashboard And Emails Automate'!$G4174,Database!$H:$N,7,0)),"")</f>
        <v/>
      </c>
      <c r="N4174" s="55" t="str">
        <f>IFERROR(IF(OR($B4174="",$B4174="(blank)"),"",VLOOKUP($B4174,'Email Marketing Raw Data'!$C:$O,6,0)),"")</f>
        <v/>
      </c>
      <c r="O4174" s="55" t="str">
        <f>IFERROR(IF(OR($B4174="",$B4174="(blank)"),"",VLOOKUP($B4174,'Email Marketing Raw Data'!$C:$O,7,0)),"")</f>
        <v/>
      </c>
      <c r="P4174" s="55" t="str">
        <f>IFERROR(IF(OR($B4174="",$B4174="(blank)"),"",VLOOKUP($B4174,'Email Marketing Raw Data'!$C:$O,8,0)),"")</f>
        <v/>
      </c>
      <c r="Q4174" s="62" t="str">
        <f>IFERROR(IF(OR($B4174="",$B4174="(blank)"),"",VLOOKUP($B4174,'Email Marketing Raw Data'!$C:$O,9,0)),"")</f>
        <v/>
      </c>
    </row>
    <row r="4175" spans="4:17" ht="12.75" customHeight="1" x14ac:dyDescent="0.2">
      <c r="D4175" s="58" t="str">
        <f>IFERROR(IF(F4175&lt;&gt;"pending","",IF(OR($B4175="",$B4175="(blank)"),"",VLOOKUP($B4175,'Email Marketing Raw Data'!$C:$O,10,0))),"")</f>
        <v/>
      </c>
      <c r="E4175" s="59" t="str">
        <f>IFERROR(IF(F4175&lt;&gt;"pending","",IF(OR($B4175="",$B4175="(blank)"),"",VLOOKUP($B4175,'Email Marketing Raw Data'!$C:$O,11,0))),"")</f>
        <v/>
      </c>
      <c r="F4175" s="54" t="str">
        <f>IFERROR(IF(OR($B4175="",$B4175="(blank)"),"",VLOOKUP($B4175,'Email Marketing Raw Data'!$C:$O,13,0)),"")</f>
        <v/>
      </c>
      <c r="G4175" s="55" t="str">
        <f>IFERROR(IF(OR($B4175="",$B4175="(blank)"),"",VLOOKUP($B4175,'Email Marketing Raw Data'!$C:$O,4,0)),"")</f>
        <v/>
      </c>
      <c r="H4175" s="55" t="str">
        <f>IFERROR(IF(OR($B4175="",$B4175="(blank)"),"",VLOOKUP($B4175,'Email Marketing Raw Data'!$C:$O,5,0)),"")</f>
        <v/>
      </c>
      <c r="I4175" s="55" t="str">
        <f>IFERROR(IF($G4175="","",VLOOKUP('Dashboard And Emails Automate'!$G4175,Database!$H:$N,3,0)),"")</f>
        <v/>
      </c>
      <c r="J4175" s="55" t="str">
        <f>IFERROR(IF($G4175="","",VLOOKUP('Dashboard And Emails Automate'!$G4175,Database!$H:$N,4,0)),"")</f>
        <v/>
      </c>
      <c r="K4175" s="55" t="str">
        <f>IFERROR(IF($G4175="","",VLOOKUP('Dashboard And Emails Automate'!$G4175,Database!$H:$N,5,0)),"")</f>
        <v/>
      </c>
      <c r="L4175" s="55" t="str">
        <f>IFERROR(IF($G4175="","",VLOOKUP('Dashboard And Emails Automate'!$G4175,Database!$H:$N,6,0)),"")</f>
        <v/>
      </c>
      <c r="M4175" s="55" t="str">
        <f>IFERROR(IF($G4175="","",VLOOKUP('Dashboard And Emails Automate'!$G4175,Database!$H:$N,7,0)),"")</f>
        <v/>
      </c>
      <c r="N4175" s="55" t="str">
        <f>IFERROR(IF(OR($B4175="",$B4175="(blank)"),"",VLOOKUP($B4175,'Email Marketing Raw Data'!$C:$O,6,0)),"")</f>
        <v/>
      </c>
      <c r="O4175" s="55" t="str">
        <f>IFERROR(IF(OR($B4175="",$B4175="(blank)"),"",VLOOKUP($B4175,'Email Marketing Raw Data'!$C:$O,7,0)),"")</f>
        <v/>
      </c>
      <c r="P4175" s="55" t="str">
        <f>IFERROR(IF(OR($B4175="",$B4175="(blank)"),"",VLOOKUP($B4175,'Email Marketing Raw Data'!$C:$O,8,0)),"")</f>
        <v/>
      </c>
      <c r="Q4175" s="62" t="str">
        <f>IFERROR(IF(OR($B4175="",$B4175="(blank)"),"",VLOOKUP($B4175,'Email Marketing Raw Data'!$C:$O,9,0)),"")</f>
        <v/>
      </c>
    </row>
    <row r="4176" spans="4:17" ht="12.75" customHeight="1" x14ac:dyDescent="0.2">
      <c r="D4176" s="58" t="str">
        <f>IFERROR(IF(F4176&lt;&gt;"pending","",IF(OR($B4176="",$B4176="(blank)"),"",VLOOKUP($B4176,'Email Marketing Raw Data'!$C:$O,10,0))),"")</f>
        <v/>
      </c>
      <c r="E4176" s="59" t="str">
        <f>IFERROR(IF(F4176&lt;&gt;"pending","",IF(OR($B4176="",$B4176="(blank)"),"",VLOOKUP($B4176,'Email Marketing Raw Data'!$C:$O,11,0))),"")</f>
        <v/>
      </c>
      <c r="F4176" s="54" t="str">
        <f>IFERROR(IF(OR($B4176="",$B4176="(blank)"),"",VLOOKUP($B4176,'Email Marketing Raw Data'!$C:$O,13,0)),"")</f>
        <v/>
      </c>
      <c r="G4176" s="55" t="str">
        <f>IFERROR(IF(OR($B4176="",$B4176="(blank)"),"",VLOOKUP($B4176,'Email Marketing Raw Data'!$C:$O,4,0)),"")</f>
        <v/>
      </c>
      <c r="H4176" s="55" t="str">
        <f>IFERROR(IF(OR($B4176="",$B4176="(blank)"),"",VLOOKUP($B4176,'Email Marketing Raw Data'!$C:$O,5,0)),"")</f>
        <v/>
      </c>
      <c r="I4176" s="55" t="str">
        <f>IFERROR(IF($G4176="","",VLOOKUP('Dashboard And Emails Automate'!$G4176,Database!$H:$N,3,0)),"")</f>
        <v/>
      </c>
      <c r="J4176" s="55" t="str">
        <f>IFERROR(IF($G4176="","",VLOOKUP('Dashboard And Emails Automate'!$G4176,Database!$H:$N,4,0)),"")</f>
        <v/>
      </c>
      <c r="K4176" s="55" t="str">
        <f>IFERROR(IF($G4176="","",VLOOKUP('Dashboard And Emails Automate'!$G4176,Database!$H:$N,5,0)),"")</f>
        <v/>
      </c>
      <c r="L4176" s="55" t="str">
        <f>IFERROR(IF($G4176="","",VLOOKUP('Dashboard And Emails Automate'!$G4176,Database!$H:$N,6,0)),"")</f>
        <v/>
      </c>
      <c r="M4176" s="55" t="str">
        <f>IFERROR(IF($G4176="","",VLOOKUP('Dashboard And Emails Automate'!$G4176,Database!$H:$N,7,0)),"")</f>
        <v/>
      </c>
      <c r="N4176" s="55" t="str">
        <f>IFERROR(IF(OR($B4176="",$B4176="(blank)"),"",VLOOKUP($B4176,'Email Marketing Raw Data'!$C:$O,6,0)),"")</f>
        <v/>
      </c>
      <c r="O4176" s="55" t="str">
        <f>IFERROR(IF(OR($B4176="",$B4176="(blank)"),"",VLOOKUP($B4176,'Email Marketing Raw Data'!$C:$O,7,0)),"")</f>
        <v/>
      </c>
      <c r="P4176" s="55" t="str">
        <f>IFERROR(IF(OR($B4176="",$B4176="(blank)"),"",VLOOKUP($B4176,'Email Marketing Raw Data'!$C:$O,8,0)),"")</f>
        <v/>
      </c>
      <c r="Q4176" s="62" t="str">
        <f>IFERROR(IF(OR($B4176="",$B4176="(blank)"),"",VLOOKUP($B4176,'Email Marketing Raw Data'!$C:$O,9,0)),"")</f>
        <v/>
      </c>
    </row>
    <row r="4177" spans="4:17" ht="12.75" customHeight="1" x14ac:dyDescent="0.2">
      <c r="D4177" s="58" t="str">
        <f>IFERROR(IF(F4177&lt;&gt;"pending","",IF(OR($B4177="",$B4177="(blank)"),"",VLOOKUP($B4177,'Email Marketing Raw Data'!$C:$O,10,0))),"")</f>
        <v/>
      </c>
      <c r="E4177" s="59" t="str">
        <f>IFERROR(IF(F4177&lt;&gt;"pending","",IF(OR($B4177="",$B4177="(blank)"),"",VLOOKUP($B4177,'Email Marketing Raw Data'!$C:$O,11,0))),"")</f>
        <v/>
      </c>
      <c r="F4177" s="54" t="str">
        <f>IFERROR(IF(OR($B4177="",$B4177="(blank)"),"",VLOOKUP($B4177,'Email Marketing Raw Data'!$C:$O,13,0)),"")</f>
        <v/>
      </c>
      <c r="G4177" s="55" t="str">
        <f>IFERROR(IF(OR($B4177="",$B4177="(blank)"),"",VLOOKUP($B4177,'Email Marketing Raw Data'!$C:$O,4,0)),"")</f>
        <v/>
      </c>
      <c r="H4177" s="55" t="str">
        <f>IFERROR(IF(OR($B4177="",$B4177="(blank)"),"",VLOOKUP($B4177,'Email Marketing Raw Data'!$C:$O,5,0)),"")</f>
        <v/>
      </c>
      <c r="I4177" s="55" t="str">
        <f>IFERROR(IF($G4177="","",VLOOKUP('Dashboard And Emails Automate'!$G4177,Database!$H:$N,3,0)),"")</f>
        <v/>
      </c>
      <c r="J4177" s="55" t="str">
        <f>IFERROR(IF($G4177="","",VLOOKUP('Dashboard And Emails Automate'!$G4177,Database!$H:$N,4,0)),"")</f>
        <v/>
      </c>
      <c r="K4177" s="55" t="str">
        <f>IFERROR(IF($G4177="","",VLOOKUP('Dashboard And Emails Automate'!$G4177,Database!$H:$N,5,0)),"")</f>
        <v/>
      </c>
      <c r="L4177" s="55" t="str">
        <f>IFERROR(IF($G4177="","",VLOOKUP('Dashboard And Emails Automate'!$G4177,Database!$H:$N,6,0)),"")</f>
        <v/>
      </c>
      <c r="M4177" s="55" t="str">
        <f>IFERROR(IF($G4177="","",VLOOKUP('Dashboard And Emails Automate'!$G4177,Database!$H:$N,7,0)),"")</f>
        <v/>
      </c>
      <c r="N4177" s="55" t="str">
        <f>IFERROR(IF(OR($B4177="",$B4177="(blank)"),"",VLOOKUP($B4177,'Email Marketing Raw Data'!$C:$O,6,0)),"")</f>
        <v/>
      </c>
      <c r="O4177" s="55" t="str">
        <f>IFERROR(IF(OR($B4177="",$B4177="(blank)"),"",VLOOKUP($B4177,'Email Marketing Raw Data'!$C:$O,7,0)),"")</f>
        <v/>
      </c>
      <c r="P4177" s="55" t="str">
        <f>IFERROR(IF(OR($B4177="",$B4177="(blank)"),"",VLOOKUP($B4177,'Email Marketing Raw Data'!$C:$O,8,0)),"")</f>
        <v/>
      </c>
      <c r="Q4177" s="62" t="str">
        <f>IFERROR(IF(OR($B4177="",$B4177="(blank)"),"",VLOOKUP($B4177,'Email Marketing Raw Data'!$C:$O,9,0)),"")</f>
        <v/>
      </c>
    </row>
    <row r="4178" spans="4:17" ht="12.75" customHeight="1" x14ac:dyDescent="0.2">
      <c r="D4178" s="58" t="str">
        <f>IFERROR(IF(F4178&lt;&gt;"pending","",IF(OR($B4178="",$B4178="(blank)"),"",VLOOKUP($B4178,'Email Marketing Raw Data'!$C:$O,10,0))),"")</f>
        <v/>
      </c>
      <c r="E4178" s="59" t="str">
        <f>IFERROR(IF(F4178&lt;&gt;"pending","",IF(OR($B4178="",$B4178="(blank)"),"",VLOOKUP($B4178,'Email Marketing Raw Data'!$C:$O,11,0))),"")</f>
        <v/>
      </c>
      <c r="F4178" s="54" t="str">
        <f>IFERROR(IF(OR($B4178="",$B4178="(blank)"),"",VLOOKUP($B4178,'Email Marketing Raw Data'!$C:$O,13,0)),"")</f>
        <v/>
      </c>
      <c r="G4178" s="55" t="str">
        <f>IFERROR(IF(OR($B4178="",$B4178="(blank)"),"",VLOOKUP($B4178,'Email Marketing Raw Data'!$C:$O,4,0)),"")</f>
        <v/>
      </c>
      <c r="H4178" s="55" t="str">
        <f>IFERROR(IF(OR($B4178="",$B4178="(blank)"),"",VLOOKUP($B4178,'Email Marketing Raw Data'!$C:$O,5,0)),"")</f>
        <v/>
      </c>
      <c r="I4178" s="55" t="str">
        <f>IFERROR(IF($G4178="","",VLOOKUP('Dashboard And Emails Automate'!$G4178,Database!$H:$N,3,0)),"")</f>
        <v/>
      </c>
      <c r="J4178" s="55" t="str">
        <f>IFERROR(IF($G4178="","",VLOOKUP('Dashboard And Emails Automate'!$G4178,Database!$H:$N,4,0)),"")</f>
        <v/>
      </c>
      <c r="K4178" s="55" t="str">
        <f>IFERROR(IF($G4178="","",VLOOKUP('Dashboard And Emails Automate'!$G4178,Database!$H:$N,5,0)),"")</f>
        <v/>
      </c>
      <c r="L4178" s="55" t="str">
        <f>IFERROR(IF($G4178="","",VLOOKUP('Dashboard And Emails Automate'!$G4178,Database!$H:$N,6,0)),"")</f>
        <v/>
      </c>
      <c r="M4178" s="55" t="str">
        <f>IFERROR(IF($G4178="","",VLOOKUP('Dashboard And Emails Automate'!$G4178,Database!$H:$N,7,0)),"")</f>
        <v/>
      </c>
      <c r="N4178" s="55" t="str">
        <f>IFERROR(IF(OR($B4178="",$B4178="(blank)"),"",VLOOKUP($B4178,'Email Marketing Raw Data'!$C:$O,6,0)),"")</f>
        <v/>
      </c>
      <c r="O4178" s="55" t="str">
        <f>IFERROR(IF(OR($B4178="",$B4178="(blank)"),"",VLOOKUP($B4178,'Email Marketing Raw Data'!$C:$O,7,0)),"")</f>
        <v/>
      </c>
      <c r="P4178" s="55" t="str">
        <f>IFERROR(IF(OR($B4178="",$B4178="(blank)"),"",VLOOKUP($B4178,'Email Marketing Raw Data'!$C:$O,8,0)),"")</f>
        <v/>
      </c>
      <c r="Q4178" s="62" t="str">
        <f>IFERROR(IF(OR($B4178="",$B4178="(blank)"),"",VLOOKUP($B4178,'Email Marketing Raw Data'!$C:$O,9,0)),"")</f>
        <v/>
      </c>
    </row>
    <row r="4179" spans="4:17" ht="12.75" customHeight="1" x14ac:dyDescent="0.2">
      <c r="D4179" s="58" t="str">
        <f>IFERROR(IF(F4179&lt;&gt;"pending","",IF(OR($B4179="",$B4179="(blank)"),"",VLOOKUP($B4179,'Email Marketing Raw Data'!$C:$O,10,0))),"")</f>
        <v/>
      </c>
      <c r="E4179" s="59" t="str">
        <f>IFERROR(IF(F4179&lt;&gt;"pending","",IF(OR($B4179="",$B4179="(blank)"),"",VLOOKUP($B4179,'Email Marketing Raw Data'!$C:$O,11,0))),"")</f>
        <v/>
      </c>
      <c r="F4179" s="54" t="str">
        <f>IFERROR(IF(OR($B4179="",$B4179="(blank)"),"",VLOOKUP($B4179,'Email Marketing Raw Data'!$C:$O,13,0)),"")</f>
        <v/>
      </c>
      <c r="G4179" s="55" t="str">
        <f>IFERROR(IF(OR($B4179="",$B4179="(blank)"),"",VLOOKUP($B4179,'Email Marketing Raw Data'!$C:$O,4,0)),"")</f>
        <v/>
      </c>
      <c r="H4179" s="55" t="str">
        <f>IFERROR(IF(OR($B4179="",$B4179="(blank)"),"",VLOOKUP($B4179,'Email Marketing Raw Data'!$C:$O,5,0)),"")</f>
        <v/>
      </c>
      <c r="I4179" s="55" t="str">
        <f>IFERROR(IF($G4179="","",VLOOKUP('Dashboard And Emails Automate'!$G4179,Database!$H:$N,3,0)),"")</f>
        <v/>
      </c>
      <c r="J4179" s="55" t="str">
        <f>IFERROR(IF($G4179="","",VLOOKUP('Dashboard And Emails Automate'!$G4179,Database!$H:$N,4,0)),"")</f>
        <v/>
      </c>
      <c r="K4179" s="55" t="str">
        <f>IFERROR(IF($G4179="","",VLOOKUP('Dashboard And Emails Automate'!$G4179,Database!$H:$N,5,0)),"")</f>
        <v/>
      </c>
      <c r="L4179" s="55" t="str">
        <f>IFERROR(IF($G4179="","",VLOOKUP('Dashboard And Emails Automate'!$G4179,Database!$H:$N,6,0)),"")</f>
        <v/>
      </c>
      <c r="M4179" s="55" t="str">
        <f>IFERROR(IF($G4179="","",VLOOKUP('Dashboard And Emails Automate'!$G4179,Database!$H:$N,7,0)),"")</f>
        <v/>
      </c>
      <c r="N4179" s="55" t="str">
        <f>IFERROR(IF(OR($B4179="",$B4179="(blank)"),"",VLOOKUP($B4179,'Email Marketing Raw Data'!$C:$O,6,0)),"")</f>
        <v/>
      </c>
      <c r="O4179" s="55" t="str">
        <f>IFERROR(IF(OR($B4179="",$B4179="(blank)"),"",VLOOKUP($B4179,'Email Marketing Raw Data'!$C:$O,7,0)),"")</f>
        <v/>
      </c>
      <c r="P4179" s="55" t="str">
        <f>IFERROR(IF(OR($B4179="",$B4179="(blank)"),"",VLOOKUP($B4179,'Email Marketing Raw Data'!$C:$O,8,0)),"")</f>
        <v/>
      </c>
      <c r="Q4179" s="62" t="str">
        <f>IFERROR(IF(OR($B4179="",$B4179="(blank)"),"",VLOOKUP($B4179,'Email Marketing Raw Data'!$C:$O,9,0)),"")</f>
        <v/>
      </c>
    </row>
    <row r="4180" spans="4:17" ht="12.75" customHeight="1" x14ac:dyDescent="0.2">
      <c r="D4180" s="58" t="str">
        <f>IFERROR(IF(F4180&lt;&gt;"pending","",IF(OR($B4180="",$B4180="(blank)"),"",VLOOKUP($B4180,'Email Marketing Raw Data'!$C:$O,10,0))),"")</f>
        <v/>
      </c>
      <c r="E4180" s="59" t="str">
        <f>IFERROR(IF(F4180&lt;&gt;"pending","",IF(OR($B4180="",$B4180="(blank)"),"",VLOOKUP($B4180,'Email Marketing Raw Data'!$C:$O,11,0))),"")</f>
        <v/>
      </c>
      <c r="F4180" s="54" t="str">
        <f>IFERROR(IF(OR($B4180="",$B4180="(blank)"),"",VLOOKUP($B4180,'Email Marketing Raw Data'!$C:$O,13,0)),"")</f>
        <v/>
      </c>
      <c r="G4180" s="55" t="str">
        <f>IFERROR(IF(OR($B4180="",$B4180="(blank)"),"",VLOOKUP($B4180,'Email Marketing Raw Data'!$C:$O,4,0)),"")</f>
        <v/>
      </c>
      <c r="H4180" s="55" t="str">
        <f>IFERROR(IF(OR($B4180="",$B4180="(blank)"),"",VLOOKUP($B4180,'Email Marketing Raw Data'!$C:$O,5,0)),"")</f>
        <v/>
      </c>
      <c r="I4180" s="55" t="str">
        <f>IFERROR(IF($G4180="","",VLOOKUP('Dashboard And Emails Automate'!$G4180,Database!$H:$N,3,0)),"")</f>
        <v/>
      </c>
      <c r="J4180" s="55" t="str">
        <f>IFERROR(IF($G4180="","",VLOOKUP('Dashboard And Emails Automate'!$G4180,Database!$H:$N,4,0)),"")</f>
        <v/>
      </c>
      <c r="K4180" s="55" t="str">
        <f>IFERROR(IF($G4180="","",VLOOKUP('Dashboard And Emails Automate'!$G4180,Database!$H:$N,5,0)),"")</f>
        <v/>
      </c>
      <c r="L4180" s="55" t="str">
        <f>IFERROR(IF($G4180="","",VLOOKUP('Dashboard And Emails Automate'!$G4180,Database!$H:$N,6,0)),"")</f>
        <v/>
      </c>
      <c r="M4180" s="55" t="str">
        <f>IFERROR(IF($G4180="","",VLOOKUP('Dashboard And Emails Automate'!$G4180,Database!$H:$N,7,0)),"")</f>
        <v/>
      </c>
      <c r="N4180" s="55" t="str">
        <f>IFERROR(IF(OR($B4180="",$B4180="(blank)"),"",VLOOKUP($B4180,'Email Marketing Raw Data'!$C:$O,6,0)),"")</f>
        <v/>
      </c>
      <c r="O4180" s="55" t="str">
        <f>IFERROR(IF(OR($B4180="",$B4180="(blank)"),"",VLOOKUP($B4180,'Email Marketing Raw Data'!$C:$O,7,0)),"")</f>
        <v/>
      </c>
      <c r="P4180" s="55" t="str">
        <f>IFERROR(IF(OR($B4180="",$B4180="(blank)"),"",VLOOKUP($B4180,'Email Marketing Raw Data'!$C:$O,8,0)),"")</f>
        <v/>
      </c>
      <c r="Q4180" s="62" t="str">
        <f>IFERROR(IF(OR($B4180="",$B4180="(blank)"),"",VLOOKUP($B4180,'Email Marketing Raw Data'!$C:$O,9,0)),"")</f>
        <v/>
      </c>
    </row>
    <row r="4181" spans="4:17" ht="12.75" customHeight="1" x14ac:dyDescent="0.2">
      <c r="D4181" s="58" t="str">
        <f>IFERROR(IF(F4181&lt;&gt;"pending","",IF(OR($B4181="",$B4181="(blank)"),"",VLOOKUP($B4181,'Email Marketing Raw Data'!$C:$O,10,0))),"")</f>
        <v/>
      </c>
      <c r="E4181" s="59" t="str">
        <f>IFERROR(IF(F4181&lt;&gt;"pending","",IF(OR($B4181="",$B4181="(blank)"),"",VLOOKUP($B4181,'Email Marketing Raw Data'!$C:$O,11,0))),"")</f>
        <v/>
      </c>
      <c r="F4181" s="54" t="str">
        <f>IFERROR(IF(OR($B4181="",$B4181="(blank)"),"",VLOOKUP($B4181,'Email Marketing Raw Data'!$C:$O,13,0)),"")</f>
        <v/>
      </c>
      <c r="G4181" s="55" t="str">
        <f>IFERROR(IF(OR($B4181="",$B4181="(blank)"),"",VLOOKUP($B4181,'Email Marketing Raw Data'!$C:$O,4,0)),"")</f>
        <v/>
      </c>
      <c r="H4181" s="55" t="str">
        <f>IFERROR(IF(OR($B4181="",$B4181="(blank)"),"",VLOOKUP($B4181,'Email Marketing Raw Data'!$C:$O,5,0)),"")</f>
        <v/>
      </c>
      <c r="I4181" s="55" t="str">
        <f>IFERROR(IF($G4181="","",VLOOKUP('Dashboard And Emails Automate'!$G4181,Database!$H:$N,3,0)),"")</f>
        <v/>
      </c>
      <c r="J4181" s="55" t="str">
        <f>IFERROR(IF($G4181="","",VLOOKUP('Dashboard And Emails Automate'!$G4181,Database!$H:$N,4,0)),"")</f>
        <v/>
      </c>
      <c r="K4181" s="55" t="str">
        <f>IFERROR(IF($G4181="","",VLOOKUP('Dashboard And Emails Automate'!$G4181,Database!$H:$N,5,0)),"")</f>
        <v/>
      </c>
      <c r="L4181" s="55" t="str">
        <f>IFERROR(IF($G4181="","",VLOOKUP('Dashboard And Emails Automate'!$G4181,Database!$H:$N,6,0)),"")</f>
        <v/>
      </c>
      <c r="M4181" s="55" t="str">
        <f>IFERROR(IF($G4181="","",VLOOKUP('Dashboard And Emails Automate'!$G4181,Database!$H:$N,7,0)),"")</f>
        <v/>
      </c>
      <c r="N4181" s="55" t="str">
        <f>IFERROR(IF(OR($B4181="",$B4181="(blank)"),"",VLOOKUP($B4181,'Email Marketing Raw Data'!$C:$O,6,0)),"")</f>
        <v/>
      </c>
      <c r="O4181" s="55" t="str">
        <f>IFERROR(IF(OR($B4181="",$B4181="(blank)"),"",VLOOKUP($B4181,'Email Marketing Raw Data'!$C:$O,7,0)),"")</f>
        <v/>
      </c>
      <c r="P4181" s="55" t="str">
        <f>IFERROR(IF(OR($B4181="",$B4181="(blank)"),"",VLOOKUP($B4181,'Email Marketing Raw Data'!$C:$O,8,0)),"")</f>
        <v/>
      </c>
      <c r="Q4181" s="62" t="str">
        <f>IFERROR(IF(OR($B4181="",$B4181="(blank)"),"",VLOOKUP($B4181,'Email Marketing Raw Data'!$C:$O,9,0)),"")</f>
        <v/>
      </c>
    </row>
    <row r="4182" spans="4:17" ht="12.75" customHeight="1" x14ac:dyDescent="0.2">
      <c r="D4182" s="58" t="str">
        <f>IFERROR(IF(F4182&lt;&gt;"pending","",IF(OR($B4182="",$B4182="(blank)"),"",VLOOKUP($B4182,'Email Marketing Raw Data'!$C:$O,10,0))),"")</f>
        <v/>
      </c>
      <c r="E4182" s="59" t="str">
        <f>IFERROR(IF(F4182&lt;&gt;"pending","",IF(OR($B4182="",$B4182="(blank)"),"",VLOOKUP($B4182,'Email Marketing Raw Data'!$C:$O,11,0))),"")</f>
        <v/>
      </c>
      <c r="F4182" s="54" t="str">
        <f>IFERROR(IF(OR($B4182="",$B4182="(blank)"),"",VLOOKUP($B4182,'Email Marketing Raw Data'!$C:$O,13,0)),"")</f>
        <v/>
      </c>
      <c r="G4182" s="55" t="str">
        <f>IFERROR(IF(OR($B4182="",$B4182="(blank)"),"",VLOOKUP($B4182,'Email Marketing Raw Data'!$C:$O,4,0)),"")</f>
        <v/>
      </c>
      <c r="H4182" s="55" t="str">
        <f>IFERROR(IF(OR($B4182="",$B4182="(blank)"),"",VLOOKUP($B4182,'Email Marketing Raw Data'!$C:$O,5,0)),"")</f>
        <v/>
      </c>
      <c r="I4182" s="55" t="str">
        <f>IFERROR(IF($G4182="","",VLOOKUP('Dashboard And Emails Automate'!$G4182,Database!$H:$N,3,0)),"")</f>
        <v/>
      </c>
      <c r="J4182" s="55" t="str">
        <f>IFERROR(IF($G4182="","",VLOOKUP('Dashboard And Emails Automate'!$G4182,Database!$H:$N,4,0)),"")</f>
        <v/>
      </c>
      <c r="K4182" s="55" t="str">
        <f>IFERROR(IF($G4182="","",VLOOKUP('Dashboard And Emails Automate'!$G4182,Database!$H:$N,5,0)),"")</f>
        <v/>
      </c>
      <c r="L4182" s="55" t="str">
        <f>IFERROR(IF($G4182="","",VLOOKUP('Dashboard And Emails Automate'!$G4182,Database!$H:$N,6,0)),"")</f>
        <v/>
      </c>
      <c r="M4182" s="55" t="str">
        <f>IFERROR(IF($G4182="","",VLOOKUP('Dashboard And Emails Automate'!$G4182,Database!$H:$N,7,0)),"")</f>
        <v/>
      </c>
      <c r="N4182" s="55" t="str">
        <f>IFERROR(IF(OR($B4182="",$B4182="(blank)"),"",VLOOKUP($B4182,'Email Marketing Raw Data'!$C:$O,6,0)),"")</f>
        <v/>
      </c>
      <c r="O4182" s="55" t="str">
        <f>IFERROR(IF(OR($B4182="",$B4182="(blank)"),"",VLOOKUP($B4182,'Email Marketing Raw Data'!$C:$O,7,0)),"")</f>
        <v/>
      </c>
      <c r="P4182" s="55" t="str">
        <f>IFERROR(IF(OR($B4182="",$B4182="(blank)"),"",VLOOKUP($B4182,'Email Marketing Raw Data'!$C:$O,8,0)),"")</f>
        <v/>
      </c>
      <c r="Q4182" s="62" t="str">
        <f>IFERROR(IF(OR($B4182="",$B4182="(blank)"),"",VLOOKUP($B4182,'Email Marketing Raw Data'!$C:$O,9,0)),"")</f>
        <v/>
      </c>
    </row>
    <row r="4183" spans="4:17" ht="12.75" customHeight="1" x14ac:dyDescent="0.2">
      <c r="D4183" s="58" t="str">
        <f>IFERROR(IF(F4183&lt;&gt;"pending","",IF(OR($B4183="",$B4183="(blank)"),"",VLOOKUP($B4183,'Email Marketing Raw Data'!$C:$O,10,0))),"")</f>
        <v/>
      </c>
      <c r="E4183" s="59" t="str">
        <f>IFERROR(IF(F4183&lt;&gt;"pending","",IF(OR($B4183="",$B4183="(blank)"),"",VLOOKUP($B4183,'Email Marketing Raw Data'!$C:$O,11,0))),"")</f>
        <v/>
      </c>
      <c r="F4183" s="54" t="str">
        <f>IFERROR(IF(OR($B4183="",$B4183="(blank)"),"",VLOOKUP($B4183,'Email Marketing Raw Data'!$C:$O,13,0)),"")</f>
        <v/>
      </c>
      <c r="G4183" s="55" t="str">
        <f>IFERROR(IF(OR($B4183="",$B4183="(blank)"),"",VLOOKUP($B4183,'Email Marketing Raw Data'!$C:$O,4,0)),"")</f>
        <v/>
      </c>
      <c r="H4183" s="55" t="str">
        <f>IFERROR(IF(OR($B4183="",$B4183="(blank)"),"",VLOOKUP($B4183,'Email Marketing Raw Data'!$C:$O,5,0)),"")</f>
        <v/>
      </c>
      <c r="I4183" s="55" t="str">
        <f>IFERROR(IF($G4183="","",VLOOKUP('Dashboard And Emails Automate'!$G4183,Database!$H:$N,3,0)),"")</f>
        <v/>
      </c>
      <c r="J4183" s="55" t="str">
        <f>IFERROR(IF($G4183="","",VLOOKUP('Dashboard And Emails Automate'!$G4183,Database!$H:$N,4,0)),"")</f>
        <v/>
      </c>
      <c r="K4183" s="55" t="str">
        <f>IFERROR(IF($G4183="","",VLOOKUP('Dashboard And Emails Automate'!$G4183,Database!$H:$N,5,0)),"")</f>
        <v/>
      </c>
      <c r="L4183" s="55" t="str">
        <f>IFERROR(IF($G4183="","",VLOOKUP('Dashboard And Emails Automate'!$G4183,Database!$H:$N,6,0)),"")</f>
        <v/>
      </c>
      <c r="M4183" s="55" t="str">
        <f>IFERROR(IF($G4183="","",VLOOKUP('Dashboard And Emails Automate'!$G4183,Database!$H:$N,7,0)),"")</f>
        <v/>
      </c>
      <c r="N4183" s="55" t="str">
        <f>IFERROR(IF(OR($B4183="",$B4183="(blank)"),"",VLOOKUP($B4183,'Email Marketing Raw Data'!$C:$O,6,0)),"")</f>
        <v/>
      </c>
      <c r="O4183" s="55" t="str">
        <f>IFERROR(IF(OR($B4183="",$B4183="(blank)"),"",VLOOKUP($B4183,'Email Marketing Raw Data'!$C:$O,7,0)),"")</f>
        <v/>
      </c>
      <c r="P4183" s="55" t="str">
        <f>IFERROR(IF(OR($B4183="",$B4183="(blank)"),"",VLOOKUP($B4183,'Email Marketing Raw Data'!$C:$O,8,0)),"")</f>
        <v/>
      </c>
      <c r="Q4183" s="62" t="str">
        <f>IFERROR(IF(OR($B4183="",$B4183="(blank)"),"",VLOOKUP($B4183,'Email Marketing Raw Data'!$C:$O,9,0)),"")</f>
        <v/>
      </c>
    </row>
    <row r="4184" spans="4:17" ht="12.75" customHeight="1" x14ac:dyDescent="0.2">
      <c r="D4184" s="58" t="str">
        <f>IFERROR(IF(F4184&lt;&gt;"pending","",IF(OR($B4184="",$B4184="(blank)"),"",VLOOKUP($B4184,'Email Marketing Raw Data'!$C:$O,10,0))),"")</f>
        <v/>
      </c>
      <c r="E4184" s="59" t="str">
        <f>IFERROR(IF(F4184&lt;&gt;"pending","",IF(OR($B4184="",$B4184="(blank)"),"",VLOOKUP($B4184,'Email Marketing Raw Data'!$C:$O,11,0))),"")</f>
        <v/>
      </c>
      <c r="F4184" s="54" t="str">
        <f>IFERROR(IF(OR($B4184="",$B4184="(blank)"),"",VLOOKUP($B4184,'Email Marketing Raw Data'!$C:$O,13,0)),"")</f>
        <v/>
      </c>
      <c r="G4184" s="55" t="str">
        <f>IFERROR(IF(OR($B4184="",$B4184="(blank)"),"",VLOOKUP($B4184,'Email Marketing Raw Data'!$C:$O,4,0)),"")</f>
        <v/>
      </c>
      <c r="H4184" s="55" t="str">
        <f>IFERROR(IF(OR($B4184="",$B4184="(blank)"),"",VLOOKUP($B4184,'Email Marketing Raw Data'!$C:$O,5,0)),"")</f>
        <v/>
      </c>
      <c r="I4184" s="55" t="str">
        <f>IFERROR(IF($G4184="","",VLOOKUP('Dashboard And Emails Automate'!$G4184,Database!$H:$N,3,0)),"")</f>
        <v/>
      </c>
      <c r="J4184" s="55" t="str">
        <f>IFERROR(IF($G4184="","",VLOOKUP('Dashboard And Emails Automate'!$G4184,Database!$H:$N,4,0)),"")</f>
        <v/>
      </c>
      <c r="K4184" s="55" t="str">
        <f>IFERROR(IF($G4184="","",VLOOKUP('Dashboard And Emails Automate'!$G4184,Database!$H:$N,5,0)),"")</f>
        <v/>
      </c>
      <c r="L4184" s="55" t="str">
        <f>IFERROR(IF($G4184="","",VLOOKUP('Dashboard And Emails Automate'!$G4184,Database!$H:$N,6,0)),"")</f>
        <v/>
      </c>
      <c r="M4184" s="55" t="str">
        <f>IFERROR(IF($G4184="","",VLOOKUP('Dashboard And Emails Automate'!$G4184,Database!$H:$N,7,0)),"")</f>
        <v/>
      </c>
      <c r="N4184" s="55" t="str">
        <f>IFERROR(IF(OR($B4184="",$B4184="(blank)"),"",VLOOKUP($B4184,'Email Marketing Raw Data'!$C:$O,6,0)),"")</f>
        <v/>
      </c>
      <c r="O4184" s="55" t="str">
        <f>IFERROR(IF(OR($B4184="",$B4184="(blank)"),"",VLOOKUP($B4184,'Email Marketing Raw Data'!$C:$O,7,0)),"")</f>
        <v/>
      </c>
      <c r="P4184" s="55" t="str">
        <f>IFERROR(IF(OR($B4184="",$B4184="(blank)"),"",VLOOKUP($B4184,'Email Marketing Raw Data'!$C:$O,8,0)),"")</f>
        <v/>
      </c>
      <c r="Q4184" s="62" t="str">
        <f>IFERROR(IF(OR($B4184="",$B4184="(blank)"),"",VLOOKUP($B4184,'Email Marketing Raw Data'!$C:$O,9,0)),"")</f>
        <v/>
      </c>
    </row>
    <row r="4185" spans="4:17" ht="12.75" customHeight="1" x14ac:dyDescent="0.2">
      <c r="D4185" s="58" t="str">
        <f>IFERROR(IF(F4185&lt;&gt;"pending","",IF(OR($B4185="",$B4185="(blank)"),"",VLOOKUP($B4185,'Email Marketing Raw Data'!$C:$O,10,0))),"")</f>
        <v/>
      </c>
      <c r="E4185" s="59" t="str">
        <f>IFERROR(IF(F4185&lt;&gt;"pending","",IF(OR($B4185="",$B4185="(blank)"),"",VLOOKUP($B4185,'Email Marketing Raw Data'!$C:$O,11,0))),"")</f>
        <v/>
      </c>
      <c r="F4185" s="54" t="str">
        <f>IFERROR(IF(OR($B4185="",$B4185="(blank)"),"",VLOOKUP($B4185,'Email Marketing Raw Data'!$C:$O,13,0)),"")</f>
        <v/>
      </c>
      <c r="G4185" s="55" t="str">
        <f>IFERROR(IF(OR($B4185="",$B4185="(blank)"),"",VLOOKUP($B4185,'Email Marketing Raw Data'!$C:$O,4,0)),"")</f>
        <v/>
      </c>
      <c r="H4185" s="55" t="str">
        <f>IFERROR(IF(OR($B4185="",$B4185="(blank)"),"",VLOOKUP($B4185,'Email Marketing Raw Data'!$C:$O,5,0)),"")</f>
        <v/>
      </c>
      <c r="I4185" s="55" t="str">
        <f>IFERROR(IF($G4185="","",VLOOKUP('Dashboard And Emails Automate'!$G4185,Database!$H:$N,3,0)),"")</f>
        <v/>
      </c>
      <c r="J4185" s="55" t="str">
        <f>IFERROR(IF($G4185="","",VLOOKUP('Dashboard And Emails Automate'!$G4185,Database!$H:$N,4,0)),"")</f>
        <v/>
      </c>
      <c r="K4185" s="55" t="str">
        <f>IFERROR(IF($G4185="","",VLOOKUP('Dashboard And Emails Automate'!$G4185,Database!$H:$N,5,0)),"")</f>
        <v/>
      </c>
      <c r="L4185" s="55" t="str">
        <f>IFERROR(IF($G4185="","",VLOOKUP('Dashboard And Emails Automate'!$G4185,Database!$H:$N,6,0)),"")</f>
        <v/>
      </c>
      <c r="M4185" s="55" t="str">
        <f>IFERROR(IF($G4185="","",VLOOKUP('Dashboard And Emails Automate'!$G4185,Database!$H:$N,7,0)),"")</f>
        <v/>
      </c>
      <c r="N4185" s="55" t="str">
        <f>IFERROR(IF(OR($B4185="",$B4185="(blank)"),"",VLOOKUP($B4185,'Email Marketing Raw Data'!$C:$O,6,0)),"")</f>
        <v/>
      </c>
      <c r="O4185" s="55" t="str">
        <f>IFERROR(IF(OR($B4185="",$B4185="(blank)"),"",VLOOKUP($B4185,'Email Marketing Raw Data'!$C:$O,7,0)),"")</f>
        <v/>
      </c>
      <c r="P4185" s="55" t="str">
        <f>IFERROR(IF(OR($B4185="",$B4185="(blank)"),"",VLOOKUP($B4185,'Email Marketing Raw Data'!$C:$O,8,0)),"")</f>
        <v/>
      </c>
      <c r="Q4185" s="62" t="str">
        <f>IFERROR(IF(OR($B4185="",$B4185="(blank)"),"",VLOOKUP($B4185,'Email Marketing Raw Data'!$C:$O,9,0)),"")</f>
        <v/>
      </c>
    </row>
    <row r="4186" spans="4:17" ht="12.75" customHeight="1" x14ac:dyDescent="0.2">
      <c r="D4186" s="58" t="str">
        <f>IFERROR(IF(F4186&lt;&gt;"pending","",IF(OR($B4186="",$B4186="(blank)"),"",VLOOKUP($B4186,'Email Marketing Raw Data'!$C:$O,10,0))),"")</f>
        <v/>
      </c>
      <c r="E4186" s="59" t="str">
        <f>IFERROR(IF(F4186&lt;&gt;"pending","",IF(OR($B4186="",$B4186="(blank)"),"",VLOOKUP($B4186,'Email Marketing Raw Data'!$C:$O,11,0))),"")</f>
        <v/>
      </c>
      <c r="F4186" s="54" t="str">
        <f>IFERROR(IF(OR($B4186="",$B4186="(blank)"),"",VLOOKUP($B4186,'Email Marketing Raw Data'!$C:$O,13,0)),"")</f>
        <v/>
      </c>
      <c r="G4186" s="55" t="str">
        <f>IFERROR(IF(OR($B4186="",$B4186="(blank)"),"",VLOOKUP($B4186,'Email Marketing Raw Data'!$C:$O,4,0)),"")</f>
        <v/>
      </c>
      <c r="H4186" s="55" t="str">
        <f>IFERROR(IF(OR($B4186="",$B4186="(blank)"),"",VLOOKUP($B4186,'Email Marketing Raw Data'!$C:$O,5,0)),"")</f>
        <v/>
      </c>
      <c r="I4186" s="55" t="str">
        <f>IFERROR(IF($G4186="","",VLOOKUP('Dashboard And Emails Automate'!$G4186,Database!$H:$N,3,0)),"")</f>
        <v/>
      </c>
      <c r="J4186" s="55" t="str">
        <f>IFERROR(IF($G4186="","",VLOOKUP('Dashboard And Emails Automate'!$G4186,Database!$H:$N,4,0)),"")</f>
        <v/>
      </c>
      <c r="K4186" s="55" t="str">
        <f>IFERROR(IF($G4186="","",VLOOKUP('Dashboard And Emails Automate'!$G4186,Database!$H:$N,5,0)),"")</f>
        <v/>
      </c>
      <c r="L4186" s="55" t="str">
        <f>IFERROR(IF($G4186="","",VLOOKUP('Dashboard And Emails Automate'!$G4186,Database!$H:$N,6,0)),"")</f>
        <v/>
      </c>
      <c r="M4186" s="55" t="str">
        <f>IFERROR(IF($G4186="","",VLOOKUP('Dashboard And Emails Automate'!$G4186,Database!$H:$N,7,0)),"")</f>
        <v/>
      </c>
      <c r="N4186" s="55" t="str">
        <f>IFERROR(IF(OR($B4186="",$B4186="(blank)"),"",VLOOKUP($B4186,'Email Marketing Raw Data'!$C:$O,6,0)),"")</f>
        <v/>
      </c>
      <c r="O4186" s="55" t="str">
        <f>IFERROR(IF(OR($B4186="",$B4186="(blank)"),"",VLOOKUP($B4186,'Email Marketing Raw Data'!$C:$O,7,0)),"")</f>
        <v/>
      </c>
      <c r="P4186" s="55" t="str">
        <f>IFERROR(IF(OR($B4186="",$B4186="(blank)"),"",VLOOKUP($B4186,'Email Marketing Raw Data'!$C:$O,8,0)),"")</f>
        <v/>
      </c>
      <c r="Q4186" s="62" t="str">
        <f>IFERROR(IF(OR($B4186="",$B4186="(blank)"),"",VLOOKUP($B4186,'Email Marketing Raw Data'!$C:$O,9,0)),"")</f>
        <v/>
      </c>
    </row>
    <row r="4187" spans="4:17" ht="12.75" customHeight="1" x14ac:dyDescent="0.2">
      <c r="D4187" s="58" t="str">
        <f>IFERROR(IF(F4187&lt;&gt;"pending","",IF(OR($B4187="",$B4187="(blank)"),"",VLOOKUP($B4187,'Email Marketing Raw Data'!$C:$O,10,0))),"")</f>
        <v/>
      </c>
      <c r="E4187" s="59" t="str">
        <f>IFERROR(IF(F4187&lt;&gt;"pending","",IF(OR($B4187="",$B4187="(blank)"),"",VLOOKUP($B4187,'Email Marketing Raw Data'!$C:$O,11,0))),"")</f>
        <v/>
      </c>
      <c r="F4187" s="54" t="str">
        <f>IFERROR(IF(OR($B4187="",$B4187="(blank)"),"",VLOOKUP($B4187,'Email Marketing Raw Data'!$C:$O,13,0)),"")</f>
        <v/>
      </c>
      <c r="G4187" s="55" t="str">
        <f>IFERROR(IF(OR($B4187="",$B4187="(blank)"),"",VLOOKUP($B4187,'Email Marketing Raw Data'!$C:$O,4,0)),"")</f>
        <v/>
      </c>
      <c r="H4187" s="55" t="str">
        <f>IFERROR(IF(OR($B4187="",$B4187="(blank)"),"",VLOOKUP($B4187,'Email Marketing Raw Data'!$C:$O,5,0)),"")</f>
        <v/>
      </c>
      <c r="I4187" s="55" t="str">
        <f>IFERROR(IF($G4187="","",VLOOKUP('Dashboard And Emails Automate'!$G4187,Database!$H:$N,3,0)),"")</f>
        <v/>
      </c>
      <c r="J4187" s="55" t="str">
        <f>IFERROR(IF($G4187="","",VLOOKUP('Dashboard And Emails Automate'!$G4187,Database!$H:$N,4,0)),"")</f>
        <v/>
      </c>
      <c r="K4187" s="55" t="str">
        <f>IFERROR(IF($G4187="","",VLOOKUP('Dashboard And Emails Automate'!$G4187,Database!$H:$N,5,0)),"")</f>
        <v/>
      </c>
      <c r="L4187" s="55" t="str">
        <f>IFERROR(IF($G4187="","",VLOOKUP('Dashboard And Emails Automate'!$G4187,Database!$H:$N,6,0)),"")</f>
        <v/>
      </c>
      <c r="M4187" s="55" t="str">
        <f>IFERROR(IF($G4187="","",VLOOKUP('Dashboard And Emails Automate'!$G4187,Database!$H:$N,7,0)),"")</f>
        <v/>
      </c>
      <c r="N4187" s="55" t="str">
        <f>IFERROR(IF(OR($B4187="",$B4187="(blank)"),"",VLOOKUP($B4187,'Email Marketing Raw Data'!$C:$O,6,0)),"")</f>
        <v/>
      </c>
      <c r="O4187" s="55" t="str">
        <f>IFERROR(IF(OR($B4187="",$B4187="(blank)"),"",VLOOKUP($B4187,'Email Marketing Raw Data'!$C:$O,7,0)),"")</f>
        <v/>
      </c>
      <c r="P4187" s="55" t="str">
        <f>IFERROR(IF(OR($B4187="",$B4187="(blank)"),"",VLOOKUP($B4187,'Email Marketing Raw Data'!$C:$O,8,0)),"")</f>
        <v/>
      </c>
      <c r="Q4187" s="62" t="str">
        <f>IFERROR(IF(OR($B4187="",$B4187="(blank)"),"",VLOOKUP($B4187,'Email Marketing Raw Data'!$C:$O,9,0)),"")</f>
        <v/>
      </c>
    </row>
    <row r="4188" spans="4:17" ht="12.75" customHeight="1" x14ac:dyDescent="0.2">
      <c r="D4188" s="58" t="str">
        <f>IFERROR(IF(F4188&lt;&gt;"pending","",IF(OR($B4188="",$B4188="(blank)"),"",VLOOKUP($B4188,'Email Marketing Raw Data'!$C:$O,10,0))),"")</f>
        <v/>
      </c>
      <c r="E4188" s="59" t="str">
        <f>IFERROR(IF(F4188&lt;&gt;"pending","",IF(OR($B4188="",$B4188="(blank)"),"",VLOOKUP($B4188,'Email Marketing Raw Data'!$C:$O,11,0))),"")</f>
        <v/>
      </c>
      <c r="F4188" s="54" t="str">
        <f>IFERROR(IF(OR($B4188="",$B4188="(blank)"),"",VLOOKUP($B4188,'Email Marketing Raw Data'!$C:$O,13,0)),"")</f>
        <v/>
      </c>
      <c r="G4188" s="55" t="str">
        <f>IFERROR(IF(OR($B4188="",$B4188="(blank)"),"",VLOOKUP($B4188,'Email Marketing Raw Data'!$C:$O,4,0)),"")</f>
        <v/>
      </c>
      <c r="H4188" s="55" t="str">
        <f>IFERROR(IF(OR($B4188="",$B4188="(blank)"),"",VLOOKUP($B4188,'Email Marketing Raw Data'!$C:$O,5,0)),"")</f>
        <v/>
      </c>
      <c r="I4188" s="55" t="str">
        <f>IFERROR(IF($G4188="","",VLOOKUP('Dashboard And Emails Automate'!$G4188,Database!$H:$N,3,0)),"")</f>
        <v/>
      </c>
      <c r="J4188" s="55" t="str">
        <f>IFERROR(IF($G4188="","",VLOOKUP('Dashboard And Emails Automate'!$G4188,Database!$H:$N,4,0)),"")</f>
        <v/>
      </c>
      <c r="K4188" s="55" t="str">
        <f>IFERROR(IF($G4188="","",VLOOKUP('Dashboard And Emails Automate'!$G4188,Database!$H:$N,5,0)),"")</f>
        <v/>
      </c>
      <c r="L4188" s="55" t="str">
        <f>IFERROR(IF($G4188="","",VLOOKUP('Dashboard And Emails Automate'!$G4188,Database!$H:$N,6,0)),"")</f>
        <v/>
      </c>
      <c r="M4188" s="55" t="str">
        <f>IFERROR(IF($G4188="","",VLOOKUP('Dashboard And Emails Automate'!$G4188,Database!$H:$N,7,0)),"")</f>
        <v/>
      </c>
      <c r="N4188" s="55" t="str">
        <f>IFERROR(IF(OR($B4188="",$B4188="(blank)"),"",VLOOKUP($B4188,'Email Marketing Raw Data'!$C:$O,6,0)),"")</f>
        <v/>
      </c>
      <c r="O4188" s="55" t="str">
        <f>IFERROR(IF(OR($B4188="",$B4188="(blank)"),"",VLOOKUP($B4188,'Email Marketing Raw Data'!$C:$O,7,0)),"")</f>
        <v/>
      </c>
      <c r="P4188" s="55" t="str">
        <f>IFERROR(IF(OR($B4188="",$B4188="(blank)"),"",VLOOKUP($B4188,'Email Marketing Raw Data'!$C:$O,8,0)),"")</f>
        <v/>
      </c>
      <c r="Q4188" s="62" t="str">
        <f>IFERROR(IF(OR($B4188="",$B4188="(blank)"),"",VLOOKUP($B4188,'Email Marketing Raw Data'!$C:$O,9,0)),"")</f>
        <v/>
      </c>
    </row>
    <row r="4189" spans="4:17" ht="12.75" customHeight="1" x14ac:dyDescent="0.2">
      <c r="D4189" s="58" t="str">
        <f>IFERROR(IF(F4189&lt;&gt;"pending","",IF(OR($B4189="",$B4189="(blank)"),"",VLOOKUP($B4189,'Email Marketing Raw Data'!$C:$O,10,0))),"")</f>
        <v/>
      </c>
      <c r="E4189" s="59" t="str">
        <f>IFERROR(IF(F4189&lt;&gt;"pending","",IF(OR($B4189="",$B4189="(blank)"),"",VLOOKUP($B4189,'Email Marketing Raw Data'!$C:$O,11,0))),"")</f>
        <v/>
      </c>
      <c r="F4189" s="54" t="str">
        <f>IFERROR(IF(OR($B4189="",$B4189="(blank)"),"",VLOOKUP($B4189,'Email Marketing Raw Data'!$C:$O,13,0)),"")</f>
        <v/>
      </c>
      <c r="G4189" s="55" t="str">
        <f>IFERROR(IF(OR($B4189="",$B4189="(blank)"),"",VLOOKUP($B4189,'Email Marketing Raw Data'!$C:$O,4,0)),"")</f>
        <v/>
      </c>
      <c r="H4189" s="55" t="str">
        <f>IFERROR(IF(OR($B4189="",$B4189="(blank)"),"",VLOOKUP($B4189,'Email Marketing Raw Data'!$C:$O,5,0)),"")</f>
        <v/>
      </c>
      <c r="I4189" s="55" t="str">
        <f>IFERROR(IF($G4189="","",VLOOKUP('Dashboard And Emails Automate'!$G4189,Database!$H:$N,3,0)),"")</f>
        <v/>
      </c>
      <c r="J4189" s="55" t="str">
        <f>IFERROR(IF($G4189="","",VLOOKUP('Dashboard And Emails Automate'!$G4189,Database!$H:$N,4,0)),"")</f>
        <v/>
      </c>
      <c r="K4189" s="55" t="str">
        <f>IFERROR(IF($G4189="","",VLOOKUP('Dashboard And Emails Automate'!$G4189,Database!$H:$N,5,0)),"")</f>
        <v/>
      </c>
      <c r="L4189" s="55" t="str">
        <f>IFERROR(IF($G4189="","",VLOOKUP('Dashboard And Emails Automate'!$G4189,Database!$H:$N,6,0)),"")</f>
        <v/>
      </c>
      <c r="M4189" s="55" t="str">
        <f>IFERROR(IF($G4189="","",VLOOKUP('Dashboard And Emails Automate'!$G4189,Database!$H:$N,7,0)),"")</f>
        <v/>
      </c>
      <c r="N4189" s="55" t="str">
        <f>IFERROR(IF(OR($B4189="",$B4189="(blank)"),"",VLOOKUP($B4189,'Email Marketing Raw Data'!$C:$O,6,0)),"")</f>
        <v/>
      </c>
      <c r="O4189" s="55" t="str">
        <f>IFERROR(IF(OR($B4189="",$B4189="(blank)"),"",VLOOKUP($B4189,'Email Marketing Raw Data'!$C:$O,7,0)),"")</f>
        <v/>
      </c>
      <c r="P4189" s="55" t="str">
        <f>IFERROR(IF(OR($B4189="",$B4189="(blank)"),"",VLOOKUP($B4189,'Email Marketing Raw Data'!$C:$O,8,0)),"")</f>
        <v/>
      </c>
      <c r="Q4189" s="62" t="str">
        <f>IFERROR(IF(OR($B4189="",$B4189="(blank)"),"",VLOOKUP($B4189,'Email Marketing Raw Data'!$C:$O,9,0)),"")</f>
        <v/>
      </c>
    </row>
    <row r="4190" spans="4:17" ht="12.75" customHeight="1" x14ac:dyDescent="0.2">
      <c r="D4190" s="58" t="str">
        <f>IFERROR(IF(F4190&lt;&gt;"pending","",IF(OR($B4190="",$B4190="(blank)"),"",VLOOKUP($B4190,'Email Marketing Raw Data'!$C:$O,10,0))),"")</f>
        <v/>
      </c>
      <c r="E4190" s="59" t="str">
        <f>IFERROR(IF(F4190&lt;&gt;"pending","",IF(OR($B4190="",$B4190="(blank)"),"",VLOOKUP($B4190,'Email Marketing Raw Data'!$C:$O,11,0))),"")</f>
        <v/>
      </c>
      <c r="F4190" s="54" t="str">
        <f>IFERROR(IF(OR($B4190="",$B4190="(blank)"),"",VLOOKUP($B4190,'Email Marketing Raw Data'!$C:$O,13,0)),"")</f>
        <v/>
      </c>
      <c r="G4190" s="55" t="str">
        <f>IFERROR(IF(OR($B4190="",$B4190="(blank)"),"",VLOOKUP($B4190,'Email Marketing Raw Data'!$C:$O,4,0)),"")</f>
        <v/>
      </c>
      <c r="H4190" s="55" t="str">
        <f>IFERROR(IF(OR($B4190="",$B4190="(blank)"),"",VLOOKUP($B4190,'Email Marketing Raw Data'!$C:$O,5,0)),"")</f>
        <v/>
      </c>
      <c r="I4190" s="55" t="str">
        <f>IFERROR(IF($G4190="","",VLOOKUP('Dashboard And Emails Automate'!$G4190,Database!$H:$N,3,0)),"")</f>
        <v/>
      </c>
      <c r="J4190" s="55" t="str">
        <f>IFERROR(IF($G4190="","",VLOOKUP('Dashboard And Emails Automate'!$G4190,Database!$H:$N,4,0)),"")</f>
        <v/>
      </c>
      <c r="K4190" s="55" t="str">
        <f>IFERROR(IF($G4190="","",VLOOKUP('Dashboard And Emails Automate'!$G4190,Database!$H:$N,5,0)),"")</f>
        <v/>
      </c>
      <c r="L4190" s="55" t="str">
        <f>IFERROR(IF($G4190="","",VLOOKUP('Dashboard And Emails Automate'!$G4190,Database!$H:$N,6,0)),"")</f>
        <v/>
      </c>
      <c r="M4190" s="55" t="str">
        <f>IFERROR(IF($G4190="","",VLOOKUP('Dashboard And Emails Automate'!$G4190,Database!$H:$N,7,0)),"")</f>
        <v/>
      </c>
      <c r="N4190" s="55" t="str">
        <f>IFERROR(IF(OR($B4190="",$B4190="(blank)"),"",VLOOKUP($B4190,'Email Marketing Raw Data'!$C:$O,6,0)),"")</f>
        <v/>
      </c>
      <c r="O4190" s="55" t="str">
        <f>IFERROR(IF(OR($B4190="",$B4190="(blank)"),"",VLOOKUP($B4190,'Email Marketing Raw Data'!$C:$O,7,0)),"")</f>
        <v/>
      </c>
      <c r="P4190" s="55" t="str">
        <f>IFERROR(IF(OR($B4190="",$B4190="(blank)"),"",VLOOKUP($B4190,'Email Marketing Raw Data'!$C:$O,8,0)),"")</f>
        <v/>
      </c>
      <c r="Q4190" s="62" t="str">
        <f>IFERROR(IF(OR($B4190="",$B4190="(blank)"),"",VLOOKUP($B4190,'Email Marketing Raw Data'!$C:$O,9,0)),"")</f>
        <v/>
      </c>
    </row>
    <row r="4191" spans="4:17" ht="12.75" customHeight="1" x14ac:dyDescent="0.2">
      <c r="D4191" s="58" t="str">
        <f>IFERROR(IF(F4191&lt;&gt;"pending","",IF(OR($B4191="",$B4191="(blank)"),"",VLOOKUP($B4191,'Email Marketing Raw Data'!$C:$O,10,0))),"")</f>
        <v/>
      </c>
      <c r="E4191" s="59" t="str">
        <f>IFERROR(IF(F4191&lt;&gt;"pending","",IF(OR($B4191="",$B4191="(blank)"),"",VLOOKUP($B4191,'Email Marketing Raw Data'!$C:$O,11,0))),"")</f>
        <v/>
      </c>
      <c r="F4191" s="54" t="str">
        <f>IFERROR(IF(OR($B4191="",$B4191="(blank)"),"",VLOOKUP($B4191,'Email Marketing Raw Data'!$C:$O,13,0)),"")</f>
        <v/>
      </c>
      <c r="G4191" s="55" t="str">
        <f>IFERROR(IF(OR($B4191="",$B4191="(blank)"),"",VLOOKUP($B4191,'Email Marketing Raw Data'!$C:$O,4,0)),"")</f>
        <v/>
      </c>
      <c r="H4191" s="55" t="str">
        <f>IFERROR(IF(OR($B4191="",$B4191="(blank)"),"",VLOOKUP($B4191,'Email Marketing Raw Data'!$C:$O,5,0)),"")</f>
        <v/>
      </c>
      <c r="I4191" s="55" t="str">
        <f>IFERROR(IF($G4191="","",VLOOKUP('Dashboard And Emails Automate'!$G4191,Database!$H:$N,3,0)),"")</f>
        <v/>
      </c>
      <c r="J4191" s="55" t="str">
        <f>IFERROR(IF($G4191="","",VLOOKUP('Dashboard And Emails Automate'!$G4191,Database!$H:$N,4,0)),"")</f>
        <v/>
      </c>
      <c r="K4191" s="55" t="str">
        <f>IFERROR(IF($G4191="","",VLOOKUP('Dashboard And Emails Automate'!$G4191,Database!$H:$N,5,0)),"")</f>
        <v/>
      </c>
      <c r="L4191" s="55" t="str">
        <f>IFERROR(IF($G4191="","",VLOOKUP('Dashboard And Emails Automate'!$G4191,Database!$H:$N,6,0)),"")</f>
        <v/>
      </c>
      <c r="M4191" s="55" t="str">
        <f>IFERROR(IF($G4191="","",VLOOKUP('Dashboard And Emails Automate'!$G4191,Database!$H:$N,7,0)),"")</f>
        <v/>
      </c>
      <c r="N4191" s="55" t="str">
        <f>IFERROR(IF(OR($B4191="",$B4191="(blank)"),"",VLOOKUP($B4191,'Email Marketing Raw Data'!$C:$O,6,0)),"")</f>
        <v/>
      </c>
      <c r="O4191" s="55" t="str">
        <f>IFERROR(IF(OR($B4191="",$B4191="(blank)"),"",VLOOKUP($B4191,'Email Marketing Raw Data'!$C:$O,7,0)),"")</f>
        <v/>
      </c>
      <c r="P4191" s="55" t="str">
        <f>IFERROR(IF(OR($B4191="",$B4191="(blank)"),"",VLOOKUP($B4191,'Email Marketing Raw Data'!$C:$O,8,0)),"")</f>
        <v/>
      </c>
      <c r="Q4191" s="62" t="str">
        <f>IFERROR(IF(OR($B4191="",$B4191="(blank)"),"",VLOOKUP($B4191,'Email Marketing Raw Data'!$C:$O,9,0)),"")</f>
        <v/>
      </c>
    </row>
    <row r="4192" spans="4:17" ht="12.75" customHeight="1" x14ac:dyDescent="0.2">
      <c r="D4192" s="58" t="str">
        <f>IFERROR(IF(F4192&lt;&gt;"pending","",IF(OR($B4192="",$B4192="(blank)"),"",VLOOKUP($B4192,'Email Marketing Raw Data'!$C:$O,10,0))),"")</f>
        <v/>
      </c>
      <c r="E4192" s="59" t="str">
        <f>IFERROR(IF(F4192&lt;&gt;"pending","",IF(OR($B4192="",$B4192="(blank)"),"",VLOOKUP($B4192,'Email Marketing Raw Data'!$C:$O,11,0))),"")</f>
        <v/>
      </c>
      <c r="F4192" s="54" t="str">
        <f>IFERROR(IF(OR($B4192="",$B4192="(blank)"),"",VLOOKUP($B4192,'Email Marketing Raw Data'!$C:$O,13,0)),"")</f>
        <v/>
      </c>
      <c r="G4192" s="55" t="str">
        <f>IFERROR(IF(OR($B4192="",$B4192="(blank)"),"",VLOOKUP($B4192,'Email Marketing Raw Data'!$C:$O,4,0)),"")</f>
        <v/>
      </c>
      <c r="H4192" s="55" t="str">
        <f>IFERROR(IF(OR($B4192="",$B4192="(blank)"),"",VLOOKUP($B4192,'Email Marketing Raw Data'!$C:$O,5,0)),"")</f>
        <v/>
      </c>
      <c r="I4192" s="55" t="str">
        <f>IFERROR(IF($G4192="","",VLOOKUP('Dashboard And Emails Automate'!$G4192,Database!$H:$N,3,0)),"")</f>
        <v/>
      </c>
      <c r="J4192" s="55" t="str">
        <f>IFERROR(IF($G4192="","",VLOOKUP('Dashboard And Emails Automate'!$G4192,Database!$H:$N,4,0)),"")</f>
        <v/>
      </c>
      <c r="K4192" s="55" t="str">
        <f>IFERROR(IF($G4192="","",VLOOKUP('Dashboard And Emails Automate'!$G4192,Database!$H:$N,5,0)),"")</f>
        <v/>
      </c>
      <c r="L4192" s="55" t="str">
        <f>IFERROR(IF($G4192="","",VLOOKUP('Dashboard And Emails Automate'!$G4192,Database!$H:$N,6,0)),"")</f>
        <v/>
      </c>
      <c r="M4192" s="55" t="str">
        <f>IFERROR(IF($G4192="","",VLOOKUP('Dashboard And Emails Automate'!$G4192,Database!$H:$N,7,0)),"")</f>
        <v/>
      </c>
      <c r="N4192" s="55" t="str">
        <f>IFERROR(IF(OR($B4192="",$B4192="(blank)"),"",VLOOKUP($B4192,'Email Marketing Raw Data'!$C:$O,6,0)),"")</f>
        <v/>
      </c>
      <c r="O4192" s="55" t="str">
        <f>IFERROR(IF(OR($B4192="",$B4192="(blank)"),"",VLOOKUP($B4192,'Email Marketing Raw Data'!$C:$O,7,0)),"")</f>
        <v/>
      </c>
      <c r="P4192" s="55" t="str">
        <f>IFERROR(IF(OR($B4192="",$B4192="(blank)"),"",VLOOKUP($B4192,'Email Marketing Raw Data'!$C:$O,8,0)),"")</f>
        <v/>
      </c>
      <c r="Q4192" s="62" t="str">
        <f>IFERROR(IF(OR($B4192="",$B4192="(blank)"),"",VLOOKUP($B4192,'Email Marketing Raw Data'!$C:$O,9,0)),"")</f>
        <v/>
      </c>
    </row>
    <row r="4193" spans="4:17" ht="12.75" customHeight="1" x14ac:dyDescent="0.2">
      <c r="D4193" s="58" t="str">
        <f>IFERROR(IF(F4193&lt;&gt;"pending","",IF(OR($B4193="",$B4193="(blank)"),"",VLOOKUP($B4193,'Email Marketing Raw Data'!$C:$O,10,0))),"")</f>
        <v/>
      </c>
      <c r="E4193" s="59" t="str">
        <f>IFERROR(IF(F4193&lt;&gt;"pending","",IF(OR($B4193="",$B4193="(blank)"),"",VLOOKUP($B4193,'Email Marketing Raw Data'!$C:$O,11,0))),"")</f>
        <v/>
      </c>
      <c r="F4193" s="54" t="str">
        <f>IFERROR(IF(OR($B4193="",$B4193="(blank)"),"",VLOOKUP($B4193,'Email Marketing Raw Data'!$C:$O,13,0)),"")</f>
        <v/>
      </c>
      <c r="G4193" s="55" t="str">
        <f>IFERROR(IF(OR($B4193="",$B4193="(blank)"),"",VLOOKUP($B4193,'Email Marketing Raw Data'!$C:$O,4,0)),"")</f>
        <v/>
      </c>
      <c r="H4193" s="55" t="str">
        <f>IFERROR(IF(OR($B4193="",$B4193="(blank)"),"",VLOOKUP($B4193,'Email Marketing Raw Data'!$C:$O,5,0)),"")</f>
        <v/>
      </c>
      <c r="I4193" s="55" t="str">
        <f>IFERROR(IF($G4193="","",VLOOKUP('Dashboard And Emails Automate'!$G4193,Database!$H:$N,3,0)),"")</f>
        <v/>
      </c>
      <c r="J4193" s="55" t="str">
        <f>IFERROR(IF($G4193="","",VLOOKUP('Dashboard And Emails Automate'!$G4193,Database!$H:$N,4,0)),"")</f>
        <v/>
      </c>
      <c r="K4193" s="55" t="str">
        <f>IFERROR(IF($G4193="","",VLOOKUP('Dashboard And Emails Automate'!$G4193,Database!$H:$N,5,0)),"")</f>
        <v/>
      </c>
      <c r="L4193" s="55" t="str">
        <f>IFERROR(IF($G4193="","",VLOOKUP('Dashboard And Emails Automate'!$G4193,Database!$H:$N,6,0)),"")</f>
        <v/>
      </c>
      <c r="M4193" s="55" t="str">
        <f>IFERROR(IF($G4193="","",VLOOKUP('Dashboard And Emails Automate'!$G4193,Database!$H:$N,7,0)),"")</f>
        <v/>
      </c>
      <c r="N4193" s="55" t="str">
        <f>IFERROR(IF(OR($B4193="",$B4193="(blank)"),"",VLOOKUP($B4193,'Email Marketing Raw Data'!$C:$O,6,0)),"")</f>
        <v/>
      </c>
      <c r="O4193" s="55" t="str">
        <f>IFERROR(IF(OR($B4193="",$B4193="(blank)"),"",VLOOKUP($B4193,'Email Marketing Raw Data'!$C:$O,7,0)),"")</f>
        <v/>
      </c>
      <c r="P4193" s="55" t="str">
        <f>IFERROR(IF(OR($B4193="",$B4193="(blank)"),"",VLOOKUP($B4193,'Email Marketing Raw Data'!$C:$O,8,0)),"")</f>
        <v/>
      </c>
      <c r="Q4193" s="62" t="str">
        <f>IFERROR(IF(OR($B4193="",$B4193="(blank)"),"",VLOOKUP($B4193,'Email Marketing Raw Data'!$C:$O,9,0)),"")</f>
        <v/>
      </c>
    </row>
    <row r="4194" spans="4:17" ht="12.75" customHeight="1" x14ac:dyDescent="0.2">
      <c r="D4194" s="58" t="str">
        <f>IFERROR(IF(F4194&lt;&gt;"pending","",IF(OR($B4194="",$B4194="(blank)"),"",VLOOKUP($B4194,'Email Marketing Raw Data'!$C:$O,10,0))),"")</f>
        <v/>
      </c>
      <c r="E4194" s="59" t="str">
        <f>IFERROR(IF(F4194&lt;&gt;"pending","",IF(OR($B4194="",$B4194="(blank)"),"",VLOOKUP($B4194,'Email Marketing Raw Data'!$C:$O,11,0))),"")</f>
        <v/>
      </c>
      <c r="F4194" s="54" t="str">
        <f>IFERROR(IF(OR($B4194="",$B4194="(blank)"),"",VLOOKUP($B4194,'Email Marketing Raw Data'!$C:$O,13,0)),"")</f>
        <v/>
      </c>
      <c r="G4194" s="55" t="str">
        <f>IFERROR(IF(OR($B4194="",$B4194="(blank)"),"",VLOOKUP($B4194,'Email Marketing Raw Data'!$C:$O,4,0)),"")</f>
        <v/>
      </c>
      <c r="H4194" s="55" t="str">
        <f>IFERROR(IF(OR($B4194="",$B4194="(blank)"),"",VLOOKUP($B4194,'Email Marketing Raw Data'!$C:$O,5,0)),"")</f>
        <v/>
      </c>
      <c r="I4194" s="55" t="str">
        <f>IFERROR(IF($G4194="","",VLOOKUP('Dashboard And Emails Automate'!$G4194,Database!$H:$N,3,0)),"")</f>
        <v/>
      </c>
      <c r="J4194" s="55" t="str">
        <f>IFERROR(IF($G4194="","",VLOOKUP('Dashboard And Emails Automate'!$G4194,Database!$H:$N,4,0)),"")</f>
        <v/>
      </c>
      <c r="K4194" s="55" t="str">
        <f>IFERROR(IF($G4194="","",VLOOKUP('Dashboard And Emails Automate'!$G4194,Database!$H:$N,5,0)),"")</f>
        <v/>
      </c>
      <c r="L4194" s="55" t="str">
        <f>IFERROR(IF($G4194="","",VLOOKUP('Dashboard And Emails Automate'!$G4194,Database!$H:$N,6,0)),"")</f>
        <v/>
      </c>
      <c r="M4194" s="55" t="str">
        <f>IFERROR(IF($G4194="","",VLOOKUP('Dashboard And Emails Automate'!$G4194,Database!$H:$N,7,0)),"")</f>
        <v/>
      </c>
      <c r="N4194" s="55" t="str">
        <f>IFERROR(IF(OR($B4194="",$B4194="(blank)"),"",VLOOKUP($B4194,'Email Marketing Raw Data'!$C:$O,6,0)),"")</f>
        <v/>
      </c>
      <c r="O4194" s="55" t="str">
        <f>IFERROR(IF(OR($B4194="",$B4194="(blank)"),"",VLOOKUP($B4194,'Email Marketing Raw Data'!$C:$O,7,0)),"")</f>
        <v/>
      </c>
      <c r="P4194" s="55" t="str">
        <f>IFERROR(IF(OR($B4194="",$B4194="(blank)"),"",VLOOKUP($B4194,'Email Marketing Raw Data'!$C:$O,8,0)),"")</f>
        <v/>
      </c>
      <c r="Q4194" s="62" t="str">
        <f>IFERROR(IF(OR($B4194="",$B4194="(blank)"),"",VLOOKUP($B4194,'Email Marketing Raw Data'!$C:$O,9,0)),"")</f>
        <v/>
      </c>
    </row>
    <row r="4195" spans="4:17" ht="12.75" customHeight="1" x14ac:dyDescent="0.2">
      <c r="D4195" s="58" t="str">
        <f>IFERROR(IF(F4195&lt;&gt;"pending","",IF(OR($B4195="",$B4195="(blank)"),"",VLOOKUP($B4195,'Email Marketing Raw Data'!$C:$O,10,0))),"")</f>
        <v/>
      </c>
      <c r="E4195" s="59" t="str">
        <f>IFERROR(IF(F4195&lt;&gt;"pending","",IF(OR($B4195="",$B4195="(blank)"),"",VLOOKUP($B4195,'Email Marketing Raw Data'!$C:$O,11,0))),"")</f>
        <v/>
      </c>
      <c r="F4195" s="54" t="str">
        <f>IFERROR(IF(OR($B4195="",$B4195="(blank)"),"",VLOOKUP($B4195,'Email Marketing Raw Data'!$C:$O,13,0)),"")</f>
        <v/>
      </c>
      <c r="G4195" s="55" t="str">
        <f>IFERROR(IF(OR($B4195="",$B4195="(blank)"),"",VLOOKUP($B4195,'Email Marketing Raw Data'!$C:$O,4,0)),"")</f>
        <v/>
      </c>
      <c r="H4195" s="55" t="str">
        <f>IFERROR(IF(OR($B4195="",$B4195="(blank)"),"",VLOOKUP($B4195,'Email Marketing Raw Data'!$C:$O,5,0)),"")</f>
        <v/>
      </c>
      <c r="I4195" s="55" t="str">
        <f>IFERROR(IF($G4195="","",VLOOKUP('Dashboard And Emails Automate'!$G4195,Database!$H:$N,3,0)),"")</f>
        <v/>
      </c>
      <c r="J4195" s="55" t="str">
        <f>IFERROR(IF($G4195="","",VLOOKUP('Dashboard And Emails Automate'!$G4195,Database!$H:$N,4,0)),"")</f>
        <v/>
      </c>
      <c r="K4195" s="55" t="str">
        <f>IFERROR(IF($G4195="","",VLOOKUP('Dashboard And Emails Automate'!$G4195,Database!$H:$N,5,0)),"")</f>
        <v/>
      </c>
      <c r="L4195" s="55" t="str">
        <f>IFERROR(IF($G4195="","",VLOOKUP('Dashboard And Emails Automate'!$G4195,Database!$H:$N,6,0)),"")</f>
        <v/>
      </c>
      <c r="M4195" s="55" t="str">
        <f>IFERROR(IF($G4195="","",VLOOKUP('Dashboard And Emails Automate'!$G4195,Database!$H:$N,7,0)),"")</f>
        <v/>
      </c>
      <c r="N4195" s="55" t="str">
        <f>IFERROR(IF(OR($B4195="",$B4195="(blank)"),"",VLOOKUP($B4195,'Email Marketing Raw Data'!$C:$O,6,0)),"")</f>
        <v/>
      </c>
      <c r="O4195" s="55" t="str">
        <f>IFERROR(IF(OR($B4195="",$B4195="(blank)"),"",VLOOKUP($B4195,'Email Marketing Raw Data'!$C:$O,7,0)),"")</f>
        <v/>
      </c>
      <c r="P4195" s="55" t="str">
        <f>IFERROR(IF(OR($B4195="",$B4195="(blank)"),"",VLOOKUP($B4195,'Email Marketing Raw Data'!$C:$O,8,0)),"")</f>
        <v/>
      </c>
      <c r="Q4195" s="62" t="str">
        <f>IFERROR(IF(OR($B4195="",$B4195="(blank)"),"",VLOOKUP($B4195,'Email Marketing Raw Data'!$C:$O,9,0)),"")</f>
        <v/>
      </c>
    </row>
    <row r="4196" spans="4:17" ht="12.75" customHeight="1" x14ac:dyDescent="0.2">
      <c r="D4196" s="58" t="str">
        <f>IFERROR(IF(F4196&lt;&gt;"pending","",IF(OR($B4196="",$B4196="(blank)"),"",VLOOKUP($B4196,'Email Marketing Raw Data'!$C:$O,10,0))),"")</f>
        <v/>
      </c>
      <c r="E4196" s="59" t="str">
        <f>IFERROR(IF(F4196&lt;&gt;"pending","",IF(OR($B4196="",$B4196="(blank)"),"",VLOOKUP($B4196,'Email Marketing Raw Data'!$C:$O,11,0))),"")</f>
        <v/>
      </c>
      <c r="F4196" s="54" t="str">
        <f>IFERROR(IF(OR($B4196="",$B4196="(blank)"),"",VLOOKUP($B4196,'Email Marketing Raw Data'!$C:$O,13,0)),"")</f>
        <v/>
      </c>
      <c r="G4196" s="55" t="str">
        <f>IFERROR(IF(OR($B4196="",$B4196="(blank)"),"",VLOOKUP($B4196,'Email Marketing Raw Data'!$C:$O,4,0)),"")</f>
        <v/>
      </c>
      <c r="H4196" s="55" t="str">
        <f>IFERROR(IF(OR($B4196="",$B4196="(blank)"),"",VLOOKUP($B4196,'Email Marketing Raw Data'!$C:$O,5,0)),"")</f>
        <v/>
      </c>
      <c r="I4196" s="55" t="str">
        <f>IFERROR(IF($G4196="","",VLOOKUP('Dashboard And Emails Automate'!$G4196,Database!$H:$N,3,0)),"")</f>
        <v/>
      </c>
      <c r="J4196" s="55" t="str">
        <f>IFERROR(IF($G4196="","",VLOOKUP('Dashboard And Emails Automate'!$G4196,Database!$H:$N,4,0)),"")</f>
        <v/>
      </c>
      <c r="K4196" s="55" t="str">
        <f>IFERROR(IF($G4196="","",VLOOKUP('Dashboard And Emails Automate'!$G4196,Database!$H:$N,5,0)),"")</f>
        <v/>
      </c>
      <c r="L4196" s="55" t="str">
        <f>IFERROR(IF($G4196="","",VLOOKUP('Dashboard And Emails Automate'!$G4196,Database!$H:$N,6,0)),"")</f>
        <v/>
      </c>
      <c r="M4196" s="55" t="str">
        <f>IFERROR(IF($G4196="","",VLOOKUP('Dashboard And Emails Automate'!$G4196,Database!$H:$N,7,0)),"")</f>
        <v/>
      </c>
      <c r="N4196" s="55" t="str">
        <f>IFERROR(IF(OR($B4196="",$B4196="(blank)"),"",VLOOKUP($B4196,'Email Marketing Raw Data'!$C:$O,6,0)),"")</f>
        <v/>
      </c>
      <c r="O4196" s="55" t="str">
        <f>IFERROR(IF(OR($B4196="",$B4196="(blank)"),"",VLOOKUP($B4196,'Email Marketing Raw Data'!$C:$O,7,0)),"")</f>
        <v/>
      </c>
      <c r="P4196" s="55" t="str">
        <f>IFERROR(IF(OR($B4196="",$B4196="(blank)"),"",VLOOKUP($B4196,'Email Marketing Raw Data'!$C:$O,8,0)),"")</f>
        <v/>
      </c>
      <c r="Q4196" s="62" t="str">
        <f>IFERROR(IF(OR($B4196="",$B4196="(blank)"),"",VLOOKUP($B4196,'Email Marketing Raw Data'!$C:$O,9,0)),"")</f>
        <v/>
      </c>
    </row>
    <row r="4197" spans="4:17" ht="12.75" customHeight="1" x14ac:dyDescent="0.2">
      <c r="D4197" s="58" t="str">
        <f>IFERROR(IF(F4197&lt;&gt;"pending","",IF(OR($B4197="",$B4197="(blank)"),"",VLOOKUP($B4197,'Email Marketing Raw Data'!$C:$O,10,0))),"")</f>
        <v/>
      </c>
      <c r="E4197" s="59" t="str">
        <f>IFERROR(IF(F4197&lt;&gt;"pending","",IF(OR($B4197="",$B4197="(blank)"),"",VLOOKUP($B4197,'Email Marketing Raw Data'!$C:$O,11,0))),"")</f>
        <v/>
      </c>
      <c r="F4197" s="54" t="str">
        <f>IFERROR(IF(OR($B4197="",$B4197="(blank)"),"",VLOOKUP($B4197,'Email Marketing Raw Data'!$C:$O,13,0)),"")</f>
        <v/>
      </c>
      <c r="G4197" s="55" t="str">
        <f>IFERROR(IF(OR($B4197="",$B4197="(blank)"),"",VLOOKUP($B4197,'Email Marketing Raw Data'!$C:$O,4,0)),"")</f>
        <v/>
      </c>
      <c r="H4197" s="55" t="str">
        <f>IFERROR(IF(OR($B4197="",$B4197="(blank)"),"",VLOOKUP($B4197,'Email Marketing Raw Data'!$C:$O,5,0)),"")</f>
        <v/>
      </c>
      <c r="I4197" s="55" t="str">
        <f>IFERROR(IF($G4197="","",VLOOKUP('Dashboard And Emails Automate'!$G4197,Database!$H:$N,3,0)),"")</f>
        <v/>
      </c>
      <c r="J4197" s="55" t="str">
        <f>IFERROR(IF($G4197="","",VLOOKUP('Dashboard And Emails Automate'!$G4197,Database!$H:$N,4,0)),"")</f>
        <v/>
      </c>
      <c r="K4197" s="55" t="str">
        <f>IFERROR(IF($G4197="","",VLOOKUP('Dashboard And Emails Automate'!$G4197,Database!$H:$N,5,0)),"")</f>
        <v/>
      </c>
      <c r="L4197" s="55" t="str">
        <f>IFERROR(IF($G4197="","",VLOOKUP('Dashboard And Emails Automate'!$G4197,Database!$H:$N,6,0)),"")</f>
        <v/>
      </c>
      <c r="M4197" s="55" t="str">
        <f>IFERROR(IF($G4197="","",VLOOKUP('Dashboard And Emails Automate'!$G4197,Database!$H:$N,7,0)),"")</f>
        <v/>
      </c>
      <c r="N4197" s="55" t="str">
        <f>IFERROR(IF(OR($B4197="",$B4197="(blank)"),"",VLOOKUP($B4197,'Email Marketing Raw Data'!$C:$O,6,0)),"")</f>
        <v/>
      </c>
      <c r="O4197" s="55" t="str">
        <f>IFERROR(IF(OR($B4197="",$B4197="(blank)"),"",VLOOKUP($B4197,'Email Marketing Raw Data'!$C:$O,7,0)),"")</f>
        <v/>
      </c>
      <c r="P4197" s="55" t="str">
        <f>IFERROR(IF(OR($B4197="",$B4197="(blank)"),"",VLOOKUP($B4197,'Email Marketing Raw Data'!$C:$O,8,0)),"")</f>
        <v/>
      </c>
      <c r="Q4197" s="62" t="str">
        <f>IFERROR(IF(OR($B4197="",$B4197="(blank)"),"",VLOOKUP($B4197,'Email Marketing Raw Data'!$C:$O,9,0)),"")</f>
        <v/>
      </c>
    </row>
    <row r="4198" spans="4:17" ht="12.75" customHeight="1" x14ac:dyDescent="0.2">
      <c r="D4198" s="58" t="str">
        <f>IFERROR(IF(F4198&lt;&gt;"pending","",IF(OR($B4198="",$B4198="(blank)"),"",VLOOKUP($B4198,'Email Marketing Raw Data'!$C:$O,10,0))),"")</f>
        <v/>
      </c>
      <c r="E4198" s="59" t="str">
        <f>IFERROR(IF(F4198&lt;&gt;"pending","",IF(OR($B4198="",$B4198="(blank)"),"",VLOOKUP($B4198,'Email Marketing Raw Data'!$C:$O,11,0))),"")</f>
        <v/>
      </c>
      <c r="F4198" s="54" t="str">
        <f>IFERROR(IF(OR($B4198="",$B4198="(blank)"),"",VLOOKUP($B4198,'Email Marketing Raw Data'!$C:$O,13,0)),"")</f>
        <v/>
      </c>
      <c r="G4198" s="55" t="str">
        <f>IFERROR(IF(OR($B4198="",$B4198="(blank)"),"",VLOOKUP($B4198,'Email Marketing Raw Data'!$C:$O,4,0)),"")</f>
        <v/>
      </c>
      <c r="H4198" s="55" t="str">
        <f>IFERROR(IF(OR($B4198="",$B4198="(blank)"),"",VLOOKUP($B4198,'Email Marketing Raw Data'!$C:$O,5,0)),"")</f>
        <v/>
      </c>
      <c r="I4198" s="55" t="str">
        <f>IFERROR(IF($G4198="","",VLOOKUP('Dashboard And Emails Automate'!$G4198,Database!$H:$N,3,0)),"")</f>
        <v/>
      </c>
      <c r="J4198" s="55" t="str">
        <f>IFERROR(IF($G4198="","",VLOOKUP('Dashboard And Emails Automate'!$G4198,Database!$H:$N,4,0)),"")</f>
        <v/>
      </c>
      <c r="K4198" s="55" t="str">
        <f>IFERROR(IF($G4198="","",VLOOKUP('Dashboard And Emails Automate'!$G4198,Database!$H:$N,5,0)),"")</f>
        <v/>
      </c>
      <c r="L4198" s="55" t="str">
        <f>IFERROR(IF($G4198="","",VLOOKUP('Dashboard And Emails Automate'!$G4198,Database!$H:$N,6,0)),"")</f>
        <v/>
      </c>
      <c r="M4198" s="55" t="str">
        <f>IFERROR(IF($G4198="","",VLOOKUP('Dashboard And Emails Automate'!$G4198,Database!$H:$N,7,0)),"")</f>
        <v/>
      </c>
      <c r="N4198" s="55" t="str">
        <f>IFERROR(IF(OR($B4198="",$B4198="(blank)"),"",VLOOKUP($B4198,'Email Marketing Raw Data'!$C:$O,6,0)),"")</f>
        <v/>
      </c>
      <c r="O4198" s="55" t="str">
        <f>IFERROR(IF(OR($B4198="",$B4198="(blank)"),"",VLOOKUP($B4198,'Email Marketing Raw Data'!$C:$O,7,0)),"")</f>
        <v/>
      </c>
      <c r="P4198" s="55" t="str">
        <f>IFERROR(IF(OR($B4198="",$B4198="(blank)"),"",VLOOKUP($B4198,'Email Marketing Raw Data'!$C:$O,8,0)),"")</f>
        <v/>
      </c>
      <c r="Q4198" s="62" t="str">
        <f>IFERROR(IF(OR($B4198="",$B4198="(blank)"),"",VLOOKUP($B4198,'Email Marketing Raw Data'!$C:$O,9,0)),"")</f>
        <v/>
      </c>
    </row>
    <row r="4199" spans="4:17" ht="12.75" customHeight="1" x14ac:dyDescent="0.2">
      <c r="D4199" s="58" t="str">
        <f>IFERROR(IF(F4199&lt;&gt;"pending","",IF(OR($B4199="",$B4199="(blank)"),"",VLOOKUP($B4199,'Email Marketing Raw Data'!$C:$O,10,0))),"")</f>
        <v/>
      </c>
      <c r="E4199" s="59" t="str">
        <f>IFERROR(IF(F4199&lt;&gt;"pending","",IF(OR($B4199="",$B4199="(blank)"),"",VLOOKUP($B4199,'Email Marketing Raw Data'!$C:$O,11,0))),"")</f>
        <v/>
      </c>
      <c r="F4199" s="54" t="str">
        <f>IFERROR(IF(OR($B4199="",$B4199="(blank)"),"",VLOOKUP($B4199,'Email Marketing Raw Data'!$C:$O,13,0)),"")</f>
        <v/>
      </c>
      <c r="G4199" s="55" t="str">
        <f>IFERROR(IF(OR($B4199="",$B4199="(blank)"),"",VLOOKUP($B4199,'Email Marketing Raw Data'!$C:$O,4,0)),"")</f>
        <v/>
      </c>
      <c r="H4199" s="55" t="str">
        <f>IFERROR(IF(OR($B4199="",$B4199="(blank)"),"",VLOOKUP($B4199,'Email Marketing Raw Data'!$C:$O,5,0)),"")</f>
        <v/>
      </c>
      <c r="I4199" s="55" t="str">
        <f>IFERROR(IF($G4199="","",VLOOKUP('Dashboard And Emails Automate'!$G4199,Database!$H:$N,3,0)),"")</f>
        <v/>
      </c>
      <c r="J4199" s="55" t="str">
        <f>IFERROR(IF($G4199="","",VLOOKUP('Dashboard And Emails Automate'!$G4199,Database!$H:$N,4,0)),"")</f>
        <v/>
      </c>
      <c r="K4199" s="55" t="str">
        <f>IFERROR(IF($G4199="","",VLOOKUP('Dashboard And Emails Automate'!$G4199,Database!$H:$N,5,0)),"")</f>
        <v/>
      </c>
      <c r="L4199" s="55" t="str">
        <f>IFERROR(IF($G4199="","",VLOOKUP('Dashboard And Emails Automate'!$G4199,Database!$H:$N,6,0)),"")</f>
        <v/>
      </c>
      <c r="M4199" s="55" t="str">
        <f>IFERROR(IF($G4199="","",VLOOKUP('Dashboard And Emails Automate'!$G4199,Database!$H:$N,7,0)),"")</f>
        <v/>
      </c>
      <c r="N4199" s="55" t="str">
        <f>IFERROR(IF(OR($B4199="",$B4199="(blank)"),"",VLOOKUP($B4199,'Email Marketing Raw Data'!$C:$O,6,0)),"")</f>
        <v/>
      </c>
      <c r="O4199" s="55" t="str">
        <f>IFERROR(IF(OR($B4199="",$B4199="(blank)"),"",VLOOKUP($B4199,'Email Marketing Raw Data'!$C:$O,7,0)),"")</f>
        <v/>
      </c>
      <c r="P4199" s="55" t="str">
        <f>IFERROR(IF(OR($B4199="",$B4199="(blank)"),"",VLOOKUP($B4199,'Email Marketing Raw Data'!$C:$O,8,0)),"")</f>
        <v/>
      </c>
      <c r="Q4199" s="62" t="str">
        <f>IFERROR(IF(OR($B4199="",$B4199="(blank)"),"",VLOOKUP($B4199,'Email Marketing Raw Data'!$C:$O,9,0)),"")</f>
        <v/>
      </c>
    </row>
    <row r="4200" spans="4:17" ht="12.75" customHeight="1" x14ac:dyDescent="0.2">
      <c r="D4200" s="58" t="str">
        <f>IFERROR(IF(F4200&lt;&gt;"pending","",IF(OR($B4200="",$B4200="(blank)"),"",VLOOKUP($B4200,'Email Marketing Raw Data'!$C:$O,10,0))),"")</f>
        <v/>
      </c>
      <c r="E4200" s="59" t="str">
        <f>IFERROR(IF(F4200&lt;&gt;"pending","",IF(OR($B4200="",$B4200="(blank)"),"",VLOOKUP($B4200,'Email Marketing Raw Data'!$C:$O,11,0))),"")</f>
        <v/>
      </c>
      <c r="F4200" s="54" t="str">
        <f>IFERROR(IF(OR($B4200="",$B4200="(blank)"),"",VLOOKUP($B4200,'Email Marketing Raw Data'!$C:$O,13,0)),"")</f>
        <v/>
      </c>
      <c r="G4200" s="55" t="str">
        <f>IFERROR(IF(OR($B4200="",$B4200="(blank)"),"",VLOOKUP($B4200,'Email Marketing Raw Data'!$C:$O,4,0)),"")</f>
        <v/>
      </c>
      <c r="H4200" s="55" t="str">
        <f>IFERROR(IF(OR($B4200="",$B4200="(blank)"),"",VLOOKUP($B4200,'Email Marketing Raw Data'!$C:$O,5,0)),"")</f>
        <v/>
      </c>
      <c r="I4200" s="55" t="str">
        <f>IFERROR(IF($G4200="","",VLOOKUP('Dashboard And Emails Automate'!$G4200,Database!$H:$N,3,0)),"")</f>
        <v/>
      </c>
      <c r="J4200" s="55" t="str">
        <f>IFERROR(IF($G4200="","",VLOOKUP('Dashboard And Emails Automate'!$G4200,Database!$H:$N,4,0)),"")</f>
        <v/>
      </c>
      <c r="K4200" s="55" t="str">
        <f>IFERROR(IF($G4200="","",VLOOKUP('Dashboard And Emails Automate'!$G4200,Database!$H:$N,5,0)),"")</f>
        <v/>
      </c>
      <c r="L4200" s="55" t="str">
        <f>IFERROR(IF($G4200="","",VLOOKUP('Dashboard And Emails Automate'!$G4200,Database!$H:$N,6,0)),"")</f>
        <v/>
      </c>
      <c r="M4200" s="55" t="str">
        <f>IFERROR(IF($G4200="","",VLOOKUP('Dashboard And Emails Automate'!$G4200,Database!$H:$N,7,0)),"")</f>
        <v/>
      </c>
      <c r="N4200" s="55" t="str">
        <f>IFERROR(IF(OR($B4200="",$B4200="(blank)"),"",VLOOKUP($B4200,'Email Marketing Raw Data'!$C:$O,6,0)),"")</f>
        <v/>
      </c>
      <c r="O4200" s="55" t="str">
        <f>IFERROR(IF(OR($B4200="",$B4200="(blank)"),"",VLOOKUP($B4200,'Email Marketing Raw Data'!$C:$O,7,0)),"")</f>
        <v/>
      </c>
      <c r="P4200" s="55" t="str">
        <f>IFERROR(IF(OR($B4200="",$B4200="(blank)"),"",VLOOKUP($B4200,'Email Marketing Raw Data'!$C:$O,8,0)),"")</f>
        <v/>
      </c>
      <c r="Q4200" s="62" t="str">
        <f>IFERROR(IF(OR($B4200="",$B4200="(blank)"),"",VLOOKUP($B4200,'Email Marketing Raw Data'!$C:$O,9,0)),"")</f>
        <v/>
      </c>
    </row>
    <row r="4201" spans="4:17" ht="12.75" customHeight="1" x14ac:dyDescent="0.2">
      <c r="D4201" s="58" t="str">
        <f>IFERROR(IF(F4201&lt;&gt;"pending","",IF(OR($B4201="",$B4201="(blank)"),"",VLOOKUP($B4201,'Email Marketing Raw Data'!$C:$O,10,0))),"")</f>
        <v/>
      </c>
      <c r="E4201" s="59" t="str">
        <f>IFERROR(IF(F4201&lt;&gt;"pending","",IF(OR($B4201="",$B4201="(blank)"),"",VLOOKUP($B4201,'Email Marketing Raw Data'!$C:$O,11,0))),"")</f>
        <v/>
      </c>
      <c r="F4201" s="54" t="str">
        <f>IFERROR(IF(OR($B4201="",$B4201="(blank)"),"",VLOOKUP($B4201,'Email Marketing Raw Data'!$C:$O,13,0)),"")</f>
        <v/>
      </c>
      <c r="G4201" s="55" t="str">
        <f>IFERROR(IF(OR($B4201="",$B4201="(blank)"),"",VLOOKUP($B4201,'Email Marketing Raw Data'!$C:$O,4,0)),"")</f>
        <v/>
      </c>
      <c r="H4201" s="55" t="str">
        <f>IFERROR(IF(OR($B4201="",$B4201="(blank)"),"",VLOOKUP($B4201,'Email Marketing Raw Data'!$C:$O,5,0)),"")</f>
        <v/>
      </c>
      <c r="I4201" s="55" t="str">
        <f>IFERROR(IF($G4201="","",VLOOKUP('Dashboard And Emails Automate'!$G4201,Database!$H:$N,3,0)),"")</f>
        <v/>
      </c>
      <c r="J4201" s="55" t="str">
        <f>IFERROR(IF($G4201="","",VLOOKUP('Dashboard And Emails Automate'!$G4201,Database!$H:$N,4,0)),"")</f>
        <v/>
      </c>
      <c r="K4201" s="55" t="str">
        <f>IFERROR(IF($G4201="","",VLOOKUP('Dashboard And Emails Automate'!$G4201,Database!$H:$N,5,0)),"")</f>
        <v/>
      </c>
      <c r="L4201" s="55" t="str">
        <f>IFERROR(IF($G4201="","",VLOOKUP('Dashboard And Emails Automate'!$G4201,Database!$H:$N,6,0)),"")</f>
        <v/>
      </c>
      <c r="M4201" s="55" t="str">
        <f>IFERROR(IF($G4201="","",VLOOKUP('Dashboard And Emails Automate'!$G4201,Database!$H:$N,7,0)),"")</f>
        <v/>
      </c>
      <c r="N4201" s="55" t="str">
        <f>IFERROR(IF(OR($B4201="",$B4201="(blank)"),"",VLOOKUP($B4201,'Email Marketing Raw Data'!$C:$O,6,0)),"")</f>
        <v/>
      </c>
      <c r="O4201" s="55" t="str">
        <f>IFERROR(IF(OR($B4201="",$B4201="(blank)"),"",VLOOKUP($B4201,'Email Marketing Raw Data'!$C:$O,7,0)),"")</f>
        <v/>
      </c>
      <c r="P4201" s="55" t="str">
        <f>IFERROR(IF(OR($B4201="",$B4201="(blank)"),"",VLOOKUP($B4201,'Email Marketing Raw Data'!$C:$O,8,0)),"")</f>
        <v/>
      </c>
      <c r="Q4201" s="62" t="str">
        <f>IFERROR(IF(OR($B4201="",$B4201="(blank)"),"",VLOOKUP($B4201,'Email Marketing Raw Data'!$C:$O,9,0)),"")</f>
        <v/>
      </c>
    </row>
    <row r="4202" spans="4:17" ht="12.75" customHeight="1" x14ac:dyDescent="0.2">
      <c r="D4202" s="58" t="str">
        <f>IFERROR(IF(F4202&lt;&gt;"pending","",IF(OR($B4202="",$B4202="(blank)"),"",VLOOKUP($B4202,'Email Marketing Raw Data'!$C:$O,10,0))),"")</f>
        <v/>
      </c>
      <c r="E4202" s="59" t="str">
        <f>IFERROR(IF(F4202&lt;&gt;"pending","",IF(OR($B4202="",$B4202="(blank)"),"",VLOOKUP($B4202,'Email Marketing Raw Data'!$C:$O,11,0))),"")</f>
        <v/>
      </c>
      <c r="F4202" s="54" t="str">
        <f>IFERROR(IF(OR($B4202="",$B4202="(blank)"),"",VLOOKUP($B4202,'Email Marketing Raw Data'!$C:$O,13,0)),"")</f>
        <v/>
      </c>
      <c r="G4202" s="55" t="str">
        <f>IFERROR(IF(OR($B4202="",$B4202="(blank)"),"",VLOOKUP($B4202,'Email Marketing Raw Data'!$C:$O,4,0)),"")</f>
        <v/>
      </c>
      <c r="H4202" s="55" t="str">
        <f>IFERROR(IF(OR($B4202="",$B4202="(blank)"),"",VLOOKUP($B4202,'Email Marketing Raw Data'!$C:$O,5,0)),"")</f>
        <v/>
      </c>
      <c r="I4202" s="55" t="str">
        <f>IFERROR(IF($G4202="","",VLOOKUP('Dashboard And Emails Automate'!$G4202,Database!$H:$N,3,0)),"")</f>
        <v/>
      </c>
      <c r="J4202" s="55" t="str">
        <f>IFERROR(IF($G4202="","",VLOOKUP('Dashboard And Emails Automate'!$G4202,Database!$H:$N,4,0)),"")</f>
        <v/>
      </c>
      <c r="K4202" s="55" t="str">
        <f>IFERROR(IF($G4202="","",VLOOKUP('Dashboard And Emails Automate'!$G4202,Database!$H:$N,5,0)),"")</f>
        <v/>
      </c>
      <c r="L4202" s="55" t="str">
        <f>IFERROR(IF($G4202="","",VLOOKUP('Dashboard And Emails Automate'!$G4202,Database!$H:$N,6,0)),"")</f>
        <v/>
      </c>
      <c r="M4202" s="55" t="str">
        <f>IFERROR(IF($G4202="","",VLOOKUP('Dashboard And Emails Automate'!$G4202,Database!$H:$N,7,0)),"")</f>
        <v/>
      </c>
      <c r="N4202" s="55" t="str">
        <f>IFERROR(IF(OR($B4202="",$B4202="(blank)"),"",VLOOKUP($B4202,'Email Marketing Raw Data'!$C:$O,6,0)),"")</f>
        <v/>
      </c>
      <c r="O4202" s="55" t="str">
        <f>IFERROR(IF(OR($B4202="",$B4202="(blank)"),"",VLOOKUP($B4202,'Email Marketing Raw Data'!$C:$O,7,0)),"")</f>
        <v/>
      </c>
      <c r="P4202" s="55" t="str">
        <f>IFERROR(IF(OR($B4202="",$B4202="(blank)"),"",VLOOKUP($B4202,'Email Marketing Raw Data'!$C:$O,8,0)),"")</f>
        <v/>
      </c>
      <c r="Q4202" s="62" t="str">
        <f>IFERROR(IF(OR($B4202="",$B4202="(blank)"),"",VLOOKUP($B4202,'Email Marketing Raw Data'!$C:$O,9,0)),"")</f>
        <v/>
      </c>
    </row>
    <row r="4203" spans="4:17" ht="12.75" customHeight="1" x14ac:dyDescent="0.2">
      <c r="D4203" s="58" t="str">
        <f>IFERROR(IF(F4203&lt;&gt;"pending","",IF(OR($B4203="",$B4203="(blank)"),"",VLOOKUP($B4203,'Email Marketing Raw Data'!$C:$O,10,0))),"")</f>
        <v/>
      </c>
      <c r="E4203" s="59" t="str">
        <f>IFERROR(IF(F4203&lt;&gt;"pending","",IF(OR($B4203="",$B4203="(blank)"),"",VLOOKUP($B4203,'Email Marketing Raw Data'!$C:$O,11,0))),"")</f>
        <v/>
      </c>
      <c r="F4203" s="54" t="str">
        <f>IFERROR(IF(OR($B4203="",$B4203="(blank)"),"",VLOOKUP($B4203,'Email Marketing Raw Data'!$C:$O,13,0)),"")</f>
        <v/>
      </c>
      <c r="G4203" s="55" t="str">
        <f>IFERROR(IF(OR($B4203="",$B4203="(blank)"),"",VLOOKUP($B4203,'Email Marketing Raw Data'!$C:$O,4,0)),"")</f>
        <v/>
      </c>
      <c r="H4203" s="55" t="str">
        <f>IFERROR(IF(OR($B4203="",$B4203="(blank)"),"",VLOOKUP($B4203,'Email Marketing Raw Data'!$C:$O,5,0)),"")</f>
        <v/>
      </c>
      <c r="I4203" s="55" t="str">
        <f>IFERROR(IF($G4203="","",VLOOKUP('Dashboard And Emails Automate'!$G4203,Database!$H:$N,3,0)),"")</f>
        <v/>
      </c>
      <c r="J4203" s="55" t="str">
        <f>IFERROR(IF($G4203="","",VLOOKUP('Dashboard And Emails Automate'!$G4203,Database!$H:$N,4,0)),"")</f>
        <v/>
      </c>
      <c r="K4203" s="55" t="str">
        <f>IFERROR(IF($G4203="","",VLOOKUP('Dashboard And Emails Automate'!$G4203,Database!$H:$N,5,0)),"")</f>
        <v/>
      </c>
      <c r="L4203" s="55" t="str">
        <f>IFERROR(IF($G4203="","",VLOOKUP('Dashboard And Emails Automate'!$G4203,Database!$H:$N,6,0)),"")</f>
        <v/>
      </c>
      <c r="M4203" s="55" t="str">
        <f>IFERROR(IF($G4203="","",VLOOKUP('Dashboard And Emails Automate'!$G4203,Database!$H:$N,7,0)),"")</f>
        <v/>
      </c>
      <c r="N4203" s="55" t="str">
        <f>IFERROR(IF(OR($B4203="",$B4203="(blank)"),"",VLOOKUP($B4203,'Email Marketing Raw Data'!$C:$O,6,0)),"")</f>
        <v/>
      </c>
      <c r="O4203" s="55" t="str">
        <f>IFERROR(IF(OR($B4203="",$B4203="(blank)"),"",VLOOKUP($B4203,'Email Marketing Raw Data'!$C:$O,7,0)),"")</f>
        <v/>
      </c>
      <c r="P4203" s="55" t="str">
        <f>IFERROR(IF(OR($B4203="",$B4203="(blank)"),"",VLOOKUP($B4203,'Email Marketing Raw Data'!$C:$O,8,0)),"")</f>
        <v/>
      </c>
      <c r="Q4203" s="62" t="str">
        <f>IFERROR(IF(OR($B4203="",$B4203="(blank)"),"",VLOOKUP($B4203,'Email Marketing Raw Data'!$C:$O,9,0)),"")</f>
        <v/>
      </c>
    </row>
    <row r="4204" spans="4:17" ht="12.75" customHeight="1" x14ac:dyDescent="0.2">
      <c r="D4204" s="58" t="str">
        <f>IFERROR(IF(F4204&lt;&gt;"pending","",IF(OR($B4204="",$B4204="(blank)"),"",VLOOKUP($B4204,'Email Marketing Raw Data'!$C:$O,10,0))),"")</f>
        <v/>
      </c>
      <c r="E4204" s="59" t="str">
        <f>IFERROR(IF(F4204&lt;&gt;"pending","",IF(OR($B4204="",$B4204="(blank)"),"",VLOOKUP($B4204,'Email Marketing Raw Data'!$C:$O,11,0))),"")</f>
        <v/>
      </c>
      <c r="F4204" s="54" t="str">
        <f>IFERROR(IF(OR($B4204="",$B4204="(blank)"),"",VLOOKUP($B4204,'Email Marketing Raw Data'!$C:$O,13,0)),"")</f>
        <v/>
      </c>
      <c r="G4204" s="55" t="str">
        <f>IFERROR(IF(OR($B4204="",$B4204="(blank)"),"",VLOOKUP($B4204,'Email Marketing Raw Data'!$C:$O,4,0)),"")</f>
        <v/>
      </c>
      <c r="H4204" s="55" t="str">
        <f>IFERROR(IF(OR($B4204="",$B4204="(blank)"),"",VLOOKUP($B4204,'Email Marketing Raw Data'!$C:$O,5,0)),"")</f>
        <v/>
      </c>
      <c r="I4204" s="55" t="str">
        <f>IFERROR(IF($G4204="","",VLOOKUP('Dashboard And Emails Automate'!$G4204,Database!$H:$N,3,0)),"")</f>
        <v/>
      </c>
      <c r="J4204" s="55" t="str">
        <f>IFERROR(IF($G4204="","",VLOOKUP('Dashboard And Emails Automate'!$G4204,Database!$H:$N,4,0)),"")</f>
        <v/>
      </c>
      <c r="K4204" s="55" t="str">
        <f>IFERROR(IF($G4204="","",VLOOKUP('Dashboard And Emails Automate'!$G4204,Database!$H:$N,5,0)),"")</f>
        <v/>
      </c>
      <c r="L4204" s="55" t="str">
        <f>IFERROR(IF($G4204="","",VLOOKUP('Dashboard And Emails Automate'!$G4204,Database!$H:$N,6,0)),"")</f>
        <v/>
      </c>
      <c r="M4204" s="55" t="str">
        <f>IFERROR(IF($G4204="","",VLOOKUP('Dashboard And Emails Automate'!$G4204,Database!$H:$N,7,0)),"")</f>
        <v/>
      </c>
      <c r="N4204" s="55" t="str">
        <f>IFERROR(IF(OR($B4204="",$B4204="(blank)"),"",VLOOKUP($B4204,'Email Marketing Raw Data'!$C:$O,6,0)),"")</f>
        <v/>
      </c>
      <c r="O4204" s="55" t="str">
        <f>IFERROR(IF(OR($B4204="",$B4204="(blank)"),"",VLOOKUP($B4204,'Email Marketing Raw Data'!$C:$O,7,0)),"")</f>
        <v/>
      </c>
      <c r="P4204" s="55" t="str">
        <f>IFERROR(IF(OR($B4204="",$B4204="(blank)"),"",VLOOKUP($B4204,'Email Marketing Raw Data'!$C:$O,8,0)),"")</f>
        <v/>
      </c>
      <c r="Q4204" s="62" t="str">
        <f>IFERROR(IF(OR($B4204="",$B4204="(blank)"),"",VLOOKUP($B4204,'Email Marketing Raw Data'!$C:$O,9,0)),"")</f>
        <v/>
      </c>
    </row>
    <row r="4205" spans="4:17" ht="12.75" customHeight="1" x14ac:dyDescent="0.2">
      <c r="D4205" s="58" t="str">
        <f>IFERROR(IF(F4205&lt;&gt;"pending","",IF(OR($B4205="",$B4205="(blank)"),"",VLOOKUP($B4205,'Email Marketing Raw Data'!$C:$O,10,0))),"")</f>
        <v/>
      </c>
      <c r="E4205" s="59" t="str">
        <f>IFERROR(IF(F4205&lt;&gt;"pending","",IF(OR($B4205="",$B4205="(blank)"),"",VLOOKUP($B4205,'Email Marketing Raw Data'!$C:$O,11,0))),"")</f>
        <v/>
      </c>
      <c r="F4205" s="54" t="str">
        <f>IFERROR(IF(OR($B4205="",$B4205="(blank)"),"",VLOOKUP($B4205,'Email Marketing Raw Data'!$C:$O,13,0)),"")</f>
        <v/>
      </c>
      <c r="G4205" s="55" t="str">
        <f>IFERROR(IF(OR($B4205="",$B4205="(blank)"),"",VLOOKUP($B4205,'Email Marketing Raw Data'!$C:$O,4,0)),"")</f>
        <v/>
      </c>
      <c r="H4205" s="55" t="str">
        <f>IFERROR(IF(OR($B4205="",$B4205="(blank)"),"",VLOOKUP($B4205,'Email Marketing Raw Data'!$C:$O,5,0)),"")</f>
        <v/>
      </c>
      <c r="I4205" s="55" t="str">
        <f>IFERROR(IF($G4205="","",VLOOKUP('Dashboard And Emails Automate'!$G4205,Database!$H:$N,3,0)),"")</f>
        <v/>
      </c>
      <c r="J4205" s="55" t="str">
        <f>IFERROR(IF($G4205="","",VLOOKUP('Dashboard And Emails Automate'!$G4205,Database!$H:$N,4,0)),"")</f>
        <v/>
      </c>
      <c r="K4205" s="55" t="str">
        <f>IFERROR(IF($G4205="","",VLOOKUP('Dashboard And Emails Automate'!$G4205,Database!$H:$N,5,0)),"")</f>
        <v/>
      </c>
      <c r="L4205" s="55" t="str">
        <f>IFERROR(IF($G4205="","",VLOOKUP('Dashboard And Emails Automate'!$G4205,Database!$H:$N,6,0)),"")</f>
        <v/>
      </c>
      <c r="M4205" s="55" t="str">
        <f>IFERROR(IF($G4205="","",VLOOKUP('Dashboard And Emails Automate'!$G4205,Database!$H:$N,7,0)),"")</f>
        <v/>
      </c>
      <c r="N4205" s="55" t="str">
        <f>IFERROR(IF(OR($B4205="",$B4205="(blank)"),"",VLOOKUP($B4205,'Email Marketing Raw Data'!$C:$O,6,0)),"")</f>
        <v/>
      </c>
      <c r="O4205" s="55" t="str">
        <f>IFERROR(IF(OR($B4205="",$B4205="(blank)"),"",VLOOKUP($B4205,'Email Marketing Raw Data'!$C:$O,7,0)),"")</f>
        <v/>
      </c>
      <c r="P4205" s="55" t="str">
        <f>IFERROR(IF(OR($B4205="",$B4205="(blank)"),"",VLOOKUP($B4205,'Email Marketing Raw Data'!$C:$O,8,0)),"")</f>
        <v/>
      </c>
      <c r="Q4205" s="62" t="str">
        <f>IFERROR(IF(OR($B4205="",$B4205="(blank)"),"",VLOOKUP($B4205,'Email Marketing Raw Data'!$C:$O,9,0)),"")</f>
        <v/>
      </c>
    </row>
    <row r="4206" spans="4:17" ht="12.75" customHeight="1" x14ac:dyDescent="0.2">
      <c r="D4206" s="58" t="str">
        <f>IFERROR(IF(F4206&lt;&gt;"pending","",IF(OR($B4206="",$B4206="(blank)"),"",VLOOKUP($B4206,'Email Marketing Raw Data'!$C:$O,10,0))),"")</f>
        <v/>
      </c>
      <c r="E4206" s="59" t="str">
        <f>IFERROR(IF(F4206&lt;&gt;"pending","",IF(OR($B4206="",$B4206="(blank)"),"",VLOOKUP($B4206,'Email Marketing Raw Data'!$C:$O,11,0))),"")</f>
        <v/>
      </c>
      <c r="F4206" s="54" t="str">
        <f>IFERROR(IF(OR($B4206="",$B4206="(blank)"),"",VLOOKUP($B4206,'Email Marketing Raw Data'!$C:$O,13,0)),"")</f>
        <v/>
      </c>
      <c r="G4206" s="55" t="str">
        <f>IFERROR(IF(OR($B4206="",$B4206="(blank)"),"",VLOOKUP($B4206,'Email Marketing Raw Data'!$C:$O,4,0)),"")</f>
        <v/>
      </c>
      <c r="H4206" s="55" t="str">
        <f>IFERROR(IF(OR($B4206="",$B4206="(blank)"),"",VLOOKUP($B4206,'Email Marketing Raw Data'!$C:$O,5,0)),"")</f>
        <v/>
      </c>
      <c r="I4206" s="55" t="str">
        <f>IFERROR(IF($G4206="","",VLOOKUP('Dashboard And Emails Automate'!$G4206,Database!$H:$N,3,0)),"")</f>
        <v/>
      </c>
      <c r="J4206" s="55" t="str">
        <f>IFERROR(IF($G4206="","",VLOOKUP('Dashboard And Emails Automate'!$G4206,Database!$H:$N,4,0)),"")</f>
        <v/>
      </c>
      <c r="K4206" s="55" t="str">
        <f>IFERROR(IF($G4206="","",VLOOKUP('Dashboard And Emails Automate'!$G4206,Database!$H:$N,5,0)),"")</f>
        <v/>
      </c>
      <c r="L4206" s="55" t="str">
        <f>IFERROR(IF($G4206="","",VLOOKUP('Dashboard And Emails Automate'!$G4206,Database!$H:$N,6,0)),"")</f>
        <v/>
      </c>
      <c r="M4206" s="55" t="str">
        <f>IFERROR(IF($G4206="","",VLOOKUP('Dashboard And Emails Automate'!$G4206,Database!$H:$N,7,0)),"")</f>
        <v/>
      </c>
      <c r="N4206" s="55" t="str">
        <f>IFERROR(IF(OR($B4206="",$B4206="(blank)"),"",VLOOKUP($B4206,'Email Marketing Raw Data'!$C:$O,6,0)),"")</f>
        <v/>
      </c>
      <c r="O4206" s="55" t="str">
        <f>IFERROR(IF(OR($B4206="",$B4206="(blank)"),"",VLOOKUP($B4206,'Email Marketing Raw Data'!$C:$O,7,0)),"")</f>
        <v/>
      </c>
      <c r="P4206" s="55" t="str">
        <f>IFERROR(IF(OR($B4206="",$B4206="(blank)"),"",VLOOKUP($B4206,'Email Marketing Raw Data'!$C:$O,8,0)),"")</f>
        <v/>
      </c>
      <c r="Q4206" s="62" t="str">
        <f>IFERROR(IF(OR($B4206="",$B4206="(blank)"),"",VLOOKUP($B4206,'Email Marketing Raw Data'!$C:$O,9,0)),"")</f>
        <v/>
      </c>
    </row>
    <row r="4207" spans="4:17" ht="12.75" customHeight="1" x14ac:dyDescent="0.2">
      <c r="D4207" s="58" t="str">
        <f>IFERROR(IF(F4207&lt;&gt;"pending","",IF(OR($B4207="",$B4207="(blank)"),"",VLOOKUP($B4207,'Email Marketing Raw Data'!$C:$O,10,0))),"")</f>
        <v/>
      </c>
      <c r="E4207" s="59" t="str">
        <f>IFERROR(IF(F4207&lt;&gt;"pending","",IF(OR($B4207="",$B4207="(blank)"),"",VLOOKUP($B4207,'Email Marketing Raw Data'!$C:$O,11,0))),"")</f>
        <v/>
      </c>
      <c r="F4207" s="54" t="str">
        <f>IFERROR(IF(OR($B4207="",$B4207="(blank)"),"",VLOOKUP($B4207,'Email Marketing Raw Data'!$C:$O,13,0)),"")</f>
        <v/>
      </c>
      <c r="G4207" s="55" t="str">
        <f>IFERROR(IF(OR($B4207="",$B4207="(blank)"),"",VLOOKUP($B4207,'Email Marketing Raw Data'!$C:$O,4,0)),"")</f>
        <v/>
      </c>
      <c r="H4207" s="55" t="str">
        <f>IFERROR(IF(OR($B4207="",$B4207="(blank)"),"",VLOOKUP($B4207,'Email Marketing Raw Data'!$C:$O,5,0)),"")</f>
        <v/>
      </c>
      <c r="I4207" s="55" t="str">
        <f>IFERROR(IF($G4207="","",VLOOKUP('Dashboard And Emails Automate'!$G4207,Database!$H:$N,3,0)),"")</f>
        <v/>
      </c>
      <c r="J4207" s="55" t="str">
        <f>IFERROR(IF($G4207="","",VLOOKUP('Dashboard And Emails Automate'!$G4207,Database!$H:$N,4,0)),"")</f>
        <v/>
      </c>
      <c r="K4207" s="55" t="str">
        <f>IFERROR(IF($G4207="","",VLOOKUP('Dashboard And Emails Automate'!$G4207,Database!$H:$N,5,0)),"")</f>
        <v/>
      </c>
      <c r="L4207" s="55" t="str">
        <f>IFERROR(IF($G4207="","",VLOOKUP('Dashboard And Emails Automate'!$G4207,Database!$H:$N,6,0)),"")</f>
        <v/>
      </c>
      <c r="M4207" s="55" t="str">
        <f>IFERROR(IF($G4207="","",VLOOKUP('Dashboard And Emails Automate'!$G4207,Database!$H:$N,7,0)),"")</f>
        <v/>
      </c>
      <c r="N4207" s="55" t="str">
        <f>IFERROR(IF(OR($B4207="",$B4207="(blank)"),"",VLOOKUP($B4207,'Email Marketing Raw Data'!$C:$O,6,0)),"")</f>
        <v/>
      </c>
      <c r="O4207" s="55" t="str">
        <f>IFERROR(IF(OR($B4207="",$B4207="(blank)"),"",VLOOKUP($B4207,'Email Marketing Raw Data'!$C:$O,7,0)),"")</f>
        <v/>
      </c>
      <c r="P4207" s="55" t="str">
        <f>IFERROR(IF(OR($B4207="",$B4207="(blank)"),"",VLOOKUP($B4207,'Email Marketing Raw Data'!$C:$O,8,0)),"")</f>
        <v/>
      </c>
      <c r="Q4207" s="62" t="str">
        <f>IFERROR(IF(OR($B4207="",$B4207="(blank)"),"",VLOOKUP($B4207,'Email Marketing Raw Data'!$C:$O,9,0)),"")</f>
        <v/>
      </c>
    </row>
    <row r="4208" spans="4:17" ht="12.75" customHeight="1" x14ac:dyDescent="0.2">
      <c r="D4208" s="58" t="str">
        <f>IFERROR(IF(F4208&lt;&gt;"pending","",IF(OR($B4208="",$B4208="(blank)"),"",VLOOKUP($B4208,'Email Marketing Raw Data'!$C:$O,10,0))),"")</f>
        <v/>
      </c>
      <c r="E4208" s="59" t="str">
        <f>IFERROR(IF(F4208&lt;&gt;"pending","",IF(OR($B4208="",$B4208="(blank)"),"",VLOOKUP($B4208,'Email Marketing Raw Data'!$C:$O,11,0))),"")</f>
        <v/>
      </c>
      <c r="F4208" s="54" t="str">
        <f>IFERROR(IF(OR($B4208="",$B4208="(blank)"),"",VLOOKUP($B4208,'Email Marketing Raw Data'!$C:$O,13,0)),"")</f>
        <v/>
      </c>
      <c r="G4208" s="55" t="str">
        <f>IFERROR(IF(OR($B4208="",$B4208="(blank)"),"",VLOOKUP($B4208,'Email Marketing Raw Data'!$C:$O,4,0)),"")</f>
        <v/>
      </c>
      <c r="H4208" s="55" t="str">
        <f>IFERROR(IF(OR($B4208="",$B4208="(blank)"),"",VLOOKUP($B4208,'Email Marketing Raw Data'!$C:$O,5,0)),"")</f>
        <v/>
      </c>
      <c r="I4208" s="55" t="str">
        <f>IFERROR(IF($G4208="","",VLOOKUP('Dashboard And Emails Automate'!$G4208,Database!$H:$N,3,0)),"")</f>
        <v/>
      </c>
      <c r="J4208" s="55" t="str">
        <f>IFERROR(IF($G4208="","",VLOOKUP('Dashboard And Emails Automate'!$G4208,Database!$H:$N,4,0)),"")</f>
        <v/>
      </c>
      <c r="K4208" s="55" t="str">
        <f>IFERROR(IF($G4208="","",VLOOKUP('Dashboard And Emails Automate'!$G4208,Database!$H:$N,5,0)),"")</f>
        <v/>
      </c>
      <c r="L4208" s="55" t="str">
        <f>IFERROR(IF($G4208="","",VLOOKUP('Dashboard And Emails Automate'!$G4208,Database!$H:$N,6,0)),"")</f>
        <v/>
      </c>
      <c r="M4208" s="55" t="str">
        <f>IFERROR(IF($G4208="","",VLOOKUP('Dashboard And Emails Automate'!$G4208,Database!$H:$N,7,0)),"")</f>
        <v/>
      </c>
      <c r="N4208" s="55" t="str">
        <f>IFERROR(IF(OR($B4208="",$B4208="(blank)"),"",VLOOKUP($B4208,'Email Marketing Raw Data'!$C:$O,6,0)),"")</f>
        <v/>
      </c>
      <c r="O4208" s="55" t="str">
        <f>IFERROR(IF(OR($B4208="",$B4208="(blank)"),"",VLOOKUP($B4208,'Email Marketing Raw Data'!$C:$O,7,0)),"")</f>
        <v/>
      </c>
      <c r="P4208" s="55" t="str">
        <f>IFERROR(IF(OR($B4208="",$B4208="(blank)"),"",VLOOKUP($B4208,'Email Marketing Raw Data'!$C:$O,8,0)),"")</f>
        <v/>
      </c>
      <c r="Q4208" s="62" t="str">
        <f>IFERROR(IF(OR($B4208="",$B4208="(blank)"),"",VLOOKUP($B4208,'Email Marketing Raw Data'!$C:$O,9,0)),"")</f>
        <v/>
      </c>
    </row>
    <row r="4209" spans="4:17" ht="12.75" customHeight="1" x14ac:dyDescent="0.2">
      <c r="D4209" s="58" t="str">
        <f>IFERROR(IF(F4209&lt;&gt;"pending","",IF(OR($B4209="",$B4209="(blank)"),"",VLOOKUP($B4209,'Email Marketing Raw Data'!$C:$O,10,0))),"")</f>
        <v/>
      </c>
      <c r="E4209" s="59" t="str">
        <f>IFERROR(IF(F4209&lt;&gt;"pending","",IF(OR($B4209="",$B4209="(blank)"),"",VLOOKUP($B4209,'Email Marketing Raw Data'!$C:$O,11,0))),"")</f>
        <v/>
      </c>
      <c r="F4209" s="54" t="str">
        <f>IFERROR(IF(OR($B4209="",$B4209="(blank)"),"",VLOOKUP($B4209,'Email Marketing Raw Data'!$C:$O,13,0)),"")</f>
        <v/>
      </c>
      <c r="G4209" s="55" t="str">
        <f>IFERROR(IF(OR($B4209="",$B4209="(blank)"),"",VLOOKUP($B4209,'Email Marketing Raw Data'!$C:$O,4,0)),"")</f>
        <v/>
      </c>
      <c r="H4209" s="55" t="str">
        <f>IFERROR(IF(OR($B4209="",$B4209="(blank)"),"",VLOOKUP($B4209,'Email Marketing Raw Data'!$C:$O,5,0)),"")</f>
        <v/>
      </c>
      <c r="I4209" s="55" t="str">
        <f>IFERROR(IF($G4209="","",VLOOKUP('Dashboard And Emails Automate'!$G4209,Database!$H:$N,3,0)),"")</f>
        <v/>
      </c>
      <c r="J4209" s="55" t="str">
        <f>IFERROR(IF($G4209="","",VLOOKUP('Dashboard And Emails Automate'!$G4209,Database!$H:$N,4,0)),"")</f>
        <v/>
      </c>
      <c r="K4209" s="55" t="str">
        <f>IFERROR(IF($G4209="","",VLOOKUP('Dashboard And Emails Automate'!$G4209,Database!$H:$N,5,0)),"")</f>
        <v/>
      </c>
      <c r="L4209" s="55" t="str">
        <f>IFERROR(IF($G4209="","",VLOOKUP('Dashboard And Emails Automate'!$G4209,Database!$H:$N,6,0)),"")</f>
        <v/>
      </c>
      <c r="M4209" s="55" t="str">
        <f>IFERROR(IF($G4209="","",VLOOKUP('Dashboard And Emails Automate'!$G4209,Database!$H:$N,7,0)),"")</f>
        <v/>
      </c>
      <c r="N4209" s="55" t="str">
        <f>IFERROR(IF(OR($B4209="",$B4209="(blank)"),"",VLOOKUP($B4209,'Email Marketing Raw Data'!$C:$O,6,0)),"")</f>
        <v/>
      </c>
      <c r="O4209" s="55" t="str">
        <f>IFERROR(IF(OR($B4209="",$B4209="(blank)"),"",VLOOKUP($B4209,'Email Marketing Raw Data'!$C:$O,7,0)),"")</f>
        <v/>
      </c>
      <c r="P4209" s="55" t="str">
        <f>IFERROR(IF(OR($B4209="",$B4209="(blank)"),"",VLOOKUP($B4209,'Email Marketing Raw Data'!$C:$O,8,0)),"")</f>
        <v/>
      </c>
      <c r="Q4209" s="62" t="str">
        <f>IFERROR(IF(OR($B4209="",$B4209="(blank)"),"",VLOOKUP($B4209,'Email Marketing Raw Data'!$C:$O,9,0)),"")</f>
        <v/>
      </c>
    </row>
    <row r="4210" spans="4:17" ht="12.75" customHeight="1" x14ac:dyDescent="0.2">
      <c r="D4210" s="58" t="str">
        <f>IFERROR(IF(F4210&lt;&gt;"pending","",IF(OR($B4210="",$B4210="(blank)"),"",VLOOKUP($B4210,'Email Marketing Raw Data'!$C:$O,10,0))),"")</f>
        <v/>
      </c>
      <c r="E4210" s="59" t="str">
        <f>IFERROR(IF(F4210&lt;&gt;"pending","",IF(OR($B4210="",$B4210="(blank)"),"",VLOOKUP($B4210,'Email Marketing Raw Data'!$C:$O,11,0))),"")</f>
        <v/>
      </c>
      <c r="F4210" s="54" t="str">
        <f>IFERROR(IF(OR($B4210="",$B4210="(blank)"),"",VLOOKUP($B4210,'Email Marketing Raw Data'!$C:$O,13,0)),"")</f>
        <v/>
      </c>
      <c r="G4210" s="55" t="str">
        <f>IFERROR(IF(OR($B4210="",$B4210="(blank)"),"",VLOOKUP($B4210,'Email Marketing Raw Data'!$C:$O,4,0)),"")</f>
        <v/>
      </c>
      <c r="H4210" s="55" t="str">
        <f>IFERROR(IF(OR($B4210="",$B4210="(blank)"),"",VLOOKUP($B4210,'Email Marketing Raw Data'!$C:$O,5,0)),"")</f>
        <v/>
      </c>
      <c r="I4210" s="55" t="str">
        <f>IFERROR(IF($G4210="","",VLOOKUP('Dashboard And Emails Automate'!$G4210,Database!$H:$N,3,0)),"")</f>
        <v/>
      </c>
      <c r="J4210" s="55" t="str">
        <f>IFERROR(IF($G4210="","",VLOOKUP('Dashboard And Emails Automate'!$G4210,Database!$H:$N,4,0)),"")</f>
        <v/>
      </c>
      <c r="K4210" s="55" t="str">
        <f>IFERROR(IF($G4210="","",VLOOKUP('Dashboard And Emails Automate'!$G4210,Database!$H:$N,5,0)),"")</f>
        <v/>
      </c>
      <c r="L4210" s="55" t="str">
        <f>IFERROR(IF($G4210="","",VLOOKUP('Dashboard And Emails Automate'!$G4210,Database!$H:$N,6,0)),"")</f>
        <v/>
      </c>
      <c r="M4210" s="55" t="str">
        <f>IFERROR(IF($G4210="","",VLOOKUP('Dashboard And Emails Automate'!$G4210,Database!$H:$N,7,0)),"")</f>
        <v/>
      </c>
      <c r="N4210" s="55" t="str">
        <f>IFERROR(IF(OR($B4210="",$B4210="(blank)"),"",VLOOKUP($B4210,'Email Marketing Raw Data'!$C:$O,6,0)),"")</f>
        <v/>
      </c>
      <c r="O4210" s="55" t="str">
        <f>IFERROR(IF(OR($B4210="",$B4210="(blank)"),"",VLOOKUP($B4210,'Email Marketing Raw Data'!$C:$O,7,0)),"")</f>
        <v/>
      </c>
      <c r="P4210" s="55" t="str">
        <f>IFERROR(IF(OR($B4210="",$B4210="(blank)"),"",VLOOKUP($B4210,'Email Marketing Raw Data'!$C:$O,8,0)),"")</f>
        <v/>
      </c>
      <c r="Q4210" s="62" t="str">
        <f>IFERROR(IF(OR($B4210="",$B4210="(blank)"),"",VLOOKUP($B4210,'Email Marketing Raw Data'!$C:$O,9,0)),"")</f>
        <v/>
      </c>
    </row>
    <row r="4211" spans="4:17" ht="12.75" customHeight="1" x14ac:dyDescent="0.2">
      <c r="D4211" s="58" t="str">
        <f>IFERROR(IF(F4211&lt;&gt;"pending","",IF(OR($B4211="",$B4211="(blank)"),"",VLOOKUP($B4211,'Email Marketing Raw Data'!$C:$O,10,0))),"")</f>
        <v/>
      </c>
      <c r="E4211" s="59" t="str">
        <f>IFERROR(IF(F4211&lt;&gt;"pending","",IF(OR($B4211="",$B4211="(blank)"),"",VLOOKUP($B4211,'Email Marketing Raw Data'!$C:$O,11,0))),"")</f>
        <v/>
      </c>
      <c r="F4211" s="54" t="str">
        <f>IFERROR(IF(OR($B4211="",$B4211="(blank)"),"",VLOOKUP($B4211,'Email Marketing Raw Data'!$C:$O,13,0)),"")</f>
        <v/>
      </c>
      <c r="G4211" s="55" t="str">
        <f>IFERROR(IF(OR($B4211="",$B4211="(blank)"),"",VLOOKUP($B4211,'Email Marketing Raw Data'!$C:$O,4,0)),"")</f>
        <v/>
      </c>
      <c r="H4211" s="55" t="str">
        <f>IFERROR(IF(OR($B4211="",$B4211="(blank)"),"",VLOOKUP($B4211,'Email Marketing Raw Data'!$C:$O,5,0)),"")</f>
        <v/>
      </c>
      <c r="I4211" s="55" t="str">
        <f>IFERROR(IF($G4211="","",VLOOKUP('Dashboard And Emails Automate'!$G4211,Database!$H:$N,3,0)),"")</f>
        <v/>
      </c>
      <c r="J4211" s="55" t="str">
        <f>IFERROR(IF($G4211="","",VLOOKUP('Dashboard And Emails Automate'!$G4211,Database!$H:$N,4,0)),"")</f>
        <v/>
      </c>
      <c r="K4211" s="55" t="str">
        <f>IFERROR(IF($G4211="","",VLOOKUP('Dashboard And Emails Automate'!$G4211,Database!$H:$N,5,0)),"")</f>
        <v/>
      </c>
      <c r="L4211" s="55" t="str">
        <f>IFERROR(IF($G4211="","",VLOOKUP('Dashboard And Emails Automate'!$G4211,Database!$H:$N,6,0)),"")</f>
        <v/>
      </c>
      <c r="M4211" s="55" t="str">
        <f>IFERROR(IF($G4211="","",VLOOKUP('Dashboard And Emails Automate'!$G4211,Database!$H:$N,7,0)),"")</f>
        <v/>
      </c>
      <c r="N4211" s="55" t="str">
        <f>IFERROR(IF(OR($B4211="",$B4211="(blank)"),"",VLOOKUP($B4211,'Email Marketing Raw Data'!$C:$O,6,0)),"")</f>
        <v/>
      </c>
      <c r="O4211" s="55" t="str">
        <f>IFERROR(IF(OR($B4211="",$B4211="(blank)"),"",VLOOKUP($B4211,'Email Marketing Raw Data'!$C:$O,7,0)),"")</f>
        <v/>
      </c>
      <c r="P4211" s="55" t="str">
        <f>IFERROR(IF(OR($B4211="",$B4211="(blank)"),"",VLOOKUP($B4211,'Email Marketing Raw Data'!$C:$O,8,0)),"")</f>
        <v/>
      </c>
      <c r="Q4211" s="62" t="str">
        <f>IFERROR(IF(OR($B4211="",$B4211="(blank)"),"",VLOOKUP($B4211,'Email Marketing Raw Data'!$C:$O,9,0)),"")</f>
        <v/>
      </c>
    </row>
    <row r="4212" spans="4:17" ht="12.75" customHeight="1" x14ac:dyDescent="0.2">
      <c r="D4212" s="58" t="str">
        <f>IFERROR(IF(F4212&lt;&gt;"pending","",IF(OR($B4212="",$B4212="(blank)"),"",VLOOKUP($B4212,'Email Marketing Raw Data'!$C:$O,10,0))),"")</f>
        <v/>
      </c>
      <c r="E4212" s="59" t="str">
        <f>IFERROR(IF(F4212&lt;&gt;"pending","",IF(OR($B4212="",$B4212="(blank)"),"",VLOOKUP($B4212,'Email Marketing Raw Data'!$C:$O,11,0))),"")</f>
        <v/>
      </c>
      <c r="F4212" s="54" t="str">
        <f>IFERROR(IF(OR($B4212="",$B4212="(blank)"),"",VLOOKUP($B4212,'Email Marketing Raw Data'!$C:$O,13,0)),"")</f>
        <v/>
      </c>
      <c r="G4212" s="55" t="str">
        <f>IFERROR(IF(OR($B4212="",$B4212="(blank)"),"",VLOOKUP($B4212,'Email Marketing Raw Data'!$C:$O,4,0)),"")</f>
        <v/>
      </c>
      <c r="H4212" s="55" t="str">
        <f>IFERROR(IF(OR($B4212="",$B4212="(blank)"),"",VLOOKUP($B4212,'Email Marketing Raw Data'!$C:$O,5,0)),"")</f>
        <v/>
      </c>
      <c r="I4212" s="55" t="str">
        <f>IFERROR(IF($G4212="","",VLOOKUP('Dashboard And Emails Automate'!$G4212,Database!$H:$N,3,0)),"")</f>
        <v/>
      </c>
      <c r="J4212" s="55" t="str">
        <f>IFERROR(IF($G4212="","",VLOOKUP('Dashboard And Emails Automate'!$G4212,Database!$H:$N,4,0)),"")</f>
        <v/>
      </c>
      <c r="K4212" s="55" t="str">
        <f>IFERROR(IF($G4212="","",VLOOKUP('Dashboard And Emails Automate'!$G4212,Database!$H:$N,5,0)),"")</f>
        <v/>
      </c>
      <c r="L4212" s="55" t="str">
        <f>IFERROR(IF($G4212="","",VLOOKUP('Dashboard And Emails Automate'!$G4212,Database!$H:$N,6,0)),"")</f>
        <v/>
      </c>
      <c r="M4212" s="55" t="str">
        <f>IFERROR(IF($G4212="","",VLOOKUP('Dashboard And Emails Automate'!$G4212,Database!$H:$N,7,0)),"")</f>
        <v/>
      </c>
      <c r="N4212" s="55" t="str">
        <f>IFERROR(IF(OR($B4212="",$B4212="(blank)"),"",VLOOKUP($B4212,'Email Marketing Raw Data'!$C:$O,6,0)),"")</f>
        <v/>
      </c>
      <c r="O4212" s="55" t="str">
        <f>IFERROR(IF(OR($B4212="",$B4212="(blank)"),"",VLOOKUP($B4212,'Email Marketing Raw Data'!$C:$O,7,0)),"")</f>
        <v/>
      </c>
      <c r="P4212" s="55" t="str">
        <f>IFERROR(IF(OR($B4212="",$B4212="(blank)"),"",VLOOKUP($B4212,'Email Marketing Raw Data'!$C:$O,8,0)),"")</f>
        <v/>
      </c>
      <c r="Q4212" s="62" t="str">
        <f>IFERROR(IF(OR($B4212="",$B4212="(blank)"),"",VLOOKUP($B4212,'Email Marketing Raw Data'!$C:$O,9,0)),"")</f>
        <v/>
      </c>
    </row>
    <row r="4213" spans="4:17" ht="12.75" customHeight="1" x14ac:dyDescent="0.2">
      <c r="D4213" s="58" t="str">
        <f>IFERROR(IF(F4213&lt;&gt;"pending","",IF(OR($B4213="",$B4213="(blank)"),"",VLOOKUP($B4213,'Email Marketing Raw Data'!$C:$O,10,0))),"")</f>
        <v/>
      </c>
      <c r="E4213" s="59" t="str">
        <f>IFERROR(IF(F4213&lt;&gt;"pending","",IF(OR($B4213="",$B4213="(blank)"),"",VLOOKUP($B4213,'Email Marketing Raw Data'!$C:$O,11,0))),"")</f>
        <v/>
      </c>
      <c r="F4213" s="54" t="str">
        <f>IFERROR(IF(OR($B4213="",$B4213="(blank)"),"",VLOOKUP($B4213,'Email Marketing Raw Data'!$C:$O,13,0)),"")</f>
        <v/>
      </c>
      <c r="G4213" s="55" t="str">
        <f>IFERROR(IF(OR($B4213="",$B4213="(blank)"),"",VLOOKUP($B4213,'Email Marketing Raw Data'!$C:$O,4,0)),"")</f>
        <v/>
      </c>
      <c r="H4213" s="55" t="str">
        <f>IFERROR(IF(OR($B4213="",$B4213="(blank)"),"",VLOOKUP($B4213,'Email Marketing Raw Data'!$C:$O,5,0)),"")</f>
        <v/>
      </c>
      <c r="I4213" s="55" t="str">
        <f>IFERROR(IF($G4213="","",VLOOKUP('Dashboard And Emails Automate'!$G4213,Database!$H:$N,3,0)),"")</f>
        <v/>
      </c>
      <c r="J4213" s="55" t="str">
        <f>IFERROR(IF($G4213="","",VLOOKUP('Dashboard And Emails Automate'!$G4213,Database!$H:$N,4,0)),"")</f>
        <v/>
      </c>
      <c r="K4213" s="55" t="str">
        <f>IFERROR(IF($G4213="","",VLOOKUP('Dashboard And Emails Automate'!$G4213,Database!$H:$N,5,0)),"")</f>
        <v/>
      </c>
      <c r="L4213" s="55" t="str">
        <f>IFERROR(IF($G4213="","",VLOOKUP('Dashboard And Emails Automate'!$G4213,Database!$H:$N,6,0)),"")</f>
        <v/>
      </c>
      <c r="M4213" s="55" t="str">
        <f>IFERROR(IF($G4213="","",VLOOKUP('Dashboard And Emails Automate'!$G4213,Database!$H:$N,7,0)),"")</f>
        <v/>
      </c>
      <c r="N4213" s="55" t="str">
        <f>IFERROR(IF(OR($B4213="",$B4213="(blank)"),"",VLOOKUP($B4213,'Email Marketing Raw Data'!$C:$O,6,0)),"")</f>
        <v/>
      </c>
      <c r="O4213" s="55" t="str">
        <f>IFERROR(IF(OR($B4213="",$B4213="(blank)"),"",VLOOKUP($B4213,'Email Marketing Raw Data'!$C:$O,7,0)),"")</f>
        <v/>
      </c>
      <c r="P4213" s="55" t="str">
        <f>IFERROR(IF(OR($B4213="",$B4213="(blank)"),"",VLOOKUP($B4213,'Email Marketing Raw Data'!$C:$O,8,0)),"")</f>
        <v/>
      </c>
      <c r="Q4213" s="62" t="str">
        <f>IFERROR(IF(OR($B4213="",$B4213="(blank)"),"",VLOOKUP($B4213,'Email Marketing Raw Data'!$C:$O,9,0)),"")</f>
        <v/>
      </c>
    </row>
    <row r="4214" spans="4:17" ht="12.75" customHeight="1" x14ac:dyDescent="0.2">
      <c r="D4214" s="58" t="str">
        <f>IFERROR(IF(F4214&lt;&gt;"pending","",IF(OR($B4214="",$B4214="(blank)"),"",VLOOKUP($B4214,'Email Marketing Raw Data'!$C:$O,10,0))),"")</f>
        <v/>
      </c>
      <c r="E4214" s="59" t="str">
        <f>IFERROR(IF(F4214&lt;&gt;"pending","",IF(OR($B4214="",$B4214="(blank)"),"",VLOOKUP($B4214,'Email Marketing Raw Data'!$C:$O,11,0))),"")</f>
        <v/>
      </c>
      <c r="F4214" s="54" t="str">
        <f>IFERROR(IF(OR($B4214="",$B4214="(blank)"),"",VLOOKUP($B4214,'Email Marketing Raw Data'!$C:$O,13,0)),"")</f>
        <v/>
      </c>
      <c r="G4214" s="55" t="str">
        <f>IFERROR(IF(OR($B4214="",$B4214="(blank)"),"",VLOOKUP($B4214,'Email Marketing Raw Data'!$C:$O,4,0)),"")</f>
        <v/>
      </c>
      <c r="H4214" s="55" t="str">
        <f>IFERROR(IF(OR($B4214="",$B4214="(blank)"),"",VLOOKUP($B4214,'Email Marketing Raw Data'!$C:$O,5,0)),"")</f>
        <v/>
      </c>
      <c r="I4214" s="55" t="str">
        <f>IFERROR(IF($G4214="","",VLOOKUP('Dashboard And Emails Automate'!$G4214,Database!$H:$N,3,0)),"")</f>
        <v/>
      </c>
      <c r="J4214" s="55" t="str">
        <f>IFERROR(IF($G4214="","",VLOOKUP('Dashboard And Emails Automate'!$G4214,Database!$H:$N,4,0)),"")</f>
        <v/>
      </c>
      <c r="K4214" s="55" t="str">
        <f>IFERROR(IF($G4214="","",VLOOKUP('Dashboard And Emails Automate'!$G4214,Database!$H:$N,5,0)),"")</f>
        <v/>
      </c>
      <c r="L4214" s="55" t="str">
        <f>IFERROR(IF($G4214="","",VLOOKUP('Dashboard And Emails Automate'!$G4214,Database!$H:$N,6,0)),"")</f>
        <v/>
      </c>
      <c r="M4214" s="55" t="str">
        <f>IFERROR(IF($G4214="","",VLOOKUP('Dashboard And Emails Automate'!$G4214,Database!$H:$N,7,0)),"")</f>
        <v/>
      </c>
      <c r="N4214" s="55" t="str">
        <f>IFERROR(IF(OR($B4214="",$B4214="(blank)"),"",VLOOKUP($B4214,'Email Marketing Raw Data'!$C:$O,6,0)),"")</f>
        <v/>
      </c>
      <c r="O4214" s="55" t="str">
        <f>IFERROR(IF(OR($B4214="",$B4214="(blank)"),"",VLOOKUP($B4214,'Email Marketing Raw Data'!$C:$O,7,0)),"")</f>
        <v/>
      </c>
      <c r="P4214" s="55" t="str">
        <f>IFERROR(IF(OR($B4214="",$B4214="(blank)"),"",VLOOKUP($B4214,'Email Marketing Raw Data'!$C:$O,8,0)),"")</f>
        <v/>
      </c>
      <c r="Q4214" s="62" t="str">
        <f>IFERROR(IF(OR($B4214="",$B4214="(blank)"),"",VLOOKUP($B4214,'Email Marketing Raw Data'!$C:$O,9,0)),"")</f>
        <v/>
      </c>
    </row>
    <row r="4215" spans="4:17" ht="12.75" customHeight="1" x14ac:dyDescent="0.2">
      <c r="D4215" s="58" t="str">
        <f>IFERROR(IF(F4215&lt;&gt;"pending","",IF(OR($B4215="",$B4215="(blank)"),"",VLOOKUP($B4215,'Email Marketing Raw Data'!$C:$O,10,0))),"")</f>
        <v/>
      </c>
      <c r="E4215" s="59" t="str">
        <f>IFERROR(IF(F4215&lt;&gt;"pending","",IF(OR($B4215="",$B4215="(blank)"),"",VLOOKUP($B4215,'Email Marketing Raw Data'!$C:$O,11,0))),"")</f>
        <v/>
      </c>
      <c r="F4215" s="54" t="str">
        <f>IFERROR(IF(OR($B4215="",$B4215="(blank)"),"",VLOOKUP($B4215,'Email Marketing Raw Data'!$C:$O,13,0)),"")</f>
        <v/>
      </c>
      <c r="G4215" s="55" t="str">
        <f>IFERROR(IF(OR($B4215="",$B4215="(blank)"),"",VLOOKUP($B4215,'Email Marketing Raw Data'!$C:$O,4,0)),"")</f>
        <v/>
      </c>
      <c r="H4215" s="55" t="str">
        <f>IFERROR(IF(OR($B4215="",$B4215="(blank)"),"",VLOOKUP($B4215,'Email Marketing Raw Data'!$C:$O,5,0)),"")</f>
        <v/>
      </c>
      <c r="I4215" s="55" t="str">
        <f>IFERROR(IF($G4215="","",VLOOKUP('Dashboard And Emails Automate'!$G4215,Database!$H:$N,3,0)),"")</f>
        <v/>
      </c>
      <c r="J4215" s="55" t="str">
        <f>IFERROR(IF($G4215="","",VLOOKUP('Dashboard And Emails Automate'!$G4215,Database!$H:$N,4,0)),"")</f>
        <v/>
      </c>
      <c r="K4215" s="55" t="str">
        <f>IFERROR(IF($G4215="","",VLOOKUP('Dashboard And Emails Automate'!$G4215,Database!$H:$N,5,0)),"")</f>
        <v/>
      </c>
      <c r="L4215" s="55" t="str">
        <f>IFERROR(IF($G4215="","",VLOOKUP('Dashboard And Emails Automate'!$G4215,Database!$H:$N,6,0)),"")</f>
        <v/>
      </c>
      <c r="M4215" s="55" t="str">
        <f>IFERROR(IF($G4215="","",VLOOKUP('Dashboard And Emails Automate'!$G4215,Database!$H:$N,7,0)),"")</f>
        <v/>
      </c>
      <c r="N4215" s="55" t="str">
        <f>IFERROR(IF(OR($B4215="",$B4215="(blank)"),"",VLOOKUP($B4215,'Email Marketing Raw Data'!$C:$O,6,0)),"")</f>
        <v/>
      </c>
      <c r="O4215" s="55" t="str">
        <f>IFERROR(IF(OR($B4215="",$B4215="(blank)"),"",VLOOKUP($B4215,'Email Marketing Raw Data'!$C:$O,7,0)),"")</f>
        <v/>
      </c>
      <c r="P4215" s="55" t="str">
        <f>IFERROR(IF(OR($B4215="",$B4215="(blank)"),"",VLOOKUP($B4215,'Email Marketing Raw Data'!$C:$O,8,0)),"")</f>
        <v/>
      </c>
      <c r="Q4215" s="62" t="str">
        <f>IFERROR(IF(OR($B4215="",$B4215="(blank)"),"",VLOOKUP($B4215,'Email Marketing Raw Data'!$C:$O,9,0)),"")</f>
        <v/>
      </c>
    </row>
    <row r="4216" spans="4:17" ht="12.75" customHeight="1" x14ac:dyDescent="0.2">
      <c r="D4216" s="58" t="str">
        <f>IFERROR(IF(F4216&lt;&gt;"pending","",IF(OR($B4216="",$B4216="(blank)"),"",VLOOKUP($B4216,'Email Marketing Raw Data'!$C:$O,10,0))),"")</f>
        <v/>
      </c>
      <c r="E4216" s="59" t="str">
        <f>IFERROR(IF(F4216&lt;&gt;"pending","",IF(OR($B4216="",$B4216="(blank)"),"",VLOOKUP($B4216,'Email Marketing Raw Data'!$C:$O,11,0))),"")</f>
        <v/>
      </c>
      <c r="F4216" s="54" t="str">
        <f>IFERROR(IF(OR($B4216="",$B4216="(blank)"),"",VLOOKUP($B4216,'Email Marketing Raw Data'!$C:$O,13,0)),"")</f>
        <v/>
      </c>
      <c r="G4216" s="55" t="str">
        <f>IFERROR(IF(OR($B4216="",$B4216="(blank)"),"",VLOOKUP($B4216,'Email Marketing Raw Data'!$C:$O,4,0)),"")</f>
        <v/>
      </c>
      <c r="H4216" s="55" t="str">
        <f>IFERROR(IF(OR($B4216="",$B4216="(blank)"),"",VLOOKUP($B4216,'Email Marketing Raw Data'!$C:$O,5,0)),"")</f>
        <v/>
      </c>
      <c r="I4216" s="55" t="str">
        <f>IFERROR(IF($G4216="","",VLOOKUP('Dashboard And Emails Automate'!$G4216,Database!$H:$N,3,0)),"")</f>
        <v/>
      </c>
      <c r="J4216" s="55" t="str">
        <f>IFERROR(IF($G4216="","",VLOOKUP('Dashboard And Emails Automate'!$G4216,Database!$H:$N,4,0)),"")</f>
        <v/>
      </c>
      <c r="K4216" s="55" t="str">
        <f>IFERROR(IF($G4216="","",VLOOKUP('Dashboard And Emails Automate'!$G4216,Database!$H:$N,5,0)),"")</f>
        <v/>
      </c>
      <c r="L4216" s="55" t="str">
        <f>IFERROR(IF($G4216="","",VLOOKUP('Dashboard And Emails Automate'!$G4216,Database!$H:$N,6,0)),"")</f>
        <v/>
      </c>
      <c r="M4216" s="55" t="str">
        <f>IFERROR(IF($G4216="","",VLOOKUP('Dashboard And Emails Automate'!$G4216,Database!$H:$N,7,0)),"")</f>
        <v/>
      </c>
      <c r="N4216" s="55" t="str">
        <f>IFERROR(IF(OR($B4216="",$B4216="(blank)"),"",VLOOKUP($B4216,'Email Marketing Raw Data'!$C:$O,6,0)),"")</f>
        <v/>
      </c>
      <c r="O4216" s="55" t="str">
        <f>IFERROR(IF(OR($B4216="",$B4216="(blank)"),"",VLOOKUP($B4216,'Email Marketing Raw Data'!$C:$O,7,0)),"")</f>
        <v/>
      </c>
      <c r="P4216" s="55" t="str">
        <f>IFERROR(IF(OR($B4216="",$B4216="(blank)"),"",VLOOKUP($B4216,'Email Marketing Raw Data'!$C:$O,8,0)),"")</f>
        <v/>
      </c>
      <c r="Q4216" s="62" t="str">
        <f>IFERROR(IF(OR($B4216="",$B4216="(blank)"),"",VLOOKUP($B4216,'Email Marketing Raw Data'!$C:$O,9,0)),"")</f>
        <v/>
      </c>
    </row>
    <row r="4217" spans="4:17" ht="12.75" customHeight="1" x14ac:dyDescent="0.2">
      <c r="D4217" s="58" t="str">
        <f>IFERROR(IF(F4217&lt;&gt;"pending","",IF(OR($B4217="",$B4217="(blank)"),"",VLOOKUP($B4217,'Email Marketing Raw Data'!$C:$O,10,0))),"")</f>
        <v/>
      </c>
      <c r="E4217" s="59" t="str">
        <f>IFERROR(IF(F4217&lt;&gt;"pending","",IF(OR($B4217="",$B4217="(blank)"),"",VLOOKUP($B4217,'Email Marketing Raw Data'!$C:$O,11,0))),"")</f>
        <v/>
      </c>
      <c r="F4217" s="54" t="str">
        <f>IFERROR(IF(OR($B4217="",$B4217="(blank)"),"",VLOOKUP($B4217,'Email Marketing Raw Data'!$C:$O,13,0)),"")</f>
        <v/>
      </c>
      <c r="G4217" s="55" t="str">
        <f>IFERROR(IF(OR($B4217="",$B4217="(blank)"),"",VLOOKUP($B4217,'Email Marketing Raw Data'!$C:$O,4,0)),"")</f>
        <v/>
      </c>
      <c r="H4217" s="55" t="str">
        <f>IFERROR(IF(OR($B4217="",$B4217="(blank)"),"",VLOOKUP($B4217,'Email Marketing Raw Data'!$C:$O,5,0)),"")</f>
        <v/>
      </c>
      <c r="I4217" s="55" t="str">
        <f>IFERROR(IF($G4217="","",VLOOKUP('Dashboard And Emails Automate'!$G4217,Database!$H:$N,3,0)),"")</f>
        <v/>
      </c>
      <c r="J4217" s="55" t="str">
        <f>IFERROR(IF($G4217="","",VLOOKUP('Dashboard And Emails Automate'!$G4217,Database!$H:$N,4,0)),"")</f>
        <v/>
      </c>
      <c r="K4217" s="55" t="str">
        <f>IFERROR(IF($G4217="","",VLOOKUP('Dashboard And Emails Automate'!$G4217,Database!$H:$N,5,0)),"")</f>
        <v/>
      </c>
      <c r="L4217" s="55" t="str">
        <f>IFERROR(IF($G4217="","",VLOOKUP('Dashboard And Emails Automate'!$G4217,Database!$H:$N,6,0)),"")</f>
        <v/>
      </c>
      <c r="M4217" s="55" t="str">
        <f>IFERROR(IF($G4217="","",VLOOKUP('Dashboard And Emails Automate'!$G4217,Database!$H:$N,7,0)),"")</f>
        <v/>
      </c>
      <c r="N4217" s="55" t="str">
        <f>IFERROR(IF(OR($B4217="",$B4217="(blank)"),"",VLOOKUP($B4217,'Email Marketing Raw Data'!$C:$O,6,0)),"")</f>
        <v/>
      </c>
      <c r="O4217" s="55" t="str">
        <f>IFERROR(IF(OR($B4217="",$B4217="(blank)"),"",VLOOKUP($B4217,'Email Marketing Raw Data'!$C:$O,7,0)),"")</f>
        <v/>
      </c>
      <c r="P4217" s="55" t="str">
        <f>IFERROR(IF(OR($B4217="",$B4217="(blank)"),"",VLOOKUP($B4217,'Email Marketing Raw Data'!$C:$O,8,0)),"")</f>
        <v/>
      </c>
      <c r="Q4217" s="62" t="str">
        <f>IFERROR(IF(OR($B4217="",$B4217="(blank)"),"",VLOOKUP($B4217,'Email Marketing Raw Data'!$C:$O,9,0)),"")</f>
        <v/>
      </c>
    </row>
    <row r="4218" spans="4:17" ht="12.75" customHeight="1" x14ac:dyDescent="0.2">
      <c r="D4218" s="58" t="str">
        <f>IFERROR(IF(F4218&lt;&gt;"pending","",IF(OR($B4218="",$B4218="(blank)"),"",VLOOKUP($B4218,'Email Marketing Raw Data'!$C:$O,10,0))),"")</f>
        <v/>
      </c>
      <c r="E4218" s="59" t="str">
        <f>IFERROR(IF(F4218&lt;&gt;"pending","",IF(OR($B4218="",$B4218="(blank)"),"",VLOOKUP($B4218,'Email Marketing Raw Data'!$C:$O,11,0))),"")</f>
        <v/>
      </c>
      <c r="F4218" s="54" t="str">
        <f>IFERROR(IF(OR($B4218="",$B4218="(blank)"),"",VLOOKUP($B4218,'Email Marketing Raw Data'!$C:$O,13,0)),"")</f>
        <v/>
      </c>
      <c r="G4218" s="55" t="str">
        <f>IFERROR(IF(OR($B4218="",$B4218="(blank)"),"",VLOOKUP($B4218,'Email Marketing Raw Data'!$C:$O,4,0)),"")</f>
        <v/>
      </c>
      <c r="H4218" s="55" t="str">
        <f>IFERROR(IF(OR($B4218="",$B4218="(blank)"),"",VLOOKUP($B4218,'Email Marketing Raw Data'!$C:$O,5,0)),"")</f>
        <v/>
      </c>
      <c r="I4218" s="55" t="str">
        <f>IFERROR(IF($G4218="","",VLOOKUP('Dashboard And Emails Automate'!$G4218,Database!$H:$N,3,0)),"")</f>
        <v/>
      </c>
      <c r="J4218" s="55" t="str">
        <f>IFERROR(IF($G4218="","",VLOOKUP('Dashboard And Emails Automate'!$G4218,Database!$H:$N,4,0)),"")</f>
        <v/>
      </c>
      <c r="K4218" s="55" t="str">
        <f>IFERROR(IF($G4218="","",VLOOKUP('Dashboard And Emails Automate'!$G4218,Database!$H:$N,5,0)),"")</f>
        <v/>
      </c>
      <c r="L4218" s="55" t="str">
        <f>IFERROR(IF($G4218="","",VLOOKUP('Dashboard And Emails Automate'!$G4218,Database!$H:$N,6,0)),"")</f>
        <v/>
      </c>
      <c r="M4218" s="55" t="str">
        <f>IFERROR(IF($G4218="","",VLOOKUP('Dashboard And Emails Automate'!$G4218,Database!$H:$N,7,0)),"")</f>
        <v/>
      </c>
      <c r="N4218" s="55" t="str">
        <f>IFERROR(IF(OR($B4218="",$B4218="(blank)"),"",VLOOKUP($B4218,'Email Marketing Raw Data'!$C:$O,6,0)),"")</f>
        <v/>
      </c>
      <c r="O4218" s="55" t="str">
        <f>IFERROR(IF(OR($B4218="",$B4218="(blank)"),"",VLOOKUP($B4218,'Email Marketing Raw Data'!$C:$O,7,0)),"")</f>
        <v/>
      </c>
      <c r="P4218" s="55" t="str">
        <f>IFERROR(IF(OR($B4218="",$B4218="(blank)"),"",VLOOKUP($B4218,'Email Marketing Raw Data'!$C:$O,8,0)),"")</f>
        <v/>
      </c>
      <c r="Q4218" s="62" t="str">
        <f>IFERROR(IF(OR($B4218="",$B4218="(blank)"),"",VLOOKUP($B4218,'Email Marketing Raw Data'!$C:$O,9,0)),"")</f>
        <v/>
      </c>
    </row>
    <row r="4219" spans="4:17" ht="12.75" customHeight="1" x14ac:dyDescent="0.2">
      <c r="D4219" s="58" t="str">
        <f>IFERROR(IF(F4219&lt;&gt;"pending","",IF(OR($B4219="",$B4219="(blank)"),"",VLOOKUP($B4219,'Email Marketing Raw Data'!$C:$O,10,0))),"")</f>
        <v/>
      </c>
      <c r="E4219" s="59" t="str">
        <f>IFERROR(IF(F4219&lt;&gt;"pending","",IF(OR($B4219="",$B4219="(blank)"),"",VLOOKUP($B4219,'Email Marketing Raw Data'!$C:$O,11,0))),"")</f>
        <v/>
      </c>
      <c r="F4219" s="54" t="str">
        <f>IFERROR(IF(OR($B4219="",$B4219="(blank)"),"",VLOOKUP($B4219,'Email Marketing Raw Data'!$C:$O,13,0)),"")</f>
        <v/>
      </c>
      <c r="G4219" s="55" t="str">
        <f>IFERROR(IF(OR($B4219="",$B4219="(blank)"),"",VLOOKUP($B4219,'Email Marketing Raw Data'!$C:$O,4,0)),"")</f>
        <v/>
      </c>
      <c r="H4219" s="55" t="str">
        <f>IFERROR(IF(OR($B4219="",$B4219="(blank)"),"",VLOOKUP($B4219,'Email Marketing Raw Data'!$C:$O,5,0)),"")</f>
        <v/>
      </c>
      <c r="I4219" s="55" t="str">
        <f>IFERROR(IF($G4219="","",VLOOKUP('Dashboard And Emails Automate'!$G4219,Database!$H:$N,3,0)),"")</f>
        <v/>
      </c>
      <c r="J4219" s="55" t="str">
        <f>IFERROR(IF($G4219="","",VLOOKUP('Dashboard And Emails Automate'!$G4219,Database!$H:$N,4,0)),"")</f>
        <v/>
      </c>
      <c r="K4219" s="55" t="str">
        <f>IFERROR(IF($G4219="","",VLOOKUP('Dashboard And Emails Automate'!$G4219,Database!$H:$N,5,0)),"")</f>
        <v/>
      </c>
      <c r="L4219" s="55" t="str">
        <f>IFERROR(IF($G4219="","",VLOOKUP('Dashboard And Emails Automate'!$G4219,Database!$H:$N,6,0)),"")</f>
        <v/>
      </c>
      <c r="M4219" s="55" t="str">
        <f>IFERROR(IF($G4219="","",VLOOKUP('Dashboard And Emails Automate'!$G4219,Database!$H:$N,7,0)),"")</f>
        <v/>
      </c>
      <c r="N4219" s="55" t="str">
        <f>IFERROR(IF(OR($B4219="",$B4219="(blank)"),"",VLOOKUP($B4219,'Email Marketing Raw Data'!$C:$O,6,0)),"")</f>
        <v/>
      </c>
      <c r="O4219" s="55" t="str">
        <f>IFERROR(IF(OR($B4219="",$B4219="(blank)"),"",VLOOKUP($B4219,'Email Marketing Raw Data'!$C:$O,7,0)),"")</f>
        <v/>
      </c>
      <c r="P4219" s="55" t="str">
        <f>IFERROR(IF(OR($B4219="",$B4219="(blank)"),"",VLOOKUP($B4219,'Email Marketing Raw Data'!$C:$O,8,0)),"")</f>
        <v/>
      </c>
      <c r="Q4219" s="62" t="str">
        <f>IFERROR(IF(OR($B4219="",$B4219="(blank)"),"",VLOOKUP($B4219,'Email Marketing Raw Data'!$C:$O,9,0)),"")</f>
        <v/>
      </c>
    </row>
    <row r="4220" spans="4:17" ht="12.75" customHeight="1" x14ac:dyDescent="0.2">
      <c r="D4220" s="58" t="str">
        <f>IFERROR(IF(F4220&lt;&gt;"pending","",IF(OR($B4220="",$B4220="(blank)"),"",VLOOKUP($B4220,'Email Marketing Raw Data'!$C:$O,10,0))),"")</f>
        <v/>
      </c>
      <c r="E4220" s="59" t="str">
        <f>IFERROR(IF(F4220&lt;&gt;"pending","",IF(OR($B4220="",$B4220="(blank)"),"",VLOOKUP($B4220,'Email Marketing Raw Data'!$C:$O,11,0))),"")</f>
        <v/>
      </c>
      <c r="F4220" s="54" t="str">
        <f>IFERROR(IF(OR($B4220="",$B4220="(blank)"),"",VLOOKUP($B4220,'Email Marketing Raw Data'!$C:$O,13,0)),"")</f>
        <v/>
      </c>
      <c r="G4220" s="55" t="str">
        <f>IFERROR(IF(OR($B4220="",$B4220="(blank)"),"",VLOOKUP($B4220,'Email Marketing Raw Data'!$C:$O,4,0)),"")</f>
        <v/>
      </c>
      <c r="H4220" s="55" t="str">
        <f>IFERROR(IF(OR($B4220="",$B4220="(blank)"),"",VLOOKUP($B4220,'Email Marketing Raw Data'!$C:$O,5,0)),"")</f>
        <v/>
      </c>
      <c r="I4220" s="55" t="str">
        <f>IFERROR(IF($G4220="","",VLOOKUP('Dashboard And Emails Automate'!$G4220,Database!$H:$N,3,0)),"")</f>
        <v/>
      </c>
      <c r="J4220" s="55" t="str">
        <f>IFERROR(IF($G4220="","",VLOOKUP('Dashboard And Emails Automate'!$G4220,Database!$H:$N,4,0)),"")</f>
        <v/>
      </c>
      <c r="K4220" s="55" t="str">
        <f>IFERROR(IF($G4220="","",VLOOKUP('Dashboard And Emails Automate'!$G4220,Database!$H:$N,5,0)),"")</f>
        <v/>
      </c>
      <c r="L4220" s="55" t="str">
        <f>IFERROR(IF($G4220="","",VLOOKUP('Dashboard And Emails Automate'!$G4220,Database!$H:$N,6,0)),"")</f>
        <v/>
      </c>
      <c r="M4220" s="55" t="str">
        <f>IFERROR(IF($G4220="","",VLOOKUP('Dashboard And Emails Automate'!$G4220,Database!$H:$N,7,0)),"")</f>
        <v/>
      </c>
      <c r="N4220" s="55" t="str">
        <f>IFERROR(IF(OR($B4220="",$B4220="(blank)"),"",VLOOKUP($B4220,'Email Marketing Raw Data'!$C:$O,6,0)),"")</f>
        <v/>
      </c>
      <c r="O4220" s="55" t="str">
        <f>IFERROR(IF(OR($B4220="",$B4220="(blank)"),"",VLOOKUP($B4220,'Email Marketing Raw Data'!$C:$O,7,0)),"")</f>
        <v/>
      </c>
      <c r="P4220" s="55" t="str">
        <f>IFERROR(IF(OR($B4220="",$B4220="(blank)"),"",VLOOKUP($B4220,'Email Marketing Raw Data'!$C:$O,8,0)),"")</f>
        <v/>
      </c>
      <c r="Q4220" s="62" t="str">
        <f>IFERROR(IF(OR($B4220="",$B4220="(blank)"),"",VLOOKUP($B4220,'Email Marketing Raw Data'!$C:$O,9,0)),"")</f>
        <v/>
      </c>
    </row>
    <row r="4221" spans="4:17" ht="12.75" customHeight="1" x14ac:dyDescent="0.2">
      <c r="D4221" s="58" t="str">
        <f>IFERROR(IF(F4221&lt;&gt;"pending","",IF(OR($B4221="",$B4221="(blank)"),"",VLOOKUP($B4221,'Email Marketing Raw Data'!$C:$O,10,0))),"")</f>
        <v/>
      </c>
      <c r="E4221" s="59" t="str">
        <f>IFERROR(IF(F4221&lt;&gt;"pending","",IF(OR($B4221="",$B4221="(blank)"),"",VLOOKUP($B4221,'Email Marketing Raw Data'!$C:$O,11,0))),"")</f>
        <v/>
      </c>
      <c r="F4221" s="54" t="str">
        <f>IFERROR(IF(OR($B4221="",$B4221="(blank)"),"",VLOOKUP($B4221,'Email Marketing Raw Data'!$C:$O,13,0)),"")</f>
        <v/>
      </c>
      <c r="G4221" s="55" t="str">
        <f>IFERROR(IF(OR($B4221="",$B4221="(blank)"),"",VLOOKUP($B4221,'Email Marketing Raw Data'!$C:$O,4,0)),"")</f>
        <v/>
      </c>
      <c r="H4221" s="55" t="str">
        <f>IFERROR(IF(OR($B4221="",$B4221="(blank)"),"",VLOOKUP($B4221,'Email Marketing Raw Data'!$C:$O,5,0)),"")</f>
        <v/>
      </c>
      <c r="I4221" s="55" t="str">
        <f>IFERROR(IF($G4221="","",VLOOKUP('Dashboard And Emails Automate'!$G4221,Database!$H:$N,3,0)),"")</f>
        <v/>
      </c>
      <c r="J4221" s="55" t="str">
        <f>IFERROR(IF($G4221="","",VLOOKUP('Dashboard And Emails Automate'!$G4221,Database!$H:$N,4,0)),"")</f>
        <v/>
      </c>
      <c r="K4221" s="55" t="str">
        <f>IFERROR(IF($G4221="","",VLOOKUP('Dashboard And Emails Automate'!$G4221,Database!$H:$N,5,0)),"")</f>
        <v/>
      </c>
      <c r="L4221" s="55" t="str">
        <f>IFERROR(IF($G4221="","",VLOOKUP('Dashboard And Emails Automate'!$G4221,Database!$H:$N,6,0)),"")</f>
        <v/>
      </c>
      <c r="M4221" s="55" t="str">
        <f>IFERROR(IF($G4221="","",VLOOKUP('Dashboard And Emails Automate'!$G4221,Database!$H:$N,7,0)),"")</f>
        <v/>
      </c>
      <c r="N4221" s="55" t="str">
        <f>IFERROR(IF(OR($B4221="",$B4221="(blank)"),"",VLOOKUP($B4221,'Email Marketing Raw Data'!$C:$O,6,0)),"")</f>
        <v/>
      </c>
      <c r="O4221" s="55" t="str">
        <f>IFERROR(IF(OR($B4221="",$B4221="(blank)"),"",VLOOKUP($B4221,'Email Marketing Raw Data'!$C:$O,7,0)),"")</f>
        <v/>
      </c>
      <c r="P4221" s="55" t="str">
        <f>IFERROR(IF(OR($B4221="",$B4221="(blank)"),"",VLOOKUP($B4221,'Email Marketing Raw Data'!$C:$O,8,0)),"")</f>
        <v/>
      </c>
      <c r="Q4221" s="62" t="str">
        <f>IFERROR(IF(OR($B4221="",$B4221="(blank)"),"",VLOOKUP($B4221,'Email Marketing Raw Data'!$C:$O,9,0)),"")</f>
        <v/>
      </c>
    </row>
    <row r="4222" spans="4:17" ht="12.75" customHeight="1" x14ac:dyDescent="0.2">
      <c r="D4222" s="58" t="str">
        <f>IFERROR(IF(F4222&lt;&gt;"pending","",IF(OR($B4222="",$B4222="(blank)"),"",VLOOKUP($B4222,'Email Marketing Raw Data'!$C:$O,10,0))),"")</f>
        <v/>
      </c>
      <c r="E4222" s="59" t="str">
        <f>IFERROR(IF(F4222&lt;&gt;"pending","",IF(OR($B4222="",$B4222="(blank)"),"",VLOOKUP($B4222,'Email Marketing Raw Data'!$C:$O,11,0))),"")</f>
        <v/>
      </c>
      <c r="F4222" s="54" t="str">
        <f>IFERROR(IF(OR($B4222="",$B4222="(blank)"),"",VLOOKUP($B4222,'Email Marketing Raw Data'!$C:$O,13,0)),"")</f>
        <v/>
      </c>
      <c r="G4222" s="55" t="str">
        <f>IFERROR(IF(OR($B4222="",$B4222="(blank)"),"",VLOOKUP($B4222,'Email Marketing Raw Data'!$C:$O,4,0)),"")</f>
        <v/>
      </c>
      <c r="H4222" s="55" t="str">
        <f>IFERROR(IF(OR($B4222="",$B4222="(blank)"),"",VLOOKUP($B4222,'Email Marketing Raw Data'!$C:$O,5,0)),"")</f>
        <v/>
      </c>
      <c r="I4222" s="55" t="str">
        <f>IFERROR(IF($G4222="","",VLOOKUP('Dashboard And Emails Automate'!$G4222,Database!$H:$N,3,0)),"")</f>
        <v/>
      </c>
      <c r="J4222" s="55" t="str">
        <f>IFERROR(IF($G4222="","",VLOOKUP('Dashboard And Emails Automate'!$G4222,Database!$H:$N,4,0)),"")</f>
        <v/>
      </c>
      <c r="K4222" s="55" t="str">
        <f>IFERROR(IF($G4222="","",VLOOKUP('Dashboard And Emails Automate'!$G4222,Database!$H:$N,5,0)),"")</f>
        <v/>
      </c>
      <c r="L4222" s="55" t="str">
        <f>IFERROR(IF($G4222="","",VLOOKUP('Dashboard And Emails Automate'!$G4222,Database!$H:$N,6,0)),"")</f>
        <v/>
      </c>
      <c r="M4222" s="55" t="str">
        <f>IFERROR(IF($G4222="","",VLOOKUP('Dashboard And Emails Automate'!$G4222,Database!$H:$N,7,0)),"")</f>
        <v/>
      </c>
      <c r="N4222" s="55" t="str">
        <f>IFERROR(IF(OR($B4222="",$B4222="(blank)"),"",VLOOKUP($B4222,'Email Marketing Raw Data'!$C:$O,6,0)),"")</f>
        <v/>
      </c>
      <c r="O4222" s="55" t="str">
        <f>IFERROR(IF(OR($B4222="",$B4222="(blank)"),"",VLOOKUP($B4222,'Email Marketing Raw Data'!$C:$O,7,0)),"")</f>
        <v/>
      </c>
      <c r="P4222" s="55" t="str">
        <f>IFERROR(IF(OR($B4222="",$B4222="(blank)"),"",VLOOKUP($B4222,'Email Marketing Raw Data'!$C:$O,8,0)),"")</f>
        <v/>
      </c>
      <c r="Q4222" s="62" t="str">
        <f>IFERROR(IF(OR($B4222="",$B4222="(blank)"),"",VLOOKUP($B4222,'Email Marketing Raw Data'!$C:$O,9,0)),"")</f>
        <v/>
      </c>
    </row>
    <row r="4223" spans="4:17" ht="12.75" customHeight="1" x14ac:dyDescent="0.2">
      <c r="D4223" s="58" t="str">
        <f>IFERROR(IF(F4223&lt;&gt;"pending","",IF(OR($B4223="",$B4223="(blank)"),"",VLOOKUP($B4223,'Email Marketing Raw Data'!$C:$O,10,0))),"")</f>
        <v/>
      </c>
      <c r="E4223" s="59" t="str">
        <f>IFERROR(IF(F4223&lt;&gt;"pending","",IF(OR($B4223="",$B4223="(blank)"),"",VLOOKUP($B4223,'Email Marketing Raw Data'!$C:$O,11,0))),"")</f>
        <v/>
      </c>
      <c r="F4223" s="54" t="str">
        <f>IFERROR(IF(OR($B4223="",$B4223="(blank)"),"",VLOOKUP($B4223,'Email Marketing Raw Data'!$C:$O,13,0)),"")</f>
        <v/>
      </c>
      <c r="G4223" s="55" t="str">
        <f>IFERROR(IF(OR($B4223="",$B4223="(blank)"),"",VLOOKUP($B4223,'Email Marketing Raw Data'!$C:$O,4,0)),"")</f>
        <v/>
      </c>
      <c r="H4223" s="55" t="str">
        <f>IFERROR(IF(OR($B4223="",$B4223="(blank)"),"",VLOOKUP($B4223,'Email Marketing Raw Data'!$C:$O,5,0)),"")</f>
        <v/>
      </c>
      <c r="I4223" s="55" t="str">
        <f>IFERROR(IF($G4223="","",VLOOKUP('Dashboard And Emails Automate'!$G4223,Database!$H:$N,3,0)),"")</f>
        <v/>
      </c>
      <c r="J4223" s="55" t="str">
        <f>IFERROR(IF($G4223="","",VLOOKUP('Dashboard And Emails Automate'!$G4223,Database!$H:$N,4,0)),"")</f>
        <v/>
      </c>
      <c r="K4223" s="55" t="str">
        <f>IFERROR(IF($G4223="","",VLOOKUP('Dashboard And Emails Automate'!$G4223,Database!$H:$N,5,0)),"")</f>
        <v/>
      </c>
      <c r="L4223" s="55" t="str">
        <f>IFERROR(IF($G4223="","",VLOOKUP('Dashboard And Emails Automate'!$G4223,Database!$H:$N,6,0)),"")</f>
        <v/>
      </c>
      <c r="M4223" s="55" t="str">
        <f>IFERROR(IF($G4223="","",VLOOKUP('Dashboard And Emails Automate'!$G4223,Database!$H:$N,7,0)),"")</f>
        <v/>
      </c>
      <c r="N4223" s="55" t="str">
        <f>IFERROR(IF(OR($B4223="",$B4223="(blank)"),"",VLOOKUP($B4223,'Email Marketing Raw Data'!$C:$O,6,0)),"")</f>
        <v/>
      </c>
      <c r="O4223" s="55" t="str">
        <f>IFERROR(IF(OR($B4223="",$B4223="(blank)"),"",VLOOKUP($B4223,'Email Marketing Raw Data'!$C:$O,7,0)),"")</f>
        <v/>
      </c>
      <c r="P4223" s="55" t="str">
        <f>IFERROR(IF(OR($B4223="",$B4223="(blank)"),"",VLOOKUP($B4223,'Email Marketing Raw Data'!$C:$O,8,0)),"")</f>
        <v/>
      </c>
      <c r="Q4223" s="62" t="str">
        <f>IFERROR(IF(OR($B4223="",$B4223="(blank)"),"",VLOOKUP($B4223,'Email Marketing Raw Data'!$C:$O,9,0)),"")</f>
        <v/>
      </c>
    </row>
    <row r="4224" spans="4:17" ht="12.75" customHeight="1" x14ac:dyDescent="0.2">
      <c r="D4224" s="58" t="str">
        <f>IFERROR(IF(F4224&lt;&gt;"pending","",IF(OR($B4224="",$B4224="(blank)"),"",VLOOKUP($B4224,'Email Marketing Raw Data'!$C:$O,10,0))),"")</f>
        <v/>
      </c>
      <c r="E4224" s="59" t="str">
        <f>IFERROR(IF(F4224&lt;&gt;"pending","",IF(OR($B4224="",$B4224="(blank)"),"",VLOOKUP($B4224,'Email Marketing Raw Data'!$C:$O,11,0))),"")</f>
        <v/>
      </c>
      <c r="F4224" s="54" t="str">
        <f>IFERROR(IF(OR($B4224="",$B4224="(blank)"),"",VLOOKUP($B4224,'Email Marketing Raw Data'!$C:$O,13,0)),"")</f>
        <v/>
      </c>
      <c r="G4224" s="55" t="str">
        <f>IFERROR(IF(OR($B4224="",$B4224="(blank)"),"",VLOOKUP($B4224,'Email Marketing Raw Data'!$C:$O,4,0)),"")</f>
        <v/>
      </c>
      <c r="H4224" s="55" t="str">
        <f>IFERROR(IF(OR($B4224="",$B4224="(blank)"),"",VLOOKUP($B4224,'Email Marketing Raw Data'!$C:$O,5,0)),"")</f>
        <v/>
      </c>
      <c r="I4224" s="55" t="str">
        <f>IFERROR(IF($G4224="","",VLOOKUP('Dashboard And Emails Automate'!$G4224,Database!$H:$N,3,0)),"")</f>
        <v/>
      </c>
      <c r="J4224" s="55" t="str">
        <f>IFERROR(IF($G4224="","",VLOOKUP('Dashboard And Emails Automate'!$G4224,Database!$H:$N,4,0)),"")</f>
        <v/>
      </c>
      <c r="K4224" s="55" t="str">
        <f>IFERROR(IF($G4224="","",VLOOKUP('Dashboard And Emails Automate'!$G4224,Database!$H:$N,5,0)),"")</f>
        <v/>
      </c>
      <c r="L4224" s="55" t="str">
        <f>IFERROR(IF($G4224="","",VLOOKUP('Dashboard And Emails Automate'!$G4224,Database!$H:$N,6,0)),"")</f>
        <v/>
      </c>
      <c r="M4224" s="55" t="str">
        <f>IFERROR(IF($G4224="","",VLOOKUP('Dashboard And Emails Automate'!$G4224,Database!$H:$N,7,0)),"")</f>
        <v/>
      </c>
      <c r="N4224" s="55" t="str">
        <f>IFERROR(IF(OR($B4224="",$B4224="(blank)"),"",VLOOKUP($B4224,'Email Marketing Raw Data'!$C:$O,6,0)),"")</f>
        <v/>
      </c>
      <c r="O4224" s="55" t="str">
        <f>IFERROR(IF(OR($B4224="",$B4224="(blank)"),"",VLOOKUP($B4224,'Email Marketing Raw Data'!$C:$O,7,0)),"")</f>
        <v/>
      </c>
      <c r="P4224" s="55" t="str">
        <f>IFERROR(IF(OR($B4224="",$B4224="(blank)"),"",VLOOKUP($B4224,'Email Marketing Raw Data'!$C:$O,8,0)),"")</f>
        <v/>
      </c>
      <c r="Q4224" s="62" t="str">
        <f>IFERROR(IF(OR($B4224="",$B4224="(blank)"),"",VLOOKUP($B4224,'Email Marketing Raw Data'!$C:$O,9,0)),"")</f>
        <v/>
      </c>
    </row>
    <row r="4225" spans="4:17" ht="12.75" customHeight="1" x14ac:dyDescent="0.2">
      <c r="D4225" s="58" t="str">
        <f>IFERROR(IF(F4225&lt;&gt;"pending","",IF(OR($B4225="",$B4225="(blank)"),"",VLOOKUP($B4225,'Email Marketing Raw Data'!$C:$O,10,0))),"")</f>
        <v/>
      </c>
      <c r="E4225" s="59" t="str">
        <f>IFERROR(IF(F4225&lt;&gt;"pending","",IF(OR($B4225="",$B4225="(blank)"),"",VLOOKUP($B4225,'Email Marketing Raw Data'!$C:$O,11,0))),"")</f>
        <v/>
      </c>
      <c r="F4225" s="54" t="str">
        <f>IFERROR(IF(OR($B4225="",$B4225="(blank)"),"",VLOOKUP($B4225,'Email Marketing Raw Data'!$C:$O,13,0)),"")</f>
        <v/>
      </c>
      <c r="G4225" s="55" t="str">
        <f>IFERROR(IF(OR($B4225="",$B4225="(blank)"),"",VLOOKUP($B4225,'Email Marketing Raw Data'!$C:$O,4,0)),"")</f>
        <v/>
      </c>
      <c r="H4225" s="55" t="str">
        <f>IFERROR(IF(OR($B4225="",$B4225="(blank)"),"",VLOOKUP($B4225,'Email Marketing Raw Data'!$C:$O,5,0)),"")</f>
        <v/>
      </c>
      <c r="I4225" s="55" t="str">
        <f>IFERROR(IF($G4225="","",VLOOKUP('Dashboard And Emails Automate'!$G4225,Database!$H:$N,3,0)),"")</f>
        <v/>
      </c>
      <c r="J4225" s="55" t="str">
        <f>IFERROR(IF($G4225="","",VLOOKUP('Dashboard And Emails Automate'!$G4225,Database!$H:$N,4,0)),"")</f>
        <v/>
      </c>
      <c r="K4225" s="55" t="str">
        <f>IFERROR(IF($G4225="","",VLOOKUP('Dashboard And Emails Automate'!$G4225,Database!$H:$N,5,0)),"")</f>
        <v/>
      </c>
      <c r="L4225" s="55" t="str">
        <f>IFERROR(IF($G4225="","",VLOOKUP('Dashboard And Emails Automate'!$G4225,Database!$H:$N,6,0)),"")</f>
        <v/>
      </c>
      <c r="M4225" s="55" t="str">
        <f>IFERROR(IF($G4225="","",VLOOKUP('Dashboard And Emails Automate'!$G4225,Database!$H:$N,7,0)),"")</f>
        <v/>
      </c>
      <c r="N4225" s="55" t="str">
        <f>IFERROR(IF(OR($B4225="",$B4225="(blank)"),"",VLOOKUP($B4225,'Email Marketing Raw Data'!$C:$O,6,0)),"")</f>
        <v/>
      </c>
      <c r="O4225" s="55" t="str">
        <f>IFERROR(IF(OR($B4225="",$B4225="(blank)"),"",VLOOKUP($B4225,'Email Marketing Raw Data'!$C:$O,7,0)),"")</f>
        <v/>
      </c>
      <c r="P4225" s="55" t="str">
        <f>IFERROR(IF(OR($B4225="",$B4225="(blank)"),"",VLOOKUP($B4225,'Email Marketing Raw Data'!$C:$O,8,0)),"")</f>
        <v/>
      </c>
      <c r="Q4225" s="62" t="str">
        <f>IFERROR(IF(OR($B4225="",$B4225="(blank)"),"",VLOOKUP($B4225,'Email Marketing Raw Data'!$C:$O,9,0)),"")</f>
        <v/>
      </c>
    </row>
    <row r="4226" spans="4:17" ht="12.75" customHeight="1" x14ac:dyDescent="0.2">
      <c r="D4226" s="58" t="str">
        <f>IFERROR(IF(F4226&lt;&gt;"pending","",IF(OR($B4226="",$B4226="(blank)"),"",VLOOKUP($B4226,'Email Marketing Raw Data'!$C:$O,10,0))),"")</f>
        <v/>
      </c>
      <c r="E4226" s="59" t="str">
        <f>IFERROR(IF(F4226&lt;&gt;"pending","",IF(OR($B4226="",$B4226="(blank)"),"",VLOOKUP($B4226,'Email Marketing Raw Data'!$C:$O,11,0))),"")</f>
        <v/>
      </c>
      <c r="F4226" s="54" t="str">
        <f>IFERROR(IF(OR($B4226="",$B4226="(blank)"),"",VLOOKUP($B4226,'Email Marketing Raw Data'!$C:$O,13,0)),"")</f>
        <v/>
      </c>
      <c r="G4226" s="55" t="str">
        <f>IFERROR(IF(OR($B4226="",$B4226="(blank)"),"",VLOOKUP($B4226,'Email Marketing Raw Data'!$C:$O,4,0)),"")</f>
        <v/>
      </c>
      <c r="H4226" s="55" t="str">
        <f>IFERROR(IF(OR($B4226="",$B4226="(blank)"),"",VLOOKUP($B4226,'Email Marketing Raw Data'!$C:$O,5,0)),"")</f>
        <v/>
      </c>
      <c r="I4226" s="55" t="str">
        <f>IFERROR(IF($G4226="","",VLOOKUP('Dashboard And Emails Automate'!$G4226,Database!$H:$N,3,0)),"")</f>
        <v/>
      </c>
      <c r="J4226" s="55" t="str">
        <f>IFERROR(IF($G4226="","",VLOOKUP('Dashboard And Emails Automate'!$G4226,Database!$H:$N,4,0)),"")</f>
        <v/>
      </c>
      <c r="K4226" s="55" t="str">
        <f>IFERROR(IF($G4226="","",VLOOKUP('Dashboard And Emails Automate'!$G4226,Database!$H:$N,5,0)),"")</f>
        <v/>
      </c>
      <c r="L4226" s="55" t="str">
        <f>IFERROR(IF($G4226="","",VLOOKUP('Dashboard And Emails Automate'!$G4226,Database!$H:$N,6,0)),"")</f>
        <v/>
      </c>
      <c r="M4226" s="55" t="str">
        <f>IFERROR(IF($G4226="","",VLOOKUP('Dashboard And Emails Automate'!$G4226,Database!$H:$N,7,0)),"")</f>
        <v/>
      </c>
      <c r="N4226" s="55" t="str">
        <f>IFERROR(IF(OR($B4226="",$B4226="(blank)"),"",VLOOKUP($B4226,'Email Marketing Raw Data'!$C:$O,6,0)),"")</f>
        <v/>
      </c>
      <c r="O4226" s="55" t="str">
        <f>IFERROR(IF(OR($B4226="",$B4226="(blank)"),"",VLOOKUP($B4226,'Email Marketing Raw Data'!$C:$O,7,0)),"")</f>
        <v/>
      </c>
      <c r="P4226" s="55" t="str">
        <f>IFERROR(IF(OR($B4226="",$B4226="(blank)"),"",VLOOKUP($B4226,'Email Marketing Raw Data'!$C:$O,8,0)),"")</f>
        <v/>
      </c>
      <c r="Q4226" s="62" t="str">
        <f>IFERROR(IF(OR($B4226="",$B4226="(blank)"),"",VLOOKUP($B4226,'Email Marketing Raw Data'!$C:$O,9,0)),"")</f>
        <v/>
      </c>
    </row>
    <row r="4227" spans="4:17" ht="12.75" customHeight="1" x14ac:dyDescent="0.2">
      <c r="D4227" s="58" t="str">
        <f>IFERROR(IF(F4227&lt;&gt;"pending","",IF(OR($B4227="",$B4227="(blank)"),"",VLOOKUP($B4227,'Email Marketing Raw Data'!$C:$O,10,0))),"")</f>
        <v/>
      </c>
      <c r="E4227" s="59" t="str">
        <f>IFERROR(IF(F4227&lt;&gt;"pending","",IF(OR($B4227="",$B4227="(blank)"),"",VLOOKUP($B4227,'Email Marketing Raw Data'!$C:$O,11,0))),"")</f>
        <v/>
      </c>
      <c r="F4227" s="54" t="str">
        <f>IFERROR(IF(OR($B4227="",$B4227="(blank)"),"",VLOOKUP($B4227,'Email Marketing Raw Data'!$C:$O,13,0)),"")</f>
        <v/>
      </c>
      <c r="G4227" s="55" t="str">
        <f>IFERROR(IF(OR($B4227="",$B4227="(blank)"),"",VLOOKUP($B4227,'Email Marketing Raw Data'!$C:$O,4,0)),"")</f>
        <v/>
      </c>
      <c r="H4227" s="55" t="str">
        <f>IFERROR(IF(OR($B4227="",$B4227="(blank)"),"",VLOOKUP($B4227,'Email Marketing Raw Data'!$C:$O,5,0)),"")</f>
        <v/>
      </c>
      <c r="I4227" s="55" t="str">
        <f>IFERROR(IF($G4227="","",VLOOKUP('Dashboard And Emails Automate'!$G4227,Database!$H:$N,3,0)),"")</f>
        <v/>
      </c>
      <c r="J4227" s="55" t="str">
        <f>IFERROR(IF($G4227="","",VLOOKUP('Dashboard And Emails Automate'!$G4227,Database!$H:$N,4,0)),"")</f>
        <v/>
      </c>
      <c r="K4227" s="55" t="str">
        <f>IFERROR(IF($G4227="","",VLOOKUP('Dashboard And Emails Automate'!$G4227,Database!$H:$N,5,0)),"")</f>
        <v/>
      </c>
      <c r="L4227" s="55" t="str">
        <f>IFERROR(IF($G4227="","",VLOOKUP('Dashboard And Emails Automate'!$G4227,Database!$H:$N,6,0)),"")</f>
        <v/>
      </c>
      <c r="M4227" s="55" t="str">
        <f>IFERROR(IF($G4227="","",VLOOKUP('Dashboard And Emails Automate'!$G4227,Database!$H:$N,7,0)),"")</f>
        <v/>
      </c>
      <c r="N4227" s="55" t="str">
        <f>IFERROR(IF(OR($B4227="",$B4227="(blank)"),"",VLOOKUP($B4227,'Email Marketing Raw Data'!$C:$O,6,0)),"")</f>
        <v/>
      </c>
      <c r="O4227" s="55" t="str">
        <f>IFERROR(IF(OR($B4227="",$B4227="(blank)"),"",VLOOKUP($B4227,'Email Marketing Raw Data'!$C:$O,7,0)),"")</f>
        <v/>
      </c>
      <c r="P4227" s="55" t="str">
        <f>IFERROR(IF(OR($B4227="",$B4227="(blank)"),"",VLOOKUP($B4227,'Email Marketing Raw Data'!$C:$O,8,0)),"")</f>
        <v/>
      </c>
      <c r="Q4227" s="62" t="str">
        <f>IFERROR(IF(OR($B4227="",$B4227="(blank)"),"",VLOOKUP($B4227,'Email Marketing Raw Data'!$C:$O,9,0)),"")</f>
        <v/>
      </c>
    </row>
    <row r="4228" spans="4:17" ht="12.75" customHeight="1" x14ac:dyDescent="0.2">
      <c r="D4228" s="58" t="str">
        <f>IFERROR(IF(F4228&lt;&gt;"pending","",IF(OR($B4228="",$B4228="(blank)"),"",VLOOKUP($B4228,'Email Marketing Raw Data'!$C:$O,10,0))),"")</f>
        <v/>
      </c>
      <c r="E4228" s="59" t="str">
        <f>IFERROR(IF(F4228&lt;&gt;"pending","",IF(OR($B4228="",$B4228="(blank)"),"",VLOOKUP($B4228,'Email Marketing Raw Data'!$C:$O,11,0))),"")</f>
        <v/>
      </c>
      <c r="F4228" s="54" t="str">
        <f>IFERROR(IF(OR($B4228="",$B4228="(blank)"),"",VLOOKUP($B4228,'Email Marketing Raw Data'!$C:$O,13,0)),"")</f>
        <v/>
      </c>
      <c r="G4228" s="55" t="str">
        <f>IFERROR(IF(OR($B4228="",$B4228="(blank)"),"",VLOOKUP($B4228,'Email Marketing Raw Data'!$C:$O,4,0)),"")</f>
        <v/>
      </c>
      <c r="H4228" s="55" t="str">
        <f>IFERROR(IF(OR($B4228="",$B4228="(blank)"),"",VLOOKUP($B4228,'Email Marketing Raw Data'!$C:$O,5,0)),"")</f>
        <v/>
      </c>
      <c r="I4228" s="55" t="str">
        <f>IFERROR(IF($G4228="","",VLOOKUP('Dashboard And Emails Automate'!$G4228,Database!$H:$N,3,0)),"")</f>
        <v/>
      </c>
      <c r="J4228" s="55" t="str">
        <f>IFERROR(IF($G4228="","",VLOOKUP('Dashboard And Emails Automate'!$G4228,Database!$H:$N,4,0)),"")</f>
        <v/>
      </c>
      <c r="K4228" s="55" t="str">
        <f>IFERROR(IF($G4228="","",VLOOKUP('Dashboard And Emails Automate'!$G4228,Database!$H:$N,5,0)),"")</f>
        <v/>
      </c>
      <c r="L4228" s="55" t="str">
        <f>IFERROR(IF($G4228="","",VLOOKUP('Dashboard And Emails Automate'!$G4228,Database!$H:$N,6,0)),"")</f>
        <v/>
      </c>
      <c r="M4228" s="55" t="str">
        <f>IFERROR(IF($G4228="","",VLOOKUP('Dashboard And Emails Automate'!$G4228,Database!$H:$N,7,0)),"")</f>
        <v/>
      </c>
      <c r="N4228" s="55" t="str">
        <f>IFERROR(IF(OR($B4228="",$B4228="(blank)"),"",VLOOKUP($B4228,'Email Marketing Raw Data'!$C:$O,6,0)),"")</f>
        <v/>
      </c>
      <c r="O4228" s="55" t="str">
        <f>IFERROR(IF(OR($B4228="",$B4228="(blank)"),"",VLOOKUP($B4228,'Email Marketing Raw Data'!$C:$O,7,0)),"")</f>
        <v/>
      </c>
      <c r="P4228" s="55" t="str">
        <f>IFERROR(IF(OR($B4228="",$B4228="(blank)"),"",VLOOKUP($B4228,'Email Marketing Raw Data'!$C:$O,8,0)),"")</f>
        <v/>
      </c>
      <c r="Q4228" s="62" t="str">
        <f>IFERROR(IF(OR($B4228="",$B4228="(blank)"),"",VLOOKUP($B4228,'Email Marketing Raw Data'!$C:$O,9,0)),"")</f>
        <v/>
      </c>
    </row>
    <row r="4229" spans="4:17" ht="12.75" customHeight="1" x14ac:dyDescent="0.2">
      <c r="D4229" s="58" t="str">
        <f>IFERROR(IF(F4229&lt;&gt;"pending","",IF(OR($B4229="",$B4229="(blank)"),"",VLOOKUP($B4229,'Email Marketing Raw Data'!$C:$O,10,0))),"")</f>
        <v/>
      </c>
      <c r="E4229" s="59" t="str">
        <f>IFERROR(IF(F4229&lt;&gt;"pending","",IF(OR($B4229="",$B4229="(blank)"),"",VLOOKUP($B4229,'Email Marketing Raw Data'!$C:$O,11,0))),"")</f>
        <v/>
      </c>
      <c r="F4229" s="54" t="str">
        <f>IFERROR(IF(OR($B4229="",$B4229="(blank)"),"",VLOOKUP($B4229,'Email Marketing Raw Data'!$C:$O,13,0)),"")</f>
        <v/>
      </c>
      <c r="G4229" s="55" t="str">
        <f>IFERROR(IF(OR($B4229="",$B4229="(blank)"),"",VLOOKUP($B4229,'Email Marketing Raw Data'!$C:$O,4,0)),"")</f>
        <v/>
      </c>
      <c r="H4229" s="55" t="str">
        <f>IFERROR(IF(OR($B4229="",$B4229="(blank)"),"",VLOOKUP($B4229,'Email Marketing Raw Data'!$C:$O,5,0)),"")</f>
        <v/>
      </c>
      <c r="I4229" s="55" t="str">
        <f>IFERROR(IF($G4229="","",VLOOKUP('Dashboard And Emails Automate'!$G4229,Database!$H:$N,3,0)),"")</f>
        <v/>
      </c>
      <c r="J4229" s="55" t="str">
        <f>IFERROR(IF($G4229="","",VLOOKUP('Dashboard And Emails Automate'!$G4229,Database!$H:$N,4,0)),"")</f>
        <v/>
      </c>
      <c r="K4229" s="55" t="str">
        <f>IFERROR(IF($G4229="","",VLOOKUP('Dashboard And Emails Automate'!$G4229,Database!$H:$N,5,0)),"")</f>
        <v/>
      </c>
      <c r="L4229" s="55" t="str">
        <f>IFERROR(IF($G4229="","",VLOOKUP('Dashboard And Emails Automate'!$G4229,Database!$H:$N,6,0)),"")</f>
        <v/>
      </c>
      <c r="M4229" s="55" t="str">
        <f>IFERROR(IF($G4229="","",VLOOKUP('Dashboard And Emails Automate'!$G4229,Database!$H:$N,7,0)),"")</f>
        <v/>
      </c>
      <c r="N4229" s="55" t="str">
        <f>IFERROR(IF(OR($B4229="",$B4229="(blank)"),"",VLOOKUP($B4229,'Email Marketing Raw Data'!$C:$O,6,0)),"")</f>
        <v/>
      </c>
      <c r="O4229" s="55" t="str">
        <f>IFERROR(IF(OR($B4229="",$B4229="(blank)"),"",VLOOKUP($B4229,'Email Marketing Raw Data'!$C:$O,7,0)),"")</f>
        <v/>
      </c>
      <c r="P4229" s="55" t="str">
        <f>IFERROR(IF(OR($B4229="",$B4229="(blank)"),"",VLOOKUP($B4229,'Email Marketing Raw Data'!$C:$O,8,0)),"")</f>
        <v/>
      </c>
      <c r="Q4229" s="62" t="str">
        <f>IFERROR(IF(OR($B4229="",$B4229="(blank)"),"",VLOOKUP($B4229,'Email Marketing Raw Data'!$C:$O,9,0)),"")</f>
        <v/>
      </c>
    </row>
    <row r="4230" spans="4:17" ht="12.75" customHeight="1" x14ac:dyDescent="0.2">
      <c r="D4230" s="58" t="str">
        <f>IFERROR(IF(F4230&lt;&gt;"pending","",IF(OR($B4230="",$B4230="(blank)"),"",VLOOKUP($B4230,'Email Marketing Raw Data'!$C:$O,10,0))),"")</f>
        <v/>
      </c>
      <c r="E4230" s="59" t="str">
        <f>IFERROR(IF(F4230&lt;&gt;"pending","",IF(OR($B4230="",$B4230="(blank)"),"",VLOOKUP($B4230,'Email Marketing Raw Data'!$C:$O,11,0))),"")</f>
        <v/>
      </c>
      <c r="F4230" s="54" t="str">
        <f>IFERROR(IF(OR($B4230="",$B4230="(blank)"),"",VLOOKUP($B4230,'Email Marketing Raw Data'!$C:$O,13,0)),"")</f>
        <v/>
      </c>
      <c r="G4230" s="55" t="str">
        <f>IFERROR(IF(OR($B4230="",$B4230="(blank)"),"",VLOOKUP($B4230,'Email Marketing Raw Data'!$C:$O,4,0)),"")</f>
        <v/>
      </c>
      <c r="H4230" s="55" t="str">
        <f>IFERROR(IF(OR($B4230="",$B4230="(blank)"),"",VLOOKUP($B4230,'Email Marketing Raw Data'!$C:$O,5,0)),"")</f>
        <v/>
      </c>
      <c r="I4230" s="55" t="str">
        <f>IFERROR(IF($G4230="","",VLOOKUP('Dashboard And Emails Automate'!$G4230,Database!$H:$N,3,0)),"")</f>
        <v/>
      </c>
      <c r="J4230" s="55" t="str">
        <f>IFERROR(IF($G4230="","",VLOOKUP('Dashboard And Emails Automate'!$G4230,Database!$H:$N,4,0)),"")</f>
        <v/>
      </c>
      <c r="K4230" s="55" t="str">
        <f>IFERROR(IF($G4230="","",VLOOKUP('Dashboard And Emails Automate'!$G4230,Database!$H:$N,5,0)),"")</f>
        <v/>
      </c>
      <c r="L4230" s="55" t="str">
        <f>IFERROR(IF($G4230="","",VLOOKUP('Dashboard And Emails Automate'!$G4230,Database!$H:$N,6,0)),"")</f>
        <v/>
      </c>
      <c r="M4230" s="55" t="str">
        <f>IFERROR(IF($G4230="","",VLOOKUP('Dashboard And Emails Automate'!$G4230,Database!$H:$N,7,0)),"")</f>
        <v/>
      </c>
      <c r="N4230" s="55" t="str">
        <f>IFERROR(IF(OR($B4230="",$B4230="(blank)"),"",VLOOKUP($B4230,'Email Marketing Raw Data'!$C:$O,6,0)),"")</f>
        <v/>
      </c>
      <c r="O4230" s="55" t="str">
        <f>IFERROR(IF(OR($B4230="",$B4230="(blank)"),"",VLOOKUP($B4230,'Email Marketing Raw Data'!$C:$O,7,0)),"")</f>
        <v/>
      </c>
      <c r="P4230" s="55" t="str">
        <f>IFERROR(IF(OR($B4230="",$B4230="(blank)"),"",VLOOKUP($B4230,'Email Marketing Raw Data'!$C:$O,8,0)),"")</f>
        <v/>
      </c>
      <c r="Q4230" s="62" t="str">
        <f>IFERROR(IF(OR($B4230="",$B4230="(blank)"),"",VLOOKUP($B4230,'Email Marketing Raw Data'!$C:$O,9,0)),"")</f>
        <v/>
      </c>
    </row>
    <row r="4231" spans="4:17" ht="12.75" customHeight="1" x14ac:dyDescent="0.2">
      <c r="D4231" s="58" t="str">
        <f>IFERROR(IF(F4231&lt;&gt;"pending","",IF(OR($B4231="",$B4231="(blank)"),"",VLOOKUP($B4231,'Email Marketing Raw Data'!$C:$O,10,0))),"")</f>
        <v/>
      </c>
      <c r="E4231" s="59" t="str">
        <f>IFERROR(IF(F4231&lt;&gt;"pending","",IF(OR($B4231="",$B4231="(blank)"),"",VLOOKUP($B4231,'Email Marketing Raw Data'!$C:$O,11,0))),"")</f>
        <v/>
      </c>
      <c r="F4231" s="54" t="str">
        <f>IFERROR(IF(OR($B4231="",$B4231="(blank)"),"",VLOOKUP($B4231,'Email Marketing Raw Data'!$C:$O,13,0)),"")</f>
        <v/>
      </c>
      <c r="G4231" s="55" t="str">
        <f>IFERROR(IF(OR($B4231="",$B4231="(blank)"),"",VLOOKUP($B4231,'Email Marketing Raw Data'!$C:$O,4,0)),"")</f>
        <v/>
      </c>
      <c r="H4231" s="55" t="str">
        <f>IFERROR(IF(OR($B4231="",$B4231="(blank)"),"",VLOOKUP($B4231,'Email Marketing Raw Data'!$C:$O,5,0)),"")</f>
        <v/>
      </c>
      <c r="I4231" s="55" t="str">
        <f>IFERROR(IF($G4231="","",VLOOKUP('Dashboard And Emails Automate'!$G4231,Database!$H:$N,3,0)),"")</f>
        <v/>
      </c>
      <c r="J4231" s="55" t="str">
        <f>IFERROR(IF($G4231="","",VLOOKUP('Dashboard And Emails Automate'!$G4231,Database!$H:$N,4,0)),"")</f>
        <v/>
      </c>
      <c r="K4231" s="55" t="str">
        <f>IFERROR(IF($G4231="","",VLOOKUP('Dashboard And Emails Automate'!$G4231,Database!$H:$N,5,0)),"")</f>
        <v/>
      </c>
      <c r="L4231" s="55" t="str">
        <f>IFERROR(IF($G4231="","",VLOOKUP('Dashboard And Emails Automate'!$G4231,Database!$H:$N,6,0)),"")</f>
        <v/>
      </c>
      <c r="M4231" s="55" t="str">
        <f>IFERROR(IF($G4231="","",VLOOKUP('Dashboard And Emails Automate'!$G4231,Database!$H:$N,7,0)),"")</f>
        <v/>
      </c>
      <c r="N4231" s="55" t="str">
        <f>IFERROR(IF(OR($B4231="",$B4231="(blank)"),"",VLOOKUP($B4231,'Email Marketing Raw Data'!$C:$O,6,0)),"")</f>
        <v/>
      </c>
      <c r="O4231" s="55" t="str">
        <f>IFERROR(IF(OR($B4231="",$B4231="(blank)"),"",VLOOKUP($B4231,'Email Marketing Raw Data'!$C:$O,7,0)),"")</f>
        <v/>
      </c>
      <c r="P4231" s="55" t="str">
        <f>IFERROR(IF(OR($B4231="",$B4231="(blank)"),"",VLOOKUP($B4231,'Email Marketing Raw Data'!$C:$O,8,0)),"")</f>
        <v/>
      </c>
      <c r="Q4231" s="62" t="str">
        <f>IFERROR(IF(OR($B4231="",$B4231="(blank)"),"",VLOOKUP($B4231,'Email Marketing Raw Data'!$C:$O,9,0)),"")</f>
        <v/>
      </c>
    </row>
    <row r="4232" spans="4:17" ht="12.75" customHeight="1" x14ac:dyDescent="0.2">
      <c r="D4232" s="58" t="str">
        <f>IFERROR(IF(F4232&lt;&gt;"pending","",IF(OR($B4232="",$B4232="(blank)"),"",VLOOKUP($B4232,'Email Marketing Raw Data'!$C:$O,10,0))),"")</f>
        <v/>
      </c>
      <c r="E4232" s="59" t="str">
        <f>IFERROR(IF(F4232&lt;&gt;"pending","",IF(OR($B4232="",$B4232="(blank)"),"",VLOOKUP($B4232,'Email Marketing Raw Data'!$C:$O,11,0))),"")</f>
        <v/>
      </c>
      <c r="F4232" s="54" t="str">
        <f>IFERROR(IF(OR($B4232="",$B4232="(blank)"),"",VLOOKUP($B4232,'Email Marketing Raw Data'!$C:$O,13,0)),"")</f>
        <v/>
      </c>
      <c r="G4232" s="55" t="str">
        <f>IFERROR(IF(OR($B4232="",$B4232="(blank)"),"",VLOOKUP($B4232,'Email Marketing Raw Data'!$C:$O,4,0)),"")</f>
        <v/>
      </c>
      <c r="H4232" s="55" t="str">
        <f>IFERROR(IF(OR($B4232="",$B4232="(blank)"),"",VLOOKUP($B4232,'Email Marketing Raw Data'!$C:$O,5,0)),"")</f>
        <v/>
      </c>
      <c r="I4232" s="55" t="str">
        <f>IFERROR(IF($G4232="","",VLOOKUP('Dashboard And Emails Automate'!$G4232,Database!$H:$N,3,0)),"")</f>
        <v/>
      </c>
      <c r="J4232" s="55" t="str">
        <f>IFERROR(IF($G4232="","",VLOOKUP('Dashboard And Emails Automate'!$G4232,Database!$H:$N,4,0)),"")</f>
        <v/>
      </c>
      <c r="K4232" s="55" t="str">
        <f>IFERROR(IF($G4232="","",VLOOKUP('Dashboard And Emails Automate'!$G4232,Database!$H:$N,5,0)),"")</f>
        <v/>
      </c>
      <c r="L4232" s="55" t="str">
        <f>IFERROR(IF($G4232="","",VLOOKUP('Dashboard And Emails Automate'!$G4232,Database!$H:$N,6,0)),"")</f>
        <v/>
      </c>
      <c r="M4232" s="55" t="str">
        <f>IFERROR(IF($G4232="","",VLOOKUP('Dashboard And Emails Automate'!$G4232,Database!$H:$N,7,0)),"")</f>
        <v/>
      </c>
      <c r="N4232" s="55" t="str">
        <f>IFERROR(IF(OR($B4232="",$B4232="(blank)"),"",VLOOKUP($B4232,'Email Marketing Raw Data'!$C:$O,6,0)),"")</f>
        <v/>
      </c>
      <c r="O4232" s="55" t="str">
        <f>IFERROR(IF(OR($B4232="",$B4232="(blank)"),"",VLOOKUP($B4232,'Email Marketing Raw Data'!$C:$O,7,0)),"")</f>
        <v/>
      </c>
      <c r="P4232" s="55" t="str">
        <f>IFERROR(IF(OR($B4232="",$B4232="(blank)"),"",VLOOKUP($B4232,'Email Marketing Raw Data'!$C:$O,8,0)),"")</f>
        <v/>
      </c>
      <c r="Q4232" s="62" t="str">
        <f>IFERROR(IF(OR($B4232="",$B4232="(blank)"),"",VLOOKUP($B4232,'Email Marketing Raw Data'!$C:$O,9,0)),"")</f>
        <v/>
      </c>
    </row>
    <row r="4233" spans="4:17" ht="12.75" customHeight="1" x14ac:dyDescent="0.2">
      <c r="D4233" s="58" t="str">
        <f>IFERROR(IF(F4233&lt;&gt;"pending","",IF(OR($B4233="",$B4233="(blank)"),"",VLOOKUP($B4233,'Email Marketing Raw Data'!$C:$O,10,0))),"")</f>
        <v/>
      </c>
      <c r="E4233" s="59" t="str">
        <f>IFERROR(IF(F4233&lt;&gt;"pending","",IF(OR($B4233="",$B4233="(blank)"),"",VLOOKUP($B4233,'Email Marketing Raw Data'!$C:$O,11,0))),"")</f>
        <v/>
      </c>
      <c r="F4233" s="54" t="str">
        <f>IFERROR(IF(OR($B4233="",$B4233="(blank)"),"",VLOOKUP($B4233,'Email Marketing Raw Data'!$C:$O,13,0)),"")</f>
        <v/>
      </c>
      <c r="G4233" s="55" t="str">
        <f>IFERROR(IF(OR($B4233="",$B4233="(blank)"),"",VLOOKUP($B4233,'Email Marketing Raw Data'!$C:$O,4,0)),"")</f>
        <v/>
      </c>
      <c r="H4233" s="55" t="str">
        <f>IFERROR(IF(OR($B4233="",$B4233="(blank)"),"",VLOOKUP($B4233,'Email Marketing Raw Data'!$C:$O,5,0)),"")</f>
        <v/>
      </c>
      <c r="I4233" s="55" t="str">
        <f>IFERROR(IF($G4233="","",VLOOKUP('Dashboard And Emails Automate'!$G4233,Database!$H:$N,3,0)),"")</f>
        <v/>
      </c>
      <c r="J4233" s="55" t="str">
        <f>IFERROR(IF($G4233="","",VLOOKUP('Dashboard And Emails Automate'!$G4233,Database!$H:$N,4,0)),"")</f>
        <v/>
      </c>
      <c r="K4233" s="55" t="str">
        <f>IFERROR(IF($G4233="","",VLOOKUP('Dashboard And Emails Automate'!$G4233,Database!$H:$N,5,0)),"")</f>
        <v/>
      </c>
      <c r="L4233" s="55" t="str">
        <f>IFERROR(IF($G4233="","",VLOOKUP('Dashboard And Emails Automate'!$G4233,Database!$H:$N,6,0)),"")</f>
        <v/>
      </c>
      <c r="M4233" s="55" t="str">
        <f>IFERROR(IF($G4233="","",VLOOKUP('Dashboard And Emails Automate'!$G4233,Database!$H:$N,7,0)),"")</f>
        <v/>
      </c>
      <c r="N4233" s="55" t="str">
        <f>IFERROR(IF(OR($B4233="",$B4233="(blank)"),"",VLOOKUP($B4233,'Email Marketing Raw Data'!$C:$O,6,0)),"")</f>
        <v/>
      </c>
      <c r="O4233" s="55" t="str">
        <f>IFERROR(IF(OR($B4233="",$B4233="(blank)"),"",VLOOKUP($B4233,'Email Marketing Raw Data'!$C:$O,7,0)),"")</f>
        <v/>
      </c>
      <c r="P4233" s="55" t="str">
        <f>IFERROR(IF(OR($B4233="",$B4233="(blank)"),"",VLOOKUP($B4233,'Email Marketing Raw Data'!$C:$O,8,0)),"")</f>
        <v/>
      </c>
      <c r="Q4233" s="62" t="str">
        <f>IFERROR(IF(OR($B4233="",$B4233="(blank)"),"",VLOOKUP($B4233,'Email Marketing Raw Data'!$C:$O,9,0)),"")</f>
        <v/>
      </c>
    </row>
    <row r="4234" spans="4:17" ht="12.75" customHeight="1" x14ac:dyDescent="0.2">
      <c r="D4234" s="58" t="str">
        <f>IFERROR(IF(F4234&lt;&gt;"pending","",IF(OR($B4234="",$B4234="(blank)"),"",VLOOKUP($B4234,'Email Marketing Raw Data'!$C:$O,10,0))),"")</f>
        <v/>
      </c>
      <c r="E4234" s="59" t="str">
        <f>IFERROR(IF(F4234&lt;&gt;"pending","",IF(OR($B4234="",$B4234="(blank)"),"",VLOOKUP($B4234,'Email Marketing Raw Data'!$C:$O,11,0))),"")</f>
        <v/>
      </c>
      <c r="F4234" s="54" t="str">
        <f>IFERROR(IF(OR($B4234="",$B4234="(blank)"),"",VLOOKUP($B4234,'Email Marketing Raw Data'!$C:$O,13,0)),"")</f>
        <v/>
      </c>
      <c r="G4234" s="55" t="str">
        <f>IFERROR(IF(OR($B4234="",$B4234="(blank)"),"",VLOOKUP($B4234,'Email Marketing Raw Data'!$C:$O,4,0)),"")</f>
        <v/>
      </c>
      <c r="H4234" s="55" t="str">
        <f>IFERROR(IF(OR($B4234="",$B4234="(blank)"),"",VLOOKUP($B4234,'Email Marketing Raw Data'!$C:$O,5,0)),"")</f>
        <v/>
      </c>
      <c r="I4234" s="55" t="str">
        <f>IFERROR(IF($G4234="","",VLOOKUP('Dashboard And Emails Automate'!$G4234,Database!$H:$N,3,0)),"")</f>
        <v/>
      </c>
      <c r="J4234" s="55" t="str">
        <f>IFERROR(IF($G4234="","",VLOOKUP('Dashboard And Emails Automate'!$G4234,Database!$H:$N,4,0)),"")</f>
        <v/>
      </c>
      <c r="K4234" s="55" t="str">
        <f>IFERROR(IF($G4234="","",VLOOKUP('Dashboard And Emails Automate'!$G4234,Database!$H:$N,5,0)),"")</f>
        <v/>
      </c>
      <c r="L4234" s="55" t="str">
        <f>IFERROR(IF($G4234="","",VLOOKUP('Dashboard And Emails Automate'!$G4234,Database!$H:$N,6,0)),"")</f>
        <v/>
      </c>
      <c r="M4234" s="55" t="str">
        <f>IFERROR(IF($G4234="","",VLOOKUP('Dashboard And Emails Automate'!$G4234,Database!$H:$N,7,0)),"")</f>
        <v/>
      </c>
      <c r="N4234" s="55" t="str">
        <f>IFERROR(IF(OR($B4234="",$B4234="(blank)"),"",VLOOKUP($B4234,'Email Marketing Raw Data'!$C:$O,6,0)),"")</f>
        <v/>
      </c>
      <c r="O4234" s="55" t="str">
        <f>IFERROR(IF(OR($B4234="",$B4234="(blank)"),"",VLOOKUP($B4234,'Email Marketing Raw Data'!$C:$O,7,0)),"")</f>
        <v/>
      </c>
      <c r="P4234" s="55" t="str">
        <f>IFERROR(IF(OR($B4234="",$B4234="(blank)"),"",VLOOKUP($B4234,'Email Marketing Raw Data'!$C:$O,8,0)),"")</f>
        <v/>
      </c>
      <c r="Q4234" s="62" t="str">
        <f>IFERROR(IF(OR($B4234="",$B4234="(blank)"),"",VLOOKUP($B4234,'Email Marketing Raw Data'!$C:$O,9,0)),"")</f>
        <v/>
      </c>
    </row>
    <row r="4235" spans="4:17" ht="12.75" customHeight="1" x14ac:dyDescent="0.2">
      <c r="D4235" s="58" t="str">
        <f>IFERROR(IF(F4235&lt;&gt;"pending","",IF(OR($B4235="",$B4235="(blank)"),"",VLOOKUP($B4235,'Email Marketing Raw Data'!$C:$O,10,0))),"")</f>
        <v/>
      </c>
      <c r="E4235" s="59" t="str">
        <f>IFERROR(IF(F4235&lt;&gt;"pending","",IF(OR($B4235="",$B4235="(blank)"),"",VLOOKUP($B4235,'Email Marketing Raw Data'!$C:$O,11,0))),"")</f>
        <v/>
      </c>
      <c r="F4235" s="54" t="str">
        <f>IFERROR(IF(OR($B4235="",$B4235="(blank)"),"",VLOOKUP($B4235,'Email Marketing Raw Data'!$C:$O,13,0)),"")</f>
        <v/>
      </c>
      <c r="G4235" s="55" t="str">
        <f>IFERROR(IF(OR($B4235="",$B4235="(blank)"),"",VLOOKUP($B4235,'Email Marketing Raw Data'!$C:$O,4,0)),"")</f>
        <v/>
      </c>
      <c r="H4235" s="55" t="str">
        <f>IFERROR(IF(OR($B4235="",$B4235="(blank)"),"",VLOOKUP($B4235,'Email Marketing Raw Data'!$C:$O,5,0)),"")</f>
        <v/>
      </c>
      <c r="I4235" s="55" t="str">
        <f>IFERROR(IF($G4235="","",VLOOKUP('Dashboard And Emails Automate'!$G4235,Database!$H:$N,3,0)),"")</f>
        <v/>
      </c>
      <c r="J4235" s="55" t="str">
        <f>IFERROR(IF($G4235="","",VLOOKUP('Dashboard And Emails Automate'!$G4235,Database!$H:$N,4,0)),"")</f>
        <v/>
      </c>
      <c r="K4235" s="55" t="str">
        <f>IFERROR(IF($G4235="","",VLOOKUP('Dashboard And Emails Automate'!$G4235,Database!$H:$N,5,0)),"")</f>
        <v/>
      </c>
      <c r="L4235" s="55" t="str">
        <f>IFERROR(IF($G4235="","",VLOOKUP('Dashboard And Emails Automate'!$G4235,Database!$H:$N,6,0)),"")</f>
        <v/>
      </c>
      <c r="M4235" s="55" t="str">
        <f>IFERROR(IF($G4235="","",VLOOKUP('Dashboard And Emails Automate'!$G4235,Database!$H:$N,7,0)),"")</f>
        <v/>
      </c>
      <c r="N4235" s="55" t="str">
        <f>IFERROR(IF(OR($B4235="",$B4235="(blank)"),"",VLOOKUP($B4235,'Email Marketing Raw Data'!$C:$O,6,0)),"")</f>
        <v/>
      </c>
      <c r="O4235" s="55" t="str">
        <f>IFERROR(IF(OR($B4235="",$B4235="(blank)"),"",VLOOKUP($B4235,'Email Marketing Raw Data'!$C:$O,7,0)),"")</f>
        <v/>
      </c>
      <c r="P4235" s="55" t="str">
        <f>IFERROR(IF(OR($B4235="",$B4235="(blank)"),"",VLOOKUP($B4235,'Email Marketing Raw Data'!$C:$O,8,0)),"")</f>
        <v/>
      </c>
      <c r="Q4235" s="62" t="str">
        <f>IFERROR(IF(OR($B4235="",$B4235="(blank)"),"",VLOOKUP($B4235,'Email Marketing Raw Data'!$C:$O,9,0)),"")</f>
        <v/>
      </c>
    </row>
    <row r="4236" spans="4:17" ht="12.75" customHeight="1" x14ac:dyDescent="0.2">
      <c r="D4236" s="58" t="str">
        <f>IFERROR(IF(F4236&lt;&gt;"pending","",IF(OR($B4236="",$B4236="(blank)"),"",VLOOKUP($B4236,'Email Marketing Raw Data'!$C:$O,10,0))),"")</f>
        <v/>
      </c>
      <c r="E4236" s="59" t="str">
        <f>IFERROR(IF(F4236&lt;&gt;"pending","",IF(OR($B4236="",$B4236="(blank)"),"",VLOOKUP($B4236,'Email Marketing Raw Data'!$C:$O,11,0))),"")</f>
        <v/>
      </c>
      <c r="F4236" s="54" t="str">
        <f>IFERROR(IF(OR($B4236="",$B4236="(blank)"),"",VLOOKUP($B4236,'Email Marketing Raw Data'!$C:$O,13,0)),"")</f>
        <v/>
      </c>
      <c r="G4236" s="55" t="str">
        <f>IFERROR(IF(OR($B4236="",$B4236="(blank)"),"",VLOOKUP($B4236,'Email Marketing Raw Data'!$C:$O,4,0)),"")</f>
        <v/>
      </c>
      <c r="H4236" s="55" t="str">
        <f>IFERROR(IF(OR($B4236="",$B4236="(blank)"),"",VLOOKUP($B4236,'Email Marketing Raw Data'!$C:$O,5,0)),"")</f>
        <v/>
      </c>
      <c r="I4236" s="55" t="str">
        <f>IFERROR(IF($G4236="","",VLOOKUP('Dashboard And Emails Automate'!$G4236,Database!$H:$N,3,0)),"")</f>
        <v/>
      </c>
      <c r="J4236" s="55" t="str">
        <f>IFERROR(IF($G4236="","",VLOOKUP('Dashboard And Emails Automate'!$G4236,Database!$H:$N,4,0)),"")</f>
        <v/>
      </c>
      <c r="K4236" s="55" t="str">
        <f>IFERROR(IF($G4236="","",VLOOKUP('Dashboard And Emails Automate'!$G4236,Database!$H:$N,5,0)),"")</f>
        <v/>
      </c>
      <c r="L4236" s="55" t="str">
        <f>IFERROR(IF($G4236="","",VLOOKUP('Dashboard And Emails Automate'!$G4236,Database!$H:$N,6,0)),"")</f>
        <v/>
      </c>
      <c r="M4236" s="55" t="str">
        <f>IFERROR(IF($G4236="","",VLOOKUP('Dashboard And Emails Automate'!$G4236,Database!$H:$N,7,0)),"")</f>
        <v/>
      </c>
      <c r="N4236" s="55" t="str">
        <f>IFERROR(IF(OR($B4236="",$B4236="(blank)"),"",VLOOKUP($B4236,'Email Marketing Raw Data'!$C:$O,6,0)),"")</f>
        <v/>
      </c>
      <c r="O4236" s="55" t="str">
        <f>IFERROR(IF(OR($B4236="",$B4236="(blank)"),"",VLOOKUP($B4236,'Email Marketing Raw Data'!$C:$O,7,0)),"")</f>
        <v/>
      </c>
      <c r="P4236" s="55" t="str">
        <f>IFERROR(IF(OR($B4236="",$B4236="(blank)"),"",VLOOKUP($B4236,'Email Marketing Raw Data'!$C:$O,8,0)),"")</f>
        <v/>
      </c>
      <c r="Q4236" s="62" t="str">
        <f>IFERROR(IF(OR($B4236="",$B4236="(blank)"),"",VLOOKUP($B4236,'Email Marketing Raw Data'!$C:$O,9,0)),"")</f>
        <v/>
      </c>
    </row>
    <row r="4237" spans="4:17" ht="12.75" customHeight="1" x14ac:dyDescent="0.2">
      <c r="D4237" s="58" t="str">
        <f>IFERROR(IF(F4237&lt;&gt;"pending","",IF(OR($B4237="",$B4237="(blank)"),"",VLOOKUP($B4237,'Email Marketing Raw Data'!$C:$O,10,0))),"")</f>
        <v/>
      </c>
      <c r="E4237" s="59" t="str">
        <f>IFERROR(IF(F4237&lt;&gt;"pending","",IF(OR($B4237="",$B4237="(blank)"),"",VLOOKUP($B4237,'Email Marketing Raw Data'!$C:$O,11,0))),"")</f>
        <v/>
      </c>
      <c r="F4237" s="54" t="str">
        <f>IFERROR(IF(OR($B4237="",$B4237="(blank)"),"",VLOOKUP($B4237,'Email Marketing Raw Data'!$C:$O,13,0)),"")</f>
        <v/>
      </c>
      <c r="G4237" s="55" t="str">
        <f>IFERROR(IF(OR($B4237="",$B4237="(blank)"),"",VLOOKUP($B4237,'Email Marketing Raw Data'!$C:$O,4,0)),"")</f>
        <v/>
      </c>
      <c r="H4237" s="55" t="str">
        <f>IFERROR(IF(OR($B4237="",$B4237="(blank)"),"",VLOOKUP($B4237,'Email Marketing Raw Data'!$C:$O,5,0)),"")</f>
        <v/>
      </c>
      <c r="I4237" s="55" t="str">
        <f>IFERROR(IF($G4237="","",VLOOKUP('Dashboard And Emails Automate'!$G4237,Database!$H:$N,3,0)),"")</f>
        <v/>
      </c>
      <c r="J4237" s="55" t="str">
        <f>IFERROR(IF($G4237="","",VLOOKUP('Dashboard And Emails Automate'!$G4237,Database!$H:$N,4,0)),"")</f>
        <v/>
      </c>
      <c r="K4237" s="55" t="str">
        <f>IFERROR(IF($G4237="","",VLOOKUP('Dashboard And Emails Automate'!$G4237,Database!$H:$N,5,0)),"")</f>
        <v/>
      </c>
      <c r="L4237" s="55" t="str">
        <f>IFERROR(IF($G4237="","",VLOOKUP('Dashboard And Emails Automate'!$G4237,Database!$H:$N,6,0)),"")</f>
        <v/>
      </c>
      <c r="M4237" s="55" t="str">
        <f>IFERROR(IF($G4237="","",VLOOKUP('Dashboard And Emails Automate'!$G4237,Database!$H:$N,7,0)),"")</f>
        <v/>
      </c>
      <c r="N4237" s="55" t="str">
        <f>IFERROR(IF(OR($B4237="",$B4237="(blank)"),"",VLOOKUP($B4237,'Email Marketing Raw Data'!$C:$O,6,0)),"")</f>
        <v/>
      </c>
      <c r="O4237" s="55" t="str">
        <f>IFERROR(IF(OR($B4237="",$B4237="(blank)"),"",VLOOKUP($B4237,'Email Marketing Raw Data'!$C:$O,7,0)),"")</f>
        <v/>
      </c>
      <c r="P4237" s="55" t="str">
        <f>IFERROR(IF(OR($B4237="",$B4237="(blank)"),"",VLOOKUP($B4237,'Email Marketing Raw Data'!$C:$O,8,0)),"")</f>
        <v/>
      </c>
      <c r="Q4237" s="62" t="str">
        <f>IFERROR(IF(OR($B4237="",$B4237="(blank)"),"",VLOOKUP($B4237,'Email Marketing Raw Data'!$C:$O,9,0)),"")</f>
        <v/>
      </c>
    </row>
    <row r="4238" spans="4:17" ht="12.75" customHeight="1" x14ac:dyDescent="0.2">
      <c r="D4238" s="58" t="str">
        <f>IFERROR(IF(F4238&lt;&gt;"pending","",IF(OR($B4238="",$B4238="(blank)"),"",VLOOKUP($B4238,'Email Marketing Raw Data'!$C:$O,10,0))),"")</f>
        <v/>
      </c>
      <c r="E4238" s="59" t="str">
        <f>IFERROR(IF(F4238&lt;&gt;"pending","",IF(OR($B4238="",$B4238="(blank)"),"",VLOOKUP($B4238,'Email Marketing Raw Data'!$C:$O,11,0))),"")</f>
        <v/>
      </c>
      <c r="F4238" s="54" t="str">
        <f>IFERROR(IF(OR($B4238="",$B4238="(blank)"),"",VLOOKUP($B4238,'Email Marketing Raw Data'!$C:$O,13,0)),"")</f>
        <v/>
      </c>
      <c r="G4238" s="55" t="str">
        <f>IFERROR(IF(OR($B4238="",$B4238="(blank)"),"",VLOOKUP($B4238,'Email Marketing Raw Data'!$C:$O,4,0)),"")</f>
        <v/>
      </c>
      <c r="H4238" s="55" t="str">
        <f>IFERROR(IF(OR($B4238="",$B4238="(blank)"),"",VLOOKUP($B4238,'Email Marketing Raw Data'!$C:$O,5,0)),"")</f>
        <v/>
      </c>
      <c r="I4238" s="55" t="str">
        <f>IFERROR(IF($G4238="","",VLOOKUP('Dashboard And Emails Automate'!$G4238,Database!$H:$N,3,0)),"")</f>
        <v/>
      </c>
      <c r="J4238" s="55" t="str">
        <f>IFERROR(IF($G4238="","",VLOOKUP('Dashboard And Emails Automate'!$G4238,Database!$H:$N,4,0)),"")</f>
        <v/>
      </c>
      <c r="K4238" s="55" t="str">
        <f>IFERROR(IF($G4238="","",VLOOKUP('Dashboard And Emails Automate'!$G4238,Database!$H:$N,5,0)),"")</f>
        <v/>
      </c>
      <c r="L4238" s="55" t="str">
        <f>IFERROR(IF($G4238="","",VLOOKUP('Dashboard And Emails Automate'!$G4238,Database!$H:$N,6,0)),"")</f>
        <v/>
      </c>
      <c r="M4238" s="55" t="str">
        <f>IFERROR(IF($G4238="","",VLOOKUP('Dashboard And Emails Automate'!$G4238,Database!$H:$N,7,0)),"")</f>
        <v/>
      </c>
      <c r="N4238" s="55" t="str">
        <f>IFERROR(IF(OR($B4238="",$B4238="(blank)"),"",VLOOKUP($B4238,'Email Marketing Raw Data'!$C:$O,6,0)),"")</f>
        <v/>
      </c>
      <c r="O4238" s="55" t="str">
        <f>IFERROR(IF(OR($B4238="",$B4238="(blank)"),"",VLOOKUP($B4238,'Email Marketing Raw Data'!$C:$O,7,0)),"")</f>
        <v/>
      </c>
      <c r="P4238" s="55" t="str">
        <f>IFERROR(IF(OR($B4238="",$B4238="(blank)"),"",VLOOKUP($B4238,'Email Marketing Raw Data'!$C:$O,8,0)),"")</f>
        <v/>
      </c>
      <c r="Q4238" s="62" t="str">
        <f>IFERROR(IF(OR($B4238="",$B4238="(blank)"),"",VLOOKUP($B4238,'Email Marketing Raw Data'!$C:$O,9,0)),"")</f>
        <v/>
      </c>
    </row>
    <row r="4239" spans="4:17" ht="12.75" customHeight="1" x14ac:dyDescent="0.2">
      <c r="D4239" s="58" t="str">
        <f>IFERROR(IF(F4239&lt;&gt;"pending","",IF(OR($B4239="",$B4239="(blank)"),"",VLOOKUP($B4239,'Email Marketing Raw Data'!$C:$O,10,0))),"")</f>
        <v/>
      </c>
      <c r="E4239" s="59" t="str">
        <f>IFERROR(IF(F4239&lt;&gt;"pending","",IF(OR($B4239="",$B4239="(blank)"),"",VLOOKUP($B4239,'Email Marketing Raw Data'!$C:$O,11,0))),"")</f>
        <v/>
      </c>
      <c r="F4239" s="54" t="str">
        <f>IFERROR(IF(OR($B4239="",$B4239="(blank)"),"",VLOOKUP($B4239,'Email Marketing Raw Data'!$C:$O,13,0)),"")</f>
        <v/>
      </c>
      <c r="G4239" s="55" t="str">
        <f>IFERROR(IF(OR($B4239="",$B4239="(blank)"),"",VLOOKUP($B4239,'Email Marketing Raw Data'!$C:$O,4,0)),"")</f>
        <v/>
      </c>
      <c r="H4239" s="55" t="str">
        <f>IFERROR(IF(OR($B4239="",$B4239="(blank)"),"",VLOOKUP($B4239,'Email Marketing Raw Data'!$C:$O,5,0)),"")</f>
        <v/>
      </c>
      <c r="I4239" s="55" t="str">
        <f>IFERROR(IF($G4239="","",VLOOKUP('Dashboard And Emails Automate'!$G4239,Database!$H:$N,3,0)),"")</f>
        <v/>
      </c>
      <c r="J4239" s="55" t="str">
        <f>IFERROR(IF($G4239="","",VLOOKUP('Dashboard And Emails Automate'!$G4239,Database!$H:$N,4,0)),"")</f>
        <v/>
      </c>
      <c r="K4239" s="55" t="str">
        <f>IFERROR(IF($G4239="","",VLOOKUP('Dashboard And Emails Automate'!$G4239,Database!$H:$N,5,0)),"")</f>
        <v/>
      </c>
      <c r="L4239" s="55" t="str">
        <f>IFERROR(IF($G4239="","",VLOOKUP('Dashboard And Emails Automate'!$G4239,Database!$H:$N,6,0)),"")</f>
        <v/>
      </c>
      <c r="M4239" s="55" t="str">
        <f>IFERROR(IF($G4239="","",VLOOKUP('Dashboard And Emails Automate'!$G4239,Database!$H:$N,7,0)),"")</f>
        <v/>
      </c>
      <c r="N4239" s="55" t="str">
        <f>IFERROR(IF(OR($B4239="",$B4239="(blank)"),"",VLOOKUP($B4239,'Email Marketing Raw Data'!$C:$O,6,0)),"")</f>
        <v/>
      </c>
      <c r="O4239" s="55" t="str">
        <f>IFERROR(IF(OR($B4239="",$B4239="(blank)"),"",VLOOKUP($B4239,'Email Marketing Raw Data'!$C:$O,7,0)),"")</f>
        <v/>
      </c>
      <c r="P4239" s="55" t="str">
        <f>IFERROR(IF(OR($B4239="",$B4239="(blank)"),"",VLOOKUP($B4239,'Email Marketing Raw Data'!$C:$O,8,0)),"")</f>
        <v/>
      </c>
      <c r="Q4239" s="62" t="str">
        <f>IFERROR(IF(OR($B4239="",$B4239="(blank)"),"",VLOOKUP($B4239,'Email Marketing Raw Data'!$C:$O,9,0)),"")</f>
        <v/>
      </c>
    </row>
    <row r="4240" spans="4:17" ht="12.75" customHeight="1" x14ac:dyDescent="0.2">
      <c r="D4240" s="58" t="str">
        <f>IFERROR(IF(F4240&lt;&gt;"pending","",IF(OR($B4240="",$B4240="(blank)"),"",VLOOKUP($B4240,'Email Marketing Raw Data'!$C:$O,10,0))),"")</f>
        <v/>
      </c>
      <c r="E4240" s="59" t="str">
        <f>IFERROR(IF(F4240&lt;&gt;"pending","",IF(OR($B4240="",$B4240="(blank)"),"",VLOOKUP($B4240,'Email Marketing Raw Data'!$C:$O,11,0))),"")</f>
        <v/>
      </c>
      <c r="F4240" s="54" t="str">
        <f>IFERROR(IF(OR($B4240="",$B4240="(blank)"),"",VLOOKUP($B4240,'Email Marketing Raw Data'!$C:$O,13,0)),"")</f>
        <v/>
      </c>
      <c r="G4240" s="55" t="str">
        <f>IFERROR(IF(OR($B4240="",$B4240="(blank)"),"",VLOOKUP($B4240,'Email Marketing Raw Data'!$C:$O,4,0)),"")</f>
        <v/>
      </c>
      <c r="H4240" s="55" t="str">
        <f>IFERROR(IF(OR($B4240="",$B4240="(blank)"),"",VLOOKUP($B4240,'Email Marketing Raw Data'!$C:$O,5,0)),"")</f>
        <v/>
      </c>
      <c r="I4240" s="55" t="str">
        <f>IFERROR(IF($G4240="","",VLOOKUP('Dashboard And Emails Automate'!$G4240,Database!$H:$N,3,0)),"")</f>
        <v/>
      </c>
      <c r="J4240" s="55" t="str">
        <f>IFERROR(IF($G4240="","",VLOOKUP('Dashboard And Emails Automate'!$G4240,Database!$H:$N,4,0)),"")</f>
        <v/>
      </c>
      <c r="K4240" s="55" t="str">
        <f>IFERROR(IF($G4240="","",VLOOKUP('Dashboard And Emails Automate'!$G4240,Database!$H:$N,5,0)),"")</f>
        <v/>
      </c>
      <c r="L4240" s="55" t="str">
        <f>IFERROR(IF($G4240="","",VLOOKUP('Dashboard And Emails Automate'!$G4240,Database!$H:$N,6,0)),"")</f>
        <v/>
      </c>
      <c r="M4240" s="55" t="str">
        <f>IFERROR(IF($G4240="","",VLOOKUP('Dashboard And Emails Automate'!$G4240,Database!$H:$N,7,0)),"")</f>
        <v/>
      </c>
      <c r="N4240" s="55" t="str">
        <f>IFERROR(IF(OR($B4240="",$B4240="(blank)"),"",VLOOKUP($B4240,'Email Marketing Raw Data'!$C:$O,6,0)),"")</f>
        <v/>
      </c>
      <c r="O4240" s="55" t="str">
        <f>IFERROR(IF(OR($B4240="",$B4240="(blank)"),"",VLOOKUP($B4240,'Email Marketing Raw Data'!$C:$O,7,0)),"")</f>
        <v/>
      </c>
      <c r="P4240" s="55" t="str">
        <f>IFERROR(IF(OR($B4240="",$B4240="(blank)"),"",VLOOKUP($B4240,'Email Marketing Raw Data'!$C:$O,8,0)),"")</f>
        <v/>
      </c>
      <c r="Q4240" s="62" t="str">
        <f>IFERROR(IF(OR($B4240="",$B4240="(blank)"),"",VLOOKUP($B4240,'Email Marketing Raw Data'!$C:$O,9,0)),"")</f>
        <v/>
      </c>
    </row>
    <row r="4241" spans="4:17" ht="12.75" customHeight="1" x14ac:dyDescent="0.2">
      <c r="D4241" s="58" t="str">
        <f>IFERROR(IF(F4241&lt;&gt;"pending","",IF(OR($B4241="",$B4241="(blank)"),"",VLOOKUP($B4241,'Email Marketing Raw Data'!$C:$O,10,0))),"")</f>
        <v/>
      </c>
      <c r="E4241" s="59" t="str">
        <f>IFERROR(IF(F4241&lt;&gt;"pending","",IF(OR($B4241="",$B4241="(blank)"),"",VLOOKUP($B4241,'Email Marketing Raw Data'!$C:$O,11,0))),"")</f>
        <v/>
      </c>
      <c r="F4241" s="54" t="str">
        <f>IFERROR(IF(OR($B4241="",$B4241="(blank)"),"",VLOOKUP($B4241,'Email Marketing Raw Data'!$C:$O,13,0)),"")</f>
        <v/>
      </c>
      <c r="G4241" s="55" t="str">
        <f>IFERROR(IF(OR($B4241="",$B4241="(blank)"),"",VLOOKUP($B4241,'Email Marketing Raw Data'!$C:$O,4,0)),"")</f>
        <v/>
      </c>
      <c r="H4241" s="55" t="str">
        <f>IFERROR(IF(OR($B4241="",$B4241="(blank)"),"",VLOOKUP($B4241,'Email Marketing Raw Data'!$C:$O,5,0)),"")</f>
        <v/>
      </c>
      <c r="I4241" s="55" t="str">
        <f>IFERROR(IF($G4241="","",VLOOKUP('Dashboard And Emails Automate'!$G4241,Database!$H:$N,3,0)),"")</f>
        <v/>
      </c>
      <c r="J4241" s="55" t="str">
        <f>IFERROR(IF($G4241="","",VLOOKUP('Dashboard And Emails Automate'!$G4241,Database!$H:$N,4,0)),"")</f>
        <v/>
      </c>
      <c r="K4241" s="55" t="str">
        <f>IFERROR(IF($G4241="","",VLOOKUP('Dashboard And Emails Automate'!$G4241,Database!$H:$N,5,0)),"")</f>
        <v/>
      </c>
      <c r="L4241" s="55" t="str">
        <f>IFERROR(IF($G4241="","",VLOOKUP('Dashboard And Emails Automate'!$G4241,Database!$H:$N,6,0)),"")</f>
        <v/>
      </c>
      <c r="M4241" s="55" t="str">
        <f>IFERROR(IF($G4241="","",VLOOKUP('Dashboard And Emails Automate'!$G4241,Database!$H:$N,7,0)),"")</f>
        <v/>
      </c>
      <c r="N4241" s="55" t="str">
        <f>IFERROR(IF(OR($B4241="",$B4241="(blank)"),"",VLOOKUP($B4241,'Email Marketing Raw Data'!$C:$O,6,0)),"")</f>
        <v/>
      </c>
      <c r="O4241" s="55" t="str">
        <f>IFERROR(IF(OR($B4241="",$B4241="(blank)"),"",VLOOKUP($B4241,'Email Marketing Raw Data'!$C:$O,7,0)),"")</f>
        <v/>
      </c>
      <c r="P4241" s="55" t="str">
        <f>IFERROR(IF(OR($B4241="",$B4241="(blank)"),"",VLOOKUP($B4241,'Email Marketing Raw Data'!$C:$O,8,0)),"")</f>
        <v/>
      </c>
      <c r="Q4241" s="62" t="str">
        <f>IFERROR(IF(OR($B4241="",$B4241="(blank)"),"",VLOOKUP($B4241,'Email Marketing Raw Data'!$C:$O,9,0)),"")</f>
        <v/>
      </c>
    </row>
    <row r="4242" spans="4:17" ht="12.75" customHeight="1" x14ac:dyDescent="0.2">
      <c r="D4242" s="58" t="str">
        <f>IFERROR(IF(F4242&lt;&gt;"pending","",IF(OR($B4242="",$B4242="(blank)"),"",VLOOKUP($B4242,'Email Marketing Raw Data'!$C:$O,10,0))),"")</f>
        <v/>
      </c>
      <c r="E4242" s="59" t="str">
        <f>IFERROR(IF(F4242&lt;&gt;"pending","",IF(OR($B4242="",$B4242="(blank)"),"",VLOOKUP($B4242,'Email Marketing Raw Data'!$C:$O,11,0))),"")</f>
        <v/>
      </c>
      <c r="F4242" s="54" t="str">
        <f>IFERROR(IF(OR($B4242="",$B4242="(blank)"),"",VLOOKUP($B4242,'Email Marketing Raw Data'!$C:$O,13,0)),"")</f>
        <v/>
      </c>
      <c r="G4242" s="55" t="str">
        <f>IFERROR(IF(OR($B4242="",$B4242="(blank)"),"",VLOOKUP($B4242,'Email Marketing Raw Data'!$C:$O,4,0)),"")</f>
        <v/>
      </c>
      <c r="H4242" s="55" t="str">
        <f>IFERROR(IF(OR($B4242="",$B4242="(blank)"),"",VLOOKUP($B4242,'Email Marketing Raw Data'!$C:$O,5,0)),"")</f>
        <v/>
      </c>
      <c r="I4242" s="55" t="str">
        <f>IFERROR(IF($G4242="","",VLOOKUP('Dashboard And Emails Automate'!$G4242,Database!$H:$N,3,0)),"")</f>
        <v/>
      </c>
      <c r="J4242" s="55" t="str">
        <f>IFERROR(IF($G4242="","",VLOOKUP('Dashboard And Emails Automate'!$G4242,Database!$H:$N,4,0)),"")</f>
        <v/>
      </c>
      <c r="K4242" s="55" t="str">
        <f>IFERROR(IF($G4242="","",VLOOKUP('Dashboard And Emails Automate'!$G4242,Database!$H:$N,5,0)),"")</f>
        <v/>
      </c>
      <c r="L4242" s="55" t="str">
        <f>IFERROR(IF($G4242="","",VLOOKUP('Dashboard And Emails Automate'!$G4242,Database!$H:$N,6,0)),"")</f>
        <v/>
      </c>
      <c r="M4242" s="55" t="str">
        <f>IFERROR(IF($G4242="","",VLOOKUP('Dashboard And Emails Automate'!$G4242,Database!$H:$N,7,0)),"")</f>
        <v/>
      </c>
      <c r="N4242" s="55" t="str">
        <f>IFERROR(IF(OR($B4242="",$B4242="(blank)"),"",VLOOKUP($B4242,'Email Marketing Raw Data'!$C:$O,6,0)),"")</f>
        <v/>
      </c>
      <c r="O4242" s="55" t="str">
        <f>IFERROR(IF(OR($B4242="",$B4242="(blank)"),"",VLOOKUP($B4242,'Email Marketing Raw Data'!$C:$O,7,0)),"")</f>
        <v/>
      </c>
      <c r="P4242" s="55" t="str">
        <f>IFERROR(IF(OR($B4242="",$B4242="(blank)"),"",VLOOKUP($B4242,'Email Marketing Raw Data'!$C:$O,8,0)),"")</f>
        <v/>
      </c>
      <c r="Q4242" s="62" t="str">
        <f>IFERROR(IF(OR($B4242="",$B4242="(blank)"),"",VLOOKUP($B4242,'Email Marketing Raw Data'!$C:$O,9,0)),"")</f>
        <v/>
      </c>
    </row>
    <row r="4243" spans="4:17" ht="12.75" customHeight="1" x14ac:dyDescent="0.2">
      <c r="D4243" s="58" t="str">
        <f>IFERROR(IF(F4243&lt;&gt;"pending","",IF(OR($B4243="",$B4243="(blank)"),"",VLOOKUP($B4243,'Email Marketing Raw Data'!$C:$O,10,0))),"")</f>
        <v/>
      </c>
      <c r="E4243" s="59" t="str">
        <f>IFERROR(IF(F4243&lt;&gt;"pending","",IF(OR($B4243="",$B4243="(blank)"),"",VLOOKUP($B4243,'Email Marketing Raw Data'!$C:$O,11,0))),"")</f>
        <v/>
      </c>
      <c r="F4243" s="54" t="str">
        <f>IFERROR(IF(OR($B4243="",$B4243="(blank)"),"",VLOOKUP($B4243,'Email Marketing Raw Data'!$C:$O,13,0)),"")</f>
        <v/>
      </c>
      <c r="G4243" s="55" t="str">
        <f>IFERROR(IF(OR($B4243="",$B4243="(blank)"),"",VLOOKUP($B4243,'Email Marketing Raw Data'!$C:$O,4,0)),"")</f>
        <v/>
      </c>
      <c r="H4243" s="55" t="str">
        <f>IFERROR(IF(OR($B4243="",$B4243="(blank)"),"",VLOOKUP($B4243,'Email Marketing Raw Data'!$C:$O,5,0)),"")</f>
        <v/>
      </c>
      <c r="I4243" s="55" t="str">
        <f>IFERROR(IF($G4243="","",VLOOKUP('Dashboard And Emails Automate'!$G4243,Database!$H:$N,3,0)),"")</f>
        <v/>
      </c>
      <c r="J4243" s="55" t="str">
        <f>IFERROR(IF($G4243="","",VLOOKUP('Dashboard And Emails Automate'!$G4243,Database!$H:$N,4,0)),"")</f>
        <v/>
      </c>
      <c r="K4243" s="55" t="str">
        <f>IFERROR(IF($G4243="","",VLOOKUP('Dashboard And Emails Automate'!$G4243,Database!$H:$N,5,0)),"")</f>
        <v/>
      </c>
      <c r="L4243" s="55" t="str">
        <f>IFERROR(IF($G4243="","",VLOOKUP('Dashboard And Emails Automate'!$G4243,Database!$H:$N,6,0)),"")</f>
        <v/>
      </c>
      <c r="M4243" s="55" t="str">
        <f>IFERROR(IF($G4243="","",VLOOKUP('Dashboard And Emails Automate'!$G4243,Database!$H:$N,7,0)),"")</f>
        <v/>
      </c>
      <c r="N4243" s="55" t="str">
        <f>IFERROR(IF(OR($B4243="",$B4243="(blank)"),"",VLOOKUP($B4243,'Email Marketing Raw Data'!$C:$O,6,0)),"")</f>
        <v/>
      </c>
      <c r="O4243" s="55" t="str">
        <f>IFERROR(IF(OR($B4243="",$B4243="(blank)"),"",VLOOKUP($B4243,'Email Marketing Raw Data'!$C:$O,7,0)),"")</f>
        <v/>
      </c>
      <c r="P4243" s="55" t="str">
        <f>IFERROR(IF(OR($B4243="",$B4243="(blank)"),"",VLOOKUP($B4243,'Email Marketing Raw Data'!$C:$O,8,0)),"")</f>
        <v/>
      </c>
      <c r="Q4243" s="62" t="str">
        <f>IFERROR(IF(OR($B4243="",$B4243="(blank)"),"",VLOOKUP($B4243,'Email Marketing Raw Data'!$C:$O,9,0)),"")</f>
        <v/>
      </c>
    </row>
    <row r="4244" spans="4:17" ht="12.75" customHeight="1" x14ac:dyDescent="0.2">
      <c r="D4244" s="58" t="str">
        <f>IFERROR(IF(F4244&lt;&gt;"pending","",IF(OR($B4244="",$B4244="(blank)"),"",VLOOKUP($B4244,'Email Marketing Raw Data'!$C:$O,10,0))),"")</f>
        <v/>
      </c>
      <c r="E4244" s="59" t="str">
        <f>IFERROR(IF(F4244&lt;&gt;"pending","",IF(OR($B4244="",$B4244="(blank)"),"",VLOOKUP($B4244,'Email Marketing Raw Data'!$C:$O,11,0))),"")</f>
        <v/>
      </c>
      <c r="F4244" s="54" t="str">
        <f>IFERROR(IF(OR($B4244="",$B4244="(blank)"),"",VLOOKUP($B4244,'Email Marketing Raw Data'!$C:$O,13,0)),"")</f>
        <v/>
      </c>
      <c r="G4244" s="55" t="str">
        <f>IFERROR(IF(OR($B4244="",$B4244="(blank)"),"",VLOOKUP($B4244,'Email Marketing Raw Data'!$C:$O,4,0)),"")</f>
        <v/>
      </c>
      <c r="H4244" s="55" t="str">
        <f>IFERROR(IF(OR($B4244="",$B4244="(blank)"),"",VLOOKUP($B4244,'Email Marketing Raw Data'!$C:$O,5,0)),"")</f>
        <v/>
      </c>
      <c r="I4244" s="55" t="str">
        <f>IFERROR(IF($G4244="","",VLOOKUP('Dashboard And Emails Automate'!$G4244,Database!$H:$N,3,0)),"")</f>
        <v/>
      </c>
      <c r="J4244" s="55" t="str">
        <f>IFERROR(IF($G4244="","",VLOOKUP('Dashboard And Emails Automate'!$G4244,Database!$H:$N,4,0)),"")</f>
        <v/>
      </c>
      <c r="K4244" s="55" t="str">
        <f>IFERROR(IF($G4244="","",VLOOKUP('Dashboard And Emails Automate'!$G4244,Database!$H:$N,5,0)),"")</f>
        <v/>
      </c>
      <c r="L4244" s="55" t="str">
        <f>IFERROR(IF($G4244="","",VLOOKUP('Dashboard And Emails Automate'!$G4244,Database!$H:$N,6,0)),"")</f>
        <v/>
      </c>
      <c r="M4244" s="55" t="str">
        <f>IFERROR(IF($G4244="","",VLOOKUP('Dashboard And Emails Automate'!$G4244,Database!$H:$N,7,0)),"")</f>
        <v/>
      </c>
      <c r="N4244" s="55" t="str">
        <f>IFERROR(IF(OR($B4244="",$B4244="(blank)"),"",VLOOKUP($B4244,'Email Marketing Raw Data'!$C:$O,6,0)),"")</f>
        <v/>
      </c>
      <c r="O4244" s="55" t="str">
        <f>IFERROR(IF(OR($B4244="",$B4244="(blank)"),"",VLOOKUP($B4244,'Email Marketing Raw Data'!$C:$O,7,0)),"")</f>
        <v/>
      </c>
      <c r="P4244" s="55" t="str">
        <f>IFERROR(IF(OR($B4244="",$B4244="(blank)"),"",VLOOKUP($B4244,'Email Marketing Raw Data'!$C:$O,8,0)),"")</f>
        <v/>
      </c>
      <c r="Q4244" s="62" t="str">
        <f>IFERROR(IF(OR($B4244="",$B4244="(blank)"),"",VLOOKUP($B4244,'Email Marketing Raw Data'!$C:$O,9,0)),"")</f>
        <v/>
      </c>
    </row>
    <row r="4245" spans="4:17" ht="12.75" customHeight="1" x14ac:dyDescent="0.2">
      <c r="D4245" s="58" t="str">
        <f>IFERROR(IF(F4245&lt;&gt;"pending","",IF(OR($B4245="",$B4245="(blank)"),"",VLOOKUP($B4245,'Email Marketing Raw Data'!$C:$O,10,0))),"")</f>
        <v/>
      </c>
      <c r="E4245" s="59" t="str">
        <f>IFERROR(IF(F4245&lt;&gt;"pending","",IF(OR($B4245="",$B4245="(blank)"),"",VLOOKUP($B4245,'Email Marketing Raw Data'!$C:$O,11,0))),"")</f>
        <v/>
      </c>
      <c r="F4245" s="54" t="str">
        <f>IFERROR(IF(OR($B4245="",$B4245="(blank)"),"",VLOOKUP($B4245,'Email Marketing Raw Data'!$C:$O,13,0)),"")</f>
        <v/>
      </c>
      <c r="G4245" s="55" t="str">
        <f>IFERROR(IF(OR($B4245="",$B4245="(blank)"),"",VLOOKUP($B4245,'Email Marketing Raw Data'!$C:$O,4,0)),"")</f>
        <v/>
      </c>
      <c r="H4245" s="55" t="str">
        <f>IFERROR(IF(OR($B4245="",$B4245="(blank)"),"",VLOOKUP($B4245,'Email Marketing Raw Data'!$C:$O,5,0)),"")</f>
        <v/>
      </c>
      <c r="I4245" s="55" t="str">
        <f>IFERROR(IF($G4245="","",VLOOKUP('Dashboard And Emails Automate'!$G4245,Database!$H:$N,3,0)),"")</f>
        <v/>
      </c>
      <c r="J4245" s="55" t="str">
        <f>IFERROR(IF($G4245="","",VLOOKUP('Dashboard And Emails Automate'!$G4245,Database!$H:$N,4,0)),"")</f>
        <v/>
      </c>
      <c r="K4245" s="55" t="str">
        <f>IFERROR(IF($G4245="","",VLOOKUP('Dashboard And Emails Automate'!$G4245,Database!$H:$N,5,0)),"")</f>
        <v/>
      </c>
      <c r="L4245" s="55" t="str">
        <f>IFERROR(IF($G4245="","",VLOOKUP('Dashboard And Emails Automate'!$G4245,Database!$H:$N,6,0)),"")</f>
        <v/>
      </c>
      <c r="M4245" s="55" t="str">
        <f>IFERROR(IF($G4245="","",VLOOKUP('Dashboard And Emails Automate'!$G4245,Database!$H:$N,7,0)),"")</f>
        <v/>
      </c>
      <c r="N4245" s="55" t="str">
        <f>IFERROR(IF(OR($B4245="",$B4245="(blank)"),"",VLOOKUP($B4245,'Email Marketing Raw Data'!$C:$O,6,0)),"")</f>
        <v/>
      </c>
      <c r="O4245" s="55" t="str">
        <f>IFERROR(IF(OR($B4245="",$B4245="(blank)"),"",VLOOKUP($B4245,'Email Marketing Raw Data'!$C:$O,7,0)),"")</f>
        <v/>
      </c>
      <c r="P4245" s="55" t="str">
        <f>IFERROR(IF(OR($B4245="",$B4245="(blank)"),"",VLOOKUP($B4245,'Email Marketing Raw Data'!$C:$O,8,0)),"")</f>
        <v/>
      </c>
      <c r="Q4245" s="62" t="str">
        <f>IFERROR(IF(OR($B4245="",$B4245="(blank)"),"",VLOOKUP($B4245,'Email Marketing Raw Data'!$C:$O,9,0)),"")</f>
        <v/>
      </c>
    </row>
    <row r="4246" spans="4:17" ht="12.75" customHeight="1" x14ac:dyDescent="0.2">
      <c r="D4246" s="58" t="str">
        <f>IFERROR(IF(F4246&lt;&gt;"pending","",IF(OR($B4246="",$B4246="(blank)"),"",VLOOKUP($B4246,'Email Marketing Raw Data'!$C:$O,10,0))),"")</f>
        <v/>
      </c>
      <c r="E4246" s="59" t="str">
        <f>IFERROR(IF(F4246&lt;&gt;"pending","",IF(OR($B4246="",$B4246="(blank)"),"",VLOOKUP($B4246,'Email Marketing Raw Data'!$C:$O,11,0))),"")</f>
        <v/>
      </c>
      <c r="F4246" s="54" t="str">
        <f>IFERROR(IF(OR($B4246="",$B4246="(blank)"),"",VLOOKUP($B4246,'Email Marketing Raw Data'!$C:$O,13,0)),"")</f>
        <v/>
      </c>
      <c r="G4246" s="55" t="str">
        <f>IFERROR(IF(OR($B4246="",$B4246="(blank)"),"",VLOOKUP($B4246,'Email Marketing Raw Data'!$C:$O,4,0)),"")</f>
        <v/>
      </c>
      <c r="H4246" s="55" t="str">
        <f>IFERROR(IF(OR($B4246="",$B4246="(blank)"),"",VLOOKUP($B4246,'Email Marketing Raw Data'!$C:$O,5,0)),"")</f>
        <v/>
      </c>
      <c r="I4246" s="55" t="str">
        <f>IFERROR(IF($G4246="","",VLOOKUP('Dashboard And Emails Automate'!$G4246,Database!$H:$N,3,0)),"")</f>
        <v/>
      </c>
      <c r="J4246" s="55" t="str">
        <f>IFERROR(IF($G4246="","",VLOOKUP('Dashboard And Emails Automate'!$G4246,Database!$H:$N,4,0)),"")</f>
        <v/>
      </c>
      <c r="K4246" s="55" t="str">
        <f>IFERROR(IF($G4246="","",VLOOKUP('Dashboard And Emails Automate'!$G4246,Database!$H:$N,5,0)),"")</f>
        <v/>
      </c>
      <c r="L4246" s="55" t="str">
        <f>IFERROR(IF($G4246="","",VLOOKUP('Dashboard And Emails Automate'!$G4246,Database!$H:$N,6,0)),"")</f>
        <v/>
      </c>
      <c r="M4246" s="55" t="str">
        <f>IFERROR(IF($G4246="","",VLOOKUP('Dashboard And Emails Automate'!$G4246,Database!$H:$N,7,0)),"")</f>
        <v/>
      </c>
      <c r="N4246" s="55" t="str">
        <f>IFERROR(IF(OR($B4246="",$B4246="(blank)"),"",VLOOKUP($B4246,'Email Marketing Raw Data'!$C:$O,6,0)),"")</f>
        <v/>
      </c>
      <c r="O4246" s="55" t="str">
        <f>IFERROR(IF(OR($B4246="",$B4246="(blank)"),"",VLOOKUP($B4246,'Email Marketing Raw Data'!$C:$O,7,0)),"")</f>
        <v/>
      </c>
      <c r="P4246" s="55" t="str">
        <f>IFERROR(IF(OR($B4246="",$B4246="(blank)"),"",VLOOKUP($B4246,'Email Marketing Raw Data'!$C:$O,8,0)),"")</f>
        <v/>
      </c>
      <c r="Q4246" s="62" t="str">
        <f>IFERROR(IF(OR($B4246="",$B4246="(blank)"),"",VLOOKUP($B4246,'Email Marketing Raw Data'!$C:$O,9,0)),"")</f>
        <v/>
      </c>
    </row>
    <row r="4247" spans="4:17" ht="12.75" customHeight="1" x14ac:dyDescent="0.2">
      <c r="D4247" s="58" t="str">
        <f>IFERROR(IF(F4247&lt;&gt;"pending","",IF(OR($B4247="",$B4247="(blank)"),"",VLOOKUP($B4247,'Email Marketing Raw Data'!$C:$O,10,0))),"")</f>
        <v/>
      </c>
      <c r="E4247" s="59" t="str">
        <f>IFERROR(IF(F4247&lt;&gt;"pending","",IF(OR($B4247="",$B4247="(blank)"),"",VLOOKUP($B4247,'Email Marketing Raw Data'!$C:$O,11,0))),"")</f>
        <v/>
      </c>
      <c r="F4247" s="54" t="str">
        <f>IFERROR(IF(OR($B4247="",$B4247="(blank)"),"",VLOOKUP($B4247,'Email Marketing Raw Data'!$C:$O,13,0)),"")</f>
        <v/>
      </c>
      <c r="G4247" s="55" t="str">
        <f>IFERROR(IF(OR($B4247="",$B4247="(blank)"),"",VLOOKUP($B4247,'Email Marketing Raw Data'!$C:$O,4,0)),"")</f>
        <v/>
      </c>
      <c r="H4247" s="55" t="str">
        <f>IFERROR(IF(OR($B4247="",$B4247="(blank)"),"",VLOOKUP($B4247,'Email Marketing Raw Data'!$C:$O,5,0)),"")</f>
        <v/>
      </c>
      <c r="I4247" s="55" t="str">
        <f>IFERROR(IF($G4247="","",VLOOKUP('Dashboard And Emails Automate'!$G4247,Database!$H:$N,3,0)),"")</f>
        <v/>
      </c>
      <c r="J4247" s="55" t="str">
        <f>IFERROR(IF($G4247="","",VLOOKUP('Dashboard And Emails Automate'!$G4247,Database!$H:$N,4,0)),"")</f>
        <v/>
      </c>
      <c r="K4247" s="55" t="str">
        <f>IFERROR(IF($G4247="","",VLOOKUP('Dashboard And Emails Automate'!$G4247,Database!$H:$N,5,0)),"")</f>
        <v/>
      </c>
      <c r="L4247" s="55" t="str">
        <f>IFERROR(IF($G4247="","",VLOOKUP('Dashboard And Emails Automate'!$G4247,Database!$H:$N,6,0)),"")</f>
        <v/>
      </c>
      <c r="M4247" s="55" t="str">
        <f>IFERROR(IF($G4247="","",VLOOKUP('Dashboard And Emails Automate'!$G4247,Database!$H:$N,7,0)),"")</f>
        <v/>
      </c>
      <c r="N4247" s="55" t="str">
        <f>IFERROR(IF(OR($B4247="",$B4247="(blank)"),"",VLOOKUP($B4247,'Email Marketing Raw Data'!$C:$O,6,0)),"")</f>
        <v/>
      </c>
      <c r="O4247" s="55" t="str">
        <f>IFERROR(IF(OR($B4247="",$B4247="(blank)"),"",VLOOKUP($B4247,'Email Marketing Raw Data'!$C:$O,7,0)),"")</f>
        <v/>
      </c>
      <c r="P4247" s="55" t="str">
        <f>IFERROR(IF(OR($B4247="",$B4247="(blank)"),"",VLOOKUP($B4247,'Email Marketing Raw Data'!$C:$O,8,0)),"")</f>
        <v/>
      </c>
      <c r="Q4247" s="62" t="str">
        <f>IFERROR(IF(OR($B4247="",$B4247="(blank)"),"",VLOOKUP($B4247,'Email Marketing Raw Data'!$C:$O,9,0)),"")</f>
        <v/>
      </c>
    </row>
    <row r="4248" spans="4:17" ht="12.75" customHeight="1" x14ac:dyDescent="0.2">
      <c r="D4248" s="58" t="str">
        <f>IFERROR(IF(F4248&lt;&gt;"pending","",IF(OR($B4248="",$B4248="(blank)"),"",VLOOKUP($B4248,'Email Marketing Raw Data'!$C:$O,10,0))),"")</f>
        <v/>
      </c>
      <c r="E4248" s="59" t="str">
        <f>IFERROR(IF(F4248&lt;&gt;"pending","",IF(OR($B4248="",$B4248="(blank)"),"",VLOOKUP($B4248,'Email Marketing Raw Data'!$C:$O,11,0))),"")</f>
        <v/>
      </c>
      <c r="F4248" s="54" t="str">
        <f>IFERROR(IF(OR($B4248="",$B4248="(blank)"),"",VLOOKUP($B4248,'Email Marketing Raw Data'!$C:$O,13,0)),"")</f>
        <v/>
      </c>
      <c r="G4248" s="55" t="str">
        <f>IFERROR(IF(OR($B4248="",$B4248="(blank)"),"",VLOOKUP($B4248,'Email Marketing Raw Data'!$C:$O,4,0)),"")</f>
        <v/>
      </c>
      <c r="H4248" s="55" t="str">
        <f>IFERROR(IF(OR($B4248="",$B4248="(blank)"),"",VLOOKUP($B4248,'Email Marketing Raw Data'!$C:$O,5,0)),"")</f>
        <v/>
      </c>
      <c r="I4248" s="55" t="str">
        <f>IFERROR(IF($G4248="","",VLOOKUP('Dashboard And Emails Automate'!$G4248,Database!$H:$N,3,0)),"")</f>
        <v/>
      </c>
      <c r="J4248" s="55" t="str">
        <f>IFERROR(IF($G4248="","",VLOOKUP('Dashboard And Emails Automate'!$G4248,Database!$H:$N,4,0)),"")</f>
        <v/>
      </c>
      <c r="K4248" s="55" t="str">
        <f>IFERROR(IF($G4248="","",VLOOKUP('Dashboard And Emails Automate'!$G4248,Database!$H:$N,5,0)),"")</f>
        <v/>
      </c>
      <c r="L4248" s="55" t="str">
        <f>IFERROR(IF($G4248="","",VLOOKUP('Dashboard And Emails Automate'!$G4248,Database!$H:$N,6,0)),"")</f>
        <v/>
      </c>
      <c r="M4248" s="55" t="str">
        <f>IFERROR(IF($G4248="","",VLOOKUP('Dashboard And Emails Automate'!$G4248,Database!$H:$N,7,0)),"")</f>
        <v/>
      </c>
      <c r="N4248" s="55" t="str">
        <f>IFERROR(IF(OR($B4248="",$B4248="(blank)"),"",VLOOKUP($B4248,'Email Marketing Raw Data'!$C:$O,6,0)),"")</f>
        <v/>
      </c>
      <c r="O4248" s="55" t="str">
        <f>IFERROR(IF(OR($B4248="",$B4248="(blank)"),"",VLOOKUP($B4248,'Email Marketing Raw Data'!$C:$O,7,0)),"")</f>
        <v/>
      </c>
      <c r="P4248" s="55" t="str">
        <f>IFERROR(IF(OR($B4248="",$B4248="(blank)"),"",VLOOKUP($B4248,'Email Marketing Raw Data'!$C:$O,8,0)),"")</f>
        <v/>
      </c>
      <c r="Q4248" s="62" t="str">
        <f>IFERROR(IF(OR($B4248="",$B4248="(blank)"),"",VLOOKUP($B4248,'Email Marketing Raw Data'!$C:$O,9,0)),"")</f>
        <v/>
      </c>
    </row>
    <row r="4249" spans="4:17" ht="12.75" customHeight="1" x14ac:dyDescent="0.2">
      <c r="D4249" s="58" t="str">
        <f>IFERROR(IF(F4249&lt;&gt;"pending","",IF(OR($B4249="",$B4249="(blank)"),"",VLOOKUP($B4249,'Email Marketing Raw Data'!$C:$O,10,0))),"")</f>
        <v/>
      </c>
      <c r="E4249" s="59" t="str">
        <f>IFERROR(IF(F4249&lt;&gt;"pending","",IF(OR($B4249="",$B4249="(blank)"),"",VLOOKUP($B4249,'Email Marketing Raw Data'!$C:$O,11,0))),"")</f>
        <v/>
      </c>
      <c r="F4249" s="54" t="str">
        <f>IFERROR(IF(OR($B4249="",$B4249="(blank)"),"",VLOOKUP($B4249,'Email Marketing Raw Data'!$C:$O,13,0)),"")</f>
        <v/>
      </c>
      <c r="G4249" s="55" t="str">
        <f>IFERROR(IF(OR($B4249="",$B4249="(blank)"),"",VLOOKUP($B4249,'Email Marketing Raw Data'!$C:$O,4,0)),"")</f>
        <v/>
      </c>
      <c r="H4249" s="55" t="str">
        <f>IFERROR(IF(OR($B4249="",$B4249="(blank)"),"",VLOOKUP($B4249,'Email Marketing Raw Data'!$C:$O,5,0)),"")</f>
        <v/>
      </c>
      <c r="I4249" s="55" t="str">
        <f>IFERROR(IF($G4249="","",VLOOKUP('Dashboard And Emails Automate'!$G4249,Database!$H:$N,3,0)),"")</f>
        <v/>
      </c>
      <c r="J4249" s="55" t="str">
        <f>IFERROR(IF($G4249="","",VLOOKUP('Dashboard And Emails Automate'!$G4249,Database!$H:$N,4,0)),"")</f>
        <v/>
      </c>
      <c r="K4249" s="55" t="str">
        <f>IFERROR(IF($G4249="","",VLOOKUP('Dashboard And Emails Automate'!$G4249,Database!$H:$N,5,0)),"")</f>
        <v/>
      </c>
      <c r="L4249" s="55" t="str">
        <f>IFERROR(IF($G4249="","",VLOOKUP('Dashboard And Emails Automate'!$G4249,Database!$H:$N,6,0)),"")</f>
        <v/>
      </c>
      <c r="M4249" s="55" t="str">
        <f>IFERROR(IF($G4249="","",VLOOKUP('Dashboard And Emails Automate'!$G4249,Database!$H:$N,7,0)),"")</f>
        <v/>
      </c>
      <c r="N4249" s="55" t="str">
        <f>IFERROR(IF(OR($B4249="",$B4249="(blank)"),"",VLOOKUP($B4249,'Email Marketing Raw Data'!$C:$O,6,0)),"")</f>
        <v/>
      </c>
      <c r="O4249" s="55" t="str">
        <f>IFERROR(IF(OR($B4249="",$B4249="(blank)"),"",VLOOKUP($B4249,'Email Marketing Raw Data'!$C:$O,7,0)),"")</f>
        <v/>
      </c>
      <c r="P4249" s="55" t="str">
        <f>IFERROR(IF(OR($B4249="",$B4249="(blank)"),"",VLOOKUP($B4249,'Email Marketing Raw Data'!$C:$O,8,0)),"")</f>
        <v/>
      </c>
      <c r="Q4249" s="62" t="str">
        <f>IFERROR(IF(OR($B4249="",$B4249="(blank)"),"",VLOOKUP($B4249,'Email Marketing Raw Data'!$C:$O,9,0)),"")</f>
        <v/>
      </c>
    </row>
    <row r="4250" spans="4:17" ht="12.75" customHeight="1" x14ac:dyDescent="0.2">
      <c r="D4250" s="58" t="str">
        <f>IFERROR(IF(F4250&lt;&gt;"pending","",IF(OR($B4250="",$B4250="(blank)"),"",VLOOKUP($B4250,'Email Marketing Raw Data'!$C:$O,10,0))),"")</f>
        <v/>
      </c>
      <c r="E4250" s="59" t="str">
        <f>IFERROR(IF(F4250&lt;&gt;"pending","",IF(OR($B4250="",$B4250="(blank)"),"",VLOOKUP($B4250,'Email Marketing Raw Data'!$C:$O,11,0))),"")</f>
        <v/>
      </c>
      <c r="F4250" s="54" t="str">
        <f>IFERROR(IF(OR($B4250="",$B4250="(blank)"),"",VLOOKUP($B4250,'Email Marketing Raw Data'!$C:$O,13,0)),"")</f>
        <v/>
      </c>
      <c r="G4250" s="55" t="str">
        <f>IFERROR(IF(OR($B4250="",$B4250="(blank)"),"",VLOOKUP($B4250,'Email Marketing Raw Data'!$C:$O,4,0)),"")</f>
        <v/>
      </c>
      <c r="H4250" s="55" t="str">
        <f>IFERROR(IF(OR($B4250="",$B4250="(blank)"),"",VLOOKUP($B4250,'Email Marketing Raw Data'!$C:$O,5,0)),"")</f>
        <v/>
      </c>
      <c r="I4250" s="55" t="str">
        <f>IFERROR(IF($G4250="","",VLOOKUP('Dashboard And Emails Automate'!$G4250,Database!$H:$N,3,0)),"")</f>
        <v/>
      </c>
      <c r="J4250" s="55" t="str">
        <f>IFERROR(IF($G4250="","",VLOOKUP('Dashboard And Emails Automate'!$G4250,Database!$H:$N,4,0)),"")</f>
        <v/>
      </c>
      <c r="K4250" s="55" t="str">
        <f>IFERROR(IF($G4250="","",VLOOKUP('Dashboard And Emails Automate'!$G4250,Database!$H:$N,5,0)),"")</f>
        <v/>
      </c>
      <c r="L4250" s="55" t="str">
        <f>IFERROR(IF($G4250="","",VLOOKUP('Dashboard And Emails Automate'!$G4250,Database!$H:$N,6,0)),"")</f>
        <v/>
      </c>
      <c r="M4250" s="55" t="str">
        <f>IFERROR(IF($G4250="","",VLOOKUP('Dashboard And Emails Automate'!$G4250,Database!$H:$N,7,0)),"")</f>
        <v/>
      </c>
      <c r="N4250" s="55" t="str">
        <f>IFERROR(IF(OR($B4250="",$B4250="(blank)"),"",VLOOKUP($B4250,'Email Marketing Raw Data'!$C:$O,6,0)),"")</f>
        <v/>
      </c>
      <c r="O4250" s="55" t="str">
        <f>IFERROR(IF(OR($B4250="",$B4250="(blank)"),"",VLOOKUP($B4250,'Email Marketing Raw Data'!$C:$O,7,0)),"")</f>
        <v/>
      </c>
      <c r="P4250" s="55" t="str">
        <f>IFERROR(IF(OR($B4250="",$B4250="(blank)"),"",VLOOKUP($B4250,'Email Marketing Raw Data'!$C:$O,8,0)),"")</f>
        <v/>
      </c>
      <c r="Q4250" s="62" t="str">
        <f>IFERROR(IF(OR($B4250="",$B4250="(blank)"),"",VLOOKUP($B4250,'Email Marketing Raw Data'!$C:$O,9,0)),"")</f>
        <v/>
      </c>
    </row>
    <row r="4251" spans="4:17" ht="12.75" customHeight="1" x14ac:dyDescent="0.2">
      <c r="D4251" s="58" t="str">
        <f>IFERROR(IF(F4251&lt;&gt;"pending","",IF(OR($B4251="",$B4251="(blank)"),"",VLOOKUP($B4251,'Email Marketing Raw Data'!$C:$O,10,0))),"")</f>
        <v/>
      </c>
      <c r="E4251" s="59" t="str">
        <f>IFERROR(IF(F4251&lt;&gt;"pending","",IF(OR($B4251="",$B4251="(blank)"),"",VLOOKUP($B4251,'Email Marketing Raw Data'!$C:$O,11,0))),"")</f>
        <v/>
      </c>
      <c r="F4251" s="54" t="str">
        <f>IFERROR(IF(OR($B4251="",$B4251="(blank)"),"",VLOOKUP($B4251,'Email Marketing Raw Data'!$C:$O,13,0)),"")</f>
        <v/>
      </c>
      <c r="G4251" s="55" t="str">
        <f>IFERROR(IF(OR($B4251="",$B4251="(blank)"),"",VLOOKUP($B4251,'Email Marketing Raw Data'!$C:$O,4,0)),"")</f>
        <v/>
      </c>
      <c r="H4251" s="55" t="str">
        <f>IFERROR(IF(OR($B4251="",$B4251="(blank)"),"",VLOOKUP($B4251,'Email Marketing Raw Data'!$C:$O,5,0)),"")</f>
        <v/>
      </c>
      <c r="I4251" s="55" t="str">
        <f>IFERROR(IF($G4251="","",VLOOKUP('Dashboard And Emails Automate'!$G4251,Database!$H:$N,3,0)),"")</f>
        <v/>
      </c>
      <c r="J4251" s="55" t="str">
        <f>IFERROR(IF($G4251="","",VLOOKUP('Dashboard And Emails Automate'!$G4251,Database!$H:$N,4,0)),"")</f>
        <v/>
      </c>
      <c r="K4251" s="55" t="str">
        <f>IFERROR(IF($G4251="","",VLOOKUP('Dashboard And Emails Automate'!$G4251,Database!$H:$N,5,0)),"")</f>
        <v/>
      </c>
      <c r="L4251" s="55" t="str">
        <f>IFERROR(IF($G4251="","",VLOOKUP('Dashboard And Emails Automate'!$G4251,Database!$H:$N,6,0)),"")</f>
        <v/>
      </c>
      <c r="M4251" s="55" t="str">
        <f>IFERROR(IF($G4251="","",VLOOKUP('Dashboard And Emails Automate'!$G4251,Database!$H:$N,7,0)),"")</f>
        <v/>
      </c>
      <c r="N4251" s="55" t="str">
        <f>IFERROR(IF(OR($B4251="",$B4251="(blank)"),"",VLOOKUP($B4251,'Email Marketing Raw Data'!$C:$O,6,0)),"")</f>
        <v/>
      </c>
      <c r="O4251" s="55" t="str">
        <f>IFERROR(IF(OR($B4251="",$B4251="(blank)"),"",VLOOKUP($B4251,'Email Marketing Raw Data'!$C:$O,7,0)),"")</f>
        <v/>
      </c>
      <c r="P4251" s="55" t="str">
        <f>IFERROR(IF(OR($B4251="",$B4251="(blank)"),"",VLOOKUP($B4251,'Email Marketing Raw Data'!$C:$O,8,0)),"")</f>
        <v/>
      </c>
      <c r="Q4251" s="62" t="str">
        <f>IFERROR(IF(OR($B4251="",$B4251="(blank)"),"",VLOOKUP($B4251,'Email Marketing Raw Data'!$C:$O,9,0)),"")</f>
        <v/>
      </c>
    </row>
    <row r="4252" spans="4:17" ht="12.75" customHeight="1" x14ac:dyDescent="0.2">
      <c r="D4252" s="58" t="str">
        <f>IFERROR(IF(F4252&lt;&gt;"pending","",IF(OR($B4252="",$B4252="(blank)"),"",VLOOKUP($B4252,'Email Marketing Raw Data'!$C:$O,10,0))),"")</f>
        <v/>
      </c>
      <c r="E4252" s="59" t="str">
        <f>IFERROR(IF(F4252&lt;&gt;"pending","",IF(OR($B4252="",$B4252="(blank)"),"",VLOOKUP($B4252,'Email Marketing Raw Data'!$C:$O,11,0))),"")</f>
        <v/>
      </c>
      <c r="F4252" s="54" t="str">
        <f>IFERROR(IF(OR($B4252="",$B4252="(blank)"),"",VLOOKUP($B4252,'Email Marketing Raw Data'!$C:$O,13,0)),"")</f>
        <v/>
      </c>
      <c r="G4252" s="55" t="str">
        <f>IFERROR(IF(OR($B4252="",$B4252="(blank)"),"",VLOOKUP($B4252,'Email Marketing Raw Data'!$C:$O,4,0)),"")</f>
        <v/>
      </c>
      <c r="H4252" s="55" t="str">
        <f>IFERROR(IF(OR($B4252="",$B4252="(blank)"),"",VLOOKUP($B4252,'Email Marketing Raw Data'!$C:$O,5,0)),"")</f>
        <v/>
      </c>
      <c r="I4252" s="55" t="str">
        <f>IFERROR(IF($G4252="","",VLOOKUP('Dashboard And Emails Automate'!$G4252,Database!$H:$N,3,0)),"")</f>
        <v/>
      </c>
      <c r="J4252" s="55" t="str">
        <f>IFERROR(IF($G4252="","",VLOOKUP('Dashboard And Emails Automate'!$G4252,Database!$H:$N,4,0)),"")</f>
        <v/>
      </c>
      <c r="K4252" s="55" t="str">
        <f>IFERROR(IF($G4252="","",VLOOKUP('Dashboard And Emails Automate'!$G4252,Database!$H:$N,5,0)),"")</f>
        <v/>
      </c>
      <c r="L4252" s="55" t="str">
        <f>IFERROR(IF($G4252="","",VLOOKUP('Dashboard And Emails Automate'!$G4252,Database!$H:$N,6,0)),"")</f>
        <v/>
      </c>
      <c r="M4252" s="55" t="str">
        <f>IFERROR(IF($G4252="","",VLOOKUP('Dashboard And Emails Automate'!$G4252,Database!$H:$N,7,0)),"")</f>
        <v/>
      </c>
      <c r="N4252" s="55" t="str">
        <f>IFERROR(IF(OR($B4252="",$B4252="(blank)"),"",VLOOKUP($B4252,'Email Marketing Raw Data'!$C:$O,6,0)),"")</f>
        <v/>
      </c>
      <c r="O4252" s="55" t="str">
        <f>IFERROR(IF(OR($B4252="",$B4252="(blank)"),"",VLOOKUP($B4252,'Email Marketing Raw Data'!$C:$O,7,0)),"")</f>
        <v/>
      </c>
      <c r="P4252" s="55" t="str">
        <f>IFERROR(IF(OR($B4252="",$B4252="(blank)"),"",VLOOKUP($B4252,'Email Marketing Raw Data'!$C:$O,8,0)),"")</f>
        <v/>
      </c>
      <c r="Q4252" s="62" t="str">
        <f>IFERROR(IF(OR($B4252="",$B4252="(blank)"),"",VLOOKUP($B4252,'Email Marketing Raw Data'!$C:$O,9,0)),"")</f>
        <v/>
      </c>
    </row>
    <row r="4253" spans="4:17" ht="12.75" customHeight="1" x14ac:dyDescent="0.2">
      <c r="D4253" s="58" t="str">
        <f>IFERROR(IF(F4253&lt;&gt;"pending","",IF(OR($B4253="",$B4253="(blank)"),"",VLOOKUP($B4253,'Email Marketing Raw Data'!$C:$O,10,0))),"")</f>
        <v/>
      </c>
      <c r="E4253" s="59" t="str">
        <f>IFERROR(IF(F4253&lt;&gt;"pending","",IF(OR($B4253="",$B4253="(blank)"),"",VLOOKUP($B4253,'Email Marketing Raw Data'!$C:$O,11,0))),"")</f>
        <v/>
      </c>
      <c r="F4253" s="54" t="str">
        <f>IFERROR(IF(OR($B4253="",$B4253="(blank)"),"",VLOOKUP($B4253,'Email Marketing Raw Data'!$C:$O,13,0)),"")</f>
        <v/>
      </c>
      <c r="G4253" s="55" t="str">
        <f>IFERROR(IF(OR($B4253="",$B4253="(blank)"),"",VLOOKUP($B4253,'Email Marketing Raw Data'!$C:$O,4,0)),"")</f>
        <v/>
      </c>
      <c r="H4253" s="55" t="str">
        <f>IFERROR(IF(OR($B4253="",$B4253="(blank)"),"",VLOOKUP($B4253,'Email Marketing Raw Data'!$C:$O,5,0)),"")</f>
        <v/>
      </c>
      <c r="I4253" s="55" t="str">
        <f>IFERROR(IF($G4253="","",VLOOKUP('Dashboard And Emails Automate'!$G4253,Database!$H:$N,3,0)),"")</f>
        <v/>
      </c>
      <c r="J4253" s="55" t="str">
        <f>IFERROR(IF($G4253="","",VLOOKUP('Dashboard And Emails Automate'!$G4253,Database!$H:$N,4,0)),"")</f>
        <v/>
      </c>
      <c r="K4253" s="55" t="str">
        <f>IFERROR(IF($G4253="","",VLOOKUP('Dashboard And Emails Automate'!$G4253,Database!$H:$N,5,0)),"")</f>
        <v/>
      </c>
      <c r="L4253" s="55" t="str">
        <f>IFERROR(IF($G4253="","",VLOOKUP('Dashboard And Emails Automate'!$G4253,Database!$H:$N,6,0)),"")</f>
        <v/>
      </c>
      <c r="M4253" s="55" t="str">
        <f>IFERROR(IF($G4253="","",VLOOKUP('Dashboard And Emails Automate'!$G4253,Database!$H:$N,7,0)),"")</f>
        <v/>
      </c>
      <c r="N4253" s="55" t="str">
        <f>IFERROR(IF(OR($B4253="",$B4253="(blank)"),"",VLOOKUP($B4253,'Email Marketing Raw Data'!$C:$O,6,0)),"")</f>
        <v/>
      </c>
      <c r="O4253" s="55" t="str">
        <f>IFERROR(IF(OR($B4253="",$B4253="(blank)"),"",VLOOKUP($B4253,'Email Marketing Raw Data'!$C:$O,7,0)),"")</f>
        <v/>
      </c>
      <c r="P4253" s="55" t="str">
        <f>IFERROR(IF(OR($B4253="",$B4253="(blank)"),"",VLOOKUP($B4253,'Email Marketing Raw Data'!$C:$O,8,0)),"")</f>
        <v/>
      </c>
      <c r="Q4253" s="62" t="str">
        <f>IFERROR(IF(OR($B4253="",$B4253="(blank)"),"",VLOOKUP($B4253,'Email Marketing Raw Data'!$C:$O,9,0)),"")</f>
        <v/>
      </c>
    </row>
    <row r="4254" spans="4:17" ht="12.75" customHeight="1" x14ac:dyDescent="0.2">
      <c r="D4254" s="58" t="str">
        <f>IFERROR(IF(F4254&lt;&gt;"pending","",IF(OR($B4254="",$B4254="(blank)"),"",VLOOKUP($B4254,'Email Marketing Raw Data'!$C:$O,10,0))),"")</f>
        <v/>
      </c>
      <c r="E4254" s="59" t="str">
        <f>IFERROR(IF(F4254&lt;&gt;"pending","",IF(OR($B4254="",$B4254="(blank)"),"",VLOOKUP($B4254,'Email Marketing Raw Data'!$C:$O,11,0))),"")</f>
        <v/>
      </c>
      <c r="F4254" s="54" t="str">
        <f>IFERROR(IF(OR($B4254="",$B4254="(blank)"),"",VLOOKUP($B4254,'Email Marketing Raw Data'!$C:$O,13,0)),"")</f>
        <v/>
      </c>
      <c r="G4254" s="55" t="str">
        <f>IFERROR(IF(OR($B4254="",$B4254="(blank)"),"",VLOOKUP($B4254,'Email Marketing Raw Data'!$C:$O,4,0)),"")</f>
        <v/>
      </c>
      <c r="H4254" s="55" t="str">
        <f>IFERROR(IF(OR($B4254="",$B4254="(blank)"),"",VLOOKUP($B4254,'Email Marketing Raw Data'!$C:$O,5,0)),"")</f>
        <v/>
      </c>
      <c r="I4254" s="55" t="str">
        <f>IFERROR(IF($G4254="","",VLOOKUP('Dashboard And Emails Automate'!$G4254,Database!$H:$N,3,0)),"")</f>
        <v/>
      </c>
      <c r="J4254" s="55" t="str">
        <f>IFERROR(IF($G4254="","",VLOOKUP('Dashboard And Emails Automate'!$G4254,Database!$H:$N,4,0)),"")</f>
        <v/>
      </c>
      <c r="K4254" s="55" t="str">
        <f>IFERROR(IF($G4254="","",VLOOKUP('Dashboard And Emails Automate'!$G4254,Database!$H:$N,5,0)),"")</f>
        <v/>
      </c>
      <c r="L4254" s="55" t="str">
        <f>IFERROR(IF($G4254="","",VLOOKUP('Dashboard And Emails Automate'!$G4254,Database!$H:$N,6,0)),"")</f>
        <v/>
      </c>
      <c r="M4254" s="55" t="str">
        <f>IFERROR(IF($G4254="","",VLOOKUP('Dashboard And Emails Automate'!$G4254,Database!$H:$N,7,0)),"")</f>
        <v/>
      </c>
      <c r="N4254" s="55" t="str">
        <f>IFERROR(IF(OR($B4254="",$B4254="(blank)"),"",VLOOKUP($B4254,'Email Marketing Raw Data'!$C:$O,6,0)),"")</f>
        <v/>
      </c>
      <c r="O4254" s="55" t="str">
        <f>IFERROR(IF(OR($B4254="",$B4254="(blank)"),"",VLOOKUP($B4254,'Email Marketing Raw Data'!$C:$O,7,0)),"")</f>
        <v/>
      </c>
      <c r="P4254" s="55" t="str">
        <f>IFERROR(IF(OR($B4254="",$B4254="(blank)"),"",VLOOKUP($B4254,'Email Marketing Raw Data'!$C:$O,8,0)),"")</f>
        <v/>
      </c>
      <c r="Q4254" s="62" t="str">
        <f>IFERROR(IF(OR($B4254="",$B4254="(blank)"),"",VLOOKUP($B4254,'Email Marketing Raw Data'!$C:$O,9,0)),"")</f>
        <v/>
      </c>
    </row>
    <row r="4255" spans="4:17" ht="12.75" customHeight="1" x14ac:dyDescent="0.2">
      <c r="D4255" s="58" t="str">
        <f>IFERROR(IF(F4255&lt;&gt;"pending","",IF(OR($B4255="",$B4255="(blank)"),"",VLOOKUP($B4255,'Email Marketing Raw Data'!$C:$O,10,0))),"")</f>
        <v/>
      </c>
      <c r="E4255" s="59" t="str">
        <f>IFERROR(IF(F4255&lt;&gt;"pending","",IF(OR($B4255="",$B4255="(blank)"),"",VLOOKUP($B4255,'Email Marketing Raw Data'!$C:$O,11,0))),"")</f>
        <v/>
      </c>
      <c r="F4255" s="54" t="str">
        <f>IFERROR(IF(OR($B4255="",$B4255="(blank)"),"",VLOOKUP($B4255,'Email Marketing Raw Data'!$C:$O,13,0)),"")</f>
        <v/>
      </c>
      <c r="G4255" s="55" t="str">
        <f>IFERROR(IF(OR($B4255="",$B4255="(blank)"),"",VLOOKUP($B4255,'Email Marketing Raw Data'!$C:$O,4,0)),"")</f>
        <v/>
      </c>
      <c r="H4255" s="55" t="str">
        <f>IFERROR(IF(OR($B4255="",$B4255="(blank)"),"",VLOOKUP($B4255,'Email Marketing Raw Data'!$C:$O,5,0)),"")</f>
        <v/>
      </c>
      <c r="I4255" s="55" t="str">
        <f>IFERROR(IF($G4255="","",VLOOKUP('Dashboard And Emails Automate'!$G4255,Database!$H:$N,3,0)),"")</f>
        <v/>
      </c>
      <c r="J4255" s="55" t="str">
        <f>IFERROR(IF($G4255="","",VLOOKUP('Dashboard And Emails Automate'!$G4255,Database!$H:$N,4,0)),"")</f>
        <v/>
      </c>
      <c r="K4255" s="55" t="str">
        <f>IFERROR(IF($G4255="","",VLOOKUP('Dashboard And Emails Automate'!$G4255,Database!$H:$N,5,0)),"")</f>
        <v/>
      </c>
      <c r="L4255" s="55" t="str">
        <f>IFERROR(IF($G4255="","",VLOOKUP('Dashboard And Emails Automate'!$G4255,Database!$H:$N,6,0)),"")</f>
        <v/>
      </c>
      <c r="M4255" s="55" t="str">
        <f>IFERROR(IF($G4255="","",VLOOKUP('Dashboard And Emails Automate'!$G4255,Database!$H:$N,7,0)),"")</f>
        <v/>
      </c>
      <c r="N4255" s="55" t="str">
        <f>IFERROR(IF(OR($B4255="",$B4255="(blank)"),"",VLOOKUP($B4255,'Email Marketing Raw Data'!$C:$O,6,0)),"")</f>
        <v/>
      </c>
      <c r="O4255" s="55" t="str">
        <f>IFERROR(IF(OR($B4255="",$B4255="(blank)"),"",VLOOKUP($B4255,'Email Marketing Raw Data'!$C:$O,7,0)),"")</f>
        <v/>
      </c>
      <c r="P4255" s="55" t="str">
        <f>IFERROR(IF(OR($B4255="",$B4255="(blank)"),"",VLOOKUP($B4255,'Email Marketing Raw Data'!$C:$O,8,0)),"")</f>
        <v/>
      </c>
      <c r="Q4255" s="62" t="str">
        <f>IFERROR(IF(OR($B4255="",$B4255="(blank)"),"",VLOOKUP($B4255,'Email Marketing Raw Data'!$C:$O,9,0)),"")</f>
        <v/>
      </c>
    </row>
    <row r="4256" spans="4:17" ht="12.75" customHeight="1" x14ac:dyDescent="0.2">
      <c r="D4256" s="58" t="str">
        <f>IFERROR(IF(F4256&lt;&gt;"pending","",IF(OR($B4256="",$B4256="(blank)"),"",VLOOKUP($B4256,'Email Marketing Raw Data'!$C:$O,10,0))),"")</f>
        <v/>
      </c>
      <c r="E4256" s="59" t="str">
        <f>IFERROR(IF(F4256&lt;&gt;"pending","",IF(OR($B4256="",$B4256="(blank)"),"",VLOOKUP($B4256,'Email Marketing Raw Data'!$C:$O,11,0))),"")</f>
        <v/>
      </c>
      <c r="F4256" s="54" t="str">
        <f>IFERROR(IF(OR($B4256="",$B4256="(blank)"),"",VLOOKUP($B4256,'Email Marketing Raw Data'!$C:$O,13,0)),"")</f>
        <v/>
      </c>
      <c r="G4256" s="55" t="str">
        <f>IFERROR(IF(OR($B4256="",$B4256="(blank)"),"",VLOOKUP($B4256,'Email Marketing Raw Data'!$C:$O,4,0)),"")</f>
        <v/>
      </c>
      <c r="H4256" s="55" t="str">
        <f>IFERROR(IF(OR($B4256="",$B4256="(blank)"),"",VLOOKUP($B4256,'Email Marketing Raw Data'!$C:$O,5,0)),"")</f>
        <v/>
      </c>
      <c r="I4256" s="55" t="str">
        <f>IFERROR(IF($G4256="","",VLOOKUP('Dashboard And Emails Automate'!$G4256,Database!$H:$N,3,0)),"")</f>
        <v/>
      </c>
      <c r="J4256" s="55" t="str">
        <f>IFERROR(IF($G4256="","",VLOOKUP('Dashboard And Emails Automate'!$G4256,Database!$H:$N,4,0)),"")</f>
        <v/>
      </c>
      <c r="K4256" s="55" t="str">
        <f>IFERROR(IF($G4256="","",VLOOKUP('Dashboard And Emails Automate'!$G4256,Database!$H:$N,5,0)),"")</f>
        <v/>
      </c>
      <c r="L4256" s="55" t="str">
        <f>IFERROR(IF($G4256="","",VLOOKUP('Dashboard And Emails Automate'!$G4256,Database!$H:$N,6,0)),"")</f>
        <v/>
      </c>
      <c r="M4256" s="55" t="str">
        <f>IFERROR(IF($G4256="","",VLOOKUP('Dashboard And Emails Automate'!$G4256,Database!$H:$N,7,0)),"")</f>
        <v/>
      </c>
      <c r="N4256" s="55" t="str">
        <f>IFERROR(IF(OR($B4256="",$B4256="(blank)"),"",VLOOKUP($B4256,'Email Marketing Raw Data'!$C:$O,6,0)),"")</f>
        <v/>
      </c>
      <c r="O4256" s="55" t="str">
        <f>IFERROR(IF(OR($B4256="",$B4256="(blank)"),"",VLOOKUP($B4256,'Email Marketing Raw Data'!$C:$O,7,0)),"")</f>
        <v/>
      </c>
      <c r="P4256" s="55" t="str">
        <f>IFERROR(IF(OR($B4256="",$B4256="(blank)"),"",VLOOKUP($B4256,'Email Marketing Raw Data'!$C:$O,8,0)),"")</f>
        <v/>
      </c>
      <c r="Q4256" s="62" t="str">
        <f>IFERROR(IF(OR($B4256="",$B4256="(blank)"),"",VLOOKUP($B4256,'Email Marketing Raw Data'!$C:$O,9,0)),"")</f>
        <v/>
      </c>
    </row>
    <row r="4257" spans="4:17" ht="12.75" customHeight="1" x14ac:dyDescent="0.2">
      <c r="D4257" s="58" t="str">
        <f>IFERROR(IF(F4257&lt;&gt;"pending","",IF(OR($B4257="",$B4257="(blank)"),"",VLOOKUP($B4257,'Email Marketing Raw Data'!$C:$O,10,0))),"")</f>
        <v/>
      </c>
      <c r="E4257" s="59" t="str">
        <f>IFERROR(IF(F4257&lt;&gt;"pending","",IF(OR($B4257="",$B4257="(blank)"),"",VLOOKUP($B4257,'Email Marketing Raw Data'!$C:$O,11,0))),"")</f>
        <v/>
      </c>
      <c r="F4257" s="54" t="str">
        <f>IFERROR(IF(OR($B4257="",$B4257="(blank)"),"",VLOOKUP($B4257,'Email Marketing Raw Data'!$C:$O,13,0)),"")</f>
        <v/>
      </c>
      <c r="G4257" s="55" t="str">
        <f>IFERROR(IF(OR($B4257="",$B4257="(blank)"),"",VLOOKUP($B4257,'Email Marketing Raw Data'!$C:$O,4,0)),"")</f>
        <v/>
      </c>
      <c r="H4257" s="55" t="str">
        <f>IFERROR(IF(OR($B4257="",$B4257="(blank)"),"",VLOOKUP($B4257,'Email Marketing Raw Data'!$C:$O,5,0)),"")</f>
        <v/>
      </c>
      <c r="I4257" s="55" t="str">
        <f>IFERROR(IF($G4257="","",VLOOKUP('Dashboard And Emails Automate'!$G4257,Database!$H:$N,3,0)),"")</f>
        <v/>
      </c>
      <c r="J4257" s="55" t="str">
        <f>IFERROR(IF($G4257="","",VLOOKUP('Dashboard And Emails Automate'!$G4257,Database!$H:$N,4,0)),"")</f>
        <v/>
      </c>
      <c r="K4257" s="55" t="str">
        <f>IFERROR(IF($G4257="","",VLOOKUP('Dashboard And Emails Automate'!$G4257,Database!$H:$N,5,0)),"")</f>
        <v/>
      </c>
      <c r="L4257" s="55" t="str">
        <f>IFERROR(IF($G4257="","",VLOOKUP('Dashboard And Emails Automate'!$G4257,Database!$H:$N,6,0)),"")</f>
        <v/>
      </c>
      <c r="M4257" s="55" t="str">
        <f>IFERROR(IF($G4257="","",VLOOKUP('Dashboard And Emails Automate'!$G4257,Database!$H:$N,7,0)),"")</f>
        <v/>
      </c>
      <c r="N4257" s="55" t="str">
        <f>IFERROR(IF(OR($B4257="",$B4257="(blank)"),"",VLOOKUP($B4257,'Email Marketing Raw Data'!$C:$O,6,0)),"")</f>
        <v/>
      </c>
      <c r="O4257" s="55" t="str">
        <f>IFERROR(IF(OR($B4257="",$B4257="(blank)"),"",VLOOKUP($B4257,'Email Marketing Raw Data'!$C:$O,7,0)),"")</f>
        <v/>
      </c>
      <c r="P4257" s="55" t="str">
        <f>IFERROR(IF(OR($B4257="",$B4257="(blank)"),"",VLOOKUP($B4257,'Email Marketing Raw Data'!$C:$O,8,0)),"")</f>
        <v/>
      </c>
      <c r="Q4257" s="62" t="str">
        <f>IFERROR(IF(OR($B4257="",$B4257="(blank)"),"",VLOOKUP($B4257,'Email Marketing Raw Data'!$C:$O,9,0)),"")</f>
        <v/>
      </c>
    </row>
    <row r="4258" spans="4:17" ht="12.75" customHeight="1" x14ac:dyDescent="0.2">
      <c r="D4258" s="58" t="str">
        <f>IFERROR(IF(F4258&lt;&gt;"pending","",IF(OR($B4258="",$B4258="(blank)"),"",VLOOKUP($B4258,'Email Marketing Raw Data'!$C:$O,10,0))),"")</f>
        <v/>
      </c>
      <c r="E4258" s="59" t="str">
        <f>IFERROR(IF(F4258&lt;&gt;"pending","",IF(OR($B4258="",$B4258="(blank)"),"",VLOOKUP($B4258,'Email Marketing Raw Data'!$C:$O,11,0))),"")</f>
        <v/>
      </c>
      <c r="F4258" s="54" t="str">
        <f>IFERROR(IF(OR($B4258="",$B4258="(blank)"),"",VLOOKUP($B4258,'Email Marketing Raw Data'!$C:$O,13,0)),"")</f>
        <v/>
      </c>
      <c r="G4258" s="55" t="str">
        <f>IFERROR(IF(OR($B4258="",$B4258="(blank)"),"",VLOOKUP($B4258,'Email Marketing Raw Data'!$C:$O,4,0)),"")</f>
        <v/>
      </c>
      <c r="H4258" s="55" t="str">
        <f>IFERROR(IF(OR($B4258="",$B4258="(blank)"),"",VLOOKUP($B4258,'Email Marketing Raw Data'!$C:$O,5,0)),"")</f>
        <v/>
      </c>
      <c r="I4258" s="55" t="str">
        <f>IFERROR(IF($G4258="","",VLOOKUP('Dashboard And Emails Automate'!$G4258,Database!$H:$N,3,0)),"")</f>
        <v/>
      </c>
      <c r="J4258" s="55" t="str">
        <f>IFERROR(IF($G4258="","",VLOOKUP('Dashboard And Emails Automate'!$G4258,Database!$H:$N,4,0)),"")</f>
        <v/>
      </c>
      <c r="K4258" s="55" t="str">
        <f>IFERROR(IF($G4258="","",VLOOKUP('Dashboard And Emails Automate'!$G4258,Database!$H:$N,5,0)),"")</f>
        <v/>
      </c>
      <c r="L4258" s="55" t="str">
        <f>IFERROR(IF($G4258="","",VLOOKUP('Dashboard And Emails Automate'!$G4258,Database!$H:$N,6,0)),"")</f>
        <v/>
      </c>
      <c r="M4258" s="55" t="str">
        <f>IFERROR(IF($G4258="","",VLOOKUP('Dashboard And Emails Automate'!$G4258,Database!$H:$N,7,0)),"")</f>
        <v/>
      </c>
      <c r="N4258" s="55" t="str">
        <f>IFERROR(IF(OR($B4258="",$B4258="(blank)"),"",VLOOKUP($B4258,'Email Marketing Raw Data'!$C:$O,6,0)),"")</f>
        <v/>
      </c>
      <c r="O4258" s="55" t="str">
        <f>IFERROR(IF(OR($B4258="",$B4258="(blank)"),"",VLOOKUP($B4258,'Email Marketing Raw Data'!$C:$O,7,0)),"")</f>
        <v/>
      </c>
      <c r="P4258" s="55" t="str">
        <f>IFERROR(IF(OR($B4258="",$B4258="(blank)"),"",VLOOKUP($B4258,'Email Marketing Raw Data'!$C:$O,8,0)),"")</f>
        <v/>
      </c>
      <c r="Q4258" s="62" t="str">
        <f>IFERROR(IF(OR($B4258="",$B4258="(blank)"),"",VLOOKUP($B4258,'Email Marketing Raw Data'!$C:$O,9,0)),"")</f>
        <v/>
      </c>
    </row>
    <row r="4259" spans="4:17" ht="12.75" customHeight="1" x14ac:dyDescent="0.2">
      <c r="D4259" s="58" t="str">
        <f>IFERROR(IF(F4259&lt;&gt;"pending","",IF(OR($B4259="",$B4259="(blank)"),"",VLOOKUP($B4259,'Email Marketing Raw Data'!$C:$O,10,0))),"")</f>
        <v/>
      </c>
      <c r="E4259" s="59" t="str">
        <f>IFERROR(IF(F4259&lt;&gt;"pending","",IF(OR($B4259="",$B4259="(blank)"),"",VLOOKUP($B4259,'Email Marketing Raw Data'!$C:$O,11,0))),"")</f>
        <v/>
      </c>
      <c r="F4259" s="54" t="str">
        <f>IFERROR(IF(OR($B4259="",$B4259="(blank)"),"",VLOOKUP($B4259,'Email Marketing Raw Data'!$C:$O,13,0)),"")</f>
        <v/>
      </c>
      <c r="G4259" s="55" t="str">
        <f>IFERROR(IF(OR($B4259="",$B4259="(blank)"),"",VLOOKUP($B4259,'Email Marketing Raw Data'!$C:$O,4,0)),"")</f>
        <v/>
      </c>
      <c r="H4259" s="55" t="str">
        <f>IFERROR(IF(OR($B4259="",$B4259="(blank)"),"",VLOOKUP($B4259,'Email Marketing Raw Data'!$C:$O,5,0)),"")</f>
        <v/>
      </c>
      <c r="I4259" s="55" t="str">
        <f>IFERROR(IF($G4259="","",VLOOKUP('Dashboard And Emails Automate'!$G4259,Database!$H:$N,3,0)),"")</f>
        <v/>
      </c>
      <c r="J4259" s="55" t="str">
        <f>IFERROR(IF($G4259="","",VLOOKUP('Dashboard And Emails Automate'!$G4259,Database!$H:$N,4,0)),"")</f>
        <v/>
      </c>
      <c r="K4259" s="55" t="str">
        <f>IFERROR(IF($G4259="","",VLOOKUP('Dashboard And Emails Automate'!$G4259,Database!$H:$N,5,0)),"")</f>
        <v/>
      </c>
      <c r="L4259" s="55" t="str">
        <f>IFERROR(IF($G4259="","",VLOOKUP('Dashboard And Emails Automate'!$G4259,Database!$H:$N,6,0)),"")</f>
        <v/>
      </c>
      <c r="M4259" s="55" t="str">
        <f>IFERROR(IF($G4259="","",VLOOKUP('Dashboard And Emails Automate'!$G4259,Database!$H:$N,7,0)),"")</f>
        <v/>
      </c>
      <c r="N4259" s="55" t="str">
        <f>IFERROR(IF(OR($B4259="",$B4259="(blank)"),"",VLOOKUP($B4259,'Email Marketing Raw Data'!$C:$O,6,0)),"")</f>
        <v/>
      </c>
      <c r="O4259" s="55" t="str">
        <f>IFERROR(IF(OR($B4259="",$B4259="(blank)"),"",VLOOKUP($B4259,'Email Marketing Raw Data'!$C:$O,7,0)),"")</f>
        <v/>
      </c>
      <c r="P4259" s="55" t="str">
        <f>IFERROR(IF(OR($B4259="",$B4259="(blank)"),"",VLOOKUP($B4259,'Email Marketing Raw Data'!$C:$O,8,0)),"")</f>
        <v/>
      </c>
      <c r="Q4259" s="62" t="str">
        <f>IFERROR(IF(OR($B4259="",$B4259="(blank)"),"",VLOOKUP($B4259,'Email Marketing Raw Data'!$C:$O,9,0)),"")</f>
        <v/>
      </c>
    </row>
    <row r="4260" spans="4:17" ht="12.75" customHeight="1" x14ac:dyDescent="0.2">
      <c r="D4260" s="58" t="str">
        <f>IFERROR(IF(F4260&lt;&gt;"pending","",IF(OR($B4260="",$B4260="(blank)"),"",VLOOKUP($B4260,'Email Marketing Raw Data'!$C:$O,10,0))),"")</f>
        <v/>
      </c>
      <c r="E4260" s="59" t="str">
        <f>IFERROR(IF(F4260&lt;&gt;"pending","",IF(OR($B4260="",$B4260="(blank)"),"",VLOOKUP($B4260,'Email Marketing Raw Data'!$C:$O,11,0))),"")</f>
        <v/>
      </c>
      <c r="F4260" s="54" t="str">
        <f>IFERROR(IF(OR($B4260="",$B4260="(blank)"),"",VLOOKUP($B4260,'Email Marketing Raw Data'!$C:$O,13,0)),"")</f>
        <v/>
      </c>
      <c r="G4260" s="55" t="str">
        <f>IFERROR(IF(OR($B4260="",$B4260="(blank)"),"",VLOOKUP($B4260,'Email Marketing Raw Data'!$C:$O,4,0)),"")</f>
        <v/>
      </c>
      <c r="H4260" s="55" t="str">
        <f>IFERROR(IF(OR($B4260="",$B4260="(blank)"),"",VLOOKUP($B4260,'Email Marketing Raw Data'!$C:$O,5,0)),"")</f>
        <v/>
      </c>
      <c r="I4260" s="55" t="str">
        <f>IFERROR(IF($G4260="","",VLOOKUP('Dashboard And Emails Automate'!$G4260,Database!$H:$N,3,0)),"")</f>
        <v/>
      </c>
      <c r="J4260" s="55" t="str">
        <f>IFERROR(IF($G4260="","",VLOOKUP('Dashboard And Emails Automate'!$G4260,Database!$H:$N,4,0)),"")</f>
        <v/>
      </c>
      <c r="K4260" s="55" t="str">
        <f>IFERROR(IF($G4260="","",VLOOKUP('Dashboard And Emails Automate'!$G4260,Database!$H:$N,5,0)),"")</f>
        <v/>
      </c>
      <c r="L4260" s="55" t="str">
        <f>IFERROR(IF($G4260="","",VLOOKUP('Dashboard And Emails Automate'!$G4260,Database!$H:$N,6,0)),"")</f>
        <v/>
      </c>
      <c r="M4260" s="55" t="str">
        <f>IFERROR(IF($G4260="","",VLOOKUP('Dashboard And Emails Automate'!$G4260,Database!$H:$N,7,0)),"")</f>
        <v/>
      </c>
      <c r="N4260" s="55" t="str">
        <f>IFERROR(IF(OR($B4260="",$B4260="(blank)"),"",VLOOKUP($B4260,'Email Marketing Raw Data'!$C:$O,6,0)),"")</f>
        <v/>
      </c>
      <c r="O4260" s="55" t="str">
        <f>IFERROR(IF(OR($B4260="",$B4260="(blank)"),"",VLOOKUP($B4260,'Email Marketing Raw Data'!$C:$O,7,0)),"")</f>
        <v/>
      </c>
      <c r="P4260" s="55" t="str">
        <f>IFERROR(IF(OR($B4260="",$B4260="(blank)"),"",VLOOKUP($B4260,'Email Marketing Raw Data'!$C:$O,8,0)),"")</f>
        <v/>
      </c>
      <c r="Q4260" s="62" t="str">
        <f>IFERROR(IF(OR($B4260="",$B4260="(blank)"),"",VLOOKUP($B4260,'Email Marketing Raw Data'!$C:$O,9,0)),"")</f>
        <v/>
      </c>
    </row>
    <row r="4261" spans="4:17" ht="12.75" customHeight="1" x14ac:dyDescent="0.2">
      <c r="D4261" s="58" t="str">
        <f>IFERROR(IF(F4261&lt;&gt;"pending","",IF(OR($B4261="",$B4261="(blank)"),"",VLOOKUP($B4261,'Email Marketing Raw Data'!$C:$O,10,0))),"")</f>
        <v/>
      </c>
      <c r="E4261" s="59" t="str">
        <f>IFERROR(IF(F4261&lt;&gt;"pending","",IF(OR($B4261="",$B4261="(blank)"),"",VLOOKUP($B4261,'Email Marketing Raw Data'!$C:$O,11,0))),"")</f>
        <v/>
      </c>
      <c r="F4261" s="54" t="str">
        <f>IFERROR(IF(OR($B4261="",$B4261="(blank)"),"",VLOOKUP($B4261,'Email Marketing Raw Data'!$C:$O,13,0)),"")</f>
        <v/>
      </c>
      <c r="G4261" s="55" t="str">
        <f>IFERROR(IF(OR($B4261="",$B4261="(blank)"),"",VLOOKUP($B4261,'Email Marketing Raw Data'!$C:$O,4,0)),"")</f>
        <v/>
      </c>
      <c r="H4261" s="55" t="str">
        <f>IFERROR(IF(OR($B4261="",$B4261="(blank)"),"",VLOOKUP($B4261,'Email Marketing Raw Data'!$C:$O,5,0)),"")</f>
        <v/>
      </c>
      <c r="I4261" s="55" t="str">
        <f>IFERROR(IF($G4261="","",VLOOKUP('Dashboard And Emails Automate'!$G4261,Database!$H:$N,3,0)),"")</f>
        <v/>
      </c>
      <c r="J4261" s="55" t="str">
        <f>IFERROR(IF($G4261="","",VLOOKUP('Dashboard And Emails Automate'!$G4261,Database!$H:$N,4,0)),"")</f>
        <v/>
      </c>
      <c r="K4261" s="55" t="str">
        <f>IFERROR(IF($G4261="","",VLOOKUP('Dashboard And Emails Automate'!$G4261,Database!$H:$N,5,0)),"")</f>
        <v/>
      </c>
      <c r="L4261" s="55" t="str">
        <f>IFERROR(IF($G4261="","",VLOOKUP('Dashboard And Emails Automate'!$G4261,Database!$H:$N,6,0)),"")</f>
        <v/>
      </c>
      <c r="M4261" s="55" t="str">
        <f>IFERROR(IF($G4261="","",VLOOKUP('Dashboard And Emails Automate'!$G4261,Database!$H:$N,7,0)),"")</f>
        <v/>
      </c>
      <c r="N4261" s="55" t="str">
        <f>IFERROR(IF(OR($B4261="",$B4261="(blank)"),"",VLOOKUP($B4261,'Email Marketing Raw Data'!$C:$O,6,0)),"")</f>
        <v/>
      </c>
      <c r="O4261" s="55" t="str">
        <f>IFERROR(IF(OR($B4261="",$B4261="(blank)"),"",VLOOKUP($B4261,'Email Marketing Raw Data'!$C:$O,7,0)),"")</f>
        <v/>
      </c>
      <c r="P4261" s="55" t="str">
        <f>IFERROR(IF(OR($B4261="",$B4261="(blank)"),"",VLOOKUP($B4261,'Email Marketing Raw Data'!$C:$O,8,0)),"")</f>
        <v/>
      </c>
      <c r="Q4261" s="62" t="str">
        <f>IFERROR(IF(OR($B4261="",$B4261="(blank)"),"",VLOOKUP($B4261,'Email Marketing Raw Data'!$C:$O,9,0)),"")</f>
        <v/>
      </c>
    </row>
    <row r="4262" spans="4:17" ht="12.75" customHeight="1" x14ac:dyDescent="0.2">
      <c r="D4262" s="58" t="str">
        <f>IFERROR(IF(F4262&lt;&gt;"pending","",IF(OR($B4262="",$B4262="(blank)"),"",VLOOKUP($B4262,'Email Marketing Raw Data'!$C:$O,10,0))),"")</f>
        <v/>
      </c>
      <c r="E4262" s="59" t="str">
        <f>IFERROR(IF(F4262&lt;&gt;"pending","",IF(OR($B4262="",$B4262="(blank)"),"",VLOOKUP($B4262,'Email Marketing Raw Data'!$C:$O,11,0))),"")</f>
        <v/>
      </c>
      <c r="F4262" s="54" t="str">
        <f>IFERROR(IF(OR($B4262="",$B4262="(blank)"),"",VLOOKUP($B4262,'Email Marketing Raw Data'!$C:$O,13,0)),"")</f>
        <v/>
      </c>
      <c r="G4262" s="55" t="str">
        <f>IFERROR(IF(OR($B4262="",$B4262="(blank)"),"",VLOOKUP($B4262,'Email Marketing Raw Data'!$C:$O,4,0)),"")</f>
        <v/>
      </c>
      <c r="H4262" s="55" t="str">
        <f>IFERROR(IF(OR($B4262="",$B4262="(blank)"),"",VLOOKUP($B4262,'Email Marketing Raw Data'!$C:$O,5,0)),"")</f>
        <v/>
      </c>
      <c r="I4262" s="55" t="str">
        <f>IFERROR(IF($G4262="","",VLOOKUP('Dashboard And Emails Automate'!$G4262,Database!$H:$N,3,0)),"")</f>
        <v/>
      </c>
      <c r="J4262" s="55" t="str">
        <f>IFERROR(IF($G4262="","",VLOOKUP('Dashboard And Emails Automate'!$G4262,Database!$H:$N,4,0)),"")</f>
        <v/>
      </c>
      <c r="K4262" s="55" t="str">
        <f>IFERROR(IF($G4262="","",VLOOKUP('Dashboard And Emails Automate'!$G4262,Database!$H:$N,5,0)),"")</f>
        <v/>
      </c>
      <c r="L4262" s="55" t="str">
        <f>IFERROR(IF($G4262="","",VLOOKUP('Dashboard And Emails Automate'!$G4262,Database!$H:$N,6,0)),"")</f>
        <v/>
      </c>
      <c r="M4262" s="55" t="str">
        <f>IFERROR(IF($G4262="","",VLOOKUP('Dashboard And Emails Automate'!$G4262,Database!$H:$N,7,0)),"")</f>
        <v/>
      </c>
      <c r="N4262" s="55" t="str">
        <f>IFERROR(IF(OR($B4262="",$B4262="(blank)"),"",VLOOKUP($B4262,'Email Marketing Raw Data'!$C:$O,6,0)),"")</f>
        <v/>
      </c>
      <c r="O4262" s="55" t="str">
        <f>IFERROR(IF(OR($B4262="",$B4262="(blank)"),"",VLOOKUP($B4262,'Email Marketing Raw Data'!$C:$O,7,0)),"")</f>
        <v/>
      </c>
      <c r="P4262" s="55" t="str">
        <f>IFERROR(IF(OR($B4262="",$B4262="(blank)"),"",VLOOKUP($B4262,'Email Marketing Raw Data'!$C:$O,8,0)),"")</f>
        <v/>
      </c>
      <c r="Q4262" s="62" t="str">
        <f>IFERROR(IF(OR($B4262="",$B4262="(blank)"),"",VLOOKUP($B4262,'Email Marketing Raw Data'!$C:$O,9,0)),"")</f>
        <v/>
      </c>
    </row>
    <row r="4263" spans="4:17" ht="12.75" customHeight="1" x14ac:dyDescent="0.2">
      <c r="D4263" s="58" t="str">
        <f>IFERROR(IF(F4263&lt;&gt;"pending","",IF(OR($B4263="",$B4263="(blank)"),"",VLOOKUP($B4263,'Email Marketing Raw Data'!$C:$O,10,0))),"")</f>
        <v/>
      </c>
      <c r="E4263" s="59" t="str">
        <f>IFERROR(IF(F4263&lt;&gt;"pending","",IF(OR($B4263="",$B4263="(blank)"),"",VLOOKUP($B4263,'Email Marketing Raw Data'!$C:$O,11,0))),"")</f>
        <v/>
      </c>
      <c r="F4263" s="54" t="str">
        <f>IFERROR(IF(OR($B4263="",$B4263="(blank)"),"",VLOOKUP($B4263,'Email Marketing Raw Data'!$C:$O,13,0)),"")</f>
        <v/>
      </c>
      <c r="G4263" s="55" t="str">
        <f>IFERROR(IF(OR($B4263="",$B4263="(blank)"),"",VLOOKUP($B4263,'Email Marketing Raw Data'!$C:$O,4,0)),"")</f>
        <v/>
      </c>
      <c r="H4263" s="55" t="str">
        <f>IFERROR(IF(OR($B4263="",$B4263="(blank)"),"",VLOOKUP($B4263,'Email Marketing Raw Data'!$C:$O,5,0)),"")</f>
        <v/>
      </c>
      <c r="I4263" s="55" t="str">
        <f>IFERROR(IF($G4263="","",VLOOKUP('Dashboard And Emails Automate'!$G4263,Database!$H:$N,3,0)),"")</f>
        <v/>
      </c>
      <c r="J4263" s="55" t="str">
        <f>IFERROR(IF($G4263="","",VLOOKUP('Dashboard And Emails Automate'!$G4263,Database!$H:$N,4,0)),"")</f>
        <v/>
      </c>
      <c r="K4263" s="55" t="str">
        <f>IFERROR(IF($G4263="","",VLOOKUP('Dashboard And Emails Automate'!$G4263,Database!$H:$N,5,0)),"")</f>
        <v/>
      </c>
      <c r="L4263" s="55" t="str">
        <f>IFERROR(IF($G4263="","",VLOOKUP('Dashboard And Emails Automate'!$G4263,Database!$H:$N,6,0)),"")</f>
        <v/>
      </c>
      <c r="M4263" s="55" t="str">
        <f>IFERROR(IF($G4263="","",VLOOKUP('Dashboard And Emails Automate'!$G4263,Database!$H:$N,7,0)),"")</f>
        <v/>
      </c>
      <c r="N4263" s="55" t="str">
        <f>IFERROR(IF(OR($B4263="",$B4263="(blank)"),"",VLOOKUP($B4263,'Email Marketing Raw Data'!$C:$O,6,0)),"")</f>
        <v/>
      </c>
      <c r="O4263" s="55" t="str">
        <f>IFERROR(IF(OR($B4263="",$B4263="(blank)"),"",VLOOKUP($B4263,'Email Marketing Raw Data'!$C:$O,7,0)),"")</f>
        <v/>
      </c>
      <c r="P4263" s="55" t="str">
        <f>IFERROR(IF(OR($B4263="",$B4263="(blank)"),"",VLOOKUP($B4263,'Email Marketing Raw Data'!$C:$O,8,0)),"")</f>
        <v/>
      </c>
      <c r="Q4263" s="62" t="str">
        <f>IFERROR(IF(OR($B4263="",$B4263="(blank)"),"",VLOOKUP($B4263,'Email Marketing Raw Data'!$C:$O,9,0)),"")</f>
        <v/>
      </c>
    </row>
    <row r="4264" spans="4:17" ht="12.75" customHeight="1" x14ac:dyDescent="0.2">
      <c r="D4264" s="58" t="str">
        <f>IFERROR(IF(F4264&lt;&gt;"pending","",IF(OR($B4264="",$B4264="(blank)"),"",VLOOKUP($B4264,'Email Marketing Raw Data'!$C:$O,10,0))),"")</f>
        <v/>
      </c>
      <c r="E4264" s="59" t="str">
        <f>IFERROR(IF(F4264&lt;&gt;"pending","",IF(OR($B4264="",$B4264="(blank)"),"",VLOOKUP($B4264,'Email Marketing Raw Data'!$C:$O,11,0))),"")</f>
        <v/>
      </c>
      <c r="F4264" s="54" t="str">
        <f>IFERROR(IF(OR($B4264="",$B4264="(blank)"),"",VLOOKUP($B4264,'Email Marketing Raw Data'!$C:$O,13,0)),"")</f>
        <v/>
      </c>
      <c r="G4264" s="55" t="str">
        <f>IFERROR(IF(OR($B4264="",$B4264="(blank)"),"",VLOOKUP($B4264,'Email Marketing Raw Data'!$C:$O,4,0)),"")</f>
        <v/>
      </c>
      <c r="H4264" s="55" t="str">
        <f>IFERROR(IF(OR($B4264="",$B4264="(blank)"),"",VLOOKUP($B4264,'Email Marketing Raw Data'!$C:$O,5,0)),"")</f>
        <v/>
      </c>
      <c r="I4264" s="55" t="str">
        <f>IFERROR(IF($G4264="","",VLOOKUP('Dashboard And Emails Automate'!$G4264,Database!$H:$N,3,0)),"")</f>
        <v/>
      </c>
      <c r="J4264" s="55" t="str">
        <f>IFERROR(IF($G4264="","",VLOOKUP('Dashboard And Emails Automate'!$G4264,Database!$H:$N,4,0)),"")</f>
        <v/>
      </c>
      <c r="K4264" s="55" t="str">
        <f>IFERROR(IF($G4264="","",VLOOKUP('Dashboard And Emails Automate'!$G4264,Database!$H:$N,5,0)),"")</f>
        <v/>
      </c>
      <c r="L4264" s="55" t="str">
        <f>IFERROR(IF($G4264="","",VLOOKUP('Dashboard And Emails Automate'!$G4264,Database!$H:$N,6,0)),"")</f>
        <v/>
      </c>
      <c r="M4264" s="55" t="str">
        <f>IFERROR(IF($G4264="","",VLOOKUP('Dashboard And Emails Automate'!$G4264,Database!$H:$N,7,0)),"")</f>
        <v/>
      </c>
      <c r="N4264" s="55" t="str">
        <f>IFERROR(IF(OR($B4264="",$B4264="(blank)"),"",VLOOKUP($B4264,'Email Marketing Raw Data'!$C:$O,6,0)),"")</f>
        <v/>
      </c>
      <c r="O4264" s="55" t="str">
        <f>IFERROR(IF(OR($B4264="",$B4264="(blank)"),"",VLOOKUP($B4264,'Email Marketing Raw Data'!$C:$O,7,0)),"")</f>
        <v/>
      </c>
      <c r="P4264" s="55" t="str">
        <f>IFERROR(IF(OR($B4264="",$B4264="(blank)"),"",VLOOKUP($B4264,'Email Marketing Raw Data'!$C:$O,8,0)),"")</f>
        <v/>
      </c>
      <c r="Q4264" s="62" t="str">
        <f>IFERROR(IF(OR($B4264="",$B4264="(blank)"),"",VLOOKUP($B4264,'Email Marketing Raw Data'!$C:$O,9,0)),"")</f>
        <v/>
      </c>
    </row>
    <row r="4265" spans="4:17" ht="12.75" customHeight="1" x14ac:dyDescent="0.2">
      <c r="D4265" s="58" t="str">
        <f>IFERROR(IF(F4265&lt;&gt;"pending","",IF(OR($B4265="",$B4265="(blank)"),"",VLOOKUP($B4265,'Email Marketing Raw Data'!$C:$O,10,0))),"")</f>
        <v/>
      </c>
      <c r="E4265" s="59" t="str">
        <f>IFERROR(IF(F4265&lt;&gt;"pending","",IF(OR($B4265="",$B4265="(blank)"),"",VLOOKUP($B4265,'Email Marketing Raw Data'!$C:$O,11,0))),"")</f>
        <v/>
      </c>
      <c r="F4265" s="54" t="str">
        <f>IFERROR(IF(OR($B4265="",$B4265="(blank)"),"",VLOOKUP($B4265,'Email Marketing Raw Data'!$C:$O,13,0)),"")</f>
        <v/>
      </c>
      <c r="G4265" s="55" t="str">
        <f>IFERROR(IF(OR($B4265="",$B4265="(blank)"),"",VLOOKUP($B4265,'Email Marketing Raw Data'!$C:$O,4,0)),"")</f>
        <v/>
      </c>
      <c r="H4265" s="55" t="str">
        <f>IFERROR(IF(OR($B4265="",$B4265="(blank)"),"",VLOOKUP($B4265,'Email Marketing Raw Data'!$C:$O,5,0)),"")</f>
        <v/>
      </c>
      <c r="I4265" s="55" t="str">
        <f>IFERROR(IF($G4265="","",VLOOKUP('Dashboard And Emails Automate'!$G4265,Database!$H:$N,3,0)),"")</f>
        <v/>
      </c>
      <c r="J4265" s="55" t="str">
        <f>IFERROR(IF($G4265="","",VLOOKUP('Dashboard And Emails Automate'!$G4265,Database!$H:$N,4,0)),"")</f>
        <v/>
      </c>
      <c r="K4265" s="55" t="str">
        <f>IFERROR(IF($G4265="","",VLOOKUP('Dashboard And Emails Automate'!$G4265,Database!$H:$N,5,0)),"")</f>
        <v/>
      </c>
      <c r="L4265" s="55" t="str">
        <f>IFERROR(IF($G4265="","",VLOOKUP('Dashboard And Emails Automate'!$G4265,Database!$H:$N,6,0)),"")</f>
        <v/>
      </c>
      <c r="M4265" s="55" t="str">
        <f>IFERROR(IF($G4265="","",VLOOKUP('Dashboard And Emails Automate'!$G4265,Database!$H:$N,7,0)),"")</f>
        <v/>
      </c>
      <c r="N4265" s="55" t="str">
        <f>IFERROR(IF(OR($B4265="",$B4265="(blank)"),"",VLOOKUP($B4265,'Email Marketing Raw Data'!$C:$O,6,0)),"")</f>
        <v/>
      </c>
      <c r="O4265" s="55" t="str">
        <f>IFERROR(IF(OR($B4265="",$B4265="(blank)"),"",VLOOKUP($B4265,'Email Marketing Raw Data'!$C:$O,7,0)),"")</f>
        <v/>
      </c>
      <c r="P4265" s="55" t="str">
        <f>IFERROR(IF(OR($B4265="",$B4265="(blank)"),"",VLOOKUP($B4265,'Email Marketing Raw Data'!$C:$O,8,0)),"")</f>
        <v/>
      </c>
      <c r="Q4265" s="62" t="str">
        <f>IFERROR(IF(OR($B4265="",$B4265="(blank)"),"",VLOOKUP($B4265,'Email Marketing Raw Data'!$C:$O,9,0)),"")</f>
        <v/>
      </c>
    </row>
    <row r="4266" spans="4:17" ht="12.75" customHeight="1" x14ac:dyDescent="0.2">
      <c r="D4266" s="58" t="str">
        <f>IFERROR(IF(F4266&lt;&gt;"pending","",IF(OR($B4266="",$B4266="(blank)"),"",VLOOKUP($B4266,'Email Marketing Raw Data'!$C:$O,10,0))),"")</f>
        <v/>
      </c>
      <c r="E4266" s="59" t="str">
        <f>IFERROR(IF(F4266&lt;&gt;"pending","",IF(OR($B4266="",$B4266="(blank)"),"",VLOOKUP($B4266,'Email Marketing Raw Data'!$C:$O,11,0))),"")</f>
        <v/>
      </c>
      <c r="F4266" s="54" t="str">
        <f>IFERROR(IF(OR($B4266="",$B4266="(blank)"),"",VLOOKUP($B4266,'Email Marketing Raw Data'!$C:$O,13,0)),"")</f>
        <v/>
      </c>
      <c r="G4266" s="55" t="str">
        <f>IFERROR(IF(OR($B4266="",$B4266="(blank)"),"",VLOOKUP($B4266,'Email Marketing Raw Data'!$C:$O,4,0)),"")</f>
        <v/>
      </c>
      <c r="H4266" s="55" t="str">
        <f>IFERROR(IF(OR($B4266="",$B4266="(blank)"),"",VLOOKUP($B4266,'Email Marketing Raw Data'!$C:$O,5,0)),"")</f>
        <v/>
      </c>
      <c r="I4266" s="55" t="str">
        <f>IFERROR(IF($G4266="","",VLOOKUP('Dashboard And Emails Automate'!$G4266,Database!$H:$N,3,0)),"")</f>
        <v/>
      </c>
      <c r="J4266" s="55" t="str">
        <f>IFERROR(IF($G4266="","",VLOOKUP('Dashboard And Emails Automate'!$G4266,Database!$H:$N,4,0)),"")</f>
        <v/>
      </c>
      <c r="K4266" s="55" t="str">
        <f>IFERROR(IF($G4266="","",VLOOKUP('Dashboard And Emails Automate'!$G4266,Database!$H:$N,5,0)),"")</f>
        <v/>
      </c>
      <c r="L4266" s="55" t="str">
        <f>IFERROR(IF($G4266="","",VLOOKUP('Dashboard And Emails Automate'!$G4266,Database!$H:$N,6,0)),"")</f>
        <v/>
      </c>
      <c r="M4266" s="55" t="str">
        <f>IFERROR(IF($G4266="","",VLOOKUP('Dashboard And Emails Automate'!$G4266,Database!$H:$N,7,0)),"")</f>
        <v/>
      </c>
      <c r="N4266" s="55" t="str">
        <f>IFERROR(IF(OR($B4266="",$B4266="(blank)"),"",VLOOKUP($B4266,'Email Marketing Raw Data'!$C:$O,6,0)),"")</f>
        <v/>
      </c>
      <c r="O4266" s="55" t="str">
        <f>IFERROR(IF(OR($B4266="",$B4266="(blank)"),"",VLOOKUP($B4266,'Email Marketing Raw Data'!$C:$O,7,0)),"")</f>
        <v/>
      </c>
      <c r="P4266" s="55" t="str">
        <f>IFERROR(IF(OR($B4266="",$B4266="(blank)"),"",VLOOKUP($B4266,'Email Marketing Raw Data'!$C:$O,8,0)),"")</f>
        <v/>
      </c>
      <c r="Q4266" s="62" t="str">
        <f>IFERROR(IF(OR($B4266="",$B4266="(blank)"),"",VLOOKUP($B4266,'Email Marketing Raw Data'!$C:$O,9,0)),"")</f>
        <v/>
      </c>
    </row>
    <row r="4267" spans="4:17" ht="12.75" customHeight="1" x14ac:dyDescent="0.2">
      <c r="D4267" s="58" t="str">
        <f>IFERROR(IF(F4267&lt;&gt;"pending","",IF(OR($B4267="",$B4267="(blank)"),"",VLOOKUP($B4267,'Email Marketing Raw Data'!$C:$O,10,0))),"")</f>
        <v/>
      </c>
      <c r="E4267" s="59" t="str">
        <f>IFERROR(IF(F4267&lt;&gt;"pending","",IF(OR($B4267="",$B4267="(blank)"),"",VLOOKUP($B4267,'Email Marketing Raw Data'!$C:$O,11,0))),"")</f>
        <v/>
      </c>
      <c r="F4267" s="54" t="str">
        <f>IFERROR(IF(OR($B4267="",$B4267="(blank)"),"",VLOOKUP($B4267,'Email Marketing Raw Data'!$C:$O,13,0)),"")</f>
        <v/>
      </c>
      <c r="G4267" s="55" t="str">
        <f>IFERROR(IF(OR($B4267="",$B4267="(blank)"),"",VLOOKUP($B4267,'Email Marketing Raw Data'!$C:$O,4,0)),"")</f>
        <v/>
      </c>
      <c r="H4267" s="55" t="str">
        <f>IFERROR(IF(OR($B4267="",$B4267="(blank)"),"",VLOOKUP($B4267,'Email Marketing Raw Data'!$C:$O,5,0)),"")</f>
        <v/>
      </c>
      <c r="I4267" s="55" t="str">
        <f>IFERROR(IF($G4267="","",VLOOKUP('Dashboard And Emails Automate'!$G4267,Database!$H:$N,3,0)),"")</f>
        <v/>
      </c>
      <c r="J4267" s="55" t="str">
        <f>IFERROR(IF($G4267="","",VLOOKUP('Dashboard And Emails Automate'!$G4267,Database!$H:$N,4,0)),"")</f>
        <v/>
      </c>
      <c r="K4267" s="55" t="str">
        <f>IFERROR(IF($G4267="","",VLOOKUP('Dashboard And Emails Automate'!$G4267,Database!$H:$N,5,0)),"")</f>
        <v/>
      </c>
      <c r="L4267" s="55" t="str">
        <f>IFERROR(IF($G4267="","",VLOOKUP('Dashboard And Emails Automate'!$G4267,Database!$H:$N,6,0)),"")</f>
        <v/>
      </c>
      <c r="M4267" s="55" t="str">
        <f>IFERROR(IF($G4267="","",VLOOKUP('Dashboard And Emails Automate'!$G4267,Database!$H:$N,7,0)),"")</f>
        <v/>
      </c>
      <c r="N4267" s="55" t="str">
        <f>IFERROR(IF(OR($B4267="",$B4267="(blank)"),"",VLOOKUP($B4267,'Email Marketing Raw Data'!$C:$O,6,0)),"")</f>
        <v/>
      </c>
      <c r="O4267" s="55" t="str">
        <f>IFERROR(IF(OR($B4267="",$B4267="(blank)"),"",VLOOKUP($B4267,'Email Marketing Raw Data'!$C:$O,7,0)),"")</f>
        <v/>
      </c>
      <c r="P4267" s="55" t="str">
        <f>IFERROR(IF(OR($B4267="",$B4267="(blank)"),"",VLOOKUP($B4267,'Email Marketing Raw Data'!$C:$O,8,0)),"")</f>
        <v/>
      </c>
      <c r="Q4267" s="62" t="str">
        <f>IFERROR(IF(OR($B4267="",$B4267="(blank)"),"",VLOOKUP($B4267,'Email Marketing Raw Data'!$C:$O,9,0)),"")</f>
        <v/>
      </c>
    </row>
    <row r="4268" spans="4:17" ht="12.75" customHeight="1" x14ac:dyDescent="0.2">
      <c r="D4268" s="58" t="str">
        <f>IFERROR(IF(F4268&lt;&gt;"pending","",IF(OR($B4268="",$B4268="(blank)"),"",VLOOKUP($B4268,'Email Marketing Raw Data'!$C:$O,10,0))),"")</f>
        <v/>
      </c>
      <c r="E4268" s="59" t="str">
        <f>IFERROR(IF(F4268&lt;&gt;"pending","",IF(OR($B4268="",$B4268="(blank)"),"",VLOOKUP($B4268,'Email Marketing Raw Data'!$C:$O,11,0))),"")</f>
        <v/>
      </c>
      <c r="F4268" s="54" t="str">
        <f>IFERROR(IF(OR($B4268="",$B4268="(blank)"),"",VLOOKUP($B4268,'Email Marketing Raw Data'!$C:$O,13,0)),"")</f>
        <v/>
      </c>
      <c r="G4268" s="55" t="str">
        <f>IFERROR(IF(OR($B4268="",$B4268="(blank)"),"",VLOOKUP($B4268,'Email Marketing Raw Data'!$C:$O,4,0)),"")</f>
        <v/>
      </c>
      <c r="H4268" s="55" t="str">
        <f>IFERROR(IF(OR($B4268="",$B4268="(blank)"),"",VLOOKUP($B4268,'Email Marketing Raw Data'!$C:$O,5,0)),"")</f>
        <v/>
      </c>
      <c r="I4268" s="55" t="str">
        <f>IFERROR(IF($G4268="","",VLOOKUP('Dashboard And Emails Automate'!$G4268,Database!$H:$N,3,0)),"")</f>
        <v/>
      </c>
      <c r="J4268" s="55" t="str">
        <f>IFERROR(IF($G4268="","",VLOOKUP('Dashboard And Emails Automate'!$G4268,Database!$H:$N,4,0)),"")</f>
        <v/>
      </c>
      <c r="K4268" s="55" t="str">
        <f>IFERROR(IF($G4268="","",VLOOKUP('Dashboard And Emails Automate'!$G4268,Database!$H:$N,5,0)),"")</f>
        <v/>
      </c>
      <c r="L4268" s="55" t="str">
        <f>IFERROR(IF($G4268="","",VLOOKUP('Dashboard And Emails Automate'!$G4268,Database!$H:$N,6,0)),"")</f>
        <v/>
      </c>
      <c r="M4268" s="55" t="str">
        <f>IFERROR(IF($G4268="","",VLOOKUP('Dashboard And Emails Automate'!$G4268,Database!$H:$N,7,0)),"")</f>
        <v/>
      </c>
      <c r="N4268" s="55" t="str">
        <f>IFERROR(IF(OR($B4268="",$B4268="(blank)"),"",VLOOKUP($B4268,'Email Marketing Raw Data'!$C:$O,6,0)),"")</f>
        <v/>
      </c>
      <c r="O4268" s="55" t="str">
        <f>IFERROR(IF(OR($B4268="",$B4268="(blank)"),"",VLOOKUP($B4268,'Email Marketing Raw Data'!$C:$O,7,0)),"")</f>
        <v/>
      </c>
      <c r="P4268" s="55" t="str">
        <f>IFERROR(IF(OR($B4268="",$B4268="(blank)"),"",VLOOKUP($B4268,'Email Marketing Raw Data'!$C:$O,8,0)),"")</f>
        <v/>
      </c>
      <c r="Q4268" s="62" t="str">
        <f>IFERROR(IF(OR($B4268="",$B4268="(blank)"),"",VLOOKUP($B4268,'Email Marketing Raw Data'!$C:$O,9,0)),"")</f>
        <v/>
      </c>
    </row>
    <row r="4269" spans="4:17" ht="12.75" customHeight="1" x14ac:dyDescent="0.2">
      <c r="D4269" s="58" t="str">
        <f>IFERROR(IF(F4269&lt;&gt;"pending","",IF(OR($B4269="",$B4269="(blank)"),"",VLOOKUP($B4269,'Email Marketing Raw Data'!$C:$O,10,0))),"")</f>
        <v/>
      </c>
      <c r="E4269" s="59" t="str">
        <f>IFERROR(IF(F4269&lt;&gt;"pending","",IF(OR($B4269="",$B4269="(blank)"),"",VLOOKUP($B4269,'Email Marketing Raw Data'!$C:$O,11,0))),"")</f>
        <v/>
      </c>
      <c r="F4269" s="54" t="str">
        <f>IFERROR(IF(OR($B4269="",$B4269="(blank)"),"",VLOOKUP($B4269,'Email Marketing Raw Data'!$C:$O,13,0)),"")</f>
        <v/>
      </c>
      <c r="G4269" s="55" t="str">
        <f>IFERROR(IF(OR($B4269="",$B4269="(blank)"),"",VLOOKUP($B4269,'Email Marketing Raw Data'!$C:$O,4,0)),"")</f>
        <v/>
      </c>
      <c r="H4269" s="55" t="str">
        <f>IFERROR(IF(OR($B4269="",$B4269="(blank)"),"",VLOOKUP($B4269,'Email Marketing Raw Data'!$C:$O,5,0)),"")</f>
        <v/>
      </c>
      <c r="I4269" s="55" t="str">
        <f>IFERROR(IF($G4269="","",VLOOKUP('Dashboard And Emails Automate'!$G4269,Database!$H:$N,3,0)),"")</f>
        <v/>
      </c>
      <c r="J4269" s="55" t="str">
        <f>IFERROR(IF($G4269="","",VLOOKUP('Dashboard And Emails Automate'!$G4269,Database!$H:$N,4,0)),"")</f>
        <v/>
      </c>
      <c r="K4269" s="55" t="str">
        <f>IFERROR(IF($G4269="","",VLOOKUP('Dashboard And Emails Automate'!$G4269,Database!$H:$N,5,0)),"")</f>
        <v/>
      </c>
      <c r="L4269" s="55" t="str">
        <f>IFERROR(IF($G4269="","",VLOOKUP('Dashboard And Emails Automate'!$G4269,Database!$H:$N,6,0)),"")</f>
        <v/>
      </c>
      <c r="M4269" s="55" t="str">
        <f>IFERROR(IF($G4269="","",VLOOKUP('Dashboard And Emails Automate'!$G4269,Database!$H:$N,7,0)),"")</f>
        <v/>
      </c>
      <c r="N4269" s="55" t="str">
        <f>IFERROR(IF(OR($B4269="",$B4269="(blank)"),"",VLOOKUP($B4269,'Email Marketing Raw Data'!$C:$O,6,0)),"")</f>
        <v/>
      </c>
      <c r="O4269" s="55" t="str">
        <f>IFERROR(IF(OR($B4269="",$B4269="(blank)"),"",VLOOKUP($B4269,'Email Marketing Raw Data'!$C:$O,7,0)),"")</f>
        <v/>
      </c>
      <c r="P4269" s="55" t="str">
        <f>IFERROR(IF(OR($B4269="",$B4269="(blank)"),"",VLOOKUP($B4269,'Email Marketing Raw Data'!$C:$O,8,0)),"")</f>
        <v/>
      </c>
      <c r="Q4269" s="62" t="str">
        <f>IFERROR(IF(OR($B4269="",$B4269="(blank)"),"",VLOOKUP($B4269,'Email Marketing Raw Data'!$C:$O,9,0)),"")</f>
        <v/>
      </c>
    </row>
    <row r="4270" spans="4:17" ht="12.75" customHeight="1" x14ac:dyDescent="0.2">
      <c r="D4270" s="58" t="str">
        <f>IFERROR(IF(F4270&lt;&gt;"pending","",IF(OR($B4270="",$B4270="(blank)"),"",VLOOKUP($B4270,'Email Marketing Raw Data'!$C:$O,10,0))),"")</f>
        <v/>
      </c>
      <c r="E4270" s="59" t="str">
        <f>IFERROR(IF(F4270&lt;&gt;"pending","",IF(OR($B4270="",$B4270="(blank)"),"",VLOOKUP($B4270,'Email Marketing Raw Data'!$C:$O,11,0))),"")</f>
        <v/>
      </c>
      <c r="F4270" s="54" t="str">
        <f>IFERROR(IF(OR($B4270="",$B4270="(blank)"),"",VLOOKUP($B4270,'Email Marketing Raw Data'!$C:$O,13,0)),"")</f>
        <v/>
      </c>
      <c r="G4270" s="55" t="str">
        <f>IFERROR(IF(OR($B4270="",$B4270="(blank)"),"",VLOOKUP($B4270,'Email Marketing Raw Data'!$C:$O,4,0)),"")</f>
        <v/>
      </c>
      <c r="H4270" s="55" t="str">
        <f>IFERROR(IF(OR($B4270="",$B4270="(blank)"),"",VLOOKUP($B4270,'Email Marketing Raw Data'!$C:$O,5,0)),"")</f>
        <v/>
      </c>
      <c r="I4270" s="55" t="str">
        <f>IFERROR(IF($G4270="","",VLOOKUP('Dashboard And Emails Automate'!$G4270,Database!$H:$N,3,0)),"")</f>
        <v/>
      </c>
      <c r="J4270" s="55" t="str">
        <f>IFERROR(IF($G4270="","",VLOOKUP('Dashboard And Emails Automate'!$G4270,Database!$H:$N,4,0)),"")</f>
        <v/>
      </c>
      <c r="K4270" s="55" t="str">
        <f>IFERROR(IF($G4270="","",VLOOKUP('Dashboard And Emails Automate'!$G4270,Database!$H:$N,5,0)),"")</f>
        <v/>
      </c>
      <c r="L4270" s="55" t="str">
        <f>IFERROR(IF($G4270="","",VLOOKUP('Dashboard And Emails Automate'!$G4270,Database!$H:$N,6,0)),"")</f>
        <v/>
      </c>
      <c r="M4270" s="55" t="str">
        <f>IFERROR(IF($G4270="","",VLOOKUP('Dashboard And Emails Automate'!$G4270,Database!$H:$N,7,0)),"")</f>
        <v/>
      </c>
      <c r="N4270" s="55" t="str">
        <f>IFERROR(IF(OR($B4270="",$B4270="(blank)"),"",VLOOKUP($B4270,'Email Marketing Raw Data'!$C:$O,6,0)),"")</f>
        <v/>
      </c>
      <c r="O4270" s="55" t="str">
        <f>IFERROR(IF(OR($B4270="",$B4270="(blank)"),"",VLOOKUP($B4270,'Email Marketing Raw Data'!$C:$O,7,0)),"")</f>
        <v/>
      </c>
      <c r="P4270" s="55" t="str">
        <f>IFERROR(IF(OR($B4270="",$B4270="(blank)"),"",VLOOKUP($B4270,'Email Marketing Raw Data'!$C:$O,8,0)),"")</f>
        <v/>
      </c>
      <c r="Q4270" s="62" t="str">
        <f>IFERROR(IF(OR($B4270="",$B4270="(blank)"),"",VLOOKUP($B4270,'Email Marketing Raw Data'!$C:$O,9,0)),"")</f>
        <v/>
      </c>
    </row>
    <row r="4271" spans="4:17" ht="12.75" customHeight="1" x14ac:dyDescent="0.2">
      <c r="D4271" s="58" t="str">
        <f>IFERROR(IF(F4271&lt;&gt;"pending","",IF(OR($B4271="",$B4271="(blank)"),"",VLOOKUP($B4271,'Email Marketing Raw Data'!$C:$O,10,0))),"")</f>
        <v/>
      </c>
      <c r="E4271" s="59" t="str">
        <f>IFERROR(IF(F4271&lt;&gt;"pending","",IF(OR($B4271="",$B4271="(blank)"),"",VLOOKUP($B4271,'Email Marketing Raw Data'!$C:$O,11,0))),"")</f>
        <v/>
      </c>
      <c r="F4271" s="54" t="str">
        <f>IFERROR(IF(OR($B4271="",$B4271="(blank)"),"",VLOOKUP($B4271,'Email Marketing Raw Data'!$C:$O,13,0)),"")</f>
        <v/>
      </c>
      <c r="G4271" s="55" t="str">
        <f>IFERROR(IF(OR($B4271="",$B4271="(blank)"),"",VLOOKUP($B4271,'Email Marketing Raw Data'!$C:$O,4,0)),"")</f>
        <v/>
      </c>
      <c r="H4271" s="55" t="str">
        <f>IFERROR(IF(OR($B4271="",$B4271="(blank)"),"",VLOOKUP($B4271,'Email Marketing Raw Data'!$C:$O,5,0)),"")</f>
        <v/>
      </c>
      <c r="I4271" s="55" t="str">
        <f>IFERROR(IF($G4271="","",VLOOKUP('Dashboard And Emails Automate'!$G4271,Database!$H:$N,3,0)),"")</f>
        <v/>
      </c>
      <c r="J4271" s="55" t="str">
        <f>IFERROR(IF($G4271="","",VLOOKUP('Dashboard And Emails Automate'!$G4271,Database!$H:$N,4,0)),"")</f>
        <v/>
      </c>
      <c r="K4271" s="55" t="str">
        <f>IFERROR(IF($G4271="","",VLOOKUP('Dashboard And Emails Automate'!$G4271,Database!$H:$N,5,0)),"")</f>
        <v/>
      </c>
      <c r="L4271" s="55" t="str">
        <f>IFERROR(IF($G4271="","",VLOOKUP('Dashboard And Emails Automate'!$G4271,Database!$H:$N,6,0)),"")</f>
        <v/>
      </c>
      <c r="M4271" s="55" t="str">
        <f>IFERROR(IF($G4271="","",VLOOKUP('Dashboard And Emails Automate'!$G4271,Database!$H:$N,7,0)),"")</f>
        <v/>
      </c>
      <c r="N4271" s="55" t="str">
        <f>IFERROR(IF(OR($B4271="",$B4271="(blank)"),"",VLOOKUP($B4271,'Email Marketing Raw Data'!$C:$O,6,0)),"")</f>
        <v/>
      </c>
      <c r="O4271" s="55" t="str">
        <f>IFERROR(IF(OR($B4271="",$B4271="(blank)"),"",VLOOKUP($B4271,'Email Marketing Raw Data'!$C:$O,7,0)),"")</f>
        <v/>
      </c>
      <c r="P4271" s="55" t="str">
        <f>IFERROR(IF(OR($B4271="",$B4271="(blank)"),"",VLOOKUP($B4271,'Email Marketing Raw Data'!$C:$O,8,0)),"")</f>
        <v/>
      </c>
      <c r="Q4271" s="62" t="str">
        <f>IFERROR(IF(OR($B4271="",$B4271="(blank)"),"",VLOOKUP($B4271,'Email Marketing Raw Data'!$C:$O,9,0)),"")</f>
        <v/>
      </c>
    </row>
    <row r="4272" spans="4:17" ht="12.75" customHeight="1" x14ac:dyDescent="0.2">
      <c r="D4272" s="58" t="str">
        <f>IFERROR(IF(F4272&lt;&gt;"pending","",IF(OR($B4272="",$B4272="(blank)"),"",VLOOKUP($B4272,'Email Marketing Raw Data'!$C:$O,10,0))),"")</f>
        <v/>
      </c>
      <c r="E4272" s="59" t="str">
        <f>IFERROR(IF(F4272&lt;&gt;"pending","",IF(OR($B4272="",$B4272="(blank)"),"",VLOOKUP($B4272,'Email Marketing Raw Data'!$C:$O,11,0))),"")</f>
        <v/>
      </c>
      <c r="F4272" s="54" t="str">
        <f>IFERROR(IF(OR($B4272="",$B4272="(blank)"),"",VLOOKUP($B4272,'Email Marketing Raw Data'!$C:$O,13,0)),"")</f>
        <v/>
      </c>
      <c r="G4272" s="55" t="str">
        <f>IFERROR(IF(OR($B4272="",$B4272="(blank)"),"",VLOOKUP($B4272,'Email Marketing Raw Data'!$C:$O,4,0)),"")</f>
        <v/>
      </c>
      <c r="H4272" s="55" t="str">
        <f>IFERROR(IF(OR($B4272="",$B4272="(blank)"),"",VLOOKUP($B4272,'Email Marketing Raw Data'!$C:$O,5,0)),"")</f>
        <v/>
      </c>
      <c r="I4272" s="55" t="str">
        <f>IFERROR(IF($G4272="","",VLOOKUP('Dashboard And Emails Automate'!$G4272,Database!$H:$N,3,0)),"")</f>
        <v/>
      </c>
      <c r="J4272" s="55" t="str">
        <f>IFERROR(IF($G4272="","",VLOOKUP('Dashboard And Emails Automate'!$G4272,Database!$H:$N,4,0)),"")</f>
        <v/>
      </c>
      <c r="K4272" s="55" t="str">
        <f>IFERROR(IF($G4272="","",VLOOKUP('Dashboard And Emails Automate'!$G4272,Database!$H:$N,5,0)),"")</f>
        <v/>
      </c>
      <c r="L4272" s="55" t="str">
        <f>IFERROR(IF($G4272="","",VLOOKUP('Dashboard And Emails Automate'!$G4272,Database!$H:$N,6,0)),"")</f>
        <v/>
      </c>
      <c r="M4272" s="55" t="str">
        <f>IFERROR(IF($G4272="","",VLOOKUP('Dashboard And Emails Automate'!$G4272,Database!$H:$N,7,0)),"")</f>
        <v/>
      </c>
      <c r="N4272" s="55" t="str">
        <f>IFERROR(IF(OR($B4272="",$B4272="(blank)"),"",VLOOKUP($B4272,'Email Marketing Raw Data'!$C:$O,6,0)),"")</f>
        <v/>
      </c>
      <c r="O4272" s="55" t="str">
        <f>IFERROR(IF(OR($B4272="",$B4272="(blank)"),"",VLOOKUP($B4272,'Email Marketing Raw Data'!$C:$O,7,0)),"")</f>
        <v/>
      </c>
      <c r="P4272" s="55" t="str">
        <f>IFERROR(IF(OR($B4272="",$B4272="(blank)"),"",VLOOKUP($B4272,'Email Marketing Raw Data'!$C:$O,8,0)),"")</f>
        <v/>
      </c>
      <c r="Q4272" s="62" t="str">
        <f>IFERROR(IF(OR($B4272="",$B4272="(blank)"),"",VLOOKUP($B4272,'Email Marketing Raw Data'!$C:$O,9,0)),"")</f>
        <v/>
      </c>
    </row>
    <row r="4273" spans="4:17" ht="12.75" customHeight="1" x14ac:dyDescent="0.2">
      <c r="D4273" s="58" t="str">
        <f>IFERROR(IF(F4273&lt;&gt;"pending","",IF(OR($B4273="",$B4273="(blank)"),"",VLOOKUP($B4273,'Email Marketing Raw Data'!$C:$O,10,0))),"")</f>
        <v/>
      </c>
      <c r="E4273" s="59" t="str">
        <f>IFERROR(IF(F4273&lt;&gt;"pending","",IF(OR($B4273="",$B4273="(blank)"),"",VLOOKUP($B4273,'Email Marketing Raw Data'!$C:$O,11,0))),"")</f>
        <v/>
      </c>
      <c r="F4273" s="54" t="str">
        <f>IFERROR(IF(OR($B4273="",$B4273="(blank)"),"",VLOOKUP($B4273,'Email Marketing Raw Data'!$C:$O,13,0)),"")</f>
        <v/>
      </c>
      <c r="G4273" s="55" t="str">
        <f>IFERROR(IF(OR($B4273="",$B4273="(blank)"),"",VLOOKUP($B4273,'Email Marketing Raw Data'!$C:$O,4,0)),"")</f>
        <v/>
      </c>
      <c r="H4273" s="55" t="str">
        <f>IFERROR(IF(OR($B4273="",$B4273="(blank)"),"",VLOOKUP($B4273,'Email Marketing Raw Data'!$C:$O,5,0)),"")</f>
        <v/>
      </c>
      <c r="I4273" s="55" t="str">
        <f>IFERROR(IF($G4273="","",VLOOKUP('Dashboard And Emails Automate'!$G4273,Database!$H:$N,3,0)),"")</f>
        <v/>
      </c>
      <c r="J4273" s="55" t="str">
        <f>IFERROR(IF($G4273="","",VLOOKUP('Dashboard And Emails Automate'!$G4273,Database!$H:$N,4,0)),"")</f>
        <v/>
      </c>
      <c r="K4273" s="55" t="str">
        <f>IFERROR(IF($G4273="","",VLOOKUP('Dashboard And Emails Automate'!$G4273,Database!$H:$N,5,0)),"")</f>
        <v/>
      </c>
      <c r="L4273" s="55" t="str">
        <f>IFERROR(IF($G4273="","",VLOOKUP('Dashboard And Emails Automate'!$G4273,Database!$H:$N,6,0)),"")</f>
        <v/>
      </c>
      <c r="M4273" s="55" t="str">
        <f>IFERROR(IF($G4273="","",VLOOKUP('Dashboard And Emails Automate'!$G4273,Database!$H:$N,7,0)),"")</f>
        <v/>
      </c>
      <c r="N4273" s="55" t="str">
        <f>IFERROR(IF(OR($B4273="",$B4273="(blank)"),"",VLOOKUP($B4273,'Email Marketing Raw Data'!$C:$O,6,0)),"")</f>
        <v/>
      </c>
      <c r="O4273" s="55" t="str">
        <f>IFERROR(IF(OR($B4273="",$B4273="(blank)"),"",VLOOKUP($B4273,'Email Marketing Raw Data'!$C:$O,7,0)),"")</f>
        <v/>
      </c>
      <c r="P4273" s="55" t="str">
        <f>IFERROR(IF(OR($B4273="",$B4273="(blank)"),"",VLOOKUP($B4273,'Email Marketing Raw Data'!$C:$O,8,0)),"")</f>
        <v/>
      </c>
      <c r="Q4273" s="62" t="str">
        <f>IFERROR(IF(OR($B4273="",$B4273="(blank)"),"",VLOOKUP($B4273,'Email Marketing Raw Data'!$C:$O,9,0)),"")</f>
        <v/>
      </c>
    </row>
    <row r="4274" spans="4:17" ht="12.75" customHeight="1" x14ac:dyDescent="0.2">
      <c r="D4274" s="58" t="str">
        <f>IFERROR(IF(F4274&lt;&gt;"pending","",IF(OR($B4274="",$B4274="(blank)"),"",VLOOKUP($B4274,'Email Marketing Raw Data'!$C:$O,10,0))),"")</f>
        <v/>
      </c>
      <c r="E4274" s="59" t="str">
        <f>IFERROR(IF(F4274&lt;&gt;"pending","",IF(OR($B4274="",$B4274="(blank)"),"",VLOOKUP($B4274,'Email Marketing Raw Data'!$C:$O,11,0))),"")</f>
        <v/>
      </c>
      <c r="F4274" s="54" t="str">
        <f>IFERROR(IF(OR($B4274="",$B4274="(blank)"),"",VLOOKUP($B4274,'Email Marketing Raw Data'!$C:$O,13,0)),"")</f>
        <v/>
      </c>
      <c r="G4274" s="55" t="str">
        <f>IFERROR(IF(OR($B4274="",$B4274="(blank)"),"",VLOOKUP($B4274,'Email Marketing Raw Data'!$C:$O,4,0)),"")</f>
        <v/>
      </c>
      <c r="H4274" s="55" t="str">
        <f>IFERROR(IF(OR($B4274="",$B4274="(blank)"),"",VLOOKUP($B4274,'Email Marketing Raw Data'!$C:$O,5,0)),"")</f>
        <v/>
      </c>
      <c r="I4274" s="55" t="str">
        <f>IFERROR(IF($G4274="","",VLOOKUP('Dashboard And Emails Automate'!$G4274,Database!$H:$N,3,0)),"")</f>
        <v/>
      </c>
      <c r="J4274" s="55" t="str">
        <f>IFERROR(IF($G4274="","",VLOOKUP('Dashboard And Emails Automate'!$G4274,Database!$H:$N,4,0)),"")</f>
        <v/>
      </c>
      <c r="K4274" s="55" t="str">
        <f>IFERROR(IF($G4274="","",VLOOKUP('Dashboard And Emails Automate'!$G4274,Database!$H:$N,5,0)),"")</f>
        <v/>
      </c>
      <c r="L4274" s="55" t="str">
        <f>IFERROR(IF($G4274="","",VLOOKUP('Dashboard And Emails Automate'!$G4274,Database!$H:$N,6,0)),"")</f>
        <v/>
      </c>
      <c r="M4274" s="55" t="str">
        <f>IFERROR(IF($G4274="","",VLOOKUP('Dashboard And Emails Automate'!$G4274,Database!$H:$N,7,0)),"")</f>
        <v/>
      </c>
      <c r="N4274" s="55" t="str">
        <f>IFERROR(IF(OR($B4274="",$B4274="(blank)"),"",VLOOKUP($B4274,'Email Marketing Raw Data'!$C:$O,6,0)),"")</f>
        <v/>
      </c>
      <c r="O4274" s="55" t="str">
        <f>IFERROR(IF(OR($B4274="",$B4274="(blank)"),"",VLOOKUP($B4274,'Email Marketing Raw Data'!$C:$O,7,0)),"")</f>
        <v/>
      </c>
      <c r="P4274" s="55" t="str">
        <f>IFERROR(IF(OR($B4274="",$B4274="(blank)"),"",VLOOKUP($B4274,'Email Marketing Raw Data'!$C:$O,8,0)),"")</f>
        <v/>
      </c>
      <c r="Q4274" s="62" t="str">
        <f>IFERROR(IF(OR($B4274="",$B4274="(blank)"),"",VLOOKUP($B4274,'Email Marketing Raw Data'!$C:$O,9,0)),"")</f>
        <v/>
      </c>
    </row>
    <row r="4275" spans="4:17" ht="12.75" customHeight="1" x14ac:dyDescent="0.2">
      <c r="D4275" s="58" t="str">
        <f>IFERROR(IF(F4275&lt;&gt;"pending","",IF(OR($B4275="",$B4275="(blank)"),"",VLOOKUP($B4275,'Email Marketing Raw Data'!$C:$O,10,0))),"")</f>
        <v/>
      </c>
      <c r="E4275" s="59" t="str">
        <f>IFERROR(IF(F4275&lt;&gt;"pending","",IF(OR($B4275="",$B4275="(blank)"),"",VLOOKUP($B4275,'Email Marketing Raw Data'!$C:$O,11,0))),"")</f>
        <v/>
      </c>
      <c r="F4275" s="54" t="str">
        <f>IFERROR(IF(OR($B4275="",$B4275="(blank)"),"",VLOOKUP($B4275,'Email Marketing Raw Data'!$C:$O,13,0)),"")</f>
        <v/>
      </c>
      <c r="G4275" s="55" t="str">
        <f>IFERROR(IF(OR($B4275="",$B4275="(blank)"),"",VLOOKUP($B4275,'Email Marketing Raw Data'!$C:$O,4,0)),"")</f>
        <v/>
      </c>
      <c r="H4275" s="55" t="str">
        <f>IFERROR(IF(OR($B4275="",$B4275="(blank)"),"",VLOOKUP($B4275,'Email Marketing Raw Data'!$C:$O,5,0)),"")</f>
        <v/>
      </c>
      <c r="I4275" s="55" t="str">
        <f>IFERROR(IF($G4275="","",VLOOKUP('Dashboard And Emails Automate'!$G4275,Database!$H:$N,3,0)),"")</f>
        <v/>
      </c>
      <c r="J4275" s="55" t="str">
        <f>IFERROR(IF($G4275="","",VLOOKUP('Dashboard And Emails Automate'!$G4275,Database!$H:$N,4,0)),"")</f>
        <v/>
      </c>
      <c r="K4275" s="55" t="str">
        <f>IFERROR(IF($G4275="","",VLOOKUP('Dashboard And Emails Automate'!$G4275,Database!$H:$N,5,0)),"")</f>
        <v/>
      </c>
      <c r="L4275" s="55" t="str">
        <f>IFERROR(IF($G4275="","",VLOOKUP('Dashboard And Emails Automate'!$G4275,Database!$H:$N,6,0)),"")</f>
        <v/>
      </c>
      <c r="M4275" s="55" t="str">
        <f>IFERROR(IF($G4275="","",VLOOKUP('Dashboard And Emails Automate'!$G4275,Database!$H:$N,7,0)),"")</f>
        <v/>
      </c>
      <c r="N4275" s="55" t="str">
        <f>IFERROR(IF(OR($B4275="",$B4275="(blank)"),"",VLOOKUP($B4275,'Email Marketing Raw Data'!$C:$O,6,0)),"")</f>
        <v/>
      </c>
      <c r="O4275" s="55" t="str">
        <f>IFERROR(IF(OR($B4275="",$B4275="(blank)"),"",VLOOKUP($B4275,'Email Marketing Raw Data'!$C:$O,7,0)),"")</f>
        <v/>
      </c>
      <c r="P4275" s="55" t="str">
        <f>IFERROR(IF(OR($B4275="",$B4275="(blank)"),"",VLOOKUP($B4275,'Email Marketing Raw Data'!$C:$O,8,0)),"")</f>
        <v/>
      </c>
      <c r="Q4275" s="62" t="str">
        <f>IFERROR(IF(OR($B4275="",$B4275="(blank)"),"",VLOOKUP($B4275,'Email Marketing Raw Data'!$C:$O,9,0)),"")</f>
        <v/>
      </c>
    </row>
    <row r="4276" spans="4:17" ht="12.75" customHeight="1" x14ac:dyDescent="0.2">
      <c r="D4276" s="58" t="str">
        <f>IFERROR(IF(F4276&lt;&gt;"pending","",IF(OR($B4276="",$B4276="(blank)"),"",VLOOKUP($B4276,'Email Marketing Raw Data'!$C:$O,10,0))),"")</f>
        <v/>
      </c>
      <c r="E4276" s="59" t="str">
        <f>IFERROR(IF(F4276&lt;&gt;"pending","",IF(OR($B4276="",$B4276="(blank)"),"",VLOOKUP($B4276,'Email Marketing Raw Data'!$C:$O,11,0))),"")</f>
        <v/>
      </c>
      <c r="F4276" s="54" t="str">
        <f>IFERROR(IF(OR($B4276="",$B4276="(blank)"),"",VLOOKUP($B4276,'Email Marketing Raw Data'!$C:$O,13,0)),"")</f>
        <v/>
      </c>
      <c r="G4276" s="55" t="str">
        <f>IFERROR(IF(OR($B4276="",$B4276="(blank)"),"",VLOOKUP($B4276,'Email Marketing Raw Data'!$C:$O,4,0)),"")</f>
        <v/>
      </c>
      <c r="H4276" s="55" t="str">
        <f>IFERROR(IF(OR($B4276="",$B4276="(blank)"),"",VLOOKUP($B4276,'Email Marketing Raw Data'!$C:$O,5,0)),"")</f>
        <v/>
      </c>
      <c r="I4276" s="55" t="str">
        <f>IFERROR(IF($G4276="","",VLOOKUP('Dashboard And Emails Automate'!$G4276,Database!$H:$N,3,0)),"")</f>
        <v/>
      </c>
      <c r="J4276" s="55" t="str">
        <f>IFERROR(IF($G4276="","",VLOOKUP('Dashboard And Emails Automate'!$G4276,Database!$H:$N,4,0)),"")</f>
        <v/>
      </c>
      <c r="K4276" s="55" t="str">
        <f>IFERROR(IF($G4276="","",VLOOKUP('Dashboard And Emails Automate'!$G4276,Database!$H:$N,5,0)),"")</f>
        <v/>
      </c>
      <c r="L4276" s="55" t="str">
        <f>IFERROR(IF($G4276="","",VLOOKUP('Dashboard And Emails Automate'!$G4276,Database!$H:$N,6,0)),"")</f>
        <v/>
      </c>
      <c r="M4276" s="55" t="str">
        <f>IFERROR(IF($G4276="","",VLOOKUP('Dashboard And Emails Automate'!$G4276,Database!$H:$N,7,0)),"")</f>
        <v/>
      </c>
      <c r="N4276" s="55" t="str">
        <f>IFERROR(IF(OR($B4276="",$B4276="(blank)"),"",VLOOKUP($B4276,'Email Marketing Raw Data'!$C:$O,6,0)),"")</f>
        <v/>
      </c>
      <c r="O4276" s="55" t="str">
        <f>IFERROR(IF(OR($B4276="",$B4276="(blank)"),"",VLOOKUP($B4276,'Email Marketing Raw Data'!$C:$O,7,0)),"")</f>
        <v/>
      </c>
      <c r="P4276" s="55" t="str">
        <f>IFERROR(IF(OR($B4276="",$B4276="(blank)"),"",VLOOKUP($B4276,'Email Marketing Raw Data'!$C:$O,8,0)),"")</f>
        <v/>
      </c>
      <c r="Q4276" s="62" t="str">
        <f>IFERROR(IF(OR($B4276="",$B4276="(blank)"),"",VLOOKUP($B4276,'Email Marketing Raw Data'!$C:$O,9,0)),"")</f>
        <v/>
      </c>
    </row>
    <row r="4277" spans="4:17" ht="12.75" customHeight="1" x14ac:dyDescent="0.2">
      <c r="D4277" s="58" t="str">
        <f>IFERROR(IF(F4277&lt;&gt;"pending","",IF(OR($B4277="",$B4277="(blank)"),"",VLOOKUP($B4277,'Email Marketing Raw Data'!$C:$O,10,0))),"")</f>
        <v/>
      </c>
      <c r="E4277" s="59" t="str">
        <f>IFERROR(IF(F4277&lt;&gt;"pending","",IF(OR($B4277="",$B4277="(blank)"),"",VLOOKUP($B4277,'Email Marketing Raw Data'!$C:$O,11,0))),"")</f>
        <v/>
      </c>
      <c r="F4277" s="54" t="str">
        <f>IFERROR(IF(OR($B4277="",$B4277="(blank)"),"",VLOOKUP($B4277,'Email Marketing Raw Data'!$C:$O,13,0)),"")</f>
        <v/>
      </c>
      <c r="G4277" s="55" t="str">
        <f>IFERROR(IF(OR($B4277="",$B4277="(blank)"),"",VLOOKUP($B4277,'Email Marketing Raw Data'!$C:$O,4,0)),"")</f>
        <v/>
      </c>
      <c r="H4277" s="55" t="str">
        <f>IFERROR(IF(OR($B4277="",$B4277="(blank)"),"",VLOOKUP($B4277,'Email Marketing Raw Data'!$C:$O,5,0)),"")</f>
        <v/>
      </c>
      <c r="I4277" s="55" t="str">
        <f>IFERROR(IF($G4277="","",VLOOKUP('Dashboard And Emails Automate'!$G4277,Database!$H:$N,3,0)),"")</f>
        <v/>
      </c>
      <c r="J4277" s="55" t="str">
        <f>IFERROR(IF($G4277="","",VLOOKUP('Dashboard And Emails Automate'!$G4277,Database!$H:$N,4,0)),"")</f>
        <v/>
      </c>
      <c r="K4277" s="55" t="str">
        <f>IFERROR(IF($G4277="","",VLOOKUP('Dashboard And Emails Automate'!$G4277,Database!$H:$N,5,0)),"")</f>
        <v/>
      </c>
      <c r="L4277" s="55" t="str">
        <f>IFERROR(IF($G4277="","",VLOOKUP('Dashboard And Emails Automate'!$G4277,Database!$H:$N,6,0)),"")</f>
        <v/>
      </c>
      <c r="M4277" s="55" t="str">
        <f>IFERROR(IF($G4277="","",VLOOKUP('Dashboard And Emails Automate'!$G4277,Database!$H:$N,7,0)),"")</f>
        <v/>
      </c>
      <c r="N4277" s="55" t="str">
        <f>IFERROR(IF(OR($B4277="",$B4277="(blank)"),"",VLOOKUP($B4277,'Email Marketing Raw Data'!$C:$O,6,0)),"")</f>
        <v/>
      </c>
      <c r="O4277" s="55" t="str">
        <f>IFERROR(IF(OR($B4277="",$B4277="(blank)"),"",VLOOKUP($B4277,'Email Marketing Raw Data'!$C:$O,7,0)),"")</f>
        <v/>
      </c>
      <c r="P4277" s="55" t="str">
        <f>IFERROR(IF(OR($B4277="",$B4277="(blank)"),"",VLOOKUP($B4277,'Email Marketing Raw Data'!$C:$O,8,0)),"")</f>
        <v/>
      </c>
      <c r="Q4277" s="62" t="str">
        <f>IFERROR(IF(OR($B4277="",$B4277="(blank)"),"",VLOOKUP($B4277,'Email Marketing Raw Data'!$C:$O,9,0)),"")</f>
        <v/>
      </c>
    </row>
    <row r="4278" spans="4:17" ht="12.75" customHeight="1" x14ac:dyDescent="0.2">
      <c r="D4278" s="58" t="str">
        <f>IFERROR(IF(F4278&lt;&gt;"pending","",IF(OR($B4278="",$B4278="(blank)"),"",VLOOKUP($B4278,'Email Marketing Raw Data'!$C:$O,10,0))),"")</f>
        <v/>
      </c>
      <c r="E4278" s="59" t="str">
        <f>IFERROR(IF(F4278&lt;&gt;"pending","",IF(OR($B4278="",$B4278="(blank)"),"",VLOOKUP($B4278,'Email Marketing Raw Data'!$C:$O,11,0))),"")</f>
        <v/>
      </c>
      <c r="F4278" s="54" t="str">
        <f>IFERROR(IF(OR($B4278="",$B4278="(blank)"),"",VLOOKUP($B4278,'Email Marketing Raw Data'!$C:$O,13,0)),"")</f>
        <v/>
      </c>
      <c r="G4278" s="55" t="str">
        <f>IFERROR(IF(OR($B4278="",$B4278="(blank)"),"",VLOOKUP($B4278,'Email Marketing Raw Data'!$C:$O,4,0)),"")</f>
        <v/>
      </c>
      <c r="H4278" s="55" t="str">
        <f>IFERROR(IF(OR($B4278="",$B4278="(blank)"),"",VLOOKUP($B4278,'Email Marketing Raw Data'!$C:$O,5,0)),"")</f>
        <v/>
      </c>
      <c r="I4278" s="55" t="str">
        <f>IFERROR(IF($G4278="","",VLOOKUP('Dashboard And Emails Automate'!$G4278,Database!$H:$N,3,0)),"")</f>
        <v/>
      </c>
      <c r="J4278" s="55" t="str">
        <f>IFERROR(IF($G4278="","",VLOOKUP('Dashboard And Emails Automate'!$G4278,Database!$H:$N,4,0)),"")</f>
        <v/>
      </c>
      <c r="K4278" s="55" t="str">
        <f>IFERROR(IF($G4278="","",VLOOKUP('Dashboard And Emails Automate'!$G4278,Database!$H:$N,5,0)),"")</f>
        <v/>
      </c>
      <c r="L4278" s="55" t="str">
        <f>IFERROR(IF($G4278="","",VLOOKUP('Dashboard And Emails Automate'!$G4278,Database!$H:$N,6,0)),"")</f>
        <v/>
      </c>
      <c r="M4278" s="55" t="str">
        <f>IFERROR(IF($G4278="","",VLOOKUP('Dashboard And Emails Automate'!$G4278,Database!$H:$N,7,0)),"")</f>
        <v/>
      </c>
      <c r="N4278" s="55" t="str">
        <f>IFERROR(IF(OR($B4278="",$B4278="(blank)"),"",VLOOKUP($B4278,'Email Marketing Raw Data'!$C:$O,6,0)),"")</f>
        <v/>
      </c>
      <c r="O4278" s="55" t="str">
        <f>IFERROR(IF(OR($B4278="",$B4278="(blank)"),"",VLOOKUP($B4278,'Email Marketing Raw Data'!$C:$O,7,0)),"")</f>
        <v/>
      </c>
      <c r="P4278" s="55" t="str">
        <f>IFERROR(IF(OR($B4278="",$B4278="(blank)"),"",VLOOKUP($B4278,'Email Marketing Raw Data'!$C:$O,8,0)),"")</f>
        <v/>
      </c>
      <c r="Q4278" s="62" t="str">
        <f>IFERROR(IF(OR($B4278="",$B4278="(blank)"),"",VLOOKUP($B4278,'Email Marketing Raw Data'!$C:$O,9,0)),"")</f>
        <v/>
      </c>
    </row>
    <row r="4279" spans="4:17" ht="12.75" customHeight="1" x14ac:dyDescent="0.2">
      <c r="D4279" s="58" t="str">
        <f>IFERROR(IF(F4279&lt;&gt;"pending","",IF(OR($B4279="",$B4279="(blank)"),"",VLOOKUP($B4279,'Email Marketing Raw Data'!$C:$O,10,0))),"")</f>
        <v/>
      </c>
      <c r="E4279" s="59" t="str">
        <f>IFERROR(IF(F4279&lt;&gt;"pending","",IF(OR($B4279="",$B4279="(blank)"),"",VLOOKUP($B4279,'Email Marketing Raw Data'!$C:$O,11,0))),"")</f>
        <v/>
      </c>
      <c r="F4279" s="54" t="str">
        <f>IFERROR(IF(OR($B4279="",$B4279="(blank)"),"",VLOOKUP($B4279,'Email Marketing Raw Data'!$C:$O,13,0)),"")</f>
        <v/>
      </c>
      <c r="G4279" s="55" t="str">
        <f>IFERROR(IF(OR($B4279="",$B4279="(blank)"),"",VLOOKUP($B4279,'Email Marketing Raw Data'!$C:$O,4,0)),"")</f>
        <v/>
      </c>
      <c r="H4279" s="55" t="str">
        <f>IFERROR(IF(OR($B4279="",$B4279="(blank)"),"",VLOOKUP($B4279,'Email Marketing Raw Data'!$C:$O,5,0)),"")</f>
        <v/>
      </c>
      <c r="I4279" s="55" t="str">
        <f>IFERROR(IF($G4279="","",VLOOKUP('Dashboard And Emails Automate'!$G4279,Database!$H:$N,3,0)),"")</f>
        <v/>
      </c>
      <c r="J4279" s="55" t="str">
        <f>IFERROR(IF($G4279="","",VLOOKUP('Dashboard And Emails Automate'!$G4279,Database!$H:$N,4,0)),"")</f>
        <v/>
      </c>
      <c r="K4279" s="55" t="str">
        <f>IFERROR(IF($G4279="","",VLOOKUP('Dashboard And Emails Automate'!$G4279,Database!$H:$N,5,0)),"")</f>
        <v/>
      </c>
      <c r="L4279" s="55" t="str">
        <f>IFERROR(IF($G4279="","",VLOOKUP('Dashboard And Emails Automate'!$G4279,Database!$H:$N,6,0)),"")</f>
        <v/>
      </c>
      <c r="M4279" s="55" t="str">
        <f>IFERROR(IF($G4279="","",VLOOKUP('Dashboard And Emails Automate'!$G4279,Database!$H:$N,7,0)),"")</f>
        <v/>
      </c>
      <c r="N4279" s="55" t="str">
        <f>IFERROR(IF(OR($B4279="",$B4279="(blank)"),"",VLOOKUP($B4279,'Email Marketing Raw Data'!$C:$O,6,0)),"")</f>
        <v/>
      </c>
      <c r="O4279" s="55" t="str">
        <f>IFERROR(IF(OR($B4279="",$B4279="(blank)"),"",VLOOKUP($B4279,'Email Marketing Raw Data'!$C:$O,7,0)),"")</f>
        <v/>
      </c>
      <c r="P4279" s="55" t="str">
        <f>IFERROR(IF(OR($B4279="",$B4279="(blank)"),"",VLOOKUP($B4279,'Email Marketing Raw Data'!$C:$O,8,0)),"")</f>
        <v/>
      </c>
      <c r="Q4279" s="62" t="str">
        <f>IFERROR(IF(OR($B4279="",$B4279="(blank)"),"",VLOOKUP($B4279,'Email Marketing Raw Data'!$C:$O,9,0)),"")</f>
        <v/>
      </c>
    </row>
    <row r="4280" spans="4:17" ht="12.75" customHeight="1" x14ac:dyDescent="0.2">
      <c r="D4280" s="58" t="str">
        <f>IFERROR(IF(F4280&lt;&gt;"pending","",IF(OR($B4280="",$B4280="(blank)"),"",VLOOKUP($B4280,'Email Marketing Raw Data'!$C:$O,10,0))),"")</f>
        <v/>
      </c>
      <c r="E4280" s="59" t="str">
        <f>IFERROR(IF(F4280&lt;&gt;"pending","",IF(OR($B4280="",$B4280="(blank)"),"",VLOOKUP($B4280,'Email Marketing Raw Data'!$C:$O,11,0))),"")</f>
        <v/>
      </c>
      <c r="F4280" s="54" t="str">
        <f>IFERROR(IF(OR($B4280="",$B4280="(blank)"),"",VLOOKUP($B4280,'Email Marketing Raw Data'!$C:$O,13,0)),"")</f>
        <v/>
      </c>
      <c r="G4280" s="55" t="str">
        <f>IFERROR(IF(OR($B4280="",$B4280="(blank)"),"",VLOOKUP($B4280,'Email Marketing Raw Data'!$C:$O,4,0)),"")</f>
        <v/>
      </c>
      <c r="H4280" s="55" t="str">
        <f>IFERROR(IF(OR($B4280="",$B4280="(blank)"),"",VLOOKUP($B4280,'Email Marketing Raw Data'!$C:$O,5,0)),"")</f>
        <v/>
      </c>
      <c r="I4280" s="55" t="str">
        <f>IFERROR(IF($G4280="","",VLOOKUP('Dashboard And Emails Automate'!$G4280,Database!$H:$N,3,0)),"")</f>
        <v/>
      </c>
      <c r="J4280" s="55" t="str">
        <f>IFERROR(IF($G4280="","",VLOOKUP('Dashboard And Emails Automate'!$G4280,Database!$H:$N,4,0)),"")</f>
        <v/>
      </c>
      <c r="K4280" s="55" t="str">
        <f>IFERROR(IF($G4280="","",VLOOKUP('Dashboard And Emails Automate'!$G4280,Database!$H:$N,5,0)),"")</f>
        <v/>
      </c>
      <c r="L4280" s="55" t="str">
        <f>IFERROR(IF($G4280="","",VLOOKUP('Dashboard And Emails Automate'!$G4280,Database!$H:$N,6,0)),"")</f>
        <v/>
      </c>
      <c r="M4280" s="55" t="str">
        <f>IFERROR(IF($G4280="","",VLOOKUP('Dashboard And Emails Automate'!$G4280,Database!$H:$N,7,0)),"")</f>
        <v/>
      </c>
      <c r="N4280" s="55" t="str">
        <f>IFERROR(IF(OR($B4280="",$B4280="(blank)"),"",VLOOKUP($B4280,'Email Marketing Raw Data'!$C:$O,6,0)),"")</f>
        <v/>
      </c>
      <c r="O4280" s="55" t="str">
        <f>IFERROR(IF(OR($B4280="",$B4280="(blank)"),"",VLOOKUP($B4280,'Email Marketing Raw Data'!$C:$O,7,0)),"")</f>
        <v/>
      </c>
      <c r="P4280" s="55" t="str">
        <f>IFERROR(IF(OR($B4280="",$B4280="(blank)"),"",VLOOKUP($B4280,'Email Marketing Raw Data'!$C:$O,8,0)),"")</f>
        <v/>
      </c>
      <c r="Q4280" s="62" t="str">
        <f>IFERROR(IF(OR($B4280="",$B4280="(blank)"),"",VLOOKUP($B4280,'Email Marketing Raw Data'!$C:$O,9,0)),"")</f>
        <v/>
      </c>
    </row>
    <row r="4281" spans="4:17" ht="12.75" customHeight="1" x14ac:dyDescent="0.2">
      <c r="D4281" s="58" t="str">
        <f>IFERROR(IF(F4281&lt;&gt;"pending","",IF(OR($B4281="",$B4281="(blank)"),"",VLOOKUP($B4281,'Email Marketing Raw Data'!$C:$O,10,0))),"")</f>
        <v/>
      </c>
      <c r="E4281" s="59" t="str">
        <f>IFERROR(IF(F4281&lt;&gt;"pending","",IF(OR($B4281="",$B4281="(blank)"),"",VLOOKUP($B4281,'Email Marketing Raw Data'!$C:$O,11,0))),"")</f>
        <v/>
      </c>
      <c r="F4281" s="54" t="str">
        <f>IFERROR(IF(OR($B4281="",$B4281="(blank)"),"",VLOOKUP($B4281,'Email Marketing Raw Data'!$C:$O,13,0)),"")</f>
        <v/>
      </c>
      <c r="G4281" s="55" t="str">
        <f>IFERROR(IF(OR($B4281="",$B4281="(blank)"),"",VLOOKUP($B4281,'Email Marketing Raw Data'!$C:$O,4,0)),"")</f>
        <v/>
      </c>
      <c r="H4281" s="55" t="str">
        <f>IFERROR(IF(OR($B4281="",$B4281="(blank)"),"",VLOOKUP($B4281,'Email Marketing Raw Data'!$C:$O,5,0)),"")</f>
        <v/>
      </c>
      <c r="I4281" s="55" t="str">
        <f>IFERROR(IF($G4281="","",VLOOKUP('Dashboard And Emails Automate'!$G4281,Database!$H:$N,3,0)),"")</f>
        <v/>
      </c>
      <c r="J4281" s="55" t="str">
        <f>IFERROR(IF($G4281="","",VLOOKUP('Dashboard And Emails Automate'!$G4281,Database!$H:$N,4,0)),"")</f>
        <v/>
      </c>
      <c r="K4281" s="55" t="str">
        <f>IFERROR(IF($G4281="","",VLOOKUP('Dashboard And Emails Automate'!$G4281,Database!$H:$N,5,0)),"")</f>
        <v/>
      </c>
      <c r="L4281" s="55" t="str">
        <f>IFERROR(IF($G4281="","",VLOOKUP('Dashboard And Emails Automate'!$G4281,Database!$H:$N,6,0)),"")</f>
        <v/>
      </c>
      <c r="M4281" s="55" t="str">
        <f>IFERROR(IF($G4281="","",VLOOKUP('Dashboard And Emails Automate'!$G4281,Database!$H:$N,7,0)),"")</f>
        <v/>
      </c>
      <c r="N4281" s="55" t="str">
        <f>IFERROR(IF(OR($B4281="",$B4281="(blank)"),"",VLOOKUP($B4281,'Email Marketing Raw Data'!$C:$O,6,0)),"")</f>
        <v/>
      </c>
      <c r="O4281" s="55" t="str">
        <f>IFERROR(IF(OR($B4281="",$B4281="(blank)"),"",VLOOKUP($B4281,'Email Marketing Raw Data'!$C:$O,7,0)),"")</f>
        <v/>
      </c>
      <c r="P4281" s="55" t="str">
        <f>IFERROR(IF(OR($B4281="",$B4281="(blank)"),"",VLOOKUP($B4281,'Email Marketing Raw Data'!$C:$O,8,0)),"")</f>
        <v/>
      </c>
      <c r="Q4281" s="62" t="str">
        <f>IFERROR(IF(OR($B4281="",$B4281="(blank)"),"",VLOOKUP($B4281,'Email Marketing Raw Data'!$C:$O,9,0)),"")</f>
        <v/>
      </c>
    </row>
    <row r="4282" spans="4:17" ht="12.75" customHeight="1" x14ac:dyDescent="0.2">
      <c r="D4282" s="58" t="str">
        <f>IFERROR(IF(F4282&lt;&gt;"pending","",IF(OR($B4282="",$B4282="(blank)"),"",VLOOKUP($B4282,'Email Marketing Raw Data'!$C:$O,10,0))),"")</f>
        <v/>
      </c>
      <c r="E4282" s="59" t="str">
        <f>IFERROR(IF(F4282&lt;&gt;"pending","",IF(OR($B4282="",$B4282="(blank)"),"",VLOOKUP($B4282,'Email Marketing Raw Data'!$C:$O,11,0))),"")</f>
        <v/>
      </c>
      <c r="F4282" s="54" t="str">
        <f>IFERROR(IF(OR($B4282="",$B4282="(blank)"),"",VLOOKUP($B4282,'Email Marketing Raw Data'!$C:$O,13,0)),"")</f>
        <v/>
      </c>
      <c r="G4282" s="55" t="str">
        <f>IFERROR(IF(OR($B4282="",$B4282="(blank)"),"",VLOOKUP($B4282,'Email Marketing Raw Data'!$C:$O,4,0)),"")</f>
        <v/>
      </c>
      <c r="H4282" s="55" t="str">
        <f>IFERROR(IF(OR($B4282="",$B4282="(blank)"),"",VLOOKUP($B4282,'Email Marketing Raw Data'!$C:$O,5,0)),"")</f>
        <v/>
      </c>
      <c r="I4282" s="55" t="str">
        <f>IFERROR(IF($G4282="","",VLOOKUP('Dashboard And Emails Automate'!$G4282,Database!$H:$N,3,0)),"")</f>
        <v/>
      </c>
      <c r="J4282" s="55" t="str">
        <f>IFERROR(IF($G4282="","",VLOOKUP('Dashboard And Emails Automate'!$G4282,Database!$H:$N,4,0)),"")</f>
        <v/>
      </c>
      <c r="K4282" s="55" t="str">
        <f>IFERROR(IF($G4282="","",VLOOKUP('Dashboard And Emails Automate'!$G4282,Database!$H:$N,5,0)),"")</f>
        <v/>
      </c>
      <c r="L4282" s="55" t="str">
        <f>IFERROR(IF($G4282="","",VLOOKUP('Dashboard And Emails Automate'!$G4282,Database!$H:$N,6,0)),"")</f>
        <v/>
      </c>
      <c r="M4282" s="55" t="str">
        <f>IFERROR(IF($G4282="","",VLOOKUP('Dashboard And Emails Automate'!$G4282,Database!$H:$N,7,0)),"")</f>
        <v/>
      </c>
      <c r="N4282" s="55" t="str">
        <f>IFERROR(IF(OR($B4282="",$B4282="(blank)"),"",VLOOKUP($B4282,'Email Marketing Raw Data'!$C:$O,6,0)),"")</f>
        <v/>
      </c>
      <c r="O4282" s="55" t="str">
        <f>IFERROR(IF(OR($B4282="",$B4282="(blank)"),"",VLOOKUP($B4282,'Email Marketing Raw Data'!$C:$O,7,0)),"")</f>
        <v/>
      </c>
      <c r="P4282" s="55" t="str">
        <f>IFERROR(IF(OR($B4282="",$B4282="(blank)"),"",VLOOKUP($B4282,'Email Marketing Raw Data'!$C:$O,8,0)),"")</f>
        <v/>
      </c>
      <c r="Q4282" s="62" t="str">
        <f>IFERROR(IF(OR($B4282="",$B4282="(blank)"),"",VLOOKUP($B4282,'Email Marketing Raw Data'!$C:$O,9,0)),"")</f>
        <v/>
      </c>
    </row>
    <row r="4283" spans="4:17" ht="12.75" customHeight="1" x14ac:dyDescent="0.2">
      <c r="D4283" s="58" t="str">
        <f>IFERROR(IF(F4283&lt;&gt;"pending","",IF(OR($B4283="",$B4283="(blank)"),"",VLOOKUP($B4283,'Email Marketing Raw Data'!$C:$O,10,0))),"")</f>
        <v/>
      </c>
      <c r="E4283" s="59" t="str">
        <f>IFERROR(IF(F4283&lt;&gt;"pending","",IF(OR($B4283="",$B4283="(blank)"),"",VLOOKUP($B4283,'Email Marketing Raw Data'!$C:$O,11,0))),"")</f>
        <v/>
      </c>
      <c r="F4283" s="54" t="str">
        <f>IFERROR(IF(OR($B4283="",$B4283="(blank)"),"",VLOOKUP($B4283,'Email Marketing Raw Data'!$C:$O,13,0)),"")</f>
        <v/>
      </c>
      <c r="G4283" s="55" t="str">
        <f>IFERROR(IF(OR($B4283="",$B4283="(blank)"),"",VLOOKUP($B4283,'Email Marketing Raw Data'!$C:$O,4,0)),"")</f>
        <v/>
      </c>
      <c r="H4283" s="55" t="str">
        <f>IFERROR(IF(OR($B4283="",$B4283="(blank)"),"",VLOOKUP($B4283,'Email Marketing Raw Data'!$C:$O,5,0)),"")</f>
        <v/>
      </c>
      <c r="I4283" s="55" t="str">
        <f>IFERROR(IF($G4283="","",VLOOKUP('Dashboard And Emails Automate'!$G4283,Database!$H:$N,3,0)),"")</f>
        <v/>
      </c>
      <c r="J4283" s="55" t="str">
        <f>IFERROR(IF($G4283="","",VLOOKUP('Dashboard And Emails Automate'!$G4283,Database!$H:$N,4,0)),"")</f>
        <v/>
      </c>
      <c r="K4283" s="55" t="str">
        <f>IFERROR(IF($G4283="","",VLOOKUP('Dashboard And Emails Automate'!$G4283,Database!$H:$N,5,0)),"")</f>
        <v/>
      </c>
      <c r="L4283" s="55" t="str">
        <f>IFERROR(IF($G4283="","",VLOOKUP('Dashboard And Emails Automate'!$G4283,Database!$H:$N,6,0)),"")</f>
        <v/>
      </c>
      <c r="M4283" s="55" t="str">
        <f>IFERROR(IF($G4283="","",VLOOKUP('Dashboard And Emails Automate'!$G4283,Database!$H:$N,7,0)),"")</f>
        <v/>
      </c>
      <c r="N4283" s="55" t="str">
        <f>IFERROR(IF(OR($B4283="",$B4283="(blank)"),"",VLOOKUP($B4283,'Email Marketing Raw Data'!$C:$O,6,0)),"")</f>
        <v/>
      </c>
      <c r="O4283" s="55" t="str">
        <f>IFERROR(IF(OR($B4283="",$B4283="(blank)"),"",VLOOKUP($B4283,'Email Marketing Raw Data'!$C:$O,7,0)),"")</f>
        <v/>
      </c>
      <c r="P4283" s="55" t="str">
        <f>IFERROR(IF(OR($B4283="",$B4283="(blank)"),"",VLOOKUP($B4283,'Email Marketing Raw Data'!$C:$O,8,0)),"")</f>
        <v/>
      </c>
      <c r="Q4283" s="62" t="str">
        <f>IFERROR(IF(OR($B4283="",$B4283="(blank)"),"",VLOOKUP($B4283,'Email Marketing Raw Data'!$C:$O,9,0)),"")</f>
        <v/>
      </c>
    </row>
    <row r="4284" spans="4:17" ht="12.75" customHeight="1" x14ac:dyDescent="0.2">
      <c r="D4284" s="58" t="str">
        <f>IFERROR(IF(F4284&lt;&gt;"pending","",IF(OR($B4284="",$B4284="(blank)"),"",VLOOKUP($B4284,'Email Marketing Raw Data'!$C:$O,10,0))),"")</f>
        <v/>
      </c>
      <c r="E4284" s="59" t="str">
        <f>IFERROR(IF(F4284&lt;&gt;"pending","",IF(OR($B4284="",$B4284="(blank)"),"",VLOOKUP($B4284,'Email Marketing Raw Data'!$C:$O,11,0))),"")</f>
        <v/>
      </c>
      <c r="F4284" s="54" t="str">
        <f>IFERROR(IF(OR($B4284="",$B4284="(blank)"),"",VLOOKUP($B4284,'Email Marketing Raw Data'!$C:$O,13,0)),"")</f>
        <v/>
      </c>
      <c r="G4284" s="55" t="str">
        <f>IFERROR(IF(OR($B4284="",$B4284="(blank)"),"",VLOOKUP($B4284,'Email Marketing Raw Data'!$C:$O,4,0)),"")</f>
        <v/>
      </c>
      <c r="H4284" s="55" t="str">
        <f>IFERROR(IF(OR($B4284="",$B4284="(blank)"),"",VLOOKUP($B4284,'Email Marketing Raw Data'!$C:$O,5,0)),"")</f>
        <v/>
      </c>
      <c r="I4284" s="55" t="str">
        <f>IFERROR(IF($G4284="","",VLOOKUP('Dashboard And Emails Automate'!$G4284,Database!$H:$N,3,0)),"")</f>
        <v/>
      </c>
      <c r="J4284" s="55" t="str">
        <f>IFERROR(IF($G4284="","",VLOOKUP('Dashboard And Emails Automate'!$G4284,Database!$H:$N,4,0)),"")</f>
        <v/>
      </c>
      <c r="K4284" s="55" t="str">
        <f>IFERROR(IF($G4284="","",VLOOKUP('Dashboard And Emails Automate'!$G4284,Database!$H:$N,5,0)),"")</f>
        <v/>
      </c>
      <c r="L4284" s="55" t="str">
        <f>IFERROR(IF($G4284="","",VLOOKUP('Dashboard And Emails Automate'!$G4284,Database!$H:$N,6,0)),"")</f>
        <v/>
      </c>
      <c r="M4284" s="55" t="str">
        <f>IFERROR(IF($G4284="","",VLOOKUP('Dashboard And Emails Automate'!$G4284,Database!$H:$N,7,0)),"")</f>
        <v/>
      </c>
      <c r="N4284" s="55" t="str">
        <f>IFERROR(IF(OR($B4284="",$B4284="(blank)"),"",VLOOKUP($B4284,'Email Marketing Raw Data'!$C:$O,6,0)),"")</f>
        <v/>
      </c>
      <c r="O4284" s="55" t="str">
        <f>IFERROR(IF(OR($B4284="",$B4284="(blank)"),"",VLOOKUP($B4284,'Email Marketing Raw Data'!$C:$O,7,0)),"")</f>
        <v/>
      </c>
      <c r="P4284" s="55" t="str">
        <f>IFERROR(IF(OR($B4284="",$B4284="(blank)"),"",VLOOKUP($B4284,'Email Marketing Raw Data'!$C:$O,8,0)),"")</f>
        <v/>
      </c>
      <c r="Q4284" s="62" t="str">
        <f>IFERROR(IF(OR($B4284="",$B4284="(blank)"),"",VLOOKUP($B4284,'Email Marketing Raw Data'!$C:$O,9,0)),"")</f>
        <v/>
      </c>
    </row>
    <row r="4285" spans="4:17" ht="12.75" customHeight="1" x14ac:dyDescent="0.2">
      <c r="D4285" s="58" t="str">
        <f>IFERROR(IF(F4285&lt;&gt;"pending","",IF(OR($B4285="",$B4285="(blank)"),"",VLOOKUP($B4285,'Email Marketing Raw Data'!$C:$O,10,0))),"")</f>
        <v/>
      </c>
      <c r="E4285" s="59" t="str">
        <f>IFERROR(IF(F4285&lt;&gt;"pending","",IF(OR($B4285="",$B4285="(blank)"),"",VLOOKUP($B4285,'Email Marketing Raw Data'!$C:$O,11,0))),"")</f>
        <v/>
      </c>
      <c r="F4285" s="54" t="str">
        <f>IFERROR(IF(OR($B4285="",$B4285="(blank)"),"",VLOOKUP($B4285,'Email Marketing Raw Data'!$C:$O,13,0)),"")</f>
        <v/>
      </c>
      <c r="G4285" s="55" t="str">
        <f>IFERROR(IF(OR($B4285="",$B4285="(blank)"),"",VLOOKUP($B4285,'Email Marketing Raw Data'!$C:$O,4,0)),"")</f>
        <v/>
      </c>
      <c r="H4285" s="55" t="str">
        <f>IFERROR(IF(OR($B4285="",$B4285="(blank)"),"",VLOOKUP($B4285,'Email Marketing Raw Data'!$C:$O,5,0)),"")</f>
        <v/>
      </c>
      <c r="I4285" s="55" t="str">
        <f>IFERROR(IF($G4285="","",VLOOKUP('Dashboard And Emails Automate'!$G4285,Database!$H:$N,3,0)),"")</f>
        <v/>
      </c>
      <c r="J4285" s="55" t="str">
        <f>IFERROR(IF($G4285="","",VLOOKUP('Dashboard And Emails Automate'!$G4285,Database!$H:$N,4,0)),"")</f>
        <v/>
      </c>
      <c r="K4285" s="55" t="str">
        <f>IFERROR(IF($G4285="","",VLOOKUP('Dashboard And Emails Automate'!$G4285,Database!$H:$N,5,0)),"")</f>
        <v/>
      </c>
      <c r="L4285" s="55" t="str">
        <f>IFERROR(IF($G4285="","",VLOOKUP('Dashboard And Emails Automate'!$G4285,Database!$H:$N,6,0)),"")</f>
        <v/>
      </c>
      <c r="M4285" s="55" t="str">
        <f>IFERROR(IF($G4285="","",VLOOKUP('Dashboard And Emails Automate'!$G4285,Database!$H:$N,7,0)),"")</f>
        <v/>
      </c>
      <c r="N4285" s="55" t="str">
        <f>IFERROR(IF(OR($B4285="",$B4285="(blank)"),"",VLOOKUP($B4285,'Email Marketing Raw Data'!$C:$O,6,0)),"")</f>
        <v/>
      </c>
      <c r="O4285" s="55" t="str">
        <f>IFERROR(IF(OR($B4285="",$B4285="(blank)"),"",VLOOKUP($B4285,'Email Marketing Raw Data'!$C:$O,7,0)),"")</f>
        <v/>
      </c>
      <c r="P4285" s="55" t="str">
        <f>IFERROR(IF(OR($B4285="",$B4285="(blank)"),"",VLOOKUP($B4285,'Email Marketing Raw Data'!$C:$O,8,0)),"")</f>
        <v/>
      </c>
      <c r="Q4285" s="62" t="str">
        <f>IFERROR(IF(OR($B4285="",$B4285="(blank)"),"",VLOOKUP($B4285,'Email Marketing Raw Data'!$C:$O,9,0)),"")</f>
        <v/>
      </c>
    </row>
    <row r="4286" spans="4:17" ht="12.75" customHeight="1" x14ac:dyDescent="0.2">
      <c r="D4286" s="58" t="str">
        <f>IFERROR(IF(F4286&lt;&gt;"pending","",IF(OR($B4286="",$B4286="(blank)"),"",VLOOKUP($B4286,'Email Marketing Raw Data'!$C:$O,10,0))),"")</f>
        <v/>
      </c>
      <c r="E4286" s="59" t="str">
        <f>IFERROR(IF(F4286&lt;&gt;"pending","",IF(OR($B4286="",$B4286="(blank)"),"",VLOOKUP($B4286,'Email Marketing Raw Data'!$C:$O,11,0))),"")</f>
        <v/>
      </c>
      <c r="F4286" s="54" t="str">
        <f>IFERROR(IF(OR($B4286="",$B4286="(blank)"),"",VLOOKUP($B4286,'Email Marketing Raw Data'!$C:$O,13,0)),"")</f>
        <v/>
      </c>
      <c r="G4286" s="55" t="str">
        <f>IFERROR(IF(OR($B4286="",$B4286="(blank)"),"",VLOOKUP($B4286,'Email Marketing Raw Data'!$C:$O,4,0)),"")</f>
        <v/>
      </c>
      <c r="H4286" s="55" t="str">
        <f>IFERROR(IF(OR($B4286="",$B4286="(blank)"),"",VLOOKUP($B4286,'Email Marketing Raw Data'!$C:$O,5,0)),"")</f>
        <v/>
      </c>
      <c r="I4286" s="55" t="str">
        <f>IFERROR(IF($G4286="","",VLOOKUP('Dashboard And Emails Automate'!$G4286,Database!$H:$N,3,0)),"")</f>
        <v/>
      </c>
      <c r="J4286" s="55" t="str">
        <f>IFERROR(IF($G4286="","",VLOOKUP('Dashboard And Emails Automate'!$G4286,Database!$H:$N,4,0)),"")</f>
        <v/>
      </c>
      <c r="K4286" s="55" t="str">
        <f>IFERROR(IF($G4286="","",VLOOKUP('Dashboard And Emails Automate'!$G4286,Database!$H:$N,5,0)),"")</f>
        <v/>
      </c>
      <c r="L4286" s="55" t="str">
        <f>IFERROR(IF($G4286="","",VLOOKUP('Dashboard And Emails Automate'!$G4286,Database!$H:$N,6,0)),"")</f>
        <v/>
      </c>
      <c r="M4286" s="55" t="str">
        <f>IFERROR(IF($G4286="","",VLOOKUP('Dashboard And Emails Automate'!$G4286,Database!$H:$N,7,0)),"")</f>
        <v/>
      </c>
      <c r="N4286" s="55" t="str">
        <f>IFERROR(IF(OR($B4286="",$B4286="(blank)"),"",VLOOKUP($B4286,'Email Marketing Raw Data'!$C:$O,6,0)),"")</f>
        <v/>
      </c>
      <c r="O4286" s="55" t="str">
        <f>IFERROR(IF(OR($B4286="",$B4286="(blank)"),"",VLOOKUP($B4286,'Email Marketing Raw Data'!$C:$O,7,0)),"")</f>
        <v/>
      </c>
      <c r="P4286" s="55" t="str">
        <f>IFERROR(IF(OR($B4286="",$B4286="(blank)"),"",VLOOKUP($B4286,'Email Marketing Raw Data'!$C:$O,8,0)),"")</f>
        <v/>
      </c>
      <c r="Q4286" s="62" t="str">
        <f>IFERROR(IF(OR($B4286="",$B4286="(blank)"),"",VLOOKUP($B4286,'Email Marketing Raw Data'!$C:$O,9,0)),"")</f>
        <v/>
      </c>
    </row>
    <row r="4287" spans="4:17" ht="12.75" customHeight="1" x14ac:dyDescent="0.2">
      <c r="D4287" s="58" t="str">
        <f>IFERROR(IF(F4287&lt;&gt;"pending","",IF(OR($B4287="",$B4287="(blank)"),"",VLOOKUP($B4287,'Email Marketing Raw Data'!$C:$O,10,0))),"")</f>
        <v/>
      </c>
      <c r="E4287" s="59" t="str">
        <f>IFERROR(IF(F4287&lt;&gt;"pending","",IF(OR($B4287="",$B4287="(blank)"),"",VLOOKUP($B4287,'Email Marketing Raw Data'!$C:$O,11,0))),"")</f>
        <v/>
      </c>
      <c r="F4287" s="54" t="str">
        <f>IFERROR(IF(OR($B4287="",$B4287="(blank)"),"",VLOOKUP($B4287,'Email Marketing Raw Data'!$C:$O,13,0)),"")</f>
        <v/>
      </c>
      <c r="G4287" s="55" t="str">
        <f>IFERROR(IF(OR($B4287="",$B4287="(blank)"),"",VLOOKUP($B4287,'Email Marketing Raw Data'!$C:$O,4,0)),"")</f>
        <v/>
      </c>
      <c r="H4287" s="55" t="str">
        <f>IFERROR(IF(OR($B4287="",$B4287="(blank)"),"",VLOOKUP($B4287,'Email Marketing Raw Data'!$C:$O,5,0)),"")</f>
        <v/>
      </c>
      <c r="I4287" s="55" t="str">
        <f>IFERROR(IF($G4287="","",VLOOKUP('Dashboard And Emails Automate'!$G4287,Database!$H:$N,3,0)),"")</f>
        <v/>
      </c>
      <c r="J4287" s="55" t="str">
        <f>IFERROR(IF($G4287="","",VLOOKUP('Dashboard And Emails Automate'!$G4287,Database!$H:$N,4,0)),"")</f>
        <v/>
      </c>
      <c r="K4287" s="55" t="str">
        <f>IFERROR(IF($G4287="","",VLOOKUP('Dashboard And Emails Automate'!$G4287,Database!$H:$N,5,0)),"")</f>
        <v/>
      </c>
      <c r="L4287" s="55" t="str">
        <f>IFERROR(IF($G4287="","",VLOOKUP('Dashboard And Emails Automate'!$G4287,Database!$H:$N,6,0)),"")</f>
        <v/>
      </c>
      <c r="M4287" s="55" t="str">
        <f>IFERROR(IF($G4287="","",VLOOKUP('Dashboard And Emails Automate'!$G4287,Database!$H:$N,7,0)),"")</f>
        <v/>
      </c>
      <c r="N4287" s="55" t="str">
        <f>IFERROR(IF(OR($B4287="",$B4287="(blank)"),"",VLOOKUP($B4287,'Email Marketing Raw Data'!$C:$O,6,0)),"")</f>
        <v/>
      </c>
      <c r="O4287" s="55" t="str">
        <f>IFERROR(IF(OR($B4287="",$B4287="(blank)"),"",VLOOKUP($B4287,'Email Marketing Raw Data'!$C:$O,7,0)),"")</f>
        <v/>
      </c>
      <c r="P4287" s="55" t="str">
        <f>IFERROR(IF(OR($B4287="",$B4287="(blank)"),"",VLOOKUP($B4287,'Email Marketing Raw Data'!$C:$O,8,0)),"")</f>
        <v/>
      </c>
      <c r="Q4287" s="62" t="str">
        <f>IFERROR(IF(OR($B4287="",$B4287="(blank)"),"",VLOOKUP($B4287,'Email Marketing Raw Data'!$C:$O,9,0)),"")</f>
        <v/>
      </c>
    </row>
    <row r="4288" spans="4:17" ht="12.75" customHeight="1" x14ac:dyDescent="0.2">
      <c r="D4288" s="58" t="str">
        <f>IFERROR(IF(F4288&lt;&gt;"pending","",IF(OR($B4288="",$B4288="(blank)"),"",VLOOKUP($B4288,'Email Marketing Raw Data'!$C:$O,10,0))),"")</f>
        <v/>
      </c>
      <c r="E4288" s="59" t="str">
        <f>IFERROR(IF(F4288&lt;&gt;"pending","",IF(OR($B4288="",$B4288="(blank)"),"",VLOOKUP($B4288,'Email Marketing Raw Data'!$C:$O,11,0))),"")</f>
        <v/>
      </c>
      <c r="F4288" s="54" t="str">
        <f>IFERROR(IF(OR($B4288="",$B4288="(blank)"),"",VLOOKUP($B4288,'Email Marketing Raw Data'!$C:$O,13,0)),"")</f>
        <v/>
      </c>
      <c r="G4288" s="55" t="str">
        <f>IFERROR(IF(OR($B4288="",$B4288="(blank)"),"",VLOOKUP($B4288,'Email Marketing Raw Data'!$C:$O,4,0)),"")</f>
        <v/>
      </c>
      <c r="H4288" s="55" t="str">
        <f>IFERROR(IF(OR($B4288="",$B4288="(blank)"),"",VLOOKUP($B4288,'Email Marketing Raw Data'!$C:$O,5,0)),"")</f>
        <v/>
      </c>
      <c r="I4288" s="55" t="str">
        <f>IFERROR(IF($G4288="","",VLOOKUP('Dashboard And Emails Automate'!$G4288,Database!$H:$N,3,0)),"")</f>
        <v/>
      </c>
      <c r="J4288" s="55" t="str">
        <f>IFERROR(IF($G4288="","",VLOOKUP('Dashboard And Emails Automate'!$G4288,Database!$H:$N,4,0)),"")</f>
        <v/>
      </c>
      <c r="K4288" s="55" t="str">
        <f>IFERROR(IF($G4288="","",VLOOKUP('Dashboard And Emails Automate'!$G4288,Database!$H:$N,5,0)),"")</f>
        <v/>
      </c>
      <c r="L4288" s="55" t="str">
        <f>IFERROR(IF($G4288="","",VLOOKUP('Dashboard And Emails Automate'!$G4288,Database!$H:$N,6,0)),"")</f>
        <v/>
      </c>
      <c r="M4288" s="55" t="str">
        <f>IFERROR(IF($G4288="","",VLOOKUP('Dashboard And Emails Automate'!$G4288,Database!$H:$N,7,0)),"")</f>
        <v/>
      </c>
      <c r="N4288" s="55" t="str">
        <f>IFERROR(IF(OR($B4288="",$B4288="(blank)"),"",VLOOKUP($B4288,'Email Marketing Raw Data'!$C:$O,6,0)),"")</f>
        <v/>
      </c>
      <c r="O4288" s="55" t="str">
        <f>IFERROR(IF(OR($B4288="",$B4288="(blank)"),"",VLOOKUP($B4288,'Email Marketing Raw Data'!$C:$O,7,0)),"")</f>
        <v/>
      </c>
      <c r="P4288" s="55" t="str">
        <f>IFERROR(IF(OR($B4288="",$B4288="(blank)"),"",VLOOKUP($B4288,'Email Marketing Raw Data'!$C:$O,8,0)),"")</f>
        <v/>
      </c>
      <c r="Q4288" s="62" t="str">
        <f>IFERROR(IF(OR($B4288="",$B4288="(blank)"),"",VLOOKUP($B4288,'Email Marketing Raw Data'!$C:$O,9,0)),"")</f>
        <v/>
      </c>
    </row>
    <row r="4289" spans="4:17" ht="12.75" customHeight="1" x14ac:dyDescent="0.2">
      <c r="D4289" s="58" t="str">
        <f>IFERROR(IF(F4289&lt;&gt;"pending","",IF(OR($B4289="",$B4289="(blank)"),"",VLOOKUP($B4289,'Email Marketing Raw Data'!$C:$O,10,0))),"")</f>
        <v/>
      </c>
      <c r="E4289" s="59" t="str">
        <f>IFERROR(IF(F4289&lt;&gt;"pending","",IF(OR($B4289="",$B4289="(blank)"),"",VLOOKUP($B4289,'Email Marketing Raw Data'!$C:$O,11,0))),"")</f>
        <v/>
      </c>
      <c r="F4289" s="54" t="str">
        <f>IFERROR(IF(OR($B4289="",$B4289="(blank)"),"",VLOOKUP($B4289,'Email Marketing Raw Data'!$C:$O,13,0)),"")</f>
        <v/>
      </c>
      <c r="G4289" s="55" t="str">
        <f>IFERROR(IF(OR($B4289="",$B4289="(blank)"),"",VLOOKUP($B4289,'Email Marketing Raw Data'!$C:$O,4,0)),"")</f>
        <v/>
      </c>
      <c r="H4289" s="55" t="str">
        <f>IFERROR(IF(OR($B4289="",$B4289="(blank)"),"",VLOOKUP($B4289,'Email Marketing Raw Data'!$C:$O,5,0)),"")</f>
        <v/>
      </c>
      <c r="I4289" s="55" t="str">
        <f>IFERROR(IF($G4289="","",VLOOKUP('Dashboard And Emails Automate'!$G4289,Database!$H:$N,3,0)),"")</f>
        <v/>
      </c>
      <c r="J4289" s="55" t="str">
        <f>IFERROR(IF($G4289="","",VLOOKUP('Dashboard And Emails Automate'!$G4289,Database!$H:$N,4,0)),"")</f>
        <v/>
      </c>
      <c r="K4289" s="55" t="str">
        <f>IFERROR(IF($G4289="","",VLOOKUP('Dashboard And Emails Automate'!$G4289,Database!$H:$N,5,0)),"")</f>
        <v/>
      </c>
      <c r="L4289" s="55" t="str">
        <f>IFERROR(IF($G4289="","",VLOOKUP('Dashboard And Emails Automate'!$G4289,Database!$H:$N,6,0)),"")</f>
        <v/>
      </c>
      <c r="M4289" s="55" t="str">
        <f>IFERROR(IF($G4289="","",VLOOKUP('Dashboard And Emails Automate'!$G4289,Database!$H:$N,7,0)),"")</f>
        <v/>
      </c>
      <c r="N4289" s="55" t="str">
        <f>IFERROR(IF(OR($B4289="",$B4289="(blank)"),"",VLOOKUP($B4289,'Email Marketing Raw Data'!$C:$O,6,0)),"")</f>
        <v/>
      </c>
      <c r="O4289" s="55" t="str">
        <f>IFERROR(IF(OR($B4289="",$B4289="(blank)"),"",VLOOKUP($B4289,'Email Marketing Raw Data'!$C:$O,7,0)),"")</f>
        <v/>
      </c>
      <c r="P4289" s="55" t="str">
        <f>IFERROR(IF(OR($B4289="",$B4289="(blank)"),"",VLOOKUP($B4289,'Email Marketing Raw Data'!$C:$O,8,0)),"")</f>
        <v/>
      </c>
      <c r="Q4289" s="62" t="str">
        <f>IFERROR(IF(OR($B4289="",$B4289="(blank)"),"",VLOOKUP($B4289,'Email Marketing Raw Data'!$C:$O,9,0)),"")</f>
        <v/>
      </c>
    </row>
    <row r="4290" spans="4:17" ht="12.75" customHeight="1" x14ac:dyDescent="0.2">
      <c r="D4290" s="58" t="str">
        <f>IFERROR(IF(F4290&lt;&gt;"pending","",IF(OR($B4290="",$B4290="(blank)"),"",VLOOKUP($B4290,'Email Marketing Raw Data'!$C:$O,10,0))),"")</f>
        <v/>
      </c>
      <c r="E4290" s="59" t="str">
        <f>IFERROR(IF(F4290&lt;&gt;"pending","",IF(OR($B4290="",$B4290="(blank)"),"",VLOOKUP($B4290,'Email Marketing Raw Data'!$C:$O,11,0))),"")</f>
        <v/>
      </c>
      <c r="F4290" s="54" t="str">
        <f>IFERROR(IF(OR($B4290="",$B4290="(blank)"),"",VLOOKUP($B4290,'Email Marketing Raw Data'!$C:$O,13,0)),"")</f>
        <v/>
      </c>
      <c r="G4290" s="55" t="str">
        <f>IFERROR(IF(OR($B4290="",$B4290="(blank)"),"",VLOOKUP($B4290,'Email Marketing Raw Data'!$C:$O,4,0)),"")</f>
        <v/>
      </c>
      <c r="H4290" s="55" t="str">
        <f>IFERROR(IF(OR($B4290="",$B4290="(blank)"),"",VLOOKUP($B4290,'Email Marketing Raw Data'!$C:$O,5,0)),"")</f>
        <v/>
      </c>
      <c r="I4290" s="55" t="str">
        <f>IFERROR(IF($G4290="","",VLOOKUP('Dashboard And Emails Automate'!$G4290,Database!$H:$N,3,0)),"")</f>
        <v/>
      </c>
      <c r="J4290" s="55" t="str">
        <f>IFERROR(IF($G4290="","",VLOOKUP('Dashboard And Emails Automate'!$G4290,Database!$H:$N,4,0)),"")</f>
        <v/>
      </c>
      <c r="K4290" s="55" t="str">
        <f>IFERROR(IF($G4290="","",VLOOKUP('Dashboard And Emails Automate'!$G4290,Database!$H:$N,5,0)),"")</f>
        <v/>
      </c>
      <c r="L4290" s="55" t="str">
        <f>IFERROR(IF($G4290="","",VLOOKUP('Dashboard And Emails Automate'!$G4290,Database!$H:$N,6,0)),"")</f>
        <v/>
      </c>
      <c r="M4290" s="55" t="str">
        <f>IFERROR(IF($G4290="","",VLOOKUP('Dashboard And Emails Automate'!$G4290,Database!$H:$N,7,0)),"")</f>
        <v/>
      </c>
      <c r="N4290" s="55" t="str">
        <f>IFERROR(IF(OR($B4290="",$B4290="(blank)"),"",VLOOKUP($B4290,'Email Marketing Raw Data'!$C:$O,6,0)),"")</f>
        <v/>
      </c>
      <c r="O4290" s="55" t="str">
        <f>IFERROR(IF(OR($B4290="",$B4290="(blank)"),"",VLOOKUP($B4290,'Email Marketing Raw Data'!$C:$O,7,0)),"")</f>
        <v/>
      </c>
      <c r="P4290" s="55" t="str">
        <f>IFERROR(IF(OR($B4290="",$B4290="(blank)"),"",VLOOKUP($B4290,'Email Marketing Raw Data'!$C:$O,8,0)),"")</f>
        <v/>
      </c>
      <c r="Q4290" s="62" t="str">
        <f>IFERROR(IF(OR($B4290="",$B4290="(blank)"),"",VLOOKUP($B4290,'Email Marketing Raw Data'!$C:$O,9,0)),"")</f>
        <v/>
      </c>
    </row>
    <row r="4291" spans="4:17" ht="12.75" customHeight="1" x14ac:dyDescent="0.2">
      <c r="D4291" s="58" t="str">
        <f>IFERROR(IF(F4291&lt;&gt;"pending","",IF(OR($B4291="",$B4291="(blank)"),"",VLOOKUP($B4291,'Email Marketing Raw Data'!$C:$O,10,0))),"")</f>
        <v/>
      </c>
      <c r="E4291" s="59" t="str">
        <f>IFERROR(IF(F4291&lt;&gt;"pending","",IF(OR($B4291="",$B4291="(blank)"),"",VLOOKUP($B4291,'Email Marketing Raw Data'!$C:$O,11,0))),"")</f>
        <v/>
      </c>
      <c r="F4291" s="54" t="str">
        <f>IFERROR(IF(OR($B4291="",$B4291="(blank)"),"",VLOOKUP($B4291,'Email Marketing Raw Data'!$C:$O,13,0)),"")</f>
        <v/>
      </c>
      <c r="G4291" s="55" t="str">
        <f>IFERROR(IF(OR($B4291="",$B4291="(blank)"),"",VLOOKUP($B4291,'Email Marketing Raw Data'!$C:$O,4,0)),"")</f>
        <v/>
      </c>
      <c r="H4291" s="55" t="str">
        <f>IFERROR(IF(OR($B4291="",$B4291="(blank)"),"",VLOOKUP($B4291,'Email Marketing Raw Data'!$C:$O,5,0)),"")</f>
        <v/>
      </c>
      <c r="I4291" s="55" t="str">
        <f>IFERROR(IF($G4291="","",VLOOKUP('Dashboard And Emails Automate'!$G4291,Database!$H:$N,3,0)),"")</f>
        <v/>
      </c>
      <c r="J4291" s="55" t="str">
        <f>IFERROR(IF($G4291="","",VLOOKUP('Dashboard And Emails Automate'!$G4291,Database!$H:$N,4,0)),"")</f>
        <v/>
      </c>
      <c r="K4291" s="55" t="str">
        <f>IFERROR(IF($G4291="","",VLOOKUP('Dashboard And Emails Automate'!$G4291,Database!$H:$N,5,0)),"")</f>
        <v/>
      </c>
      <c r="L4291" s="55" t="str">
        <f>IFERROR(IF($G4291="","",VLOOKUP('Dashboard And Emails Automate'!$G4291,Database!$H:$N,6,0)),"")</f>
        <v/>
      </c>
      <c r="M4291" s="55" t="str">
        <f>IFERROR(IF($G4291="","",VLOOKUP('Dashboard And Emails Automate'!$G4291,Database!$H:$N,7,0)),"")</f>
        <v/>
      </c>
      <c r="N4291" s="55" t="str">
        <f>IFERROR(IF(OR($B4291="",$B4291="(blank)"),"",VLOOKUP($B4291,'Email Marketing Raw Data'!$C:$O,6,0)),"")</f>
        <v/>
      </c>
      <c r="O4291" s="55" t="str">
        <f>IFERROR(IF(OR($B4291="",$B4291="(blank)"),"",VLOOKUP($B4291,'Email Marketing Raw Data'!$C:$O,7,0)),"")</f>
        <v/>
      </c>
      <c r="P4291" s="55" t="str">
        <f>IFERROR(IF(OR($B4291="",$B4291="(blank)"),"",VLOOKUP($B4291,'Email Marketing Raw Data'!$C:$O,8,0)),"")</f>
        <v/>
      </c>
      <c r="Q4291" s="62" t="str">
        <f>IFERROR(IF(OR($B4291="",$B4291="(blank)"),"",VLOOKUP($B4291,'Email Marketing Raw Data'!$C:$O,9,0)),"")</f>
        <v/>
      </c>
    </row>
    <row r="4292" spans="4:17" ht="12.75" customHeight="1" x14ac:dyDescent="0.2">
      <c r="D4292" s="58" t="str">
        <f>IFERROR(IF(F4292&lt;&gt;"pending","",IF(OR($B4292="",$B4292="(blank)"),"",VLOOKUP($B4292,'Email Marketing Raw Data'!$C:$O,10,0))),"")</f>
        <v/>
      </c>
      <c r="E4292" s="59" t="str">
        <f>IFERROR(IF(F4292&lt;&gt;"pending","",IF(OR($B4292="",$B4292="(blank)"),"",VLOOKUP($B4292,'Email Marketing Raw Data'!$C:$O,11,0))),"")</f>
        <v/>
      </c>
      <c r="F4292" s="54" t="str">
        <f>IFERROR(IF(OR($B4292="",$B4292="(blank)"),"",VLOOKUP($B4292,'Email Marketing Raw Data'!$C:$O,13,0)),"")</f>
        <v/>
      </c>
      <c r="G4292" s="55" t="str">
        <f>IFERROR(IF(OR($B4292="",$B4292="(blank)"),"",VLOOKUP($B4292,'Email Marketing Raw Data'!$C:$O,4,0)),"")</f>
        <v/>
      </c>
      <c r="H4292" s="55" t="str">
        <f>IFERROR(IF(OR($B4292="",$B4292="(blank)"),"",VLOOKUP($B4292,'Email Marketing Raw Data'!$C:$O,5,0)),"")</f>
        <v/>
      </c>
      <c r="I4292" s="55" t="str">
        <f>IFERROR(IF($G4292="","",VLOOKUP('Dashboard And Emails Automate'!$G4292,Database!$H:$N,3,0)),"")</f>
        <v/>
      </c>
      <c r="J4292" s="55" t="str">
        <f>IFERROR(IF($G4292="","",VLOOKUP('Dashboard And Emails Automate'!$G4292,Database!$H:$N,4,0)),"")</f>
        <v/>
      </c>
      <c r="K4292" s="55" t="str">
        <f>IFERROR(IF($G4292="","",VLOOKUP('Dashboard And Emails Automate'!$G4292,Database!$H:$N,5,0)),"")</f>
        <v/>
      </c>
      <c r="L4292" s="55" t="str">
        <f>IFERROR(IF($G4292="","",VLOOKUP('Dashboard And Emails Automate'!$G4292,Database!$H:$N,6,0)),"")</f>
        <v/>
      </c>
      <c r="M4292" s="55" t="str">
        <f>IFERROR(IF($G4292="","",VLOOKUP('Dashboard And Emails Automate'!$G4292,Database!$H:$N,7,0)),"")</f>
        <v/>
      </c>
      <c r="N4292" s="55" t="str">
        <f>IFERROR(IF(OR($B4292="",$B4292="(blank)"),"",VLOOKUP($B4292,'Email Marketing Raw Data'!$C:$O,6,0)),"")</f>
        <v/>
      </c>
      <c r="O4292" s="55" t="str">
        <f>IFERROR(IF(OR($B4292="",$B4292="(blank)"),"",VLOOKUP($B4292,'Email Marketing Raw Data'!$C:$O,7,0)),"")</f>
        <v/>
      </c>
      <c r="P4292" s="55" t="str">
        <f>IFERROR(IF(OR($B4292="",$B4292="(blank)"),"",VLOOKUP($B4292,'Email Marketing Raw Data'!$C:$O,8,0)),"")</f>
        <v/>
      </c>
      <c r="Q4292" s="62" t="str">
        <f>IFERROR(IF(OR($B4292="",$B4292="(blank)"),"",VLOOKUP($B4292,'Email Marketing Raw Data'!$C:$O,9,0)),"")</f>
        <v/>
      </c>
    </row>
    <row r="4293" spans="4:17" ht="12.75" customHeight="1" x14ac:dyDescent="0.2">
      <c r="D4293" s="58" t="str">
        <f>IFERROR(IF(F4293&lt;&gt;"pending","",IF(OR($B4293="",$B4293="(blank)"),"",VLOOKUP($B4293,'Email Marketing Raw Data'!$C:$O,10,0))),"")</f>
        <v/>
      </c>
      <c r="E4293" s="59" t="str">
        <f>IFERROR(IF(F4293&lt;&gt;"pending","",IF(OR($B4293="",$B4293="(blank)"),"",VLOOKUP($B4293,'Email Marketing Raw Data'!$C:$O,11,0))),"")</f>
        <v/>
      </c>
      <c r="F4293" s="54" t="str">
        <f>IFERROR(IF(OR($B4293="",$B4293="(blank)"),"",VLOOKUP($B4293,'Email Marketing Raw Data'!$C:$O,13,0)),"")</f>
        <v/>
      </c>
      <c r="G4293" s="55" t="str">
        <f>IFERROR(IF(OR($B4293="",$B4293="(blank)"),"",VLOOKUP($B4293,'Email Marketing Raw Data'!$C:$O,4,0)),"")</f>
        <v/>
      </c>
      <c r="H4293" s="55" t="str">
        <f>IFERROR(IF(OR($B4293="",$B4293="(blank)"),"",VLOOKUP($B4293,'Email Marketing Raw Data'!$C:$O,5,0)),"")</f>
        <v/>
      </c>
      <c r="I4293" s="55" t="str">
        <f>IFERROR(IF($G4293="","",VLOOKUP('Dashboard And Emails Automate'!$G4293,Database!$H:$N,3,0)),"")</f>
        <v/>
      </c>
      <c r="J4293" s="55" t="str">
        <f>IFERROR(IF($G4293="","",VLOOKUP('Dashboard And Emails Automate'!$G4293,Database!$H:$N,4,0)),"")</f>
        <v/>
      </c>
      <c r="K4293" s="55" t="str">
        <f>IFERROR(IF($G4293="","",VLOOKUP('Dashboard And Emails Automate'!$G4293,Database!$H:$N,5,0)),"")</f>
        <v/>
      </c>
      <c r="L4293" s="55" t="str">
        <f>IFERROR(IF($G4293="","",VLOOKUP('Dashboard And Emails Automate'!$G4293,Database!$H:$N,6,0)),"")</f>
        <v/>
      </c>
      <c r="M4293" s="55" t="str">
        <f>IFERROR(IF($G4293="","",VLOOKUP('Dashboard And Emails Automate'!$G4293,Database!$H:$N,7,0)),"")</f>
        <v/>
      </c>
      <c r="N4293" s="55" t="str">
        <f>IFERROR(IF(OR($B4293="",$B4293="(blank)"),"",VLOOKUP($B4293,'Email Marketing Raw Data'!$C:$O,6,0)),"")</f>
        <v/>
      </c>
      <c r="O4293" s="55" t="str">
        <f>IFERROR(IF(OR($B4293="",$B4293="(blank)"),"",VLOOKUP($B4293,'Email Marketing Raw Data'!$C:$O,7,0)),"")</f>
        <v/>
      </c>
      <c r="P4293" s="55" t="str">
        <f>IFERROR(IF(OR($B4293="",$B4293="(blank)"),"",VLOOKUP($B4293,'Email Marketing Raw Data'!$C:$O,8,0)),"")</f>
        <v/>
      </c>
      <c r="Q4293" s="62" t="str">
        <f>IFERROR(IF(OR($B4293="",$B4293="(blank)"),"",VLOOKUP($B4293,'Email Marketing Raw Data'!$C:$O,9,0)),"")</f>
        <v/>
      </c>
    </row>
    <row r="4294" spans="4:17" ht="12.75" customHeight="1" x14ac:dyDescent="0.2">
      <c r="D4294" s="58" t="str">
        <f>IFERROR(IF(F4294&lt;&gt;"pending","",IF(OR($B4294="",$B4294="(blank)"),"",VLOOKUP($B4294,'Email Marketing Raw Data'!$C:$O,10,0))),"")</f>
        <v/>
      </c>
      <c r="E4294" s="59" t="str">
        <f>IFERROR(IF(F4294&lt;&gt;"pending","",IF(OR($B4294="",$B4294="(blank)"),"",VLOOKUP($B4294,'Email Marketing Raw Data'!$C:$O,11,0))),"")</f>
        <v/>
      </c>
      <c r="F4294" s="54" t="str">
        <f>IFERROR(IF(OR($B4294="",$B4294="(blank)"),"",VLOOKUP($B4294,'Email Marketing Raw Data'!$C:$O,13,0)),"")</f>
        <v/>
      </c>
      <c r="G4294" s="55" t="str">
        <f>IFERROR(IF(OR($B4294="",$B4294="(blank)"),"",VLOOKUP($B4294,'Email Marketing Raw Data'!$C:$O,4,0)),"")</f>
        <v/>
      </c>
      <c r="H4294" s="55" t="str">
        <f>IFERROR(IF(OR($B4294="",$B4294="(blank)"),"",VLOOKUP($B4294,'Email Marketing Raw Data'!$C:$O,5,0)),"")</f>
        <v/>
      </c>
      <c r="I4294" s="55" t="str">
        <f>IFERROR(IF($G4294="","",VLOOKUP('Dashboard And Emails Automate'!$G4294,Database!$H:$N,3,0)),"")</f>
        <v/>
      </c>
      <c r="J4294" s="55" t="str">
        <f>IFERROR(IF($G4294="","",VLOOKUP('Dashboard And Emails Automate'!$G4294,Database!$H:$N,4,0)),"")</f>
        <v/>
      </c>
      <c r="K4294" s="55" t="str">
        <f>IFERROR(IF($G4294="","",VLOOKUP('Dashboard And Emails Automate'!$G4294,Database!$H:$N,5,0)),"")</f>
        <v/>
      </c>
      <c r="L4294" s="55" t="str">
        <f>IFERROR(IF($G4294="","",VLOOKUP('Dashboard And Emails Automate'!$G4294,Database!$H:$N,6,0)),"")</f>
        <v/>
      </c>
      <c r="M4294" s="55" t="str">
        <f>IFERROR(IF($G4294="","",VLOOKUP('Dashboard And Emails Automate'!$G4294,Database!$H:$N,7,0)),"")</f>
        <v/>
      </c>
      <c r="N4294" s="55" t="str">
        <f>IFERROR(IF(OR($B4294="",$B4294="(blank)"),"",VLOOKUP($B4294,'Email Marketing Raw Data'!$C:$O,6,0)),"")</f>
        <v/>
      </c>
      <c r="O4294" s="55" t="str">
        <f>IFERROR(IF(OR($B4294="",$B4294="(blank)"),"",VLOOKUP($B4294,'Email Marketing Raw Data'!$C:$O,7,0)),"")</f>
        <v/>
      </c>
      <c r="P4294" s="55" t="str">
        <f>IFERROR(IF(OR($B4294="",$B4294="(blank)"),"",VLOOKUP($B4294,'Email Marketing Raw Data'!$C:$O,8,0)),"")</f>
        <v/>
      </c>
      <c r="Q4294" s="62" t="str">
        <f>IFERROR(IF(OR($B4294="",$B4294="(blank)"),"",VLOOKUP($B4294,'Email Marketing Raw Data'!$C:$O,9,0)),"")</f>
        <v/>
      </c>
    </row>
    <row r="4295" spans="4:17" ht="12.75" customHeight="1" x14ac:dyDescent="0.2">
      <c r="D4295" s="58" t="str">
        <f>IFERROR(IF(F4295&lt;&gt;"pending","",IF(OR($B4295="",$B4295="(blank)"),"",VLOOKUP($B4295,'Email Marketing Raw Data'!$C:$O,10,0))),"")</f>
        <v/>
      </c>
      <c r="E4295" s="59" t="str">
        <f>IFERROR(IF(F4295&lt;&gt;"pending","",IF(OR($B4295="",$B4295="(blank)"),"",VLOOKUP($B4295,'Email Marketing Raw Data'!$C:$O,11,0))),"")</f>
        <v/>
      </c>
      <c r="F4295" s="54" t="str">
        <f>IFERROR(IF(OR($B4295="",$B4295="(blank)"),"",VLOOKUP($B4295,'Email Marketing Raw Data'!$C:$O,13,0)),"")</f>
        <v/>
      </c>
      <c r="G4295" s="55" t="str">
        <f>IFERROR(IF(OR($B4295="",$B4295="(blank)"),"",VLOOKUP($B4295,'Email Marketing Raw Data'!$C:$O,4,0)),"")</f>
        <v/>
      </c>
      <c r="H4295" s="55" t="str">
        <f>IFERROR(IF(OR($B4295="",$B4295="(blank)"),"",VLOOKUP($B4295,'Email Marketing Raw Data'!$C:$O,5,0)),"")</f>
        <v/>
      </c>
      <c r="I4295" s="55" t="str">
        <f>IFERROR(IF($G4295="","",VLOOKUP('Dashboard And Emails Automate'!$G4295,Database!$H:$N,3,0)),"")</f>
        <v/>
      </c>
      <c r="J4295" s="55" t="str">
        <f>IFERROR(IF($G4295="","",VLOOKUP('Dashboard And Emails Automate'!$G4295,Database!$H:$N,4,0)),"")</f>
        <v/>
      </c>
      <c r="K4295" s="55" t="str">
        <f>IFERROR(IF($G4295="","",VLOOKUP('Dashboard And Emails Automate'!$G4295,Database!$H:$N,5,0)),"")</f>
        <v/>
      </c>
      <c r="L4295" s="55" t="str">
        <f>IFERROR(IF($G4295="","",VLOOKUP('Dashboard And Emails Automate'!$G4295,Database!$H:$N,6,0)),"")</f>
        <v/>
      </c>
      <c r="M4295" s="55" t="str">
        <f>IFERROR(IF($G4295="","",VLOOKUP('Dashboard And Emails Automate'!$G4295,Database!$H:$N,7,0)),"")</f>
        <v/>
      </c>
      <c r="N4295" s="55" t="str">
        <f>IFERROR(IF(OR($B4295="",$B4295="(blank)"),"",VLOOKUP($B4295,'Email Marketing Raw Data'!$C:$O,6,0)),"")</f>
        <v/>
      </c>
      <c r="O4295" s="55" t="str">
        <f>IFERROR(IF(OR($B4295="",$B4295="(blank)"),"",VLOOKUP($B4295,'Email Marketing Raw Data'!$C:$O,7,0)),"")</f>
        <v/>
      </c>
      <c r="P4295" s="55" t="str">
        <f>IFERROR(IF(OR($B4295="",$B4295="(blank)"),"",VLOOKUP($B4295,'Email Marketing Raw Data'!$C:$O,8,0)),"")</f>
        <v/>
      </c>
      <c r="Q4295" s="62" t="str">
        <f>IFERROR(IF(OR($B4295="",$B4295="(blank)"),"",VLOOKUP($B4295,'Email Marketing Raw Data'!$C:$O,9,0)),"")</f>
        <v/>
      </c>
    </row>
    <row r="4296" spans="4:17" ht="12.75" customHeight="1" x14ac:dyDescent="0.2">
      <c r="D4296" s="58" t="str">
        <f>IFERROR(IF(F4296&lt;&gt;"pending","",IF(OR($B4296="",$B4296="(blank)"),"",VLOOKUP($B4296,'Email Marketing Raw Data'!$C:$O,10,0))),"")</f>
        <v/>
      </c>
      <c r="E4296" s="59" t="str">
        <f>IFERROR(IF(F4296&lt;&gt;"pending","",IF(OR($B4296="",$B4296="(blank)"),"",VLOOKUP($B4296,'Email Marketing Raw Data'!$C:$O,11,0))),"")</f>
        <v/>
      </c>
      <c r="F4296" s="54" t="str">
        <f>IFERROR(IF(OR($B4296="",$B4296="(blank)"),"",VLOOKUP($B4296,'Email Marketing Raw Data'!$C:$O,13,0)),"")</f>
        <v/>
      </c>
      <c r="G4296" s="55" t="str">
        <f>IFERROR(IF(OR($B4296="",$B4296="(blank)"),"",VLOOKUP($B4296,'Email Marketing Raw Data'!$C:$O,4,0)),"")</f>
        <v/>
      </c>
      <c r="H4296" s="55" t="str">
        <f>IFERROR(IF(OR($B4296="",$B4296="(blank)"),"",VLOOKUP($B4296,'Email Marketing Raw Data'!$C:$O,5,0)),"")</f>
        <v/>
      </c>
      <c r="I4296" s="55" t="str">
        <f>IFERROR(IF($G4296="","",VLOOKUP('Dashboard And Emails Automate'!$G4296,Database!$H:$N,3,0)),"")</f>
        <v/>
      </c>
      <c r="J4296" s="55" t="str">
        <f>IFERROR(IF($G4296="","",VLOOKUP('Dashboard And Emails Automate'!$G4296,Database!$H:$N,4,0)),"")</f>
        <v/>
      </c>
      <c r="K4296" s="55" t="str">
        <f>IFERROR(IF($G4296="","",VLOOKUP('Dashboard And Emails Automate'!$G4296,Database!$H:$N,5,0)),"")</f>
        <v/>
      </c>
      <c r="L4296" s="55" t="str">
        <f>IFERROR(IF($G4296="","",VLOOKUP('Dashboard And Emails Automate'!$G4296,Database!$H:$N,6,0)),"")</f>
        <v/>
      </c>
      <c r="M4296" s="55" t="str">
        <f>IFERROR(IF($G4296="","",VLOOKUP('Dashboard And Emails Automate'!$G4296,Database!$H:$N,7,0)),"")</f>
        <v/>
      </c>
      <c r="N4296" s="55" t="str">
        <f>IFERROR(IF(OR($B4296="",$B4296="(blank)"),"",VLOOKUP($B4296,'Email Marketing Raw Data'!$C:$O,6,0)),"")</f>
        <v/>
      </c>
      <c r="O4296" s="55" t="str">
        <f>IFERROR(IF(OR($B4296="",$B4296="(blank)"),"",VLOOKUP($B4296,'Email Marketing Raw Data'!$C:$O,7,0)),"")</f>
        <v/>
      </c>
      <c r="P4296" s="55" t="str">
        <f>IFERROR(IF(OR($B4296="",$B4296="(blank)"),"",VLOOKUP($B4296,'Email Marketing Raw Data'!$C:$O,8,0)),"")</f>
        <v/>
      </c>
      <c r="Q4296" s="62" t="str">
        <f>IFERROR(IF(OR($B4296="",$B4296="(blank)"),"",VLOOKUP($B4296,'Email Marketing Raw Data'!$C:$O,9,0)),"")</f>
        <v/>
      </c>
    </row>
    <row r="4297" spans="4:17" ht="12.75" customHeight="1" x14ac:dyDescent="0.2">
      <c r="D4297" s="58" t="str">
        <f>IFERROR(IF(F4297&lt;&gt;"pending","",IF(OR($B4297="",$B4297="(blank)"),"",VLOOKUP($B4297,'Email Marketing Raw Data'!$C:$O,10,0))),"")</f>
        <v/>
      </c>
      <c r="E4297" s="59" t="str">
        <f>IFERROR(IF(F4297&lt;&gt;"pending","",IF(OR($B4297="",$B4297="(blank)"),"",VLOOKUP($B4297,'Email Marketing Raw Data'!$C:$O,11,0))),"")</f>
        <v/>
      </c>
      <c r="F4297" s="54" t="str">
        <f>IFERROR(IF(OR($B4297="",$B4297="(blank)"),"",VLOOKUP($B4297,'Email Marketing Raw Data'!$C:$O,13,0)),"")</f>
        <v/>
      </c>
      <c r="G4297" s="55" t="str">
        <f>IFERROR(IF(OR($B4297="",$B4297="(blank)"),"",VLOOKUP($B4297,'Email Marketing Raw Data'!$C:$O,4,0)),"")</f>
        <v/>
      </c>
      <c r="H4297" s="55" t="str">
        <f>IFERROR(IF(OR($B4297="",$B4297="(blank)"),"",VLOOKUP($B4297,'Email Marketing Raw Data'!$C:$O,5,0)),"")</f>
        <v/>
      </c>
      <c r="I4297" s="55" t="str">
        <f>IFERROR(IF($G4297="","",VLOOKUP('Dashboard And Emails Automate'!$G4297,Database!$H:$N,3,0)),"")</f>
        <v/>
      </c>
      <c r="J4297" s="55" t="str">
        <f>IFERROR(IF($G4297="","",VLOOKUP('Dashboard And Emails Automate'!$G4297,Database!$H:$N,4,0)),"")</f>
        <v/>
      </c>
      <c r="K4297" s="55" t="str">
        <f>IFERROR(IF($G4297="","",VLOOKUP('Dashboard And Emails Automate'!$G4297,Database!$H:$N,5,0)),"")</f>
        <v/>
      </c>
      <c r="L4297" s="55" t="str">
        <f>IFERROR(IF($G4297="","",VLOOKUP('Dashboard And Emails Automate'!$G4297,Database!$H:$N,6,0)),"")</f>
        <v/>
      </c>
      <c r="M4297" s="55" t="str">
        <f>IFERROR(IF($G4297="","",VLOOKUP('Dashboard And Emails Automate'!$G4297,Database!$H:$N,7,0)),"")</f>
        <v/>
      </c>
      <c r="N4297" s="55" t="str">
        <f>IFERROR(IF(OR($B4297="",$B4297="(blank)"),"",VLOOKUP($B4297,'Email Marketing Raw Data'!$C:$O,6,0)),"")</f>
        <v/>
      </c>
      <c r="O4297" s="55" t="str">
        <f>IFERROR(IF(OR($B4297="",$B4297="(blank)"),"",VLOOKUP($B4297,'Email Marketing Raw Data'!$C:$O,7,0)),"")</f>
        <v/>
      </c>
      <c r="P4297" s="55" t="str">
        <f>IFERROR(IF(OR($B4297="",$B4297="(blank)"),"",VLOOKUP($B4297,'Email Marketing Raw Data'!$C:$O,8,0)),"")</f>
        <v/>
      </c>
      <c r="Q4297" s="62" t="str">
        <f>IFERROR(IF(OR($B4297="",$B4297="(blank)"),"",VLOOKUP($B4297,'Email Marketing Raw Data'!$C:$O,9,0)),"")</f>
        <v/>
      </c>
    </row>
    <row r="4298" spans="4:17" ht="12.75" customHeight="1" x14ac:dyDescent="0.2">
      <c r="D4298" s="58" t="str">
        <f>IFERROR(IF(F4298&lt;&gt;"pending","",IF(OR($B4298="",$B4298="(blank)"),"",VLOOKUP($B4298,'Email Marketing Raw Data'!$C:$O,10,0))),"")</f>
        <v/>
      </c>
      <c r="E4298" s="59" t="str">
        <f>IFERROR(IF(F4298&lt;&gt;"pending","",IF(OR($B4298="",$B4298="(blank)"),"",VLOOKUP($B4298,'Email Marketing Raw Data'!$C:$O,11,0))),"")</f>
        <v/>
      </c>
      <c r="F4298" s="54" t="str">
        <f>IFERROR(IF(OR($B4298="",$B4298="(blank)"),"",VLOOKUP($B4298,'Email Marketing Raw Data'!$C:$O,13,0)),"")</f>
        <v/>
      </c>
      <c r="G4298" s="55" t="str">
        <f>IFERROR(IF(OR($B4298="",$B4298="(blank)"),"",VLOOKUP($B4298,'Email Marketing Raw Data'!$C:$O,4,0)),"")</f>
        <v/>
      </c>
      <c r="H4298" s="55" t="str">
        <f>IFERROR(IF(OR($B4298="",$B4298="(blank)"),"",VLOOKUP($B4298,'Email Marketing Raw Data'!$C:$O,5,0)),"")</f>
        <v/>
      </c>
      <c r="I4298" s="55" t="str">
        <f>IFERROR(IF($G4298="","",VLOOKUP('Dashboard And Emails Automate'!$G4298,Database!$H:$N,3,0)),"")</f>
        <v/>
      </c>
      <c r="J4298" s="55" t="str">
        <f>IFERROR(IF($G4298="","",VLOOKUP('Dashboard And Emails Automate'!$G4298,Database!$H:$N,4,0)),"")</f>
        <v/>
      </c>
      <c r="K4298" s="55" t="str">
        <f>IFERROR(IF($G4298="","",VLOOKUP('Dashboard And Emails Automate'!$G4298,Database!$H:$N,5,0)),"")</f>
        <v/>
      </c>
      <c r="L4298" s="55" t="str">
        <f>IFERROR(IF($G4298="","",VLOOKUP('Dashboard And Emails Automate'!$G4298,Database!$H:$N,6,0)),"")</f>
        <v/>
      </c>
      <c r="M4298" s="55" t="str">
        <f>IFERROR(IF($G4298="","",VLOOKUP('Dashboard And Emails Automate'!$G4298,Database!$H:$N,7,0)),"")</f>
        <v/>
      </c>
      <c r="N4298" s="55" t="str">
        <f>IFERROR(IF(OR($B4298="",$B4298="(blank)"),"",VLOOKUP($B4298,'Email Marketing Raw Data'!$C:$O,6,0)),"")</f>
        <v/>
      </c>
      <c r="O4298" s="55" t="str">
        <f>IFERROR(IF(OR($B4298="",$B4298="(blank)"),"",VLOOKUP($B4298,'Email Marketing Raw Data'!$C:$O,7,0)),"")</f>
        <v/>
      </c>
      <c r="P4298" s="55" t="str">
        <f>IFERROR(IF(OR($B4298="",$B4298="(blank)"),"",VLOOKUP($B4298,'Email Marketing Raw Data'!$C:$O,8,0)),"")</f>
        <v/>
      </c>
      <c r="Q4298" s="62" t="str">
        <f>IFERROR(IF(OR($B4298="",$B4298="(blank)"),"",VLOOKUP($B4298,'Email Marketing Raw Data'!$C:$O,9,0)),"")</f>
        <v/>
      </c>
    </row>
    <row r="4299" spans="4:17" ht="12.75" customHeight="1" x14ac:dyDescent="0.2">
      <c r="D4299" s="58" t="str">
        <f>IFERROR(IF(F4299&lt;&gt;"pending","",IF(OR($B4299="",$B4299="(blank)"),"",VLOOKUP($B4299,'Email Marketing Raw Data'!$C:$O,10,0))),"")</f>
        <v/>
      </c>
      <c r="E4299" s="59" t="str">
        <f>IFERROR(IF(F4299&lt;&gt;"pending","",IF(OR($B4299="",$B4299="(blank)"),"",VLOOKUP($B4299,'Email Marketing Raw Data'!$C:$O,11,0))),"")</f>
        <v/>
      </c>
      <c r="F4299" s="54" t="str">
        <f>IFERROR(IF(OR($B4299="",$B4299="(blank)"),"",VLOOKUP($B4299,'Email Marketing Raw Data'!$C:$O,13,0)),"")</f>
        <v/>
      </c>
      <c r="G4299" s="55" t="str">
        <f>IFERROR(IF(OR($B4299="",$B4299="(blank)"),"",VLOOKUP($B4299,'Email Marketing Raw Data'!$C:$O,4,0)),"")</f>
        <v/>
      </c>
      <c r="H4299" s="55" t="str">
        <f>IFERROR(IF(OR($B4299="",$B4299="(blank)"),"",VLOOKUP($B4299,'Email Marketing Raw Data'!$C:$O,5,0)),"")</f>
        <v/>
      </c>
      <c r="I4299" s="55" t="str">
        <f>IFERROR(IF($G4299="","",VLOOKUP('Dashboard And Emails Automate'!$G4299,Database!$H:$N,3,0)),"")</f>
        <v/>
      </c>
      <c r="J4299" s="55" t="str">
        <f>IFERROR(IF($G4299="","",VLOOKUP('Dashboard And Emails Automate'!$G4299,Database!$H:$N,4,0)),"")</f>
        <v/>
      </c>
      <c r="K4299" s="55" t="str">
        <f>IFERROR(IF($G4299="","",VLOOKUP('Dashboard And Emails Automate'!$G4299,Database!$H:$N,5,0)),"")</f>
        <v/>
      </c>
      <c r="L4299" s="55" t="str">
        <f>IFERROR(IF($G4299="","",VLOOKUP('Dashboard And Emails Automate'!$G4299,Database!$H:$N,6,0)),"")</f>
        <v/>
      </c>
      <c r="M4299" s="55" t="str">
        <f>IFERROR(IF($G4299="","",VLOOKUP('Dashboard And Emails Automate'!$G4299,Database!$H:$N,7,0)),"")</f>
        <v/>
      </c>
      <c r="N4299" s="55" t="str">
        <f>IFERROR(IF(OR($B4299="",$B4299="(blank)"),"",VLOOKUP($B4299,'Email Marketing Raw Data'!$C:$O,6,0)),"")</f>
        <v/>
      </c>
      <c r="O4299" s="55" t="str">
        <f>IFERROR(IF(OR($B4299="",$B4299="(blank)"),"",VLOOKUP($B4299,'Email Marketing Raw Data'!$C:$O,7,0)),"")</f>
        <v/>
      </c>
      <c r="P4299" s="55" t="str">
        <f>IFERROR(IF(OR($B4299="",$B4299="(blank)"),"",VLOOKUP($B4299,'Email Marketing Raw Data'!$C:$O,8,0)),"")</f>
        <v/>
      </c>
      <c r="Q4299" s="62" t="str">
        <f>IFERROR(IF(OR($B4299="",$B4299="(blank)"),"",VLOOKUP($B4299,'Email Marketing Raw Data'!$C:$O,9,0)),"")</f>
        <v/>
      </c>
    </row>
    <row r="4300" spans="4:17" ht="12.75" customHeight="1" x14ac:dyDescent="0.2">
      <c r="D4300" s="58" t="str">
        <f>IFERROR(IF(F4300&lt;&gt;"pending","",IF(OR($B4300="",$B4300="(blank)"),"",VLOOKUP($B4300,'Email Marketing Raw Data'!$C:$O,10,0))),"")</f>
        <v/>
      </c>
      <c r="E4300" s="59" t="str">
        <f>IFERROR(IF(F4300&lt;&gt;"pending","",IF(OR($B4300="",$B4300="(blank)"),"",VLOOKUP($B4300,'Email Marketing Raw Data'!$C:$O,11,0))),"")</f>
        <v/>
      </c>
      <c r="F4300" s="54" t="str">
        <f>IFERROR(IF(OR($B4300="",$B4300="(blank)"),"",VLOOKUP($B4300,'Email Marketing Raw Data'!$C:$O,13,0)),"")</f>
        <v/>
      </c>
      <c r="G4300" s="55" t="str">
        <f>IFERROR(IF(OR($B4300="",$B4300="(blank)"),"",VLOOKUP($B4300,'Email Marketing Raw Data'!$C:$O,4,0)),"")</f>
        <v/>
      </c>
      <c r="H4300" s="55" t="str">
        <f>IFERROR(IF(OR($B4300="",$B4300="(blank)"),"",VLOOKUP($B4300,'Email Marketing Raw Data'!$C:$O,5,0)),"")</f>
        <v/>
      </c>
      <c r="I4300" s="55" t="str">
        <f>IFERROR(IF($G4300="","",VLOOKUP('Dashboard And Emails Automate'!$G4300,Database!$H:$N,3,0)),"")</f>
        <v/>
      </c>
      <c r="J4300" s="55" t="str">
        <f>IFERROR(IF($G4300="","",VLOOKUP('Dashboard And Emails Automate'!$G4300,Database!$H:$N,4,0)),"")</f>
        <v/>
      </c>
      <c r="K4300" s="55" t="str">
        <f>IFERROR(IF($G4300="","",VLOOKUP('Dashboard And Emails Automate'!$G4300,Database!$H:$N,5,0)),"")</f>
        <v/>
      </c>
      <c r="L4300" s="55" t="str">
        <f>IFERROR(IF($G4300="","",VLOOKUP('Dashboard And Emails Automate'!$G4300,Database!$H:$N,6,0)),"")</f>
        <v/>
      </c>
      <c r="M4300" s="55" t="str">
        <f>IFERROR(IF($G4300="","",VLOOKUP('Dashboard And Emails Automate'!$G4300,Database!$H:$N,7,0)),"")</f>
        <v/>
      </c>
      <c r="N4300" s="55" t="str">
        <f>IFERROR(IF(OR($B4300="",$B4300="(blank)"),"",VLOOKUP($B4300,'Email Marketing Raw Data'!$C:$O,6,0)),"")</f>
        <v/>
      </c>
      <c r="O4300" s="55" t="str">
        <f>IFERROR(IF(OR($B4300="",$B4300="(blank)"),"",VLOOKUP($B4300,'Email Marketing Raw Data'!$C:$O,7,0)),"")</f>
        <v/>
      </c>
      <c r="P4300" s="55" t="str">
        <f>IFERROR(IF(OR($B4300="",$B4300="(blank)"),"",VLOOKUP($B4300,'Email Marketing Raw Data'!$C:$O,8,0)),"")</f>
        <v/>
      </c>
      <c r="Q4300" s="62" t="str">
        <f>IFERROR(IF(OR($B4300="",$B4300="(blank)"),"",VLOOKUP($B4300,'Email Marketing Raw Data'!$C:$O,9,0)),"")</f>
        <v/>
      </c>
    </row>
    <row r="4301" spans="4:17" ht="12.75" customHeight="1" x14ac:dyDescent="0.2">
      <c r="D4301" s="58" t="str">
        <f>IFERROR(IF(F4301&lt;&gt;"pending","",IF(OR($B4301="",$B4301="(blank)"),"",VLOOKUP($B4301,'Email Marketing Raw Data'!$C:$O,10,0))),"")</f>
        <v/>
      </c>
      <c r="E4301" s="59" t="str">
        <f>IFERROR(IF(F4301&lt;&gt;"pending","",IF(OR($B4301="",$B4301="(blank)"),"",VLOOKUP($B4301,'Email Marketing Raw Data'!$C:$O,11,0))),"")</f>
        <v/>
      </c>
      <c r="F4301" s="54" t="str">
        <f>IFERROR(IF(OR($B4301="",$B4301="(blank)"),"",VLOOKUP($B4301,'Email Marketing Raw Data'!$C:$O,13,0)),"")</f>
        <v/>
      </c>
      <c r="G4301" s="55" t="str">
        <f>IFERROR(IF(OR($B4301="",$B4301="(blank)"),"",VLOOKUP($B4301,'Email Marketing Raw Data'!$C:$O,4,0)),"")</f>
        <v/>
      </c>
      <c r="H4301" s="55" t="str">
        <f>IFERROR(IF(OR($B4301="",$B4301="(blank)"),"",VLOOKUP($B4301,'Email Marketing Raw Data'!$C:$O,5,0)),"")</f>
        <v/>
      </c>
      <c r="I4301" s="55" t="str">
        <f>IFERROR(IF($G4301="","",VLOOKUP('Dashboard And Emails Automate'!$G4301,Database!$H:$N,3,0)),"")</f>
        <v/>
      </c>
      <c r="J4301" s="55" t="str">
        <f>IFERROR(IF($G4301="","",VLOOKUP('Dashboard And Emails Automate'!$G4301,Database!$H:$N,4,0)),"")</f>
        <v/>
      </c>
      <c r="K4301" s="55" t="str">
        <f>IFERROR(IF($G4301="","",VLOOKUP('Dashboard And Emails Automate'!$G4301,Database!$H:$N,5,0)),"")</f>
        <v/>
      </c>
      <c r="L4301" s="55" t="str">
        <f>IFERROR(IF($G4301="","",VLOOKUP('Dashboard And Emails Automate'!$G4301,Database!$H:$N,6,0)),"")</f>
        <v/>
      </c>
      <c r="M4301" s="55" t="str">
        <f>IFERROR(IF($G4301="","",VLOOKUP('Dashboard And Emails Automate'!$G4301,Database!$H:$N,7,0)),"")</f>
        <v/>
      </c>
      <c r="N4301" s="55" t="str">
        <f>IFERROR(IF(OR($B4301="",$B4301="(blank)"),"",VLOOKUP($B4301,'Email Marketing Raw Data'!$C:$O,6,0)),"")</f>
        <v/>
      </c>
      <c r="O4301" s="55" t="str">
        <f>IFERROR(IF(OR($B4301="",$B4301="(blank)"),"",VLOOKUP($B4301,'Email Marketing Raw Data'!$C:$O,7,0)),"")</f>
        <v/>
      </c>
      <c r="P4301" s="55" t="str">
        <f>IFERROR(IF(OR($B4301="",$B4301="(blank)"),"",VLOOKUP($B4301,'Email Marketing Raw Data'!$C:$O,8,0)),"")</f>
        <v/>
      </c>
      <c r="Q4301" s="62" t="str">
        <f>IFERROR(IF(OR($B4301="",$B4301="(blank)"),"",VLOOKUP($B4301,'Email Marketing Raw Data'!$C:$O,9,0)),"")</f>
        <v/>
      </c>
    </row>
    <row r="4302" spans="4:17" ht="12.75" customHeight="1" x14ac:dyDescent="0.2">
      <c r="D4302" s="58" t="str">
        <f>IFERROR(IF(F4302&lt;&gt;"pending","",IF(OR($B4302="",$B4302="(blank)"),"",VLOOKUP($B4302,'Email Marketing Raw Data'!$C:$O,10,0))),"")</f>
        <v/>
      </c>
      <c r="E4302" s="59" t="str">
        <f>IFERROR(IF(F4302&lt;&gt;"pending","",IF(OR($B4302="",$B4302="(blank)"),"",VLOOKUP($B4302,'Email Marketing Raw Data'!$C:$O,11,0))),"")</f>
        <v/>
      </c>
      <c r="F4302" s="54" t="str">
        <f>IFERROR(IF(OR($B4302="",$B4302="(blank)"),"",VLOOKUP($B4302,'Email Marketing Raw Data'!$C:$O,13,0)),"")</f>
        <v/>
      </c>
      <c r="G4302" s="55" t="str">
        <f>IFERROR(IF(OR($B4302="",$B4302="(blank)"),"",VLOOKUP($B4302,'Email Marketing Raw Data'!$C:$O,4,0)),"")</f>
        <v/>
      </c>
      <c r="H4302" s="55" t="str">
        <f>IFERROR(IF(OR($B4302="",$B4302="(blank)"),"",VLOOKUP($B4302,'Email Marketing Raw Data'!$C:$O,5,0)),"")</f>
        <v/>
      </c>
      <c r="I4302" s="55" t="str">
        <f>IFERROR(IF($G4302="","",VLOOKUP('Dashboard And Emails Automate'!$G4302,Database!$H:$N,3,0)),"")</f>
        <v/>
      </c>
      <c r="J4302" s="55" t="str">
        <f>IFERROR(IF($G4302="","",VLOOKUP('Dashboard And Emails Automate'!$G4302,Database!$H:$N,4,0)),"")</f>
        <v/>
      </c>
      <c r="K4302" s="55" t="str">
        <f>IFERROR(IF($G4302="","",VLOOKUP('Dashboard And Emails Automate'!$G4302,Database!$H:$N,5,0)),"")</f>
        <v/>
      </c>
      <c r="L4302" s="55" t="str">
        <f>IFERROR(IF($G4302="","",VLOOKUP('Dashboard And Emails Automate'!$G4302,Database!$H:$N,6,0)),"")</f>
        <v/>
      </c>
      <c r="M4302" s="55" t="str">
        <f>IFERROR(IF($G4302="","",VLOOKUP('Dashboard And Emails Automate'!$G4302,Database!$H:$N,7,0)),"")</f>
        <v/>
      </c>
      <c r="N4302" s="55" t="str">
        <f>IFERROR(IF(OR($B4302="",$B4302="(blank)"),"",VLOOKUP($B4302,'Email Marketing Raw Data'!$C:$O,6,0)),"")</f>
        <v/>
      </c>
      <c r="O4302" s="55" t="str">
        <f>IFERROR(IF(OR($B4302="",$B4302="(blank)"),"",VLOOKUP($B4302,'Email Marketing Raw Data'!$C:$O,7,0)),"")</f>
        <v/>
      </c>
      <c r="P4302" s="55" t="str">
        <f>IFERROR(IF(OR($B4302="",$B4302="(blank)"),"",VLOOKUP($B4302,'Email Marketing Raw Data'!$C:$O,8,0)),"")</f>
        <v/>
      </c>
      <c r="Q4302" s="62" t="str">
        <f>IFERROR(IF(OR($B4302="",$B4302="(blank)"),"",VLOOKUP($B4302,'Email Marketing Raw Data'!$C:$O,9,0)),"")</f>
        <v/>
      </c>
    </row>
    <row r="4303" spans="4:17" ht="12.75" customHeight="1" x14ac:dyDescent="0.2">
      <c r="D4303" s="58" t="str">
        <f>IFERROR(IF(F4303&lt;&gt;"pending","",IF(OR($B4303="",$B4303="(blank)"),"",VLOOKUP($B4303,'Email Marketing Raw Data'!$C:$O,10,0))),"")</f>
        <v/>
      </c>
      <c r="E4303" s="59" t="str">
        <f>IFERROR(IF(F4303&lt;&gt;"pending","",IF(OR($B4303="",$B4303="(blank)"),"",VLOOKUP($B4303,'Email Marketing Raw Data'!$C:$O,11,0))),"")</f>
        <v/>
      </c>
      <c r="F4303" s="54" t="str">
        <f>IFERROR(IF(OR($B4303="",$B4303="(blank)"),"",VLOOKUP($B4303,'Email Marketing Raw Data'!$C:$O,13,0)),"")</f>
        <v/>
      </c>
      <c r="G4303" s="55" t="str">
        <f>IFERROR(IF(OR($B4303="",$B4303="(blank)"),"",VLOOKUP($B4303,'Email Marketing Raw Data'!$C:$O,4,0)),"")</f>
        <v/>
      </c>
      <c r="H4303" s="55" t="str">
        <f>IFERROR(IF(OR($B4303="",$B4303="(blank)"),"",VLOOKUP($B4303,'Email Marketing Raw Data'!$C:$O,5,0)),"")</f>
        <v/>
      </c>
      <c r="I4303" s="55" t="str">
        <f>IFERROR(IF($G4303="","",VLOOKUP('Dashboard And Emails Automate'!$G4303,Database!$H:$N,3,0)),"")</f>
        <v/>
      </c>
      <c r="J4303" s="55" t="str">
        <f>IFERROR(IF($G4303="","",VLOOKUP('Dashboard And Emails Automate'!$G4303,Database!$H:$N,4,0)),"")</f>
        <v/>
      </c>
      <c r="K4303" s="55" t="str">
        <f>IFERROR(IF($G4303="","",VLOOKUP('Dashboard And Emails Automate'!$G4303,Database!$H:$N,5,0)),"")</f>
        <v/>
      </c>
      <c r="L4303" s="55" t="str">
        <f>IFERROR(IF($G4303="","",VLOOKUP('Dashboard And Emails Automate'!$G4303,Database!$H:$N,6,0)),"")</f>
        <v/>
      </c>
      <c r="M4303" s="55" t="str">
        <f>IFERROR(IF($G4303="","",VLOOKUP('Dashboard And Emails Automate'!$G4303,Database!$H:$N,7,0)),"")</f>
        <v/>
      </c>
      <c r="N4303" s="55" t="str">
        <f>IFERROR(IF(OR($B4303="",$B4303="(blank)"),"",VLOOKUP($B4303,'Email Marketing Raw Data'!$C:$O,6,0)),"")</f>
        <v/>
      </c>
      <c r="O4303" s="55" t="str">
        <f>IFERROR(IF(OR($B4303="",$B4303="(blank)"),"",VLOOKUP($B4303,'Email Marketing Raw Data'!$C:$O,7,0)),"")</f>
        <v/>
      </c>
      <c r="P4303" s="55" t="str">
        <f>IFERROR(IF(OR($B4303="",$B4303="(blank)"),"",VLOOKUP($B4303,'Email Marketing Raw Data'!$C:$O,8,0)),"")</f>
        <v/>
      </c>
      <c r="Q4303" s="62" t="str">
        <f>IFERROR(IF(OR($B4303="",$B4303="(blank)"),"",VLOOKUP($B4303,'Email Marketing Raw Data'!$C:$O,9,0)),"")</f>
        <v/>
      </c>
    </row>
    <row r="4304" spans="4:17" ht="12.75" customHeight="1" x14ac:dyDescent="0.2">
      <c r="D4304" s="58" t="str">
        <f>IFERROR(IF(F4304&lt;&gt;"pending","",IF(OR($B4304="",$B4304="(blank)"),"",VLOOKUP($B4304,'Email Marketing Raw Data'!$C:$O,10,0))),"")</f>
        <v/>
      </c>
      <c r="E4304" s="59" t="str">
        <f>IFERROR(IF(F4304&lt;&gt;"pending","",IF(OR($B4304="",$B4304="(blank)"),"",VLOOKUP($B4304,'Email Marketing Raw Data'!$C:$O,11,0))),"")</f>
        <v/>
      </c>
      <c r="F4304" s="54" t="str">
        <f>IFERROR(IF(OR($B4304="",$B4304="(blank)"),"",VLOOKUP($B4304,'Email Marketing Raw Data'!$C:$O,13,0)),"")</f>
        <v/>
      </c>
      <c r="G4304" s="55" t="str">
        <f>IFERROR(IF(OR($B4304="",$B4304="(blank)"),"",VLOOKUP($B4304,'Email Marketing Raw Data'!$C:$O,4,0)),"")</f>
        <v/>
      </c>
      <c r="H4304" s="55" t="str">
        <f>IFERROR(IF(OR($B4304="",$B4304="(blank)"),"",VLOOKUP($B4304,'Email Marketing Raw Data'!$C:$O,5,0)),"")</f>
        <v/>
      </c>
      <c r="I4304" s="55" t="str">
        <f>IFERROR(IF($G4304="","",VLOOKUP('Dashboard And Emails Automate'!$G4304,Database!$H:$N,3,0)),"")</f>
        <v/>
      </c>
      <c r="J4304" s="55" t="str">
        <f>IFERROR(IF($G4304="","",VLOOKUP('Dashboard And Emails Automate'!$G4304,Database!$H:$N,4,0)),"")</f>
        <v/>
      </c>
      <c r="K4304" s="55" t="str">
        <f>IFERROR(IF($G4304="","",VLOOKUP('Dashboard And Emails Automate'!$G4304,Database!$H:$N,5,0)),"")</f>
        <v/>
      </c>
      <c r="L4304" s="55" t="str">
        <f>IFERROR(IF($G4304="","",VLOOKUP('Dashboard And Emails Automate'!$G4304,Database!$H:$N,6,0)),"")</f>
        <v/>
      </c>
      <c r="M4304" s="55" t="str">
        <f>IFERROR(IF($G4304="","",VLOOKUP('Dashboard And Emails Automate'!$G4304,Database!$H:$N,7,0)),"")</f>
        <v/>
      </c>
      <c r="N4304" s="55" t="str">
        <f>IFERROR(IF(OR($B4304="",$B4304="(blank)"),"",VLOOKUP($B4304,'Email Marketing Raw Data'!$C:$O,6,0)),"")</f>
        <v/>
      </c>
      <c r="O4304" s="55" t="str">
        <f>IFERROR(IF(OR($B4304="",$B4304="(blank)"),"",VLOOKUP($B4304,'Email Marketing Raw Data'!$C:$O,7,0)),"")</f>
        <v/>
      </c>
      <c r="P4304" s="55" t="str">
        <f>IFERROR(IF(OR($B4304="",$B4304="(blank)"),"",VLOOKUP($B4304,'Email Marketing Raw Data'!$C:$O,8,0)),"")</f>
        <v/>
      </c>
      <c r="Q4304" s="62" t="str">
        <f>IFERROR(IF(OR($B4304="",$B4304="(blank)"),"",VLOOKUP($B4304,'Email Marketing Raw Data'!$C:$O,9,0)),"")</f>
        <v/>
      </c>
    </row>
    <row r="4305" spans="4:17" ht="12.75" customHeight="1" x14ac:dyDescent="0.2">
      <c r="D4305" s="58" t="str">
        <f>IFERROR(IF(F4305&lt;&gt;"pending","",IF(OR($B4305="",$B4305="(blank)"),"",VLOOKUP($B4305,'Email Marketing Raw Data'!$C:$O,10,0))),"")</f>
        <v/>
      </c>
      <c r="E4305" s="59" t="str">
        <f>IFERROR(IF(F4305&lt;&gt;"pending","",IF(OR($B4305="",$B4305="(blank)"),"",VLOOKUP($B4305,'Email Marketing Raw Data'!$C:$O,11,0))),"")</f>
        <v/>
      </c>
      <c r="F4305" s="54" t="str">
        <f>IFERROR(IF(OR($B4305="",$B4305="(blank)"),"",VLOOKUP($B4305,'Email Marketing Raw Data'!$C:$O,13,0)),"")</f>
        <v/>
      </c>
      <c r="G4305" s="55" t="str">
        <f>IFERROR(IF(OR($B4305="",$B4305="(blank)"),"",VLOOKUP($B4305,'Email Marketing Raw Data'!$C:$O,4,0)),"")</f>
        <v/>
      </c>
      <c r="H4305" s="55" t="str">
        <f>IFERROR(IF(OR($B4305="",$B4305="(blank)"),"",VLOOKUP($B4305,'Email Marketing Raw Data'!$C:$O,5,0)),"")</f>
        <v/>
      </c>
      <c r="I4305" s="55" t="str">
        <f>IFERROR(IF($G4305="","",VLOOKUP('Dashboard And Emails Automate'!$G4305,Database!$H:$N,3,0)),"")</f>
        <v/>
      </c>
      <c r="J4305" s="55" t="str">
        <f>IFERROR(IF($G4305="","",VLOOKUP('Dashboard And Emails Automate'!$G4305,Database!$H:$N,4,0)),"")</f>
        <v/>
      </c>
      <c r="K4305" s="55" t="str">
        <f>IFERROR(IF($G4305="","",VLOOKUP('Dashboard And Emails Automate'!$G4305,Database!$H:$N,5,0)),"")</f>
        <v/>
      </c>
      <c r="L4305" s="55" t="str">
        <f>IFERROR(IF($G4305="","",VLOOKUP('Dashboard And Emails Automate'!$G4305,Database!$H:$N,6,0)),"")</f>
        <v/>
      </c>
      <c r="M4305" s="55" t="str">
        <f>IFERROR(IF($G4305="","",VLOOKUP('Dashboard And Emails Automate'!$G4305,Database!$H:$N,7,0)),"")</f>
        <v/>
      </c>
      <c r="N4305" s="55" t="str">
        <f>IFERROR(IF(OR($B4305="",$B4305="(blank)"),"",VLOOKUP($B4305,'Email Marketing Raw Data'!$C:$O,6,0)),"")</f>
        <v/>
      </c>
      <c r="O4305" s="55" t="str">
        <f>IFERROR(IF(OR($B4305="",$B4305="(blank)"),"",VLOOKUP($B4305,'Email Marketing Raw Data'!$C:$O,7,0)),"")</f>
        <v/>
      </c>
      <c r="P4305" s="55" t="str">
        <f>IFERROR(IF(OR($B4305="",$B4305="(blank)"),"",VLOOKUP($B4305,'Email Marketing Raw Data'!$C:$O,8,0)),"")</f>
        <v/>
      </c>
      <c r="Q4305" s="62" t="str">
        <f>IFERROR(IF(OR($B4305="",$B4305="(blank)"),"",VLOOKUP($B4305,'Email Marketing Raw Data'!$C:$O,9,0)),"")</f>
        <v/>
      </c>
    </row>
    <row r="4306" spans="4:17" ht="12.75" customHeight="1" x14ac:dyDescent="0.2">
      <c r="D4306" s="58" t="str">
        <f>IFERROR(IF(F4306&lt;&gt;"pending","",IF(OR($B4306="",$B4306="(blank)"),"",VLOOKUP($B4306,'Email Marketing Raw Data'!$C:$O,10,0))),"")</f>
        <v/>
      </c>
      <c r="E4306" s="59" t="str">
        <f>IFERROR(IF(F4306&lt;&gt;"pending","",IF(OR($B4306="",$B4306="(blank)"),"",VLOOKUP($B4306,'Email Marketing Raw Data'!$C:$O,11,0))),"")</f>
        <v/>
      </c>
      <c r="F4306" s="54" t="str">
        <f>IFERROR(IF(OR($B4306="",$B4306="(blank)"),"",VLOOKUP($B4306,'Email Marketing Raw Data'!$C:$O,13,0)),"")</f>
        <v/>
      </c>
      <c r="G4306" s="55" t="str">
        <f>IFERROR(IF(OR($B4306="",$B4306="(blank)"),"",VLOOKUP($B4306,'Email Marketing Raw Data'!$C:$O,4,0)),"")</f>
        <v/>
      </c>
      <c r="H4306" s="55" t="str">
        <f>IFERROR(IF(OR($B4306="",$B4306="(blank)"),"",VLOOKUP($B4306,'Email Marketing Raw Data'!$C:$O,5,0)),"")</f>
        <v/>
      </c>
      <c r="I4306" s="55" t="str">
        <f>IFERROR(IF($G4306="","",VLOOKUP('Dashboard And Emails Automate'!$G4306,Database!$H:$N,3,0)),"")</f>
        <v/>
      </c>
      <c r="J4306" s="55" t="str">
        <f>IFERROR(IF($G4306="","",VLOOKUP('Dashboard And Emails Automate'!$G4306,Database!$H:$N,4,0)),"")</f>
        <v/>
      </c>
      <c r="K4306" s="55" t="str">
        <f>IFERROR(IF($G4306="","",VLOOKUP('Dashboard And Emails Automate'!$G4306,Database!$H:$N,5,0)),"")</f>
        <v/>
      </c>
      <c r="L4306" s="55" t="str">
        <f>IFERROR(IF($G4306="","",VLOOKUP('Dashboard And Emails Automate'!$G4306,Database!$H:$N,6,0)),"")</f>
        <v/>
      </c>
      <c r="M4306" s="55" t="str">
        <f>IFERROR(IF($G4306="","",VLOOKUP('Dashboard And Emails Automate'!$G4306,Database!$H:$N,7,0)),"")</f>
        <v/>
      </c>
      <c r="N4306" s="55" t="str">
        <f>IFERROR(IF(OR($B4306="",$B4306="(blank)"),"",VLOOKUP($B4306,'Email Marketing Raw Data'!$C:$O,6,0)),"")</f>
        <v/>
      </c>
      <c r="O4306" s="55" t="str">
        <f>IFERROR(IF(OR($B4306="",$B4306="(blank)"),"",VLOOKUP($B4306,'Email Marketing Raw Data'!$C:$O,7,0)),"")</f>
        <v/>
      </c>
      <c r="P4306" s="55" t="str">
        <f>IFERROR(IF(OR($B4306="",$B4306="(blank)"),"",VLOOKUP($B4306,'Email Marketing Raw Data'!$C:$O,8,0)),"")</f>
        <v/>
      </c>
      <c r="Q4306" s="62" t="str">
        <f>IFERROR(IF(OR($B4306="",$B4306="(blank)"),"",VLOOKUP($B4306,'Email Marketing Raw Data'!$C:$O,9,0)),"")</f>
        <v/>
      </c>
    </row>
    <row r="4307" spans="4:17" ht="12.75" customHeight="1" x14ac:dyDescent="0.2">
      <c r="D4307" s="58" t="str">
        <f>IFERROR(IF(F4307&lt;&gt;"pending","",IF(OR($B4307="",$B4307="(blank)"),"",VLOOKUP($B4307,'Email Marketing Raw Data'!$C:$O,10,0))),"")</f>
        <v/>
      </c>
      <c r="E4307" s="59" t="str">
        <f>IFERROR(IF(F4307&lt;&gt;"pending","",IF(OR($B4307="",$B4307="(blank)"),"",VLOOKUP($B4307,'Email Marketing Raw Data'!$C:$O,11,0))),"")</f>
        <v/>
      </c>
      <c r="F4307" s="54" t="str">
        <f>IFERROR(IF(OR($B4307="",$B4307="(blank)"),"",VLOOKUP($B4307,'Email Marketing Raw Data'!$C:$O,13,0)),"")</f>
        <v/>
      </c>
      <c r="G4307" s="55" t="str">
        <f>IFERROR(IF(OR($B4307="",$B4307="(blank)"),"",VLOOKUP($B4307,'Email Marketing Raw Data'!$C:$O,4,0)),"")</f>
        <v/>
      </c>
      <c r="H4307" s="55" t="str">
        <f>IFERROR(IF(OR($B4307="",$B4307="(blank)"),"",VLOOKUP($B4307,'Email Marketing Raw Data'!$C:$O,5,0)),"")</f>
        <v/>
      </c>
      <c r="I4307" s="55" t="str">
        <f>IFERROR(IF($G4307="","",VLOOKUP('Dashboard And Emails Automate'!$G4307,Database!$H:$N,3,0)),"")</f>
        <v/>
      </c>
      <c r="J4307" s="55" t="str">
        <f>IFERROR(IF($G4307="","",VLOOKUP('Dashboard And Emails Automate'!$G4307,Database!$H:$N,4,0)),"")</f>
        <v/>
      </c>
      <c r="K4307" s="55" t="str">
        <f>IFERROR(IF($G4307="","",VLOOKUP('Dashboard And Emails Automate'!$G4307,Database!$H:$N,5,0)),"")</f>
        <v/>
      </c>
      <c r="L4307" s="55" t="str">
        <f>IFERROR(IF($G4307="","",VLOOKUP('Dashboard And Emails Automate'!$G4307,Database!$H:$N,6,0)),"")</f>
        <v/>
      </c>
      <c r="M4307" s="55" t="str">
        <f>IFERROR(IF($G4307="","",VLOOKUP('Dashboard And Emails Automate'!$G4307,Database!$H:$N,7,0)),"")</f>
        <v/>
      </c>
      <c r="N4307" s="55" t="str">
        <f>IFERROR(IF(OR($B4307="",$B4307="(blank)"),"",VLOOKUP($B4307,'Email Marketing Raw Data'!$C:$O,6,0)),"")</f>
        <v/>
      </c>
      <c r="O4307" s="55" t="str">
        <f>IFERROR(IF(OR($B4307="",$B4307="(blank)"),"",VLOOKUP($B4307,'Email Marketing Raw Data'!$C:$O,7,0)),"")</f>
        <v/>
      </c>
      <c r="P4307" s="55" t="str">
        <f>IFERROR(IF(OR($B4307="",$B4307="(blank)"),"",VLOOKUP($B4307,'Email Marketing Raw Data'!$C:$O,8,0)),"")</f>
        <v/>
      </c>
      <c r="Q4307" s="62" t="str">
        <f>IFERROR(IF(OR($B4307="",$B4307="(blank)"),"",VLOOKUP($B4307,'Email Marketing Raw Data'!$C:$O,9,0)),"")</f>
        <v/>
      </c>
    </row>
    <row r="4308" spans="4:17" ht="12.75" customHeight="1" x14ac:dyDescent="0.2">
      <c r="D4308" s="58" t="str">
        <f>IFERROR(IF(F4308&lt;&gt;"pending","",IF(OR($B4308="",$B4308="(blank)"),"",VLOOKUP($B4308,'Email Marketing Raw Data'!$C:$O,10,0))),"")</f>
        <v/>
      </c>
      <c r="E4308" s="59" t="str">
        <f>IFERROR(IF(F4308&lt;&gt;"pending","",IF(OR($B4308="",$B4308="(blank)"),"",VLOOKUP($B4308,'Email Marketing Raw Data'!$C:$O,11,0))),"")</f>
        <v/>
      </c>
      <c r="F4308" s="54" t="str">
        <f>IFERROR(IF(OR($B4308="",$B4308="(blank)"),"",VLOOKUP($B4308,'Email Marketing Raw Data'!$C:$O,13,0)),"")</f>
        <v/>
      </c>
      <c r="G4308" s="55" t="str">
        <f>IFERROR(IF(OR($B4308="",$B4308="(blank)"),"",VLOOKUP($B4308,'Email Marketing Raw Data'!$C:$O,4,0)),"")</f>
        <v/>
      </c>
      <c r="H4308" s="55" t="str">
        <f>IFERROR(IF(OR($B4308="",$B4308="(blank)"),"",VLOOKUP($B4308,'Email Marketing Raw Data'!$C:$O,5,0)),"")</f>
        <v/>
      </c>
      <c r="I4308" s="55" t="str">
        <f>IFERROR(IF($G4308="","",VLOOKUP('Dashboard And Emails Automate'!$G4308,Database!$H:$N,3,0)),"")</f>
        <v/>
      </c>
      <c r="J4308" s="55" t="str">
        <f>IFERROR(IF($G4308="","",VLOOKUP('Dashboard And Emails Automate'!$G4308,Database!$H:$N,4,0)),"")</f>
        <v/>
      </c>
      <c r="K4308" s="55" t="str">
        <f>IFERROR(IF($G4308="","",VLOOKUP('Dashboard And Emails Automate'!$G4308,Database!$H:$N,5,0)),"")</f>
        <v/>
      </c>
      <c r="L4308" s="55" t="str">
        <f>IFERROR(IF($G4308="","",VLOOKUP('Dashboard And Emails Automate'!$G4308,Database!$H:$N,6,0)),"")</f>
        <v/>
      </c>
      <c r="M4308" s="55" t="str">
        <f>IFERROR(IF($G4308="","",VLOOKUP('Dashboard And Emails Automate'!$G4308,Database!$H:$N,7,0)),"")</f>
        <v/>
      </c>
      <c r="N4308" s="55" t="str">
        <f>IFERROR(IF(OR($B4308="",$B4308="(blank)"),"",VLOOKUP($B4308,'Email Marketing Raw Data'!$C:$O,6,0)),"")</f>
        <v/>
      </c>
      <c r="O4308" s="55" t="str">
        <f>IFERROR(IF(OR($B4308="",$B4308="(blank)"),"",VLOOKUP($B4308,'Email Marketing Raw Data'!$C:$O,7,0)),"")</f>
        <v/>
      </c>
      <c r="P4308" s="55" t="str">
        <f>IFERROR(IF(OR($B4308="",$B4308="(blank)"),"",VLOOKUP($B4308,'Email Marketing Raw Data'!$C:$O,8,0)),"")</f>
        <v/>
      </c>
      <c r="Q4308" s="62" t="str">
        <f>IFERROR(IF(OR($B4308="",$B4308="(blank)"),"",VLOOKUP($B4308,'Email Marketing Raw Data'!$C:$O,9,0)),"")</f>
        <v/>
      </c>
    </row>
    <row r="4309" spans="4:17" ht="12.75" customHeight="1" x14ac:dyDescent="0.2">
      <c r="D4309" s="58" t="str">
        <f>IFERROR(IF(F4309&lt;&gt;"pending","",IF(OR($B4309="",$B4309="(blank)"),"",VLOOKUP($B4309,'Email Marketing Raw Data'!$C:$O,10,0))),"")</f>
        <v/>
      </c>
      <c r="E4309" s="59" t="str">
        <f>IFERROR(IF(F4309&lt;&gt;"pending","",IF(OR($B4309="",$B4309="(blank)"),"",VLOOKUP($B4309,'Email Marketing Raw Data'!$C:$O,11,0))),"")</f>
        <v/>
      </c>
      <c r="F4309" s="54" t="str">
        <f>IFERROR(IF(OR($B4309="",$B4309="(blank)"),"",VLOOKUP($B4309,'Email Marketing Raw Data'!$C:$O,13,0)),"")</f>
        <v/>
      </c>
      <c r="G4309" s="55" t="str">
        <f>IFERROR(IF(OR($B4309="",$B4309="(blank)"),"",VLOOKUP($B4309,'Email Marketing Raw Data'!$C:$O,4,0)),"")</f>
        <v/>
      </c>
      <c r="H4309" s="55" t="str">
        <f>IFERROR(IF(OR($B4309="",$B4309="(blank)"),"",VLOOKUP($B4309,'Email Marketing Raw Data'!$C:$O,5,0)),"")</f>
        <v/>
      </c>
      <c r="I4309" s="55" t="str">
        <f>IFERROR(IF($G4309="","",VLOOKUP('Dashboard And Emails Automate'!$G4309,Database!$H:$N,3,0)),"")</f>
        <v/>
      </c>
      <c r="J4309" s="55" t="str">
        <f>IFERROR(IF($G4309="","",VLOOKUP('Dashboard And Emails Automate'!$G4309,Database!$H:$N,4,0)),"")</f>
        <v/>
      </c>
      <c r="K4309" s="55" t="str">
        <f>IFERROR(IF($G4309="","",VLOOKUP('Dashboard And Emails Automate'!$G4309,Database!$H:$N,5,0)),"")</f>
        <v/>
      </c>
      <c r="L4309" s="55" t="str">
        <f>IFERROR(IF($G4309="","",VLOOKUP('Dashboard And Emails Automate'!$G4309,Database!$H:$N,6,0)),"")</f>
        <v/>
      </c>
      <c r="M4309" s="55" t="str">
        <f>IFERROR(IF($G4309="","",VLOOKUP('Dashboard And Emails Automate'!$G4309,Database!$H:$N,7,0)),"")</f>
        <v/>
      </c>
      <c r="N4309" s="55" t="str">
        <f>IFERROR(IF(OR($B4309="",$B4309="(blank)"),"",VLOOKUP($B4309,'Email Marketing Raw Data'!$C:$O,6,0)),"")</f>
        <v/>
      </c>
      <c r="O4309" s="55" t="str">
        <f>IFERROR(IF(OR($B4309="",$B4309="(blank)"),"",VLOOKUP($B4309,'Email Marketing Raw Data'!$C:$O,7,0)),"")</f>
        <v/>
      </c>
      <c r="P4309" s="55" t="str">
        <f>IFERROR(IF(OR($B4309="",$B4309="(blank)"),"",VLOOKUP($B4309,'Email Marketing Raw Data'!$C:$O,8,0)),"")</f>
        <v/>
      </c>
      <c r="Q4309" s="62" t="str">
        <f>IFERROR(IF(OR($B4309="",$B4309="(blank)"),"",VLOOKUP($B4309,'Email Marketing Raw Data'!$C:$O,9,0)),"")</f>
        <v/>
      </c>
    </row>
    <row r="4310" spans="4:17" ht="12.75" customHeight="1" x14ac:dyDescent="0.2">
      <c r="D4310" s="58" t="str">
        <f>IFERROR(IF(F4310&lt;&gt;"pending","",IF(OR($B4310="",$B4310="(blank)"),"",VLOOKUP($B4310,'Email Marketing Raw Data'!$C:$O,10,0))),"")</f>
        <v/>
      </c>
      <c r="E4310" s="59" t="str">
        <f>IFERROR(IF(F4310&lt;&gt;"pending","",IF(OR($B4310="",$B4310="(blank)"),"",VLOOKUP($B4310,'Email Marketing Raw Data'!$C:$O,11,0))),"")</f>
        <v/>
      </c>
      <c r="F4310" s="54" t="str">
        <f>IFERROR(IF(OR($B4310="",$B4310="(blank)"),"",VLOOKUP($B4310,'Email Marketing Raw Data'!$C:$O,13,0)),"")</f>
        <v/>
      </c>
      <c r="G4310" s="55" t="str">
        <f>IFERROR(IF(OR($B4310="",$B4310="(blank)"),"",VLOOKUP($B4310,'Email Marketing Raw Data'!$C:$O,4,0)),"")</f>
        <v/>
      </c>
      <c r="H4310" s="55" t="str">
        <f>IFERROR(IF(OR($B4310="",$B4310="(blank)"),"",VLOOKUP($B4310,'Email Marketing Raw Data'!$C:$O,5,0)),"")</f>
        <v/>
      </c>
      <c r="I4310" s="55" t="str">
        <f>IFERROR(IF($G4310="","",VLOOKUP('Dashboard And Emails Automate'!$G4310,Database!$H:$N,3,0)),"")</f>
        <v/>
      </c>
      <c r="J4310" s="55" t="str">
        <f>IFERROR(IF($G4310="","",VLOOKUP('Dashboard And Emails Automate'!$G4310,Database!$H:$N,4,0)),"")</f>
        <v/>
      </c>
      <c r="K4310" s="55" t="str">
        <f>IFERROR(IF($G4310="","",VLOOKUP('Dashboard And Emails Automate'!$G4310,Database!$H:$N,5,0)),"")</f>
        <v/>
      </c>
      <c r="L4310" s="55" t="str">
        <f>IFERROR(IF($G4310="","",VLOOKUP('Dashboard And Emails Automate'!$G4310,Database!$H:$N,6,0)),"")</f>
        <v/>
      </c>
      <c r="M4310" s="55" t="str">
        <f>IFERROR(IF($G4310="","",VLOOKUP('Dashboard And Emails Automate'!$G4310,Database!$H:$N,7,0)),"")</f>
        <v/>
      </c>
      <c r="N4310" s="55" t="str">
        <f>IFERROR(IF(OR($B4310="",$B4310="(blank)"),"",VLOOKUP($B4310,'Email Marketing Raw Data'!$C:$O,6,0)),"")</f>
        <v/>
      </c>
      <c r="O4310" s="55" t="str">
        <f>IFERROR(IF(OR($B4310="",$B4310="(blank)"),"",VLOOKUP($B4310,'Email Marketing Raw Data'!$C:$O,7,0)),"")</f>
        <v/>
      </c>
      <c r="P4310" s="55" t="str">
        <f>IFERROR(IF(OR($B4310="",$B4310="(blank)"),"",VLOOKUP($B4310,'Email Marketing Raw Data'!$C:$O,8,0)),"")</f>
        <v/>
      </c>
      <c r="Q4310" s="62" t="str">
        <f>IFERROR(IF(OR($B4310="",$B4310="(blank)"),"",VLOOKUP($B4310,'Email Marketing Raw Data'!$C:$O,9,0)),"")</f>
        <v/>
      </c>
    </row>
    <row r="4311" spans="4:17" ht="12.75" customHeight="1" x14ac:dyDescent="0.2">
      <c r="D4311" s="58" t="str">
        <f>IFERROR(IF(F4311&lt;&gt;"pending","",IF(OR($B4311="",$B4311="(blank)"),"",VLOOKUP($B4311,'Email Marketing Raw Data'!$C:$O,10,0))),"")</f>
        <v/>
      </c>
      <c r="E4311" s="59" t="str">
        <f>IFERROR(IF(F4311&lt;&gt;"pending","",IF(OR($B4311="",$B4311="(blank)"),"",VLOOKUP($B4311,'Email Marketing Raw Data'!$C:$O,11,0))),"")</f>
        <v/>
      </c>
      <c r="F4311" s="54" t="str">
        <f>IFERROR(IF(OR($B4311="",$B4311="(blank)"),"",VLOOKUP($B4311,'Email Marketing Raw Data'!$C:$O,13,0)),"")</f>
        <v/>
      </c>
      <c r="G4311" s="55" t="str">
        <f>IFERROR(IF(OR($B4311="",$B4311="(blank)"),"",VLOOKUP($B4311,'Email Marketing Raw Data'!$C:$O,4,0)),"")</f>
        <v/>
      </c>
      <c r="H4311" s="55" t="str">
        <f>IFERROR(IF(OR($B4311="",$B4311="(blank)"),"",VLOOKUP($B4311,'Email Marketing Raw Data'!$C:$O,5,0)),"")</f>
        <v/>
      </c>
      <c r="I4311" s="55" t="str">
        <f>IFERROR(IF($G4311="","",VLOOKUP('Dashboard And Emails Automate'!$G4311,Database!$H:$N,3,0)),"")</f>
        <v/>
      </c>
      <c r="J4311" s="55" t="str">
        <f>IFERROR(IF($G4311="","",VLOOKUP('Dashboard And Emails Automate'!$G4311,Database!$H:$N,4,0)),"")</f>
        <v/>
      </c>
      <c r="K4311" s="55" t="str">
        <f>IFERROR(IF($G4311="","",VLOOKUP('Dashboard And Emails Automate'!$G4311,Database!$H:$N,5,0)),"")</f>
        <v/>
      </c>
      <c r="L4311" s="55" t="str">
        <f>IFERROR(IF($G4311="","",VLOOKUP('Dashboard And Emails Automate'!$G4311,Database!$H:$N,6,0)),"")</f>
        <v/>
      </c>
      <c r="M4311" s="55" t="str">
        <f>IFERROR(IF($G4311="","",VLOOKUP('Dashboard And Emails Automate'!$G4311,Database!$H:$N,7,0)),"")</f>
        <v/>
      </c>
      <c r="N4311" s="55" t="str">
        <f>IFERROR(IF(OR($B4311="",$B4311="(blank)"),"",VLOOKUP($B4311,'Email Marketing Raw Data'!$C:$O,6,0)),"")</f>
        <v/>
      </c>
      <c r="O4311" s="55" t="str">
        <f>IFERROR(IF(OR($B4311="",$B4311="(blank)"),"",VLOOKUP($B4311,'Email Marketing Raw Data'!$C:$O,7,0)),"")</f>
        <v/>
      </c>
      <c r="P4311" s="55" t="str">
        <f>IFERROR(IF(OR($B4311="",$B4311="(blank)"),"",VLOOKUP($B4311,'Email Marketing Raw Data'!$C:$O,8,0)),"")</f>
        <v/>
      </c>
      <c r="Q4311" s="62" t="str">
        <f>IFERROR(IF(OR($B4311="",$B4311="(blank)"),"",VLOOKUP($B4311,'Email Marketing Raw Data'!$C:$O,9,0)),"")</f>
        <v/>
      </c>
    </row>
    <row r="4312" spans="4:17" ht="12.75" customHeight="1" x14ac:dyDescent="0.2">
      <c r="D4312" s="58" t="str">
        <f>IFERROR(IF(F4312&lt;&gt;"pending","",IF(OR($B4312="",$B4312="(blank)"),"",VLOOKUP($B4312,'Email Marketing Raw Data'!$C:$O,10,0))),"")</f>
        <v/>
      </c>
      <c r="E4312" s="59" t="str">
        <f>IFERROR(IF(F4312&lt;&gt;"pending","",IF(OR($B4312="",$B4312="(blank)"),"",VLOOKUP($B4312,'Email Marketing Raw Data'!$C:$O,11,0))),"")</f>
        <v/>
      </c>
      <c r="F4312" s="54" t="str">
        <f>IFERROR(IF(OR($B4312="",$B4312="(blank)"),"",VLOOKUP($B4312,'Email Marketing Raw Data'!$C:$O,13,0)),"")</f>
        <v/>
      </c>
      <c r="G4312" s="55" t="str">
        <f>IFERROR(IF(OR($B4312="",$B4312="(blank)"),"",VLOOKUP($B4312,'Email Marketing Raw Data'!$C:$O,4,0)),"")</f>
        <v/>
      </c>
      <c r="H4312" s="55" t="str">
        <f>IFERROR(IF(OR($B4312="",$B4312="(blank)"),"",VLOOKUP($B4312,'Email Marketing Raw Data'!$C:$O,5,0)),"")</f>
        <v/>
      </c>
      <c r="I4312" s="55" t="str">
        <f>IFERROR(IF($G4312="","",VLOOKUP('Dashboard And Emails Automate'!$G4312,Database!$H:$N,3,0)),"")</f>
        <v/>
      </c>
      <c r="J4312" s="55" t="str">
        <f>IFERROR(IF($G4312="","",VLOOKUP('Dashboard And Emails Automate'!$G4312,Database!$H:$N,4,0)),"")</f>
        <v/>
      </c>
      <c r="K4312" s="55" t="str">
        <f>IFERROR(IF($G4312="","",VLOOKUP('Dashboard And Emails Automate'!$G4312,Database!$H:$N,5,0)),"")</f>
        <v/>
      </c>
      <c r="L4312" s="55" t="str">
        <f>IFERROR(IF($G4312="","",VLOOKUP('Dashboard And Emails Automate'!$G4312,Database!$H:$N,6,0)),"")</f>
        <v/>
      </c>
      <c r="M4312" s="55" t="str">
        <f>IFERROR(IF($G4312="","",VLOOKUP('Dashboard And Emails Automate'!$G4312,Database!$H:$N,7,0)),"")</f>
        <v/>
      </c>
      <c r="N4312" s="55" t="str">
        <f>IFERROR(IF(OR($B4312="",$B4312="(blank)"),"",VLOOKUP($B4312,'Email Marketing Raw Data'!$C:$O,6,0)),"")</f>
        <v/>
      </c>
      <c r="O4312" s="55" t="str">
        <f>IFERROR(IF(OR($B4312="",$B4312="(blank)"),"",VLOOKUP($B4312,'Email Marketing Raw Data'!$C:$O,7,0)),"")</f>
        <v/>
      </c>
      <c r="P4312" s="55" t="str">
        <f>IFERROR(IF(OR($B4312="",$B4312="(blank)"),"",VLOOKUP($B4312,'Email Marketing Raw Data'!$C:$O,8,0)),"")</f>
        <v/>
      </c>
      <c r="Q4312" s="62" t="str">
        <f>IFERROR(IF(OR($B4312="",$B4312="(blank)"),"",VLOOKUP($B4312,'Email Marketing Raw Data'!$C:$O,9,0)),"")</f>
        <v/>
      </c>
    </row>
    <row r="4313" spans="4:17" ht="12.75" customHeight="1" x14ac:dyDescent="0.2">
      <c r="D4313" s="58" t="str">
        <f>IFERROR(IF(F4313&lt;&gt;"pending","",IF(OR($B4313="",$B4313="(blank)"),"",VLOOKUP($B4313,'Email Marketing Raw Data'!$C:$O,10,0))),"")</f>
        <v/>
      </c>
      <c r="E4313" s="59" t="str">
        <f>IFERROR(IF(F4313&lt;&gt;"pending","",IF(OR($B4313="",$B4313="(blank)"),"",VLOOKUP($B4313,'Email Marketing Raw Data'!$C:$O,11,0))),"")</f>
        <v/>
      </c>
      <c r="F4313" s="54" t="str">
        <f>IFERROR(IF(OR($B4313="",$B4313="(blank)"),"",VLOOKUP($B4313,'Email Marketing Raw Data'!$C:$O,13,0)),"")</f>
        <v/>
      </c>
      <c r="G4313" s="55" t="str">
        <f>IFERROR(IF(OR($B4313="",$B4313="(blank)"),"",VLOOKUP($B4313,'Email Marketing Raw Data'!$C:$O,4,0)),"")</f>
        <v/>
      </c>
      <c r="H4313" s="55" t="str">
        <f>IFERROR(IF(OR($B4313="",$B4313="(blank)"),"",VLOOKUP($B4313,'Email Marketing Raw Data'!$C:$O,5,0)),"")</f>
        <v/>
      </c>
      <c r="I4313" s="55" t="str">
        <f>IFERROR(IF($G4313="","",VLOOKUP('Dashboard And Emails Automate'!$G4313,Database!$H:$N,3,0)),"")</f>
        <v/>
      </c>
      <c r="J4313" s="55" t="str">
        <f>IFERROR(IF($G4313="","",VLOOKUP('Dashboard And Emails Automate'!$G4313,Database!$H:$N,4,0)),"")</f>
        <v/>
      </c>
      <c r="K4313" s="55" t="str">
        <f>IFERROR(IF($G4313="","",VLOOKUP('Dashboard And Emails Automate'!$G4313,Database!$H:$N,5,0)),"")</f>
        <v/>
      </c>
      <c r="L4313" s="55" t="str">
        <f>IFERROR(IF($G4313="","",VLOOKUP('Dashboard And Emails Automate'!$G4313,Database!$H:$N,6,0)),"")</f>
        <v/>
      </c>
      <c r="M4313" s="55" t="str">
        <f>IFERROR(IF($G4313="","",VLOOKUP('Dashboard And Emails Automate'!$G4313,Database!$H:$N,7,0)),"")</f>
        <v/>
      </c>
      <c r="N4313" s="55" t="str">
        <f>IFERROR(IF(OR($B4313="",$B4313="(blank)"),"",VLOOKUP($B4313,'Email Marketing Raw Data'!$C:$O,6,0)),"")</f>
        <v/>
      </c>
      <c r="O4313" s="55" t="str">
        <f>IFERROR(IF(OR($B4313="",$B4313="(blank)"),"",VLOOKUP($B4313,'Email Marketing Raw Data'!$C:$O,7,0)),"")</f>
        <v/>
      </c>
      <c r="P4313" s="55" t="str">
        <f>IFERROR(IF(OR($B4313="",$B4313="(blank)"),"",VLOOKUP($B4313,'Email Marketing Raw Data'!$C:$O,8,0)),"")</f>
        <v/>
      </c>
      <c r="Q4313" s="62" t="str">
        <f>IFERROR(IF(OR($B4313="",$B4313="(blank)"),"",VLOOKUP($B4313,'Email Marketing Raw Data'!$C:$O,9,0)),"")</f>
        <v/>
      </c>
    </row>
    <row r="4314" spans="4:17" ht="12.75" customHeight="1" x14ac:dyDescent="0.2">
      <c r="D4314" s="58" t="str">
        <f>IFERROR(IF(F4314&lt;&gt;"pending","",IF(OR($B4314="",$B4314="(blank)"),"",VLOOKUP($B4314,'Email Marketing Raw Data'!$C:$O,10,0))),"")</f>
        <v/>
      </c>
      <c r="E4314" s="59" t="str">
        <f>IFERROR(IF(F4314&lt;&gt;"pending","",IF(OR($B4314="",$B4314="(blank)"),"",VLOOKUP($B4314,'Email Marketing Raw Data'!$C:$O,11,0))),"")</f>
        <v/>
      </c>
      <c r="F4314" s="54" t="str">
        <f>IFERROR(IF(OR($B4314="",$B4314="(blank)"),"",VLOOKUP($B4314,'Email Marketing Raw Data'!$C:$O,13,0)),"")</f>
        <v/>
      </c>
      <c r="G4314" s="55" t="str">
        <f>IFERROR(IF(OR($B4314="",$B4314="(blank)"),"",VLOOKUP($B4314,'Email Marketing Raw Data'!$C:$O,4,0)),"")</f>
        <v/>
      </c>
      <c r="H4314" s="55" t="str">
        <f>IFERROR(IF(OR($B4314="",$B4314="(blank)"),"",VLOOKUP($B4314,'Email Marketing Raw Data'!$C:$O,5,0)),"")</f>
        <v/>
      </c>
      <c r="I4314" s="55" t="str">
        <f>IFERROR(IF($G4314="","",VLOOKUP('Dashboard And Emails Automate'!$G4314,Database!$H:$N,3,0)),"")</f>
        <v/>
      </c>
      <c r="J4314" s="55" t="str">
        <f>IFERROR(IF($G4314="","",VLOOKUP('Dashboard And Emails Automate'!$G4314,Database!$H:$N,4,0)),"")</f>
        <v/>
      </c>
      <c r="K4314" s="55" t="str">
        <f>IFERROR(IF($G4314="","",VLOOKUP('Dashboard And Emails Automate'!$G4314,Database!$H:$N,5,0)),"")</f>
        <v/>
      </c>
      <c r="L4314" s="55" t="str">
        <f>IFERROR(IF($G4314="","",VLOOKUP('Dashboard And Emails Automate'!$G4314,Database!$H:$N,6,0)),"")</f>
        <v/>
      </c>
      <c r="M4314" s="55" t="str">
        <f>IFERROR(IF($G4314="","",VLOOKUP('Dashboard And Emails Automate'!$G4314,Database!$H:$N,7,0)),"")</f>
        <v/>
      </c>
      <c r="N4314" s="55" t="str">
        <f>IFERROR(IF(OR($B4314="",$B4314="(blank)"),"",VLOOKUP($B4314,'Email Marketing Raw Data'!$C:$O,6,0)),"")</f>
        <v/>
      </c>
      <c r="O4314" s="55" t="str">
        <f>IFERROR(IF(OR($B4314="",$B4314="(blank)"),"",VLOOKUP($B4314,'Email Marketing Raw Data'!$C:$O,7,0)),"")</f>
        <v/>
      </c>
      <c r="P4314" s="55" t="str">
        <f>IFERROR(IF(OR($B4314="",$B4314="(blank)"),"",VLOOKUP($B4314,'Email Marketing Raw Data'!$C:$O,8,0)),"")</f>
        <v/>
      </c>
      <c r="Q4314" s="62" t="str">
        <f>IFERROR(IF(OR($B4314="",$B4314="(blank)"),"",VLOOKUP($B4314,'Email Marketing Raw Data'!$C:$O,9,0)),"")</f>
        <v/>
      </c>
    </row>
    <row r="4315" spans="4:17" ht="12.75" customHeight="1" x14ac:dyDescent="0.2">
      <c r="D4315" s="58" t="str">
        <f>IFERROR(IF(F4315&lt;&gt;"pending","",IF(OR($B4315="",$B4315="(blank)"),"",VLOOKUP($B4315,'Email Marketing Raw Data'!$C:$O,10,0))),"")</f>
        <v/>
      </c>
      <c r="E4315" s="59" t="str">
        <f>IFERROR(IF(F4315&lt;&gt;"pending","",IF(OR($B4315="",$B4315="(blank)"),"",VLOOKUP($B4315,'Email Marketing Raw Data'!$C:$O,11,0))),"")</f>
        <v/>
      </c>
      <c r="F4315" s="54" t="str">
        <f>IFERROR(IF(OR($B4315="",$B4315="(blank)"),"",VLOOKUP($B4315,'Email Marketing Raw Data'!$C:$O,13,0)),"")</f>
        <v/>
      </c>
      <c r="G4315" s="55" t="str">
        <f>IFERROR(IF(OR($B4315="",$B4315="(blank)"),"",VLOOKUP($B4315,'Email Marketing Raw Data'!$C:$O,4,0)),"")</f>
        <v/>
      </c>
      <c r="H4315" s="55" t="str">
        <f>IFERROR(IF(OR($B4315="",$B4315="(blank)"),"",VLOOKUP($B4315,'Email Marketing Raw Data'!$C:$O,5,0)),"")</f>
        <v/>
      </c>
      <c r="I4315" s="55" t="str">
        <f>IFERROR(IF($G4315="","",VLOOKUP('Dashboard And Emails Automate'!$G4315,Database!$H:$N,3,0)),"")</f>
        <v/>
      </c>
      <c r="J4315" s="55" t="str">
        <f>IFERROR(IF($G4315="","",VLOOKUP('Dashboard And Emails Automate'!$G4315,Database!$H:$N,4,0)),"")</f>
        <v/>
      </c>
      <c r="K4315" s="55" t="str">
        <f>IFERROR(IF($G4315="","",VLOOKUP('Dashboard And Emails Automate'!$G4315,Database!$H:$N,5,0)),"")</f>
        <v/>
      </c>
      <c r="L4315" s="55" t="str">
        <f>IFERROR(IF($G4315="","",VLOOKUP('Dashboard And Emails Automate'!$G4315,Database!$H:$N,6,0)),"")</f>
        <v/>
      </c>
      <c r="M4315" s="55" t="str">
        <f>IFERROR(IF($G4315="","",VLOOKUP('Dashboard And Emails Automate'!$G4315,Database!$H:$N,7,0)),"")</f>
        <v/>
      </c>
      <c r="N4315" s="55" t="str">
        <f>IFERROR(IF(OR($B4315="",$B4315="(blank)"),"",VLOOKUP($B4315,'Email Marketing Raw Data'!$C:$O,6,0)),"")</f>
        <v/>
      </c>
      <c r="O4315" s="55" t="str">
        <f>IFERROR(IF(OR($B4315="",$B4315="(blank)"),"",VLOOKUP($B4315,'Email Marketing Raw Data'!$C:$O,7,0)),"")</f>
        <v/>
      </c>
      <c r="P4315" s="55" t="str">
        <f>IFERROR(IF(OR($B4315="",$B4315="(blank)"),"",VLOOKUP($B4315,'Email Marketing Raw Data'!$C:$O,8,0)),"")</f>
        <v/>
      </c>
      <c r="Q4315" s="62" t="str">
        <f>IFERROR(IF(OR($B4315="",$B4315="(blank)"),"",VLOOKUP($B4315,'Email Marketing Raw Data'!$C:$O,9,0)),"")</f>
        <v/>
      </c>
    </row>
    <row r="4316" spans="4:17" ht="12.75" customHeight="1" x14ac:dyDescent="0.2">
      <c r="D4316" s="58" t="str">
        <f>IFERROR(IF(F4316&lt;&gt;"pending","",IF(OR($B4316="",$B4316="(blank)"),"",VLOOKUP($B4316,'Email Marketing Raw Data'!$C:$O,10,0))),"")</f>
        <v/>
      </c>
      <c r="E4316" s="59" t="str">
        <f>IFERROR(IF(F4316&lt;&gt;"pending","",IF(OR($B4316="",$B4316="(blank)"),"",VLOOKUP($B4316,'Email Marketing Raw Data'!$C:$O,11,0))),"")</f>
        <v/>
      </c>
      <c r="F4316" s="54" t="str">
        <f>IFERROR(IF(OR($B4316="",$B4316="(blank)"),"",VLOOKUP($B4316,'Email Marketing Raw Data'!$C:$O,13,0)),"")</f>
        <v/>
      </c>
      <c r="G4316" s="55" t="str">
        <f>IFERROR(IF(OR($B4316="",$B4316="(blank)"),"",VLOOKUP($B4316,'Email Marketing Raw Data'!$C:$O,4,0)),"")</f>
        <v/>
      </c>
      <c r="H4316" s="55" t="str">
        <f>IFERROR(IF(OR($B4316="",$B4316="(blank)"),"",VLOOKUP($B4316,'Email Marketing Raw Data'!$C:$O,5,0)),"")</f>
        <v/>
      </c>
      <c r="I4316" s="55" t="str">
        <f>IFERROR(IF($G4316="","",VLOOKUP('Dashboard And Emails Automate'!$G4316,Database!$H:$N,3,0)),"")</f>
        <v/>
      </c>
      <c r="J4316" s="55" t="str">
        <f>IFERROR(IF($G4316="","",VLOOKUP('Dashboard And Emails Automate'!$G4316,Database!$H:$N,4,0)),"")</f>
        <v/>
      </c>
      <c r="K4316" s="55" t="str">
        <f>IFERROR(IF($G4316="","",VLOOKUP('Dashboard And Emails Automate'!$G4316,Database!$H:$N,5,0)),"")</f>
        <v/>
      </c>
      <c r="L4316" s="55" t="str">
        <f>IFERROR(IF($G4316="","",VLOOKUP('Dashboard And Emails Automate'!$G4316,Database!$H:$N,6,0)),"")</f>
        <v/>
      </c>
      <c r="M4316" s="55" t="str">
        <f>IFERROR(IF($G4316="","",VLOOKUP('Dashboard And Emails Automate'!$G4316,Database!$H:$N,7,0)),"")</f>
        <v/>
      </c>
      <c r="N4316" s="55" t="str">
        <f>IFERROR(IF(OR($B4316="",$B4316="(blank)"),"",VLOOKUP($B4316,'Email Marketing Raw Data'!$C:$O,6,0)),"")</f>
        <v/>
      </c>
      <c r="O4316" s="55" t="str">
        <f>IFERROR(IF(OR($B4316="",$B4316="(blank)"),"",VLOOKUP($B4316,'Email Marketing Raw Data'!$C:$O,7,0)),"")</f>
        <v/>
      </c>
      <c r="P4316" s="55" t="str">
        <f>IFERROR(IF(OR($B4316="",$B4316="(blank)"),"",VLOOKUP($B4316,'Email Marketing Raw Data'!$C:$O,8,0)),"")</f>
        <v/>
      </c>
      <c r="Q4316" s="62" t="str">
        <f>IFERROR(IF(OR($B4316="",$B4316="(blank)"),"",VLOOKUP($B4316,'Email Marketing Raw Data'!$C:$O,9,0)),"")</f>
        <v/>
      </c>
    </row>
    <row r="4317" spans="4:17" ht="12.75" customHeight="1" x14ac:dyDescent="0.2">
      <c r="D4317" s="58" t="str">
        <f>IFERROR(IF(F4317&lt;&gt;"pending","",IF(OR($B4317="",$B4317="(blank)"),"",VLOOKUP($B4317,'Email Marketing Raw Data'!$C:$O,10,0))),"")</f>
        <v/>
      </c>
      <c r="E4317" s="59" t="str">
        <f>IFERROR(IF(F4317&lt;&gt;"pending","",IF(OR($B4317="",$B4317="(blank)"),"",VLOOKUP($B4317,'Email Marketing Raw Data'!$C:$O,11,0))),"")</f>
        <v/>
      </c>
      <c r="F4317" s="54" t="str">
        <f>IFERROR(IF(OR($B4317="",$B4317="(blank)"),"",VLOOKUP($B4317,'Email Marketing Raw Data'!$C:$O,13,0)),"")</f>
        <v/>
      </c>
      <c r="G4317" s="55" t="str">
        <f>IFERROR(IF(OR($B4317="",$B4317="(blank)"),"",VLOOKUP($B4317,'Email Marketing Raw Data'!$C:$O,4,0)),"")</f>
        <v/>
      </c>
      <c r="H4317" s="55" t="str">
        <f>IFERROR(IF(OR($B4317="",$B4317="(blank)"),"",VLOOKUP($B4317,'Email Marketing Raw Data'!$C:$O,5,0)),"")</f>
        <v/>
      </c>
      <c r="I4317" s="55" t="str">
        <f>IFERROR(IF($G4317="","",VLOOKUP('Dashboard And Emails Automate'!$G4317,Database!$H:$N,3,0)),"")</f>
        <v/>
      </c>
      <c r="J4317" s="55" t="str">
        <f>IFERROR(IF($G4317="","",VLOOKUP('Dashboard And Emails Automate'!$G4317,Database!$H:$N,4,0)),"")</f>
        <v/>
      </c>
      <c r="K4317" s="55" t="str">
        <f>IFERROR(IF($G4317="","",VLOOKUP('Dashboard And Emails Automate'!$G4317,Database!$H:$N,5,0)),"")</f>
        <v/>
      </c>
      <c r="L4317" s="55" t="str">
        <f>IFERROR(IF($G4317="","",VLOOKUP('Dashboard And Emails Automate'!$G4317,Database!$H:$N,6,0)),"")</f>
        <v/>
      </c>
      <c r="M4317" s="55" t="str">
        <f>IFERROR(IF($G4317="","",VLOOKUP('Dashboard And Emails Automate'!$G4317,Database!$H:$N,7,0)),"")</f>
        <v/>
      </c>
      <c r="N4317" s="55" t="str">
        <f>IFERROR(IF(OR($B4317="",$B4317="(blank)"),"",VLOOKUP($B4317,'Email Marketing Raw Data'!$C:$O,6,0)),"")</f>
        <v/>
      </c>
      <c r="O4317" s="55" t="str">
        <f>IFERROR(IF(OR($B4317="",$B4317="(blank)"),"",VLOOKUP($B4317,'Email Marketing Raw Data'!$C:$O,7,0)),"")</f>
        <v/>
      </c>
      <c r="P4317" s="55" t="str">
        <f>IFERROR(IF(OR($B4317="",$B4317="(blank)"),"",VLOOKUP($B4317,'Email Marketing Raw Data'!$C:$O,8,0)),"")</f>
        <v/>
      </c>
      <c r="Q4317" s="62" t="str">
        <f>IFERROR(IF(OR($B4317="",$B4317="(blank)"),"",VLOOKUP($B4317,'Email Marketing Raw Data'!$C:$O,9,0)),"")</f>
        <v/>
      </c>
    </row>
    <row r="4318" spans="4:17" ht="12.75" customHeight="1" x14ac:dyDescent="0.2">
      <c r="D4318" s="58" t="str">
        <f>IFERROR(IF(F4318&lt;&gt;"pending","",IF(OR($B4318="",$B4318="(blank)"),"",VLOOKUP($B4318,'Email Marketing Raw Data'!$C:$O,10,0))),"")</f>
        <v/>
      </c>
      <c r="E4318" s="59" t="str">
        <f>IFERROR(IF(F4318&lt;&gt;"pending","",IF(OR($B4318="",$B4318="(blank)"),"",VLOOKUP($B4318,'Email Marketing Raw Data'!$C:$O,11,0))),"")</f>
        <v/>
      </c>
      <c r="F4318" s="54" t="str">
        <f>IFERROR(IF(OR($B4318="",$B4318="(blank)"),"",VLOOKUP($B4318,'Email Marketing Raw Data'!$C:$O,13,0)),"")</f>
        <v/>
      </c>
      <c r="G4318" s="55" t="str">
        <f>IFERROR(IF(OR($B4318="",$B4318="(blank)"),"",VLOOKUP($B4318,'Email Marketing Raw Data'!$C:$O,4,0)),"")</f>
        <v/>
      </c>
      <c r="H4318" s="55" t="str">
        <f>IFERROR(IF(OR($B4318="",$B4318="(blank)"),"",VLOOKUP($B4318,'Email Marketing Raw Data'!$C:$O,5,0)),"")</f>
        <v/>
      </c>
      <c r="I4318" s="55" t="str">
        <f>IFERROR(IF($G4318="","",VLOOKUP('Dashboard And Emails Automate'!$G4318,Database!$H:$N,3,0)),"")</f>
        <v/>
      </c>
      <c r="J4318" s="55" t="str">
        <f>IFERROR(IF($G4318="","",VLOOKUP('Dashboard And Emails Automate'!$G4318,Database!$H:$N,4,0)),"")</f>
        <v/>
      </c>
      <c r="K4318" s="55" t="str">
        <f>IFERROR(IF($G4318="","",VLOOKUP('Dashboard And Emails Automate'!$G4318,Database!$H:$N,5,0)),"")</f>
        <v/>
      </c>
      <c r="L4318" s="55" t="str">
        <f>IFERROR(IF($G4318="","",VLOOKUP('Dashboard And Emails Automate'!$G4318,Database!$H:$N,6,0)),"")</f>
        <v/>
      </c>
      <c r="M4318" s="55" t="str">
        <f>IFERROR(IF($G4318="","",VLOOKUP('Dashboard And Emails Automate'!$G4318,Database!$H:$N,7,0)),"")</f>
        <v/>
      </c>
      <c r="N4318" s="55" t="str">
        <f>IFERROR(IF(OR($B4318="",$B4318="(blank)"),"",VLOOKUP($B4318,'Email Marketing Raw Data'!$C:$O,6,0)),"")</f>
        <v/>
      </c>
      <c r="O4318" s="55" t="str">
        <f>IFERROR(IF(OR($B4318="",$B4318="(blank)"),"",VLOOKUP($B4318,'Email Marketing Raw Data'!$C:$O,7,0)),"")</f>
        <v/>
      </c>
      <c r="P4318" s="55" t="str">
        <f>IFERROR(IF(OR($B4318="",$B4318="(blank)"),"",VLOOKUP($B4318,'Email Marketing Raw Data'!$C:$O,8,0)),"")</f>
        <v/>
      </c>
      <c r="Q4318" s="62" t="str">
        <f>IFERROR(IF(OR($B4318="",$B4318="(blank)"),"",VLOOKUP($B4318,'Email Marketing Raw Data'!$C:$O,9,0)),"")</f>
        <v/>
      </c>
    </row>
    <row r="4319" spans="4:17" ht="12.75" customHeight="1" x14ac:dyDescent="0.2">
      <c r="D4319" s="58" t="str">
        <f>IFERROR(IF(F4319&lt;&gt;"pending","",IF(OR($B4319="",$B4319="(blank)"),"",VLOOKUP($B4319,'Email Marketing Raw Data'!$C:$O,10,0))),"")</f>
        <v/>
      </c>
      <c r="E4319" s="59" t="str">
        <f>IFERROR(IF(F4319&lt;&gt;"pending","",IF(OR($B4319="",$B4319="(blank)"),"",VLOOKUP($B4319,'Email Marketing Raw Data'!$C:$O,11,0))),"")</f>
        <v/>
      </c>
      <c r="F4319" s="54" t="str">
        <f>IFERROR(IF(OR($B4319="",$B4319="(blank)"),"",VLOOKUP($B4319,'Email Marketing Raw Data'!$C:$O,13,0)),"")</f>
        <v/>
      </c>
      <c r="G4319" s="55" t="str">
        <f>IFERROR(IF(OR($B4319="",$B4319="(blank)"),"",VLOOKUP($B4319,'Email Marketing Raw Data'!$C:$O,4,0)),"")</f>
        <v/>
      </c>
      <c r="H4319" s="55" t="str">
        <f>IFERROR(IF(OR($B4319="",$B4319="(blank)"),"",VLOOKUP($B4319,'Email Marketing Raw Data'!$C:$O,5,0)),"")</f>
        <v/>
      </c>
      <c r="I4319" s="55" t="str">
        <f>IFERROR(IF($G4319="","",VLOOKUP('Dashboard And Emails Automate'!$G4319,Database!$H:$N,3,0)),"")</f>
        <v/>
      </c>
      <c r="J4319" s="55" t="str">
        <f>IFERROR(IF($G4319="","",VLOOKUP('Dashboard And Emails Automate'!$G4319,Database!$H:$N,4,0)),"")</f>
        <v/>
      </c>
      <c r="K4319" s="55" t="str">
        <f>IFERROR(IF($G4319="","",VLOOKUP('Dashboard And Emails Automate'!$G4319,Database!$H:$N,5,0)),"")</f>
        <v/>
      </c>
      <c r="L4319" s="55" t="str">
        <f>IFERROR(IF($G4319="","",VLOOKUP('Dashboard And Emails Automate'!$G4319,Database!$H:$N,6,0)),"")</f>
        <v/>
      </c>
      <c r="M4319" s="55" t="str">
        <f>IFERROR(IF($G4319="","",VLOOKUP('Dashboard And Emails Automate'!$G4319,Database!$H:$N,7,0)),"")</f>
        <v/>
      </c>
      <c r="N4319" s="55" t="str">
        <f>IFERROR(IF(OR($B4319="",$B4319="(blank)"),"",VLOOKUP($B4319,'Email Marketing Raw Data'!$C:$O,6,0)),"")</f>
        <v/>
      </c>
      <c r="O4319" s="55" t="str">
        <f>IFERROR(IF(OR($B4319="",$B4319="(blank)"),"",VLOOKUP($B4319,'Email Marketing Raw Data'!$C:$O,7,0)),"")</f>
        <v/>
      </c>
      <c r="P4319" s="55" t="str">
        <f>IFERROR(IF(OR($B4319="",$B4319="(blank)"),"",VLOOKUP($B4319,'Email Marketing Raw Data'!$C:$O,8,0)),"")</f>
        <v/>
      </c>
      <c r="Q4319" s="62" t="str">
        <f>IFERROR(IF(OR($B4319="",$B4319="(blank)"),"",VLOOKUP($B4319,'Email Marketing Raw Data'!$C:$O,9,0)),"")</f>
        <v/>
      </c>
    </row>
    <row r="4320" spans="4:17" ht="12.75" customHeight="1" x14ac:dyDescent="0.2">
      <c r="D4320" s="58" t="str">
        <f>IFERROR(IF(F4320&lt;&gt;"pending","",IF(OR($B4320="",$B4320="(blank)"),"",VLOOKUP($B4320,'Email Marketing Raw Data'!$C:$O,10,0))),"")</f>
        <v/>
      </c>
      <c r="E4320" s="59" t="str">
        <f>IFERROR(IF(F4320&lt;&gt;"pending","",IF(OR($B4320="",$B4320="(blank)"),"",VLOOKUP($B4320,'Email Marketing Raw Data'!$C:$O,11,0))),"")</f>
        <v/>
      </c>
      <c r="F4320" s="54" t="str">
        <f>IFERROR(IF(OR($B4320="",$B4320="(blank)"),"",VLOOKUP($B4320,'Email Marketing Raw Data'!$C:$O,13,0)),"")</f>
        <v/>
      </c>
      <c r="G4320" s="55" t="str">
        <f>IFERROR(IF(OR($B4320="",$B4320="(blank)"),"",VLOOKUP($B4320,'Email Marketing Raw Data'!$C:$O,4,0)),"")</f>
        <v/>
      </c>
      <c r="H4320" s="55" t="str">
        <f>IFERROR(IF(OR($B4320="",$B4320="(blank)"),"",VLOOKUP($B4320,'Email Marketing Raw Data'!$C:$O,5,0)),"")</f>
        <v/>
      </c>
      <c r="I4320" s="55" t="str">
        <f>IFERROR(IF($G4320="","",VLOOKUP('Dashboard And Emails Automate'!$G4320,Database!$H:$N,3,0)),"")</f>
        <v/>
      </c>
      <c r="J4320" s="55" t="str">
        <f>IFERROR(IF($G4320="","",VLOOKUP('Dashboard And Emails Automate'!$G4320,Database!$H:$N,4,0)),"")</f>
        <v/>
      </c>
      <c r="K4320" s="55" t="str">
        <f>IFERROR(IF($G4320="","",VLOOKUP('Dashboard And Emails Automate'!$G4320,Database!$H:$N,5,0)),"")</f>
        <v/>
      </c>
      <c r="L4320" s="55" t="str">
        <f>IFERROR(IF($G4320="","",VLOOKUP('Dashboard And Emails Automate'!$G4320,Database!$H:$N,6,0)),"")</f>
        <v/>
      </c>
      <c r="M4320" s="55" t="str">
        <f>IFERROR(IF($G4320="","",VLOOKUP('Dashboard And Emails Automate'!$G4320,Database!$H:$N,7,0)),"")</f>
        <v/>
      </c>
      <c r="N4320" s="55" t="str">
        <f>IFERROR(IF(OR($B4320="",$B4320="(blank)"),"",VLOOKUP($B4320,'Email Marketing Raw Data'!$C:$O,6,0)),"")</f>
        <v/>
      </c>
      <c r="O4320" s="55" t="str">
        <f>IFERROR(IF(OR($B4320="",$B4320="(blank)"),"",VLOOKUP($B4320,'Email Marketing Raw Data'!$C:$O,7,0)),"")</f>
        <v/>
      </c>
      <c r="P4320" s="55" t="str">
        <f>IFERROR(IF(OR($B4320="",$B4320="(blank)"),"",VLOOKUP($B4320,'Email Marketing Raw Data'!$C:$O,8,0)),"")</f>
        <v/>
      </c>
      <c r="Q4320" s="62" t="str">
        <f>IFERROR(IF(OR($B4320="",$B4320="(blank)"),"",VLOOKUP($B4320,'Email Marketing Raw Data'!$C:$O,9,0)),"")</f>
        <v/>
      </c>
    </row>
    <row r="4321" spans="4:17" ht="12.75" customHeight="1" x14ac:dyDescent="0.2">
      <c r="D4321" s="58" t="str">
        <f>IFERROR(IF(F4321&lt;&gt;"pending","",IF(OR($B4321="",$B4321="(blank)"),"",VLOOKUP($B4321,'Email Marketing Raw Data'!$C:$O,10,0))),"")</f>
        <v/>
      </c>
      <c r="E4321" s="59" t="str">
        <f>IFERROR(IF(F4321&lt;&gt;"pending","",IF(OR($B4321="",$B4321="(blank)"),"",VLOOKUP($B4321,'Email Marketing Raw Data'!$C:$O,11,0))),"")</f>
        <v/>
      </c>
      <c r="F4321" s="54" t="str">
        <f>IFERROR(IF(OR($B4321="",$B4321="(blank)"),"",VLOOKUP($B4321,'Email Marketing Raw Data'!$C:$O,13,0)),"")</f>
        <v/>
      </c>
      <c r="G4321" s="55" t="str">
        <f>IFERROR(IF(OR($B4321="",$B4321="(blank)"),"",VLOOKUP($B4321,'Email Marketing Raw Data'!$C:$O,4,0)),"")</f>
        <v/>
      </c>
      <c r="H4321" s="55" t="str">
        <f>IFERROR(IF(OR($B4321="",$B4321="(blank)"),"",VLOOKUP($B4321,'Email Marketing Raw Data'!$C:$O,5,0)),"")</f>
        <v/>
      </c>
      <c r="I4321" s="55" t="str">
        <f>IFERROR(IF($G4321="","",VLOOKUP('Dashboard And Emails Automate'!$G4321,Database!$H:$N,3,0)),"")</f>
        <v/>
      </c>
      <c r="J4321" s="55" t="str">
        <f>IFERROR(IF($G4321="","",VLOOKUP('Dashboard And Emails Automate'!$G4321,Database!$H:$N,4,0)),"")</f>
        <v/>
      </c>
      <c r="K4321" s="55" t="str">
        <f>IFERROR(IF($G4321="","",VLOOKUP('Dashboard And Emails Automate'!$G4321,Database!$H:$N,5,0)),"")</f>
        <v/>
      </c>
      <c r="L4321" s="55" t="str">
        <f>IFERROR(IF($G4321="","",VLOOKUP('Dashboard And Emails Automate'!$G4321,Database!$H:$N,6,0)),"")</f>
        <v/>
      </c>
      <c r="M4321" s="55" t="str">
        <f>IFERROR(IF($G4321="","",VLOOKUP('Dashboard And Emails Automate'!$G4321,Database!$H:$N,7,0)),"")</f>
        <v/>
      </c>
      <c r="N4321" s="55" t="str">
        <f>IFERROR(IF(OR($B4321="",$B4321="(blank)"),"",VLOOKUP($B4321,'Email Marketing Raw Data'!$C:$O,6,0)),"")</f>
        <v/>
      </c>
      <c r="O4321" s="55" t="str">
        <f>IFERROR(IF(OR($B4321="",$B4321="(blank)"),"",VLOOKUP($B4321,'Email Marketing Raw Data'!$C:$O,7,0)),"")</f>
        <v/>
      </c>
      <c r="P4321" s="55" t="str">
        <f>IFERROR(IF(OR($B4321="",$B4321="(blank)"),"",VLOOKUP($B4321,'Email Marketing Raw Data'!$C:$O,8,0)),"")</f>
        <v/>
      </c>
      <c r="Q4321" s="62" t="str">
        <f>IFERROR(IF(OR($B4321="",$B4321="(blank)"),"",VLOOKUP($B4321,'Email Marketing Raw Data'!$C:$O,9,0)),"")</f>
        <v/>
      </c>
    </row>
    <row r="4322" spans="4:17" ht="12.75" customHeight="1" x14ac:dyDescent="0.2">
      <c r="D4322" s="58" t="str">
        <f>IFERROR(IF(F4322&lt;&gt;"pending","",IF(OR($B4322="",$B4322="(blank)"),"",VLOOKUP($B4322,'Email Marketing Raw Data'!$C:$O,10,0))),"")</f>
        <v/>
      </c>
      <c r="E4322" s="59" t="str">
        <f>IFERROR(IF(F4322&lt;&gt;"pending","",IF(OR($B4322="",$B4322="(blank)"),"",VLOOKUP($B4322,'Email Marketing Raw Data'!$C:$O,11,0))),"")</f>
        <v/>
      </c>
      <c r="F4322" s="54" t="str">
        <f>IFERROR(IF(OR($B4322="",$B4322="(blank)"),"",VLOOKUP($B4322,'Email Marketing Raw Data'!$C:$O,13,0)),"")</f>
        <v/>
      </c>
      <c r="G4322" s="55" t="str">
        <f>IFERROR(IF(OR($B4322="",$B4322="(blank)"),"",VLOOKUP($B4322,'Email Marketing Raw Data'!$C:$O,4,0)),"")</f>
        <v/>
      </c>
      <c r="H4322" s="55" t="str">
        <f>IFERROR(IF(OR($B4322="",$B4322="(blank)"),"",VLOOKUP($B4322,'Email Marketing Raw Data'!$C:$O,5,0)),"")</f>
        <v/>
      </c>
      <c r="I4322" s="55" t="str">
        <f>IFERROR(IF($G4322="","",VLOOKUP('Dashboard And Emails Automate'!$G4322,Database!$H:$N,3,0)),"")</f>
        <v/>
      </c>
      <c r="J4322" s="55" t="str">
        <f>IFERROR(IF($G4322="","",VLOOKUP('Dashboard And Emails Automate'!$G4322,Database!$H:$N,4,0)),"")</f>
        <v/>
      </c>
      <c r="K4322" s="55" t="str">
        <f>IFERROR(IF($G4322="","",VLOOKUP('Dashboard And Emails Automate'!$G4322,Database!$H:$N,5,0)),"")</f>
        <v/>
      </c>
      <c r="L4322" s="55" t="str">
        <f>IFERROR(IF($G4322="","",VLOOKUP('Dashboard And Emails Automate'!$G4322,Database!$H:$N,6,0)),"")</f>
        <v/>
      </c>
      <c r="M4322" s="55" t="str">
        <f>IFERROR(IF($G4322="","",VLOOKUP('Dashboard And Emails Automate'!$G4322,Database!$H:$N,7,0)),"")</f>
        <v/>
      </c>
      <c r="N4322" s="55" t="str">
        <f>IFERROR(IF(OR($B4322="",$B4322="(blank)"),"",VLOOKUP($B4322,'Email Marketing Raw Data'!$C:$O,6,0)),"")</f>
        <v/>
      </c>
      <c r="O4322" s="55" t="str">
        <f>IFERROR(IF(OR($B4322="",$B4322="(blank)"),"",VLOOKUP($B4322,'Email Marketing Raw Data'!$C:$O,7,0)),"")</f>
        <v/>
      </c>
      <c r="P4322" s="55" t="str">
        <f>IFERROR(IF(OR($B4322="",$B4322="(blank)"),"",VLOOKUP($B4322,'Email Marketing Raw Data'!$C:$O,8,0)),"")</f>
        <v/>
      </c>
      <c r="Q4322" s="62" t="str">
        <f>IFERROR(IF(OR($B4322="",$B4322="(blank)"),"",VLOOKUP($B4322,'Email Marketing Raw Data'!$C:$O,9,0)),"")</f>
        <v/>
      </c>
    </row>
    <row r="4323" spans="4:17" ht="12.75" customHeight="1" x14ac:dyDescent="0.2">
      <c r="D4323" s="58" t="str">
        <f>IFERROR(IF(F4323&lt;&gt;"pending","",IF(OR($B4323="",$B4323="(blank)"),"",VLOOKUP($B4323,'Email Marketing Raw Data'!$C:$O,10,0))),"")</f>
        <v/>
      </c>
      <c r="E4323" s="59" t="str">
        <f>IFERROR(IF(F4323&lt;&gt;"pending","",IF(OR($B4323="",$B4323="(blank)"),"",VLOOKUP($B4323,'Email Marketing Raw Data'!$C:$O,11,0))),"")</f>
        <v/>
      </c>
      <c r="F4323" s="54" t="str">
        <f>IFERROR(IF(OR($B4323="",$B4323="(blank)"),"",VLOOKUP($B4323,'Email Marketing Raw Data'!$C:$O,13,0)),"")</f>
        <v/>
      </c>
      <c r="G4323" s="55" t="str">
        <f>IFERROR(IF(OR($B4323="",$B4323="(blank)"),"",VLOOKUP($B4323,'Email Marketing Raw Data'!$C:$O,4,0)),"")</f>
        <v/>
      </c>
      <c r="H4323" s="55" t="str">
        <f>IFERROR(IF(OR($B4323="",$B4323="(blank)"),"",VLOOKUP($B4323,'Email Marketing Raw Data'!$C:$O,5,0)),"")</f>
        <v/>
      </c>
      <c r="I4323" s="55" t="str">
        <f>IFERROR(IF($G4323="","",VLOOKUP('Dashboard And Emails Automate'!$G4323,Database!$H:$N,3,0)),"")</f>
        <v/>
      </c>
      <c r="J4323" s="55" t="str">
        <f>IFERROR(IF($G4323="","",VLOOKUP('Dashboard And Emails Automate'!$G4323,Database!$H:$N,4,0)),"")</f>
        <v/>
      </c>
      <c r="K4323" s="55" t="str">
        <f>IFERROR(IF($G4323="","",VLOOKUP('Dashboard And Emails Automate'!$G4323,Database!$H:$N,5,0)),"")</f>
        <v/>
      </c>
      <c r="L4323" s="55" t="str">
        <f>IFERROR(IF($G4323="","",VLOOKUP('Dashboard And Emails Automate'!$G4323,Database!$H:$N,6,0)),"")</f>
        <v/>
      </c>
      <c r="M4323" s="55" t="str">
        <f>IFERROR(IF($G4323="","",VLOOKUP('Dashboard And Emails Automate'!$G4323,Database!$H:$N,7,0)),"")</f>
        <v/>
      </c>
      <c r="N4323" s="55" t="str">
        <f>IFERROR(IF(OR($B4323="",$B4323="(blank)"),"",VLOOKUP($B4323,'Email Marketing Raw Data'!$C:$O,6,0)),"")</f>
        <v/>
      </c>
      <c r="O4323" s="55" t="str">
        <f>IFERROR(IF(OR($B4323="",$B4323="(blank)"),"",VLOOKUP($B4323,'Email Marketing Raw Data'!$C:$O,7,0)),"")</f>
        <v/>
      </c>
      <c r="P4323" s="55" t="str">
        <f>IFERROR(IF(OR($B4323="",$B4323="(blank)"),"",VLOOKUP($B4323,'Email Marketing Raw Data'!$C:$O,8,0)),"")</f>
        <v/>
      </c>
      <c r="Q4323" s="62" t="str">
        <f>IFERROR(IF(OR($B4323="",$B4323="(blank)"),"",VLOOKUP($B4323,'Email Marketing Raw Data'!$C:$O,9,0)),"")</f>
        <v/>
      </c>
    </row>
    <row r="4324" spans="4:17" ht="12.75" customHeight="1" x14ac:dyDescent="0.2">
      <c r="D4324" s="58" t="str">
        <f>IFERROR(IF(F4324&lt;&gt;"pending","",IF(OR($B4324="",$B4324="(blank)"),"",VLOOKUP($B4324,'Email Marketing Raw Data'!$C:$O,10,0))),"")</f>
        <v/>
      </c>
      <c r="E4324" s="59" t="str">
        <f>IFERROR(IF(F4324&lt;&gt;"pending","",IF(OR($B4324="",$B4324="(blank)"),"",VLOOKUP($B4324,'Email Marketing Raw Data'!$C:$O,11,0))),"")</f>
        <v/>
      </c>
      <c r="F4324" s="54" t="str">
        <f>IFERROR(IF(OR($B4324="",$B4324="(blank)"),"",VLOOKUP($B4324,'Email Marketing Raw Data'!$C:$O,13,0)),"")</f>
        <v/>
      </c>
      <c r="G4324" s="55" t="str">
        <f>IFERROR(IF(OR($B4324="",$B4324="(blank)"),"",VLOOKUP($B4324,'Email Marketing Raw Data'!$C:$O,4,0)),"")</f>
        <v/>
      </c>
      <c r="H4324" s="55" t="str">
        <f>IFERROR(IF(OR($B4324="",$B4324="(blank)"),"",VLOOKUP($B4324,'Email Marketing Raw Data'!$C:$O,5,0)),"")</f>
        <v/>
      </c>
      <c r="I4324" s="55" t="str">
        <f>IFERROR(IF($G4324="","",VLOOKUP('Dashboard And Emails Automate'!$G4324,Database!$H:$N,3,0)),"")</f>
        <v/>
      </c>
      <c r="J4324" s="55" t="str">
        <f>IFERROR(IF($G4324="","",VLOOKUP('Dashboard And Emails Automate'!$G4324,Database!$H:$N,4,0)),"")</f>
        <v/>
      </c>
      <c r="K4324" s="55" t="str">
        <f>IFERROR(IF($G4324="","",VLOOKUP('Dashboard And Emails Automate'!$G4324,Database!$H:$N,5,0)),"")</f>
        <v/>
      </c>
      <c r="L4324" s="55" t="str">
        <f>IFERROR(IF($G4324="","",VLOOKUP('Dashboard And Emails Automate'!$G4324,Database!$H:$N,6,0)),"")</f>
        <v/>
      </c>
      <c r="M4324" s="55" t="str">
        <f>IFERROR(IF($G4324="","",VLOOKUP('Dashboard And Emails Automate'!$G4324,Database!$H:$N,7,0)),"")</f>
        <v/>
      </c>
      <c r="N4324" s="55" t="str">
        <f>IFERROR(IF(OR($B4324="",$B4324="(blank)"),"",VLOOKUP($B4324,'Email Marketing Raw Data'!$C:$O,6,0)),"")</f>
        <v/>
      </c>
      <c r="O4324" s="55" t="str">
        <f>IFERROR(IF(OR($B4324="",$B4324="(blank)"),"",VLOOKUP($B4324,'Email Marketing Raw Data'!$C:$O,7,0)),"")</f>
        <v/>
      </c>
      <c r="P4324" s="55" t="str">
        <f>IFERROR(IF(OR($B4324="",$B4324="(blank)"),"",VLOOKUP($B4324,'Email Marketing Raw Data'!$C:$O,8,0)),"")</f>
        <v/>
      </c>
      <c r="Q4324" s="62" t="str">
        <f>IFERROR(IF(OR($B4324="",$B4324="(blank)"),"",VLOOKUP($B4324,'Email Marketing Raw Data'!$C:$O,9,0)),"")</f>
        <v/>
      </c>
    </row>
    <row r="4325" spans="4:17" ht="12.75" customHeight="1" x14ac:dyDescent="0.2">
      <c r="D4325" s="58" t="str">
        <f>IFERROR(IF(F4325&lt;&gt;"pending","",IF(OR($B4325="",$B4325="(blank)"),"",VLOOKUP($B4325,'Email Marketing Raw Data'!$C:$O,10,0))),"")</f>
        <v/>
      </c>
      <c r="E4325" s="59" t="str">
        <f>IFERROR(IF(F4325&lt;&gt;"pending","",IF(OR($B4325="",$B4325="(blank)"),"",VLOOKUP($B4325,'Email Marketing Raw Data'!$C:$O,11,0))),"")</f>
        <v/>
      </c>
      <c r="F4325" s="54" t="str">
        <f>IFERROR(IF(OR($B4325="",$B4325="(blank)"),"",VLOOKUP($B4325,'Email Marketing Raw Data'!$C:$O,13,0)),"")</f>
        <v/>
      </c>
      <c r="G4325" s="55" t="str">
        <f>IFERROR(IF(OR($B4325="",$B4325="(blank)"),"",VLOOKUP($B4325,'Email Marketing Raw Data'!$C:$O,4,0)),"")</f>
        <v/>
      </c>
      <c r="H4325" s="55" t="str">
        <f>IFERROR(IF(OR($B4325="",$B4325="(blank)"),"",VLOOKUP($B4325,'Email Marketing Raw Data'!$C:$O,5,0)),"")</f>
        <v/>
      </c>
      <c r="I4325" s="55" t="str">
        <f>IFERROR(IF($G4325="","",VLOOKUP('Dashboard And Emails Automate'!$G4325,Database!$H:$N,3,0)),"")</f>
        <v/>
      </c>
      <c r="J4325" s="55" t="str">
        <f>IFERROR(IF($G4325="","",VLOOKUP('Dashboard And Emails Automate'!$G4325,Database!$H:$N,4,0)),"")</f>
        <v/>
      </c>
      <c r="K4325" s="55" t="str">
        <f>IFERROR(IF($G4325="","",VLOOKUP('Dashboard And Emails Automate'!$G4325,Database!$H:$N,5,0)),"")</f>
        <v/>
      </c>
      <c r="L4325" s="55" t="str">
        <f>IFERROR(IF($G4325="","",VLOOKUP('Dashboard And Emails Automate'!$G4325,Database!$H:$N,6,0)),"")</f>
        <v/>
      </c>
      <c r="M4325" s="55" t="str">
        <f>IFERROR(IF($G4325="","",VLOOKUP('Dashboard And Emails Automate'!$G4325,Database!$H:$N,7,0)),"")</f>
        <v/>
      </c>
      <c r="N4325" s="55" t="str">
        <f>IFERROR(IF(OR($B4325="",$B4325="(blank)"),"",VLOOKUP($B4325,'Email Marketing Raw Data'!$C:$O,6,0)),"")</f>
        <v/>
      </c>
      <c r="O4325" s="55" t="str">
        <f>IFERROR(IF(OR($B4325="",$B4325="(blank)"),"",VLOOKUP($B4325,'Email Marketing Raw Data'!$C:$O,7,0)),"")</f>
        <v/>
      </c>
      <c r="P4325" s="55" t="str">
        <f>IFERROR(IF(OR($B4325="",$B4325="(blank)"),"",VLOOKUP($B4325,'Email Marketing Raw Data'!$C:$O,8,0)),"")</f>
        <v/>
      </c>
      <c r="Q4325" s="62" t="str">
        <f>IFERROR(IF(OR($B4325="",$B4325="(blank)"),"",VLOOKUP($B4325,'Email Marketing Raw Data'!$C:$O,9,0)),"")</f>
        <v/>
      </c>
    </row>
    <row r="4326" spans="4:17" ht="12.75" customHeight="1" x14ac:dyDescent="0.2">
      <c r="D4326" s="58" t="str">
        <f>IFERROR(IF(F4326&lt;&gt;"pending","",IF(OR($B4326="",$B4326="(blank)"),"",VLOOKUP($B4326,'Email Marketing Raw Data'!$C:$O,10,0))),"")</f>
        <v/>
      </c>
      <c r="E4326" s="59" t="str">
        <f>IFERROR(IF(F4326&lt;&gt;"pending","",IF(OR($B4326="",$B4326="(blank)"),"",VLOOKUP($B4326,'Email Marketing Raw Data'!$C:$O,11,0))),"")</f>
        <v/>
      </c>
      <c r="F4326" s="54" t="str">
        <f>IFERROR(IF(OR($B4326="",$B4326="(blank)"),"",VLOOKUP($B4326,'Email Marketing Raw Data'!$C:$O,13,0)),"")</f>
        <v/>
      </c>
      <c r="G4326" s="55" t="str">
        <f>IFERROR(IF(OR($B4326="",$B4326="(blank)"),"",VLOOKUP($B4326,'Email Marketing Raw Data'!$C:$O,4,0)),"")</f>
        <v/>
      </c>
      <c r="H4326" s="55" t="str">
        <f>IFERROR(IF(OR($B4326="",$B4326="(blank)"),"",VLOOKUP($B4326,'Email Marketing Raw Data'!$C:$O,5,0)),"")</f>
        <v/>
      </c>
      <c r="I4326" s="55" t="str">
        <f>IFERROR(IF($G4326="","",VLOOKUP('Dashboard And Emails Automate'!$G4326,Database!$H:$N,3,0)),"")</f>
        <v/>
      </c>
      <c r="J4326" s="55" t="str">
        <f>IFERROR(IF($G4326="","",VLOOKUP('Dashboard And Emails Automate'!$G4326,Database!$H:$N,4,0)),"")</f>
        <v/>
      </c>
      <c r="K4326" s="55" t="str">
        <f>IFERROR(IF($G4326="","",VLOOKUP('Dashboard And Emails Automate'!$G4326,Database!$H:$N,5,0)),"")</f>
        <v/>
      </c>
      <c r="L4326" s="55" t="str">
        <f>IFERROR(IF($G4326="","",VLOOKUP('Dashboard And Emails Automate'!$G4326,Database!$H:$N,6,0)),"")</f>
        <v/>
      </c>
      <c r="M4326" s="55" t="str">
        <f>IFERROR(IF($G4326="","",VLOOKUP('Dashboard And Emails Automate'!$G4326,Database!$H:$N,7,0)),"")</f>
        <v/>
      </c>
      <c r="N4326" s="55" t="str">
        <f>IFERROR(IF(OR($B4326="",$B4326="(blank)"),"",VLOOKUP($B4326,'Email Marketing Raw Data'!$C:$O,6,0)),"")</f>
        <v/>
      </c>
      <c r="O4326" s="55" t="str">
        <f>IFERROR(IF(OR($B4326="",$B4326="(blank)"),"",VLOOKUP($B4326,'Email Marketing Raw Data'!$C:$O,7,0)),"")</f>
        <v/>
      </c>
      <c r="P4326" s="55" t="str">
        <f>IFERROR(IF(OR($B4326="",$B4326="(blank)"),"",VLOOKUP($B4326,'Email Marketing Raw Data'!$C:$O,8,0)),"")</f>
        <v/>
      </c>
      <c r="Q4326" s="62" t="str">
        <f>IFERROR(IF(OR($B4326="",$B4326="(blank)"),"",VLOOKUP($B4326,'Email Marketing Raw Data'!$C:$O,9,0)),"")</f>
        <v/>
      </c>
    </row>
    <row r="4327" spans="4:17" ht="12.75" customHeight="1" x14ac:dyDescent="0.2">
      <c r="D4327" s="58" t="str">
        <f>IFERROR(IF(F4327&lt;&gt;"pending","",IF(OR($B4327="",$B4327="(blank)"),"",VLOOKUP($B4327,'Email Marketing Raw Data'!$C:$O,10,0))),"")</f>
        <v/>
      </c>
      <c r="E4327" s="59" t="str">
        <f>IFERROR(IF(F4327&lt;&gt;"pending","",IF(OR($B4327="",$B4327="(blank)"),"",VLOOKUP($B4327,'Email Marketing Raw Data'!$C:$O,11,0))),"")</f>
        <v/>
      </c>
      <c r="F4327" s="54" t="str">
        <f>IFERROR(IF(OR($B4327="",$B4327="(blank)"),"",VLOOKUP($B4327,'Email Marketing Raw Data'!$C:$O,13,0)),"")</f>
        <v/>
      </c>
      <c r="G4327" s="55" t="str">
        <f>IFERROR(IF(OR($B4327="",$B4327="(blank)"),"",VLOOKUP($B4327,'Email Marketing Raw Data'!$C:$O,4,0)),"")</f>
        <v/>
      </c>
      <c r="H4327" s="55" t="str">
        <f>IFERROR(IF(OR($B4327="",$B4327="(blank)"),"",VLOOKUP($B4327,'Email Marketing Raw Data'!$C:$O,5,0)),"")</f>
        <v/>
      </c>
      <c r="I4327" s="55" t="str">
        <f>IFERROR(IF($G4327="","",VLOOKUP('Dashboard And Emails Automate'!$G4327,Database!$H:$N,3,0)),"")</f>
        <v/>
      </c>
      <c r="J4327" s="55" t="str">
        <f>IFERROR(IF($G4327="","",VLOOKUP('Dashboard And Emails Automate'!$G4327,Database!$H:$N,4,0)),"")</f>
        <v/>
      </c>
      <c r="K4327" s="55" t="str">
        <f>IFERROR(IF($G4327="","",VLOOKUP('Dashboard And Emails Automate'!$G4327,Database!$H:$N,5,0)),"")</f>
        <v/>
      </c>
      <c r="L4327" s="55" t="str">
        <f>IFERROR(IF($G4327="","",VLOOKUP('Dashboard And Emails Automate'!$G4327,Database!$H:$N,6,0)),"")</f>
        <v/>
      </c>
      <c r="M4327" s="55" t="str">
        <f>IFERROR(IF($G4327="","",VLOOKUP('Dashboard And Emails Automate'!$G4327,Database!$H:$N,7,0)),"")</f>
        <v/>
      </c>
      <c r="N4327" s="55" t="str">
        <f>IFERROR(IF(OR($B4327="",$B4327="(blank)"),"",VLOOKUP($B4327,'Email Marketing Raw Data'!$C:$O,6,0)),"")</f>
        <v/>
      </c>
      <c r="O4327" s="55" t="str">
        <f>IFERROR(IF(OR($B4327="",$B4327="(blank)"),"",VLOOKUP($B4327,'Email Marketing Raw Data'!$C:$O,7,0)),"")</f>
        <v/>
      </c>
      <c r="P4327" s="55" t="str">
        <f>IFERROR(IF(OR($B4327="",$B4327="(blank)"),"",VLOOKUP($B4327,'Email Marketing Raw Data'!$C:$O,8,0)),"")</f>
        <v/>
      </c>
      <c r="Q4327" s="62" t="str">
        <f>IFERROR(IF(OR($B4327="",$B4327="(blank)"),"",VLOOKUP($B4327,'Email Marketing Raw Data'!$C:$O,9,0)),"")</f>
        <v/>
      </c>
    </row>
    <row r="4328" spans="4:17" ht="12.75" customHeight="1" x14ac:dyDescent="0.2">
      <c r="D4328" s="58" t="str">
        <f>IFERROR(IF(F4328&lt;&gt;"pending","",IF(OR($B4328="",$B4328="(blank)"),"",VLOOKUP($B4328,'Email Marketing Raw Data'!$C:$O,10,0))),"")</f>
        <v/>
      </c>
      <c r="E4328" s="59" t="str">
        <f>IFERROR(IF(F4328&lt;&gt;"pending","",IF(OR($B4328="",$B4328="(blank)"),"",VLOOKUP($B4328,'Email Marketing Raw Data'!$C:$O,11,0))),"")</f>
        <v/>
      </c>
      <c r="F4328" s="54" t="str">
        <f>IFERROR(IF(OR($B4328="",$B4328="(blank)"),"",VLOOKUP($B4328,'Email Marketing Raw Data'!$C:$O,13,0)),"")</f>
        <v/>
      </c>
      <c r="G4328" s="55" t="str">
        <f>IFERROR(IF(OR($B4328="",$B4328="(blank)"),"",VLOOKUP($B4328,'Email Marketing Raw Data'!$C:$O,4,0)),"")</f>
        <v/>
      </c>
      <c r="H4328" s="55" t="str">
        <f>IFERROR(IF(OR($B4328="",$B4328="(blank)"),"",VLOOKUP($B4328,'Email Marketing Raw Data'!$C:$O,5,0)),"")</f>
        <v/>
      </c>
      <c r="I4328" s="55" t="str">
        <f>IFERROR(IF($G4328="","",VLOOKUP('Dashboard And Emails Automate'!$G4328,Database!$H:$N,3,0)),"")</f>
        <v/>
      </c>
      <c r="J4328" s="55" t="str">
        <f>IFERROR(IF($G4328="","",VLOOKUP('Dashboard And Emails Automate'!$G4328,Database!$H:$N,4,0)),"")</f>
        <v/>
      </c>
      <c r="K4328" s="55" t="str">
        <f>IFERROR(IF($G4328="","",VLOOKUP('Dashboard And Emails Automate'!$G4328,Database!$H:$N,5,0)),"")</f>
        <v/>
      </c>
      <c r="L4328" s="55" t="str">
        <f>IFERROR(IF($G4328="","",VLOOKUP('Dashboard And Emails Automate'!$G4328,Database!$H:$N,6,0)),"")</f>
        <v/>
      </c>
      <c r="M4328" s="55" t="str">
        <f>IFERROR(IF($G4328="","",VLOOKUP('Dashboard And Emails Automate'!$G4328,Database!$H:$N,7,0)),"")</f>
        <v/>
      </c>
      <c r="N4328" s="55" t="str">
        <f>IFERROR(IF(OR($B4328="",$B4328="(blank)"),"",VLOOKUP($B4328,'Email Marketing Raw Data'!$C:$O,6,0)),"")</f>
        <v/>
      </c>
      <c r="O4328" s="55" t="str">
        <f>IFERROR(IF(OR($B4328="",$B4328="(blank)"),"",VLOOKUP($B4328,'Email Marketing Raw Data'!$C:$O,7,0)),"")</f>
        <v/>
      </c>
      <c r="P4328" s="55" t="str">
        <f>IFERROR(IF(OR($B4328="",$B4328="(blank)"),"",VLOOKUP($B4328,'Email Marketing Raw Data'!$C:$O,8,0)),"")</f>
        <v/>
      </c>
      <c r="Q4328" s="62" t="str">
        <f>IFERROR(IF(OR($B4328="",$B4328="(blank)"),"",VLOOKUP($B4328,'Email Marketing Raw Data'!$C:$O,9,0)),"")</f>
        <v/>
      </c>
    </row>
    <row r="4329" spans="4:17" ht="12.75" customHeight="1" x14ac:dyDescent="0.2">
      <c r="D4329" s="58" t="str">
        <f>IFERROR(IF(F4329&lt;&gt;"pending","",IF(OR($B4329="",$B4329="(blank)"),"",VLOOKUP($B4329,'Email Marketing Raw Data'!$C:$O,10,0))),"")</f>
        <v/>
      </c>
      <c r="E4329" s="59" t="str">
        <f>IFERROR(IF(F4329&lt;&gt;"pending","",IF(OR($B4329="",$B4329="(blank)"),"",VLOOKUP($B4329,'Email Marketing Raw Data'!$C:$O,11,0))),"")</f>
        <v/>
      </c>
      <c r="F4329" s="54" t="str">
        <f>IFERROR(IF(OR($B4329="",$B4329="(blank)"),"",VLOOKUP($B4329,'Email Marketing Raw Data'!$C:$O,13,0)),"")</f>
        <v/>
      </c>
      <c r="G4329" s="55" t="str">
        <f>IFERROR(IF(OR($B4329="",$B4329="(blank)"),"",VLOOKUP($B4329,'Email Marketing Raw Data'!$C:$O,4,0)),"")</f>
        <v/>
      </c>
      <c r="H4329" s="55" t="str">
        <f>IFERROR(IF(OR($B4329="",$B4329="(blank)"),"",VLOOKUP($B4329,'Email Marketing Raw Data'!$C:$O,5,0)),"")</f>
        <v/>
      </c>
      <c r="I4329" s="55" t="str">
        <f>IFERROR(IF($G4329="","",VLOOKUP('Dashboard And Emails Automate'!$G4329,Database!$H:$N,3,0)),"")</f>
        <v/>
      </c>
      <c r="J4329" s="55" t="str">
        <f>IFERROR(IF($G4329="","",VLOOKUP('Dashboard And Emails Automate'!$G4329,Database!$H:$N,4,0)),"")</f>
        <v/>
      </c>
      <c r="K4329" s="55" t="str">
        <f>IFERROR(IF($G4329="","",VLOOKUP('Dashboard And Emails Automate'!$G4329,Database!$H:$N,5,0)),"")</f>
        <v/>
      </c>
      <c r="L4329" s="55" t="str">
        <f>IFERROR(IF($G4329="","",VLOOKUP('Dashboard And Emails Automate'!$G4329,Database!$H:$N,6,0)),"")</f>
        <v/>
      </c>
      <c r="M4329" s="55" t="str">
        <f>IFERROR(IF($G4329="","",VLOOKUP('Dashboard And Emails Automate'!$G4329,Database!$H:$N,7,0)),"")</f>
        <v/>
      </c>
      <c r="N4329" s="55" t="str">
        <f>IFERROR(IF(OR($B4329="",$B4329="(blank)"),"",VLOOKUP($B4329,'Email Marketing Raw Data'!$C:$O,6,0)),"")</f>
        <v/>
      </c>
      <c r="O4329" s="55" t="str">
        <f>IFERROR(IF(OR($B4329="",$B4329="(blank)"),"",VLOOKUP($B4329,'Email Marketing Raw Data'!$C:$O,7,0)),"")</f>
        <v/>
      </c>
      <c r="P4329" s="55" t="str">
        <f>IFERROR(IF(OR($B4329="",$B4329="(blank)"),"",VLOOKUP($B4329,'Email Marketing Raw Data'!$C:$O,8,0)),"")</f>
        <v/>
      </c>
      <c r="Q4329" s="62" t="str">
        <f>IFERROR(IF(OR($B4329="",$B4329="(blank)"),"",VLOOKUP($B4329,'Email Marketing Raw Data'!$C:$O,9,0)),"")</f>
        <v/>
      </c>
    </row>
    <row r="4330" spans="4:17" ht="12.75" customHeight="1" x14ac:dyDescent="0.2">
      <c r="D4330" s="58" t="str">
        <f>IFERROR(IF(F4330&lt;&gt;"pending","",IF(OR($B4330="",$B4330="(blank)"),"",VLOOKUP($B4330,'Email Marketing Raw Data'!$C:$O,10,0))),"")</f>
        <v/>
      </c>
      <c r="E4330" s="59" t="str">
        <f>IFERROR(IF(F4330&lt;&gt;"pending","",IF(OR($B4330="",$B4330="(blank)"),"",VLOOKUP($B4330,'Email Marketing Raw Data'!$C:$O,11,0))),"")</f>
        <v/>
      </c>
      <c r="F4330" s="54" t="str">
        <f>IFERROR(IF(OR($B4330="",$B4330="(blank)"),"",VLOOKUP($B4330,'Email Marketing Raw Data'!$C:$O,13,0)),"")</f>
        <v/>
      </c>
      <c r="G4330" s="55" t="str">
        <f>IFERROR(IF(OR($B4330="",$B4330="(blank)"),"",VLOOKUP($B4330,'Email Marketing Raw Data'!$C:$O,4,0)),"")</f>
        <v/>
      </c>
      <c r="H4330" s="55" t="str">
        <f>IFERROR(IF(OR($B4330="",$B4330="(blank)"),"",VLOOKUP($B4330,'Email Marketing Raw Data'!$C:$O,5,0)),"")</f>
        <v/>
      </c>
      <c r="I4330" s="55" t="str">
        <f>IFERROR(IF($G4330="","",VLOOKUP('Dashboard And Emails Automate'!$G4330,Database!$H:$N,3,0)),"")</f>
        <v/>
      </c>
      <c r="J4330" s="55" t="str">
        <f>IFERROR(IF($G4330="","",VLOOKUP('Dashboard And Emails Automate'!$G4330,Database!$H:$N,4,0)),"")</f>
        <v/>
      </c>
      <c r="K4330" s="55" t="str">
        <f>IFERROR(IF($G4330="","",VLOOKUP('Dashboard And Emails Automate'!$G4330,Database!$H:$N,5,0)),"")</f>
        <v/>
      </c>
      <c r="L4330" s="55" t="str">
        <f>IFERROR(IF($G4330="","",VLOOKUP('Dashboard And Emails Automate'!$G4330,Database!$H:$N,6,0)),"")</f>
        <v/>
      </c>
      <c r="M4330" s="55" t="str">
        <f>IFERROR(IF($G4330="","",VLOOKUP('Dashboard And Emails Automate'!$G4330,Database!$H:$N,7,0)),"")</f>
        <v/>
      </c>
      <c r="N4330" s="55" t="str">
        <f>IFERROR(IF(OR($B4330="",$B4330="(blank)"),"",VLOOKUP($B4330,'Email Marketing Raw Data'!$C:$O,6,0)),"")</f>
        <v/>
      </c>
      <c r="O4330" s="55" t="str">
        <f>IFERROR(IF(OR($B4330="",$B4330="(blank)"),"",VLOOKUP($B4330,'Email Marketing Raw Data'!$C:$O,7,0)),"")</f>
        <v/>
      </c>
      <c r="P4330" s="55" t="str">
        <f>IFERROR(IF(OR($B4330="",$B4330="(blank)"),"",VLOOKUP($B4330,'Email Marketing Raw Data'!$C:$O,8,0)),"")</f>
        <v/>
      </c>
      <c r="Q4330" s="62" t="str">
        <f>IFERROR(IF(OR($B4330="",$B4330="(blank)"),"",VLOOKUP($B4330,'Email Marketing Raw Data'!$C:$O,9,0)),"")</f>
        <v/>
      </c>
    </row>
    <row r="4331" spans="4:17" ht="12.75" customHeight="1" x14ac:dyDescent="0.2">
      <c r="D4331" s="58" t="str">
        <f>IFERROR(IF(F4331&lt;&gt;"pending","",IF(OR($B4331="",$B4331="(blank)"),"",VLOOKUP($B4331,'Email Marketing Raw Data'!$C:$O,10,0))),"")</f>
        <v/>
      </c>
      <c r="E4331" s="59" t="str">
        <f>IFERROR(IF(F4331&lt;&gt;"pending","",IF(OR($B4331="",$B4331="(blank)"),"",VLOOKUP($B4331,'Email Marketing Raw Data'!$C:$O,11,0))),"")</f>
        <v/>
      </c>
      <c r="F4331" s="54" t="str">
        <f>IFERROR(IF(OR($B4331="",$B4331="(blank)"),"",VLOOKUP($B4331,'Email Marketing Raw Data'!$C:$O,13,0)),"")</f>
        <v/>
      </c>
      <c r="G4331" s="55" t="str">
        <f>IFERROR(IF(OR($B4331="",$B4331="(blank)"),"",VLOOKUP($B4331,'Email Marketing Raw Data'!$C:$O,4,0)),"")</f>
        <v/>
      </c>
      <c r="H4331" s="55" t="str">
        <f>IFERROR(IF(OR($B4331="",$B4331="(blank)"),"",VLOOKUP($B4331,'Email Marketing Raw Data'!$C:$O,5,0)),"")</f>
        <v/>
      </c>
      <c r="I4331" s="55" t="str">
        <f>IFERROR(IF($G4331="","",VLOOKUP('Dashboard And Emails Automate'!$G4331,Database!$H:$N,3,0)),"")</f>
        <v/>
      </c>
      <c r="J4331" s="55" t="str">
        <f>IFERROR(IF($G4331="","",VLOOKUP('Dashboard And Emails Automate'!$G4331,Database!$H:$N,4,0)),"")</f>
        <v/>
      </c>
      <c r="K4331" s="55" t="str">
        <f>IFERROR(IF($G4331="","",VLOOKUP('Dashboard And Emails Automate'!$G4331,Database!$H:$N,5,0)),"")</f>
        <v/>
      </c>
      <c r="L4331" s="55" t="str">
        <f>IFERROR(IF($G4331="","",VLOOKUP('Dashboard And Emails Automate'!$G4331,Database!$H:$N,6,0)),"")</f>
        <v/>
      </c>
      <c r="M4331" s="55" t="str">
        <f>IFERROR(IF($G4331="","",VLOOKUP('Dashboard And Emails Automate'!$G4331,Database!$H:$N,7,0)),"")</f>
        <v/>
      </c>
      <c r="N4331" s="55" t="str">
        <f>IFERROR(IF(OR($B4331="",$B4331="(blank)"),"",VLOOKUP($B4331,'Email Marketing Raw Data'!$C:$O,6,0)),"")</f>
        <v/>
      </c>
      <c r="O4331" s="55" t="str">
        <f>IFERROR(IF(OR($B4331="",$B4331="(blank)"),"",VLOOKUP($B4331,'Email Marketing Raw Data'!$C:$O,7,0)),"")</f>
        <v/>
      </c>
      <c r="P4331" s="55" t="str">
        <f>IFERROR(IF(OR($B4331="",$B4331="(blank)"),"",VLOOKUP($B4331,'Email Marketing Raw Data'!$C:$O,8,0)),"")</f>
        <v/>
      </c>
      <c r="Q4331" s="62" t="str">
        <f>IFERROR(IF(OR($B4331="",$B4331="(blank)"),"",VLOOKUP($B4331,'Email Marketing Raw Data'!$C:$O,9,0)),"")</f>
        <v/>
      </c>
    </row>
    <row r="4332" spans="4:17" ht="12.75" customHeight="1" x14ac:dyDescent="0.2">
      <c r="D4332" s="58" t="str">
        <f>IFERROR(IF(F4332&lt;&gt;"pending","",IF(OR($B4332="",$B4332="(blank)"),"",VLOOKUP($B4332,'Email Marketing Raw Data'!$C:$O,10,0))),"")</f>
        <v/>
      </c>
      <c r="E4332" s="59" t="str">
        <f>IFERROR(IF(F4332&lt;&gt;"pending","",IF(OR($B4332="",$B4332="(blank)"),"",VLOOKUP($B4332,'Email Marketing Raw Data'!$C:$O,11,0))),"")</f>
        <v/>
      </c>
      <c r="F4332" s="54" t="str">
        <f>IFERROR(IF(OR($B4332="",$B4332="(blank)"),"",VLOOKUP($B4332,'Email Marketing Raw Data'!$C:$O,13,0)),"")</f>
        <v/>
      </c>
      <c r="G4332" s="55" t="str">
        <f>IFERROR(IF(OR($B4332="",$B4332="(blank)"),"",VLOOKUP($B4332,'Email Marketing Raw Data'!$C:$O,4,0)),"")</f>
        <v/>
      </c>
      <c r="H4332" s="55" t="str">
        <f>IFERROR(IF(OR($B4332="",$B4332="(blank)"),"",VLOOKUP($B4332,'Email Marketing Raw Data'!$C:$O,5,0)),"")</f>
        <v/>
      </c>
      <c r="I4332" s="55" t="str">
        <f>IFERROR(IF($G4332="","",VLOOKUP('Dashboard And Emails Automate'!$G4332,Database!$H:$N,3,0)),"")</f>
        <v/>
      </c>
      <c r="J4332" s="55" t="str">
        <f>IFERROR(IF($G4332="","",VLOOKUP('Dashboard And Emails Automate'!$G4332,Database!$H:$N,4,0)),"")</f>
        <v/>
      </c>
      <c r="K4332" s="55" t="str">
        <f>IFERROR(IF($G4332="","",VLOOKUP('Dashboard And Emails Automate'!$G4332,Database!$H:$N,5,0)),"")</f>
        <v/>
      </c>
      <c r="L4332" s="55" t="str">
        <f>IFERROR(IF($G4332="","",VLOOKUP('Dashboard And Emails Automate'!$G4332,Database!$H:$N,6,0)),"")</f>
        <v/>
      </c>
      <c r="M4332" s="55" t="str">
        <f>IFERROR(IF($G4332="","",VLOOKUP('Dashboard And Emails Automate'!$G4332,Database!$H:$N,7,0)),"")</f>
        <v/>
      </c>
      <c r="N4332" s="55" t="str">
        <f>IFERROR(IF(OR($B4332="",$B4332="(blank)"),"",VLOOKUP($B4332,'Email Marketing Raw Data'!$C:$O,6,0)),"")</f>
        <v/>
      </c>
      <c r="O4332" s="55" t="str">
        <f>IFERROR(IF(OR($B4332="",$B4332="(blank)"),"",VLOOKUP($B4332,'Email Marketing Raw Data'!$C:$O,7,0)),"")</f>
        <v/>
      </c>
      <c r="P4332" s="55" t="str">
        <f>IFERROR(IF(OR($B4332="",$B4332="(blank)"),"",VLOOKUP($B4332,'Email Marketing Raw Data'!$C:$O,8,0)),"")</f>
        <v/>
      </c>
      <c r="Q4332" s="62" t="str">
        <f>IFERROR(IF(OR($B4332="",$B4332="(blank)"),"",VLOOKUP($B4332,'Email Marketing Raw Data'!$C:$O,9,0)),"")</f>
        <v/>
      </c>
    </row>
    <row r="4333" spans="4:17" ht="12.75" customHeight="1" x14ac:dyDescent="0.2">
      <c r="D4333" s="58" t="str">
        <f>IFERROR(IF(F4333&lt;&gt;"pending","",IF(OR($B4333="",$B4333="(blank)"),"",VLOOKUP($B4333,'Email Marketing Raw Data'!$C:$O,10,0))),"")</f>
        <v/>
      </c>
      <c r="E4333" s="59" t="str">
        <f>IFERROR(IF(F4333&lt;&gt;"pending","",IF(OR($B4333="",$B4333="(blank)"),"",VLOOKUP($B4333,'Email Marketing Raw Data'!$C:$O,11,0))),"")</f>
        <v/>
      </c>
      <c r="F4333" s="54" t="str">
        <f>IFERROR(IF(OR($B4333="",$B4333="(blank)"),"",VLOOKUP($B4333,'Email Marketing Raw Data'!$C:$O,13,0)),"")</f>
        <v/>
      </c>
      <c r="G4333" s="55" t="str">
        <f>IFERROR(IF(OR($B4333="",$B4333="(blank)"),"",VLOOKUP($B4333,'Email Marketing Raw Data'!$C:$O,4,0)),"")</f>
        <v/>
      </c>
      <c r="H4333" s="55" t="str">
        <f>IFERROR(IF(OR($B4333="",$B4333="(blank)"),"",VLOOKUP($B4333,'Email Marketing Raw Data'!$C:$O,5,0)),"")</f>
        <v/>
      </c>
      <c r="I4333" s="55" t="str">
        <f>IFERROR(IF($G4333="","",VLOOKUP('Dashboard And Emails Automate'!$G4333,Database!$H:$N,3,0)),"")</f>
        <v/>
      </c>
      <c r="J4333" s="55" t="str">
        <f>IFERROR(IF($G4333="","",VLOOKUP('Dashboard And Emails Automate'!$G4333,Database!$H:$N,4,0)),"")</f>
        <v/>
      </c>
      <c r="K4333" s="55" t="str">
        <f>IFERROR(IF($G4333="","",VLOOKUP('Dashboard And Emails Automate'!$G4333,Database!$H:$N,5,0)),"")</f>
        <v/>
      </c>
      <c r="L4333" s="55" t="str">
        <f>IFERROR(IF($G4333="","",VLOOKUP('Dashboard And Emails Automate'!$G4333,Database!$H:$N,6,0)),"")</f>
        <v/>
      </c>
      <c r="M4333" s="55" t="str">
        <f>IFERROR(IF($G4333="","",VLOOKUP('Dashboard And Emails Automate'!$G4333,Database!$H:$N,7,0)),"")</f>
        <v/>
      </c>
      <c r="N4333" s="55" t="str">
        <f>IFERROR(IF(OR($B4333="",$B4333="(blank)"),"",VLOOKUP($B4333,'Email Marketing Raw Data'!$C:$O,6,0)),"")</f>
        <v/>
      </c>
      <c r="O4333" s="55" t="str">
        <f>IFERROR(IF(OR($B4333="",$B4333="(blank)"),"",VLOOKUP($B4333,'Email Marketing Raw Data'!$C:$O,7,0)),"")</f>
        <v/>
      </c>
      <c r="P4333" s="55" t="str">
        <f>IFERROR(IF(OR($B4333="",$B4333="(blank)"),"",VLOOKUP($B4333,'Email Marketing Raw Data'!$C:$O,8,0)),"")</f>
        <v/>
      </c>
      <c r="Q4333" s="62" t="str">
        <f>IFERROR(IF(OR($B4333="",$B4333="(blank)"),"",VLOOKUP($B4333,'Email Marketing Raw Data'!$C:$O,9,0)),"")</f>
        <v/>
      </c>
    </row>
    <row r="4334" spans="4:17" ht="12.75" customHeight="1" x14ac:dyDescent="0.2">
      <c r="D4334" s="58" t="str">
        <f>IFERROR(IF(F4334&lt;&gt;"pending","",IF(OR($B4334="",$B4334="(blank)"),"",VLOOKUP($B4334,'Email Marketing Raw Data'!$C:$O,10,0))),"")</f>
        <v/>
      </c>
      <c r="E4334" s="59" t="str">
        <f>IFERROR(IF(F4334&lt;&gt;"pending","",IF(OR($B4334="",$B4334="(blank)"),"",VLOOKUP($B4334,'Email Marketing Raw Data'!$C:$O,11,0))),"")</f>
        <v/>
      </c>
      <c r="F4334" s="54" t="str">
        <f>IFERROR(IF(OR($B4334="",$B4334="(blank)"),"",VLOOKUP($B4334,'Email Marketing Raw Data'!$C:$O,13,0)),"")</f>
        <v/>
      </c>
      <c r="G4334" s="55" t="str">
        <f>IFERROR(IF(OR($B4334="",$B4334="(blank)"),"",VLOOKUP($B4334,'Email Marketing Raw Data'!$C:$O,4,0)),"")</f>
        <v/>
      </c>
      <c r="H4334" s="55" t="str">
        <f>IFERROR(IF(OR($B4334="",$B4334="(blank)"),"",VLOOKUP($B4334,'Email Marketing Raw Data'!$C:$O,5,0)),"")</f>
        <v/>
      </c>
      <c r="I4334" s="55" t="str">
        <f>IFERROR(IF($G4334="","",VLOOKUP('Dashboard And Emails Automate'!$G4334,Database!$H:$N,3,0)),"")</f>
        <v/>
      </c>
      <c r="J4334" s="55" t="str">
        <f>IFERROR(IF($G4334="","",VLOOKUP('Dashboard And Emails Automate'!$G4334,Database!$H:$N,4,0)),"")</f>
        <v/>
      </c>
      <c r="K4334" s="55" t="str">
        <f>IFERROR(IF($G4334="","",VLOOKUP('Dashboard And Emails Automate'!$G4334,Database!$H:$N,5,0)),"")</f>
        <v/>
      </c>
      <c r="L4334" s="55" t="str">
        <f>IFERROR(IF($G4334="","",VLOOKUP('Dashboard And Emails Automate'!$G4334,Database!$H:$N,6,0)),"")</f>
        <v/>
      </c>
      <c r="M4334" s="55" t="str">
        <f>IFERROR(IF($G4334="","",VLOOKUP('Dashboard And Emails Automate'!$G4334,Database!$H:$N,7,0)),"")</f>
        <v/>
      </c>
      <c r="N4334" s="55" t="str">
        <f>IFERROR(IF(OR($B4334="",$B4334="(blank)"),"",VLOOKUP($B4334,'Email Marketing Raw Data'!$C:$O,6,0)),"")</f>
        <v/>
      </c>
      <c r="O4334" s="55" t="str">
        <f>IFERROR(IF(OR($B4334="",$B4334="(blank)"),"",VLOOKUP($B4334,'Email Marketing Raw Data'!$C:$O,7,0)),"")</f>
        <v/>
      </c>
      <c r="P4334" s="55" t="str">
        <f>IFERROR(IF(OR($B4334="",$B4334="(blank)"),"",VLOOKUP($B4334,'Email Marketing Raw Data'!$C:$O,8,0)),"")</f>
        <v/>
      </c>
      <c r="Q4334" s="62" t="str">
        <f>IFERROR(IF(OR($B4334="",$B4334="(blank)"),"",VLOOKUP($B4334,'Email Marketing Raw Data'!$C:$O,9,0)),"")</f>
        <v/>
      </c>
    </row>
    <row r="4335" spans="4:17" ht="12.75" customHeight="1" x14ac:dyDescent="0.2">
      <c r="D4335" s="58" t="str">
        <f>IFERROR(IF(F4335&lt;&gt;"pending","",IF(OR($B4335="",$B4335="(blank)"),"",VLOOKUP($B4335,'Email Marketing Raw Data'!$C:$O,10,0))),"")</f>
        <v/>
      </c>
      <c r="E4335" s="59" t="str">
        <f>IFERROR(IF(F4335&lt;&gt;"pending","",IF(OR($B4335="",$B4335="(blank)"),"",VLOOKUP($B4335,'Email Marketing Raw Data'!$C:$O,11,0))),"")</f>
        <v/>
      </c>
      <c r="F4335" s="54" t="str">
        <f>IFERROR(IF(OR($B4335="",$B4335="(blank)"),"",VLOOKUP($B4335,'Email Marketing Raw Data'!$C:$O,13,0)),"")</f>
        <v/>
      </c>
      <c r="G4335" s="55" t="str">
        <f>IFERROR(IF(OR($B4335="",$B4335="(blank)"),"",VLOOKUP($B4335,'Email Marketing Raw Data'!$C:$O,4,0)),"")</f>
        <v/>
      </c>
      <c r="H4335" s="55" t="str">
        <f>IFERROR(IF(OR($B4335="",$B4335="(blank)"),"",VLOOKUP($B4335,'Email Marketing Raw Data'!$C:$O,5,0)),"")</f>
        <v/>
      </c>
      <c r="I4335" s="55" t="str">
        <f>IFERROR(IF($G4335="","",VLOOKUP('Dashboard And Emails Automate'!$G4335,Database!$H:$N,3,0)),"")</f>
        <v/>
      </c>
      <c r="J4335" s="55" t="str">
        <f>IFERROR(IF($G4335="","",VLOOKUP('Dashboard And Emails Automate'!$G4335,Database!$H:$N,4,0)),"")</f>
        <v/>
      </c>
      <c r="K4335" s="55" t="str">
        <f>IFERROR(IF($G4335="","",VLOOKUP('Dashboard And Emails Automate'!$G4335,Database!$H:$N,5,0)),"")</f>
        <v/>
      </c>
      <c r="L4335" s="55" t="str">
        <f>IFERROR(IF($G4335="","",VLOOKUP('Dashboard And Emails Automate'!$G4335,Database!$H:$N,6,0)),"")</f>
        <v/>
      </c>
      <c r="M4335" s="55" t="str">
        <f>IFERROR(IF($G4335="","",VLOOKUP('Dashboard And Emails Automate'!$G4335,Database!$H:$N,7,0)),"")</f>
        <v/>
      </c>
      <c r="N4335" s="55" t="str">
        <f>IFERROR(IF(OR($B4335="",$B4335="(blank)"),"",VLOOKUP($B4335,'Email Marketing Raw Data'!$C:$O,6,0)),"")</f>
        <v/>
      </c>
      <c r="O4335" s="55" t="str">
        <f>IFERROR(IF(OR($B4335="",$B4335="(blank)"),"",VLOOKUP($B4335,'Email Marketing Raw Data'!$C:$O,7,0)),"")</f>
        <v/>
      </c>
      <c r="P4335" s="55" t="str">
        <f>IFERROR(IF(OR($B4335="",$B4335="(blank)"),"",VLOOKUP($B4335,'Email Marketing Raw Data'!$C:$O,8,0)),"")</f>
        <v/>
      </c>
      <c r="Q4335" s="62" t="str">
        <f>IFERROR(IF(OR($B4335="",$B4335="(blank)"),"",VLOOKUP($B4335,'Email Marketing Raw Data'!$C:$O,9,0)),"")</f>
        <v/>
      </c>
    </row>
    <row r="4336" spans="4:17" ht="12.75" customHeight="1" x14ac:dyDescent="0.2">
      <c r="D4336" s="58" t="str">
        <f>IFERROR(IF(F4336&lt;&gt;"pending","",IF(OR($B4336="",$B4336="(blank)"),"",VLOOKUP($B4336,'Email Marketing Raw Data'!$C:$O,10,0))),"")</f>
        <v/>
      </c>
      <c r="E4336" s="59" t="str">
        <f>IFERROR(IF(F4336&lt;&gt;"pending","",IF(OR($B4336="",$B4336="(blank)"),"",VLOOKUP($B4336,'Email Marketing Raw Data'!$C:$O,11,0))),"")</f>
        <v/>
      </c>
      <c r="F4336" s="54" t="str">
        <f>IFERROR(IF(OR($B4336="",$B4336="(blank)"),"",VLOOKUP($B4336,'Email Marketing Raw Data'!$C:$O,13,0)),"")</f>
        <v/>
      </c>
      <c r="G4336" s="55" t="str">
        <f>IFERROR(IF(OR($B4336="",$B4336="(blank)"),"",VLOOKUP($B4336,'Email Marketing Raw Data'!$C:$O,4,0)),"")</f>
        <v/>
      </c>
      <c r="H4336" s="55" t="str">
        <f>IFERROR(IF(OR($B4336="",$B4336="(blank)"),"",VLOOKUP($B4336,'Email Marketing Raw Data'!$C:$O,5,0)),"")</f>
        <v/>
      </c>
      <c r="I4336" s="55" t="str">
        <f>IFERROR(IF($G4336="","",VLOOKUP('Dashboard And Emails Automate'!$G4336,Database!$H:$N,3,0)),"")</f>
        <v/>
      </c>
      <c r="J4336" s="55" t="str">
        <f>IFERROR(IF($G4336="","",VLOOKUP('Dashboard And Emails Automate'!$G4336,Database!$H:$N,4,0)),"")</f>
        <v/>
      </c>
      <c r="K4336" s="55" t="str">
        <f>IFERROR(IF($G4336="","",VLOOKUP('Dashboard And Emails Automate'!$G4336,Database!$H:$N,5,0)),"")</f>
        <v/>
      </c>
      <c r="L4336" s="55" t="str">
        <f>IFERROR(IF($G4336="","",VLOOKUP('Dashboard And Emails Automate'!$G4336,Database!$H:$N,6,0)),"")</f>
        <v/>
      </c>
      <c r="M4336" s="55" t="str">
        <f>IFERROR(IF($G4336="","",VLOOKUP('Dashboard And Emails Automate'!$G4336,Database!$H:$N,7,0)),"")</f>
        <v/>
      </c>
      <c r="N4336" s="55" t="str">
        <f>IFERROR(IF(OR($B4336="",$B4336="(blank)"),"",VLOOKUP($B4336,'Email Marketing Raw Data'!$C:$O,6,0)),"")</f>
        <v/>
      </c>
      <c r="O4336" s="55" t="str">
        <f>IFERROR(IF(OR($B4336="",$B4336="(blank)"),"",VLOOKUP($B4336,'Email Marketing Raw Data'!$C:$O,7,0)),"")</f>
        <v/>
      </c>
      <c r="P4336" s="55" t="str">
        <f>IFERROR(IF(OR($B4336="",$B4336="(blank)"),"",VLOOKUP($B4336,'Email Marketing Raw Data'!$C:$O,8,0)),"")</f>
        <v/>
      </c>
      <c r="Q4336" s="62" t="str">
        <f>IFERROR(IF(OR($B4336="",$B4336="(blank)"),"",VLOOKUP($B4336,'Email Marketing Raw Data'!$C:$O,9,0)),"")</f>
        <v/>
      </c>
    </row>
    <row r="4337" spans="4:17" ht="12.75" customHeight="1" x14ac:dyDescent="0.2">
      <c r="D4337" s="58" t="str">
        <f>IFERROR(IF(F4337&lt;&gt;"pending","",IF(OR($B4337="",$B4337="(blank)"),"",VLOOKUP($B4337,'Email Marketing Raw Data'!$C:$O,10,0))),"")</f>
        <v/>
      </c>
      <c r="E4337" s="59" t="str">
        <f>IFERROR(IF(F4337&lt;&gt;"pending","",IF(OR($B4337="",$B4337="(blank)"),"",VLOOKUP($B4337,'Email Marketing Raw Data'!$C:$O,11,0))),"")</f>
        <v/>
      </c>
      <c r="F4337" s="54" t="str">
        <f>IFERROR(IF(OR($B4337="",$B4337="(blank)"),"",VLOOKUP($B4337,'Email Marketing Raw Data'!$C:$O,13,0)),"")</f>
        <v/>
      </c>
      <c r="G4337" s="55" t="str">
        <f>IFERROR(IF(OR($B4337="",$B4337="(blank)"),"",VLOOKUP($B4337,'Email Marketing Raw Data'!$C:$O,4,0)),"")</f>
        <v/>
      </c>
      <c r="H4337" s="55" t="str">
        <f>IFERROR(IF(OR($B4337="",$B4337="(blank)"),"",VLOOKUP($B4337,'Email Marketing Raw Data'!$C:$O,5,0)),"")</f>
        <v/>
      </c>
      <c r="I4337" s="55" t="str">
        <f>IFERROR(IF($G4337="","",VLOOKUP('Dashboard And Emails Automate'!$G4337,Database!$H:$N,3,0)),"")</f>
        <v/>
      </c>
      <c r="J4337" s="55" t="str">
        <f>IFERROR(IF($G4337="","",VLOOKUP('Dashboard And Emails Automate'!$G4337,Database!$H:$N,4,0)),"")</f>
        <v/>
      </c>
      <c r="K4337" s="55" t="str">
        <f>IFERROR(IF($G4337="","",VLOOKUP('Dashboard And Emails Automate'!$G4337,Database!$H:$N,5,0)),"")</f>
        <v/>
      </c>
      <c r="L4337" s="55" t="str">
        <f>IFERROR(IF($G4337="","",VLOOKUP('Dashboard And Emails Automate'!$G4337,Database!$H:$N,6,0)),"")</f>
        <v/>
      </c>
      <c r="M4337" s="55" t="str">
        <f>IFERROR(IF($G4337="","",VLOOKUP('Dashboard And Emails Automate'!$G4337,Database!$H:$N,7,0)),"")</f>
        <v/>
      </c>
      <c r="N4337" s="55" t="str">
        <f>IFERROR(IF(OR($B4337="",$B4337="(blank)"),"",VLOOKUP($B4337,'Email Marketing Raw Data'!$C:$O,6,0)),"")</f>
        <v/>
      </c>
      <c r="O4337" s="55" t="str">
        <f>IFERROR(IF(OR($B4337="",$B4337="(blank)"),"",VLOOKUP($B4337,'Email Marketing Raw Data'!$C:$O,7,0)),"")</f>
        <v/>
      </c>
      <c r="P4337" s="55" t="str">
        <f>IFERROR(IF(OR($B4337="",$B4337="(blank)"),"",VLOOKUP($B4337,'Email Marketing Raw Data'!$C:$O,8,0)),"")</f>
        <v/>
      </c>
      <c r="Q4337" s="62" t="str">
        <f>IFERROR(IF(OR($B4337="",$B4337="(blank)"),"",VLOOKUP($B4337,'Email Marketing Raw Data'!$C:$O,9,0)),"")</f>
        <v/>
      </c>
    </row>
    <row r="4338" spans="4:17" ht="12.75" customHeight="1" x14ac:dyDescent="0.2">
      <c r="D4338" s="58" t="str">
        <f>IFERROR(IF(F4338&lt;&gt;"pending","",IF(OR($B4338="",$B4338="(blank)"),"",VLOOKUP($B4338,'Email Marketing Raw Data'!$C:$O,10,0))),"")</f>
        <v/>
      </c>
      <c r="E4338" s="59" t="str">
        <f>IFERROR(IF(F4338&lt;&gt;"pending","",IF(OR($B4338="",$B4338="(blank)"),"",VLOOKUP($B4338,'Email Marketing Raw Data'!$C:$O,11,0))),"")</f>
        <v/>
      </c>
      <c r="F4338" s="54" t="str">
        <f>IFERROR(IF(OR($B4338="",$B4338="(blank)"),"",VLOOKUP($B4338,'Email Marketing Raw Data'!$C:$O,13,0)),"")</f>
        <v/>
      </c>
      <c r="G4338" s="55" t="str">
        <f>IFERROR(IF(OR($B4338="",$B4338="(blank)"),"",VLOOKUP($B4338,'Email Marketing Raw Data'!$C:$O,4,0)),"")</f>
        <v/>
      </c>
      <c r="H4338" s="55" t="str">
        <f>IFERROR(IF(OR($B4338="",$B4338="(blank)"),"",VLOOKUP($B4338,'Email Marketing Raw Data'!$C:$O,5,0)),"")</f>
        <v/>
      </c>
      <c r="I4338" s="55" t="str">
        <f>IFERROR(IF($G4338="","",VLOOKUP('Dashboard And Emails Automate'!$G4338,Database!$H:$N,3,0)),"")</f>
        <v/>
      </c>
      <c r="J4338" s="55" t="str">
        <f>IFERROR(IF($G4338="","",VLOOKUP('Dashboard And Emails Automate'!$G4338,Database!$H:$N,4,0)),"")</f>
        <v/>
      </c>
      <c r="K4338" s="55" t="str">
        <f>IFERROR(IF($G4338="","",VLOOKUP('Dashboard And Emails Automate'!$G4338,Database!$H:$N,5,0)),"")</f>
        <v/>
      </c>
      <c r="L4338" s="55" t="str">
        <f>IFERROR(IF($G4338="","",VLOOKUP('Dashboard And Emails Automate'!$G4338,Database!$H:$N,6,0)),"")</f>
        <v/>
      </c>
      <c r="M4338" s="55" t="str">
        <f>IFERROR(IF($G4338="","",VLOOKUP('Dashboard And Emails Automate'!$G4338,Database!$H:$N,7,0)),"")</f>
        <v/>
      </c>
      <c r="N4338" s="55" t="str">
        <f>IFERROR(IF(OR($B4338="",$B4338="(blank)"),"",VLOOKUP($B4338,'Email Marketing Raw Data'!$C:$O,6,0)),"")</f>
        <v/>
      </c>
      <c r="O4338" s="55" t="str">
        <f>IFERROR(IF(OR($B4338="",$B4338="(blank)"),"",VLOOKUP($B4338,'Email Marketing Raw Data'!$C:$O,7,0)),"")</f>
        <v/>
      </c>
      <c r="P4338" s="55" t="str">
        <f>IFERROR(IF(OR($B4338="",$B4338="(blank)"),"",VLOOKUP($B4338,'Email Marketing Raw Data'!$C:$O,8,0)),"")</f>
        <v/>
      </c>
      <c r="Q4338" s="62" t="str">
        <f>IFERROR(IF(OR($B4338="",$B4338="(blank)"),"",VLOOKUP($B4338,'Email Marketing Raw Data'!$C:$O,9,0)),"")</f>
        <v/>
      </c>
    </row>
    <row r="4339" spans="4:17" ht="12.75" customHeight="1" x14ac:dyDescent="0.2">
      <c r="D4339" s="58" t="str">
        <f>IFERROR(IF(F4339&lt;&gt;"pending","",IF(OR($B4339="",$B4339="(blank)"),"",VLOOKUP($B4339,'Email Marketing Raw Data'!$C:$O,10,0))),"")</f>
        <v/>
      </c>
      <c r="E4339" s="59" t="str">
        <f>IFERROR(IF(F4339&lt;&gt;"pending","",IF(OR($B4339="",$B4339="(blank)"),"",VLOOKUP($B4339,'Email Marketing Raw Data'!$C:$O,11,0))),"")</f>
        <v/>
      </c>
      <c r="F4339" s="54" t="str">
        <f>IFERROR(IF(OR($B4339="",$B4339="(blank)"),"",VLOOKUP($B4339,'Email Marketing Raw Data'!$C:$O,13,0)),"")</f>
        <v/>
      </c>
      <c r="G4339" s="55" t="str">
        <f>IFERROR(IF(OR($B4339="",$B4339="(blank)"),"",VLOOKUP($B4339,'Email Marketing Raw Data'!$C:$O,4,0)),"")</f>
        <v/>
      </c>
      <c r="H4339" s="55" t="str">
        <f>IFERROR(IF(OR($B4339="",$B4339="(blank)"),"",VLOOKUP($B4339,'Email Marketing Raw Data'!$C:$O,5,0)),"")</f>
        <v/>
      </c>
      <c r="I4339" s="55" t="str">
        <f>IFERROR(IF($G4339="","",VLOOKUP('Dashboard And Emails Automate'!$G4339,Database!$H:$N,3,0)),"")</f>
        <v/>
      </c>
      <c r="J4339" s="55" t="str">
        <f>IFERROR(IF($G4339="","",VLOOKUP('Dashboard And Emails Automate'!$G4339,Database!$H:$N,4,0)),"")</f>
        <v/>
      </c>
      <c r="K4339" s="55" t="str">
        <f>IFERROR(IF($G4339="","",VLOOKUP('Dashboard And Emails Automate'!$G4339,Database!$H:$N,5,0)),"")</f>
        <v/>
      </c>
      <c r="L4339" s="55" t="str">
        <f>IFERROR(IF($G4339="","",VLOOKUP('Dashboard And Emails Automate'!$G4339,Database!$H:$N,6,0)),"")</f>
        <v/>
      </c>
      <c r="M4339" s="55" t="str">
        <f>IFERROR(IF($G4339="","",VLOOKUP('Dashboard And Emails Automate'!$G4339,Database!$H:$N,7,0)),"")</f>
        <v/>
      </c>
      <c r="N4339" s="55" t="str">
        <f>IFERROR(IF(OR($B4339="",$B4339="(blank)"),"",VLOOKUP($B4339,'Email Marketing Raw Data'!$C:$O,6,0)),"")</f>
        <v/>
      </c>
      <c r="O4339" s="55" t="str">
        <f>IFERROR(IF(OR($B4339="",$B4339="(blank)"),"",VLOOKUP($B4339,'Email Marketing Raw Data'!$C:$O,7,0)),"")</f>
        <v/>
      </c>
      <c r="P4339" s="55" t="str">
        <f>IFERROR(IF(OR($B4339="",$B4339="(blank)"),"",VLOOKUP($B4339,'Email Marketing Raw Data'!$C:$O,8,0)),"")</f>
        <v/>
      </c>
      <c r="Q4339" s="62" t="str">
        <f>IFERROR(IF(OR($B4339="",$B4339="(blank)"),"",VLOOKUP($B4339,'Email Marketing Raw Data'!$C:$O,9,0)),"")</f>
        <v/>
      </c>
    </row>
    <row r="4340" spans="4:17" ht="12.75" customHeight="1" x14ac:dyDescent="0.2">
      <c r="D4340" s="58" t="str">
        <f>IFERROR(IF(F4340&lt;&gt;"pending","",IF(OR($B4340="",$B4340="(blank)"),"",VLOOKUP($B4340,'Email Marketing Raw Data'!$C:$O,10,0))),"")</f>
        <v/>
      </c>
      <c r="E4340" s="59" t="str">
        <f>IFERROR(IF(F4340&lt;&gt;"pending","",IF(OR($B4340="",$B4340="(blank)"),"",VLOOKUP($B4340,'Email Marketing Raw Data'!$C:$O,11,0))),"")</f>
        <v/>
      </c>
      <c r="F4340" s="54" t="str">
        <f>IFERROR(IF(OR($B4340="",$B4340="(blank)"),"",VLOOKUP($B4340,'Email Marketing Raw Data'!$C:$O,13,0)),"")</f>
        <v/>
      </c>
      <c r="G4340" s="55" t="str">
        <f>IFERROR(IF(OR($B4340="",$B4340="(blank)"),"",VLOOKUP($B4340,'Email Marketing Raw Data'!$C:$O,4,0)),"")</f>
        <v/>
      </c>
      <c r="H4340" s="55" t="str">
        <f>IFERROR(IF(OR($B4340="",$B4340="(blank)"),"",VLOOKUP($B4340,'Email Marketing Raw Data'!$C:$O,5,0)),"")</f>
        <v/>
      </c>
      <c r="I4340" s="55" t="str">
        <f>IFERROR(IF($G4340="","",VLOOKUP('Dashboard And Emails Automate'!$G4340,Database!$H:$N,3,0)),"")</f>
        <v/>
      </c>
      <c r="J4340" s="55" t="str">
        <f>IFERROR(IF($G4340="","",VLOOKUP('Dashboard And Emails Automate'!$G4340,Database!$H:$N,4,0)),"")</f>
        <v/>
      </c>
      <c r="K4340" s="55" t="str">
        <f>IFERROR(IF($G4340="","",VLOOKUP('Dashboard And Emails Automate'!$G4340,Database!$H:$N,5,0)),"")</f>
        <v/>
      </c>
      <c r="L4340" s="55" t="str">
        <f>IFERROR(IF($G4340="","",VLOOKUP('Dashboard And Emails Automate'!$G4340,Database!$H:$N,6,0)),"")</f>
        <v/>
      </c>
      <c r="M4340" s="55" t="str">
        <f>IFERROR(IF($G4340="","",VLOOKUP('Dashboard And Emails Automate'!$G4340,Database!$H:$N,7,0)),"")</f>
        <v/>
      </c>
      <c r="N4340" s="55" t="str">
        <f>IFERROR(IF(OR($B4340="",$B4340="(blank)"),"",VLOOKUP($B4340,'Email Marketing Raw Data'!$C:$O,6,0)),"")</f>
        <v/>
      </c>
      <c r="O4340" s="55" t="str">
        <f>IFERROR(IF(OR($B4340="",$B4340="(blank)"),"",VLOOKUP($B4340,'Email Marketing Raw Data'!$C:$O,7,0)),"")</f>
        <v/>
      </c>
      <c r="P4340" s="55" t="str">
        <f>IFERROR(IF(OR($B4340="",$B4340="(blank)"),"",VLOOKUP($B4340,'Email Marketing Raw Data'!$C:$O,8,0)),"")</f>
        <v/>
      </c>
      <c r="Q4340" s="62" t="str">
        <f>IFERROR(IF(OR($B4340="",$B4340="(blank)"),"",VLOOKUP($B4340,'Email Marketing Raw Data'!$C:$O,9,0)),"")</f>
        <v/>
      </c>
    </row>
    <row r="4341" spans="4:17" ht="12.75" customHeight="1" x14ac:dyDescent="0.2">
      <c r="D4341" s="58" t="str">
        <f>IFERROR(IF(F4341&lt;&gt;"pending","",IF(OR($B4341="",$B4341="(blank)"),"",VLOOKUP($B4341,'Email Marketing Raw Data'!$C:$O,10,0))),"")</f>
        <v/>
      </c>
      <c r="E4341" s="59" t="str">
        <f>IFERROR(IF(F4341&lt;&gt;"pending","",IF(OR($B4341="",$B4341="(blank)"),"",VLOOKUP($B4341,'Email Marketing Raw Data'!$C:$O,11,0))),"")</f>
        <v/>
      </c>
      <c r="F4341" s="54" t="str">
        <f>IFERROR(IF(OR($B4341="",$B4341="(blank)"),"",VLOOKUP($B4341,'Email Marketing Raw Data'!$C:$O,13,0)),"")</f>
        <v/>
      </c>
      <c r="G4341" s="55" t="str">
        <f>IFERROR(IF(OR($B4341="",$B4341="(blank)"),"",VLOOKUP($B4341,'Email Marketing Raw Data'!$C:$O,4,0)),"")</f>
        <v/>
      </c>
      <c r="H4341" s="55" t="str">
        <f>IFERROR(IF(OR($B4341="",$B4341="(blank)"),"",VLOOKUP($B4341,'Email Marketing Raw Data'!$C:$O,5,0)),"")</f>
        <v/>
      </c>
      <c r="I4341" s="55" t="str">
        <f>IFERROR(IF($G4341="","",VLOOKUP('Dashboard And Emails Automate'!$G4341,Database!$H:$N,3,0)),"")</f>
        <v/>
      </c>
      <c r="J4341" s="55" t="str">
        <f>IFERROR(IF($G4341="","",VLOOKUP('Dashboard And Emails Automate'!$G4341,Database!$H:$N,4,0)),"")</f>
        <v/>
      </c>
      <c r="K4341" s="55" t="str">
        <f>IFERROR(IF($G4341="","",VLOOKUP('Dashboard And Emails Automate'!$G4341,Database!$H:$N,5,0)),"")</f>
        <v/>
      </c>
      <c r="L4341" s="55" t="str">
        <f>IFERROR(IF($G4341="","",VLOOKUP('Dashboard And Emails Automate'!$G4341,Database!$H:$N,6,0)),"")</f>
        <v/>
      </c>
      <c r="M4341" s="55" t="str">
        <f>IFERROR(IF($G4341="","",VLOOKUP('Dashboard And Emails Automate'!$G4341,Database!$H:$N,7,0)),"")</f>
        <v/>
      </c>
      <c r="N4341" s="55" t="str">
        <f>IFERROR(IF(OR($B4341="",$B4341="(blank)"),"",VLOOKUP($B4341,'Email Marketing Raw Data'!$C:$O,6,0)),"")</f>
        <v/>
      </c>
      <c r="O4341" s="55" t="str">
        <f>IFERROR(IF(OR($B4341="",$B4341="(blank)"),"",VLOOKUP($B4341,'Email Marketing Raw Data'!$C:$O,7,0)),"")</f>
        <v/>
      </c>
      <c r="P4341" s="55" t="str">
        <f>IFERROR(IF(OR($B4341="",$B4341="(blank)"),"",VLOOKUP($B4341,'Email Marketing Raw Data'!$C:$O,8,0)),"")</f>
        <v/>
      </c>
      <c r="Q4341" s="62" t="str">
        <f>IFERROR(IF(OR($B4341="",$B4341="(blank)"),"",VLOOKUP($B4341,'Email Marketing Raw Data'!$C:$O,9,0)),"")</f>
        <v/>
      </c>
    </row>
    <row r="4342" spans="4:17" ht="12.75" customHeight="1" x14ac:dyDescent="0.2">
      <c r="D4342" s="58" t="str">
        <f>IFERROR(IF(F4342&lt;&gt;"pending","",IF(OR($B4342="",$B4342="(blank)"),"",VLOOKUP($B4342,'Email Marketing Raw Data'!$C:$O,10,0))),"")</f>
        <v/>
      </c>
      <c r="E4342" s="59" t="str">
        <f>IFERROR(IF(F4342&lt;&gt;"pending","",IF(OR($B4342="",$B4342="(blank)"),"",VLOOKUP($B4342,'Email Marketing Raw Data'!$C:$O,11,0))),"")</f>
        <v/>
      </c>
      <c r="F4342" s="54" t="str">
        <f>IFERROR(IF(OR($B4342="",$B4342="(blank)"),"",VLOOKUP($B4342,'Email Marketing Raw Data'!$C:$O,13,0)),"")</f>
        <v/>
      </c>
      <c r="G4342" s="55" t="str">
        <f>IFERROR(IF(OR($B4342="",$B4342="(blank)"),"",VLOOKUP($B4342,'Email Marketing Raw Data'!$C:$O,4,0)),"")</f>
        <v/>
      </c>
      <c r="H4342" s="55" t="str">
        <f>IFERROR(IF(OR($B4342="",$B4342="(blank)"),"",VLOOKUP($B4342,'Email Marketing Raw Data'!$C:$O,5,0)),"")</f>
        <v/>
      </c>
      <c r="I4342" s="55" t="str">
        <f>IFERROR(IF($G4342="","",VLOOKUP('Dashboard And Emails Automate'!$G4342,Database!$H:$N,3,0)),"")</f>
        <v/>
      </c>
      <c r="J4342" s="55" t="str">
        <f>IFERROR(IF($G4342="","",VLOOKUP('Dashboard And Emails Automate'!$G4342,Database!$H:$N,4,0)),"")</f>
        <v/>
      </c>
      <c r="K4342" s="55" t="str">
        <f>IFERROR(IF($G4342="","",VLOOKUP('Dashboard And Emails Automate'!$G4342,Database!$H:$N,5,0)),"")</f>
        <v/>
      </c>
      <c r="L4342" s="55" t="str">
        <f>IFERROR(IF($G4342="","",VLOOKUP('Dashboard And Emails Automate'!$G4342,Database!$H:$N,6,0)),"")</f>
        <v/>
      </c>
      <c r="M4342" s="55" t="str">
        <f>IFERROR(IF($G4342="","",VLOOKUP('Dashboard And Emails Automate'!$G4342,Database!$H:$N,7,0)),"")</f>
        <v/>
      </c>
      <c r="N4342" s="55" t="str">
        <f>IFERROR(IF(OR($B4342="",$B4342="(blank)"),"",VLOOKUP($B4342,'Email Marketing Raw Data'!$C:$O,6,0)),"")</f>
        <v/>
      </c>
      <c r="O4342" s="55" t="str">
        <f>IFERROR(IF(OR($B4342="",$B4342="(blank)"),"",VLOOKUP($B4342,'Email Marketing Raw Data'!$C:$O,7,0)),"")</f>
        <v/>
      </c>
      <c r="P4342" s="55" t="str">
        <f>IFERROR(IF(OR($B4342="",$B4342="(blank)"),"",VLOOKUP($B4342,'Email Marketing Raw Data'!$C:$O,8,0)),"")</f>
        <v/>
      </c>
      <c r="Q4342" s="62" t="str">
        <f>IFERROR(IF(OR($B4342="",$B4342="(blank)"),"",VLOOKUP($B4342,'Email Marketing Raw Data'!$C:$O,9,0)),"")</f>
        <v/>
      </c>
    </row>
    <row r="4343" spans="4:17" ht="12.75" customHeight="1" x14ac:dyDescent="0.2">
      <c r="D4343" s="58" t="str">
        <f>IFERROR(IF(F4343&lt;&gt;"pending","",IF(OR($B4343="",$B4343="(blank)"),"",VLOOKUP($B4343,'Email Marketing Raw Data'!$C:$O,10,0))),"")</f>
        <v/>
      </c>
      <c r="E4343" s="59" t="str">
        <f>IFERROR(IF(F4343&lt;&gt;"pending","",IF(OR($B4343="",$B4343="(blank)"),"",VLOOKUP($B4343,'Email Marketing Raw Data'!$C:$O,11,0))),"")</f>
        <v/>
      </c>
      <c r="F4343" s="54" t="str">
        <f>IFERROR(IF(OR($B4343="",$B4343="(blank)"),"",VLOOKUP($B4343,'Email Marketing Raw Data'!$C:$O,13,0)),"")</f>
        <v/>
      </c>
      <c r="G4343" s="55" t="str">
        <f>IFERROR(IF(OR($B4343="",$B4343="(blank)"),"",VLOOKUP($B4343,'Email Marketing Raw Data'!$C:$O,4,0)),"")</f>
        <v/>
      </c>
      <c r="H4343" s="55" t="str">
        <f>IFERROR(IF(OR($B4343="",$B4343="(blank)"),"",VLOOKUP($B4343,'Email Marketing Raw Data'!$C:$O,5,0)),"")</f>
        <v/>
      </c>
      <c r="I4343" s="55" t="str">
        <f>IFERROR(IF($G4343="","",VLOOKUP('Dashboard And Emails Automate'!$G4343,Database!$H:$N,3,0)),"")</f>
        <v/>
      </c>
      <c r="J4343" s="55" t="str">
        <f>IFERROR(IF($G4343="","",VLOOKUP('Dashboard And Emails Automate'!$G4343,Database!$H:$N,4,0)),"")</f>
        <v/>
      </c>
      <c r="K4343" s="55" t="str">
        <f>IFERROR(IF($G4343="","",VLOOKUP('Dashboard And Emails Automate'!$G4343,Database!$H:$N,5,0)),"")</f>
        <v/>
      </c>
      <c r="L4343" s="55" t="str">
        <f>IFERROR(IF($G4343="","",VLOOKUP('Dashboard And Emails Automate'!$G4343,Database!$H:$N,6,0)),"")</f>
        <v/>
      </c>
      <c r="M4343" s="55" t="str">
        <f>IFERROR(IF($G4343="","",VLOOKUP('Dashboard And Emails Automate'!$G4343,Database!$H:$N,7,0)),"")</f>
        <v/>
      </c>
      <c r="N4343" s="55" t="str">
        <f>IFERROR(IF(OR($B4343="",$B4343="(blank)"),"",VLOOKUP($B4343,'Email Marketing Raw Data'!$C:$O,6,0)),"")</f>
        <v/>
      </c>
      <c r="O4343" s="55" t="str">
        <f>IFERROR(IF(OR($B4343="",$B4343="(blank)"),"",VLOOKUP($B4343,'Email Marketing Raw Data'!$C:$O,7,0)),"")</f>
        <v/>
      </c>
      <c r="P4343" s="55" t="str">
        <f>IFERROR(IF(OR($B4343="",$B4343="(blank)"),"",VLOOKUP($B4343,'Email Marketing Raw Data'!$C:$O,8,0)),"")</f>
        <v/>
      </c>
      <c r="Q4343" s="62" t="str">
        <f>IFERROR(IF(OR($B4343="",$B4343="(blank)"),"",VLOOKUP($B4343,'Email Marketing Raw Data'!$C:$O,9,0)),"")</f>
        <v/>
      </c>
    </row>
    <row r="4344" spans="4:17" ht="12.75" customHeight="1" x14ac:dyDescent="0.2">
      <c r="D4344" s="58" t="str">
        <f>IFERROR(IF(F4344&lt;&gt;"pending","",IF(OR($B4344="",$B4344="(blank)"),"",VLOOKUP($B4344,'Email Marketing Raw Data'!$C:$O,10,0))),"")</f>
        <v/>
      </c>
      <c r="E4344" s="59" t="str">
        <f>IFERROR(IF(F4344&lt;&gt;"pending","",IF(OR($B4344="",$B4344="(blank)"),"",VLOOKUP($B4344,'Email Marketing Raw Data'!$C:$O,11,0))),"")</f>
        <v/>
      </c>
      <c r="F4344" s="54" t="str">
        <f>IFERROR(IF(OR($B4344="",$B4344="(blank)"),"",VLOOKUP($B4344,'Email Marketing Raw Data'!$C:$O,13,0)),"")</f>
        <v/>
      </c>
      <c r="G4344" s="55" t="str">
        <f>IFERROR(IF(OR($B4344="",$B4344="(blank)"),"",VLOOKUP($B4344,'Email Marketing Raw Data'!$C:$O,4,0)),"")</f>
        <v/>
      </c>
      <c r="H4344" s="55" t="str">
        <f>IFERROR(IF(OR($B4344="",$B4344="(blank)"),"",VLOOKUP($B4344,'Email Marketing Raw Data'!$C:$O,5,0)),"")</f>
        <v/>
      </c>
      <c r="I4344" s="55" t="str">
        <f>IFERROR(IF($G4344="","",VLOOKUP('Dashboard And Emails Automate'!$G4344,Database!$H:$N,3,0)),"")</f>
        <v/>
      </c>
      <c r="J4344" s="55" t="str">
        <f>IFERROR(IF($G4344="","",VLOOKUP('Dashboard And Emails Automate'!$G4344,Database!$H:$N,4,0)),"")</f>
        <v/>
      </c>
      <c r="K4344" s="55" t="str">
        <f>IFERROR(IF($G4344="","",VLOOKUP('Dashboard And Emails Automate'!$G4344,Database!$H:$N,5,0)),"")</f>
        <v/>
      </c>
      <c r="L4344" s="55" t="str">
        <f>IFERROR(IF($G4344="","",VLOOKUP('Dashboard And Emails Automate'!$G4344,Database!$H:$N,6,0)),"")</f>
        <v/>
      </c>
      <c r="M4344" s="55" t="str">
        <f>IFERROR(IF($G4344="","",VLOOKUP('Dashboard And Emails Automate'!$G4344,Database!$H:$N,7,0)),"")</f>
        <v/>
      </c>
      <c r="N4344" s="55" t="str">
        <f>IFERROR(IF(OR($B4344="",$B4344="(blank)"),"",VLOOKUP($B4344,'Email Marketing Raw Data'!$C:$O,6,0)),"")</f>
        <v/>
      </c>
      <c r="O4344" s="55" t="str">
        <f>IFERROR(IF(OR($B4344="",$B4344="(blank)"),"",VLOOKUP($B4344,'Email Marketing Raw Data'!$C:$O,7,0)),"")</f>
        <v/>
      </c>
      <c r="P4344" s="55" t="str">
        <f>IFERROR(IF(OR($B4344="",$B4344="(blank)"),"",VLOOKUP($B4344,'Email Marketing Raw Data'!$C:$O,8,0)),"")</f>
        <v/>
      </c>
      <c r="Q4344" s="62" t="str">
        <f>IFERROR(IF(OR($B4344="",$B4344="(blank)"),"",VLOOKUP($B4344,'Email Marketing Raw Data'!$C:$O,9,0)),"")</f>
        <v/>
      </c>
    </row>
    <row r="4345" spans="4:17" ht="12.75" customHeight="1" x14ac:dyDescent="0.2">
      <c r="D4345" s="58" t="str">
        <f>IFERROR(IF(F4345&lt;&gt;"pending","",IF(OR($B4345="",$B4345="(blank)"),"",VLOOKUP($B4345,'Email Marketing Raw Data'!$C:$O,10,0))),"")</f>
        <v/>
      </c>
      <c r="E4345" s="59" t="str">
        <f>IFERROR(IF(F4345&lt;&gt;"pending","",IF(OR($B4345="",$B4345="(blank)"),"",VLOOKUP($B4345,'Email Marketing Raw Data'!$C:$O,11,0))),"")</f>
        <v/>
      </c>
      <c r="F4345" s="54" t="str">
        <f>IFERROR(IF(OR($B4345="",$B4345="(blank)"),"",VLOOKUP($B4345,'Email Marketing Raw Data'!$C:$O,13,0)),"")</f>
        <v/>
      </c>
      <c r="G4345" s="55" t="str">
        <f>IFERROR(IF(OR($B4345="",$B4345="(blank)"),"",VLOOKUP($B4345,'Email Marketing Raw Data'!$C:$O,4,0)),"")</f>
        <v/>
      </c>
      <c r="H4345" s="55" t="str">
        <f>IFERROR(IF(OR($B4345="",$B4345="(blank)"),"",VLOOKUP($B4345,'Email Marketing Raw Data'!$C:$O,5,0)),"")</f>
        <v/>
      </c>
      <c r="I4345" s="55" t="str">
        <f>IFERROR(IF($G4345="","",VLOOKUP('Dashboard And Emails Automate'!$G4345,Database!$H:$N,3,0)),"")</f>
        <v/>
      </c>
      <c r="J4345" s="55" t="str">
        <f>IFERROR(IF($G4345="","",VLOOKUP('Dashboard And Emails Automate'!$G4345,Database!$H:$N,4,0)),"")</f>
        <v/>
      </c>
      <c r="K4345" s="55" t="str">
        <f>IFERROR(IF($G4345="","",VLOOKUP('Dashboard And Emails Automate'!$G4345,Database!$H:$N,5,0)),"")</f>
        <v/>
      </c>
      <c r="L4345" s="55" t="str">
        <f>IFERROR(IF($G4345="","",VLOOKUP('Dashboard And Emails Automate'!$G4345,Database!$H:$N,6,0)),"")</f>
        <v/>
      </c>
      <c r="M4345" s="55" t="str">
        <f>IFERROR(IF($G4345="","",VLOOKUP('Dashboard And Emails Automate'!$G4345,Database!$H:$N,7,0)),"")</f>
        <v/>
      </c>
      <c r="N4345" s="55" t="str">
        <f>IFERROR(IF(OR($B4345="",$B4345="(blank)"),"",VLOOKUP($B4345,'Email Marketing Raw Data'!$C:$O,6,0)),"")</f>
        <v/>
      </c>
      <c r="O4345" s="55" t="str">
        <f>IFERROR(IF(OR($B4345="",$B4345="(blank)"),"",VLOOKUP($B4345,'Email Marketing Raw Data'!$C:$O,7,0)),"")</f>
        <v/>
      </c>
      <c r="P4345" s="55" t="str">
        <f>IFERROR(IF(OR($B4345="",$B4345="(blank)"),"",VLOOKUP($B4345,'Email Marketing Raw Data'!$C:$O,8,0)),"")</f>
        <v/>
      </c>
      <c r="Q4345" s="62" t="str">
        <f>IFERROR(IF(OR($B4345="",$B4345="(blank)"),"",VLOOKUP($B4345,'Email Marketing Raw Data'!$C:$O,9,0)),"")</f>
        <v/>
      </c>
    </row>
    <row r="4346" spans="4:17" ht="12.75" customHeight="1" x14ac:dyDescent="0.2">
      <c r="D4346" s="58" t="str">
        <f>IFERROR(IF(F4346&lt;&gt;"pending","",IF(OR($B4346="",$B4346="(blank)"),"",VLOOKUP($B4346,'Email Marketing Raw Data'!$C:$O,10,0))),"")</f>
        <v/>
      </c>
      <c r="E4346" s="59" t="str">
        <f>IFERROR(IF(F4346&lt;&gt;"pending","",IF(OR($B4346="",$B4346="(blank)"),"",VLOOKUP($B4346,'Email Marketing Raw Data'!$C:$O,11,0))),"")</f>
        <v/>
      </c>
      <c r="F4346" s="54" t="str">
        <f>IFERROR(IF(OR($B4346="",$B4346="(blank)"),"",VLOOKUP($B4346,'Email Marketing Raw Data'!$C:$O,13,0)),"")</f>
        <v/>
      </c>
      <c r="G4346" s="55" t="str">
        <f>IFERROR(IF(OR($B4346="",$B4346="(blank)"),"",VLOOKUP($B4346,'Email Marketing Raw Data'!$C:$O,4,0)),"")</f>
        <v/>
      </c>
      <c r="H4346" s="55" t="str">
        <f>IFERROR(IF(OR($B4346="",$B4346="(blank)"),"",VLOOKUP($B4346,'Email Marketing Raw Data'!$C:$O,5,0)),"")</f>
        <v/>
      </c>
      <c r="I4346" s="55" t="str">
        <f>IFERROR(IF($G4346="","",VLOOKUP('Dashboard And Emails Automate'!$G4346,Database!$H:$N,3,0)),"")</f>
        <v/>
      </c>
      <c r="J4346" s="55" t="str">
        <f>IFERROR(IF($G4346="","",VLOOKUP('Dashboard And Emails Automate'!$G4346,Database!$H:$N,4,0)),"")</f>
        <v/>
      </c>
      <c r="K4346" s="55" t="str">
        <f>IFERROR(IF($G4346="","",VLOOKUP('Dashboard And Emails Automate'!$G4346,Database!$H:$N,5,0)),"")</f>
        <v/>
      </c>
      <c r="L4346" s="55" t="str">
        <f>IFERROR(IF($G4346="","",VLOOKUP('Dashboard And Emails Automate'!$G4346,Database!$H:$N,6,0)),"")</f>
        <v/>
      </c>
      <c r="M4346" s="55" t="str">
        <f>IFERROR(IF($G4346="","",VLOOKUP('Dashboard And Emails Automate'!$G4346,Database!$H:$N,7,0)),"")</f>
        <v/>
      </c>
      <c r="N4346" s="55" t="str">
        <f>IFERROR(IF(OR($B4346="",$B4346="(blank)"),"",VLOOKUP($B4346,'Email Marketing Raw Data'!$C:$O,6,0)),"")</f>
        <v/>
      </c>
      <c r="O4346" s="55" t="str">
        <f>IFERROR(IF(OR($B4346="",$B4346="(blank)"),"",VLOOKUP($B4346,'Email Marketing Raw Data'!$C:$O,7,0)),"")</f>
        <v/>
      </c>
      <c r="P4346" s="55" t="str">
        <f>IFERROR(IF(OR($B4346="",$B4346="(blank)"),"",VLOOKUP($B4346,'Email Marketing Raw Data'!$C:$O,8,0)),"")</f>
        <v/>
      </c>
      <c r="Q4346" s="62" t="str">
        <f>IFERROR(IF(OR($B4346="",$B4346="(blank)"),"",VLOOKUP($B4346,'Email Marketing Raw Data'!$C:$O,9,0)),"")</f>
        <v/>
      </c>
    </row>
    <row r="4347" spans="4:17" ht="12.75" customHeight="1" x14ac:dyDescent="0.2">
      <c r="D4347" s="58" t="str">
        <f>IFERROR(IF(F4347&lt;&gt;"pending","",IF(OR($B4347="",$B4347="(blank)"),"",VLOOKUP($B4347,'Email Marketing Raw Data'!$C:$O,10,0))),"")</f>
        <v/>
      </c>
      <c r="E4347" s="59" t="str">
        <f>IFERROR(IF(F4347&lt;&gt;"pending","",IF(OR($B4347="",$B4347="(blank)"),"",VLOOKUP($B4347,'Email Marketing Raw Data'!$C:$O,11,0))),"")</f>
        <v/>
      </c>
      <c r="F4347" s="54" t="str">
        <f>IFERROR(IF(OR($B4347="",$B4347="(blank)"),"",VLOOKUP($B4347,'Email Marketing Raw Data'!$C:$O,13,0)),"")</f>
        <v/>
      </c>
      <c r="G4347" s="55" t="str">
        <f>IFERROR(IF(OR($B4347="",$B4347="(blank)"),"",VLOOKUP($B4347,'Email Marketing Raw Data'!$C:$O,4,0)),"")</f>
        <v/>
      </c>
      <c r="H4347" s="55" t="str">
        <f>IFERROR(IF(OR($B4347="",$B4347="(blank)"),"",VLOOKUP($B4347,'Email Marketing Raw Data'!$C:$O,5,0)),"")</f>
        <v/>
      </c>
      <c r="I4347" s="55" t="str">
        <f>IFERROR(IF($G4347="","",VLOOKUP('Dashboard And Emails Automate'!$G4347,Database!$H:$N,3,0)),"")</f>
        <v/>
      </c>
      <c r="J4347" s="55" t="str">
        <f>IFERROR(IF($G4347="","",VLOOKUP('Dashboard And Emails Automate'!$G4347,Database!$H:$N,4,0)),"")</f>
        <v/>
      </c>
      <c r="K4347" s="55" t="str">
        <f>IFERROR(IF($G4347="","",VLOOKUP('Dashboard And Emails Automate'!$G4347,Database!$H:$N,5,0)),"")</f>
        <v/>
      </c>
      <c r="L4347" s="55" t="str">
        <f>IFERROR(IF($G4347="","",VLOOKUP('Dashboard And Emails Automate'!$G4347,Database!$H:$N,6,0)),"")</f>
        <v/>
      </c>
      <c r="M4347" s="55" t="str">
        <f>IFERROR(IF($G4347="","",VLOOKUP('Dashboard And Emails Automate'!$G4347,Database!$H:$N,7,0)),"")</f>
        <v/>
      </c>
      <c r="N4347" s="55" t="str">
        <f>IFERROR(IF(OR($B4347="",$B4347="(blank)"),"",VLOOKUP($B4347,'Email Marketing Raw Data'!$C:$O,6,0)),"")</f>
        <v/>
      </c>
      <c r="O4347" s="55" t="str">
        <f>IFERROR(IF(OR($B4347="",$B4347="(blank)"),"",VLOOKUP($B4347,'Email Marketing Raw Data'!$C:$O,7,0)),"")</f>
        <v/>
      </c>
      <c r="P4347" s="55" t="str">
        <f>IFERROR(IF(OR($B4347="",$B4347="(blank)"),"",VLOOKUP($B4347,'Email Marketing Raw Data'!$C:$O,8,0)),"")</f>
        <v/>
      </c>
      <c r="Q4347" s="62" t="str">
        <f>IFERROR(IF(OR($B4347="",$B4347="(blank)"),"",VLOOKUP($B4347,'Email Marketing Raw Data'!$C:$O,9,0)),"")</f>
        <v/>
      </c>
    </row>
    <row r="4348" spans="4:17" ht="12.75" customHeight="1" x14ac:dyDescent="0.2">
      <c r="D4348" s="58" t="str">
        <f>IFERROR(IF(F4348&lt;&gt;"pending","",IF(OR($B4348="",$B4348="(blank)"),"",VLOOKUP($B4348,'Email Marketing Raw Data'!$C:$O,10,0))),"")</f>
        <v/>
      </c>
      <c r="E4348" s="59" t="str">
        <f>IFERROR(IF(F4348&lt;&gt;"pending","",IF(OR($B4348="",$B4348="(blank)"),"",VLOOKUP($B4348,'Email Marketing Raw Data'!$C:$O,11,0))),"")</f>
        <v/>
      </c>
      <c r="F4348" s="54" t="str">
        <f>IFERROR(IF(OR($B4348="",$B4348="(blank)"),"",VLOOKUP($B4348,'Email Marketing Raw Data'!$C:$O,13,0)),"")</f>
        <v/>
      </c>
      <c r="G4348" s="55" t="str">
        <f>IFERROR(IF(OR($B4348="",$B4348="(blank)"),"",VLOOKUP($B4348,'Email Marketing Raw Data'!$C:$O,4,0)),"")</f>
        <v/>
      </c>
      <c r="H4348" s="55" t="str">
        <f>IFERROR(IF(OR($B4348="",$B4348="(blank)"),"",VLOOKUP($B4348,'Email Marketing Raw Data'!$C:$O,5,0)),"")</f>
        <v/>
      </c>
      <c r="I4348" s="55" t="str">
        <f>IFERROR(IF($G4348="","",VLOOKUP('Dashboard And Emails Automate'!$G4348,Database!$H:$N,3,0)),"")</f>
        <v/>
      </c>
      <c r="J4348" s="55" t="str">
        <f>IFERROR(IF($G4348="","",VLOOKUP('Dashboard And Emails Automate'!$G4348,Database!$H:$N,4,0)),"")</f>
        <v/>
      </c>
      <c r="K4348" s="55" t="str">
        <f>IFERROR(IF($G4348="","",VLOOKUP('Dashboard And Emails Automate'!$G4348,Database!$H:$N,5,0)),"")</f>
        <v/>
      </c>
      <c r="L4348" s="55" t="str">
        <f>IFERROR(IF($G4348="","",VLOOKUP('Dashboard And Emails Automate'!$G4348,Database!$H:$N,6,0)),"")</f>
        <v/>
      </c>
      <c r="M4348" s="55" t="str">
        <f>IFERROR(IF($G4348="","",VLOOKUP('Dashboard And Emails Automate'!$G4348,Database!$H:$N,7,0)),"")</f>
        <v/>
      </c>
      <c r="N4348" s="55" t="str">
        <f>IFERROR(IF(OR($B4348="",$B4348="(blank)"),"",VLOOKUP($B4348,'Email Marketing Raw Data'!$C:$O,6,0)),"")</f>
        <v/>
      </c>
      <c r="O4348" s="55" t="str">
        <f>IFERROR(IF(OR($B4348="",$B4348="(blank)"),"",VLOOKUP($B4348,'Email Marketing Raw Data'!$C:$O,7,0)),"")</f>
        <v/>
      </c>
      <c r="P4348" s="55" t="str">
        <f>IFERROR(IF(OR($B4348="",$B4348="(blank)"),"",VLOOKUP($B4348,'Email Marketing Raw Data'!$C:$O,8,0)),"")</f>
        <v/>
      </c>
      <c r="Q4348" s="62" t="str">
        <f>IFERROR(IF(OR($B4348="",$B4348="(blank)"),"",VLOOKUP($B4348,'Email Marketing Raw Data'!$C:$O,9,0)),"")</f>
        <v/>
      </c>
    </row>
    <row r="4349" spans="4:17" ht="12.75" customHeight="1" x14ac:dyDescent="0.2">
      <c r="D4349" s="58" t="str">
        <f>IFERROR(IF(F4349&lt;&gt;"pending","",IF(OR($B4349="",$B4349="(blank)"),"",VLOOKUP($B4349,'Email Marketing Raw Data'!$C:$O,10,0))),"")</f>
        <v/>
      </c>
      <c r="E4349" s="59" t="str">
        <f>IFERROR(IF(F4349&lt;&gt;"pending","",IF(OR($B4349="",$B4349="(blank)"),"",VLOOKUP($B4349,'Email Marketing Raw Data'!$C:$O,11,0))),"")</f>
        <v/>
      </c>
      <c r="F4349" s="54" t="str">
        <f>IFERROR(IF(OR($B4349="",$B4349="(blank)"),"",VLOOKUP($B4349,'Email Marketing Raw Data'!$C:$O,13,0)),"")</f>
        <v/>
      </c>
      <c r="G4349" s="55" t="str">
        <f>IFERROR(IF(OR($B4349="",$B4349="(blank)"),"",VLOOKUP($B4349,'Email Marketing Raw Data'!$C:$O,4,0)),"")</f>
        <v/>
      </c>
      <c r="H4349" s="55" t="str">
        <f>IFERROR(IF(OR($B4349="",$B4349="(blank)"),"",VLOOKUP($B4349,'Email Marketing Raw Data'!$C:$O,5,0)),"")</f>
        <v/>
      </c>
      <c r="I4349" s="55" t="str">
        <f>IFERROR(IF($G4349="","",VLOOKUP('Dashboard And Emails Automate'!$G4349,Database!$H:$N,3,0)),"")</f>
        <v/>
      </c>
      <c r="J4349" s="55" t="str">
        <f>IFERROR(IF($G4349="","",VLOOKUP('Dashboard And Emails Automate'!$G4349,Database!$H:$N,4,0)),"")</f>
        <v/>
      </c>
      <c r="K4349" s="55" t="str">
        <f>IFERROR(IF($G4349="","",VLOOKUP('Dashboard And Emails Automate'!$G4349,Database!$H:$N,5,0)),"")</f>
        <v/>
      </c>
      <c r="L4349" s="55" t="str">
        <f>IFERROR(IF($G4349="","",VLOOKUP('Dashboard And Emails Automate'!$G4349,Database!$H:$N,6,0)),"")</f>
        <v/>
      </c>
      <c r="M4349" s="55" t="str">
        <f>IFERROR(IF($G4349="","",VLOOKUP('Dashboard And Emails Automate'!$G4349,Database!$H:$N,7,0)),"")</f>
        <v/>
      </c>
      <c r="N4349" s="55" t="str">
        <f>IFERROR(IF(OR($B4349="",$B4349="(blank)"),"",VLOOKUP($B4349,'Email Marketing Raw Data'!$C:$O,6,0)),"")</f>
        <v/>
      </c>
      <c r="O4349" s="55" t="str">
        <f>IFERROR(IF(OR($B4349="",$B4349="(blank)"),"",VLOOKUP($B4349,'Email Marketing Raw Data'!$C:$O,7,0)),"")</f>
        <v/>
      </c>
      <c r="P4349" s="55" t="str">
        <f>IFERROR(IF(OR($B4349="",$B4349="(blank)"),"",VLOOKUP($B4349,'Email Marketing Raw Data'!$C:$O,8,0)),"")</f>
        <v/>
      </c>
      <c r="Q4349" s="62" t="str">
        <f>IFERROR(IF(OR($B4349="",$B4349="(blank)"),"",VLOOKUP($B4349,'Email Marketing Raw Data'!$C:$O,9,0)),"")</f>
        <v/>
      </c>
    </row>
    <row r="4350" spans="4:17" ht="12.75" customHeight="1" x14ac:dyDescent="0.2">
      <c r="D4350" s="58" t="str">
        <f>IFERROR(IF(F4350&lt;&gt;"pending","",IF(OR($B4350="",$B4350="(blank)"),"",VLOOKUP($B4350,'Email Marketing Raw Data'!$C:$O,10,0))),"")</f>
        <v/>
      </c>
      <c r="E4350" s="59" t="str">
        <f>IFERROR(IF(F4350&lt;&gt;"pending","",IF(OR($B4350="",$B4350="(blank)"),"",VLOOKUP($B4350,'Email Marketing Raw Data'!$C:$O,11,0))),"")</f>
        <v/>
      </c>
      <c r="F4350" s="54" t="str">
        <f>IFERROR(IF(OR($B4350="",$B4350="(blank)"),"",VLOOKUP($B4350,'Email Marketing Raw Data'!$C:$O,13,0)),"")</f>
        <v/>
      </c>
      <c r="G4350" s="55" t="str">
        <f>IFERROR(IF(OR($B4350="",$B4350="(blank)"),"",VLOOKUP($B4350,'Email Marketing Raw Data'!$C:$O,4,0)),"")</f>
        <v/>
      </c>
      <c r="H4350" s="55" t="str">
        <f>IFERROR(IF(OR($B4350="",$B4350="(blank)"),"",VLOOKUP($B4350,'Email Marketing Raw Data'!$C:$O,5,0)),"")</f>
        <v/>
      </c>
      <c r="I4350" s="55" t="str">
        <f>IFERROR(IF($G4350="","",VLOOKUP('Dashboard And Emails Automate'!$G4350,Database!$H:$N,3,0)),"")</f>
        <v/>
      </c>
      <c r="J4350" s="55" t="str">
        <f>IFERROR(IF($G4350="","",VLOOKUP('Dashboard And Emails Automate'!$G4350,Database!$H:$N,4,0)),"")</f>
        <v/>
      </c>
      <c r="K4350" s="55" t="str">
        <f>IFERROR(IF($G4350="","",VLOOKUP('Dashboard And Emails Automate'!$G4350,Database!$H:$N,5,0)),"")</f>
        <v/>
      </c>
      <c r="L4350" s="55" t="str">
        <f>IFERROR(IF($G4350="","",VLOOKUP('Dashboard And Emails Automate'!$G4350,Database!$H:$N,6,0)),"")</f>
        <v/>
      </c>
      <c r="M4350" s="55" t="str">
        <f>IFERROR(IF($G4350="","",VLOOKUP('Dashboard And Emails Automate'!$G4350,Database!$H:$N,7,0)),"")</f>
        <v/>
      </c>
      <c r="N4350" s="55" t="str">
        <f>IFERROR(IF(OR($B4350="",$B4350="(blank)"),"",VLOOKUP($B4350,'Email Marketing Raw Data'!$C:$O,6,0)),"")</f>
        <v/>
      </c>
      <c r="O4350" s="55" t="str">
        <f>IFERROR(IF(OR($B4350="",$B4350="(blank)"),"",VLOOKUP($B4350,'Email Marketing Raw Data'!$C:$O,7,0)),"")</f>
        <v/>
      </c>
      <c r="P4350" s="55" t="str">
        <f>IFERROR(IF(OR($B4350="",$B4350="(blank)"),"",VLOOKUP($B4350,'Email Marketing Raw Data'!$C:$O,8,0)),"")</f>
        <v/>
      </c>
      <c r="Q4350" s="62" t="str">
        <f>IFERROR(IF(OR($B4350="",$B4350="(blank)"),"",VLOOKUP($B4350,'Email Marketing Raw Data'!$C:$O,9,0)),"")</f>
        <v/>
      </c>
    </row>
    <row r="4351" spans="4:17" ht="12.75" customHeight="1" x14ac:dyDescent="0.2">
      <c r="D4351" s="58" t="str">
        <f>IFERROR(IF(F4351&lt;&gt;"pending","",IF(OR($B4351="",$B4351="(blank)"),"",VLOOKUP($B4351,'Email Marketing Raw Data'!$C:$O,10,0))),"")</f>
        <v/>
      </c>
      <c r="E4351" s="59" t="str">
        <f>IFERROR(IF(F4351&lt;&gt;"pending","",IF(OR($B4351="",$B4351="(blank)"),"",VLOOKUP($B4351,'Email Marketing Raw Data'!$C:$O,11,0))),"")</f>
        <v/>
      </c>
      <c r="F4351" s="54" t="str">
        <f>IFERROR(IF(OR($B4351="",$B4351="(blank)"),"",VLOOKUP($B4351,'Email Marketing Raw Data'!$C:$O,13,0)),"")</f>
        <v/>
      </c>
      <c r="G4351" s="55" t="str">
        <f>IFERROR(IF(OR($B4351="",$B4351="(blank)"),"",VLOOKUP($B4351,'Email Marketing Raw Data'!$C:$O,4,0)),"")</f>
        <v/>
      </c>
      <c r="H4351" s="55" t="str">
        <f>IFERROR(IF(OR($B4351="",$B4351="(blank)"),"",VLOOKUP($B4351,'Email Marketing Raw Data'!$C:$O,5,0)),"")</f>
        <v/>
      </c>
      <c r="I4351" s="55" t="str">
        <f>IFERROR(IF($G4351="","",VLOOKUP('Dashboard And Emails Automate'!$G4351,Database!$H:$N,3,0)),"")</f>
        <v/>
      </c>
      <c r="J4351" s="55" t="str">
        <f>IFERROR(IF($G4351="","",VLOOKUP('Dashboard And Emails Automate'!$G4351,Database!$H:$N,4,0)),"")</f>
        <v/>
      </c>
      <c r="K4351" s="55" t="str">
        <f>IFERROR(IF($G4351="","",VLOOKUP('Dashboard And Emails Automate'!$G4351,Database!$H:$N,5,0)),"")</f>
        <v/>
      </c>
      <c r="L4351" s="55" t="str">
        <f>IFERROR(IF($G4351="","",VLOOKUP('Dashboard And Emails Automate'!$G4351,Database!$H:$N,6,0)),"")</f>
        <v/>
      </c>
      <c r="M4351" s="55" t="str">
        <f>IFERROR(IF($G4351="","",VLOOKUP('Dashboard And Emails Automate'!$G4351,Database!$H:$N,7,0)),"")</f>
        <v/>
      </c>
      <c r="N4351" s="55" t="str">
        <f>IFERROR(IF(OR($B4351="",$B4351="(blank)"),"",VLOOKUP($B4351,'Email Marketing Raw Data'!$C:$O,6,0)),"")</f>
        <v/>
      </c>
      <c r="O4351" s="55" t="str">
        <f>IFERROR(IF(OR($B4351="",$B4351="(blank)"),"",VLOOKUP($B4351,'Email Marketing Raw Data'!$C:$O,7,0)),"")</f>
        <v/>
      </c>
      <c r="P4351" s="55" t="str">
        <f>IFERROR(IF(OR($B4351="",$B4351="(blank)"),"",VLOOKUP($B4351,'Email Marketing Raw Data'!$C:$O,8,0)),"")</f>
        <v/>
      </c>
      <c r="Q4351" s="62" t="str">
        <f>IFERROR(IF(OR($B4351="",$B4351="(blank)"),"",VLOOKUP($B4351,'Email Marketing Raw Data'!$C:$O,9,0)),"")</f>
        <v/>
      </c>
    </row>
    <row r="4352" spans="4:17" ht="12.75" customHeight="1" x14ac:dyDescent="0.2">
      <c r="D4352" s="58" t="str">
        <f>IFERROR(IF(F4352&lt;&gt;"pending","",IF(OR($B4352="",$B4352="(blank)"),"",VLOOKUP($B4352,'Email Marketing Raw Data'!$C:$O,10,0))),"")</f>
        <v/>
      </c>
      <c r="E4352" s="59" t="str">
        <f>IFERROR(IF(F4352&lt;&gt;"pending","",IF(OR($B4352="",$B4352="(blank)"),"",VLOOKUP($B4352,'Email Marketing Raw Data'!$C:$O,11,0))),"")</f>
        <v/>
      </c>
      <c r="F4352" s="54" t="str">
        <f>IFERROR(IF(OR($B4352="",$B4352="(blank)"),"",VLOOKUP($B4352,'Email Marketing Raw Data'!$C:$O,13,0)),"")</f>
        <v/>
      </c>
      <c r="G4352" s="55" t="str">
        <f>IFERROR(IF(OR($B4352="",$B4352="(blank)"),"",VLOOKUP($B4352,'Email Marketing Raw Data'!$C:$O,4,0)),"")</f>
        <v/>
      </c>
      <c r="H4352" s="55" t="str">
        <f>IFERROR(IF(OR($B4352="",$B4352="(blank)"),"",VLOOKUP($B4352,'Email Marketing Raw Data'!$C:$O,5,0)),"")</f>
        <v/>
      </c>
      <c r="I4352" s="55" t="str">
        <f>IFERROR(IF($G4352="","",VLOOKUP('Dashboard And Emails Automate'!$G4352,Database!$H:$N,3,0)),"")</f>
        <v/>
      </c>
      <c r="J4352" s="55" t="str">
        <f>IFERROR(IF($G4352="","",VLOOKUP('Dashboard And Emails Automate'!$G4352,Database!$H:$N,4,0)),"")</f>
        <v/>
      </c>
      <c r="K4352" s="55" t="str">
        <f>IFERROR(IF($G4352="","",VLOOKUP('Dashboard And Emails Automate'!$G4352,Database!$H:$N,5,0)),"")</f>
        <v/>
      </c>
      <c r="L4352" s="55" t="str">
        <f>IFERROR(IF($G4352="","",VLOOKUP('Dashboard And Emails Automate'!$G4352,Database!$H:$N,6,0)),"")</f>
        <v/>
      </c>
      <c r="M4352" s="55" t="str">
        <f>IFERROR(IF($G4352="","",VLOOKUP('Dashboard And Emails Automate'!$G4352,Database!$H:$N,7,0)),"")</f>
        <v/>
      </c>
      <c r="N4352" s="55" t="str">
        <f>IFERROR(IF(OR($B4352="",$B4352="(blank)"),"",VLOOKUP($B4352,'Email Marketing Raw Data'!$C:$O,6,0)),"")</f>
        <v/>
      </c>
      <c r="O4352" s="55" t="str">
        <f>IFERROR(IF(OR($B4352="",$B4352="(blank)"),"",VLOOKUP($B4352,'Email Marketing Raw Data'!$C:$O,7,0)),"")</f>
        <v/>
      </c>
      <c r="P4352" s="55" t="str">
        <f>IFERROR(IF(OR($B4352="",$B4352="(blank)"),"",VLOOKUP($B4352,'Email Marketing Raw Data'!$C:$O,8,0)),"")</f>
        <v/>
      </c>
      <c r="Q4352" s="62" t="str">
        <f>IFERROR(IF(OR($B4352="",$B4352="(blank)"),"",VLOOKUP($B4352,'Email Marketing Raw Data'!$C:$O,9,0)),"")</f>
        <v/>
      </c>
    </row>
    <row r="4353" spans="4:17" ht="12.75" customHeight="1" x14ac:dyDescent="0.2">
      <c r="D4353" s="58" t="str">
        <f>IFERROR(IF(F4353&lt;&gt;"pending","",IF(OR($B4353="",$B4353="(blank)"),"",VLOOKUP($B4353,'Email Marketing Raw Data'!$C:$O,10,0))),"")</f>
        <v/>
      </c>
      <c r="E4353" s="59" t="str">
        <f>IFERROR(IF(F4353&lt;&gt;"pending","",IF(OR($B4353="",$B4353="(blank)"),"",VLOOKUP($B4353,'Email Marketing Raw Data'!$C:$O,11,0))),"")</f>
        <v/>
      </c>
      <c r="F4353" s="54" t="str">
        <f>IFERROR(IF(OR($B4353="",$B4353="(blank)"),"",VLOOKUP($B4353,'Email Marketing Raw Data'!$C:$O,13,0)),"")</f>
        <v/>
      </c>
      <c r="G4353" s="55" t="str">
        <f>IFERROR(IF(OR($B4353="",$B4353="(blank)"),"",VLOOKUP($B4353,'Email Marketing Raw Data'!$C:$O,4,0)),"")</f>
        <v/>
      </c>
      <c r="H4353" s="55" t="str">
        <f>IFERROR(IF(OR($B4353="",$B4353="(blank)"),"",VLOOKUP($B4353,'Email Marketing Raw Data'!$C:$O,5,0)),"")</f>
        <v/>
      </c>
      <c r="I4353" s="55" t="str">
        <f>IFERROR(IF($G4353="","",VLOOKUP('Dashboard And Emails Automate'!$G4353,Database!$H:$N,3,0)),"")</f>
        <v/>
      </c>
      <c r="J4353" s="55" t="str">
        <f>IFERROR(IF($G4353="","",VLOOKUP('Dashboard And Emails Automate'!$G4353,Database!$H:$N,4,0)),"")</f>
        <v/>
      </c>
      <c r="K4353" s="55" t="str">
        <f>IFERROR(IF($G4353="","",VLOOKUP('Dashboard And Emails Automate'!$G4353,Database!$H:$N,5,0)),"")</f>
        <v/>
      </c>
      <c r="L4353" s="55" t="str">
        <f>IFERROR(IF($G4353="","",VLOOKUP('Dashboard And Emails Automate'!$G4353,Database!$H:$N,6,0)),"")</f>
        <v/>
      </c>
      <c r="M4353" s="55" t="str">
        <f>IFERROR(IF($G4353="","",VLOOKUP('Dashboard And Emails Automate'!$G4353,Database!$H:$N,7,0)),"")</f>
        <v/>
      </c>
      <c r="N4353" s="55" t="str">
        <f>IFERROR(IF(OR($B4353="",$B4353="(blank)"),"",VLOOKUP($B4353,'Email Marketing Raw Data'!$C:$O,6,0)),"")</f>
        <v/>
      </c>
      <c r="O4353" s="55" t="str">
        <f>IFERROR(IF(OR($B4353="",$B4353="(blank)"),"",VLOOKUP($B4353,'Email Marketing Raw Data'!$C:$O,7,0)),"")</f>
        <v/>
      </c>
      <c r="P4353" s="55" t="str">
        <f>IFERROR(IF(OR($B4353="",$B4353="(blank)"),"",VLOOKUP($B4353,'Email Marketing Raw Data'!$C:$O,8,0)),"")</f>
        <v/>
      </c>
      <c r="Q4353" s="62" t="str">
        <f>IFERROR(IF(OR($B4353="",$B4353="(blank)"),"",VLOOKUP($B4353,'Email Marketing Raw Data'!$C:$O,9,0)),"")</f>
        <v/>
      </c>
    </row>
    <row r="4354" spans="4:17" ht="12.75" customHeight="1" x14ac:dyDescent="0.2">
      <c r="D4354" s="58" t="str">
        <f>IFERROR(IF(F4354&lt;&gt;"pending","",IF(OR($B4354="",$B4354="(blank)"),"",VLOOKUP($B4354,'Email Marketing Raw Data'!$C:$O,10,0))),"")</f>
        <v/>
      </c>
      <c r="E4354" s="59" t="str">
        <f>IFERROR(IF(F4354&lt;&gt;"pending","",IF(OR($B4354="",$B4354="(blank)"),"",VLOOKUP($B4354,'Email Marketing Raw Data'!$C:$O,11,0))),"")</f>
        <v/>
      </c>
      <c r="F4354" s="54" t="str">
        <f>IFERROR(IF(OR($B4354="",$B4354="(blank)"),"",VLOOKUP($B4354,'Email Marketing Raw Data'!$C:$O,13,0)),"")</f>
        <v/>
      </c>
      <c r="G4354" s="55" t="str">
        <f>IFERROR(IF(OR($B4354="",$B4354="(blank)"),"",VLOOKUP($B4354,'Email Marketing Raw Data'!$C:$O,4,0)),"")</f>
        <v/>
      </c>
      <c r="H4354" s="55" t="str">
        <f>IFERROR(IF(OR($B4354="",$B4354="(blank)"),"",VLOOKUP($B4354,'Email Marketing Raw Data'!$C:$O,5,0)),"")</f>
        <v/>
      </c>
      <c r="I4354" s="55" t="str">
        <f>IFERROR(IF($G4354="","",VLOOKUP('Dashboard And Emails Automate'!$G4354,Database!$H:$N,3,0)),"")</f>
        <v/>
      </c>
      <c r="J4354" s="55" t="str">
        <f>IFERROR(IF($G4354="","",VLOOKUP('Dashboard And Emails Automate'!$G4354,Database!$H:$N,4,0)),"")</f>
        <v/>
      </c>
      <c r="K4354" s="55" t="str">
        <f>IFERROR(IF($G4354="","",VLOOKUP('Dashboard And Emails Automate'!$G4354,Database!$H:$N,5,0)),"")</f>
        <v/>
      </c>
      <c r="L4354" s="55" t="str">
        <f>IFERROR(IF($G4354="","",VLOOKUP('Dashboard And Emails Automate'!$G4354,Database!$H:$N,6,0)),"")</f>
        <v/>
      </c>
      <c r="M4354" s="55" t="str">
        <f>IFERROR(IF($G4354="","",VLOOKUP('Dashboard And Emails Automate'!$G4354,Database!$H:$N,7,0)),"")</f>
        <v/>
      </c>
      <c r="N4354" s="55" t="str">
        <f>IFERROR(IF(OR($B4354="",$B4354="(blank)"),"",VLOOKUP($B4354,'Email Marketing Raw Data'!$C:$O,6,0)),"")</f>
        <v/>
      </c>
      <c r="O4354" s="55" t="str">
        <f>IFERROR(IF(OR($B4354="",$B4354="(blank)"),"",VLOOKUP($B4354,'Email Marketing Raw Data'!$C:$O,7,0)),"")</f>
        <v/>
      </c>
      <c r="P4354" s="55" t="str">
        <f>IFERROR(IF(OR($B4354="",$B4354="(blank)"),"",VLOOKUP($B4354,'Email Marketing Raw Data'!$C:$O,8,0)),"")</f>
        <v/>
      </c>
      <c r="Q4354" s="62" t="str">
        <f>IFERROR(IF(OR($B4354="",$B4354="(blank)"),"",VLOOKUP($B4354,'Email Marketing Raw Data'!$C:$O,9,0)),"")</f>
        <v/>
      </c>
    </row>
    <row r="4355" spans="4:17" ht="12.75" customHeight="1" x14ac:dyDescent="0.2">
      <c r="D4355" s="58" t="str">
        <f>IFERROR(IF(F4355&lt;&gt;"pending","",IF(OR($B4355="",$B4355="(blank)"),"",VLOOKUP($B4355,'Email Marketing Raw Data'!$C:$O,10,0))),"")</f>
        <v/>
      </c>
      <c r="E4355" s="59" t="str">
        <f>IFERROR(IF(F4355&lt;&gt;"pending","",IF(OR($B4355="",$B4355="(blank)"),"",VLOOKUP($B4355,'Email Marketing Raw Data'!$C:$O,11,0))),"")</f>
        <v/>
      </c>
      <c r="F4355" s="54" t="str">
        <f>IFERROR(IF(OR($B4355="",$B4355="(blank)"),"",VLOOKUP($B4355,'Email Marketing Raw Data'!$C:$O,13,0)),"")</f>
        <v/>
      </c>
      <c r="G4355" s="55" t="str">
        <f>IFERROR(IF(OR($B4355="",$B4355="(blank)"),"",VLOOKUP($B4355,'Email Marketing Raw Data'!$C:$O,4,0)),"")</f>
        <v/>
      </c>
      <c r="H4355" s="55" t="str">
        <f>IFERROR(IF(OR($B4355="",$B4355="(blank)"),"",VLOOKUP($B4355,'Email Marketing Raw Data'!$C:$O,5,0)),"")</f>
        <v/>
      </c>
      <c r="I4355" s="55" t="str">
        <f>IFERROR(IF($G4355="","",VLOOKUP('Dashboard And Emails Automate'!$G4355,Database!$H:$N,3,0)),"")</f>
        <v/>
      </c>
      <c r="J4355" s="55" t="str">
        <f>IFERROR(IF($G4355="","",VLOOKUP('Dashboard And Emails Automate'!$G4355,Database!$H:$N,4,0)),"")</f>
        <v/>
      </c>
      <c r="K4355" s="55" t="str">
        <f>IFERROR(IF($G4355="","",VLOOKUP('Dashboard And Emails Automate'!$G4355,Database!$H:$N,5,0)),"")</f>
        <v/>
      </c>
      <c r="L4355" s="55" t="str">
        <f>IFERROR(IF($G4355="","",VLOOKUP('Dashboard And Emails Automate'!$G4355,Database!$H:$N,6,0)),"")</f>
        <v/>
      </c>
      <c r="M4355" s="55" t="str">
        <f>IFERROR(IF($G4355="","",VLOOKUP('Dashboard And Emails Automate'!$G4355,Database!$H:$N,7,0)),"")</f>
        <v/>
      </c>
      <c r="N4355" s="55" t="str">
        <f>IFERROR(IF(OR($B4355="",$B4355="(blank)"),"",VLOOKUP($B4355,'Email Marketing Raw Data'!$C:$O,6,0)),"")</f>
        <v/>
      </c>
      <c r="O4355" s="55" t="str">
        <f>IFERROR(IF(OR($B4355="",$B4355="(blank)"),"",VLOOKUP($B4355,'Email Marketing Raw Data'!$C:$O,7,0)),"")</f>
        <v/>
      </c>
      <c r="P4355" s="55" t="str">
        <f>IFERROR(IF(OR($B4355="",$B4355="(blank)"),"",VLOOKUP($B4355,'Email Marketing Raw Data'!$C:$O,8,0)),"")</f>
        <v/>
      </c>
      <c r="Q4355" s="62" t="str">
        <f>IFERROR(IF(OR($B4355="",$B4355="(blank)"),"",VLOOKUP($B4355,'Email Marketing Raw Data'!$C:$O,9,0)),"")</f>
        <v/>
      </c>
    </row>
    <row r="4356" spans="4:17" ht="12.75" customHeight="1" x14ac:dyDescent="0.2">
      <c r="D4356" s="58" t="str">
        <f>IFERROR(IF(F4356&lt;&gt;"pending","",IF(OR($B4356="",$B4356="(blank)"),"",VLOOKUP($B4356,'Email Marketing Raw Data'!$C:$O,10,0))),"")</f>
        <v/>
      </c>
      <c r="E4356" s="59" t="str">
        <f>IFERROR(IF(F4356&lt;&gt;"pending","",IF(OR($B4356="",$B4356="(blank)"),"",VLOOKUP($B4356,'Email Marketing Raw Data'!$C:$O,11,0))),"")</f>
        <v/>
      </c>
      <c r="F4356" s="54" t="str">
        <f>IFERROR(IF(OR($B4356="",$B4356="(blank)"),"",VLOOKUP($B4356,'Email Marketing Raw Data'!$C:$O,13,0)),"")</f>
        <v/>
      </c>
      <c r="G4356" s="55" t="str">
        <f>IFERROR(IF(OR($B4356="",$B4356="(blank)"),"",VLOOKUP($B4356,'Email Marketing Raw Data'!$C:$O,4,0)),"")</f>
        <v/>
      </c>
      <c r="H4356" s="55" t="str">
        <f>IFERROR(IF(OR($B4356="",$B4356="(blank)"),"",VLOOKUP($B4356,'Email Marketing Raw Data'!$C:$O,5,0)),"")</f>
        <v/>
      </c>
      <c r="I4356" s="55" t="str">
        <f>IFERROR(IF($G4356="","",VLOOKUP('Dashboard And Emails Automate'!$G4356,Database!$H:$N,3,0)),"")</f>
        <v/>
      </c>
      <c r="J4356" s="55" t="str">
        <f>IFERROR(IF($G4356="","",VLOOKUP('Dashboard And Emails Automate'!$G4356,Database!$H:$N,4,0)),"")</f>
        <v/>
      </c>
      <c r="K4356" s="55" t="str">
        <f>IFERROR(IF($G4356="","",VLOOKUP('Dashboard And Emails Automate'!$G4356,Database!$H:$N,5,0)),"")</f>
        <v/>
      </c>
      <c r="L4356" s="55" t="str">
        <f>IFERROR(IF($G4356="","",VLOOKUP('Dashboard And Emails Automate'!$G4356,Database!$H:$N,6,0)),"")</f>
        <v/>
      </c>
      <c r="M4356" s="55" t="str">
        <f>IFERROR(IF($G4356="","",VLOOKUP('Dashboard And Emails Automate'!$G4356,Database!$H:$N,7,0)),"")</f>
        <v/>
      </c>
      <c r="N4356" s="55" t="str">
        <f>IFERROR(IF(OR($B4356="",$B4356="(blank)"),"",VLOOKUP($B4356,'Email Marketing Raw Data'!$C:$O,6,0)),"")</f>
        <v/>
      </c>
      <c r="O4356" s="55" t="str">
        <f>IFERROR(IF(OR($B4356="",$B4356="(blank)"),"",VLOOKUP($B4356,'Email Marketing Raw Data'!$C:$O,7,0)),"")</f>
        <v/>
      </c>
      <c r="P4356" s="55" t="str">
        <f>IFERROR(IF(OR($B4356="",$B4356="(blank)"),"",VLOOKUP($B4356,'Email Marketing Raw Data'!$C:$O,8,0)),"")</f>
        <v/>
      </c>
      <c r="Q4356" s="62" t="str">
        <f>IFERROR(IF(OR($B4356="",$B4356="(blank)"),"",VLOOKUP($B4356,'Email Marketing Raw Data'!$C:$O,9,0)),"")</f>
        <v/>
      </c>
    </row>
    <row r="4357" spans="4:17" ht="12.75" customHeight="1" x14ac:dyDescent="0.2">
      <c r="D4357" s="58" t="str">
        <f>IFERROR(IF(F4357&lt;&gt;"pending","",IF(OR($B4357="",$B4357="(blank)"),"",VLOOKUP($B4357,'Email Marketing Raw Data'!$C:$O,10,0))),"")</f>
        <v/>
      </c>
      <c r="E4357" s="59" t="str">
        <f>IFERROR(IF(F4357&lt;&gt;"pending","",IF(OR($B4357="",$B4357="(blank)"),"",VLOOKUP($B4357,'Email Marketing Raw Data'!$C:$O,11,0))),"")</f>
        <v/>
      </c>
      <c r="F4357" s="54" t="str">
        <f>IFERROR(IF(OR($B4357="",$B4357="(blank)"),"",VLOOKUP($B4357,'Email Marketing Raw Data'!$C:$O,13,0)),"")</f>
        <v/>
      </c>
      <c r="G4357" s="55" t="str">
        <f>IFERROR(IF(OR($B4357="",$B4357="(blank)"),"",VLOOKUP($B4357,'Email Marketing Raw Data'!$C:$O,4,0)),"")</f>
        <v/>
      </c>
      <c r="H4357" s="55" t="str">
        <f>IFERROR(IF(OR($B4357="",$B4357="(blank)"),"",VLOOKUP($B4357,'Email Marketing Raw Data'!$C:$O,5,0)),"")</f>
        <v/>
      </c>
      <c r="I4357" s="55" t="str">
        <f>IFERROR(IF($G4357="","",VLOOKUP('Dashboard And Emails Automate'!$G4357,Database!$H:$N,3,0)),"")</f>
        <v/>
      </c>
      <c r="J4357" s="55" t="str">
        <f>IFERROR(IF($G4357="","",VLOOKUP('Dashboard And Emails Automate'!$G4357,Database!$H:$N,4,0)),"")</f>
        <v/>
      </c>
      <c r="K4357" s="55" t="str">
        <f>IFERROR(IF($G4357="","",VLOOKUP('Dashboard And Emails Automate'!$G4357,Database!$H:$N,5,0)),"")</f>
        <v/>
      </c>
      <c r="L4357" s="55" t="str">
        <f>IFERROR(IF($G4357="","",VLOOKUP('Dashboard And Emails Automate'!$G4357,Database!$H:$N,6,0)),"")</f>
        <v/>
      </c>
      <c r="M4357" s="55" t="str">
        <f>IFERROR(IF($G4357="","",VLOOKUP('Dashboard And Emails Automate'!$G4357,Database!$H:$N,7,0)),"")</f>
        <v/>
      </c>
      <c r="N4357" s="55" t="str">
        <f>IFERROR(IF(OR($B4357="",$B4357="(blank)"),"",VLOOKUP($B4357,'Email Marketing Raw Data'!$C:$O,6,0)),"")</f>
        <v/>
      </c>
      <c r="O4357" s="55" t="str">
        <f>IFERROR(IF(OR($B4357="",$B4357="(blank)"),"",VLOOKUP($B4357,'Email Marketing Raw Data'!$C:$O,7,0)),"")</f>
        <v/>
      </c>
      <c r="P4357" s="55" t="str">
        <f>IFERROR(IF(OR($B4357="",$B4357="(blank)"),"",VLOOKUP($B4357,'Email Marketing Raw Data'!$C:$O,8,0)),"")</f>
        <v/>
      </c>
      <c r="Q4357" s="62" t="str">
        <f>IFERROR(IF(OR($B4357="",$B4357="(blank)"),"",VLOOKUP($B4357,'Email Marketing Raw Data'!$C:$O,9,0)),"")</f>
        <v/>
      </c>
    </row>
    <row r="4358" spans="4:17" ht="12.75" customHeight="1" x14ac:dyDescent="0.2">
      <c r="D4358" s="58" t="str">
        <f>IFERROR(IF(F4358&lt;&gt;"pending","",IF(OR($B4358="",$B4358="(blank)"),"",VLOOKUP($B4358,'Email Marketing Raw Data'!$C:$O,10,0))),"")</f>
        <v/>
      </c>
      <c r="E4358" s="59" t="str">
        <f>IFERROR(IF(F4358&lt;&gt;"pending","",IF(OR($B4358="",$B4358="(blank)"),"",VLOOKUP($B4358,'Email Marketing Raw Data'!$C:$O,11,0))),"")</f>
        <v/>
      </c>
      <c r="F4358" s="54" t="str">
        <f>IFERROR(IF(OR($B4358="",$B4358="(blank)"),"",VLOOKUP($B4358,'Email Marketing Raw Data'!$C:$O,13,0)),"")</f>
        <v/>
      </c>
      <c r="G4358" s="55" t="str">
        <f>IFERROR(IF(OR($B4358="",$B4358="(blank)"),"",VLOOKUP($B4358,'Email Marketing Raw Data'!$C:$O,4,0)),"")</f>
        <v/>
      </c>
      <c r="H4358" s="55" t="str">
        <f>IFERROR(IF(OR($B4358="",$B4358="(blank)"),"",VLOOKUP($B4358,'Email Marketing Raw Data'!$C:$O,5,0)),"")</f>
        <v/>
      </c>
      <c r="I4358" s="55" t="str">
        <f>IFERROR(IF($G4358="","",VLOOKUP('Dashboard And Emails Automate'!$G4358,Database!$H:$N,3,0)),"")</f>
        <v/>
      </c>
      <c r="J4358" s="55" t="str">
        <f>IFERROR(IF($G4358="","",VLOOKUP('Dashboard And Emails Automate'!$G4358,Database!$H:$N,4,0)),"")</f>
        <v/>
      </c>
      <c r="K4358" s="55" t="str">
        <f>IFERROR(IF($G4358="","",VLOOKUP('Dashboard And Emails Automate'!$G4358,Database!$H:$N,5,0)),"")</f>
        <v/>
      </c>
      <c r="L4358" s="55" t="str">
        <f>IFERROR(IF($G4358="","",VLOOKUP('Dashboard And Emails Automate'!$G4358,Database!$H:$N,6,0)),"")</f>
        <v/>
      </c>
      <c r="M4358" s="55" t="str">
        <f>IFERROR(IF($G4358="","",VLOOKUP('Dashboard And Emails Automate'!$G4358,Database!$H:$N,7,0)),"")</f>
        <v/>
      </c>
      <c r="N4358" s="55" t="str">
        <f>IFERROR(IF(OR($B4358="",$B4358="(blank)"),"",VLOOKUP($B4358,'Email Marketing Raw Data'!$C:$O,6,0)),"")</f>
        <v/>
      </c>
      <c r="O4358" s="55" t="str">
        <f>IFERROR(IF(OR($B4358="",$B4358="(blank)"),"",VLOOKUP($B4358,'Email Marketing Raw Data'!$C:$O,7,0)),"")</f>
        <v/>
      </c>
      <c r="P4358" s="55" t="str">
        <f>IFERROR(IF(OR($B4358="",$B4358="(blank)"),"",VLOOKUP($B4358,'Email Marketing Raw Data'!$C:$O,8,0)),"")</f>
        <v/>
      </c>
      <c r="Q4358" s="62" t="str">
        <f>IFERROR(IF(OR($B4358="",$B4358="(blank)"),"",VLOOKUP($B4358,'Email Marketing Raw Data'!$C:$O,9,0)),"")</f>
        <v/>
      </c>
    </row>
    <row r="4359" spans="4:17" ht="12.75" customHeight="1" x14ac:dyDescent="0.2">
      <c r="D4359" s="58" t="str">
        <f>IFERROR(IF(F4359&lt;&gt;"pending","",IF(OR($B4359="",$B4359="(blank)"),"",VLOOKUP($B4359,'Email Marketing Raw Data'!$C:$O,10,0))),"")</f>
        <v/>
      </c>
      <c r="E4359" s="59" t="str">
        <f>IFERROR(IF(F4359&lt;&gt;"pending","",IF(OR($B4359="",$B4359="(blank)"),"",VLOOKUP($B4359,'Email Marketing Raw Data'!$C:$O,11,0))),"")</f>
        <v/>
      </c>
      <c r="F4359" s="54" t="str">
        <f>IFERROR(IF(OR($B4359="",$B4359="(blank)"),"",VLOOKUP($B4359,'Email Marketing Raw Data'!$C:$O,13,0)),"")</f>
        <v/>
      </c>
      <c r="G4359" s="55" t="str">
        <f>IFERROR(IF(OR($B4359="",$B4359="(blank)"),"",VLOOKUP($B4359,'Email Marketing Raw Data'!$C:$O,4,0)),"")</f>
        <v/>
      </c>
      <c r="H4359" s="55" t="str">
        <f>IFERROR(IF(OR($B4359="",$B4359="(blank)"),"",VLOOKUP($B4359,'Email Marketing Raw Data'!$C:$O,5,0)),"")</f>
        <v/>
      </c>
      <c r="I4359" s="55" t="str">
        <f>IFERROR(IF($G4359="","",VLOOKUP('Dashboard And Emails Automate'!$G4359,Database!$H:$N,3,0)),"")</f>
        <v/>
      </c>
      <c r="J4359" s="55" t="str">
        <f>IFERROR(IF($G4359="","",VLOOKUP('Dashboard And Emails Automate'!$G4359,Database!$H:$N,4,0)),"")</f>
        <v/>
      </c>
      <c r="K4359" s="55" t="str">
        <f>IFERROR(IF($G4359="","",VLOOKUP('Dashboard And Emails Automate'!$G4359,Database!$H:$N,5,0)),"")</f>
        <v/>
      </c>
      <c r="L4359" s="55" t="str">
        <f>IFERROR(IF($G4359="","",VLOOKUP('Dashboard And Emails Automate'!$G4359,Database!$H:$N,6,0)),"")</f>
        <v/>
      </c>
      <c r="M4359" s="55" t="str">
        <f>IFERROR(IF($G4359="","",VLOOKUP('Dashboard And Emails Automate'!$G4359,Database!$H:$N,7,0)),"")</f>
        <v/>
      </c>
      <c r="N4359" s="55" t="str">
        <f>IFERROR(IF(OR($B4359="",$B4359="(blank)"),"",VLOOKUP($B4359,'Email Marketing Raw Data'!$C:$O,6,0)),"")</f>
        <v/>
      </c>
      <c r="O4359" s="55" t="str">
        <f>IFERROR(IF(OR($B4359="",$B4359="(blank)"),"",VLOOKUP($B4359,'Email Marketing Raw Data'!$C:$O,7,0)),"")</f>
        <v/>
      </c>
      <c r="P4359" s="55" t="str">
        <f>IFERROR(IF(OR($B4359="",$B4359="(blank)"),"",VLOOKUP($B4359,'Email Marketing Raw Data'!$C:$O,8,0)),"")</f>
        <v/>
      </c>
      <c r="Q4359" s="62" t="str">
        <f>IFERROR(IF(OR($B4359="",$B4359="(blank)"),"",VLOOKUP($B4359,'Email Marketing Raw Data'!$C:$O,9,0)),"")</f>
        <v/>
      </c>
    </row>
    <row r="4360" spans="4:17" ht="12.75" customHeight="1" x14ac:dyDescent="0.2">
      <c r="D4360" s="58" t="str">
        <f>IFERROR(IF(F4360&lt;&gt;"pending","",IF(OR($B4360="",$B4360="(blank)"),"",VLOOKUP($B4360,'Email Marketing Raw Data'!$C:$O,10,0))),"")</f>
        <v/>
      </c>
      <c r="E4360" s="59" t="str">
        <f>IFERROR(IF(F4360&lt;&gt;"pending","",IF(OR($B4360="",$B4360="(blank)"),"",VLOOKUP($B4360,'Email Marketing Raw Data'!$C:$O,11,0))),"")</f>
        <v/>
      </c>
      <c r="F4360" s="54" t="str">
        <f>IFERROR(IF(OR($B4360="",$B4360="(blank)"),"",VLOOKUP($B4360,'Email Marketing Raw Data'!$C:$O,13,0)),"")</f>
        <v/>
      </c>
      <c r="G4360" s="55" t="str">
        <f>IFERROR(IF(OR($B4360="",$B4360="(blank)"),"",VLOOKUP($B4360,'Email Marketing Raw Data'!$C:$O,4,0)),"")</f>
        <v/>
      </c>
      <c r="H4360" s="55" t="str">
        <f>IFERROR(IF(OR($B4360="",$B4360="(blank)"),"",VLOOKUP($B4360,'Email Marketing Raw Data'!$C:$O,5,0)),"")</f>
        <v/>
      </c>
      <c r="I4360" s="55" t="str">
        <f>IFERROR(IF($G4360="","",VLOOKUP('Dashboard And Emails Automate'!$G4360,Database!$H:$N,3,0)),"")</f>
        <v/>
      </c>
      <c r="J4360" s="55" t="str">
        <f>IFERROR(IF($G4360="","",VLOOKUP('Dashboard And Emails Automate'!$G4360,Database!$H:$N,4,0)),"")</f>
        <v/>
      </c>
      <c r="K4360" s="55" t="str">
        <f>IFERROR(IF($G4360="","",VLOOKUP('Dashboard And Emails Automate'!$G4360,Database!$H:$N,5,0)),"")</f>
        <v/>
      </c>
      <c r="L4360" s="55" t="str">
        <f>IFERROR(IF($G4360="","",VLOOKUP('Dashboard And Emails Automate'!$G4360,Database!$H:$N,6,0)),"")</f>
        <v/>
      </c>
      <c r="M4360" s="55" t="str">
        <f>IFERROR(IF($G4360="","",VLOOKUP('Dashboard And Emails Automate'!$G4360,Database!$H:$N,7,0)),"")</f>
        <v/>
      </c>
      <c r="N4360" s="55" t="str">
        <f>IFERROR(IF(OR($B4360="",$B4360="(blank)"),"",VLOOKUP($B4360,'Email Marketing Raw Data'!$C:$O,6,0)),"")</f>
        <v/>
      </c>
      <c r="O4360" s="55" t="str">
        <f>IFERROR(IF(OR($B4360="",$B4360="(blank)"),"",VLOOKUP($B4360,'Email Marketing Raw Data'!$C:$O,7,0)),"")</f>
        <v/>
      </c>
      <c r="P4360" s="55" t="str">
        <f>IFERROR(IF(OR($B4360="",$B4360="(blank)"),"",VLOOKUP($B4360,'Email Marketing Raw Data'!$C:$O,8,0)),"")</f>
        <v/>
      </c>
      <c r="Q4360" s="62" t="str">
        <f>IFERROR(IF(OR($B4360="",$B4360="(blank)"),"",VLOOKUP($B4360,'Email Marketing Raw Data'!$C:$O,9,0)),"")</f>
        <v/>
      </c>
    </row>
    <row r="4361" spans="4:17" ht="12.75" customHeight="1" x14ac:dyDescent="0.2">
      <c r="D4361" s="58" t="str">
        <f>IFERROR(IF(F4361&lt;&gt;"pending","",IF(OR($B4361="",$B4361="(blank)"),"",VLOOKUP($B4361,'Email Marketing Raw Data'!$C:$O,10,0))),"")</f>
        <v/>
      </c>
      <c r="E4361" s="59" t="str">
        <f>IFERROR(IF(F4361&lt;&gt;"pending","",IF(OR($B4361="",$B4361="(blank)"),"",VLOOKUP($B4361,'Email Marketing Raw Data'!$C:$O,11,0))),"")</f>
        <v/>
      </c>
      <c r="F4361" s="54" t="str">
        <f>IFERROR(IF(OR($B4361="",$B4361="(blank)"),"",VLOOKUP($B4361,'Email Marketing Raw Data'!$C:$O,13,0)),"")</f>
        <v/>
      </c>
      <c r="G4361" s="55" t="str">
        <f>IFERROR(IF(OR($B4361="",$B4361="(blank)"),"",VLOOKUP($B4361,'Email Marketing Raw Data'!$C:$O,4,0)),"")</f>
        <v/>
      </c>
      <c r="H4361" s="55" t="str">
        <f>IFERROR(IF(OR($B4361="",$B4361="(blank)"),"",VLOOKUP($B4361,'Email Marketing Raw Data'!$C:$O,5,0)),"")</f>
        <v/>
      </c>
      <c r="I4361" s="55" t="str">
        <f>IFERROR(IF($G4361="","",VLOOKUP('Dashboard And Emails Automate'!$G4361,Database!$H:$N,3,0)),"")</f>
        <v/>
      </c>
      <c r="J4361" s="55" t="str">
        <f>IFERROR(IF($G4361="","",VLOOKUP('Dashboard And Emails Automate'!$G4361,Database!$H:$N,4,0)),"")</f>
        <v/>
      </c>
      <c r="K4361" s="55" t="str">
        <f>IFERROR(IF($G4361="","",VLOOKUP('Dashboard And Emails Automate'!$G4361,Database!$H:$N,5,0)),"")</f>
        <v/>
      </c>
      <c r="L4361" s="55" t="str">
        <f>IFERROR(IF($G4361="","",VLOOKUP('Dashboard And Emails Automate'!$G4361,Database!$H:$N,6,0)),"")</f>
        <v/>
      </c>
      <c r="M4361" s="55" t="str">
        <f>IFERROR(IF($G4361="","",VLOOKUP('Dashboard And Emails Automate'!$G4361,Database!$H:$N,7,0)),"")</f>
        <v/>
      </c>
      <c r="N4361" s="55" t="str">
        <f>IFERROR(IF(OR($B4361="",$B4361="(blank)"),"",VLOOKUP($B4361,'Email Marketing Raw Data'!$C:$O,6,0)),"")</f>
        <v/>
      </c>
      <c r="O4361" s="55" t="str">
        <f>IFERROR(IF(OR($B4361="",$B4361="(blank)"),"",VLOOKUP($B4361,'Email Marketing Raw Data'!$C:$O,7,0)),"")</f>
        <v/>
      </c>
      <c r="P4361" s="55" t="str">
        <f>IFERROR(IF(OR($B4361="",$B4361="(blank)"),"",VLOOKUP($B4361,'Email Marketing Raw Data'!$C:$O,8,0)),"")</f>
        <v/>
      </c>
      <c r="Q4361" s="62" t="str">
        <f>IFERROR(IF(OR($B4361="",$B4361="(blank)"),"",VLOOKUP($B4361,'Email Marketing Raw Data'!$C:$O,9,0)),"")</f>
        <v/>
      </c>
    </row>
    <row r="4362" spans="4:17" ht="12.75" customHeight="1" x14ac:dyDescent="0.2">
      <c r="D4362" s="58" t="str">
        <f>IFERROR(IF(F4362&lt;&gt;"pending","",IF(OR($B4362="",$B4362="(blank)"),"",VLOOKUP($B4362,'Email Marketing Raw Data'!$C:$O,10,0))),"")</f>
        <v/>
      </c>
      <c r="E4362" s="59" t="str">
        <f>IFERROR(IF(F4362&lt;&gt;"pending","",IF(OR($B4362="",$B4362="(blank)"),"",VLOOKUP($B4362,'Email Marketing Raw Data'!$C:$O,11,0))),"")</f>
        <v/>
      </c>
      <c r="F4362" s="54" t="str">
        <f>IFERROR(IF(OR($B4362="",$B4362="(blank)"),"",VLOOKUP($B4362,'Email Marketing Raw Data'!$C:$O,13,0)),"")</f>
        <v/>
      </c>
      <c r="G4362" s="55" t="str">
        <f>IFERROR(IF(OR($B4362="",$B4362="(blank)"),"",VLOOKUP($B4362,'Email Marketing Raw Data'!$C:$O,4,0)),"")</f>
        <v/>
      </c>
      <c r="H4362" s="55" t="str">
        <f>IFERROR(IF(OR($B4362="",$B4362="(blank)"),"",VLOOKUP($B4362,'Email Marketing Raw Data'!$C:$O,5,0)),"")</f>
        <v/>
      </c>
      <c r="I4362" s="55" t="str">
        <f>IFERROR(IF($G4362="","",VLOOKUP('Dashboard And Emails Automate'!$G4362,Database!$H:$N,3,0)),"")</f>
        <v/>
      </c>
      <c r="J4362" s="55" t="str">
        <f>IFERROR(IF($G4362="","",VLOOKUP('Dashboard And Emails Automate'!$G4362,Database!$H:$N,4,0)),"")</f>
        <v/>
      </c>
      <c r="K4362" s="55" t="str">
        <f>IFERROR(IF($G4362="","",VLOOKUP('Dashboard And Emails Automate'!$G4362,Database!$H:$N,5,0)),"")</f>
        <v/>
      </c>
      <c r="L4362" s="55" t="str">
        <f>IFERROR(IF($G4362="","",VLOOKUP('Dashboard And Emails Automate'!$G4362,Database!$H:$N,6,0)),"")</f>
        <v/>
      </c>
      <c r="M4362" s="55" t="str">
        <f>IFERROR(IF($G4362="","",VLOOKUP('Dashboard And Emails Automate'!$G4362,Database!$H:$N,7,0)),"")</f>
        <v/>
      </c>
      <c r="N4362" s="55" t="str">
        <f>IFERROR(IF(OR($B4362="",$B4362="(blank)"),"",VLOOKUP($B4362,'Email Marketing Raw Data'!$C:$O,6,0)),"")</f>
        <v/>
      </c>
      <c r="O4362" s="55" t="str">
        <f>IFERROR(IF(OR($B4362="",$B4362="(blank)"),"",VLOOKUP($B4362,'Email Marketing Raw Data'!$C:$O,7,0)),"")</f>
        <v/>
      </c>
      <c r="P4362" s="55" t="str">
        <f>IFERROR(IF(OR($B4362="",$B4362="(blank)"),"",VLOOKUP($B4362,'Email Marketing Raw Data'!$C:$O,8,0)),"")</f>
        <v/>
      </c>
      <c r="Q4362" s="62" t="str">
        <f>IFERROR(IF(OR($B4362="",$B4362="(blank)"),"",VLOOKUP($B4362,'Email Marketing Raw Data'!$C:$O,9,0)),"")</f>
        <v/>
      </c>
    </row>
    <row r="4363" spans="4:17" ht="12.75" customHeight="1" x14ac:dyDescent="0.2">
      <c r="D4363" s="58" t="str">
        <f>IFERROR(IF(F4363&lt;&gt;"pending","",IF(OR($B4363="",$B4363="(blank)"),"",VLOOKUP($B4363,'Email Marketing Raw Data'!$C:$O,10,0))),"")</f>
        <v/>
      </c>
      <c r="E4363" s="59" t="str">
        <f>IFERROR(IF(F4363&lt;&gt;"pending","",IF(OR($B4363="",$B4363="(blank)"),"",VLOOKUP($B4363,'Email Marketing Raw Data'!$C:$O,11,0))),"")</f>
        <v/>
      </c>
      <c r="F4363" s="54" t="str">
        <f>IFERROR(IF(OR($B4363="",$B4363="(blank)"),"",VLOOKUP($B4363,'Email Marketing Raw Data'!$C:$O,13,0)),"")</f>
        <v/>
      </c>
      <c r="G4363" s="55" t="str">
        <f>IFERROR(IF(OR($B4363="",$B4363="(blank)"),"",VLOOKUP($B4363,'Email Marketing Raw Data'!$C:$O,4,0)),"")</f>
        <v/>
      </c>
      <c r="H4363" s="55" t="str">
        <f>IFERROR(IF(OR($B4363="",$B4363="(blank)"),"",VLOOKUP($B4363,'Email Marketing Raw Data'!$C:$O,5,0)),"")</f>
        <v/>
      </c>
      <c r="I4363" s="55" t="str">
        <f>IFERROR(IF($G4363="","",VLOOKUP('Dashboard And Emails Automate'!$G4363,Database!$H:$N,3,0)),"")</f>
        <v/>
      </c>
      <c r="J4363" s="55" t="str">
        <f>IFERROR(IF($G4363="","",VLOOKUP('Dashboard And Emails Automate'!$G4363,Database!$H:$N,4,0)),"")</f>
        <v/>
      </c>
      <c r="K4363" s="55" t="str">
        <f>IFERROR(IF($G4363="","",VLOOKUP('Dashboard And Emails Automate'!$G4363,Database!$H:$N,5,0)),"")</f>
        <v/>
      </c>
      <c r="L4363" s="55" t="str">
        <f>IFERROR(IF($G4363="","",VLOOKUP('Dashboard And Emails Automate'!$G4363,Database!$H:$N,6,0)),"")</f>
        <v/>
      </c>
      <c r="M4363" s="55" t="str">
        <f>IFERROR(IF($G4363="","",VLOOKUP('Dashboard And Emails Automate'!$G4363,Database!$H:$N,7,0)),"")</f>
        <v/>
      </c>
      <c r="N4363" s="55" t="str">
        <f>IFERROR(IF(OR($B4363="",$B4363="(blank)"),"",VLOOKUP($B4363,'Email Marketing Raw Data'!$C:$O,6,0)),"")</f>
        <v/>
      </c>
      <c r="O4363" s="55" t="str">
        <f>IFERROR(IF(OR($B4363="",$B4363="(blank)"),"",VLOOKUP($B4363,'Email Marketing Raw Data'!$C:$O,7,0)),"")</f>
        <v/>
      </c>
      <c r="P4363" s="55" t="str">
        <f>IFERROR(IF(OR($B4363="",$B4363="(blank)"),"",VLOOKUP($B4363,'Email Marketing Raw Data'!$C:$O,8,0)),"")</f>
        <v/>
      </c>
      <c r="Q4363" s="62" t="str">
        <f>IFERROR(IF(OR($B4363="",$B4363="(blank)"),"",VLOOKUP($B4363,'Email Marketing Raw Data'!$C:$O,9,0)),"")</f>
        <v/>
      </c>
    </row>
    <row r="4364" spans="4:17" ht="12.75" customHeight="1" x14ac:dyDescent="0.2">
      <c r="D4364" s="58" t="str">
        <f>IFERROR(IF(F4364&lt;&gt;"pending","",IF(OR($B4364="",$B4364="(blank)"),"",VLOOKUP($B4364,'Email Marketing Raw Data'!$C:$O,10,0))),"")</f>
        <v/>
      </c>
      <c r="E4364" s="59" t="str">
        <f>IFERROR(IF(F4364&lt;&gt;"pending","",IF(OR($B4364="",$B4364="(blank)"),"",VLOOKUP($B4364,'Email Marketing Raw Data'!$C:$O,11,0))),"")</f>
        <v/>
      </c>
      <c r="F4364" s="54" t="str">
        <f>IFERROR(IF(OR($B4364="",$B4364="(blank)"),"",VLOOKUP($B4364,'Email Marketing Raw Data'!$C:$O,13,0)),"")</f>
        <v/>
      </c>
      <c r="G4364" s="55" t="str">
        <f>IFERROR(IF(OR($B4364="",$B4364="(blank)"),"",VLOOKUP($B4364,'Email Marketing Raw Data'!$C:$O,4,0)),"")</f>
        <v/>
      </c>
      <c r="H4364" s="55" t="str">
        <f>IFERROR(IF(OR($B4364="",$B4364="(blank)"),"",VLOOKUP($B4364,'Email Marketing Raw Data'!$C:$O,5,0)),"")</f>
        <v/>
      </c>
      <c r="I4364" s="55" t="str">
        <f>IFERROR(IF($G4364="","",VLOOKUP('Dashboard And Emails Automate'!$G4364,Database!$H:$N,3,0)),"")</f>
        <v/>
      </c>
      <c r="J4364" s="55" t="str">
        <f>IFERROR(IF($G4364="","",VLOOKUP('Dashboard And Emails Automate'!$G4364,Database!$H:$N,4,0)),"")</f>
        <v/>
      </c>
      <c r="K4364" s="55" t="str">
        <f>IFERROR(IF($G4364="","",VLOOKUP('Dashboard And Emails Automate'!$G4364,Database!$H:$N,5,0)),"")</f>
        <v/>
      </c>
      <c r="L4364" s="55" t="str">
        <f>IFERROR(IF($G4364="","",VLOOKUP('Dashboard And Emails Automate'!$G4364,Database!$H:$N,6,0)),"")</f>
        <v/>
      </c>
      <c r="M4364" s="55" t="str">
        <f>IFERROR(IF($G4364="","",VLOOKUP('Dashboard And Emails Automate'!$G4364,Database!$H:$N,7,0)),"")</f>
        <v/>
      </c>
      <c r="N4364" s="55" t="str">
        <f>IFERROR(IF(OR($B4364="",$B4364="(blank)"),"",VLOOKUP($B4364,'Email Marketing Raw Data'!$C:$O,6,0)),"")</f>
        <v/>
      </c>
      <c r="O4364" s="55" t="str">
        <f>IFERROR(IF(OR($B4364="",$B4364="(blank)"),"",VLOOKUP($B4364,'Email Marketing Raw Data'!$C:$O,7,0)),"")</f>
        <v/>
      </c>
      <c r="P4364" s="55" t="str">
        <f>IFERROR(IF(OR($B4364="",$B4364="(blank)"),"",VLOOKUP($B4364,'Email Marketing Raw Data'!$C:$O,8,0)),"")</f>
        <v/>
      </c>
      <c r="Q4364" s="62" t="str">
        <f>IFERROR(IF(OR($B4364="",$B4364="(blank)"),"",VLOOKUP($B4364,'Email Marketing Raw Data'!$C:$O,9,0)),"")</f>
        <v/>
      </c>
    </row>
    <row r="4365" spans="4:17" ht="12.75" customHeight="1" x14ac:dyDescent="0.2">
      <c r="D4365" s="58" t="str">
        <f>IFERROR(IF(F4365&lt;&gt;"pending","",IF(OR($B4365="",$B4365="(blank)"),"",VLOOKUP($B4365,'Email Marketing Raw Data'!$C:$O,10,0))),"")</f>
        <v/>
      </c>
      <c r="E4365" s="59" t="str">
        <f>IFERROR(IF(F4365&lt;&gt;"pending","",IF(OR($B4365="",$B4365="(blank)"),"",VLOOKUP($B4365,'Email Marketing Raw Data'!$C:$O,11,0))),"")</f>
        <v/>
      </c>
      <c r="F4365" s="54" t="str">
        <f>IFERROR(IF(OR($B4365="",$B4365="(blank)"),"",VLOOKUP($B4365,'Email Marketing Raw Data'!$C:$O,13,0)),"")</f>
        <v/>
      </c>
      <c r="G4365" s="55" t="str">
        <f>IFERROR(IF(OR($B4365="",$B4365="(blank)"),"",VLOOKUP($B4365,'Email Marketing Raw Data'!$C:$O,4,0)),"")</f>
        <v/>
      </c>
      <c r="H4365" s="55" t="str">
        <f>IFERROR(IF(OR($B4365="",$B4365="(blank)"),"",VLOOKUP($B4365,'Email Marketing Raw Data'!$C:$O,5,0)),"")</f>
        <v/>
      </c>
      <c r="I4365" s="55" t="str">
        <f>IFERROR(IF($G4365="","",VLOOKUP('Dashboard And Emails Automate'!$G4365,Database!$H:$N,3,0)),"")</f>
        <v/>
      </c>
      <c r="J4365" s="55" t="str">
        <f>IFERROR(IF($G4365="","",VLOOKUP('Dashboard And Emails Automate'!$G4365,Database!$H:$N,4,0)),"")</f>
        <v/>
      </c>
      <c r="K4365" s="55" t="str">
        <f>IFERROR(IF($G4365="","",VLOOKUP('Dashboard And Emails Automate'!$G4365,Database!$H:$N,5,0)),"")</f>
        <v/>
      </c>
      <c r="L4365" s="55" t="str">
        <f>IFERROR(IF($G4365="","",VLOOKUP('Dashboard And Emails Automate'!$G4365,Database!$H:$N,6,0)),"")</f>
        <v/>
      </c>
      <c r="M4365" s="55" t="str">
        <f>IFERROR(IF($G4365="","",VLOOKUP('Dashboard And Emails Automate'!$G4365,Database!$H:$N,7,0)),"")</f>
        <v/>
      </c>
      <c r="N4365" s="55" t="str">
        <f>IFERROR(IF(OR($B4365="",$B4365="(blank)"),"",VLOOKUP($B4365,'Email Marketing Raw Data'!$C:$O,6,0)),"")</f>
        <v/>
      </c>
      <c r="O4365" s="55" t="str">
        <f>IFERROR(IF(OR($B4365="",$B4365="(blank)"),"",VLOOKUP($B4365,'Email Marketing Raw Data'!$C:$O,7,0)),"")</f>
        <v/>
      </c>
      <c r="P4365" s="55" t="str">
        <f>IFERROR(IF(OR($B4365="",$B4365="(blank)"),"",VLOOKUP($B4365,'Email Marketing Raw Data'!$C:$O,8,0)),"")</f>
        <v/>
      </c>
      <c r="Q4365" s="62" t="str">
        <f>IFERROR(IF(OR($B4365="",$B4365="(blank)"),"",VLOOKUP($B4365,'Email Marketing Raw Data'!$C:$O,9,0)),"")</f>
        <v/>
      </c>
    </row>
    <row r="4366" spans="4:17" ht="12.75" customHeight="1" x14ac:dyDescent="0.2">
      <c r="D4366" s="58" t="str">
        <f>IFERROR(IF(F4366&lt;&gt;"pending","",IF(OR($B4366="",$B4366="(blank)"),"",VLOOKUP($B4366,'Email Marketing Raw Data'!$C:$O,10,0))),"")</f>
        <v/>
      </c>
      <c r="E4366" s="59" t="str">
        <f>IFERROR(IF(F4366&lt;&gt;"pending","",IF(OR($B4366="",$B4366="(blank)"),"",VLOOKUP($B4366,'Email Marketing Raw Data'!$C:$O,11,0))),"")</f>
        <v/>
      </c>
      <c r="F4366" s="54" t="str">
        <f>IFERROR(IF(OR($B4366="",$B4366="(blank)"),"",VLOOKUP($B4366,'Email Marketing Raw Data'!$C:$O,13,0)),"")</f>
        <v/>
      </c>
      <c r="G4366" s="55" t="str">
        <f>IFERROR(IF(OR($B4366="",$B4366="(blank)"),"",VLOOKUP($B4366,'Email Marketing Raw Data'!$C:$O,4,0)),"")</f>
        <v/>
      </c>
      <c r="H4366" s="55" t="str">
        <f>IFERROR(IF(OR($B4366="",$B4366="(blank)"),"",VLOOKUP($B4366,'Email Marketing Raw Data'!$C:$O,5,0)),"")</f>
        <v/>
      </c>
      <c r="I4366" s="55" t="str">
        <f>IFERROR(IF($G4366="","",VLOOKUP('Dashboard And Emails Automate'!$G4366,Database!$H:$N,3,0)),"")</f>
        <v/>
      </c>
      <c r="J4366" s="55" t="str">
        <f>IFERROR(IF($G4366="","",VLOOKUP('Dashboard And Emails Automate'!$G4366,Database!$H:$N,4,0)),"")</f>
        <v/>
      </c>
      <c r="K4366" s="55" t="str">
        <f>IFERROR(IF($G4366="","",VLOOKUP('Dashboard And Emails Automate'!$G4366,Database!$H:$N,5,0)),"")</f>
        <v/>
      </c>
      <c r="L4366" s="55" t="str">
        <f>IFERROR(IF($G4366="","",VLOOKUP('Dashboard And Emails Automate'!$G4366,Database!$H:$N,6,0)),"")</f>
        <v/>
      </c>
      <c r="M4366" s="55" t="str">
        <f>IFERROR(IF($G4366="","",VLOOKUP('Dashboard And Emails Automate'!$G4366,Database!$H:$N,7,0)),"")</f>
        <v/>
      </c>
      <c r="N4366" s="55" t="str">
        <f>IFERROR(IF(OR($B4366="",$B4366="(blank)"),"",VLOOKUP($B4366,'Email Marketing Raw Data'!$C:$O,6,0)),"")</f>
        <v/>
      </c>
      <c r="O4366" s="55" t="str">
        <f>IFERROR(IF(OR($B4366="",$B4366="(blank)"),"",VLOOKUP($B4366,'Email Marketing Raw Data'!$C:$O,7,0)),"")</f>
        <v/>
      </c>
      <c r="P4366" s="55" t="str">
        <f>IFERROR(IF(OR($B4366="",$B4366="(blank)"),"",VLOOKUP($B4366,'Email Marketing Raw Data'!$C:$O,8,0)),"")</f>
        <v/>
      </c>
      <c r="Q4366" s="62" t="str">
        <f>IFERROR(IF(OR($B4366="",$B4366="(blank)"),"",VLOOKUP($B4366,'Email Marketing Raw Data'!$C:$O,9,0)),"")</f>
        <v/>
      </c>
    </row>
    <row r="4367" spans="4:17" ht="12.75" customHeight="1" x14ac:dyDescent="0.2">
      <c r="D4367" s="58" t="str">
        <f>IFERROR(IF(F4367&lt;&gt;"pending","",IF(OR($B4367="",$B4367="(blank)"),"",VLOOKUP($B4367,'Email Marketing Raw Data'!$C:$O,10,0))),"")</f>
        <v/>
      </c>
      <c r="E4367" s="59" t="str">
        <f>IFERROR(IF(F4367&lt;&gt;"pending","",IF(OR($B4367="",$B4367="(blank)"),"",VLOOKUP($B4367,'Email Marketing Raw Data'!$C:$O,11,0))),"")</f>
        <v/>
      </c>
      <c r="F4367" s="54" t="str">
        <f>IFERROR(IF(OR($B4367="",$B4367="(blank)"),"",VLOOKUP($B4367,'Email Marketing Raw Data'!$C:$O,13,0)),"")</f>
        <v/>
      </c>
      <c r="G4367" s="55" t="str">
        <f>IFERROR(IF(OR($B4367="",$B4367="(blank)"),"",VLOOKUP($B4367,'Email Marketing Raw Data'!$C:$O,4,0)),"")</f>
        <v/>
      </c>
      <c r="H4367" s="55" t="str">
        <f>IFERROR(IF(OR($B4367="",$B4367="(blank)"),"",VLOOKUP($B4367,'Email Marketing Raw Data'!$C:$O,5,0)),"")</f>
        <v/>
      </c>
      <c r="I4367" s="55" t="str">
        <f>IFERROR(IF($G4367="","",VLOOKUP('Dashboard And Emails Automate'!$G4367,Database!$H:$N,3,0)),"")</f>
        <v/>
      </c>
      <c r="J4367" s="55" t="str">
        <f>IFERROR(IF($G4367="","",VLOOKUP('Dashboard And Emails Automate'!$G4367,Database!$H:$N,4,0)),"")</f>
        <v/>
      </c>
      <c r="K4367" s="55" t="str">
        <f>IFERROR(IF($G4367="","",VLOOKUP('Dashboard And Emails Automate'!$G4367,Database!$H:$N,5,0)),"")</f>
        <v/>
      </c>
      <c r="L4367" s="55" t="str">
        <f>IFERROR(IF($G4367="","",VLOOKUP('Dashboard And Emails Automate'!$G4367,Database!$H:$N,6,0)),"")</f>
        <v/>
      </c>
      <c r="M4367" s="55" t="str">
        <f>IFERROR(IF($G4367="","",VLOOKUP('Dashboard And Emails Automate'!$G4367,Database!$H:$N,7,0)),"")</f>
        <v/>
      </c>
      <c r="N4367" s="55" t="str">
        <f>IFERROR(IF(OR($B4367="",$B4367="(blank)"),"",VLOOKUP($B4367,'Email Marketing Raw Data'!$C:$O,6,0)),"")</f>
        <v/>
      </c>
      <c r="O4367" s="55" t="str">
        <f>IFERROR(IF(OR($B4367="",$B4367="(blank)"),"",VLOOKUP($B4367,'Email Marketing Raw Data'!$C:$O,7,0)),"")</f>
        <v/>
      </c>
      <c r="P4367" s="55" t="str">
        <f>IFERROR(IF(OR($B4367="",$B4367="(blank)"),"",VLOOKUP($B4367,'Email Marketing Raw Data'!$C:$O,8,0)),"")</f>
        <v/>
      </c>
      <c r="Q4367" s="62" t="str">
        <f>IFERROR(IF(OR($B4367="",$B4367="(blank)"),"",VLOOKUP($B4367,'Email Marketing Raw Data'!$C:$O,9,0)),"")</f>
        <v/>
      </c>
    </row>
    <row r="4368" spans="4:17" ht="12.75" customHeight="1" x14ac:dyDescent="0.2">
      <c r="D4368" s="58" t="str">
        <f>IFERROR(IF(F4368&lt;&gt;"pending","",IF(OR($B4368="",$B4368="(blank)"),"",VLOOKUP($B4368,'Email Marketing Raw Data'!$C:$O,10,0))),"")</f>
        <v/>
      </c>
      <c r="E4368" s="59" t="str">
        <f>IFERROR(IF(F4368&lt;&gt;"pending","",IF(OR($B4368="",$B4368="(blank)"),"",VLOOKUP($B4368,'Email Marketing Raw Data'!$C:$O,11,0))),"")</f>
        <v/>
      </c>
      <c r="F4368" s="54" t="str">
        <f>IFERROR(IF(OR($B4368="",$B4368="(blank)"),"",VLOOKUP($B4368,'Email Marketing Raw Data'!$C:$O,13,0)),"")</f>
        <v/>
      </c>
      <c r="G4368" s="55" t="str">
        <f>IFERROR(IF(OR($B4368="",$B4368="(blank)"),"",VLOOKUP($B4368,'Email Marketing Raw Data'!$C:$O,4,0)),"")</f>
        <v/>
      </c>
      <c r="H4368" s="55" t="str">
        <f>IFERROR(IF(OR($B4368="",$B4368="(blank)"),"",VLOOKUP($B4368,'Email Marketing Raw Data'!$C:$O,5,0)),"")</f>
        <v/>
      </c>
      <c r="I4368" s="55" t="str">
        <f>IFERROR(IF($G4368="","",VLOOKUP('Dashboard And Emails Automate'!$G4368,Database!$H:$N,3,0)),"")</f>
        <v/>
      </c>
      <c r="J4368" s="55" t="str">
        <f>IFERROR(IF($G4368="","",VLOOKUP('Dashboard And Emails Automate'!$G4368,Database!$H:$N,4,0)),"")</f>
        <v/>
      </c>
      <c r="K4368" s="55" t="str">
        <f>IFERROR(IF($G4368="","",VLOOKUP('Dashboard And Emails Automate'!$G4368,Database!$H:$N,5,0)),"")</f>
        <v/>
      </c>
      <c r="L4368" s="55" t="str">
        <f>IFERROR(IF($G4368="","",VLOOKUP('Dashboard And Emails Automate'!$G4368,Database!$H:$N,6,0)),"")</f>
        <v/>
      </c>
      <c r="M4368" s="55" t="str">
        <f>IFERROR(IF($G4368="","",VLOOKUP('Dashboard And Emails Automate'!$G4368,Database!$H:$N,7,0)),"")</f>
        <v/>
      </c>
      <c r="N4368" s="55" t="str">
        <f>IFERROR(IF(OR($B4368="",$B4368="(blank)"),"",VLOOKUP($B4368,'Email Marketing Raw Data'!$C:$O,6,0)),"")</f>
        <v/>
      </c>
      <c r="O4368" s="55" t="str">
        <f>IFERROR(IF(OR($B4368="",$B4368="(blank)"),"",VLOOKUP($B4368,'Email Marketing Raw Data'!$C:$O,7,0)),"")</f>
        <v/>
      </c>
      <c r="P4368" s="55" t="str">
        <f>IFERROR(IF(OR($B4368="",$B4368="(blank)"),"",VLOOKUP($B4368,'Email Marketing Raw Data'!$C:$O,8,0)),"")</f>
        <v/>
      </c>
      <c r="Q4368" s="62" t="str">
        <f>IFERROR(IF(OR($B4368="",$B4368="(blank)"),"",VLOOKUP($B4368,'Email Marketing Raw Data'!$C:$O,9,0)),"")</f>
        <v/>
      </c>
    </row>
    <row r="4369" spans="4:17" ht="12.75" customHeight="1" x14ac:dyDescent="0.2">
      <c r="D4369" s="58" t="str">
        <f>IFERROR(IF(F4369&lt;&gt;"pending","",IF(OR($B4369="",$B4369="(blank)"),"",VLOOKUP($B4369,'Email Marketing Raw Data'!$C:$O,10,0))),"")</f>
        <v/>
      </c>
      <c r="E4369" s="59" t="str">
        <f>IFERROR(IF(F4369&lt;&gt;"pending","",IF(OR($B4369="",$B4369="(blank)"),"",VLOOKUP($B4369,'Email Marketing Raw Data'!$C:$O,11,0))),"")</f>
        <v/>
      </c>
      <c r="F4369" s="54" t="str">
        <f>IFERROR(IF(OR($B4369="",$B4369="(blank)"),"",VLOOKUP($B4369,'Email Marketing Raw Data'!$C:$O,13,0)),"")</f>
        <v/>
      </c>
      <c r="G4369" s="55" t="str">
        <f>IFERROR(IF(OR($B4369="",$B4369="(blank)"),"",VLOOKUP($B4369,'Email Marketing Raw Data'!$C:$O,4,0)),"")</f>
        <v/>
      </c>
      <c r="H4369" s="55" t="str">
        <f>IFERROR(IF(OR($B4369="",$B4369="(blank)"),"",VLOOKUP($B4369,'Email Marketing Raw Data'!$C:$O,5,0)),"")</f>
        <v/>
      </c>
      <c r="I4369" s="55" t="str">
        <f>IFERROR(IF($G4369="","",VLOOKUP('Dashboard And Emails Automate'!$G4369,Database!$H:$N,3,0)),"")</f>
        <v/>
      </c>
      <c r="J4369" s="55" t="str">
        <f>IFERROR(IF($G4369="","",VLOOKUP('Dashboard And Emails Automate'!$G4369,Database!$H:$N,4,0)),"")</f>
        <v/>
      </c>
      <c r="K4369" s="55" t="str">
        <f>IFERROR(IF($G4369="","",VLOOKUP('Dashboard And Emails Automate'!$G4369,Database!$H:$N,5,0)),"")</f>
        <v/>
      </c>
      <c r="L4369" s="55" t="str">
        <f>IFERROR(IF($G4369="","",VLOOKUP('Dashboard And Emails Automate'!$G4369,Database!$H:$N,6,0)),"")</f>
        <v/>
      </c>
      <c r="M4369" s="55" t="str">
        <f>IFERROR(IF($G4369="","",VLOOKUP('Dashboard And Emails Automate'!$G4369,Database!$H:$N,7,0)),"")</f>
        <v/>
      </c>
      <c r="N4369" s="55" t="str">
        <f>IFERROR(IF(OR($B4369="",$B4369="(blank)"),"",VLOOKUP($B4369,'Email Marketing Raw Data'!$C:$O,6,0)),"")</f>
        <v/>
      </c>
      <c r="O4369" s="55" t="str">
        <f>IFERROR(IF(OR($B4369="",$B4369="(blank)"),"",VLOOKUP($B4369,'Email Marketing Raw Data'!$C:$O,7,0)),"")</f>
        <v/>
      </c>
      <c r="P4369" s="55" t="str">
        <f>IFERROR(IF(OR($B4369="",$B4369="(blank)"),"",VLOOKUP($B4369,'Email Marketing Raw Data'!$C:$O,8,0)),"")</f>
        <v/>
      </c>
      <c r="Q4369" s="62" t="str">
        <f>IFERROR(IF(OR($B4369="",$B4369="(blank)"),"",VLOOKUP($B4369,'Email Marketing Raw Data'!$C:$O,9,0)),"")</f>
        <v/>
      </c>
    </row>
    <row r="4370" spans="4:17" ht="12.75" customHeight="1" x14ac:dyDescent="0.2">
      <c r="D4370" s="58" t="str">
        <f>IFERROR(IF(F4370&lt;&gt;"pending","",IF(OR($B4370="",$B4370="(blank)"),"",VLOOKUP($B4370,'Email Marketing Raw Data'!$C:$O,10,0))),"")</f>
        <v/>
      </c>
      <c r="E4370" s="59" t="str">
        <f>IFERROR(IF(F4370&lt;&gt;"pending","",IF(OR($B4370="",$B4370="(blank)"),"",VLOOKUP($B4370,'Email Marketing Raw Data'!$C:$O,11,0))),"")</f>
        <v/>
      </c>
      <c r="F4370" s="54" t="str">
        <f>IFERROR(IF(OR($B4370="",$B4370="(blank)"),"",VLOOKUP($B4370,'Email Marketing Raw Data'!$C:$O,13,0)),"")</f>
        <v/>
      </c>
      <c r="G4370" s="55" t="str">
        <f>IFERROR(IF(OR($B4370="",$B4370="(blank)"),"",VLOOKUP($B4370,'Email Marketing Raw Data'!$C:$O,4,0)),"")</f>
        <v/>
      </c>
      <c r="H4370" s="55" t="str">
        <f>IFERROR(IF(OR($B4370="",$B4370="(blank)"),"",VLOOKUP($B4370,'Email Marketing Raw Data'!$C:$O,5,0)),"")</f>
        <v/>
      </c>
      <c r="I4370" s="55" t="str">
        <f>IFERROR(IF($G4370="","",VLOOKUP('Dashboard And Emails Automate'!$G4370,Database!$H:$N,3,0)),"")</f>
        <v/>
      </c>
      <c r="J4370" s="55" t="str">
        <f>IFERROR(IF($G4370="","",VLOOKUP('Dashboard And Emails Automate'!$G4370,Database!$H:$N,4,0)),"")</f>
        <v/>
      </c>
      <c r="K4370" s="55" t="str">
        <f>IFERROR(IF($G4370="","",VLOOKUP('Dashboard And Emails Automate'!$G4370,Database!$H:$N,5,0)),"")</f>
        <v/>
      </c>
      <c r="L4370" s="55" t="str">
        <f>IFERROR(IF($G4370="","",VLOOKUP('Dashboard And Emails Automate'!$G4370,Database!$H:$N,6,0)),"")</f>
        <v/>
      </c>
      <c r="M4370" s="55" t="str">
        <f>IFERROR(IF($G4370="","",VLOOKUP('Dashboard And Emails Automate'!$G4370,Database!$H:$N,7,0)),"")</f>
        <v/>
      </c>
      <c r="N4370" s="55" t="str">
        <f>IFERROR(IF(OR($B4370="",$B4370="(blank)"),"",VLOOKUP($B4370,'Email Marketing Raw Data'!$C:$O,6,0)),"")</f>
        <v/>
      </c>
      <c r="O4370" s="55" t="str">
        <f>IFERROR(IF(OR($B4370="",$B4370="(blank)"),"",VLOOKUP($B4370,'Email Marketing Raw Data'!$C:$O,7,0)),"")</f>
        <v/>
      </c>
      <c r="P4370" s="55" t="str">
        <f>IFERROR(IF(OR($B4370="",$B4370="(blank)"),"",VLOOKUP($B4370,'Email Marketing Raw Data'!$C:$O,8,0)),"")</f>
        <v/>
      </c>
      <c r="Q4370" s="62" t="str">
        <f>IFERROR(IF(OR($B4370="",$B4370="(blank)"),"",VLOOKUP($B4370,'Email Marketing Raw Data'!$C:$O,9,0)),"")</f>
        <v/>
      </c>
    </row>
    <row r="4371" spans="4:17" ht="12.75" customHeight="1" x14ac:dyDescent="0.2">
      <c r="D4371" s="58" t="str">
        <f>IFERROR(IF(F4371&lt;&gt;"pending","",IF(OR($B4371="",$B4371="(blank)"),"",VLOOKUP($B4371,'Email Marketing Raw Data'!$C:$O,10,0))),"")</f>
        <v/>
      </c>
      <c r="E4371" s="59" t="str">
        <f>IFERROR(IF(F4371&lt;&gt;"pending","",IF(OR($B4371="",$B4371="(blank)"),"",VLOOKUP($B4371,'Email Marketing Raw Data'!$C:$O,11,0))),"")</f>
        <v/>
      </c>
      <c r="F4371" s="54" t="str">
        <f>IFERROR(IF(OR($B4371="",$B4371="(blank)"),"",VLOOKUP($B4371,'Email Marketing Raw Data'!$C:$O,13,0)),"")</f>
        <v/>
      </c>
      <c r="G4371" s="55" t="str">
        <f>IFERROR(IF(OR($B4371="",$B4371="(blank)"),"",VLOOKUP($B4371,'Email Marketing Raw Data'!$C:$O,4,0)),"")</f>
        <v/>
      </c>
      <c r="H4371" s="55" t="str">
        <f>IFERROR(IF(OR($B4371="",$B4371="(blank)"),"",VLOOKUP($B4371,'Email Marketing Raw Data'!$C:$O,5,0)),"")</f>
        <v/>
      </c>
      <c r="I4371" s="55" t="str">
        <f>IFERROR(IF($G4371="","",VLOOKUP('Dashboard And Emails Automate'!$G4371,Database!$H:$N,3,0)),"")</f>
        <v/>
      </c>
      <c r="J4371" s="55" t="str">
        <f>IFERROR(IF($G4371="","",VLOOKUP('Dashboard And Emails Automate'!$G4371,Database!$H:$N,4,0)),"")</f>
        <v/>
      </c>
      <c r="K4371" s="55" t="str">
        <f>IFERROR(IF($G4371="","",VLOOKUP('Dashboard And Emails Automate'!$G4371,Database!$H:$N,5,0)),"")</f>
        <v/>
      </c>
      <c r="L4371" s="55" t="str">
        <f>IFERROR(IF($G4371="","",VLOOKUP('Dashboard And Emails Automate'!$G4371,Database!$H:$N,6,0)),"")</f>
        <v/>
      </c>
      <c r="M4371" s="55" t="str">
        <f>IFERROR(IF($G4371="","",VLOOKUP('Dashboard And Emails Automate'!$G4371,Database!$H:$N,7,0)),"")</f>
        <v/>
      </c>
      <c r="N4371" s="55" t="str">
        <f>IFERROR(IF(OR($B4371="",$B4371="(blank)"),"",VLOOKUP($B4371,'Email Marketing Raw Data'!$C:$O,6,0)),"")</f>
        <v/>
      </c>
      <c r="O4371" s="55" t="str">
        <f>IFERROR(IF(OR($B4371="",$B4371="(blank)"),"",VLOOKUP($B4371,'Email Marketing Raw Data'!$C:$O,7,0)),"")</f>
        <v/>
      </c>
      <c r="P4371" s="55" t="str">
        <f>IFERROR(IF(OR($B4371="",$B4371="(blank)"),"",VLOOKUP($B4371,'Email Marketing Raw Data'!$C:$O,8,0)),"")</f>
        <v/>
      </c>
      <c r="Q4371" s="62" t="str">
        <f>IFERROR(IF(OR($B4371="",$B4371="(blank)"),"",VLOOKUP($B4371,'Email Marketing Raw Data'!$C:$O,9,0)),"")</f>
        <v/>
      </c>
    </row>
    <row r="4372" spans="4:17" ht="12.75" customHeight="1" x14ac:dyDescent="0.2">
      <c r="D4372" s="58" t="str">
        <f>IFERROR(IF(F4372&lt;&gt;"pending","",IF(OR($B4372="",$B4372="(blank)"),"",VLOOKUP($B4372,'Email Marketing Raw Data'!$C:$O,10,0))),"")</f>
        <v/>
      </c>
      <c r="E4372" s="59" t="str">
        <f>IFERROR(IF(F4372&lt;&gt;"pending","",IF(OR($B4372="",$B4372="(blank)"),"",VLOOKUP($B4372,'Email Marketing Raw Data'!$C:$O,11,0))),"")</f>
        <v/>
      </c>
      <c r="F4372" s="54" t="str">
        <f>IFERROR(IF(OR($B4372="",$B4372="(blank)"),"",VLOOKUP($B4372,'Email Marketing Raw Data'!$C:$O,13,0)),"")</f>
        <v/>
      </c>
      <c r="G4372" s="55" t="str">
        <f>IFERROR(IF(OR($B4372="",$B4372="(blank)"),"",VLOOKUP($B4372,'Email Marketing Raw Data'!$C:$O,4,0)),"")</f>
        <v/>
      </c>
      <c r="H4372" s="55" t="str">
        <f>IFERROR(IF(OR($B4372="",$B4372="(blank)"),"",VLOOKUP($B4372,'Email Marketing Raw Data'!$C:$O,5,0)),"")</f>
        <v/>
      </c>
      <c r="I4372" s="55" t="str">
        <f>IFERROR(IF($G4372="","",VLOOKUP('Dashboard And Emails Automate'!$G4372,Database!$H:$N,3,0)),"")</f>
        <v/>
      </c>
      <c r="J4372" s="55" t="str">
        <f>IFERROR(IF($G4372="","",VLOOKUP('Dashboard And Emails Automate'!$G4372,Database!$H:$N,4,0)),"")</f>
        <v/>
      </c>
      <c r="K4372" s="55" t="str">
        <f>IFERROR(IF($G4372="","",VLOOKUP('Dashboard And Emails Automate'!$G4372,Database!$H:$N,5,0)),"")</f>
        <v/>
      </c>
      <c r="L4372" s="55" t="str">
        <f>IFERROR(IF($G4372="","",VLOOKUP('Dashboard And Emails Automate'!$G4372,Database!$H:$N,6,0)),"")</f>
        <v/>
      </c>
      <c r="M4372" s="55" t="str">
        <f>IFERROR(IF($G4372="","",VLOOKUP('Dashboard And Emails Automate'!$G4372,Database!$H:$N,7,0)),"")</f>
        <v/>
      </c>
      <c r="N4372" s="55" t="str">
        <f>IFERROR(IF(OR($B4372="",$B4372="(blank)"),"",VLOOKUP($B4372,'Email Marketing Raw Data'!$C:$O,6,0)),"")</f>
        <v/>
      </c>
      <c r="O4372" s="55" t="str">
        <f>IFERROR(IF(OR($B4372="",$B4372="(blank)"),"",VLOOKUP($B4372,'Email Marketing Raw Data'!$C:$O,7,0)),"")</f>
        <v/>
      </c>
      <c r="P4372" s="55" t="str">
        <f>IFERROR(IF(OR($B4372="",$B4372="(blank)"),"",VLOOKUP($B4372,'Email Marketing Raw Data'!$C:$O,8,0)),"")</f>
        <v/>
      </c>
      <c r="Q4372" s="62" t="str">
        <f>IFERROR(IF(OR($B4372="",$B4372="(blank)"),"",VLOOKUP($B4372,'Email Marketing Raw Data'!$C:$O,9,0)),"")</f>
        <v/>
      </c>
    </row>
    <row r="4373" spans="4:17" ht="12.75" customHeight="1" x14ac:dyDescent="0.2">
      <c r="D4373" s="58" t="str">
        <f>IFERROR(IF(F4373&lt;&gt;"pending","",IF(OR($B4373="",$B4373="(blank)"),"",VLOOKUP($B4373,'Email Marketing Raw Data'!$C:$O,10,0))),"")</f>
        <v/>
      </c>
      <c r="E4373" s="59" t="str">
        <f>IFERROR(IF(F4373&lt;&gt;"pending","",IF(OR($B4373="",$B4373="(blank)"),"",VLOOKUP($B4373,'Email Marketing Raw Data'!$C:$O,11,0))),"")</f>
        <v/>
      </c>
      <c r="F4373" s="54" t="str">
        <f>IFERROR(IF(OR($B4373="",$B4373="(blank)"),"",VLOOKUP($B4373,'Email Marketing Raw Data'!$C:$O,13,0)),"")</f>
        <v/>
      </c>
      <c r="G4373" s="55" t="str">
        <f>IFERROR(IF(OR($B4373="",$B4373="(blank)"),"",VLOOKUP($B4373,'Email Marketing Raw Data'!$C:$O,4,0)),"")</f>
        <v/>
      </c>
      <c r="H4373" s="55" t="str">
        <f>IFERROR(IF(OR($B4373="",$B4373="(blank)"),"",VLOOKUP($B4373,'Email Marketing Raw Data'!$C:$O,5,0)),"")</f>
        <v/>
      </c>
      <c r="I4373" s="55" t="str">
        <f>IFERROR(IF($G4373="","",VLOOKUP('Dashboard And Emails Automate'!$G4373,Database!$H:$N,3,0)),"")</f>
        <v/>
      </c>
      <c r="J4373" s="55" t="str">
        <f>IFERROR(IF($G4373="","",VLOOKUP('Dashboard And Emails Automate'!$G4373,Database!$H:$N,4,0)),"")</f>
        <v/>
      </c>
      <c r="K4373" s="55" t="str">
        <f>IFERROR(IF($G4373="","",VLOOKUP('Dashboard And Emails Automate'!$G4373,Database!$H:$N,5,0)),"")</f>
        <v/>
      </c>
      <c r="L4373" s="55" t="str">
        <f>IFERROR(IF($G4373="","",VLOOKUP('Dashboard And Emails Automate'!$G4373,Database!$H:$N,6,0)),"")</f>
        <v/>
      </c>
      <c r="M4373" s="55" t="str">
        <f>IFERROR(IF($G4373="","",VLOOKUP('Dashboard And Emails Automate'!$G4373,Database!$H:$N,7,0)),"")</f>
        <v/>
      </c>
      <c r="N4373" s="55" t="str">
        <f>IFERROR(IF(OR($B4373="",$B4373="(blank)"),"",VLOOKUP($B4373,'Email Marketing Raw Data'!$C:$O,6,0)),"")</f>
        <v/>
      </c>
      <c r="O4373" s="55" t="str">
        <f>IFERROR(IF(OR($B4373="",$B4373="(blank)"),"",VLOOKUP($B4373,'Email Marketing Raw Data'!$C:$O,7,0)),"")</f>
        <v/>
      </c>
      <c r="P4373" s="55" t="str">
        <f>IFERROR(IF(OR($B4373="",$B4373="(blank)"),"",VLOOKUP($B4373,'Email Marketing Raw Data'!$C:$O,8,0)),"")</f>
        <v/>
      </c>
      <c r="Q4373" s="62" t="str">
        <f>IFERROR(IF(OR($B4373="",$B4373="(blank)"),"",VLOOKUP($B4373,'Email Marketing Raw Data'!$C:$O,9,0)),"")</f>
        <v/>
      </c>
    </row>
    <row r="4374" spans="4:17" ht="12.75" customHeight="1" x14ac:dyDescent="0.2">
      <c r="D4374" s="58" t="str">
        <f>IFERROR(IF(F4374&lt;&gt;"pending","",IF(OR($B4374="",$B4374="(blank)"),"",VLOOKUP($B4374,'Email Marketing Raw Data'!$C:$O,10,0))),"")</f>
        <v/>
      </c>
      <c r="E4374" s="59" t="str">
        <f>IFERROR(IF(F4374&lt;&gt;"pending","",IF(OR($B4374="",$B4374="(blank)"),"",VLOOKUP($B4374,'Email Marketing Raw Data'!$C:$O,11,0))),"")</f>
        <v/>
      </c>
      <c r="F4374" s="54" t="str">
        <f>IFERROR(IF(OR($B4374="",$B4374="(blank)"),"",VLOOKUP($B4374,'Email Marketing Raw Data'!$C:$O,13,0)),"")</f>
        <v/>
      </c>
      <c r="G4374" s="55" t="str">
        <f>IFERROR(IF(OR($B4374="",$B4374="(blank)"),"",VLOOKUP($B4374,'Email Marketing Raw Data'!$C:$O,4,0)),"")</f>
        <v/>
      </c>
      <c r="H4374" s="55" t="str">
        <f>IFERROR(IF(OR($B4374="",$B4374="(blank)"),"",VLOOKUP($B4374,'Email Marketing Raw Data'!$C:$O,5,0)),"")</f>
        <v/>
      </c>
      <c r="I4374" s="55" t="str">
        <f>IFERROR(IF($G4374="","",VLOOKUP('Dashboard And Emails Automate'!$G4374,Database!$H:$N,3,0)),"")</f>
        <v/>
      </c>
      <c r="J4374" s="55" t="str">
        <f>IFERROR(IF($G4374="","",VLOOKUP('Dashboard And Emails Automate'!$G4374,Database!$H:$N,4,0)),"")</f>
        <v/>
      </c>
      <c r="K4374" s="55" t="str">
        <f>IFERROR(IF($G4374="","",VLOOKUP('Dashboard And Emails Automate'!$G4374,Database!$H:$N,5,0)),"")</f>
        <v/>
      </c>
      <c r="L4374" s="55" t="str">
        <f>IFERROR(IF($G4374="","",VLOOKUP('Dashboard And Emails Automate'!$G4374,Database!$H:$N,6,0)),"")</f>
        <v/>
      </c>
      <c r="M4374" s="55" t="str">
        <f>IFERROR(IF($G4374="","",VLOOKUP('Dashboard And Emails Automate'!$G4374,Database!$H:$N,7,0)),"")</f>
        <v/>
      </c>
      <c r="N4374" s="55" t="str">
        <f>IFERROR(IF(OR($B4374="",$B4374="(blank)"),"",VLOOKUP($B4374,'Email Marketing Raw Data'!$C:$O,6,0)),"")</f>
        <v/>
      </c>
      <c r="O4374" s="55" t="str">
        <f>IFERROR(IF(OR($B4374="",$B4374="(blank)"),"",VLOOKUP($B4374,'Email Marketing Raw Data'!$C:$O,7,0)),"")</f>
        <v/>
      </c>
      <c r="P4374" s="55" t="str">
        <f>IFERROR(IF(OR($B4374="",$B4374="(blank)"),"",VLOOKUP($B4374,'Email Marketing Raw Data'!$C:$O,8,0)),"")</f>
        <v/>
      </c>
      <c r="Q4374" s="62" t="str">
        <f>IFERROR(IF(OR($B4374="",$B4374="(blank)"),"",VLOOKUP($B4374,'Email Marketing Raw Data'!$C:$O,9,0)),"")</f>
        <v/>
      </c>
    </row>
    <row r="4375" spans="4:17" ht="12.75" customHeight="1" x14ac:dyDescent="0.2">
      <c r="D4375" s="58" t="str">
        <f>IFERROR(IF(F4375&lt;&gt;"pending","",IF(OR($B4375="",$B4375="(blank)"),"",VLOOKUP($B4375,'Email Marketing Raw Data'!$C:$O,10,0))),"")</f>
        <v/>
      </c>
      <c r="E4375" s="59" t="str">
        <f>IFERROR(IF(F4375&lt;&gt;"pending","",IF(OR($B4375="",$B4375="(blank)"),"",VLOOKUP($B4375,'Email Marketing Raw Data'!$C:$O,11,0))),"")</f>
        <v/>
      </c>
      <c r="F4375" s="54" t="str">
        <f>IFERROR(IF(OR($B4375="",$B4375="(blank)"),"",VLOOKUP($B4375,'Email Marketing Raw Data'!$C:$O,13,0)),"")</f>
        <v/>
      </c>
      <c r="G4375" s="55" t="str">
        <f>IFERROR(IF(OR($B4375="",$B4375="(blank)"),"",VLOOKUP($B4375,'Email Marketing Raw Data'!$C:$O,4,0)),"")</f>
        <v/>
      </c>
      <c r="H4375" s="55" t="str">
        <f>IFERROR(IF(OR($B4375="",$B4375="(blank)"),"",VLOOKUP($B4375,'Email Marketing Raw Data'!$C:$O,5,0)),"")</f>
        <v/>
      </c>
      <c r="I4375" s="55" t="str">
        <f>IFERROR(IF($G4375="","",VLOOKUP('Dashboard And Emails Automate'!$G4375,Database!$H:$N,3,0)),"")</f>
        <v/>
      </c>
      <c r="J4375" s="55" t="str">
        <f>IFERROR(IF($G4375="","",VLOOKUP('Dashboard And Emails Automate'!$G4375,Database!$H:$N,4,0)),"")</f>
        <v/>
      </c>
      <c r="K4375" s="55" t="str">
        <f>IFERROR(IF($G4375="","",VLOOKUP('Dashboard And Emails Automate'!$G4375,Database!$H:$N,5,0)),"")</f>
        <v/>
      </c>
      <c r="L4375" s="55" t="str">
        <f>IFERROR(IF($G4375="","",VLOOKUP('Dashboard And Emails Automate'!$G4375,Database!$H:$N,6,0)),"")</f>
        <v/>
      </c>
      <c r="M4375" s="55" t="str">
        <f>IFERROR(IF($G4375="","",VLOOKUP('Dashboard And Emails Automate'!$G4375,Database!$H:$N,7,0)),"")</f>
        <v/>
      </c>
      <c r="N4375" s="55" t="str">
        <f>IFERROR(IF(OR($B4375="",$B4375="(blank)"),"",VLOOKUP($B4375,'Email Marketing Raw Data'!$C:$O,6,0)),"")</f>
        <v/>
      </c>
      <c r="O4375" s="55" t="str">
        <f>IFERROR(IF(OR($B4375="",$B4375="(blank)"),"",VLOOKUP($B4375,'Email Marketing Raw Data'!$C:$O,7,0)),"")</f>
        <v/>
      </c>
      <c r="P4375" s="55" t="str">
        <f>IFERROR(IF(OR($B4375="",$B4375="(blank)"),"",VLOOKUP($B4375,'Email Marketing Raw Data'!$C:$O,8,0)),"")</f>
        <v/>
      </c>
      <c r="Q4375" s="62" t="str">
        <f>IFERROR(IF(OR($B4375="",$B4375="(blank)"),"",VLOOKUP($B4375,'Email Marketing Raw Data'!$C:$O,9,0)),"")</f>
        <v/>
      </c>
    </row>
    <row r="4376" spans="4:17" ht="12.75" customHeight="1" x14ac:dyDescent="0.2">
      <c r="D4376" s="58" t="str">
        <f>IFERROR(IF(F4376&lt;&gt;"pending","",IF(OR($B4376="",$B4376="(blank)"),"",VLOOKUP($B4376,'Email Marketing Raw Data'!$C:$O,10,0))),"")</f>
        <v/>
      </c>
      <c r="E4376" s="59" t="str">
        <f>IFERROR(IF(F4376&lt;&gt;"pending","",IF(OR($B4376="",$B4376="(blank)"),"",VLOOKUP($B4376,'Email Marketing Raw Data'!$C:$O,11,0))),"")</f>
        <v/>
      </c>
      <c r="F4376" s="54" t="str">
        <f>IFERROR(IF(OR($B4376="",$B4376="(blank)"),"",VLOOKUP($B4376,'Email Marketing Raw Data'!$C:$O,13,0)),"")</f>
        <v/>
      </c>
      <c r="G4376" s="55" t="str">
        <f>IFERROR(IF(OR($B4376="",$B4376="(blank)"),"",VLOOKUP($B4376,'Email Marketing Raw Data'!$C:$O,4,0)),"")</f>
        <v/>
      </c>
      <c r="H4376" s="55" t="str">
        <f>IFERROR(IF(OR($B4376="",$B4376="(blank)"),"",VLOOKUP($B4376,'Email Marketing Raw Data'!$C:$O,5,0)),"")</f>
        <v/>
      </c>
      <c r="I4376" s="55" t="str">
        <f>IFERROR(IF($G4376="","",VLOOKUP('Dashboard And Emails Automate'!$G4376,Database!$H:$N,3,0)),"")</f>
        <v/>
      </c>
      <c r="J4376" s="55" t="str">
        <f>IFERROR(IF($G4376="","",VLOOKUP('Dashboard And Emails Automate'!$G4376,Database!$H:$N,4,0)),"")</f>
        <v/>
      </c>
      <c r="K4376" s="55" t="str">
        <f>IFERROR(IF($G4376="","",VLOOKUP('Dashboard And Emails Automate'!$G4376,Database!$H:$N,5,0)),"")</f>
        <v/>
      </c>
      <c r="L4376" s="55" t="str">
        <f>IFERROR(IF($G4376="","",VLOOKUP('Dashboard And Emails Automate'!$G4376,Database!$H:$N,6,0)),"")</f>
        <v/>
      </c>
      <c r="M4376" s="55" t="str">
        <f>IFERROR(IF($G4376="","",VLOOKUP('Dashboard And Emails Automate'!$G4376,Database!$H:$N,7,0)),"")</f>
        <v/>
      </c>
      <c r="N4376" s="55" t="str">
        <f>IFERROR(IF(OR($B4376="",$B4376="(blank)"),"",VLOOKUP($B4376,'Email Marketing Raw Data'!$C:$O,6,0)),"")</f>
        <v/>
      </c>
      <c r="O4376" s="55" t="str">
        <f>IFERROR(IF(OR($B4376="",$B4376="(blank)"),"",VLOOKUP($B4376,'Email Marketing Raw Data'!$C:$O,7,0)),"")</f>
        <v/>
      </c>
      <c r="P4376" s="55" t="str">
        <f>IFERROR(IF(OR($B4376="",$B4376="(blank)"),"",VLOOKUP($B4376,'Email Marketing Raw Data'!$C:$O,8,0)),"")</f>
        <v/>
      </c>
      <c r="Q4376" s="62" t="str">
        <f>IFERROR(IF(OR($B4376="",$B4376="(blank)"),"",VLOOKUP($B4376,'Email Marketing Raw Data'!$C:$O,9,0)),"")</f>
        <v/>
      </c>
    </row>
    <row r="4377" spans="4:17" ht="12.75" customHeight="1" x14ac:dyDescent="0.2">
      <c r="D4377" s="58" t="str">
        <f>IFERROR(IF(F4377&lt;&gt;"pending","",IF(OR($B4377="",$B4377="(blank)"),"",VLOOKUP($B4377,'Email Marketing Raw Data'!$C:$O,10,0))),"")</f>
        <v/>
      </c>
      <c r="E4377" s="59" t="str">
        <f>IFERROR(IF(F4377&lt;&gt;"pending","",IF(OR($B4377="",$B4377="(blank)"),"",VLOOKUP($B4377,'Email Marketing Raw Data'!$C:$O,11,0))),"")</f>
        <v/>
      </c>
      <c r="F4377" s="54" t="str">
        <f>IFERROR(IF(OR($B4377="",$B4377="(blank)"),"",VLOOKUP($B4377,'Email Marketing Raw Data'!$C:$O,13,0)),"")</f>
        <v/>
      </c>
      <c r="G4377" s="55" t="str">
        <f>IFERROR(IF(OR($B4377="",$B4377="(blank)"),"",VLOOKUP($B4377,'Email Marketing Raw Data'!$C:$O,4,0)),"")</f>
        <v/>
      </c>
      <c r="H4377" s="55" t="str">
        <f>IFERROR(IF(OR($B4377="",$B4377="(blank)"),"",VLOOKUP($B4377,'Email Marketing Raw Data'!$C:$O,5,0)),"")</f>
        <v/>
      </c>
      <c r="I4377" s="55" t="str">
        <f>IFERROR(IF($G4377="","",VLOOKUP('Dashboard And Emails Automate'!$G4377,Database!$H:$N,3,0)),"")</f>
        <v/>
      </c>
      <c r="J4377" s="55" t="str">
        <f>IFERROR(IF($G4377="","",VLOOKUP('Dashboard And Emails Automate'!$G4377,Database!$H:$N,4,0)),"")</f>
        <v/>
      </c>
      <c r="K4377" s="55" t="str">
        <f>IFERROR(IF($G4377="","",VLOOKUP('Dashboard And Emails Automate'!$G4377,Database!$H:$N,5,0)),"")</f>
        <v/>
      </c>
      <c r="L4377" s="55" t="str">
        <f>IFERROR(IF($G4377="","",VLOOKUP('Dashboard And Emails Automate'!$G4377,Database!$H:$N,6,0)),"")</f>
        <v/>
      </c>
      <c r="M4377" s="55" t="str">
        <f>IFERROR(IF($G4377="","",VLOOKUP('Dashboard And Emails Automate'!$G4377,Database!$H:$N,7,0)),"")</f>
        <v/>
      </c>
      <c r="N4377" s="55" t="str">
        <f>IFERROR(IF(OR($B4377="",$B4377="(blank)"),"",VLOOKUP($B4377,'Email Marketing Raw Data'!$C:$O,6,0)),"")</f>
        <v/>
      </c>
      <c r="O4377" s="55" t="str">
        <f>IFERROR(IF(OR($B4377="",$B4377="(blank)"),"",VLOOKUP($B4377,'Email Marketing Raw Data'!$C:$O,7,0)),"")</f>
        <v/>
      </c>
      <c r="P4377" s="55" t="str">
        <f>IFERROR(IF(OR($B4377="",$B4377="(blank)"),"",VLOOKUP($B4377,'Email Marketing Raw Data'!$C:$O,8,0)),"")</f>
        <v/>
      </c>
      <c r="Q4377" s="62" t="str">
        <f>IFERROR(IF(OR($B4377="",$B4377="(blank)"),"",VLOOKUP($B4377,'Email Marketing Raw Data'!$C:$O,9,0)),"")</f>
        <v/>
      </c>
    </row>
    <row r="4378" spans="4:17" ht="12.75" customHeight="1" x14ac:dyDescent="0.2">
      <c r="D4378" s="58" t="str">
        <f>IFERROR(IF(F4378&lt;&gt;"pending","",IF(OR($B4378="",$B4378="(blank)"),"",VLOOKUP($B4378,'Email Marketing Raw Data'!$C:$O,10,0))),"")</f>
        <v/>
      </c>
      <c r="E4378" s="59" t="str">
        <f>IFERROR(IF(F4378&lt;&gt;"pending","",IF(OR($B4378="",$B4378="(blank)"),"",VLOOKUP($B4378,'Email Marketing Raw Data'!$C:$O,11,0))),"")</f>
        <v/>
      </c>
      <c r="F4378" s="54" t="str">
        <f>IFERROR(IF(OR($B4378="",$B4378="(blank)"),"",VLOOKUP($B4378,'Email Marketing Raw Data'!$C:$O,13,0)),"")</f>
        <v/>
      </c>
      <c r="G4378" s="55" t="str">
        <f>IFERROR(IF(OR($B4378="",$B4378="(blank)"),"",VLOOKUP($B4378,'Email Marketing Raw Data'!$C:$O,4,0)),"")</f>
        <v/>
      </c>
      <c r="H4378" s="55" t="str">
        <f>IFERROR(IF(OR($B4378="",$B4378="(blank)"),"",VLOOKUP($B4378,'Email Marketing Raw Data'!$C:$O,5,0)),"")</f>
        <v/>
      </c>
      <c r="I4378" s="55" t="str">
        <f>IFERROR(IF($G4378="","",VLOOKUP('Dashboard And Emails Automate'!$G4378,Database!$H:$N,3,0)),"")</f>
        <v/>
      </c>
      <c r="J4378" s="55" t="str">
        <f>IFERROR(IF($G4378="","",VLOOKUP('Dashboard And Emails Automate'!$G4378,Database!$H:$N,4,0)),"")</f>
        <v/>
      </c>
      <c r="K4378" s="55" t="str">
        <f>IFERROR(IF($G4378="","",VLOOKUP('Dashboard And Emails Automate'!$G4378,Database!$H:$N,5,0)),"")</f>
        <v/>
      </c>
      <c r="L4378" s="55" t="str">
        <f>IFERROR(IF($G4378="","",VLOOKUP('Dashboard And Emails Automate'!$G4378,Database!$H:$N,6,0)),"")</f>
        <v/>
      </c>
      <c r="M4378" s="55" t="str">
        <f>IFERROR(IF($G4378="","",VLOOKUP('Dashboard And Emails Automate'!$G4378,Database!$H:$N,7,0)),"")</f>
        <v/>
      </c>
      <c r="N4378" s="55" t="str">
        <f>IFERROR(IF(OR($B4378="",$B4378="(blank)"),"",VLOOKUP($B4378,'Email Marketing Raw Data'!$C:$O,6,0)),"")</f>
        <v/>
      </c>
      <c r="O4378" s="55" t="str">
        <f>IFERROR(IF(OR($B4378="",$B4378="(blank)"),"",VLOOKUP($B4378,'Email Marketing Raw Data'!$C:$O,7,0)),"")</f>
        <v/>
      </c>
      <c r="P4378" s="55" t="str">
        <f>IFERROR(IF(OR($B4378="",$B4378="(blank)"),"",VLOOKUP($B4378,'Email Marketing Raw Data'!$C:$O,8,0)),"")</f>
        <v/>
      </c>
      <c r="Q4378" s="62" t="str">
        <f>IFERROR(IF(OR($B4378="",$B4378="(blank)"),"",VLOOKUP($B4378,'Email Marketing Raw Data'!$C:$O,9,0)),"")</f>
        <v/>
      </c>
    </row>
    <row r="4379" spans="4:17" ht="12.75" customHeight="1" x14ac:dyDescent="0.2">
      <c r="D4379" s="58" t="str">
        <f>IFERROR(IF(F4379&lt;&gt;"pending","",IF(OR($B4379="",$B4379="(blank)"),"",VLOOKUP($B4379,'Email Marketing Raw Data'!$C:$O,10,0))),"")</f>
        <v/>
      </c>
      <c r="E4379" s="59" t="str">
        <f>IFERROR(IF(F4379&lt;&gt;"pending","",IF(OR($B4379="",$B4379="(blank)"),"",VLOOKUP($B4379,'Email Marketing Raw Data'!$C:$O,11,0))),"")</f>
        <v/>
      </c>
      <c r="F4379" s="54" t="str">
        <f>IFERROR(IF(OR($B4379="",$B4379="(blank)"),"",VLOOKUP($B4379,'Email Marketing Raw Data'!$C:$O,13,0)),"")</f>
        <v/>
      </c>
      <c r="G4379" s="55" t="str">
        <f>IFERROR(IF(OR($B4379="",$B4379="(blank)"),"",VLOOKUP($B4379,'Email Marketing Raw Data'!$C:$O,4,0)),"")</f>
        <v/>
      </c>
      <c r="H4379" s="55" t="str">
        <f>IFERROR(IF(OR($B4379="",$B4379="(blank)"),"",VLOOKUP($B4379,'Email Marketing Raw Data'!$C:$O,5,0)),"")</f>
        <v/>
      </c>
      <c r="I4379" s="55" t="str">
        <f>IFERROR(IF($G4379="","",VLOOKUP('Dashboard And Emails Automate'!$G4379,Database!$H:$N,3,0)),"")</f>
        <v/>
      </c>
      <c r="J4379" s="55" t="str">
        <f>IFERROR(IF($G4379="","",VLOOKUP('Dashboard And Emails Automate'!$G4379,Database!$H:$N,4,0)),"")</f>
        <v/>
      </c>
      <c r="K4379" s="55" t="str">
        <f>IFERROR(IF($G4379="","",VLOOKUP('Dashboard And Emails Automate'!$G4379,Database!$H:$N,5,0)),"")</f>
        <v/>
      </c>
      <c r="L4379" s="55" t="str">
        <f>IFERROR(IF($G4379="","",VLOOKUP('Dashboard And Emails Automate'!$G4379,Database!$H:$N,6,0)),"")</f>
        <v/>
      </c>
      <c r="M4379" s="55" t="str">
        <f>IFERROR(IF($G4379="","",VLOOKUP('Dashboard And Emails Automate'!$G4379,Database!$H:$N,7,0)),"")</f>
        <v/>
      </c>
      <c r="N4379" s="55" t="str">
        <f>IFERROR(IF(OR($B4379="",$B4379="(blank)"),"",VLOOKUP($B4379,'Email Marketing Raw Data'!$C:$O,6,0)),"")</f>
        <v/>
      </c>
      <c r="O4379" s="55" t="str">
        <f>IFERROR(IF(OR($B4379="",$B4379="(blank)"),"",VLOOKUP($B4379,'Email Marketing Raw Data'!$C:$O,7,0)),"")</f>
        <v/>
      </c>
      <c r="P4379" s="55" t="str">
        <f>IFERROR(IF(OR($B4379="",$B4379="(blank)"),"",VLOOKUP($B4379,'Email Marketing Raw Data'!$C:$O,8,0)),"")</f>
        <v/>
      </c>
      <c r="Q4379" s="62" t="str">
        <f>IFERROR(IF(OR($B4379="",$B4379="(blank)"),"",VLOOKUP($B4379,'Email Marketing Raw Data'!$C:$O,9,0)),"")</f>
        <v/>
      </c>
    </row>
    <row r="4380" spans="4:17" ht="12.75" customHeight="1" x14ac:dyDescent="0.2">
      <c r="D4380" s="58" t="str">
        <f>IFERROR(IF(F4380&lt;&gt;"pending","",IF(OR($B4380="",$B4380="(blank)"),"",VLOOKUP($B4380,'Email Marketing Raw Data'!$C:$O,10,0))),"")</f>
        <v/>
      </c>
      <c r="E4380" s="59" t="str">
        <f>IFERROR(IF(F4380&lt;&gt;"pending","",IF(OR($B4380="",$B4380="(blank)"),"",VLOOKUP($B4380,'Email Marketing Raw Data'!$C:$O,11,0))),"")</f>
        <v/>
      </c>
      <c r="F4380" s="54" t="str">
        <f>IFERROR(IF(OR($B4380="",$B4380="(blank)"),"",VLOOKUP($B4380,'Email Marketing Raw Data'!$C:$O,13,0)),"")</f>
        <v/>
      </c>
      <c r="G4380" s="55" t="str">
        <f>IFERROR(IF(OR($B4380="",$B4380="(blank)"),"",VLOOKUP($B4380,'Email Marketing Raw Data'!$C:$O,4,0)),"")</f>
        <v/>
      </c>
      <c r="H4380" s="55" t="str">
        <f>IFERROR(IF(OR($B4380="",$B4380="(blank)"),"",VLOOKUP($B4380,'Email Marketing Raw Data'!$C:$O,5,0)),"")</f>
        <v/>
      </c>
      <c r="I4380" s="55" t="str">
        <f>IFERROR(IF($G4380="","",VLOOKUP('Dashboard And Emails Automate'!$G4380,Database!$H:$N,3,0)),"")</f>
        <v/>
      </c>
      <c r="J4380" s="55" t="str">
        <f>IFERROR(IF($G4380="","",VLOOKUP('Dashboard And Emails Automate'!$G4380,Database!$H:$N,4,0)),"")</f>
        <v/>
      </c>
      <c r="K4380" s="55" t="str">
        <f>IFERROR(IF($G4380="","",VLOOKUP('Dashboard And Emails Automate'!$G4380,Database!$H:$N,5,0)),"")</f>
        <v/>
      </c>
      <c r="L4380" s="55" t="str">
        <f>IFERROR(IF($G4380="","",VLOOKUP('Dashboard And Emails Automate'!$G4380,Database!$H:$N,6,0)),"")</f>
        <v/>
      </c>
      <c r="M4380" s="55" t="str">
        <f>IFERROR(IF($G4380="","",VLOOKUP('Dashboard And Emails Automate'!$G4380,Database!$H:$N,7,0)),"")</f>
        <v/>
      </c>
      <c r="N4380" s="55" t="str">
        <f>IFERROR(IF(OR($B4380="",$B4380="(blank)"),"",VLOOKUP($B4380,'Email Marketing Raw Data'!$C:$O,6,0)),"")</f>
        <v/>
      </c>
      <c r="O4380" s="55" t="str">
        <f>IFERROR(IF(OR($B4380="",$B4380="(blank)"),"",VLOOKUP($B4380,'Email Marketing Raw Data'!$C:$O,7,0)),"")</f>
        <v/>
      </c>
      <c r="P4380" s="55" t="str">
        <f>IFERROR(IF(OR($B4380="",$B4380="(blank)"),"",VLOOKUP($B4380,'Email Marketing Raw Data'!$C:$O,8,0)),"")</f>
        <v/>
      </c>
      <c r="Q4380" s="62" t="str">
        <f>IFERROR(IF(OR($B4380="",$B4380="(blank)"),"",VLOOKUP($B4380,'Email Marketing Raw Data'!$C:$O,9,0)),"")</f>
        <v/>
      </c>
    </row>
    <row r="4381" spans="4:17" ht="12.75" customHeight="1" x14ac:dyDescent="0.2">
      <c r="D4381" s="58" t="str">
        <f>IFERROR(IF(F4381&lt;&gt;"pending","",IF(OR($B4381="",$B4381="(blank)"),"",VLOOKUP($B4381,'Email Marketing Raw Data'!$C:$O,10,0))),"")</f>
        <v/>
      </c>
      <c r="E4381" s="59" t="str">
        <f>IFERROR(IF(F4381&lt;&gt;"pending","",IF(OR($B4381="",$B4381="(blank)"),"",VLOOKUP($B4381,'Email Marketing Raw Data'!$C:$O,11,0))),"")</f>
        <v/>
      </c>
      <c r="F4381" s="54" t="str">
        <f>IFERROR(IF(OR($B4381="",$B4381="(blank)"),"",VLOOKUP($B4381,'Email Marketing Raw Data'!$C:$O,13,0)),"")</f>
        <v/>
      </c>
      <c r="G4381" s="55" t="str">
        <f>IFERROR(IF(OR($B4381="",$B4381="(blank)"),"",VLOOKUP($B4381,'Email Marketing Raw Data'!$C:$O,4,0)),"")</f>
        <v/>
      </c>
      <c r="H4381" s="55" t="str">
        <f>IFERROR(IF(OR($B4381="",$B4381="(blank)"),"",VLOOKUP($B4381,'Email Marketing Raw Data'!$C:$O,5,0)),"")</f>
        <v/>
      </c>
      <c r="I4381" s="55" t="str">
        <f>IFERROR(IF($G4381="","",VLOOKUP('Dashboard And Emails Automate'!$G4381,Database!$H:$N,3,0)),"")</f>
        <v/>
      </c>
      <c r="J4381" s="55" t="str">
        <f>IFERROR(IF($G4381="","",VLOOKUP('Dashboard And Emails Automate'!$G4381,Database!$H:$N,4,0)),"")</f>
        <v/>
      </c>
      <c r="K4381" s="55" t="str">
        <f>IFERROR(IF($G4381="","",VLOOKUP('Dashboard And Emails Automate'!$G4381,Database!$H:$N,5,0)),"")</f>
        <v/>
      </c>
      <c r="L4381" s="55" t="str">
        <f>IFERROR(IF($G4381="","",VLOOKUP('Dashboard And Emails Automate'!$G4381,Database!$H:$N,6,0)),"")</f>
        <v/>
      </c>
      <c r="M4381" s="55" t="str">
        <f>IFERROR(IF($G4381="","",VLOOKUP('Dashboard And Emails Automate'!$G4381,Database!$H:$N,7,0)),"")</f>
        <v/>
      </c>
      <c r="N4381" s="55" t="str">
        <f>IFERROR(IF(OR($B4381="",$B4381="(blank)"),"",VLOOKUP($B4381,'Email Marketing Raw Data'!$C:$O,6,0)),"")</f>
        <v/>
      </c>
      <c r="O4381" s="55" t="str">
        <f>IFERROR(IF(OR($B4381="",$B4381="(blank)"),"",VLOOKUP($B4381,'Email Marketing Raw Data'!$C:$O,7,0)),"")</f>
        <v/>
      </c>
      <c r="P4381" s="55" t="str">
        <f>IFERROR(IF(OR($B4381="",$B4381="(blank)"),"",VLOOKUP($B4381,'Email Marketing Raw Data'!$C:$O,8,0)),"")</f>
        <v/>
      </c>
      <c r="Q4381" s="62" t="str">
        <f>IFERROR(IF(OR($B4381="",$B4381="(blank)"),"",VLOOKUP($B4381,'Email Marketing Raw Data'!$C:$O,9,0)),"")</f>
        <v/>
      </c>
    </row>
    <row r="4382" spans="4:17" ht="12.75" customHeight="1" x14ac:dyDescent="0.2">
      <c r="D4382" s="58" t="str">
        <f>IFERROR(IF(F4382&lt;&gt;"pending","",IF(OR($B4382="",$B4382="(blank)"),"",VLOOKUP($B4382,'Email Marketing Raw Data'!$C:$O,10,0))),"")</f>
        <v/>
      </c>
      <c r="E4382" s="59" t="str">
        <f>IFERROR(IF(F4382&lt;&gt;"pending","",IF(OR($B4382="",$B4382="(blank)"),"",VLOOKUP($B4382,'Email Marketing Raw Data'!$C:$O,11,0))),"")</f>
        <v/>
      </c>
      <c r="F4382" s="54" t="str">
        <f>IFERROR(IF(OR($B4382="",$B4382="(blank)"),"",VLOOKUP($B4382,'Email Marketing Raw Data'!$C:$O,13,0)),"")</f>
        <v/>
      </c>
      <c r="G4382" s="55" t="str">
        <f>IFERROR(IF(OR($B4382="",$B4382="(blank)"),"",VLOOKUP($B4382,'Email Marketing Raw Data'!$C:$O,4,0)),"")</f>
        <v/>
      </c>
      <c r="H4382" s="55" t="str">
        <f>IFERROR(IF(OR($B4382="",$B4382="(blank)"),"",VLOOKUP($B4382,'Email Marketing Raw Data'!$C:$O,5,0)),"")</f>
        <v/>
      </c>
      <c r="I4382" s="55" t="str">
        <f>IFERROR(IF($G4382="","",VLOOKUP('Dashboard And Emails Automate'!$G4382,Database!$H:$N,3,0)),"")</f>
        <v/>
      </c>
      <c r="J4382" s="55" t="str">
        <f>IFERROR(IF($G4382="","",VLOOKUP('Dashboard And Emails Automate'!$G4382,Database!$H:$N,4,0)),"")</f>
        <v/>
      </c>
      <c r="K4382" s="55" t="str">
        <f>IFERROR(IF($G4382="","",VLOOKUP('Dashboard And Emails Automate'!$G4382,Database!$H:$N,5,0)),"")</f>
        <v/>
      </c>
      <c r="L4382" s="55" t="str">
        <f>IFERROR(IF($G4382="","",VLOOKUP('Dashboard And Emails Automate'!$G4382,Database!$H:$N,6,0)),"")</f>
        <v/>
      </c>
      <c r="M4382" s="55" t="str">
        <f>IFERROR(IF($G4382="","",VLOOKUP('Dashboard And Emails Automate'!$G4382,Database!$H:$N,7,0)),"")</f>
        <v/>
      </c>
      <c r="N4382" s="55" t="str">
        <f>IFERROR(IF(OR($B4382="",$B4382="(blank)"),"",VLOOKUP($B4382,'Email Marketing Raw Data'!$C:$O,6,0)),"")</f>
        <v/>
      </c>
      <c r="O4382" s="55" t="str">
        <f>IFERROR(IF(OR($B4382="",$B4382="(blank)"),"",VLOOKUP($B4382,'Email Marketing Raw Data'!$C:$O,7,0)),"")</f>
        <v/>
      </c>
      <c r="P4382" s="55" t="str">
        <f>IFERROR(IF(OR($B4382="",$B4382="(blank)"),"",VLOOKUP($B4382,'Email Marketing Raw Data'!$C:$O,8,0)),"")</f>
        <v/>
      </c>
      <c r="Q4382" s="62" t="str">
        <f>IFERROR(IF(OR($B4382="",$B4382="(blank)"),"",VLOOKUP($B4382,'Email Marketing Raw Data'!$C:$O,9,0)),"")</f>
        <v/>
      </c>
    </row>
    <row r="4383" spans="4:17" ht="12.75" customHeight="1" x14ac:dyDescent="0.2">
      <c r="D4383" s="58" t="str">
        <f>IFERROR(IF(F4383&lt;&gt;"pending","",IF(OR($B4383="",$B4383="(blank)"),"",VLOOKUP($B4383,'Email Marketing Raw Data'!$C:$O,10,0))),"")</f>
        <v/>
      </c>
      <c r="E4383" s="59" t="str">
        <f>IFERROR(IF(F4383&lt;&gt;"pending","",IF(OR($B4383="",$B4383="(blank)"),"",VLOOKUP($B4383,'Email Marketing Raw Data'!$C:$O,11,0))),"")</f>
        <v/>
      </c>
      <c r="F4383" s="54" t="str">
        <f>IFERROR(IF(OR($B4383="",$B4383="(blank)"),"",VLOOKUP($B4383,'Email Marketing Raw Data'!$C:$O,13,0)),"")</f>
        <v/>
      </c>
      <c r="G4383" s="55" t="str">
        <f>IFERROR(IF(OR($B4383="",$B4383="(blank)"),"",VLOOKUP($B4383,'Email Marketing Raw Data'!$C:$O,4,0)),"")</f>
        <v/>
      </c>
      <c r="H4383" s="55" t="str">
        <f>IFERROR(IF(OR($B4383="",$B4383="(blank)"),"",VLOOKUP($B4383,'Email Marketing Raw Data'!$C:$O,5,0)),"")</f>
        <v/>
      </c>
      <c r="I4383" s="55" t="str">
        <f>IFERROR(IF($G4383="","",VLOOKUP('Dashboard And Emails Automate'!$G4383,Database!$H:$N,3,0)),"")</f>
        <v/>
      </c>
      <c r="J4383" s="55" t="str">
        <f>IFERROR(IF($G4383="","",VLOOKUP('Dashboard And Emails Automate'!$G4383,Database!$H:$N,4,0)),"")</f>
        <v/>
      </c>
      <c r="K4383" s="55" t="str">
        <f>IFERROR(IF($G4383="","",VLOOKUP('Dashboard And Emails Automate'!$G4383,Database!$H:$N,5,0)),"")</f>
        <v/>
      </c>
      <c r="L4383" s="55" t="str">
        <f>IFERROR(IF($G4383="","",VLOOKUP('Dashboard And Emails Automate'!$G4383,Database!$H:$N,6,0)),"")</f>
        <v/>
      </c>
      <c r="M4383" s="55" t="str">
        <f>IFERROR(IF($G4383="","",VLOOKUP('Dashboard And Emails Automate'!$G4383,Database!$H:$N,7,0)),"")</f>
        <v/>
      </c>
      <c r="N4383" s="55" t="str">
        <f>IFERROR(IF(OR($B4383="",$B4383="(blank)"),"",VLOOKUP($B4383,'Email Marketing Raw Data'!$C:$O,6,0)),"")</f>
        <v/>
      </c>
      <c r="O4383" s="55" t="str">
        <f>IFERROR(IF(OR($B4383="",$B4383="(blank)"),"",VLOOKUP($B4383,'Email Marketing Raw Data'!$C:$O,7,0)),"")</f>
        <v/>
      </c>
      <c r="P4383" s="55" t="str">
        <f>IFERROR(IF(OR($B4383="",$B4383="(blank)"),"",VLOOKUP($B4383,'Email Marketing Raw Data'!$C:$O,8,0)),"")</f>
        <v/>
      </c>
      <c r="Q4383" s="62" t="str">
        <f>IFERROR(IF(OR($B4383="",$B4383="(blank)"),"",VLOOKUP($B4383,'Email Marketing Raw Data'!$C:$O,9,0)),"")</f>
        <v/>
      </c>
    </row>
    <row r="4384" spans="4:17" ht="12.75" customHeight="1" x14ac:dyDescent="0.2">
      <c r="D4384" s="58" t="str">
        <f>IFERROR(IF(F4384&lt;&gt;"pending","",IF(OR($B4384="",$B4384="(blank)"),"",VLOOKUP($B4384,'Email Marketing Raw Data'!$C:$O,10,0))),"")</f>
        <v/>
      </c>
      <c r="E4384" s="59" t="str">
        <f>IFERROR(IF(F4384&lt;&gt;"pending","",IF(OR($B4384="",$B4384="(blank)"),"",VLOOKUP($B4384,'Email Marketing Raw Data'!$C:$O,11,0))),"")</f>
        <v/>
      </c>
      <c r="F4384" s="54" t="str">
        <f>IFERROR(IF(OR($B4384="",$B4384="(blank)"),"",VLOOKUP($B4384,'Email Marketing Raw Data'!$C:$O,13,0)),"")</f>
        <v/>
      </c>
      <c r="G4384" s="55" t="str">
        <f>IFERROR(IF(OR($B4384="",$B4384="(blank)"),"",VLOOKUP($B4384,'Email Marketing Raw Data'!$C:$O,4,0)),"")</f>
        <v/>
      </c>
      <c r="H4384" s="55" t="str">
        <f>IFERROR(IF(OR($B4384="",$B4384="(blank)"),"",VLOOKUP($B4384,'Email Marketing Raw Data'!$C:$O,5,0)),"")</f>
        <v/>
      </c>
      <c r="I4384" s="55" t="str">
        <f>IFERROR(IF($G4384="","",VLOOKUP('Dashboard And Emails Automate'!$G4384,Database!$H:$N,3,0)),"")</f>
        <v/>
      </c>
      <c r="J4384" s="55" t="str">
        <f>IFERROR(IF($G4384="","",VLOOKUP('Dashboard And Emails Automate'!$G4384,Database!$H:$N,4,0)),"")</f>
        <v/>
      </c>
      <c r="K4384" s="55" t="str">
        <f>IFERROR(IF($G4384="","",VLOOKUP('Dashboard And Emails Automate'!$G4384,Database!$H:$N,5,0)),"")</f>
        <v/>
      </c>
      <c r="L4384" s="55" t="str">
        <f>IFERROR(IF($G4384="","",VLOOKUP('Dashboard And Emails Automate'!$G4384,Database!$H:$N,6,0)),"")</f>
        <v/>
      </c>
      <c r="M4384" s="55" t="str">
        <f>IFERROR(IF($G4384="","",VLOOKUP('Dashboard And Emails Automate'!$G4384,Database!$H:$N,7,0)),"")</f>
        <v/>
      </c>
      <c r="N4384" s="55" t="str">
        <f>IFERROR(IF(OR($B4384="",$B4384="(blank)"),"",VLOOKUP($B4384,'Email Marketing Raw Data'!$C:$O,6,0)),"")</f>
        <v/>
      </c>
      <c r="O4384" s="55" t="str">
        <f>IFERROR(IF(OR($B4384="",$B4384="(blank)"),"",VLOOKUP($B4384,'Email Marketing Raw Data'!$C:$O,7,0)),"")</f>
        <v/>
      </c>
      <c r="P4384" s="55" t="str">
        <f>IFERROR(IF(OR($B4384="",$B4384="(blank)"),"",VLOOKUP($B4384,'Email Marketing Raw Data'!$C:$O,8,0)),"")</f>
        <v/>
      </c>
      <c r="Q4384" s="62" t="str">
        <f>IFERROR(IF(OR($B4384="",$B4384="(blank)"),"",VLOOKUP($B4384,'Email Marketing Raw Data'!$C:$O,9,0)),"")</f>
        <v/>
      </c>
    </row>
    <row r="4385" spans="4:17" ht="12.75" customHeight="1" x14ac:dyDescent="0.2">
      <c r="D4385" s="58" t="str">
        <f>IFERROR(IF(F4385&lt;&gt;"pending","",IF(OR($B4385="",$B4385="(blank)"),"",VLOOKUP($B4385,'Email Marketing Raw Data'!$C:$O,10,0))),"")</f>
        <v/>
      </c>
      <c r="E4385" s="59" t="str">
        <f>IFERROR(IF(F4385&lt;&gt;"pending","",IF(OR($B4385="",$B4385="(blank)"),"",VLOOKUP($B4385,'Email Marketing Raw Data'!$C:$O,11,0))),"")</f>
        <v/>
      </c>
      <c r="F4385" s="54" t="str">
        <f>IFERROR(IF(OR($B4385="",$B4385="(blank)"),"",VLOOKUP($B4385,'Email Marketing Raw Data'!$C:$O,13,0)),"")</f>
        <v/>
      </c>
      <c r="G4385" s="55" t="str">
        <f>IFERROR(IF(OR($B4385="",$B4385="(blank)"),"",VLOOKUP($B4385,'Email Marketing Raw Data'!$C:$O,4,0)),"")</f>
        <v/>
      </c>
      <c r="H4385" s="55" t="str">
        <f>IFERROR(IF(OR($B4385="",$B4385="(blank)"),"",VLOOKUP($B4385,'Email Marketing Raw Data'!$C:$O,5,0)),"")</f>
        <v/>
      </c>
      <c r="I4385" s="55" t="str">
        <f>IFERROR(IF($G4385="","",VLOOKUP('Dashboard And Emails Automate'!$G4385,Database!$H:$N,3,0)),"")</f>
        <v/>
      </c>
      <c r="J4385" s="55" t="str">
        <f>IFERROR(IF($G4385="","",VLOOKUP('Dashboard And Emails Automate'!$G4385,Database!$H:$N,4,0)),"")</f>
        <v/>
      </c>
      <c r="K4385" s="55" t="str">
        <f>IFERROR(IF($G4385="","",VLOOKUP('Dashboard And Emails Automate'!$G4385,Database!$H:$N,5,0)),"")</f>
        <v/>
      </c>
      <c r="L4385" s="55" t="str">
        <f>IFERROR(IF($G4385="","",VLOOKUP('Dashboard And Emails Automate'!$G4385,Database!$H:$N,6,0)),"")</f>
        <v/>
      </c>
      <c r="M4385" s="55" t="str">
        <f>IFERROR(IF($G4385="","",VLOOKUP('Dashboard And Emails Automate'!$G4385,Database!$H:$N,7,0)),"")</f>
        <v/>
      </c>
      <c r="N4385" s="55" t="str">
        <f>IFERROR(IF(OR($B4385="",$B4385="(blank)"),"",VLOOKUP($B4385,'Email Marketing Raw Data'!$C:$O,6,0)),"")</f>
        <v/>
      </c>
      <c r="O4385" s="55" t="str">
        <f>IFERROR(IF(OR($B4385="",$B4385="(blank)"),"",VLOOKUP($B4385,'Email Marketing Raw Data'!$C:$O,7,0)),"")</f>
        <v/>
      </c>
      <c r="P4385" s="55" t="str">
        <f>IFERROR(IF(OR($B4385="",$B4385="(blank)"),"",VLOOKUP($B4385,'Email Marketing Raw Data'!$C:$O,8,0)),"")</f>
        <v/>
      </c>
      <c r="Q4385" s="62" t="str">
        <f>IFERROR(IF(OR($B4385="",$B4385="(blank)"),"",VLOOKUP($B4385,'Email Marketing Raw Data'!$C:$O,9,0)),"")</f>
        <v/>
      </c>
    </row>
    <row r="4386" spans="4:17" ht="12.75" customHeight="1" x14ac:dyDescent="0.2">
      <c r="D4386" s="58" t="str">
        <f>IFERROR(IF(F4386&lt;&gt;"pending","",IF(OR($B4386="",$B4386="(blank)"),"",VLOOKUP($B4386,'Email Marketing Raw Data'!$C:$O,10,0))),"")</f>
        <v/>
      </c>
      <c r="E4386" s="59" t="str">
        <f>IFERROR(IF(F4386&lt;&gt;"pending","",IF(OR($B4386="",$B4386="(blank)"),"",VLOOKUP($B4386,'Email Marketing Raw Data'!$C:$O,11,0))),"")</f>
        <v/>
      </c>
      <c r="F4386" s="54" t="str">
        <f>IFERROR(IF(OR($B4386="",$B4386="(blank)"),"",VLOOKUP($B4386,'Email Marketing Raw Data'!$C:$O,13,0)),"")</f>
        <v/>
      </c>
      <c r="G4386" s="55" t="str">
        <f>IFERROR(IF(OR($B4386="",$B4386="(blank)"),"",VLOOKUP($B4386,'Email Marketing Raw Data'!$C:$O,4,0)),"")</f>
        <v/>
      </c>
      <c r="H4386" s="55" t="str">
        <f>IFERROR(IF(OR($B4386="",$B4386="(blank)"),"",VLOOKUP($B4386,'Email Marketing Raw Data'!$C:$O,5,0)),"")</f>
        <v/>
      </c>
      <c r="I4386" s="55" t="str">
        <f>IFERROR(IF($G4386="","",VLOOKUP('Dashboard And Emails Automate'!$G4386,Database!$H:$N,3,0)),"")</f>
        <v/>
      </c>
      <c r="J4386" s="55" t="str">
        <f>IFERROR(IF($G4386="","",VLOOKUP('Dashboard And Emails Automate'!$G4386,Database!$H:$N,4,0)),"")</f>
        <v/>
      </c>
      <c r="K4386" s="55" t="str">
        <f>IFERROR(IF($G4386="","",VLOOKUP('Dashboard And Emails Automate'!$G4386,Database!$H:$N,5,0)),"")</f>
        <v/>
      </c>
      <c r="L4386" s="55" t="str">
        <f>IFERROR(IF($G4386="","",VLOOKUP('Dashboard And Emails Automate'!$G4386,Database!$H:$N,6,0)),"")</f>
        <v/>
      </c>
      <c r="M4386" s="55" t="str">
        <f>IFERROR(IF($G4386="","",VLOOKUP('Dashboard And Emails Automate'!$G4386,Database!$H:$N,7,0)),"")</f>
        <v/>
      </c>
      <c r="N4386" s="55" t="str">
        <f>IFERROR(IF(OR($B4386="",$B4386="(blank)"),"",VLOOKUP($B4386,'Email Marketing Raw Data'!$C:$O,6,0)),"")</f>
        <v/>
      </c>
      <c r="O4386" s="55" t="str">
        <f>IFERROR(IF(OR($B4386="",$B4386="(blank)"),"",VLOOKUP($B4386,'Email Marketing Raw Data'!$C:$O,7,0)),"")</f>
        <v/>
      </c>
      <c r="P4386" s="55" t="str">
        <f>IFERROR(IF(OR($B4386="",$B4386="(blank)"),"",VLOOKUP($B4386,'Email Marketing Raw Data'!$C:$O,8,0)),"")</f>
        <v/>
      </c>
      <c r="Q4386" s="62" t="str">
        <f>IFERROR(IF(OR($B4386="",$B4386="(blank)"),"",VLOOKUP($B4386,'Email Marketing Raw Data'!$C:$O,9,0)),"")</f>
        <v/>
      </c>
    </row>
    <row r="4387" spans="4:17" ht="12.75" customHeight="1" x14ac:dyDescent="0.2">
      <c r="D4387" s="58" t="str">
        <f>IFERROR(IF(F4387&lt;&gt;"pending","",IF(OR($B4387="",$B4387="(blank)"),"",VLOOKUP($B4387,'Email Marketing Raw Data'!$C:$O,10,0))),"")</f>
        <v/>
      </c>
      <c r="E4387" s="59" t="str">
        <f>IFERROR(IF(F4387&lt;&gt;"pending","",IF(OR($B4387="",$B4387="(blank)"),"",VLOOKUP($B4387,'Email Marketing Raw Data'!$C:$O,11,0))),"")</f>
        <v/>
      </c>
      <c r="F4387" s="54" t="str">
        <f>IFERROR(IF(OR($B4387="",$B4387="(blank)"),"",VLOOKUP($B4387,'Email Marketing Raw Data'!$C:$O,13,0)),"")</f>
        <v/>
      </c>
      <c r="G4387" s="55" t="str">
        <f>IFERROR(IF(OR($B4387="",$B4387="(blank)"),"",VLOOKUP($B4387,'Email Marketing Raw Data'!$C:$O,4,0)),"")</f>
        <v/>
      </c>
      <c r="H4387" s="55" t="str">
        <f>IFERROR(IF(OR($B4387="",$B4387="(blank)"),"",VLOOKUP($B4387,'Email Marketing Raw Data'!$C:$O,5,0)),"")</f>
        <v/>
      </c>
      <c r="I4387" s="55" t="str">
        <f>IFERROR(IF($G4387="","",VLOOKUP('Dashboard And Emails Automate'!$G4387,Database!$H:$N,3,0)),"")</f>
        <v/>
      </c>
      <c r="J4387" s="55" t="str">
        <f>IFERROR(IF($G4387="","",VLOOKUP('Dashboard And Emails Automate'!$G4387,Database!$H:$N,4,0)),"")</f>
        <v/>
      </c>
      <c r="K4387" s="55" t="str">
        <f>IFERROR(IF($G4387="","",VLOOKUP('Dashboard And Emails Automate'!$G4387,Database!$H:$N,5,0)),"")</f>
        <v/>
      </c>
      <c r="L4387" s="55" t="str">
        <f>IFERROR(IF($G4387="","",VLOOKUP('Dashboard And Emails Automate'!$G4387,Database!$H:$N,6,0)),"")</f>
        <v/>
      </c>
      <c r="M4387" s="55" t="str">
        <f>IFERROR(IF($G4387="","",VLOOKUP('Dashboard And Emails Automate'!$G4387,Database!$H:$N,7,0)),"")</f>
        <v/>
      </c>
      <c r="N4387" s="55" t="str">
        <f>IFERROR(IF(OR($B4387="",$B4387="(blank)"),"",VLOOKUP($B4387,'Email Marketing Raw Data'!$C:$O,6,0)),"")</f>
        <v/>
      </c>
      <c r="O4387" s="55" t="str">
        <f>IFERROR(IF(OR($B4387="",$B4387="(blank)"),"",VLOOKUP($B4387,'Email Marketing Raw Data'!$C:$O,7,0)),"")</f>
        <v/>
      </c>
      <c r="P4387" s="55" t="str">
        <f>IFERROR(IF(OR($B4387="",$B4387="(blank)"),"",VLOOKUP($B4387,'Email Marketing Raw Data'!$C:$O,8,0)),"")</f>
        <v/>
      </c>
      <c r="Q4387" s="62" t="str">
        <f>IFERROR(IF(OR($B4387="",$B4387="(blank)"),"",VLOOKUP($B4387,'Email Marketing Raw Data'!$C:$O,9,0)),"")</f>
        <v/>
      </c>
    </row>
    <row r="4388" spans="4:17" ht="12.75" customHeight="1" x14ac:dyDescent="0.2">
      <c r="D4388" s="58" t="str">
        <f>IFERROR(IF(F4388&lt;&gt;"pending","",IF(OR($B4388="",$B4388="(blank)"),"",VLOOKUP($B4388,'Email Marketing Raw Data'!$C:$O,10,0))),"")</f>
        <v/>
      </c>
      <c r="E4388" s="59" t="str">
        <f>IFERROR(IF(F4388&lt;&gt;"pending","",IF(OR($B4388="",$B4388="(blank)"),"",VLOOKUP($B4388,'Email Marketing Raw Data'!$C:$O,11,0))),"")</f>
        <v/>
      </c>
      <c r="F4388" s="54" t="str">
        <f>IFERROR(IF(OR($B4388="",$B4388="(blank)"),"",VLOOKUP($B4388,'Email Marketing Raw Data'!$C:$O,13,0)),"")</f>
        <v/>
      </c>
      <c r="G4388" s="55" t="str">
        <f>IFERROR(IF(OR($B4388="",$B4388="(blank)"),"",VLOOKUP($B4388,'Email Marketing Raw Data'!$C:$O,4,0)),"")</f>
        <v/>
      </c>
      <c r="H4388" s="55" t="str">
        <f>IFERROR(IF(OR($B4388="",$B4388="(blank)"),"",VLOOKUP($B4388,'Email Marketing Raw Data'!$C:$O,5,0)),"")</f>
        <v/>
      </c>
      <c r="I4388" s="55" t="str">
        <f>IFERROR(IF($G4388="","",VLOOKUP('Dashboard And Emails Automate'!$G4388,Database!$H:$N,3,0)),"")</f>
        <v/>
      </c>
      <c r="J4388" s="55" t="str">
        <f>IFERROR(IF($G4388="","",VLOOKUP('Dashboard And Emails Automate'!$G4388,Database!$H:$N,4,0)),"")</f>
        <v/>
      </c>
      <c r="K4388" s="55" t="str">
        <f>IFERROR(IF($G4388="","",VLOOKUP('Dashboard And Emails Automate'!$G4388,Database!$H:$N,5,0)),"")</f>
        <v/>
      </c>
      <c r="L4388" s="55" t="str">
        <f>IFERROR(IF($G4388="","",VLOOKUP('Dashboard And Emails Automate'!$G4388,Database!$H:$N,6,0)),"")</f>
        <v/>
      </c>
      <c r="M4388" s="55" t="str">
        <f>IFERROR(IF($G4388="","",VLOOKUP('Dashboard And Emails Automate'!$G4388,Database!$H:$N,7,0)),"")</f>
        <v/>
      </c>
      <c r="N4388" s="55" t="str">
        <f>IFERROR(IF(OR($B4388="",$B4388="(blank)"),"",VLOOKUP($B4388,'Email Marketing Raw Data'!$C:$O,6,0)),"")</f>
        <v/>
      </c>
      <c r="O4388" s="55" t="str">
        <f>IFERROR(IF(OR($B4388="",$B4388="(blank)"),"",VLOOKUP($B4388,'Email Marketing Raw Data'!$C:$O,7,0)),"")</f>
        <v/>
      </c>
      <c r="P4388" s="55" t="str">
        <f>IFERROR(IF(OR($B4388="",$B4388="(blank)"),"",VLOOKUP($B4388,'Email Marketing Raw Data'!$C:$O,8,0)),"")</f>
        <v/>
      </c>
      <c r="Q4388" s="62" t="str">
        <f>IFERROR(IF(OR($B4388="",$B4388="(blank)"),"",VLOOKUP($B4388,'Email Marketing Raw Data'!$C:$O,9,0)),"")</f>
        <v/>
      </c>
    </row>
    <row r="4389" spans="4:17" ht="12.75" customHeight="1" x14ac:dyDescent="0.2">
      <c r="D4389" s="58" t="str">
        <f>IFERROR(IF(F4389&lt;&gt;"pending","",IF(OR($B4389="",$B4389="(blank)"),"",VLOOKUP($B4389,'Email Marketing Raw Data'!$C:$O,10,0))),"")</f>
        <v/>
      </c>
      <c r="E4389" s="59" t="str">
        <f>IFERROR(IF(F4389&lt;&gt;"pending","",IF(OR($B4389="",$B4389="(blank)"),"",VLOOKUP($B4389,'Email Marketing Raw Data'!$C:$O,11,0))),"")</f>
        <v/>
      </c>
      <c r="F4389" s="54" t="str">
        <f>IFERROR(IF(OR($B4389="",$B4389="(blank)"),"",VLOOKUP($B4389,'Email Marketing Raw Data'!$C:$O,13,0)),"")</f>
        <v/>
      </c>
      <c r="G4389" s="55" t="str">
        <f>IFERROR(IF(OR($B4389="",$B4389="(blank)"),"",VLOOKUP($B4389,'Email Marketing Raw Data'!$C:$O,4,0)),"")</f>
        <v/>
      </c>
      <c r="H4389" s="55" t="str">
        <f>IFERROR(IF(OR($B4389="",$B4389="(blank)"),"",VLOOKUP($B4389,'Email Marketing Raw Data'!$C:$O,5,0)),"")</f>
        <v/>
      </c>
      <c r="I4389" s="55" t="str">
        <f>IFERROR(IF($G4389="","",VLOOKUP('Dashboard And Emails Automate'!$G4389,Database!$H:$N,3,0)),"")</f>
        <v/>
      </c>
      <c r="J4389" s="55" t="str">
        <f>IFERROR(IF($G4389="","",VLOOKUP('Dashboard And Emails Automate'!$G4389,Database!$H:$N,4,0)),"")</f>
        <v/>
      </c>
      <c r="K4389" s="55" t="str">
        <f>IFERROR(IF($G4389="","",VLOOKUP('Dashboard And Emails Automate'!$G4389,Database!$H:$N,5,0)),"")</f>
        <v/>
      </c>
      <c r="L4389" s="55" t="str">
        <f>IFERROR(IF($G4389="","",VLOOKUP('Dashboard And Emails Automate'!$G4389,Database!$H:$N,6,0)),"")</f>
        <v/>
      </c>
      <c r="M4389" s="55" t="str">
        <f>IFERROR(IF($G4389="","",VLOOKUP('Dashboard And Emails Automate'!$G4389,Database!$H:$N,7,0)),"")</f>
        <v/>
      </c>
      <c r="N4389" s="55" t="str">
        <f>IFERROR(IF(OR($B4389="",$B4389="(blank)"),"",VLOOKUP($B4389,'Email Marketing Raw Data'!$C:$O,6,0)),"")</f>
        <v/>
      </c>
      <c r="O4389" s="55" t="str">
        <f>IFERROR(IF(OR($B4389="",$B4389="(blank)"),"",VLOOKUP($B4389,'Email Marketing Raw Data'!$C:$O,7,0)),"")</f>
        <v/>
      </c>
      <c r="P4389" s="55" t="str">
        <f>IFERROR(IF(OR($B4389="",$B4389="(blank)"),"",VLOOKUP($B4389,'Email Marketing Raw Data'!$C:$O,8,0)),"")</f>
        <v/>
      </c>
      <c r="Q4389" s="62" t="str">
        <f>IFERROR(IF(OR($B4389="",$B4389="(blank)"),"",VLOOKUP($B4389,'Email Marketing Raw Data'!$C:$O,9,0)),"")</f>
        <v/>
      </c>
    </row>
    <row r="4390" spans="4:17" ht="12.75" customHeight="1" x14ac:dyDescent="0.2">
      <c r="D4390" s="58" t="str">
        <f>IFERROR(IF(F4390&lt;&gt;"pending","",IF(OR($B4390="",$B4390="(blank)"),"",VLOOKUP($B4390,'Email Marketing Raw Data'!$C:$O,10,0))),"")</f>
        <v/>
      </c>
      <c r="E4390" s="59" t="str">
        <f>IFERROR(IF(F4390&lt;&gt;"pending","",IF(OR($B4390="",$B4390="(blank)"),"",VLOOKUP($B4390,'Email Marketing Raw Data'!$C:$O,11,0))),"")</f>
        <v/>
      </c>
      <c r="F4390" s="54" t="str">
        <f>IFERROR(IF(OR($B4390="",$B4390="(blank)"),"",VLOOKUP($B4390,'Email Marketing Raw Data'!$C:$O,13,0)),"")</f>
        <v/>
      </c>
      <c r="G4390" s="55" t="str">
        <f>IFERROR(IF(OR($B4390="",$B4390="(blank)"),"",VLOOKUP($B4390,'Email Marketing Raw Data'!$C:$O,4,0)),"")</f>
        <v/>
      </c>
      <c r="H4390" s="55" t="str">
        <f>IFERROR(IF(OR($B4390="",$B4390="(blank)"),"",VLOOKUP($B4390,'Email Marketing Raw Data'!$C:$O,5,0)),"")</f>
        <v/>
      </c>
      <c r="I4390" s="55" t="str">
        <f>IFERROR(IF($G4390="","",VLOOKUP('Dashboard And Emails Automate'!$G4390,Database!$H:$N,3,0)),"")</f>
        <v/>
      </c>
      <c r="J4390" s="55" t="str">
        <f>IFERROR(IF($G4390="","",VLOOKUP('Dashboard And Emails Automate'!$G4390,Database!$H:$N,4,0)),"")</f>
        <v/>
      </c>
      <c r="K4390" s="55" t="str">
        <f>IFERROR(IF($G4390="","",VLOOKUP('Dashboard And Emails Automate'!$G4390,Database!$H:$N,5,0)),"")</f>
        <v/>
      </c>
      <c r="L4390" s="55" t="str">
        <f>IFERROR(IF($G4390="","",VLOOKUP('Dashboard And Emails Automate'!$G4390,Database!$H:$N,6,0)),"")</f>
        <v/>
      </c>
      <c r="M4390" s="55" t="str">
        <f>IFERROR(IF($G4390="","",VLOOKUP('Dashboard And Emails Automate'!$G4390,Database!$H:$N,7,0)),"")</f>
        <v/>
      </c>
      <c r="N4390" s="55" t="str">
        <f>IFERROR(IF(OR($B4390="",$B4390="(blank)"),"",VLOOKUP($B4390,'Email Marketing Raw Data'!$C:$O,6,0)),"")</f>
        <v/>
      </c>
      <c r="O4390" s="55" t="str">
        <f>IFERROR(IF(OR($B4390="",$B4390="(blank)"),"",VLOOKUP($B4390,'Email Marketing Raw Data'!$C:$O,7,0)),"")</f>
        <v/>
      </c>
      <c r="P4390" s="55" t="str">
        <f>IFERROR(IF(OR($B4390="",$B4390="(blank)"),"",VLOOKUP($B4390,'Email Marketing Raw Data'!$C:$O,8,0)),"")</f>
        <v/>
      </c>
      <c r="Q4390" s="62" t="str">
        <f>IFERROR(IF(OR($B4390="",$B4390="(blank)"),"",VLOOKUP($B4390,'Email Marketing Raw Data'!$C:$O,9,0)),"")</f>
        <v/>
      </c>
    </row>
    <row r="4391" spans="4:17" ht="12.75" customHeight="1" x14ac:dyDescent="0.2">
      <c r="D4391" s="58" t="str">
        <f>IFERROR(IF(F4391&lt;&gt;"pending","",IF(OR($B4391="",$B4391="(blank)"),"",VLOOKUP($B4391,'Email Marketing Raw Data'!$C:$O,10,0))),"")</f>
        <v/>
      </c>
      <c r="E4391" s="59" t="str">
        <f>IFERROR(IF(F4391&lt;&gt;"pending","",IF(OR($B4391="",$B4391="(blank)"),"",VLOOKUP($B4391,'Email Marketing Raw Data'!$C:$O,11,0))),"")</f>
        <v/>
      </c>
      <c r="F4391" s="54" t="str">
        <f>IFERROR(IF(OR($B4391="",$B4391="(blank)"),"",VLOOKUP($B4391,'Email Marketing Raw Data'!$C:$O,13,0)),"")</f>
        <v/>
      </c>
      <c r="G4391" s="55" t="str">
        <f>IFERROR(IF(OR($B4391="",$B4391="(blank)"),"",VLOOKUP($B4391,'Email Marketing Raw Data'!$C:$O,4,0)),"")</f>
        <v/>
      </c>
      <c r="H4391" s="55" t="str">
        <f>IFERROR(IF(OR($B4391="",$B4391="(blank)"),"",VLOOKUP($B4391,'Email Marketing Raw Data'!$C:$O,5,0)),"")</f>
        <v/>
      </c>
      <c r="I4391" s="55" t="str">
        <f>IFERROR(IF($G4391="","",VLOOKUP('Dashboard And Emails Automate'!$G4391,Database!$H:$N,3,0)),"")</f>
        <v/>
      </c>
      <c r="J4391" s="55" t="str">
        <f>IFERROR(IF($G4391="","",VLOOKUP('Dashboard And Emails Automate'!$G4391,Database!$H:$N,4,0)),"")</f>
        <v/>
      </c>
      <c r="K4391" s="55" t="str">
        <f>IFERROR(IF($G4391="","",VLOOKUP('Dashboard And Emails Automate'!$G4391,Database!$H:$N,5,0)),"")</f>
        <v/>
      </c>
      <c r="L4391" s="55" t="str">
        <f>IFERROR(IF($G4391="","",VLOOKUP('Dashboard And Emails Automate'!$G4391,Database!$H:$N,6,0)),"")</f>
        <v/>
      </c>
      <c r="M4391" s="55" t="str">
        <f>IFERROR(IF($G4391="","",VLOOKUP('Dashboard And Emails Automate'!$G4391,Database!$H:$N,7,0)),"")</f>
        <v/>
      </c>
      <c r="N4391" s="55" t="str">
        <f>IFERROR(IF(OR($B4391="",$B4391="(blank)"),"",VLOOKUP($B4391,'Email Marketing Raw Data'!$C:$O,6,0)),"")</f>
        <v/>
      </c>
      <c r="O4391" s="55" t="str">
        <f>IFERROR(IF(OR($B4391="",$B4391="(blank)"),"",VLOOKUP($B4391,'Email Marketing Raw Data'!$C:$O,7,0)),"")</f>
        <v/>
      </c>
      <c r="P4391" s="55" t="str">
        <f>IFERROR(IF(OR($B4391="",$B4391="(blank)"),"",VLOOKUP($B4391,'Email Marketing Raw Data'!$C:$O,8,0)),"")</f>
        <v/>
      </c>
      <c r="Q4391" s="62" t="str">
        <f>IFERROR(IF(OR($B4391="",$B4391="(blank)"),"",VLOOKUP($B4391,'Email Marketing Raw Data'!$C:$O,9,0)),"")</f>
        <v/>
      </c>
    </row>
    <row r="4392" spans="4:17" ht="12.75" customHeight="1" x14ac:dyDescent="0.2">
      <c r="D4392" s="58" t="str">
        <f>IFERROR(IF(F4392&lt;&gt;"pending","",IF(OR($B4392="",$B4392="(blank)"),"",VLOOKUP($B4392,'Email Marketing Raw Data'!$C:$O,10,0))),"")</f>
        <v/>
      </c>
      <c r="E4392" s="59" t="str">
        <f>IFERROR(IF(F4392&lt;&gt;"pending","",IF(OR($B4392="",$B4392="(blank)"),"",VLOOKUP($B4392,'Email Marketing Raw Data'!$C:$O,11,0))),"")</f>
        <v/>
      </c>
      <c r="F4392" s="54" t="str">
        <f>IFERROR(IF(OR($B4392="",$B4392="(blank)"),"",VLOOKUP($B4392,'Email Marketing Raw Data'!$C:$O,13,0)),"")</f>
        <v/>
      </c>
      <c r="G4392" s="55" t="str">
        <f>IFERROR(IF(OR($B4392="",$B4392="(blank)"),"",VLOOKUP($B4392,'Email Marketing Raw Data'!$C:$O,4,0)),"")</f>
        <v/>
      </c>
      <c r="H4392" s="55" t="str">
        <f>IFERROR(IF(OR($B4392="",$B4392="(blank)"),"",VLOOKUP($B4392,'Email Marketing Raw Data'!$C:$O,5,0)),"")</f>
        <v/>
      </c>
      <c r="I4392" s="55" t="str">
        <f>IFERROR(IF($G4392="","",VLOOKUP('Dashboard And Emails Automate'!$G4392,Database!$H:$N,3,0)),"")</f>
        <v/>
      </c>
      <c r="J4392" s="55" t="str">
        <f>IFERROR(IF($G4392="","",VLOOKUP('Dashboard And Emails Automate'!$G4392,Database!$H:$N,4,0)),"")</f>
        <v/>
      </c>
      <c r="K4392" s="55" t="str">
        <f>IFERROR(IF($G4392="","",VLOOKUP('Dashboard And Emails Automate'!$G4392,Database!$H:$N,5,0)),"")</f>
        <v/>
      </c>
      <c r="L4392" s="55" t="str">
        <f>IFERROR(IF($G4392="","",VLOOKUP('Dashboard And Emails Automate'!$G4392,Database!$H:$N,6,0)),"")</f>
        <v/>
      </c>
      <c r="M4392" s="55" t="str">
        <f>IFERROR(IF($G4392="","",VLOOKUP('Dashboard And Emails Automate'!$G4392,Database!$H:$N,7,0)),"")</f>
        <v/>
      </c>
      <c r="N4392" s="55" t="str">
        <f>IFERROR(IF(OR($B4392="",$B4392="(blank)"),"",VLOOKUP($B4392,'Email Marketing Raw Data'!$C:$O,6,0)),"")</f>
        <v/>
      </c>
      <c r="O4392" s="55" t="str">
        <f>IFERROR(IF(OR($B4392="",$B4392="(blank)"),"",VLOOKUP($B4392,'Email Marketing Raw Data'!$C:$O,7,0)),"")</f>
        <v/>
      </c>
      <c r="P4392" s="55" t="str">
        <f>IFERROR(IF(OR($B4392="",$B4392="(blank)"),"",VLOOKUP($B4392,'Email Marketing Raw Data'!$C:$O,8,0)),"")</f>
        <v/>
      </c>
      <c r="Q4392" s="62" t="str">
        <f>IFERROR(IF(OR($B4392="",$B4392="(blank)"),"",VLOOKUP($B4392,'Email Marketing Raw Data'!$C:$O,9,0)),"")</f>
        <v/>
      </c>
    </row>
    <row r="4393" spans="4:17" ht="12.75" customHeight="1" x14ac:dyDescent="0.2">
      <c r="D4393" s="58" t="str">
        <f>IFERROR(IF(F4393&lt;&gt;"pending","",IF(OR($B4393="",$B4393="(blank)"),"",VLOOKUP($B4393,'Email Marketing Raw Data'!$C:$O,10,0))),"")</f>
        <v/>
      </c>
      <c r="E4393" s="59" t="str">
        <f>IFERROR(IF(F4393&lt;&gt;"pending","",IF(OR($B4393="",$B4393="(blank)"),"",VLOOKUP($B4393,'Email Marketing Raw Data'!$C:$O,11,0))),"")</f>
        <v/>
      </c>
      <c r="F4393" s="54" t="str">
        <f>IFERROR(IF(OR($B4393="",$B4393="(blank)"),"",VLOOKUP($B4393,'Email Marketing Raw Data'!$C:$O,13,0)),"")</f>
        <v/>
      </c>
      <c r="G4393" s="55" t="str">
        <f>IFERROR(IF(OR($B4393="",$B4393="(blank)"),"",VLOOKUP($B4393,'Email Marketing Raw Data'!$C:$O,4,0)),"")</f>
        <v/>
      </c>
      <c r="H4393" s="55" t="str">
        <f>IFERROR(IF(OR($B4393="",$B4393="(blank)"),"",VLOOKUP($B4393,'Email Marketing Raw Data'!$C:$O,5,0)),"")</f>
        <v/>
      </c>
      <c r="I4393" s="55" t="str">
        <f>IFERROR(IF($G4393="","",VLOOKUP('Dashboard And Emails Automate'!$G4393,Database!$H:$N,3,0)),"")</f>
        <v/>
      </c>
      <c r="J4393" s="55" t="str">
        <f>IFERROR(IF($G4393="","",VLOOKUP('Dashboard And Emails Automate'!$G4393,Database!$H:$N,4,0)),"")</f>
        <v/>
      </c>
      <c r="K4393" s="55" t="str">
        <f>IFERROR(IF($G4393="","",VLOOKUP('Dashboard And Emails Automate'!$G4393,Database!$H:$N,5,0)),"")</f>
        <v/>
      </c>
      <c r="L4393" s="55" t="str">
        <f>IFERROR(IF($G4393="","",VLOOKUP('Dashboard And Emails Automate'!$G4393,Database!$H:$N,6,0)),"")</f>
        <v/>
      </c>
      <c r="M4393" s="55" t="str">
        <f>IFERROR(IF($G4393="","",VLOOKUP('Dashboard And Emails Automate'!$G4393,Database!$H:$N,7,0)),"")</f>
        <v/>
      </c>
      <c r="N4393" s="55" t="str">
        <f>IFERROR(IF(OR($B4393="",$B4393="(blank)"),"",VLOOKUP($B4393,'Email Marketing Raw Data'!$C:$O,6,0)),"")</f>
        <v/>
      </c>
      <c r="O4393" s="55" t="str">
        <f>IFERROR(IF(OR($B4393="",$B4393="(blank)"),"",VLOOKUP($B4393,'Email Marketing Raw Data'!$C:$O,7,0)),"")</f>
        <v/>
      </c>
      <c r="P4393" s="55" t="str">
        <f>IFERROR(IF(OR($B4393="",$B4393="(blank)"),"",VLOOKUP($B4393,'Email Marketing Raw Data'!$C:$O,8,0)),"")</f>
        <v/>
      </c>
      <c r="Q4393" s="62" t="str">
        <f>IFERROR(IF(OR($B4393="",$B4393="(blank)"),"",VLOOKUP($B4393,'Email Marketing Raw Data'!$C:$O,9,0)),"")</f>
        <v/>
      </c>
    </row>
    <row r="4394" spans="4:17" ht="12.75" customHeight="1" x14ac:dyDescent="0.2">
      <c r="D4394" s="58" t="str">
        <f>IFERROR(IF(F4394&lt;&gt;"pending","",IF(OR($B4394="",$B4394="(blank)"),"",VLOOKUP($B4394,'Email Marketing Raw Data'!$C:$O,10,0))),"")</f>
        <v/>
      </c>
      <c r="E4394" s="59" t="str">
        <f>IFERROR(IF(F4394&lt;&gt;"pending","",IF(OR($B4394="",$B4394="(blank)"),"",VLOOKUP($B4394,'Email Marketing Raw Data'!$C:$O,11,0))),"")</f>
        <v/>
      </c>
      <c r="F4394" s="54" t="str">
        <f>IFERROR(IF(OR($B4394="",$B4394="(blank)"),"",VLOOKUP($B4394,'Email Marketing Raw Data'!$C:$O,13,0)),"")</f>
        <v/>
      </c>
      <c r="G4394" s="55" t="str">
        <f>IFERROR(IF(OR($B4394="",$B4394="(blank)"),"",VLOOKUP($B4394,'Email Marketing Raw Data'!$C:$O,4,0)),"")</f>
        <v/>
      </c>
      <c r="H4394" s="55" t="str">
        <f>IFERROR(IF(OR($B4394="",$B4394="(blank)"),"",VLOOKUP($B4394,'Email Marketing Raw Data'!$C:$O,5,0)),"")</f>
        <v/>
      </c>
      <c r="I4394" s="55" t="str">
        <f>IFERROR(IF($G4394="","",VLOOKUP('Dashboard And Emails Automate'!$G4394,Database!$H:$N,3,0)),"")</f>
        <v/>
      </c>
      <c r="J4394" s="55" t="str">
        <f>IFERROR(IF($G4394="","",VLOOKUP('Dashboard And Emails Automate'!$G4394,Database!$H:$N,4,0)),"")</f>
        <v/>
      </c>
      <c r="K4394" s="55" t="str">
        <f>IFERROR(IF($G4394="","",VLOOKUP('Dashboard And Emails Automate'!$G4394,Database!$H:$N,5,0)),"")</f>
        <v/>
      </c>
      <c r="L4394" s="55" t="str">
        <f>IFERROR(IF($G4394="","",VLOOKUP('Dashboard And Emails Automate'!$G4394,Database!$H:$N,6,0)),"")</f>
        <v/>
      </c>
      <c r="M4394" s="55" t="str">
        <f>IFERROR(IF($G4394="","",VLOOKUP('Dashboard And Emails Automate'!$G4394,Database!$H:$N,7,0)),"")</f>
        <v/>
      </c>
      <c r="N4394" s="55" t="str">
        <f>IFERROR(IF(OR($B4394="",$B4394="(blank)"),"",VLOOKUP($B4394,'Email Marketing Raw Data'!$C:$O,6,0)),"")</f>
        <v/>
      </c>
      <c r="O4394" s="55" t="str">
        <f>IFERROR(IF(OR($B4394="",$B4394="(blank)"),"",VLOOKUP($B4394,'Email Marketing Raw Data'!$C:$O,7,0)),"")</f>
        <v/>
      </c>
      <c r="P4394" s="55" t="str">
        <f>IFERROR(IF(OR($B4394="",$B4394="(blank)"),"",VLOOKUP($B4394,'Email Marketing Raw Data'!$C:$O,8,0)),"")</f>
        <v/>
      </c>
      <c r="Q4394" s="62" t="str">
        <f>IFERROR(IF(OR($B4394="",$B4394="(blank)"),"",VLOOKUP($B4394,'Email Marketing Raw Data'!$C:$O,9,0)),"")</f>
        <v/>
      </c>
    </row>
    <row r="4395" spans="4:17" ht="12.75" customHeight="1" x14ac:dyDescent="0.2">
      <c r="D4395" s="58" t="str">
        <f>IFERROR(IF(F4395&lt;&gt;"pending","",IF(OR($B4395="",$B4395="(blank)"),"",VLOOKUP($B4395,'Email Marketing Raw Data'!$C:$O,10,0))),"")</f>
        <v/>
      </c>
      <c r="E4395" s="59" t="str">
        <f>IFERROR(IF(F4395&lt;&gt;"pending","",IF(OR($B4395="",$B4395="(blank)"),"",VLOOKUP($B4395,'Email Marketing Raw Data'!$C:$O,11,0))),"")</f>
        <v/>
      </c>
      <c r="F4395" s="54" t="str">
        <f>IFERROR(IF(OR($B4395="",$B4395="(blank)"),"",VLOOKUP($B4395,'Email Marketing Raw Data'!$C:$O,13,0)),"")</f>
        <v/>
      </c>
      <c r="G4395" s="55" t="str">
        <f>IFERROR(IF(OR($B4395="",$B4395="(blank)"),"",VLOOKUP($B4395,'Email Marketing Raw Data'!$C:$O,4,0)),"")</f>
        <v/>
      </c>
      <c r="H4395" s="55" t="str">
        <f>IFERROR(IF(OR($B4395="",$B4395="(blank)"),"",VLOOKUP($B4395,'Email Marketing Raw Data'!$C:$O,5,0)),"")</f>
        <v/>
      </c>
      <c r="I4395" s="55" t="str">
        <f>IFERROR(IF($G4395="","",VLOOKUP('Dashboard And Emails Automate'!$G4395,Database!$H:$N,3,0)),"")</f>
        <v/>
      </c>
      <c r="J4395" s="55" t="str">
        <f>IFERROR(IF($G4395="","",VLOOKUP('Dashboard And Emails Automate'!$G4395,Database!$H:$N,4,0)),"")</f>
        <v/>
      </c>
      <c r="K4395" s="55" t="str">
        <f>IFERROR(IF($G4395="","",VLOOKUP('Dashboard And Emails Automate'!$G4395,Database!$H:$N,5,0)),"")</f>
        <v/>
      </c>
      <c r="L4395" s="55" t="str">
        <f>IFERROR(IF($G4395="","",VLOOKUP('Dashboard And Emails Automate'!$G4395,Database!$H:$N,6,0)),"")</f>
        <v/>
      </c>
      <c r="M4395" s="55" t="str">
        <f>IFERROR(IF($G4395="","",VLOOKUP('Dashboard And Emails Automate'!$G4395,Database!$H:$N,7,0)),"")</f>
        <v/>
      </c>
      <c r="N4395" s="55" t="str">
        <f>IFERROR(IF(OR($B4395="",$B4395="(blank)"),"",VLOOKUP($B4395,'Email Marketing Raw Data'!$C:$O,6,0)),"")</f>
        <v/>
      </c>
      <c r="O4395" s="55" t="str">
        <f>IFERROR(IF(OR($B4395="",$B4395="(blank)"),"",VLOOKUP($B4395,'Email Marketing Raw Data'!$C:$O,7,0)),"")</f>
        <v/>
      </c>
      <c r="P4395" s="55" t="str">
        <f>IFERROR(IF(OR($B4395="",$B4395="(blank)"),"",VLOOKUP($B4395,'Email Marketing Raw Data'!$C:$O,8,0)),"")</f>
        <v/>
      </c>
      <c r="Q4395" s="62" t="str">
        <f>IFERROR(IF(OR($B4395="",$B4395="(blank)"),"",VLOOKUP($B4395,'Email Marketing Raw Data'!$C:$O,9,0)),"")</f>
        <v/>
      </c>
    </row>
    <row r="4396" spans="4:17" ht="12.75" customHeight="1" x14ac:dyDescent="0.2">
      <c r="D4396" s="58" t="str">
        <f>IFERROR(IF(F4396&lt;&gt;"pending","",IF(OR($B4396="",$B4396="(blank)"),"",VLOOKUP($B4396,'Email Marketing Raw Data'!$C:$O,10,0))),"")</f>
        <v/>
      </c>
      <c r="E4396" s="59" t="str">
        <f>IFERROR(IF(F4396&lt;&gt;"pending","",IF(OR($B4396="",$B4396="(blank)"),"",VLOOKUP($B4396,'Email Marketing Raw Data'!$C:$O,11,0))),"")</f>
        <v/>
      </c>
      <c r="F4396" s="54" t="str">
        <f>IFERROR(IF(OR($B4396="",$B4396="(blank)"),"",VLOOKUP($B4396,'Email Marketing Raw Data'!$C:$O,13,0)),"")</f>
        <v/>
      </c>
      <c r="G4396" s="55" t="str">
        <f>IFERROR(IF(OR($B4396="",$B4396="(blank)"),"",VLOOKUP($B4396,'Email Marketing Raw Data'!$C:$O,4,0)),"")</f>
        <v/>
      </c>
      <c r="H4396" s="55" t="str">
        <f>IFERROR(IF(OR($B4396="",$B4396="(blank)"),"",VLOOKUP($B4396,'Email Marketing Raw Data'!$C:$O,5,0)),"")</f>
        <v/>
      </c>
      <c r="I4396" s="55" t="str">
        <f>IFERROR(IF($G4396="","",VLOOKUP('Dashboard And Emails Automate'!$G4396,Database!$H:$N,3,0)),"")</f>
        <v/>
      </c>
      <c r="J4396" s="55" t="str">
        <f>IFERROR(IF($G4396="","",VLOOKUP('Dashboard And Emails Automate'!$G4396,Database!$H:$N,4,0)),"")</f>
        <v/>
      </c>
      <c r="K4396" s="55" t="str">
        <f>IFERROR(IF($G4396="","",VLOOKUP('Dashboard And Emails Automate'!$G4396,Database!$H:$N,5,0)),"")</f>
        <v/>
      </c>
      <c r="L4396" s="55" t="str">
        <f>IFERROR(IF($G4396="","",VLOOKUP('Dashboard And Emails Automate'!$G4396,Database!$H:$N,6,0)),"")</f>
        <v/>
      </c>
      <c r="M4396" s="55" t="str">
        <f>IFERROR(IF($G4396="","",VLOOKUP('Dashboard And Emails Automate'!$G4396,Database!$H:$N,7,0)),"")</f>
        <v/>
      </c>
      <c r="N4396" s="55" t="str">
        <f>IFERROR(IF(OR($B4396="",$B4396="(blank)"),"",VLOOKUP($B4396,'Email Marketing Raw Data'!$C:$O,6,0)),"")</f>
        <v/>
      </c>
      <c r="O4396" s="55" t="str">
        <f>IFERROR(IF(OR($B4396="",$B4396="(blank)"),"",VLOOKUP($B4396,'Email Marketing Raw Data'!$C:$O,7,0)),"")</f>
        <v/>
      </c>
      <c r="P4396" s="55" t="str">
        <f>IFERROR(IF(OR($B4396="",$B4396="(blank)"),"",VLOOKUP($B4396,'Email Marketing Raw Data'!$C:$O,8,0)),"")</f>
        <v/>
      </c>
      <c r="Q4396" s="62" t="str">
        <f>IFERROR(IF(OR($B4396="",$B4396="(blank)"),"",VLOOKUP($B4396,'Email Marketing Raw Data'!$C:$O,9,0)),"")</f>
        <v/>
      </c>
    </row>
    <row r="4397" spans="4:17" ht="12.75" customHeight="1" x14ac:dyDescent="0.2">
      <c r="D4397" s="58" t="str">
        <f>IFERROR(IF(F4397&lt;&gt;"pending","",IF(OR($B4397="",$B4397="(blank)"),"",VLOOKUP($B4397,'Email Marketing Raw Data'!$C:$O,10,0))),"")</f>
        <v/>
      </c>
      <c r="E4397" s="59" t="str">
        <f>IFERROR(IF(F4397&lt;&gt;"pending","",IF(OR($B4397="",$B4397="(blank)"),"",VLOOKUP($B4397,'Email Marketing Raw Data'!$C:$O,11,0))),"")</f>
        <v/>
      </c>
      <c r="F4397" s="54" t="str">
        <f>IFERROR(IF(OR($B4397="",$B4397="(blank)"),"",VLOOKUP($B4397,'Email Marketing Raw Data'!$C:$O,13,0)),"")</f>
        <v/>
      </c>
      <c r="G4397" s="55" t="str">
        <f>IFERROR(IF(OR($B4397="",$B4397="(blank)"),"",VLOOKUP($B4397,'Email Marketing Raw Data'!$C:$O,4,0)),"")</f>
        <v/>
      </c>
      <c r="H4397" s="55" t="str">
        <f>IFERROR(IF(OR($B4397="",$B4397="(blank)"),"",VLOOKUP($B4397,'Email Marketing Raw Data'!$C:$O,5,0)),"")</f>
        <v/>
      </c>
      <c r="I4397" s="55" t="str">
        <f>IFERROR(IF($G4397="","",VLOOKUP('Dashboard And Emails Automate'!$G4397,Database!$H:$N,3,0)),"")</f>
        <v/>
      </c>
      <c r="J4397" s="55" t="str">
        <f>IFERROR(IF($G4397="","",VLOOKUP('Dashboard And Emails Automate'!$G4397,Database!$H:$N,4,0)),"")</f>
        <v/>
      </c>
      <c r="K4397" s="55" t="str">
        <f>IFERROR(IF($G4397="","",VLOOKUP('Dashboard And Emails Automate'!$G4397,Database!$H:$N,5,0)),"")</f>
        <v/>
      </c>
      <c r="L4397" s="55" t="str">
        <f>IFERROR(IF($G4397="","",VLOOKUP('Dashboard And Emails Automate'!$G4397,Database!$H:$N,6,0)),"")</f>
        <v/>
      </c>
      <c r="M4397" s="55" t="str">
        <f>IFERROR(IF($G4397="","",VLOOKUP('Dashboard And Emails Automate'!$G4397,Database!$H:$N,7,0)),"")</f>
        <v/>
      </c>
      <c r="N4397" s="55" t="str">
        <f>IFERROR(IF(OR($B4397="",$B4397="(blank)"),"",VLOOKUP($B4397,'Email Marketing Raw Data'!$C:$O,6,0)),"")</f>
        <v/>
      </c>
      <c r="O4397" s="55" t="str">
        <f>IFERROR(IF(OR($B4397="",$B4397="(blank)"),"",VLOOKUP($B4397,'Email Marketing Raw Data'!$C:$O,7,0)),"")</f>
        <v/>
      </c>
      <c r="P4397" s="55" t="str">
        <f>IFERROR(IF(OR($B4397="",$B4397="(blank)"),"",VLOOKUP($B4397,'Email Marketing Raw Data'!$C:$O,8,0)),"")</f>
        <v/>
      </c>
      <c r="Q4397" s="62" t="str">
        <f>IFERROR(IF(OR($B4397="",$B4397="(blank)"),"",VLOOKUP($B4397,'Email Marketing Raw Data'!$C:$O,9,0)),"")</f>
        <v/>
      </c>
    </row>
    <row r="4398" spans="4:17" ht="12.75" customHeight="1" x14ac:dyDescent="0.2">
      <c r="D4398" s="58" t="str">
        <f>IFERROR(IF(F4398&lt;&gt;"pending","",IF(OR($B4398="",$B4398="(blank)"),"",VLOOKUP($B4398,'Email Marketing Raw Data'!$C:$O,10,0))),"")</f>
        <v/>
      </c>
      <c r="E4398" s="59" t="str">
        <f>IFERROR(IF(F4398&lt;&gt;"pending","",IF(OR($B4398="",$B4398="(blank)"),"",VLOOKUP($B4398,'Email Marketing Raw Data'!$C:$O,11,0))),"")</f>
        <v/>
      </c>
      <c r="F4398" s="54" t="str">
        <f>IFERROR(IF(OR($B4398="",$B4398="(blank)"),"",VLOOKUP($B4398,'Email Marketing Raw Data'!$C:$O,13,0)),"")</f>
        <v/>
      </c>
      <c r="G4398" s="55" t="str">
        <f>IFERROR(IF(OR($B4398="",$B4398="(blank)"),"",VLOOKUP($B4398,'Email Marketing Raw Data'!$C:$O,4,0)),"")</f>
        <v/>
      </c>
      <c r="H4398" s="55" t="str">
        <f>IFERROR(IF(OR($B4398="",$B4398="(blank)"),"",VLOOKUP($B4398,'Email Marketing Raw Data'!$C:$O,5,0)),"")</f>
        <v/>
      </c>
      <c r="I4398" s="55" t="str">
        <f>IFERROR(IF($G4398="","",VLOOKUP('Dashboard And Emails Automate'!$G4398,Database!$H:$N,3,0)),"")</f>
        <v/>
      </c>
      <c r="J4398" s="55" t="str">
        <f>IFERROR(IF($G4398="","",VLOOKUP('Dashboard And Emails Automate'!$G4398,Database!$H:$N,4,0)),"")</f>
        <v/>
      </c>
      <c r="K4398" s="55" t="str">
        <f>IFERROR(IF($G4398="","",VLOOKUP('Dashboard And Emails Automate'!$G4398,Database!$H:$N,5,0)),"")</f>
        <v/>
      </c>
      <c r="L4398" s="55" t="str">
        <f>IFERROR(IF($G4398="","",VLOOKUP('Dashboard And Emails Automate'!$G4398,Database!$H:$N,6,0)),"")</f>
        <v/>
      </c>
      <c r="M4398" s="55" t="str">
        <f>IFERROR(IF($G4398="","",VLOOKUP('Dashboard And Emails Automate'!$G4398,Database!$H:$N,7,0)),"")</f>
        <v/>
      </c>
      <c r="N4398" s="55" t="str">
        <f>IFERROR(IF(OR($B4398="",$B4398="(blank)"),"",VLOOKUP($B4398,'Email Marketing Raw Data'!$C:$O,6,0)),"")</f>
        <v/>
      </c>
      <c r="O4398" s="55" t="str">
        <f>IFERROR(IF(OR($B4398="",$B4398="(blank)"),"",VLOOKUP($B4398,'Email Marketing Raw Data'!$C:$O,7,0)),"")</f>
        <v/>
      </c>
      <c r="P4398" s="55" t="str">
        <f>IFERROR(IF(OR($B4398="",$B4398="(blank)"),"",VLOOKUP($B4398,'Email Marketing Raw Data'!$C:$O,8,0)),"")</f>
        <v/>
      </c>
      <c r="Q4398" s="62" t="str">
        <f>IFERROR(IF(OR($B4398="",$B4398="(blank)"),"",VLOOKUP($B4398,'Email Marketing Raw Data'!$C:$O,9,0)),"")</f>
        <v/>
      </c>
    </row>
    <row r="4399" spans="4:17" ht="12.75" customHeight="1" x14ac:dyDescent="0.2">
      <c r="D4399" s="58" t="str">
        <f>IFERROR(IF(F4399&lt;&gt;"pending","",IF(OR($B4399="",$B4399="(blank)"),"",VLOOKUP($B4399,'Email Marketing Raw Data'!$C:$O,10,0))),"")</f>
        <v/>
      </c>
      <c r="E4399" s="59" t="str">
        <f>IFERROR(IF(F4399&lt;&gt;"pending","",IF(OR($B4399="",$B4399="(blank)"),"",VLOOKUP($B4399,'Email Marketing Raw Data'!$C:$O,11,0))),"")</f>
        <v/>
      </c>
      <c r="F4399" s="54" t="str">
        <f>IFERROR(IF(OR($B4399="",$B4399="(blank)"),"",VLOOKUP($B4399,'Email Marketing Raw Data'!$C:$O,13,0)),"")</f>
        <v/>
      </c>
      <c r="G4399" s="55" t="str">
        <f>IFERROR(IF(OR($B4399="",$B4399="(blank)"),"",VLOOKUP($B4399,'Email Marketing Raw Data'!$C:$O,4,0)),"")</f>
        <v/>
      </c>
      <c r="H4399" s="55" t="str">
        <f>IFERROR(IF(OR($B4399="",$B4399="(blank)"),"",VLOOKUP($B4399,'Email Marketing Raw Data'!$C:$O,5,0)),"")</f>
        <v/>
      </c>
      <c r="I4399" s="55" t="str">
        <f>IFERROR(IF($G4399="","",VLOOKUP('Dashboard And Emails Automate'!$G4399,Database!$H:$N,3,0)),"")</f>
        <v/>
      </c>
      <c r="J4399" s="55" t="str">
        <f>IFERROR(IF($G4399="","",VLOOKUP('Dashboard And Emails Automate'!$G4399,Database!$H:$N,4,0)),"")</f>
        <v/>
      </c>
      <c r="K4399" s="55" t="str">
        <f>IFERROR(IF($G4399="","",VLOOKUP('Dashboard And Emails Automate'!$G4399,Database!$H:$N,5,0)),"")</f>
        <v/>
      </c>
      <c r="L4399" s="55" t="str">
        <f>IFERROR(IF($G4399="","",VLOOKUP('Dashboard And Emails Automate'!$G4399,Database!$H:$N,6,0)),"")</f>
        <v/>
      </c>
      <c r="M4399" s="55" t="str">
        <f>IFERROR(IF($G4399="","",VLOOKUP('Dashboard And Emails Automate'!$G4399,Database!$H:$N,7,0)),"")</f>
        <v/>
      </c>
      <c r="N4399" s="55" t="str">
        <f>IFERROR(IF(OR($B4399="",$B4399="(blank)"),"",VLOOKUP($B4399,'Email Marketing Raw Data'!$C:$O,6,0)),"")</f>
        <v/>
      </c>
      <c r="O4399" s="55" t="str">
        <f>IFERROR(IF(OR($B4399="",$B4399="(blank)"),"",VLOOKUP($B4399,'Email Marketing Raw Data'!$C:$O,7,0)),"")</f>
        <v/>
      </c>
      <c r="P4399" s="55" t="str">
        <f>IFERROR(IF(OR($B4399="",$B4399="(blank)"),"",VLOOKUP($B4399,'Email Marketing Raw Data'!$C:$O,8,0)),"")</f>
        <v/>
      </c>
      <c r="Q4399" s="62" t="str">
        <f>IFERROR(IF(OR($B4399="",$B4399="(blank)"),"",VLOOKUP($B4399,'Email Marketing Raw Data'!$C:$O,9,0)),"")</f>
        <v/>
      </c>
    </row>
    <row r="4400" spans="4:17" ht="12.75" customHeight="1" x14ac:dyDescent="0.2">
      <c r="D4400" s="58" t="str">
        <f>IFERROR(IF(F4400&lt;&gt;"pending","",IF(OR($B4400="",$B4400="(blank)"),"",VLOOKUP($B4400,'Email Marketing Raw Data'!$C:$O,10,0))),"")</f>
        <v/>
      </c>
      <c r="E4400" s="59" t="str">
        <f>IFERROR(IF(F4400&lt;&gt;"pending","",IF(OR($B4400="",$B4400="(blank)"),"",VLOOKUP($B4400,'Email Marketing Raw Data'!$C:$O,11,0))),"")</f>
        <v/>
      </c>
      <c r="F4400" s="54" t="str">
        <f>IFERROR(IF(OR($B4400="",$B4400="(blank)"),"",VLOOKUP($B4400,'Email Marketing Raw Data'!$C:$O,13,0)),"")</f>
        <v/>
      </c>
      <c r="G4400" s="55" t="str">
        <f>IFERROR(IF(OR($B4400="",$B4400="(blank)"),"",VLOOKUP($B4400,'Email Marketing Raw Data'!$C:$O,4,0)),"")</f>
        <v/>
      </c>
      <c r="H4400" s="55" t="str">
        <f>IFERROR(IF(OR($B4400="",$B4400="(blank)"),"",VLOOKUP($B4400,'Email Marketing Raw Data'!$C:$O,5,0)),"")</f>
        <v/>
      </c>
      <c r="I4400" s="55" t="str">
        <f>IFERROR(IF($G4400="","",VLOOKUP('Dashboard And Emails Automate'!$G4400,Database!$H:$N,3,0)),"")</f>
        <v/>
      </c>
      <c r="J4400" s="55" t="str">
        <f>IFERROR(IF($G4400="","",VLOOKUP('Dashboard And Emails Automate'!$G4400,Database!$H:$N,4,0)),"")</f>
        <v/>
      </c>
      <c r="K4400" s="55" t="str">
        <f>IFERROR(IF($G4400="","",VLOOKUP('Dashboard And Emails Automate'!$G4400,Database!$H:$N,5,0)),"")</f>
        <v/>
      </c>
      <c r="L4400" s="55" t="str">
        <f>IFERROR(IF($G4400="","",VLOOKUP('Dashboard And Emails Automate'!$G4400,Database!$H:$N,6,0)),"")</f>
        <v/>
      </c>
      <c r="M4400" s="55" t="str">
        <f>IFERROR(IF($G4400="","",VLOOKUP('Dashboard And Emails Automate'!$G4400,Database!$H:$N,7,0)),"")</f>
        <v/>
      </c>
      <c r="N4400" s="55" t="str">
        <f>IFERROR(IF(OR($B4400="",$B4400="(blank)"),"",VLOOKUP($B4400,'Email Marketing Raw Data'!$C:$O,6,0)),"")</f>
        <v/>
      </c>
      <c r="O4400" s="55" t="str">
        <f>IFERROR(IF(OR($B4400="",$B4400="(blank)"),"",VLOOKUP($B4400,'Email Marketing Raw Data'!$C:$O,7,0)),"")</f>
        <v/>
      </c>
      <c r="P4400" s="55" t="str">
        <f>IFERROR(IF(OR($B4400="",$B4400="(blank)"),"",VLOOKUP($B4400,'Email Marketing Raw Data'!$C:$O,8,0)),"")</f>
        <v/>
      </c>
      <c r="Q4400" s="62" t="str">
        <f>IFERROR(IF(OR($B4400="",$B4400="(blank)"),"",VLOOKUP($B4400,'Email Marketing Raw Data'!$C:$O,9,0)),"")</f>
        <v/>
      </c>
    </row>
    <row r="4401" spans="4:17" ht="12.75" customHeight="1" x14ac:dyDescent="0.2">
      <c r="D4401" s="58" t="str">
        <f>IFERROR(IF(F4401&lt;&gt;"pending","",IF(OR($B4401="",$B4401="(blank)"),"",VLOOKUP($B4401,'Email Marketing Raw Data'!$C:$O,10,0))),"")</f>
        <v/>
      </c>
      <c r="E4401" s="59" t="str">
        <f>IFERROR(IF(F4401&lt;&gt;"pending","",IF(OR($B4401="",$B4401="(blank)"),"",VLOOKUP($B4401,'Email Marketing Raw Data'!$C:$O,11,0))),"")</f>
        <v/>
      </c>
      <c r="F4401" s="54" t="str">
        <f>IFERROR(IF(OR($B4401="",$B4401="(blank)"),"",VLOOKUP($B4401,'Email Marketing Raw Data'!$C:$O,13,0)),"")</f>
        <v/>
      </c>
      <c r="G4401" s="55" t="str">
        <f>IFERROR(IF(OR($B4401="",$B4401="(blank)"),"",VLOOKUP($B4401,'Email Marketing Raw Data'!$C:$O,4,0)),"")</f>
        <v/>
      </c>
      <c r="H4401" s="55" t="str">
        <f>IFERROR(IF(OR($B4401="",$B4401="(blank)"),"",VLOOKUP($B4401,'Email Marketing Raw Data'!$C:$O,5,0)),"")</f>
        <v/>
      </c>
      <c r="I4401" s="55" t="str">
        <f>IFERROR(IF($G4401="","",VLOOKUP('Dashboard And Emails Automate'!$G4401,Database!$H:$N,3,0)),"")</f>
        <v/>
      </c>
      <c r="J4401" s="55" t="str">
        <f>IFERROR(IF($G4401="","",VLOOKUP('Dashboard And Emails Automate'!$G4401,Database!$H:$N,4,0)),"")</f>
        <v/>
      </c>
      <c r="K4401" s="55" t="str">
        <f>IFERROR(IF($G4401="","",VLOOKUP('Dashboard And Emails Automate'!$G4401,Database!$H:$N,5,0)),"")</f>
        <v/>
      </c>
      <c r="L4401" s="55" t="str">
        <f>IFERROR(IF($G4401="","",VLOOKUP('Dashboard And Emails Automate'!$G4401,Database!$H:$N,6,0)),"")</f>
        <v/>
      </c>
      <c r="M4401" s="55" t="str">
        <f>IFERROR(IF($G4401="","",VLOOKUP('Dashboard And Emails Automate'!$G4401,Database!$H:$N,7,0)),"")</f>
        <v/>
      </c>
      <c r="N4401" s="55" t="str">
        <f>IFERROR(IF(OR($B4401="",$B4401="(blank)"),"",VLOOKUP($B4401,'Email Marketing Raw Data'!$C:$O,6,0)),"")</f>
        <v/>
      </c>
      <c r="O4401" s="55" t="str">
        <f>IFERROR(IF(OR($B4401="",$B4401="(blank)"),"",VLOOKUP($B4401,'Email Marketing Raw Data'!$C:$O,7,0)),"")</f>
        <v/>
      </c>
      <c r="P4401" s="55" t="str">
        <f>IFERROR(IF(OR($B4401="",$B4401="(blank)"),"",VLOOKUP($B4401,'Email Marketing Raw Data'!$C:$O,8,0)),"")</f>
        <v/>
      </c>
      <c r="Q4401" s="62" t="str">
        <f>IFERROR(IF(OR($B4401="",$B4401="(blank)"),"",VLOOKUP($B4401,'Email Marketing Raw Data'!$C:$O,9,0)),"")</f>
        <v/>
      </c>
    </row>
    <row r="4402" spans="4:17" ht="12.75" customHeight="1" x14ac:dyDescent="0.2">
      <c r="D4402" s="58" t="str">
        <f>IFERROR(IF(F4402&lt;&gt;"pending","",IF(OR($B4402="",$B4402="(blank)"),"",VLOOKUP($B4402,'Email Marketing Raw Data'!$C:$O,10,0))),"")</f>
        <v/>
      </c>
      <c r="E4402" s="59" t="str">
        <f>IFERROR(IF(F4402&lt;&gt;"pending","",IF(OR($B4402="",$B4402="(blank)"),"",VLOOKUP($B4402,'Email Marketing Raw Data'!$C:$O,11,0))),"")</f>
        <v/>
      </c>
      <c r="F4402" s="54" t="str">
        <f>IFERROR(IF(OR($B4402="",$B4402="(blank)"),"",VLOOKUP($B4402,'Email Marketing Raw Data'!$C:$O,13,0)),"")</f>
        <v/>
      </c>
      <c r="G4402" s="55" t="str">
        <f>IFERROR(IF(OR($B4402="",$B4402="(blank)"),"",VLOOKUP($B4402,'Email Marketing Raw Data'!$C:$O,4,0)),"")</f>
        <v/>
      </c>
      <c r="H4402" s="55" t="str">
        <f>IFERROR(IF(OR($B4402="",$B4402="(blank)"),"",VLOOKUP($B4402,'Email Marketing Raw Data'!$C:$O,5,0)),"")</f>
        <v/>
      </c>
      <c r="I4402" s="55" t="str">
        <f>IFERROR(IF($G4402="","",VLOOKUP('Dashboard And Emails Automate'!$G4402,Database!$H:$N,3,0)),"")</f>
        <v/>
      </c>
      <c r="J4402" s="55" t="str">
        <f>IFERROR(IF($G4402="","",VLOOKUP('Dashboard And Emails Automate'!$G4402,Database!$H:$N,4,0)),"")</f>
        <v/>
      </c>
      <c r="K4402" s="55" t="str">
        <f>IFERROR(IF($G4402="","",VLOOKUP('Dashboard And Emails Automate'!$G4402,Database!$H:$N,5,0)),"")</f>
        <v/>
      </c>
      <c r="L4402" s="55" t="str">
        <f>IFERROR(IF($G4402="","",VLOOKUP('Dashboard And Emails Automate'!$G4402,Database!$H:$N,6,0)),"")</f>
        <v/>
      </c>
      <c r="M4402" s="55" t="str">
        <f>IFERROR(IF($G4402="","",VLOOKUP('Dashboard And Emails Automate'!$G4402,Database!$H:$N,7,0)),"")</f>
        <v/>
      </c>
      <c r="N4402" s="55" t="str">
        <f>IFERROR(IF(OR($B4402="",$B4402="(blank)"),"",VLOOKUP($B4402,'Email Marketing Raw Data'!$C:$O,6,0)),"")</f>
        <v/>
      </c>
      <c r="O4402" s="55" t="str">
        <f>IFERROR(IF(OR($B4402="",$B4402="(blank)"),"",VLOOKUP($B4402,'Email Marketing Raw Data'!$C:$O,7,0)),"")</f>
        <v/>
      </c>
      <c r="P4402" s="55" t="str">
        <f>IFERROR(IF(OR($B4402="",$B4402="(blank)"),"",VLOOKUP($B4402,'Email Marketing Raw Data'!$C:$O,8,0)),"")</f>
        <v/>
      </c>
      <c r="Q4402" s="62" t="str">
        <f>IFERROR(IF(OR($B4402="",$B4402="(blank)"),"",VLOOKUP($B4402,'Email Marketing Raw Data'!$C:$O,9,0)),"")</f>
        <v/>
      </c>
    </row>
    <row r="4403" spans="4:17" ht="12.75" customHeight="1" x14ac:dyDescent="0.2">
      <c r="D4403" s="58" t="str">
        <f>IFERROR(IF(F4403&lt;&gt;"pending","",IF(OR($B4403="",$B4403="(blank)"),"",VLOOKUP($B4403,'Email Marketing Raw Data'!$C:$O,10,0))),"")</f>
        <v/>
      </c>
      <c r="E4403" s="59" t="str">
        <f>IFERROR(IF(F4403&lt;&gt;"pending","",IF(OR($B4403="",$B4403="(blank)"),"",VLOOKUP($B4403,'Email Marketing Raw Data'!$C:$O,11,0))),"")</f>
        <v/>
      </c>
      <c r="F4403" s="54" t="str">
        <f>IFERROR(IF(OR($B4403="",$B4403="(blank)"),"",VLOOKUP($B4403,'Email Marketing Raw Data'!$C:$O,13,0)),"")</f>
        <v/>
      </c>
      <c r="G4403" s="55" t="str">
        <f>IFERROR(IF(OR($B4403="",$B4403="(blank)"),"",VLOOKUP($B4403,'Email Marketing Raw Data'!$C:$O,4,0)),"")</f>
        <v/>
      </c>
      <c r="H4403" s="55" t="str">
        <f>IFERROR(IF(OR($B4403="",$B4403="(blank)"),"",VLOOKUP($B4403,'Email Marketing Raw Data'!$C:$O,5,0)),"")</f>
        <v/>
      </c>
      <c r="I4403" s="55" t="str">
        <f>IFERROR(IF($G4403="","",VLOOKUP('Dashboard And Emails Automate'!$G4403,Database!$H:$N,3,0)),"")</f>
        <v/>
      </c>
      <c r="J4403" s="55" t="str">
        <f>IFERROR(IF($G4403="","",VLOOKUP('Dashboard And Emails Automate'!$G4403,Database!$H:$N,4,0)),"")</f>
        <v/>
      </c>
      <c r="K4403" s="55" t="str">
        <f>IFERROR(IF($G4403="","",VLOOKUP('Dashboard And Emails Automate'!$G4403,Database!$H:$N,5,0)),"")</f>
        <v/>
      </c>
      <c r="L4403" s="55" t="str">
        <f>IFERROR(IF($G4403="","",VLOOKUP('Dashboard And Emails Automate'!$G4403,Database!$H:$N,6,0)),"")</f>
        <v/>
      </c>
      <c r="M4403" s="55" t="str">
        <f>IFERROR(IF($G4403="","",VLOOKUP('Dashboard And Emails Automate'!$G4403,Database!$H:$N,7,0)),"")</f>
        <v/>
      </c>
      <c r="N4403" s="55" t="str">
        <f>IFERROR(IF(OR($B4403="",$B4403="(blank)"),"",VLOOKUP($B4403,'Email Marketing Raw Data'!$C:$O,6,0)),"")</f>
        <v/>
      </c>
      <c r="O4403" s="55" t="str">
        <f>IFERROR(IF(OR($B4403="",$B4403="(blank)"),"",VLOOKUP($B4403,'Email Marketing Raw Data'!$C:$O,7,0)),"")</f>
        <v/>
      </c>
      <c r="P4403" s="55" t="str">
        <f>IFERROR(IF(OR($B4403="",$B4403="(blank)"),"",VLOOKUP($B4403,'Email Marketing Raw Data'!$C:$O,8,0)),"")</f>
        <v/>
      </c>
      <c r="Q4403" s="62" t="str">
        <f>IFERROR(IF(OR($B4403="",$B4403="(blank)"),"",VLOOKUP($B4403,'Email Marketing Raw Data'!$C:$O,9,0)),"")</f>
        <v/>
      </c>
    </row>
    <row r="4404" spans="4:17" ht="12.75" customHeight="1" x14ac:dyDescent="0.2">
      <c r="D4404" s="58" t="str">
        <f>IFERROR(IF(F4404&lt;&gt;"pending","",IF(OR($B4404="",$B4404="(blank)"),"",VLOOKUP($B4404,'Email Marketing Raw Data'!$C:$O,10,0))),"")</f>
        <v/>
      </c>
      <c r="E4404" s="59" t="str">
        <f>IFERROR(IF(F4404&lt;&gt;"pending","",IF(OR($B4404="",$B4404="(blank)"),"",VLOOKUP($B4404,'Email Marketing Raw Data'!$C:$O,11,0))),"")</f>
        <v/>
      </c>
      <c r="F4404" s="54" t="str">
        <f>IFERROR(IF(OR($B4404="",$B4404="(blank)"),"",VLOOKUP($B4404,'Email Marketing Raw Data'!$C:$O,13,0)),"")</f>
        <v/>
      </c>
      <c r="G4404" s="55" t="str">
        <f>IFERROR(IF(OR($B4404="",$B4404="(blank)"),"",VLOOKUP($B4404,'Email Marketing Raw Data'!$C:$O,4,0)),"")</f>
        <v/>
      </c>
      <c r="H4404" s="55" t="str">
        <f>IFERROR(IF(OR($B4404="",$B4404="(blank)"),"",VLOOKUP($B4404,'Email Marketing Raw Data'!$C:$O,5,0)),"")</f>
        <v/>
      </c>
      <c r="I4404" s="55" t="str">
        <f>IFERROR(IF($G4404="","",VLOOKUP('Dashboard And Emails Automate'!$G4404,Database!$H:$N,3,0)),"")</f>
        <v/>
      </c>
      <c r="J4404" s="55" t="str">
        <f>IFERROR(IF($G4404="","",VLOOKUP('Dashboard And Emails Automate'!$G4404,Database!$H:$N,4,0)),"")</f>
        <v/>
      </c>
      <c r="K4404" s="55" t="str">
        <f>IFERROR(IF($G4404="","",VLOOKUP('Dashboard And Emails Automate'!$G4404,Database!$H:$N,5,0)),"")</f>
        <v/>
      </c>
      <c r="L4404" s="55" t="str">
        <f>IFERROR(IF($G4404="","",VLOOKUP('Dashboard And Emails Automate'!$G4404,Database!$H:$N,6,0)),"")</f>
        <v/>
      </c>
      <c r="M4404" s="55" t="str">
        <f>IFERROR(IF($G4404="","",VLOOKUP('Dashboard And Emails Automate'!$G4404,Database!$H:$N,7,0)),"")</f>
        <v/>
      </c>
      <c r="N4404" s="55" t="str">
        <f>IFERROR(IF(OR($B4404="",$B4404="(blank)"),"",VLOOKUP($B4404,'Email Marketing Raw Data'!$C:$O,6,0)),"")</f>
        <v/>
      </c>
      <c r="O4404" s="55" t="str">
        <f>IFERROR(IF(OR($B4404="",$B4404="(blank)"),"",VLOOKUP($B4404,'Email Marketing Raw Data'!$C:$O,7,0)),"")</f>
        <v/>
      </c>
      <c r="P4404" s="55" t="str">
        <f>IFERROR(IF(OR($B4404="",$B4404="(blank)"),"",VLOOKUP($B4404,'Email Marketing Raw Data'!$C:$O,8,0)),"")</f>
        <v/>
      </c>
      <c r="Q4404" s="62" t="str">
        <f>IFERROR(IF(OR($B4404="",$B4404="(blank)"),"",VLOOKUP($B4404,'Email Marketing Raw Data'!$C:$O,9,0)),"")</f>
        <v/>
      </c>
    </row>
    <row r="4405" spans="4:17" ht="12.75" customHeight="1" x14ac:dyDescent="0.2">
      <c r="D4405" s="58" t="str">
        <f>IFERROR(IF(F4405&lt;&gt;"pending","",IF(OR($B4405="",$B4405="(blank)"),"",VLOOKUP($B4405,'Email Marketing Raw Data'!$C:$O,10,0))),"")</f>
        <v/>
      </c>
      <c r="E4405" s="59" t="str">
        <f>IFERROR(IF(F4405&lt;&gt;"pending","",IF(OR($B4405="",$B4405="(blank)"),"",VLOOKUP($B4405,'Email Marketing Raw Data'!$C:$O,11,0))),"")</f>
        <v/>
      </c>
      <c r="F4405" s="54" t="str">
        <f>IFERROR(IF(OR($B4405="",$B4405="(blank)"),"",VLOOKUP($B4405,'Email Marketing Raw Data'!$C:$O,13,0)),"")</f>
        <v/>
      </c>
      <c r="G4405" s="55" t="str">
        <f>IFERROR(IF(OR($B4405="",$B4405="(blank)"),"",VLOOKUP($B4405,'Email Marketing Raw Data'!$C:$O,4,0)),"")</f>
        <v/>
      </c>
      <c r="H4405" s="55" t="str">
        <f>IFERROR(IF(OR($B4405="",$B4405="(blank)"),"",VLOOKUP($B4405,'Email Marketing Raw Data'!$C:$O,5,0)),"")</f>
        <v/>
      </c>
      <c r="I4405" s="55" t="str">
        <f>IFERROR(IF($G4405="","",VLOOKUP('Dashboard And Emails Automate'!$G4405,Database!$H:$N,3,0)),"")</f>
        <v/>
      </c>
      <c r="J4405" s="55" t="str">
        <f>IFERROR(IF($G4405="","",VLOOKUP('Dashboard And Emails Automate'!$G4405,Database!$H:$N,4,0)),"")</f>
        <v/>
      </c>
      <c r="K4405" s="55" t="str">
        <f>IFERROR(IF($G4405="","",VLOOKUP('Dashboard And Emails Automate'!$G4405,Database!$H:$N,5,0)),"")</f>
        <v/>
      </c>
      <c r="L4405" s="55" t="str">
        <f>IFERROR(IF($G4405="","",VLOOKUP('Dashboard And Emails Automate'!$G4405,Database!$H:$N,6,0)),"")</f>
        <v/>
      </c>
      <c r="M4405" s="55" t="str">
        <f>IFERROR(IF($G4405="","",VLOOKUP('Dashboard And Emails Automate'!$G4405,Database!$H:$N,7,0)),"")</f>
        <v/>
      </c>
      <c r="N4405" s="55" t="str">
        <f>IFERROR(IF(OR($B4405="",$B4405="(blank)"),"",VLOOKUP($B4405,'Email Marketing Raw Data'!$C:$O,6,0)),"")</f>
        <v/>
      </c>
      <c r="O4405" s="55" t="str">
        <f>IFERROR(IF(OR($B4405="",$B4405="(blank)"),"",VLOOKUP($B4405,'Email Marketing Raw Data'!$C:$O,7,0)),"")</f>
        <v/>
      </c>
      <c r="P4405" s="55" t="str">
        <f>IFERROR(IF(OR($B4405="",$B4405="(blank)"),"",VLOOKUP($B4405,'Email Marketing Raw Data'!$C:$O,8,0)),"")</f>
        <v/>
      </c>
      <c r="Q4405" s="62" t="str">
        <f>IFERROR(IF(OR($B4405="",$B4405="(blank)"),"",VLOOKUP($B4405,'Email Marketing Raw Data'!$C:$O,9,0)),"")</f>
        <v/>
      </c>
    </row>
    <row r="4406" spans="4:17" ht="12.75" customHeight="1" x14ac:dyDescent="0.2">
      <c r="D4406" s="58" t="str">
        <f>IFERROR(IF(F4406&lt;&gt;"pending","",IF(OR($B4406="",$B4406="(blank)"),"",VLOOKUP($B4406,'Email Marketing Raw Data'!$C:$O,10,0))),"")</f>
        <v/>
      </c>
      <c r="E4406" s="59" t="str">
        <f>IFERROR(IF(F4406&lt;&gt;"pending","",IF(OR($B4406="",$B4406="(blank)"),"",VLOOKUP($B4406,'Email Marketing Raw Data'!$C:$O,11,0))),"")</f>
        <v/>
      </c>
      <c r="F4406" s="54" t="str">
        <f>IFERROR(IF(OR($B4406="",$B4406="(blank)"),"",VLOOKUP($B4406,'Email Marketing Raw Data'!$C:$O,13,0)),"")</f>
        <v/>
      </c>
      <c r="G4406" s="55" t="str">
        <f>IFERROR(IF(OR($B4406="",$B4406="(blank)"),"",VLOOKUP($B4406,'Email Marketing Raw Data'!$C:$O,4,0)),"")</f>
        <v/>
      </c>
      <c r="H4406" s="55" t="str">
        <f>IFERROR(IF(OR($B4406="",$B4406="(blank)"),"",VLOOKUP($B4406,'Email Marketing Raw Data'!$C:$O,5,0)),"")</f>
        <v/>
      </c>
      <c r="I4406" s="55" t="str">
        <f>IFERROR(IF($G4406="","",VLOOKUP('Dashboard And Emails Automate'!$G4406,Database!$H:$N,3,0)),"")</f>
        <v/>
      </c>
      <c r="J4406" s="55" t="str">
        <f>IFERROR(IF($G4406="","",VLOOKUP('Dashboard And Emails Automate'!$G4406,Database!$H:$N,4,0)),"")</f>
        <v/>
      </c>
      <c r="K4406" s="55" t="str">
        <f>IFERROR(IF($G4406="","",VLOOKUP('Dashboard And Emails Automate'!$G4406,Database!$H:$N,5,0)),"")</f>
        <v/>
      </c>
      <c r="L4406" s="55" t="str">
        <f>IFERROR(IF($G4406="","",VLOOKUP('Dashboard And Emails Automate'!$G4406,Database!$H:$N,6,0)),"")</f>
        <v/>
      </c>
      <c r="M4406" s="55" t="str">
        <f>IFERROR(IF($G4406="","",VLOOKUP('Dashboard And Emails Automate'!$G4406,Database!$H:$N,7,0)),"")</f>
        <v/>
      </c>
      <c r="N4406" s="55" t="str">
        <f>IFERROR(IF(OR($B4406="",$B4406="(blank)"),"",VLOOKUP($B4406,'Email Marketing Raw Data'!$C:$O,6,0)),"")</f>
        <v/>
      </c>
      <c r="O4406" s="55" t="str">
        <f>IFERROR(IF(OR($B4406="",$B4406="(blank)"),"",VLOOKUP($B4406,'Email Marketing Raw Data'!$C:$O,7,0)),"")</f>
        <v/>
      </c>
      <c r="P4406" s="55" t="str">
        <f>IFERROR(IF(OR($B4406="",$B4406="(blank)"),"",VLOOKUP($B4406,'Email Marketing Raw Data'!$C:$O,8,0)),"")</f>
        <v/>
      </c>
      <c r="Q4406" s="62" t="str">
        <f>IFERROR(IF(OR($B4406="",$B4406="(blank)"),"",VLOOKUP($B4406,'Email Marketing Raw Data'!$C:$O,9,0)),"")</f>
        <v/>
      </c>
    </row>
    <row r="4407" spans="4:17" ht="12.75" customHeight="1" x14ac:dyDescent="0.2">
      <c r="D4407" s="58" t="str">
        <f>IFERROR(IF(F4407&lt;&gt;"pending","",IF(OR($B4407="",$B4407="(blank)"),"",VLOOKUP($B4407,'Email Marketing Raw Data'!$C:$O,10,0))),"")</f>
        <v/>
      </c>
      <c r="E4407" s="59" t="str">
        <f>IFERROR(IF(F4407&lt;&gt;"pending","",IF(OR($B4407="",$B4407="(blank)"),"",VLOOKUP($B4407,'Email Marketing Raw Data'!$C:$O,11,0))),"")</f>
        <v/>
      </c>
      <c r="F4407" s="54" t="str">
        <f>IFERROR(IF(OR($B4407="",$B4407="(blank)"),"",VLOOKUP($B4407,'Email Marketing Raw Data'!$C:$O,13,0)),"")</f>
        <v/>
      </c>
      <c r="G4407" s="55" t="str">
        <f>IFERROR(IF(OR($B4407="",$B4407="(blank)"),"",VLOOKUP($B4407,'Email Marketing Raw Data'!$C:$O,4,0)),"")</f>
        <v/>
      </c>
      <c r="H4407" s="55" t="str">
        <f>IFERROR(IF(OR($B4407="",$B4407="(blank)"),"",VLOOKUP($B4407,'Email Marketing Raw Data'!$C:$O,5,0)),"")</f>
        <v/>
      </c>
      <c r="I4407" s="55" t="str">
        <f>IFERROR(IF($G4407="","",VLOOKUP('Dashboard And Emails Automate'!$G4407,Database!$H:$N,3,0)),"")</f>
        <v/>
      </c>
      <c r="J4407" s="55" t="str">
        <f>IFERROR(IF($G4407="","",VLOOKUP('Dashboard And Emails Automate'!$G4407,Database!$H:$N,4,0)),"")</f>
        <v/>
      </c>
      <c r="K4407" s="55" t="str">
        <f>IFERROR(IF($G4407="","",VLOOKUP('Dashboard And Emails Automate'!$G4407,Database!$H:$N,5,0)),"")</f>
        <v/>
      </c>
      <c r="L4407" s="55" t="str">
        <f>IFERROR(IF($G4407="","",VLOOKUP('Dashboard And Emails Automate'!$G4407,Database!$H:$N,6,0)),"")</f>
        <v/>
      </c>
      <c r="M4407" s="55" t="str">
        <f>IFERROR(IF($G4407="","",VLOOKUP('Dashboard And Emails Automate'!$G4407,Database!$H:$N,7,0)),"")</f>
        <v/>
      </c>
      <c r="N4407" s="55" t="str">
        <f>IFERROR(IF(OR($B4407="",$B4407="(blank)"),"",VLOOKUP($B4407,'Email Marketing Raw Data'!$C:$O,6,0)),"")</f>
        <v/>
      </c>
      <c r="O4407" s="55" t="str">
        <f>IFERROR(IF(OR($B4407="",$B4407="(blank)"),"",VLOOKUP($B4407,'Email Marketing Raw Data'!$C:$O,7,0)),"")</f>
        <v/>
      </c>
      <c r="P4407" s="55" t="str">
        <f>IFERROR(IF(OR($B4407="",$B4407="(blank)"),"",VLOOKUP($B4407,'Email Marketing Raw Data'!$C:$O,8,0)),"")</f>
        <v/>
      </c>
      <c r="Q4407" s="62" t="str">
        <f>IFERROR(IF(OR($B4407="",$B4407="(blank)"),"",VLOOKUP($B4407,'Email Marketing Raw Data'!$C:$O,9,0)),"")</f>
        <v/>
      </c>
    </row>
    <row r="4408" spans="4:17" ht="12.75" customHeight="1" x14ac:dyDescent="0.2">
      <c r="D4408" s="58" t="str">
        <f>IFERROR(IF(F4408&lt;&gt;"pending","",IF(OR($B4408="",$B4408="(blank)"),"",VLOOKUP($B4408,'Email Marketing Raw Data'!$C:$O,10,0))),"")</f>
        <v/>
      </c>
      <c r="E4408" s="59" t="str">
        <f>IFERROR(IF(F4408&lt;&gt;"pending","",IF(OR($B4408="",$B4408="(blank)"),"",VLOOKUP($B4408,'Email Marketing Raw Data'!$C:$O,11,0))),"")</f>
        <v/>
      </c>
      <c r="F4408" s="54" t="str">
        <f>IFERROR(IF(OR($B4408="",$B4408="(blank)"),"",VLOOKUP($B4408,'Email Marketing Raw Data'!$C:$O,13,0)),"")</f>
        <v/>
      </c>
      <c r="G4408" s="55" t="str">
        <f>IFERROR(IF(OR($B4408="",$B4408="(blank)"),"",VLOOKUP($B4408,'Email Marketing Raw Data'!$C:$O,4,0)),"")</f>
        <v/>
      </c>
      <c r="H4408" s="55" t="str">
        <f>IFERROR(IF(OR($B4408="",$B4408="(blank)"),"",VLOOKUP($B4408,'Email Marketing Raw Data'!$C:$O,5,0)),"")</f>
        <v/>
      </c>
      <c r="I4408" s="55" t="str">
        <f>IFERROR(IF($G4408="","",VLOOKUP('Dashboard And Emails Automate'!$G4408,Database!$H:$N,3,0)),"")</f>
        <v/>
      </c>
      <c r="J4408" s="55" t="str">
        <f>IFERROR(IF($G4408="","",VLOOKUP('Dashboard And Emails Automate'!$G4408,Database!$H:$N,4,0)),"")</f>
        <v/>
      </c>
      <c r="K4408" s="55" t="str">
        <f>IFERROR(IF($G4408="","",VLOOKUP('Dashboard And Emails Automate'!$G4408,Database!$H:$N,5,0)),"")</f>
        <v/>
      </c>
      <c r="L4408" s="55" t="str">
        <f>IFERROR(IF($G4408="","",VLOOKUP('Dashboard And Emails Automate'!$G4408,Database!$H:$N,6,0)),"")</f>
        <v/>
      </c>
      <c r="M4408" s="55" t="str">
        <f>IFERROR(IF($G4408="","",VLOOKUP('Dashboard And Emails Automate'!$G4408,Database!$H:$N,7,0)),"")</f>
        <v/>
      </c>
      <c r="N4408" s="55" t="str">
        <f>IFERROR(IF(OR($B4408="",$B4408="(blank)"),"",VLOOKUP($B4408,'Email Marketing Raw Data'!$C:$O,6,0)),"")</f>
        <v/>
      </c>
      <c r="O4408" s="55" t="str">
        <f>IFERROR(IF(OR($B4408="",$B4408="(blank)"),"",VLOOKUP($B4408,'Email Marketing Raw Data'!$C:$O,7,0)),"")</f>
        <v/>
      </c>
      <c r="P4408" s="55" t="str">
        <f>IFERROR(IF(OR($B4408="",$B4408="(blank)"),"",VLOOKUP($B4408,'Email Marketing Raw Data'!$C:$O,8,0)),"")</f>
        <v/>
      </c>
      <c r="Q4408" s="62" t="str">
        <f>IFERROR(IF(OR($B4408="",$B4408="(blank)"),"",VLOOKUP($B4408,'Email Marketing Raw Data'!$C:$O,9,0)),"")</f>
        <v/>
      </c>
    </row>
    <row r="4409" spans="4:17" ht="12.75" customHeight="1" x14ac:dyDescent="0.2">
      <c r="D4409" s="58" t="str">
        <f>IFERROR(IF(F4409&lt;&gt;"pending","",IF(OR($B4409="",$B4409="(blank)"),"",VLOOKUP($B4409,'Email Marketing Raw Data'!$C:$O,10,0))),"")</f>
        <v/>
      </c>
      <c r="E4409" s="59" t="str">
        <f>IFERROR(IF(F4409&lt;&gt;"pending","",IF(OR($B4409="",$B4409="(blank)"),"",VLOOKUP($B4409,'Email Marketing Raw Data'!$C:$O,11,0))),"")</f>
        <v/>
      </c>
      <c r="F4409" s="54" t="str">
        <f>IFERROR(IF(OR($B4409="",$B4409="(blank)"),"",VLOOKUP($B4409,'Email Marketing Raw Data'!$C:$O,13,0)),"")</f>
        <v/>
      </c>
      <c r="G4409" s="55" t="str">
        <f>IFERROR(IF(OR($B4409="",$B4409="(blank)"),"",VLOOKUP($B4409,'Email Marketing Raw Data'!$C:$O,4,0)),"")</f>
        <v/>
      </c>
      <c r="H4409" s="55" t="str">
        <f>IFERROR(IF(OR($B4409="",$B4409="(blank)"),"",VLOOKUP($B4409,'Email Marketing Raw Data'!$C:$O,5,0)),"")</f>
        <v/>
      </c>
      <c r="I4409" s="55" t="str">
        <f>IFERROR(IF($G4409="","",VLOOKUP('Dashboard And Emails Automate'!$G4409,Database!$H:$N,3,0)),"")</f>
        <v/>
      </c>
      <c r="J4409" s="55" t="str">
        <f>IFERROR(IF($G4409="","",VLOOKUP('Dashboard And Emails Automate'!$G4409,Database!$H:$N,4,0)),"")</f>
        <v/>
      </c>
      <c r="K4409" s="55" t="str">
        <f>IFERROR(IF($G4409="","",VLOOKUP('Dashboard And Emails Automate'!$G4409,Database!$H:$N,5,0)),"")</f>
        <v/>
      </c>
      <c r="L4409" s="55" t="str">
        <f>IFERROR(IF($G4409="","",VLOOKUP('Dashboard And Emails Automate'!$G4409,Database!$H:$N,6,0)),"")</f>
        <v/>
      </c>
      <c r="M4409" s="55" t="str">
        <f>IFERROR(IF($G4409="","",VLOOKUP('Dashboard And Emails Automate'!$G4409,Database!$H:$N,7,0)),"")</f>
        <v/>
      </c>
      <c r="N4409" s="55" t="str">
        <f>IFERROR(IF(OR($B4409="",$B4409="(blank)"),"",VLOOKUP($B4409,'Email Marketing Raw Data'!$C:$O,6,0)),"")</f>
        <v/>
      </c>
      <c r="O4409" s="55" t="str">
        <f>IFERROR(IF(OR($B4409="",$B4409="(blank)"),"",VLOOKUP($B4409,'Email Marketing Raw Data'!$C:$O,7,0)),"")</f>
        <v/>
      </c>
      <c r="P4409" s="55" t="str">
        <f>IFERROR(IF(OR($B4409="",$B4409="(blank)"),"",VLOOKUP($B4409,'Email Marketing Raw Data'!$C:$O,8,0)),"")</f>
        <v/>
      </c>
      <c r="Q4409" s="62" t="str">
        <f>IFERROR(IF(OR($B4409="",$B4409="(blank)"),"",VLOOKUP($B4409,'Email Marketing Raw Data'!$C:$O,9,0)),"")</f>
        <v/>
      </c>
    </row>
    <row r="4410" spans="4:17" ht="12.75" customHeight="1" x14ac:dyDescent="0.2">
      <c r="D4410" s="58" t="str">
        <f>IFERROR(IF(F4410&lt;&gt;"pending","",IF(OR($B4410="",$B4410="(blank)"),"",VLOOKUP($B4410,'Email Marketing Raw Data'!$C:$O,10,0))),"")</f>
        <v/>
      </c>
      <c r="E4410" s="59" t="str">
        <f>IFERROR(IF(F4410&lt;&gt;"pending","",IF(OR($B4410="",$B4410="(blank)"),"",VLOOKUP($B4410,'Email Marketing Raw Data'!$C:$O,11,0))),"")</f>
        <v/>
      </c>
      <c r="F4410" s="54" t="str">
        <f>IFERROR(IF(OR($B4410="",$B4410="(blank)"),"",VLOOKUP($B4410,'Email Marketing Raw Data'!$C:$O,13,0)),"")</f>
        <v/>
      </c>
      <c r="G4410" s="55" t="str">
        <f>IFERROR(IF(OR($B4410="",$B4410="(blank)"),"",VLOOKUP($B4410,'Email Marketing Raw Data'!$C:$O,4,0)),"")</f>
        <v/>
      </c>
      <c r="H4410" s="55" t="str">
        <f>IFERROR(IF(OR($B4410="",$B4410="(blank)"),"",VLOOKUP($B4410,'Email Marketing Raw Data'!$C:$O,5,0)),"")</f>
        <v/>
      </c>
      <c r="I4410" s="55" t="str">
        <f>IFERROR(IF($G4410="","",VLOOKUP('Dashboard And Emails Automate'!$G4410,Database!$H:$N,3,0)),"")</f>
        <v/>
      </c>
      <c r="J4410" s="55" t="str">
        <f>IFERROR(IF($G4410="","",VLOOKUP('Dashboard And Emails Automate'!$G4410,Database!$H:$N,4,0)),"")</f>
        <v/>
      </c>
      <c r="K4410" s="55" t="str">
        <f>IFERROR(IF($G4410="","",VLOOKUP('Dashboard And Emails Automate'!$G4410,Database!$H:$N,5,0)),"")</f>
        <v/>
      </c>
      <c r="L4410" s="55" t="str">
        <f>IFERROR(IF($G4410="","",VLOOKUP('Dashboard And Emails Automate'!$G4410,Database!$H:$N,6,0)),"")</f>
        <v/>
      </c>
      <c r="M4410" s="55" t="str">
        <f>IFERROR(IF($G4410="","",VLOOKUP('Dashboard And Emails Automate'!$G4410,Database!$H:$N,7,0)),"")</f>
        <v/>
      </c>
      <c r="N4410" s="55" t="str">
        <f>IFERROR(IF(OR($B4410="",$B4410="(blank)"),"",VLOOKUP($B4410,'Email Marketing Raw Data'!$C:$O,6,0)),"")</f>
        <v/>
      </c>
      <c r="O4410" s="55" t="str">
        <f>IFERROR(IF(OR($B4410="",$B4410="(blank)"),"",VLOOKUP($B4410,'Email Marketing Raw Data'!$C:$O,7,0)),"")</f>
        <v/>
      </c>
      <c r="P4410" s="55" t="str">
        <f>IFERROR(IF(OR($B4410="",$B4410="(blank)"),"",VLOOKUP($B4410,'Email Marketing Raw Data'!$C:$O,8,0)),"")</f>
        <v/>
      </c>
      <c r="Q4410" s="62" t="str">
        <f>IFERROR(IF(OR($B4410="",$B4410="(blank)"),"",VLOOKUP($B4410,'Email Marketing Raw Data'!$C:$O,9,0)),"")</f>
        <v/>
      </c>
    </row>
    <row r="4411" spans="4:17" ht="12.75" customHeight="1" x14ac:dyDescent="0.2">
      <c r="D4411" s="58" t="str">
        <f>IFERROR(IF(F4411&lt;&gt;"pending","",IF(OR($B4411="",$B4411="(blank)"),"",VLOOKUP($B4411,'Email Marketing Raw Data'!$C:$O,10,0))),"")</f>
        <v/>
      </c>
      <c r="E4411" s="59" t="str">
        <f>IFERROR(IF(F4411&lt;&gt;"pending","",IF(OR($B4411="",$B4411="(blank)"),"",VLOOKUP($B4411,'Email Marketing Raw Data'!$C:$O,11,0))),"")</f>
        <v/>
      </c>
      <c r="F4411" s="54" t="str">
        <f>IFERROR(IF(OR($B4411="",$B4411="(blank)"),"",VLOOKUP($B4411,'Email Marketing Raw Data'!$C:$O,13,0)),"")</f>
        <v/>
      </c>
      <c r="G4411" s="55" t="str">
        <f>IFERROR(IF(OR($B4411="",$B4411="(blank)"),"",VLOOKUP($B4411,'Email Marketing Raw Data'!$C:$O,4,0)),"")</f>
        <v/>
      </c>
      <c r="H4411" s="55" t="str">
        <f>IFERROR(IF(OR($B4411="",$B4411="(blank)"),"",VLOOKUP($B4411,'Email Marketing Raw Data'!$C:$O,5,0)),"")</f>
        <v/>
      </c>
      <c r="I4411" s="55" t="str">
        <f>IFERROR(IF($G4411="","",VLOOKUP('Dashboard And Emails Automate'!$G4411,Database!$H:$N,3,0)),"")</f>
        <v/>
      </c>
      <c r="J4411" s="55" t="str">
        <f>IFERROR(IF($G4411="","",VLOOKUP('Dashboard And Emails Automate'!$G4411,Database!$H:$N,4,0)),"")</f>
        <v/>
      </c>
      <c r="K4411" s="55" t="str">
        <f>IFERROR(IF($G4411="","",VLOOKUP('Dashboard And Emails Automate'!$G4411,Database!$H:$N,5,0)),"")</f>
        <v/>
      </c>
      <c r="L4411" s="55" t="str">
        <f>IFERROR(IF($G4411="","",VLOOKUP('Dashboard And Emails Automate'!$G4411,Database!$H:$N,6,0)),"")</f>
        <v/>
      </c>
      <c r="M4411" s="55" t="str">
        <f>IFERROR(IF($G4411="","",VLOOKUP('Dashboard And Emails Automate'!$G4411,Database!$H:$N,7,0)),"")</f>
        <v/>
      </c>
      <c r="N4411" s="55" t="str">
        <f>IFERROR(IF(OR($B4411="",$B4411="(blank)"),"",VLOOKUP($B4411,'Email Marketing Raw Data'!$C:$O,6,0)),"")</f>
        <v/>
      </c>
      <c r="O4411" s="55" t="str">
        <f>IFERROR(IF(OR($B4411="",$B4411="(blank)"),"",VLOOKUP($B4411,'Email Marketing Raw Data'!$C:$O,7,0)),"")</f>
        <v/>
      </c>
      <c r="P4411" s="55" t="str">
        <f>IFERROR(IF(OR($B4411="",$B4411="(blank)"),"",VLOOKUP($B4411,'Email Marketing Raw Data'!$C:$O,8,0)),"")</f>
        <v/>
      </c>
      <c r="Q4411" s="62" t="str">
        <f>IFERROR(IF(OR($B4411="",$B4411="(blank)"),"",VLOOKUP($B4411,'Email Marketing Raw Data'!$C:$O,9,0)),"")</f>
        <v/>
      </c>
    </row>
    <row r="4412" spans="4:17" ht="12.75" customHeight="1" x14ac:dyDescent="0.2">
      <c r="D4412" s="58" t="str">
        <f>IFERROR(IF(F4412&lt;&gt;"pending","",IF(OR($B4412="",$B4412="(blank)"),"",VLOOKUP($B4412,'Email Marketing Raw Data'!$C:$O,10,0))),"")</f>
        <v/>
      </c>
      <c r="E4412" s="59" t="str">
        <f>IFERROR(IF(F4412&lt;&gt;"pending","",IF(OR($B4412="",$B4412="(blank)"),"",VLOOKUP($B4412,'Email Marketing Raw Data'!$C:$O,11,0))),"")</f>
        <v/>
      </c>
      <c r="F4412" s="54" t="str">
        <f>IFERROR(IF(OR($B4412="",$B4412="(blank)"),"",VLOOKUP($B4412,'Email Marketing Raw Data'!$C:$O,13,0)),"")</f>
        <v/>
      </c>
      <c r="G4412" s="55" t="str">
        <f>IFERROR(IF(OR($B4412="",$B4412="(blank)"),"",VLOOKUP($B4412,'Email Marketing Raw Data'!$C:$O,4,0)),"")</f>
        <v/>
      </c>
      <c r="H4412" s="55" t="str">
        <f>IFERROR(IF(OR($B4412="",$B4412="(blank)"),"",VLOOKUP($B4412,'Email Marketing Raw Data'!$C:$O,5,0)),"")</f>
        <v/>
      </c>
      <c r="I4412" s="55" t="str">
        <f>IFERROR(IF($G4412="","",VLOOKUP('Dashboard And Emails Automate'!$G4412,Database!$H:$N,3,0)),"")</f>
        <v/>
      </c>
      <c r="J4412" s="55" t="str">
        <f>IFERROR(IF($G4412="","",VLOOKUP('Dashboard And Emails Automate'!$G4412,Database!$H:$N,4,0)),"")</f>
        <v/>
      </c>
      <c r="K4412" s="55" t="str">
        <f>IFERROR(IF($G4412="","",VLOOKUP('Dashboard And Emails Automate'!$G4412,Database!$H:$N,5,0)),"")</f>
        <v/>
      </c>
      <c r="L4412" s="55" t="str">
        <f>IFERROR(IF($G4412="","",VLOOKUP('Dashboard And Emails Automate'!$G4412,Database!$H:$N,6,0)),"")</f>
        <v/>
      </c>
      <c r="M4412" s="55" t="str">
        <f>IFERROR(IF($G4412="","",VLOOKUP('Dashboard And Emails Automate'!$G4412,Database!$H:$N,7,0)),"")</f>
        <v/>
      </c>
      <c r="N4412" s="55" t="str">
        <f>IFERROR(IF(OR($B4412="",$B4412="(blank)"),"",VLOOKUP($B4412,'Email Marketing Raw Data'!$C:$O,6,0)),"")</f>
        <v/>
      </c>
      <c r="O4412" s="55" t="str">
        <f>IFERROR(IF(OR($B4412="",$B4412="(blank)"),"",VLOOKUP($B4412,'Email Marketing Raw Data'!$C:$O,7,0)),"")</f>
        <v/>
      </c>
      <c r="P4412" s="55" t="str">
        <f>IFERROR(IF(OR($B4412="",$B4412="(blank)"),"",VLOOKUP($B4412,'Email Marketing Raw Data'!$C:$O,8,0)),"")</f>
        <v/>
      </c>
      <c r="Q4412" s="62" t="str">
        <f>IFERROR(IF(OR($B4412="",$B4412="(blank)"),"",VLOOKUP($B4412,'Email Marketing Raw Data'!$C:$O,9,0)),"")</f>
        <v/>
      </c>
    </row>
    <row r="4413" spans="4:17" ht="12.75" customHeight="1" x14ac:dyDescent="0.2">
      <c r="D4413" s="58" t="str">
        <f>IFERROR(IF(F4413&lt;&gt;"pending","",IF(OR($B4413="",$B4413="(blank)"),"",VLOOKUP($B4413,'Email Marketing Raw Data'!$C:$O,10,0))),"")</f>
        <v/>
      </c>
      <c r="E4413" s="59" t="str">
        <f>IFERROR(IF(F4413&lt;&gt;"pending","",IF(OR($B4413="",$B4413="(blank)"),"",VLOOKUP($B4413,'Email Marketing Raw Data'!$C:$O,11,0))),"")</f>
        <v/>
      </c>
      <c r="F4413" s="54" t="str">
        <f>IFERROR(IF(OR($B4413="",$B4413="(blank)"),"",VLOOKUP($B4413,'Email Marketing Raw Data'!$C:$O,13,0)),"")</f>
        <v/>
      </c>
      <c r="G4413" s="55" t="str">
        <f>IFERROR(IF(OR($B4413="",$B4413="(blank)"),"",VLOOKUP($B4413,'Email Marketing Raw Data'!$C:$O,4,0)),"")</f>
        <v/>
      </c>
      <c r="H4413" s="55" t="str">
        <f>IFERROR(IF(OR($B4413="",$B4413="(blank)"),"",VLOOKUP($B4413,'Email Marketing Raw Data'!$C:$O,5,0)),"")</f>
        <v/>
      </c>
      <c r="I4413" s="55" t="str">
        <f>IFERROR(IF($G4413="","",VLOOKUP('Dashboard And Emails Automate'!$G4413,Database!$H:$N,3,0)),"")</f>
        <v/>
      </c>
      <c r="J4413" s="55" t="str">
        <f>IFERROR(IF($G4413="","",VLOOKUP('Dashboard And Emails Automate'!$G4413,Database!$H:$N,4,0)),"")</f>
        <v/>
      </c>
      <c r="K4413" s="55" t="str">
        <f>IFERROR(IF($G4413="","",VLOOKUP('Dashboard And Emails Automate'!$G4413,Database!$H:$N,5,0)),"")</f>
        <v/>
      </c>
      <c r="L4413" s="55" t="str">
        <f>IFERROR(IF($G4413="","",VLOOKUP('Dashboard And Emails Automate'!$G4413,Database!$H:$N,6,0)),"")</f>
        <v/>
      </c>
      <c r="M4413" s="55" t="str">
        <f>IFERROR(IF($G4413="","",VLOOKUP('Dashboard And Emails Automate'!$G4413,Database!$H:$N,7,0)),"")</f>
        <v/>
      </c>
      <c r="N4413" s="55" t="str">
        <f>IFERROR(IF(OR($B4413="",$B4413="(blank)"),"",VLOOKUP($B4413,'Email Marketing Raw Data'!$C:$O,6,0)),"")</f>
        <v/>
      </c>
      <c r="O4413" s="55" t="str">
        <f>IFERROR(IF(OR($B4413="",$B4413="(blank)"),"",VLOOKUP($B4413,'Email Marketing Raw Data'!$C:$O,7,0)),"")</f>
        <v/>
      </c>
      <c r="P4413" s="55" t="str">
        <f>IFERROR(IF(OR($B4413="",$B4413="(blank)"),"",VLOOKUP($B4413,'Email Marketing Raw Data'!$C:$O,8,0)),"")</f>
        <v/>
      </c>
      <c r="Q4413" s="62" t="str">
        <f>IFERROR(IF(OR($B4413="",$B4413="(blank)"),"",VLOOKUP($B4413,'Email Marketing Raw Data'!$C:$O,9,0)),"")</f>
        <v/>
      </c>
    </row>
    <row r="4414" spans="4:17" ht="12.75" customHeight="1" x14ac:dyDescent="0.2">
      <c r="D4414" s="58" t="str">
        <f>IFERROR(IF(F4414&lt;&gt;"pending","",IF(OR($B4414="",$B4414="(blank)"),"",VLOOKUP($B4414,'Email Marketing Raw Data'!$C:$O,10,0))),"")</f>
        <v/>
      </c>
      <c r="E4414" s="59" t="str">
        <f>IFERROR(IF(F4414&lt;&gt;"pending","",IF(OR($B4414="",$B4414="(blank)"),"",VLOOKUP($B4414,'Email Marketing Raw Data'!$C:$O,11,0))),"")</f>
        <v/>
      </c>
      <c r="F4414" s="54" t="str">
        <f>IFERROR(IF(OR($B4414="",$B4414="(blank)"),"",VLOOKUP($B4414,'Email Marketing Raw Data'!$C:$O,13,0)),"")</f>
        <v/>
      </c>
      <c r="G4414" s="55" t="str">
        <f>IFERROR(IF(OR($B4414="",$B4414="(blank)"),"",VLOOKUP($B4414,'Email Marketing Raw Data'!$C:$O,4,0)),"")</f>
        <v/>
      </c>
      <c r="H4414" s="55" t="str">
        <f>IFERROR(IF(OR($B4414="",$B4414="(blank)"),"",VLOOKUP($B4414,'Email Marketing Raw Data'!$C:$O,5,0)),"")</f>
        <v/>
      </c>
      <c r="I4414" s="55" t="str">
        <f>IFERROR(IF($G4414="","",VLOOKUP('Dashboard And Emails Automate'!$G4414,Database!$H:$N,3,0)),"")</f>
        <v/>
      </c>
      <c r="J4414" s="55" t="str">
        <f>IFERROR(IF($G4414="","",VLOOKUP('Dashboard And Emails Automate'!$G4414,Database!$H:$N,4,0)),"")</f>
        <v/>
      </c>
      <c r="K4414" s="55" t="str">
        <f>IFERROR(IF($G4414="","",VLOOKUP('Dashboard And Emails Automate'!$G4414,Database!$H:$N,5,0)),"")</f>
        <v/>
      </c>
      <c r="L4414" s="55" t="str">
        <f>IFERROR(IF($G4414="","",VLOOKUP('Dashboard And Emails Automate'!$G4414,Database!$H:$N,6,0)),"")</f>
        <v/>
      </c>
      <c r="M4414" s="55" t="str">
        <f>IFERROR(IF($G4414="","",VLOOKUP('Dashboard And Emails Automate'!$G4414,Database!$H:$N,7,0)),"")</f>
        <v/>
      </c>
      <c r="N4414" s="55" t="str">
        <f>IFERROR(IF(OR($B4414="",$B4414="(blank)"),"",VLOOKUP($B4414,'Email Marketing Raw Data'!$C:$O,6,0)),"")</f>
        <v/>
      </c>
      <c r="O4414" s="55" t="str">
        <f>IFERROR(IF(OR($B4414="",$B4414="(blank)"),"",VLOOKUP($B4414,'Email Marketing Raw Data'!$C:$O,7,0)),"")</f>
        <v/>
      </c>
      <c r="P4414" s="55" t="str">
        <f>IFERROR(IF(OR($B4414="",$B4414="(blank)"),"",VLOOKUP($B4414,'Email Marketing Raw Data'!$C:$O,8,0)),"")</f>
        <v/>
      </c>
      <c r="Q4414" s="62" t="str">
        <f>IFERROR(IF(OR($B4414="",$B4414="(blank)"),"",VLOOKUP($B4414,'Email Marketing Raw Data'!$C:$O,9,0)),"")</f>
        <v/>
      </c>
    </row>
    <row r="4415" spans="4:17" ht="12.75" customHeight="1" x14ac:dyDescent="0.2">
      <c r="D4415" s="58" t="str">
        <f>IFERROR(IF(F4415&lt;&gt;"pending","",IF(OR($B4415="",$B4415="(blank)"),"",VLOOKUP($B4415,'Email Marketing Raw Data'!$C:$O,10,0))),"")</f>
        <v/>
      </c>
      <c r="E4415" s="59" t="str">
        <f>IFERROR(IF(F4415&lt;&gt;"pending","",IF(OR($B4415="",$B4415="(blank)"),"",VLOOKUP($B4415,'Email Marketing Raw Data'!$C:$O,11,0))),"")</f>
        <v/>
      </c>
      <c r="F4415" s="54" t="str">
        <f>IFERROR(IF(OR($B4415="",$B4415="(blank)"),"",VLOOKUP($B4415,'Email Marketing Raw Data'!$C:$O,13,0)),"")</f>
        <v/>
      </c>
      <c r="G4415" s="55" t="str">
        <f>IFERROR(IF(OR($B4415="",$B4415="(blank)"),"",VLOOKUP($B4415,'Email Marketing Raw Data'!$C:$O,4,0)),"")</f>
        <v/>
      </c>
      <c r="H4415" s="55" t="str">
        <f>IFERROR(IF(OR($B4415="",$B4415="(blank)"),"",VLOOKUP($B4415,'Email Marketing Raw Data'!$C:$O,5,0)),"")</f>
        <v/>
      </c>
      <c r="I4415" s="55" t="str">
        <f>IFERROR(IF($G4415="","",VLOOKUP('Dashboard And Emails Automate'!$G4415,Database!$H:$N,3,0)),"")</f>
        <v/>
      </c>
      <c r="J4415" s="55" t="str">
        <f>IFERROR(IF($G4415="","",VLOOKUP('Dashboard And Emails Automate'!$G4415,Database!$H:$N,4,0)),"")</f>
        <v/>
      </c>
      <c r="K4415" s="55" t="str">
        <f>IFERROR(IF($G4415="","",VLOOKUP('Dashboard And Emails Automate'!$G4415,Database!$H:$N,5,0)),"")</f>
        <v/>
      </c>
      <c r="L4415" s="55" t="str">
        <f>IFERROR(IF($G4415="","",VLOOKUP('Dashboard And Emails Automate'!$G4415,Database!$H:$N,6,0)),"")</f>
        <v/>
      </c>
      <c r="M4415" s="55" t="str">
        <f>IFERROR(IF($G4415="","",VLOOKUP('Dashboard And Emails Automate'!$G4415,Database!$H:$N,7,0)),"")</f>
        <v/>
      </c>
      <c r="N4415" s="55" t="str">
        <f>IFERROR(IF(OR($B4415="",$B4415="(blank)"),"",VLOOKUP($B4415,'Email Marketing Raw Data'!$C:$O,6,0)),"")</f>
        <v/>
      </c>
      <c r="O4415" s="55" t="str">
        <f>IFERROR(IF(OR($B4415="",$B4415="(blank)"),"",VLOOKUP($B4415,'Email Marketing Raw Data'!$C:$O,7,0)),"")</f>
        <v/>
      </c>
      <c r="P4415" s="55" t="str">
        <f>IFERROR(IF(OR($B4415="",$B4415="(blank)"),"",VLOOKUP($B4415,'Email Marketing Raw Data'!$C:$O,8,0)),"")</f>
        <v/>
      </c>
      <c r="Q4415" s="62" t="str">
        <f>IFERROR(IF(OR($B4415="",$B4415="(blank)"),"",VLOOKUP($B4415,'Email Marketing Raw Data'!$C:$O,9,0)),"")</f>
        <v/>
      </c>
    </row>
    <row r="4416" spans="4:17" ht="12.75" customHeight="1" x14ac:dyDescent="0.2">
      <c r="D4416" s="58" t="str">
        <f>IFERROR(IF(F4416&lt;&gt;"pending","",IF(OR($B4416="",$B4416="(blank)"),"",VLOOKUP($B4416,'Email Marketing Raw Data'!$C:$O,10,0))),"")</f>
        <v/>
      </c>
      <c r="E4416" s="59" t="str">
        <f>IFERROR(IF(F4416&lt;&gt;"pending","",IF(OR($B4416="",$B4416="(blank)"),"",VLOOKUP($B4416,'Email Marketing Raw Data'!$C:$O,11,0))),"")</f>
        <v/>
      </c>
      <c r="F4416" s="54" t="str">
        <f>IFERROR(IF(OR($B4416="",$B4416="(blank)"),"",VLOOKUP($B4416,'Email Marketing Raw Data'!$C:$O,13,0)),"")</f>
        <v/>
      </c>
      <c r="G4416" s="55" t="str">
        <f>IFERROR(IF(OR($B4416="",$B4416="(blank)"),"",VLOOKUP($B4416,'Email Marketing Raw Data'!$C:$O,4,0)),"")</f>
        <v/>
      </c>
      <c r="H4416" s="55" t="str">
        <f>IFERROR(IF(OR($B4416="",$B4416="(blank)"),"",VLOOKUP($B4416,'Email Marketing Raw Data'!$C:$O,5,0)),"")</f>
        <v/>
      </c>
      <c r="I4416" s="55" t="str">
        <f>IFERROR(IF($G4416="","",VLOOKUP('Dashboard And Emails Automate'!$G4416,Database!$H:$N,3,0)),"")</f>
        <v/>
      </c>
      <c r="J4416" s="55" t="str">
        <f>IFERROR(IF($G4416="","",VLOOKUP('Dashboard And Emails Automate'!$G4416,Database!$H:$N,4,0)),"")</f>
        <v/>
      </c>
      <c r="K4416" s="55" t="str">
        <f>IFERROR(IF($G4416="","",VLOOKUP('Dashboard And Emails Automate'!$G4416,Database!$H:$N,5,0)),"")</f>
        <v/>
      </c>
      <c r="L4416" s="55" t="str">
        <f>IFERROR(IF($G4416="","",VLOOKUP('Dashboard And Emails Automate'!$G4416,Database!$H:$N,6,0)),"")</f>
        <v/>
      </c>
      <c r="M4416" s="55" t="str">
        <f>IFERROR(IF($G4416="","",VLOOKUP('Dashboard And Emails Automate'!$G4416,Database!$H:$N,7,0)),"")</f>
        <v/>
      </c>
      <c r="N4416" s="55" t="str">
        <f>IFERROR(IF(OR($B4416="",$B4416="(blank)"),"",VLOOKUP($B4416,'Email Marketing Raw Data'!$C:$O,6,0)),"")</f>
        <v/>
      </c>
      <c r="O4416" s="55" t="str">
        <f>IFERROR(IF(OR($B4416="",$B4416="(blank)"),"",VLOOKUP($B4416,'Email Marketing Raw Data'!$C:$O,7,0)),"")</f>
        <v/>
      </c>
      <c r="P4416" s="55" t="str">
        <f>IFERROR(IF(OR($B4416="",$B4416="(blank)"),"",VLOOKUP($B4416,'Email Marketing Raw Data'!$C:$O,8,0)),"")</f>
        <v/>
      </c>
      <c r="Q4416" s="62" t="str">
        <f>IFERROR(IF(OR($B4416="",$B4416="(blank)"),"",VLOOKUP($B4416,'Email Marketing Raw Data'!$C:$O,9,0)),"")</f>
        <v/>
      </c>
    </row>
    <row r="4417" spans="4:17" ht="12.75" customHeight="1" x14ac:dyDescent="0.2">
      <c r="D4417" s="58" t="str">
        <f>IFERROR(IF(F4417&lt;&gt;"pending","",IF(OR($B4417="",$B4417="(blank)"),"",VLOOKUP($B4417,'Email Marketing Raw Data'!$C:$O,10,0))),"")</f>
        <v/>
      </c>
      <c r="E4417" s="59" t="str">
        <f>IFERROR(IF(F4417&lt;&gt;"pending","",IF(OR($B4417="",$B4417="(blank)"),"",VLOOKUP($B4417,'Email Marketing Raw Data'!$C:$O,11,0))),"")</f>
        <v/>
      </c>
      <c r="F4417" s="54" t="str">
        <f>IFERROR(IF(OR($B4417="",$B4417="(blank)"),"",VLOOKUP($B4417,'Email Marketing Raw Data'!$C:$O,13,0)),"")</f>
        <v/>
      </c>
      <c r="G4417" s="55" t="str">
        <f>IFERROR(IF(OR($B4417="",$B4417="(blank)"),"",VLOOKUP($B4417,'Email Marketing Raw Data'!$C:$O,4,0)),"")</f>
        <v/>
      </c>
      <c r="H4417" s="55" t="str">
        <f>IFERROR(IF(OR($B4417="",$B4417="(blank)"),"",VLOOKUP($B4417,'Email Marketing Raw Data'!$C:$O,5,0)),"")</f>
        <v/>
      </c>
      <c r="I4417" s="55" t="str">
        <f>IFERROR(IF($G4417="","",VLOOKUP('Dashboard And Emails Automate'!$G4417,Database!$H:$N,3,0)),"")</f>
        <v/>
      </c>
      <c r="J4417" s="55" t="str">
        <f>IFERROR(IF($G4417="","",VLOOKUP('Dashboard And Emails Automate'!$G4417,Database!$H:$N,4,0)),"")</f>
        <v/>
      </c>
      <c r="K4417" s="55" t="str">
        <f>IFERROR(IF($G4417="","",VLOOKUP('Dashboard And Emails Automate'!$G4417,Database!$H:$N,5,0)),"")</f>
        <v/>
      </c>
      <c r="L4417" s="55" t="str">
        <f>IFERROR(IF($G4417="","",VLOOKUP('Dashboard And Emails Automate'!$G4417,Database!$H:$N,6,0)),"")</f>
        <v/>
      </c>
      <c r="M4417" s="55" t="str">
        <f>IFERROR(IF($G4417="","",VLOOKUP('Dashboard And Emails Automate'!$G4417,Database!$H:$N,7,0)),"")</f>
        <v/>
      </c>
      <c r="N4417" s="55" t="str">
        <f>IFERROR(IF(OR($B4417="",$B4417="(blank)"),"",VLOOKUP($B4417,'Email Marketing Raw Data'!$C:$O,6,0)),"")</f>
        <v/>
      </c>
      <c r="O4417" s="55" t="str">
        <f>IFERROR(IF(OR($B4417="",$B4417="(blank)"),"",VLOOKUP($B4417,'Email Marketing Raw Data'!$C:$O,7,0)),"")</f>
        <v/>
      </c>
      <c r="P4417" s="55" t="str">
        <f>IFERROR(IF(OR($B4417="",$B4417="(blank)"),"",VLOOKUP($B4417,'Email Marketing Raw Data'!$C:$O,8,0)),"")</f>
        <v/>
      </c>
      <c r="Q4417" s="62" t="str">
        <f>IFERROR(IF(OR($B4417="",$B4417="(blank)"),"",VLOOKUP($B4417,'Email Marketing Raw Data'!$C:$O,9,0)),"")</f>
        <v/>
      </c>
    </row>
    <row r="4418" spans="4:17" ht="12.75" customHeight="1" x14ac:dyDescent="0.2">
      <c r="D4418" s="58" t="str">
        <f>IFERROR(IF(F4418&lt;&gt;"pending","",IF(OR($B4418="",$B4418="(blank)"),"",VLOOKUP($B4418,'Email Marketing Raw Data'!$C:$O,10,0))),"")</f>
        <v/>
      </c>
      <c r="E4418" s="59" t="str">
        <f>IFERROR(IF(F4418&lt;&gt;"pending","",IF(OR($B4418="",$B4418="(blank)"),"",VLOOKUP($B4418,'Email Marketing Raw Data'!$C:$O,11,0))),"")</f>
        <v/>
      </c>
      <c r="F4418" s="54" t="str">
        <f>IFERROR(IF(OR($B4418="",$B4418="(blank)"),"",VLOOKUP($B4418,'Email Marketing Raw Data'!$C:$O,13,0)),"")</f>
        <v/>
      </c>
      <c r="G4418" s="55" t="str">
        <f>IFERROR(IF(OR($B4418="",$B4418="(blank)"),"",VLOOKUP($B4418,'Email Marketing Raw Data'!$C:$O,4,0)),"")</f>
        <v/>
      </c>
      <c r="H4418" s="55" t="str">
        <f>IFERROR(IF(OR($B4418="",$B4418="(blank)"),"",VLOOKUP($B4418,'Email Marketing Raw Data'!$C:$O,5,0)),"")</f>
        <v/>
      </c>
      <c r="I4418" s="55" t="str">
        <f>IFERROR(IF($G4418="","",VLOOKUP('Dashboard And Emails Automate'!$G4418,Database!$H:$N,3,0)),"")</f>
        <v/>
      </c>
      <c r="J4418" s="55" t="str">
        <f>IFERROR(IF($G4418="","",VLOOKUP('Dashboard And Emails Automate'!$G4418,Database!$H:$N,4,0)),"")</f>
        <v/>
      </c>
      <c r="K4418" s="55" t="str">
        <f>IFERROR(IF($G4418="","",VLOOKUP('Dashboard And Emails Automate'!$G4418,Database!$H:$N,5,0)),"")</f>
        <v/>
      </c>
      <c r="L4418" s="55" t="str">
        <f>IFERROR(IF($G4418="","",VLOOKUP('Dashboard And Emails Automate'!$G4418,Database!$H:$N,6,0)),"")</f>
        <v/>
      </c>
      <c r="M4418" s="55" t="str">
        <f>IFERROR(IF($G4418="","",VLOOKUP('Dashboard And Emails Automate'!$G4418,Database!$H:$N,7,0)),"")</f>
        <v/>
      </c>
      <c r="N4418" s="55" t="str">
        <f>IFERROR(IF(OR($B4418="",$B4418="(blank)"),"",VLOOKUP($B4418,'Email Marketing Raw Data'!$C:$O,6,0)),"")</f>
        <v/>
      </c>
      <c r="O4418" s="55" t="str">
        <f>IFERROR(IF(OR($B4418="",$B4418="(blank)"),"",VLOOKUP($B4418,'Email Marketing Raw Data'!$C:$O,7,0)),"")</f>
        <v/>
      </c>
      <c r="P4418" s="55" t="str">
        <f>IFERROR(IF(OR($B4418="",$B4418="(blank)"),"",VLOOKUP($B4418,'Email Marketing Raw Data'!$C:$O,8,0)),"")</f>
        <v/>
      </c>
      <c r="Q4418" s="62" t="str">
        <f>IFERROR(IF(OR($B4418="",$B4418="(blank)"),"",VLOOKUP($B4418,'Email Marketing Raw Data'!$C:$O,9,0)),"")</f>
        <v/>
      </c>
    </row>
    <row r="4419" spans="4:17" ht="12.75" customHeight="1" x14ac:dyDescent="0.2">
      <c r="D4419" s="58" t="str">
        <f>IFERROR(IF(F4419&lt;&gt;"pending","",IF(OR($B4419="",$B4419="(blank)"),"",VLOOKUP($B4419,'Email Marketing Raw Data'!$C:$O,10,0))),"")</f>
        <v/>
      </c>
      <c r="E4419" s="59" t="str">
        <f>IFERROR(IF(F4419&lt;&gt;"pending","",IF(OR($B4419="",$B4419="(blank)"),"",VLOOKUP($B4419,'Email Marketing Raw Data'!$C:$O,11,0))),"")</f>
        <v/>
      </c>
      <c r="F4419" s="54" t="str">
        <f>IFERROR(IF(OR($B4419="",$B4419="(blank)"),"",VLOOKUP($B4419,'Email Marketing Raw Data'!$C:$O,13,0)),"")</f>
        <v/>
      </c>
      <c r="G4419" s="55" t="str">
        <f>IFERROR(IF(OR($B4419="",$B4419="(blank)"),"",VLOOKUP($B4419,'Email Marketing Raw Data'!$C:$O,4,0)),"")</f>
        <v/>
      </c>
      <c r="H4419" s="55" t="str">
        <f>IFERROR(IF(OR($B4419="",$B4419="(blank)"),"",VLOOKUP($B4419,'Email Marketing Raw Data'!$C:$O,5,0)),"")</f>
        <v/>
      </c>
      <c r="I4419" s="55" t="str">
        <f>IFERROR(IF($G4419="","",VLOOKUP('Dashboard And Emails Automate'!$G4419,Database!$H:$N,3,0)),"")</f>
        <v/>
      </c>
      <c r="J4419" s="55" t="str">
        <f>IFERROR(IF($G4419="","",VLOOKUP('Dashboard And Emails Automate'!$G4419,Database!$H:$N,4,0)),"")</f>
        <v/>
      </c>
      <c r="K4419" s="55" t="str">
        <f>IFERROR(IF($G4419="","",VLOOKUP('Dashboard And Emails Automate'!$G4419,Database!$H:$N,5,0)),"")</f>
        <v/>
      </c>
      <c r="L4419" s="55" t="str">
        <f>IFERROR(IF($G4419="","",VLOOKUP('Dashboard And Emails Automate'!$G4419,Database!$H:$N,6,0)),"")</f>
        <v/>
      </c>
      <c r="M4419" s="55" t="str">
        <f>IFERROR(IF($G4419="","",VLOOKUP('Dashboard And Emails Automate'!$G4419,Database!$H:$N,7,0)),"")</f>
        <v/>
      </c>
      <c r="N4419" s="55" t="str">
        <f>IFERROR(IF(OR($B4419="",$B4419="(blank)"),"",VLOOKUP($B4419,'Email Marketing Raw Data'!$C:$O,6,0)),"")</f>
        <v/>
      </c>
      <c r="O4419" s="55" t="str">
        <f>IFERROR(IF(OR($B4419="",$B4419="(blank)"),"",VLOOKUP($B4419,'Email Marketing Raw Data'!$C:$O,7,0)),"")</f>
        <v/>
      </c>
      <c r="P4419" s="55" t="str">
        <f>IFERROR(IF(OR($B4419="",$B4419="(blank)"),"",VLOOKUP($B4419,'Email Marketing Raw Data'!$C:$O,8,0)),"")</f>
        <v/>
      </c>
      <c r="Q4419" s="62" t="str">
        <f>IFERROR(IF(OR($B4419="",$B4419="(blank)"),"",VLOOKUP($B4419,'Email Marketing Raw Data'!$C:$O,9,0)),"")</f>
        <v/>
      </c>
    </row>
    <row r="4420" spans="4:17" ht="12.75" customHeight="1" x14ac:dyDescent="0.2">
      <c r="D4420" s="58" t="str">
        <f>IFERROR(IF(F4420&lt;&gt;"pending","",IF(OR($B4420="",$B4420="(blank)"),"",VLOOKUP($B4420,'Email Marketing Raw Data'!$C:$O,10,0))),"")</f>
        <v/>
      </c>
      <c r="E4420" s="59" t="str">
        <f>IFERROR(IF(F4420&lt;&gt;"pending","",IF(OR($B4420="",$B4420="(blank)"),"",VLOOKUP($B4420,'Email Marketing Raw Data'!$C:$O,11,0))),"")</f>
        <v/>
      </c>
      <c r="F4420" s="54" t="str">
        <f>IFERROR(IF(OR($B4420="",$B4420="(blank)"),"",VLOOKUP($B4420,'Email Marketing Raw Data'!$C:$O,13,0)),"")</f>
        <v/>
      </c>
      <c r="G4420" s="55" t="str">
        <f>IFERROR(IF(OR($B4420="",$B4420="(blank)"),"",VLOOKUP($B4420,'Email Marketing Raw Data'!$C:$O,4,0)),"")</f>
        <v/>
      </c>
      <c r="H4420" s="55" t="str">
        <f>IFERROR(IF(OR($B4420="",$B4420="(blank)"),"",VLOOKUP($B4420,'Email Marketing Raw Data'!$C:$O,5,0)),"")</f>
        <v/>
      </c>
      <c r="I4420" s="55" t="str">
        <f>IFERROR(IF($G4420="","",VLOOKUP('Dashboard And Emails Automate'!$G4420,Database!$H:$N,3,0)),"")</f>
        <v/>
      </c>
      <c r="J4420" s="55" t="str">
        <f>IFERROR(IF($G4420="","",VLOOKUP('Dashboard And Emails Automate'!$G4420,Database!$H:$N,4,0)),"")</f>
        <v/>
      </c>
      <c r="K4420" s="55" t="str">
        <f>IFERROR(IF($G4420="","",VLOOKUP('Dashboard And Emails Automate'!$G4420,Database!$H:$N,5,0)),"")</f>
        <v/>
      </c>
      <c r="L4420" s="55" t="str">
        <f>IFERROR(IF($G4420="","",VLOOKUP('Dashboard And Emails Automate'!$G4420,Database!$H:$N,6,0)),"")</f>
        <v/>
      </c>
      <c r="M4420" s="55" t="str">
        <f>IFERROR(IF($G4420="","",VLOOKUP('Dashboard And Emails Automate'!$G4420,Database!$H:$N,7,0)),"")</f>
        <v/>
      </c>
      <c r="N4420" s="55" t="str">
        <f>IFERROR(IF(OR($B4420="",$B4420="(blank)"),"",VLOOKUP($B4420,'Email Marketing Raw Data'!$C:$O,6,0)),"")</f>
        <v/>
      </c>
      <c r="O4420" s="55" t="str">
        <f>IFERROR(IF(OR($B4420="",$B4420="(blank)"),"",VLOOKUP($B4420,'Email Marketing Raw Data'!$C:$O,7,0)),"")</f>
        <v/>
      </c>
      <c r="P4420" s="55" t="str">
        <f>IFERROR(IF(OR($B4420="",$B4420="(blank)"),"",VLOOKUP($B4420,'Email Marketing Raw Data'!$C:$O,8,0)),"")</f>
        <v/>
      </c>
      <c r="Q4420" s="62" t="str">
        <f>IFERROR(IF(OR($B4420="",$B4420="(blank)"),"",VLOOKUP($B4420,'Email Marketing Raw Data'!$C:$O,9,0)),"")</f>
        <v/>
      </c>
    </row>
    <row r="4421" spans="4:17" ht="12.75" customHeight="1" x14ac:dyDescent="0.2">
      <c r="D4421" s="58" t="str">
        <f>IFERROR(IF(F4421&lt;&gt;"pending","",IF(OR($B4421="",$B4421="(blank)"),"",VLOOKUP($B4421,'Email Marketing Raw Data'!$C:$O,10,0))),"")</f>
        <v/>
      </c>
      <c r="E4421" s="59" t="str">
        <f>IFERROR(IF(F4421&lt;&gt;"pending","",IF(OR($B4421="",$B4421="(blank)"),"",VLOOKUP($B4421,'Email Marketing Raw Data'!$C:$O,11,0))),"")</f>
        <v/>
      </c>
      <c r="F4421" s="54" t="str">
        <f>IFERROR(IF(OR($B4421="",$B4421="(blank)"),"",VLOOKUP($B4421,'Email Marketing Raw Data'!$C:$O,13,0)),"")</f>
        <v/>
      </c>
      <c r="G4421" s="55" t="str">
        <f>IFERROR(IF(OR($B4421="",$B4421="(blank)"),"",VLOOKUP($B4421,'Email Marketing Raw Data'!$C:$O,4,0)),"")</f>
        <v/>
      </c>
      <c r="H4421" s="55" t="str">
        <f>IFERROR(IF(OR($B4421="",$B4421="(blank)"),"",VLOOKUP($B4421,'Email Marketing Raw Data'!$C:$O,5,0)),"")</f>
        <v/>
      </c>
      <c r="I4421" s="55" t="str">
        <f>IFERROR(IF($G4421="","",VLOOKUP('Dashboard And Emails Automate'!$G4421,Database!$H:$N,3,0)),"")</f>
        <v/>
      </c>
      <c r="J4421" s="55" t="str">
        <f>IFERROR(IF($G4421="","",VLOOKUP('Dashboard And Emails Automate'!$G4421,Database!$H:$N,4,0)),"")</f>
        <v/>
      </c>
      <c r="K4421" s="55" t="str">
        <f>IFERROR(IF($G4421="","",VLOOKUP('Dashboard And Emails Automate'!$G4421,Database!$H:$N,5,0)),"")</f>
        <v/>
      </c>
      <c r="L4421" s="55" t="str">
        <f>IFERROR(IF($G4421="","",VLOOKUP('Dashboard And Emails Automate'!$G4421,Database!$H:$N,6,0)),"")</f>
        <v/>
      </c>
      <c r="M4421" s="55" t="str">
        <f>IFERROR(IF($G4421="","",VLOOKUP('Dashboard And Emails Automate'!$G4421,Database!$H:$N,7,0)),"")</f>
        <v/>
      </c>
      <c r="N4421" s="55" t="str">
        <f>IFERROR(IF(OR($B4421="",$B4421="(blank)"),"",VLOOKUP($B4421,'Email Marketing Raw Data'!$C:$O,6,0)),"")</f>
        <v/>
      </c>
      <c r="O4421" s="55" t="str">
        <f>IFERROR(IF(OR($B4421="",$B4421="(blank)"),"",VLOOKUP($B4421,'Email Marketing Raw Data'!$C:$O,7,0)),"")</f>
        <v/>
      </c>
      <c r="P4421" s="55" t="str">
        <f>IFERROR(IF(OR($B4421="",$B4421="(blank)"),"",VLOOKUP($B4421,'Email Marketing Raw Data'!$C:$O,8,0)),"")</f>
        <v/>
      </c>
      <c r="Q4421" s="62" t="str">
        <f>IFERROR(IF(OR($B4421="",$B4421="(blank)"),"",VLOOKUP($B4421,'Email Marketing Raw Data'!$C:$O,9,0)),"")</f>
        <v/>
      </c>
    </row>
    <row r="4422" spans="4:17" ht="12.75" customHeight="1" x14ac:dyDescent="0.2">
      <c r="D4422" s="58" t="str">
        <f>IFERROR(IF(F4422&lt;&gt;"pending","",IF(OR($B4422="",$B4422="(blank)"),"",VLOOKUP($B4422,'Email Marketing Raw Data'!$C:$O,10,0))),"")</f>
        <v/>
      </c>
      <c r="E4422" s="59" t="str">
        <f>IFERROR(IF(F4422&lt;&gt;"pending","",IF(OR($B4422="",$B4422="(blank)"),"",VLOOKUP($B4422,'Email Marketing Raw Data'!$C:$O,11,0))),"")</f>
        <v/>
      </c>
      <c r="F4422" s="54" t="str">
        <f>IFERROR(IF(OR($B4422="",$B4422="(blank)"),"",VLOOKUP($B4422,'Email Marketing Raw Data'!$C:$O,13,0)),"")</f>
        <v/>
      </c>
      <c r="G4422" s="55" t="str">
        <f>IFERROR(IF(OR($B4422="",$B4422="(blank)"),"",VLOOKUP($B4422,'Email Marketing Raw Data'!$C:$O,4,0)),"")</f>
        <v/>
      </c>
      <c r="H4422" s="55" t="str">
        <f>IFERROR(IF(OR($B4422="",$B4422="(blank)"),"",VLOOKUP($B4422,'Email Marketing Raw Data'!$C:$O,5,0)),"")</f>
        <v/>
      </c>
      <c r="I4422" s="55" t="str">
        <f>IFERROR(IF($G4422="","",VLOOKUP('Dashboard And Emails Automate'!$G4422,Database!$H:$N,3,0)),"")</f>
        <v/>
      </c>
      <c r="J4422" s="55" t="str">
        <f>IFERROR(IF($G4422="","",VLOOKUP('Dashboard And Emails Automate'!$G4422,Database!$H:$N,4,0)),"")</f>
        <v/>
      </c>
      <c r="K4422" s="55" t="str">
        <f>IFERROR(IF($G4422="","",VLOOKUP('Dashboard And Emails Automate'!$G4422,Database!$H:$N,5,0)),"")</f>
        <v/>
      </c>
      <c r="L4422" s="55" t="str">
        <f>IFERROR(IF($G4422="","",VLOOKUP('Dashboard And Emails Automate'!$G4422,Database!$H:$N,6,0)),"")</f>
        <v/>
      </c>
      <c r="M4422" s="55" t="str">
        <f>IFERROR(IF($G4422="","",VLOOKUP('Dashboard And Emails Automate'!$G4422,Database!$H:$N,7,0)),"")</f>
        <v/>
      </c>
      <c r="N4422" s="55" t="str">
        <f>IFERROR(IF(OR($B4422="",$B4422="(blank)"),"",VLOOKUP($B4422,'Email Marketing Raw Data'!$C:$O,6,0)),"")</f>
        <v/>
      </c>
      <c r="O4422" s="55" t="str">
        <f>IFERROR(IF(OR($B4422="",$B4422="(blank)"),"",VLOOKUP($B4422,'Email Marketing Raw Data'!$C:$O,7,0)),"")</f>
        <v/>
      </c>
      <c r="P4422" s="55" t="str">
        <f>IFERROR(IF(OR($B4422="",$B4422="(blank)"),"",VLOOKUP($B4422,'Email Marketing Raw Data'!$C:$O,8,0)),"")</f>
        <v/>
      </c>
      <c r="Q4422" s="62" t="str">
        <f>IFERROR(IF(OR($B4422="",$B4422="(blank)"),"",VLOOKUP($B4422,'Email Marketing Raw Data'!$C:$O,9,0)),"")</f>
        <v/>
      </c>
    </row>
    <row r="4423" spans="4:17" ht="12.75" customHeight="1" x14ac:dyDescent="0.2">
      <c r="D4423" s="58" t="str">
        <f>IFERROR(IF(F4423&lt;&gt;"pending","",IF(OR($B4423="",$B4423="(blank)"),"",VLOOKUP($B4423,'Email Marketing Raw Data'!$C:$O,10,0))),"")</f>
        <v/>
      </c>
      <c r="E4423" s="59" t="str">
        <f>IFERROR(IF(F4423&lt;&gt;"pending","",IF(OR($B4423="",$B4423="(blank)"),"",VLOOKUP($B4423,'Email Marketing Raw Data'!$C:$O,11,0))),"")</f>
        <v/>
      </c>
      <c r="F4423" s="54" t="str">
        <f>IFERROR(IF(OR($B4423="",$B4423="(blank)"),"",VLOOKUP($B4423,'Email Marketing Raw Data'!$C:$O,13,0)),"")</f>
        <v/>
      </c>
      <c r="G4423" s="55" t="str">
        <f>IFERROR(IF(OR($B4423="",$B4423="(blank)"),"",VLOOKUP($B4423,'Email Marketing Raw Data'!$C:$O,4,0)),"")</f>
        <v/>
      </c>
      <c r="H4423" s="55" t="str">
        <f>IFERROR(IF(OR($B4423="",$B4423="(blank)"),"",VLOOKUP($B4423,'Email Marketing Raw Data'!$C:$O,5,0)),"")</f>
        <v/>
      </c>
      <c r="I4423" s="55" t="str">
        <f>IFERROR(IF($G4423="","",VLOOKUP('Dashboard And Emails Automate'!$G4423,Database!$H:$N,3,0)),"")</f>
        <v/>
      </c>
      <c r="J4423" s="55" t="str">
        <f>IFERROR(IF($G4423="","",VLOOKUP('Dashboard And Emails Automate'!$G4423,Database!$H:$N,4,0)),"")</f>
        <v/>
      </c>
      <c r="K4423" s="55" t="str">
        <f>IFERROR(IF($G4423="","",VLOOKUP('Dashboard And Emails Automate'!$G4423,Database!$H:$N,5,0)),"")</f>
        <v/>
      </c>
      <c r="L4423" s="55" t="str">
        <f>IFERROR(IF($G4423="","",VLOOKUP('Dashboard And Emails Automate'!$G4423,Database!$H:$N,6,0)),"")</f>
        <v/>
      </c>
      <c r="M4423" s="55" t="str">
        <f>IFERROR(IF($G4423="","",VLOOKUP('Dashboard And Emails Automate'!$G4423,Database!$H:$N,7,0)),"")</f>
        <v/>
      </c>
      <c r="N4423" s="55" t="str">
        <f>IFERROR(IF(OR($B4423="",$B4423="(blank)"),"",VLOOKUP($B4423,'Email Marketing Raw Data'!$C:$O,6,0)),"")</f>
        <v/>
      </c>
      <c r="O4423" s="55" t="str">
        <f>IFERROR(IF(OR($B4423="",$B4423="(blank)"),"",VLOOKUP($B4423,'Email Marketing Raw Data'!$C:$O,7,0)),"")</f>
        <v/>
      </c>
      <c r="P4423" s="55" t="str">
        <f>IFERROR(IF(OR($B4423="",$B4423="(blank)"),"",VLOOKUP($B4423,'Email Marketing Raw Data'!$C:$O,8,0)),"")</f>
        <v/>
      </c>
      <c r="Q4423" s="62" t="str">
        <f>IFERROR(IF(OR($B4423="",$B4423="(blank)"),"",VLOOKUP($B4423,'Email Marketing Raw Data'!$C:$O,9,0)),"")</f>
        <v/>
      </c>
    </row>
    <row r="4424" spans="4:17" ht="12.75" customHeight="1" x14ac:dyDescent="0.2">
      <c r="D4424" s="58" t="str">
        <f>IFERROR(IF(F4424&lt;&gt;"pending","",IF(OR($B4424="",$B4424="(blank)"),"",VLOOKUP($B4424,'Email Marketing Raw Data'!$C:$O,10,0))),"")</f>
        <v/>
      </c>
      <c r="E4424" s="59" t="str">
        <f>IFERROR(IF(F4424&lt;&gt;"pending","",IF(OR($B4424="",$B4424="(blank)"),"",VLOOKUP($B4424,'Email Marketing Raw Data'!$C:$O,11,0))),"")</f>
        <v/>
      </c>
      <c r="F4424" s="54" t="str">
        <f>IFERROR(IF(OR($B4424="",$B4424="(blank)"),"",VLOOKUP($B4424,'Email Marketing Raw Data'!$C:$O,13,0)),"")</f>
        <v/>
      </c>
      <c r="G4424" s="55" t="str">
        <f>IFERROR(IF(OR($B4424="",$B4424="(blank)"),"",VLOOKUP($B4424,'Email Marketing Raw Data'!$C:$O,4,0)),"")</f>
        <v/>
      </c>
      <c r="H4424" s="55" t="str">
        <f>IFERROR(IF(OR($B4424="",$B4424="(blank)"),"",VLOOKUP($B4424,'Email Marketing Raw Data'!$C:$O,5,0)),"")</f>
        <v/>
      </c>
      <c r="I4424" s="55" t="str">
        <f>IFERROR(IF($G4424="","",VLOOKUP('Dashboard And Emails Automate'!$G4424,Database!$H:$N,3,0)),"")</f>
        <v/>
      </c>
      <c r="J4424" s="55" t="str">
        <f>IFERROR(IF($G4424="","",VLOOKUP('Dashboard And Emails Automate'!$G4424,Database!$H:$N,4,0)),"")</f>
        <v/>
      </c>
      <c r="K4424" s="55" t="str">
        <f>IFERROR(IF($G4424="","",VLOOKUP('Dashboard And Emails Automate'!$G4424,Database!$H:$N,5,0)),"")</f>
        <v/>
      </c>
      <c r="L4424" s="55" t="str">
        <f>IFERROR(IF($G4424="","",VLOOKUP('Dashboard And Emails Automate'!$G4424,Database!$H:$N,6,0)),"")</f>
        <v/>
      </c>
      <c r="M4424" s="55" t="str">
        <f>IFERROR(IF($G4424="","",VLOOKUP('Dashboard And Emails Automate'!$G4424,Database!$H:$N,7,0)),"")</f>
        <v/>
      </c>
      <c r="N4424" s="55" t="str">
        <f>IFERROR(IF(OR($B4424="",$B4424="(blank)"),"",VLOOKUP($B4424,'Email Marketing Raw Data'!$C:$O,6,0)),"")</f>
        <v/>
      </c>
      <c r="O4424" s="55" t="str">
        <f>IFERROR(IF(OR($B4424="",$B4424="(blank)"),"",VLOOKUP($B4424,'Email Marketing Raw Data'!$C:$O,7,0)),"")</f>
        <v/>
      </c>
      <c r="P4424" s="55" t="str">
        <f>IFERROR(IF(OR($B4424="",$B4424="(blank)"),"",VLOOKUP($B4424,'Email Marketing Raw Data'!$C:$O,8,0)),"")</f>
        <v/>
      </c>
      <c r="Q4424" s="62" t="str">
        <f>IFERROR(IF(OR($B4424="",$B4424="(blank)"),"",VLOOKUP($B4424,'Email Marketing Raw Data'!$C:$O,9,0)),"")</f>
        <v/>
      </c>
    </row>
    <row r="4425" spans="4:17" ht="12.75" customHeight="1" x14ac:dyDescent="0.2">
      <c r="D4425" s="58" t="str">
        <f>IFERROR(IF(F4425&lt;&gt;"pending","",IF(OR($B4425="",$B4425="(blank)"),"",VLOOKUP($B4425,'Email Marketing Raw Data'!$C:$O,10,0))),"")</f>
        <v/>
      </c>
      <c r="E4425" s="59" t="str">
        <f>IFERROR(IF(F4425&lt;&gt;"pending","",IF(OR($B4425="",$B4425="(blank)"),"",VLOOKUP($B4425,'Email Marketing Raw Data'!$C:$O,11,0))),"")</f>
        <v/>
      </c>
      <c r="F4425" s="54" t="str">
        <f>IFERROR(IF(OR($B4425="",$B4425="(blank)"),"",VLOOKUP($B4425,'Email Marketing Raw Data'!$C:$O,13,0)),"")</f>
        <v/>
      </c>
      <c r="G4425" s="55" t="str">
        <f>IFERROR(IF(OR($B4425="",$B4425="(blank)"),"",VLOOKUP($B4425,'Email Marketing Raw Data'!$C:$O,4,0)),"")</f>
        <v/>
      </c>
      <c r="H4425" s="55" t="str">
        <f>IFERROR(IF(OR($B4425="",$B4425="(blank)"),"",VLOOKUP($B4425,'Email Marketing Raw Data'!$C:$O,5,0)),"")</f>
        <v/>
      </c>
      <c r="I4425" s="55" t="str">
        <f>IFERROR(IF($G4425="","",VLOOKUP('Dashboard And Emails Automate'!$G4425,Database!$H:$N,3,0)),"")</f>
        <v/>
      </c>
      <c r="J4425" s="55" t="str">
        <f>IFERROR(IF($G4425="","",VLOOKUP('Dashboard And Emails Automate'!$G4425,Database!$H:$N,4,0)),"")</f>
        <v/>
      </c>
      <c r="K4425" s="55" t="str">
        <f>IFERROR(IF($G4425="","",VLOOKUP('Dashboard And Emails Automate'!$G4425,Database!$H:$N,5,0)),"")</f>
        <v/>
      </c>
      <c r="L4425" s="55" t="str">
        <f>IFERROR(IF($G4425="","",VLOOKUP('Dashboard And Emails Automate'!$G4425,Database!$H:$N,6,0)),"")</f>
        <v/>
      </c>
      <c r="M4425" s="55" t="str">
        <f>IFERROR(IF($G4425="","",VLOOKUP('Dashboard And Emails Automate'!$G4425,Database!$H:$N,7,0)),"")</f>
        <v/>
      </c>
      <c r="N4425" s="55" t="str">
        <f>IFERROR(IF(OR($B4425="",$B4425="(blank)"),"",VLOOKUP($B4425,'Email Marketing Raw Data'!$C:$O,6,0)),"")</f>
        <v/>
      </c>
      <c r="O4425" s="55" t="str">
        <f>IFERROR(IF(OR($B4425="",$B4425="(blank)"),"",VLOOKUP($B4425,'Email Marketing Raw Data'!$C:$O,7,0)),"")</f>
        <v/>
      </c>
      <c r="P4425" s="55" t="str">
        <f>IFERROR(IF(OR($B4425="",$B4425="(blank)"),"",VLOOKUP($B4425,'Email Marketing Raw Data'!$C:$O,8,0)),"")</f>
        <v/>
      </c>
      <c r="Q4425" s="62" t="str">
        <f>IFERROR(IF(OR($B4425="",$B4425="(blank)"),"",VLOOKUP($B4425,'Email Marketing Raw Data'!$C:$O,9,0)),"")</f>
        <v/>
      </c>
    </row>
    <row r="4426" spans="4:17" ht="12.75" customHeight="1" x14ac:dyDescent="0.2">
      <c r="D4426" s="58" t="str">
        <f>IFERROR(IF(F4426&lt;&gt;"pending","",IF(OR($B4426="",$B4426="(blank)"),"",VLOOKUP($B4426,'Email Marketing Raw Data'!$C:$O,10,0))),"")</f>
        <v/>
      </c>
      <c r="E4426" s="59" t="str">
        <f>IFERROR(IF(F4426&lt;&gt;"pending","",IF(OR($B4426="",$B4426="(blank)"),"",VLOOKUP($B4426,'Email Marketing Raw Data'!$C:$O,11,0))),"")</f>
        <v/>
      </c>
      <c r="F4426" s="54" t="str">
        <f>IFERROR(IF(OR($B4426="",$B4426="(blank)"),"",VLOOKUP($B4426,'Email Marketing Raw Data'!$C:$O,13,0)),"")</f>
        <v/>
      </c>
      <c r="G4426" s="55" t="str">
        <f>IFERROR(IF(OR($B4426="",$B4426="(blank)"),"",VLOOKUP($B4426,'Email Marketing Raw Data'!$C:$O,4,0)),"")</f>
        <v/>
      </c>
      <c r="H4426" s="55" t="str">
        <f>IFERROR(IF(OR($B4426="",$B4426="(blank)"),"",VLOOKUP($B4426,'Email Marketing Raw Data'!$C:$O,5,0)),"")</f>
        <v/>
      </c>
      <c r="I4426" s="55" t="str">
        <f>IFERROR(IF($G4426="","",VLOOKUP('Dashboard And Emails Automate'!$G4426,Database!$H:$N,3,0)),"")</f>
        <v/>
      </c>
      <c r="J4426" s="55" t="str">
        <f>IFERROR(IF($G4426="","",VLOOKUP('Dashboard And Emails Automate'!$G4426,Database!$H:$N,4,0)),"")</f>
        <v/>
      </c>
      <c r="K4426" s="55" t="str">
        <f>IFERROR(IF($G4426="","",VLOOKUP('Dashboard And Emails Automate'!$G4426,Database!$H:$N,5,0)),"")</f>
        <v/>
      </c>
      <c r="L4426" s="55" t="str">
        <f>IFERROR(IF($G4426="","",VLOOKUP('Dashboard And Emails Automate'!$G4426,Database!$H:$N,6,0)),"")</f>
        <v/>
      </c>
      <c r="M4426" s="55" t="str">
        <f>IFERROR(IF($G4426="","",VLOOKUP('Dashboard And Emails Automate'!$G4426,Database!$H:$N,7,0)),"")</f>
        <v/>
      </c>
      <c r="N4426" s="55" t="str">
        <f>IFERROR(IF(OR($B4426="",$B4426="(blank)"),"",VLOOKUP($B4426,'Email Marketing Raw Data'!$C:$O,6,0)),"")</f>
        <v/>
      </c>
      <c r="O4426" s="55" t="str">
        <f>IFERROR(IF(OR($B4426="",$B4426="(blank)"),"",VLOOKUP($B4426,'Email Marketing Raw Data'!$C:$O,7,0)),"")</f>
        <v/>
      </c>
      <c r="P4426" s="55" t="str">
        <f>IFERROR(IF(OR($B4426="",$B4426="(blank)"),"",VLOOKUP($B4426,'Email Marketing Raw Data'!$C:$O,8,0)),"")</f>
        <v/>
      </c>
      <c r="Q4426" s="62" t="str">
        <f>IFERROR(IF(OR($B4426="",$B4426="(blank)"),"",VLOOKUP($B4426,'Email Marketing Raw Data'!$C:$O,9,0)),"")</f>
        <v/>
      </c>
    </row>
    <row r="4427" spans="4:17" ht="12.75" customHeight="1" x14ac:dyDescent="0.2">
      <c r="D4427" s="58" t="str">
        <f>IFERROR(IF(F4427&lt;&gt;"pending","",IF(OR($B4427="",$B4427="(blank)"),"",VLOOKUP($B4427,'Email Marketing Raw Data'!$C:$O,10,0))),"")</f>
        <v/>
      </c>
      <c r="E4427" s="59" t="str">
        <f>IFERROR(IF(F4427&lt;&gt;"pending","",IF(OR($B4427="",$B4427="(blank)"),"",VLOOKUP($B4427,'Email Marketing Raw Data'!$C:$O,11,0))),"")</f>
        <v/>
      </c>
      <c r="F4427" s="54" t="str">
        <f>IFERROR(IF(OR($B4427="",$B4427="(blank)"),"",VLOOKUP($B4427,'Email Marketing Raw Data'!$C:$O,13,0)),"")</f>
        <v/>
      </c>
      <c r="G4427" s="55" t="str">
        <f>IFERROR(IF(OR($B4427="",$B4427="(blank)"),"",VLOOKUP($B4427,'Email Marketing Raw Data'!$C:$O,4,0)),"")</f>
        <v/>
      </c>
      <c r="H4427" s="55" t="str">
        <f>IFERROR(IF(OR($B4427="",$B4427="(blank)"),"",VLOOKUP($B4427,'Email Marketing Raw Data'!$C:$O,5,0)),"")</f>
        <v/>
      </c>
      <c r="I4427" s="55" t="str">
        <f>IFERROR(IF($G4427="","",VLOOKUP('Dashboard And Emails Automate'!$G4427,Database!$H:$N,3,0)),"")</f>
        <v/>
      </c>
      <c r="J4427" s="55" t="str">
        <f>IFERROR(IF($G4427="","",VLOOKUP('Dashboard And Emails Automate'!$G4427,Database!$H:$N,4,0)),"")</f>
        <v/>
      </c>
      <c r="K4427" s="55" t="str">
        <f>IFERROR(IF($G4427="","",VLOOKUP('Dashboard And Emails Automate'!$G4427,Database!$H:$N,5,0)),"")</f>
        <v/>
      </c>
      <c r="L4427" s="55" t="str">
        <f>IFERROR(IF($G4427="","",VLOOKUP('Dashboard And Emails Automate'!$G4427,Database!$H:$N,6,0)),"")</f>
        <v/>
      </c>
      <c r="M4427" s="55" t="str">
        <f>IFERROR(IF($G4427="","",VLOOKUP('Dashboard And Emails Automate'!$G4427,Database!$H:$N,7,0)),"")</f>
        <v/>
      </c>
      <c r="N4427" s="55" t="str">
        <f>IFERROR(IF(OR($B4427="",$B4427="(blank)"),"",VLOOKUP($B4427,'Email Marketing Raw Data'!$C:$O,6,0)),"")</f>
        <v/>
      </c>
      <c r="O4427" s="55" t="str">
        <f>IFERROR(IF(OR($B4427="",$B4427="(blank)"),"",VLOOKUP($B4427,'Email Marketing Raw Data'!$C:$O,7,0)),"")</f>
        <v/>
      </c>
      <c r="P4427" s="55" t="str">
        <f>IFERROR(IF(OR($B4427="",$B4427="(blank)"),"",VLOOKUP($B4427,'Email Marketing Raw Data'!$C:$O,8,0)),"")</f>
        <v/>
      </c>
      <c r="Q4427" s="62" t="str">
        <f>IFERROR(IF(OR($B4427="",$B4427="(blank)"),"",VLOOKUP($B4427,'Email Marketing Raw Data'!$C:$O,9,0)),"")</f>
        <v/>
      </c>
    </row>
    <row r="4428" spans="4:17" ht="12.75" customHeight="1" x14ac:dyDescent="0.2">
      <c r="D4428" s="58" t="str">
        <f>IFERROR(IF(F4428&lt;&gt;"pending","",IF(OR($B4428="",$B4428="(blank)"),"",VLOOKUP($B4428,'Email Marketing Raw Data'!$C:$O,10,0))),"")</f>
        <v/>
      </c>
      <c r="E4428" s="59" t="str">
        <f>IFERROR(IF(F4428&lt;&gt;"pending","",IF(OR($B4428="",$B4428="(blank)"),"",VLOOKUP($B4428,'Email Marketing Raw Data'!$C:$O,11,0))),"")</f>
        <v/>
      </c>
      <c r="F4428" s="54" t="str">
        <f>IFERROR(IF(OR($B4428="",$B4428="(blank)"),"",VLOOKUP($B4428,'Email Marketing Raw Data'!$C:$O,13,0)),"")</f>
        <v/>
      </c>
      <c r="G4428" s="55" t="str">
        <f>IFERROR(IF(OR($B4428="",$B4428="(blank)"),"",VLOOKUP($B4428,'Email Marketing Raw Data'!$C:$O,4,0)),"")</f>
        <v/>
      </c>
      <c r="H4428" s="55" t="str">
        <f>IFERROR(IF(OR($B4428="",$B4428="(blank)"),"",VLOOKUP($B4428,'Email Marketing Raw Data'!$C:$O,5,0)),"")</f>
        <v/>
      </c>
      <c r="I4428" s="55" t="str">
        <f>IFERROR(IF($G4428="","",VLOOKUP('Dashboard And Emails Automate'!$G4428,Database!$H:$N,3,0)),"")</f>
        <v/>
      </c>
      <c r="J4428" s="55" t="str">
        <f>IFERROR(IF($G4428="","",VLOOKUP('Dashboard And Emails Automate'!$G4428,Database!$H:$N,4,0)),"")</f>
        <v/>
      </c>
      <c r="K4428" s="55" t="str">
        <f>IFERROR(IF($G4428="","",VLOOKUP('Dashboard And Emails Automate'!$G4428,Database!$H:$N,5,0)),"")</f>
        <v/>
      </c>
      <c r="L4428" s="55" t="str">
        <f>IFERROR(IF($G4428="","",VLOOKUP('Dashboard And Emails Automate'!$G4428,Database!$H:$N,6,0)),"")</f>
        <v/>
      </c>
      <c r="M4428" s="55" t="str">
        <f>IFERROR(IF($G4428="","",VLOOKUP('Dashboard And Emails Automate'!$G4428,Database!$H:$N,7,0)),"")</f>
        <v/>
      </c>
      <c r="N4428" s="55" t="str">
        <f>IFERROR(IF(OR($B4428="",$B4428="(blank)"),"",VLOOKUP($B4428,'Email Marketing Raw Data'!$C:$O,6,0)),"")</f>
        <v/>
      </c>
      <c r="O4428" s="55" t="str">
        <f>IFERROR(IF(OR($B4428="",$B4428="(blank)"),"",VLOOKUP($B4428,'Email Marketing Raw Data'!$C:$O,7,0)),"")</f>
        <v/>
      </c>
      <c r="P4428" s="55" t="str">
        <f>IFERROR(IF(OR($B4428="",$B4428="(blank)"),"",VLOOKUP($B4428,'Email Marketing Raw Data'!$C:$O,8,0)),"")</f>
        <v/>
      </c>
      <c r="Q4428" s="62" t="str">
        <f>IFERROR(IF(OR($B4428="",$B4428="(blank)"),"",VLOOKUP($B4428,'Email Marketing Raw Data'!$C:$O,9,0)),"")</f>
        <v/>
      </c>
    </row>
    <row r="4429" spans="4:17" ht="12.75" customHeight="1" x14ac:dyDescent="0.2">
      <c r="D4429" s="58" t="str">
        <f>IFERROR(IF(F4429&lt;&gt;"pending","",IF(OR($B4429="",$B4429="(blank)"),"",VLOOKUP($B4429,'Email Marketing Raw Data'!$C:$O,10,0))),"")</f>
        <v/>
      </c>
      <c r="E4429" s="59" t="str">
        <f>IFERROR(IF(F4429&lt;&gt;"pending","",IF(OR($B4429="",$B4429="(blank)"),"",VLOOKUP($B4429,'Email Marketing Raw Data'!$C:$O,11,0))),"")</f>
        <v/>
      </c>
      <c r="F4429" s="54" t="str">
        <f>IFERROR(IF(OR($B4429="",$B4429="(blank)"),"",VLOOKUP($B4429,'Email Marketing Raw Data'!$C:$O,13,0)),"")</f>
        <v/>
      </c>
      <c r="G4429" s="55" t="str">
        <f>IFERROR(IF(OR($B4429="",$B4429="(blank)"),"",VLOOKUP($B4429,'Email Marketing Raw Data'!$C:$O,4,0)),"")</f>
        <v/>
      </c>
      <c r="H4429" s="55" t="str">
        <f>IFERROR(IF(OR($B4429="",$B4429="(blank)"),"",VLOOKUP($B4429,'Email Marketing Raw Data'!$C:$O,5,0)),"")</f>
        <v/>
      </c>
      <c r="I4429" s="55" t="str">
        <f>IFERROR(IF($G4429="","",VLOOKUP('Dashboard And Emails Automate'!$G4429,Database!$H:$N,3,0)),"")</f>
        <v/>
      </c>
      <c r="J4429" s="55" t="str">
        <f>IFERROR(IF($G4429="","",VLOOKUP('Dashboard And Emails Automate'!$G4429,Database!$H:$N,4,0)),"")</f>
        <v/>
      </c>
      <c r="K4429" s="55" t="str">
        <f>IFERROR(IF($G4429="","",VLOOKUP('Dashboard And Emails Automate'!$G4429,Database!$H:$N,5,0)),"")</f>
        <v/>
      </c>
      <c r="L4429" s="55" t="str">
        <f>IFERROR(IF($G4429="","",VLOOKUP('Dashboard And Emails Automate'!$G4429,Database!$H:$N,6,0)),"")</f>
        <v/>
      </c>
      <c r="M4429" s="55" t="str">
        <f>IFERROR(IF($G4429="","",VLOOKUP('Dashboard And Emails Automate'!$G4429,Database!$H:$N,7,0)),"")</f>
        <v/>
      </c>
      <c r="N4429" s="55" t="str">
        <f>IFERROR(IF(OR($B4429="",$B4429="(blank)"),"",VLOOKUP($B4429,'Email Marketing Raw Data'!$C:$O,6,0)),"")</f>
        <v/>
      </c>
      <c r="O4429" s="55" t="str">
        <f>IFERROR(IF(OR($B4429="",$B4429="(blank)"),"",VLOOKUP($B4429,'Email Marketing Raw Data'!$C:$O,7,0)),"")</f>
        <v/>
      </c>
      <c r="P4429" s="55" t="str">
        <f>IFERROR(IF(OR($B4429="",$B4429="(blank)"),"",VLOOKUP($B4429,'Email Marketing Raw Data'!$C:$O,8,0)),"")</f>
        <v/>
      </c>
      <c r="Q4429" s="62" t="str">
        <f>IFERROR(IF(OR($B4429="",$B4429="(blank)"),"",VLOOKUP($B4429,'Email Marketing Raw Data'!$C:$O,9,0)),"")</f>
        <v/>
      </c>
    </row>
    <row r="4430" spans="4:17" ht="12.75" customHeight="1" x14ac:dyDescent="0.2">
      <c r="D4430" s="58" t="str">
        <f>IFERROR(IF(F4430&lt;&gt;"pending","",IF(OR($B4430="",$B4430="(blank)"),"",VLOOKUP($B4430,'Email Marketing Raw Data'!$C:$O,10,0))),"")</f>
        <v/>
      </c>
      <c r="E4430" s="59" t="str">
        <f>IFERROR(IF(F4430&lt;&gt;"pending","",IF(OR($B4430="",$B4430="(blank)"),"",VLOOKUP($B4430,'Email Marketing Raw Data'!$C:$O,11,0))),"")</f>
        <v/>
      </c>
      <c r="F4430" s="54" t="str">
        <f>IFERROR(IF(OR($B4430="",$B4430="(blank)"),"",VLOOKUP($B4430,'Email Marketing Raw Data'!$C:$O,13,0)),"")</f>
        <v/>
      </c>
      <c r="G4430" s="55" t="str">
        <f>IFERROR(IF(OR($B4430="",$B4430="(blank)"),"",VLOOKUP($B4430,'Email Marketing Raw Data'!$C:$O,4,0)),"")</f>
        <v/>
      </c>
      <c r="H4430" s="55" t="str">
        <f>IFERROR(IF(OR($B4430="",$B4430="(blank)"),"",VLOOKUP($B4430,'Email Marketing Raw Data'!$C:$O,5,0)),"")</f>
        <v/>
      </c>
      <c r="I4430" s="55" t="str">
        <f>IFERROR(IF($G4430="","",VLOOKUP('Dashboard And Emails Automate'!$G4430,Database!$H:$N,3,0)),"")</f>
        <v/>
      </c>
      <c r="J4430" s="55" t="str">
        <f>IFERROR(IF($G4430="","",VLOOKUP('Dashboard And Emails Automate'!$G4430,Database!$H:$N,4,0)),"")</f>
        <v/>
      </c>
      <c r="K4430" s="55" t="str">
        <f>IFERROR(IF($G4430="","",VLOOKUP('Dashboard And Emails Automate'!$G4430,Database!$H:$N,5,0)),"")</f>
        <v/>
      </c>
      <c r="L4430" s="55" t="str">
        <f>IFERROR(IF($G4430="","",VLOOKUP('Dashboard And Emails Automate'!$G4430,Database!$H:$N,6,0)),"")</f>
        <v/>
      </c>
      <c r="M4430" s="55" t="str">
        <f>IFERROR(IF($G4430="","",VLOOKUP('Dashboard And Emails Automate'!$G4430,Database!$H:$N,7,0)),"")</f>
        <v/>
      </c>
      <c r="N4430" s="55" t="str">
        <f>IFERROR(IF(OR($B4430="",$B4430="(blank)"),"",VLOOKUP($B4430,'Email Marketing Raw Data'!$C:$O,6,0)),"")</f>
        <v/>
      </c>
      <c r="O4430" s="55" t="str">
        <f>IFERROR(IF(OR($B4430="",$B4430="(blank)"),"",VLOOKUP($B4430,'Email Marketing Raw Data'!$C:$O,7,0)),"")</f>
        <v/>
      </c>
      <c r="P4430" s="55" t="str">
        <f>IFERROR(IF(OR($B4430="",$B4430="(blank)"),"",VLOOKUP($B4430,'Email Marketing Raw Data'!$C:$O,8,0)),"")</f>
        <v/>
      </c>
      <c r="Q4430" s="62" t="str">
        <f>IFERROR(IF(OR($B4430="",$B4430="(blank)"),"",VLOOKUP($B4430,'Email Marketing Raw Data'!$C:$O,9,0)),"")</f>
        <v/>
      </c>
    </row>
    <row r="4431" spans="4:17" ht="12.75" customHeight="1" x14ac:dyDescent="0.2">
      <c r="D4431" s="58" t="str">
        <f>IFERROR(IF(F4431&lt;&gt;"pending","",IF(OR($B4431="",$B4431="(blank)"),"",VLOOKUP($B4431,'Email Marketing Raw Data'!$C:$O,10,0))),"")</f>
        <v/>
      </c>
      <c r="E4431" s="59" t="str">
        <f>IFERROR(IF(F4431&lt;&gt;"pending","",IF(OR($B4431="",$B4431="(blank)"),"",VLOOKUP($B4431,'Email Marketing Raw Data'!$C:$O,11,0))),"")</f>
        <v/>
      </c>
      <c r="F4431" s="54" t="str">
        <f>IFERROR(IF(OR($B4431="",$B4431="(blank)"),"",VLOOKUP($B4431,'Email Marketing Raw Data'!$C:$O,13,0)),"")</f>
        <v/>
      </c>
      <c r="G4431" s="55" t="str">
        <f>IFERROR(IF(OR($B4431="",$B4431="(blank)"),"",VLOOKUP($B4431,'Email Marketing Raw Data'!$C:$O,4,0)),"")</f>
        <v/>
      </c>
      <c r="H4431" s="55" t="str">
        <f>IFERROR(IF(OR($B4431="",$B4431="(blank)"),"",VLOOKUP($B4431,'Email Marketing Raw Data'!$C:$O,5,0)),"")</f>
        <v/>
      </c>
      <c r="I4431" s="55" t="str">
        <f>IFERROR(IF($G4431="","",VLOOKUP('Dashboard And Emails Automate'!$G4431,Database!$H:$N,3,0)),"")</f>
        <v/>
      </c>
      <c r="J4431" s="55" t="str">
        <f>IFERROR(IF($G4431="","",VLOOKUP('Dashboard And Emails Automate'!$G4431,Database!$H:$N,4,0)),"")</f>
        <v/>
      </c>
      <c r="K4431" s="55" t="str">
        <f>IFERROR(IF($G4431="","",VLOOKUP('Dashboard And Emails Automate'!$G4431,Database!$H:$N,5,0)),"")</f>
        <v/>
      </c>
      <c r="L4431" s="55" t="str">
        <f>IFERROR(IF($G4431="","",VLOOKUP('Dashboard And Emails Automate'!$G4431,Database!$H:$N,6,0)),"")</f>
        <v/>
      </c>
      <c r="M4431" s="55" t="str">
        <f>IFERROR(IF($G4431="","",VLOOKUP('Dashboard And Emails Automate'!$G4431,Database!$H:$N,7,0)),"")</f>
        <v/>
      </c>
      <c r="N4431" s="55" t="str">
        <f>IFERROR(IF(OR($B4431="",$B4431="(blank)"),"",VLOOKUP($B4431,'Email Marketing Raw Data'!$C:$O,6,0)),"")</f>
        <v/>
      </c>
      <c r="O4431" s="55" t="str">
        <f>IFERROR(IF(OR($B4431="",$B4431="(blank)"),"",VLOOKUP($B4431,'Email Marketing Raw Data'!$C:$O,7,0)),"")</f>
        <v/>
      </c>
      <c r="P4431" s="55" t="str">
        <f>IFERROR(IF(OR($B4431="",$B4431="(blank)"),"",VLOOKUP($B4431,'Email Marketing Raw Data'!$C:$O,8,0)),"")</f>
        <v/>
      </c>
      <c r="Q4431" s="62" t="str">
        <f>IFERROR(IF(OR($B4431="",$B4431="(blank)"),"",VLOOKUP($B4431,'Email Marketing Raw Data'!$C:$O,9,0)),"")</f>
        <v/>
      </c>
    </row>
    <row r="4432" spans="4:17" ht="12.75" customHeight="1" x14ac:dyDescent="0.2">
      <c r="D4432" s="58" t="str">
        <f>IFERROR(IF(F4432&lt;&gt;"pending","",IF(OR($B4432="",$B4432="(blank)"),"",VLOOKUP($B4432,'Email Marketing Raw Data'!$C:$O,10,0))),"")</f>
        <v/>
      </c>
      <c r="E4432" s="59" t="str">
        <f>IFERROR(IF(F4432&lt;&gt;"pending","",IF(OR($B4432="",$B4432="(blank)"),"",VLOOKUP($B4432,'Email Marketing Raw Data'!$C:$O,11,0))),"")</f>
        <v/>
      </c>
      <c r="F4432" s="54" t="str">
        <f>IFERROR(IF(OR($B4432="",$B4432="(blank)"),"",VLOOKUP($B4432,'Email Marketing Raw Data'!$C:$O,13,0)),"")</f>
        <v/>
      </c>
      <c r="G4432" s="55" t="str">
        <f>IFERROR(IF(OR($B4432="",$B4432="(blank)"),"",VLOOKUP($B4432,'Email Marketing Raw Data'!$C:$O,4,0)),"")</f>
        <v/>
      </c>
      <c r="H4432" s="55" t="str">
        <f>IFERROR(IF(OR($B4432="",$B4432="(blank)"),"",VLOOKUP($B4432,'Email Marketing Raw Data'!$C:$O,5,0)),"")</f>
        <v/>
      </c>
      <c r="I4432" s="55" t="str">
        <f>IFERROR(IF($G4432="","",VLOOKUP('Dashboard And Emails Automate'!$G4432,Database!$H:$N,3,0)),"")</f>
        <v/>
      </c>
      <c r="J4432" s="55" t="str">
        <f>IFERROR(IF($G4432="","",VLOOKUP('Dashboard And Emails Automate'!$G4432,Database!$H:$N,4,0)),"")</f>
        <v/>
      </c>
      <c r="K4432" s="55" t="str">
        <f>IFERROR(IF($G4432="","",VLOOKUP('Dashboard And Emails Automate'!$G4432,Database!$H:$N,5,0)),"")</f>
        <v/>
      </c>
      <c r="L4432" s="55" t="str">
        <f>IFERROR(IF($G4432="","",VLOOKUP('Dashboard And Emails Automate'!$G4432,Database!$H:$N,6,0)),"")</f>
        <v/>
      </c>
      <c r="M4432" s="55" t="str">
        <f>IFERROR(IF($G4432="","",VLOOKUP('Dashboard And Emails Automate'!$G4432,Database!$H:$N,7,0)),"")</f>
        <v/>
      </c>
      <c r="N4432" s="55" t="str">
        <f>IFERROR(IF(OR($B4432="",$B4432="(blank)"),"",VLOOKUP($B4432,'Email Marketing Raw Data'!$C:$O,6,0)),"")</f>
        <v/>
      </c>
      <c r="O4432" s="55" t="str">
        <f>IFERROR(IF(OR($B4432="",$B4432="(blank)"),"",VLOOKUP($B4432,'Email Marketing Raw Data'!$C:$O,7,0)),"")</f>
        <v/>
      </c>
      <c r="P4432" s="55" t="str">
        <f>IFERROR(IF(OR($B4432="",$B4432="(blank)"),"",VLOOKUP($B4432,'Email Marketing Raw Data'!$C:$O,8,0)),"")</f>
        <v/>
      </c>
      <c r="Q4432" s="62" t="str">
        <f>IFERROR(IF(OR($B4432="",$B4432="(blank)"),"",VLOOKUP($B4432,'Email Marketing Raw Data'!$C:$O,9,0)),"")</f>
        <v/>
      </c>
    </row>
    <row r="4433" spans="4:17" ht="12.75" customHeight="1" x14ac:dyDescent="0.2">
      <c r="D4433" s="58" t="str">
        <f>IFERROR(IF(F4433&lt;&gt;"pending","",IF(OR($B4433="",$B4433="(blank)"),"",VLOOKUP($B4433,'Email Marketing Raw Data'!$C:$O,10,0))),"")</f>
        <v/>
      </c>
      <c r="E4433" s="59" t="str">
        <f>IFERROR(IF(F4433&lt;&gt;"pending","",IF(OR($B4433="",$B4433="(blank)"),"",VLOOKUP($B4433,'Email Marketing Raw Data'!$C:$O,11,0))),"")</f>
        <v/>
      </c>
      <c r="F4433" s="54" t="str">
        <f>IFERROR(IF(OR($B4433="",$B4433="(blank)"),"",VLOOKUP($B4433,'Email Marketing Raw Data'!$C:$O,13,0)),"")</f>
        <v/>
      </c>
      <c r="G4433" s="55" t="str">
        <f>IFERROR(IF(OR($B4433="",$B4433="(blank)"),"",VLOOKUP($B4433,'Email Marketing Raw Data'!$C:$O,4,0)),"")</f>
        <v/>
      </c>
      <c r="H4433" s="55" t="str">
        <f>IFERROR(IF(OR($B4433="",$B4433="(blank)"),"",VLOOKUP($B4433,'Email Marketing Raw Data'!$C:$O,5,0)),"")</f>
        <v/>
      </c>
      <c r="I4433" s="55" t="str">
        <f>IFERROR(IF($G4433="","",VLOOKUP('Dashboard And Emails Automate'!$G4433,Database!$H:$N,3,0)),"")</f>
        <v/>
      </c>
      <c r="J4433" s="55" t="str">
        <f>IFERROR(IF($G4433="","",VLOOKUP('Dashboard And Emails Automate'!$G4433,Database!$H:$N,4,0)),"")</f>
        <v/>
      </c>
      <c r="K4433" s="55" t="str">
        <f>IFERROR(IF($G4433="","",VLOOKUP('Dashboard And Emails Automate'!$G4433,Database!$H:$N,5,0)),"")</f>
        <v/>
      </c>
      <c r="L4433" s="55" t="str">
        <f>IFERROR(IF($G4433="","",VLOOKUP('Dashboard And Emails Automate'!$G4433,Database!$H:$N,6,0)),"")</f>
        <v/>
      </c>
      <c r="M4433" s="55" t="str">
        <f>IFERROR(IF($G4433="","",VLOOKUP('Dashboard And Emails Automate'!$G4433,Database!$H:$N,7,0)),"")</f>
        <v/>
      </c>
      <c r="N4433" s="55" t="str">
        <f>IFERROR(IF(OR($B4433="",$B4433="(blank)"),"",VLOOKUP($B4433,'Email Marketing Raw Data'!$C:$O,6,0)),"")</f>
        <v/>
      </c>
      <c r="O4433" s="55" t="str">
        <f>IFERROR(IF(OR($B4433="",$B4433="(blank)"),"",VLOOKUP($B4433,'Email Marketing Raw Data'!$C:$O,7,0)),"")</f>
        <v/>
      </c>
      <c r="P4433" s="55" t="str">
        <f>IFERROR(IF(OR($B4433="",$B4433="(blank)"),"",VLOOKUP($B4433,'Email Marketing Raw Data'!$C:$O,8,0)),"")</f>
        <v/>
      </c>
      <c r="Q4433" s="62" t="str">
        <f>IFERROR(IF(OR($B4433="",$B4433="(blank)"),"",VLOOKUP($B4433,'Email Marketing Raw Data'!$C:$O,9,0)),"")</f>
        <v/>
      </c>
    </row>
    <row r="4434" spans="4:17" ht="12.75" customHeight="1" x14ac:dyDescent="0.2">
      <c r="D4434" s="58" t="str">
        <f>IFERROR(IF(F4434&lt;&gt;"pending","",IF(OR($B4434="",$B4434="(blank)"),"",VLOOKUP($B4434,'Email Marketing Raw Data'!$C:$O,10,0))),"")</f>
        <v/>
      </c>
      <c r="E4434" s="59" t="str">
        <f>IFERROR(IF(F4434&lt;&gt;"pending","",IF(OR($B4434="",$B4434="(blank)"),"",VLOOKUP($B4434,'Email Marketing Raw Data'!$C:$O,11,0))),"")</f>
        <v/>
      </c>
      <c r="F4434" s="54" t="str">
        <f>IFERROR(IF(OR($B4434="",$B4434="(blank)"),"",VLOOKUP($B4434,'Email Marketing Raw Data'!$C:$O,13,0)),"")</f>
        <v/>
      </c>
      <c r="G4434" s="55" t="str">
        <f>IFERROR(IF(OR($B4434="",$B4434="(blank)"),"",VLOOKUP($B4434,'Email Marketing Raw Data'!$C:$O,4,0)),"")</f>
        <v/>
      </c>
      <c r="H4434" s="55" t="str">
        <f>IFERROR(IF(OR($B4434="",$B4434="(blank)"),"",VLOOKUP($B4434,'Email Marketing Raw Data'!$C:$O,5,0)),"")</f>
        <v/>
      </c>
      <c r="I4434" s="55" t="str">
        <f>IFERROR(IF($G4434="","",VLOOKUP('Dashboard And Emails Automate'!$G4434,Database!$H:$N,3,0)),"")</f>
        <v/>
      </c>
      <c r="J4434" s="55" t="str">
        <f>IFERROR(IF($G4434="","",VLOOKUP('Dashboard And Emails Automate'!$G4434,Database!$H:$N,4,0)),"")</f>
        <v/>
      </c>
      <c r="K4434" s="55" t="str">
        <f>IFERROR(IF($G4434="","",VLOOKUP('Dashboard And Emails Automate'!$G4434,Database!$H:$N,5,0)),"")</f>
        <v/>
      </c>
      <c r="L4434" s="55" t="str">
        <f>IFERROR(IF($G4434="","",VLOOKUP('Dashboard And Emails Automate'!$G4434,Database!$H:$N,6,0)),"")</f>
        <v/>
      </c>
      <c r="M4434" s="55" t="str">
        <f>IFERROR(IF($G4434="","",VLOOKUP('Dashboard And Emails Automate'!$G4434,Database!$H:$N,7,0)),"")</f>
        <v/>
      </c>
      <c r="N4434" s="55" t="str">
        <f>IFERROR(IF(OR($B4434="",$B4434="(blank)"),"",VLOOKUP($B4434,'Email Marketing Raw Data'!$C:$O,6,0)),"")</f>
        <v/>
      </c>
      <c r="O4434" s="55" t="str">
        <f>IFERROR(IF(OR($B4434="",$B4434="(blank)"),"",VLOOKUP($B4434,'Email Marketing Raw Data'!$C:$O,7,0)),"")</f>
        <v/>
      </c>
      <c r="P4434" s="55" t="str">
        <f>IFERROR(IF(OR($B4434="",$B4434="(blank)"),"",VLOOKUP($B4434,'Email Marketing Raw Data'!$C:$O,8,0)),"")</f>
        <v/>
      </c>
      <c r="Q4434" s="62" t="str">
        <f>IFERROR(IF(OR($B4434="",$B4434="(blank)"),"",VLOOKUP($B4434,'Email Marketing Raw Data'!$C:$O,9,0)),"")</f>
        <v/>
      </c>
    </row>
    <row r="4435" spans="4:17" ht="12.75" customHeight="1" x14ac:dyDescent="0.2">
      <c r="D4435" s="58" t="str">
        <f>IFERROR(IF(F4435&lt;&gt;"pending","",IF(OR($B4435="",$B4435="(blank)"),"",VLOOKUP($B4435,'Email Marketing Raw Data'!$C:$O,10,0))),"")</f>
        <v/>
      </c>
      <c r="E4435" s="59" t="str">
        <f>IFERROR(IF(F4435&lt;&gt;"pending","",IF(OR($B4435="",$B4435="(blank)"),"",VLOOKUP($B4435,'Email Marketing Raw Data'!$C:$O,11,0))),"")</f>
        <v/>
      </c>
      <c r="F4435" s="54" t="str">
        <f>IFERROR(IF(OR($B4435="",$B4435="(blank)"),"",VLOOKUP($B4435,'Email Marketing Raw Data'!$C:$O,13,0)),"")</f>
        <v/>
      </c>
      <c r="G4435" s="55" t="str">
        <f>IFERROR(IF(OR($B4435="",$B4435="(blank)"),"",VLOOKUP($B4435,'Email Marketing Raw Data'!$C:$O,4,0)),"")</f>
        <v/>
      </c>
      <c r="H4435" s="55" t="str">
        <f>IFERROR(IF(OR($B4435="",$B4435="(blank)"),"",VLOOKUP($B4435,'Email Marketing Raw Data'!$C:$O,5,0)),"")</f>
        <v/>
      </c>
      <c r="I4435" s="55" t="str">
        <f>IFERROR(IF($G4435="","",VLOOKUP('Dashboard And Emails Automate'!$G4435,Database!$H:$N,3,0)),"")</f>
        <v/>
      </c>
      <c r="J4435" s="55" t="str">
        <f>IFERROR(IF($G4435="","",VLOOKUP('Dashboard And Emails Automate'!$G4435,Database!$H:$N,4,0)),"")</f>
        <v/>
      </c>
      <c r="K4435" s="55" t="str">
        <f>IFERROR(IF($G4435="","",VLOOKUP('Dashboard And Emails Automate'!$G4435,Database!$H:$N,5,0)),"")</f>
        <v/>
      </c>
      <c r="L4435" s="55" t="str">
        <f>IFERROR(IF($G4435="","",VLOOKUP('Dashboard And Emails Automate'!$G4435,Database!$H:$N,6,0)),"")</f>
        <v/>
      </c>
      <c r="M4435" s="55" t="str">
        <f>IFERROR(IF($G4435="","",VLOOKUP('Dashboard And Emails Automate'!$G4435,Database!$H:$N,7,0)),"")</f>
        <v/>
      </c>
      <c r="N4435" s="55" t="str">
        <f>IFERROR(IF(OR($B4435="",$B4435="(blank)"),"",VLOOKUP($B4435,'Email Marketing Raw Data'!$C:$O,6,0)),"")</f>
        <v/>
      </c>
      <c r="O4435" s="55" t="str">
        <f>IFERROR(IF(OR($B4435="",$B4435="(blank)"),"",VLOOKUP($B4435,'Email Marketing Raw Data'!$C:$O,7,0)),"")</f>
        <v/>
      </c>
      <c r="P4435" s="55" t="str">
        <f>IFERROR(IF(OR($B4435="",$B4435="(blank)"),"",VLOOKUP($B4435,'Email Marketing Raw Data'!$C:$O,8,0)),"")</f>
        <v/>
      </c>
      <c r="Q4435" s="62" t="str">
        <f>IFERROR(IF(OR($B4435="",$B4435="(blank)"),"",VLOOKUP($B4435,'Email Marketing Raw Data'!$C:$O,9,0)),"")</f>
        <v/>
      </c>
    </row>
    <row r="4436" spans="4:17" ht="12.75" customHeight="1" x14ac:dyDescent="0.2">
      <c r="D4436" s="58" t="str">
        <f>IFERROR(IF(F4436&lt;&gt;"pending","",IF(OR($B4436="",$B4436="(blank)"),"",VLOOKUP($B4436,'Email Marketing Raw Data'!$C:$O,10,0))),"")</f>
        <v/>
      </c>
      <c r="E4436" s="59" t="str">
        <f>IFERROR(IF(F4436&lt;&gt;"pending","",IF(OR($B4436="",$B4436="(blank)"),"",VLOOKUP($B4436,'Email Marketing Raw Data'!$C:$O,11,0))),"")</f>
        <v/>
      </c>
      <c r="F4436" s="54" t="str">
        <f>IFERROR(IF(OR($B4436="",$B4436="(blank)"),"",VLOOKUP($B4436,'Email Marketing Raw Data'!$C:$O,13,0)),"")</f>
        <v/>
      </c>
      <c r="G4436" s="55" t="str">
        <f>IFERROR(IF(OR($B4436="",$B4436="(blank)"),"",VLOOKUP($B4436,'Email Marketing Raw Data'!$C:$O,4,0)),"")</f>
        <v/>
      </c>
      <c r="H4436" s="55" t="str">
        <f>IFERROR(IF(OR($B4436="",$B4436="(blank)"),"",VLOOKUP($B4436,'Email Marketing Raw Data'!$C:$O,5,0)),"")</f>
        <v/>
      </c>
      <c r="I4436" s="55" t="str">
        <f>IFERROR(IF($G4436="","",VLOOKUP('Dashboard And Emails Automate'!$G4436,Database!$H:$N,3,0)),"")</f>
        <v/>
      </c>
      <c r="J4436" s="55" t="str">
        <f>IFERROR(IF($G4436="","",VLOOKUP('Dashboard And Emails Automate'!$G4436,Database!$H:$N,4,0)),"")</f>
        <v/>
      </c>
      <c r="K4436" s="55" t="str">
        <f>IFERROR(IF($G4436="","",VLOOKUP('Dashboard And Emails Automate'!$G4436,Database!$H:$N,5,0)),"")</f>
        <v/>
      </c>
      <c r="L4436" s="55" t="str">
        <f>IFERROR(IF($G4436="","",VLOOKUP('Dashboard And Emails Automate'!$G4436,Database!$H:$N,6,0)),"")</f>
        <v/>
      </c>
      <c r="M4436" s="55" t="str">
        <f>IFERROR(IF($G4436="","",VLOOKUP('Dashboard And Emails Automate'!$G4436,Database!$H:$N,7,0)),"")</f>
        <v/>
      </c>
      <c r="N4436" s="55" t="str">
        <f>IFERROR(IF(OR($B4436="",$B4436="(blank)"),"",VLOOKUP($B4436,'Email Marketing Raw Data'!$C:$O,6,0)),"")</f>
        <v/>
      </c>
      <c r="O4436" s="55" t="str">
        <f>IFERROR(IF(OR($B4436="",$B4436="(blank)"),"",VLOOKUP($B4436,'Email Marketing Raw Data'!$C:$O,7,0)),"")</f>
        <v/>
      </c>
      <c r="P4436" s="55" t="str">
        <f>IFERROR(IF(OR($B4436="",$B4436="(blank)"),"",VLOOKUP($B4436,'Email Marketing Raw Data'!$C:$O,8,0)),"")</f>
        <v/>
      </c>
      <c r="Q4436" s="62" t="str">
        <f>IFERROR(IF(OR($B4436="",$B4436="(blank)"),"",VLOOKUP($B4436,'Email Marketing Raw Data'!$C:$O,9,0)),"")</f>
        <v/>
      </c>
    </row>
    <row r="4437" spans="4:17" ht="12.75" customHeight="1" x14ac:dyDescent="0.2">
      <c r="D4437" s="58" t="str">
        <f>IFERROR(IF(F4437&lt;&gt;"pending","",IF(OR($B4437="",$B4437="(blank)"),"",VLOOKUP($B4437,'Email Marketing Raw Data'!$C:$O,10,0))),"")</f>
        <v/>
      </c>
      <c r="E4437" s="59" t="str">
        <f>IFERROR(IF(F4437&lt;&gt;"pending","",IF(OR($B4437="",$B4437="(blank)"),"",VLOOKUP($B4437,'Email Marketing Raw Data'!$C:$O,11,0))),"")</f>
        <v/>
      </c>
      <c r="F4437" s="54" t="str">
        <f>IFERROR(IF(OR($B4437="",$B4437="(blank)"),"",VLOOKUP($B4437,'Email Marketing Raw Data'!$C:$O,13,0)),"")</f>
        <v/>
      </c>
      <c r="G4437" s="55" t="str">
        <f>IFERROR(IF(OR($B4437="",$B4437="(blank)"),"",VLOOKUP($B4437,'Email Marketing Raw Data'!$C:$O,4,0)),"")</f>
        <v/>
      </c>
      <c r="H4437" s="55" t="str">
        <f>IFERROR(IF(OR($B4437="",$B4437="(blank)"),"",VLOOKUP($B4437,'Email Marketing Raw Data'!$C:$O,5,0)),"")</f>
        <v/>
      </c>
      <c r="I4437" s="55" t="str">
        <f>IFERROR(IF($G4437="","",VLOOKUP('Dashboard And Emails Automate'!$G4437,Database!$H:$N,3,0)),"")</f>
        <v/>
      </c>
      <c r="J4437" s="55" t="str">
        <f>IFERROR(IF($G4437="","",VLOOKUP('Dashboard And Emails Automate'!$G4437,Database!$H:$N,4,0)),"")</f>
        <v/>
      </c>
      <c r="K4437" s="55" t="str">
        <f>IFERROR(IF($G4437="","",VLOOKUP('Dashboard And Emails Automate'!$G4437,Database!$H:$N,5,0)),"")</f>
        <v/>
      </c>
      <c r="L4437" s="55" t="str">
        <f>IFERROR(IF($G4437="","",VLOOKUP('Dashboard And Emails Automate'!$G4437,Database!$H:$N,6,0)),"")</f>
        <v/>
      </c>
      <c r="M4437" s="55" t="str">
        <f>IFERROR(IF($G4437="","",VLOOKUP('Dashboard And Emails Automate'!$G4437,Database!$H:$N,7,0)),"")</f>
        <v/>
      </c>
      <c r="N4437" s="55" t="str">
        <f>IFERROR(IF(OR($B4437="",$B4437="(blank)"),"",VLOOKUP($B4437,'Email Marketing Raw Data'!$C:$O,6,0)),"")</f>
        <v/>
      </c>
      <c r="O4437" s="55" t="str">
        <f>IFERROR(IF(OR($B4437="",$B4437="(blank)"),"",VLOOKUP($B4437,'Email Marketing Raw Data'!$C:$O,7,0)),"")</f>
        <v/>
      </c>
      <c r="P4437" s="55" t="str">
        <f>IFERROR(IF(OR($B4437="",$B4437="(blank)"),"",VLOOKUP($B4437,'Email Marketing Raw Data'!$C:$O,8,0)),"")</f>
        <v/>
      </c>
      <c r="Q4437" s="62" t="str">
        <f>IFERROR(IF(OR($B4437="",$B4437="(blank)"),"",VLOOKUP($B4437,'Email Marketing Raw Data'!$C:$O,9,0)),"")</f>
        <v/>
      </c>
    </row>
    <row r="4438" spans="4:17" ht="12.75" customHeight="1" x14ac:dyDescent="0.2">
      <c r="D4438" s="58" t="str">
        <f>IFERROR(IF(F4438&lt;&gt;"pending","",IF(OR($B4438="",$B4438="(blank)"),"",VLOOKUP($B4438,'Email Marketing Raw Data'!$C:$O,10,0))),"")</f>
        <v/>
      </c>
      <c r="E4438" s="59" t="str">
        <f>IFERROR(IF(F4438&lt;&gt;"pending","",IF(OR($B4438="",$B4438="(blank)"),"",VLOOKUP($B4438,'Email Marketing Raw Data'!$C:$O,11,0))),"")</f>
        <v/>
      </c>
      <c r="F4438" s="54" t="str">
        <f>IFERROR(IF(OR($B4438="",$B4438="(blank)"),"",VLOOKUP($B4438,'Email Marketing Raw Data'!$C:$O,13,0)),"")</f>
        <v/>
      </c>
      <c r="G4438" s="55" t="str">
        <f>IFERROR(IF(OR($B4438="",$B4438="(blank)"),"",VLOOKUP($B4438,'Email Marketing Raw Data'!$C:$O,4,0)),"")</f>
        <v/>
      </c>
      <c r="H4438" s="55" t="str">
        <f>IFERROR(IF(OR($B4438="",$B4438="(blank)"),"",VLOOKUP($B4438,'Email Marketing Raw Data'!$C:$O,5,0)),"")</f>
        <v/>
      </c>
      <c r="I4438" s="55" t="str">
        <f>IFERROR(IF($G4438="","",VLOOKUP('Dashboard And Emails Automate'!$G4438,Database!$H:$N,3,0)),"")</f>
        <v/>
      </c>
      <c r="J4438" s="55" t="str">
        <f>IFERROR(IF($G4438="","",VLOOKUP('Dashboard And Emails Automate'!$G4438,Database!$H:$N,4,0)),"")</f>
        <v/>
      </c>
      <c r="K4438" s="55" t="str">
        <f>IFERROR(IF($G4438="","",VLOOKUP('Dashboard And Emails Automate'!$G4438,Database!$H:$N,5,0)),"")</f>
        <v/>
      </c>
      <c r="L4438" s="55" t="str">
        <f>IFERROR(IF($G4438="","",VLOOKUP('Dashboard And Emails Automate'!$G4438,Database!$H:$N,6,0)),"")</f>
        <v/>
      </c>
      <c r="M4438" s="55" t="str">
        <f>IFERROR(IF($G4438="","",VLOOKUP('Dashboard And Emails Automate'!$G4438,Database!$H:$N,7,0)),"")</f>
        <v/>
      </c>
      <c r="N4438" s="55" t="str">
        <f>IFERROR(IF(OR($B4438="",$B4438="(blank)"),"",VLOOKUP($B4438,'Email Marketing Raw Data'!$C:$O,6,0)),"")</f>
        <v/>
      </c>
      <c r="O4438" s="55" t="str">
        <f>IFERROR(IF(OR($B4438="",$B4438="(blank)"),"",VLOOKUP($B4438,'Email Marketing Raw Data'!$C:$O,7,0)),"")</f>
        <v/>
      </c>
      <c r="P4438" s="55" t="str">
        <f>IFERROR(IF(OR($B4438="",$B4438="(blank)"),"",VLOOKUP($B4438,'Email Marketing Raw Data'!$C:$O,8,0)),"")</f>
        <v/>
      </c>
      <c r="Q4438" s="62" t="str">
        <f>IFERROR(IF(OR($B4438="",$B4438="(blank)"),"",VLOOKUP($B4438,'Email Marketing Raw Data'!$C:$O,9,0)),"")</f>
        <v/>
      </c>
    </row>
    <row r="4439" spans="4:17" ht="12.75" customHeight="1" x14ac:dyDescent="0.2">
      <c r="D4439" s="58" t="str">
        <f>IFERROR(IF(F4439&lt;&gt;"pending","",IF(OR($B4439="",$B4439="(blank)"),"",VLOOKUP($B4439,'Email Marketing Raw Data'!$C:$O,10,0))),"")</f>
        <v/>
      </c>
      <c r="E4439" s="59" t="str">
        <f>IFERROR(IF(F4439&lt;&gt;"pending","",IF(OR($B4439="",$B4439="(blank)"),"",VLOOKUP($B4439,'Email Marketing Raw Data'!$C:$O,11,0))),"")</f>
        <v/>
      </c>
      <c r="F4439" s="54" t="str">
        <f>IFERROR(IF(OR($B4439="",$B4439="(blank)"),"",VLOOKUP($B4439,'Email Marketing Raw Data'!$C:$O,13,0)),"")</f>
        <v/>
      </c>
      <c r="G4439" s="55" t="str">
        <f>IFERROR(IF(OR($B4439="",$B4439="(blank)"),"",VLOOKUP($B4439,'Email Marketing Raw Data'!$C:$O,4,0)),"")</f>
        <v/>
      </c>
      <c r="H4439" s="55" t="str">
        <f>IFERROR(IF(OR($B4439="",$B4439="(blank)"),"",VLOOKUP($B4439,'Email Marketing Raw Data'!$C:$O,5,0)),"")</f>
        <v/>
      </c>
      <c r="I4439" s="55" t="str">
        <f>IFERROR(IF($G4439="","",VLOOKUP('Dashboard And Emails Automate'!$G4439,Database!$H:$N,3,0)),"")</f>
        <v/>
      </c>
      <c r="J4439" s="55" t="str">
        <f>IFERROR(IF($G4439="","",VLOOKUP('Dashboard And Emails Automate'!$G4439,Database!$H:$N,4,0)),"")</f>
        <v/>
      </c>
      <c r="K4439" s="55" t="str">
        <f>IFERROR(IF($G4439="","",VLOOKUP('Dashboard And Emails Automate'!$G4439,Database!$H:$N,5,0)),"")</f>
        <v/>
      </c>
      <c r="L4439" s="55" t="str">
        <f>IFERROR(IF($G4439="","",VLOOKUP('Dashboard And Emails Automate'!$G4439,Database!$H:$N,6,0)),"")</f>
        <v/>
      </c>
      <c r="M4439" s="55" t="str">
        <f>IFERROR(IF($G4439="","",VLOOKUP('Dashboard And Emails Automate'!$G4439,Database!$H:$N,7,0)),"")</f>
        <v/>
      </c>
      <c r="N4439" s="55" t="str">
        <f>IFERROR(IF(OR($B4439="",$B4439="(blank)"),"",VLOOKUP($B4439,'Email Marketing Raw Data'!$C:$O,6,0)),"")</f>
        <v/>
      </c>
      <c r="O4439" s="55" t="str">
        <f>IFERROR(IF(OR($B4439="",$B4439="(blank)"),"",VLOOKUP($B4439,'Email Marketing Raw Data'!$C:$O,7,0)),"")</f>
        <v/>
      </c>
      <c r="P4439" s="55" t="str">
        <f>IFERROR(IF(OR($B4439="",$B4439="(blank)"),"",VLOOKUP($B4439,'Email Marketing Raw Data'!$C:$O,8,0)),"")</f>
        <v/>
      </c>
      <c r="Q4439" s="62" t="str">
        <f>IFERROR(IF(OR($B4439="",$B4439="(blank)"),"",VLOOKUP($B4439,'Email Marketing Raw Data'!$C:$O,9,0)),"")</f>
        <v/>
      </c>
    </row>
    <row r="4440" spans="4:17" ht="12.75" customHeight="1" x14ac:dyDescent="0.2">
      <c r="D4440" s="58" t="str">
        <f>IFERROR(IF(F4440&lt;&gt;"pending","",IF(OR($B4440="",$B4440="(blank)"),"",VLOOKUP($B4440,'Email Marketing Raw Data'!$C:$O,10,0))),"")</f>
        <v/>
      </c>
      <c r="E4440" s="59" t="str">
        <f>IFERROR(IF(F4440&lt;&gt;"pending","",IF(OR($B4440="",$B4440="(blank)"),"",VLOOKUP($B4440,'Email Marketing Raw Data'!$C:$O,11,0))),"")</f>
        <v/>
      </c>
      <c r="F4440" s="54" t="str">
        <f>IFERROR(IF(OR($B4440="",$B4440="(blank)"),"",VLOOKUP($B4440,'Email Marketing Raw Data'!$C:$O,13,0)),"")</f>
        <v/>
      </c>
      <c r="G4440" s="55" t="str">
        <f>IFERROR(IF(OR($B4440="",$B4440="(blank)"),"",VLOOKUP($B4440,'Email Marketing Raw Data'!$C:$O,4,0)),"")</f>
        <v/>
      </c>
      <c r="H4440" s="55" t="str">
        <f>IFERROR(IF(OR($B4440="",$B4440="(blank)"),"",VLOOKUP($B4440,'Email Marketing Raw Data'!$C:$O,5,0)),"")</f>
        <v/>
      </c>
      <c r="I4440" s="55" t="str">
        <f>IFERROR(IF($G4440="","",VLOOKUP('Dashboard And Emails Automate'!$G4440,Database!$H:$N,3,0)),"")</f>
        <v/>
      </c>
      <c r="J4440" s="55" t="str">
        <f>IFERROR(IF($G4440="","",VLOOKUP('Dashboard And Emails Automate'!$G4440,Database!$H:$N,4,0)),"")</f>
        <v/>
      </c>
      <c r="K4440" s="55" t="str">
        <f>IFERROR(IF($G4440="","",VLOOKUP('Dashboard And Emails Automate'!$G4440,Database!$H:$N,5,0)),"")</f>
        <v/>
      </c>
      <c r="L4440" s="55" t="str">
        <f>IFERROR(IF($G4440="","",VLOOKUP('Dashboard And Emails Automate'!$G4440,Database!$H:$N,6,0)),"")</f>
        <v/>
      </c>
      <c r="M4440" s="55" t="str">
        <f>IFERROR(IF($G4440="","",VLOOKUP('Dashboard And Emails Automate'!$G4440,Database!$H:$N,7,0)),"")</f>
        <v/>
      </c>
      <c r="N4440" s="55" t="str">
        <f>IFERROR(IF(OR($B4440="",$B4440="(blank)"),"",VLOOKUP($B4440,'Email Marketing Raw Data'!$C:$O,6,0)),"")</f>
        <v/>
      </c>
      <c r="O4440" s="55" t="str">
        <f>IFERROR(IF(OR($B4440="",$B4440="(blank)"),"",VLOOKUP($B4440,'Email Marketing Raw Data'!$C:$O,7,0)),"")</f>
        <v/>
      </c>
      <c r="P4440" s="55" t="str">
        <f>IFERROR(IF(OR($B4440="",$B4440="(blank)"),"",VLOOKUP($B4440,'Email Marketing Raw Data'!$C:$O,8,0)),"")</f>
        <v/>
      </c>
      <c r="Q4440" s="62" t="str">
        <f>IFERROR(IF(OR($B4440="",$B4440="(blank)"),"",VLOOKUP($B4440,'Email Marketing Raw Data'!$C:$O,9,0)),"")</f>
        <v/>
      </c>
    </row>
    <row r="4441" spans="4:17" ht="12.75" customHeight="1" x14ac:dyDescent="0.2">
      <c r="D4441" s="58" t="str">
        <f>IFERROR(IF(F4441&lt;&gt;"pending","",IF(OR($B4441="",$B4441="(blank)"),"",VLOOKUP($B4441,'Email Marketing Raw Data'!$C:$O,10,0))),"")</f>
        <v/>
      </c>
      <c r="E4441" s="59" t="str">
        <f>IFERROR(IF(F4441&lt;&gt;"pending","",IF(OR($B4441="",$B4441="(blank)"),"",VLOOKUP($B4441,'Email Marketing Raw Data'!$C:$O,11,0))),"")</f>
        <v/>
      </c>
      <c r="F4441" s="54" t="str">
        <f>IFERROR(IF(OR($B4441="",$B4441="(blank)"),"",VLOOKUP($B4441,'Email Marketing Raw Data'!$C:$O,13,0)),"")</f>
        <v/>
      </c>
      <c r="G4441" s="55" t="str">
        <f>IFERROR(IF(OR($B4441="",$B4441="(blank)"),"",VLOOKUP($B4441,'Email Marketing Raw Data'!$C:$O,4,0)),"")</f>
        <v/>
      </c>
      <c r="H4441" s="55" t="str">
        <f>IFERROR(IF(OR($B4441="",$B4441="(blank)"),"",VLOOKUP($B4441,'Email Marketing Raw Data'!$C:$O,5,0)),"")</f>
        <v/>
      </c>
      <c r="I4441" s="55" t="str">
        <f>IFERROR(IF($G4441="","",VLOOKUP('Dashboard And Emails Automate'!$G4441,Database!$H:$N,3,0)),"")</f>
        <v/>
      </c>
      <c r="J4441" s="55" t="str">
        <f>IFERROR(IF($G4441="","",VLOOKUP('Dashboard And Emails Automate'!$G4441,Database!$H:$N,4,0)),"")</f>
        <v/>
      </c>
      <c r="K4441" s="55" t="str">
        <f>IFERROR(IF($G4441="","",VLOOKUP('Dashboard And Emails Automate'!$G4441,Database!$H:$N,5,0)),"")</f>
        <v/>
      </c>
      <c r="L4441" s="55" t="str">
        <f>IFERROR(IF($G4441="","",VLOOKUP('Dashboard And Emails Automate'!$G4441,Database!$H:$N,6,0)),"")</f>
        <v/>
      </c>
      <c r="M4441" s="55" t="str">
        <f>IFERROR(IF($G4441="","",VLOOKUP('Dashboard And Emails Automate'!$G4441,Database!$H:$N,7,0)),"")</f>
        <v/>
      </c>
      <c r="N4441" s="55" t="str">
        <f>IFERROR(IF(OR($B4441="",$B4441="(blank)"),"",VLOOKUP($B4441,'Email Marketing Raw Data'!$C:$O,6,0)),"")</f>
        <v/>
      </c>
      <c r="O4441" s="55" t="str">
        <f>IFERROR(IF(OR($B4441="",$B4441="(blank)"),"",VLOOKUP($B4441,'Email Marketing Raw Data'!$C:$O,7,0)),"")</f>
        <v/>
      </c>
      <c r="P4441" s="55" t="str">
        <f>IFERROR(IF(OR($B4441="",$B4441="(blank)"),"",VLOOKUP($B4441,'Email Marketing Raw Data'!$C:$O,8,0)),"")</f>
        <v/>
      </c>
      <c r="Q4441" s="62" t="str">
        <f>IFERROR(IF(OR($B4441="",$B4441="(blank)"),"",VLOOKUP($B4441,'Email Marketing Raw Data'!$C:$O,9,0)),"")</f>
        <v/>
      </c>
    </row>
    <row r="4442" spans="4:17" ht="12.75" customHeight="1" x14ac:dyDescent="0.2">
      <c r="D4442" s="58" t="str">
        <f>IFERROR(IF(F4442&lt;&gt;"pending","",IF(OR($B4442="",$B4442="(blank)"),"",VLOOKUP($B4442,'Email Marketing Raw Data'!$C:$O,10,0))),"")</f>
        <v/>
      </c>
      <c r="E4442" s="59" t="str">
        <f>IFERROR(IF(F4442&lt;&gt;"pending","",IF(OR($B4442="",$B4442="(blank)"),"",VLOOKUP($B4442,'Email Marketing Raw Data'!$C:$O,11,0))),"")</f>
        <v/>
      </c>
      <c r="F4442" s="54" t="str">
        <f>IFERROR(IF(OR($B4442="",$B4442="(blank)"),"",VLOOKUP($B4442,'Email Marketing Raw Data'!$C:$O,13,0)),"")</f>
        <v/>
      </c>
      <c r="G4442" s="55" t="str">
        <f>IFERROR(IF(OR($B4442="",$B4442="(blank)"),"",VLOOKUP($B4442,'Email Marketing Raw Data'!$C:$O,4,0)),"")</f>
        <v/>
      </c>
      <c r="H4442" s="55" t="str">
        <f>IFERROR(IF(OR($B4442="",$B4442="(blank)"),"",VLOOKUP($B4442,'Email Marketing Raw Data'!$C:$O,5,0)),"")</f>
        <v/>
      </c>
      <c r="I4442" s="55" t="str">
        <f>IFERROR(IF($G4442="","",VLOOKUP('Dashboard And Emails Automate'!$G4442,Database!$H:$N,3,0)),"")</f>
        <v/>
      </c>
      <c r="J4442" s="55" t="str">
        <f>IFERROR(IF($G4442="","",VLOOKUP('Dashboard And Emails Automate'!$G4442,Database!$H:$N,4,0)),"")</f>
        <v/>
      </c>
      <c r="K4442" s="55" t="str">
        <f>IFERROR(IF($G4442="","",VLOOKUP('Dashboard And Emails Automate'!$G4442,Database!$H:$N,5,0)),"")</f>
        <v/>
      </c>
      <c r="L4442" s="55" t="str">
        <f>IFERROR(IF($G4442="","",VLOOKUP('Dashboard And Emails Automate'!$G4442,Database!$H:$N,6,0)),"")</f>
        <v/>
      </c>
      <c r="M4442" s="55" t="str">
        <f>IFERROR(IF($G4442="","",VLOOKUP('Dashboard And Emails Automate'!$G4442,Database!$H:$N,7,0)),"")</f>
        <v/>
      </c>
      <c r="N4442" s="55" t="str">
        <f>IFERROR(IF(OR($B4442="",$B4442="(blank)"),"",VLOOKUP($B4442,'Email Marketing Raw Data'!$C:$O,6,0)),"")</f>
        <v/>
      </c>
      <c r="O4442" s="55" t="str">
        <f>IFERROR(IF(OR($B4442="",$B4442="(blank)"),"",VLOOKUP($B4442,'Email Marketing Raw Data'!$C:$O,7,0)),"")</f>
        <v/>
      </c>
      <c r="P4442" s="55" t="str">
        <f>IFERROR(IF(OR($B4442="",$B4442="(blank)"),"",VLOOKUP($B4442,'Email Marketing Raw Data'!$C:$O,8,0)),"")</f>
        <v/>
      </c>
      <c r="Q4442" s="62" t="str">
        <f>IFERROR(IF(OR($B4442="",$B4442="(blank)"),"",VLOOKUP($B4442,'Email Marketing Raw Data'!$C:$O,9,0)),"")</f>
        <v/>
      </c>
    </row>
    <row r="4443" spans="4:17" ht="12.75" customHeight="1" x14ac:dyDescent="0.2">
      <c r="D4443" s="58" t="str">
        <f>IFERROR(IF(F4443&lt;&gt;"pending","",IF(OR($B4443="",$B4443="(blank)"),"",VLOOKUP($B4443,'Email Marketing Raw Data'!$C:$O,10,0))),"")</f>
        <v/>
      </c>
      <c r="E4443" s="59" t="str">
        <f>IFERROR(IF(F4443&lt;&gt;"pending","",IF(OR($B4443="",$B4443="(blank)"),"",VLOOKUP($B4443,'Email Marketing Raw Data'!$C:$O,11,0))),"")</f>
        <v/>
      </c>
      <c r="F4443" s="54" t="str">
        <f>IFERROR(IF(OR($B4443="",$B4443="(blank)"),"",VLOOKUP($B4443,'Email Marketing Raw Data'!$C:$O,13,0)),"")</f>
        <v/>
      </c>
      <c r="G4443" s="55" t="str">
        <f>IFERROR(IF(OR($B4443="",$B4443="(blank)"),"",VLOOKUP($B4443,'Email Marketing Raw Data'!$C:$O,4,0)),"")</f>
        <v/>
      </c>
      <c r="H4443" s="55" t="str">
        <f>IFERROR(IF(OR($B4443="",$B4443="(blank)"),"",VLOOKUP($B4443,'Email Marketing Raw Data'!$C:$O,5,0)),"")</f>
        <v/>
      </c>
      <c r="I4443" s="55" t="str">
        <f>IFERROR(IF($G4443="","",VLOOKUP('Dashboard And Emails Automate'!$G4443,Database!$H:$N,3,0)),"")</f>
        <v/>
      </c>
      <c r="J4443" s="55" t="str">
        <f>IFERROR(IF($G4443="","",VLOOKUP('Dashboard And Emails Automate'!$G4443,Database!$H:$N,4,0)),"")</f>
        <v/>
      </c>
      <c r="K4443" s="55" t="str">
        <f>IFERROR(IF($G4443="","",VLOOKUP('Dashboard And Emails Automate'!$G4443,Database!$H:$N,5,0)),"")</f>
        <v/>
      </c>
      <c r="L4443" s="55" t="str">
        <f>IFERROR(IF($G4443="","",VLOOKUP('Dashboard And Emails Automate'!$G4443,Database!$H:$N,6,0)),"")</f>
        <v/>
      </c>
      <c r="M4443" s="55" t="str">
        <f>IFERROR(IF($G4443="","",VLOOKUP('Dashboard And Emails Automate'!$G4443,Database!$H:$N,7,0)),"")</f>
        <v/>
      </c>
      <c r="N4443" s="55" t="str">
        <f>IFERROR(IF(OR($B4443="",$B4443="(blank)"),"",VLOOKUP($B4443,'Email Marketing Raw Data'!$C:$O,6,0)),"")</f>
        <v/>
      </c>
      <c r="O4443" s="55" t="str">
        <f>IFERROR(IF(OR($B4443="",$B4443="(blank)"),"",VLOOKUP($B4443,'Email Marketing Raw Data'!$C:$O,7,0)),"")</f>
        <v/>
      </c>
      <c r="P4443" s="55" t="str">
        <f>IFERROR(IF(OR($B4443="",$B4443="(blank)"),"",VLOOKUP($B4443,'Email Marketing Raw Data'!$C:$O,8,0)),"")</f>
        <v/>
      </c>
      <c r="Q4443" s="62" t="str">
        <f>IFERROR(IF(OR($B4443="",$B4443="(blank)"),"",VLOOKUP($B4443,'Email Marketing Raw Data'!$C:$O,9,0)),"")</f>
        <v/>
      </c>
    </row>
    <row r="4444" spans="4:17" ht="12.75" customHeight="1" x14ac:dyDescent="0.2">
      <c r="D4444" s="58" t="str">
        <f>IFERROR(IF(F4444&lt;&gt;"pending","",IF(OR($B4444="",$B4444="(blank)"),"",VLOOKUP($B4444,'Email Marketing Raw Data'!$C:$O,10,0))),"")</f>
        <v/>
      </c>
      <c r="E4444" s="59" t="str">
        <f>IFERROR(IF(F4444&lt;&gt;"pending","",IF(OR($B4444="",$B4444="(blank)"),"",VLOOKUP($B4444,'Email Marketing Raw Data'!$C:$O,11,0))),"")</f>
        <v/>
      </c>
      <c r="F4444" s="54" t="str">
        <f>IFERROR(IF(OR($B4444="",$B4444="(blank)"),"",VLOOKUP($B4444,'Email Marketing Raw Data'!$C:$O,13,0)),"")</f>
        <v/>
      </c>
      <c r="G4444" s="55" t="str">
        <f>IFERROR(IF(OR($B4444="",$B4444="(blank)"),"",VLOOKUP($B4444,'Email Marketing Raw Data'!$C:$O,4,0)),"")</f>
        <v/>
      </c>
      <c r="H4444" s="55" t="str">
        <f>IFERROR(IF(OR($B4444="",$B4444="(blank)"),"",VLOOKUP($B4444,'Email Marketing Raw Data'!$C:$O,5,0)),"")</f>
        <v/>
      </c>
      <c r="I4444" s="55" t="str">
        <f>IFERROR(IF($G4444="","",VLOOKUP('Dashboard And Emails Automate'!$G4444,Database!$H:$N,3,0)),"")</f>
        <v/>
      </c>
      <c r="J4444" s="55" t="str">
        <f>IFERROR(IF($G4444="","",VLOOKUP('Dashboard And Emails Automate'!$G4444,Database!$H:$N,4,0)),"")</f>
        <v/>
      </c>
      <c r="K4444" s="55" t="str">
        <f>IFERROR(IF($G4444="","",VLOOKUP('Dashboard And Emails Automate'!$G4444,Database!$H:$N,5,0)),"")</f>
        <v/>
      </c>
      <c r="L4444" s="55" t="str">
        <f>IFERROR(IF($G4444="","",VLOOKUP('Dashboard And Emails Automate'!$G4444,Database!$H:$N,6,0)),"")</f>
        <v/>
      </c>
      <c r="M4444" s="55" t="str">
        <f>IFERROR(IF($G4444="","",VLOOKUP('Dashboard And Emails Automate'!$G4444,Database!$H:$N,7,0)),"")</f>
        <v/>
      </c>
      <c r="N4444" s="55" t="str">
        <f>IFERROR(IF(OR($B4444="",$B4444="(blank)"),"",VLOOKUP($B4444,'Email Marketing Raw Data'!$C:$O,6,0)),"")</f>
        <v/>
      </c>
      <c r="O4444" s="55" t="str">
        <f>IFERROR(IF(OR($B4444="",$B4444="(blank)"),"",VLOOKUP($B4444,'Email Marketing Raw Data'!$C:$O,7,0)),"")</f>
        <v/>
      </c>
      <c r="P4444" s="55" t="str">
        <f>IFERROR(IF(OR($B4444="",$B4444="(blank)"),"",VLOOKUP($B4444,'Email Marketing Raw Data'!$C:$O,8,0)),"")</f>
        <v/>
      </c>
      <c r="Q4444" s="62" t="str">
        <f>IFERROR(IF(OR($B4444="",$B4444="(blank)"),"",VLOOKUP($B4444,'Email Marketing Raw Data'!$C:$O,9,0)),"")</f>
        <v/>
      </c>
    </row>
    <row r="4445" spans="4:17" ht="12.75" customHeight="1" x14ac:dyDescent="0.2">
      <c r="D4445" s="58" t="str">
        <f>IFERROR(IF(F4445&lt;&gt;"pending","",IF(OR($B4445="",$B4445="(blank)"),"",VLOOKUP($B4445,'Email Marketing Raw Data'!$C:$O,10,0))),"")</f>
        <v/>
      </c>
      <c r="E4445" s="59" t="str">
        <f>IFERROR(IF(F4445&lt;&gt;"pending","",IF(OR($B4445="",$B4445="(blank)"),"",VLOOKUP($B4445,'Email Marketing Raw Data'!$C:$O,11,0))),"")</f>
        <v/>
      </c>
      <c r="F4445" s="54" t="str">
        <f>IFERROR(IF(OR($B4445="",$B4445="(blank)"),"",VLOOKUP($B4445,'Email Marketing Raw Data'!$C:$O,13,0)),"")</f>
        <v/>
      </c>
      <c r="G4445" s="55" t="str">
        <f>IFERROR(IF(OR($B4445="",$B4445="(blank)"),"",VLOOKUP($B4445,'Email Marketing Raw Data'!$C:$O,4,0)),"")</f>
        <v/>
      </c>
      <c r="H4445" s="55" t="str">
        <f>IFERROR(IF(OR($B4445="",$B4445="(blank)"),"",VLOOKUP($B4445,'Email Marketing Raw Data'!$C:$O,5,0)),"")</f>
        <v/>
      </c>
      <c r="I4445" s="55" t="str">
        <f>IFERROR(IF($G4445="","",VLOOKUP('Dashboard And Emails Automate'!$G4445,Database!$H:$N,3,0)),"")</f>
        <v/>
      </c>
      <c r="J4445" s="55" t="str">
        <f>IFERROR(IF($G4445="","",VLOOKUP('Dashboard And Emails Automate'!$G4445,Database!$H:$N,4,0)),"")</f>
        <v/>
      </c>
      <c r="K4445" s="55" t="str">
        <f>IFERROR(IF($G4445="","",VLOOKUP('Dashboard And Emails Automate'!$G4445,Database!$H:$N,5,0)),"")</f>
        <v/>
      </c>
      <c r="L4445" s="55" t="str">
        <f>IFERROR(IF($G4445="","",VLOOKUP('Dashboard And Emails Automate'!$G4445,Database!$H:$N,6,0)),"")</f>
        <v/>
      </c>
      <c r="M4445" s="55" t="str">
        <f>IFERROR(IF($G4445="","",VLOOKUP('Dashboard And Emails Automate'!$G4445,Database!$H:$N,7,0)),"")</f>
        <v/>
      </c>
      <c r="N4445" s="55" t="str">
        <f>IFERROR(IF(OR($B4445="",$B4445="(blank)"),"",VLOOKUP($B4445,'Email Marketing Raw Data'!$C:$O,6,0)),"")</f>
        <v/>
      </c>
      <c r="O4445" s="55" t="str">
        <f>IFERROR(IF(OR($B4445="",$B4445="(blank)"),"",VLOOKUP($B4445,'Email Marketing Raw Data'!$C:$O,7,0)),"")</f>
        <v/>
      </c>
      <c r="P4445" s="55" t="str">
        <f>IFERROR(IF(OR($B4445="",$B4445="(blank)"),"",VLOOKUP($B4445,'Email Marketing Raw Data'!$C:$O,8,0)),"")</f>
        <v/>
      </c>
      <c r="Q4445" s="62" t="str">
        <f>IFERROR(IF(OR($B4445="",$B4445="(blank)"),"",VLOOKUP($B4445,'Email Marketing Raw Data'!$C:$O,9,0)),"")</f>
        <v/>
      </c>
    </row>
    <row r="4446" spans="4:17" ht="12.75" customHeight="1" x14ac:dyDescent="0.2">
      <c r="D4446" s="58" t="str">
        <f>IFERROR(IF(F4446&lt;&gt;"pending","",IF(OR($B4446="",$B4446="(blank)"),"",VLOOKUP($B4446,'Email Marketing Raw Data'!$C:$O,10,0))),"")</f>
        <v/>
      </c>
      <c r="E4446" s="59" t="str">
        <f>IFERROR(IF(F4446&lt;&gt;"pending","",IF(OR($B4446="",$B4446="(blank)"),"",VLOOKUP($B4446,'Email Marketing Raw Data'!$C:$O,11,0))),"")</f>
        <v/>
      </c>
      <c r="F4446" s="54" t="str">
        <f>IFERROR(IF(OR($B4446="",$B4446="(blank)"),"",VLOOKUP($B4446,'Email Marketing Raw Data'!$C:$O,13,0)),"")</f>
        <v/>
      </c>
      <c r="G4446" s="55" t="str">
        <f>IFERROR(IF(OR($B4446="",$B4446="(blank)"),"",VLOOKUP($B4446,'Email Marketing Raw Data'!$C:$O,4,0)),"")</f>
        <v/>
      </c>
      <c r="H4446" s="55" t="str">
        <f>IFERROR(IF(OR($B4446="",$B4446="(blank)"),"",VLOOKUP($B4446,'Email Marketing Raw Data'!$C:$O,5,0)),"")</f>
        <v/>
      </c>
      <c r="I4446" s="55" t="str">
        <f>IFERROR(IF($G4446="","",VLOOKUP('Dashboard And Emails Automate'!$G4446,Database!$H:$N,3,0)),"")</f>
        <v/>
      </c>
      <c r="J4446" s="55" t="str">
        <f>IFERROR(IF($G4446="","",VLOOKUP('Dashboard And Emails Automate'!$G4446,Database!$H:$N,4,0)),"")</f>
        <v/>
      </c>
      <c r="K4446" s="55" t="str">
        <f>IFERROR(IF($G4446="","",VLOOKUP('Dashboard And Emails Automate'!$G4446,Database!$H:$N,5,0)),"")</f>
        <v/>
      </c>
      <c r="L4446" s="55" t="str">
        <f>IFERROR(IF($G4446="","",VLOOKUP('Dashboard And Emails Automate'!$G4446,Database!$H:$N,6,0)),"")</f>
        <v/>
      </c>
      <c r="M4446" s="55" t="str">
        <f>IFERROR(IF($G4446="","",VLOOKUP('Dashboard And Emails Automate'!$G4446,Database!$H:$N,7,0)),"")</f>
        <v/>
      </c>
      <c r="N4446" s="55" t="str">
        <f>IFERROR(IF(OR($B4446="",$B4446="(blank)"),"",VLOOKUP($B4446,'Email Marketing Raw Data'!$C:$O,6,0)),"")</f>
        <v/>
      </c>
      <c r="O4446" s="55" t="str">
        <f>IFERROR(IF(OR($B4446="",$B4446="(blank)"),"",VLOOKUP($B4446,'Email Marketing Raw Data'!$C:$O,7,0)),"")</f>
        <v/>
      </c>
      <c r="P4446" s="55" t="str">
        <f>IFERROR(IF(OR($B4446="",$B4446="(blank)"),"",VLOOKUP($B4446,'Email Marketing Raw Data'!$C:$O,8,0)),"")</f>
        <v/>
      </c>
      <c r="Q4446" s="62" t="str">
        <f>IFERROR(IF(OR($B4446="",$B4446="(blank)"),"",VLOOKUP($B4446,'Email Marketing Raw Data'!$C:$O,9,0)),"")</f>
        <v/>
      </c>
    </row>
    <row r="4447" spans="4:17" ht="12.75" customHeight="1" x14ac:dyDescent="0.2">
      <c r="D4447" s="58" t="str">
        <f>IFERROR(IF(F4447&lt;&gt;"pending","",IF(OR($B4447="",$B4447="(blank)"),"",VLOOKUP($B4447,'Email Marketing Raw Data'!$C:$O,10,0))),"")</f>
        <v/>
      </c>
      <c r="E4447" s="59" t="str">
        <f>IFERROR(IF(F4447&lt;&gt;"pending","",IF(OR($B4447="",$B4447="(blank)"),"",VLOOKUP($B4447,'Email Marketing Raw Data'!$C:$O,11,0))),"")</f>
        <v/>
      </c>
      <c r="F4447" s="54" t="str">
        <f>IFERROR(IF(OR($B4447="",$B4447="(blank)"),"",VLOOKUP($B4447,'Email Marketing Raw Data'!$C:$O,13,0)),"")</f>
        <v/>
      </c>
      <c r="G4447" s="55" t="str">
        <f>IFERROR(IF(OR($B4447="",$B4447="(blank)"),"",VLOOKUP($B4447,'Email Marketing Raw Data'!$C:$O,4,0)),"")</f>
        <v/>
      </c>
      <c r="H4447" s="55" t="str">
        <f>IFERROR(IF(OR($B4447="",$B4447="(blank)"),"",VLOOKUP($B4447,'Email Marketing Raw Data'!$C:$O,5,0)),"")</f>
        <v/>
      </c>
      <c r="I4447" s="55" t="str">
        <f>IFERROR(IF($G4447="","",VLOOKUP('Dashboard And Emails Automate'!$G4447,Database!$H:$N,3,0)),"")</f>
        <v/>
      </c>
      <c r="J4447" s="55" t="str">
        <f>IFERROR(IF($G4447="","",VLOOKUP('Dashboard And Emails Automate'!$G4447,Database!$H:$N,4,0)),"")</f>
        <v/>
      </c>
      <c r="K4447" s="55" t="str">
        <f>IFERROR(IF($G4447="","",VLOOKUP('Dashboard And Emails Automate'!$G4447,Database!$H:$N,5,0)),"")</f>
        <v/>
      </c>
      <c r="L4447" s="55" t="str">
        <f>IFERROR(IF($G4447="","",VLOOKUP('Dashboard And Emails Automate'!$G4447,Database!$H:$N,6,0)),"")</f>
        <v/>
      </c>
      <c r="M4447" s="55" t="str">
        <f>IFERROR(IF($G4447="","",VLOOKUP('Dashboard And Emails Automate'!$G4447,Database!$H:$N,7,0)),"")</f>
        <v/>
      </c>
      <c r="N4447" s="55" t="str">
        <f>IFERROR(IF(OR($B4447="",$B4447="(blank)"),"",VLOOKUP($B4447,'Email Marketing Raw Data'!$C:$O,6,0)),"")</f>
        <v/>
      </c>
      <c r="O4447" s="55" t="str">
        <f>IFERROR(IF(OR($B4447="",$B4447="(blank)"),"",VLOOKUP($B4447,'Email Marketing Raw Data'!$C:$O,7,0)),"")</f>
        <v/>
      </c>
      <c r="P4447" s="55" t="str">
        <f>IFERROR(IF(OR($B4447="",$B4447="(blank)"),"",VLOOKUP($B4447,'Email Marketing Raw Data'!$C:$O,8,0)),"")</f>
        <v/>
      </c>
      <c r="Q4447" s="62" t="str">
        <f>IFERROR(IF(OR($B4447="",$B4447="(blank)"),"",VLOOKUP($B4447,'Email Marketing Raw Data'!$C:$O,9,0)),"")</f>
        <v/>
      </c>
    </row>
    <row r="4448" spans="4:17" ht="12.75" customHeight="1" x14ac:dyDescent="0.2">
      <c r="D4448" s="58" t="str">
        <f>IFERROR(IF(F4448&lt;&gt;"pending","",IF(OR($B4448="",$B4448="(blank)"),"",VLOOKUP($B4448,'Email Marketing Raw Data'!$C:$O,10,0))),"")</f>
        <v/>
      </c>
      <c r="E4448" s="59" t="str">
        <f>IFERROR(IF(F4448&lt;&gt;"pending","",IF(OR($B4448="",$B4448="(blank)"),"",VLOOKUP($B4448,'Email Marketing Raw Data'!$C:$O,11,0))),"")</f>
        <v/>
      </c>
      <c r="F4448" s="54" t="str">
        <f>IFERROR(IF(OR($B4448="",$B4448="(blank)"),"",VLOOKUP($B4448,'Email Marketing Raw Data'!$C:$O,13,0)),"")</f>
        <v/>
      </c>
      <c r="G4448" s="55" t="str">
        <f>IFERROR(IF(OR($B4448="",$B4448="(blank)"),"",VLOOKUP($B4448,'Email Marketing Raw Data'!$C:$O,4,0)),"")</f>
        <v/>
      </c>
      <c r="H4448" s="55" t="str">
        <f>IFERROR(IF(OR($B4448="",$B4448="(blank)"),"",VLOOKUP($B4448,'Email Marketing Raw Data'!$C:$O,5,0)),"")</f>
        <v/>
      </c>
      <c r="I4448" s="55" t="str">
        <f>IFERROR(IF($G4448="","",VLOOKUP('Dashboard And Emails Automate'!$G4448,Database!$H:$N,3,0)),"")</f>
        <v/>
      </c>
      <c r="J4448" s="55" t="str">
        <f>IFERROR(IF($G4448="","",VLOOKUP('Dashboard And Emails Automate'!$G4448,Database!$H:$N,4,0)),"")</f>
        <v/>
      </c>
      <c r="K4448" s="55" t="str">
        <f>IFERROR(IF($G4448="","",VLOOKUP('Dashboard And Emails Automate'!$G4448,Database!$H:$N,5,0)),"")</f>
        <v/>
      </c>
      <c r="L4448" s="55" t="str">
        <f>IFERROR(IF($G4448="","",VLOOKUP('Dashboard And Emails Automate'!$G4448,Database!$H:$N,6,0)),"")</f>
        <v/>
      </c>
      <c r="M4448" s="55" t="str">
        <f>IFERROR(IF($G4448="","",VLOOKUP('Dashboard And Emails Automate'!$G4448,Database!$H:$N,7,0)),"")</f>
        <v/>
      </c>
      <c r="N4448" s="55" t="str">
        <f>IFERROR(IF(OR($B4448="",$B4448="(blank)"),"",VLOOKUP($B4448,'Email Marketing Raw Data'!$C:$O,6,0)),"")</f>
        <v/>
      </c>
      <c r="O4448" s="55" t="str">
        <f>IFERROR(IF(OR($B4448="",$B4448="(blank)"),"",VLOOKUP($B4448,'Email Marketing Raw Data'!$C:$O,7,0)),"")</f>
        <v/>
      </c>
      <c r="P4448" s="55" t="str">
        <f>IFERROR(IF(OR($B4448="",$B4448="(blank)"),"",VLOOKUP($B4448,'Email Marketing Raw Data'!$C:$O,8,0)),"")</f>
        <v/>
      </c>
      <c r="Q4448" s="62" t="str">
        <f>IFERROR(IF(OR($B4448="",$B4448="(blank)"),"",VLOOKUP($B4448,'Email Marketing Raw Data'!$C:$O,9,0)),"")</f>
        <v/>
      </c>
    </row>
    <row r="4449" spans="4:17" ht="12.75" customHeight="1" x14ac:dyDescent="0.2">
      <c r="D4449" s="58" t="str">
        <f>IFERROR(IF(F4449&lt;&gt;"pending","",IF(OR($B4449="",$B4449="(blank)"),"",VLOOKUP($B4449,'Email Marketing Raw Data'!$C:$O,10,0))),"")</f>
        <v/>
      </c>
      <c r="E4449" s="59" t="str">
        <f>IFERROR(IF(F4449&lt;&gt;"pending","",IF(OR($B4449="",$B4449="(blank)"),"",VLOOKUP($B4449,'Email Marketing Raw Data'!$C:$O,11,0))),"")</f>
        <v/>
      </c>
      <c r="F4449" s="54" t="str">
        <f>IFERROR(IF(OR($B4449="",$B4449="(blank)"),"",VLOOKUP($B4449,'Email Marketing Raw Data'!$C:$O,13,0)),"")</f>
        <v/>
      </c>
      <c r="G4449" s="55" t="str">
        <f>IFERROR(IF(OR($B4449="",$B4449="(blank)"),"",VLOOKUP($B4449,'Email Marketing Raw Data'!$C:$O,4,0)),"")</f>
        <v/>
      </c>
      <c r="H4449" s="55" t="str">
        <f>IFERROR(IF(OR($B4449="",$B4449="(blank)"),"",VLOOKUP($B4449,'Email Marketing Raw Data'!$C:$O,5,0)),"")</f>
        <v/>
      </c>
      <c r="I4449" s="55" t="str">
        <f>IFERROR(IF($G4449="","",VLOOKUP('Dashboard And Emails Automate'!$G4449,Database!$H:$N,3,0)),"")</f>
        <v/>
      </c>
      <c r="J4449" s="55" t="str">
        <f>IFERROR(IF($G4449="","",VLOOKUP('Dashboard And Emails Automate'!$G4449,Database!$H:$N,4,0)),"")</f>
        <v/>
      </c>
      <c r="K4449" s="55" t="str">
        <f>IFERROR(IF($G4449="","",VLOOKUP('Dashboard And Emails Automate'!$G4449,Database!$H:$N,5,0)),"")</f>
        <v/>
      </c>
      <c r="L4449" s="55" t="str">
        <f>IFERROR(IF($G4449="","",VLOOKUP('Dashboard And Emails Automate'!$G4449,Database!$H:$N,6,0)),"")</f>
        <v/>
      </c>
      <c r="M4449" s="55" t="str">
        <f>IFERROR(IF($G4449="","",VLOOKUP('Dashboard And Emails Automate'!$G4449,Database!$H:$N,7,0)),"")</f>
        <v/>
      </c>
      <c r="N4449" s="55" t="str">
        <f>IFERROR(IF(OR($B4449="",$B4449="(blank)"),"",VLOOKUP($B4449,'Email Marketing Raw Data'!$C:$O,6,0)),"")</f>
        <v/>
      </c>
      <c r="O4449" s="55" t="str">
        <f>IFERROR(IF(OR($B4449="",$B4449="(blank)"),"",VLOOKUP($B4449,'Email Marketing Raw Data'!$C:$O,7,0)),"")</f>
        <v/>
      </c>
      <c r="P4449" s="55" t="str">
        <f>IFERROR(IF(OR($B4449="",$B4449="(blank)"),"",VLOOKUP($B4449,'Email Marketing Raw Data'!$C:$O,8,0)),"")</f>
        <v/>
      </c>
      <c r="Q4449" s="62" t="str">
        <f>IFERROR(IF(OR($B4449="",$B4449="(blank)"),"",VLOOKUP($B4449,'Email Marketing Raw Data'!$C:$O,9,0)),"")</f>
        <v/>
      </c>
    </row>
    <row r="4450" spans="4:17" ht="12.75" customHeight="1" x14ac:dyDescent="0.2">
      <c r="D4450" s="58" t="str">
        <f>IFERROR(IF(F4450&lt;&gt;"pending","",IF(OR($B4450="",$B4450="(blank)"),"",VLOOKUP($B4450,'Email Marketing Raw Data'!$C:$O,10,0))),"")</f>
        <v/>
      </c>
      <c r="E4450" s="59" t="str">
        <f>IFERROR(IF(F4450&lt;&gt;"pending","",IF(OR($B4450="",$B4450="(blank)"),"",VLOOKUP($B4450,'Email Marketing Raw Data'!$C:$O,11,0))),"")</f>
        <v/>
      </c>
      <c r="F4450" s="54" t="str">
        <f>IFERROR(IF(OR($B4450="",$B4450="(blank)"),"",VLOOKUP($B4450,'Email Marketing Raw Data'!$C:$O,13,0)),"")</f>
        <v/>
      </c>
      <c r="G4450" s="55" t="str">
        <f>IFERROR(IF(OR($B4450="",$B4450="(blank)"),"",VLOOKUP($B4450,'Email Marketing Raw Data'!$C:$O,4,0)),"")</f>
        <v/>
      </c>
      <c r="H4450" s="55" t="str">
        <f>IFERROR(IF(OR($B4450="",$B4450="(blank)"),"",VLOOKUP($B4450,'Email Marketing Raw Data'!$C:$O,5,0)),"")</f>
        <v/>
      </c>
      <c r="I4450" s="55" t="str">
        <f>IFERROR(IF($G4450="","",VLOOKUP('Dashboard And Emails Automate'!$G4450,Database!$H:$N,3,0)),"")</f>
        <v/>
      </c>
      <c r="J4450" s="55" t="str">
        <f>IFERROR(IF($G4450="","",VLOOKUP('Dashboard And Emails Automate'!$G4450,Database!$H:$N,4,0)),"")</f>
        <v/>
      </c>
      <c r="K4450" s="55" t="str">
        <f>IFERROR(IF($G4450="","",VLOOKUP('Dashboard And Emails Automate'!$G4450,Database!$H:$N,5,0)),"")</f>
        <v/>
      </c>
      <c r="L4450" s="55" t="str">
        <f>IFERROR(IF($G4450="","",VLOOKUP('Dashboard And Emails Automate'!$G4450,Database!$H:$N,6,0)),"")</f>
        <v/>
      </c>
      <c r="M4450" s="55" t="str">
        <f>IFERROR(IF($G4450="","",VLOOKUP('Dashboard And Emails Automate'!$G4450,Database!$H:$N,7,0)),"")</f>
        <v/>
      </c>
      <c r="N4450" s="55" t="str">
        <f>IFERROR(IF(OR($B4450="",$B4450="(blank)"),"",VLOOKUP($B4450,'Email Marketing Raw Data'!$C:$O,6,0)),"")</f>
        <v/>
      </c>
      <c r="O4450" s="55" t="str">
        <f>IFERROR(IF(OR($B4450="",$B4450="(blank)"),"",VLOOKUP($B4450,'Email Marketing Raw Data'!$C:$O,7,0)),"")</f>
        <v/>
      </c>
      <c r="P4450" s="55" t="str">
        <f>IFERROR(IF(OR($B4450="",$B4450="(blank)"),"",VLOOKUP($B4450,'Email Marketing Raw Data'!$C:$O,8,0)),"")</f>
        <v/>
      </c>
      <c r="Q4450" s="62" t="str">
        <f>IFERROR(IF(OR($B4450="",$B4450="(blank)"),"",VLOOKUP($B4450,'Email Marketing Raw Data'!$C:$O,9,0)),"")</f>
        <v/>
      </c>
    </row>
    <row r="4451" spans="4:17" ht="12.75" customHeight="1" x14ac:dyDescent="0.2">
      <c r="D4451" s="58" t="str">
        <f>IFERROR(IF(F4451&lt;&gt;"pending","",IF(OR($B4451="",$B4451="(blank)"),"",VLOOKUP($B4451,'Email Marketing Raw Data'!$C:$O,10,0))),"")</f>
        <v/>
      </c>
      <c r="E4451" s="59" t="str">
        <f>IFERROR(IF(F4451&lt;&gt;"pending","",IF(OR($B4451="",$B4451="(blank)"),"",VLOOKUP($B4451,'Email Marketing Raw Data'!$C:$O,11,0))),"")</f>
        <v/>
      </c>
      <c r="F4451" s="54" t="str">
        <f>IFERROR(IF(OR($B4451="",$B4451="(blank)"),"",VLOOKUP($B4451,'Email Marketing Raw Data'!$C:$O,13,0)),"")</f>
        <v/>
      </c>
      <c r="G4451" s="55" t="str">
        <f>IFERROR(IF(OR($B4451="",$B4451="(blank)"),"",VLOOKUP($B4451,'Email Marketing Raw Data'!$C:$O,4,0)),"")</f>
        <v/>
      </c>
      <c r="H4451" s="55" t="str">
        <f>IFERROR(IF(OR($B4451="",$B4451="(blank)"),"",VLOOKUP($B4451,'Email Marketing Raw Data'!$C:$O,5,0)),"")</f>
        <v/>
      </c>
      <c r="I4451" s="55" t="str">
        <f>IFERROR(IF($G4451="","",VLOOKUP('Dashboard And Emails Automate'!$G4451,Database!$H:$N,3,0)),"")</f>
        <v/>
      </c>
      <c r="J4451" s="55" t="str">
        <f>IFERROR(IF($G4451="","",VLOOKUP('Dashboard And Emails Automate'!$G4451,Database!$H:$N,4,0)),"")</f>
        <v/>
      </c>
      <c r="K4451" s="55" t="str">
        <f>IFERROR(IF($G4451="","",VLOOKUP('Dashboard And Emails Automate'!$G4451,Database!$H:$N,5,0)),"")</f>
        <v/>
      </c>
      <c r="L4451" s="55" t="str">
        <f>IFERROR(IF($G4451="","",VLOOKUP('Dashboard And Emails Automate'!$G4451,Database!$H:$N,6,0)),"")</f>
        <v/>
      </c>
      <c r="M4451" s="55" t="str">
        <f>IFERROR(IF($G4451="","",VLOOKUP('Dashboard And Emails Automate'!$G4451,Database!$H:$N,7,0)),"")</f>
        <v/>
      </c>
      <c r="N4451" s="55" t="str">
        <f>IFERROR(IF(OR($B4451="",$B4451="(blank)"),"",VLOOKUP($B4451,'Email Marketing Raw Data'!$C:$O,6,0)),"")</f>
        <v/>
      </c>
      <c r="O4451" s="55" t="str">
        <f>IFERROR(IF(OR($B4451="",$B4451="(blank)"),"",VLOOKUP($B4451,'Email Marketing Raw Data'!$C:$O,7,0)),"")</f>
        <v/>
      </c>
      <c r="P4451" s="55" t="str">
        <f>IFERROR(IF(OR($B4451="",$B4451="(blank)"),"",VLOOKUP($B4451,'Email Marketing Raw Data'!$C:$O,8,0)),"")</f>
        <v/>
      </c>
      <c r="Q4451" s="62" t="str">
        <f>IFERROR(IF(OR($B4451="",$B4451="(blank)"),"",VLOOKUP($B4451,'Email Marketing Raw Data'!$C:$O,9,0)),"")</f>
        <v/>
      </c>
    </row>
    <row r="4452" spans="4:17" ht="12.75" customHeight="1" x14ac:dyDescent="0.2">
      <c r="D4452" s="58" t="str">
        <f>IFERROR(IF(F4452&lt;&gt;"pending","",IF(OR($B4452="",$B4452="(blank)"),"",VLOOKUP($B4452,'Email Marketing Raw Data'!$C:$O,10,0))),"")</f>
        <v/>
      </c>
      <c r="E4452" s="59" t="str">
        <f>IFERROR(IF(F4452&lt;&gt;"pending","",IF(OR($B4452="",$B4452="(blank)"),"",VLOOKUP($B4452,'Email Marketing Raw Data'!$C:$O,11,0))),"")</f>
        <v/>
      </c>
      <c r="F4452" s="54" t="str">
        <f>IFERROR(IF(OR($B4452="",$B4452="(blank)"),"",VLOOKUP($B4452,'Email Marketing Raw Data'!$C:$O,13,0)),"")</f>
        <v/>
      </c>
      <c r="G4452" s="55" t="str">
        <f>IFERROR(IF(OR($B4452="",$B4452="(blank)"),"",VLOOKUP($B4452,'Email Marketing Raw Data'!$C:$O,4,0)),"")</f>
        <v/>
      </c>
      <c r="H4452" s="55" t="str">
        <f>IFERROR(IF(OR($B4452="",$B4452="(blank)"),"",VLOOKUP($B4452,'Email Marketing Raw Data'!$C:$O,5,0)),"")</f>
        <v/>
      </c>
      <c r="I4452" s="55" t="str">
        <f>IFERROR(IF($G4452="","",VLOOKUP('Dashboard And Emails Automate'!$G4452,Database!$H:$N,3,0)),"")</f>
        <v/>
      </c>
      <c r="J4452" s="55" t="str">
        <f>IFERROR(IF($G4452="","",VLOOKUP('Dashboard And Emails Automate'!$G4452,Database!$H:$N,4,0)),"")</f>
        <v/>
      </c>
      <c r="K4452" s="55" t="str">
        <f>IFERROR(IF($G4452="","",VLOOKUP('Dashboard And Emails Automate'!$G4452,Database!$H:$N,5,0)),"")</f>
        <v/>
      </c>
      <c r="L4452" s="55" t="str">
        <f>IFERROR(IF($G4452="","",VLOOKUP('Dashboard And Emails Automate'!$G4452,Database!$H:$N,6,0)),"")</f>
        <v/>
      </c>
      <c r="M4452" s="55" t="str">
        <f>IFERROR(IF($G4452="","",VLOOKUP('Dashboard And Emails Automate'!$G4452,Database!$H:$N,7,0)),"")</f>
        <v/>
      </c>
      <c r="N4452" s="55" t="str">
        <f>IFERROR(IF(OR($B4452="",$B4452="(blank)"),"",VLOOKUP($B4452,'Email Marketing Raw Data'!$C:$O,6,0)),"")</f>
        <v/>
      </c>
      <c r="O4452" s="55" t="str">
        <f>IFERROR(IF(OR($B4452="",$B4452="(blank)"),"",VLOOKUP($B4452,'Email Marketing Raw Data'!$C:$O,7,0)),"")</f>
        <v/>
      </c>
      <c r="P4452" s="55" t="str">
        <f>IFERROR(IF(OR($B4452="",$B4452="(blank)"),"",VLOOKUP($B4452,'Email Marketing Raw Data'!$C:$O,8,0)),"")</f>
        <v/>
      </c>
      <c r="Q4452" s="62" t="str">
        <f>IFERROR(IF(OR($B4452="",$B4452="(blank)"),"",VLOOKUP($B4452,'Email Marketing Raw Data'!$C:$O,9,0)),"")</f>
        <v/>
      </c>
    </row>
    <row r="4453" spans="4:17" ht="12.75" customHeight="1" x14ac:dyDescent="0.2">
      <c r="D4453" s="58" t="str">
        <f>IFERROR(IF(F4453&lt;&gt;"pending","",IF(OR($B4453="",$B4453="(blank)"),"",VLOOKUP($B4453,'Email Marketing Raw Data'!$C:$O,10,0))),"")</f>
        <v/>
      </c>
      <c r="E4453" s="59" t="str">
        <f>IFERROR(IF(F4453&lt;&gt;"pending","",IF(OR($B4453="",$B4453="(blank)"),"",VLOOKUP($B4453,'Email Marketing Raw Data'!$C:$O,11,0))),"")</f>
        <v/>
      </c>
      <c r="F4453" s="54" t="str">
        <f>IFERROR(IF(OR($B4453="",$B4453="(blank)"),"",VLOOKUP($B4453,'Email Marketing Raw Data'!$C:$O,13,0)),"")</f>
        <v/>
      </c>
      <c r="G4453" s="55" t="str">
        <f>IFERROR(IF(OR($B4453="",$B4453="(blank)"),"",VLOOKUP($B4453,'Email Marketing Raw Data'!$C:$O,4,0)),"")</f>
        <v/>
      </c>
      <c r="H4453" s="55" t="str">
        <f>IFERROR(IF(OR($B4453="",$B4453="(blank)"),"",VLOOKUP($B4453,'Email Marketing Raw Data'!$C:$O,5,0)),"")</f>
        <v/>
      </c>
      <c r="I4453" s="55" t="str">
        <f>IFERROR(IF($G4453="","",VLOOKUP('Dashboard And Emails Automate'!$G4453,Database!$H:$N,3,0)),"")</f>
        <v/>
      </c>
      <c r="J4453" s="55" t="str">
        <f>IFERROR(IF($G4453="","",VLOOKUP('Dashboard And Emails Automate'!$G4453,Database!$H:$N,4,0)),"")</f>
        <v/>
      </c>
      <c r="K4453" s="55" t="str">
        <f>IFERROR(IF($G4453="","",VLOOKUP('Dashboard And Emails Automate'!$G4453,Database!$H:$N,5,0)),"")</f>
        <v/>
      </c>
      <c r="L4453" s="55" t="str">
        <f>IFERROR(IF($G4453="","",VLOOKUP('Dashboard And Emails Automate'!$G4453,Database!$H:$N,6,0)),"")</f>
        <v/>
      </c>
      <c r="M4453" s="55" t="str">
        <f>IFERROR(IF($G4453="","",VLOOKUP('Dashboard And Emails Automate'!$G4453,Database!$H:$N,7,0)),"")</f>
        <v/>
      </c>
      <c r="N4453" s="55" t="str">
        <f>IFERROR(IF(OR($B4453="",$B4453="(blank)"),"",VLOOKUP($B4453,'Email Marketing Raw Data'!$C:$O,6,0)),"")</f>
        <v/>
      </c>
      <c r="O4453" s="55" t="str">
        <f>IFERROR(IF(OR($B4453="",$B4453="(blank)"),"",VLOOKUP($B4453,'Email Marketing Raw Data'!$C:$O,7,0)),"")</f>
        <v/>
      </c>
      <c r="P4453" s="55" t="str">
        <f>IFERROR(IF(OR($B4453="",$B4453="(blank)"),"",VLOOKUP($B4453,'Email Marketing Raw Data'!$C:$O,8,0)),"")</f>
        <v/>
      </c>
      <c r="Q4453" s="62" t="str">
        <f>IFERROR(IF(OR($B4453="",$B4453="(blank)"),"",VLOOKUP($B4453,'Email Marketing Raw Data'!$C:$O,9,0)),"")</f>
        <v/>
      </c>
    </row>
    <row r="4454" spans="4:17" ht="12.75" customHeight="1" x14ac:dyDescent="0.2">
      <c r="D4454" s="58" t="str">
        <f>IFERROR(IF(F4454&lt;&gt;"pending","",IF(OR($B4454="",$B4454="(blank)"),"",VLOOKUP($B4454,'Email Marketing Raw Data'!$C:$O,10,0))),"")</f>
        <v/>
      </c>
      <c r="E4454" s="59" t="str">
        <f>IFERROR(IF(F4454&lt;&gt;"pending","",IF(OR($B4454="",$B4454="(blank)"),"",VLOOKUP($B4454,'Email Marketing Raw Data'!$C:$O,11,0))),"")</f>
        <v/>
      </c>
      <c r="F4454" s="54" t="str">
        <f>IFERROR(IF(OR($B4454="",$B4454="(blank)"),"",VLOOKUP($B4454,'Email Marketing Raw Data'!$C:$O,13,0)),"")</f>
        <v/>
      </c>
      <c r="G4454" s="55" t="str">
        <f>IFERROR(IF(OR($B4454="",$B4454="(blank)"),"",VLOOKUP($B4454,'Email Marketing Raw Data'!$C:$O,4,0)),"")</f>
        <v/>
      </c>
      <c r="H4454" s="55" t="str">
        <f>IFERROR(IF(OR($B4454="",$B4454="(blank)"),"",VLOOKUP($B4454,'Email Marketing Raw Data'!$C:$O,5,0)),"")</f>
        <v/>
      </c>
      <c r="I4454" s="55" t="str">
        <f>IFERROR(IF($G4454="","",VLOOKUP('Dashboard And Emails Automate'!$G4454,Database!$H:$N,3,0)),"")</f>
        <v/>
      </c>
      <c r="J4454" s="55" t="str">
        <f>IFERROR(IF($G4454="","",VLOOKUP('Dashboard And Emails Automate'!$G4454,Database!$H:$N,4,0)),"")</f>
        <v/>
      </c>
      <c r="K4454" s="55" t="str">
        <f>IFERROR(IF($G4454="","",VLOOKUP('Dashboard And Emails Automate'!$G4454,Database!$H:$N,5,0)),"")</f>
        <v/>
      </c>
      <c r="L4454" s="55" t="str">
        <f>IFERROR(IF($G4454="","",VLOOKUP('Dashboard And Emails Automate'!$G4454,Database!$H:$N,6,0)),"")</f>
        <v/>
      </c>
      <c r="M4454" s="55" t="str">
        <f>IFERROR(IF($G4454="","",VLOOKUP('Dashboard And Emails Automate'!$G4454,Database!$H:$N,7,0)),"")</f>
        <v/>
      </c>
      <c r="N4454" s="55" t="str">
        <f>IFERROR(IF(OR($B4454="",$B4454="(blank)"),"",VLOOKUP($B4454,'Email Marketing Raw Data'!$C:$O,6,0)),"")</f>
        <v/>
      </c>
      <c r="O4454" s="55" t="str">
        <f>IFERROR(IF(OR($B4454="",$B4454="(blank)"),"",VLOOKUP($B4454,'Email Marketing Raw Data'!$C:$O,7,0)),"")</f>
        <v/>
      </c>
      <c r="P4454" s="55" t="str">
        <f>IFERROR(IF(OR($B4454="",$B4454="(blank)"),"",VLOOKUP($B4454,'Email Marketing Raw Data'!$C:$O,8,0)),"")</f>
        <v/>
      </c>
      <c r="Q4454" s="62" t="str">
        <f>IFERROR(IF(OR($B4454="",$B4454="(blank)"),"",VLOOKUP($B4454,'Email Marketing Raw Data'!$C:$O,9,0)),"")</f>
        <v/>
      </c>
    </row>
    <row r="4455" spans="4:17" ht="12.75" customHeight="1" x14ac:dyDescent="0.2">
      <c r="D4455" s="58" t="str">
        <f>IFERROR(IF(F4455&lt;&gt;"pending","",IF(OR($B4455="",$B4455="(blank)"),"",VLOOKUP($B4455,'Email Marketing Raw Data'!$C:$O,10,0))),"")</f>
        <v/>
      </c>
      <c r="E4455" s="59" t="str">
        <f>IFERROR(IF(F4455&lt;&gt;"pending","",IF(OR($B4455="",$B4455="(blank)"),"",VLOOKUP($B4455,'Email Marketing Raw Data'!$C:$O,11,0))),"")</f>
        <v/>
      </c>
      <c r="F4455" s="54" t="str">
        <f>IFERROR(IF(OR($B4455="",$B4455="(blank)"),"",VLOOKUP($B4455,'Email Marketing Raw Data'!$C:$O,13,0)),"")</f>
        <v/>
      </c>
      <c r="G4455" s="55" t="str">
        <f>IFERROR(IF(OR($B4455="",$B4455="(blank)"),"",VLOOKUP($B4455,'Email Marketing Raw Data'!$C:$O,4,0)),"")</f>
        <v/>
      </c>
      <c r="H4455" s="55" t="str">
        <f>IFERROR(IF(OR($B4455="",$B4455="(blank)"),"",VLOOKUP($B4455,'Email Marketing Raw Data'!$C:$O,5,0)),"")</f>
        <v/>
      </c>
      <c r="I4455" s="55" t="str">
        <f>IFERROR(IF($G4455="","",VLOOKUP('Dashboard And Emails Automate'!$G4455,Database!$H:$N,3,0)),"")</f>
        <v/>
      </c>
      <c r="J4455" s="55" t="str">
        <f>IFERROR(IF($G4455="","",VLOOKUP('Dashboard And Emails Automate'!$G4455,Database!$H:$N,4,0)),"")</f>
        <v/>
      </c>
      <c r="K4455" s="55" t="str">
        <f>IFERROR(IF($G4455="","",VLOOKUP('Dashboard And Emails Automate'!$G4455,Database!$H:$N,5,0)),"")</f>
        <v/>
      </c>
      <c r="L4455" s="55" t="str">
        <f>IFERROR(IF($G4455="","",VLOOKUP('Dashboard And Emails Automate'!$G4455,Database!$H:$N,6,0)),"")</f>
        <v/>
      </c>
      <c r="M4455" s="55" t="str">
        <f>IFERROR(IF($G4455="","",VLOOKUP('Dashboard And Emails Automate'!$G4455,Database!$H:$N,7,0)),"")</f>
        <v/>
      </c>
      <c r="N4455" s="55" t="str">
        <f>IFERROR(IF(OR($B4455="",$B4455="(blank)"),"",VLOOKUP($B4455,'Email Marketing Raw Data'!$C:$O,6,0)),"")</f>
        <v/>
      </c>
      <c r="O4455" s="55" t="str">
        <f>IFERROR(IF(OR($B4455="",$B4455="(blank)"),"",VLOOKUP($B4455,'Email Marketing Raw Data'!$C:$O,7,0)),"")</f>
        <v/>
      </c>
      <c r="P4455" s="55" t="str">
        <f>IFERROR(IF(OR($B4455="",$B4455="(blank)"),"",VLOOKUP($B4455,'Email Marketing Raw Data'!$C:$O,8,0)),"")</f>
        <v/>
      </c>
      <c r="Q4455" s="62" t="str">
        <f>IFERROR(IF(OR($B4455="",$B4455="(blank)"),"",VLOOKUP($B4455,'Email Marketing Raw Data'!$C:$O,9,0)),"")</f>
        <v/>
      </c>
    </row>
    <row r="4456" spans="4:17" ht="12.75" customHeight="1" x14ac:dyDescent="0.2">
      <c r="D4456" s="58" t="str">
        <f>IFERROR(IF(F4456&lt;&gt;"pending","",IF(OR($B4456="",$B4456="(blank)"),"",VLOOKUP($B4456,'Email Marketing Raw Data'!$C:$O,10,0))),"")</f>
        <v/>
      </c>
      <c r="E4456" s="59" t="str">
        <f>IFERROR(IF(F4456&lt;&gt;"pending","",IF(OR($B4456="",$B4456="(blank)"),"",VLOOKUP($B4456,'Email Marketing Raw Data'!$C:$O,11,0))),"")</f>
        <v/>
      </c>
      <c r="F4456" s="54" t="str">
        <f>IFERROR(IF(OR($B4456="",$B4456="(blank)"),"",VLOOKUP($B4456,'Email Marketing Raw Data'!$C:$O,13,0)),"")</f>
        <v/>
      </c>
      <c r="G4456" s="55" t="str">
        <f>IFERROR(IF(OR($B4456="",$B4456="(blank)"),"",VLOOKUP($B4456,'Email Marketing Raw Data'!$C:$O,4,0)),"")</f>
        <v/>
      </c>
      <c r="H4456" s="55" t="str">
        <f>IFERROR(IF(OR($B4456="",$B4456="(blank)"),"",VLOOKUP($B4456,'Email Marketing Raw Data'!$C:$O,5,0)),"")</f>
        <v/>
      </c>
      <c r="I4456" s="55" t="str">
        <f>IFERROR(IF($G4456="","",VLOOKUP('Dashboard And Emails Automate'!$G4456,Database!$H:$N,3,0)),"")</f>
        <v/>
      </c>
      <c r="J4456" s="55" t="str">
        <f>IFERROR(IF($G4456="","",VLOOKUP('Dashboard And Emails Automate'!$G4456,Database!$H:$N,4,0)),"")</f>
        <v/>
      </c>
      <c r="K4456" s="55" t="str">
        <f>IFERROR(IF($G4456="","",VLOOKUP('Dashboard And Emails Automate'!$G4456,Database!$H:$N,5,0)),"")</f>
        <v/>
      </c>
      <c r="L4456" s="55" t="str">
        <f>IFERROR(IF($G4456="","",VLOOKUP('Dashboard And Emails Automate'!$G4456,Database!$H:$N,6,0)),"")</f>
        <v/>
      </c>
      <c r="M4456" s="55" t="str">
        <f>IFERROR(IF($G4456="","",VLOOKUP('Dashboard And Emails Automate'!$G4456,Database!$H:$N,7,0)),"")</f>
        <v/>
      </c>
      <c r="N4456" s="55" t="str">
        <f>IFERROR(IF(OR($B4456="",$B4456="(blank)"),"",VLOOKUP($B4456,'Email Marketing Raw Data'!$C:$O,6,0)),"")</f>
        <v/>
      </c>
      <c r="O4456" s="55" t="str">
        <f>IFERROR(IF(OR($B4456="",$B4456="(blank)"),"",VLOOKUP($B4456,'Email Marketing Raw Data'!$C:$O,7,0)),"")</f>
        <v/>
      </c>
      <c r="P4456" s="55" t="str">
        <f>IFERROR(IF(OR($B4456="",$B4456="(blank)"),"",VLOOKUP($B4456,'Email Marketing Raw Data'!$C:$O,8,0)),"")</f>
        <v/>
      </c>
      <c r="Q4456" s="62" t="str">
        <f>IFERROR(IF(OR($B4456="",$B4456="(blank)"),"",VLOOKUP($B4456,'Email Marketing Raw Data'!$C:$O,9,0)),"")</f>
        <v/>
      </c>
    </row>
    <row r="4457" spans="4:17" ht="12.75" customHeight="1" x14ac:dyDescent="0.2">
      <c r="D4457" s="58" t="str">
        <f>IFERROR(IF(F4457&lt;&gt;"pending","",IF(OR($B4457="",$B4457="(blank)"),"",VLOOKUP($B4457,'Email Marketing Raw Data'!$C:$O,10,0))),"")</f>
        <v/>
      </c>
      <c r="E4457" s="59" t="str">
        <f>IFERROR(IF(F4457&lt;&gt;"pending","",IF(OR($B4457="",$B4457="(blank)"),"",VLOOKUP($B4457,'Email Marketing Raw Data'!$C:$O,11,0))),"")</f>
        <v/>
      </c>
      <c r="F4457" s="54" t="str">
        <f>IFERROR(IF(OR($B4457="",$B4457="(blank)"),"",VLOOKUP($B4457,'Email Marketing Raw Data'!$C:$O,13,0)),"")</f>
        <v/>
      </c>
      <c r="G4457" s="55" t="str">
        <f>IFERROR(IF(OR($B4457="",$B4457="(blank)"),"",VLOOKUP($B4457,'Email Marketing Raw Data'!$C:$O,4,0)),"")</f>
        <v/>
      </c>
      <c r="H4457" s="55" t="str">
        <f>IFERROR(IF(OR($B4457="",$B4457="(blank)"),"",VLOOKUP($B4457,'Email Marketing Raw Data'!$C:$O,5,0)),"")</f>
        <v/>
      </c>
      <c r="I4457" s="55" t="str">
        <f>IFERROR(IF($G4457="","",VLOOKUP('Dashboard And Emails Automate'!$G4457,Database!$H:$N,3,0)),"")</f>
        <v/>
      </c>
      <c r="J4457" s="55" t="str">
        <f>IFERROR(IF($G4457="","",VLOOKUP('Dashboard And Emails Automate'!$G4457,Database!$H:$N,4,0)),"")</f>
        <v/>
      </c>
      <c r="K4457" s="55" t="str">
        <f>IFERROR(IF($G4457="","",VLOOKUP('Dashboard And Emails Automate'!$G4457,Database!$H:$N,5,0)),"")</f>
        <v/>
      </c>
      <c r="L4457" s="55" t="str">
        <f>IFERROR(IF($G4457="","",VLOOKUP('Dashboard And Emails Automate'!$G4457,Database!$H:$N,6,0)),"")</f>
        <v/>
      </c>
      <c r="M4457" s="55" t="str">
        <f>IFERROR(IF($G4457="","",VLOOKUP('Dashboard And Emails Automate'!$G4457,Database!$H:$N,7,0)),"")</f>
        <v/>
      </c>
      <c r="N4457" s="55" t="str">
        <f>IFERROR(IF(OR($B4457="",$B4457="(blank)"),"",VLOOKUP($B4457,'Email Marketing Raw Data'!$C:$O,6,0)),"")</f>
        <v/>
      </c>
      <c r="O4457" s="55" t="str">
        <f>IFERROR(IF(OR($B4457="",$B4457="(blank)"),"",VLOOKUP($B4457,'Email Marketing Raw Data'!$C:$O,7,0)),"")</f>
        <v/>
      </c>
      <c r="P4457" s="55" t="str">
        <f>IFERROR(IF(OR($B4457="",$B4457="(blank)"),"",VLOOKUP($B4457,'Email Marketing Raw Data'!$C:$O,8,0)),"")</f>
        <v/>
      </c>
      <c r="Q4457" s="62" t="str">
        <f>IFERROR(IF(OR($B4457="",$B4457="(blank)"),"",VLOOKUP($B4457,'Email Marketing Raw Data'!$C:$O,9,0)),"")</f>
        <v/>
      </c>
    </row>
    <row r="4458" spans="4:17" ht="12.75" customHeight="1" x14ac:dyDescent="0.2">
      <c r="D4458" s="58" t="str">
        <f>IFERROR(IF(F4458&lt;&gt;"pending","",IF(OR($B4458="",$B4458="(blank)"),"",VLOOKUP($B4458,'Email Marketing Raw Data'!$C:$O,10,0))),"")</f>
        <v/>
      </c>
      <c r="E4458" s="59" t="str">
        <f>IFERROR(IF(F4458&lt;&gt;"pending","",IF(OR($B4458="",$B4458="(blank)"),"",VLOOKUP($B4458,'Email Marketing Raw Data'!$C:$O,11,0))),"")</f>
        <v/>
      </c>
      <c r="F4458" s="54" t="str">
        <f>IFERROR(IF(OR($B4458="",$B4458="(blank)"),"",VLOOKUP($B4458,'Email Marketing Raw Data'!$C:$O,13,0)),"")</f>
        <v/>
      </c>
      <c r="G4458" s="55" t="str">
        <f>IFERROR(IF(OR($B4458="",$B4458="(blank)"),"",VLOOKUP($B4458,'Email Marketing Raw Data'!$C:$O,4,0)),"")</f>
        <v/>
      </c>
      <c r="H4458" s="55" t="str">
        <f>IFERROR(IF(OR($B4458="",$B4458="(blank)"),"",VLOOKUP($B4458,'Email Marketing Raw Data'!$C:$O,5,0)),"")</f>
        <v/>
      </c>
      <c r="I4458" s="55" t="str">
        <f>IFERROR(IF($G4458="","",VLOOKUP('Dashboard And Emails Automate'!$G4458,Database!$H:$N,3,0)),"")</f>
        <v/>
      </c>
      <c r="J4458" s="55" t="str">
        <f>IFERROR(IF($G4458="","",VLOOKUP('Dashboard And Emails Automate'!$G4458,Database!$H:$N,4,0)),"")</f>
        <v/>
      </c>
      <c r="K4458" s="55" t="str">
        <f>IFERROR(IF($G4458="","",VLOOKUP('Dashboard And Emails Automate'!$G4458,Database!$H:$N,5,0)),"")</f>
        <v/>
      </c>
      <c r="L4458" s="55" t="str">
        <f>IFERROR(IF($G4458="","",VLOOKUP('Dashboard And Emails Automate'!$G4458,Database!$H:$N,6,0)),"")</f>
        <v/>
      </c>
      <c r="M4458" s="55" t="str">
        <f>IFERROR(IF($G4458="","",VLOOKUP('Dashboard And Emails Automate'!$G4458,Database!$H:$N,7,0)),"")</f>
        <v/>
      </c>
      <c r="N4458" s="55" t="str">
        <f>IFERROR(IF(OR($B4458="",$B4458="(blank)"),"",VLOOKUP($B4458,'Email Marketing Raw Data'!$C:$O,6,0)),"")</f>
        <v/>
      </c>
      <c r="O4458" s="55" t="str">
        <f>IFERROR(IF(OR($B4458="",$B4458="(blank)"),"",VLOOKUP($B4458,'Email Marketing Raw Data'!$C:$O,7,0)),"")</f>
        <v/>
      </c>
      <c r="P4458" s="55" t="str">
        <f>IFERROR(IF(OR($B4458="",$B4458="(blank)"),"",VLOOKUP($B4458,'Email Marketing Raw Data'!$C:$O,8,0)),"")</f>
        <v/>
      </c>
      <c r="Q4458" s="62" t="str">
        <f>IFERROR(IF(OR($B4458="",$B4458="(blank)"),"",VLOOKUP($B4458,'Email Marketing Raw Data'!$C:$O,9,0)),"")</f>
        <v/>
      </c>
    </row>
    <row r="4459" spans="4:17" ht="12.75" customHeight="1" x14ac:dyDescent="0.2">
      <c r="D4459" s="58" t="str">
        <f>IFERROR(IF(F4459&lt;&gt;"pending","",IF(OR($B4459="",$B4459="(blank)"),"",VLOOKUP($B4459,'Email Marketing Raw Data'!$C:$O,10,0))),"")</f>
        <v/>
      </c>
      <c r="E4459" s="59" t="str">
        <f>IFERROR(IF(F4459&lt;&gt;"pending","",IF(OR($B4459="",$B4459="(blank)"),"",VLOOKUP($B4459,'Email Marketing Raw Data'!$C:$O,11,0))),"")</f>
        <v/>
      </c>
      <c r="F4459" s="54" t="str">
        <f>IFERROR(IF(OR($B4459="",$B4459="(blank)"),"",VLOOKUP($B4459,'Email Marketing Raw Data'!$C:$O,13,0)),"")</f>
        <v/>
      </c>
      <c r="G4459" s="55" t="str">
        <f>IFERROR(IF(OR($B4459="",$B4459="(blank)"),"",VLOOKUP($B4459,'Email Marketing Raw Data'!$C:$O,4,0)),"")</f>
        <v/>
      </c>
      <c r="H4459" s="55" t="str">
        <f>IFERROR(IF(OR($B4459="",$B4459="(blank)"),"",VLOOKUP($B4459,'Email Marketing Raw Data'!$C:$O,5,0)),"")</f>
        <v/>
      </c>
      <c r="I4459" s="55" t="str">
        <f>IFERROR(IF($G4459="","",VLOOKUP('Dashboard And Emails Automate'!$G4459,Database!$H:$N,3,0)),"")</f>
        <v/>
      </c>
      <c r="J4459" s="55" t="str">
        <f>IFERROR(IF($G4459="","",VLOOKUP('Dashboard And Emails Automate'!$G4459,Database!$H:$N,4,0)),"")</f>
        <v/>
      </c>
      <c r="K4459" s="55" t="str">
        <f>IFERROR(IF($G4459="","",VLOOKUP('Dashboard And Emails Automate'!$G4459,Database!$H:$N,5,0)),"")</f>
        <v/>
      </c>
      <c r="L4459" s="55" t="str">
        <f>IFERROR(IF($G4459="","",VLOOKUP('Dashboard And Emails Automate'!$G4459,Database!$H:$N,6,0)),"")</f>
        <v/>
      </c>
      <c r="M4459" s="55" t="str">
        <f>IFERROR(IF($G4459="","",VLOOKUP('Dashboard And Emails Automate'!$G4459,Database!$H:$N,7,0)),"")</f>
        <v/>
      </c>
      <c r="N4459" s="55" t="str">
        <f>IFERROR(IF(OR($B4459="",$B4459="(blank)"),"",VLOOKUP($B4459,'Email Marketing Raw Data'!$C:$O,6,0)),"")</f>
        <v/>
      </c>
      <c r="O4459" s="55" t="str">
        <f>IFERROR(IF(OR($B4459="",$B4459="(blank)"),"",VLOOKUP($B4459,'Email Marketing Raw Data'!$C:$O,7,0)),"")</f>
        <v/>
      </c>
      <c r="P4459" s="55" t="str">
        <f>IFERROR(IF(OR($B4459="",$B4459="(blank)"),"",VLOOKUP($B4459,'Email Marketing Raw Data'!$C:$O,8,0)),"")</f>
        <v/>
      </c>
      <c r="Q4459" s="62" t="str">
        <f>IFERROR(IF(OR($B4459="",$B4459="(blank)"),"",VLOOKUP($B4459,'Email Marketing Raw Data'!$C:$O,9,0)),"")</f>
        <v/>
      </c>
    </row>
    <row r="4460" spans="4:17" ht="12.75" customHeight="1" x14ac:dyDescent="0.2">
      <c r="D4460" s="58" t="str">
        <f>IFERROR(IF(F4460&lt;&gt;"pending","",IF(OR($B4460="",$B4460="(blank)"),"",VLOOKUP($B4460,'Email Marketing Raw Data'!$C:$O,10,0))),"")</f>
        <v/>
      </c>
      <c r="E4460" s="59" t="str">
        <f>IFERROR(IF(F4460&lt;&gt;"pending","",IF(OR($B4460="",$B4460="(blank)"),"",VLOOKUP($B4460,'Email Marketing Raw Data'!$C:$O,11,0))),"")</f>
        <v/>
      </c>
      <c r="F4460" s="54" t="str">
        <f>IFERROR(IF(OR($B4460="",$B4460="(blank)"),"",VLOOKUP($B4460,'Email Marketing Raw Data'!$C:$O,13,0)),"")</f>
        <v/>
      </c>
      <c r="G4460" s="55" t="str">
        <f>IFERROR(IF(OR($B4460="",$B4460="(blank)"),"",VLOOKUP($B4460,'Email Marketing Raw Data'!$C:$O,4,0)),"")</f>
        <v/>
      </c>
      <c r="H4460" s="55" t="str">
        <f>IFERROR(IF(OR($B4460="",$B4460="(blank)"),"",VLOOKUP($B4460,'Email Marketing Raw Data'!$C:$O,5,0)),"")</f>
        <v/>
      </c>
      <c r="I4460" s="55" t="str">
        <f>IFERROR(IF($G4460="","",VLOOKUP('Dashboard And Emails Automate'!$G4460,Database!$H:$N,3,0)),"")</f>
        <v/>
      </c>
      <c r="J4460" s="55" t="str">
        <f>IFERROR(IF($G4460="","",VLOOKUP('Dashboard And Emails Automate'!$G4460,Database!$H:$N,4,0)),"")</f>
        <v/>
      </c>
      <c r="K4460" s="55" t="str">
        <f>IFERROR(IF($G4460="","",VLOOKUP('Dashboard And Emails Automate'!$G4460,Database!$H:$N,5,0)),"")</f>
        <v/>
      </c>
      <c r="L4460" s="55" t="str">
        <f>IFERROR(IF($G4460="","",VLOOKUP('Dashboard And Emails Automate'!$G4460,Database!$H:$N,6,0)),"")</f>
        <v/>
      </c>
      <c r="M4460" s="55" t="str">
        <f>IFERROR(IF($G4460="","",VLOOKUP('Dashboard And Emails Automate'!$G4460,Database!$H:$N,7,0)),"")</f>
        <v/>
      </c>
      <c r="N4460" s="55" t="str">
        <f>IFERROR(IF(OR($B4460="",$B4460="(blank)"),"",VLOOKUP($B4460,'Email Marketing Raw Data'!$C:$O,6,0)),"")</f>
        <v/>
      </c>
      <c r="O4460" s="55" t="str">
        <f>IFERROR(IF(OR($B4460="",$B4460="(blank)"),"",VLOOKUP($B4460,'Email Marketing Raw Data'!$C:$O,7,0)),"")</f>
        <v/>
      </c>
      <c r="P4460" s="55" t="str">
        <f>IFERROR(IF(OR($B4460="",$B4460="(blank)"),"",VLOOKUP($B4460,'Email Marketing Raw Data'!$C:$O,8,0)),"")</f>
        <v/>
      </c>
      <c r="Q4460" s="62" t="str">
        <f>IFERROR(IF(OR($B4460="",$B4460="(blank)"),"",VLOOKUP($B4460,'Email Marketing Raw Data'!$C:$O,9,0)),"")</f>
        <v/>
      </c>
    </row>
    <row r="4461" spans="4:17" ht="12.75" customHeight="1" x14ac:dyDescent="0.2">
      <c r="D4461" s="58" t="str">
        <f>IFERROR(IF(F4461&lt;&gt;"pending","",IF(OR($B4461="",$B4461="(blank)"),"",VLOOKUP($B4461,'Email Marketing Raw Data'!$C:$O,10,0))),"")</f>
        <v/>
      </c>
      <c r="E4461" s="59" t="str">
        <f>IFERROR(IF(F4461&lt;&gt;"pending","",IF(OR($B4461="",$B4461="(blank)"),"",VLOOKUP($B4461,'Email Marketing Raw Data'!$C:$O,11,0))),"")</f>
        <v/>
      </c>
      <c r="F4461" s="54" t="str">
        <f>IFERROR(IF(OR($B4461="",$B4461="(blank)"),"",VLOOKUP($B4461,'Email Marketing Raw Data'!$C:$O,13,0)),"")</f>
        <v/>
      </c>
      <c r="G4461" s="55" t="str">
        <f>IFERROR(IF(OR($B4461="",$B4461="(blank)"),"",VLOOKUP($B4461,'Email Marketing Raw Data'!$C:$O,4,0)),"")</f>
        <v/>
      </c>
      <c r="H4461" s="55" t="str">
        <f>IFERROR(IF(OR($B4461="",$B4461="(blank)"),"",VLOOKUP($B4461,'Email Marketing Raw Data'!$C:$O,5,0)),"")</f>
        <v/>
      </c>
      <c r="I4461" s="55" t="str">
        <f>IFERROR(IF($G4461="","",VLOOKUP('Dashboard And Emails Automate'!$G4461,Database!$H:$N,3,0)),"")</f>
        <v/>
      </c>
      <c r="J4461" s="55" t="str">
        <f>IFERROR(IF($G4461="","",VLOOKUP('Dashboard And Emails Automate'!$G4461,Database!$H:$N,4,0)),"")</f>
        <v/>
      </c>
      <c r="K4461" s="55" t="str">
        <f>IFERROR(IF($G4461="","",VLOOKUP('Dashboard And Emails Automate'!$G4461,Database!$H:$N,5,0)),"")</f>
        <v/>
      </c>
      <c r="L4461" s="55" t="str">
        <f>IFERROR(IF($G4461="","",VLOOKUP('Dashboard And Emails Automate'!$G4461,Database!$H:$N,6,0)),"")</f>
        <v/>
      </c>
      <c r="M4461" s="55" t="str">
        <f>IFERROR(IF($G4461="","",VLOOKUP('Dashboard And Emails Automate'!$G4461,Database!$H:$N,7,0)),"")</f>
        <v/>
      </c>
      <c r="N4461" s="55" t="str">
        <f>IFERROR(IF(OR($B4461="",$B4461="(blank)"),"",VLOOKUP($B4461,'Email Marketing Raw Data'!$C:$O,6,0)),"")</f>
        <v/>
      </c>
      <c r="O4461" s="55" t="str">
        <f>IFERROR(IF(OR($B4461="",$B4461="(blank)"),"",VLOOKUP($B4461,'Email Marketing Raw Data'!$C:$O,7,0)),"")</f>
        <v/>
      </c>
      <c r="P4461" s="55" t="str">
        <f>IFERROR(IF(OR($B4461="",$B4461="(blank)"),"",VLOOKUP($B4461,'Email Marketing Raw Data'!$C:$O,8,0)),"")</f>
        <v/>
      </c>
      <c r="Q4461" s="62" t="str">
        <f>IFERROR(IF(OR($B4461="",$B4461="(blank)"),"",VLOOKUP($B4461,'Email Marketing Raw Data'!$C:$O,9,0)),"")</f>
        <v/>
      </c>
    </row>
    <row r="4462" spans="4:17" ht="12.75" customHeight="1" x14ac:dyDescent="0.2">
      <c r="D4462" s="58" t="str">
        <f>IFERROR(IF(F4462&lt;&gt;"pending","",IF(OR($B4462="",$B4462="(blank)"),"",VLOOKUP($B4462,'Email Marketing Raw Data'!$C:$O,10,0))),"")</f>
        <v/>
      </c>
      <c r="E4462" s="59" t="str">
        <f>IFERROR(IF(F4462&lt;&gt;"pending","",IF(OR($B4462="",$B4462="(blank)"),"",VLOOKUP($B4462,'Email Marketing Raw Data'!$C:$O,11,0))),"")</f>
        <v/>
      </c>
      <c r="F4462" s="54" t="str">
        <f>IFERROR(IF(OR($B4462="",$B4462="(blank)"),"",VLOOKUP($B4462,'Email Marketing Raw Data'!$C:$O,13,0)),"")</f>
        <v/>
      </c>
      <c r="G4462" s="55" t="str">
        <f>IFERROR(IF(OR($B4462="",$B4462="(blank)"),"",VLOOKUP($B4462,'Email Marketing Raw Data'!$C:$O,4,0)),"")</f>
        <v/>
      </c>
      <c r="H4462" s="55" t="str">
        <f>IFERROR(IF(OR($B4462="",$B4462="(blank)"),"",VLOOKUP($B4462,'Email Marketing Raw Data'!$C:$O,5,0)),"")</f>
        <v/>
      </c>
      <c r="I4462" s="55" t="str">
        <f>IFERROR(IF($G4462="","",VLOOKUP('Dashboard And Emails Automate'!$G4462,Database!$H:$N,3,0)),"")</f>
        <v/>
      </c>
      <c r="J4462" s="55" t="str">
        <f>IFERROR(IF($G4462="","",VLOOKUP('Dashboard And Emails Automate'!$G4462,Database!$H:$N,4,0)),"")</f>
        <v/>
      </c>
      <c r="K4462" s="55" t="str">
        <f>IFERROR(IF($G4462="","",VLOOKUP('Dashboard And Emails Automate'!$G4462,Database!$H:$N,5,0)),"")</f>
        <v/>
      </c>
      <c r="L4462" s="55" t="str">
        <f>IFERROR(IF($G4462="","",VLOOKUP('Dashboard And Emails Automate'!$G4462,Database!$H:$N,6,0)),"")</f>
        <v/>
      </c>
      <c r="M4462" s="55" t="str">
        <f>IFERROR(IF($G4462="","",VLOOKUP('Dashboard And Emails Automate'!$G4462,Database!$H:$N,7,0)),"")</f>
        <v/>
      </c>
      <c r="N4462" s="55" t="str">
        <f>IFERROR(IF(OR($B4462="",$B4462="(blank)"),"",VLOOKUP($B4462,'Email Marketing Raw Data'!$C:$O,6,0)),"")</f>
        <v/>
      </c>
      <c r="O4462" s="55" t="str">
        <f>IFERROR(IF(OR($B4462="",$B4462="(blank)"),"",VLOOKUP($B4462,'Email Marketing Raw Data'!$C:$O,7,0)),"")</f>
        <v/>
      </c>
      <c r="P4462" s="55" t="str">
        <f>IFERROR(IF(OR($B4462="",$B4462="(blank)"),"",VLOOKUP($B4462,'Email Marketing Raw Data'!$C:$O,8,0)),"")</f>
        <v/>
      </c>
      <c r="Q4462" s="62" t="str">
        <f>IFERROR(IF(OR($B4462="",$B4462="(blank)"),"",VLOOKUP($B4462,'Email Marketing Raw Data'!$C:$O,9,0)),"")</f>
        <v/>
      </c>
    </row>
    <row r="4463" spans="4:17" ht="12.75" customHeight="1" x14ac:dyDescent="0.2">
      <c r="D4463" s="58" t="str">
        <f>IFERROR(IF(F4463&lt;&gt;"pending","",IF(OR($B4463="",$B4463="(blank)"),"",VLOOKUP($B4463,'Email Marketing Raw Data'!$C:$O,10,0))),"")</f>
        <v/>
      </c>
      <c r="E4463" s="59" t="str">
        <f>IFERROR(IF(F4463&lt;&gt;"pending","",IF(OR($B4463="",$B4463="(blank)"),"",VLOOKUP($B4463,'Email Marketing Raw Data'!$C:$O,11,0))),"")</f>
        <v/>
      </c>
      <c r="F4463" s="54" t="str">
        <f>IFERROR(IF(OR($B4463="",$B4463="(blank)"),"",VLOOKUP($B4463,'Email Marketing Raw Data'!$C:$O,13,0)),"")</f>
        <v/>
      </c>
      <c r="G4463" s="55" t="str">
        <f>IFERROR(IF(OR($B4463="",$B4463="(blank)"),"",VLOOKUP($B4463,'Email Marketing Raw Data'!$C:$O,4,0)),"")</f>
        <v/>
      </c>
      <c r="H4463" s="55" t="str">
        <f>IFERROR(IF(OR($B4463="",$B4463="(blank)"),"",VLOOKUP($B4463,'Email Marketing Raw Data'!$C:$O,5,0)),"")</f>
        <v/>
      </c>
      <c r="I4463" s="55" t="str">
        <f>IFERROR(IF($G4463="","",VLOOKUP('Dashboard And Emails Automate'!$G4463,Database!$H:$N,3,0)),"")</f>
        <v/>
      </c>
      <c r="J4463" s="55" t="str">
        <f>IFERROR(IF($G4463="","",VLOOKUP('Dashboard And Emails Automate'!$G4463,Database!$H:$N,4,0)),"")</f>
        <v/>
      </c>
      <c r="K4463" s="55" t="str">
        <f>IFERROR(IF($G4463="","",VLOOKUP('Dashboard And Emails Automate'!$G4463,Database!$H:$N,5,0)),"")</f>
        <v/>
      </c>
      <c r="L4463" s="55" t="str">
        <f>IFERROR(IF($G4463="","",VLOOKUP('Dashboard And Emails Automate'!$G4463,Database!$H:$N,6,0)),"")</f>
        <v/>
      </c>
      <c r="M4463" s="55" t="str">
        <f>IFERROR(IF($G4463="","",VLOOKUP('Dashboard And Emails Automate'!$G4463,Database!$H:$N,7,0)),"")</f>
        <v/>
      </c>
      <c r="N4463" s="55" t="str">
        <f>IFERROR(IF(OR($B4463="",$B4463="(blank)"),"",VLOOKUP($B4463,'Email Marketing Raw Data'!$C:$O,6,0)),"")</f>
        <v/>
      </c>
      <c r="O4463" s="55" t="str">
        <f>IFERROR(IF(OR($B4463="",$B4463="(blank)"),"",VLOOKUP($B4463,'Email Marketing Raw Data'!$C:$O,7,0)),"")</f>
        <v/>
      </c>
      <c r="P4463" s="55" t="str">
        <f>IFERROR(IF(OR($B4463="",$B4463="(blank)"),"",VLOOKUP($B4463,'Email Marketing Raw Data'!$C:$O,8,0)),"")</f>
        <v/>
      </c>
      <c r="Q4463" s="62" t="str">
        <f>IFERROR(IF(OR($B4463="",$B4463="(blank)"),"",VLOOKUP($B4463,'Email Marketing Raw Data'!$C:$O,9,0)),"")</f>
        <v/>
      </c>
    </row>
    <row r="4464" spans="4:17" ht="12.75" customHeight="1" x14ac:dyDescent="0.2">
      <c r="D4464" s="58" t="str">
        <f>IFERROR(IF(F4464&lt;&gt;"pending","",IF(OR($B4464="",$B4464="(blank)"),"",VLOOKUP($B4464,'Email Marketing Raw Data'!$C:$O,10,0))),"")</f>
        <v/>
      </c>
      <c r="E4464" s="59" t="str">
        <f>IFERROR(IF(F4464&lt;&gt;"pending","",IF(OR($B4464="",$B4464="(blank)"),"",VLOOKUP($B4464,'Email Marketing Raw Data'!$C:$O,11,0))),"")</f>
        <v/>
      </c>
      <c r="F4464" s="54" t="str">
        <f>IFERROR(IF(OR($B4464="",$B4464="(blank)"),"",VLOOKUP($B4464,'Email Marketing Raw Data'!$C:$O,13,0)),"")</f>
        <v/>
      </c>
      <c r="G4464" s="55" t="str">
        <f>IFERROR(IF(OR($B4464="",$B4464="(blank)"),"",VLOOKUP($B4464,'Email Marketing Raw Data'!$C:$O,4,0)),"")</f>
        <v/>
      </c>
      <c r="H4464" s="55" t="str">
        <f>IFERROR(IF(OR($B4464="",$B4464="(blank)"),"",VLOOKUP($B4464,'Email Marketing Raw Data'!$C:$O,5,0)),"")</f>
        <v/>
      </c>
      <c r="I4464" s="55" t="str">
        <f>IFERROR(IF($G4464="","",VLOOKUP('Dashboard And Emails Automate'!$G4464,Database!$H:$N,3,0)),"")</f>
        <v/>
      </c>
      <c r="J4464" s="55" t="str">
        <f>IFERROR(IF($G4464="","",VLOOKUP('Dashboard And Emails Automate'!$G4464,Database!$H:$N,4,0)),"")</f>
        <v/>
      </c>
      <c r="K4464" s="55" t="str">
        <f>IFERROR(IF($G4464="","",VLOOKUP('Dashboard And Emails Automate'!$G4464,Database!$H:$N,5,0)),"")</f>
        <v/>
      </c>
      <c r="L4464" s="55" t="str">
        <f>IFERROR(IF($G4464="","",VLOOKUP('Dashboard And Emails Automate'!$G4464,Database!$H:$N,6,0)),"")</f>
        <v/>
      </c>
      <c r="M4464" s="55" t="str">
        <f>IFERROR(IF($G4464="","",VLOOKUP('Dashboard And Emails Automate'!$G4464,Database!$H:$N,7,0)),"")</f>
        <v/>
      </c>
      <c r="N4464" s="55" t="str">
        <f>IFERROR(IF(OR($B4464="",$B4464="(blank)"),"",VLOOKUP($B4464,'Email Marketing Raw Data'!$C:$O,6,0)),"")</f>
        <v/>
      </c>
      <c r="O4464" s="55" t="str">
        <f>IFERROR(IF(OR($B4464="",$B4464="(blank)"),"",VLOOKUP($B4464,'Email Marketing Raw Data'!$C:$O,7,0)),"")</f>
        <v/>
      </c>
      <c r="P4464" s="55" t="str">
        <f>IFERROR(IF(OR($B4464="",$B4464="(blank)"),"",VLOOKUP($B4464,'Email Marketing Raw Data'!$C:$O,8,0)),"")</f>
        <v/>
      </c>
      <c r="Q4464" s="62" t="str">
        <f>IFERROR(IF(OR($B4464="",$B4464="(blank)"),"",VLOOKUP($B4464,'Email Marketing Raw Data'!$C:$O,9,0)),"")</f>
        <v/>
      </c>
    </row>
    <row r="4465" spans="4:17" ht="12.75" customHeight="1" x14ac:dyDescent="0.2">
      <c r="D4465" s="58" t="str">
        <f>IFERROR(IF(F4465&lt;&gt;"pending","",IF(OR($B4465="",$B4465="(blank)"),"",VLOOKUP($B4465,'Email Marketing Raw Data'!$C:$O,10,0))),"")</f>
        <v/>
      </c>
      <c r="E4465" s="59" t="str">
        <f>IFERROR(IF(F4465&lt;&gt;"pending","",IF(OR($B4465="",$B4465="(blank)"),"",VLOOKUP($B4465,'Email Marketing Raw Data'!$C:$O,11,0))),"")</f>
        <v/>
      </c>
      <c r="F4465" s="54" t="str">
        <f>IFERROR(IF(OR($B4465="",$B4465="(blank)"),"",VLOOKUP($B4465,'Email Marketing Raw Data'!$C:$O,13,0)),"")</f>
        <v/>
      </c>
      <c r="G4465" s="55" t="str">
        <f>IFERROR(IF(OR($B4465="",$B4465="(blank)"),"",VLOOKUP($B4465,'Email Marketing Raw Data'!$C:$O,4,0)),"")</f>
        <v/>
      </c>
      <c r="H4465" s="55" t="str">
        <f>IFERROR(IF(OR($B4465="",$B4465="(blank)"),"",VLOOKUP($B4465,'Email Marketing Raw Data'!$C:$O,5,0)),"")</f>
        <v/>
      </c>
      <c r="I4465" s="55" t="str">
        <f>IFERROR(IF($G4465="","",VLOOKUP('Dashboard And Emails Automate'!$G4465,Database!$H:$N,3,0)),"")</f>
        <v/>
      </c>
      <c r="J4465" s="55" t="str">
        <f>IFERROR(IF($G4465="","",VLOOKUP('Dashboard And Emails Automate'!$G4465,Database!$H:$N,4,0)),"")</f>
        <v/>
      </c>
      <c r="K4465" s="55" t="str">
        <f>IFERROR(IF($G4465="","",VLOOKUP('Dashboard And Emails Automate'!$G4465,Database!$H:$N,5,0)),"")</f>
        <v/>
      </c>
      <c r="L4465" s="55" t="str">
        <f>IFERROR(IF($G4465="","",VLOOKUP('Dashboard And Emails Automate'!$G4465,Database!$H:$N,6,0)),"")</f>
        <v/>
      </c>
      <c r="M4465" s="55" t="str">
        <f>IFERROR(IF($G4465="","",VLOOKUP('Dashboard And Emails Automate'!$G4465,Database!$H:$N,7,0)),"")</f>
        <v/>
      </c>
      <c r="N4465" s="55" t="str">
        <f>IFERROR(IF(OR($B4465="",$B4465="(blank)"),"",VLOOKUP($B4465,'Email Marketing Raw Data'!$C:$O,6,0)),"")</f>
        <v/>
      </c>
      <c r="O4465" s="55" t="str">
        <f>IFERROR(IF(OR($B4465="",$B4465="(blank)"),"",VLOOKUP($B4465,'Email Marketing Raw Data'!$C:$O,7,0)),"")</f>
        <v/>
      </c>
      <c r="P4465" s="55" t="str">
        <f>IFERROR(IF(OR($B4465="",$B4465="(blank)"),"",VLOOKUP($B4465,'Email Marketing Raw Data'!$C:$O,8,0)),"")</f>
        <v/>
      </c>
      <c r="Q4465" s="62" t="str">
        <f>IFERROR(IF(OR($B4465="",$B4465="(blank)"),"",VLOOKUP($B4465,'Email Marketing Raw Data'!$C:$O,9,0)),"")</f>
        <v/>
      </c>
    </row>
    <row r="4466" spans="4:17" ht="12.75" customHeight="1" x14ac:dyDescent="0.2">
      <c r="D4466" s="58" t="str">
        <f>IFERROR(IF(F4466&lt;&gt;"pending","",IF(OR($B4466="",$B4466="(blank)"),"",VLOOKUP($B4466,'Email Marketing Raw Data'!$C:$O,10,0))),"")</f>
        <v/>
      </c>
      <c r="E4466" s="59" t="str">
        <f>IFERROR(IF(F4466&lt;&gt;"pending","",IF(OR($B4466="",$B4466="(blank)"),"",VLOOKUP($B4466,'Email Marketing Raw Data'!$C:$O,11,0))),"")</f>
        <v/>
      </c>
      <c r="F4466" s="54" t="str">
        <f>IFERROR(IF(OR($B4466="",$B4466="(blank)"),"",VLOOKUP($B4466,'Email Marketing Raw Data'!$C:$O,13,0)),"")</f>
        <v/>
      </c>
      <c r="G4466" s="55" t="str">
        <f>IFERROR(IF(OR($B4466="",$B4466="(blank)"),"",VLOOKUP($B4466,'Email Marketing Raw Data'!$C:$O,4,0)),"")</f>
        <v/>
      </c>
      <c r="H4466" s="55" t="str">
        <f>IFERROR(IF(OR($B4466="",$B4466="(blank)"),"",VLOOKUP($B4466,'Email Marketing Raw Data'!$C:$O,5,0)),"")</f>
        <v/>
      </c>
      <c r="I4466" s="55" t="str">
        <f>IFERROR(IF($G4466="","",VLOOKUP('Dashboard And Emails Automate'!$G4466,Database!$H:$N,3,0)),"")</f>
        <v/>
      </c>
      <c r="J4466" s="55" t="str">
        <f>IFERROR(IF($G4466="","",VLOOKUP('Dashboard And Emails Automate'!$G4466,Database!$H:$N,4,0)),"")</f>
        <v/>
      </c>
      <c r="K4466" s="55" t="str">
        <f>IFERROR(IF($G4466="","",VLOOKUP('Dashboard And Emails Automate'!$G4466,Database!$H:$N,5,0)),"")</f>
        <v/>
      </c>
      <c r="L4466" s="55" t="str">
        <f>IFERROR(IF($G4466="","",VLOOKUP('Dashboard And Emails Automate'!$G4466,Database!$H:$N,6,0)),"")</f>
        <v/>
      </c>
      <c r="M4466" s="55" t="str">
        <f>IFERROR(IF($G4466="","",VLOOKUP('Dashboard And Emails Automate'!$G4466,Database!$H:$N,7,0)),"")</f>
        <v/>
      </c>
      <c r="N4466" s="55" t="str">
        <f>IFERROR(IF(OR($B4466="",$B4466="(blank)"),"",VLOOKUP($B4466,'Email Marketing Raw Data'!$C:$O,6,0)),"")</f>
        <v/>
      </c>
      <c r="O4466" s="55" t="str">
        <f>IFERROR(IF(OR($B4466="",$B4466="(blank)"),"",VLOOKUP($B4466,'Email Marketing Raw Data'!$C:$O,7,0)),"")</f>
        <v/>
      </c>
      <c r="P4466" s="55" t="str">
        <f>IFERROR(IF(OR($B4466="",$B4466="(blank)"),"",VLOOKUP($B4466,'Email Marketing Raw Data'!$C:$O,8,0)),"")</f>
        <v/>
      </c>
      <c r="Q4466" s="62" t="str">
        <f>IFERROR(IF(OR($B4466="",$B4466="(blank)"),"",VLOOKUP($B4466,'Email Marketing Raw Data'!$C:$O,9,0)),"")</f>
        <v/>
      </c>
    </row>
    <row r="4467" spans="4:17" ht="12.75" customHeight="1" x14ac:dyDescent="0.2">
      <c r="D4467" s="58" t="str">
        <f>IFERROR(IF(F4467&lt;&gt;"pending","",IF(OR($B4467="",$B4467="(blank)"),"",VLOOKUP($B4467,'Email Marketing Raw Data'!$C:$O,10,0))),"")</f>
        <v/>
      </c>
      <c r="E4467" s="59" t="str">
        <f>IFERROR(IF(F4467&lt;&gt;"pending","",IF(OR($B4467="",$B4467="(blank)"),"",VLOOKUP($B4467,'Email Marketing Raw Data'!$C:$O,11,0))),"")</f>
        <v/>
      </c>
      <c r="F4467" s="54" t="str">
        <f>IFERROR(IF(OR($B4467="",$B4467="(blank)"),"",VLOOKUP($B4467,'Email Marketing Raw Data'!$C:$O,13,0)),"")</f>
        <v/>
      </c>
      <c r="G4467" s="55" t="str">
        <f>IFERROR(IF(OR($B4467="",$B4467="(blank)"),"",VLOOKUP($B4467,'Email Marketing Raw Data'!$C:$O,4,0)),"")</f>
        <v/>
      </c>
      <c r="H4467" s="55" t="str">
        <f>IFERROR(IF(OR($B4467="",$B4467="(blank)"),"",VLOOKUP($B4467,'Email Marketing Raw Data'!$C:$O,5,0)),"")</f>
        <v/>
      </c>
      <c r="I4467" s="55" t="str">
        <f>IFERROR(IF($G4467="","",VLOOKUP('Dashboard And Emails Automate'!$G4467,Database!$H:$N,3,0)),"")</f>
        <v/>
      </c>
      <c r="J4467" s="55" t="str">
        <f>IFERROR(IF($G4467="","",VLOOKUP('Dashboard And Emails Automate'!$G4467,Database!$H:$N,4,0)),"")</f>
        <v/>
      </c>
      <c r="K4467" s="55" t="str">
        <f>IFERROR(IF($G4467="","",VLOOKUP('Dashboard And Emails Automate'!$G4467,Database!$H:$N,5,0)),"")</f>
        <v/>
      </c>
      <c r="L4467" s="55" t="str">
        <f>IFERROR(IF($G4467="","",VLOOKUP('Dashboard And Emails Automate'!$G4467,Database!$H:$N,6,0)),"")</f>
        <v/>
      </c>
      <c r="M4467" s="55" t="str">
        <f>IFERROR(IF($G4467="","",VLOOKUP('Dashboard And Emails Automate'!$G4467,Database!$H:$N,7,0)),"")</f>
        <v/>
      </c>
      <c r="N4467" s="55" t="str">
        <f>IFERROR(IF(OR($B4467="",$B4467="(blank)"),"",VLOOKUP($B4467,'Email Marketing Raw Data'!$C:$O,6,0)),"")</f>
        <v/>
      </c>
      <c r="O4467" s="55" t="str">
        <f>IFERROR(IF(OR($B4467="",$B4467="(blank)"),"",VLOOKUP($B4467,'Email Marketing Raw Data'!$C:$O,7,0)),"")</f>
        <v/>
      </c>
      <c r="P4467" s="55" t="str">
        <f>IFERROR(IF(OR($B4467="",$B4467="(blank)"),"",VLOOKUP($B4467,'Email Marketing Raw Data'!$C:$O,8,0)),"")</f>
        <v/>
      </c>
      <c r="Q4467" s="62" t="str">
        <f>IFERROR(IF(OR($B4467="",$B4467="(blank)"),"",VLOOKUP($B4467,'Email Marketing Raw Data'!$C:$O,9,0)),"")</f>
        <v/>
      </c>
    </row>
    <row r="4468" spans="4:17" ht="12.75" customHeight="1" x14ac:dyDescent="0.2">
      <c r="D4468" s="58" t="str">
        <f>IFERROR(IF(F4468&lt;&gt;"pending","",IF(OR($B4468="",$B4468="(blank)"),"",VLOOKUP($B4468,'Email Marketing Raw Data'!$C:$O,10,0))),"")</f>
        <v/>
      </c>
      <c r="E4468" s="59" t="str">
        <f>IFERROR(IF(F4468&lt;&gt;"pending","",IF(OR($B4468="",$B4468="(blank)"),"",VLOOKUP($B4468,'Email Marketing Raw Data'!$C:$O,11,0))),"")</f>
        <v/>
      </c>
      <c r="F4468" s="54" t="str">
        <f>IFERROR(IF(OR($B4468="",$B4468="(blank)"),"",VLOOKUP($B4468,'Email Marketing Raw Data'!$C:$O,13,0)),"")</f>
        <v/>
      </c>
      <c r="G4468" s="55" t="str">
        <f>IFERROR(IF(OR($B4468="",$B4468="(blank)"),"",VLOOKUP($B4468,'Email Marketing Raw Data'!$C:$O,4,0)),"")</f>
        <v/>
      </c>
      <c r="H4468" s="55" t="str">
        <f>IFERROR(IF(OR($B4468="",$B4468="(blank)"),"",VLOOKUP($B4468,'Email Marketing Raw Data'!$C:$O,5,0)),"")</f>
        <v/>
      </c>
      <c r="I4468" s="55" t="str">
        <f>IFERROR(IF($G4468="","",VLOOKUP('Dashboard And Emails Automate'!$G4468,Database!$H:$N,3,0)),"")</f>
        <v/>
      </c>
      <c r="J4468" s="55" t="str">
        <f>IFERROR(IF($G4468="","",VLOOKUP('Dashboard And Emails Automate'!$G4468,Database!$H:$N,4,0)),"")</f>
        <v/>
      </c>
      <c r="K4468" s="55" t="str">
        <f>IFERROR(IF($G4468="","",VLOOKUP('Dashboard And Emails Automate'!$G4468,Database!$H:$N,5,0)),"")</f>
        <v/>
      </c>
      <c r="L4468" s="55" t="str">
        <f>IFERROR(IF($G4468="","",VLOOKUP('Dashboard And Emails Automate'!$G4468,Database!$H:$N,6,0)),"")</f>
        <v/>
      </c>
      <c r="M4468" s="55" t="str">
        <f>IFERROR(IF($G4468="","",VLOOKUP('Dashboard And Emails Automate'!$G4468,Database!$H:$N,7,0)),"")</f>
        <v/>
      </c>
      <c r="N4468" s="55" t="str">
        <f>IFERROR(IF(OR($B4468="",$B4468="(blank)"),"",VLOOKUP($B4468,'Email Marketing Raw Data'!$C:$O,6,0)),"")</f>
        <v/>
      </c>
      <c r="O4468" s="55" t="str">
        <f>IFERROR(IF(OR($B4468="",$B4468="(blank)"),"",VLOOKUP($B4468,'Email Marketing Raw Data'!$C:$O,7,0)),"")</f>
        <v/>
      </c>
      <c r="P4468" s="55" t="str">
        <f>IFERROR(IF(OR($B4468="",$B4468="(blank)"),"",VLOOKUP($B4468,'Email Marketing Raw Data'!$C:$O,8,0)),"")</f>
        <v/>
      </c>
      <c r="Q4468" s="62" t="str">
        <f>IFERROR(IF(OR($B4468="",$B4468="(blank)"),"",VLOOKUP($B4468,'Email Marketing Raw Data'!$C:$O,9,0)),"")</f>
        <v/>
      </c>
    </row>
    <row r="4469" spans="4:17" ht="12.75" customHeight="1" x14ac:dyDescent="0.2">
      <c r="D4469" s="58" t="str">
        <f>IFERROR(IF(F4469&lt;&gt;"pending","",IF(OR($B4469="",$B4469="(blank)"),"",VLOOKUP($B4469,'Email Marketing Raw Data'!$C:$O,10,0))),"")</f>
        <v/>
      </c>
      <c r="E4469" s="59" t="str">
        <f>IFERROR(IF(F4469&lt;&gt;"pending","",IF(OR($B4469="",$B4469="(blank)"),"",VLOOKUP($B4469,'Email Marketing Raw Data'!$C:$O,11,0))),"")</f>
        <v/>
      </c>
      <c r="F4469" s="54" t="str">
        <f>IFERROR(IF(OR($B4469="",$B4469="(blank)"),"",VLOOKUP($B4469,'Email Marketing Raw Data'!$C:$O,13,0)),"")</f>
        <v/>
      </c>
      <c r="G4469" s="55" t="str">
        <f>IFERROR(IF(OR($B4469="",$B4469="(blank)"),"",VLOOKUP($B4469,'Email Marketing Raw Data'!$C:$O,4,0)),"")</f>
        <v/>
      </c>
      <c r="H4469" s="55" t="str">
        <f>IFERROR(IF(OR($B4469="",$B4469="(blank)"),"",VLOOKUP($B4469,'Email Marketing Raw Data'!$C:$O,5,0)),"")</f>
        <v/>
      </c>
      <c r="I4469" s="55" t="str">
        <f>IFERROR(IF($G4469="","",VLOOKUP('Dashboard And Emails Automate'!$G4469,Database!$H:$N,3,0)),"")</f>
        <v/>
      </c>
      <c r="J4469" s="55" t="str">
        <f>IFERROR(IF($G4469="","",VLOOKUP('Dashboard And Emails Automate'!$G4469,Database!$H:$N,4,0)),"")</f>
        <v/>
      </c>
      <c r="K4469" s="55" t="str">
        <f>IFERROR(IF($G4469="","",VLOOKUP('Dashboard And Emails Automate'!$G4469,Database!$H:$N,5,0)),"")</f>
        <v/>
      </c>
      <c r="L4469" s="55" t="str">
        <f>IFERROR(IF($G4469="","",VLOOKUP('Dashboard And Emails Automate'!$G4469,Database!$H:$N,6,0)),"")</f>
        <v/>
      </c>
      <c r="M4469" s="55" t="str">
        <f>IFERROR(IF($G4469="","",VLOOKUP('Dashboard And Emails Automate'!$G4469,Database!$H:$N,7,0)),"")</f>
        <v/>
      </c>
      <c r="N4469" s="55" t="str">
        <f>IFERROR(IF(OR($B4469="",$B4469="(blank)"),"",VLOOKUP($B4469,'Email Marketing Raw Data'!$C:$O,6,0)),"")</f>
        <v/>
      </c>
      <c r="O4469" s="55" t="str">
        <f>IFERROR(IF(OR($B4469="",$B4469="(blank)"),"",VLOOKUP($B4469,'Email Marketing Raw Data'!$C:$O,7,0)),"")</f>
        <v/>
      </c>
      <c r="P4469" s="55" t="str">
        <f>IFERROR(IF(OR($B4469="",$B4469="(blank)"),"",VLOOKUP($B4469,'Email Marketing Raw Data'!$C:$O,8,0)),"")</f>
        <v/>
      </c>
      <c r="Q4469" s="62" t="str">
        <f>IFERROR(IF(OR($B4469="",$B4469="(blank)"),"",VLOOKUP($B4469,'Email Marketing Raw Data'!$C:$O,9,0)),"")</f>
        <v/>
      </c>
    </row>
    <row r="4470" spans="4:17" ht="12.75" customHeight="1" x14ac:dyDescent="0.2">
      <c r="D4470" s="58" t="str">
        <f>IFERROR(IF(F4470&lt;&gt;"pending","",IF(OR($B4470="",$B4470="(blank)"),"",VLOOKUP($B4470,'Email Marketing Raw Data'!$C:$O,10,0))),"")</f>
        <v/>
      </c>
      <c r="E4470" s="59" t="str">
        <f>IFERROR(IF(F4470&lt;&gt;"pending","",IF(OR($B4470="",$B4470="(blank)"),"",VLOOKUP($B4470,'Email Marketing Raw Data'!$C:$O,11,0))),"")</f>
        <v/>
      </c>
      <c r="F4470" s="54" t="str">
        <f>IFERROR(IF(OR($B4470="",$B4470="(blank)"),"",VLOOKUP($B4470,'Email Marketing Raw Data'!$C:$O,13,0)),"")</f>
        <v/>
      </c>
      <c r="G4470" s="55" t="str">
        <f>IFERROR(IF(OR($B4470="",$B4470="(blank)"),"",VLOOKUP($B4470,'Email Marketing Raw Data'!$C:$O,4,0)),"")</f>
        <v/>
      </c>
      <c r="H4470" s="55" t="str">
        <f>IFERROR(IF(OR($B4470="",$B4470="(blank)"),"",VLOOKUP($B4470,'Email Marketing Raw Data'!$C:$O,5,0)),"")</f>
        <v/>
      </c>
      <c r="I4470" s="55" t="str">
        <f>IFERROR(IF($G4470="","",VLOOKUP('Dashboard And Emails Automate'!$G4470,Database!$H:$N,3,0)),"")</f>
        <v/>
      </c>
      <c r="J4470" s="55" t="str">
        <f>IFERROR(IF($G4470="","",VLOOKUP('Dashboard And Emails Automate'!$G4470,Database!$H:$N,4,0)),"")</f>
        <v/>
      </c>
      <c r="K4470" s="55" t="str">
        <f>IFERROR(IF($G4470="","",VLOOKUP('Dashboard And Emails Automate'!$G4470,Database!$H:$N,5,0)),"")</f>
        <v/>
      </c>
      <c r="L4470" s="55" t="str">
        <f>IFERROR(IF($G4470="","",VLOOKUP('Dashboard And Emails Automate'!$G4470,Database!$H:$N,6,0)),"")</f>
        <v/>
      </c>
      <c r="M4470" s="55" t="str">
        <f>IFERROR(IF($G4470="","",VLOOKUP('Dashboard And Emails Automate'!$G4470,Database!$H:$N,7,0)),"")</f>
        <v/>
      </c>
      <c r="N4470" s="55" t="str">
        <f>IFERROR(IF(OR($B4470="",$B4470="(blank)"),"",VLOOKUP($B4470,'Email Marketing Raw Data'!$C:$O,6,0)),"")</f>
        <v/>
      </c>
      <c r="O4470" s="55" t="str">
        <f>IFERROR(IF(OR($B4470="",$B4470="(blank)"),"",VLOOKUP($B4470,'Email Marketing Raw Data'!$C:$O,7,0)),"")</f>
        <v/>
      </c>
      <c r="P4470" s="55" t="str">
        <f>IFERROR(IF(OR($B4470="",$B4470="(blank)"),"",VLOOKUP($B4470,'Email Marketing Raw Data'!$C:$O,8,0)),"")</f>
        <v/>
      </c>
      <c r="Q4470" s="62" t="str">
        <f>IFERROR(IF(OR($B4470="",$B4470="(blank)"),"",VLOOKUP($B4470,'Email Marketing Raw Data'!$C:$O,9,0)),"")</f>
        <v/>
      </c>
    </row>
    <row r="4471" spans="4:17" ht="12.75" customHeight="1" x14ac:dyDescent="0.2">
      <c r="D4471" s="58" t="str">
        <f>IFERROR(IF(F4471&lt;&gt;"pending","",IF(OR($B4471="",$B4471="(blank)"),"",VLOOKUP($B4471,'Email Marketing Raw Data'!$C:$O,10,0))),"")</f>
        <v/>
      </c>
      <c r="E4471" s="59" t="str">
        <f>IFERROR(IF(F4471&lt;&gt;"pending","",IF(OR($B4471="",$B4471="(blank)"),"",VLOOKUP($B4471,'Email Marketing Raw Data'!$C:$O,11,0))),"")</f>
        <v/>
      </c>
      <c r="F4471" s="54" t="str">
        <f>IFERROR(IF(OR($B4471="",$B4471="(blank)"),"",VLOOKUP($B4471,'Email Marketing Raw Data'!$C:$O,13,0)),"")</f>
        <v/>
      </c>
      <c r="G4471" s="55" t="str">
        <f>IFERROR(IF(OR($B4471="",$B4471="(blank)"),"",VLOOKUP($B4471,'Email Marketing Raw Data'!$C:$O,4,0)),"")</f>
        <v/>
      </c>
      <c r="H4471" s="55" t="str">
        <f>IFERROR(IF(OR($B4471="",$B4471="(blank)"),"",VLOOKUP($B4471,'Email Marketing Raw Data'!$C:$O,5,0)),"")</f>
        <v/>
      </c>
      <c r="I4471" s="55" t="str">
        <f>IFERROR(IF($G4471="","",VLOOKUP('Dashboard And Emails Automate'!$G4471,Database!$H:$N,3,0)),"")</f>
        <v/>
      </c>
      <c r="J4471" s="55" t="str">
        <f>IFERROR(IF($G4471="","",VLOOKUP('Dashboard And Emails Automate'!$G4471,Database!$H:$N,4,0)),"")</f>
        <v/>
      </c>
      <c r="K4471" s="55" t="str">
        <f>IFERROR(IF($G4471="","",VLOOKUP('Dashboard And Emails Automate'!$G4471,Database!$H:$N,5,0)),"")</f>
        <v/>
      </c>
      <c r="L4471" s="55" t="str">
        <f>IFERROR(IF($G4471="","",VLOOKUP('Dashboard And Emails Automate'!$G4471,Database!$H:$N,6,0)),"")</f>
        <v/>
      </c>
      <c r="M4471" s="55" t="str">
        <f>IFERROR(IF($G4471="","",VLOOKUP('Dashboard And Emails Automate'!$G4471,Database!$H:$N,7,0)),"")</f>
        <v/>
      </c>
      <c r="N4471" s="55" t="str">
        <f>IFERROR(IF(OR($B4471="",$B4471="(blank)"),"",VLOOKUP($B4471,'Email Marketing Raw Data'!$C:$O,6,0)),"")</f>
        <v/>
      </c>
      <c r="O4471" s="55" t="str">
        <f>IFERROR(IF(OR($B4471="",$B4471="(blank)"),"",VLOOKUP($B4471,'Email Marketing Raw Data'!$C:$O,7,0)),"")</f>
        <v/>
      </c>
      <c r="P4471" s="55" t="str">
        <f>IFERROR(IF(OR($B4471="",$B4471="(blank)"),"",VLOOKUP($B4471,'Email Marketing Raw Data'!$C:$O,8,0)),"")</f>
        <v/>
      </c>
      <c r="Q4471" s="62" t="str">
        <f>IFERROR(IF(OR($B4471="",$B4471="(blank)"),"",VLOOKUP($B4471,'Email Marketing Raw Data'!$C:$O,9,0)),"")</f>
        <v/>
      </c>
    </row>
    <row r="4472" spans="4:17" ht="12.75" customHeight="1" x14ac:dyDescent="0.2">
      <c r="D4472" s="58" t="str">
        <f>IFERROR(IF(F4472&lt;&gt;"pending","",IF(OR($B4472="",$B4472="(blank)"),"",VLOOKUP($B4472,'Email Marketing Raw Data'!$C:$O,10,0))),"")</f>
        <v/>
      </c>
      <c r="E4472" s="59" t="str">
        <f>IFERROR(IF(F4472&lt;&gt;"pending","",IF(OR($B4472="",$B4472="(blank)"),"",VLOOKUP($B4472,'Email Marketing Raw Data'!$C:$O,11,0))),"")</f>
        <v/>
      </c>
      <c r="F4472" s="54" t="str">
        <f>IFERROR(IF(OR($B4472="",$B4472="(blank)"),"",VLOOKUP($B4472,'Email Marketing Raw Data'!$C:$O,13,0)),"")</f>
        <v/>
      </c>
      <c r="G4472" s="55" t="str">
        <f>IFERROR(IF(OR($B4472="",$B4472="(blank)"),"",VLOOKUP($B4472,'Email Marketing Raw Data'!$C:$O,4,0)),"")</f>
        <v/>
      </c>
      <c r="H4472" s="55" t="str">
        <f>IFERROR(IF(OR($B4472="",$B4472="(blank)"),"",VLOOKUP($B4472,'Email Marketing Raw Data'!$C:$O,5,0)),"")</f>
        <v/>
      </c>
      <c r="I4472" s="55" t="str">
        <f>IFERROR(IF($G4472="","",VLOOKUP('Dashboard And Emails Automate'!$G4472,Database!$H:$N,3,0)),"")</f>
        <v/>
      </c>
      <c r="J4472" s="55" t="str">
        <f>IFERROR(IF($G4472="","",VLOOKUP('Dashboard And Emails Automate'!$G4472,Database!$H:$N,4,0)),"")</f>
        <v/>
      </c>
      <c r="K4472" s="55" t="str">
        <f>IFERROR(IF($G4472="","",VLOOKUP('Dashboard And Emails Automate'!$G4472,Database!$H:$N,5,0)),"")</f>
        <v/>
      </c>
      <c r="L4472" s="55" t="str">
        <f>IFERROR(IF($G4472="","",VLOOKUP('Dashboard And Emails Automate'!$G4472,Database!$H:$N,6,0)),"")</f>
        <v/>
      </c>
      <c r="M4472" s="55" t="str">
        <f>IFERROR(IF($G4472="","",VLOOKUP('Dashboard And Emails Automate'!$G4472,Database!$H:$N,7,0)),"")</f>
        <v/>
      </c>
      <c r="N4472" s="55" t="str">
        <f>IFERROR(IF(OR($B4472="",$B4472="(blank)"),"",VLOOKUP($B4472,'Email Marketing Raw Data'!$C:$O,6,0)),"")</f>
        <v/>
      </c>
      <c r="O4472" s="55" t="str">
        <f>IFERROR(IF(OR($B4472="",$B4472="(blank)"),"",VLOOKUP($B4472,'Email Marketing Raw Data'!$C:$O,7,0)),"")</f>
        <v/>
      </c>
      <c r="P4472" s="55" t="str">
        <f>IFERROR(IF(OR($B4472="",$B4472="(blank)"),"",VLOOKUP($B4472,'Email Marketing Raw Data'!$C:$O,8,0)),"")</f>
        <v/>
      </c>
      <c r="Q4472" s="62" t="str">
        <f>IFERROR(IF(OR($B4472="",$B4472="(blank)"),"",VLOOKUP($B4472,'Email Marketing Raw Data'!$C:$O,9,0)),"")</f>
        <v/>
      </c>
    </row>
    <row r="4473" spans="4:17" ht="12.75" customHeight="1" x14ac:dyDescent="0.2">
      <c r="D4473" s="58" t="str">
        <f>IFERROR(IF(F4473&lt;&gt;"pending","",IF(OR($B4473="",$B4473="(blank)"),"",VLOOKUP($B4473,'Email Marketing Raw Data'!$C:$O,10,0))),"")</f>
        <v/>
      </c>
      <c r="E4473" s="59" t="str">
        <f>IFERROR(IF(F4473&lt;&gt;"pending","",IF(OR($B4473="",$B4473="(blank)"),"",VLOOKUP($B4473,'Email Marketing Raw Data'!$C:$O,11,0))),"")</f>
        <v/>
      </c>
      <c r="F4473" s="54" t="str">
        <f>IFERROR(IF(OR($B4473="",$B4473="(blank)"),"",VLOOKUP($B4473,'Email Marketing Raw Data'!$C:$O,13,0)),"")</f>
        <v/>
      </c>
      <c r="G4473" s="55" t="str">
        <f>IFERROR(IF(OR($B4473="",$B4473="(blank)"),"",VLOOKUP($B4473,'Email Marketing Raw Data'!$C:$O,4,0)),"")</f>
        <v/>
      </c>
      <c r="H4473" s="55" t="str">
        <f>IFERROR(IF(OR($B4473="",$B4473="(blank)"),"",VLOOKUP($B4473,'Email Marketing Raw Data'!$C:$O,5,0)),"")</f>
        <v/>
      </c>
      <c r="I4473" s="55" t="str">
        <f>IFERROR(IF($G4473="","",VLOOKUP('Dashboard And Emails Automate'!$G4473,Database!$H:$N,3,0)),"")</f>
        <v/>
      </c>
      <c r="J4473" s="55" t="str">
        <f>IFERROR(IF($G4473="","",VLOOKUP('Dashboard And Emails Automate'!$G4473,Database!$H:$N,4,0)),"")</f>
        <v/>
      </c>
      <c r="K4473" s="55" t="str">
        <f>IFERROR(IF($G4473="","",VLOOKUP('Dashboard And Emails Automate'!$G4473,Database!$H:$N,5,0)),"")</f>
        <v/>
      </c>
      <c r="L4473" s="55" t="str">
        <f>IFERROR(IF($G4473="","",VLOOKUP('Dashboard And Emails Automate'!$G4473,Database!$H:$N,6,0)),"")</f>
        <v/>
      </c>
      <c r="M4473" s="55" t="str">
        <f>IFERROR(IF($G4473="","",VLOOKUP('Dashboard And Emails Automate'!$G4473,Database!$H:$N,7,0)),"")</f>
        <v/>
      </c>
      <c r="N4473" s="55" t="str">
        <f>IFERROR(IF(OR($B4473="",$B4473="(blank)"),"",VLOOKUP($B4473,'Email Marketing Raw Data'!$C:$O,6,0)),"")</f>
        <v/>
      </c>
      <c r="O4473" s="55" t="str">
        <f>IFERROR(IF(OR($B4473="",$B4473="(blank)"),"",VLOOKUP($B4473,'Email Marketing Raw Data'!$C:$O,7,0)),"")</f>
        <v/>
      </c>
      <c r="P4473" s="55" t="str">
        <f>IFERROR(IF(OR($B4473="",$B4473="(blank)"),"",VLOOKUP($B4473,'Email Marketing Raw Data'!$C:$O,8,0)),"")</f>
        <v/>
      </c>
      <c r="Q4473" s="62" t="str">
        <f>IFERROR(IF(OR($B4473="",$B4473="(blank)"),"",VLOOKUP($B4473,'Email Marketing Raw Data'!$C:$O,9,0)),"")</f>
        <v/>
      </c>
    </row>
    <row r="4474" spans="4:17" ht="12.75" customHeight="1" x14ac:dyDescent="0.2">
      <c r="D4474" s="58" t="str">
        <f>IFERROR(IF(F4474&lt;&gt;"pending","",IF(OR($B4474="",$B4474="(blank)"),"",VLOOKUP($B4474,'Email Marketing Raw Data'!$C:$O,10,0))),"")</f>
        <v/>
      </c>
      <c r="E4474" s="59" t="str">
        <f>IFERROR(IF(F4474&lt;&gt;"pending","",IF(OR($B4474="",$B4474="(blank)"),"",VLOOKUP($B4474,'Email Marketing Raw Data'!$C:$O,11,0))),"")</f>
        <v/>
      </c>
      <c r="F4474" s="54" t="str">
        <f>IFERROR(IF(OR($B4474="",$B4474="(blank)"),"",VLOOKUP($B4474,'Email Marketing Raw Data'!$C:$O,13,0)),"")</f>
        <v/>
      </c>
      <c r="G4474" s="55" t="str">
        <f>IFERROR(IF(OR($B4474="",$B4474="(blank)"),"",VLOOKUP($B4474,'Email Marketing Raw Data'!$C:$O,4,0)),"")</f>
        <v/>
      </c>
      <c r="H4474" s="55" t="str">
        <f>IFERROR(IF(OR($B4474="",$B4474="(blank)"),"",VLOOKUP($B4474,'Email Marketing Raw Data'!$C:$O,5,0)),"")</f>
        <v/>
      </c>
      <c r="I4474" s="55" t="str">
        <f>IFERROR(IF($G4474="","",VLOOKUP('Dashboard And Emails Automate'!$G4474,Database!$H:$N,3,0)),"")</f>
        <v/>
      </c>
      <c r="J4474" s="55" t="str">
        <f>IFERROR(IF($G4474="","",VLOOKUP('Dashboard And Emails Automate'!$G4474,Database!$H:$N,4,0)),"")</f>
        <v/>
      </c>
      <c r="K4474" s="55" t="str">
        <f>IFERROR(IF($G4474="","",VLOOKUP('Dashboard And Emails Automate'!$G4474,Database!$H:$N,5,0)),"")</f>
        <v/>
      </c>
      <c r="L4474" s="55" t="str">
        <f>IFERROR(IF($G4474="","",VLOOKUP('Dashboard And Emails Automate'!$G4474,Database!$H:$N,6,0)),"")</f>
        <v/>
      </c>
      <c r="M4474" s="55" t="str">
        <f>IFERROR(IF($G4474="","",VLOOKUP('Dashboard And Emails Automate'!$G4474,Database!$H:$N,7,0)),"")</f>
        <v/>
      </c>
      <c r="N4474" s="55" t="str">
        <f>IFERROR(IF(OR($B4474="",$B4474="(blank)"),"",VLOOKUP($B4474,'Email Marketing Raw Data'!$C:$O,6,0)),"")</f>
        <v/>
      </c>
      <c r="O4474" s="55" t="str">
        <f>IFERROR(IF(OR($B4474="",$B4474="(blank)"),"",VLOOKUP($B4474,'Email Marketing Raw Data'!$C:$O,7,0)),"")</f>
        <v/>
      </c>
      <c r="P4474" s="55" t="str">
        <f>IFERROR(IF(OR($B4474="",$B4474="(blank)"),"",VLOOKUP($B4474,'Email Marketing Raw Data'!$C:$O,8,0)),"")</f>
        <v/>
      </c>
      <c r="Q4474" s="62" t="str">
        <f>IFERROR(IF(OR($B4474="",$B4474="(blank)"),"",VLOOKUP($B4474,'Email Marketing Raw Data'!$C:$O,9,0)),"")</f>
        <v/>
      </c>
    </row>
    <row r="4475" spans="4:17" ht="12.75" customHeight="1" x14ac:dyDescent="0.2">
      <c r="D4475" s="58" t="str">
        <f>IFERROR(IF(F4475&lt;&gt;"pending","",IF(OR($B4475="",$B4475="(blank)"),"",VLOOKUP($B4475,'Email Marketing Raw Data'!$C:$O,10,0))),"")</f>
        <v/>
      </c>
      <c r="E4475" s="59" t="str">
        <f>IFERROR(IF(F4475&lt;&gt;"pending","",IF(OR($B4475="",$B4475="(blank)"),"",VLOOKUP($B4475,'Email Marketing Raw Data'!$C:$O,11,0))),"")</f>
        <v/>
      </c>
      <c r="F4475" s="54" t="str">
        <f>IFERROR(IF(OR($B4475="",$B4475="(blank)"),"",VLOOKUP($B4475,'Email Marketing Raw Data'!$C:$O,13,0)),"")</f>
        <v/>
      </c>
      <c r="G4475" s="55" t="str">
        <f>IFERROR(IF(OR($B4475="",$B4475="(blank)"),"",VLOOKUP($B4475,'Email Marketing Raw Data'!$C:$O,4,0)),"")</f>
        <v/>
      </c>
      <c r="H4475" s="55" t="str">
        <f>IFERROR(IF(OR($B4475="",$B4475="(blank)"),"",VLOOKUP($B4475,'Email Marketing Raw Data'!$C:$O,5,0)),"")</f>
        <v/>
      </c>
      <c r="I4475" s="55" t="str">
        <f>IFERROR(IF($G4475="","",VLOOKUP('Dashboard And Emails Automate'!$G4475,Database!$H:$N,3,0)),"")</f>
        <v/>
      </c>
      <c r="J4475" s="55" t="str">
        <f>IFERROR(IF($G4475="","",VLOOKUP('Dashboard And Emails Automate'!$G4475,Database!$H:$N,4,0)),"")</f>
        <v/>
      </c>
      <c r="K4475" s="55" t="str">
        <f>IFERROR(IF($G4475="","",VLOOKUP('Dashboard And Emails Automate'!$G4475,Database!$H:$N,5,0)),"")</f>
        <v/>
      </c>
      <c r="L4475" s="55" t="str">
        <f>IFERROR(IF($G4475="","",VLOOKUP('Dashboard And Emails Automate'!$G4475,Database!$H:$N,6,0)),"")</f>
        <v/>
      </c>
      <c r="M4475" s="55" t="str">
        <f>IFERROR(IF($G4475="","",VLOOKUP('Dashboard And Emails Automate'!$G4475,Database!$H:$N,7,0)),"")</f>
        <v/>
      </c>
      <c r="N4475" s="55" t="str">
        <f>IFERROR(IF(OR($B4475="",$B4475="(blank)"),"",VLOOKUP($B4475,'Email Marketing Raw Data'!$C:$O,6,0)),"")</f>
        <v/>
      </c>
      <c r="O4475" s="55" t="str">
        <f>IFERROR(IF(OR($B4475="",$B4475="(blank)"),"",VLOOKUP($B4475,'Email Marketing Raw Data'!$C:$O,7,0)),"")</f>
        <v/>
      </c>
      <c r="P4475" s="55" t="str">
        <f>IFERROR(IF(OR($B4475="",$B4475="(blank)"),"",VLOOKUP($B4475,'Email Marketing Raw Data'!$C:$O,8,0)),"")</f>
        <v/>
      </c>
      <c r="Q4475" s="62" t="str">
        <f>IFERROR(IF(OR($B4475="",$B4475="(blank)"),"",VLOOKUP($B4475,'Email Marketing Raw Data'!$C:$O,9,0)),"")</f>
        <v/>
      </c>
    </row>
    <row r="4476" spans="4:17" ht="12.75" customHeight="1" x14ac:dyDescent="0.2">
      <c r="D4476" s="58" t="str">
        <f>IFERROR(IF(F4476&lt;&gt;"pending","",IF(OR($B4476="",$B4476="(blank)"),"",VLOOKUP($B4476,'Email Marketing Raw Data'!$C:$O,10,0))),"")</f>
        <v/>
      </c>
      <c r="E4476" s="59" t="str">
        <f>IFERROR(IF(F4476&lt;&gt;"pending","",IF(OR($B4476="",$B4476="(blank)"),"",VLOOKUP($B4476,'Email Marketing Raw Data'!$C:$O,11,0))),"")</f>
        <v/>
      </c>
      <c r="F4476" s="54" t="str">
        <f>IFERROR(IF(OR($B4476="",$B4476="(blank)"),"",VLOOKUP($B4476,'Email Marketing Raw Data'!$C:$O,13,0)),"")</f>
        <v/>
      </c>
      <c r="G4476" s="55" t="str">
        <f>IFERROR(IF(OR($B4476="",$B4476="(blank)"),"",VLOOKUP($B4476,'Email Marketing Raw Data'!$C:$O,4,0)),"")</f>
        <v/>
      </c>
      <c r="H4476" s="55" t="str">
        <f>IFERROR(IF(OR($B4476="",$B4476="(blank)"),"",VLOOKUP($B4476,'Email Marketing Raw Data'!$C:$O,5,0)),"")</f>
        <v/>
      </c>
      <c r="I4476" s="55" t="str">
        <f>IFERROR(IF($G4476="","",VLOOKUP('Dashboard And Emails Automate'!$G4476,Database!$H:$N,3,0)),"")</f>
        <v/>
      </c>
      <c r="J4476" s="55" t="str">
        <f>IFERROR(IF($G4476="","",VLOOKUP('Dashboard And Emails Automate'!$G4476,Database!$H:$N,4,0)),"")</f>
        <v/>
      </c>
      <c r="K4476" s="55" t="str">
        <f>IFERROR(IF($G4476="","",VLOOKUP('Dashboard And Emails Automate'!$G4476,Database!$H:$N,5,0)),"")</f>
        <v/>
      </c>
      <c r="L4476" s="55" t="str">
        <f>IFERROR(IF($G4476="","",VLOOKUP('Dashboard And Emails Automate'!$G4476,Database!$H:$N,6,0)),"")</f>
        <v/>
      </c>
      <c r="M4476" s="55" t="str">
        <f>IFERROR(IF($G4476="","",VLOOKUP('Dashboard And Emails Automate'!$G4476,Database!$H:$N,7,0)),"")</f>
        <v/>
      </c>
      <c r="N4476" s="55" t="str">
        <f>IFERROR(IF(OR($B4476="",$B4476="(blank)"),"",VLOOKUP($B4476,'Email Marketing Raw Data'!$C:$O,6,0)),"")</f>
        <v/>
      </c>
      <c r="O4476" s="55" t="str">
        <f>IFERROR(IF(OR($B4476="",$B4476="(blank)"),"",VLOOKUP($B4476,'Email Marketing Raw Data'!$C:$O,7,0)),"")</f>
        <v/>
      </c>
      <c r="P4476" s="55" t="str">
        <f>IFERROR(IF(OR($B4476="",$B4476="(blank)"),"",VLOOKUP($B4476,'Email Marketing Raw Data'!$C:$O,8,0)),"")</f>
        <v/>
      </c>
      <c r="Q4476" s="62" t="str">
        <f>IFERROR(IF(OR($B4476="",$B4476="(blank)"),"",VLOOKUP($B4476,'Email Marketing Raw Data'!$C:$O,9,0)),"")</f>
        <v/>
      </c>
    </row>
    <row r="4477" spans="4:17" ht="12.75" customHeight="1" x14ac:dyDescent="0.2">
      <c r="D4477" s="58" t="str">
        <f>IFERROR(IF(F4477&lt;&gt;"pending","",IF(OR($B4477="",$B4477="(blank)"),"",VLOOKUP($B4477,'Email Marketing Raw Data'!$C:$O,10,0))),"")</f>
        <v/>
      </c>
      <c r="E4477" s="59" t="str">
        <f>IFERROR(IF(F4477&lt;&gt;"pending","",IF(OR($B4477="",$B4477="(blank)"),"",VLOOKUP($B4477,'Email Marketing Raw Data'!$C:$O,11,0))),"")</f>
        <v/>
      </c>
      <c r="F4477" s="54" t="str">
        <f>IFERROR(IF(OR($B4477="",$B4477="(blank)"),"",VLOOKUP($B4477,'Email Marketing Raw Data'!$C:$O,13,0)),"")</f>
        <v/>
      </c>
      <c r="G4477" s="55" t="str">
        <f>IFERROR(IF(OR($B4477="",$B4477="(blank)"),"",VLOOKUP($B4477,'Email Marketing Raw Data'!$C:$O,4,0)),"")</f>
        <v/>
      </c>
      <c r="H4477" s="55" t="str">
        <f>IFERROR(IF(OR($B4477="",$B4477="(blank)"),"",VLOOKUP($B4477,'Email Marketing Raw Data'!$C:$O,5,0)),"")</f>
        <v/>
      </c>
      <c r="I4477" s="55" t="str">
        <f>IFERROR(IF($G4477="","",VLOOKUP('Dashboard And Emails Automate'!$G4477,Database!$H:$N,3,0)),"")</f>
        <v/>
      </c>
      <c r="J4477" s="55" t="str">
        <f>IFERROR(IF($G4477="","",VLOOKUP('Dashboard And Emails Automate'!$G4477,Database!$H:$N,4,0)),"")</f>
        <v/>
      </c>
      <c r="K4477" s="55" t="str">
        <f>IFERROR(IF($G4477="","",VLOOKUP('Dashboard And Emails Automate'!$G4477,Database!$H:$N,5,0)),"")</f>
        <v/>
      </c>
      <c r="L4477" s="55" t="str">
        <f>IFERROR(IF($G4477="","",VLOOKUP('Dashboard And Emails Automate'!$G4477,Database!$H:$N,6,0)),"")</f>
        <v/>
      </c>
      <c r="M4477" s="55" t="str">
        <f>IFERROR(IF($G4477="","",VLOOKUP('Dashboard And Emails Automate'!$G4477,Database!$H:$N,7,0)),"")</f>
        <v/>
      </c>
      <c r="N4477" s="55" t="str">
        <f>IFERROR(IF(OR($B4477="",$B4477="(blank)"),"",VLOOKUP($B4477,'Email Marketing Raw Data'!$C:$O,6,0)),"")</f>
        <v/>
      </c>
      <c r="O4477" s="55" t="str">
        <f>IFERROR(IF(OR($B4477="",$B4477="(blank)"),"",VLOOKUP($B4477,'Email Marketing Raw Data'!$C:$O,7,0)),"")</f>
        <v/>
      </c>
      <c r="P4477" s="55" t="str">
        <f>IFERROR(IF(OR($B4477="",$B4477="(blank)"),"",VLOOKUP($B4477,'Email Marketing Raw Data'!$C:$O,8,0)),"")</f>
        <v/>
      </c>
      <c r="Q4477" s="62" t="str">
        <f>IFERROR(IF(OR($B4477="",$B4477="(blank)"),"",VLOOKUP($B4477,'Email Marketing Raw Data'!$C:$O,9,0)),"")</f>
        <v/>
      </c>
    </row>
    <row r="4478" spans="4:17" ht="12.75" customHeight="1" x14ac:dyDescent="0.2">
      <c r="D4478" s="58" t="str">
        <f>IFERROR(IF(F4478&lt;&gt;"pending","",IF(OR($B4478="",$B4478="(blank)"),"",VLOOKUP($B4478,'Email Marketing Raw Data'!$C:$O,10,0))),"")</f>
        <v/>
      </c>
      <c r="E4478" s="59" t="str">
        <f>IFERROR(IF(F4478&lt;&gt;"pending","",IF(OR($B4478="",$B4478="(blank)"),"",VLOOKUP($B4478,'Email Marketing Raw Data'!$C:$O,11,0))),"")</f>
        <v/>
      </c>
      <c r="F4478" s="54" t="str">
        <f>IFERROR(IF(OR($B4478="",$B4478="(blank)"),"",VLOOKUP($B4478,'Email Marketing Raw Data'!$C:$O,13,0)),"")</f>
        <v/>
      </c>
      <c r="G4478" s="55" t="str">
        <f>IFERROR(IF(OR($B4478="",$B4478="(blank)"),"",VLOOKUP($B4478,'Email Marketing Raw Data'!$C:$O,4,0)),"")</f>
        <v/>
      </c>
      <c r="H4478" s="55" t="str">
        <f>IFERROR(IF(OR($B4478="",$B4478="(blank)"),"",VLOOKUP($B4478,'Email Marketing Raw Data'!$C:$O,5,0)),"")</f>
        <v/>
      </c>
      <c r="I4478" s="55" t="str">
        <f>IFERROR(IF($G4478="","",VLOOKUP('Dashboard And Emails Automate'!$G4478,Database!$H:$N,3,0)),"")</f>
        <v/>
      </c>
      <c r="J4478" s="55" t="str">
        <f>IFERROR(IF($G4478="","",VLOOKUP('Dashboard And Emails Automate'!$G4478,Database!$H:$N,4,0)),"")</f>
        <v/>
      </c>
      <c r="K4478" s="55" t="str">
        <f>IFERROR(IF($G4478="","",VLOOKUP('Dashboard And Emails Automate'!$G4478,Database!$H:$N,5,0)),"")</f>
        <v/>
      </c>
      <c r="L4478" s="55" t="str">
        <f>IFERROR(IF($G4478="","",VLOOKUP('Dashboard And Emails Automate'!$G4478,Database!$H:$N,6,0)),"")</f>
        <v/>
      </c>
      <c r="M4478" s="55" t="str">
        <f>IFERROR(IF($G4478="","",VLOOKUP('Dashboard And Emails Automate'!$G4478,Database!$H:$N,7,0)),"")</f>
        <v/>
      </c>
      <c r="N4478" s="55" t="str">
        <f>IFERROR(IF(OR($B4478="",$B4478="(blank)"),"",VLOOKUP($B4478,'Email Marketing Raw Data'!$C:$O,6,0)),"")</f>
        <v/>
      </c>
      <c r="O4478" s="55" t="str">
        <f>IFERROR(IF(OR($B4478="",$B4478="(blank)"),"",VLOOKUP($B4478,'Email Marketing Raw Data'!$C:$O,7,0)),"")</f>
        <v/>
      </c>
      <c r="P4478" s="55" t="str">
        <f>IFERROR(IF(OR($B4478="",$B4478="(blank)"),"",VLOOKUP($B4478,'Email Marketing Raw Data'!$C:$O,8,0)),"")</f>
        <v/>
      </c>
      <c r="Q4478" s="62" t="str">
        <f>IFERROR(IF(OR($B4478="",$B4478="(blank)"),"",VLOOKUP($B4478,'Email Marketing Raw Data'!$C:$O,9,0)),"")</f>
        <v/>
      </c>
    </row>
    <row r="4479" spans="4:17" ht="12.75" customHeight="1" x14ac:dyDescent="0.2">
      <c r="D4479" s="58" t="str">
        <f>IFERROR(IF(F4479&lt;&gt;"pending","",IF(OR($B4479="",$B4479="(blank)"),"",VLOOKUP($B4479,'Email Marketing Raw Data'!$C:$O,10,0))),"")</f>
        <v/>
      </c>
      <c r="E4479" s="59" t="str">
        <f>IFERROR(IF(F4479&lt;&gt;"pending","",IF(OR($B4479="",$B4479="(blank)"),"",VLOOKUP($B4479,'Email Marketing Raw Data'!$C:$O,11,0))),"")</f>
        <v/>
      </c>
      <c r="F4479" s="54" t="str">
        <f>IFERROR(IF(OR($B4479="",$B4479="(blank)"),"",VLOOKUP($B4479,'Email Marketing Raw Data'!$C:$O,13,0)),"")</f>
        <v/>
      </c>
      <c r="G4479" s="55" t="str">
        <f>IFERROR(IF(OR($B4479="",$B4479="(blank)"),"",VLOOKUP($B4479,'Email Marketing Raw Data'!$C:$O,4,0)),"")</f>
        <v/>
      </c>
      <c r="H4479" s="55" t="str">
        <f>IFERROR(IF(OR($B4479="",$B4479="(blank)"),"",VLOOKUP($B4479,'Email Marketing Raw Data'!$C:$O,5,0)),"")</f>
        <v/>
      </c>
      <c r="I4479" s="55" t="str">
        <f>IFERROR(IF($G4479="","",VLOOKUP('Dashboard And Emails Automate'!$G4479,Database!$H:$N,3,0)),"")</f>
        <v/>
      </c>
      <c r="J4479" s="55" t="str">
        <f>IFERROR(IF($G4479="","",VLOOKUP('Dashboard And Emails Automate'!$G4479,Database!$H:$N,4,0)),"")</f>
        <v/>
      </c>
      <c r="K4479" s="55" t="str">
        <f>IFERROR(IF($G4479="","",VLOOKUP('Dashboard And Emails Automate'!$G4479,Database!$H:$N,5,0)),"")</f>
        <v/>
      </c>
      <c r="L4479" s="55" t="str">
        <f>IFERROR(IF($G4479="","",VLOOKUP('Dashboard And Emails Automate'!$G4479,Database!$H:$N,6,0)),"")</f>
        <v/>
      </c>
      <c r="M4479" s="55" t="str">
        <f>IFERROR(IF($G4479="","",VLOOKUP('Dashboard And Emails Automate'!$G4479,Database!$H:$N,7,0)),"")</f>
        <v/>
      </c>
      <c r="N4479" s="55" t="str">
        <f>IFERROR(IF(OR($B4479="",$B4479="(blank)"),"",VLOOKUP($B4479,'Email Marketing Raw Data'!$C:$O,6,0)),"")</f>
        <v/>
      </c>
      <c r="O4479" s="55" t="str">
        <f>IFERROR(IF(OR($B4479="",$B4479="(blank)"),"",VLOOKUP($B4479,'Email Marketing Raw Data'!$C:$O,7,0)),"")</f>
        <v/>
      </c>
      <c r="P4479" s="55" t="str">
        <f>IFERROR(IF(OR($B4479="",$B4479="(blank)"),"",VLOOKUP($B4479,'Email Marketing Raw Data'!$C:$O,8,0)),"")</f>
        <v/>
      </c>
      <c r="Q4479" s="62" t="str">
        <f>IFERROR(IF(OR($B4479="",$B4479="(blank)"),"",VLOOKUP($B4479,'Email Marketing Raw Data'!$C:$O,9,0)),"")</f>
        <v/>
      </c>
    </row>
    <row r="4480" spans="4:17" ht="12.75" customHeight="1" x14ac:dyDescent="0.2">
      <c r="D4480" s="58" t="str">
        <f>IFERROR(IF(F4480&lt;&gt;"pending","",IF(OR($B4480="",$B4480="(blank)"),"",VLOOKUP($B4480,'Email Marketing Raw Data'!$C:$O,10,0))),"")</f>
        <v/>
      </c>
      <c r="E4480" s="59" t="str">
        <f>IFERROR(IF(F4480&lt;&gt;"pending","",IF(OR($B4480="",$B4480="(blank)"),"",VLOOKUP($B4480,'Email Marketing Raw Data'!$C:$O,11,0))),"")</f>
        <v/>
      </c>
      <c r="F4480" s="54" t="str">
        <f>IFERROR(IF(OR($B4480="",$B4480="(blank)"),"",VLOOKUP($B4480,'Email Marketing Raw Data'!$C:$O,13,0)),"")</f>
        <v/>
      </c>
      <c r="G4480" s="55" t="str">
        <f>IFERROR(IF(OR($B4480="",$B4480="(blank)"),"",VLOOKUP($B4480,'Email Marketing Raw Data'!$C:$O,4,0)),"")</f>
        <v/>
      </c>
      <c r="H4480" s="55" t="str">
        <f>IFERROR(IF(OR($B4480="",$B4480="(blank)"),"",VLOOKUP($B4480,'Email Marketing Raw Data'!$C:$O,5,0)),"")</f>
        <v/>
      </c>
      <c r="I4480" s="55" t="str">
        <f>IFERROR(IF($G4480="","",VLOOKUP('Dashboard And Emails Automate'!$G4480,Database!$H:$N,3,0)),"")</f>
        <v/>
      </c>
      <c r="J4480" s="55" t="str">
        <f>IFERROR(IF($G4480="","",VLOOKUP('Dashboard And Emails Automate'!$G4480,Database!$H:$N,4,0)),"")</f>
        <v/>
      </c>
      <c r="K4480" s="55" t="str">
        <f>IFERROR(IF($G4480="","",VLOOKUP('Dashboard And Emails Automate'!$G4480,Database!$H:$N,5,0)),"")</f>
        <v/>
      </c>
      <c r="L4480" s="55" t="str">
        <f>IFERROR(IF($G4480="","",VLOOKUP('Dashboard And Emails Automate'!$G4480,Database!$H:$N,6,0)),"")</f>
        <v/>
      </c>
      <c r="M4480" s="55" t="str">
        <f>IFERROR(IF($G4480="","",VLOOKUP('Dashboard And Emails Automate'!$G4480,Database!$H:$N,7,0)),"")</f>
        <v/>
      </c>
      <c r="N4480" s="55" t="str">
        <f>IFERROR(IF(OR($B4480="",$B4480="(blank)"),"",VLOOKUP($B4480,'Email Marketing Raw Data'!$C:$O,6,0)),"")</f>
        <v/>
      </c>
      <c r="O4480" s="55" t="str">
        <f>IFERROR(IF(OR($B4480="",$B4480="(blank)"),"",VLOOKUP($B4480,'Email Marketing Raw Data'!$C:$O,7,0)),"")</f>
        <v/>
      </c>
      <c r="P4480" s="55" t="str">
        <f>IFERROR(IF(OR($B4480="",$B4480="(blank)"),"",VLOOKUP($B4480,'Email Marketing Raw Data'!$C:$O,8,0)),"")</f>
        <v/>
      </c>
      <c r="Q4480" s="62" t="str">
        <f>IFERROR(IF(OR($B4480="",$B4480="(blank)"),"",VLOOKUP($B4480,'Email Marketing Raw Data'!$C:$O,9,0)),"")</f>
        <v/>
      </c>
    </row>
    <row r="4481" spans="4:17" ht="12.75" customHeight="1" x14ac:dyDescent="0.2">
      <c r="D4481" s="58" t="str">
        <f>IFERROR(IF(F4481&lt;&gt;"pending","",IF(OR($B4481="",$B4481="(blank)"),"",VLOOKUP($B4481,'Email Marketing Raw Data'!$C:$O,10,0))),"")</f>
        <v/>
      </c>
      <c r="E4481" s="59" t="str">
        <f>IFERROR(IF(F4481&lt;&gt;"pending","",IF(OR($B4481="",$B4481="(blank)"),"",VLOOKUP($B4481,'Email Marketing Raw Data'!$C:$O,11,0))),"")</f>
        <v/>
      </c>
      <c r="F4481" s="54" t="str">
        <f>IFERROR(IF(OR($B4481="",$B4481="(blank)"),"",VLOOKUP($B4481,'Email Marketing Raw Data'!$C:$O,13,0)),"")</f>
        <v/>
      </c>
      <c r="G4481" s="55" t="str">
        <f>IFERROR(IF(OR($B4481="",$B4481="(blank)"),"",VLOOKUP($B4481,'Email Marketing Raw Data'!$C:$O,4,0)),"")</f>
        <v/>
      </c>
      <c r="H4481" s="55" t="str">
        <f>IFERROR(IF(OR($B4481="",$B4481="(blank)"),"",VLOOKUP($B4481,'Email Marketing Raw Data'!$C:$O,5,0)),"")</f>
        <v/>
      </c>
      <c r="I4481" s="55" t="str">
        <f>IFERROR(IF($G4481="","",VLOOKUP('Dashboard And Emails Automate'!$G4481,Database!$H:$N,3,0)),"")</f>
        <v/>
      </c>
      <c r="J4481" s="55" t="str">
        <f>IFERROR(IF($G4481="","",VLOOKUP('Dashboard And Emails Automate'!$G4481,Database!$H:$N,4,0)),"")</f>
        <v/>
      </c>
      <c r="K4481" s="55" t="str">
        <f>IFERROR(IF($G4481="","",VLOOKUP('Dashboard And Emails Automate'!$G4481,Database!$H:$N,5,0)),"")</f>
        <v/>
      </c>
      <c r="L4481" s="55" t="str">
        <f>IFERROR(IF($G4481="","",VLOOKUP('Dashboard And Emails Automate'!$G4481,Database!$H:$N,6,0)),"")</f>
        <v/>
      </c>
      <c r="M4481" s="55" t="str">
        <f>IFERROR(IF($G4481="","",VLOOKUP('Dashboard And Emails Automate'!$G4481,Database!$H:$N,7,0)),"")</f>
        <v/>
      </c>
      <c r="N4481" s="55" t="str">
        <f>IFERROR(IF(OR($B4481="",$B4481="(blank)"),"",VLOOKUP($B4481,'Email Marketing Raw Data'!$C:$O,6,0)),"")</f>
        <v/>
      </c>
      <c r="O4481" s="55" t="str">
        <f>IFERROR(IF(OR($B4481="",$B4481="(blank)"),"",VLOOKUP($B4481,'Email Marketing Raw Data'!$C:$O,7,0)),"")</f>
        <v/>
      </c>
      <c r="P4481" s="55" t="str">
        <f>IFERROR(IF(OR($B4481="",$B4481="(blank)"),"",VLOOKUP($B4481,'Email Marketing Raw Data'!$C:$O,8,0)),"")</f>
        <v/>
      </c>
      <c r="Q4481" s="62" t="str">
        <f>IFERROR(IF(OR($B4481="",$B4481="(blank)"),"",VLOOKUP($B4481,'Email Marketing Raw Data'!$C:$O,9,0)),"")</f>
        <v/>
      </c>
    </row>
    <row r="4482" spans="4:17" ht="12.75" customHeight="1" x14ac:dyDescent="0.2">
      <c r="D4482" s="58" t="str">
        <f>IFERROR(IF(F4482&lt;&gt;"pending","",IF(OR($B4482="",$B4482="(blank)"),"",VLOOKUP($B4482,'Email Marketing Raw Data'!$C:$O,10,0))),"")</f>
        <v/>
      </c>
      <c r="E4482" s="59" t="str">
        <f>IFERROR(IF(F4482&lt;&gt;"pending","",IF(OR($B4482="",$B4482="(blank)"),"",VLOOKUP($B4482,'Email Marketing Raw Data'!$C:$O,11,0))),"")</f>
        <v/>
      </c>
      <c r="F4482" s="54" t="str">
        <f>IFERROR(IF(OR($B4482="",$B4482="(blank)"),"",VLOOKUP($B4482,'Email Marketing Raw Data'!$C:$O,13,0)),"")</f>
        <v/>
      </c>
      <c r="G4482" s="55" t="str">
        <f>IFERROR(IF(OR($B4482="",$B4482="(blank)"),"",VLOOKUP($B4482,'Email Marketing Raw Data'!$C:$O,4,0)),"")</f>
        <v/>
      </c>
      <c r="H4482" s="55" t="str">
        <f>IFERROR(IF(OR($B4482="",$B4482="(blank)"),"",VLOOKUP($B4482,'Email Marketing Raw Data'!$C:$O,5,0)),"")</f>
        <v/>
      </c>
      <c r="I4482" s="55" t="str">
        <f>IFERROR(IF($G4482="","",VLOOKUP('Dashboard And Emails Automate'!$G4482,Database!$H:$N,3,0)),"")</f>
        <v/>
      </c>
      <c r="J4482" s="55" t="str">
        <f>IFERROR(IF($G4482="","",VLOOKUP('Dashboard And Emails Automate'!$G4482,Database!$H:$N,4,0)),"")</f>
        <v/>
      </c>
      <c r="K4482" s="55" t="str">
        <f>IFERROR(IF($G4482="","",VLOOKUP('Dashboard And Emails Automate'!$G4482,Database!$H:$N,5,0)),"")</f>
        <v/>
      </c>
      <c r="L4482" s="55" t="str">
        <f>IFERROR(IF($G4482="","",VLOOKUP('Dashboard And Emails Automate'!$G4482,Database!$H:$N,6,0)),"")</f>
        <v/>
      </c>
      <c r="M4482" s="55" t="str">
        <f>IFERROR(IF($G4482="","",VLOOKUP('Dashboard And Emails Automate'!$G4482,Database!$H:$N,7,0)),"")</f>
        <v/>
      </c>
      <c r="N4482" s="55" t="str">
        <f>IFERROR(IF(OR($B4482="",$B4482="(blank)"),"",VLOOKUP($B4482,'Email Marketing Raw Data'!$C:$O,6,0)),"")</f>
        <v/>
      </c>
      <c r="O4482" s="55" t="str">
        <f>IFERROR(IF(OR($B4482="",$B4482="(blank)"),"",VLOOKUP($B4482,'Email Marketing Raw Data'!$C:$O,7,0)),"")</f>
        <v/>
      </c>
      <c r="P4482" s="55" t="str">
        <f>IFERROR(IF(OR($B4482="",$B4482="(blank)"),"",VLOOKUP($B4482,'Email Marketing Raw Data'!$C:$O,8,0)),"")</f>
        <v/>
      </c>
      <c r="Q4482" s="62" t="str">
        <f>IFERROR(IF(OR($B4482="",$B4482="(blank)"),"",VLOOKUP($B4482,'Email Marketing Raw Data'!$C:$O,9,0)),"")</f>
        <v/>
      </c>
    </row>
    <row r="4483" spans="4:17" ht="12.75" customHeight="1" x14ac:dyDescent="0.2">
      <c r="D4483" s="58" t="str">
        <f>IFERROR(IF(F4483&lt;&gt;"pending","",IF(OR($B4483="",$B4483="(blank)"),"",VLOOKUP($B4483,'Email Marketing Raw Data'!$C:$O,10,0))),"")</f>
        <v/>
      </c>
      <c r="E4483" s="59" t="str">
        <f>IFERROR(IF(F4483&lt;&gt;"pending","",IF(OR($B4483="",$B4483="(blank)"),"",VLOOKUP($B4483,'Email Marketing Raw Data'!$C:$O,11,0))),"")</f>
        <v/>
      </c>
      <c r="F4483" s="54" t="str">
        <f>IFERROR(IF(OR($B4483="",$B4483="(blank)"),"",VLOOKUP($B4483,'Email Marketing Raw Data'!$C:$O,13,0)),"")</f>
        <v/>
      </c>
      <c r="G4483" s="55" t="str">
        <f>IFERROR(IF(OR($B4483="",$B4483="(blank)"),"",VLOOKUP($B4483,'Email Marketing Raw Data'!$C:$O,4,0)),"")</f>
        <v/>
      </c>
      <c r="H4483" s="55" t="str">
        <f>IFERROR(IF(OR($B4483="",$B4483="(blank)"),"",VLOOKUP($B4483,'Email Marketing Raw Data'!$C:$O,5,0)),"")</f>
        <v/>
      </c>
      <c r="I4483" s="55" t="str">
        <f>IFERROR(IF($G4483="","",VLOOKUP('Dashboard And Emails Automate'!$G4483,Database!$H:$N,3,0)),"")</f>
        <v/>
      </c>
      <c r="J4483" s="55" t="str">
        <f>IFERROR(IF($G4483="","",VLOOKUP('Dashboard And Emails Automate'!$G4483,Database!$H:$N,4,0)),"")</f>
        <v/>
      </c>
      <c r="K4483" s="55" t="str">
        <f>IFERROR(IF($G4483="","",VLOOKUP('Dashboard And Emails Automate'!$G4483,Database!$H:$N,5,0)),"")</f>
        <v/>
      </c>
      <c r="L4483" s="55" t="str">
        <f>IFERROR(IF($G4483="","",VLOOKUP('Dashboard And Emails Automate'!$G4483,Database!$H:$N,6,0)),"")</f>
        <v/>
      </c>
      <c r="M4483" s="55" t="str">
        <f>IFERROR(IF($G4483="","",VLOOKUP('Dashboard And Emails Automate'!$G4483,Database!$H:$N,7,0)),"")</f>
        <v/>
      </c>
      <c r="N4483" s="55" t="str">
        <f>IFERROR(IF(OR($B4483="",$B4483="(blank)"),"",VLOOKUP($B4483,'Email Marketing Raw Data'!$C:$O,6,0)),"")</f>
        <v/>
      </c>
      <c r="O4483" s="55" t="str">
        <f>IFERROR(IF(OR($B4483="",$B4483="(blank)"),"",VLOOKUP($B4483,'Email Marketing Raw Data'!$C:$O,7,0)),"")</f>
        <v/>
      </c>
      <c r="P4483" s="55" t="str">
        <f>IFERROR(IF(OR($B4483="",$B4483="(blank)"),"",VLOOKUP($B4483,'Email Marketing Raw Data'!$C:$O,8,0)),"")</f>
        <v/>
      </c>
      <c r="Q4483" s="62" t="str">
        <f>IFERROR(IF(OR($B4483="",$B4483="(blank)"),"",VLOOKUP($B4483,'Email Marketing Raw Data'!$C:$O,9,0)),"")</f>
        <v/>
      </c>
    </row>
    <row r="4484" spans="4:17" ht="12.75" customHeight="1" x14ac:dyDescent="0.2">
      <c r="D4484" s="58" t="str">
        <f>IFERROR(IF(F4484&lt;&gt;"pending","",IF(OR($B4484="",$B4484="(blank)"),"",VLOOKUP($B4484,'Email Marketing Raw Data'!$C:$O,10,0))),"")</f>
        <v/>
      </c>
      <c r="E4484" s="59" t="str">
        <f>IFERROR(IF(F4484&lt;&gt;"pending","",IF(OR($B4484="",$B4484="(blank)"),"",VLOOKUP($B4484,'Email Marketing Raw Data'!$C:$O,11,0))),"")</f>
        <v/>
      </c>
      <c r="F4484" s="54" t="str">
        <f>IFERROR(IF(OR($B4484="",$B4484="(blank)"),"",VLOOKUP($B4484,'Email Marketing Raw Data'!$C:$O,13,0)),"")</f>
        <v/>
      </c>
      <c r="G4484" s="55" t="str">
        <f>IFERROR(IF(OR($B4484="",$B4484="(blank)"),"",VLOOKUP($B4484,'Email Marketing Raw Data'!$C:$O,4,0)),"")</f>
        <v/>
      </c>
      <c r="H4484" s="55" t="str">
        <f>IFERROR(IF(OR($B4484="",$B4484="(blank)"),"",VLOOKUP($B4484,'Email Marketing Raw Data'!$C:$O,5,0)),"")</f>
        <v/>
      </c>
      <c r="I4484" s="55" t="str">
        <f>IFERROR(IF($G4484="","",VLOOKUP('Dashboard And Emails Automate'!$G4484,Database!$H:$N,3,0)),"")</f>
        <v/>
      </c>
      <c r="J4484" s="55" t="str">
        <f>IFERROR(IF($G4484="","",VLOOKUP('Dashboard And Emails Automate'!$G4484,Database!$H:$N,4,0)),"")</f>
        <v/>
      </c>
      <c r="K4484" s="55" t="str">
        <f>IFERROR(IF($G4484="","",VLOOKUP('Dashboard And Emails Automate'!$G4484,Database!$H:$N,5,0)),"")</f>
        <v/>
      </c>
      <c r="L4484" s="55" t="str">
        <f>IFERROR(IF($G4484="","",VLOOKUP('Dashboard And Emails Automate'!$G4484,Database!$H:$N,6,0)),"")</f>
        <v/>
      </c>
      <c r="M4484" s="55" t="str">
        <f>IFERROR(IF($G4484="","",VLOOKUP('Dashboard And Emails Automate'!$G4484,Database!$H:$N,7,0)),"")</f>
        <v/>
      </c>
      <c r="N4484" s="55" t="str">
        <f>IFERROR(IF(OR($B4484="",$B4484="(blank)"),"",VLOOKUP($B4484,'Email Marketing Raw Data'!$C:$O,6,0)),"")</f>
        <v/>
      </c>
      <c r="O4484" s="55" t="str">
        <f>IFERROR(IF(OR($B4484="",$B4484="(blank)"),"",VLOOKUP($B4484,'Email Marketing Raw Data'!$C:$O,7,0)),"")</f>
        <v/>
      </c>
      <c r="P4484" s="55" t="str">
        <f>IFERROR(IF(OR($B4484="",$B4484="(blank)"),"",VLOOKUP($B4484,'Email Marketing Raw Data'!$C:$O,8,0)),"")</f>
        <v/>
      </c>
      <c r="Q4484" s="62" t="str">
        <f>IFERROR(IF(OR($B4484="",$B4484="(blank)"),"",VLOOKUP($B4484,'Email Marketing Raw Data'!$C:$O,9,0)),"")</f>
        <v/>
      </c>
    </row>
    <row r="4485" spans="4:17" ht="12.75" customHeight="1" x14ac:dyDescent="0.2">
      <c r="D4485" s="58" t="str">
        <f>IFERROR(IF(F4485&lt;&gt;"pending","",IF(OR($B4485="",$B4485="(blank)"),"",VLOOKUP($B4485,'Email Marketing Raw Data'!$C:$O,10,0))),"")</f>
        <v/>
      </c>
      <c r="E4485" s="59" t="str">
        <f>IFERROR(IF(F4485&lt;&gt;"pending","",IF(OR($B4485="",$B4485="(blank)"),"",VLOOKUP($B4485,'Email Marketing Raw Data'!$C:$O,11,0))),"")</f>
        <v/>
      </c>
      <c r="F4485" s="54" t="str">
        <f>IFERROR(IF(OR($B4485="",$B4485="(blank)"),"",VLOOKUP($B4485,'Email Marketing Raw Data'!$C:$O,13,0)),"")</f>
        <v/>
      </c>
      <c r="G4485" s="55" t="str">
        <f>IFERROR(IF(OR($B4485="",$B4485="(blank)"),"",VLOOKUP($B4485,'Email Marketing Raw Data'!$C:$O,4,0)),"")</f>
        <v/>
      </c>
      <c r="H4485" s="55" t="str">
        <f>IFERROR(IF(OR($B4485="",$B4485="(blank)"),"",VLOOKUP($B4485,'Email Marketing Raw Data'!$C:$O,5,0)),"")</f>
        <v/>
      </c>
      <c r="I4485" s="55" t="str">
        <f>IFERROR(IF($G4485="","",VLOOKUP('Dashboard And Emails Automate'!$G4485,Database!$H:$N,3,0)),"")</f>
        <v/>
      </c>
      <c r="J4485" s="55" t="str">
        <f>IFERROR(IF($G4485="","",VLOOKUP('Dashboard And Emails Automate'!$G4485,Database!$H:$N,4,0)),"")</f>
        <v/>
      </c>
      <c r="K4485" s="55" t="str">
        <f>IFERROR(IF($G4485="","",VLOOKUP('Dashboard And Emails Automate'!$G4485,Database!$H:$N,5,0)),"")</f>
        <v/>
      </c>
      <c r="L4485" s="55" t="str">
        <f>IFERROR(IF($G4485="","",VLOOKUP('Dashboard And Emails Automate'!$G4485,Database!$H:$N,6,0)),"")</f>
        <v/>
      </c>
      <c r="M4485" s="55" t="str">
        <f>IFERROR(IF($G4485="","",VLOOKUP('Dashboard And Emails Automate'!$G4485,Database!$H:$N,7,0)),"")</f>
        <v/>
      </c>
      <c r="N4485" s="55" t="str">
        <f>IFERROR(IF(OR($B4485="",$B4485="(blank)"),"",VLOOKUP($B4485,'Email Marketing Raw Data'!$C:$O,6,0)),"")</f>
        <v/>
      </c>
      <c r="O4485" s="55" t="str">
        <f>IFERROR(IF(OR($B4485="",$B4485="(blank)"),"",VLOOKUP($B4485,'Email Marketing Raw Data'!$C:$O,7,0)),"")</f>
        <v/>
      </c>
      <c r="P4485" s="55" t="str">
        <f>IFERROR(IF(OR($B4485="",$B4485="(blank)"),"",VLOOKUP($B4485,'Email Marketing Raw Data'!$C:$O,8,0)),"")</f>
        <v/>
      </c>
      <c r="Q4485" s="62" t="str">
        <f>IFERROR(IF(OR($B4485="",$B4485="(blank)"),"",VLOOKUP($B4485,'Email Marketing Raw Data'!$C:$O,9,0)),"")</f>
        <v/>
      </c>
    </row>
    <row r="4486" spans="4:17" ht="12.75" customHeight="1" x14ac:dyDescent="0.2">
      <c r="D4486" s="58" t="str">
        <f>IFERROR(IF(F4486&lt;&gt;"pending","",IF(OR($B4486="",$B4486="(blank)"),"",VLOOKUP($B4486,'Email Marketing Raw Data'!$C:$O,10,0))),"")</f>
        <v/>
      </c>
      <c r="E4486" s="59" t="str">
        <f>IFERROR(IF(F4486&lt;&gt;"pending","",IF(OR($B4486="",$B4486="(blank)"),"",VLOOKUP($B4486,'Email Marketing Raw Data'!$C:$O,11,0))),"")</f>
        <v/>
      </c>
      <c r="F4486" s="54" t="str">
        <f>IFERROR(IF(OR($B4486="",$B4486="(blank)"),"",VLOOKUP($B4486,'Email Marketing Raw Data'!$C:$O,13,0)),"")</f>
        <v/>
      </c>
      <c r="G4486" s="55" t="str">
        <f>IFERROR(IF(OR($B4486="",$B4486="(blank)"),"",VLOOKUP($B4486,'Email Marketing Raw Data'!$C:$O,4,0)),"")</f>
        <v/>
      </c>
      <c r="H4486" s="55" t="str">
        <f>IFERROR(IF(OR($B4486="",$B4486="(blank)"),"",VLOOKUP($B4486,'Email Marketing Raw Data'!$C:$O,5,0)),"")</f>
        <v/>
      </c>
      <c r="I4486" s="55" t="str">
        <f>IFERROR(IF($G4486="","",VLOOKUP('Dashboard And Emails Automate'!$G4486,Database!$H:$N,3,0)),"")</f>
        <v/>
      </c>
      <c r="J4486" s="55" t="str">
        <f>IFERROR(IF($G4486="","",VLOOKUP('Dashboard And Emails Automate'!$G4486,Database!$H:$N,4,0)),"")</f>
        <v/>
      </c>
      <c r="K4486" s="55" t="str">
        <f>IFERROR(IF($G4486="","",VLOOKUP('Dashboard And Emails Automate'!$G4486,Database!$H:$N,5,0)),"")</f>
        <v/>
      </c>
      <c r="L4486" s="55" t="str">
        <f>IFERROR(IF($G4486="","",VLOOKUP('Dashboard And Emails Automate'!$G4486,Database!$H:$N,6,0)),"")</f>
        <v/>
      </c>
      <c r="M4486" s="55" t="str">
        <f>IFERROR(IF($G4486="","",VLOOKUP('Dashboard And Emails Automate'!$G4486,Database!$H:$N,7,0)),"")</f>
        <v/>
      </c>
      <c r="N4486" s="55" t="str">
        <f>IFERROR(IF(OR($B4486="",$B4486="(blank)"),"",VLOOKUP($B4486,'Email Marketing Raw Data'!$C:$O,6,0)),"")</f>
        <v/>
      </c>
      <c r="O4486" s="55" t="str">
        <f>IFERROR(IF(OR($B4486="",$B4486="(blank)"),"",VLOOKUP($B4486,'Email Marketing Raw Data'!$C:$O,7,0)),"")</f>
        <v/>
      </c>
      <c r="P4486" s="55" t="str">
        <f>IFERROR(IF(OR($B4486="",$B4486="(blank)"),"",VLOOKUP($B4486,'Email Marketing Raw Data'!$C:$O,8,0)),"")</f>
        <v/>
      </c>
      <c r="Q4486" s="62" t="str">
        <f>IFERROR(IF(OR($B4486="",$B4486="(blank)"),"",VLOOKUP($B4486,'Email Marketing Raw Data'!$C:$O,9,0)),"")</f>
        <v/>
      </c>
    </row>
    <row r="4487" spans="4:17" ht="12.75" customHeight="1" x14ac:dyDescent="0.2">
      <c r="D4487" s="58" t="str">
        <f>IFERROR(IF(F4487&lt;&gt;"pending","",IF(OR($B4487="",$B4487="(blank)"),"",VLOOKUP($B4487,'Email Marketing Raw Data'!$C:$O,10,0))),"")</f>
        <v/>
      </c>
      <c r="E4487" s="59" t="str">
        <f>IFERROR(IF(F4487&lt;&gt;"pending","",IF(OR($B4487="",$B4487="(blank)"),"",VLOOKUP($B4487,'Email Marketing Raw Data'!$C:$O,11,0))),"")</f>
        <v/>
      </c>
      <c r="F4487" s="54" t="str">
        <f>IFERROR(IF(OR($B4487="",$B4487="(blank)"),"",VLOOKUP($B4487,'Email Marketing Raw Data'!$C:$O,13,0)),"")</f>
        <v/>
      </c>
      <c r="G4487" s="55" t="str">
        <f>IFERROR(IF(OR($B4487="",$B4487="(blank)"),"",VLOOKUP($B4487,'Email Marketing Raw Data'!$C:$O,4,0)),"")</f>
        <v/>
      </c>
      <c r="H4487" s="55" t="str">
        <f>IFERROR(IF(OR($B4487="",$B4487="(blank)"),"",VLOOKUP($B4487,'Email Marketing Raw Data'!$C:$O,5,0)),"")</f>
        <v/>
      </c>
      <c r="I4487" s="55" t="str">
        <f>IFERROR(IF($G4487="","",VLOOKUP('Dashboard And Emails Automate'!$G4487,Database!$H:$N,3,0)),"")</f>
        <v/>
      </c>
      <c r="J4487" s="55" t="str">
        <f>IFERROR(IF($G4487="","",VLOOKUP('Dashboard And Emails Automate'!$G4487,Database!$H:$N,4,0)),"")</f>
        <v/>
      </c>
      <c r="K4487" s="55" t="str">
        <f>IFERROR(IF($G4487="","",VLOOKUP('Dashboard And Emails Automate'!$G4487,Database!$H:$N,5,0)),"")</f>
        <v/>
      </c>
      <c r="L4487" s="55" t="str">
        <f>IFERROR(IF($G4487="","",VLOOKUP('Dashboard And Emails Automate'!$G4487,Database!$H:$N,6,0)),"")</f>
        <v/>
      </c>
      <c r="M4487" s="55" t="str">
        <f>IFERROR(IF($G4487="","",VLOOKUP('Dashboard And Emails Automate'!$G4487,Database!$H:$N,7,0)),"")</f>
        <v/>
      </c>
      <c r="N4487" s="55" t="str">
        <f>IFERROR(IF(OR($B4487="",$B4487="(blank)"),"",VLOOKUP($B4487,'Email Marketing Raw Data'!$C:$O,6,0)),"")</f>
        <v/>
      </c>
      <c r="O4487" s="55" t="str">
        <f>IFERROR(IF(OR($B4487="",$B4487="(blank)"),"",VLOOKUP($B4487,'Email Marketing Raw Data'!$C:$O,7,0)),"")</f>
        <v/>
      </c>
      <c r="P4487" s="55" t="str">
        <f>IFERROR(IF(OR($B4487="",$B4487="(blank)"),"",VLOOKUP($B4487,'Email Marketing Raw Data'!$C:$O,8,0)),"")</f>
        <v/>
      </c>
      <c r="Q4487" s="62" t="str">
        <f>IFERROR(IF(OR($B4487="",$B4487="(blank)"),"",VLOOKUP($B4487,'Email Marketing Raw Data'!$C:$O,9,0)),"")</f>
        <v/>
      </c>
    </row>
    <row r="4488" spans="4:17" ht="12.75" customHeight="1" x14ac:dyDescent="0.2">
      <c r="D4488" s="58" t="str">
        <f>IFERROR(IF(F4488&lt;&gt;"pending","",IF(OR($B4488="",$B4488="(blank)"),"",VLOOKUP($B4488,'Email Marketing Raw Data'!$C:$O,10,0))),"")</f>
        <v/>
      </c>
      <c r="E4488" s="59" t="str">
        <f>IFERROR(IF(F4488&lt;&gt;"pending","",IF(OR($B4488="",$B4488="(blank)"),"",VLOOKUP($B4488,'Email Marketing Raw Data'!$C:$O,11,0))),"")</f>
        <v/>
      </c>
      <c r="F4488" s="54" t="str">
        <f>IFERROR(IF(OR($B4488="",$B4488="(blank)"),"",VLOOKUP($B4488,'Email Marketing Raw Data'!$C:$O,13,0)),"")</f>
        <v/>
      </c>
      <c r="G4488" s="55" t="str">
        <f>IFERROR(IF(OR($B4488="",$B4488="(blank)"),"",VLOOKUP($B4488,'Email Marketing Raw Data'!$C:$O,4,0)),"")</f>
        <v/>
      </c>
      <c r="H4488" s="55" t="str">
        <f>IFERROR(IF(OR($B4488="",$B4488="(blank)"),"",VLOOKUP($B4488,'Email Marketing Raw Data'!$C:$O,5,0)),"")</f>
        <v/>
      </c>
      <c r="I4488" s="55" t="str">
        <f>IFERROR(IF($G4488="","",VLOOKUP('Dashboard And Emails Automate'!$G4488,Database!$H:$N,3,0)),"")</f>
        <v/>
      </c>
      <c r="J4488" s="55" t="str">
        <f>IFERROR(IF($G4488="","",VLOOKUP('Dashboard And Emails Automate'!$G4488,Database!$H:$N,4,0)),"")</f>
        <v/>
      </c>
      <c r="K4488" s="55" t="str">
        <f>IFERROR(IF($G4488="","",VLOOKUP('Dashboard And Emails Automate'!$G4488,Database!$H:$N,5,0)),"")</f>
        <v/>
      </c>
      <c r="L4488" s="55" t="str">
        <f>IFERROR(IF($G4488="","",VLOOKUP('Dashboard And Emails Automate'!$G4488,Database!$H:$N,6,0)),"")</f>
        <v/>
      </c>
      <c r="M4488" s="55" t="str">
        <f>IFERROR(IF($G4488="","",VLOOKUP('Dashboard And Emails Automate'!$G4488,Database!$H:$N,7,0)),"")</f>
        <v/>
      </c>
      <c r="N4488" s="55" t="str">
        <f>IFERROR(IF(OR($B4488="",$B4488="(blank)"),"",VLOOKUP($B4488,'Email Marketing Raw Data'!$C:$O,6,0)),"")</f>
        <v/>
      </c>
      <c r="O4488" s="55" t="str">
        <f>IFERROR(IF(OR($B4488="",$B4488="(blank)"),"",VLOOKUP($B4488,'Email Marketing Raw Data'!$C:$O,7,0)),"")</f>
        <v/>
      </c>
      <c r="P4488" s="55" t="str">
        <f>IFERROR(IF(OR($B4488="",$B4488="(blank)"),"",VLOOKUP($B4488,'Email Marketing Raw Data'!$C:$O,8,0)),"")</f>
        <v/>
      </c>
      <c r="Q4488" s="62" t="str">
        <f>IFERROR(IF(OR($B4488="",$B4488="(blank)"),"",VLOOKUP($B4488,'Email Marketing Raw Data'!$C:$O,9,0)),"")</f>
        <v/>
      </c>
    </row>
    <row r="4489" spans="4:17" ht="12.75" customHeight="1" x14ac:dyDescent="0.2">
      <c r="D4489" s="58" t="str">
        <f>IFERROR(IF(F4489&lt;&gt;"pending","",IF(OR($B4489="",$B4489="(blank)"),"",VLOOKUP($B4489,'Email Marketing Raw Data'!$C:$O,10,0))),"")</f>
        <v/>
      </c>
      <c r="E4489" s="59" t="str">
        <f>IFERROR(IF(F4489&lt;&gt;"pending","",IF(OR($B4489="",$B4489="(blank)"),"",VLOOKUP($B4489,'Email Marketing Raw Data'!$C:$O,11,0))),"")</f>
        <v/>
      </c>
      <c r="F4489" s="54" t="str">
        <f>IFERROR(IF(OR($B4489="",$B4489="(blank)"),"",VLOOKUP($B4489,'Email Marketing Raw Data'!$C:$O,13,0)),"")</f>
        <v/>
      </c>
      <c r="G4489" s="55" t="str">
        <f>IFERROR(IF(OR($B4489="",$B4489="(blank)"),"",VLOOKUP($B4489,'Email Marketing Raw Data'!$C:$O,4,0)),"")</f>
        <v/>
      </c>
      <c r="H4489" s="55" t="str">
        <f>IFERROR(IF(OR($B4489="",$B4489="(blank)"),"",VLOOKUP($B4489,'Email Marketing Raw Data'!$C:$O,5,0)),"")</f>
        <v/>
      </c>
      <c r="I4489" s="55" t="str">
        <f>IFERROR(IF($G4489="","",VLOOKUP('Dashboard And Emails Automate'!$G4489,Database!$H:$N,3,0)),"")</f>
        <v/>
      </c>
      <c r="J4489" s="55" t="str">
        <f>IFERROR(IF($G4489="","",VLOOKUP('Dashboard And Emails Automate'!$G4489,Database!$H:$N,4,0)),"")</f>
        <v/>
      </c>
      <c r="K4489" s="55" t="str">
        <f>IFERROR(IF($G4489="","",VLOOKUP('Dashboard And Emails Automate'!$G4489,Database!$H:$N,5,0)),"")</f>
        <v/>
      </c>
      <c r="L4489" s="55" t="str">
        <f>IFERROR(IF($G4489="","",VLOOKUP('Dashboard And Emails Automate'!$G4489,Database!$H:$N,6,0)),"")</f>
        <v/>
      </c>
      <c r="M4489" s="55" t="str">
        <f>IFERROR(IF($G4489="","",VLOOKUP('Dashboard And Emails Automate'!$G4489,Database!$H:$N,7,0)),"")</f>
        <v/>
      </c>
      <c r="N4489" s="55" t="str">
        <f>IFERROR(IF(OR($B4489="",$B4489="(blank)"),"",VLOOKUP($B4489,'Email Marketing Raw Data'!$C:$O,6,0)),"")</f>
        <v/>
      </c>
      <c r="O4489" s="55" t="str">
        <f>IFERROR(IF(OR($B4489="",$B4489="(blank)"),"",VLOOKUP($B4489,'Email Marketing Raw Data'!$C:$O,7,0)),"")</f>
        <v/>
      </c>
      <c r="P4489" s="55" t="str">
        <f>IFERROR(IF(OR($B4489="",$B4489="(blank)"),"",VLOOKUP($B4489,'Email Marketing Raw Data'!$C:$O,8,0)),"")</f>
        <v/>
      </c>
      <c r="Q4489" s="62" t="str">
        <f>IFERROR(IF(OR($B4489="",$B4489="(blank)"),"",VLOOKUP($B4489,'Email Marketing Raw Data'!$C:$O,9,0)),"")</f>
        <v/>
      </c>
    </row>
    <row r="4490" spans="4:17" ht="12.75" customHeight="1" x14ac:dyDescent="0.2">
      <c r="D4490" s="58" t="str">
        <f>IFERROR(IF(F4490&lt;&gt;"pending","",IF(OR($B4490="",$B4490="(blank)"),"",VLOOKUP($B4490,'Email Marketing Raw Data'!$C:$O,10,0))),"")</f>
        <v/>
      </c>
      <c r="E4490" s="59" t="str">
        <f>IFERROR(IF(F4490&lt;&gt;"pending","",IF(OR($B4490="",$B4490="(blank)"),"",VLOOKUP($B4490,'Email Marketing Raw Data'!$C:$O,11,0))),"")</f>
        <v/>
      </c>
      <c r="F4490" s="54" t="str">
        <f>IFERROR(IF(OR($B4490="",$B4490="(blank)"),"",VLOOKUP($B4490,'Email Marketing Raw Data'!$C:$O,13,0)),"")</f>
        <v/>
      </c>
      <c r="G4490" s="55" t="str">
        <f>IFERROR(IF(OR($B4490="",$B4490="(blank)"),"",VLOOKUP($B4490,'Email Marketing Raw Data'!$C:$O,4,0)),"")</f>
        <v/>
      </c>
      <c r="H4490" s="55" t="str">
        <f>IFERROR(IF(OR($B4490="",$B4490="(blank)"),"",VLOOKUP($B4490,'Email Marketing Raw Data'!$C:$O,5,0)),"")</f>
        <v/>
      </c>
      <c r="I4490" s="55" t="str">
        <f>IFERROR(IF($G4490="","",VLOOKUP('Dashboard And Emails Automate'!$G4490,Database!$H:$N,3,0)),"")</f>
        <v/>
      </c>
      <c r="J4490" s="55" t="str">
        <f>IFERROR(IF($G4490="","",VLOOKUP('Dashboard And Emails Automate'!$G4490,Database!$H:$N,4,0)),"")</f>
        <v/>
      </c>
      <c r="K4490" s="55" t="str">
        <f>IFERROR(IF($G4490="","",VLOOKUP('Dashboard And Emails Automate'!$G4490,Database!$H:$N,5,0)),"")</f>
        <v/>
      </c>
      <c r="L4490" s="55" t="str">
        <f>IFERROR(IF($G4490="","",VLOOKUP('Dashboard And Emails Automate'!$G4490,Database!$H:$N,6,0)),"")</f>
        <v/>
      </c>
      <c r="M4490" s="55" t="str">
        <f>IFERROR(IF($G4490="","",VLOOKUP('Dashboard And Emails Automate'!$G4490,Database!$H:$N,7,0)),"")</f>
        <v/>
      </c>
      <c r="N4490" s="55" t="str">
        <f>IFERROR(IF(OR($B4490="",$B4490="(blank)"),"",VLOOKUP($B4490,'Email Marketing Raw Data'!$C:$O,6,0)),"")</f>
        <v/>
      </c>
      <c r="O4490" s="55" t="str">
        <f>IFERROR(IF(OR($B4490="",$B4490="(blank)"),"",VLOOKUP($B4490,'Email Marketing Raw Data'!$C:$O,7,0)),"")</f>
        <v/>
      </c>
      <c r="P4490" s="55" t="str">
        <f>IFERROR(IF(OR($B4490="",$B4490="(blank)"),"",VLOOKUP($B4490,'Email Marketing Raw Data'!$C:$O,8,0)),"")</f>
        <v/>
      </c>
      <c r="Q4490" s="62" t="str">
        <f>IFERROR(IF(OR($B4490="",$B4490="(blank)"),"",VLOOKUP($B4490,'Email Marketing Raw Data'!$C:$O,9,0)),"")</f>
        <v/>
      </c>
    </row>
    <row r="4491" spans="4:17" ht="12.75" customHeight="1" x14ac:dyDescent="0.2">
      <c r="D4491" s="58" t="str">
        <f>IFERROR(IF(F4491&lt;&gt;"pending","",IF(OR($B4491="",$B4491="(blank)"),"",VLOOKUP($B4491,'Email Marketing Raw Data'!$C:$O,10,0))),"")</f>
        <v/>
      </c>
      <c r="E4491" s="59" t="str">
        <f>IFERROR(IF(F4491&lt;&gt;"pending","",IF(OR($B4491="",$B4491="(blank)"),"",VLOOKUP($B4491,'Email Marketing Raw Data'!$C:$O,11,0))),"")</f>
        <v/>
      </c>
      <c r="F4491" s="54" t="str">
        <f>IFERROR(IF(OR($B4491="",$B4491="(blank)"),"",VLOOKUP($B4491,'Email Marketing Raw Data'!$C:$O,13,0)),"")</f>
        <v/>
      </c>
      <c r="G4491" s="55" t="str">
        <f>IFERROR(IF(OR($B4491="",$B4491="(blank)"),"",VLOOKUP($B4491,'Email Marketing Raw Data'!$C:$O,4,0)),"")</f>
        <v/>
      </c>
      <c r="H4491" s="55" t="str">
        <f>IFERROR(IF(OR($B4491="",$B4491="(blank)"),"",VLOOKUP($B4491,'Email Marketing Raw Data'!$C:$O,5,0)),"")</f>
        <v/>
      </c>
      <c r="I4491" s="55" t="str">
        <f>IFERROR(IF($G4491="","",VLOOKUP('Dashboard And Emails Automate'!$G4491,Database!$H:$N,3,0)),"")</f>
        <v/>
      </c>
      <c r="J4491" s="55" t="str">
        <f>IFERROR(IF($G4491="","",VLOOKUP('Dashboard And Emails Automate'!$G4491,Database!$H:$N,4,0)),"")</f>
        <v/>
      </c>
      <c r="K4491" s="55" t="str">
        <f>IFERROR(IF($G4491="","",VLOOKUP('Dashboard And Emails Automate'!$G4491,Database!$H:$N,5,0)),"")</f>
        <v/>
      </c>
      <c r="L4491" s="55" t="str">
        <f>IFERROR(IF($G4491="","",VLOOKUP('Dashboard And Emails Automate'!$G4491,Database!$H:$N,6,0)),"")</f>
        <v/>
      </c>
      <c r="M4491" s="55" t="str">
        <f>IFERROR(IF($G4491="","",VLOOKUP('Dashboard And Emails Automate'!$G4491,Database!$H:$N,7,0)),"")</f>
        <v/>
      </c>
      <c r="N4491" s="55" t="str">
        <f>IFERROR(IF(OR($B4491="",$B4491="(blank)"),"",VLOOKUP($B4491,'Email Marketing Raw Data'!$C:$O,6,0)),"")</f>
        <v/>
      </c>
      <c r="O4491" s="55" t="str">
        <f>IFERROR(IF(OR($B4491="",$B4491="(blank)"),"",VLOOKUP($B4491,'Email Marketing Raw Data'!$C:$O,7,0)),"")</f>
        <v/>
      </c>
      <c r="P4491" s="55" t="str">
        <f>IFERROR(IF(OR($B4491="",$B4491="(blank)"),"",VLOOKUP($B4491,'Email Marketing Raw Data'!$C:$O,8,0)),"")</f>
        <v/>
      </c>
      <c r="Q4491" s="62" t="str">
        <f>IFERROR(IF(OR($B4491="",$B4491="(blank)"),"",VLOOKUP($B4491,'Email Marketing Raw Data'!$C:$O,9,0)),"")</f>
        <v/>
      </c>
    </row>
    <row r="4492" spans="4:17" ht="12.75" customHeight="1" x14ac:dyDescent="0.2">
      <c r="D4492" s="58" t="str">
        <f>IFERROR(IF(F4492&lt;&gt;"pending","",IF(OR($B4492="",$B4492="(blank)"),"",VLOOKUP($B4492,'Email Marketing Raw Data'!$C:$O,10,0))),"")</f>
        <v/>
      </c>
      <c r="E4492" s="59" t="str">
        <f>IFERROR(IF(F4492&lt;&gt;"pending","",IF(OR($B4492="",$B4492="(blank)"),"",VLOOKUP($B4492,'Email Marketing Raw Data'!$C:$O,11,0))),"")</f>
        <v/>
      </c>
      <c r="F4492" s="54" t="str">
        <f>IFERROR(IF(OR($B4492="",$B4492="(blank)"),"",VLOOKUP($B4492,'Email Marketing Raw Data'!$C:$O,13,0)),"")</f>
        <v/>
      </c>
      <c r="G4492" s="55" t="str">
        <f>IFERROR(IF(OR($B4492="",$B4492="(blank)"),"",VLOOKUP($B4492,'Email Marketing Raw Data'!$C:$O,4,0)),"")</f>
        <v/>
      </c>
      <c r="H4492" s="55" t="str">
        <f>IFERROR(IF(OR($B4492="",$B4492="(blank)"),"",VLOOKUP($B4492,'Email Marketing Raw Data'!$C:$O,5,0)),"")</f>
        <v/>
      </c>
      <c r="I4492" s="55" t="str">
        <f>IFERROR(IF($G4492="","",VLOOKUP('Dashboard And Emails Automate'!$G4492,Database!$H:$N,3,0)),"")</f>
        <v/>
      </c>
      <c r="J4492" s="55" t="str">
        <f>IFERROR(IF($G4492="","",VLOOKUP('Dashboard And Emails Automate'!$G4492,Database!$H:$N,4,0)),"")</f>
        <v/>
      </c>
      <c r="K4492" s="55" t="str">
        <f>IFERROR(IF($G4492="","",VLOOKUP('Dashboard And Emails Automate'!$G4492,Database!$H:$N,5,0)),"")</f>
        <v/>
      </c>
      <c r="L4492" s="55" t="str">
        <f>IFERROR(IF($G4492="","",VLOOKUP('Dashboard And Emails Automate'!$G4492,Database!$H:$N,6,0)),"")</f>
        <v/>
      </c>
      <c r="M4492" s="55" t="str">
        <f>IFERROR(IF($G4492="","",VLOOKUP('Dashboard And Emails Automate'!$G4492,Database!$H:$N,7,0)),"")</f>
        <v/>
      </c>
      <c r="N4492" s="55" t="str">
        <f>IFERROR(IF(OR($B4492="",$B4492="(blank)"),"",VLOOKUP($B4492,'Email Marketing Raw Data'!$C:$O,6,0)),"")</f>
        <v/>
      </c>
      <c r="O4492" s="55" t="str">
        <f>IFERROR(IF(OR($B4492="",$B4492="(blank)"),"",VLOOKUP($B4492,'Email Marketing Raw Data'!$C:$O,7,0)),"")</f>
        <v/>
      </c>
      <c r="P4492" s="55" t="str">
        <f>IFERROR(IF(OR($B4492="",$B4492="(blank)"),"",VLOOKUP($B4492,'Email Marketing Raw Data'!$C:$O,8,0)),"")</f>
        <v/>
      </c>
      <c r="Q4492" s="62" t="str">
        <f>IFERROR(IF(OR($B4492="",$B4492="(blank)"),"",VLOOKUP($B4492,'Email Marketing Raw Data'!$C:$O,9,0)),"")</f>
        <v/>
      </c>
    </row>
    <row r="4493" spans="4:17" ht="12.75" customHeight="1" x14ac:dyDescent="0.2">
      <c r="D4493" s="58" t="str">
        <f>IFERROR(IF(F4493&lt;&gt;"pending","",IF(OR($B4493="",$B4493="(blank)"),"",VLOOKUP($B4493,'Email Marketing Raw Data'!$C:$O,10,0))),"")</f>
        <v/>
      </c>
      <c r="E4493" s="59" t="str">
        <f>IFERROR(IF(F4493&lt;&gt;"pending","",IF(OR($B4493="",$B4493="(blank)"),"",VLOOKUP($B4493,'Email Marketing Raw Data'!$C:$O,11,0))),"")</f>
        <v/>
      </c>
      <c r="F4493" s="54" t="str">
        <f>IFERROR(IF(OR($B4493="",$B4493="(blank)"),"",VLOOKUP($B4493,'Email Marketing Raw Data'!$C:$O,13,0)),"")</f>
        <v/>
      </c>
      <c r="G4493" s="55" t="str">
        <f>IFERROR(IF(OR($B4493="",$B4493="(blank)"),"",VLOOKUP($B4493,'Email Marketing Raw Data'!$C:$O,4,0)),"")</f>
        <v/>
      </c>
      <c r="H4493" s="55" t="str">
        <f>IFERROR(IF(OR($B4493="",$B4493="(blank)"),"",VLOOKUP($B4493,'Email Marketing Raw Data'!$C:$O,5,0)),"")</f>
        <v/>
      </c>
      <c r="I4493" s="55" t="str">
        <f>IFERROR(IF($G4493="","",VLOOKUP('Dashboard And Emails Automate'!$G4493,Database!$H:$N,3,0)),"")</f>
        <v/>
      </c>
      <c r="J4493" s="55" t="str">
        <f>IFERROR(IF($G4493="","",VLOOKUP('Dashboard And Emails Automate'!$G4493,Database!$H:$N,4,0)),"")</f>
        <v/>
      </c>
      <c r="K4493" s="55" t="str">
        <f>IFERROR(IF($G4493="","",VLOOKUP('Dashboard And Emails Automate'!$G4493,Database!$H:$N,5,0)),"")</f>
        <v/>
      </c>
      <c r="L4493" s="55" t="str">
        <f>IFERROR(IF($G4493="","",VLOOKUP('Dashboard And Emails Automate'!$G4493,Database!$H:$N,6,0)),"")</f>
        <v/>
      </c>
      <c r="M4493" s="55" t="str">
        <f>IFERROR(IF($G4493="","",VLOOKUP('Dashboard And Emails Automate'!$G4493,Database!$H:$N,7,0)),"")</f>
        <v/>
      </c>
      <c r="N4493" s="55" t="str">
        <f>IFERROR(IF(OR($B4493="",$B4493="(blank)"),"",VLOOKUP($B4493,'Email Marketing Raw Data'!$C:$O,6,0)),"")</f>
        <v/>
      </c>
      <c r="O4493" s="55" t="str">
        <f>IFERROR(IF(OR($B4493="",$B4493="(blank)"),"",VLOOKUP($B4493,'Email Marketing Raw Data'!$C:$O,7,0)),"")</f>
        <v/>
      </c>
      <c r="P4493" s="55" t="str">
        <f>IFERROR(IF(OR($B4493="",$B4493="(blank)"),"",VLOOKUP($B4493,'Email Marketing Raw Data'!$C:$O,8,0)),"")</f>
        <v/>
      </c>
      <c r="Q4493" s="62" t="str">
        <f>IFERROR(IF(OR($B4493="",$B4493="(blank)"),"",VLOOKUP($B4493,'Email Marketing Raw Data'!$C:$O,9,0)),"")</f>
        <v/>
      </c>
    </row>
    <row r="4494" spans="4:17" ht="12.75" customHeight="1" x14ac:dyDescent="0.2">
      <c r="D4494" s="58" t="str">
        <f>IFERROR(IF(F4494&lt;&gt;"pending","",IF(OR($B4494="",$B4494="(blank)"),"",VLOOKUP($B4494,'Email Marketing Raw Data'!$C:$O,10,0))),"")</f>
        <v/>
      </c>
      <c r="E4494" s="59" t="str">
        <f>IFERROR(IF(F4494&lt;&gt;"pending","",IF(OR($B4494="",$B4494="(blank)"),"",VLOOKUP($B4494,'Email Marketing Raw Data'!$C:$O,11,0))),"")</f>
        <v/>
      </c>
      <c r="F4494" s="54" t="str">
        <f>IFERROR(IF(OR($B4494="",$B4494="(blank)"),"",VLOOKUP($B4494,'Email Marketing Raw Data'!$C:$O,13,0)),"")</f>
        <v/>
      </c>
      <c r="G4494" s="55" t="str">
        <f>IFERROR(IF(OR($B4494="",$B4494="(blank)"),"",VLOOKUP($B4494,'Email Marketing Raw Data'!$C:$O,4,0)),"")</f>
        <v/>
      </c>
      <c r="H4494" s="55" t="str">
        <f>IFERROR(IF(OR($B4494="",$B4494="(blank)"),"",VLOOKUP($B4494,'Email Marketing Raw Data'!$C:$O,5,0)),"")</f>
        <v/>
      </c>
      <c r="I4494" s="55" t="str">
        <f>IFERROR(IF($G4494="","",VLOOKUP('Dashboard And Emails Automate'!$G4494,Database!$H:$N,3,0)),"")</f>
        <v/>
      </c>
      <c r="J4494" s="55" t="str">
        <f>IFERROR(IF($G4494="","",VLOOKUP('Dashboard And Emails Automate'!$G4494,Database!$H:$N,4,0)),"")</f>
        <v/>
      </c>
      <c r="K4494" s="55" t="str">
        <f>IFERROR(IF($G4494="","",VLOOKUP('Dashboard And Emails Automate'!$G4494,Database!$H:$N,5,0)),"")</f>
        <v/>
      </c>
      <c r="L4494" s="55" t="str">
        <f>IFERROR(IF($G4494="","",VLOOKUP('Dashboard And Emails Automate'!$G4494,Database!$H:$N,6,0)),"")</f>
        <v/>
      </c>
      <c r="M4494" s="55" t="str">
        <f>IFERROR(IF($G4494="","",VLOOKUP('Dashboard And Emails Automate'!$G4494,Database!$H:$N,7,0)),"")</f>
        <v/>
      </c>
      <c r="N4494" s="55" t="str">
        <f>IFERROR(IF(OR($B4494="",$B4494="(blank)"),"",VLOOKUP($B4494,'Email Marketing Raw Data'!$C:$O,6,0)),"")</f>
        <v/>
      </c>
      <c r="O4494" s="55" t="str">
        <f>IFERROR(IF(OR($B4494="",$B4494="(blank)"),"",VLOOKUP($B4494,'Email Marketing Raw Data'!$C:$O,7,0)),"")</f>
        <v/>
      </c>
      <c r="P4494" s="55" t="str">
        <f>IFERROR(IF(OR($B4494="",$B4494="(blank)"),"",VLOOKUP($B4494,'Email Marketing Raw Data'!$C:$O,8,0)),"")</f>
        <v/>
      </c>
      <c r="Q4494" s="62" t="str">
        <f>IFERROR(IF(OR($B4494="",$B4494="(blank)"),"",VLOOKUP($B4494,'Email Marketing Raw Data'!$C:$O,9,0)),"")</f>
        <v/>
      </c>
    </row>
    <row r="4495" spans="4:17" ht="12.75" customHeight="1" x14ac:dyDescent="0.2">
      <c r="D4495" s="58" t="str">
        <f>IFERROR(IF(F4495&lt;&gt;"pending","",IF(OR($B4495="",$B4495="(blank)"),"",VLOOKUP($B4495,'Email Marketing Raw Data'!$C:$O,10,0))),"")</f>
        <v/>
      </c>
      <c r="E4495" s="59" t="str">
        <f>IFERROR(IF(F4495&lt;&gt;"pending","",IF(OR($B4495="",$B4495="(blank)"),"",VLOOKUP($B4495,'Email Marketing Raw Data'!$C:$O,11,0))),"")</f>
        <v/>
      </c>
      <c r="F4495" s="54" t="str">
        <f>IFERROR(IF(OR($B4495="",$B4495="(blank)"),"",VLOOKUP($B4495,'Email Marketing Raw Data'!$C:$O,13,0)),"")</f>
        <v/>
      </c>
      <c r="G4495" s="55" t="str">
        <f>IFERROR(IF(OR($B4495="",$B4495="(blank)"),"",VLOOKUP($B4495,'Email Marketing Raw Data'!$C:$O,4,0)),"")</f>
        <v/>
      </c>
      <c r="H4495" s="55" t="str">
        <f>IFERROR(IF(OR($B4495="",$B4495="(blank)"),"",VLOOKUP($B4495,'Email Marketing Raw Data'!$C:$O,5,0)),"")</f>
        <v/>
      </c>
      <c r="I4495" s="55" t="str">
        <f>IFERROR(IF($G4495="","",VLOOKUP('Dashboard And Emails Automate'!$G4495,Database!$H:$N,3,0)),"")</f>
        <v/>
      </c>
      <c r="J4495" s="55" t="str">
        <f>IFERROR(IF($G4495="","",VLOOKUP('Dashboard And Emails Automate'!$G4495,Database!$H:$N,4,0)),"")</f>
        <v/>
      </c>
      <c r="K4495" s="55" t="str">
        <f>IFERROR(IF($G4495="","",VLOOKUP('Dashboard And Emails Automate'!$G4495,Database!$H:$N,5,0)),"")</f>
        <v/>
      </c>
      <c r="L4495" s="55" t="str">
        <f>IFERROR(IF($G4495="","",VLOOKUP('Dashboard And Emails Automate'!$G4495,Database!$H:$N,6,0)),"")</f>
        <v/>
      </c>
      <c r="M4495" s="55" t="str">
        <f>IFERROR(IF($G4495="","",VLOOKUP('Dashboard And Emails Automate'!$G4495,Database!$H:$N,7,0)),"")</f>
        <v/>
      </c>
      <c r="N4495" s="55" t="str">
        <f>IFERROR(IF(OR($B4495="",$B4495="(blank)"),"",VLOOKUP($B4495,'Email Marketing Raw Data'!$C:$O,6,0)),"")</f>
        <v/>
      </c>
      <c r="O4495" s="55" t="str">
        <f>IFERROR(IF(OR($B4495="",$B4495="(blank)"),"",VLOOKUP($B4495,'Email Marketing Raw Data'!$C:$O,7,0)),"")</f>
        <v/>
      </c>
      <c r="P4495" s="55" t="str">
        <f>IFERROR(IF(OR($B4495="",$B4495="(blank)"),"",VLOOKUP($B4495,'Email Marketing Raw Data'!$C:$O,8,0)),"")</f>
        <v/>
      </c>
      <c r="Q4495" s="62" t="str">
        <f>IFERROR(IF(OR($B4495="",$B4495="(blank)"),"",VLOOKUP($B4495,'Email Marketing Raw Data'!$C:$O,9,0)),"")</f>
        <v/>
      </c>
    </row>
    <row r="4496" spans="4:17" ht="12.75" customHeight="1" x14ac:dyDescent="0.2">
      <c r="D4496" s="58" t="str">
        <f>IFERROR(IF(F4496&lt;&gt;"pending","",IF(OR($B4496="",$B4496="(blank)"),"",VLOOKUP($B4496,'Email Marketing Raw Data'!$C:$O,10,0))),"")</f>
        <v/>
      </c>
      <c r="E4496" s="59" t="str">
        <f>IFERROR(IF(F4496&lt;&gt;"pending","",IF(OR($B4496="",$B4496="(blank)"),"",VLOOKUP($B4496,'Email Marketing Raw Data'!$C:$O,11,0))),"")</f>
        <v/>
      </c>
      <c r="F4496" s="54" t="str">
        <f>IFERROR(IF(OR($B4496="",$B4496="(blank)"),"",VLOOKUP($B4496,'Email Marketing Raw Data'!$C:$O,13,0)),"")</f>
        <v/>
      </c>
      <c r="G4496" s="55" t="str">
        <f>IFERROR(IF(OR($B4496="",$B4496="(blank)"),"",VLOOKUP($B4496,'Email Marketing Raw Data'!$C:$O,4,0)),"")</f>
        <v/>
      </c>
      <c r="H4496" s="55" t="str">
        <f>IFERROR(IF(OR($B4496="",$B4496="(blank)"),"",VLOOKUP($B4496,'Email Marketing Raw Data'!$C:$O,5,0)),"")</f>
        <v/>
      </c>
      <c r="I4496" s="55" t="str">
        <f>IFERROR(IF($G4496="","",VLOOKUP('Dashboard And Emails Automate'!$G4496,Database!$H:$N,3,0)),"")</f>
        <v/>
      </c>
      <c r="J4496" s="55" t="str">
        <f>IFERROR(IF($G4496="","",VLOOKUP('Dashboard And Emails Automate'!$G4496,Database!$H:$N,4,0)),"")</f>
        <v/>
      </c>
      <c r="K4496" s="55" t="str">
        <f>IFERROR(IF($G4496="","",VLOOKUP('Dashboard And Emails Automate'!$G4496,Database!$H:$N,5,0)),"")</f>
        <v/>
      </c>
      <c r="L4496" s="55" t="str">
        <f>IFERROR(IF($G4496="","",VLOOKUP('Dashboard And Emails Automate'!$G4496,Database!$H:$N,6,0)),"")</f>
        <v/>
      </c>
      <c r="M4496" s="55" t="str">
        <f>IFERROR(IF($G4496="","",VLOOKUP('Dashboard And Emails Automate'!$G4496,Database!$H:$N,7,0)),"")</f>
        <v/>
      </c>
      <c r="N4496" s="55" t="str">
        <f>IFERROR(IF(OR($B4496="",$B4496="(blank)"),"",VLOOKUP($B4496,'Email Marketing Raw Data'!$C:$O,6,0)),"")</f>
        <v/>
      </c>
      <c r="O4496" s="55" t="str">
        <f>IFERROR(IF(OR($B4496="",$B4496="(blank)"),"",VLOOKUP($B4496,'Email Marketing Raw Data'!$C:$O,7,0)),"")</f>
        <v/>
      </c>
      <c r="P4496" s="55" t="str">
        <f>IFERROR(IF(OR($B4496="",$B4496="(blank)"),"",VLOOKUP($B4496,'Email Marketing Raw Data'!$C:$O,8,0)),"")</f>
        <v/>
      </c>
      <c r="Q4496" s="62" t="str">
        <f>IFERROR(IF(OR($B4496="",$B4496="(blank)"),"",VLOOKUP($B4496,'Email Marketing Raw Data'!$C:$O,9,0)),"")</f>
        <v/>
      </c>
    </row>
    <row r="4497" spans="4:17" ht="12.75" customHeight="1" x14ac:dyDescent="0.2">
      <c r="D4497" s="58" t="str">
        <f>IFERROR(IF(F4497&lt;&gt;"pending","",IF(OR($B4497="",$B4497="(blank)"),"",VLOOKUP($B4497,'Email Marketing Raw Data'!$C:$O,10,0))),"")</f>
        <v/>
      </c>
      <c r="E4497" s="59" t="str">
        <f>IFERROR(IF(F4497&lt;&gt;"pending","",IF(OR($B4497="",$B4497="(blank)"),"",VLOOKUP($B4497,'Email Marketing Raw Data'!$C:$O,11,0))),"")</f>
        <v/>
      </c>
      <c r="F4497" s="54" t="str">
        <f>IFERROR(IF(OR($B4497="",$B4497="(blank)"),"",VLOOKUP($B4497,'Email Marketing Raw Data'!$C:$O,13,0)),"")</f>
        <v/>
      </c>
      <c r="G4497" s="55" t="str">
        <f>IFERROR(IF(OR($B4497="",$B4497="(blank)"),"",VLOOKUP($B4497,'Email Marketing Raw Data'!$C:$O,4,0)),"")</f>
        <v/>
      </c>
      <c r="H4497" s="55" t="str">
        <f>IFERROR(IF(OR($B4497="",$B4497="(blank)"),"",VLOOKUP($B4497,'Email Marketing Raw Data'!$C:$O,5,0)),"")</f>
        <v/>
      </c>
      <c r="I4497" s="55" t="str">
        <f>IFERROR(IF($G4497="","",VLOOKUP('Dashboard And Emails Automate'!$G4497,Database!$H:$N,3,0)),"")</f>
        <v/>
      </c>
      <c r="J4497" s="55" t="str">
        <f>IFERROR(IF($G4497="","",VLOOKUP('Dashboard And Emails Automate'!$G4497,Database!$H:$N,4,0)),"")</f>
        <v/>
      </c>
      <c r="K4497" s="55" t="str">
        <f>IFERROR(IF($G4497="","",VLOOKUP('Dashboard And Emails Automate'!$G4497,Database!$H:$N,5,0)),"")</f>
        <v/>
      </c>
      <c r="L4497" s="55" t="str">
        <f>IFERROR(IF($G4497="","",VLOOKUP('Dashboard And Emails Automate'!$G4497,Database!$H:$N,6,0)),"")</f>
        <v/>
      </c>
      <c r="M4497" s="55" t="str">
        <f>IFERROR(IF($G4497="","",VLOOKUP('Dashboard And Emails Automate'!$G4497,Database!$H:$N,7,0)),"")</f>
        <v/>
      </c>
      <c r="N4497" s="55" t="str">
        <f>IFERROR(IF(OR($B4497="",$B4497="(blank)"),"",VLOOKUP($B4497,'Email Marketing Raw Data'!$C:$O,6,0)),"")</f>
        <v/>
      </c>
      <c r="O4497" s="55" t="str">
        <f>IFERROR(IF(OR($B4497="",$B4497="(blank)"),"",VLOOKUP($B4497,'Email Marketing Raw Data'!$C:$O,7,0)),"")</f>
        <v/>
      </c>
      <c r="P4497" s="55" t="str">
        <f>IFERROR(IF(OR($B4497="",$B4497="(blank)"),"",VLOOKUP($B4497,'Email Marketing Raw Data'!$C:$O,8,0)),"")</f>
        <v/>
      </c>
      <c r="Q4497" s="62" t="str">
        <f>IFERROR(IF(OR($B4497="",$B4497="(blank)"),"",VLOOKUP($B4497,'Email Marketing Raw Data'!$C:$O,9,0)),"")</f>
        <v/>
      </c>
    </row>
    <row r="4498" spans="4:17" ht="12.75" customHeight="1" x14ac:dyDescent="0.2">
      <c r="D4498" s="58" t="str">
        <f>IFERROR(IF(F4498&lt;&gt;"pending","",IF(OR($B4498="",$B4498="(blank)"),"",VLOOKUP($B4498,'Email Marketing Raw Data'!$C:$O,10,0))),"")</f>
        <v/>
      </c>
      <c r="E4498" s="59" t="str">
        <f>IFERROR(IF(F4498&lt;&gt;"pending","",IF(OR($B4498="",$B4498="(blank)"),"",VLOOKUP($B4498,'Email Marketing Raw Data'!$C:$O,11,0))),"")</f>
        <v/>
      </c>
      <c r="F4498" s="54" t="str">
        <f>IFERROR(IF(OR($B4498="",$B4498="(blank)"),"",VLOOKUP($B4498,'Email Marketing Raw Data'!$C:$O,13,0)),"")</f>
        <v/>
      </c>
      <c r="G4498" s="55" t="str">
        <f>IFERROR(IF(OR($B4498="",$B4498="(blank)"),"",VLOOKUP($B4498,'Email Marketing Raw Data'!$C:$O,4,0)),"")</f>
        <v/>
      </c>
      <c r="H4498" s="55" t="str">
        <f>IFERROR(IF(OR($B4498="",$B4498="(blank)"),"",VLOOKUP($B4498,'Email Marketing Raw Data'!$C:$O,5,0)),"")</f>
        <v/>
      </c>
      <c r="I4498" s="55" t="str">
        <f>IFERROR(IF($G4498="","",VLOOKUP('Dashboard And Emails Automate'!$G4498,Database!$H:$N,3,0)),"")</f>
        <v/>
      </c>
      <c r="J4498" s="55" t="str">
        <f>IFERROR(IF($G4498="","",VLOOKUP('Dashboard And Emails Automate'!$G4498,Database!$H:$N,4,0)),"")</f>
        <v/>
      </c>
      <c r="K4498" s="55" t="str">
        <f>IFERROR(IF($G4498="","",VLOOKUP('Dashboard And Emails Automate'!$G4498,Database!$H:$N,5,0)),"")</f>
        <v/>
      </c>
      <c r="L4498" s="55" t="str">
        <f>IFERROR(IF($G4498="","",VLOOKUP('Dashboard And Emails Automate'!$G4498,Database!$H:$N,6,0)),"")</f>
        <v/>
      </c>
      <c r="M4498" s="55" t="str">
        <f>IFERROR(IF($G4498="","",VLOOKUP('Dashboard And Emails Automate'!$G4498,Database!$H:$N,7,0)),"")</f>
        <v/>
      </c>
      <c r="N4498" s="55" t="str">
        <f>IFERROR(IF(OR($B4498="",$B4498="(blank)"),"",VLOOKUP($B4498,'Email Marketing Raw Data'!$C:$O,6,0)),"")</f>
        <v/>
      </c>
      <c r="O4498" s="55" t="str">
        <f>IFERROR(IF(OR($B4498="",$B4498="(blank)"),"",VLOOKUP($B4498,'Email Marketing Raw Data'!$C:$O,7,0)),"")</f>
        <v/>
      </c>
      <c r="P4498" s="55" t="str">
        <f>IFERROR(IF(OR($B4498="",$B4498="(blank)"),"",VLOOKUP($B4498,'Email Marketing Raw Data'!$C:$O,8,0)),"")</f>
        <v/>
      </c>
      <c r="Q4498" s="62" t="str">
        <f>IFERROR(IF(OR($B4498="",$B4498="(blank)"),"",VLOOKUP($B4498,'Email Marketing Raw Data'!$C:$O,9,0)),"")</f>
        <v/>
      </c>
    </row>
    <row r="4499" spans="4:17" ht="12.75" customHeight="1" x14ac:dyDescent="0.2">
      <c r="D4499" s="58" t="str">
        <f>IFERROR(IF(F4499&lt;&gt;"pending","",IF(OR($B4499="",$B4499="(blank)"),"",VLOOKUP($B4499,'Email Marketing Raw Data'!$C:$O,10,0))),"")</f>
        <v/>
      </c>
      <c r="E4499" s="59" t="str">
        <f>IFERROR(IF(F4499&lt;&gt;"pending","",IF(OR($B4499="",$B4499="(blank)"),"",VLOOKUP($B4499,'Email Marketing Raw Data'!$C:$O,11,0))),"")</f>
        <v/>
      </c>
      <c r="F4499" s="54" t="str">
        <f>IFERROR(IF(OR($B4499="",$B4499="(blank)"),"",VLOOKUP($B4499,'Email Marketing Raw Data'!$C:$O,13,0)),"")</f>
        <v/>
      </c>
      <c r="G4499" s="55" t="str">
        <f>IFERROR(IF(OR($B4499="",$B4499="(blank)"),"",VLOOKUP($B4499,'Email Marketing Raw Data'!$C:$O,4,0)),"")</f>
        <v/>
      </c>
      <c r="H4499" s="55" t="str">
        <f>IFERROR(IF(OR($B4499="",$B4499="(blank)"),"",VLOOKUP($B4499,'Email Marketing Raw Data'!$C:$O,5,0)),"")</f>
        <v/>
      </c>
      <c r="I4499" s="55" t="str">
        <f>IFERROR(IF($G4499="","",VLOOKUP('Dashboard And Emails Automate'!$G4499,Database!$H:$N,3,0)),"")</f>
        <v/>
      </c>
      <c r="J4499" s="55" t="str">
        <f>IFERROR(IF($G4499="","",VLOOKUP('Dashboard And Emails Automate'!$G4499,Database!$H:$N,4,0)),"")</f>
        <v/>
      </c>
      <c r="K4499" s="55" t="str">
        <f>IFERROR(IF($G4499="","",VLOOKUP('Dashboard And Emails Automate'!$G4499,Database!$H:$N,5,0)),"")</f>
        <v/>
      </c>
      <c r="L4499" s="55" t="str">
        <f>IFERROR(IF($G4499="","",VLOOKUP('Dashboard And Emails Automate'!$G4499,Database!$H:$N,6,0)),"")</f>
        <v/>
      </c>
      <c r="M4499" s="55" t="str">
        <f>IFERROR(IF($G4499="","",VLOOKUP('Dashboard And Emails Automate'!$G4499,Database!$H:$N,7,0)),"")</f>
        <v/>
      </c>
      <c r="N4499" s="55" t="str">
        <f>IFERROR(IF(OR($B4499="",$B4499="(blank)"),"",VLOOKUP($B4499,'Email Marketing Raw Data'!$C:$O,6,0)),"")</f>
        <v/>
      </c>
      <c r="O4499" s="55" t="str">
        <f>IFERROR(IF(OR($B4499="",$B4499="(blank)"),"",VLOOKUP($B4499,'Email Marketing Raw Data'!$C:$O,7,0)),"")</f>
        <v/>
      </c>
      <c r="P4499" s="55" t="str">
        <f>IFERROR(IF(OR($B4499="",$B4499="(blank)"),"",VLOOKUP($B4499,'Email Marketing Raw Data'!$C:$O,8,0)),"")</f>
        <v/>
      </c>
      <c r="Q4499" s="62" t="str">
        <f>IFERROR(IF(OR($B4499="",$B4499="(blank)"),"",VLOOKUP($B4499,'Email Marketing Raw Data'!$C:$O,9,0)),"")</f>
        <v/>
      </c>
    </row>
    <row r="4500" spans="4:17" ht="12.75" customHeight="1" x14ac:dyDescent="0.2">
      <c r="D4500" s="58" t="str">
        <f>IFERROR(IF(F4500&lt;&gt;"pending","",IF(OR($B4500="",$B4500="(blank)"),"",VLOOKUP($B4500,'Email Marketing Raw Data'!$C:$O,10,0))),"")</f>
        <v/>
      </c>
      <c r="E4500" s="59" t="str">
        <f>IFERROR(IF(F4500&lt;&gt;"pending","",IF(OR($B4500="",$B4500="(blank)"),"",VLOOKUP($B4500,'Email Marketing Raw Data'!$C:$O,11,0))),"")</f>
        <v/>
      </c>
      <c r="F4500" s="54" t="str">
        <f>IFERROR(IF(OR($B4500="",$B4500="(blank)"),"",VLOOKUP($B4500,'Email Marketing Raw Data'!$C:$O,13,0)),"")</f>
        <v/>
      </c>
      <c r="G4500" s="55" t="str">
        <f>IFERROR(IF(OR($B4500="",$B4500="(blank)"),"",VLOOKUP($B4500,'Email Marketing Raw Data'!$C:$O,4,0)),"")</f>
        <v/>
      </c>
      <c r="H4500" s="55" t="str">
        <f>IFERROR(IF(OR($B4500="",$B4500="(blank)"),"",VLOOKUP($B4500,'Email Marketing Raw Data'!$C:$O,5,0)),"")</f>
        <v/>
      </c>
      <c r="I4500" s="55" t="str">
        <f>IFERROR(IF($G4500="","",VLOOKUP('Dashboard And Emails Automate'!$G4500,Database!$H:$N,3,0)),"")</f>
        <v/>
      </c>
      <c r="J4500" s="55" t="str">
        <f>IFERROR(IF($G4500="","",VLOOKUP('Dashboard And Emails Automate'!$G4500,Database!$H:$N,4,0)),"")</f>
        <v/>
      </c>
      <c r="K4500" s="55" t="str">
        <f>IFERROR(IF($G4500="","",VLOOKUP('Dashboard And Emails Automate'!$G4500,Database!$H:$N,5,0)),"")</f>
        <v/>
      </c>
      <c r="L4500" s="55" t="str">
        <f>IFERROR(IF($G4500="","",VLOOKUP('Dashboard And Emails Automate'!$G4500,Database!$H:$N,6,0)),"")</f>
        <v/>
      </c>
      <c r="M4500" s="55" t="str">
        <f>IFERROR(IF($G4500="","",VLOOKUP('Dashboard And Emails Automate'!$G4500,Database!$H:$N,7,0)),"")</f>
        <v/>
      </c>
      <c r="N4500" s="55" t="str">
        <f>IFERROR(IF(OR($B4500="",$B4500="(blank)"),"",VLOOKUP($B4500,'Email Marketing Raw Data'!$C:$O,6,0)),"")</f>
        <v/>
      </c>
      <c r="O4500" s="55" t="str">
        <f>IFERROR(IF(OR($B4500="",$B4500="(blank)"),"",VLOOKUP($B4500,'Email Marketing Raw Data'!$C:$O,7,0)),"")</f>
        <v/>
      </c>
      <c r="P4500" s="55" t="str">
        <f>IFERROR(IF(OR($B4500="",$B4500="(blank)"),"",VLOOKUP($B4500,'Email Marketing Raw Data'!$C:$O,8,0)),"")</f>
        <v/>
      </c>
      <c r="Q4500" s="62" t="str">
        <f>IFERROR(IF(OR($B4500="",$B4500="(blank)"),"",VLOOKUP($B4500,'Email Marketing Raw Data'!$C:$O,9,0)),"")</f>
        <v/>
      </c>
    </row>
    <row r="4501" spans="4:17" ht="12.75" customHeight="1" x14ac:dyDescent="0.2">
      <c r="D4501" s="58" t="str">
        <f>IFERROR(IF(F4501&lt;&gt;"pending","",IF(OR($B4501="",$B4501="(blank)"),"",VLOOKUP($B4501,'Email Marketing Raw Data'!$C:$O,10,0))),"")</f>
        <v/>
      </c>
      <c r="E4501" s="59" t="str">
        <f>IFERROR(IF(F4501&lt;&gt;"pending","",IF(OR($B4501="",$B4501="(blank)"),"",VLOOKUP($B4501,'Email Marketing Raw Data'!$C:$O,11,0))),"")</f>
        <v/>
      </c>
      <c r="F4501" s="54" t="str">
        <f>IFERROR(IF(OR($B4501="",$B4501="(blank)"),"",VLOOKUP($B4501,'Email Marketing Raw Data'!$C:$O,13,0)),"")</f>
        <v/>
      </c>
      <c r="G4501" s="55" t="str">
        <f>IFERROR(IF(OR($B4501="",$B4501="(blank)"),"",VLOOKUP($B4501,'Email Marketing Raw Data'!$C:$O,4,0)),"")</f>
        <v/>
      </c>
      <c r="H4501" s="55" t="str">
        <f>IFERROR(IF(OR($B4501="",$B4501="(blank)"),"",VLOOKUP($B4501,'Email Marketing Raw Data'!$C:$O,5,0)),"")</f>
        <v/>
      </c>
      <c r="I4501" s="55" t="str">
        <f>IFERROR(IF($G4501="","",VLOOKUP('Dashboard And Emails Automate'!$G4501,Database!$H:$N,3,0)),"")</f>
        <v/>
      </c>
      <c r="J4501" s="55" t="str">
        <f>IFERROR(IF($G4501="","",VLOOKUP('Dashboard And Emails Automate'!$G4501,Database!$H:$N,4,0)),"")</f>
        <v/>
      </c>
      <c r="K4501" s="55" t="str">
        <f>IFERROR(IF($G4501="","",VLOOKUP('Dashboard And Emails Automate'!$G4501,Database!$H:$N,5,0)),"")</f>
        <v/>
      </c>
      <c r="L4501" s="55" t="str">
        <f>IFERROR(IF($G4501="","",VLOOKUP('Dashboard And Emails Automate'!$G4501,Database!$H:$N,6,0)),"")</f>
        <v/>
      </c>
      <c r="M4501" s="55" t="str">
        <f>IFERROR(IF($G4501="","",VLOOKUP('Dashboard And Emails Automate'!$G4501,Database!$H:$N,7,0)),"")</f>
        <v/>
      </c>
      <c r="N4501" s="55" t="str">
        <f>IFERROR(IF(OR($B4501="",$B4501="(blank)"),"",VLOOKUP($B4501,'Email Marketing Raw Data'!$C:$O,6,0)),"")</f>
        <v/>
      </c>
      <c r="O4501" s="55" t="str">
        <f>IFERROR(IF(OR($B4501="",$B4501="(blank)"),"",VLOOKUP($B4501,'Email Marketing Raw Data'!$C:$O,7,0)),"")</f>
        <v/>
      </c>
      <c r="P4501" s="55" t="str">
        <f>IFERROR(IF(OR($B4501="",$B4501="(blank)"),"",VLOOKUP($B4501,'Email Marketing Raw Data'!$C:$O,8,0)),"")</f>
        <v/>
      </c>
      <c r="Q4501" s="62" t="str">
        <f>IFERROR(IF(OR($B4501="",$B4501="(blank)"),"",VLOOKUP($B4501,'Email Marketing Raw Data'!$C:$O,9,0)),"")</f>
        <v/>
      </c>
    </row>
    <row r="4502" spans="4:17" ht="12.75" customHeight="1" x14ac:dyDescent="0.2">
      <c r="D4502" s="58" t="str">
        <f>IFERROR(IF(F4502&lt;&gt;"pending","",IF(OR($B4502="",$B4502="(blank)"),"",VLOOKUP($B4502,'Email Marketing Raw Data'!$C:$O,10,0))),"")</f>
        <v/>
      </c>
      <c r="E4502" s="59" t="str">
        <f>IFERROR(IF(F4502&lt;&gt;"pending","",IF(OR($B4502="",$B4502="(blank)"),"",VLOOKUP($B4502,'Email Marketing Raw Data'!$C:$O,11,0))),"")</f>
        <v/>
      </c>
      <c r="F4502" s="54" t="str">
        <f>IFERROR(IF(OR($B4502="",$B4502="(blank)"),"",VLOOKUP($B4502,'Email Marketing Raw Data'!$C:$O,13,0)),"")</f>
        <v/>
      </c>
      <c r="G4502" s="55" t="str">
        <f>IFERROR(IF(OR($B4502="",$B4502="(blank)"),"",VLOOKUP($B4502,'Email Marketing Raw Data'!$C:$O,4,0)),"")</f>
        <v/>
      </c>
      <c r="H4502" s="55" t="str">
        <f>IFERROR(IF(OR($B4502="",$B4502="(blank)"),"",VLOOKUP($B4502,'Email Marketing Raw Data'!$C:$O,5,0)),"")</f>
        <v/>
      </c>
      <c r="I4502" s="55" t="str">
        <f>IFERROR(IF($G4502="","",VLOOKUP('Dashboard And Emails Automate'!$G4502,Database!$H:$N,3,0)),"")</f>
        <v/>
      </c>
      <c r="J4502" s="55" t="str">
        <f>IFERROR(IF($G4502="","",VLOOKUP('Dashboard And Emails Automate'!$G4502,Database!$H:$N,4,0)),"")</f>
        <v/>
      </c>
      <c r="K4502" s="55" t="str">
        <f>IFERROR(IF($G4502="","",VLOOKUP('Dashboard And Emails Automate'!$G4502,Database!$H:$N,5,0)),"")</f>
        <v/>
      </c>
      <c r="L4502" s="55" t="str">
        <f>IFERROR(IF($G4502="","",VLOOKUP('Dashboard And Emails Automate'!$G4502,Database!$H:$N,6,0)),"")</f>
        <v/>
      </c>
      <c r="M4502" s="55" t="str">
        <f>IFERROR(IF($G4502="","",VLOOKUP('Dashboard And Emails Automate'!$G4502,Database!$H:$N,7,0)),"")</f>
        <v/>
      </c>
      <c r="N4502" s="55" t="str">
        <f>IFERROR(IF(OR($B4502="",$B4502="(blank)"),"",VLOOKUP($B4502,'Email Marketing Raw Data'!$C:$O,6,0)),"")</f>
        <v/>
      </c>
      <c r="O4502" s="55" t="str">
        <f>IFERROR(IF(OR($B4502="",$B4502="(blank)"),"",VLOOKUP($B4502,'Email Marketing Raw Data'!$C:$O,7,0)),"")</f>
        <v/>
      </c>
      <c r="P4502" s="55" t="str">
        <f>IFERROR(IF(OR($B4502="",$B4502="(blank)"),"",VLOOKUP($B4502,'Email Marketing Raw Data'!$C:$O,8,0)),"")</f>
        <v/>
      </c>
      <c r="Q4502" s="62" t="str">
        <f>IFERROR(IF(OR($B4502="",$B4502="(blank)"),"",VLOOKUP($B4502,'Email Marketing Raw Data'!$C:$O,9,0)),"")</f>
        <v/>
      </c>
    </row>
    <row r="4503" spans="4:17" ht="12.75" customHeight="1" x14ac:dyDescent="0.2">
      <c r="D4503" s="58" t="str">
        <f>IFERROR(IF(F4503&lt;&gt;"pending","",IF(OR($B4503="",$B4503="(blank)"),"",VLOOKUP($B4503,'Email Marketing Raw Data'!$C:$O,10,0))),"")</f>
        <v/>
      </c>
      <c r="E4503" s="59" t="str">
        <f>IFERROR(IF(F4503&lt;&gt;"pending","",IF(OR($B4503="",$B4503="(blank)"),"",VLOOKUP($B4503,'Email Marketing Raw Data'!$C:$O,11,0))),"")</f>
        <v/>
      </c>
      <c r="F4503" s="54" t="str">
        <f>IFERROR(IF(OR($B4503="",$B4503="(blank)"),"",VLOOKUP($B4503,'Email Marketing Raw Data'!$C:$O,13,0)),"")</f>
        <v/>
      </c>
      <c r="G4503" s="55" t="str">
        <f>IFERROR(IF(OR($B4503="",$B4503="(blank)"),"",VLOOKUP($B4503,'Email Marketing Raw Data'!$C:$O,4,0)),"")</f>
        <v/>
      </c>
      <c r="H4503" s="55" t="str">
        <f>IFERROR(IF(OR($B4503="",$B4503="(blank)"),"",VLOOKUP($B4503,'Email Marketing Raw Data'!$C:$O,5,0)),"")</f>
        <v/>
      </c>
      <c r="I4503" s="55" t="str">
        <f>IFERROR(IF($G4503="","",VLOOKUP('Dashboard And Emails Automate'!$G4503,Database!$H:$N,3,0)),"")</f>
        <v/>
      </c>
      <c r="J4503" s="55" t="str">
        <f>IFERROR(IF($G4503="","",VLOOKUP('Dashboard And Emails Automate'!$G4503,Database!$H:$N,4,0)),"")</f>
        <v/>
      </c>
      <c r="K4503" s="55" t="str">
        <f>IFERROR(IF($G4503="","",VLOOKUP('Dashboard And Emails Automate'!$G4503,Database!$H:$N,5,0)),"")</f>
        <v/>
      </c>
      <c r="L4503" s="55" t="str">
        <f>IFERROR(IF($G4503="","",VLOOKUP('Dashboard And Emails Automate'!$G4503,Database!$H:$N,6,0)),"")</f>
        <v/>
      </c>
      <c r="M4503" s="55" t="str">
        <f>IFERROR(IF($G4503="","",VLOOKUP('Dashboard And Emails Automate'!$G4503,Database!$H:$N,7,0)),"")</f>
        <v/>
      </c>
      <c r="N4503" s="55" t="str">
        <f>IFERROR(IF(OR($B4503="",$B4503="(blank)"),"",VLOOKUP($B4503,'Email Marketing Raw Data'!$C:$O,6,0)),"")</f>
        <v/>
      </c>
      <c r="O4503" s="55" t="str">
        <f>IFERROR(IF(OR($B4503="",$B4503="(blank)"),"",VLOOKUP($B4503,'Email Marketing Raw Data'!$C:$O,7,0)),"")</f>
        <v/>
      </c>
      <c r="P4503" s="55" t="str">
        <f>IFERROR(IF(OR($B4503="",$B4503="(blank)"),"",VLOOKUP($B4503,'Email Marketing Raw Data'!$C:$O,8,0)),"")</f>
        <v/>
      </c>
      <c r="Q4503" s="62" t="str">
        <f>IFERROR(IF(OR($B4503="",$B4503="(blank)"),"",VLOOKUP($B4503,'Email Marketing Raw Data'!$C:$O,9,0)),"")</f>
        <v/>
      </c>
    </row>
    <row r="4504" spans="4:17" ht="12.75" customHeight="1" x14ac:dyDescent="0.2">
      <c r="D4504" s="58" t="str">
        <f>IFERROR(IF(F4504&lt;&gt;"pending","",IF(OR($B4504="",$B4504="(blank)"),"",VLOOKUP($B4504,'Email Marketing Raw Data'!$C:$O,10,0))),"")</f>
        <v/>
      </c>
      <c r="E4504" s="59" t="str">
        <f>IFERROR(IF(F4504&lt;&gt;"pending","",IF(OR($B4504="",$B4504="(blank)"),"",VLOOKUP($B4504,'Email Marketing Raw Data'!$C:$O,11,0))),"")</f>
        <v/>
      </c>
      <c r="F4504" s="54" t="str">
        <f>IFERROR(IF(OR($B4504="",$B4504="(blank)"),"",VLOOKUP($B4504,'Email Marketing Raw Data'!$C:$O,13,0)),"")</f>
        <v/>
      </c>
      <c r="G4504" s="55" t="str">
        <f>IFERROR(IF(OR($B4504="",$B4504="(blank)"),"",VLOOKUP($B4504,'Email Marketing Raw Data'!$C:$O,4,0)),"")</f>
        <v/>
      </c>
      <c r="H4504" s="55" t="str">
        <f>IFERROR(IF(OR($B4504="",$B4504="(blank)"),"",VLOOKUP($B4504,'Email Marketing Raw Data'!$C:$O,5,0)),"")</f>
        <v/>
      </c>
      <c r="I4504" s="55" t="str">
        <f>IFERROR(IF($G4504="","",VLOOKUP('Dashboard And Emails Automate'!$G4504,Database!$H:$N,3,0)),"")</f>
        <v/>
      </c>
      <c r="J4504" s="55" t="str">
        <f>IFERROR(IF($G4504="","",VLOOKUP('Dashboard And Emails Automate'!$G4504,Database!$H:$N,4,0)),"")</f>
        <v/>
      </c>
      <c r="K4504" s="55" t="str">
        <f>IFERROR(IF($G4504="","",VLOOKUP('Dashboard And Emails Automate'!$G4504,Database!$H:$N,5,0)),"")</f>
        <v/>
      </c>
      <c r="L4504" s="55" t="str">
        <f>IFERROR(IF($G4504="","",VLOOKUP('Dashboard And Emails Automate'!$G4504,Database!$H:$N,6,0)),"")</f>
        <v/>
      </c>
      <c r="M4504" s="55" t="str">
        <f>IFERROR(IF($G4504="","",VLOOKUP('Dashboard And Emails Automate'!$G4504,Database!$H:$N,7,0)),"")</f>
        <v/>
      </c>
      <c r="N4504" s="55" t="str">
        <f>IFERROR(IF(OR($B4504="",$B4504="(blank)"),"",VLOOKUP($B4504,'Email Marketing Raw Data'!$C:$O,6,0)),"")</f>
        <v/>
      </c>
      <c r="O4504" s="55" t="str">
        <f>IFERROR(IF(OR($B4504="",$B4504="(blank)"),"",VLOOKUP($B4504,'Email Marketing Raw Data'!$C:$O,7,0)),"")</f>
        <v/>
      </c>
      <c r="P4504" s="55" t="str">
        <f>IFERROR(IF(OR($B4504="",$B4504="(blank)"),"",VLOOKUP($B4504,'Email Marketing Raw Data'!$C:$O,8,0)),"")</f>
        <v/>
      </c>
      <c r="Q4504" s="62" t="str">
        <f>IFERROR(IF(OR($B4504="",$B4504="(blank)"),"",VLOOKUP($B4504,'Email Marketing Raw Data'!$C:$O,9,0)),"")</f>
        <v/>
      </c>
    </row>
    <row r="4505" spans="4:17" ht="12.75" customHeight="1" x14ac:dyDescent="0.2">
      <c r="D4505" s="58" t="str">
        <f>IFERROR(IF(F4505&lt;&gt;"pending","",IF(OR($B4505="",$B4505="(blank)"),"",VLOOKUP($B4505,'Email Marketing Raw Data'!$C:$O,10,0))),"")</f>
        <v/>
      </c>
      <c r="E4505" s="59" t="str">
        <f>IFERROR(IF(F4505&lt;&gt;"pending","",IF(OR($B4505="",$B4505="(blank)"),"",VLOOKUP($B4505,'Email Marketing Raw Data'!$C:$O,11,0))),"")</f>
        <v/>
      </c>
      <c r="F4505" s="54" t="str">
        <f>IFERROR(IF(OR($B4505="",$B4505="(blank)"),"",VLOOKUP($B4505,'Email Marketing Raw Data'!$C:$O,13,0)),"")</f>
        <v/>
      </c>
      <c r="G4505" s="55" t="str">
        <f>IFERROR(IF(OR($B4505="",$B4505="(blank)"),"",VLOOKUP($B4505,'Email Marketing Raw Data'!$C:$O,4,0)),"")</f>
        <v/>
      </c>
      <c r="H4505" s="55" t="str">
        <f>IFERROR(IF(OR($B4505="",$B4505="(blank)"),"",VLOOKUP($B4505,'Email Marketing Raw Data'!$C:$O,5,0)),"")</f>
        <v/>
      </c>
      <c r="I4505" s="55" t="str">
        <f>IFERROR(IF($G4505="","",VLOOKUP('Dashboard And Emails Automate'!$G4505,Database!$H:$N,3,0)),"")</f>
        <v/>
      </c>
      <c r="J4505" s="55" t="str">
        <f>IFERROR(IF($G4505="","",VLOOKUP('Dashboard And Emails Automate'!$G4505,Database!$H:$N,4,0)),"")</f>
        <v/>
      </c>
      <c r="K4505" s="55" t="str">
        <f>IFERROR(IF($G4505="","",VLOOKUP('Dashboard And Emails Automate'!$G4505,Database!$H:$N,5,0)),"")</f>
        <v/>
      </c>
      <c r="L4505" s="55" t="str">
        <f>IFERROR(IF($G4505="","",VLOOKUP('Dashboard And Emails Automate'!$G4505,Database!$H:$N,6,0)),"")</f>
        <v/>
      </c>
      <c r="M4505" s="55" t="str">
        <f>IFERROR(IF($G4505="","",VLOOKUP('Dashboard And Emails Automate'!$G4505,Database!$H:$N,7,0)),"")</f>
        <v/>
      </c>
      <c r="N4505" s="55" t="str">
        <f>IFERROR(IF(OR($B4505="",$B4505="(blank)"),"",VLOOKUP($B4505,'Email Marketing Raw Data'!$C:$O,6,0)),"")</f>
        <v/>
      </c>
      <c r="O4505" s="55" t="str">
        <f>IFERROR(IF(OR($B4505="",$B4505="(blank)"),"",VLOOKUP($B4505,'Email Marketing Raw Data'!$C:$O,7,0)),"")</f>
        <v/>
      </c>
      <c r="P4505" s="55" t="str">
        <f>IFERROR(IF(OR($B4505="",$B4505="(blank)"),"",VLOOKUP($B4505,'Email Marketing Raw Data'!$C:$O,8,0)),"")</f>
        <v/>
      </c>
      <c r="Q4505" s="62" t="str">
        <f>IFERROR(IF(OR($B4505="",$B4505="(blank)"),"",VLOOKUP($B4505,'Email Marketing Raw Data'!$C:$O,9,0)),"")</f>
        <v/>
      </c>
    </row>
    <row r="4506" spans="4:17" ht="12.75" customHeight="1" x14ac:dyDescent="0.2">
      <c r="D4506" s="58" t="str">
        <f>IFERROR(IF(F4506&lt;&gt;"pending","",IF(OR($B4506="",$B4506="(blank)"),"",VLOOKUP($B4506,'Email Marketing Raw Data'!$C:$O,10,0))),"")</f>
        <v/>
      </c>
      <c r="E4506" s="59" t="str">
        <f>IFERROR(IF(F4506&lt;&gt;"pending","",IF(OR($B4506="",$B4506="(blank)"),"",VLOOKUP($B4506,'Email Marketing Raw Data'!$C:$O,11,0))),"")</f>
        <v/>
      </c>
      <c r="F4506" s="54" t="str">
        <f>IFERROR(IF(OR($B4506="",$B4506="(blank)"),"",VLOOKUP($B4506,'Email Marketing Raw Data'!$C:$O,13,0)),"")</f>
        <v/>
      </c>
      <c r="G4506" s="55" t="str">
        <f>IFERROR(IF(OR($B4506="",$B4506="(blank)"),"",VLOOKUP($B4506,'Email Marketing Raw Data'!$C:$O,4,0)),"")</f>
        <v/>
      </c>
      <c r="H4506" s="55" t="str">
        <f>IFERROR(IF(OR($B4506="",$B4506="(blank)"),"",VLOOKUP($B4506,'Email Marketing Raw Data'!$C:$O,5,0)),"")</f>
        <v/>
      </c>
      <c r="I4506" s="55" t="str">
        <f>IFERROR(IF($G4506="","",VLOOKUP('Dashboard And Emails Automate'!$G4506,Database!$H:$N,3,0)),"")</f>
        <v/>
      </c>
      <c r="J4506" s="55" t="str">
        <f>IFERROR(IF($G4506="","",VLOOKUP('Dashboard And Emails Automate'!$G4506,Database!$H:$N,4,0)),"")</f>
        <v/>
      </c>
      <c r="K4506" s="55" t="str">
        <f>IFERROR(IF($G4506="","",VLOOKUP('Dashboard And Emails Automate'!$G4506,Database!$H:$N,5,0)),"")</f>
        <v/>
      </c>
      <c r="L4506" s="55" t="str">
        <f>IFERROR(IF($G4506="","",VLOOKUP('Dashboard And Emails Automate'!$G4506,Database!$H:$N,6,0)),"")</f>
        <v/>
      </c>
      <c r="M4506" s="55" t="str">
        <f>IFERROR(IF($G4506="","",VLOOKUP('Dashboard And Emails Automate'!$G4506,Database!$H:$N,7,0)),"")</f>
        <v/>
      </c>
      <c r="N4506" s="55" t="str">
        <f>IFERROR(IF(OR($B4506="",$B4506="(blank)"),"",VLOOKUP($B4506,'Email Marketing Raw Data'!$C:$O,6,0)),"")</f>
        <v/>
      </c>
      <c r="O4506" s="55" t="str">
        <f>IFERROR(IF(OR($B4506="",$B4506="(blank)"),"",VLOOKUP($B4506,'Email Marketing Raw Data'!$C:$O,7,0)),"")</f>
        <v/>
      </c>
      <c r="P4506" s="55" t="str">
        <f>IFERROR(IF(OR($B4506="",$B4506="(blank)"),"",VLOOKUP($B4506,'Email Marketing Raw Data'!$C:$O,8,0)),"")</f>
        <v/>
      </c>
      <c r="Q4506" s="62" t="str">
        <f>IFERROR(IF(OR($B4506="",$B4506="(blank)"),"",VLOOKUP($B4506,'Email Marketing Raw Data'!$C:$O,9,0)),"")</f>
        <v/>
      </c>
    </row>
    <row r="4507" spans="4:17" ht="12.75" customHeight="1" x14ac:dyDescent="0.2">
      <c r="D4507" s="58" t="str">
        <f>IFERROR(IF(F4507&lt;&gt;"pending","",IF(OR($B4507="",$B4507="(blank)"),"",VLOOKUP($B4507,'Email Marketing Raw Data'!$C:$O,10,0))),"")</f>
        <v/>
      </c>
      <c r="E4507" s="59" t="str">
        <f>IFERROR(IF(F4507&lt;&gt;"pending","",IF(OR($B4507="",$B4507="(blank)"),"",VLOOKUP($B4507,'Email Marketing Raw Data'!$C:$O,11,0))),"")</f>
        <v/>
      </c>
      <c r="F4507" s="54" t="str">
        <f>IFERROR(IF(OR($B4507="",$B4507="(blank)"),"",VLOOKUP($B4507,'Email Marketing Raw Data'!$C:$O,13,0)),"")</f>
        <v/>
      </c>
      <c r="G4507" s="55" t="str">
        <f>IFERROR(IF(OR($B4507="",$B4507="(blank)"),"",VLOOKUP($B4507,'Email Marketing Raw Data'!$C:$O,4,0)),"")</f>
        <v/>
      </c>
      <c r="H4507" s="55" t="str">
        <f>IFERROR(IF(OR($B4507="",$B4507="(blank)"),"",VLOOKUP($B4507,'Email Marketing Raw Data'!$C:$O,5,0)),"")</f>
        <v/>
      </c>
      <c r="I4507" s="55" t="str">
        <f>IFERROR(IF($G4507="","",VLOOKUP('Dashboard And Emails Automate'!$G4507,Database!$H:$N,3,0)),"")</f>
        <v/>
      </c>
      <c r="J4507" s="55" t="str">
        <f>IFERROR(IF($G4507="","",VLOOKUP('Dashboard And Emails Automate'!$G4507,Database!$H:$N,4,0)),"")</f>
        <v/>
      </c>
      <c r="K4507" s="55" t="str">
        <f>IFERROR(IF($G4507="","",VLOOKUP('Dashboard And Emails Automate'!$G4507,Database!$H:$N,5,0)),"")</f>
        <v/>
      </c>
      <c r="L4507" s="55" t="str">
        <f>IFERROR(IF($G4507="","",VLOOKUP('Dashboard And Emails Automate'!$G4507,Database!$H:$N,6,0)),"")</f>
        <v/>
      </c>
      <c r="M4507" s="55" t="str">
        <f>IFERROR(IF($G4507="","",VLOOKUP('Dashboard And Emails Automate'!$G4507,Database!$H:$N,7,0)),"")</f>
        <v/>
      </c>
      <c r="N4507" s="55" t="str">
        <f>IFERROR(IF(OR($B4507="",$B4507="(blank)"),"",VLOOKUP($B4507,'Email Marketing Raw Data'!$C:$O,6,0)),"")</f>
        <v/>
      </c>
      <c r="O4507" s="55" t="str">
        <f>IFERROR(IF(OR($B4507="",$B4507="(blank)"),"",VLOOKUP($B4507,'Email Marketing Raw Data'!$C:$O,7,0)),"")</f>
        <v/>
      </c>
      <c r="P4507" s="55" t="str">
        <f>IFERROR(IF(OR($B4507="",$B4507="(blank)"),"",VLOOKUP($B4507,'Email Marketing Raw Data'!$C:$O,8,0)),"")</f>
        <v/>
      </c>
      <c r="Q4507" s="62" t="str">
        <f>IFERROR(IF(OR($B4507="",$B4507="(blank)"),"",VLOOKUP($B4507,'Email Marketing Raw Data'!$C:$O,9,0)),"")</f>
        <v/>
      </c>
    </row>
    <row r="4508" spans="4:17" ht="12.75" customHeight="1" x14ac:dyDescent="0.2">
      <c r="D4508" s="58" t="str">
        <f>IFERROR(IF(F4508&lt;&gt;"pending","",IF(OR($B4508="",$B4508="(blank)"),"",VLOOKUP($B4508,'Email Marketing Raw Data'!$C:$O,10,0))),"")</f>
        <v/>
      </c>
      <c r="E4508" s="59" t="str">
        <f>IFERROR(IF(F4508&lt;&gt;"pending","",IF(OR($B4508="",$B4508="(blank)"),"",VLOOKUP($B4508,'Email Marketing Raw Data'!$C:$O,11,0))),"")</f>
        <v/>
      </c>
      <c r="F4508" s="54" t="str">
        <f>IFERROR(IF(OR($B4508="",$B4508="(blank)"),"",VLOOKUP($B4508,'Email Marketing Raw Data'!$C:$O,13,0)),"")</f>
        <v/>
      </c>
      <c r="G4508" s="55" t="str">
        <f>IFERROR(IF(OR($B4508="",$B4508="(blank)"),"",VLOOKUP($B4508,'Email Marketing Raw Data'!$C:$O,4,0)),"")</f>
        <v/>
      </c>
      <c r="H4508" s="55" t="str">
        <f>IFERROR(IF(OR($B4508="",$B4508="(blank)"),"",VLOOKUP($B4508,'Email Marketing Raw Data'!$C:$O,5,0)),"")</f>
        <v/>
      </c>
      <c r="I4508" s="55" t="str">
        <f>IFERROR(IF($G4508="","",VLOOKUP('Dashboard And Emails Automate'!$G4508,Database!$H:$N,3,0)),"")</f>
        <v/>
      </c>
      <c r="J4508" s="55" t="str">
        <f>IFERROR(IF($G4508="","",VLOOKUP('Dashboard And Emails Automate'!$G4508,Database!$H:$N,4,0)),"")</f>
        <v/>
      </c>
      <c r="K4508" s="55" t="str">
        <f>IFERROR(IF($G4508="","",VLOOKUP('Dashboard And Emails Automate'!$G4508,Database!$H:$N,5,0)),"")</f>
        <v/>
      </c>
      <c r="L4508" s="55" t="str">
        <f>IFERROR(IF($G4508="","",VLOOKUP('Dashboard And Emails Automate'!$G4508,Database!$H:$N,6,0)),"")</f>
        <v/>
      </c>
      <c r="M4508" s="55" t="str">
        <f>IFERROR(IF($G4508="","",VLOOKUP('Dashboard And Emails Automate'!$G4508,Database!$H:$N,7,0)),"")</f>
        <v/>
      </c>
      <c r="N4508" s="55" t="str">
        <f>IFERROR(IF(OR($B4508="",$B4508="(blank)"),"",VLOOKUP($B4508,'Email Marketing Raw Data'!$C:$O,6,0)),"")</f>
        <v/>
      </c>
      <c r="O4508" s="55" t="str">
        <f>IFERROR(IF(OR($B4508="",$B4508="(blank)"),"",VLOOKUP($B4508,'Email Marketing Raw Data'!$C:$O,7,0)),"")</f>
        <v/>
      </c>
      <c r="P4508" s="55" t="str">
        <f>IFERROR(IF(OR($B4508="",$B4508="(blank)"),"",VLOOKUP($B4508,'Email Marketing Raw Data'!$C:$O,8,0)),"")</f>
        <v/>
      </c>
      <c r="Q4508" s="62" t="str">
        <f>IFERROR(IF(OR($B4508="",$B4508="(blank)"),"",VLOOKUP($B4508,'Email Marketing Raw Data'!$C:$O,9,0)),"")</f>
        <v/>
      </c>
    </row>
    <row r="4509" spans="4:17" ht="12.75" customHeight="1" x14ac:dyDescent="0.2">
      <c r="D4509" s="58" t="str">
        <f>IFERROR(IF(F4509&lt;&gt;"pending","",IF(OR($B4509="",$B4509="(blank)"),"",VLOOKUP($B4509,'Email Marketing Raw Data'!$C:$O,10,0))),"")</f>
        <v/>
      </c>
      <c r="E4509" s="59" t="str">
        <f>IFERROR(IF(F4509&lt;&gt;"pending","",IF(OR($B4509="",$B4509="(blank)"),"",VLOOKUP($B4509,'Email Marketing Raw Data'!$C:$O,11,0))),"")</f>
        <v/>
      </c>
      <c r="F4509" s="54" t="str">
        <f>IFERROR(IF(OR($B4509="",$B4509="(blank)"),"",VLOOKUP($B4509,'Email Marketing Raw Data'!$C:$O,13,0)),"")</f>
        <v/>
      </c>
      <c r="G4509" s="55" t="str">
        <f>IFERROR(IF(OR($B4509="",$B4509="(blank)"),"",VLOOKUP($B4509,'Email Marketing Raw Data'!$C:$O,4,0)),"")</f>
        <v/>
      </c>
      <c r="H4509" s="55" t="str">
        <f>IFERROR(IF(OR($B4509="",$B4509="(blank)"),"",VLOOKUP($B4509,'Email Marketing Raw Data'!$C:$O,5,0)),"")</f>
        <v/>
      </c>
      <c r="I4509" s="55" t="str">
        <f>IFERROR(IF($G4509="","",VLOOKUP('Dashboard And Emails Automate'!$G4509,Database!$H:$N,3,0)),"")</f>
        <v/>
      </c>
      <c r="J4509" s="55" t="str">
        <f>IFERROR(IF($G4509="","",VLOOKUP('Dashboard And Emails Automate'!$G4509,Database!$H:$N,4,0)),"")</f>
        <v/>
      </c>
      <c r="K4509" s="55" t="str">
        <f>IFERROR(IF($G4509="","",VLOOKUP('Dashboard And Emails Automate'!$G4509,Database!$H:$N,5,0)),"")</f>
        <v/>
      </c>
      <c r="L4509" s="55" t="str">
        <f>IFERROR(IF($G4509="","",VLOOKUP('Dashboard And Emails Automate'!$G4509,Database!$H:$N,6,0)),"")</f>
        <v/>
      </c>
      <c r="M4509" s="55" t="str">
        <f>IFERROR(IF($G4509="","",VLOOKUP('Dashboard And Emails Automate'!$G4509,Database!$H:$N,7,0)),"")</f>
        <v/>
      </c>
      <c r="N4509" s="55" t="str">
        <f>IFERROR(IF(OR($B4509="",$B4509="(blank)"),"",VLOOKUP($B4509,'Email Marketing Raw Data'!$C:$O,6,0)),"")</f>
        <v/>
      </c>
      <c r="O4509" s="55" t="str">
        <f>IFERROR(IF(OR($B4509="",$B4509="(blank)"),"",VLOOKUP($B4509,'Email Marketing Raw Data'!$C:$O,7,0)),"")</f>
        <v/>
      </c>
      <c r="P4509" s="55" t="str">
        <f>IFERROR(IF(OR($B4509="",$B4509="(blank)"),"",VLOOKUP($B4509,'Email Marketing Raw Data'!$C:$O,8,0)),"")</f>
        <v/>
      </c>
      <c r="Q4509" s="62" t="str">
        <f>IFERROR(IF(OR($B4509="",$B4509="(blank)"),"",VLOOKUP($B4509,'Email Marketing Raw Data'!$C:$O,9,0)),"")</f>
        <v/>
      </c>
    </row>
    <row r="4510" spans="4:17" ht="12.75" customHeight="1" x14ac:dyDescent="0.2">
      <c r="D4510" s="58" t="str">
        <f>IFERROR(IF(F4510&lt;&gt;"pending","",IF(OR($B4510="",$B4510="(blank)"),"",VLOOKUP($B4510,'Email Marketing Raw Data'!$C:$O,10,0))),"")</f>
        <v/>
      </c>
      <c r="E4510" s="59" t="str">
        <f>IFERROR(IF(F4510&lt;&gt;"pending","",IF(OR($B4510="",$B4510="(blank)"),"",VLOOKUP($B4510,'Email Marketing Raw Data'!$C:$O,11,0))),"")</f>
        <v/>
      </c>
      <c r="F4510" s="54" t="str">
        <f>IFERROR(IF(OR($B4510="",$B4510="(blank)"),"",VLOOKUP($B4510,'Email Marketing Raw Data'!$C:$O,13,0)),"")</f>
        <v/>
      </c>
      <c r="G4510" s="55" t="str">
        <f>IFERROR(IF(OR($B4510="",$B4510="(blank)"),"",VLOOKUP($B4510,'Email Marketing Raw Data'!$C:$O,4,0)),"")</f>
        <v/>
      </c>
      <c r="H4510" s="55" t="str">
        <f>IFERROR(IF(OR($B4510="",$B4510="(blank)"),"",VLOOKUP($B4510,'Email Marketing Raw Data'!$C:$O,5,0)),"")</f>
        <v/>
      </c>
      <c r="I4510" s="55" t="str">
        <f>IFERROR(IF($G4510="","",VLOOKUP('Dashboard And Emails Automate'!$G4510,Database!$H:$N,3,0)),"")</f>
        <v/>
      </c>
      <c r="J4510" s="55" t="str">
        <f>IFERROR(IF($G4510="","",VLOOKUP('Dashboard And Emails Automate'!$G4510,Database!$H:$N,4,0)),"")</f>
        <v/>
      </c>
      <c r="K4510" s="55" t="str">
        <f>IFERROR(IF($G4510="","",VLOOKUP('Dashboard And Emails Automate'!$G4510,Database!$H:$N,5,0)),"")</f>
        <v/>
      </c>
      <c r="L4510" s="55" t="str">
        <f>IFERROR(IF($G4510="","",VLOOKUP('Dashboard And Emails Automate'!$G4510,Database!$H:$N,6,0)),"")</f>
        <v/>
      </c>
      <c r="M4510" s="55" t="str">
        <f>IFERROR(IF($G4510="","",VLOOKUP('Dashboard And Emails Automate'!$G4510,Database!$H:$N,7,0)),"")</f>
        <v/>
      </c>
      <c r="N4510" s="55" t="str">
        <f>IFERROR(IF(OR($B4510="",$B4510="(blank)"),"",VLOOKUP($B4510,'Email Marketing Raw Data'!$C:$O,6,0)),"")</f>
        <v/>
      </c>
      <c r="O4510" s="55" t="str">
        <f>IFERROR(IF(OR($B4510="",$B4510="(blank)"),"",VLOOKUP($B4510,'Email Marketing Raw Data'!$C:$O,7,0)),"")</f>
        <v/>
      </c>
      <c r="P4510" s="55" t="str">
        <f>IFERROR(IF(OR($B4510="",$B4510="(blank)"),"",VLOOKUP($B4510,'Email Marketing Raw Data'!$C:$O,8,0)),"")</f>
        <v/>
      </c>
      <c r="Q4510" s="62" t="str">
        <f>IFERROR(IF(OR($B4510="",$B4510="(blank)"),"",VLOOKUP($B4510,'Email Marketing Raw Data'!$C:$O,9,0)),"")</f>
        <v/>
      </c>
    </row>
    <row r="4511" spans="4:17" ht="12.75" customHeight="1" x14ac:dyDescent="0.2">
      <c r="D4511" s="58" t="str">
        <f>IFERROR(IF(F4511&lt;&gt;"pending","",IF(OR($B4511="",$B4511="(blank)"),"",VLOOKUP($B4511,'Email Marketing Raw Data'!$C:$O,10,0))),"")</f>
        <v/>
      </c>
      <c r="E4511" s="59" t="str">
        <f>IFERROR(IF(F4511&lt;&gt;"pending","",IF(OR($B4511="",$B4511="(blank)"),"",VLOOKUP($B4511,'Email Marketing Raw Data'!$C:$O,11,0))),"")</f>
        <v/>
      </c>
      <c r="F4511" s="54" t="str">
        <f>IFERROR(IF(OR($B4511="",$B4511="(blank)"),"",VLOOKUP($B4511,'Email Marketing Raw Data'!$C:$O,13,0)),"")</f>
        <v/>
      </c>
      <c r="G4511" s="55" t="str">
        <f>IFERROR(IF(OR($B4511="",$B4511="(blank)"),"",VLOOKUP($B4511,'Email Marketing Raw Data'!$C:$O,4,0)),"")</f>
        <v/>
      </c>
      <c r="H4511" s="55" t="str">
        <f>IFERROR(IF(OR($B4511="",$B4511="(blank)"),"",VLOOKUP($B4511,'Email Marketing Raw Data'!$C:$O,5,0)),"")</f>
        <v/>
      </c>
      <c r="I4511" s="55" t="str">
        <f>IFERROR(IF($G4511="","",VLOOKUP('Dashboard And Emails Automate'!$G4511,Database!$H:$N,3,0)),"")</f>
        <v/>
      </c>
      <c r="J4511" s="55" t="str">
        <f>IFERROR(IF($G4511="","",VLOOKUP('Dashboard And Emails Automate'!$G4511,Database!$H:$N,4,0)),"")</f>
        <v/>
      </c>
      <c r="K4511" s="55" t="str">
        <f>IFERROR(IF($G4511="","",VLOOKUP('Dashboard And Emails Automate'!$G4511,Database!$H:$N,5,0)),"")</f>
        <v/>
      </c>
      <c r="L4511" s="55" t="str">
        <f>IFERROR(IF($G4511="","",VLOOKUP('Dashboard And Emails Automate'!$G4511,Database!$H:$N,6,0)),"")</f>
        <v/>
      </c>
      <c r="M4511" s="55" t="str">
        <f>IFERROR(IF($G4511="","",VLOOKUP('Dashboard And Emails Automate'!$G4511,Database!$H:$N,7,0)),"")</f>
        <v/>
      </c>
      <c r="N4511" s="55" t="str">
        <f>IFERROR(IF(OR($B4511="",$B4511="(blank)"),"",VLOOKUP($B4511,'Email Marketing Raw Data'!$C:$O,6,0)),"")</f>
        <v/>
      </c>
      <c r="O4511" s="55" t="str">
        <f>IFERROR(IF(OR($B4511="",$B4511="(blank)"),"",VLOOKUP($B4511,'Email Marketing Raw Data'!$C:$O,7,0)),"")</f>
        <v/>
      </c>
      <c r="P4511" s="55" t="str">
        <f>IFERROR(IF(OR($B4511="",$B4511="(blank)"),"",VLOOKUP($B4511,'Email Marketing Raw Data'!$C:$O,8,0)),"")</f>
        <v/>
      </c>
      <c r="Q4511" s="62" t="str">
        <f>IFERROR(IF(OR($B4511="",$B4511="(blank)"),"",VLOOKUP($B4511,'Email Marketing Raw Data'!$C:$O,9,0)),"")</f>
        <v/>
      </c>
    </row>
    <row r="4512" spans="4:17" ht="12.75" customHeight="1" x14ac:dyDescent="0.2">
      <c r="D4512" s="58" t="str">
        <f>IFERROR(IF(F4512&lt;&gt;"pending","",IF(OR($B4512="",$B4512="(blank)"),"",VLOOKUP($B4512,'Email Marketing Raw Data'!$C:$O,10,0))),"")</f>
        <v/>
      </c>
      <c r="E4512" s="59" t="str">
        <f>IFERROR(IF(F4512&lt;&gt;"pending","",IF(OR($B4512="",$B4512="(blank)"),"",VLOOKUP($B4512,'Email Marketing Raw Data'!$C:$O,11,0))),"")</f>
        <v/>
      </c>
      <c r="F4512" s="54" t="str">
        <f>IFERROR(IF(OR($B4512="",$B4512="(blank)"),"",VLOOKUP($B4512,'Email Marketing Raw Data'!$C:$O,13,0)),"")</f>
        <v/>
      </c>
      <c r="G4512" s="55" t="str">
        <f>IFERROR(IF(OR($B4512="",$B4512="(blank)"),"",VLOOKUP($B4512,'Email Marketing Raw Data'!$C:$O,4,0)),"")</f>
        <v/>
      </c>
      <c r="H4512" s="55" t="str">
        <f>IFERROR(IF(OR($B4512="",$B4512="(blank)"),"",VLOOKUP($B4512,'Email Marketing Raw Data'!$C:$O,5,0)),"")</f>
        <v/>
      </c>
      <c r="I4512" s="55" t="str">
        <f>IFERROR(IF($G4512="","",VLOOKUP('Dashboard And Emails Automate'!$G4512,Database!$H:$N,3,0)),"")</f>
        <v/>
      </c>
      <c r="J4512" s="55" t="str">
        <f>IFERROR(IF($G4512="","",VLOOKUP('Dashboard And Emails Automate'!$G4512,Database!$H:$N,4,0)),"")</f>
        <v/>
      </c>
      <c r="K4512" s="55" t="str">
        <f>IFERROR(IF($G4512="","",VLOOKUP('Dashboard And Emails Automate'!$G4512,Database!$H:$N,5,0)),"")</f>
        <v/>
      </c>
      <c r="L4512" s="55" t="str">
        <f>IFERROR(IF($G4512="","",VLOOKUP('Dashboard And Emails Automate'!$G4512,Database!$H:$N,6,0)),"")</f>
        <v/>
      </c>
      <c r="M4512" s="55" t="str">
        <f>IFERROR(IF($G4512="","",VLOOKUP('Dashboard And Emails Automate'!$G4512,Database!$H:$N,7,0)),"")</f>
        <v/>
      </c>
      <c r="N4512" s="55" t="str">
        <f>IFERROR(IF(OR($B4512="",$B4512="(blank)"),"",VLOOKUP($B4512,'Email Marketing Raw Data'!$C:$O,6,0)),"")</f>
        <v/>
      </c>
      <c r="O4512" s="55" t="str">
        <f>IFERROR(IF(OR($B4512="",$B4512="(blank)"),"",VLOOKUP($B4512,'Email Marketing Raw Data'!$C:$O,7,0)),"")</f>
        <v/>
      </c>
      <c r="P4512" s="55" t="str">
        <f>IFERROR(IF(OR($B4512="",$B4512="(blank)"),"",VLOOKUP($B4512,'Email Marketing Raw Data'!$C:$O,8,0)),"")</f>
        <v/>
      </c>
      <c r="Q4512" s="62" t="str">
        <f>IFERROR(IF(OR($B4512="",$B4512="(blank)"),"",VLOOKUP($B4512,'Email Marketing Raw Data'!$C:$O,9,0)),"")</f>
        <v/>
      </c>
    </row>
    <row r="4513" spans="4:17" ht="12.75" customHeight="1" x14ac:dyDescent="0.2">
      <c r="D4513" s="58" t="str">
        <f>IFERROR(IF(F4513&lt;&gt;"pending","",IF(OR($B4513="",$B4513="(blank)"),"",VLOOKUP($B4513,'Email Marketing Raw Data'!$C:$O,10,0))),"")</f>
        <v/>
      </c>
      <c r="E4513" s="59" t="str">
        <f>IFERROR(IF(F4513&lt;&gt;"pending","",IF(OR($B4513="",$B4513="(blank)"),"",VLOOKUP($B4513,'Email Marketing Raw Data'!$C:$O,11,0))),"")</f>
        <v/>
      </c>
      <c r="F4513" s="54" t="str">
        <f>IFERROR(IF(OR($B4513="",$B4513="(blank)"),"",VLOOKUP($B4513,'Email Marketing Raw Data'!$C:$O,13,0)),"")</f>
        <v/>
      </c>
      <c r="G4513" s="55" t="str">
        <f>IFERROR(IF(OR($B4513="",$B4513="(blank)"),"",VLOOKUP($B4513,'Email Marketing Raw Data'!$C:$O,4,0)),"")</f>
        <v/>
      </c>
      <c r="H4513" s="55" t="str">
        <f>IFERROR(IF(OR($B4513="",$B4513="(blank)"),"",VLOOKUP($B4513,'Email Marketing Raw Data'!$C:$O,5,0)),"")</f>
        <v/>
      </c>
      <c r="I4513" s="55" t="str">
        <f>IFERROR(IF($G4513="","",VLOOKUP('Dashboard And Emails Automate'!$G4513,Database!$H:$N,3,0)),"")</f>
        <v/>
      </c>
      <c r="J4513" s="55" t="str">
        <f>IFERROR(IF($G4513="","",VLOOKUP('Dashboard And Emails Automate'!$G4513,Database!$H:$N,4,0)),"")</f>
        <v/>
      </c>
      <c r="K4513" s="55" t="str">
        <f>IFERROR(IF($G4513="","",VLOOKUP('Dashboard And Emails Automate'!$G4513,Database!$H:$N,5,0)),"")</f>
        <v/>
      </c>
      <c r="L4513" s="55" t="str">
        <f>IFERROR(IF($G4513="","",VLOOKUP('Dashboard And Emails Automate'!$G4513,Database!$H:$N,6,0)),"")</f>
        <v/>
      </c>
      <c r="M4513" s="55" t="str">
        <f>IFERROR(IF($G4513="","",VLOOKUP('Dashboard And Emails Automate'!$G4513,Database!$H:$N,7,0)),"")</f>
        <v/>
      </c>
      <c r="N4513" s="55" t="str">
        <f>IFERROR(IF(OR($B4513="",$B4513="(blank)"),"",VLOOKUP($B4513,'Email Marketing Raw Data'!$C:$O,6,0)),"")</f>
        <v/>
      </c>
      <c r="O4513" s="55" t="str">
        <f>IFERROR(IF(OR($B4513="",$B4513="(blank)"),"",VLOOKUP($B4513,'Email Marketing Raw Data'!$C:$O,7,0)),"")</f>
        <v/>
      </c>
      <c r="P4513" s="55" t="str">
        <f>IFERROR(IF(OR($B4513="",$B4513="(blank)"),"",VLOOKUP($B4513,'Email Marketing Raw Data'!$C:$O,8,0)),"")</f>
        <v/>
      </c>
      <c r="Q4513" s="62" t="str">
        <f>IFERROR(IF(OR($B4513="",$B4513="(blank)"),"",VLOOKUP($B4513,'Email Marketing Raw Data'!$C:$O,9,0)),"")</f>
        <v/>
      </c>
    </row>
    <row r="4514" spans="4:17" ht="12.75" customHeight="1" x14ac:dyDescent="0.2">
      <c r="D4514" s="58" t="str">
        <f>IFERROR(IF(F4514&lt;&gt;"pending","",IF(OR($B4514="",$B4514="(blank)"),"",VLOOKUP($B4514,'Email Marketing Raw Data'!$C:$O,10,0))),"")</f>
        <v/>
      </c>
      <c r="E4514" s="59" t="str">
        <f>IFERROR(IF(F4514&lt;&gt;"pending","",IF(OR($B4514="",$B4514="(blank)"),"",VLOOKUP($B4514,'Email Marketing Raw Data'!$C:$O,11,0))),"")</f>
        <v/>
      </c>
      <c r="F4514" s="54" t="str">
        <f>IFERROR(IF(OR($B4514="",$B4514="(blank)"),"",VLOOKUP($B4514,'Email Marketing Raw Data'!$C:$O,13,0)),"")</f>
        <v/>
      </c>
      <c r="G4514" s="55" t="str">
        <f>IFERROR(IF(OR($B4514="",$B4514="(blank)"),"",VLOOKUP($B4514,'Email Marketing Raw Data'!$C:$O,4,0)),"")</f>
        <v/>
      </c>
      <c r="H4514" s="55" t="str">
        <f>IFERROR(IF(OR($B4514="",$B4514="(blank)"),"",VLOOKUP($B4514,'Email Marketing Raw Data'!$C:$O,5,0)),"")</f>
        <v/>
      </c>
      <c r="I4514" s="55" t="str">
        <f>IFERROR(IF($G4514="","",VLOOKUP('Dashboard And Emails Automate'!$G4514,Database!$H:$N,3,0)),"")</f>
        <v/>
      </c>
      <c r="J4514" s="55" t="str">
        <f>IFERROR(IF($G4514="","",VLOOKUP('Dashboard And Emails Automate'!$G4514,Database!$H:$N,4,0)),"")</f>
        <v/>
      </c>
      <c r="K4514" s="55" t="str">
        <f>IFERROR(IF($G4514="","",VLOOKUP('Dashboard And Emails Automate'!$G4514,Database!$H:$N,5,0)),"")</f>
        <v/>
      </c>
      <c r="L4514" s="55" t="str">
        <f>IFERROR(IF($G4514="","",VLOOKUP('Dashboard And Emails Automate'!$G4514,Database!$H:$N,6,0)),"")</f>
        <v/>
      </c>
      <c r="M4514" s="55" t="str">
        <f>IFERROR(IF($G4514="","",VLOOKUP('Dashboard And Emails Automate'!$G4514,Database!$H:$N,7,0)),"")</f>
        <v/>
      </c>
      <c r="N4514" s="55" t="str">
        <f>IFERROR(IF(OR($B4514="",$B4514="(blank)"),"",VLOOKUP($B4514,'Email Marketing Raw Data'!$C:$O,6,0)),"")</f>
        <v/>
      </c>
      <c r="O4514" s="55" t="str">
        <f>IFERROR(IF(OR($B4514="",$B4514="(blank)"),"",VLOOKUP($B4514,'Email Marketing Raw Data'!$C:$O,7,0)),"")</f>
        <v/>
      </c>
      <c r="P4514" s="55" t="str">
        <f>IFERROR(IF(OR($B4514="",$B4514="(blank)"),"",VLOOKUP($B4514,'Email Marketing Raw Data'!$C:$O,8,0)),"")</f>
        <v/>
      </c>
      <c r="Q4514" s="62" t="str">
        <f>IFERROR(IF(OR($B4514="",$B4514="(blank)"),"",VLOOKUP($B4514,'Email Marketing Raw Data'!$C:$O,9,0)),"")</f>
        <v/>
      </c>
    </row>
    <row r="4515" spans="4:17" ht="12.75" customHeight="1" x14ac:dyDescent="0.2">
      <c r="D4515" s="58" t="str">
        <f>IFERROR(IF(F4515&lt;&gt;"pending","",IF(OR($B4515="",$B4515="(blank)"),"",VLOOKUP($B4515,'Email Marketing Raw Data'!$C:$O,10,0))),"")</f>
        <v/>
      </c>
      <c r="E4515" s="59" t="str">
        <f>IFERROR(IF(F4515&lt;&gt;"pending","",IF(OR($B4515="",$B4515="(blank)"),"",VLOOKUP($B4515,'Email Marketing Raw Data'!$C:$O,11,0))),"")</f>
        <v/>
      </c>
      <c r="F4515" s="54" t="str">
        <f>IFERROR(IF(OR($B4515="",$B4515="(blank)"),"",VLOOKUP($B4515,'Email Marketing Raw Data'!$C:$O,13,0)),"")</f>
        <v/>
      </c>
      <c r="G4515" s="55" t="str">
        <f>IFERROR(IF(OR($B4515="",$B4515="(blank)"),"",VLOOKUP($B4515,'Email Marketing Raw Data'!$C:$O,4,0)),"")</f>
        <v/>
      </c>
      <c r="H4515" s="55" t="str">
        <f>IFERROR(IF(OR($B4515="",$B4515="(blank)"),"",VLOOKUP($B4515,'Email Marketing Raw Data'!$C:$O,5,0)),"")</f>
        <v/>
      </c>
      <c r="I4515" s="55" t="str">
        <f>IFERROR(IF($G4515="","",VLOOKUP('Dashboard And Emails Automate'!$G4515,Database!$H:$N,3,0)),"")</f>
        <v/>
      </c>
      <c r="J4515" s="55" t="str">
        <f>IFERROR(IF($G4515="","",VLOOKUP('Dashboard And Emails Automate'!$G4515,Database!$H:$N,4,0)),"")</f>
        <v/>
      </c>
      <c r="K4515" s="55" t="str">
        <f>IFERROR(IF($G4515="","",VLOOKUP('Dashboard And Emails Automate'!$G4515,Database!$H:$N,5,0)),"")</f>
        <v/>
      </c>
      <c r="L4515" s="55" t="str">
        <f>IFERROR(IF($G4515="","",VLOOKUP('Dashboard And Emails Automate'!$G4515,Database!$H:$N,6,0)),"")</f>
        <v/>
      </c>
      <c r="M4515" s="55" t="str">
        <f>IFERROR(IF($G4515="","",VLOOKUP('Dashboard And Emails Automate'!$G4515,Database!$H:$N,7,0)),"")</f>
        <v/>
      </c>
      <c r="N4515" s="55" t="str">
        <f>IFERROR(IF(OR($B4515="",$B4515="(blank)"),"",VLOOKUP($B4515,'Email Marketing Raw Data'!$C:$O,6,0)),"")</f>
        <v/>
      </c>
      <c r="O4515" s="55" t="str">
        <f>IFERROR(IF(OR($B4515="",$B4515="(blank)"),"",VLOOKUP($B4515,'Email Marketing Raw Data'!$C:$O,7,0)),"")</f>
        <v/>
      </c>
      <c r="P4515" s="55" t="str">
        <f>IFERROR(IF(OR($B4515="",$B4515="(blank)"),"",VLOOKUP($B4515,'Email Marketing Raw Data'!$C:$O,8,0)),"")</f>
        <v/>
      </c>
      <c r="Q4515" s="62" t="str">
        <f>IFERROR(IF(OR($B4515="",$B4515="(blank)"),"",VLOOKUP($B4515,'Email Marketing Raw Data'!$C:$O,9,0)),"")</f>
        <v/>
      </c>
    </row>
    <row r="4516" spans="4:17" ht="12.75" customHeight="1" x14ac:dyDescent="0.2">
      <c r="D4516" s="58" t="str">
        <f>IFERROR(IF(F4516&lt;&gt;"pending","",IF(OR($B4516="",$B4516="(blank)"),"",VLOOKUP($B4516,'Email Marketing Raw Data'!$C:$O,10,0))),"")</f>
        <v/>
      </c>
      <c r="E4516" s="59" t="str">
        <f>IFERROR(IF(F4516&lt;&gt;"pending","",IF(OR($B4516="",$B4516="(blank)"),"",VLOOKUP($B4516,'Email Marketing Raw Data'!$C:$O,11,0))),"")</f>
        <v/>
      </c>
      <c r="F4516" s="54" t="str">
        <f>IFERROR(IF(OR($B4516="",$B4516="(blank)"),"",VLOOKUP($B4516,'Email Marketing Raw Data'!$C:$O,13,0)),"")</f>
        <v/>
      </c>
      <c r="G4516" s="55" t="str">
        <f>IFERROR(IF(OR($B4516="",$B4516="(blank)"),"",VLOOKUP($B4516,'Email Marketing Raw Data'!$C:$O,4,0)),"")</f>
        <v/>
      </c>
      <c r="H4516" s="55" t="str">
        <f>IFERROR(IF(OR($B4516="",$B4516="(blank)"),"",VLOOKUP($B4516,'Email Marketing Raw Data'!$C:$O,5,0)),"")</f>
        <v/>
      </c>
      <c r="I4516" s="55" t="str">
        <f>IFERROR(IF($G4516="","",VLOOKUP('Dashboard And Emails Automate'!$G4516,Database!$H:$N,3,0)),"")</f>
        <v/>
      </c>
      <c r="J4516" s="55" t="str">
        <f>IFERROR(IF($G4516="","",VLOOKUP('Dashboard And Emails Automate'!$G4516,Database!$H:$N,4,0)),"")</f>
        <v/>
      </c>
      <c r="K4516" s="55" t="str">
        <f>IFERROR(IF($G4516="","",VLOOKUP('Dashboard And Emails Automate'!$G4516,Database!$H:$N,5,0)),"")</f>
        <v/>
      </c>
      <c r="L4516" s="55" t="str">
        <f>IFERROR(IF($G4516="","",VLOOKUP('Dashboard And Emails Automate'!$G4516,Database!$H:$N,6,0)),"")</f>
        <v/>
      </c>
      <c r="M4516" s="55" t="str">
        <f>IFERROR(IF($G4516="","",VLOOKUP('Dashboard And Emails Automate'!$G4516,Database!$H:$N,7,0)),"")</f>
        <v/>
      </c>
      <c r="N4516" s="55" t="str">
        <f>IFERROR(IF(OR($B4516="",$B4516="(blank)"),"",VLOOKUP($B4516,'Email Marketing Raw Data'!$C:$O,6,0)),"")</f>
        <v/>
      </c>
      <c r="O4516" s="55" t="str">
        <f>IFERROR(IF(OR($B4516="",$B4516="(blank)"),"",VLOOKUP($B4516,'Email Marketing Raw Data'!$C:$O,7,0)),"")</f>
        <v/>
      </c>
      <c r="P4516" s="55" t="str">
        <f>IFERROR(IF(OR($B4516="",$B4516="(blank)"),"",VLOOKUP($B4516,'Email Marketing Raw Data'!$C:$O,8,0)),"")</f>
        <v/>
      </c>
      <c r="Q4516" s="62" t="str">
        <f>IFERROR(IF(OR($B4516="",$B4516="(blank)"),"",VLOOKUP($B4516,'Email Marketing Raw Data'!$C:$O,9,0)),"")</f>
        <v/>
      </c>
    </row>
    <row r="4517" spans="4:17" ht="12.75" customHeight="1" x14ac:dyDescent="0.2">
      <c r="D4517" s="58" t="str">
        <f>IFERROR(IF(F4517&lt;&gt;"pending","",IF(OR($B4517="",$B4517="(blank)"),"",VLOOKUP($B4517,'Email Marketing Raw Data'!$C:$O,10,0))),"")</f>
        <v/>
      </c>
      <c r="E4517" s="59" t="str">
        <f>IFERROR(IF(F4517&lt;&gt;"pending","",IF(OR($B4517="",$B4517="(blank)"),"",VLOOKUP($B4517,'Email Marketing Raw Data'!$C:$O,11,0))),"")</f>
        <v/>
      </c>
      <c r="F4517" s="54" t="str">
        <f>IFERROR(IF(OR($B4517="",$B4517="(blank)"),"",VLOOKUP($B4517,'Email Marketing Raw Data'!$C:$O,13,0)),"")</f>
        <v/>
      </c>
      <c r="G4517" s="55" t="str">
        <f>IFERROR(IF(OR($B4517="",$B4517="(blank)"),"",VLOOKUP($B4517,'Email Marketing Raw Data'!$C:$O,4,0)),"")</f>
        <v/>
      </c>
      <c r="H4517" s="55" t="str">
        <f>IFERROR(IF(OR($B4517="",$B4517="(blank)"),"",VLOOKUP($B4517,'Email Marketing Raw Data'!$C:$O,5,0)),"")</f>
        <v/>
      </c>
      <c r="I4517" s="55" t="str">
        <f>IFERROR(IF($G4517="","",VLOOKUP('Dashboard And Emails Automate'!$G4517,Database!$H:$N,3,0)),"")</f>
        <v/>
      </c>
      <c r="J4517" s="55" t="str">
        <f>IFERROR(IF($G4517="","",VLOOKUP('Dashboard And Emails Automate'!$G4517,Database!$H:$N,4,0)),"")</f>
        <v/>
      </c>
      <c r="K4517" s="55" t="str">
        <f>IFERROR(IF($G4517="","",VLOOKUP('Dashboard And Emails Automate'!$G4517,Database!$H:$N,5,0)),"")</f>
        <v/>
      </c>
      <c r="L4517" s="55" t="str">
        <f>IFERROR(IF($G4517="","",VLOOKUP('Dashboard And Emails Automate'!$G4517,Database!$H:$N,6,0)),"")</f>
        <v/>
      </c>
      <c r="M4517" s="55" t="str">
        <f>IFERROR(IF($G4517="","",VLOOKUP('Dashboard And Emails Automate'!$G4517,Database!$H:$N,7,0)),"")</f>
        <v/>
      </c>
      <c r="N4517" s="55" t="str">
        <f>IFERROR(IF(OR($B4517="",$B4517="(blank)"),"",VLOOKUP($B4517,'Email Marketing Raw Data'!$C:$O,6,0)),"")</f>
        <v/>
      </c>
      <c r="O4517" s="55" t="str">
        <f>IFERROR(IF(OR($B4517="",$B4517="(blank)"),"",VLOOKUP($B4517,'Email Marketing Raw Data'!$C:$O,7,0)),"")</f>
        <v/>
      </c>
      <c r="P4517" s="55" t="str">
        <f>IFERROR(IF(OR($B4517="",$B4517="(blank)"),"",VLOOKUP($B4517,'Email Marketing Raw Data'!$C:$O,8,0)),"")</f>
        <v/>
      </c>
      <c r="Q4517" s="62" t="str">
        <f>IFERROR(IF(OR($B4517="",$B4517="(blank)"),"",VLOOKUP($B4517,'Email Marketing Raw Data'!$C:$O,9,0)),"")</f>
        <v/>
      </c>
    </row>
    <row r="4518" spans="4:17" ht="12.75" customHeight="1" x14ac:dyDescent="0.2">
      <c r="D4518" s="58" t="str">
        <f>IFERROR(IF(F4518&lt;&gt;"pending","",IF(OR($B4518="",$B4518="(blank)"),"",VLOOKUP($B4518,'Email Marketing Raw Data'!$C:$O,10,0))),"")</f>
        <v/>
      </c>
      <c r="E4518" s="59" t="str">
        <f>IFERROR(IF(F4518&lt;&gt;"pending","",IF(OR($B4518="",$B4518="(blank)"),"",VLOOKUP($B4518,'Email Marketing Raw Data'!$C:$O,11,0))),"")</f>
        <v/>
      </c>
      <c r="F4518" s="54" t="str">
        <f>IFERROR(IF(OR($B4518="",$B4518="(blank)"),"",VLOOKUP($B4518,'Email Marketing Raw Data'!$C:$O,13,0)),"")</f>
        <v/>
      </c>
      <c r="G4518" s="55" t="str">
        <f>IFERROR(IF(OR($B4518="",$B4518="(blank)"),"",VLOOKUP($B4518,'Email Marketing Raw Data'!$C:$O,4,0)),"")</f>
        <v/>
      </c>
      <c r="H4518" s="55" t="str">
        <f>IFERROR(IF(OR($B4518="",$B4518="(blank)"),"",VLOOKUP($B4518,'Email Marketing Raw Data'!$C:$O,5,0)),"")</f>
        <v/>
      </c>
      <c r="I4518" s="55" t="str">
        <f>IFERROR(IF($G4518="","",VLOOKUP('Dashboard And Emails Automate'!$G4518,Database!$H:$N,3,0)),"")</f>
        <v/>
      </c>
      <c r="J4518" s="55" t="str">
        <f>IFERROR(IF($G4518="","",VLOOKUP('Dashboard And Emails Automate'!$G4518,Database!$H:$N,4,0)),"")</f>
        <v/>
      </c>
      <c r="K4518" s="55" t="str">
        <f>IFERROR(IF($G4518="","",VLOOKUP('Dashboard And Emails Automate'!$G4518,Database!$H:$N,5,0)),"")</f>
        <v/>
      </c>
      <c r="L4518" s="55" t="str">
        <f>IFERROR(IF($G4518="","",VLOOKUP('Dashboard And Emails Automate'!$G4518,Database!$H:$N,6,0)),"")</f>
        <v/>
      </c>
      <c r="M4518" s="55" t="str">
        <f>IFERROR(IF($G4518="","",VLOOKUP('Dashboard And Emails Automate'!$G4518,Database!$H:$N,7,0)),"")</f>
        <v/>
      </c>
      <c r="N4518" s="55" t="str">
        <f>IFERROR(IF(OR($B4518="",$B4518="(blank)"),"",VLOOKUP($B4518,'Email Marketing Raw Data'!$C:$O,6,0)),"")</f>
        <v/>
      </c>
      <c r="O4518" s="55" t="str">
        <f>IFERROR(IF(OR($B4518="",$B4518="(blank)"),"",VLOOKUP($B4518,'Email Marketing Raw Data'!$C:$O,7,0)),"")</f>
        <v/>
      </c>
      <c r="P4518" s="55" t="str">
        <f>IFERROR(IF(OR($B4518="",$B4518="(blank)"),"",VLOOKUP($B4518,'Email Marketing Raw Data'!$C:$O,8,0)),"")</f>
        <v/>
      </c>
      <c r="Q4518" s="62" t="str">
        <f>IFERROR(IF(OR($B4518="",$B4518="(blank)"),"",VLOOKUP($B4518,'Email Marketing Raw Data'!$C:$O,9,0)),"")</f>
        <v/>
      </c>
    </row>
    <row r="4519" spans="4:17" ht="12.75" customHeight="1" x14ac:dyDescent="0.2">
      <c r="D4519" s="58" t="str">
        <f>IFERROR(IF(F4519&lt;&gt;"pending","",IF(OR($B4519="",$B4519="(blank)"),"",VLOOKUP($B4519,'Email Marketing Raw Data'!$C:$O,10,0))),"")</f>
        <v/>
      </c>
      <c r="E4519" s="59" t="str">
        <f>IFERROR(IF(F4519&lt;&gt;"pending","",IF(OR($B4519="",$B4519="(blank)"),"",VLOOKUP($B4519,'Email Marketing Raw Data'!$C:$O,11,0))),"")</f>
        <v/>
      </c>
      <c r="F4519" s="54" t="str">
        <f>IFERROR(IF(OR($B4519="",$B4519="(blank)"),"",VLOOKUP($B4519,'Email Marketing Raw Data'!$C:$O,13,0)),"")</f>
        <v/>
      </c>
      <c r="G4519" s="55" t="str">
        <f>IFERROR(IF(OR($B4519="",$B4519="(blank)"),"",VLOOKUP($B4519,'Email Marketing Raw Data'!$C:$O,4,0)),"")</f>
        <v/>
      </c>
      <c r="H4519" s="55" t="str">
        <f>IFERROR(IF(OR($B4519="",$B4519="(blank)"),"",VLOOKUP($B4519,'Email Marketing Raw Data'!$C:$O,5,0)),"")</f>
        <v/>
      </c>
      <c r="I4519" s="55" t="str">
        <f>IFERROR(IF($G4519="","",VLOOKUP('Dashboard And Emails Automate'!$G4519,Database!$H:$N,3,0)),"")</f>
        <v/>
      </c>
      <c r="J4519" s="55" t="str">
        <f>IFERROR(IF($G4519="","",VLOOKUP('Dashboard And Emails Automate'!$G4519,Database!$H:$N,4,0)),"")</f>
        <v/>
      </c>
      <c r="K4519" s="55" t="str">
        <f>IFERROR(IF($G4519="","",VLOOKUP('Dashboard And Emails Automate'!$G4519,Database!$H:$N,5,0)),"")</f>
        <v/>
      </c>
      <c r="L4519" s="55" t="str">
        <f>IFERROR(IF($G4519="","",VLOOKUP('Dashboard And Emails Automate'!$G4519,Database!$H:$N,6,0)),"")</f>
        <v/>
      </c>
      <c r="M4519" s="55" t="str">
        <f>IFERROR(IF($G4519="","",VLOOKUP('Dashboard And Emails Automate'!$G4519,Database!$H:$N,7,0)),"")</f>
        <v/>
      </c>
      <c r="N4519" s="55" t="str">
        <f>IFERROR(IF(OR($B4519="",$B4519="(blank)"),"",VLOOKUP($B4519,'Email Marketing Raw Data'!$C:$O,6,0)),"")</f>
        <v/>
      </c>
      <c r="O4519" s="55" t="str">
        <f>IFERROR(IF(OR($B4519="",$B4519="(blank)"),"",VLOOKUP($B4519,'Email Marketing Raw Data'!$C:$O,7,0)),"")</f>
        <v/>
      </c>
      <c r="P4519" s="55" t="str">
        <f>IFERROR(IF(OR($B4519="",$B4519="(blank)"),"",VLOOKUP($B4519,'Email Marketing Raw Data'!$C:$O,8,0)),"")</f>
        <v/>
      </c>
      <c r="Q4519" s="62" t="str">
        <f>IFERROR(IF(OR($B4519="",$B4519="(blank)"),"",VLOOKUP($B4519,'Email Marketing Raw Data'!$C:$O,9,0)),"")</f>
        <v/>
      </c>
    </row>
    <row r="4520" spans="4:17" ht="12.75" customHeight="1" x14ac:dyDescent="0.2">
      <c r="D4520" s="58" t="str">
        <f>IFERROR(IF(F4520&lt;&gt;"pending","",IF(OR($B4520="",$B4520="(blank)"),"",VLOOKUP($B4520,'Email Marketing Raw Data'!$C:$O,10,0))),"")</f>
        <v/>
      </c>
      <c r="E4520" s="59" t="str">
        <f>IFERROR(IF(F4520&lt;&gt;"pending","",IF(OR($B4520="",$B4520="(blank)"),"",VLOOKUP($B4520,'Email Marketing Raw Data'!$C:$O,11,0))),"")</f>
        <v/>
      </c>
      <c r="F4520" s="54" t="str">
        <f>IFERROR(IF(OR($B4520="",$B4520="(blank)"),"",VLOOKUP($B4520,'Email Marketing Raw Data'!$C:$O,13,0)),"")</f>
        <v/>
      </c>
      <c r="G4520" s="55" t="str">
        <f>IFERROR(IF(OR($B4520="",$B4520="(blank)"),"",VLOOKUP($B4520,'Email Marketing Raw Data'!$C:$O,4,0)),"")</f>
        <v/>
      </c>
      <c r="H4520" s="55" t="str">
        <f>IFERROR(IF(OR($B4520="",$B4520="(blank)"),"",VLOOKUP($B4520,'Email Marketing Raw Data'!$C:$O,5,0)),"")</f>
        <v/>
      </c>
      <c r="I4520" s="55" t="str">
        <f>IFERROR(IF($G4520="","",VLOOKUP('Dashboard And Emails Automate'!$G4520,Database!$H:$N,3,0)),"")</f>
        <v/>
      </c>
      <c r="J4520" s="55" t="str">
        <f>IFERROR(IF($G4520="","",VLOOKUP('Dashboard And Emails Automate'!$G4520,Database!$H:$N,4,0)),"")</f>
        <v/>
      </c>
      <c r="K4520" s="55" t="str">
        <f>IFERROR(IF($G4520="","",VLOOKUP('Dashboard And Emails Automate'!$G4520,Database!$H:$N,5,0)),"")</f>
        <v/>
      </c>
      <c r="L4520" s="55" t="str">
        <f>IFERROR(IF($G4520="","",VLOOKUP('Dashboard And Emails Automate'!$G4520,Database!$H:$N,6,0)),"")</f>
        <v/>
      </c>
      <c r="M4520" s="55" t="str">
        <f>IFERROR(IF($G4520="","",VLOOKUP('Dashboard And Emails Automate'!$G4520,Database!$H:$N,7,0)),"")</f>
        <v/>
      </c>
      <c r="N4520" s="55" t="str">
        <f>IFERROR(IF(OR($B4520="",$B4520="(blank)"),"",VLOOKUP($B4520,'Email Marketing Raw Data'!$C:$O,6,0)),"")</f>
        <v/>
      </c>
      <c r="O4520" s="55" t="str">
        <f>IFERROR(IF(OR($B4520="",$B4520="(blank)"),"",VLOOKUP($B4520,'Email Marketing Raw Data'!$C:$O,7,0)),"")</f>
        <v/>
      </c>
      <c r="P4520" s="55" t="str">
        <f>IFERROR(IF(OR($B4520="",$B4520="(blank)"),"",VLOOKUP($B4520,'Email Marketing Raw Data'!$C:$O,8,0)),"")</f>
        <v/>
      </c>
      <c r="Q4520" s="62" t="str">
        <f>IFERROR(IF(OR($B4520="",$B4520="(blank)"),"",VLOOKUP($B4520,'Email Marketing Raw Data'!$C:$O,9,0)),"")</f>
        <v/>
      </c>
    </row>
    <row r="4521" spans="4:17" ht="12.75" customHeight="1" x14ac:dyDescent="0.2">
      <c r="D4521" s="58" t="str">
        <f>IFERROR(IF(F4521&lt;&gt;"pending","",IF(OR($B4521="",$B4521="(blank)"),"",VLOOKUP($B4521,'Email Marketing Raw Data'!$C:$O,10,0))),"")</f>
        <v/>
      </c>
      <c r="E4521" s="59" t="str">
        <f>IFERROR(IF(F4521&lt;&gt;"pending","",IF(OR($B4521="",$B4521="(blank)"),"",VLOOKUP($B4521,'Email Marketing Raw Data'!$C:$O,11,0))),"")</f>
        <v/>
      </c>
      <c r="F4521" s="54" t="str">
        <f>IFERROR(IF(OR($B4521="",$B4521="(blank)"),"",VLOOKUP($B4521,'Email Marketing Raw Data'!$C:$O,13,0)),"")</f>
        <v/>
      </c>
      <c r="G4521" s="55" t="str">
        <f>IFERROR(IF(OR($B4521="",$B4521="(blank)"),"",VLOOKUP($B4521,'Email Marketing Raw Data'!$C:$O,4,0)),"")</f>
        <v/>
      </c>
      <c r="H4521" s="55" t="str">
        <f>IFERROR(IF(OR($B4521="",$B4521="(blank)"),"",VLOOKUP($B4521,'Email Marketing Raw Data'!$C:$O,5,0)),"")</f>
        <v/>
      </c>
      <c r="I4521" s="55" t="str">
        <f>IFERROR(IF($G4521="","",VLOOKUP('Dashboard And Emails Automate'!$G4521,Database!$H:$N,3,0)),"")</f>
        <v/>
      </c>
      <c r="J4521" s="55" t="str">
        <f>IFERROR(IF($G4521="","",VLOOKUP('Dashboard And Emails Automate'!$G4521,Database!$H:$N,4,0)),"")</f>
        <v/>
      </c>
      <c r="K4521" s="55" t="str">
        <f>IFERROR(IF($G4521="","",VLOOKUP('Dashboard And Emails Automate'!$G4521,Database!$H:$N,5,0)),"")</f>
        <v/>
      </c>
      <c r="L4521" s="55" t="str">
        <f>IFERROR(IF($G4521="","",VLOOKUP('Dashboard And Emails Automate'!$G4521,Database!$H:$N,6,0)),"")</f>
        <v/>
      </c>
      <c r="M4521" s="55" t="str">
        <f>IFERROR(IF($G4521="","",VLOOKUP('Dashboard And Emails Automate'!$G4521,Database!$H:$N,7,0)),"")</f>
        <v/>
      </c>
      <c r="N4521" s="55" t="str">
        <f>IFERROR(IF(OR($B4521="",$B4521="(blank)"),"",VLOOKUP($B4521,'Email Marketing Raw Data'!$C:$O,6,0)),"")</f>
        <v/>
      </c>
      <c r="O4521" s="55" t="str">
        <f>IFERROR(IF(OR($B4521="",$B4521="(blank)"),"",VLOOKUP($B4521,'Email Marketing Raw Data'!$C:$O,7,0)),"")</f>
        <v/>
      </c>
      <c r="P4521" s="55" t="str">
        <f>IFERROR(IF(OR($B4521="",$B4521="(blank)"),"",VLOOKUP($B4521,'Email Marketing Raw Data'!$C:$O,8,0)),"")</f>
        <v/>
      </c>
      <c r="Q4521" s="62" t="str">
        <f>IFERROR(IF(OR($B4521="",$B4521="(blank)"),"",VLOOKUP($B4521,'Email Marketing Raw Data'!$C:$O,9,0)),"")</f>
        <v/>
      </c>
    </row>
    <row r="4522" spans="4:17" ht="12.75" customHeight="1" x14ac:dyDescent="0.2">
      <c r="D4522" s="58" t="str">
        <f>IFERROR(IF(F4522&lt;&gt;"pending","",IF(OR($B4522="",$B4522="(blank)"),"",VLOOKUP($B4522,'Email Marketing Raw Data'!$C:$O,10,0))),"")</f>
        <v/>
      </c>
      <c r="E4522" s="59" t="str">
        <f>IFERROR(IF(F4522&lt;&gt;"pending","",IF(OR($B4522="",$B4522="(blank)"),"",VLOOKUP($B4522,'Email Marketing Raw Data'!$C:$O,11,0))),"")</f>
        <v/>
      </c>
      <c r="F4522" s="54" t="str">
        <f>IFERROR(IF(OR($B4522="",$B4522="(blank)"),"",VLOOKUP($B4522,'Email Marketing Raw Data'!$C:$O,13,0)),"")</f>
        <v/>
      </c>
      <c r="G4522" s="55" t="str">
        <f>IFERROR(IF(OR($B4522="",$B4522="(blank)"),"",VLOOKUP($B4522,'Email Marketing Raw Data'!$C:$O,4,0)),"")</f>
        <v/>
      </c>
      <c r="H4522" s="55" t="str">
        <f>IFERROR(IF(OR($B4522="",$B4522="(blank)"),"",VLOOKUP($B4522,'Email Marketing Raw Data'!$C:$O,5,0)),"")</f>
        <v/>
      </c>
      <c r="I4522" s="55" t="str">
        <f>IFERROR(IF($G4522="","",VLOOKUP('Dashboard And Emails Automate'!$G4522,Database!$H:$N,3,0)),"")</f>
        <v/>
      </c>
      <c r="J4522" s="55" t="str">
        <f>IFERROR(IF($G4522="","",VLOOKUP('Dashboard And Emails Automate'!$G4522,Database!$H:$N,4,0)),"")</f>
        <v/>
      </c>
      <c r="K4522" s="55" t="str">
        <f>IFERROR(IF($G4522="","",VLOOKUP('Dashboard And Emails Automate'!$G4522,Database!$H:$N,5,0)),"")</f>
        <v/>
      </c>
      <c r="L4522" s="55" t="str">
        <f>IFERROR(IF($G4522="","",VLOOKUP('Dashboard And Emails Automate'!$G4522,Database!$H:$N,6,0)),"")</f>
        <v/>
      </c>
      <c r="M4522" s="55" t="str">
        <f>IFERROR(IF($G4522="","",VLOOKUP('Dashboard And Emails Automate'!$G4522,Database!$H:$N,7,0)),"")</f>
        <v/>
      </c>
      <c r="N4522" s="55" t="str">
        <f>IFERROR(IF(OR($B4522="",$B4522="(blank)"),"",VLOOKUP($B4522,'Email Marketing Raw Data'!$C:$O,6,0)),"")</f>
        <v/>
      </c>
      <c r="O4522" s="55" t="str">
        <f>IFERROR(IF(OR($B4522="",$B4522="(blank)"),"",VLOOKUP($B4522,'Email Marketing Raw Data'!$C:$O,7,0)),"")</f>
        <v/>
      </c>
      <c r="P4522" s="55" t="str">
        <f>IFERROR(IF(OR($B4522="",$B4522="(blank)"),"",VLOOKUP($B4522,'Email Marketing Raw Data'!$C:$O,8,0)),"")</f>
        <v/>
      </c>
      <c r="Q4522" s="62" t="str">
        <f>IFERROR(IF(OR($B4522="",$B4522="(blank)"),"",VLOOKUP($B4522,'Email Marketing Raw Data'!$C:$O,9,0)),"")</f>
        <v/>
      </c>
    </row>
    <row r="4523" spans="4:17" ht="12.75" customHeight="1" x14ac:dyDescent="0.2">
      <c r="D4523" s="58" t="str">
        <f>IFERROR(IF(F4523&lt;&gt;"pending","",IF(OR($B4523="",$B4523="(blank)"),"",VLOOKUP($B4523,'Email Marketing Raw Data'!$C:$O,10,0))),"")</f>
        <v/>
      </c>
      <c r="E4523" s="59" t="str">
        <f>IFERROR(IF(F4523&lt;&gt;"pending","",IF(OR($B4523="",$B4523="(blank)"),"",VLOOKUP($B4523,'Email Marketing Raw Data'!$C:$O,11,0))),"")</f>
        <v/>
      </c>
      <c r="F4523" s="54" t="str">
        <f>IFERROR(IF(OR($B4523="",$B4523="(blank)"),"",VLOOKUP($B4523,'Email Marketing Raw Data'!$C:$O,13,0)),"")</f>
        <v/>
      </c>
      <c r="G4523" s="55" t="str">
        <f>IFERROR(IF(OR($B4523="",$B4523="(blank)"),"",VLOOKUP($B4523,'Email Marketing Raw Data'!$C:$O,4,0)),"")</f>
        <v/>
      </c>
      <c r="H4523" s="55" t="str">
        <f>IFERROR(IF(OR($B4523="",$B4523="(blank)"),"",VLOOKUP($B4523,'Email Marketing Raw Data'!$C:$O,5,0)),"")</f>
        <v/>
      </c>
      <c r="I4523" s="55" t="str">
        <f>IFERROR(IF($G4523="","",VLOOKUP('Dashboard And Emails Automate'!$G4523,Database!$H:$N,3,0)),"")</f>
        <v/>
      </c>
      <c r="J4523" s="55" t="str">
        <f>IFERROR(IF($G4523="","",VLOOKUP('Dashboard And Emails Automate'!$G4523,Database!$H:$N,4,0)),"")</f>
        <v/>
      </c>
      <c r="K4523" s="55" t="str">
        <f>IFERROR(IF($G4523="","",VLOOKUP('Dashboard And Emails Automate'!$G4523,Database!$H:$N,5,0)),"")</f>
        <v/>
      </c>
      <c r="L4523" s="55" t="str">
        <f>IFERROR(IF($G4523="","",VLOOKUP('Dashboard And Emails Automate'!$G4523,Database!$H:$N,6,0)),"")</f>
        <v/>
      </c>
      <c r="M4523" s="55" t="str">
        <f>IFERROR(IF($G4523="","",VLOOKUP('Dashboard And Emails Automate'!$G4523,Database!$H:$N,7,0)),"")</f>
        <v/>
      </c>
      <c r="N4523" s="55" t="str">
        <f>IFERROR(IF(OR($B4523="",$B4523="(blank)"),"",VLOOKUP($B4523,'Email Marketing Raw Data'!$C:$O,6,0)),"")</f>
        <v/>
      </c>
      <c r="O4523" s="55" t="str">
        <f>IFERROR(IF(OR($B4523="",$B4523="(blank)"),"",VLOOKUP($B4523,'Email Marketing Raw Data'!$C:$O,7,0)),"")</f>
        <v/>
      </c>
      <c r="P4523" s="55" t="str">
        <f>IFERROR(IF(OR($B4523="",$B4523="(blank)"),"",VLOOKUP($B4523,'Email Marketing Raw Data'!$C:$O,8,0)),"")</f>
        <v/>
      </c>
      <c r="Q4523" s="62" t="str">
        <f>IFERROR(IF(OR($B4523="",$B4523="(blank)"),"",VLOOKUP($B4523,'Email Marketing Raw Data'!$C:$O,9,0)),"")</f>
        <v/>
      </c>
    </row>
    <row r="4524" spans="4:17" ht="12.75" customHeight="1" x14ac:dyDescent="0.2">
      <c r="D4524" s="58" t="str">
        <f>IFERROR(IF(F4524&lt;&gt;"pending","",IF(OR($B4524="",$B4524="(blank)"),"",VLOOKUP($B4524,'Email Marketing Raw Data'!$C:$O,10,0))),"")</f>
        <v/>
      </c>
      <c r="E4524" s="59" t="str">
        <f>IFERROR(IF(F4524&lt;&gt;"pending","",IF(OR($B4524="",$B4524="(blank)"),"",VLOOKUP($B4524,'Email Marketing Raw Data'!$C:$O,11,0))),"")</f>
        <v/>
      </c>
      <c r="F4524" s="54" t="str">
        <f>IFERROR(IF(OR($B4524="",$B4524="(blank)"),"",VLOOKUP($B4524,'Email Marketing Raw Data'!$C:$O,13,0)),"")</f>
        <v/>
      </c>
      <c r="G4524" s="55" t="str">
        <f>IFERROR(IF(OR($B4524="",$B4524="(blank)"),"",VLOOKUP($B4524,'Email Marketing Raw Data'!$C:$O,4,0)),"")</f>
        <v/>
      </c>
      <c r="H4524" s="55" t="str">
        <f>IFERROR(IF(OR($B4524="",$B4524="(blank)"),"",VLOOKUP($B4524,'Email Marketing Raw Data'!$C:$O,5,0)),"")</f>
        <v/>
      </c>
      <c r="I4524" s="55" t="str">
        <f>IFERROR(IF($G4524="","",VLOOKUP('Dashboard And Emails Automate'!$G4524,Database!$H:$N,3,0)),"")</f>
        <v/>
      </c>
      <c r="J4524" s="55" t="str">
        <f>IFERROR(IF($G4524="","",VLOOKUP('Dashboard And Emails Automate'!$G4524,Database!$H:$N,4,0)),"")</f>
        <v/>
      </c>
      <c r="K4524" s="55" t="str">
        <f>IFERROR(IF($G4524="","",VLOOKUP('Dashboard And Emails Automate'!$G4524,Database!$H:$N,5,0)),"")</f>
        <v/>
      </c>
      <c r="L4524" s="55" t="str">
        <f>IFERROR(IF($G4524="","",VLOOKUP('Dashboard And Emails Automate'!$G4524,Database!$H:$N,6,0)),"")</f>
        <v/>
      </c>
      <c r="M4524" s="55" t="str">
        <f>IFERROR(IF($G4524="","",VLOOKUP('Dashboard And Emails Automate'!$G4524,Database!$H:$N,7,0)),"")</f>
        <v/>
      </c>
      <c r="N4524" s="55" t="str">
        <f>IFERROR(IF(OR($B4524="",$B4524="(blank)"),"",VLOOKUP($B4524,'Email Marketing Raw Data'!$C:$O,6,0)),"")</f>
        <v/>
      </c>
      <c r="O4524" s="55" t="str">
        <f>IFERROR(IF(OR($B4524="",$B4524="(blank)"),"",VLOOKUP($B4524,'Email Marketing Raw Data'!$C:$O,7,0)),"")</f>
        <v/>
      </c>
      <c r="P4524" s="55" t="str">
        <f>IFERROR(IF(OR($B4524="",$B4524="(blank)"),"",VLOOKUP($B4524,'Email Marketing Raw Data'!$C:$O,8,0)),"")</f>
        <v/>
      </c>
      <c r="Q4524" s="62" t="str">
        <f>IFERROR(IF(OR($B4524="",$B4524="(blank)"),"",VLOOKUP($B4524,'Email Marketing Raw Data'!$C:$O,9,0)),"")</f>
        <v/>
      </c>
    </row>
    <row r="4525" spans="4:17" ht="12.75" customHeight="1" x14ac:dyDescent="0.2">
      <c r="D4525" s="58" t="str">
        <f>IFERROR(IF(F4525&lt;&gt;"pending","",IF(OR($B4525="",$B4525="(blank)"),"",VLOOKUP($B4525,'Email Marketing Raw Data'!$C:$O,10,0))),"")</f>
        <v/>
      </c>
      <c r="E4525" s="59" t="str">
        <f>IFERROR(IF(F4525&lt;&gt;"pending","",IF(OR($B4525="",$B4525="(blank)"),"",VLOOKUP($B4525,'Email Marketing Raw Data'!$C:$O,11,0))),"")</f>
        <v/>
      </c>
      <c r="F4525" s="54" t="str">
        <f>IFERROR(IF(OR($B4525="",$B4525="(blank)"),"",VLOOKUP($B4525,'Email Marketing Raw Data'!$C:$O,13,0)),"")</f>
        <v/>
      </c>
      <c r="G4525" s="55" t="str">
        <f>IFERROR(IF(OR($B4525="",$B4525="(blank)"),"",VLOOKUP($B4525,'Email Marketing Raw Data'!$C:$O,4,0)),"")</f>
        <v/>
      </c>
      <c r="H4525" s="55" t="str">
        <f>IFERROR(IF(OR($B4525="",$B4525="(blank)"),"",VLOOKUP($B4525,'Email Marketing Raw Data'!$C:$O,5,0)),"")</f>
        <v/>
      </c>
      <c r="I4525" s="55" t="str">
        <f>IFERROR(IF($G4525="","",VLOOKUP('Dashboard And Emails Automate'!$G4525,Database!$H:$N,3,0)),"")</f>
        <v/>
      </c>
      <c r="J4525" s="55" t="str">
        <f>IFERROR(IF($G4525="","",VLOOKUP('Dashboard And Emails Automate'!$G4525,Database!$H:$N,4,0)),"")</f>
        <v/>
      </c>
      <c r="K4525" s="55" t="str">
        <f>IFERROR(IF($G4525="","",VLOOKUP('Dashboard And Emails Automate'!$G4525,Database!$H:$N,5,0)),"")</f>
        <v/>
      </c>
      <c r="L4525" s="55" t="str">
        <f>IFERROR(IF($G4525="","",VLOOKUP('Dashboard And Emails Automate'!$G4525,Database!$H:$N,6,0)),"")</f>
        <v/>
      </c>
      <c r="M4525" s="55" t="str">
        <f>IFERROR(IF($G4525="","",VLOOKUP('Dashboard And Emails Automate'!$G4525,Database!$H:$N,7,0)),"")</f>
        <v/>
      </c>
      <c r="N4525" s="55" t="str">
        <f>IFERROR(IF(OR($B4525="",$B4525="(blank)"),"",VLOOKUP($B4525,'Email Marketing Raw Data'!$C:$O,6,0)),"")</f>
        <v/>
      </c>
      <c r="O4525" s="55" t="str">
        <f>IFERROR(IF(OR($B4525="",$B4525="(blank)"),"",VLOOKUP($B4525,'Email Marketing Raw Data'!$C:$O,7,0)),"")</f>
        <v/>
      </c>
      <c r="P4525" s="55" t="str">
        <f>IFERROR(IF(OR($B4525="",$B4525="(blank)"),"",VLOOKUP($B4525,'Email Marketing Raw Data'!$C:$O,8,0)),"")</f>
        <v/>
      </c>
      <c r="Q4525" s="62" t="str">
        <f>IFERROR(IF(OR($B4525="",$B4525="(blank)"),"",VLOOKUP($B4525,'Email Marketing Raw Data'!$C:$O,9,0)),"")</f>
        <v/>
      </c>
    </row>
    <row r="4526" spans="4:17" ht="12.75" customHeight="1" x14ac:dyDescent="0.2">
      <c r="D4526" s="58" t="str">
        <f>IFERROR(IF(F4526&lt;&gt;"pending","",IF(OR($B4526="",$B4526="(blank)"),"",VLOOKUP($B4526,'Email Marketing Raw Data'!$C:$O,10,0))),"")</f>
        <v/>
      </c>
      <c r="E4526" s="59" t="str">
        <f>IFERROR(IF(F4526&lt;&gt;"pending","",IF(OR($B4526="",$B4526="(blank)"),"",VLOOKUP($B4526,'Email Marketing Raw Data'!$C:$O,11,0))),"")</f>
        <v/>
      </c>
      <c r="F4526" s="54" t="str">
        <f>IFERROR(IF(OR($B4526="",$B4526="(blank)"),"",VLOOKUP($B4526,'Email Marketing Raw Data'!$C:$O,13,0)),"")</f>
        <v/>
      </c>
      <c r="G4526" s="55" t="str">
        <f>IFERROR(IF(OR($B4526="",$B4526="(blank)"),"",VLOOKUP($B4526,'Email Marketing Raw Data'!$C:$O,4,0)),"")</f>
        <v/>
      </c>
      <c r="H4526" s="55" t="str">
        <f>IFERROR(IF(OR($B4526="",$B4526="(blank)"),"",VLOOKUP($B4526,'Email Marketing Raw Data'!$C:$O,5,0)),"")</f>
        <v/>
      </c>
      <c r="I4526" s="55" t="str">
        <f>IFERROR(IF($G4526="","",VLOOKUP('Dashboard And Emails Automate'!$G4526,Database!$H:$N,3,0)),"")</f>
        <v/>
      </c>
      <c r="J4526" s="55" t="str">
        <f>IFERROR(IF($G4526="","",VLOOKUP('Dashboard And Emails Automate'!$G4526,Database!$H:$N,4,0)),"")</f>
        <v/>
      </c>
      <c r="K4526" s="55" t="str">
        <f>IFERROR(IF($G4526="","",VLOOKUP('Dashboard And Emails Automate'!$G4526,Database!$H:$N,5,0)),"")</f>
        <v/>
      </c>
      <c r="L4526" s="55" t="str">
        <f>IFERROR(IF($G4526="","",VLOOKUP('Dashboard And Emails Automate'!$G4526,Database!$H:$N,6,0)),"")</f>
        <v/>
      </c>
      <c r="M4526" s="55" t="str">
        <f>IFERROR(IF($G4526="","",VLOOKUP('Dashboard And Emails Automate'!$G4526,Database!$H:$N,7,0)),"")</f>
        <v/>
      </c>
      <c r="N4526" s="55" t="str">
        <f>IFERROR(IF(OR($B4526="",$B4526="(blank)"),"",VLOOKUP($B4526,'Email Marketing Raw Data'!$C:$O,6,0)),"")</f>
        <v/>
      </c>
      <c r="O4526" s="55" t="str">
        <f>IFERROR(IF(OR($B4526="",$B4526="(blank)"),"",VLOOKUP($B4526,'Email Marketing Raw Data'!$C:$O,7,0)),"")</f>
        <v/>
      </c>
      <c r="P4526" s="55" t="str">
        <f>IFERROR(IF(OR($B4526="",$B4526="(blank)"),"",VLOOKUP($B4526,'Email Marketing Raw Data'!$C:$O,8,0)),"")</f>
        <v/>
      </c>
      <c r="Q4526" s="62" t="str">
        <f>IFERROR(IF(OR($B4526="",$B4526="(blank)"),"",VLOOKUP($B4526,'Email Marketing Raw Data'!$C:$O,9,0)),"")</f>
        <v/>
      </c>
    </row>
    <row r="4527" spans="4:17" ht="12.75" customHeight="1" x14ac:dyDescent="0.2">
      <c r="D4527" s="58" t="str">
        <f>IFERROR(IF(F4527&lt;&gt;"pending","",IF(OR($B4527="",$B4527="(blank)"),"",VLOOKUP($B4527,'Email Marketing Raw Data'!$C:$O,10,0))),"")</f>
        <v/>
      </c>
      <c r="E4527" s="59" t="str">
        <f>IFERROR(IF(F4527&lt;&gt;"pending","",IF(OR($B4527="",$B4527="(blank)"),"",VLOOKUP($B4527,'Email Marketing Raw Data'!$C:$O,11,0))),"")</f>
        <v/>
      </c>
      <c r="F4527" s="54" t="str">
        <f>IFERROR(IF(OR($B4527="",$B4527="(blank)"),"",VLOOKUP($B4527,'Email Marketing Raw Data'!$C:$O,13,0)),"")</f>
        <v/>
      </c>
      <c r="G4527" s="55" t="str">
        <f>IFERROR(IF(OR($B4527="",$B4527="(blank)"),"",VLOOKUP($B4527,'Email Marketing Raw Data'!$C:$O,4,0)),"")</f>
        <v/>
      </c>
      <c r="H4527" s="55" t="str">
        <f>IFERROR(IF(OR($B4527="",$B4527="(blank)"),"",VLOOKUP($B4527,'Email Marketing Raw Data'!$C:$O,5,0)),"")</f>
        <v/>
      </c>
      <c r="I4527" s="55" t="str">
        <f>IFERROR(IF($G4527="","",VLOOKUP('Dashboard And Emails Automate'!$G4527,Database!$H:$N,3,0)),"")</f>
        <v/>
      </c>
      <c r="J4527" s="55" t="str">
        <f>IFERROR(IF($G4527="","",VLOOKUP('Dashboard And Emails Automate'!$G4527,Database!$H:$N,4,0)),"")</f>
        <v/>
      </c>
      <c r="K4527" s="55" t="str">
        <f>IFERROR(IF($G4527="","",VLOOKUP('Dashboard And Emails Automate'!$G4527,Database!$H:$N,5,0)),"")</f>
        <v/>
      </c>
      <c r="L4527" s="55" t="str">
        <f>IFERROR(IF($G4527="","",VLOOKUP('Dashboard And Emails Automate'!$G4527,Database!$H:$N,6,0)),"")</f>
        <v/>
      </c>
      <c r="M4527" s="55" t="str">
        <f>IFERROR(IF($G4527="","",VLOOKUP('Dashboard And Emails Automate'!$G4527,Database!$H:$N,7,0)),"")</f>
        <v/>
      </c>
      <c r="N4527" s="55" t="str">
        <f>IFERROR(IF(OR($B4527="",$B4527="(blank)"),"",VLOOKUP($B4527,'Email Marketing Raw Data'!$C:$O,6,0)),"")</f>
        <v/>
      </c>
      <c r="O4527" s="55" t="str">
        <f>IFERROR(IF(OR($B4527="",$B4527="(blank)"),"",VLOOKUP($B4527,'Email Marketing Raw Data'!$C:$O,7,0)),"")</f>
        <v/>
      </c>
      <c r="P4527" s="55" t="str">
        <f>IFERROR(IF(OR($B4527="",$B4527="(blank)"),"",VLOOKUP($B4527,'Email Marketing Raw Data'!$C:$O,8,0)),"")</f>
        <v/>
      </c>
      <c r="Q4527" s="62" t="str">
        <f>IFERROR(IF(OR($B4527="",$B4527="(blank)"),"",VLOOKUP($B4527,'Email Marketing Raw Data'!$C:$O,9,0)),"")</f>
        <v/>
      </c>
    </row>
    <row r="4528" spans="4:17" ht="12.75" customHeight="1" x14ac:dyDescent="0.2">
      <c r="D4528" s="58" t="str">
        <f>IFERROR(IF(F4528&lt;&gt;"pending","",IF(OR($B4528="",$B4528="(blank)"),"",VLOOKUP($B4528,'Email Marketing Raw Data'!$C:$O,10,0))),"")</f>
        <v/>
      </c>
      <c r="E4528" s="59" t="str">
        <f>IFERROR(IF(F4528&lt;&gt;"pending","",IF(OR($B4528="",$B4528="(blank)"),"",VLOOKUP($B4528,'Email Marketing Raw Data'!$C:$O,11,0))),"")</f>
        <v/>
      </c>
      <c r="F4528" s="54" t="str">
        <f>IFERROR(IF(OR($B4528="",$B4528="(blank)"),"",VLOOKUP($B4528,'Email Marketing Raw Data'!$C:$O,13,0)),"")</f>
        <v/>
      </c>
      <c r="G4528" s="55" t="str">
        <f>IFERROR(IF(OR($B4528="",$B4528="(blank)"),"",VLOOKUP($B4528,'Email Marketing Raw Data'!$C:$O,4,0)),"")</f>
        <v/>
      </c>
      <c r="H4528" s="55" t="str">
        <f>IFERROR(IF(OR($B4528="",$B4528="(blank)"),"",VLOOKUP($B4528,'Email Marketing Raw Data'!$C:$O,5,0)),"")</f>
        <v/>
      </c>
      <c r="I4528" s="55" t="str">
        <f>IFERROR(IF($G4528="","",VLOOKUP('Dashboard And Emails Automate'!$G4528,Database!$H:$N,3,0)),"")</f>
        <v/>
      </c>
      <c r="J4528" s="55" t="str">
        <f>IFERROR(IF($G4528="","",VLOOKUP('Dashboard And Emails Automate'!$G4528,Database!$H:$N,4,0)),"")</f>
        <v/>
      </c>
      <c r="K4528" s="55" t="str">
        <f>IFERROR(IF($G4528="","",VLOOKUP('Dashboard And Emails Automate'!$G4528,Database!$H:$N,5,0)),"")</f>
        <v/>
      </c>
      <c r="L4528" s="55" t="str">
        <f>IFERROR(IF($G4528="","",VLOOKUP('Dashboard And Emails Automate'!$G4528,Database!$H:$N,6,0)),"")</f>
        <v/>
      </c>
      <c r="M4528" s="55" t="str">
        <f>IFERROR(IF($G4528="","",VLOOKUP('Dashboard And Emails Automate'!$G4528,Database!$H:$N,7,0)),"")</f>
        <v/>
      </c>
      <c r="N4528" s="55" t="str">
        <f>IFERROR(IF(OR($B4528="",$B4528="(blank)"),"",VLOOKUP($B4528,'Email Marketing Raw Data'!$C:$O,6,0)),"")</f>
        <v/>
      </c>
      <c r="O4528" s="55" t="str">
        <f>IFERROR(IF(OR($B4528="",$B4528="(blank)"),"",VLOOKUP($B4528,'Email Marketing Raw Data'!$C:$O,7,0)),"")</f>
        <v/>
      </c>
      <c r="P4528" s="55" t="str">
        <f>IFERROR(IF(OR($B4528="",$B4528="(blank)"),"",VLOOKUP($B4528,'Email Marketing Raw Data'!$C:$O,8,0)),"")</f>
        <v/>
      </c>
      <c r="Q4528" s="62" t="str">
        <f>IFERROR(IF(OR($B4528="",$B4528="(blank)"),"",VLOOKUP($B4528,'Email Marketing Raw Data'!$C:$O,9,0)),"")</f>
        <v/>
      </c>
    </row>
    <row r="4529" spans="4:17" ht="12.75" customHeight="1" x14ac:dyDescent="0.2">
      <c r="D4529" s="58" t="str">
        <f>IFERROR(IF(F4529&lt;&gt;"pending","",IF(OR($B4529="",$B4529="(blank)"),"",VLOOKUP($B4529,'Email Marketing Raw Data'!$C:$O,10,0))),"")</f>
        <v/>
      </c>
      <c r="E4529" s="59" t="str">
        <f>IFERROR(IF(F4529&lt;&gt;"pending","",IF(OR($B4529="",$B4529="(blank)"),"",VLOOKUP($B4529,'Email Marketing Raw Data'!$C:$O,11,0))),"")</f>
        <v/>
      </c>
      <c r="F4529" s="54" t="str">
        <f>IFERROR(IF(OR($B4529="",$B4529="(blank)"),"",VLOOKUP($B4529,'Email Marketing Raw Data'!$C:$O,13,0)),"")</f>
        <v/>
      </c>
      <c r="G4529" s="55" t="str">
        <f>IFERROR(IF(OR($B4529="",$B4529="(blank)"),"",VLOOKUP($B4529,'Email Marketing Raw Data'!$C:$O,4,0)),"")</f>
        <v/>
      </c>
      <c r="H4529" s="55" t="str">
        <f>IFERROR(IF(OR($B4529="",$B4529="(blank)"),"",VLOOKUP($B4529,'Email Marketing Raw Data'!$C:$O,5,0)),"")</f>
        <v/>
      </c>
      <c r="I4529" s="55" t="str">
        <f>IFERROR(IF($G4529="","",VLOOKUP('Dashboard And Emails Automate'!$G4529,Database!$H:$N,3,0)),"")</f>
        <v/>
      </c>
      <c r="J4529" s="55" t="str">
        <f>IFERROR(IF($G4529="","",VLOOKUP('Dashboard And Emails Automate'!$G4529,Database!$H:$N,4,0)),"")</f>
        <v/>
      </c>
      <c r="K4529" s="55" t="str">
        <f>IFERROR(IF($G4529="","",VLOOKUP('Dashboard And Emails Automate'!$G4529,Database!$H:$N,5,0)),"")</f>
        <v/>
      </c>
      <c r="L4529" s="55" t="str">
        <f>IFERROR(IF($G4529="","",VLOOKUP('Dashboard And Emails Automate'!$G4529,Database!$H:$N,6,0)),"")</f>
        <v/>
      </c>
      <c r="M4529" s="55" t="str">
        <f>IFERROR(IF($G4529="","",VLOOKUP('Dashboard And Emails Automate'!$G4529,Database!$H:$N,7,0)),"")</f>
        <v/>
      </c>
      <c r="N4529" s="55" t="str">
        <f>IFERROR(IF(OR($B4529="",$B4529="(blank)"),"",VLOOKUP($B4529,'Email Marketing Raw Data'!$C:$O,6,0)),"")</f>
        <v/>
      </c>
      <c r="O4529" s="55" t="str">
        <f>IFERROR(IF(OR($B4529="",$B4529="(blank)"),"",VLOOKUP($B4529,'Email Marketing Raw Data'!$C:$O,7,0)),"")</f>
        <v/>
      </c>
      <c r="P4529" s="55" t="str">
        <f>IFERROR(IF(OR($B4529="",$B4529="(blank)"),"",VLOOKUP($B4529,'Email Marketing Raw Data'!$C:$O,8,0)),"")</f>
        <v/>
      </c>
      <c r="Q4529" s="62" t="str">
        <f>IFERROR(IF(OR($B4529="",$B4529="(blank)"),"",VLOOKUP($B4529,'Email Marketing Raw Data'!$C:$O,9,0)),"")</f>
        <v/>
      </c>
    </row>
    <row r="4530" spans="4:17" ht="12.75" customHeight="1" x14ac:dyDescent="0.2">
      <c r="D4530" s="58" t="str">
        <f>IFERROR(IF(F4530&lt;&gt;"pending","",IF(OR($B4530="",$B4530="(blank)"),"",VLOOKUP($B4530,'Email Marketing Raw Data'!$C:$O,10,0))),"")</f>
        <v/>
      </c>
      <c r="E4530" s="59" t="str">
        <f>IFERROR(IF(F4530&lt;&gt;"pending","",IF(OR($B4530="",$B4530="(blank)"),"",VLOOKUP($B4530,'Email Marketing Raw Data'!$C:$O,11,0))),"")</f>
        <v/>
      </c>
      <c r="F4530" s="54" t="str">
        <f>IFERROR(IF(OR($B4530="",$B4530="(blank)"),"",VLOOKUP($B4530,'Email Marketing Raw Data'!$C:$O,13,0)),"")</f>
        <v/>
      </c>
      <c r="G4530" s="55" t="str">
        <f>IFERROR(IF(OR($B4530="",$B4530="(blank)"),"",VLOOKUP($B4530,'Email Marketing Raw Data'!$C:$O,4,0)),"")</f>
        <v/>
      </c>
      <c r="H4530" s="55" t="str">
        <f>IFERROR(IF(OR($B4530="",$B4530="(blank)"),"",VLOOKUP($B4530,'Email Marketing Raw Data'!$C:$O,5,0)),"")</f>
        <v/>
      </c>
      <c r="I4530" s="55" t="str">
        <f>IFERROR(IF($G4530="","",VLOOKUP('Dashboard And Emails Automate'!$G4530,Database!$H:$N,3,0)),"")</f>
        <v/>
      </c>
      <c r="J4530" s="55" t="str">
        <f>IFERROR(IF($G4530="","",VLOOKUP('Dashboard And Emails Automate'!$G4530,Database!$H:$N,4,0)),"")</f>
        <v/>
      </c>
      <c r="K4530" s="55" t="str">
        <f>IFERROR(IF($G4530="","",VLOOKUP('Dashboard And Emails Automate'!$G4530,Database!$H:$N,5,0)),"")</f>
        <v/>
      </c>
      <c r="L4530" s="55" t="str">
        <f>IFERROR(IF($G4530="","",VLOOKUP('Dashboard And Emails Automate'!$G4530,Database!$H:$N,6,0)),"")</f>
        <v/>
      </c>
      <c r="M4530" s="55" t="str">
        <f>IFERROR(IF($G4530="","",VLOOKUP('Dashboard And Emails Automate'!$G4530,Database!$H:$N,7,0)),"")</f>
        <v/>
      </c>
      <c r="N4530" s="55" t="str">
        <f>IFERROR(IF(OR($B4530="",$B4530="(blank)"),"",VLOOKUP($B4530,'Email Marketing Raw Data'!$C:$O,6,0)),"")</f>
        <v/>
      </c>
      <c r="O4530" s="55" t="str">
        <f>IFERROR(IF(OR($B4530="",$B4530="(blank)"),"",VLOOKUP($B4530,'Email Marketing Raw Data'!$C:$O,7,0)),"")</f>
        <v/>
      </c>
      <c r="P4530" s="55" t="str">
        <f>IFERROR(IF(OR($B4530="",$B4530="(blank)"),"",VLOOKUP($B4530,'Email Marketing Raw Data'!$C:$O,8,0)),"")</f>
        <v/>
      </c>
      <c r="Q4530" s="62" t="str">
        <f>IFERROR(IF(OR($B4530="",$B4530="(blank)"),"",VLOOKUP($B4530,'Email Marketing Raw Data'!$C:$O,9,0)),"")</f>
        <v/>
      </c>
    </row>
    <row r="4531" spans="4:17" ht="12.75" customHeight="1" x14ac:dyDescent="0.2">
      <c r="D4531" s="58" t="str">
        <f>IFERROR(IF(F4531&lt;&gt;"pending","",IF(OR($B4531="",$B4531="(blank)"),"",VLOOKUP($B4531,'Email Marketing Raw Data'!$C:$O,10,0))),"")</f>
        <v/>
      </c>
      <c r="E4531" s="59" t="str">
        <f>IFERROR(IF(F4531&lt;&gt;"pending","",IF(OR($B4531="",$B4531="(blank)"),"",VLOOKUP($B4531,'Email Marketing Raw Data'!$C:$O,11,0))),"")</f>
        <v/>
      </c>
      <c r="F4531" s="54" t="str">
        <f>IFERROR(IF(OR($B4531="",$B4531="(blank)"),"",VLOOKUP($B4531,'Email Marketing Raw Data'!$C:$O,13,0)),"")</f>
        <v/>
      </c>
      <c r="G4531" s="55" t="str">
        <f>IFERROR(IF(OR($B4531="",$B4531="(blank)"),"",VLOOKUP($B4531,'Email Marketing Raw Data'!$C:$O,4,0)),"")</f>
        <v/>
      </c>
      <c r="H4531" s="55" t="str">
        <f>IFERROR(IF(OR($B4531="",$B4531="(blank)"),"",VLOOKUP($B4531,'Email Marketing Raw Data'!$C:$O,5,0)),"")</f>
        <v/>
      </c>
      <c r="I4531" s="55" t="str">
        <f>IFERROR(IF($G4531="","",VLOOKUP('Dashboard And Emails Automate'!$G4531,Database!$H:$N,3,0)),"")</f>
        <v/>
      </c>
      <c r="J4531" s="55" t="str">
        <f>IFERROR(IF($G4531="","",VLOOKUP('Dashboard And Emails Automate'!$G4531,Database!$H:$N,4,0)),"")</f>
        <v/>
      </c>
      <c r="K4531" s="55" t="str">
        <f>IFERROR(IF($G4531="","",VLOOKUP('Dashboard And Emails Automate'!$G4531,Database!$H:$N,5,0)),"")</f>
        <v/>
      </c>
      <c r="L4531" s="55" t="str">
        <f>IFERROR(IF($G4531="","",VLOOKUP('Dashboard And Emails Automate'!$G4531,Database!$H:$N,6,0)),"")</f>
        <v/>
      </c>
      <c r="M4531" s="55" t="str">
        <f>IFERROR(IF($G4531="","",VLOOKUP('Dashboard And Emails Automate'!$G4531,Database!$H:$N,7,0)),"")</f>
        <v/>
      </c>
      <c r="N4531" s="55" t="str">
        <f>IFERROR(IF(OR($B4531="",$B4531="(blank)"),"",VLOOKUP($B4531,'Email Marketing Raw Data'!$C:$O,6,0)),"")</f>
        <v/>
      </c>
      <c r="O4531" s="55" t="str">
        <f>IFERROR(IF(OR($B4531="",$B4531="(blank)"),"",VLOOKUP($B4531,'Email Marketing Raw Data'!$C:$O,7,0)),"")</f>
        <v/>
      </c>
      <c r="P4531" s="55" t="str">
        <f>IFERROR(IF(OR($B4531="",$B4531="(blank)"),"",VLOOKUP($B4531,'Email Marketing Raw Data'!$C:$O,8,0)),"")</f>
        <v/>
      </c>
      <c r="Q4531" s="62" t="str">
        <f>IFERROR(IF(OR($B4531="",$B4531="(blank)"),"",VLOOKUP($B4531,'Email Marketing Raw Data'!$C:$O,9,0)),"")</f>
        <v/>
      </c>
    </row>
    <row r="4532" spans="4:17" ht="12.75" customHeight="1" x14ac:dyDescent="0.2">
      <c r="D4532" s="58" t="str">
        <f>IFERROR(IF(F4532&lt;&gt;"pending","",IF(OR($B4532="",$B4532="(blank)"),"",VLOOKUP($B4532,'Email Marketing Raw Data'!$C:$O,10,0))),"")</f>
        <v/>
      </c>
      <c r="E4532" s="59" t="str">
        <f>IFERROR(IF(F4532&lt;&gt;"pending","",IF(OR($B4532="",$B4532="(blank)"),"",VLOOKUP($B4532,'Email Marketing Raw Data'!$C:$O,11,0))),"")</f>
        <v/>
      </c>
      <c r="F4532" s="54" t="str">
        <f>IFERROR(IF(OR($B4532="",$B4532="(blank)"),"",VLOOKUP($B4532,'Email Marketing Raw Data'!$C:$O,13,0)),"")</f>
        <v/>
      </c>
      <c r="G4532" s="55" t="str">
        <f>IFERROR(IF(OR($B4532="",$B4532="(blank)"),"",VLOOKUP($B4532,'Email Marketing Raw Data'!$C:$O,4,0)),"")</f>
        <v/>
      </c>
      <c r="H4532" s="55" t="str">
        <f>IFERROR(IF(OR($B4532="",$B4532="(blank)"),"",VLOOKUP($B4532,'Email Marketing Raw Data'!$C:$O,5,0)),"")</f>
        <v/>
      </c>
      <c r="I4532" s="55" t="str">
        <f>IFERROR(IF($G4532="","",VLOOKUP('Dashboard And Emails Automate'!$G4532,Database!$H:$N,3,0)),"")</f>
        <v/>
      </c>
      <c r="J4532" s="55" t="str">
        <f>IFERROR(IF($G4532="","",VLOOKUP('Dashboard And Emails Automate'!$G4532,Database!$H:$N,4,0)),"")</f>
        <v/>
      </c>
      <c r="K4532" s="55" t="str">
        <f>IFERROR(IF($G4532="","",VLOOKUP('Dashboard And Emails Automate'!$G4532,Database!$H:$N,5,0)),"")</f>
        <v/>
      </c>
      <c r="L4532" s="55" t="str">
        <f>IFERROR(IF($G4532="","",VLOOKUP('Dashboard And Emails Automate'!$G4532,Database!$H:$N,6,0)),"")</f>
        <v/>
      </c>
      <c r="M4532" s="55" t="str">
        <f>IFERROR(IF($G4532="","",VLOOKUP('Dashboard And Emails Automate'!$G4532,Database!$H:$N,7,0)),"")</f>
        <v/>
      </c>
      <c r="N4532" s="55" t="str">
        <f>IFERROR(IF(OR($B4532="",$B4532="(blank)"),"",VLOOKUP($B4532,'Email Marketing Raw Data'!$C:$O,6,0)),"")</f>
        <v/>
      </c>
      <c r="O4532" s="55" t="str">
        <f>IFERROR(IF(OR($B4532="",$B4532="(blank)"),"",VLOOKUP($B4532,'Email Marketing Raw Data'!$C:$O,7,0)),"")</f>
        <v/>
      </c>
      <c r="P4532" s="55" t="str">
        <f>IFERROR(IF(OR($B4532="",$B4532="(blank)"),"",VLOOKUP($B4532,'Email Marketing Raw Data'!$C:$O,8,0)),"")</f>
        <v/>
      </c>
      <c r="Q4532" s="62" t="str">
        <f>IFERROR(IF(OR($B4532="",$B4532="(blank)"),"",VLOOKUP($B4532,'Email Marketing Raw Data'!$C:$O,9,0)),"")</f>
        <v/>
      </c>
    </row>
    <row r="4533" spans="4:17" ht="12.75" customHeight="1" x14ac:dyDescent="0.2">
      <c r="D4533" s="58" t="str">
        <f>IFERROR(IF(F4533&lt;&gt;"pending","",IF(OR($B4533="",$B4533="(blank)"),"",VLOOKUP($B4533,'Email Marketing Raw Data'!$C:$O,10,0))),"")</f>
        <v/>
      </c>
      <c r="E4533" s="59" t="str">
        <f>IFERROR(IF(F4533&lt;&gt;"pending","",IF(OR($B4533="",$B4533="(blank)"),"",VLOOKUP($B4533,'Email Marketing Raw Data'!$C:$O,11,0))),"")</f>
        <v/>
      </c>
      <c r="F4533" s="54" t="str">
        <f>IFERROR(IF(OR($B4533="",$B4533="(blank)"),"",VLOOKUP($B4533,'Email Marketing Raw Data'!$C:$O,13,0)),"")</f>
        <v/>
      </c>
      <c r="G4533" s="55" t="str">
        <f>IFERROR(IF(OR($B4533="",$B4533="(blank)"),"",VLOOKUP($B4533,'Email Marketing Raw Data'!$C:$O,4,0)),"")</f>
        <v/>
      </c>
      <c r="H4533" s="55" t="str">
        <f>IFERROR(IF(OR($B4533="",$B4533="(blank)"),"",VLOOKUP($B4533,'Email Marketing Raw Data'!$C:$O,5,0)),"")</f>
        <v/>
      </c>
      <c r="I4533" s="55" t="str">
        <f>IFERROR(IF($G4533="","",VLOOKUP('Dashboard And Emails Automate'!$G4533,Database!$H:$N,3,0)),"")</f>
        <v/>
      </c>
      <c r="J4533" s="55" t="str">
        <f>IFERROR(IF($G4533="","",VLOOKUP('Dashboard And Emails Automate'!$G4533,Database!$H:$N,4,0)),"")</f>
        <v/>
      </c>
      <c r="K4533" s="55" t="str">
        <f>IFERROR(IF($G4533="","",VLOOKUP('Dashboard And Emails Automate'!$G4533,Database!$H:$N,5,0)),"")</f>
        <v/>
      </c>
      <c r="L4533" s="55" t="str">
        <f>IFERROR(IF($G4533="","",VLOOKUP('Dashboard And Emails Automate'!$G4533,Database!$H:$N,6,0)),"")</f>
        <v/>
      </c>
      <c r="M4533" s="55" t="str">
        <f>IFERROR(IF($G4533="","",VLOOKUP('Dashboard And Emails Automate'!$G4533,Database!$H:$N,7,0)),"")</f>
        <v/>
      </c>
      <c r="N4533" s="55" t="str">
        <f>IFERROR(IF(OR($B4533="",$B4533="(blank)"),"",VLOOKUP($B4533,'Email Marketing Raw Data'!$C:$O,6,0)),"")</f>
        <v/>
      </c>
      <c r="O4533" s="55" t="str">
        <f>IFERROR(IF(OR($B4533="",$B4533="(blank)"),"",VLOOKUP($B4533,'Email Marketing Raw Data'!$C:$O,7,0)),"")</f>
        <v/>
      </c>
      <c r="P4533" s="55" t="str">
        <f>IFERROR(IF(OR($B4533="",$B4533="(blank)"),"",VLOOKUP($B4533,'Email Marketing Raw Data'!$C:$O,8,0)),"")</f>
        <v/>
      </c>
      <c r="Q4533" s="62" t="str">
        <f>IFERROR(IF(OR($B4533="",$B4533="(blank)"),"",VLOOKUP($B4533,'Email Marketing Raw Data'!$C:$O,9,0)),"")</f>
        <v/>
      </c>
    </row>
    <row r="4534" spans="4:17" ht="12.75" customHeight="1" x14ac:dyDescent="0.2">
      <c r="D4534" s="58" t="str">
        <f>IFERROR(IF(F4534&lt;&gt;"pending","",IF(OR($B4534="",$B4534="(blank)"),"",VLOOKUP($B4534,'Email Marketing Raw Data'!$C:$O,10,0))),"")</f>
        <v/>
      </c>
      <c r="E4534" s="59" t="str">
        <f>IFERROR(IF(F4534&lt;&gt;"pending","",IF(OR($B4534="",$B4534="(blank)"),"",VLOOKUP($B4534,'Email Marketing Raw Data'!$C:$O,11,0))),"")</f>
        <v/>
      </c>
      <c r="F4534" s="54" t="str">
        <f>IFERROR(IF(OR($B4534="",$B4534="(blank)"),"",VLOOKUP($B4534,'Email Marketing Raw Data'!$C:$O,13,0)),"")</f>
        <v/>
      </c>
      <c r="G4534" s="55" t="str">
        <f>IFERROR(IF(OR($B4534="",$B4534="(blank)"),"",VLOOKUP($B4534,'Email Marketing Raw Data'!$C:$O,4,0)),"")</f>
        <v/>
      </c>
      <c r="H4534" s="55" t="str">
        <f>IFERROR(IF(OR($B4534="",$B4534="(blank)"),"",VLOOKUP($B4534,'Email Marketing Raw Data'!$C:$O,5,0)),"")</f>
        <v/>
      </c>
      <c r="I4534" s="55" t="str">
        <f>IFERROR(IF($G4534="","",VLOOKUP('Dashboard And Emails Automate'!$G4534,Database!$H:$N,3,0)),"")</f>
        <v/>
      </c>
      <c r="J4534" s="55" t="str">
        <f>IFERROR(IF($G4534="","",VLOOKUP('Dashboard And Emails Automate'!$G4534,Database!$H:$N,4,0)),"")</f>
        <v/>
      </c>
      <c r="K4534" s="55" t="str">
        <f>IFERROR(IF($G4534="","",VLOOKUP('Dashboard And Emails Automate'!$G4534,Database!$H:$N,5,0)),"")</f>
        <v/>
      </c>
      <c r="L4534" s="55" t="str">
        <f>IFERROR(IF($G4534="","",VLOOKUP('Dashboard And Emails Automate'!$G4534,Database!$H:$N,6,0)),"")</f>
        <v/>
      </c>
      <c r="M4534" s="55" t="str">
        <f>IFERROR(IF($G4534="","",VLOOKUP('Dashboard And Emails Automate'!$G4534,Database!$H:$N,7,0)),"")</f>
        <v/>
      </c>
      <c r="N4534" s="55" t="str">
        <f>IFERROR(IF(OR($B4534="",$B4534="(blank)"),"",VLOOKUP($B4534,'Email Marketing Raw Data'!$C:$O,6,0)),"")</f>
        <v/>
      </c>
      <c r="O4534" s="55" t="str">
        <f>IFERROR(IF(OR($B4534="",$B4534="(blank)"),"",VLOOKUP($B4534,'Email Marketing Raw Data'!$C:$O,7,0)),"")</f>
        <v/>
      </c>
      <c r="P4534" s="55" t="str">
        <f>IFERROR(IF(OR($B4534="",$B4534="(blank)"),"",VLOOKUP($B4534,'Email Marketing Raw Data'!$C:$O,8,0)),"")</f>
        <v/>
      </c>
      <c r="Q4534" s="62" t="str">
        <f>IFERROR(IF(OR($B4534="",$B4534="(blank)"),"",VLOOKUP($B4534,'Email Marketing Raw Data'!$C:$O,9,0)),"")</f>
        <v/>
      </c>
    </row>
    <row r="4535" spans="4:17" ht="12.75" customHeight="1" x14ac:dyDescent="0.2">
      <c r="D4535" s="58" t="str">
        <f>IFERROR(IF(F4535&lt;&gt;"pending","",IF(OR($B4535="",$B4535="(blank)"),"",VLOOKUP($B4535,'Email Marketing Raw Data'!$C:$O,10,0))),"")</f>
        <v/>
      </c>
      <c r="E4535" s="59" t="str">
        <f>IFERROR(IF(F4535&lt;&gt;"pending","",IF(OR($B4535="",$B4535="(blank)"),"",VLOOKUP($B4535,'Email Marketing Raw Data'!$C:$O,11,0))),"")</f>
        <v/>
      </c>
      <c r="F4535" s="54" t="str">
        <f>IFERROR(IF(OR($B4535="",$B4535="(blank)"),"",VLOOKUP($B4535,'Email Marketing Raw Data'!$C:$O,13,0)),"")</f>
        <v/>
      </c>
      <c r="G4535" s="55" t="str">
        <f>IFERROR(IF(OR($B4535="",$B4535="(blank)"),"",VLOOKUP($B4535,'Email Marketing Raw Data'!$C:$O,4,0)),"")</f>
        <v/>
      </c>
      <c r="H4535" s="55" t="str">
        <f>IFERROR(IF(OR($B4535="",$B4535="(blank)"),"",VLOOKUP($B4535,'Email Marketing Raw Data'!$C:$O,5,0)),"")</f>
        <v/>
      </c>
      <c r="I4535" s="55" t="str">
        <f>IFERROR(IF($G4535="","",VLOOKUP('Dashboard And Emails Automate'!$G4535,Database!$H:$N,3,0)),"")</f>
        <v/>
      </c>
      <c r="J4535" s="55" t="str">
        <f>IFERROR(IF($G4535="","",VLOOKUP('Dashboard And Emails Automate'!$G4535,Database!$H:$N,4,0)),"")</f>
        <v/>
      </c>
      <c r="K4535" s="55" t="str">
        <f>IFERROR(IF($G4535="","",VLOOKUP('Dashboard And Emails Automate'!$G4535,Database!$H:$N,5,0)),"")</f>
        <v/>
      </c>
      <c r="L4535" s="55" t="str">
        <f>IFERROR(IF($G4535="","",VLOOKUP('Dashboard And Emails Automate'!$G4535,Database!$H:$N,6,0)),"")</f>
        <v/>
      </c>
      <c r="M4535" s="55" t="str">
        <f>IFERROR(IF($G4535="","",VLOOKUP('Dashboard And Emails Automate'!$G4535,Database!$H:$N,7,0)),"")</f>
        <v/>
      </c>
      <c r="N4535" s="55" t="str">
        <f>IFERROR(IF(OR($B4535="",$B4535="(blank)"),"",VLOOKUP($B4535,'Email Marketing Raw Data'!$C:$O,6,0)),"")</f>
        <v/>
      </c>
      <c r="O4535" s="55" t="str">
        <f>IFERROR(IF(OR($B4535="",$B4535="(blank)"),"",VLOOKUP($B4535,'Email Marketing Raw Data'!$C:$O,7,0)),"")</f>
        <v/>
      </c>
      <c r="P4535" s="55" t="str">
        <f>IFERROR(IF(OR($B4535="",$B4535="(blank)"),"",VLOOKUP($B4535,'Email Marketing Raw Data'!$C:$O,8,0)),"")</f>
        <v/>
      </c>
      <c r="Q4535" s="62" t="str">
        <f>IFERROR(IF(OR($B4535="",$B4535="(blank)"),"",VLOOKUP($B4535,'Email Marketing Raw Data'!$C:$O,9,0)),"")</f>
        <v/>
      </c>
    </row>
    <row r="4536" spans="4:17" ht="12.75" customHeight="1" x14ac:dyDescent="0.2">
      <c r="D4536" s="58" t="str">
        <f>IFERROR(IF(F4536&lt;&gt;"pending","",IF(OR($B4536="",$B4536="(blank)"),"",VLOOKUP($B4536,'Email Marketing Raw Data'!$C:$O,10,0))),"")</f>
        <v/>
      </c>
      <c r="E4536" s="59" t="str">
        <f>IFERROR(IF(F4536&lt;&gt;"pending","",IF(OR($B4536="",$B4536="(blank)"),"",VLOOKUP($B4536,'Email Marketing Raw Data'!$C:$O,11,0))),"")</f>
        <v/>
      </c>
      <c r="F4536" s="54" t="str">
        <f>IFERROR(IF(OR($B4536="",$B4536="(blank)"),"",VLOOKUP($B4536,'Email Marketing Raw Data'!$C:$O,13,0)),"")</f>
        <v/>
      </c>
      <c r="G4536" s="55" t="str">
        <f>IFERROR(IF(OR($B4536="",$B4536="(blank)"),"",VLOOKUP($B4536,'Email Marketing Raw Data'!$C:$O,4,0)),"")</f>
        <v/>
      </c>
      <c r="H4536" s="55" t="str">
        <f>IFERROR(IF(OR($B4536="",$B4536="(blank)"),"",VLOOKUP($B4536,'Email Marketing Raw Data'!$C:$O,5,0)),"")</f>
        <v/>
      </c>
      <c r="I4536" s="55" t="str">
        <f>IFERROR(IF($G4536="","",VLOOKUP('Dashboard And Emails Automate'!$G4536,Database!$H:$N,3,0)),"")</f>
        <v/>
      </c>
      <c r="J4536" s="55" t="str">
        <f>IFERROR(IF($G4536="","",VLOOKUP('Dashboard And Emails Automate'!$G4536,Database!$H:$N,4,0)),"")</f>
        <v/>
      </c>
      <c r="K4536" s="55" t="str">
        <f>IFERROR(IF($G4536="","",VLOOKUP('Dashboard And Emails Automate'!$G4536,Database!$H:$N,5,0)),"")</f>
        <v/>
      </c>
      <c r="L4536" s="55" t="str">
        <f>IFERROR(IF($G4536="","",VLOOKUP('Dashboard And Emails Automate'!$G4536,Database!$H:$N,6,0)),"")</f>
        <v/>
      </c>
      <c r="M4536" s="55" t="str">
        <f>IFERROR(IF($G4536="","",VLOOKUP('Dashboard And Emails Automate'!$G4536,Database!$H:$N,7,0)),"")</f>
        <v/>
      </c>
      <c r="N4536" s="55" t="str">
        <f>IFERROR(IF(OR($B4536="",$B4536="(blank)"),"",VLOOKUP($B4536,'Email Marketing Raw Data'!$C:$O,6,0)),"")</f>
        <v/>
      </c>
      <c r="O4536" s="55" t="str">
        <f>IFERROR(IF(OR($B4536="",$B4536="(blank)"),"",VLOOKUP($B4536,'Email Marketing Raw Data'!$C:$O,7,0)),"")</f>
        <v/>
      </c>
      <c r="P4536" s="55" t="str">
        <f>IFERROR(IF(OR($B4536="",$B4536="(blank)"),"",VLOOKUP($B4536,'Email Marketing Raw Data'!$C:$O,8,0)),"")</f>
        <v/>
      </c>
      <c r="Q4536" s="62" t="str">
        <f>IFERROR(IF(OR($B4536="",$B4536="(blank)"),"",VLOOKUP($B4536,'Email Marketing Raw Data'!$C:$O,9,0)),"")</f>
        <v/>
      </c>
    </row>
    <row r="4537" spans="4:17" ht="12.75" customHeight="1" x14ac:dyDescent="0.2">
      <c r="D4537" s="58" t="str">
        <f>IFERROR(IF(F4537&lt;&gt;"pending","",IF(OR($B4537="",$B4537="(blank)"),"",VLOOKUP($B4537,'Email Marketing Raw Data'!$C:$O,10,0))),"")</f>
        <v/>
      </c>
      <c r="E4537" s="59" t="str">
        <f>IFERROR(IF(F4537&lt;&gt;"pending","",IF(OR($B4537="",$B4537="(blank)"),"",VLOOKUP($B4537,'Email Marketing Raw Data'!$C:$O,11,0))),"")</f>
        <v/>
      </c>
      <c r="F4537" s="54" t="str">
        <f>IFERROR(IF(OR($B4537="",$B4537="(blank)"),"",VLOOKUP($B4537,'Email Marketing Raw Data'!$C:$O,13,0)),"")</f>
        <v/>
      </c>
      <c r="G4537" s="55" t="str">
        <f>IFERROR(IF(OR($B4537="",$B4537="(blank)"),"",VLOOKUP($B4537,'Email Marketing Raw Data'!$C:$O,4,0)),"")</f>
        <v/>
      </c>
      <c r="H4537" s="55" t="str">
        <f>IFERROR(IF(OR($B4537="",$B4537="(blank)"),"",VLOOKUP($B4537,'Email Marketing Raw Data'!$C:$O,5,0)),"")</f>
        <v/>
      </c>
      <c r="I4537" s="55" t="str">
        <f>IFERROR(IF($G4537="","",VLOOKUP('Dashboard And Emails Automate'!$G4537,Database!$H:$N,3,0)),"")</f>
        <v/>
      </c>
      <c r="J4537" s="55" t="str">
        <f>IFERROR(IF($G4537="","",VLOOKUP('Dashboard And Emails Automate'!$G4537,Database!$H:$N,4,0)),"")</f>
        <v/>
      </c>
      <c r="K4537" s="55" t="str">
        <f>IFERROR(IF($G4537="","",VLOOKUP('Dashboard And Emails Automate'!$G4537,Database!$H:$N,5,0)),"")</f>
        <v/>
      </c>
      <c r="L4537" s="55" t="str">
        <f>IFERROR(IF($G4537="","",VLOOKUP('Dashboard And Emails Automate'!$G4537,Database!$H:$N,6,0)),"")</f>
        <v/>
      </c>
      <c r="M4537" s="55" t="str">
        <f>IFERROR(IF($G4537="","",VLOOKUP('Dashboard And Emails Automate'!$G4537,Database!$H:$N,7,0)),"")</f>
        <v/>
      </c>
      <c r="N4537" s="55" t="str">
        <f>IFERROR(IF(OR($B4537="",$B4537="(blank)"),"",VLOOKUP($B4537,'Email Marketing Raw Data'!$C:$O,6,0)),"")</f>
        <v/>
      </c>
      <c r="O4537" s="55" t="str">
        <f>IFERROR(IF(OR($B4537="",$B4537="(blank)"),"",VLOOKUP($B4537,'Email Marketing Raw Data'!$C:$O,7,0)),"")</f>
        <v/>
      </c>
      <c r="P4537" s="55" t="str">
        <f>IFERROR(IF(OR($B4537="",$B4537="(blank)"),"",VLOOKUP($B4537,'Email Marketing Raw Data'!$C:$O,8,0)),"")</f>
        <v/>
      </c>
      <c r="Q4537" s="62" t="str">
        <f>IFERROR(IF(OR($B4537="",$B4537="(blank)"),"",VLOOKUP($B4537,'Email Marketing Raw Data'!$C:$O,9,0)),"")</f>
        <v/>
      </c>
    </row>
    <row r="4538" spans="4:17" ht="12.75" customHeight="1" x14ac:dyDescent="0.2">
      <c r="D4538" s="58" t="str">
        <f>IFERROR(IF(F4538&lt;&gt;"pending","",IF(OR($B4538="",$B4538="(blank)"),"",VLOOKUP($B4538,'Email Marketing Raw Data'!$C:$O,10,0))),"")</f>
        <v/>
      </c>
      <c r="E4538" s="59" t="str">
        <f>IFERROR(IF(F4538&lt;&gt;"pending","",IF(OR($B4538="",$B4538="(blank)"),"",VLOOKUP($B4538,'Email Marketing Raw Data'!$C:$O,11,0))),"")</f>
        <v/>
      </c>
      <c r="F4538" s="54" t="str">
        <f>IFERROR(IF(OR($B4538="",$B4538="(blank)"),"",VLOOKUP($B4538,'Email Marketing Raw Data'!$C:$O,13,0)),"")</f>
        <v/>
      </c>
      <c r="G4538" s="55" t="str">
        <f>IFERROR(IF(OR($B4538="",$B4538="(blank)"),"",VLOOKUP($B4538,'Email Marketing Raw Data'!$C:$O,4,0)),"")</f>
        <v/>
      </c>
      <c r="H4538" s="55" t="str">
        <f>IFERROR(IF(OR($B4538="",$B4538="(blank)"),"",VLOOKUP($B4538,'Email Marketing Raw Data'!$C:$O,5,0)),"")</f>
        <v/>
      </c>
      <c r="I4538" s="55" t="str">
        <f>IFERROR(IF($G4538="","",VLOOKUP('Dashboard And Emails Automate'!$G4538,Database!$H:$N,3,0)),"")</f>
        <v/>
      </c>
      <c r="J4538" s="55" t="str">
        <f>IFERROR(IF($G4538="","",VLOOKUP('Dashboard And Emails Automate'!$G4538,Database!$H:$N,4,0)),"")</f>
        <v/>
      </c>
      <c r="K4538" s="55" t="str">
        <f>IFERROR(IF($G4538="","",VLOOKUP('Dashboard And Emails Automate'!$G4538,Database!$H:$N,5,0)),"")</f>
        <v/>
      </c>
      <c r="L4538" s="55" t="str">
        <f>IFERROR(IF($G4538="","",VLOOKUP('Dashboard And Emails Automate'!$G4538,Database!$H:$N,6,0)),"")</f>
        <v/>
      </c>
      <c r="M4538" s="55" t="str">
        <f>IFERROR(IF($G4538="","",VLOOKUP('Dashboard And Emails Automate'!$G4538,Database!$H:$N,7,0)),"")</f>
        <v/>
      </c>
      <c r="N4538" s="55" t="str">
        <f>IFERROR(IF(OR($B4538="",$B4538="(blank)"),"",VLOOKUP($B4538,'Email Marketing Raw Data'!$C:$O,6,0)),"")</f>
        <v/>
      </c>
      <c r="O4538" s="55" t="str">
        <f>IFERROR(IF(OR($B4538="",$B4538="(blank)"),"",VLOOKUP($B4538,'Email Marketing Raw Data'!$C:$O,7,0)),"")</f>
        <v/>
      </c>
      <c r="P4538" s="55" t="str">
        <f>IFERROR(IF(OR($B4538="",$B4538="(blank)"),"",VLOOKUP($B4538,'Email Marketing Raw Data'!$C:$O,8,0)),"")</f>
        <v/>
      </c>
      <c r="Q4538" s="62" t="str">
        <f>IFERROR(IF(OR($B4538="",$B4538="(blank)"),"",VLOOKUP($B4538,'Email Marketing Raw Data'!$C:$O,9,0)),"")</f>
        <v/>
      </c>
    </row>
    <row r="4539" spans="4:17" ht="12.75" customHeight="1" x14ac:dyDescent="0.2">
      <c r="D4539" s="58" t="str">
        <f>IFERROR(IF(F4539&lt;&gt;"pending","",IF(OR($B4539="",$B4539="(blank)"),"",VLOOKUP($B4539,'Email Marketing Raw Data'!$C:$O,10,0))),"")</f>
        <v/>
      </c>
      <c r="E4539" s="59" t="str">
        <f>IFERROR(IF(F4539&lt;&gt;"pending","",IF(OR($B4539="",$B4539="(blank)"),"",VLOOKUP($B4539,'Email Marketing Raw Data'!$C:$O,11,0))),"")</f>
        <v/>
      </c>
      <c r="F4539" s="54" t="str">
        <f>IFERROR(IF(OR($B4539="",$B4539="(blank)"),"",VLOOKUP($B4539,'Email Marketing Raw Data'!$C:$O,13,0)),"")</f>
        <v/>
      </c>
      <c r="G4539" s="55" t="str">
        <f>IFERROR(IF(OR($B4539="",$B4539="(blank)"),"",VLOOKUP($B4539,'Email Marketing Raw Data'!$C:$O,4,0)),"")</f>
        <v/>
      </c>
      <c r="H4539" s="55" t="str">
        <f>IFERROR(IF(OR($B4539="",$B4539="(blank)"),"",VLOOKUP($B4539,'Email Marketing Raw Data'!$C:$O,5,0)),"")</f>
        <v/>
      </c>
      <c r="I4539" s="55" t="str">
        <f>IFERROR(IF($G4539="","",VLOOKUP('Dashboard And Emails Automate'!$G4539,Database!$H:$N,3,0)),"")</f>
        <v/>
      </c>
      <c r="J4539" s="55" t="str">
        <f>IFERROR(IF($G4539="","",VLOOKUP('Dashboard And Emails Automate'!$G4539,Database!$H:$N,4,0)),"")</f>
        <v/>
      </c>
      <c r="K4539" s="55" t="str">
        <f>IFERROR(IF($G4539="","",VLOOKUP('Dashboard And Emails Automate'!$G4539,Database!$H:$N,5,0)),"")</f>
        <v/>
      </c>
      <c r="L4539" s="55" t="str">
        <f>IFERROR(IF($G4539="","",VLOOKUP('Dashboard And Emails Automate'!$G4539,Database!$H:$N,6,0)),"")</f>
        <v/>
      </c>
      <c r="M4539" s="55" t="str">
        <f>IFERROR(IF($G4539="","",VLOOKUP('Dashboard And Emails Automate'!$G4539,Database!$H:$N,7,0)),"")</f>
        <v/>
      </c>
      <c r="N4539" s="55" t="str">
        <f>IFERROR(IF(OR($B4539="",$B4539="(blank)"),"",VLOOKUP($B4539,'Email Marketing Raw Data'!$C:$O,6,0)),"")</f>
        <v/>
      </c>
      <c r="O4539" s="55" t="str">
        <f>IFERROR(IF(OR($B4539="",$B4539="(blank)"),"",VLOOKUP($B4539,'Email Marketing Raw Data'!$C:$O,7,0)),"")</f>
        <v/>
      </c>
      <c r="P4539" s="55" t="str">
        <f>IFERROR(IF(OR($B4539="",$B4539="(blank)"),"",VLOOKUP($B4539,'Email Marketing Raw Data'!$C:$O,8,0)),"")</f>
        <v/>
      </c>
      <c r="Q4539" s="62" t="str">
        <f>IFERROR(IF(OR($B4539="",$B4539="(blank)"),"",VLOOKUP($B4539,'Email Marketing Raw Data'!$C:$O,9,0)),"")</f>
        <v/>
      </c>
    </row>
    <row r="4540" spans="4:17" ht="12.75" customHeight="1" x14ac:dyDescent="0.2">
      <c r="D4540" s="58" t="str">
        <f>IFERROR(IF(F4540&lt;&gt;"pending","",IF(OR($B4540="",$B4540="(blank)"),"",VLOOKUP($B4540,'Email Marketing Raw Data'!$C:$O,10,0))),"")</f>
        <v/>
      </c>
      <c r="E4540" s="59" t="str">
        <f>IFERROR(IF(F4540&lt;&gt;"pending","",IF(OR($B4540="",$B4540="(blank)"),"",VLOOKUP($B4540,'Email Marketing Raw Data'!$C:$O,11,0))),"")</f>
        <v/>
      </c>
      <c r="F4540" s="54" t="str">
        <f>IFERROR(IF(OR($B4540="",$B4540="(blank)"),"",VLOOKUP($B4540,'Email Marketing Raw Data'!$C:$O,13,0)),"")</f>
        <v/>
      </c>
      <c r="G4540" s="55" t="str">
        <f>IFERROR(IF(OR($B4540="",$B4540="(blank)"),"",VLOOKUP($B4540,'Email Marketing Raw Data'!$C:$O,4,0)),"")</f>
        <v/>
      </c>
      <c r="H4540" s="55" t="str">
        <f>IFERROR(IF(OR($B4540="",$B4540="(blank)"),"",VLOOKUP($B4540,'Email Marketing Raw Data'!$C:$O,5,0)),"")</f>
        <v/>
      </c>
      <c r="I4540" s="55" t="str">
        <f>IFERROR(IF($G4540="","",VLOOKUP('Dashboard And Emails Automate'!$G4540,Database!$H:$N,3,0)),"")</f>
        <v/>
      </c>
      <c r="J4540" s="55" t="str">
        <f>IFERROR(IF($G4540="","",VLOOKUP('Dashboard And Emails Automate'!$G4540,Database!$H:$N,4,0)),"")</f>
        <v/>
      </c>
      <c r="K4540" s="55" t="str">
        <f>IFERROR(IF($G4540="","",VLOOKUP('Dashboard And Emails Automate'!$G4540,Database!$H:$N,5,0)),"")</f>
        <v/>
      </c>
      <c r="L4540" s="55" t="str">
        <f>IFERROR(IF($G4540="","",VLOOKUP('Dashboard And Emails Automate'!$G4540,Database!$H:$N,6,0)),"")</f>
        <v/>
      </c>
      <c r="M4540" s="55" t="str">
        <f>IFERROR(IF($G4540="","",VLOOKUP('Dashboard And Emails Automate'!$G4540,Database!$H:$N,7,0)),"")</f>
        <v/>
      </c>
      <c r="N4540" s="55" t="str">
        <f>IFERROR(IF(OR($B4540="",$B4540="(blank)"),"",VLOOKUP($B4540,'Email Marketing Raw Data'!$C:$O,6,0)),"")</f>
        <v/>
      </c>
      <c r="O4540" s="55" t="str">
        <f>IFERROR(IF(OR($B4540="",$B4540="(blank)"),"",VLOOKUP($B4540,'Email Marketing Raw Data'!$C:$O,7,0)),"")</f>
        <v/>
      </c>
      <c r="P4540" s="55" t="str">
        <f>IFERROR(IF(OR($B4540="",$B4540="(blank)"),"",VLOOKUP($B4540,'Email Marketing Raw Data'!$C:$O,8,0)),"")</f>
        <v/>
      </c>
      <c r="Q4540" s="62" t="str">
        <f>IFERROR(IF(OR($B4540="",$B4540="(blank)"),"",VLOOKUP($B4540,'Email Marketing Raw Data'!$C:$O,9,0)),"")</f>
        <v/>
      </c>
    </row>
    <row r="4541" spans="4:17" ht="12.75" customHeight="1" x14ac:dyDescent="0.2">
      <c r="D4541" s="58" t="str">
        <f>IFERROR(IF(F4541&lt;&gt;"pending","",IF(OR($B4541="",$B4541="(blank)"),"",VLOOKUP($B4541,'Email Marketing Raw Data'!$C:$O,10,0))),"")</f>
        <v/>
      </c>
      <c r="E4541" s="59" t="str">
        <f>IFERROR(IF(F4541&lt;&gt;"pending","",IF(OR($B4541="",$B4541="(blank)"),"",VLOOKUP($B4541,'Email Marketing Raw Data'!$C:$O,11,0))),"")</f>
        <v/>
      </c>
      <c r="F4541" s="54" t="str">
        <f>IFERROR(IF(OR($B4541="",$B4541="(blank)"),"",VLOOKUP($B4541,'Email Marketing Raw Data'!$C:$O,13,0)),"")</f>
        <v/>
      </c>
      <c r="G4541" s="55" t="str">
        <f>IFERROR(IF(OR($B4541="",$B4541="(blank)"),"",VLOOKUP($B4541,'Email Marketing Raw Data'!$C:$O,4,0)),"")</f>
        <v/>
      </c>
      <c r="H4541" s="55" t="str">
        <f>IFERROR(IF(OR($B4541="",$B4541="(blank)"),"",VLOOKUP($B4541,'Email Marketing Raw Data'!$C:$O,5,0)),"")</f>
        <v/>
      </c>
      <c r="I4541" s="55" t="str">
        <f>IFERROR(IF($G4541="","",VLOOKUP('Dashboard And Emails Automate'!$G4541,Database!$H:$N,3,0)),"")</f>
        <v/>
      </c>
      <c r="J4541" s="55" t="str">
        <f>IFERROR(IF($G4541="","",VLOOKUP('Dashboard And Emails Automate'!$G4541,Database!$H:$N,4,0)),"")</f>
        <v/>
      </c>
      <c r="K4541" s="55" t="str">
        <f>IFERROR(IF($G4541="","",VLOOKUP('Dashboard And Emails Automate'!$G4541,Database!$H:$N,5,0)),"")</f>
        <v/>
      </c>
      <c r="L4541" s="55" t="str">
        <f>IFERROR(IF($G4541="","",VLOOKUP('Dashboard And Emails Automate'!$G4541,Database!$H:$N,6,0)),"")</f>
        <v/>
      </c>
      <c r="M4541" s="55" t="str">
        <f>IFERROR(IF($G4541="","",VLOOKUP('Dashboard And Emails Automate'!$G4541,Database!$H:$N,7,0)),"")</f>
        <v/>
      </c>
      <c r="N4541" s="55" t="str">
        <f>IFERROR(IF(OR($B4541="",$B4541="(blank)"),"",VLOOKUP($B4541,'Email Marketing Raw Data'!$C:$O,6,0)),"")</f>
        <v/>
      </c>
      <c r="O4541" s="55" t="str">
        <f>IFERROR(IF(OR($B4541="",$B4541="(blank)"),"",VLOOKUP($B4541,'Email Marketing Raw Data'!$C:$O,7,0)),"")</f>
        <v/>
      </c>
      <c r="P4541" s="55" t="str">
        <f>IFERROR(IF(OR($B4541="",$B4541="(blank)"),"",VLOOKUP($B4541,'Email Marketing Raw Data'!$C:$O,8,0)),"")</f>
        <v/>
      </c>
      <c r="Q4541" s="62" t="str">
        <f>IFERROR(IF(OR($B4541="",$B4541="(blank)"),"",VLOOKUP($B4541,'Email Marketing Raw Data'!$C:$O,9,0)),"")</f>
        <v/>
      </c>
    </row>
    <row r="4542" spans="4:17" ht="12.75" customHeight="1" x14ac:dyDescent="0.2">
      <c r="D4542" s="58" t="str">
        <f>IFERROR(IF(F4542&lt;&gt;"pending","",IF(OR($B4542="",$B4542="(blank)"),"",VLOOKUP($B4542,'Email Marketing Raw Data'!$C:$O,10,0))),"")</f>
        <v/>
      </c>
      <c r="E4542" s="59" t="str">
        <f>IFERROR(IF(F4542&lt;&gt;"pending","",IF(OR($B4542="",$B4542="(blank)"),"",VLOOKUP($B4542,'Email Marketing Raw Data'!$C:$O,11,0))),"")</f>
        <v/>
      </c>
      <c r="F4542" s="54" t="str">
        <f>IFERROR(IF(OR($B4542="",$B4542="(blank)"),"",VLOOKUP($B4542,'Email Marketing Raw Data'!$C:$O,13,0)),"")</f>
        <v/>
      </c>
      <c r="G4542" s="55" t="str">
        <f>IFERROR(IF(OR($B4542="",$B4542="(blank)"),"",VLOOKUP($B4542,'Email Marketing Raw Data'!$C:$O,4,0)),"")</f>
        <v/>
      </c>
      <c r="H4542" s="55" t="str">
        <f>IFERROR(IF(OR($B4542="",$B4542="(blank)"),"",VLOOKUP($B4542,'Email Marketing Raw Data'!$C:$O,5,0)),"")</f>
        <v/>
      </c>
      <c r="I4542" s="55" t="str">
        <f>IFERROR(IF($G4542="","",VLOOKUP('Dashboard And Emails Automate'!$G4542,Database!$H:$N,3,0)),"")</f>
        <v/>
      </c>
      <c r="J4542" s="55" t="str">
        <f>IFERROR(IF($G4542="","",VLOOKUP('Dashboard And Emails Automate'!$G4542,Database!$H:$N,4,0)),"")</f>
        <v/>
      </c>
      <c r="K4542" s="55" t="str">
        <f>IFERROR(IF($G4542="","",VLOOKUP('Dashboard And Emails Automate'!$G4542,Database!$H:$N,5,0)),"")</f>
        <v/>
      </c>
      <c r="L4542" s="55" t="str">
        <f>IFERROR(IF($G4542="","",VLOOKUP('Dashboard And Emails Automate'!$G4542,Database!$H:$N,6,0)),"")</f>
        <v/>
      </c>
      <c r="M4542" s="55" t="str">
        <f>IFERROR(IF($G4542="","",VLOOKUP('Dashboard And Emails Automate'!$G4542,Database!$H:$N,7,0)),"")</f>
        <v/>
      </c>
      <c r="N4542" s="55" t="str">
        <f>IFERROR(IF(OR($B4542="",$B4542="(blank)"),"",VLOOKUP($B4542,'Email Marketing Raw Data'!$C:$O,6,0)),"")</f>
        <v/>
      </c>
      <c r="O4542" s="55" t="str">
        <f>IFERROR(IF(OR($B4542="",$B4542="(blank)"),"",VLOOKUP($B4542,'Email Marketing Raw Data'!$C:$O,7,0)),"")</f>
        <v/>
      </c>
      <c r="P4542" s="55" t="str">
        <f>IFERROR(IF(OR($B4542="",$B4542="(blank)"),"",VLOOKUP($B4542,'Email Marketing Raw Data'!$C:$O,8,0)),"")</f>
        <v/>
      </c>
      <c r="Q4542" s="62" t="str">
        <f>IFERROR(IF(OR($B4542="",$B4542="(blank)"),"",VLOOKUP($B4542,'Email Marketing Raw Data'!$C:$O,9,0)),"")</f>
        <v/>
      </c>
    </row>
    <row r="4543" spans="4:17" ht="12.75" customHeight="1" x14ac:dyDescent="0.2">
      <c r="D4543" s="58" t="str">
        <f>IFERROR(IF(F4543&lt;&gt;"pending","",IF(OR($B4543="",$B4543="(blank)"),"",VLOOKUP($B4543,'Email Marketing Raw Data'!$C:$O,10,0))),"")</f>
        <v/>
      </c>
      <c r="E4543" s="59" t="str">
        <f>IFERROR(IF(F4543&lt;&gt;"pending","",IF(OR($B4543="",$B4543="(blank)"),"",VLOOKUP($B4543,'Email Marketing Raw Data'!$C:$O,11,0))),"")</f>
        <v/>
      </c>
      <c r="F4543" s="54" t="str">
        <f>IFERROR(IF(OR($B4543="",$B4543="(blank)"),"",VLOOKUP($B4543,'Email Marketing Raw Data'!$C:$O,13,0)),"")</f>
        <v/>
      </c>
      <c r="G4543" s="55" t="str">
        <f>IFERROR(IF(OR($B4543="",$B4543="(blank)"),"",VLOOKUP($B4543,'Email Marketing Raw Data'!$C:$O,4,0)),"")</f>
        <v/>
      </c>
      <c r="H4543" s="55" t="str">
        <f>IFERROR(IF(OR($B4543="",$B4543="(blank)"),"",VLOOKUP($B4543,'Email Marketing Raw Data'!$C:$O,5,0)),"")</f>
        <v/>
      </c>
      <c r="I4543" s="55" t="str">
        <f>IFERROR(IF($G4543="","",VLOOKUP('Dashboard And Emails Automate'!$G4543,Database!$H:$N,3,0)),"")</f>
        <v/>
      </c>
      <c r="J4543" s="55" t="str">
        <f>IFERROR(IF($G4543="","",VLOOKUP('Dashboard And Emails Automate'!$G4543,Database!$H:$N,4,0)),"")</f>
        <v/>
      </c>
      <c r="K4543" s="55" t="str">
        <f>IFERROR(IF($G4543="","",VLOOKUP('Dashboard And Emails Automate'!$G4543,Database!$H:$N,5,0)),"")</f>
        <v/>
      </c>
      <c r="L4543" s="55" t="str">
        <f>IFERROR(IF($G4543="","",VLOOKUP('Dashboard And Emails Automate'!$G4543,Database!$H:$N,6,0)),"")</f>
        <v/>
      </c>
      <c r="M4543" s="55" t="str">
        <f>IFERROR(IF($G4543="","",VLOOKUP('Dashboard And Emails Automate'!$G4543,Database!$H:$N,7,0)),"")</f>
        <v/>
      </c>
      <c r="N4543" s="55" t="str">
        <f>IFERROR(IF(OR($B4543="",$B4543="(blank)"),"",VLOOKUP($B4543,'Email Marketing Raw Data'!$C:$O,6,0)),"")</f>
        <v/>
      </c>
      <c r="O4543" s="55" t="str">
        <f>IFERROR(IF(OR($B4543="",$B4543="(blank)"),"",VLOOKUP($B4543,'Email Marketing Raw Data'!$C:$O,7,0)),"")</f>
        <v/>
      </c>
      <c r="P4543" s="55" t="str">
        <f>IFERROR(IF(OR($B4543="",$B4543="(blank)"),"",VLOOKUP($B4543,'Email Marketing Raw Data'!$C:$O,8,0)),"")</f>
        <v/>
      </c>
      <c r="Q4543" s="62" t="str">
        <f>IFERROR(IF(OR($B4543="",$B4543="(blank)"),"",VLOOKUP($B4543,'Email Marketing Raw Data'!$C:$O,9,0)),"")</f>
        <v/>
      </c>
    </row>
    <row r="4544" spans="4:17" ht="12.75" customHeight="1" x14ac:dyDescent="0.2">
      <c r="D4544" s="58" t="str">
        <f>IFERROR(IF(F4544&lt;&gt;"pending","",IF(OR($B4544="",$B4544="(blank)"),"",VLOOKUP($B4544,'Email Marketing Raw Data'!$C:$O,10,0))),"")</f>
        <v/>
      </c>
      <c r="E4544" s="59" t="str">
        <f>IFERROR(IF(F4544&lt;&gt;"pending","",IF(OR($B4544="",$B4544="(blank)"),"",VLOOKUP($B4544,'Email Marketing Raw Data'!$C:$O,11,0))),"")</f>
        <v/>
      </c>
      <c r="F4544" s="54" t="str">
        <f>IFERROR(IF(OR($B4544="",$B4544="(blank)"),"",VLOOKUP($B4544,'Email Marketing Raw Data'!$C:$O,13,0)),"")</f>
        <v/>
      </c>
      <c r="G4544" s="55" t="str">
        <f>IFERROR(IF(OR($B4544="",$B4544="(blank)"),"",VLOOKUP($B4544,'Email Marketing Raw Data'!$C:$O,4,0)),"")</f>
        <v/>
      </c>
      <c r="H4544" s="55" t="str">
        <f>IFERROR(IF(OR($B4544="",$B4544="(blank)"),"",VLOOKUP($B4544,'Email Marketing Raw Data'!$C:$O,5,0)),"")</f>
        <v/>
      </c>
      <c r="I4544" s="55" t="str">
        <f>IFERROR(IF($G4544="","",VLOOKUP('Dashboard And Emails Automate'!$G4544,Database!$H:$N,3,0)),"")</f>
        <v/>
      </c>
      <c r="J4544" s="55" t="str">
        <f>IFERROR(IF($G4544="","",VLOOKUP('Dashboard And Emails Automate'!$G4544,Database!$H:$N,4,0)),"")</f>
        <v/>
      </c>
      <c r="K4544" s="55" t="str">
        <f>IFERROR(IF($G4544="","",VLOOKUP('Dashboard And Emails Automate'!$G4544,Database!$H:$N,5,0)),"")</f>
        <v/>
      </c>
      <c r="L4544" s="55" t="str">
        <f>IFERROR(IF($G4544="","",VLOOKUP('Dashboard And Emails Automate'!$G4544,Database!$H:$N,6,0)),"")</f>
        <v/>
      </c>
      <c r="M4544" s="55" t="str">
        <f>IFERROR(IF($G4544="","",VLOOKUP('Dashboard And Emails Automate'!$G4544,Database!$H:$N,7,0)),"")</f>
        <v/>
      </c>
      <c r="N4544" s="55" t="str">
        <f>IFERROR(IF(OR($B4544="",$B4544="(blank)"),"",VLOOKUP($B4544,'Email Marketing Raw Data'!$C:$O,6,0)),"")</f>
        <v/>
      </c>
      <c r="O4544" s="55" t="str">
        <f>IFERROR(IF(OR($B4544="",$B4544="(blank)"),"",VLOOKUP($B4544,'Email Marketing Raw Data'!$C:$O,7,0)),"")</f>
        <v/>
      </c>
      <c r="P4544" s="55" t="str">
        <f>IFERROR(IF(OR($B4544="",$B4544="(blank)"),"",VLOOKUP($B4544,'Email Marketing Raw Data'!$C:$O,8,0)),"")</f>
        <v/>
      </c>
      <c r="Q4544" s="62" t="str">
        <f>IFERROR(IF(OR($B4544="",$B4544="(blank)"),"",VLOOKUP($B4544,'Email Marketing Raw Data'!$C:$O,9,0)),"")</f>
        <v/>
      </c>
    </row>
    <row r="4545" spans="4:17" ht="12.75" customHeight="1" x14ac:dyDescent="0.2">
      <c r="D4545" s="58" t="str">
        <f>IFERROR(IF(F4545&lt;&gt;"pending","",IF(OR($B4545="",$B4545="(blank)"),"",VLOOKUP($B4545,'Email Marketing Raw Data'!$C:$O,10,0))),"")</f>
        <v/>
      </c>
      <c r="E4545" s="59" t="str">
        <f>IFERROR(IF(F4545&lt;&gt;"pending","",IF(OR($B4545="",$B4545="(blank)"),"",VLOOKUP($B4545,'Email Marketing Raw Data'!$C:$O,11,0))),"")</f>
        <v/>
      </c>
      <c r="F4545" s="54" t="str">
        <f>IFERROR(IF(OR($B4545="",$B4545="(blank)"),"",VLOOKUP($B4545,'Email Marketing Raw Data'!$C:$O,13,0)),"")</f>
        <v/>
      </c>
      <c r="G4545" s="55" t="str">
        <f>IFERROR(IF(OR($B4545="",$B4545="(blank)"),"",VLOOKUP($B4545,'Email Marketing Raw Data'!$C:$O,4,0)),"")</f>
        <v/>
      </c>
      <c r="H4545" s="55" t="str">
        <f>IFERROR(IF(OR($B4545="",$B4545="(blank)"),"",VLOOKUP($B4545,'Email Marketing Raw Data'!$C:$O,5,0)),"")</f>
        <v/>
      </c>
      <c r="I4545" s="55" t="str">
        <f>IFERROR(IF($G4545="","",VLOOKUP('Dashboard And Emails Automate'!$G4545,Database!$H:$N,3,0)),"")</f>
        <v/>
      </c>
      <c r="J4545" s="55" t="str">
        <f>IFERROR(IF($G4545="","",VLOOKUP('Dashboard And Emails Automate'!$G4545,Database!$H:$N,4,0)),"")</f>
        <v/>
      </c>
      <c r="K4545" s="55" t="str">
        <f>IFERROR(IF($G4545="","",VLOOKUP('Dashboard And Emails Automate'!$G4545,Database!$H:$N,5,0)),"")</f>
        <v/>
      </c>
      <c r="L4545" s="55" t="str">
        <f>IFERROR(IF($G4545="","",VLOOKUP('Dashboard And Emails Automate'!$G4545,Database!$H:$N,6,0)),"")</f>
        <v/>
      </c>
      <c r="M4545" s="55" t="str">
        <f>IFERROR(IF($G4545="","",VLOOKUP('Dashboard And Emails Automate'!$G4545,Database!$H:$N,7,0)),"")</f>
        <v/>
      </c>
      <c r="N4545" s="55" t="str">
        <f>IFERROR(IF(OR($B4545="",$B4545="(blank)"),"",VLOOKUP($B4545,'Email Marketing Raw Data'!$C:$O,6,0)),"")</f>
        <v/>
      </c>
      <c r="O4545" s="55" t="str">
        <f>IFERROR(IF(OR($B4545="",$B4545="(blank)"),"",VLOOKUP($B4545,'Email Marketing Raw Data'!$C:$O,7,0)),"")</f>
        <v/>
      </c>
      <c r="P4545" s="55" t="str">
        <f>IFERROR(IF(OR($B4545="",$B4545="(blank)"),"",VLOOKUP($B4545,'Email Marketing Raw Data'!$C:$O,8,0)),"")</f>
        <v/>
      </c>
      <c r="Q4545" s="62" t="str">
        <f>IFERROR(IF(OR($B4545="",$B4545="(blank)"),"",VLOOKUP($B4545,'Email Marketing Raw Data'!$C:$O,9,0)),"")</f>
        <v/>
      </c>
    </row>
    <row r="4546" spans="4:17" ht="12.75" customHeight="1" x14ac:dyDescent="0.2">
      <c r="D4546" s="58" t="str">
        <f>IFERROR(IF(F4546&lt;&gt;"pending","",IF(OR($B4546="",$B4546="(blank)"),"",VLOOKUP($B4546,'Email Marketing Raw Data'!$C:$O,10,0))),"")</f>
        <v/>
      </c>
      <c r="E4546" s="59" t="str">
        <f>IFERROR(IF(F4546&lt;&gt;"pending","",IF(OR($B4546="",$B4546="(blank)"),"",VLOOKUP($B4546,'Email Marketing Raw Data'!$C:$O,11,0))),"")</f>
        <v/>
      </c>
      <c r="F4546" s="54" t="str">
        <f>IFERROR(IF(OR($B4546="",$B4546="(blank)"),"",VLOOKUP($B4546,'Email Marketing Raw Data'!$C:$O,13,0)),"")</f>
        <v/>
      </c>
      <c r="G4546" s="55" t="str">
        <f>IFERROR(IF(OR($B4546="",$B4546="(blank)"),"",VLOOKUP($B4546,'Email Marketing Raw Data'!$C:$O,4,0)),"")</f>
        <v/>
      </c>
      <c r="H4546" s="55" t="str">
        <f>IFERROR(IF(OR($B4546="",$B4546="(blank)"),"",VLOOKUP($B4546,'Email Marketing Raw Data'!$C:$O,5,0)),"")</f>
        <v/>
      </c>
      <c r="I4546" s="55" t="str">
        <f>IFERROR(IF($G4546="","",VLOOKUP('Dashboard And Emails Automate'!$G4546,Database!$H:$N,3,0)),"")</f>
        <v/>
      </c>
      <c r="J4546" s="55" t="str">
        <f>IFERROR(IF($G4546="","",VLOOKUP('Dashboard And Emails Automate'!$G4546,Database!$H:$N,4,0)),"")</f>
        <v/>
      </c>
      <c r="K4546" s="55" t="str">
        <f>IFERROR(IF($G4546="","",VLOOKUP('Dashboard And Emails Automate'!$G4546,Database!$H:$N,5,0)),"")</f>
        <v/>
      </c>
      <c r="L4546" s="55" t="str">
        <f>IFERROR(IF($G4546="","",VLOOKUP('Dashboard And Emails Automate'!$G4546,Database!$H:$N,6,0)),"")</f>
        <v/>
      </c>
      <c r="M4546" s="55" t="str">
        <f>IFERROR(IF($G4546="","",VLOOKUP('Dashboard And Emails Automate'!$G4546,Database!$H:$N,7,0)),"")</f>
        <v/>
      </c>
      <c r="N4546" s="55" t="str">
        <f>IFERROR(IF(OR($B4546="",$B4546="(blank)"),"",VLOOKUP($B4546,'Email Marketing Raw Data'!$C:$O,6,0)),"")</f>
        <v/>
      </c>
      <c r="O4546" s="55" t="str">
        <f>IFERROR(IF(OR($B4546="",$B4546="(blank)"),"",VLOOKUP($B4546,'Email Marketing Raw Data'!$C:$O,7,0)),"")</f>
        <v/>
      </c>
      <c r="P4546" s="55" t="str">
        <f>IFERROR(IF(OR($B4546="",$B4546="(blank)"),"",VLOOKUP($B4546,'Email Marketing Raw Data'!$C:$O,8,0)),"")</f>
        <v/>
      </c>
      <c r="Q4546" s="62" t="str">
        <f>IFERROR(IF(OR($B4546="",$B4546="(blank)"),"",VLOOKUP($B4546,'Email Marketing Raw Data'!$C:$O,9,0)),"")</f>
        <v/>
      </c>
    </row>
    <row r="4547" spans="4:17" ht="12.75" customHeight="1" x14ac:dyDescent="0.2">
      <c r="D4547" s="58" t="str">
        <f>IFERROR(IF(F4547&lt;&gt;"pending","",IF(OR($B4547="",$B4547="(blank)"),"",VLOOKUP($B4547,'Email Marketing Raw Data'!$C:$O,10,0))),"")</f>
        <v/>
      </c>
      <c r="E4547" s="59" t="str">
        <f>IFERROR(IF(F4547&lt;&gt;"pending","",IF(OR($B4547="",$B4547="(blank)"),"",VLOOKUP($B4547,'Email Marketing Raw Data'!$C:$O,11,0))),"")</f>
        <v/>
      </c>
      <c r="F4547" s="54" t="str">
        <f>IFERROR(IF(OR($B4547="",$B4547="(blank)"),"",VLOOKUP($B4547,'Email Marketing Raw Data'!$C:$O,13,0)),"")</f>
        <v/>
      </c>
      <c r="G4547" s="55" t="str">
        <f>IFERROR(IF(OR($B4547="",$B4547="(blank)"),"",VLOOKUP($B4547,'Email Marketing Raw Data'!$C:$O,4,0)),"")</f>
        <v/>
      </c>
      <c r="H4547" s="55" t="str">
        <f>IFERROR(IF(OR($B4547="",$B4547="(blank)"),"",VLOOKUP($B4547,'Email Marketing Raw Data'!$C:$O,5,0)),"")</f>
        <v/>
      </c>
      <c r="I4547" s="55" t="str">
        <f>IFERROR(IF($G4547="","",VLOOKUP('Dashboard And Emails Automate'!$G4547,Database!$H:$N,3,0)),"")</f>
        <v/>
      </c>
      <c r="J4547" s="55" t="str">
        <f>IFERROR(IF($G4547="","",VLOOKUP('Dashboard And Emails Automate'!$G4547,Database!$H:$N,4,0)),"")</f>
        <v/>
      </c>
      <c r="K4547" s="55" t="str">
        <f>IFERROR(IF($G4547="","",VLOOKUP('Dashboard And Emails Automate'!$G4547,Database!$H:$N,5,0)),"")</f>
        <v/>
      </c>
      <c r="L4547" s="55" t="str">
        <f>IFERROR(IF($G4547="","",VLOOKUP('Dashboard And Emails Automate'!$G4547,Database!$H:$N,6,0)),"")</f>
        <v/>
      </c>
      <c r="M4547" s="55" t="str">
        <f>IFERROR(IF($G4547="","",VLOOKUP('Dashboard And Emails Automate'!$G4547,Database!$H:$N,7,0)),"")</f>
        <v/>
      </c>
      <c r="N4547" s="55" t="str">
        <f>IFERROR(IF(OR($B4547="",$B4547="(blank)"),"",VLOOKUP($B4547,'Email Marketing Raw Data'!$C:$O,6,0)),"")</f>
        <v/>
      </c>
      <c r="O4547" s="55" t="str">
        <f>IFERROR(IF(OR($B4547="",$B4547="(blank)"),"",VLOOKUP($B4547,'Email Marketing Raw Data'!$C:$O,7,0)),"")</f>
        <v/>
      </c>
      <c r="P4547" s="55" t="str">
        <f>IFERROR(IF(OR($B4547="",$B4547="(blank)"),"",VLOOKUP($B4547,'Email Marketing Raw Data'!$C:$O,8,0)),"")</f>
        <v/>
      </c>
      <c r="Q4547" s="62" t="str">
        <f>IFERROR(IF(OR($B4547="",$B4547="(blank)"),"",VLOOKUP($B4547,'Email Marketing Raw Data'!$C:$O,9,0)),"")</f>
        <v/>
      </c>
    </row>
    <row r="4548" spans="4:17" ht="12.75" customHeight="1" x14ac:dyDescent="0.2">
      <c r="D4548" s="58" t="str">
        <f>IFERROR(IF(F4548&lt;&gt;"pending","",IF(OR($B4548="",$B4548="(blank)"),"",VLOOKUP($B4548,'Email Marketing Raw Data'!$C:$O,10,0))),"")</f>
        <v/>
      </c>
      <c r="E4548" s="59" t="str">
        <f>IFERROR(IF(F4548&lt;&gt;"pending","",IF(OR($B4548="",$B4548="(blank)"),"",VLOOKUP($B4548,'Email Marketing Raw Data'!$C:$O,11,0))),"")</f>
        <v/>
      </c>
      <c r="F4548" s="54" t="str">
        <f>IFERROR(IF(OR($B4548="",$B4548="(blank)"),"",VLOOKUP($B4548,'Email Marketing Raw Data'!$C:$O,13,0)),"")</f>
        <v/>
      </c>
      <c r="G4548" s="55" t="str">
        <f>IFERROR(IF(OR($B4548="",$B4548="(blank)"),"",VLOOKUP($B4548,'Email Marketing Raw Data'!$C:$O,4,0)),"")</f>
        <v/>
      </c>
      <c r="H4548" s="55" t="str">
        <f>IFERROR(IF(OR($B4548="",$B4548="(blank)"),"",VLOOKUP($B4548,'Email Marketing Raw Data'!$C:$O,5,0)),"")</f>
        <v/>
      </c>
      <c r="I4548" s="55" t="str">
        <f>IFERROR(IF($G4548="","",VLOOKUP('Dashboard And Emails Automate'!$G4548,Database!$H:$N,3,0)),"")</f>
        <v/>
      </c>
      <c r="J4548" s="55" t="str">
        <f>IFERROR(IF($G4548="","",VLOOKUP('Dashboard And Emails Automate'!$G4548,Database!$H:$N,4,0)),"")</f>
        <v/>
      </c>
      <c r="K4548" s="55" t="str">
        <f>IFERROR(IF($G4548="","",VLOOKUP('Dashboard And Emails Automate'!$G4548,Database!$H:$N,5,0)),"")</f>
        <v/>
      </c>
      <c r="L4548" s="55" t="str">
        <f>IFERROR(IF($G4548="","",VLOOKUP('Dashboard And Emails Automate'!$G4548,Database!$H:$N,6,0)),"")</f>
        <v/>
      </c>
      <c r="M4548" s="55" t="str">
        <f>IFERROR(IF($G4548="","",VLOOKUP('Dashboard And Emails Automate'!$G4548,Database!$H:$N,7,0)),"")</f>
        <v/>
      </c>
      <c r="N4548" s="55" t="str">
        <f>IFERROR(IF(OR($B4548="",$B4548="(blank)"),"",VLOOKUP($B4548,'Email Marketing Raw Data'!$C:$O,6,0)),"")</f>
        <v/>
      </c>
      <c r="O4548" s="55" t="str">
        <f>IFERROR(IF(OR($B4548="",$B4548="(blank)"),"",VLOOKUP($B4548,'Email Marketing Raw Data'!$C:$O,7,0)),"")</f>
        <v/>
      </c>
      <c r="P4548" s="55" t="str">
        <f>IFERROR(IF(OR($B4548="",$B4548="(blank)"),"",VLOOKUP($B4548,'Email Marketing Raw Data'!$C:$O,8,0)),"")</f>
        <v/>
      </c>
      <c r="Q4548" s="62" t="str">
        <f>IFERROR(IF(OR($B4548="",$B4548="(blank)"),"",VLOOKUP($B4548,'Email Marketing Raw Data'!$C:$O,9,0)),"")</f>
        <v/>
      </c>
    </row>
    <row r="4549" spans="4:17" ht="12.75" customHeight="1" x14ac:dyDescent="0.2">
      <c r="D4549" s="58" t="str">
        <f>IFERROR(IF(F4549&lt;&gt;"pending","",IF(OR($B4549="",$B4549="(blank)"),"",VLOOKUP($B4549,'Email Marketing Raw Data'!$C:$O,10,0))),"")</f>
        <v/>
      </c>
      <c r="E4549" s="59" t="str">
        <f>IFERROR(IF(F4549&lt;&gt;"pending","",IF(OR($B4549="",$B4549="(blank)"),"",VLOOKUP($B4549,'Email Marketing Raw Data'!$C:$O,11,0))),"")</f>
        <v/>
      </c>
      <c r="F4549" s="54" t="str">
        <f>IFERROR(IF(OR($B4549="",$B4549="(blank)"),"",VLOOKUP($B4549,'Email Marketing Raw Data'!$C:$O,13,0)),"")</f>
        <v/>
      </c>
      <c r="G4549" s="55" t="str">
        <f>IFERROR(IF(OR($B4549="",$B4549="(blank)"),"",VLOOKUP($B4549,'Email Marketing Raw Data'!$C:$O,4,0)),"")</f>
        <v/>
      </c>
      <c r="H4549" s="55" t="str">
        <f>IFERROR(IF(OR($B4549="",$B4549="(blank)"),"",VLOOKUP($B4549,'Email Marketing Raw Data'!$C:$O,5,0)),"")</f>
        <v/>
      </c>
      <c r="I4549" s="55" t="str">
        <f>IFERROR(IF($G4549="","",VLOOKUP('Dashboard And Emails Automate'!$G4549,Database!$H:$N,3,0)),"")</f>
        <v/>
      </c>
      <c r="J4549" s="55" t="str">
        <f>IFERROR(IF($G4549="","",VLOOKUP('Dashboard And Emails Automate'!$G4549,Database!$H:$N,4,0)),"")</f>
        <v/>
      </c>
      <c r="K4549" s="55" t="str">
        <f>IFERROR(IF($G4549="","",VLOOKUP('Dashboard And Emails Automate'!$G4549,Database!$H:$N,5,0)),"")</f>
        <v/>
      </c>
      <c r="L4549" s="55" t="str">
        <f>IFERROR(IF($G4549="","",VLOOKUP('Dashboard And Emails Automate'!$G4549,Database!$H:$N,6,0)),"")</f>
        <v/>
      </c>
      <c r="M4549" s="55" t="str">
        <f>IFERROR(IF($G4549="","",VLOOKUP('Dashboard And Emails Automate'!$G4549,Database!$H:$N,7,0)),"")</f>
        <v/>
      </c>
      <c r="N4549" s="55" t="str">
        <f>IFERROR(IF(OR($B4549="",$B4549="(blank)"),"",VLOOKUP($B4549,'Email Marketing Raw Data'!$C:$O,6,0)),"")</f>
        <v/>
      </c>
      <c r="O4549" s="55" t="str">
        <f>IFERROR(IF(OR($B4549="",$B4549="(blank)"),"",VLOOKUP($B4549,'Email Marketing Raw Data'!$C:$O,7,0)),"")</f>
        <v/>
      </c>
      <c r="P4549" s="55" t="str">
        <f>IFERROR(IF(OR($B4549="",$B4549="(blank)"),"",VLOOKUP($B4549,'Email Marketing Raw Data'!$C:$O,8,0)),"")</f>
        <v/>
      </c>
      <c r="Q4549" s="62" t="str">
        <f>IFERROR(IF(OR($B4549="",$B4549="(blank)"),"",VLOOKUP($B4549,'Email Marketing Raw Data'!$C:$O,9,0)),"")</f>
        <v/>
      </c>
    </row>
    <row r="4550" spans="4:17" ht="12.75" customHeight="1" x14ac:dyDescent="0.2">
      <c r="D4550" s="58" t="str">
        <f>IFERROR(IF(F4550&lt;&gt;"pending","",IF(OR($B4550="",$B4550="(blank)"),"",VLOOKUP($B4550,'Email Marketing Raw Data'!$C:$O,10,0))),"")</f>
        <v/>
      </c>
      <c r="E4550" s="59" t="str">
        <f>IFERROR(IF(F4550&lt;&gt;"pending","",IF(OR($B4550="",$B4550="(blank)"),"",VLOOKUP($B4550,'Email Marketing Raw Data'!$C:$O,11,0))),"")</f>
        <v/>
      </c>
      <c r="F4550" s="54" t="str">
        <f>IFERROR(IF(OR($B4550="",$B4550="(blank)"),"",VLOOKUP($B4550,'Email Marketing Raw Data'!$C:$O,13,0)),"")</f>
        <v/>
      </c>
      <c r="G4550" s="55" t="str">
        <f>IFERROR(IF(OR($B4550="",$B4550="(blank)"),"",VLOOKUP($B4550,'Email Marketing Raw Data'!$C:$O,4,0)),"")</f>
        <v/>
      </c>
      <c r="H4550" s="55" t="str">
        <f>IFERROR(IF(OR($B4550="",$B4550="(blank)"),"",VLOOKUP($B4550,'Email Marketing Raw Data'!$C:$O,5,0)),"")</f>
        <v/>
      </c>
      <c r="I4550" s="55" t="str">
        <f>IFERROR(IF($G4550="","",VLOOKUP('Dashboard And Emails Automate'!$G4550,Database!$H:$N,3,0)),"")</f>
        <v/>
      </c>
      <c r="J4550" s="55" t="str">
        <f>IFERROR(IF($G4550="","",VLOOKUP('Dashboard And Emails Automate'!$G4550,Database!$H:$N,4,0)),"")</f>
        <v/>
      </c>
      <c r="K4550" s="55" t="str">
        <f>IFERROR(IF($G4550="","",VLOOKUP('Dashboard And Emails Automate'!$G4550,Database!$H:$N,5,0)),"")</f>
        <v/>
      </c>
      <c r="L4550" s="55" t="str">
        <f>IFERROR(IF($G4550="","",VLOOKUP('Dashboard And Emails Automate'!$G4550,Database!$H:$N,6,0)),"")</f>
        <v/>
      </c>
      <c r="M4550" s="55" t="str">
        <f>IFERROR(IF($G4550="","",VLOOKUP('Dashboard And Emails Automate'!$G4550,Database!$H:$N,7,0)),"")</f>
        <v/>
      </c>
      <c r="N4550" s="55" t="str">
        <f>IFERROR(IF(OR($B4550="",$B4550="(blank)"),"",VLOOKUP($B4550,'Email Marketing Raw Data'!$C:$O,6,0)),"")</f>
        <v/>
      </c>
      <c r="O4550" s="55" t="str">
        <f>IFERROR(IF(OR($B4550="",$B4550="(blank)"),"",VLOOKUP($B4550,'Email Marketing Raw Data'!$C:$O,7,0)),"")</f>
        <v/>
      </c>
      <c r="P4550" s="55" t="str">
        <f>IFERROR(IF(OR($B4550="",$B4550="(blank)"),"",VLOOKUP($B4550,'Email Marketing Raw Data'!$C:$O,8,0)),"")</f>
        <v/>
      </c>
      <c r="Q4550" s="62" t="str">
        <f>IFERROR(IF(OR($B4550="",$B4550="(blank)"),"",VLOOKUP($B4550,'Email Marketing Raw Data'!$C:$O,9,0)),"")</f>
        <v/>
      </c>
    </row>
    <row r="4551" spans="4:17" ht="12.75" customHeight="1" x14ac:dyDescent="0.2">
      <c r="D4551" s="58" t="str">
        <f>IFERROR(IF(F4551&lt;&gt;"pending","",IF(OR($B4551="",$B4551="(blank)"),"",VLOOKUP($B4551,'Email Marketing Raw Data'!$C:$O,10,0))),"")</f>
        <v/>
      </c>
      <c r="E4551" s="59" t="str">
        <f>IFERROR(IF(F4551&lt;&gt;"pending","",IF(OR($B4551="",$B4551="(blank)"),"",VLOOKUP($B4551,'Email Marketing Raw Data'!$C:$O,11,0))),"")</f>
        <v/>
      </c>
      <c r="F4551" s="54" t="str">
        <f>IFERROR(IF(OR($B4551="",$B4551="(blank)"),"",VLOOKUP($B4551,'Email Marketing Raw Data'!$C:$O,13,0)),"")</f>
        <v/>
      </c>
      <c r="G4551" s="55" t="str">
        <f>IFERROR(IF(OR($B4551="",$B4551="(blank)"),"",VLOOKUP($B4551,'Email Marketing Raw Data'!$C:$O,4,0)),"")</f>
        <v/>
      </c>
      <c r="H4551" s="55" t="str">
        <f>IFERROR(IF(OR($B4551="",$B4551="(blank)"),"",VLOOKUP($B4551,'Email Marketing Raw Data'!$C:$O,5,0)),"")</f>
        <v/>
      </c>
      <c r="I4551" s="55" t="str">
        <f>IFERROR(IF($G4551="","",VLOOKUP('Dashboard And Emails Automate'!$G4551,Database!$H:$N,3,0)),"")</f>
        <v/>
      </c>
      <c r="J4551" s="55" t="str">
        <f>IFERROR(IF($G4551="","",VLOOKUP('Dashboard And Emails Automate'!$G4551,Database!$H:$N,4,0)),"")</f>
        <v/>
      </c>
      <c r="K4551" s="55" t="str">
        <f>IFERROR(IF($G4551="","",VLOOKUP('Dashboard And Emails Automate'!$G4551,Database!$H:$N,5,0)),"")</f>
        <v/>
      </c>
      <c r="L4551" s="55" t="str">
        <f>IFERROR(IF($G4551="","",VLOOKUP('Dashboard And Emails Automate'!$G4551,Database!$H:$N,6,0)),"")</f>
        <v/>
      </c>
      <c r="M4551" s="55" t="str">
        <f>IFERROR(IF($G4551="","",VLOOKUP('Dashboard And Emails Automate'!$G4551,Database!$H:$N,7,0)),"")</f>
        <v/>
      </c>
      <c r="N4551" s="55" t="str">
        <f>IFERROR(IF(OR($B4551="",$B4551="(blank)"),"",VLOOKUP($B4551,'Email Marketing Raw Data'!$C:$O,6,0)),"")</f>
        <v/>
      </c>
      <c r="O4551" s="55" t="str">
        <f>IFERROR(IF(OR($B4551="",$B4551="(blank)"),"",VLOOKUP($B4551,'Email Marketing Raw Data'!$C:$O,7,0)),"")</f>
        <v/>
      </c>
      <c r="P4551" s="55" t="str">
        <f>IFERROR(IF(OR($B4551="",$B4551="(blank)"),"",VLOOKUP($B4551,'Email Marketing Raw Data'!$C:$O,8,0)),"")</f>
        <v/>
      </c>
      <c r="Q4551" s="62" t="str">
        <f>IFERROR(IF(OR($B4551="",$B4551="(blank)"),"",VLOOKUP($B4551,'Email Marketing Raw Data'!$C:$O,9,0)),"")</f>
        <v/>
      </c>
    </row>
    <row r="4552" spans="4:17" ht="12.75" customHeight="1" x14ac:dyDescent="0.2">
      <c r="D4552" s="58" t="str">
        <f>IFERROR(IF(F4552&lt;&gt;"pending","",IF(OR($B4552="",$B4552="(blank)"),"",VLOOKUP($B4552,'Email Marketing Raw Data'!$C:$O,10,0))),"")</f>
        <v/>
      </c>
      <c r="E4552" s="59" t="str">
        <f>IFERROR(IF(F4552&lt;&gt;"pending","",IF(OR($B4552="",$B4552="(blank)"),"",VLOOKUP($B4552,'Email Marketing Raw Data'!$C:$O,11,0))),"")</f>
        <v/>
      </c>
      <c r="F4552" s="54" t="str">
        <f>IFERROR(IF(OR($B4552="",$B4552="(blank)"),"",VLOOKUP($B4552,'Email Marketing Raw Data'!$C:$O,13,0)),"")</f>
        <v/>
      </c>
      <c r="G4552" s="55" t="str">
        <f>IFERROR(IF(OR($B4552="",$B4552="(blank)"),"",VLOOKUP($B4552,'Email Marketing Raw Data'!$C:$O,4,0)),"")</f>
        <v/>
      </c>
      <c r="H4552" s="55" t="str">
        <f>IFERROR(IF(OR($B4552="",$B4552="(blank)"),"",VLOOKUP($B4552,'Email Marketing Raw Data'!$C:$O,5,0)),"")</f>
        <v/>
      </c>
      <c r="I4552" s="55" t="str">
        <f>IFERROR(IF($G4552="","",VLOOKUP('Dashboard And Emails Automate'!$G4552,Database!$H:$N,3,0)),"")</f>
        <v/>
      </c>
      <c r="J4552" s="55" t="str">
        <f>IFERROR(IF($G4552="","",VLOOKUP('Dashboard And Emails Automate'!$G4552,Database!$H:$N,4,0)),"")</f>
        <v/>
      </c>
      <c r="K4552" s="55" t="str">
        <f>IFERROR(IF($G4552="","",VLOOKUP('Dashboard And Emails Automate'!$G4552,Database!$H:$N,5,0)),"")</f>
        <v/>
      </c>
      <c r="L4552" s="55" t="str">
        <f>IFERROR(IF($G4552="","",VLOOKUP('Dashboard And Emails Automate'!$G4552,Database!$H:$N,6,0)),"")</f>
        <v/>
      </c>
      <c r="M4552" s="55" t="str">
        <f>IFERROR(IF($G4552="","",VLOOKUP('Dashboard And Emails Automate'!$G4552,Database!$H:$N,7,0)),"")</f>
        <v/>
      </c>
      <c r="N4552" s="55" t="str">
        <f>IFERROR(IF(OR($B4552="",$B4552="(blank)"),"",VLOOKUP($B4552,'Email Marketing Raw Data'!$C:$O,6,0)),"")</f>
        <v/>
      </c>
      <c r="O4552" s="55" t="str">
        <f>IFERROR(IF(OR($B4552="",$B4552="(blank)"),"",VLOOKUP($B4552,'Email Marketing Raw Data'!$C:$O,7,0)),"")</f>
        <v/>
      </c>
      <c r="P4552" s="55" t="str">
        <f>IFERROR(IF(OR($B4552="",$B4552="(blank)"),"",VLOOKUP($B4552,'Email Marketing Raw Data'!$C:$O,8,0)),"")</f>
        <v/>
      </c>
      <c r="Q4552" s="62" t="str">
        <f>IFERROR(IF(OR($B4552="",$B4552="(blank)"),"",VLOOKUP($B4552,'Email Marketing Raw Data'!$C:$O,9,0)),"")</f>
        <v/>
      </c>
    </row>
    <row r="4553" spans="4:17" ht="12.75" customHeight="1" x14ac:dyDescent="0.2">
      <c r="D4553" s="58" t="str">
        <f>IFERROR(IF(F4553&lt;&gt;"pending","",IF(OR($B4553="",$B4553="(blank)"),"",VLOOKUP($B4553,'Email Marketing Raw Data'!$C:$O,10,0))),"")</f>
        <v/>
      </c>
      <c r="E4553" s="59" t="str">
        <f>IFERROR(IF(F4553&lt;&gt;"pending","",IF(OR($B4553="",$B4553="(blank)"),"",VLOOKUP($B4553,'Email Marketing Raw Data'!$C:$O,11,0))),"")</f>
        <v/>
      </c>
      <c r="F4553" s="54" t="str">
        <f>IFERROR(IF(OR($B4553="",$B4553="(blank)"),"",VLOOKUP($B4553,'Email Marketing Raw Data'!$C:$O,13,0)),"")</f>
        <v/>
      </c>
      <c r="G4553" s="55" t="str">
        <f>IFERROR(IF(OR($B4553="",$B4553="(blank)"),"",VLOOKUP($B4553,'Email Marketing Raw Data'!$C:$O,4,0)),"")</f>
        <v/>
      </c>
      <c r="H4553" s="55" t="str">
        <f>IFERROR(IF(OR($B4553="",$B4553="(blank)"),"",VLOOKUP($B4553,'Email Marketing Raw Data'!$C:$O,5,0)),"")</f>
        <v/>
      </c>
      <c r="I4553" s="55" t="str">
        <f>IFERROR(IF($G4553="","",VLOOKUP('Dashboard And Emails Automate'!$G4553,Database!$H:$N,3,0)),"")</f>
        <v/>
      </c>
      <c r="J4553" s="55" t="str">
        <f>IFERROR(IF($G4553="","",VLOOKUP('Dashboard And Emails Automate'!$G4553,Database!$H:$N,4,0)),"")</f>
        <v/>
      </c>
      <c r="K4553" s="55" t="str">
        <f>IFERROR(IF($G4553="","",VLOOKUP('Dashboard And Emails Automate'!$G4553,Database!$H:$N,5,0)),"")</f>
        <v/>
      </c>
      <c r="L4553" s="55" t="str">
        <f>IFERROR(IF($G4553="","",VLOOKUP('Dashboard And Emails Automate'!$G4553,Database!$H:$N,6,0)),"")</f>
        <v/>
      </c>
      <c r="M4553" s="55" t="str">
        <f>IFERROR(IF($G4553="","",VLOOKUP('Dashboard And Emails Automate'!$G4553,Database!$H:$N,7,0)),"")</f>
        <v/>
      </c>
      <c r="N4553" s="55" t="str">
        <f>IFERROR(IF(OR($B4553="",$B4553="(blank)"),"",VLOOKUP($B4553,'Email Marketing Raw Data'!$C:$O,6,0)),"")</f>
        <v/>
      </c>
      <c r="O4553" s="55" t="str">
        <f>IFERROR(IF(OR($B4553="",$B4553="(blank)"),"",VLOOKUP($B4553,'Email Marketing Raw Data'!$C:$O,7,0)),"")</f>
        <v/>
      </c>
      <c r="P4553" s="55" t="str">
        <f>IFERROR(IF(OR($B4553="",$B4553="(blank)"),"",VLOOKUP($B4553,'Email Marketing Raw Data'!$C:$O,8,0)),"")</f>
        <v/>
      </c>
      <c r="Q4553" s="62" t="str">
        <f>IFERROR(IF(OR($B4553="",$B4553="(blank)"),"",VLOOKUP($B4553,'Email Marketing Raw Data'!$C:$O,9,0)),"")</f>
        <v/>
      </c>
    </row>
    <row r="4554" spans="4:17" ht="12.75" customHeight="1" x14ac:dyDescent="0.2">
      <c r="D4554" s="58" t="str">
        <f>IFERROR(IF(F4554&lt;&gt;"pending","",IF(OR($B4554="",$B4554="(blank)"),"",VLOOKUP($B4554,'Email Marketing Raw Data'!$C:$O,10,0))),"")</f>
        <v/>
      </c>
      <c r="E4554" s="59" t="str">
        <f>IFERROR(IF(F4554&lt;&gt;"pending","",IF(OR($B4554="",$B4554="(blank)"),"",VLOOKUP($B4554,'Email Marketing Raw Data'!$C:$O,11,0))),"")</f>
        <v/>
      </c>
      <c r="F4554" s="54" t="str">
        <f>IFERROR(IF(OR($B4554="",$B4554="(blank)"),"",VLOOKUP($B4554,'Email Marketing Raw Data'!$C:$O,13,0)),"")</f>
        <v/>
      </c>
      <c r="G4554" s="55" t="str">
        <f>IFERROR(IF(OR($B4554="",$B4554="(blank)"),"",VLOOKUP($B4554,'Email Marketing Raw Data'!$C:$O,4,0)),"")</f>
        <v/>
      </c>
      <c r="H4554" s="55" t="str">
        <f>IFERROR(IF(OR($B4554="",$B4554="(blank)"),"",VLOOKUP($B4554,'Email Marketing Raw Data'!$C:$O,5,0)),"")</f>
        <v/>
      </c>
      <c r="I4554" s="55" t="str">
        <f>IFERROR(IF($G4554="","",VLOOKUP('Dashboard And Emails Automate'!$G4554,Database!$H:$N,3,0)),"")</f>
        <v/>
      </c>
      <c r="J4554" s="55" t="str">
        <f>IFERROR(IF($G4554="","",VLOOKUP('Dashboard And Emails Automate'!$G4554,Database!$H:$N,4,0)),"")</f>
        <v/>
      </c>
      <c r="K4554" s="55" t="str">
        <f>IFERROR(IF($G4554="","",VLOOKUP('Dashboard And Emails Automate'!$G4554,Database!$H:$N,5,0)),"")</f>
        <v/>
      </c>
      <c r="L4554" s="55" t="str">
        <f>IFERROR(IF($G4554="","",VLOOKUP('Dashboard And Emails Automate'!$G4554,Database!$H:$N,6,0)),"")</f>
        <v/>
      </c>
      <c r="M4554" s="55" t="str">
        <f>IFERROR(IF($G4554="","",VLOOKUP('Dashboard And Emails Automate'!$G4554,Database!$H:$N,7,0)),"")</f>
        <v/>
      </c>
      <c r="N4554" s="55" t="str">
        <f>IFERROR(IF(OR($B4554="",$B4554="(blank)"),"",VLOOKUP($B4554,'Email Marketing Raw Data'!$C:$O,6,0)),"")</f>
        <v/>
      </c>
      <c r="O4554" s="55" t="str">
        <f>IFERROR(IF(OR($B4554="",$B4554="(blank)"),"",VLOOKUP($B4554,'Email Marketing Raw Data'!$C:$O,7,0)),"")</f>
        <v/>
      </c>
      <c r="P4554" s="55" t="str">
        <f>IFERROR(IF(OR($B4554="",$B4554="(blank)"),"",VLOOKUP($B4554,'Email Marketing Raw Data'!$C:$O,8,0)),"")</f>
        <v/>
      </c>
      <c r="Q4554" s="62" t="str">
        <f>IFERROR(IF(OR($B4554="",$B4554="(blank)"),"",VLOOKUP($B4554,'Email Marketing Raw Data'!$C:$O,9,0)),"")</f>
        <v/>
      </c>
    </row>
    <row r="4555" spans="4:17" ht="12.75" customHeight="1" x14ac:dyDescent="0.2">
      <c r="D4555" s="58" t="str">
        <f>IFERROR(IF(F4555&lt;&gt;"pending","",IF(OR($B4555="",$B4555="(blank)"),"",VLOOKUP($B4555,'Email Marketing Raw Data'!$C:$O,10,0))),"")</f>
        <v/>
      </c>
      <c r="E4555" s="59" t="str">
        <f>IFERROR(IF(F4555&lt;&gt;"pending","",IF(OR($B4555="",$B4555="(blank)"),"",VLOOKUP($B4555,'Email Marketing Raw Data'!$C:$O,11,0))),"")</f>
        <v/>
      </c>
      <c r="F4555" s="54" t="str">
        <f>IFERROR(IF(OR($B4555="",$B4555="(blank)"),"",VLOOKUP($B4555,'Email Marketing Raw Data'!$C:$O,13,0)),"")</f>
        <v/>
      </c>
      <c r="G4555" s="55" t="str">
        <f>IFERROR(IF(OR($B4555="",$B4555="(blank)"),"",VLOOKUP($B4555,'Email Marketing Raw Data'!$C:$O,4,0)),"")</f>
        <v/>
      </c>
      <c r="H4555" s="55" t="str">
        <f>IFERROR(IF(OR($B4555="",$B4555="(blank)"),"",VLOOKUP($B4555,'Email Marketing Raw Data'!$C:$O,5,0)),"")</f>
        <v/>
      </c>
      <c r="I4555" s="55" t="str">
        <f>IFERROR(IF($G4555="","",VLOOKUP('Dashboard And Emails Automate'!$G4555,Database!$H:$N,3,0)),"")</f>
        <v/>
      </c>
      <c r="J4555" s="55" t="str">
        <f>IFERROR(IF($G4555="","",VLOOKUP('Dashboard And Emails Automate'!$G4555,Database!$H:$N,4,0)),"")</f>
        <v/>
      </c>
      <c r="K4555" s="55" t="str">
        <f>IFERROR(IF($G4555="","",VLOOKUP('Dashboard And Emails Automate'!$G4555,Database!$H:$N,5,0)),"")</f>
        <v/>
      </c>
      <c r="L4555" s="55" t="str">
        <f>IFERROR(IF($G4555="","",VLOOKUP('Dashboard And Emails Automate'!$G4555,Database!$H:$N,6,0)),"")</f>
        <v/>
      </c>
      <c r="M4555" s="55" t="str">
        <f>IFERROR(IF($G4555="","",VLOOKUP('Dashboard And Emails Automate'!$G4555,Database!$H:$N,7,0)),"")</f>
        <v/>
      </c>
      <c r="N4555" s="55" t="str">
        <f>IFERROR(IF(OR($B4555="",$B4555="(blank)"),"",VLOOKUP($B4555,'Email Marketing Raw Data'!$C:$O,6,0)),"")</f>
        <v/>
      </c>
      <c r="O4555" s="55" t="str">
        <f>IFERROR(IF(OR($B4555="",$B4555="(blank)"),"",VLOOKUP($B4555,'Email Marketing Raw Data'!$C:$O,7,0)),"")</f>
        <v/>
      </c>
      <c r="P4555" s="55" t="str">
        <f>IFERROR(IF(OR($B4555="",$B4555="(blank)"),"",VLOOKUP($B4555,'Email Marketing Raw Data'!$C:$O,8,0)),"")</f>
        <v/>
      </c>
      <c r="Q4555" s="62" t="str">
        <f>IFERROR(IF(OR($B4555="",$B4555="(blank)"),"",VLOOKUP($B4555,'Email Marketing Raw Data'!$C:$O,9,0)),"")</f>
        <v/>
      </c>
    </row>
    <row r="4556" spans="4:17" ht="12.75" customHeight="1" x14ac:dyDescent="0.2">
      <c r="D4556" s="58" t="str">
        <f>IFERROR(IF(F4556&lt;&gt;"pending","",IF(OR($B4556="",$B4556="(blank)"),"",VLOOKUP($B4556,'Email Marketing Raw Data'!$C:$O,10,0))),"")</f>
        <v/>
      </c>
      <c r="E4556" s="59" t="str">
        <f>IFERROR(IF(F4556&lt;&gt;"pending","",IF(OR($B4556="",$B4556="(blank)"),"",VLOOKUP($B4556,'Email Marketing Raw Data'!$C:$O,11,0))),"")</f>
        <v/>
      </c>
      <c r="F4556" s="54" t="str">
        <f>IFERROR(IF(OR($B4556="",$B4556="(blank)"),"",VLOOKUP($B4556,'Email Marketing Raw Data'!$C:$O,13,0)),"")</f>
        <v/>
      </c>
      <c r="G4556" s="55" t="str">
        <f>IFERROR(IF(OR($B4556="",$B4556="(blank)"),"",VLOOKUP($B4556,'Email Marketing Raw Data'!$C:$O,4,0)),"")</f>
        <v/>
      </c>
      <c r="H4556" s="55" t="str">
        <f>IFERROR(IF(OR($B4556="",$B4556="(blank)"),"",VLOOKUP($B4556,'Email Marketing Raw Data'!$C:$O,5,0)),"")</f>
        <v/>
      </c>
      <c r="I4556" s="55" t="str">
        <f>IFERROR(IF($G4556="","",VLOOKUP('Dashboard And Emails Automate'!$G4556,Database!$H:$N,3,0)),"")</f>
        <v/>
      </c>
      <c r="J4556" s="55" t="str">
        <f>IFERROR(IF($G4556="","",VLOOKUP('Dashboard And Emails Automate'!$G4556,Database!$H:$N,4,0)),"")</f>
        <v/>
      </c>
      <c r="K4556" s="55" t="str">
        <f>IFERROR(IF($G4556="","",VLOOKUP('Dashboard And Emails Automate'!$G4556,Database!$H:$N,5,0)),"")</f>
        <v/>
      </c>
      <c r="L4556" s="55" t="str">
        <f>IFERROR(IF($G4556="","",VLOOKUP('Dashboard And Emails Automate'!$G4556,Database!$H:$N,6,0)),"")</f>
        <v/>
      </c>
      <c r="M4556" s="55" t="str">
        <f>IFERROR(IF($G4556="","",VLOOKUP('Dashboard And Emails Automate'!$G4556,Database!$H:$N,7,0)),"")</f>
        <v/>
      </c>
      <c r="N4556" s="55" t="str">
        <f>IFERROR(IF(OR($B4556="",$B4556="(blank)"),"",VLOOKUP($B4556,'Email Marketing Raw Data'!$C:$O,6,0)),"")</f>
        <v/>
      </c>
      <c r="O4556" s="55" t="str">
        <f>IFERROR(IF(OR($B4556="",$B4556="(blank)"),"",VLOOKUP($B4556,'Email Marketing Raw Data'!$C:$O,7,0)),"")</f>
        <v/>
      </c>
      <c r="P4556" s="55" t="str">
        <f>IFERROR(IF(OR($B4556="",$B4556="(blank)"),"",VLOOKUP($B4556,'Email Marketing Raw Data'!$C:$O,8,0)),"")</f>
        <v/>
      </c>
      <c r="Q4556" s="62" t="str">
        <f>IFERROR(IF(OR($B4556="",$B4556="(blank)"),"",VLOOKUP($B4556,'Email Marketing Raw Data'!$C:$O,9,0)),"")</f>
        <v/>
      </c>
    </row>
    <row r="4557" spans="4:17" ht="12.75" customHeight="1" x14ac:dyDescent="0.2">
      <c r="D4557" s="58" t="str">
        <f>IFERROR(IF(F4557&lt;&gt;"pending","",IF(OR($B4557="",$B4557="(blank)"),"",VLOOKUP($B4557,'Email Marketing Raw Data'!$C:$O,10,0))),"")</f>
        <v/>
      </c>
      <c r="E4557" s="59" t="str">
        <f>IFERROR(IF(F4557&lt;&gt;"pending","",IF(OR($B4557="",$B4557="(blank)"),"",VLOOKUP($B4557,'Email Marketing Raw Data'!$C:$O,11,0))),"")</f>
        <v/>
      </c>
      <c r="F4557" s="54" t="str">
        <f>IFERROR(IF(OR($B4557="",$B4557="(blank)"),"",VLOOKUP($B4557,'Email Marketing Raw Data'!$C:$O,13,0)),"")</f>
        <v/>
      </c>
      <c r="G4557" s="55" t="str">
        <f>IFERROR(IF(OR($B4557="",$B4557="(blank)"),"",VLOOKUP($B4557,'Email Marketing Raw Data'!$C:$O,4,0)),"")</f>
        <v/>
      </c>
      <c r="H4557" s="55" t="str">
        <f>IFERROR(IF(OR($B4557="",$B4557="(blank)"),"",VLOOKUP($B4557,'Email Marketing Raw Data'!$C:$O,5,0)),"")</f>
        <v/>
      </c>
      <c r="I4557" s="55" t="str">
        <f>IFERROR(IF($G4557="","",VLOOKUP('Dashboard And Emails Automate'!$G4557,Database!$H:$N,3,0)),"")</f>
        <v/>
      </c>
      <c r="J4557" s="55" t="str">
        <f>IFERROR(IF($G4557="","",VLOOKUP('Dashboard And Emails Automate'!$G4557,Database!$H:$N,4,0)),"")</f>
        <v/>
      </c>
      <c r="K4557" s="55" t="str">
        <f>IFERROR(IF($G4557="","",VLOOKUP('Dashboard And Emails Automate'!$G4557,Database!$H:$N,5,0)),"")</f>
        <v/>
      </c>
      <c r="L4557" s="55" t="str">
        <f>IFERROR(IF($G4557="","",VLOOKUP('Dashboard And Emails Automate'!$G4557,Database!$H:$N,6,0)),"")</f>
        <v/>
      </c>
      <c r="M4557" s="55" t="str">
        <f>IFERROR(IF($G4557="","",VLOOKUP('Dashboard And Emails Automate'!$G4557,Database!$H:$N,7,0)),"")</f>
        <v/>
      </c>
      <c r="N4557" s="55" t="str">
        <f>IFERROR(IF(OR($B4557="",$B4557="(blank)"),"",VLOOKUP($B4557,'Email Marketing Raw Data'!$C:$O,6,0)),"")</f>
        <v/>
      </c>
      <c r="O4557" s="55" t="str">
        <f>IFERROR(IF(OR($B4557="",$B4557="(blank)"),"",VLOOKUP($B4557,'Email Marketing Raw Data'!$C:$O,7,0)),"")</f>
        <v/>
      </c>
      <c r="P4557" s="55" t="str">
        <f>IFERROR(IF(OR($B4557="",$B4557="(blank)"),"",VLOOKUP($B4557,'Email Marketing Raw Data'!$C:$O,8,0)),"")</f>
        <v/>
      </c>
      <c r="Q4557" s="62" t="str">
        <f>IFERROR(IF(OR($B4557="",$B4557="(blank)"),"",VLOOKUP($B4557,'Email Marketing Raw Data'!$C:$O,9,0)),"")</f>
        <v/>
      </c>
    </row>
    <row r="4558" spans="4:17" ht="12.75" customHeight="1" x14ac:dyDescent="0.2">
      <c r="D4558" s="58" t="str">
        <f>IFERROR(IF(F4558&lt;&gt;"pending","",IF(OR($B4558="",$B4558="(blank)"),"",VLOOKUP($B4558,'Email Marketing Raw Data'!$C:$O,10,0))),"")</f>
        <v/>
      </c>
      <c r="E4558" s="59" t="str">
        <f>IFERROR(IF(F4558&lt;&gt;"pending","",IF(OR($B4558="",$B4558="(blank)"),"",VLOOKUP($B4558,'Email Marketing Raw Data'!$C:$O,11,0))),"")</f>
        <v/>
      </c>
      <c r="F4558" s="54" t="str">
        <f>IFERROR(IF(OR($B4558="",$B4558="(blank)"),"",VLOOKUP($B4558,'Email Marketing Raw Data'!$C:$O,13,0)),"")</f>
        <v/>
      </c>
      <c r="G4558" s="55" t="str">
        <f>IFERROR(IF(OR($B4558="",$B4558="(blank)"),"",VLOOKUP($B4558,'Email Marketing Raw Data'!$C:$O,4,0)),"")</f>
        <v/>
      </c>
      <c r="H4558" s="55" t="str">
        <f>IFERROR(IF(OR($B4558="",$B4558="(blank)"),"",VLOOKUP($B4558,'Email Marketing Raw Data'!$C:$O,5,0)),"")</f>
        <v/>
      </c>
      <c r="I4558" s="55" t="str">
        <f>IFERROR(IF($G4558="","",VLOOKUP('Dashboard And Emails Automate'!$G4558,Database!$H:$N,3,0)),"")</f>
        <v/>
      </c>
      <c r="J4558" s="55" t="str">
        <f>IFERROR(IF($G4558="","",VLOOKUP('Dashboard And Emails Automate'!$G4558,Database!$H:$N,4,0)),"")</f>
        <v/>
      </c>
      <c r="K4558" s="55" t="str">
        <f>IFERROR(IF($G4558="","",VLOOKUP('Dashboard And Emails Automate'!$G4558,Database!$H:$N,5,0)),"")</f>
        <v/>
      </c>
      <c r="L4558" s="55" t="str">
        <f>IFERROR(IF($G4558="","",VLOOKUP('Dashboard And Emails Automate'!$G4558,Database!$H:$N,6,0)),"")</f>
        <v/>
      </c>
      <c r="M4558" s="55" t="str">
        <f>IFERROR(IF($G4558="","",VLOOKUP('Dashboard And Emails Automate'!$G4558,Database!$H:$N,7,0)),"")</f>
        <v/>
      </c>
      <c r="N4558" s="55" t="str">
        <f>IFERROR(IF(OR($B4558="",$B4558="(blank)"),"",VLOOKUP($B4558,'Email Marketing Raw Data'!$C:$O,6,0)),"")</f>
        <v/>
      </c>
      <c r="O4558" s="55" t="str">
        <f>IFERROR(IF(OR($B4558="",$B4558="(blank)"),"",VLOOKUP($B4558,'Email Marketing Raw Data'!$C:$O,7,0)),"")</f>
        <v/>
      </c>
      <c r="P4558" s="55" t="str">
        <f>IFERROR(IF(OR($B4558="",$B4558="(blank)"),"",VLOOKUP($B4558,'Email Marketing Raw Data'!$C:$O,8,0)),"")</f>
        <v/>
      </c>
      <c r="Q4558" s="62" t="str">
        <f>IFERROR(IF(OR($B4558="",$B4558="(blank)"),"",VLOOKUP($B4558,'Email Marketing Raw Data'!$C:$O,9,0)),"")</f>
        <v/>
      </c>
    </row>
    <row r="4559" spans="4:17" ht="12.75" customHeight="1" x14ac:dyDescent="0.2">
      <c r="D4559" s="58" t="str">
        <f>IFERROR(IF(F4559&lt;&gt;"pending","",IF(OR($B4559="",$B4559="(blank)"),"",VLOOKUP($B4559,'Email Marketing Raw Data'!$C:$O,10,0))),"")</f>
        <v/>
      </c>
      <c r="E4559" s="59" t="str">
        <f>IFERROR(IF(F4559&lt;&gt;"pending","",IF(OR($B4559="",$B4559="(blank)"),"",VLOOKUP($B4559,'Email Marketing Raw Data'!$C:$O,11,0))),"")</f>
        <v/>
      </c>
      <c r="F4559" s="54" t="str">
        <f>IFERROR(IF(OR($B4559="",$B4559="(blank)"),"",VLOOKUP($B4559,'Email Marketing Raw Data'!$C:$O,13,0)),"")</f>
        <v/>
      </c>
      <c r="G4559" s="55" t="str">
        <f>IFERROR(IF(OR($B4559="",$B4559="(blank)"),"",VLOOKUP($B4559,'Email Marketing Raw Data'!$C:$O,4,0)),"")</f>
        <v/>
      </c>
      <c r="H4559" s="55" t="str">
        <f>IFERROR(IF(OR($B4559="",$B4559="(blank)"),"",VLOOKUP($B4559,'Email Marketing Raw Data'!$C:$O,5,0)),"")</f>
        <v/>
      </c>
      <c r="I4559" s="55" t="str">
        <f>IFERROR(IF($G4559="","",VLOOKUP('Dashboard And Emails Automate'!$G4559,Database!$H:$N,3,0)),"")</f>
        <v/>
      </c>
      <c r="J4559" s="55" t="str">
        <f>IFERROR(IF($G4559="","",VLOOKUP('Dashboard And Emails Automate'!$G4559,Database!$H:$N,4,0)),"")</f>
        <v/>
      </c>
      <c r="K4559" s="55" t="str">
        <f>IFERROR(IF($G4559="","",VLOOKUP('Dashboard And Emails Automate'!$G4559,Database!$H:$N,5,0)),"")</f>
        <v/>
      </c>
      <c r="L4559" s="55" t="str">
        <f>IFERROR(IF($G4559="","",VLOOKUP('Dashboard And Emails Automate'!$G4559,Database!$H:$N,6,0)),"")</f>
        <v/>
      </c>
      <c r="M4559" s="55" t="str">
        <f>IFERROR(IF($G4559="","",VLOOKUP('Dashboard And Emails Automate'!$G4559,Database!$H:$N,7,0)),"")</f>
        <v/>
      </c>
      <c r="N4559" s="55" t="str">
        <f>IFERROR(IF(OR($B4559="",$B4559="(blank)"),"",VLOOKUP($B4559,'Email Marketing Raw Data'!$C:$O,6,0)),"")</f>
        <v/>
      </c>
      <c r="O4559" s="55" t="str">
        <f>IFERROR(IF(OR($B4559="",$B4559="(blank)"),"",VLOOKUP($B4559,'Email Marketing Raw Data'!$C:$O,7,0)),"")</f>
        <v/>
      </c>
      <c r="P4559" s="55" t="str">
        <f>IFERROR(IF(OR($B4559="",$B4559="(blank)"),"",VLOOKUP($B4559,'Email Marketing Raw Data'!$C:$O,8,0)),"")</f>
        <v/>
      </c>
      <c r="Q4559" s="62" t="str">
        <f>IFERROR(IF(OR($B4559="",$B4559="(blank)"),"",VLOOKUP($B4559,'Email Marketing Raw Data'!$C:$O,9,0)),"")</f>
        <v/>
      </c>
    </row>
    <row r="4560" spans="4:17" ht="12.75" customHeight="1" x14ac:dyDescent="0.2">
      <c r="D4560" s="58" t="str">
        <f>IFERROR(IF(F4560&lt;&gt;"pending","",IF(OR($B4560="",$B4560="(blank)"),"",VLOOKUP($B4560,'Email Marketing Raw Data'!$C:$O,10,0))),"")</f>
        <v/>
      </c>
      <c r="E4560" s="59" t="str">
        <f>IFERROR(IF(F4560&lt;&gt;"pending","",IF(OR($B4560="",$B4560="(blank)"),"",VLOOKUP($B4560,'Email Marketing Raw Data'!$C:$O,11,0))),"")</f>
        <v/>
      </c>
      <c r="F4560" s="54" t="str">
        <f>IFERROR(IF(OR($B4560="",$B4560="(blank)"),"",VLOOKUP($B4560,'Email Marketing Raw Data'!$C:$O,13,0)),"")</f>
        <v/>
      </c>
      <c r="G4560" s="55" t="str">
        <f>IFERROR(IF(OR($B4560="",$B4560="(blank)"),"",VLOOKUP($B4560,'Email Marketing Raw Data'!$C:$O,4,0)),"")</f>
        <v/>
      </c>
      <c r="H4560" s="55" t="str">
        <f>IFERROR(IF(OR($B4560="",$B4560="(blank)"),"",VLOOKUP($B4560,'Email Marketing Raw Data'!$C:$O,5,0)),"")</f>
        <v/>
      </c>
      <c r="I4560" s="55" t="str">
        <f>IFERROR(IF($G4560="","",VLOOKUP('Dashboard And Emails Automate'!$G4560,Database!$H:$N,3,0)),"")</f>
        <v/>
      </c>
      <c r="J4560" s="55" t="str">
        <f>IFERROR(IF($G4560="","",VLOOKUP('Dashboard And Emails Automate'!$G4560,Database!$H:$N,4,0)),"")</f>
        <v/>
      </c>
      <c r="K4560" s="55" t="str">
        <f>IFERROR(IF($G4560="","",VLOOKUP('Dashboard And Emails Automate'!$G4560,Database!$H:$N,5,0)),"")</f>
        <v/>
      </c>
      <c r="L4560" s="55" t="str">
        <f>IFERROR(IF($G4560="","",VLOOKUP('Dashboard And Emails Automate'!$G4560,Database!$H:$N,6,0)),"")</f>
        <v/>
      </c>
      <c r="M4560" s="55" t="str">
        <f>IFERROR(IF($G4560="","",VLOOKUP('Dashboard And Emails Automate'!$G4560,Database!$H:$N,7,0)),"")</f>
        <v/>
      </c>
      <c r="N4560" s="55" t="str">
        <f>IFERROR(IF(OR($B4560="",$B4560="(blank)"),"",VLOOKUP($B4560,'Email Marketing Raw Data'!$C:$O,6,0)),"")</f>
        <v/>
      </c>
      <c r="O4560" s="55" t="str">
        <f>IFERROR(IF(OR($B4560="",$B4560="(blank)"),"",VLOOKUP($B4560,'Email Marketing Raw Data'!$C:$O,7,0)),"")</f>
        <v/>
      </c>
      <c r="P4560" s="55" t="str">
        <f>IFERROR(IF(OR($B4560="",$B4560="(blank)"),"",VLOOKUP($B4560,'Email Marketing Raw Data'!$C:$O,8,0)),"")</f>
        <v/>
      </c>
      <c r="Q4560" s="62" t="str">
        <f>IFERROR(IF(OR($B4560="",$B4560="(blank)"),"",VLOOKUP($B4560,'Email Marketing Raw Data'!$C:$O,9,0)),"")</f>
        <v/>
      </c>
    </row>
    <row r="4561" spans="4:17" ht="12.75" customHeight="1" x14ac:dyDescent="0.2">
      <c r="D4561" s="58" t="str">
        <f>IFERROR(IF(F4561&lt;&gt;"pending","",IF(OR($B4561="",$B4561="(blank)"),"",VLOOKUP($B4561,'Email Marketing Raw Data'!$C:$O,10,0))),"")</f>
        <v/>
      </c>
      <c r="E4561" s="59" t="str">
        <f>IFERROR(IF(F4561&lt;&gt;"pending","",IF(OR($B4561="",$B4561="(blank)"),"",VLOOKUP($B4561,'Email Marketing Raw Data'!$C:$O,11,0))),"")</f>
        <v/>
      </c>
      <c r="F4561" s="54" t="str">
        <f>IFERROR(IF(OR($B4561="",$B4561="(blank)"),"",VLOOKUP($B4561,'Email Marketing Raw Data'!$C:$O,13,0)),"")</f>
        <v/>
      </c>
      <c r="G4561" s="55" t="str">
        <f>IFERROR(IF(OR($B4561="",$B4561="(blank)"),"",VLOOKUP($B4561,'Email Marketing Raw Data'!$C:$O,4,0)),"")</f>
        <v/>
      </c>
      <c r="H4561" s="55" t="str">
        <f>IFERROR(IF(OR($B4561="",$B4561="(blank)"),"",VLOOKUP($B4561,'Email Marketing Raw Data'!$C:$O,5,0)),"")</f>
        <v/>
      </c>
      <c r="I4561" s="55" t="str">
        <f>IFERROR(IF($G4561="","",VLOOKUP('Dashboard And Emails Automate'!$G4561,Database!$H:$N,3,0)),"")</f>
        <v/>
      </c>
      <c r="J4561" s="55" t="str">
        <f>IFERROR(IF($G4561="","",VLOOKUP('Dashboard And Emails Automate'!$G4561,Database!$H:$N,4,0)),"")</f>
        <v/>
      </c>
      <c r="K4561" s="55" t="str">
        <f>IFERROR(IF($G4561="","",VLOOKUP('Dashboard And Emails Automate'!$G4561,Database!$H:$N,5,0)),"")</f>
        <v/>
      </c>
      <c r="L4561" s="55" t="str">
        <f>IFERROR(IF($G4561="","",VLOOKUP('Dashboard And Emails Automate'!$G4561,Database!$H:$N,6,0)),"")</f>
        <v/>
      </c>
      <c r="M4561" s="55" t="str">
        <f>IFERROR(IF($G4561="","",VLOOKUP('Dashboard And Emails Automate'!$G4561,Database!$H:$N,7,0)),"")</f>
        <v/>
      </c>
      <c r="N4561" s="55" t="str">
        <f>IFERROR(IF(OR($B4561="",$B4561="(blank)"),"",VLOOKUP($B4561,'Email Marketing Raw Data'!$C:$O,6,0)),"")</f>
        <v/>
      </c>
      <c r="O4561" s="55" t="str">
        <f>IFERROR(IF(OR($B4561="",$B4561="(blank)"),"",VLOOKUP($B4561,'Email Marketing Raw Data'!$C:$O,7,0)),"")</f>
        <v/>
      </c>
      <c r="P4561" s="55" t="str">
        <f>IFERROR(IF(OR($B4561="",$B4561="(blank)"),"",VLOOKUP($B4561,'Email Marketing Raw Data'!$C:$O,8,0)),"")</f>
        <v/>
      </c>
      <c r="Q4561" s="62" t="str">
        <f>IFERROR(IF(OR($B4561="",$B4561="(blank)"),"",VLOOKUP($B4561,'Email Marketing Raw Data'!$C:$O,9,0)),"")</f>
        <v/>
      </c>
    </row>
    <row r="4562" spans="4:17" ht="12.75" customHeight="1" x14ac:dyDescent="0.2">
      <c r="D4562" s="58" t="str">
        <f>IFERROR(IF(F4562&lt;&gt;"pending","",IF(OR($B4562="",$B4562="(blank)"),"",VLOOKUP($B4562,'Email Marketing Raw Data'!$C:$O,10,0))),"")</f>
        <v/>
      </c>
      <c r="E4562" s="59" t="str">
        <f>IFERROR(IF(F4562&lt;&gt;"pending","",IF(OR($B4562="",$B4562="(blank)"),"",VLOOKUP($B4562,'Email Marketing Raw Data'!$C:$O,11,0))),"")</f>
        <v/>
      </c>
      <c r="F4562" s="54" t="str">
        <f>IFERROR(IF(OR($B4562="",$B4562="(blank)"),"",VLOOKUP($B4562,'Email Marketing Raw Data'!$C:$O,13,0)),"")</f>
        <v/>
      </c>
      <c r="G4562" s="55" t="str">
        <f>IFERROR(IF(OR($B4562="",$B4562="(blank)"),"",VLOOKUP($B4562,'Email Marketing Raw Data'!$C:$O,4,0)),"")</f>
        <v/>
      </c>
      <c r="H4562" s="55" t="str">
        <f>IFERROR(IF(OR($B4562="",$B4562="(blank)"),"",VLOOKUP($B4562,'Email Marketing Raw Data'!$C:$O,5,0)),"")</f>
        <v/>
      </c>
      <c r="I4562" s="55" t="str">
        <f>IFERROR(IF($G4562="","",VLOOKUP('Dashboard And Emails Automate'!$G4562,Database!$H:$N,3,0)),"")</f>
        <v/>
      </c>
      <c r="J4562" s="55" t="str">
        <f>IFERROR(IF($G4562="","",VLOOKUP('Dashboard And Emails Automate'!$G4562,Database!$H:$N,4,0)),"")</f>
        <v/>
      </c>
      <c r="K4562" s="55" t="str">
        <f>IFERROR(IF($G4562="","",VLOOKUP('Dashboard And Emails Automate'!$G4562,Database!$H:$N,5,0)),"")</f>
        <v/>
      </c>
      <c r="L4562" s="55" t="str">
        <f>IFERROR(IF($G4562="","",VLOOKUP('Dashboard And Emails Automate'!$G4562,Database!$H:$N,6,0)),"")</f>
        <v/>
      </c>
      <c r="M4562" s="55" t="str">
        <f>IFERROR(IF($G4562="","",VLOOKUP('Dashboard And Emails Automate'!$G4562,Database!$H:$N,7,0)),"")</f>
        <v/>
      </c>
      <c r="N4562" s="55" t="str">
        <f>IFERROR(IF(OR($B4562="",$B4562="(blank)"),"",VLOOKUP($B4562,'Email Marketing Raw Data'!$C:$O,6,0)),"")</f>
        <v/>
      </c>
      <c r="O4562" s="55" t="str">
        <f>IFERROR(IF(OR($B4562="",$B4562="(blank)"),"",VLOOKUP($B4562,'Email Marketing Raw Data'!$C:$O,7,0)),"")</f>
        <v/>
      </c>
      <c r="P4562" s="55" t="str">
        <f>IFERROR(IF(OR($B4562="",$B4562="(blank)"),"",VLOOKUP($B4562,'Email Marketing Raw Data'!$C:$O,8,0)),"")</f>
        <v/>
      </c>
      <c r="Q4562" s="62" t="str">
        <f>IFERROR(IF(OR($B4562="",$B4562="(blank)"),"",VLOOKUP($B4562,'Email Marketing Raw Data'!$C:$O,9,0)),"")</f>
        <v/>
      </c>
    </row>
    <row r="4563" spans="4:17" ht="12.75" customHeight="1" x14ac:dyDescent="0.2">
      <c r="D4563" s="58" t="str">
        <f>IFERROR(IF(F4563&lt;&gt;"pending","",IF(OR($B4563="",$B4563="(blank)"),"",VLOOKUP($B4563,'Email Marketing Raw Data'!$C:$O,10,0))),"")</f>
        <v/>
      </c>
      <c r="E4563" s="59" t="str">
        <f>IFERROR(IF(F4563&lt;&gt;"pending","",IF(OR($B4563="",$B4563="(blank)"),"",VLOOKUP($B4563,'Email Marketing Raw Data'!$C:$O,11,0))),"")</f>
        <v/>
      </c>
      <c r="F4563" s="54" t="str">
        <f>IFERROR(IF(OR($B4563="",$B4563="(blank)"),"",VLOOKUP($B4563,'Email Marketing Raw Data'!$C:$O,13,0)),"")</f>
        <v/>
      </c>
      <c r="G4563" s="55" t="str">
        <f>IFERROR(IF(OR($B4563="",$B4563="(blank)"),"",VLOOKUP($B4563,'Email Marketing Raw Data'!$C:$O,4,0)),"")</f>
        <v/>
      </c>
      <c r="H4563" s="55" t="str">
        <f>IFERROR(IF(OR($B4563="",$B4563="(blank)"),"",VLOOKUP($B4563,'Email Marketing Raw Data'!$C:$O,5,0)),"")</f>
        <v/>
      </c>
      <c r="I4563" s="55" t="str">
        <f>IFERROR(IF($G4563="","",VLOOKUP('Dashboard And Emails Automate'!$G4563,Database!$H:$N,3,0)),"")</f>
        <v/>
      </c>
      <c r="J4563" s="55" t="str">
        <f>IFERROR(IF($G4563="","",VLOOKUP('Dashboard And Emails Automate'!$G4563,Database!$H:$N,4,0)),"")</f>
        <v/>
      </c>
      <c r="K4563" s="55" t="str">
        <f>IFERROR(IF($G4563="","",VLOOKUP('Dashboard And Emails Automate'!$G4563,Database!$H:$N,5,0)),"")</f>
        <v/>
      </c>
      <c r="L4563" s="55" t="str">
        <f>IFERROR(IF($G4563="","",VLOOKUP('Dashboard And Emails Automate'!$G4563,Database!$H:$N,6,0)),"")</f>
        <v/>
      </c>
      <c r="M4563" s="55" t="str">
        <f>IFERROR(IF($G4563="","",VLOOKUP('Dashboard And Emails Automate'!$G4563,Database!$H:$N,7,0)),"")</f>
        <v/>
      </c>
      <c r="N4563" s="55" t="str">
        <f>IFERROR(IF(OR($B4563="",$B4563="(blank)"),"",VLOOKUP($B4563,'Email Marketing Raw Data'!$C:$O,6,0)),"")</f>
        <v/>
      </c>
      <c r="O4563" s="55" t="str">
        <f>IFERROR(IF(OR($B4563="",$B4563="(blank)"),"",VLOOKUP($B4563,'Email Marketing Raw Data'!$C:$O,7,0)),"")</f>
        <v/>
      </c>
      <c r="P4563" s="55" t="str">
        <f>IFERROR(IF(OR($B4563="",$B4563="(blank)"),"",VLOOKUP($B4563,'Email Marketing Raw Data'!$C:$O,8,0)),"")</f>
        <v/>
      </c>
      <c r="Q4563" s="62" t="str">
        <f>IFERROR(IF(OR($B4563="",$B4563="(blank)"),"",VLOOKUP($B4563,'Email Marketing Raw Data'!$C:$O,9,0)),"")</f>
        <v/>
      </c>
    </row>
    <row r="4564" spans="4:17" ht="12.75" customHeight="1" x14ac:dyDescent="0.2">
      <c r="D4564" s="58" t="str">
        <f>IFERROR(IF(F4564&lt;&gt;"pending","",IF(OR($B4564="",$B4564="(blank)"),"",VLOOKUP($B4564,'Email Marketing Raw Data'!$C:$O,10,0))),"")</f>
        <v/>
      </c>
      <c r="E4564" s="59" t="str">
        <f>IFERROR(IF(F4564&lt;&gt;"pending","",IF(OR($B4564="",$B4564="(blank)"),"",VLOOKUP($B4564,'Email Marketing Raw Data'!$C:$O,11,0))),"")</f>
        <v/>
      </c>
      <c r="F4564" s="54" t="str">
        <f>IFERROR(IF(OR($B4564="",$B4564="(blank)"),"",VLOOKUP($B4564,'Email Marketing Raw Data'!$C:$O,13,0)),"")</f>
        <v/>
      </c>
      <c r="G4564" s="55" t="str">
        <f>IFERROR(IF(OR($B4564="",$B4564="(blank)"),"",VLOOKUP($B4564,'Email Marketing Raw Data'!$C:$O,4,0)),"")</f>
        <v/>
      </c>
      <c r="H4564" s="55" t="str">
        <f>IFERROR(IF(OR($B4564="",$B4564="(blank)"),"",VLOOKUP($B4564,'Email Marketing Raw Data'!$C:$O,5,0)),"")</f>
        <v/>
      </c>
      <c r="I4564" s="55" t="str">
        <f>IFERROR(IF($G4564="","",VLOOKUP('Dashboard And Emails Automate'!$G4564,Database!$H:$N,3,0)),"")</f>
        <v/>
      </c>
      <c r="J4564" s="55" t="str">
        <f>IFERROR(IF($G4564="","",VLOOKUP('Dashboard And Emails Automate'!$G4564,Database!$H:$N,4,0)),"")</f>
        <v/>
      </c>
      <c r="K4564" s="55" t="str">
        <f>IFERROR(IF($G4564="","",VLOOKUP('Dashboard And Emails Automate'!$G4564,Database!$H:$N,5,0)),"")</f>
        <v/>
      </c>
      <c r="L4564" s="55" t="str">
        <f>IFERROR(IF($G4564="","",VLOOKUP('Dashboard And Emails Automate'!$G4564,Database!$H:$N,6,0)),"")</f>
        <v/>
      </c>
      <c r="M4564" s="55" t="str">
        <f>IFERROR(IF($G4564="","",VLOOKUP('Dashboard And Emails Automate'!$G4564,Database!$H:$N,7,0)),"")</f>
        <v/>
      </c>
      <c r="N4564" s="55" t="str">
        <f>IFERROR(IF(OR($B4564="",$B4564="(blank)"),"",VLOOKUP($B4564,'Email Marketing Raw Data'!$C:$O,6,0)),"")</f>
        <v/>
      </c>
      <c r="O4564" s="55" t="str">
        <f>IFERROR(IF(OR($B4564="",$B4564="(blank)"),"",VLOOKUP($B4564,'Email Marketing Raw Data'!$C:$O,7,0)),"")</f>
        <v/>
      </c>
      <c r="P4564" s="55" t="str">
        <f>IFERROR(IF(OR($B4564="",$B4564="(blank)"),"",VLOOKUP($B4564,'Email Marketing Raw Data'!$C:$O,8,0)),"")</f>
        <v/>
      </c>
      <c r="Q4564" s="62" t="str">
        <f>IFERROR(IF(OR($B4564="",$B4564="(blank)"),"",VLOOKUP($B4564,'Email Marketing Raw Data'!$C:$O,9,0)),"")</f>
        <v/>
      </c>
    </row>
    <row r="4565" spans="4:17" ht="12.75" customHeight="1" x14ac:dyDescent="0.2">
      <c r="D4565" s="58" t="str">
        <f>IFERROR(IF(F4565&lt;&gt;"pending","",IF(OR($B4565="",$B4565="(blank)"),"",VLOOKUP($B4565,'Email Marketing Raw Data'!$C:$O,10,0))),"")</f>
        <v/>
      </c>
      <c r="E4565" s="59" t="str">
        <f>IFERROR(IF(F4565&lt;&gt;"pending","",IF(OR($B4565="",$B4565="(blank)"),"",VLOOKUP($B4565,'Email Marketing Raw Data'!$C:$O,11,0))),"")</f>
        <v/>
      </c>
      <c r="F4565" s="54" t="str">
        <f>IFERROR(IF(OR($B4565="",$B4565="(blank)"),"",VLOOKUP($B4565,'Email Marketing Raw Data'!$C:$O,13,0)),"")</f>
        <v/>
      </c>
      <c r="G4565" s="55" t="str">
        <f>IFERROR(IF(OR($B4565="",$B4565="(blank)"),"",VLOOKUP($B4565,'Email Marketing Raw Data'!$C:$O,4,0)),"")</f>
        <v/>
      </c>
      <c r="H4565" s="55" t="str">
        <f>IFERROR(IF(OR($B4565="",$B4565="(blank)"),"",VLOOKUP($B4565,'Email Marketing Raw Data'!$C:$O,5,0)),"")</f>
        <v/>
      </c>
      <c r="I4565" s="55" t="str">
        <f>IFERROR(IF($G4565="","",VLOOKUP('Dashboard And Emails Automate'!$G4565,Database!$H:$N,3,0)),"")</f>
        <v/>
      </c>
      <c r="J4565" s="55" t="str">
        <f>IFERROR(IF($G4565="","",VLOOKUP('Dashboard And Emails Automate'!$G4565,Database!$H:$N,4,0)),"")</f>
        <v/>
      </c>
      <c r="K4565" s="55" t="str">
        <f>IFERROR(IF($G4565="","",VLOOKUP('Dashboard And Emails Automate'!$G4565,Database!$H:$N,5,0)),"")</f>
        <v/>
      </c>
      <c r="L4565" s="55" t="str">
        <f>IFERROR(IF($G4565="","",VLOOKUP('Dashboard And Emails Automate'!$G4565,Database!$H:$N,6,0)),"")</f>
        <v/>
      </c>
      <c r="M4565" s="55" t="str">
        <f>IFERROR(IF($G4565="","",VLOOKUP('Dashboard And Emails Automate'!$G4565,Database!$H:$N,7,0)),"")</f>
        <v/>
      </c>
      <c r="N4565" s="55" t="str">
        <f>IFERROR(IF(OR($B4565="",$B4565="(blank)"),"",VLOOKUP($B4565,'Email Marketing Raw Data'!$C:$O,6,0)),"")</f>
        <v/>
      </c>
      <c r="O4565" s="55" t="str">
        <f>IFERROR(IF(OR($B4565="",$B4565="(blank)"),"",VLOOKUP($B4565,'Email Marketing Raw Data'!$C:$O,7,0)),"")</f>
        <v/>
      </c>
      <c r="P4565" s="55" t="str">
        <f>IFERROR(IF(OR($B4565="",$B4565="(blank)"),"",VLOOKUP($B4565,'Email Marketing Raw Data'!$C:$O,8,0)),"")</f>
        <v/>
      </c>
      <c r="Q4565" s="62" t="str">
        <f>IFERROR(IF(OR($B4565="",$B4565="(blank)"),"",VLOOKUP($B4565,'Email Marketing Raw Data'!$C:$O,9,0)),"")</f>
        <v/>
      </c>
    </row>
    <row r="4566" spans="4:17" ht="12.75" customHeight="1" x14ac:dyDescent="0.2">
      <c r="D4566" s="58" t="str">
        <f>IFERROR(IF(F4566&lt;&gt;"pending","",IF(OR($B4566="",$B4566="(blank)"),"",VLOOKUP($B4566,'Email Marketing Raw Data'!$C:$O,10,0))),"")</f>
        <v/>
      </c>
      <c r="E4566" s="59" t="str">
        <f>IFERROR(IF(F4566&lt;&gt;"pending","",IF(OR($B4566="",$B4566="(blank)"),"",VLOOKUP($B4566,'Email Marketing Raw Data'!$C:$O,11,0))),"")</f>
        <v/>
      </c>
      <c r="F4566" s="54" t="str">
        <f>IFERROR(IF(OR($B4566="",$B4566="(blank)"),"",VLOOKUP($B4566,'Email Marketing Raw Data'!$C:$O,13,0)),"")</f>
        <v/>
      </c>
      <c r="G4566" s="55" t="str">
        <f>IFERROR(IF(OR($B4566="",$B4566="(blank)"),"",VLOOKUP($B4566,'Email Marketing Raw Data'!$C:$O,4,0)),"")</f>
        <v/>
      </c>
      <c r="H4566" s="55" t="str">
        <f>IFERROR(IF(OR($B4566="",$B4566="(blank)"),"",VLOOKUP($B4566,'Email Marketing Raw Data'!$C:$O,5,0)),"")</f>
        <v/>
      </c>
      <c r="I4566" s="55" t="str">
        <f>IFERROR(IF($G4566="","",VLOOKUP('Dashboard And Emails Automate'!$G4566,Database!$H:$N,3,0)),"")</f>
        <v/>
      </c>
      <c r="J4566" s="55" t="str">
        <f>IFERROR(IF($G4566="","",VLOOKUP('Dashboard And Emails Automate'!$G4566,Database!$H:$N,4,0)),"")</f>
        <v/>
      </c>
      <c r="K4566" s="55" t="str">
        <f>IFERROR(IF($G4566="","",VLOOKUP('Dashboard And Emails Automate'!$G4566,Database!$H:$N,5,0)),"")</f>
        <v/>
      </c>
      <c r="L4566" s="55" t="str">
        <f>IFERROR(IF($G4566="","",VLOOKUP('Dashboard And Emails Automate'!$G4566,Database!$H:$N,6,0)),"")</f>
        <v/>
      </c>
      <c r="M4566" s="55" t="str">
        <f>IFERROR(IF($G4566="","",VLOOKUP('Dashboard And Emails Automate'!$G4566,Database!$H:$N,7,0)),"")</f>
        <v/>
      </c>
      <c r="N4566" s="55" t="str">
        <f>IFERROR(IF(OR($B4566="",$B4566="(blank)"),"",VLOOKUP($B4566,'Email Marketing Raw Data'!$C:$O,6,0)),"")</f>
        <v/>
      </c>
      <c r="O4566" s="55" t="str">
        <f>IFERROR(IF(OR($B4566="",$B4566="(blank)"),"",VLOOKUP($B4566,'Email Marketing Raw Data'!$C:$O,7,0)),"")</f>
        <v/>
      </c>
      <c r="P4566" s="55" t="str">
        <f>IFERROR(IF(OR($B4566="",$B4566="(blank)"),"",VLOOKUP($B4566,'Email Marketing Raw Data'!$C:$O,8,0)),"")</f>
        <v/>
      </c>
      <c r="Q4566" s="62" t="str">
        <f>IFERROR(IF(OR($B4566="",$B4566="(blank)"),"",VLOOKUP($B4566,'Email Marketing Raw Data'!$C:$O,9,0)),"")</f>
        <v/>
      </c>
    </row>
    <row r="4567" spans="4:17" ht="12.75" customHeight="1" x14ac:dyDescent="0.2">
      <c r="D4567" s="58" t="str">
        <f>IFERROR(IF(F4567&lt;&gt;"pending","",IF(OR($B4567="",$B4567="(blank)"),"",VLOOKUP($B4567,'Email Marketing Raw Data'!$C:$O,10,0))),"")</f>
        <v/>
      </c>
      <c r="E4567" s="59" t="str">
        <f>IFERROR(IF(F4567&lt;&gt;"pending","",IF(OR($B4567="",$B4567="(blank)"),"",VLOOKUP($B4567,'Email Marketing Raw Data'!$C:$O,11,0))),"")</f>
        <v/>
      </c>
      <c r="F4567" s="54" t="str">
        <f>IFERROR(IF(OR($B4567="",$B4567="(blank)"),"",VLOOKUP($B4567,'Email Marketing Raw Data'!$C:$O,13,0)),"")</f>
        <v/>
      </c>
      <c r="G4567" s="55" t="str">
        <f>IFERROR(IF(OR($B4567="",$B4567="(blank)"),"",VLOOKUP($B4567,'Email Marketing Raw Data'!$C:$O,4,0)),"")</f>
        <v/>
      </c>
      <c r="H4567" s="55" t="str">
        <f>IFERROR(IF(OR($B4567="",$B4567="(blank)"),"",VLOOKUP($B4567,'Email Marketing Raw Data'!$C:$O,5,0)),"")</f>
        <v/>
      </c>
      <c r="I4567" s="55" t="str">
        <f>IFERROR(IF($G4567="","",VLOOKUP('Dashboard And Emails Automate'!$G4567,Database!$H:$N,3,0)),"")</f>
        <v/>
      </c>
      <c r="J4567" s="55" t="str">
        <f>IFERROR(IF($G4567="","",VLOOKUP('Dashboard And Emails Automate'!$G4567,Database!$H:$N,4,0)),"")</f>
        <v/>
      </c>
      <c r="K4567" s="55" t="str">
        <f>IFERROR(IF($G4567="","",VLOOKUP('Dashboard And Emails Automate'!$G4567,Database!$H:$N,5,0)),"")</f>
        <v/>
      </c>
      <c r="L4567" s="55" t="str">
        <f>IFERROR(IF($G4567="","",VLOOKUP('Dashboard And Emails Automate'!$G4567,Database!$H:$N,6,0)),"")</f>
        <v/>
      </c>
      <c r="M4567" s="55" t="str">
        <f>IFERROR(IF($G4567="","",VLOOKUP('Dashboard And Emails Automate'!$G4567,Database!$H:$N,7,0)),"")</f>
        <v/>
      </c>
      <c r="N4567" s="55" t="str">
        <f>IFERROR(IF(OR($B4567="",$B4567="(blank)"),"",VLOOKUP($B4567,'Email Marketing Raw Data'!$C:$O,6,0)),"")</f>
        <v/>
      </c>
      <c r="O4567" s="55" t="str">
        <f>IFERROR(IF(OR($B4567="",$B4567="(blank)"),"",VLOOKUP($B4567,'Email Marketing Raw Data'!$C:$O,7,0)),"")</f>
        <v/>
      </c>
      <c r="P4567" s="55" t="str">
        <f>IFERROR(IF(OR($B4567="",$B4567="(blank)"),"",VLOOKUP($B4567,'Email Marketing Raw Data'!$C:$O,8,0)),"")</f>
        <v/>
      </c>
      <c r="Q4567" s="62" t="str">
        <f>IFERROR(IF(OR($B4567="",$B4567="(blank)"),"",VLOOKUP($B4567,'Email Marketing Raw Data'!$C:$O,9,0)),"")</f>
        <v/>
      </c>
    </row>
    <row r="4568" spans="4:17" ht="12.75" customHeight="1" x14ac:dyDescent="0.2">
      <c r="D4568" s="58" t="str">
        <f>IFERROR(IF(F4568&lt;&gt;"pending","",IF(OR($B4568="",$B4568="(blank)"),"",VLOOKUP($B4568,'Email Marketing Raw Data'!$C:$O,10,0))),"")</f>
        <v/>
      </c>
      <c r="E4568" s="59" t="str">
        <f>IFERROR(IF(F4568&lt;&gt;"pending","",IF(OR($B4568="",$B4568="(blank)"),"",VLOOKUP($B4568,'Email Marketing Raw Data'!$C:$O,11,0))),"")</f>
        <v/>
      </c>
      <c r="F4568" s="54" t="str">
        <f>IFERROR(IF(OR($B4568="",$B4568="(blank)"),"",VLOOKUP($B4568,'Email Marketing Raw Data'!$C:$O,13,0)),"")</f>
        <v/>
      </c>
      <c r="G4568" s="55" t="str">
        <f>IFERROR(IF(OR($B4568="",$B4568="(blank)"),"",VLOOKUP($B4568,'Email Marketing Raw Data'!$C:$O,4,0)),"")</f>
        <v/>
      </c>
      <c r="H4568" s="55" t="str">
        <f>IFERROR(IF(OR($B4568="",$B4568="(blank)"),"",VLOOKUP($B4568,'Email Marketing Raw Data'!$C:$O,5,0)),"")</f>
        <v/>
      </c>
      <c r="I4568" s="55" t="str">
        <f>IFERROR(IF($G4568="","",VLOOKUP('Dashboard And Emails Automate'!$G4568,Database!$H:$N,3,0)),"")</f>
        <v/>
      </c>
      <c r="J4568" s="55" t="str">
        <f>IFERROR(IF($G4568="","",VLOOKUP('Dashboard And Emails Automate'!$G4568,Database!$H:$N,4,0)),"")</f>
        <v/>
      </c>
      <c r="K4568" s="55" t="str">
        <f>IFERROR(IF($G4568="","",VLOOKUP('Dashboard And Emails Automate'!$G4568,Database!$H:$N,5,0)),"")</f>
        <v/>
      </c>
      <c r="L4568" s="55" t="str">
        <f>IFERROR(IF($G4568="","",VLOOKUP('Dashboard And Emails Automate'!$G4568,Database!$H:$N,6,0)),"")</f>
        <v/>
      </c>
      <c r="M4568" s="55" t="str">
        <f>IFERROR(IF($G4568="","",VLOOKUP('Dashboard And Emails Automate'!$G4568,Database!$H:$N,7,0)),"")</f>
        <v/>
      </c>
      <c r="N4568" s="55" t="str">
        <f>IFERROR(IF(OR($B4568="",$B4568="(blank)"),"",VLOOKUP($B4568,'Email Marketing Raw Data'!$C:$O,6,0)),"")</f>
        <v/>
      </c>
      <c r="O4568" s="55" t="str">
        <f>IFERROR(IF(OR($B4568="",$B4568="(blank)"),"",VLOOKUP($B4568,'Email Marketing Raw Data'!$C:$O,7,0)),"")</f>
        <v/>
      </c>
      <c r="P4568" s="55" t="str">
        <f>IFERROR(IF(OR($B4568="",$B4568="(blank)"),"",VLOOKUP($B4568,'Email Marketing Raw Data'!$C:$O,8,0)),"")</f>
        <v/>
      </c>
      <c r="Q4568" s="62" t="str">
        <f>IFERROR(IF(OR($B4568="",$B4568="(blank)"),"",VLOOKUP($B4568,'Email Marketing Raw Data'!$C:$O,9,0)),"")</f>
        <v/>
      </c>
    </row>
    <row r="4569" spans="4:17" ht="12.75" customHeight="1" x14ac:dyDescent="0.2">
      <c r="D4569" s="58" t="str">
        <f>IFERROR(IF(F4569&lt;&gt;"pending","",IF(OR($B4569="",$B4569="(blank)"),"",VLOOKUP($B4569,'Email Marketing Raw Data'!$C:$O,10,0))),"")</f>
        <v/>
      </c>
      <c r="E4569" s="59" t="str">
        <f>IFERROR(IF(F4569&lt;&gt;"pending","",IF(OR($B4569="",$B4569="(blank)"),"",VLOOKUP($B4569,'Email Marketing Raw Data'!$C:$O,11,0))),"")</f>
        <v/>
      </c>
      <c r="F4569" s="54" t="str">
        <f>IFERROR(IF(OR($B4569="",$B4569="(blank)"),"",VLOOKUP($B4569,'Email Marketing Raw Data'!$C:$O,13,0)),"")</f>
        <v/>
      </c>
      <c r="G4569" s="55" t="str">
        <f>IFERROR(IF(OR($B4569="",$B4569="(blank)"),"",VLOOKUP($B4569,'Email Marketing Raw Data'!$C:$O,4,0)),"")</f>
        <v/>
      </c>
      <c r="H4569" s="55" t="str">
        <f>IFERROR(IF(OR($B4569="",$B4569="(blank)"),"",VLOOKUP($B4569,'Email Marketing Raw Data'!$C:$O,5,0)),"")</f>
        <v/>
      </c>
      <c r="I4569" s="55" t="str">
        <f>IFERROR(IF($G4569="","",VLOOKUP('Dashboard And Emails Automate'!$G4569,Database!$H:$N,3,0)),"")</f>
        <v/>
      </c>
      <c r="J4569" s="55" t="str">
        <f>IFERROR(IF($G4569="","",VLOOKUP('Dashboard And Emails Automate'!$G4569,Database!$H:$N,4,0)),"")</f>
        <v/>
      </c>
      <c r="K4569" s="55" t="str">
        <f>IFERROR(IF($G4569="","",VLOOKUP('Dashboard And Emails Automate'!$G4569,Database!$H:$N,5,0)),"")</f>
        <v/>
      </c>
      <c r="L4569" s="55" t="str">
        <f>IFERROR(IF($G4569="","",VLOOKUP('Dashboard And Emails Automate'!$G4569,Database!$H:$N,6,0)),"")</f>
        <v/>
      </c>
      <c r="M4569" s="55" t="str">
        <f>IFERROR(IF($G4569="","",VLOOKUP('Dashboard And Emails Automate'!$G4569,Database!$H:$N,7,0)),"")</f>
        <v/>
      </c>
      <c r="N4569" s="55" t="str">
        <f>IFERROR(IF(OR($B4569="",$B4569="(blank)"),"",VLOOKUP($B4569,'Email Marketing Raw Data'!$C:$O,6,0)),"")</f>
        <v/>
      </c>
      <c r="O4569" s="55" t="str">
        <f>IFERROR(IF(OR($B4569="",$B4569="(blank)"),"",VLOOKUP($B4569,'Email Marketing Raw Data'!$C:$O,7,0)),"")</f>
        <v/>
      </c>
      <c r="P4569" s="55" t="str">
        <f>IFERROR(IF(OR($B4569="",$B4569="(blank)"),"",VLOOKUP($B4569,'Email Marketing Raw Data'!$C:$O,8,0)),"")</f>
        <v/>
      </c>
      <c r="Q4569" s="62" t="str">
        <f>IFERROR(IF(OR($B4569="",$B4569="(blank)"),"",VLOOKUP($B4569,'Email Marketing Raw Data'!$C:$O,9,0)),"")</f>
        <v/>
      </c>
    </row>
    <row r="4570" spans="4:17" ht="12.75" customHeight="1" x14ac:dyDescent="0.2">
      <c r="D4570" s="58" t="str">
        <f>IFERROR(IF(F4570&lt;&gt;"pending","",IF(OR($B4570="",$B4570="(blank)"),"",VLOOKUP($B4570,'Email Marketing Raw Data'!$C:$O,10,0))),"")</f>
        <v/>
      </c>
      <c r="E4570" s="59" t="str">
        <f>IFERROR(IF(F4570&lt;&gt;"pending","",IF(OR($B4570="",$B4570="(blank)"),"",VLOOKUP($B4570,'Email Marketing Raw Data'!$C:$O,11,0))),"")</f>
        <v/>
      </c>
      <c r="F4570" s="54" t="str">
        <f>IFERROR(IF(OR($B4570="",$B4570="(blank)"),"",VLOOKUP($B4570,'Email Marketing Raw Data'!$C:$O,13,0)),"")</f>
        <v/>
      </c>
      <c r="G4570" s="55" t="str">
        <f>IFERROR(IF(OR($B4570="",$B4570="(blank)"),"",VLOOKUP($B4570,'Email Marketing Raw Data'!$C:$O,4,0)),"")</f>
        <v/>
      </c>
      <c r="H4570" s="55" t="str">
        <f>IFERROR(IF(OR($B4570="",$B4570="(blank)"),"",VLOOKUP($B4570,'Email Marketing Raw Data'!$C:$O,5,0)),"")</f>
        <v/>
      </c>
      <c r="I4570" s="55" t="str">
        <f>IFERROR(IF($G4570="","",VLOOKUP('Dashboard And Emails Automate'!$G4570,Database!$H:$N,3,0)),"")</f>
        <v/>
      </c>
      <c r="J4570" s="55" t="str">
        <f>IFERROR(IF($G4570="","",VLOOKUP('Dashboard And Emails Automate'!$G4570,Database!$H:$N,4,0)),"")</f>
        <v/>
      </c>
      <c r="K4570" s="55" t="str">
        <f>IFERROR(IF($G4570="","",VLOOKUP('Dashboard And Emails Automate'!$G4570,Database!$H:$N,5,0)),"")</f>
        <v/>
      </c>
      <c r="L4570" s="55" t="str">
        <f>IFERROR(IF($G4570="","",VLOOKUP('Dashboard And Emails Automate'!$G4570,Database!$H:$N,6,0)),"")</f>
        <v/>
      </c>
      <c r="M4570" s="55" t="str">
        <f>IFERROR(IF($G4570="","",VLOOKUP('Dashboard And Emails Automate'!$G4570,Database!$H:$N,7,0)),"")</f>
        <v/>
      </c>
      <c r="N4570" s="55" t="str">
        <f>IFERROR(IF(OR($B4570="",$B4570="(blank)"),"",VLOOKUP($B4570,'Email Marketing Raw Data'!$C:$O,6,0)),"")</f>
        <v/>
      </c>
      <c r="O4570" s="55" t="str">
        <f>IFERROR(IF(OR($B4570="",$B4570="(blank)"),"",VLOOKUP($B4570,'Email Marketing Raw Data'!$C:$O,7,0)),"")</f>
        <v/>
      </c>
      <c r="P4570" s="55" t="str">
        <f>IFERROR(IF(OR($B4570="",$B4570="(blank)"),"",VLOOKUP($B4570,'Email Marketing Raw Data'!$C:$O,8,0)),"")</f>
        <v/>
      </c>
      <c r="Q4570" s="62" t="str">
        <f>IFERROR(IF(OR($B4570="",$B4570="(blank)"),"",VLOOKUP($B4570,'Email Marketing Raw Data'!$C:$O,9,0)),"")</f>
        <v/>
      </c>
    </row>
    <row r="4571" spans="4:17" ht="12.75" customHeight="1" x14ac:dyDescent="0.2">
      <c r="D4571" s="58" t="str">
        <f>IFERROR(IF(F4571&lt;&gt;"pending","",IF(OR($B4571="",$B4571="(blank)"),"",VLOOKUP($B4571,'Email Marketing Raw Data'!$C:$O,10,0))),"")</f>
        <v/>
      </c>
      <c r="E4571" s="59" t="str">
        <f>IFERROR(IF(F4571&lt;&gt;"pending","",IF(OR($B4571="",$B4571="(blank)"),"",VLOOKUP($B4571,'Email Marketing Raw Data'!$C:$O,11,0))),"")</f>
        <v/>
      </c>
      <c r="F4571" s="54" t="str">
        <f>IFERROR(IF(OR($B4571="",$B4571="(blank)"),"",VLOOKUP($B4571,'Email Marketing Raw Data'!$C:$O,13,0)),"")</f>
        <v/>
      </c>
      <c r="G4571" s="55" t="str">
        <f>IFERROR(IF(OR($B4571="",$B4571="(blank)"),"",VLOOKUP($B4571,'Email Marketing Raw Data'!$C:$O,4,0)),"")</f>
        <v/>
      </c>
      <c r="H4571" s="55" t="str">
        <f>IFERROR(IF(OR($B4571="",$B4571="(blank)"),"",VLOOKUP($B4571,'Email Marketing Raw Data'!$C:$O,5,0)),"")</f>
        <v/>
      </c>
      <c r="I4571" s="55" t="str">
        <f>IFERROR(IF($G4571="","",VLOOKUP('Dashboard And Emails Automate'!$G4571,Database!$H:$N,3,0)),"")</f>
        <v/>
      </c>
      <c r="J4571" s="55" t="str">
        <f>IFERROR(IF($G4571="","",VLOOKUP('Dashboard And Emails Automate'!$G4571,Database!$H:$N,4,0)),"")</f>
        <v/>
      </c>
      <c r="K4571" s="55" t="str">
        <f>IFERROR(IF($G4571="","",VLOOKUP('Dashboard And Emails Automate'!$G4571,Database!$H:$N,5,0)),"")</f>
        <v/>
      </c>
      <c r="L4571" s="55" t="str">
        <f>IFERROR(IF($G4571="","",VLOOKUP('Dashboard And Emails Automate'!$G4571,Database!$H:$N,6,0)),"")</f>
        <v/>
      </c>
      <c r="M4571" s="55" t="str">
        <f>IFERROR(IF($G4571="","",VLOOKUP('Dashboard And Emails Automate'!$G4571,Database!$H:$N,7,0)),"")</f>
        <v/>
      </c>
      <c r="N4571" s="55" t="str">
        <f>IFERROR(IF(OR($B4571="",$B4571="(blank)"),"",VLOOKUP($B4571,'Email Marketing Raw Data'!$C:$O,6,0)),"")</f>
        <v/>
      </c>
      <c r="O4571" s="55" t="str">
        <f>IFERROR(IF(OR($B4571="",$B4571="(blank)"),"",VLOOKUP($B4571,'Email Marketing Raw Data'!$C:$O,7,0)),"")</f>
        <v/>
      </c>
      <c r="P4571" s="55" t="str">
        <f>IFERROR(IF(OR($B4571="",$B4571="(blank)"),"",VLOOKUP($B4571,'Email Marketing Raw Data'!$C:$O,8,0)),"")</f>
        <v/>
      </c>
      <c r="Q4571" s="62" t="str">
        <f>IFERROR(IF(OR($B4571="",$B4571="(blank)"),"",VLOOKUP($B4571,'Email Marketing Raw Data'!$C:$O,9,0)),"")</f>
        <v/>
      </c>
    </row>
    <row r="4572" spans="4:17" ht="12.75" customHeight="1" x14ac:dyDescent="0.2">
      <c r="D4572" s="58" t="str">
        <f>IFERROR(IF(F4572&lt;&gt;"pending","",IF(OR($B4572="",$B4572="(blank)"),"",VLOOKUP($B4572,'Email Marketing Raw Data'!$C:$O,10,0))),"")</f>
        <v/>
      </c>
      <c r="E4572" s="59" t="str">
        <f>IFERROR(IF(F4572&lt;&gt;"pending","",IF(OR($B4572="",$B4572="(blank)"),"",VLOOKUP($B4572,'Email Marketing Raw Data'!$C:$O,11,0))),"")</f>
        <v/>
      </c>
      <c r="F4572" s="54" t="str">
        <f>IFERROR(IF(OR($B4572="",$B4572="(blank)"),"",VLOOKUP($B4572,'Email Marketing Raw Data'!$C:$O,13,0)),"")</f>
        <v/>
      </c>
      <c r="G4572" s="55" t="str">
        <f>IFERROR(IF(OR($B4572="",$B4572="(blank)"),"",VLOOKUP($B4572,'Email Marketing Raw Data'!$C:$O,4,0)),"")</f>
        <v/>
      </c>
      <c r="H4572" s="55" t="str">
        <f>IFERROR(IF(OR($B4572="",$B4572="(blank)"),"",VLOOKUP($B4572,'Email Marketing Raw Data'!$C:$O,5,0)),"")</f>
        <v/>
      </c>
      <c r="I4572" s="55" t="str">
        <f>IFERROR(IF($G4572="","",VLOOKUP('Dashboard And Emails Automate'!$G4572,Database!$H:$N,3,0)),"")</f>
        <v/>
      </c>
      <c r="J4572" s="55" t="str">
        <f>IFERROR(IF($G4572="","",VLOOKUP('Dashboard And Emails Automate'!$G4572,Database!$H:$N,4,0)),"")</f>
        <v/>
      </c>
      <c r="K4572" s="55" t="str">
        <f>IFERROR(IF($G4572="","",VLOOKUP('Dashboard And Emails Automate'!$G4572,Database!$H:$N,5,0)),"")</f>
        <v/>
      </c>
      <c r="L4572" s="55" t="str">
        <f>IFERROR(IF($G4572="","",VLOOKUP('Dashboard And Emails Automate'!$G4572,Database!$H:$N,6,0)),"")</f>
        <v/>
      </c>
      <c r="M4572" s="55" t="str">
        <f>IFERROR(IF($G4572="","",VLOOKUP('Dashboard And Emails Automate'!$G4572,Database!$H:$N,7,0)),"")</f>
        <v/>
      </c>
      <c r="N4572" s="55" t="str">
        <f>IFERROR(IF(OR($B4572="",$B4572="(blank)"),"",VLOOKUP($B4572,'Email Marketing Raw Data'!$C:$O,6,0)),"")</f>
        <v/>
      </c>
      <c r="O4572" s="55" t="str">
        <f>IFERROR(IF(OR($B4572="",$B4572="(blank)"),"",VLOOKUP($B4572,'Email Marketing Raw Data'!$C:$O,7,0)),"")</f>
        <v/>
      </c>
      <c r="P4572" s="55" t="str">
        <f>IFERROR(IF(OR($B4572="",$B4572="(blank)"),"",VLOOKUP($B4572,'Email Marketing Raw Data'!$C:$O,8,0)),"")</f>
        <v/>
      </c>
      <c r="Q4572" s="62" t="str">
        <f>IFERROR(IF(OR($B4572="",$B4572="(blank)"),"",VLOOKUP($B4572,'Email Marketing Raw Data'!$C:$O,9,0)),"")</f>
        <v/>
      </c>
    </row>
    <row r="4573" spans="4:17" ht="12.75" customHeight="1" x14ac:dyDescent="0.2">
      <c r="D4573" s="58" t="str">
        <f>IFERROR(IF(F4573&lt;&gt;"pending","",IF(OR($B4573="",$B4573="(blank)"),"",VLOOKUP($B4573,'Email Marketing Raw Data'!$C:$O,10,0))),"")</f>
        <v/>
      </c>
      <c r="E4573" s="59" t="str">
        <f>IFERROR(IF(F4573&lt;&gt;"pending","",IF(OR($B4573="",$B4573="(blank)"),"",VLOOKUP($B4573,'Email Marketing Raw Data'!$C:$O,11,0))),"")</f>
        <v/>
      </c>
      <c r="F4573" s="54" t="str">
        <f>IFERROR(IF(OR($B4573="",$B4573="(blank)"),"",VLOOKUP($B4573,'Email Marketing Raw Data'!$C:$O,13,0)),"")</f>
        <v/>
      </c>
      <c r="G4573" s="55" t="str">
        <f>IFERROR(IF(OR($B4573="",$B4573="(blank)"),"",VLOOKUP($B4573,'Email Marketing Raw Data'!$C:$O,4,0)),"")</f>
        <v/>
      </c>
      <c r="H4573" s="55" t="str">
        <f>IFERROR(IF(OR($B4573="",$B4573="(blank)"),"",VLOOKUP($B4573,'Email Marketing Raw Data'!$C:$O,5,0)),"")</f>
        <v/>
      </c>
      <c r="I4573" s="55" t="str">
        <f>IFERROR(IF($G4573="","",VLOOKUP('Dashboard And Emails Automate'!$G4573,Database!$H:$N,3,0)),"")</f>
        <v/>
      </c>
      <c r="J4573" s="55" t="str">
        <f>IFERROR(IF($G4573="","",VLOOKUP('Dashboard And Emails Automate'!$G4573,Database!$H:$N,4,0)),"")</f>
        <v/>
      </c>
      <c r="K4573" s="55" t="str">
        <f>IFERROR(IF($G4573="","",VLOOKUP('Dashboard And Emails Automate'!$G4573,Database!$H:$N,5,0)),"")</f>
        <v/>
      </c>
      <c r="L4573" s="55" t="str">
        <f>IFERROR(IF($G4573="","",VLOOKUP('Dashboard And Emails Automate'!$G4573,Database!$H:$N,6,0)),"")</f>
        <v/>
      </c>
      <c r="M4573" s="55" t="str">
        <f>IFERROR(IF($G4573="","",VLOOKUP('Dashboard And Emails Automate'!$G4573,Database!$H:$N,7,0)),"")</f>
        <v/>
      </c>
      <c r="N4573" s="55" t="str">
        <f>IFERROR(IF(OR($B4573="",$B4573="(blank)"),"",VLOOKUP($B4573,'Email Marketing Raw Data'!$C:$O,6,0)),"")</f>
        <v/>
      </c>
      <c r="O4573" s="55" t="str">
        <f>IFERROR(IF(OR($B4573="",$B4573="(blank)"),"",VLOOKUP($B4573,'Email Marketing Raw Data'!$C:$O,7,0)),"")</f>
        <v/>
      </c>
      <c r="P4573" s="55" t="str">
        <f>IFERROR(IF(OR($B4573="",$B4573="(blank)"),"",VLOOKUP($B4573,'Email Marketing Raw Data'!$C:$O,8,0)),"")</f>
        <v/>
      </c>
      <c r="Q4573" s="62" t="str">
        <f>IFERROR(IF(OR($B4573="",$B4573="(blank)"),"",VLOOKUP($B4573,'Email Marketing Raw Data'!$C:$O,9,0)),"")</f>
        <v/>
      </c>
    </row>
    <row r="4574" spans="4:17" ht="12.75" customHeight="1" x14ac:dyDescent="0.2">
      <c r="D4574" s="58" t="str">
        <f>IFERROR(IF(F4574&lt;&gt;"pending","",IF(OR($B4574="",$B4574="(blank)"),"",VLOOKUP($B4574,'Email Marketing Raw Data'!$C:$O,10,0))),"")</f>
        <v/>
      </c>
      <c r="E4574" s="59" t="str">
        <f>IFERROR(IF(F4574&lt;&gt;"pending","",IF(OR($B4574="",$B4574="(blank)"),"",VLOOKUP($B4574,'Email Marketing Raw Data'!$C:$O,11,0))),"")</f>
        <v/>
      </c>
      <c r="F4574" s="54" t="str">
        <f>IFERROR(IF(OR($B4574="",$B4574="(blank)"),"",VLOOKUP($B4574,'Email Marketing Raw Data'!$C:$O,13,0)),"")</f>
        <v/>
      </c>
      <c r="G4574" s="55" t="str">
        <f>IFERROR(IF(OR($B4574="",$B4574="(blank)"),"",VLOOKUP($B4574,'Email Marketing Raw Data'!$C:$O,4,0)),"")</f>
        <v/>
      </c>
      <c r="H4574" s="55" t="str">
        <f>IFERROR(IF(OR($B4574="",$B4574="(blank)"),"",VLOOKUP($B4574,'Email Marketing Raw Data'!$C:$O,5,0)),"")</f>
        <v/>
      </c>
      <c r="I4574" s="55" t="str">
        <f>IFERROR(IF($G4574="","",VLOOKUP('Dashboard And Emails Automate'!$G4574,Database!$H:$N,3,0)),"")</f>
        <v/>
      </c>
      <c r="J4574" s="55" t="str">
        <f>IFERROR(IF($G4574="","",VLOOKUP('Dashboard And Emails Automate'!$G4574,Database!$H:$N,4,0)),"")</f>
        <v/>
      </c>
      <c r="K4574" s="55" t="str">
        <f>IFERROR(IF($G4574="","",VLOOKUP('Dashboard And Emails Automate'!$G4574,Database!$H:$N,5,0)),"")</f>
        <v/>
      </c>
      <c r="L4574" s="55" t="str">
        <f>IFERROR(IF($G4574="","",VLOOKUP('Dashboard And Emails Automate'!$G4574,Database!$H:$N,6,0)),"")</f>
        <v/>
      </c>
      <c r="M4574" s="55" t="str">
        <f>IFERROR(IF($G4574="","",VLOOKUP('Dashboard And Emails Automate'!$G4574,Database!$H:$N,7,0)),"")</f>
        <v/>
      </c>
      <c r="N4574" s="55" t="str">
        <f>IFERROR(IF(OR($B4574="",$B4574="(blank)"),"",VLOOKUP($B4574,'Email Marketing Raw Data'!$C:$O,6,0)),"")</f>
        <v/>
      </c>
      <c r="O4574" s="55" t="str">
        <f>IFERROR(IF(OR($B4574="",$B4574="(blank)"),"",VLOOKUP($B4574,'Email Marketing Raw Data'!$C:$O,7,0)),"")</f>
        <v/>
      </c>
      <c r="P4574" s="55" t="str">
        <f>IFERROR(IF(OR($B4574="",$B4574="(blank)"),"",VLOOKUP($B4574,'Email Marketing Raw Data'!$C:$O,8,0)),"")</f>
        <v/>
      </c>
      <c r="Q4574" s="62" t="str">
        <f>IFERROR(IF(OR($B4574="",$B4574="(blank)"),"",VLOOKUP($B4574,'Email Marketing Raw Data'!$C:$O,9,0)),"")</f>
        <v/>
      </c>
    </row>
    <row r="4575" spans="4:17" ht="12.75" customHeight="1" x14ac:dyDescent="0.2">
      <c r="D4575" s="58" t="str">
        <f>IFERROR(IF(F4575&lt;&gt;"pending","",IF(OR($B4575="",$B4575="(blank)"),"",VLOOKUP($B4575,'Email Marketing Raw Data'!$C:$O,10,0))),"")</f>
        <v/>
      </c>
      <c r="E4575" s="59" t="str">
        <f>IFERROR(IF(F4575&lt;&gt;"pending","",IF(OR($B4575="",$B4575="(blank)"),"",VLOOKUP($B4575,'Email Marketing Raw Data'!$C:$O,11,0))),"")</f>
        <v/>
      </c>
      <c r="F4575" s="54" t="str">
        <f>IFERROR(IF(OR($B4575="",$B4575="(blank)"),"",VLOOKUP($B4575,'Email Marketing Raw Data'!$C:$O,13,0)),"")</f>
        <v/>
      </c>
      <c r="G4575" s="55" t="str">
        <f>IFERROR(IF(OR($B4575="",$B4575="(blank)"),"",VLOOKUP($B4575,'Email Marketing Raw Data'!$C:$O,4,0)),"")</f>
        <v/>
      </c>
      <c r="H4575" s="55" t="str">
        <f>IFERROR(IF(OR($B4575="",$B4575="(blank)"),"",VLOOKUP($B4575,'Email Marketing Raw Data'!$C:$O,5,0)),"")</f>
        <v/>
      </c>
      <c r="I4575" s="55" t="str">
        <f>IFERROR(IF($G4575="","",VLOOKUP('Dashboard And Emails Automate'!$G4575,Database!$H:$N,3,0)),"")</f>
        <v/>
      </c>
      <c r="J4575" s="55" t="str">
        <f>IFERROR(IF($G4575="","",VLOOKUP('Dashboard And Emails Automate'!$G4575,Database!$H:$N,4,0)),"")</f>
        <v/>
      </c>
      <c r="K4575" s="55" t="str">
        <f>IFERROR(IF($G4575="","",VLOOKUP('Dashboard And Emails Automate'!$G4575,Database!$H:$N,5,0)),"")</f>
        <v/>
      </c>
      <c r="L4575" s="55" t="str">
        <f>IFERROR(IF($G4575="","",VLOOKUP('Dashboard And Emails Automate'!$G4575,Database!$H:$N,6,0)),"")</f>
        <v/>
      </c>
      <c r="M4575" s="55" t="str">
        <f>IFERROR(IF($G4575="","",VLOOKUP('Dashboard And Emails Automate'!$G4575,Database!$H:$N,7,0)),"")</f>
        <v/>
      </c>
      <c r="N4575" s="55" t="str">
        <f>IFERROR(IF(OR($B4575="",$B4575="(blank)"),"",VLOOKUP($B4575,'Email Marketing Raw Data'!$C:$O,6,0)),"")</f>
        <v/>
      </c>
      <c r="O4575" s="55" t="str">
        <f>IFERROR(IF(OR($B4575="",$B4575="(blank)"),"",VLOOKUP($B4575,'Email Marketing Raw Data'!$C:$O,7,0)),"")</f>
        <v/>
      </c>
      <c r="P4575" s="55" t="str">
        <f>IFERROR(IF(OR($B4575="",$B4575="(blank)"),"",VLOOKUP($B4575,'Email Marketing Raw Data'!$C:$O,8,0)),"")</f>
        <v/>
      </c>
      <c r="Q4575" s="62" t="str">
        <f>IFERROR(IF(OR($B4575="",$B4575="(blank)"),"",VLOOKUP($B4575,'Email Marketing Raw Data'!$C:$O,9,0)),"")</f>
        <v/>
      </c>
    </row>
    <row r="4576" spans="4:17" ht="12.75" customHeight="1" x14ac:dyDescent="0.2">
      <c r="D4576" s="58" t="str">
        <f>IFERROR(IF(F4576&lt;&gt;"pending","",IF(OR($B4576="",$B4576="(blank)"),"",VLOOKUP($B4576,'Email Marketing Raw Data'!$C:$O,10,0))),"")</f>
        <v/>
      </c>
      <c r="E4576" s="59" t="str">
        <f>IFERROR(IF(F4576&lt;&gt;"pending","",IF(OR($B4576="",$B4576="(blank)"),"",VLOOKUP($B4576,'Email Marketing Raw Data'!$C:$O,11,0))),"")</f>
        <v/>
      </c>
      <c r="F4576" s="54" t="str">
        <f>IFERROR(IF(OR($B4576="",$B4576="(blank)"),"",VLOOKUP($B4576,'Email Marketing Raw Data'!$C:$O,13,0)),"")</f>
        <v/>
      </c>
      <c r="G4576" s="55" t="str">
        <f>IFERROR(IF(OR($B4576="",$B4576="(blank)"),"",VLOOKUP($B4576,'Email Marketing Raw Data'!$C:$O,4,0)),"")</f>
        <v/>
      </c>
      <c r="H4576" s="55" t="str">
        <f>IFERROR(IF(OR($B4576="",$B4576="(blank)"),"",VLOOKUP($B4576,'Email Marketing Raw Data'!$C:$O,5,0)),"")</f>
        <v/>
      </c>
      <c r="I4576" s="55" t="str">
        <f>IFERROR(IF($G4576="","",VLOOKUP('Dashboard And Emails Automate'!$G4576,Database!$H:$N,3,0)),"")</f>
        <v/>
      </c>
      <c r="J4576" s="55" t="str">
        <f>IFERROR(IF($G4576="","",VLOOKUP('Dashboard And Emails Automate'!$G4576,Database!$H:$N,4,0)),"")</f>
        <v/>
      </c>
      <c r="K4576" s="55" t="str">
        <f>IFERROR(IF($G4576="","",VLOOKUP('Dashboard And Emails Automate'!$G4576,Database!$H:$N,5,0)),"")</f>
        <v/>
      </c>
      <c r="L4576" s="55" t="str">
        <f>IFERROR(IF($G4576="","",VLOOKUP('Dashboard And Emails Automate'!$G4576,Database!$H:$N,6,0)),"")</f>
        <v/>
      </c>
      <c r="M4576" s="55" t="str">
        <f>IFERROR(IF($G4576="","",VLOOKUP('Dashboard And Emails Automate'!$G4576,Database!$H:$N,7,0)),"")</f>
        <v/>
      </c>
      <c r="N4576" s="55" t="str">
        <f>IFERROR(IF(OR($B4576="",$B4576="(blank)"),"",VLOOKUP($B4576,'Email Marketing Raw Data'!$C:$O,6,0)),"")</f>
        <v/>
      </c>
      <c r="O4576" s="55" t="str">
        <f>IFERROR(IF(OR($B4576="",$B4576="(blank)"),"",VLOOKUP($B4576,'Email Marketing Raw Data'!$C:$O,7,0)),"")</f>
        <v/>
      </c>
      <c r="P4576" s="55" t="str">
        <f>IFERROR(IF(OR($B4576="",$B4576="(blank)"),"",VLOOKUP($B4576,'Email Marketing Raw Data'!$C:$O,8,0)),"")</f>
        <v/>
      </c>
      <c r="Q4576" s="62" t="str">
        <f>IFERROR(IF(OR($B4576="",$B4576="(blank)"),"",VLOOKUP($B4576,'Email Marketing Raw Data'!$C:$O,9,0)),"")</f>
        <v/>
      </c>
    </row>
    <row r="4577" spans="4:17" ht="12.75" customHeight="1" x14ac:dyDescent="0.2">
      <c r="D4577" s="58" t="str">
        <f>IFERROR(IF(F4577&lt;&gt;"pending","",IF(OR($B4577="",$B4577="(blank)"),"",VLOOKUP($B4577,'Email Marketing Raw Data'!$C:$O,10,0))),"")</f>
        <v/>
      </c>
      <c r="E4577" s="59" t="str">
        <f>IFERROR(IF(F4577&lt;&gt;"pending","",IF(OR($B4577="",$B4577="(blank)"),"",VLOOKUP($B4577,'Email Marketing Raw Data'!$C:$O,11,0))),"")</f>
        <v/>
      </c>
      <c r="F4577" s="54" t="str">
        <f>IFERROR(IF(OR($B4577="",$B4577="(blank)"),"",VLOOKUP($B4577,'Email Marketing Raw Data'!$C:$O,13,0)),"")</f>
        <v/>
      </c>
      <c r="G4577" s="55" t="str">
        <f>IFERROR(IF(OR($B4577="",$B4577="(blank)"),"",VLOOKUP($B4577,'Email Marketing Raw Data'!$C:$O,4,0)),"")</f>
        <v/>
      </c>
      <c r="H4577" s="55" t="str">
        <f>IFERROR(IF(OR($B4577="",$B4577="(blank)"),"",VLOOKUP($B4577,'Email Marketing Raw Data'!$C:$O,5,0)),"")</f>
        <v/>
      </c>
      <c r="I4577" s="55" t="str">
        <f>IFERROR(IF($G4577="","",VLOOKUP('Dashboard And Emails Automate'!$G4577,Database!$H:$N,3,0)),"")</f>
        <v/>
      </c>
      <c r="J4577" s="55" t="str">
        <f>IFERROR(IF($G4577="","",VLOOKUP('Dashboard And Emails Automate'!$G4577,Database!$H:$N,4,0)),"")</f>
        <v/>
      </c>
      <c r="K4577" s="55" t="str">
        <f>IFERROR(IF($G4577="","",VLOOKUP('Dashboard And Emails Automate'!$G4577,Database!$H:$N,5,0)),"")</f>
        <v/>
      </c>
      <c r="L4577" s="55" t="str">
        <f>IFERROR(IF($G4577="","",VLOOKUP('Dashboard And Emails Automate'!$G4577,Database!$H:$N,6,0)),"")</f>
        <v/>
      </c>
      <c r="M4577" s="55" t="str">
        <f>IFERROR(IF($G4577="","",VLOOKUP('Dashboard And Emails Automate'!$G4577,Database!$H:$N,7,0)),"")</f>
        <v/>
      </c>
      <c r="N4577" s="55" t="str">
        <f>IFERROR(IF(OR($B4577="",$B4577="(blank)"),"",VLOOKUP($B4577,'Email Marketing Raw Data'!$C:$O,6,0)),"")</f>
        <v/>
      </c>
      <c r="O4577" s="55" t="str">
        <f>IFERROR(IF(OR($B4577="",$B4577="(blank)"),"",VLOOKUP($B4577,'Email Marketing Raw Data'!$C:$O,7,0)),"")</f>
        <v/>
      </c>
      <c r="P4577" s="55" t="str">
        <f>IFERROR(IF(OR($B4577="",$B4577="(blank)"),"",VLOOKUP($B4577,'Email Marketing Raw Data'!$C:$O,8,0)),"")</f>
        <v/>
      </c>
      <c r="Q4577" s="62" t="str">
        <f>IFERROR(IF(OR($B4577="",$B4577="(blank)"),"",VLOOKUP($B4577,'Email Marketing Raw Data'!$C:$O,9,0)),"")</f>
        <v/>
      </c>
    </row>
    <row r="4578" spans="4:17" ht="12.75" customHeight="1" x14ac:dyDescent="0.2">
      <c r="D4578" s="58" t="str">
        <f>IFERROR(IF(F4578&lt;&gt;"pending","",IF(OR($B4578="",$B4578="(blank)"),"",VLOOKUP($B4578,'Email Marketing Raw Data'!$C:$O,10,0))),"")</f>
        <v/>
      </c>
      <c r="E4578" s="59" t="str">
        <f>IFERROR(IF(F4578&lt;&gt;"pending","",IF(OR($B4578="",$B4578="(blank)"),"",VLOOKUP($B4578,'Email Marketing Raw Data'!$C:$O,11,0))),"")</f>
        <v/>
      </c>
      <c r="F4578" s="54" t="str">
        <f>IFERROR(IF(OR($B4578="",$B4578="(blank)"),"",VLOOKUP($B4578,'Email Marketing Raw Data'!$C:$O,13,0)),"")</f>
        <v/>
      </c>
      <c r="G4578" s="55" t="str">
        <f>IFERROR(IF(OR($B4578="",$B4578="(blank)"),"",VLOOKUP($B4578,'Email Marketing Raw Data'!$C:$O,4,0)),"")</f>
        <v/>
      </c>
      <c r="H4578" s="55" t="str">
        <f>IFERROR(IF(OR($B4578="",$B4578="(blank)"),"",VLOOKUP($B4578,'Email Marketing Raw Data'!$C:$O,5,0)),"")</f>
        <v/>
      </c>
      <c r="I4578" s="55" t="str">
        <f>IFERROR(IF($G4578="","",VLOOKUP('Dashboard And Emails Automate'!$G4578,Database!$H:$N,3,0)),"")</f>
        <v/>
      </c>
      <c r="J4578" s="55" t="str">
        <f>IFERROR(IF($G4578="","",VLOOKUP('Dashboard And Emails Automate'!$G4578,Database!$H:$N,4,0)),"")</f>
        <v/>
      </c>
      <c r="K4578" s="55" t="str">
        <f>IFERROR(IF($G4578="","",VLOOKUP('Dashboard And Emails Automate'!$G4578,Database!$H:$N,5,0)),"")</f>
        <v/>
      </c>
      <c r="L4578" s="55" t="str">
        <f>IFERROR(IF($G4578="","",VLOOKUP('Dashboard And Emails Automate'!$G4578,Database!$H:$N,6,0)),"")</f>
        <v/>
      </c>
      <c r="M4578" s="55" t="str">
        <f>IFERROR(IF($G4578="","",VLOOKUP('Dashboard And Emails Automate'!$G4578,Database!$H:$N,7,0)),"")</f>
        <v/>
      </c>
      <c r="N4578" s="55" t="str">
        <f>IFERROR(IF(OR($B4578="",$B4578="(blank)"),"",VLOOKUP($B4578,'Email Marketing Raw Data'!$C:$O,6,0)),"")</f>
        <v/>
      </c>
      <c r="O4578" s="55" t="str">
        <f>IFERROR(IF(OR($B4578="",$B4578="(blank)"),"",VLOOKUP($B4578,'Email Marketing Raw Data'!$C:$O,7,0)),"")</f>
        <v/>
      </c>
      <c r="P4578" s="55" t="str">
        <f>IFERROR(IF(OR($B4578="",$B4578="(blank)"),"",VLOOKUP($B4578,'Email Marketing Raw Data'!$C:$O,8,0)),"")</f>
        <v/>
      </c>
      <c r="Q4578" s="62" t="str">
        <f>IFERROR(IF(OR($B4578="",$B4578="(blank)"),"",VLOOKUP($B4578,'Email Marketing Raw Data'!$C:$O,9,0)),"")</f>
        <v/>
      </c>
    </row>
    <row r="4579" spans="4:17" ht="12.75" customHeight="1" x14ac:dyDescent="0.2">
      <c r="D4579" s="58" t="str">
        <f>IFERROR(IF(F4579&lt;&gt;"pending","",IF(OR($B4579="",$B4579="(blank)"),"",VLOOKUP($B4579,'Email Marketing Raw Data'!$C:$O,10,0))),"")</f>
        <v/>
      </c>
      <c r="E4579" s="59" t="str">
        <f>IFERROR(IF(F4579&lt;&gt;"pending","",IF(OR($B4579="",$B4579="(blank)"),"",VLOOKUP($B4579,'Email Marketing Raw Data'!$C:$O,11,0))),"")</f>
        <v/>
      </c>
      <c r="F4579" s="54" t="str">
        <f>IFERROR(IF(OR($B4579="",$B4579="(blank)"),"",VLOOKUP($B4579,'Email Marketing Raw Data'!$C:$O,13,0)),"")</f>
        <v/>
      </c>
      <c r="G4579" s="55" t="str">
        <f>IFERROR(IF(OR($B4579="",$B4579="(blank)"),"",VLOOKUP($B4579,'Email Marketing Raw Data'!$C:$O,4,0)),"")</f>
        <v/>
      </c>
      <c r="H4579" s="55" t="str">
        <f>IFERROR(IF(OR($B4579="",$B4579="(blank)"),"",VLOOKUP($B4579,'Email Marketing Raw Data'!$C:$O,5,0)),"")</f>
        <v/>
      </c>
      <c r="I4579" s="55" t="str">
        <f>IFERROR(IF($G4579="","",VLOOKUP('Dashboard And Emails Automate'!$G4579,Database!$H:$N,3,0)),"")</f>
        <v/>
      </c>
      <c r="J4579" s="55" t="str">
        <f>IFERROR(IF($G4579="","",VLOOKUP('Dashboard And Emails Automate'!$G4579,Database!$H:$N,4,0)),"")</f>
        <v/>
      </c>
      <c r="K4579" s="55" t="str">
        <f>IFERROR(IF($G4579="","",VLOOKUP('Dashboard And Emails Automate'!$G4579,Database!$H:$N,5,0)),"")</f>
        <v/>
      </c>
      <c r="L4579" s="55" t="str">
        <f>IFERROR(IF($G4579="","",VLOOKUP('Dashboard And Emails Automate'!$G4579,Database!$H:$N,6,0)),"")</f>
        <v/>
      </c>
      <c r="M4579" s="55" t="str">
        <f>IFERROR(IF($G4579="","",VLOOKUP('Dashboard And Emails Automate'!$G4579,Database!$H:$N,7,0)),"")</f>
        <v/>
      </c>
      <c r="N4579" s="55" t="str">
        <f>IFERROR(IF(OR($B4579="",$B4579="(blank)"),"",VLOOKUP($B4579,'Email Marketing Raw Data'!$C:$O,6,0)),"")</f>
        <v/>
      </c>
      <c r="O4579" s="55" t="str">
        <f>IFERROR(IF(OR($B4579="",$B4579="(blank)"),"",VLOOKUP($B4579,'Email Marketing Raw Data'!$C:$O,7,0)),"")</f>
        <v/>
      </c>
      <c r="P4579" s="55" t="str">
        <f>IFERROR(IF(OR($B4579="",$B4579="(blank)"),"",VLOOKUP($B4579,'Email Marketing Raw Data'!$C:$O,8,0)),"")</f>
        <v/>
      </c>
      <c r="Q4579" s="62" t="str">
        <f>IFERROR(IF(OR($B4579="",$B4579="(blank)"),"",VLOOKUP($B4579,'Email Marketing Raw Data'!$C:$O,9,0)),"")</f>
        <v/>
      </c>
    </row>
    <row r="4580" spans="4:17" ht="12.75" customHeight="1" x14ac:dyDescent="0.2">
      <c r="D4580" s="58" t="str">
        <f>IFERROR(IF(F4580&lt;&gt;"pending","",IF(OR($B4580="",$B4580="(blank)"),"",VLOOKUP($B4580,'Email Marketing Raw Data'!$C:$O,10,0))),"")</f>
        <v/>
      </c>
      <c r="E4580" s="59" t="str">
        <f>IFERROR(IF(F4580&lt;&gt;"pending","",IF(OR($B4580="",$B4580="(blank)"),"",VLOOKUP($B4580,'Email Marketing Raw Data'!$C:$O,11,0))),"")</f>
        <v/>
      </c>
      <c r="F4580" s="54" t="str">
        <f>IFERROR(IF(OR($B4580="",$B4580="(blank)"),"",VLOOKUP($B4580,'Email Marketing Raw Data'!$C:$O,13,0)),"")</f>
        <v/>
      </c>
      <c r="G4580" s="55" t="str">
        <f>IFERROR(IF(OR($B4580="",$B4580="(blank)"),"",VLOOKUP($B4580,'Email Marketing Raw Data'!$C:$O,4,0)),"")</f>
        <v/>
      </c>
      <c r="H4580" s="55" t="str">
        <f>IFERROR(IF(OR($B4580="",$B4580="(blank)"),"",VLOOKUP($B4580,'Email Marketing Raw Data'!$C:$O,5,0)),"")</f>
        <v/>
      </c>
      <c r="I4580" s="55" t="str">
        <f>IFERROR(IF($G4580="","",VLOOKUP('Dashboard And Emails Automate'!$G4580,Database!$H:$N,3,0)),"")</f>
        <v/>
      </c>
      <c r="J4580" s="55" t="str">
        <f>IFERROR(IF($G4580="","",VLOOKUP('Dashboard And Emails Automate'!$G4580,Database!$H:$N,4,0)),"")</f>
        <v/>
      </c>
      <c r="K4580" s="55" t="str">
        <f>IFERROR(IF($G4580="","",VLOOKUP('Dashboard And Emails Automate'!$G4580,Database!$H:$N,5,0)),"")</f>
        <v/>
      </c>
      <c r="L4580" s="55" t="str">
        <f>IFERROR(IF($G4580="","",VLOOKUP('Dashboard And Emails Automate'!$G4580,Database!$H:$N,6,0)),"")</f>
        <v/>
      </c>
      <c r="M4580" s="55" t="str">
        <f>IFERROR(IF($G4580="","",VLOOKUP('Dashboard And Emails Automate'!$G4580,Database!$H:$N,7,0)),"")</f>
        <v/>
      </c>
      <c r="N4580" s="55" t="str">
        <f>IFERROR(IF(OR($B4580="",$B4580="(blank)"),"",VLOOKUP($B4580,'Email Marketing Raw Data'!$C:$O,6,0)),"")</f>
        <v/>
      </c>
      <c r="O4580" s="55" t="str">
        <f>IFERROR(IF(OR($B4580="",$B4580="(blank)"),"",VLOOKUP($B4580,'Email Marketing Raw Data'!$C:$O,7,0)),"")</f>
        <v/>
      </c>
      <c r="P4580" s="55" t="str">
        <f>IFERROR(IF(OR($B4580="",$B4580="(blank)"),"",VLOOKUP($B4580,'Email Marketing Raw Data'!$C:$O,8,0)),"")</f>
        <v/>
      </c>
      <c r="Q4580" s="62" t="str">
        <f>IFERROR(IF(OR($B4580="",$B4580="(blank)"),"",VLOOKUP($B4580,'Email Marketing Raw Data'!$C:$O,9,0)),"")</f>
        <v/>
      </c>
    </row>
    <row r="4581" spans="4:17" ht="12.75" customHeight="1" x14ac:dyDescent="0.2">
      <c r="D4581" s="58" t="str">
        <f>IFERROR(IF(F4581&lt;&gt;"pending","",IF(OR($B4581="",$B4581="(blank)"),"",VLOOKUP($B4581,'Email Marketing Raw Data'!$C:$O,10,0))),"")</f>
        <v/>
      </c>
      <c r="E4581" s="59" t="str">
        <f>IFERROR(IF(F4581&lt;&gt;"pending","",IF(OR($B4581="",$B4581="(blank)"),"",VLOOKUP($B4581,'Email Marketing Raw Data'!$C:$O,11,0))),"")</f>
        <v/>
      </c>
      <c r="F4581" s="54" t="str">
        <f>IFERROR(IF(OR($B4581="",$B4581="(blank)"),"",VLOOKUP($B4581,'Email Marketing Raw Data'!$C:$O,13,0)),"")</f>
        <v/>
      </c>
      <c r="G4581" s="55" t="str">
        <f>IFERROR(IF(OR($B4581="",$B4581="(blank)"),"",VLOOKUP($B4581,'Email Marketing Raw Data'!$C:$O,4,0)),"")</f>
        <v/>
      </c>
      <c r="H4581" s="55" t="str">
        <f>IFERROR(IF(OR($B4581="",$B4581="(blank)"),"",VLOOKUP($B4581,'Email Marketing Raw Data'!$C:$O,5,0)),"")</f>
        <v/>
      </c>
      <c r="I4581" s="55" t="str">
        <f>IFERROR(IF($G4581="","",VLOOKUP('Dashboard And Emails Automate'!$G4581,Database!$H:$N,3,0)),"")</f>
        <v/>
      </c>
      <c r="J4581" s="55" t="str">
        <f>IFERROR(IF($G4581="","",VLOOKUP('Dashboard And Emails Automate'!$G4581,Database!$H:$N,4,0)),"")</f>
        <v/>
      </c>
      <c r="K4581" s="55" t="str">
        <f>IFERROR(IF($G4581="","",VLOOKUP('Dashboard And Emails Automate'!$G4581,Database!$H:$N,5,0)),"")</f>
        <v/>
      </c>
      <c r="L4581" s="55" t="str">
        <f>IFERROR(IF($G4581="","",VLOOKUP('Dashboard And Emails Automate'!$G4581,Database!$H:$N,6,0)),"")</f>
        <v/>
      </c>
      <c r="M4581" s="55" t="str">
        <f>IFERROR(IF($G4581="","",VLOOKUP('Dashboard And Emails Automate'!$G4581,Database!$H:$N,7,0)),"")</f>
        <v/>
      </c>
      <c r="N4581" s="55" t="str">
        <f>IFERROR(IF(OR($B4581="",$B4581="(blank)"),"",VLOOKUP($B4581,'Email Marketing Raw Data'!$C:$O,6,0)),"")</f>
        <v/>
      </c>
      <c r="O4581" s="55" t="str">
        <f>IFERROR(IF(OR($B4581="",$B4581="(blank)"),"",VLOOKUP($B4581,'Email Marketing Raw Data'!$C:$O,7,0)),"")</f>
        <v/>
      </c>
      <c r="P4581" s="55" t="str">
        <f>IFERROR(IF(OR($B4581="",$B4581="(blank)"),"",VLOOKUP($B4581,'Email Marketing Raw Data'!$C:$O,8,0)),"")</f>
        <v/>
      </c>
      <c r="Q4581" s="62" t="str">
        <f>IFERROR(IF(OR($B4581="",$B4581="(blank)"),"",VLOOKUP($B4581,'Email Marketing Raw Data'!$C:$O,9,0)),"")</f>
        <v/>
      </c>
    </row>
    <row r="4582" spans="4:17" ht="12.75" customHeight="1" x14ac:dyDescent="0.2">
      <c r="D4582" s="58" t="str">
        <f>IFERROR(IF(F4582&lt;&gt;"pending","",IF(OR($B4582="",$B4582="(blank)"),"",VLOOKUP($B4582,'Email Marketing Raw Data'!$C:$O,10,0))),"")</f>
        <v/>
      </c>
      <c r="E4582" s="59" t="str">
        <f>IFERROR(IF(F4582&lt;&gt;"pending","",IF(OR($B4582="",$B4582="(blank)"),"",VLOOKUP($B4582,'Email Marketing Raw Data'!$C:$O,11,0))),"")</f>
        <v/>
      </c>
      <c r="F4582" s="54" t="str">
        <f>IFERROR(IF(OR($B4582="",$B4582="(blank)"),"",VLOOKUP($B4582,'Email Marketing Raw Data'!$C:$O,13,0)),"")</f>
        <v/>
      </c>
      <c r="G4582" s="55" t="str">
        <f>IFERROR(IF(OR($B4582="",$B4582="(blank)"),"",VLOOKUP($B4582,'Email Marketing Raw Data'!$C:$O,4,0)),"")</f>
        <v/>
      </c>
      <c r="H4582" s="55" t="str">
        <f>IFERROR(IF(OR($B4582="",$B4582="(blank)"),"",VLOOKUP($B4582,'Email Marketing Raw Data'!$C:$O,5,0)),"")</f>
        <v/>
      </c>
      <c r="I4582" s="55" t="str">
        <f>IFERROR(IF($G4582="","",VLOOKUP('Dashboard And Emails Automate'!$G4582,Database!$H:$N,3,0)),"")</f>
        <v/>
      </c>
      <c r="J4582" s="55" t="str">
        <f>IFERROR(IF($G4582="","",VLOOKUP('Dashboard And Emails Automate'!$G4582,Database!$H:$N,4,0)),"")</f>
        <v/>
      </c>
      <c r="K4582" s="55" t="str">
        <f>IFERROR(IF($G4582="","",VLOOKUP('Dashboard And Emails Automate'!$G4582,Database!$H:$N,5,0)),"")</f>
        <v/>
      </c>
      <c r="L4582" s="55" t="str">
        <f>IFERROR(IF($G4582="","",VLOOKUP('Dashboard And Emails Automate'!$G4582,Database!$H:$N,6,0)),"")</f>
        <v/>
      </c>
      <c r="M4582" s="55" t="str">
        <f>IFERROR(IF($G4582="","",VLOOKUP('Dashboard And Emails Automate'!$G4582,Database!$H:$N,7,0)),"")</f>
        <v/>
      </c>
      <c r="N4582" s="55" t="str">
        <f>IFERROR(IF(OR($B4582="",$B4582="(blank)"),"",VLOOKUP($B4582,'Email Marketing Raw Data'!$C:$O,6,0)),"")</f>
        <v/>
      </c>
      <c r="O4582" s="55" t="str">
        <f>IFERROR(IF(OR($B4582="",$B4582="(blank)"),"",VLOOKUP($B4582,'Email Marketing Raw Data'!$C:$O,7,0)),"")</f>
        <v/>
      </c>
      <c r="P4582" s="55" t="str">
        <f>IFERROR(IF(OR($B4582="",$B4582="(blank)"),"",VLOOKUP($B4582,'Email Marketing Raw Data'!$C:$O,8,0)),"")</f>
        <v/>
      </c>
      <c r="Q4582" s="62" t="str">
        <f>IFERROR(IF(OR($B4582="",$B4582="(blank)"),"",VLOOKUP($B4582,'Email Marketing Raw Data'!$C:$O,9,0)),"")</f>
        <v/>
      </c>
    </row>
    <row r="4583" spans="4:17" ht="12.75" customHeight="1" x14ac:dyDescent="0.2">
      <c r="D4583" s="58" t="str">
        <f>IFERROR(IF(F4583&lt;&gt;"pending","",IF(OR($B4583="",$B4583="(blank)"),"",VLOOKUP($B4583,'Email Marketing Raw Data'!$C:$O,10,0))),"")</f>
        <v/>
      </c>
      <c r="E4583" s="59" t="str">
        <f>IFERROR(IF(F4583&lt;&gt;"pending","",IF(OR($B4583="",$B4583="(blank)"),"",VLOOKUP($B4583,'Email Marketing Raw Data'!$C:$O,11,0))),"")</f>
        <v/>
      </c>
      <c r="F4583" s="54" t="str">
        <f>IFERROR(IF(OR($B4583="",$B4583="(blank)"),"",VLOOKUP($B4583,'Email Marketing Raw Data'!$C:$O,13,0)),"")</f>
        <v/>
      </c>
      <c r="G4583" s="55" t="str">
        <f>IFERROR(IF(OR($B4583="",$B4583="(blank)"),"",VLOOKUP($B4583,'Email Marketing Raw Data'!$C:$O,4,0)),"")</f>
        <v/>
      </c>
      <c r="H4583" s="55" t="str">
        <f>IFERROR(IF(OR($B4583="",$B4583="(blank)"),"",VLOOKUP($B4583,'Email Marketing Raw Data'!$C:$O,5,0)),"")</f>
        <v/>
      </c>
      <c r="I4583" s="55" t="str">
        <f>IFERROR(IF($G4583="","",VLOOKUP('Dashboard And Emails Automate'!$G4583,Database!$H:$N,3,0)),"")</f>
        <v/>
      </c>
      <c r="J4583" s="55" t="str">
        <f>IFERROR(IF($G4583="","",VLOOKUP('Dashboard And Emails Automate'!$G4583,Database!$H:$N,4,0)),"")</f>
        <v/>
      </c>
      <c r="K4583" s="55" t="str">
        <f>IFERROR(IF($G4583="","",VLOOKUP('Dashboard And Emails Automate'!$G4583,Database!$H:$N,5,0)),"")</f>
        <v/>
      </c>
      <c r="L4583" s="55" t="str">
        <f>IFERROR(IF($G4583="","",VLOOKUP('Dashboard And Emails Automate'!$G4583,Database!$H:$N,6,0)),"")</f>
        <v/>
      </c>
      <c r="M4583" s="55" t="str">
        <f>IFERROR(IF($G4583="","",VLOOKUP('Dashboard And Emails Automate'!$G4583,Database!$H:$N,7,0)),"")</f>
        <v/>
      </c>
      <c r="N4583" s="55" t="str">
        <f>IFERROR(IF(OR($B4583="",$B4583="(blank)"),"",VLOOKUP($B4583,'Email Marketing Raw Data'!$C:$O,6,0)),"")</f>
        <v/>
      </c>
      <c r="O4583" s="55" t="str">
        <f>IFERROR(IF(OR($B4583="",$B4583="(blank)"),"",VLOOKUP($B4583,'Email Marketing Raw Data'!$C:$O,7,0)),"")</f>
        <v/>
      </c>
      <c r="P4583" s="55" t="str">
        <f>IFERROR(IF(OR($B4583="",$B4583="(blank)"),"",VLOOKUP($B4583,'Email Marketing Raw Data'!$C:$O,8,0)),"")</f>
        <v/>
      </c>
      <c r="Q4583" s="62" t="str">
        <f>IFERROR(IF(OR($B4583="",$B4583="(blank)"),"",VLOOKUP($B4583,'Email Marketing Raw Data'!$C:$O,9,0)),"")</f>
        <v/>
      </c>
    </row>
    <row r="4584" spans="4:17" ht="12.75" customHeight="1" x14ac:dyDescent="0.2">
      <c r="D4584" s="58" t="str">
        <f>IFERROR(IF(F4584&lt;&gt;"pending","",IF(OR($B4584="",$B4584="(blank)"),"",VLOOKUP($B4584,'Email Marketing Raw Data'!$C:$O,10,0))),"")</f>
        <v/>
      </c>
      <c r="E4584" s="59" t="str">
        <f>IFERROR(IF(F4584&lt;&gt;"pending","",IF(OR($B4584="",$B4584="(blank)"),"",VLOOKUP($B4584,'Email Marketing Raw Data'!$C:$O,11,0))),"")</f>
        <v/>
      </c>
      <c r="F4584" s="54" t="str">
        <f>IFERROR(IF(OR($B4584="",$B4584="(blank)"),"",VLOOKUP($B4584,'Email Marketing Raw Data'!$C:$O,13,0)),"")</f>
        <v/>
      </c>
      <c r="G4584" s="55" t="str">
        <f>IFERROR(IF(OR($B4584="",$B4584="(blank)"),"",VLOOKUP($B4584,'Email Marketing Raw Data'!$C:$O,4,0)),"")</f>
        <v/>
      </c>
      <c r="H4584" s="55" t="str">
        <f>IFERROR(IF(OR($B4584="",$B4584="(blank)"),"",VLOOKUP($B4584,'Email Marketing Raw Data'!$C:$O,5,0)),"")</f>
        <v/>
      </c>
      <c r="I4584" s="55" t="str">
        <f>IFERROR(IF($G4584="","",VLOOKUP('Dashboard And Emails Automate'!$G4584,Database!$H:$N,3,0)),"")</f>
        <v/>
      </c>
      <c r="J4584" s="55" t="str">
        <f>IFERROR(IF($G4584="","",VLOOKUP('Dashboard And Emails Automate'!$G4584,Database!$H:$N,4,0)),"")</f>
        <v/>
      </c>
      <c r="K4584" s="55" t="str">
        <f>IFERROR(IF($G4584="","",VLOOKUP('Dashboard And Emails Automate'!$G4584,Database!$H:$N,5,0)),"")</f>
        <v/>
      </c>
      <c r="L4584" s="55" t="str">
        <f>IFERROR(IF($G4584="","",VLOOKUP('Dashboard And Emails Automate'!$G4584,Database!$H:$N,6,0)),"")</f>
        <v/>
      </c>
      <c r="M4584" s="55" t="str">
        <f>IFERROR(IF($G4584="","",VLOOKUP('Dashboard And Emails Automate'!$G4584,Database!$H:$N,7,0)),"")</f>
        <v/>
      </c>
      <c r="N4584" s="55" t="str">
        <f>IFERROR(IF(OR($B4584="",$B4584="(blank)"),"",VLOOKUP($B4584,'Email Marketing Raw Data'!$C:$O,6,0)),"")</f>
        <v/>
      </c>
      <c r="O4584" s="55" t="str">
        <f>IFERROR(IF(OR($B4584="",$B4584="(blank)"),"",VLOOKUP($B4584,'Email Marketing Raw Data'!$C:$O,7,0)),"")</f>
        <v/>
      </c>
      <c r="P4584" s="55" t="str">
        <f>IFERROR(IF(OR($B4584="",$B4584="(blank)"),"",VLOOKUP($B4584,'Email Marketing Raw Data'!$C:$O,8,0)),"")</f>
        <v/>
      </c>
      <c r="Q4584" s="62" t="str">
        <f>IFERROR(IF(OR($B4584="",$B4584="(blank)"),"",VLOOKUP($B4584,'Email Marketing Raw Data'!$C:$O,9,0)),"")</f>
        <v/>
      </c>
    </row>
    <row r="4585" spans="4:17" ht="12.75" customHeight="1" x14ac:dyDescent="0.2">
      <c r="D4585" s="58" t="str">
        <f>IFERROR(IF(F4585&lt;&gt;"pending","",IF(OR($B4585="",$B4585="(blank)"),"",VLOOKUP($B4585,'Email Marketing Raw Data'!$C:$O,10,0))),"")</f>
        <v/>
      </c>
      <c r="E4585" s="59" t="str">
        <f>IFERROR(IF(F4585&lt;&gt;"pending","",IF(OR($B4585="",$B4585="(blank)"),"",VLOOKUP($B4585,'Email Marketing Raw Data'!$C:$O,11,0))),"")</f>
        <v/>
      </c>
      <c r="F4585" s="54" t="str">
        <f>IFERROR(IF(OR($B4585="",$B4585="(blank)"),"",VLOOKUP($B4585,'Email Marketing Raw Data'!$C:$O,13,0)),"")</f>
        <v/>
      </c>
      <c r="G4585" s="55" t="str">
        <f>IFERROR(IF(OR($B4585="",$B4585="(blank)"),"",VLOOKUP($B4585,'Email Marketing Raw Data'!$C:$O,4,0)),"")</f>
        <v/>
      </c>
      <c r="H4585" s="55" t="str">
        <f>IFERROR(IF(OR($B4585="",$B4585="(blank)"),"",VLOOKUP($B4585,'Email Marketing Raw Data'!$C:$O,5,0)),"")</f>
        <v/>
      </c>
      <c r="I4585" s="55" t="str">
        <f>IFERROR(IF($G4585="","",VLOOKUP('Dashboard And Emails Automate'!$G4585,Database!$H:$N,3,0)),"")</f>
        <v/>
      </c>
      <c r="J4585" s="55" t="str">
        <f>IFERROR(IF($G4585="","",VLOOKUP('Dashboard And Emails Automate'!$G4585,Database!$H:$N,4,0)),"")</f>
        <v/>
      </c>
      <c r="K4585" s="55" t="str">
        <f>IFERROR(IF($G4585="","",VLOOKUP('Dashboard And Emails Automate'!$G4585,Database!$H:$N,5,0)),"")</f>
        <v/>
      </c>
      <c r="L4585" s="55" t="str">
        <f>IFERROR(IF($G4585="","",VLOOKUP('Dashboard And Emails Automate'!$G4585,Database!$H:$N,6,0)),"")</f>
        <v/>
      </c>
      <c r="M4585" s="55" t="str">
        <f>IFERROR(IF($G4585="","",VLOOKUP('Dashboard And Emails Automate'!$G4585,Database!$H:$N,7,0)),"")</f>
        <v/>
      </c>
      <c r="N4585" s="55" t="str">
        <f>IFERROR(IF(OR($B4585="",$B4585="(blank)"),"",VLOOKUP($B4585,'Email Marketing Raw Data'!$C:$O,6,0)),"")</f>
        <v/>
      </c>
      <c r="O4585" s="55" t="str">
        <f>IFERROR(IF(OR($B4585="",$B4585="(blank)"),"",VLOOKUP($B4585,'Email Marketing Raw Data'!$C:$O,7,0)),"")</f>
        <v/>
      </c>
      <c r="P4585" s="55" t="str">
        <f>IFERROR(IF(OR($B4585="",$B4585="(blank)"),"",VLOOKUP($B4585,'Email Marketing Raw Data'!$C:$O,8,0)),"")</f>
        <v/>
      </c>
      <c r="Q4585" s="62" t="str">
        <f>IFERROR(IF(OR($B4585="",$B4585="(blank)"),"",VLOOKUP($B4585,'Email Marketing Raw Data'!$C:$O,9,0)),"")</f>
        <v/>
      </c>
    </row>
    <row r="4586" spans="4:17" ht="12.75" customHeight="1" x14ac:dyDescent="0.2">
      <c r="D4586" s="58" t="str">
        <f>IFERROR(IF(F4586&lt;&gt;"pending","",IF(OR($B4586="",$B4586="(blank)"),"",VLOOKUP($B4586,'Email Marketing Raw Data'!$C:$O,10,0))),"")</f>
        <v/>
      </c>
      <c r="E4586" s="59" t="str">
        <f>IFERROR(IF(F4586&lt;&gt;"pending","",IF(OR($B4586="",$B4586="(blank)"),"",VLOOKUP($B4586,'Email Marketing Raw Data'!$C:$O,11,0))),"")</f>
        <v/>
      </c>
      <c r="F4586" s="54" t="str">
        <f>IFERROR(IF(OR($B4586="",$B4586="(blank)"),"",VLOOKUP($B4586,'Email Marketing Raw Data'!$C:$O,13,0)),"")</f>
        <v/>
      </c>
      <c r="G4586" s="55" t="str">
        <f>IFERROR(IF(OR($B4586="",$B4586="(blank)"),"",VLOOKUP($B4586,'Email Marketing Raw Data'!$C:$O,4,0)),"")</f>
        <v/>
      </c>
      <c r="H4586" s="55" t="str">
        <f>IFERROR(IF(OR($B4586="",$B4586="(blank)"),"",VLOOKUP($B4586,'Email Marketing Raw Data'!$C:$O,5,0)),"")</f>
        <v/>
      </c>
      <c r="I4586" s="55" t="str">
        <f>IFERROR(IF($G4586="","",VLOOKUP('Dashboard And Emails Automate'!$G4586,Database!$H:$N,3,0)),"")</f>
        <v/>
      </c>
      <c r="J4586" s="55" t="str">
        <f>IFERROR(IF($G4586="","",VLOOKUP('Dashboard And Emails Automate'!$G4586,Database!$H:$N,4,0)),"")</f>
        <v/>
      </c>
      <c r="K4586" s="55" t="str">
        <f>IFERROR(IF($G4586="","",VLOOKUP('Dashboard And Emails Automate'!$G4586,Database!$H:$N,5,0)),"")</f>
        <v/>
      </c>
      <c r="L4586" s="55" t="str">
        <f>IFERROR(IF($G4586="","",VLOOKUP('Dashboard And Emails Automate'!$G4586,Database!$H:$N,6,0)),"")</f>
        <v/>
      </c>
      <c r="M4586" s="55" t="str">
        <f>IFERROR(IF($G4586="","",VLOOKUP('Dashboard And Emails Automate'!$G4586,Database!$H:$N,7,0)),"")</f>
        <v/>
      </c>
      <c r="N4586" s="55" t="str">
        <f>IFERROR(IF(OR($B4586="",$B4586="(blank)"),"",VLOOKUP($B4586,'Email Marketing Raw Data'!$C:$O,6,0)),"")</f>
        <v/>
      </c>
      <c r="O4586" s="55" t="str">
        <f>IFERROR(IF(OR($B4586="",$B4586="(blank)"),"",VLOOKUP($B4586,'Email Marketing Raw Data'!$C:$O,7,0)),"")</f>
        <v/>
      </c>
      <c r="P4586" s="55" t="str">
        <f>IFERROR(IF(OR($B4586="",$B4586="(blank)"),"",VLOOKUP($B4586,'Email Marketing Raw Data'!$C:$O,8,0)),"")</f>
        <v/>
      </c>
      <c r="Q4586" s="62" t="str">
        <f>IFERROR(IF(OR($B4586="",$B4586="(blank)"),"",VLOOKUP($B4586,'Email Marketing Raw Data'!$C:$O,9,0)),"")</f>
        <v/>
      </c>
    </row>
    <row r="4587" spans="4:17" ht="12.75" customHeight="1" x14ac:dyDescent="0.2">
      <c r="D4587" s="58" t="str">
        <f>IFERROR(IF(F4587&lt;&gt;"pending","",IF(OR($B4587="",$B4587="(blank)"),"",VLOOKUP($B4587,'Email Marketing Raw Data'!$C:$O,10,0))),"")</f>
        <v/>
      </c>
      <c r="E4587" s="59" t="str">
        <f>IFERROR(IF(F4587&lt;&gt;"pending","",IF(OR($B4587="",$B4587="(blank)"),"",VLOOKUP($B4587,'Email Marketing Raw Data'!$C:$O,11,0))),"")</f>
        <v/>
      </c>
      <c r="F4587" s="54" t="str">
        <f>IFERROR(IF(OR($B4587="",$B4587="(blank)"),"",VLOOKUP($B4587,'Email Marketing Raw Data'!$C:$O,13,0)),"")</f>
        <v/>
      </c>
      <c r="G4587" s="55" t="str">
        <f>IFERROR(IF(OR($B4587="",$B4587="(blank)"),"",VLOOKUP($B4587,'Email Marketing Raw Data'!$C:$O,4,0)),"")</f>
        <v/>
      </c>
      <c r="H4587" s="55" t="str">
        <f>IFERROR(IF(OR($B4587="",$B4587="(blank)"),"",VLOOKUP($B4587,'Email Marketing Raw Data'!$C:$O,5,0)),"")</f>
        <v/>
      </c>
      <c r="I4587" s="55" t="str">
        <f>IFERROR(IF($G4587="","",VLOOKUP('Dashboard And Emails Automate'!$G4587,Database!$H:$N,3,0)),"")</f>
        <v/>
      </c>
      <c r="J4587" s="55" t="str">
        <f>IFERROR(IF($G4587="","",VLOOKUP('Dashboard And Emails Automate'!$G4587,Database!$H:$N,4,0)),"")</f>
        <v/>
      </c>
      <c r="K4587" s="55" t="str">
        <f>IFERROR(IF($G4587="","",VLOOKUP('Dashboard And Emails Automate'!$G4587,Database!$H:$N,5,0)),"")</f>
        <v/>
      </c>
      <c r="L4587" s="55" t="str">
        <f>IFERROR(IF($G4587="","",VLOOKUP('Dashboard And Emails Automate'!$G4587,Database!$H:$N,6,0)),"")</f>
        <v/>
      </c>
      <c r="M4587" s="55" t="str">
        <f>IFERROR(IF($G4587="","",VLOOKUP('Dashboard And Emails Automate'!$G4587,Database!$H:$N,7,0)),"")</f>
        <v/>
      </c>
      <c r="N4587" s="55" t="str">
        <f>IFERROR(IF(OR($B4587="",$B4587="(blank)"),"",VLOOKUP($B4587,'Email Marketing Raw Data'!$C:$O,6,0)),"")</f>
        <v/>
      </c>
      <c r="O4587" s="55" t="str">
        <f>IFERROR(IF(OR($B4587="",$B4587="(blank)"),"",VLOOKUP($B4587,'Email Marketing Raw Data'!$C:$O,7,0)),"")</f>
        <v/>
      </c>
      <c r="P4587" s="55" t="str">
        <f>IFERROR(IF(OR($B4587="",$B4587="(blank)"),"",VLOOKUP($B4587,'Email Marketing Raw Data'!$C:$O,8,0)),"")</f>
        <v/>
      </c>
      <c r="Q4587" s="62" t="str">
        <f>IFERROR(IF(OR($B4587="",$B4587="(blank)"),"",VLOOKUP($B4587,'Email Marketing Raw Data'!$C:$O,9,0)),"")</f>
        <v/>
      </c>
    </row>
    <row r="4588" spans="4:17" ht="12.75" customHeight="1" x14ac:dyDescent="0.2">
      <c r="D4588" s="58" t="str">
        <f>IFERROR(IF(F4588&lt;&gt;"pending","",IF(OR($B4588="",$B4588="(blank)"),"",VLOOKUP($B4588,'Email Marketing Raw Data'!$C:$O,10,0))),"")</f>
        <v/>
      </c>
      <c r="E4588" s="59" t="str">
        <f>IFERROR(IF(F4588&lt;&gt;"pending","",IF(OR($B4588="",$B4588="(blank)"),"",VLOOKUP($B4588,'Email Marketing Raw Data'!$C:$O,11,0))),"")</f>
        <v/>
      </c>
      <c r="F4588" s="54" t="str">
        <f>IFERROR(IF(OR($B4588="",$B4588="(blank)"),"",VLOOKUP($B4588,'Email Marketing Raw Data'!$C:$O,13,0)),"")</f>
        <v/>
      </c>
      <c r="G4588" s="55" t="str">
        <f>IFERROR(IF(OR($B4588="",$B4588="(blank)"),"",VLOOKUP($B4588,'Email Marketing Raw Data'!$C:$O,4,0)),"")</f>
        <v/>
      </c>
      <c r="H4588" s="55" t="str">
        <f>IFERROR(IF(OR($B4588="",$B4588="(blank)"),"",VLOOKUP($B4588,'Email Marketing Raw Data'!$C:$O,5,0)),"")</f>
        <v/>
      </c>
      <c r="I4588" s="55" t="str">
        <f>IFERROR(IF($G4588="","",VLOOKUP('Dashboard And Emails Automate'!$G4588,Database!$H:$N,3,0)),"")</f>
        <v/>
      </c>
      <c r="J4588" s="55" t="str">
        <f>IFERROR(IF($G4588="","",VLOOKUP('Dashboard And Emails Automate'!$G4588,Database!$H:$N,4,0)),"")</f>
        <v/>
      </c>
      <c r="K4588" s="55" t="str">
        <f>IFERROR(IF($G4588="","",VLOOKUP('Dashboard And Emails Automate'!$G4588,Database!$H:$N,5,0)),"")</f>
        <v/>
      </c>
      <c r="L4588" s="55" t="str">
        <f>IFERROR(IF($G4588="","",VLOOKUP('Dashboard And Emails Automate'!$G4588,Database!$H:$N,6,0)),"")</f>
        <v/>
      </c>
      <c r="M4588" s="55" t="str">
        <f>IFERROR(IF($G4588="","",VLOOKUP('Dashboard And Emails Automate'!$G4588,Database!$H:$N,7,0)),"")</f>
        <v/>
      </c>
      <c r="N4588" s="55" t="str">
        <f>IFERROR(IF(OR($B4588="",$B4588="(blank)"),"",VLOOKUP($B4588,'Email Marketing Raw Data'!$C:$O,6,0)),"")</f>
        <v/>
      </c>
      <c r="O4588" s="55" t="str">
        <f>IFERROR(IF(OR($B4588="",$B4588="(blank)"),"",VLOOKUP($B4588,'Email Marketing Raw Data'!$C:$O,7,0)),"")</f>
        <v/>
      </c>
      <c r="P4588" s="55" t="str">
        <f>IFERROR(IF(OR($B4588="",$B4588="(blank)"),"",VLOOKUP($B4588,'Email Marketing Raw Data'!$C:$O,8,0)),"")</f>
        <v/>
      </c>
      <c r="Q4588" s="62" t="str">
        <f>IFERROR(IF(OR($B4588="",$B4588="(blank)"),"",VLOOKUP($B4588,'Email Marketing Raw Data'!$C:$O,9,0)),"")</f>
        <v/>
      </c>
    </row>
    <row r="4589" spans="4:17" ht="12.75" customHeight="1" x14ac:dyDescent="0.2">
      <c r="D4589" s="58" t="str">
        <f>IFERROR(IF(F4589&lt;&gt;"pending","",IF(OR($B4589="",$B4589="(blank)"),"",VLOOKUP($B4589,'Email Marketing Raw Data'!$C:$O,10,0))),"")</f>
        <v/>
      </c>
      <c r="E4589" s="59" t="str">
        <f>IFERROR(IF(F4589&lt;&gt;"pending","",IF(OR($B4589="",$B4589="(blank)"),"",VLOOKUP($B4589,'Email Marketing Raw Data'!$C:$O,11,0))),"")</f>
        <v/>
      </c>
      <c r="F4589" s="54" t="str">
        <f>IFERROR(IF(OR($B4589="",$B4589="(blank)"),"",VLOOKUP($B4589,'Email Marketing Raw Data'!$C:$O,13,0)),"")</f>
        <v/>
      </c>
      <c r="G4589" s="55" t="str">
        <f>IFERROR(IF(OR($B4589="",$B4589="(blank)"),"",VLOOKUP($B4589,'Email Marketing Raw Data'!$C:$O,4,0)),"")</f>
        <v/>
      </c>
      <c r="H4589" s="55" t="str">
        <f>IFERROR(IF(OR($B4589="",$B4589="(blank)"),"",VLOOKUP($B4589,'Email Marketing Raw Data'!$C:$O,5,0)),"")</f>
        <v/>
      </c>
      <c r="I4589" s="55" t="str">
        <f>IFERROR(IF($G4589="","",VLOOKUP('Dashboard And Emails Automate'!$G4589,Database!$H:$N,3,0)),"")</f>
        <v/>
      </c>
      <c r="J4589" s="55" t="str">
        <f>IFERROR(IF($G4589="","",VLOOKUP('Dashboard And Emails Automate'!$G4589,Database!$H:$N,4,0)),"")</f>
        <v/>
      </c>
      <c r="K4589" s="55" t="str">
        <f>IFERROR(IF($G4589="","",VLOOKUP('Dashboard And Emails Automate'!$G4589,Database!$H:$N,5,0)),"")</f>
        <v/>
      </c>
      <c r="L4589" s="55" t="str">
        <f>IFERROR(IF($G4589="","",VLOOKUP('Dashboard And Emails Automate'!$G4589,Database!$H:$N,6,0)),"")</f>
        <v/>
      </c>
      <c r="M4589" s="55" t="str">
        <f>IFERROR(IF($G4589="","",VLOOKUP('Dashboard And Emails Automate'!$G4589,Database!$H:$N,7,0)),"")</f>
        <v/>
      </c>
      <c r="N4589" s="55" t="str">
        <f>IFERROR(IF(OR($B4589="",$B4589="(blank)"),"",VLOOKUP($B4589,'Email Marketing Raw Data'!$C:$O,6,0)),"")</f>
        <v/>
      </c>
      <c r="O4589" s="55" t="str">
        <f>IFERROR(IF(OR($B4589="",$B4589="(blank)"),"",VLOOKUP($B4589,'Email Marketing Raw Data'!$C:$O,7,0)),"")</f>
        <v/>
      </c>
      <c r="P4589" s="55" t="str">
        <f>IFERROR(IF(OR($B4589="",$B4589="(blank)"),"",VLOOKUP($B4589,'Email Marketing Raw Data'!$C:$O,8,0)),"")</f>
        <v/>
      </c>
      <c r="Q4589" s="62" t="str">
        <f>IFERROR(IF(OR($B4589="",$B4589="(blank)"),"",VLOOKUP($B4589,'Email Marketing Raw Data'!$C:$O,9,0)),"")</f>
        <v/>
      </c>
    </row>
    <row r="4590" spans="4:17" ht="12.75" customHeight="1" x14ac:dyDescent="0.2">
      <c r="D4590" s="58" t="str">
        <f>IFERROR(IF(F4590&lt;&gt;"pending","",IF(OR($B4590="",$B4590="(blank)"),"",VLOOKUP($B4590,'Email Marketing Raw Data'!$C:$O,10,0))),"")</f>
        <v/>
      </c>
      <c r="E4590" s="59" t="str">
        <f>IFERROR(IF(F4590&lt;&gt;"pending","",IF(OR($B4590="",$B4590="(blank)"),"",VLOOKUP($B4590,'Email Marketing Raw Data'!$C:$O,11,0))),"")</f>
        <v/>
      </c>
      <c r="F4590" s="54" t="str">
        <f>IFERROR(IF(OR($B4590="",$B4590="(blank)"),"",VLOOKUP($B4590,'Email Marketing Raw Data'!$C:$O,13,0)),"")</f>
        <v/>
      </c>
      <c r="G4590" s="55" t="str">
        <f>IFERROR(IF(OR($B4590="",$B4590="(blank)"),"",VLOOKUP($B4590,'Email Marketing Raw Data'!$C:$O,4,0)),"")</f>
        <v/>
      </c>
      <c r="H4590" s="55" t="str">
        <f>IFERROR(IF(OR($B4590="",$B4590="(blank)"),"",VLOOKUP($B4590,'Email Marketing Raw Data'!$C:$O,5,0)),"")</f>
        <v/>
      </c>
      <c r="I4590" s="55" t="str">
        <f>IFERROR(IF($G4590="","",VLOOKUP('Dashboard And Emails Automate'!$G4590,Database!$H:$N,3,0)),"")</f>
        <v/>
      </c>
      <c r="J4590" s="55" t="str">
        <f>IFERROR(IF($G4590="","",VLOOKUP('Dashboard And Emails Automate'!$G4590,Database!$H:$N,4,0)),"")</f>
        <v/>
      </c>
      <c r="K4590" s="55" t="str">
        <f>IFERROR(IF($G4590="","",VLOOKUP('Dashboard And Emails Automate'!$G4590,Database!$H:$N,5,0)),"")</f>
        <v/>
      </c>
      <c r="L4590" s="55" t="str">
        <f>IFERROR(IF($G4590="","",VLOOKUP('Dashboard And Emails Automate'!$G4590,Database!$H:$N,6,0)),"")</f>
        <v/>
      </c>
      <c r="M4590" s="55" t="str">
        <f>IFERROR(IF($G4590="","",VLOOKUP('Dashboard And Emails Automate'!$G4590,Database!$H:$N,7,0)),"")</f>
        <v/>
      </c>
      <c r="N4590" s="55" t="str">
        <f>IFERROR(IF(OR($B4590="",$B4590="(blank)"),"",VLOOKUP($B4590,'Email Marketing Raw Data'!$C:$O,6,0)),"")</f>
        <v/>
      </c>
      <c r="O4590" s="55" t="str">
        <f>IFERROR(IF(OR($B4590="",$B4590="(blank)"),"",VLOOKUP($B4590,'Email Marketing Raw Data'!$C:$O,7,0)),"")</f>
        <v/>
      </c>
      <c r="P4590" s="55" t="str">
        <f>IFERROR(IF(OR($B4590="",$B4590="(blank)"),"",VLOOKUP($B4590,'Email Marketing Raw Data'!$C:$O,8,0)),"")</f>
        <v/>
      </c>
      <c r="Q4590" s="62" t="str">
        <f>IFERROR(IF(OR($B4590="",$B4590="(blank)"),"",VLOOKUP($B4590,'Email Marketing Raw Data'!$C:$O,9,0)),"")</f>
        <v/>
      </c>
    </row>
    <row r="4591" spans="4:17" ht="12.75" customHeight="1" x14ac:dyDescent="0.2">
      <c r="D4591" s="58" t="str">
        <f>IFERROR(IF(F4591&lt;&gt;"pending","",IF(OR($B4591="",$B4591="(blank)"),"",VLOOKUP($B4591,'Email Marketing Raw Data'!$C:$O,10,0))),"")</f>
        <v/>
      </c>
      <c r="E4591" s="59" t="str">
        <f>IFERROR(IF(F4591&lt;&gt;"pending","",IF(OR($B4591="",$B4591="(blank)"),"",VLOOKUP($B4591,'Email Marketing Raw Data'!$C:$O,11,0))),"")</f>
        <v/>
      </c>
      <c r="F4591" s="54" t="str">
        <f>IFERROR(IF(OR($B4591="",$B4591="(blank)"),"",VLOOKUP($B4591,'Email Marketing Raw Data'!$C:$O,13,0)),"")</f>
        <v/>
      </c>
      <c r="G4591" s="55" t="str">
        <f>IFERROR(IF(OR($B4591="",$B4591="(blank)"),"",VLOOKUP($B4591,'Email Marketing Raw Data'!$C:$O,4,0)),"")</f>
        <v/>
      </c>
      <c r="H4591" s="55" t="str">
        <f>IFERROR(IF(OR($B4591="",$B4591="(blank)"),"",VLOOKUP($B4591,'Email Marketing Raw Data'!$C:$O,5,0)),"")</f>
        <v/>
      </c>
      <c r="I4591" s="55" t="str">
        <f>IFERROR(IF($G4591="","",VLOOKUP('Dashboard And Emails Automate'!$G4591,Database!$H:$N,3,0)),"")</f>
        <v/>
      </c>
      <c r="J4591" s="55" t="str">
        <f>IFERROR(IF($G4591="","",VLOOKUP('Dashboard And Emails Automate'!$G4591,Database!$H:$N,4,0)),"")</f>
        <v/>
      </c>
      <c r="K4591" s="55" t="str">
        <f>IFERROR(IF($G4591="","",VLOOKUP('Dashboard And Emails Automate'!$G4591,Database!$H:$N,5,0)),"")</f>
        <v/>
      </c>
      <c r="L4591" s="55" t="str">
        <f>IFERROR(IF($G4591="","",VLOOKUP('Dashboard And Emails Automate'!$G4591,Database!$H:$N,6,0)),"")</f>
        <v/>
      </c>
      <c r="M4591" s="55" t="str">
        <f>IFERROR(IF($G4591="","",VLOOKUP('Dashboard And Emails Automate'!$G4591,Database!$H:$N,7,0)),"")</f>
        <v/>
      </c>
      <c r="N4591" s="55" t="str">
        <f>IFERROR(IF(OR($B4591="",$B4591="(blank)"),"",VLOOKUP($B4591,'Email Marketing Raw Data'!$C:$O,6,0)),"")</f>
        <v/>
      </c>
      <c r="O4591" s="55" t="str">
        <f>IFERROR(IF(OR($B4591="",$B4591="(blank)"),"",VLOOKUP($B4591,'Email Marketing Raw Data'!$C:$O,7,0)),"")</f>
        <v/>
      </c>
      <c r="P4591" s="55" t="str">
        <f>IFERROR(IF(OR($B4591="",$B4591="(blank)"),"",VLOOKUP($B4591,'Email Marketing Raw Data'!$C:$O,8,0)),"")</f>
        <v/>
      </c>
      <c r="Q4591" s="62" t="str">
        <f>IFERROR(IF(OR($B4591="",$B4591="(blank)"),"",VLOOKUP($B4591,'Email Marketing Raw Data'!$C:$O,9,0)),"")</f>
        <v/>
      </c>
    </row>
    <row r="4592" spans="4:17" ht="12.75" customHeight="1" x14ac:dyDescent="0.2">
      <c r="D4592" s="58" t="str">
        <f>IFERROR(IF(F4592&lt;&gt;"pending","",IF(OR($B4592="",$B4592="(blank)"),"",VLOOKUP($B4592,'Email Marketing Raw Data'!$C:$O,10,0))),"")</f>
        <v/>
      </c>
      <c r="E4592" s="59" t="str">
        <f>IFERROR(IF(F4592&lt;&gt;"pending","",IF(OR($B4592="",$B4592="(blank)"),"",VLOOKUP($B4592,'Email Marketing Raw Data'!$C:$O,11,0))),"")</f>
        <v/>
      </c>
      <c r="F4592" s="54" t="str">
        <f>IFERROR(IF(OR($B4592="",$B4592="(blank)"),"",VLOOKUP($B4592,'Email Marketing Raw Data'!$C:$O,13,0)),"")</f>
        <v/>
      </c>
      <c r="G4592" s="55" t="str">
        <f>IFERROR(IF(OR($B4592="",$B4592="(blank)"),"",VLOOKUP($B4592,'Email Marketing Raw Data'!$C:$O,4,0)),"")</f>
        <v/>
      </c>
      <c r="H4592" s="55" t="str">
        <f>IFERROR(IF(OR($B4592="",$B4592="(blank)"),"",VLOOKUP($B4592,'Email Marketing Raw Data'!$C:$O,5,0)),"")</f>
        <v/>
      </c>
      <c r="I4592" s="55" t="str">
        <f>IFERROR(IF($G4592="","",VLOOKUP('Dashboard And Emails Automate'!$G4592,Database!$H:$N,3,0)),"")</f>
        <v/>
      </c>
      <c r="J4592" s="55" t="str">
        <f>IFERROR(IF($G4592="","",VLOOKUP('Dashboard And Emails Automate'!$G4592,Database!$H:$N,4,0)),"")</f>
        <v/>
      </c>
      <c r="K4592" s="55" t="str">
        <f>IFERROR(IF($G4592="","",VLOOKUP('Dashboard And Emails Automate'!$G4592,Database!$H:$N,5,0)),"")</f>
        <v/>
      </c>
      <c r="L4592" s="55" t="str">
        <f>IFERROR(IF($G4592="","",VLOOKUP('Dashboard And Emails Automate'!$G4592,Database!$H:$N,6,0)),"")</f>
        <v/>
      </c>
      <c r="M4592" s="55" t="str">
        <f>IFERROR(IF($G4592="","",VLOOKUP('Dashboard And Emails Automate'!$G4592,Database!$H:$N,7,0)),"")</f>
        <v/>
      </c>
      <c r="N4592" s="55" t="str">
        <f>IFERROR(IF(OR($B4592="",$B4592="(blank)"),"",VLOOKUP($B4592,'Email Marketing Raw Data'!$C:$O,6,0)),"")</f>
        <v/>
      </c>
      <c r="O4592" s="55" t="str">
        <f>IFERROR(IF(OR($B4592="",$B4592="(blank)"),"",VLOOKUP($B4592,'Email Marketing Raw Data'!$C:$O,7,0)),"")</f>
        <v/>
      </c>
      <c r="P4592" s="55" t="str">
        <f>IFERROR(IF(OR($B4592="",$B4592="(blank)"),"",VLOOKUP($B4592,'Email Marketing Raw Data'!$C:$O,8,0)),"")</f>
        <v/>
      </c>
      <c r="Q4592" s="62" t="str">
        <f>IFERROR(IF(OR($B4592="",$B4592="(blank)"),"",VLOOKUP($B4592,'Email Marketing Raw Data'!$C:$O,9,0)),"")</f>
        <v/>
      </c>
    </row>
    <row r="4593" spans="4:17" ht="12.75" customHeight="1" x14ac:dyDescent="0.2">
      <c r="D4593" s="58" t="str">
        <f>IFERROR(IF(F4593&lt;&gt;"pending","",IF(OR($B4593="",$B4593="(blank)"),"",VLOOKUP($B4593,'Email Marketing Raw Data'!$C:$O,10,0))),"")</f>
        <v/>
      </c>
      <c r="E4593" s="59" t="str">
        <f>IFERROR(IF(F4593&lt;&gt;"pending","",IF(OR($B4593="",$B4593="(blank)"),"",VLOOKUP($B4593,'Email Marketing Raw Data'!$C:$O,11,0))),"")</f>
        <v/>
      </c>
      <c r="F4593" s="54" t="str">
        <f>IFERROR(IF(OR($B4593="",$B4593="(blank)"),"",VLOOKUP($B4593,'Email Marketing Raw Data'!$C:$O,13,0)),"")</f>
        <v/>
      </c>
      <c r="G4593" s="55" t="str">
        <f>IFERROR(IF(OR($B4593="",$B4593="(blank)"),"",VLOOKUP($B4593,'Email Marketing Raw Data'!$C:$O,4,0)),"")</f>
        <v/>
      </c>
      <c r="H4593" s="55" t="str">
        <f>IFERROR(IF(OR($B4593="",$B4593="(blank)"),"",VLOOKUP($B4593,'Email Marketing Raw Data'!$C:$O,5,0)),"")</f>
        <v/>
      </c>
      <c r="I4593" s="55" t="str">
        <f>IFERROR(IF($G4593="","",VLOOKUP('Dashboard And Emails Automate'!$G4593,Database!$H:$N,3,0)),"")</f>
        <v/>
      </c>
      <c r="J4593" s="55" t="str">
        <f>IFERROR(IF($G4593="","",VLOOKUP('Dashboard And Emails Automate'!$G4593,Database!$H:$N,4,0)),"")</f>
        <v/>
      </c>
      <c r="K4593" s="55" t="str">
        <f>IFERROR(IF($G4593="","",VLOOKUP('Dashboard And Emails Automate'!$G4593,Database!$H:$N,5,0)),"")</f>
        <v/>
      </c>
      <c r="L4593" s="55" t="str">
        <f>IFERROR(IF($G4593="","",VLOOKUP('Dashboard And Emails Automate'!$G4593,Database!$H:$N,6,0)),"")</f>
        <v/>
      </c>
      <c r="M4593" s="55" t="str">
        <f>IFERROR(IF($G4593="","",VLOOKUP('Dashboard And Emails Automate'!$G4593,Database!$H:$N,7,0)),"")</f>
        <v/>
      </c>
      <c r="N4593" s="55" t="str">
        <f>IFERROR(IF(OR($B4593="",$B4593="(blank)"),"",VLOOKUP($B4593,'Email Marketing Raw Data'!$C:$O,6,0)),"")</f>
        <v/>
      </c>
      <c r="O4593" s="55" t="str">
        <f>IFERROR(IF(OR($B4593="",$B4593="(blank)"),"",VLOOKUP($B4593,'Email Marketing Raw Data'!$C:$O,7,0)),"")</f>
        <v/>
      </c>
      <c r="P4593" s="55" t="str">
        <f>IFERROR(IF(OR($B4593="",$B4593="(blank)"),"",VLOOKUP($B4593,'Email Marketing Raw Data'!$C:$O,8,0)),"")</f>
        <v/>
      </c>
      <c r="Q4593" s="62" t="str">
        <f>IFERROR(IF(OR($B4593="",$B4593="(blank)"),"",VLOOKUP($B4593,'Email Marketing Raw Data'!$C:$O,9,0)),"")</f>
        <v/>
      </c>
    </row>
    <row r="4594" spans="4:17" ht="12.75" customHeight="1" x14ac:dyDescent="0.2">
      <c r="D4594" s="58" t="str">
        <f>IFERROR(IF(F4594&lt;&gt;"pending","",IF(OR($B4594="",$B4594="(blank)"),"",VLOOKUP($B4594,'Email Marketing Raw Data'!$C:$O,10,0))),"")</f>
        <v/>
      </c>
      <c r="E4594" s="59" t="str">
        <f>IFERROR(IF(F4594&lt;&gt;"pending","",IF(OR($B4594="",$B4594="(blank)"),"",VLOOKUP($B4594,'Email Marketing Raw Data'!$C:$O,11,0))),"")</f>
        <v/>
      </c>
      <c r="F4594" s="54" t="str">
        <f>IFERROR(IF(OR($B4594="",$B4594="(blank)"),"",VLOOKUP($B4594,'Email Marketing Raw Data'!$C:$O,13,0)),"")</f>
        <v/>
      </c>
      <c r="G4594" s="55" t="str">
        <f>IFERROR(IF(OR($B4594="",$B4594="(blank)"),"",VLOOKUP($B4594,'Email Marketing Raw Data'!$C:$O,4,0)),"")</f>
        <v/>
      </c>
      <c r="H4594" s="55" t="str">
        <f>IFERROR(IF(OR($B4594="",$B4594="(blank)"),"",VLOOKUP($B4594,'Email Marketing Raw Data'!$C:$O,5,0)),"")</f>
        <v/>
      </c>
      <c r="I4594" s="55" t="str">
        <f>IFERROR(IF($G4594="","",VLOOKUP('Dashboard And Emails Automate'!$G4594,Database!$H:$N,3,0)),"")</f>
        <v/>
      </c>
      <c r="J4594" s="55" t="str">
        <f>IFERROR(IF($G4594="","",VLOOKUP('Dashboard And Emails Automate'!$G4594,Database!$H:$N,4,0)),"")</f>
        <v/>
      </c>
      <c r="K4594" s="55" t="str">
        <f>IFERROR(IF($G4594="","",VLOOKUP('Dashboard And Emails Automate'!$G4594,Database!$H:$N,5,0)),"")</f>
        <v/>
      </c>
      <c r="L4594" s="55" t="str">
        <f>IFERROR(IF($G4594="","",VLOOKUP('Dashboard And Emails Automate'!$G4594,Database!$H:$N,6,0)),"")</f>
        <v/>
      </c>
      <c r="M4594" s="55" t="str">
        <f>IFERROR(IF($G4594="","",VLOOKUP('Dashboard And Emails Automate'!$G4594,Database!$H:$N,7,0)),"")</f>
        <v/>
      </c>
      <c r="N4594" s="55" t="str">
        <f>IFERROR(IF(OR($B4594="",$B4594="(blank)"),"",VLOOKUP($B4594,'Email Marketing Raw Data'!$C:$O,6,0)),"")</f>
        <v/>
      </c>
      <c r="O4594" s="55" t="str">
        <f>IFERROR(IF(OR($B4594="",$B4594="(blank)"),"",VLOOKUP($B4594,'Email Marketing Raw Data'!$C:$O,7,0)),"")</f>
        <v/>
      </c>
      <c r="P4594" s="55" t="str">
        <f>IFERROR(IF(OR($B4594="",$B4594="(blank)"),"",VLOOKUP($B4594,'Email Marketing Raw Data'!$C:$O,8,0)),"")</f>
        <v/>
      </c>
      <c r="Q4594" s="62" t="str">
        <f>IFERROR(IF(OR($B4594="",$B4594="(blank)"),"",VLOOKUP($B4594,'Email Marketing Raw Data'!$C:$O,9,0)),"")</f>
        <v/>
      </c>
    </row>
    <row r="4595" spans="4:17" ht="12.75" customHeight="1" x14ac:dyDescent="0.2">
      <c r="D4595" s="58" t="str">
        <f>IFERROR(IF(F4595&lt;&gt;"pending","",IF(OR($B4595="",$B4595="(blank)"),"",VLOOKUP($B4595,'Email Marketing Raw Data'!$C:$O,10,0))),"")</f>
        <v/>
      </c>
      <c r="E4595" s="59" t="str">
        <f>IFERROR(IF(F4595&lt;&gt;"pending","",IF(OR($B4595="",$B4595="(blank)"),"",VLOOKUP($B4595,'Email Marketing Raw Data'!$C:$O,11,0))),"")</f>
        <v/>
      </c>
      <c r="F4595" s="54" t="str">
        <f>IFERROR(IF(OR($B4595="",$B4595="(blank)"),"",VLOOKUP($B4595,'Email Marketing Raw Data'!$C:$O,13,0)),"")</f>
        <v/>
      </c>
      <c r="G4595" s="55" t="str">
        <f>IFERROR(IF(OR($B4595="",$B4595="(blank)"),"",VLOOKUP($B4595,'Email Marketing Raw Data'!$C:$O,4,0)),"")</f>
        <v/>
      </c>
      <c r="H4595" s="55" t="str">
        <f>IFERROR(IF(OR($B4595="",$B4595="(blank)"),"",VLOOKUP($B4595,'Email Marketing Raw Data'!$C:$O,5,0)),"")</f>
        <v/>
      </c>
      <c r="I4595" s="55" t="str">
        <f>IFERROR(IF($G4595="","",VLOOKUP('Dashboard And Emails Automate'!$G4595,Database!$H:$N,3,0)),"")</f>
        <v/>
      </c>
      <c r="J4595" s="55" t="str">
        <f>IFERROR(IF($G4595="","",VLOOKUP('Dashboard And Emails Automate'!$G4595,Database!$H:$N,4,0)),"")</f>
        <v/>
      </c>
      <c r="K4595" s="55" t="str">
        <f>IFERROR(IF($G4595="","",VLOOKUP('Dashboard And Emails Automate'!$G4595,Database!$H:$N,5,0)),"")</f>
        <v/>
      </c>
      <c r="L4595" s="55" t="str">
        <f>IFERROR(IF($G4595="","",VLOOKUP('Dashboard And Emails Automate'!$G4595,Database!$H:$N,6,0)),"")</f>
        <v/>
      </c>
      <c r="M4595" s="55" t="str">
        <f>IFERROR(IF($G4595="","",VLOOKUP('Dashboard And Emails Automate'!$G4595,Database!$H:$N,7,0)),"")</f>
        <v/>
      </c>
      <c r="N4595" s="55" t="str">
        <f>IFERROR(IF(OR($B4595="",$B4595="(blank)"),"",VLOOKUP($B4595,'Email Marketing Raw Data'!$C:$O,6,0)),"")</f>
        <v/>
      </c>
      <c r="O4595" s="55" t="str">
        <f>IFERROR(IF(OR($B4595="",$B4595="(blank)"),"",VLOOKUP($B4595,'Email Marketing Raw Data'!$C:$O,7,0)),"")</f>
        <v/>
      </c>
      <c r="P4595" s="55" t="str">
        <f>IFERROR(IF(OR($B4595="",$B4595="(blank)"),"",VLOOKUP($B4595,'Email Marketing Raw Data'!$C:$O,8,0)),"")</f>
        <v/>
      </c>
      <c r="Q4595" s="62" t="str">
        <f>IFERROR(IF(OR($B4595="",$B4595="(blank)"),"",VLOOKUP($B4595,'Email Marketing Raw Data'!$C:$O,9,0)),"")</f>
        <v/>
      </c>
    </row>
    <row r="4596" spans="4:17" ht="12.75" customHeight="1" x14ac:dyDescent="0.2">
      <c r="D4596" s="58" t="str">
        <f>IFERROR(IF(F4596&lt;&gt;"pending","",IF(OR($B4596="",$B4596="(blank)"),"",VLOOKUP($B4596,'Email Marketing Raw Data'!$C:$O,10,0))),"")</f>
        <v/>
      </c>
      <c r="E4596" s="59" t="str">
        <f>IFERROR(IF(F4596&lt;&gt;"pending","",IF(OR($B4596="",$B4596="(blank)"),"",VLOOKUP($B4596,'Email Marketing Raw Data'!$C:$O,11,0))),"")</f>
        <v/>
      </c>
      <c r="F4596" s="54" t="str">
        <f>IFERROR(IF(OR($B4596="",$B4596="(blank)"),"",VLOOKUP($B4596,'Email Marketing Raw Data'!$C:$O,13,0)),"")</f>
        <v/>
      </c>
      <c r="G4596" s="55" t="str">
        <f>IFERROR(IF(OR($B4596="",$B4596="(blank)"),"",VLOOKUP($B4596,'Email Marketing Raw Data'!$C:$O,4,0)),"")</f>
        <v/>
      </c>
      <c r="H4596" s="55" t="str">
        <f>IFERROR(IF(OR($B4596="",$B4596="(blank)"),"",VLOOKUP($B4596,'Email Marketing Raw Data'!$C:$O,5,0)),"")</f>
        <v/>
      </c>
      <c r="I4596" s="55" t="str">
        <f>IFERROR(IF($G4596="","",VLOOKUP('Dashboard And Emails Automate'!$G4596,Database!$H:$N,3,0)),"")</f>
        <v/>
      </c>
      <c r="J4596" s="55" t="str">
        <f>IFERROR(IF($G4596="","",VLOOKUP('Dashboard And Emails Automate'!$G4596,Database!$H:$N,4,0)),"")</f>
        <v/>
      </c>
      <c r="K4596" s="55" t="str">
        <f>IFERROR(IF($G4596="","",VLOOKUP('Dashboard And Emails Automate'!$G4596,Database!$H:$N,5,0)),"")</f>
        <v/>
      </c>
      <c r="L4596" s="55" t="str">
        <f>IFERROR(IF($G4596="","",VLOOKUP('Dashboard And Emails Automate'!$G4596,Database!$H:$N,6,0)),"")</f>
        <v/>
      </c>
      <c r="M4596" s="55" t="str">
        <f>IFERROR(IF($G4596="","",VLOOKUP('Dashboard And Emails Automate'!$G4596,Database!$H:$N,7,0)),"")</f>
        <v/>
      </c>
      <c r="N4596" s="55" t="str">
        <f>IFERROR(IF(OR($B4596="",$B4596="(blank)"),"",VLOOKUP($B4596,'Email Marketing Raw Data'!$C:$O,6,0)),"")</f>
        <v/>
      </c>
      <c r="O4596" s="55" t="str">
        <f>IFERROR(IF(OR($B4596="",$B4596="(blank)"),"",VLOOKUP($B4596,'Email Marketing Raw Data'!$C:$O,7,0)),"")</f>
        <v/>
      </c>
      <c r="P4596" s="55" t="str">
        <f>IFERROR(IF(OR($B4596="",$B4596="(blank)"),"",VLOOKUP($B4596,'Email Marketing Raw Data'!$C:$O,8,0)),"")</f>
        <v/>
      </c>
      <c r="Q4596" s="62" t="str">
        <f>IFERROR(IF(OR($B4596="",$B4596="(blank)"),"",VLOOKUP($B4596,'Email Marketing Raw Data'!$C:$O,9,0)),"")</f>
        <v/>
      </c>
    </row>
    <row r="4597" spans="4:17" ht="12.75" customHeight="1" x14ac:dyDescent="0.2">
      <c r="D4597" s="58" t="str">
        <f>IFERROR(IF(F4597&lt;&gt;"pending","",IF(OR($B4597="",$B4597="(blank)"),"",VLOOKUP($B4597,'Email Marketing Raw Data'!$C:$O,10,0))),"")</f>
        <v/>
      </c>
      <c r="E4597" s="59" t="str">
        <f>IFERROR(IF(F4597&lt;&gt;"pending","",IF(OR($B4597="",$B4597="(blank)"),"",VLOOKUP($B4597,'Email Marketing Raw Data'!$C:$O,11,0))),"")</f>
        <v/>
      </c>
      <c r="F4597" s="54" t="str">
        <f>IFERROR(IF(OR($B4597="",$B4597="(blank)"),"",VLOOKUP($B4597,'Email Marketing Raw Data'!$C:$O,13,0)),"")</f>
        <v/>
      </c>
      <c r="G4597" s="55" t="str">
        <f>IFERROR(IF(OR($B4597="",$B4597="(blank)"),"",VLOOKUP($B4597,'Email Marketing Raw Data'!$C:$O,4,0)),"")</f>
        <v/>
      </c>
      <c r="H4597" s="55" t="str">
        <f>IFERROR(IF(OR($B4597="",$B4597="(blank)"),"",VLOOKUP($B4597,'Email Marketing Raw Data'!$C:$O,5,0)),"")</f>
        <v/>
      </c>
      <c r="I4597" s="55" t="str">
        <f>IFERROR(IF($G4597="","",VLOOKUP('Dashboard And Emails Automate'!$G4597,Database!$H:$N,3,0)),"")</f>
        <v/>
      </c>
      <c r="J4597" s="55" t="str">
        <f>IFERROR(IF($G4597="","",VLOOKUP('Dashboard And Emails Automate'!$G4597,Database!$H:$N,4,0)),"")</f>
        <v/>
      </c>
      <c r="K4597" s="55" t="str">
        <f>IFERROR(IF($G4597="","",VLOOKUP('Dashboard And Emails Automate'!$G4597,Database!$H:$N,5,0)),"")</f>
        <v/>
      </c>
      <c r="L4597" s="55" t="str">
        <f>IFERROR(IF($G4597="","",VLOOKUP('Dashboard And Emails Automate'!$G4597,Database!$H:$N,6,0)),"")</f>
        <v/>
      </c>
      <c r="M4597" s="55" t="str">
        <f>IFERROR(IF($G4597="","",VLOOKUP('Dashboard And Emails Automate'!$G4597,Database!$H:$N,7,0)),"")</f>
        <v/>
      </c>
      <c r="N4597" s="55" t="str">
        <f>IFERROR(IF(OR($B4597="",$B4597="(blank)"),"",VLOOKUP($B4597,'Email Marketing Raw Data'!$C:$O,6,0)),"")</f>
        <v/>
      </c>
      <c r="O4597" s="55" t="str">
        <f>IFERROR(IF(OR($B4597="",$B4597="(blank)"),"",VLOOKUP($B4597,'Email Marketing Raw Data'!$C:$O,7,0)),"")</f>
        <v/>
      </c>
      <c r="P4597" s="55" t="str">
        <f>IFERROR(IF(OR($B4597="",$B4597="(blank)"),"",VLOOKUP($B4597,'Email Marketing Raw Data'!$C:$O,8,0)),"")</f>
        <v/>
      </c>
      <c r="Q4597" s="62" t="str">
        <f>IFERROR(IF(OR($B4597="",$B4597="(blank)"),"",VLOOKUP($B4597,'Email Marketing Raw Data'!$C:$O,9,0)),"")</f>
        <v/>
      </c>
    </row>
    <row r="4598" spans="4:17" ht="12.75" customHeight="1" x14ac:dyDescent="0.2">
      <c r="D4598" s="58" t="str">
        <f>IFERROR(IF(F4598&lt;&gt;"pending","",IF(OR($B4598="",$B4598="(blank)"),"",VLOOKUP($B4598,'Email Marketing Raw Data'!$C:$O,10,0))),"")</f>
        <v/>
      </c>
      <c r="E4598" s="59" t="str">
        <f>IFERROR(IF(F4598&lt;&gt;"pending","",IF(OR($B4598="",$B4598="(blank)"),"",VLOOKUP($B4598,'Email Marketing Raw Data'!$C:$O,11,0))),"")</f>
        <v/>
      </c>
      <c r="F4598" s="54" t="str">
        <f>IFERROR(IF(OR($B4598="",$B4598="(blank)"),"",VLOOKUP($B4598,'Email Marketing Raw Data'!$C:$O,13,0)),"")</f>
        <v/>
      </c>
      <c r="G4598" s="55" t="str">
        <f>IFERROR(IF(OR($B4598="",$B4598="(blank)"),"",VLOOKUP($B4598,'Email Marketing Raw Data'!$C:$O,4,0)),"")</f>
        <v/>
      </c>
      <c r="H4598" s="55" t="str">
        <f>IFERROR(IF(OR($B4598="",$B4598="(blank)"),"",VLOOKUP($B4598,'Email Marketing Raw Data'!$C:$O,5,0)),"")</f>
        <v/>
      </c>
      <c r="I4598" s="55" t="str">
        <f>IFERROR(IF($G4598="","",VLOOKUP('Dashboard And Emails Automate'!$G4598,Database!$H:$N,3,0)),"")</f>
        <v/>
      </c>
      <c r="J4598" s="55" t="str">
        <f>IFERROR(IF($G4598="","",VLOOKUP('Dashboard And Emails Automate'!$G4598,Database!$H:$N,4,0)),"")</f>
        <v/>
      </c>
      <c r="K4598" s="55" t="str">
        <f>IFERROR(IF($G4598="","",VLOOKUP('Dashboard And Emails Automate'!$G4598,Database!$H:$N,5,0)),"")</f>
        <v/>
      </c>
      <c r="L4598" s="55" t="str">
        <f>IFERROR(IF($G4598="","",VLOOKUP('Dashboard And Emails Automate'!$G4598,Database!$H:$N,6,0)),"")</f>
        <v/>
      </c>
      <c r="M4598" s="55" t="str">
        <f>IFERROR(IF($G4598="","",VLOOKUP('Dashboard And Emails Automate'!$G4598,Database!$H:$N,7,0)),"")</f>
        <v/>
      </c>
      <c r="N4598" s="55" t="str">
        <f>IFERROR(IF(OR($B4598="",$B4598="(blank)"),"",VLOOKUP($B4598,'Email Marketing Raw Data'!$C:$O,6,0)),"")</f>
        <v/>
      </c>
      <c r="O4598" s="55" t="str">
        <f>IFERROR(IF(OR($B4598="",$B4598="(blank)"),"",VLOOKUP($B4598,'Email Marketing Raw Data'!$C:$O,7,0)),"")</f>
        <v/>
      </c>
      <c r="P4598" s="55" t="str">
        <f>IFERROR(IF(OR($B4598="",$B4598="(blank)"),"",VLOOKUP($B4598,'Email Marketing Raw Data'!$C:$O,8,0)),"")</f>
        <v/>
      </c>
      <c r="Q4598" s="62" t="str">
        <f>IFERROR(IF(OR($B4598="",$B4598="(blank)"),"",VLOOKUP($B4598,'Email Marketing Raw Data'!$C:$O,9,0)),"")</f>
        <v/>
      </c>
    </row>
    <row r="4599" spans="4:17" ht="12.75" customHeight="1" x14ac:dyDescent="0.2">
      <c r="D4599" s="58" t="str">
        <f>IFERROR(IF(F4599&lt;&gt;"pending","",IF(OR($B4599="",$B4599="(blank)"),"",VLOOKUP($B4599,'Email Marketing Raw Data'!$C:$O,10,0))),"")</f>
        <v/>
      </c>
      <c r="E4599" s="59" t="str">
        <f>IFERROR(IF(F4599&lt;&gt;"pending","",IF(OR($B4599="",$B4599="(blank)"),"",VLOOKUP($B4599,'Email Marketing Raw Data'!$C:$O,11,0))),"")</f>
        <v/>
      </c>
      <c r="F4599" s="54" t="str">
        <f>IFERROR(IF(OR($B4599="",$B4599="(blank)"),"",VLOOKUP($B4599,'Email Marketing Raw Data'!$C:$O,13,0)),"")</f>
        <v/>
      </c>
      <c r="G4599" s="55" t="str">
        <f>IFERROR(IF(OR($B4599="",$B4599="(blank)"),"",VLOOKUP($B4599,'Email Marketing Raw Data'!$C:$O,4,0)),"")</f>
        <v/>
      </c>
      <c r="H4599" s="55" t="str">
        <f>IFERROR(IF(OR($B4599="",$B4599="(blank)"),"",VLOOKUP($B4599,'Email Marketing Raw Data'!$C:$O,5,0)),"")</f>
        <v/>
      </c>
      <c r="I4599" s="55" t="str">
        <f>IFERROR(IF($G4599="","",VLOOKUP('Dashboard And Emails Automate'!$G4599,Database!$H:$N,3,0)),"")</f>
        <v/>
      </c>
      <c r="J4599" s="55" t="str">
        <f>IFERROR(IF($G4599="","",VLOOKUP('Dashboard And Emails Automate'!$G4599,Database!$H:$N,4,0)),"")</f>
        <v/>
      </c>
      <c r="K4599" s="55" t="str">
        <f>IFERROR(IF($G4599="","",VLOOKUP('Dashboard And Emails Automate'!$G4599,Database!$H:$N,5,0)),"")</f>
        <v/>
      </c>
      <c r="L4599" s="55" t="str">
        <f>IFERROR(IF($G4599="","",VLOOKUP('Dashboard And Emails Automate'!$G4599,Database!$H:$N,6,0)),"")</f>
        <v/>
      </c>
      <c r="M4599" s="55" t="str">
        <f>IFERROR(IF($G4599="","",VLOOKUP('Dashboard And Emails Automate'!$G4599,Database!$H:$N,7,0)),"")</f>
        <v/>
      </c>
      <c r="N4599" s="55" t="str">
        <f>IFERROR(IF(OR($B4599="",$B4599="(blank)"),"",VLOOKUP($B4599,'Email Marketing Raw Data'!$C:$O,6,0)),"")</f>
        <v/>
      </c>
      <c r="O4599" s="55" t="str">
        <f>IFERROR(IF(OR($B4599="",$B4599="(blank)"),"",VLOOKUP($B4599,'Email Marketing Raw Data'!$C:$O,7,0)),"")</f>
        <v/>
      </c>
      <c r="P4599" s="55" t="str">
        <f>IFERROR(IF(OR($B4599="",$B4599="(blank)"),"",VLOOKUP($B4599,'Email Marketing Raw Data'!$C:$O,8,0)),"")</f>
        <v/>
      </c>
      <c r="Q4599" s="62" t="str">
        <f>IFERROR(IF(OR($B4599="",$B4599="(blank)"),"",VLOOKUP($B4599,'Email Marketing Raw Data'!$C:$O,9,0)),"")</f>
        <v/>
      </c>
    </row>
    <row r="4600" spans="4:17" ht="12.75" customHeight="1" x14ac:dyDescent="0.2">
      <c r="D4600" s="58" t="str">
        <f>IFERROR(IF(F4600&lt;&gt;"pending","",IF(OR($B4600="",$B4600="(blank)"),"",VLOOKUP($B4600,'Email Marketing Raw Data'!$C:$O,10,0))),"")</f>
        <v/>
      </c>
      <c r="E4600" s="59" t="str">
        <f>IFERROR(IF(F4600&lt;&gt;"pending","",IF(OR($B4600="",$B4600="(blank)"),"",VLOOKUP($B4600,'Email Marketing Raw Data'!$C:$O,11,0))),"")</f>
        <v/>
      </c>
      <c r="F4600" s="54" t="str">
        <f>IFERROR(IF(OR($B4600="",$B4600="(blank)"),"",VLOOKUP($B4600,'Email Marketing Raw Data'!$C:$O,13,0)),"")</f>
        <v/>
      </c>
      <c r="G4600" s="55" t="str">
        <f>IFERROR(IF(OR($B4600="",$B4600="(blank)"),"",VLOOKUP($B4600,'Email Marketing Raw Data'!$C:$O,4,0)),"")</f>
        <v/>
      </c>
      <c r="H4600" s="55" t="str">
        <f>IFERROR(IF(OR($B4600="",$B4600="(blank)"),"",VLOOKUP($B4600,'Email Marketing Raw Data'!$C:$O,5,0)),"")</f>
        <v/>
      </c>
      <c r="I4600" s="55" t="str">
        <f>IFERROR(IF($G4600="","",VLOOKUP('Dashboard And Emails Automate'!$G4600,Database!$H:$N,3,0)),"")</f>
        <v/>
      </c>
      <c r="J4600" s="55" t="str">
        <f>IFERROR(IF($G4600="","",VLOOKUP('Dashboard And Emails Automate'!$G4600,Database!$H:$N,4,0)),"")</f>
        <v/>
      </c>
      <c r="K4600" s="55" t="str">
        <f>IFERROR(IF($G4600="","",VLOOKUP('Dashboard And Emails Automate'!$G4600,Database!$H:$N,5,0)),"")</f>
        <v/>
      </c>
      <c r="L4600" s="55" t="str">
        <f>IFERROR(IF($G4600="","",VLOOKUP('Dashboard And Emails Automate'!$G4600,Database!$H:$N,6,0)),"")</f>
        <v/>
      </c>
      <c r="M4600" s="55" t="str">
        <f>IFERROR(IF($G4600="","",VLOOKUP('Dashboard And Emails Automate'!$G4600,Database!$H:$N,7,0)),"")</f>
        <v/>
      </c>
      <c r="N4600" s="55" t="str">
        <f>IFERROR(IF(OR($B4600="",$B4600="(blank)"),"",VLOOKUP($B4600,'Email Marketing Raw Data'!$C:$O,6,0)),"")</f>
        <v/>
      </c>
      <c r="O4600" s="55" t="str">
        <f>IFERROR(IF(OR($B4600="",$B4600="(blank)"),"",VLOOKUP($B4600,'Email Marketing Raw Data'!$C:$O,7,0)),"")</f>
        <v/>
      </c>
      <c r="P4600" s="55" t="str">
        <f>IFERROR(IF(OR($B4600="",$B4600="(blank)"),"",VLOOKUP($B4600,'Email Marketing Raw Data'!$C:$O,8,0)),"")</f>
        <v/>
      </c>
      <c r="Q4600" s="62" t="str">
        <f>IFERROR(IF(OR($B4600="",$B4600="(blank)"),"",VLOOKUP($B4600,'Email Marketing Raw Data'!$C:$O,9,0)),"")</f>
        <v/>
      </c>
    </row>
    <row r="4601" spans="4:17" ht="12.75" customHeight="1" x14ac:dyDescent="0.2">
      <c r="D4601" s="58" t="str">
        <f>IFERROR(IF(F4601&lt;&gt;"pending","",IF(OR($B4601="",$B4601="(blank)"),"",VLOOKUP($B4601,'Email Marketing Raw Data'!$C:$O,10,0))),"")</f>
        <v/>
      </c>
      <c r="E4601" s="59" t="str">
        <f>IFERROR(IF(F4601&lt;&gt;"pending","",IF(OR($B4601="",$B4601="(blank)"),"",VLOOKUP($B4601,'Email Marketing Raw Data'!$C:$O,11,0))),"")</f>
        <v/>
      </c>
      <c r="F4601" s="54" t="str">
        <f>IFERROR(IF(OR($B4601="",$B4601="(blank)"),"",VLOOKUP($B4601,'Email Marketing Raw Data'!$C:$O,13,0)),"")</f>
        <v/>
      </c>
      <c r="G4601" s="55" t="str">
        <f>IFERROR(IF(OR($B4601="",$B4601="(blank)"),"",VLOOKUP($B4601,'Email Marketing Raw Data'!$C:$O,4,0)),"")</f>
        <v/>
      </c>
      <c r="H4601" s="55" t="str">
        <f>IFERROR(IF(OR($B4601="",$B4601="(blank)"),"",VLOOKUP($B4601,'Email Marketing Raw Data'!$C:$O,5,0)),"")</f>
        <v/>
      </c>
      <c r="I4601" s="55" t="str">
        <f>IFERROR(IF($G4601="","",VLOOKUP('Dashboard And Emails Automate'!$G4601,Database!$H:$N,3,0)),"")</f>
        <v/>
      </c>
      <c r="J4601" s="55" t="str">
        <f>IFERROR(IF($G4601="","",VLOOKUP('Dashboard And Emails Automate'!$G4601,Database!$H:$N,4,0)),"")</f>
        <v/>
      </c>
      <c r="K4601" s="55" t="str">
        <f>IFERROR(IF($G4601="","",VLOOKUP('Dashboard And Emails Automate'!$G4601,Database!$H:$N,5,0)),"")</f>
        <v/>
      </c>
      <c r="L4601" s="55" t="str">
        <f>IFERROR(IF($G4601="","",VLOOKUP('Dashboard And Emails Automate'!$G4601,Database!$H:$N,6,0)),"")</f>
        <v/>
      </c>
      <c r="M4601" s="55" t="str">
        <f>IFERROR(IF($G4601="","",VLOOKUP('Dashboard And Emails Automate'!$G4601,Database!$H:$N,7,0)),"")</f>
        <v/>
      </c>
      <c r="N4601" s="55" t="str">
        <f>IFERROR(IF(OR($B4601="",$B4601="(blank)"),"",VLOOKUP($B4601,'Email Marketing Raw Data'!$C:$O,6,0)),"")</f>
        <v/>
      </c>
      <c r="O4601" s="55" t="str">
        <f>IFERROR(IF(OR($B4601="",$B4601="(blank)"),"",VLOOKUP($B4601,'Email Marketing Raw Data'!$C:$O,7,0)),"")</f>
        <v/>
      </c>
      <c r="P4601" s="55" t="str">
        <f>IFERROR(IF(OR($B4601="",$B4601="(blank)"),"",VLOOKUP($B4601,'Email Marketing Raw Data'!$C:$O,8,0)),"")</f>
        <v/>
      </c>
      <c r="Q4601" s="62" t="str">
        <f>IFERROR(IF(OR($B4601="",$B4601="(blank)"),"",VLOOKUP($B4601,'Email Marketing Raw Data'!$C:$O,9,0)),"")</f>
        <v/>
      </c>
    </row>
    <row r="4602" spans="4:17" ht="12.75" customHeight="1" x14ac:dyDescent="0.2">
      <c r="D4602" s="58" t="str">
        <f>IFERROR(IF(F4602&lt;&gt;"pending","",IF(OR($B4602="",$B4602="(blank)"),"",VLOOKUP($B4602,'Email Marketing Raw Data'!$C:$O,10,0))),"")</f>
        <v/>
      </c>
      <c r="E4602" s="59" t="str">
        <f>IFERROR(IF(F4602&lt;&gt;"pending","",IF(OR($B4602="",$B4602="(blank)"),"",VLOOKUP($B4602,'Email Marketing Raw Data'!$C:$O,11,0))),"")</f>
        <v/>
      </c>
      <c r="F4602" s="54" t="str">
        <f>IFERROR(IF(OR($B4602="",$B4602="(blank)"),"",VLOOKUP($B4602,'Email Marketing Raw Data'!$C:$O,13,0)),"")</f>
        <v/>
      </c>
      <c r="G4602" s="55" t="str">
        <f>IFERROR(IF(OR($B4602="",$B4602="(blank)"),"",VLOOKUP($B4602,'Email Marketing Raw Data'!$C:$O,4,0)),"")</f>
        <v/>
      </c>
      <c r="H4602" s="55" t="str">
        <f>IFERROR(IF(OR($B4602="",$B4602="(blank)"),"",VLOOKUP($B4602,'Email Marketing Raw Data'!$C:$O,5,0)),"")</f>
        <v/>
      </c>
      <c r="I4602" s="55" t="str">
        <f>IFERROR(IF($G4602="","",VLOOKUP('Dashboard And Emails Automate'!$G4602,Database!$H:$N,3,0)),"")</f>
        <v/>
      </c>
      <c r="J4602" s="55" t="str">
        <f>IFERROR(IF($G4602="","",VLOOKUP('Dashboard And Emails Automate'!$G4602,Database!$H:$N,4,0)),"")</f>
        <v/>
      </c>
      <c r="K4602" s="55" t="str">
        <f>IFERROR(IF($G4602="","",VLOOKUP('Dashboard And Emails Automate'!$G4602,Database!$H:$N,5,0)),"")</f>
        <v/>
      </c>
      <c r="L4602" s="55" t="str">
        <f>IFERROR(IF($G4602="","",VLOOKUP('Dashboard And Emails Automate'!$G4602,Database!$H:$N,6,0)),"")</f>
        <v/>
      </c>
      <c r="M4602" s="55" t="str">
        <f>IFERROR(IF($G4602="","",VLOOKUP('Dashboard And Emails Automate'!$G4602,Database!$H:$N,7,0)),"")</f>
        <v/>
      </c>
      <c r="N4602" s="55" t="str">
        <f>IFERROR(IF(OR($B4602="",$B4602="(blank)"),"",VLOOKUP($B4602,'Email Marketing Raw Data'!$C:$O,6,0)),"")</f>
        <v/>
      </c>
      <c r="O4602" s="55" t="str">
        <f>IFERROR(IF(OR($B4602="",$B4602="(blank)"),"",VLOOKUP($B4602,'Email Marketing Raw Data'!$C:$O,7,0)),"")</f>
        <v/>
      </c>
      <c r="P4602" s="55" t="str">
        <f>IFERROR(IF(OR($B4602="",$B4602="(blank)"),"",VLOOKUP($B4602,'Email Marketing Raw Data'!$C:$O,8,0)),"")</f>
        <v/>
      </c>
      <c r="Q4602" s="62" t="str">
        <f>IFERROR(IF(OR($B4602="",$B4602="(blank)"),"",VLOOKUP($B4602,'Email Marketing Raw Data'!$C:$O,9,0)),"")</f>
        <v/>
      </c>
    </row>
    <row r="4603" spans="4:17" ht="12.75" customHeight="1" x14ac:dyDescent="0.2">
      <c r="D4603" s="58" t="str">
        <f>IFERROR(IF(F4603&lt;&gt;"pending","",IF(OR($B4603="",$B4603="(blank)"),"",VLOOKUP($B4603,'Email Marketing Raw Data'!$C:$O,10,0))),"")</f>
        <v/>
      </c>
      <c r="E4603" s="59" t="str">
        <f>IFERROR(IF(F4603&lt;&gt;"pending","",IF(OR($B4603="",$B4603="(blank)"),"",VLOOKUP($B4603,'Email Marketing Raw Data'!$C:$O,11,0))),"")</f>
        <v/>
      </c>
      <c r="F4603" s="54" t="str">
        <f>IFERROR(IF(OR($B4603="",$B4603="(blank)"),"",VLOOKUP($B4603,'Email Marketing Raw Data'!$C:$O,13,0)),"")</f>
        <v/>
      </c>
      <c r="G4603" s="55" t="str">
        <f>IFERROR(IF(OR($B4603="",$B4603="(blank)"),"",VLOOKUP($B4603,'Email Marketing Raw Data'!$C:$O,4,0)),"")</f>
        <v/>
      </c>
      <c r="H4603" s="55" t="str">
        <f>IFERROR(IF(OR($B4603="",$B4603="(blank)"),"",VLOOKUP($B4603,'Email Marketing Raw Data'!$C:$O,5,0)),"")</f>
        <v/>
      </c>
      <c r="I4603" s="55" t="str">
        <f>IFERROR(IF($G4603="","",VLOOKUP('Dashboard And Emails Automate'!$G4603,Database!$H:$N,3,0)),"")</f>
        <v/>
      </c>
      <c r="J4603" s="55" t="str">
        <f>IFERROR(IF($G4603="","",VLOOKUP('Dashboard And Emails Automate'!$G4603,Database!$H:$N,4,0)),"")</f>
        <v/>
      </c>
      <c r="K4603" s="55" t="str">
        <f>IFERROR(IF($G4603="","",VLOOKUP('Dashboard And Emails Automate'!$G4603,Database!$H:$N,5,0)),"")</f>
        <v/>
      </c>
      <c r="L4603" s="55" t="str">
        <f>IFERROR(IF($G4603="","",VLOOKUP('Dashboard And Emails Automate'!$G4603,Database!$H:$N,6,0)),"")</f>
        <v/>
      </c>
      <c r="M4603" s="55" t="str">
        <f>IFERROR(IF($G4603="","",VLOOKUP('Dashboard And Emails Automate'!$G4603,Database!$H:$N,7,0)),"")</f>
        <v/>
      </c>
      <c r="N4603" s="55" t="str">
        <f>IFERROR(IF(OR($B4603="",$B4603="(blank)"),"",VLOOKUP($B4603,'Email Marketing Raw Data'!$C:$O,6,0)),"")</f>
        <v/>
      </c>
      <c r="O4603" s="55" t="str">
        <f>IFERROR(IF(OR($B4603="",$B4603="(blank)"),"",VLOOKUP($B4603,'Email Marketing Raw Data'!$C:$O,7,0)),"")</f>
        <v/>
      </c>
      <c r="P4603" s="55" t="str">
        <f>IFERROR(IF(OR($B4603="",$B4603="(blank)"),"",VLOOKUP($B4603,'Email Marketing Raw Data'!$C:$O,8,0)),"")</f>
        <v/>
      </c>
      <c r="Q4603" s="62" t="str">
        <f>IFERROR(IF(OR($B4603="",$B4603="(blank)"),"",VLOOKUP($B4603,'Email Marketing Raw Data'!$C:$O,9,0)),"")</f>
        <v/>
      </c>
    </row>
    <row r="4604" spans="4:17" ht="12.75" customHeight="1" x14ac:dyDescent="0.2">
      <c r="D4604" s="58" t="str">
        <f>IFERROR(IF(F4604&lt;&gt;"pending","",IF(OR($B4604="",$B4604="(blank)"),"",VLOOKUP($B4604,'Email Marketing Raw Data'!$C:$O,10,0))),"")</f>
        <v/>
      </c>
      <c r="E4604" s="59" t="str">
        <f>IFERROR(IF(F4604&lt;&gt;"pending","",IF(OR($B4604="",$B4604="(blank)"),"",VLOOKUP($B4604,'Email Marketing Raw Data'!$C:$O,11,0))),"")</f>
        <v/>
      </c>
      <c r="F4604" s="54" t="str">
        <f>IFERROR(IF(OR($B4604="",$B4604="(blank)"),"",VLOOKUP($B4604,'Email Marketing Raw Data'!$C:$O,13,0)),"")</f>
        <v/>
      </c>
      <c r="G4604" s="55" t="str">
        <f>IFERROR(IF(OR($B4604="",$B4604="(blank)"),"",VLOOKUP($B4604,'Email Marketing Raw Data'!$C:$O,4,0)),"")</f>
        <v/>
      </c>
      <c r="H4604" s="55" t="str">
        <f>IFERROR(IF(OR($B4604="",$B4604="(blank)"),"",VLOOKUP($B4604,'Email Marketing Raw Data'!$C:$O,5,0)),"")</f>
        <v/>
      </c>
      <c r="I4604" s="55" t="str">
        <f>IFERROR(IF($G4604="","",VLOOKUP('Dashboard And Emails Automate'!$G4604,Database!$H:$N,3,0)),"")</f>
        <v/>
      </c>
      <c r="J4604" s="55" t="str">
        <f>IFERROR(IF($G4604="","",VLOOKUP('Dashboard And Emails Automate'!$G4604,Database!$H:$N,4,0)),"")</f>
        <v/>
      </c>
      <c r="K4604" s="55" t="str">
        <f>IFERROR(IF($G4604="","",VLOOKUP('Dashboard And Emails Automate'!$G4604,Database!$H:$N,5,0)),"")</f>
        <v/>
      </c>
      <c r="L4604" s="55" t="str">
        <f>IFERROR(IF($G4604="","",VLOOKUP('Dashboard And Emails Automate'!$G4604,Database!$H:$N,6,0)),"")</f>
        <v/>
      </c>
      <c r="M4604" s="55" t="str">
        <f>IFERROR(IF($G4604="","",VLOOKUP('Dashboard And Emails Automate'!$G4604,Database!$H:$N,7,0)),"")</f>
        <v/>
      </c>
      <c r="N4604" s="55" t="str">
        <f>IFERROR(IF(OR($B4604="",$B4604="(blank)"),"",VLOOKUP($B4604,'Email Marketing Raw Data'!$C:$O,6,0)),"")</f>
        <v/>
      </c>
      <c r="O4604" s="55" t="str">
        <f>IFERROR(IF(OR($B4604="",$B4604="(blank)"),"",VLOOKUP($B4604,'Email Marketing Raw Data'!$C:$O,7,0)),"")</f>
        <v/>
      </c>
      <c r="P4604" s="55" t="str">
        <f>IFERROR(IF(OR($B4604="",$B4604="(blank)"),"",VLOOKUP($B4604,'Email Marketing Raw Data'!$C:$O,8,0)),"")</f>
        <v/>
      </c>
      <c r="Q4604" s="62" t="str">
        <f>IFERROR(IF(OR($B4604="",$B4604="(blank)"),"",VLOOKUP($B4604,'Email Marketing Raw Data'!$C:$O,9,0)),"")</f>
        <v/>
      </c>
    </row>
    <row r="4605" spans="4:17" ht="12.75" customHeight="1" x14ac:dyDescent="0.2">
      <c r="D4605" s="58" t="str">
        <f>IFERROR(IF(F4605&lt;&gt;"pending","",IF(OR($B4605="",$B4605="(blank)"),"",VLOOKUP($B4605,'Email Marketing Raw Data'!$C:$O,10,0))),"")</f>
        <v/>
      </c>
      <c r="E4605" s="59" t="str">
        <f>IFERROR(IF(F4605&lt;&gt;"pending","",IF(OR($B4605="",$B4605="(blank)"),"",VLOOKUP($B4605,'Email Marketing Raw Data'!$C:$O,11,0))),"")</f>
        <v/>
      </c>
      <c r="F4605" s="54" t="str">
        <f>IFERROR(IF(OR($B4605="",$B4605="(blank)"),"",VLOOKUP($B4605,'Email Marketing Raw Data'!$C:$O,13,0)),"")</f>
        <v/>
      </c>
      <c r="G4605" s="55" t="str">
        <f>IFERROR(IF(OR($B4605="",$B4605="(blank)"),"",VLOOKUP($B4605,'Email Marketing Raw Data'!$C:$O,4,0)),"")</f>
        <v/>
      </c>
      <c r="H4605" s="55" t="str">
        <f>IFERROR(IF(OR($B4605="",$B4605="(blank)"),"",VLOOKUP($B4605,'Email Marketing Raw Data'!$C:$O,5,0)),"")</f>
        <v/>
      </c>
      <c r="I4605" s="55" t="str">
        <f>IFERROR(IF($G4605="","",VLOOKUP('Dashboard And Emails Automate'!$G4605,Database!$H:$N,3,0)),"")</f>
        <v/>
      </c>
      <c r="J4605" s="55" t="str">
        <f>IFERROR(IF($G4605="","",VLOOKUP('Dashboard And Emails Automate'!$G4605,Database!$H:$N,4,0)),"")</f>
        <v/>
      </c>
      <c r="K4605" s="55" t="str">
        <f>IFERROR(IF($G4605="","",VLOOKUP('Dashboard And Emails Automate'!$G4605,Database!$H:$N,5,0)),"")</f>
        <v/>
      </c>
      <c r="L4605" s="55" t="str">
        <f>IFERROR(IF($G4605="","",VLOOKUP('Dashboard And Emails Automate'!$G4605,Database!$H:$N,6,0)),"")</f>
        <v/>
      </c>
      <c r="M4605" s="55" t="str">
        <f>IFERROR(IF($G4605="","",VLOOKUP('Dashboard And Emails Automate'!$G4605,Database!$H:$N,7,0)),"")</f>
        <v/>
      </c>
      <c r="N4605" s="55" t="str">
        <f>IFERROR(IF(OR($B4605="",$B4605="(blank)"),"",VLOOKUP($B4605,'Email Marketing Raw Data'!$C:$O,6,0)),"")</f>
        <v/>
      </c>
      <c r="O4605" s="55" t="str">
        <f>IFERROR(IF(OR($B4605="",$B4605="(blank)"),"",VLOOKUP($B4605,'Email Marketing Raw Data'!$C:$O,7,0)),"")</f>
        <v/>
      </c>
      <c r="P4605" s="55" t="str">
        <f>IFERROR(IF(OR($B4605="",$B4605="(blank)"),"",VLOOKUP($B4605,'Email Marketing Raw Data'!$C:$O,8,0)),"")</f>
        <v/>
      </c>
      <c r="Q4605" s="62" t="str">
        <f>IFERROR(IF(OR($B4605="",$B4605="(blank)"),"",VLOOKUP($B4605,'Email Marketing Raw Data'!$C:$O,9,0)),"")</f>
        <v/>
      </c>
    </row>
    <row r="4606" spans="4:17" ht="12.75" customHeight="1" x14ac:dyDescent="0.2">
      <c r="D4606" s="58" t="str">
        <f>IFERROR(IF(F4606&lt;&gt;"pending","",IF(OR($B4606="",$B4606="(blank)"),"",VLOOKUP($B4606,'Email Marketing Raw Data'!$C:$O,10,0))),"")</f>
        <v/>
      </c>
      <c r="E4606" s="59" t="str">
        <f>IFERROR(IF(F4606&lt;&gt;"pending","",IF(OR($B4606="",$B4606="(blank)"),"",VLOOKUP($B4606,'Email Marketing Raw Data'!$C:$O,11,0))),"")</f>
        <v/>
      </c>
      <c r="F4606" s="54" t="str">
        <f>IFERROR(IF(OR($B4606="",$B4606="(blank)"),"",VLOOKUP($B4606,'Email Marketing Raw Data'!$C:$O,13,0)),"")</f>
        <v/>
      </c>
      <c r="G4606" s="55" t="str">
        <f>IFERROR(IF(OR($B4606="",$B4606="(blank)"),"",VLOOKUP($B4606,'Email Marketing Raw Data'!$C:$O,4,0)),"")</f>
        <v/>
      </c>
      <c r="H4606" s="55" t="str">
        <f>IFERROR(IF(OR($B4606="",$B4606="(blank)"),"",VLOOKUP($B4606,'Email Marketing Raw Data'!$C:$O,5,0)),"")</f>
        <v/>
      </c>
      <c r="I4606" s="55" t="str">
        <f>IFERROR(IF($G4606="","",VLOOKUP('Dashboard And Emails Automate'!$G4606,Database!$H:$N,3,0)),"")</f>
        <v/>
      </c>
      <c r="J4606" s="55" t="str">
        <f>IFERROR(IF($G4606="","",VLOOKUP('Dashboard And Emails Automate'!$G4606,Database!$H:$N,4,0)),"")</f>
        <v/>
      </c>
      <c r="K4606" s="55" t="str">
        <f>IFERROR(IF($G4606="","",VLOOKUP('Dashboard And Emails Automate'!$G4606,Database!$H:$N,5,0)),"")</f>
        <v/>
      </c>
      <c r="L4606" s="55" t="str">
        <f>IFERROR(IF($G4606="","",VLOOKUP('Dashboard And Emails Automate'!$G4606,Database!$H:$N,6,0)),"")</f>
        <v/>
      </c>
      <c r="M4606" s="55" t="str">
        <f>IFERROR(IF($G4606="","",VLOOKUP('Dashboard And Emails Automate'!$G4606,Database!$H:$N,7,0)),"")</f>
        <v/>
      </c>
      <c r="N4606" s="55" t="str">
        <f>IFERROR(IF(OR($B4606="",$B4606="(blank)"),"",VLOOKUP($B4606,'Email Marketing Raw Data'!$C:$O,6,0)),"")</f>
        <v/>
      </c>
      <c r="O4606" s="55" t="str">
        <f>IFERROR(IF(OR($B4606="",$B4606="(blank)"),"",VLOOKUP($B4606,'Email Marketing Raw Data'!$C:$O,7,0)),"")</f>
        <v/>
      </c>
      <c r="P4606" s="55" t="str">
        <f>IFERROR(IF(OR($B4606="",$B4606="(blank)"),"",VLOOKUP($B4606,'Email Marketing Raw Data'!$C:$O,8,0)),"")</f>
        <v/>
      </c>
      <c r="Q4606" s="62" t="str">
        <f>IFERROR(IF(OR($B4606="",$B4606="(blank)"),"",VLOOKUP($B4606,'Email Marketing Raw Data'!$C:$O,9,0)),"")</f>
        <v/>
      </c>
    </row>
    <row r="4607" spans="4:17" ht="12.75" customHeight="1" x14ac:dyDescent="0.2">
      <c r="D4607" s="58" t="str">
        <f>IFERROR(IF(F4607&lt;&gt;"pending","",IF(OR($B4607="",$B4607="(blank)"),"",VLOOKUP($B4607,'Email Marketing Raw Data'!$C:$O,10,0))),"")</f>
        <v/>
      </c>
      <c r="E4607" s="59" t="str">
        <f>IFERROR(IF(F4607&lt;&gt;"pending","",IF(OR($B4607="",$B4607="(blank)"),"",VLOOKUP($B4607,'Email Marketing Raw Data'!$C:$O,11,0))),"")</f>
        <v/>
      </c>
      <c r="F4607" s="54" t="str">
        <f>IFERROR(IF(OR($B4607="",$B4607="(blank)"),"",VLOOKUP($B4607,'Email Marketing Raw Data'!$C:$O,13,0)),"")</f>
        <v/>
      </c>
      <c r="G4607" s="55" t="str">
        <f>IFERROR(IF(OR($B4607="",$B4607="(blank)"),"",VLOOKUP($B4607,'Email Marketing Raw Data'!$C:$O,4,0)),"")</f>
        <v/>
      </c>
      <c r="H4607" s="55" t="str">
        <f>IFERROR(IF(OR($B4607="",$B4607="(blank)"),"",VLOOKUP($B4607,'Email Marketing Raw Data'!$C:$O,5,0)),"")</f>
        <v/>
      </c>
      <c r="I4607" s="55" t="str">
        <f>IFERROR(IF($G4607="","",VLOOKUP('Dashboard And Emails Automate'!$G4607,Database!$H:$N,3,0)),"")</f>
        <v/>
      </c>
      <c r="J4607" s="55" t="str">
        <f>IFERROR(IF($G4607="","",VLOOKUP('Dashboard And Emails Automate'!$G4607,Database!$H:$N,4,0)),"")</f>
        <v/>
      </c>
      <c r="K4607" s="55" t="str">
        <f>IFERROR(IF($G4607="","",VLOOKUP('Dashboard And Emails Automate'!$G4607,Database!$H:$N,5,0)),"")</f>
        <v/>
      </c>
      <c r="L4607" s="55" t="str">
        <f>IFERROR(IF($G4607="","",VLOOKUP('Dashboard And Emails Automate'!$G4607,Database!$H:$N,6,0)),"")</f>
        <v/>
      </c>
      <c r="M4607" s="55" t="str">
        <f>IFERROR(IF($G4607="","",VLOOKUP('Dashboard And Emails Automate'!$G4607,Database!$H:$N,7,0)),"")</f>
        <v/>
      </c>
      <c r="N4607" s="55" t="str">
        <f>IFERROR(IF(OR($B4607="",$B4607="(blank)"),"",VLOOKUP($B4607,'Email Marketing Raw Data'!$C:$O,6,0)),"")</f>
        <v/>
      </c>
      <c r="O4607" s="55" t="str">
        <f>IFERROR(IF(OR($B4607="",$B4607="(blank)"),"",VLOOKUP($B4607,'Email Marketing Raw Data'!$C:$O,7,0)),"")</f>
        <v/>
      </c>
      <c r="P4607" s="55" t="str">
        <f>IFERROR(IF(OR($B4607="",$B4607="(blank)"),"",VLOOKUP($B4607,'Email Marketing Raw Data'!$C:$O,8,0)),"")</f>
        <v/>
      </c>
      <c r="Q4607" s="62" t="str">
        <f>IFERROR(IF(OR($B4607="",$B4607="(blank)"),"",VLOOKUP($B4607,'Email Marketing Raw Data'!$C:$O,9,0)),"")</f>
        <v/>
      </c>
    </row>
    <row r="4608" spans="4:17" ht="12.75" customHeight="1" x14ac:dyDescent="0.2">
      <c r="D4608" s="58" t="str">
        <f>IFERROR(IF(F4608&lt;&gt;"pending","",IF(OR($B4608="",$B4608="(blank)"),"",VLOOKUP($B4608,'Email Marketing Raw Data'!$C:$O,10,0))),"")</f>
        <v/>
      </c>
      <c r="E4608" s="59" t="str">
        <f>IFERROR(IF(F4608&lt;&gt;"pending","",IF(OR($B4608="",$B4608="(blank)"),"",VLOOKUP($B4608,'Email Marketing Raw Data'!$C:$O,11,0))),"")</f>
        <v/>
      </c>
      <c r="F4608" s="54" t="str">
        <f>IFERROR(IF(OR($B4608="",$B4608="(blank)"),"",VLOOKUP($B4608,'Email Marketing Raw Data'!$C:$O,13,0)),"")</f>
        <v/>
      </c>
      <c r="G4608" s="55" t="str">
        <f>IFERROR(IF(OR($B4608="",$B4608="(blank)"),"",VLOOKUP($B4608,'Email Marketing Raw Data'!$C:$O,4,0)),"")</f>
        <v/>
      </c>
      <c r="H4608" s="55" t="str">
        <f>IFERROR(IF(OR($B4608="",$B4608="(blank)"),"",VLOOKUP($B4608,'Email Marketing Raw Data'!$C:$O,5,0)),"")</f>
        <v/>
      </c>
      <c r="I4608" s="55" t="str">
        <f>IFERROR(IF($G4608="","",VLOOKUP('Dashboard And Emails Automate'!$G4608,Database!$H:$N,3,0)),"")</f>
        <v/>
      </c>
      <c r="J4608" s="55" t="str">
        <f>IFERROR(IF($G4608="","",VLOOKUP('Dashboard And Emails Automate'!$G4608,Database!$H:$N,4,0)),"")</f>
        <v/>
      </c>
      <c r="K4608" s="55" t="str">
        <f>IFERROR(IF($G4608="","",VLOOKUP('Dashboard And Emails Automate'!$G4608,Database!$H:$N,5,0)),"")</f>
        <v/>
      </c>
      <c r="L4608" s="55" t="str">
        <f>IFERROR(IF($G4608="","",VLOOKUP('Dashboard And Emails Automate'!$G4608,Database!$H:$N,6,0)),"")</f>
        <v/>
      </c>
      <c r="M4608" s="55" t="str">
        <f>IFERROR(IF($G4608="","",VLOOKUP('Dashboard And Emails Automate'!$G4608,Database!$H:$N,7,0)),"")</f>
        <v/>
      </c>
      <c r="N4608" s="55" t="str">
        <f>IFERROR(IF(OR($B4608="",$B4608="(blank)"),"",VLOOKUP($B4608,'Email Marketing Raw Data'!$C:$O,6,0)),"")</f>
        <v/>
      </c>
      <c r="O4608" s="55" t="str">
        <f>IFERROR(IF(OR($B4608="",$B4608="(blank)"),"",VLOOKUP($B4608,'Email Marketing Raw Data'!$C:$O,7,0)),"")</f>
        <v/>
      </c>
      <c r="P4608" s="55" t="str">
        <f>IFERROR(IF(OR($B4608="",$B4608="(blank)"),"",VLOOKUP($B4608,'Email Marketing Raw Data'!$C:$O,8,0)),"")</f>
        <v/>
      </c>
      <c r="Q4608" s="62" t="str">
        <f>IFERROR(IF(OR($B4608="",$B4608="(blank)"),"",VLOOKUP($B4608,'Email Marketing Raw Data'!$C:$O,9,0)),"")</f>
        <v/>
      </c>
    </row>
    <row r="4609" spans="4:17" ht="12.75" customHeight="1" x14ac:dyDescent="0.2">
      <c r="D4609" s="58" t="str">
        <f>IFERROR(IF(F4609&lt;&gt;"pending","",IF(OR($B4609="",$B4609="(blank)"),"",VLOOKUP($B4609,'Email Marketing Raw Data'!$C:$O,10,0))),"")</f>
        <v/>
      </c>
      <c r="E4609" s="59" t="str">
        <f>IFERROR(IF(F4609&lt;&gt;"pending","",IF(OR($B4609="",$B4609="(blank)"),"",VLOOKUP($B4609,'Email Marketing Raw Data'!$C:$O,11,0))),"")</f>
        <v/>
      </c>
      <c r="F4609" s="54" t="str">
        <f>IFERROR(IF(OR($B4609="",$B4609="(blank)"),"",VLOOKUP($B4609,'Email Marketing Raw Data'!$C:$O,13,0)),"")</f>
        <v/>
      </c>
      <c r="G4609" s="55" t="str">
        <f>IFERROR(IF(OR($B4609="",$B4609="(blank)"),"",VLOOKUP($B4609,'Email Marketing Raw Data'!$C:$O,4,0)),"")</f>
        <v/>
      </c>
      <c r="H4609" s="55" t="str">
        <f>IFERROR(IF(OR($B4609="",$B4609="(blank)"),"",VLOOKUP($B4609,'Email Marketing Raw Data'!$C:$O,5,0)),"")</f>
        <v/>
      </c>
      <c r="I4609" s="55" t="str">
        <f>IFERROR(IF($G4609="","",VLOOKUP('Dashboard And Emails Automate'!$G4609,Database!$H:$N,3,0)),"")</f>
        <v/>
      </c>
      <c r="J4609" s="55" t="str">
        <f>IFERROR(IF($G4609="","",VLOOKUP('Dashboard And Emails Automate'!$G4609,Database!$H:$N,4,0)),"")</f>
        <v/>
      </c>
      <c r="K4609" s="55" t="str">
        <f>IFERROR(IF($G4609="","",VLOOKUP('Dashboard And Emails Automate'!$G4609,Database!$H:$N,5,0)),"")</f>
        <v/>
      </c>
      <c r="L4609" s="55" t="str">
        <f>IFERROR(IF($G4609="","",VLOOKUP('Dashboard And Emails Automate'!$G4609,Database!$H:$N,6,0)),"")</f>
        <v/>
      </c>
      <c r="M4609" s="55" t="str">
        <f>IFERROR(IF($G4609="","",VLOOKUP('Dashboard And Emails Automate'!$G4609,Database!$H:$N,7,0)),"")</f>
        <v/>
      </c>
      <c r="N4609" s="55" t="str">
        <f>IFERROR(IF(OR($B4609="",$B4609="(blank)"),"",VLOOKUP($B4609,'Email Marketing Raw Data'!$C:$O,6,0)),"")</f>
        <v/>
      </c>
      <c r="O4609" s="55" t="str">
        <f>IFERROR(IF(OR($B4609="",$B4609="(blank)"),"",VLOOKUP($B4609,'Email Marketing Raw Data'!$C:$O,7,0)),"")</f>
        <v/>
      </c>
      <c r="P4609" s="55" t="str">
        <f>IFERROR(IF(OR($B4609="",$B4609="(blank)"),"",VLOOKUP($B4609,'Email Marketing Raw Data'!$C:$O,8,0)),"")</f>
        <v/>
      </c>
      <c r="Q4609" s="62" t="str">
        <f>IFERROR(IF(OR($B4609="",$B4609="(blank)"),"",VLOOKUP($B4609,'Email Marketing Raw Data'!$C:$O,9,0)),"")</f>
        <v/>
      </c>
    </row>
    <row r="4610" spans="4:17" ht="12.75" customHeight="1" x14ac:dyDescent="0.2">
      <c r="D4610" s="58" t="str">
        <f>IFERROR(IF(F4610&lt;&gt;"pending","",IF(OR($B4610="",$B4610="(blank)"),"",VLOOKUP($B4610,'Email Marketing Raw Data'!$C:$O,10,0))),"")</f>
        <v/>
      </c>
      <c r="E4610" s="59" t="str">
        <f>IFERROR(IF(F4610&lt;&gt;"pending","",IF(OR($B4610="",$B4610="(blank)"),"",VLOOKUP($B4610,'Email Marketing Raw Data'!$C:$O,11,0))),"")</f>
        <v/>
      </c>
      <c r="F4610" s="54" t="str">
        <f>IFERROR(IF(OR($B4610="",$B4610="(blank)"),"",VLOOKUP($B4610,'Email Marketing Raw Data'!$C:$O,13,0)),"")</f>
        <v/>
      </c>
      <c r="G4610" s="55" t="str">
        <f>IFERROR(IF(OR($B4610="",$B4610="(blank)"),"",VLOOKUP($B4610,'Email Marketing Raw Data'!$C:$O,4,0)),"")</f>
        <v/>
      </c>
      <c r="H4610" s="55" t="str">
        <f>IFERROR(IF(OR($B4610="",$B4610="(blank)"),"",VLOOKUP($B4610,'Email Marketing Raw Data'!$C:$O,5,0)),"")</f>
        <v/>
      </c>
      <c r="I4610" s="55" t="str">
        <f>IFERROR(IF($G4610="","",VLOOKUP('Dashboard And Emails Automate'!$G4610,Database!$H:$N,3,0)),"")</f>
        <v/>
      </c>
      <c r="J4610" s="55" t="str">
        <f>IFERROR(IF($G4610="","",VLOOKUP('Dashboard And Emails Automate'!$G4610,Database!$H:$N,4,0)),"")</f>
        <v/>
      </c>
      <c r="K4610" s="55" t="str">
        <f>IFERROR(IF($G4610="","",VLOOKUP('Dashboard And Emails Automate'!$G4610,Database!$H:$N,5,0)),"")</f>
        <v/>
      </c>
      <c r="L4610" s="55" t="str">
        <f>IFERROR(IF($G4610="","",VLOOKUP('Dashboard And Emails Automate'!$G4610,Database!$H:$N,6,0)),"")</f>
        <v/>
      </c>
      <c r="M4610" s="55" t="str">
        <f>IFERROR(IF($G4610="","",VLOOKUP('Dashboard And Emails Automate'!$G4610,Database!$H:$N,7,0)),"")</f>
        <v/>
      </c>
      <c r="N4610" s="55" t="str">
        <f>IFERROR(IF(OR($B4610="",$B4610="(blank)"),"",VLOOKUP($B4610,'Email Marketing Raw Data'!$C:$O,6,0)),"")</f>
        <v/>
      </c>
      <c r="O4610" s="55" t="str">
        <f>IFERROR(IF(OR($B4610="",$B4610="(blank)"),"",VLOOKUP($B4610,'Email Marketing Raw Data'!$C:$O,7,0)),"")</f>
        <v/>
      </c>
      <c r="P4610" s="55" t="str">
        <f>IFERROR(IF(OR($B4610="",$B4610="(blank)"),"",VLOOKUP($B4610,'Email Marketing Raw Data'!$C:$O,8,0)),"")</f>
        <v/>
      </c>
      <c r="Q4610" s="62" t="str">
        <f>IFERROR(IF(OR($B4610="",$B4610="(blank)"),"",VLOOKUP($B4610,'Email Marketing Raw Data'!$C:$O,9,0)),"")</f>
        <v/>
      </c>
    </row>
    <row r="4611" spans="4:17" ht="12.75" customHeight="1" x14ac:dyDescent="0.2">
      <c r="D4611" s="58" t="str">
        <f>IFERROR(IF(F4611&lt;&gt;"pending","",IF(OR($B4611="",$B4611="(blank)"),"",VLOOKUP($B4611,'Email Marketing Raw Data'!$C:$O,10,0))),"")</f>
        <v/>
      </c>
      <c r="E4611" s="59" t="str">
        <f>IFERROR(IF(F4611&lt;&gt;"pending","",IF(OR($B4611="",$B4611="(blank)"),"",VLOOKUP($B4611,'Email Marketing Raw Data'!$C:$O,11,0))),"")</f>
        <v/>
      </c>
      <c r="F4611" s="54" t="str">
        <f>IFERROR(IF(OR($B4611="",$B4611="(blank)"),"",VLOOKUP($B4611,'Email Marketing Raw Data'!$C:$O,13,0)),"")</f>
        <v/>
      </c>
      <c r="G4611" s="55" t="str">
        <f>IFERROR(IF(OR($B4611="",$B4611="(blank)"),"",VLOOKUP($B4611,'Email Marketing Raw Data'!$C:$O,4,0)),"")</f>
        <v/>
      </c>
      <c r="H4611" s="55" t="str">
        <f>IFERROR(IF(OR($B4611="",$B4611="(blank)"),"",VLOOKUP($B4611,'Email Marketing Raw Data'!$C:$O,5,0)),"")</f>
        <v/>
      </c>
      <c r="I4611" s="55" t="str">
        <f>IFERROR(IF($G4611="","",VLOOKUP('Dashboard And Emails Automate'!$G4611,Database!$H:$N,3,0)),"")</f>
        <v/>
      </c>
      <c r="J4611" s="55" t="str">
        <f>IFERROR(IF($G4611="","",VLOOKUP('Dashboard And Emails Automate'!$G4611,Database!$H:$N,4,0)),"")</f>
        <v/>
      </c>
      <c r="K4611" s="55" t="str">
        <f>IFERROR(IF($G4611="","",VLOOKUP('Dashboard And Emails Automate'!$G4611,Database!$H:$N,5,0)),"")</f>
        <v/>
      </c>
      <c r="L4611" s="55" t="str">
        <f>IFERROR(IF($G4611="","",VLOOKUP('Dashboard And Emails Automate'!$G4611,Database!$H:$N,6,0)),"")</f>
        <v/>
      </c>
      <c r="M4611" s="55" t="str">
        <f>IFERROR(IF($G4611="","",VLOOKUP('Dashboard And Emails Automate'!$G4611,Database!$H:$N,7,0)),"")</f>
        <v/>
      </c>
      <c r="N4611" s="55" t="str">
        <f>IFERROR(IF(OR($B4611="",$B4611="(blank)"),"",VLOOKUP($B4611,'Email Marketing Raw Data'!$C:$O,6,0)),"")</f>
        <v/>
      </c>
      <c r="O4611" s="55" t="str">
        <f>IFERROR(IF(OR($B4611="",$B4611="(blank)"),"",VLOOKUP($B4611,'Email Marketing Raw Data'!$C:$O,7,0)),"")</f>
        <v/>
      </c>
      <c r="P4611" s="55" t="str">
        <f>IFERROR(IF(OR($B4611="",$B4611="(blank)"),"",VLOOKUP($B4611,'Email Marketing Raw Data'!$C:$O,8,0)),"")</f>
        <v/>
      </c>
      <c r="Q4611" s="62" t="str">
        <f>IFERROR(IF(OR($B4611="",$B4611="(blank)"),"",VLOOKUP($B4611,'Email Marketing Raw Data'!$C:$O,9,0)),"")</f>
        <v/>
      </c>
    </row>
    <row r="4612" spans="4:17" ht="12.75" customHeight="1" x14ac:dyDescent="0.2">
      <c r="D4612" s="58" t="str">
        <f>IFERROR(IF(F4612&lt;&gt;"pending","",IF(OR($B4612="",$B4612="(blank)"),"",VLOOKUP($B4612,'Email Marketing Raw Data'!$C:$O,10,0))),"")</f>
        <v/>
      </c>
      <c r="E4612" s="59" t="str">
        <f>IFERROR(IF(F4612&lt;&gt;"pending","",IF(OR($B4612="",$B4612="(blank)"),"",VLOOKUP($B4612,'Email Marketing Raw Data'!$C:$O,11,0))),"")</f>
        <v/>
      </c>
      <c r="F4612" s="54" t="str">
        <f>IFERROR(IF(OR($B4612="",$B4612="(blank)"),"",VLOOKUP($B4612,'Email Marketing Raw Data'!$C:$O,13,0)),"")</f>
        <v/>
      </c>
      <c r="G4612" s="55" t="str">
        <f>IFERROR(IF(OR($B4612="",$B4612="(blank)"),"",VLOOKUP($B4612,'Email Marketing Raw Data'!$C:$O,4,0)),"")</f>
        <v/>
      </c>
      <c r="H4612" s="55" t="str">
        <f>IFERROR(IF(OR($B4612="",$B4612="(blank)"),"",VLOOKUP($B4612,'Email Marketing Raw Data'!$C:$O,5,0)),"")</f>
        <v/>
      </c>
      <c r="I4612" s="55" t="str">
        <f>IFERROR(IF($G4612="","",VLOOKUP('Dashboard And Emails Automate'!$G4612,Database!$H:$N,3,0)),"")</f>
        <v/>
      </c>
      <c r="J4612" s="55" t="str">
        <f>IFERROR(IF($G4612="","",VLOOKUP('Dashboard And Emails Automate'!$G4612,Database!$H:$N,4,0)),"")</f>
        <v/>
      </c>
      <c r="K4612" s="55" t="str">
        <f>IFERROR(IF($G4612="","",VLOOKUP('Dashboard And Emails Automate'!$G4612,Database!$H:$N,5,0)),"")</f>
        <v/>
      </c>
      <c r="L4612" s="55" t="str">
        <f>IFERROR(IF($G4612="","",VLOOKUP('Dashboard And Emails Automate'!$G4612,Database!$H:$N,6,0)),"")</f>
        <v/>
      </c>
      <c r="M4612" s="55" t="str">
        <f>IFERROR(IF($G4612="","",VLOOKUP('Dashboard And Emails Automate'!$G4612,Database!$H:$N,7,0)),"")</f>
        <v/>
      </c>
      <c r="N4612" s="55" t="str">
        <f>IFERROR(IF(OR($B4612="",$B4612="(blank)"),"",VLOOKUP($B4612,'Email Marketing Raw Data'!$C:$O,6,0)),"")</f>
        <v/>
      </c>
      <c r="O4612" s="55" t="str">
        <f>IFERROR(IF(OR($B4612="",$B4612="(blank)"),"",VLOOKUP($B4612,'Email Marketing Raw Data'!$C:$O,7,0)),"")</f>
        <v/>
      </c>
      <c r="P4612" s="55" t="str">
        <f>IFERROR(IF(OR($B4612="",$B4612="(blank)"),"",VLOOKUP($B4612,'Email Marketing Raw Data'!$C:$O,8,0)),"")</f>
        <v/>
      </c>
      <c r="Q4612" s="62" t="str">
        <f>IFERROR(IF(OR($B4612="",$B4612="(blank)"),"",VLOOKUP($B4612,'Email Marketing Raw Data'!$C:$O,9,0)),"")</f>
        <v/>
      </c>
    </row>
    <row r="4613" spans="4:17" ht="12.75" customHeight="1" x14ac:dyDescent="0.2">
      <c r="D4613" s="58" t="str">
        <f>IFERROR(IF(F4613&lt;&gt;"pending","",IF(OR($B4613="",$B4613="(blank)"),"",VLOOKUP($B4613,'Email Marketing Raw Data'!$C:$O,10,0))),"")</f>
        <v/>
      </c>
      <c r="E4613" s="59" t="str">
        <f>IFERROR(IF(F4613&lt;&gt;"pending","",IF(OR($B4613="",$B4613="(blank)"),"",VLOOKUP($B4613,'Email Marketing Raw Data'!$C:$O,11,0))),"")</f>
        <v/>
      </c>
      <c r="F4613" s="54" t="str">
        <f>IFERROR(IF(OR($B4613="",$B4613="(blank)"),"",VLOOKUP($B4613,'Email Marketing Raw Data'!$C:$O,13,0)),"")</f>
        <v/>
      </c>
      <c r="G4613" s="55" t="str">
        <f>IFERROR(IF(OR($B4613="",$B4613="(blank)"),"",VLOOKUP($B4613,'Email Marketing Raw Data'!$C:$O,4,0)),"")</f>
        <v/>
      </c>
      <c r="H4613" s="55" t="str">
        <f>IFERROR(IF(OR($B4613="",$B4613="(blank)"),"",VLOOKUP($B4613,'Email Marketing Raw Data'!$C:$O,5,0)),"")</f>
        <v/>
      </c>
      <c r="I4613" s="55" t="str">
        <f>IFERROR(IF($G4613="","",VLOOKUP('Dashboard And Emails Automate'!$G4613,Database!$H:$N,3,0)),"")</f>
        <v/>
      </c>
      <c r="J4613" s="55" t="str">
        <f>IFERROR(IF($G4613="","",VLOOKUP('Dashboard And Emails Automate'!$G4613,Database!$H:$N,4,0)),"")</f>
        <v/>
      </c>
      <c r="K4613" s="55" t="str">
        <f>IFERROR(IF($G4613="","",VLOOKUP('Dashboard And Emails Automate'!$G4613,Database!$H:$N,5,0)),"")</f>
        <v/>
      </c>
      <c r="L4613" s="55" t="str">
        <f>IFERROR(IF($G4613="","",VLOOKUP('Dashboard And Emails Automate'!$G4613,Database!$H:$N,6,0)),"")</f>
        <v/>
      </c>
      <c r="M4613" s="55" t="str">
        <f>IFERROR(IF($G4613="","",VLOOKUP('Dashboard And Emails Automate'!$G4613,Database!$H:$N,7,0)),"")</f>
        <v/>
      </c>
      <c r="N4613" s="55" t="str">
        <f>IFERROR(IF(OR($B4613="",$B4613="(blank)"),"",VLOOKUP($B4613,'Email Marketing Raw Data'!$C:$O,6,0)),"")</f>
        <v/>
      </c>
      <c r="O4613" s="55" t="str">
        <f>IFERROR(IF(OR($B4613="",$B4613="(blank)"),"",VLOOKUP($B4613,'Email Marketing Raw Data'!$C:$O,7,0)),"")</f>
        <v/>
      </c>
      <c r="P4613" s="55" t="str">
        <f>IFERROR(IF(OR($B4613="",$B4613="(blank)"),"",VLOOKUP($B4613,'Email Marketing Raw Data'!$C:$O,8,0)),"")</f>
        <v/>
      </c>
      <c r="Q4613" s="62" t="str">
        <f>IFERROR(IF(OR($B4613="",$B4613="(blank)"),"",VLOOKUP($B4613,'Email Marketing Raw Data'!$C:$O,9,0)),"")</f>
        <v/>
      </c>
    </row>
    <row r="4614" spans="4:17" ht="12.75" customHeight="1" x14ac:dyDescent="0.2">
      <c r="D4614" s="58" t="str">
        <f>IFERROR(IF(F4614&lt;&gt;"pending","",IF(OR($B4614="",$B4614="(blank)"),"",VLOOKUP($B4614,'Email Marketing Raw Data'!$C:$O,10,0))),"")</f>
        <v/>
      </c>
      <c r="E4614" s="59" t="str">
        <f>IFERROR(IF(F4614&lt;&gt;"pending","",IF(OR($B4614="",$B4614="(blank)"),"",VLOOKUP($B4614,'Email Marketing Raw Data'!$C:$O,11,0))),"")</f>
        <v/>
      </c>
      <c r="F4614" s="54" t="str">
        <f>IFERROR(IF(OR($B4614="",$B4614="(blank)"),"",VLOOKUP($B4614,'Email Marketing Raw Data'!$C:$O,13,0)),"")</f>
        <v/>
      </c>
      <c r="G4614" s="55" t="str">
        <f>IFERROR(IF(OR($B4614="",$B4614="(blank)"),"",VLOOKUP($B4614,'Email Marketing Raw Data'!$C:$O,4,0)),"")</f>
        <v/>
      </c>
      <c r="H4614" s="55" t="str">
        <f>IFERROR(IF(OR($B4614="",$B4614="(blank)"),"",VLOOKUP($B4614,'Email Marketing Raw Data'!$C:$O,5,0)),"")</f>
        <v/>
      </c>
      <c r="I4614" s="55" t="str">
        <f>IFERROR(IF($G4614="","",VLOOKUP('Dashboard And Emails Automate'!$G4614,Database!$H:$N,3,0)),"")</f>
        <v/>
      </c>
      <c r="J4614" s="55" t="str">
        <f>IFERROR(IF($G4614="","",VLOOKUP('Dashboard And Emails Automate'!$G4614,Database!$H:$N,4,0)),"")</f>
        <v/>
      </c>
      <c r="K4614" s="55" t="str">
        <f>IFERROR(IF($G4614="","",VLOOKUP('Dashboard And Emails Automate'!$G4614,Database!$H:$N,5,0)),"")</f>
        <v/>
      </c>
      <c r="L4614" s="55" t="str">
        <f>IFERROR(IF($G4614="","",VLOOKUP('Dashboard And Emails Automate'!$G4614,Database!$H:$N,6,0)),"")</f>
        <v/>
      </c>
      <c r="M4614" s="55" t="str">
        <f>IFERROR(IF($G4614="","",VLOOKUP('Dashboard And Emails Automate'!$G4614,Database!$H:$N,7,0)),"")</f>
        <v/>
      </c>
      <c r="N4614" s="55" t="str">
        <f>IFERROR(IF(OR($B4614="",$B4614="(blank)"),"",VLOOKUP($B4614,'Email Marketing Raw Data'!$C:$O,6,0)),"")</f>
        <v/>
      </c>
      <c r="O4614" s="55" t="str">
        <f>IFERROR(IF(OR($B4614="",$B4614="(blank)"),"",VLOOKUP($B4614,'Email Marketing Raw Data'!$C:$O,7,0)),"")</f>
        <v/>
      </c>
      <c r="P4614" s="55" t="str">
        <f>IFERROR(IF(OR($B4614="",$B4614="(blank)"),"",VLOOKUP($B4614,'Email Marketing Raw Data'!$C:$O,8,0)),"")</f>
        <v/>
      </c>
      <c r="Q4614" s="62" t="str">
        <f>IFERROR(IF(OR($B4614="",$B4614="(blank)"),"",VLOOKUP($B4614,'Email Marketing Raw Data'!$C:$O,9,0)),"")</f>
        <v/>
      </c>
    </row>
    <row r="4615" spans="4:17" ht="12.75" customHeight="1" x14ac:dyDescent="0.2">
      <c r="D4615" s="58" t="str">
        <f>IFERROR(IF(F4615&lt;&gt;"pending","",IF(OR($B4615="",$B4615="(blank)"),"",VLOOKUP($B4615,'Email Marketing Raw Data'!$C:$O,10,0))),"")</f>
        <v/>
      </c>
      <c r="E4615" s="59" t="str">
        <f>IFERROR(IF(F4615&lt;&gt;"pending","",IF(OR($B4615="",$B4615="(blank)"),"",VLOOKUP($B4615,'Email Marketing Raw Data'!$C:$O,11,0))),"")</f>
        <v/>
      </c>
      <c r="F4615" s="54" t="str">
        <f>IFERROR(IF(OR($B4615="",$B4615="(blank)"),"",VLOOKUP($B4615,'Email Marketing Raw Data'!$C:$O,13,0)),"")</f>
        <v/>
      </c>
      <c r="G4615" s="55" t="str">
        <f>IFERROR(IF(OR($B4615="",$B4615="(blank)"),"",VLOOKUP($B4615,'Email Marketing Raw Data'!$C:$O,4,0)),"")</f>
        <v/>
      </c>
      <c r="H4615" s="55" t="str">
        <f>IFERROR(IF(OR($B4615="",$B4615="(blank)"),"",VLOOKUP($B4615,'Email Marketing Raw Data'!$C:$O,5,0)),"")</f>
        <v/>
      </c>
      <c r="I4615" s="55" t="str">
        <f>IFERROR(IF($G4615="","",VLOOKUP('Dashboard And Emails Automate'!$G4615,Database!$H:$N,3,0)),"")</f>
        <v/>
      </c>
      <c r="J4615" s="55" t="str">
        <f>IFERROR(IF($G4615="","",VLOOKUP('Dashboard And Emails Automate'!$G4615,Database!$H:$N,4,0)),"")</f>
        <v/>
      </c>
      <c r="K4615" s="55" t="str">
        <f>IFERROR(IF($G4615="","",VLOOKUP('Dashboard And Emails Automate'!$G4615,Database!$H:$N,5,0)),"")</f>
        <v/>
      </c>
      <c r="L4615" s="55" t="str">
        <f>IFERROR(IF($G4615="","",VLOOKUP('Dashboard And Emails Automate'!$G4615,Database!$H:$N,6,0)),"")</f>
        <v/>
      </c>
      <c r="M4615" s="55" t="str">
        <f>IFERROR(IF($G4615="","",VLOOKUP('Dashboard And Emails Automate'!$G4615,Database!$H:$N,7,0)),"")</f>
        <v/>
      </c>
      <c r="N4615" s="55" t="str">
        <f>IFERROR(IF(OR($B4615="",$B4615="(blank)"),"",VLOOKUP($B4615,'Email Marketing Raw Data'!$C:$O,6,0)),"")</f>
        <v/>
      </c>
      <c r="O4615" s="55" t="str">
        <f>IFERROR(IF(OR($B4615="",$B4615="(blank)"),"",VLOOKUP($B4615,'Email Marketing Raw Data'!$C:$O,7,0)),"")</f>
        <v/>
      </c>
      <c r="P4615" s="55" t="str">
        <f>IFERROR(IF(OR($B4615="",$B4615="(blank)"),"",VLOOKUP($B4615,'Email Marketing Raw Data'!$C:$O,8,0)),"")</f>
        <v/>
      </c>
      <c r="Q4615" s="62" t="str">
        <f>IFERROR(IF(OR($B4615="",$B4615="(blank)"),"",VLOOKUP($B4615,'Email Marketing Raw Data'!$C:$O,9,0)),"")</f>
        <v/>
      </c>
    </row>
    <row r="4616" spans="4:17" ht="12.75" customHeight="1" x14ac:dyDescent="0.2">
      <c r="D4616" s="58" t="str">
        <f>IFERROR(IF(F4616&lt;&gt;"pending","",IF(OR($B4616="",$B4616="(blank)"),"",VLOOKUP($B4616,'Email Marketing Raw Data'!$C:$O,10,0))),"")</f>
        <v/>
      </c>
      <c r="E4616" s="59" t="str">
        <f>IFERROR(IF(F4616&lt;&gt;"pending","",IF(OR($B4616="",$B4616="(blank)"),"",VLOOKUP($B4616,'Email Marketing Raw Data'!$C:$O,11,0))),"")</f>
        <v/>
      </c>
      <c r="F4616" s="54" t="str">
        <f>IFERROR(IF(OR($B4616="",$B4616="(blank)"),"",VLOOKUP($B4616,'Email Marketing Raw Data'!$C:$O,13,0)),"")</f>
        <v/>
      </c>
      <c r="G4616" s="55" t="str">
        <f>IFERROR(IF(OR($B4616="",$B4616="(blank)"),"",VLOOKUP($B4616,'Email Marketing Raw Data'!$C:$O,4,0)),"")</f>
        <v/>
      </c>
      <c r="H4616" s="55" t="str">
        <f>IFERROR(IF(OR($B4616="",$B4616="(blank)"),"",VLOOKUP($B4616,'Email Marketing Raw Data'!$C:$O,5,0)),"")</f>
        <v/>
      </c>
      <c r="I4616" s="55" t="str">
        <f>IFERROR(IF($G4616="","",VLOOKUP('Dashboard And Emails Automate'!$G4616,Database!$H:$N,3,0)),"")</f>
        <v/>
      </c>
      <c r="J4616" s="55" t="str">
        <f>IFERROR(IF($G4616="","",VLOOKUP('Dashboard And Emails Automate'!$G4616,Database!$H:$N,4,0)),"")</f>
        <v/>
      </c>
      <c r="K4616" s="55" t="str">
        <f>IFERROR(IF($G4616="","",VLOOKUP('Dashboard And Emails Automate'!$G4616,Database!$H:$N,5,0)),"")</f>
        <v/>
      </c>
      <c r="L4616" s="55" t="str">
        <f>IFERROR(IF($G4616="","",VLOOKUP('Dashboard And Emails Automate'!$G4616,Database!$H:$N,6,0)),"")</f>
        <v/>
      </c>
      <c r="M4616" s="55" t="str">
        <f>IFERROR(IF($G4616="","",VLOOKUP('Dashboard And Emails Automate'!$G4616,Database!$H:$N,7,0)),"")</f>
        <v/>
      </c>
      <c r="N4616" s="55" t="str">
        <f>IFERROR(IF(OR($B4616="",$B4616="(blank)"),"",VLOOKUP($B4616,'Email Marketing Raw Data'!$C:$O,6,0)),"")</f>
        <v/>
      </c>
      <c r="O4616" s="55" t="str">
        <f>IFERROR(IF(OR($B4616="",$B4616="(blank)"),"",VLOOKUP($B4616,'Email Marketing Raw Data'!$C:$O,7,0)),"")</f>
        <v/>
      </c>
      <c r="P4616" s="55" t="str">
        <f>IFERROR(IF(OR($B4616="",$B4616="(blank)"),"",VLOOKUP($B4616,'Email Marketing Raw Data'!$C:$O,8,0)),"")</f>
        <v/>
      </c>
      <c r="Q4616" s="62" t="str">
        <f>IFERROR(IF(OR($B4616="",$B4616="(blank)"),"",VLOOKUP($B4616,'Email Marketing Raw Data'!$C:$O,9,0)),"")</f>
        <v/>
      </c>
    </row>
    <row r="4617" spans="4:17" ht="12.75" customHeight="1" x14ac:dyDescent="0.2">
      <c r="D4617" s="58" t="str">
        <f>IFERROR(IF(F4617&lt;&gt;"pending","",IF(OR($B4617="",$B4617="(blank)"),"",VLOOKUP($B4617,'Email Marketing Raw Data'!$C:$O,10,0))),"")</f>
        <v/>
      </c>
      <c r="E4617" s="59" t="str">
        <f>IFERROR(IF(F4617&lt;&gt;"pending","",IF(OR($B4617="",$B4617="(blank)"),"",VLOOKUP($B4617,'Email Marketing Raw Data'!$C:$O,11,0))),"")</f>
        <v/>
      </c>
      <c r="F4617" s="54" t="str">
        <f>IFERROR(IF(OR($B4617="",$B4617="(blank)"),"",VLOOKUP($B4617,'Email Marketing Raw Data'!$C:$O,13,0)),"")</f>
        <v/>
      </c>
      <c r="G4617" s="55" t="str">
        <f>IFERROR(IF(OR($B4617="",$B4617="(blank)"),"",VLOOKUP($B4617,'Email Marketing Raw Data'!$C:$O,4,0)),"")</f>
        <v/>
      </c>
      <c r="H4617" s="55" t="str">
        <f>IFERROR(IF(OR($B4617="",$B4617="(blank)"),"",VLOOKUP($B4617,'Email Marketing Raw Data'!$C:$O,5,0)),"")</f>
        <v/>
      </c>
      <c r="I4617" s="55" t="str">
        <f>IFERROR(IF($G4617="","",VLOOKUP('Dashboard And Emails Automate'!$G4617,Database!$H:$N,3,0)),"")</f>
        <v/>
      </c>
      <c r="J4617" s="55" t="str">
        <f>IFERROR(IF($G4617="","",VLOOKUP('Dashboard And Emails Automate'!$G4617,Database!$H:$N,4,0)),"")</f>
        <v/>
      </c>
      <c r="K4617" s="55" t="str">
        <f>IFERROR(IF($G4617="","",VLOOKUP('Dashboard And Emails Automate'!$G4617,Database!$H:$N,5,0)),"")</f>
        <v/>
      </c>
      <c r="L4617" s="55" t="str">
        <f>IFERROR(IF($G4617="","",VLOOKUP('Dashboard And Emails Automate'!$G4617,Database!$H:$N,6,0)),"")</f>
        <v/>
      </c>
      <c r="M4617" s="55" t="str">
        <f>IFERROR(IF($G4617="","",VLOOKUP('Dashboard And Emails Automate'!$G4617,Database!$H:$N,7,0)),"")</f>
        <v/>
      </c>
      <c r="N4617" s="55" t="str">
        <f>IFERROR(IF(OR($B4617="",$B4617="(blank)"),"",VLOOKUP($B4617,'Email Marketing Raw Data'!$C:$O,6,0)),"")</f>
        <v/>
      </c>
      <c r="O4617" s="55" t="str">
        <f>IFERROR(IF(OR($B4617="",$B4617="(blank)"),"",VLOOKUP($B4617,'Email Marketing Raw Data'!$C:$O,7,0)),"")</f>
        <v/>
      </c>
      <c r="P4617" s="55" t="str">
        <f>IFERROR(IF(OR($B4617="",$B4617="(blank)"),"",VLOOKUP($B4617,'Email Marketing Raw Data'!$C:$O,8,0)),"")</f>
        <v/>
      </c>
      <c r="Q4617" s="62" t="str">
        <f>IFERROR(IF(OR($B4617="",$B4617="(blank)"),"",VLOOKUP($B4617,'Email Marketing Raw Data'!$C:$O,9,0)),"")</f>
        <v/>
      </c>
    </row>
    <row r="4618" spans="4:17" ht="12.75" customHeight="1" x14ac:dyDescent="0.2">
      <c r="D4618" s="58" t="str">
        <f>IFERROR(IF(F4618&lt;&gt;"pending","",IF(OR($B4618="",$B4618="(blank)"),"",VLOOKUP($B4618,'Email Marketing Raw Data'!$C:$O,10,0))),"")</f>
        <v/>
      </c>
      <c r="E4618" s="59" t="str">
        <f>IFERROR(IF(F4618&lt;&gt;"pending","",IF(OR($B4618="",$B4618="(blank)"),"",VLOOKUP($B4618,'Email Marketing Raw Data'!$C:$O,11,0))),"")</f>
        <v/>
      </c>
      <c r="F4618" s="54" t="str">
        <f>IFERROR(IF(OR($B4618="",$B4618="(blank)"),"",VLOOKUP($B4618,'Email Marketing Raw Data'!$C:$O,13,0)),"")</f>
        <v/>
      </c>
      <c r="G4618" s="55" t="str">
        <f>IFERROR(IF(OR($B4618="",$B4618="(blank)"),"",VLOOKUP($B4618,'Email Marketing Raw Data'!$C:$O,4,0)),"")</f>
        <v/>
      </c>
      <c r="H4618" s="55" t="str">
        <f>IFERROR(IF(OR($B4618="",$B4618="(blank)"),"",VLOOKUP($B4618,'Email Marketing Raw Data'!$C:$O,5,0)),"")</f>
        <v/>
      </c>
      <c r="I4618" s="55" t="str">
        <f>IFERROR(IF($G4618="","",VLOOKUP('Dashboard And Emails Automate'!$G4618,Database!$H:$N,3,0)),"")</f>
        <v/>
      </c>
      <c r="J4618" s="55" t="str">
        <f>IFERROR(IF($G4618="","",VLOOKUP('Dashboard And Emails Automate'!$G4618,Database!$H:$N,4,0)),"")</f>
        <v/>
      </c>
      <c r="K4618" s="55" t="str">
        <f>IFERROR(IF($G4618="","",VLOOKUP('Dashboard And Emails Automate'!$G4618,Database!$H:$N,5,0)),"")</f>
        <v/>
      </c>
      <c r="L4618" s="55" t="str">
        <f>IFERROR(IF($G4618="","",VLOOKUP('Dashboard And Emails Automate'!$G4618,Database!$H:$N,6,0)),"")</f>
        <v/>
      </c>
      <c r="M4618" s="55" t="str">
        <f>IFERROR(IF($G4618="","",VLOOKUP('Dashboard And Emails Automate'!$G4618,Database!$H:$N,7,0)),"")</f>
        <v/>
      </c>
      <c r="N4618" s="55" t="str">
        <f>IFERROR(IF(OR($B4618="",$B4618="(blank)"),"",VLOOKUP($B4618,'Email Marketing Raw Data'!$C:$O,6,0)),"")</f>
        <v/>
      </c>
      <c r="O4618" s="55" t="str">
        <f>IFERROR(IF(OR($B4618="",$B4618="(blank)"),"",VLOOKUP($B4618,'Email Marketing Raw Data'!$C:$O,7,0)),"")</f>
        <v/>
      </c>
      <c r="P4618" s="55" t="str">
        <f>IFERROR(IF(OR($B4618="",$B4618="(blank)"),"",VLOOKUP($B4618,'Email Marketing Raw Data'!$C:$O,8,0)),"")</f>
        <v/>
      </c>
      <c r="Q4618" s="62" t="str">
        <f>IFERROR(IF(OR($B4618="",$B4618="(blank)"),"",VLOOKUP($B4618,'Email Marketing Raw Data'!$C:$O,9,0)),"")</f>
        <v/>
      </c>
    </row>
    <row r="4619" spans="4:17" ht="12.75" customHeight="1" x14ac:dyDescent="0.2">
      <c r="D4619" s="58" t="str">
        <f>IFERROR(IF(F4619&lt;&gt;"pending","",IF(OR($B4619="",$B4619="(blank)"),"",VLOOKUP($B4619,'Email Marketing Raw Data'!$C:$O,10,0))),"")</f>
        <v/>
      </c>
      <c r="E4619" s="59" t="str">
        <f>IFERROR(IF(F4619&lt;&gt;"pending","",IF(OR($B4619="",$B4619="(blank)"),"",VLOOKUP($B4619,'Email Marketing Raw Data'!$C:$O,11,0))),"")</f>
        <v/>
      </c>
      <c r="F4619" s="54" t="str">
        <f>IFERROR(IF(OR($B4619="",$B4619="(blank)"),"",VLOOKUP($B4619,'Email Marketing Raw Data'!$C:$O,13,0)),"")</f>
        <v/>
      </c>
      <c r="G4619" s="55" t="str">
        <f>IFERROR(IF(OR($B4619="",$B4619="(blank)"),"",VLOOKUP($B4619,'Email Marketing Raw Data'!$C:$O,4,0)),"")</f>
        <v/>
      </c>
      <c r="H4619" s="55" t="str">
        <f>IFERROR(IF(OR($B4619="",$B4619="(blank)"),"",VLOOKUP($B4619,'Email Marketing Raw Data'!$C:$O,5,0)),"")</f>
        <v/>
      </c>
      <c r="I4619" s="55" t="str">
        <f>IFERROR(IF($G4619="","",VLOOKUP('Dashboard And Emails Automate'!$G4619,Database!$H:$N,3,0)),"")</f>
        <v/>
      </c>
      <c r="J4619" s="55" t="str">
        <f>IFERROR(IF($G4619="","",VLOOKUP('Dashboard And Emails Automate'!$G4619,Database!$H:$N,4,0)),"")</f>
        <v/>
      </c>
      <c r="K4619" s="55" t="str">
        <f>IFERROR(IF($G4619="","",VLOOKUP('Dashboard And Emails Automate'!$G4619,Database!$H:$N,5,0)),"")</f>
        <v/>
      </c>
      <c r="L4619" s="55" t="str">
        <f>IFERROR(IF($G4619="","",VLOOKUP('Dashboard And Emails Automate'!$G4619,Database!$H:$N,6,0)),"")</f>
        <v/>
      </c>
      <c r="M4619" s="55" t="str">
        <f>IFERROR(IF($G4619="","",VLOOKUP('Dashboard And Emails Automate'!$G4619,Database!$H:$N,7,0)),"")</f>
        <v/>
      </c>
      <c r="N4619" s="55" t="str">
        <f>IFERROR(IF(OR($B4619="",$B4619="(blank)"),"",VLOOKUP($B4619,'Email Marketing Raw Data'!$C:$O,6,0)),"")</f>
        <v/>
      </c>
      <c r="O4619" s="55" t="str">
        <f>IFERROR(IF(OR($B4619="",$B4619="(blank)"),"",VLOOKUP($B4619,'Email Marketing Raw Data'!$C:$O,7,0)),"")</f>
        <v/>
      </c>
      <c r="P4619" s="55" t="str">
        <f>IFERROR(IF(OR($B4619="",$B4619="(blank)"),"",VLOOKUP($B4619,'Email Marketing Raw Data'!$C:$O,8,0)),"")</f>
        <v/>
      </c>
      <c r="Q4619" s="62" t="str">
        <f>IFERROR(IF(OR($B4619="",$B4619="(blank)"),"",VLOOKUP($B4619,'Email Marketing Raw Data'!$C:$O,9,0)),"")</f>
        <v/>
      </c>
    </row>
    <row r="4620" spans="4:17" ht="12.75" customHeight="1" x14ac:dyDescent="0.2">
      <c r="D4620" s="58" t="str">
        <f>IFERROR(IF(F4620&lt;&gt;"pending","",IF(OR($B4620="",$B4620="(blank)"),"",VLOOKUP($B4620,'Email Marketing Raw Data'!$C:$O,10,0))),"")</f>
        <v/>
      </c>
      <c r="E4620" s="59" t="str">
        <f>IFERROR(IF(F4620&lt;&gt;"pending","",IF(OR($B4620="",$B4620="(blank)"),"",VLOOKUP($B4620,'Email Marketing Raw Data'!$C:$O,11,0))),"")</f>
        <v/>
      </c>
      <c r="F4620" s="54" t="str">
        <f>IFERROR(IF(OR($B4620="",$B4620="(blank)"),"",VLOOKUP($B4620,'Email Marketing Raw Data'!$C:$O,13,0)),"")</f>
        <v/>
      </c>
      <c r="G4620" s="55" t="str">
        <f>IFERROR(IF(OR($B4620="",$B4620="(blank)"),"",VLOOKUP($B4620,'Email Marketing Raw Data'!$C:$O,4,0)),"")</f>
        <v/>
      </c>
      <c r="H4620" s="55" t="str">
        <f>IFERROR(IF(OR($B4620="",$B4620="(blank)"),"",VLOOKUP($B4620,'Email Marketing Raw Data'!$C:$O,5,0)),"")</f>
        <v/>
      </c>
      <c r="I4620" s="55" t="str">
        <f>IFERROR(IF($G4620="","",VLOOKUP('Dashboard And Emails Automate'!$G4620,Database!$H:$N,3,0)),"")</f>
        <v/>
      </c>
      <c r="J4620" s="55" t="str">
        <f>IFERROR(IF($G4620="","",VLOOKUP('Dashboard And Emails Automate'!$G4620,Database!$H:$N,4,0)),"")</f>
        <v/>
      </c>
      <c r="K4620" s="55" t="str">
        <f>IFERROR(IF($G4620="","",VLOOKUP('Dashboard And Emails Automate'!$G4620,Database!$H:$N,5,0)),"")</f>
        <v/>
      </c>
      <c r="L4620" s="55" t="str">
        <f>IFERROR(IF($G4620="","",VLOOKUP('Dashboard And Emails Automate'!$G4620,Database!$H:$N,6,0)),"")</f>
        <v/>
      </c>
      <c r="M4620" s="55" t="str">
        <f>IFERROR(IF($G4620="","",VLOOKUP('Dashboard And Emails Automate'!$G4620,Database!$H:$N,7,0)),"")</f>
        <v/>
      </c>
      <c r="N4620" s="55" t="str">
        <f>IFERROR(IF(OR($B4620="",$B4620="(blank)"),"",VLOOKUP($B4620,'Email Marketing Raw Data'!$C:$O,6,0)),"")</f>
        <v/>
      </c>
      <c r="O4620" s="55" t="str">
        <f>IFERROR(IF(OR($B4620="",$B4620="(blank)"),"",VLOOKUP($B4620,'Email Marketing Raw Data'!$C:$O,7,0)),"")</f>
        <v/>
      </c>
      <c r="P4620" s="55" t="str">
        <f>IFERROR(IF(OR($B4620="",$B4620="(blank)"),"",VLOOKUP($B4620,'Email Marketing Raw Data'!$C:$O,8,0)),"")</f>
        <v/>
      </c>
      <c r="Q4620" s="62" t="str">
        <f>IFERROR(IF(OR($B4620="",$B4620="(blank)"),"",VLOOKUP($B4620,'Email Marketing Raw Data'!$C:$O,9,0)),"")</f>
        <v/>
      </c>
    </row>
    <row r="4621" spans="4:17" ht="12.75" customHeight="1" x14ac:dyDescent="0.2">
      <c r="D4621" s="58" t="str">
        <f>IFERROR(IF(F4621&lt;&gt;"pending","",IF(OR($B4621="",$B4621="(blank)"),"",VLOOKUP($B4621,'Email Marketing Raw Data'!$C:$O,10,0))),"")</f>
        <v/>
      </c>
      <c r="E4621" s="59" t="str">
        <f>IFERROR(IF(F4621&lt;&gt;"pending","",IF(OR($B4621="",$B4621="(blank)"),"",VLOOKUP($B4621,'Email Marketing Raw Data'!$C:$O,11,0))),"")</f>
        <v/>
      </c>
      <c r="F4621" s="54" t="str">
        <f>IFERROR(IF(OR($B4621="",$B4621="(blank)"),"",VLOOKUP($B4621,'Email Marketing Raw Data'!$C:$O,13,0)),"")</f>
        <v/>
      </c>
      <c r="G4621" s="55" t="str">
        <f>IFERROR(IF(OR($B4621="",$B4621="(blank)"),"",VLOOKUP($B4621,'Email Marketing Raw Data'!$C:$O,4,0)),"")</f>
        <v/>
      </c>
      <c r="H4621" s="55" t="str">
        <f>IFERROR(IF(OR($B4621="",$B4621="(blank)"),"",VLOOKUP($B4621,'Email Marketing Raw Data'!$C:$O,5,0)),"")</f>
        <v/>
      </c>
      <c r="I4621" s="55" t="str">
        <f>IFERROR(IF($G4621="","",VLOOKUP('Dashboard And Emails Automate'!$G4621,Database!$H:$N,3,0)),"")</f>
        <v/>
      </c>
      <c r="J4621" s="55" t="str">
        <f>IFERROR(IF($G4621="","",VLOOKUP('Dashboard And Emails Automate'!$G4621,Database!$H:$N,4,0)),"")</f>
        <v/>
      </c>
      <c r="K4621" s="55" t="str">
        <f>IFERROR(IF($G4621="","",VLOOKUP('Dashboard And Emails Automate'!$G4621,Database!$H:$N,5,0)),"")</f>
        <v/>
      </c>
      <c r="L4621" s="55" t="str">
        <f>IFERROR(IF($G4621="","",VLOOKUP('Dashboard And Emails Automate'!$G4621,Database!$H:$N,6,0)),"")</f>
        <v/>
      </c>
      <c r="M4621" s="55" t="str">
        <f>IFERROR(IF($G4621="","",VLOOKUP('Dashboard And Emails Automate'!$G4621,Database!$H:$N,7,0)),"")</f>
        <v/>
      </c>
      <c r="N4621" s="55" t="str">
        <f>IFERROR(IF(OR($B4621="",$B4621="(blank)"),"",VLOOKUP($B4621,'Email Marketing Raw Data'!$C:$O,6,0)),"")</f>
        <v/>
      </c>
      <c r="O4621" s="55" t="str">
        <f>IFERROR(IF(OR($B4621="",$B4621="(blank)"),"",VLOOKUP($B4621,'Email Marketing Raw Data'!$C:$O,7,0)),"")</f>
        <v/>
      </c>
      <c r="P4621" s="55" t="str">
        <f>IFERROR(IF(OR($B4621="",$B4621="(blank)"),"",VLOOKUP($B4621,'Email Marketing Raw Data'!$C:$O,8,0)),"")</f>
        <v/>
      </c>
      <c r="Q4621" s="62" t="str">
        <f>IFERROR(IF(OR($B4621="",$B4621="(blank)"),"",VLOOKUP($B4621,'Email Marketing Raw Data'!$C:$O,9,0)),"")</f>
        <v/>
      </c>
    </row>
    <row r="4622" spans="4:17" ht="12.75" customHeight="1" x14ac:dyDescent="0.2">
      <c r="D4622" s="58" t="str">
        <f>IFERROR(IF(F4622&lt;&gt;"pending","",IF(OR($B4622="",$B4622="(blank)"),"",VLOOKUP($B4622,'Email Marketing Raw Data'!$C:$O,10,0))),"")</f>
        <v/>
      </c>
      <c r="E4622" s="59" t="str">
        <f>IFERROR(IF(F4622&lt;&gt;"pending","",IF(OR($B4622="",$B4622="(blank)"),"",VLOOKUP($B4622,'Email Marketing Raw Data'!$C:$O,11,0))),"")</f>
        <v/>
      </c>
      <c r="F4622" s="54" t="str">
        <f>IFERROR(IF(OR($B4622="",$B4622="(blank)"),"",VLOOKUP($B4622,'Email Marketing Raw Data'!$C:$O,13,0)),"")</f>
        <v/>
      </c>
      <c r="G4622" s="55" t="str">
        <f>IFERROR(IF(OR($B4622="",$B4622="(blank)"),"",VLOOKUP($B4622,'Email Marketing Raw Data'!$C:$O,4,0)),"")</f>
        <v/>
      </c>
      <c r="H4622" s="55" t="str">
        <f>IFERROR(IF(OR($B4622="",$B4622="(blank)"),"",VLOOKUP($B4622,'Email Marketing Raw Data'!$C:$O,5,0)),"")</f>
        <v/>
      </c>
      <c r="I4622" s="55" t="str">
        <f>IFERROR(IF($G4622="","",VLOOKUP('Dashboard And Emails Automate'!$G4622,Database!$H:$N,3,0)),"")</f>
        <v/>
      </c>
      <c r="J4622" s="55" t="str">
        <f>IFERROR(IF($G4622="","",VLOOKUP('Dashboard And Emails Automate'!$G4622,Database!$H:$N,4,0)),"")</f>
        <v/>
      </c>
      <c r="K4622" s="55" t="str">
        <f>IFERROR(IF($G4622="","",VLOOKUP('Dashboard And Emails Automate'!$G4622,Database!$H:$N,5,0)),"")</f>
        <v/>
      </c>
      <c r="L4622" s="55" t="str">
        <f>IFERROR(IF($G4622="","",VLOOKUP('Dashboard And Emails Automate'!$G4622,Database!$H:$N,6,0)),"")</f>
        <v/>
      </c>
      <c r="M4622" s="55" t="str">
        <f>IFERROR(IF($G4622="","",VLOOKUP('Dashboard And Emails Automate'!$G4622,Database!$H:$N,7,0)),"")</f>
        <v/>
      </c>
      <c r="N4622" s="55" t="str">
        <f>IFERROR(IF(OR($B4622="",$B4622="(blank)"),"",VLOOKUP($B4622,'Email Marketing Raw Data'!$C:$O,6,0)),"")</f>
        <v/>
      </c>
      <c r="O4622" s="55" t="str">
        <f>IFERROR(IF(OR($B4622="",$B4622="(blank)"),"",VLOOKUP($B4622,'Email Marketing Raw Data'!$C:$O,7,0)),"")</f>
        <v/>
      </c>
      <c r="P4622" s="55" t="str">
        <f>IFERROR(IF(OR($B4622="",$B4622="(blank)"),"",VLOOKUP($B4622,'Email Marketing Raw Data'!$C:$O,8,0)),"")</f>
        <v/>
      </c>
      <c r="Q4622" s="62" t="str">
        <f>IFERROR(IF(OR($B4622="",$B4622="(blank)"),"",VLOOKUP($B4622,'Email Marketing Raw Data'!$C:$O,9,0)),"")</f>
        <v/>
      </c>
    </row>
    <row r="4623" spans="4:17" ht="12.75" customHeight="1" x14ac:dyDescent="0.2">
      <c r="D4623" s="58" t="str">
        <f>IFERROR(IF(F4623&lt;&gt;"pending","",IF(OR($B4623="",$B4623="(blank)"),"",VLOOKUP($B4623,'Email Marketing Raw Data'!$C:$O,10,0))),"")</f>
        <v/>
      </c>
      <c r="E4623" s="59" t="str">
        <f>IFERROR(IF(F4623&lt;&gt;"pending","",IF(OR($B4623="",$B4623="(blank)"),"",VLOOKUP($B4623,'Email Marketing Raw Data'!$C:$O,11,0))),"")</f>
        <v/>
      </c>
      <c r="F4623" s="54" t="str">
        <f>IFERROR(IF(OR($B4623="",$B4623="(blank)"),"",VLOOKUP($B4623,'Email Marketing Raw Data'!$C:$O,13,0)),"")</f>
        <v/>
      </c>
      <c r="G4623" s="55" t="str">
        <f>IFERROR(IF(OR($B4623="",$B4623="(blank)"),"",VLOOKUP($B4623,'Email Marketing Raw Data'!$C:$O,4,0)),"")</f>
        <v/>
      </c>
      <c r="H4623" s="55" t="str">
        <f>IFERROR(IF(OR($B4623="",$B4623="(blank)"),"",VLOOKUP($B4623,'Email Marketing Raw Data'!$C:$O,5,0)),"")</f>
        <v/>
      </c>
      <c r="I4623" s="55" t="str">
        <f>IFERROR(IF($G4623="","",VLOOKUP('Dashboard And Emails Automate'!$G4623,Database!$H:$N,3,0)),"")</f>
        <v/>
      </c>
      <c r="J4623" s="55" t="str">
        <f>IFERROR(IF($G4623="","",VLOOKUP('Dashboard And Emails Automate'!$G4623,Database!$H:$N,4,0)),"")</f>
        <v/>
      </c>
      <c r="K4623" s="55" t="str">
        <f>IFERROR(IF($G4623="","",VLOOKUP('Dashboard And Emails Automate'!$G4623,Database!$H:$N,5,0)),"")</f>
        <v/>
      </c>
      <c r="L4623" s="55" t="str">
        <f>IFERROR(IF($G4623="","",VLOOKUP('Dashboard And Emails Automate'!$G4623,Database!$H:$N,6,0)),"")</f>
        <v/>
      </c>
      <c r="M4623" s="55" t="str">
        <f>IFERROR(IF($G4623="","",VLOOKUP('Dashboard And Emails Automate'!$G4623,Database!$H:$N,7,0)),"")</f>
        <v/>
      </c>
      <c r="N4623" s="55" t="str">
        <f>IFERROR(IF(OR($B4623="",$B4623="(blank)"),"",VLOOKUP($B4623,'Email Marketing Raw Data'!$C:$O,6,0)),"")</f>
        <v/>
      </c>
      <c r="O4623" s="55" t="str">
        <f>IFERROR(IF(OR($B4623="",$B4623="(blank)"),"",VLOOKUP($B4623,'Email Marketing Raw Data'!$C:$O,7,0)),"")</f>
        <v/>
      </c>
      <c r="P4623" s="55" t="str">
        <f>IFERROR(IF(OR($B4623="",$B4623="(blank)"),"",VLOOKUP($B4623,'Email Marketing Raw Data'!$C:$O,8,0)),"")</f>
        <v/>
      </c>
      <c r="Q4623" s="62" t="str">
        <f>IFERROR(IF(OR($B4623="",$B4623="(blank)"),"",VLOOKUP($B4623,'Email Marketing Raw Data'!$C:$O,9,0)),"")</f>
        <v/>
      </c>
    </row>
    <row r="4624" spans="4:17" ht="12.75" customHeight="1" x14ac:dyDescent="0.2">
      <c r="D4624" s="58" t="str">
        <f>IFERROR(IF(F4624&lt;&gt;"pending","",IF(OR($B4624="",$B4624="(blank)"),"",VLOOKUP($B4624,'Email Marketing Raw Data'!$C:$O,10,0))),"")</f>
        <v/>
      </c>
      <c r="E4624" s="59" t="str">
        <f>IFERROR(IF(F4624&lt;&gt;"pending","",IF(OR($B4624="",$B4624="(blank)"),"",VLOOKUP($B4624,'Email Marketing Raw Data'!$C:$O,11,0))),"")</f>
        <v/>
      </c>
      <c r="F4624" s="54" t="str">
        <f>IFERROR(IF(OR($B4624="",$B4624="(blank)"),"",VLOOKUP($B4624,'Email Marketing Raw Data'!$C:$O,13,0)),"")</f>
        <v/>
      </c>
      <c r="G4624" s="55" t="str">
        <f>IFERROR(IF(OR($B4624="",$B4624="(blank)"),"",VLOOKUP($B4624,'Email Marketing Raw Data'!$C:$O,4,0)),"")</f>
        <v/>
      </c>
      <c r="H4624" s="55" t="str">
        <f>IFERROR(IF(OR($B4624="",$B4624="(blank)"),"",VLOOKUP($B4624,'Email Marketing Raw Data'!$C:$O,5,0)),"")</f>
        <v/>
      </c>
      <c r="I4624" s="55" t="str">
        <f>IFERROR(IF($G4624="","",VLOOKUP('Dashboard And Emails Automate'!$G4624,Database!$H:$N,3,0)),"")</f>
        <v/>
      </c>
      <c r="J4624" s="55" t="str">
        <f>IFERROR(IF($G4624="","",VLOOKUP('Dashboard And Emails Automate'!$G4624,Database!$H:$N,4,0)),"")</f>
        <v/>
      </c>
      <c r="K4624" s="55" t="str">
        <f>IFERROR(IF($G4624="","",VLOOKUP('Dashboard And Emails Automate'!$G4624,Database!$H:$N,5,0)),"")</f>
        <v/>
      </c>
      <c r="L4624" s="55" t="str">
        <f>IFERROR(IF($G4624="","",VLOOKUP('Dashboard And Emails Automate'!$G4624,Database!$H:$N,6,0)),"")</f>
        <v/>
      </c>
      <c r="M4624" s="55" t="str">
        <f>IFERROR(IF($G4624="","",VLOOKUP('Dashboard And Emails Automate'!$G4624,Database!$H:$N,7,0)),"")</f>
        <v/>
      </c>
      <c r="N4624" s="55" t="str">
        <f>IFERROR(IF(OR($B4624="",$B4624="(blank)"),"",VLOOKUP($B4624,'Email Marketing Raw Data'!$C:$O,6,0)),"")</f>
        <v/>
      </c>
      <c r="O4624" s="55" t="str">
        <f>IFERROR(IF(OR($B4624="",$B4624="(blank)"),"",VLOOKUP($B4624,'Email Marketing Raw Data'!$C:$O,7,0)),"")</f>
        <v/>
      </c>
      <c r="P4624" s="55" t="str">
        <f>IFERROR(IF(OR($B4624="",$B4624="(blank)"),"",VLOOKUP($B4624,'Email Marketing Raw Data'!$C:$O,8,0)),"")</f>
        <v/>
      </c>
      <c r="Q4624" s="62" t="str">
        <f>IFERROR(IF(OR($B4624="",$B4624="(blank)"),"",VLOOKUP($B4624,'Email Marketing Raw Data'!$C:$O,9,0)),"")</f>
        <v/>
      </c>
    </row>
    <row r="4625" spans="4:17" ht="12.75" customHeight="1" x14ac:dyDescent="0.2">
      <c r="D4625" s="58" t="str">
        <f>IFERROR(IF(F4625&lt;&gt;"pending","",IF(OR($B4625="",$B4625="(blank)"),"",VLOOKUP($B4625,'Email Marketing Raw Data'!$C:$O,10,0))),"")</f>
        <v/>
      </c>
      <c r="E4625" s="59" t="str">
        <f>IFERROR(IF(F4625&lt;&gt;"pending","",IF(OR($B4625="",$B4625="(blank)"),"",VLOOKUP($B4625,'Email Marketing Raw Data'!$C:$O,11,0))),"")</f>
        <v/>
      </c>
      <c r="F4625" s="54" t="str">
        <f>IFERROR(IF(OR($B4625="",$B4625="(blank)"),"",VLOOKUP($B4625,'Email Marketing Raw Data'!$C:$O,13,0)),"")</f>
        <v/>
      </c>
      <c r="G4625" s="55" t="str">
        <f>IFERROR(IF(OR($B4625="",$B4625="(blank)"),"",VLOOKUP($B4625,'Email Marketing Raw Data'!$C:$O,4,0)),"")</f>
        <v/>
      </c>
      <c r="H4625" s="55" t="str">
        <f>IFERROR(IF(OR($B4625="",$B4625="(blank)"),"",VLOOKUP($B4625,'Email Marketing Raw Data'!$C:$O,5,0)),"")</f>
        <v/>
      </c>
      <c r="I4625" s="55" t="str">
        <f>IFERROR(IF($G4625="","",VLOOKUP('Dashboard And Emails Automate'!$G4625,Database!$H:$N,3,0)),"")</f>
        <v/>
      </c>
      <c r="J4625" s="55" t="str">
        <f>IFERROR(IF($G4625="","",VLOOKUP('Dashboard And Emails Automate'!$G4625,Database!$H:$N,4,0)),"")</f>
        <v/>
      </c>
      <c r="K4625" s="55" t="str">
        <f>IFERROR(IF($G4625="","",VLOOKUP('Dashboard And Emails Automate'!$G4625,Database!$H:$N,5,0)),"")</f>
        <v/>
      </c>
      <c r="L4625" s="55" t="str">
        <f>IFERROR(IF($G4625="","",VLOOKUP('Dashboard And Emails Automate'!$G4625,Database!$H:$N,6,0)),"")</f>
        <v/>
      </c>
      <c r="M4625" s="55" t="str">
        <f>IFERROR(IF($G4625="","",VLOOKUP('Dashboard And Emails Automate'!$G4625,Database!$H:$N,7,0)),"")</f>
        <v/>
      </c>
      <c r="N4625" s="55" t="str">
        <f>IFERROR(IF(OR($B4625="",$B4625="(blank)"),"",VLOOKUP($B4625,'Email Marketing Raw Data'!$C:$O,6,0)),"")</f>
        <v/>
      </c>
      <c r="O4625" s="55" t="str">
        <f>IFERROR(IF(OR($B4625="",$B4625="(blank)"),"",VLOOKUP($B4625,'Email Marketing Raw Data'!$C:$O,7,0)),"")</f>
        <v/>
      </c>
      <c r="P4625" s="55" t="str">
        <f>IFERROR(IF(OR($B4625="",$B4625="(blank)"),"",VLOOKUP($B4625,'Email Marketing Raw Data'!$C:$O,8,0)),"")</f>
        <v/>
      </c>
      <c r="Q4625" s="62" t="str">
        <f>IFERROR(IF(OR($B4625="",$B4625="(blank)"),"",VLOOKUP($B4625,'Email Marketing Raw Data'!$C:$O,9,0)),"")</f>
        <v/>
      </c>
    </row>
    <row r="4626" spans="4:17" ht="12.75" customHeight="1" x14ac:dyDescent="0.2">
      <c r="D4626" s="58" t="str">
        <f>IFERROR(IF(F4626&lt;&gt;"pending","",IF(OR($B4626="",$B4626="(blank)"),"",VLOOKUP($B4626,'Email Marketing Raw Data'!$C:$O,10,0))),"")</f>
        <v/>
      </c>
      <c r="E4626" s="59" t="str">
        <f>IFERROR(IF(F4626&lt;&gt;"pending","",IF(OR($B4626="",$B4626="(blank)"),"",VLOOKUP($B4626,'Email Marketing Raw Data'!$C:$O,11,0))),"")</f>
        <v/>
      </c>
      <c r="F4626" s="54" t="str">
        <f>IFERROR(IF(OR($B4626="",$B4626="(blank)"),"",VLOOKUP($B4626,'Email Marketing Raw Data'!$C:$O,13,0)),"")</f>
        <v/>
      </c>
      <c r="G4626" s="55" t="str">
        <f>IFERROR(IF(OR($B4626="",$B4626="(blank)"),"",VLOOKUP($B4626,'Email Marketing Raw Data'!$C:$O,4,0)),"")</f>
        <v/>
      </c>
      <c r="H4626" s="55" t="str">
        <f>IFERROR(IF(OR($B4626="",$B4626="(blank)"),"",VLOOKUP($B4626,'Email Marketing Raw Data'!$C:$O,5,0)),"")</f>
        <v/>
      </c>
      <c r="I4626" s="55" t="str">
        <f>IFERROR(IF($G4626="","",VLOOKUP('Dashboard And Emails Automate'!$G4626,Database!$H:$N,3,0)),"")</f>
        <v/>
      </c>
      <c r="J4626" s="55" t="str">
        <f>IFERROR(IF($G4626="","",VLOOKUP('Dashboard And Emails Automate'!$G4626,Database!$H:$N,4,0)),"")</f>
        <v/>
      </c>
      <c r="K4626" s="55" t="str">
        <f>IFERROR(IF($G4626="","",VLOOKUP('Dashboard And Emails Automate'!$G4626,Database!$H:$N,5,0)),"")</f>
        <v/>
      </c>
      <c r="L4626" s="55" t="str">
        <f>IFERROR(IF($G4626="","",VLOOKUP('Dashboard And Emails Automate'!$G4626,Database!$H:$N,6,0)),"")</f>
        <v/>
      </c>
      <c r="M4626" s="55" t="str">
        <f>IFERROR(IF($G4626="","",VLOOKUP('Dashboard And Emails Automate'!$G4626,Database!$H:$N,7,0)),"")</f>
        <v/>
      </c>
      <c r="N4626" s="55" t="str">
        <f>IFERROR(IF(OR($B4626="",$B4626="(blank)"),"",VLOOKUP($B4626,'Email Marketing Raw Data'!$C:$O,6,0)),"")</f>
        <v/>
      </c>
      <c r="O4626" s="55" t="str">
        <f>IFERROR(IF(OR($B4626="",$B4626="(blank)"),"",VLOOKUP($B4626,'Email Marketing Raw Data'!$C:$O,7,0)),"")</f>
        <v/>
      </c>
      <c r="P4626" s="55" t="str">
        <f>IFERROR(IF(OR($B4626="",$B4626="(blank)"),"",VLOOKUP($B4626,'Email Marketing Raw Data'!$C:$O,8,0)),"")</f>
        <v/>
      </c>
      <c r="Q4626" s="62" t="str">
        <f>IFERROR(IF(OR($B4626="",$B4626="(blank)"),"",VLOOKUP($B4626,'Email Marketing Raw Data'!$C:$O,9,0)),"")</f>
        <v/>
      </c>
    </row>
    <row r="4627" spans="4:17" ht="12.75" customHeight="1" x14ac:dyDescent="0.2">
      <c r="D4627" s="58" t="str">
        <f>IFERROR(IF(F4627&lt;&gt;"pending","",IF(OR($B4627="",$B4627="(blank)"),"",VLOOKUP($B4627,'Email Marketing Raw Data'!$C:$O,10,0))),"")</f>
        <v/>
      </c>
      <c r="E4627" s="59" t="str">
        <f>IFERROR(IF(F4627&lt;&gt;"pending","",IF(OR($B4627="",$B4627="(blank)"),"",VLOOKUP($B4627,'Email Marketing Raw Data'!$C:$O,11,0))),"")</f>
        <v/>
      </c>
      <c r="F4627" s="54" t="str">
        <f>IFERROR(IF(OR($B4627="",$B4627="(blank)"),"",VLOOKUP($B4627,'Email Marketing Raw Data'!$C:$O,13,0)),"")</f>
        <v/>
      </c>
      <c r="G4627" s="55" t="str">
        <f>IFERROR(IF(OR($B4627="",$B4627="(blank)"),"",VLOOKUP($B4627,'Email Marketing Raw Data'!$C:$O,4,0)),"")</f>
        <v/>
      </c>
      <c r="H4627" s="55" t="str">
        <f>IFERROR(IF(OR($B4627="",$B4627="(blank)"),"",VLOOKUP($B4627,'Email Marketing Raw Data'!$C:$O,5,0)),"")</f>
        <v/>
      </c>
      <c r="I4627" s="55" t="str">
        <f>IFERROR(IF($G4627="","",VLOOKUP('Dashboard And Emails Automate'!$G4627,Database!$H:$N,3,0)),"")</f>
        <v/>
      </c>
      <c r="J4627" s="55" t="str">
        <f>IFERROR(IF($G4627="","",VLOOKUP('Dashboard And Emails Automate'!$G4627,Database!$H:$N,4,0)),"")</f>
        <v/>
      </c>
      <c r="K4627" s="55" t="str">
        <f>IFERROR(IF($G4627="","",VLOOKUP('Dashboard And Emails Automate'!$G4627,Database!$H:$N,5,0)),"")</f>
        <v/>
      </c>
      <c r="L4627" s="55" t="str">
        <f>IFERROR(IF($G4627="","",VLOOKUP('Dashboard And Emails Automate'!$G4627,Database!$H:$N,6,0)),"")</f>
        <v/>
      </c>
      <c r="M4627" s="55" t="str">
        <f>IFERROR(IF($G4627="","",VLOOKUP('Dashboard And Emails Automate'!$G4627,Database!$H:$N,7,0)),"")</f>
        <v/>
      </c>
      <c r="N4627" s="55" t="str">
        <f>IFERROR(IF(OR($B4627="",$B4627="(blank)"),"",VLOOKUP($B4627,'Email Marketing Raw Data'!$C:$O,6,0)),"")</f>
        <v/>
      </c>
      <c r="O4627" s="55" t="str">
        <f>IFERROR(IF(OR($B4627="",$B4627="(blank)"),"",VLOOKUP($B4627,'Email Marketing Raw Data'!$C:$O,7,0)),"")</f>
        <v/>
      </c>
      <c r="P4627" s="55" t="str">
        <f>IFERROR(IF(OR($B4627="",$B4627="(blank)"),"",VLOOKUP($B4627,'Email Marketing Raw Data'!$C:$O,8,0)),"")</f>
        <v/>
      </c>
      <c r="Q4627" s="62" t="str">
        <f>IFERROR(IF(OR($B4627="",$B4627="(blank)"),"",VLOOKUP($B4627,'Email Marketing Raw Data'!$C:$O,9,0)),"")</f>
        <v/>
      </c>
    </row>
    <row r="4628" spans="4:17" ht="12.75" customHeight="1" x14ac:dyDescent="0.2">
      <c r="D4628" s="58" t="str">
        <f>IFERROR(IF(F4628&lt;&gt;"pending","",IF(OR($B4628="",$B4628="(blank)"),"",VLOOKUP($B4628,'Email Marketing Raw Data'!$C:$O,10,0))),"")</f>
        <v/>
      </c>
      <c r="E4628" s="59" t="str">
        <f>IFERROR(IF(F4628&lt;&gt;"pending","",IF(OR($B4628="",$B4628="(blank)"),"",VLOOKUP($B4628,'Email Marketing Raw Data'!$C:$O,11,0))),"")</f>
        <v/>
      </c>
      <c r="F4628" s="54" t="str">
        <f>IFERROR(IF(OR($B4628="",$B4628="(blank)"),"",VLOOKUP($B4628,'Email Marketing Raw Data'!$C:$O,13,0)),"")</f>
        <v/>
      </c>
      <c r="G4628" s="55" t="str">
        <f>IFERROR(IF(OR($B4628="",$B4628="(blank)"),"",VLOOKUP($B4628,'Email Marketing Raw Data'!$C:$O,4,0)),"")</f>
        <v/>
      </c>
      <c r="H4628" s="55" t="str">
        <f>IFERROR(IF(OR($B4628="",$B4628="(blank)"),"",VLOOKUP($B4628,'Email Marketing Raw Data'!$C:$O,5,0)),"")</f>
        <v/>
      </c>
      <c r="I4628" s="55" t="str">
        <f>IFERROR(IF($G4628="","",VLOOKUP('Dashboard And Emails Automate'!$G4628,Database!$H:$N,3,0)),"")</f>
        <v/>
      </c>
      <c r="J4628" s="55" t="str">
        <f>IFERROR(IF($G4628="","",VLOOKUP('Dashboard And Emails Automate'!$G4628,Database!$H:$N,4,0)),"")</f>
        <v/>
      </c>
      <c r="K4628" s="55" t="str">
        <f>IFERROR(IF($G4628="","",VLOOKUP('Dashboard And Emails Automate'!$G4628,Database!$H:$N,5,0)),"")</f>
        <v/>
      </c>
      <c r="L4628" s="55" t="str">
        <f>IFERROR(IF($G4628="","",VLOOKUP('Dashboard And Emails Automate'!$G4628,Database!$H:$N,6,0)),"")</f>
        <v/>
      </c>
      <c r="M4628" s="55" t="str">
        <f>IFERROR(IF($G4628="","",VLOOKUP('Dashboard And Emails Automate'!$G4628,Database!$H:$N,7,0)),"")</f>
        <v/>
      </c>
      <c r="N4628" s="55" t="str">
        <f>IFERROR(IF(OR($B4628="",$B4628="(blank)"),"",VLOOKUP($B4628,'Email Marketing Raw Data'!$C:$O,6,0)),"")</f>
        <v/>
      </c>
      <c r="O4628" s="55" t="str">
        <f>IFERROR(IF(OR($B4628="",$B4628="(blank)"),"",VLOOKUP($B4628,'Email Marketing Raw Data'!$C:$O,7,0)),"")</f>
        <v/>
      </c>
      <c r="P4628" s="55" t="str">
        <f>IFERROR(IF(OR($B4628="",$B4628="(blank)"),"",VLOOKUP($B4628,'Email Marketing Raw Data'!$C:$O,8,0)),"")</f>
        <v/>
      </c>
      <c r="Q4628" s="62" t="str">
        <f>IFERROR(IF(OR($B4628="",$B4628="(blank)"),"",VLOOKUP($B4628,'Email Marketing Raw Data'!$C:$O,9,0)),"")</f>
        <v/>
      </c>
    </row>
    <row r="4629" spans="4:17" ht="12.75" customHeight="1" x14ac:dyDescent="0.2">
      <c r="D4629" s="58" t="str">
        <f>IFERROR(IF(F4629&lt;&gt;"pending","",IF(OR($B4629="",$B4629="(blank)"),"",VLOOKUP($B4629,'Email Marketing Raw Data'!$C:$O,10,0))),"")</f>
        <v/>
      </c>
      <c r="E4629" s="59" t="str">
        <f>IFERROR(IF(F4629&lt;&gt;"pending","",IF(OR($B4629="",$B4629="(blank)"),"",VLOOKUP($B4629,'Email Marketing Raw Data'!$C:$O,11,0))),"")</f>
        <v/>
      </c>
      <c r="F4629" s="54" t="str">
        <f>IFERROR(IF(OR($B4629="",$B4629="(blank)"),"",VLOOKUP($B4629,'Email Marketing Raw Data'!$C:$O,13,0)),"")</f>
        <v/>
      </c>
      <c r="G4629" s="55" t="str">
        <f>IFERROR(IF(OR($B4629="",$B4629="(blank)"),"",VLOOKUP($B4629,'Email Marketing Raw Data'!$C:$O,4,0)),"")</f>
        <v/>
      </c>
      <c r="H4629" s="55" t="str">
        <f>IFERROR(IF(OR($B4629="",$B4629="(blank)"),"",VLOOKUP($B4629,'Email Marketing Raw Data'!$C:$O,5,0)),"")</f>
        <v/>
      </c>
      <c r="I4629" s="55" t="str">
        <f>IFERROR(IF($G4629="","",VLOOKUP('Dashboard And Emails Automate'!$G4629,Database!$H:$N,3,0)),"")</f>
        <v/>
      </c>
      <c r="J4629" s="55" t="str">
        <f>IFERROR(IF($G4629="","",VLOOKUP('Dashboard And Emails Automate'!$G4629,Database!$H:$N,4,0)),"")</f>
        <v/>
      </c>
      <c r="K4629" s="55" t="str">
        <f>IFERROR(IF($G4629="","",VLOOKUP('Dashboard And Emails Automate'!$G4629,Database!$H:$N,5,0)),"")</f>
        <v/>
      </c>
      <c r="L4629" s="55" t="str">
        <f>IFERROR(IF($G4629="","",VLOOKUP('Dashboard And Emails Automate'!$G4629,Database!$H:$N,6,0)),"")</f>
        <v/>
      </c>
      <c r="M4629" s="55" t="str">
        <f>IFERROR(IF($G4629="","",VLOOKUP('Dashboard And Emails Automate'!$G4629,Database!$H:$N,7,0)),"")</f>
        <v/>
      </c>
      <c r="N4629" s="55" t="str">
        <f>IFERROR(IF(OR($B4629="",$B4629="(blank)"),"",VLOOKUP($B4629,'Email Marketing Raw Data'!$C:$O,6,0)),"")</f>
        <v/>
      </c>
      <c r="O4629" s="55" t="str">
        <f>IFERROR(IF(OR($B4629="",$B4629="(blank)"),"",VLOOKUP($B4629,'Email Marketing Raw Data'!$C:$O,7,0)),"")</f>
        <v/>
      </c>
      <c r="P4629" s="55" t="str">
        <f>IFERROR(IF(OR($B4629="",$B4629="(blank)"),"",VLOOKUP($B4629,'Email Marketing Raw Data'!$C:$O,8,0)),"")</f>
        <v/>
      </c>
      <c r="Q4629" s="62" t="str">
        <f>IFERROR(IF(OR($B4629="",$B4629="(blank)"),"",VLOOKUP($B4629,'Email Marketing Raw Data'!$C:$O,9,0)),"")</f>
        <v/>
      </c>
    </row>
    <row r="4630" spans="4:17" ht="12.75" customHeight="1" x14ac:dyDescent="0.2">
      <c r="D4630" s="58" t="str">
        <f>IFERROR(IF(F4630&lt;&gt;"pending","",IF(OR($B4630="",$B4630="(blank)"),"",VLOOKUP($B4630,'Email Marketing Raw Data'!$C:$O,10,0))),"")</f>
        <v/>
      </c>
      <c r="E4630" s="59" t="str">
        <f>IFERROR(IF(F4630&lt;&gt;"pending","",IF(OR($B4630="",$B4630="(blank)"),"",VLOOKUP($B4630,'Email Marketing Raw Data'!$C:$O,11,0))),"")</f>
        <v/>
      </c>
      <c r="F4630" s="54" t="str">
        <f>IFERROR(IF(OR($B4630="",$B4630="(blank)"),"",VLOOKUP($B4630,'Email Marketing Raw Data'!$C:$O,13,0)),"")</f>
        <v/>
      </c>
      <c r="G4630" s="55" t="str">
        <f>IFERROR(IF(OR($B4630="",$B4630="(blank)"),"",VLOOKUP($B4630,'Email Marketing Raw Data'!$C:$O,4,0)),"")</f>
        <v/>
      </c>
      <c r="H4630" s="55" t="str">
        <f>IFERROR(IF(OR($B4630="",$B4630="(blank)"),"",VLOOKUP($B4630,'Email Marketing Raw Data'!$C:$O,5,0)),"")</f>
        <v/>
      </c>
      <c r="I4630" s="55" t="str">
        <f>IFERROR(IF($G4630="","",VLOOKUP('Dashboard And Emails Automate'!$G4630,Database!$H:$N,3,0)),"")</f>
        <v/>
      </c>
      <c r="J4630" s="55" t="str">
        <f>IFERROR(IF($G4630="","",VLOOKUP('Dashboard And Emails Automate'!$G4630,Database!$H:$N,4,0)),"")</f>
        <v/>
      </c>
      <c r="K4630" s="55" t="str">
        <f>IFERROR(IF($G4630="","",VLOOKUP('Dashboard And Emails Automate'!$G4630,Database!$H:$N,5,0)),"")</f>
        <v/>
      </c>
      <c r="L4630" s="55" t="str">
        <f>IFERROR(IF($G4630="","",VLOOKUP('Dashboard And Emails Automate'!$G4630,Database!$H:$N,6,0)),"")</f>
        <v/>
      </c>
      <c r="M4630" s="55" t="str">
        <f>IFERROR(IF($G4630="","",VLOOKUP('Dashboard And Emails Automate'!$G4630,Database!$H:$N,7,0)),"")</f>
        <v/>
      </c>
      <c r="N4630" s="55" t="str">
        <f>IFERROR(IF(OR($B4630="",$B4630="(blank)"),"",VLOOKUP($B4630,'Email Marketing Raw Data'!$C:$O,6,0)),"")</f>
        <v/>
      </c>
      <c r="O4630" s="55" t="str">
        <f>IFERROR(IF(OR($B4630="",$B4630="(blank)"),"",VLOOKUP($B4630,'Email Marketing Raw Data'!$C:$O,7,0)),"")</f>
        <v/>
      </c>
      <c r="P4630" s="55" t="str">
        <f>IFERROR(IF(OR($B4630="",$B4630="(blank)"),"",VLOOKUP($B4630,'Email Marketing Raw Data'!$C:$O,8,0)),"")</f>
        <v/>
      </c>
      <c r="Q4630" s="62" t="str">
        <f>IFERROR(IF(OR($B4630="",$B4630="(blank)"),"",VLOOKUP($B4630,'Email Marketing Raw Data'!$C:$O,9,0)),"")</f>
        <v/>
      </c>
    </row>
    <row r="4631" spans="4:17" ht="12.75" customHeight="1" x14ac:dyDescent="0.2">
      <c r="D4631" s="58" t="str">
        <f>IFERROR(IF(F4631&lt;&gt;"pending","",IF(OR($B4631="",$B4631="(blank)"),"",VLOOKUP($B4631,'Email Marketing Raw Data'!$C:$O,10,0))),"")</f>
        <v/>
      </c>
      <c r="E4631" s="59" t="str">
        <f>IFERROR(IF(F4631&lt;&gt;"pending","",IF(OR($B4631="",$B4631="(blank)"),"",VLOOKUP($B4631,'Email Marketing Raw Data'!$C:$O,11,0))),"")</f>
        <v/>
      </c>
      <c r="F4631" s="54" t="str">
        <f>IFERROR(IF(OR($B4631="",$B4631="(blank)"),"",VLOOKUP($B4631,'Email Marketing Raw Data'!$C:$O,13,0)),"")</f>
        <v/>
      </c>
      <c r="G4631" s="55" t="str">
        <f>IFERROR(IF(OR($B4631="",$B4631="(blank)"),"",VLOOKUP($B4631,'Email Marketing Raw Data'!$C:$O,4,0)),"")</f>
        <v/>
      </c>
      <c r="H4631" s="55" t="str">
        <f>IFERROR(IF(OR($B4631="",$B4631="(blank)"),"",VLOOKUP($B4631,'Email Marketing Raw Data'!$C:$O,5,0)),"")</f>
        <v/>
      </c>
      <c r="I4631" s="55" t="str">
        <f>IFERROR(IF($G4631="","",VLOOKUP('Dashboard And Emails Automate'!$G4631,Database!$H:$N,3,0)),"")</f>
        <v/>
      </c>
      <c r="J4631" s="55" t="str">
        <f>IFERROR(IF($G4631="","",VLOOKUP('Dashboard And Emails Automate'!$G4631,Database!$H:$N,4,0)),"")</f>
        <v/>
      </c>
      <c r="K4631" s="55" t="str">
        <f>IFERROR(IF($G4631="","",VLOOKUP('Dashboard And Emails Automate'!$G4631,Database!$H:$N,5,0)),"")</f>
        <v/>
      </c>
      <c r="L4631" s="55" t="str">
        <f>IFERROR(IF($G4631="","",VLOOKUP('Dashboard And Emails Automate'!$G4631,Database!$H:$N,6,0)),"")</f>
        <v/>
      </c>
      <c r="M4631" s="55" t="str">
        <f>IFERROR(IF($G4631="","",VLOOKUP('Dashboard And Emails Automate'!$G4631,Database!$H:$N,7,0)),"")</f>
        <v/>
      </c>
      <c r="N4631" s="55" t="str">
        <f>IFERROR(IF(OR($B4631="",$B4631="(blank)"),"",VLOOKUP($B4631,'Email Marketing Raw Data'!$C:$O,6,0)),"")</f>
        <v/>
      </c>
      <c r="O4631" s="55" t="str">
        <f>IFERROR(IF(OR($B4631="",$B4631="(blank)"),"",VLOOKUP($B4631,'Email Marketing Raw Data'!$C:$O,7,0)),"")</f>
        <v/>
      </c>
      <c r="P4631" s="55" t="str">
        <f>IFERROR(IF(OR($B4631="",$B4631="(blank)"),"",VLOOKUP($B4631,'Email Marketing Raw Data'!$C:$O,8,0)),"")</f>
        <v/>
      </c>
      <c r="Q4631" s="62" t="str">
        <f>IFERROR(IF(OR($B4631="",$B4631="(blank)"),"",VLOOKUP($B4631,'Email Marketing Raw Data'!$C:$O,9,0)),"")</f>
        <v/>
      </c>
    </row>
    <row r="4632" spans="4:17" ht="12.75" customHeight="1" x14ac:dyDescent="0.2">
      <c r="D4632" s="58" t="str">
        <f>IFERROR(IF(F4632&lt;&gt;"pending","",IF(OR($B4632="",$B4632="(blank)"),"",VLOOKUP($B4632,'Email Marketing Raw Data'!$C:$O,10,0))),"")</f>
        <v/>
      </c>
      <c r="E4632" s="59" t="str">
        <f>IFERROR(IF(F4632&lt;&gt;"pending","",IF(OR($B4632="",$B4632="(blank)"),"",VLOOKUP($B4632,'Email Marketing Raw Data'!$C:$O,11,0))),"")</f>
        <v/>
      </c>
      <c r="F4632" s="54" t="str">
        <f>IFERROR(IF(OR($B4632="",$B4632="(blank)"),"",VLOOKUP($B4632,'Email Marketing Raw Data'!$C:$O,13,0)),"")</f>
        <v/>
      </c>
      <c r="G4632" s="55" t="str">
        <f>IFERROR(IF(OR($B4632="",$B4632="(blank)"),"",VLOOKUP($B4632,'Email Marketing Raw Data'!$C:$O,4,0)),"")</f>
        <v/>
      </c>
      <c r="H4632" s="55" t="str">
        <f>IFERROR(IF(OR($B4632="",$B4632="(blank)"),"",VLOOKUP($B4632,'Email Marketing Raw Data'!$C:$O,5,0)),"")</f>
        <v/>
      </c>
      <c r="I4632" s="55" t="str">
        <f>IFERROR(IF($G4632="","",VLOOKUP('Dashboard And Emails Automate'!$G4632,Database!$H:$N,3,0)),"")</f>
        <v/>
      </c>
      <c r="J4632" s="55" t="str">
        <f>IFERROR(IF($G4632="","",VLOOKUP('Dashboard And Emails Automate'!$G4632,Database!$H:$N,4,0)),"")</f>
        <v/>
      </c>
      <c r="K4632" s="55" t="str">
        <f>IFERROR(IF($G4632="","",VLOOKUP('Dashboard And Emails Automate'!$G4632,Database!$H:$N,5,0)),"")</f>
        <v/>
      </c>
      <c r="L4632" s="55" t="str">
        <f>IFERROR(IF($G4632="","",VLOOKUP('Dashboard And Emails Automate'!$G4632,Database!$H:$N,6,0)),"")</f>
        <v/>
      </c>
      <c r="M4632" s="55" t="str">
        <f>IFERROR(IF($G4632="","",VLOOKUP('Dashboard And Emails Automate'!$G4632,Database!$H:$N,7,0)),"")</f>
        <v/>
      </c>
      <c r="N4632" s="55" t="str">
        <f>IFERROR(IF(OR($B4632="",$B4632="(blank)"),"",VLOOKUP($B4632,'Email Marketing Raw Data'!$C:$O,6,0)),"")</f>
        <v/>
      </c>
      <c r="O4632" s="55" t="str">
        <f>IFERROR(IF(OR($B4632="",$B4632="(blank)"),"",VLOOKUP($B4632,'Email Marketing Raw Data'!$C:$O,7,0)),"")</f>
        <v/>
      </c>
      <c r="P4632" s="55" t="str">
        <f>IFERROR(IF(OR($B4632="",$B4632="(blank)"),"",VLOOKUP($B4632,'Email Marketing Raw Data'!$C:$O,8,0)),"")</f>
        <v/>
      </c>
      <c r="Q4632" s="62" t="str">
        <f>IFERROR(IF(OR($B4632="",$B4632="(blank)"),"",VLOOKUP($B4632,'Email Marketing Raw Data'!$C:$O,9,0)),"")</f>
        <v/>
      </c>
    </row>
    <row r="4633" spans="4:17" ht="12.75" customHeight="1" x14ac:dyDescent="0.2">
      <c r="D4633" s="58" t="str">
        <f>IFERROR(IF(F4633&lt;&gt;"pending","",IF(OR($B4633="",$B4633="(blank)"),"",VLOOKUP($B4633,'Email Marketing Raw Data'!$C:$O,10,0))),"")</f>
        <v/>
      </c>
      <c r="E4633" s="59" t="str">
        <f>IFERROR(IF(F4633&lt;&gt;"pending","",IF(OR($B4633="",$B4633="(blank)"),"",VLOOKUP($B4633,'Email Marketing Raw Data'!$C:$O,11,0))),"")</f>
        <v/>
      </c>
      <c r="F4633" s="54" t="str">
        <f>IFERROR(IF(OR($B4633="",$B4633="(blank)"),"",VLOOKUP($B4633,'Email Marketing Raw Data'!$C:$O,13,0)),"")</f>
        <v/>
      </c>
      <c r="G4633" s="55" t="str">
        <f>IFERROR(IF(OR($B4633="",$B4633="(blank)"),"",VLOOKUP($B4633,'Email Marketing Raw Data'!$C:$O,4,0)),"")</f>
        <v/>
      </c>
      <c r="H4633" s="55" t="str">
        <f>IFERROR(IF(OR($B4633="",$B4633="(blank)"),"",VLOOKUP($B4633,'Email Marketing Raw Data'!$C:$O,5,0)),"")</f>
        <v/>
      </c>
      <c r="I4633" s="55" t="str">
        <f>IFERROR(IF($G4633="","",VLOOKUP('Dashboard And Emails Automate'!$G4633,Database!$H:$N,3,0)),"")</f>
        <v/>
      </c>
      <c r="J4633" s="55" t="str">
        <f>IFERROR(IF($G4633="","",VLOOKUP('Dashboard And Emails Automate'!$G4633,Database!$H:$N,4,0)),"")</f>
        <v/>
      </c>
      <c r="K4633" s="55" t="str">
        <f>IFERROR(IF($G4633="","",VLOOKUP('Dashboard And Emails Automate'!$G4633,Database!$H:$N,5,0)),"")</f>
        <v/>
      </c>
      <c r="L4633" s="55" t="str">
        <f>IFERROR(IF($G4633="","",VLOOKUP('Dashboard And Emails Automate'!$G4633,Database!$H:$N,6,0)),"")</f>
        <v/>
      </c>
      <c r="M4633" s="55" t="str">
        <f>IFERROR(IF($G4633="","",VLOOKUP('Dashboard And Emails Automate'!$G4633,Database!$H:$N,7,0)),"")</f>
        <v/>
      </c>
      <c r="N4633" s="55" t="str">
        <f>IFERROR(IF(OR($B4633="",$B4633="(blank)"),"",VLOOKUP($B4633,'Email Marketing Raw Data'!$C:$O,6,0)),"")</f>
        <v/>
      </c>
      <c r="O4633" s="55" t="str">
        <f>IFERROR(IF(OR($B4633="",$B4633="(blank)"),"",VLOOKUP($B4633,'Email Marketing Raw Data'!$C:$O,7,0)),"")</f>
        <v/>
      </c>
      <c r="P4633" s="55" t="str">
        <f>IFERROR(IF(OR($B4633="",$B4633="(blank)"),"",VLOOKUP($B4633,'Email Marketing Raw Data'!$C:$O,8,0)),"")</f>
        <v/>
      </c>
      <c r="Q4633" s="62" t="str">
        <f>IFERROR(IF(OR($B4633="",$B4633="(blank)"),"",VLOOKUP($B4633,'Email Marketing Raw Data'!$C:$O,9,0)),"")</f>
        <v/>
      </c>
    </row>
    <row r="4634" spans="4:17" ht="12.75" customHeight="1" x14ac:dyDescent="0.2">
      <c r="D4634" s="58" t="str">
        <f>IFERROR(IF(F4634&lt;&gt;"pending","",IF(OR($B4634="",$B4634="(blank)"),"",VLOOKUP($B4634,'Email Marketing Raw Data'!$C:$O,10,0))),"")</f>
        <v/>
      </c>
      <c r="E4634" s="59" t="str">
        <f>IFERROR(IF(F4634&lt;&gt;"pending","",IF(OR($B4634="",$B4634="(blank)"),"",VLOOKUP($B4634,'Email Marketing Raw Data'!$C:$O,11,0))),"")</f>
        <v/>
      </c>
      <c r="F4634" s="54" t="str">
        <f>IFERROR(IF(OR($B4634="",$B4634="(blank)"),"",VLOOKUP($B4634,'Email Marketing Raw Data'!$C:$O,13,0)),"")</f>
        <v/>
      </c>
      <c r="G4634" s="55" t="str">
        <f>IFERROR(IF(OR($B4634="",$B4634="(blank)"),"",VLOOKUP($B4634,'Email Marketing Raw Data'!$C:$O,4,0)),"")</f>
        <v/>
      </c>
      <c r="H4634" s="55" t="str">
        <f>IFERROR(IF(OR($B4634="",$B4634="(blank)"),"",VLOOKUP($B4634,'Email Marketing Raw Data'!$C:$O,5,0)),"")</f>
        <v/>
      </c>
      <c r="I4634" s="55" t="str">
        <f>IFERROR(IF($G4634="","",VLOOKUP('Dashboard And Emails Automate'!$G4634,Database!$H:$N,3,0)),"")</f>
        <v/>
      </c>
      <c r="J4634" s="55" t="str">
        <f>IFERROR(IF($G4634="","",VLOOKUP('Dashboard And Emails Automate'!$G4634,Database!$H:$N,4,0)),"")</f>
        <v/>
      </c>
      <c r="K4634" s="55" t="str">
        <f>IFERROR(IF($G4634="","",VLOOKUP('Dashboard And Emails Automate'!$G4634,Database!$H:$N,5,0)),"")</f>
        <v/>
      </c>
      <c r="L4634" s="55" t="str">
        <f>IFERROR(IF($G4634="","",VLOOKUP('Dashboard And Emails Automate'!$G4634,Database!$H:$N,6,0)),"")</f>
        <v/>
      </c>
      <c r="M4634" s="55" t="str">
        <f>IFERROR(IF($G4634="","",VLOOKUP('Dashboard And Emails Automate'!$G4634,Database!$H:$N,7,0)),"")</f>
        <v/>
      </c>
      <c r="N4634" s="55" t="str">
        <f>IFERROR(IF(OR($B4634="",$B4634="(blank)"),"",VLOOKUP($B4634,'Email Marketing Raw Data'!$C:$O,6,0)),"")</f>
        <v/>
      </c>
      <c r="O4634" s="55" t="str">
        <f>IFERROR(IF(OR($B4634="",$B4634="(blank)"),"",VLOOKUP($B4634,'Email Marketing Raw Data'!$C:$O,7,0)),"")</f>
        <v/>
      </c>
      <c r="P4634" s="55" t="str">
        <f>IFERROR(IF(OR($B4634="",$B4634="(blank)"),"",VLOOKUP($B4634,'Email Marketing Raw Data'!$C:$O,8,0)),"")</f>
        <v/>
      </c>
      <c r="Q4634" s="62" t="str">
        <f>IFERROR(IF(OR($B4634="",$B4634="(blank)"),"",VLOOKUP($B4634,'Email Marketing Raw Data'!$C:$O,9,0)),"")</f>
        <v/>
      </c>
    </row>
    <row r="4635" spans="4:17" ht="12.75" customHeight="1" x14ac:dyDescent="0.2">
      <c r="D4635" s="58" t="str">
        <f>IFERROR(IF(F4635&lt;&gt;"pending","",IF(OR($B4635="",$B4635="(blank)"),"",VLOOKUP($B4635,'Email Marketing Raw Data'!$C:$O,10,0))),"")</f>
        <v/>
      </c>
      <c r="E4635" s="59" t="str">
        <f>IFERROR(IF(F4635&lt;&gt;"pending","",IF(OR($B4635="",$B4635="(blank)"),"",VLOOKUP($B4635,'Email Marketing Raw Data'!$C:$O,11,0))),"")</f>
        <v/>
      </c>
      <c r="F4635" s="54" t="str">
        <f>IFERROR(IF(OR($B4635="",$B4635="(blank)"),"",VLOOKUP($B4635,'Email Marketing Raw Data'!$C:$O,13,0)),"")</f>
        <v/>
      </c>
      <c r="G4635" s="55" t="str">
        <f>IFERROR(IF(OR($B4635="",$B4635="(blank)"),"",VLOOKUP($B4635,'Email Marketing Raw Data'!$C:$O,4,0)),"")</f>
        <v/>
      </c>
      <c r="H4635" s="55" t="str">
        <f>IFERROR(IF(OR($B4635="",$B4635="(blank)"),"",VLOOKUP($B4635,'Email Marketing Raw Data'!$C:$O,5,0)),"")</f>
        <v/>
      </c>
      <c r="I4635" s="55" t="str">
        <f>IFERROR(IF($G4635="","",VLOOKUP('Dashboard And Emails Automate'!$G4635,Database!$H:$N,3,0)),"")</f>
        <v/>
      </c>
      <c r="J4635" s="55" t="str">
        <f>IFERROR(IF($G4635="","",VLOOKUP('Dashboard And Emails Automate'!$G4635,Database!$H:$N,4,0)),"")</f>
        <v/>
      </c>
      <c r="K4635" s="55" t="str">
        <f>IFERROR(IF($G4635="","",VLOOKUP('Dashboard And Emails Automate'!$G4635,Database!$H:$N,5,0)),"")</f>
        <v/>
      </c>
      <c r="L4635" s="55" t="str">
        <f>IFERROR(IF($G4635="","",VLOOKUP('Dashboard And Emails Automate'!$G4635,Database!$H:$N,6,0)),"")</f>
        <v/>
      </c>
      <c r="M4635" s="55" t="str">
        <f>IFERROR(IF($G4635="","",VLOOKUP('Dashboard And Emails Automate'!$G4635,Database!$H:$N,7,0)),"")</f>
        <v/>
      </c>
      <c r="N4635" s="55" t="str">
        <f>IFERROR(IF(OR($B4635="",$B4635="(blank)"),"",VLOOKUP($B4635,'Email Marketing Raw Data'!$C:$O,6,0)),"")</f>
        <v/>
      </c>
      <c r="O4635" s="55" t="str">
        <f>IFERROR(IF(OR($B4635="",$B4635="(blank)"),"",VLOOKUP($B4635,'Email Marketing Raw Data'!$C:$O,7,0)),"")</f>
        <v/>
      </c>
      <c r="P4635" s="55" t="str">
        <f>IFERROR(IF(OR($B4635="",$B4635="(blank)"),"",VLOOKUP($B4635,'Email Marketing Raw Data'!$C:$O,8,0)),"")</f>
        <v/>
      </c>
      <c r="Q4635" s="62" t="str">
        <f>IFERROR(IF(OR($B4635="",$B4635="(blank)"),"",VLOOKUP($B4635,'Email Marketing Raw Data'!$C:$O,9,0)),"")</f>
        <v/>
      </c>
    </row>
    <row r="4636" spans="4:17" ht="12.75" customHeight="1" x14ac:dyDescent="0.2">
      <c r="D4636" s="58" t="str">
        <f>IFERROR(IF(F4636&lt;&gt;"pending","",IF(OR($B4636="",$B4636="(blank)"),"",VLOOKUP($B4636,'Email Marketing Raw Data'!$C:$O,10,0))),"")</f>
        <v/>
      </c>
      <c r="E4636" s="59" t="str">
        <f>IFERROR(IF(F4636&lt;&gt;"pending","",IF(OR($B4636="",$B4636="(blank)"),"",VLOOKUP($B4636,'Email Marketing Raw Data'!$C:$O,11,0))),"")</f>
        <v/>
      </c>
      <c r="F4636" s="54" t="str">
        <f>IFERROR(IF(OR($B4636="",$B4636="(blank)"),"",VLOOKUP($B4636,'Email Marketing Raw Data'!$C:$O,13,0)),"")</f>
        <v/>
      </c>
      <c r="G4636" s="55" t="str">
        <f>IFERROR(IF(OR($B4636="",$B4636="(blank)"),"",VLOOKUP($B4636,'Email Marketing Raw Data'!$C:$O,4,0)),"")</f>
        <v/>
      </c>
      <c r="H4636" s="55" t="str">
        <f>IFERROR(IF(OR($B4636="",$B4636="(blank)"),"",VLOOKUP($B4636,'Email Marketing Raw Data'!$C:$O,5,0)),"")</f>
        <v/>
      </c>
      <c r="I4636" s="55" t="str">
        <f>IFERROR(IF($G4636="","",VLOOKUP('Dashboard And Emails Automate'!$G4636,Database!$H:$N,3,0)),"")</f>
        <v/>
      </c>
      <c r="J4636" s="55" t="str">
        <f>IFERROR(IF($G4636="","",VLOOKUP('Dashboard And Emails Automate'!$G4636,Database!$H:$N,4,0)),"")</f>
        <v/>
      </c>
      <c r="K4636" s="55" t="str">
        <f>IFERROR(IF($G4636="","",VLOOKUP('Dashboard And Emails Automate'!$G4636,Database!$H:$N,5,0)),"")</f>
        <v/>
      </c>
      <c r="L4636" s="55" t="str">
        <f>IFERROR(IF($G4636="","",VLOOKUP('Dashboard And Emails Automate'!$G4636,Database!$H:$N,6,0)),"")</f>
        <v/>
      </c>
      <c r="M4636" s="55" t="str">
        <f>IFERROR(IF($G4636="","",VLOOKUP('Dashboard And Emails Automate'!$G4636,Database!$H:$N,7,0)),"")</f>
        <v/>
      </c>
      <c r="N4636" s="55" t="str">
        <f>IFERROR(IF(OR($B4636="",$B4636="(blank)"),"",VLOOKUP($B4636,'Email Marketing Raw Data'!$C:$O,6,0)),"")</f>
        <v/>
      </c>
      <c r="O4636" s="55" t="str">
        <f>IFERROR(IF(OR($B4636="",$B4636="(blank)"),"",VLOOKUP($B4636,'Email Marketing Raw Data'!$C:$O,7,0)),"")</f>
        <v/>
      </c>
      <c r="P4636" s="55" t="str">
        <f>IFERROR(IF(OR($B4636="",$B4636="(blank)"),"",VLOOKUP($B4636,'Email Marketing Raw Data'!$C:$O,8,0)),"")</f>
        <v/>
      </c>
      <c r="Q4636" s="62" t="str">
        <f>IFERROR(IF(OR($B4636="",$B4636="(blank)"),"",VLOOKUP($B4636,'Email Marketing Raw Data'!$C:$O,9,0)),"")</f>
        <v/>
      </c>
    </row>
    <row r="4637" spans="4:17" ht="12.75" customHeight="1" x14ac:dyDescent="0.2">
      <c r="D4637" s="58" t="str">
        <f>IFERROR(IF(F4637&lt;&gt;"pending","",IF(OR($B4637="",$B4637="(blank)"),"",VLOOKUP($B4637,'Email Marketing Raw Data'!$C:$O,10,0))),"")</f>
        <v/>
      </c>
      <c r="E4637" s="59" t="str">
        <f>IFERROR(IF(F4637&lt;&gt;"pending","",IF(OR($B4637="",$B4637="(blank)"),"",VLOOKUP($B4637,'Email Marketing Raw Data'!$C:$O,11,0))),"")</f>
        <v/>
      </c>
      <c r="F4637" s="54" t="str">
        <f>IFERROR(IF(OR($B4637="",$B4637="(blank)"),"",VLOOKUP($B4637,'Email Marketing Raw Data'!$C:$O,13,0)),"")</f>
        <v/>
      </c>
      <c r="G4637" s="55" t="str">
        <f>IFERROR(IF(OR($B4637="",$B4637="(blank)"),"",VLOOKUP($B4637,'Email Marketing Raw Data'!$C:$O,4,0)),"")</f>
        <v/>
      </c>
      <c r="H4637" s="55" t="str">
        <f>IFERROR(IF(OR($B4637="",$B4637="(blank)"),"",VLOOKUP($B4637,'Email Marketing Raw Data'!$C:$O,5,0)),"")</f>
        <v/>
      </c>
      <c r="I4637" s="55" t="str">
        <f>IFERROR(IF($G4637="","",VLOOKUP('Dashboard And Emails Automate'!$G4637,Database!$H:$N,3,0)),"")</f>
        <v/>
      </c>
      <c r="J4637" s="55" t="str">
        <f>IFERROR(IF($G4637="","",VLOOKUP('Dashboard And Emails Automate'!$G4637,Database!$H:$N,4,0)),"")</f>
        <v/>
      </c>
      <c r="K4637" s="55" t="str">
        <f>IFERROR(IF($G4637="","",VLOOKUP('Dashboard And Emails Automate'!$G4637,Database!$H:$N,5,0)),"")</f>
        <v/>
      </c>
      <c r="L4637" s="55" t="str">
        <f>IFERROR(IF($G4637="","",VLOOKUP('Dashboard And Emails Automate'!$G4637,Database!$H:$N,6,0)),"")</f>
        <v/>
      </c>
      <c r="M4637" s="55" t="str">
        <f>IFERROR(IF($G4637="","",VLOOKUP('Dashboard And Emails Automate'!$G4637,Database!$H:$N,7,0)),"")</f>
        <v/>
      </c>
      <c r="N4637" s="55" t="str">
        <f>IFERROR(IF(OR($B4637="",$B4637="(blank)"),"",VLOOKUP($B4637,'Email Marketing Raw Data'!$C:$O,6,0)),"")</f>
        <v/>
      </c>
      <c r="O4637" s="55" t="str">
        <f>IFERROR(IF(OR($B4637="",$B4637="(blank)"),"",VLOOKUP($B4637,'Email Marketing Raw Data'!$C:$O,7,0)),"")</f>
        <v/>
      </c>
      <c r="P4637" s="55" t="str">
        <f>IFERROR(IF(OR($B4637="",$B4637="(blank)"),"",VLOOKUP($B4637,'Email Marketing Raw Data'!$C:$O,8,0)),"")</f>
        <v/>
      </c>
      <c r="Q4637" s="62" t="str">
        <f>IFERROR(IF(OR($B4637="",$B4637="(blank)"),"",VLOOKUP($B4637,'Email Marketing Raw Data'!$C:$O,9,0)),"")</f>
        <v/>
      </c>
    </row>
    <row r="4638" spans="4:17" ht="12.75" customHeight="1" x14ac:dyDescent="0.2">
      <c r="D4638" s="58" t="str">
        <f>IFERROR(IF(F4638&lt;&gt;"pending","",IF(OR($B4638="",$B4638="(blank)"),"",VLOOKUP($B4638,'Email Marketing Raw Data'!$C:$O,10,0))),"")</f>
        <v/>
      </c>
      <c r="E4638" s="59" t="str">
        <f>IFERROR(IF(F4638&lt;&gt;"pending","",IF(OR($B4638="",$B4638="(blank)"),"",VLOOKUP($B4638,'Email Marketing Raw Data'!$C:$O,11,0))),"")</f>
        <v/>
      </c>
      <c r="F4638" s="54" t="str">
        <f>IFERROR(IF(OR($B4638="",$B4638="(blank)"),"",VLOOKUP($B4638,'Email Marketing Raw Data'!$C:$O,13,0)),"")</f>
        <v/>
      </c>
      <c r="G4638" s="55" t="str">
        <f>IFERROR(IF(OR($B4638="",$B4638="(blank)"),"",VLOOKUP($B4638,'Email Marketing Raw Data'!$C:$O,4,0)),"")</f>
        <v/>
      </c>
      <c r="H4638" s="55" t="str">
        <f>IFERROR(IF(OR($B4638="",$B4638="(blank)"),"",VLOOKUP($B4638,'Email Marketing Raw Data'!$C:$O,5,0)),"")</f>
        <v/>
      </c>
      <c r="I4638" s="55" t="str">
        <f>IFERROR(IF($G4638="","",VLOOKUP('Dashboard And Emails Automate'!$G4638,Database!$H:$N,3,0)),"")</f>
        <v/>
      </c>
      <c r="J4638" s="55" t="str">
        <f>IFERROR(IF($G4638="","",VLOOKUP('Dashboard And Emails Automate'!$G4638,Database!$H:$N,4,0)),"")</f>
        <v/>
      </c>
      <c r="K4638" s="55" t="str">
        <f>IFERROR(IF($G4638="","",VLOOKUP('Dashboard And Emails Automate'!$G4638,Database!$H:$N,5,0)),"")</f>
        <v/>
      </c>
      <c r="L4638" s="55" t="str">
        <f>IFERROR(IF($G4638="","",VLOOKUP('Dashboard And Emails Automate'!$G4638,Database!$H:$N,6,0)),"")</f>
        <v/>
      </c>
      <c r="M4638" s="55" t="str">
        <f>IFERROR(IF($G4638="","",VLOOKUP('Dashboard And Emails Automate'!$G4638,Database!$H:$N,7,0)),"")</f>
        <v/>
      </c>
      <c r="N4638" s="55" t="str">
        <f>IFERROR(IF(OR($B4638="",$B4638="(blank)"),"",VLOOKUP($B4638,'Email Marketing Raw Data'!$C:$O,6,0)),"")</f>
        <v/>
      </c>
      <c r="O4638" s="55" t="str">
        <f>IFERROR(IF(OR($B4638="",$B4638="(blank)"),"",VLOOKUP($B4638,'Email Marketing Raw Data'!$C:$O,7,0)),"")</f>
        <v/>
      </c>
      <c r="P4638" s="55" t="str">
        <f>IFERROR(IF(OR($B4638="",$B4638="(blank)"),"",VLOOKUP($B4638,'Email Marketing Raw Data'!$C:$O,8,0)),"")</f>
        <v/>
      </c>
      <c r="Q4638" s="62" t="str">
        <f>IFERROR(IF(OR($B4638="",$B4638="(blank)"),"",VLOOKUP($B4638,'Email Marketing Raw Data'!$C:$O,9,0)),"")</f>
        <v/>
      </c>
    </row>
    <row r="4639" spans="4:17" ht="12.75" customHeight="1" x14ac:dyDescent="0.2">
      <c r="D4639" s="58" t="str">
        <f>IFERROR(IF(F4639&lt;&gt;"pending","",IF(OR($B4639="",$B4639="(blank)"),"",VLOOKUP($B4639,'Email Marketing Raw Data'!$C:$O,10,0))),"")</f>
        <v/>
      </c>
      <c r="E4639" s="59" t="str">
        <f>IFERROR(IF(F4639&lt;&gt;"pending","",IF(OR($B4639="",$B4639="(blank)"),"",VLOOKUP($B4639,'Email Marketing Raw Data'!$C:$O,11,0))),"")</f>
        <v/>
      </c>
      <c r="F4639" s="54" t="str">
        <f>IFERROR(IF(OR($B4639="",$B4639="(blank)"),"",VLOOKUP($B4639,'Email Marketing Raw Data'!$C:$O,13,0)),"")</f>
        <v/>
      </c>
      <c r="G4639" s="55" t="str">
        <f>IFERROR(IF(OR($B4639="",$B4639="(blank)"),"",VLOOKUP($B4639,'Email Marketing Raw Data'!$C:$O,4,0)),"")</f>
        <v/>
      </c>
      <c r="H4639" s="55" t="str">
        <f>IFERROR(IF(OR($B4639="",$B4639="(blank)"),"",VLOOKUP($B4639,'Email Marketing Raw Data'!$C:$O,5,0)),"")</f>
        <v/>
      </c>
      <c r="I4639" s="55" t="str">
        <f>IFERROR(IF($G4639="","",VLOOKUP('Dashboard And Emails Automate'!$G4639,Database!$H:$N,3,0)),"")</f>
        <v/>
      </c>
      <c r="J4639" s="55" t="str">
        <f>IFERROR(IF($G4639="","",VLOOKUP('Dashboard And Emails Automate'!$G4639,Database!$H:$N,4,0)),"")</f>
        <v/>
      </c>
      <c r="K4639" s="55" t="str">
        <f>IFERROR(IF($G4639="","",VLOOKUP('Dashboard And Emails Automate'!$G4639,Database!$H:$N,5,0)),"")</f>
        <v/>
      </c>
      <c r="L4639" s="55" t="str">
        <f>IFERROR(IF($G4639="","",VLOOKUP('Dashboard And Emails Automate'!$G4639,Database!$H:$N,6,0)),"")</f>
        <v/>
      </c>
      <c r="M4639" s="55" t="str">
        <f>IFERROR(IF($G4639="","",VLOOKUP('Dashboard And Emails Automate'!$G4639,Database!$H:$N,7,0)),"")</f>
        <v/>
      </c>
      <c r="N4639" s="55" t="str">
        <f>IFERROR(IF(OR($B4639="",$B4639="(blank)"),"",VLOOKUP($B4639,'Email Marketing Raw Data'!$C:$O,6,0)),"")</f>
        <v/>
      </c>
      <c r="O4639" s="55" t="str">
        <f>IFERROR(IF(OR($B4639="",$B4639="(blank)"),"",VLOOKUP($B4639,'Email Marketing Raw Data'!$C:$O,7,0)),"")</f>
        <v/>
      </c>
      <c r="P4639" s="55" t="str">
        <f>IFERROR(IF(OR($B4639="",$B4639="(blank)"),"",VLOOKUP($B4639,'Email Marketing Raw Data'!$C:$O,8,0)),"")</f>
        <v/>
      </c>
      <c r="Q4639" s="62" t="str">
        <f>IFERROR(IF(OR($B4639="",$B4639="(blank)"),"",VLOOKUP($B4639,'Email Marketing Raw Data'!$C:$O,9,0)),"")</f>
        <v/>
      </c>
    </row>
    <row r="4640" spans="4:17" ht="12.75" customHeight="1" x14ac:dyDescent="0.2">
      <c r="D4640" s="58" t="str">
        <f>IFERROR(IF(F4640&lt;&gt;"pending","",IF(OR($B4640="",$B4640="(blank)"),"",VLOOKUP($B4640,'Email Marketing Raw Data'!$C:$O,10,0))),"")</f>
        <v/>
      </c>
      <c r="E4640" s="59" t="str">
        <f>IFERROR(IF(F4640&lt;&gt;"pending","",IF(OR($B4640="",$B4640="(blank)"),"",VLOOKUP($B4640,'Email Marketing Raw Data'!$C:$O,11,0))),"")</f>
        <v/>
      </c>
      <c r="F4640" s="54" t="str">
        <f>IFERROR(IF(OR($B4640="",$B4640="(blank)"),"",VLOOKUP($B4640,'Email Marketing Raw Data'!$C:$O,13,0)),"")</f>
        <v/>
      </c>
      <c r="G4640" s="55" t="str">
        <f>IFERROR(IF(OR($B4640="",$B4640="(blank)"),"",VLOOKUP($B4640,'Email Marketing Raw Data'!$C:$O,4,0)),"")</f>
        <v/>
      </c>
      <c r="H4640" s="55" t="str">
        <f>IFERROR(IF(OR($B4640="",$B4640="(blank)"),"",VLOOKUP($B4640,'Email Marketing Raw Data'!$C:$O,5,0)),"")</f>
        <v/>
      </c>
      <c r="I4640" s="55" t="str">
        <f>IFERROR(IF($G4640="","",VLOOKUP('Dashboard And Emails Automate'!$G4640,Database!$H:$N,3,0)),"")</f>
        <v/>
      </c>
      <c r="J4640" s="55" t="str">
        <f>IFERROR(IF($G4640="","",VLOOKUP('Dashboard And Emails Automate'!$G4640,Database!$H:$N,4,0)),"")</f>
        <v/>
      </c>
      <c r="K4640" s="55" t="str">
        <f>IFERROR(IF($G4640="","",VLOOKUP('Dashboard And Emails Automate'!$G4640,Database!$H:$N,5,0)),"")</f>
        <v/>
      </c>
      <c r="L4640" s="55" t="str">
        <f>IFERROR(IF($G4640="","",VLOOKUP('Dashboard And Emails Automate'!$G4640,Database!$H:$N,6,0)),"")</f>
        <v/>
      </c>
      <c r="M4640" s="55" t="str">
        <f>IFERROR(IF($G4640="","",VLOOKUP('Dashboard And Emails Automate'!$G4640,Database!$H:$N,7,0)),"")</f>
        <v/>
      </c>
      <c r="N4640" s="55" t="str">
        <f>IFERROR(IF(OR($B4640="",$B4640="(blank)"),"",VLOOKUP($B4640,'Email Marketing Raw Data'!$C:$O,6,0)),"")</f>
        <v/>
      </c>
      <c r="O4640" s="55" t="str">
        <f>IFERROR(IF(OR($B4640="",$B4640="(blank)"),"",VLOOKUP($B4640,'Email Marketing Raw Data'!$C:$O,7,0)),"")</f>
        <v/>
      </c>
      <c r="P4640" s="55" t="str">
        <f>IFERROR(IF(OR($B4640="",$B4640="(blank)"),"",VLOOKUP($B4640,'Email Marketing Raw Data'!$C:$O,8,0)),"")</f>
        <v/>
      </c>
      <c r="Q4640" s="62" t="str">
        <f>IFERROR(IF(OR($B4640="",$B4640="(blank)"),"",VLOOKUP($B4640,'Email Marketing Raw Data'!$C:$O,9,0)),"")</f>
        <v/>
      </c>
    </row>
    <row r="4641" spans="4:17" ht="12.75" customHeight="1" x14ac:dyDescent="0.2">
      <c r="D4641" s="58" t="str">
        <f>IFERROR(IF(F4641&lt;&gt;"pending","",IF(OR($B4641="",$B4641="(blank)"),"",VLOOKUP($B4641,'Email Marketing Raw Data'!$C:$O,10,0))),"")</f>
        <v/>
      </c>
      <c r="E4641" s="59" t="str">
        <f>IFERROR(IF(F4641&lt;&gt;"pending","",IF(OR($B4641="",$B4641="(blank)"),"",VLOOKUP($B4641,'Email Marketing Raw Data'!$C:$O,11,0))),"")</f>
        <v/>
      </c>
      <c r="F4641" s="54" t="str">
        <f>IFERROR(IF(OR($B4641="",$B4641="(blank)"),"",VLOOKUP($B4641,'Email Marketing Raw Data'!$C:$O,13,0)),"")</f>
        <v/>
      </c>
      <c r="G4641" s="55" t="str">
        <f>IFERROR(IF(OR($B4641="",$B4641="(blank)"),"",VLOOKUP($B4641,'Email Marketing Raw Data'!$C:$O,4,0)),"")</f>
        <v/>
      </c>
      <c r="H4641" s="55" t="str">
        <f>IFERROR(IF(OR($B4641="",$B4641="(blank)"),"",VLOOKUP($B4641,'Email Marketing Raw Data'!$C:$O,5,0)),"")</f>
        <v/>
      </c>
      <c r="I4641" s="55" t="str">
        <f>IFERROR(IF($G4641="","",VLOOKUP('Dashboard And Emails Automate'!$G4641,Database!$H:$N,3,0)),"")</f>
        <v/>
      </c>
      <c r="J4641" s="55" t="str">
        <f>IFERROR(IF($G4641="","",VLOOKUP('Dashboard And Emails Automate'!$G4641,Database!$H:$N,4,0)),"")</f>
        <v/>
      </c>
      <c r="K4641" s="55" t="str">
        <f>IFERROR(IF($G4641="","",VLOOKUP('Dashboard And Emails Automate'!$G4641,Database!$H:$N,5,0)),"")</f>
        <v/>
      </c>
      <c r="L4641" s="55" t="str">
        <f>IFERROR(IF($G4641="","",VLOOKUP('Dashboard And Emails Automate'!$G4641,Database!$H:$N,6,0)),"")</f>
        <v/>
      </c>
      <c r="M4641" s="55" t="str">
        <f>IFERROR(IF($G4641="","",VLOOKUP('Dashboard And Emails Automate'!$G4641,Database!$H:$N,7,0)),"")</f>
        <v/>
      </c>
      <c r="N4641" s="55" t="str">
        <f>IFERROR(IF(OR($B4641="",$B4641="(blank)"),"",VLOOKUP($B4641,'Email Marketing Raw Data'!$C:$O,6,0)),"")</f>
        <v/>
      </c>
      <c r="O4641" s="55" t="str">
        <f>IFERROR(IF(OR($B4641="",$B4641="(blank)"),"",VLOOKUP($B4641,'Email Marketing Raw Data'!$C:$O,7,0)),"")</f>
        <v/>
      </c>
      <c r="P4641" s="55" t="str">
        <f>IFERROR(IF(OR($B4641="",$B4641="(blank)"),"",VLOOKUP($B4641,'Email Marketing Raw Data'!$C:$O,8,0)),"")</f>
        <v/>
      </c>
      <c r="Q4641" s="62" t="str">
        <f>IFERROR(IF(OR($B4641="",$B4641="(blank)"),"",VLOOKUP($B4641,'Email Marketing Raw Data'!$C:$O,9,0)),"")</f>
        <v/>
      </c>
    </row>
    <row r="4642" spans="4:17" ht="12.75" customHeight="1" x14ac:dyDescent="0.2">
      <c r="D4642" s="58" t="str">
        <f>IFERROR(IF(F4642&lt;&gt;"pending","",IF(OR($B4642="",$B4642="(blank)"),"",VLOOKUP($B4642,'Email Marketing Raw Data'!$C:$O,10,0))),"")</f>
        <v/>
      </c>
      <c r="E4642" s="59" t="str">
        <f>IFERROR(IF(F4642&lt;&gt;"pending","",IF(OR($B4642="",$B4642="(blank)"),"",VLOOKUP($B4642,'Email Marketing Raw Data'!$C:$O,11,0))),"")</f>
        <v/>
      </c>
      <c r="F4642" s="54" t="str">
        <f>IFERROR(IF(OR($B4642="",$B4642="(blank)"),"",VLOOKUP($B4642,'Email Marketing Raw Data'!$C:$O,13,0)),"")</f>
        <v/>
      </c>
      <c r="G4642" s="55" t="str">
        <f>IFERROR(IF(OR($B4642="",$B4642="(blank)"),"",VLOOKUP($B4642,'Email Marketing Raw Data'!$C:$O,4,0)),"")</f>
        <v/>
      </c>
      <c r="H4642" s="55" t="str">
        <f>IFERROR(IF(OR($B4642="",$B4642="(blank)"),"",VLOOKUP($B4642,'Email Marketing Raw Data'!$C:$O,5,0)),"")</f>
        <v/>
      </c>
      <c r="I4642" s="55" t="str">
        <f>IFERROR(IF($G4642="","",VLOOKUP('Dashboard And Emails Automate'!$G4642,Database!$H:$N,3,0)),"")</f>
        <v/>
      </c>
      <c r="J4642" s="55" t="str">
        <f>IFERROR(IF($G4642="","",VLOOKUP('Dashboard And Emails Automate'!$G4642,Database!$H:$N,4,0)),"")</f>
        <v/>
      </c>
      <c r="K4642" s="55" t="str">
        <f>IFERROR(IF($G4642="","",VLOOKUP('Dashboard And Emails Automate'!$G4642,Database!$H:$N,5,0)),"")</f>
        <v/>
      </c>
      <c r="L4642" s="55" t="str">
        <f>IFERROR(IF($G4642="","",VLOOKUP('Dashboard And Emails Automate'!$G4642,Database!$H:$N,6,0)),"")</f>
        <v/>
      </c>
      <c r="M4642" s="55" t="str">
        <f>IFERROR(IF($G4642="","",VLOOKUP('Dashboard And Emails Automate'!$G4642,Database!$H:$N,7,0)),"")</f>
        <v/>
      </c>
      <c r="N4642" s="55" t="str">
        <f>IFERROR(IF(OR($B4642="",$B4642="(blank)"),"",VLOOKUP($B4642,'Email Marketing Raw Data'!$C:$O,6,0)),"")</f>
        <v/>
      </c>
      <c r="O4642" s="55" t="str">
        <f>IFERROR(IF(OR($B4642="",$B4642="(blank)"),"",VLOOKUP($B4642,'Email Marketing Raw Data'!$C:$O,7,0)),"")</f>
        <v/>
      </c>
      <c r="P4642" s="55" t="str">
        <f>IFERROR(IF(OR($B4642="",$B4642="(blank)"),"",VLOOKUP($B4642,'Email Marketing Raw Data'!$C:$O,8,0)),"")</f>
        <v/>
      </c>
      <c r="Q4642" s="62" t="str">
        <f>IFERROR(IF(OR($B4642="",$B4642="(blank)"),"",VLOOKUP($B4642,'Email Marketing Raw Data'!$C:$O,9,0)),"")</f>
        <v/>
      </c>
    </row>
    <row r="4643" spans="4:17" ht="12.75" customHeight="1" x14ac:dyDescent="0.2">
      <c r="D4643" s="58" t="str">
        <f>IFERROR(IF(F4643&lt;&gt;"pending","",IF(OR($B4643="",$B4643="(blank)"),"",VLOOKUP($B4643,'Email Marketing Raw Data'!$C:$O,10,0))),"")</f>
        <v/>
      </c>
      <c r="E4643" s="59" t="str">
        <f>IFERROR(IF(F4643&lt;&gt;"pending","",IF(OR($B4643="",$B4643="(blank)"),"",VLOOKUP($B4643,'Email Marketing Raw Data'!$C:$O,11,0))),"")</f>
        <v/>
      </c>
      <c r="F4643" s="54" t="str">
        <f>IFERROR(IF(OR($B4643="",$B4643="(blank)"),"",VLOOKUP($B4643,'Email Marketing Raw Data'!$C:$O,13,0)),"")</f>
        <v/>
      </c>
      <c r="G4643" s="55" t="str">
        <f>IFERROR(IF(OR($B4643="",$B4643="(blank)"),"",VLOOKUP($B4643,'Email Marketing Raw Data'!$C:$O,4,0)),"")</f>
        <v/>
      </c>
      <c r="H4643" s="55" t="str">
        <f>IFERROR(IF(OR($B4643="",$B4643="(blank)"),"",VLOOKUP($B4643,'Email Marketing Raw Data'!$C:$O,5,0)),"")</f>
        <v/>
      </c>
      <c r="I4643" s="55" t="str">
        <f>IFERROR(IF($G4643="","",VLOOKUP('Dashboard And Emails Automate'!$G4643,Database!$H:$N,3,0)),"")</f>
        <v/>
      </c>
      <c r="J4643" s="55" t="str">
        <f>IFERROR(IF($G4643="","",VLOOKUP('Dashboard And Emails Automate'!$G4643,Database!$H:$N,4,0)),"")</f>
        <v/>
      </c>
      <c r="K4643" s="55" t="str">
        <f>IFERROR(IF($G4643="","",VLOOKUP('Dashboard And Emails Automate'!$G4643,Database!$H:$N,5,0)),"")</f>
        <v/>
      </c>
      <c r="L4643" s="55" t="str">
        <f>IFERROR(IF($G4643="","",VLOOKUP('Dashboard And Emails Automate'!$G4643,Database!$H:$N,6,0)),"")</f>
        <v/>
      </c>
      <c r="M4643" s="55" t="str">
        <f>IFERROR(IF($G4643="","",VLOOKUP('Dashboard And Emails Automate'!$G4643,Database!$H:$N,7,0)),"")</f>
        <v/>
      </c>
      <c r="N4643" s="55" t="str">
        <f>IFERROR(IF(OR($B4643="",$B4643="(blank)"),"",VLOOKUP($B4643,'Email Marketing Raw Data'!$C:$O,6,0)),"")</f>
        <v/>
      </c>
      <c r="O4643" s="55" t="str">
        <f>IFERROR(IF(OR($B4643="",$B4643="(blank)"),"",VLOOKUP($B4643,'Email Marketing Raw Data'!$C:$O,7,0)),"")</f>
        <v/>
      </c>
      <c r="P4643" s="55" t="str">
        <f>IFERROR(IF(OR($B4643="",$B4643="(blank)"),"",VLOOKUP($B4643,'Email Marketing Raw Data'!$C:$O,8,0)),"")</f>
        <v/>
      </c>
      <c r="Q4643" s="62" t="str">
        <f>IFERROR(IF(OR($B4643="",$B4643="(blank)"),"",VLOOKUP($B4643,'Email Marketing Raw Data'!$C:$O,9,0)),"")</f>
        <v/>
      </c>
    </row>
    <row r="4644" spans="4:17" ht="12.75" customHeight="1" x14ac:dyDescent="0.2">
      <c r="D4644" s="58" t="str">
        <f>IFERROR(IF(F4644&lt;&gt;"pending","",IF(OR($B4644="",$B4644="(blank)"),"",VLOOKUP($B4644,'Email Marketing Raw Data'!$C:$O,10,0))),"")</f>
        <v/>
      </c>
      <c r="E4644" s="59" t="str">
        <f>IFERROR(IF(F4644&lt;&gt;"pending","",IF(OR($B4644="",$B4644="(blank)"),"",VLOOKUP($B4644,'Email Marketing Raw Data'!$C:$O,11,0))),"")</f>
        <v/>
      </c>
      <c r="F4644" s="54" t="str">
        <f>IFERROR(IF(OR($B4644="",$B4644="(blank)"),"",VLOOKUP($B4644,'Email Marketing Raw Data'!$C:$O,13,0)),"")</f>
        <v/>
      </c>
      <c r="G4644" s="55" t="str">
        <f>IFERROR(IF(OR($B4644="",$B4644="(blank)"),"",VLOOKUP($B4644,'Email Marketing Raw Data'!$C:$O,4,0)),"")</f>
        <v/>
      </c>
      <c r="H4644" s="55" t="str">
        <f>IFERROR(IF(OR($B4644="",$B4644="(blank)"),"",VLOOKUP($B4644,'Email Marketing Raw Data'!$C:$O,5,0)),"")</f>
        <v/>
      </c>
      <c r="I4644" s="55" t="str">
        <f>IFERROR(IF($G4644="","",VLOOKUP('Dashboard And Emails Automate'!$G4644,Database!$H:$N,3,0)),"")</f>
        <v/>
      </c>
      <c r="J4644" s="55" t="str">
        <f>IFERROR(IF($G4644="","",VLOOKUP('Dashboard And Emails Automate'!$G4644,Database!$H:$N,4,0)),"")</f>
        <v/>
      </c>
      <c r="K4644" s="55" t="str">
        <f>IFERROR(IF($G4644="","",VLOOKUP('Dashboard And Emails Automate'!$G4644,Database!$H:$N,5,0)),"")</f>
        <v/>
      </c>
      <c r="L4644" s="55" t="str">
        <f>IFERROR(IF($G4644="","",VLOOKUP('Dashboard And Emails Automate'!$G4644,Database!$H:$N,6,0)),"")</f>
        <v/>
      </c>
      <c r="M4644" s="55" t="str">
        <f>IFERROR(IF($G4644="","",VLOOKUP('Dashboard And Emails Automate'!$G4644,Database!$H:$N,7,0)),"")</f>
        <v/>
      </c>
      <c r="N4644" s="55" t="str">
        <f>IFERROR(IF(OR($B4644="",$B4644="(blank)"),"",VLOOKUP($B4644,'Email Marketing Raw Data'!$C:$O,6,0)),"")</f>
        <v/>
      </c>
      <c r="O4644" s="55" t="str">
        <f>IFERROR(IF(OR($B4644="",$B4644="(blank)"),"",VLOOKUP($B4644,'Email Marketing Raw Data'!$C:$O,7,0)),"")</f>
        <v/>
      </c>
      <c r="P4644" s="55" t="str">
        <f>IFERROR(IF(OR($B4644="",$B4644="(blank)"),"",VLOOKUP($B4644,'Email Marketing Raw Data'!$C:$O,8,0)),"")</f>
        <v/>
      </c>
      <c r="Q4644" s="62" t="str">
        <f>IFERROR(IF(OR($B4644="",$B4644="(blank)"),"",VLOOKUP($B4644,'Email Marketing Raw Data'!$C:$O,9,0)),"")</f>
        <v/>
      </c>
    </row>
    <row r="4645" spans="4:17" ht="12.75" customHeight="1" x14ac:dyDescent="0.2">
      <c r="D4645" s="58" t="str">
        <f>IFERROR(IF(F4645&lt;&gt;"pending","",IF(OR($B4645="",$B4645="(blank)"),"",VLOOKUP($B4645,'Email Marketing Raw Data'!$C:$O,10,0))),"")</f>
        <v/>
      </c>
      <c r="E4645" s="59" t="str">
        <f>IFERROR(IF(F4645&lt;&gt;"pending","",IF(OR($B4645="",$B4645="(blank)"),"",VLOOKUP($B4645,'Email Marketing Raw Data'!$C:$O,11,0))),"")</f>
        <v/>
      </c>
      <c r="F4645" s="54" t="str">
        <f>IFERROR(IF(OR($B4645="",$B4645="(blank)"),"",VLOOKUP($B4645,'Email Marketing Raw Data'!$C:$O,13,0)),"")</f>
        <v/>
      </c>
      <c r="G4645" s="55" t="str">
        <f>IFERROR(IF(OR($B4645="",$B4645="(blank)"),"",VLOOKUP($B4645,'Email Marketing Raw Data'!$C:$O,4,0)),"")</f>
        <v/>
      </c>
      <c r="H4645" s="55" t="str">
        <f>IFERROR(IF(OR($B4645="",$B4645="(blank)"),"",VLOOKUP($B4645,'Email Marketing Raw Data'!$C:$O,5,0)),"")</f>
        <v/>
      </c>
      <c r="I4645" s="55" t="str">
        <f>IFERROR(IF($G4645="","",VLOOKUP('Dashboard And Emails Automate'!$G4645,Database!$H:$N,3,0)),"")</f>
        <v/>
      </c>
      <c r="J4645" s="55" t="str">
        <f>IFERROR(IF($G4645="","",VLOOKUP('Dashboard And Emails Automate'!$G4645,Database!$H:$N,4,0)),"")</f>
        <v/>
      </c>
      <c r="K4645" s="55" t="str">
        <f>IFERROR(IF($G4645="","",VLOOKUP('Dashboard And Emails Automate'!$G4645,Database!$H:$N,5,0)),"")</f>
        <v/>
      </c>
      <c r="L4645" s="55" t="str">
        <f>IFERROR(IF($G4645="","",VLOOKUP('Dashboard And Emails Automate'!$G4645,Database!$H:$N,6,0)),"")</f>
        <v/>
      </c>
      <c r="M4645" s="55" t="str">
        <f>IFERROR(IF($G4645="","",VLOOKUP('Dashboard And Emails Automate'!$G4645,Database!$H:$N,7,0)),"")</f>
        <v/>
      </c>
      <c r="N4645" s="55" t="str">
        <f>IFERROR(IF(OR($B4645="",$B4645="(blank)"),"",VLOOKUP($B4645,'Email Marketing Raw Data'!$C:$O,6,0)),"")</f>
        <v/>
      </c>
      <c r="O4645" s="55" t="str">
        <f>IFERROR(IF(OR($B4645="",$B4645="(blank)"),"",VLOOKUP($B4645,'Email Marketing Raw Data'!$C:$O,7,0)),"")</f>
        <v/>
      </c>
      <c r="P4645" s="55" t="str">
        <f>IFERROR(IF(OR($B4645="",$B4645="(blank)"),"",VLOOKUP($B4645,'Email Marketing Raw Data'!$C:$O,8,0)),"")</f>
        <v/>
      </c>
      <c r="Q4645" s="62" t="str">
        <f>IFERROR(IF(OR($B4645="",$B4645="(blank)"),"",VLOOKUP($B4645,'Email Marketing Raw Data'!$C:$O,9,0)),"")</f>
        <v/>
      </c>
    </row>
    <row r="4646" spans="4:17" ht="12.75" customHeight="1" x14ac:dyDescent="0.2">
      <c r="D4646" s="58" t="str">
        <f>IFERROR(IF(F4646&lt;&gt;"pending","",IF(OR($B4646="",$B4646="(blank)"),"",VLOOKUP($B4646,'Email Marketing Raw Data'!$C:$O,10,0))),"")</f>
        <v/>
      </c>
      <c r="E4646" s="59" t="str">
        <f>IFERROR(IF(F4646&lt;&gt;"pending","",IF(OR($B4646="",$B4646="(blank)"),"",VLOOKUP($B4646,'Email Marketing Raw Data'!$C:$O,11,0))),"")</f>
        <v/>
      </c>
      <c r="F4646" s="54" t="str">
        <f>IFERROR(IF(OR($B4646="",$B4646="(blank)"),"",VLOOKUP($B4646,'Email Marketing Raw Data'!$C:$O,13,0)),"")</f>
        <v/>
      </c>
      <c r="G4646" s="55" t="str">
        <f>IFERROR(IF(OR($B4646="",$B4646="(blank)"),"",VLOOKUP($B4646,'Email Marketing Raw Data'!$C:$O,4,0)),"")</f>
        <v/>
      </c>
      <c r="H4646" s="55" t="str">
        <f>IFERROR(IF(OR($B4646="",$B4646="(blank)"),"",VLOOKUP($B4646,'Email Marketing Raw Data'!$C:$O,5,0)),"")</f>
        <v/>
      </c>
      <c r="I4646" s="55" t="str">
        <f>IFERROR(IF($G4646="","",VLOOKUP('Dashboard And Emails Automate'!$G4646,Database!$H:$N,3,0)),"")</f>
        <v/>
      </c>
      <c r="J4646" s="55" t="str">
        <f>IFERROR(IF($G4646="","",VLOOKUP('Dashboard And Emails Automate'!$G4646,Database!$H:$N,4,0)),"")</f>
        <v/>
      </c>
      <c r="K4646" s="55" t="str">
        <f>IFERROR(IF($G4646="","",VLOOKUP('Dashboard And Emails Automate'!$G4646,Database!$H:$N,5,0)),"")</f>
        <v/>
      </c>
      <c r="L4646" s="55" t="str">
        <f>IFERROR(IF($G4646="","",VLOOKUP('Dashboard And Emails Automate'!$G4646,Database!$H:$N,6,0)),"")</f>
        <v/>
      </c>
      <c r="M4646" s="55" t="str">
        <f>IFERROR(IF($G4646="","",VLOOKUP('Dashboard And Emails Automate'!$G4646,Database!$H:$N,7,0)),"")</f>
        <v/>
      </c>
      <c r="N4646" s="55" t="str">
        <f>IFERROR(IF(OR($B4646="",$B4646="(blank)"),"",VLOOKUP($B4646,'Email Marketing Raw Data'!$C:$O,6,0)),"")</f>
        <v/>
      </c>
      <c r="O4646" s="55" t="str">
        <f>IFERROR(IF(OR($B4646="",$B4646="(blank)"),"",VLOOKUP($B4646,'Email Marketing Raw Data'!$C:$O,7,0)),"")</f>
        <v/>
      </c>
      <c r="P4646" s="55" t="str">
        <f>IFERROR(IF(OR($B4646="",$B4646="(blank)"),"",VLOOKUP($B4646,'Email Marketing Raw Data'!$C:$O,8,0)),"")</f>
        <v/>
      </c>
      <c r="Q4646" s="62" t="str">
        <f>IFERROR(IF(OR($B4646="",$B4646="(blank)"),"",VLOOKUP($B4646,'Email Marketing Raw Data'!$C:$O,9,0)),"")</f>
        <v/>
      </c>
    </row>
    <row r="4647" spans="4:17" ht="12.75" customHeight="1" x14ac:dyDescent="0.2">
      <c r="D4647" s="58" t="str">
        <f>IFERROR(IF(F4647&lt;&gt;"pending","",IF(OR($B4647="",$B4647="(blank)"),"",VLOOKUP($B4647,'Email Marketing Raw Data'!$C:$O,10,0))),"")</f>
        <v/>
      </c>
      <c r="E4647" s="59" t="str">
        <f>IFERROR(IF(F4647&lt;&gt;"pending","",IF(OR($B4647="",$B4647="(blank)"),"",VLOOKUP($B4647,'Email Marketing Raw Data'!$C:$O,11,0))),"")</f>
        <v/>
      </c>
      <c r="F4647" s="54" t="str">
        <f>IFERROR(IF(OR($B4647="",$B4647="(blank)"),"",VLOOKUP($B4647,'Email Marketing Raw Data'!$C:$O,13,0)),"")</f>
        <v/>
      </c>
      <c r="G4647" s="55" t="str">
        <f>IFERROR(IF(OR($B4647="",$B4647="(blank)"),"",VLOOKUP($B4647,'Email Marketing Raw Data'!$C:$O,4,0)),"")</f>
        <v/>
      </c>
      <c r="H4647" s="55" t="str">
        <f>IFERROR(IF(OR($B4647="",$B4647="(blank)"),"",VLOOKUP($B4647,'Email Marketing Raw Data'!$C:$O,5,0)),"")</f>
        <v/>
      </c>
      <c r="I4647" s="55" t="str">
        <f>IFERROR(IF($G4647="","",VLOOKUP('Dashboard And Emails Automate'!$G4647,Database!$H:$N,3,0)),"")</f>
        <v/>
      </c>
      <c r="J4647" s="55" t="str">
        <f>IFERROR(IF($G4647="","",VLOOKUP('Dashboard And Emails Automate'!$G4647,Database!$H:$N,4,0)),"")</f>
        <v/>
      </c>
      <c r="K4647" s="55" t="str">
        <f>IFERROR(IF($G4647="","",VLOOKUP('Dashboard And Emails Automate'!$G4647,Database!$H:$N,5,0)),"")</f>
        <v/>
      </c>
      <c r="L4647" s="55" t="str">
        <f>IFERROR(IF($G4647="","",VLOOKUP('Dashboard And Emails Automate'!$G4647,Database!$H:$N,6,0)),"")</f>
        <v/>
      </c>
      <c r="M4647" s="55" t="str">
        <f>IFERROR(IF($G4647="","",VLOOKUP('Dashboard And Emails Automate'!$G4647,Database!$H:$N,7,0)),"")</f>
        <v/>
      </c>
      <c r="N4647" s="55" t="str">
        <f>IFERROR(IF(OR($B4647="",$B4647="(blank)"),"",VLOOKUP($B4647,'Email Marketing Raw Data'!$C:$O,6,0)),"")</f>
        <v/>
      </c>
      <c r="O4647" s="55" t="str">
        <f>IFERROR(IF(OR($B4647="",$B4647="(blank)"),"",VLOOKUP($B4647,'Email Marketing Raw Data'!$C:$O,7,0)),"")</f>
        <v/>
      </c>
      <c r="P4647" s="55" t="str">
        <f>IFERROR(IF(OR($B4647="",$B4647="(blank)"),"",VLOOKUP($B4647,'Email Marketing Raw Data'!$C:$O,8,0)),"")</f>
        <v/>
      </c>
      <c r="Q4647" s="62" t="str">
        <f>IFERROR(IF(OR($B4647="",$B4647="(blank)"),"",VLOOKUP($B4647,'Email Marketing Raw Data'!$C:$O,9,0)),"")</f>
        <v/>
      </c>
    </row>
    <row r="4648" spans="4:17" ht="12.75" customHeight="1" x14ac:dyDescent="0.2">
      <c r="D4648" s="58" t="str">
        <f>IFERROR(IF(F4648&lt;&gt;"pending","",IF(OR($B4648="",$B4648="(blank)"),"",VLOOKUP($B4648,'Email Marketing Raw Data'!$C:$O,10,0))),"")</f>
        <v/>
      </c>
      <c r="E4648" s="59" t="str">
        <f>IFERROR(IF(F4648&lt;&gt;"pending","",IF(OR($B4648="",$B4648="(blank)"),"",VLOOKUP($B4648,'Email Marketing Raw Data'!$C:$O,11,0))),"")</f>
        <v/>
      </c>
      <c r="F4648" s="54" t="str">
        <f>IFERROR(IF(OR($B4648="",$B4648="(blank)"),"",VLOOKUP($B4648,'Email Marketing Raw Data'!$C:$O,13,0)),"")</f>
        <v/>
      </c>
      <c r="G4648" s="55" t="str">
        <f>IFERROR(IF(OR($B4648="",$B4648="(blank)"),"",VLOOKUP($B4648,'Email Marketing Raw Data'!$C:$O,4,0)),"")</f>
        <v/>
      </c>
      <c r="H4648" s="55" t="str">
        <f>IFERROR(IF(OR($B4648="",$B4648="(blank)"),"",VLOOKUP($B4648,'Email Marketing Raw Data'!$C:$O,5,0)),"")</f>
        <v/>
      </c>
      <c r="I4648" s="55" t="str">
        <f>IFERROR(IF($G4648="","",VLOOKUP('Dashboard And Emails Automate'!$G4648,Database!$H:$N,3,0)),"")</f>
        <v/>
      </c>
      <c r="J4648" s="55" t="str">
        <f>IFERROR(IF($G4648="","",VLOOKUP('Dashboard And Emails Automate'!$G4648,Database!$H:$N,4,0)),"")</f>
        <v/>
      </c>
      <c r="K4648" s="55" t="str">
        <f>IFERROR(IF($G4648="","",VLOOKUP('Dashboard And Emails Automate'!$G4648,Database!$H:$N,5,0)),"")</f>
        <v/>
      </c>
      <c r="L4648" s="55" t="str">
        <f>IFERROR(IF($G4648="","",VLOOKUP('Dashboard And Emails Automate'!$G4648,Database!$H:$N,6,0)),"")</f>
        <v/>
      </c>
      <c r="M4648" s="55" t="str">
        <f>IFERROR(IF($G4648="","",VLOOKUP('Dashboard And Emails Automate'!$G4648,Database!$H:$N,7,0)),"")</f>
        <v/>
      </c>
      <c r="N4648" s="55" t="str">
        <f>IFERROR(IF(OR($B4648="",$B4648="(blank)"),"",VLOOKUP($B4648,'Email Marketing Raw Data'!$C:$O,6,0)),"")</f>
        <v/>
      </c>
      <c r="O4648" s="55" t="str">
        <f>IFERROR(IF(OR($B4648="",$B4648="(blank)"),"",VLOOKUP($B4648,'Email Marketing Raw Data'!$C:$O,7,0)),"")</f>
        <v/>
      </c>
      <c r="P4648" s="55" t="str">
        <f>IFERROR(IF(OR($B4648="",$B4648="(blank)"),"",VLOOKUP($B4648,'Email Marketing Raw Data'!$C:$O,8,0)),"")</f>
        <v/>
      </c>
      <c r="Q4648" s="62" t="str">
        <f>IFERROR(IF(OR($B4648="",$B4648="(blank)"),"",VLOOKUP($B4648,'Email Marketing Raw Data'!$C:$O,9,0)),"")</f>
        <v/>
      </c>
    </row>
    <row r="4649" spans="4:17" ht="12.75" customHeight="1" x14ac:dyDescent="0.2">
      <c r="D4649" s="58" t="str">
        <f>IFERROR(IF(F4649&lt;&gt;"pending","",IF(OR($B4649="",$B4649="(blank)"),"",VLOOKUP($B4649,'Email Marketing Raw Data'!$C:$O,10,0))),"")</f>
        <v/>
      </c>
      <c r="E4649" s="59" t="str">
        <f>IFERROR(IF(F4649&lt;&gt;"pending","",IF(OR($B4649="",$B4649="(blank)"),"",VLOOKUP($B4649,'Email Marketing Raw Data'!$C:$O,11,0))),"")</f>
        <v/>
      </c>
      <c r="F4649" s="54" t="str">
        <f>IFERROR(IF(OR($B4649="",$B4649="(blank)"),"",VLOOKUP($B4649,'Email Marketing Raw Data'!$C:$O,13,0)),"")</f>
        <v/>
      </c>
      <c r="G4649" s="55" t="str">
        <f>IFERROR(IF(OR($B4649="",$B4649="(blank)"),"",VLOOKUP($B4649,'Email Marketing Raw Data'!$C:$O,4,0)),"")</f>
        <v/>
      </c>
      <c r="H4649" s="55" t="str">
        <f>IFERROR(IF(OR($B4649="",$B4649="(blank)"),"",VLOOKUP($B4649,'Email Marketing Raw Data'!$C:$O,5,0)),"")</f>
        <v/>
      </c>
      <c r="I4649" s="55" t="str">
        <f>IFERROR(IF($G4649="","",VLOOKUP('Dashboard And Emails Automate'!$G4649,Database!$H:$N,3,0)),"")</f>
        <v/>
      </c>
      <c r="J4649" s="55" t="str">
        <f>IFERROR(IF($G4649="","",VLOOKUP('Dashboard And Emails Automate'!$G4649,Database!$H:$N,4,0)),"")</f>
        <v/>
      </c>
      <c r="K4649" s="55" t="str">
        <f>IFERROR(IF($G4649="","",VLOOKUP('Dashboard And Emails Automate'!$G4649,Database!$H:$N,5,0)),"")</f>
        <v/>
      </c>
      <c r="L4649" s="55" t="str">
        <f>IFERROR(IF($G4649="","",VLOOKUP('Dashboard And Emails Automate'!$G4649,Database!$H:$N,6,0)),"")</f>
        <v/>
      </c>
      <c r="M4649" s="55" t="str">
        <f>IFERROR(IF($G4649="","",VLOOKUP('Dashboard And Emails Automate'!$G4649,Database!$H:$N,7,0)),"")</f>
        <v/>
      </c>
      <c r="N4649" s="55" t="str">
        <f>IFERROR(IF(OR($B4649="",$B4649="(blank)"),"",VLOOKUP($B4649,'Email Marketing Raw Data'!$C:$O,6,0)),"")</f>
        <v/>
      </c>
      <c r="O4649" s="55" t="str">
        <f>IFERROR(IF(OR($B4649="",$B4649="(blank)"),"",VLOOKUP($B4649,'Email Marketing Raw Data'!$C:$O,7,0)),"")</f>
        <v/>
      </c>
      <c r="P4649" s="55" t="str">
        <f>IFERROR(IF(OR($B4649="",$B4649="(blank)"),"",VLOOKUP($B4649,'Email Marketing Raw Data'!$C:$O,8,0)),"")</f>
        <v/>
      </c>
      <c r="Q4649" s="62" t="str">
        <f>IFERROR(IF(OR($B4649="",$B4649="(blank)"),"",VLOOKUP($B4649,'Email Marketing Raw Data'!$C:$O,9,0)),"")</f>
        <v/>
      </c>
    </row>
    <row r="4650" spans="4:17" ht="12.75" customHeight="1" x14ac:dyDescent="0.2">
      <c r="D4650" s="58" t="str">
        <f>IFERROR(IF(F4650&lt;&gt;"pending","",IF(OR($B4650="",$B4650="(blank)"),"",VLOOKUP($B4650,'Email Marketing Raw Data'!$C:$O,10,0))),"")</f>
        <v/>
      </c>
      <c r="E4650" s="59" t="str">
        <f>IFERROR(IF(F4650&lt;&gt;"pending","",IF(OR($B4650="",$B4650="(blank)"),"",VLOOKUP($B4650,'Email Marketing Raw Data'!$C:$O,11,0))),"")</f>
        <v/>
      </c>
      <c r="F4650" s="54" t="str">
        <f>IFERROR(IF(OR($B4650="",$B4650="(blank)"),"",VLOOKUP($B4650,'Email Marketing Raw Data'!$C:$O,13,0)),"")</f>
        <v/>
      </c>
      <c r="G4650" s="55" t="str">
        <f>IFERROR(IF(OR($B4650="",$B4650="(blank)"),"",VLOOKUP($B4650,'Email Marketing Raw Data'!$C:$O,4,0)),"")</f>
        <v/>
      </c>
      <c r="H4650" s="55" t="str">
        <f>IFERROR(IF(OR($B4650="",$B4650="(blank)"),"",VLOOKUP($B4650,'Email Marketing Raw Data'!$C:$O,5,0)),"")</f>
        <v/>
      </c>
      <c r="I4650" s="55" t="str">
        <f>IFERROR(IF($G4650="","",VLOOKUP('Dashboard And Emails Automate'!$G4650,Database!$H:$N,3,0)),"")</f>
        <v/>
      </c>
      <c r="J4650" s="55" t="str">
        <f>IFERROR(IF($G4650="","",VLOOKUP('Dashboard And Emails Automate'!$G4650,Database!$H:$N,4,0)),"")</f>
        <v/>
      </c>
      <c r="K4650" s="55" t="str">
        <f>IFERROR(IF($G4650="","",VLOOKUP('Dashboard And Emails Automate'!$G4650,Database!$H:$N,5,0)),"")</f>
        <v/>
      </c>
      <c r="L4650" s="55" t="str">
        <f>IFERROR(IF($G4650="","",VLOOKUP('Dashboard And Emails Automate'!$G4650,Database!$H:$N,6,0)),"")</f>
        <v/>
      </c>
      <c r="M4650" s="55" t="str">
        <f>IFERROR(IF($G4650="","",VLOOKUP('Dashboard And Emails Automate'!$G4650,Database!$H:$N,7,0)),"")</f>
        <v/>
      </c>
      <c r="N4650" s="55" t="str">
        <f>IFERROR(IF(OR($B4650="",$B4650="(blank)"),"",VLOOKUP($B4650,'Email Marketing Raw Data'!$C:$O,6,0)),"")</f>
        <v/>
      </c>
      <c r="O4650" s="55" t="str">
        <f>IFERROR(IF(OR($B4650="",$B4650="(blank)"),"",VLOOKUP($B4650,'Email Marketing Raw Data'!$C:$O,7,0)),"")</f>
        <v/>
      </c>
      <c r="P4650" s="55" t="str">
        <f>IFERROR(IF(OR($B4650="",$B4650="(blank)"),"",VLOOKUP($B4650,'Email Marketing Raw Data'!$C:$O,8,0)),"")</f>
        <v/>
      </c>
      <c r="Q4650" s="62" t="str">
        <f>IFERROR(IF(OR($B4650="",$B4650="(blank)"),"",VLOOKUP($B4650,'Email Marketing Raw Data'!$C:$O,9,0)),"")</f>
        <v/>
      </c>
    </row>
    <row r="4651" spans="4:17" ht="12.75" customHeight="1" x14ac:dyDescent="0.2">
      <c r="D4651" s="58" t="str">
        <f>IFERROR(IF(F4651&lt;&gt;"pending","",IF(OR($B4651="",$B4651="(blank)"),"",VLOOKUP($B4651,'Email Marketing Raw Data'!$C:$O,10,0))),"")</f>
        <v/>
      </c>
      <c r="E4651" s="59" t="str">
        <f>IFERROR(IF(F4651&lt;&gt;"pending","",IF(OR($B4651="",$B4651="(blank)"),"",VLOOKUP($B4651,'Email Marketing Raw Data'!$C:$O,11,0))),"")</f>
        <v/>
      </c>
      <c r="F4651" s="54" t="str">
        <f>IFERROR(IF(OR($B4651="",$B4651="(blank)"),"",VLOOKUP($B4651,'Email Marketing Raw Data'!$C:$O,13,0)),"")</f>
        <v/>
      </c>
      <c r="G4651" s="55" t="str">
        <f>IFERROR(IF(OR($B4651="",$B4651="(blank)"),"",VLOOKUP($B4651,'Email Marketing Raw Data'!$C:$O,4,0)),"")</f>
        <v/>
      </c>
      <c r="H4651" s="55" t="str">
        <f>IFERROR(IF(OR($B4651="",$B4651="(blank)"),"",VLOOKUP($B4651,'Email Marketing Raw Data'!$C:$O,5,0)),"")</f>
        <v/>
      </c>
      <c r="I4651" s="55" t="str">
        <f>IFERROR(IF($G4651="","",VLOOKUP('Dashboard And Emails Automate'!$G4651,Database!$H:$N,3,0)),"")</f>
        <v/>
      </c>
      <c r="J4651" s="55" t="str">
        <f>IFERROR(IF($G4651="","",VLOOKUP('Dashboard And Emails Automate'!$G4651,Database!$H:$N,4,0)),"")</f>
        <v/>
      </c>
      <c r="K4651" s="55" t="str">
        <f>IFERROR(IF($G4651="","",VLOOKUP('Dashboard And Emails Automate'!$G4651,Database!$H:$N,5,0)),"")</f>
        <v/>
      </c>
      <c r="L4651" s="55" t="str">
        <f>IFERROR(IF($G4651="","",VLOOKUP('Dashboard And Emails Automate'!$G4651,Database!$H:$N,6,0)),"")</f>
        <v/>
      </c>
      <c r="M4651" s="55" t="str">
        <f>IFERROR(IF($G4651="","",VLOOKUP('Dashboard And Emails Automate'!$G4651,Database!$H:$N,7,0)),"")</f>
        <v/>
      </c>
      <c r="N4651" s="55" t="str">
        <f>IFERROR(IF(OR($B4651="",$B4651="(blank)"),"",VLOOKUP($B4651,'Email Marketing Raw Data'!$C:$O,6,0)),"")</f>
        <v/>
      </c>
      <c r="O4651" s="55" t="str">
        <f>IFERROR(IF(OR($B4651="",$B4651="(blank)"),"",VLOOKUP($B4651,'Email Marketing Raw Data'!$C:$O,7,0)),"")</f>
        <v/>
      </c>
      <c r="P4651" s="55" t="str">
        <f>IFERROR(IF(OR($B4651="",$B4651="(blank)"),"",VLOOKUP($B4651,'Email Marketing Raw Data'!$C:$O,8,0)),"")</f>
        <v/>
      </c>
      <c r="Q4651" s="62" t="str">
        <f>IFERROR(IF(OR($B4651="",$B4651="(blank)"),"",VLOOKUP($B4651,'Email Marketing Raw Data'!$C:$O,9,0)),"")</f>
        <v/>
      </c>
    </row>
    <row r="4652" spans="4:17" ht="12.75" customHeight="1" x14ac:dyDescent="0.2">
      <c r="D4652" s="58" t="str">
        <f>IFERROR(IF(F4652&lt;&gt;"pending","",IF(OR($B4652="",$B4652="(blank)"),"",VLOOKUP($B4652,'Email Marketing Raw Data'!$C:$O,10,0))),"")</f>
        <v/>
      </c>
      <c r="E4652" s="59" t="str">
        <f>IFERROR(IF(F4652&lt;&gt;"pending","",IF(OR($B4652="",$B4652="(blank)"),"",VLOOKUP($B4652,'Email Marketing Raw Data'!$C:$O,11,0))),"")</f>
        <v/>
      </c>
      <c r="F4652" s="54" t="str">
        <f>IFERROR(IF(OR($B4652="",$B4652="(blank)"),"",VLOOKUP($B4652,'Email Marketing Raw Data'!$C:$O,13,0)),"")</f>
        <v/>
      </c>
      <c r="G4652" s="55" t="str">
        <f>IFERROR(IF(OR($B4652="",$B4652="(blank)"),"",VLOOKUP($B4652,'Email Marketing Raw Data'!$C:$O,4,0)),"")</f>
        <v/>
      </c>
      <c r="H4652" s="55" t="str">
        <f>IFERROR(IF(OR($B4652="",$B4652="(blank)"),"",VLOOKUP($B4652,'Email Marketing Raw Data'!$C:$O,5,0)),"")</f>
        <v/>
      </c>
      <c r="I4652" s="55" t="str">
        <f>IFERROR(IF($G4652="","",VLOOKUP('Dashboard And Emails Automate'!$G4652,Database!$H:$N,3,0)),"")</f>
        <v/>
      </c>
      <c r="J4652" s="55" t="str">
        <f>IFERROR(IF($G4652="","",VLOOKUP('Dashboard And Emails Automate'!$G4652,Database!$H:$N,4,0)),"")</f>
        <v/>
      </c>
      <c r="K4652" s="55" t="str">
        <f>IFERROR(IF($G4652="","",VLOOKUP('Dashboard And Emails Automate'!$G4652,Database!$H:$N,5,0)),"")</f>
        <v/>
      </c>
      <c r="L4652" s="55" t="str">
        <f>IFERROR(IF($G4652="","",VLOOKUP('Dashboard And Emails Automate'!$G4652,Database!$H:$N,6,0)),"")</f>
        <v/>
      </c>
      <c r="M4652" s="55" t="str">
        <f>IFERROR(IF($G4652="","",VLOOKUP('Dashboard And Emails Automate'!$G4652,Database!$H:$N,7,0)),"")</f>
        <v/>
      </c>
      <c r="N4652" s="55" t="str">
        <f>IFERROR(IF(OR($B4652="",$B4652="(blank)"),"",VLOOKUP($B4652,'Email Marketing Raw Data'!$C:$O,6,0)),"")</f>
        <v/>
      </c>
      <c r="O4652" s="55" t="str">
        <f>IFERROR(IF(OR($B4652="",$B4652="(blank)"),"",VLOOKUP($B4652,'Email Marketing Raw Data'!$C:$O,7,0)),"")</f>
        <v/>
      </c>
      <c r="P4652" s="55" t="str">
        <f>IFERROR(IF(OR($B4652="",$B4652="(blank)"),"",VLOOKUP($B4652,'Email Marketing Raw Data'!$C:$O,8,0)),"")</f>
        <v/>
      </c>
      <c r="Q4652" s="62" t="str">
        <f>IFERROR(IF(OR($B4652="",$B4652="(blank)"),"",VLOOKUP($B4652,'Email Marketing Raw Data'!$C:$O,9,0)),"")</f>
        <v/>
      </c>
    </row>
    <row r="4653" spans="4:17" ht="12.75" customHeight="1" x14ac:dyDescent="0.2">
      <c r="D4653" s="58" t="str">
        <f>IFERROR(IF(F4653&lt;&gt;"pending","",IF(OR($B4653="",$B4653="(blank)"),"",VLOOKUP($B4653,'Email Marketing Raw Data'!$C:$O,10,0))),"")</f>
        <v/>
      </c>
      <c r="E4653" s="59" t="str">
        <f>IFERROR(IF(F4653&lt;&gt;"pending","",IF(OR($B4653="",$B4653="(blank)"),"",VLOOKUP($B4653,'Email Marketing Raw Data'!$C:$O,11,0))),"")</f>
        <v/>
      </c>
      <c r="F4653" s="54" t="str">
        <f>IFERROR(IF(OR($B4653="",$B4653="(blank)"),"",VLOOKUP($B4653,'Email Marketing Raw Data'!$C:$O,13,0)),"")</f>
        <v/>
      </c>
      <c r="G4653" s="55" t="str">
        <f>IFERROR(IF(OR($B4653="",$B4653="(blank)"),"",VLOOKUP($B4653,'Email Marketing Raw Data'!$C:$O,4,0)),"")</f>
        <v/>
      </c>
      <c r="H4653" s="55" t="str">
        <f>IFERROR(IF(OR($B4653="",$B4653="(blank)"),"",VLOOKUP($B4653,'Email Marketing Raw Data'!$C:$O,5,0)),"")</f>
        <v/>
      </c>
      <c r="I4653" s="55" t="str">
        <f>IFERROR(IF($G4653="","",VLOOKUP('Dashboard And Emails Automate'!$G4653,Database!$H:$N,3,0)),"")</f>
        <v/>
      </c>
      <c r="J4653" s="55" t="str">
        <f>IFERROR(IF($G4653="","",VLOOKUP('Dashboard And Emails Automate'!$G4653,Database!$H:$N,4,0)),"")</f>
        <v/>
      </c>
      <c r="K4653" s="55" t="str">
        <f>IFERROR(IF($G4653="","",VLOOKUP('Dashboard And Emails Automate'!$G4653,Database!$H:$N,5,0)),"")</f>
        <v/>
      </c>
      <c r="L4653" s="55" t="str">
        <f>IFERROR(IF($G4653="","",VLOOKUP('Dashboard And Emails Automate'!$G4653,Database!$H:$N,6,0)),"")</f>
        <v/>
      </c>
      <c r="M4653" s="55" t="str">
        <f>IFERROR(IF($G4653="","",VLOOKUP('Dashboard And Emails Automate'!$G4653,Database!$H:$N,7,0)),"")</f>
        <v/>
      </c>
      <c r="N4653" s="55" t="str">
        <f>IFERROR(IF(OR($B4653="",$B4653="(blank)"),"",VLOOKUP($B4653,'Email Marketing Raw Data'!$C:$O,6,0)),"")</f>
        <v/>
      </c>
      <c r="O4653" s="55" t="str">
        <f>IFERROR(IF(OR($B4653="",$B4653="(blank)"),"",VLOOKUP($B4653,'Email Marketing Raw Data'!$C:$O,7,0)),"")</f>
        <v/>
      </c>
      <c r="P4653" s="55" t="str">
        <f>IFERROR(IF(OR($B4653="",$B4653="(blank)"),"",VLOOKUP($B4653,'Email Marketing Raw Data'!$C:$O,8,0)),"")</f>
        <v/>
      </c>
      <c r="Q4653" s="62" t="str">
        <f>IFERROR(IF(OR($B4653="",$B4653="(blank)"),"",VLOOKUP($B4653,'Email Marketing Raw Data'!$C:$O,9,0)),"")</f>
        <v/>
      </c>
    </row>
    <row r="4654" spans="4:17" ht="12.75" customHeight="1" x14ac:dyDescent="0.2">
      <c r="D4654" s="58" t="str">
        <f>IFERROR(IF(F4654&lt;&gt;"pending","",IF(OR($B4654="",$B4654="(blank)"),"",VLOOKUP($B4654,'Email Marketing Raw Data'!$C:$O,10,0))),"")</f>
        <v/>
      </c>
      <c r="E4654" s="59" t="str">
        <f>IFERROR(IF(F4654&lt;&gt;"pending","",IF(OR($B4654="",$B4654="(blank)"),"",VLOOKUP($B4654,'Email Marketing Raw Data'!$C:$O,11,0))),"")</f>
        <v/>
      </c>
      <c r="F4654" s="54" t="str">
        <f>IFERROR(IF(OR($B4654="",$B4654="(blank)"),"",VLOOKUP($B4654,'Email Marketing Raw Data'!$C:$O,13,0)),"")</f>
        <v/>
      </c>
      <c r="G4654" s="55" t="str">
        <f>IFERROR(IF(OR($B4654="",$B4654="(blank)"),"",VLOOKUP($B4654,'Email Marketing Raw Data'!$C:$O,4,0)),"")</f>
        <v/>
      </c>
      <c r="H4654" s="55" t="str">
        <f>IFERROR(IF(OR($B4654="",$B4654="(blank)"),"",VLOOKUP($B4654,'Email Marketing Raw Data'!$C:$O,5,0)),"")</f>
        <v/>
      </c>
      <c r="I4654" s="55" t="str">
        <f>IFERROR(IF($G4654="","",VLOOKUP('Dashboard And Emails Automate'!$G4654,Database!$H:$N,3,0)),"")</f>
        <v/>
      </c>
      <c r="J4654" s="55" t="str">
        <f>IFERROR(IF($G4654="","",VLOOKUP('Dashboard And Emails Automate'!$G4654,Database!$H:$N,4,0)),"")</f>
        <v/>
      </c>
      <c r="K4654" s="55" t="str">
        <f>IFERROR(IF($G4654="","",VLOOKUP('Dashboard And Emails Automate'!$G4654,Database!$H:$N,5,0)),"")</f>
        <v/>
      </c>
      <c r="L4654" s="55" t="str">
        <f>IFERROR(IF($G4654="","",VLOOKUP('Dashboard And Emails Automate'!$G4654,Database!$H:$N,6,0)),"")</f>
        <v/>
      </c>
      <c r="M4654" s="55" t="str">
        <f>IFERROR(IF($G4654="","",VLOOKUP('Dashboard And Emails Automate'!$G4654,Database!$H:$N,7,0)),"")</f>
        <v/>
      </c>
      <c r="N4654" s="55" t="str">
        <f>IFERROR(IF(OR($B4654="",$B4654="(blank)"),"",VLOOKUP($B4654,'Email Marketing Raw Data'!$C:$O,6,0)),"")</f>
        <v/>
      </c>
      <c r="O4654" s="55" t="str">
        <f>IFERROR(IF(OR($B4654="",$B4654="(blank)"),"",VLOOKUP($B4654,'Email Marketing Raw Data'!$C:$O,7,0)),"")</f>
        <v/>
      </c>
      <c r="P4654" s="55" t="str">
        <f>IFERROR(IF(OR($B4654="",$B4654="(blank)"),"",VLOOKUP($B4654,'Email Marketing Raw Data'!$C:$O,8,0)),"")</f>
        <v/>
      </c>
      <c r="Q4654" s="62" t="str">
        <f>IFERROR(IF(OR($B4654="",$B4654="(blank)"),"",VLOOKUP($B4654,'Email Marketing Raw Data'!$C:$O,9,0)),"")</f>
        <v/>
      </c>
    </row>
    <row r="4655" spans="4:17" ht="12.75" customHeight="1" x14ac:dyDescent="0.2">
      <c r="D4655" s="58" t="str">
        <f>IFERROR(IF(F4655&lt;&gt;"pending","",IF(OR($B4655="",$B4655="(blank)"),"",VLOOKUP($B4655,'Email Marketing Raw Data'!$C:$O,10,0))),"")</f>
        <v/>
      </c>
      <c r="E4655" s="59" t="str">
        <f>IFERROR(IF(F4655&lt;&gt;"pending","",IF(OR($B4655="",$B4655="(blank)"),"",VLOOKUP($B4655,'Email Marketing Raw Data'!$C:$O,11,0))),"")</f>
        <v/>
      </c>
      <c r="F4655" s="54" t="str">
        <f>IFERROR(IF(OR($B4655="",$B4655="(blank)"),"",VLOOKUP($B4655,'Email Marketing Raw Data'!$C:$O,13,0)),"")</f>
        <v/>
      </c>
      <c r="G4655" s="55" t="str">
        <f>IFERROR(IF(OR($B4655="",$B4655="(blank)"),"",VLOOKUP($B4655,'Email Marketing Raw Data'!$C:$O,4,0)),"")</f>
        <v/>
      </c>
      <c r="H4655" s="55" t="str">
        <f>IFERROR(IF(OR($B4655="",$B4655="(blank)"),"",VLOOKUP($B4655,'Email Marketing Raw Data'!$C:$O,5,0)),"")</f>
        <v/>
      </c>
      <c r="I4655" s="55" t="str">
        <f>IFERROR(IF($G4655="","",VLOOKUP('Dashboard And Emails Automate'!$G4655,Database!$H:$N,3,0)),"")</f>
        <v/>
      </c>
      <c r="J4655" s="55" t="str">
        <f>IFERROR(IF($G4655="","",VLOOKUP('Dashboard And Emails Automate'!$G4655,Database!$H:$N,4,0)),"")</f>
        <v/>
      </c>
      <c r="K4655" s="55" t="str">
        <f>IFERROR(IF($G4655="","",VLOOKUP('Dashboard And Emails Automate'!$G4655,Database!$H:$N,5,0)),"")</f>
        <v/>
      </c>
      <c r="L4655" s="55" t="str">
        <f>IFERROR(IF($G4655="","",VLOOKUP('Dashboard And Emails Automate'!$G4655,Database!$H:$N,6,0)),"")</f>
        <v/>
      </c>
      <c r="M4655" s="55" t="str">
        <f>IFERROR(IF($G4655="","",VLOOKUP('Dashboard And Emails Automate'!$G4655,Database!$H:$N,7,0)),"")</f>
        <v/>
      </c>
      <c r="N4655" s="55" t="str">
        <f>IFERROR(IF(OR($B4655="",$B4655="(blank)"),"",VLOOKUP($B4655,'Email Marketing Raw Data'!$C:$O,6,0)),"")</f>
        <v/>
      </c>
      <c r="O4655" s="55" t="str">
        <f>IFERROR(IF(OR($B4655="",$B4655="(blank)"),"",VLOOKUP($B4655,'Email Marketing Raw Data'!$C:$O,7,0)),"")</f>
        <v/>
      </c>
      <c r="P4655" s="55" t="str">
        <f>IFERROR(IF(OR($B4655="",$B4655="(blank)"),"",VLOOKUP($B4655,'Email Marketing Raw Data'!$C:$O,8,0)),"")</f>
        <v/>
      </c>
      <c r="Q4655" s="62" t="str">
        <f>IFERROR(IF(OR($B4655="",$B4655="(blank)"),"",VLOOKUP($B4655,'Email Marketing Raw Data'!$C:$O,9,0)),"")</f>
        <v/>
      </c>
    </row>
    <row r="4656" spans="4:17" ht="12.75" customHeight="1" x14ac:dyDescent="0.2">
      <c r="D4656" s="58" t="str">
        <f>IFERROR(IF(F4656&lt;&gt;"pending","",IF(OR($B4656="",$B4656="(blank)"),"",VLOOKUP($B4656,'Email Marketing Raw Data'!$C:$O,10,0))),"")</f>
        <v/>
      </c>
      <c r="E4656" s="59" t="str">
        <f>IFERROR(IF(F4656&lt;&gt;"pending","",IF(OR($B4656="",$B4656="(blank)"),"",VLOOKUP($B4656,'Email Marketing Raw Data'!$C:$O,11,0))),"")</f>
        <v/>
      </c>
      <c r="F4656" s="54" t="str">
        <f>IFERROR(IF(OR($B4656="",$B4656="(blank)"),"",VLOOKUP($B4656,'Email Marketing Raw Data'!$C:$O,13,0)),"")</f>
        <v/>
      </c>
      <c r="G4656" s="55" t="str">
        <f>IFERROR(IF(OR($B4656="",$B4656="(blank)"),"",VLOOKUP($B4656,'Email Marketing Raw Data'!$C:$O,4,0)),"")</f>
        <v/>
      </c>
      <c r="H4656" s="55" t="str">
        <f>IFERROR(IF(OR($B4656="",$B4656="(blank)"),"",VLOOKUP($B4656,'Email Marketing Raw Data'!$C:$O,5,0)),"")</f>
        <v/>
      </c>
      <c r="I4656" s="55" t="str">
        <f>IFERROR(IF($G4656="","",VLOOKUP('Dashboard And Emails Automate'!$G4656,Database!$H:$N,3,0)),"")</f>
        <v/>
      </c>
      <c r="J4656" s="55" t="str">
        <f>IFERROR(IF($G4656="","",VLOOKUP('Dashboard And Emails Automate'!$G4656,Database!$H:$N,4,0)),"")</f>
        <v/>
      </c>
      <c r="K4656" s="55" t="str">
        <f>IFERROR(IF($G4656="","",VLOOKUP('Dashboard And Emails Automate'!$G4656,Database!$H:$N,5,0)),"")</f>
        <v/>
      </c>
      <c r="L4656" s="55" t="str">
        <f>IFERROR(IF($G4656="","",VLOOKUP('Dashboard And Emails Automate'!$G4656,Database!$H:$N,6,0)),"")</f>
        <v/>
      </c>
      <c r="M4656" s="55" t="str">
        <f>IFERROR(IF($G4656="","",VLOOKUP('Dashboard And Emails Automate'!$G4656,Database!$H:$N,7,0)),"")</f>
        <v/>
      </c>
      <c r="N4656" s="55" t="str">
        <f>IFERROR(IF(OR($B4656="",$B4656="(blank)"),"",VLOOKUP($B4656,'Email Marketing Raw Data'!$C:$O,6,0)),"")</f>
        <v/>
      </c>
      <c r="O4656" s="55" t="str">
        <f>IFERROR(IF(OR($B4656="",$B4656="(blank)"),"",VLOOKUP($B4656,'Email Marketing Raw Data'!$C:$O,7,0)),"")</f>
        <v/>
      </c>
      <c r="P4656" s="55" t="str">
        <f>IFERROR(IF(OR($B4656="",$B4656="(blank)"),"",VLOOKUP($B4656,'Email Marketing Raw Data'!$C:$O,8,0)),"")</f>
        <v/>
      </c>
      <c r="Q4656" s="62" t="str">
        <f>IFERROR(IF(OR($B4656="",$B4656="(blank)"),"",VLOOKUP($B4656,'Email Marketing Raw Data'!$C:$O,9,0)),"")</f>
        <v/>
      </c>
    </row>
    <row r="4657" spans="4:17" ht="12.75" customHeight="1" x14ac:dyDescent="0.2">
      <c r="D4657" s="58" t="str">
        <f>IFERROR(IF(F4657&lt;&gt;"pending","",IF(OR($B4657="",$B4657="(blank)"),"",VLOOKUP($B4657,'Email Marketing Raw Data'!$C:$O,10,0))),"")</f>
        <v/>
      </c>
      <c r="E4657" s="59" t="str">
        <f>IFERROR(IF(F4657&lt;&gt;"pending","",IF(OR($B4657="",$B4657="(blank)"),"",VLOOKUP($B4657,'Email Marketing Raw Data'!$C:$O,11,0))),"")</f>
        <v/>
      </c>
      <c r="F4657" s="54" t="str">
        <f>IFERROR(IF(OR($B4657="",$B4657="(blank)"),"",VLOOKUP($B4657,'Email Marketing Raw Data'!$C:$O,13,0)),"")</f>
        <v/>
      </c>
      <c r="G4657" s="55" t="str">
        <f>IFERROR(IF(OR($B4657="",$B4657="(blank)"),"",VLOOKUP($B4657,'Email Marketing Raw Data'!$C:$O,4,0)),"")</f>
        <v/>
      </c>
      <c r="H4657" s="55" t="str">
        <f>IFERROR(IF(OR($B4657="",$B4657="(blank)"),"",VLOOKUP($B4657,'Email Marketing Raw Data'!$C:$O,5,0)),"")</f>
        <v/>
      </c>
      <c r="I4657" s="55" t="str">
        <f>IFERROR(IF($G4657="","",VLOOKUP('Dashboard And Emails Automate'!$G4657,Database!$H:$N,3,0)),"")</f>
        <v/>
      </c>
      <c r="J4657" s="55" t="str">
        <f>IFERROR(IF($G4657="","",VLOOKUP('Dashboard And Emails Automate'!$G4657,Database!$H:$N,4,0)),"")</f>
        <v/>
      </c>
      <c r="K4657" s="55" t="str">
        <f>IFERROR(IF($G4657="","",VLOOKUP('Dashboard And Emails Automate'!$G4657,Database!$H:$N,5,0)),"")</f>
        <v/>
      </c>
      <c r="L4657" s="55" t="str">
        <f>IFERROR(IF($G4657="","",VLOOKUP('Dashboard And Emails Automate'!$G4657,Database!$H:$N,6,0)),"")</f>
        <v/>
      </c>
      <c r="M4657" s="55" t="str">
        <f>IFERROR(IF($G4657="","",VLOOKUP('Dashboard And Emails Automate'!$G4657,Database!$H:$N,7,0)),"")</f>
        <v/>
      </c>
      <c r="N4657" s="55" t="str">
        <f>IFERROR(IF(OR($B4657="",$B4657="(blank)"),"",VLOOKUP($B4657,'Email Marketing Raw Data'!$C:$O,6,0)),"")</f>
        <v/>
      </c>
      <c r="O4657" s="55" t="str">
        <f>IFERROR(IF(OR($B4657="",$B4657="(blank)"),"",VLOOKUP($B4657,'Email Marketing Raw Data'!$C:$O,7,0)),"")</f>
        <v/>
      </c>
      <c r="P4657" s="55" t="str">
        <f>IFERROR(IF(OR($B4657="",$B4657="(blank)"),"",VLOOKUP($B4657,'Email Marketing Raw Data'!$C:$O,8,0)),"")</f>
        <v/>
      </c>
      <c r="Q4657" s="62" t="str">
        <f>IFERROR(IF(OR($B4657="",$B4657="(blank)"),"",VLOOKUP($B4657,'Email Marketing Raw Data'!$C:$O,9,0)),"")</f>
        <v/>
      </c>
    </row>
    <row r="4658" spans="4:17" ht="12.75" customHeight="1" x14ac:dyDescent="0.2">
      <c r="D4658" s="58" t="str">
        <f>IFERROR(IF(F4658&lt;&gt;"pending","",IF(OR($B4658="",$B4658="(blank)"),"",VLOOKUP($B4658,'Email Marketing Raw Data'!$C:$O,10,0))),"")</f>
        <v/>
      </c>
      <c r="E4658" s="59" t="str">
        <f>IFERROR(IF(F4658&lt;&gt;"pending","",IF(OR($B4658="",$B4658="(blank)"),"",VLOOKUP($B4658,'Email Marketing Raw Data'!$C:$O,11,0))),"")</f>
        <v/>
      </c>
      <c r="F4658" s="54" t="str">
        <f>IFERROR(IF(OR($B4658="",$B4658="(blank)"),"",VLOOKUP($B4658,'Email Marketing Raw Data'!$C:$O,13,0)),"")</f>
        <v/>
      </c>
      <c r="G4658" s="55" t="str">
        <f>IFERROR(IF(OR($B4658="",$B4658="(blank)"),"",VLOOKUP($B4658,'Email Marketing Raw Data'!$C:$O,4,0)),"")</f>
        <v/>
      </c>
      <c r="H4658" s="55" t="str">
        <f>IFERROR(IF(OR($B4658="",$B4658="(blank)"),"",VLOOKUP($B4658,'Email Marketing Raw Data'!$C:$O,5,0)),"")</f>
        <v/>
      </c>
      <c r="I4658" s="55" t="str">
        <f>IFERROR(IF($G4658="","",VLOOKUP('Dashboard And Emails Automate'!$G4658,Database!$H:$N,3,0)),"")</f>
        <v/>
      </c>
      <c r="J4658" s="55" t="str">
        <f>IFERROR(IF($G4658="","",VLOOKUP('Dashboard And Emails Automate'!$G4658,Database!$H:$N,4,0)),"")</f>
        <v/>
      </c>
      <c r="K4658" s="55" t="str">
        <f>IFERROR(IF($G4658="","",VLOOKUP('Dashboard And Emails Automate'!$G4658,Database!$H:$N,5,0)),"")</f>
        <v/>
      </c>
      <c r="L4658" s="55" t="str">
        <f>IFERROR(IF($G4658="","",VLOOKUP('Dashboard And Emails Automate'!$G4658,Database!$H:$N,6,0)),"")</f>
        <v/>
      </c>
      <c r="M4658" s="55" t="str">
        <f>IFERROR(IF($G4658="","",VLOOKUP('Dashboard And Emails Automate'!$G4658,Database!$H:$N,7,0)),"")</f>
        <v/>
      </c>
      <c r="N4658" s="55" t="str">
        <f>IFERROR(IF(OR($B4658="",$B4658="(blank)"),"",VLOOKUP($B4658,'Email Marketing Raw Data'!$C:$O,6,0)),"")</f>
        <v/>
      </c>
      <c r="O4658" s="55" t="str">
        <f>IFERROR(IF(OR($B4658="",$B4658="(blank)"),"",VLOOKUP($B4658,'Email Marketing Raw Data'!$C:$O,7,0)),"")</f>
        <v/>
      </c>
      <c r="P4658" s="55" t="str">
        <f>IFERROR(IF(OR($B4658="",$B4658="(blank)"),"",VLOOKUP($B4658,'Email Marketing Raw Data'!$C:$O,8,0)),"")</f>
        <v/>
      </c>
      <c r="Q4658" s="62" t="str">
        <f>IFERROR(IF(OR($B4658="",$B4658="(blank)"),"",VLOOKUP($B4658,'Email Marketing Raw Data'!$C:$O,9,0)),"")</f>
        <v/>
      </c>
    </row>
    <row r="4659" spans="4:17" ht="12.75" customHeight="1" x14ac:dyDescent="0.2">
      <c r="D4659" s="58" t="str">
        <f>IFERROR(IF(F4659&lt;&gt;"pending","",IF(OR($B4659="",$B4659="(blank)"),"",VLOOKUP($B4659,'Email Marketing Raw Data'!$C:$O,10,0))),"")</f>
        <v/>
      </c>
      <c r="E4659" s="59" t="str">
        <f>IFERROR(IF(F4659&lt;&gt;"pending","",IF(OR($B4659="",$B4659="(blank)"),"",VLOOKUP($B4659,'Email Marketing Raw Data'!$C:$O,11,0))),"")</f>
        <v/>
      </c>
      <c r="F4659" s="54" t="str">
        <f>IFERROR(IF(OR($B4659="",$B4659="(blank)"),"",VLOOKUP($B4659,'Email Marketing Raw Data'!$C:$O,13,0)),"")</f>
        <v/>
      </c>
      <c r="G4659" s="55" t="str">
        <f>IFERROR(IF(OR($B4659="",$B4659="(blank)"),"",VLOOKUP($B4659,'Email Marketing Raw Data'!$C:$O,4,0)),"")</f>
        <v/>
      </c>
      <c r="H4659" s="55" t="str">
        <f>IFERROR(IF(OR($B4659="",$B4659="(blank)"),"",VLOOKUP($B4659,'Email Marketing Raw Data'!$C:$O,5,0)),"")</f>
        <v/>
      </c>
      <c r="I4659" s="55" t="str">
        <f>IFERROR(IF($G4659="","",VLOOKUP('Dashboard And Emails Automate'!$G4659,Database!$H:$N,3,0)),"")</f>
        <v/>
      </c>
      <c r="J4659" s="55" t="str">
        <f>IFERROR(IF($G4659="","",VLOOKUP('Dashboard And Emails Automate'!$G4659,Database!$H:$N,4,0)),"")</f>
        <v/>
      </c>
      <c r="K4659" s="55" t="str">
        <f>IFERROR(IF($G4659="","",VLOOKUP('Dashboard And Emails Automate'!$G4659,Database!$H:$N,5,0)),"")</f>
        <v/>
      </c>
      <c r="L4659" s="55" t="str">
        <f>IFERROR(IF($G4659="","",VLOOKUP('Dashboard And Emails Automate'!$G4659,Database!$H:$N,6,0)),"")</f>
        <v/>
      </c>
      <c r="M4659" s="55" t="str">
        <f>IFERROR(IF($G4659="","",VLOOKUP('Dashboard And Emails Automate'!$G4659,Database!$H:$N,7,0)),"")</f>
        <v/>
      </c>
      <c r="N4659" s="55" t="str">
        <f>IFERROR(IF(OR($B4659="",$B4659="(blank)"),"",VLOOKUP($B4659,'Email Marketing Raw Data'!$C:$O,6,0)),"")</f>
        <v/>
      </c>
      <c r="O4659" s="55" t="str">
        <f>IFERROR(IF(OR($B4659="",$B4659="(blank)"),"",VLOOKUP($B4659,'Email Marketing Raw Data'!$C:$O,7,0)),"")</f>
        <v/>
      </c>
      <c r="P4659" s="55" t="str">
        <f>IFERROR(IF(OR($B4659="",$B4659="(blank)"),"",VLOOKUP($B4659,'Email Marketing Raw Data'!$C:$O,8,0)),"")</f>
        <v/>
      </c>
      <c r="Q4659" s="62" t="str">
        <f>IFERROR(IF(OR($B4659="",$B4659="(blank)"),"",VLOOKUP($B4659,'Email Marketing Raw Data'!$C:$O,9,0)),"")</f>
        <v/>
      </c>
    </row>
    <row r="4660" spans="4:17" ht="12.75" customHeight="1" x14ac:dyDescent="0.2">
      <c r="D4660" s="58" t="str">
        <f>IFERROR(IF(F4660&lt;&gt;"pending","",IF(OR($B4660="",$B4660="(blank)"),"",VLOOKUP($B4660,'Email Marketing Raw Data'!$C:$O,10,0))),"")</f>
        <v/>
      </c>
      <c r="E4660" s="59" t="str">
        <f>IFERROR(IF(F4660&lt;&gt;"pending","",IF(OR($B4660="",$B4660="(blank)"),"",VLOOKUP($B4660,'Email Marketing Raw Data'!$C:$O,11,0))),"")</f>
        <v/>
      </c>
      <c r="F4660" s="54" t="str">
        <f>IFERROR(IF(OR($B4660="",$B4660="(blank)"),"",VLOOKUP($B4660,'Email Marketing Raw Data'!$C:$O,13,0)),"")</f>
        <v/>
      </c>
      <c r="G4660" s="55" t="str">
        <f>IFERROR(IF(OR($B4660="",$B4660="(blank)"),"",VLOOKUP($B4660,'Email Marketing Raw Data'!$C:$O,4,0)),"")</f>
        <v/>
      </c>
      <c r="H4660" s="55" t="str">
        <f>IFERROR(IF(OR($B4660="",$B4660="(blank)"),"",VLOOKUP($B4660,'Email Marketing Raw Data'!$C:$O,5,0)),"")</f>
        <v/>
      </c>
      <c r="I4660" s="55" t="str">
        <f>IFERROR(IF($G4660="","",VLOOKUP('Dashboard And Emails Automate'!$G4660,Database!$H:$N,3,0)),"")</f>
        <v/>
      </c>
      <c r="J4660" s="55" t="str">
        <f>IFERROR(IF($G4660="","",VLOOKUP('Dashboard And Emails Automate'!$G4660,Database!$H:$N,4,0)),"")</f>
        <v/>
      </c>
      <c r="K4660" s="55" t="str">
        <f>IFERROR(IF($G4660="","",VLOOKUP('Dashboard And Emails Automate'!$G4660,Database!$H:$N,5,0)),"")</f>
        <v/>
      </c>
      <c r="L4660" s="55" t="str">
        <f>IFERROR(IF($G4660="","",VLOOKUP('Dashboard And Emails Automate'!$G4660,Database!$H:$N,6,0)),"")</f>
        <v/>
      </c>
      <c r="M4660" s="55" t="str">
        <f>IFERROR(IF($G4660="","",VLOOKUP('Dashboard And Emails Automate'!$G4660,Database!$H:$N,7,0)),"")</f>
        <v/>
      </c>
      <c r="N4660" s="55" t="str">
        <f>IFERROR(IF(OR($B4660="",$B4660="(blank)"),"",VLOOKUP($B4660,'Email Marketing Raw Data'!$C:$O,6,0)),"")</f>
        <v/>
      </c>
      <c r="O4660" s="55" t="str">
        <f>IFERROR(IF(OR($B4660="",$B4660="(blank)"),"",VLOOKUP($B4660,'Email Marketing Raw Data'!$C:$O,7,0)),"")</f>
        <v/>
      </c>
      <c r="P4660" s="55" t="str">
        <f>IFERROR(IF(OR($B4660="",$B4660="(blank)"),"",VLOOKUP($B4660,'Email Marketing Raw Data'!$C:$O,8,0)),"")</f>
        <v/>
      </c>
      <c r="Q4660" s="62" t="str">
        <f>IFERROR(IF(OR($B4660="",$B4660="(blank)"),"",VLOOKUP($B4660,'Email Marketing Raw Data'!$C:$O,9,0)),"")</f>
        <v/>
      </c>
    </row>
    <row r="4661" spans="4:17" ht="12.75" customHeight="1" x14ac:dyDescent="0.2">
      <c r="D4661" s="58" t="str">
        <f>IFERROR(IF(F4661&lt;&gt;"pending","",IF(OR($B4661="",$B4661="(blank)"),"",VLOOKUP($B4661,'Email Marketing Raw Data'!$C:$O,10,0))),"")</f>
        <v/>
      </c>
      <c r="E4661" s="59" t="str">
        <f>IFERROR(IF(F4661&lt;&gt;"pending","",IF(OR($B4661="",$B4661="(blank)"),"",VLOOKUP($B4661,'Email Marketing Raw Data'!$C:$O,11,0))),"")</f>
        <v/>
      </c>
      <c r="F4661" s="54" t="str">
        <f>IFERROR(IF(OR($B4661="",$B4661="(blank)"),"",VLOOKUP($B4661,'Email Marketing Raw Data'!$C:$O,13,0)),"")</f>
        <v/>
      </c>
      <c r="G4661" s="55" t="str">
        <f>IFERROR(IF(OR($B4661="",$B4661="(blank)"),"",VLOOKUP($B4661,'Email Marketing Raw Data'!$C:$O,4,0)),"")</f>
        <v/>
      </c>
      <c r="H4661" s="55" t="str">
        <f>IFERROR(IF(OR($B4661="",$B4661="(blank)"),"",VLOOKUP($B4661,'Email Marketing Raw Data'!$C:$O,5,0)),"")</f>
        <v/>
      </c>
      <c r="I4661" s="55" t="str">
        <f>IFERROR(IF($G4661="","",VLOOKUP('Dashboard And Emails Automate'!$G4661,Database!$H:$N,3,0)),"")</f>
        <v/>
      </c>
      <c r="J4661" s="55" t="str">
        <f>IFERROR(IF($G4661="","",VLOOKUP('Dashboard And Emails Automate'!$G4661,Database!$H:$N,4,0)),"")</f>
        <v/>
      </c>
      <c r="K4661" s="55" t="str">
        <f>IFERROR(IF($G4661="","",VLOOKUP('Dashboard And Emails Automate'!$G4661,Database!$H:$N,5,0)),"")</f>
        <v/>
      </c>
      <c r="L4661" s="55" t="str">
        <f>IFERROR(IF($G4661="","",VLOOKUP('Dashboard And Emails Automate'!$G4661,Database!$H:$N,6,0)),"")</f>
        <v/>
      </c>
      <c r="M4661" s="55" t="str">
        <f>IFERROR(IF($G4661="","",VLOOKUP('Dashboard And Emails Automate'!$G4661,Database!$H:$N,7,0)),"")</f>
        <v/>
      </c>
      <c r="N4661" s="55" t="str">
        <f>IFERROR(IF(OR($B4661="",$B4661="(blank)"),"",VLOOKUP($B4661,'Email Marketing Raw Data'!$C:$O,6,0)),"")</f>
        <v/>
      </c>
      <c r="O4661" s="55" t="str">
        <f>IFERROR(IF(OR($B4661="",$B4661="(blank)"),"",VLOOKUP($B4661,'Email Marketing Raw Data'!$C:$O,7,0)),"")</f>
        <v/>
      </c>
      <c r="P4661" s="55" t="str">
        <f>IFERROR(IF(OR($B4661="",$B4661="(blank)"),"",VLOOKUP($B4661,'Email Marketing Raw Data'!$C:$O,8,0)),"")</f>
        <v/>
      </c>
      <c r="Q4661" s="62" t="str">
        <f>IFERROR(IF(OR($B4661="",$B4661="(blank)"),"",VLOOKUP($B4661,'Email Marketing Raw Data'!$C:$O,9,0)),"")</f>
        <v/>
      </c>
    </row>
    <row r="4662" spans="4:17" ht="12.75" customHeight="1" x14ac:dyDescent="0.2">
      <c r="D4662" s="58" t="str">
        <f>IFERROR(IF(F4662&lt;&gt;"pending","",IF(OR($B4662="",$B4662="(blank)"),"",VLOOKUP($B4662,'Email Marketing Raw Data'!$C:$O,10,0))),"")</f>
        <v/>
      </c>
      <c r="E4662" s="59" t="str">
        <f>IFERROR(IF(F4662&lt;&gt;"pending","",IF(OR($B4662="",$B4662="(blank)"),"",VLOOKUP($B4662,'Email Marketing Raw Data'!$C:$O,11,0))),"")</f>
        <v/>
      </c>
      <c r="F4662" s="54" t="str">
        <f>IFERROR(IF(OR($B4662="",$B4662="(blank)"),"",VLOOKUP($B4662,'Email Marketing Raw Data'!$C:$O,13,0)),"")</f>
        <v/>
      </c>
      <c r="G4662" s="55" t="str">
        <f>IFERROR(IF(OR($B4662="",$B4662="(blank)"),"",VLOOKUP($B4662,'Email Marketing Raw Data'!$C:$O,4,0)),"")</f>
        <v/>
      </c>
      <c r="H4662" s="55" t="str">
        <f>IFERROR(IF(OR($B4662="",$B4662="(blank)"),"",VLOOKUP($B4662,'Email Marketing Raw Data'!$C:$O,5,0)),"")</f>
        <v/>
      </c>
      <c r="I4662" s="55" t="str">
        <f>IFERROR(IF($G4662="","",VLOOKUP('Dashboard And Emails Automate'!$G4662,Database!$H:$N,3,0)),"")</f>
        <v/>
      </c>
      <c r="J4662" s="55" t="str">
        <f>IFERROR(IF($G4662="","",VLOOKUP('Dashboard And Emails Automate'!$G4662,Database!$H:$N,4,0)),"")</f>
        <v/>
      </c>
      <c r="K4662" s="55" t="str">
        <f>IFERROR(IF($G4662="","",VLOOKUP('Dashboard And Emails Automate'!$G4662,Database!$H:$N,5,0)),"")</f>
        <v/>
      </c>
      <c r="L4662" s="55" t="str">
        <f>IFERROR(IF($G4662="","",VLOOKUP('Dashboard And Emails Automate'!$G4662,Database!$H:$N,6,0)),"")</f>
        <v/>
      </c>
      <c r="M4662" s="55" t="str">
        <f>IFERROR(IF($G4662="","",VLOOKUP('Dashboard And Emails Automate'!$G4662,Database!$H:$N,7,0)),"")</f>
        <v/>
      </c>
      <c r="N4662" s="55" t="str">
        <f>IFERROR(IF(OR($B4662="",$B4662="(blank)"),"",VLOOKUP($B4662,'Email Marketing Raw Data'!$C:$O,6,0)),"")</f>
        <v/>
      </c>
      <c r="O4662" s="55" t="str">
        <f>IFERROR(IF(OR($B4662="",$B4662="(blank)"),"",VLOOKUP($B4662,'Email Marketing Raw Data'!$C:$O,7,0)),"")</f>
        <v/>
      </c>
      <c r="P4662" s="55" t="str">
        <f>IFERROR(IF(OR($B4662="",$B4662="(blank)"),"",VLOOKUP($B4662,'Email Marketing Raw Data'!$C:$O,8,0)),"")</f>
        <v/>
      </c>
      <c r="Q4662" s="62" t="str">
        <f>IFERROR(IF(OR($B4662="",$B4662="(blank)"),"",VLOOKUP($B4662,'Email Marketing Raw Data'!$C:$O,9,0)),"")</f>
        <v/>
      </c>
    </row>
    <row r="4663" spans="4:17" ht="12.75" customHeight="1" x14ac:dyDescent="0.2">
      <c r="D4663" s="58" t="str">
        <f>IFERROR(IF(F4663&lt;&gt;"pending","",IF(OR($B4663="",$B4663="(blank)"),"",VLOOKUP($B4663,'Email Marketing Raw Data'!$C:$O,10,0))),"")</f>
        <v/>
      </c>
      <c r="E4663" s="59" t="str">
        <f>IFERROR(IF(F4663&lt;&gt;"pending","",IF(OR($B4663="",$B4663="(blank)"),"",VLOOKUP($B4663,'Email Marketing Raw Data'!$C:$O,11,0))),"")</f>
        <v/>
      </c>
      <c r="F4663" s="54" t="str">
        <f>IFERROR(IF(OR($B4663="",$B4663="(blank)"),"",VLOOKUP($B4663,'Email Marketing Raw Data'!$C:$O,13,0)),"")</f>
        <v/>
      </c>
      <c r="G4663" s="55" t="str">
        <f>IFERROR(IF(OR($B4663="",$B4663="(blank)"),"",VLOOKUP($B4663,'Email Marketing Raw Data'!$C:$O,4,0)),"")</f>
        <v/>
      </c>
      <c r="H4663" s="55" t="str">
        <f>IFERROR(IF(OR($B4663="",$B4663="(blank)"),"",VLOOKUP($B4663,'Email Marketing Raw Data'!$C:$O,5,0)),"")</f>
        <v/>
      </c>
      <c r="I4663" s="55" t="str">
        <f>IFERROR(IF($G4663="","",VLOOKUP('Dashboard And Emails Automate'!$G4663,Database!$H:$N,3,0)),"")</f>
        <v/>
      </c>
      <c r="J4663" s="55" t="str">
        <f>IFERROR(IF($G4663="","",VLOOKUP('Dashboard And Emails Automate'!$G4663,Database!$H:$N,4,0)),"")</f>
        <v/>
      </c>
      <c r="K4663" s="55" t="str">
        <f>IFERROR(IF($G4663="","",VLOOKUP('Dashboard And Emails Automate'!$G4663,Database!$H:$N,5,0)),"")</f>
        <v/>
      </c>
      <c r="L4663" s="55" t="str">
        <f>IFERROR(IF($G4663="","",VLOOKUP('Dashboard And Emails Automate'!$G4663,Database!$H:$N,6,0)),"")</f>
        <v/>
      </c>
      <c r="M4663" s="55" t="str">
        <f>IFERROR(IF($G4663="","",VLOOKUP('Dashboard And Emails Automate'!$G4663,Database!$H:$N,7,0)),"")</f>
        <v/>
      </c>
      <c r="N4663" s="55" t="str">
        <f>IFERROR(IF(OR($B4663="",$B4663="(blank)"),"",VLOOKUP($B4663,'Email Marketing Raw Data'!$C:$O,6,0)),"")</f>
        <v/>
      </c>
      <c r="O4663" s="55" t="str">
        <f>IFERROR(IF(OR($B4663="",$B4663="(blank)"),"",VLOOKUP($B4663,'Email Marketing Raw Data'!$C:$O,7,0)),"")</f>
        <v/>
      </c>
      <c r="P4663" s="55" t="str">
        <f>IFERROR(IF(OR($B4663="",$B4663="(blank)"),"",VLOOKUP($B4663,'Email Marketing Raw Data'!$C:$O,8,0)),"")</f>
        <v/>
      </c>
      <c r="Q4663" s="62" t="str">
        <f>IFERROR(IF(OR($B4663="",$B4663="(blank)"),"",VLOOKUP($B4663,'Email Marketing Raw Data'!$C:$O,9,0)),"")</f>
        <v/>
      </c>
    </row>
    <row r="4664" spans="4:17" ht="12.75" customHeight="1" x14ac:dyDescent="0.2">
      <c r="D4664" s="58" t="str">
        <f>IFERROR(IF(F4664&lt;&gt;"pending","",IF(OR($B4664="",$B4664="(blank)"),"",VLOOKUP($B4664,'Email Marketing Raw Data'!$C:$O,10,0))),"")</f>
        <v/>
      </c>
      <c r="E4664" s="59" t="str">
        <f>IFERROR(IF(F4664&lt;&gt;"pending","",IF(OR($B4664="",$B4664="(blank)"),"",VLOOKUP($B4664,'Email Marketing Raw Data'!$C:$O,11,0))),"")</f>
        <v/>
      </c>
      <c r="F4664" s="54" t="str">
        <f>IFERROR(IF(OR($B4664="",$B4664="(blank)"),"",VLOOKUP($B4664,'Email Marketing Raw Data'!$C:$O,13,0)),"")</f>
        <v/>
      </c>
      <c r="G4664" s="55" t="str">
        <f>IFERROR(IF(OR($B4664="",$B4664="(blank)"),"",VLOOKUP($B4664,'Email Marketing Raw Data'!$C:$O,4,0)),"")</f>
        <v/>
      </c>
      <c r="H4664" s="55" t="str">
        <f>IFERROR(IF(OR($B4664="",$B4664="(blank)"),"",VLOOKUP($B4664,'Email Marketing Raw Data'!$C:$O,5,0)),"")</f>
        <v/>
      </c>
      <c r="I4664" s="55" t="str">
        <f>IFERROR(IF($G4664="","",VLOOKUP('Dashboard And Emails Automate'!$G4664,Database!$H:$N,3,0)),"")</f>
        <v/>
      </c>
      <c r="J4664" s="55" t="str">
        <f>IFERROR(IF($G4664="","",VLOOKUP('Dashboard And Emails Automate'!$G4664,Database!$H:$N,4,0)),"")</f>
        <v/>
      </c>
      <c r="K4664" s="55" t="str">
        <f>IFERROR(IF($G4664="","",VLOOKUP('Dashboard And Emails Automate'!$G4664,Database!$H:$N,5,0)),"")</f>
        <v/>
      </c>
      <c r="L4664" s="55" t="str">
        <f>IFERROR(IF($G4664="","",VLOOKUP('Dashboard And Emails Automate'!$G4664,Database!$H:$N,6,0)),"")</f>
        <v/>
      </c>
      <c r="M4664" s="55" t="str">
        <f>IFERROR(IF($G4664="","",VLOOKUP('Dashboard And Emails Automate'!$G4664,Database!$H:$N,7,0)),"")</f>
        <v/>
      </c>
      <c r="N4664" s="55" t="str">
        <f>IFERROR(IF(OR($B4664="",$B4664="(blank)"),"",VLOOKUP($B4664,'Email Marketing Raw Data'!$C:$O,6,0)),"")</f>
        <v/>
      </c>
      <c r="O4664" s="55" t="str">
        <f>IFERROR(IF(OR($B4664="",$B4664="(blank)"),"",VLOOKUP($B4664,'Email Marketing Raw Data'!$C:$O,7,0)),"")</f>
        <v/>
      </c>
      <c r="P4664" s="55" t="str">
        <f>IFERROR(IF(OR($B4664="",$B4664="(blank)"),"",VLOOKUP($B4664,'Email Marketing Raw Data'!$C:$O,8,0)),"")</f>
        <v/>
      </c>
      <c r="Q4664" s="62" t="str">
        <f>IFERROR(IF(OR($B4664="",$B4664="(blank)"),"",VLOOKUP($B4664,'Email Marketing Raw Data'!$C:$O,9,0)),"")</f>
        <v/>
      </c>
    </row>
    <row r="4665" spans="4:17" ht="12.75" customHeight="1" x14ac:dyDescent="0.2">
      <c r="D4665" s="58" t="str">
        <f>IFERROR(IF(F4665&lt;&gt;"pending","",IF(OR($B4665="",$B4665="(blank)"),"",VLOOKUP($B4665,'Email Marketing Raw Data'!$C:$O,10,0))),"")</f>
        <v/>
      </c>
      <c r="E4665" s="59" t="str">
        <f>IFERROR(IF(F4665&lt;&gt;"pending","",IF(OR($B4665="",$B4665="(blank)"),"",VLOOKUP($B4665,'Email Marketing Raw Data'!$C:$O,11,0))),"")</f>
        <v/>
      </c>
      <c r="F4665" s="54" t="str">
        <f>IFERROR(IF(OR($B4665="",$B4665="(blank)"),"",VLOOKUP($B4665,'Email Marketing Raw Data'!$C:$O,13,0)),"")</f>
        <v/>
      </c>
      <c r="G4665" s="55" t="str">
        <f>IFERROR(IF(OR($B4665="",$B4665="(blank)"),"",VLOOKUP($B4665,'Email Marketing Raw Data'!$C:$O,4,0)),"")</f>
        <v/>
      </c>
      <c r="H4665" s="55" t="str">
        <f>IFERROR(IF(OR($B4665="",$B4665="(blank)"),"",VLOOKUP($B4665,'Email Marketing Raw Data'!$C:$O,5,0)),"")</f>
        <v/>
      </c>
      <c r="I4665" s="55" t="str">
        <f>IFERROR(IF($G4665="","",VLOOKUP('Dashboard And Emails Automate'!$G4665,Database!$H:$N,3,0)),"")</f>
        <v/>
      </c>
      <c r="J4665" s="55" t="str">
        <f>IFERROR(IF($G4665="","",VLOOKUP('Dashboard And Emails Automate'!$G4665,Database!$H:$N,4,0)),"")</f>
        <v/>
      </c>
      <c r="K4665" s="55" t="str">
        <f>IFERROR(IF($G4665="","",VLOOKUP('Dashboard And Emails Automate'!$G4665,Database!$H:$N,5,0)),"")</f>
        <v/>
      </c>
      <c r="L4665" s="55" t="str">
        <f>IFERROR(IF($G4665="","",VLOOKUP('Dashboard And Emails Automate'!$G4665,Database!$H:$N,6,0)),"")</f>
        <v/>
      </c>
      <c r="M4665" s="55" t="str">
        <f>IFERROR(IF($G4665="","",VLOOKUP('Dashboard And Emails Automate'!$G4665,Database!$H:$N,7,0)),"")</f>
        <v/>
      </c>
      <c r="N4665" s="55" t="str">
        <f>IFERROR(IF(OR($B4665="",$B4665="(blank)"),"",VLOOKUP($B4665,'Email Marketing Raw Data'!$C:$O,6,0)),"")</f>
        <v/>
      </c>
      <c r="O4665" s="55" t="str">
        <f>IFERROR(IF(OR($B4665="",$B4665="(blank)"),"",VLOOKUP($B4665,'Email Marketing Raw Data'!$C:$O,7,0)),"")</f>
        <v/>
      </c>
      <c r="P4665" s="55" t="str">
        <f>IFERROR(IF(OR($B4665="",$B4665="(blank)"),"",VLOOKUP($B4665,'Email Marketing Raw Data'!$C:$O,8,0)),"")</f>
        <v/>
      </c>
      <c r="Q4665" s="62" t="str">
        <f>IFERROR(IF(OR($B4665="",$B4665="(blank)"),"",VLOOKUP($B4665,'Email Marketing Raw Data'!$C:$O,9,0)),"")</f>
        <v/>
      </c>
    </row>
    <row r="4666" spans="4:17" ht="12.75" customHeight="1" x14ac:dyDescent="0.2">
      <c r="D4666" s="58" t="str">
        <f>IFERROR(IF(F4666&lt;&gt;"pending","",IF(OR($B4666="",$B4666="(blank)"),"",VLOOKUP($B4666,'Email Marketing Raw Data'!$C:$O,10,0))),"")</f>
        <v/>
      </c>
      <c r="E4666" s="59" t="str">
        <f>IFERROR(IF(F4666&lt;&gt;"pending","",IF(OR($B4666="",$B4666="(blank)"),"",VLOOKUP($B4666,'Email Marketing Raw Data'!$C:$O,11,0))),"")</f>
        <v/>
      </c>
      <c r="F4666" s="54" t="str">
        <f>IFERROR(IF(OR($B4666="",$B4666="(blank)"),"",VLOOKUP($B4666,'Email Marketing Raw Data'!$C:$O,13,0)),"")</f>
        <v/>
      </c>
      <c r="G4666" s="55" t="str">
        <f>IFERROR(IF(OR($B4666="",$B4666="(blank)"),"",VLOOKUP($B4666,'Email Marketing Raw Data'!$C:$O,4,0)),"")</f>
        <v/>
      </c>
      <c r="H4666" s="55" t="str">
        <f>IFERROR(IF(OR($B4666="",$B4666="(blank)"),"",VLOOKUP($B4666,'Email Marketing Raw Data'!$C:$O,5,0)),"")</f>
        <v/>
      </c>
      <c r="I4666" s="55" t="str">
        <f>IFERROR(IF($G4666="","",VLOOKUP('Dashboard And Emails Automate'!$G4666,Database!$H:$N,3,0)),"")</f>
        <v/>
      </c>
      <c r="J4666" s="55" t="str">
        <f>IFERROR(IF($G4666="","",VLOOKUP('Dashboard And Emails Automate'!$G4666,Database!$H:$N,4,0)),"")</f>
        <v/>
      </c>
      <c r="K4666" s="55" t="str">
        <f>IFERROR(IF($G4666="","",VLOOKUP('Dashboard And Emails Automate'!$G4666,Database!$H:$N,5,0)),"")</f>
        <v/>
      </c>
      <c r="L4666" s="55" t="str">
        <f>IFERROR(IF($G4666="","",VLOOKUP('Dashboard And Emails Automate'!$G4666,Database!$H:$N,6,0)),"")</f>
        <v/>
      </c>
      <c r="M4666" s="55" t="str">
        <f>IFERROR(IF($G4666="","",VLOOKUP('Dashboard And Emails Automate'!$G4666,Database!$H:$N,7,0)),"")</f>
        <v/>
      </c>
      <c r="N4666" s="55" t="str">
        <f>IFERROR(IF(OR($B4666="",$B4666="(blank)"),"",VLOOKUP($B4666,'Email Marketing Raw Data'!$C:$O,6,0)),"")</f>
        <v/>
      </c>
      <c r="O4666" s="55" t="str">
        <f>IFERROR(IF(OR($B4666="",$B4666="(blank)"),"",VLOOKUP($B4666,'Email Marketing Raw Data'!$C:$O,7,0)),"")</f>
        <v/>
      </c>
      <c r="P4666" s="55" t="str">
        <f>IFERROR(IF(OR($B4666="",$B4666="(blank)"),"",VLOOKUP($B4666,'Email Marketing Raw Data'!$C:$O,8,0)),"")</f>
        <v/>
      </c>
      <c r="Q4666" s="62" t="str">
        <f>IFERROR(IF(OR($B4666="",$B4666="(blank)"),"",VLOOKUP($B4666,'Email Marketing Raw Data'!$C:$O,9,0)),"")</f>
        <v/>
      </c>
    </row>
    <row r="4667" spans="4:17" ht="12.75" customHeight="1" x14ac:dyDescent="0.2">
      <c r="D4667" s="58" t="str">
        <f>IFERROR(IF(F4667&lt;&gt;"pending","",IF(OR($B4667="",$B4667="(blank)"),"",VLOOKUP($B4667,'Email Marketing Raw Data'!$C:$O,10,0))),"")</f>
        <v/>
      </c>
      <c r="E4667" s="59" t="str">
        <f>IFERROR(IF(F4667&lt;&gt;"pending","",IF(OR($B4667="",$B4667="(blank)"),"",VLOOKUP($B4667,'Email Marketing Raw Data'!$C:$O,11,0))),"")</f>
        <v/>
      </c>
      <c r="F4667" s="54" t="str">
        <f>IFERROR(IF(OR($B4667="",$B4667="(blank)"),"",VLOOKUP($B4667,'Email Marketing Raw Data'!$C:$O,13,0)),"")</f>
        <v/>
      </c>
      <c r="G4667" s="55" t="str">
        <f>IFERROR(IF(OR($B4667="",$B4667="(blank)"),"",VLOOKUP($B4667,'Email Marketing Raw Data'!$C:$O,4,0)),"")</f>
        <v/>
      </c>
      <c r="H4667" s="55" t="str">
        <f>IFERROR(IF(OR($B4667="",$B4667="(blank)"),"",VLOOKUP($B4667,'Email Marketing Raw Data'!$C:$O,5,0)),"")</f>
        <v/>
      </c>
      <c r="I4667" s="55" t="str">
        <f>IFERROR(IF($G4667="","",VLOOKUP('Dashboard And Emails Automate'!$G4667,Database!$H:$N,3,0)),"")</f>
        <v/>
      </c>
      <c r="J4667" s="55" t="str">
        <f>IFERROR(IF($G4667="","",VLOOKUP('Dashboard And Emails Automate'!$G4667,Database!$H:$N,4,0)),"")</f>
        <v/>
      </c>
      <c r="K4667" s="55" t="str">
        <f>IFERROR(IF($G4667="","",VLOOKUP('Dashboard And Emails Automate'!$G4667,Database!$H:$N,5,0)),"")</f>
        <v/>
      </c>
      <c r="L4667" s="55" t="str">
        <f>IFERROR(IF($G4667="","",VLOOKUP('Dashboard And Emails Automate'!$G4667,Database!$H:$N,6,0)),"")</f>
        <v/>
      </c>
      <c r="M4667" s="55" t="str">
        <f>IFERROR(IF($G4667="","",VLOOKUP('Dashboard And Emails Automate'!$G4667,Database!$H:$N,7,0)),"")</f>
        <v/>
      </c>
      <c r="N4667" s="55" t="str">
        <f>IFERROR(IF(OR($B4667="",$B4667="(blank)"),"",VLOOKUP($B4667,'Email Marketing Raw Data'!$C:$O,6,0)),"")</f>
        <v/>
      </c>
      <c r="O4667" s="55" t="str">
        <f>IFERROR(IF(OR($B4667="",$B4667="(blank)"),"",VLOOKUP($B4667,'Email Marketing Raw Data'!$C:$O,7,0)),"")</f>
        <v/>
      </c>
      <c r="P4667" s="55" t="str">
        <f>IFERROR(IF(OR($B4667="",$B4667="(blank)"),"",VLOOKUP($B4667,'Email Marketing Raw Data'!$C:$O,8,0)),"")</f>
        <v/>
      </c>
      <c r="Q4667" s="62" t="str">
        <f>IFERROR(IF(OR($B4667="",$B4667="(blank)"),"",VLOOKUP($B4667,'Email Marketing Raw Data'!$C:$O,9,0)),"")</f>
        <v/>
      </c>
    </row>
    <row r="4668" spans="4:17" ht="12.75" customHeight="1" x14ac:dyDescent="0.2">
      <c r="D4668" s="58" t="str">
        <f>IFERROR(IF(F4668&lt;&gt;"pending","",IF(OR($B4668="",$B4668="(blank)"),"",VLOOKUP($B4668,'Email Marketing Raw Data'!$C:$O,10,0))),"")</f>
        <v/>
      </c>
      <c r="E4668" s="59" t="str">
        <f>IFERROR(IF(F4668&lt;&gt;"pending","",IF(OR($B4668="",$B4668="(blank)"),"",VLOOKUP($B4668,'Email Marketing Raw Data'!$C:$O,11,0))),"")</f>
        <v/>
      </c>
      <c r="F4668" s="54" t="str">
        <f>IFERROR(IF(OR($B4668="",$B4668="(blank)"),"",VLOOKUP($B4668,'Email Marketing Raw Data'!$C:$O,13,0)),"")</f>
        <v/>
      </c>
      <c r="G4668" s="55" t="str">
        <f>IFERROR(IF(OR($B4668="",$B4668="(blank)"),"",VLOOKUP($B4668,'Email Marketing Raw Data'!$C:$O,4,0)),"")</f>
        <v/>
      </c>
      <c r="H4668" s="55" t="str">
        <f>IFERROR(IF(OR($B4668="",$B4668="(blank)"),"",VLOOKUP($B4668,'Email Marketing Raw Data'!$C:$O,5,0)),"")</f>
        <v/>
      </c>
      <c r="I4668" s="55" t="str">
        <f>IFERROR(IF($G4668="","",VLOOKUP('Dashboard And Emails Automate'!$G4668,Database!$H:$N,3,0)),"")</f>
        <v/>
      </c>
      <c r="J4668" s="55" t="str">
        <f>IFERROR(IF($G4668="","",VLOOKUP('Dashboard And Emails Automate'!$G4668,Database!$H:$N,4,0)),"")</f>
        <v/>
      </c>
      <c r="K4668" s="55" t="str">
        <f>IFERROR(IF($G4668="","",VLOOKUP('Dashboard And Emails Automate'!$G4668,Database!$H:$N,5,0)),"")</f>
        <v/>
      </c>
      <c r="L4668" s="55" t="str">
        <f>IFERROR(IF($G4668="","",VLOOKUP('Dashboard And Emails Automate'!$G4668,Database!$H:$N,6,0)),"")</f>
        <v/>
      </c>
      <c r="M4668" s="55" t="str">
        <f>IFERROR(IF($G4668="","",VLOOKUP('Dashboard And Emails Automate'!$G4668,Database!$H:$N,7,0)),"")</f>
        <v/>
      </c>
      <c r="N4668" s="55" t="str">
        <f>IFERROR(IF(OR($B4668="",$B4668="(blank)"),"",VLOOKUP($B4668,'Email Marketing Raw Data'!$C:$O,6,0)),"")</f>
        <v/>
      </c>
      <c r="O4668" s="55" t="str">
        <f>IFERROR(IF(OR($B4668="",$B4668="(blank)"),"",VLOOKUP($B4668,'Email Marketing Raw Data'!$C:$O,7,0)),"")</f>
        <v/>
      </c>
      <c r="P4668" s="55" t="str">
        <f>IFERROR(IF(OR($B4668="",$B4668="(blank)"),"",VLOOKUP($B4668,'Email Marketing Raw Data'!$C:$O,8,0)),"")</f>
        <v/>
      </c>
      <c r="Q4668" s="62" t="str">
        <f>IFERROR(IF(OR($B4668="",$B4668="(blank)"),"",VLOOKUP($B4668,'Email Marketing Raw Data'!$C:$O,9,0)),"")</f>
        <v/>
      </c>
    </row>
    <row r="4669" spans="4:17" ht="12.75" customHeight="1" x14ac:dyDescent="0.2">
      <c r="D4669" s="58" t="str">
        <f>IFERROR(IF(F4669&lt;&gt;"pending","",IF(OR($B4669="",$B4669="(blank)"),"",VLOOKUP($B4669,'Email Marketing Raw Data'!$C:$O,10,0))),"")</f>
        <v/>
      </c>
      <c r="E4669" s="59" t="str">
        <f>IFERROR(IF(F4669&lt;&gt;"pending","",IF(OR($B4669="",$B4669="(blank)"),"",VLOOKUP($B4669,'Email Marketing Raw Data'!$C:$O,11,0))),"")</f>
        <v/>
      </c>
      <c r="F4669" s="54" t="str">
        <f>IFERROR(IF(OR($B4669="",$B4669="(blank)"),"",VLOOKUP($B4669,'Email Marketing Raw Data'!$C:$O,13,0)),"")</f>
        <v/>
      </c>
      <c r="G4669" s="55" t="str">
        <f>IFERROR(IF(OR($B4669="",$B4669="(blank)"),"",VLOOKUP($B4669,'Email Marketing Raw Data'!$C:$O,4,0)),"")</f>
        <v/>
      </c>
      <c r="H4669" s="55" t="str">
        <f>IFERROR(IF(OR($B4669="",$B4669="(blank)"),"",VLOOKUP($B4669,'Email Marketing Raw Data'!$C:$O,5,0)),"")</f>
        <v/>
      </c>
      <c r="I4669" s="55" t="str">
        <f>IFERROR(IF($G4669="","",VLOOKUP('Dashboard And Emails Automate'!$G4669,Database!$H:$N,3,0)),"")</f>
        <v/>
      </c>
      <c r="J4669" s="55" t="str">
        <f>IFERROR(IF($G4669="","",VLOOKUP('Dashboard And Emails Automate'!$G4669,Database!$H:$N,4,0)),"")</f>
        <v/>
      </c>
      <c r="K4669" s="55" t="str">
        <f>IFERROR(IF($G4669="","",VLOOKUP('Dashboard And Emails Automate'!$G4669,Database!$H:$N,5,0)),"")</f>
        <v/>
      </c>
      <c r="L4669" s="55" t="str">
        <f>IFERROR(IF($G4669="","",VLOOKUP('Dashboard And Emails Automate'!$G4669,Database!$H:$N,6,0)),"")</f>
        <v/>
      </c>
      <c r="M4669" s="55" t="str">
        <f>IFERROR(IF($G4669="","",VLOOKUP('Dashboard And Emails Automate'!$G4669,Database!$H:$N,7,0)),"")</f>
        <v/>
      </c>
      <c r="N4669" s="55" t="str">
        <f>IFERROR(IF(OR($B4669="",$B4669="(blank)"),"",VLOOKUP($B4669,'Email Marketing Raw Data'!$C:$O,6,0)),"")</f>
        <v/>
      </c>
      <c r="O4669" s="55" t="str">
        <f>IFERROR(IF(OR($B4669="",$B4669="(blank)"),"",VLOOKUP($B4669,'Email Marketing Raw Data'!$C:$O,7,0)),"")</f>
        <v/>
      </c>
      <c r="P4669" s="55" t="str">
        <f>IFERROR(IF(OR($B4669="",$B4669="(blank)"),"",VLOOKUP($B4669,'Email Marketing Raw Data'!$C:$O,8,0)),"")</f>
        <v/>
      </c>
      <c r="Q4669" s="62" t="str">
        <f>IFERROR(IF(OR($B4669="",$B4669="(blank)"),"",VLOOKUP($B4669,'Email Marketing Raw Data'!$C:$O,9,0)),"")</f>
        <v/>
      </c>
    </row>
    <row r="4670" spans="4:17" ht="12.75" customHeight="1" x14ac:dyDescent="0.2">
      <c r="D4670" s="58" t="str">
        <f>IFERROR(IF(F4670&lt;&gt;"pending","",IF(OR($B4670="",$B4670="(blank)"),"",VLOOKUP($B4670,'Email Marketing Raw Data'!$C:$O,10,0))),"")</f>
        <v/>
      </c>
      <c r="E4670" s="59" t="str">
        <f>IFERROR(IF(F4670&lt;&gt;"pending","",IF(OR($B4670="",$B4670="(blank)"),"",VLOOKUP($B4670,'Email Marketing Raw Data'!$C:$O,11,0))),"")</f>
        <v/>
      </c>
      <c r="F4670" s="54" t="str">
        <f>IFERROR(IF(OR($B4670="",$B4670="(blank)"),"",VLOOKUP($B4670,'Email Marketing Raw Data'!$C:$O,13,0)),"")</f>
        <v/>
      </c>
      <c r="G4670" s="55" t="str">
        <f>IFERROR(IF(OR($B4670="",$B4670="(blank)"),"",VLOOKUP($B4670,'Email Marketing Raw Data'!$C:$O,4,0)),"")</f>
        <v/>
      </c>
      <c r="H4670" s="55" t="str">
        <f>IFERROR(IF(OR($B4670="",$B4670="(blank)"),"",VLOOKUP($B4670,'Email Marketing Raw Data'!$C:$O,5,0)),"")</f>
        <v/>
      </c>
      <c r="I4670" s="55" t="str">
        <f>IFERROR(IF($G4670="","",VLOOKUP('Dashboard And Emails Automate'!$G4670,Database!$H:$N,3,0)),"")</f>
        <v/>
      </c>
      <c r="J4670" s="55" t="str">
        <f>IFERROR(IF($G4670="","",VLOOKUP('Dashboard And Emails Automate'!$G4670,Database!$H:$N,4,0)),"")</f>
        <v/>
      </c>
      <c r="K4670" s="55" t="str">
        <f>IFERROR(IF($G4670="","",VLOOKUP('Dashboard And Emails Automate'!$G4670,Database!$H:$N,5,0)),"")</f>
        <v/>
      </c>
      <c r="L4670" s="55" t="str">
        <f>IFERROR(IF($G4670="","",VLOOKUP('Dashboard And Emails Automate'!$G4670,Database!$H:$N,6,0)),"")</f>
        <v/>
      </c>
      <c r="M4670" s="55" t="str">
        <f>IFERROR(IF($G4670="","",VLOOKUP('Dashboard And Emails Automate'!$G4670,Database!$H:$N,7,0)),"")</f>
        <v/>
      </c>
      <c r="N4670" s="55" t="str">
        <f>IFERROR(IF(OR($B4670="",$B4670="(blank)"),"",VLOOKUP($B4670,'Email Marketing Raw Data'!$C:$O,6,0)),"")</f>
        <v/>
      </c>
      <c r="O4670" s="55" t="str">
        <f>IFERROR(IF(OR($B4670="",$B4670="(blank)"),"",VLOOKUP($B4670,'Email Marketing Raw Data'!$C:$O,7,0)),"")</f>
        <v/>
      </c>
      <c r="P4670" s="55" t="str">
        <f>IFERROR(IF(OR($B4670="",$B4670="(blank)"),"",VLOOKUP($B4670,'Email Marketing Raw Data'!$C:$O,8,0)),"")</f>
        <v/>
      </c>
      <c r="Q4670" s="62" t="str">
        <f>IFERROR(IF(OR($B4670="",$B4670="(blank)"),"",VLOOKUP($B4670,'Email Marketing Raw Data'!$C:$O,9,0)),"")</f>
        <v/>
      </c>
    </row>
    <row r="4671" spans="4:17" ht="12.75" customHeight="1" x14ac:dyDescent="0.2">
      <c r="D4671" s="58" t="str">
        <f>IFERROR(IF(F4671&lt;&gt;"pending","",IF(OR($B4671="",$B4671="(blank)"),"",VLOOKUP($B4671,'Email Marketing Raw Data'!$C:$O,10,0))),"")</f>
        <v/>
      </c>
      <c r="E4671" s="59" t="str">
        <f>IFERROR(IF(F4671&lt;&gt;"pending","",IF(OR($B4671="",$B4671="(blank)"),"",VLOOKUP($B4671,'Email Marketing Raw Data'!$C:$O,11,0))),"")</f>
        <v/>
      </c>
      <c r="F4671" s="54" t="str">
        <f>IFERROR(IF(OR($B4671="",$B4671="(blank)"),"",VLOOKUP($B4671,'Email Marketing Raw Data'!$C:$O,13,0)),"")</f>
        <v/>
      </c>
      <c r="G4671" s="55" t="str">
        <f>IFERROR(IF(OR($B4671="",$B4671="(blank)"),"",VLOOKUP($B4671,'Email Marketing Raw Data'!$C:$O,4,0)),"")</f>
        <v/>
      </c>
      <c r="H4671" s="55" t="str">
        <f>IFERROR(IF(OR($B4671="",$B4671="(blank)"),"",VLOOKUP($B4671,'Email Marketing Raw Data'!$C:$O,5,0)),"")</f>
        <v/>
      </c>
      <c r="I4671" s="55" t="str">
        <f>IFERROR(IF($G4671="","",VLOOKUP('Dashboard And Emails Automate'!$G4671,Database!$H:$N,3,0)),"")</f>
        <v/>
      </c>
      <c r="J4671" s="55" t="str">
        <f>IFERROR(IF($G4671="","",VLOOKUP('Dashboard And Emails Automate'!$G4671,Database!$H:$N,4,0)),"")</f>
        <v/>
      </c>
      <c r="K4671" s="55" t="str">
        <f>IFERROR(IF($G4671="","",VLOOKUP('Dashboard And Emails Automate'!$G4671,Database!$H:$N,5,0)),"")</f>
        <v/>
      </c>
      <c r="L4671" s="55" t="str">
        <f>IFERROR(IF($G4671="","",VLOOKUP('Dashboard And Emails Automate'!$G4671,Database!$H:$N,6,0)),"")</f>
        <v/>
      </c>
      <c r="M4671" s="55" t="str">
        <f>IFERROR(IF($G4671="","",VLOOKUP('Dashboard And Emails Automate'!$G4671,Database!$H:$N,7,0)),"")</f>
        <v/>
      </c>
      <c r="N4671" s="55" t="str">
        <f>IFERROR(IF(OR($B4671="",$B4671="(blank)"),"",VLOOKUP($B4671,'Email Marketing Raw Data'!$C:$O,6,0)),"")</f>
        <v/>
      </c>
      <c r="O4671" s="55" t="str">
        <f>IFERROR(IF(OR($B4671="",$B4671="(blank)"),"",VLOOKUP($B4671,'Email Marketing Raw Data'!$C:$O,7,0)),"")</f>
        <v/>
      </c>
      <c r="P4671" s="55" t="str">
        <f>IFERROR(IF(OR($B4671="",$B4671="(blank)"),"",VLOOKUP($B4671,'Email Marketing Raw Data'!$C:$O,8,0)),"")</f>
        <v/>
      </c>
      <c r="Q4671" s="62" t="str">
        <f>IFERROR(IF(OR($B4671="",$B4671="(blank)"),"",VLOOKUP($B4671,'Email Marketing Raw Data'!$C:$O,9,0)),"")</f>
        <v/>
      </c>
    </row>
    <row r="4672" spans="4:17" ht="12.75" customHeight="1" x14ac:dyDescent="0.2">
      <c r="D4672" s="58" t="str">
        <f>IFERROR(IF(F4672&lt;&gt;"pending","",IF(OR($B4672="",$B4672="(blank)"),"",VLOOKUP($B4672,'Email Marketing Raw Data'!$C:$O,10,0))),"")</f>
        <v/>
      </c>
      <c r="E4672" s="59" t="str">
        <f>IFERROR(IF(F4672&lt;&gt;"pending","",IF(OR($B4672="",$B4672="(blank)"),"",VLOOKUP($B4672,'Email Marketing Raw Data'!$C:$O,11,0))),"")</f>
        <v/>
      </c>
      <c r="F4672" s="54" t="str">
        <f>IFERROR(IF(OR($B4672="",$B4672="(blank)"),"",VLOOKUP($B4672,'Email Marketing Raw Data'!$C:$O,13,0)),"")</f>
        <v/>
      </c>
      <c r="G4672" s="55" t="str">
        <f>IFERROR(IF(OR($B4672="",$B4672="(blank)"),"",VLOOKUP($B4672,'Email Marketing Raw Data'!$C:$O,4,0)),"")</f>
        <v/>
      </c>
      <c r="H4672" s="55" t="str">
        <f>IFERROR(IF(OR($B4672="",$B4672="(blank)"),"",VLOOKUP($B4672,'Email Marketing Raw Data'!$C:$O,5,0)),"")</f>
        <v/>
      </c>
      <c r="I4672" s="55" t="str">
        <f>IFERROR(IF($G4672="","",VLOOKUP('Dashboard And Emails Automate'!$G4672,Database!$H:$N,3,0)),"")</f>
        <v/>
      </c>
      <c r="J4672" s="55" t="str">
        <f>IFERROR(IF($G4672="","",VLOOKUP('Dashboard And Emails Automate'!$G4672,Database!$H:$N,4,0)),"")</f>
        <v/>
      </c>
      <c r="K4672" s="55" t="str">
        <f>IFERROR(IF($G4672="","",VLOOKUP('Dashboard And Emails Automate'!$G4672,Database!$H:$N,5,0)),"")</f>
        <v/>
      </c>
      <c r="L4672" s="55" t="str">
        <f>IFERROR(IF($G4672="","",VLOOKUP('Dashboard And Emails Automate'!$G4672,Database!$H:$N,6,0)),"")</f>
        <v/>
      </c>
      <c r="M4672" s="55" t="str">
        <f>IFERROR(IF($G4672="","",VLOOKUP('Dashboard And Emails Automate'!$G4672,Database!$H:$N,7,0)),"")</f>
        <v/>
      </c>
      <c r="N4672" s="55" t="str">
        <f>IFERROR(IF(OR($B4672="",$B4672="(blank)"),"",VLOOKUP($B4672,'Email Marketing Raw Data'!$C:$O,6,0)),"")</f>
        <v/>
      </c>
      <c r="O4672" s="55" t="str">
        <f>IFERROR(IF(OR($B4672="",$B4672="(blank)"),"",VLOOKUP($B4672,'Email Marketing Raw Data'!$C:$O,7,0)),"")</f>
        <v/>
      </c>
      <c r="P4672" s="55" t="str">
        <f>IFERROR(IF(OR($B4672="",$B4672="(blank)"),"",VLOOKUP($B4672,'Email Marketing Raw Data'!$C:$O,8,0)),"")</f>
        <v/>
      </c>
      <c r="Q4672" s="62" t="str">
        <f>IFERROR(IF(OR($B4672="",$B4672="(blank)"),"",VLOOKUP($B4672,'Email Marketing Raw Data'!$C:$O,9,0)),"")</f>
        <v/>
      </c>
    </row>
    <row r="4673" spans="4:17" ht="12.75" customHeight="1" x14ac:dyDescent="0.2">
      <c r="D4673" s="58" t="str">
        <f>IFERROR(IF(F4673&lt;&gt;"pending","",IF(OR($B4673="",$B4673="(blank)"),"",VLOOKUP($B4673,'Email Marketing Raw Data'!$C:$O,10,0))),"")</f>
        <v/>
      </c>
      <c r="E4673" s="59" t="str">
        <f>IFERROR(IF(F4673&lt;&gt;"pending","",IF(OR($B4673="",$B4673="(blank)"),"",VLOOKUP($B4673,'Email Marketing Raw Data'!$C:$O,11,0))),"")</f>
        <v/>
      </c>
      <c r="F4673" s="54" t="str">
        <f>IFERROR(IF(OR($B4673="",$B4673="(blank)"),"",VLOOKUP($B4673,'Email Marketing Raw Data'!$C:$O,13,0)),"")</f>
        <v/>
      </c>
      <c r="G4673" s="55" t="str">
        <f>IFERROR(IF(OR($B4673="",$B4673="(blank)"),"",VLOOKUP($B4673,'Email Marketing Raw Data'!$C:$O,4,0)),"")</f>
        <v/>
      </c>
      <c r="H4673" s="55" t="str">
        <f>IFERROR(IF(OR($B4673="",$B4673="(blank)"),"",VLOOKUP($B4673,'Email Marketing Raw Data'!$C:$O,5,0)),"")</f>
        <v/>
      </c>
      <c r="I4673" s="55" t="str">
        <f>IFERROR(IF($G4673="","",VLOOKUP('Dashboard And Emails Automate'!$G4673,Database!$H:$N,3,0)),"")</f>
        <v/>
      </c>
      <c r="J4673" s="55" t="str">
        <f>IFERROR(IF($G4673="","",VLOOKUP('Dashboard And Emails Automate'!$G4673,Database!$H:$N,4,0)),"")</f>
        <v/>
      </c>
      <c r="K4673" s="55" t="str">
        <f>IFERROR(IF($G4673="","",VLOOKUP('Dashboard And Emails Automate'!$G4673,Database!$H:$N,5,0)),"")</f>
        <v/>
      </c>
      <c r="L4673" s="55" t="str">
        <f>IFERROR(IF($G4673="","",VLOOKUP('Dashboard And Emails Automate'!$G4673,Database!$H:$N,6,0)),"")</f>
        <v/>
      </c>
      <c r="M4673" s="55" t="str">
        <f>IFERROR(IF($G4673="","",VLOOKUP('Dashboard And Emails Automate'!$G4673,Database!$H:$N,7,0)),"")</f>
        <v/>
      </c>
      <c r="N4673" s="55" t="str">
        <f>IFERROR(IF(OR($B4673="",$B4673="(blank)"),"",VLOOKUP($B4673,'Email Marketing Raw Data'!$C:$O,6,0)),"")</f>
        <v/>
      </c>
      <c r="O4673" s="55" t="str">
        <f>IFERROR(IF(OR($B4673="",$B4673="(blank)"),"",VLOOKUP($B4673,'Email Marketing Raw Data'!$C:$O,7,0)),"")</f>
        <v/>
      </c>
      <c r="P4673" s="55" t="str">
        <f>IFERROR(IF(OR($B4673="",$B4673="(blank)"),"",VLOOKUP($B4673,'Email Marketing Raw Data'!$C:$O,8,0)),"")</f>
        <v/>
      </c>
      <c r="Q4673" s="62" t="str">
        <f>IFERROR(IF(OR($B4673="",$B4673="(blank)"),"",VLOOKUP($B4673,'Email Marketing Raw Data'!$C:$O,9,0)),"")</f>
        <v/>
      </c>
    </row>
    <row r="4674" spans="4:17" ht="12.75" customHeight="1" x14ac:dyDescent="0.2">
      <c r="D4674" s="58" t="str">
        <f>IFERROR(IF(F4674&lt;&gt;"pending","",IF(OR($B4674="",$B4674="(blank)"),"",VLOOKUP($B4674,'Email Marketing Raw Data'!$C:$O,10,0))),"")</f>
        <v/>
      </c>
      <c r="E4674" s="59" t="str">
        <f>IFERROR(IF(F4674&lt;&gt;"pending","",IF(OR($B4674="",$B4674="(blank)"),"",VLOOKUP($B4674,'Email Marketing Raw Data'!$C:$O,11,0))),"")</f>
        <v/>
      </c>
      <c r="F4674" s="54" t="str">
        <f>IFERROR(IF(OR($B4674="",$B4674="(blank)"),"",VLOOKUP($B4674,'Email Marketing Raw Data'!$C:$O,13,0)),"")</f>
        <v/>
      </c>
      <c r="G4674" s="55" t="str">
        <f>IFERROR(IF(OR($B4674="",$B4674="(blank)"),"",VLOOKUP($B4674,'Email Marketing Raw Data'!$C:$O,4,0)),"")</f>
        <v/>
      </c>
      <c r="H4674" s="55" t="str">
        <f>IFERROR(IF(OR($B4674="",$B4674="(blank)"),"",VLOOKUP($B4674,'Email Marketing Raw Data'!$C:$O,5,0)),"")</f>
        <v/>
      </c>
      <c r="I4674" s="55" t="str">
        <f>IFERROR(IF($G4674="","",VLOOKUP('Dashboard And Emails Automate'!$G4674,Database!$H:$N,3,0)),"")</f>
        <v/>
      </c>
      <c r="J4674" s="55" t="str">
        <f>IFERROR(IF($G4674="","",VLOOKUP('Dashboard And Emails Automate'!$G4674,Database!$H:$N,4,0)),"")</f>
        <v/>
      </c>
      <c r="K4674" s="55" t="str">
        <f>IFERROR(IF($G4674="","",VLOOKUP('Dashboard And Emails Automate'!$G4674,Database!$H:$N,5,0)),"")</f>
        <v/>
      </c>
      <c r="L4674" s="55" t="str">
        <f>IFERROR(IF($G4674="","",VLOOKUP('Dashboard And Emails Automate'!$G4674,Database!$H:$N,6,0)),"")</f>
        <v/>
      </c>
      <c r="M4674" s="55" t="str">
        <f>IFERROR(IF($G4674="","",VLOOKUP('Dashboard And Emails Automate'!$G4674,Database!$H:$N,7,0)),"")</f>
        <v/>
      </c>
      <c r="N4674" s="55" t="str">
        <f>IFERROR(IF(OR($B4674="",$B4674="(blank)"),"",VLOOKUP($B4674,'Email Marketing Raw Data'!$C:$O,6,0)),"")</f>
        <v/>
      </c>
      <c r="O4674" s="55" t="str">
        <f>IFERROR(IF(OR($B4674="",$B4674="(blank)"),"",VLOOKUP($B4674,'Email Marketing Raw Data'!$C:$O,7,0)),"")</f>
        <v/>
      </c>
      <c r="P4674" s="55" t="str">
        <f>IFERROR(IF(OR($B4674="",$B4674="(blank)"),"",VLOOKUP($B4674,'Email Marketing Raw Data'!$C:$O,8,0)),"")</f>
        <v/>
      </c>
      <c r="Q4674" s="62" t="str">
        <f>IFERROR(IF(OR($B4674="",$B4674="(blank)"),"",VLOOKUP($B4674,'Email Marketing Raw Data'!$C:$O,9,0)),"")</f>
        <v/>
      </c>
    </row>
    <row r="4675" spans="4:17" ht="12.75" customHeight="1" x14ac:dyDescent="0.2">
      <c r="D4675" s="58" t="str">
        <f>IFERROR(IF(F4675&lt;&gt;"pending","",IF(OR($B4675="",$B4675="(blank)"),"",VLOOKUP($B4675,'Email Marketing Raw Data'!$C:$O,10,0))),"")</f>
        <v/>
      </c>
      <c r="E4675" s="59" t="str">
        <f>IFERROR(IF(F4675&lt;&gt;"pending","",IF(OR($B4675="",$B4675="(blank)"),"",VLOOKUP($B4675,'Email Marketing Raw Data'!$C:$O,11,0))),"")</f>
        <v/>
      </c>
      <c r="F4675" s="54" t="str">
        <f>IFERROR(IF(OR($B4675="",$B4675="(blank)"),"",VLOOKUP($B4675,'Email Marketing Raw Data'!$C:$O,13,0)),"")</f>
        <v/>
      </c>
      <c r="G4675" s="55" t="str">
        <f>IFERROR(IF(OR($B4675="",$B4675="(blank)"),"",VLOOKUP($B4675,'Email Marketing Raw Data'!$C:$O,4,0)),"")</f>
        <v/>
      </c>
      <c r="H4675" s="55" t="str">
        <f>IFERROR(IF(OR($B4675="",$B4675="(blank)"),"",VLOOKUP($B4675,'Email Marketing Raw Data'!$C:$O,5,0)),"")</f>
        <v/>
      </c>
      <c r="I4675" s="55" t="str">
        <f>IFERROR(IF($G4675="","",VLOOKUP('Dashboard And Emails Automate'!$G4675,Database!$H:$N,3,0)),"")</f>
        <v/>
      </c>
      <c r="J4675" s="55" t="str">
        <f>IFERROR(IF($G4675="","",VLOOKUP('Dashboard And Emails Automate'!$G4675,Database!$H:$N,4,0)),"")</f>
        <v/>
      </c>
      <c r="K4675" s="55" t="str">
        <f>IFERROR(IF($G4675="","",VLOOKUP('Dashboard And Emails Automate'!$G4675,Database!$H:$N,5,0)),"")</f>
        <v/>
      </c>
      <c r="L4675" s="55" t="str">
        <f>IFERROR(IF($G4675="","",VLOOKUP('Dashboard And Emails Automate'!$G4675,Database!$H:$N,6,0)),"")</f>
        <v/>
      </c>
      <c r="M4675" s="55" t="str">
        <f>IFERROR(IF($G4675="","",VLOOKUP('Dashboard And Emails Automate'!$G4675,Database!$H:$N,7,0)),"")</f>
        <v/>
      </c>
      <c r="N4675" s="55" t="str">
        <f>IFERROR(IF(OR($B4675="",$B4675="(blank)"),"",VLOOKUP($B4675,'Email Marketing Raw Data'!$C:$O,6,0)),"")</f>
        <v/>
      </c>
      <c r="O4675" s="55" t="str">
        <f>IFERROR(IF(OR($B4675="",$B4675="(blank)"),"",VLOOKUP($B4675,'Email Marketing Raw Data'!$C:$O,7,0)),"")</f>
        <v/>
      </c>
      <c r="P4675" s="55" t="str">
        <f>IFERROR(IF(OR($B4675="",$B4675="(blank)"),"",VLOOKUP($B4675,'Email Marketing Raw Data'!$C:$O,8,0)),"")</f>
        <v/>
      </c>
      <c r="Q4675" s="62" t="str">
        <f>IFERROR(IF(OR($B4675="",$B4675="(blank)"),"",VLOOKUP($B4675,'Email Marketing Raw Data'!$C:$O,9,0)),"")</f>
        <v/>
      </c>
    </row>
    <row r="4676" spans="4:17" ht="12.75" customHeight="1" x14ac:dyDescent="0.2">
      <c r="D4676" s="58" t="str">
        <f>IFERROR(IF(F4676&lt;&gt;"pending","",IF(OR($B4676="",$B4676="(blank)"),"",VLOOKUP($B4676,'Email Marketing Raw Data'!$C:$O,10,0))),"")</f>
        <v/>
      </c>
      <c r="E4676" s="59" t="str">
        <f>IFERROR(IF(F4676&lt;&gt;"pending","",IF(OR($B4676="",$B4676="(blank)"),"",VLOOKUP($B4676,'Email Marketing Raw Data'!$C:$O,11,0))),"")</f>
        <v/>
      </c>
      <c r="F4676" s="54" t="str">
        <f>IFERROR(IF(OR($B4676="",$B4676="(blank)"),"",VLOOKUP($B4676,'Email Marketing Raw Data'!$C:$O,13,0)),"")</f>
        <v/>
      </c>
      <c r="G4676" s="55" t="str">
        <f>IFERROR(IF(OR($B4676="",$B4676="(blank)"),"",VLOOKUP($B4676,'Email Marketing Raw Data'!$C:$O,4,0)),"")</f>
        <v/>
      </c>
      <c r="H4676" s="55" t="str">
        <f>IFERROR(IF(OR($B4676="",$B4676="(blank)"),"",VLOOKUP($B4676,'Email Marketing Raw Data'!$C:$O,5,0)),"")</f>
        <v/>
      </c>
      <c r="I4676" s="55" t="str">
        <f>IFERROR(IF($G4676="","",VLOOKUP('Dashboard And Emails Automate'!$G4676,Database!$H:$N,3,0)),"")</f>
        <v/>
      </c>
      <c r="J4676" s="55" t="str">
        <f>IFERROR(IF($G4676="","",VLOOKUP('Dashboard And Emails Automate'!$G4676,Database!$H:$N,4,0)),"")</f>
        <v/>
      </c>
      <c r="K4676" s="55" t="str">
        <f>IFERROR(IF($G4676="","",VLOOKUP('Dashboard And Emails Automate'!$G4676,Database!$H:$N,5,0)),"")</f>
        <v/>
      </c>
      <c r="L4676" s="55" t="str">
        <f>IFERROR(IF($G4676="","",VLOOKUP('Dashboard And Emails Automate'!$G4676,Database!$H:$N,6,0)),"")</f>
        <v/>
      </c>
      <c r="M4676" s="55" t="str">
        <f>IFERROR(IF($G4676="","",VLOOKUP('Dashboard And Emails Automate'!$G4676,Database!$H:$N,7,0)),"")</f>
        <v/>
      </c>
      <c r="N4676" s="55" t="str">
        <f>IFERROR(IF(OR($B4676="",$B4676="(blank)"),"",VLOOKUP($B4676,'Email Marketing Raw Data'!$C:$O,6,0)),"")</f>
        <v/>
      </c>
      <c r="O4676" s="55" t="str">
        <f>IFERROR(IF(OR($B4676="",$B4676="(blank)"),"",VLOOKUP($B4676,'Email Marketing Raw Data'!$C:$O,7,0)),"")</f>
        <v/>
      </c>
      <c r="P4676" s="55" t="str">
        <f>IFERROR(IF(OR($B4676="",$B4676="(blank)"),"",VLOOKUP($B4676,'Email Marketing Raw Data'!$C:$O,8,0)),"")</f>
        <v/>
      </c>
      <c r="Q4676" s="62" t="str">
        <f>IFERROR(IF(OR($B4676="",$B4676="(blank)"),"",VLOOKUP($B4676,'Email Marketing Raw Data'!$C:$O,9,0)),"")</f>
        <v/>
      </c>
    </row>
    <row r="4677" spans="4:17" ht="12.75" customHeight="1" x14ac:dyDescent="0.2">
      <c r="D4677" s="58" t="str">
        <f>IFERROR(IF(F4677&lt;&gt;"pending","",IF(OR($B4677="",$B4677="(blank)"),"",VLOOKUP($B4677,'Email Marketing Raw Data'!$C:$O,10,0))),"")</f>
        <v/>
      </c>
      <c r="E4677" s="59" t="str">
        <f>IFERROR(IF(F4677&lt;&gt;"pending","",IF(OR($B4677="",$B4677="(blank)"),"",VLOOKUP($B4677,'Email Marketing Raw Data'!$C:$O,11,0))),"")</f>
        <v/>
      </c>
      <c r="F4677" s="54" t="str">
        <f>IFERROR(IF(OR($B4677="",$B4677="(blank)"),"",VLOOKUP($B4677,'Email Marketing Raw Data'!$C:$O,13,0)),"")</f>
        <v/>
      </c>
      <c r="G4677" s="55" t="str">
        <f>IFERROR(IF(OR($B4677="",$B4677="(blank)"),"",VLOOKUP($B4677,'Email Marketing Raw Data'!$C:$O,4,0)),"")</f>
        <v/>
      </c>
      <c r="H4677" s="55" t="str">
        <f>IFERROR(IF(OR($B4677="",$B4677="(blank)"),"",VLOOKUP($B4677,'Email Marketing Raw Data'!$C:$O,5,0)),"")</f>
        <v/>
      </c>
      <c r="I4677" s="55" t="str">
        <f>IFERROR(IF($G4677="","",VLOOKUP('Dashboard And Emails Automate'!$G4677,Database!$H:$N,3,0)),"")</f>
        <v/>
      </c>
      <c r="J4677" s="55" t="str">
        <f>IFERROR(IF($G4677="","",VLOOKUP('Dashboard And Emails Automate'!$G4677,Database!$H:$N,4,0)),"")</f>
        <v/>
      </c>
      <c r="K4677" s="55" t="str">
        <f>IFERROR(IF($G4677="","",VLOOKUP('Dashboard And Emails Automate'!$G4677,Database!$H:$N,5,0)),"")</f>
        <v/>
      </c>
      <c r="L4677" s="55" t="str">
        <f>IFERROR(IF($G4677="","",VLOOKUP('Dashboard And Emails Automate'!$G4677,Database!$H:$N,6,0)),"")</f>
        <v/>
      </c>
      <c r="M4677" s="55" t="str">
        <f>IFERROR(IF($G4677="","",VLOOKUP('Dashboard And Emails Automate'!$G4677,Database!$H:$N,7,0)),"")</f>
        <v/>
      </c>
      <c r="N4677" s="55" t="str">
        <f>IFERROR(IF(OR($B4677="",$B4677="(blank)"),"",VLOOKUP($B4677,'Email Marketing Raw Data'!$C:$O,6,0)),"")</f>
        <v/>
      </c>
      <c r="O4677" s="55" t="str">
        <f>IFERROR(IF(OR($B4677="",$B4677="(blank)"),"",VLOOKUP($B4677,'Email Marketing Raw Data'!$C:$O,7,0)),"")</f>
        <v/>
      </c>
      <c r="P4677" s="55" t="str">
        <f>IFERROR(IF(OR($B4677="",$B4677="(blank)"),"",VLOOKUP($B4677,'Email Marketing Raw Data'!$C:$O,8,0)),"")</f>
        <v/>
      </c>
      <c r="Q4677" s="62" t="str">
        <f>IFERROR(IF(OR($B4677="",$B4677="(blank)"),"",VLOOKUP($B4677,'Email Marketing Raw Data'!$C:$O,9,0)),"")</f>
        <v/>
      </c>
    </row>
    <row r="4678" spans="4:17" ht="12.75" customHeight="1" x14ac:dyDescent="0.2">
      <c r="D4678" s="58" t="str">
        <f>IFERROR(IF(F4678&lt;&gt;"pending","",IF(OR($B4678="",$B4678="(blank)"),"",VLOOKUP($B4678,'Email Marketing Raw Data'!$C:$O,10,0))),"")</f>
        <v/>
      </c>
      <c r="E4678" s="59" t="str">
        <f>IFERROR(IF(F4678&lt;&gt;"pending","",IF(OR($B4678="",$B4678="(blank)"),"",VLOOKUP($B4678,'Email Marketing Raw Data'!$C:$O,11,0))),"")</f>
        <v/>
      </c>
      <c r="F4678" s="54" t="str">
        <f>IFERROR(IF(OR($B4678="",$B4678="(blank)"),"",VLOOKUP($B4678,'Email Marketing Raw Data'!$C:$O,13,0)),"")</f>
        <v/>
      </c>
      <c r="G4678" s="55" t="str">
        <f>IFERROR(IF(OR($B4678="",$B4678="(blank)"),"",VLOOKUP($B4678,'Email Marketing Raw Data'!$C:$O,4,0)),"")</f>
        <v/>
      </c>
      <c r="H4678" s="55" t="str">
        <f>IFERROR(IF(OR($B4678="",$B4678="(blank)"),"",VLOOKUP($B4678,'Email Marketing Raw Data'!$C:$O,5,0)),"")</f>
        <v/>
      </c>
      <c r="I4678" s="55" t="str">
        <f>IFERROR(IF($G4678="","",VLOOKUP('Dashboard And Emails Automate'!$G4678,Database!$H:$N,3,0)),"")</f>
        <v/>
      </c>
      <c r="J4678" s="55" t="str">
        <f>IFERROR(IF($G4678="","",VLOOKUP('Dashboard And Emails Automate'!$G4678,Database!$H:$N,4,0)),"")</f>
        <v/>
      </c>
      <c r="K4678" s="55" t="str">
        <f>IFERROR(IF($G4678="","",VLOOKUP('Dashboard And Emails Automate'!$G4678,Database!$H:$N,5,0)),"")</f>
        <v/>
      </c>
      <c r="L4678" s="55" t="str">
        <f>IFERROR(IF($G4678="","",VLOOKUP('Dashboard And Emails Automate'!$G4678,Database!$H:$N,6,0)),"")</f>
        <v/>
      </c>
      <c r="M4678" s="55" t="str">
        <f>IFERROR(IF($G4678="","",VLOOKUP('Dashboard And Emails Automate'!$G4678,Database!$H:$N,7,0)),"")</f>
        <v/>
      </c>
      <c r="N4678" s="55" t="str">
        <f>IFERROR(IF(OR($B4678="",$B4678="(blank)"),"",VLOOKUP($B4678,'Email Marketing Raw Data'!$C:$O,6,0)),"")</f>
        <v/>
      </c>
      <c r="O4678" s="55" t="str">
        <f>IFERROR(IF(OR($B4678="",$B4678="(blank)"),"",VLOOKUP($B4678,'Email Marketing Raw Data'!$C:$O,7,0)),"")</f>
        <v/>
      </c>
      <c r="P4678" s="55" t="str">
        <f>IFERROR(IF(OR($B4678="",$B4678="(blank)"),"",VLOOKUP($B4678,'Email Marketing Raw Data'!$C:$O,8,0)),"")</f>
        <v/>
      </c>
      <c r="Q4678" s="62" t="str">
        <f>IFERROR(IF(OR($B4678="",$B4678="(blank)"),"",VLOOKUP($B4678,'Email Marketing Raw Data'!$C:$O,9,0)),"")</f>
        <v/>
      </c>
    </row>
    <row r="4679" spans="4:17" ht="12.75" customHeight="1" x14ac:dyDescent="0.2">
      <c r="D4679" s="58" t="str">
        <f>IFERROR(IF(F4679&lt;&gt;"pending","",IF(OR($B4679="",$B4679="(blank)"),"",VLOOKUP($B4679,'Email Marketing Raw Data'!$C:$O,10,0))),"")</f>
        <v/>
      </c>
      <c r="E4679" s="59" t="str">
        <f>IFERROR(IF(F4679&lt;&gt;"pending","",IF(OR($B4679="",$B4679="(blank)"),"",VLOOKUP($B4679,'Email Marketing Raw Data'!$C:$O,11,0))),"")</f>
        <v/>
      </c>
      <c r="F4679" s="54" t="str">
        <f>IFERROR(IF(OR($B4679="",$B4679="(blank)"),"",VLOOKUP($B4679,'Email Marketing Raw Data'!$C:$O,13,0)),"")</f>
        <v/>
      </c>
      <c r="G4679" s="55" t="str">
        <f>IFERROR(IF(OR($B4679="",$B4679="(blank)"),"",VLOOKUP($B4679,'Email Marketing Raw Data'!$C:$O,4,0)),"")</f>
        <v/>
      </c>
      <c r="H4679" s="55" t="str">
        <f>IFERROR(IF(OR($B4679="",$B4679="(blank)"),"",VLOOKUP($B4679,'Email Marketing Raw Data'!$C:$O,5,0)),"")</f>
        <v/>
      </c>
      <c r="I4679" s="55" t="str">
        <f>IFERROR(IF($G4679="","",VLOOKUP('Dashboard And Emails Automate'!$G4679,Database!$H:$N,3,0)),"")</f>
        <v/>
      </c>
      <c r="J4679" s="55" t="str">
        <f>IFERROR(IF($G4679="","",VLOOKUP('Dashboard And Emails Automate'!$G4679,Database!$H:$N,4,0)),"")</f>
        <v/>
      </c>
      <c r="K4679" s="55" t="str">
        <f>IFERROR(IF($G4679="","",VLOOKUP('Dashboard And Emails Automate'!$G4679,Database!$H:$N,5,0)),"")</f>
        <v/>
      </c>
      <c r="L4679" s="55" t="str">
        <f>IFERROR(IF($G4679="","",VLOOKUP('Dashboard And Emails Automate'!$G4679,Database!$H:$N,6,0)),"")</f>
        <v/>
      </c>
      <c r="M4679" s="55" t="str">
        <f>IFERROR(IF($G4679="","",VLOOKUP('Dashboard And Emails Automate'!$G4679,Database!$H:$N,7,0)),"")</f>
        <v/>
      </c>
      <c r="N4679" s="55" t="str">
        <f>IFERROR(IF(OR($B4679="",$B4679="(blank)"),"",VLOOKUP($B4679,'Email Marketing Raw Data'!$C:$O,6,0)),"")</f>
        <v/>
      </c>
      <c r="O4679" s="55" t="str">
        <f>IFERROR(IF(OR($B4679="",$B4679="(blank)"),"",VLOOKUP($B4679,'Email Marketing Raw Data'!$C:$O,7,0)),"")</f>
        <v/>
      </c>
      <c r="P4679" s="55" t="str">
        <f>IFERROR(IF(OR($B4679="",$B4679="(blank)"),"",VLOOKUP($B4679,'Email Marketing Raw Data'!$C:$O,8,0)),"")</f>
        <v/>
      </c>
      <c r="Q4679" s="62" t="str">
        <f>IFERROR(IF(OR($B4679="",$B4679="(blank)"),"",VLOOKUP($B4679,'Email Marketing Raw Data'!$C:$O,9,0)),"")</f>
        <v/>
      </c>
    </row>
    <row r="4680" spans="4:17" ht="12.75" customHeight="1" x14ac:dyDescent="0.2">
      <c r="D4680" s="58" t="str">
        <f>IFERROR(IF(F4680&lt;&gt;"pending","",IF(OR($B4680="",$B4680="(blank)"),"",VLOOKUP($B4680,'Email Marketing Raw Data'!$C:$O,10,0))),"")</f>
        <v/>
      </c>
      <c r="E4680" s="59" t="str">
        <f>IFERROR(IF(F4680&lt;&gt;"pending","",IF(OR($B4680="",$B4680="(blank)"),"",VLOOKUP($B4680,'Email Marketing Raw Data'!$C:$O,11,0))),"")</f>
        <v/>
      </c>
      <c r="F4680" s="54" t="str">
        <f>IFERROR(IF(OR($B4680="",$B4680="(blank)"),"",VLOOKUP($B4680,'Email Marketing Raw Data'!$C:$O,13,0)),"")</f>
        <v/>
      </c>
      <c r="G4680" s="55" t="str">
        <f>IFERROR(IF(OR($B4680="",$B4680="(blank)"),"",VLOOKUP($B4680,'Email Marketing Raw Data'!$C:$O,4,0)),"")</f>
        <v/>
      </c>
      <c r="H4680" s="55" t="str">
        <f>IFERROR(IF(OR($B4680="",$B4680="(blank)"),"",VLOOKUP($B4680,'Email Marketing Raw Data'!$C:$O,5,0)),"")</f>
        <v/>
      </c>
      <c r="I4680" s="55" t="str">
        <f>IFERROR(IF($G4680="","",VLOOKUP('Dashboard And Emails Automate'!$G4680,Database!$H:$N,3,0)),"")</f>
        <v/>
      </c>
      <c r="J4680" s="55" t="str">
        <f>IFERROR(IF($G4680="","",VLOOKUP('Dashboard And Emails Automate'!$G4680,Database!$H:$N,4,0)),"")</f>
        <v/>
      </c>
      <c r="K4680" s="55" t="str">
        <f>IFERROR(IF($G4680="","",VLOOKUP('Dashboard And Emails Automate'!$G4680,Database!$H:$N,5,0)),"")</f>
        <v/>
      </c>
      <c r="L4680" s="55" t="str">
        <f>IFERROR(IF($G4680="","",VLOOKUP('Dashboard And Emails Automate'!$G4680,Database!$H:$N,6,0)),"")</f>
        <v/>
      </c>
      <c r="M4680" s="55" t="str">
        <f>IFERROR(IF($G4680="","",VLOOKUP('Dashboard And Emails Automate'!$G4680,Database!$H:$N,7,0)),"")</f>
        <v/>
      </c>
      <c r="N4680" s="55" t="str">
        <f>IFERROR(IF(OR($B4680="",$B4680="(blank)"),"",VLOOKUP($B4680,'Email Marketing Raw Data'!$C:$O,6,0)),"")</f>
        <v/>
      </c>
      <c r="O4680" s="55" t="str">
        <f>IFERROR(IF(OR($B4680="",$B4680="(blank)"),"",VLOOKUP($B4680,'Email Marketing Raw Data'!$C:$O,7,0)),"")</f>
        <v/>
      </c>
      <c r="P4680" s="55" t="str">
        <f>IFERROR(IF(OR($B4680="",$B4680="(blank)"),"",VLOOKUP($B4680,'Email Marketing Raw Data'!$C:$O,8,0)),"")</f>
        <v/>
      </c>
      <c r="Q4680" s="62" t="str">
        <f>IFERROR(IF(OR($B4680="",$B4680="(blank)"),"",VLOOKUP($B4680,'Email Marketing Raw Data'!$C:$O,9,0)),"")</f>
        <v/>
      </c>
    </row>
    <row r="4681" spans="4:17" ht="12.75" customHeight="1" x14ac:dyDescent="0.2">
      <c r="D4681" s="58" t="str">
        <f>IFERROR(IF(F4681&lt;&gt;"pending","",IF(OR($B4681="",$B4681="(blank)"),"",VLOOKUP($B4681,'Email Marketing Raw Data'!$C:$O,10,0))),"")</f>
        <v/>
      </c>
      <c r="E4681" s="59" t="str">
        <f>IFERROR(IF(F4681&lt;&gt;"pending","",IF(OR($B4681="",$B4681="(blank)"),"",VLOOKUP($B4681,'Email Marketing Raw Data'!$C:$O,11,0))),"")</f>
        <v/>
      </c>
      <c r="F4681" s="54" t="str">
        <f>IFERROR(IF(OR($B4681="",$B4681="(blank)"),"",VLOOKUP($B4681,'Email Marketing Raw Data'!$C:$O,13,0)),"")</f>
        <v/>
      </c>
      <c r="G4681" s="55" t="str">
        <f>IFERROR(IF(OR($B4681="",$B4681="(blank)"),"",VLOOKUP($B4681,'Email Marketing Raw Data'!$C:$O,4,0)),"")</f>
        <v/>
      </c>
      <c r="H4681" s="55" t="str">
        <f>IFERROR(IF(OR($B4681="",$B4681="(blank)"),"",VLOOKUP($B4681,'Email Marketing Raw Data'!$C:$O,5,0)),"")</f>
        <v/>
      </c>
      <c r="I4681" s="55" t="str">
        <f>IFERROR(IF($G4681="","",VLOOKUP('Dashboard And Emails Automate'!$G4681,Database!$H:$N,3,0)),"")</f>
        <v/>
      </c>
      <c r="J4681" s="55" t="str">
        <f>IFERROR(IF($G4681="","",VLOOKUP('Dashboard And Emails Automate'!$G4681,Database!$H:$N,4,0)),"")</f>
        <v/>
      </c>
      <c r="K4681" s="55" t="str">
        <f>IFERROR(IF($G4681="","",VLOOKUP('Dashboard And Emails Automate'!$G4681,Database!$H:$N,5,0)),"")</f>
        <v/>
      </c>
      <c r="L4681" s="55" t="str">
        <f>IFERROR(IF($G4681="","",VLOOKUP('Dashboard And Emails Automate'!$G4681,Database!$H:$N,6,0)),"")</f>
        <v/>
      </c>
      <c r="M4681" s="55" t="str">
        <f>IFERROR(IF($G4681="","",VLOOKUP('Dashboard And Emails Automate'!$G4681,Database!$H:$N,7,0)),"")</f>
        <v/>
      </c>
      <c r="N4681" s="55" t="str">
        <f>IFERROR(IF(OR($B4681="",$B4681="(blank)"),"",VLOOKUP($B4681,'Email Marketing Raw Data'!$C:$O,6,0)),"")</f>
        <v/>
      </c>
      <c r="O4681" s="55" t="str">
        <f>IFERROR(IF(OR($B4681="",$B4681="(blank)"),"",VLOOKUP($B4681,'Email Marketing Raw Data'!$C:$O,7,0)),"")</f>
        <v/>
      </c>
      <c r="P4681" s="55" t="str">
        <f>IFERROR(IF(OR($B4681="",$B4681="(blank)"),"",VLOOKUP($B4681,'Email Marketing Raw Data'!$C:$O,8,0)),"")</f>
        <v/>
      </c>
      <c r="Q4681" s="62" t="str">
        <f>IFERROR(IF(OR($B4681="",$B4681="(blank)"),"",VLOOKUP($B4681,'Email Marketing Raw Data'!$C:$O,9,0)),"")</f>
        <v/>
      </c>
    </row>
    <row r="4682" spans="4:17" ht="12.75" customHeight="1" x14ac:dyDescent="0.2">
      <c r="D4682" s="58" t="str">
        <f>IFERROR(IF(F4682&lt;&gt;"pending","",IF(OR($B4682="",$B4682="(blank)"),"",VLOOKUP($B4682,'Email Marketing Raw Data'!$C:$O,10,0))),"")</f>
        <v/>
      </c>
      <c r="E4682" s="59" t="str">
        <f>IFERROR(IF(F4682&lt;&gt;"pending","",IF(OR($B4682="",$B4682="(blank)"),"",VLOOKUP($B4682,'Email Marketing Raw Data'!$C:$O,11,0))),"")</f>
        <v/>
      </c>
      <c r="F4682" s="54" t="str">
        <f>IFERROR(IF(OR($B4682="",$B4682="(blank)"),"",VLOOKUP($B4682,'Email Marketing Raw Data'!$C:$O,13,0)),"")</f>
        <v/>
      </c>
      <c r="G4682" s="55" t="str">
        <f>IFERROR(IF(OR($B4682="",$B4682="(blank)"),"",VLOOKUP($B4682,'Email Marketing Raw Data'!$C:$O,4,0)),"")</f>
        <v/>
      </c>
      <c r="H4682" s="55" t="str">
        <f>IFERROR(IF(OR($B4682="",$B4682="(blank)"),"",VLOOKUP($B4682,'Email Marketing Raw Data'!$C:$O,5,0)),"")</f>
        <v/>
      </c>
      <c r="I4682" s="55" t="str">
        <f>IFERROR(IF($G4682="","",VLOOKUP('Dashboard And Emails Automate'!$G4682,Database!$H:$N,3,0)),"")</f>
        <v/>
      </c>
      <c r="J4682" s="55" t="str">
        <f>IFERROR(IF($G4682="","",VLOOKUP('Dashboard And Emails Automate'!$G4682,Database!$H:$N,4,0)),"")</f>
        <v/>
      </c>
      <c r="K4682" s="55" t="str">
        <f>IFERROR(IF($G4682="","",VLOOKUP('Dashboard And Emails Automate'!$G4682,Database!$H:$N,5,0)),"")</f>
        <v/>
      </c>
      <c r="L4682" s="55" t="str">
        <f>IFERROR(IF($G4682="","",VLOOKUP('Dashboard And Emails Automate'!$G4682,Database!$H:$N,6,0)),"")</f>
        <v/>
      </c>
      <c r="M4682" s="55" t="str">
        <f>IFERROR(IF($G4682="","",VLOOKUP('Dashboard And Emails Automate'!$G4682,Database!$H:$N,7,0)),"")</f>
        <v/>
      </c>
      <c r="N4682" s="55" t="str">
        <f>IFERROR(IF(OR($B4682="",$B4682="(blank)"),"",VLOOKUP($B4682,'Email Marketing Raw Data'!$C:$O,6,0)),"")</f>
        <v/>
      </c>
      <c r="O4682" s="55" t="str">
        <f>IFERROR(IF(OR($B4682="",$B4682="(blank)"),"",VLOOKUP($B4682,'Email Marketing Raw Data'!$C:$O,7,0)),"")</f>
        <v/>
      </c>
      <c r="P4682" s="55" t="str">
        <f>IFERROR(IF(OR($B4682="",$B4682="(blank)"),"",VLOOKUP($B4682,'Email Marketing Raw Data'!$C:$O,8,0)),"")</f>
        <v/>
      </c>
      <c r="Q4682" s="62" t="str">
        <f>IFERROR(IF(OR($B4682="",$B4682="(blank)"),"",VLOOKUP($B4682,'Email Marketing Raw Data'!$C:$O,9,0)),"")</f>
        <v/>
      </c>
    </row>
    <row r="4683" spans="4:17" ht="12.75" customHeight="1" x14ac:dyDescent="0.2">
      <c r="D4683" s="58" t="str">
        <f>IFERROR(IF(F4683&lt;&gt;"pending","",IF(OR($B4683="",$B4683="(blank)"),"",VLOOKUP($B4683,'Email Marketing Raw Data'!$C:$O,10,0))),"")</f>
        <v/>
      </c>
      <c r="E4683" s="59" t="str">
        <f>IFERROR(IF(F4683&lt;&gt;"pending","",IF(OR($B4683="",$B4683="(blank)"),"",VLOOKUP($B4683,'Email Marketing Raw Data'!$C:$O,11,0))),"")</f>
        <v/>
      </c>
      <c r="F4683" s="54" t="str">
        <f>IFERROR(IF(OR($B4683="",$B4683="(blank)"),"",VLOOKUP($B4683,'Email Marketing Raw Data'!$C:$O,13,0)),"")</f>
        <v/>
      </c>
      <c r="G4683" s="55" t="str">
        <f>IFERROR(IF(OR($B4683="",$B4683="(blank)"),"",VLOOKUP($B4683,'Email Marketing Raw Data'!$C:$O,4,0)),"")</f>
        <v/>
      </c>
      <c r="H4683" s="55" t="str">
        <f>IFERROR(IF(OR($B4683="",$B4683="(blank)"),"",VLOOKUP($B4683,'Email Marketing Raw Data'!$C:$O,5,0)),"")</f>
        <v/>
      </c>
      <c r="I4683" s="55" t="str">
        <f>IFERROR(IF($G4683="","",VLOOKUP('Dashboard And Emails Automate'!$G4683,Database!$H:$N,3,0)),"")</f>
        <v/>
      </c>
      <c r="J4683" s="55" t="str">
        <f>IFERROR(IF($G4683="","",VLOOKUP('Dashboard And Emails Automate'!$G4683,Database!$H:$N,4,0)),"")</f>
        <v/>
      </c>
      <c r="K4683" s="55" t="str">
        <f>IFERROR(IF($G4683="","",VLOOKUP('Dashboard And Emails Automate'!$G4683,Database!$H:$N,5,0)),"")</f>
        <v/>
      </c>
      <c r="L4683" s="55" t="str">
        <f>IFERROR(IF($G4683="","",VLOOKUP('Dashboard And Emails Automate'!$G4683,Database!$H:$N,6,0)),"")</f>
        <v/>
      </c>
      <c r="M4683" s="55" t="str">
        <f>IFERROR(IF($G4683="","",VLOOKUP('Dashboard And Emails Automate'!$G4683,Database!$H:$N,7,0)),"")</f>
        <v/>
      </c>
      <c r="N4683" s="55" t="str">
        <f>IFERROR(IF(OR($B4683="",$B4683="(blank)"),"",VLOOKUP($B4683,'Email Marketing Raw Data'!$C:$O,6,0)),"")</f>
        <v/>
      </c>
      <c r="O4683" s="55" t="str">
        <f>IFERROR(IF(OR($B4683="",$B4683="(blank)"),"",VLOOKUP($B4683,'Email Marketing Raw Data'!$C:$O,7,0)),"")</f>
        <v/>
      </c>
      <c r="P4683" s="55" t="str">
        <f>IFERROR(IF(OR($B4683="",$B4683="(blank)"),"",VLOOKUP($B4683,'Email Marketing Raw Data'!$C:$O,8,0)),"")</f>
        <v/>
      </c>
      <c r="Q4683" s="62" t="str">
        <f>IFERROR(IF(OR($B4683="",$B4683="(blank)"),"",VLOOKUP($B4683,'Email Marketing Raw Data'!$C:$O,9,0)),"")</f>
        <v/>
      </c>
    </row>
    <row r="4684" spans="4:17" ht="12.75" customHeight="1" x14ac:dyDescent="0.2">
      <c r="D4684" s="58" t="str">
        <f>IFERROR(IF(F4684&lt;&gt;"pending","",IF(OR($B4684="",$B4684="(blank)"),"",VLOOKUP($B4684,'Email Marketing Raw Data'!$C:$O,10,0))),"")</f>
        <v/>
      </c>
      <c r="E4684" s="59" t="str">
        <f>IFERROR(IF(F4684&lt;&gt;"pending","",IF(OR($B4684="",$B4684="(blank)"),"",VLOOKUP($B4684,'Email Marketing Raw Data'!$C:$O,11,0))),"")</f>
        <v/>
      </c>
      <c r="F4684" s="54" t="str">
        <f>IFERROR(IF(OR($B4684="",$B4684="(blank)"),"",VLOOKUP($B4684,'Email Marketing Raw Data'!$C:$O,13,0)),"")</f>
        <v/>
      </c>
      <c r="G4684" s="55" t="str">
        <f>IFERROR(IF(OR($B4684="",$B4684="(blank)"),"",VLOOKUP($B4684,'Email Marketing Raw Data'!$C:$O,4,0)),"")</f>
        <v/>
      </c>
      <c r="H4684" s="55" t="str">
        <f>IFERROR(IF(OR($B4684="",$B4684="(blank)"),"",VLOOKUP($B4684,'Email Marketing Raw Data'!$C:$O,5,0)),"")</f>
        <v/>
      </c>
      <c r="I4684" s="55" t="str">
        <f>IFERROR(IF($G4684="","",VLOOKUP('Dashboard And Emails Automate'!$G4684,Database!$H:$N,3,0)),"")</f>
        <v/>
      </c>
      <c r="J4684" s="55" t="str">
        <f>IFERROR(IF($G4684="","",VLOOKUP('Dashboard And Emails Automate'!$G4684,Database!$H:$N,4,0)),"")</f>
        <v/>
      </c>
      <c r="K4684" s="55" t="str">
        <f>IFERROR(IF($G4684="","",VLOOKUP('Dashboard And Emails Automate'!$G4684,Database!$H:$N,5,0)),"")</f>
        <v/>
      </c>
      <c r="L4684" s="55" t="str">
        <f>IFERROR(IF($G4684="","",VLOOKUP('Dashboard And Emails Automate'!$G4684,Database!$H:$N,6,0)),"")</f>
        <v/>
      </c>
      <c r="M4684" s="55" t="str">
        <f>IFERROR(IF($G4684="","",VLOOKUP('Dashboard And Emails Automate'!$G4684,Database!$H:$N,7,0)),"")</f>
        <v/>
      </c>
      <c r="N4684" s="55" t="str">
        <f>IFERROR(IF(OR($B4684="",$B4684="(blank)"),"",VLOOKUP($B4684,'Email Marketing Raw Data'!$C:$O,6,0)),"")</f>
        <v/>
      </c>
      <c r="O4684" s="55" t="str">
        <f>IFERROR(IF(OR($B4684="",$B4684="(blank)"),"",VLOOKUP($B4684,'Email Marketing Raw Data'!$C:$O,7,0)),"")</f>
        <v/>
      </c>
      <c r="P4684" s="55" t="str">
        <f>IFERROR(IF(OR($B4684="",$B4684="(blank)"),"",VLOOKUP($B4684,'Email Marketing Raw Data'!$C:$O,8,0)),"")</f>
        <v/>
      </c>
      <c r="Q4684" s="62" t="str">
        <f>IFERROR(IF(OR($B4684="",$B4684="(blank)"),"",VLOOKUP($B4684,'Email Marketing Raw Data'!$C:$O,9,0)),"")</f>
        <v/>
      </c>
    </row>
    <row r="4685" spans="4:17" ht="12.75" customHeight="1" x14ac:dyDescent="0.2">
      <c r="D4685" s="58" t="str">
        <f>IFERROR(IF(F4685&lt;&gt;"pending","",IF(OR($B4685="",$B4685="(blank)"),"",VLOOKUP($B4685,'Email Marketing Raw Data'!$C:$O,10,0))),"")</f>
        <v/>
      </c>
      <c r="E4685" s="59" t="str">
        <f>IFERROR(IF(F4685&lt;&gt;"pending","",IF(OR($B4685="",$B4685="(blank)"),"",VLOOKUP($B4685,'Email Marketing Raw Data'!$C:$O,11,0))),"")</f>
        <v/>
      </c>
      <c r="F4685" s="54" t="str">
        <f>IFERROR(IF(OR($B4685="",$B4685="(blank)"),"",VLOOKUP($B4685,'Email Marketing Raw Data'!$C:$O,13,0)),"")</f>
        <v/>
      </c>
      <c r="G4685" s="55" t="str">
        <f>IFERROR(IF(OR($B4685="",$B4685="(blank)"),"",VLOOKUP($B4685,'Email Marketing Raw Data'!$C:$O,4,0)),"")</f>
        <v/>
      </c>
      <c r="H4685" s="55" t="str">
        <f>IFERROR(IF(OR($B4685="",$B4685="(blank)"),"",VLOOKUP($B4685,'Email Marketing Raw Data'!$C:$O,5,0)),"")</f>
        <v/>
      </c>
      <c r="I4685" s="55" t="str">
        <f>IFERROR(IF($G4685="","",VLOOKUP('Dashboard And Emails Automate'!$G4685,Database!$H:$N,3,0)),"")</f>
        <v/>
      </c>
      <c r="J4685" s="55" t="str">
        <f>IFERROR(IF($G4685="","",VLOOKUP('Dashboard And Emails Automate'!$G4685,Database!$H:$N,4,0)),"")</f>
        <v/>
      </c>
      <c r="K4685" s="55" t="str">
        <f>IFERROR(IF($G4685="","",VLOOKUP('Dashboard And Emails Automate'!$G4685,Database!$H:$N,5,0)),"")</f>
        <v/>
      </c>
      <c r="L4685" s="55" t="str">
        <f>IFERROR(IF($G4685="","",VLOOKUP('Dashboard And Emails Automate'!$G4685,Database!$H:$N,6,0)),"")</f>
        <v/>
      </c>
      <c r="M4685" s="55" t="str">
        <f>IFERROR(IF($G4685="","",VLOOKUP('Dashboard And Emails Automate'!$G4685,Database!$H:$N,7,0)),"")</f>
        <v/>
      </c>
      <c r="N4685" s="55" t="str">
        <f>IFERROR(IF(OR($B4685="",$B4685="(blank)"),"",VLOOKUP($B4685,'Email Marketing Raw Data'!$C:$O,6,0)),"")</f>
        <v/>
      </c>
      <c r="O4685" s="55" t="str">
        <f>IFERROR(IF(OR($B4685="",$B4685="(blank)"),"",VLOOKUP($B4685,'Email Marketing Raw Data'!$C:$O,7,0)),"")</f>
        <v/>
      </c>
      <c r="P4685" s="55" t="str">
        <f>IFERROR(IF(OR($B4685="",$B4685="(blank)"),"",VLOOKUP($B4685,'Email Marketing Raw Data'!$C:$O,8,0)),"")</f>
        <v/>
      </c>
      <c r="Q4685" s="62" t="str">
        <f>IFERROR(IF(OR($B4685="",$B4685="(blank)"),"",VLOOKUP($B4685,'Email Marketing Raw Data'!$C:$O,9,0)),"")</f>
        <v/>
      </c>
    </row>
    <row r="4686" spans="4:17" ht="12.75" customHeight="1" x14ac:dyDescent="0.2">
      <c r="D4686" s="58" t="str">
        <f>IFERROR(IF(F4686&lt;&gt;"pending","",IF(OR($B4686="",$B4686="(blank)"),"",VLOOKUP($B4686,'Email Marketing Raw Data'!$C:$O,10,0))),"")</f>
        <v/>
      </c>
      <c r="E4686" s="59" t="str">
        <f>IFERROR(IF(F4686&lt;&gt;"pending","",IF(OR($B4686="",$B4686="(blank)"),"",VLOOKUP($B4686,'Email Marketing Raw Data'!$C:$O,11,0))),"")</f>
        <v/>
      </c>
      <c r="F4686" s="54" t="str">
        <f>IFERROR(IF(OR($B4686="",$B4686="(blank)"),"",VLOOKUP($B4686,'Email Marketing Raw Data'!$C:$O,13,0)),"")</f>
        <v/>
      </c>
      <c r="G4686" s="55" t="str">
        <f>IFERROR(IF(OR($B4686="",$B4686="(blank)"),"",VLOOKUP($B4686,'Email Marketing Raw Data'!$C:$O,4,0)),"")</f>
        <v/>
      </c>
      <c r="H4686" s="55" t="str">
        <f>IFERROR(IF(OR($B4686="",$B4686="(blank)"),"",VLOOKUP($B4686,'Email Marketing Raw Data'!$C:$O,5,0)),"")</f>
        <v/>
      </c>
      <c r="I4686" s="55" t="str">
        <f>IFERROR(IF($G4686="","",VLOOKUP('Dashboard And Emails Automate'!$G4686,Database!$H:$N,3,0)),"")</f>
        <v/>
      </c>
      <c r="J4686" s="55" t="str">
        <f>IFERROR(IF($G4686="","",VLOOKUP('Dashboard And Emails Automate'!$G4686,Database!$H:$N,4,0)),"")</f>
        <v/>
      </c>
      <c r="K4686" s="55" t="str">
        <f>IFERROR(IF($G4686="","",VLOOKUP('Dashboard And Emails Automate'!$G4686,Database!$H:$N,5,0)),"")</f>
        <v/>
      </c>
      <c r="L4686" s="55" t="str">
        <f>IFERROR(IF($G4686="","",VLOOKUP('Dashboard And Emails Automate'!$G4686,Database!$H:$N,6,0)),"")</f>
        <v/>
      </c>
      <c r="M4686" s="55" t="str">
        <f>IFERROR(IF($G4686="","",VLOOKUP('Dashboard And Emails Automate'!$G4686,Database!$H:$N,7,0)),"")</f>
        <v/>
      </c>
      <c r="N4686" s="55" t="str">
        <f>IFERROR(IF(OR($B4686="",$B4686="(blank)"),"",VLOOKUP($B4686,'Email Marketing Raw Data'!$C:$O,6,0)),"")</f>
        <v/>
      </c>
      <c r="O4686" s="55" t="str">
        <f>IFERROR(IF(OR($B4686="",$B4686="(blank)"),"",VLOOKUP($B4686,'Email Marketing Raw Data'!$C:$O,7,0)),"")</f>
        <v/>
      </c>
      <c r="P4686" s="55" t="str">
        <f>IFERROR(IF(OR($B4686="",$B4686="(blank)"),"",VLOOKUP($B4686,'Email Marketing Raw Data'!$C:$O,8,0)),"")</f>
        <v/>
      </c>
      <c r="Q4686" s="62" t="str">
        <f>IFERROR(IF(OR($B4686="",$B4686="(blank)"),"",VLOOKUP($B4686,'Email Marketing Raw Data'!$C:$O,9,0)),"")</f>
        <v/>
      </c>
    </row>
    <row r="4687" spans="4:17" ht="12.75" customHeight="1" x14ac:dyDescent="0.2">
      <c r="D4687" s="58" t="str">
        <f>IFERROR(IF(F4687&lt;&gt;"pending","",IF(OR($B4687="",$B4687="(blank)"),"",VLOOKUP($B4687,'Email Marketing Raw Data'!$C:$O,10,0))),"")</f>
        <v/>
      </c>
      <c r="E4687" s="59" t="str">
        <f>IFERROR(IF(F4687&lt;&gt;"pending","",IF(OR($B4687="",$B4687="(blank)"),"",VLOOKUP($B4687,'Email Marketing Raw Data'!$C:$O,11,0))),"")</f>
        <v/>
      </c>
      <c r="F4687" s="54" t="str">
        <f>IFERROR(IF(OR($B4687="",$B4687="(blank)"),"",VLOOKUP($B4687,'Email Marketing Raw Data'!$C:$O,13,0)),"")</f>
        <v/>
      </c>
      <c r="G4687" s="55" t="str">
        <f>IFERROR(IF(OR($B4687="",$B4687="(blank)"),"",VLOOKUP($B4687,'Email Marketing Raw Data'!$C:$O,4,0)),"")</f>
        <v/>
      </c>
      <c r="H4687" s="55" t="str">
        <f>IFERROR(IF(OR($B4687="",$B4687="(blank)"),"",VLOOKUP($B4687,'Email Marketing Raw Data'!$C:$O,5,0)),"")</f>
        <v/>
      </c>
      <c r="I4687" s="55" t="str">
        <f>IFERROR(IF($G4687="","",VLOOKUP('Dashboard And Emails Automate'!$G4687,Database!$H:$N,3,0)),"")</f>
        <v/>
      </c>
      <c r="J4687" s="55" t="str">
        <f>IFERROR(IF($G4687="","",VLOOKUP('Dashboard And Emails Automate'!$G4687,Database!$H:$N,4,0)),"")</f>
        <v/>
      </c>
      <c r="K4687" s="55" t="str">
        <f>IFERROR(IF($G4687="","",VLOOKUP('Dashboard And Emails Automate'!$G4687,Database!$H:$N,5,0)),"")</f>
        <v/>
      </c>
      <c r="L4687" s="55" t="str">
        <f>IFERROR(IF($G4687="","",VLOOKUP('Dashboard And Emails Automate'!$G4687,Database!$H:$N,6,0)),"")</f>
        <v/>
      </c>
      <c r="M4687" s="55" t="str">
        <f>IFERROR(IF($G4687="","",VLOOKUP('Dashboard And Emails Automate'!$G4687,Database!$H:$N,7,0)),"")</f>
        <v/>
      </c>
      <c r="N4687" s="55" t="str">
        <f>IFERROR(IF(OR($B4687="",$B4687="(blank)"),"",VLOOKUP($B4687,'Email Marketing Raw Data'!$C:$O,6,0)),"")</f>
        <v/>
      </c>
      <c r="O4687" s="55" t="str">
        <f>IFERROR(IF(OR($B4687="",$B4687="(blank)"),"",VLOOKUP($B4687,'Email Marketing Raw Data'!$C:$O,7,0)),"")</f>
        <v/>
      </c>
      <c r="P4687" s="55" t="str">
        <f>IFERROR(IF(OR($B4687="",$B4687="(blank)"),"",VLOOKUP($B4687,'Email Marketing Raw Data'!$C:$O,8,0)),"")</f>
        <v/>
      </c>
      <c r="Q4687" s="62" t="str">
        <f>IFERROR(IF(OR($B4687="",$B4687="(blank)"),"",VLOOKUP($B4687,'Email Marketing Raw Data'!$C:$O,9,0)),"")</f>
        <v/>
      </c>
    </row>
    <row r="4688" spans="4:17" ht="12.75" customHeight="1" x14ac:dyDescent="0.2">
      <c r="D4688" s="58" t="str">
        <f>IFERROR(IF(F4688&lt;&gt;"pending","",IF(OR($B4688="",$B4688="(blank)"),"",VLOOKUP($B4688,'Email Marketing Raw Data'!$C:$O,10,0))),"")</f>
        <v/>
      </c>
      <c r="E4688" s="59" t="str">
        <f>IFERROR(IF(F4688&lt;&gt;"pending","",IF(OR($B4688="",$B4688="(blank)"),"",VLOOKUP($B4688,'Email Marketing Raw Data'!$C:$O,11,0))),"")</f>
        <v/>
      </c>
      <c r="F4688" s="54" t="str">
        <f>IFERROR(IF(OR($B4688="",$B4688="(blank)"),"",VLOOKUP($B4688,'Email Marketing Raw Data'!$C:$O,13,0)),"")</f>
        <v/>
      </c>
      <c r="G4688" s="55" t="str">
        <f>IFERROR(IF(OR($B4688="",$B4688="(blank)"),"",VLOOKUP($B4688,'Email Marketing Raw Data'!$C:$O,4,0)),"")</f>
        <v/>
      </c>
      <c r="H4688" s="55" t="str">
        <f>IFERROR(IF(OR($B4688="",$B4688="(blank)"),"",VLOOKUP($B4688,'Email Marketing Raw Data'!$C:$O,5,0)),"")</f>
        <v/>
      </c>
      <c r="I4688" s="55" t="str">
        <f>IFERROR(IF($G4688="","",VLOOKUP('Dashboard And Emails Automate'!$G4688,Database!$H:$N,3,0)),"")</f>
        <v/>
      </c>
      <c r="J4688" s="55" t="str">
        <f>IFERROR(IF($G4688="","",VLOOKUP('Dashboard And Emails Automate'!$G4688,Database!$H:$N,4,0)),"")</f>
        <v/>
      </c>
      <c r="K4688" s="55" t="str">
        <f>IFERROR(IF($G4688="","",VLOOKUP('Dashboard And Emails Automate'!$G4688,Database!$H:$N,5,0)),"")</f>
        <v/>
      </c>
      <c r="L4688" s="55" t="str">
        <f>IFERROR(IF($G4688="","",VLOOKUP('Dashboard And Emails Automate'!$G4688,Database!$H:$N,6,0)),"")</f>
        <v/>
      </c>
      <c r="M4688" s="55" t="str">
        <f>IFERROR(IF($G4688="","",VLOOKUP('Dashboard And Emails Automate'!$G4688,Database!$H:$N,7,0)),"")</f>
        <v/>
      </c>
      <c r="N4688" s="55" t="str">
        <f>IFERROR(IF(OR($B4688="",$B4688="(blank)"),"",VLOOKUP($B4688,'Email Marketing Raw Data'!$C:$O,6,0)),"")</f>
        <v/>
      </c>
      <c r="O4688" s="55" t="str">
        <f>IFERROR(IF(OR($B4688="",$B4688="(blank)"),"",VLOOKUP($B4688,'Email Marketing Raw Data'!$C:$O,7,0)),"")</f>
        <v/>
      </c>
      <c r="P4688" s="55" t="str">
        <f>IFERROR(IF(OR($B4688="",$B4688="(blank)"),"",VLOOKUP($B4688,'Email Marketing Raw Data'!$C:$O,8,0)),"")</f>
        <v/>
      </c>
      <c r="Q4688" s="62" t="str">
        <f>IFERROR(IF(OR($B4688="",$B4688="(blank)"),"",VLOOKUP($B4688,'Email Marketing Raw Data'!$C:$O,9,0)),"")</f>
        <v/>
      </c>
    </row>
    <row r="4689" spans="4:17" ht="12.75" customHeight="1" x14ac:dyDescent="0.2">
      <c r="D4689" s="58" t="str">
        <f>IFERROR(IF(F4689&lt;&gt;"pending","",IF(OR($B4689="",$B4689="(blank)"),"",VLOOKUP($B4689,'Email Marketing Raw Data'!$C:$O,10,0))),"")</f>
        <v/>
      </c>
      <c r="E4689" s="59" t="str">
        <f>IFERROR(IF(F4689&lt;&gt;"pending","",IF(OR($B4689="",$B4689="(blank)"),"",VLOOKUP($B4689,'Email Marketing Raw Data'!$C:$O,11,0))),"")</f>
        <v/>
      </c>
      <c r="F4689" s="54" t="str">
        <f>IFERROR(IF(OR($B4689="",$B4689="(blank)"),"",VLOOKUP($B4689,'Email Marketing Raw Data'!$C:$O,13,0)),"")</f>
        <v/>
      </c>
      <c r="G4689" s="55" t="str">
        <f>IFERROR(IF(OR($B4689="",$B4689="(blank)"),"",VLOOKUP($B4689,'Email Marketing Raw Data'!$C:$O,4,0)),"")</f>
        <v/>
      </c>
      <c r="H4689" s="55" t="str">
        <f>IFERROR(IF(OR($B4689="",$B4689="(blank)"),"",VLOOKUP($B4689,'Email Marketing Raw Data'!$C:$O,5,0)),"")</f>
        <v/>
      </c>
      <c r="I4689" s="55" t="str">
        <f>IFERROR(IF($G4689="","",VLOOKUP('Dashboard And Emails Automate'!$G4689,Database!$H:$N,3,0)),"")</f>
        <v/>
      </c>
      <c r="J4689" s="55" t="str">
        <f>IFERROR(IF($G4689="","",VLOOKUP('Dashboard And Emails Automate'!$G4689,Database!$H:$N,4,0)),"")</f>
        <v/>
      </c>
      <c r="K4689" s="55" t="str">
        <f>IFERROR(IF($G4689="","",VLOOKUP('Dashboard And Emails Automate'!$G4689,Database!$H:$N,5,0)),"")</f>
        <v/>
      </c>
      <c r="L4689" s="55" t="str">
        <f>IFERROR(IF($G4689="","",VLOOKUP('Dashboard And Emails Automate'!$G4689,Database!$H:$N,6,0)),"")</f>
        <v/>
      </c>
      <c r="M4689" s="55" t="str">
        <f>IFERROR(IF($G4689="","",VLOOKUP('Dashboard And Emails Automate'!$G4689,Database!$H:$N,7,0)),"")</f>
        <v/>
      </c>
      <c r="N4689" s="55" t="str">
        <f>IFERROR(IF(OR($B4689="",$B4689="(blank)"),"",VLOOKUP($B4689,'Email Marketing Raw Data'!$C:$O,6,0)),"")</f>
        <v/>
      </c>
      <c r="O4689" s="55" t="str">
        <f>IFERROR(IF(OR($B4689="",$B4689="(blank)"),"",VLOOKUP($B4689,'Email Marketing Raw Data'!$C:$O,7,0)),"")</f>
        <v/>
      </c>
      <c r="P4689" s="55" t="str">
        <f>IFERROR(IF(OR($B4689="",$B4689="(blank)"),"",VLOOKUP($B4689,'Email Marketing Raw Data'!$C:$O,8,0)),"")</f>
        <v/>
      </c>
      <c r="Q4689" s="62" t="str">
        <f>IFERROR(IF(OR($B4689="",$B4689="(blank)"),"",VLOOKUP($B4689,'Email Marketing Raw Data'!$C:$O,9,0)),"")</f>
        <v/>
      </c>
    </row>
    <row r="4690" spans="4:17" ht="12.75" customHeight="1" x14ac:dyDescent="0.2">
      <c r="D4690" s="58" t="str">
        <f>IFERROR(IF(F4690&lt;&gt;"pending","",IF(OR($B4690="",$B4690="(blank)"),"",VLOOKUP($B4690,'Email Marketing Raw Data'!$C:$O,10,0))),"")</f>
        <v/>
      </c>
      <c r="E4690" s="59" t="str">
        <f>IFERROR(IF(F4690&lt;&gt;"pending","",IF(OR($B4690="",$B4690="(blank)"),"",VLOOKUP($B4690,'Email Marketing Raw Data'!$C:$O,11,0))),"")</f>
        <v/>
      </c>
      <c r="F4690" s="54" t="str">
        <f>IFERROR(IF(OR($B4690="",$B4690="(blank)"),"",VLOOKUP($B4690,'Email Marketing Raw Data'!$C:$O,13,0)),"")</f>
        <v/>
      </c>
      <c r="G4690" s="55" t="str">
        <f>IFERROR(IF(OR($B4690="",$B4690="(blank)"),"",VLOOKUP($B4690,'Email Marketing Raw Data'!$C:$O,4,0)),"")</f>
        <v/>
      </c>
      <c r="H4690" s="55" t="str">
        <f>IFERROR(IF(OR($B4690="",$B4690="(blank)"),"",VLOOKUP($B4690,'Email Marketing Raw Data'!$C:$O,5,0)),"")</f>
        <v/>
      </c>
      <c r="I4690" s="55" t="str">
        <f>IFERROR(IF($G4690="","",VLOOKUP('Dashboard And Emails Automate'!$G4690,Database!$H:$N,3,0)),"")</f>
        <v/>
      </c>
      <c r="J4690" s="55" t="str">
        <f>IFERROR(IF($G4690="","",VLOOKUP('Dashboard And Emails Automate'!$G4690,Database!$H:$N,4,0)),"")</f>
        <v/>
      </c>
      <c r="K4690" s="55" t="str">
        <f>IFERROR(IF($G4690="","",VLOOKUP('Dashboard And Emails Automate'!$G4690,Database!$H:$N,5,0)),"")</f>
        <v/>
      </c>
      <c r="L4690" s="55" t="str">
        <f>IFERROR(IF($G4690="","",VLOOKUP('Dashboard And Emails Automate'!$G4690,Database!$H:$N,6,0)),"")</f>
        <v/>
      </c>
      <c r="M4690" s="55" t="str">
        <f>IFERROR(IF($G4690="","",VLOOKUP('Dashboard And Emails Automate'!$G4690,Database!$H:$N,7,0)),"")</f>
        <v/>
      </c>
      <c r="N4690" s="55" t="str">
        <f>IFERROR(IF(OR($B4690="",$B4690="(blank)"),"",VLOOKUP($B4690,'Email Marketing Raw Data'!$C:$O,6,0)),"")</f>
        <v/>
      </c>
      <c r="O4690" s="55" t="str">
        <f>IFERROR(IF(OR($B4690="",$B4690="(blank)"),"",VLOOKUP($B4690,'Email Marketing Raw Data'!$C:$O,7,0)),"")</f>
        <v/>
      </c>
      <c r="P4690" s="55" t="str">
        <f>IFERROR(IF(OR($B4690="",$B4690="(blank)"),"",VLOOKUP($B4690,'Email Marketing Raw Data'!$C:$O,8,0)),"")</f>
        <v/>
      </c>
      <c r="Q4690" s="62" t="str">
        <f>IFERROR(IF(OR($B4690="",$B4690="(blank)"),"",VLOOKUP($B4690,'Email Marketing Raw Data'!$C:$O,9,0)),"")</f>
        <v/>
      </c>
    </row>
    <row r="4691" spans="4:17" ht="12.75" customHeight="1" x14ac:dyDescent="0.2">
      <c r="D4691" s="58" t="str">
        <f>IFERROR(IF(F4691&lt;&gt;"pending","",IF(OR($B4691="",$B4691="(blank)"),"",VLOOKUP($B4691,'Email Marketing Raw Data'!$C:$O,10,0))),"")</f>
        <v/>
      </c>
      <c r="E4691" s="59" t="str">
        <f>IFERROR(IF(F4691&lt;&gt;"pending","",IF(OR($B4691="",$B4691="(blank)"),"",VLOOKUP($B4691,'Email Marketing Raw Data'!$C:$O,11,0))),"")</f>
        <v/>
      </c>
      <c r="F4691" s="54" t="str">
        <f>IFERROR(IF(OR($B4691="",$B4691="(blank)"),"",VLOOKUP($B4691,'Email Marketing Raw Data'!$C:$O,13,0)),"")</f>
        <v/>
      </c>
      <c r="G4691" s="55" t="str">
        <f>IFERROR(IF(OR($B4691="",$B4691="(blank)"),"",VLOOKUP($B4691,'Email Marketing Raw Data'!$C:$O,4,0)),"")</f>
        <v/>
      </c>
      <c r="H4691" s="55" t="str">
        <f>IFERROR(IF(OR($B4691="",$B4691="(blank)"),"",VLOOKUP($B4691,'Email Marketing Raw Data'!$C:$O,5,0)),"")</f>
        <v/>
      </c>
      <c r="I4691" s="55" t="str">
        <f>IFERROR(IF($G4691="","",VLOOKUP('Dashboard And Emails Automate'!$G4691,Database!$H:$N,3,0)),"")</f>
        <v/>
      </c>
      <c r="J4691" s="55" t="str">
        <f>IFERROR(IF($G4691="","",VLOOKUP('Dashboard And Emails Automate'!$G4691,Database!$H:$N,4,0)),"")</f>
        <v/>
      </c>
      <c r="K4691" s="55" t="str">
        <f>IFERROR(IF($G4691="","",VLOOKUP('Dashboard And Emails Automate'!$G4691,Database!$H:$N,5,0)),"")</f>
        <v/>
      </c>
      <c r="L4691" s="55" t="str">
        <f>IFERROR(IF($G4691="","",VLOOKUP('Dashboard And Emails Automate'!$G4691,Database!$H:$N,6,0)),"")</f>
        <v/>
      </c>
      <c r="M4691" s="55" t="str">
        <f>IFERROR(IF($G4691="","",VLOOKUP('Dashboard And Emails Automate'!$G4691,Database!$H:$N,7,0)),"")</f>
        <v/>
      </c>
      <c r="N4691" s="55" t="str">
        <f>IFERROR(IF(OR($B4691="",$B4691="(blank)"),"",VLOOKUP($B4691,'Email Marketing Raw Data'!$C:$O,6,0)),"")</f>
        <v/>
      </c>
      <c r="O4691" s="55" t="str">
        <f>IFERROR(IF(OR($B4691="",$B4691="(blank)"),"",VLOOKUP($B4691,'Email Marketing Raw Data'!$C:$O,7,0)),"")</f>
        <v/>
      </c>
      <c r="P4691" s="55" t="str">
        <f>IFERROR(IF(OR($B4691="",$B4691="(blank)"),"",VLOOKUP($B4691,'Email Marketing Raw Data'!$C:$O,8,0)),"")</f>
        <v/>
      </c>
      <c r="Q4691" s="62" t="str">
        <f>IFERROR(IF(OR($B4691="",$B4691="(blank)"),"",VLOOKUP($B4691,'Email Marketing Raw Data'!$C:$O,9,0)),"")</f>
        <v/>
      </c>
    </row>
    <row r="4692" spans="4:17" ht="12.75" customHeight="1" x14ac:dyDescent="0.2">
      <c r="D4692" s="58" t="str">
        <f>IFERROR(IF(F4692&lt;&gt;"pending","",IF(OR($B4692="",$B4692="(blank)"),"",VLOOKUP($B4692,'Email Marketing Raw Data'!$C:$O,10,0))),"")</f>
        <v/>
      </c>
      <c r="E4692" s="59" t="str">
        <f>IFERROR(IF(F4692&lt;&gt;"pending","",IF(OR($B4692="",$B4692="(blank)"),"",VLOOKUP($B4692,'Email Marketing Raw Data'!$C:$O,11,0))),"")</f>
        <v/>
      </c>
      <c r="F4692" s="54" t="str">
        <f>IFERROR(IF(OR($B4692="",$B4692="(blank)"),"",VLOOKUP($B4692,'Email Marketing Raw Data'!$C:$O,13,0)),"")</f>
        <v/>
      </c>
      <c r="G4692" s="55" t="str">
        <f>IFERROR(IF(OR($B4692="",$B4692="(blank)"),"",VLOOKUP($B4692,'Email Marketing Raw Data'!$C:$O,4,0)),"")</f>
        <v/>
      </c>
      <c r="H4692" s="55" t="str">
        <f>IFERROR(IF(OR($B4692="",$B4692="(blank)"),"",VLOOKUP($B4692,'Email Marketing Raw Data'!$C:$O,5,0)),"")</f>
        <v/>
      </c>
      <c r="I4692" s="55" t="str">
        <f>IFERROR(IF($G4692="","",VLOOKUP('Dashboard And Emails Automate'!$G4692,Database!$H:$N,3,0)),"")</f>
        <v/>
      </c>
      <c r="J4692" s="55" t="str">
        <f>IFERROR(IF($G4692="","",VLOOKUP('Dashboard And Emails Automate'!$G4692,Database!$H:$N,4,0)),"")</f>
        <v/>
      </c>
      <c r="K4692" s="55" t="str">
        <f>IFERROR(IF($G4692="","",VLOOKUP('Dashboard And Emails Automate'!$G4692,Database!$H:$N,5,0)),"")</f>
        <v/>
      </c>
      <c r="L4692" s="55" t="str">
        <f>IFERROR(IF($G4692="","",VLOOKUP('Dashboard And Emails Automate'!$G4692,Database!$H:$N,6,0)),"")</f>
        <v/>
      </c>
      <c r="M4692" s="55" t="str">
        <f>IFERROR(IF($G4692="","",VLOOKUP('Dashboard And Emails Automate'!$G4692,Database!$H:$N,7,0)),"")</f>
        <v/>
      </c>
      <c r="N4692" s="55" t="str">
        <f>IFERROR(IF(OR($B4692="",$B4692="(blank)"),"",VLOOKUP($B4692,'Email Marketing Raw Data'!$C:$O,6,0)),"")</f>
        <v/>
      </c>
      <c r="O4692" s="55" t="str">
        <f>IFERROR(IF(OR($B4692="",$B4692="(blank)"),"",VLOOKUP($B4692,'Email Marketing Raw Data'!$C:$O,7,0)),"")</f>
        <v/>
      </c>
      <c r="P4692" s="55" t="str">
        <f>IFERROR(IF(OR($B4692="",$B4692="(blank)"),"",VLOOKUP($B4692,'Email Marketing Raw Data'!$C:$O,8,0)),"")</f>
        <v/>
      </c>
      <c r="Q4692" s="62" t="str">
        <f>IFERROR(IF(OR($B4692="",$B4692="(blank)"),"",VLOOKUP($B4692,'Email Marketing Raw Data'!$C:$O,9,0)),"")</f>
        <v/>
      </c>
    </row>
    <row r="4693" spans="4:17" ht="12.75" customHeight="1" x14ac:dyDescent="0.2">
      <c r="D4693" s="58" t="str">
        <f>IFERROR(IF(F4693&lt;&gt;"pending","",IF(OR($B4693="",$B4693="(blank)"),"",VLOOKUP($B4693,'Email Marketing Raw Data'!$C:$O,10,0))),"")</f>
        <v/>
      </c>
      <c r="E4693" s="59" t="str">
        <f>IFERROR(IF(F4693&lt;&gt;"pending","",IF(OR($B4693="",$B4693="(blank)"),"",VLOOKUP($B4693,'Email Marketing Raw Data'!$C:$O,11,0))),"")</f>
        <v/>
      </c>
      <c r="F4693" s="54" t="str">
        <f>IFERROR(IF(OR($B4693="",$B4693="(blank)"),"",VLOOKUP($B4693,'Email Marketing Raw Data'!$C:$O,13,0)),"")</f>
        <v/>
      </c>
      <c r="G4693" s="55" t="str">
        <f>IFERROR(IF(OR($B4693="",$B4693="(blank)"),"",VLOOKUP($B4693,'Email Marketing Raw Data'!$C:$O,4,0)),"")</f>
        <v/>
      </c>
      <c r="H4693" s="55" t="str">
        <f>IFERROR(IF(OR($B4693="",$B4693="(blank)"),"",VLOOKUP($B4693,'Email Marketing Raw Data'!$C:$O,5,0)),"")</f>
        <v/>
      </c>
      <c r="I4693" s="55" t="str">
        <f>IFERROR(IF($G4693="","",VLOOKUP('Dashboard And Emails Automate'!$G4693,Database!$H:$N,3,0)),"")</f>
        <v/>
      </c>
      <c r="J4693" s="55" t="str">
        <f>IFERROR(IF($G4693="","",VLOOKUP('Dashboard And Emails Automate'!$G4693,Database!$H:$N,4,0)),"")</f>
        <v/>
      </c>
      <c r="K4693" s="55" t="str">
        <f>IFERROR(IF($G4693="","",VLOOKUP('Dashboard And Emails Automate'!$G4693,Database!$H:$N,5,0)),"")</f>
        <v/>
      </c>
      <c r="L4693" s="55" t="str">
        <f>IFERROR(IF($G4693="","",VLOOKUP('Dashboard And Emails Automate'!$G4693,Database!$H:$N,6,0)),"")</f>
        <v/>
      </c>
      <c r="M4693" s="55" t="str">
        <f>IFERROR(IF($G4693="","",VLOOKUP('Dashboard And Emails Automate'!$G4693,Database!$H:$N,7,0)),"")</f>
        <v/>
      </c>
      <c r="N4693" s="55" t="str">
        <f>IFERROR(IF(OR($B4693="",$B4693="(blank)"),"",VLOOKUP($B4693,'Email Marketing Raw Data'!$C:$O,6,0)),"")</f>
        <v/>
      </c>
      <c r="O4693" s="55" t="str">
        <f>IFERROR(IF(OR($B4693="",$B4693="(blank)"),"",VLOOKUP($B4693,'Email Marketing Raw Data'!$C:$O,7,0)),"")</f>
        <v/>
      </c>
      <c r="P4693" s="55" t="str">
        <f>IFERROR(IF(OR($B4693="",$B4693="(blank)"),"",VLOOKUP($B4693,'Email Marketing Raw Data'!$C:$O,8,0)),"")</f>
        <v/>
      </c>
      <c r="Q4693" s="62" t="str">
        <f>IFERROR(IF(OR($B4693="",$B4693="(blank)"),"",VLOOKUP($B4693,'Email Marketing Raw Data'!$C:$O,9,0)),"")</f>
        <v/>
      </c>
    </row>
    <row r="4694" spans="4:17" ht="12.75" customHeight="1" x14ac:dyDescent="0.2">
      <c r="D4694" s="58" t="str">
        <f>IFERROR(IF(F4694&lt;&gt;"pending","",IF(OR($B4694="",$B4694="(blank)"),"",VLOOKUP($B4694,'Email Marketing Raw Data'!$C:$O,10,0))),"")</f>
        <v/>
      </c>
      <c r="E4694" s="59" t="str">
        <f>IFERROR(IF(F4694&lt;&gt;"pending","",IF(OR($B4694="",$B4694="(blank)"),"",VLOOKUP($B4694,'Email Marketing Raw Data'!$C:$O,11,0))),"")</f>
        <v/>
      </c>
      <c r="F4694" s="54" t="str">
        <f>IFERROR(IF(OR($B4694="",$B4694="(blank)"),"",VLOOKUP($B4694,'Email Marketing Raw Data'!$C:$O,13,0)),"")</f>
        <v/>
      </c>
      <c r="G4694" s="55" t="str">
        <f>IFERROR(IF(OR($B4694="",$B4694="(blank)"),"",VLOOKUP($B4694,'Email Marketing Raw Data'!$C:$O,4,0)),"")</f>
        <v/>
      </c>
      <c r="H4694" s="55" t="str">
        <f>IFERROR(IF(OR($B4694="",$B4694="(blank)"),"",VLOOKUP($B4694,'Email Marketing Raw Data'!$C:$O,5,0)),"")</f>
        <v/>
      </c>
      <c r="I4694" s="55" t="str">
        <f>IFERROR(IF($G4694="","",VLOOKUP('Dashboard And Emails Automate'!$G4694,Database!$H:$N,3,0)),"")</f>
        <v/>
      </c>
      <c r="J4694" s="55" t="str">
        <f>IFERROR(IF($G4694="","",VLOOKUP('Dashboard And Emails Automate'!$G4694,Database!$H:$N,4,0)),"")</f>
        <v/>
      </c>
      <c r="K4694" s="55" t="str">
        <f>IFERROR(IF($G4694="","",VLOOKUP('Dashboard And Emails Automate'!$G4694,Database!$H:$N,5,0)),"")</f>
        <v/>
      </c>
      <c r="L4694" s="55" t="str">
        <f>IFERROR(IF($G4694="","",VLOOKUP('Dashboard And Emails Automate'!$G4694,Database!$H:$N,6,0)),"")</f>
        <v/>
      </c>
      <c r="M4694" s="55" t="str">
        <f>IFERROR(IF($G4694="","",VLOOKUP('Dashboard And Emails Automate'!$G4694,Database!$H:$N,7,0)),"")</f>
        <v/>
      </c>
      <c r="N4694" s="55" t="str">
        <f>IFERROR(IF(OR($B4694="",$B4694="(blank)"),"",VLOOKUP($B4694,'Email Marketing Raw Data'!$C:$O,6,0)),"")</f>
        <v/>
      </c>
      <c r="O4694" s="55" t="str">
        <f>IFERROR(IF(OR($B4694="",$B4694="(blank)"),"",VLOOKUP($B4694,'Email Marketing Raw Data'!$C:$O,7,0)),"")</f>
        <v/>
      </c>
      <c r="P4694" s="55" t="str">
        <f>IFERROR(IF(OR($B4694="",$B4694="(blank)"),"",VLOOKUP($B4694,'Email Marketing Raw Data'!$C:$O,8,0)),"")</f>
        <v/>
      </c>
      <c r="Q4694" s="62" t="str">
        <f>IFERROR(IF(OR($B4694="",$B4694="(blank)"),"",VLOOKUP($B4694,'Email Marketing Raw Data'!$C:$O,9,0)),"")</f>
        <v/>
      </c>
    </row>
    <row r="4695" spans="4:17" ht="12.75" customHeight="1" x14ac:dyDescent="0.2">
      <c r="D4695" s="58" t="str">
        <f>IFERROR(IF(F4695&lt;&gt;"pending","",IF(OR($B4695="",$B4695="(blank)"),"",VLOOKUP($B4695,'Email Marketing Raw Data'!$C:$O,10,0))),"")</f>
        <v/>
      </c>
      <c r="E4695" s="59" t="str">
        <f>IFERROR(IF(F4695&lt;&gt;"pending","",IF(OR($B4695="",$B4695="(blank)"),"",VLOOKUP($B4695,'Email Marketing Raw Data'!$C:$O,11,0))),"")</f>
        <v/>
      </c>
      <c r="F4695" s="54" t="str">
        <f>IFERROR(IF(OR($B4695="",$B4695="(blank)"),"",VLOOKUP($B4695,'Email Marketing Raw Data'!$C:$O,13,0)),"")</f>
        <v/>
      </c>
      <c r="G4695" s="55" t="str">
        <f>IFERROR(IF(OR($B4695="",$B4695="(blank)"),"",VLOOKUP($B4695,'Email Marketing Raw Data'!$C:$O,4,0)),"")</f>
        <v/>
      </c>
      <c r="H4695" s="55" t="str">
        <f>IFERROR(IF(OR($B4695="",$B4695="(blank)"),"",VLOOKUP($B4695,'Email Marketing Raw Data'!$C:$O,5,0)),"")</f>
        <v/>
      </c>
      <c r="I4695" s="55" t="str">
        <f>IFERROR(IF($G4695="","",VLOOKUP('Dashboard And Emails Automate'!$G4695,Database!$H:$N,3,0)),"")</f>
        <v/>
      </c>
      <c r="J4695" s="55" t="str">
        <f>IFERROR(IF($G4695="","",VLOOKUP('Dashboard And Emails Automate'!$G4695,Database!$H:$N,4,0)),"")</f>
        <v/>
      </c>
      <c r="K4695" s="55" t="str">
        <f>IFERROR(IF($G4695="","",VLOOKUP('Dashboard And Emails Automate'!$G4695,Database!$H:$N,5,0)),"")</f>
        <v/>
      </c>
      <c r="L4695" s="55" t="str">
        <f>IFERROR(IF($G4695="","",VLOOKUP('Dashboard And Emails Automate'!$G4695,Database!$H:$N,6,0)),"")</f>
        <v/>
      </c>
      <c r="M4695" s="55" t="str">
        <f>IFERROR(IF($G4695="","",VLOOKUP('Dashboard And Emails Automate'!$G4695,Database!$H:$N,7,0)),"")</f>
        <v/>
      </c>
      <c r="N4695" s="55" t="str">
        <f>IFERROR(IF(OR($B4695="",$B4695="(blank)"),"",VLOOKUP($B4695,'Email Marketing Raw Data'!$C:$O,6,0)),"")</f>
        <v/>
      </c>
      <c r="O4695" s="55" t="str">
        <f>IFERROR(IF(OR($B4695="",$B4695="(blank)"),"",VLOOKUP($B4695,'Email Marketing Raw Data'!$C:$O,7,0)),"")</f>
        <v/>
      </c>
      <c r="P4695" s="55" t="str">
        <f>IFERROR(IF(OR($B4695="",$B4695="(blank)"),"",VLOOKUP($B4695,'Email Marketing Raw Data'!$C:$O,8,0)),"")</f>
        <v/>
      </c>
      <c r="Q4695" s="62" t="str">
        <f>IFERROR(IF(OR($B4695="",$B4695="(blank)"),"",VLOOKUP($B4695,'Email Marketing Raw Data'!$C:$O,9,0)),"")</f>
        <v/>
      </c>
    </row>
    <row r="4696" spans="4:17" ht="12.75" customHeight="1" x14ac:dyDescent="0.2">
      <c r="D4696" s="58" t="str">
        <f>IFERROR(IF(F4696&lt;&gt;"pending","",IF(OR($B4696="",$B4696="(blank)"),"",VLOOKUP($B4696,'Email Marketing Raw Data'!$C:$O,10,0))),"")</f>
        <v/>
      </c>
      <c r="E4696" s="59" t="str">
        <f>IFERROR(IF(F4696&lt;&gt;"pending","",IF(OR($B4696="",$B4696="(blank)"),"",VLOOKUP($B4696,'Email Marketing Raw Data'!$C:$O,11,0))),"")</f>
        <v/>
      </c>
      <c r="F4696" s="54" t="str">
        <f>IFERROR(IF(OR($B4696="",$B4696="(blank)"),"",VLOOKUP($B4696,'Email Marketing Raw Data'!$C:$O,13,0)),"")</f>
        <v/>
      </c>
      <c r="G4696" s="55" t="str">
        <f>IFERROR(IF(OR($B4696="",$B4696="(blank)"),"",VLOOKUP($B4696,'Email Marketing Raw Data'!$C:$O,4,0)),"")</f>
        <v/>
      </c>
      <c r="H4696" s="55" t="str">
        <f>IFERROR(IF(OR($B4696="",$B4696="(blank)"),"",VLOOKUP($B4696,'Email Marketing Raw Data'!$C:$O,5,0)),"")</f>
        <v/>
      </c>
      <c r="I4696" s="55" t="str">
        <f>IFERROR(IF($G4696="","",VLOOKUP('Dashboard And Emails Automate'!$G4696,Database!$H:$N,3,0)),"")</f>
        <v/>
      </c>
      <c r="J4696" s="55" t="str">
        <f>IFERROR(IF($G4696="","",VLOOKUP('Dashboard And Emails Automate'!$G4696,Database!$H:$N,4,0)),"")</f>
        <v/>
      </c>
      <c r="K4696" s="55" t="str">
        <f>IFERROR(IF($G4696="","",VLOOKUP('Dashboard And Emails Automate'!$G4696,Database!$H:$N,5,0)),"")</f>
        <v/>
      </c>
      <c r="L4696" s="55" t="str">
        <f>IFERROR(IF($G4696="","",VLOOKUP('Dashboard And Emails Automate'!$G4696,Database!$H:$N,6,0)),"")</f>
        <v/>
      </c>
      <c r="M4696" s="55" t="str">
        <f>IFERROR(IF($G4696="","",VLOOKUP('Dashboard And Emails Automate'!$G4696,Database!$H:$N,7,0)),"")</f>
        <v/>
      </c>
      <c r="N4696" s="55" t="str">
        <f>IFERROR(IF(OR($B4696="",$B4696="(blank)"),"",VLOOKUP($B4696,'Email Marketing Raw Data'!$C:$O,6,0)),"")</f>
        <v/>
      </c>
      <c r="O4696" s="55" t="str">
        <f>IFERROR(IF(OR($B4696="",$B4696="(blank)"),"",VLOOKUP($B4696,'Email Marketing Raw Data'!$C:$O,7,0)),"")</f>
        <v/>
      </c>
      <c r="P4696" s="55" t="str">
        <f>IFERROR(IF(OR($B4696="",$B4696="(blank)"),"",VLOOKUP($B4696,'Email Marketing Raw Data'!$C:$O,8,0)),"")</f>
        <v/>
      </c>
      <c r="Q4696" s="62" t="str">
        <f>IFERROR(IF(OR($B4696="",$B4696="(blank)"),"",VLOOKUP($B4696,'Email Marketing Raw Data'!$C:$O,9,0)),"")</f>
        <v/>
      </c>
    </row>
    <row r="4697" spans="4:17" ht="12.75" customHeight="1" x14ac:dyDescent="0.2">
      <c r="D4697" s="58" t="str">
        <f>IFERROR(IF(F4697&lt;&gt;"pending","",IF(OR($B4697="",$B4697="(blank)"),"",VLOOKUP($B4697,'Email Marketing Raw Data'!$C:$O,10,0))),"")</f>
        <v/>
      </c>
      <c r="E4697" s="59" t="str">
        <f>IFERROR(IF(F4697&lt;&gt;"pending","",IF(OR($B4697="",$B4697="(blank)"),"",VLOOKUP($B4697,'Email Marketing Raw Data'!$C:$O,11,0))),"")</f>
        <v/>
      </c>
      <c r="F4697" s="54" t="str">
        <f>IFERROR(IF(OR($B4697="",$B4697="(blank)"),"",VLOOKUP($B4697,'Email Marketing Raw Data'!$C:$O,13,0)),"")</f>
        <v/>
      </c>
      <c r="G4697" s="55" t="str">
        <f>IFERROR(IF(OR($B4697="",$B4697="(blank)"),"",VLOOKUP($B4697,'Email Marketing Raw Data'!$C:$O,4,0)),"")</f>
        <v/>
      </c>
      <c r="H4697" s="55" t="str">
        <f>IFERROR(IF(OR($B4697="",$B4697="(blank)"),"",VLOOKUP($B4697,'Email Marketing Raw Data'!$C:$O,5,0)),"")</f>
        <v/>
      </c>
      <c r="I4697" s="55" t="str">
        <f>IFERROR(IF($G4697="","",VLOOKUP('Dashboard And Emails Automate'!$G4697,Database!$H:$N,3,0)),"")</f>
        <v/>
      </c>
      <c r="J4697" s="55" t="str">
        <f>IFERROR(IF($G4697="","",VLOOKUP('Dashboard And Emails Automate'!$G4697,Database!$H:$N,4,0)),"")</f>
        <v/>
      </c>
      <c r="K4697" s="55" t="str">
        <f>IFERROR(IF($G4697="","",VLOOKUP('Dashboard And Emails Automate'!$G4697,Database!$H:$N,5,0)),"")</f>
        <v/>
      </c>
      <c r="L4697" s="55" t="str">
        <f>IFERROR(IF($G4697="","",VLOOKUP('Dashboard And Emails Automate'!$G4697,Database!$H:$N,6,0)),"")</f>
        <v/>
      </c>
      <c r="M4697" s="55" t="str">
        <f>IFERROR(IF($G4697="","",VLOOKUP('Dashboard And Emails Automate'!$G4697,Database!$H:$N,7,0)),"")</f>
        <v/>
      </c>
      <c r="N4697" s="55" t="str">
        <f>IFERROR(IF(OR($B4697="",$B4697="(blank)"),"",VLOOKUP($B4697,'Email Marketing Raw Data'!$C:$O,6,0)),"")</f>
        <v/>
      </c>
      <c r="O4697" s="55" t="str">
        <f>IFERROR(IF(OR($B4697="",$B4697="(blank)"),"",VLOOKUP($B4697,'Email Marketing Raw Data'!$C:$O,7,0)),"")</f>
        <v/>
      </c>
      <c r="P4697" s="55" t="str">
        <f>IFERROR(IF(OR($B4697="",$B4697="(blank)"),"",VLOOKUP($B4697,'Email Marketing Raw Data'!$C:$O,8,0)),"")</f>
        <v/>
      </c>
      <c r="Q4697" s="62" t="str">
        <f>IFERROR(IF(OR($B4697="",$B4697="(blank)"),"",VLOOKUP($B4697,'Email Marketing Raw Data'!$C:$O,9,0)),"")</f>
        <v/>
      </c>
    </row>
    <row r="4698" spans="4:17" ht="12.75" customHeight="1" x14ac:dyDescent="0.2">
      <c r="D4698" s="58" t="str">
        <f>IFERROR(IF(F4698&lt;&gt;"pending","",IF(OR($B4698="",$B4698="(blank)"),"",VLOOKUP($B4698,'Email Marketing Raw Data'!$C:$O,10,0))),"")</f>
        <v/>
      </c>
      <c r="E4698" s="59" t="str">
        <f>IFERROR(IF(F4698&lt;&gt;"pending","",IF(OR($B4698="",$B4698="(blank)"),"",VLOOKUP($B4698,'Email Marketing Raw Data'!$C:$O,11,0))),"")</f>
        <v/>
      </c>
      <c r="F4698" s="54" t="str">
        <f>IFERROR(IF(OR($B4698="",$B4698="(blank)"),"",VLOOKUP($B4698,'Email Marketing Raw Data'!$C:$O,13,0)),"")</f>
        <v/>
      </c>
      <c r="G4698" s="55" t="str">
        <f>IFERROR(IF(OR($B4698="",$B4698="(blank)"),"",VLOOKUP($B4698,'Email Marketing Raw Data'!$C:$O,4,0)),"")</f>
        <v/>
      </c>
      <c r="H4698" s="55" t="str">
        <f>IFERROR(IF(OR($B4698="",$B4698="(blank)"),"",VLOOKUP($B4698,'Email Marketing Raw Data'!$C:$O,5,0)),"")</f>
        <v/>
      </c>
      <c r="I4698" s="55" t="str">
        <f>IFERROR(IF($G4698="","",VLOOKUP('Dashboard And Emails Automate'!$G4698,Database!$H:$N,3,0)),"")</f>
        <v/>
      </c>
      <c r="J4698" s="55" t="str">
        <f>IFERROR(IF($G4698="","",VLOOKUP('Dashboard And Emails Automate'!$G4698,Database!$H:$N,4,0)),"")</f>
        <v/>
      </c>
      <c r="K4698" s="55" t="str">
        <f>IFERROR(IF($G4698="","",VLOOKUP('Dashboard And Emails Automate'!$G4698,Database!$H:$N,5,0)),"")</f>
        <v/>
      </c>
      <c r="L4698" s="55" t="str">
        <f>IFERROR(IF($G4698="","",VLOOKUP('Dashboard And Emails Automate'!$G4698,Database!$H:$N,6,0)),"")</f>
        <v/>
      </c>
      <c r="M4698" s="55" t="str">
        <f>IFERROR(IF($G4698="","",VLOOKUP('Dashboard And Emails Automate'!$G4698,Database!$H:$N,7,0)),"")</f>
        <v/>
      </c>
      <c r="N4698" s="55" t="str">
        <f>IFERROR(IF(OR($B4698="",$B4698="(blank)"),"",VLOOKUP($B4698,'Email Marketing Raw Data'!$C:$O,6,0)),"")</f>
        <v/>
      </c>
      <c r="O4698" s="55" t="str">
        <f>IFERROR(IF(OR($B4698="",$B4698="(blank)"),"",VLOOKUP($B4698,'Email Marketing Raw Data'!$C:$O,7,0)),"")</f>
        <v/>
      </c>
      <c r="P4698" s="55" t="str">
        <f>IFERROR(IF(OR($B4698="",$B4698="(blank)"),"",VLOOKUP($B4698,'Email Marketing Raw Data'!$C:$O,8,0)),"")</f>
        <v/>
      </c>
      <c r="Q4698" s="62" t="str">
        <f>IFERROR(IF(OR($B4698="",$B4698="(blank)"),"",VLOOKUP($B4698,'Email Marketing Raw Data'!$C:$O,9,0)),"")</f>
        <v/>
      </c>
    </row>
    <row r="4699" spans="4:17" ht="12.75" customHeight="1" x14ac:dyDescent="0.2">
      <c r="D4699" s="58" t="str">
        <f>IFERROR(IF(F4699&lt;&gt;"pending","",IF(OR($B4699="",$B4699="(blank)"),"",VLOOKUP($B4699,'Email Marketing Raw Data'!$C:$O,10,0))),"")</f>
        <v/>
      </c>
      <c r="E4699" s="59" t="str">
        <f>IFERROR(IF(F4699&lt;&gt;"pending","",IF(OR($B4699="",$B4699="(blank)"),"",VLOOKUP($B4699,'Email Marketing Raw Data'!$C:$O,11,0))),"")</f>
        <v/>
      </c>
      <c r="F4699" s="54" t="str">
        <f>IFERROR(IF(OR($B4699="",$B4699="(blank)"),"",VLOOKUP($B4699,'Email Marketing Raw Data'!$C:$O,13,0)),"")</f>
        <v/>
      </c>
      <c r="G4699" s="55" t="str">
        <f>IFERROR(IF(OR($B4699="",$B4699="(blank)"),"",VLOOKUP($B4699,'Email Marketing Raw Data'!$C:$O,4,0)),"")</f>
        <v/>
      </c>
      <c r="H4699" s="55" t="str">
        <f>IFERROR(IF(OR($B4699="",$B4699="(blank)"),"",VLOOKUP($B4699,'Email Marketing Raw Data'!$C:$O,5,0)),"")</f>
        <v/>
      </c>
      <c r="I4699" s="55" t="str">
        <f>IFERROR(IF($G4699="","",VLOOKUP('Dashboard And Emails Automate'!$G4699,Database!$H:$N,3,0)),"")</f>
        <v/>
      </c>
      <c r="J4699" s="55" t="str">
        <f>IFERROR(IF($G4699="","",VLOOKUP('Dashboard And Emails Automate'!$G4699,Database!$H:$N,4,0)),"")</f>
        <v/>
      </c>
      <c r="K4699" s="55" t="str">
        <f>IFERROR(IF($G4699="","",VLOOKUP('Dashboard And Emails Automate'!$G4699,Database!$H:$N,5,0)),"")</f>
        <v/>
      </c>
      <c r="L4699" s="55" t="str">
        <f>IFERROR(IF($G4699="","",VLOOKUP('Dashboard And Emails Automate'!$G4699,Database!$H:$N,6,0)),"")</f>
        <v/>
      </c>
      <c r="M4699" s="55" t="str">
        <f>IFERROR(IF($G4699="","",VLOOKUP('Dashboard And Emails Automate'!$G4699,Database!$H:$N,7,0)),"")</f>
        <v/>
      </c>
      <c r="N4699" s="55" t="str">
        <f>IFERROR(IF(OR($B4699="",$B4699="(blank)"),"",VLOOKUP($B4699,'Email Marketing Raw Data'!$C:$O,6,0)),"")</f>
        <v/>
      </c>
      <c r="O4699" s="55" t="str">
        <f>IFERROR(IF(OR($B4699="",$B4699="(blank)"),"",VLOOKUP($B4699,'Email Marketing Raw Data'!$C:$O,7,0)),"")</f>
        <v/>
      </c>
      <c r="P4699" s="55" t="str">
        <f>IFERROR(IF(OR($B4699="",$B4699="(blank)"),"",VLOOKUP($B4699,'Email Marketing Raw Data'!$C:$O,8,0)),"")</f>
        <v/>
      </c>
      <c r="Q4699" s="62" t="str">
        <f>IFERROR(IF(OR($B4699="",$B4699="(blank)"),"",VLOOKUP($B4699,'Email Marketing Raw Data'!$C:$O,9,0)),"")</f>
        <v/>
      </c>
    </row>
    <row r="4700" spans="4:17" ht="12.75" customHeight="1" x14ac:dyDescent="0.2">
      <c r="D4700" s="58" t="str">
        <f>IFERROR(IF(F4700&lt;&gt;"pending","",IF(OR($B4700="",$B4700="(blank)"),"",VLOOKUP($B4700,'Email Marketing Raw Data'!$C:$O,10,0))),"")</f>
        <v/>
      </c>
      <c r="E4700" s="59" t="str">
        <f>IFERROR(IF(F4700&lt;&gt;"pending","",IF(OR($B4700="",$B4700="(blank)"),"",VLOOKUP($B4700,'Email Marketing Raw Data'!$C:$O,11,0))),"")</f>
        <v/>
      </c>
      <c r="F4700" s="54" t="str">
        <f>IFERROR(IF(OR($B4700="",$B4700="(blank)"),"",VLOOKUP($B4700,'Email Marketing Raw Data'!$C:$O,13,0)),"")</f>
        <v/>
      </c>
      <c r="G4700" s="55" t="str">
        <f>IFERROR(IF(OR($B4700="",$B4700="(blank)"),"",VLOOKUP($B4700,'Email Marketing Raw Data'!$C:$O,4,0)),"")</f>
        <v/>
      </c>
      <c r="H4700" s="55" t="str">
        <f>IFERROR(IF(OR($B4700="",$B4700="(blank)"),"",VLOOKUP($B4700,'Email Marketing Raw Data'!$C:$O,5,0)),"")</f>
        <v/>
      </c>
      <c r="I4700" s="55" t="str">
        <f>IFERROR(IF($G4700="","",VLOOKUP('Dashboard And Emails Automate'!$G4700,Database!$H:$N,3,0)),"")</f>
        <v/>
      </c>
      <c r="J4700" s="55" t="str">
        <f>IFERROR(IF($G4700="","",VLOOKUP('Dashboard And Emails Automate'!$G4700,Database!$H:$N,4,0)),"")</f>
        <v/>
      </c>
      <c r="K4700" s="55" t="str">
        <f>IFERROR(IF($G4700="","",VLOOKUP('Dashboard And Emails Automate'!$G4700,Database!$H:$N,5,0)),"")</f>
        <v/>
      </c>
      <c r="L4700" s="55" t="str">
        <f>IFERROR(IF($G4700="","",VLOOKUP('Dashboard And Emails Automate'!$G4700,Database!$H:$N,6,0)),"")</f>
        <v/>
      </c>
      <c r="M4700" s="55" t="str">
        <f>IFERROR(IF($G4700="","",VLOOKUP('Dashboard And Emails Automate'!$G4700,Database!$H:$N,7,0)),"")</f>
        <v/>
      </c>
      <c r="N4700" s="55" t="str">
        <f>IFERROR(IF(OR($B4700="",$B4700="(blank)"),"",VLOOKUP($B4700,'Email Marketing Raw Data'!$C:$O,6,0)),"")</f>
        <v/>
      </c>
      <c r="O4700" s="55" t="str">
        <f>IFERROR(IF(OR($B4700="",$B4700="(blank)"),"",VLOOKUP($B4700,'Email Marketing Raw Data'!$C:$O,7,0)),"")</f>
        <v/>
      </c>
      <c r="P4700" s="55" t="str">
        <f>IFERROR(IF(OR($B4700="",$B4700="(blank)"),"",VLOOKUP($B4700,'Email Marketing Raw Data'!$C:$O,8,0)),"")</f>
        <v/>
      </c>
      <c r="Q4700" s="62" t="str">
        <f>IFERROR(IF(OR($B4700="",$B4700="(blank)"),"",VLOOKUP($B4700,'Email Marketing Raw Data'!$C:$O,9,0)),"")</f>
        <v/>
      </c>
    </row>
    <row r="4701" spans="4:17" ht="12.75" customHeight="1" x14ac:dyDescent="0.2">
      <c r="D4701" s="58" t="str">
        <f>IFERROR(IF(F4701&lt;&gt;"pending","",IF(OR($B4701="",$B4701="(blank)"),"",VLOOKUP($B4701,'Email Marketing Raw Data'!$C:$O,10,0))),"")</f>
        <v/>
      </c>
      <c r="E4701" s="59" t="str">
        <f>IFERROR(IF(F4701&lt;&gt;"pending","",IF(OR($B4701="",$B4701="(blank)"),"",VLOOKUP($B4701,'Email Marketing Raw Data'!$C:$O,11,0))),"")</f>
        <v/>
      </c>
      <c r="F4701" s="54" t="str">
        <f>IFERROR(IF(OR($B4701="",$B4701="(blank)"),"",VLOOKUP($B4701,'Email Marketing Raw Data'!$C:$O,13,0)),"")</f>
        <v/>
      </c>
      <c r="G4701" s="55" t="str">
        <f>IFERROR(IF(OR($B4701="",$B4701="(blank)"),"",VLOOKUP($B4701,'Email Marketing Raw Data'!$C:$O,4,0)),"")</f>
        <v/>
      </c>
      <c r="H4701" s="55" t="str">
        <f>IFERROR(IF(OR($B4701="",$B4701="(blank)"),"",VLOOKUP($B4701,'Email Marketing Raw Data'!$C:$O,5,0)),"")</f>
        <v/>
      </c>
      <c r="I4701" s="55" t="str">
        <f>IFERROR(IF($G4701="","",VLOOKUP('Dashboard And Emails Automate'!$G4701,Database!$H:$N,3,0)),"")</f>
        <v/>
      </c>
      <c r="J4701" s="55" t="str">
        <f>IFERROR(IF($G4701="","",VLOOKUP('Dashboard And Emails Automate'!$G4701,Database!$H:$N,4,0)),"")</f>
        <v/>
      </c>
      <c r="K4701" s="55" t="str">
        <f>IFERROR(IF($G4701="","",VLOOKUP('Dashboard And Emails Automate'!$G4701,Database!$H:$N,5,0)),"")</f>
        <v/>
      </c>
      <c r="L4701" s="55" t="str">
        <f>IFERROR(IF($G4701="","",VLOOKUP('Dashboard And Emails Automate'!$G4701,Database!$H:$N,6,0)),"")</f>
        <v/>
      </c>
      <c r="M4701" s="55" t="str">
        <f>IFERROR(IF($G4701="","",VLOOKUP('Dashboard And Emails Automate'!$G4701,Database!$H:$N,7,0)),"")</f>
        <v/>
      </c>
      <c r="N4701" s="55" t="str">
        <f>IFERROR(IF(OR($B4701="",$B4701="(blank)"),"",VLOOKUP($B4701,'Email Marketing Raw Data'!$C:$O,6,0)),"")</f>
        <v/>
      </c>
      <c r="O4701" s="55" t="str">
        <f>IFERROR(IF(OR($B4701="",$B4701="(blank)"),"",VLOOKUP($B4701,'Email Marketing Raw Data'!$C:$O,7,0)),"")</f>
        <v/>
      </c>
      <c r="P4701" s="55" t="str">
        <f>IFERROR(IF(OR($B4701="",$B4701="(blank)"),"",VLOOKUP($B4701,'Email Marketing Raw Data'!$C:$O,8,0)),"")</f>
        <v/>
      </c>
      <c r="Q4701" s="62" t="str">
        <f>IFERROR(IF(OR($B4701="",$B4701="(blank)"),"",VLOOKUP($B4701,'Email Marketing Raw Data'!$C:$O,9,0)),"")</f>
        <v/>
      </c>
    </row>
    <row r="4702" spans="4:17" ht="12.75" customHeight="1" x14ac:dyDescent="0.2">
      <c r="D4702" s="58" t="str">
        <f>IFERROR(IF(F4702&lt;&gt;"pending","",IF(OR($B4702="",$B4702="(blank)"),"",VLOOKUP($B4702,'Email Marketing Raw Data'!$C:$O,10,0))),"")</f>
        <v/>
      </c>
      <c r="E4702" s="59" t="str">
        <f>IFERROR(IF(F4702&lt;&gt;"pending","",IF(OR($B4702="",$B4702="(blank)"),"",VLOOKUP($B4702,'Email Marketing Raw Data'!$C:$O,11,0))),"")</f>
        <v/>
      </c>
      <c r="F4702" s="54" t="str">
        <f>IFERROR(IF(OR($B4702="",$B4702="(blank)"),"",VLOOKUP($B4702,'Email Marketing Raw Data'!$C:$O,13,0)),"")</f>
        <v/>
      </c>
      <c r="G4702" s="55" t="str">
        <f>IFERROR(IF(OR($B4702="",$B4702="(blank)"),"",VLOOKUP($B4702,'Email Marketing Raw Data'!$C:$O,4,0)),"")</f>
        <v/>
      </c>
      <c r="H4702" s="55" t="str">
        <f>IFERROR(IF(OR($B4702="",$B4702="(blank)"),"",VLOOKUP($B4702,'Email Marketing Raw Data'!$C:$O,5,0)),"")</f>
        <v/>
      </c>
      <c r="I4702" s="55" t="str">
        <f>IFERROR(IF($G4702="","",VLOOKUP('Dashboard And Emails Automate'!$G4702,Database!$H:$N,3,0)),"")</f>
        <v/>
      </c>
      <c r="J4702" s="55" t="str">
        <f>IFERROR(IF($G4702="","",VLOOKUP('Dashboard And Emails Automate'!$G4702,Database!$H:$N,4,0)),"")</f>
        <v/>
      </c>
      <c r="K4702" s="55" t="str">
        <f>IFERROR(IF($G4702="","",VLOOKUP('Dashboard And Emails Automate'!$G4702,Database!$H:$N,5,0)),"")</f>
        <v/>
      </c>
      <c r="L4702" s="55" t="str">
        <f>IFERROR(IF($G4702="","",VLOOKUP('Dashboard And Emails Automate'!$G4702,Database!$H:$N,6,0)),"")</f>
        <v/>
      </c>
      <c r="M4702" s="55" t="str">
        <f>IFERROR(IF($G4702="","",VLOOKUP('Dashboard And Emails Automate'!$G4702,Database!$H:$N,7,0)),"")</f>
        <v/>
      </c>
      <c r="N4702" s="55" t="str">
        <f>IFERROR(IF(OR($B4702="",$B4702="(blank)"),"",VLOOKUP($B4702,'Email Marketing Raw Data'!$C:$O,6,0)),"")</f>
        <v/>
      </c>
      <c r="O4702" s="55" t="str">
        <f>IFERROR(IF(OR($B4702="",$B4702="(blank)"),"",VLOOKUP($B4702,'Email Marketing Raw Data'!$C:$O,7,0)),"")</f>
        <v/>
      </c>
      <c r="P4702" s="55" t="str">
        <f>IFERROR(IF(OR($B4702="",$B4702="(blank)"),"",VLOOKUP($B4702,'Email Marketing Raw Data'!$C:$O,8,0)),"")</f>
        <v/>
      </c>
      <c r="Q4702" s="62" t="str">
        <f>IFERROR(IF(OR($B4702="",$B4702="(blank)"),"",VLOOKUP($B4702,'Email Marketing Raw Data'!$C:$O,9,0)),"")</f>
        <v/>
      </c>
    </row>
    <row r="4703" spans="4:17" ht="12.75" customHeight="1" x14ac:dyDescent="0.2">
      <c r="D4703" s="58" t="str">
        <f>IFERROR(IF(F4703&lt;&gt;"pending","",IF(OR($B4703="",$B4703="(blank)"),"",VLOOKUP($B4703,'Email Marketing Raw Data'!$C:$O,10,0))),"")</f>
        <v/>
      </c>
      <c r="E4703" s="59" t="str">
        <f>IFERROR(IF(F4703&lt;&gt;"pending","",IF(OR($B4703="",$B4703="(blank)"),"",VLOOKUP($B4703,'Email Marketing Raw Data'!$C:$O,11,0))),"")</f>
        <v/>
      </c>
      <c r="F4703" s="54" t="str">
        <f>IFERROR(IF(OR($B4703="",$B4703="(blank)"),"",VLOOKUP($B4703,'Email Marketing Raw Data'!$C:$O,13,0)),"")</f>
        <v/>
      </c>
      <c r="G4703" s="55" t="str">
        <f>IFERROR(IF(OR($B4703="",$B4703="(blank)"),"",VLOOKUP($B4703,'Email Marketing Raw Data'!$C:$O,4,0)),"")</f>
        <v/>
      </c>
      <c r="H4703" s="55" t="str">
        <f>IFERROR(IF(OR($B4703="",$B4703="(blank)"),"",VLOOKUP($B4703,'Email Marketing Raw Data'!$C:$O,5,0)),"")</f>
        <v/>
      </c>
      <c r="I4703" s="55" t="str">
        <f>IFERROR(IF($G4703="","",VLOOKUP('Dashboard And Emails Automate'!$G4703,Database!$H:$N,3,0)),"")</f>
        <v/>
      </c>
      <c r="J4703" s="55" t="str">
        <f>IFERROR(IF($G4703="","",VLOOKUP('Dashboard And Emails Automate'!$G4703,Database!$H:$N,4,0)),"")</f>
        <v/>
      </c>
      <c r="K4703" s="55" t="str">
        <f>IFERROR(IF($G4703="","",VLOOKUP('Dashboard And Emails Automate'!$G4703,Database!$H:$N,5,0)),"")</f>
        <v/>
      </c>
      <c r="L4703" s="55" t="str">
        <f>IFERROR(IF($G4703="","",VLOOKUP('Dashboard And Emails Automate'!$G4703,Database!$H:$N,6,0)),"")</f>
        <v/>
      </c>
      <c r="M4703" s="55" t="str">
        <f>IFERROR(IF($G4703="","",VLOOKUP('Dashboard And Emails Automate'!$G4703,Database!$H:$N,7,0)),"")</f>
        <v/>
      </c>
      <c r="N4703" s="55" t="str">
        <f>IFERROR(IF(OR($B4703="",$B4703="(blank)"),"",VLOOKUP($B4703,'Email Marketing Raw Data'!$C:$O,6,0)),"")</f>
        <v/>
      </c>
      <c r="O4703" s="55" t="str">
        <f>IFERROR(IF(OR($B4703="",$B4703="(blank)"),"",VLOOKUP($B4703,'Email Marketing Raw Data'!$C:$O,7,0)),"")</f>
        <v/>
      </c>
      <c r="P4703" s="55" t="str">
        <f>IFERROR(IF(OR($B4703="",$B4703="(blank)"),"",VLOOKUP($B4703,'Email Marketing Raw Data'!$C:$O,8,0)),"")</f>
        <v/>
      </c>
      <c r="Q4703" s="62" t="str">
        <f>IFERROR(IF(OR($B4703="",$B4703="(blank)"),"",VLOOKUP($B4703,'Email Marketing Raw Data'!$C:$O,9,0)),"")</f>
        <v/>
      </c>
    </row>
    <row r="4704" spans="4:17" ht="12.75" customHeight="1" x14ac:dyDescent="0.2">
      <c r="D4704" s="58" t="str">
        <f>IFERROR(IF(F4704&lt;&gt;"pending","",IF(OR($B4704="",$B4704="(blank)"),"",VLOOKUP($B4704,'Email Marketing Raw Data'!$C:$O,10,0))),"")</f>
        <v/>
      </c>
      <c r="E4704" s="59" t="str">
        <f>IFERROR(IF(F4704&lt;&gt;"pending","",IF(OR($B4704="",$B4704="(blank)"),"",VLOOKUP($B4704,'Email Marketing Raw Data'!$C:$O,11,0))),"")</f>
        <v/>
      </c>
      <c r="F4704" s="54" t="str">
        <f>IFERROR(IF(OR($B4704="",$B4704="(blank)"),"",VLOOKUP($B4704,'Email Marketing Raw Data'!$C:$O,13,0)),"")</f>
        <v/>
      </c>
      <c r="G4704" s="55" t="str">
        <f>IFERROR(IF(OR($B4704="",$B4704="(blank)"),"",VLOOKUP($B4704,'Email Marketing Raw Data'!$C:$O,4,0)),"")</f>
        <v/>
      </c>
      <c r="H4704" s="55" t="str">
        <f>IFERROR(IF(OR($B4704="",$B4704="(blank)"),"",VLOOKUP($B4704,'Email Marketing Raw Data'!$C:$O,5,0)),"")</f>
        <v/>
      </c>
      <c r="I4704" s="55" t="str">
        <f>IFERROR(IF($G4704="","",VLOOKUP('Dashboard And Emails Automate'!$G4704,Database!$H:$N,3,0)),"")</f>
        <v/>
      </c>
      <c r="J4704" s="55" t="str">
        <f>IFERROR(IF($G4704="","",VLOOKUP('Dashboard And Emails Automate'!$G4704,Database!$H:$N,4,0)),"")</f>
        <v/>
      </c>
      <c r="K4704" s="55" t="str">
        <f>IFERROR(IF($G4704="","",VLOOKUP('Dashboard And Emails Automate'!$G4704,Database!$H:$N,5,0)),"")</f>
        <v/>
      </c>
      <c r="L4704" s="55" t="str">
        <f>IFERROR(IF($G4704="","",VLOOKUP('Dashboard And Emails Automate'!$G4704,Database!$H:$N,6,0)),"")</f>
        <v/>
      </c>
      <c r="M4704" s="55" t="str">
        <f>IFERROR(IF($G4704="","",VLOOKUP('Dashboard And Emails Automate'!$G4704,Database!$H:$N,7,0)),"")</f>
        <v/>
      </c>
      <c r="N4704" s="55" t="str">
        <f>IFERROR(IF(OR($B4704="",$B4704="(blank)"),"",VLOOKUP($B4704,'Email Marketing Raw Data'!$C:$O,6,0)),"")</f>
        <v/>
      </c>
      <c r="O4704" s="55" t="str">
        <f>IFERROR(IF(OR($B4704="",$B4704="(blank)"),"",VLOOKUP($B4704,'Email Marketing Raw Data'!$C:$O,7,0)),"")</f>
        <v/>
      </c>
      <c r="P4704" s="55" t="str">
        <f>IFERROR(IF(OR($B4704="",$B4704="(blank)"),"",VLOOKUP($B4704,'Email Marketing Raw Data'!$C:$O,8,0)),"")</f>
        <v/>
      </c>
      <c r="Q4704" s="62" t="str">
        <f>IFERROR(IF(OR($B4704="",$B4704="(blank)"),"",VLOOKUP($B4704,'Email Marketing Raw Data'!$C:$O,9,0)),"")</f>
        <v/>
      </c>
    </row>
    <row r="4705" spans="4:17" ht="12.75" customHeight="1" x14ac:dyDescent="0.2">
      <c r="D4705" s="58" t="str">
        <f>IFERROR(IF(F4705&lt;&gt;"pending","",IF(OR($B4705="",$B4705="(blank)"),"",VLOOKUP($B4705,'Email Marketing Raw Data'!$C:$O,10,0))),"")</f>
        <v/>
      </c>
      <c r="E4705" s="59" t="str">
        <f>IFERROR(IF(F4705&lt;&gt;"pending","",IF(OR($B4705="",$B4705="(blank)"),"",VLOOKUP($B4705,'Email Marketing Raw Data'!$C:$O,11,0))),"")</f>
        <v/>
      </c>
      <c r="F4705" s="54" t="str">
        <f>IFERROR(IF(OR($B4705="",$B4705="(blank)"),"",VLOOKUP($B4705,'Email Marketing Raw Data'!$C:$O,13,0)),"")</f>
        <v/>
      </c>
      <c r="G4705" s="55" t="str">
        <f>IFERROR(IF(OR($B4705="",$B4705="(blank)"),"",VLOOKUP($B4705,'Email Marketing Raw Data'!$C:$O,4,0)),"")</f>
        <v/>
      </c>
      <c r="H4705" s="55" t="str">
        <f>IFERROR(IF(OR($B4705="",$B4705="(blank)"),"",VLOOKUP($B4705,'Email Marketing Raw Data'!$C:$O,5,0)),"")</f>
        <v/>
      </c>
      <c r="I4705" s="55" t="str">
        <f>IFERROR(IF($G4705="","",VLOOKUP('Dashboard And Emails Automate'!$G4705,Database!$H:$N,3,0)),"")</f>
        <v/>
      </c>
      <c r="J4705" s="55" t="str">
        <f>IFERROR(IF($G4705="","",VLOOKUP('Dashboard And Emails Automate'!$G4705,Database!$H:$N,4,0)),"")</f>
        <v/>
      </c>
      <c r="K4705" s="55" t="str">
        <f>IFERROR(IF($G4705="","",VLOOKUP('Dashboard And Emails Automate'!$G4705,Database!$H:$N,5,0)),"")</f>
        <v/>
      </c>
      <c r="L4705" s="55" t="str">
        <f>IFERROR(IF($G4705="","",VLOOKUP('Dashboard And Emails Automate'!$G4705,Database!$H:$N,6,0)),"")</f>
        <v/>
      </c>
      <c r="M4705" s="55" t="str">
        <f>IFERROR(IF($G4705="","",VLOOKUP('Dashboard And Emails Automate'!$G4705,Database!$H:$N,7,0)),"")</f>
        <v/>
      </c>
      <c r="N4705" s="55" t="str">
        <f>IFERROR(IF(OR($B4705="",$B4705="(blank)"),"",VLOOKUP($B4705,'Email Marketing Raw Data'!$C:$O,6,0)),"")</f>
        <v/>
      </c>
      <c r="O4705" s="55" t="str">
        <f>IFERROR(IF(OR($B4705="",$B4705="(blank)"),"",VLOOKUP($B4705,'Email Marketing Raw Data'!$C:$O,7,0)),"")</f>
        <v/>
      </c>
      <c r="P4705" s="55" t="str">
        <f>IFERROR(IF(OR($B4705="",$B4705="(blank)"),"",VLOOKUP($B4705,'Email Marketing Raw Data'!$C:$O,8,0)),"")</f>
        <v/>
      </c>
      <c r="Q4705" s="62" t="str">
        <f>IFERROR(IF(OR($B4705="",$B4705="(blank)"),"",VLOOKUP($B4705,'Email Marketing Raw Data'!$C:$O,9,0)),"")</f>
        <v/>
      </c>
    </row>
    <row r="4706" spans="4:17" ht="12.75" customHeight="1" x14ac:dyDescent="0.2">
      <c r="D4706" s="58" t="str">
        <f>IFERROR(IF(F4706&lt;&gt;"pending","",IF(OR($B4706="",$B4706="(blank)"),"",VLOOKUP($B4706,'Email Marketing Raw Data'!$C:$O,10,0))),"")</f>
        <v/>
      </c>
      <c r="E4706" s="59" t="str">
        <f>IFERROR(IF(F4706&lt;&gt;"pending","",IF(OR($B4706="",$B4706="(blank)"),"",VLOOKUP($B4706,'Email Marketing Raw Data'!$C:$O,11,0))),"")</f>
        <v/>
      </c>
      <c r="F4706" s="54" t="str">
        <f>IFERROR(IF(OR($B4706="",$B4706="(blank)"),"",VLOOKUP($B4706,'Email Marketing Raw Data'!$C:$O,13,0)),"")</f>
        <v/>
      </c>
      <c r="G4706" s="55" t="str">
        <f>IFERROR(IF(OR($B4706="",$B4706="(blank)"),"",VLOOKUP($B4706,'Email Marketing Raw Data'!$C:$O,4,0)),"")</f>
        <v/>
      </c>
      <c r="H4706" s="55" t="str">
        <f>IFERROR(IF(OR($B4706="",$B4706="(blank)"),"",VLOOKUP($B4706,'Email Marketing Raw Data'!$C:$O,5,0)),"")</f>
        <v/>
      </c>
      <c r="I4706" s="55" t="str">
        <f>IFERROR(IF($G4706="","",VLOOKUP('Dashboard And Emails Automate'!$G4706,Database!$H:$N,3,0)),"")</f>
        <v/>
      </c>
      <c r="J4706" s="55" t="str">
        <f>IFERROR(IF($G4706="","",VLOOKUP('Dashboard And Emails Automate'!$G4706,Database!$H:$N,4,0)),"")</f>
        <v/>
      </c>
      <c r="K4706" s="55" t="str">
        <f>IFERROR(IF($G4706="","",VLOOKUP('Dashboard And Emails Automate'!$G4706,Database!$H:$N,5,0)),"")</f>
        <v/>
      </c>
      <c r="L4706" s="55" t="str">
        <f>IFERROR(IF($G4706="","",VLOOKUP('Dashboard And Emails Automate'!$G4706,Database!$H:$N,6,0)),"")</f>
        <v/>
      </c>
      <c r="M4706" s="55" t="str">
        <f>IFERROR(IF($G4706="","",VLOOKUP('Dashboard And Emails Automate'!$G4706,Database!$H:$N,7,0)),"")</f>
        <v/>
      </c>
      <c r="N4706" s="55" t="str">
        <f>IFERROR(IF(OR($B4706="",$B4706="(blank)"),"",VLOOKUP($B4706,'Email Marketing Raw Data'!$C:$O,6,0)),"")</f>
        <v/>
      </c>
      <c r="O4706" s="55" t="str">
        <f>IFERROR(IF(OR($B4706="",$B4706="(blank)"),"",VLOOKUP($B4706,'Email Marketing Raw Data'!$C:$O,7,0)),"")</f>
        <v/>
      </c>
      <c r="P4706" s="55" t="str">
        <f>IFERROR(IF(OR($B4706="",$B4706="(blank)"),"",VLOOKUP($B4706,'Email Marketing Raw Data'!$C:$O,8,0)),"")</f>
        <v/>
      </c>
      <c r="Q4706" s="62" t="str">
        <f>IFERROR(IF(OR($B4706="",$B4706="(blank)"),"",VLOOKUP($B4706,'Email Marketing Raw Data'!$C:$O,9,0)),"")</f>
        <v/>
      </c>
    </row>
    <row r="4707" spans="4:17" ht="12.75" customHeight="1" x14ac:dyDescent="0.2">
      <c r="D4707" s="58" t="str">
        <f>IFERROR(IF(F4707&lt;&gt;"pending","",IF(OR($B4707="",$B4707="(blank)"),"",VLOOKUP($B4707,'Email Marketing Raw Data'!$C:$O,10,0))),"")</f>
        <v/>
      </c>
      <c r="E4707" s="59" t="str">
        <f>IFERROR(IF(F4707&lt;&gt;"pending","",IF(OR($B4707="",$B4707="(blank)"),"",VLOOKUP($B4707,'Email Marketing Raw Data'!$C:$O,11,0))),"")</f>
        <v/>
      </c>
      <c r="F4707" s="54" t="str">
        <f>IFERROR(IF(OR($B4707="",$B4707="(blank)"),"",VLOOKUP($B4707,'Email Marketing Raw Data'!$C:$O,13,0)),"")</f>
        <v/>
      </c>
      <c r="G4707" s="55" t="str">
        <f>IFERROR(IF(OR($B4707="",$B4707="(blank)"),"",VLOOKUP($B4707,'Email Marketing Raw Data'!$C:$O,4,0)),"")</f>
        <v/>
      </c>
      <c r="H4707" s="55" t="str">
        <f>IFERROR(IF(OR($B4707="",$B4707="(blank)"),"",VLOOKUP($B4707,'Email Marketing Raw Data'!$C:$O,5,0)),"")</f>
        <v/>
      </c>
      <c r="I4707" s="55" t="str">
        <f>IFERROR(IF($G4707="","",VLOOKUP('Dashboard And Emails Automate'!$G4707,Database!$H:$N,3,0)),"")</f>
        <v/>
      </c>
      <c r="J4707" s="55" t="str">
        <f>IFERROR(IF($G4707="","",VLOOKUP('Dashboard And Emails Automate'!$G4707,Database!$H:$N,4,0)),"")</f>
        <v/>
      </c>
      <c r="K4707" s="55" t="str">
        <f>IFERROR(IF($G4707="","",VLOOKUP('Dashboard And Emails Automate'!$G4707,Database!$H:$N,5,0)),"")</f>
        <v/>
      </c>
      <c r="L4707" s="55" t="str">
        <f>IFERROR(IF($G4707="","",VLOOKUP('Dashboard And Emails Automate'!$G4707,Database!$H:$N,6,0)),"")</f>
        <v/>
      </c>
      <c r="M4707" s="55" t="str">
        <f>IFERROR(IF($G4707="","",VLOOKUP('Dashboard And Emails Automate'!$G4707,Database!$H:$N,7,0)),"")</f>
        <v/>
      </c>
      <c r="N4707" s="55" t="str">
        <f>IFERROR(IF(OR($B4707="",$B4707="(blank)"),"",VLOOKUP($B4707,'Email Marketing Raw Data'!$C:$O,6,0)),"")</f>
        <v/>
      </c>
      <c r="O4707" s="55" t="str">
        <f>IFERROR(IF(OR($B4707="",$B4707="(blank)"),"",VLOOKUP($B4707,'Email Marketing Raw Data'!$C:$O,7,0)),"")</f>
        <v/>
      </c>
      <c r="P4707" s="55" t="str">
        <f>IFERROR(IF(OR($B4707="",$B4707="(blank)"),"",VLOOKUP($B4707,'Email Marketing Raw Data'!$C:$O,8,0)),"")</f>
        <v/>
      </c>
      <c r="Q4707" s="62" t="str">
        <f>IFERROR(IF(OR($B4707="",$B4707="(blank)"),"",VLOOKUP($B4707,'Email Marketing Raw Data'!$C:$O,9,0)),"")</f>
        <v/>
      </c>
    </row>
    <row r="4708" spans="4:17" ht="12.75" customHeight="1" x14ac:dyDescent="0.2">
      <c r="D4708" s="58" t="str">
        <f>IFERROR(IF(F4708&lt;&gt;"pending","",IF(OR($B4708="",$B4708="(blank)"),"",VLOOKUP($B4708,'Email Marketing Raw Data'!$C:$O,10,0))),"")</f>
        <v/>
      </c>
      <c r="E4708" s="59" t="str">
        <f>IFERROR(IF(F4708&lt;&gt;"pending","",IF(OR($B4708="",$B4708="(blank)"),"",VLOOKUP($B4708,'Email Marketing Raw Data'!$C:$O,11,0))),"")</f>
        <v/>
      </c>
      <c r="F4708" s="54" t="str">
        <f>IFERROR(IF(OR($B4708="",$B4708="(blank)"),"",VLOOKUP($B4708,'Email Marketing Raw Data'!$C:$O,13,0)),"")</f>
        <v/>
      </c>
      <c r="G4708" s="55" t="str">
        <f>IFERROR(IF(OR($B4708="",$B4708="(blank)"),"",VLOOKUP($B4708,'Email Marketing Raw Data'!$C:$O,4,0)),"")</f>
        <v/>
      </c>
      <c r="H4708" s="55" t="str">
        <f>IFERROR(IF(OR($B4708="",$B4708="(blank)"),"",VLOOKUP($B4708,'Email Marketing Raw Data'!$C:$O,5,0)),"")</f>
        <v/>
      </c>
      <c r="I4708" s="55" t="str">
        <f>IFERROR(IF($G4708="","",VLOOKUP('Dashboard And Emails Automate'!$G4708,Database!$H:$N,3,0)),"")</f>
        <v/>
      </c>
      <c r="J4708" s="55" t="str">
        <f>IFERROR(IF($G4708="","",VLOOKUP('Dashboard And Emails Automate'!$G4708,Database!$H:$N,4,0)),"")</f>
        <v/>
      </c>
      <c r="K4708" s="55" t="str">
        <f>IFERROR(IF($G4708="","",VLOOKUP('Dashboard And Emails Automate'!$G4708,Database!$H:$N,5,0)),"")</f>
        <v/>
      </c>
      <c r="L4708" s="55" t="str">
        <f>IFERROR(IF($G4708="","",VLOOKUP('Dashboard And Emails Automate'!$G4708,Database!$H:$N,6,0)),"")</f>
        <v/>
      </c>
      <c r="M4708" s="55" t="str">
        <f>IFERROR(IF($G4708="","",VLOOKUP('Dashboard And Emails Automate'!$G4708,Database!$H:$N,7,0)),"")</f>
        <v/>
      </c>
      <c r="N4708" s="55" t="str">
        <f>IFERROR(IF(OR($B4708="",$B4708="(blank)"),"",VLOOKUP($B4708,'Email Marketing Raw Data'!$C:$O,6,0)),"")</f>
        <v/>
      </c>
      <c r="O4708" s="55" t="str">
        <f>IFERROR(IF(OR($B4708="",$B4708="(blank)"),"",VLOOKUP($B4708,'Email Marketing Raw Data'!$C:$O,7,0)),"")</f>
        <v/>
      </c>
      <c r="P4708" s="55" t="str">
        <f>IFERROR(IF(OR($B4708="",$B4708="(blank)"),"",VLOOKUP($B4708,'Email Marketing Raw Data'!$C:$O,8,0)),"")</f>
        <v/>
      </c>
      <c r="Q4708" s="62" t="str">
        <f>IFERROR(IF(OR($B4708="",$B4708="(blank)"),"",VLOOKUP($B4708,'Email Marketing Raw Data'!$C:$O,9,0)),"")</f>
        <v/>
      </c>
    </row>
    <row r="4709" spans="4:17" ht="12.75" customHeight="1" x14ac:dyDescent="0.2">
      <c r="D4709" s="58" t="str">
        <f>IFERROR(IF(F4709&lt;&gt;"pending","",IF(OR($B4709="",$B4709="(blank)"),"",VLOOKUP($B4709,'Email Marketing Raw Data'!$C:$O,10,0))),"")</f>
        <v/>
      </c>
      <c r="E4709" s="59" t="str">
        <f>IFERROR(IF(F4709&lt;&gt;"pending","",IF(OR($B4709="",$B4709="(blank)"),"",VLOOKUP($B4709,'Email Marketing Raw Data'!$C:$O,11,0))),"")</f>
        <v/>
      </c>
      <c r="F4709" s="54" t="str">
        <f>IFERROR(IF(OR($B4709="",$B4709="(blank)"),"",VLOOKUP($B4709,'Email Marketing Raw Data'!$C:$O,13,0)),"")</f>
        <v/>
      </c>
      <c r="G4709" s="55" t="str">
        <f>IFERROR(IF(OR($B4709="",$B4709="(blank)"),"",VLOOKUP($B4709,'Email Marketing Raw Data'!$C:$O,4,0)),"")</f>
        <v/>
      </c>
      <c r="H4709" s="55" t="str">
        <f>IFERROR(IF(OR($B4709="",$B4709="(blank)"),"",VLOOKUP($B4709,'Email Marketing Raw Data'!$C:$O,5,0)),"")</f>
        <v/>
      </c>
      <c r="I4709" s="55" t="str">
        <f>IFERROR(IF($G4709="","",VLOOKUP('Dashboard And Emails Automate'!$G4709,Database!$H:$N,3,0)),"")</f>
        <v/>
      </c>
      <c r="J4709" s="55" t="str">
        <f>IFERROR(IF($G4709="","",VLOOKUP('Dashboard And Emails Automate'!$G4709,Database!$H:$N,4,0)),"")</f>
        <v/>
      </c>
      <c r="K4709" s="55" t="str">
        <f>IFERROR(IF($G4709="","",VLOOKUP('Dashboard And Emails Automate'!$G4709,Database!$H:$N,5,0)),"")</f>
        <v/>
      </c>
      <c r="L4709" s="55" t="str">
        <f>IFERROR(IF($G4709="","",VLOOKUP('Dashboard And Emails Automate'!$G4709,Database!$H:$N,6,0)),"")</f>
        <v/>
      </c>
      <c r="M4709" s="55" t="str">
        <f>IFERROR(IF($G4709="","",VLOOKUP('Dashboard And Emails Automate'!$G4709,Database!$H:$N,7,0)),"")</f>
        <v/>
      </c>
      <c r="N4709" s="55" t="str">
        <f>IFERROR(IF(OR($B4709="",$B4709="(blank)"),"",VLOOKUP($B4709,'Email Marketing Raw Data'!$C:$O,6,0)),"")</f>
        <v/>
      </c>
      <c r="O4709" s="55" t="str">
        <f>IFERROR(IF(OR($B4709="",$B4709="(blank)"),"",VLOOKUP($B4709,'Email Marketing Raw Data'!$C:$O,7,0)),"")</f>
        <v/>
      </c>
      <c r="P4709" s="55" t="str">
        <f>IFERROR(IF(OR($B4709="",$B4709="(blank)"),"",VLOOKUP($B4709,'Email Marketing Raw Data'!$C:$O,8,0)),"")</f>
        <v/>
      </c>
      <c r="Q4709" s="62" t="str">
        <f>IFERROR(IF(OR($B4709="",$B4709="(blank)"),"",VLOOKUP($B4709,'Email Marketing Raw Data'!$C:$O,9,0)),"")</f>
        <v/>
      </c>
    </row>
    <row r="4710" spans="4:17" ht="12.75" customHeight="1" x14ac:dyDescent="0.2">
      <c r="D4710" s="58" t="str">
        <f>IFERROR(IF(F4710&lt;&gt;"pending","",IF(OR($B4710="",$B4710="(blank)"),"",VLOOKUP($B4710,'Email Marketing Raw Data'!$C:$O,10,0))),"")</f>
        <v/>
      </c>
      <c r="E4710" s="59" t="str">
        <f>IFERROR(IF(F4710&lt;&gt;"pending","",IF(OR($B4710="",$B4710="(blank)"),"",VLOOKUP($B4710,'Email Marketing Raw Data'!$C:$O,11,0))),"")</f>
        <v/>
      </c>
      <c r="F4710" s="54" t="str">
        <f>IFERROR(IF(OR($B4710="",$B4710="(blank)"),"",VLOOKUP($B4710,'Email Marketing Raw Data'!$C:$O,13,0)),"")</f>
        <v/>
      </c>
      <c r="G4710" s="55" t="str">
        <f>IFERROR(IF(OR($B4710="",$B4710="(blank)"),"",VLOOKUP($B4710,'Email Marketing Raw Data'!$C:$O,4,0)),"")</f>
        <v/>
      </c>
      <c r="H4710" s="55" t="str">
        <f>IFERROR(IF(OR($B4710="",$B4710="(blank)"),"",VLOOKUP($B4710,'Email Marketing Raw Data'!$C:$O,5,0)),"")</f>
        <v/>
      </c>
      <c r="I4710" s="55" t="str">
        <f>IFERROR(IF($G4710="","",VLOOKUP('Dashboard And Emails Automate'!$G4710,Database!$H:$N,3,0)),"")</f>
        <v/>
      </c>
      <c r="J4710" s="55" t="str">
        <f>IFERROR(IF($G4710="","",VLOOKUP('Dashboard And Emails Automate'!$G4710,Database!$H:$N,4,0)),"")</f>
        <v/>
      </c>
      <c r="K4710" s="55" t="str">
        <f>IFERROR(IF($G4710="","",VLOOKUP('Dashboard And Emails Automate'!$G4710,Database!$H:$N,5,0)),"")</f>
        <v/>
      </c>
      <c r="L4710" s="55" t="str">
        <f>IFERROR(IF($G4710="","",VLOOKUP('Dashboard And Emails Automate'!$G4710,Database!$H:$N,6,0)),"")</f>
        <v/>
      </c>
      <c r="M4710" s="55" t="str">
        <f>IFERROR(IF($G4710="","",VLOOKUP('Dashboard And Emails Automate'!$G4710,Database!$H:$N,7,0)),"")</f>
        <v/>
      </c>
      <c r="N4710" s="55" t="str">
        <f>IFERROR(IF(OR($B4710="",$B4710="(blank)"),"",VLOOKUP($B4710,'Email Marketing Raw Data'!$C:$O,6,0)),"")</f>
        <v/>
      </c>
      <c r="O4710" s="55" t="str">
        <f>IFERROR(IF(OR($B4710="",$B4710="(blank)"),"",VLOOKUP($B4710,'Email Marketing Raw Data'!$C:$O,7,0)),"")</f>
        <v/>
      </c>
      <c r="P4710" s="55" t="str">
        <f>IFERROR(IF(OR($B4710="",$B4710="(blank)"),"",VLOOKUP($B4710,'Email Marketing Raw Data'!$C:$O,8,0)),"")</f>
        <v/>
      </c>
      <c r="Q4710" s="62" t="str">
        <f>IFERROR(IF(OR($B4710="",$B4710="(blank)"),"",VLOOKUP($B4710,'Email Marketing Raw Data'!$C:$O,9,0)),"")</f>
        <v/>
      </c>
    </row>
    <row r="4711" spans="4:17" ht="12.75" customHeight="1" x14ac:dyDescent="0.2">
      <c r="D4711" s="58" t="str">
        <f>IFERROR(IF(F4711&lt;&gt;"pending","",IF(OR($B4711="",$B4711="(blank)"),"",VLOOKUP($B4711,'Email Marketing Raw Data'!$C:$O,10,0))),"")</f>
        <v/>
      </c>
      <c r="E4711" s="59" t="str">
        <f>IFERROR(IF(F4711&lt;&gt;"pending","",IF(OR($B4711="",$B4711="(blank)"),"",VLOOKUP($B4711,'Email Marketing Raw Data'!$C:$O,11,0))),"")</f>
        <v/>
      </c>
      <c r="F4711" s="54" t="str">
        <f>IFERROR(IF(OR($B4711="",$B4711="(blank)"),"",VLOOKUP($B4711,'Email Marketing Raw Data'!$C:$O,13,0)),"")</f>
        <v/>
      </c>
      <c r="G4711" s="55" t="str">
        <f>IFERROR(IF(OR($B4711="",$B4711="(blank)"),"",VLOOKUP($B4711,'Email Marketing Raw Data'!$C:$O,4,0)),"")</f>
        <v/>
      </c>
      <c r="H4711" s="55" t="str">
        <f>IFERROR(IF(OR($B4711="",$B4711="(blank)"),"",VLOOKUP($B4711,'Email Marketing Raw Data'!$C:$O,5,0)),"")</f>
        <v/>
      </c>
      <c r="I4711" s="55" t="str">
        <f>IFERROR(IF($G4711="","",VLOOKUP('Dashboard And Emails Automate'!$G4711,Database!$H:$N,3,0)),"")</f>
        <v/>
      </c>
      <c r="J4711" s="55" t="str">
        <f>IFERROR(IF($G4711="","",VLOOKUP('Dashboard And Emails Automate'!$G4711,Database!$H:$N,4,0)),"")</f>
        <v/>
      </c>
      <c r="K4711" s="55" t="str">
        <f>IFERROR(IF($G4711="","",VLOOKUP('Dashboard And Emails Automate'!$G4711,Database!$H:$N,5,0)),"")</f>
        <v/>
      </c>
      <c r="L4711" s="55" t="str">
        <f>IFERROR(IF($G4711="","",VLOOKUP('Dashboard And Emails Automate'!$G4711,Database!$H:$N,6,0)),"")</f>
        <v/>
      </c>
      <c r="M4711" s="55" t="str">
        <f>IFERROR(IF($G4711="","",VLOOKUP('Dashboard And Emails Automate'!$G4711,Database!$H:$N,7,0)),"")</f>
        <v/>
      </c>
      <c r="N4711" s="55" t="str">
        <f>IFERROR(IF(OR($B4711="",$B4711="(blank)"),"",VLOOKUP($B4711,'Email Marketing Raw Data'!$C:$O,6,0)),"")</f>
        <v/>
      </c>
      <c r="O4711" s="55" t="str">
        <f>IFERROR(IF(OR($B4711="",$B4711="(blank)"),"",VLOOKUP($B4711,'Email Marketing Raw Data'!$C:$O,7,0)),"")</f>
        <v/>
      </c>
      <c r="P4711" s="55" t="str">
        <f>IFERROR(IF(OR($B4711="",$B4711="(blank)"),"",VLOOKUP($B4711,'Email Marketing Raw Data'!$C:$O,8,0)),"")</f>
        <v/>
      </c>
      <c r="Q4711" s="62" t="str">
        <f>IFERROR(IF(OR($B4711="",$B4711="(blank)"),"",VLOOKUP($B4711,'Email Marketing Raw Data'!$C:$O,9,0)),"")</f>
        <v/>
      </c>
    </row>
    <row r="4712" spans="4:17" ht="12.75" customHeight="1" x14ac:dyDescent="0.2">
      <c r="D4712" s="58" t="str">
        <f>IFERROR(IF(F4712&lt;&gt;"pending","",IF(OR($B4712="",$B4712="(blank)"),"",VLOOKUP($B4712,'Email Marketing Raw Data'!$C:$O,10,0))),"")</f>
        <v/>
      </c>
      <c r="E4712" s="59" t="str">
        <f>IFERROR(IF(F4712&lt;&gt;"pending","",IF(OR($B4712="",$B4712="(blank)"),"",VLOOKUP($B4712,'Email Marketing Raw Data'!$C:$O,11,0))),"")</f>
        <v/>
      </c>
      <c r="F4712" s="54" t="str">
        <f>IFERROR(IF(OR($B4712="",$B4712="(blank)"),"",VLOOKUP($B4712,'Email Marketing Raw Data'!$C:$O,13,0)),"")</f>
        <v/>
      </c>
      <c r="G4712" s="55" t="str">
        <f>IFERROR(IF(OR($B4712="",$B4712="(blank)"),"",VLOOKUP($B4712,'Email Marketing Raw Data'!$C:$O,4,0)),"")</f>
        <v/>
      </c>
      <c r="H4712" s="55" t="str">
        <f>IFERROR(IF(OR($B4712="",$B4712="(blank)"),"",VLOOKUP($B4712,'Email Marketing Raw Data'!$C:$O,5,0)),"")</f>
        <v/>
      </c>
      <c r="I4712" s="55" t="str">
        <f>IFERROR(IF($G4712="","",VLOOKUP('Dashboard And Emails Automate'!$G4712,Database!$H:$N,3,0)),"")</f>
        <v/>
      </c>
      <c r="J4712" s="55" t="str">
        <f>IFERROR(IF($G4712="","",VLOOKUP('Dashboard And Emails Automate'!$G4712,Database!$H:$N,4,0)),"")</f>
        <v/>
      </c>
      <c r="K4712" s="55" t="str">
        <f>IFERROR(IF($G4712="","",VLOOKUP('Dashboard And Emails Automate'!$G4712,Database!$H:$N,5,0)),"")</f>
        <v/>
      </c>
      <c r="L4712" s="55" t="str">
        <f>IFERROR(IF($G4712="","",VLOOKUP('Dashboard And Emails Automate'!$G4712,Database!$H:$N,6,0)),"")</f>
        <v/>
      </c>
      <c r="M4712" s="55" t="str">
        <f>IFERROR(IF($G4712="","",VLOOKUP('Dashboard And Emails Automate'!$G4712,Database!$H:$N,7,0)),"")</f>
        <v/>
      </c>
      <c r="N4712" s="55" t="str">
        <f>IFERROR(IF(OR($B4712="",$B4712="(blank)"),"",VLOOKUP($B4712,'Email Marketing Raw Data'!$C:$O,6,0)),"")</f>
        <v/>
      </c>
      <c r="O4712" s="55" t="str">
        <f>IFERROR(IF(OR($B4712="",$B4712="(blank)"),"",VLOOKUP($B4712,'Email Marketing Raw Data'!$C:$O,7,0)),"")</f>
        <v/>
      </c>
      <c r="P4712" s="55" t="str">
        <f>IFERROR(IF(OR($B4712="",$B4712="(blank)"),"",VLOOKUP($B4712,'Email Marketing Raw Data'!$C:$O,8,0)),"")</f>
        <v/>
      </c>
      <c r="Q4712" s="62" t="str">
        <f>IFERROR(IF(OR($B4712="",$B4712="(blank)"),"",VLOOKUP($B4712,'Email Marketing Raw Data'!$C:$O,9,0)),"")</f>
        <v/>
      </c>
    </row>
    <row r="4713" spans="4:17" ht="12.75" customHeight="1" x14ac:dyDescent="0.2">
      <c r="D4713" s="58" t="str">
        <f>IFERROR(IF(F4713&lt;&gt;"pending","",IF(OR($B4713="",$B4713="(blank)"),"",VLOOKUP($B4713,'Email Marketing Raw Data'!$C:$O,10,0))),"")</f>
        <v/>
      </c>
      <c r="E4713" s="59" t="str">
        <f>IFERROR(IF(F4713&lt;&gt;"pending","",IF(OR($B4713="",$B4713="(blank)"),"",VLOOKUP($B4713,'Email Marketing Raw Data'!$C:$O,11,0))),"")</f>
        <v/>
      </c>
      <c r="F4713" s="54" t="str">
        <f>IFERROR(IF(OR($B4713="",$B4713="(blank)"),"",VLOOKUP($B4713,'Email Marketing Raw Data'!$C:$O,13,0)),"")</f>
        <v/>
      </c>
      <c r="G4713" s="55" t="str">
        <f>IFERROR(IF(OR($B4713="",$B4713="(blank)"),"",VLOOKUP($B4713,'Email Marketing Raw Data'!$C:$O,4,0)),"")</f>
        <v/>
      </c>
      <c r="H4713" s="55" t="str">
        <f>IFERROR(IF(OR($B4713="",$B4713="(blank)"),"",VLOOKUP($B4713,'Email Marketing Raw Data'!$C:$O,5,0)),"")</f>
        <v/>
      </c>
      <c r="I4713" s="55" t="str">
        <f>IFERROR(IF($G4713="","",VLOOKUP('Dashboard And Emails Automate'!$G4713,Database!$H:$N,3,0)),"")</f>
        <v/>
      </c>
      <c r="J4713" s="55" t="str">
        <f>IFERROR(IF($G4713="","",VLOOKUP('Dashboard And Emails Automate'!$G4713,Database!$H:$N,4,0)),"")</f>
        <v/>
      </c>
      <c r="K4713" s="55" t="str">
        <f>IFERROR(IF($G4713="","",VLOOKUP('Dashboard And Emails Automate'!$G4713,Database!$H:$N,5,0)),"")</f>
        <v/>
      </c>
      <c r="L4713" s="55" t="str">
        <f>IFERROR(IF($G4713="","",VLOOKUP('Dashboard And Emails Automate'!$G4713,Database!$H:$N,6,0)),"")</f>
        <v/>
      </c>
      <c r="M4713" s="55" t="str">
        <f>IFERROR(IF($G4713="","",VLOOKUP('Dashboard And Emails Automate'!$G4713,Database!$H:$N,7,0)),"")</f>
        <v/>
      </c>
      <c r="N4713" s="55" t="str">
        <f>IFERROR(IF(OR($B4713="",$B4713="(blank)"),"",VLOOKUP($B4713,'Email Marketing Raw Data'!$C:$O,6,0)),"")</f>
        <v/>
      </c>
      <c r="O4713" s="55" t="str">
        <f>IFERROR(IF(OR($B4713="",$B4713="(blank)"),"",VLOOKUP($B4713,'Email Marketing Raw Data'!$C:$O,7,0)),"")</f>
        <v/>
      </c>
      <c r="P4713" s="55" t="str">
        <f>IFERROR(IF(OR($B4713="",$B4713="(blank)"),"",VLOOKUP($B4713,'Email Marketing Raw Data'!$C:$O,8,0)),"")</f>
        <v/>
      </c>
      <c r="Q4713" s="62" t="str">
        <f>IFERROR(IF(OR($B4713="",$B4713="(blank)"),"",VLOOKUP($B4713,'Email Marketing Raw Data'!$C:$O,9,0)),"")</f>
        <v/>
      </c>
    </row>
    <row r="4714" spans="4:17" ht="12.75" customHeight="1" x14ac:dyDescent="0.2">
      <c r="D4714" s="58" t="str">
        <f>IFERROR(IF(F4714&lt;&gt;"pending","",IF(OR($B4714="",$B4714="(blank)"),"",VLOOKUP($B4714,'Email Marketing Raw Data'!$C:$O,10,0))),"")</f>
        <v/>
      </c>
      <c r="E4714" s="59" t="str">
        <f>IFERROR(IF(F4714&lt;&gt;"pending","",IF(OR($B4714="",$B4714="(blank)"),"",VLOOKUP($B4714,'Email Marketing Raw Data'!$C:$O,11,0))),"")</f>
        <v/>
      </c>
      <c r="F4714" s="54" t="str">
        <f>IFERROR(IF(OR($B4714="",$B4714="(blank)"),"",VLOOKUP($B4714,'Email Marketing Raw Data'!$C:$O,13,0)),"")</f>
        <v/>
      </c>
      <c r="G4714" s="55" t="str">
        <f>IFERROR(IF(OR($B4714="",$B4714="(blank)"),"",VLOOKUP($B4714,'Email Marketing Raw Data'!$C:$O,4,0)),"")</f>
        <v/>
      </c>
      <c r="H4714" s="55" t="str">
        <f>IFERROR(IF(OR($B4714="",$B4714="(blank)"),"",VLOOKUP($B4714,'Email Marketing Raw Data'!$C:$O,5,0)),"")</f>
        <v/>
      </c>
      <c r="I4714" s="55" t="str">
        <f>IFERROR(IF($G4714="","",VLOOKUP('Dashboard And Emails Automate'!$G4714,Database!$H:$N,3,0)),"")</f>
        <v/>
      </c>
      <c r="J4714" s="55" t="str">
        <f>IFERROR(IF($G4714="","",VLOOKUP('Dashboard And Emails Automate'!$G4714,Database!$H:$N,4,0)),"")</f>
        <v/>
      </c>
      <c r="K4714" s="55" t="str">
        <f>IFERROR(IF($G4714="","",VLOOKUP('Dashboard And Emails Automate'!$G4714,Database!$H:$N,5,0)),"")</f>
        <v/>
      </c>
      <c r="L4714" s="55" t="str">
        <f>IFERROR(IF($G4714="","",VLOOKUP('Dashboard And Emails Automate'!$G4714,Database!$H:$N,6,0)),"")</f>
        <v/>
      </c>
      <c r="M4714" s="55" t="str">
        <f>IFERROR(IF($G4714="","",VLOOKUP('Dashboard And Emails Automate'!$G4714,Database!$H:$N,7,0)),"")</f>
        <v/>
      </c>
      <c r="N4714" s="55" t="str">
        <f>IFERROR(IF(OR($B4714="",$B4714="(blank)"),"",VLOOKUP($B4714,'Email Marketing Raw Data'!$C:$O,6,0)),"")</f>
        <v/>
      </c>
      <c r="O4714" s="55" t="str">
        <f>IFERROR(IF(OR($B4714="",$B4714="(blank)"),"",VLOOKUP($B4714,'Email Marketing Raw Data'!$C:$O,7,0)),"")</f>
        <v/>
      </c>
      <c r="P4714" s="55" t="str">
        <f>IFERROR(IF(OR($B4714="",$B4714="(blank)"),"",VLOOKUP($B4714,'Email Marketing Raw Data'!$C:$O,8,0)),"")</f>
        <v/>
      </c>
      <c r="Q4714" s="62" t="str">
        <f>IFERROR(IF(OR($B4714="",$B4714="(blank)"),"",VLOOKUP($B4714,'Email Marketing Raw Data'!$C:$O,9,0)),"")</f>
        <v/>
      </c>
    </row>
    <row r="4715" spans="4:17" ht="12.75" customHeight="1" x14ac:dyDescent="0.2">
      <c r="D4715" s="58" t="str">
        <f>IFERROR(IF(F4715&lt;&gt;"pending","",IF(OR($B4715="",$B4715="(blank)"),"",VLOOKUP($B4715,'Email Marketing Raw Data'!$C:$O,10,0))),"")</f>
        <v/>
      </c>
      <c r="E4715" s="59" t="str">
        <f>IFERROR(IF(F4715&lt;&gt;"pending","",IF(OR($B4715="",$B4715="(blank)"),"",VLOOKUP($B4715,'Email Marketing Raw Data'!$C:$O,11,0))),"")</f>
        <v/>
      </c>
      <c r="F4715" s="54" t="str">
        <f>IFERROR(IF(OR($B4715="",$B4715="(blank)"),"",VLOOKUP($B4715,'Email Marketing Raw Data'!$C:$O,13,0)),"")</f>
        <v/>
      </c>
      <c r="G4715" s="55" t="str">
        <f>IFERROR(IF(OR($B4715="",$B4715="(blank)"),"",VLOOKUP($B4715,'Email Marketing Raw Data'!$C:$O,4,0)),"")</f>
        <v/>
      </c>
      <c r="H4715" s="55" t="str">
        <f>IFERROR(IF(OR($B4715="",$B4715="(blank)"),"",VLOOKUP($B4715,'Email Marketing Raw Data'!$C:$O,5,0)),"")</f>
        <v/>
      </c>
      <c r="I4715" s="55" t="str">
        <f>IFERROR(IF($G4715="","",VLOOKUP('Dashboard And Emails Automate'!$G4715,Database!$H:$N,3,0)),"")</f>
        <v/>
      </c>
      <c r="J4715" s="55" t="str">
        <f>IFERROR(IF($G4715="","",VLOOKUP('Dashboard And Emails Automate'!$G4715,Database!$H:$N,4,0)),"")</f>
        <v/>
      </c>
      <c r="K4715" s="55" t="str">
        <f>IFERROR(IF($G4715="","",VLOOKUP('Dashboard And Emails Automate'!$G4715,Database!$H:$N,5,0)),"")</f>
        <v/>
      </c>
      <c r="L4715" s="55" t="str">
        <f>IFERROR(IF($G4715="","",VLOOKUP('Dashboard And Emails Automate'!$G4715,Database!$H:$N,6,0)),"")</f>
        <v/>
      </c>
      <c r="M4715" s="55" t="str">
        <f>IFERROR(IF($G4715="","",VLOOKUP('Dashboard And Emails Automate'!$G4715,Database!$H:$N,7,0)),"")</f>
        <v/>
      </c>
      <c r="N4715" s="55" t="str">
        <f>IFERROR(IF(OR($B4715="",$B4715="(blank)"),"",VLOOKUP($B4715,'Email Marketing Raw Data'!$C:$O,6,0)),"")</f>
        <v/>
      </c>
      <c r="O4715" s="55" t="str">
        <f>IFERROR(IF(OR($B4715="",$B4715="(blank)"),"",VLOOKUP($B4715,'Email Marketing Raw Data'!$C:$O,7,0)),"")</f>
        <v/>
      </c>
      <c r="P4715" s="55" t="str">
        <f>IFERROR(IF(OR($B4715="",$B4715="(blank)"),"",VLOOKUP($B4715,'Email Marketing Raw Data'!$C:$O,8,0)),"")</f>
        <v/>
      </c>
      <c r="Q4715" s="62" t="str">
        <f>IFERROR(IF(OR($B4715="",$B4715="(blank)"),"",VLOOKUP($B4715,'Email Marketing Raw Data'!$C:$O,9,0)),"")</f>
        <v/>
      </c>
    </row>
    <row r="4716" spans="4:17" ht="12.75" customHeight="1" x14ac:dyDescent="0.2">
      <c r="D4716" s="58" t="str">
        <f>IFERROR(IF(F4716&lt;&gt;"pending","",IF(OR($B4716="",$B4716="(blank)"),"",VLOOKUP($B4716,'Email Marketing Raw Data'!$C:$O,10,0))),"")</f>
        <v/>
      </c>
      <c r="E4716" s="59" t="str">
        <f>IFERROR(IF(F4716&lt;&gt;"pending","",IF(OR($B4716="",$B4716="(blank)"),"",VLOOKUP($B4716,'Email Marketing Raw Data'!$C:$O,11,0))),"")</f>
        <v/>
      </c>
      <c r="F4716" s="54" t="str">
        <f>IFERROR(IF(OR($B4716="",$B4716="(blank)"),"",VLOOKUP($B4716,'Email Marketing Raw Data'!$C:$O,13,0)),"")</f>
        <v/>
      </c>
      <c r="G4716" s="55" t="str">
        <f>IFERROR(IF(OR($B4716="",$B4716="(blank)"),"",VLOOKUP($B4716,'Email Marketing Raw Data'!$C:$O,4,0)),"")</f>
        <v/>
      </c>
      <c r="H4716" s="55" t="str">
        <f>IFERROR(IF(OR($B4716="",$B4716="(blank)"),"",VLOOKUP($B4716,'Email Marketing Raw Data'!$C:$O,5,0)),"")</f>
        <v/>
      </c>
      <c r="I4716" s="55" t="str">
        <f>IFERROR(IF($G4716="","",VLOOKUP('Dashboard And Emails Automate'!$G4716,Database!$H:$N,3,0)),"")</f>
        <v/>
      </c>
      <c r="J4716" s="55" t="str">
        <f>IFERROR(IF($G4716="","",VLOOKUP('Dashboard And Emails Automate'!$G4716,Database!$H:$N,4,0)),"")</f>
        <v/>
      </c>
      <c r="K4716" s="55" t="str">
        <f>IFERROR(IF($G4716="","",VLOOKUP('Dashboard And Emails Automate'!$G4716,Database!$H:$N,5,0)),"")</f>
        <v/>
      </c>
      <c r="L4716" s="55" t="str">
        <f>IFERROR(IF($G4716="","",VLOOKUP('Dashboard And Emails Automate'!$G4716,Database!$H:$N,6,0)),"")</f>
        <v/>
      </c>
      <c r="M4716" s="55" t="str">
        <f>IFERROR(IF($G4716="","",VLOOKUP('Dashboard And Emails Automate'!$G4716,Database!$H:$N,7,0)),"")</f>
        <v/>
      </c>
      <c r="N4716" s="55" t="str">
        <f>IFERROR(IF(OR($B4716="",$B4716="(blank)"),"",VLOOKUP($B4716,'Email Marketing Raw Data'!$C:$O,6,0)),"")</f>
        <v/>
      </c>
      <c r="O4716" s="55" t="str">
        <f>IFERROR(IF(OR($B4716="",$B4716="(blank)"),"",VLOOKUP($B4716,'Email Marketing Raw Data'!$C:$O,7,0)),"")</f>
        <v/>
      </c>
      <c r="P4716" s="55" t="str">
        <f>IFERROR(IF(OR($B4716="",$B4716="(blank)"),"",VLOOKUP($B4716,'Email Marketing Raw Data'!$C:$O,8,0)),"")</f>
        <v/>
      </c>
      <c r="Q4716" s="62" t="str">
        <f>IFERROR(IF(OR($B4716="",$B4716="(blank)"),"",VLOOKUP($B4716,'Email Marketing Raw Data'!$C:$O,9,0)),"")</f>
        <v/>
      </c>
    </row>
    <row r="4717" spans="4:17" ht="12.75" customHeight="1" x14ac:dyDescent="0.2">
      <c r="D4717" s="58" t="str">
        <f>IFERROR(IF(F4717&lt;&gt;"pending","",IF(OR($B4717="",$B4717="(blank)"),"",VLOOKUP($B4717,'Email Marketing Raw Data'!$C:$O,10,0))),"")</f>
        <v/>
      </c>
      <c r="E4717" s="59" t="str">
        <f>IFERROR(IF(F4717&lt;&gt;"pending","",IF(OR($B4717="",$B4717="(blank)"),"",VLOOKUP($B4717,'Email Marketing Raw Data'!$C:$O,11,0))),"")</f>
        <v/>
      </c>
      <c r="F4717" s="54" t="str">
        <f>IFERROR(IF(OR($B4717="",$B4717="(blank)"),"",VLOOKUP($B4717,'Email Marketing Raw Data'!$C:$O,13,0)),"")</f>
        <v/>
      </c>
      <c r="G4717" s="55" t="str">
        <f>IFERROR(IF(OR($B4717="",$B4717="(blank)"),"",VLOOKUP($B4717,'Email Marketing Raw Data'!$C:$O,4,0)),"")</f>
        <v/>
      </c>
      <c r="H4717" s="55" t="str">
        <f>IFERROR(IF(OR($B4717="",$B4717="(blank)"),"",VLOOKUP($B4717,'Email Marketing Raw Data'!$C:$O,5,0)),"")</f>
        <v/>
      </c>
      <c r="I4717" s="55" t="str">
        <f>IFERROR(IF($G4717="","",VLOOKUP('Dashboard And Emails Automate'!$G4717,Database!$H:$N,3,0)),"")</f>
        <v/>
      </c>
      <c r="J4717" s="55" t="str">
        <f>IFERROR(IF($G4717="","",VLOOKUP('Dashboard And Emails Automate'!$G4717,Database!$H:$N,4,0)),"")</f>
        <v/>
      </c>
      <c r="K4717" s="55" t="str">
        <f>IFERROR(IF($G4717="","",VLOOKUP('Dashboard And Emails Automate'!$G4717,Database!$H:$N,5,0)),"")</f>
        <v/>
      </c>
      <c r="L4717" s="55" t="str">
        <f>IFERROR(IF($G4717="","",VLOOKUP('Dashboard And Emails Automate'!$G4717,Database!$H:$N,6,0)),"")</f>
        <v/>
      </c>
      <c r="M4717" s="55" t="str">
        <f>IFERROR(IF($G4717="","",VLOOKUP('Dashboard And Emails Automate'!$G4717,Database!$H:$N,7,0)),"")</f>
        <v/>
      </c>
      <c r="N4717" s="55" t="str">
        <f>IFERROR(IF(OR($B4717="",$B4717="(blank)"),"",VLOOKUP($B4717,'Email Marketing Raw Data'!$C:$O,6,0)),"")</f>
        <v/>
      </c>
      <c r="O4717" s="55" t="str">
        <f>IFERROR(IF(OR($B4717="",$B4717="(blank)"),"",VLOOKUP($B4717,'Email Marketing Raw Data'!$C:$O,7,0)),"")</f>
        <v/>
      </c>
      <c r="P4717" s="55" t="str">
        <f>IFERROR(IF(OR($B4717="",$B4717="(blank)"),"",VLOOKUP($B4717,'Email Marketing Raw Data'!$C:$O,8,0)),"")</f>
        <v/>
      </c>
      <c r="Q4717" s="62" t="str">
        <f>IFERROR(IF(OR($B4717="",$B4717="(blank)"),"",VLOOKUP($B4717,'Email Marketing Raw Data'!$C:$O,9,0)),"")</f>
        <v/>
      </c>
    </row>
    <row r="4718" spans="4:17" ht="12.75" customHeight="1" x14ac:dyDescent="0.2">
      <c r="D4718" s="58" t="str">
        <f>IFERROR(IF(F4718&lt;&gt;"pending","",IF(OR($B4718="",$B4718="(blank)"),"",VLOOKUP($B4718,'Email Marketing Raw Data'!$C:$O,10,0))),"")</f>
        <v/>
      </c>
      <c r="E4718" s="59" t="str">
        <f>IFERROR(IF(F4718&lt;&gt;"pending","",IF(OR($B4718="",$B4718="(blank)"),"",VLOOKUP($B4718,'Email Marketing Raw Data'!$C:$O,11,0))),"")</f>
        <v/>
      </c>
      <c r="F4718" s="54" t="str">
        <f>IFERROR(IF(OR($B4718="",$B4718="(blank)"),"",VLOOKUP($B4718,'Email Marketing Raw Data'!$C:$O,13,0)),"")</f>
        <v/>
      </c>
      <c r="G4718" s="55" t="str">
        <f>IFERROR(IF(OR($B4718="",$B4718="(blank)"),"",VLOOKUP($B4718,'Email Marketing Raw Data'!$C:$O,4,0)),"")</f>
        <v/>
      </c>
      <c r="H4718" s="55" t="str">
        <f>IFERROR(IF(OR($B4718="",$B4718="(blank)"),"",VLOOKUP($B4718,'Email Marketing Raw Data'!$C:$O,5,0)),"")</f>
        <v/>
      </c>
      <c r="I4718" s="55" t="str">
        <f>IFERROR(IF($G4718="","",VLOOKUP('Dashboard And Emails Automate'!$G4718,Database!$H:$N,3,0)),"")</f>
        <v/>
      </c>
      <c r="J4718" s="55" t="str">
        <f>IFERROR(IF($G4718="","",VLOOKUP('Dashboard And Emails Automate'!$G4718,Database!$H:$N,4,0)),"")</f>
        <v/>
      </c>
      <c r="K4718" s="55" t="str">
        <f>IFERROR(IF($G4718="","",VLOOKUP('Dashboard And Emails Automate'!$G4718,Database!$H:$N,5,0)),"")</f>
        <v/>
      </c>
      <c r="L4718" s="55" t="str">
        <f>IFERROR(IF($G4718="","",VLOOKUP('Dashboard And Emails Automate'!$G4718,Database!$H:$N,6,0)),"")</f>
        <v/>
      </c>
      <c r="M4718" s="55" t="str">
        <f>IFERROR(IF($G4718="","",VLOOKUP('Dashboard And Emails Automate'!$G4718,Database!$H:$N,7,0)),"")</f>
        <v/>
      </c>
      <c r="N4718" s="55" t="str">
        <f>IFERROR(IF(OR($B4718="",$B4718="(blank)"),"",VLOOKUP($B4718,'Email Marketing Raw Data'!$C:$O,6,0)),"")</f>
        <v/>
      </c>
      <c r="O4718" s="55" t="str">
        <f>IFERROR(IF(OR($B4718="",$B4718="(blank)"),"",VLOOKUP($B4718,'Email Marketing Raw Data'!$C:$O,7,0)),"")</f>
        <v/>
      </c>
      <c r="P4718" s="55" t="str">
        <f>IFERROR(IF(OR($B4718="",$B4718="(blank)"),"",VLOOKUP($B4718,'Email Marketing Raw Data'!$C:$O,8,0)),"")</f>
        <v/>
      </c>
      <c r="Q4718" s="62" t="str">
        <f>IFERROR(IF(OR($B4718="",$B4718="(blank)"),"",VLOOKUP($B4718,'Email Marketing Raw Data'!$C:$O,9,0)),"")</f>
        <v/>
      </c>
    </row>
    <row r="4719" spans="4:17" ht="12.75" customHeight="1" x14ac:dyDescent="0.2">
      <c r="D4719" s="58" t="str">
        <f>IFERROR(IF(F4719&lt;&gt;"pending","",IF(OR($B4719="",$B4719="(blank)"),"",VLOOKUP($B4719,'Email Marketing Raw Data'!$C:$O,10,0))),"")</f>
        <v/>
      </c>
      <c r="E4719" s="59" t="str">
        <f>IFERROR(IF(F4719&lt;&gt;"pending","",IF(OR($B4719="",$B4719="(blank)"),"",VLOOKUP($B4719,'Email Marketing Raw Data'!$C:$O,11,0))),"")</f>
        <v/>
      </c>
      <c r="F4719" s="54" t="str">
        <f>IFERROR(IF(OR($B4719="",$B4719="(blank)"),"",VLOOKUP($B4719,'Email Marketing Raw Data'!$C:$O,13,0)),"")</f>
        <v/>
      </c>
      <c r="G4719" s="55" t="str">
        <f>IFERROR(IF(OR($B4719="",$B4719="(blank)"),"",VLOOKUP($B4719,'Email Marketing Raw Data'!$C:$O,4,0)),"")</f>
        <v/>
      </c>
      <c r="H4719" s="55" t="str">
        <f>IFERROR(IF(OR($B4719="",$B4719="(blank)"),"",VLOOKUP($B4719,'Email Marketing Raw Data'!$C:$O,5,0)),"")</f>
        <v/>
      </c>
      <c r="I4719" s="55" t="str">
        <f>IFERROR(IF($G4719="","",VLOOKUP('Dashboard And Emails Automate'!$G4719,Database!$H:$N,3,0)),"")</f>
        <v/>
      </c>
      <c r="J4719" s="55" t="str">
        <f>IFERROR(IF($G4719="","",VLOOKUP('Dashboard And Emails Automate'!$G4719,Database!$H:$N,4,0)),"")</f>
        <v/>
      </c>
      <c r="K4719" s="55" t="str">
        <f>IFERROR(IF($G4719="","",VLOOKUP('Dashboard And Emails Automate'!$G4719,Database!$H:$N,5,0)),"")</f>
        <v/>
      </c>
      <c r="L4719" s="55" t="str">
        <f>IFERROR(IF($G4719="","",VLOOKUP('Dashboard And Emails Automate'!$G4719,Database!$H:$N,6,0)),"")</f>
        <v/>
      </c>
      <c r="M4719" s="55" t="str">
        <f>IFERROR(IF($G4719="","",VLOOKUP('Dashboard And Emails Automate'!$G4719,Database!$H:$N,7,0)),"")</f>
        <v/>
      </c>
      <c r="N4719" s="55" t="str">
        <f>IFERROR(IF(OR($B4719="",$B4719="(blank)"),"",VLOOKUP($B4719,'Email Marketing Raw Data'!$C:$O,6,0)),"")</f>
        <v/>
      </c>
      <c r="O4719" s="55" t="str">
        <f>IFERROR(IF(OR($B4719="",$B4719="(blank)"),"",VLOOKUP($B4719,'Email Marketing Raw Data'!$C:$O,7,0)),"")</f>
        <v/>
      </c>
      <c r="P4719" s="55" t="str">
        <f>IFERROR(IF(OR($B4719="",$B4719="(blank)"),"",VLOOKUP($B4719,'Email Marketing Raw Data'!$C:$O,8,0)),"")</f>
        <v/>
      </c>
      <c r="Q4719" s="62" t="str">
        <f>IFERROR(IF(OR($B4719="",$B4719="(blank)"),"",VLOOKUP($B4719,'Email Marketing Raw Data'!$C:$O,9,0)),"")</f>
        <v/>
      </c>
    </row>
    <row r="4720" spans="4:17" ht="12.75" customHeight="1" x14ac:dyDescent="0.2">
      <c r="D4720" s="58" t="str">
        <f>IFERROR(IF(F4720&lt;&gt;"pending","",IF(OR($B4720="",$B4720="(blank)"),"",VLOOKUP($B4720,'Email Marketing Raw Data'!$C:$O,10,0))),"")</f>
        <v/>
      </c>
      <c r="E4720" s="59" t="str">
        <f>IFERROR(IF(F4720&lt;&gt;"pending","",IF(OR($B4720="",$B4720="(blank)"),"",VLOOKUP($B4720,'Email Marketing Raw Data'!$C:$O,11,0))),"")</f>
        <v/>
      </c>
      <c r="F4720" s="54" t="str">
        <f>IFERROR(IF(OR($B4720="",$B4720="(blank)"),"",VLOOKUP($B4720,'Email Marketing Raw Data'!$C:$O,13,0)),"")</f>
        <v/>
      </c>
      <c r="G4720" s="55" t="str">
        <f>IFERROR(IF(OR($B4720="",$B4720="(blank)"),"",VLOOKUP($B4720,'Email Marketing Raw Data'!$C:$O,4,0)),"")</f>
        <v/>
      </c>
      <c r="H4720" s="55" t="str">
        <f>IFERROR(IF(OR($B4720="",$B4720="(blank)"),"",VLOOKUP($B4720,'Email Marketing Raw Data'!$C:$O,5,0)),"")</f>
        <v/>
      </c>
      <c r="I4720" s="55" t="str">
        <f>IFERROR(IF($G4720="","",VLOOKUP('Dashboard And Emails Automate'!$G4720,Database!$H:$N,3,0)),"")</f>
        <v/>
      </c>
      <c r="J4720" s="55" t="str">
        <f>IFERROR(IF($G4720="","",VLOOKUP('Dashboard And Emails Automate'!$G4720,Database!$H:$N,4,0)),"")</f>
        <v/>
      </c>
      <c r="K4720" s="55" t="str">
        <f>IFERROR(IF($G4720="","",VLOOKUP('Dashboard And Emails Automate'!$G4720,Database!$H:$N,5,0)),"")</f>
        <v/>
      </c>
      <c r="L4720" s="55" t="str">
        <f>IFERROR(IF($G4720="","",VLOOKUP('Dashboard And Emails Automate'!$G4720,Database!$H:$N,6,0)),"")</f>
        <v/>
      </c>
      <c r="M4720" s="55" t="str">
        <f>IFERROR(IF($G4720="","",VLOOKUP('Dashboard And Emails Automate'!$G4720,Database!$H:$N,7,0)),"")</f>
        <v/>
      </c>
      <c r="N4720" s="55" t="str">
        <f>IFERROR(IF(OR($B4720="",$B4720="(blank)"),"",VLOOKUP($B4720,'Email Marketing Raw Data'!$C:$O,6,0)),"")</f>
        <v/>
      </c>
      <c r="O4720" s="55" t="str">
        <f>IFERROR(IF(OR($B4720="",$B4720="(blank)"),"",VLOOKUP($B4720,'Email Marketing Raw Data'!$C:$O,7,0)),"")</f>
        <v/>
      </c>
      <c r="P4720" s="55" t="str">
        <f>IFERROR(IF(OR($B4720="",$B4720="(blank)"),"",VLOOKUP($B4720,'Email Marketing Raw Data'!$C:$O,8,0)),"")</f>
        <v/>
      </c>
      <c r="Q4720" s="62" t="str">
        <f>IFERROR(IF(OR($B4720="",$B4720="(blank)"),"",VLOOKUP($B4720,'Email Marketing Raw Data'!$C:$O,9,0)),"")</f>
        <v/>
      </c>
    </row>
    <row r="4721" spans="4:17" ht="12.75" customHeight="1" x14ac:dyDescent="0.2">
      <c r="D4721" s="58" t="str">
        <f>IFERROR(IF(F4721&lt;&gt;"pending","",IF(OR($B4721="",$B4721="(blank)"),"",VLOOKUP($B4721,'Email Marketing Raw Data'!$C:$O,10,0))),"")</f>
        <v/>
      </c>
      <c r="E4721" s="59" t="str">
        <f>IFERROR(IF(F4721&lt;&gt;"pending","",IF(OR($B4721="",$B4721="(blank)"),"",VLOOKUP($B4721,'Email Marketing Raw Data'!$C:$O,11,0))),"")</f>
        <v/>
      </c>
      <c r="F4721" s="54" t="str">
        <f>IFERROR(IF(OR($B4721="",$B4721="(blank)"),"",VLOOKUP($B4721,'Email Marketing Raw Data'!$C:$O,13,0)),"")</f>
        <v/>
      </c>
      <c r="G4721" s="55" t="str">
        <f>IFERROR(IF(OR($B4721="",$B4721="(blank)"),"",VLOOKUP($B4721,'Email Marketing Raw Data'!$C:$O,4,0)),"")</f>
        <v/>
      </c>
      <c r="H4721" s="55" t="str">
        <f>IFERROR(IF(OR($B4721="",$B4721="(blank)"),"",VLOOKUP($B4721,'Email Marketing Raw Data'!$C:$O,5,0)),"")</f>
        <v/>
      </c>
      <c r="I4721" s="55" t="str">
        <f>IFERROR(IF($G4721="","",VLOOKUP('Dashboard And Emails Automate'!$G4721,Database!$H:$N,3,0)),"")</f>
        <v/>
      </c>
      <c r="J4721" s="55" t="str">
        <f>IFERROR(IF($G4721="","",VLOOKUP('Dashboard And Emails Automate'!$G4721,Database!$H:$N,4,0)),"")</f>
        <v/>
      </c>
      <c r="K4721" s="55" t="str">
        <f>IFERROR(IF($G4721="","",VLOOKUP('Dashboard And Emails Automate'!$G4721,Database!$H:$N,5,0)),"")</f>
        <v/>
      </c>
      <c r="L4721" s="55" t="str">
        <f>IFERROR(IF($G4721="","",VLOOKUP('Dashboard And Emails Automate'!$G4721,Database!$H:$N,6,0)),"")</f>
        <v/>
      </c>
      <c r="M4721" s="55" t="str">
        <f>IFERROR(IF($G4721="","",VLOOKUP('Dashboard And Emails Automate'!$G4721,Database!$H:$N,7,0)),"")</f>
        <v/>
      </c>
      <c r="N4721" s="55" t="str">
        <f>IFERROR(IF(OR($B4721="",$B4721="(blank)"),"",VLOOKUP($B4721,'Email Marketing Raw Data'!$C:$O,6,0)),"")</f>
        <v/>
      </c>
      <c r="O4721" s="55" t="str">
        <f>IFERROR(IF(OR($B4721="",$B4721="(blank)"),"",VLOOKUP($B4721,'Email Marketing Raw Data'!$C:$O,7,0)),"")</f>
        <v/>
      </c>
      <c r="P4721" s="55" t="str">
        <f>IFERROR(IF(OR($B4721="",$B4721="(blank)"),"",VLOOKUP($B4721,'Email Marketing Raw Data'!$C:$O,8,0)),"")</f>
        <v/>
      </c>
      <c r="Q4721" s="62" t="str">
        <f>IFERROR(IF(OR($B4721="",$B4721="(blank)"),"",VLOOKUP($B4721,'Email Marketing Raw Data'!$C:$O,9,0)),"")</f>
        <v/>
      </c>
    </row>
    <row r="4722" spans="4:17" ht="12.75" customHeight="1" x14ac:dyDescent="0.2">
      <c r="D4722" s="58" t="str">
        <f>IFERROR(IF(F4722&lt;&gt;"pending","",IF(OR($B4722="",$B4722="(blank)"),"",VLOOKUP($B4722,'Email Marketing Raw Data'!$C:$O,10,0))),"")</f>
        <v/>
      </c>
      <c r="E4722" s="59" t="str">
        <f>IFERROR(IF(F4722&lt;&gt;"pending","",IF(OR($B4722="",$B4722="(blank)"),"",VLOOKUP($B4722,'Email Marketing Raw Data'!$C:$O,11,0))),"")</f>
        <v/>
      </c>
      <c r="F4722" s="54" t="str">
        <f>IFERROR(IF(OR($B4722="",$B4722="(blank)"),"",VLOOKUP($B4722,'Email Marketing Raw Data'!$C:$O,13,0)),"")</f>
        <v/>
      </c>
      <c r="G4722" s="55" t="str">
        <f>IFERROR(IF(OR($B4722="",$B4722="(blank)"),"",VLOOKUP($B4722,'Email Marketing Raw Data'!$C:$O,4,0)),"")</f>
        <v/>
      </c>
      <c r="H4722" s="55" t="str">
        <f>IFERROR(IF(OR($B4722="",$B4722="(blank)"),"",VLOOKUP($B4722,'Email Marketing Raw Data'!$C:$O,5,0)),"")</f>
        <v/>
      </c>
      <c r="I4722" s="55" t="str">
        <f>IFERROR(IF($G4722="","",VLOOKUP('Dashboard And Emails Automate'!$G4722,Database!$H:$N,3,0)),"")</f>
        <v/>
      </c>
      <c r="J4722" s="55" t="str">
        <f>IFERROR(IF($G4722="","",VLOOKUP('Dashboard And Emails Automate'!$G4722,Database!$H:$N,4,0)),"")</f>
        <v/>
      </c>
      <c r="K4722" s="55" t="str">
        <f>IFERROR(IF($G4722="","",VLOOKUP('Dashboard And Emails Automate'!$G4722,Database!$H:$N,5,0)),"")</f>
        <v/>
      </c>
      <c r="L4722" s="55" t="str">
        <f>IFERROR(IF($G4722="","",VLOOKUP('Dashboard And Emails Automate'!$G4722,Database!$H:$N,6,0)),"")</f>
        <v/>
      </c>
      <c r="M4722" s="55" t="str">
        <f>IFERROR(IF($G4722="","",VLOOKUP('Dashboard And Emails Automate'!$G4722,Database!$H:$N,7,0)),"")</f>
        <v/>
      </c>
      <c r="N4722" s="55" t="str">
        <f>IFERROR(IF(OR($B4722="",$B4722="(blank)"),"",VLOOKUP($B4722,'Email Marketing Raw Data'!$C:$O,6,0)),"")</f>
        <v/>
      </c>
      <c r="O4722" s="55" t="str">
        <f>IFERROR(IF(OR($B4722="",$B4722="(blank)"),"",VLOOKUP($B4722,'Email Marketing Raw Data'!$C:$O,7,0)),"")</f>
        <v/>
      </c>
      <c r="P4722" s="55" t="str">
        <f>IFERROR(IF(OR($B4722="",$B4722="(blank)"),"",VLOOKUP($B4722,'Email Marketing Raw Data'!$C:$O,8,0)),"")</f>
        <v/>
      </c>
      <c r="Q4722" s="62" t="str">
        <f>IFERROR(IF(OR($B4722="",$B4722="(blank)"),"",VLOOKUP($B4722,'Email Marketing Raw Data'!$C:$O,9,0)),"")</f>
        <v/>
      </c>
    </row>
    <row r="4723" spans="4:17" ht="12.75" customHeight="1" x14ac:dyDescent="0.2">
      <c r="D4723" s="58" t="str">
        <f>IFERROR(IF(F4723&lt;&gt;"pending","",IF(OR($B4723="",$B4723="(blank)"),"",VLOOKUP($B4723,'Email Marketing Raw Data'!$C:$O,10,0))),"")</f>
        <v/>
      </c>
      <c r="E4723" s="59" t="str">
        <f>IFERROR(IF(F4723&lt;&gt;"pending","",IF(OR($B4723="",$B4723="(blank)"),"",VLOOKUP($B4723,'Email Marketing Raw Data'!$C:$O,11,0))),"")</f>
        <v/>
      </c>
      <c r="F4723" s="54" t="str">
        <f>IFERROR(IF(OR($B4723="",$B4723="(blank)"),"",VLOOKUP($B4723,'Email Marketing Raw Data'!$C:$O,13,0)),"")</f>
        <v/>
      </c>
      <c r="G4723" s="55" t="str">
        <f>IFERROR(IF(OR($B4723="",$B4723="(blank)"),"",VLOOKUP($B4723,'Email Marketing Raw Data'!$C:$O,4,0)),"")</f>
        <v/>
      </c>
      <c r="H4723" s="55" t="str">
        <f>IFERROR(IF(OR($B4723="",$B4723="(blank)"),"",VLOOKUP($B4723,'Email Marketing Raw Data'!$C:$O,5,0)),"")</f>
        <v/>
      </c>
      <c r="I4723" s="55" t="str">
        <f>IFERROR(IF($G4723="","",VLOOKUP('Dashboard And Emails Automate'!$G4723,Database!$H:$N,3,0)),"")</f>
        <v/>
      </c>
      <c r="J4723" s="55" t="str">
        <f>IFERROR(IF($G4723="","",VLOOKUP('Dashboard And Emails Automate'!$G4723,Database!$H:$N,4,0)),"")</f>
        <v/>
      </c>
      <c r="K4723" s="55" t="str">
        <f>IFERROR(IF($G4723="","",VLOOKUP('Dashboard And Emails Automate'!$G4723,Database!$H:$N,5,0)),"")</f>
        <v/>
      </c>
      <c r="L4723" s="55" t="str">
        <f>IFERROR(IF($G4723="","",VLOOKUP('Dashboard And Emails Automate'!$G4723,Database!$H:$N,6,0)),"")</f>
        <v/>
      </c>
      <c r="M4723" s="55" t="str">
        <f>IFERROR(IF($G4723="","",VLOOKUP('Dashboard And Emails Automate'!$G4723,Database!$H:$N,7,0)),"")</f>
        <v/>
      </c>
      <c r="N4723" s="55" t="str">
        <f>IFERROR(IF(OR($B4723="",$B4723="(blank)"),"",VLOOKUP($B4723,'Email Marketing Raw Data'!$C:$O,6,0)),"")</f>
        <v/>
      </c>
      <c r="O4723" s="55" t="str">
        <f>IFERROR(IF(OR($B4723="",$B4723="(blank)"),"",VLOOKUP($B4723,'Email Marketing Raw Data'!$C:$O,7,0)),"")</f>
        <v/>
      </c>
      <c r="P4723" s="55" t="str">
        <f>IFERROR(IF(OR($B4723="",$B4723="(blank)"),"",VLOOKUP($B4723,'Email Marketing Raw Data'!$C:$O,8,0)),"")</f>
        <v/>
      </c>
      <c r="Q4723" s="62" t="str">
        <f>IFERROR(IF(OR($B4723="",$B4723="(blank)"),"",VLOOKUP($B4723,'Email Marketing Raw Data'!$C:$O,9,0)),"")</f>
        <v/>
      </c>
    </row>
    <row r="4724" spans="4:17" ht="12.75" customHeight="1" x14ac:dyDescent="0.2">
      <c r="D4724" s="58" t="str">
        <f>IFERROR(IF(F4724&lt;&gt;"pending","",IF(OR($B4724="",$B4724="(blank)"),"",VLOOKUP($B4724,'Email Marketing Raw Data'!$C:$O,10,0))),"")</f>
        <v/>
      </c>
      <c r="E4724" s="59" t="str">
        <f>IFERROR(IF(F4724&lt;&gt;"pending","",IF(OR($B4724="",$B4724="(blank)"),"",VLOOKUP($B4724,'Email Marketing Raw Data'!$C:$O,11,0))),"")</f>
        <v/>
      </c>
      <c r="F4724" s="54" t="str">
        <f>IFERROR(IF(OR($B4724="",$B4724="(blank)"),"",VLOOKUP($B4724,'Email Marketing Raw Data'!$C:$O,13,0)),"")</f>
        <v/>
      </c>
      <c r="G4724" s="55" t="str">
        <f>IFERROR(IF(OR($B4724="",$B4724="(blank)"),"",VLOOKUP($B4724,'Email Marketing Raw Data'!$C:$O,4,0)),"")</f>
        <v/>
      </c>
      <c r="H4724" s="55" t="str">
        <f>IFERROR(IF(OR($B4724="",$B4724="(blank)"),"",VLOOKUP($B4724,'Email Marketing Raw Data'!$C:$O,5,0)),"")</f>
        <v/>
      </c>
      <c r="I4724" s="55" t="str">
        <f>IFERROR(IF($G4724="","",VLOOKUP('Dashboard And Emails Automate'!$G4724,Database!$H:$N,3,0)),"")</f>
        <v/>
      </c>
      <c r="J4724" s="55" t="str">
        <f>IFERROR(IF($G4724="","",VLOOKUP('Dashboard And Emails Automate'!$G4724,Database!$H:$N,4,0)),"")</f>
        <v/>
      </c>
      <c r="K4724" s="55" t="str">
        <f>IFERROR(IF($G4724="","",VLOOKUP('Dashboard And Emails Automate'!$G4724,Database!$H:$N,5,0)),"")</f>
        <v/>
      </c>
      <c r="L4724" s="55" t="str">
        <f>IFERROR(IF($G4724="","",VLOOKUP('Dashboard And Emails Automate'!$G4724,Database!$H:$N,6,0)),"")</f>
        <v/>
      </c>
      <c r="M4724" s="55" t="str">
        <f>IFERROR(IF($G4724="","",VLOOKUP('Dashboard And Emails Automate'!$G4724,Database!$H:$N,7,0)),"")</f>
        <v/>
      </c>
      <c r="N4724" s="55" t="str">
        <f>IFERROR(IF(OR($B4724="",$B4724="(blank)"),"",VLOOKUP($B4724,'Email Marketing Raw Data'!$C:$O,6,0)),"")</f>
        <v/>
      </c>
      <c r="O4724" s="55" t="str">
        <f>IFERROR(IF(OR($B4724="",$B4724="(blank)"),"",VLOOKUP($B4724,'Email Marketing Raw Data'!$C:$O,7,0)),"")</f>
        <v/>
      </c>
      <c r="P4724" s="55" t="str">
        <f>IFERROR(IF(OR($B4724="",$B4724="(blank)"),"",VLOOKUP($B4724,'Email Marketing Raw Data'!$C:$O,8,0)),"")</f>
        <v/>
      </c>
      <c r="Q4724" s="62" t="str">
        <f>IFERROR(IF(OR($B4724="",$B4724="(blank)"),"",VLOOKUP($B4724,'Email Marketing Raw Data'!$C:$O,9,0)),"")</f>
        <v/>
      </c>
    </row>
    <row r="4725" spans="4:17" ht="12.75" customHeight="1" x14ac:dyDescent="0.2">
      <c r="D4725" s="58" t="str">
        <f>IFERROR(IF(F4725&lt;&gt;"pending","",IF(OR($B4725="",$B4725="(blank)"),"",VLOOKUP($B4725,'Email Marketing Raw Data'!$C:$O,10,0))),"")</f>
        <v/>
      </c>
      <c r="E4725" s="59" t="str">
        <f>IFERROR(IF(F4725&lt;&gt;"pending","",IF(OR($B4725="",$B4725="(blank)"),"",VLOOKUP($B4725,'Email Marketing Raw Data'!$C:$O,11,0))),"")</f>
        <v/>
      </c>
      <c r="F4725" s="54" t="str">
        <f>IFERROR(IF(OR($B4725="",$B4725="(blank)"),"",VLOOKUP($B4725,'Email Marketing Raw Data'!$C:$O,13,0)),"")</f>
        <v/>
      </c>
      <c r="G4725" s="55" t="str">
        <f>IFERROR(IF(OR($B4725="",$B4725="(blank)"),"",VLOOKUP($B4725,'Email Marketing Raw Data'!$C:$O,4,0)),"")</f>
        <v/>
      </c>
      <c r="H4725" s="55" t="str">
        <f>IFERROR(IF(OR($B4725="",$B4725="(blank)"),"",VLOOKUP($B4725,'Email Marketing Raw Data'!$C:$O,5,0)),"")</f>
        <v/>
      </c>
      <c r="I4725" s="55" t="str">
        <f>IFERROR(IF($G4725="","",VLOOKUP('Dashboard And Emails Automate'!$G4725,Database!$H:$N,3,0)),"")</f>
        <v/>
      </c>
      <c r="J4725" s="55" t="str">
        <f>IFERROR(IF($G4725="","",VLOOKUP('Dashboard And Emails Automate'!$G4725,Database!$H:$N,4,0)),"")</f>
        <v/>
      </c>
      <c r="K4725" s="55" t="str">
        <f>IFERROR(IF($G4725="","",VLOOKUP('Dashboard And Emails Automate'!$G4725,Database!$H:$N,5,0)),"")</f>
        <v/>
      </c>
      <c r="L4725" s="55" t="str">
        <f>IFERROR(IF($G4725="","",VLOOKUP('Dashboard And Emails Automate'!$G4725,Database!$H:$N,6,0)),"")</f>
        <v/>
      </c>
      <c r="M4725" s="55" t="str">
        <f>IFERROR(IF($G4725="","",VLOOKUP('Dashboard And Emails Automate'!$G4725,Database!$H:$N,7,0)),"")</f>
        <v/>
      </c>
      <c r="N4725" s="55" t="str">
        <f>IFERROR(IF(OR($B4725="",$B4725="(blank)"),"",VLOOKUP($B4725,'Email Marketing Raw Data'!$C:$O,6,0)),"")</f>
        <v/>
      </c>
      <c r="O4725" s="55" t="str">
        <f>IFERROR(IF(OR($B4725="",$B4725="(blank)"),"",VLOOKUP($B4725,'Email Marketing Raw Data'!$C:$O,7,0)),"")</f>
        <v/>
      </c>
      <c r="P4725" s="55" t="str">
        <f>IFERROR(IF(OR($B4725="",$B4725="(blank)"),"",VLOOKUP($B4725,'Email Marketing Raw Data'!$C:$O,8,0)),"")</f>
        <v/>
      </c>
      <c r="Q4725" s="62" t="str">
        <f>IFERROR(IF(OR($B4725="",$B4725="(blank)"),"",VLOOKUP($B4725,'Email Marketing Raw Data'!$C:$O,9,0)),"")</f>
        <v/>
      </c>
    </row>
    <row r="4726" spans="4:17" ht="12.75" customHeight="1" x14ac:dyDescent="0.2">
      <c r="D4726" s="58" t="str">
        <f>IFERROR(IF(F4726&lt;&gt;"pending","",IF(OR($B4726="",$B4726="(blank)"),"",VLOOKUP($B4726,'Email Marketing Raw Data'!$C:$O,10,0))),"")</f>
        <v/>
      </c>
      <c r="E4726" s="59" t="str">
        <f>IFERROR(IF(F4726&lt;&gt;"pending","",IF(OR($B4726="",$B4726="(blank)"),"",VLOOKUP($B4726,'Email Marketing Raw Data'!$C:$O,11,0))),"")</f>
        <v/>
      </c>
      <c r="F4726" s="54" t="str">
        <f>IFERROR(IF(OR($B4726="",$B4726="(blank)"),"",VLOOKUP($B4726,'Email Marketing Raw Data'!$C:$O,13,0)),"")</f>
        <v/>
      </c>
      <c r="G4726" s="55" t="str">
        <f>IFERROR(IF(OR($B4726="",$B4726="(blank)"),"",VLOOKUP($B4726,'Email Marketing Raw Data'!$C:$O,4,0)),"")</f>
        <v/>
      </c>
      <c r="H4726" s="55" t="str">
        <f>IFERROR(IF(OR($B4726="",$B4726="(blank)"),"",VLOOKUP($B4726,'Email Marketing Raw Data'!$C:$O,5,0)),"")</f>
        <v/>
      </c>
      <c r="I4726" s="55" t="str">
        <f>IFERROR(IF($G4726="","",VLOOKUP('Dashboard And Emails Automate'!$G4726,Database!$H:$N,3,0)),"")</f>
        <v/>
      </c>
      <c r="J4726" s="55" t="str">
        <f>IFERROR(IF($G4726="","",VLOOKUP('Dashboard And Emails Automate'!$G4726,Database!$H:$N,4,0)),"")</f>
        <v/>
      </c>
      <c r="K4726" s="55" t="str">
        <f>IFERROR(IF($G4726="","",VLOOKUP('Dashboard And Emails Automate'!$G4726,Database!$H:$N,5,0)),"")</f>
        <v/>
      </c>
      <c r="L4726" s="55" t="str">
        <f>IFERROR(IF($G4726="","",VLOOKUP('Dashboard And Emails Automate'!$G4726,Database!$H:$N,6,0)),"")</f>
        <v/>
      </c>
      <c r="M4726" s="55" t="str">
        <f>IFERROR(IF($G4726="","",VLOOKUP('Dashboard And Emails Automate'!$G4726,Database!$H:$N,7,0)),"")</f>
        <v/>
      </c>
      <c r="N4726" s="55" t="str">
        <f>IFERROR(IF(OR($B4726="",$B4726="(blank)"),"",VLOOKUP($B4726,'Email Marketing Raw Data'!$C:$O,6,0)),"")</f>
        <v/>
      </c>
      <c r="O4726" s="55" t="str">
        <f>IFERROR(IF(OR($B4726="",$B4726="(blank)"),"",VLOOKUP($B4726,'Email Marketing Raw Data'!$C:$O,7,0)),"")</f>
        <v/>
      </c>
      <c r="P4726" s="55" t="str">
        <f>IFERROR(IF(OR($B4726="",$B4726="(blank)"),"",VLOOKUP($B4726,'Email Marketing Raw Data'!$C:$O,8,0)),"")</f>
        <v/>
      </c>
      <c r="Q4726" s="62" t="str">
        <f>IFERROR(IF(OR($B4726="",$B4726="(blank)"),"",VLOOKUP($B4726,'Email Marketing Raw Data'!$C:$O,9,0)),"")</f>
        <v/>
      </c>
    </row>
    <row r="4727" spans="4:17" ht="12.75" customHeight="1" x14ac:dyDescent="0.2">
      <c r="D4727" s="58" t="str">
        <f>IFERROR(IF(F4727&lt;&gt;"pending","",IF(OR($B4727="",$B4727="(blank)"),"",VLOOKUP($B4727,'Email Marketing Raw Data'!$C:$O,10,0))),"")</f>
        <v/>
      </c>
      <c r="E4727" s="59" t="str">
        <f>IFERROR(IF(F4727&lt;&gt;"pending","",IF(OR($B4727="",$B4727="(blank)"),"",VLOOKUP($B4727,'Email Marketing Raw Data'!$C:$O,11,0))),"")</f>
        <v/>
      </c>
      <c r="F4727" s="54" t="str">
        <f>IFERROR(IF(OR($B4727="",$B4727="(blank)"),"",VLOOKUP($B4727,'Email Marketing Raw Data'!$C:$O,13,0)),"")</f>
        <v/>
      </c>
      <c r="G4727" s="55" t="str">
        <f>IFERROR(IF(OR($B4727="",$B4727="(blank)"),"",VLOOKUP($B4727,'Email Marketing Raw Data'!$C:$O,4,0)),"")</f>
        <v/>
      </c>
      <c r="H4727" s="55" t="str">
        <f>IFERROR(IF(OR($B4727="",$B4727="(blank)"),"",VLOOKUP($B4727,'Email Marketing Raw Data'!$C:$O,5,0)),"")</f>
        <v/>
      </c>
      <c r="I4727" s="55" t="str">
        <f>IFERROR(IF($G4727="","",VLOOKUP('Dashboard And Emails Automate'!$G4727,Database!$H:$N,3,0)),"")</f>
        <v/>
      </c>
      <c r="J4727" s="55" t="str">
        <f>IFERROR(IF($G4727="","",VLOOKUP('Dashboard And Emails Automate'!$G4727,Database!$H:$N,4,0)),"")</f>
        <v/>
      </c>
      <c r="K4727" s="55" t="str">
        <f>IFERROR(IF($G4727="","",VLOOKUP('Dashboard And Emails Automate'!$G4727,Database!$H:$N,5,0)),"")</f>
        <v/>
      </c>
      <c r="L4727" s="55" t="str">
        <f>IFERROR(IF($G4727="","",VLOOKUP('Dashboard And Emails Automate'!$G4727,Database!$H:$N,6,0)),"")</f>
        <v/>
      </c>
      <c r="M4727" s="55" t="str">
        <f>IFERROR(IF($G4727="","",VLOOKUP('Dashboard And Emails Automate'!$G4727,Database!$H:$N,7,0)),"")</f>
        <v/>
      </c>
      <c r="N4727" s="55" t="str">
        <f>IFERROR(IF(OR($B4727="",$B4727="(blank)"),"",VLOOKUP($B4727,'Email Marketing Raw Data'!$C:$O,6,0)),"")</f>
        <v/>
      </c>
      <c r="O4727" s="55" t="str">
        <f>IFERROR(IF(OR($B4727="",$B4727="(blank)"),"",VLOOKUP($B4727,'Email Marketing Raw Data'!$C:$O,7,0)),"")</f>
        <v/>
      </c>
      <c r="P4727" s="55" t="str">
        <f>IFERROR(IF(OR($B4727="",$B4727="(blank)"),"",VLOOKUP($B4727,'Email Marketing Raw Data'!$C:$O,8,0)),"")</f>
        <v/>
      </c>
      <c r="Q4727" s="62" t="str">
        <f>IFERROR(IF(OR($B4727="",$B4727="(blank)"),"",VLOOKUP($B4727,'Email Marketing Raw Data'!$C:$O,9,0)),"")</f>
        <v/>
      </c>
    </row>
    <row r="4728" spans="4:17" ht="12.75" customHeight="1" x14ac:dyDescent="0.2">
      <c r="D4728" s="58" t="str">
        <f>IFERROR(IF(F4728&lt;&gt;"pending","",IF(OR($B4728="",$B4728="(blank)"),"",VLOOKUP($B4728,'Email Marketing Raw Data'!$C:$O,10,0))),"")</f>
        <v/>
      </c>
      <c r="E4728" s="59" t="str">
        <f>IFERROR(IF(F4728&lt;&gt;"pending","",IF(OR($B4728="",$B4728="(blank)"),"",VLOOKUP($B4728,'Email Marketing Raw Data'!$C:$O,11,0))),"")</f>
        <v/>
      </c>
      <c r="F4728" s="54" t="str">
        <f>IFERROR(IF(OR($B4728="",$B4728="(blank)"),"",VLOOKUP($B4728,'Email Marketing Raw Data'!$C:$O,13,0)),"")</f>
        <v/>
      </c>
      <c r="G4728" s="55" t="str">
        <f>IFERROR(IF(OR($B4728="",$B4728="(blank)"),"",VLOOKUP($B4728,'Email Marketing Raw Data'!$C:$O,4,0)),"")</f>
        <v/>
      </c>
      <c r="H4728" s="55" t="str">
        <f>IFERROR(IF(OR($B4728="",$B4728="(blank)"),"",VLOOKUP($B4728,'Email Marketing Raw Data'!$C:$O,5,0)),"")</f>
        <v/>
      </c>
      <c r="I4728" s="55" t="str">
        <f>IFERROR(IF($G4728="","",VLOOKUP('Dashboard And Emails Automate'!$G4728,Database!$H:$N,3,0)),"")</f>
        <v/>
      </c>
      <c r="J4728" s="55" t="str">
        <f>IFERROR(IF($G4728="","",VLOOKUP('Dashboard And Emails Automate'!$G4728,Database!$H:$N,4,0)),"")</f>
        <v/>
      </c>
      <c r="K4728" s="55" t="str">
        <f>IFERROR(IF($G4728="","",VLOOKUP('Dashboard And Emails Automate'!$G4728,Database!$H:$N,5,0)),"")</f>
        <v/>
      </c>
      <c r="L4728" s="55" t="str">
        <f>IFERROR(IF($G4728="","",VLOOKUP('Dashboard And Emails Automate'!$G4728,Database!$H:$N,6,0)),"")</f>
        <v/>
      </c>
      <c r="M4728" s="55" t="str">
        <f>IFERROR(IF($G4728="","",VLOOKUP('Dashboard And Emails Automate'!$G4728,Database!$H:$N,7,0)),"")</f>
        <v/>
      </c>
      <c r="N4728" s="55" t="str">
        <f>IFERROR(IF(OR($B4728="",$B4728="(blank)"),"",VLOOKUP($B4728,'Email Marketing Raw Data'!$C:$O,6,0)),"")</f>
        <v/>
      </c>
      <c r="O4728" s="55" t="str">
        <f>IFERROR(IF(OR($B4728="",$B4728="(blank)"),"",VLOOKUP($B4728,'Email Marketing Raw Data'!$C:$O,7,0)),"")</f>
        <v/>
      </c>
      <c r="P4728" s="55" t="str">
        <f>IFERROR(IF(OR($B4728="",$B4728="(blank)"),"",VLOOKUP($B4728,'Email Marketing Raw Data'!$C:$O,8,0)),"")</f>
        <v/>
      </c>
      <c r="Q4728" s="62" t="str">
        <f>IFERROR(IF(OR($B4728="",$B4728="(blank)"),"",VLOOKUP($B4728,'Email Marketing Raw Data'!$C:$O,9,0)),"")</f>
        <v/>
      </c>
    </row>
    <row r="4729" spans="4:17" ht="12.75" customHeight="1" x14ac:dyDescent="0.2">
      <c r="D4729" s="58" t="str">
        <f>IFERROR(IF(F4729&lt;&gt;"pending","",IF(OR($B4729="",$B4729="(blank)"),"",VLOOKUP($B4729,'Email Marketing Raw Data'!$C:$O,10,0))),"")</f>
        <v/>
      </c>
      <c r="E4729" s="59" t="str">
        <f>IFERROR(IF(F4729&lt;&gt;"pending","",IF(OR($B4729="",$B4729="(blank)"),"",VLOOKUP($B4729,'Email Marketing Raw Data'!$C:$O,11,0))),"")</f>
        <v/>
      </c>
      <c r="F4729" s="54" t="str">
        <f>IFERROR(IF(OR($B4729="",$B4729="(blank)"),"",VLOOKUP($B4729,'Email Marketing Raw Data'!$C:$O,13,0)),"")</f>
        <v/>
      </c>
      <c r="G4729" s="55" t="str">
        <f>IFERROR(IF(OR($B4729="",$B4729="(blank)"),"",VLOOKUP($B4729,'Email Marketing Raw Data'!$C:$O,4,0)),"")</f>
        <v/>
      </c>
      <c r="H4729" s="55" t="str">
        <f>IFERROR(IF(OR($B4729="",$B4729="(blank)"),"",VLOOKUP($B4729,'Email Marketing Raw Data'!$C:$O,5,0)),"")</f>
        <v/>
      </c>
      <c r="I4729" s="55" t="str">
        <f>IFERROR(IF($G4729="","",VLOOKUP('Dashboard And Emails Automate'!$G4729,Database!$H:$N,3,0)),"")</f>
        <v/>
      </c>
      <c r="J4729" s="55" t="str">
        <f>IFERROR(IF($G4729="","",VLOOKUP('Dashboard And Emails Automate'!$G4729,Database!$H:$N,4,0)),"")</f>
        <v/>
      </c>
      <c r="K4729" s="55" t="str">
        <f>IFERROR(IF($G4729="","",VLOOKUP('Dashboard And Emails Automate'!$G4729,Database!$H:$N,5,0)),"")</f>
        <v/>
      </c>
      <c r="L4729" s="55" t="str">
        <f>IFERROR(IF($G4729="","",VLOOKUP('Dashboard And Emails Automate'!$G4729,Database!$H:$N,6,0)),"")</f>
        <v/>
      </c>
      <c r="M4729" s="55" t="str">
        <f>IFERROR(IF($G4729="","",VLOOKUP('Dashboard And Emails Automate'!$G4729,Database!$H:$N,7,0)),"")</f>
        <v/>
      </c>
      <c r="N4729" s="55" t="str">
        <f>IFERROR(IF(OR($B4729="",$B4729="(blank)"),"",VLOOKUP($B4729,'Email Marketing Raw Data'!$C:$O,6,0)),"")</f>
        <v/>
      </c>
      <c r="O4729" s="55" t="str">
        <f>IFERROR(IF(OR($B4729="",$B4729="(blank)"),"",VLOOKUP($B4729,'Email Marketing Raw Data'!$C:$O,7,0)),"")</f>
        <v/>
      </c>
      <c r="P4729" s="55" t="str">
        <f>IFERROR(IF(OR($B4729="",$B4729="(blank)"),"",VLOOKUP($B4729,'Email Marketing Raw Data'!$C:$O,8,0)),"")</f>
        <v/>
      </c>
      <c r="Q4729" s="62" t="str">
        <f>IFERROR(IF(OR($B4729="",$B4729="(blank)"),"",VLOOKUP($B4729,'Email Marketing Raw Data'!$C:$O,9,0)),"")</f>
        <v/>
      </c>
    </row>
    <row r="4730" spans="4:17" ht="12.75" customHeight="1" x14ac:dyDescent="0.2">
      <c r="D4730" s="58" t="str">
        <f>IFERROR(IF(F4730&lt;&gt;"pending","",IF(OR($B4730="",$B4730="(blank)"),"",VLOOKUP($B4730,'Email Marketing Raw Data'!$C:$O,10,0))),"")</f>
        <v/>
      </c>
      <c r="E4730" s="59" t="str">
        <f>IFERROR(IF(F4730&lt;&gt;"pending","",IF(OR($B4730="",$B4730="(blank)"),"",VLOOKUP($B4730,'Email Marketing Raw Data'!$C:$O,11,0))),"")</f>
        <v/>
      </c>
      <c r="F4730" s="54" t="str">
        <f>IFERROR(IF(OR($B4730="",$B4730="(blank)"),"",VLOOKUP($B4730,'Email Marketing Raw Data'!$C:$O,13,0)),"")</f>
        <v/>
      </c>
      <c r="G4730" s="55" t="str">
        <f>IFERROR(IF(OR($B4730="",$B4730="(blank)"),"",VLOOKUP($B4730,'Email Marketing Raw Data'!$C:$O,4,0)),"")</f>
        <v/>
      </c>
      <c r="H4730" s="55" t="str">
        <f>IFERROR(IF(OR($B4730="",$B4730="(blank)"),"",VLOOKUP($B4730,'Email Marketing Raw Data'!$C:$O,5,0)),"")</f>
        <v/>
      </c>
      <c r="I4730" s="55" t="str">
        <f>IFERROR(IF($G4730="","",VLOOKUP('Dashboard And Emails Automate'!$G4730,Database!$H:$N,3,0)),"")</f>
        <v/>
      </c>
      <c r="J4730" s="55" t="str">
        <f>IFERROR(IF($G4730="","",VLOOKUP('Dashboard And Emails Automate'!$G4730,Database!$H:$N,4,0)),"")</f>
        <v/>
      </c>
      <c r="K4730" s="55" t="str">
        <f>IFERROR(IF($G4730="","",VLOOKUP('Dashboard And Emails Automate'!$G4730,Database!$H:$N,5,0)),"")</f>
        <v/>
      </c>
      <c r="L4730" s="55" t="str">
        <f>IFERROR(IF($G4730="","",VLOOKUP('Dashboard And Emails Automate'!$G4730,Database!$H:$N,6,0)),"")</f>
        <v/>
      </c>
      <c r="M4730" s="55" t="str">
        <f>IFERROR(IF($G4730="","",VLOOKUP('Dashboard And Emails Automate'!$G4730,Database!$H:$N,7,0)),"")</f>
        <v/>
      </c>
      <c r="N4730" s="55" t="str">
        <f>IFERROR(IF(OR($B4730="",$B4730="(blank)"),"",VLOOKUP($B4730,'Email Marketing Raw Data'!$C:$O,6,0)),"")</f>
        <v/>
      </c>
      <c r="O4730" s="55" t="str">
        <f>IFERROR(IF(OR($B4730="",$B4730="(blank)"),"",VLOOKUP($B4730,'Email Marketing Raw Data'!$C:$O,7,0)),"")</f>
        <v/>
      </c>
      <c r="P4730" s="55" t="str">
        <f>IFERROR(IF(OR($B4730="",$B4730="(blank)"),"",VLOOKUP($B4730,'Email Marketing Raw Data'!$C:$O,8,0)),"")</f>
        <v/>
      </c>
      <c r="Q4730" s="62" t="str">
        <f>IFERROR(IF(OR($B4730="",$B4730="(blank)"),"",VLOOKUP($B4730,'Email Marketing Raw Data'!$C:$O,9,0)),"")</f>
        <v/>
      </c>
    </row>
    <row r="4731" spans="4:17" ht="12.75" customHeight="1" x14ac:dyDescent="0.2">
      <c r="D4731" s="58" t="str">
        <f>IFERROR(IF(F4731&lt;&gt;"pending","",IF(OR($B4731="",$B4731="(blank)"),"",VLOOKUP($B4731,'Email Marketing Raw Data'!$C:$O,10,0))),"")</f>
        <v/>
      </c>
      <c r="E4731" s="59" t="str">
        <f>IFERROR(IF(F4731&lt;&gt;"pending","",IF(OR($B4731="",$B4731="(blank)"),"",VLOOKUP($B4731,'Email Marketing Raw Data'!$C:$O,11,0))),"")</f>
        <v/>
      </c>
      <c r="F4731" s="54" t="str">
        <f>IFERROR(IF(OR($B4731="",$B4731="(blank)"),"",VLOOKUP($B4731,'Email Marketing Raw Data'!$C:$O,13,0)),"")</f>
        <v/>
      </c>
      <c r="G4731" s="55" t="str">
        <f>IFERROR(IF(OR($B4731="",$B4731="(blank)"),"",VLOOKUP($B4731,'Email Marketing Raw Data'!$C:$O,4,0)),"")</f>
        <v/>
      </c>
      <c r="H4731" s="55" t="str">
        <f>IFERROR(IF(OR($B4731="",$B4731="(blank)"),"",VLOOKUP($B4731,'Email Marketing Raw Data'!$C:$O,5,0)),"")</f>
        <v/>
      </c>
      <c r="I4731" s="55" t="str">
        <f>IFERROR(IF($G4731="","",VLOOKUP('Dashboard And Emails Automate'!$G4731,Database!$H:$N,3,0)),"")</f>
        <v/>
      </c>
      <c r="J4731" s="55" t="str">
        <f>IFERROR(IF($G4731="","",VLOOKUP('Dashboard And Emails Automate'!$G4731,Database!$H:$N,4,0)),"")</f>
        <v/>
      </c>
      <c r="K4731" s="55" t="str">
        <f>IFERROR(IF($G4731="","",VLOOKUP('Dashboard And Emails Automate'!$G4731,Database!$H:$N,5,0)),"")</f>
        <v/>
      </c>
      <c r="L4731" s="55" t="str">
        <f>IFERROR(IF($G4731="","",VLOOKUP('Dashboard And Emails Automate'!$G4731,Database!$H:$N,6,0)),"")</f>
        <v/>
      </c>
      <c r="M4731" s="55" t="str">
        <f>IFERROR(IF($G4731="","",VLOOKUP('Dashboard And Emails Automate'!$G4731,Database!$H:$N,7,0)),"")</f>
        <v/>
      </c>
      <c r="N4731" s="55" t="str">
        <f>IFERROR(IF(OR($B4731="",$B4731="(blank)"),"",VLOOKUP($B4731,'Email Marketing Raw Data'!$C:$O,6,0)),"")</f>
        <v/>
      </c>
      <c r="O4731" s="55" t="str">
        <f>IFERROR(IF(OR($B4731="",$B4731="(blank)"),"",VLOOKUP($B4731,'Email Marketing Raw Data'!$C:$O,7,0)),"")</f>
        <v/>
      </c>
      <c r="P4731" s="55" t="str">
        <f>IFERROR(IF(OR($B4731="",$B4731="(blank)"),"",VLOOKUP($B4731,'Email Marketing Raw Data'!$C:$O,8,0)),"")</f>
        <v/>
      </c>
      <c r="Q4731" s="62" t="str">
        <f>IFERROR(IF(OR($B4731="",$B4731="(blank)"),"",VLOOKUP($B4731,'Email Marketing Raw Data'!$C:$O,9,0)),"")</f>
        <v/>
      </c>
    </row>
    <row r="4732" spans="4:17" ht="12.75" customHeight="1" x14ac:dyDescent="0.2">
      <c r="D4732" s="58" t="str">
        <f>IFERROR(IF(F4732&lt;&gt;"pending","",IF(OR($B4732="",$B4732="(blank)"),"",VLOOKUP($B4732,'Email Marketing Raw Data'!$C:$O,10,0))),"")</f>
        <v/>
      </c>
      <c r="E4732" s="59" t="str">
        <f>IFERROR(IF(F4732&lt;&gt;"pending","",IF(OR($B4732="",$B4732="(blank)"),"",VLOOKUP($B4732,'Email Marketing Raw Data'!$C:$O,11,0))),"")</f>
        <v/>
      </c>
      <c r="F4732" s="54" t="str">
        <f>IFERROR(IF(OR($B4732="",$B4732="(blank)"),"",VLOOKUP($B4732,'Email Marketing Raw Data'!$C:$O,13,0)),"")</f>
        <v/>
      </c>
      <c r="G4732" s="55" t="str">
        <f>IFERROR(IF(OR($B4732="",$B4732="(blank)"),"",VLOOKUP($B4732,'Email Marketing Raw Data'!$C:$O,4,0)),"")</f>
        <v/>
      </c>
      <c r="H4732" s="55" t="str">
        <f>IFERROR(IF(OR($B4732="",$B4732="(blank)"),"",VLOOKUP($B4732,'Email Marketing Raw Data'!$C:$O,5,0)),"")</f>
        <v/>
      </c>
      <c r="I4732" s="55" t="str">
        <f>IFERROR(IF($G4732="","",VLOOKUP('Dashboard And Emails Automate'!$G4732,Database!$H:$N,3,0)),"")</f>
        <v/>
      </c>
      <c r="J4732" s="55" t="str">
        <f>IFERROR(IF($G4732="","",VLOOKUP('Dashboard And Emails Automate'!$G4732,Database!$H:$N,4,0)),"")</f>
        <v/>
      </c>
      <c r="K4732" s="55" t="str">
        <f>IFERROR(IF($G4732="","",VLOOKUP('Dashboard And Emails Automate'!$G4732,Database!$H:$N,5,0)),"")</f>
        <v/>
      </c>
      <c r="L4732" s="55" t="str">
        <f>IFERROR(IF($G4732="","",VLOOKUP('Dashboard And Emails Automate'!$G4732,Database!$H:$N,6,0)),"")</f>
        <v/>
      </c>
      <c r="M4732" s="55" t="str">
        <f>IFERROR(IF($G4732="","",VLOOKUP('Dashboard And Emails Automate'!$G4732,Database!$H:$N,7,0)),"")</f>
        <v/>
      </c>
      <c r="N4732" s="55" t="str">
        <f>IFERROR(IF(OR($B4732="",$B4732="(blank)"),"",VLOOKUP($B4732,'Email Marketing Raw Data'!$C:$O,6,0)),"")</f>
        <v/>
      </c>
      <c r="O4732" s="55" t="str">
        <f>IFERROR(IF(OR($B4732="",$B4732="(blank)"),"",VLOOKUP($B4732,'Email Marketing Raw Data'!$C:$O,7,0)),"")</f>
        <v/>
      </c>
      <c r="P4732" s="55" t="str">
        <f>IFERROR(IF(OR($B4732="",$B4732="(blank)"),"",VLOOKUP($B4732,'Email Marketing Raw Data'!$C:$O,8,0)),"")</f>
        <v/>
      </c>
      <c r="Q4732" s="62" t="str">
        <f>IFERROR(IF(OR($B4732="",$B4732="(blank)"),"",VLOOKUP($B4732,'Email Marketing Raw Data'!$C:$O,9,0)),"")</f>
        <v/>
      </c>
    </row>
    <row r="4733" spans="4:17" ht="12.75" customHeight="1" x14ac:dyDescent="0.2">
      <c r="D4733" s="58" t="str">
        <f>IFERROR(IF(F4733&lt;&gt;"pending","",IF(OR($B4733="",$B4733="(blank)"),"",VLOOKUP($B4733,'Email Marketing Raw Data'!$C:$O,10,0))),"")</f>
        <v/>
      </c>
      <c r="E4733" s="59" t="str">
        <f>IFERROR(IF(F4733&lt;&gt;"pending","",IF(OR($B4733="",$B4733="(blank)"),"",VLOOKUP($B4733,'Email Marketing Raw Data'!$C:$O,11,0))),"")</f>
        <v/>
      </c>
      <c r="F4733" s="54" t="str">
        <f>IFERROR(IF(OR($B4733="",$B4733="(blank)"),"",VLOOKUP($B4733,'Email Marketing Raw Data'!$C:$O,13,0)),"")</f>
        <v/>
      </c>
      <c r="G4733" s="55" t="str">
        <f>IFERROR(IF(OR($B4733="",$B4733="(blank)"),"",VLOOKUP($B4733,'Email Marketing Raw Data'!$C:$O,4,0)),"")</f>
        <v/>
      </c>
      <c r="H4733" s="55" t="str">
        <f>IFERROR(IF(OR($B4733="",$B4733="(blank)"),"",VLOOKUP($B4733,'Email Marketing Raw Data'!$C:$O,5,0)),"")</f>
        <v/>
      </c>
      <c r="I4733" s="55" t="str">
        <f>IFERROR(IF($G4733="","",VLOOKUP('Dashboard And Emails Automate'!$G4733,Database!$H:$N,3,0)),"")</f>
        <v/>
      </c>
      <c r="J4733" s="55" t="str">
        <f>IFERROR(IF($G4733="","",VLOOKUP('Dashboard And Emails Automate'!$G4733,Database!$H:$N,4,0)),"")</f>
        <v/>
      </c>
      <c r="K4733" s="55" t="str">
        <f>IFERROR(IF($G4733="","",VLOOKUP('Dashboard And Emails Automate'!$G4733,Database!$H:$N,5,0)),"")</f>
        <v/>
      </c>
      <c r="L4733" s="55" t="str">
        <f>IFERROR(IF($G4733="","",VLOOKUP('Dashboard And Emails Automate'!$G4733,Database!$H:$N,6,0)),"")</f>
        <v/>
      </c>
      <c r="M4733" s="55" t="str">
        <f>IFERROR(IF($G4733="","",VLOOKUP('Dashboard And Emails Automate'!$G4733,Database!$H:$N,7,0)),"")</f>
        <v/>
      </c>
      <c r="N4733" s="55" t="str">
        <f>IFERROR(IF(OR($B4733="",$B4733="(blank)"),"",VLOOKUP($B4733,'Email Marketing Raw Data'!$C:$O,6,0)),"")</f>
        <v/>
      </c>
      <c r="O4733" s="55" t="str">
        <f>IFERROR(IF(OR($B4733="",$B4733="(blank)"),"",VLOOKUP($B4733,'Email Marketing Raw Data'!$C:$O,7,0)),"")</f>
        <v/>
      </c>
      <c r="P4733" s="55" t="str">
        <f>IFERROR(IF(OR($B4733="",$B4733="(blank)"),"",VLOOKUP($B4733,'Email Marketing Raw Data'!$C:$O,8,0)),"")</f>
        <v/>
      </c>
      <c r="Q4733" s="62" t="str">
        <f>IFERROR(IF(OR($B4733="",$B4733="(blank)"),"",VLOOKUP($B4733,'Email Marketing Raw Data'!$C:$O,9,0)),"")</f>
        <v/>
      </c>
    </row>
    <row r="4734" spans="4:17" ht="12.75" customHeight="1" x14ac:dyDescent="0.2">
      <c r="D4734" s="58" t="str">
        <f>IFERROR(IF(F4734&lt;&gt;"pending","",IF(OR($B4734="",$B4734="(blank)"),"",VLOOKUP($B4734,'Email Marketing Raw Data'!$C:$O,10,0))),"")</f>
        <v/>
      </c>
      <c r="E4734" s="59" t="str">
        <f>IFERROR(IF(F4734&lt;&gt;"pending","",IF(OR($B4734="",$B4734="(blank)"),"",VLOOKUP($B4734,'Email Marketing Raw Data'!$C:$O,11,0))),"")</f>
        <v/>
      </c>
      <c r="F4734" s="54" t="str">
        <f>IFERROR(IF(OR($B4734="",$B4734="(blank)"),"",VLOOKUP($B4734,'Email Marketing Raw Data'!$C:$O,13,0)),"")</f>
        <v/>
      </c>
      <c r="G4734" s="55" t="str">
        <f>IFERROR(IF(OR($B4734="",$B4734="(blank)"),"",VLOOKUP($B4734,'Email Marketing Raw Data'!$C:$O,4,0)),"")</f>
        <v/>
      </c>
      <c r="H4734" s="55" t="str">
        <f>IFERROR(IF(OR($B4734="",$B4734="(blank)"),"",VLOOKUP($B4734,'Email Marketing Raw Data'!$C:$O,5,0)),"")</f>
        <v/>
      </c>
      <c r="I4734" s="55" t="str">
        <f>IFERROR(IF($G4734="","",VLOOKUP('Dashboard And Emails Automate'!$G4734,Database!$H:$N,3,0)),"")</f>
        <v/>
      </c>
      <c r="J4734" s="55" t="str">
        <f>IFERROR(IF($G4734="","",VLOOKUP('Dashboard And Emails Automate'!$G4734,Database!$H:$N,4,0)),"")</f>
        <v/>
      </c>
      <c r="K4734" s="55" t="str">
        <f>IFERROR(IF($G4734="","",VLOOKUP('Dashboard And Emails Automate'!$G4734,Database!$H:$N,5,0)),"")</f>
        <v/>
      </c>
      <c r="L4734" s="55" t="str">
        <f>IFERROR(IF($G4734="","",VLOOKUP('Dashboard And Emails Automate'!$G4734,Database!$H:$N,6,0)),"")</f>
        <v/>
      </c>
      <c r="M4734" s="55" t="str">
        <f>IFERROR(IF($G4734="","",VLOOKUP('Dashboard And Emails Automate'!$G4734,Database!$H:$N,7,0)),"")</f>
        <v/>
      </c>
      <c r="N4734" s="55" t="str">
        <f>IFERROR(IF(OR($B4734="",$B4734="(blank)"),"",VLOOKUP($B4734,'Email Marketing Raw Data'!$C:$O,6,0)),"")</f>
        <v/>
      </c>
      <c r="O4734" s="55" t="str">
        <f>IFERROR(IF(OR($B4734="",$B4734="(blank)"),"",VLOOKUP($B4734,'Email Marketing Raw Data'!$C:$O,7,0)),"")</f>
        <v/>
      </c>
      <c r="P4734" s="55" t="str">
        <f>IFERROR(IF(OR($B4734="",$B4734="(blank)"),"",VLOOKUP($B4734,'Email Marketing Raw Data'!$C:$O,8,0)),"")</f>
        <v/>
      </c>
      <c r="Q4734" s="62" t="str">
        <f>IFERROR(IF(OR($B4734="",$B4734="(blank)"),"",VLOOKUP($B4734,'Email Marketing Raw Data'!$C:$O,9,0)),"")</f>
        <v/>
      </c>
    </row>
    <row r="4735" spans="4:17" ht="12.75" customHeight="1" x14ac:dyDescent="0.2">
      <c r="D4735" s="58" t="str">
        <f>IFERROR(IF(F4735&lt;&gt;"pending","",IF(OR($B4735="",$B4735="(blank)"),"",VLOOKUP($B4735,'Email Marketing Raw Data'!$C:$O,10,0))),"")</f>
        <v/>
      </c>
      <c r="E4735" s="59" t="str">
        <f>IFERROR(IF(F4735&lt;&gt;"pending","",IF(OR($B4735="",$B4735="(blank)"),"",VLOOKUP($B4735,'Email Marketing Raw Data'!$C:$O,11,0))),"")</f>
        <v/>
      </c>
      <c r="F4735" s="54" t="str">
        <f>IFERROR(IF(OR($B4735="",$B4735="(blank)"),"",VLOOKUP($B4735,'Email Marketing Raw Data'!$C:$O,13,0)),"")</f>
        <v/>
      </c>
      <c r="G4735" s="55" t="str">
        <f>IFERROR(IF(OR($B4735="",$B4735="(blank)"),"",VLOOKUP($B4735,'Email Marketing Raw Data'!$C:$O,4,0)),"")</f>
        <v/>
      </c>
      <c r="H4735" s="55" t="str">
        <f>IFERROR(IF(OR($B4735="",$B4735="(blank)"),"",VLOOKUP($B4735,'Email Marketing Raw Data'!$C:$O,5,0)),"")</f>
        <v/>
      </c>
      <c r="I4735" s="55" t="str">
        <f>IFERROR(IF($G4735="","",VLOOKUP('Dashboard And Emails Automate'!$G4735,Database!$H:$N,3,0)),"")</f>
        <v/>
      </c>
      <c r="J4735" s="55" t="str">
        <f>IFERROR(IF($G4735="","",VLOOKUP('Dashboard And Emails Automate'!$G4735,Database!$H:$N,4,0)),"")</f>
        <v/>
      </c>
      <c r="K4735" s="55" t="str">
        <f>IFERROR(IF($G4735="","",VLOOKUP('Dashboard And Emails Automate'!$G4735,Database!$H:$N,5,0)),"")</f>
        <v/>
      </c>
      <c r="L4735" s="55" t="str">
        <f>IFERROR(IF($G4735="","",VLOOKUP('Dashboard And Emails Automate'!$G4735,Database!$H:$N,6,0)),"")</f>
        <v/>
      </c>
      <c r="M4735" s="55" t="str">
        <f>IFERROR(IF($G4735="","",VLOOKUP('Dashboard And Emails Automate'!$G4735,Database!$H:$N,7,0)),"")</f>
        <v/>
      </c>
      <c r="N4735" s="55" t="str">
        <f>IFERROR(IF(OR($B4735="",$B4735="(blank)"),"",VLOOKUP($B4735,'Email Marketing Raw Data'!$C:$O,6,0)),"")</f>
        <v/>
      </c>
      <c r="O4735" s="55" t="str">
        <f>IFERROR(IF(OR($B4735="",$B4735="(blank)"),"",VLOOKUP($B4735,'Email Marketing Raw Data'!$C:$O,7,0)),"")</f>
        <v/>
      </c>
      <c r="P4735" s="55" t="str">
        <f>IFERROR(IF(OR($B4735="",$B4735="(blank)"),"",VLOOKUP($B4735,'Email Marketing Raw Data'!$C:$O,8,0)),"")</f>
        <v/>
      </c>
      <c r="Q4735" s="62" t="str">
        <f>IFERROR(IF(OR($B4735="",$B4735="(blank)"),"",VLOOKUP($B4735,'Email Marketing Raw Data'!$C:$O,9,0)),"")</f>
        <v/>
      </c>
    </row>
    <row r="4736" spans="4:17" ht="12.75" customHeight="1" x14ac:dyDescent="0.2">
      <c r="D4736" s="58" t="str">
        <f>IFERROR(IF(F4736&lt;&gt;"pending","",IF(OR($B4736="",$B4736="(blank)"),"",VLOOKUP($B4736,'Email Marketing Raw Data'!$C:$O,10,0))),"")</f>
        <v/>
      </c>
      <c r="E4736" s="59" t="str">
        <f>IFERROR(IF(F4736&lt;&gt;"pending","",IF(OR($B4736="",$B4736="(blank)"),"",VLOOKUP($B4736,'Email Marketing Raw Data'!$C:$O,11,0))),"")</f>
        <v/>
      </c>
      <c r="F4736" s="54" t="str">
        <f>IFERROR(IF(OR($B4736="",$B4736="(blank)"),"",VLOOKUP($B4736,'Email Marketing Raw Data'!$C:$O,13,0)),"")</f>
        <v/>
      </c>
      <c r="G4736" s="55" t="str">
        <f>IFERROR(IF(OR($B4736="",$B4736="(blank)"),"",VLOOKUP($B4736,'Email Marketing Raw Data'!$C:$O,4,0)),"")</f>
        <v/>
      </c>
      <c r="H4736" s="55" t="str">
        <f>IFERROR(IF(OR($B4736="",$B4736="(blank)"),"",VLOOKUP($B4736,'Email Marketing Raw Data'!$C:$O,5,0)),"")</f>
        <v/>
      </c>
      <c r="I4736" s="55" t="str">
        <f>IFERROR(IF($G4736="","",VLOOKUP('Dashboard And Emails Automate'!$G4736,Database!$H:$N,3,0)),"")</f>
        <v/>
      </c>
      <c r="J4736" s="55" t="str">
        <f>IFERROR(IF($G4736="","",VLOOKUP('Dashboard And Emails Automate'!$G4736,Database!$H:$N,4,0)),"")</f>
        <v/>
      </c>
      <c r="K4736" s="55" t="str">
        <f>IFERROR(IF($G4736="","",VLOOKUP('Dashboard And Emails Automate'!$G4736,Database!$H:$N,5,0)),"")</f>
        <v/>
      </c>
      <c r="L4736" s="55" t="str">
        <f>IFERROR(IF($G4736="","",VLOOKUP('Dashboard And Emails Automate'!$G4736,Database!$H:$N,6,0)),"")</f>
        <v/>
      </c>
      <c r="M4736" s="55" t="str">
        <f>IFERROR(IF($G4736="","",VLOOKUP('Dashboard And Emails Automate'!$G4736,Database!$H:$N,7,0)),"")</f>
        <v/>
      </c>
      <c r="N4736" s="55" t="str">
        <f>IFERROR(IF(OR($B4736="",$B4736="(blank)"),"",VLOOKUP($B4736,'Email Marketing Raw Data'!$C:$O,6,0)),"")</f>
        <v/>
      </c>
      <c r="O4736" s="55" t="str">
        <f>IFERROR(IF(OR($B4736="",$B4736="(blank)"),"",VLOOKUP($B4736,'Email Marketing Raw Data'!$C:$O,7,0)),"")</f>
        <v/>
      </c>
      <c r="P4736" s="55" t="str">
        <f>IFERROR(IF(OR($B4736="",$B4736="(blank)"),"",VLOOKUP($B4736,'Email Marketing Raw Data'!$C:$O,8,0)),"")</f>
        <v/>
      </c>
      <c r="Q4736" s="62" t="str">
        <f>IFERROR(IF(OR($B4736="",$B4736="(blank)"),"",VLOOKUP($B4736,'Email Marketing Raw Data'!$C:$O,9,0)),"")</f>
        <v/>
      </c>
    </row>
    <row r="4737" spans="4:17" ht="12.75" customHeight="1" x14ac:dyDescent="0.2">
      <c r="D4737" s="58" t="str">
        <f>IFERROR(IF(F4737&lt;&gt;"pending","",IF(OR($B4737="",$B4737="(blank)"),"",VLOOKUP($B4737,'Email Marketing Raw Data'!$C:$O,10,0))),"")</f>
        <v/>
      </c>
      <c r="E4737" s="59" t="str">
        <f>IFERROR(IF(F4737&lt;&gt;"pending","",IF(OR($B4737="",$B4737="(blank)"),"",VLOOKUP($B4737,'Email Marketing Raw Data'!$C:$O,11,0))),"")</f>
        <v/>
      </c>
      <c r="F4737" s="54" t="str">
        <f>IFERROR(IF(OR($B4737="",$B4737="(blank)"),"",VLOOKUP($B4737,'Email Marketing Raw Data'!$C:$O,13,0)),"")</f>
        <v/>
      </c>
      <c r="G4737" s="55" t="str">
        <f>IFERROR(IF(OR($B4737="",$B4737="(blank)"),"",VLOOKUP($B4737,'Email Marketing Raw Data'!$C:$O,4,0)),"")</f>
        <v/>
      </c>
      <c r="H4737" s="55" t="str">
        <f>IFERROR(IF(OR($B4737="",$B4737="(blank)"),"",VLOOKUP($B4737,'Email Marketing Raw Data'!$C:$O,5,0)),"")</f>
        <v/>
      </c>
      <c r="I4737" s="55" t="str">
        <f>IFERROR(IF($G4737="","",VLOOKUP('Dashboard And Emails Automate'!$G4737,Database!$H:$N,3,0)),"")</f>
        <v/>
      </c>
      <c r="J4737" s="55" t="str">
        <f>IFERROR(IF($G4737="","",VLOOKUP('Dashboard And Emails Automate'!$G4737,Database!$H:$N,4,0)),"")</f>
        <v/>
      </c>
      <c r="K4737" s="55" t="str">
        <f>IFERROR(IF($G4737="","",VLOOKUP('Dashboard And Emails Automate'!$G4737,Database!$H:$N,5,0)),"")</f>
        <v/>
      </c>
      <c r="L4737" s="55" t="str">
        <f>IFERROR(IF($G4737="","",VLOOKUP('Dashboard And Emails Automate'!$G4737,Database!$H:$N,6,0)),"")</f>
        <v/>
      </c>
      <c r="M4737" s="55" t="str">
        <f>IFERROR(IF($G4737="","",VLOOKUP('Dashboard And Emails Automate'!$G4737,Database!$H:$N,7,0)),"")</f>
        <v/>
      </c>
      <c r="N4737" s="55" t="str">
        <f>IFERROR(IF(OR($B4737="",$B4737="(blank)"),"",VLOOKUP($B4737,'Email Marketing Raw Data'!$C:$O,6,0)),"")</f>
        <v/>
      </c>
      <c r="O4737" s="55" t="str">
        <f>IFERROR(IF(OR($B4737="",$B4737="(blank)"),"",VLOOKUP($B4737,'Email Marketing Raw Data'!$C:$O,7,0)),"")</f>
        <v/>
      </c>
      <c r="P4737" s="55" t="str">
        <f>IFERROR(IF(OR($B4737="",$B4737="(blank)"),"",VLOOKUP($B4737,'Email Marketing Raw Data'!$C:$O,8,0)),"")</f>
        <v/>
      </c>
      <c r="Q4737" s="62" t="str">
        <f>IFERROR(IF(OR($B4737="",$B4737="(blank)"),"",VLOOKUP($B4737,'Email Marketing Raw Data'!$C:$O,9,0)),"")</f>
        <v/>
      </c>
    </row>
    <row r="4738" spans="4:17" ht="12.75" customHeight="1" x14ac:dyDescent="0.2">
      <c r="D4738" s="58" t="str">
        <f>IFERROR(IF(F4738&lt;&gt;"pending","",IF(OR($B4738="",$B4738="(blank)"),"",VLOOKUP($B4738,'Email Marketing Raw Data'!$C:$O,10,0))),"")</f>
        <v/>
      </c>
      <c r="E4738" s="59" t="str">
        <f>IFERROR(IF(F4738&lt;&gt;"pending","",IF(OR($B4738="",$B4738="(blank)"),"",VLOOKUP($B4738,'Email Marketing Raw Data'!$C:$O,11,0))),"")</f>
        <v/>
      </c>
      <c r="F4738" s="54" t="str">
        <f>IFERROR(IF(OR($B4738="",$B4738="(blank)"),"",VLOOKUP($B4738,'Email Marketing Raw Data'!$C:$O,13,0)),"")</f>
        <v/>
      </c>
      <c r="G4738" s="55" t="str">
        <f>IFERROR(IF(OR($B4738="",$B4738="(blank)"),"",VLOOKUP($B4738,'Email Marketing Raw Data'!$C:$O,4,0)),"")</f>
        <v/>
      </c>
      <c r="H4738" s="55" t="str">
        <f>IFERROR(IF(OR($B4738="",$B4738="(blank)"),"",VLOOKUP($B4738,'Email Marketing Raw Data'!$C:$O,5,0)),"")</f>
        <v/>
      </c>
      <c r="I4738" s="55" t="str">
        <f>IFERROR(IF($G4738="","",VLOOKUP('Dashboard And Emails Automate'!$G4738,Database!$H:$N,3,0)),"")</f>
        <v/>
      </c>
      <c r="J4738" s="55" t="str">
        <f>IFERROR(IF($G4738="","",VLOOKUP('Dashboard And Emails Automate'!$G4738,Database!$H:$N,4,0)),"")</f>
        <v/>
      </c>
      <c r="K4738" s="55" t="str">
        <f>IFERROR(IF($G4738="","",VLOOKUP('Dashboard And Emails Automate'!$G4738,Database!$H:$N,5,0)),"")</f>
        <v/>
      </c>
      <c r="L4738" s="55" t="str">
        <f>IFERROR(IF($G4738="","",VLOOKUP('Dashboard And Emails Automate'!$G4738,Database!$H:$N,6,0)),"")</f>
        <v/>
      </c>
      <c r="M4738" s="55" t="str">
        <f>IFERROR(IF($G4738="","",VLOOKUP('Dashboard And Emails Automate'!$G4738,Database!$H:$N,7,0)),"")</f>
        <v/>
      </c>
      <c r="N4738" s="55" t="str">
        <f>IFERROR(IF(OR($B4738="",$B4738="(blank)"),"",VLOOKUP($B4738,'Email Marketing Raw Data'!$C:$O,6,0)),"")</f>
        <v/>
      </c>
      <c r="O4738" s="55" t="str">
        <f>IFERROR(IF(OR($B4738="",$B4738="(blank)"),"",VLOOKUP($B4738,'Email Marketing Raw Data'!$C:$O,7,0)),"")</f>
        <v/>
      </c>
      <c r="P4738" s="55" t="str">
        <f>IFERROR(IF(OR($B4738="",$B4738="(blank)"),"",VLOOKUP($B4738,'Email Marketing Raw Data'!$C:$O,8,0)),"")</f>
        <v/>
      </c>
      <c r="Q4738" s="62" t="str">
        <f>IFERROR(IF(OR($B4738="",$B4738="(blank)"),"",VLOOKUP($B4738,'Email Marketing Raw Data'!$C:$O,9,0)),"")</f>
        <v/>
      </c>
    </row>
    <row r="4739" spans="4:17" ht="12.75" customHeight="1" x14ac:dyDescent="0.2">
      <c r="D4739" s="58" t="str">
        <f>IFERROR(IF(F4739&lt;&gt;"pending","",IF(OR($B4739="",$B4739="(blank)"),"",VLOOKUP($B4739,'Email Marketing Raw Data'!$C:$O,10,0))),"")</f>
        <v/>
      </c>
      <c r="E4739" s="59" t="str">
        <f>IFERROR(IF(F4739&lt;&gt;"pending","",IF(OR($B4739="",$B4739="(blank)"),"",VLOOKUP($B4739,'Email Marketing Raw Data'!$C:$O,11,0))),"")</f>
        <v/>
      </c>
      <c r="F4739" s="54" t="str">
        <f>IFERROR(IF(OR($B4739="",$B4739="(blank)"),"",VLOOKUP($B4739,'Email Marketing Raw Data'!$C:$O,13,0)),"")</f>
        <v/>
      </c>
      <c r="G4739" s="55" t="str">
        <f>IFERROR(IF(OR($B4739="",$B4739="(blank)"),"",VLOOKUP($B4739,'Email Marketing Raw Data'!$C:$O,4,0)),"")</f>
        <v/>
      </c>
      <c r="H4739" s="55" t="str">
        <f>IFERROR(IF(OR($B4739="",$B4739="(blank)"),"",VLOOKUP($B4739,'Email Marketing Raw Data'!$C:$O,5,0)),"")</f>
        <v/>
      </c>
      <c r="I4739" s="55" t="str">
        <f>IFERROR(IF($G4739="","",VLOOKUP('Dashboard And Emails Automate'!$G4739,Database!$H:$N,3,0)),"")</f>
        <v/>
      </c>
      <c r="J4739" s="55" t="str">
        <f>IFERROR(IF($G4739="","",VLOOKUP('Dashboard And Emails Automate'!$G4739,Database!$H:$N,4,0)),"")</f>
        <v/>
      </c>
      <c r="K4739" s="55" t="str">
        <f>IFERROR(IF($G4739="","",VLOOKUP('Dashboard And Emails Automate'!$G4739,Database!$H:$N,5,0)),"")</f>
        <v/>
      </c>
      <c r="L4739" s="55" t="str">
        <f>IFERROR(IF($G4739="","",VLOOKUP('Dashboard And Emails Automate'!$G4739,Database!$H:$N,6,0)),"")</f>
        <v/>
      </c>
      <c r="M4739" s="55" t="str">
        <f>IFERROR(IF($G4739="","",VLOOKUP('Dashboard And Emails Automate'!$G4739,Database!$H:$N,7,0)),"")</f>
        <v/>
      </c>
      <c r="N4739" s="55" t="str">
        <f>IFERROR(IF(OR($B4739="",$B4739="(blank)"),"",VLOOKUP($B4739,'Email Marketing Raw Data'!$C:$O,6,0)),"")</f>
        <v/>
      </c>
      <c r="O4739" s="55" t="str">
        <f>IFERROR(IF(OR($B4739="",$B4739="(blank)"),"",VLOOKUP($B4739,'Email Marketing Raw Data'!$C:$O,7,0)),"")</f>
        <v/>
      </c>
      <c r="P4739" s="55" t="str">
        <f>IFERROR(IF(OR($B4739="",$B4739="(blank)"),"",VLOOKUP($B4739,'Email Marketing Raw Data'!$C:$O,8,0)),"")</f>
        <v/>
      </c>
      <c r="Q4739" s="62" t="str">
        <f>IFERROR(IF(OR($B4739="",$B4739="(blank)"),"",VLOOKUP($B4739,'Email Marketing Raw Data'!$C:$O,9,0)),"")</f>
        <v/>
      </c>
    </row>
    <row r="4740" spans="4:17" ht="12.75" customHeight="1" x14ac:dyDescent="0.2">
      <c r="D4740" s="58" t="str">
        <f>IFERROR(IF(F4740&lt;&gt;"pending","",IF(OR($B4740="",$B4740="(blank)"),"",VLOOKUP($B4740,'Email Marketing Raw Data'!$C:$O,10,0))),"")</f>
        <v/>
      </c>
      <c r="E4740" s="59" t="str">
        <f>IFERROR(IF(F4740&lt;&gt;"pending","",IF(OR($B4740="",$B4740="(blank)"),"",VLOOKUP($B4740,'Email Marketing Raw Data'!$C:$O,11,0))),"")</f>
        <v/>
      </c>
      <c r="F4740" s="54" t="str">
        <f>IFERROR(IF(OR($B4740="",$B4740="(blank)"),"",VLOOKUP($B4740,'Email Marketing Raw Data'!$C:$O,13,0)),"")</f>
        <v/>
      </c>
      <c r="G4740" s="55" t="str">
        <f>IFERROR(IF(OR($B4740="",$B4740="(blank)"),"",VLOOKUP($B4740,'Email Marketing Raw Data'!$C:$O,4,0)),"")</f>
        <v/>
      </c>
      <c r="H4740" s="55" t="str">
        <f>IFERROR(IF(OR($B4740="",$B4740="(blank)"),"",VLOOKUP($B4740,'Email Marketing Raw Data'!$C:$O,5,0)),"")</f>
        <v/>
      </c>
      <c r="I4740" s="55" t="str">
        <f>IFERROR(IF($G4740="","",VLOOKUP('Dashboard And Emails Automate'!$G4740,Database!$H:$N,3,0)),"")</f>
        <v/>
      </c>
      <c r="J4740" s="55" t="str">
        <f>IFERROR(IF($G4740="","",VLOOKUP('Dashboard And Emails Automate'!$G4740,Database!$H:$N,4,0)),"")</f>
        <v/>
      </c>
      <c r="K4740" s="55" t="str">
        <f>IFERROR(IF($G4740="","",VLOOKUP('Dashboard And Emails Automate'!$G4740,Database!$H:$N,5,0)),"")</f>
        <v/>
      </c>
      <c r="L4740" s="55" t="str">
        <f>IFERROR(IF($G4740="","",VLOOKUP('Dashboard And Emails Automate'!$G4740,Database!$H:$N,6,0)),"")</f>
        <v/>
      </c>
      <c r="M4740" s="55" t="str">
        <f>IFERROR(IF($G4740="","",VLOOKUP('Dashboard And Emails Automate'!$G4740,Database!$H:$N,7,0)),"")</f>
        <v/>
      </c>
      <c r="N4740" s="55" t="str">
        <f>IFERROR(IF(OR($B4740="",$B4740="(blank)"),"",VLOOKUP($B4740,'Email Marketing Raw Data'!$C:$O,6,0)),"")</f>
        <v/>
      </c>
      <c r="O4740" s="55" t="str">
        <f>IFERROR(IF(OR($B4740="",$B4740="(blank)"),"",VLOOKUP($B4740,'Email Marketing Raw Data'!$C:$O,7,0)),"")</f>
        <v/>
      </c>
      <c r="P4740" s="55" t="str">
        <f>IFERROR(IF(OR($B4740="",$B4740="(blank)"),"",VLOOKUP($B4740,'Email Marketing Raw Data'!$C:$O,8,0)),"")</f>
        <v/>
      </c>
      <c r="Q4740" s="62" t="str">
        <f>IFERROR(IF(OR($B4740="",$B4740="(blank)"),"",VLOOKUP($B4740,'Email Marketing Raw Data'!$C:$O,9,0)),"")</f>
        <v/>
      </c>
    </row>
    <row r="4741" spans="4:17" ht="12.75" customHeight="1" x14ac:dyDescent="0.2">
      <c r="D4741" s="58" t="str">
        <f>IFERROR(IF(F4741&lt;&gt;"pending","",IF(OR($B4741="",$B4741="(blank)"),"",VLOOKUP($B4741,'Email Marketing Raw Data'!$C:$O,10,0))),"")</f>
        <v/>
      </c>
      <c r="E4741" s="59" t="str">
        <f>IFERROR(IF(F4741&lt;&gt;"pending","",IF(OR($B4741="",$B4741="(blank)"),"",VLOOKUP($B4741,'Email Marketing Raw Data'!$C:$O,11,0))),"")</f>
        <v/>
      </c>
      <c r="F4741" s="54" t="str">
        <f>IFERROR(IF(OR($B4741="",$B4741="(blank)"),"",VLOOKUP($B4741,'Email Marketing Raw Data'!$C:$O,13,0)),"")</f>
        <v/>
      </c>
      <c r="G4741" s="55" t="str">
        <f>IFERROR(IF(OR($B4741="",$B4741="(blank)"),"",VLOOKUP($B4741,'Email Marketing Raw Data'!$C:$O,4,0)),"")</f>
        <v/>
      </c>
      <c r="H4741" s="55" t="str">
        <f>IFERROR(IF(OR($B4741="",$B4741="(blank)"),"",VLOOKUP($B4741,'Email Marketing Raw Data'!$C:$O,5,0)),"")</f>
        <v/>
      </c>
      <c r="I4741" s="55" t="str">
        <f>IFERROR(IF($G4741="","",VLOOKUP('Dashboard And Emails Automate'!$G4741,Database!$H:$N,3,0)),"")</f>
        <v/>
      </c>
      <c r="J4741" s="55" t="str">
        <f>IFERROR(IF($G4741="","",VLOOKUP('Dashboard And Emails Automate'!$G4741,Database!$H:$N,4,0)),"")</f>
        <v/>
      </c>
      <c r="K4741" s="55" t="str">
        <f>IFERROR(IF($G4741="","",VLOOKUP('Dashboard And Emails Automate'!$G4741,Database!$H:$N,5,0)),"")</f>
        <v/>
      </c>
      <c r="L4741" s="55" t="str">
        <f>IFERROR(IF($G4741="","",VLOOKUP('Dashboard And Emails Automate'!$G4741,Database!$H:$N,6,0)),"")</f>
        <v/>
      </c>
      <c r="M4741" s="55" t="str">
        <f>IFERROR(IF($G4741="","",VLOOKUP('Dashboard And Emails Automate'!$G4741,Database!$H:$N,7,0)),"")</f>
        <v/>
      </c>
      <c r="N4741" s="55" t="str">
        <f>IFERROR(IF(OR($B4741="",$B4741="(blank)"),"",VLOOKUP($B4741,'Email Marketing Raw Data'!$C:$O,6,0)),"")</f>
        <v/>
      </c>
      <c r="O4741" s="55" t="str">
        <f>IFERROR(IF(OR($B4741="",$B4741="(blank)"),"",VLOOKUP($B4741,'Email Marketing Raw Data'!$C:$O,7,0)),"")</f>
        <v/>
      </c>
      <c r="P4741" s="55" t="str">
        <f>IFERROR(IF(OR($B4741="",$B4741="(blank)"),"",VLOOKUP($B4741,'Email Marketing Raw Data'!$C:$O,8,0)),"")</f>
        <v/>
      </c>
      <c r="Q4741" s="62" t="str">
        <f>IFERROR(IF(OR($B4741="",$B4741="(blank)"),"",VLOOKUP($B4741,'Email Marketing Raw Data'!$C:$O,9,0)),"")</f>
        <v/>
      </c>
    </row>
    <row r="4742" spans="4:17" ht="12.75" customHeight="1" x14ac:dyDescent="0.2">
      <c r="D4742" s="58" t="str">
        <f>IFERROR(IF(F4742&lt;&gt;"pending","",IF(OR($B4742="",$B4742="(blank)"),"",VLOOKUP($B4742,'Email Marketing Raw Data'!$C:$O,10,0))),"")</f>
        <v/>
      </c>
      <c r="E4742" s="59" t="str">
        <f>IFERROR(IF(F4742&lt;&gt;"pending","",IF(OR($B4742="",$B4742="(blank)"),"",VLOOKUP($B4742,'Email Marketing Raw Data'!$C:$O,11,0))),"")</f>
        <v/>
      </c>
      <c r="F4742" s="54" t="str">
        <f>IFERROR(IF(OR($B4742="",$B4742="(blank)"),"",VLOOKUP($B4742,'Email Marketing Raw Data'!$C:$O,13,0)),"")</f>
        <v/>
      </c>
      <c r="G4742" s="55" t="str">
        <f>IFERROR(IF(OR($B4742="",$B4742="(blank)"),"",VLOOKUP($B4742,'Email Marketing Raw Data'!$C:$O,4,0)),"")</f>
        <v/>
      </c>
      <c r="H4742" s="55" t="str">
        <f>IFERROR(IF(OR($B4742="",$B4742="(blank)"),"",VLOOKUP($B4742,'Email Marketing Raw Data'!$C:$O,5,0)),"")</f>
        <v/>
      </c>
      <c r="I4742" s="55" t="str">
        <f>IFERROR(IF($G4742="","",VLOOKUP('Dashboard And Emails Automate'!$G4742,Database!$H:$N,3,0)),"")</f>
        <v/>
      </c>
      <c r="J4742" s="55" t="str">
        <f>IFERROR(IF($G4742="","",VLOOKUP('Dashboard And Emails Automate'!$G4742,Database!$H:$N,4,0)),"")</f>
        <v/>
      </c>
      <c r="K4742" s="55" t="str">
        <f>IFERROR(IF($G4742="","",VLOOKUP('Dashboard And Emails Automate'!$G4742,Database!$H:$N,5,0)),"")</f>
        <v/>
      </c>
      <c r="L4742" s="55" t="str">
        <f>IFERROR(IF($G4742="","",VLOOKUP('Dashboard And Emails Automate'!$G4742,Database!$H:$N,6,0)),"")</f>
        <v/>
      </c>
      <c r="M4742" s="55" t="str">
        <f>IFERROR(IF($G4742="","",VLOOKUP('Dashboard And Emails Automate'!$G4742,Database!$H:$N,7,0)),"")</f>
        <v/>
      </c>
      <c r="N4742" s="55" t="str">
        <f>IFERROR(IF(OR($B4742="",$B4742="(blank)"),"",VLOOKUP($B4742,'Email Marketing Raw Data'!$C:$O,6,0)),"")</f>
        <v/>
      </c>
      <c r="O4742" s="55" t="str">
        <f>IFERROR(IF(OR($B4742="",$B4742="(blank)"),"",VLOOKUP($B4742,'Email Marketing Raw Data'!$C:$O,7,0)),"")</f>
        <v/>
      </c>
      <c r="P4742" s="55" t="str">
        <f>IFERROR(IF(OR($B4742="",$B4742="(blank)"),"",VLOOKUP($B4742,'Email Marketing Raw Data'!$C:$O,8,0)),"")</f>
        <v/>
      </c>
      <c r="Q4742" s="62" t="str">
        <f>IFERROR(IF(OR($B4742="",$B4742="(blank)"),"",VLOOKUP($B4742,'Email Marketing Raw Data'!$C:$O,9,0)),"")</f>
        <v/>
      </c>
    </row>
    <row r="4743" spans="4:17" ht="12.75" customHeight="1" x14ac:dyDescent="0.2">
      <c r="D4743" s="58" t="str">
        <f>IFERROR(IF(F4743&lt;&gt;"pending","",IF(OR($B4743="",$B4743="(blank)"),"",VLOOKUP($B4743,'Email Marketing Raw Data'!$C:$O,10,0))),"")</f>
        <v/>
      </c>
      <c r="E4743" s="59" t="str">
        <f>IFERROR(IF(F4743&lt;&gt;"pending","",IF(OR($B4743="",$B4743="(blank)"),"",VLOOKUP($B4743,'Email Marketing Raw Data'!$C:$O,11,0))),"")</f>
        <v/>
      </c>
      <c r="F4743" s="54" t="str">
        <f>IFERROR(IF(OR($B4743="",$B4743="(blank)"),"",VLOOKUP($B4743,'Email Marketing Raw Data'!$C:$O,13,0)),"")</f>
        <v/>
      </c>
      <c r="G4743" s="55" t="str">
        <f>IFERROR(IF(OR($B4743="",$B4743="(blank)"),"",VLOOKUP($B4743,'Email Marketing Raw Data'!$C:$O,4,0)),"")</f>
        <v/>
      </c>
      <c r="H4743" s="55" t="str">
        <f>IFERROR(IF(OR($B4743="",$B4743="(blank)"),"",VLOOKUP($B4743,'Email Marketing Raw Data'!$C:$O,5,0)),"")</f>
        <v/>
      </c>
      <c r="I4743" s="55" t="str">
        <f>IFERROR(IF($G4743="","",VLOOKUP('Dashboard And Emails Automate'!$G4743,Database!$H:$N,3,0)),"")</f>
        <v/>
      </c>
      <c r="J4743" s="55" t="str">
        <f>IFERROR(IF($G4743="","",VLOOKUP('Dashboard And Emails Automate'!$G4743,Database!$H:$N,4,0)),"")</f>
        <v/>
      </c>
      <c r="K4743" s="55" t="str">
        <f>IFERROR(IF($G4743="","",VLOOKUP('Dashboard And Emails Automate'!$G4743,Database!$H:$N,5,0)),"")</f>
        <v/>
      </c>
      <c r="L4743" s="55" t="str">
        <f>IFERROR(IF($G4743="","",VLOOKUP('Dashboard And Emails Automate'!$G4743,Database!$H:$N,6,0)),"")</f>
        <v/>
      </c>
      <c r="M4743" s="55" t="str">
        <f>IFERROR(IF($G4743="","",VLOOKUP('Dashboard And Emails Automate'!$G4743,Database!$H:$N,7,0)),"")</f>
        <v/>
      </c>
      <c r="N4743" s="55" t="str">
        <f>IFERROR(IF(OR($B4743="",$B4743="(blank)"),"",VLOOKUP($B4743,'Email Marketing Raw Data'!$C:$O,6,0)),"")</f>
        <v/>
      </c>
      <c r="O4743" s="55" t="str">
        <f>IFERROR(IF(OR($B4743="",$B4743="(blank)"),"",VLOOKUP($B4743,'Email Marketing Raw Data'!$C:$O,7,0)),"")</f>
        <v/>
      </c>
      <c r="P4743" s="55" t="str">
        <f>IFERROR(IF(OR($B4743="",$B4743="(blank)"),"",VLOOKUP($B4743,'Email Marketing Raw Data'!$C:$O,8,0)),"")</f>
        <v/>
      </c>
      <c r="Q4743" s="62" t="str">
        <f>IFERROR(IF(OR($B4743="",$B4743="(blank)"),"",VLOOKUP($B4743,'Email Marketing Raw Data'!$C:$O,9,0)),"")</f>
        <v/>
      </c>
    </row>
    <row r="4744" spans="4:17" ht="12.75" customHeight="1" x14ac:dyDescent="0.2">
      <c r="D4744" s="58" t="str">
        <f>IFERROR(IF(F4744&lt;&gt;"pending","",IF(OR($B4744="",$B4744="(blank)"),"",VLOOKUP($B4744,'Email Marketing Raw Data'!$C:$O,10,0))),"")</f>
        <v/>
      </c>
      <c r="E4744" s="59" t="str">
        <f>IFERROR(IF(F4744&lt;&gt;"pending","",IF(OR($B4744="",$B4744="(blank)"),"",VLOOKUP($B4744,'Email Marketing Raw Data'!$C:$O,11,0))),"")</f>
        <v/>
      </c>
      <c r="F4744" s="54" t="str">
        <f>IFERROR(IF(OR($B4744="",$B4744="(blank)"),"",VLOOKUP($B4744,'Email Marketing Raw Data'!$C:$O,13,0)),"")</f>
        <v/>
      </c>
      <c r="G4744" s="55" t="str">
        <f>IFERROR(IF(OR($B4744="",$B4744="(blank)"),"",VLOOKUP($B4744,'Email Marketing Raw Data'!$C:$O,4,0)),"")</f>
        <v/>
      </c>
      <c r="H4744" s="55" t="str">
        <f>IFERROR(IF(OR($B4744="",$B4744="(blank)"),"",VLOOKUP($B4744,'Email Marketing Raw Data'!$C:$O,5,0)),"")</f>
        <v/>
      </c>
      <c r="I4744" s="55" t="str">
        <f>IFERROR(IF($G4744="","",VLOOKUP('Dashboard And Emails Automate'!$G4744,Database!$H:$N,3,0)),"")</f>
        <v/>
      </c>
      <c r="J4744" s="55" t="str">
        <f>IFERROR(IF($G4744="","",VLOOKUP('Dashboard And Emails Automate'!$G4744,Database!$H:$N,4,0)),"")</f>
        <v/>
      </c>
      <c r="K4744" s="55" t="str">
        <f>IFERROR(IF($G4744="","",VLOOKUP('Dashboard And Emails Automate'!$G4744,Database!$H:$N,5,0)),"")</f>
        <v/>
      </c>
      <c r="L4744" s="55" t="str">
        <f>IFERROR(IF($G4744="","",VLOOKUP('Dashboard And Emails Automate'!$G4744,Database!$H:$N,6,0)),"")</f>
        <v/>
      </c>
      <c r="M4744" s="55" t="str">
        <f>IFERROR(IF($G4744="","",VLOOKUP('Dashboard And Emails Automate'!$G4744,Database!$H:$N,7,0)),"")</f>
        <v/>
      </c>
      <c r="N4744" s="55" t="str">
        <f>IFERROR(IF(OR($B4744="",$B4744="(blank)"),"",VLOOKUP($B4744,'Email Marketing Raw Data'!$C:$O,6,0)),"")</f>
        <v/>
      </c>
      <c r="O4744" s="55" t="str">
        <f>IFERROR(IF(OR($B4744="",$B4744="(blank)"),"",VLOOKUP($B4744,'Email Marketing Raw Data'!$C:$O,7,0)),"")</f>
        <v/>
      </c>
      <c r="P4744" s="55" t="str">
        <f>IFERROR(IF(OR($B4744="",$B4744="(blank)"),"",VLOOKUP($B4744,'Email Marketing Raw Data'!$C:$O,8,0)),"")</f>
        <v/>
      </c>
      <c r="Q4744" s="62" t="str">
        <f>IFERROR(IF(OR($B4744="",$B4744="(blank)"),"",VLOOKUP($B4744,'Email Marketing Raw Data'!$C:$O,9,0)),"")</f>
        <v/>
      </c>
    </row>
    <row r="4745" spans="4:17" ht="12.75" customHeight="1" x14ac:dyDescent="0.2">
      <c r="D4745" s="58" t="str">
        <f>IFERROR(IF(F4745&lt;&gt;"pending","",IF(OR($B4745="",$B4745="(blank)"),"",VLOOKUP($B4745,'Email Marketing Raw Data'!$C:$O,10,0))),"")</f>
        <v/>
      </c>
      <c r="E4745" s="59" t="str">
        <f>IFERROR(IF(F4745&lt;&gt;"pending","",IF(OR($B4745="",$B4745="(blank)"),"",VLOOKUP($B4745,'Email Marketing Raw Data'!$C:$O,11,0))),"")</f>
        <v/>
      </c>
      <c r="F4745" s="54" t="str">
        <f>IFERROR(IF(OR($B4745="",$B4745="(blank)"),"",VLOOKUP($B4745,'Email Marketing Raw Data'!$C:$O,13,0)),"")</f>
        <v/>
      </c>
      <c r="G4745" s="55" t="str">
        <f>IFERROR(IF(OR($B4745="",$B4745="(blank)"),"",VLOOKUP($B4745,'Email Marketing Raw Data'!$C:$O,4,0)),"")</f>
        <v/>
      </c>
      <c r="H4745" s="55" t="str">
        <f>IFERROR(IF(OR($B4745="",$B4745="(blank)"),"",VLOOKUP($B4745,'Email Marketing Raw Data'!$C:$O,5,0)),"")</f>
        <v/>
      </c>
      <c r="I4745" s="55" t="str">
        <f>IFERROR(IF($G4745="","",VLOOKUP('Dashboard And Emails Automate'!$G4745,Database!$H:$N,3,0)),"")</f>
        <v/>
      </c>
      <c r="J4745" s="55" t="str">
        <f>IFERROR(IF($G4745="","",VLOOKUP('Dashboard And Emails Automate'!$G4745,Database!$H:$N,4,0)),"")</f>
        <v/>
      </c>
      <c r="K4745" s="55" t="str">
        <f>IFERROR(IF($G4745="","",VLOOKUP('Dashboard And Emails Automate'!$G4745,Database!$H:$N,5,0)),"")</f>
        <v/>
      </c>
      <c r="L4745" s="55" t="str">
        <f>IFERROR(IF($G4745="","",VLOOKUP('Dashboard And Emails Automate'!$G4745,Database!$H:$N,6,0)),"")</f>
        <v/>
      </c>
      <c r="M4745" s="55" t="str">
        <f>IFERROR(IF($G4745="","",VLOOKUP('Dashboard And Emails Automate'!$G4745,Database!$H:$N,7,0)),"")</f>
        <v/>
      </c>
      <c r="N4745" s="55" t="str">
        <f>IFERROR(IF(OR($B4745="",$B4745="(blank)"),"",VLOOKUP($B4745,'Email Marketing Raw Data'!$C:$O,6,0)),"")</f>
        <v/>
      </c>
      <c r="O4745" s="55" t="str">
        <f>IFERROR(IF(OR($B4745="",$B4745="(blank)"),"",VLOOKUP($B4745,'Email Marketing Raw Data'!$C:$O,7,0)),"")</f>
        <v/>
      </c>
      <c r="P4745" s="55" t="str">
        <f>IFERROR(IF(OR($B4745="",$B4745="(blank)"),"",VLOOKUP($B4745,'Email Marketing Raw Data'!$C:$O,8,0)),"")</f>
        <v/>
      </c>
      <c r="Q4745" s="62" t="str">
        <f>IFERROR(IF(OR($B4745="",$B4745="(blank)"),"",VLOOKUP($B4745,'Email Marketing Raw Data'!$C:$O,9,0)),"")</f>
        <v/>
      </c>
    </row>
    <row r="4746" spans="4:17" ht="12.75" customHeight="1" x14ac:dyDescent="0.2">
      <c r="D4746" s="58" t="str">
        <f>IFERROR(IF(F4746&lt;&gt;"pending","",IF(OR($B4746="",$B4746="(blank)"),"",VLOOKUP($B4746,'Email Marketing Raw Data'!$C:$O,10,0))),"")</f>
        <v/>
      </c>
      <c r="E4746" s="59" t="str">
        <f>IFERROR(IF(F4746&lt;&gt;"pending","",IF(OR($B4746="",$B4746="(blank)"),"",VLOOKUP($B4746,'Email Marketing Raw Data'!$C:$O,11,0))),"")</f>
        <v/>
      </c>
      <c r="F4746" s="54" t="str">
        <f>IFERROR(IF(OR($B4746="",$B4746="(blank)"),"",VLOOKUP($B4746,'Email Marketing Raw Data'!$C:$O,13,0)),"")</f>
        <v/>
      </c>
      <c r="G4746" s="55" t="str">
        <f>IFERROR(IF(OR($B4746="",$B4746="(blank)"),"",VLOOKUP($B4746,'Email Marketing Raw Data'!$C:$O,4,0)),"")</f>
        <v/>
      </c>
      <c r="H4746" s="55" t="str">
        <f>IFERROR(IF(OR($B4746="",$B4746="(blank)"),"",VLOOKUP($B4746,'Email Marketing Raw Data'!$C:$O,5,0)),"")</f>
        <v/>
      </c>
      <c r="I4746" s="55" t="str">
        <f>IFERROR(IF($G4746="","",VLOOKUP('Dashboard And Emails Automate'!$G4746,Database!$H:$N,3,0)),"")</f>
        <v/>
      </c>
      <c r="J4746" s="55" t="str">
        <f>IFERROR(IF($G4746="","",VLOOKUP('Dashboard And Emails Automate'!$G4746,Database!$H:$N,4,0)),"")</f>
        <v/>
      </c>
      <c r="K4746" s="55" t="str">
        <f>IFERROR(IF($G4746="","",VLOOKUP('Dashboard And Emails Automate'!$G4746,Database!$H:$N,5,0)),"")</f>
        <v/>
      </c>
      <c r="L4746" s="55" t="str">
        <f>IFERROR(IF($G4746="","",VLOOKUP('Dashboard And Emails Automate'!$G4746,Database!$H:$N,6,0)),"")</f>
        <v/>
      </c>
      <c r="M4746" s="55" t="str">
        <f>IFERROR(IF($G4746="","",VLOOKUP('Dashboard And Emails Automate'!$G4746,Database!$H:$N,7,0)),"")</f>
        <v/>
      </c>
      <c r="N4746" s="55" t="str">
        <f>IFERROR(IF(OR($B4746="",$B4746="(blank)"),"",VLOOKUP($B4746,'Email Marketing Raw Data'!$C:$O,6,0)),"")</f>
        <v/>
      </c>
      <c r="O4746" s="55" t="str">
        <f>IFERROR(IF(OR($B4746="",$B4746="(blank)"),"",VLOOKUP($B4746,'Email Marketing Raw Data'!$C:$O,7,0)),"")</f>
        <v/>
      </c>
      <c r="P4746" s="55" t="str">
        <f>IFERROR(IF(OR($B4746="",$B4746="(blank)"),"",VLOOKUP($B4746,'Email Marketing Raw Data'!$C:$O,8,0)),"")</f>
        <v/>
      </c>
      <c r="Q4746" s="62" t="str">
        <f>IFERROR(IF(OR($B4746="",$B4746="(blank)"),"",VLOOKUP($B4746,'Email Marketing Raw Data'!$C:$O,9,0)),"")</f>
        <v/>
      </c>
    </row>
    <row r="4747" spans="4:17" ht="12.75" customHeight="1" x14ac:dyDescent="0.2">
      <c r="D4747" s="58" t="str">
        <f>IFERROR(IF(F4747&lt;&gt;"pending","",IF(OR($B4747="",$B4747="(blank)"),"",VLOOKUP($B4747,'Email Marketing Raw Data'!$C:$O,10,0))),"")</f>
        <v/>
      </c>
      <c r="E4747" s="59" t="str">
        <f>IFERROR(IF(F4747&lt;&gt;"pending","",IF(OR($B4747="",$B4747="(blank)"),"",VLOOKUP($B4747,'Email Marketing Raw Data'!$C:$O,11,0))),"")</f>
        <v/>
      </c>
      <c r="F4747" s="54" t="str">
        <f>IFERROR(IF(OR($B4747="",$B4747="(blank)"),"",VLOOKUP($B4747,'Email Marketing Raw Data'!$C:$O,13,0)),"")</f>
        <v/>
      </c>
      <c r="G4747" s="55" t="str">
        <f>IFERROR(IF(OR($B4747="",$B4747="(blank)"),"",VLOOKUP($B4747,'Email Marketing Raw Data'!$C:$O,4,0)),"")</f>
        <v/>
      </c>
      <c r="H4747" s="55" t="str">
        <f>IFERROR(IF(OR($B4747="",$B4747="(blank)"),"",VLOOKUP($B4747,'Email Marketing Raw Data'!$C:$O,5,0)),"")</f>
        <v/>
      </c>
      <c r="I4747" s="55" t="str">
        <f>IFERROR(IF($G4747="","",VLOOKUP('Dashboard And Emails Automate'!$G4747,Database!$H:$N,3,0)),"")</f>
        <v/>
      </c>
      <c r="J4747" s="55" t="str">
        <f>IFERROR(IF($G4747="","",VLOOKUP('Dashboard And Emails Automate'!$G4747,Database!$H:$N,4,0)),"")</f>
        <v/>
      </c>
      <c r="K4747" s="55" t="str">
        <f>IFERROR(IF($G4747="","",VLOOKUP('Dashboard And Emails Automate'!$G4747,Database!$H:$N,5,0)),"")</f>
        <v/>
      </c>
      <c r="L4747" s="55" t="str">
        <f>IFERROR(IF($G4747="","",VLOOKUP('Dashboard And Emails Automate'!$G4747,Database!$H:$N,6,0)),"")</f>
        <v/>
      </c>
      <c r="M4747" s="55" t="str">
        <f>IFERROR(IF($G4747="","",VLOOKUP('Dashboard And Emails Automate'!$G4747,Database!$H:$N,7,0)),"")</f>
        <v/>
      </c>
      <c r="N4747" s="55" t="str">
        <f>IFERROR(IF(OR($B4747="",$B4747="(blank)"),"",VLOOKUP($B4747,'Email Marketing Raw Data'!$C:$O,6,0)),"")</f>
        <v/>
      </c>
      <c r="O4747" s="55" t="str">
        <f>IFERROR(IF(OR($B4747="",$B4747="(blank)"),"",VLOOKUP($B4747,'Email Marketing Raw Data'!$C:$O,7,0)),"")</f>
        <v/>
      </c>
      <c r="P4747" s="55" t="str">
        <f>IFERROR(IF(OR($B4747="",$B4747="(blank)"),"",VLOOKUP($B4747,'Email Marketing Raw Data'!$C:$O,8,0)),"")</f>
        <v/>
      </c>
      <c r="Q4747" s="62" t="str">
        <f>IFERROR(IF(OR($B4747="",$B4747="(blank)"),"",VLOOKUP($B4747,'Email Marketing Raw Data'!$C:$O,9,0)),"")</f>
        <v/>
      </c>
    </row>
    <row r="4748" spans="4:17" ht="12.75" customHeight="1" x14ac:dyDescent="0.2">
      <c r="D4748" s="58" t="str">
        <f>IFERROR(IF(F4748&lt;&gt;"pending","",IF(OR($B4748="",$B4748="(blank)"),"",VLOOKUP($B4748,'Email Marketing Raw Data'!$C:$O,10,0))),"")</f>
        <v/>
      </c>
      <c r="E4748" s="59" t="str">
        <f>IFERROR(IF(F4748&lt;&gt;"pending","",IF(OR($B4748="",$B4748="(blank)"),"",VLOOKUP($B4748,'Email Marketing Raw Data'!$C:$O,11,0))),"")</f>
        <v/>
      </c>
      <c r="F4748" s="54" t="str">
        <f>IFERROR(IF(OR($B4748="",$B4748="(blank)"),"",VLOOKUP($B4748,'Email Marketing Raw Data'!$C:$O,13,0)),"")</f>
        <v/>
      </c>
      <c r="G4748" s="55" t="str">
        <f>IFERROR(IF(OR($B4748="",$B4748="(blank)"),"",VLOOKUP($B4748,'Email Marketing Raw Data'!$C:$O,4,0)),"")</f>
        <v/>
      </c>
      <c r="H4748" s="55" t="str">
        <f>IFERROR(IF(OR($B4748="",$B4748="(blank)"),"",VLOOKUP($B4748,'Email Marketing Raw Data'!$C:$O,5,0)),"")</f>
        <v/>
      </c>
      <c r="I4748" s="55" t="str">
        <f>IFERROR(IF($G4748="","",VLOOKUP('Dashboard And Emails Automate'!$G4748,Database!$H:$N,3,0)),"")</f>
        <v/>
      </c>
      <c r="J4748" s="55" t="str">
        <f>IFERROR(IF($G4748="","",VLOOKUP('Dashboard And Emails Automate'!$G4748,Database!$H:$N,4,0)),"")</f>
        <v/>
      </c>
      <c r="K4748" s="55" t="str">
        <f>IFERROR(IF($G4748="","",VLOOKUP('Dashboard And Emails Automate'!$G4748,Database!$H:$N,5,0)),"")</f>
        <v/>
      </c>
      <c r="L4748" s="55" t="str">
        <f>IFERROR(IF($G4748="","",VLOOKUP('Dashboard And Emails Automate'!$G4748,Database!$H:$N,6,0)),"")</f>
        <v/>
      </c>
      <c r="M4748" s="55" t="str">
        <f>IFERROR(IF($G4748="","",VLOOKUP('Dashboard And Emails Automate'!$G4748,Database!$H:$N,7,0)),"")</f>
        <v/>
      </c>
      <c r="N4748" s="55" t="str">
        <f>IFERROR(IF(OR($B4748="",$B4748="(blank)"),"",VLOOKUP($B4748,'Email Marketing Raw Data'!$C:$O,6,0)),"")</f>
        <v/>
      </c>
      <c r="O4748" s="55" t="str">
        <f>IFERROR(IF(OR($B4748="",$B4748="(blank)"),"",VLOOKUP($B4748,'Email Marketing Raw Data'!$C:$O,7,0)),"")</f>
        <v/>
      </c>
      <c r="P4748" s="55" t="str">
        <f>IFERROR(IF(OR($B4748="",$B4748="(blank)"),"",VLOOKUP($B4748,'Email Marketing Raw Data'!$C:$O,8,0)),"")</f>
        <v/>
      </c>
      <c r="Q4748" s="62" t="str">
        <f>IFERROR(IF(OR($B4748="",$B4748="(blank)"),"",VLOOKUP($B4748,'Email Marketing Raw Data'!$C:$O,9,0)),"")</f>
        <v/>
      </c>
    </row>
    <row r="4749" spans="4:17" ht="12.75" customHeight="1" x14ac:dyDescent="0.2">
      <c r="D4749" s="58" t="str">
        <f>IFERROR(IF(F4749&lt;&gt;"pending","",IF(OR($B4749="",$B4749="(blank)"),"",VLOOKUP($B4749,'Email Marketing Raw Data'!$C:$O,10,0))),"")</f>
        <v/>
      </c>
      <c r="E4749" s="59" t="str">
        <f>IFERROR(IF(F4749&lt;&gt;"pending","",IF(OR($B4749="",$B4749="(blank)"),"",VLOOKUP($B4749,'Email Marketing Raw Data'!$C:$O,11,0))),"")</f>
        <v/>
      </c>
      <c r="F4749" s="54" t="str">
        <f>IFERROR(IF(OR($B4749="",$B4749="(blank)"),"",VLOOKUP($B4749,'Email Marketing Raw Data'!$C:$O,13,0)),"")</f>
        <v/>
      </c>
      <c r="G4749" s="55" t="str">
        <f>IFERROR(IF(OR($B4749="",$B4749="(blank)"),"",VLOOKUP($B4749,'Email Marketing Raw Data'!$C:$O,4,0)),"")</f>
        <v/>
      </c>
      <c r="H4749" s="55" t="str">
        <f>IFERROR(IF(OR($B4749="",$B4749="(blank)"),"",VLOOKUP($B4749,'Email Marketing Raw Data'!$C:$O,5,0)),"")</f>
        <v/>
      </c>
      <c r="I4749" s="55" t="str">
        <f>IFERROR(IF($G4749="","",VLOOKUP('Dashboard And Emails Automate'!$G4749,Database!$H:$N,3,0)),"")</f>
        <v/>
      </c>
      <c r="J4749" s="55" t="str">
        <f>IFERROR(IF($G4749="","",VLOOKUP('Dashboard And Emails Automate'!$G4749,Database!$H:$N,4,0)),"")</f>
        <v/>
      </c>
      <c r="K4749" s="55" t="str">
        <f>IFERROR(IF($G4749="","",VLOOKUP('Dashboard And Emails Automate'!$G4749,Database!$H:$N,5,0)),"")</f>
        <v/>
      </c>
      <c r="L4749" s="55" t="str">
        <f>IFERROR(IF($G4749="","",VLOOKUP('Dashboard And Emails Automate'!$G4749,Database!$H:$N,6,0)),"")</f>
        <v/>
      </c>
      <c r="M4749" s="55" t="str">
        <f>IFERROR(IF($G4749="","",VLOOKUP('Dashboard And Emails Automate'!$G4749,Database!$H:$N,7,0)),"")</f>
        <v/>
      </c>
      <c r="N4749" s="55" t="str">
        <f>IFERROR(IF(OR($B4749="",$B4749="(blank)"),"",VLOOKUP($B4749,'Email Marketing Raw Data'!$C:$O,6,0)),"")</f>
        <v/>
      </c>
      <c r="O4749" s="55" t="str">
        <f>IFERROR(IF(OR($B4749="",$B4749="(blank)"),"",VLOOKUP($B4749,'Email Marketing Raw Data'!$C:$O,7,0)),"")</f>
        <v/>
      </c>
      <c r="P4749" s="55" t="str">
        <f>IFERROR(IF(OR($B4749="",$B4749="(blank)"),"",VLOOKUP($B4749,'Email Marketing Raw Data'!$C:$O,8,0)),"")</f>
        <v/>
      </c>
      <c r="Q4749" s="62" t="str">
        <f>IFERROR(IF(OR($B4749="",$B4749="(blank)"),"",VLOOKUP($B4749,'Email Marketing Raw Data'!$C:$O,9,0)),"")</f>
        <v/>
      </c>
    </row>
    <row r="4750" spans="4:17" ht="12.75" customHeight="1" x14ac:dyDescent="0.2">
      <c r="D4750" s="58" t="str">
        <f>IFERROR(IF(F4750&lt;&gt;"pending","",IF(OR($B4750="",$B4750="(blank)"),"",VLOOKUP($B4750,'Email Marketing Raw Data'!$C:$O,10,0))),"")</f>
        <v/>
      </c>
      <c r="E4750" s="59" t="str">
        <f>IFERROR(IF(F4750&lt;&gt;"pending","",IF(OR($B4750="",$B4750="(blank)"),"",VLOOKUP($B4750,'Email Marketing Raw Data'!$C:$O,11,0))),"")</f>
        <v/>
      </c>
      <c r="F4750" s="54" t="str">
        <f>IFERROR(IF(OR($B4750="",$B4750="(blank)"),"",VLOOKUP($B4750,'Email Marketing Raw Data'!$C:$O,13,0)),"")</f>
        <v/>
      </c>
      <c r="G4750" s="55" t="str">
        <f>IFERROR(IF(OR($B4750="",$B4750="(blank)"),"",VLOOKUP($B4750,'Email Marketing Raw Data'!$C:$O,4,0)),"")</f>
        <v/>
      </c>
      <c r="H4750" s="55" t="str">
        <f>IFERROR(IF(OR($B4750="",$B4750="(blank)"),"",VLOOKUP($B4750,'Email Marketing Raw Data'!$C:$O,5,0)),"")</f>
        <v/>
      </c>
      <c r="I4750" s="55" t="str">
        <f>IFERROR(IF($G4750="","",VLOOKUP('Dashboard And Emails Automate'!$G4750,Database!$H:$N,3,0)),"")</f>
        <v/>
      </c>
      <c r="J4750" s="55" t="str">
        <f>IFERROR(IF($G4750="","",VLOOKUP('Dashboard And Emails Automate'!$G4750,Database!$H:$N,4,0)),"")</f>
        <v/>
      </c>
      <c r="K4750" s="55" t="str">
        <f>IFERROR(IF($G4750="","",VLOOKUP('Dashboard And Emails Automate'!$G4750,Database!$H:$N,5,0)),"")</f>
        <v/>
      </c>
      <c r="L4750" s="55" t="str">
        <f>IFERROR(IF($G4750="","",VLOOKUP('Dashboard And Emails Automate'!$G4750,Database!$H:$N,6,0)),"")</f>
        <v/>
      </c>
      <c r="M4750" s="55" t="str">
        <f>IFERROR(IF($G4750="","",VLOOKUP('Dashboard And Emails Automate'!$G4750,Database!$H:$N,7,0)),"")</f>
        <v/>
      </c>
      <c r="N4750" s="55" t="str">
        <f>IFERROR(IF(OR($B4750="",$B4750="(blank)"),"",VLOOKUP($B4750,'Email Marketing Raw Data'!$C:$O,6,0)),"")</f>
        <v/>
      </c>
      <c r="O4750" s="55" t="str">
        <f>IFERROR(IF(OR($B4750="",$B4750="(blank)"),"",VLOOKUP($B4750,'Email Marketing Raw Data'!$C:$O,7,0)),"")</f>
        <v/>
      </c>
      <c r="P4750" s="55" t="str">
        <f>IFERROR(IF(OR($B4750="",$B4750="(blank)"),"",VLOOKUP($B4750,'Email Marketing Raw Data'!$C:$O,8,0)),"")</f>
        <v/>
      </c>
      <c r="Q4750" s="62" t="str">
        <f>IFERROR(IF(OR($B4750="",$B4750="(blank)"),"",VLOOKUP($B4750,'Email Marketing Raw Data'!$C:$O,9,0)),"")</f>
        <v/>
      </c>
    </row>
    <row r="4751" spans="4:17" ht="12.75" customHeight="1" x14ac:dyDescent="0.2">
      <c r="D4751" s="58" t="str">
        <f>IFERROR(IF(F4751&lt;&gt;"pending","",IF(OR($B4751="",$B4751="(blank)"),"",VLOOKUP($B4751,'Email Marketing Raw Data'!$C:$O,10,0))),"")</f>
        <v/>
      </c>
      <c r="E4751" s="59" t="str">
        <f>IFERROR(IF(F4751&lt;&gt;"pending","",IF(OR($B4751="",$B4751="(blank)"),"",VLOOKUP($B4751,'Email Marketing Raw Data'!$C:$O,11,0))),"")</f>
        <v/>
      </c>
      <c r="F4751" s="54" t="str">
        <f>IFERROR(IF(OR($B4751="",$B4751="(blank)"),"",VLOOKUP($B4751,'Email Marketing Raw Data'!$C:$O,13,0)),"")</f>
        <v/>
      </c>
      <c r="G4751" s="55" t="str">
        <f>IFERROR(IF(OR($B4751="",$B4751="(blank)"),"",VLOOKUP($B4751,'Email Marketing Raw Data'!$C:$O,4,0)),"")</f>
        <v/>
      </c>
      <c r="H4751" s="55" t="str">
        <f>IFERROR(IF(OR($B4751="",$B4751="(blank)"),"",VLOOKUP($B4751,'Email Marketing Raw Data'!$C:$O,5,0)),"")</f>
        <v/>
      </c>
      <c r="I4751" s="55" t="str">
        <f>IFERROR(IF($G4751="","",VLOOKUP('Dashboard And Emails Automate'!$G4751,Database!$H:$N,3,0)),"")</f>
        <v/>
      </c>
      <c r="J4751" s="55" t="str">
        <f>IFERROR(IF($G4751="","",VLOOKUP('Dashboard And Emails Automate'!$G4751,Database!$H:$N,4,0)),"")</f>
        <v/>
      </c>
      <c r="K4751" s="55" t="str">
        <f>IFERROR(IF($G4751="","",VLOOKUP('Dashboard And Emails Automate'!$G4751,Database!$H:$N,5,0)),"")</f>
        <v/>
      </c>
      <c r="L4751" s="55" t="str">
        <f>IFERROR(IF($G4751="","",VLOOKUP('Dashboard And Emails Automate'!$G4751,Database!$H:$N,6,0)),"")</f>
        <v/>
      </c>
      <c r="M4751" s="55" t="str">
        <f>IFERROR(IF($G4751="","",VLOOKUP('Dashboard And Emails Automate'!$G4751,Database!$H:$N,7,0)),"")</f>
        <v/>
      </c>
      <c r="N4751" s="55" t="str">
        <f>IFERROR(IF(OR($B4751="",$B4751="(blank)"),"",VLOOKUP($B4751,'Email Marketing Raw Data'!$C:$O,6,0)),"")</f>
        <v/>
      </c>
      <c r="O4751" s="55" t="str">
        <f>IFERROR(IF(OR($B4751="",$B4751="(blank)"),"",VLOOKUP($B4751,'Email Marketing Raw Data'!$C:$O,7,0)),"")</f>
        <v/>
      </c>
      <c r="P4751" s="55" t="str">
        <f>IFERROR(IF(OR($B4751="",$B4751="(blank)"),"",VLOOKUP($B4751,'Email Marketing Raw Data'!$C:$O,8,0)),"")</f>
        <v/>
      </c>
      <c r="Q4751" s="62" t="str">
        <f>IFERROR(IF(OR($B4751="",$B4751="(blank)"),"",VLOOKUP($B4751,'Email Marketing Raw Data'!$C:$O,9,0)),"")</f>
        <v/>
      </c>
    </row>
    <row r="4752" spans="4:17" ht="12.75" customHeight="1" x14ac:dyDescent="0.2">
      <c r="D4752" s="58" t="str">
        <f>IFERROR(IF(F4752&lt;&gt;"pending","",IF(OR($B4752="",$B4752="(blank)"),"",VLOOKUP($B4752,'Email Marketing Raw Data'!$C:$O,10,0))),"")</f>
        <v/>
      </c>
      <c r="E4752" s="59" t="str">
        <f>IFERROR(IF(F4752&lt;&gt;"pending","",IF(OR($B4752="",$B4752="(blank)"),"",VLOOKUP($B4752,'Email Marketing Raw Data'!$C:$O,11,0))),"")</f>
        <v/>
      </c>
      <c r="F4752" s="54" t="str">
        <f>IFERROR(IF(OR($B4752="",$B4752="(blank)"),"",VLOOKUP($B4752,'Email Marketing Raw Data'!$C:$O,13,0)),"")</f>
        <v/>
      </c>
      <c r="G4752" s="55" t="str">
        <f>IFERROR(IF(OR($B4752="",$B4752="(blank)"),"",VLOOKUP($B4752,'Email Marketing Raw Data'!$C:$O,4,0)),"")</f>
        <v/>
      </c>
      <c r="H4752" s="55" t="str">
        <f>IFERROR(IF(OR($B4752="",$B4752="(blank)"),"",VLOOKUP($B4752,'Email Marketing Raw Data'!$C:$O,5,0)),"")</f>
        <v/>
      </c>
      <c r="I4752" s="55" t="str">
        <f>IFERROR(IF($G4752="","",VLOOKUP('Dashboard And Emails Automate'!$G4752,Database!$H:$N,3,0)),"")</f>
        <v/>
      </c>
      <c r="J4752" s="55" t="str">
        <f>IFERROR(IF($G4752="","",VLOOKUP('Dashboard And Emails Automate'!$G4752,Database!$H:$N,4,0)),"")</f>
        <v/>
      </c>
      <c r="K4752" s="55" t="str">
        <f>IFERROR(IF($G4752="","",VLOOKUP('Dashboard And Emails Automate'!$G4752,Database!$H:$N,5,0)),"")</f>
        <v/>
      </c>
      <c r="L4752" s="55" t="str">
        <f>IFERROR(IF($G4752="","",VLOOKUP('Dashboard And Emails Automate'!$G4752,Database!$H:$N,6,0)),"")</f>
        <v/>
      </c>
      <c r="M4752" s="55" t="str">
        <f>IFERROR(IF($G4752="","",VLOOKUP('Dashboard And Emails Automate'!$G4752,Database!$H:$N,7,0)),"")</f>
        <v/>
      </c>
      <c r="N4752" s="55" t="str">
        <f>IFERROR(IF(OR($B4752="",$B4752="(blank)"),"",VLOOKUP($B4752,'Email Marketing Raw Data'!$C:$O,6,0)),"")</f>
        <v/>
      </c>
      <c r="O4752" s="55" t="str">
        <f>IFERROR(IF(OR($B4752="",$B4752="(blank)"),"",VLOOKUP($B4752,'Email Marketing Raw Data'!$C:$O,7,0)),"")</f>
        <v/>
      </c>
      <c r="P4752" s="55" t="str">
        <f>IFERROR(IF(OR($B4752="",$B4752="(blank)"),"",VLOOKUP($B4752,'Email Marketing Raw Data'!$C:$O,8,0)),"")</f>
        <v/>
      </c>
      <c r="Q4752" s="62" t="str">
        <f>IFERROR(IF(OR($B4752="",$B4752="(blank)"),"",VLOOKUP($B4752,'Email Marketing Raw Data'!$C:$O,9,0)),"")</f>
        <v/>
      </c>
    </row>
    <row r="4753" spans="4:17" ht="12.75" customHeight="1" x14ac:dyDescent="0.2">
      <c r="D4753" s="58" t="str">
        <f>IFERROR(IF(F4753&lt;&gt;"pending","",IF(OR($B4753="",$B4753="(blank)"),"",VLOOKUP($B4753,'Email Marketing Raw Data'!$C:$O,10,0))),"")</f>
        <v/>
      </c>
      <c r="E4753" s="59" t="str">
        <f>IFERROR(IF(F4753&lt;&gt;"pending","",IF(OR($B4753="",$B4753="(blank)"),"",VLOOKUP($B4753,'Email Marketing Raw Data'!$C:$O,11,0))),"")</f>
        <v/>
      </c>
      <c r="F4753" s="54" t="str">
        <f>IFERROR(IF(OR($B4753="",$B4753="(blank)"),"",VLOOKUP($B4753,'Email Marketing Raw Data'!$C:$O,13,0)),"")</f>
        <v/>
      </c>
      <c r="G4753" s="55" t="str">
        <f>IFERROR(IF(OR($B4753="",$B4753="(blank)"),"",VLOOKUP($B4753,'Email Marketing Raw Data'!$C:$O,4,0)),"")</f>
        <v/>
      </c>
      <c r="H4753" s="55" t="str">
        <f>IFERROR(IF(OR($B4753="",$B4753="(blank)"),"",VLOOKUP($B4753,'Email Marketing Raw Data'!$C:$O,5,0)),"")</f>
        <v/>
      </c>
      <c r="I4753" s="55" t="str">
        <f>IFERROR(IF($G4753="","",VLOOKUP('Dashboard And Emails Automate'!$G4753,Database!$H:$N,3,0)),"")</f>
        <v/>
      </c>
      <c r="J4753" s="55" t="str">
        <f>IFERROR(IF($G4753="","",VLOOKUP('Dashboard And Emails Automate'!$G4753,Database!$H:$N,4,0)),"")</f>
        <v/>
      </c>
      <c r="K4753" s="55" t="str">
        <f>IFERROR(IF($G4753="","",VLOOKUP('Dashboard And Emails Automate'!$G4753,Database!$H:$N,5,0)),"")</f>
        <v/>
      </c>
      <c r="L4753" s="55" t="str">
        <f>IFERROR(IF($G4753="","",VLOOKUP('Dashboard And Emails Automate'!$G4753,Database!$H:$N,6,0)),"")</f>
        <v/>
      </c>
      <c r="M4753" s="55" t="str">
        <f>IFERROR(IF($G4753="","",VLOOKUP('Dashboard And Emails Automate'!$G4753,Database!$H:$N,7,0)),"")</f>
        <v/>
      </c>
      <c r="N4753" s="55" t="str">
        <f>IFERROR(IF(OR($B4753="",$B4753="(blank)"),"",VLOOKUP($B4753,'Email Marketing Raw Data'!$C:$O,6,0)),"")</f>
        <v/>
      </c>
      <c r="O4753" s="55" t="str">
        <f>IFERROR(IF(OR($B4753="",$B4753="(blank)"),"",VLOOKUP($B4753,'Email Marketing Raw Data'!$C:$O,7,0)),"")</f>
        <v/>
      </c>
      <c r="P4753" s="55" t="str">
        <f>IFERROR(IF(OR($B4753="",$B4753="(blank)"),"",VLOOKUP($B4753,'Email Marketing Raw Data'!$C:$O,8,0)),"")</f>
        <v/>
      </c>
      <c r="Q4753" s="62" t="str">
        <f>IFERROR(IF(OR($B4753="",$B4753="(blank)"),"",VLOOKUP($B4753,'Email Marketing Raw Data'!$C:$O,9,0)),"")</f>
        <v/>
      </c>
    </row>
    <row r="4754" spans="4:17" ht="12.75" customHeight="1" x14ac:dyDescent="0.2">
      <c r="D4754" s="58" t="str">
        <f>IFERROR(IF(F4754&lt;&gt;"pending","",IF(OR($B4754="",$B4754="(blank)"),"",VLOOKUP($B4754,'Email Marketing Raw Data'!$C:$O,10,0))),"")</f>
        <v/>
      </c>
      <c r="E4754" s="59" t="str">
        <f>IFERROR(IF(F4754&lt;&gt;"pending","",IF(OR($B4754="",$B4754="(blank)"),"",VLOOKUP($B4754,'Email Marketing Raw Data'!$C:$O,11,0))),"")</f>
        <v/>
      </c>
      <c r="F4754" s="54" t="str">
        <f>IFERROR(IF(OR($B4754="",$B4754="(blank)"),"",VLOOKUP($B4754,'Email Marketing Raw Data'!$C:$O,13,0)),"")</f>
        <v/>
      </c>
      <c r="G4754" s="55" t="str">
        <f>IFERROR(IF(OR($B4754="",$B4754="(blank)"),"",VLOOKUP($B4754,'Email Marketing Raw Data'!$C:$O,4,0)),"")</f>
        <v/>
      </c>
      <c r="H4754" s="55" t="str">
        <f>IFERROR(IF(OR($B4754="",$B4754="(blank)"),"",VLOOKUP($B4754,'Email Marketing Raw Data'!$C:$O,5,0)),"")</f>
        <v/>
      </c>
      <c r="I4754" s="55" t="str">
        <f>IFERROR(IF($G4754="","",VLOOKUP('Dashboard And Emails Automate'!$G4754,Database!$H:$N,3,0)),"")</f>
        <v/>
      </c>
      <c r="J4754" s="55" t="str">
        <f>IFERROR(IF($G4754="","",VLOOKUP('Dashboard And Emails Automate'!$G4754,Database!$H:$N,4,0)),"")</f>
        <v/>
      </c>
      <c r="K4754" s="55" t="str">
        <f>IFERROR(IF($G4754="","",VLOOKUP('Dashboard And Emails Automate'!$G4754,Database!$H:$N,5,0)),"")</f>
        <v/>
      </c>
      <c r="L4754" s="55" t="str">
        <f>IFERROR(IF($G4754="","",VLOOKUP('Dashboard And Emails Automate'!$G4754,Database!$H:$N,6,0)),"")</f>
        <v/>
      </c>
      <c r="M4754" s="55" t="str">
        <f>IFERROR(IF($G4754="","",VLOOKUP('Dashboard And Emails Automate'!$G4754,Database!$H:$N,7,0)),"")</f>
        <v/>
      </c>
      <c r="N4754" s="55" t="str">
        <f>IFERROR(IF(OR($B4754="",$B4754="(blank)"),"",VLOOKUP($B4754,'Email Marketing Raw Data'!$C:$O,6,0)),"")</f>
        <v/>
      </c>
      <c r="O4754" s="55" t="str">
        <f>IFERROR(IF(OR($B4754="",$B4754="(blank)"),"",VLOOKUP($B4754,'Email Marketing Raw Data'!$C:$O,7,0)),"")</f>
        <v/>
      </c>
      <c r="P4754" s="55" t="str">
        <f>IFERROR(IF(OR($B4754="",$B4754="(blank)"),"",VLOOKUP($B4754,'Email Marketing Raw Data'!$C:$O,8,0)),"")</f>
        <v/>
      </c>
      <c r="Q4754" s="62" t="str">
        <f>IFERROR(IF(OR($B4754="",$B4754="(blank)"),"",VLOOKUP($B4754,'Email Marketing Raw Data'!$C:$O,9,0)),"")</f>
        <v/>
      </c>
    </row>
    <row r="4755" spans="4:17" ht="12.75" customHeight="1" x14ac:dyDescent="0.2">
      <c r="D4755" s="58" t="str">
        <f>IFERROR(IF(F4755&lt;&gt;"pending","",IF(OR($B4755="",$B4755="(blank)"),"",VLOOKUP($B4755,'Email Marketing Raw Data'!$C:$O,10,0))),"")</f>
        <v/>
      </c>
      <c r="E4755" s="59" t="str">
        <f>IFERROR(IF(F4755&lt;&gt;"pending","",IF(OR($B4755="",$B4755="(blank)"),"",VLOOKUP($B4755,'Email Marketing Raw Data'!$C:$O,11,0))),"")</f>
        <v/>
      </c>
      <c r="F4755" s="54" t="str">
        <f>IFERROR(IF(OR($B4755="",$B4755="(blank)"),"",VLOOKUP($B4755,'Email Marketing Raw Data'!$C:$O,13,0)),"")</f>
        <v/>
      </c>
      <c r="G4755" s="55" t="str">
        <f>IFERROR(IF(OR($B4755="",$B4755="(blank)"),"",VLOOKUP($B4755,'Email Marketing Raw Data'!$C:$O,4,0)),"")</f>
        <v/>
      </c>
      <c r="H4755" s="55" t="str">
        <f>IFERROR(IF(OR($B4755="",$B4755="(blank)"),"",VLOOKUP($B4755,'Email Marketing Raw Data'!$C:$O,5,0)),"")</f>
        <v/>
      </c>
      <c r="I4755" s="55" t="str">
        <f>IFERROR(IF($G4755="","",VLOOKUP('Dashboard And Emails Automate'!$G4755,Database!$H:$N,3,0)),"")</f>
        <v/>
      </c>
      <c r="J4755" s="55" t="str">
        <f>IFERROR(IF($G4755="","",VLOOKUP('Dashboard And Emails Automate'!$G4755,Database!$H:$N,4,0)),"")</f>
        <v/>
      </c>
      <c r="K4755" s="55" t="str">
        <f>IFERROR(IF($G4755="","",VLOOKUP('Dashboard And Emails Automate'!$G4755,Database!$H:$N,5,0)),"")</f>
        <v/>
      </c>
      <c r="L4755" s="55" t="str">
        <f>IFERROR(IF($G4755="","",VLOOKUP('Dashboard And Emails Automate'!$G4755,Database!$H:$N,6,0)),"")</f>
        <v/>
      </c>
      <c r="M4755" s="55" t="str">
        <f>IFERROR(IF($G4755="","",VLOOKUP('Dashboard And Emails Automate'!$G4755,Database!$H:$N,7,0)),"")</f>
        <v/>
      </c>
      <c r="N4755" s="55" t="str">
        <f>IFERROR(IF(OR($B4755="",$B4755="(blank)"),"",VLOOKUP($B4755,'Email Marketing Raw Data'!$C:$O,6,0)),"")</f>
        <v/>
      </c>
      <c r="O4755" s="55" t="str">
        <f>IFERROR(IF(OR($B4755="",$B4755="(blank)"),"",VLOOKUP($B4755,'Email Marketing Raw Data'!$C:$O,7,0)),"")</f>
        <v/>
      </c>
      <c r="P4755" s="55" t="str">
        <f>IFERROR(IF(OR($B4755="",$B4755="(blank)"),"",VLOOKUP($B4755,'Email Marketing Raw Data'!$C:$O,8,0)),"")</f>
        <v/>
      </c>
      <c r="Q4755" s="62" t="str">
        <f>IFERROR(IF(OR($B4755="",$B4755="(blank)"),"",VLOOKUP($B4755,'Email Marketing Raw Data'!$C:$O,9,0)),"")</f>
        <v/>
      </c>
    </row>
    <row r="4756" spans="4:17" ht="12.75" customHeight="1" x14ac:dyDescent="0.2">
      <c r="D4756" s="58" t="str">
        <f>IFERROR(IF(F4756&lt;&gt;"pending","",IF(OR($B4756="",$B4756="(blank)"),"",VLOOKUP($B4756,'Email Marketing Raw Data'!$C:$O,10,0))),"")</f>
        <v/>
      </c>
      <c r="E4756" s="59" t="str">
        <f>IFERROR(IF(F4756&lt;&gt;"pending","",IF(OR($B4756="",$B4756="(blank)"),"",VLOOKUP($B4756,'Email Marketing Raw Data'!$C:$O,11,0))),"")</f>
        <v/>
      </c>
      <c r="F4756" s="54" t="str">
        <f>IFERROR(IF(OR($B4756="",$B4756="(blank)"),"",VLOOKUP($B4756,'Email Marketing Raw Data'!$C:$O,13,0)),"")</f>
        <v/>
      </c>
      <c r="G4756" s="55" t="str">
        <f>IFERROR(IF(OR($B4756="",$B4756="(blank)"),"",VLOOKUP($B4756,'Email Marketing Raw Data'!$C:$O,4,0)),"")</f>
        <v/>
      </c>
      <c r="H4756" s="55" t="str">
        <f>IFERROR(IF(OR($B4756="",$B4756="(blank)"),"",VLOOKUP($B4756,'Email Marketing Raw Data'!$C:$O,5,0)),"")</f>
        <v/>
      </c>
      <c r="I4756" s="55" t="str">
        <f>IFERROR(IF($G4756="","",VLOOKUP('Dashboard And Emails Automate'!$G4756,Database!$H:$N,3,0)),"")</f>
        <v/>
      </c>
      <c r="J4756" s="55" t="str">
        <f>IFERROR(IF($G4756="","",VLOOKUP('Dashboard And Emails Automate'!$G4756,Database!$H:$N,4,0)),"")</f>
        <v/>
      </c>
      <c r="K4756" s="55" t="str">
        <f>IFERROR(IF($G4756="","",VLOOKUP('Dashboard And Emails Automate'!$G4756,Database!$H:$N,5,0)),"")</f>
        <v/>
      </c>
      <c r="L4756" s="55" t="str">
        <f>IFERROR(IF($G4756="","",VLOOKUP('Dashboard And Emails Automate'!$G4756,Database!$H:$N,6,0)),"")</f>
        <v/>
      </c>
      <c r="M4756" s="55" t="str">
        <f>IFERROR(IF($G4756="","",VLOOKUP('Dashboard And Emails Automate'!$G4756,Database!$H:$N,7,0)),"")</f>
        <v/>
      </c>
      <c r="N4756" s="55" t="str">
        <f>IFERROR(IF(OR($B4756="",$B4756="(blank)"),"",VLOOKUP($B4756,'Email Marketing Raw Data'!$C:$O,6,0)),"")</f>
        <v/>
      </c>
      <c r="O4756" s="55" t="str">
        <f>IFERROR(IF(OR($B4756="",$B4756="(blank)"),"",VLOOKUP($B4756,'Email Marketing Raw Data'!$C:$O,7,0)),"")</f>
        <v/>
      </c>
      <c r="P4756" s="55" t="str">
        <f>IFERROR(IF(OR($B4756="",$B4756="(blank)"),"",VLOOKUP($B4756,'Email Marketing Raw Data'!$C:$O,8,0)),"")</f>
        <v/>
      </c>
      <c r="Q4756" s="62" t="str">
        <f>IFERROR(IF(OR($B4756="",$B4756="(blank)"),"",VLOOKUP($B4756,'Email Marketing Raw Data'!$C:$O,9,0)),"")</f>
        <v/>
      </c>
    </row>
    <row r="4757" spans="4:17" ht="12.75" customHeight="1" x14ac:dyDescent="0.2">
      <c r="D4757" s="58" t="str">
        <f>IFERROR(IF(F4757&lt;&gt;"pending","",IF(OR($B4757="",$B4757="(blank)"),"",VLOOKUP($B4757,'Email Marketing Raw Data'!$C:$O,10,0))),"")</f>
        <v/>
      </c>
      <c r="E4757" s="59" t="str">
        <f>IFERROR(IF(F4757&lt;&gt;"pending","",IF(OR($B4757="",$B4757="(blank)"),"",VLOOKUP($B4757,'Email Marketing Raw Data'!$C:$O,11,0))),"")</f>
        <v/>
      </c>
      <c r="F4757" s="54" t="str">
        <f>IFERROR(IF(OR($B4757="",$B4757="(blank)"),"",VLOOKUP($B4757,'Email Marketing Raw Data'!$C:$O,13,0)),"")</f>
        <v/>
      </c>
      <c r="G4757" s="55" t="str">
        <f>IFERROR(IF(OR($B4757="",$B4757="(blank)"),"",VLOOKUP($B4757,'Email Marketing Raw Data'!$C:$O,4,0)),"")</f>
        <v/>
      </c>
      <c r="H4757" s="55" t="str">
        <f>IFERROR(IF(OR($B4757="",$B4757="(blank)"),"",VLOOKUP($B4757,'Email Marketing Raw Data'!$C:$O,5,0)),"")</f>
        <v/>
      </c>
      <c r="I4757" s="55" t="str">
        <f>IFERROR(IF($G4757="","",VLOOKUP('Dashboard And Emails Automate'!$G4757,Database!$H:$N,3,0)),"")</f>
        <v/>
      </c>
      <c r="J4757" s="55" t="str">
        <f>IFERROR(IF($G4757="","",VLOOKUP('Dashboard And Emails Automate'!$G4757,Database!$H:$N,4,0)),"")</f>
        <v/>
      </c>
      <c r="K4757" s="55" t="str">
        <f>IFERROR(IF($G4757="","",VLOOKUP('Dashboard And Emails Automate'!$G4757,Database!$H:$N,5,0)),"")</f>
        <v/>
      </c>
      <c r="L4757" s="55" t="str">
        <f>IFERROR(IF($G4757="","",VLOOKUP('Dashboard And Emails Automate'!$G4757,Database!$H:$N,6,0)),"")</f>
        <v/>
      </c>
      <c r="M4757" s="55" t="str">
        <f>IFERROR(IF($G4757="","",VLOOKUP('Dashboard And Emails Automate'!$G4757,Database!$H:$N,7,0)),"")</f>
        <v/>
      </c>
      <c r="N4757" s="55" t="str">
        <f>IFERROR(IF(OR($B4757="",$B4757="(blank)"),"",VLOOKUP($B4757,'Email Marketing Raw Data'!$C:$O,6,0)),"")</f>
        <v/>
      </c>
      <c r="O4757" s="55" t="str">
        <f>IFERROR(IF(OR($B4757="",$B4757="(blank)"),"",VLOOKUP($B4757,'Email Marketing Raw Data'!$C:$O,7,0)),"")</f>
        <v/>
      </c>
      <c r="P4757" s="55" t="str">
        <f>IFERROR(IF(OR($B4757="",$B4757="(blank)"),"",VLOOKUP($B4757,'Email Marketing Raw Data'!$C:$O,8,0)),"")</f>
        <v/>
      </c>
      <c r="Q4757" s="62" t="str">
        <f>IFERROR(IF(OR($B4757="",$B4757="(blank)"),"",VLOOKUP($B4757,'Email Marketing Raw Data'!$C:$O,9,0)),"")</f>
        <v/>
      </c>
    </row>
    <row r="4758" spans="4:17" ht="12.75" customHeight="1" x14ac:dyDescent="0.2">
      <c r="D4758" s="58" t="str">
        <f>IFERROR(IF(F4758&lt;&gt;"pending","",IF(OR($B4758="",$B4758="(blank)"),"",VLOOKUP($B4758,'Email Marketing Raw Data'!$C:$O,10,0))),"")</f>
        <v/>
      </c>
      <c r="E4758" s="59" t="str">
        <f>IFERROR(IF(F4758&lt;&gt;"pending","",IF(OR($B4758="",$B4758="(blank)"),"",VLOOKUP($B4758,'Email Marketing Raw Data'!$C:$O,11,0))),"")</f>
        <v/>
      </c>
      <c r="F4758" s="54" t="str">
        <f>IFERROR(IF(OR($B4758="",$B4758="(blank)"),"",VLOOKUP($B4758,'Email Marketing Raw Data'!$C:$O,13,0)),"")</f>
        <v/>
      </c>
      <c r="G4758" s="55" t="str">
        <f>IFERROR(IF(OR($B4758="",$B4758="(blank)"),"",VLOOKUP($B4758,'Email Marketing Raw Data'!$C:$O,4,0)),"")</f>
        <v/>
      </c>
      <c r="H4758" s="55" t="str">
        <f>IFERROR(IF(OR($B4758="",$B4758="(blank)"),"",VLOOKUP($B4758,'Email Marketing Raw Data'!$C:$O,5,0)),"")</f>
        <v/>
      </c>
      <c r="I4758" s="55" t="str">
        <f>IFERROR(IF($G4758="","",VLOOKUP('Dashboard And Emails Automate'!$G4758,Database!$H:$N,3,0)),"")</f>
        <v/>
      </c>
      <c r="J4758" s="55" t="str">
        <f>IFERROR(IF($G4758="","",VLOOKUP('Dashboard And Emails Automate'!$G4758,Database!$H:$N,4,0)),"")</f>
        <v/>
      </c>
      <c r="K4758" s="55" t="str">
        <f>IFERROR(IF($G4758="","",VLOOKUP('Dashboard And Emails Automate'!$G4758,Database!$H:$N,5,0)),"")</f>
        <v/>
      </c>
      <c r="L4758" s="55" t="str">
        <f>IFERROR(IF($G4758="","",VLOOKUP('Dashboard And Emails Automate'!$G4758,Database!$H:$N,6,0)),"")</f>
        <v/>
      </c>
      <c r="M4758" s="55" t="str">
        <f>IFERROR(IF($G4758="","",VLOOKUP('Dashboard And Emails Automate'!$G4758,Database!$H:$N,7,0)),"")</f>
        <v/>
      </c>
      <c r="N4758" s="55" t="str">
        <f>IFERROR(IF(OR($B4758="",$B4758="(blank)"),"",VLOOKUP($B4758,'Email Marketing Raw Data'!$C:$O,6,0)),"")</f>
        <v/>
      </c>
      <c r="O4758" s="55" t="str">
        <f>IFERROR(IF(OR($B4758="",$B4758="(blank)"),"",VLOOKUP($B4758,'Email Marketing Raw Data'!$C:$O,7,0)),"")</f>
        <v/>
      </c>
      <c r="P4758" s="55" t="str">
        <f>IFERROR(IF(OR($B4758="",$B4758="(blank)"),"",VLOOKUP($B4758,'Email Marketing Raw Data'!$C:$O,8,0)),"")</f>
        <v/>
      </c>
      <c r="Q4758" s="62" t="str">
        <f>IFERROR(IF(OR($B4758="",$B4758="(blank)"),"",VLOOKUP($B4758,'Email Marketing Raw Data'!$C:$O,9,0)),"")</f>
        <v/>
      </c>
    </row>
    <row r="4759" spans="4:17" ht="12.75" customHeight="1" x14ac:dyDescent="0.2">
      <c r="D4759" s="58" t="str">
        <f>IFERROR(IF(F4759&lt;&gt;"pending","",IF(OR($B4759="",$B4759="(blank)"),"",VLOOKUP($B4759,'Email Marketing Raw Data'!$C:$O,10,0))),"")</f>
        <v/>
      </c>
      <c r="E4759" s="59" t="str">
        <f>IFERROR(IF(F4759&lt;&gt;"pending","",IF(OR($B4759="",$B4759="(blank)"),"",VLOOKUP($B4759,'Email Marketing Raw Data'!$C:$O,11,0))),"")</f>
        <v/>
      </c>
      <c r="F4759" s="54" t="str">
        <f>IFERROR(IF(OR($B4759="",$B4759="(blank)"),"",VLOOKUP($B4759,'Email Marketing Raw Data'!$C:$O,13,0)),"")</f>
        <v/>
      </c>
      <c r="G4759" s="55" t="str">
        <f>IFERROR(IF(OR($B4759="",$B4759="(blank)"),"",VLOOKUP($B4759,'Email Marketing Raw Data'!$C:$O,4,0)),"")</f>
        <v/>
      </c>
      <c r="H4759" s="55" t="str">
        <f>IFERROR(IF(OR($B4759="",$B4759="(blank)"),"",VLOOKUP($B4759,'Email Marketing Raw Data'!$C:$O,5,0)),"")</f>
        <v/>
      </c>
      <c r="I4759" s="55" t="str">
        <f>IFERROR(IF($G4759="","",VLOOKUP('Dashboard And Emails Automate'!$G4759,Database!$H:$N,3,0)),"")</f>
        <v/>
      </c>
      <c r="J4759" s="55" t="str">
        <f>IFERROR(IF($G4759="","",VLOOKUP('Dashboard And Emails Automate'!$G4759,Database!$H:$N,4,0)),"")</f>
        <v/>
      </c>
      <c r="K4759" s="55" t="str">
        <f>IFERROR(IF($G4759="","",VLOOKUP('Dashboard And Emails Automate'!$G4759,Database!$H:$N,5,0)),"")</f>
        <v/>
      </c>
      <c r="L4759" s="55" t="str">
        <f>IFERROR(IF($G4759="","",VLOOKUP('Dashboard And Emails Automate'!$G4759,Database!$H:$N,6,0)),"")</f>
        <v/>
      </c>
      <c r="M4759" s="55" t="str">
        <f>IFERROR(IF($G4759="","",VLOOKUP('Dashboard And Emails Automate'!$G4759,Database!$H:$N,7,0)),"")</f>
        <v/>
      </c>
      <c r="N4759" s="55" t="str">
        <f>IFERROR(IF(OR($B4759="",$B4759="(blank)"),"",VLOOKUP($B4759,'Email Marketing Raw Data'!$C:$O,6,0)),"")</f>
        <v/>
      </c>
      <c r="O4759" s="55" t="str">
        <f>IFERROR(IF(OR($B4759="",$B4759="(blank)"),"",VLOOKUP($B4759,'Email Marketing Raw Data'!$C:$O,7,0)),"")</f>
        <v/>
      </c>
      <c r="P4759" s="55" t="str">
        <f>IFERROR(IF(OR($B4759="",$B4759="(blank)"),"",VLOOKUP($B4759,'Email Marketing Raw Data'!$C:$O,8,0)),"")</f>
        <v/>
      </c>
      <c r="Q4759" s="62" t="str">
        <f>IFERROR(IF(OR($B4759="",$B4759="(blank)"),"",VLOOKUP($B4759,'Email Marketing Raw Data'!$C:$O,9,0)),"")</f>
        <v/>
      </c>
    </row>
    <row r="4760" spans="4:17" ht="12.75" customHeight="1" x14ac:dyDescent="0.2">
      <c r="D4760" s="58" t="str">
        <f>IFERROR(IF(F4760&lt;&gt;"pending","",IF(OR($B4760="",$B4760="(blank)"),"",VLOOKUP($B4760,'Email Marketing Raw Data'!$C:$O,10,0))),"")</f>
        <v/>
      </c>
      <c r="E4760" s="59" t="str">
        <f>IFERROR(IF(F4760&lt;&gt;"pending","",IF(OR($B4760="",$B4760="(blank)"),"",VLOOKUP($B4760,'Email Marketing Raw Data'!$C:$O,11,0))),"")</f>
        <v/>
      </c>
      <c r="F4760" s="54" t="str">
        <f>IFERROR(IF(OR($B4760="",$B4760="(blank)"),"",VLOOKUP($B4760,'Email Marketing Raw Data'!$C:$O,13,0)),"")</f>
        <v/>
      </c>
      <c r="G4760" s="55" t="str">
        <f>IFERROR(IF(OR($B4760="",$B4760="(blank)"),"",VLOOKUP($B4760,'Email Marketing Raw Data'!$C:$O,4,0)),"")</f>
        <v/>
      </c>
      <c r="H4760" s="55" t="str">
        <f>IFERROR(IF(OR($B4760="",$B4760="(blank)"),"",VLOOKUP($B4760,'Email Marketing Raw Data'!$C:$O,5,0)),"")</f>
        <v/>
      </c>
      <c r="I4760" s="55" t="str">
        <f>IFERROR(IF($G4760="","",VLOOKUP('Dashboard And Emails Automate'!$G4760,Database!$H:$N,3,0)),"")</f>
        <v/>
      </c>
      <c r="J4760" s="55" t="str">
        <f>IFERROR(IF($G4760="","",VLOOKUP('Dashboard And Emails Automate'!$G4760,Database!$H:$N,4,0)),"")</f>
        <v/>
      </c>
      <c r="K4760" s="55" t="str">
        <f>IFERROR(IF($G4760="","",VLOOKUP('Dashboard And Emails Automate'!$G4760,Database!$H:$N,5,0)),"")</f>
        <v/>
      </c>
      <c r="L4760" s="55" t="str">
        <f>IFERROR(IF($G4760="","",VLOOKUP('Dashboard And Emails Automate'!$G4760,Database!$H:$N,6,0)),"")</f>
        <v/>
      </c>
      <c r="M4760" s="55" t="str">
        <f>IFERROR(IF($G4760="","",VLOOKUP('Dashboard And Emails Automate'!$G4760,Database!$H:$N,7,0)),"")</f>
        <v/>
      </c>
      <c r="N4760" s="55" t="str">
        <f>IFERROR(IF(OR($B4760="",$B4760="(blank)"),"",VLOOKUP($B4760,'Email Marketing Raw Data'!$C:$O,6,0)),"")</f>
        <v/>
      </c>
      <c r="O4760" s="55" t="str">
        <f>IFERROR(IF(OR($B4760="",$B4760="(blank)"),"",VLOOKUP($B4760,'Email Marketing Raw Data'!$C:$O,7,0)),"")</f>
        <v/>
      </c>
      <c r="P4760" s="55" t="str">
        <f>IFERROR(IF(OR($B4760="",$B4760="(blank)"),"",VLOOKUP($B4760,'Email Marketing Raw Data'!$C:$O,8,0)),"")</f>
        <v/>
      </c>
      <c r="Q4760" s="62" t="str">
        <f>IFERROR(IF(OR($B4760="",$B4760="(blank)"),"",VLOOKUP($B4760,'Email Marketing Raw Data'!$C:$O,9,0)),"")</f>
        <v/>
      </c>
    </row>
    <row r="4761" spans="4:17" ht="12.75" customHeight="1" x14ac:dyDescent="0.2">
      <c r="D4761" s="58" t="str">
        <f>IFERROR(IF(F4761&lt;&gt;"pending","",IF(OR($B4761="",$B4761="(blank)"),"",VLOOKUP($B4761,'Email Marketing Raw Data'!$C:$O,10,0))),"")</f>
        <v/>
      </c>
      <c r="E4761" s="59" t="str">
        <f>IFERROR(IF(F4761&lt;&gt;"pending","",IF(OR($B4761="",$B4761="(blank)"),"",VLOOKUP($B4761,'Email Marketing Raw Data'!$C:$O,11,0))),"")</f>
        <v/>
      </c>
      <c r="F4761" s="54" t="str">
        <f>IFERROR(IF(OR($B4761="",$B4761="(blank)"),"",VLOOKUP($B4761,'Email Marketing Raw Data'!$C:$O,13,0)),"")</f>
        <v/>
      </c>
      <c r="G4761" s="55" t="str">
        <f>IFERROR(IF(OR($B4761="",$B4761="(blank)"),"",VLOOKUP($B4761,'Email Marketing Raw Data'!$C:$O,4,0)),"")</f>
        <v/>
      </c>
      <c r="H4761" s="55" t="str">
        <f>IFERROR(IF(OR($B4761="",$B4761="(blank)"),"",VLOOKUP($B4761,'Email Marketing Raw Data'!$C:$O,5,0)),"")</f>
        <v/>
      </c>
      <c r="I4761" s="55" t="str">
        <f>IFERROR(IF($G4761="","",VLOOKUP('Dashboard And Emails Automate'!$G4761,Database!$H:$N,3,0)),"")</f>
        <v/>
      </c>
      <c r="J4761" s="55" t="str">
        <f>IFERROR(IF($G4761="","",VLOOKUP('Dashboard And Emails Automate'!$G4761,Database!$H:$N,4,0)),"")</f>
        <v/>
      </c>
      <c r="K4761" s="55" t="str">
        <f>IFERROR(IF($G4761="","",VLOOKUP('Dashboard And Emails Automate'!$G4761,Database!$H:$N,5,0)),"")</f>
        <v/>
      </c>
      <c r="L4761" s="55" t="str">
        <f>IFERROR(IF($G4761="","",VLOOKUP('Dashboard And Emails Automate'!$G4761,Database!$H:$N,6,0)),"")</f>
        <v/>
      </c>
      <c r="M4761" s="55" t="str">
        <f>IFERROR(IF($G4761="","",VLOOKUP('Dashboard And Emails Automate'!$G4761,Database!$H:$N,7,0)),"")</f>
        <v/>
      </c>
      <c r="N4761" s="55" t="str">
        <f>IFERROR(IF(OR($B4761="",$B4761="(blank)"),"",VLOOKUP($B4761,'Email Marketing Raw Data'!$C:$O,6,0)),"")</f>
        <v/>
      </c>
      <c r="O4761" s="55" t="str">
        <f>IFERROR(IF(OR($B4761="",$B4761="(blank)"),"",VLOOKUP($B4761,'Email Marketing Raw Data'!$C:$O,7,0)),"")</f>
        <v/>
      </c>
      <c r="P4761" s="55" t="str">
        <f>IFERROR(IF(OR($B4761="",$B4761="(blank)"),"",VLOOKUP($B4761,'Email Marketing Raw Data'!$C:$O,8,0)),"")</f>
        <v/>
      </c>
      <c r="Q4761" s="62" t="str">
        <f>IFERROR(IF(OR($B4761="",$B4761="(blank)"),"",VLOOKUP($B4761,'Email Marketing Raw Data'!$C:$O,9,0)),"")</f>
        <v/>
      </c>
    </row>
    <row r="4762" spans="4:17" ht="12.75" customHeight="1" x14ac:dyDescent="0.2">
      <c r="D4762" s="58" t="str">
        <f>IFERROR(IF(F4762&lt;&gt;"pending","",IF(OR($B4762="",$B4762="(blank)"),"",VLOOKUP($B4762,'Email Marketing Raw Data'!$C:$O,10,0))),"")</f>
        <v/>
      </c>
      <c r="E4762" s="59" t="str">
        <f>IFERROR(IF(F4762&lt;&gt;"pending","",IF(OR($B4762="",$B4762="(blank)"),"",VLOOKUP($B4762,'Email Marketing Raw Data'!$C:$O,11,0))),"")</f>
        <v/>
      </c>
      <c r="F4762" s="54" t="str">
        <f>IFERROR(IF(OR($B4762="",$B4762="(blank)"),"",VLOOKUP($B4762,'Email Marketing Raw Data'!$C:$O,13,0)),"")</f>
        <v/>
      </c>
      <c r="G4762" s="55" t="str">
        <f>IFERROR(IF(OR($B4762="",$B4762="(blank)"),"",VLOOKUP($B4762,'Email Marketing Raw Data'!$C:$O,4,0)),"")</f>
        <v/>
      </c>
      <c r="H4762" s="55" t="str">
        <f>IFERROR(IF(OR($B4762="",$B4762="(blank)"),"",VLOOKUP($B4762,'Email Marketing Raw Data'!$C:$O,5,0)),"")</f>
        <v/>
      </c>
      <c r="I4762" s="55" t="str">
        <f>IFERROR(IF($G4762="","",VLOOKUP('Dashboard And Emails Automate'!$G4762,Database!$H:$N,3,0)),"")</f>
        <v/>
      </c>
      <c r="J4762" s="55" t="str">
        <f>IFERROR(IF($G4762="","",VLOOKUP('Dashboard And Emails Automate'!$G4762,Database!$H:$N,4,0)),"")</f>
        <v/>
      </c>
      <c r="K4762" s="55" t="str">
        <f>IFERROR(IF($G4762="","",VLOOKUP('Dashboard And Emails Automate'!$G4762,Database!$H:$N,5,0)),"")</f>
        <v/>
      </c>
      <c r="L4762" s="55" t="str">
        <f>IFERROR(IF($G4762="","",VLOOKUP('Dashboard And Emails Automate'!$G4762,Database!$H:$N,6,0)),"")</f>
        <v/>
      </c>
      <c r="M4762" s="55" t="str">
        <f>IFERROR(IF($G4762="","",VLOOKUP('Dashboard And Emails Automate'!$G4762,Database!$H:$N,7,0)),"")</f>
        <v/>
      </c>
      <c r="N4762" s="55" t="str">
        <f>IFERROR(IF(OR($B4762="",$B4762="(blank)"),"",VLOOKUP($B4762,'Email Marketing Raw Data'!$C:$O,6,0)),"")</f>
        <v/>
      </c>
      <c r="O4762" s="55" t="str">
        <f>IFERROR(IF(OR($B4762="",$B4762="(blank)"),"",VLOOKUP($B4762,'Email Marketing Raw Data'!$C:$O,7,0)),"")</f>
        <v/>
      </c>
      <c r="P4762" s="55" t="str">
        <f>IFERROR(IF(OR($B4762="",$B4762="(blank)"),"",VLOOKUP($B4762,'Email Marketing Raw Data'!$C:$O,8,0)),"")</f>
        <v/>
      </c>
      <c r="Q4762" s="62" t="str">
        <f>IFERROR(IF(OR($B4762="",$B4762="(blank)"),"",VLOOKUP($B4762,'Email Marketing Raw Data'!$C:$O,9,0)),"")</f>
        <v/>
      </c>
    </row>
    <row r="4763" spans="4:17" ht="12.75" customHeight="1" x14ac:dyDescent="0.2">
      <c r="D4763" s="58" t="str">
        <f>IFERROR(IF(F4763&lt;&gt;"pending","",IF(OR($B4763="",$B4763="(blank)"),"",VLOOKUP($B4763,'Email Marketing Raw Data'!$C:$O,10,0))),"")</f>
        <v/>
      </c>
      <c r="E4763" s="59" t="str">
        <f>IFERROR(IF(F4763&lt;&gt;"pending","",IF(OR($B4763="",$B4763="(blank)"),"",VLOOKUP($B4763,'Email Marketing Raw Data'!$C:$O,11,0))),"")</f>
        <v/>
      </c>
      <c r="F4763" s="54" t="str">
        <f>IFERROR(IF(OR($B4763="",$B4763="(blank)"),"",VLOOKUP($B4763,'Email Marketing Raw Data'!$C:$O,13,0)),"")</f>
        <v/>
      </c>
      <c r="G4763" s="55" t="str">
        <f>IFERROR(IF(OR($B4763="",$B4763="(blank)"),"",VLOOKUP($B4763,'Email Marketing Raw Data'!$C:$O,4,0)),"")</f>
        <v/>
      </c>
      <c r="H4763" s="55" t="str">
        <f>IFERROR(IF(OR($B4763="",$B4763="(blank)"),"",VLOOKUP($B4763,'Email Marketing Raw Data'!$C:$O,5,0)),"")</f>
        <v/>
      </c>
      <c r="I4763" s="55" t="str">
        <f>IFERROR(IF($G4763="","",VLOOKUP('Dashboard And Emails Automate'!$G4763,Database!$H:$N,3,0)),"")</f>
        <v/>
      </c>
      <c r="J4763" s="55" t="str">
        <f>IFERROR(IF($G4763="","",VLOOKUP('Dashboard And Emails Automate'!$G4763,Database!$H:$N,4,0)),"")</f>
        <v/>
      </c>
      <c r="K4763" s="55" t="str">
        <f>IFERROR(IF($G4763="","",VLOOKUP('Dashboard And Emails Automate'!$G4763,Database!$H:$N,5,0)),"")</f>
        <v/>
      </c>
      <c r="L4763" s="55" t="str">
        <f>IFERROR(IF($G4763="","",VLOOKUP('Dashboard And Emails Automate'!$G4763,Database!$H:$N,6,0)),"")</f>
        <v/>
      </c>
      <c r="M4763" s="55" t="str">
        <f>IFERROR(IF($G4763="","",VLOOKUP('Dashboard And Emails Automate'!$G4763,Database!$H:$N,7,0)),"")</f>
        <v/>
      </c>
      <c r="N4763" s="55" t="str">
        <f>IFERROR(IF(OR($B4763="",$B4763="(blank)"),"",VLOOKUP($B4763,'Email Marketing Raw Data'!$C:$O,6,0)),"")</f>
        <v/>
      </c>
      <c r="O4763" s="55" t="str">
        <f>IFERROR(IF(OR($B4763="",$B4763="(blank)"),"",VLOOKUP($B4763,'Email Marketing Raw Data'!$C:$O,7,0)),"")</f>
        <v/>
      </c>
      <c r="P4763" s="55" t="str">
        <f>IFERROR(IF(OR($B4763="",$B4763="(blank)"),"",VLOOKUP($B4763,'Email Marketing Raw Data'!$C:$O,8,0)),"")</f>
        <v/>
      </c>
      <c r="Q4763" s="62" t="str">
        <f>IFERROR(IF(OR($B4763="",$B4763="(blank)"),"",VLOOKUP($B4763,'Email Marketing Raw Data'!$C:$O,9,0)),"")</f>
        <v/>
      </c>
    </row>
    <row r="4764" spans="4:17" ht="12.75" customHeight="1" x14ac:dyDescent="0.2">
      <c r="D4764" s="58" t="str">
        <f>IFERROR(IF(F4764&lt;&gt;"pending","",IF(OR($B4764="",$B4764="(blank)"),"",VLOOKUP($B4764,'Email Marketing Raw Data'!$C:$O,10,0))),"")</f>
        <v/>
      </c>
      <c r="E4764" s="59" t="str">
        <f>IFERROR(IF(F4764&lt;&gt;"pending","",IF(OR($B4764="",$B4764="(blank)"),"",VLOOKUP($B4764,'Email Marketing Raw Data'!$C:$O,11,0))),"")</f>
        <v/>
      </c>
      <c r="F4764" s="54" t="str">
        <f>IFERROR(IF(OR($B4764="",$B4764="(blank)"),"",VLOOKUP($B4764,'Email Marketing Raw Data'!$C:$O,13,0)),"")</f>
        <v/>
      </c>
      <c r="G4764" s="55" t="str">
        <f>IFERROR(IF(OR($B4764="",$B4764="(blank)"),"",VLOOKUP($B4764,'Email Marketing Raw Data'!$C:$O,4,0)),"")</f>
        <v/>
      </c>
      <c r="H4764" s="55" t="str">
        <f>IFERROR(IF(OR($B4764="",$B4764="(blank)"),"",VLOOKUP($B4764,'Email Marketing Raw Data'!$C:$O,5,0)),"")</f>
        <v/>
      </c>
      <c r="I4764" s="55" t="str">
        <f>IFERROR(IF($G4764="","",VLOOKUP('Dashboard And Emails Automate'!$G4764,Database!$H:$N,3,0)),"")</f>
        <v/>
      </c>
      <c r="J4764" s="55" t="str">
        <f>IFERROR(IF($G4764="","",VLOOKUP('Dashboard And Emails Automate'!$G4764,Database!$H:$N,4,0)),"")</f>
        <v/>
      </c>
      <c r="K4764" s="55" t="str">
        <f>IFERROR(IF($G4764="","",VLOOKUP('Dashboard And Emails Automate'!$G4764,Database!$H:$N,5,0)),"")</f>
        <v/>
      </c>
      <c r="L4764" s="55" t="str">
        <f>IFERROR(IF($G4764="","",VLOOKUP('Dashboard And Emails Automate'!$G4764,Database!$H:$N,6,0)),"")</f>
        <v/>
      </c>
      <c r="M4764" s="55" t="str">
        <f>IFERROR(IF($G4764="","",VLOOKUP('Dashboard And Emails Automate'!$G4764,Database!$H:$N,7,0)),"")</f>
        <v/>
      </c>
      <c r="N4764" s="55" t="str">
        <f>IFERROR(IF(OR($B4764="",$B4764="(blank)"),"",VLOOKUP($B4764,'Email Marketing Raw Data'!$C:$O,6,0)),"")</f>
        <v/>
      </c>
      <c r="O4764" s="55" t="str">
        <f>IFERROR(IF(OR($B4764="",$B4764="(blank)"),"",VLOOKUP($B4764,'Email Marketing Raw Data'!$C:$O,7,0)),"")</f>
        <v/>
      </c>
      <c r="P4764" s="55" t="str">
        <f>IFERROR(IF(OR($B4764="",$B4764="(blank)"),"",VLOOKUP($B4764,'Email Marketing Raw Data'!$C:$O,8,0)),"")</f>
        <v/>
      </c>
      <c r="Q4764" s="62" t="str">
        <f>IFERROR(IF(OR($B4764="",$B4764="(blank)"),"",VLOOKUP($B4764,'Email Marketing Raw Data'!$C:$O,9,0)),"")</f>
        <v/>
      </c>
    </row>
    <row r="4765" spans="4:17" ht="12.75" customHeight="1" x14ac:dyDescent="0.2">
      <c r="D4765" s="58" t="str">
        <f>IFERROR(IF(F4765&lt;&gt;"pending","",IF(OR($B4765="",$B4765="(blank)"),"",VLOOKUP($B4765,'Email Marketing Raw Data'!$C:$O,10,0))),"")</f>
        <v/>
      </c>
      <c r="E4765" s="59" t="str">
        <f>IFERROR(IF(F4765&lt;&gt;"pending","",IF(OR($B4765="",$B4765="(blank)"),"",VLOOKUP($B4765,'Email Marketing Raw Data'!$C:$O,11,0))),"")</f>
        <v/>
      </c>
      <c r="F4765" s="54" t="str">
        <f>IFERROR(IF(OR($B4765="",$B4765="(blank)"),"",VLOOKUP($B4765,'Email Marketing Raw Data'!$C:$O,13,0)),"")</f>
        <v/>
      </c>
      <c r="G4765" s="55" t="str">
        <f>IFERROR(IF(OR($B4765="",$B4765="(blank)"),"",VLOOKUP($B4765,'Email Marketing Raw Data'!$C:$O,4,0)),"")</f>
        <v/>
      </c>
      <c r="H4765" s="55" t="str">
        <f>IFERROR(IF(OR($B4765="",$B4765="(blank)"),"",VLOOKUP($B4765,'Email Marketing Raw Data'!$C:$O,5,0)),"")</f>
        <v/>
      </c>
      <c r="I4765" s="55" t="str">
        <f>IFERROR(IF($G4765="","",VLOOKUP('Dashboard And Emails Automate'!$G4765,Database!$H:$N,3,0)),"")</f>
        <v/>
      </c>
      <c r="J4765" s="55" t="str">
        <f>IFERROR(IF($G4765="","",VLOOKUP('Dashboard And Emails Automate'!$G4765,Database!$H:$N,4,0)),"")</f>
        <v/>
      </c>
      <c r="K4765" s="55" t="str">
        <f>IFERROR(IF($G4765="","",VLOOKUP('Dashboard And Emails Automate'!$G4765,Database!$H:$N,5,0)),"")</f>
        <v/>
      </c>
      <c r="L4765" s="55" t="str">
        <f>IFERROR(IF($G4765="","",VLOOKUP('Dashboard And Emails Automate'!$G4765,Database!$H:$N,6,0)),"")</f>
        <v/>
      </c>
      <c r="M4765" s="55" t="str">
        <f>IFERROR(IF($G4765="","",VLOOKUP('Dashboard And Emails Automate'!$G4765,Database!$H:$N,7,0)),"")</f>
        <v/>
      </c>
      <c r="N4765" s="55" t="str">
        <f>IFERROR(IF(OR($B4765="",$B4765="(blank)"),"",VLOOKUP($B4765,'Email Marketing Raw Data'!$C:$O,6,0)),"")</f>
        <v/>
      </c>
      <c r="O4765" s="55" t="str">
        <f>IFERROR(IF(OR($B4765="",$B4765="(blank)"),"",VLOOKUP($B4765,'Email Marketing Raw Data'!$C:$O,7,0)),"")</f>
        <v/>
      </c>
      <c r="P4765" s="55" t="str">
        <f>IFERROR(IF(OR($B4765="",$B4765="(blank)"),"",VLOOKUP($B4765,'Email Marketing Raw Data'!$C:$O,8,0)),"")</f>
        <v/>
      </c>
      <c r="Q4765" s="62" t="str">
        <f>IFERROR(IF(OR($B4765="",$B4765="(blank)"),"",VLOOKUP($B4765,'Email Marketing Raw Data'!$C:$O,9,0)),"")</f>
        <v/>
      </c>
    </row>
    <row r="4766" spans="4:17" ht="12.75" customHeight="1" x14ac:dyDescent="0.2">
      <c r="D4766" s="58" t="str">
        <f>IFERROR(IF(F4766&lt;&gt;"pending","",IF(OR($B4766="",$B4766="(blank)"),"",VLOOKUP($B4766,'Email Marketing Raw Data'!$C:$O,10,0))),"")</f>
        <v/>
      </c>
      <c r="E4766" s="59" t="str">
        <f>IFERROR(IF(F4766&lt;&gt;"pending","",IF(OR($B4766="",$B4766="(blank)"),"",VLOOKUP($B4766,'Email Marketing Raw Data'!$C:$O,11,0))),"")</f>
        <v/>
      </c>
      <c r="F4766" s="54" t="str">
        <f>IFERROR(IF(OR($B4766="",$B4766="(blank)"),"",VLOOKUP($B4766,'Email Marketing Raw Data'!$C:$O,13,0)),"")</f>
        <v/>
      </c>
      <c r="G4766" s="55" t="str">
        <f>IFERROR(IF(OR($B4766="",$B4766="(blank)"),"",VLOOKUP($B4766,'Email Marketing Raw Data'!$C:$O,4,0)),"")</f>
        <v/>
      </c>
      <c r="H4766" s="55" t="str">
        <f>IFERROR(IF(OR($B4766="",$B4766="(blank)"),"",VLOOKUP($B4766,'Email Marketing Raw Data'!$C:$O,5,0)),"")</f>
        <v/>
      </c>
      <c r="I4766" s="55" t="str">
        <f>IFERROR(IF($G4766="","",VLOOKUP('Dashboard And Emails Automate'!$G4766,Database!$H:$N,3,0)),"")</f>
        <v/>
      </c>
      <c r="J4766" s="55" t="str">
        <f>IFERROR(IF($G4766="","",VLOOKUP('Dashboard And Emails Automate'!$G4766,Database!$H:$N,4,0)),"")</f>
        <v/>
      </c>
      <c r="K4766" s="55" t="str">
        <f>IFERROR(IF($G4766="","",VLOOKUP('Dashboard And Emails Automate'!$G4766,Database!$H:$N,5,0)),"")</f>
        <v/>
      </c>
      <c r="L4766" s="55" t="str">
        <f>IFERROR(IF($G4766="","",VLOOKUP('Dashboard And Emails Automate'!$G4766,Database!$H:$N,6,0)),"")</f>
        <v/>
      </c>
      <c r="M4766" s="55" t="str">
        <f>IFERROR(IF($G4766="","",VLOOKUP('Dashboard And Emails Automate'!$G4766,Database!$H:$N,7,0)),"")</f>
        <v/>
      </c>
      <c r="N4766" s="55" t="str">
        <f>IFERROR(IF(OR($B4766="",$B4766="(blank)"),"",VLOOKUP($B4766,'Email Marketing Raw Data'!$C:$O,6,0)),"")</f>
        <v/>
      </c>
      <c r="O4766" s="55" t="str">
        <f>IFERROR(IF(OR($B4766="",$B4766="(blank)"),"",VLOOKUP($B4766,'Email Marketing Raw Data'!$C:$O,7,0)),"")</f>
        <v/>
      </c>
      <c r="P4766" s="55" t="str">
        <f>IFERROR(IF(OR($B4766="",$B4766="(blank)"),"",VLOOKUP($B4766,'Email Marketing Raw Data'!$C:$O,8,0)),"")</f>
        <v/>
      </c>
      <c r="Q4766" s="62" t="str">
        <f>IFERROR(IF(OR($B4766="",$B4766="(blank)"),"",VLOOKUP($B4766,'Email Marketing Raw Data'!$C:$O,9,0)),"")</f>
        <v/>
      </c>
    </row>
    <row r="4767" spans="4:17" ht="12.75" customHeight="1" x14ac:dyDescent="0.2">
      <c r="D4767" s="58" t="str">
        <f>IFERROR(IF(F4767&lt;&gt;"pending","",IF(OR($B4767="",$B4767="(blank)"),"",VLOOKUP($B4767,'Email Marketing Raw Data'!$C:$O,10,0))),"")</f>
        <v/>
      </c>
      <c r="E4767" s="59" t="str">
        <f>IFERROR(IF(F4767&lt;&gt;"pending","",IF(OR($B4767="",$B4767="(blank)"),"",VLOOKUP($B4767,'Email Marketing Raw Data'!$C:$O,11,0))),"")</f>
        <v/>
      </c>
      <c r="F4767" s="54" t="str">
        <f>IFERROR(IF(OR($B4767="",$B4767="(blank)"),"",VLOOKUP($B4767,'Email Marketing Raw Data'!$C:$O,13,0)),"")</f>
        <v/>
      </c>
      <c r="G4767" s="55" t="str">
        <f>IFERROR(IF(OR($B4767="",$B4767="(blank)"),"",VLOOKUP($B4767,'Email Marketing Raw Data'!$C:$O,4,0)),"")</f>
        <v/>
      </c>
      <c r="H4767" s="55" t="str">
        <f>IFERROR(IF(OR($B4767="",$B4767="(blank)"),"",VLOOKUP($B4767,'Email Marketing Raw Data'!$C:$O,5,0)),"")</f>
        <v/>
      </c>
      <c r="I4767" s="55" t="str">
        <f>IFERROR(IF($G4767="","",VLOOKUP('Dashboard And Emails Automate'!$G4767,Database!$H:$N,3,0)),"")</f>
        <v/>
      </c>
      <c r="J4767" s="55" t="str">
        <f>IFERROR(IF($G4767="","",VLOOKUP('Dashboard And Emails Automate'!$G4767,Database!$H:$N,4,0)),"")</f>
        <v/>
      </c>
      <c r="K4767" s="55" t="str">
        <f>IFERROR(IF($G4767="","",VLOOKUP('Dashboard And Emails Automate'!$G4767,Database!$H:$N,5,0)),"")</f>
        <v/>
      </c>
      <c r="L4767" s="55" t="str">
        <f>IFERROR(IF($G4767="","",VLOOKUP('Dashboard And Emails Automate'!$G4767,Database!$H:$N,6,0)),"")</f>
        <v/>
      </c>
      <c r="M4767" s="55" t="str">
        <f>IFERROR(IF($G4767="","",VLOOKUP('Dashboard And Emails Automate'!$G4767,Database!$H:$N,7,0)),"")</f>
        <v/>
      </c>
      <c r="N4767" s="55" t="str">
        <f>IFERROR(IF(OR($B4767="",$B4767="(blank)"),"",VLOOKUP($B4767,'Email Marketing Raw Data'!$C:$O,6,0)),"")</f>
        <v/>
      </c>
      <c r="O4767" s="55" t="str">
        <f>IFERROR(IF(OR($B4767="",$B4767="(blank)"),"",VLOOKUP($B4767,'Email Marketing Raw Data'!$C:$O,7,0)),"")</f>
        <v/>
      </c>
      <c r="P4767" s="55" t="str">
        <f>IFERROR(IF(OR($B4767="",$B4767="(blank)"),"",VLOOKUP($B4767,'Email Marketing Raw Data'!$C:$O,8,0)),"")</f>
        <v/>
      </c>
      <c r="Q4767" s="62" t="str">
        <f>IFERROR(IF(OR($B4767="",$B4767="(blank)"),"",VLOOKUP($B4767,'Email Marketing Raw Data'!$C:$O,9,0)),"")</f>
        <v/>
      </c>
    </row>
    <row r="4768" spans="4:17" ht="12.75" customHeight="1" x14ac:dyDescent="0.2">
      <c r="D4768" s="58" t="str">
        <f>IFERROR(IF(F4768&lt;&gt;"pending","",IF(OR($B4768="",$B4768="(blank)"),"",VLOOKUP($B4768,'Email Marketing Raw Data'!$C:$O,10,0))),"")</f>
        <v/>
      </c>
      <c r="E4768" s="59" t="str">
        <f>IFERROR(IF(F4768&lt;&gt;"pending","",IF(OR($B4768="",$B4768="(blank)"),"",VLOOKUP($B4768,'Email Marketing Raw Data'!$C:$O,11,0))),"")</f>
        <v/>
      </c>
      <c r="F4768" s="54" t="str">
        <f>IFERROR(IF(OR($B4768="",$B4768="(blank)"),"",VLOOKUP($B4768,'Email Marketing Raw Data'!$C:$O,13,0)),"")</f>
        <v/>
      </c>
      <c r="G4768" s="55" t="str">
        <f>IFERROR(IF(OR($B4768="",$B4768="(blank)"),"",VLOOKUP($B4768,'Email Marketing Raw Data'!$C:$O,4,0)),"")</f>
        <v/>
      </c>
      <c r="H4768" s="55" t="str">
        <f>IFERROR(IF(OR($B4768="",$B4768="(blank)"),"",VLOOKUP($B4768,'Email Marketing Raw Data'!$C:$O,5,0)),"")</f>
        <v/>
      </c>
      <c r="I4768" s="55" t="str">
        <f>IFERROR(IF($G4768="","",VLOOKUP('Dashboard And Emails Automate'!$G4768,Database!$H:$N,3,0)),"")</f>
        <v/>
      </c>
      <c r="J4768" s="55" t="str">
        <f>IFERROR(IF($G4768="","",VLOOKUP('Dashboard And Emails Automate'!$G4768,Database!$H:$N,4,0)),"")</f>
        <v/>
      </c>
      <c r="K4768" s="55" t="str">
        <f>IFERROR(IF($G4768="","",VLOOKUP('Dashboard And Emails Automate'!$G4768,Database!$H:$N,5,0)),"")</f>
        <v/>
      </c>
      <c r="L4768" s="55" t="str">
        <f>IFERROR(IF($G4768="","",VLOOKUP('Dashboard And Emails Automate'!$G4768,Database!$H:$N,6,0)),"")</f>
        <v/>
      </c>
      <c r="M4768" s="55" t="str">
        <f>IFERROR(IF($G4768="","",VLOOKUP('Dashboard And Emails Automate'!$G4768,Database!$H:$N,7,0)),"")</f>
        <v/>
      </c>
      <c r="N4768" s="55" t="str">
        <f>IFERROR(IF(OR($B4768="",$B4768="(blank)"),"",VLOOKUP($B4768,'Email Marketing Raw Data'!$C:$O,6,0)),"")</f>
        <v/>
      </c>
      <c r="O4768" s="55" t="str">
        <f>IFERROR(IF(OR($B4768="",$B4768="(blank)"),"",VLOOKUP($B4768,'Email Marketing Raw Data'!$C:$O,7,0)),"")</f>
        <v/>
      </c>
      <c r="P4768" s="55" t="str">
        <f>IFERROR(IF(OR($B4768="",$B4768="(blank)"),"",VLOOKUP($B4768,'Email Marketing Raw Data'!$C:$O,8,0)),"")</f>
        <v/>
      </c>
      <c r="Q4768" s="62" t="str">
        <f>IFERROR(IF(OR($B4768="",$B4768="(blank)"),"",VLOOKUP($B4768,'Email Marketing Raw Data'!$C:$O,9,0)),"")</f>
        <v/>
      </c>
    </row>
    <row r="4769" spans="4:17" ht="12.75" customHeight="1" x14ac:dyDescent="0.2">
      <c r="D4769" s="58" t="str">
        <f>IFERROR(IF(F4769&lt;&gt;"pending","",IF(OR($B4769="",$B4769="(blank)"),"",VLOOKUP($B4769,'Email Marketing Raw Data'!$C:$O,10,0))),"")</f>
        <v/>
      </c>
      <c r="E4769" s="59" t="str">
        <f>IFERROR(IF(F4769&lt;&gt;"pending","",IF(OR($B4769="",$B4769="(blank)"),"",VLOOKUP($B4769,'Email Marketing Raw Data'!$C:$O,11,0))),"")</f>
        <v/>
      </c>
      <c r="F4769" s="54" t="str">
        <f>IFERROR(IF(OR($B4769="",$B4769="(blank)"),"",VLOOKUP($B4769,'Email Marketing Raw Data'!$C:$O,13,0)),"")</f>
        <v/>
      </c>
      <c r="G4769" s="55" t="str">
        <f>IFERROR(IF(OR($B4769="",$B4769="(blank)"),"",VLOOKUP($B4769,'Email Marketing Raw Data'!$C:$O,4,0)),"")</f>
        <v/>
      </c>
      <c r="H4769" s="55" t="str">
        <f>IFERROR(IF(OR($B4769="",$B4769="(blank)"),"",VLOOKUP($B4769,'Email Marketing Raw Data'!$C:$O,5,0)),"")</f>
        <v/>
      </c>
      <c r="I4769" s="55" t="str">
        <f>IFERROR(IF($G4769="","",VLOOKUP('Dashboard And Emails Automate'!$G4769,Database!$H:$N,3,0)),"")</f>
        <v/>
      </c>
      <c r="J4769" s="55" t="str">
        <f>IFERROR(IF($G4769="","",VLOOKUP('Dashboard And Emails Automate'!$G4769,Database!$H:$N,4,0)),"")</f>
        <v/>
      </c>
      <c r="K4769" s="55" t="str">
        <f>IFERROR(IF($G4769="","",VLOOKUP('Dashboard And Emails Automate'!$G4769,Database!$H:$N,5,0)),"")</f>
        <v/>
      </c>
      <c r="L4769" s="55" t="str">
        <f>IFERROR(IF($G4769="","",VLOOKUP('Dashboard And Emails Automate'!$G4769,Database!$H:$N,6,0)),"")</f>
        <v/>
      </c>
      <c r="M4769" s="55" t="str">
        <f>IFERROR(IF($G4769="","",VLOOKUP('Dashboard And Emails Automate'!$G4769,Database!$H:$N,7,0)),"")</f>
        <v/>
      </c>
      <c r="N4769" s="55" t="str">
        <f>IFERROR(IF(OR($B4769="",$B4769="(blank)"),"",VLOOKUP($B4769,'Email Marketing Raw Data'!$C:$O,6,0)),"")</f>
        <v/>
      </c>
      <c r="O4769" s="55" t="str">
        <f>IFERROR(IF(OR($B4769="",$B4769="(blank)"),"",VLOOKUP($B4769,'Email Marketing Raw Data'!$C:$O,7,0)),"")</f>
        <v/>
      </c>
      <c r="P4769" s="55" t="str">
        <f>IFERROR(IF(OR($B4769="",$B4769="(blank)"),"",VLOOKUP($B4769,'Email Marketing Raw Data'!$C:$O,8,0)),"")</f>
        <v/>
      </c>
      <c r="Q4769" s="62" t="str">
        <f>IFERROR(IF(OR($B4769="",$B4769="(blank)"),"",VLOOKUP($B4769,'Email Marketing Raw Data'!$C:$O,9,0)),"")</f>
        <v/>
      </c>
    </row>
    <row r="4770" spans="4:17" ht="12.75" customHeight="1" x14ac:dyDescent="0.2">
      <c r="D4770" s="58" t="str">
        <f>IFERROR(IF(F4770&lt;&gt;"pending","",IF(OR($B4770="",$B4770="(blank)"),"",VLOOKUP($B4770,'Email Marketing Raw Data'!$C:$O,10,0))),"")</f>
        <v/>
      </c>
      <c r="E4770" s="59" t="str">
        <f>IFERROR(IF(F4770&lt;&gt;"pending","",IF(OR($B4770="",$B4770="(blank)"),"",VLOOKUP($B4770,'Email Marketing Raw Data'!$C:$O,11,0))),"")</f>
        <v/>
      </c>
      <c r="F4770" s="54" t="str">
        <f>IFERROR(IF(OR($B4770="",$B4770="(blank)"),"",VLOOKUP($B4770,'Email Marketing Raw Data'!$C:$O,13,0)),"")</f>
        <v/>
      </c>
      <c r="G4770" s="55" t="str">
        <f>IFERROR(IF(OR($B4770="",$B4770="(blank)"),"",VLOOKUP($B4770,'Email Marketing Raw Data'!$C:$O,4,0)),"")</f>
        <v/>
      </c>
      <c r="H4770" s="55" t="str">
        <f>IFERROR(IF(OR($B4770="",$B4770="(blank)"),"",VLOOKUP($B4770,'Email Marketing Raw Data'!$C:$O,5,0)),"")</f>
        <v/>
      </c>
      <c r="I4770" s="55" t="str">
        <f>IFERROR(IF($G4770="","",VLOOKUP('Dashboard And Emails Automate'!$G4770,Database!$H:$N,3,0)),"")</f>
        <v/>
      </c>
      <c r="J4770" s="55" t="str">
        <f>IFERROR(IF($G4770="","",VLOOKUP('Dashboard And Emails Automate'!$G4770,Database!$H:$N,4,0)),"")</f>
        <v/>
      </c>
      <c r="K4770" s="55" t="str">
        <f>IFERROR(IF($G4770="","",VLOOKUP('Dashboard And Emails Automate'!$G4770,Database!$H:$N,5,0)),"")</f>
        <v/>
      </c>
      <c r="L4770" s="55" t="str">
        <f>IFERROR(IF($G4770="","",VLOOKUP('Dashboard And Emails Automate'!$G4770,Database!$H:$N,6,0)),"")</f>
        <v/>
      </c>
      <c r="M4770" s="55" t="str">
        <f>IFERROR(IF($G4770="","",VLOOKUP('Dashboard And Emails Automate'!$G4770,Database!$H:$N,7,0)),"")</f>
        <v/>
      </c>
      <c r="N4770" s="55" t="str">
        <f>IFERROR(IF(OR($B4770="",$B4770="(blank)"),"",VLOOKUP($B4770,'Email Marketing Raw Data'!$C:$O,6,0)),"")</f>
        <v/>
      </c>
      <c r="O4770" s="55" t="str">
        <f>IFERROR(IF(OR($B4770="",$B4770="(blank)"),"",VLOOKUP($B4770,'Email Marketing Raw Data'!$C:$O,7,0)),"")</f>
        <v/>
      </c>
      <c r="P4770" s="55" t="str">
        <f>IFERROR(IF(OR($B4770="",$B4770="(blank)"),"",VLOOKUP($B4770,'Email Marketing Raw Data'!$C:$O,8,0)),"")</f>
        <v/>
      </c>
      <c r="Q4770" s="62" t="str">
        <f>IFERROR(IF(OR($B4770="",$B4770="(blank)"),"",VLOOKUP($B4770,'Email Marketing Raw Data'!$C:$O,9,0)),"")</f>
        <v/>
      </c>
    </row>
    <row r="4771" spans="4:17" ht="12.75" customHeight="1" x14ac:dyDescent="0.2">
      <c r="D4771" s="58" t="str">
        <f>IFERROR(IF(F4771&lt;&gt;"pending","",IF(OR($B4771="",$B4771="(blank)"),"",VLOOKUP($B4771,'Email Marketing Raw Data'!$C:$O,10,0))),"")</f>
        <v/>
      </c>
      <c r="E4771" s="59" t="str">
        <f>IFERROR(IF(F4771&lt;&gt;"pending","",IF(OR($B4771="",$B4771="(blank)"),"",VLOOKUP($B4771,'Email Marketing Raw Data'!$C:$O,11,0))),"")</f>
        <v/>
      </c>
      <c r="F4771" s="54" t="str">
        <f>IFERROR(IF(OR($B4771="",$B4771="(blank)"),"",VLOOKUP($B4771,'Email Marketing Raw Data'!$C:$O,13,0)),"")</f>
        <v/>
      </c>
      <c r="G4771" s="55" t="str">
        <f>IFERROR(IF(OR($B4771="",$B4771="(blank)"),"",VLOOKUP($B4771,'Email Marketing Raw Data'!$C:$O,4,0)),"")</f>
        <v/>
      </c>
      <c r="H4771" s="55" t="str">
        <f>IFERROR(IF(OR($B4771="",$B4771="(blank)"),"",VLOOKUP($B4771,'Email Marketing Raw Data'!$C:$O,5,0)),"")</f>
        <v/>
      </c>
      <c r="I4771" s="55" t="str">
        <f>IFERROR(IF($G4771="","",VLOOKUP('Dashboard And Emails Automate'!$G4771,Database!$H:$N,3,0)),"")</f>
        <v/>
      </c>
      <c r="J4771" s="55" t="str">
        <f>IFERROR(IF($G4771="","",VLOOKUP('Dashboard And Emails Automate'!$G4771,Database!$H:$N,4,0)),"")</f>
        <v/>
      </c>
      <c r="K4771" s="55" t="str">
        <f>IFERROR(IF($G4771="","",VLOOKUP('Dashboard And Emails Automate'!$G4771,Database!$H:$N,5,0)),"")</f>
        <v/>
      </c>
      <c r="L4771" s="55" t="str">
        <f>IFERROR(IF($G4771="","",VLOOKUP('Dashboard And Emails Automate'!$G4771,Database!$H:$N,6,0)),"")</f>
        <v/>
      </c>
      <c r="M4771" s="55" t="str">
        <f>IFERROR(IF($G4771="","",VLOOKUP('Dashboard And Emails Automate'!$G4771,Database!$H:$N,7,0)),"")</f>
        <v/>
      </c>
      <c r="N4771" s="55" t="str">
        <f>IFERROR(IF(OR($B4771="",$B4771="(blank)"),"",VLOOKUP($B4771,'Email Marketing Raw Data'!$C:$O,6,0)),"")</f>
        <v/>
      </c>
      <c r="O4771" s="55" t="str">
        <f>IFERROR(IF(OR($B4771="",$B4771="(blank)"),"",VLOOKUP($B4771,'Email Marketing Raw Data'!$C:$O,7,0)),"")</f>
        <v/>
      </c>
      <c r="P4771" s="55" t="str">
        <f>IFERROR(IF(OR($B4771="",$B4771="(blank)"),"",VLOOKUP($B4771,'Email Marketing Raw Data'!$C:$O,8,0)),"")</f>
        <v/>
      </c>
      <c r="Q4771" s="62" t="str">
        <f>IFERROR(IF(OR($B4771="",$B4771="(blank)"),"",VLOOKUP($B4771,'Email Marketing Raw Data'!$C:$O,9,0)),"")</f>
        <v/>
      </c>
    </row>
    <row r="4772" spans="4:17" ht="12.75" customHeight="1" x14ac:dyDescent="0.2">
      <c r="D4772" s="58" t="str">
        <f>IFERROR(IF(F4772&lt;&gt;"pending","",IF(OR($B4772="",$B4772="(blank)"),"",VLOOKUP($B4772,'Email Marketing Raw Data'!$C:$O,10,0))),"")</f>
        <v/>
      </c>
      <c r="E4772" s="59" t="str">
        <f>IFERROR(IF(F4772&lt;&gt;"pending","",IF(OR($B4772="",$B4772="(blank)"),"",VLOOKUP($B4772,'Email Marketing Raw Data'!$C:$O,11,0))),"")</f>
        <v/>
      </c>
      <c r="F4772" s="54" t="str">
        <f>IFERROR(IF(OR($B4772="",$B4772="(blank)"),"",VLOOKUP($B4772,'Email Marketing Raw Data'!$C:$O,13,0)),"")</f>
        <v/>
      </c>
      <c r="G4772" s="55" t="str">
        <f>IFERROR(IF(OR($B4772="",$B4772="(blank)"),"",VLOOKUP($B4772,'Email Marketing Raw Data'!$C:$O,4,0)),"")</f>
        <v/>
      </c>
      <c r="H4772" s="55" t="str">
        <f>IFERROR(IF(OR($B4772="",$B4772="(blank)"),"",VLOOKUP($B4772,'Email Marketing Raw Data'!$C:$O,5,0)),"")</f>
        <v/>
      </c>
      <c r="I4772" s="55" t="str">
        <f>IFERROR(IF($G4772="","",VLOOKUP('Dashboard And Emails Automate'!$G4772,Database!$H:$N,3,0)),"")</f>
        <v/>
      </c>
      <c r="J4772" s="55" t="str">
        <f>IFERROR(IF($G4772="","",VLOOKUP('Dashboard And Emails Automate'!$G4772,Database!$H:$N,4,0)),"")</f>
        <v/>
      </c>
      <c r="K4772" s="55" t="str">
        <f>IFERROR(IF($G4772="","",VLOOKUP('Dashboard And Emails Automate'!$G4772,Database!$H:$N,5,0)),"")</f>
        <v/>
      </c>
      <c r="L4772" s="55" t="str">
        <f>IFERROR(IF($G4772="","",VLOOKUP('Dashboard And Emails Automate'!$G4772,Database!$H:$N,6,0)),"")</f>
        <v/>
      </c>
      <c r="M4772" s="55" t="str">
        <f>IFERROR(IF($G4772="","",VLOOKUP('Dashboard And Emails Automate'!$G4772,Database!$H:$N,7,0)),"")</f>
        <v/>
      </c>
      <c r="N4772" s="55" t="str">
        <f>IFERROR(IF(OR($B4772="",$B4772="(blank)"),"",VLOOKUP($B4772,'Email Marketing Raw Data'!$C:$O,6,0)),"")</f>
        <v/>
      </c>
      <c r="O4772" s="55" t="str">
        <f>IFERROR(IF(OR($B4772="",$B4772="(blank)"),"",VLOOKUP($B4772,'Email Marketing Raw Data'!$C:$O,7,0)),"")</f>
        <v/>
      </c>
      <c r="P4772" s="55" t="str">
        <f>IFERROR(IF(OR($B4772="",$B4772="(blank)"),"",VLOOKUP($B4772,'Email Marketing Raw Data'!$C:$O,8,0)),"")</f>
        <v/>
      </c>
      <c r="Q4772" s="62" t="str">
        <f>IFERROR(IF(OR($B4772="",$B4772="(blank)"),"",VLOOKUP($B4772,'Email Marketing Raw Data'!$C:$O,9,0)),"")</f>
        <v/>
      </c>
    </row>
    <row r="4773" spans="4:17" ht="12.75" customHeight="1" x14ac:dyDescent="0.2">
      <c r="D4773" s="58" t="str">
        <f>IFERROR(IF(F4773&lt;&gt;"pending","",IF(OR($B4773="",$B4773="(blank)"),"",VLOOKUP($B4773,'Email Marketing Raw Data'!$C:$O,10,0))),"")</f>
        <v/>
      </c>
      <c r="E4773" s="59" t="str">
        <f>IFERROR(IF(F4773&lt;&gt;"pending","",IF(OR($B4773="",$B4773="(blank)"),"",VLOOKUP($B4773,'Email Marketing Raw Data'!$C:$O,11,0))),"")</f>
        <v/>
      </c>
      <c r="F4773" s="54" t="str">
        <f>IFERROR(IF(OR($B4773="",$B4773="(blank)"),"",VLOOKUP($B4773,'Email Marketing Raw Data'!$C:$O,13,0)),"")</f>
        <v/>
      </c>
      <c r="G4773" s="55" t="str">
        <f>IFERROR(IF(OR($B4773="",$B4773="(blank)"),"",VLOOKUP($B4773,'Email Marketing Raw Data'!$C:$O,4,0)),"")</f>
        <v/>
      </c>
      <c r="H4773" s="55" t="str">
        <f>IFERROR(IF(OR($B4773="",$B4773="(blank)"),"",VLOOKUP($B4773,'Email Marketing Raw Data'!$C:$O,5,0)),"")</f>
        <v/>
      </c>
      <c r="I4773" s="55" t="str">
        <f>IFERROR(IF($G4773="","",VLOOKUP('Dashboard And Emails Automate'!$G4773,Database!$H:$N,3,0)),"")</f>
        <v/>
      </c>
      <c r="J4773" s="55" t="str">
        <f>IFERROR(IF($G4773="","",VLOOKUP('Dashboard And Emails Automate'!$G4773,Database!$H:$N,4,0)),"")</f>
        <v/>
      </c>
      <c r="K4773" s="55" t="str">
        <f>IFERROR(IF($G4773="","",VLOOKUP('Dashboard And Emails Automate'!$G4773,Database!$H:$N,5,0)),"")</f>
        <v/>
      </c>
      <c r="L4773" s="55" t="str">
        <f>IFERROR(IF($G4773="","",VLOOKUP('Dashboard And Emails Automate'!$G4773,Database!$H:$N,6,0)),"")</f>
        <v/>
      </c>
      <c r="M4773" s="55" t="str">
        <f>IFERROR(IF($G4773="","",VLOOKUP('Dashboard And Emails Automate'!$G4773,Database!$H:$N,7,0)),"")</f>
        <v/>
      </c>
      <c r="N4773" s="55" t="str">
        <f>IFERROR(IF(OR($B4773="",$B4773="(blank)"),"",VLOOKUP($B4773,'Email Marketing Raw Data'!$C:$O,6,0)),"")</f>
        <v/>
      </c>
      <c r="O4773" s="55" t="str">
        <f>IFERROR(IF(OR($B4773="",$B4773="(blank)"),"",VLOOKUP($B4773,'Email Marketing Raw Data'!$C:$O,7,0)),"")</f>
        <v/>
      </c>
      <c r="P4773" s="55" t="str">
        <f>IFERROR(IF(OR($B4773="",$B4773="(blank)"),"",VLOOKUP($B4773,'Email Marketing Raw Data'!$C:$O,8,0)),"")</f>
        <v/>
      </c>
      <c r="Q4773" s="62" t="str">
        <f>IFERROR(IF(OR($B4773="",$B4773="(blank)"),"",VLOOKUP($B4773,'Email Marketing Raw Data'!$C:$O,9,0)),"")</f>
        <v/>
      </c>
    </row>
    <row r="4774" spans="4:17" ht="12.75" customHeight="1" x14ac:dyDescent="0.2">
      <c r="D4774" s="58" t="str">
        <f>IFERROR(IF(F4774&lt;&gt;"pending","",IF(OR($B4774="",$B4774="(blank)"),"",VLOOKUP($B4774,'Email Marketing Raw Data'!$C:$O,10,0))),"")</f>
        <v/>
      </c>
      <c r="E4774" s="59" t="str">
        <f>IFERROR(IF(F4774&lt;&gt;"pending","",IF(OR($B4774="",$B4774="(blank)"),"",VLOOKUP($B4774,'Email Marketing Raw Data'!$C:$O,11,0))),"")</f>
        <v/>
      </c>
      <c r="F4774" s="54" t="str">
        <f>IFERROR(IF(OR($B4774="",$B4774="(blank)"),"",VLOOKUP($B4774,'Email Marketing Raw Data'!$C:$O,13,0)),"")</f>
        <v/>
      </c>
      <c r="G4774" s="55" t="str">
        <f>IFERROR(IF(OR($B4774="",$B4774="(blank)"),"",VLOOKUP($B4774,'Email Marketing Raw Data'!$C:$O,4,0)),"")</f>
        <v/>
      </c>
      <c r="H4774" s="55" t="str">
        <f>IFERROR(IF(OR($B4774="",$B4774="(blank)"),"",VLOOKUP($B4774,'Email Marketing Raw Data'!$C:$O,5,0)),"")</f>
        <v/>
      </c>
      <c r="I4774" s="55" t="str">
        <f>IFERROR(IF($G4774="","",VLOOKUP('Dashboard And Emails Automate'!$G4774,Database!$H:$N,3,0)),"")</f>
        <v/>
      </c>
      <c r="J4774" s="55" t="str">
        <f>IFERROR(IF($G4774="","",VLOOKUP('Dashboard And Emails Automate'!$G4774,Database!$H:$N,4,0)),"")</f>
        <v/>
      </c>
      <c r="K4774" s="55" t="str">
        <f>IFERROR(IF($G4774="","",VLOOKUP('Dashboard And Emails Automate'!$G4774,Database!$H:$N,5,0)),"")</f>
        <v/>
      </c>
      <c r="L4774" s="55" t="str">
        <f>IFERROR(IF($G4774="","",VLOOKUP('Dashboard And Emails Automate'!$G4774,Database!$H:$N,6,0)),"")</f>
        <v/>
      </c>
      <c r="M4774" s="55" t="str">
        <f>IFERROR(IF($G4774="","",VLOOKUP('Dashboard And Emails Automate'!$G4774,Database!$H:$N,7,0)),"")</f>
        <v/>
      </c>
      <c r="N4774" s="55" t="str">
        <f>IFERROR(IF(OR($B4774="",$B4774="(blank)"),"",VLOOKUP($B4774,'Email Marketing Raw Data'!$C:$O,6,0)),"")</f>
        <v/>
      </c>
      <c r="O4774" s="55" t="str">
        <f>IFERROR(IF(OR($B4774="",$B4774="(blank)"),"",VLOOKUP($B4774,'Email Marketing Raw Data'!$C:$O,7,0)),"")</f>
        <v/>
      </c>
      <c r="P4774" s="55" t="str">
        <f>IFERROR(IF(OR($B4774="",$B4774="(blank)"),"",VLOOKUP($B4774,'Email Marketing Raw Data'!$C:$O,8,0)),"")</f>
        <v/>
      </c>
      <c r="Q4774" s="62" t="str">
        <f>IFERROR(IF(OR($B4774="",$B4774="(blank)"),"",VLOOKUP($B4774,'Email Marketing Raw Data'!$C:$O,9,0)),"")</f>
        <v/>
      </c>
    </row>
    <row r="4775" spans="4:17" ht="12.75" customHeight="1" x14ac:dyDescent="0.2">
      <c r="D4775" s="58" t="str">
        <f>IFERROR(IF(F4775&lt;&gt;"pending","",IF(OR($B4775="",$B4775="(blank)"),"",VLOOKUP($B4775,'Email Marketing Raw Data'!$C:$O,10,0))),"")</f>
        <v/>
      </c>
      <c r="E4775" s="59" t="str">
        <f>IFERROR(IF(F4775&lt;&gt;"pending","",IF(OR($B4775="",$B4775="(blank)"),"",VLOOKUP($B4775,'Email Marketing Raw Data'!$C:$O,11,0))),"")</f>
        <v/>
      </c>
      <c r="F4775" s="54" t="str">
        <f>IFERROR(IF(OR($B4775="",$B4775="(blank)"),"",VLOOKUP($B4775,'Email Marketing Raw Data'!$C:$O,13,0)),"")</f>
        <v/>
      </c>
      <c r="G4775" s="55" t="str">
        <f>IFERROR(IF(OR($B4775="",$B4775="(blank)"),"",VLOOKUP($B4775,'Email Marketing Raw Data'!$C:$O,4,0)),"")</f>
        <v/>
      </c>
      <c r="H4775" s="55" t="str">
        <f>IFERROR(IF(OR($B4775="",$B4775="(blank)"),"",VLOOKUP($B4775,'Email Marketing Raw Data'!$C:$O,5,0)),"")</f>
        <v/>
      </c>
      <c r="I4775" s="55" t="str">
        <f>IFERROR(IF($G4775="","",VLOOKUP('Dashboard And Emails Automate'!$G4775,Database!$H:$N,3,0)),"")</f>
        <v/>
      </c>
      <c r="J4775" s="55" t="str">
        <f>IFERROR(IF($G4775="","",VLOOKUP('Dashboard And Emails Automate'!$G4775,Database!$H:$N,4,0)),"")</f>
        <v/>
      </c>
      <c r="K4775" s="55" t="str">
        <f>IFERROR(IF($G4775="","",VLOOKUP('Dashboard And Emails Automate'!$G4775,Database!$H:$N,5,0)),"")</f>
        <v/>
      </c>
      <c r="L4775" s="55" t="str">
        <f>IFERROR(IF($G4775="","",VLOOKUP('Dashboard And Emails Automate'!$G4775,Database!$H:$N,6,0)),"")</f>
        <v/>
      </c>
      <c r="M4775" s="55" t="str">
        <f>IFERROR(IF($G4775="","",VLOOKUP('Dashboard And Emails Automate'!$G4775,Database!$H:$N,7,0)),"")</f>
        <v/>
      </c>
      <c r="N4775" s="55" t="str">
        <f>IFERROR(IF(OR($B4775="",$B4775="(blank)"),"",VLOOKUP($B4775,'Email Marketing Raw Data'!$C:$O,6,0)),"")</f>
        <v/>
      </c>
      <c r="O4775" s="55" t="str">
        <f>IFERROR(IF(OR($B4775="",$B4775="(blank)"),"",VLOOKUP($B4775,'Email Marketing Raw Data'!$C:$O,7,0)),"")</f>
        <v/>
      </c>
      <c r="P4775" s="55" t="str">
        <f>IFERROR(IF(OR($B4775="",$B4775="(blank)"),"",VLOOKUP($B4775,'Email Marketing Raw Data'!$C:$O,8,0)),"")</f>
        <v/>
      </c>
      <c r="Q4775" s="62" t="str">
        <f>IFERROR(IF(OR($B4775="",$B4775="(blank)"),"",VLOOKUP($B4775,'Email Marketing Raw Data'!$C:$O,9,0)),"")</f>
        <v/>
      </c>
    </row>
    <row r="4776" spans="4:17" ht="12.75" customHeight="1" x14ac:dyDescent="0.2">
      <c r="D4776" s="58" t="str">
        <f>IFERROR(IF(F4776&lt;&gt;"pending","",IF(OR($B4776="",$B4776="(blank)"),"",VLOOKUP($B4776,'Email Marketing Raw Data'!$C:$O,10,0))),"")</f>
        <v/>
      </c>
      <c r="E4776" s="59" t="str">
        <f>IFERROR(IF(F4776&lt;&gt;"pending","",IF(OR($B4776="",$B4776="(blank)"),"",VLOOKUP($B4776,'Email Marketing Raw Data'!$C:$O,11,0))),"")</f>
        <v/>
      </c>
      <c r="F4776" s="54" t="str">
        <f>IFERROR(IF(OR($B4776="",$B4776="(blank)"),"",VLOOKUP($B4776,'Email Marketing Raw Data'!$C:$O,13,0)),"")</f>
        <v/>
      </c>
      <c r="G4776" s="55" t="str">
        <f>IFERROR(IF(OR($B4776="",$B4776="(blank)"),"",VLOOKUP($B4776,'Email Marketing Raw Data'!$C:$O,4,0)),"")</f>
        <v/>
      </c>
      <c r="H4776" s="55" t="str">
        <f>IFERROR(IF(OR($B4776="",$B4776="(blank)"),"",VLOOKUP($B4776,'Email Marketing Raw Data'!$C:$O,5,0)),"")</f>
        <v/>
      </c>
      <c r="I4776" s="55" t="str">
        <f>IFERROR(IF($G4776="","",VLOOKUP('Dashboard And Emails Automate'!$G4776,Database!$H:$N,3,0)),"")</f>
        <v/>
      </c>
      <c r="J4776" s="55" t="str">
        <f>IFERROR(IF($G4776="","",VLOOKUP('Dashboard And Emails Automate'!$G4776,Database!$H:$N,4,0)),"")</f>
        <v/>
      </c>
      <c r="K4776" s="55" t="str">
        <f>IFERROR(IF($G4776="","",VLOOKUP('Dashboard And Emails Automate'!$G4776,Database!$H:$N,5,0)),"")</f>
        <v/>
      </c>
      <c r="L4776" s="55" t="str">
        <f>IFERROR(IF($G4776="","",VLOOKUP('Dashboard And Emails Automate'!$G4776,Database!$H:$N,6,0)),"")</f>
        <v/>
      </c>
      <c r="M4776" s="55" t="str">
        <f>IFERROR(IF($G4776="","",VLOOKUP('Dashboard And Emails Automate'!$G4776,Database!$H:$N,7,0)),"")</f>
        <v/>
      </c>
      <c r="N4776" s="55" t="str">
        <f>IFERROR(IF(OR($B4776="",$B4776="(blank)"),"",VLOOKUP($B4776,'Email Marketing Raw Data'!$C:$O,6,0)),"")</f>
        <v/>
      </c>
      <c r="O4776" s="55" t="str">
        <f>IFERROR(IF(OR($B4776="",$B4776="(blank)"),"",VLOOKUP($B4776,'Email Marketing Raw Data'!$C:$O,7,0)),"")</f>
        <v/>
      </c>
      <c r="P4776" s="55" t="str">
        <f>IFERROR(IF(OR($B4776="",$B4776="(blank)"),"",VLOOKUP($B4776,'Email Marketing Raw Data'!$C:$O,8,0)),"")</f>
        <v/>
      </c>
      <c r="Q4776" s="62" t="str">
        <f>IFERROR(IF(OR($B4776="",$B4776="(blank)"),"",VLOOKUP($B4776,'Email Marketing Raw Data'!$C:$O,9,0)),"")</f>
        <v/>
      </c>
    </row>
    <row r="4777" spans="4:17" ht="12.75" customHeight="1" x14ac:dyDescent="0.2">
      <c r="D4777" s="58" t="str">
        <f>IFERROR(IF(F4777&lt;&gt;"pending","",IF(OR($B4777="",$B4777="(blank)"),"",VLOOKUP($B4777,'Email Marketing Raw Data'!$C:$O,10,0))),"")</f>
        <v/>
      </c>
      <c r="E4777" s="59" t="str">
        <f>IFERROR(IF(F4777&lt;&gt;"pending","",IF(OR($B4777="",$B4777="(blank)"),"",VLOOKUP($B4777,'Email Marketing Raw Data'!$C:$O,11,0))),"")</f>
        <v/>
      </c>
      <c r="F4777" s="54" t="str">
        <f>IFERROR(IF(OR($B4777="",$B4777="(blank)"),"",VLOOKUP($B4777,'Email Marketing Raw Data'!$C:$O,13,0)),"")</f>
        <v/>
      </c>
      <c r="G4777" s="55" t="str">
        <f>IFERROR(IF(OR($B4777="",$B4777="(blank)"),"",VLOOKUP($B4777,'Email Marketing Raw Data'!$C:$O,4,0)),"")</f>
        <v/>
      </c>
      <c r="H4777" s="55" t="str">
        <f>IFERROR(IF(OR($B4777="",$B4777="(blank)"),"",VLOOKUP($B4777,'Email Marketing Raw Data'!$C:$O,5,0)),"")</f>
        <v/>
      </c>
      <c r="I4777" s="55" t="str">
        <f>IFERROR(IF($G4777="","",VLOOKUP('Dashboard And Emails Automate'!$G4777,Database!$H:$N,3,0)),"")</f>
        <v/>
      </c>
      <c r="J4777" s="55" t="str">
        <f>IFERROR(IF($G4777="","",VLOOKUP('Dashboard And Emails Automate'!$G4777,Database!$H:$N,4,0)),"")</f>
        <v/>
      </c>
      <c r="K4777" s="55" t="str">
        <f>IFERROR(IF($G4777="","",VLOOKUP('Dashboard And Emails Automate'!$G4777,Database!$H:$N,5,0)),"")</f>
        <v/>
      </c>
      <c r="L4777" s="55" t="str">
        <f>IFERROR(IF($G4777="","",VLOOKUP('Dashboard And Emails Automate'!$G4777,Database!$H:$N,6,0)),"")</f>
        <v/>
      </c>
      <c r="M4777" s="55" t="str">
        <f>IFERROR(IF($G4777="","",VLOOKUP('Dashboard And Emails Automate'!$G4777,Database!$H:$N,7,0)),"")</f>
        <v/>
      </c>
      <c r="N4777" s="55" t="str">
        <f>IFERROR(IF(OR($B4777="",$B4777="(blank)"),"",VLOOKUP($B4777,'Email Marketing Raw Data'!$C:$O,6,0)),"")</f>
        <v/>
      </c>
      <c r="O4777" s="55" t="str">
        <f>IFERROR(IF(OR($B4777="",$B4777="(blank)"),"",VLOOKUP($B4777,'Email Marketing Raw Data'!$C:$O,7,0)),"")</f>
        <v/>
      </c>
      <c r="P4777" s="55" t="str">
        <f>IFERROR(IF(OR($B4777="",$B4777="(blank)"),"",VLOOKUP($B4777,'Email Marketing Raw Data'!$C:$O,8,0)),"")</f>
        <v/>
      </c>
      <c r="Q4777" s="62" t="str">
        <f>IFERROR(IF(OR($B4777="",$B4777="(blank)"),"",VLOOKUP($B4777,'Email Marketing Raw Data'!$C:$O,9,0)),"")</f>
        <v/>
      </c>
    </row>
    <row r="4778" spans="4:17" ht="12.75" customHeight="1" x14ac:dyDescent="0.2">
      <c r="D4778" s="58" t="str">
        <f>IFERROR(IF(F4778&lt;&gt;"pending","",IF(OR($B4778="",$B4778="(blank)"),"",VLOOKUP($B4778,'Email Marketing Raw Data'!$C:$O,10,0))),"")</f>
        <v/>
      </c>
      <c r="E4778" s="59" t="str">
        <f>IFERROR(IF(F4778&lt;&gt;"pending","",IF(OR($B4778="",$B4778="(blank)"),"",VLOOKUP($B4778,'Email Marketing Raw Data'!$C:$O,11,0))),"")</f>
        <v/>
      </c>
      <c r="F4778" s="54" t="str">
        <f>IFERROR(IF(OR($B4778="",$B4778="(blank)"),"",VLOOKUP($B4778,'Email Marketing Raw Data'!$C:$O,13,0)),"")</f>
        <v/>
      </c>
      <c r="G4778" s="55" t="str">
        <f>IFERROR(IF(OR($B4778="",$B4778="(blank)"),"",VLOOKUP($B4778,'Email Marketing Raw Data'!$C:$O,4,0)),"")</f>
        <v/>
      </c>
      <c r="H4778" s="55" t="str">
        <f>IFERROR(IF(OR($B4778="",$B4778="(blank)"),"",VLOOKUP($B4778,'Email Marketing Raw Data'!$C:$O,5,0)),"")</f>
        <v/>
      </c>
      <c r="I4778" s="55" t="str">
        <f>IFERROR(IF($G4778="","",VLOOKUP('Dashboard And Emails Automate'!$G4778,Database!$H:$N,3,0)),"")</f>
        <v/>
      </c>
      <c r="J4778" s="55" t="str">
        <f>IFERROR(IF($G4778="","",VLOOKUP('Dashboard And Emails Automate'!$G4778,Database!$H:$N,4,0)),"")</f>
        <v/>
      </c>
      <c r="K4778" s="55" t="str">
        <f>IFERROR(IF($G4778="","",VLOOKUP('Dashboard And Emails Automate'!$G4778,Database!$H:$N,5,0)),"")</f>
        <v/>
      </c>
      <c r="L4778" s="55" t="str">
        <f>IFERROR(IF($G4778="","",VLOOKUP('Dashboard And Emails Automate'!$G4778,Database!$H:$N,6,0)),"")</f>
        <v/>
      </c>
      <c r="M4778" s="55" t="str">
        <f>IFERROR(IF($G4778="","",VLOOKUP('Dashboard And Emails Automate'!$G4778,Database!$H:$N,7,0)),"")</f>
        <v/>
      </c>
      <c r="N4778" s="55" t="str">
        <f>IFERROR(IF(OR($B4778="",$B4778="(blank)"),"",VLOOKUP($B4778,'Email Marketing Raw Data'!$C:$O,6,0)),"")</f>
        <v/>
      </c>
      <c r="O4778" s="55" t="str">
        <f>IFERROR(IF(OR($B4778="",$B4778="(blank)"),"",VLOOKUP($B4778,'Email Marketing Raw Data'!$C:$O,7,0)),"")</f>
        <v/>
      </c>
      <c r="P4778" s="55" t="str">
        <f>IFERROR(IF(OR($B4778="",$B4778="(blank)"),"",VLOOKUP($B4778,'Email Marketing Raw Data'!$C:$O,8,0)),"")</f>
        <v/>
      </c>
      <c r="Q4778" s="62" t="str">
        <f>IFERROR(IF(OR($B4778="",$B4778="(blank)"),"",VLOOKUP($B4778,'Email Marketing Raw Data'!$C:$O,9,0)),"")</f>
        <v/>
      </c>
    </row>
    <row r="4779" spans="4:17" ht="12.75" customHeight="1" x14ac:dyDescent="0.2">
      <c r="D4779" s="58" t="str">
        <f>IFERROR(IF(F4779&lt;&gt;"pending","",IF(OR($B4779="",$B4779="(blank)"),"",VLOOKUP($B4779,'Email Marketing Raw Data'!$C:$O,10,0))),"")</f>
        <v/>
      </c>
      <c r="E4779" s="59" t="str">
        <f>IFERROR(IF(F4779&lt;&gt;"pending","",IF(OR($B4779="",$B4779="(blank)"),"",VLOOKUP($B4779,'Email Marketing Raw Data'!$C:$O,11,0))),"")</f>
        <v/>
      </c>
      <c r="F4779" s="54" t="str">
        <f>IFERROR(IF(OR($B4779="",$B4779="(blank)"),"",VLOOKUP($B4779,'Email Marketing Raw Data'!$C:$O,13,0)),"")</f>
        <v/>
      </c>
      <c r="G4779" s="55" t="str">
        <f>IFERROR(IF(OR($B4779="",$B4779="(blank)"),"",VLOOKUP($B4779,'Email Marketing Raw Data'!$C:$O,4,0)),"")</f>
        <v/>
      </c>
      <c r="H4779" s="55" t="str">
        <f>IFERROR(IF(OR($B4779="",$B4779="(blank)"),"",VLOOKUP($B4779,'Email Marketing Raw Data'!$C:$O,5,0)),"")</f>
        <v/>
      </c>
      <c r="I4779" s="55" t="str">
        <f>IFERROR(IF($G4779="","",VLOOKUP('Dashboard And Emails Automate'!$G4779,Database!$H:$N,3,0)),"")</f>
        <v/>
      </c>
      <c r="J4779" s="55" t="str">
        <f>IFERROR(IF($G4779="","",VLOOKUP('Dashboard And Emails Automate'!$G4779,Database!$H:$N,4,0)),"")</f>
        <v/>
      </c>
      <c r="K4779" s="55" t="str">
        <f>IFERROR(IF($G4779="","",VLOOKUP('Dashboard And Emails Automate'!$G4779,Database!$H:$N,5,0)),"")</f>
        <v/>
      </c>
      <c r="L4779" s="55" t="str">
        <f>IFERROR(IF($G4779="","",VLOOKUP('Dashboard And Emails Automate'!$G4779,Database!$H:$N,6,0)),"")</f>
        <v/>
      </c>
      <c r="M4779" s="55" t="str">
        <f>IFERROR(IF($G4779="","",VLOOKUP('Dashboard And Emails Automate'!$G4779,Database!$H:$N,7,0)),"")</f>
        <v/>
      </c>
      <c r="N4779" s="55" t="str">
        <f>IFERROR(IF(OR($B4779="",$B4779="(blank)"),"",VLOOKUP($B4779,'Email Marketing Raw Data'!$C:$O,6,0)),"")</f>
        <v/>
      </c>
      <c r="O4779" s="55" t="str">
        <f>IFERROR(IF(OR($B4779="",$B4779="(blank)"),"",VLOOKUP($B4779,'Email Marketing Raw Data'!$C:$O,7,0)),"")</f>
        <v/>
      </c>
      <c r="P4779" s="55" t="str">
        <f>IFERROR(IF(OR($B4779="",$B4779="(blank)"),"",VLOOKUP($B4779,'Email Marketing Raw Data'!$C:$O,8,0)),"")</f>
        <v/>
      </c>
      <c r="Q4779" s="62" t="str">
        <f>IFERROR(IF(OR($B4779="",$B4779="(blank)"),"",VLOOKUP($B4779,'Email Marketing Raw Data'!$C:$O,9,0)),"")</f>
        <v/>
      </c>
    </row>
    <row r="4780" spans="4:17" ht="12.75" customHeight="1" x14ac:dyDescent="0.2">
      <c r="D4780" s="58" t="str">
        <f>IFERROR(IF(F4780&lt;&gt;"pending","",IF(OR($B4780="",$B4780="(blank)"),"",VLOOKUP($B4780,'Email Marketing Raw Data'!$C:$O,10,0))),"")</f>
        <v/>
      </c>
      <c r="E4780" s="59" t="str">
        <f>IFERROR(IF(F4780&lt;&gt;"pending","",IF(OR($B4780="",$B4780="(blank)"),"",VLOOKUP($B4780,'Email Marketing Raw Data'!$C:$O,11,0))),"")</f>
        <v/>
      </c>
      <c r="F4780" s="54" t="str">
        <f>IFERROR(IF(OR($B4780="",$B4780="(blank)"),"",VLOOKUP($B4780,'Email Marketing Raw Data'!$C:$O,13,0)),"")</f>
        <v/>
      </c>
      <c r="G4780" s="55" t="str">
        <f>IFERROR(IF(OR($B4780="",$B4780="(blank)"),"",VLOOKUP($B4780,'Email Marketing Raw Data'!$C:$O,4,0)),"")</f>
        <v/>
      </c>
      <c r="H4780" s="55" t="str">
        <f>IFERROR(IF(OR($B4780="",$B4780="(blank)"),"",VLOOKUP($B4780,'Email Marketing Raw Data'!$C:$O,5,0)),"")</f>
        <v/>
      </c>
      <c r="I4780" s="55" t="str">
        <f>IFERROR(IF($G4780="","",VLOOKUP('Dashboard And Emails Automate'!$G4780,Database!$H:$N,3,0)),"")</f>
        <v/>
      </c>
      <c r="J4780" s="55" t="str">
        <f>IFERROR(IF($G4780="","",VLOOKUP('Dashboard And Emails Automate'!$G4780,Database!$H:$N,4,0)),"")</f>
        <v/>
      </c>
      <c r="K4780" s="55" t="str">
        <f>IFERROR(IF($G4780="","",VLOOKUP('Dashboard And Emails Automate'!$G4780,Database!$H:$N,5,0)),"")</f>
        <v/>
      </c>
      <c r="L4780" s="55" t="str">
        <f>IFERROR(IF($G4780="","",VLOOKUP('Dashboard And Emails Automate'!$G4780,Database!$H:$N,6,0)),"")</f>
        <v/>
      </c>
      <c r="M4780" s="55" t="str">
        <f>IFERROR(IF($G4780="","",VLOOKUP('Dashboard And Emails Automate'!$G4780,Database!$H:$N,7,0)),"")</f>
        <v/>
      </c>
      <c r="N4780" s="55" t="str">
        <f>IFERROR(IF(OR($B4780="",$B4780="(blank)"),"",VLOOKUP($B4780,'Email Marketing Raw Data'!$C:$O,6,0)),"")</f>
        <v/>
      </c>
      <c r="O4780" s="55" t="str">
        <f>IFERROR(IF(OR($B4780="",$B4780="(blank)"),"",VLOOKUP($B4780,'Email Marketing Raw Data'!$C:$O,7,0)),"")</f>
        <v/>
      </c>
      <c r="P4780" s="55" t="str">
        <f>IFERROR(IF(OR($B4780="",$B4780="(blank)"),"",VLOOKUP($B4780,'Email Marketing Raw Data'!$C:$O,8,0)),"")</f>
        <v/>
      </c>
      <c r="Q4780" s="62" t="str">
        <f>IFERROR(IF(OR($B4780="",$B4780="(blank)"),"",VLOOKUP($B4780,'Email Marketing Raw Data'!$C:$O,9,0)),"")</f>
        <v/>
      </c>
    </row>
    <row r="4781" spans="4:17" ht="12.75" customHeight="1" x14ac:dyDescent="0.2">
      <c r="D4781" s="58" t="str">
        <f>IFERROR(IF(F4781&lt;&gt;"pending","",IF(OR($B4781="",$B4781="(blank)"),"",VLOOKUP($B4781,'Email Marketing Raw Data'!$C:$O,10,0))),"")</f>
        <v/>
      </c>
      <c r="E4781" s="59" t="str">
        <f>IFERROR(IF(F4781&lt;&gt;"pending","",IF(OR($B4781="",$B4781="(blank)"),"",VLOOKUP($B4781,'Email Marketing Raw Data'!$C:$O,11,0))),"")</f>
        <v/>
      </c>
      <c r="F4781" s="54" t="str">
        <f>IFERROR(IF(OR($B4781="",$B4781="(blank)"),"",VLOOKUP($B4781,'Email Marketing Raw Data'!$C:$O,13,0)),"")</f>
        <v/>
      </c>
      <c r="G4781" s="55" t="str">
        <f>IFERROR(IF(OR($B4781="",$B4781="(blank)"),"",VLOOKUP($B4781,'Email Marketing Raw Data'!$C:$O,4,0)),"")</f>
        <v/>
      </c>
      <c r="H4781" s="55" t="str">
        <f>IFERROR(IF(OR($B4781="",$B4781="(blank)"),"",VLOOKUP($B4781,'Email Marketing Raw Data'!$C:$O,5,0)),"")</f>
        <v/>
      </c>
      <c r="I4781" s="55" t="str">
        <f>IFERROR(IF($G4781="","",VLOOKUP('Dashboard And Emails Automate'!$G4781,Database!$H:$N,3,0)),"")</f>
        <v/>
      </c>
      <c r="J4781" s="55" t="str">
        <f>IFERROR(IF($G4781="","",VLOOKUP('Dashboard And Emails Automate'!$G4781,Database!$H:$N,4,0)),"")</f>
        <v/>
      </c>
      <c r="K4781" s="55" t="str">
        <f>IFERROR(IF($G4781="","",VLOOKUP('Dashboard And Emails Automate'!$G4781,Database!$H:$N,5,0)),"")</f>
        <v/>
      </c>
      <c r="L4781" s="55" t="str">
        <f>IFERROR(IF($G4781="","",VLOOKUP('Dashboard And Emails Automate'!$G4781,Database!$H:$N,6,0)),"")</f>
        <v/>
      </c>
      <c r="M4781" s="55" t="str">
        <f>IFERROR(IF($G4781="","",VLOOKUP('Dashboard And Emails Automate'!$G4781,Database!$H:$N,7,0)),"")</f>
        <v/>
      </c>
      <c r="N4781" s="55" t="str">
        <f>IFERROR(IF(OR($B4781="",$B4781="(blank)"),"",VLOOKUP($B4781,'Email Marketing Raw Data'!$C:$O,6,0)),"")</f>
        <v/>
      </c>
      <c r="O4781" s="55" t="str">
        <f>IFERROR(IF(OR($B4781="",$B4781="(blank)"),"",VLOOKUP($B4781,'Email Marketing Raw Data'!$C:$O,7,0)),"")</f>
        <v/>
      </c>
      <c r="P4781" s="55" t="str">
        <f>IFERROR(IF(OR($B4781="",$B4781="(blank)"),"",VLOOKUP($B4781,'Email Marketing Raw Data'!$C:$O,8,0)),"")</f>
        <v/>
      </c>
      <c r="Q4781" s="62" t="str">
        <f>IFERROR(IF(OR($B4781="",$B4781="(blank)"),"",VLOOKUP($B4781,'Email Marketing Raw Data'!$C:$O,9,0)),"")</f>
        <v/>
      </c>
    </row>
    <row r="4782" spans="4:17" ht="12.75" customHeight="1" x14ac:dyDescent="0.2">
      <c r="D4782" s="58" t="str">
        <f>IFERROR(IF(F4782&lt;&gt;"pending","",IF(OR($B4782="",$B4782="(blank)"),"",VLOOKUP($B4782,'Email Marketing Raw Data'!$C:$O,10,0))),"")</f>
        <v/>
      </c>
      <c r="E4782" s="59" t="str">
        <f>IFERROR(IF(F4782&lt;&gt;"pending","",IF(OR($B4782="",$B4782="(blank)"),"",VLOOKUP($B4782,'Email Marketing Raw Data'!$C:$O,11,0))),"")</f>
        <v/>
      </c>
      <c r="F4782" s="54" t="str">
        <f>IFERROR(IF(OR($B4782="",$B4782="(blank)"),"",VLOOKUP($B4782,'Email Marketing Raw Data'!$C:$O,13,0)),"")</f>
        <v/>
      </c>
      <c r="G4782" s="55" t="str">
        <f>IFERROR(IF(OR($B4782="",$B4782="(blank)"),"",VLOOKUP($B4782,'Email Marketing Raw Data'!$C:$O,4,0)),"")</f>
        <v/>
      </c>
      <c r="H4782" s="55" t="str">
        <f>IFERROR(IF(OR($B4782="",$B4782="(blank)"),"",VLOOKUP($B4782,'Email Marketing Raw Data'!$C:$O,5,0)),"")</f>
        <v/>
      </c>
      <c r="I4782" s="55" t="str">
        <f>IFERROR(IF($G4782="","",VLOOKUP('Dashboard And Emails Automate'!$G4782,Database!$H:$N,3,0)),"")</f>
        <v/>
      </c>
      <c r="J4782" s="55" t="str">
        <f>IFERROR(IF($G4782="","",VLOOKUP('Dashboard And Emails Automate'!$G4782,Database!$H:$N,4,0)),"")</f>
        <v/>
      </c>
      <c r="K4782" s="55" t="str">
        <f>IFERROR(IF($G4782="","",VLOOKUP('Dashboard And Emails Automate'!$G4782,Database!$H:$N,5,0)),"")</f>
        <v/>
      </c>
      <c r="L4782" s="55" t="str">
        <f>IFERROR(IF($G4782="","",VLOOKUP('Dashboard And Emails Automate'!$G4782,Database!$H:$N,6,0)),"")</f>
        <v/>
      </c>
      <c r="M4782" s="55" t="str">
        <f>IFERROR(IF($G4782="","",VLOOKUP('Dashboard And Emails Automate'!$G4782,Database!$H:$N,7,0)),"")</f>
        <v/>
      </c>
      <c r="N4782" s="55" t="str">
        <f>IFERROR(IF(OR($B4782="",$B4782="(blank)"),"",VLOOKUP($B4782,'Email Marketing Raw Data'!$C:$O,6,0)),"")</f>
        <v/>
      </c>
      <c r="O4782" s="55" t="str">
        <f>IFERROR(IF(OR($B4782="",$B4782="(blank)"),"",VLOOKUP($B4782,'Email Marketing Raw Data'!$C:$O,7,0)),"")</f>
        <v/>
      </c>
      <c r="P4782" s="55" t="str">
        <f>IFERROR(IF(OR($B4782="",$B4782="(blank)"),"",VLOOKUP($B4782,'Email Marketing Raw Data'!$C:$O,8,0)),"")</f>
        <v/>
      </c>
      <c r="Q4782" s="62" t="str">
        <f>IFERROR(IF(OR($B4782="",$B4782="(blank)"),"",VLOOKUP($B4782,'Email Marketing Raw Data'!$C:$O,9,0)),"")</f>
        <v/>
      </c>
    </row>
    <row r="4783" spans="4:17" ht="12.75" customHeight="1" x14ac:dyDescent="0.2">
      <c r="D4783" s="58" t="str">
        <f>IFERROR(IF(F4783&lt;&gt;"pending","",IF(OR($B4783="",$B4783="(blank)"),"",VLOOKUP($B4783,'Email Marketing Raw Data'!$C:$O,10,0))),"")</f>
        <v/>
      </c>
      <c r="E4783" s="59" t="str">
        <f>IFERROR(IF(F4783&lt;&gt;"pending","",IF(OR($B4783="",$B4783="(blank)"),"",VLOOKUP($B4783,'Email Marketing Raw Data'!$C:$O,11,0))),"")</f>
        <v/>
      </c>
      <c r="F4783" s="54" t="str">
        <f>IFERROR(IF(OR($B4783="",$B4783="(blank)"),"",VLOOKUP($B4783,'Email Marketing Raw Data'!$C:$O,13,0)),"")</f>
        <v/>
      </c>
      <c r="G4783" s="55" t="str">
        <f>IFERROR(IF(OR($B4783="",$B4783="(blank)"),"",VLOOKUP($B4783,'Email Marketing Raw Data'!$C:$O,4,0)),"")</f>
        <v/>
      </c>
      <c r="H4783" s="55" t="str">
        <f>IFERROR(IF(OR($B4783="",$B4783="(blank)"),"",VLOOKUP($B4783,'Email Marketing Raw Data'!$C:$O,5,0)),"")</f>
        <v/>
      </c>
      <c r="I4783" s="55" t="str">
        <f>IFERROR(IF($G4783="","",VLOOKUP('Dashboard And Emails Automate'!$G4783,Database!$H:$N,3,0)),"")</f>
        <v/>
      </c>
      <c r="J4783" s="55" t="str">
        <f>IFERROR(IF($G4783="","",VLOOKUP('Dashboard And Emails Automate'!$G4783,Database!$H:$N,4,0)),"")</f>
        <v/>
      </c>
      <c r="K4783" s="55" t="str">
        <f>IFERROR(IF($G4783="","",VLOOKUP('Dashboard And Emails Automate'!$G4783,Database!$H:$N,5,0)),"")</f>
        <v/>
      </c>
      <c r="L4783" s="55" t="str">
        <f>IFERROR(IF($G4783="","",VLOOKUP('Dashboard And Emails Automate'!$G4783,Database!$H:$N,6,0)),"")</f>
        <v/>
      </c>
      <c r="M4783" s="55" t="str">
        <f>IFERROR(IF($G4783="","",VLOOKUP('Dashboard And Emails Automate'!$G4783,Database!$H:$N,7,0)),"")</f>
        <v/>
      </c>
      <c r="N4783" s="55" t="str">
        <f>IFERROR(IF(OR($B4783="",$B4783="(blank)"),"",VLOOKUP($B4783,'Email Marketing Raw Data'!$C:$O,6,0)),"")</f>
        <v/>
      </c>
      <c r="O4783" s="55" t="str">
        <f>IFERROR(IF(OR($B4783="",$B4783="(blank)"),"",VLOOKUP($B4783,'Email Marketing Raw Data'!$C:$O,7,0)),"")</f>
        <v/>
      </c>
      <c r="P4783" s="55" t="str">
        <f>IFERROR(IF(OR($B4783="",$B4783="(blank)"),"",VLOOKUP($B4783,'Email Marketing Raw Data'!$C:$O,8,0)),"")</f>
        <v/>
      </c>
      <c r="Q4783" s="62" t="str">
        <f>IFERROR(IF(OR($B4783="",$B4783="(blank)"),"",VLOOKUP($B4783,'Email Marketing Raw Data'!$C:$O,9,0)),"")</f>
        <v/>
      </c>
    </row>
    <row r="4784" spans="4:17" ht="12.75" customHeight="1" x14ac:dyDescent="0.2">
      <c r="D4784" s="58" t="str">
        <f>IFERROR(IF(F4784&lt;&gt;"pending","",IF(OR($B4784="",$B4784="(blank)"),"",VLOOKUP($B4784,'Email Marketing Raw Data'!$C:$O,10,0))),"")</f>
        <v/>
      </c>
      <c r="E4784" s="59" t="str">
        <f>IFERROR(IF(F4784&lt;&gt;"pending","",IF(OR($B4784="",$B4784="(blank)"),"",VLOOKUP($B4784,'Email Marketing Raw Data'!$C:$O,11,0))),"")</f>
        <v/>
      </c>
      <c r="F4784" s="54" t="str">
        <f>IFERROR(IF(OR($B4784="",$B4784="(blank)"),"",VLOOKUP($B4784,'Email Marketing Raw Data'!$C:$O,13,0)),"")</f>
        <v/>
      </c>
      <c r="G4784" s="55" t="str">
        <f>IFERROR(IF(OR($B4784="",$B4784="(blank)"),"",VLOOKUP($B4784,'Email Marketing Raw Data'!$C:$O,4,0)),"")</f>
        <v/>
      </c>
      <c r="H4784" s="55" t="str">
        <f>IFERROR(IF(OR($B4784="",$B4784="(blank)"),"",VLOOKUP($B4784,'Email Marketing Raw Data'!$C:$O,5,0)),"")</f>
        <v/>
      </c>
      <c r="I4784" s="55" t="str">
        <f>IFERROR(IF($G4784="","",VLOOKUP('Dashboard And Emails Automate'!$G4784,Database!$H:$N,3,0)),"")</f>
        <v/>
      </c>
      <c r="J4784" s="55" t="str">
        <f>IFERROR(IF($G4784="","",VLOOKUP('Dashboard And Emails Automate'!$G4784,Database!$H:$N,4,0)),"")</f>
        <v/>
      </c>
      <c r="K4784" s="55" t="str">
        <f>IFERROR(IF($G4784="","",VLOOKUP('Dashboard And Emails Automate'!$G4784,Database!$H:$N,5,0)),"")</f>
        <v/>
      </c>
      <c r="L4784" s="55" t="str">
        <f>IFERROR(IF($G4784="","",VLOOKUP('Dashboard And Emails Automate'!$G4784,Database!$H:$N,6,0)),"")</f>
        <v/>
      </c>
      <c r="M4784" s="55" t="str">
        <f>IFERROR(IF($G4784="","",VLOOKUP('Dashboard And Emails Automate'!$G4784,Database!$H:$N,7,0)),"")</f>
        <v/>
      </c>
      <c r="N4784" s="55" t="str">
        <f>IFERROR(IF(OR($B4784="",$B4784="(blank)"),"",VLOOKUP($B4784,'Email Marketing Raw Data'!$C:$O,6,0)),"")</f>
        <v/>
      </c>
      <c r="O4784" s="55" t="str">
        <f>IFERROR(IF(OR($B4784="",$B4784="(blank)"),"",VLOOKUP($B4784,'Email Marketing Raw Data'!$C:$O,7,0)),"")</f>
        <v/>
      </c>
      <c r="P4784" s="55" t="str">
        <f>IFERROR(IF(OR($B4784="",$B4784="(blank)"),"",VLOOKUP($B4784,'Email Marketing Raw Data'!$C:$O,8,0)),"")</f>
        <v/>
      </c>
      <c r="Q4784" s="62" t="str">
        <f>IFERROR(IF(OR($B4784="",$B4784="(blank)"),"",VLOOKUP($B4784,'Email Marketing Raw Data'!$C:$O,9,0)),"")</f>
        <v/>
      </c>
    </row>
    <row r="4785" spans="4:17" ht="12.75" customHeight="1" x14ac:dyDescent="0.2">
      <c r="D4785" s="58" t="str">
        <f>IFERROR(IF(F4785&lt;&gt;"pending","",IF(OR($B4785="",$B4785="(blank)"),"",VLOOKUP($B4785,'Email Marketing Raw Data'!$C:$O,10,0))),"")</f>
        <v/>
      </c>
      <c r="E4785" s="59" t="str">
        <f>IFERROR(IF(F4785&lt;&gt;"pending","",IF(OR($B4785="",$B4785="(blank)"),"",VLOOKUP($B4785,'Email Marketing Raw Data'!$C:$O,11,0))),"")</f>
        <v/>
      </c>
      <c r="F4785" s="54" t="str">
        <f>IFERROR(IF(OR($B4785="",$B4785="(blank)"),"",VLOOKUP($B4785,'Email Marketing Raw Data'!$C:$O,13,0)),"")</f>
        <v/>
      </c>
      <c r="G4785" s="55" t="str">
        <f>IFERROR(IF(OR($B4785="",$B4785="(blank)"),"",VLOOKUP($B4785,'Email Marketing Raw Data'!$C:$O,4,0)),"")</f>
        <v/>
      </c>
      <c r="H4785" s="55" t="str">
        <f>IFERROR(IF(OR($B4785="",$B4785="(blank)"),"",VLOOKUP($B4785,'Email Marketing Raw Data'!$C:$O,5,0)),"")</f>
        <v/>
      </c>
      <c r="I4785" s="55" t="str">
        <f>IFERROR(IF($G4785="","",VLOOKUP('Dashboard And Emails Automate'!$G4785,Database!$H:$N,3,0)),"")</f>
        <v/>
      </c>
      <c r="J4785" s="55" t="str">
        <f>IFERROR(IF($G4785="","",VLOOKUP('Dashboard And Emails Automate'!$G4785,Database!$H:$N,4,0)),"")</f>
        <v/>
      </c>
      <c r="K4785" s="55" t="str">
        <f>IFERROR(IF($G4785="","",VLOOKUP('Dashboard And Emails Automate'!$G4785,Database!$H:$N,5,0)),"")</f>
        <v/>
      </c>
      <c r="L4785" s="55" t="str">
        <f>IFERROR(IF($G4785="","",VLOOKUP('Dashboard And Emails Automate'!$G4785,Database!$H:$N,6,0)),"")</f>
        <v/>
      </c>
      <c r="M4785" s="55" t="str">
        <f>IFERROR(IF($G4785="","",VLOOKUP('Dashboard And Emails Automate'!$G4785,Database!$H:$N,7,0)),"")</f>
        <v/>
      </c>
      <c r="N4785" s="55" t="str">
        <f>IFERROR(IF(OR($B4785="",$B4785="(blank)"),"",VLOOKUP($B4785,'Email Marketing Raw Data'!$C:$O,6,0)),"")</f>
        <v/>
      </c>
      <c r="O4785" s="55" t="str">
        <f>IFERROR(IF(OR($B4785="",$B4785="(blank)"),"",VLOOKUP($B4785,'Email Marketing Raw Data'!$C:$O,7,0)),"")</f>
        <v/>
      </c>
      <c r="P4785" s="55" t="str">
        <f>IFERROR(IF(OR($B4785="",$B4785="(blank)"),"",VLOOKUP($B4785,'Email Marketing Raw Data'!$C:$O,8,0)),"")</f>
        <v/>
      </c>
      <c r="Q4785" s="62" t="str">
        <f>IFERROR(IF(OR($B4785="",$B4785="(blank)"),"",VLOOKUP($B4785,'Email Marketing Raw Data'!$C:$O,9,0)),"")</f>
        <v/>
      </c>
    </row>
    <row r="4786" spans="4:17" ht="12.75" customHeight="1" x14ac:dyDescent="0.2">
      <c r="D4786" s="58" t="str">
        <f>IFERROR(IF(F4786&lt;&gt;"pending","",IF(OR($B4786="",$B4786="(blank)"),"",VLOOKUP($B4786,'Email Marketing Raw Data'!$C:$O,10,0))),"")</f>
        <v/>
      </c>
      <c r="E4786" s="59" t="str">
        <f>IFERROR(IF(F4786&lt;&gt;"pending","",IF(OR($B4786="",$B4786="(blank)"),"",VLOOKUP($B4786,'Email Marketing Raw Data'!$C:$O,11,0))),"")</f>
        <v/>
      </c>
      <c r="F4786" s="54" t="str">
        <f>IFERROR(IF(OR($B4786="",$B4786="(blank)"),"",VLOOKUP($B4786,'Email Marketing Raw Data'!$C:$O,13,0)),"")</f>
        <v/>
      </c>
      <c r="G4786" s="55" t="str">
        <f>IFERROR(IF(OR($B4786="",$B4786="(blank)"),"",VLOOKUP($B4786,'Email Marketing Raw Data'!$C:$O,4,0)),"")</f>
        <v/>
      </c>
      <c r="H4786" s="55" t="str">
        <f>IFERROR(IF(OR($B4786="",$B4786="(blank)"),"",VLOOKUP($B4786,'Email Marketing Raw Data'!$C:$O,5,0)),"")</f>
        <v/>
      </c>
      <c r="I4786" s="55" t="str">
        <f>IFERROR(IF($G4786="","",VLOOKUP('Dashboard And Emails Automate'!$G4786,Database!$H:$N,3,0)),"")</f>
        <v/>
      </c>
      <c r="J4786" s="55" t="str">
        <f>IFERROR(IF($G4786="","",VLOOKUP('Dashboard And Emails Automate'!$G4786,Database!$H:$N,4,0)),"")</f>
        <v/>
      </c>
      <c r="K4786" s="55" t="str">
        <f>IFERROR(IF($G4786="","",VLOOKUP('Dashboard And Emails Automate'!$G4786,Database!$H:$N,5,0)),"")</f>
        <v/>
      </c>
      <c r="L4786" s="55" t="str">
        <f>IFERROR(IF($G4786="","",VLOOKUP('Dashboard And Emails Automate'!$G4786,Database!$H:$N,6,0)),"")</f>
        <v/>
      </c>
      <c r="M4786" s="55" t="str">
        <f>IFERROR(IF($G4786="","",VLOOKUP('Dashboard And Emails Automate'!$G4786,Database!$H:$N,7,0)),"")</f>
        <v/>
      </c>
      <c r="N4786" s="55" t="str">
        <f>IFERROR(IF(OR($B4786="",$B4786="(blank)"),"",VLOOKUP($B4786,'Email Marketing Raw Data'!$C:$O,6,0)),"")</f>
        <v/>
      </c>
      <c r="O4786" s="55" t="str">
        <f>IFERROR(IF(OR($B4786="",$B4786="(blank)"),"",VLOOKUP($B4786,'Email Marketing Raw Data'!$C:$O,7,0)),"")</f>
        <v/>
      </c>
      <c r="P4786" s="55" t="str">
        <f>IFERROR(IF(OR($B4786="",$B4786="(blank)"),"",VLOOKUP($B4786,'Email Marketing Raw Data'!$C:$O,8,0)),"")</f>
        <v/>
      </c>
      <c r="Q4786" s="62" t="str">
        <f>IFERROR(IF(OR($B4786="",$B4786="(blank)"),"",VLOOKUP($B4786,'Email Marketing Raw Data'!$C:$O,9,0)),"")</f>
        <v/>
      </c>
    </row>
    <row r="4787" spans="4:17" ht="12.75" customHeight="1" x14ac:dyDescent="0.2">
      <c r="D4787" s="58" t="str">
        <f>IFERROR(IF(F4787&lt;&gt;"pending","",IF(OR($B4787="",$B4787="(blank)"),"",VLOOKUP($B4787,'Email Marketing Raw Data'!$C:$O,10,0))),"")</f>
        <v/>
      </c>
      <c r="E4787" s="59" t="str">
        <f>IFERROR(IF(F4787&lt;&gt;"pending","",IF(OR($B4787="",$B4787="(blank)"),"",VLOOKUP($B4787,'Email Marketing Raw Data'!$C:$O,11,0))),"")</f>
        <v/>
      </c>
      <c r="F4787" s="54" t="str">
        <f>IFERROR(IF(OR($B4787="",$B4787="(blank)"),"",VLOOKUP($B4787,'Email Marketing Raw Data'!$C:$O,13,0)),"")</f>
        <v/>
      </c>
      <c r="G4787" s="55" t="str">
        <f>IFERROR(IF(OR($B4787="",$B4787="(blank)"),"",VLOOKUP($B4787,'Email Marketing Raw Data'!$C:$O,4,0)),"")</f>
        <v/>
      </c>
      <c r="H4787" s="55" t="str">
        <f>IFERROR(IF(OR($B4787="",$B4787="(blank)"),"",VLOOKUP($B4787,'Email Marketing Raw Data'!$C:$O,5,0)),"")</f>
        <v/>
      </c>
      <c r="I4787" s="55" t="str">
        <f>IFERROR(IF($G4787="","",VLOOKUP('Dashboard And Emails Automate'!$G4787,Database!$H:$N,3,0)),"")</f>
        <v/>
      </c>
      <c r="J4787" s="55" t="str">
        <f>IFERROR(IF($G4787="","",VLOOKUP('Dashboard And Emails Automate'!$G4787,Database!$H:$N,4,0)),"")</f>
        <v/>
      </c>
      <c r="K4787" s="55" t="str">
        <f>IFERROR(IF($G4787="","",VLOOKUP('Dashboard And Emails Automate'!$G4787,Database!$H:$N,5,0)),"")</f>
        <v/>
      </c>
      <c r="L4787" s="55" t="str">
        <f>IFERROR(IF($G4787="","",VLOOKUP('Dashboard And Emails Automate'!$G4787,Database!$H:$N,6,0)),"")</f>
        <v/>
      </c>
      <c r="M4787" s="55" t="str">
        <f>IFERROR(IF($G4787="","",VLOOKUP('Dashboard And Emails Automate'!$G4787,Database!$H:$N,7,0)),"")</f>
        <v/>
      </c>
      <c r="N4787" s="55" t="str">
        <f>IFERROR(IF(OR($B4787="",$B4787="(blank)"),"",VLOOKUP($B4787,'Email Marketing Raw Data'!$C:$O,6,0)),"")</f>
        <v/>
      </c>
      <c r="O4787" s="55" t="str">
        <f>IFERROR(IF(OR($B4787="",$B4787="(blank)"),"",VLOOKUP($B4787,'Email Marketing Raw Data'!$C:$O,7,0)),"")</f>
        <v/>
      </c>
      <c r="P4787" s="55" t="str">
        <f>IFERROR(IF(OR($B4787="",$B4787="(blank)"),"",VLOOKUP($B4787,'Email Marketing Raw Data'!$C:$O,8,0)),"")</f>
        <v/>
      </c>
      <c r="Q4787" s="62" t="str">
        <f>IFERROR(IF(OR($B4787="",$B4787="(blank)"),"",VLOOKUP($B4787,'Email Marketing Raw Data'!$C:$O,9,0)),"")</f>
        <v/>
      </c>
    </row>
    <row r="4788" spans="4:17" ht="12.75" customHeight="1" x14ac:dyDescent="0.2">
      <c r="D4788" s="58" t="str">
        <f>IFERROR(IF(F4788&lt;&gt;"pending","",IF(OR($B4788="",$B4788="(blank)"),"",VLOOKUP($B4788,'Email Marketing Raw Data'!$C:$O,10,0))),"")</f>
        <v/>
      </c>
      <c r="E4788" s="59" t="str">
        <f>IFERROR(IF(F4788&lt;&gt;"pending","",IF(OR($B4788="",$B4788="(blank)"),"",VLOOKUP($B4788,'Email Marketing Raw Data'!$C:$O,11,0))),"")</f>
        <v/>
      </c>
      <c r="F4788" s="54" t="str">
        <f>IFERROR(IF(OR($B4788="",$B4788="(blank)"),"",VLOOKUP($B4788,'Email Marketing Raw Data'!$C:$O,13,0)),"")</f>
        <v/>
      </c>
      <c r="G4788" s="55" t="str">
        <f>IFERROR(IF(OR($B4788="",$B4788="(blank)"),"",VLOOKUP($B4788,'Email Marketing Raw Data'!$C:$O,4,0)),"")</f>
        <v/>
      </c>
      <c r="H4788" s="55" t="str">
        <f>IFERROR(IF(OR($B4788="",$B4788="(blank)"),"",VLOOKUP($B4788,'Email Marketing Raw Data'!$C:$O,5,0)),"")</f>
        <v/>
      </c>
      <c r="I4788" s="55" t="str">
        <f>IFERROR(IF($G4788="","",VLOOKUP('Dashboard And Emails Automate'!$G4788,Database!$H:$N,3,0)),"")</f>
        <v/>
      </c>
      <c r="J4788" s="55" t="str">
        <f>IFERROR(IF($G4788="","",VLOOKUP('Dashboard And Emails Automate'!$G4788,Database!$H:$N,4,0)),"")</f>
        <v/>
      </c>
      <c r="K4788" s="55" t="str">
        <f>IFERROR(IF($G4788="","",VLOOKUP('Dashboard And Emails Automate'!$G4788,Database!$H:$N,5,0)),"")</f>
        <v/>
      </c>
      <c r="L4788" s="55" t="str">
        <f>IFERROR(IF($G4788="","",VLOOKUP('Dashboard And Emails Automate'!$G4788,Database!$H:$N,6,0)),"")</f>
        <v/>
      </c>
      <c r="M4788" s="55" t="str">
        <f>IFERROR(IF($G4788="","",VLOOKUP('Dashboard And Emails Automate'!$G4788,Database!$H:$N,7,0)),"")</f>
        <v/>
      </c>
      <c r="N4788" s="55" t="str">
        <f>IFERROR(IF(OR($B4788="",$B4788="(blank)"),"",VLOOKUP($B4788,'Email Marketing Raw Data'!$C:$O,6,0)),"")</f>
        <v/>
      </c>
      <c r="O4788" s="55" t="str">
        <f>IFERROR(IF(OR($B4788="",$B4788="(blank)"),"",VLOOKUP($B4788,'Email Marketing Raw Data'!$C:$O,7,0)),"")</f>
        <v/>
      </c>
      <c r="P4788" s="55" t="str">
        <f>IFERROR(IF(OR($B4788="",$B4788="(blank)"),"",VLOOKUP($B4788,'Email Marketing Raw Data'!$C:$O,8,0)),"")</f>
        <v/>
      </c>
      <c r="Q4788" s="62" t="str">
        <f>IFERROR(IF(OR($B4788="",$B4788="(blank)"),"",VLOOKUP($B4788,'Email Marketing Raw Data'!$C:$O,9,0)),"")</f>
        <v/>
      </c>
    </row>
    <row r="4789" spans="4:17" ht="12.75" customHeight="1" x14ac:dyDescent="0.2">
      <c r="D4789" s="58" t="str">
        <f>IFERROR(IF(F4789&lt;&gt;"pending","",IF(OR($B4789="",$B4789="(blank)"),"",VLOOKUP($B4789,'Email Marketing Raw Data'!$C:$O,10,0))),"")</f>
        <v/>
      </c>
      <c r="E4789" s="59" t="str">
        <f>IFERROR(IF(F4789&lt;&gt;"pending","",IF(OR($B4789="",$B4789="(blank)"),"",VLOOKUP($B4789,'Email Marketing Raw Data'!$C:$O,11,0))),"")</f>
        <v/>
      </c>
      <c r="F4789" s="54" t="str">
        <f>IFERROR(IF(OR($B4789="",$B4789="(blank)"),"",VLOOKUP($B4789,'Email Marketing Raw Data'!$C:$O,13,0)),"")</f>
        <v/>
      </c>
      <c r="G4789" s="55" t="str">
        <f>IFERROR(IF(OR($B4789="",$B4789="(blank)"),"",VLOOKUP($B4789,'Email Marketing Raw Data'!$C:$O,4,0)),"")</f>
        <v/>
      </c>
      <c r="H4789" s="55" t="str">
        <f>IFERROR(IF(OR($B4789="",$B4789="(blank)"),"",VLOOKUP($B4789,'Email Marketing Raw Data'!$C:$O,5,0)),"")</f>
        <v/>
      </c>
      <c r="I4789" s="55" t="str">
        <f>IFERROR(IF($G4789="","",VLOOKUP('Dashboard And Emails Automate'!$G4789,Database!$H:$N,3,0)),"")</f>
        <v/>
      </c>
      <c r="J4789" s="55" t="str">
        <f>IFERROR(IF($G4789="","",VLOOKUP('Dashboard And Emails Automate'!$G4789,Database!$H:$N,4,0)),"")</f>
        <v/>
      </c>
      <c r="K4789" s="55" t="str">
        <f>IFERROR(IF($G4789="","",VLOOKUP('Dashboard And Emails Automate'!$G4789,Database!$H:$N,5,0)),"")</f>
        <v/>
      </c>
      <c r="L4789" s="55" t="str">
        <f>IFERROR(IF($G4789="","",VLOOKUP('Dashboard And Emails Automate'!$G4789,Database!$H:$N,6,0)),"")</f>
        <v/>
      </c>
      <c r="M4789" s="55" t="str">
        <f>IFERROR(IF($G4789="","",VLOOKUP('Dashboard And Emails Automate'!$G4789,Database!$H:$N,7,0)),"")</f>
        <v/>
      </c>
      <c r="N4789" s="55" t="str">
        <f>IFERROR(IF(OR($B4789="",$B4789="(blank)"),"",VLOOKUP($B4789,'Email Marketing Raw Data'!$C:$O,6,0)),"")</f>
        <v/>
      </c>
      <c r="O4789" s="55" t="str">
        <f>IFERROR(IF(OR($B4789="",$B4789="(blank)"),"",VLOOKUP($B4789,'Email Marketing Raw Data'!$C:$O,7,0)),"")</f>
        <v/>
      </c>
      <c r="P4789" s="55" t="str">
        <f>IFERROR(IF(OR($B4789="",$B4789="(blank)"),"",VLOOKUP($B4789,'Email Marketing Raw Data'!$C:$O,8,0)),"")</f>
        <v/>
      </c>
      <c r="Q4789" s="62" t="str">
        <f>IFERROR(IF(OR($B4789="",$B4789="(blank)"),"",VLOOKUP($B4789,'Email Marketing Raw Data'!$C:$O,9,0)),"")</f>
        <v/>
      </c>
    </row>
    <row r="4790" spans="4:17" ht="12.75" customHeight="1" x14ac:dyDescent="0.2">
      <c r="D4790" s="58" t="str">
        <f>IFERROR(IF(F4790&lt;&gt;"pending","",IF(OR($B4790="",$B4790="(blank)"),"",VLOOKUP($B4790,'Email Marketing Raw Data'!$C:$O,10,0))),"")</f>
        <v/>
      </c>
      <c r="E4790" s="59" t="str">
        <f>IFERROR(IF(F4790&lt;&gt;"pending","",IF(OR($B4790="",$B4790="(blank)"),"",VLOOKUP($B4790,'Email Marketing Raw Data'!$C:$O,11,0))),"")</f>
        <v/>
      </c>
      <c r="F4790" s="54" t="str">
        <f>IFERROR(IF(OR($B4790="",$B4790="(blank)"),"",VLOOKUP($B4790,'Email Marketing Raw Data'!$C:$O,13,0)),"")</f>
        <v/>
      </c>
      <c r="G4790" s="55" t="str">
        <f>IFERROR(IF(OR($B4790="",$B4790="(blank)"),"",VLOOKUP($B4790,'Email Marketing Raw Data'!$C:$O,4,0)),"")</f>
        <v/>
      </c>
      <c r="H4790" s="55" t="str">
        <f>IFERROR(IF(OR($B4790="",$B4790="(blank)"),"",VLOOKUP($B4790,'Email Marketing Raw Data'!$C:$O,5,0)),"")</f>
        <v/>
      </c>
      <c r="I4790" s="55" t="str">
        <f>IFERROR(IF($G4790="","",VLOOKUP('Dashboard And Emails Automate'!$G4790,Database!$H:$N,3,0)),"")</f>
        <v/>
      </c>
      <c r="J4790" s="55" t="str">
        <f>IFERROR(IF($G4790="","",VLOOKUP('Dashboard And Emails Automate'!$G4790,Database!$H:$N,4,0)),"")</f>
        <v/>
      </c>
      <c r="K4790" s="55" t="str">
        <f>IFERROR(IF($G4790="","",VLOOKUP('Dashboard And Emails Automate'!$G4790,Database!$H:$N,5,0)),"")</f>
        <v/>
      </c>
      <c r="L4790" s="55" t="str">
        <f>IFERROR(IF($G4790="","",VLOOKUP('Dashboard And Emails Automate'!$G4790,Database!$H:$N,6,0)),"")</f>
        <v/>
      </c>
      <c r="M4790" s="55" t="str">
        <f>IFERROR(IF($G4790="","",VLOOKUP('Dashboard And Emails Automate'!$G4790,Database!$H:$N,7,0)),"")</f>
        <v/>
      </c>
      <c r="N4790" s="55" t="str">
        <f>IFERROR(IF(OR($B4790="",$B4790="(blank)"),"",VLOOKUP($B4790,'Email Marketing Raw Data'!$C:$O,6,0)),"")</f>
        <v/>
      </c>
      <c r="O4790" s="55" t="str">
        <f>IFERROR(IF(OR($B4790="",$B4790="(blank)"),"",VLOOKUP($B4790,'Email Marketing Raw Data'!$C:$O,7,0)),"")</f>
        <v/>
      </c>
      <c r="P4790" s="55" t="str">
        <f>IFERROR(IF(OR($B4790="",$B4790="(blank)"),"",VLOOKUP($B4790,'Email Marketing Raw Data'!$C:$O,8,0)),"")</f>
        <v/>
      </c>
      <c r="Q4790" s="62" t="str">
        <f>IFERROR(IF(OR($B4790="",$B4790="(blank)"),"",VLOOKUP($B4790,'Email Marketing Raw Data'!$C:$O,9,0)),"")</f>
        <v/>
      </c>
    </row>
    <row r="4791" spans="4:17" ht="12.75" customHeight="1" x14ac:dyDescent="0.2">
      <c r="D4791" s="58" t="str">
        <f>IFERROR(IF(F4791&lt;&gt;"pending","",IF(OR($B4791="",$B4791="(blank)"),"",VLOOKUP($B4791,'Email Marketing Raw Data'!$C:$O,10,0))),"")</f>
        <v/>
      </c>
      <c r="E4791" s="59" t="str">
        <f>IFERROR(IF(F4791&lt;&gt;"pending","",IF(OR($B4791="",$B4791="(blank)"),"",VLOOKUP($B4791,'Email Marketing Raw Data'!$C:$O,11,0))),"")</f>
        <v/>
      </c>
      <c r="F4791" s="54" t="str">
        <f>IFERROR(IF(OR($B4791="",$B4791="(blank)"),"",VLOOKUP($B4791,'Email Marketing Raw Data'!$C:$O,13,0)),"")</f>
        <v/>
      </c>
      <c r="G4791" s="55" t="str">
        <f>IFERROR(IF(OR($B4791="",$B4791="(blank)"),"",VLOOKUP($B4791,'Email Marketing Raw Data'!$C:$O,4,0)),"")</f>
        <v/>
      </c>
      <c r="H4791" s="55" t="str">
        <f>IFERROR(IF(OR($B4791="",$B4791="(blank)"),"",VLOOKUP($B4791,'Email Marketing Raw Data'!$C:$O,5,0)),"")</f>
        <v/>
      </c>
      <c r="I4791" s="55" t="str">
        <f>IFERROR(IF($G4791="","",VLOOKUP('Dashboard And Emails Automate'!$G4791,Database!$H:$N,3,0)),"")</f>
        <v/>
      </c>
      <c r="J4791" s="55" t="str">
        <f>IFERROR(IF($G4791="","",VLOOKUP('Dashboard And Emails Automate'!$G4791,Database!$H:$N,4,0)),"")</f>
        <v/>
      </c>
      <c r="K4791" s="55" t="str">
        <f>IFERROR(IF($G4791="","",VLOOKUP('Dashboard And Emails Automate'!$G4791,Database!$H:$N,5,0)),"")</f>
        <v/>
      </c>
      <c r="L4791" s="55" t="str">
        <f>IFERROR(IF($G4791="","",VLOOKUP('Dashboard And Emails Automate'!$G4791,Database!$H:$N,6,0)),"")</f>
        <v/>
      </c>
      <c r="M4791" s="55" t="str">
        <f>IFERROR(IF($G4791="","",VLOOKUP('Dashboard And Emails Automate'!$G4791,Database!$H:$N,7,0)),"")</f>
        <v/>
      </c>
      <c r="N4791" s="55" t="str">
        <f>IFERROR(IF(OR($B4791="",$B4791="(blank)"),"",VLOOKUP($B4791,'Email Marketing Raw Data'!$C:$O,6,0)),"")</f>
        <v/>
      </c>
      <c r="O4791" s="55" t="str">
        <f>IFERROR(IF(OR($B4791="",$B4791="(blank)"),"",VLOOKUP($B4791,'Email Marketing Raw Data'!$C:$O,7,0)),"")</f>
        <v/>
      </c>
      <c r="P4791" s="55" t="str">
        <f>IFERROR(IF(OR($B4791="",$B4791="(blank)"),"",VLOOKUP($B4791,'Email Marketing Raw Data'!$C:$O,8,0)),"")</f>
        <v/>
      </c>
      <c r="Q4791" s="62" t="str">
        <f>IFERROR(IF(OR($B4791="",$B4791="(blank)"),"",VLOOKUP($B4791,'Email Marketing Raw Data'!$C:$O,9,0)),"")</f>
        <v/>
      </c>
    </row>
    <row r="4792" spans="4:17" ht="12.75" customHeight="1" x14ac:dyDescent="0.2">
      <c r="D4792" s="58" t="str">
        <f>IFERROR(IF(F4792&lt;&gt;"pending","",IF(OR($B4792="",$B4792="(blank)"),"",VLOOKUP($B4792,'Email Marketing Raw Data'!$C:$O,10,0))),"")</f>
        <v/>
      </c>
      <c r="E4792" s="59" t="str">
        <f>IFERROR(IF(F4792&lt;&gt;"pending","",IF(OR($B4792="",$B4792="(blank)"),"",VLOOKUP($B4792,'Email Marketing Raw Data'!$C:$O,11,0))),"")</f>
        <v/>
      </c>
      <c r="F4792" s="54" t="str">
        <f>IFERROR(IF(OR($B4792="",$B4792="(blank)"),"",VLOOKUP($B4792,'Email Marketing Raw Data'!$C:$O,13,0)),"")</f>
        <v/>
      </c>
      <c r="G4792" s="55" t="str">
        <f>IFERROR(IF(OR($B4792="",$B4792="(blank)"),"",VLOOKUP($B4792,'Email Marketing Raw Data'!$C:$O,4,0)),"")</f>
        <v/>
      </c>
      <c r="H4792" s="55" t="str">
        <f>IFERROR(IF(OR($B4792="",$B4792="(blank)"),"",VLOOKUP($B4792,'Email Marketing Raw Data'!$C:$O,5,0)),"")</f>
        <v/>
      </c>
      <c r="I4792" s="55" t="str">
        <f>IFERROR(IF($G4792="","",VLOOKUP('Dashboard And Emails Automate'!$G4792,Database!$H:$N,3,0)),"")</f>
        <v/>
      </c>
      <c r="J4792" s="55" t="str">
        <f>IFERROR(IF($G4792="","",VLOOKUP('Dashboard And Emails Automate'!$G4792,Database!$H:$N,4,0)),"")</f>
        <v/>
      </c>
      <c r="K4792" s="55" t="str">
        <f>IFERROR(IF($G4792="","",VLOOKUP('Dashboard And Emails Automate'!$G4792,Database!$H:$N,5,0)),"")</f>
        <v/>
      </c>
      <c r="L4792" s="55" t="str">
        <f>IFERROR(IF($G4792="","",VLOOKUP('Dashboard And Emails Automate'!$G4792,Database!$H:$N,6,0)),"")</f>
        <v/>
      </c>
      <c r="M4792" s="55" t="str">
        <f>IFERROR(IF($G4792="","",VLOOKUP('Dashboard And Emails Automate'!$G4792,Database!$H:$N,7,0)),"")</f>
        <v/>
      </c>
      <c r="N4792" s="55" t="str">
        <f>IFERROR(IF(OR($B4792="",$B4792="(blank)"),"",VLOOKUP($B4792,'Email Marketing Raw Data'!$C:$O,6,0)),"")</f>
        <v/>
      </c>
      <c r="O4792" s="55" t="str">
        <f>IFERROR(IF(OR($B4792="",$B4792="(blank)"),"",VLOOKUP($B4792,'Email Marketing Raw Data'!$C:$O,7,0)),"")</f>
        <v/>
      </c>
      <c r="P4792" s="55" t="str">
        <f>IFERROR(IF(OR($B4792="",$B4792="(blank)"),"",VLOOKUP($B4792,'Email Marketing Raw Data'!$C:$O,8,0)),"")</f>
        <v/>
      </c>
      <c r="Q4792" s="62" t="str">
        <f>IFERROR(IF(OR($B4792="",$B4792="(blank)"),"",VLOOKUP($B4792,'Email Marketing Raw Data'!$C:$O,9,0)),"")</f>
        <v/>
      </c>
    </row>
    <row r="4793" spans="4:17" ht="12.75" customHeight="1" x14ac:dyDescent="0.2">
      <c r="D4793" s="58" t="str">
        <f>IFERROR(IF(F4793&lt;&gt;"pending","",IF(OR($B4793="",$B4793="(blank)"),"",VLOOKUP($B4793,'Email Marketing Raw Data'!$C:$O,10,0))),"")</f>
        <v/>
      </c>
      <c r="E4793" s="59" t="str">
        <f>IFERROR(IF(F4793&lt;&gt;"pending","",IF(OR($B4793="",$B4793="(blank)"),"",VLOOKUP($B4793,'Email Marketing Raw Data'!$C:$O,11,0))),"")</f>
        <v/>
      </c>
      <c r="F4793" s="54" t="str">
        <f>IFERROR(IF(OR($B4793="",$B4793="(blank)"),"",VLOOKUP($B4793,'Email Marketing Raw Data'!$C:$O,13,0)),"")</f>
        <v/>
      </c>
      <c r="G4793" s="55" t="str">
        <f>IFERROR(IF(OR($B4793="",$B4793="(blank)"),"",VLOOKUP($B4793,'Email Marketing Raw Data'!$C:$O,4,0)),"")</f>
        <v/>
      </c>
      <c r="H4793" s="55" t="str">
        <f>IFERROR(IF(OR($B4793="",$B4793="(blank)"),"",VLOOKUP($B4793,'Email Marketing Raw Data'!$C:$O,5,0)),"")</f>
        <v/>
      </c>
      <c r="I4793" s="55" t="str">
        <f>IFERROR(IF($G4793="","",VLOOKUP('Dashboard And Emails Automate'!$G4793,Database!$H:$N,3,0)),"")</f>
        <v/>
      </c>
      <c r="J4793" s="55" t="str">
        <f>IFERROR(IF($G4793="","",VLOOKUP('Dashboard And Emails Automate'!$G4793,Database!$H:$N,4,0)),"")</f>
        <v/>
      </c>
      <c r="K4793" s="55" t="str">
        <f>IFERROR(IF($G4793="","",VLOOKUP('Dashboard And Emails Automate'!$G4793,Database!$H:$N,5,0)),"")</f>
        <v/>
      </c>
      <c r="L4793" s="55" t="str">
        <f>IFERROR(IF($G4793="","",VLOOKUP('Dashboard And Emails Automate'!$G4793,Database!$H:$N,6,0)),"")</f>
        <v/>
      </c>
      <c r="M4793" s="55" t="str">
        <f>IFERROR(IF($G4793="","",VLOOKUP('Dashboard And Emails Automate'!$G4793,Database!$H:$N,7,0)),"")</f>
        <v/>
      </c>
      <c r="N4793" s="55" t="str">
        <f>IFERROR(IF(OR($B4793="",$B4793="(blank)"),"",VLOOKUP($B4793,'Email Marketing Raw Data'!$C:$O,6,0)),"")</f>
        <v/>
      </c>
      <c r="O4793" s="55" t="str">
        <f>IFERROR(IF(OR($B4793="",$B4793="(blank)"),"",VLOOKUP($B4793,'Email Marketing Raw Data'!$C:$O,7,0)),"")</f>
        <v/>
      </c>
      <c r="P4793" s="55" t="str">
        <f>IFERROR(IF(OR($B4793="",$B4793="(blank)"),"",VLOOKUP($B4793,'Email Marketing Raw Data'!$C:$O,8,0)),"")</f>
        <v/>
      </c>
      <c r="Q4793" s="62" t="str">
        <f>IFERROR(IF(OR($B4793="",$B4793="(blank)"),"",VLOOKUP($B4793,'Email Marketing Raw Data'!$C:$O,9,0)),"")</f>
        <v/>
      </c>
    </row>
    <row r="4794" spans="4:17" ht="12.75" customHeight="1" x14ac:dyDescent="0.2">
      <c r="D4794" s="58" t="str">
        <f>IFERROR(IF(F4794&lt;&gt;"pending","",IF(OR($B4794="",$B4794="(blank)"),"",VLOOKUP($B4794,'Email Marketing Raw Data'!$C:$O,10,0))),"")</f>
        <v/>
      </c>
      <c r="E4794" s="59" t="str">
        <f>IFERROR(IF(F4794&lt;&gt;"pending","",IF(OR($B4794="",$B4794="(blank)"),"",VLOOKUP($B4794,'Email Marketing Raw Data'!$C:$O,11,0))),"")</f>
        <v/>
      </c>
      <c r="F4794" s="54" t="str">
        <f>IFERROR(IF(OR($B4794="",$B4794="(blank)"),"",VLOOKUP($B4794,'Email Marketing Raw Data'!$C:$O,13,0)),"")</f>
        <v/>
      </c>
      <c r="G4794" s="55" t="str">
        <f>IFERROR(IF(OR($B4794="",$B4794="(blank)"),"",VLOOKUP($B4794,'Email Marketing Raw Data'!$C:$O,4,0)),"")</f>
        <v/>
      </c>
      <c r="H4794" s="55" t="str">
        <f>IFERROR(IF(OR($B4794="",$B4794="(blank)"),"",VLOOKUP($B4794,'Email Marketing Raw Data'!$C:$O,5,0)),"")</f>
        <v/>
      </c>
      <c r="I4794" s="55" t="str">
        <f>IFERROR(IF($G4794="","",VLOOKUP('Dashboard And Emails Automate'!$G4794,Database!$H:$N,3,0)),"")</f>
        <v/>
      </c>
      <c r="J4794" s="55" t="str">
        <f>IFERROR(IF($G4794="","",VLOOKUP('Dashboard And Emails Automate'!$G4794,Database!$H:$N,4,0)),"")</f>
        <v/>
      </c>
      <c r="K4794" s="55" t="str">
        <f>IFERROR(IF($G4794="","",VLOOKUP('Dashboard And Emails Automate'!$G4794,Database!$H:$N,5,0)),"")</f>
        <v/>
      </c>
      <c r="L4794" s="55" t="str">
        <f>IFERROR(IF($G4794="","",VLOOKUP('Dashboard And Emails Automate'!$G4794,Database!$H:$N,6,0)),"")</f>
        <v/>
      </c>
      <c r="M4794" s="55" t="str">
        <f>IFERROR(IF($G4794="","",VLOOKUP('Dashboard And Emails Automate'!$G4794,Database!$H:$N,7,0)),"")</f>
        <v/>
      </c>
      <c r="N4794" s="55" t="str">
        <f>IFERROR(IF(OR($B4794="",$B4794="(blank)"),"",VLOOKUP($B4794,'Email Marketing Raw Data'!$C:$O,6,0)),"")</f>
        <v/>
      </c>
      <c r="O4794" s="55" t="str">
        <f>IFERROR(IF(OR($B4794="",$B4794="(blank)"),"",VLOOKUP($B4794,'Email Marketing Raw Data'!$C:$O,7,0)),"")</f>
        <v/>
      </c>
      <c r="P4794" s="55" t="str">
        <f>IFERROR(IF(OR($B4794="",$B4794="(blank)"),"",VLOOKUP($B4794,'Email Marketing Raw Data'!$C:$O,8,0)),"")</f>
        <v/>
      </c>
      <c r="Q4794" s="62" t="str">
        <f>IFERROR(IF(OR($B4794="",$B4794="(blank)"),"",VLOOKUP($B4794,'Email Marketing Raw Data'!$C:$O,9,0)),"")</f>
        <v/>
      </c>
    </row>
    <row r="4795" spans="4:17" ht="12.75" customHeight="1" x14ac:dyDescent="0.2">
      <c r="D4795" s="58" t="str">
        <f>IFERROR(IF(F4795&lt;&gt;"pending","",IF(OR($B4795="",$B4795="(blank)"),"",VLOOKUP($B4795,'Email Marketing Raw Data'!$C:$O,10,0))),"")</f>
        <v/>
      </c>
      <c r="E4795" s="59" t="str">
        <f>IFERROR(IF(F4795&lt;&gt;"pending","",IF(OR($B4795="",$B4795="(blank)"),"",VLOOKUP($B4795,'Email Marketing Raw Data'!$C:$O,11,0))),"")</f>
        <v/>
      </c>
      <c r="F4795" s="54" t="str">
        <f>IFERROR(IF(OR($B4795="",$B4795="(blank)"),"",VLOOKUP($B4795,'Email Marketing Raw Data'!$C:$O,13,0)),"")</f>
        <v/>
      </c>
      <c r="G4795" s="55" t="str">
        <f>IFERROR(IF(OR($B4795="",$B4795="(blank)"),"",VLOOKUP($B4795,'Email Marketing Raw Data'!$C:$O,4,0)),"")</f>
        <v/>
      </c>
      <c r="H4795" s="55" t="str">
        <f>IFERROR(IF(OR($B4795="",$B4795="(blank)"),"",VLOOKUP($B4795,'Email Marketing Raw Data'!$C:$O,5,0)),"")</f>
        <v/>
      </c>
      <c r="I4795" s="55" t="str">
        <f>IFERROR(IF($G4795="","",VLOOKUP('Dashboard And Emails Automate'!$G4795,Database!$H:$N,3,0)),"")</f>
        <v/>
      </c>
      <c r="J4795" s="55" t="str">
        <f>IFERROR(IF($G4795="","",VLOOKUP('Dashboard And Emails Automate'!$G4795,Database!$H:$N,4,0)),"")</f>
        <v/>
      </c>
      <c r="K4795" s="55" t="str">
        <f>IFERROR(IF($G4795="","",VLOOKUP('Dashboard And Emails Automate'!$G4795,Database!$H:$N,5,0)),"")</f>
        <v/>
      </c>
      <c r="L4795" s="55" t="str">
        <f>IFERROR(IF($G4795="","",VLOOKUP('Dashboard And Emails Automate'!$G4795,Database!$H:$N,6,0)),"")</f>
        <v/>
      </c>
      <c r="M4795" s="55" t="str">
        <f>IFERROR(IF($G4795="","",VLOOKUP('Dashboard And Emails Automate'!$G4795,Database!$H:$N,7,0)),"")</f>
        <v/>
      </c>
      <c r="N4795" s="55" t="str">
        <f>IFERROR(IF(OR($B4795="",$B4795="(blank)"),"",VLOOKUP($B4795,'Email Marketing Raw Data'!$C:$O,6,0)),"")</f>
        <v/>
      </c>
      <c r="O4795" s="55" t="str">
        <f>IFERROR(IF(OR($B4795="",$B4795="(blank)"),"",VLOOKUP($B4795,'Email Marketing Raw Data'!$C:$O,7,0)),"")</f>
        <v/>
      </c>
      <c r="P4795" s="55" t="str">
        <f>IFERROR(IF(OR($B4795="",$B4795="(blank)"),"",VLOOKUP($B4795,'Email Marketing Raw Data'!$C:$O,8,0)),"")</f>
        <v/>
      </c>
      <c r="Q4795" s="62" t="str">
        <f>IFERROR(IF(OR($B4795="",$B4795="(blank)"),"",VLOOKUP($B4795,'Email Marketing Raw Data'!$C:$O,9,0)),"")</f>
        <v/>
      </c>
    </row>
    <row r="4796" spans="4:17" ht="12.75" customHeight="1" x14ac:dyDescent="0.2">
      <c r="D4796" s="58" t="str">
        <f>IFERROR(IF(F4796&lt;&gt;"pending","",IF(OR($B4796="",$B4796="(blank)"),"",VLOOKUP($B4796,'Email Marketing Raw Data'!$C:$O,10,0))),"")</f>
        <v/>
      </c>
      <c r="E4796" s="59" t="str">
        <f>IFERROR(IF(F4796&lt;&gt;"pending","",IF(OR($B4796="",$B4796="(blank)"),"",VLOOKUP($B4796,'Email Marketing Raw Data'!$C:$O,11,0))),"")</f>
        <v/>
      </c>
      <c r="F4796" s="54" t="str">
        <f>IFERROR(IF(OR($B4796="",$B4796="(blank)"),"",VLOOKUP($B4796,'Email Marketing Raw Data'!$C:$O,13,0)),"")</f>
        <v/>
      </c>
      <c r="G4796" s="55" t="str">
        <f>IFERROR(IF(OR($B4796="",$B4796="(blank)"),"",VLOOKUP($B4796,'Email Marketing Raw Data'!$C:$O,4,0)),"")</f>
        <v/>
      </c>
      <c r="H4796" s="55" t="str">
        <f>IFERROR(IF(OR($B4796="",$B4796="(blank)"),"",VLOOKUP($B4796,'Email Marketing Raw Data'!$C:$O,5,0)),"")</f>
        <v/>
      </c>
      <c r="I4796" s="55" t="str">
        <f>IFERROR(IF($G4796="","",VLOOKUP('Dashboard And Emails Automate'!$G4796,Database!$H:$N,3,0)),"")</f>
        <v/>
      </c>
      <c r="J4796" s="55" t="str">
        <f>IFERROR(IF($G4796="","",VLOOKUP('Dashboard And Emails Automate'!$G4796,Database!$H:$N,4,0)),"")</f>
        <v/>
      </c>
      <c r="K4796" s="55" t="str">
        <f>IFERROR(IF($G4796="","",VLOOKUP('Dashboard And Emails Automate'!$G4796,Database!$H:$N,5,0)),"")</f>
        <v/>
      </c>
      <c r="L4796" s="55" t="str">
        <f>IFERROR(IF($G4796="","",VLOOKUP('Dashboard And Emails Automate'!$G4796,Database!$H:$N,6,0)),"")</f>
        <v/>
      </c>
      <c r="M4796" s="55" t="str">
        <f>IFERROR(IF($G4796="","",VLOOKUP('Dashboard And Emails Automate'!$G4796,Database!$H:$N,7,0)),"")</f>
        <v/>
      </c>
      <c r="N4796" s="55" t="str">
        <f>IFERROR(IF(OR($B4796="",$B4796="(blank)"),"",VLOOKUP($B4796,'Email Marketing Raw Data'!$C:$O,6,0)),"")</f>
        <v/>
      </c>
      <c r="O4796" s="55" t="str">
        <f>IFERROR(IF(OR($B4796="",$B4796="(blank)"),"",VLOOKUP($B4796,'Email Marketing Raw Data'!$C:$O,7,0)),"")</f>
        <v/>
      </c>
      <c r="P4796" s="55" t="str">
        <f>IFERROR(IF(OR($B4796="",$B4796="(blank)"),"",VLOOKUP($B4796,'Email Marketing Raw Data'!$C:$O,8,0)),"")</f>
        <v/>
      </c>
      <c r="Q4796" s="62" t="str">
        <f>IFERROR(IF(OR($B4796="",$B4796="(blank)"),"",VLOOKUP($B4796,'Email Marketing Raw Data'!$C:$O,9,0)),"")</f>
        <v/>
      </c>
    </row>
    <row r="4797" spans="4:17" ht="12.75" customHeight="1" x14ac:dyDescent="0.2">
      <c r="D4797" s="58" t="str">
        <f>IFERROR(IF(F4797&lt;&gt;"pending","",IF(OR($B4797="",$B4797="(blank)"),"",VLOOKUP($B4797,'Email Marketing Raw Data'!$C:$O,10,0))),"")</f>
        <v/>
      </c>
      <c r="E4797" s="59" t="str">
        <f>IFERROR(IF(F4797&lt;&gt;"pending","",IF(OR($B4797="",$B4797="(blank)"),"",VLOOKUP($B4797,'Email Marketing Raw Data'!$C:$O,11,0))),"")</f>
        <v/>
      </c>
      <c r="F4797" s="54" t="str">
        <f>IFERROR(IF(OR($B4797="",$B4797="(blank)"),"",VLOOKUP($B4797,'Email Marketing Raw Data'!$C:$O,13,0)),"")</f>
        <v/>
      </c>
      <c r="G4797" s="55" t="str">
        <f>IFERROR(IF(OR($B4797="",$B4797="(blank)"),"",VLOOKUP($B4797,'Email Marketing Raw Data'!$C:$O,4,0)),"")</f>
        <v/>
      </c>
      <c r="H4797" s="55" t="str">
        <f>IFERROR(IF(OR($B4797="",$B4797="(blank)"),"",VLOOKUP($B4797,'Email Marketing Raw Data'!$C:$O,5,0)),"")</f>
        <v/>
      </c>
      <c r="I4797" s="55" t="str">
        <f>IFERROR(IF($G4797="","",VLOOKUP('Dashboard And Emails Automate'!$G4797,Database!$H:$N,3,0)),"")</f>
        <v/>
      </c>
      <c r="J4797" s="55" t="str">
        <f>IFERROR(IF($G4797="","",VLOOKUP('Dashboard And Emails Automate'!$G4797,Database!$H:$N,4,0)),"")</f>
        <v/>
      </c>
      <c r="K4797" s="55" t="str">
        <f>IFERROR(IF($G4797="","",VLOOKUP('Dashboard And Emails Automate'!$G4797,Database!$H:$N,5,0)),"")</f>
        <v/>
      </c>
      <c r="L4797" s="55" t="str">
        <f>IFERROR(IF($G4797="","",VLOOKUP('Dashboard And Emails Automate'!$G4797,Database!$H:$N,6,0)),"")</f>
        <v/>
      </c>
      <c r="M4797" s="55" t="str">
        <f>IFERROR(IF($G4797="","",VLOOKUP('Dashboard And Emails Automate'!$G4797,Database!$H:$N,7,0)),"")</f>
        <v/>
      </c>
      <c r="N4797" s="55" t="str">
        <f>IFERROR(IF(OR($B4797="",$B4797="(blank)"),"",VLOOKUP($B4797,'Email Marketing Raw Data'!$C:$O,6,0)),"")</f>
        <v/>
      </c>
      <c r="O4797" s="55" t="str">
        <f>IFERROR(IF(OR($B4797="",$B4797="(blank)"),"",VLOOKUP($B4797,'Email Marketing Raw Data'!$C:$O,7,0)),"")</f>
        <v/>
      </c>
      <c r="P4797" s="55" t="str">
        <f>IFERROR(IF(OR($B4797="",$B4797="(blank)"),"",VLOOKUP($B4797,'Email Marketing Raw Data'!$C:$O,8,0)),"")</f>
        <v/>
      </c>
      <c r="Q4797" s="62" t="str">
        <f>IFERROR(IF(OR($B4797="",$B4797="(blank)"),"",VLOOKUP($B4797,'Email Marketing Raw Data'!$C:$O,9,0)),"")</f>
        <v/>
      </c>
    </row>
    <row r="4798" spans="4:17" ht="12.75" customHeight="1" x14ac:dyDescent="0.2">
      <c r="D4798" s="58" t="str">
        <f>IFERROR(IF(F4798&lt;&gt;"pending","",IF(OR($B4798="",$B4798="(blank)"),"",VLOOKUP($B4798,'Email Marketing Raw Data'!$C:$O,10,0))),"")</f>
        <v/>
      </c>
      <c r="E4798" s="59" t="str">
        <f>IFERROR(IF(F4798&lt;&gt;"pending","",IF(OR($B4798="",$B4798="(blank)"),"",VLOOKUP($B4798,'Email Marketing Raw Data'!$C:$O,11,0))),"")</f>
        <v/>
      </c>
      <c r="F4798" s="54" t="str">
        <f>IFERROR(IF(OR($B4798="",$B4798="(blank)"),"",VLOOKUP($B4798,'Email Marketing Raw Data'!$C:$O,13,0)),"")</f>
        <v/>
      </c>
      <c r="G4798" s="55" t="str">
        <f>IFERROR(IF(OR($B4798="",$B4798="(blank)"),"",VLOOKUP($B4798,'Email Marketing Raw Data'!$C:$O,4,0)),"")</f>
        <v/>
      </c>
      <c r="H4798" s="55" t="str">
        <f>IFERROR(IF(OR($B4798="",$B4798="(blank)"),"",VLOOKUP($B4798,'Email Marketing Raw Data'!$C:$O,5,0)),"")</f>
        <v/>
      </c>
      <c r="I4798" s="55" t="str">
        <f>IFERROR(IF($G4798="","",VLOOKUP('Dashboard And Emails Automate'!$G4798,Database!$H:$N,3,0)),"")</f>
        <v/>
      </c>
      <c r="J4798" s="55" t="str">
        <f>IFERROR(IF($G4798="","",VLOOKUP('Dashboard And Emails Automate'!$G4798,Database!$H:$N,4,0)),"")</f>
        <v/>
      </c>
      <c r="K4798" s="55" t="str">
        <f>IFERROR(IF($G4798="","",VLOOKUP('Dashboard And Emails Automate'!$G4798,Database!$H:$N,5,0)),"")</f>
        <v/>
      </c>
      <c r="L4798" s="55" t="str">
        <f>IFERROR(IF($G4798="","",VLOOKUP('Dashboard And Emails Automate'!$G4798,Database!$H:$N,6,0)),"")</f>
        <v/>
      </c>
      <c r="M4798" s="55" t="str">
        <f>IFERROR(IF($G4798="","",VLOOKUP('Dashboard And Emails Automate'!$G4798,Database!$H:$N,7,0)),"")</f>
        <v/>
      </c>
      <c r="N4798" s="55" t="str">
        <f>IFERROR(IF(OR($B4798="",$B4798="(blank)"),"",VLOOKUP($B4798,'Email Marketing Raw Data'!$C:$O,6,0)),"")</f>
        <v/>
      </c>
      <c r="O4798" s="55" t="str">
        <f>IFERROR(IF(OR($B4798="",$B4798="(blank)"),"",VLOOKUP($B4798,'Email Marketing Raw Data'!$C:$O,7,0)),"")</f>
        <v/>
      </c>
      <c r="P4798" s="55" t="str">
        <f>IFERROR(IF(OR($B4798="",$B4798="(blank)"),"",VLOOKUP($B4798,'Email Marketing Raw Data'!$C:$O,8,0)),"")</f>
        <v/>
      </c>
      <c r="Q4798" s="62" t="str">
        <f>IFERROR(IF(OR($B4798="",$B4798="(blank)"),"",VLOOKUP($B4798,'Email Marketing Raw Data'!$C:$O,9,0)),"")</f>
        <v/>
      </c>
    </row>
    <row r="4799" spans="4:17" ht="12.75" customHeight="1" x14ac:dyDescent="0.2">
      <c r="D4799" s="58" t="str">
        <f>IFERROR(IF(F4799&lt;&gt;"pending","",IF(OR($B4799="",$B4799="(blank)"),"",VLOOKUP($B4799,'Email Marketing Raw Data'!$C:$O,10,0))),"")</f>
        <v/>
      </c>
      <c r="E4799" s="59" t="str">
        <f>IFERROR(IF(F4799&lt;&gt;"pending","",IF(OR($B4799="",$B4799="(blank)"),"",VLOOKUP($B4799,'Email Marketing Raw Data'!$C:$O,11,0))),"")</f>
        <v/>
      </c>
      <c r="F4799" s="54" t="str">
        <f>IFERROR(IF(OR($B4799="",$B4799="(blank)"),"",VLOOKUP($B4799,'Email Marketing Raw Data'!$C:$O,13,0)),"")</f>
        <v/>
      </c>
      <c r="G4799" s="55" t="str">
        <f>IFERROR(IF(OR($B4799="",$B4799="(blank)"),"",VLOOKUP($B4799,'Email Marketing Raw Data'!$C:$O,4,0)),"")</f>
        <v/>
      </c>
      <c r="H4799" s="55" t="str">
        <f>IFERROR(IF(OR($B4799="",$B4799="(blank)"),"",VLOOKUP($B4799,'Email Marketing Raw Data'!$C:$O,5,0)),"")</f>
        <v/>
      </c>
      <c r="I4799" s="55" t="str">
        <f>IFERROR(IF($G4799="","",VLOOKUP('Dashboard And Emails Automate'!$G4799,Database!$H:$N,3,0)),"")</f>
        <v/>
      </c>
      <c r="J4799" s="55" t="str">
        <f>IFERROR(IF($G4799="","",VLOOKUP('Dashboard And Emails Automate'!$G4799,Database!$H:$N,4,0)),"")</f>
        <v/>
      </c>
      <c r="K4799" s="55" t="str">
        <f>IFERROR(IF($G4799="","",VLOOKUP('Dashboard And Emails Automate'!$G4799,Database!$H:$N,5,0)),"")</f>
        <v/>
      </c>
      <c r="L4799" s="55" t="str">
        <f>IFERROR(IF($G4799="","",VLOOKUP('Dashboard And Emails Automate'!$G4799,Database!$H:$N,6,0)),"")</f>
        <v/>
      </c>
      <c r="M4799" s="55" t="str">
        <f>IFERROR(IF($G4799="","",VLOOKUP('Dashboard And Emails Automate'!$G4799,Database!$H:$N,7,0)),"")</f>
        <v/>
      </c>
      <c r="N4799" s="55" t="str">
        <f>IFERROR(IF(OR($B4799="",$B4799="(blank)"),"",VLOOKUP($B4799,'Email Marketing Raw Data'!$C:$O,6,0)),"")</f>
        <v/>
      </c>
      <c r="O4799" s="55" t="str">
        <f>IFERROR(IF(OR($B4799="",$B4799="(blank)"),"",VLOOKUP($B4799,'Email Marketing Raw Data'!$C:$O,7,0)),"")</f>
        <v/>
      </c>
      <c r="P4799" s="55" t="str">
        <f>IFERROR(IF(OR($B4799="",$B4799="(blank)"),"",VLOOKUP($B4799,'Email Marketing Raw Data'!$C:$O,8,0)),"")</f>
        <v/>
      </c>
      <c r="Q4799" s="62" t="str">
        <f>IFERROR(IF(OR($B4799="",$B4799="(blank)"),"",VLOOKUP($B4799,'Email Marketing Raw Data'!$C:$O,9,0)),"")</f>
        <v/>
      </c>
    </row>
    <row r="4800" spans="4:17" ht="12.75" customHeight="1" x14ac:dyDescent="0.2">
      <c r="D4800" s="58" t="str">
        <f>IFERROR(IF(F4800&lt;&gt;"pending","",IF(OR($B4800="",$B4800="(blank)"),"",VLOOKUP($B4800,'Email Marketing Raw Data'!$C:$O,10,0))),"")</f>
        <v/>
      </c>
      <c r="E4800" s="59" t="str">
        <f>IFERROR(IF(F4800&lt;&gt;"pending","",IF(OR($B4800="",$B4800="(blank)"),"",VLOOKUP($B4800,'Email Marketing Raw Data'!$C:$O,11,0))),"")</f>
        <v/>
      </c>
      <c r="F4800" s="54" t="str">
        <f>IFERROR(IF(OR($B4800="",$B4800="(blank)"),"",VLOOKUP($B4800,'Email Marketing Raw Data'!$C:$O,13,0)),"")</f>
        <v/>
      </c>
      <c r="G4800" s="55" t="str">
        <f>IFERROR(IF(OR($B4800="",$B4800="(blank)"),"",VLOOKUP($B4800,'Email Marketing Raw Data'!$C:$O,4,0)),"")</f>
        <v/>
      </c>
      <c r="H4800" s="55" t="str">
        <f>IFERROR(IF(OR($B4800="",$B4800="(blank)"),"",VLOOKUP($B4800,'Email Marketing Raw Data'!$C:$O,5,0)),"")</f>
        <v/>
      </c>
      <c r="I4800" s="55" t="str">
        <f>IFERROR(IF($G4800="","",VLOOKUP('Dashboard And Emails Automate'!$G4800,Database!$H:$N,3,0)),"")</f>
        <v/>
      </c>
      <c r="J4800" s="55" t="str">
        <f>IFERROR(IF($G4800="","",VLOOKUP('Dashboard And Emails Automate'!$G4800,Database!$H:$N,4,0)),"")</f>
        <v/>
      </c>
      <c r="K4800" s="55" t="str">
        <f>IFERROR(IF($G4800="","",VLOOKUP('Dashboard And Emails Automate'!$G4800,Database!$H:$N,5,0)),"")</f>
        <v/>
      </c>
      <c r="L4800" s="55" t="str">
        <f>IFERROR(IF($G4800="","",VLOOKUP('Dashboard And Emails Automate'!$G4800,Database!$H:$N,6,0)),"")</f>
        <v/>
      </c>
      <c r="M4800" s="55" t="str">
        <f>IFERROR(IF($G4800="","",VLOOKUP('Dashboard And Emails Automate'!$G4800,Database!$H:$N,7,0)),"")</f>
        <v/>
      </c>
      <c r="N4800" s="55" t="str">
        <f>IFERROR(IF(OR($B4800="",$B4800="(blank)"),"",VLOOKUP($B4800,'Email Marketing Raw Data'!$C:$O,6,0)),"")</f>
        <v/>
      </c>
      <c r="O4800" s="55" t="str">
        <f>IFERROR(IF(OR($B4800="",$B4800="(blank)"),"",VLOOKUP($B4800,'Email Marketing Raw Data'!$C:$O,7,0)),"")</f>
        <v/>
      </c>
      <c r="P4800" s="55" t="str">
        <f>IFERROR(IF(OR($B4800="",$B4800="(blank)"),"",VLOOKUP($B4800,'Email Marketing Raw Data'!$C:$O,8,0)),"")</f>
        <v/>
      </c>
      <c r="Q4800" s="62" t="str">
        <f>IFERROR(IF(OR($B4800="",$B4800="(blank)"),"",VLOOKUP($B4800,'Email Marketing Raw Data'!$C:$O,9,0)),"")</f>
        <v/>
      </c>
    </row>
    <row r="4801" spans="4:17" ht="12.75" customHeight="1" x14ac:dyDescent="0.2">
      <c r="D4801" s="58" t="str">
        <f>IFERROR(IF(F4801&lt;&gt;"pending","",IF(OR($B4801="",$B4801="(blank)"),"",VLOOKUP($B4801,'Email Marketing Raw Data'!$C:$O,10,0))),"")</f>
        <v/>
      </c>
      <c r="E4801" s="59" t="str">
        <f>IFERROR(IF(F4801&lt;&gt;"pending","",IF(OR($B4801="",$B4801="(blank)"),"",VLOOKUP($B4801,'Email Marketing Raw Data'!$C:$O,11,0))),"")</f>
        <v/>
      </c>
      <c r="F4801" s="54" t="str">
        <f>IFERROR(IF(OR($B4801="",$B4801="(blank)"),"",VLOOKUP($B4801,'Email Marketing Raw Data'!$C:$O,13,0)),"")</f>
        <v/>
      </c>
      <c r="G4801" s="55" t="str">
        <f>IFERROR(IF(OR($B4801="",$B4801="(blank)"),"",VLOOKUP($B4801,'Email Marketing Raw Data'!$C:$O,4,0)),"")</f>
        <v/>
      </c>
      <c r="H4801" s="55" t="str">
        <f>IFERROR(IF(OR($B4801="",$B4801="(blank)"),"",VLOOKUP($B4801,'Email Marketing Raw Data'!$C:$O,5,0)),"")</f>
        <v/>
      </c>
      <c r="I4801" s="55" t="str">
        <f>IFERROR(IF($G4801="","",VLOOKUP('Dashboard And Emails Automate'!$G4801,Database!$H:$N,3,0)),"")</f>
        <v/>
      </c>
      <c r="J4801" s="55" t="str">
        <f>IFERROR(IF($G4801="","",VLOOKUP('Dashboard And Emails Automate'!$G4801,Database!$H:$N,4,0)),"")</f>
        <v/>
      </c>
      <c r="K4801" s="55" t="str">
        <f>IFERROR(IF($G4801="","",VLOOKUP('Dashboard And Emails Automate'!$G4801,Database!$H:$N,5,0)),"")</f>
        <v/>
      </c>
      <c r="L4801" s="55" t="str">
        <f>IFERROR(IF($G4801="","",VLOOKUP('Dashboard And Emails Automate'!$G4801,Database!$H:$N,6,0)),"")</f>
        <v/>
      </c>
      <c r="M4801" s="55" t="str">
        <f>IFERROR(IF($G4801="","",VLOOKUP('Dashboard And Emails Automate'!$G4801,Database!$H:$N,7,0)),"")</f>
        <v/>
      </c>
      <c r="N4801" s="55" t="str">
        <f>IFERROR(IF(OR($B4801="",$B4801="(blank)"),"",VLOOKUP($B4801,'Email Marketing Raw Data'!$C:$O,6,0)),"")</f>
        <v/>
      </c>
      <c r="O4801" s="55" t="str">
        <f>IFERROR(IF(OR($B4801="",$B4801="(blank)"),"",VLOOKUP($B4801,'Email Marketing Raw Data'!$C:$O,7,0)),"")</f>
        <v/>
      </c>
      <c r="P4801" s="55" t="str">
        <f>IFERROR(IF(OR($B4801="",$B4801="(blank)"),"",VLOOKUP($B4801,'Email Marketing Raw Data'!$C:$O,8,0)),"")</f>
        <v/>
      </c>
      <c r="Q4801" s="62" t="str">
        <f>IFERROR(IF(OR($B4801="",$B4801="(blank)"),"",VLOOKUP($B4801,'Email Marketing Raw Data'!$C:$O,9,0)),"")</f>
        <v/>
      </c>
    </row>
    <row r="4802" spans="4:17" ht="12.75" customHeight="1" x14ac:dyDescent="0.2">
      <c r="D4802" s="58" t="str">
        <f>IFERROR(IF(F4802&lt;&gt;"pending","",IF(OR($B4802="",$B4802="(blank)"),"",VLOOKUP($B4802,'Email Marketing Raw Data'!$C:$O,10,0))),"")</f>
        <v/>
      </c>
      <c r="E4802" s="59" t="str">
        <f>IFERROR(IF(F4802&lt;&gt;"pending","",IF(OR($B4802="",$B4802="(blank)"),"",VLOOKUP($B4802,'Email Marketing Raw Data'!$C:$O,11,0))),"")</f>
        <v/>
      </c>
      <c r="F4802" s="54" t="str">
        <f>IFERROR(IF(OR($B4802="",$B4802="(blank)"),"",VLOOKUP($B4802,'Email Marketing Raw Data'!$C:$O,13,0)),"")</f>
        <v/>
      </c>
      <c r="G4802" s="55" t="str">
        <f>IFERROR(IF(OR($B4802="",$B4802="(blank)"),"",VLOOKUP($B4802,'Email Marketing Raw Data'!$C:$O,4,0)),"")</f>
        <v/>
      </c>
      <c r="H4802" s="55" t="str">
        <f>IFERROR(IF(OR($B4802="",$B4802="(blank)"),"",VLOOKUP($B4802,'Email Marketing Raw Data'!$C:$O,5,0)),"")</f>
        <v/>
      </c>
      <c r="I4802" s="55" t="str">
        <f>IFERROR(IF($G4802="","",VLOOKUP('Dashboard And Emails Automate'!$G4802,Database!$H:$N,3,0)),"")</f>
        <v/>
      </c>
      <c r="J4802" s="55" t="str">
        <f>IFERROR(IF($G4802="","",VLOOKUP('Dashboard And Emails Automate'!$G4802,Database!$H:$N,4,0)),"")</f>
        <v/>
      </c>
      <c r="K4802" s="55" t="str">
        <f>IFERROR(IF($G4802="","",VLOOKUP('Dashboard And Emails Automate'!$G4802,Database!$H:$N,5,0)),"")</f>
        <v/>
      </c>
      <c r="L4802" s="55" t="str">
        <f>IFERROR(IF($G4802="","",VLOOKUP('Dashboard And Emails Automate'!$G4802,Database!$H:$N,6,0)),"")</f>
        <v/>
      </c>
      <c r="M4802" s="55" t="str">
        <f>IFERROR(IF($G4802="","",VLOOKUP('Dashboard And Emails Automate'!$G4802,Database!$H:$N,7,0)),"")</f>
        <v/>
      </c>
      <c r="N4802" s="55" t="str">
        <f>IFERROR(IF(OR($B4802="",$B4802="(blank)"),"",VLOOKUP($B4802,'Email Marketing Raw Data'!$C:$O,6,0)),"")</f>
        <v/>
      </c>
      <c r="O4802" s="55" t="str">
        <f>IFERROR(IF(OR($B4802="",$B4802="(blank)"),"",VLOOKUP($B4802,'Email Marketing Raw Data'!$C:$O,7,0)),"")</f>
        <v/>
      </c>
      <c r="P4802" s="55" t="str">
        <f>IFERROR(IF(OR($B4802="",$B4802="(blank)"),"",VLOOKUP($B4802,'Email Marketing Raw Data'!$C:$O,8,0)),"")</f>
        <v/>
      </c>
      <c r="Q4802" s="62" t="str">
        <f>IFERROR(IF(OR($B4802="",$B4802="(blank)"),"",VLOOKUP($B4802,'Email Marketing Raw Data'!$C:$O,9,0)),"")</f>
        <v/>
      </c>
    </row>
    <row r="4803" spans="4:17" ht="12.75" customHeight="1" x14ac:dyDescent="0.2">
      <c r="D4803" s="58" t="str">
        <f>IFERROR(IF(F4803&lt;&gt;"pending","",IF(OR($B4803="",$B4803="(blank)"),"",VLOOKUP($B4803,'Email Marketing Raw Data'!$C:$O,10,0))),"")</f>
        <v/>
      </c>
      <c r="E4803" s="59" t="str">
        <f>IFERROR(IF(F4803&lt;&gt;"pending","",IF(OR($B4803="",$B4803="(blank)"),"",VLOOKUP($B4803,'Email Marketing Raw Data'!$C:$O,11,0))),"")</f>
        <v/>
      </c>
      <c r="F4803" s="54" t="str">
        <f>IFERROR(IF(OR($B4803="",$B4803="(blank)"),"",VLOOKUP($B4803,'Email Marketing Raw Data'!$C:$O,13,0)),"")</f>
        <v/>
      </c>
      <c r="G4803" s="55" t="str">
        <f>IFERROR(IF(OR($B4803="",$B4803="(blank)"),"",VLOOKUP($B4803,'Email Marketing Raw Data'!$C:$O,4,0)),"")</f>
        <v/>
      </c>
      <c r="H4803" s="55" t="str">
        <f>IFERROR(IF(OR($B4803="",$B4803="(blank)"),"",VLOOKUP($B4803,'Email Marketing Raw Data'!$C:$O,5,0)),"")</f>
        <v/>
      </c>
      <c r="I4803" s="55" t="str">
        <f>IFERROR(IF($G4803="","",VLOOKUP('Dashboard And Emails Automate'!$G4803,Database!$H:$N,3,0)),"")</f>
        <v/>
      </c>
      <c r="J4803" s="55" t="str">
        <f>IFERROR(IF($G4803="","",VLOOKUP('Dashboard And Emails Automate'!$G4803,Database!$H:$N,4,0)),"")</f>
        <v/>
      </c>
      <c r="K4803" s="55" t="str">
        <f>IFERROR(IF($G4803="","",VLOOKUP('Dashboard And Emails Automate'!$G4803,Database!$H:$N,5,0)),"")</f>
        <v/>
      </c>
      <c r="L4803" s="55" t="str">
        <f>IFERROR(IF($G4803="","",VLOOKUP('Dashboard And Emails Automate'!$G4803,Database!$H:$N,6,0)),"")</f>
        <v/>
      </c>
      <c r="M4803" s="55" t="str">
        <f>IFERROR(IF($G4803="","",VLOOKUP('Dashboard And Emails Automate'!$G4803,Database!$H:$N,7,0)),"")</f>
        <v/>
      </c>
      <c r="N4803" s="55" t="str">
        <f>IFERROR(IF(OR($B4803="",$B4803="(blank)"),"",VLOOKUP($B4803,'Email Marketing Raw Data'!$C:$O,6,0)),"")</f>
        <v/>
      </c>
      <c r="O4803" s="55" t="str">
        <f>IFERROR(IF(OR($B4803="",$B4803="(blank)"),"",VLOOKUP($B4803,'Email Marketing Raw Data'!$C:$O,7,0)),"")</f>
        <v/>
      </c>
      <c r="P4803" s="55" t="str">
        <f>IFERROR(IF(OR($B4803="",$B4803="(blank)"),"",VLOOKUP($B4803,'Email Marketing Raw Data'!$C:$O,8,0)),"")</f>
        <v/>
      </c>
      <c r="Q4803" s="62" t="str">
        <f>IFERROR(IF(OR($B4803="",$B4803="(blank)"),"",VLOOKUP($B4803,'Email Marketing Raw Data'!$C:$O,9,0)),"")</f>
        <v/>
      </c>
    </row>
    <row r="4804" spans="4:17" ht="12.75" customHeight="1" x14ac:dyDescent="0.2">
      <c r="D4804" s="58" t="str">
        <f>IFERROR(IF(F4804&lt;&gt;"pending","",IF(OR($B4804="",$B4804="(blank)"),"",VLOOKUP($B4804,'Email Marketing Raw Data'!$C:$O,10,0))),"")</f>
        <v/>
      </c>
      <c r="E4804" s="59" t="str">
        <f>IFERROR(IF(F4804&lt;&gt;"pending","",IF(OR($B4804="",$B4804="(blank)"),"",VLOOKUP($B4804,'Email Marketing Raw Data'!$C:$O,11,0))),"")</f>
        <v/>
      </c>
      <c r="F4804" s="54" t="str">
        <f>IFERROR(IF(OR($B4804="",$B4804="(blank)"),"",VLOOKUP($B4804,'Email Marketing Raw Data'!$C:$O,13,0)),"")</f>
        <v/>
      </c>
      <c r="G4804" s="55" t="str">
        <f>IFERROR(IF(OR($B4804="",$B4804="(blank)"),"",VLOOKUP($B4804,'Email Marketing Raw Data'!$C:$O,4,0)),"")</f>
        <v/>
      </c>
      <c r="H4804" s="55" t="str">
        <f>IFERROR(IF(OR($B4804="",$B4804="(blank)"),"",VLOOKUP($B4804,'Email Marketing Raw Data'!$C:$O,5,0)),"")</f>
        <v/>
      </c>
      <c r="I4804" s="55" t="str">
        <f>IFERROR(IF($G4804="","",VLOOKUP('Dashboard And Emails Automate'!$G4804,Database!$H:$N,3,0)),"")</f>
        <v/>
      </c>
      <c r="J4804" s="55" t="str">
        <f>IFERROR(IF($G4804="","",VLOOKUP('Dashboard And Emails Automate'!$G4804,Database!$H:$N,4,0)),"")</f>
        <v/>
      </c>
      <c r="K4804" s="55" t="str">
        <f>IFERROR(IF($G4804="","",VLOOKUP('Dashboard And Emails Automate'!$G4804,Database!$H:$N,5,0)),"")</f>
        <v/>
      </c>
      <c r="L4804" s="55" t="str">
        <f>IFERROR(IF($G4804="","",VLOOKUP('Dashboard And Emails Automate'!$G4804,Database!$H:$N,6,0)),"")</f>
        <v/>
      </c>
      <c r="M4804" s="55" t="str">
        <f>IFERROR(IF($G4804="","",VLOOKUP('Dashboard And Emails Automate'!$G4804,Database!$H:$N,7,0)),"")</f>
        <v/>
      </c>
      <c r="N4804" s="55" t="str">
        <f>IFERROR(IF(OR($B4804="",$B4804="(blank)"),"",VLOOKUP($B4804,'Email Marketing Raw Data'!$C:$O,6,0)),"")</f>
        <v/>
      </c>
      <c r="O4804" s="55" t="str">
        <f>IFERROR(IF(OR($B4804="",$B4804="(blank)"),"",VLOOKUP($B4804,'Email Marketing Raw Data'!$C:$O,7,0)),"")</f>
        <v/>
      </c>
      <c r="P4804" s="55" t="str">
        <f>IFERROR(IF(OR($B4804="",$B4804="(blank)"),"",VLOOKUP($B4804,'Email Marketing Raw Data'!$C:$O,8,0)),"")</f>
        <v/>
      </c>
      <c r="Q4804" s="62" t="str">
        <f>IFERROR(IF(OR($B4804="",$B4804="(blank)"),"",VLOOKUP($B4804,'Email Marketing Raw Data'!$C:$O,9,0)),"")</f>
        <v/>
      </c>
    </row>
    <row r="4805" spans="4:17" ht="12.75" customHeight="1" x14ac:dyDescent="0.2">
      <c r="D4805" s="58" t="str">
        <f>IFERROR(IF(F4805&lt;&gt;"pending","",IF(OR($B4805="",$B4805="(blank)"),"",VLOOKUP($B4805,'Email Marketing Raw Data'!$C:$O,10,0))),"")</f>
        <v/>
      </c>
      <c r="E4805" s="59" t="str">
        <f>IFERROR(IF(F4805&lt;&gt;"pending","",IF(OR($B4805="",$B4805="(blank)"),"",VLOOKUP($B4805,'Email Marketing Raw Data'!$C:$O,11,0))),"")</f>
        <v/>
      </c>
      <c r="F4805" s="54" t="str">
        <f>IFERROR(IF(OR($B4805="",$B4805="(blank)"),"",VLOOKUP($B4805,'Email Marketing Raw Data'!$C:$O,13,0)),"")</f>
        <v/>
      </c>
      <c r="G4805" s="55" t="str">
        <f>IFERROR(IF(OR($B4805="",$B4805="(blank)"),"",VLOOKUP($B4805,'Email Marketing Raw Data'!$C:$O,4,0)),"")</f>
        <v/>
      </c>
      <c r="H4805" s="55" t="str">
        <f>IFERROR(IF(OR($B4805="",$B4805="(blank)"),"",VLOOKUP($B4805,'Email Marketing Raw Data'!$C:$O,5,0)),"")</f>
        <v/>
      </c>
      <c r="I4805" s="55" t="str">
        <f>IFERROR(IF($G4805="","",VLOOKUP('Dashboard And Emails Automate'!$G4805,Database!$H:$N,3,0)),"")</f>
        <v/>
      </c>
      <c r="J4805" s="55" t="str">
        <f>IFERROR(IF($G4805="","",VLOOKUP('Dashboard And Emails Automate'!$G4805,Database!$H:$N,4,0)),"")</f>
        <v/>
      </c>
      <c r="K4805" s="55" t="str">
        <f>IFERROR(IF($G4805="","",VLOOKUP('Dashboard And Emails Automate'!$G4805,Database!$H:$N,5,0)),"")</f>
        <v/>
      </c>
      <c r="L4805" s="55" t="str">
        <f>IFERROR(IF($G4805="","",VLOOKUP('Dashboard And Emails Automate'!$G4805,Database!$H:$N,6,0)),"")</f>
        <v/>
      </c>
      <c r="M4805" s="55" t="str">
        <f>IFERROR(IF($G4805="","",VLOOKUP('Dashboard And Emails Automate'!$G4805,Database!$H:$N,7,0)),"")</f>
        <v/>
      </c>
      <c r="N4805" s="55" t="str">
        <f>IFERROR(IF(OR($B4805="",$B4805="(blank)"),"",VLOOKUP($B4805,'Email Marketing Raw Data'!$C:$O,6,0)),"")</f>
        <v/>
      </c>
      <c r="O4805" s="55" t="str">
        <f>IFERROR(IF(OR($B4805="",$B4805="(blank)"),"",VLOOKUP($B4805,'Email Marketing Raw Data'!$C:$O,7,0)),"")</f>
        <v/>
      </c>
      <c r="P4805" s="55" t="str">
        <f>IFERROR(IF(OR($B4805="",$B4805="(blank)"),"",VLOOKUP($B4805,'Email Marketing Raw Data'!$C:$O,8,0)),"")</f>
        <v/>
      </c>
      <c r="Q4805" s="62" t="str">
        <f>IFERROR(IF(OR($B4805="",$B4805="(blank)"),"",VLOOKUP($B4805,'Email Marketing Raw Data'!$C:$O,9,0)),"")</f>
        <v/>
      </c>
    </row>
    <row r="4806" spans="4:17" ht="12.75" customHeight="1" x14ac:dyDescent="0.2">
      <c r="D4806" s="58" t="str">
        <f>IFERROR(IF(F4806&lt;&gt;"pending","",IF(OR($B4806="",$B4806="(blank)"),"",VLOOKUP($B4806,'Email Marketing Raw Data'!$C:$O,10,0))),"")</f>
        <v/>
      </c>
      <c r="E4806" s="59" t="str">
        <f>IFERROR(IF(F4806&lt;&gt;"pending","",IF(OR($B4806="",$B4806="(blank)"),"",VLOOKUP($B4806,'Email Marketing Raw Data'!$C:$O,11,0))),"")</f>
        <v/>
      </c>
      <c r="F4806" s="54" t="str">
        <f>IFERROR(IF(OR($B4806="",$B4806="(blank)"),"",VLOOKUP($B4806,'Email Marketing Raw Data'!$C:$O,13,0)),"")</f>
        <v/>
      </c>
      <c r="G4806" s="55" t="str">
        <f>IFERROR(IF(OR($B4806="",$B4806="(blank)"),"",VLOOKUP($B4806,'Email Marketing Raw Data'!$C:$O,4,0)),"")</f>
        <v/>
      </c>
      <c r="H4806" s="55" t="str">
        <f>IFERROR(IF(OR($B4806="",$B4806="(blank)"),"",VLOOKUP($B4806,'Email Marketing Raw Data'!$C:$O,5,0)),"")</f>
        <v/>
      </c>
      <c r="I4806" s="55" t="str">
        <f>IFERROR(IF($G4806="","",VLOOKUP('Dashboard And Emails Automate'!$G4806,Database!$H:$N,3,0)),"")</f>
        <v/>
      </c>
      <c r="J4806" s="55" t="str">
        <f>IFERROR(IF($G4806="","",VLOOKUP('Dashboard And Emails Automate'!$G4806,Database!$H:$N,4,0)),"")</f>
        <v/>
      </c>
      <c r="K4806" s="55" t="str">
        <f>IFERROR(IF($G4806="","",VLOOKUP('Dashboard And Emails Automate'!$G4806,Database!$H:$N,5,0)),"")</f>
        <v/>
      </c>
      <c r="L4806" s="55" t="str">
        <f>IFERROR(IF($G4806="","",VLOOKUP('Dashboard And Emails Automate'!$G4806,Database!$H:$N,6,0)),"")</f>
        <v/>
      </c>
      <c r="M4806" s="55" t="str">
        <f>IFERROR(IF($G4806="","",VLOOKUP('Dashboard And Emails Automate'!$G4806,Database!$H:$N,7,0)),"")</f>
        <v/>
      </c>
      <c r="N4806" s="55" t="str">
        <f>IFERROR(IF(OR($B4806="",$B4806="(blank)"),"",VLOOKUP($B4806,'Email Marketing Raw Data'!$C:$O,6,0)),"")</f>
        <v/>
      </c>
      <c r="O4806" s="55" t="str">
        <f>IFERROR(IF(OR($B4806="",$B4806="(blank)"),"",VLOOKUP($B4806,'Email Marketing Raw Data'!$C:$O,7,0)),"")</f>
        <v/>
      </c>
      <c r="P4806" s="55" t="str">
        <f>IFERROR(IF(OR($B4806="",$B4806="(blank)"),"",VLOOKUP($B4806,'Email Marketing Raw Data'!$C:$O,8,0)),"")</f>
        <v/>
      </c>
      <c r="Q4806" s="62" t="str">
        <f>IFERROR(IF(OR($B4806="",$B4806="(blank)"),"",VLOOKUP($B4806,'Email Marketing Raw Data'!$C:$O,9,0)),"")</f>
        <v/>
      </c>
    </row>
    <row r="4807" spans="4:17" ht="12.75" customHeight="1" x14ac:dyDescent="0.2">
      <c r="D4807" s="58" t="str">
        <f>IFERROR(IF(F4807&lt;&gt;"pending","",IF(OR($B4807="",$B4807="(blank)"),"",VLOOKUP($B4807,'Email Marketing Raw Data'!$C:$O,10,0))),"")</f>
        <v/>
      </c>
      <c r="E4807" s="59" t="str">
        <f>IFERROR(IF(F4807&lt;&gt;"pending","",IF(OR($B4807="",$B4807="(blank)"),"",VLOOKUP($B4807,'Email Marketing Raw Data'!$C:$O,11,0))),"")</f>
        <v/>
      </c>
      <c r="F4807" s="54" t="str">
        <f>IFERROR(IF(OR($B4807="",$B4807="(blank)"),"",VLOOKUP($B4807,'Email Marketing Raw Data'!$C:$O,13,0)),"")</f>
        <v/>
      </c>
      <c r="G4807" s="55" t="str">
        <f>IFERROR(IF(OR($B4807="",$B4807="(blank)"),"",VLOOKUP($B4807,'Email Marketing Raw Data'!$C:$O,4,0)),"")</f>
        <v/>
      </c>
      <c r="H4807" s="55" t="str">
        <f>IFERROR(IF(OR($B4807="",$B4807="(blank)"),"",VLOOKUP($B4807,'Email Marketing Raw Data'!$C:$O,5,0)),"")</f>
        <v/>
      </c>
      <c r="I4807" s="55" t="str">
        <f>IFERROR(IF($G4807="","",VLOOKUP('Dashboard And Emails Automate'!$G4807,Database!$H:$N,3,0)),"")</f>
        <v/>
      </c>
      <c r="J4807" s="55" t="str">
        <f>IFERROR(IF($G4807="","",VLOOKUP('Dashboard And Emails Automate'!$G4807,Database!$H:$N,4,0)),"")</f>
        <v/>
      </c>
      <c r="K4807" s="55" t="str">
        <f>IFERROR(IF($G4807="","",VLOOKUP('Dashboard And Emails Automate'!$G4807,Database!$H:$N,5,0)),"")</f>
        <v/>
      </c>
      <c r="L4807" s="55" t="str">
        <f>IFERROR(IF($G4807="","",VLOOKUP('Dashboard And Emails Automate'!$G4807,Database!$H:$N,6,0)),"")</f>
        <v/>
      </c>
      <c r="M4807" s="55" t="str">
        <f>IFERROR(IF($G4807="","",VLOOKUP('Dashboard And Emails Automate'!$G4807,Database!$H:$N,7,0)),"")</f>
        <v/>
      </c>
      <c r="N4807" s="55" t="str">
        <f>IFERROR(IF(OR($B4807="",$B4807="(blank)"),"",VLOOKUP($B4807,'Email Marketing Raw Data'!$C:$O,6,0)),"")</f>
        <v/>
      </c>
      <c r="O4807" s="55" t="str">
        <f>IFERROR(IF(OR($B4807="",$B4807="(blank)"),"",VLOOKUP($B4807,'Email Marketing Raw Data'!$C:$O,7,0)),"")</f>
        <v/>
      </c>
      <c r="P4807" s="55" t="str">
        <f>IFERROR(IF(OR($B4807="",$B4807="(blank)"),"",VLOOKUP($B4807,'Email Marketing Raw Data'!$C:$O,8,0)),"")</f>
        <v/>
      </c>
      <c r="Q4807" s="62" t="str">
        <f>IFERROR(IF(OR($B4807="",$B4807="(blank)"),"",VLOOKUP($B4807,'Email Marketing Raw Data'!$C:$O,9,0)),"")</f>
        <v/>
      </c>
    </row>
    <row r="4808" spans="4:17" ht="12.75" customHeight="1" x14ac:dyDescent="0.2">
      <c r="D4808" s="58" t="str">
        <f>IFERROR(IF(F4808&lt;&gt;"pending","",IF(OR($B4808="",$B4808="(blank)"),"",VLOOKUP($B4808,'Email Marketing Raw Data'!$C:$O,10,0))),"")</f>
        <v/>
      </c>
      <c r="E4808" s="59" t="str">
        <f>IFERROR(IF(F4808&lt;&gt;"pending","",IF(OR($B4808="",$B4808="(blank)"),"",VLOOKUP($B4808,'Email Marketing Raw Data'!$C:$O,11,0))),"")</f>
        <v/>
      </c>
      <c r="F4808" s="54" t="str">
        <f>IFERROR(IF(OR($B4808="",$B4808="(blank)"),"",VLOOKUP($B4808,'Email Marketing Raw Data'!$C:$O,13,0)),"")</f>
        <v/>
      </c>
      <c r="G4808" s="55" t="str">
        <f>IFERROR(IF(OR($B4808="",$B4808="(blank)"),"",VLOOKUP($B4808,'Email Marketing Raw Data'!$C:$O,4,0)),"")</f>
        <v/>
      </c>
      <c r="H4808" s="55" t="str">
        <f>IFERROR(IF(OR($B4808="",$B4808="(blank)"),"",VLOOKUP($B4808,'Email Marketing Raw Data'!$C:$O,5,0)),"")</f>
        <v/>
      </c>
      <c r="I4808" s="55" t="str">
        <f>IFERROR(IF($G4808="","",VLOOKUP('Dashboard And Emails Automate'!$G4808,Database!$H:$N,3,0)),"")</f>
        <v/>
      </c>
      <c r="J4808" s="55" t="str">
        <f>IFERROR(IF($G4808="","",VLOOKUP('Dashboard And Emails Automate'!$G4808,Database!$H:$N,4,0)),"")</f>
        <v/>
      </c>
      <c r="K4808" s="55" t="str">
        <f>IFERROR(IF($G4808="","",VLOOKUP('Dashboard And Emails Automate'!$G4808,Database!$H:$N,5,0)),"")</f>
        <v/>
      </c>
      <c r="L4808" s="55" t="str">
        <f>IFERROR(IF($G4808="","",VLOOKUP('Dashboard And Emails Automate'!$G4808,Database!$H:$N,6,0)),"")</f>
        <v/>
      </c>
      <c r="M4808" s="55" t="str">
        <f>IFERROR(IF($G4808="","",VLOOKUP('Dashboard And Emails Automate'!$G4808,Database!$H:$N,7,0)),"")</f>
        <v/>
      </c>
      <c r="N4808" s="55" t="str">
        <f>IFERROR(IF(OR($B4808="",$B4808="(blank)"),"",VLOOKUP($B4808,'Email Marketing Raw Data'!$C:$O,6,0)),"")</f>
        <v/>
      </c>
      <c r="O4808" s="55" t="str">
        <f>IFERROR(IF(OR($B4808="",$B4808="(blank)"),"",VLOOKUP($B4808,'Email Marketing Raw Data'!$C:$O,7,0)),"")</f>
        <v/>
      </c>
      <c r="P4808" s="55" t="str">
        <f>IFERROR(IF(OR($B4808="",$B4808="(blank)"),"",VLOOKUP($B4808,'Email Marketing Raw Data'!$C:$O,8,0)),"")</f>
        <v/>
      </c>
      <c r="Q4808" s="62" t="str">
        <f>IFERROR(IF(OR($B4808="",$B4808="(blank)"),"",VLOOKUP($B4808,'Email Marketing Raw Data'!$C:$O,9,0)),"")</f>
        <v/>
      </c>
    </row>
    <row r="4809" spans="4:17" ht="12.75" customHeight="1" x14ac:dyDescent="0.2">
      <c r="D4809" s="58" t="str">
        <f>IFERROR(IF(F4809&lt;&gt;"pending","",IF(OR($B4809="",$B4809="(blank)"),"",VLOOKUP($B4809,'Email Marketing Raw Data'!$C:$O,10,0))),"")</f>
        <v/>
      </c>
      <c r="E4809" s="59" t="str">
        <f>IFERROR(IF(F4809&lt;&gt;"pending","",IF(OR($B4809="",$B4809="(blank)"),"",VLOOKUP($B4809,'Email Marketing Raw Data'!$C:$O,11,0))),"")</f>
        <v/>
      </c>
      <c r="F4809" s="54" t="str">
        <f>IFERROR(IF(OR($B4809="",$B4809="(blank)"),"",VLOOKUP($B4809,'Email Marketing Raw Data'!$C:$O,13,0)),"")</f>
        <v/>
      </c>
      <c r="G4809" s="55" t="str">
        <f>IFERROR(IF(OR($B4809="",$B4809="(blank)"),"",VLOOKUP($B4809,'Email Marketing Raw Data'!$C:$O,4,0)),"")</f>
        <v/>
      </c>
      <c r="H4809" s="55" t="str">
        <f>IFERROR(IF(OR($B4809="",$B4809="(blank)"),"",VLOOKUP($B4809,'Email Marketing Raw Data'!$C:$O,5,0)),"")</f>
        <v/>
      </c>
      <c r="I4809" s="55" t="str">
        <f>IFERROR(IF($G4809="","",VLOOKUP('Dashboard And Emails Automate'!$G4809,Database!$H:$N,3,0)),"")</f>
        <v/>
      </c>
      <c r="J4809" s="55" t="str">
        <f>IFERROR(IF($G4809="","",VLOOKUP('Dashboard And Emails Automate'!$G4809,Database!$H:$N,4,0)),"")</f>
        <v/>
      </c>
      <c r="K4809" s="55" t="str">
        <f>IFERROR(IF($G4809="","",VLOOKUP('Dashboard And Emails Automate'!$G4809,Database!$H:$N,5,0)),"")</f>
        <v/>
      </c>
      <c r="L4809" s="55" t="str">
        <f>IFERROR(IF($G4809="","",VLOOKUP('Dashboard And Emails Automate'!$G4809,Database!$H:$N,6,0)),"")</f>
        <v/>
      </c>
      <c r="M4809" s="55" t="str">
        <f>IFERROR(IF($G4809="","",VLOOKUP('Dashboard And Emails Automate'!$G4809,Database!$H:$N,7,0)),"")</f>
        <v/>
      </c>
      <c r="N4809" s="55" t="str">
        <f>IFERROR(IF(OR($B4809="",$B4809="(blank)"),"",VLOOKUP($B4809,'Email Marketing Raw Data'!$C:$O,6,0)),"")</f>
        <v/>
      </c>
      <c r="O4809" s="55" t="str">
        <f>IFERROR(IF(OR($B4809="",$B4809="(blank)"),"",VLOOKUP($B4809,'Email Marketing Raw Data'!$C:$O,7,0)),"")</f>
        <v/>
      </c>
      <c r="P4809" s="55" t="str">
        <f>IFERROR(IF(OR($B4809="",$B4809="(blank)"),"",VLOOKUP($B4809,'Email Marketing Raw Data'!$C:$O,8,0)),"")</f>
        <v/>
      </c>
      <c r="Q4809" s="62" t="str">
        <f>IFERROR(IF(OR($B4809="",$B4809="(blank)"),"",VLOOKUP($B4809,'Email Marketing Raw Data'!$C:$O,9,0)),"")</f>
        <v/>
      </c>
    </row>
    <row r="4810" spans="4:17" ht="12.75" customHeight="1" x14ac:dyDescent="0.2">
      <c r="D4810" s="58" t="str">
        <f>IFERROR(IF(F4810&lt;&gt;"pending","",IF(OR($B4810="",$B4810="(blank)"),"",VLOOKUP($B4810,'Email Marketing Raw Data'!$C:$O,10,0))),"")</f>
        <v/>
      </c>
      <c r="E4810" s="59" t="str">
        <f>IFERROR(IF(F4810&lt;&gt;"pending","",IF(OR($B4810="",$B4810="(blank)"),"",VLOOKUP($B4810,'Email Marketing Raw Data'!$C:$O,11,0))),"")</f>
        <v/>
      </c>
      <c r="F4810" s="54" t="str">
        <f>IFERROR(IF(OR($B4810="",$B4810="(blank)"),"",VLOOKUP($B4810,'Email Marketing Raw Data'!$C:$O,13,0)),"")</f>
        <v/>
      </c>
      <c r="G4810" s="55" t="str">
        <f>IFERROR(IF(OR($B4810="",$B4810="(blank)"),"",VLOOKUP($B4810,'Email Marketing Raw Data'!$C:$O,4,0)),"")</f>
        <v/>
      </c>
      <c r="H4810" s="55" t="str">
        <f>IFERROR(IF(OR($B4810="",$B4810="(blank)"),"",VLOOKUP($B4810,'Email Marketing Raw Data'!$C:$O,5,0)),"")</f>
        <v/>
      </c>
      <c r="I4810" s="55" t="str">
        <f>IFERROR(IF($G4810="","",VLOOKUP('Dashboard And Emails Automate'!$G4810,Database!$H:$N,3,0)),"")</f>
        <v/>
      </c>
      <c r="J4810" s="55" t="str">
        <f>IFERROR(IF($G4810="","",VLOOKUP('Dashboard And Emails Automate'!$G4810,Database!$H:$N,4,0)),"")</f>
        <v/>
      </c>
      <c r="K4810" s="55" t="str">
        <f>IFERROR(IF($G4810="","",VLOOKUP('Dashboard And Emails Automate'!$G4810,Database!$H:$N,5,0)),"")</f>
        <v/>
      </c>
      <c r="L4810" s="55" t="str">
        <f>IFERROR(IF($G4810="","",VLOOKUP('Dashboard And Emails Automate'!$G4810,Database!$H:$N,6,0)),"")</f>
        <v/>
      </c>
      <c r="M4810" s="55" t="str">
        <f>IFERROR(IF($G4810="","",VLOOKUP('Dashboard And Emails Automate'!$G4810,Database!$H:$N,7,0)),"")</f>
        <v/>
      </c>
      <c r="N4810" s="55" t="str">
        <f>IFERROR(IF(OR($B4810="",$B4810="(blank)"),"",VLOOKUP($B4810,'Email Marketing Raw Data'!$C:$O,6,0)),"")</f>
        <v/>
      </c>
      <c r="O4810" s="55" t="str">
        <f>IFERROR(IF(OR($B4810="",$B4810="(blank)"),"",VLOOKUP($B4810,'Email Marketing Raw Data'!$C:$O,7,0)),"")</f>
        <v/>
      </c>
      <c r="P4810" s="55" t="str">
        <f>IFERROR(IF(OR($B4810="",$B4810="(blank)"),"",VLOOKUP($B4810,'Email Marketing Raw Data'!$C:$O,8,0)),"")</f>
        <v/>
      </c>
      <c r="Q4810" s="62" t="str">
        <f>IFERROR(IF(OR($B4810="",$B4810="(blank)"),"",VLOOKUP($B4810,'Email Marketing Raw Data'!$C:$O,9,0)),"")</f>
        <v/>
      </c>
    </row>
    <row r="4811" spans="4:17" ht="12.75" customHeight="1" x14ac:dyDescent="0.2">
      <c r="D4811" s="58" t="str">
        <f>IFERROR(IF(F4811&lt;&gt;"pending","",IF(OR($B4811="",$B4811="(blank)"),"",VLOOKUP($B4811,'Email Marketing Raw Data'!$C:$O,10,0))),"")</f>
        <v/>
      </c>
      <c r="E4811" s="59" t="str">
        <f>IFERROR(IF(F4811&lt;&gt;"pending","",IF(OR($B4811="",$B4811="(blank)"),"",VLOOKUP($B4811,'Email Marketing Raw Data'!$C:$O,11,0))),"")</f>
        <v/>
      </c>
      <c r="F4811" s="54" t="str">
        <f>IFERROR(IF(OR($B4811="",$B4811="(blank)"),"",VLOOKUP($B4811,'Email Marketing Raw Data'!$C:$O,13,0)),"")</f>
        <v/>
      </c>
      <c r="G4811" s="55" t="str">
        <f>IFERROR(IF(OR($B4811="",$B4811="(blank)"),"",VLOOKUP($B4811,'Email Marketing Raw Data'!$C:$O,4,0)),"")</f>
        <v/>
      </c>
      <c r="H4811" s="55" t="str">
        <f>IFERROR(IF(OR($B4811="",$B4811="(blank)"),"",VLOOKUP($B4811,'Email Marketing Raw Data'!$C:$O,5,0)),"")</f>
        <v/>
      </c>
      <c r="I4811" s="55" t="str">
        <f>IFERROR(IF($G4811="","",VLOOKUP('Dashboard And Emails Automate'!$G4811,Database!$H:$N,3,0)),"")</f>
        <v/>
      </c>
      <c r="J4811" s="55" t="str">
        <f>IFERROR(IF($G4811="","",VLOOKUP('Dashboard And Emails Automate'!$G4811,Database!$H:$N,4,0)),"")</f>
        <v/>
      </c>
      <c r="K4811" s="55" t="str">
        <f>IFERROR(IF($G4811="","",VLOOKUP('Dashboard And Emails Automate'!$G4811,Database!$H:$N,5,0)),"")</f>
        <v/>
      </c>
      <c r="L4811" s="55" t="str">
        <f>IFERROR(IF($G4811="","",VLOOKUP('Dashboard And Emails Automate'!$G4811,Database!$H:$N,6,0)),"")</f>
        <v/>
      </c>
      <c r="M4811" s="55" t="str">
        <f>IFERROR(IF($G4811="","",VLOOKUP('Dashboard And Emails Automate'!$G4811,Database!$H:$N,7,0)),"")</f>
        <v/>
      </c>
      <c r="N4811" s="55" t="str">
        <f>IFERROR(IF(OR($B4811="",$B4811="(blank)"),"",VLOOKUP($B4811,'Email Marketing Raw Data'!$C:$O,6,0)),"")</f>
        <v/>
      </c>
      <c r="O4811" s="55" t="str">
        <f>IFERROR(IF(OR($B4811="",$B4811="(blank)"),"",VLOOKUP($B4811,'Email Marketing Raw Data'!$C:$O,7,0)),"")</f>
        <v/>
      </c>
      <c r="P4811" s="55" t="str">
        <f>IFERROR(IF(OR($B4811="",$B4811="(blank)"),"",VLOOKUP($B4811,'Email Marketing Raw Data'!$C:$O,8,0)),"")</f>
        <v/>
      </c>
      <c r="Q4811" s="62" t="str">
        <f>IFERROR(IF(OR($B4811="",$B4811="(blank)"),"",VLOOKUP($B4811,'Email Marketing Raw Data'!$C:$O,9,0)),"")</f>
        <v/>
      </c>
    </row>
    <row r="4812" spans="4:17" ht="12.75" customHeight="1" x14ac:dyDescent="0.2">
      <c r="D4812" s="58" t="str">
        <f>IFERROR(IF(F4812&lt;&gt;"pending","",IF(OR($B4812="",$B4812="(blank)"),"",VLOOKUP($B4812,'Email Marketing Raw Data'!$C:$O,10,0))),"")</f>
        <v/>
      </c>
      <c r="E4812" s="59" t="str">
        <f>IFERROR(IF(F4812&lt;&gt;"pending","",IF(OR($B4812="",$B4812="(blank)"),"",VLOOKUP($B4812,'Email Marketing Raw Data'!$C:$O,11,0))),"")</f>
        <v/>
      </c>
      <c r="F4812" s="54" t="str">
        <f>IFERROR(IF(OR($B4812="",$B4812="(blank)"),"",VLOOKUP($B4812,'Email Marketing Raw Data'!$C:$O,13,0)),"")</f>
        <v/>
      </c>
      <c r="G4812" s="55" t="str">
        <f>IFERROR(IF(OR($B4812="",$B4812="(blank)"),"",VLOOKUP($B4812,'Email Marketing Raw Data'!$C:$O,4,0)),"")</f>
        <v/>
      </c>
      <c r="H4812" s="55" t="str">
        <f>IFERROR(IF(OR($B4812="",$B4812="(blank)"),"",VLOOKUP($B4812,'Email Marketing Raw Data'!$C:$O,5,0)),"")</f>
        <v/>
      </c>
      <c r="I4812" s="55" t="str">
        <f>IFERROR(IF($G4812="","",VLOOKUP('Dashboard And Emails Automate'!$G4812,Database!$H:$N,3,0)),"")</f>
        <v/>
      </c>
      <c r="J4812" s="55" t="str">
        <f>IFERROR(IF($G4812="","",VLOOKUP('Dashboard And Emails Automate'!$G4812,Database!$H:$N,4,0)),"")</f>
        <v/>
      </c>
      <c r="K4812" s="55" t="str">
        <f>IFERROR(IF($G4812="","",VLOOKUP('Dashboard And Emails Automate'!$G4812,Database!$H:$N,5,0)),"")</f>
        <v/>
      </c>
      <c r="L4812" s="55" t="str">
        <f>IFERROR(IF($G4812="","",VLOOKUP('Dashboard And Emails Automate'!$G4812,Database!$H:$N,6,0)),"")</f>
        <v/>
      </c>
      <c r="M4812" s="55" t="str">
        <f>IFERROR(IF($G4812="","",VLOOKUP('Dashboard And Emails Automate'!$G4812,Database!$H:$N,7,0)),"")</f>
        <v/>
      </c>
      <c r="N4812" s="55" t="str">
        <f>IFERROR(IF(OR($B4812="",$B4812="(blank)"),"",VLOOKUP($B4812,'Email Marketing Raw Data'!$C:$O,6,0)),"")</f>
        <v/>
      </c>
      <c r="O4812" s="55" t="str">
        <f>IFERROR(IF(OR($B4812="",$B4812="(blank)"),"",VLOOKUP($B4812,'Email Marketing Raw Data'!$C:$O,7,0)),"")</f>
        <v/>
      </c>
      <c r="P4812" s="55" t="str">
        <f>IFERROR(IF(OR($B4812="",$B4812="(blank)"),"",VLOOKUP($B4812,'Email Marketing Raw Data'!$C:$O,8,0)),"")</f>
        <v/>
      </c>
      <c r="Q4812" s="62" t="str">
        <f>IFERROR(IF(OR($B4812="",$B4812="(blank)"),"",VLOOKUP($B4812,'Email Marketing Raw Data'!$C:$O,9,0)),"")</f>
        <v/>
      </c>
    </row>
    <row r="4813" spans="4:17" ht="12.75" customHeight="1" x14ac:dyDescent="0.2">
      <c r="D4813" s="58" t="str">
        <f>IFERROR(IF(F4813&lt;&gt;"pending","",IF(OR($B4813="",$B4813="(blank)"),"",VLOOKUP($B4813,'Email Marketing Raw Data'!$C:$O,10,0))),"")</f>
        <v/>
      </c>
      <c r="E4813" s="59" t="str">
        <f>IFERROR(IF(F4813&lt;&gt;"pending","",IF(OR($B4813="",$B4813="(blank)"),"",VLOOKUP($B4813,'Email Marketing Raw Data'!$C:$O,11,0))),"")</f>
        <v/>
      </c>
      <c r="F4813" s="54" t="str">
        <f>IFERROR(IF(OR($B4813="",$B4813="(blank)"),"",VLOOKUP($B4813,'Email Marketing Raw Data'!$C:$O,13,0)),"")</f>
        <v/>
      </c>
      <c r="G4813" s="55" t="str">
        <f>IFERROR(IF(OR($B4813="",$B4813="(blank)"),"",VLOOKUP($B4813,'Email Marketing Raw Data'!$C:$O,4,0)),"")</f>
        <v/>
      </c>
      <c r="H4813" s="55" t="str">
        <f>IFERROR(IF(OR($B4813="",$B4813="(blank)"),"",VLOOKUP($B4813,'Email Marketing Raw Data'!$C:$O,5,0)),"")</f>
        <v/>
      </c>
      <c r="I4813" s="55" t="str">
        <f>IFERROR(IF($G4813="","",VLOOKUP('Dashboard And Emails Automate'!$G4813,Database!$H:$N,3,0)),"")</f>
        <v/>
      </c>
      <c r="J4813" s="55" t="str">
        <f>IFERROR(IF($G4813="","",VLOOKUP('Dashboard And Emails Automate'!$G4813,Database!$H:$N,4,0)),"")</f>
        <v/>
      </c>
      <c r="K4813" s="55" t="str">
        <f>IFERROR(IF($G4813="","",VLOOKUP('Dashboard And Emails Automate'!$G4813,Database!$H:$N,5,0)),"")</f>
        <v/>
      </c>
      <c r="L4813" s="55" t="str">
        <f>IFERROR(IF($G4813="","",VLOOKUP('Dashboard And Emails Automate'!$G4813,Database!$H:$N,6,0)),"")</f>
        <v/>
      </c>
      <c r="M4813" s="55" t="str">
        <f>IFERROR(IF($G4813="","",VLOOKUP('Dashboard And Emails Automate'!$G4813,Database!$H:$N,7,0)),"")</f>
        <v/>
      </c>
      <c r="N4813" s="55" t="str">
        <f>IFERROR(IF(OR($B4813="",$B4813="(blank)"),"",VLOOKUP($B4813,'Email Marketing Raw Data'!$C:$O,6,0)),"")</f>
        <v/>
      </c>
      <c r="O4813" s="55" t="str">
        <f>IFERROR(IF(OR($B4813="",$B4813="(blank)"),"",VLOOKUP($B4813,'Email Marketing Raw Data'!$C:$O,7,0)),"")</f>
        <v/>
      </c>
      <c r="P4813" s="55" t="str">
        <f>IFERROR(IF(OR($B4813="",$B4813="(blank)"),"",VLOOKUP($B4813,'Email Marketing Raw Data'!$C:$O,8,0)),"")</f>
        <v/>
      </c>
      <c r="Q4813" s="62" t="str">
        <f>IFERROR(IF(OR($B4813="",$B4813="(blank)"),"",VLOOKUP($B4813,'Email Marketing Raw Data'!$C:$O,9,0)),"")</f>
        <v/>
      </c>
    </row>
    <row r="4814" spans="4:17" ht="12.75" customHeight="1" x14ac:dyDescent="0.2">
      <c r="D4814" s="58" t="str">
        <f>IFERROR(IF(F4814&lt;&gt;"pending","",IF(OR($B4814="",$B4814="(blank)"),"",VLOOKUP($B4814,'Email Marketing Raw Data'!$C:$O,10,0))),"")</f>
        <v/>
      </c>
      <c r="E4814" s="59" t="str">
        <f>IFERROR(IF(F4814&lt;&gt;"pending","",IF(OR($B4814="",$B4814="(blank)"),"",VLOOKUP($B4814,'Email Marketing Raw Data'!$C:$O,11,0))),"")</f>
        <v/>
      </c>
      <c r="F4814" s="54" t="str">
        <f>IFERROR(IF(OR($B4814="",$B4814="(blank)"),"",VLOOKUP($B4814,'Email Marketing Raw Data'!$C:$O,13,0)),"")</f>
        <v/>
      </c>
      <c r="G4814" s="55" t="str">
        <f>IFERROR(IF(OR($B4814="",$B4814="(blank)"),"",VLOOKUP($B4814,'Email Marketing Raw Data'!$C:$O,4,0)),"")</f>
        <v/>
      </c>
      <c r="H4814" s="55" t="str">
        <f>IFERROR(IF(OR($B4814="",$B4814="(blank)"),"",VLOOKUP($B4814,'Email Marketing Raw Data'!$C:$O,5,0)),"")</f>
        <v/>
      </c>
      <c r="I4814" s="55" t="str">
        <f>IFERROR(IF($G4814="","",VLOOKUP('Dashboard And Emails Automate'!$G4814,Database!$H:$N,3,0)),"")</f>
        <v/>
      </c>
      <c r="J4814" s="55" t="str">
        <f>IFERROR(IF($G4814="","",VLOOKUP('Dashboard And Emails Automate'!$G4814,Database!$H:$N,4,0)),"")</f>
        <v/>
      </c>
      <c r="K4814" s="55" t="str">
        <f>IFERROR(IF($G4814="","",VLOOKUP('Dashboard And Emails Automate'!$G4814,Database!$H:$N,5,0)),"")</f>
        <v/>
      </c>
      <c r="L4814" s="55" t="str">
        <f>IFERROR(IF($G4814="","",VLOOKUP('Dashboard And Emails Automate'!$G4814,Database!$H:$N,6,0)),"")</f>
        <v/>
      </c>
      <c r="M4814" s="55" t="str">
        <f>IFERROR(IF($G4814="","",VLOOKUP('Dashboard And Emails Automate'!$G4814,Database!$H:$N,7,0)),"")</f>
        <v/>
      </c>
      <c r="N4814" s="55" t="str">
        <f>IFERROR(IF(OR($B4814="",$B4814="(blank)"),"",VLOOKUP($B4814,'Email Marketing Raw Data'!$C:$O,6,0)),"")</f>
        <v/>
      </c>
      <c r="O4814" s="55" t="str">
        <f>IFERROR(IF(OR($B4814="",$B4814="(blank)"),"",VLOOKUP($B4814,'Email Marketing Raw Data'!$C:$O,7,0)),"")</f>
        <v/>
      </c>
      <c r="P4814" s="55" t="str">
        <f>IFERROR(IF(OR($B4814="",$B4814="(blank)"),"",VLOOKUP($B4814,'Email Marketing Raw Data'!$C:$O,8,0)),"")</f>
        <v/>
      </c>
      <c r="Q4814" s="62" t="str">
        <f>IFERROR(IF(OR($B4814="",$B4814="(blank)"),"",VLOOKUP($B4814,'Email Marketing Raw Data'!$C:$O,9,0)),"")</f>
        <v/>
      </c>
    </row>
    <row r="4815" spans="4:17" ht="12.75" customHeight="1" x14ac:dyDescent="0.2">
      <c r="D4815" s="58" t="str">
        <f>IFERROR(IF(F4815&lt;&gt;"pending","",IF(OR($B4815="",$B4815="(blank)"),"",VLOOKUP($B4815,'Email Marketing Raw Data'!$C:$O,10,0))),"")</f>
        <v/>
      </c>
      <c r="E4815" s="59" t="str">
        <f>IFERROR(IF(F4815&lt;&gt;"pending","",IF(OR($B4815="",$B4815="(blank)"),"",VLOOKUP($B4815,'Email Marketing Raw Data'!$C:$O,11,0))),"")</f>
        <v/>
      </c>
      <c r="F4815" s="54" t="str">
        <f>IFERROR(IF(OR($B4815="",$B4815="(blank)"),"",VLOOKUP($B4815,'Email Marketing Raw Data'!$C:$O,13,0)),"")</f>
        <v/>
      </c>
      <c r="G4815" s="55" t="str">
        <f>IFERROR(IF(OR($B4815="",$B4815="(blank)"),"",VLOOKUP($B4815,'Email Marketing Raw Data'!$C:$O,4,0)),"")</f>
        <v/>
      </c>
      <c r="H4815" s="55" t="str">
        <f>IFERROR(IF(OR($B4815="",$B4815="(blank)"),"",VLOOKUP($B4815,'Email Marketing Raw Data'!$C:$O,5,0)),"")</f>
        <v/>
      </c>
      <c r="I4815" s="55" t="str">
        <f>IFERROR(IF($G4815="","",VLOOKUP('Dashboard And Emails Automate'!$G4815,Database!$H:$N,3,0)),"")</f>
        <v/>
      </c>
      <c r="J4815" s="55" t="str">
        <f>IFERROR(IF($G4815="","",VLOOKUP('Dashboard And Emails Automate'!$G4815,Database!$H:$N,4,0)),"")</f>
        <v/>
      </c>
      <c r="K4815" s="55" t="str">
        <f>IFERROR(IF($G4815="","",VLOOKUP('Dashboard And Emails Automate'!$G4815,Database!$H:$N,5,0)),"")</f>
        <v/>
      </c>
      <c r="L4815" s="55" t="str">
        <f>IFERROR(IF($G4815="","",VLOOKUP('Dashboard And Emails Automate'!$G4815,Database!$H:$N,6,0)),"")</f>
        <v/>
      </c>
      <c r="M4815" s="55" t="str">
        <f>IFERROR(IF($G4815="","",VLOOKUP('Dashboard And Emails Automate'!$G4815,Database!$H:$N,7,0)),"")</f>
        <v/>
      </c>
      <c r="N4815" s="55" t="str">
        <f>IFERROR(IF(OR($B4815="",$B4815="(blank)"),"",VLOOKUP($B4815,'Email Marketing Raw Data'!$C:$O,6,0)),"")</f>
        <v/>
      </c>
      <c r="O4815" s="55" t="str">
        <f>IFERROR(IF(OR($B4815="",$B4815="(blank)"),"",VLOOKUP($B4815,'Email Marketing Raw Data'!$C:$O,7,0)),"")</f>
        <v/>
      </c>
      <c r="P4815" s="55" t="str">
        <f>IFERROR(IF(OR($B4815="",$B4815="(blank)"),"",VLOOKUP($B4815,'Email Marketing Raw Data'!$C:$O,8,0)),"")</f>
        <v/>
      </c>
      <c r="Q4815" s="62" t="str">
        <f>IFERROR(IF(OR($B4815="",$B4815="(blank)"),"",VLOOKUP($B4815,'Email Marketing Raw Data'!$C:$O,9,0)),"")</f>
        <v/>
      </c>
    </row>
    <row r="4816" spans="4:17" ht="12.75" customHeight="1" x14ac:dyDescent="0.2">
      <c r="D4816" s="58" t="str">
        <f>IFERROR(IF(F4816&lt;&gt;"pending","",IF(OR($B4816="",$B4816="(blank)"),"",VLOOKUP($B4816,'Email Marketing Raw Data'!$C:$O,10,0))),"")</f>
        <v/>
      </c>
      <c r="E4816" s="59" t="str">
        <f>IFERROR(IF(F4816&lt;&gt;"pending","",IF(OR($B4816="",$B4816="(blank)"),"",VLOOKUP($B4816,'Email Marketing Raw Data'!$C:$O,11,0))),"")</f>
        <v/>
      </c>
      <c r="F4816" s="54" t="str">
        <f>IFERROR(IF(OR($B4816="",$B4816="(blank)"),"",VLOOKUP($B4816,'Email Marketing Raw Data'!$C:$O,13,0)),"")</f>
        <v/>
      </c>
      <c r="G4816" s="55" t="str">
        <f>IFERROR(IF(OR($B4816="",$B4816="(blank)"),"",VLOOKUP($B4816,'Email Marketing Raw Data'!$C:$O,4,0)),"")</f>
        <v/>
      </c>
      <c r="H4816" s="55" t="str">
        <f>IFERROR(IF(OR($B4816="",$B4816="(blank)"),"",VLOOKUP($B4816,'Email Marketing Raw Data'!$C:$O,5,0)),"")</f>
        <v/>
      </c>
      <c r="I4816" s="55" t="str">
        <f>IFERROR(IF($G4816="","",VLOOKUP('Dashboard And Emails Automate'!$G4816,Database!$H:$N,3,0)),"")</f>
        <v/>
      </c>
      <c r="J4816" s="55" t="str">
        <f>IFERROR(IF($G4816="","",VLOOKUP('Dashboard And Emails Automate'!$G4816,Database!$H:$N,4,0)),"")</f>
        <v/>
      </c>
      <c r="K4816" s="55" t="str">
        <f>IFERROR(IF($G4816="","",VLOOKUP('Dashboard And Emails Automate'!$G4816,Database!$H:$N,5,0)),"")</f>
        <v/>
      </c>
      <c r="L4816" s="55" t="str">
        <f>IFERROR(IF($G4816="","",VLOOKUP('Dashboard And Emails Automate'!$G4816,Database!$H:$N,6,0)),"")</f>
        <v/>
      </c>
      <c r="M4816" s="55" t="str">
        <f>IFERROR(IF($G4816="","",VLOOKUP('Dashboard And Emails Automate'!$G4816,Database!$H:$N,7,0)),"")</f>
        <v/>
      </c>
      <c r="N4816" s="55" t="str">
        <f>IFERROR(IF(OR($B4816="",$B4816="(blank)"),"",VLOOKUP($B4816,'Email Marketing Raw Data'!$C:$O,6,0)),"")</f>
        <v/>
      </c>
      <c r="O4816" s="55" t="str">
        <f>IFERROR(IF(OR($B4816="",$B4816="(blank)"),"",VLOOKUP($B4816,'Email Marketing Raw Data'!$C:$O,7,0)),"")</f>
        <v/>
      </c>
      <c r="P4816" s="55" t="str">
        <f>IFERROR(IF(OR($B4816="",$B4816="(blank)"),"",VLOOKUP($B4816,'Email Marketing Raw Data'!$C:$O,8,0)),"")</f>
        <v/>
      </c>
      <c r="Q4816" s="62" t="str">
        <f>IFERROR(IF(OR($B4816="",$B4816="(blank)"),"",VLOOKUP($B4816,'Email Marketing Raw Data'!$C:$O,9,0)),"")</f>
        <v/>
      </c>
    </row>
    <row r="4817" spans="4:17" ht="12.75" customHeight="1" x14ac:dyDescent="0.2">
      <c r="D4817" s="58" t="str">
        <f>IFERROR(IF(F4817&lt;&gt;"pending","",IF(OR($B4817="",$B4817="(blank)"),"",VLOOKUP($B4817,'Email Marketing Raw Data'!$C:$O,10,0))),"")</f>
        <v/>
      </c>
      <c r="E4817" s="59" t="str">
        <f>IFERROR(IF(F4817&lt;&gt;"pending","",IF(OR($B4817="",$B4817="(blank)"),"",VLOOKUP($B4817,'Email Marketing Raw Data'!$C:$O,11,0))),"")</f>
        <v/>
      </c>
      <c r="F4817" s="54" t="str">
        <f>IFERROR(IF(OR($B4817="",$B4817="(blank)"),"",VLOOKUP($B4817,'Email Marketing Raw Data'!$C:$O,13,0)),"")</f>
        <v/>
      </c>
      <c r="G4817" s="55" t="str">
        <f>IFERROR(IF(OR($B4817="",$B4817="(blank)"),"",VLOOKUP($B4817,'Email Marketing Raw Data'!$C:$O,4,0)),"")</f>
        <v/>
      </c>
      <c r="H4817" s="55" t="str">
        <f>IFERROR(IF(OR($B4817="",$B4817="(blank)"),"",VLOOKUP($B4817,'Email Marketing Raw Data'!$C:$O,5,0)),"")</f>
        <v/>
      </c>
      <c r="I4817" s="55" t="str">
        <f>IFERROR(IF($G4817="","",VLOOKUP('Dashboard And Emails Automate'!$G4817,Database!$H:$N,3,0)),"")</f>
        <v/>
      </c>
      <c r="J4817" s="55" t="str">
        <f>IFERROR(IF($G4817="","",VLOOKUP('Dashboard And Emails Automate'!$G4817,Database!$H:$N,4,0)),"")</f>
        <v/>
      </c>
      <c r="K4817" s="55" t="str">
        <f>IFERROR(IF($G4817="","",VLOOKUP('Dashboard And Emails Automate'!$G4817,Database!$H:$N,5,0)),"")</f>
        <v/>
      </c>
      <c r="L4817" s="55" t="str">
        <f>IFERROR(IF($G4817="","",VLOOKUP('Dashboard And Emails Automate'!$G4817,Database!$H:$N,6,0)),"")</f>
        <v/>
      </c>
      <c r="M4817" s="55" t="str">
        <f>IFERROR(IF($G4817="","",VLOOKUP('Dashboard And Emails Automate'!$G4817,Database!$H:$N,7,0)),"")</f>
        <v/>
      </c>
      <c r="N4817" s="55" t="str">
        <f>IFERROR(IF(OR($B4817="",$B4817="(blank)"),"",VLOOKUP($B4817,'Email Marketing Raw Data'!$C:$O,6,0)),"")</f>
        <v/>
      </c>
      <c r="O4817" s="55" t="str">
        <f>IFERROR(IF(OR($B4817="",$B4817="(blank)"),"",VLOOKUP($B4817,'Email Marketing Raw Data'!$C:$O,7,0)),"")</f>
        <v/>
      </c>
      <c r="P4817" s="55" t="str">
        <f>IFERROR(IF(OR($B4817="",$B4817="(blank)"),"",VLOOKUP($B4817,'Email Marketing Raw Data'!$C:$O,8,0)),"")</f>
        <v/>
      </c>
      <c r="Q4817" s="62" t="str">
        <f>IFERROR(IF(OR($B4817="",$B4817="(blank)"),"",VLOOKUP($B4817,'Email Marketing Raw Data'!$C:$O,9,0)),"")</f>
        <v/>
      </c>
    </row>
    <row r="4818" spans="4:17" ht="12.75" customHeight="1" x14ac:dyDescent="0.2">
      <c r="D4818" s="58" t="str">
        <f>IFERROR(IF(F4818&lt;&gt;"pending","",IF(OR($B4818="",$B4818="(blank)"),"",VLOOKUP($B4818,'Email Marketing Raw Data'!$C:$O,10,0))),"")</f>
        <v/>
      </c>
      <c r="E4818" s="59" t="str">
        <f>IFERROR(IF(F4818&lt;&gt;"pending","",IF(OR($B4818="",$B4818="(blank)"),"",VLOOKUP($B4818,'Email Marketing Raw Data'!$C:$O,11,0))),"")</f>
        <v/>
      </c>
      <c r="F4818" s="54" t="str">
        <f>IFERROR(IF(OR($B4818="",$B4818="(blank)"),"",VLOOKUP($B4818,'Email Marketing Raw Data'!$C:$O,13,0)),"")</f>
        <v/>
      </c>
      <c r="G4818" s="55" t="str">
        <f>IFERROR(IF(OR($B4818="",$B4818="(blank)"),"",VLOOKUP($B4818,'Email Marketing Raw Data'!$C:$O,4,0)),"")</f>
        <v/>
      </c>
      <c r="H4818" s="55" t="str">
        <f>IFERROR(IF(OR($B4818="",$B4818="(blank)"),"",VLOOKUP($B4818,'Email Marketing Raw Data'!$C:$O,5,0)),"")</f>
        <v/>
      </c>
      <c r="I4818" s="55" t="str">
        <f>IFERROR(IF($G4818="","",VLOOKUP('Dashboard And Emails Automate'!$G4818,Database!$H:$N,3,0)),"")</f>
        <v/>
      </c>
      <c r="J4818" s="55" t="str">
        <f>IFERROR(IF($G4818="","",VLOOKUP('Dashboard And Emails Automate'!$G4818,Database!$H:$N,4,0)),"")</f>
        <v/>
      </c>
      <c r="K4818" s="55" t="str">
        <f>IFERROR(IF($G4818="","",VLOOKUP('Dashboard And Emails Automate'!$G4818,Database!$H:$N,5,0)),"")</f>
        <v/>
      </c>
      <c r="L4818" s="55" t="str">
        <f>IFERROR(IF($G4818="","",VLOOKUP('Dashboard And Emails Automate'!$G4818,Database!$H:$N,6,0)),"")</f>
        <v/>
      </c>
      <c r="M4818" s="55" t="str">
        <f>IFERROR(IF($G4818="","",VLOOKUP('Dashboard And Emails Automate'!$G4818,Database!$H:$N,7,0)),"")</f>
        <v/>
      </c>
      <c r="N4818" s="55" t="str">
        <f>IFERROR(IF(OR($B4818="",$B4818="(blank)"),"",VLOOKUP($B4818,'Email Marketing Raw Data'!$C:$O,6,0)),"")</f>
        <v/>
      </c>
      <c r="O4818" s="55" t="str">
        <f>IFERROR(IF(OR($B4818="",$B4818="(blank)"),"",VLOOKUP($B4818,'Email Marketing Raw Data'!$C:$O,7,0)),"")</f>
        <v/>
      </c>
      <c r="P4818" s="55" t="str">
        <f>IFERROR(IF(OR($B4818="",$B4818="(blank)"),"",VLOOKUP($B4818,'Email Marketing Raw Data'!$C:$O,8,0)),"")</f>
        <v/>
      </c>
      <c r="Q4818" s="62" t="str">
        <f>IFERROR(IF(OR($B4818="",$B4818="(blank)"),"",VLOOKUP($B4818,'Email Marketing Raw Data'!$C:$O,9,0)),"")</f>
        <v/>
      </c>
    </row>
    <row r="4819" spans="4:17" ht="12.75" customHeight="1" x14ac:dyDescent="0.2">
      <c r="D4819" s="58" t="str">
        <f>IFERROR(IF(F4819&lt;&gt;"pending","",IF(OR($B4819="",$B4819="(blank)"),"",VLOOKUP($B4819,'Email Marketing Raw Data'!$C:$O,10,0))),"")</f>
        <v/>
      </c>
      <c r="E4819" s="59" t="str">
        <f>IFERROR(IF(F4819&lt;&gt;"pending","",IF(OR($B4819="",$B4819="(blank)"),"",VLOOKUP($B4819,'Email Marketing Raw Data'!$C:$O,11,0))),"")</f>
        <v/>
      </c>
      <c r="F4819" s="54" t="str">
        <f>IFERROR(IF(OR($B4819="",$B4819="(blank)"),"",VLOOKUP($B4819,'Email Marketing Raw Data'!$C:$O,13,0)),"")</f>
        <v/>
      </c>
      <c r="G4819" s="55" t="str">
        <f>IFERROR(IF(OR($B4819="",$B4819="(blank)"),"",VLOOKUP($B4819,'Email Marketing Raw Data'!$C:$O,4,0)),"")</f>
        <v/>
      </c>
      <c r="H4819" s="55" t="str">
        <f>IFERROR(IF(OR($B4819="",$B4819="(blank)"),"",VLOOKUP($B4819,'Email Marketing Raw Data'!$C:$O,5,0)),"")</f>
        <v/>
      </c>
      <c r="I4819" s="55" t="str">
        <f>IFERROR(IF($G4819="","",VLOOKUP('Dashboard And Emails Automate'!$G4819,Database!$H:$N,3,0)),"")</f>
        <v/>
      </c>
      <c r="J4819" s="55" t="str">
        <f>IFERROR(IF($G4819="","",VLOOKUP('Dashboard And Emails Automate'!$G4819,Database!$H:$N,4,0)),"")</f>
        <v/>
      </c>
      <c r="K4819" s="55" t="str">
        <f>IFERROR(IF($G4819="","",VLOOKUP('Dashboard And Emails Automate'!$G4819,Database!$H:$N,5,0)),"")</f>
        <v/>
      </c>
      <c r="L4819" s="55" t="str">
        <f>IFERROR(IF($G4819="","",VLOOKUP('Dashboard And Emails Automate'!$G4819,Database!$H:$N,6,0)),"")</f>
        <v/>
      </c>
      <c r="M4819" s="55" t="str">
        <f>IFERROR(IF($G4819="","",VLOOKUP('Dashboard And Emails Automate'!$G4819,Database!$H:$N,7,0)),"")</f>
        <v/>
      </c>
      <c r="N4819" s="55" t="str">
        <f>IFERROR(IF(OR($B4819="",$B4819="(blank)"),"",VLOOKUP($B4819,'Email Marketing Raw Data'!$C:$O,6,0)),"")</f>
        <v/>
      </c>
      <c r="O4819" s="55" t="str">
        <f>IFERROR(IF(OR($B4819="",$B4819="(blank)"),"",VLOOKUP($B4819,'Email Marketing Raw Data'!$C:$O,7,0)),"")</f>
        <v/>
      </c>
      <c r="P4819" s="55" t="str">
        <f>IFERROR(IF(OR($B4819="",$B4819="(blank)"),"",VLOOKUP($B4819,'Email Marketing Raw Data'!$C:$O,8,0)),"")</f>
        <v/>
      </c>
      <c r="Q4819" s="62" t="str">
        <f>IFERROR(IF(OR($B4819="",$B4819="(blank)"),"",VLOOKUP($B4819,'Email Marketing Raw Data'!$C:$O,9,0)),"")</f>
        <v/>
      </c>
    </row>
    <row r="4820" spans="4:17" ht="12.75" customHeight="1" x14ac:dyDescent="0.2">
      <c r="D4820" s="58" t="str">
        <f>IFERROR(IF(F4820&lt;&gt;"pending","",IF(OR($B4820="",$B4820="(blank)"),"",VLOOKUP($B4820,'Email Marketing Raw Data'!$C:$O,10,0))),"")</f>
        <v/>
      </c>
      <c r="E4820" s="59" t="str">
        <f>IFERROR(IF(F4820&lt;&gt;"pending","",IF(OR($B4820="",$B4820="(blank)"),"",VLOOKUP($B4820,'Email Marketing Raw Data'!$C:$O,11,0))),"")</f>
        <v/>
      </c>
      <c r="F4820" s="54" t="str">
        <f>IFERROR(IF(OR($B4820="",$B4820="(blank)"),"",VLOOKUP($B4820,'Email Marketing Raw Data'!$C:$O,13,0)),"")</f>
        <v/>
      </c>
      <c r="G4820" s="55" t="str">
        <f>IFERROR(IF(OR($B4820="",$B4820="(blank)"),"",VLOOKUP($B4820,'Email Marketing Raw Data'!$C:$O,4,0)),"")</f>
        <v/>
      </c>
      <c r="H4820" s="55" t="str">
        <f>IFERROR(IF(OR($B4820="",$B4820="(blank)"),"",VLOOKUP($B4820,'Email Marketing Raw Data'!$C:$O,5,0)),"")</f>
        <v/>
      </c>
      <c r="I4820" s="55" t="str">
        <f>IFERROR(IF($G4820="","",VLOOKUP('Dashboard And Emails Automate'!$G4820,Database!$H:$N,3,0)),"")</f>
        <v/>
      </c>
      <c r="J4820" s="55" t="str">
        <f>IFERROR(IF($G4820="","",VLOOKUP('Dashboard And Emails Automate'!$G4820,Database!$H:$N,4,0)),"")</f>
        <v/>
      </c>
      <c r="K4820" s="55" t="str">
        <f>IFERROR(IF($G4820="","",VLOOKUP('Dashboard And Emails Automate'!$G4820,Database!$H:$N,5,0)),"")</f>
        <v/>
      </c>
      <c r="L4820" s="55" t="str">
        <f>IFERROR(IF($G4820="","",VLOOKUP('Dashboard And Emails Automate'!$G4820,Database!$H:$N,6,0)),"")</f>
        <v/>
      </c>
      <c r="M4820" s="55" t="str">
        <f>IFERROR(IF($G4820="","",VLOOKUP('Dashboard And Emails Automate'!$G4820,Database!$H:$N,7,0)),"")</f>
        <v/>
      </c>
      <c r="N4820" s="55" t="str">
        <f>IFERROR(IF(OR($B4820="",$B4820="(blank)"),"",VLOOKUP($B4820,'Email Marketing Raw Data'!$C:$O,6,0)),"")</f>
        <v/>
      </c>
      <c r="O4820" s="55" t="str">
        <f>IFERROR(IF(OR($B4820="",$B4820="(blank)"),"",VLOOKUP($B4820,'Email Marketing Raw Data'!$C:$O,7,0)),"")</f>
        <v/>
      </c>
      <c r="P4820" s="55" t="str">
        <f>IFERROR(IF(OR($B4820="",$B4820="(blank)"),"",VLOOKUP($B4820,'Email Marketing Raw Data'!$C:$O,8,0)),"")</f>
        <v/>
      </c>
      <c r="Q4820" s="62" t="str">
        <f>IFERROR(IF(OR($B4820="",$B4820="(blank)"),"",VLOOKUP($B4820,'Email Marketing Raw Data'!$C:$O,9,0)),"")</f>
        <v/>
      </c>
    </row>
    <row r="4821" spans="4:17" ht="12.75" customHeight="1" x14ac:dyDescent="0.2">
      <c r="D4821" s="58" t="str">
        <f>IFERROR(IF(F4821&lt;&gt;"pending","",IF(OR($B4821="",$B4821="(blank)"),"",VLOOKUP($B4821,'Email Marketing Raw Data'!$C:$O,10,0))),"")</f>
        <v/>
      </c>
      <c r="E4821" s="59" t="str">
        <f>IFERROR(IF(F4821&lt;&gt;"pending","",IF(OR($B4821="",$B4821="(blank)"),"",VLOOKUP($B4821,'Email Marketing Raw Data'!$C:$O,11,0))),"")</f>
        <v/>
      </c>
      <c r="F4821" s="54" t="str">
        <f>IFERROR(IF(OR($B4821="",$B4821="(blank)"),"",VLOOKUP($B4821,'Email Marketing Raw Data'!$C:$O,13,0)),"")</f>
        <v/>
      </c>
      <c r="G4821" s="55" t="str">
        <f>IFERROR(IF(OR($B4821="",$B4821="(blank)"),"",VLOOKUP($B4821,'Email Marketing Raw Data'!$C:$O,4,0)),"")</f>
        <v/>
      </c>
      <c r="H4821" s="55" t="str">
        <f>IFERROR(IF(OR($B4821="",$B4821="(blank)"),"",VLOOKUP($B4821,'Email Marketing Raw Data'!$C:$O,5,0)),"")</f>
        <v/>
      </c>
      <c r="I4821" s="55" t="str">
        <f>IFERROR(IF($G4821="","",VLOOKUP('Dashboard And Emails Automate'!$G4821,Database!$H:$N,3,0)),"")</f>
        <v/>
      </c>
      <c r="J4821" s="55" t="str">
        <f>IFERROR(IF($G4821="","",VLOOKUP('Dashboard And Emails Automate'!$G4821,Database!$H:$N,4,0)),"")</f>
        <v/>
      </c>
      <c r="K4821" s="55" t="str">
        <f>IFERROR(IF($G4821="","",VLOOKUP('Dashboard And Emails Automate'!$G4821,Database!$H:$N,5,0)),"")</f>
        <v/>
      </c>
      <c r="L4821" s="55" t="str">
        <f>IFERROR(IF($G4821="","",VLOOKUP('Dashboard And Emails Automate'!$G4821,Database!$H:$N,6,0)),"")</f>
        <v/>
      </c>
      <c r="M4821" s="55" t="str">
        <f>IFERROR(IF($G4821="","",VLOOKUP('Dashboard And Emails Automate'!$G4821,Database!$H:$N,7,0)),"")</f>
        <v/>
      </c>
      <c r="N4821" s="55" t="str">
        <f>IFERROR(IF(OR($B4821="",$B4821="(blank)"),"",VLOOKUP($B4821,'Email Marketing Raw Data'!$C:$O,6,0)),"")</f>
        <v/>
      </c>
      <c r="O4821" s="55" t="str">
        <f>IFERROR(IF(OR($B4821="",$B4821="(blank)"),"",VLOOKUP($B4821,'Email Marketing Raw Data'!$C:$O,7,0)),"")</f>
        <v/>
      </c>
      <c r="P4821" s="55" t="str">
        <f>IFERROR(IF(OR($B4821="",$B4821="(blank)"),"",VLOOKUP($B4821,'Email Marketing Raw Data'!$C:$O,8,0)),"")</f>
        <v/>
      </c>
      <c r="Q4821" s="62" t="str">
        <f>IFERROR(IF(OR($B4821="",$B4821="(blank)"),"",VLOOKUP($B4821,'Email Marketing Raw Data'!$C:$O,9,0)),"")</f>
        <v/>
      </c>
    </row>
    <row r="4822" spans="4:17" ht="12.75" customHeight="1" x14ac:dyDescent="0.2">
      <c r="D4822" s="58" t="str">
        <f>IFERROR(IF(F4822&lt;&gt;"pending","",IF(OR($B4822="",$B4822="(blank)"),"",VLOOKUP($B4822,'Email Marketing Raw Data'!$C:$O,10,0))),"")</f>
        <v/>
      </c>
      <c r="E4822" s="59" t="str">
        <f>IFERROR(IF(F4822&lt;&gt;"pending","",IF(OR($B4822="",$B4822="(blank)"),"",VLOOKUP($B4822,'Email Marketing Raw Data'!$C:$O,11,0))),"")</f>
        <v/>
      </c>
      <c r="F4822" s="54" t="str">
        <f>IFERROR(IF(OR($B4822="",$B4822="(blank)"),"",VLOOKUP($B4822,'Email Marketing Raw Data'!$C:$O,13,0)),"")</f>
        <v/>
      </c>
      <c r="G4822" s="55" t="str">
        <f>IFERROR(IF(OR($B4822="",$B4822="(blank)"),"",VLOOKUP($B4822,'Email Marketing Raw Data'!$C:$O,4,0)),"")</f>
        <v/>
      </c>
      <c r="H4822" s="55" t="str">
        <f>IFERROR(IF(OR($B4822="",$B4822="(blank)"),"",VLOOKUP($B4822,'Email Marketing Raw Data'!$C:$O,5,0)),"")</f>
        <v/>
      </c>
      <c r="I4822" s="55" t="str">
        <f>IFERROR(IF($G4822="","",VLOOKUP('Dashboard And Emails Automate'!$G4822,Database!$H:$N,3,0)),"")</f>
        <v/>
      </c>
      <c r="J4822" s="55" t="str">
        <f>IFERROR(IF($G4822="","",VLOOKUP('Dashboard And Emails Automate'!$G4822,Database!$H:$N,4,0)),"")</f>
        <v/>
      </c>
      <c r="K4822" s="55" t="str">
        <f>IFERROR(IF($G4822="","",VLOOKUP('Dashboard And Emails Automate'!$G4822,Database!$H:$N,5,0)),"")</f>
        <v/>
      </c>
      <c r="L4822" s="55" t="str">
        <f>IFERROR(IF($G4822="","",VLOOKUP('Dashboard And Emails Automate'!$G4822,Database!$H:$N,6,0)),"")</f>
        <v/>
      </c>
      <c r="M4822" s="55" t="str">
        <f>IFERROR(IF($G4822="","",VLOOKUP('Dashboard And Emails Automate'!$G4822,Database!$H:$N,7,0)),"")</f>
        <v/>
      </c>
      <c r="N4822" s="55" t="str">
        <f>IFERROR(IF(OR($B4822="",$B4822="(blank)"),"",VLOOKUP($B4822,'Email Marketing Raw Data'!$C:$O,6,0)),"")</f>
        <v/>
      </c>
      <c r="O4822" s="55" t="str">
        <f>IFERROR(IF(OR($B4822="",$B4822="(blank)"),"",VLOOKUP($B4822,'Email Marketing Raw Data'!$C:$O,7,0)),"")</f>
        <v/>
      </c>
      <c r="P4822" s="55" t="str">
        <f>IFERROR(IF(OR($B4822="",$B4822="(blank)"),"",VLOOKUP($B4822,'Email Marketing Raw Data'!$C:$O,8,0)),"")</f>
        <v/>
      </c>
      <c r="Q4822" s="62" t="str">
        <f>IFERROR(IF(OR($B4822="",$B4822="(blank)"),"",VLOOKUP($B4822,'Email Marketing Raw Data'!$C:$O,9,0)),"")</f>
        <v/>
      </c>
    </row>
    <row r="4823" spans="4:17" ht="12.75" customHeight="1" x14ac:dyDescent="0.2">
      <c r="D4823" s="58" t="str">
        <f>IFERROR(IF(F4823&lt;&gt;"pending","",IF(OR($B4823="",$B4823="(blank)"),"",VLOOKUP($B4823,'Email Marketing Raw Data'!$C:$O,10,0))),"")</f>
        <v/>
      </c>
      <c r="E4823" s="59" t="str">
        <f>IFERROR(IF(F4823&lt;&gt;"pending","",IF(OR($B4823="",$B4823="(blank)"),"",VLOOKUP($B4823,'Email Marketing Raw Data'!$C:$O,11,0))),"")</f>
        <v/>
      </c>
      <c r="F4823" s="54" t="str">
        <f>IFERROR(IF(OR($B4823="",$B4823="(blank)"),"",VLOOKUP($B4823,'Email Marketing Raw Data'!$C:$O,13,0)),"")</f>
        <v/>
      </c>
      <c r="G4823" s="55" t="str">
        <f>IFERROR(IF(OR($B4823="",$B4823="(blank)"),"",VLOOKUP($B4823,'Email Marketing Raw Data'!$C:$O,4,0)),"")</f>
        <v/>
      </c>
      <c r="H4823" s="55" t="str">
        <f>IFERROR(IF(OR($B4823="",$B4823="(blank)"),"",VLOOKUP($B4823,'Email Marketing Raw Data'!$C:$O,5,0)),"")</f>
        <v/>
      </c>
      <c r="I4823" s="55" t="str">
        <f>IFERROR(IF($G4823="","",VLOOKUP('Dashboard And Emails Automate'!$G4823,Database!$H:$N,3,0)),"")</f>
        <v/>
      </c>
      <c r="J4823" s="55" t="str">
        <f>IFERROR(IF($G4823="","",VLOOKUP('Dashboard And Emails Automate'!$G4823,Database!$H:$N,4,0)),"")</f>
        <v/>
      </c>
      <c r="K4823" s="55" t="str">
        <f>IFERROR(IF($G4823="","",VLOOKUP('Dashboard And Emails Automate'!$G4823,Database!$H:$N,5,0)),"")</f>
        <v/>
      </c>
      <c r="L4823" s="55" t="str">
        <f>IFERROR(IF($G4823="","",VLOOKUP('Dashboard And Emails Automate'!$G4823,Database!$H:$N,6,0)),"")</f>
        <v/>
      </c>
      <c r="M4823" s="55" t="str">
        <f>IFERROR(IF($G4823="","",VLOOKUP('Dashboard And Emails Automate'!$G4823,Database!$H:$N,7,0)),"")</f>
        <v/>
      </c>
      <c r="N4823" s="55" t="str">
        <f>IFERROR(IF(OR($B4823="",$B4823="(blank)"),"",VLOOKUP($B4823,'Email Marketing Raw Data'!$C:$O,6,0)),"")</f>
        <v/>
      </c>
      <c r="O4823" s="55" t="str">
        <f>IFERROR(IF(OR($B4823="",$B4823="(blank)"),"",VLOOKUP($B4823,'Email Marketing Raw Data'!$C:$O,7,0)),"")</f>
        <v/>
      </c>
      <c r="P4823" s="55" t="str">
        <f>IFERROR(IF(OR($B4823="",$B4823="(blank)"),"",VLOOKUP($B4823,'Email Marketing Raw Data'!$C:$O,8,0)),"")</f>
        <v/>
      </c>
      <c r="Q4823" s="62" t="str">
        <f>IFERROR(IF(OR($B4823="",$B4823="(blank)"),"",VLOOKUP($B4823,'Email Marketing Raw Data'!$C:$O,9,0)),"")</f>
        <v/>
      </c>
    </row>
    <row r="4824" spans="4:17" ht="12.75" customHeight="1" x14ac:dyDescent="0.2">
      <c r="D4824" s="58" t="str">
        <f>IFERROR(IF(F4824&lt;&gt;"pending","",IF(OR($B4824="",$B4824="(blank)"),"",VLOOKUP($B4824,'Email Marketing Raw Data'!$C:$O,10,0))),"")</f>
        <v/>
      </c>
      <c r="E4824" s="59" t="str">
        <f>IFERROR(IF(F4824&lt;&gt;"pending","",IF(OR($B4824="",$B4824="(blank)"),"",VLOOKUP($B4824,'Email Marketing Raw Data'!$C:$O,11,0))),"")</f>
        <v/>
      </c>
      <c r="F4824" s="54" t="str">
        <f>IFERROR(IF(OR($B4824="",$B4824="(blank)"),"",VLOOKUP($B4824,'Email Marketing Raw Data'!$C:$O,13,0)),"")</f>
        <v/>
      </c>
      <c r="G4824" s="55" t="str">
        <f>IFERROR(IF(OR($B4824="",$B4824="(blank)"),"",VLOOKUP($B4824,'Email Marketing Raw Data'!$C:$O,4,0)),"")</f>
        <v/>
      </c>
      <c r="H4824" s="55" t="str">
        <f>IFERROR(IF(OR($B4824="",$B4824="(blank)"),"",VLOOKUP($B4824,'Email Marketing Raw Data'!$C:$O,5,0)),"")</f>
        <v/>
      </c>
      <c r="I4824" s="55" t="str">
        <f>IFERROR(IF($G4824="","",VLOOKUP('Dashboard And Emails Automate'!$G4824,Database!$H:$N,3,0)),"")</f>
        <v/>
      </c>
      <c r="J4824" s="55" t="str">
        <f>IFERROR(IF($G4824="","",VLOOKUP('Dashboard And Emails Automate'!$G4824,Database!$H:$N,4,0)),"")</f>
        <v/>
      </c>
      <c r="K4824" s="55" t="str">
        <f>IFERROR(IF($G4824="","",VLOOKUP('Dashboard And Emails Automate'!$G4824,Database!$H:$N,5,0)),"")</f>
        <v/>
      </c>
      <c r="L4824" s="55" t="str">
        <f>IFERROR(IF($G4824="","",VLOOKUP('Dashboard And Emails Automate'!$G4824,Database!$H:$N,6,0)),"")</f>
        <v/>
      </c>
      <c r="M4824" s="55" t="str">
        <f>IFERROR(IF($G4824="","",VLOOKUP('Dashboard And Emails Automate'!$G4824,Database!$H:$N,7,0)),"")</f>
        <v/>
      </c>
      <c r="N4824" s="55" t="str">
        <f>IFERROR(IF(OR($B4824="",$B4824="(blank)"),"",VLOOKUP($B4824,'Email Marketing Raw Data'!$C:$O,6,0)),"")</f>
        <v/>
      </c>
      <c r="O4824" s="55" t="str">
        <f>IFERROR(IF(OR($B4824="",$B4824="(blank)"),"",VLOOKUP($B4824,'Email Marketing Raw Data'!$C:$O,7,0)),"")</f>
        <v/>
      </c>
      <c r="P4824" s="55" t="str">
        <f>IFERROR(IF(OR($B4824="",$B4824="(blank)"),"",VLOOKUP($B4824,'Email Marketing Raw Data'!$C:$O,8,0)),"")</f>
        <v/>
      </c>
      <c r="Q4824" s="62" t="str">
        <f>IFERROR(IF(OR($B4824="",$B4824="(blank)"),"",VLOOKUP($B4824,'Email Marketing Raw Data'!$C:$O,9,0)),"")</f>
        <v/>
      </c>
    </row>
    <row r="4825" spans="4:17" ht="12.75" customHeight="1" x14ac:dyDescent="0.2">
      <c r="D4825" s="58" t="str">
        <f>IFERROR(IF(F4825&lt;&gt;"pending","",IF(OR($B4825="",$B4825="(blank)"),"",VLOOKUP($B4825,'Email Marketing Raw Data'!$C:$O,10,0))),"")</f>
        <v/>
      </c>
      <c r="E4825" s="59" t="str">
        <f>IFERROR(IF(F4825&lt;&gt;"pending","",IF(OR($B4825="",$B4825="(blank)"),"",VLOOKUP($B4825,'Email Marketing Raw Data'!$C:$O,11,0))),"")</f>
        <v/>
      </c>
      <c r="F4825" s="54" t="str">
        <f>IFERROR(IF(OR($B4825="",$B4825="(blank)"),"",VLOOKUP($B4825,'Email Marketing Raw Data'!$C:$O,13,0)),"")</f>
        <v/>
      </c>
      <c r="G4825" s="55" t="str">
        <f>IFERROR(IF(OR($B4825="",$B4825="(blank)"),"",VLOOKUP($B4825,'Email Marketing Raw Data'!$C:$O,4,0)),"")</f>
        <v/>
      </c>
      <c r="H4825" s="55" t="str">
        <f>IFERROR(IF(OR($B4825="",$B4825="(blank)"),"",VLOOKUP($B4825,'Email Marketing Raw Data'!$C:$O,5,0)),"")</f>
        <v/>
      </c>
      <c r="I4825" s="55" t="str">
        <f>IFERROR(IF($G4825="","",VLOOKUP('Dashboard And Emails Automate'!$G4825,Database!$H:$N,3,0)),"")</f>
        <v/>
      </c>
      <c r="J4825" s="55" t="str">
        <f>IFERROR(IF($G4825="","",VLOOKUP('Dashboard And Emails Automate'!$G4825,Database!$H:$N,4,0)),"")</f>
        <v/>
      </c>
      <c r="K4825" s="55" t="str">
        <f>IFERROR(IF($G4825="","",VLOOKUP('Dashboard And Emails Automate'!$G4825,Database!$H:$N,5,0)),"")</f>
        <v/>
      </c>
      <c r="L4825" s="55" t="str">
        <f>IFERROR(IF($G4825="","",VLOOKUP('Dashboard And Emails Automate'!$G4825,Database!$H:$N,6,0)),"")</f>
        <v/>
      </c>
      <c r="M4825" s="55" t="str">
        <f>IFERROR(IF($G4825="","",VLOOKUP('Dashboard And Emails Automate'!$G4825,Database!$H:$N,7,0)),"")</f>
        <v/>
      </c>
      <c r="N4825" s="55" t="str">
        <f>IFERROR(IF(OR($B4825="",$B4825="(blank)"),"",VLOOKUP($B4825,'Email Marketing Raw Data'!$C:$O,6,0)),"")</f>
        <v/>
      </c>
      <c r="O4825" s="55" t="str">
        <f>IFERROR(IF(OR($B4825="",$B4825="(blank)"),"",VLOOKUP($B4825,'Email Marketing Raw Data'!$C:$O,7,0)),"")</f>
        <v/>
      </c>
      <c r="P4825" s="55" t="str">
        <f>IFERROR(IF(OR($B4825="",$B4825="(blank)"),"",VLOOKUP($B4825,'Email Marketing Raw Data'!$C:$O,8,0)),"")</f>
        <v/>
      </c>
      <c r="Q4825" s="62" t="str">
        <f>IFERROR(IF(OR($B4825="",$B4825="(blank)"),"",VLOOKUP($B4825,'Email Marketing Raw Data'!$C:$O,9,0)),"")</f>
        <v/>
      </c>
    </row>
    <row r="4826" spans="4:17" ht="12.75" customHeight="1" x14ac:dyDescent="0.2">
      <c r="D4826" s="58" t="str">
        <f>IFERROR(IF(F4826&lt;&gt;"pending","",IF(OR($B4826="",$B4826="(blank)"),"",VLOOKUP($B4826,'Email Marketing Raw Data'!$C:$O,10,0))),"")</f>
        <v/>
      </c>
      <c r="E4826" s="59" t="str">
        <f>IFERROR(IF(F4826&lt;&gt;"pending","",IF(OR($B4826="",$B4826="(blank)"),"",VLOOKUP($B4826,'Email Marketing Raw Data'!$C:$O,11,0))),"")</f>
        <v/>
      </c>
      <c r="F4826" s="54" t="str">
        <f>IFERROR(IF(OR($B4826="",$B4826="(blank)"),"",VLOOKUP($B4826,'Email Marketing Raw Data'!$C:$O,13,0)),"")</f>
        <v/>
      </c>
      <c r="G4826" s="55" t="str">
        <f>IFERROR(IF(OR($B4826="",$B4826="(blank)"),"",VLOOKUP($B4826,'Email Marketing Raw Data'!$C:$O,4,0)),"")</f>
        <v/>
      </c>
      <c r="H4826" s="55" t="str">
        <f>IFERROR(IF(OR($B4826="",$B4826="(blank)"),"",VLOOKUP($B4826,'Email Marketing Raw Data'!$C:$O,5,0)),"")</f>
        <v/>
      </c>
      <c r="I4826" s="55" t="str">
        <f>IFERROR(IF($G4826="","",VLOOKUP('Dashboard And Emails Automate'!$G4826,Database!$H:$N,3,0)),"")</f>
        <v/>
      </c>
      <c r="J4826" s="55" t="str">
        <f>IFERROR(IF($G4826="","",VLOOKUP('Dashboard And Emails Automate'!$G4826,Database!$H:$N,4,0)),"")</f>
        <v/>
      </c>
      <c r="K4826" s="55" t="str">
        <f>IFERROR(IF($G4826="","",VLOOKUP('Dashboard And Emails Automate'!$G4826,Database!$H:$N,5,0)),"")</f>
        <v/>
      </c>
      <c r="L4826" s="55" t="str">
        <f>IFERROR(IF($G4826="","",VLOOKUP('Dashboard And Emails Automate'!$G4826,Database!$H:$N,6,0)),"")</f>
        <v/>
      </c>
      <c r="M4826" s="55" t="str">
        <f>IFERROR(IF($G4826="","",VLOOKUP('Dashboard And Emails Automate'!$G4826,Database!$H:$N,7,0)),"")</f>
        <v/>
      </c>
      <c r="N4826" s="55" t="str">
        <f>IFERROR(IF(OR($B4826="",$B4826="(blank)"),"",VLOOKUP($B4826,'Email Marketing Raw Data'!$C:$O,6,0)),"")</f>
        <v/>
      </c>
      <c r="O4826" s="55" t="str">
        <f>IFERROR(IF(OR($B4826="",$B4826="(blank)"),"",VLOOKUP($B4826,'Email Marketing Raw Data'!$C:$O,7,0)),"")</f>
        <v/>
      </c>
      <c r="P4826" s="55" t="str">
        <f>IFERROR(IF(OR($B4826="",$B4826="(blank)"),"",VLOOKUP($B4826,'Email Marketing Raw Data'!$C:$O,8,0)),"")</f>
        <v/>
      </c>
      <c r="Q4826" s="62" t="str">
        <f>IFERROR(IF(OR($B4826="",$B4826="(blank)"),"",VLOOKUP($B4826,'Email Marketing Raw Data'!$C:$O,9,0)),"")</f>
        <v/>
      </c>
    </row>
    <row r="4827" spans="4:17" ht="12.75" customHeight="1" x14ac:dyDescent="0.2">
      <c r="D4827" s="58" t="str">
        <f>IFERROR(IF(F4827&lt;&gt;"pending","",IF(OR($B4827="",$B4827="(blank)"),"",VLOOKUP($B4827,'Email Marketing Raw Data'!$C:$O,10,0))),"")</f>
        <v/>
      </c>
      <c r="E4827" s="59" t="str">
        <f>IFERROR(IF(F4827&lt;&gt;"pending","",IF(OR($B4827="",$B4827="(blank)"),"",VLOOKUP($B4827,'Email Marketing Raw Data'!$C:$O,11,0))),"")</f>
        <v/>
      </c>
      <c r="F4827" s="54" t="str">
        <f>IFERROR(IF(OR($B4827="",$B4827="(blank)"),"",VLOOKUP($B4827,'Email Marketing Raw Data'!$C:$O,13,0)),"")</f>
        <v/>
      </c>
      <c r="G4827" s="55" t="str">
        <f>IFERROR(IF(OR($B4827="",$B4827="(blank)"),"",VLOOKUP($B4827,'Email Marketing Raw Data'!$C:$O,4,0)),"")</f>
        <v/>
      </c>
      <c r="H4827" s="55" t="str">
        <f>IFERROR(IF(OR($B4827="",$B4827="(blank)"),"",VLOOKUP($B4827,'Email Marketing Raw Data'!$C:$O,5,0)),"")</f>
        <v/>
      </c>
      <c r="I4827" s="55" t="str">
        <f>IFERROR(IF($G4827="","",VLOOKUP('Dashboard And Emails Automate'!$G4827,Database!$H:$N,3,0)),"")</f>
        <v/>
      </c>
      <c r="J4827" s="55" t="str">
        <f>IFERROR(IF($G4827="","",VLOOKUP('Dashboard And Emails Automate'!$G4827,Database!$H:$N,4,0)),"")</f>
        <v/>
      </c>
      <c r="K4827" s="55" t="str">
        <f>IFERROR(IF($G4827="","",VLOOKUP('Dashboard And Emails Automate'!$G4827,Database!$H:$N,5,0)),"")</f>
        <v/>
      </c>
      <c r="L4827" s="55" t="str">
        <f>IFERROR(IF($G4827="","",VLOOKUP('Dashboard And Emails Automate'!$G4827,Database!$H:$N,6,0)),"")</f>
        <v/>
      </c>
      <c r="M4827" s="55" t="str">
        <f>IFERROR(IF($G4827="","",VLOOKUP('Dashboard And Emails Automate'!$G4827,Database!$H:$N,7,0)),"")</f>
        <v/>
      </c>
      <c r="N4827" s="55" t="str">
        <f>IFERROR(IF(OR($B4827="",$B4827="(blank)"),"",VLOOKUP($B4827,'Email Marketing Raw Data'!$C:$O,6,0)),"")</f>
        <v/>
      </c>
      <c r="O4827" s="55" t="str">
        <f>IFERROR(IF(OR($B4827="",$B4827="(blank)"),"",VLOOKUP($B4827,'Email Marketing Raw Data'!$C:$O,7,0)),"")</f>
        <v/>
      </c>
      <c r="P4827" s="55" t="str">
        <f>IFERROR(IF(OR($B4827="",$B4827="(blank)"),"",VLOOKUP($B4827,'Email Marketing Raw Data'!$C:$O,8,0)),"")</f>
        <v/>
      </c>
      <c r="Q4827" s="62" t="str">
        <f>IFERROR(IF(OR($B4827="",$B4827="(blank)"),"",VLOOKUP($B4827,'Email Marketing Raw Data'!$C:$O,9,0)),"")</f>
        <v/>
      </c>
    </row>
    <row r="4828" spans="4:17" ht="12.75" customHeight="1" x14ac:dyDescent="0.2">
      <c r="D4828" s="58" t="str">
        <f>IFERROR(IF(F4828&lt;&gt;"pending","",IF(OR($B4828="",$B4828="(blank)"),"",VLOOKUP($B4828,'Email Marketing Raw Data'!$C:$O,10,0))),"")</f>
        <v/>
      </c>
      <c r="E4828" s="59" t="str">
        <f>IFERROR(IF(F4828&lt;&gt;"pending","",IF(OR($B4828="",$B4828="(blank)"),"",VLOOKUP($B4828,'Email Marketing Raw Data'!$C:$O,11,0))),"")</f>
        <v/>
      </c>
      <c r="F4828" s="54" t="str">
        <f>IFERROR(IF(OR($B4828="",$B4828="(blank)"),"",VLOOKUP($B4828,'Email Marketing Raw Data'!$C:$O,13,0)),"")</f>
        <v/>
      </c>
      <c r="G4828" s="55" t="str">
        <f>IFERROR(IF(OR($B4828="",$B4828="(blank)"),"",VLOOKUP($B4828,'Email Marketing Raw Data'!$C:$O,4,0)),"")</f>
        <v/>
      </c>
      <c r="H4828" s="55" t="str">
        <f>IFERROR(IF(OR($B4828="",$B4828="(blank)"),"",VLOOKUP($B4828,'Email Marketing Raw Data'!$C:$O,5,0)),"")</f>
        <v/>
      </c>
      <c r="I4828" s="55" t="str">
        <f>IFERROR(IF($G4828="","",VLOOKUP('Dashboard And Emails Automate'!$G4828,Database!$H:$N,3,0)),"")</f>
        <v/>
      </c>
      <c r="J4828" s="55" t="str">
        <f>IFERROR(IF($G4828="","",VLOOKUP('Dashboard And Emails Automate'!$G4828,Database!$H:$N,4,0)),"")</f>
        <v/>
      </c>
      <c r="K4828" s="55" t="str">
        <f>IFERROR(IF($G4828="","",VLOOKUP('Dashboard And Emails Automate'!$G4828,Database!$H:$N,5,0)),"")</f>
        <v/>
      </c>
      <c r="L4828" s="55" t="str">
        <f>IFERROR(IF($G4828="","",VLOOKUP('Dashboard And Emails Automate'!$G4828,Database!$H:$N,6,0)),"")</f>
        <v/>
      </c>
      <c r="M4828" s="55" t="str">
        <f>IFERROR(IF($G4828="","",VLOOKUP('Dashboard And Emails Automate'!$G4828,Database!$H:$N,7,0)),"")</f>
        <v/>
      </c>
      <c r="N4828" s="55" t="str">
        <f>IFERROR(IF(OR($B4828="",$B4828="(blank)"),"",VLOOKUP($B4828,'Email Marketing Raw Data'!$C:$O,6,0)),"")</f>
        <v/>
      </c>
      <c r="O4828" s="55" t="str">
        <f>IFERROR(IF(OR($B4828="",$B4828="(blank)"),"",VLOOKUP($B4828,'Email Marketing Raw Data'!$C:$O,7,0)),"")</f>
        <v/>
      </c>
      <c r="P4828" s="55" t="str">
        <f>IFERROR(IF(OR($B4828="",$B4828="(blank)"),"",VLOOKUP($B4828,'Email Marketing Raw Data'!$C:$O,8,0)),"")</f>
        <v/>
      </c>
      <c r="Q4828" s="62" t="str">
        <f>IFERROR(IF(OR($B4828="",$B4828="(blank)"),"",VLOOKUP($B4828,'Email Marketing Raw Data'!$C:$O,9,0)),"")</f>
        <v/>
      </c>
    </row>
    <row r="4829" spans="4:17" ht="12.75" customHeight="1" x14ac:dyDescent="0.2">
      <c r="D4829" s="58" t="str">
        <f>IFERROR(IF(F4829&lt;&gt;"pending","",IF(OR($B4829="",$B4829="(blank)"),"",VLOOKUP($B4829,'Email Marketing Raw Data'!$C:$O,10,0))),"")</f>
        <v/>
      </c>
      <c r="E4829" s="59" t="str">
        <f>IFERROR(IF(F4829&lt;&gt;"pending","",IF(OR($B4829="",$B4829="(blank)"),"",VLOOKUP($B4829,'Email Marketing Raw Data'!$C:$O,11,0))),"")</f>
        <v/>
      </c>
      <c r="F4829" s="54" t="str">
        <f>IFERROR(IF(OR($B4829="",$B4829="(blank)"),"",VLOOKUP($B4829,'Email Marketing Raw Data'!$C:$O,13,0)),"")</f>
        <v/>
      </c>
      <c r="G4829" s="55" t="str">
        <f>IFERROR(IF(OR($B4829="",$B4829="(blank)"),"",VLOOKUP($B4829,'Email Marketing Raw Data'!$C:$O,4,0)),"")</f>
        <v/>
      </c>
      <c r="H4829" s="55" t="str">
        <f>IFERROR(IF(OR($B4829="",$B4829="(blank)"),"",VLOOKUP($B4829,'Email Marketing Raw Data'!$C:$O,5,0)),"")</f>
        <v/>
      </c>
      <c r="I4829" s="55" t="str">
        <f>IFERROR(IF($G4829="","",VLOOKUP('Dashboard And Emails Automate'!$G4829,Database!$H:$N,3,0)),"")</f>
        <v/>
      </c>
      <c r="J4829" s="55" t="str">
        <f>IFERROR(IF($G4829="","",VLOOKUP('Dashboard And Emails Automate'!$G4829,Database!$H:$N,4,0)),"")</f>
        <v/>
      </c>
      <c r="K4829" s="55" t="str">
        <f>IFERROR(IF($G4829="","",VLOOKUP('Dashboard And Emails Automate'!$G4829,Database!$H:$N,5,0)),"")</f>
        <v/>
      </c>
      <c r="L4829" s="55" t="str">
        <f>IFERROR(IF($G4829="","",VLOOKUP('Dashboard And Emails Automate'!$G4829,Database!$H:$N,6,0)),"")</f>
        <v/>
      </c>
      <c r="M4829" s="55" t="str">
        <f>IFERROR(IF($G4829="","",VLOOKUP('Dashboard And Emails Automate'!$G4829,Database!$H:$N,7,0)),"")</f>
        <v/>
      </c>
      <c r="N4829" s="55" t="str">
        <f>IFERROR(IF(OR($B4829="",$B4829="(blank)"),"",VLOOKUP($B4829,'Email Marketing Raw Data'!$C:$O,6,0)),"")</f>
        <v/>
      </c>
      <c r="O4829" s="55" t="str">
        <f>IFERROR(IF(OR($B4829="",$B4829="(blank)"),"",VLOOKUP($B4829,'Email Marketing Raw Data'!$C:$O,7,0)),"")</f>
        <v/>
      </c>
      <c r="P4829" s="55" t="str">
        <f>IFERROR(IF(OR($B4829="",$B4829="(blank)"),"",VLOOKUP($B4829,'Email Marketing Raw Data'!$C:$O,8,0)),"")</f>
        <v/>
      </c>
      <c r="Q4829" s="62" t="str">
        <f>IFERROR(IF(OR($B4829="",$B4829="(blank)"),"",VLOOKUP($B4829,'Email Marketing Raw Data'!$C:$O,9,0)),"")</f>
        <v/>
      </c>
    </row>
    <row r="4830" spans="4:17" ht="12.75" customHeight="1" x14ac:dyDescent="0.2">
      <c r="D4830" s="58" t="str">
        <f>IFERROR(IF(F4830&lt;&gt;"pending","",IF(OR($B4830="",$B4830="(blank)"),"",VLOOKUP($B4830,'Email Marketing Raw Data'!$C:$O,10,0))),"")</f>
        <v/>
      </c>
      <c r="E4830" s="59" t="str">
        <f>IFERROR(IF(F4830&lt;&gt;"pending","",IF(OR($B4830="",$B4830="(blank)"),"",VLOOKUP($B4830,'Email Marketing Raw Data'!$C:$O,11,0))),"")</f>
        <v/>
      </c>
      <c r="F4830" s="54" t="str">
        <f>IFERROR(IF(OR($B4830="",$B4830="(blank)"),"",VLOOKUP($B4830,'Email Marketing Raw Data'!$C:$O,13,0)),"")</f>
        <v/>
      </c>
      <c r="G4830" s="55" t="str">
        <f>IFERROR(IF(OR($B4830="",$B4830="(blank)"),"",VLOOKUP($B4830,'Email Marketing Raw Data'!$C:$O,4,0)),"")</f>
        <v/>
      </c>
      <c r="H4830" s="55" t="str">
        <f>IFERROR(IF(OR($B4830="",$B4830="(blank)"),"",VLOOKUP($B4830,'Email Marketing Raw Data'!$C:$O,5,0)),"")</f>
        <v/>
      </c>
      <c r="I4830" s="55" t="str">
        <f>IFERROR(IF($G4830="","",VLOOKUP('Dashboard And Emails Automate'!$G4830,Database!$H:$N,3,0)),"")</f>
        <v/>
      </c>
      <c r="J4830" s="55" t="str">
        <f>IFERROR(IF($G4830="","",VLOOKUP('Dashboard And Emails Automate'!$G4830,Database!$H:$N,4,0)),"")</f>
        <v/>
      </c>
      <c r="K4830" s="55" t="str">
        <f>IFERROR(IF($G4830="","",VLOOKUP('Dashboard And Emails Automate'!$G4830,Database!$H:$N,5,0)),"")</f>
        <v/>
      </c>
      <c r="L4830" s="55" t="str">
        <f>IFERROR(IF($G4830="","",VLOOKUP('Dashboard And Emails Automate'!$G4830,Database!$H:$N,6,0)),"")</f>
        <v/>
      </c>
      <c r="M4830" s="55" t="str">
        <f>IFERROR(IF($G4830="","",VLOOKUP('Dashboard And Emails Automate'!$G4830,Database!$H:$N,7,0)),"")</f>
        <v/>
      </c>
      <c r="N4830" s="55" t="str">
        <f>IFERROR(IF(OR($B4830="",$B4830="(blank)"),"",VLOOKUP($B4830,'Email Marketing Raw Data'!$C:$O,6,0)),"")</f>
        <v/>
      </c>
      <c r="O4830" s="55" t="str">
        <f>IFERROR(IF(OR($B4830="",$B4830="(blank)"),"",VLOOKUP($B4830,'Email Marketing Raw Data'!$C:$O,7,0)),"")</f>
        <v/>
      </c>
      <c r="P4830" s="55" t="str">
        <f>IFERROR(IF(OR($B4830="",$B4830="(blank)"),"",VLOOKUP($B4830,'Email Marketing Raw Data'!$C:$O,8,0)),"")</f>
        <v/>
      </c>
      <c r="Q4830" s="62" t="str">
        <f>IFERROR(IF(OR($B4830="",$B4830="(blank)"),"",VLOOKUP($B4830,'Email Marketing Raw Data'!$C:$O,9,0)),"")</f>
        <v/>
      </c>
    </row>
    <row r="4831" spans="4:17" ht="12.75" customHeight="1" x14ac:dyDescent="0.2">
      <c r="D4831" s="58" t="str">
        <f>IFERROR(IF(F4831&lt;&gt;"pending","",IF(OR($B4831="",$B4831="(blank)"),"",VLOOKUP($B4831,'Email Marketing Raw Data'!$C:$O,10,0))),"")</f>
        <v/>
      </c>
      <c r="E4831" s="59" t="str">
        <f>IFERROR(IF(F4831&lt;&gt;"pending","",IF(OR($B4831="",$B4831="(blank)"),"",VLOOKUP($B4831,'Email Marketing Raw Data'!$C:$O,11,0))),"")</f>
        <v/>
      </c>
      <c r="F4831" s="54" t="str">
        <f>IFERROR(IF(OR($B4831="",$B4831="(blank)"),"",VLOOKUP($B4831,'Email Marketing Raw Data'!$C:$O,13,0)),"")</f>
        <v/>
      </c>
      <c r="G4831" s="55" t="str">
        <f>IFERROR(IF(OR($B4831="",$B4831="(blank)"),"",VLOOKUP($B4831,'Email Marketing Raw Data'!$C:$O,4,0)),"")</f>
        <v/>
      </c>
      <c r="H4831" s="55" t="str">
        <f>IFERROR(IF(OR($B4831="",$B4831="(blank)"),"",VLOOKUP($B4831,'Email Marketing Raw Data'!$C:$O,5,0)),"")</f>
        <v/>
      </c>
      <c r="I4831" s="55" t="str">
        <f>IFERROR(IF($G4831="","",VLOOKUP('Dashboard And Emails Automate'!$G4831,Database!$H:$N,3,0)),"")</f>
        <v/>
      </c>
      <c r="J4831" s="55" t="str">
        <f>IFERROR(IF($G4831="","",VLOOKUP('Dashboard And Emails Automate'!$G4831,Database!$H:$N,4,0)),"")</f>
        <v/>
      </c>
      <c r="K4831" s="55" t="str">
        <f>IFERROR(IF($G4831="","",VLOOKUP('Dashboard And Emails Automate'!$G4831,Database!$H:$N,5,0)),"")</f>
        <v/>
      </c>
      <c r="L4831" s="55" t="str">
        <f>IFERROR(IF($G4831="","",VLOOKUP('Dashboard And Emails Automate'!$G4831,Database!$H:$N,6,0)),"")</f>
        <v/>
      </c>
      <c r="M4831" s="55" t="str">
        <f>IFERROR(IF($G4831="","",VLOOKUP('Dashboard And Emails Automate'!$G4831,Database!$H:$N,7,0)),"")</f>
        <v/>
      </c>
      <c r="N4831" s="55" t="str">
        <f>IFERROR(IF(OR($B4831="",$B4831="(blank)"),"",VLOOKUP($B4831,'Email Marketing Raw Data'!$C:$O,6,0)),"")</f>
        <v/>
      </c>
      <c r="O4831" s="55" t="str">
        <f>IFERROR(IF(OR($B4831="",$B4831="(blank)"),"",VLOOKUP($B4831,'Email Marketing Raw Data'!$C:$O,7,0)),"")</f>
        <v/>
      </c>
      <c r="P4831" s="55" t="str">
        <f>IFERROR(IF(OR($B4831="",$B4831="(blank)"),"",VLOOKUP($B4831,'Email Marketing Raw Data'!$C:$O,8,0)),"")</f>
        <v/>
      </c>
      <c r="Q4831" s="62" t="str">
        <f>IFERROR(IF(OR($B4831="",$B4831="(blank)"),"",VLOOKUP($B4831,'Email Marketing Raw Data'!$C:$O,9,0)),"")</f>
        <v/>
      </c>
    </row>
    <row r="4832" spans="4:17" ht="12.75" customHeight="1" x14ac:dyDescent="0.2">
      <c r="D4832" s="58" t="str">
        <f>IFERROR(IF(F4832&lt;&gt;"pending","",IF(OR($B4832="",$B4832="(blank)"),"",VLOOKUP($B4832,'Email Marketing Raw Data'!$C:$O,10,0))),"")</f>
        <v/>
      </c>
      <c r="E4832" s="59" t="str">
        <f>IFERROR(IF(F4832&lt;&gt;"pending","",IF(OR($B4832="",$B4832="(blank)"),"",VLOOKUP($B4832,'Email Marketing Raw Data'!$C:$O,11,0))),"")</f>
        <v/>
      </c>
      <c r="F4832" s="54" t="str">
        <f>IFERROR(IF(OR($B4832="",$B4832="(blank)"),"",VLOOKUP($B4832,'Email Marketing Raw Data'!$C:$O,13,0)),"")</f>
        <v/>
      </c>
      <c r="G4832" s="55" t="str">
        <f>IFERROR(IF(OR($B4832="",$B4832="(blank)"),"",VLOOKUP($B4832,'Email Marketing Raw Data'!$C:$O,4,0)),"")</f>
        <v/>
      </c>
      <c r="H4832" s="55" t="str">
        <f>IFERROR(IF(OR($B4832="",$B4832="(blank)"),"",VLOOKUP($B4832,'Email Marketing Raw Data'!$C:$O,5,0)),"")</f>
        <v/>
      </c>
      <c r="I4832" s="55" t="str">
        <f>IFERROR(IF($G4832="","",VLOOKUP('Dashboard And Emails Automate'!$G4832,Database!$H:$N,3,0)),"")</f>
        <v/>
      </c>
      <c r="J4832" s="55" t="str">
        <f>IFERROR(IF($G4832="","",VLOOKUP('Dashboard And Emails Automate'!$G4832,Database!$H:$N,4,0)),"")</f>
        <v/>
      </c>
      <c r="K4832" s="55" t="str">
        <f>IFERROR(IF($G4832="","",VLOOKUP('Dashboard And Emails Automate'!$G4832,Database!$H:$N,5,0)),"")</f>
        <v/>
      </c>
      <c r="L4832" s="55" t="str">
        <f>IFERROR(IF($G4832="","",VLOOKUP('Dashboard And Emails Automate'!$G4832,Database!$H:$N,6,0)),"")</f>
        <v/>
      </c>
      <c r="M4832" s="55" t="str">
        <f>IFERROR(IF($G4832="","",VLOOKUP('Dashboard And Emails Automate'!$G4832,Database!$H:$N,7,0)),"")</f>
        <v/>
      </c>
      <c r="N4832" s="55" t="str">
        <f>IFERROR(IF(OR($B4832="",$B4832="(blank)"),"",VLOOKUP($B4832,'Email Marketing Raw Data'!$C:$O,6,0)),"")</f>
        <v/>
      </c>
      <c r="O4832" s="55" t="str">
        <f>IFERROR(IF(OR($B4832="",$B4832="(blank)"),"",VLOOKUP($B4832,'Email Marketing Raw Data'!$C:$O,7,0)),"")</f>
        <v/>
      </c>
      <c r="P4832" s="55" t="str">
        <f>IFERROR(IF(OR($B4832="",$B4832="(blank)"),"",VLOOKUP($B4832,'Email Marketing Raw Data'!$C:$O,8,0)),"")</f>
        <v/>
      </c>
      <c r="Q4832" s="62" t="str">
        <f>IFERROR(IF(OR($B4832="",$B4832="(blank)"),"",VLOOKUP($B4832,'Email Marketing Raw Data'!$C:$O,9,0)),"")</f>
        <v/>
      </c>
    </row>
    <row r="4833" spans="4:17" ht="12.75" customHeight="1" x14ac:dyDescent="0.2">
      <c r="D4833" s="58" t="str">
        <f>IFERROR(IF(F4833&lt;&gt;"pending","",IF(OR($B4833="",$B4833="(blank)"),"",VLOOKUP($B4833,'Email Marketing Raw Data'!$C:$O,10,0))),"")</f>
        <v/>
      </c>
      <c r="E4833" s="59" t="str">
        <f>IFERROR(IF(F4833&lt;&gt;"pending","",IF(OR($B4833="",$B4833="(blank)"),"",VLOOKUP($B4833,'Email Marketing Raw Data'!$C:$O,11,0))),"")</f>
        <v/>
      </c>
      <c r="F4833" s="54" t="str">
        <f>IFERROR(IF(OR($B4833="",$B4833="(blank)"),"",VLOOKUP($B4833,'Email Marketing Raw Data'!$C:$O,13,0)),"")</f>
        <v/>
      </c>
      <c r="G4833" s="55" t="str">
        <f>IFERROR(IF(OR($B4833="",$B4833="(blank)"),"",VLOOKUP($B4833,'Email Marketing Raw Data'!$C:$O,4,0)),"")</f>
        <v/>
      </c>
      <c r="H4833" s="55" t="str">
        <f>IFERROR(IF(OR($B4833="",$B4833="(blank)"),"",VLOOKUP($B4833,'Email Marketing Raw Data'!$C:$O,5,0)),"")</f>
        <v/>
      </c>
      <c r="I4833" s="55" t="str">
        <f>IFERROR(IF($G4833="","",VLOOKUP('Dashboard And Emails Automate'!$G4833,Database!$H:$N,3,0)),"")</f>
        <v/>
      </c>
      <c r="J4833" s="55" t="str">
        <f>IFERROR(IF($G4833="","",VLOOKUP('Dashboard And Emails Automate'!$G4833,Database!$H:$N,4,0)),"")</f>
        <v/>
      </c>
      <c r="K4833" s="55" t="str">
        <f>IFERROR(IF($G4833="","",VLOOKUP('Dashboard And Emails Automate'!$G4833,Database!$H:$N,5,0)),"")</f>
        <v/>
      </c>
      <c r="L4833" s="55" t="str">
        <f>IFERROR(IF($G4833="","",VLOOKUP('Dashboard And Emails Automate'!$G4833,Database!$H:$N,6,0)),"")</f>
        <v/>
      </c>
      <c r="M4833" s="55" t="str">
        <f>IFERROR(IF($G4833="","",VLOOKUP('Dashboard And Emails Automate'!$G4833,Database!$H:$N,7,0)),"")</f>
        <v/>
      </c>
      <c r="N4833" s="55" t="str">
        <f>IFERROR(IF(OR($B4833="",$B4833="(blank)"),"",VLOOKUP($B4833,'Email Marketing Raw Data'!$C:$O,6,0)),"")</f>
        <v/>
      </c>
      <c r="O4833" s="55" t="str">
        <f>IFERROR(IF(OR($B4833="",$B4833="(blank)"),"",VLOOKUP($B4833,'Email Marketing Raw Data'!$C:$O,7,0)),"")</f>
        <v/>
      </c>
      <c r="P4833" s="55" t="str">
        <f>IFERROR(IF(OR($B4833="",$B4833="(blank)"),"",VLOOKUP($B4833,'Email Marketing Raw Data'!$C:$O,8,0)),"")</f>
        <v/>
      </c>
      <c r="Q4833" s="62" t="str">
        <f>IFERROR(IF(OR($B4833="",$B4833="(blank)"),"",VLOOKUP($B4833,'Email Marketing Raw Data'!$C:$O,9,0)),"")</f>
        <v/>
      </c>
    </row>
    <row r="4834" spans="4:17" ht="12.75" customHeight="1" x14ac:dyDescent="0.2">
      <c r="D4834" s="58" t="str">
        <f>IFERROR(IF(F4834&lt;&gt;"pending","",IF(OR($B4834="",$B4834="(blank)"),"",VLOOKUP($B4834,'Email Marketing Raw Data'!$C:$O,10,0))),"")</f>
        <v/>
      </c>
      <c r="E4834" s="59" t="str">
        <f>IFERROR(IF(F4834&lt;&gt;"pending","",IF(OR($B4834="",$B4834="(blank)"),"",VLOOKUP($B4834,'Email Marketing Raw Data'!$C:$O,11,0))),"")</f>
        <v/>
      </c>
      <c r="F4834" s="54" t="str">
        <f>IFERROR(IF(OR($B4834="",$B4834="(blank)"),"",VLOOKUP($B4834,'Email Marketing Raw Data'!$C:$O,13,0)),"")</f>
        <v/>
      </c>
      <c r="G4834" s="55" t="str">
        <f>IFERROR(IF(OR($B4834="",$B4834="(blank)"),"",VLOOKUP($B4834,'Email Marketing Raw Data'!$C:$O,4,0)),"")</f>
        <v/>
      </c>
      <c r="H4834" s="55" t="str">
        <f>IFERROR(IF(OR($B4834="",$B4834="(blank)"),"",VLOOKUP($B4834,'Email Marketing Raw Data'!$C:$O,5,0)),"")</f>
        <v/>
      </c>
      <c r="I4834" s="55" t="str">
        <f>IFERROR(IF($G4834="","",VLOOKUP('Dashboard And Emails Automate'!$G4834,Database!$H:$N,3,0)),"")</f>
        <v/>
      </c>
      <c r="J4834" s="55" t="str">
        <f>IFERROR(IF($G4834="","",VLOOKUP('Dashboard And Emails Automate'!$G4834,Database!$H:$N,4,0)),"")</f>
        <v/>
      </c>
      <c r="K4834" s="55" t="str">
        <f>IFERROR(IF($G4834="","",VLOOKUP('Dashboard And Emails Automate'!$G4834,Database!$H:$N,5,0)),"")</f>
        <v/>
      </c>
      <c r="L4834" s="55" t="str">
        <f>IFERROR(IF($G4834="","",VLOOKUP('Dashboard And Emails Automate'!$G4834,Database!$H:$N,6,0)),"")</f>
        <v/>
      </c>
      <c r="M4834" s="55" t="str">
        <f>IFERROR(IF($G4834="","",VLOOKUP('Dashboard And Emails Automate'!$G4834,Database!$H:$N,7,0)),"")</f>
        <v/>
      </c>
      <c r="N4834" s="55" t="str">
        <f>IFERROR(IF(OR($B4834="",$B4834="(blank)"),"",VLOOKUP($B4834,'Email Marketing Raw Data'!$C:$O,6,0)),"")</f>
        <v/>
      </c>
      <c r="O4834" s="55" t="str">
        <f>IFERROR(IF(OR($B4834="",$B4834="(blank)"),"",VLOOKUP($B4834,'Email Marketing Raw Data'!$C:$O,7,0)),"")</f>
        <v/>
      </c>
      <c r="P4834" s="55" t="str">
        <f>IFERROR(IF(OR($B4834="",$B4834="(blank)"),"",VLOOKUP($B4834,'Email Marketing Raw Data'!$C:$O,8,0)),"")</f>
        <v/>
      </c>
      <c r="Q4834" s="62" t="str">
        <f>IFERROR(IF(OR($B4834="",$B4834="(blank)"),"",VLOOKUP($B4834,'Email Marketing Raw Data'!$C:$O,9,0)),"")</f>
        <v/>
      </c>
    </row>
    <row r="4835" spans="4:17" ht="12.75" customHeight="1" x14ac:dyDescent="0.2">
      <c r="D4835" s="58" t="str">
        <f>IFERROR(IF(F4835&lt;&gt;"pending","",IF(OR($B4835="",$B4835="(blank)"),"",VLOOKUP($B4835,'Email Marketing Raw Data'!$C:$O,10,0))),"")</f>
        <v/>
      </c>
      <c r="E4835" s="59" t="str">
        <f>IFERROR(IF(F4835&lt;&gt;"pending","",IF(OR($B4835="",$B4835="(blank)"),"",VLOOKUP($B4835,'Email Marketing Raw Data'!$C:$O,11,0))),"")</f>
        <v/>
      </c>
      <c r="F4835" s="54" t="str">
        <f>IFERROR(IF(OR($B4835="",$B4835="(blank)"),"",VLOOKUP($B4835,'Email Marketing Raw Data'!$C:$O,13,0)),"")</f>
        <v/>
      </c>
      <c r="G4835" s="55" t="str">
        <f>IFERROR(IF(OR($B4835="",$B4835="(blank)"),"",VLOOKUP($B4835,'Email Marketing Raw Data'!$C:$O,4,0)),"")</f>
        <v/>
      </c>
      <c r="H4835" s="55" t="str">
        <f>IFERROR(IF(OR($B4835="",$B4835="(blank)"),"",VLOOKUP($B4835,'Email Marketing Raw Data'!$C:$O,5,0)),"")</f>
        <v/>
      </c>
      <c r="I4835" s="55" t="str">
        <f>IFERROR(IF($G4835="","",VLOOKUP('Dashboard And Emails Automate'!$G4835,Database!$H:$N,3,0)),"")</f>
        <v/>
      </c>
      <c r="J4835" s="55" t="str">
        <f>IFERROR(IF($G4835="","",VLOOKUP('Dashboard And Emails Automate'!$G4835,Database!$H:$N,4,0)),"")</f>
        <v/>
      </c>
      <c r="K4835" s="55" t="str">
        <f>IFERROR(IF($G4835="","",VLOOKUP('Dashboard And Emails Automate'!$G4835,Database!$H:$N,5,0)),"")</f>
        <v/>
      </c>
      <c r="L4835" s="55" t="str">
        <f>IFERROR(IF($G4835="","",VLOOKUP('Dashboard And Emails Automate'!$G4835,Database!$H:$N,6,0)),"")</f>
        <v/>
      </c>
      <c r="M4835" s="55" t="str">
        <f>IFERROR(IF($G4835="","",VLOOKUP('Dashboard And Emails Automate'!$G4835,Database!$H:$N,7,0)),"")</f>
        <v/>
      </c>
      <c r="N4835" s="55" t="str">
        <f>IFERROR(IF(OR($B4835="",$B4835="(blank)"),"",VLOOKUP($B4835,'Email Marketing Raw Data'!$C:$O,6,0)),"")</f>
        <v/>
      </c>
      <c r="O4835" s="55" t="str">
        <f>IFERROR(IF(OR($B4835="",$B4835="(blank)"),"",VLOOKUP($B4835,'Email Marketing Raw Data'!$C:$O,7,0)),"")</f>
        <v/>
      </c>
      <c r="P4835" s="55" t="str">
        <f>IFERROR(IF(OR($B4835="",$B4835="(blank)"),"",VLOOKUP($B4835,'Email Marketing Raw Data'!$C:$O,8,0)),"")</f>
        <v/>
      </c>
      <c r="Q4835" s="62" t="str">
        <f>IFERROR(IF(OR($B4835="",$B4835="(blank)"),"",VLOOKUP($B4835,'Email Marketing Raw Data'!$C:$O,9,0)),"")</f>
        <v/>
      </c>
    </row>
    <row r="4836" spans="4:17" ht="12.75" customHeight="1" x14ac:dyDescent="0.2">
      <c r="D4836" s="58" t="str">
        <f>IFERROR(IF(F4836&lt;&gt;"pending","",IF(OR($B4836="",$B4836="(blank)"),"",VLOOKUP($B4836,'Email Marketing Raw Data'!$C:$O,10,0))),"")</f>
        <v/>
      </c>
      <c r="E4836" s="59" t="str">
        <f>IFERROR(IF(F4836&lt;&gt;"pending","",IF(OR($B4836="",$B4836="(blank)"),"",VLOOKUP($B4836,'Email Marketing Raw Data'!$C:$O,11,0))),"")</f>
        <v/>
      </c>
      <c r="F4836" s="54" t="str">
        <f>IFERROR(IF(OR($B4836="",$B4836="(blank)"),"",VLOOKUP($B4836,'Email Marketing Raw Data'!$C:$O,13,0)),"")</f>
        <v/>
      </c>
      <c r="G4836" s="55" t="str">
        <f>IFERROR(IF(OR($B4836="",$B4836="(blank)"),"",VLOOKUP($B4836,'Email Marketing Raw Data'!$C:$O,4,0)),"")</f>
        <v/>
      </c>
      <c r="H4836" s="55" t="str">
        <f>IFERROR(IF(OR($B4836="",$B4836="(blank)"),"",VLOOKUP($B4836,'Email Marketing Raw Data'!$C:$O,5,0)),"")</f>
        <v/>
      </c>
      <c r="I4836" s="55" t="str">
        <f>IFERROR(IF($G4836="","",VLOOKUP('Dashboard And Emails Automate'!$G4836,Database!$H:$N,3,0)),"")</f>
        <v/>
      </c>
      <c r="J4836" s="55" t="str">
        <f>IFERROR(IF($G4836="","",VLOOKUP('Dashboard And Emails Automate'!$G4836,Database!$H:$N,4,0)),"")</f>
        <v/>
      </c>
      <c r="K4836" s="55" t="str">
        <f>IFERROR(IF($G4836="","",VLOOKUP('Dashboard And Emails Automate'!$G4836,Database!$H:$N,5,0)),"")</f>
        <v/>
      </c>
      <c r="L4836" s="55" t="str">
        <f>IFERROR(IF($G4836="","",VLOOKUP('Dashboard And Emails Automate'!$G4836,Database!$H:$N,6,0)),"")</f>
        <v/>
      </c>
      <c r="M4836" s="55" t="str">
        <f>IFERROR(IF($G4836="","",VLOOKUP('Dashboard And Emails Automate'!$G4836,Database!$H:$N,7,0)),"")</f>
        <v/>
      </c>
      <c r="N4836" s="55" t="str">
        <f>IFERROR(IF(OR($B4836="",$B4836="(blank)"),"",VLOOKUP($B4836,'Email Marketing Raw Data'!$C:$O,6,0)),"")</f>
        <v/>
      </c>
      <c r="O4836" s="55" t="str">
        <f>IFERROR(IF(OR($B4836="",$B4836="(blank)"),"",VLOOKUP($B4836,'Email Marketing Raw Data'!$C:$O,7,0)),"")</f>
        <v/>
      </c>
      <c r="P4836" s="55" t="str">
        <f>IFERROR(IF(OR($B4836="",$B4836="(blank)"),"",VLOOKUP($B4836,'Email Marketing Raw Data'!$C:$O,8,0)),"")</f>
        <v/>
      </c>
      <c r="Q4836" s="62" t="str">
        <f>IFERROR(IF(OR($B4836="",$B4836="(blank)"),"",VLOOKUP($B4836,'Email Marketing Raw Data'!$C:$O,9,0)),"")</f>
        <v/>
      </c>
    </row>
    <row r="4837" spans="4:17" ht="12.75" customHeight="1" x14ac:dyDescent="0.2">
      <c r="D4837" s="58" t="str">
        <f>IFERROR(IF(F4837&lt;&gt;"pending","",IF(OR($B4837="",$B4837="(blank)"),"",VLOOKUP($B4837,'Email Marketing Raw Data'!$C:$O,10,0))),"")</f>
        <v/>
      </c>
      <c r="E4837" s="59" t="str">
        <f>IFERROR(IF(F4837&lt;&gt;"pending","",IF(OR($B4837="",$B4837="(blank)"),"",VLOOKUP($B4837,'Email Marketing Raw Data'!$C:$O,11,0))),"")</f>
        <v/>
      </c>
      <c r="F4837" s="54" t="str">
        <f>IFERROR(IF(OR($B4837="",$B4837="(blank)"),"",VLOOKUP($B4837,'Email Marketing Raw Data'!$C:$O,13,0)),"")</f>
        <v/>
      </c>
      <c r="G4837" s="55" t="str">
        <f>IFERROR(IF(OR($B4837="",$B4837="(blank)"),"",VLOOKUP($B4837,'Email Marketing Raw Data'!$C:$O,4,0)),"")</f>
        <v/>
      </c>
      <c r="H4837" s="55" t="str">
        <f>IFERROR(IF(OR($B4837="",$B4837="(blank)"),"",VLOOKUP($B4837,'Email Marketing Raw Data'!$C:$O,5,0)),"")</f>
        <v/>
      </c>
      <c r="I4837" s="55" t="str">
        <f>IFERROR(IF($G4837="","",VLOOKUP('Dashboard And Emails Automate'!$G4837,Database!$H:$N,3,0)),"")</f>
        <v/>
      </c>
      <c r="J4837" s="55" t="str">
        <f>IFERROR(IF($G4837="","",VLOOKUP('Dashboard And Emails Automate'!$G4837,Database!$H:$N,4,0)),"")</f>
        <v/>
      </c>
      <c r="K4837" s="55" t="str">
        <f>IFERROR(IF($G4837="","",VLOOKUP('Dashboard And Emails Automate'!$G4837,Database!$H:$N,5,0)),"")</f>
        <v/>
      </c>
      <c r="L4837" s="55" t="str">
        <f>IFERROR(IF($G4837="","",VLOOKUP('Dashboard And Emails Automate'!$G4837,Database!$H:$N,6,0)),"")</f>
        <v/>
      </c>
      <c r="M4837" s="55" t="str">
        <f>IFERROR(IF($G4837="","",VLOOKUP('Dashboard And Emails Automate'!$G4837,Database!$H:$N,7,0)),"")</f>
        <v/>
      </c>
      <c r="N4837" s="55" t="str">
        <f>IFERROR(IF(OR($B4837="",$B4837="(blank)"),"",VLOOKUP($B4837,'Email Marketing Raw Data'!$C:$O,6,0)),"")</f>
        <v/>
      </c>
      <c r="O4837" s="55" t="str">
        <f>IFERROR(IF(OR($B4837="",$B4837="(blank)"),"",VLOOKUP($B4837,'Email Marketing Raw Data'!$C:$O,7,0)),"")</f>
        <v/>
      </c>
      <c r="P4837" s="55" t="str">
        <f>IFERROR(IF(OR($B4837="",$B4837="(blank)"),"",VLOOKUP($B4837,'Email Marketing Raw Data'!$C:$O,8,0)),"")</f>
        <v/>
      </c>
      <c r="Q4837" s="62" t="str">
        <f>IFERROR(IF(OR($B4837="",$B4837="(blank)"),"",VLOOKUP($B4837,'Email Marketing Raw Data'!$C:$O,9,0)),"")</f>
        <v/>
      </c>
    </row>
    <row r="4838" spans="4:17" ht="12.75" customHeight="1" x14ac:dyDescent="0.2">
      <c r="D4838" s="58" t="str">
        <f>IFERROR(IF(F4838&lt;&gt;"pending","",IF(OR($B4838="",$B4838="(blank)"),"",VLOOKUP($B4838,'Email Marketing Raw Data'!$C:$O,10,0))),"")</f>
        <v/>
      </c>
      <c r="E4838" s="59" t="str">
        <f>IFERROR(IF(F4838&lt;&gt;"pending","",IF(OR($B4838="",$B4838="(blank)"),"",VLOOKUP($B4838,'Email Marketing Raw Data'!$C:$O,11,0))),"")</f>
        <v/>
      </c>
      <c r="F4838" s="54" t="str">
        <f>IFERROR(IF(OR($B4838="",$B4838="(blank)"),"",VLOOKUP($B4838,'Email Marketing Raw Data'!$C:$O,13,0)),"")</f>
        <v/>
      </c>
      <c r="G4838" s="55" t="str">
        <f>IFERROR(IF(OR($B4838="",$B4838="(blank)"),"",VLOOKUP($B4838,'Email Marketing Raw Data'!$C:$O,4,0)),"")</f>
        <v/>
      </c>
      <c r="H4838" s="55" t="str">
        <f>IFERROR(IF(OR($B4838="",$B4838="(blank)"),"",VLOOKUP($B4838,'Email Marketing Raw Data'!$C:$O,5,0)),"")</f>
        <v/>
      </c>
      <c r="I4838" s="55" t="str">
        <f>IFERROR(IF($G4838="","",VLOOKUP('Dashboard And Emails Automate'!$G4838,Database!$H:$N,3,0)),"")</f>
        <v/>
      </c>
      <c r="J4838" s="55" t="str">
        <f>IFERROR(IF($G4838="","",VLOOKUP('Dashboard And Emails Automate'!$G4838,Database!$H:$N,4,0)),"")</f>
        <v/>
      </c>
      <c r="K4838" s="55" t="str">
        <f>IFERROR(IF($G4838="","",VLOOKUP('Dashboard And Emails Automate'!$G4838,Database!$H:$N,5,0)),"")</f>
        <v/>
      </c>
      <c r="L4838" s="55" t="str">
        <f>IFERROR(IF($G4838="","",VLOOKUP('Dashboard And Emails Automate'!$G4838,Database!$H:$N,6,0)),"")</f>
        <v/>
      </c>
      <c r="M4838" s="55" t="str">
        <f>IFERROR(IF($G4838="","",VLOOKUP('Dashboard And Emails Automate'!$G4838,Database!$H:$N,7,0)),"")</f>
        <v/>
      </c>
      <c r="N4838" s="55" t="str">
        <f>IFERROR(IF(OR($B4838="",$B4838="(blank)"),"",VLOOKUP($B4838,'Email Marketing Raw Data'!$C:$O,6,0)),"")</f>
        <v/>
      </c>
      <c r="O4838" s="55" t="str">
        <f>IFERROR(IF(OR($B4838="",$B4838="(blank)"),"",VLOOKUP($B4838,'Email Marketing Raw Data'!$C:$O,7,0)),"")</f>
        <v/>
      </c>
      <c r="P4838" s="55" t="str">
        <f>IFERROR(IF(OR($B4838="",$B4838="(blank)"),"",VLOOKUP($B4838,'Email Marketing Raw Data'!$C:$O,8,0)),"")</f>
        <v/>
      </c>
      <c r="Q4838" s="62" t="str">
        <f>IFERROR(IF(OR($B4838="",$B4838="(blank)"),"",VLOOKUP($B4838,'Email Marketing Raw Data'!$C:$O,9,0)),"")</f>
        <v/>
      </c>
    </row>
    <row r="4839" spans="4:17" ht="12.75" customHeight="1" x14ac:dyDescent="0.2">
      <c r="D4839" s="58" t="str">
        <f>IFERROR(IF(F4839&lt;&gt;"pending","",IF(OR($B4839="",$B4839="(blank)"),"",VLOOKUP($B4839,'Email Marketing Raw Data'!$C:$O,10,0))),"")</f>
        <v/>
      </c>
      <c r="E4839" s="59" t="str">
        <f>IFERROR(IF(F4839&lt;&gt;"pending","",IF(OR($B4839="",$B4839="(blank)"),"",VLOOKUP($B4839,'Email Marketing Raw Data'!$C:$O,11,0))),"")</f>
        <v/>
      </c>
      <c r="F4839" s="54" t="str">
        <f>IFERROR(IF(OR($B4839="",$B4839="(blank)"),"",VLOOKUP($B4839,'Email Marketing Raw Data'!$C:$O,13,0)),"")</f>
        <v/>
      </c>
      <c r="G4839" s="55" t="str">
        <f>IFERROR(IF(OR($B4839="",$B4839="(blank)"),"",VLOOKUP($B4839,'Email Marketing Raw Data'!$C:$O,4,0)),"")</f>
        <v/>
      </c>
      <c r="H4839" s="55" t="str">
        <f>IFERROR(IF(OR($B4839="",$B4839="(blank)"),"",VLOOKUP($B4839,'Email Marketing Raw Data'!$C:$O,5,0)),"")</f>
        <v/>
      </c>
      <c r="I4839" s="55" t="str">
        <f>IFERROR(IF($G4839="","",VLOOKUP('Dashboard And Emails Automate'!$G4839,Database!$H:$N,3,0)),"")</f>
        <v/>
      </c>
      <c r="J4839" s="55" t="str">
        <f>IFERROR(IF($G4839="","",VLOOKUP('Dashboard And Emails Automate'!$G4839,Database!$H:$N,4,0)),"")</f>
        <v/>
      </c>
      <c r="K4839" s="55" t="str">
        <f>IFERROR(IF($G4839="","",VLOOKUP('Dashboard And Emails Automate'!$G4839,Database!$H:$N,5,0)),"")</f>
        <v/>
      </c>
      <c r="L4839" s="55" t="str">
        <f>IFERROR(IF($G4839="","",VLOOKUP('Dashboard And Emails Automate'!$G4839,Database!$H:$N,6,0)),"")</f>
        <v/>
      </c>
      <c r="M4839" s="55" t="str">
        <f>IFERROR(IF($G4839="","",VLOOKUP('Dashboard And Emails Automate'!$G4839,Database!$H:$N,7,0)),"")</f>
        <v/>
      </c>
      <c r="N4839" s="55" t="str">
        <f>IFERROR(IF(OR($B4839="",$B4839="(blank)"),"",VLOOKUP($B4839,'Email Marketing Raw Data'!$C:$O,6,0)),"")</f>
        <v/>
      </c>
      <c r="O4839" s="55" t="str">
        <f>IFERROR(IF(OR($B4839="",$B4839="(blank)"),"",VLOOKUP($B4839,'Email Marketing Raw Data'!$C:$O,7,0)),"")</f>
        <v/>
      </c>
      <c r="P4839" s="55" t="str">
        <f>IFERROR(IF(OR($B4839="",$B4839="(blank)"),"",VLOOKUP($B4839,'Email Marketing Raw Data'!$C:$O,8,0)),"")</f>
        <v/>
      </c>
      <c r="Q4839" s="62" t="str">
        <f>IFERROR(IF(OR($B4839="",$B4839="(blank)"),"",VLOOKUP($B4839,'Email Marketing Raw Data'!$C:$O,9,0)),"")</f>
        <v/>
      </c>
    </row>
    <row r="4840" spans="4:17" ht="12.75" customHeight="1" x14ac:dyDescent="0.2">
      <c r="D4840" s="58" t="str">
        <f>IFERROR(IF(F4840&lt;&gt;"pending","",IF(OR($B4840="",$B4840="(blank)"),"",VLOOKUP($B4840,'Email Marketing Raw Data'!$C:$O,10,0))),"")</f>
        <v/>
      </c>
      <c r="E4840" s="59" t="str">
        <f>IFERROR(IF(F4840&lt;&gt;"pending","",IF(OR($B4840="",$B4840="(blank)"),"",VLOOKUP($B4840,'Email Marketing Raw Data'!$C:$O,11,0))),"")</f>
        <v/>
      </c>
      <c r="F4840" s="54" t="str">
        <f>IFERROR(IF(OR($B4840="",$B4840="(blank)"),"",VLOOKUP($B4840,'Email Marketing Raw Data'!$C:$O,13,0)),"")</f>
        <v/>
      </c>
      <c r="G4840" s="55" t="str">
        <f>IFERROR(IF(OR($B4840="",$B4840="(blank)"),"",VLOOKUP($B4840,'Email Marketing Raw Data'!$C:$O,4,0)),"")</f>
        <v/>
      </c>
      <c r="H4840" s="55" t="str">
        <f>IFERROR(IF(OR($B4840="",$B4840="(blank)"),"",VLOOKUP($B4840,'Email Marketing Raw Data'!$C:$O,5,0)),"")</f>
        <v/>
      </c>
      <c r="I4840" s="55" t="str">
        <f>IFERROR(IF($G4840="","",VLOOKUP('Dashboard And Emails Automate'!$G4840,Database!$H:$N,3,0)),"")</f>
        <v/>
      </c>
      <c r="J4840" s="55" t="str">
        <f>IFERROR(IF($G4840="","",VLOOKUP('Dashboard And Emails Automate'!$G4840,Database!$H:$N,4,0)),"")</f>
        <v/>
      </c>
      <c r="K4840" s="55" t="str">
        <f>IFERROR(IF($G4840="","",VLOOKUP('Dashboard And Emails Automate'!$G4840,Database!$H:$N,5,0)),"")</f>
        <v/>
      </c>
      <c r="L4840" s="55" t="str">
        <f>IFERROR(IF($G4840="","",VLOOKUP('Dashboard And Emails Automate'!$G4840,Database!$H:$N,6,0)),"")</f>
        <v/>
      </c>
      <c r="M4840" s="55" t="str">
        <f>IFERROR(IF($G4840="","",VLOOKUP('Dashboard And Emails Automate'!$G4840,Database!$H:$N,7,0)),"")</f>
        <v/>
      </c>
      <c r="N4840" s="55" t="str">
        <f>IFERROR(IF(OR($B4840="",$B4840="(blank)"),"",VLOOKUP($B4840,'Email Marketing Raw Data'!$C:$O,6,0)),"")</f>
        <v/>
      </c>
      <c r="O4840" s="55" t="str">
        <f>IFERROR(IF(OR($B4840="",$B4840="(blank)"),"",VLOOKUP($B4840,'Email Marketing Raw Data'!$C:$O,7,0)),"")</f>
        <v/>
      </c>
      <c r="P4840" s="55" t="str">
        <f>IFERROR(IF(OR($B4840="",$B4840="(blank)"),"",VLOOKUP($B4840,'Email Marketing Raw Data'!$C:$O,8,0)),"")</f>
        <v/>
      </c>
      <c r="Q4840" s="62" t="str">
        <f>IFERROR(IF(OR($B4840="",$B4840="(blank)"),"",VLOOKUP($B4840,'Email Marketing Raw Data'!$C:$O,9,0)),"")</f>
        <v/>
      </c>
    </row>
    <row r="4841" spans="4:17" ht="12.75" customHeight="1" x14ac:dyDescent="0.2">
      <c r="D4841" s="58" t="str">
        <f>IFERROR(IF(F4841&lt;&gt;"pending","",IF(OR($B4841="",$B4841="(blank)"),"",VLOOKUP($B4841,'Email Marketing Raw Data'!$C:$O,10,0))),"")</f>
        <v/>
      </c>
      <c r="E4841" s="59" t="str">
        <f>IFERROR(IF(F4841&lt;&gt;"pending","",IF(OR($B4841="",$B4841="(blank)"),"",VLOOKUP($B4841,'Email Marketing Raw Data'!$C:$O,11,0))),"")</f>
        <v/>
      </c>
      <c r="F4841" s="54" t="str">
        <f>IFERROR(IF(OR($B4841="",$B4841="(blank)"),"",VLOOKUP($B4841,'Email Marketing Raw Data'!$C:$O,13,0)),"")</f>
        <v/>
      </c>
      <c r="G4841" s="55" t="str">
        <f>IFERROR(IF(OR($B4841="",$B4841="(blank)"),"",VLOOKUP($B4841,'Email Marketing Raw Data'!$C:$O,4,0)),"")</f>
        <v/>
      </c>
      <c r="H4841" s="55" t="str">
        <f>IFERROR(IF(OR($B4841="",$B4841="(blank)"),"",VLOOKUP($B4841,'Email Marketing Raw Data'!$C:$O,5,0)),"")</f>
        <v/>
      </c>
      <c r="I4841" s="55" t="str">
        <f>IFERROR(IF($G4841="","",VLOOKUP('Dashboard And Emails Automate'!$G4841,Database!$H:$N,3,0)),"")</f>
        <v/>
      </c>
      <c r="J4841" s="55" t="str">
        <f>IFERROR(IF($G4841="","",VLOOKUP('Dashboard And Emails Automate'!$G4841,Database!$H:$N,4,0)),"")</f>
        <v/>
      </c>
      <c r="K4841" s="55" t="str">
        <f>IFERROR(IF($G4841="","",VLOOKUP('Dashboard And Emails Automate'!$G4841,Database!$H:$N,5,0)),"")</f>
        <v/>
      </c>
      <c r="L4841" s="55" t="str">
        <f>IFERROR(IF($G4841="","",VLOOKUP('Dashboard And Emails Automate'!$G4841,Database!$H:$N,6,0)),"")</f>
        <v/>
      </c>
      <c r="M4841" s="55" t="str">
        <f>IFERROR(IF($G4841="","",VLOOKUP('Dashboard And Emails Automate'!$G4841,Database!$H:$N,7,0)),"")</f>
        <v/>
      </c>
      <c r="N4841" s="55" t="str">
        <f>IFERROR(IF(OR($B4841="",$B4841="(blank)"),"",VLOOKUP($B4841,'Email Marketing Raw Data'!$C:$O,6,0)),"")</f>
        <v/>
      </c>
      <c r="O4841" s="55" t="str">
        <f>IFERROR(IF(OR($B4841="",$B4841="(blank)"),"",VLOOKUP($B4841,'Email Marketing Raw Data'!$C:$O,7,0)),"")</f>
        <v/>
      </c>
      <c r="P4841" s="55" t="str">
        <f>IFERROR(IF(OR($B4841="",$B4841="(blank)"),"",VLOOKUP($B4841,'Email Marketing Raw Data'!$C:$O,8,0)),"")</f>
        <v/>
      </c>
      <c r="Q4841" s="62" t="str">
        <f>IFERROR(IF(OR($B4841="",$B4841="(blank)"),"",VLOOKUP($B4841,'Email Marketing Raw Data'!$C:$O,9,0)),"")</f>
        <v/>
      </c>
    </row>
    <row r="4842" spans="4:17" ht="12.75" customHeight="1" x14ac:dyDescent="0.2">
      <c r="D4842" s="58" t="str">
        <f>IFERROR(IF(F4842&lt;&gt;"pending","",IF(OR($B4842="",$B4842="(blank)"),"",VLOOKUP($B4842,'Email Marketing Raw Data'!$C:$O,10,0))),"")</f>
        <v/>
      </c>
      <c r="E4842" s="59" t="str">
        <f>IFERROR(IF(F4842&lt;&gt;"pending","",IF(OR($B4842="",$B4842="(blank)"),"",VLOOKUP($B4842,'Email Marketing Raw Data'!$C:$O,11,0))),"")</f>
        <v/>
      </c>
      <c r="F4842" s="54" t="str">
        <f>IFERROR(IF(OR($B4842="",$B4842="(blank)"),"",VLOOKUP($B4842,'Email Marketing Raw Data'!$C:$O,13,0)),"")</f>
        <v/>
      </c>
      <c r="G4842" s="55" t="str">
        <f>IFERROR(IF(OR($B4842="",$B4842="(blank)"),"",VLOOKUP($B4842,'Email Marketing Raw Data'!$C:$O,4,0)),"")</f>
        <v/>
      </c>
      <c r="H4842" s="55" t="str">
        <f>IFERROR(IF(OR($B4842="",$B4842="(blank)"),"",VLOOKUP($B4842,'Email Marketing Raw Data'!$C:$O,5,0)),"")</f>
        <v/>
      </c>
      <c r="I4842" s="55" t="str">
        <f>IFERROR(IF($G4842="","",VLOOKUP('Dashboard And Emails Automate'!$G4842,Database!$H:$N,3,0)),"")</f>
        <v/>
      </c>
      <c r="J4842" s="55" t="str">
        <f>IFERROR(IF($G4842="","",VLOOKUP('Dashboard And Emails Automate'!$G4842,Database!$H:$N,4,0)),"")</f>
        <v/>
      </c>
      <c r="K4842" s="55" t="str">
        <f>IFERROR(IF($G4842="","",VLOOKUP('Dashboard And Emails Automate'!$G4842,Database!$H:$N,5,0)),"")</f>
        <v/>
      </c>
      <c r="L4842" s="55" t="str">
        <f>IFERROR(IF($G4842="","",VLOOKUP('Dashboard And Emails Automate'!$G4842,Database!$H:$N,6,0)),"")</f>
        <v/>
      </c>
      <c r="M4842" s="55" t="str">
        <f>IFERROR(IF($G4842="","",VLOOKUP('Dashboard And Emails Automate'!$G4842,Database!$H:$N,7,0)),"")</f>
        <v/>
      </c>
      <c r="N4842" s="55" t="str">
        <f>IFERROR(IF(OR($B4842="",$B4842="(blank)"),"",VLOOKUP($B4842,'Email Marketing Raw Data'!$C:$O,6,0)),"")</f>
        <v/>
      </c>
      <c r="O4842" s="55" t="str">
        <f>IFERROR(IF(OR($B4842="",$B4842="(blank)"),"",VLOOKUP($B4842,'Email Marketing Raw Data'!$C:$O,7,0)),"")</f>
        <v/>
      </c>
      <c r="P4842" s="55" t="str">
        <f>IFERROR(IF(OR($B4842="",$B4842="(blank)"),"",VLOOKUP($B4842,'Email Marketing Raw Data'!$C:$O,8,0)),"")</f>
        <v/>
      </c>
      <c r="Q4842" s="62" t="str">
        <f>IFERROR(IF(OR($B4842="",$B4842="(blank)"),"",VLOOKUP($B4842,'Email Marketing Raw Data'!$C:$O,9,0)),"")</f>
        <v/>
      </c>
    </row>
    <row r="4843" spans="4:17" ht="12.75" customHeight="1" x14ac:dyDescent="0.2">
      <c r="D4843" s="58" t="str">
        <f>IFERROR(IF(F4843&lt;&gt;"pending","",IF(OR($B4843="",$B4843="(blank)"),"",VLOOKUP($B4843,'Email Marketing Raw Data'!$C:$O,10,0))),"")</f>
        <v/>
      </c>
      <c r="E4843" s="59" t="str">
        <f>IFERROR(IF(F4843&lt;&gt;"pending","",IF(OR($B4843="",$B4843="(blank)"),"",VLOOKUP($B4843,'Email Marketing Raw Data'!$C:$O,11,0))),"")</f>
        <v/>
      </c>
      <c r="F4843" s="54" t="str">
        <f>IFERROR(IF(OR($B4843="",$B4843="(blank)"),"",VLOOKUP($B4843,'Email Marketing Raw Data'!$C:$O,13,0)),"")</f>
        <v/>
      </c>
      <c r="G4843" s="55" t="str">
        <f>IFERROR(IF(OR($B4843="",$B4843="(blank)"),"",VLOOKUP($B4843,'Email Marketing Raw Data'!$C:$O,4,0)),"")</f>
        <v/>
      </c>
      <c r="H4843" s="55" t="str">
        <f>IFERROR(IF(OR($B4843="",$B4843="(blank)"),"",VLOOKUP($B4843,'Email Marketing Raw Data'!$C:$O,5,0)),"")</f>
        <v/>
      </c>
      <c r="I4843" s="55" t="str">
        <f>IFERROR(IF($G4843="","",VLOOKUP('Dashboard And Emails Automate'!$G4843,Database!$H:$N,3,0)),"")</f>
        <v/>
      </c>
      <c r="J4843" s="55" t="str">
        <f>IFERROR(IF($G4843="","",VLOOKUP('Dashboard And Emails Automate'!$G4843,Database!$H:$N,4,0)),"")</f>
        <v/>
      </c>
      <c r="K4843" s="55" t="str">
        <f>IFERROR(IF($G4843="","",VLOOKUP('Dashboard And Emails Automate'!$G4843,Database!$H:$N,5,0)),"")</f>
        <v/>
      </c>
      <c r="L4843" s="55" t="str">
        <f>IFERROR(IF($G4843="","",VLOOKUP('Dashboard And Emails Automate'!$G4843,Database!$H:$N,6,0)),"")</f>
        <v/>
      </c>
      <c r="M4843" s="55" t="str">
        <f>IFERROR(IF($G4843="","",VLOOKUP('Dashboard And Emails Automate'!$G4843,Database!$H:$N,7,0)),"")</f>
        <v/>
      </c>
      <c r="N4843" s="55" t="str">
        <f>IFERROR(IF(OR($B4843="",$B4843="(blank)"),"",VLOOKUP($B4843,'Email Marketing Raw Data'!$C:$O,6,0)),"")</f>
        <v/>
      </c>
      <c r="O4843" s="55" t="str">
        <f>IFERROR(IF(OR($B4843="",$B4843="(blank)"),"",VLOOKUP($B4843,'Email Marketing Raw Data'!$C:$O,7,0)),"")</f>
        <v/>
      </c>
      <c r="P4843" s="55" t="str">
        <f>IFERROR(IF(OR($B4843="",$B4843="(blank)"),"",VLOOKUP($B4843,'Email Marketing Raw Data'!$C:$O,8,0)),"")</f>
        <v/>
      </c>
      <c r="Q4843" s="62" t="str">
        <f>IFERROR(IF(OR($B4843="",$B4843="(blank)"),"",VLOOKUP($B4843,'Email Marketing Raw Data'!$C:$O,9,0)),"")</f>
        <v/>
      </c>
    </row>
    <row r="4844" spans="4:17" ht="12.75" customHeight="1" x14ac:dyDescent="0.2">
      <c r="D4844" s="58" t="str">
        <f>IFERROR(IF(F4844&lt;&gt;"pending","",IF(OR($B4844="",$B4844="(blank)"),"",VLOOKUP($B4844,'Email Marketing Raw Data'!$C:$O,10,0))),"")</f>
        <v/>
      </c>
      <c r="E4844" s="59" t="str">
        <f>IFERROR(IF(F4844&lt;&gt;"pending","",IF(OR($B4844="",$B4844="(blank)"),"",VLOOKUP($B4844,'Email Marketing Raw Data'!$C:$O,11,0))),"")</f>
        <v/>
      </c>
      <c r="F4844" s="54" t="str">
        <f>IFERROR(IF(OR($B4844="",$B4844="(blank)"),"",VLOOKUP($B4844,'Email Marketing Raw Data'!$C:$O,13,0)),"")</f>
        <v/>
      </c>
      <c r="G4844" s="55" t="str">
        <f>IFERROR(IF(OR($B4844="",$B4844="(blank)"),"",VLOOKUP($B4844,'Email Marketing Raw Data'!$C:$O,4,0)),"")</f>
        <v/>
      </c>
      <c r="H4844" s="55" t="str">
        <f>IFERROR(IF(OR($B4844="",$B4844="(blank)"),"",VLOOKUP($B4844,'Email Marketing Raw Data'!$C:$O,5,0)),"")</f>
        <v/>
      </c>
      <c r="I4844" s="55" t="str">
        <f>IFERROR(IF($G4844="","",VLOOKUP('Dashboard And Emails Automate'!$G4844,Database!$H:$N,3,0)),"")</f>
        <v/>
      </c>
      <c r="J4844" s="55" t="str">
        <f>IFERROR(IF($G4844="","",VLOOKUP('Dashboard And Emails Automate'!$G4844,Database!$H:$N,4,0)),"")</f>
        <v/>
      </c>
      <c r="K4844" s="55" t="str">
        <f>IFERROR(IF($G4844="","",VLOOKUP('Dashboard And Emails Automate'!$G4844,Database!$H:$N,5,0)),"")</f>
        <v/>
      </c>
      <c r="L4844" s="55" t="str">
        <f>IFERROR(IF($G4844="","",VLOOKUP('Dashboard And Emails Automate'!$G4844,Database!$H:$N,6,0)),"")</f>
        <v/>
      </c>
      <c r="M4844" s="55" t="str">
        <f>IFERROR(IF($G4844="","",VLOOKUP('Dashboard And Emails Automate'!$G4844,Database!$H:$N,7,0)),"")</f>
        <v/>
      </c>
      <c r="N4844" s="55" t="str">
        <f>IFERROR(IF(OR($B4844="",$B4844="(blank)"),"",VLOOKUP($B4844,'Email Marketing Raw Data'!$C:$O,6,0)),"")</f>
        <v/>
      </c>
      <c r="O4844" s="55" t="str">
        <f>IFERROR(IF(OR($B4844="",$B4844="(blank)"),"",VLOOKUP($B4844,'Email Marketing Raw Data'!$C:$O,7,0)),"")</f>
        <v/>
      </c>
      <c r="P4844" s="55" t="str">
        <f>IFERROR(IF(OR($B4844="",$B4844="(blank)"),"",VLOOKUP($B4844,'Email Marketing Raw Data'!$C:$O,8,0)),"")</f>
        <v/>
      </c>
      <c r="Q4844" s="62" t="str">
        <f>IFERROR(IF(OR($B4844="",$B4844="(blank)"),"",VLOOKUP($B4844,'Email Marketing Raw Data'!$C:$O,9,0)),"")</f>
        <v/>
      </c>
    </row>
    <row r="4845" spans="4:17" ht="12.75" customHeight="1" x14ac:dyDescent="0.2">
      <c r="D4845" s="58" t="str">
        <f>IFERROR(IF(F4845&lt;&gt;"pending","",IF(OR($B4845="",$B4845="(blank)"),"",VLOOKUP($B4845,'Email Marketing Raw Data'!$C:$O,10,0))),"")</f>
        <v/>
      </c>
      <c r="E4845" s="59" t="str">
        <f>IFERROR(IF(F4845&lt;&gt;"pending","",IF(OR($B4845="",$B4845="(blank)"),"",VLOOKUP($B4845,'Email Marketing Raw Data'!$C:$O,11,0))),"")</f>
        <v/>
      </c>
      <c r="F4845" s="54" t="str">
        <f>IFERROR(IF(OR($B4845="",$B4845="(blank)"),"",VLOOKUP($B4845,'Email Marketing Raw Data'!$C:$O,13,0)),"")</f>
        <v/>
      </c>
      <c r="G4845" s="55" t="str">
        <f>IFERROR(IF(OR($B4845="",$B4845="(blank)"),"",VLOOKUP($B4845,'Email Marketing Raw Data'!$C:$O,4,0)),"")</f>
        <v/>
      </c>
      <c r="H4845" s="55" t="str">
        <f>IFERROR(IF(OR($B4845="",$B4845="(blank)"),"",VLOOKUP($B4845,'Email Marketing Raw Data'!$C:$O,5,0)),"")</f>
        <v/>
      </c>
      <c r="I4845" s="55" t="str">
        <f>IFERROR(IF($G4845="","",VLOOKUP('Dashboard And Emails Automate'!$G4845,Database!$H:$N,3,0)),"")</f>
        <v/>
      </c>
      <c r="J4845" s="55" t="str">
        <f>IFERROR(IF($G4845="","",VLOOKUP('Dashboard And Emails Automate'!$G4845,Database!$H:$N,4,0)),"")</f>
        <v/>
      </c>
      <c r="K4845" s="55" t="str">
        <f>IFERROR(IF($G4845="","",VLOOKUP('Dashboard And Emails Automate'!$G4845,Database!$H:$N,5,0)),"")</f>
        <v/>
      </c>
      <c r="L4845" s="55" t="str">
        <f>IFERROR(IF($G4845="","",VLOOKUP('Dashboard And Emails Automate'!$G4845,Database!$H:$N,6,0)),"")</f>
        <v/>
      </c>
      <c r="M4845" s="55" t="str">
        <f>IFERROR(IF($G4845="","",VLOOKUP('Dashboard And Emails Automate'!$G4845,Database!$H:$N,7,0)),"")</f>
        <v/>
      </c>
      <c r="N4845" s="55" t="str">
        <f>IFERROR(IF(OR($B4845="",$B4845="(blank)"),"",VLOOKUP($B4845,'Email Marketing Raw Data'!$C:$O,6,0)),"")</f>
        <v/>
      </c>
      <c r="O4845" s="55" t="str">
        <f>IFERROR(IF(OR($B4845="",$B4845="(blank)"),"",VLOOKUP($B4845,'Email Marketing Raw Data'!$C:$O,7,0)),"")</f>
        <v/>
      </c>
      <c r="P4845" s="55" t="str">
        <f>IFERROR(IF(OR($B4845="",$B4845="(blank)"),"",VLOOKUP($B4845,'Email Marketing Raw Data'!$C:$O,8,0)),"")</f>
        <v/>
      </c>
      <c r="Q4845" s="62" t="str">
        <f>IFERROR(IF(OR($B4845="",$B4845="(blank)"),"",VLOOKUP($B4845,'Email Marketing Raw Data'!$C:$O,9,0)),"")</f>
        <v/>
      </c>
    </row>
    <row r="4846" spans="4:17" ht="12.75" customHeight="1" x14ac:dyDescent="0.2">
      <c r="D4846" s="58" t="str">
        <f>IFERROR(IF(F4846&lt;&gt;"pending","",IF(OR($B4846="",$B4846="(blank)"),"",VLOOKUP($B4846,'Email Marketing Raw Data'!$C:$O,10,0))),"")</f>
        <v/>
      </c>
      <c r="E4846" s="59" t="str">
        <f>IFERROR(IF(F4846&lt;&gt;"pending","",IF(OR($B4846="",$B4846="(blank)"),"",VLOOKUP($B4846,'Email Marketing Raw Data'!$C:$O,11,0))),"")</f>
        <v/>
      </c>
      <c r="F4846" s="54" t="str">
        <f>IFERROR(IF(OR($B4846="",$B4846="(blank)"),"",VLOOKUP($B4846,'Email Marketing Raw Data'!$C:$O,13,0)),"")</f>
        <v/>
      </c>
      <c r="G4846" s="55" t="str">
        <f>IFERROR(IF(OR($B4846="",$B4846="(blank)"),"",VLOOKUP($B4846,'Email Marketing Raw Data'!$C:$O,4,0)),"")</f>
        <v/>
      </c>
      <c r="H4846" s="55" t="str">
        <f>IFERROR(IF(OR($B4846="",$B4846="(blank)"),"",VLOOKUP($B4846,'Email Marketing Raw Data'!$C:$O,5,0)),"")</f>
        <v/>
      </c>
      <c r="I4846" s="55" t="str">
        <f>IFERROR(IF($G4846="","",VLOOKUP('Dashboard And Emails Automate'!$G4846,Database!$H:$N,3,0)),"")</f>
        <v/>
      </c>
      <c r="J4846" s="55" t="str">
        <f>IFERROR(IF($G4846="","",VLOOKUP('Dashboard And Emails Automate'!$G4846,Database!$H:$N,4,0)),"")</f>
        <v/>
      </c>
      <c r="K4846" s="55" t="str">
        <f>IFERROR(IF($G4846="","",VLOOKUP('Dashboard And Emails Automate'!$G4846,Database!$H:$N,5,0)),"")</f>
        <v/>
      </c>
      <c r="L4846" s="55" t="str">
        <f>IFERROR(IF($G4846="","",VLOOKUP('Dashboard And Emails Automate'!$G4846,Database!$H:$N,6,0)),"")</f>
        <v/>
      </c>
      <c r="M4846" s="55" t="str">
        <f>IFERROR(IF($G4846="","",VLOOKUP('Dashboard And Emails Automate'!$G4846,Database!$H:$N,7,0)),"")</f>
        <v/>
      </c>
      <c r="N4846" s="55" t="str">
        <f>IFERROR(IF(OR($B4846="",$B4846="(blank)"),"",VLOOKUP($B4846,'Email Marketing Raw Data'!$C:$O,6,0)),"")</f>
        <v/>
      </c>
      <c r="O4846" s="55" t="str">
        <f>IFERROR(IF(OR($B4846="",$B4846="(blank)"),"",VLOOKUP($B4846,'Email Marketing Raw Data'!$C:$O,7,0)),"")</f>
        <v/>
      </c>
      <c r="P4846" s="55" t="str">
        <f>IFERROR(IF(OR($B4846="",$B4846="(blank)"),"",VLOOKUP($B4846,'Email Marketing Raw Data'!$C:$O,8,0)),"")</f>
        <v/>
      </c>
      <c r="Q4846" s="62" t="str">
        <f>IFERROR(IF(OR($B4846="",$B4846="(blank)"),"",VLOOKUP($B4846,'Email Marketing Raw Data'!$C:$O,9,0)),"")</f>
        <v/>
      </c>
    </row>
    <row r="4847" spans="4:17" ht="12.75" customHeight="1" x14ac:dyDescent="0.2">
      <c r="D4847" s="58" t="str">
        <f>IFERROR(IF(F4847&lt;&gt;"pending","",IF(OR($B4847="",$B4847="(blank)"),"",VLOOKUP($B4847,'Email Marketing Raw Data'!$C:$O,10,0))),"")</f>
        <v/>
      </c>
      <c r="E4847" s="59" t="str">
        <f>IFERROR(IF(F4847&lt;&gt;"pending","",IF(OR($B4847="",$B4847="(blank)"),"",VLOOKUP($B4847,'Email Marketing Raw Data'!$C:$O,11,0))),"")</f>
        <v/>
      </c>
      <c r="F4847" s="54" t="str">
        <f>IFERROR(IF(OR($B4847="",$B4847="(blank)"),"",VLOOKUP($B4847,'Email Marketing Raw Data'!$C:$O,13,0)),"")</f>
        <v/>
      </c>
      <c r="G4847" s="55" t="str">
        <f>IFERROR(IF(OR($B4847="",$B4847="(blank)"),"",VLOOKUP($B4847,'Email Marketing Raw Data'!$C:$O,4,0)),"")</f>
        <v/>
      </c>
      <c r="H4847" s="55" t="str">
        <f>IFERROR(IF(OR($B4847="",$B4847="(blank)"),"",VLOOKUP($B4847,'Email Marketing Raw Data'!$C:$O,5,0)),"")</f>
        <v/>
      </c>
      <c r="I4847" s="55" t="str">
        <f>IFERROR(IF($G4847="","",VLOOKUP('Dashboard And Emails Automate'!$G4847,Database!$H:$N,3,0)),"")</f>
        <v/>
      </c>
      <c r="J4847" s="55" t="str">
        <f>IFERROR(IF($G4847="","",VLOOKUP('Dashboard And Emails Automate'!$G4847,Database!$H:$N,4,0)),"")</f>
        <v/>
      </c>
      <c r="K4847" s="55" t="str">
        <f>IFERROR(IF($G4847="","",VLOOKUP('Dashboard And Emails Automate'!$G4847,Database!$H:$N,5,0)),"")</f>
        <v/>
      </c>
      <c r="L4847" s="55" t="str">
        <f>IFERROR(IF($G4847="","",VLOOKUP('Dashboard And Emails Automate'!$G4847,Database!$H:$N,6,0)),"")</f>
        <v/>
      </c>
      <c r="M4847" s="55" t="str">
        <f>IFERROR(IF($G4847="","",VLOOKUP('Dashboard And Emails Automate'!$G4847,Database!$H:$N,7,0)),"")</f>
        <v/>
      </c>
      <c r="N4847" s="55" t="str">
        <f>IFERROR(IF(OR($B4847="",$B4847="(blank)"),"",VLOOKUP($B4847,'Email Marketing Raw Data'!$C:$O,6,0)),"")</f>
        <v/>
      </c>
      <c r="O4847" s="55" t="str">
        <f>IFERROR(IF(OR($B4847="",$B4847="(blank)"),"",VLOOKUP($B4847,'Email Marketing Raw Data'!$C:$O,7,0)),"")</f>
        <v/>
      </c>
      <c r="P4847" s="55" t="str">
        <f>IFERROR(IF(OR($B4847="",$B4847="(blank)"),"",VLOOKUP($B4847,'Email Marketing Raw Data'!$C:$O,8,0)),"")</f>
        <v/>
      </c>
      <c r="Q4847" s="62" t="str">
        <f>IFERROR(IF(OR($B4847="",$B4847="(blank)"),"",VLOOKUP($B4847,'Email Marketing Raw Data'!$C:$O,9,0)),"")</f>
        <v/>
      </c>
    </row>
    <row r="4848" spans="4:17" ht="12.75" customHeight="1" x14ac:dyDescent="0.2">
      <c r="D4848" s="58" t="str">
        <f>IFERROR(IF(F4848&lt;&gt;"pending","",IF(OR($B4848="",$B4848="(blank)"),"",VLOOKUP($B4848,'Email Marketing Raw Data'!$C:$O,10,0))),"")</f>
        <v/>
      </c>
      <c r="E4848" s="59" t="str">
        <f>IFERROR(IF(F4848&lt;&gt;"pending","",IF(OR($B4848="",$B4848="(blank)"),"",VLOOKUP($B4848,'Email Marketing Raw Data'!$C:$O,11,0))),"")</f>
        <v/>
      </c>
      <c r="F4848" s="54" t="str">
        <f>IFERROR(IF(OR($B4848="",$B4848="(blank)"),"",VLOOKUP($B4848,'Email Marketing Raw Data'!$C:$O,13,0)),"")</f>
        <v/>
      </c>
      <c r="G4848" s="55" t="str">
        <f>IFERROR(IF(OR($B4848="",$B4848="(blank)"),"",VLOOKUP($B4848,'Email Marketing Raw Data'!$C:$O,4,0)),"")</f>
        <v/>
      </c>
      <c r="H4848" s="55" t="str">
        <f>IFERROR(IF(OR($B4848="",$B4848="(blank)"),"",VLOOKUP($B4848,'Email Marketing Raw Data'!$C:$O,5,0)),"")</f>
        <v/>
      </c>
      <c r="I4848" s="55" t="str">
        <f>IFERROR(IF($G4848="","",VLOOKUP('Dashboard And Emails Automate'!$G4848,Database!$H:$N,3,0)),"")</f>
        <v/>
      </c>
      <c r="J4848" s="55" t="str">
        <f>IFERROR(IF($G4848="","",VLOOKUP('Dashboard And Emails Automate'!$G4848,Database!$H:$N,4,0)),"")</f>
        <v/>
      </c>
      <c r="K4848" s="55" t="str">
        <f>IFERROR(IF($G4848="","",VLOOKUP('Dashboard And Emails Automate'!$G4848,Database!$H:$N,5,0)),"")</f>
        <v/>
      </c>
      <c r="L4848" s="55" t="str">
        <f>IFERROR(IF($G4848="","",VLOOKUP('Dashboard And Emails Automate'!$G4848,Database!$H:$N,6,0)),"")</f>
        <v/>
      </c>
      <c r="M4848" s="55" t="str">
        <f>IFERROR(IF($G4848="","",VLOOKUP('Dashboard And Emails Automate'!$G4848,Database!$H:$N,7,0)),"")</f>
        <v/>
      </c>
      <c r="N4848" s="55" t="str">
        <f>IFERROR(IF(OR($B4848="",$B4848="(blank)"),"",VLOOKUP($B4848,'Email Marketing Raw Data'!$C:$O,6,0)),"")</f>
        <v/>
      </c>
      <c r="O4848" s="55" t="str">
        <f>IFERROR(IF(OR($B4848="",$B4848="(blank)"),"",VLOOKUP($B4848,'Email Marketing Raw Data'!$C:$O,7,0)),"")</f>
        <v/>
      </c>
      <c r="P4848" s="55" t="str">
        <f>IFERROR(IF(OR($B4848="",$B4848="(blank)"),"",VLOOKUP($B4848,'Email Marketing Raw Data'!$C:$O,8,0)),"")</f>
        <v/>
      </c>
      <c r="Q4848" s="62" t="str">
        <f>IFERROR(IF(OR($B4848="",$B4848="(blank)"),"",VLOOKUP($B4848,'Email Marketing Raw Data'!$C:$O,9,0)),"")</f>
        <v/>
      </c>
    </row>
    <row r="4849" spans="4:17" ht="12.75" customHeight="1" x14ac:dyDescent="0.2">
      <c r="D4849" s="58" t="str">
        <f>IFERROR(IF(F4849&lt;&gt;"pending","",IF(OR($B4849="",$B4849="(blank)"),"",VLOOKUP($B4849,'Email Marketing Raw Data'!$C:$O,10,0))),"")</f>
        <v/>
      </c>
      <c r="E4849" s="59" t="str">
        <f>IFERROR(IF(F4849&lt;&gt;"pending","",IF(OR($B4849="",$B4849="(blank)"),"",VLOOKUP($B4849,'Email Marketing Raw Data'!$C:$O,11,0))),"")</f>
        <v/>
      </c>
      <c r="F4849" s="54" t="str">
        <f>IFERROR(IF(OR($B4849="",$B4849="(blank)"),"",VLOOKUP($B4849,'Email Marketing Raw Data'!$C:$O,13,0)),"")</f>
        <v/>
      </c>
      <c r="G4849" s="55" t="str">
        <f>IFERROR(IF(OR($B4849="",$B4849="(blank)"),"",VLOOKUP($B4849,'Email Marketing Raw Data'!$C:$O,4,0)),"")</f>
        <v/>
      </c>
      <c r="H4849" s="55" t="str">
        <f>IFERROR(IF(OR($B4849="",$B4849="(blank)"),"",VLOOKUP($B4849,'Email Marketing Raw Data'!$C:$O,5,0)),"")</f>
        <v/>
      </c>
      <c r="I4849" s="55" t="str">
        <f>IFERROR(IF($G4849="","",VLOOKUP('Dashboard And Emails Automate'!$G4849,Database!$H:$N,3,0)),"")</f>
        <v/>
      </c>
      <c r="J4849" s="55" t="str">
        <f>IFERROR(IF($G4849="","",VLOOKUP('Dashboard And Emails Automate'!$G4849,Database!$H:$N,4,0)),"")</f>
        <v/>
      </c>
      <c r="K4849" s="55" t="str">
        <f>IFERROR(IF($G4849="","",VLOOKUP('Dashboard And Emails Automate'!$G4849,Database!$H:$N,5,0)),"")</f>
        <v/>
      </c>
      <c r="L4849" s="55" t="str">
        <f>IFERROR(IF($G4849="","",VLOOKUP('Dashboard And Emails Automate'!$G4849,Database!$H:$N,6,0)),"")</f>
        <v/>
      </c>
      <c r="M4849" s="55" t="str">
        <f>IFERROR(IF($G4849="","",VLOOKUP('Dashboard And Emails Automate'!$G4849,Database!$H:$N,7,0)),"")</f>
        <v/>
      </c>
      <c r="N4849" s="55" t="str">
        <f>IFERROR(IF(OR($B4849="",$B4849="(blank)"),"",VLOOKUP($B4849,'Email Marketing Raw Data'!$C:$O,6,0)),"")</f>
        <v/>
      </c>
      <c r="O4849" s="55" t="str">
        <f>IFERROR(IF(OR($B4849="",$B4849="(blank)"),"",VLOOKUP($B4849,'Email Marketing Raw Data'!$C:$O,7,0)),"")</f>
        <v/>
      </c>
      <c r="P4849" s="55" t="str">
        <f>IFERROR(IF(OR($B4849="",$B4849="(blank)"),"",VLOOKUP($B4849,'Email Marketing Raw Data'!$C:$O,8,0)),"")</f>
        <v/>
      </c>
      <c r="Q4849" s="62" t="str">
        <f>IFERROR(IF(OR($B4849="",$B4849="(blank)"),"",VLOOKUP($B4849,'Email Marketing Raw Data'!$C:$O,9,0)),"")</f>
        <v/>
      </c>
    </row>
    <row r="4850" spans="4:17" ht="12.75" customHeight="1" x14ac:dyDescent="0.2">
      <c r="D4850" s="58" t="str">
        <f>IFERROR(IF(F4850&lt;&gt;"pending","",IF(OR($B4850="",$B4850="(blank)"),"",VLOOKUP($B4850,'Email Marketing Raw Data'!$C:$O,10,0))),"")</f>
        <v/>
      </c>
      <c r="E4850" s="59" t="str">
        <f>IFERROR(IF(F4850&lt;&gt;"pending","",IF(OR($B4850="",$B4850="(blank)"),"",VLOOKUP($B4850,'Email Marketing Raw Data'!$C:$O,11,0))),"")</f>
        <v/>
      </c>
      <c r="F4850" s="54" t="str">
        <f>IFERROR(IF(OR($B4850="",$B4850="(blank)"),"",VLOOKUP($B4850,'Email Marketing Raw Data'!$C:$O,13,0)),"")</f>
        <v/>
      </c>
      <c r="G4850" s="55" t="str">
        <f>IFERROR(IF(OR($B4850="",$B4850="(blank)"),"",VLOOKUP($B4850,'Email Marketing Raw Data'!$C:$O,4,0)),"")</f>
        <v/>
      </c>
      <c r="H4850" s="55" t="str">
        <f>IFERROR(IF(OR($B4850="",$B4850="(blank)"),"",VLOOKUP($B4850,'Email Marketing Raw Data'!$C:$O,5,0)),"")</f>
        <v/>
      </c>
      <c r="I4850" s="55" t="str">
        <f>IFERROR(IF($G4850="","",VLOOKUP('Dashboard And Emails Automate'!$G4850,Database!$H:$N,3,0)),"")</f>
        <v/>
      </c>
      <c r="J4850" s="55" t="str">
        <f>IFERROR(IF($G4850="","",VLOOKUP('Dashboard And Emails Automate'!$G4850,Database!$H:$N,4,0)),"")</f>
        <v/>
      </c>
      <c r="K4850" s="55" t="str">
        <f>IFERROR(IF($G4850="","",VLOOKUP('Dashboard And Emails Automate'!$G4850,Database!$H:$N,5,0)),"")</f>
        <v/>
      </c>
      <c r="L4850" s="55" t="str">
        <f>IFERROR(IF($G4850="","",VLOOKUP('Dashboard And Emails Automate'!$G4850,Database!$H:$N,6,0)),"")</f>
        <v/>
      </c>
      <c r="M4850" s="55" t="str">
        <f>IFERROR(IF($G4850="","",VLOOKUP('Dashboard And Emails Automate'!$G4850,Database!$H:$N,7,0)),"")</f>
        <v/>
      </c>
      <c r="N4850" s="55" t="str">
        <f>IFERROR(IF(OR($B4850="",$B4850="(blank)"),"",VLOOKUP($B4850,'Email Marketing Raw Data'!$C:$O,6,0)),"")</f>
        <v/>
      </c>
      <c r="O4850" s="55" t="str">
        <f>IFERROR(IF(OR($B4850="",$B4850="(blank)"),"",VLOOKUP($B4850,'Email Marketing Raw Data'!$C:$O,7,0)),"")</f>
        <v/>
      </c>
      <c r="P4850" s="55" t="str">
        <f>IFERROR(IF(OR($B4850="",$B4850="(blank)"),"",VLOOKUP($B4850,'Email Marketing Raw Data'!$C:$O,8,0)),"")</f>
        <v/>
      </c>
      <c r="Q4850" s="62" t="str">
        <f>IFERROR(IF(OR($B4850="",$B4850="(blank)"),"",VLOOKUP($B4850,'Email Marketing Raw Data'!$C:$O,9,0)),"")</f>
        <v/>
      </c>
    </row>
    <row r="4851" spans="4:17" ht="12.75" customHeight="1" x14ac:dyDescent="0.2">
      <c r="D4851" s="58" t="str">
        <f>IFERROR(IF(F4851&lt;&gt;"pending","",IF(OR($B4851="",$B4851="(blank)"),"",VLOOKUP($B4851,'Email Marketing Raw Data'!$C:$O,10,0))),"")</f>
        <v/>
      </c>
      <c r="E4851" s="59" t="str">
        <f>IFERROR(IF(F4851&lt;&gt;"pending","",IF(OR($B4851="",$B4851="(blank)"),"",VLOOKUP($B4851,'Email Marketing Raw Data'!$C:$O,11,0))),"")</f>
        <v/>
      </c>
      <c r="F4851" s="54" t="str">
        <f>IFERROR(IF(OR($B4851="",$B4851="(blank)"),"",VLOOKUP($B4851,'Email Marketing Raw Data'!$C:$O,13,0)),"")</f>
        <v/>
      </c>
      <c r="G4851" s="55" t="str">
        <f>IFERROR(IF(OR($B4851="",$B4851="(blank)"),"",VLOOKUP($B4851,'Email Marketing Raw Data'!$C:$O,4,0)),"")</f>
        <v/>
      </c>
      <c r="H4851" s="55" t="str">
        <f>IFERROR(IF(OR($B4851="",$B4851="(blank)"),"",VLOOKUP($B4851,'Email Marketing Raw Data'!$C:$O,5,0)),"")</f>
        <v/>
      </c>
      <c r="I4851" s="55" t="str">
        <f>IFERROR(IF($G4851="","",VLOOKUP('Dashboard And Emails Automate'!$G4851,Database!$H:$N,3,0)),"")</f>
        <v/>
      </c>
      <c r="J4851" s="55" t="str">
        <f>IFERROR(IF($G4851="","",VLOOKUP('Dashboard And Emails Automate'!$G4851,Database!$H:$N,4,0)),"")</f>
        <v/>
      </c>
      <c r="K4851" s="55" t="str">
        <f>IFERROR(IF($G4851="","",VLOOKUP('Dashboard And Emails Automate'!$G4851,Database!$H:$N,5,0)),"")</f>
        <v/>
      </c>
      <c r="L4851" s="55" t="str">
        <f>IFERROR(IF($G4851="","",VLOOKUP('Dashboard And Emails Automate'!$G4851,Database!$H:$N,6,0)),"")</f>
        <v/>
      </c>
      <c r="M4851" s="55" t="str">
        <f>IFERROR(IF($G4851="","",VLOOKUP('Dashboard And Emails Automate'!$G4851,Database!$H:$N,7,0)),"")</f>
        <v/>
      </c>
      <c r="N4851" s="55" t="str">
        <f>IFERROR(IF(OR($B4851="",$B4851="(blank)"),"",VLOOKUP($B4851,'Email Marketing Raw Data'!$C:$O,6,0)),"")</f>
        <v/>
      </c>
      <c r="O4851" s="55" t="str">
        <f>IFERROR(IF(OR($B4851="",$B4851="(blank)"),"",VLOOKUP($B4851,'Email Marketing Raw Data'!$C:$O,7,0)),"")</f>
        <v/>
      </c>
      <c r="P4851" s="55" t="str">
        <f>IFERROR(IF(OR($B4851="",$B4851="(blank)"),"",VLOOKUP($B4851,'Email Marketing Raw Data'!$C:$O,8,0)),"")</f>
        <v/>
      </c>
      <c r="Q4851" s="62" t="str">
        <f>IFERROR(IF(OR($B4851="",$B4851="(blank)"),"",VLOOKUP($B4851,'Email Marketing Raw Data'!$C:$O,9,0)),"")</f>
        <v/>
      </c>
    </row>
    <row r="4852" spans="4:17" ht="12.75" customHeight="1" x14ac:dyDescent="0.2">
      <c r="D4852" s="58" t="str">
        <f>IFERROR(IF(F4852&lt;&gt;"pending","",IF(OR($B4852="",$B4852="(blank)"),"",VLOOKUP($B4852,'Email Marketing Raw Data'!$C:$O,10,0))),"")</f>
        <v/>
      </c>
      <c r="E4852" s="59" t="str">
        <f>IFERROR(IF(F4852&lt;&gt;"pending","",IF(OR($B4852="",$B4852="(blank)"),"",VLOOKUP($B4852,'Email Marketing Raw Data'!$C:$O,11,0))),"")</f>
        <v/>
      </c>
      <c r="F4852" s="54" t="str">
        <f>IFERROR(IF(OR($B4852="",$B4852="(blank)"),"",VLOOKUP($B4852,'Email Marketing Raw Data'!$C:$O,13,0)),"")</f>
        <v/>
      </c>
      <c r="G4852" s="55" t="str">
        <f>IFERROR(IF(OR($B4852="",$B4852="(blank)"),"",VLOOKUP($B4852,'Email Marketing Raw Data'!$C:$O,4,0)),"")</f>
        <v/>
      </c>
      <c r="H4852" s="55" t="str">
        <f>IFERROR(IF(OR($B4852="",$B4852="(blank)"),"",VLOOKUP($B4852,'Email Marketing Raw Data'!$C:$O,5,0)),"")</f>
        <v/>
      </c>
      <c r="I4852" s="55" t="str">
        <f>IFERROR(IF($G4852="","",VLOOKUP('Dashboard And Emails Automate'!$G4852,Database!$H:$N,3,0)),"")</f>
        <v/>
      </c>
      <c r="J4852" s="55" t="str">
        <f>IFERROR(IF($G4852="","",VLOOKUP('Dashboard And Emails Automate'!$G4852,Database!$H:$N,4,0)),"")</f>
        <v/>
      </c>
      <c r="K4852" s="55" t="str">
        <f>IFERROR(IF($G4852="","",VLOOKUP('Dashboard And Emails Automate'!$G4852,Database!$H:$N,5,0)),"")</f>
        <v/>
      </c>
      <c r="L4852" s="55" t="str">
        <f>IFERROR(IF($G4852="","",VLOOKUP('Dashboard And Emails Automate'!$G4852,Database!$H:$N,6,0)),"")</f>
        <v/>
      </c>
      <c r="M4852" s="55" t="str">
        <f>IFERROR(IF($G4852="","",VLOOKUP('Dashboard And Emails Automate'!$G4852,Database!$H:$N,7,0)),"")</f>
        <v/>
      </c>
      <c r="N4852" s="55" t="str">
        <f>IFERROR(IF(OR($B4852="",$B4852="(blank)"),"",VLOOKUP($B4852,'Email Marketing Raw Data'!$C:$O,6,0)),"")</f>
        <v/>
      </c>
      <c r="O4852" s="55" t="str">
        <f>IFERROR(IF(OR($B4852="",$B4852="(blank)"),"",VLOOKUP($B4852,'Email Marketing Raw Data'!$C:$O,7,0)),"")</f>
        <v/>
      </c>
      <c r="P4852" s="55" t="str">
        <f>IFERROR(IF(OR($B4852="",$B4852="(blank)"),"",VLOOKUP($B4852,'Email Marketing Raw Data'!$C:$O,8,0)),"")</f>
        <v/>
      </c>
      <c r="Q4852" s="62" t="str">
        <f>IFERROR(IF(OR($B4852="",$B4852="(blank)"),"",VLOOKUP($B4852,'Email Marketing Raw Data'!$C:$O,9,0)),"")</f>
        <v/>
      </c>
    </row>
    <row r="4853" spans="4:17" ht="12.75" customHeight="1" x14ac:dyDescent="0.2">
      <c r="D4853" s="58" t="str">
        <f>IFERROR(IF(F4853&lt;&gt;"pending","",IF(OR($B4853="",$B4853="(blank)"),"",VLOOKUP($B4853,'Email Marketing Raw Data'!$C:$O,10,0))),"")</f>
        <v/>
      </c>
      <c r="E4853" s="59" t="str">
        <f>IFERROR(IF(F4853&lt;&gt;"pending","",IF(OR($B4853="",$B4853="(blank)"),"",VLOOKUP($B4853,'Email Marketing Raw Data'!$C:$O,11,0))),"")</f>
        <v/>
      </c>
      <c r="F4853" s="54" t="str">
        <f>IFERROR(IF(OR($B4853="",$B4853="(blank)"),"",VLOOKUP($B4853,'Email Marketing Raw Data'!$C:$O,13,0)),"")</f>
        <v/>
      </c>
      <c r="G4853" s="55" t="str">
        <f>IFERROR(IF(OR($B4853="",$B4853="(blank)"),"",VLOOKUP($B4853,'Email Marketing Raw Data'!$C:$O,4,0)),"")</f>
        <v/>
      </c>
      <c r="H4853" s="55" t="str">
        <f>IFERROR(IF(OR($B4853="",$B4853="(blank)"),"",VLOOKUP($B4853,'Email Marketing Raw Data'!$C:$O,5,0)),"")</f>
        <v/>
      </c>
      <c r="I4853" s="55" t="str">
        <f>IFERROR(IF($G4853="","",VLOOKUP('Dashboard And Emails Automate'!$G4853,Database!$H:$N,3,0)),"")</f>
        <v/>
      </c>
      <c r="J4853" s="55" t="str">
        <f>IFERROR(IF($G4853="","",VLOOKUP('Dashboard And Emails Automate'!$G4853,Database!$H:$N,4,0)),"")</f>
        <v/>
      </c>
      <c r="K4853" s="55" t="str">
        <f>IFERROR(IF($G4853="","",VLOOKUP('Dashboard And Emails Automate'!$G4853,Database!$H:$N,5,0)),"")</f>
        <v/>
      </c>
      <c r="L4853" s="55" t="str">
        <f>IFERROR(IF($G4853="","",VLOOKUP('Dashboard And Emails Automate'!$G4853,Database!$H:$N,6,0)),"")</f>
        <v/>
      </c>
      <c r="M4853" s="55" t="str">
        <f>IFERROR(IF($G4853="","",VLOOKUP('Dashboard And Emails Automate'!$G4853,Database!$H:$N,7,0)),"")</f>
        <v/>
      </c>
      <c r="N4853" s="55" t="str">
        <f>IFERROR(IF(OR($B4853="",$B4853="(blank)"),"",VLOOKUP($B4853,'Email Marketing Raw Data'!$C:$O,6,0)),"")</f>
        <v/>
      </c>
      <c r="O4853" s="55" t="str">
        <f>IFERROR(IF(OR($B4853="",$B4853="(blank)"),"",VLOOKUP($B4853,'Email Marketing Raw Data'!$C:$O,7,0)),"")</f>
        <v/>
      </c>
      <c r="P4853" s="55" t="str">
        <f>IFERROR(IF(OR($B4853="",$B4853="(blank)"),"",VLOOKUP($B4853,'Email Marketing Raw Data'!$C:$O,8,0)),"")</f>
        <v/>
      </c>
      <c r="Q4853" s="62" t="str">
        <f>IFERROR(IF(OR($B4853="",$B4853="(blank)"),"",VLOOKUP($B4853,'Email Marketing Raw Data'!$C:$O,9,0)),"")</f>
        <v/>
      </c>
    </row>
    <row r="4854" spans="4:17" ht="12.75" customHeight="1" x14ac:dyDescent="0.2">
      <c r="D4854" s="58" t="str">
        <f>IFERROR(IF(F4854&lt;&gt;"pending","",IF(OR($B4854="",$B4854="(blank)"),"",VLOOKUP($B4854,'Email Marketing Raw Data'!$C:$O,10,0))),"")</f>
        <v/>
      </c>
      <c r="E4854" s="59" t="str">
        <f>IFERROR(IF(F4854&lt;&gt;"pending","",IF(OR($B4854="",$B4854="(blank)"),"",VLOOKUP($B4854,'Email Marketing Raw Data'!$C:$O,11,0))),"")</f>
        <v/>
      </c>
      <c r="F4854" s="54" t="str">
        <f>IFERROR(IF(OR($B4854="",$B4854="(blank)"),"",VLOOKUP($B4854,'Email Marketing Raw Data'!$C:$O,13,0)),"")</f>
        <v/>
      </c>
      <c r="G4854" s="55" t="str">
        <f>IFERROR(IF(OR($B4854="",$B4854="(blank)"),"",VLOOKUP($B4854,'Email Marketing Raw Data'!$C:$O,4,0)),"")</f>
        <v/>
      </c>
      <c r="H4854" s="55" t="str">
        <f>IFERROR(IF(OR($B4854="",$B4854="(blank)"),"",VLOOKUP($B4854,'Email Marketing Raw Data'!$C:$O,5,0)),"")</f>
        <v/>
      </c>
      <c r="I4854" s="55" t="str">
        <f>IFERROR(IF($G4854="","",VLOOKUP('Dashboard And Emails Automate'!$G4854,Database!$H:$N,3,0)),"")</f>
        <v/>
      </c>
      <c r="J4854" s="55" t="str">
        <f>IFERROR(IF($G4854="","",VLOOKUP('Dashboard And Emails Automate'!$G4854,Database!$H:$N,4,0)),"")</f>
        <v/>
      </c>
      <c r="K4854" s="55" t="str">
        <f>IFERROR(IF($G4854="","",VLOOKUP('Dashboard And Emails Automate'!$G4854,Database!$H:$N,5,0)),"")</f>
        <v/>
      </c>
      <c r="L4854" s="55" t="str">
        <f>IFERROR(IF($G4854="","",VLOOKUP('Dashboard And Emails Automate'!$G4854,Database!$H:$N,6,0)),"")</f>
        <v/>
      </c>
      <c r="M4854" s="55" t="str">
        <f>IFERROR(IF($G4854="","",VLOOKUP('Dashboard And Emails Automate'!$G4854,Database!$H:$N,7,0)),"")</f>
        <v/>
      </c>
      <c r="N4854" s="55" t="str">
        <f>IFERROR(IF(OR($B4854="",$B4854="(blank)"),"",VLOOKUP($B4854,'Email Marketing Raw Data'!$C:$O,6,0)),"")</f>
        <v/>
      </c>
      <c r="O4854" s="55" t="str">
        <f>IFERROR(IF(OR($B4854="",$B4854="(blank)"),"",VLOOKUP($B4854,'Email Marketing Raw Data'!$C:$O,7,0)),"")</f>
        <v/>
      </c>
      <c r="P4854" s="55" t="str">
        <f>IFERROR(IF(OR($B4854="",$B4854="(blank)"),"",VLOOKUP($B4854,'Email Marketing Raw Data'!$C:$O,8,0)),"")</f>
        <v/>
      </c>
      <c r="Q4854" s="62" t="str">
        <f>IFERROR(IF(OR($B4854="",$B4854="(blank)"),"",VLOOKUP($B4854,'Email Marketing Raw Data'!$C:$O,9,0)),"")</f>
        <v/>
      </c>
    </row>
    <row r="4855" spans="4:17" ht="12.75" customHeight="1" x14ac:dyDescent="0.2">
      <c r="D4855" s="58" t="str">
        <f>IFERROR(IF(F4855&lt;&gt;"pending","",IF(OR($B4855="",$B4855="(blank)"),"",VLOOKUP($B4855,'Email Marketing Raw Data'!$C:$O,10,0))),"")</f>
        <v/>
      </c>
      <c r="E4855" s="59" t="str">
        <f>IFERROR(IF(F4855&lt;&gt;"pending","",IF(OR($B4855="",$B4855="(blank)"),"",VLOOKUP($B4855,'Email Marketing Raw Data'!$C:$O,11,0))),"")</f>
        <v/>
      </c>
      <c r="F4855" s="54" t="str">
        <f>IFERROR(IF(OR($B4855="",$B4855="(blank)"),"",VLOOKUP($B4855,'Email Marketing Raw Data'!$C:$O,13,0)),"")</f>
        <v/>
      </c>
      <c r="G4855" s="55" t="str">
        <f>IFERROR(IF(OR($B4855="",$B4855="(blank)"),"",VLOOKUP($B4855,'Email Marketing Raw Data'!$C:$O,4,0)),"")</f>
        <v/>
      </c>
      <c r="H4855" s="55" t="str">
        <f>IFERROR(IF(OR($B4855="",$B4855="(blank)"),"",VLOOKUP($B4855,'Email Marketing Raw Data'!$C:$O,5,0)),"")</f>
        <v/>
      </c>
      <c r="I4855" s="55" t="str">
        <f>IFERROR(IF($G4855="","",VLOOKUP('Dashboard And Emails Automate'!$G4855,Database!$H:$N,3,0)),"")</f>
        <v/>
      </c>
      <c r="J4855" s="55" t="str">
        <f>IFERROR(IF($G4855="","",VLOOKUP('Dashboard And Emails Automate'!$G4855,Database!$H:$N,4,0)),"")</f>
        <v/>
      </c>
      <c r="K4855" s="55" t="str">
        <f>IFERROR(IF($G4855="","",VLOOKUP('Dashboard And Emails Automate'!$G4855,Database!$H:$N,5,0)),"")</f>
        <v/>
      </c>
      <c r="L4855" s="55" t="str">
        <f>IFERROR(IF($G4855="","",VLOOKUP('Dashboard And Emails Automate'!$G4855,Database!$H:$N,6,0)),"")</f>
        <v/>
      </c>
      <c r="M4855" s="55" t="str">
        <f>IFERROR(IF($G4855="","",VLOOKUP('Dashboard And Emails Automate'!$G4855,Database!$H:$N,7,0)),"")</f>
        <v/>
      </c>
      <c r="N4855" s="55" t="str">
        <f>IFERROR(IF(OR($B4855="",$B4855="(blank)"),"",VLOOKUP($B4855,'Email Marketing Raw Data'!$C:$O,6,0)),"")</f>
        <v/>
      </c>
      <c r="O4855" s="55" t="str">
        <f>IFERROR(IF(OR($B4855="",$B4855="(blank)"),"",VLOOKUP($B4855,'Email Marketing Raw Data'!$C:$O,7,0)),"")</f>
        <v/>
      </c>
      <c r="P4855" s="55" t="str">
        <f>IFERROR(IF(OR($B4855="",$B4855="(blank)"),"",VLOOKUP($B4855,'Email Marketing Raw Data'!$C:$O,8,0)),"")</f>
        <v/>
      </c>
      <c r="Q4855" s="62" t="str">
        <f>IFERROR(IF(OR($B4855="",$B4855="(blank)"),"",VLOOKUP($B4855,'Email Marketing Raw Data'!$C:$O,9,0)),"")</f>
        <v/>
      </c>
    </row>
    <row r="4856" spans="4:17" ht="12.75" customHeight="1" x14ac:dyDescent="0.2">
      <c r="D4856" s="58" t="str">
        <f>IFERROR(IF(F4856&lt;&gt;"pending","",IF(OR($B4856="",$B4856="(blank)"),"",VLOOKUP($B4856,'Email Marketing Raw Data'!$C:$O,10,0))),"")</f>
        <v/>
      </c>
      <c r="E4856" s="59" t="str">
        <f>IFERROR(IF(F4856&lt;&gt;"pending","",IF(OR($B4856="",$B4856="(blank)"),"",VLOOKUP($B4856,'Email Marketing Raw Data'!$C:$O,11,0))),"")</f>
        <v/>
      </c>
      <c r="F4856" s="54" t="str">
        <f>IFERROR(IF(OR($B4856="",$B4856="(blank)"),"",VLOOKUP($B4856,'Email Marketing Raw Data'!$C:$O,13,0)),"")</f>
        <v/>
      </c>
      <c r="G4856" s="55" t="str">
        <f>IFERROR(IF(OR($B4856="",$B4856="(blank)"),"",VLOOKUP($B4856,'Email Marketing Raw Data'!$C:$O,4,0)),"")</f>
        <v/>
      </c>
      <c r="H4856" s="55" t="str">
        <f>IFERROR(IF(OR($B4856="",$B4856="(blank)"),"",VLOOKUP($B4856,'Email Marketing Raw Data'!$C:$O,5,0)),"")</f>
        <v/>
      </c>
      <c r="I4856" s="55" t="str">
        <f>IFERROR(IF($G4856="","",VLOOKUP('Dashboard And Emails Automate'!$G4856,Database!$H:$N,3,0)),"")</f>
        <v/>
      </c>
      <c r="J4856" s="55" t="str">
        <f>IFERROR(IF($G4856="","",VLOOKUP('Dashboard And Emails Automate'!$G4856,Database!$H:$N,4,0)),"")</f>
        <v/>
      </c>
      <c r="K4856" s="55" t="str">
        <f>IFERROR(IF($G4856="","",VLOOKUP('Dashboard And Emails Automate'!$G4856,Database!$H:$N,5,0)),"")</f>
        <v/>
      </c>
      <c r="L4856" s="55" t="str">
        <f>IFERROR(IF($G4856="","",VLOOKUP('Dashboard And Emails Automate'!$G4856,Database!$H:$N,6,0)),"")</f>
        <v/>
      </c>
      <c r="M4856" s="55" t="str">
        <f>IFERROR(IF($G4856="","",VLOOKUP('Dashboard And Emails Automate'!$G4856,Database!$H:$N,7,0)),"")</f>
        <v/>
      </c>
      <c r="N4856" s="55" t="str">
        <f>IFERROR(IF(OR($B4856="",$B4856="(blank)"),"",VLOOKUP($B4856,'Email Marketing Raw Data'!$C:$O,6,0)),"")</f>
        <v/>
      </c>
      <c r="O4856" s="55" t="str">
        <f>IFERROR(IF(OR($B4856="",$B4856="(blank)"),"",VLOOKUP($B4856,'Email Marketing Raw Data'!$C:$O,7,0)),"")</f>
        <v/>
      </c>
      <c r="P4856" s="55" t="str">
        <f>IFERROR(IF(OR($B4856="",$B4856="(blank)"),"",VLOOKUP($B4856,'Email Marketing Raw Data'!$C:$O,8,0)),"")</f>
        <v/>
      </c>
      <c r="Q4856" s="62" t="str">
        <f>IFERROR(IF(OR($B4856="",$B4856="(blank)"),"",VLOOKUP($B4856,'Email Marketing Raw Data'!$C:$O,9,0)),"")</f>
        <v/>
      </c>
    </row>
    <row r="4857" spans="4:17" ht="12.75" customHeight="1" x14ac:dyDescent="0.2">
      <c r="D4857" s="58" t="str">
        <f>IFERROR(IF(F4857&lt;&gt;"pending","",IF(OR($B4857="",$B4857="(blank)"),"",VLOOKUP($B4857,'Email Marketing Raw Data'!$C:$O,10,0))),"")</f>
        <v/>
      </c>
      <c r="E4857" s="59" t="str">
        <f>IFERROR(IF(F4857&lt;&gt;"pending","",IF(OR($B4857="",$B4857="(blank)"),"",VLOOKUP($B4857,'Email Marketing Raw Data'!$C:$O,11,0))),"")</f>
        <v/>
      </c>
      <c r="F4857" s="54" t="str">
        <f>IFERROR(IF(OR($B4857="",$B4857="(blank)"),"",VLOOKUP($B4857,'Email Marketing Raw Data'!$C:$O,13,0)),"")</f>
        <v/>
      </c>
      <c r="G4857" s="55" t="str">
        <f>IFERROR(IF(OR($B4857="",$B4857="(blank)"),"",VLOOKUP($B4857,'Email Marketing Raw Data'!$C:$O,4,0)),"")</f>
        <v/>
      </c>
      <c r="H4857" s="55" t="str">
        <f>IFERROR(IF(OR($B4857="",$B4857="(blank)"),"",VLOOKUP($B4857,'Email Marketing Raw Data'!$C:$O,5,0)),"")</f>
        <v/>
      </c>
      <c r="I4857" s="55" t="str">
        <f>IFERROR(IF($G4857="","",VLOOKUP('Dashboard And Emails Automate'!$G4857,Database!$H:$N,3,0)),"")</f>
        <v/>
      </c>
      <c r="J4857" s="55" t="str">
        <f>IFERROR(IF($G4857="","",VLOOKUP('Dashboard And Emails Automate'!$G4857,Database!$H:$N,4,0)),"")</f>
        <v/>
      </c>
      <c r="K4857" s="55" t="str">
        <f>IFERROR(IF($G4857="","",VLOOKUP('Dashboard And Emails Automate'!$G4857,Database!$H:$N,5,0)),"")</f>
        <v/>
      </c>
      <c r="L4857" s="55" t="str">
        <f>IFERROR(IF($G4857="","",VLOOKUP('Dashboard And Emails Automate'!$G4857,Database!$H:$N,6,0)),"")</f>
        <v/>
      </c>
      <c r="M4857" s="55" t="str">
        <f>IFERROR(IF($G4857="","",VLOOKUP('Dashboard And Emails Automate'!$G4857,Database!$H:$N,7,0)),"")</f>
        <v/>
      </c>
      <c r="N4857" s="55" t="str">
        <f>IFERROR(IF(OR($B4857="",$B4857="(blank)"),"",VLOOKUP($B4857,'Email Marketing Raw Data'!$C:$O,6,0)),"")</f>
        <v/>
      </c>
      <c r="O4857" s="55" t="str">
        <f>IFERROR(IF(OR($B4857="",$B4857="(blank)"),"",VLOOKUP($B4857,'Email Marketing Raw Data'!$C:$O,7,0)),"")</f>
        <v/>
      </c>
      <c r="P4857" s="55" t="str">
        <f>IFERROR(IF(OR($B4857="",$B4857="(blank)"),"",VLOOKUP($B4857,'Email Marketing Raw Data'!$C:$O,8,0)),"")</f>
        <v/>
      </c>
      <c r="Q4857" s="62" t="str">
        <f>IFERROR(IF(OR($B4857="",$B4857="(blank)"),"",VLOOKUP($B4857,'Email Marketing Raw Data'!$C:$O,9,0)),"")</f>
        <v/>
      </c>
    </row>
    <row r="4858" spans="4:17" ht="12.75" customHeight="1" x14ac:dyDescent="0.2">
      <c r="D4858" s="58" t="str">
        <f>IFERROR(IF(F4858&lt;&gt;"pending","",IF(OR($B4858="",$B4858="(blank)"),"",VLOOKUP($B4858,'Email Marketing Raw Data'!$C:$O,10,0))),"")</f>
        <v/>
      </c>
      <c r="E4858" s="59" t="str">
        <f>IFERROR(IF(F4858&lt;&gt;"pending","",IF(OR($B4858="",$B4858="(blank)"),"",VLOOKUP($B4858,'Email Marketing Raw Data'!$C:$O,11,0))),"")</f>
        <v/>
      </c>
      <c r="F4858" s="54" t="str">
        <f>IFERROR(IF(OR($B4858="",$B4858="(blank)"),"",VLOOKUP($B4858,'Email Marketing Raw Data'!$C:$O,13,0)),"")</f>
        <v/>
      </c>
      <c r="G4858" s="55" t="str">
        <f>IFERROR(IF(OR($B4858="",$B4858="(blank)"),"",VLOOKUP($B4858,'Email Marketing Raw Data'!$C:$O,4,0)),"")</f>
        <v/>
      </c>
      <c r="H4858" s="55" t="str">
        <f>IFERROR(IF(OR($B4858="",$B4858="(blank)"),"",VLOOKUP($B4858,'Email Marketing Raw Data'!$C:$O,5,0)),"")</f>
        <v/>
      </c>
      <c r="I4858" s="55" t="str">
        <f>IFERROR(IF($G4858="","",VLOOKUP('Dashboard And Emails Automate'!$G4858,Database!$H:$N,3,0)),"")</f>
        <v/>
      </c>
      <c r="J4858" s="55" t="str">
        <f>IFERROR(IF($G4858="","",VLOOKUP('Dashboard And Emails Automate'!$G4858,Database!$H:$N,4,0)),"")</f>
        <v/>
      </c>
      <c r="K4858" s="55" t="str">
        <f>IFERROR(IF($G4858="","",VLOOKUP('Dashboard And Emails Automate'!$G4858,Database!$H:$N,5,0)),"")</f>
        <v/>
      </c>
      <c r="L4858" s="55" t="str">
        <f>IFERROR(IF($G4858="","",VLOOKUP('Dashboard And Emails Automate'!$G4858,Database!$H:$N,6,0)),"")</f>
        <v/>
      </c>
      <c r="M4858" s="55" t="str">
        <f>IFERROR(IF($G4858="","",VLOOKUP('Dashboard And Emails Automate'!$G4858,Database!$H:$N,7,0)),"")</f>
        <v/>
      </c>
      <c r="N4858" s="55" t="str">
        <f>IFERROR(IF(OR($B4858="",$B4858="(blank)"),"",VLOOKUP($B4858,'Email Marketing Raw Data'!$C:$O,6,0)),"")</f>
        <v/>
      </c>
      <c r="O4858" s="55" t="str">
        <f>IFERROR(IF(OR($B4858="",$B4858="(blank)"),"",VLOOKUP($B4858,'Email Marketing Raw Data'!$C:$O,7,0)),"")</f>
        <v/>
      </c>
      <c r="P4858" s="55" t="str">
        <f>IFERROR(IF(OR($B4858="",$B4858="(blank)"),"",VLOOKUP($B4858,'Email Marketing Raw Data'!$C:$O,8,0)),"")</f>
        <v/>
      </c>
      <c r="Q4858" s="62" t="str">
        <f>IFERROR(IF(OR($B4858="",$B4858="(blank)"),"",VLOOKUP($B4858,'Email Marketing Raw Data'!$C:$O,9,0)),"")</f>
        <v/>
      </c>
    </row>
    <row r="4859" spans="4:17" ht="12.75" customHeight="1" x14ac:dyDescent="0.2">
      <c r="D4859" s="58" t="str">
        <f>IFERROR(IF(F4859&lt;&gt;"pending","",IF(OR($B4859="",$B4859="(blank)"),"",VLOOKUP($B4859,'Email Marketing Raw Data'!$C:$O,10,0))),"")</f>
        <v/>
      </c>
      <c r="E4859" s="59" t="str">
        <f>IFERROR(IF(F4859&lt;&gt;"pending","",IF(OR($B4859="",$B4859="(blank)"),"",VLOOKUP($B4859,'Email Marketing Raw Data'!$C:$O,11,0))),"")</f>
        <v/>
      </c>
      <c r="F4859" s="54" t="str">
        <f>IFERROR(IF(OR($B4859="",$B4859="(blank)"),"",VLOOKUP($B4859,'Email Marketing Raw Data'!$C:$O,13,0)),"")</f>
        <v/>
      </c>
      <c r="G4859" s="55" t="str">
        <f>IFERROR(IF(OR($B4859="",$B4859="(blank)"),"",VLOOKUP($B4859,'Email Marketing Raw Data'!$C:$O,4,0)),"")</f>
        <v/>
      </c>
      <c r="H4859" s="55" t="str">
        <f>IFERROR(IF(OR($B4859="",$B4859="(blank)"),"",VLOOKUP($B4859,'Email Marketing Raw Data'!$C:$O,5,0)),"")</f>
        <v/>
      </c>
      <c r="I4859" s="55" t="str">
        <f>IFERROR(IF($G4859="","",VLOOKUP('Dashboard And Emails Automate'!$G4859,Database!$H:$N,3,0)),"")</f>
        <v/>
      </c>
      <c r="J4859" s="55" t="str">
        <f>IFERROR(IF($G4859="","",VLOOKUP('Dashboard And Emails Automate'!$G4859,Database!$H:$N,4,0)),"")</f>
        <v/>
      </c>
      <c r="K4859" s="55" t="str">
        <f>IFERROR(IF($G4859="","",VLOOKUP('Dashboard And Emails Automate'!$G4859,Database!$H:$N,5,0)),"")</f>
        <v/>
      </c>
      <c r="L4859" s="55" t="str">
        <f>IFERROR(IF($G4859="","",VLOOKUP('Dashboard And Emails Automate'!$G4859,Database!$H:$N,6,0)),"")</f>
        <v/>
      </c>
      <c r="M4859" s="55" t="str">
        <f>IFERROR(IF($G4859="","",VLOOKUP('Dashboard And Emails Automate'!$G4859,Database!$H:$N,7,0)),"")</f>
        <v/>
      </c>
      <c r="N4859" s="55" t="str">
        <f>IFERROR(IF(OR($B4859="",$B4859="(blank)"),"",VLOOKUP($B4859,'Email Marketing Raw Data'!$C:$O,6,0)),"")</f>
        <v/>
      </c>
      <c r="O4859" s="55" t="str">
        <f>IFERROR(IF(OR($B4859="",$B4859="(blank)"),"",VLOOKUP($B4859,'Email Marketing Raw Data'!$C:$O,7,0)),"")</f>
        <v/>
      </c>
      <c r="P4859" s="55" t="str">
        <f>IFERROR(IF(OR($B4859="",$B4859="(blank)"),"",VLOOKUP($B4859,'Email Marketing Raw Data'!$C:$O,8,0)),"")</f>
        <v/>
      </c>
      <c r="Q4859" s="62" t="str">
        <f>IFERROR(IF(OR($B4859="",$B4859="(blank)"),"",VLOOKUP($B4859,'Email Marketing Raw Data'!$C:$O,9,0)),"")</f>
        <v/>
      </c>
    </row>
    <row r="4860" spans="4:17" ht="12.75" customHeight="1" x14ac:dyDescent="0.2">
      <c r="D4860" s="58" t="str">
        <f>IFERROR(IF(F4860&lt;&gt;"pending","",IF(OR($B4860="",$B4860="(blank)"),"",VLOOKUP($B4860,'Email Marketing Raw Data'!$C:$O,10,0))),"")</f>
        <v/>
      </c>
      <c r="E4860" s="59" t="str">
        <f>IFERROR(IF(F4860&lt;&gt;"pending","",IF(OR($B4860="",$B4860="(blank)"),"",VLOOKUP($B4860,'Email Marketing Raw Data'!$C:$O,11,0))),"")</f>
        <v/>
      </c>
      <c r="F4860" s="54" t="str">
        <f>IFERROR(IF(OR($B4860="",$B4860="(blank)"),"",VLOOKUP($B4860,'Email Marketing Raw Data'!$C:$O,13,0)),"")</f>
        <v/>
      </c>
      <c r="G4860" s="55" t="str">
        <f>IFERROR(IF(OR($B4860="",$B4860="(blank)"),"",VLOOKUP($B4860,'Email Marketing Raw Data'!$C:$O,4,0)),"")</f>
        <v/>
      </c>
      <c r="H4860" s="55" t="str">
        <f>IFERROR(IF(OR($B4860="",$B4860="(blank)"),"",VLOOKUP($B4860,'Email Marketing Raw Data'!$C:$O,5,0)),"")</f>
        <v/>
      </c>
      <c r="I4860" s="55" t="str">
        <f>IFERROR(IF($G4860="","",VLOOKUP('Dashboard And Emails Automate'!$G4860,Database!$H:$N,3,0)),"")</f>
        <v/>
      </c>
      <c r="J4860" s="55" t="str">
        <f>IFERROR(IF($G4860="","",VLOOKUP('Dashboard And Emails Automate'!$G4860,Database!$H:$N,4,0)),"")</f>
        <v/>
      </c>
      <c r="K4860" s="55" t="str">
        <f>IFERROR(IF($G4860="","",VLOOKUP('Dashboard And Emails Automate'!$G4860,Database!$H:$N,5,0)),"")</f>
        <v/>
      </c>
      <c r="L4860" s="55" t="str">
        <f>IFERROR(IF($G4860="","",VLOOKUP('Dashboard And Emails Automate'!$G4860,Database!$H:$N,6,0)),"")</f>
        <v/>
      </c>
      <c r="M4860" s="55" t="str">
        <f>IFERROR(IF($G4860="","",VLOOKUP('Dashboard And Emails Automate'!$G4860,Database!$H:$N,7,0)),"")</f>
        <v/>
      </c>
      <c r="N4860" s="55" t="str">
        <f>IFERROR(IF(OR($B4860="",$B4860="(blank)"),"",VLOOKUP($B4860,'Email Marketing Raw Data'!$C:$O,6,0)),"")</f>
        <v/>
      </c>
      <c r="O4860" s="55" t="str">
        <f>IFERROR(IF(OR($B4860="",$B4860="(blank)"),"",VLOOKUP($B4860,'Email Marketing Raw Data'!$C:$O,7,0)),"")</f>
        <v/>
      </c>
      <c r="P4860" s="55" t="str">
        <f>IFERROR(IF(OR($B4860="",$B4860="(blank)"),"",VLOOKUP($B4860,'Email Marketing Raw Data'!$C:$O,8,0)),"")</f>
        <v/>
      </c>
      <c r="Q4860" s="62" t="str">
        <f>IFERROR(IF(OR($B4860="",$B4860="(blank)"),"",VLOOKUP($B4860,'Email Marketing Raw Data'!$C:$O,9,0)),"")</f>
        <v/>
      </c>
    </row>
    <row r="4861" spans="4:17" ht="12.75" customHeight="1" x14ac:dyDescent="0.2">
      <c r="D4861" s="58" t="str">
        <f>IFERROR(IF(F4861&lt;&gt;"pending","",IF(OR($B4861="",$B4861="(blank)"),"",VLOOKUP($B4861,'Email Marketing Raw Data'!$C:$O,10,0))),"")</f>
        <v/>
      </c>
      <c r="E4861" s="59" t="str">
        <f>IFERROR(IF(F4861&lt;&gt;"pending","",IF(OR($B4861="",$B4861="(blank)"),"",VLOOKUP($B4861,'Email Marketing Raw Data'!$C:$O,11,0))),"")</f>
        <v/>
      </c>
      <c r="F4861" s="54" t="str">
        <f>IFERROR(IF(OR($B4861="",$B4861="(blank)"),"",VLOOKUP($B4861,'Email Marketing Raw Data'!$C:$O,13,0)),"")</f>
        <v/>
      </c>
      <c r="G4861" s="55" t="str">
        <f>IFERROR(IF(OR($B4861="",$B4861="(blank)"),"",VLOOKUP($B4861,'Email Marketing Raw Data'!$C:$O,4,0)),"")</f>
        <v/>
      </c>
      <c r="H4861" s="55" t="str">
        <f>IFERROR(IF(OR($B4861="",$B4861="(blank)"),"",VLOOKUP($B4861,'Email Marketing Raw Data'!$C:$O,5,0)),"")</f>
        <v/>
      </c>
      <c r="I4861" s="55" t="str">
        <f>IFERROR(IF($G4861="","",VLOOKUP('Dashboard And Emails Automate'!$G4861,Database!$H:$N,3,0)),"")</f>
        <v/>
      </c>
      <c r="J4861" s="55" t="str">
        <f>IFERROR(IF($G4861="","",VLOOKUP('Dashboard And Emails Automate'!$G4861,Database!$H:$N,4,0)),"")</f>
        <v/>
      </c>
      <c r="K4861" s="55" t="str">
        <f>IFERROR(IF($G4861="","",VLOOKUP('Dashboard And Emails Automate'!$G4861,Database!$H:$N,5,0)),"")</f>
        <v/>
      </c>
      <c r="L4861" s="55" t="str">
        <f>IFERROR(IF($G4861="","",VLOOKUP('Dashboard And Emails Automate'!$G4861,Database!$H:$N,6,0)),"")</f>
        <v/>
      </c>
      <c r="M4861" s="55" t="str">
        <f>IFERROR(IF($G4861="","",VLOOKUP('Dashboard And Emails Automate'!$G4861,Database!$H:$N,7,0)),"")</f>
        <v/>
      </c>
      <c r="N4861" s="55" t="str">
        <f>IFERROR(IF(OR($B4861="",$B4861="(blank)"),"",VLOOKUP($B4861,'Email Marketing Raw Data'!$C:$O,6,0)),"")</f>
        <v/>
      </c>
      <c r="O4861" s="55" t="str">
        <f>IFERROR(IF(OR($B4861="",$B4861="(blank)"),"",VLOOKUP($B4861,'Email Marketing Raw Data'!$C:$O,7,0)),"")</f>
        <v/>
      </c>
      <c r="P4861" s="55" t="str">
        <f>IFERROR(IF(OR($B4861="",$B4861="(blank)"),"",VLOOKUP($B4861,'Email Marketing Raw Data'!$C:$O,8,0)),"")</f>
        <v/>
      </c>
      <c r="Q4861" s="62" t="str">
        <f>IFERROR(IF(OR($B4861="",$B4861="(blank)"),"",VLOOKUP($B4861,'Email Marketing Raw Data'!$C:$O,9,0)),"")</f>
        <v/>
      </c>
    </row>
    <row r="4862" spans="4:17" ht="12.75" customHeight="1" x14ac:dyDescent="0.2">
      <c r="D4862" s="58" t="str">
        <f>IFERROR(IF(F4862&lt;&gt;"pending","",IF(OR($B4862="",$B4862="(blank)"),"",VLOOKUP($B4862,'Email Marketing Raw Data'!$C:$O,10,0))),"")</f>
        <v/>
      </c>
      <c r="E4862" s="59" t="str">
        <f>IFERROR(IF(F4862&lt;&gt;"pending","",IF(OR($B4862="",$B4862="(blank)"),"",VLOOKUP($B4862,'Email Marketing Raw Data'!$C:$O,11,0))),"")</f>
        <v/>
      </c>
      <c r="F4862" s="54" t="str">
        <f>IFERROR(IF(OR($B4862="",$B4862="(blank)"),"",VLOOKUP($B4862,'Email Marketing Raw Data'!$C:$O,13,0)),"")</f>
        <v/>
      </c>
      <c r="G4862" s="55" t="str">
        <f>IFERROR(IF(OR($B4862="",$B4862="(blank)"),"",VLOOKUP($B4862,'Email Marketing Raw Data'!$C:$O,4,0)),"")</f>
        <v/>
      </c>
      <c r="H4862" s="55" t="str">
        <f>IFERROR(IF(OR($B4862="",$B4862="(blank)"),"",VLOOKUP($B4862,'Email Marketing Raw Data'!$C:$O,5,0)),"")</f>
        <v/>
      </c>
      <c r="I4862" s="55" t="str">
        <f>IFERROR(IF($G4862="","",VLOOKUP('Dashboard And Emails Automate'!$G4862,Database!$H:$N,3,0)),"")</f>
        <v/>
      </c>
      <c r="J4862" s="55" t="str">
        <f>IFERROR(IF($G4862="","",VLOOKUP('Dashboard And Emails Automate'!$G4862,Database!$H:$N,4,0)),"")</f>
        <v/>
      </c>
      <c r="K4862" s="55" t="str">
        <f>IFERROR(IF($G4862="","",VLOOKUP('Dashboard And Emails Automate'!$G4862,Database!$H:$N,5,0)),"")</f>
        <v/>
      </c>
      <c r="L4862" s="55" t="str">
        <f>IFERROR(IF($G4862="","",VLOOKUP('Dashboard And Emails Automate'!$G4862,Database!$H:$N,6,0)),"")</f>
        <v/>
      </c>
      <c r="M4862" s="55" t="str">
        <f>IFERROR(IF($G4862="","",VLOOKUP('Dashboard And Emails Automate'!$G4862,Database!$H:$N,7,0)),"")</f>
        <v/>
      </c>
      <c r="N4862" s="55" t="str">
        <f>IFERROR(IF(OR($B4862="",$B4862="(blank)"),"",VLOOKUP($B4862,'Email Marketing Raw Data'!$C:$O,6,0)),"")</f>
        <v/>
      </c>
      <c r="O4862" s="55" t="str">
        <f>IFERROR(IF(OR($B4862="",$B4862="(blank)"),"",VLOOKUP($B4862,'Email Marketing Raw Data'!$C:$O,7,0)),"")</f>
        <v/>
      </c>
      <c r="P4862" s="55" t="str">
        <f>IFERROR(IF(OR($B4862="",$B4862="(blank)"),"",VLOOKUP($B4862,'Email Marketing Raw Data'!$C:$O,8,0)),"")</f>
        <v/>
      </c>
      <c r="Q4862" s="62" t="str">
        <f>IFERROR(IF(OR($B4862="",$B4862="(blank)"),"",VLOOKUP($B4862,'Email Marketing Raw Data'!$C:$O,9,0)),"")</f>
        <v/>
      </c>
    </row>
    <row r="4863" spans="4:17" ht="12.75" customHeight="1" x14ac:dyDescent="0.2">
      <c r="D4863" s="58" t="str">
        <f>IFERROR(IF(F4863&lt;&gt;"pending","",IF(OR($B4863="",$B4863="(blank)"),"",VLOOKUP($B4863,'Email Marketing Raw Data'!$C:$O,10,0))),"")</f>
        <v/>
      </c>
      <c r="E4863" s="59" t="str">
        <f>IFERROR(IF(F4863&lt;&gt;"pending","",IF(OR($B4863="",$B4863="(blank)"),"",VLOOKUP($B4863,'Email Marketing Raw Data'!$C:$O,11,0))),"")</f>
        <v/>
      </c>
      <c r="F4863" s="54" t="str">
        <f>IFERROR(IF(OR($B4863="",$B4863="(blank)"),"",VLOOKUP($B4863,'Email Marketing Raw Data'!$C:$O,13,0)),"")</f>
        <v/>
      </c>
      <c r="G4863" s="55" t="str">
        <f>IFERROR(IF(OR($B4863="",$B4863="(blank)"),"",VLOOKUP($B4863,'Email Marketing Raw Data'!$C:$O,4,0)),"")</f>
        <v/>
      </c>
      <c r="H4863" s="55" t="str">
        <f>IFERROR(IF(OR($B4863="",$B4863="(blank)"),"",VLOOKUP($B4863,'Email Marketing Raw Data'!$C:$O,5,0)),"")</f>
        <v/>
      </c>
      <c r="I4863" s="55" t="str">
        <f>IFERROR(IF($G4863="","",VLOOKUP('Dashboard And Emails Automate'!$G4863,Database!$H:$N,3,0)),"")</f>
        <v/>
      </c>
      <c r="J4863" s="55" t="str">
        <f>IFERROR(IF($G4863="","",VLOOKUP('Dashboard And Emails Automate'!$G4863,Database!$H:$N,4,0)),"")</f>
        <v/>
      </c>
      <c r="K4863" s="55" t="str">
        <f>IFERROR(IF($G4863="","",VLOOKUP('Dashboard And Emails Automate'!$G4863,Database!$H:$N,5,0)),"")</f>
        <v/>
      </c>
      <c r="L4863" s="55" t="str">
        <f>IFERROR(IF($G4863="","",VLOOKUP('Dashboard And Emails Automate'!$G4863,Database!$H:$N,6,0)),"")</f>
        <v/>
      </c>
      <c r="M4863" s="55" t="str">
        <f>IFERROR(IF($G4863="","",VLOOKUP('Dashboard And Emails Automate'!$G4863,Database!$H:$N,7,0)),"")</f>
        <v/>
      </c>
      <c r="N4863" s="55" t="str">
        <f>IFERROR(IF(OR($B4863="",$B4863="(blank)"),"",VLOOKUP($B4863,'Email Marketing Raw Data'!$C:$O,6,0)),"")</f>
        <v/>
      </c>
      <c r="O4863" s="55" t="str">
        <f>IFERROR(IF(OR($B4863="",$B4863="(blank)"),"",VLOOKUP($B4863,'Email Marketing Raw Data'!$C:$O,7,0)),"")</f>
        <v/>
      </c>
      <c r="P4863" s="55" t="str">
        <f>IFERROR(IF(OR($B4863="",$B4863="(blank)"),"",VLOOKUP($B4863,'Email Marketing Raw Data'!$C:$O,8,0)),"")</f>
        <v/>
      </c>
      <c r="Q4863" s="62" t="str">
        <f>IFERROR(IF(OR($B4863="",$B4863="(blank)"),"",VLOOKUP($B4863,'Email Marketing Raw Data'!$C:$O,9,0)),"")</f>
        <v/>
      </c>
    </row>
    <row r="4864" spans="4:17" ht="12.75" customHeight="1" x14ac:dyDescent="0.2">
      <c r="D4864" s="58" t="str">
        <f>IFERROR(IF(F4864&lt;&gt;"pending","",IF(OR($B4864="",$B4864="(blank)"),"",VLOOKUP($B4864,'Email Marketing Raw Data'!$C:$O,10,0))),"")</f>
        <v/>
      </c>
      <c r="E4864" s="59" t="str">
        <f>IFERROR(IF(F4864&lt;&gt;"pending","",IF(OR($B4864="",$B4864="(blank)"),"",VLOOKUP($B4864,'Email Marketing Raw Data'!$C:$O,11,0))),"")</f>
        <v/>
      </c>
      <c r="F4864" s="54" t="str">
        <f>IFERROR(IF(OR($B4864="",$B4864="(blank)"),"",VLOOKUP($B4864,'Email Marketing Raw Data'!$C:$O,13,0)),"")</f>
        <v/>
      </c>
      <c r="G4864" s="55" t="str">
        <f>IFERROR(IF(OR($B4864="",$B4864="(blank)"),"",VLOOKUP($B4864,'Email Marketing Raw Data'!$C:$O,4,0)),"")</f>
        <v/>
      </c>
      <c r="H4864" s="55" t="str">
        <f>IFERROR(IF(OR($B4864="",$B4864="(blank)"),"",VLOOKUP($B4864,'Email Marketing Raw Data'!$C:$O,5,0)),"")</f>
        <v/>
      </c>
      <c r="I4864" s="55" t="str">
        <f>IFERROR(IF($G4864="","",VLOOKUP('Dashboard And Emails Automate'!$G4864,Database!$H:$N,3,0)),"")</f>
        <v/>
      </c>
      <c r="J4864" s="55" t="str">
        <f>IFERROR(IF($G4864="","",VLOOKUP('Dashboard And Emails Automate'!$G4864,Database!$H:$N,4,0)),"")</f>
        <v/>
      </c>
      <c r="K4864" s="55" t="str">
        <f>IFERROR(IF($G4864="","",VLOOKUP('Dashboard And Emails Automate'!$G4864,Database!$H:$N,5,0)),"")</f>
        <v/>
      </c>
      <c r="L4864" s="55" t="str">
        <f>IFERROR(IF($G4864="","",VLOOKUP('Dashboard And Emails Automate'!$G4864,Database!$H:$N,6,0)),"")</f>
        <v/>
      </c>
      <c r="M4864" s="55" t="str">
        <f>IFERROR(IF($G4864="","",VLOOKUP('Dashboard And Emails Automate'!$G4864,Database!$H:$N,7,0)),"")</f>
        <v/>
      </c>
      <c r="N4864" s="55" t="str">
        <f>IFERROR(IF(OR($B4864="",$B4864="(blank)"),"",VLOOKUP($B4864,'Email Marketing Raw Data'!$C:$O,6,0)),"")</f>
        <v/>
      </c>
      <c r="O4864" s="55" t="str">
        <f>IFERROR(IF(OR($B4864="",$B4864="(blank)"),"",VLOOKUP($B4864,'Email Marketing Raw Data'!$C:$O,7,0)),"")</f>
        <v/>
      </c>
      <c r="P4864" s="55" t="str">
        <f>IFERROR(IF(OR($B4864="",$B4864="(blank)"),"",VLOOKUP($B4864,'Email Marketing Raw Data'!$C:$O,8,0)),"")</f>
        <v/>
      </c>
      <c r="Q4864" s="62" t="str">
        <f>IFERROR(IF(OR($B4864="",$B4864="(blank)"),"",VLOOKUP($B4864,'Email Marketing Raw Data'!$C:$O,9,0)),"")</f>
        <v/>
      </c>
    </row>
    <row r="4865" spans="4:17" ht="12.75" customHeight="1" x14ac:dyDescent="0.2">
      <c r="D4865" s="58" t="str">
        <f>IFERROR(IF(F4865&lt;&gt;"pending","",IF(OR($B4865="",$B4865="(blank)"),"",VLOOKUP($B4865,'Email Marketing Raw Data'!$C:$O,10,0))),"")</f>
        <v/>
      </c>
      <c r="E4865" s="59" t="str">
        <f>IFERROR(IF(F4865&lt;&gt;"pending","",IF(OR($B4865="",$B4865="(blank)"),"",VLOOKUP($B4865,'Email Marketing Raw Data'!$C:$O,11,0))),"")</f>
        <v/>
      </c>
      <c r="F4865" s="54" t="str">
        <f>IFERROR(IF(OR($B4865="",$B4865="(blank)"),"",VLOOKUP($B4865,'Email Marketing Raw Data'!$C:$O,13,0)),"")</f>
        <v/>
      </c>
      <c r="G4865" s="55" t="str">
        <f>IFERROR(IF(OR($B4865="",$B4865="(blank)"),"",VLOOKUP($B4865,'Email Marketing Raw Data'!$C:$O,4,0)),"")</f>
        <v/>
      </c>
      <c r="H4865" s="55" t="str">
        <f>IFERROR(IF(OR($B4865="",$B4865="(blank)"),"",VLOOKUP($B4865,'Email Marketing Raw Data'!$C:$O,5,0)),"")</f>
        <v/>
      </c>
      <c r="I4865" s="55" t="str">
        <f>IFERROR(IF($G4865="","",VLOOKUP('Dashboard And Emails Automate'!$G4865,Database!$H:$N,3,0)),"")</f>
        <v/>
      </c>
      <c r="J4865" s="55" t="str">
        <f>IFERROR(IF($G4865="","",VLOOKUP('Dashboard And Emails Automate'!$G4865,Database!$H:$N,4,0)),"")</f>
        <v/>
      </c>
      <c r="K4865" s="55" t="str">
        <f>IFERROR(IF($G4865="","",VLOOKUP('Dashboard And Emails Automate'!$G4865,Database!$H:$N,5,0)),"")</f>
        <v/>
      </c>
      <c r="L4865" s="55" t="str">
        <f>IFERROR(IF($G4865="","",VLOOKUP('Dashboard And Emails Automate'!$G4865,Database!$H:$N,6,0)),"")</f>
        <v/>
      </c>
      <c r="M4865" s="55" t="str">
        <f>IFERROR(IF($G4865="","",VLOOKUP('Dashboard And Emails Automate'!$G4865,Database!$H:$N,7,0)),"")</f>
        <v/>
      </c>
      <c r="N4865" s="55" t="str">
        <f>IFERROR(IF(OR($B4865="",$B4865="(blank)"),"",VLOOKUP($B4865,'Email Marketing Raw Data'!$C:$O,6,0)),"")</f>
        <v/>
      </c>
      <c r="O4865" s="55" t="str">
        <f>IFERROR(IF(OR($B4865="",$B4865="(blank)"),"",VLOOKUP($B4865,'Email Marketing Raw Data'!$C:$O,7,0)),"")</f>
        <v/>
      </c>
      <c r="P4865" s="55" t="str">
        <f>IFERROR(IF(OR($B4865="",$B4865="(blank)"),"",VLOOKUP($B4865,'Email Marketing Raw Data'!$C:$O,8,0)),"")</f>
        <v/>
      </c>
      <c r="Q4865" s="62" t="str">
        <f>IFERROR(IF(OR($B4865="",$B4865="(blank)"),"",VLOOKUP($B4865,'Email Marketing Raw Data'!$C:$O,9,0)),"")</f>
        <v/>
      </c>
    </row>
    <row r="4866" spans="4:17" ht="12.75" customHeight="1" x14ac:dyDescent="0.2">
      <c r="D4866" s="58" t="str">
        <f>IFERROR(IF(F4866&lt;&gt;"pending","",IF(OR($B4866="",$B4866="(blank)"),"",VLOOKUP($B4866,'Email Marketing Raw Data'!$C:$O,10,0))),"")</f>
        <v/>
      </c>
      <c r="E4866" s="59" t="str">
        <f>IFERROR(IF(F4866&lt;&gt;"pending","",IF(OR($B4866="",$B4866="(blank)"),"",VLOOKUP($B4866,'Email Marketing Raw Data'!$C:$O,11,0))),"")</f>
        <v/>
      </c>
      <c r="F4866" s="54" t="str">
        <f>IFERROR(IF(OR($B4866="",$B4866="(blank)"),"",VLOOKUP($B4866,'Email Marketing Raw Data'!$C:$O,13,0)),"")</f>
        <v/>
      </c>
      <c r="G4866" s="55" t="str">
        <f>IFERROR(IF(OR($B4866="",$B4866="(blank)"),"",VLOOKUP($B4866,'Email Marketing Raw Data'!$C:$O,4,0)),"")</f>
        <v/>
      </c>
      <c r="H4866" s="55" t="str">
        <f>IFERROR(IF(OR($B4866="",$B4866="(blank)"),"",VLOOKUP($B4866,'Email Marketing Raw Data'!$C:$O,5,0)),"")</f>
        <v/>
      </c>
      <c r="I4866" s="55" t="str">
        <f>IFERROR(IF($G4866="","",VLOOKUP('Dashboard And Emails Automate'!$G4866,Database!$H:$N,3,0)),"")</f>
        <v/>
      </c>
      <c r="J4866" s="55" t="str">
        <f>IFERROR(IF($G4866="","",VLOOKUP('Dashboard And Emails Automate'!$G4866,Database!$H:$N,4,0)),"")</f>
        <v/>
      </c>
      <c r="K4866" s="55" t="str">
        <f>IFERROR(IF($G4866="","",VLOOKUP('Dashboard And Emails Automate'!$G4866,Database!$H:$N,5,0)),"")</f>
        <v/>
      </c>
      <c r="L4866" s="55" t="str">
        <f>IFERROR(IF($G4866="","",VLOOKUP('Dashboard And Emails Automate'!$G4866,Database!$H:$N,6,0)),"")</f>
        <v/>
      </c>
      <c r="M4866" s="55" t="str">
        <f>IFERROR(IF($G4866="","",VLOOKUP('Dashboard And Emails Automate'!$G4866,Database!$H:$N,7,0)),"")</f>
        <v/>
      </c>
      <c r="N4866" s="55" t="str">
        <f>IFERROR(IF(OR($B4866="",$B4866="(blank)"),"",VLOOKUP($B4866,'Email Marketing Raw Data'!$C:$O,6,0)),"")</f>
        <v/>
      </c>
      <c r="O4866" s="55" t="str">
        <f>IFERROR(IF(OR($B4866="",$B4866="(blank)"),"",VLOOKUP($B4866,'Email Marketing Raw Data'!$C:$O,7,0)),"")</f>
        <v/>
      </c>
      <c r="P4866" s="55" t="str">
        <f>IFERROR(IF(OR($B4866="",$B4866="(blank)"),"",VLOOKUP($B4866,'Email Marketing Raw Data'!$C:$O,8,0)),"")</f>
        <v/>
      </c>
      <c r="Q4866" s="62" t="str">
        <f>IFERROR(IF(OR($B4866="",$B4866="(blank)"),"",VLOOKUP($B4866,'Email Marketing Raw Data'!$C:$O,9,0)),"")</f>
        <v/>
      </c>
    </row>
    <row r="4867" spans="4:17" ht="12.75" customHeight="1" x14ac:dyDescent="0.2">
      <c r="D4867" s="58" t="str">
        <f>IFERROR(IF(F4867&lt;&gt;"pending","",IF(OR($B4867="",$B4867="(blank)"),"",VLOOKUP($B4867,'Email Marketing Raw Data'!$C:$O,10,0))),"")</f>
        <v/>
      </c>
      <c r="E4867" s="59" t="str">
        <f>IFERROR(IF(F4867&lt;&gt;"pending","",IF(OR($B4867="",$B4867="(blank)"),"",VLOOKUP($B4867,'Email Marketing Raw Data'!$C:$O,11,0))),"")</f>
        <v/>
      </c>
      <c r="F4867" s="54" t="str">
        <f>IFERROR(IF(OR($B4867="",$B4867="(blank)"),"",VLOOKUP($B4867,'Email Marketing Raw Data'!$C:$O,13,0)),"")</f>
        <v/>
      </c>
      <c r="G4867" s="55" t="str">
        <f>IFERROR(IF(OR($B4867="",$B4867="(blank)"),"",VLOOKUP($B4867,'Email Marketing Raw Data'!$C:$O,4,0)),"")</f>
        <v/>
      </c>
      <c r="H4867" s="55" t="str">
        <f>IFERROR(IF(OR($B4867="",$B4867="(blank)"),"",VLOOKUP($B4867,'Email Marketing Raw Data'!$C:$O,5,0)),"")</f>
        <v/>
      </c>
      <c r="I4867" s="55" t="str">
        <f>IFERROR(IF($G4867="","",VLOOKUP('Dashboard And Emails Automate'!$G4867,Database!$H:$N,3,0)),"")</f>
        <v/>
      </c>
      <c r="J4867" s="55" t="str">
        <f>IFERROR(IF($G4867="","",VLOOKUP('Dashboard And Emails Automate'!$G4867,Database!$H:$N,4,0)),"")</f>
        <v/>
      </c>
      <c r="K4867" s="55" t="str">
        <f>IFERROR(IF($G4867="","",VLOOKUP('Dashboard And Emails Automate'!$G4867,Database!$H:$N,5,0)),"")</f>
        <v/>
      </c>
      <c r="L4867" s="55" t="str">
        <f>IFERROR(IF($G4867="","",VLOOKUP('Dashboard And Emails Automate'!$G4867,Database!$H:$N,6,0)),"")</f>
        <v/>
      </c>
      <c r="M4867" s="55" t="str">
        <f>IFERROR(IF($G4867="","",VLOOKUP('Dashboard And Emails Automate'!$G4867,Database!$H:$N,7,0)),"")</f>
        <v/>
      </c>
      <c r="N4867" s="55" t="str">
        <f>IFERROR(IF(OR($B4867="",$B4867="(blank)"),"",VLOOKUP($B4867,'Email Marketing Raw Data'!$C:$O,6,0)),"")</f>
        <v/>
      </c>
      <c r="O4867" s="55" t="str">
        <f>IFERROR(IF(OR($B4867="",$B4867="(blank)"),"",VLOOKUP($B4867,'Email Marketing Raw Data'!$C:$O,7,0)),"")</f>
        <v/>
      </c>
      <c r="P4867" s="55" t="str">
        <f>IFERROR(IF(OR($B4867="",$B4867="(blank)"),"",VLOOKUP($B4867,'Email Marketing Raw Data'!$C:$O,8,0)),"")</f>
        <v/>
      </c>
      <c r="Q4867" s="62" t="str">
        <f>IFERROR(IF(OR($B4867="",$B4867="(blank)"),"",VLOOKUP($B4867,'Email Marketing Raw Data'!$C:$O,9,0)),"")</f>
        <v/>
      </c>
    </row>
    <row r="4868" spans="4:17" ht="12.75" customHeight="1" x14ac:dyDescent="0.2">
      <c r="D4868" s="58" t="str">
        <f>IFERROR(IF(F4868&lt;&gt;"pending","",IF(OR($B4868="",$B4868="(blank)"),"",VLOOKUP($B4868,'Email Marketing Raw Data'!$C:$O,10,0))),"")</f>
        <v/>
      </c>
      <c r="E4868" s="59" t="str">
        <f>IFERROR(IF(F4868&lt;&gt;"pending","",IF(OR($B4868="",$B4868="(blank)"),"",VLOOKUP($B4868,'Email Marketing Raw Data'!$C:$O,11,0))),"")</f>
        <v/>
      </c>
      <c r="F4868" s="54" t="str">
        <f>IFERROR(IF(OR($B4868="",$B4868="(blank)"),"",VLOOKUP($B4868,'Email Marketing Raw Data'!$C:$O,13,0)),"")</f>
        <v/>
      </c>
      <c r="G4868" s="55" t="str">
        <f>IFERROR(IF(OR($B4868="",$B4868="(blank)"),"",VLOOKUP($B4868,'Email Marketing Raw Data'!$C:$O,4,0)),"")</f>
        <v/>
      </c>
      <c r="H4868" s="55" t="str">
        <f>IFERROR(IF(OR($B4868="",$B4868="(blank)"),"",VLOOKUP($B4868,'Email Marketing Raw Data'!$C:$O,5,0)),"")</f>
        <v/>
      </c>
      <c r="I4868" s="55" t="str">
        <f>IFERROR(IF($G4868="","",VLOOKUP('Dashboard And Emails Automate'!$G4868,Database!$H:$N,3,0)),"")</f>
        <v/>
      </c>
      <c r="J4868" s="55" t="str">
        <f>IFERROR(IF($G4868="","",VLOOKUP('Dashboard And Emails Automate'!$G4868,Database!$H:$N,4,0)),"")</f>
        <v/>
      </c>
      <c r="K4868" s="55" t="str">
        <f>IFERROR(IF($G4868="","",VLOOKUP('Dashboard And Emails Automate'!$G4868,Database!$H:$N,5,0)),"")</f>
        <v/>
      </c>
      <c r="L4868" s="55" t="str">
        <f>IFERROR(IF($G4868="","",VLOOKUP('Dashboard And Emails Automate'!$G4868,Database!$H:$N,6,0)),"")</f>
        <v/>
      </c>
      <c r="M4868" s="55" t="str">
        <f>IFERROR(IF($G4868="","",VLOOKUP('Dashboard And Emails Automate'!$G4868,Database!$H:$N,7,0)),"")</f>
        <v/>
      </c>
      <c r="N4868" s="55" t="str">
        <f>IFERROR(IF(OR($B4868="",$B4868="(blank)"),"",VLOOKUP($B4868,'Email Marketing Raw Data'!$C:$O,6,0)),"")</f>
        <v/>
      </c>
      <c r="O4868" s="55" t="str">
        <f>IFERROR(IF(OR($B4868="",$B4868="(blank)"),"",VLOOKUP($B4868,'Email Marketing Raw Data'!$C:$O,7,0)),"")</f>
        <v/>
      </c>
      <c r="P4868" s="55" t="str">
        <f>IFERROR(IF(OR($B4868="",$B4868="(blank)"),"",VLOOKUP($B4868,'Email Marketing Raw Data'!$C:$O,8,0)),"")</f>
        <v/>
      </c>
      <c r="Q4868" s="62" t="str">
        <f>IFERROR(IF(OR($B4868="",$B4868="(blank)"),"",VLOOKUP($B4868,'Email Marketing Raw Data'!$C:$O,9,0)),"")</f>
        <v/>
      </c>
    </row>
    <row r="4869" spans="4:17" ht="12.75" customHeight="1" x14ac:dyDescent="0.2">
      <c r="D4869" s="58" t="str">
        <f>IFERROR(IF(F4869&lt;&gt;"pending","",IF(OR($B4869="",$B4869="(blank)"),"",VLOOKUP($B4869,'Email Marketing Raw Data'!$C:$O,10,0))),"")</f>
        <v/>
      </c>
      <c r="E4869" s="59" t="str">
        <f>IFERROR(IF(F4869&lt;&gt;"pending","",IF(OR($B4869="",$B4869="(blank)"),"",VLOOKUP($B4869,'Email Marketing Raw Data'!$C:$O,11,0))),"")</f>
        <v/>
      </c>
      <c r="F4869" s="54" t="str">
        <f>IFERROR(IF(OR($B4869="",$B4869="(blank)"),"",VLOOKUP($B4869,'Email Marketing Raw Data'!$C:$O,13,0)),"")</f>
        <v/>
      </c>
      <c r="G4869" s="55" t="str">
        <f>IFERROR(IF(OR($B4869="",$B4869="(blank)"),"",VLOOKUP($B4869,'Email Marketing Raw Data'!$C:$O,4,0)),"")</f>
        <v/>
      </c>
      <c r="H4869" s="55" t="str">
        <f>IFERROR(IF(OR($B4869="",$B4869="(blank)"),"",VLOOKUP($B4869,'Email Marketing Raw Data'!$C:$O,5,0)),"")</f>
        <v/>
      </c>
      <c r="I4869" s="55" t="str">
        <f>IFERROR(IF($G4869="","",VLOOKUP('Dashboard And Emails Automate'!$G4869,Database!$H:$N,3,0)),"")</f>
        <v/>
      </c>
      <c r="J4869" s="55" t="str">
        <f>IFERROR(IF($G4869="","",VLOOKUP('Dashboard And Emails Automate'!$G4869,Database!$H:$N,4,0)),"")</f>
        <v/>
      </c>
      <c r="K4869" s="55" t="str">
        <f>IFERROR(IF($G4869="","",VLOOKUP('Dashboard And Emails Automate'!$G4869,Database!$H:$N,5,0)),"")</f>
        <v/>
      </c>
      <c r="L4869" s="55" t="str">
        <f>IFERROR(IF($G4869="","",VLOOKUP('Dashboard And Emails Automate'!$G4869,Database!$H:$N,6,0)),"")</f>
        <v/>
      </c>
      <c r="M4869" s="55" t="str">
        <f>IFERROR(IF($G4869="","",VLOOKUP('Dashboard And Emails Automate'!$G4869,Database!$H:$N,7,0)),"")</f>
        <v/>
      </c>
      <c r="N4869" s="55" t="str">
        <f>IFERROR(IF(OR($B4869="",$B4869="(blank)"),"",VLOOKUP($B4869,'Email Marketing Raw Data'!$C:$O,6,0)),"")</f>
        <v/>
      </c>
      <c r="O4869" s="55" t="str">
        <f>IFERROR(IF(OR($B4869="",$B4869="(blank)"),"",VLOOKUP($B4869,'Email Marketing Raw Data'!$C:$O,7,0)),"")</f>
        <v/>
      </c>
      <c r="P4869" s="55" t="str">
        <f>IFERROR(IF(OR($B4869="",$B4869="(blank)"),"",VLOOKUP($B4869,'Email Marketing Raw Data'!$C:$O,8,0)),"")</f>
        <v/>
      </c>
      <c r="Q4869" s="62" t="str">
        <f>IFERROR(IF(OR($B4869="",$B4869="(blank)"),"",VLOOKUP($B4869,'Email Marketing Raw Data'!$C:$O,9,0)),"")</f>
        <v/>
      </c>
    </row>
    <row r="4870" spans="4:17" ht="12.75" customHeight="1" x14ac:dyDescent="0.2">
      <c r="D4870" s="58" t="str">
        <f>IFERROR(IF(F4870&lt;&gt;"pending","",IF(OR($B4870="",$B4870="(blank)"),"",VLOOKUP($B4870,'Email Marketing Raw Data'!$C:$O,10,0))),"")</f>
        <v/>
      </c>
      <c r="E4870" s="59" t="str">
        <f>IFERROR(IF(F4870&lt;&gt;"pending","",IF(OR($B4870="",$B4870="(blank)"),"",VLOOKUP($B4870,'Email Marketing Raw Data'!$C:$O,11,0))),"")</f>
        <v/>
      </c>
      <c r="F4870" s="54" t="str">
        <f>IFERROR(IF(OR($B4870="",$B4870="(blank)"),"",VLOOKUP($B4870,'Email Marketing Raw Data'!$C:$O,13,0)),"")</f>
        <v/>
      </c>
      <c r="G4870" s="55" t="str">
        <f>IFERROR(IF(OR($B4870="",$B4870="(blank)"),"",VLOOKUP($B4870,'Email Marketing Raw Data'!$C:$O,4,0)),"")</f>
        <v/>
      </c>
      <c r="H4870" s="55" t="str">
        <f>IFERROR(IF(OR($B4870="",$B4870="(blank)"),"",VLOOKUP($B4870,'Email Marketing Raw Data'!$C:$O,5,0)),"")</f>
        <v/>
      </c>
      <c r="I4870" s="55" t="str">
        <f>IFERROR(IF($G4870="","",VLOOKUP('Dashboard And Emails Automate'!$G4870,Database!$H:$N,3,0)),"")</f>
        <v/>
      </c>
      <c r="J4870" s="55" t="str">
        <f>IFERROR(IF($G4870="","",VLOOKUP('Dashboard And Emails Automate'!$G4870,Database!$H:$N,4,0)),"")</f>
        <v/>
      </c>
      <c r="K4870" s="55" t="str">
        <f>IFERROR(IF($G4870="","",VLOOKUP('Dashboard And Emails Automate'!$G4870,Database!$H:$N,5,0)),"")</f>
        <v/>
      </c>
      <c r="L4870" s="55" t="str">
        <f>IFERROR(IF($G4870="","",VLOOKUP('Dashboard And Emails Automate'!$G4870,Database!$H:$N,6,0)),"")</f>
        <v/>
      </c>
      <c r="M4870" s="55" t="str">
        <f>IFERROR(IF($G4870="","",VLOOKUP('Dashboard And Emails Automate'!$G4870,Database!$H:$N,7,0)),"")</f>
        <v/>
      </c>
      <c r="N4870" s="55" t="str">
        <f>IFERROR(IF(OR($B4870="",$B4870="(blank)"),"",VLOOKUP($B4870,'Email Marketing Raw Data'!$C:$O,6,0)),"")</f>
        <v/>
      </c>
      <c r="O4870" s="55" t="str">
        <f>IFERROR(IF(OR($B4870="",$B4870="(blank)"),"",VLOOKUP($B4870,'Email Marketing Raw Data'!$C:$O,7,0)),"")</f>
        <v/>
      </c>
      <c r="P4870" s="55" t="str">
        <f>IFERROR(IF(OR($B4870="",$B4870="(blank)"),"",VLOOKUP($B4870,'Email Marketing Raw Data'!$C:$O,8,0)),"")</f>
        <v/>
      </c>
      <c r="Q4870" s="62" t="str">
        <f>IFERROR(IF(OR($B4870="",$B4870="(blank)"),"",VLOOKUP($B4870,'Email Marketing Raw Data'!$C:$O,9,0)),"")</f>
        <v/>
      </c>
    </row>
    <row r="4871" spans="4:17" ht="12.75" customHeight="1" x14ac:dyDescent="0.2">
      <c r="D4871" s="58" t="str">
        <f>IFERROR(IF(F4871&lt;&gt;"pending","",IF(OR($B4871="",$B4871="(blank)"),"",VLOOKUP($B4871,'Email Marketing Raw Data'!$C:$O,10,0))),"")</f>
        <v/>
      </c>
      <c r="E4871" s="59" t="str">
        <f>IFERROR(IF(F4871&lt;&gt;"pending","",IF(OR($B4871="",$B4871="(blank)"),"",VLOOKUP($B4871,'Email Marketing Raw Data'!$C:$O,11,0))),"")</f>
        <v/>
      </c>
      <c r="F4871" s="54" t="str">
        <f>IFERROR(IF(OR($B4871="",$B4871="(blank)"),"",VLOOKUP($B4871,'Email Marketing Raw Data'!$C:$O,13,0)),"")</f>
        <v/>
      </c>
      <c r="G4871" s="55" t="str">
        <f>IFERROR(IF(OR($B4871="",$B4871="(blank)"),"",VLOOKUP($B4871,'Email Marketing Raw Data'!$C:$O,4,0)),"")</f>
        <v/>
      </c>
      <c r="H4871" s="55" t="str">
        <f>IFERROR(IF(OR($B4871="",$B4871="(blank)"),"",VLOOKUP($B4871,'Email Marketing Raw Data'!$C:$O,5,0)),"")</f>
        <v/>
      </c>
      <c r="I4871" s="55" t="str">
        <f>IFERROR(IF($G4871="","",VLOOKUP('Dashboard And Emails Automate'!$G4871,Database!$H:$N,3,0)),"")</f>
        <v/>
      </c>
      <c r="J4871" s="55" t="str">
        <f>IFERROR(IF($G4871="","",VLOOKUP('Dashboard And Emails Automate'!$G4871,Database!$H:$N,4,0)),"")</f>
        <v/>
      </c>
      <c r="K4871" s="55" t="str">
        <f>IFERROR(IF($G4871="","",VLOOKUP('Dashboard And Emails Automate'!$G4871,Database!$H:$N,5,0)),"")</f>
        <v/>
      </c>
      <c r="L4871" s="55" t="str">
        <f>IFERROR(IF($G4871="","",VLOOKUP('Dashboard And Emails Automate'!$G4871,Database!$H:$N,6,0)),"")</f>
        <v/>
      </c>
      <c r="M4871" s="55" t="str">
        <f>IFERROR(IF($G4871="","",VLOOKUP('Dashboard And Emails Automate'!$G4871,Database!$H:$N,7,0)),"")</f>
        <v/>
      </c>
      <c r="N4871" s="55" t="str">
        <f>IFERROR(IF(OR($B4871="",$B4871="(blank)"),"",VLOOKUP($B4871,'Email Marketing Raw Data'!$C:$O,6,0)),"")</f>
        <v/>
      </c>
      <c r="O4871" s="55" t="str">
        <f>IFERROR(IF(OR($B4871="",$B4871="(blank)"),"",VLOOKUP($B4871,'Email Marketing Raw Data'!$C:$O,7,0)),"")</f>
        <v/>
      </c>
      <c r="P4871" s="55" t="str">
        <f>IFERROR(IF(OR($B4871="",$B4871="(blank)"),"",VLOOKUP($B4871,'Email Marketing Raw Data'!$C:$O,8,0)),"")</f>
        <v/>
      </c>
      <c r="Q4871" s="62" t="str">
        <f>IFERROR(IF(OR($B4871="",$B4871="(blank)"),"",VLOOKUP($B4871,'Email Marketing Raw Data'!$C:$O,9,0)),"")</f>
        <v/>
      </c>
    </row>
    <row r="4872" spans="4:17" ht="12.75" customHeight="1" x14ac:dyDescent="0.2">
      <c r="D4872" s="58" t="str">
        <f>IFERROR(IF(F4872&lt;&gt;"pending","",IF(OR($B4872="",$B4872="(blank)"),"",VLOOKUP($B4872,'Email Marketing Raw Data'!$C:$O,10,0))),"")</f>
        <v/>
      </c>
      <c r="E4872" s="59" t="str">
        <f>IFERROR(IF(F4872&lt;&gt;"pending","",IF(OR($B4872="",$B4872="(blank)"),"",VLOOKUP($B4872,'Email Marketing Raw Data'!$C:$O,11,0))),"")</f>
        <v/>
      </c>
      <c r="F4872" s="54" t="str">
        <f>IFERROR(IF(OR($B4872="",$B4872="(blank)"),"",VLOOKUP($B4872,'Email Marketing Raw Data'!$C:$O,13,0)),"")</f>
        <v/>
      </c>
      <c r="G4872" s="55" t="str">
        <f>IFERROR(IF(OR($B4872="",$B4872="(blank)"),"",VLOOKUP($B4872,'Email Marketing Raw Data'!$C:$O,4,0)),"")</f>
        <v/>
      </c>
      <c r="H4872" s="55" t="str">
        <f>IFERROR(IF(OR($B4872="",$B4872="(blank)"),"",VLOOKUP($B4872,'Email Marketing Raw Data'!$C:$O,5,0)),"")</f>
        <v/>
      </c>
      <c r="I4872" s="55" t="str">
        <f>IFERROR(IF($G4872="","",VLOOKUP('Dashboard And Emails Automate'!$G4872,Database!$H:$N,3,0)),"")</f>
        <v/>
      </c>
      <c r="J4872" s="55" t="str">
        <f>IFERROR(IF($G4872="","",VLOOKUP('Dashboard And Emails Automate'!$G4872,Database!$H:$N,4,0)),"")</f>
        <v/>
      </c>
      <c r="K4872" s="55" t="str">
        <f>IFERROR(IF($G4872="","",VLOOKUP('Dashboard And Emails Automate'!$G4872,Database!$H:$N,5,0)),"")</f>
        <v/>
      </c>
      <c r="L4872" s="55" t="str">
        <f>IFERROR(IF($G4872="","",VLOOKUP('Dashboard And Emails Automate'!$G4872,Database!$H:$N,6,0)),"")</f>
        <v/>
      </c>
      <c r="M4872" s="55" t="str">
        <f>IFERROR(IF($G4872="","",VLOOKUP('Dashboard And Emails Automate'!$G4872,Database!$H:$N,7,0)),"")</f>
        <v/>
      </c>
      <c r="N4872" s="55" t="str">
        <f>IFERROR(IF(OR($B4872="",$B4872="(blank)"),"",VLOOKUP($B4872,'Email Marketing Raw Data'!$C:$O,6,0)),"")</f>
        <v/>
      </c>
      <c r="O4872" s="55" t="str">
        <f>IFERROR(IF(OR($B4872="",$B4872="(blank)"),"",VLOOKUP($B4872,'Email Marketing Raw Data'!$C:$O,7,0)),"")</f>
        <v/>
      </c>
      <c r="P4872" s="55" t="str">
        <f>IFERROR(IF(OR($B4872="",$B4872="(blank)"),"",VLOOKUP($B4872,'Email Marketing Raw Data'!$C:$O,8,0)),"")</f>
        <v/>
      </c>
      <c r="Q4872" s="62" t="str">
        <f>IFERROR(IF(OR($B4872="",$B4872="(blank)"),"",VLOOKUP($B4872,'Email Marketing Raw Data'!$C:$O,9,0)),"")</f>
        <v/>
      </c>
    </row>
    <row r="4873" spans="4:17" ht="12.75" customHeight="1" x14ac:dyDescent="0.2">
      <c r="D4873" s="58" t="str">
        <f>IFERROR(IF(F4873&lt;&gt;"pending","",IF(OR($B4873="",$B4873="(blank)"),"",VLOOKUP($B4873,'Email Marketing Raw Data'!$C:$O,10,0))),"")</f>
        <v/>
      </c>
      <c r="E4873" s="59" t="str">
        <f>IFERROR(IF(F4873&lt;&gt;"pending","",IF(OR($B4873="",$B4873="(blank)"),"",VLOOKUP($B4873,'Email Marketing Raw Data'!$C:$O,11,0))),"")</f>
        <v/>
      </c>
      <c r="F4873" s="54" t="str">
        <f>IFERROR(IF(OR($B4873="",$B4873="(blank)"),"",VLOOKUP($B4873,'Email Marketing Raw Data'!$C:$O,13,0)),"")</f>
        <v/>
      </c>
      <c r="G4873" s="55" t="str">
        <f>IFERROR(IF(OR($B4873="",$B4873="(blank)"),"",VLOOKUP($B4873,'Email Marketing Raw Data'!$C:$O,4,0)),"")</f>
        <v/>
      </c>
      <c r="H4873" s="55" t="str">
        <f>IFERROR(IF(OR($B4873="",$B4873="(blank)"),"",VLOOKUP($B4873,'Email Marketing Raw Data'!$C:$O,5,0)),"")</f>
        <v/>
      </c>
      <c r="I4873" s="55" t="str">
        <f>IFERROR(IF($G4873="","",VLOOKUP('Dashboard And Emails Automate'!$G4873,Database!$H:$N,3,0)),"")</f>
        <v/>
      </c>
      <c r="J4873" s="55" t="str">
        <f>IFERROR(IF($G4873="","",VLOOKUP('Dashboard And Emails Automate'!$G4873,Database!$H:$N,4,0)),"")</f>
        <v/>
      </c>
      <c r="K4873" s="55" t="str">
        <f>IFERROR(IF($G4873="","",VLOOKUP('Dashboard And Emails Automate'!$G4873,Database!$H:$N,5,0)),"")</f>
        <v/>
      </c>
      <c r="L4873" s="55" t="str">
        <f>IFERROR(IF($G4873="","",VLOOKUP('Dashboard And Emails Automate'!$G4873,Database!$H:$N,6,0)),"")</f>
        <v/>
      </c>
      <c r="M4873" s="55" t="str">
        <f>IFERROR(IF($G4873="","",VLOOKUP('Dashboard And Emails Automate'!$G4873,Database!$H:$N,7,0)),"")</f>
        <v/>
      </c>
      <c r="N4873" s="55" t="str">
        <f>IFERROR(IF(OR($B4873="",$B4873="(blank)"),"",VLOOKUP($B4873,'Email Marketing Raw Data'!$C:$O,6,0)),"")</f>
        <v/>
      </c>
      <c r="O4873" s="55" t="str">
        <f>IFERROR(IF(OR($B4873="",$B4873="(blank)"),"",VLOOKUP($B4873,'Email Marketing Raw Data'!$C:$O,7,0)),"")</f>
        <v/>
      </c>
      <c r="P4873" s="55" t="str">
        <f>IFERROR(IF(OR($B4873="",$B4873="(blank)"),"",VLOOKUP($B4873,'Email Marketing Raw Data'!$C:$O,8,0)),"")</f>
        <v/>
      </c>
      <c r="Q4873" s="62" t="str">
        <f>IFERROR(IF(OR($B4873="",$B4873="(blank)"),"",VLOOKUP($B4873,'Email Marketing Raw Data'!$C:$O,9,0)),"")</f>
        <v/>
      </c>
    </row>
    <row r="4874" spans="4:17" ht="12.75" customHeight="1" x14ac:dyDescent="0.2">
      <c r="D4874" s="58" t="str">
        <f>IFERROR(IF(F4874&lt;&gt;"pending","",IF(OR($B4874="",$B4874="(blank)"),"",VLOOKUP($B4874,'Email Marketing Raw Data'!$C:$O,10,0))),"")</f>
        <v/>
      </c>
      <c r="E4874" s="59" t="str">
        <f>IFERROR(IF(F4874&lt;&gt;"pending","",IF(OR($B4874="",$B4874="(blank)"),"",VLOOKUP($B4874,'Email Marketing Raw Data'!$C:$O,11,0))),"")</f>
        <v/>
      </c>
      <c r="F4874" s="54" t="str">
        <f>IFERROR(IF(OR($B4874="",$B4874="(blank)"),"",VLOOKUP($B4874,'Email Marketing Raw Data'!$C:$O,13,0)),"")</f>
        <v/>
      </c>
      <c r="G4874" s="55" t="str">
        <f>IFERROR(IF(OR($B4874="",$B4874="(blank)"),"",VLOOKUP($B4874,'Email Marketing Raw Data'!$C:$O,4,0)),"")</f>
        <v/>
      </c>
      <c r="H4874" s="55" t="str">
        <f>IFERROR(IF(OR($B4874="",$B4874="(blank)"),"",VLOOKUP($B4874,'Email Marketing Raw Data'!$C:$O,5,0)),"")</f>
        <v/>
      </c>
      <c r="I4874" s="55" t="str">
        <f>IFERROR(IF($G4874="","",VLOOKUP('Dashboard And Emails Automate'!$G4874,Database!$H:$N,3,0)),"")</f>
        <v/>
      </c>
      <c r="J4874" s="55" t="str">
        <f>IFERROR(IF($G4874="","",VLOOKUP('Dashboard And Emails Automate'!$G4874,Database!$H:$N,4,0)),"")</f>
        <v/>
      </c>
      <c r="K4874" s="55" t="str">
        <f>IFERROR(IF($G4874="","",VLOOKUP('Dashboard And Emails Automate'!$G4874,Database!$H:$N,5,0)),"")</f>
        <v/>
      </c>
      <c r="L4874" s="55" t="str">
        <f>IFERROR(IF($G4874="","",VLOOKUP('Dashboard And Emails Automate'!$G4874,Database!$H:$N,6,0)),"")</f>
        <v/>
      </c>
      <c r="M4874" s="55" t="str">
        <f>IFERROR(IF($G4874="","",VLOOKUP('Dashboard And Emails Automate'!$G4874,Database!$H:$N,7,0)),"")</f>
        <v/>
      </c>
      <c r="N4874" s="55" t="str">
        <f>IFERROR(IF(OR($B4874="",$B4874="(blank)"),"",VLOOKUP($B4874,'Email Marketing Raw Data'!$C:$O,6,0)),"")</f>
        <v/>
      </c>
      <c r="O4874" s="55" t="str">
        <f>IFERROR(IF(OR($B4874="",$B4874="(blank)"),"",VLOOKUP($B4874,'Email Marketing Raw Data'!$C:$O,7,0)),"")</f>
        <v/>
      </c>
      <c r="P4874" s="55" t="str">
        <f>IFERROR(IF(OR($B4874="",$B4874="(blank)"),"",VLOOKUP($B4874,'Email Marketing Raw Data'!$C:$O,8,0)),"")</f>
        <v/>
      </c>
      <c r="Q4874" s="62" t="str">
        <f>IFERROR(IF(OR($B4874="",$B4874="(blank)"),"",VLOOKUP($B4874,'Email Marketing Raw Data'!$C:$O,9,0)),"")</f>
        <v/>
      </c>
    </row>
    <row r="4875" spans="4:17" ht="12.75" customHeight="1" x14ac:dyDescent="0.2">
      <c r="D4875" s="58" t="str">
        <f>IFERROR(IF(F4875&lt;&gt;"pending","",IF(OR($B4875="",$B4875="(blank)"),"",VLOOKUP($B4875,'Email Marketing Raw Data'!$C:$O,10,0))),"")</f>
        <v/>
      </c>
      <c r="E4875" s="59" t="str">
        <f>IFERROR(IF(F4875&lt;&gt;"pending","",IF(OR($B4875="",$B4875="(blank)"),"",VLOOKUP($B4875,'Email Marketing Raw Data'!$C:$O,11,0))),"")</f>
        <v/>
      </c>
      <c r="F4875" s="54" t="str">
        <f>IFERROR(IF(OR($B4875="",$B4875="(blank)"),"",VLOOKUP($B4875,'Email Marketing Raw Data'!$C:$O,13,0)),"")</f>
        <v/>
      </c>
      <c r="G4875" s="55" t="str">
        <f>IFERROR(IF(OR($B4875="",$B4875="(blank)"),"",VLOOKUP($B4875,'Email Marketing Raw Data'!$C:$O,4,0)),"")</f>
        <v/>
      </c>
      <c r="H4875" s="55" t="str">
        <f>IFERROR(IF(OR($B4875="",$B4875="(blank)"),"",VLOOKUP($B4875,'Email Marketing Raw Data'!$C:$O,5,0)),"")</f>
        <v/>
      </c>
      <c r="I4875" s="55" t="str">
        <f>IFERROR(IF($G4875="","",VLOOKUP('Dashboard And Emails Automate'!$G4875,Database!$H:$N,3,0)),"")</f>
        <v/>
      </c>
      <c r="J4875" s="55" t="str">
        <f>IFERROR(IF($G4875="","",VLOOKUP('Dashboard And Emails Automate'!$G4875,Database!$H:$N,4,0)),"")</f>
        <v/>
      </c>
      <c r="K4875" s="55" t="str">
        <f>IFERROR(IF($G4875="","",VLOOKUP('Dashboard And Emails Automate'!$G4875,Database!$H:$N,5,0)),"")</f>
        <v/>
      </c>
      <c r="L4875" s="55" t="str">
        <f>IFERROR(IF($G4875="","",VLOOKUP('Dashboard And Emails Automate'!$G4875,Database!$H:$N,6,0)),"")</f>
        <v/>
      </c>
      <c r="M4875" s="55" t="str">
        <f>IFERROR(IF($G4875="","",VLOOKUP('Dashboard And Emails Automate'!$G4875,Database!$H:$N,7,0)),"")</f>
        <v/>
      </c>
      <c r="N4875" s="55" t="str">
        <f>IFERROR(IF(OR($B4875="",$B4875="(blank)"),"",VLOOKUP($B4875,'Email Marketing Raw Data'!$C:$O,6,0)),"")</f>
        <v/>
      </c>
      <c r="O4875" s="55" t="str">
        <f>IFERROR(IF(OR($B4875="",$B4875="(blank)"),"",VLOOKUP($B4875,'Email Marketing Raw Data'!$C:$O,7,0)),"")</f>
        <v/>
      </c>
      <c r="P4875" s="55" t="str">
        <f>IFERROR(IF(OR($B4875="",$B4875="(blank)"),"",VLOOKUP($B4875,'Email Marketing Raw Data'!$C:$O,8,0)),"")</f>
        <v/>
      </c>
      <c r="Q4875" s="62" t="str">
        <f>IFERROR(IF(OR($B4875="",$B4875="(blank)"),"",VLOOKUP($B4875,'Email Marketing Raw Data'!$C:$O,9,0)),"")</f>
        <v/>
      </c>
    </row>
    <row r="4876" spans="4:17" ht="12.75" customHeight="1" x14ac:dyDescent="0.2">
      <c r="D4876" s="58" t="str">
        <f>IFERROR(IF(F4876&lt;&gt;"pending","",IF(OR($B4876="",$B4876="(blank)"),"",VLOOKUP($B4876,'Email Marketing Raw Data'!$C:$O,10,0))),"")</f>
        <v/>
      </c>
      <c r="E4876" s="59" t="str">
        <f>IFERROR(IF(F4876&lt;&gt;"pending","",IF(OR($B4876="",$B4876="(blank)"),"",VLOOKUP($B4876,'Email Marketing Raw Data'!$C:$O,11,0))),"")</f>
        <v/>
      </c>
      <c r="F4876" s="54" t="str">
        <f>IFERROR(IF(OR($B4876="",$B4876="(blank)"),"",VLOOKUP($B4876,'Email Marketing Raw Data'!$C:$O,13,0)),"")</f>
        <v/>
      </c>
      <c r="G4876" s="55" t="str">
        <f>IFERROR(IF(OR($B4876="",$B4876="(blank)"),"",VLOOKUP($B4876,'Email Marketing Raw Data'!$C:$O,4,0)),"")</f>
        <v/>
      </c>
      <c r="H4876" s="55" t="str">
        <f>IFERROR(IF(OR($B4876="",$B4876="(blank)"),"",VLOOKUP($B4876,'Email Marketing Raw Data'!$C:$O,5,0)),"")</f>
        <v/>
      </c>
      <c r="I4876" s="55" t="str">
        <f>IFERROR(IF($G4876="","",VLOOKUP('Dashboard And Emails Automate'!$G4876,Database!$H:$N,3,0)),"")</f>
        <v/>
      </c>
      <c r="J4876" s="55" t="str">
        <f>IFERROR(IF($G4876="","",VLOOKUP('Dashboard And Emails Automate'!$G4876,Database!$H:$N,4,0)),"")</f>
        <v/>
      </c>
      <c r="K4876" s="55" t="str">
        <f>IFERROR(IF($G4876="","",VLOOKUP('Dashboard And Emails Automate'!$G4876,Database!$H:$N,5,0)),"")</f>
        <v/>
      </c>
      <c r="L4876" s="55" t="str">
        <f>IFERROR(IF($G4876="","",VLOOKUP('Dashboard And Emails Automate'!$G4876,Database!$H:$N,6,0)),"")</f>
        <v/>
      </c>
      <c r="M4876" s="55" t="str">
        <f>IFERROR(IF($G4876="","",VLOOKUP('Dashboard And Emails Automate'!$G4876,Database!$H:$N,7,0)),"")</f>
        <v/>
      </c>
      <c r="N4876" s="55" t="str">
        <f>IFERROR(IF(OR($B4876="",$B4876="(blank)"),"",VLOOKUP($B4876,'Email Marketing Raw Data'!$C:$O,6,0)),"")</f>
        <v/>
      </c>
      <c r="O4876" s="55" t="str">
        <f>IFERROR(IF(OR($B4876="",$B4876="(blank)"),"",VLOOKUP($B4876,'Email Marketing Raw Data'!$C:$O,7,0)),"")</f>
        <v/>
      </c>
      <c r="P4876" s="55" t="str">
        <f>IFERROR(IF(OR($B4876="",$B4876="(blank)"),"",VLOOKUP($B4876,'Email Marketing Raw Data'!$C:$O,8,0)),"")</f>
        <v/>
      </c>
      <c r="Q4876" s="62" t="str">
        <f>IFERROR(IF(OR($B4876="",$B4876="(blank)"),"",VLOOKUP($B4876,'Email Marketing Raw Data'!$C:$O,9,0)),"")</f>
        <v/>
      </c>
    </row>
    <row r="4877" spans="4:17" ht="12.75" customHeight="1" x14ac:dyDescent="0.2">
      <c r="D4877" s="58" t="str">
        <f>IFERROR(IF(F4877&lt;&gt;"pending","",IF(OR($B4877="",$B4877="(blank)"),"",VLOOKUP($B4877,'Email Marketing Raw Data'!$C:$O,10,0))),"")</f>
        <v/>
      </c>
      <c r="E4877" s="59" t="str">
        <f>IFERROR(IF(F4877&lt;&gt;"pending","",IF(OR($B4877="",$B4877="(blank)"),"",VLOOKUP($B4877,'Email Marketing Raw Data'!$C:$O,11,0))),"")</f>
        <v/>
      </c>
      <c r="F4877" s="54" t="str">
        <f>IFERROR(IF(OR($B4877="",$B4877="(blank)"),"",VLOOKUP($B4877,'Email Marketing Raw Data'!$C:$O,13,0)),"")</f>
        <v/>
      </c>
      <c r="G4877" s="55" t="str">
        <f>IFERROR(IF(OR($B4877="",$B4877="(blank)"),"",VLOOKUP($B4877,'Email Marketing Raw Data'!$C:$O,4,0)),"")</f>
        <v/>
      </c>
      <c r="H4877" s="55" t="str">
        <f>IFERROR(IF(OR($B4877="",$B4877="(blank)"),"",VLOOKUP($B4877,'Email Marketing Raw Data'!$C:$O,5,0)),"")</f>
        <v/>
      </c>
      <c r="I4877" s="55" t="str">
        <f>IFERROR(IF($G4877="","",VLOOKUP('Dashboard And Emails Automate'!$G4877,Database!$H:$N,3,0)),"")</f>
        <v/>
      </c>
      <c r="J4877" s="55" t="str">
        <f>IFERROR(IF($G4877="","",VLOOKUP('Dashboard And Emails Automate'!$G4877,Database!$H:$N,4,0)),"")</f>
        <v/>
      </c>
      <c r="K4877" s="55" t="str">
        <f>IFERROR(IF($G4877="","",VLOOKUP('Dashboard And Emails Automate'!$G4877,Database!$H:$N,5,0)),"")</f>
        <v/>
      </c>
      <c r="L4877" s="55" t="str">
        <f>IFERROR(IF($G4877="","",VLOOKUP('Dashboard And Emails Automate'!$G4877,Database!$H:$N,6,0)),"")</f>
        <v/>
      </c>
      <c r="M4877" s="55" t="str">
        <f>IFERROR(IF($G4877="","",VLOOKUP('Dashboard And Emails Automate'!$G4877,Database!$H:$N,7,0)),"")</f>
        <v/>
      </c>
      <c r="N4877" s="55" t="str">
        <f>IFERROR(IF(OR($B4877="",$B4877="(blank)"),"",VLOOKUP($B4877,'Email Marketing Raw Data'!$C:$O,6,0)),"")</f>
        <v/>
      </c>
      <c r="O4877" s="55" t="str">
        <f>IFERROR(IF(OR($B4877="",$B4877="(blank)"),"",VLOOKUP($B4877,'Email Marketing Raw Data'!$C:$O,7,0)),"")</f>
        <v/>
      </c>
      <c r="P4877" s="55" t="str">
        <f>IFERROR(IF(OR($B4877="",$B4877="(blank)"),"",VLOOKUP($B4877,'Email Marketing Raw Data'!$C:$O,8,0)),"")</f>
        <v/>
      </c>
      <c r="Q4877" s="62" t="str">
        <f>IFERROR(IF(OR($B4877="",$B4877="(blank)"),"",VLOOKUP($B4877,'Email Marketing Raw Data'!$C:$O,9,0)),"")</f>
        <v/>
      </c>
    </row>
    <row r="4878" spans="4:17" ht="12.75" customHeight="1" x14ac:dyDescent="0.2">
      <c r="D4878" s="58" t="str">
        <f>IFERROR(IF(F4878&lt;&gt;"pending","",IF(OR($B4878="",$B4878="(blank)"),"",VLOOKUP($B4878,'Email Marketing Raw Data'!$C:$O,10,0))),"")</f>
        <v/>
      </c>
      <c r="E4878" s="59" t="str">
        <f>IFERROR(IF(F4878&lt;&gt;"pending","",IF(OR($B4878="",$B4878="(blank)"),"",VLOOKUP($B4878,'Email Marketing Raw Data'!$C:$O,11,0))),"")</f>
        <v/>
      </c>
      <c r="F4878" s="54" t="str">
        <f>IFERROR(IF(OR($B4878="",$B4878="(blank)"),"",VLOOKUP($B4878,'Email Marketing Raw Data'!$C:$O,13,0)),"")</f>
        <v/>
      </c>
      <c r="G4878" s="55" t="str">
        <f>IFERROR(IF(OR($B4878="",$B4878="(blank)"),"",VLOOKUP($B4878,'Email Marketing Raw Data'!$C:$O,4,0)),"")</f>
        <v/>
      </c>
      <c r="H4878" s="55" t="str">
        <f>IFERROR(IF(OR($B4878="",$B4878="(blank)"),"",VLOOKUP($B4878,'Email Marketing Raw Data'!$C:$O,5,0)),"")</f>
        <v/>
      </c>
      <c r="I4878" s="55" t="str">
        <f>IFERROR(IF($G4878="","",VLOOKUP('Dashboard And Emails Automate'!$G4878,Database!$H:$N,3,0)),"")</f>
        <v/>
      </c>
      <c r="J4878" s="55" t="str">
        <f>IFERROR(IF($G4878="","",VLOOKUP('Dashboard And Emails Automate'!$G4878,Database!$H:$N,4,0)),"")</f>
        <v/>
      </c>
      <c r="K4878" s="55" t="str">
        <f>IFERROR(IF($G4878="","",VLOOKUP('Dashboard And Emails Automate'!$G4878,Database!$H:$N,5,0)),"")</f>
        <v/>
      </c>
      <c r="L4878" s="55" t="str">
        <f>IFERROR(IF($G4878="","",VLOOKUP('Dashboard And Emails Automate'!$G4878,Database!$H:$N,6,0)),"")</f>
        <v/>
      </c>
      <c r="M4878" s="55" t="str">
        <f>IFERROR(IF($G4878="","",VLOOKUP('Dashboard And Emails Automate'!$G4878,Database!$H:$N,7,0)),"")</f>
        <v/>
      </c>
      <c r="N4878" s="55" t="str">
        <f>IFERROR(IF(OR($B4878="",$B4878="(blank)"),"",VLOOKUP($B4878,'Email Marketing Raw Data'!$C:$O,6,0)),"")</f>
        <v/>
      </c>
      <c r="O4878" s="55" t="str">
        <f>IFERROR(IF(OR($B4878="",$B4878="(blank)"),"",VLOOKUP($B4878,'Email Marketing Raw Data'!$C:$O,7,0)),"")</f>
        <v/>
      </c>
      <c r="P4878" s="55" t="str">
        <f>IFERROR(IF(OR($B4878="",$B4878="(blank)"),"",VLOOKUP($B4878,'Email Marketing Raw Data'!$C:$O,8,0)),"")</f>
        <v/>
      </c>
      <c r="Q4878" s="62" t="str">
        <f>IFERROR(IF(OR($B4878="",$B4878="(blank)"),"",VLOOKUP($B4878,'Email Marketing Raw Data'!$C:$O,9,0)),"")</f>
        <v/>
      </c>
    </row>
    <row r="4879" spans="4:17" ht="12.75" customHeight="1" x14ac:dyDescent="0.2">
      <c r="D4879" s="58" t="str">
        <f>IFERROR(IF(F4879&lt;&gt;"pending","",IF(OR($B4879="",$B4879="(blank)"),"",VLOOKUP($B4879,'Email Marketing Raw Data'!$C:$O,10,0))),"")</f>
        <v/>
      </c>
      <c r="E4879" s="59" t="str">
        <f>IFERROR(IF(F4879&lt;&gt;"pending","",IF(OR($B4879="",$B4879="(blank)"),"",VLOOKUP($B4879,'Email Marketing Raw Data'!$C:$O,11,0))),"")</f>
        <v/>
      </c>
      <c r="F4879" s="54" t="str">
        <f>IFERROR(IF(OR($B4879="",$B4879="(blank)"),"",VLOOKUP($B4879,'Email Marketing Raw Data'!$C:$O,13,0)),"")</f>
        <v/>
      </c>
      <c r="G4879" s="55" t="str">
        <f>IFERROR(IF(OR($B4879="",$B4879="(blank)"),"",VLOOKUP($B4879,'Email Marketing Raw Data'!$C:$O,4,0)),"")</f>
        <v/>
      </c>
      <c r="H4879" s="55" t="str">
        <f>IFERROR(IF(OR($B4879="",$B4879="(blank)"),"",VLOOKUP($B4879,'Email Marketing Raw Data'!$C:$O,5,0)),"")</f>
        <v/>
      </c>
      <c r="I4879" s="55" t="str">
        <f>IFERROR(IF($G4879="","",VLOOKUP('Dashboard And Emails Automate'!$G4879,Database!$H:$N,3,0)),"")</f>
        <v/>
      </c>
      <c r="J4879" s="55" t="str">
        <f>IFERROR(IF($G4879="","",VLOOKUP('Dashboard And Emails Automate'!$G4879,Database!$H:$N,4,0)),"")</f>
        <v/>
      </c>
      <c r="K4879" s="55" t="str">
        <f>IFERROR(IF($G4879="","",VLOOKUP('Dashboard And Emails Automate'!$G4879,Database!$H:$N,5,0)),"")</f>
        <v/>
      </c>
      <c r="L4879" s="55" t="str">
        <f>IFERROR(IF($G4879="","",VLOOKUP('Dashboard And Emails Automate'!$G4879,Database!$H:$N,6,0)),"")</f>
        <v/>
      </c>
      <c r="M4879" s="55" t="str">
        <f>IFERROR(IF($G4879="","",VLOOKUP('Dashboard And Emails Automate'!$G4879,Database!$H:$N,7,0)),"")</f>
        <v/>
      </c>
      <c r="N4879" s="55" t="str">
        <f>IFERROR(IF(OR($B4879="",$B4879="(blank)"),"",VLOOKUP($B4879,'Email Marketing Raw Data'!$C:$O,6,0)),"")</f>
        <v/>
      </c>
      <c r="O4879" s="55" t="str">
        <f>IFERROR(IF(OR($B4879="",$B4879="(blank)"),"",VLOOKUP($B4879,'Email Marketing Raw Data'!$C:$O,7,0)),"")</f>
        <v/>
      </c>
      <c r="P4879" s="55" t="str">
        <f>IFERROR(IF(OR($B4879="",$B4879="(blank)"),"",VLOOKUP($B4879,'Email Marketing Raw Data'!$C:$O,8,0)),"")</f>
        <v/>
      </c>
      <c r="Q4879" s="62" t="str">
        <f>IFERROR(IF(OR($B4879="",$B4879="(blank)"),"",VLOOKUP($B4879,'Email Marketing Raw Data'!$C:$O,9,0)),"")</f>
        <v/>
      </c>
    </row>
    <row r="4880" spans="4:17" ht="12.75" customHeight="1" x14ac:dyDescent="0.2">
      <c r="D4880" s="58" t="str">
        <f>IFERROR(IF(F4880&lt;&gt;"pending","",IF(OR($B4880="",$B4880="(blank)"),"",VLOOKUP($B4880,'Email Marketing Raw Data'!$C:$O,10,0))),"")</f>
        <v/>
      </c>
      <c r="E4880" s="59" t="str">
        <f>IFERROR(IF(F4880&lt;&gt;"pending","",IF(OR($B4880="",$B4880="(blank)"),"",VLOOKUP($B4880,'Email Marketing Raw Data'!$C:$O,11,0))),"")</f>
        <v/>
      </c>
      <c r="F4880" s="54" t="str">
        <f>IFERROR(IF(OR($B4880="",$B4880="(blank)"),"",VLOOKUP($B4880,'Email Marketing Raw Data'!$C:$O,13,0)),"")</f>
        <v/>
      </c>
      <c r="G4880" s="55" t="str">
        <f>IFERROR(IF(OR($B4880="",$B4880="(blank)"),"",VLOOKUP($B4880,'Email Marketing Raw Data'!$C:$O,4,0)),"")</f>
        <v/>
      </c>
      <c r="H4880" s="55" t="str">
        <f>IFERROR(IF(OR($B4880="",$B4880="(blank)"),"",VLOOKUP($B4880,'Email Marketing Raw Data'!$C:$O,5,0)),"")</f>
        <v/>
      </c>
      <c r="I4880" s="55" t="str">
        <f>IFERROR(IF($G4880="","",VLOOKUP('Dashboard And Emails Automate'!$G4880,Database!$H:$N,3,0)),"")</f>
        <v/>
      </c>
      <c r="J4880" s="55" t="str">
        <f>IFERROR(IF($G4880="","",VLOOKUP('Dashboard And Emails Automate'!$G4880,Database!$H:$N,4,0)),"")</f>
        <v/>
      </c>
      <c r="K4880" s="55" t="str">
        <f>IFERROR(IF($G4880="","",VLOOKUP('Dashboard And Emails Automate'!$G4880,Database!$H:$N,5,0)),"")</f>
        <v/>
      </c>
      <c r="L4880" s="55" t="str">
        <f>IFERROR(IF($G4880="","",VLOOKUP('Dashboard And Emails Automate'!$G4880,Database!$H:$N,6,0)),"")</f>
        <v/>
      </c>
      <c r="M4880" s="55" t="str">
        <f>IFERROR(IF($G4880="","",VLOOKUP('Dashboard And Emails Automate'!$G4880,Database!$H:$N,7,0)),"")</f>
        <v/>
      </c>
      <c r="N4880" s="55" t="str">
        <f>IFERROR(IF(OR($B4880="",$B4880="(blank)"),"",VLOOKUP($B4880,'Email Marketing Raw Data'!$C:$O,6,0)),"")</f>
        <v/>
      </c>
      <c r="O4880" s="55" t="str">
        <f>IFERROR(IF(OR($B4880="",$B4880="(blank)"),"",VLOOKUP($B4880,'Email Marketing Raw Data'!$C:$O,7,0)),"")</f>
        <v/>
      </c>
      <c r="P4880" s="55" t="str">
        <f>IFERROR(IF(OR($B4880="",$B4880="(blank)"),"",VLOOKUP($B4880,'Email Marketing Raw Data'!$C:$O,8,0)),"")</f>
        <v/>
      </c>
      <c r="Q4880" s="62" t="str">
        <f>IFERROR(IF(OR($B4880="",$B4880="(blank)"),"",VLOOKUP($B4880,'Email Marketing Raw Data'!$C:$O,9,0)),"")</f>
        <v/>
      </c>
    </row>
    <row r="4881" spans="4:17" ht="12.75" customHeight="1" x14ac:dyDescent="0.2">
      <c r="D4881" s="58" t="str">
        <f>IFERROR(IF(F4881&lt;&gt;"pending","",IF(OR($B4881="",$B4881="(blank)"),"",VLOOKUP($B4881,'Email Marketing Raw Data'!$C:$O,10,0))),"")</f>
        <v/>
      </c>
      <c r="E4881" s="59" t="str">
        <f>IFERROR(IF(F4881&lt;&gt;"pending","",IF(OR($B4881="",$B4881="(blank)"),"",VLOOKUP($B4881,'Email Marketing Raw Data'!$C:$O,11,0))),"")</f>
        <v/>
      </c>
      <c r="F4881" s="54" t="str">
        <f>IFERROR(IF(OR($B4881="",$B4881="(blank)"),"",VLOOKUP($B4881,'Email Marketing Raw Data'!$C:$O,13,0)),"")</f>
        <v/>
      </c>
      <c r="G4881" s="55" t="str">
        <f>IFERROR(IF(OR($B4881="",$B4881="(blank)"),"",VLOOKUP($B4881,'Email Marketing Raw Data'!$C:$O,4,0)),"")</f>
        <v/>
      </c>
      <c r="H4881" s="55" t="str">
        <f>IFERROR(IF(OR($B4881="",$B4881="(blank)"),"",VLOOKUP($B4881,'Email Marketing Raw Data'!$C:$O,5,0)),"")</f>
        <v/>
      </c>
      <c r="I4881" s="55" t="str">
        <f>IFERROR(IF($G4881="","",VLOOKUP('Dashboard And Emails Automate'!$G4881,Database!$H:$N,3,0)),"")</f>
        <v/>
      </c>
      <c r="J4881" s="55" t="str">
        <f>IFERROR(IF($G4881="","",VLOOKUP('Dashboard And Emails Automate'!$G4881,Database!$H:$N,4,0)),"")</f>
        <v/>
      </c>
      <c r="K4881" s="55" t="str">
        <f>IFERROR(IF($G4881="","",VLOOKUP('Dashboard And Emails Automate'!$G4881,Database!$H:$N,5,0)),"")</f>
        <v/>
      </c>
      <c r="L4881" s="55" t="str">
        <f>IFERROR(IF($G4881="","",VLOOKUP('Dashboard And Emails Automate'!$G4881,Database!$H:$N,6,0)),"")</f>
        <v/>
      </c>
      <c r="M4881" s="55" t="str">
        <f>IFERROR(IF($G4881="","",VLOOKUP('Dashboard And Emails Automate'!$G4881,Database!$H:$N,7,0)),"")</f>
        <v/>
      </c>
      <c r="N4881" s="55" t="str">
        <f>IFERROR(IF(OR($B4881="",$B4881="(blank)"),"",VLOOKUP($B4881,'Email Marketing Raw Data'!$C:$O,6,0)),"")</f>
        <v/>
      </c>
      <c r="O4881" s="55" t="str">
        <f>IFERROR(IF(OR($B4881="",$B4881="(blank)"),"",VLOOKUP($B4881,'Email Marketing Raw Data'!$C:$O,7,0)),"")</f>
        <v/>
      </c>
      <c r="P4881" s="55" t="str">
        <f>IFERROR(IF(OR($B4881="",$B4881="(blank)"),"",VLOOKUP($B4881,'Email Marketing Raw Data'!$C:$O,8,0)),"")</f>
        <v/>
      </c>
      <c r="Q4881" s="62" t="str">
        <f>IFERROR(IF(OR($B4881="",$B4881="(blank)"),"",VLOOKUP($B4881,'Email Marketing Raw Data'!$C:$O,9,0)),"")</f>
        <v/>
      </c>
    </row>
    <row r="4882" spans="4:17" ht="12.75" customHeight="1" x14ac:dyDescent="0.2">
      <c r="D4882" s="58" t="str">
        <f>IFERROR(IF(F4882&lt;&gt;"pending","",IF(OR($B4882="",$B4882="(blank)"),"",VLOOKUP($B4882,'Email Marketing Raw Data'!$C:$O,10,0))),"")</f>
        <v/>
      </c>
      <c r="E4882" s="59" t="str">
        <f>IFERROR(IF(F4882&lt;&gt;"pending","",IF(OR($B4882="",$B4882="(blank)"),"",VLOOKUP($B4882,'Email Marketing Raw Data'!$C:$O,11,0))),"")</f>
        <v/>
      </c>
      <c r="F4882" s="54" t="str">
        <f>IFERROR(IF(OR($B4882="",$B4882="(blank)"),"",VLOOKUP($B4882,'Email Marketing Raw Data'!$C:$O,13,0)),"")</f>
        <v/>
      </c>
      <c r="G4882" s="55" t="str">
        <f>IFERROR(IF(OR($B4882="",$B4882="(blank)"),"",VLOOKUP($B4882,'Email Marketing Raw Data'!$C:$O,4,0)),"")</f>
        <v/>
      </c>
      <c r="H4882" s="55" t="str">
        <f>IFERROR(IF(OR($B4882="",$B4882="(blank)"),"",VLOOKUP($B4882,'Email Marketing Raw Data'!$C:$O,5,0)),"")</f>
        <v/>
      </c>
      <c r="I4882" s="55" t="str">
        <f>IFERROR(IF($G4882="","",VLOOKUP('Dashboard And Emails Automate'!$G4882,Database!$H:$N,3,0)),"")</f>
        <v/>
      </c>
      <c r="J4882" s="55" t="str">
        <f>IFERROR(IF($G4882="","",VLOOKUP('Dashboard And Emails Automate'!$G4882,Database!$H:$N,4,0)),"")</f>
        <v/>
      </c>
      <c r="K4882" s="55" t="str">
        <f>IFERROR(IF($G4882="","",VLOOKUP('Dashboard And Emails Automate'!$G4882,Database!$H:$N,5,0)),"")</f>
        <v/>
      </c>
      <c r="L4882" s="55" t="str">
        <f>IFERROR(IF($G4882="","",VLOOKUP('Dashboard And Emails Automate'!$G4882,Database!$H:$N,6,0)),"")</f>
        <v/>
      </c>
      <c r="M4882" s="55" t="str">
        <f>IFERROR(IF($G4882="","",VLOOKUP('Dashboard And Emails Automate'!$G4882,Database!$H:$N,7,0)),"")</f>
        <v/>
      </c>
      <c r="N4882" s="55" t="str">
        <f>IFERROR(IF(OR($B4882="",$B4882="(blank)"),"",VLOOKUP($B4882,'Email Marketing Raw Data'!$C:$O,6,0)),"")</f>
        <v/>
      </c>
      <c r="O4882" s="55" t="str">
        <f>IFERROR(IF(OR($B4882="",$B4882="(blank)"),"",VLOOKUP($B4882,'Email Marketing Raw Data'!$C:$O,7,0)),"")</f>
        <v/>
      </c>
      <c r="P4882" s="55" t="str">
        <f>IFERROR(IF(OR($B4882="",$B4882="(blank)"),"",VLOOKUP($B4882,'Email Marketing Raw Data'!$C:$O,8,0)),"")</f>
        <v/>
      </c>
      <c r="Q4882" s="62" t="str">
        <f>IFERROR(IF(OR($B4882="",$B4882="(blank)"),"",VLOOKUP($B4882,'Email Marketing Raw Data'!$C:$O,9,0)),"")</f>
        <v/>
      </c>
    </row>
    <row r="4883" spans="4:17" ht="12.75" customHeight="1" x14ac:dyDescent="0.2">
      <c r="D4883" s="58" t="str">
        <f>IFERROR(IF(F4883&lt;&gt;"pending","",IF(OR($B4883="",$B4883="(blank)"),"",VLOOKUP($B4883,'Email Marketing Raw Data'!$C:$O,10,0))),"")</f>
        <v/>
      </c>
      <c r="E4883" s="59" t="str">
        <f>IFERROR(IF(F4883&lt;&gt;"pending","",IF(OR($B4883="",$B4883="(blank)"),"",VLOOKUP($B4883,'Email Marketing Raw Data'!$C:$O,11,0))),"")</f>
        <v/>
      </c>
      <c r="F4883" s="54" t="str">
        <f>IFERROR(IF(OR($B4883="",$B4883="(blank)"),"",VLOOKUP($B4883,'Email Marketing Raw Data'!$C:$O,13,0)),"")</f>
        <v/>
      </c>
      <c r="G4883" s="55" t="str">
        <f>IFERROR(IF(OR($B4883="",$B4883="(blank)"),"",VLOOKUP($B4883,'Email Marketing Raw Data'!$C:$O,4,0)),"")</f>
        <v/>
      </c>
      <c r="H4883" s="55" t="str">
        <f>IFERROR(IF(OR($B4883="",$B4883="(blank)"),"",VLOOKUP($B4883,'Email Marketing Raw Data'!$C:$O,5,0)),"")</f>
        <v/>
      </c>
      <c r="I4883" s="55" t="str">
        <f>IFERROR(IF($G4883="","",VLOOKUP('Dashboard And Emails Automate'!$G4883,Database!$H:$N,3,0)),"")</f>
        <v/>
      </c>
      <c r="J4883" s="55" t="str">
        <f>IFERROR(IF($G4883="","",VLOOKUP('Dashboard And Emails Automate'!$G4883,Database!$H:$N,4,0)),"")</f>
        <v/>
      </c>
      <c r="K4883" s="55" t="str">
        <f>IFERROR(IF($G4883="","",VLOOKUP('Dashboard And Emails Automate'!$G4883,Database!$H:$N,5,0)),"")</f>
        <v/>
      </c>
      <c r="L4883" s="55" t="str">
        <f>IFERROR(IF($G4883="","",VLOOKUP('Dashboard And Emails Automate'!$G4883,Database!$H:$N,6,0)),"")</f>
        <v/>
      </c>
      <c r="M4883" s="55" t="str">
        <f>IFERROR(IF($G4883="","",VLOOKUP('Dashboard And Emails Automate'!$G4883,Database!$H:$N,7,0)),"")</f>
        <v/>
      </c>
      <c r="N4883" s="55" t="str">
        <f>IFERROR(IF(OR($B4883="",$B4883="(blank)"),"",VLOOKUP($B4883,'Email Marketing Raw Data'!$C:$O,6,0)),"")</f>
        <v/>
      </c>
      <c r="O4883" s="55" t="str">
        <f>IFERROR(IF(OR($B4883="",$B4883="(blank)"),"",VLOOKUP($B4883,'Email Marketing Raw Data'!$C:$O,7,0)),"")</f>
        <v/>
      </c>
      <c r="P4883" s="55" t="str">
        <f>IFERROR(IF(OR($B4883="",$B4883="(blank)"),"",VLOOKUP($B4883,'Email Marketing Raw Data'!$C:$O,8,0)),"")</f>
        <v/>
      </c>
      <c r="Q4883" s="62" t="str">
        <f>IFERROR(IF(OR($B4883="",$B4883="(blank)"),"",VLOOKUP($B4883,'Email Marketing Raw Data'!$C:$O,9,0)),"")</f>
        <v/>
      </c>
    </row>
    <row r="4884" spans="4:17" ht="12.75" customHeight="1" x14ac:dyDescent="0.2">
      <c r="D4884" s="58" t="str">
        <f>IFERROR(IF(F4884&lt;&gt;"pending","",IF(OR($B4884="",$B4884="(blank)"),"",VLOOKUP($B4884,'Email Marketing Raw Data'!$C:$O,10,0))),"")</f>
        <v/>
      </c>
      <c r="E4884" s="59" t="str">
        <f>IFERROR(IF(F4884&lt;&gt;"pending","",IF(OR($B4884="",$B4884="(blank)"),"",VLOOKUP($B4884,'Email Marketing Raw Data'!$C:$O,11,0))),"")</f>
        <v/>
      </c>
      <c r="F4884" s="54" t="str">
        <f>IFERROR(IF(OR($B4884="",$B4884="(blank)"),"",VLOOKUP($B4884,'Email Marketing Raw Data'!$C:$O,13,0)),"")</f>
        <v/>
      </c>
      <c r="G4884" s="55" t="str">
        <f>IFERROR(IF(OR($B4884="",$B4884="(blank)"),"",VLOOKUP($B4884,'Email Marketing Raw Data'!$C:$O,4,0)),"")</f>
        <v/>
      </c>
      <c r="H4884" s="55" t="str">
        <f>IFERROR(IF(OR($B4884="",$B4884="(blank)"),"",VLOOKUP($B4884,'Email Marketing Raw Data'!$C:$O,5,0)),"")</f>
        <v/>
      </c>
      <c r="I4884" s="55" t="str">
        <f>IFERROR(IF($G4884="","",VLOOKUP('Dashboard And Emails Automate'!$G4884,Database!$H:$N,3,0)),"")</f>
        <v/>
      </c>
      <c r="J4884" s="55" t="str">
        <f>IFERROR(IF($G4884="","",VLOOKUP('Dashboard And Emails Automate'!$G4884,Database!$H:$N,4,0)),"")</f>
        <v/>
      </c>
      <c r="K4884" s="55" t="str">
        <f>IFERROR(IF($G4884="","",VLOOKUP('Dashboard And Emails Automate'!$G4884,Database!$H:$N,5,0)),"")</f>
        <v/>
      </c>
      <c r="L4884" s="55" t="str">
        <f>IFERROR(IF($G4884="","",VLOOKUP('Dashboard And Emails Automate'!$G4884,Database!$H:$N,6,0)),"")</f>
        <v/>
      </c>
      <c r="M4884" s="55" t="str">
        <f>IFERROR(IF($G4884="","",VLOOKUP('Dashboard And Emails Automate'!$G4884,Database!$H:$N,7,0)),"")</f>
        <v/>
      </c>
      <c r="N4884" s="55" t="str">
        <f>IFERROR(IF(OR($B4884="",$B4884="(blank)"),"",VLOOKUP($B4884,'Email Marketing Raw Data'!$C:$O,6,0)),"")</f>
        <v/>
      </c>
      <c r="O4884" s="55" t="str">
        <f>IFERROR(IF(OR($B4884="",$B4884="(blank)"),"",VLOOKUP($B4884,'Email Marketing Raw Data'!$C:$O,7,0)),"")</f>
        <v/>
      </c>
      <c r="P4884" s="55" t="str">
        <f>IFERROR(IF(OR($B4884="",$B4884="(blank)"),"",VLOOKUP($B4884,'Email Marketing Raw Data'!$C:$O,8,0)),"")</f>
        <v/>
      </c>
      <c r="Q4884" s="62" t="str">
        <f>IFERROR(IF(OR($B4884="",$B4884="(blank)"),"",VLOOKUP($B4884,'Email Marketing Raw Data'!$C:$O,9,0)),"")</f>
        <v/>
      </c>
    </row>
    <row r="4885" spans="4:17" ht="12.75" customHeight="1" x14ac:dyDescent="0.2">
      <c r="D4885" s="58" t="str">
        <f>IFERROR(IF(F4885&lt;&gt;"pending","",IF(OR($B4885="",$B4885="(blank)"),"",VLOOKUP($B4885,'Email Marketing Raw Data'!$C:$O,10,0))),"")</f>
        <v/>
      </c>
      <c r="E4885" s="59" t="str">
        <f>IFERROR(IF(F4885&lt;&gt;"pending","",IF(OR($B4885="",$B4885="(blank)"),"",VLOOKUP($B4885,'Email Marketing Raw Data'!$C:$O,11,0))),"")</f>
        <v/>
      </c>
      <c r="F4885" s="54" t="str">
        <f>IFERROR(IF(OR($B4885="",$B4885="(blank)"),"",VLOOKUP($B4885,'Email Marketing Raw Data'!$C:$O,13,0)),"")</f>
        <v/>
      </c>
      <c r="G4885" s="55" t="str">
        <f>IFERROR(IF(OR($B4885="",$B4885="(blank)"),"",VLOOKUP($B4885,'Email Marketing Raw Data'!$C:$O,4,0)),"")</f>
        <v/>
      </c>
      <c r="H4885" s="55" t="str">
        <f>IFERROR(IF(OR($B4885="",$B4885="(blank)"),"",VLOOKUP($B4885,'Email Marketing Raw Data'!$C:$O,5,0)),"")</f>
        <v/>
      </c>
      <c r="I4885" s="55" t="str">
        <f>IFERROR(IF($G4885="","",VLOOKUP('Dashboard And Emails Automate'!$G4885,Database!$H:$N,3,0)),"")</f>
        <v/>
      </c>
      <c r="J4885" s="55" t="str">
        <f>IFERROR(IF($G4885="","",VLOOKUP('Dashboard And Emails Automate'!$G4885,Database!$H:$N,4,0)),"")</f>
        <v/>
      </c>
      <c r="K4885" s="55" t="str">
        <f>IFERROR(IF($G4885="","",VLOOKUP('Dashboard And Emails Automate'!$G4885,Database!$H:$N,5,0)),"")</f>
        <v/>
      </c>
      <c r="L4885" s="55" t="str">
        <f>IFERROR(IF($G4885="","",VLOOKUP('Dashboard And Emails Automate'!$G4885,Database!$H:$N,6,0)),"")</f>
        <v/>
      </c>
      <c r="M4885" s="55" t="str">
        <f>IFERROR(IF($G4885="","",VLOOKUP('Dashboard And Emails Automate'!$G4885,Database!$H:$N,7,0)),"")</f>
        <v/>
      </c>
      <c r="N4885" s="55" t="str">
        <f>IFERROR(IF(OR($B4885="",$B4885="(blank)"),"",VLOOKUP($B4885,'Email Marketing Raw Data'!$C:$O,6,0)),"")</f>
        <v/>
      </c>
      <c r="O4885" s="55" t="str">
        <f>IFERROR(IF(OR($B4885="",$B4885="(blank)"),"",VLOOKUP($B4885,'Email Marketing Raw Data'!$C:$O,7,0)),"")</f>
        <v/>
      </c>
      <c r="P4885" s="55" t="str">
        <f>IFERROR(IF(OR($B4885="",$B4885="(blank)"),"",VLOOKUP($B4885,'Email Marketing Raw Data'!$C:$O,8,0)),"")</f>
        <v/>
      </c>
      <c r="Q4885" s="62" t="str">
        <f>IFERROR(IF(OR($B4885="",$B4885="(blank)"),"",VLOOKUP($B4885,'Email Marketing Raw Data'!$C:$O,9,0)),"")</f>
        <v/>
      </c>
    </row>
    <row r="4886" spans="4:17" ht="12.75" customHeight="1" x14ac:dyDescent="0.2">
      <c r="D4886" s="58" t="str">
        <f>IFERROR(IF(F4886&lt;&gt;"pending","",IF(OR($B4886="",$B4886="(blank)"),"",VLOOKUP($B4886,'Email Marketing Raw Data'!$C:$O,10,0))),"")</f>
        <v/>
      </c>
      <c r="E4886" s="59" t="str">
        <f>IFERROR(IF(F4886&lt;&gt;"pending","",IF(OR($B4886="",$B4886="(blank)"),"",VLOOKUP($B4886,'Email Marketing Raw Data'!$C:$O,11,0))),"")</f>
        <v/>
      </c>
      <c r="F4886" s="54" t="str">
        <f>IFERROR(IF(OR($B4886="",$B4886="(blank)"),"",VLOOKUP($B4886,'Email Marketing Raw Data'!$C:$O,13,0)),"")</f>
        <v/>
      </c>
      <c r="G4886" s="55" t="str">
        <f>IFERROR(IF(OR($B4886="",$B4886="(blank)"),"",VLOOKUP($B4886,'Email Marketing Raw Data'!$C:$O,4,0)),"")</f>
        <v/>
      </c>
      <c r="H4886" s="55" t="str">
        <f>IFERROR(IF(OR($B4886="",$B4886="(blank)"),"",VLOOKUP($B4886,'Email Marketing Raw Data'!$C:$O,5,0)),"")</f>
        <v/>
      </c>
      <c r="I4886" s="55" t="str">
        <f>IFERROR(IF($G4886="","",VLOOKUP('Dashboard And Emails Automate'!$G4886,Database!$H:$N,3,0)),"")</f>
        <v/>
      </c>
      <c r="J4886" s="55" t="str">
        <f>IFERROR(IF($G4886="","",VLOOKUP('Dashboard And Emails Automate'!$G4886,Database!$H:$N,4,0)),"")</f>
        <v/>
      </c>
      <c r="K4886" s="55" t="str">
        <f>IFERROR(IF($G4886="","",VLOOKUP('Dashboard And Emails Automate'!$G4886,Database!$H:$N,5,0)),"")</f>
        <v/>
      </c>
      <c r="L4886" s="55" t="str">
        <f>IFERROR(IF($G4886="","",VLOOKUP('Dashboard And Emails Automate'!$G4886,Database!$H:$N,6,0)),"")</f>
        <v/>
      </c>
      <c r="M4886" s="55" t="str">
        <f>IFERROR(IF($G4886="","",VLOOKUP('Dashboard And Emails Automate'!$G4886,Database!$H:$N,7,0)),"")</f>
        <v/>
      </c>
      <c r="N4886" s="55" t="str">
        <f>IFERROR(IF(OR($B4886="",$B4886="(blank)"),"",VLOOKUP($B4886,'Email Marketing Raw Data'!$C:$O,6,0)),"")</f>
        <v/>
      </c>
      <c r="O4886" s="55" t="str">
        <f>IFERROR(IF(OR($B4886="",$B4886="(blank)"),"",VLOOKUP($B4886,'Email Marketing Raw Data'!$C:$O,7,0)),"")</f>
        <v/>
      </c>
      <c r="P4886" s="55" t="str">
        <f>IFERROR(IF(OR($B4886="",$B4886="(blank)"),"",VLOOKUP($B4886,'Email Marketing Raw Data'!$C:$O,8,0)),"")</f>
        <v/>
      </c>
      <c r="Q4886" s="62" t="str">
        <f>IFERROR(IF(OR($B4886="",$B4886="(blank)"),"",VLOOKUP($B4886,'Email Marketing Raw Data'!$C:$O,9,0)),"")</f>
        <v/>
      </c>
    </row>
    <row r="4887" spans="4:17" ht="12.75" customHeight="1" x14ac:dyDescent="0.2">
      <c r="D4887" s="58" t="str">
        <f>IFERROR(IF(F4887&lt;&gt;"pending","",IF(OR($B4887="",$B4887="(blank)"),"",VLOOKUP($B4887,'Email Marketing Raw Data'!$C:$O,10,0))),"")</f>
        <v/>
      </c>
      <c r="E4887" s="59" t="str">
        <f>IFERROR(IF(F4887&lt;&gt;"pending","",IF(OR($B4887="",$B4887="(blank)"),"",VLOOKUP($B4887,'Email Marketing Raw Data'!$C:$O,11,0))),"")</f>
        <v/>
      </c>
      <c r="F4887" s="54" t="str">
        <f>IFERROR(IF(OR($B4887="",$B4887="(blank)"),"",VLOOKUP($B4887,'Email Marketing Raw Data'!$C:$O,13,0)),"")</f>
        <v/>
      </c>
      <c r="G4887" s="55" t="str">
        <f>IFERROR(IF(OR($B4887="",$B4887="(blank)"),"",VLOOKUP($B4887,'Email Marketing Raw Data'!$C:$O,4,0)),"")</f>
        <v/>
      </c>
      <c r="H4887" s="55" t="str">
        <f>IFERROR(IF(OR($B4887="",$B4887="(blank)"),"",VLOOKUP($B4887,'Email Marketing Raw Data'!$C:$O,5,0)),"")</f>
        <v/>
      </c>
      <c r="I4887" s="55" t="str">
        <f>IFERROR(IF($G4887="","",VLOOKUP('Dashboard And Emails Automate'!$G4887,Database!$H:$N,3,0)),"")</f>
        <v/>
      </c>
      <c r="J4887" s="55" t="str">
        <f>IFERROR(IF($G4887="","",VLOOKUP('Dashboard And Emails Automate'!$G4887,Database!$H:$N,4,0)),"")</f>
        <v/>
      </c>
      <c r="K4887" s="55" t="str">
        <f>IFERROR(IF($G4887="","",VLOOKUP('Dashboard And Emails Automate'!$G4887,Database!$H:$N,5,0)),"")</f>
        <v/>
      </c>
      <c r="L4887" s="55" t="str">
        <f>IFERROR(IF($G4887="","",VLOOKUP('Dashboard And Emails Automate'!$G4887,Database!$H:$N,6,0)),"")</f>
        <v/>
      </c>
      <c r="M4887" s="55" t="str">
        <f>IFERROR(IF($G4887="","",VLOOKUP('Dashboard And Emails Automate'!$G4887,Database!$H:$N,7,0)),"")</f>
        <v/>
      </c>
      <c r="N4887" s="55" t="str">
        <f>IFERROR(IF(OR($B4887="",$B4887="(blank)"),"",VLOOKUP($B4887,'Email Marketing Raw Data'!$C:$O,6,0)),"")</f>
        <v/>
      </c>
      <c r="O4887" s="55" t="str">
        <f>IFERROR(IF(OR($B4887="",$B4887="(blank)"),"",VLOOKUP($B4887,'Email Marketing Raw Data'!$C:$O,7,0)),"")</f>
        <v/>
      </c>
      <c r="P4887" s="55" t="str">
        <f>IFERROR(IF(OR($B4887="",$B4887="(blank)"),"",VLOOKUP($B4887,'Email Marketing Raw Data'!$C:$O,8,0)),"")</f>
        <v/>
      </c>
      <c r="Q4887" s="62" t="str">
        <f>IFERROR(IF(OR($B4887="",$B4887="(blank)"),"",VLOOKUP($B4887,'Email Marketing Raw Data'!$C:$O,9,0)),"")</f>
        <v/>
      </c>
    </row>
    <row r="4888" spans="4:17" ht="12.75" customHeight="1" x14ac:dyDescent="0.2">
      <c r="D4888" s="58" t="str">
        <f>IFERROR(IF(F4888&lt;&gt;"pending","",IF(OR($B4888="",$B4888="(blank)"),"",VLOOKUP($B4888,'Email Marketing Raw Data'!$C:$O,10,0))),"")</f>
        <v/>
      </c>
      <c r="E4888" s="59" t="str">
        <f>IFERROR(IF(F4888&lt;&gt;"pending","",IF(OR($B4888="",$B4888="(blank)"),"",VLOOKUP($B4888,'Email Marketing Raw Data'!$C:$O,11,0))),"")</f>
        <v/>
      </c>
      <c r="F4888" s="54" t="str">
        <f>IFERROR(IF(OR($B4888="",$B4888="(blank)"),"",VLOOKUP($B4888,'Email Marketing Raw Data'!$C:$O,13,0)),"")</f>
        <v/>
      </c>
      <c r="G4888" s="55" t="str">
        <f>IFERROR(IF(OR($B4888="",$B4888="(blank)"),"",VLOOKUP($B4888,'Email Marketing Raw Data'!$C:$O,4,0)),"")</f>
        <v/>
      </c>
      <c r="H4888" s="55" t="str">
        <f>IFERROR(IF(OR($B4888="",$B4888="(blank)"),"",VLOOKUP($B4888,'Email Marketing Raw Data'!$C:$O,5,0)),"")</f>
        <v/>
      </c>
      <c r="I4888" s="55" t="str">
        <f>IFERROR(IF($G4888="","",VLOOKUP('Dashboard And Emails Automate'!$G4888,Database!$H:$N,3,0)),"")</f>
        <v/>
      </c>
      <c r="J4888" s="55" t="str">
        <f>IFERROR(IF($G4888="","",VLOOKUP('Dashboard And Emails Automate'!$G4888,Database!$H:$N,4,0)),"")</f>
        <v/>
      </c>
      <c r="K4888" s="55" t="str">
        <f>IFERROR(IF($G4888="","",VLOOKUP('Dashboard And Emails Automate'!$G4888,Database!$H:$N,5,0)),"")</f>
        <v/>
      </c>
      <c r="L4888" s="55" t="str">
        <f>IFERROR(IF($G4888="","",VLOOKUP('Dashboard And Emails Automate'!$G4888,Database!$H:$N,6,0)),"")</f>
        <v/>
      </c>
      <c r="M4888" s="55" t="str">
        <f>IFERROR(IF($G4888="","",VLOOKUP('Dashboard And Emails Automate'!$G4888,Database!$H:$N,7,0)),"")</f>
        <v/>
      </c>
      <c r="N4888" s="55" t="str">
        <f>IFERROR(IF(OR($B4888="",$B4888="(blank)"),"",VLOOKUP($B4888,'Email Marketing Raw Data'!$C:$O,6,0)),"")</f>
        <v/>
      </c>
      <c r="O4888" s="55" t="str">
        <f>IFERROR(IF(OR($B4888="",$B4888="(blank)"),"",VLOOKUP($B4888,'Email Marketing Raw Data'!$C:$O,7,0)),"")</f>
        <v/>
      </c>
      <c r="P4888" s="55" t="str">
        <f>IFERROR(IF(OR($B4888="",$B4888="(blank)"),"",VLOOKUP($B4888,'Email Marketing Raw Data'!$C:$O,8,0)),"")</f>
        <v/>
      </c>
      <c r="Q4888" s="62" t="str">
        <f>IFERROR(IF(OR($B4888="",$B4888="(blank)"),"",VLOOKUP($B4888,'Email Marketing Raw Data'!$C:$O,9,0)),"")</f>
        <v/>
      </c>
    </row>
    <row r="4889" spans="4:17" ht="12.75" customHeight="1" x14ac:dyDescent="0.2">
      <c r="D4889" s="58" t="str">
        <f>IFERROR(IF(F4889&lt;&gt;"pending","",IF(OR($B4889="",$B4889="(blank)"),"",VLOOKUP($B4889,'Email Marketing Raw Data'!$C:$O,10,0))),"")</f>
        <v/>
      </c>
      <c r="E4889" s="59" t="str">
        <f>IFERROR(IF(F4889&lt;&gt;"pending","",IF(OR($B4889="",$B4889="(blank)"),"",VLOOKUP($B4889,'Email Marketing Raw Data'!$C:$O,11,0))),"")</f>
        <v/>
      </c>
      <c r="F4889" s="54" t="str">
        <f>IFERROR(IF(OR($B4889="",$B4889="(blank)"),"",VLOOKUP($B4889,'Email Marketing Raw Data'!$C:$O,13,0)),"")</f>
        <v/>
      </c>
      <c r="G4889" s="55" t="str">
        <f>IFERROR(IF(OR($B4889="",$B4889="(blank)"),"",VLOOKUP($B4889,'Email Marketing Raw Data'!$C:$O,4,0)),"")</f>
        <v/>
      </c>
      <c r="H4889" s="55" t="str">
        <f>IFERROR(IF(OR($B4889="",$B4889="(blank)"),"",VLOOKUP($B4889,'Email Marketing Raw Data'!$C:$O,5,0)),"")</f>
        <v/>
      </c>
      <c r="I4889" s="55" t="str">
        <f>IFERROR(IF($G4889="","",VLOOKUP('Dashboard And Emails Automate'!$G4889,Database!$H:$N,3,0)),"")</f>
        <v/>
      </c>
      <c r="J4889" s="55" t="str">
        <f>IFERROR(IF($G4889="","",VLOOKUP('Dashboard And Emails Automate'!$G4889,Database!$H:$N,4,0)),"")</f>
        <v/>
      </c>
      <c r="K4889" s="55" t="str">
        <f>IFERROR(IF($G4889="","",VLOOKUP('Dashboard And Emails Automate'!$G4889,Database!$H:$N,5,0)),"")</f>
        <v/>
      </c>
      <c r="L4889" s="55" t="str">
        <f>IFERROR(IF($G4889="","",VLOOKUP('Dashboard And Emails Automate'!$G4889,Database!$H:$N,6,0)),"")</f>
        <v/>
      </c>
      <c r="M4889" s="55" t="str">
        <f>IFERROR(IF($G4889="","",VLOOKUP('Dashboard And Emails Automate'!$G4889,Database!$H:$N,7,0)),"")</f>
        <v/>
      </c>
      <c r="N4889" s="55" t="str">
        <f>IFERROR(IF(OR($B4889="",$B4889="(blank)"),"",VLOOKUP($B4889,'Email Marketing Raw Data'!$C:$O,6,0)),"")</f>
        <v/>
      </c>
      <c r="O4889" s="55" t="str">
        <f>IFERROR(IF(OR($B4889="",$B4889="(blank)"),"",VLOOKUP($B4889,'Email Marketing Raw Data'!$C:$O,7,0)),"")</f>
        <v/>
      </c>
      <c r="P4889" s="55" t="str">
        <f>IFERROR(IF(OR($B4889="",$B4889="(blank)"),"",VLOOKUP($B4889,'Email Marketing Raw Data'!$C:$O,8,0)),"")</f>
        <v/>
      </c>
      <c r="Q4889" s="62" t="str">
        <f>IFERROR(IF(OR($B4889="",$B4889="(blank)"),"",VLOOKUP($B4889,'Email Marketing Raw Data'!$C:$O,9,0)),"")</f>
        <v/>
      </c>
    </row>
    <row r="4890" spans="4:17" ht="12.75" customHeight="1" x14ac:dyDescent="0.2">
      <c r="D4890" s="58" t="str">
        <f>IFERROR(IF(F4890&lt;&gt;"pending","",IF(OR($B4890="",$B4890="(blank)"),"",VLOOKUP($B4890,'Email Marketing Raw Data'!$C:$O,10,0))),"")</f>
        <v/>
      </c>
      <c r="E4890" s="59" t="str">
        <f>IFERROR(IF(F4890&lt;&gt;"pending","",IF(OR($B4890="",$B4890="(blank)"),"",VLOOKUP($B4890,'Email Marketing Raw Data'!$C:$O,11,0))),"")</f>
        <v/>
      </c>
      <c r="F4890" s="54" t="str">
        <f>IFERROR(IF(OR($B4890="",$B4890="(blank)"),"",VLOOKUP($B4890,'Email Marketing Raw Data'!$C:$O,13,0)),"")</f>
        <v/>
      </c>
      <c r="G4890" s="55" t="str">
        <f>IFERROR(IF(OR($B4890="",$B4890="(blank)"),"",VLOOKUP($B4890,'Email Marketing Raw Data'!$C:$O,4,0)),"")</f>
        <v/>
      </c>
      <c r="H4890" s="55" t="str">
        <f>IFERROR(IF(OR($B4890="",$B4890="(blank)"),"",VLOOKUP($B4890,'Email Marketing Raw Data'!$C:$O,5,0)),"")</f>
        <v/>
      </c>
      <c r="I4890" s="55" t="str">
        <f>IFERROR(IF($G4890="","",VLOOKUP('Dashboard And Emails Automate'!$G4890,Database!$H:$N,3,0)),"")</f>
        <v/>
      </c>
      <c r="J4890" s="55" t="str">
        <f>IFERROR(IF($G4890="","",VLOOKUP('Dashboard And Emails Automate'!$G4890,Database!$H:$N,4,0)),"")</f>
        <v/>
      </c>
      <c r="K4890" s="55" t="str">
        <f>IFERROR(IF($G4890="","",VLOOKUP('Dashboard And Emails Automate'!$G4890,Database!$H:$N,5,0)),"")</f>
        <v/>
      </c>
      <c r="L4890" s="55" t="str">
        <f>IFERROR(IF($G4890="","",VLOOKUP('Dashboard And Emails Automate'!$G4890,Database!$H:$N,6,0)),"")</f>
        <v/>
      </c>
      <c r="M4890" s="55" t="str">
        <f>IFERROR(IF($G4890="","",VLOOKUP('Dashboard And Emails Automate'!$G4890,Database!$H:$N,7,0)),"")</f>
        <v/>
      </c>
      <c r="N4890" s="55" t="str">
        <f>IFERROR(IF(OR($B4890="",$B4890="(blank)"),"",VLOOKUP($B4890,'Email Marketing Raw Data'!$C:$O,6,0)),"")</f>
        <v/>
      </c>
      <c r="O4890" s="55" t="str">
        <f>IFERROR(IF(OR($B4890="",$B4890="(blank)"),"",VLOOKUP($B4890,'Email Marketing Raw Data'!$C:$O,7,0)),"")</f>
        <v/>
      </c>
      <c r="P4890" s="55" t="str">
        <f>IFERROR(IF(OR($B4890="",$B4890="(blank)"),"",VLOOKUP($B4890,'Email Marketing Raw Data'!$C:$O,8,0)),"")</f>
        <v/>
      </c>
      <c r="Q4890" s="62" t="str">
        <f>IFERROR(IF(OR($B4890="",$B4890="(blank)"),"",VLOOKUP($B4890,'Email Marketing Raw Data'!$C:$O,9,0)),"")</f>
        <v/>
      </c>
    </row>
    <row r="4891" spans="4:17" ht="12.75" customHeight="1" x14ac:dyDescent="0.2">
      <c r="D4891" s="58" t="str">
        <f>IFERROR(IF(F4891&lt;&gt;"pending","",IF(OR($B4891="",$B4891="(blank)"),"",VLOOKUP($B4891,'Email Marketing Raw Data'!$C:$O,10,0))),"")</f>
        <v/>
      </c>
      <c r="E4891" s="59" t="str">
        <f>IFERROR(IF(F4891&lt;&gt;"pending","",IF(OR($B4891="",$B4891="(blank)"),"",VLOOKUP($B4891,'Email Marketing Raw Data'!$C:$O,11,0))),"")</f>
        <v/>
      </c>
      <c r="F4891" s="54" t="str">
        <f>IFERROR(IF(OR($B4891="",$B4891="(blank)"),"",VLOOKUP($B4891,'Email Marketing Raw Data'!$C:$O,13,0)),"")</f>
        <v/>
      </c>
      <c r="G4891" s="55" t="str">
        <f>IFERROR(IF(OR($B4891="",$B4891="(blank)"),"",VLOOKUP($B4891,'Email Marketing Raw Data'!$C:$O,4,0)),"")</f>
        <v/>
      </c>
      <c r="H4891" s="55" t="str">
        <f>IFERROR(IF(OR($B4891="",$B4891="(blank)"),"",VLOOKUP($B4891,'Email Marketing Raw Data'!$C:$O,5,0)),"")</f>
        <v/>
      </c>
      <c r="I4891" s="55" t="str">
        <f>IFERROR(IF($G4891="","",VLOOKUP('Dashboard And Emails Automate'!$G4891,Database!$H:$N,3,0)),"")</f>
        <v/>
      </c>
      <c r="J4891" s="55" t="str">
        <f>IFERROR(IF($G4891="","",VLOOKUP('Dashboard And Emails Automate'!$G4891,Database!$H:$N,4,0)),"")</f>
        <v/>
      </c>
      <c r="K4891" s="55" t="str">
        <f>IFERROR(IF($G4891="","",VLOOKUP('Dashboard And Emails Automate'!$G4891,Database!$H:$N,5,0)),"")</f>
        <v/>
      </c>
      <c r="L4891" s="55" t="str">
        <f>IFERROR(IF($G4891="","",VLOOKUP('Dashboard And Emails Automate'!$G4891,Database!$H:$N,6,0)),"")</f>
        <v/>
      </c>
      <c r="M4891" s="55" t="str">
        <f>IFERROR(IF($G4891="","",VLOOKUP('Dashboard And Emails Automate'!$G4891,Database!$H:$N,7,0)),"")</f>
        <v/>
      </c>
      <c r="N4891" s="55" t="str">
        <f>IFERROR(IF(OR($B4891="",$B4891="(blank)"),"",VLOOKUP($B4891,'Email Marketing Raw Data'!$C:$O,6,0)),"")</f>
        <v/>
      </c>
      <c r="O4891" s="55" t="str">
        <f>IFERROR(IF(OR($B4891="",$B4891="(blank)"),"",VLOOKUP($B4891,'Email Marketing Raw Data'!$C:$O,7,0)),"")</f>
        <v/>
      </c>
      <c r="P4891" s="55" t="str">
        <f>IFERROR(IF(OR($B4891="",$B4891="(blank)"),"",VLOOKUP($B4891,'Email Marketing Raw Data'!$C:$O,8,0)),"")</f>
        <v/>
      </c>
      <c r="Q4891" s="62" t="str">
        <f>IFERROR(IF(OR($B4891="",$B4891="(blank)"),"",VLOOKUP($B4891,'Email Marketing Raw Data'!$C:$O,9,0)),"")</f>
        <v/>
      </c>
    </row>
    <row r="4892" spans="4:17" ht="12.75" customHeight="1" x14ac:dyDescent="0.2">
      <c r="D4892" s="58" t="str">
        <f>IFERROR(IF(F4892&lt;&gt;"pending","",IF(OR($B4892="",$B4892="(blank)"),"",VLOOKUP($B4892,'Email Marketing Raw Data'!$C:$O,10,0))),"")</f>
        <v/>
      </c>
      <c r="E4892" s="59" t="str">
        <f>IFERROR(IF(F4892&lt;&gt;"pending","",IF(OR($B4892="",$B4892="(blank)"),"",VLOOKUP($B4892,'Email Marketing Raw Data'!$C:$O,11,0))),"")</f>
        <v/>
      </c>
      <c r="F4892" s="54" t="str">
        <f>IFERROR(IF(OR($B4892="",$B4892="(blank)"),"",VLOOKUP($B4892,'Email Marketing Raw Data'!$C:$O,13,0)),"")</f>
        <v/>
      </c>
      <c r="G4892" s="55" t="str">
        <f>IFERROR(IF(OR($B4892="",$B4892="(blank)"),"",VLOOKUP($B4892,'Email Marketing Raw Data'!$C:$O,4,0)),"")</f>
        <v/>
      </c>
      <c r="H4892" s="55" t="str">
        <f>IFERROR(IF(OR($B4892="",$B4892="(blank)"),"",VLOOKUP($B4892,'Email Marketing Raw Data'!$C:$O,5,0)),"")</f>
        <v/>
      </c>
      <c r="I4892" s="55" t="str">
        <f>IFERROR(IF($G4892="","",VLOOKUP('Dashboard And Emails Automate'!$G4892,Database!$H:$N,3,0)),"")</f>
        <v/>
      </c>
      <c r="J4892" s="55" t="str">
        <f>IFERROR(IF($G4892="","",VLOOKUP('Dashboard And Emails Automate'!$G4892,Database!$H:$N,4,0)),"")</f>
        <v/>
      </c>
      <c r="K4892" s="55" t="str">
        <f>IFERROR(IF($G4892="","",VLOOKUP('Dashboard And Emails Automate'!$G4892,Database!$H:$N,5,0)),"")</f>
        <v/>
      </c>
      <c r="L4892" s="55" t="str">
        <f>IFERROR(IF($G4892="","",VLOOKUP('Dashboard And Emails Automate'!$G4892,Database!$H:$N,6,0)),"")</f>
        <v/>
      </c>
      <c r="M4892" s="55" t="str">
        <f>IFERROR(IF($G4892="","",VLOOKUP('Dashboard And Emails Automate'!$G4892,Database!$H:$N,7,0)),"")</f>
        <v/>
      </c>
      <c r="N4892" s="55" t="str">
        <f>IFERROR(IF(OR($B4892="",$B4892="(blank)"),"",VLOOKUP($B4892,'Email Marketing Raw Data'!$C:$O,6,0)),"")</f>
        <v/>
      </c>
      <c r="O4892" s="55" t="str">
        <f>IFERROR(IF(OR($B4892="",$B4892="(blank)"),"",VLOOKUP($B4892,'Email Marketing Raw Data'!$C:$O,7,0)),"")</f>
        <v/>
      </c>
      <c r="P4892" s="55" t="str">
        <f>IFERROR(IF(OR($B4892="",$B4892="(blank)"),"",VLOOKUP($B4892,'Email Marketing Raw Data'!$C:$O,8,0)),"")</f>
        <v/>
      </c>
      <c r="Q4892" s="62" t="str">
        <f>IFERROR(IF(OR($B4892="",$B4892="(blank)"),"",VLOOKUP($B4892,'Email Marketing Raw Data'!$C:$O,9,0)),"")</f>
        <v/>
      </c>
    </row>
    <row r="4893" spans="4:17" ht="12.75" customHeight="1" x14ac:dyDescent="0.2">
      <c r="D4893" s="58" t="str">
        <f>IFERROR(IF(F4893&lt;&gt;"pending","",IF(OR($B4893="",$B4893="(blank)"),"",VLOOKUP($B4893,'Email Marketing Raw Data'!$C:$O,10,0))),"")</f>
        <v/>
      </c>
      <c r="E4893" s="59" t="str">
        <f>IFERROR(IF(F4893&lt;&gt;"pending","",IF(OR($B4893="",$B4893="(blank)"),"",VLOOKUP($B4893,'Email Marketing Raw Data'!$C:$O,11,0))),"")</f>
        <v/>
      </c>
      <c r="F4893" s="54" t="str">
        <f>IFERROR(IF(OR($B4893="",$B4893="(blank)"),"",VLOOKUP($B4893,'Email Marketing Raw Data'!$C:$O,13,0)),"")</f>
        <v/>
      </c>
      <c r="G4893" s="55" t="str">
        <f>IFERROR(IF(OR($B4893="",$B4893="(blank)"),"",VLOOKUP($B4893,'Email Marketing Raw Data'!$C:$O,4,0)),"")</f>
        <v/>
      </c>
      <c r="H4893" s="55" t="str">
        <f>IFERROR(IF(OR($B4893="",$B4893="(blank)"),"",VLOOKUP($B4893,'Email Marketing Raw Data'!$C:$O,5,0)),"")</f>
        <v/>
      </c>
      <c r="I4893" s="55" t="str">
        <f>IFERROR(IF($G4893="","",VLOOKUP('Dashboard And Emails Automate'!$G4893,Database!$H:$N,3,0)),"")</f>
        <v/>
      </c>
      <c r="J4893" s="55" t="str">
        <f>IFERROR(IF($G4893="","",VLOOKUP('Dashboard And Emails Automate'!$G4893,Database!$H:$N,4,0)),"")</f>
        <v/>
      </c>
      <c r="K4893" s="55" t="str">
        <f>IFERROR(IF($G4893="","",VLOOKUP('Dashboard And Emails Automate'!$G4893,Database!$H:$N,5,0)),"")</f>
        <v/>
      </c>
      <c r="L4893" s="55" t="str">
        <f>IFERROR(IF($G4893="","",VLOOKUP('Dashboard And Emails Automate'!$G4893,Database!$H:$N,6,0)),"")</f>
        <v/>
      </c>
      <c r="M4893" s="55" t="str">
        <f>IFERROR(IF($G4893="","",VLOOKUP('Dashboard And Emails Automate'!$G4893,Database!$H:$N,7,0)),"")</f>
        <v/>
      </c>
      <c r="N4893" s="55" t="str">
        <f>IFERROR(IF(OR($B4893="",$B4893="(blank)"),"",VLOOKUP($B4893,'Email Marketing Raw Data'!$C:$O,6,0)),"")</f>
        <v/>
      </c>
      <c r="O4893" s="55" t="str">
        <f>IFERROR(IF(OR($B4893="",$B4893="(blank)"),"",VLOOKUP($B4893,'Email Marketing Raw Data'!$C:$O,7,0)),"")</f>
        <v/>
      </c>
      <c r="P4893" s="55" t="str">
        <f>IFERROR(IF(OR($B4893="",$B4893="(blank)"),"",VLOOKUP($B4893,'Email Marketing Raw Data'!$C:$O,8,0)),"")</f>
        <v/>
      </c>
      <c r="Q4893" s="62" t="str">
        <f>IFERROR(IF(OR($B4893="",$B4893="(blank)"),"",VLOOKUP($B4893,'Email Marketing Raw Data'!$C:$O,9,0)),"")</f>
        <v/>
      </c>
    </row>
    <row r="4894" spans="4:17" ht="12.75" customHeight="1" x14ac:dyDescent="0.2">
      <c r="D4894" s="58" t="str">
        <f>IFERROR(IF(F4894&lt;&gt;"pending","",IF(OR($B4894="",$B4894="(blank)"),"",VLOOKUP($B4894,'Email Marketing Raw Data'!$C:$O,10,0))),"")</f>
        <v/>
      </c>
      <c r="E4894" s="59" t="str">
        <f>IFERROR(IF(F4894&lt;&gt;"pending","",IF(OR($B4894="",$B4894="(blank)"),"",VLOOKUP($B4894,'Email Marketing Raw Data'!$C:$O,11,0))),"")</f>
        <v/>
      </c>
      <c r="F4894" s="54" t="str">
        <f>IFERROR(IF(OR($B4894="",$B4894="(blank)"),"",VLOOKUP($B4894,'Email Marketing Raw Data'!$C:$O,13,0)),"")</f>
        <v/>
      </c>
      <c r="G4894" s="55" t="str">
        <f>IFERROR(IF(OR($B4894="",$B4894="(blank)"),"",VLOOKUP($B4894,'Email Marketing Raw Data'!$C:$O,4,0)),"")</f>
        <v/>
      </c>
      <c r="H4894" s="55" t="str">
        <f>IFERROR(IF(OR($B4894="",$B4894="(blank)"),"",VLOOKUP($B4894,'Email Marketing Raw Data'!$C:$O,5,0)),"")</f>
        <v/>
      </c>
      <c r="I4894" s="55" t="str">
        <f>IFERROR(IF($G4894="","",VLOOKUP('Dashboard And Emails Automate'!$G4894,Database!$H:$N,3,0)),"")</f>
        <v/>
      </c>
      <c r="J4894" s="55" t="str">
        <f>IFERROR(IF($G4894="","",VLOOKUP('Dashboard And Emails Automate'!$G4894,Database!$H:$N,4,0)),"")</f>
        <v/>
      </c>
      <c r="K4894" s="55" t="str">
        <f>IFERROR(IF($G4894="","",VLOOKUP('Dashboard And Emails Automate'!$G4894,Database!$H:$N,5,0)),"")</f>
        <v/>
      </c>
      <c r="L4894" s="55" t="str">
        <f>IFERROR(IF($G4894="","",VLOOKUP('Dashboard And Emails Automate'!$G4894,Database!$H:$N,6,0)),"")</f>
        <v/>
      </c>
      <c r="M4894" s="55" t="str">
        <f>IFERROR(IF($G4894="","",VLOOKUP('Dashboard And Emails Automate'!$G4894,Database!$H:$N,7,0)),"")</f>
        <v/>
      </c>
      <c r="N4894" s="55" t="str">
        <f>IFERROR(IF(OR($B4894="",$B4894="(blank)"),"",VLOOKUP($B4894,'Email Marketing Raw Data'!$C:$O,6,0)),"")</f>
        <v/>
      </c>
      <c r="O4894" s="55" t="str">
        <f>IFERROR(IF(OR($B4894="",$B4894="(blank)"),"",VLOOKUP($B4894,'Email Marketing Raw Data'!$C:$O,7,0)),"")</f>
        <v/>
      </c>
      <c r="P4894" s="55" t="str">
        <f>IFERROR(IF(OR($B4894="",$B4894="(blank)"),"",VLOOKUP($B4894,'Email Marketing Raw Data'!$C:$O,8,0)),"")</f>
        <v/>
      </c>
      <c r="Q4894" s="62" t="str">
        <f>IFERROR(IF(OR($B4894="",$B4894="(blank)"),"",VLOOKUP($B4894,'Email Marketing Raw Data'!$C:$O,9,0)),"")</f>
        <v/>
      </c>
    </row>
    <row r="4895" spans="4:17" ht="12.75" customHeight="1" x14ac:dyDescent="0.2">
      <c r="D4895" s="58" t="str">
        <f>IFERROR(IF(F4895&lt;&gt;"pending","",IF(OR($B4895="",$B4895="(blank)"),"",VLOOKUP($B4895,'Email Marketing Raw Data'!$C:$O,10,0))),"")</f>
        <v/>
      </c>
      <c r="E4895" s="59" t="str">
        <f>IFERROR(IF(F4895&lt;&gt;"pending","",IF(OR($B4895="",$B4895="(blank)"),"",VLOOKUP($B4895,'Email Marketing Raw Data'!$C:$O,11,0))),"")</f>
        <v/>
      </c>
      <c r="F4895" s="54" t="str">
        <f>IFERROR(IF(OR($B4895="",$B4895="(blank)"),"",VLOOKUP($B4895,'Email Marketing Raw Data'!$C:$O,13,0)),"")</f>
        <v/>
      </c>
      <c r="G4895" s="55" t="str">
        <f>IFERROR(IF(OR($B4895="",$B4895="(blank)"),"",VLOOKUP($B4895,'Email Marketing Raw Data'!$C:$O,4,0)),"")</f>
        <v/>
      </c>
      <c r="H4895" s="55" t="str">
        <f>IFERROR(IF(OR($B4895="",$B4895="(blank)"),"",VLOOKUP($B4895,'Email Marketing Raw Data'!$C:$O,5,0)),"")</f>
        <v/>
      </c>
      <c r="I4895" s="55" t="str">
        <f>IFERROR(IF($G4895="","",VLOOKUP('Dashboard And Emails Automate'!$G4895,Database!$H:$N,3,0)),"")</f>
        <v/>
      </c>
      <c r="J4895" s="55" t="str">
        <f>IFERROR(IF($G4895="","",VLOOKUP('Dashboard And Emails Automate'!$G4895,Database!$H:$N,4,0)),"")</f>
        <v/>
      </c>
      <c r="K4895" s="55" t="str">
        <f>IFERROR(IF($G4895="","",VLOOKUP('Dashboard And Emails Automate'!$G4895,Database!$H:$N,5,0)),"")</f>
        <v/>
      </c>
      <c r="L4895" s="55" t="str">
        <f>IFERROR(IF($G4895="","",VLOOKUP('Dashboard And Emails Automate'!$G4895,Database!$H:$N,6,0)),"")</f>
        <v/>
      </c>
      <c r="M4895" s="55" t="str">
        <f>IFERROR(IF($G4895="","",VLOOKUP('Dashboard And Emails Automate'!$G4895,Database!$H:$N,7,0)),"")</f>
        <v/>
      </c>
      <c r="N4895" s="55" t="str">
        <f>IFERROR(IF(OR($B4895="",$B4895="(blank)"),"",VLOOKUP($B4895,'Email Marketing Raw Data'!$C:$O,6,0)),"")</f>
        <v/>
      </c>
      <c r="O4895" s="55" t="str">
        <f>IFERROR(IF(OR($B4895="",$B4895="(blank)"),"",VLOOKUP($B4895,'Email Marketing Raw Data'!$C:$O,7,0)),"")</f>
        <v/>
      </c>
      <c r="P4895" s="55" t="str">
        <f>IFERROR(IF(OR($B4895="",$B4895="(blank)"),"",VLOOKUP($B4895,'Email Marketing Raw Data'!$C:$O,8,0)),"")</f>
        <v/>
      </c>
      <c r="Q4895" s="62" t="str">
        <f>IFERROR(IF(OR($B4895="",$B4895="(blank)"),"",VLOOKUP($B4895,'Email Marketing Raw Data'!$C:$O,9,0)),"")</f>
        <v/>
      </c>
    </row>
    <row r="4896" spans="4:17" ht="12.75" customHeight="1" x14ac:dyDescent="0.2">
      <c r="D4896" s="58" t="str">
        <f>IFERROR(IF(F4896&lt;&gt;"pending","",IF(OR($B4896="",$B4896="(blank)"),"",VLOOKUP($B4896,'Email Marketing Raw Data'!$C:$O,10,0))),"")</f>
        <v/>
      </c>
      <c r="E4896" s="59" t="str">
        <f>IFERROR(IF(F4896&lt;&gt;"pending","",IF(OR($B4896="",$B4896="(blank)"),"",VLOOKUP($B4896,'Email Marketing Raw Data'!$C:$O,11,0))),"")</f>
        <v/>
      </c>
      <c r="F4896" s="54" t="str">
        <f>IFERROR(IF(OR($B4896="",$B4896="(blank)"),"",VLOOKUP($B4896,'Email Marketing Raw Data'!$C:$O,13,0)),"")</f>
        <v/>
      </c>
      <c r="G4896" s="55" t="str">
        <f>IFERROR(IF(OR($B4896="",$B4896="(blank)"),"",VLOOKUP($B4896,'Email Marketing Raw Data'!$C:$O,4,0)),"")</f>
        <v/>
      </c>
      <c r="H4896" s="55" t="str">
        <f>IFERROR(IF(OR($B4896="",$B4896="(blank)"),"",VLOOKUP($B4896,'Email Marketing Raw Data'!$C:$O,5,0)),"")</f>
        <v/>
      </c>
      <c r="I4896" s="55" t="str">
        <f>IFERROR(IF($G4896="","",VLOOKUP('Dashboard And Emails Automate'!$G4896,Database!$H:$N,3,0)),"")</f>
        <v/>
      </c>
      <c r="J4896" s="55" t="str">
        <f>IFERROR(IF($G4896="","",VLOOKUP('Dashboard And Emails Automate'!$G4896,Database!$H:$N,4,0)),"")</f>
        <v/>
      </c>
      <c r="K4896" s="55" t="str">
        <f>IFERROR(IF($G4896="","",VLOOKUP('Dashboard And Emails Automate'!$G4896,Database!$H:$N,5,0)),"")</f>
        <v/>
      </c>
      <c r="L4896" s="55" t="str">
        <f>IFERROR(IF($G4896="","",VLOOKUP('Dashboard And Emails Automate'!$G4896,Database!$H:$N,6,0)),"")</f>
        <v/>
      </c>
      <c r="M4896" s="55" t="str">
        <f>IFERROR(IF($G4896="","",VLOOKUP('Dashboard And Emails Automate'!$G4896,Database!$H:$N,7,0)),"")</f>
        <v/>
      </c>
      <c r="N4896" s="55" t="str">
        <f>IFERROR(IF(OR($B4896="",$B4896="(blank)"),"",VLOOKUP($B4896,'Email Marketing Raw Data'!$C:$O,6,0)),"")</f>
        <v/>
      </c>
      <c r="O4896" s="55" t="str">
        <f>IFERROR(IF(OR($B4896="",$B4896="(blank)"),"",VLOOKUP($B4896,'Email Marketing Raw Data'!$C:$O,7,0)),"")</f>
        <v/>
      </c>
      <c r="P4896" s="55" t="str">
        <f>IFERROR(IF(OR($B4896="",$B4896="(blank)"),"",VLOOKUP($B4896,'Email Marketing Raw Data'!$C:$O,8,0)),"")</f>
        <v/>
      </c>
      <c r="Q4896" s="62" t="str">
        <f>IFERROR(IF(OR($B4896="",$B4896="(blank)"),"",VLOOKUP($B4896,'Email Marketing Raw Data'!$C:$O,9,0)),"")</f>
        <v/>
      </c>
    </row>
    <row r="4897" spans="4:17" ht="12.75" customHeight="1" x14ac:dyDescent="0.2">
      <c r="D4897" s="58" t="str">
        <f>IFERROR(IF(F4897&lt;&gt;"pending","",IF(OR($B4897="",$B4897="(blank)"),"",VLOOKUP($B4897,'Email Marketing Raw Data'!$C:$O,10,0))),"")</f>
        <v/>
      </c>
      <c r="E4897" s="59" t="str">
        <f>IFERROR(IF(F4897&lt;&gt;"pending","",IF(OR($B4897="",$B4897="(blank)"),"",VLOOKUP($B4897,'Email Marketing Raw Data'!$C:$O,11,0))),"")</f>
        <v/>
      </c>
      <c r="F4897" s="54" t="str">
        <f>IFERROR(IF(OR($B4897="",$B4897="(blank)"),"",VLOOKUP($B4897,'Email Marketing Raw Data'!$C:$O,13,0)),"")</f>
        <v/>
      </c>
      <c r="G4897" s="55" t="str">
        <f>IFERROR(IF(OR($B4897="",$B4897="(blank)"),"",VLOOKUP($B4897,'Email Marketing Raw Data'!$C:$O,4,0)),"")</f>
        <v/>
      </c>
      <c r="H4897" s="55" t="str">
        <f>IFERROR(IF(OR($B4897="",$B4897="(blank)"),"",VLOOKUP($B4897,'Email Marketing Raw Data'!$C:$O,5,0)),"")</f>
        <v/>
      </c>
      <c r="I4897" s="55" t="str">
        <f>IFERROR(IF($G4897="","",VLOOKUP('Dashboard And Emails Automate'!$G4897,Database!$H:$N,3,0)),"")</f>
        <v/>
      </c>
      <c r="J4897" s="55" t="str">
        <f>IFERROR(IF($G4897="","",VLOOKUP('Dashboard And Emails Automate'!$G4897,Database!$H:$N,4,0)),"")</f>
        <v/>
      </c>
      <c r="K4897" s="55" t="str">
        <f>IFERROR(IF($G4897="","",VLOOKUP('Dashboard And Emails Automate'!$G4897,Database!$H:$N,5,0)),"")</f>
        <v/>
      </c>
      <c r="L4897" s="55" t="str">
        <f>IFERROR(IF($G4897="","",VLOOKUP('Dashboard And Emails Automate'!$G4897,Database!$H:$N,6,0)),"")</f>
        <v/>
      </c>
      <c r="M4897" s="55" t="str">
        <f>IFERROR(IF($G4897="","",VLOOKUP('Dashboard And Emails Automate'!$G4897,Database!$H:$N,7,0)),"")</f>
        <v/>
      </c>
      <c r="N4897" s="55" t="str">
        <f>IFERROR(IF(OR($B4897="",$B4897="(blank)"),"",VLOOKUP($B4897,'Email Marketing Raw Data'!$C:$O,6,0)),"")</f>
        <v/>
      </c>
      <c r="O4897" s="55" t="str">
        <f>IFERROR(IF(OR($B4897="",$B4897="(blank)"),"",VLOOKUP($B4897,'Email Marketing Raw Data'!$C:$O,7,0)),"")</f>
        <v/>
      </c>
      <c r="P4897" s="55" t="str">
        <f>IFERROR(IF(OR($B4897="",$B4897="(blank)"),"",VLOOKUP($B4897,'Email Marketing Raw Data'!$C:$O,8,0)),"")</f>
        <v/>
      </c>
      <c r="Q4897" s="62" t="str">
        <f>IFERROR(IF(OR($B4897="",$B4897="(blank)"),"",VLOOKUP($B4897,'Email Marketing Raw Data'!$C:$O,9,0)),"")</f>
        <v/>
      </c>
    </row>
    <row r="4898" spans="4:17" ht="12.75" customHeight="1" x14ac:dyDescent="0.2">
      <c r="D4898" s="58" t="str">
        <f>IFERROR(IF(F4898&lt;&gt;"pending","",IF(OR($B4898="",$B4898="(blank)"),"",VLOOKUP($B4898,'Email Marketing Raw Data'!$C:$O,10,0))),"")</f>
        <v/>
      </c>
      <c r="E4898" s="59" t="str">
        <f>IFERROR(IF(F4898&lt;&gt;"pending","",IF(OR($B4898="",$B4898="(blank)"),"",VLOOKUP($B4898,'Email Marketing Raw Data'!$C:$O,11,0))),"")</f>
        <v/>
      </c>
      <c r="F4898" s="54" t="str">
        <f>IFERROR(IF(OR($B4898="",$B4898="(blank)"),"",VLOOKUP($B4898,'Email Marketing Raw Data'!$C:$O,13,0)),"")</f>
        <v/>
      </c>
      <c r="G4898" s="55" t="str">
        <f>IFERROR(IF(OR($B4898="",$B4898="(blank)"),"",VLOOKUP($B4898,'Email Marketing Raw Data'!$C:$O,4,0)),"")</f>
        <v/>
      </c>
      <c r="H4898" s="55" t="str">
        <f>IFERROR(IF(OR($B4898="",$B4898="(blank)"),"",VLOOKUP($B4898,'Email Marketing Raw Data'!$C:$O,5,0)),"")</f>
        <v/>
      </c>
      <c r="I4898" s="55" t="str">
        <f>IFERROR(IF($G4898="","",VLOOKUP('Dashboard And Emails Automate'!$G4898,Database!$H:$N,3,0)),"")</f>
        <v/>
      </c>
      <c r="J4898" s="55" t="str">
        <f>IFERROR(IF($G4898="","",VLOOKUP('Dashboard And Emails Automate'!$G4898,Database!$H:$N,4,0)),"")</f>
        <v/>
      </c>
      <c r="K4898" s="55" t="str">
        <f>IFERROR(IF($G4898="","",VLOOKUP('Dashboard And Emails Automate'!$G4898,Database!$H:$N,5,0)),"")</f>
        <v/>
      </c>
      <c r="L4898" s="55" t="str">
        <f>IFERROR(IF($G4898="","",VLOOKUP('Dashboard And Emails Automate'!$G4898,Database!$H:$N,6,0)),"")</f>
        <v/>
      </c>
      <c r="M4898" s="55" t="str">
        <f>IFERROR(IF($G4898="","",VLOOKUP('Dashboard And Emails Automate'!$G4898,Database!$H:$N,7,0)),"")</f>
        <v/>
      </c>
      <c r="N4898" s="55" t="str">
        <f>IFERROR(IF(OR($B4898="",$B4898="(blank)"),"",VLOOKUP($B4898,'Email Marketing Raw Data'!$C:$O,6,0)),"")</f>
        <v/>
      </c>
      <c r="O4898" s="55" t="str">
        <f>IFERROR(IF(OR($B4898="",$B4898="(blank)"),"",VLOOKUP($B4898,'Email Marketing Raw Data'!$C:$O,7,0)),"")</f>
        <v/>
      </c>
      <c r="P4898" s="55" t="str">
        <f>IFERROR(IF(OR($B4898="",$B4898="(blank)"),"",VLOOKUP($B4898,'Email Marketing Raw Data'!$C:$O,8,0)),"")</f>
        <v/>
      </c>
      <c r="Q4898" s="62" t="str">
        <f>IFERROR(IF(OR($B4898="",$B4898="(blank)"),"",VLOOKUP($B4898,'Email Marketing Raw Data'!$C:$O,9,0)),"")</f>
        <v/>
      </c>
    </row>
    <row r="4899" spans="4:17" ht="12.75" customHeight="1" x14ac:dyDescent="0.2">
      <c r="D4899" s="58" t="str">
        <f>IFERROR(IF(F4899&lt;&gt;"pending","",IF(OR($B4899="",$B4899="(blank)"),"",VLOOKUP($B4899,'Email Marketing Raw Data'!$C:$O,10,0))),"")</f>
        <v/>
      </c>
      <c r="E4899" s="59" t="str">
        <f>IFERROR(IF(F4899&lt;&gt;"pending","",IF(OR($B4899="",$B4899="(blank)"),"",VLOOKUP($B4899,'Email Marketing Raw Data'!$C:$O,11,0))),"")</f>
        <v/>
      </c>
      <c r="F4899" s="54" t="str">
        <f>IFERROR(IF(OR($B4899="",$B4899="(blank)"),"",VLOOKUP($B4899,'Email Marketing Raw Data'!$C:$O,13,0)),"")</f>
        <v/>
      </c>
      <c r="G4899" s="55" t="str">
        <f>IFERROR(IF(OR($B4899="",$B4899="(blank)"),"",VLOOKUP($B4899,'Email Marketing Raw Data'!$C:$O,4,0)),"")</f>
        <v/>
      </c>
      <c r="H4899" s="55" t="str">
        <f>IFERROR(IF(OR($B4899="",$B4899="(blank)"),"",VLOOKUP($B4899,'Email Marketing Raw Data'!$C:$O,5,0)),"")</f>
        <v/>
      </c>
      <c r="I4899" s="55" t="str">
        <f>IFERROR(IF($G4899="","",VLOOKUP('Dashboard And Emails Automate'!$G4899,Database!$H:$N,3,0)),"")</f>
        <v/>
      </c>
      <c r="J4899" s="55" t="str">
        <f>IFERROR(IF($G4899="","",VLOOKUP('Dashboard And Emails Automate'!$G4899,Database!$H:$N,4,0)),"")</f>
        <v/>
      </c>
      <c r="K4899" s="55" t="str">
        <f>IFERROR(IF($G4899="","",VLOOKUP('Dashboard And Emails Automate'!$G4899,Database!$H:$N,5,0)),"")</f>
        <v/>
      </c>
      <c r="L4899" s="55" t="str">
        <f>IFERROR(IF($G4899="","",VLOOKUP('Dashboard And Emails Automate'!$G4899,Database!$H:$N,6,0)),"")</f>
        <v/>
      </c>
      <c r="M4899" s="55" t="str">
        <f>IFERROR(IF($G4899="","",VLOOKUP('Dashboard And Emails Automate'!$G4899,Database!$H:$N,7,0)),"")</f>
        <v/>
      </c>
      <c r="N4899" s="55" t="str">
        <f>IFERROR(IF(OR($B4899="",$B4899="(blank)"),"",VLOOKUP($B4899,'Email Marketing Raw Data'!$C:$O,6,0)),"")</f>
        <v/>
      </c>
      <c r="O4899" s="55" t="str">
        <f>IFERROR(IF(OR($B4899="",$B4899="(blank)"),"",VLOOKUP($B4899,'Email Marketing Raw Data'!$C:$O,7,0)),"")</f>
        <v/>
      </c>
      <c r="P4899" s="55" t="str">
        <f>IFERROR(IF(OR($B4899="",$B4899="(blank)"),"",VLOOKUP($B4899,'Email Marketing Raw Data'!$C:$O,8,0)),"")</f>
        <v/>
      </c>
      <c r="Q4899" s="62" t="str">
        <f>IFERROR(IF(OR($B4899="",$B4899="(blank)"),"",VLOOKUP($B4899,'Email Marketing Raw Data'!$C:$O,9,0)),"")</f>
        <v/>
      </c>
    </row>
    <row r="4900" spans="4:17" ht="12.75" customHeight="1" x14ac:dyDescent="0.2">
      <c r="D4900" s="58" t="str">
        <f>IFERROR(IF(F4900&lt;&gt;"pending","",IF(OR($B4900="",$B4900="(blank)"),"",VLOOKUP($B4900,'Email Marketing Raw Data'!$C:$O,10,0))),"")</f>
        <v/>
      </c>
      <c r="E4900" s="59" t="str">
        <f>IFERROR(IF(F4900&lt;&gt;"pending","",IF(OR($B4900="",$B4900="(blank)"),"",VLOOKUP($B4900,'Email Marketing Raw Data'!$C:$O,11,0))),"")</f>
        <v/>
      </c>
      <c r="F4900" s="54" t="str">
        <f>IFERROR(IF(OR($B4900="",$B4900="(blank)"),"",VLOOKUP($B4900,'Email Marketing Raw Data'!$C:$O,13,0)),"")</f>
        <v/>
      </c>
      <c r="G4900" s="55" t="str">
        <f>IFERROR(IF(OR($B4900="",$B4900="(blank)"),"",VLOOKUP($B4900,'Email Marketing Raw Data'!$C:$O,4,0)),"")</f>
        <v/>
      </c>
      <c r="H4900" s="55" t="str">
        <f>IFERROR(IF(OR($B4900="",$B4900="(blank)"),"",VLOOKUP($B4900,'Email Marketing Raw Data'!$C:$O,5,0)),"")</f>
        <v/>
      </c>
      <c r="I4900" s="55" t="str">
        <f>IFERROR(IF($G4900="","",VLOOKUP('Dashboard And Emails Automate'!$G4900,Database!$H:$N,3,0)),"")</f>
        <v/>
      </c>
      <c r="J4900" s="55" t="str">
        <f>IFERROR(IF($G4900="","",VLOOKUP('Dashboard And Emails Automate'!$G4900,Database!$H:$N,4,0)),"")</f>
        <v/>
      </c>
      <c r="K4900" s="55" t="str">
        <f>IFERROR(IF($G4900="","",VLOOKUP('Dashboard And Emails Automate'!$G4900,Database!$H:$N,5,0)),"")</f>
        <v/>
      </c>
      <c r="L4900" s="55" t="str">
        <f>IFERROR(IF($G4900="","",VLOOKUP('Dashboard And Emails Automate'!$G4900,Database!$H:$N,6,0)),"")</f>
        <v/>
      </c>
      <c r="M4900" s="55" t="str">
        <f>IFERROR(IF($G4900="","",VLOOKUP('Dashboard And Emails Automate'!$G4900,Database!$H:$N,7,0)),"")</f>
        <v/>
      </c>
      <c r="N4900" s="55" t="str">
        <f>IFERROR(IF(OR($B4900="",$B4900="(blank)"),"",VLOOKUP($B4900,'Email Marketing Raw Data'!$C:$O,6,0)),"")</f>
        <v/>
      </c>
      <c r="O4900" s="55" t="str">
        <f>IFERROR(IF(OR($B4900="",$B4900="(blank)"),"",VLOOKUP($B4900,'Email Marketing Raw Data'!$C:$O,7,0)),"")</f>
        <v/>
      </c>
      <c r="P4900" s="55" t="str">
        <f>IFERROR(IF(OR($B4900="",$B4900="(blank)"),"",VLOOKUP($B4900,'Email Marketing Raw Data'!$C:$O,8,0)),"")</f>
        <v/>
      </c>
      <c r="Q4900" s="62" t="str">
        <f>IFERROR(IF(OR($B4900="",$B4900="(blank)"),"",VLOOKUP($B4900,'Email Marketing Raw Data'!$C:$O,9,0)),"")</f>
        <v/>
      </c>
    </row>
    <row r="4901" spans="4:17" ht="12.75" customHeight="1" x14ac:dyDescent="0.2">
      <c r="D4901" s="58" t="str">
        <f>IFERROR(IF(F4901&lt;&gt;"pending","",IF(OR($B4901="",$B4901="(blank)"),"",VLOOKUP($B4901,'Email Marketing Raw Data'!$C:$O,10,0))),"")</f>
        <v/>
      </c>
      <c r="E4901" s="59" t="str">
        <f>IFERROR(IF(F4901&lt;&gt;"pending","",IF(OR($B4901="",$B4901="(blank)"),"",VLOOKUP($B4901,'Email Marketing Raw Data'!$C:$O,11,0))),"")</f>
        <v/>
      </c>
      <c r="F4901" s="54" t="str">
        <f>IFERROR(IF(OR($B4901="",$B4901="(blank)"),"",VLOOKUP($B4901,'Email Marketing Raw Data'!$C:$O,13,0)),"")</f>
        <v/>
      </c>
      <c r="G4901" s="55" t="str">
        <f>IFERROR(IF(OR($B4901="",$B4901="(blank)"),"",VLOOKUP($B4901,'Email Marketing Raw Data'!$C:$O,4,0)),"")</f>
        <v/>
      </c>
      <c r="H4901" s="55" t="str">
        <f>IFERROR(IF(OR($B4901="",$B4901="(blank)"),"",VLOOKUP($B4901,'Email Marketing Raw Data'!$C:$O,5,0)),"")</f>
        <v/>
      </c>
      <c r="I4901" s="55" t="str">
        <f>IFERROR(IF($G4901="","",VLOOKUP('Dashboard And Emails Automate'!$G4901,Database!$H:$N,3,0)),"")</f>
        <v/>
      </c>
      <c r="J4901" s="55" t="str">
        <f>IFERROR(IF($G4901="","",VLOOKUP('Dashboard And Emails Automate'!$G4901,Database!$H:$N,4,0)),"")</f>
        <v/>
      </c>
      <c r="K4901" s="55" t="str">
        <f>IFERROR(IF($G4901="","",VLOOKUP('Dashboard And Emails Automate'!$G4901,Database!$H:$N,5,0)),"")</f>
        <v/>
      </c>
      <c r="L4901" s="55" t="str">
        <f>IFERROR(IF($G4901="","",VLOOKUP('Dashboard And Emails Automate'!$G4901,Database!$H:$N,6,0)),"")</f>
        <v/>
      </c>
      <c r="M4901" s="55" t="str">
        <f>IFERROR(IF($G4901="","",VLOOKUP('Dashboard And Emails Automate'!$G4901,Database!$H:$N,7,0)),"")</f>
        <v/>
      </c>
      <c r="N4901" s="55" t="str">
        <f>IFERROR(IF(OR($B4901="",$B4901="(blank)"),"",VLOOKUP($B4901,'Email Marketing Raw Data'!$C:$O,6,0)),"")</f>
        <v/>
      </c>
      <c r="O4901" s="55" t="str">
        <f>IFERROR(IF(OR($B4901="",$B4901="(blank)"),"",VLOOKUP($B4901,'Email Marketing Raw Data'!$C:$O,7,0)),"")</f>
        <v/>
      </c>
      <c r="P4901" s="55" t="str">
        <f>IFERROR(IF(OR($B4901="",$B4901="(blank)"),"",VLOOKUP($B4901,'Email Marketing Raw Data'!$C:$O,8,0)),"")</f>
        <v/>
      </c>
      <c r="Q4901" s="62" t="str">
        <f>IFERROR(IF(OR($B4901="",$B4901="(blank)"),"",VLOOKUP($B4901,'Email Marketing Raw Data'!$C:$O,9,0)),"")</f>
        <v/>
      </c>
    </row>
    <row r="4902" spans="4:17" ht="12.75" customHeight="1" x14ac:dyDescent="0.2">
      <c r="D4902" s="58" t="str">
        <f>IFERROR(IF(F4902&lt;&gt;"pending","",IF(OR($B4902="",$B4902="(blank)"),"",VLOOKUP($B4902,'Email Marketing Raw Data'!$C:$O,10,0))),"")</f>
        <v/>
      </c>
      <c r="E4902" s="59" t="str">
        <f>IFERROR(IF(F4902&lt;&gt;"pending","",IF(OR($B4902="",$B4902="(blank)"),"",VLOOKUP($B4902,'Email Marketing Raw Data'!$C:$O,11,0))),"")</f>
        <v/>
      </c>
      <c r="F4902" s="54" t="str">
        <f>IFERROR(IF(OR($B4902="",$B4902="(blank)"),"",VLOOKUP($B4902,'Email Marketing Raw Data'!$C:$O,13,0)),"")</f>
        <v/>
      </c>
      <c r="G4902" s="55" t="str">
        <f>IFERROR(IF(OR($B4902="",$B4902="(blank)"),"",VLOOKUP($B4902,'Email Marketing Raw Data'!$C:$O,4,0)),"")</f>
        <v/>
      </c>
      <c r="H4902" s="55" t="str">
        <f>IFERROR(IF(OR($B4902="",$B4902="(blank)"),"",VLOOKUP($B4902,'Email Marketing Raw Data'!$C:$O,5,0)),"")</f>
        <v/>
      </c>
      <c r="I4902" s="55" t="str">
        <f>IFERROR(IF($G4902="","",VLOOKUP('Dashboard And Emails Automate'!$G4902,Database!$H:$N,3,0)),"")</f>
        <v/>
      </c>
      <c r="J4902" s="55" t="str">
        <f>IFERROR(IF($G4902="","",VLOOKUP('Dashboard And Emails Automate'!$G4902,Database!$H:$N,4,0)),"")</f>
        <v/>
      </c>
      <c r="K4902" s="55" t="str">
        <f>IFERROR(IF($G4902="","",VLOOKUP('Dashboard And Emails Automate'!$G4902,Database!$H:$N,5,0)),"")</f>
        <v/>
      </c>
      <c r="L4902" s="55" t="str">
        <f>IFERROR(IF($G4902="","",VLOOKUP('Dashboard And Emails Automate'!$G4902,Database!$H:$N,6,0)),"")</f>
        <v/>
      </c>
      <c r="M4902" s="55" t="str">
        <f>IFERROR(IF($G4902="","",VLOOKUP('Dashboard And Emails Automate'!$G4902,Database!$H:$N,7,0)),"")</f>
        <v/>
      </c>
      <c r="N4902" s="55" t="str">
        <f>IFERROR(IF(OR($B4902="",$B4902="(blank)"),"",VLOOKUP($B4902,'Email Marketing Raw Data'!$C:$O,6,0)),"")</f>
        <v/>
      </c>
      <c r="O4902" s="55" t="str">
        <f>IFERROR(IF(OR($B4902="",$B4902="(blank)"),"",VLOOKUP($B4902,'Email Marketing Raw Data'!$C:$O,7,0)),"")</f>
        <v/>
      </c>
      <c r="P4902" s="55" t="str">
        <f>IFERROR(IF(OR($B4902="",$B4902="(blank)"),"",VLOOKUP($B4902,'Email Marketing Raw Data'!$C:$O,8,0)),"")</f>
        <v/>
      </c>
      <c r="Q4902" s="62" t="str">
        <f>IFERROR(IF(OR($B4902="",$B4902="(blank)"),"",VLOOKUP($B4902,'Email Marketing Raw Data'!$C:$O,9,0)),"")</f>
        <v/>
      </c>
    </row>
    <row r="4903" spans="4:17" ht="12.75" customHeight="1" x14ac:dyDescent="0.2">
      <c r="D4903" s="58" t="str">
        <f>IFERROR(IF(F4903&lt;&gt;"pending","",IF(OR($B4903="",$B4903="(blank)"),"",VLOOKUP($B4903,'Email Marketing Raw Data'!$C:$O,10,0))),"")</f>
        <v/>
      </c>
      <c r="E4903" s="59" t="str">
        <f>IFERROR(IF(F4903&lt;&gt;"pending","",IF(OR($B4903="",$B4903="(blank)"),"",VLOOKUP($B4903,'Email Marketing Raw Data'!$C:$O,11,0))),"")</f>
        <v/>
      </c>
      <c r="F4903" s="54" t="str">
        <f>IFERROR(IF(OR($B4903="",$B4903="(blank)"),"",VLOOKUP($B4903,'Email Marketing Raw Data'!$C:$O,13,0)),"")</f>
        <v/>
      </c>
      <c r="G4903" s="55" t="str">
        <f>IFERROR(IF(OR($B4903="",$B4903="(blank)"),"",VLOOKUP($B4903,'Email Marketing Raw Data'!$C:$O,4,0)),"")</f>
        <v/>
      </c>
      <c r="H4903" s="55" t="str">
        <f>IFERROR(IF(OR($B4903="",$B4903="(blank)"),"",VLOOKUP($B4903,'Email Marketing Raw Data'!$C:$O,5,0)),"")</f>
        <v/>
      </c>
      <c r="I4903" s="55" t="str">
        <f>IFERROR(IF($G4903="","",VLOOKUP('Dashboard And Emails Automate'!$G4903,Database!$H:$N,3,0)),"")</f>
        <v/>
      </c>
      <c r="J4903" s="55" t="str">
        <f>IFERROR(IF($G4903="","",VLOOKUP('Dashboard And Emails Automate'!$G4903,Database!$H:$N,4,0)),"")</f>
        <v/>
      </c>
      <c r="K4903" s="55" t="str">
        <f>IFERROR(IF($G4903="","",VLOOKUP('Dashboard And Emails Automate'!$G4903,Database!$H:$N,5,0)),"")</f>
        <v/>
      </c>
      <c r="L4903" s="55" t="str">
        <f>IFERROR(IF($G4903="","",VLOOKUP('Dashboard And Emails Automate'!$G4903,Database!$H:$N,6,0)),"")</f>
        <v/>
      </c>
      <c r="M4903" s="55" t="str">
        <f>IFERROR(IF($G4903="","",VLOOKUP('Dashboard And Emails Automate'!$G4903,Database!$H:$N,7,0)),"")</f>
        <v/>
      </c>
      <c r="N4903" s="55" t="str">
        <f>IFERROR(IF(OR($B4903="",$B4903="(blank)"),"",VLOOKUP($B4903,'Email Marketing Raw Data'!$C:$O,6,0)),"")</f>
        <v/>
      </c>
      <c r="O4903" s="55" t="str">
        <f>IFERROR(IF(OR($B4903="",$B4903="(blank)"),"",VLOOKUP($B4903,'Email Marketing Raw Data'!$C:$O,7,0)),"")</f>
        <v/>
      </c>
      <c r="P4903" s="55" t="str">
        <f>IFERROR(IF(OR($B4903="",$B4903="(blank)"),"",VLOOKUP($B4903,'Email Marketing Raw Data'!$C:$O,8,0)),"")</f>
        <v/>
      </c>
      <c r="Q4903" s="62" t="str">
        <f>IFERROR(IF(OR($B4903="",$B4903="(blank)"),"",VLOOKUP($B4903,'Email Marketing Raw Data'!$C:$O,9,0)),"")</f>
        <v/>
      </c>
    </row>
    <row r="4904" spans="4:17" ht="12.75" customHeight="1" x14ac:dyDescent="0.2">
      <c r="D4904" s="58" t="str">
        <f>IFERROR(IF(F4904&lt;&gt;"pending","",IF(OR($B4904="",$B4904="(blank)"),"",VLOOKUP($B4904,'Email Marketing Raw Data'!$C:$O,10,0))),"")</f>
        <v/>
      </c>
      <c r="E4904" s="59" t="str">
        <f>IFERROR(IF(F4904&lt;&gt;"pending","",IF(OR($B4904="",$B4904="(blank)"),"",VLOOKUP($B4904,'Email Marketing Raw Data'!$C:$O,11,0))),"")</f>
        <v/>
      </c>
      <c r="F4904" s="54" t="str">
        <f>IFERROR(IF(OR($B4904="",$B4904="(blank)"),"",VLOOKUP($B4904,'Email Marketing Raw Data'!$C:$O,13,0)),"")</f>
        <v/>
      </c>
      <c r="G4904" s="55" t="str">
        <f>IFERROR(IF(OR($B4904="",$B4904="(blank)"),"",VLOOKUP($B4904,'Email Marketing Raw Data'!$C:$O,4,0)),"")</f>
        <v/>
      </c>
      <c r="H4904" s="55" t="str">
        <f>IFERROR(IF(OR($B4904="",$B4904="(blank)"),"",VLOOKUP($B4904,'Email Marketing Raw Data'!$C:$O,5,0)),"")</f>
        <v/>
      </c>
      <c r="I4904" s="55" t="str">
        <f>IFERROR(IF($G4904="","",VLOOKUP('Dashboard And Emails Automate'!$G4904,Database!$H:$N,3,0)),"")</f>
        <v/>
      </c>
      <c r="J4904" s="55" t="str">
        <f>IFERROR(IF($G4904="","",VLOOKUP('Dashboard And Emails Automate'!$G4904,Database!$H:$N,4,0)),"")</f>
        <v/>
      </c>
      <c r="K4904" s="55" t="str">
        <f>IFERROR(IF($G4904="","",VLOOKUP('Dashboard And Emails Automate'!$G4904,Database!$H:$N,5,0)),"")</f>
        <v/>
      </c>
      <c r="L4904" s="55" t="str">
        <f>IFERROR(IF($G4904="","",VLOOKUP('Dashboard And Emails Automate'!$G4904,Database!$H:$N,6,0)),"")</f>
        <v/>
      </c>
      <c r="M4904" s="55" t="str">
        <f>IFERROR(IF($G4904="","",VLOOKUP('Dashboard And Emails Automate'!$G4904,Database!$H:$N,7,0)),"")</f>
        <v/>
      </c>
      <c r="N4904" s="55" t="str">
        <f>IFERROR(IF(OR($B4904="",$B4904="(blank)"),"",VLOOKUP($B4904,'Email Marketing Raw Data'!$C:$O,6,0)),"")</f>
        <v/>
      </c>
      <c r="O4904" s="55" t="str">
        <f>IFERROR(IF(OR($B4904="",$B4904="(blank)"),"",VLOOKUP($B4904,'Email Marketing Raw Data'!$C:$O,7,0)),"")</f>
        <v/>
      </c>
      <c r="P4904" s="55" t="str">
        <f>IFERROR(IF(OR($B4904="",$B4904="(blank)"),"",VLOOKUP($B4904,'Email Marketing Raw Data'!$C:$O,8,0)),"")</f>
        <v/>
      </c>
      <c r="Q4904" s="62" t="str">
        <f>IFERROR(IF(OR($B4904="",$B4904="(blank)"),"",VLOOKUP($B4904,'Email Marketing Raw Data'!$C:$O,9,0)),"")</f>
        <v/>
      </c>
    </row>
    <row r="4905" spans="4:17" ht="12.75" customHeight="1" x14ac:dyDescent="0.2">
      <c r="D4905" s="58" t="str">
        <f>IFERROR(IF(F4905&lt;&gt;"pending","",IF(OR($B4905="",$B4905="(blank)"),"",VLOOKUP($B4905,'Email Marketing Raw Data'!$C:$O,10,0))),"")</f>
        <v/>
      </c>
      <c r="E4905" s="59" t="str">
        <f>IFERROR(IF(F4905&lt;&gt;"pending","",IF(OR($B4905="",$B4905="(blank)"),"",VLOOKUP($B4905,'Email Marketing Raw Data'!$C:$O,11,0))),"")</f>
        <v/>
      </c>
      <c r="F4905" s="54" t="str">
        <f>IFERROR(IF(OR($B4905="",$B4905="(blank)"),"",VLOOKUP($B4905,'Email Marketing Raw Data'!$C:$O,13,0)),"")</f>
        <v/>
      </c>
      <c r="G4905" s="55" t="str">
        <f>IFERROR(IF(OR($B4905="",$B4905="(blank)"),"",VLOOKUP($B4905,'Email Marketing Raw Data'!$C:$O,4,0)),"")</f>
        <v/>
      </c>
      <c r="H4905" s="55" t="str">
        <f>IFERROR(IF(OR($B4905="",$B4905="(blank)"),"",VLOOKUP($B4905,'Email Marketing Raw Data'!$C:$O,5,0)),"")</f>
        <v/>
      </c>
      <c r="I4905" s="55" t="str">
        <f>IFERROR(IF($G4905="","",VLOOKUP('Dashboard And Emails Automate'!$G4905,Database!$H:$N,3,0)),"")</f>
        <v/>
      </c>
      <c r="J4905" s="55" t="str">
        <f>IFERROR(IF($G4905="","",VLOOKUP('Dashboard And Emails Automate'!$G4905,Database!$H:$N,4,0)),"")</f>
        <v/>
      </c>
      <c r="K4905" s="55" t="str">
        <f>IFERROR(IF($G4905="","",VLOOKUP('Dashboard And Emails Automate'!$G4905,Database!$H:$N,5,0)),"")</f>
        <v/>
      </c>
      <c r="L4905" s="55" t="str">
        <f>IFERROR(IF($G4905="","",VLOOKUP('Dashboard And Emails Automate'!$G4905,Database!$H:$N,6,0)),"")</f>
        <v/>
      </c>
      <c r="M4905" s="55" t="str">
        <f>IFERROR(IF($G4905="","",VLOOKUP('Dashboard And Emails Automate'!$G4905,Database!$H:$N,7,0)),"")</f>
        <v/>
      </c>
      <c r="N4905" s="55" t="str">
        <f>IFERROR(IF(OR($B4905="",$B4905="(blank)"),"",VLOOKUP($B4905,'Email Marketing Raw Data'!$C:$O,6,0)),"")</f>
        <v/>
      </c>
      <c r="O4905" s="55" t="str">
        <f>IFERROR(IF(OR($B4905="",$B4905="(blank)"),"",VLOOKUP($B4905,'Email Marketing Raw Data'!$C:$O,7,0)),"")</f>
        <v/>
      </c>
      <c r="P4905" s="55" t="str">
        <f>IFERROR(IF(OR($B4905="",$B4905="(blank)"),"",VLOOKUP($B4905,'Email Marketing Raw Data'!$C:$O,8,0)),"")</f>
        <v/>
      </c>
      <c r="Q4905" s="62" t="str">
        <f>IFERROR(IF(OR($B4905="",$B4905="(blank)"),"",VLOOKUP($B4905,'Email Marketing Raw Data'!$C:$O,9,0)),"")</f>
        <v/>
      </c>
    </row>
    <row r="4906" spans="4:17" ht="12.75" customHeight="1" x14ac:dyDescent="0.2">
      <c r="D4906" s="58" t="str">
        <f>IFERROR(IF(F4906&lt;&gt;"pending","",IF(OR($B4906="",$B4906="(blank)"),"",VLOOKUP($B4906,'Email Marketing Raw Data'!$C:$O,10,0))),"")</f>
        <v/>
      </c>
      <c r="E4906" s="59" t="str">
        <f>IFERROR(IF(F4906&lt;&gt;"pending","",IF(OR($B4906="",$B4906="(blank)"),"",VLOOKUP($B4906,'Email Marketing Raw Data'!$C:$O,11,0))),"")</f>
        <v/>
      </c>
      <c r="F4906" s="54" t="str">
        <f>IFERROR(IF(OR($B4906="",$B4906="(blank)"),"",VLOOKUP($B4906,'Email Marketing Raw Data'!$C:$O,13,0)),"")</f>
        <v/>
      </c>
      <c r="G4906" s="55" t="str">
        <f>IFERROR(IF(OR($B4906="",$B4906="(blank)"),"",VLOOKUP($B4906,'Email Marketing Raw Data'!$C:$O,4,0)),"")</f>
        <v/>
      </c>
      <c r="H4906" s="55" t="str">
        <f>IFERROR(IF(OR($B4906="",$B4906="(blank)"),"",VLOOKUP($B4906,'Email Marketing Raw Data'!$C:$O,5,0)),"")</f>
        <v/>
      </c>
      <c r="I4906" s="55" t="str">
        <f>IFERROR(IF($G4906="","",VLOOKUP('Dashboard And Emails Automate'!$G4906,Database!$H:$N,3,0)),"")</f>
        <v/>
      </c>
      <c r="J4906" s="55" t="str">
        <f>IFERROR(IF($G4906="","",VLOOKUP('Dashboard And Emails Automate'!$G4906,Database!$H:$N,4,0)),"")</f>
        <v/>
      </c>
      <c r="K4906" s="55" t="str">
        <f>IFERROR(IF($G4906="","",VLOOKUP('Dashboard And Emails Automate'!$G4906,Database!$H:$N,5,0)),"")</f>
        <v/>
      </c>
      <c r="L4906" s="55" t="str">
        <f>IFERROR(IF($G4906="","",VLOOKUP('Dashboard And Emails Automate'!$G4906,Database!$H:$N,6,0)),"")</f>
        <v/>
      </c>
      <c r="M4906" s="55" t="str">
        <f>IFERROR(IF($G4906="","",VLOOKUP('Dashboard And Emails Automate'!$G4906,Database!$H:$N,7,0)),"")</f>
        <v/>
      </c>
      <c r="N4906" s="55" t="str">
        <f>IFERROR(IF(OR($B4906="",$B4906="(blank)"),"",VLOOKUP($B4906,'Email Marketing Raw Data'!$C:$O,6,0)),"")</f>
        <v/>
      </c>
      <c r="O4906" s="55" t="str">
        <f>IFERROR(IF(OR($B4906="",$B4906="(blank)"),"",VLOOKUP($B4906,'Email Marketing Raw Data'!$C:$O,7,0)),"")</f>
        <v/>
      </c>
      <c r="P4906" s="55" t="str">
        <f>IFERROR(IF(OR($B4906="",$B4906="(blank)"),"",VLOOKUP($B4906,'Email Marketing Raw Data'!$C:$O,8,0)),"")</f>
        <v/>
      </c>
      <c r="Q4906" s="62" t="str">
        <f>IFERROR(IF(OR($B4906="",$B4906="(blank)"),"",VLOOKUP($B4906,'Email Marketing Raw Data'!$C:$O,9,0)),"")</f>
        <v/>
      </c>
    </row>
    <row r="4907" spans="4:17" ht="12.75" customHeight="1" x14ac:dyDescent="0.2">
      <c r="D4907" s="58" t="str">
        <f>IFERROR(IF(F4907&lt;&gt;"pending","",IF(OR($B4907="",$B4907="(blank)"),"",VLOOKUP($B4907,'Email Marketing Raw Data'!$C:$O,10,0))),"")</f>
        <v/>
      </c>
      <c r="E4907" s="59" t="str">
        <f>IFERROR(IF(F4907&lt;&gt;"pending","",IF(OR($B4907="",$B4907="(blank)"),"",VLOOKUP($B4907,'Email Marketing Raw Data'!$C:$O,11,0))),"")</f>
        <v/>
      </c>
      <c r="F4907" s="54" t="str">
        <f>IFERROR(IF(OR($B4907="",$B4907="(blank)"),"",VLOOKUP($B4907,'Email Marketing Raw Data'!$C:$O,13,0)),"")</f>
        <v/>
      </c>
      <c r="G4907" s="55" t="str">
        <f>IFERROR(IF(OR($B4907="",$B4907="(blank)"),"",VLOOKUP($B4907,'Email Marketing Raw Data'!$C:$O,4,0)),"")</f>
        <v/>
      </c>
      <c r="H4907" s="55" t="str">
        <f>IFERROR(IF(OR($B4907="",$B4907="(blank)"),"",VLOOKUP($B4907,'Email Marketing Raw Data'!$C:$O,5,0)),"")</f>
        <v/>
      </c>
      <c r="I4907" s="55" t="str">
        <f>IFERROR(IF($G4907="","",VLOOKUP('Dashboard And Emails Automate'!$G4907,Database!$H:$N,3,0)),"")</f>
        <v/>
      </c>
      <c r="J4907" s="55" t="str">
        <f>IFERROR(IF($G4907="","",VLOOKUP('Dashboard And Emails Automate'!$G4907,Database!$H:$N,4,0)),"")</f>
        <v/>
      </c>
      <c r="K4907" s="55" t="str">
        <f>IFERROR(IF($G4907="","",VLOOKUP('Dashboard And Emails Automate'!$G4907,Database!$H:$N,5,0)),"")</f>
        <v/>
      </c>
      <c r="L4907" s="55" t="str">
        <f>IFERROR(IF($G4907="","",VLOOKUP('Dashboard And Emails Automate'!$G4907,Database!$H:$N,6,0)),"")</f>
        <v/>
      </c>
      <c r="M4907" s="55" t="str">
        <f>IFERROR(IF($G4907="","",VLOOKUP('Dashboard And Emails Automate'!$G4907,Database!$H:$N,7,0)),"")</f>
        <v/>
      </c>
      <c r="N4907" s="55" t="str">
        <f>IFERROR(IF(OR($B4907="",$B4907="(blank)"),"",VLOOKUP($B4907,'Email Marketing Raw Data'!$C:$O,6,0)),"")</f>
        <v/>
      </c>
      <c r="O4907" s="55" t="str">
        <f>IFERROR(IF(OR($B4907="",$B4907="(blank)"),"",VLOOKUP($B4907,'Email Marketing Raw Data'!$C:$O,7,0)),"")</f>
        <v/>
      </c>
      <c r="P4907" s="55" t="str">
        <f>IFERROR(IF(OR($B4907="",$B4907="(blank)"),"",VLOOKUP($B4907,'Email Marketing Raw Data'!$C:$O,8,0)),"")</f>
        <v/>
      </c>
      <c r="Q4907" s="62" t="str">
        <f>IFERROR(IF(OR($B4907="",$B4907="(blank)"),"",VLOOKUP($B4907,'Email Marketing Raw Data'!$C:$O,9,0)),"")</f>
        <v/>
      </c>
    </row>
    <row r="4908" spans="4:17" ht="12.75" customHeight="1" x14ac:dyDescent="0.2">
      <c r="D4908" s="58" t="str">
        <f>IFERROR(IF(F4908&lt;&gt;"pending","",IF(OR($B4908="",$B4908="(blank)"),"",VLOOKUP($B4908,'Email Marketing Raw Data'!$C:$O,10,0))),"")</f>
        <v/>
      </c>
      <c r="E4908" s="59" t="str">
        <f>IFERROR(IF(F4908&lt;&gt;"pending","",IF(OR($B4908="",$B4908="(blank)"),"",VLOOKUP($B4908,'Email Marketing Raw Data'!$C:$O,11,0))),"")</f>
        <v/>
      </c>
      <c r="F4908" s="54" t="str">
        <f>IFERROR(IF(OR($B4908="",$B4908="(blank)"),"",VLOOKUP($B4908,'Email Marketing Raw Data'!$C:$O,13,0)),"")</f>
        <v/>
      </c>
      <c r="G4908" s="55" t="str">
        <f>IFERROR(IF(OR($B4908="",$B4908="(blank)"),"",VLOOKUP($B4908,'Email Marketing Raw Data'!$C:$O,4,0)),"")</f>
        <v/>
      </c>
      <c r="H4908" s="55" t="str">
        <f>IFERROR(IF(OR($B4908="",$B4908="(blank)"),"",VLOOKUP($B4908,'Email Marketing Raw Data'!$C:$O,5,0)),"")</f>
        <v/>
      </c>
      <c r="I4908" s="55" t="str">
        <f>IFERROR(IF($G4908="","",VLOOKUP('Dashboard And Emails Automate'!$G4908,Database!$H:$N,3,0)),"")</f>
        <v/>
      </c>
      <c r="J4908" s="55" t="str">
        <f>IFERROR(IF($G4908="","",VLOOKUP('Dashboard And Emails Automate'!$G4908,Database!$H:$N,4,0)),"")</f>
        <v/>
      </c>
      <c r="K4908" s="55" t="str">
        <f>IFERROR(IF($G4908="","",VLOOKUP('Dashboard And Emails Automate'!$G4908,Database!$H:$N,5,0)),"")</f>
        <v/>
      </c>
      <c r="L4908" s="55" t="str">
        <f>IFERROR(IF($G4908="","",VLOOKUP('Dashboard And Emails Automate'!$G4908,Database!$H:$N,6,0)),"")</f>
        <v/>
      </c>
      <c r="M4908" s="55" t="str">
        <f>IFERROR(IF($G4908="","",VLOOKUP('Dashboard And Emails Automate'!$G4908,Database!$H:$N,7,0)),"")</f>
        <v/>
      </c>
      <c r="N4908" s="55" t="str">
        <f>IFERROR(IF(OR($B4908="",$B4908="(blank)"),"",VLOOKUP($B4908,'Email Marketing Raw Data'!$C:$O,6,0)),"")</f>
        <v/>
      </c>
      <c r="O4908" s="55" t="str">
        <f>IFERROR(IF(OR($B4908="",$B4908="(blank)"),"",VLOOKUP($B4908,'Email Marketing Raw Data'!$C:$O,7,0)),"")</f>
        <v/>
      </c>
      <c r="P4908" s="55" t="str">
        <f>IFERROR(IF(OR($B4908="",$B4908="(blank)"),"",VLOOKUP($B4908,'Email Marketing Raw Data'!$C:$O,8,0)),"")</f>
        <v/>
      </c>
      <c r="Q4908" s="62" t="str">
        <f>IFERROR(IF(OR($B4908="",$B4908="(blank)"),"",VLOOKUP($B4908,'Email Marketing Raw Data'!$C:$O,9,0)),"")</f>
        <v/>
      </c>
    </row>
    <row r="4909" spans="4:17" ht="12.75" customHeight="1" x14ac:dyDescent="0.2">
      <c r="D4909" s="58" t="str">
        <f>IFERROR(IF(F4909&lt;&gt;"pending","",IF(OR($B4909="",$B4909="(blank)"),"",VLOOKUP($B4909,'Email Marketing Raw Data'!$C:$O,10,0))),"")</f>
        <v/>
      </c>
      <c r="E4909" s="59" t="str">
        <f>IFERROR(IF(F4909&lt;&gt;"pending","",IF(OR($B4909="",$B4909="(blank)"),"",VLOOKUP($B4909,'Email Marketing Raw Data'!$C:$O,11,0))),"")</f>
        <v/>
      </c>
      <c r="F4909" s="54" t="str">
        <f>IFERROR(IF(OR($B4909="",$B4909="(blank)"),"",VLOOKUP($B4909,'Email Marketing Raw Data'!$C:$O,13,0)),"")</f>
        <v/>
      </c>
      <c r="G4909" s="55" t="str">
        <f>IFERROR(IF(OR($B4909="",$B4909="(blank)"),"",VLOOKUP($B4909,'Email Marketing Raw Data'!$C:$O,4,0)),"")</f>
        <v/>
      </c>
      <c r="H4909" s="55" t="str">
        <f>IFERROR(IF(OR($B4909="",$B4909="(blank)"),"",VLOOKUP($B4909,'Email Marketing Raw Data'!$C:$O,5,0)),"")</f>
        <v/>
      </c>
      <c r="I4909" s="55" t="str">
        <f>IFERROR(IF($G4909="","",VLOOKUP('Dashboard And Emails Automate'!$G4909,Database!$H:$N,3,0)),"")</f>
        <v/>
      </c>
      <c r="J4909" s="55" t="str">
        <f>IFERROR(IF($G4909="","",VLOOKUP('Dashboard And Emails Automate'!$G4909,Database!$H:$N,4,0)),"")</f>
        <v/>
      </c>
      <c r="K4909" s="55" t="str">
        <f>IFERROR(IF($G4909="","",VLOOKUP('Dashboard And Emails Automate'!$G4909,Database!$H:$N,5,0)),"")</f>
        <v/>
      </c>
      <c r="L4909" s="55" t="str">
        <f>IFERROR(IF($G4909="","",VLOOKUP('Dashboard And Emails Automate'!$G4909,Database!$H:$N,6,0)),"")</f>
        <v/>
      </c>
      <c r="M4909" s="55" t="str">
        <f>IFERROR(IF($G4909="","",VLOOKUP('Dashboard And Emails Automate'!$G4909,Database!$H:$N,7,0)),"")</f>
        <v/>
      </c>
      <c r="N4909" s="55" t="str">
        <f>IFERROR(IF(OR($B4909="",$B4909="(blank)"),"",VLOOKUP($B4909,'Email Marketing Raw Data'!$C:$O,6,0)),"")</f>
        <v/>
      </c>
      <c r="O4909" s="55" t="str">
        <f>IFERROR(IF(OR($B4909="",$B4909="(blank)"),"",VLOOKUP($B4909,'Email Marketing Raw Data'!$C:$O,7,0)),"")</f>
        <v/>
      </c>
      <c r="P4909" s="55" t="str">
        <f>IFERROR(IF(OR($B4909="",$B4909="(blank)"),"",VLOOKUP($B4909,'Email Marketing Raw Data'!$C:$O,8,0)),"")</f>
        <v/>
      </c>
      <c r="Q4909" s="62" t="str">
        <f>IFERROR(IF(OR($B4909="",$B4909="(blank)"),"",VLOOKUP($B4909,'Email Marketing Raw Data'!$C:$O,9,0)),"")</f>
        <v/>
      </c>
    </row>
    <row r="4910" spans="4:17" ht="12.75" customHeight="1" x14ac:dyDescent="0.2">
      <c r="D4910" s="58" t="str">
        <f>IFERROR(IF(F4910&lt;&gt;"pending","",IF(OR($B4910="",$B4910="(blank)"),"",VLOOKUP($B4910,'Email Marketing Raw Data'!$C:$O,10,0))),"")</f>
        <v/>
      </c>
      <c r="E4910" s="59" t="str">
        <f>IFERROR(IF(F4910&lt;&gt;"pending","",IF(OR($B4910="",$B4910="(blank)"),"",VLOOKUP($B4910,'Email Marketing Raw Data'!$C:$O,11,0))),"")</f>
        <v/>
      </c>
      <c r="F4910" s="54" t="str">
        <f>IFERROR(IF(OR($B4910="",$B4910="(blank)"),"",VLOOKUP($B4910,'Email Marketing Raw Data'!$C:$O,13,0)),"")</f>
        <v/>
      </c>
      <c r="G4910" s="55" t="str">
        <f>IFERROR(IF(OR($B4910="",$B4910="(blank)"),"",VLOOKUP($B4910,'Email Marketing Raw Data'!$C:$O,4,0)),"")</f>
        <v/>
      </c>
      <c r="H4910" s="55" t="str">
        <f>IFERROR(IF(OR($B4910="",$B4910="(blank)"),"",VLOOKUP($B4910,'Email Marketing Raw Data'!$C:$O,5,0)),"")</f>
        <v/>
      </c>
      <c r="I4910" s="55" t="str">
        <f>IFERROR(IF($G4910="","",VLOOKUP('Dashboard And Emails Automate'!$G4910,Database!$H:$N,3,0)),"")</f>
        <v/>
      </c>
      <c r="J4910" s="55" t="str">
        <f>IFERROR(IF($G4910="","",VLOOKUP('Dashboard And Emails Automate'!$G4910,Database!$H:$N,4,0)),"")</f>
        <v/>
      </c>
      <c r="K4910" s="55" t="str">
        <f>IFERROR(IF($G4910="","",VLOOKUP('Dashboard And Emails Automate'!$G4910,Database!$H:$N,5,0)),"")</f>
        <v/>
      </c>
      <c r="L4910" s="55" t="str">
        <f>IFERROR(IF($G4910="","",VLOOKUP('Dashboard And Emails Automate'!$G4910,Database!$H:$N,6,0)),"")</f>
        <v/>
      </c>
      <c r="M4910" s="55" t="str">
        <f>IFERROR(IF($G4910="","",VLOOKUP('Dashboard And Emails Automate'!$G4910,Database!$H:$N,7,0)),"")</f>
        <v/>
      </c>
      <c r="N4910" s="55" t="str">
        <f>IFERROR(IF(OR($B4910="",$B4910="(blank)"),"",VLOOKUP($B4910,'Email Marketing Raw Data'!$C:$O,6,0)),"")</f>
        <v/>
      </c>
      <c r="O4910" s="55" t="str">
        <f>IFERROR(IF(OR($B4910="",$B4910="(blank)"),"",VLOOKUP($B4910,'Email Marketing Raw Data'!$C:$O,7,0)),"")</f>
        <v/>
      </c>
      <c r="P4910" s="55" t="str">
        <f>IFERROR(IF(OR($B4910="",$B4910="(blank)"),"",VLOOKUP($B4910,'Email Marketing Raw Data'!$C:$O,8,0)),"")</f>
        <v/>
      </c>
      <c r="Q4910" s="62" t="str">
        <f>IFERROR(IF(OR($B4910="",$B4910="(blank)"),"",VLOOKUP($B4910,'Email Marketing Raw Data'!$C:$O,9,0)),"")</f>
        <v/>
      </c>
    </row>
    <row r="4911" spans="4:17" ht="12.75" customHeight="1" x14ac:dyDescent="0.2">
      <c r="D4911" s="58" t="str">
        <f>IFERROR(IF(F4911&lt;&gt;"pending","",IF(OR($B4911="",$B4911="(blank)"),"",VLOOKUP($B4911,'Email Marketing Raw Data'!$C:$O,10,0))),"")</f>
        <v/>
      </c>
      <c r="E4911" s="59" t="str">
        <f>IFERROR(IF(F4911&lt;&gt;"pending","",IF(OR($B4911="",$B4911="(blank)"),"",VLOOKUP($B4911,'Email Marketing Raw Data'!$C:$O,11,0))),"")</f>
        <v/>
      </c>
      <c r="F4911" s="54" t="str">
        <f>IFERROR(IF(OR($B4911="",$B4911="(blank)"),"",VLOOKUP($B4911,'Email Marketing Raw Data'!$C:$O,13,0)),"")</f>
        <v/>
      </c>
      <c r="G4911" s="55" t="str">
        <f>IFERROR(IF(OR($B4911="",$B4911="(blank)"),"",VLOOKUP($B4911,'Email Marketing Raw Data'!$C:$O,4,0)),"")</f>
        <v/>
      </c>
      <c r="H4911" s="55" t="str">
        <f>IFERROR(IF(OR($B4911="",$B4911="(blank)"),"",VLOOKUP($B4911,'Email Marketing Raw Data'!$C:$O,5,0)),"")</f>
        <v/>
      </c>
      <c r="I4911" s="55" t="str">
        <f>IFERROR(IF($G4911="","",VLOOKUP('Dashboard And Emails Automate'!$G4911,Database!$H:$N,3,0)),"")</f>
        <v/>
      </c>
      <c r="J4911" s="55" t="str">
        <f>IFERROR(IF($G4911="","",VLOOKUP('Dashboard And Emails Automate'!$G4911,Database!$H:$N,4,0)),"")</f>
        <v/>
      </c>
      <c r="K4911" s="55" t="str">
        <f>IFERROR(IF($G4911="","",VLOOKUP('Dashboard And Emails Automate'!$G4911,Database!$H:$N,5,0)),"")</f>
        <v/>
      </c>
      <c r="L4911" s="55" t="str">
        <f>IFERROR(IF($G4911="","",VLOOKUP('Dashboard And Emails Automate'!$G4911,Database!$H:$N,6,0)),"")</f>
        <v/>
      </c>
      <c r="M4911" s="55" t="str">
        <f>IFERROR(IF($G4911="","",VLOOKUP('Dashboard And Emails Automate'!$G4911,Database!$H:$N,7,0)),"")</f>
        <v/>
      </c>
      <c r="N4911" s="55" t="str">
        <f>IFERROR(IF(OR($B4911="",$B4911="(blank)"),"",VLOOKUP($B4911,'Email Marketing Raw Data'!$C:$O,6,0)),"")</f>
        <v/>
      </c>
      <c r="O4911" s="55" t="str">
        <f>IFERROR(IF(OR($B4911="",$B4911="(blank)"),"",VLOOKUP($B4911,'Email Marketing Raw Data'!$C:$O,7,0)),"")</f>
        <v/>
      </c>
      <c r="P4911" s="55" t="str">
        <f>IFERROR(IF(OR($B4911="",$B4911="(blank)"),"",VLOOKUP($B4911,'Email Marketing Raw Data'!$C:$O,8,0)),"")</f>
        <v/>
      </c>
      <c r="Q4911" s="62" t="str">
        <f>IFERROR(IF(OR($B4911="",$B4911="(blank)"),"",VLOOKUP($B4911,'Email Marketing Raw Data'!$C:$O,9,0)),"")</f>
        <v/>
      </c>
    </row>
    <row r="4912" spans="4:17" ht="12.75" customHeight="1" x14ac:dyDescent="0.2">
      <c r="D4912" s="58" t="str">
        <f>IFERROR(IF(F4912&lt;&gt;"pending","",IF(OR($B4912="",$B4912="(blank)"),"",VLOOKUP($B4912,'Email Marketing Raw Data'!$C:$O,10,0))),"")</f>
        <v/>
      </c>
      <c r="E4912" s="59" t="str">
        <f>IFERROR(IF(F4912&lt;&gt;"pending","",IF(OR($B4912="",$B4912="(blank)"),"",VLOOKUP($B4912,'Email Marketing Raw Data'!$C:$O,11,0))),"")</f>
        <v/>
      </c>
      <c r="F4912" s="54" t="str">
        <f>IFERROR(IF(OR($B4912="",$B4912="(blank)"),"",VLOOKUP($B4912,'Email Marketing Raw Data'!$C:$O,13,0)),"")</f>
        <v/>
      </c>
      <c r="G4912" s="55" t="str">
        <f>IFERROR(IF(OR($B4912="",$B4912="(blank)"),"",VLOOKUP($B4912,'Email Marketing Raw Data'!$C:$O,4,0)),"")</f>
        <v/>
      </c>
      <c r="H4912" s="55" t="str">
        <f>IFERROR(IF(OR($B4912="",$B4912="(blank)"),"",VLOOKUP($B4912,'Email Marketing Raw Data'!$C:$O,5,0)),"")</f>
        <v/>
      </c>
      <c r="I4912" s="55" t="str">
        <f>IFERROR(IF($G4912="","",VLOOKUP('Dashboard And Emails Automate'!$G4912,Database!$H:$N,3,0)),"")</f>
        <v/>
      </c>
      <c r="J4912" s="55" t="str">
        <f>IFERROR(IF($G4912="","",VLOOKUP('Dashboard And Emails Automate'!$G4912,Database!$H:$N,4,0)),"")</f>
        <v/>
      </c>
      <c r="K4912" s="55" t="str">
        <f>IFERROR(IF($G4912="","",VLOOKUP('Dashboard And Emails Automate'!$G4912,Database!$H:$N,5,0)),"")</f>
        <v/>
      </c>
      <c r="L4912" s="55" t="str">
        <f>IFERROR(IF($G4912="","",VLOOKUP('Dashboard And Emails Automate'!$G4912,Database!$H:$N,6,0)),"")</f>
        <v/>
      </c>
      <c r="M4912" s="55" t="str">
        <f>IFERROR(IF($G4912="","",VLOOKUP('Dashboard And Emails Automate'!$G4912,Database!$H:$N,7,0)),"")</f>
        <v/>
      </c>
      <c r="N4912" s="55" t="str">
        <f>IFERROR(IF(OR($B4912="",$B4912="(blank)"),"",VLOOKUP($B4912,'Email Marketing Raw Data'!$C:$O,6,0)),"")</f>
        <v/>
      </c>
      <c r="O4912" s="55" t="str">
        <f>IFERROR(IF(OR($B4912="",$B4912="(blank)"),"",VLOOKUP($B4912,'Email Marketing Raw Data'!$C:$O,7,0)),"")</f>
        <v/>
      </c>
      <c r="P4912" s="55" t="str">
        <f>IFERROR(IF(OR($B4912="",$B4912="(blank)"),"",VLOOKUP($B4912,'Email Marketing Raw Data'!$C:$O,8,0)),"")</f>
        <v/>
      </c>
      <c r="Q4912" s="62" t="str">
        <f>IFERROR(IF(OR($B4912="",$B4912="(blank)"),"",VLOOKUP($B4912,'Email Marketing Raw Data'!$C:$O,9,0)),"")</f>
        <v/>
      </c>
    </row>
    <row r="4913" spans="4:17" ht="12.75" customHeight="1" x14ac:dyDescent="0.2">
      <c r="D4913" s="58" t="str">
        <f>IFERROR(IF(F4913&lt;&gt;"pending","",IF(OR($B4913="",$B4913="(blank)"),"",VLOOKUP($B4913,'Email Marketing Raw Data'!$C:$O,10,0))),"")</f>
        <v/>
      </c>
      <c r="E4913" s="59" t="str">
        <f>IFERROR(IF(F4913&lt;&gt;"pending","",IF(OR($B4913="",$B4913="(blank)"),"",VLOOKUP($B4913,'Email Marketing Raw Data'!$C:$O,11,0))),"")</f>
        <v/>
      </c>
      <c r="F4913" s="54" t="str">
        <f>IFERROR(IF(OR($B4913="",$B4913="(blank)"),"",VLOOKUP($B4913,'Email Marketing Raw Data'!$C:$O,13,0)),"")</f>
        <v/>
      </c>
      <c r="G4913" s="55" t="str">
        <f>IFERROR(IF(OR($B4913="",$B4913="(blank)"),"",VLOOKUP($B4913,'Email Marketing Raw Data'!$C:$O,4,0)),"")</f>
        <v/>
      </c>
      <c r="H4913" s="55" t="str">
        <f>IFERROR(IF(OR($B4913="",$B4913="(blank)"),"",VLOOKUP($B4913,'Email Marketing Raw Data'!$C:$O,5,0)),"")</f>
        <v/>
      </c>
      <c r="I4913" s="55" t="str">
        <f>IFERROR(IF($G4913="","",VLOOKUP('Dashboard And Emails Automate'!$G4913,Database!$H:$N,3,0)),"")</f>
        <v/>
      </c>
      <c r="J4913" s="55" t="str">
        <f>IFERROR(IF($G4913="","",VLOOKUP('Dashboard And Emails Automate'!$G4913,Database!$H:$N,4,0)),"")</f>
        <v/>
      </c>
      <c r="K4913" s="55" t="str">
        <f>IFERROR(IF($G4913="","",VLOOKUP('Dashboard And Emails Automate'!$G4913,Database!$H:$N,5,0)),"")</f>
        <v/>
      </c>
      <c r="L4913" s="55" t="str">
        <f>IFERROR(IF($G4913="","",VLOOKUP('Dashboard And Emails Automate'!$G4913,Database!$H:$N,6,0)),"")</f>
        <v/>
      </c>
      <c r="M4913" s="55" t="str">
        <f>IFERROR(IF($G4913="","",VLOOKUP('Dashboard And Emails Automate'!$G4913,Database!$H:$N,7,0)),"")</f>
        <v/>
      </c>
      <c r="N4913" s="55" t="str">
        <f>IFERROR(IF(OR($B4913="",$B4913="(blank)"),"",VLOOKUP($B4913,'Email Marketing Raw Data'!$C:$O,6,0)),"")</f>
        <v/>
      </c>
      <c r="O4913" s="55" t="str">
        <f>IFERROR(IF(OR($B4913="",$B4913="(blank)"),"",VLOOKUP($B4913,'Email Marketing Raw Data'!$C:$O,7,0)),"")</f>
        <v/>
      </c>
      <c r="P4913" s="55" t="str">
        <f>IFERROR(IF(OR($B4913="",$B4913="(blank)"),"",VLOOKUP($B4913,'Email Marketing Raw Data'!$C:$O,8,0)),"")</f>
        <v/>
      </c>
      <c r="Q4913" s="62" t="str">
        <f>IFERROR(IF(OR($B4913="",$B4913="(blank)"),"",VLOOKUP($B4913,'Email Marketing Raw Data'!$C:$O,9,0)),"")</f>
        <v/>
      </c>
    </row>
    <row r="4914" spans="4:17" ht="12.75" customHeight="1" x14ac:dyDescent="0.2">
      <c r="D4914" s="58" t="str">
        <f>IFERROR(IF(F4914&lt;&gt;"pending","",IF(OR($B4914="",$B4914="(blank)"),"",VLOOKUP($B4914,'Email Marketing Raw Data'!$C:$O,10,0))),"")</f>
        <v/>
      </c>
      <c r="E4914" s="59" t="str">
        <f>IFERROR(IF(F4914&lt;&gt;"pending","",IF(OR($B4914="",$B4914="(blank)"),"",VLOOKUP($B4914,'Email Marketing Raw Data'!$C:$O,11,0))),"")</f>
        <v/>
      </c>
      <c r="F4914" s="54" t="str">
        <f>IFERROR(IF(OR($B4914="",$B4914="(blank)"),"",VLOOKUP($B4914,'Email Marketing Raw Data'!$C:$O,13,0)),"")</f>
        <v/>
      </c>
      <c r="G4914" s="55" t="str">
        <f>IFERROR(IF(OR($B4914="",$B4914="(blank)"),"",VLOOKUP($B4914,'Email Marketing Raw Data'!$C:$O,4,0)),"")</f>
        <v/>
      </c>
      <c r="H4914" s="55" t="str">
        <f>IFERROR(IF(OR($B4914="",$B4914="(blank)"),"",VLOOKUP($B4914,'Email Marketing Raw Data'!$C:$O,5,0)),"")</f>
        <v/>
      </c>
      <c r="I4914" s="55" t="str">
        <f>IFERROR(IF($G4914="","",VLOOKUP('Dashboard And Emails Automate'!$G4914,Database!$H:$N,3,0)),"")</f>
        <v/>
      </c>
      <c r="J4914" s="55" t="str">
        <f>IFERROR(IF($G4914="","",VLOOKUP('Dashboard And Emails Automate'!$G4914,Database!$H:$N,4,0)),"")</f>
        <v/>
      </c>
      <c r="K4914" s="55" t="str">
        <f>IFERROR(IF($G4914="","",VLOOKUP('Dashboard And Emails Automate'!$G4914,Database!$H:$N,5,0)),"")</f>
        <v/>
      </c>
      <c r="L4914" s="55" t="str">
        <f>IFERROR(IF($G4914="","",VLOOKUP('Dashboard And Emails Automate'!$G4914,Database!$H:$N,6,0)),"")</f>
        <v/>
      </c>
      <c r="M4914" s="55" t="str">
        <f>IFERROR(IF($G4914="","",VLOOKUP('Dashboard And Emails Automate'!$G4914,Database!$H:$N,7,0)),"")</f>
        <v/>
      </c>
      <c r="N4914" s="55" t="str">
        <f>IFERROR(IF(OR($B4914="",$B4914="(blank)"),"",VLOOKUP($B4914,'Email Marketing Raw Data'!$C:$O,6,0)),"")</f>
        <v/>
      </c>
      <c r="O4914" s="55" t="str">
        <f>IFERROR(IF(OR($B4914="",$B4914="(blank)"),"",VLOOKUP($B4914,'Email Marketing Raw Data'!$C:$O,7,0)),"")</f>
        <v/>
      </c>
      <c r="P4914" s="55" t="str">
        <f>IFERROR(IF(OR($B4914="",$B4914="(blank)"),"",VLOOKUP($B4914,'Email Marketing Raw Data'!$C:$O,8,0)),"")</f>
        <v/>
      </c>
      <c r="Q4914" s="62" t="str">
        <f>IFERROR(IF(OR($B4914="",$B4914="(blank)"),"",VLOOKUP($B4914,'Email Marketing Raw Data'!$C:$O,9,0)),"")</f>
        <v/>
      </c>
    </row>
    <row r="4915" spans="4:17" ht="12.75" customHeight="1" x14ac:dyDescent="0.2">
      <c r="D4915" s="58" t="str">
        <f>IFERROR(IF(F4915&lt;&gt;"pending","",IF(OR($B4915="",$B4915="(blank)"),"",VLOOKUP($B4915,'Email Marketing Raw Data'!$C:$O,10,0))),"")</f>
        <v/>
      </c>
      <c r="E4915" s="59" t="str">
        <f>IFERROR(IF(F4915&lt;&gt;"pending","",IF(OR($B4915="",$B4915="(blank)"),"",VLOOKUP($B4915,'Email Marketing Raw Data'!$C:$O,11,0))),"")</f>
        <v/>
      </c>
      <c r="F4915" s="54" t="str">
        <f>IFERROR(IF(OR($B4915="",$B4915="(blank)"),"",VLOOKUP($B4915,'Email Marketing Raw Data'!$C:$O,13,0)),"")</f>
        <v/>
      </c>
      <c r="G4915" s="55" t="str">
        <f>IFERROR(IF(OR($B4915="",$B4915="(blank)"),"",VLOOKUP($B4915,'Email Marketing Raw Data'!$C:$O,4,0)),"")</f>
        <v/>
      </c>
      <c r="H4915" s="55" t="str">
        <f>IFERROR(IF(OR($B4915="",$B4915="(blank)"),"",VLOOKUP($B4915,'Email Marketing Raw Data'!$C:$O,5,0)),"")</f>
        <v/>
      </c>
      <c r="I4915" s="55" t="str">
        <f>IFERROR(IF($G4915="","",VLOOKUP('Dashboard And Emails Automate'!$G4915,Database!$H:$N,3,0)),"")</f>
        <v/>
      </c>
      <c r="J4915" s="55" t="str">
        <f>IFERROR(IF($G4915="","",VLOOKUP('Dashboard And Emails Automate'!$G4915,Database!$H:$N,4,0)),"")</f>
        <v/>
      </c>
      <c r="K4915" s="55" t="str">
        <f>IFERROR(IF($G4915="","",VLOOKUP('Dashboard And Emails Automate'!$G4915,Database!$H:$N,5,0)),"")</f>
        <v/>
      </c>
      <c r="L4915" s="55" t="str">
        <f>IFERROR(IF($G4915="","",VLOOKUP('Dashboard And Emails Automate'!$G4915,Database!$H:$N,6,0)),"")</f>
        <v/>
      </c>
      <c r="M4915" s="55" t="str">
        <f>IFERROR(IF($G4915="","",VLOOKUP('Dashboard And Emails Automate'!$G4915,Database!$H:$N,7,0)),"")</f>
        <v/>
      </c>
      <c r="N4915" s="55" t="str">
        <f>IFERROR(IF(OR($B4915="",$B4915="(blank)"),"",VLOOKUP($B4915,'Email Marketing Raw Data'!$C:$O,6,0)),"")</f>
        <v/>
      </c>
      <c r="O4915" s="55" t="str">
        <f>IFERROR(IF(OR($B4915="",$B4915="(blank)"),"",VLOOKUP($B4915,'Email Marketing Raw Data'!$C:$O,7,0)),"")</f>
        <v/>
      </c>
      <c r="P4915" s="55" t="str">
        <f>IFERROR(IF(OR($B4915="",$B4915="(blank)"),"",VLOOKUP($B4915,'Email Marketing Raw Data'!$C:$O,8,0)),"")</f>
        <v/>
      </c>
      <c r="Q4915" s="62" t="str">
        <f>IFERROR(IF(OR($B4915="",$B4915="(blank)"),"",VLOOKUP($B4915,'Email Marketing Raw Data'!$C:$O,9,0)),"")</f>
        <v/>
      </c>
    </row>
    <row r="4916" spans="4:17" ht="12.75" customHeight="1" x14ac:dyDescent="0.2">
      <c r="D4916" s="58" t="str">
        <f>IFERROR(IF(F4916&lt;&gt;"pending","",IF(OR($B4916="",$B4916="(blank)"),"",VLOOKUP($B4916,'Email Marketing Raw Data'!$C:$O,10,0))),"")</f>
        <v/>
      </c>
      <c r="E4916" s="59" t="str">
        <f>IFERROR(IF(F4916&lt;&gt;"pending","",IF(OR($B4916="",$B4916="(blank)"),"",VLOOKUP($B4916,'Email Marketing Raw Data'!$C:$O,11,0))),"")</f>
        <v/>
      </c>
      <c r="F4916" s="54" t="str">
        <f>IFERROR(IF(OR($B4916="",$B4916="(blank)"),"",VLOOKUP($B4916,'Email Marketing Raw Data'!$C:$O,13,0)),"")</f>
        <v/>
      </c>
      <c r="G4916" s="55" t="str">
        <f>IFERROR(IF(OR($B4916="",$B4916="(blank)"),"",VLOOKUP($B4916,'Email Marketing Raw Data'!$C:$O,4,0)),"")</f>
        <v/>
      </c>
      <c r="H4916" s="55" t="str">
        <f>IFERROR(IF(OR($B4916="",$B4916="(blank)"),"",VLOOKUP($B4916,'Email Marketing Raw Data'!$C:$O,5,0)),"")</f>
        <v/>
      </c>
      <c r="I4916" s="55" t="str">
        <f>IFERROR(IF($G4916="","",VLOOKUP('Dashboard And Emails Automate'!$G4916,Database!$H:$N,3,0)),"")</f>
        <v/>
      </c>
      <c r="J4916" s="55" t="str">
        <f>IFERROR(IF($G4916="","",VLOOKUP('Dashboard And Emails Automate'!$G4916,Database!$H:$N,4,0)),"")</f>
        <v/>
      </c>
      <c r="K4916" s="55" t="str">
        <f>IFERROR(IF($G4916="","",VLOOKUP('Dashboard And Emails Automate'!$G4916,Database!$H:$N,5,0)),"")</f>
        <v/>
      </c>
      <c r="L4916" s="55" t="str">
        <f>IFERROR(IF($G4916="","",VLOOKUP('Dashboard And Emails Automate'!$G4916,Database!$H:$N,6,0)),"")</f>
        <v/>
      </c>
      <c r="M4916" s="55" t="str">
        <f>IFERROR(IF($G4916="","",VLOOKUP('Dashboard And Emails Automate'!$G4916,Database!$H:$N,7,0)),"")</f>
        <v/>
      </c>
      <c r="N4916" s="55" t="str">
        <f>IFERROR(IF(OR($B4916="",$B4916="(blank)"),"",VLOOKUP($B4916,'Email Marketing Raw Data'!$C:$O,6,0)),"")</f>
        <v/>
      </c>
      <c r="O4916" s="55" t="str">
        <f>IFERROR(IF(OR($B4916="",$B4916="(blank)"),"",VLOOKUP($B4916,'Email Marketing Raw Data'!$C:$O,7,0)),"")</f>
        <v/>
      </c>
      <c r="P4916" s="55" t="str">
        <f>IFERROR(IF(OR($B4916="",$B4916="(blank)"),"",VLOOKUP($B4916,'Email Marketing Raw Data'!$C:$O,8,0)),"")</f>
        <v/>
      </c>
      <c r="Q4916" s="62" t="str">
        <f>IFERROR(IF(OR($B4916="",$B4916="(blank)"),"",VLOOKUP($B4916,'Email Marketing Raw Data'!$C:$O,9,0)),"")</f>
        <v/>
      </c>
    </row>
    <row r="4917" spans="4:17" ht="12.75" customHeight="1" x14ac:dyDescent="0.2">
      <c r="D4917" s="58" t="str">
        <f>IFERROR(IF(F4917&lt;&gt;"pending","",IF(OR($B4917="",$B4917="(blank)"),"",VLOOKUP($B4917,'Email Marketing Raw Data'!$C:$O,10,0))),"")</f>
        <v/>
      </c>
      <c r="E4917" s="59" t="str">
        <f>IFERROR(IF(F4917&lt;&gt;"pending","",IF(OR($B4917="",$B4917="(blank)"),"",VLOOKUP($B4917,'Email Marketing Raw Data'!$C:$O,11,0))),"")</f>
        <v/>
      </c>
      <c r="F4917" s="54" t="str">
        <f>IFERROR(IF(OR($B4917="",$B4917="(blank)"),"",VLOOKUP($B4917,'Email Marketing Raw Data'!$C:$O,13,0)),"")</f>
        <v/>
      </c>
      <c r="G4917" s="55" t="str">
        <f>IFERROR(IF(OR($B4917="",$B4917="(blank)"),"",VLOOKUP($B4917,'Email Marketing Raw Data'!$C:$O,4,0)),"")</f>
        <v/>
      </c>
      <c r="H4917" s="55" t="str">
        <f>IFERROR(IF(OR($B4917="",$B4917="(blank)"),"",VLOOKUP($B4917,'Email Marketing Raw Data'!$C:$O,5,0)),"")</f>
        <v/>
      </c>
      <c r="I4917" s="55" t="str">
        <f>IFERROR(IF($G4917="","",VLOOKUP('Dashboard And Emails Automate'!$G4917,Database!$H:$N,3,0)),"")</f>
        <v/>
      </c>
      <c r="J4917" s="55" t="str">
        <f>IFERROR(IF($G4917="","",VLOOKUP('Dashboard And Emails Automate'!$G4917,Database!$H:$N,4,0)),"")</f>
        <v/>
      </c>
      <c r="K4917" s="55" t="str">
        <f>IFERROR(IF($G4917="","",VLOOKUP('Dashboard And Emails Automate'!$G4917,Database!$H:$N,5,0)),"")</f>
        <v/>
      </c>
      <c r="L4917" s="55" t="str">
        <f>IFERROR(IF($G4917="","",VLOOKUP('Dashboard And Emails Automate'!$G4917,Database!$H:$N,6,0)),"")</f>
        <v/>
      </c>
      <c r="M4917" s="55" t="str">
        <f>IFERROR(IF($G4917="","",VLOOKUP('Dashboard And Emails Automate'!$G4917,Database!$H:$N,7,0)),"")</f>
        <v/>
      </c>
      <c r="N4917" s="55" t="str">
        <f>IFERROR(IF(OR($B4917="",$B4917="(blank)"),"",VLOOKUP($B4917,'Email Marketing Raw Data'!$C:$O,6,0)),"")</f>
        <v/>
      </c>
      <c r="O4917" s="55" t="str">
        <f>IFERROR(IF(OR($B4917="",$B4917="(blank)"),"",VLOOKUP($B4917,'Email Marketing Raw Data'!$C:$O,7,0)),"")</f>
        <v/>
      </c>
      <c r="P4917" s="55" t="str">
        <f>IFERROR(IF(OR($B4917="",$B4917="(blank)"),"",VLOOKUP($B4917,'Email Marketing Raw Data'!$C:$O,8,0)),"")</f>
        <v/>
      </c>
      <c r="Q4917" s="62" t="str">
        <f>IFERROR(IF(OR($B4917="",$B4917="(blank)"),"",VLOOKUP($B4917,'Email Marketing Raw Data'!$C:$O,9,0)),"")</f>
        <v/>
      </c>
    </row>
    <row r="4918" spans="4:17" ht="12.75" customHeight="1" x14ac:dyDescent="0.2">
      <c r="D4918" s="58" t="str">
        <f>IFERROR(IF(F4918&lt;&gt;"pending","",IF(OR($B4918="",$B4918="(blank)"),"",VLOOKUP($B4918,'Email Marketing Raw Data'!$C:$O,10,0))),"")</f>
        <v/>
      </c>
      <c r="E4918" s="59" t="str">
        <f>IFERROR(IF(F4918&lt;&gt;"pending","",IF(OR($B4918="",$B4918="(blank)"),"",VLOOKUP($B4918,'Email Marketing Raw Data'!$C:$O,11,0))),"")</f>
        <v/>
      </c>
      <c r="F4918" s="54" t="str">
        <f>IFERROR(IF(OR($B4918="",$B4918="(blank)"),"",VLOOKUP($B4918,'Email Marketing Raw Data'!$C:$O,13,0)),"")</f>
        <v/>
      </c>
      <c r="G4918" s="55" t="str">
        <f>IFERROR(IF(OR($B4918="",$B4918="(blank)"),"",VLOOKUP($B4918,'Email Marketing Raw Data'!$C:$O,4,0)),"")</f>
        <v/>
      </c>
      <c r="H4918" s="55" t="str">
        <f>IFERROR(IF(OR($B4918="",$B4918="(blank)"),"",VLOOKUP($B4918,'Email Marketing Raw Data'!$C:$O,5,0)),"")</f>
        <v/>
      </c>
      <c r="I4918" s="55" t="str">
        <f>IFERROR(IF($G4918="","",VLOOKUP('Dashboard And Emails Automate'!$G4918,Database!$H:$N,3,0)),"")</f>
        <v/>
      </c>
      <c r="J4918" s="55" t="str">
        <f>IFERROR(IF($G4918="","",VLOOKUP('Dashboard And Emails Automate'!$G4918,Database!$H:$N,4,0)),"")</f>
        <v/>
      </c>
      <c r="K4918" s="55" t="str">
        <f>IFERROR(IF($G4918="","",VLOOKUP('Dashboard And Emails Automate'!$G4918,Database!$H:$N,5,0)),"")</f>
        <v/>
      </c>
      <c r="L4918" s="55" t="str">
        <f>IFERROR(IF($G4918="","",VLOOKUP('Dashboard And Emails Automate'!$G4918,Database!$H:$N,6,0)),"")</f>
        <v/>
      </c>
      <c r="M4918" s="55" t="str">
        <f>IFERROR(IF($G4918="","",VLOOKUP('Dashboard And Emails Automate'!$G4918,Database!$H:$N,7,0)),"")</f>
        <v/>
      </c>
      <c r="N4918" s="55" t="str">
        <f>IFERROR(IF(OR($B4918="",$B4918="(blank)"),"",VLOOKUP($B4918,'Email Marketing Raw Data'!$C:$O,6,0)),"")</f>
        <v/>
      </c>
      <c r="O4918" s="55" t="str">
        <f>IFERROR(IF(OR($B4918="",$B4918="(blank)"),"",VLOOKUP($B4918,'Email Marketing Raw Data'!$C:$O,7,0)),"")</f>
        <v/>
      </c>
      <c r="P4918" s="55" t="str">
        <f>IFERROR(IF(OR($B4918="",$B4918="(blank)"),"",VLOOKUP($B4918,'Email Marketing Raw Data'!$C:$O,8,0)),"")</f>
        <v/>
      </c>
      <c r="Q4918" s="62" t="str">
        <f>IFERROR(IF(OR($B4918="",$B4918="(blank)"),"",VLOOKUP($B4918,'Email Marketing Raw Data'!$C:$O,9,0)),"")</f>
        <v/>
      </c>
    </row>
    <row r="4919" spans="4:17" ht="12.75" customHeight="1" x14ac:dyDescent="0.2">
      <c r="D4919" s="58" t="str">
        <f>IFERROR(IF(F4919&lt;&gt;"pending","",IF(OR($B4919="",$B4919="(blank)"),"",VLOOKUP($B4919,'Email Marketing Raw Data'!$C:$O,10,0))),"")</f>
        <v/>
      </c>
      <c r="E4919" s="59" t="str">
        <f>IFERROR(IF(F4919&lt;&gt;"pending","",IF(OR($B4919="",$B4919="(blank)"),"",VLOOKUP($B4919,'Email Marketing Raw Data'!$C:$O,11,0))),"")</f>
        <v/>
      </c>
      <c r="F4919" s="54" t="str">
        <f>IFERROR(IF(OR($B4919="",$B4919="(blank)"),"",VLOOKUP($B4919,'Email Marketing Raw Data'!$C:$O,13,0)),"")</f>
        <v/>
      </c>
      <c r="G4919" s="55" t="str">
        <f>IFERROR(IF(OR($B4919="",$B4919="(blank)"),"",VLOOKUP($B4919,'Email Marketing Raw Data'!$C:$O,4,0)),"")</f>
        <v/>
      </c>
      <c r="H4919" s="55" t="str">
        <f>IFERROR(IF(OR($B4919="",$B4919="(blank)"),"",VLOOKUP($B4919,'Email Marketing Raw Data'!$C:$O,5,0)),"")</f>
        <v/>
      </c>
      <c r="I4919" s="55" t="str">
        <f>IFERROR(IF($G4919="","",VLOOKUP('Dashboard And Emails Automate'!$G4919,Database!$H:$N,3,0)),"")</f>
        <v/>
      </c>
      <c r="J4919" s="55" t="str">
        <f>IFERROR(IF($G4919="","",VLOOKUP('Dashboard And Emails Automate'!$G4919,Database!$H:$N,4,0)),"")</f>
        <v/>
      </c>
      <c r="K4919" s="55" t="str">
        <f>IFERROR(IF($G4919="","",VLOOKUP('Dashboard And Emails Automate'!$G4919,Database!$H:$N,5,0)),"")</f>
        <v/>
      </c>
      <c r="L4919" s="55" t="str">
        <f>IFERROR(IF($G4919="","",VLOOKUP('Dashboard And Emails Automate'!$G4919,Database!$H:$N,6,0)),"")</f>
        <v/>
      </c>
      <c r="M4919" s="55" t="str">
        <f>IFERROR(IF($G4919="","",VLOOKUP('Dashboard And Emails Automate'!$G4919,Database!$H:$N,7,0)),"")</f>
        <v/>
      </c>
      <c r="N4919" s="55" t="str">
        <f>IFERROR(IF(OR($B4919="",$B4919="(blank)"),"",VLOOKUP($B4919,'Email Marketing Raw Data'!$C:$O,6,0)),"")</f>
        <v/>
      </c>
      <c r="O4919" s="55" t="str">
        <f>IFERROR(IF(OR($B4919="",$B4919="(blank)"),"",VLOOKUP($B4919,'Email Marketing Raw Data'!$C:$O,7,0)),"")</f>
        <v/>
      </c>
      <c r="P4919" s="55" t="str">
        <f>IFERROR(IF(OR($B4919="",$B4919="(blank)"),"",VLOOKUP($B4919,'Email Marketing Raw Data'!$C:$O,8,0)),"")</f>
        <v/>
      </c>
      <c r="Q4919" s="62" t="str">
        <f>IFERROR(IF(OR($B4919="",$B4919="(blank)"),"",VLOOKUP($B4919,'Email Marketing Raw Data'!$C:$O,9,0)),"")</f>
        <v/>
      </c>
    </row>
    <row r="4920" spans="4:17" ht="12.75" customHeight="1" x14ac:dyDescent="0.2">
      <c r="D4920" s="58" t="str">
        <f>IFERROR(IF(F4920&lt;&gt;"pending","",IF(OR($B4920="",$B4920="(blank)"),"",VLOOKUP($B4920,'Email Marketing Raw Data'!$C:$O,10,0))),"")</f>
        <v/>
      </c>
      <c r="E4920" s="59" t="str">
        <f>IFERROR(IF(F4920&lt;&gt;"pending","",IF(OR($B4920="",$B4920="(blank)"),"",VLOOKUP($B4920,'Email Marketing Raw Data'!$C:$O,11,0))),"")</f>
        <v/>
      </c>
      <c r="F4920" s="54" t="str">
        <f>IFERROR(IF(OR($B4920="",$B4920="(blank)"),"",VLOOKUP($B4920,'Email Marketing Raw Data'!$C:$O,13,0)),"")</f>
        <v/>
      </c>
      <c r="G4920" s="55" t="str">
        <f>IFERROR(IF(OR($B4920="",$B4920="(blank)"),"",VLOOKUP($B4920,'Email Marketing Raw Data'!$C:$O,4,0)),"")</f>
        <v/>
      </c>
      <c r="H4920" s="55" t="str">
        <f>IFERROR(IF(OR($B4920="",$B4920="(blank)"),"",VLOOKUP($B4920,'Email Marketing Raw Data'!$C:$O,5,0)),"")</f>
        <v/>
      </c>
      <c r="I4920" s="55" t="str">
        <f>IFERROR(IF($G4920="","",VLOOKUP('Dashboard And Emails Automate'!$G4920,Database!$H:$N,3,0)),"")</f>
        <v/>
      </c>
      <c r="J4920" s="55" t="str">
        <f>IFERROR(IF($G4920="","",VLOOKUP('Dashboard And Emails Automate'!$G4920,Database!$H:$N,4,0)),"")</f>
        <v/>
      </c>
      <c r="K4920" s="55" t="str">
        <f>IFERROR(IF($G4920="","",VLOOKUP('Dashboard And Emails Automate'!$G4920,Database!$H:$N,5,0)),"")</f>
        <v/>
      </c>
      <c r="L4920" s="55" t="str">
        <f>IFERROR(IF($G4920="","",VLOOKUP('Dashboard And Emails Automate'!$G4920,Database!$H:$N,6,0)),"")</f>
        <v/>
      </c>
      <c r="M4920" s="55" t="str">
        <f>IFERROR(IF($G4920="","",VLOOKUP('Dashboard And Emails Automate'!$G4920,Database!$H:$N,7,0)),"")</f>
        <v/>
      </c>
      <c r="N4920" s="55" t="str">
        <f>IFERROR(IF(OR($B4920="",$B4920="(blank)"),"",VLOOKUP($B4920,'Email Marketing Raw Data'!$C:$O,6,0)),"")</f>
        <v/>
      </c>
      <c r="O4920" s="55" t="str">
        <f>IFERROR(IF(OR($B4920="",$B4920="(blank)"),"",VLOOKUP($B4920,'Email Marketing Raw Data'!$C:$O,7,0)),"")</f>
        <v/>
      </c>
      <c r="P4920" s="55" t="str">
        <f>IFERROR(IF(OR($B4920="",$B4920="(blank)"),"",VLOOKUP($B4920,'Email Marketing Raw Data'!$C:$O,8,0)),"")</f>
        <v/>
      </c>
      <c r="Q4920" s="62" t="str">
        <f>IFERROR(IF(OR($B4920="",$B4920="(blank)"),"",VLOOKUP($B4920,'Email Marketing Raw Data'!$C:$O,9,0)),"")</f>
        <v/>
      </c>
    </row>
    <row r="4921" spans="4:17" ht="12.75" customHeight="1" x14ac:dyDescent="0.2">
      <c r="D4921" s="58" t="str">
        <f>IFERROR(IF(F4921&lt;&gt;"pending","",IF(OR($B4921="",$B4921="(blank)"),"",VLOOKUP($B4921,'Email Marketing Raw Data'!$C:$O,10,0))),"")</f>
        <v/>
      </c>
      <c r="E4921" s="59" t="str">
        <f>IFERROR(IF(F4921&lt;&gt;"pending","",IF(OR($B4921="",$B4921="(blank)"),"",VLOOKUP($B4921,'Email Marketing Raw Data'!$C:$O,11,0))),"")</f>
        <v/>
      </c>
      <c r="F4921" s="54" t="str">
        <f>IFERROR(IF(OR($B4921="",$B4921="(blank)"),"",VLOOKUP($B4921,'Email Marketing Raw Data'!$C:$O,13,0)),"")</f>
        <v/>
      </c>
      <c r="G4921" s="55" t="str">
        <f>IFERROR(IF(OR($B4921="",$B4921="(blank)"),"",VLOOKUP($B4921,'Email Marketing Raw Data'!$C:$O,4,0)),"")</f>
        <v/>
      </c>
      <c r="H4921" s="55" t="str">
        <f>IFERROR(IF(OR($B4921="",$B4921="(blank)"),"",VLOOKUP($B4921,'Email Marketing Raw Data'!$C:$O,5,0)),"")</f>
        <v/>
      </c>
      <c r="I4921" s="55" t="str">
        <f>IFERROR(IF($G4921="","",VLOOKUP('Dashboard And Emails Automate'!$G4921,Database!$H:$N,3,0)),"")</f>
        <v/>
      </c>
      <c r="J4921" s="55" t="str">
        <f>IFERROR(IF($G4921="","",VLOOKUP('Dashboard And Emails Automate'!$G4921,Database!$H:$N,4,0)),"")</f>
        <v/>
      </c>
      <c r="K4921" s="55" t="str">
        <f>IFERROR(IF($G4921="","",VLOOKUP('Dashboard And Emails Automate'!$G4921,Database!$H:$N,5,0)),"")</f>
        <v/>
      </c>
      <c r="L4921" s="55" t="str">
        <f>IFERROR(IF($G4921="","",VLOOKUP('Dashboard And Emails Automate'!$G4921,Database!$H:$N,6,0)),"")</f>
        <v/>
      </c>
      <c r="M4921" s="55" t="str">
        <f>IFERROR(IF($G4921="","",VLOOKUP('Dashboard And Emails Automate'!$G4921,Database!$H:$N,7,0)),"")</f>
        <v/>
      </c>
      <c r="N4921" s="55" t="str">
        <f>IFERROR(IF(OR($B4921="",$B4921="(blank)"),"",VLOOKUP($B4921,'Email Marketing Raw Data'!$C:$O,6,0)),"")</f>
        <v/>
      </c>
      <c r="O4921" s="55" t="str">
        <f>IFERROR(IF(OR($B4921="",$B4921="(blank)"),"",VLOOKUP($B4921,'Email Marketing Raw Data'!$C:$O,7,0)),"")</f>
        <v/>
      </c>
      <c r="P4921" s="55" t="str">
        <f>IFERROR(IF(OR($B4921="",$B4921="(blank)"),"",VLOOKUP($B4921,'Email Marketing Raw Data'!$C:$O,8,0)),"")</f>
        <v/>
      </c>
      <c r="Q4921" s="62" t="str">
        <f>IFERROR(IF(OR($B4921="",$B4921="(blank)"),"",VLOOKUP($B4921,'Email Marketing Raw Data'!$C:$O,9,0)),"")</f>
        <v/>
      </c>
    </row>
    <row r="4922" spans="4:17" ht="12.75" customHeight="1" x14ac:dyDescent="0.2">
      <c r="D4922" s="58" t="str">
        <f>IFERROR(IF(F4922&lt;&gt;"pending","",IF(OR($B4922="",$B4922="(blank)"),"",VLOOKUP($B4922,'Email Marketing Raw Data'!$C:$O,10,0))),"")</f>
        <v/>
      </c>
      <c r="E4922" s="59" t="str">
        <f>IFERROR(IF(F4922&lt;&gt;"pending","",IF(OR($B4922="",$B4922="(blank)"),"",VLOOKUP($B4922,'Email Marketing Raw Data'!$C:$O,11,0))),"")</f>
        <v/>
      </c>
      <c r="F4922" s="54" t="str">
        <f>IFERROR(IF(OR($B4922="",$B4922="(blank)"),"",VLOOKUP($B4922,'Email Marketing Raw Data'!$C:$O,13,0)),"")</f>
        <v/>
      </c>
      <c r="G4922" s="55" t="str">
        <f>IFERROR(IF(OR($B4922="",$B4922="(blank)"),"",VLOOKUP($B4922,'Email Marketing Raw Data'!$C:$O,4,0)),"")</f>
        <v/>
      </c>
      <c r="H4922" s="55" t="str">
        <f>IFERROR(IF(OR($B4922="",$B4922="(blank)"),"",VLOOKUP($B4922,'Email Marketing Raw Data'!$C:$O,5,0)),"")</f>
        <v/>
      </c>
      <c r="I4922" s="55" t="str">
        <f>IFERROR(IF($G4922="","",VLOOKUP('Dashboard And Emails Automate'!$G4922,Database!$H:$N,3,0)),"")</f>
        <v/>
      </c>
      <c r="J4922" s="55" t="str">
        <f>IFERROR(IF($G4922="","",VLOOKUP('Dashboard And Emails Automate'!$G4922,Database!$H:$N,4,0)),"")</f>
        <v/>
      </c>
      <c r="K4922" s="55" t="str">
        <f>IFERROR(IF($G4922="","",VLOOKUP('Dashboard And Emails Automate'!$G4922,Database!$H:$N,5,0)),"")</f>
        <v/>
      </c>
      <c r="L4922" s="55" t="str">
        <f>IFERROR(IF($G4922="","",VLOOKUP('Dashboard And Emails Automate'!$G4922,Database!$H:$N,6,0)),"")</f>
        <v/>
      </c>
      <c r="M4922" s="55" t="str">
        <f>IFERROR(IF($G4922="","",VLOOKUP('Dashboard And Emails Automate'!$G4922,Database!$H:$N,7,0)),"")</f>
        <v/>
      </c>
      <c r="N4922" s="55" t="str">
        <f>IFERROR(IF(OR($B4922="",$B4922="(blank)"),"",VLOOKUP($B4922,'Email Marketing Raw Data'!$C:$O,6,0)),"")</f>
        <v/>
      </c>
      <c r="O4922" s="55" t="str">
        <f>IFERROR(IF(OR($B4922="",$B4922="(blank)"),"",VLOOKUP($B4922,'Email Marketing Raw Data'!$C:$O,7,0)),"")</f>
        <v/>
      </c>
      <c r="P4922" s="55" t="str">
        <f>IFERROR(IF(OR($B4922="",$B4922="(blank)"),"",VLOOKUP($B4922,'Email Marketing Raw Data'!$C:$O,8,0)),"")</f>
        <v/>
      </c>
      <c r="Q4922" s="62" t="str">
        <f>IFERROR(IF(OR($B4922="",$B4922="(blank)"),"",VLOOKUP($B4922,'Email Marketing Raw Data'!$C:$O,9,0)),"")</f>
        <v/>
      </c>
    </row>
    <row r="4923" spans="4:17" ht="12.75" customHeight="1" x14ac:dyDescent="0.2">
      <c r="D4923" s="58" t="str">
        <f>IFERROR(IF(F4923&lt;&gt;"pending","",IF(OR($B4923="",$B4923="(blank)"),"",VLOOKUP($B4923,'Email Marketing Raw Data'!$C:$O,10,0))),"")</f>
        <v/>
      </c>
      <c r="E4923" s="59" t="str">
        <f>IFERROR(IF(F4923&lt;&gt;"pending","",IF(OR($B4923="",$B4923="(blank)"),"",VLOOKUP($B4923,'Email Marketing Raw Data'!$C:$O,11,0))),"")</f>
        <v/>
      </c>
      <c r="F4923" s="54" t="str">
        <f>IFERROR(IF(OR($B4923="",$B4923="(blank)"),"",VLOOKUP($B4923,'Email Marketing Raw Data'!$C:$O,13,0)),"")</f>
        <v/>
      </c>
      <c r="G4923" s="55" t="str">
        <f>IFERROR(IF(OR($B4923="",$B4923="(blank)"),"",VLOOKUP($B4923,'Email Marketing Raw Data'!$C:$O,4,0)),"")</f>
        <v/>
      </c>
      <c r="H4923" s="55" t="str">
        <f>IFERROR(IF(OR($B4923="",$B4923="(blank)"),"",VLOOKUP($B4923,'Email Marketing Raw Data'!$C:$O,5,0)),"")</f>
        <v/>
      </c>
      <c r="I4923" s="55" t="str">
        <f>IFERROR(IF($G4923="","",VLOOKUP('Dashboard And Emails Automate'!$G4923,Database!$H:$N,3,0)),"")</f>
        <v/>
      </c>
      <c r="J4923" s="55" t="str">
        <f>IFERROR(IF($G4923="","",VLOOKUP('Dashboard And Emails Automate'!$G4923,Database!$H:$N,4,0)),"")</f>
        <v/>
      </c>
      <c r="K4923" s="55" t="str">
        <f>IFERROR(IF($G4923="","",VLOOKUP('Dashboard And Emails Automate'!$G4923,Database!$H:$N,5,0)),"")</f>
        <v/>
      </c>
      <c r="L4923" s="55" t="str">
        <f>IFERROR(IF($G4923="","",VLOOKUP('Dashboard And Emails Automate'!$G4923,Database!$H:$N,6,0)),"")</f>
        <v/>
      </c>
      <c r="M4923" s="55" t="str">
        <f>IFERROR(IF($G4923="","",VLOOKUP('Dashboard And Emails Automate'!$G4923,Database!$H:$N,7,0)),"")</f>
        <v/>
      </c>
      <c r="N4923" s="55" t="str">
        <f>IFERROR(IF(OR($B4923="",$B4923="(blank)"),"",VLOOKUP($B4923,'Email Marketing Raw Data'!$C:$O,6,0)),"")</f>
        <v/>
      </c>
      <c r="O4923" s="55" t="str">
        <f>IFERROR(IF(OR($B4923="",$B4923="(blank)"),"",VLOOKUP($B4923,'Email Marketing Raw Data'!$C:$O,7,0)),"")</f>
        <v/>
      </c>
      <c r="P4923" s="55" t="str">
        <f>IFERROR(IF(OR($B4923="",$B4923="(blank)"),"",VLOOKUP($B4923,'Email Marketing Raw Data'!$C:$O,8,0)),"")</f>
        <v/>
      </c>
      <c r="Q4923" s="62" t="str">
        <f>IFERROR(IF(OR($B4923="",$B4923="(blank)"),"",VLOOKUP($B4923,'Email Marketing Raw Data'!$C:$O,9,0)),"")</f>
        <v/>
      </c>
    </row>
    <row r="4924" spans="4:17" ht="12.75" customHeight="1" x14ac:dyDescent="0.2">
      <c r="D4924" s="58" t="str">
        <f>IFERROR(IF(F4924&lt;&gt;"pending","",IF(OR($B4924="",$B4924="(blank)"),"",VLOOKUP($B4924,'Email Marketing Raw Data'!$C:$O,10,0))),"")</f>
        <v/>
      </c>
      <c r="E4924" s="59" t="str">
        <f>IFERROR(IF(F4924&lt;&gt;"pending","",IF(OR($B4924="",$B4924="(blank)"),"",VLOOKUP($B4924,'Email Marketing Raw Data'!$C:$O,11,0))),"")</f>
        <v/>
      </c>
      <c r="F4924" s="54" t="str">
        <f>IFERROR(IF(OR($B4924="",$B4924="(blank)"),"",VLOOKUP($B4924,'Email Marketing Raw Data'!$C:$O,13,0)),"")</f>
        <v/>
      </c>
      <c r="G4924" s="55" t="str">
        <f>IFERROR(IF(OR($B4924="",$B4924="(blank)"),"",VLOOKUP($B4924,'Email Marketing Raw Data'!$C:$O,4,0)),"")</f>
        <v/>
      </c>
      <c r="H4924" s="55" t="str">
        <f>IFERROR(IF(OR($B4924="",$B4924="(blank)"),"",VLOOKUP($B4924,'Email Marketing Raw Data'!$C:$O,5,0)),"")</f>
        <v/>
      </c>
      <c r="I4924" s="55" t="str">
        <f>IFERROR(IF($G4924="","",VLOOKUP('Dashboard And Emails Automate'!$G4924,Database!$H:$N,3,0)),"")</f>
        <v/>
      </c>
      <c r="J4924" s="55" t="str">
        <f>IFERROR(IF($G4924="","",VLOOKUP('Dashboard And Emails Automate'!$G4924,Database!$H:$N,4,0)),"")</f>
        <v/>
      </c>
      <c r="K4924" s="55" t="str">
        <f>IFERROR(IF($G4924="","",VLOOKUP('Dashboard And Emails Automate'!$G4924,Database!$H:$N,5,0)),"")</f>
        <v/>
      </c>
      <c r="L4924" s="55" t="str">
        <f>IFERROR(IF($G4924="","",VLOOKUP('Dashboard And Emails Automate'!$G4924,Database!$H:$N,6,0)),"")</f>
        <v/>
      </c>
      <c r="M4924" s="55" t="str">
        <f>IFERROR(IF($G4924="","",VLOOKUP('Dashboard And Emails Automate'!$G4924,Database!$H:$N,7,0)),"")</f>
        <v/>
      </c>
      <c r="N4924" s="55" t="str">
        <f>IFERROR(IF(OR($B4924="",$B4924="(blank)"),"",VLOOKUP($B4924,'Email Marketing Raw Data'!$C:$O,6,0)),"")</f>
        <v/>
      </c>
      <c r="O4924" s="55" t="str">
        <f>IFERROR(IF(OR($B4924="",$B4924="(blank)"),"",VLOOKUP($B4924,'Email Marketing Raw Data'!$C:$O,7,0)),"")</f>
        <v/>
      </c>
      <c r="P4924" s="55" t="str">
        <f>IFERROR(IF(OR($B4924="",$B4924="(blank)"),"",VLOOKUP($B4924,'Email Marketing Raw Data'!$C:$O,8,0)),"")</f>
        <v/>
      </c>
      <c r="Q4924" s="62" t="str">
        <f>IFERROR(IF(OR($B4924="",$B4924="(blank)"),"",VLOOKUP($B4924,'Email Marketing Raw Data'!$C:$O,9,0)),"")</f>
        <v/>
      </c>
    </row>
    <row r="4925" spans="4:17" ht="12.75" customHeight="1" x14ac:dyDescent="0.2">
      <c r="D4925" s="58" t="str">
        <f>IFERROR(IF(F4925&lt;&gt;"pending","",IF(OR($B4925="",$B4925="(blank)"),"",VLOOKUP($B4925,'Email Marketing Raw Data'!$C:$O,10,0))),"")</f>
        <v/>
      </c>
      <c r="E4925" s="59" t="str">
        <f>IFERROR(IF(F4925&lt;&gt;"pending","",IF(OR($B4925="",$B4925="(blank)"),"",VLOOKUP($B4925,'Email Marketing Raw Data'!$C:$O,11,0))),"")</f>
        <v/>
      </c>
      <c r="F4925" s="54" t="str">
        <f>IFERROR(IF(OR($B4925="",$B4925="(blank)"),"",VLOOKUP($B4925,'Email Marketing Raw Data'!$C:$O,13,0)),"")</f>
        <v/>
      </c>
      <c r="G4925" s="55" t="str">
        <f>IFERROR(IF(OR($B4925="",$B4925="(blank)"),"",VLOOKUP($B4925,'Email Marketing Raw Data'!$C:$O,4,0)),"")</f>
        <v/>
      </c>
      <c r="H4925" s="55" t="str">
        <f>IFERROR(IF(OR($B4925="",$B4925="(blank)"),"",VLOOKUP($B4925,'Email Marketing Raw Data'!$C:$O,5,0)),"")</f>
        <v/>
      </c>
      <c r="I4925" s="55" t="str">
        <f>IFERROR(IF($G4925="","",VLOOKUP('Dashboard And Emails Automate'!$G4925,Database!$H:$N,3,0)),"")</f>
        <v/>
      </c>
      <c r="J4925" s="55" t="str">
        <f>IFERROR(IF($G4925="","",VLOOKUP('Dashboard And Emails Automate'!$G4925,Database!$H:$N,4,0)),"")</f>
        <v/>
      </c>
      <c r="K4925" s="55" t="str">
        <f>IFERROR(IF($G4925="","",VLOOKUP('Dashboard And Emails Automate'!$G4925,Database!$H:$N,5,0)),"")</f>
        <v/>
      </c>
      <c r="L4925" s="55" t="str">
        <f>IFERROR(IF($G4925="","",VLOOKUP('Dashboard And Emails Automate'!$G4925,Database!$H:$N,6,0)),"")</f>
        <v/>
      </c>
      <c r="M4925" s="55" t="str">
        <f>IFERROR(IF($G4925="","",VLOOKUP('Dashboard And Emails Automate'!$G4925,Database!$H:$N,7,0)),"")</f>
        <v/>
      </c>
      <c r="N4925" s="55" t="str">
        <f>IFERROR(IF(OR($B4925="",$B4925="(blank)"),"",VLOOKUP($B4925,'Email Marketing Raw Data'!$C:$O,6,0)),"")</f>
        <v/>
      </c>
      <c r="O4925" s="55" t="str">
        <f>IFERROR(IF(OR($B4925="",$B4925="(blank)"),"",VLOOKUP($B4925,'Email Marketing Raw Data'!$C:$O,7,0)),"")</f>
        <v/>
      </c>
      <c r="P4925" s="55" t="str">
        <f>IFERROR(IF(OR($B4925="",$B4925="(blank)"),"",VLOOKUP($B4925,'Email Marketing Raw Data'!$C:$O,8,0)),"")</f>
        <v/>
      </c>
      <c r="Q4925" s="62" t="str">
        <f>IFERROR(IF(OR($B4925="",$B4925="(blank)"),"",VLOOKUP($B4925,'Email Marketing Raw Data'!$C:$O,9,0)),"")</f>
        <v/>
      </c>
    </row>
    <row r="4926" spans="4:17" ht="12.75" customHeight="1" x14ac:dyDescent="0.2">
      <c r="D4926" s="58" t="str">
        <f>IFERROR(IF(F4926&lt;&gt;"pending","",IF(OR($B4926="",$B4926="(blank)"),"",VLOOKUP($B4926,'Email Marketing Raw Data'!$C:$O,10,0))),"")</f>
        <v/>
      </c>
      <c r="E4926" s="59" t="str">
        <f>IFERROR(IF(F4926&lt;&gt;"pending","",IF(OR($B4926="",$B4926="(blank)"),"",VLOOKUP($B4926,'Email Marketing Raw Data'!$C:$O,11,0))),"")</f>
        <v/>
      </c>
      <c r="F4926" s="54" t="str">
        <f>IFERROR(IF(OR($B4926="",$B4926="(blank)"),"",VLOOKUP($B4926,'Email Marketing Raw Data'!$C:$O,13,0)),"")</f>
        <v/>
      </c>
      <c r="G4926" s="55" t="str">
        <f>IFERROR(IF(OR($B4926="",$B4926="(blank)"),"",VLOOKUP($B4926,'Email Marketing Raw Data'!$C:$O,4,0)),"")</f>
        <v/>
      </c>
      <c r="H4926" s="55" t="str">
        <f>IFERROR(IF(OR($B4926="",$B4926="(blank)"),"",VLOOKUP($B4926,'Email Marketing Raw Data'!$C:$O,5,0)),"")</f>
        <v/>
      </c>
      <c r="I4926" s="55" t="str">
        <f>IFERROR(IF($G4926="","",VLOOKUP('Dashboard And Emails Automate'!$G4926,Database!$H:$N,3,0)),"")</f>
        <v/>
      </c>
      <c r="J4926" s="55" t="str">
        <f>IFERROR(IF($G4926="","",VLOOKUP('Dashboard And Emails Automate'!$G4926,Database!$H:$N,4,0)),"")</f>
        <v/>
      </c>
      <c r="K4926" s="55" t="str">
        <f>IFERROR(IF($G4926="","",VLOOKUP('Dashboard And Emails Automate'!$G4926,Database!$H:$N,5,0)),"")</f>
        <v/>
      </c>
      <c r="L4926" s="55" t="str">
        <f>IFERROR(IF($G4926="","",VLOOKUP('Dashboard And Emails Automate'!$G4926,Database!$H:$N,6,0)),"")</f>
        <v/>
      </c>
      <c r="M4926" s="55" t="str">
        <f>IFERROR(IF($G4926="","",VLOOKUP('Dashboard And Emails Automate'!$G4926,Database!$H:$N,7,0)),"")</f>
        <v/>
      </c>
      <c r="N4926" s="55" t="str">
        <f>IFERROR(IF(OR($B4926="",$B4926="(blank)"),"",VLOOKUP($B4926,'Email Marketing Raw Data'!$C:$O,6,0)),"")</f>
        <v/>
      </c>
      <c r="O4926" s="55" t="str">
        <f>IFERROR(IF(OR($B4926="",$B4926="(blank)"),"",VLOOKUP($B4926,'Email Marketing Raw Data'!$C:$O,7,0)),"")</f>
        <v/>
      </c>
      <c r="P4926" s="55" t="str">
        <f>IFERROR(IF(OR($B4926="",$B4926="(blank)"),"",VLOOKUP($B4926,'Email Marketing Raw Data'!$C:$O,8,0)),"")</f>
        <v/>
      </c>
      <c r="Q4926" s="62" t="str">
        <f>IFERROR(IF(OR($B4926="",$B4926="(blank)"),"",VLOOKUP($B4926,'Email Marketing Raw Data'!$C:$O,9,0)),"")</f>
        <v/>
      </c>
    </row>
    <row r="4927" spans="4:17" ht="12.75" customHeight="1" x14ac:dyDescent="0.2">
      <c r="D4927" s="58" t="str">
        <f>IFERROR(IF(F4927&lt;&gt;"pending","",IF(OR($B4927="",$B4927="(blank)"),"",VLOOKUP($B4927,'Email Marketing Raw Data'!$C:$O,10,0))),"")</f>
        <v/>
      </c>
      <c r="E4927" s="59" t="str">
        <f>IFERROR(IF(F4927&lt;&gt;"pending","",IF(OR($B4927="",$B4927="(blank)"),"",VLOOKUP($B4927,'Email Marketing Raw Data'!$C:$O,11,0))),"")</f>
        <v/>
      </c>
      <c r="F4927" s="54" t="str">
        <f>IFERROR(IF(OR($B4927="",$B4927="(blank)"),"",VLOOKUP($B4927,'Email Marketing Raw Data'!$C:$O,13,0)),"")</f>
        <v/>
      </c>
      <c r="G4927" s="55" t="str">
        <f>IFERROR(IF(OR($B4927="",$B4927="(blank)"),"",VLOOKUP($B4927,'Email Marketing Raw Data'!$C:$O,4,0)),"")</f>
        <v/>
      </c>
      <c r="H4927" s="55" t="str">
        <f>IFERROR(IF(OR($B4927="",$B4927="(blank)"),"",VLOOKUP($B4927,'Email Marketing Raw Data'!$C:$O,5,0)),"")</f>
        <v/>
      </c>
      <c r="I4927" s="55" t="str">
        <f>IFERROR(IF($G4927="","",VLOOKUP('Dashboard And Emails Automate'!$G4927,Database!$H:$N,3,0)),"")</f>
        <v/>
      </c>
      <c r="J4927" s="55" t="str">
        <f>IFERROR(IF($G4927="","",VLOOKUP('Dashboard And Emails Automate'!$G4927,Database!$H:$N,4,0)),"")</f>
        <v/>
      </c>
      <c r="K4927" s="55" t="str">
        <f>IFERROR(IF($G4927="","",VLOOKUP('Dashboard And Emails Automate'!$G4927,Database!$H:$N,5,0)),"")</f>
        <v/>
      </c>
      <c r="L4927" s="55" t="str">
        <f>IFERROR(IF($G4927="","",VLOOKUP('Dashboard And Emails Automate'!$G4927,Database!$H:$N,6,0)),"")</f>
        <v/>
      </c>
      <c r="M4927" s="55" t="str">
        <f>IFERROR(IF($G4927="","",VLOOKUP('Dashboard And Emails Automate'!$G4927,Database!$H:$N,7,0)),"")</f>
        <v/>
      </c>
      <c r="N4927" s="55" t="str">
        <f>IFERROR(IF(OR($B4927="",$B4927="(blank)"),"",VLOOKUP($B4927,'Email Marketing Raw Data'!$C:$O,6,0)),"")</f>
        <v/>
      </c>
      <c r="O4927" s="55" t="str">
        <f>IFERROR(IF(OR($B4927="",$B4927="(blank)"),"",VLOOKUP($B4927,'Email Marketing Raw Data'!$C:$O,7,0)),"")</f>
        <v/>
      </c>
      <c r="P4927" s="55" t="str">
        <f>IFERROR(IF(OR($B4927="",$B4927="(blank)"),"",VLOOKUP($B4927,'Email Marketing Raw Data'!$C:$O,8,0)),"")</f>
        <v/>
      </c>
      <c r="Q4927" s="62" t="str">
        <f>IFERROR(IF(OR($B4927="",$B4927="(blank)"),"",VLOOKUP($B4927,'Email Marketing Raw Data'!$C:$O,9,0)),"")</f>
        <v/>
      </c>
    </row>
    <row r="4928" spans="4:17" ht="12.75" customHeight="1" x14ac:dyDescent="0.2">
      <c r="D4928" s="58" t="str">
        <f>IFERROR(IF(F4928&lt;&gt;"pending","",IF(OR($B4928="",$B4928="(blank)"),"",VLOOKUP($B4928,'Email Marketing Raw Data'!$C:$O,10,0))),"")</f>
        <v/>
      </c>
      <c r="E4928" s="59" t="str">
        <f>IFERROR(IF(F4928&lt;&gt;"pending","",IF(OR($B4928="",$B4928="(blank)"),"",VLOOKUP($B4928,'Email Marketing Raw Data'!$C:$O,11,0))),"")</f>
        <v/>
      </c>
      <c r="F4928" s="54" t="str">
        <f>IFERROR(IF(OR($B4928="",$B4928="(blank)"),"",VLOOKUP($B4928,'Email Marketing Raw Data'!$C:$O,13,0)),"")</f>
        <v/>
      </c>
      <c r="G4928" s="55" t="str">
        <f>IFERROR(IF(OR($B4928="",$B4928="(blank)"),"",VLOOKUP($B4928,'Email Marketing Raw Data'!$C:$O,4,0)),"")</f>
        <v/>
      </c>
      <c r="H4928" s="55" t="str">
        <f>IFERROR(IF(OR($B4928="",$B4928="(blank)"),"",VLOOKUP($B4928,'Email Marketing Raw Data'!$C:$O,5,0)),"")</f>
        <v/>
      </c>
      <c r="I4928" s="55" t="str">
        <f>IFERROR(IF($G4928="","",VLOOKUP('Dashboard And Emails Automate'!$G4928,Database!$H:$N,3,0)),"")</f>
        <v/>
      </c>
      <c r="J4928" s="55" t="str">
        <f>IFERROR(IF($G4928="","",VLOOKUP('Dashboard And Emails Automate'!$G4928,Database!$H:$N,4,0)),"")</f>
        <v/>
      </c>
      <c r="K4928" s="55" t="str">
        <f>IFERROR(IF($G4928="","",VLOOKUP('Dashboard And Emails Automate'!$G4928,Database!$H:$N,5,0)),"")</f>
        <v/>
      </c>
      <c r="L4928" s="55" t="str">
        <f>IFERROR(IF($G4928="","",VLOOKUP('Dashboard And Emails Automate'!$G4928,Database!$H:$N,6,0)),"")</f>
        <v/>
      </c>
      <c r="M4928" s="55" t="str">
        <f>IFERROR(IF($G4928="","",VLOOKUP('Dashboard And Emails Automate'!$G4928,Database!$H:$N,7,0)),"")</f>
        <v/>
      </c>
      <c r="N4928" s="55" t="str">
        <f>IFERROR(IF(OR($B4928="",$B4928="(blank)"),"",VLOOKUP($B4928,'Email Marketing Raw Data'!$C:$O,6,0)),"")</f>
        <v/>
      </c>
      <c r="O4928" s="55" t="str">
        <f>IFERROR(IF(OR($B4928="",$B4928="(blank)"),"",VLOOKUP($B4928,'Email Marketing Raw Data'!$C:$O,7,0)),"")</f>
        <v/>
      </c>
      <c r="P4928" s="55" t="str">
        <f>IFERROR(IF(OR($B4928="",$B4928="(blank)"),"",VLOOKUP($B4928,'Email Marketing Raw Data'!$C:$O,8,0)),"")</f>
        <v/>
      </c>
      <c r="Q4928" s="62" t="str">
        <f>IFERROR(IF(OR($B4928="",$B4928="(blank)"),"",VLOOKUP($B4928,'Email Marketing Raw Data'!$C:$O,9,0)),"")</f>
        <v/>
      </c>
    </row>
    <row r="4929" spans="4:17" ht="12.75" customHeight="1" x14ac:dyDescent="0.2">
      <c r="D4929" s="58" t="str">
        <f>IFERROR(IF(F4929&lt;&gt;"pending","",IF(OR($B4929="",$B4929="(blank)"),"",VLOOKUP($B4929,'Email Marketing Raw Data'!$C:$O,10,0))),"")</f>
        <v/>
      </c>
      <c r="E4929" s="59" t="str">
        <f>IFERROR(IF(F4929&lt;&gt;"pending","",IF(OR($B4929="",$B4929="(blank)"),"",VLOOKUP($B4929,'Email Marketing Raw Data'!$C:$O,11,0))),"")</f>
        <v/>
      </c>
      <c r="F4929" s="54" t="str">
        <f>IFERROR(IF(OR($B4929="",$B4929="(blank)"),"",VLOOKUP($B4929,'Email Marketing Raw Data'!$C:$O,13,0)),"")</f>
        <v/>
      </c>
      <c r="G4929" s="55" t="str">
        <f>IFERROR(IF(OR($B4929="",$B4929="(blank)"),"",VLOOKUP($B4929,'Email Marketing Raw Data'!$C:$O,4,0)),"")</f>
        <v/>
      </c>
      <c r="H4929" s="55" t="str">
        <f>IFERROR(IF(OR($B4929="",$B4929="(blank)"),"",VLOOKUP($B4929,'Email Marketing Raw Data'!$C:$O,5,0)),"")</f>
        <v/>
      </c>
      <c r="I4929" s="55" t="str">
        <f>IFERROR(IF($G4929="","",VLOOKUP('Dashboard And Emails Automate'!$G4929,Database!$H:$N,3,0)),"")</f>
        <v/>
      </c>
      <c r="J4929" s="55" t="str">
        <f>IFERROR(IF($G4929="","",VLOOKUP('Dashboard And Emails Automate'!$G4929,Database!$H:$N,4,0)),"")</f>
        <v/>
      </c>
      <c r="K4929" s="55" t="str">
        <f>IFERROR(IF($G4929="","",VLOOKUP('Dashboard And Emails Automate'!$G4929,Database!$H:$N,5,0)),"")</f>
        <v/>
      </c>
      <c r="L4929" s="55" t="str">
        <f>IFERROR(IF($G4929="","",VLOOKUP('Dashboard And Emails Automate'!$G4929,Database!$H:$N,6,0)),"")</f>
        <v/>
      </c>
      <c r="M4929" s="55" t="str">
        <f>IFERROR(IF($G4929="","",VLOOKUP('Dashboard And Emails Automate'!$G4929,Database!$H:$N,7,0)),"")</f>
        <v/>
      </c>
      <c r="N4929" s="55" t="str">
        <f>IFERROR(IF(OR($B4929="",$B4929="(blank)"),"",VLOOKUP($B4929,'Email Marketing Raw Data'!$C:$O,6,0)),"")</f>
        <v/>
      </c>
      <c r="O4929" s="55" t="str">
        <f>IFERROR(IF(OR($B4929="",$B4929="(blank)"),"",VLOOKUP($B4929,'Email Marketing Raw Data'!$C:$O,7,0)),"")</f>
        <v/>
      </c>
      <c r="P4929" s="55" t="str">
        <f>IFERROR(IF(OR($B4929="",$B4929="(blank)"),"",VLOOKUP($B4929,'Email Marketing Raw Data'!$C:$O,8,0)),"")</f>
        <v/>
      </c>
      <c r="Q4929" s="62" t="str">
        <f>IFERROR(IF(OR($B4929="",$B4929="(blank)"),"",VLOOKUP($B4929,'Email Marketing Raw Data'!$C:$O,9,0)),"")</f>
        <v/>
      </c>
    </row>
    <row r="4930" spans="4:17" ht="12.75" customHeight="1" x14ac:dyDescent="0.2">
      <c r="D4930" s="58" t="str">
        <f>IFERROR(IF(F4930&lt;&gt;"pending","",IF(OR($B4930="",$B4930="(blank)"),"",VLOOKUP($B4930,'Email Marketing Raw Data'!$C:$O,10,0))),"")</f>
        <v/>
      </c>
      <c r="E4930" s="59" t="str">
        <f>IFERROR(IF(F4930&lt;&gt;"pending","",IF(OR($B4930="",$B4930="(blank)"),"",VLOOKUP($B4930,'Email Marketing Raw Data'!$C:$O,11,0))),"")</f>
        <v/>
      </c>
      <c r="F4930" s="54" t="str">
        <f>IFERROR(IF(OR($B4930="",$B4930="(blank)"),"",VLOOKUP($B4930,'Email Marketing Raw Data'!$C:$O,13,0)),"")</f>
        <v/>
      </c>
      <c r="G4930" s="55" t="str">
        <f>IFERROR(IF(OR($B4930="",$B4930="(blank)"),"",VLOOKUP($B4930,'Email Marketing Raw Data'!$C:$O,4,0)),"")</f>
        <v/>
      </c>
      <c r="H4930" s="55" t="str">
        <f>IFERROR(IF(OR($B4930="",$B4930="(blank)"),"",VLOOKUP($B4930,'Email Marketing Raw Data'!$C:$O,5,0)),"")</f>
        <v/>
      </c>
      <c r="I4930" s="55" t="str">
        <f>IFERROR(IF($G4930="","",VLOOKUP('Dashboard And Emails Automate'!$G4930,Database!$H:$N,3,0)),"")</f>
        <v/>
      </c>
      <c r="J4930" s="55" t="str">
        <f>IFERROR(IF($G4930="","",VLOOKUP('Dashboard And Emails Automate'!$G4930,Database!$H:$N,4,0)),"")</f>
        <v/>
      </c>
      <c r="K4930" s="55" t="str">
        <f>IFERROR(IF($G4930="","",VLOOKUP('Dashboard And Emails Automate'!$G4930,Database!$H:$N,5,0)),"")</f>
        <v/>
      </c>
      <c r="L4930" s="55" t="str">
        <f>IFERROR(IF($G4930="","",VLOOKUP('Dashboard And Emails Automate'!$G4930,Database!$H:$N,6,0)),"")</f>
        <v/>
      </c>
      <c r="M4930" s="55" t="str">
        <f>IFERROR(IF($G4930="","",VLOOKUP('Dashboard And Emails Automate'!$G4930,Database!$H:$N,7,0)),"")</f>
        <v/>
      </c>
      <c r="N4930" s="55" t="str">
        <f>IFERROR(IF(OR($B4930="",$B4930="(blank)"),"",VLOOKUP($B4930,'Email Marketing Raw Data'!$C:$O,6,0)),"")</f>
        <v/>
      </c>
      <c r="O4930" s="55" t="str">
        <f>IFERROR(IF(OR($B4930="",$B4930="(blank)"),"",VLOOKUP($B4930,'Email Marketing Raw Data'!$C:$O,7,0)),"")</f>
        <v/>
      </c>
      <c r="P4930" s="55" t="str">
        <f>IFERROR(IF(OR($B4930="",$B4930="(blank)"),"",VLOOKUP($B4930,'Email Marketing Raw Data'!$C:$O,8,0)),"")</f>
        <v/>
      </c>
      <c r="Q4930" s="62" t="str">
        <f>IFERROR(IF(OR($B4930="",$B4930="(blank)"),"",VLOOKUP($B4930,'Email Marketing Raw Data'!$C:$O,9,0)),"")</f>
        <v/>
      </c>
    </row>
    <row r="4931" spans="4:17" ht="12.75" customHeight="1" x14ac:dyDescent="0.2">
      <c r="D4931" s="58" t="str">
        <f>IFERROR(IF(F4931&lt;&gt;"pending","",IF(OR($B4931="",$B4931="(blank)"),"",VLOOKUP($B4931,'Email Marketing Raw Data'!$C:$O,10,0))),"")</f>
        <v/>
      </c>
      <c r="E4931" s="59" t="str">
        <f>IFERROR(IF(F4931&lt;&gt;"pending","",IF(OR($B4931="",$B4931="(blank)"),"",VLOOKUP($B4931,'Email Marketing Raw Data'!$C:$O,11,0))),"")</f>
        <v/>
      </c>
      <c r="F4931" s="54" t="str">
        <f>IFERROR(IF(OR($B4931="",$B4931="(blank)"),"",VLOOKUP($B4931,'Email Marketing Raw Data'!$C:$O,13,0)),"")</f>
        <v/>
      </c>
      <c r="G4931" s="55" t="str">
        <f>IFERROR(IF(OR($B4931="",$B4931="(blank)"),"",VLOOKUP($B4931,'Email Marketing Raw Data'!$C:$O,4,0)),"")</f>
        <v/>
      </c>
      <c r="H4931" s="55" t="str">
        <f>IFERROR(IF(OR($B4931="",$B4931="(blank)"),"",VLOOKUP($B4931,'Email Marketing Raw Data'!$C:$O,5,0)),"")</f>
        <v/>
      </c>
      <c r="I4931" s="55" t="str">
        <f>IFERROR(IF($G4931="","",VLOOKUP('Dashboard And Emails Automate'!$G4931,Database!$H:$N,3,0)),"")</f>
        <v/>
      </c>
      <c r="J4931" s="55" t="str">
        <f>IFERROR(IF($G4931="","",VLOOKUP('Dashboard And Emails Automate'!$G4931,Database!$H:$N,4,0)),"")</f>
        <v/>
      </c>
      <c r="K4931" s="55" t="str">
        <f>IFERROR(IF($G4931="","",VLOOKUP('Dashboard And Emails Automate'!$G4931,Database!$H:$N,5,0)),"")</f>
        <v/>
      </c>
      <c r="L4931" s="55" t="str">
        <f>IFERROR(IF($G4931="","",VLOOKUP('Dashboard And Emails Automate'!$G4931,Database!$H:$N,6,0)),"")</f>
        <v/>
      </c>
      <c r="M4931" s="55" t="str">
        <f>IFERROR(IF($G4931="","",VLOOKUP('Dashboard And Emails Automate'!$G4931,Database!$H:$N,7,0)),"")</f>
        <v/>
      </c>
      <c r="N4931" s="55" t="str">
        <f>IFERROR(IF(OR($B4931="",$B4931="(blank)"),"",VLOOKUP($B4931,'Email Marketing Raw Data'!$C:$O,6,0)),"")</f>
        <v/>
      </c>
      <c r="O4931" s="55" t="str">
        <f>IFERROR(IF(OR($B4931="",$B4931="(blank)"),"",VLOOKUP($B4931,'Email Marketing Raw Data'!$C:$O,7,0)),"")</f>
        <v/>
      </c>
      <c r="P4931" s="55" t="str">
        <f>IFERROR(IF(OR($B4931="",$B4931="(blank)"),"",VLOOKUP($B4931,'Email Marketing Raw Data'!$C:$O,8,0)),"")</f>
        <v/>
      </c>
      <c r="Q4931" s="62" t="str">
        <f>IFERROR(IF(OR($B4931="",$B4931="(blank)"),"",VLOOKUP($B4931,'Email Marketing Raw Data'!$C:$O,9,0)),"")</f>
        <v/>
      </c>
    </row>
    <row r="4932" spans="4:17" ht="12.75" customHeight="1" x14ac:dyDescent="0.2">
      <c r="D4932" s="58" t="str">
        <f>IFERROR(IF(F4932&lt;&gt;"pending","",IF(OR($B4932="",$B4932="(blank)"),"",VLOOKUP($B4932,'Email Marketing Raw Data'!$C:$O,10,0))),"")</f>
        <v/>
      </c>
      <c r="E4932" s="59" t="str">
        <f>IFERROR(IF(F4932&lt;&gt;"pending","",IF(OR($B4932="",$B4932="(blank)"),"",VLOOKUP($B4932,'Email Marketing Raw Data'!$C:$O,11,0))),"")</f>
        <v/>
      </c>
      <c r="F4932" s="54" t="str">
        <f>IFERROR(IF(OR($B4932="",$B4932="(blank)"),"",VLOOKUP($B4932,'Email Marketing Raw Data'!$C:$O,13,0)),"")</f>
        <v/>
      </c>
      <c r="G4932" s="55" t="str">
        <f>IFERROR(IF(OR($B4932="",$B4932="(blank)"),"",VLOOKUP($B4932,'Email Marketing Raw Data'!$C:$O,4,0)),"")</f>
        <v/>
      </c>
      <c r="H4932" s="55" t="str">
        <f>IFERROR(IF(OR($B4932="",$B4932="(blank)"),"",VLOOKUP($B4932,'Email Marketing Raw Data'!$C:$O,5,0)),"")</f>
        <v/>
      </c>
      <c r="I4932" s="55" t="str">
        <f>IFERROR(IF($G4932="","",VLOOKUP('Dashboard And Emails Automate'!$G4932,Database!$H:$N,3,0)),"")</f>
        <v/>
      </c>
      <c r="J4932" s="55" t="str">
        <f>IFERROR(IF($G4932="","",VLOOKUP('Dashboard And Emails Automate'!$G4932,Database!$H:$N,4,0)),"")</f>
        <v/>
      </c>
      <c r="K4932" s="55" t="str">
        <f>IFERROR(IF($G4932="","",VLOOKUP('Dashboard And Emails Automate'!$G4932,Database!$H:$N,5,0)),"")</f>
        <v/>
      </c>
      <c r="L4932" s="55" t="str">
        <f>IFERROR(IF($G4932="","",VLOOKUP('Dashboard And Emails Automate'!$G4932,Database!$H:$N,6,0)),"")</f>
        <v/>
      </c>
      <c r="M4932" s="55" t="str">
        <f>IFERROR(IF($G4932="","",VLOOKUP('Dashboard And Emails Automate'!$G4932,Database!$H:$N,7,0)),"")</f>
        <v/>
      </c>
      <c r="N4932" s="55" t="str">
        <f>IFERROR(IF(OR($B4932="",$B4932="(blank)"),"",VLOOKUP($B4932,'Email Marketing Raw Data'!$C:$O,6,0)),"")</f>
        <v/>
      </c>
      <c r="O4932" s="55" t="str">
        <f>IFERROR(IF(OR($B4932="",$B4932="(blank)"),"",VLOOKUP($B4932,'Email Marketing Raw Data'!$C:$O,7,0)),"")</f>
        <v/>
      </c>
      <c r="P4932" s="55" t="str">
        <f>IFERROR(IF(OR($B4932="",$B4932="(blank)"),"",VLOOKUP($B4932,'Email Marketing Raw Data'!$C:$O,8,0)),"")</f>
        <v/>
      </c>
      <c r="Q4932" s="62" t="str">
        <f>IFERROR(IF(OR($B4932="",$B4932="(blank)"),"",VLOOKUP($B4932,'Email Marketing Raw Data'!$C:$O,9,0)),"")</f>
        <v/>
      </c>
    </row>
    <row r="4933" spans="4:17" ht="12.75" customHeight="1" x14ac:dyDescent="0.2">
      <c r="D4933" s="58" t="str">
        <f>IFERROR(IF(F4933&lt;&gt;"pending","",IF(OR($B4933="",$B4933="(blank)"),"",VLOOKUP($B4933,'Email Marketing Raw Data'!$C:$O,10,0))),"")</f>
        <v/>
      </c>
      <c r="E4933" s="59" t="str">
        <f>IFERROR(IF(F4933&lt;&gt;"pending","",IF(OR($B4933="",$B4933="(blank)"),"",VLOOKUP($B4933,'Email Marketing Raw Data'!$C:$O,11,0))),"")</f>
        <v/>
      </c>
      <c r="F4933" s="54" t="str">
        <f>IFERROR(IF(OR($B4933="",$B4933="(blank)"),"",VLOOKUP($B4933,'Email Marketing Raw Data'!$C:$O,13,0)),"")</f>
        <v/>
      </c>
      <c r="G4933" s="55" t="str">
        <f>IFERROR(IF(OR($B4933="",$B4933="(blank)"),"",VLOOKUP($B4933,'Email Marketing Raw Data'!$C:$O,4,0)),"")</f>
        <v/>
      </c>
      <c r="H4933" s="55" t="str">
        <f>IFERROR(IF(OR($B4933="",$B4933="(blank)"),"",VLOOKUP($B4933,'Email Marketing Raw Data'!$C:$O,5,0)),"")</f>
        <v/>
      </c>
      <c r="I4933" s="55" t="str">
        <f>IFERROR(IF($G4933="","",VLOOKUP('Dashboard And Emails Automate'!$G4933,Database!$H:$N,3,0)),"")</f>
        <v/>
      </c>
      <c r="J4933" s="55" t="str">
        <f>IFERROR(IF($G4933="","",VLOOKUP('Dashboard And Emails Automate'!$G4933,Database!$H:$N,4,0)),"")</f>
        <v/>
      </c>
      <c r="K4933" s="55" t="str">
        <f>IFERROR(IF($G4933="","",VLOOKUP('Dashboard And Emails Automate'!$G4933,Database!$H:$N,5,0)),"")</f>
        <v/>
      </c>
      <c r="L4933" s="55" t="str">
        <f>IFERROR(IF($G4933="","",VLOOKUP('Dashboard And Emails Automate'!$G4933,Database!$H:$N,6,0)),"")</f>
        <v/>
      </c>
      <c r="M4933" s="55" t="str">
        <f>IFERROR(IF($G4933="","",VLOOKUP('Dashboard And Emails Automate'!$G4933,Database!$H:$N,7,0)),"")</f>
        <v/>
      </c>
      <c r="N4933" s="55" t="str">
        <f>IFERROR(IF(OR($B4933="",$B4933="(blank)"),"",VLOOKUP($B4933,'Email Marketing Raw Data'!$C:$O,6,0)),"")</f>
        <v/>
      </c>
      <c r="O4933" s="55" t="str">
        <f>IFERROR(IF(OR($B4933="",$B4933="(blank)"),"",VLOOKUP($B4933,'Email Marketing Raw Data'!$C:$O,7,0)),"")</f>
        <v/>
      </c>
      <c r="P4933" s="55" t="str">
        <f>IFERROR(IF(OR($B4933="",$B4933="(blank)"),"",VLOOKUP($B4933,'Email Marketing Raw Data'!$C:$O,8,0)),"")</f>
        <v/>
      </c>
      <c r="Q4933" s="62" t="str">
        <f>IFERROR(IF(OR($B4933="",$B4933="(blank)"),"",VLOOKUP($B4933,'Email Marketing Raw Data'!$C:$O,9,0)),"")</f>
        <v/>
      </c>
    </row>
    <row r="4934" spans="4:17" ht="12.75" customHeight="1" x14ac:dyDescent="0.2">
      <c r="D4934" s="58" t="str">
        <f>IFERROR(IF(F4934&lt;&gt;"pending","",IF(OR($B4934="",$B4934="(blank)"),"",VLOOKUP($B4934,'Email Marketing Raw Data'!$C:$O,10,0))),"")</f>
        <v/>
      </c>
      <c r="E4934" s="59" t="str">
        <f>IFERROR(IF(F4934&lt;&gt;"pending","",IF(OR($B4934="",$B4934="(blank)"),"",VLOOKUP($B4934,'Email Marketing Raw Data'!$C:$O,11,0))),"")</f>
        <v/>
      </c>
      <c r="F4934" s="54" t="str">
        <f>IFERROR(IF(OR($B4934="",$B4934="(blank)"),"",VLOOKUP($B4934,'Email Marketing Raw Data'!$C:$O,13,0)),"")</f>
        <v/>
      </c>
      <c r="G4934" s="55" t="str">
        <f>IFERROR(IF(OR($B4934="",$B4934="(blank)"),"",VLOOKUP($B4934,'Email Marketing Raw Data'!$C:$O,4,0)),"")</f>
        <v/>
      </c>
      <c r="H4934" s="55" t="str">
        <f>IFERROR(IF(OR($B4934="",$B4934="(blank)"),"",VLOOKUP($B4934,'Email Marketing Raw Data'!$C:$O,5,0)),"")</f>
        <v/>
      </c>
      <c r="I4934" s="55" t="str">
        <f>IFERROR(IF($G4934="","",VLOOKUP('Dashboard And Emails Automate'!$G4934,Database!$H:$N,3,0)),"")</f>
        <v/>
      </c>
      <c r="J4934" s="55" t="str">
        <f>IFERROR(IF($G4934="","",VLOOKUP('Dashboard And Emails Automate'!$G4934,Database!$H:$N,4,0)),"")</f>
        <v/>
      </c>
      <c r="K4934" s="55" t="str">
        <f>IFERROR(IF($G4934="","",VLOOKUP('Dashboard And Emails Automate'!$G4934,Database!$H:$N,5,0)),"")</f>
        <v/>
      </c>
      <c r="L4934" s="55" t="str">
        <f>IFERROR(IF($G4934="","",VLOOKUP('Dashboard And Emails Automate'!$G4934,Database!$H:$N,6,0)),"")</f>
        <v/>
      </c>
      <c r="M4934" s="55" t="str">
        <f>IFERROR(IF($G4934="","",VLOOKUP('Dashboard And Emails Automate'!$G4934,Database!$H:$N,7,0)),"")</f>
        <v/>
      </c>
      <c r="N4934" s="55" t="str">
        <f>IFERROR(IF(OR($B4934="",$B4934="(blank)"),"",VLOOKUP($B4934,'Email Marketing Raw Data'!$C:$O,6,0)),"")</f>
        <v/>
      </c>
      <c r="O4934" s="55" t="str">
        <f>IFERROR(IF(OR($B4934="",$B4934="(blank)"),"",VLOOKUP($B4934,'Email Marketing Raw Data'!$C:$O,7,0)),"")</f>
        <v/>
      </c>
      <c r="P4934" s="55" t="str">
        <f>IFERROR(IF(OR($B4934="",$B4934="(blank)"),"",VLOOKUP($B4934,'Email Marketing Raw Data'!$C:$O,8,0)),"")</f>
        <v/>
      </c>
      <c r="Q4934" s="62" t="str">
        <f>IFERROR(IF(OR($B4934="",$B4934="(blank)"),"",VLOOKUP($B4934,'Email Marketing Raw Data'!$C:$O,9,0)),"")</f>
        <v/>
      </c>
    </row>
    <row r="4935" spans="4:17" ht="12.75" customHeight="1" x14ac:dyDescent="0.2">
      <c r="D4935" s="58" t="str">
        <f>IFERROR(IF(F4935&lt;&gt;"pending","",IF(OR($B4935="",$B4935="(blank)"),"",VLOOKUP($B4935,'Email Marketing Raw Data'!$C:$O,10,0))),"")</f>
        <v/>
      </c>
      <c r="E4935" s="59" t="str">
        <f>IFERROR(IF(F4935&lt;&gt;"pending","",IF(OR($B4935="",$B4935="(blank)"),"",VLOOKUP($B4935,'Email Marketing Raw Data'!$C:$O,11,0))),"")</f>
        <v/>
      </c>
      <c r="F4935" s="54" t="str">
        <f>IFERROR(IF(OR($B4935="",$B4935="(blank)"),"",VLOOKUP($B4935,'Email Marketing Raw Data'!$C:$O,13,0)),"")</f>
        <v/>
      </c>
      <c r="G4935" s="55" t="str">
        <f>IFERROR(IF(OR($B4935="",$B4935="(blank)"),"",VLOOKUP($B4935,'Email Marketing Raw Data'!$C:$O,4,0)),"")</f>
        <v/>
      </c>
      <c r="H4935" s="55" t="str">
        <f>IFERROR(IF(OR($B4935="",$B4935="(blank)"),"",VLOOKUP($B4935,'Email Marketing Raw Data'!$C:$O,5,0)),"")</f>
        <v/>
      </c>
      <c r="I4935" s="55" t="str">
        <f>IFERROR(IF($G4935="","",VLOOKUP('Dashboard And Emails Automate'!$G4935,Database!$H:$N,3,0)),"")</f>
        <v/>
      </c>
      <c r="J4935" s="55" t="str">
        <f>IFERROR(IF($G4935="","",VLOOKUP('Dashboard And Emails Automate'!$G4935,Database!$H:$N,4,0)),"")</f>
        <v/>
      </c>
      <c r="K4935" s="55" t="str">
        <f>IFERROR(IF($G4935="","",VLOOKUP('Dashboard And Emails Automate'!$G4935,Database!$H:$N,5,0)),"")</f>
        <v/>
      </c>
      <c r="L4935" s="55" t="str">
        <f>IFERROR(IF($G4935="","",VLOOKUP('Dashboard And Emails Automate'!$G4935,Database!$H:$N,6,0)),"")</f>
        <v/>
      </c>
      <c r="M4935" s="55" t="str">
        <f>IFERROR(IF($G4935="","",VLOOKUP('Dashboard And Emails Automate'!$G4935,Database!$H:$N,7,0)),"")</f>
        <v/>
      </c>
      <c r="N4935" s="55" t="str">
        <f>IFERROR(IF(OR($B4935="",$B4935="(blank)"),"",VLOOKUP($B4935,'Email Marketing Raw Data'!$C:$O,6,0)),"")</f>
        <v/>
      </c>
      <c r="O4935" s="55" t="str">
        <f>IFERROR(IF(OR($B4935="",$B4935="(blank)"),"",VLOOKUP($B4935,'Email Marketing Raw Data'!$C:$O,7,0)),"")</f>
        <v/>
      </c>
      <c r="P4935" s="55" t="str">
        <f>IFERROR(IF(OR($B4935="",$B4935="(blank)"),"",VLOOKUP($B4935,'Email Marketing Raw Data'!$C:$O,8,0)),"")</f>
        <v/>
      </c>
      <c r="Q4935" s="62" t="str">
        <f>IFERROR(IF(OR($B4935="",$B4935="(blank)"),"",VLOOKUP($B4935,'Email Marketing Raw Data'!$C:$O,9,0)),"")</f>
        <v/>
      </c>
    </row>
    <row r="4936" spans="4:17" ht="12.75" customHeight="1" x14ac:dyDescent="0.2">
      <c r="D4936" s="58" t="str">
        <f>IFERROR(IF(F4936&lt;&gt;"pending","",IF(OR($B4936="",$B4936="(blank)"),"",VLOOKUP($B4936,'Email Marketing Raw Data'!$C:$O,10,0))),"")</f>
        <v/>
      </c>
      <c r="E4936" s="59" t="str">
        <f>IFERROR(IF(F4936&lt;&gt;"pending","",IF(OR($B4936="",$B4936="(blank)"),"",VLOOKUP($B4936,'Email Marketing Raw Data'!$C:$O,11,0))),"")</f>
        <v/>
      </c>
      <c r="F4936" s="54" t="str">
        <f>IFERROR(IF(OR($B4936="",$B4936="(blank)"),"",VLOOKUP($B4936,'Email Marketing Raw Data'!$C:$O,13,0)),"")</f>
        <v/>
      </c>
      <c r="G4936" s="55" t="str">
        <f>IFERROR(IF(OR($B4936="",$B4936="(blank)"),"",VLOOKUP($B4936,'Email Marketing Raw Data'!$C:$O,4,0)),"")</f>
        <v/>
      </c>
      <c r="H4936" s="55" t="str">
        <f>IFERROR(IF(OR($B4936="",$B4936="(blank)"),"",VLOOKUP($B4936,'Email Marketing Raw Data'!$C:$O,5,0)),"")</f>
        <v/>
      </c>
      <c r="I4936" s="55" t="str">
        <f>IFERROR(IF($G4936="","",VLOOKUP('Dashboard And Emails Automate'!$G4936,Database!$H:$N,3,0)),"")</f>
        <v/>
      </c>
      <c r="J4936" s="55" t="str">
        <f>IFERROR(IF($G4936="","",VLOOKUP('Dashboard And Emails Automate'!$G4936,Database!$H:$N,4,0)),"")</f>
        <v/>
      </c>
      <c r="K4936" s="55" t="str">
        <f>IFERROR(IF($G4936="","",VLOOKUP('Dashboard And Emails Automate'!$G4936,Database!$H:$N,5,0)),"")</f>
        <v/>
      </c>
      <c r="L4936" s="55" t="str">
        <f>IFERROR(IF($G4936="","",VLOOKUP('Dashboard And Emails Automate'!$G4936,Database!$H:$N,6,0)),"")</f>
        <v/>
      </c>
      <c r="M4936" s="55" t="str">
        <f>IFERROR(IF($G4936="","",VLOOKUP('Dashboard And Emails Automate'!$G4936,Database!$H:$N,7,0)),"")</f>
        <v/>
      </c>
      <c r="N4936" s="55" t="str">
        <f>IFERROR(IF(OR($B4936="",$B4936="(blank)"),"",VLOOKUP($B4936,'Email Marketing Raw Data'!$C:$O,6,0)),"")</f>
        <v/>
      </c>
      <c r="O4936" s="55" t="str">
        <f>IFERROR(IF(OR($B4936="",$B4936="(blank)"),"",VLOOKUP($B4936,'Email Marketing Raw Data'!$C:$O,7,0)),"")</f>
        <v/>
      </c>
      <c r="P4936" s="55" t="str">
        <f>IFERROR(IF(OR($B4936="",$B4936="(blank)"),"",VLOOKUP($B4936,'Email Marketing Raw Data'!$C:$O,8,0)),"")</f>
        <v/>
      </c>
      <c r="Q4936" s="62" t="str">
        <f>IFERROR(IF(OR($B4936="",$B4936="(blank)"),"",VLOOKUP($B4936,'Email Marketing Raw Data'!$C:$O,9,0)),"")</f>
        <v/>
      </c>
    </row>
    <row r="4937" spans="4:17" ht="12.75" customHeight="1" x14ac:dyDescent="0.2">
      <c r="D4937" s="58" t="str">
        <f>IFERROR(IF(F4937&lt;&gt;"pending","",IF(OR($B4937="",$B4937="(blank)"),"",VLOOKUP($B4937,'Email Marketing Raw Data'!$C:$O,10,0))),"")</f>
        <v/>
      </c>
      <c r="E4937" s="59" t="str">
        <f>IFERROR(IF(F4937&lt;&gt;"pending","",IF(OR($B4937="",$B4937="(blank)"),"",VLOOKUP($B4937,'Email Marketing Raw Data'!$C:$O,11,0))),"")</f>
        <v/>
      </c>
      <c r="F4937" s="54" t="str">
        <f>IFERROR(IF(OR($B4937="",$B4937="(blank)"),"",VLOOKUP($B4937,'Email Marketing Raw Data'!$C:$O,13,0)),"")</f>
        <v/>
      </c>
      <c r="G4937" s="55" t="str">
        <f>IFERROR(IF(OR($B4937="",$B4937="(blank)"),"",VLOOKUP($B4937,'Email Marketing Raw Data'!$C:$O,4,0)),"")</f>
        <v/>
      </c>
      <c r="H4937" s="55" t="str">
        <f>IFERROR(IF(OR($B4937="",$B4937="(blank)"),"",VLOOKUP($B4937,'Email Marketing Raw Data'!$C:$O,5,0)),"")</f>
        <v/>
      </c>
      <c r="I4937" s="55" t="str">
        <f>IFERROR(IF($G4937="","",VLOOKUP('Dashboard And Emails Automate'!$G4937,Database!$H:$N,3,0)),"")</f>
        <v/>
      </c>
      <c r="J4937" s="55" t="str">
        <f>IFERROR(IF($G4937="","",VLOOKUP('Dashboard And Emails Automate'!$G4937,Database!$H:$N,4,0)),"")</f>
        <v/>
      </c>
      <c r="K4937" s="55" t="str">
        <f>IFERROR(IF($G4937="","",VLOOKUP('Dashboard And Emails Automate'!$G4937,Database!$H:$N,5,0)),"")</f>
        <v/>
      </c>
      <c r="L4937" s="55" t="str">
        <f>IFERROR(IF($G4937="","",VLOOKUP('Dashboard And Emails Automate'!$G4937,Database!$H:$N,6,0)),"")</f>
        <v/>
      </c>
      <c r="M4937" s="55" t="str">
        <f>IFERROR(IF($G4937="","",VLOOKUP('Dashboard And Emails Automate'!$G4937,Database!$H:$N,7,0)),"")</f>
        <v/>
      </c>
      <c r="N4937" s="55" t="str">
        <f>IFERROR(IF(OR($B4937="",$B4937="(blank)"),"",VLOOKUP($B4937,'Email Marketing Raw Data'!$C:$O,6,0)),"")</f>
        <v/>
      </c>
      <c r="O4937" s="55" t="str">
        <f>IFERROR(IF(OR($B4937="",$B4937="(blank)"),"",VLOOKUP($B4937,'Email Marketing Raw Data'!$C:$O,7,0)),"")</f>
        <v/>
      </c>
      <c r="P4937" s="55" t="str">
        <f>IFERROR(IF(OR($B4937="",$B4937="(blank)"),"",VLOOKUP($B4937,'Email Marketing Raw Data'!$C:$O,8,0)),"")</f>
        <v/>
      </c>
      <c r="Q4937" s="62" t="str">
        <f>IFERROR(IF(OR($B4937="",$B4937="(blank)"),"",VLOOKUP($B4937,'Email Marketing Raw Data'!$C:$O,9,0)),"")</f>
        <v/>
      </c>
    </row>
    <row r="4938" spans="4:17" ht="12.75" customHeight="1" x14ac:dyDescent="0.2">
      <c r="D4938" s="58" t="str">
        <f>IFERROR(IF(F4938&lt;&gt;"pending","",IF(OR($B4938="",$B4938="(blank)"),"",VLOOKUP($B4938,'Email Marketing Raw Data'!$C:$O,10,0))),"")</f>
        <v/>
      </c>
      <c r="E4938" s="59" t="str">
        <f>IFERROR(IF(F4938&lt;&gt;"pending","",IF(OR($B4938="",$B4938="(blank)"),"",VLOOKUP($B4938,'Email Marketing Raw Data'!$C:$O,11,0))),"")</f>
        <v/>
      </c>
      <c r="F4938" s="54" t="str">
        <f>IFERROR(IF(OR($B4938="",$B4938="(blank)"),"",VLOOKUP($B4938,'Email Marketing Raw Data'!$C:$O,13,0)),"")</f>
        <v/>
      </c>
      <c r="G4938" s="55" t="str">
        <f>IFERROR(IF(OR($B4938="",$B4938="(blank)"),"",VLOOKUP($B4938,'Email Marketing Raw Data'!$C:$O,4,0)),"")</f>
        <v/>
      </c>
      <c r="H4938" s="55" t="str">
        <f>IFERROR(IF(OR($B4938="",$B4938="(blank)"),"",VLOOKUP($B4938,'Email Marketing Raw Data'!$C:$O,5,0)),"")</f>
        <v/>
      </c>
      <c r="I4938" s="55" t="str">
        <f>IFERROR(IF($G4938="","",VLOOKUP('Dashboard And Emails Automate'!$G4938,Database!$H:$N,3,0)),"")</f>
        <v/>
      </c>
      <c r="J4938" s="55" t="str">
        <f>IFERROR(IF($G4938="","",VLOOKUP('Dashboard And Emails Automate'!$G4938,Database!$H:$N,4,0)),"")</f>
        <v/>
      </c>
      <c r="K4938" s="55" t="str">
        <f>IFERROR(IF($G4938="","",VLOOKUP('Dashboard And Emails Automate'!$G4938,Database!$H:$N,5,0)),"")</f>
        <v/>
      </c>
      <c r="L4938" s="55" t="str">
        <f>IFERROR(IF($G4938="","",VLOOKUP('Dashboard And Emails Automate'!$G4938,Database!$H:$N,6,0)),"")</f>
        <v/>
      </c>
      <c r="M4938" s="55" t="str">
        <f>IFERROR(IF($G4938="","",VLOOKUP('Dashboard And Emails Automate'!$G4938,Database!$H:$N,7,0)),"")</f>
        <v/>
      </c>
      <c r="N4938" s="55" t="str">
        <f>IFERROR(IF(OR($B4938="",$B4938="(blank)"),"",VLOOKUP($B4938,'Email Marketing Raw Data'!$C:$O,6,0)),"")</f>
        <v/>
      </c>
      <c r="O4938" s="55" t="str">
        <f>IFERROR(IF(OR($B4938="",$B4938="(blank)"),"",VLOOKUP($B4938,'Email Marketing Raw Data'!$C:$O,7,0)),"")</f>
        <v/>
      </c>
      <c r="P4938" s="55" t="str">
        <f>IFERROR(IF(OR($B4938="",$B4938="(blank)"),"",VLOOKUP($B4938,'Email Marketing Raw Data'!$C:$O,8,0)),"")</f>
        <v/>
      </c>
      <c r="Q4938" s="62" t="str">
        <f>IFERROR(IF(OR($B4938="",$B4938="(blank)"),"",VLOOKUP($B4938,'Email Marketing Raw Data'!$C:$O,9,0)),"")</f>
        <v/>
      </c>
    </row>
    <row r="4939" spans="4:17" ht="12.75" customHeight="1" x14ac:dyDescent="0.2">
      <c r="D4939" s="58" t="str">
        <f>IFERROR(IF(F4939&lt;&gt;"pending","",IF(OR($B4939="",$B4939="(blank)"),"",VLOOKUP($B4939,'Email Marketing Raw Data'!$C:$O,10,0))),"")</f>
        <v/>
      </c>
      <c r="E4939" s="59" t="str">
        <f>IFERROR(IF(F4939&lt;&gt;"pending","",IF(OR($B4939="",$B4939="(blank)"),"",VLOOKUP($B4939,'Email Marketing Raw Data'!$C:$O,11,0))),"")</f>
        <v/>
      </c>
      <c r="F4939" s="54" t="str">
        <f>IFERROR(IF(OR($B4939="",$B4939="(blank)"),"",VLOOKUP($B4939,'Email Marketing Raw Data'!$C:$O,13,0)),"")</f>
        <v/>
      </c>
      <c r="G4939" s="55" t="str">
        <f>IFERROR(IF(OR($B4939="",$B4939="(blank)"),"",VLOOKUP($B4939,'Email Marketing Raw Data'!$C:$O,4,0)),"")</f>
        <v/>
      </c>
      <c r="H4939" s="55" t="str">
        <f>IFERROR(IF(OR($B4939="",$B4939="(blank)"),"",VLOOKUP($B4939,'Email Marketing Raw Data'!$C:$O,5,0)),"")</f>
        <v/>
      </c>
      <c r="I4939" s="55" t="str">
        <f>IFERROR(IF($G4939="","",VLOOKUP('Dashboard And Emails Automate'!$G4939,Database!$H:$N,3,0)),"")</f>
        <v/>
      </c>
      <c r="J4939" s="55" t="str">
        <f>IFERROR(IF($G4939="","",VLOOKUP('Dashboard And Emails Automate'!$G4939,Database!$H:$N,4,0)),"")</f>
        <v/>
      </c>
      <c r="K4939" s="55" t="str">
        <f>IFERROR(IF($G4939="","",VLOOKUP('Dashboard And Emails Automate'!$G4939,Database!$H:$N,5,0)),"")</f>
        <v/>
      </c>
      <c r="L4939" s="55" t="str">
        <f>IFERROR(IF($G4939="","",VLOOKUP('Dashboard And Emails Automate'!$G4939,Database!$H:$N,6,0)),"")</f>
        <v/>
      </c>
      <c r="M4939" s="55" t="str">
        <f>IFERROR(IF($G4939="","",VLOOKUP('Dashboard And Emails Automate'!$G4939,Database!$H:$N,7,0)),"")</f>
        <v/>
      </c>
      <c r="N4939" s="55" t="str">
        <f>IFERROR(IF(OR($B4939="",$B4939="(blank)"),"",VLOOKUP($B4939,'Email Marketing Raw Data'!$C:$O,6,0)),"")</f>
        <v/>
      </c>
      <c r="O4939" s="55" t="str">
        <f>IFERROR(IF(OR($B4939="",$B4939="(blank)"),"",VLOOKUP($B4939,'Email Marketing Raw Data'!$C:$O,7,0)),"")</f>
        <v/>
      </c>
      <c r="P4939" s="55" t="str">
        <f>IFERROR(IF(OR($B4939="",$B4939="(blank)"),"",VLOOKUP($B4939,'Email Marketing Raw Data'!$C:$O,8,0)),"")</f>
        <v/>
      </c>
      <c r="Q4939" s="62" t="str">
        <f>IFERROR(IF(OR($B4939="",$B4939="(blank)"),"",VLOOKUP($B4939,'Email Marketing Raw Data'!$C:$O,9,0)),"")</f>
        <v/>
      </c>
    </row>
    <row r="4940" spans="4:17" ht="12.75" customHeight="1" x14ac:dyDescent="0.2">
      <c r="D4940" s="58" t="str">
        <f>IFERROR(IF(F4940&lt;&gt;"pending","",IF(OR($B4940="",$B4940="(blank)"),"",VLOOKUP($B4940,'Email Marketing Raw Data'!$C:$O,10,0))),"")</f>
        <v/>
      </c>
      <c r="E4940" s="59" t="str">
        <f>IFERROR(IF(F4940&lt;&gt;"pending","",IF(OR($B4940="",$B4940="(blank)"),"",VLOOKUP($B4940,'Email Marketing Raw Data'!$C:$O,11,0))),"")</f>
        <v/>
      </c>
      <c r="F4940" s="54" t="str">
        <f>IFERROR(IF(OR($B4940="",$B4940="(blank)"),"",VLOOKUP($B4940,'Email Marketing Raw Data'!$C:$O,13,0)),"")</f>
        <v/>
      </c>
      <c r="G4940" s="55" t="str">
        <f>IFERROR(IF(OR($B4940="",$B4940="(blank)"),"",VLOOKUP($B4940,'Email Marketing Raw Data'!$C:$O,4,0)),"")</f>
        <v/>
      </c>
      <c r="H4940" s="55" t="str">
        <f>IFERROR(IF(OR($B4940="",$B4940="(blank)"),"",VLOOKUP($B4940,'Email Marketing Raw Data'!$C:$O,5,0)),"")</f>
        <v/>
      </c>
      <c r="I4940" s="55" t="str">
        <f>IFERROR(IF($G4940="","",VLOOKUP('Dashboard And Emails Automate'!$G4940,Database!$H:$N,3,0)),"")</f>
        <v/>
      </c>
      <c r="J4940" s="55" t="str">
        <f>IFERROR(IF($G4940="","",VLOOKUP('Dashboard And Emails Automate'!$G4940,Database!$H:$N,4,0)),"")</f>
        <v/>
      </c>
      <c r="K4940" s="55" t="str">
        <f>IFERROR(IF($G4940="","",VLOOKUP('Dashboard And Emails Automate'!$G4940,Database!$H:$N,5,0)),"")</f>
        <v/>
      </c>
      <c r="L4940" s="55" t="str">
        <f>IFERROR(IF($G4940="","",VLOOKUP('Dashboard And Emails Automate'!$G4940,Database!$H:$N,6,0)),"")</f>
        <v/>
      </c>
      <c r="M4940" s="55" t="str">
        <f>IFERROR(IF($G4940="","",VLOOKUP('Dashboard And Emails Automate'!$G4940,Database!$H:$N,7,0)),"")</f>
        <v/>
      </c>
      <c r="N4940" s="55" t="str">
        <f>IFERROR(IF(OR($B4940="",$B4940="(blank)"),"",VLOOKUP($B4940,'Email Marketing Raw Data'!$C:$O,6,0)),"")</f>
        <v/>
      </c>
      <c r="O4940" s="55" t="str">
        <f>IFERROR(IF(OR($B4940="",$B4940="(blank)"),"",VLOOKUP($B4940,'Email Marketing Raw Data'!$C:$O,7,0)),"")</f>
        <v/>
      </c>
      <c r="P4940" s="55" t="str">
        <f>IFERROR(IF(OR($B4940="",$B4940="(blank)"),"",VLOOKUP($B4940,'Email Marketing Raw Data'!$C:$O,8,0)),"")</f>
        <v/>
      </c>
      <c r="Q4940" s="62" t="str">
        <f>IFERROR(IF(OR($B4940="",$B4940="(blank)"),"",VLOOKUP($B4940,'Email Marketing Raw Data'!$C:$O,9,0)),"")</f>
        <v/>
      </c>
    </row>
    <row r="4941" spans="4:17" ht="12.75" customHeight="1" x14ac:dyDescent="0.2">
      <c r="D4941" s="58" t="str">
        <f>IFERROR(IF(F4941&lt;&gt;"pending","",IF(OR($B4941="",$B4941="(blank)"),"",VLOOKUP($B4941,'Email Marketing Raw Data'!$C:$O,10,0))),"")</f>
        <v/>
      </c>
      <c r="E4941" s="59" t="str">
        <f>IFERROR(IF(F4941&lt;&gt;"pending","",IF(OR($B4941="",$B4941="(blank)"),"",VLOOKUP($B4941,'Email Marketing Raw Data'!$C:$O,11,0))),"")</f>
        <v/>
      </c>
      <c r="F4941" s="54" t="str">
        <f>IFERROR(IF(OR($B4941="",$B4941="(blank)"),"",VLOOKUP($B4941,'Email Marketing Raw Data'!$C:$O,13,0)),"")</f>
        <v/>
      </c>
      <c r="G4941" s="55" t="str">
        <f>IFERROR(IF(OR($B4941="",$B4941="(blank)"),"",VLOOKUP($B4941,'Email Marketing Raw Data'!$C:$O,4,0)),"")</f>
        <v/>
      </c>
      <c r="H4941" s="55" t="str">
        <f>IFERROR(IF(OR($B4941="",$B4941="(blank)"),"",VLOOKUP($B4941,'Email Marketing Raw Data'!$C:$O,5,0)),"")</f>
        <v/>
      </c>
      <c r="I4941" s="55" t="str">
        <f>IFERROR(IF($G4941="","",VLOOKUP('Dashboard And Emails Automate'!$G4941,Database!$H:$N,3,0)),"")</f>
        <v/>
      </c>
      <c r="J4941" s="55" t="str">
        <f>IFERROR(IF($G4941="","",VLOOKUP('Dashboard And Emails Automate'!$G4941,Database!$H:$N,4,0)),"")</f>
        <v/>
      </c>
      <c r="K4941" s="55" t="str">
        <f>IFERROR(IF($G4941="","",VLOOKUP('Dashboard And Emails Automate'!$G4941,Database!$H:$N,5,0)),"")</f>
        <v/>
      </c>
      <c r="L4941" s="55" t="str">
        <f>IFERROR(IF($G4941="","",VLOOKUP('Dashboard And Emails Automate'!$G4941,Database!$H:$N,6,0)),"")</f>
        <v/>
      </c>
      <c r="M4941" s="55" t="str">
        <f>IFERROR(IF($G4941="","",VLOOKUP('Dashboard And Emails Automate'!$G4941,Database!$H:$N,7,0)),"")</f>
        <v/>
      </c>
      <c r="N4941" s="55" t="str">
        <f>IFERROR(IF(OR($B4941="",$B4941="(blank)"),"",VLOOKUP($B4941,'Email Marketing Raw Data'!$C:$O,6,0)),"")</f>
        <v/>
      </c>
      <c r="O4941" s="55" t="str">
        <f>IFERROR(IF(OR($B4941="",$B4941="(blank)"),"",VLOOKUP($B4941,'Email Marketing Raw Data'!$C:$O,7,0)),"")</f>
        <v/>
      </c>
      <c r="P4941" s="55" t="str">
        <f>IFERROR(IF(OR($B4941="",$B4941="(blank)"),"",VLOOKUP($B4941,'Email Marketing Raw Data'!$C:$O,8,0)),"")</f>
        <v/>
      </c>
      <c r="Q4941" s="62" t="str">
        <f>IFERROR(IF(OR($B4941="",$B4941="(blank)"),"",VLOOKUP($B4941,'Email Marketing Raw Data'!$C:$O,9,0)),"")</f>
        <v/>
      </c>
    </row>
    <row r="4942" spans="4:17" ht="12.75" customHeight="1" x14ac:dyDescent="0.2">
      <c r="D4942" s="58" t="str">
        <f>IFERROR(IF(F4942&lt;&gt;"pending","",IF(OR($B4942="",$B4942="(blank)"),"",VLOOKUP($B4942,'Email Marketing Raw Data'!$C:$O,10,0))),"")</f>
        <v/>
      </c>
      <c r="E4942" s="59" t="str">
        <f>IFERROR(IF(F4942&lt;&gt;"pending","",IF(OR($B4942="",$B4942="(blank)"),"",VLOOKUP($B4942,'Email Marketing Raw Data'!$C:$O,11,0))),"")</f>
        <v/>
      </c>
      <c r="F4942" s="54" t="str">
        <f>IFERROR(IF(OR($B4942="",$B4942="(blank)"),"",VLOOKUP($B4942,'Email Marketing Raw Data'!$C:$O,13,0)),"")</f>
        <v/>
      </c>
      <c r="G4942" s="55" t="str">
        <f>IFERROR(IF(OR($B4942="",$B4942="(blank)"),"",VLOOKUP($B4942,'Email Marketing Raw Data'!$C:$O,4,0)),"")</f>
        <v/>
      </c>
      <c r="H4942" s="55" t="str">
        <f>IFERROR(IF(OR($B4942="",$B4942="(blank)"),"",VLOOKUP($B4942,'Email Marketing Raw Data'!$C:$O,5,0)),"")</f>
        <v/>
      </c>
      <c r="I4942" s="55" t="str">
        <f>IFERROR(IF($G4942="","",VLOOKUP('Dashboard And Emails Automate'!$G4942,Database!$H:$N,3,0)),"")</f>
        <v/>
      </c>
      <c r="J4942" s="55" t="str">
        <f>IFERROR(IF($G4942="","",VLOOKUP('Dashboard And Emails Automate'!$G4942,Database!$H:$N,4,0)),"")</f>
        <v/>
      </c>
      <c r="K4942" s="55" t="str">
        <f>IFERROR(IF($G4942="","",VLOOKUP('Dashboard And Emails Automate'!$G4942,Database!$H:$N,5,0)),"")</f>
        <v/>
      </c>
      <c r="L4942" s="55" t="str">
        <f>IFERROR(IF($G4942="","",VLOOKUP('Dashboard And Emails Automate'!$G4942,Database!$H:$N,6,0)),"")</f>
        <v/>
      </c>
      <c r="M4942" s="55" t="str">
        <f>IFERROR(IF($G4942="","",VLOOKUP('Dashboard And Emails Automate'!$G4942,Database!$H:$N,7,0)),"")</f>
        <v/>
      </c>
      <c r="N4942" s="55" t="str">
        <f>IFERROR(IF(OR($B4942="",$B4942="(blank)"),"",VLOOKUP($B4942,'Email Marketing Raw Data'!$C:$O,6,0)),"")</f>
        <v/>
      </c>
      <c r="O4942" s="55" t="str">
        <f>IFERROR(IF(OR($B4942="",$B4942="(blank)"),"",VLOOKUP($B4942,'Email Marketing Raw Data'!$C:$O,7,0)),"")</f>
        <v/>
      </c>
      <c r="P4942" s="55" t="str">
        <f>IFERROR(IF(OR($B4942="",$B4942="(blank)"),"",VLOOKUP($B4942,'Email Marketing Raw Data'!$C:$O,8,0)),"")</f>
        <v/>
      </c>
      <c r="Q4942" s="62" t="str">
        <f>IFERROR(IF(OR($B4942="",$B4942="(blank)"),"",VLOOKUP($B4942,'Email Marketing Raw Data'!$C:$O,9,0)),"")</f>
        <v/>
      </c>
    </row>
    <row r="4943" spans="4:17" ht="12.75" customHeight="1" x14ac:dyDescent="0.2">
      <c r="D4943" s="58" t="str">
        <f>IFERROR(IF(F4943&lt;&gt;"pending","",IF(OR($B4943="",$B4943="(blank)"),"",VLOOKUP($B4943,'Email Marketing Raw Data'!$C:$O,10,0))),"")</f>
        <v/>
      </c>
      <c r="E4943" s="59" t="str">
        <f>IFERROR(IF(F4943&lt;&gt;"pending","",IF(OR($B4943="",$B4943="(blank)"),"",VLOOKUP($B4943,'Email Marketing Raw Data'!$C:$O,11,0))),"")</f>
        <v/>
      </c>
      <c r="F4943" s="54" t="str">
        <f>IFERROR(IF(OR($B4943="",$B4943="(blank)"),"",VLOOKUP($B4943,'Email Marketing Raw Data'!$C:$O,13,0)),"")</f>
        <v/>
      </c>
      <c r="G4943" s="55" t="str">
        <f>IFERROR(IF(OR($B4943="",$B4943="(blank)"),"",VLOOKUP($B4943,'Email Marketing Raw Data'!$C:$O,4,0)),"")</f>
        <v/>
      </c>
      <c r="H4943" s="55" t="str">
        <f>IFERROR(IF(OR($B4943="",$B4943="(blank)"),"",VLOOKUP($B4943,'Email Marketing Raw Data'!$C:$O,5,0)),"")</f>
        <v/>
      </c>
      <c r="I4943" s="55" t="str">
        <f>IFERROR(IF($G4943="","",VLOOKUP('Dashboard And Emails Automate'!$G4943,Database!$H:$N,3,0)),"")</f>
        <v/>
      </c>
      <c r="J4943" s="55" t="str">
        <f>IFERROR(IF($G4943="","",VLOOKUP('Dashboard And Emails Automate'!$G4943,Database!$H:$N,4,0)),"")</f>
        <v/>
      </c>
      <c r="K4943" s="55" t="str">
        <f>IFERROR(IF($G4943="","",VLOOKUP('Dashboard And Emails Automate'!$G4943,Database!$H:$N,5,0)),"")</f>
        <v/>
      </c>
      <c r="L4943" s="55" t="str">
        <f>IFERROR(IF($G4943="","",VLOOKUP('Dashboard And Emails Automate'!$G4943,Database!$H:$N,6,0)),"")</f>
        <v/>
      </c>
      <c r="M4943" s="55" t="str">
        <f>IFERROR(IF($G4943="","",VLOOKUP('Dashboard And Emails Automate'!$G4943,Database!$H:$N,7,0)),"")</f>
        <v/>
      </c>
      <c r="N4943" s="55" t="str">
        <f>IFERROR(IF(OR($B4943="",$B4943="(blank)"),"",VLOOKUP($B4943,'Email Marketing Raw Data'!$C:$O,6,0)),"")</f>
        <v/>
      </c>
      <c r="O4943" s="55" t="str">
        <f>IFERROR(IF(OR($B4943="",$B4943="(blank)"),"",VLOOKUP($B4943,'Email Marketing Raw Data'!$C:$O,7,0)),"")</f>
        <v/>
      </c>
      <c r="P4943" s="55" t="str">
        <f>IFERROR(IF(OR($B4943="",$B4943="(blank)"),"",VLOOKUP($B4943,'Email Marketing Raw Data'!$C:$O,8,0)),"")</f>
        <v/>
      </c>
      <c r="Q4943" s="62" t="str">
        <f>IFERROR(IF(OR($B4943="",$B4943="(blank)"),"",VLOOKUP($B4943,'Email Marketing Raw Data'!$C:$O,9,0)),"")</f>
        <v/>
      </c>
    </row>
    <row r="4944" spans="4:17" ht="12.75" customHeight="1" x14ac:dyDescent="0.2">
      <c r="D4944" s="58" t="str">
        <f>IFERROR(IF(F4944&lt;&gt;"pending","",IF(OR($B4944="",$B4944="(blank)"),"",VLOOKUP($B4944,'Email Marketing Raw Data'!$C:$O,10,0))),"")</f>
        <v/>
      </c>
      <c r="E4944" s="59" t="str">
        <f>IFERROR(IF(F4944&lt;&gt;"pending","",IF(OR($B4944="",$B4944="(blank)"),"",VLOOKUP($B4944,'Email Marketing Raw Data'!$C:$O,11,0))),"")</f>
        <v/>
      </c>
      <c r="F4944" s="54" t="str">
        <f>IFERROR(IF(OR($B4944="",$B4944="(blank)"),"",VLOOKUP($B4944,'Email Marketing Raw Data'!$C:$O,13,0)),"")</f>
        <v/>
      </c>
      <c r="G4944" s="55" t="str">
        <f>IFERROR(IF(OR($B4944="",$B4944="(blank)"),"",VLOOKUP($B4944,'Email Marketing Raw Data'!$C:$O,4,0)),"")</f>
        <v/>
      </c>
      <c r="H4944" s="55" t="str">
        <f>IFERROR(IF(OR($B4944="",$B4944="(blank)"),"",VLOOKUP($B4944,'Email Marketing Raw Data'!$C:$O,5,0)),"")</f>
        <v/>
      </c>
      <c r="I4944" s="55" t="str">
        <f>IFERROR(IF($G4944="","",VLOOKUP('Dashboard And Emails Automate'!$G4944,Database!$H:$N,3,0)),"")</f>
        <v/>
      </c>
      <c r="J4944" s="55" t="str">
        <f>IFERROR(IF($G4944="","",VLOOKUP('Dashboard And Emails Automate'!$G4944,Database!$H:$N,4,0)),"")</f>
        <v/>
      </c>
      <c r="K4944" s="55" t="str">
        <f>IFERROR(IF($G4944="","",VLOOKUP('Dashboard And Emails Automate'!$G4944,Database!$H:$N,5,0)),"")</f>
        <v/>
      </c>
      <c r="L4944" s="55" t="str">
        <f>IFERROR(IF($G4944="","",VLOOKUP('Dashboard And Emails Automate'!$G4944,Database!$H:$N,6,0)),"")</f>
        <v/>
      </c>
      <c r="M4944" s="55" t="str">
        <f>IFERROR(IF($G4944="","",VLOOKUP('Dashboard And Emails Automate'!$G4944,Database!$H:$N,7,0)),"")</f>
        <v/>
      </c>
      <c r="N4944" s="55" t="str">
        <f>IFERROR(IF(OR($B4944="",$B4944="(blank)"),"",VLOOKUP($B4944,'Email Marketing Raw Data'!$C:$O,6,0)),"")</f>
        <v/>
      </c>
      <c r="O4944" s="55" t="str">
        <f>IFERROR(IF(OR($B4944="",$B4944="(blank)"),"",VLOOKUP($B4944,'Email Marketing Raw Data'!$C:$O,7,0)),"")</f>
        <v/>
      </c>
      <c r="P4944" s="55" t="str">
        <f>IFERROR(IF(OR($B4944="",$B4944="(blank)"),"",VLOOKUP($B4944,'Email Marketing Raw Data'!$C:$O,8,0)),"")</f>
        <v/>
      </c>
      <c r="Q4944" s="62" t="str">
        <f>IFERROR(IF(OR($B4944="",$B4944="(blank)"),"",VLOOKUP($B4944,'Email Marketing Raw Data'!$C:$O,9,0)),"")</f>
        <v/>
      </c>
    </row>
    <row r="4945" spans="4:17" ht="12.75" customHeight="1" x14ac:dyDescent="0.2">
      <c r="D4945" s="58" t="str">
        <f>IFERROR(IF(F4945&lt;&gt;"pending","",IF(OR($B4945="",$B4945="(blank)"),"",VLOOKUP($B4945,'Email Marketing Raw Data'!$C:$O,10,0))),"")</f>
        <v/>
      </c>
      <c r="E4945" s="59" t="str">
        <f>IFERROR(IF(F4945&lt;&gt;"pending","",IF(OR($B4945="",$B4945="(blank)"),"",VLOOKUP($B4945,'Email Marketing Raw Data'!$C:$O,11,0))),"")</f>
        <v/>
      </c>
      <c r="F4945" s="54" t="str">
        <f>IFERROR(IF(OR($B4945="",$B4945="(blank)"),"",VLOOKUP($B4945,'Email Marketing Raw Data'!$C:$O,13,0)),"")</f>
        <v/>
      </c>
      <c r="G4945" s="55" t="str">
        <f>IFERROR(IF(OR($B4945="",$B4945="(blank)"),"",VLOOKUP($B4945,'Email Marketing Raw Data'!$C:$O,4,0)),"")</f>
        <v/>
      </c>
      <c r="H4945" s="55" t="str">
        <f>IFERROR(IF(OR($B4945="",$B4945="(blank)"),"",VLOOKUP($B4945,'Email Marketing Raw Data'!$C:$O,5,0)),"")</f>
        <v/>
      </c>
      <c r="I4945" s="55" t="str">
        <f>IFERROR(IF($G4945="","",VLOOKUP('Dashboard And Emails Automate'!$G4945,Database!$H:$N,3,0)),"")</f>
        <v/>
      </c>
      <c r="J4945" s="55" t="str">
        <f>IFERROR(IF($G4945="","",VLOOKUP('Dashboard And Emails Automate'!$G4945,Database!$H:$N,4,0)),"")</f>
        <v/>
      </c>
      <c r="K4945" s="55" t="str">
        <f>IFERROR(IF($G4945="","",VLOOKUP('Dashboard And Emails Automate'!$G4945,Database!$H:$N,5,0)),"")</f>
        <v/>
      </c>
      <c r="L4945" s="55" t="str">
        <f>IFERROR(IF($G4945="","",VLOOKUP('Dashboard And Emails Automate'!$G4945,Database!$H:$N,6,0)),"")</f>
        <v/>
      </c>
      <c r="M4945" s="55" t="str">
        <f>IFERROR(IF($G4945="","",VLOOKUP('Dashboard And Emails Automate'!$G4945,Database!$H:$N,7,0)),"")</f>
        <v/>
      </c>
      <c r="N4945" s="55" t="str">
        <f>IFERROR(IF(OR($B4945="",$B4945="(blank)"),"",VLOOKUP($B4945,'Email Marketing Raw Data'!$C:$O,6,0)),"")</f>
        <v/>
      </c>
      <c r="O4945" s="55" t="str">
        <f>IFERROR(IF(OR($B4945="",$B4945="(blank)"),"",VLOOKUP($B4945,'Email Marketing Raw Data'!$C:$O,7,0)),"")</f>
        <v/>
      </c>
      <c r="P4945" s="55" t="str">
        <f>IFERROR(IF(OR($B4945="",$B4945="(blank)"),"",VLOOKUP($B4945,'Email Marketing Raw Data'!$C:$O,8,0)),"")</f>
        <v/>
      </c>
      <c r="Q4945" s="62" t="str">
        <f>IFERROR(IF(OR($B4945="",$B4945="(blank)"),"",VLOOKUP($B4945,'Email Marketing Raw Data'!$C:$O,9,0)),"")</f>
        <v/>
      </c>
    </row>
    <row r="4946" spans="4:17" ht="12.75" customHeight="1" x14ac:dyDescent="0.2">
      <c r="D4946" s="58" t="str">
        <f>IFERROR(IF(F4946&lt;&gt;"pending","",IF(OR($B4946="",$B4946="(blank)"),"",VLOOKUP($B4946,'Email Marketing Raw Data'!$C:$O,10,0))),"")</f>
        <v/>
      </c>
      <c r="E4946" s="59" t="str">
        <f>IFERROR(IF(F4946&lt;&gt;"pending","",IF(OR($B4946="",$B4946="(blank)"),"",VLOOKUP($B4946,'Email Marketing Raw Data'!$C:$O,11,0))),"")</f>
        <v/>
      </c>
      <c r="F4946" s="54" t="str">
        <f>IFERROR(IF(OR($B4946="",$B4946="(blank)"),"",VLOOKUP($B4946,'Email Marketing Raw Data'!$C:$O,13,0)),"")</f>
        <v/>
      </c>
      <c r="G4946" s="55" t="str">
        <f>IFERROR(IF(OR($B4946="",$B4946="(blank)"),"",VLOOKUP($B4946,'Email Marketing Raw Data'!$C:$O,4,0)),"")</f>
        <v/>
      </c>
      <c r="H4946" s="55" t="str">
        <f>IFERROR(IF(OR($B4946="",$B4946="(blank)"),"",VLOOKUP($B4946,'Email Marketing Raw Data'!$C:$O,5,0)),"")</f>
        <v/>
      </c>
      <c r="I4946" s="55" t="str">
        <f>IFERROR(IF($G4946="","",VLOOKUP('Dashboard And Emails Automate'!$G4946,Database!$H:$N,3,0)),"")</f>
        <v/>
      </c>
      <c r="J4946" s="55" t="str">
        <f>IFERROR(IF($G4946="","",VLOOKUP('Dashboard And Emails Automate'!$G4946,Database!$H:$N,4,0)),"")</f>
        <v/>
      </c>
      <c r="K4946" s="55" t="str">
        <f>IFERROR(IF($G4946="","",VLOOKUP('Dashboard And Emails Automate'!$G4946,Database!$H:$N,5,0)),"")</f>
        <v/>
      </c>
      <c r="L4946" s="55" t="str">
        <f>IFERROR(IF($G4946="","",VLOOKUP('Dashboard And Emails Automate'!$G4946,Database!$H:$N,6,0)),"")</f>
        <v/>
      </c>
      <c r="M4946" s="55" t="str">
        <f>IFERROR(IF($G4946="","",VLOOKUP('Dashboard And Emails Automate'!$G4946,Database!$H:$N,7,0)),"")</f>
        <v/>
      </c>
      <c r="N4946" s="55" t="str">
        <f>IFERROR(IF(OR($B4946="",$B4946="(blank)"),"",VLOOKUP($B4946,'Email Marketing Raw Data'!$C:$O,6,0)),"")</f>
        <v/>
      </c>
      <c r="O4946" s="55" t="str">
        <f>IFERROR(IF(OR($B4946="",$B4946="(blank)"),"",VLOOKUP($B4946,'Email Marketing Raw Data'!$C:$O,7,0)),"")</f>
        <v/>
      </c>
      <c r="P4946" s="55" t="str">
        <f>IFERROR(IF(OR($B4946="",$B4946="(blank)"),"",VLOOKUP($B4946,'Email Marketing Raw Data'!$C:$O,8,0)),"")</f>
        <v/>
      </c>
      <c r="Q4946" s="62" t="str">
        <f>IFERROR(IF(OR($B4946="",$B4946="(blank)"),"",VLOOKUP($B4946,'Email Marketing Raw Data'!$C:$O,9,0)),"")</f>
        <v/>
      </c>
    </row>
    <row r="4947" spans="4:17" ht="12.75" customHeight="1" x14ac:dyDescent="0.2">
      <c r="D4947" s="58" t="str">
        <f>IFERROR(IF(F4947&lt;&gt;"pending","",IF(OR($B4947="",$B4947="(blank)"),"",VLOOKUP($B4947,'Email Marketing Raw Data'!$C:$O,10,0))),"")</f>
        <v/>
      </c>
      <c r="E4947" s="59" t="str">
        <f>IFERROR(IF(F4947&lt;&gt;"pending","",IF(OR($B4947="",$B4947="(blank)"),"",VLOOKUP($B4947,'Email Marketing Raw Data'!$C:$O,11,0))),"")</f>
        <v/>
      </c>
      <c r="F4947" s="54" t="str">
        <f>IFERROR(IF(OR($B4947="",$B4947="(blank)"),"",VLOOKUP($B4947,'Email Marketing Raw Data'!$C:$O,13,0)),"")</f>
        <v/>
      </c>
      <c r="G4947" s="55" t="str">
        <f>IFERROR(IF(OR($B4947="",$B4947="(blank)"),"",VLOOKUP($B4947,'Email Marketing Raw Data'!$C:$O,4,0)),"")</f>
        <v/>
      </c>
      <c r="H4947" s="55" t="str">
        <f>IFERROR(IF(OR($B4947="",$B4947="(blank)"),"",VLOOKUP($B4947,'Email Marketing Raw Data'!$C:$O,5,0)),"")</f>
        <v/>
      </c>
      <c r="I4947" s="55" t="str">
        <f>IFERROR(IF($G4947="","",VLOOKUP('Dashboard And Emails Automate'!$G4947,Database!$H:$N,3,0)),"")</f>
        <v/>
      </c>
      <c r="J4947" s="55" t="str">
        <f>IFERROR(IF($G4947="","",VLOOKUP('Dashboard And Emails Automate'!$G4947,Database!$H:$N,4,0)),"")</f>
        <v/>
      </c>
      <c r="K4947" s="55" t="str">
        <f>IFERROR(IF($G4947="","",VLOOKUP('Dashboard And Emails Automate'!$G4947,Database!$H:$N,5,0)),"")</f>
        <v/>
      </c>
      <c r="L4947" s="55" t="str">
        <f>IFERROR(IF($G4947="","",VLOOKUP('Dashboard And Emails Automate'!$G4947,Database!$H:$N,6,0)),"")</f>
        <v/>
      </c>
      <c r="M4947" s="55" t="str">
        <f>IFERROR(IF($G4947="","",VLOOKUP('Dashboard And Emails Automate'!$G4947,Database!$H:$N,7,0)),"")</f>
        <v/>
      </c>
      <c r="N4947" s="55" t="str">
        <f>IFERROR(IF(OR($B4947="",$B4947="(blank)"),"",VLOOKUP($B4947,'Email Marketing Raw Data'!$C:$O,6,0)),"")</f>
        <v/>
      </c>
      <c r="O4947" s="55" t="str">
        <f>IFERROR(IF(OR($B4947="",$B4947="(blank)"),"",VLOOKUP($B4947,'Email Marketing Raw Data'!$C:$O,7,0)),"")</f>
        <v/>
      </c>
      <c r="P4947" s="55" t="str">
        <f>IFERROR(IF(OR($B4947="",$B4947="(blank)"),"",VLOOKUP($B4947,'Email Marketing Raw Data'!$C:$O,8,0)),"")</f>
        <v/>
      </c>
      <c r="Q4947" s="62" t="str">
        <f>IFERROR(IF(OR($B4947="",$B4947="(blank)"),"",VLOOKUP($B4947,'Email Marketing Raw Data'!$C:$O,9,0)),"")</f>
        <v/>
      </c>
    </row>
    <row r="4948" spans="4:17" ht="12.75" customHeight="1" x14ac:dyDescent="0.2">
      <c r="D4948" s="58" t="str">
        <f>IFERROR(IF(F4948&lt;&gt;"pending","",IF(OR($B4948="",$B4948="(blank)"),"",VLOOKUP($B4948,'Email Marketing Raw Data'!$C:$O,10,0))),"")</f>
        <v/>
      </c>
      <c r="E4948" s="59" t="str">
        <f>IFERROR(IF(F4948&lt;&gt;"pending","",IF(OR($B4948="",$B4948="(blank)"),"",VLOOKUP($B4948,'Email Marketing Raw Data'!$C:$O,11,0))),"")</f>
        <v/>
      </c>
      <c r="F4948" s="54" t="str">
        <f>IFERROR(IF(OR($B4948="",$B4948="(blank)"),"",VLOOKUP($B4948,'Email Marketing Raw Data'!$C:$O,13,0)),"")</f>
        <v/>
      </c>
      <c r="G4948" s="55" t="str">
        <f>IFERROR(IF(OR($B4948="",$B4948="(blank)"),"",VLOOKUP($B4948,'Email Marketing Raw Data'!$C:$O,4,0)),"")</f>
        <v/>
      </c>
      <c r="H4948" s="55" t="str">
        <f>IFERROR(IF(OR($B4948="",$B4948="(blank)"),"",VLOOKUP($B4948,'Email Marketing Raw Data'!$C:$O,5,0)),"")</f>
        <v/>
      </c>
      <c r="I4948" s="55" t="str">
        <f>IFERROR(IF($G4948="","",VLOOKUP('Dashboard And Emails Automate'!$G4948,Database!$H:$N,3,0)),"")</f>
        <v/>
      </c>
      <c r="J4948" s="55" t="str">
        <f>IFERROR(IF($G4948="","",VLOOKUP('Dashboard And Emails Automate'!$G4948,Database!$H:$N,4,0)),"")</f>
        <v/>
      </c>
      <c r="K4948" s="55" t="str">
        <f>IFERROR(IF($G4948="","",VLOOKUP('Dashboard And Emails Automate'!$G4948,Database!$H:$N,5,0)),"")</f>
        <v/>
      </c>
      <c r="L4948" s="55" t="str">
        <f>IFERROR(IF($G4948="","",VLOOKUP('Dashboard And Emails Automate'!$G4948,Database!$H:$N,6,0)),"")</f>
        <v/>
      </c>
      <c r="M4948" s="55" t="str">
        <f>IFERROR(IF($G4948="","",VLOOKUP('Dashboard And Emails Automate'!$G4948,Database!$H:$N,7,0)),"")</f>
        <v/>
      </c>
      <c r="N4948" s="55" t="str">
        <f>IFERROR(IF(OR($B4948="",$B4948="(blank)"),"",VLOOKUP($B4948,'Email Marketing Raw Data'!$C:$O,6,0)),"")</f>
        <v/>
      </c>
      <c r="O4948" s="55" t="str">
        <f>IFERROR(IF(OR($B4948="",$B4948="(blank)"),"",VLOOKUP($B4948,'Email Marketing Raw Data'!$C:$O,7,0)),"")</f>
        <v/>
      </c>
      <c r="P4948" s="55" t="str">
        <f>IFERROR(IF(OR($B4948="",$B4948="(blank)"),"",VLOOKUP($B4948,'Email Marketing Raw Data'!$C:$O,8,0)),"")</f>
        <v/>
      </c>
      <c r="Q4948" s="62" t="str">
        <f>IFERROR(IF(OR($B4948="",$B4948="(blank)"),"",VLOOKUP($B4948,'Email Marketing Raw Data'!$C:$O,9,0)),"")</f>
        <v/>
      </c>
    </row>
    <row r="4949" spans="4:17" ht="12.75" customHeight="1" x14ac:dyDescent="0.2">
      <c r="D4949" s="58" t="str">
        <f>IFERROR(IF(F4949&lt;&gt;"pending","",IF(OR($B4949="",$B4949="(blank)"),"",VLOOKUP($B4949,'Email Marketing Raw Data'!$C:$O,10,0))),"")</f>
        <v/>
      </c>
      <c r="E4949" s="59" t="str">
        <f>IFERROR(IF(F4949&lt;&gt;"pending","",IF(OR($B4949="",$B4949="(blank)"),"",VLOOKUP($B4949,'Email Marketing Raw Data'!$C:$O,11,0))),"")</f>
        <v/>
      </c>
      <c r="F4949" s="54" t="str">
        <f>IFERROR(IF(OR($B4949="",$B4949="(blank)"),"",VLOOKUP($B4949,'Email Marketing Raw Data'!$C:$O,13,0)),"")</f>
        <v/>
      </c>
      <c r="G4949" s="55" t="str">
        <f>IFERROR(IF(OR($B4949="",$B4949="(blank)"),"",VLOOKUP($B4949,'Email Marketing Raw Data'!$C:$O,4,0)),"")</f>
        <v/>
      </c>
      <c r="H4949" s="55" t="str">
        <f>IFERROR(IF(OR($B4949="",$B4949="(blank)"),"",VLOOKUP($B4949,'Email Marketing Raw Data'!$C:$O,5,0)),"")</f>
        <v/>
      </c>
      <c r="I4949" s="55" t="str">
        <f>IFERROR(IF($G4949="","",VLOOKUP('Dashboard And Emails Automate'!$G4949,Database!$H:$N,3,0)),"")</f>
        <v/>
      </c>
      <c r="J4949" s="55" t="str">
        <f>IFERROR(IF($G4949="","",VLOOKUP('Dashboard And Emails Automate'!$G4949,Database!$H:$N,4,0)),"")</f>
        <v/>
      </c>
      <c r="K4949" s="55" t="str">
        <f>IFERROR(IF($G4949="","",VLOOKUP('Dashboard And Emails Automate'!$G4949,Database!$H:$N,5,0)),"")</f>
        <v/>
      </c>
      <c r="L4949" s="55" t="str">
        <f>IFERROR(IF($G4949="","",VLOOKUP('Dashboard And Emails Automate'!$G4949,Database!$H:$N,6,0)),"")</f>
        <v/>
      </c>
      <c r="M4949" s="55" t="str">
        <f>IFERROR(IF($G4949="","",VLOOKUP('Dashboard And Emails Automate'!$G4949,Database!$H:$N,7,0)),"")</f>
        <v/>
      </c>
      <c r="N4949" s="55" t="str">
        <f>IFERROR(IF(OR($B4949="",$B4949="(blank)"),"",VLOOKUP($B4949,'Email Marketing Raw Data'!$C:$O,6,0)),"")</f>
        <v/>
      </c>
      <c r="O4949" s="55" t="str">
        <f>IFERROR(IF(OR($B4949="",$B4949="(blank)"),"",VLOOKUP($B4949,'Email Marketing Raw Data'!$C:$O,7,0)),"")</f>
        <v/>
      </c>
      <c r="P4949" s="55" t="str">
        <f>IFERROR(IF(OR($B4949="",$B4949="(blank)"),"",VLOOKUP($B4949,'Email Marketing Raw Data'!$C:$O,8,0)),"")</f>
        <v/>
      </c>
      <c r="Q4949" s="62" t="str">
        <f>IFERROR(IF(OR($B4949="",$B4949="(blank)"),"",VLOOKUP($B4949,'Email Marketing Raw Data'!$C:$O,9,0)),"")</f>
        <v/>
      </c>
    </row>
    <row r="4950" spans="4:17" ht="12.75" customHeight="1" x14ac:dyDescent="0.2">
      <c r="D4950" s="58" t="str">
        <f>IFERROR(IF(F4950&lt;&gt;"pending","",IF(OR($B4950="",$B4950="(blank)"),"",VLOOKUP($B4950,'Email Marketing Raw Data'!$C:$O,10,0))),"")</f>
        <v/>
      </c>
      <c r="E4950" s="59" t="str">
        <f>IFERROR(IF(F4950&lt;&gt;"pending","",IF(OR($B4950="",$B4950="(blank)"),"",VLOOKUP($B4950,'Email Marketing Raw Data'!$C:$O,11,0))),"")</f>
        <v/>
      </c>
      <c r="F4950" s="54" t="str">
        <f>IFERROR(IF(OR($B4950="",$B4950="(blank)"),"",VLOOKUP($B4950,'Email Marketing Raw Data'!$C:$O,13,0)),"")</f>
        <v/>
      </c>
      <c r="G4950" s="55" t="str">
        <f>IFERROR(IF(OR($B4950="",$B4950="(blank)"),"",VLOOKUP($B4950,'Email Marketing Raw Data'!$C:$O,4,0)),"")</f>
        <v/>
      </c>
      <c r="H4950" s="55" t="str">
        <f>IFERROR(IF(OR($B4950="",$B4950="(blank)"),"",VLOOKUP($B4950,'Email Marketing Raw Data'!$C:$O,5,0)),"")</f>
        <v/>
      </c>
      <c r="I4950" s="55" t="str">
        <f>IFERROR(IF($G4950="","",VLOOKUP('Dashboard And Emails Automate'!$G4950,Database!$H:$N,3,0)),"")</f>
        <v/>
      </c>
      <c r="J4950" s="55" t="str">
        <f>IFERROR(IF($G4950="","",VLOOKUP('Dashboard And Emails Automate'!$G4950,Database!$H:$N,4,0)),"")</f>
        <v/>
      </c>
      <c r="K4950" s="55" t="str">
        <f>IFERROR(IF($G4950="","",VLOOKUP('Dashboard And Emails Automate'!$G4950,Database!$H:$N,5,0)),"")</f>
        <v/>
      </c>
      <c r="L4950" s="55" t="str">
        <f>IFERROR(IF($G4950="","",VLOOKUP('Dashboard And Emails Automate'!$G4950,Database!$H:$N,6,0)),"")</f>
        <v/>
      </c>
      <c r="M4950" s="55" t="str">
        <f>IFERROR(IF($G4950="","",VLOOKUP('Dashboard And Emails Automate'!$G4950,Database!$H:$N,7,0)),"")</f>
        <v/>
      </c>
      <c r="N4950" s="55" t="str">
        <f>IFERROR(IF(OR($B4950="",$B4950="(blank)"),"",VLOOKUP($B4950,'Email Marketing Raw Data'!$C:$O,6,0)),"")</f>
        <v/>
      </c>
      <c r="O4950" s="55" t="str">
        <f>IFERROR(IF(OR($B4950="",$B4950="(blank)"),"",VLOOKUP($B4950,'Email Marketing Raw Data'!$C:$O,7,0)),"")</f>
        <v/>
      </c>
      <c r="P4950" s="55" t="str">
        <f>IFERROR(IF(OR($B4950="",$B4950="(blank)"),"",VLOOKUP($B4950,'Email Marketing Raw Data'!$C:$O,8,0)),"")</f>
        <v/>
      </c>
      <c r="Q4950" s="62" t="str">
        <f>IFERROR(IF(OR($B4950="",$B4950="(blank)"),"",VLOOKUP($B4950,'Email Marketing Raw Data'!$C:$O,9,0)),"")</f>
        <v/>
      </c>
    </row>
    <row r="4951" spans="4:17" ht="12.75" customHeight="1" x14ac:dyDescent="0.2">
      <c r="D4951" s="58" t="str">
        <f>IFERROR(IF(F4951&lt;&gt;"pending","",IF(OR($B4951="",$B4951="(blank)"),"",VLOOKUP($B4951,'Email Marketing Raw Data'!$C:$O,10,0))),"")</f>
        <v/>
      </c>
      <c r="E4951" s="59" t="str">
        <f>IFERROR(IF(F4951&lt;&gt;"pending","",IF(OR($B4951="",$B4951="(blank)"),"",VLOOKUP($B4951,'Email Marketing Raw Data'!$C:$O,11,0))),"")</f>
        <v/>
      </c>
      <c r="F4951" s="54" t="str">
        <f>IFERROR(IF(OR($B4951="",$B4951="(blank)"),"",VLOOKUP($B4951,'Email Marketing Raw Data'!$C:$O,13,0)),"")</f>
        <v/>
      </c>
      <c r="G4951" s="55" t="str">
        <f>IFERROR(IF(OR($B4951="",$B4951="(blank)"),"",VLOOKUP($B4951,'Email Marketing Raw Data'!$C:$O,4,0)),"")</f>
        <v/>
      </c>
      <c r="H4951" s="55" t="str">
        <f>IFERROR(IF(OR($B4951="",$B4951="(blank)"),"",VLOOKUP($B4951,'Email Marketing Raw Data'!$C:$O,5,0)),"")</f>
        <v/>
      </c>
      <c r="I4951" s="55" t="str">
        <f>IFERROR(IF($G4951="","",VLOOKUP('Dashboard And Emails Automate'!$G4951,Database!$H:$N,3,0)),"")</f>
        <v/>
      </c>
      <c r="J4951" s="55" t="str">
        <f>IFERROR(IF($G4951="","",VLOOKUP('Dashboard And Emails Automate'!$G4951,Database!$H:$N,4,0)),"")</f>
        <v/>
      </c>
      <c r="K4951" s="55" t="str">
        <f>IFERROR(IF($G4951="","",VLOOKUP('Dashboard And Emails Automate'!$G4951,Database!$H:$N,5,0)),"")</f>
        <v/>
      </c>
      <c r="L4951" s="55" t="str">
        <f>IFERROR(IF($G4951="","",VLOOKUP('Dashboard And Emails Automate'!$G4951,Database!$H:$N,6,0)),"")</f>
        <v/>
      </c>
      <c r="M4951" s="55" t="str">
        <f>IFERROR(IF($G4951="","",VLOOKUP('Dashboard And Emails Automate'!$G4951,Database!$H:$N,7,0)),"")</f>
        <v/>
      </c>
      <c r="N4951" s="55" t="str">
        <f>IFERROR(IF(OR($B4951="",$B4951="(blank)"),"",VLOOKUP($B4951,'Email Marketing Raw Data'!$C:$O,6,0)),"")</f>
        <v/>
      </c>
      <c r="O4951" s="55" t="str">
        <f>IFERROR(IF(OR($B4951="",$B4951="(blank)"),"",VLOOKUP($B4951,'Email Marketing Raw Data'!$C:$O,7,0)),"")</f>
        <v/>
      </c>
      <c r="P4951" s="55" t="str">
        <f>IFERROR(IF(OR($B4951="",$B4951="(blank)"),"",VLOOKUP($B4951,'Email Marketing Raw Data'!$C:$O,8,0)),"")</f>
        <v/>
      </c>
      <c r="Q4951" s="62" t="str">
        <f>IFERROR(IF(OR($B4951="",$B4951="(blank)"),"",VLOOKUP($B4951,'Email Marketing Raw Data'!$C:$O,9,0)),"")</f>
        <v/>
      </c>
    </row>
    <row r="4952" spans="4:17" ht="12.75" customHeight="1" x14ac:dyDescent="0.2">
      <c r="D4952" s="58" t="str">
        <f>IFERROR(IF(F4952&lt;&gt;"pending","",IF(OR($B4952="",$B4952="(blank)"),"",VLOOKUP($B4952,'Email Marketing Raw Data'!$C:$O,10,0))),"")</f>
        <v/>
      </c>
      <c r="E4952" s="59" t="str">
        <f>IFERROR(IF(F4952&lt;&gt;"pending","",IF(OR($B4952="",$B4952="(blank)"),"",VLOOKUP($B4952,'Email Marketing Raw Data'!$C:$O,11,0))),"")</f>
        <v/>
      </c>
      <c r="F4952" s="54" t="str">
        <f>IFERROR(IF(OR($B4952="",$B4952="(blank)"),"",VLOOKUP($B4952,'Email Marketing Raw Data'!$C:$O,13,0)),"")</f>
        <v/>
      </c>
      <c r="G4952" s="55" t="str">
        <f>IFERROR(IF(OR($B4952="",$B4952="(blank)"),"",VLOOKUP($B4952,'Email Marketing Raw Data'!$C:$O,4,0)),"")</f>
        <v/>
      </c>
      <c r="H4952" s="55" t="str">
        <f>IFERROR(IF(OR($B4952="",$B4952="(blank)"),"",VLOOKUP($B4952,'Email Marketing Raw Data'!$C:$O,5,0)),"")</f>
        <v/>
      </c>
      <c r="I4952" s="55" t="str">
        <f>IFERROR(IF($G4952="","",VLOOKUP('Dashboard And Emails Automate'!$G4952,Database!$H:$N,3,0)),"")</f>
        <v/>
      </c>
      <c r="J4952" s="55" t="str">
        <f>IFERROR(IF($G4952="","",VLOOKUP('Dashboard And Emails Automate'!$G4952,Database!$H:$N,4,0)),"")</f>
        <v/>
      </c>
      <c r="K4952" s="55" t="str">
        <f>IFERROR(IF($G4952="","",VLOOKUP('Dashboard And Emails Automate'!$G4952,Database!$H:$N,5,0)),"")</f>
        <v/>
      </c>
      <c r="L4952" s="55" t="str">
        <f>IFERROR(IF($G4952="","",VLOOKUP('Dashboard And Emails Automate'!$G4952,Database!$H:$N,6,0)),"")</f>
        <v/>
      </c>
      <c r="M4952" s="55" t="str">
        <f>IFERROR(IF($G4952="","",VLOOKUP('Dashboard And Emails Automate'!$G4952,Database!$H:$N,7,0)),"")</f>
        <v/>
      </c>
      <c r="N4952" s="55" t="str">
        <f>IFERROR(IF(OR($B4952="",$B4952="(blank)"),"",VLOOKUP($B4952,'Email Marketing Raw Data'!$C:$O,6,0)),"")</f>
        <v/>
      </c>
      <c r="O4952" s="55" t="str">
        <f>IFERROR(IF(OR($B4952="",$B4952="(blank)"),"",VLOOKUP($B4952,'Email Marketing Raw Data'!$C:$O,7,0)),"")</f>
        <v/>
      </c>
      <c r="P4952" s="55" t="str">
        <f>IFERROR(IF(OR($B4952="",$B4952="(blank)"),"",VLOOKUP($B4952,'Email Marketing Raw Data'!$C:$O,8,0)),"")</f>
        <v/>
      </c>
      <c r="Q4952" s="62" t="str">
        <f>IFERROR(IF(OR($B4952="",$B4952="(blank)"),"",VLOOKUP($B4952,'Email Marketing Raw Data'!$C:$O,9,0)),"")</f>
        <v/>
      </c>
    </row>
    <row r="4953" spans="4:17" ht="12.75" customHeight="1" x14ac:dyDescent="0.2">
      <c r="D4953" s="58" t="str">
        <f>IFERROR(IF(F4953&lt;&gt;"pending","",IF(OR($B4953="",$B4953="(blank)"),"",VLOOKUP($B4953,'Email Marketing Raw Data'!$C:$O,10,0))),"")</f>
        <v/>
      </c>
      <c r="E4953" s="59" t="str">
        <f>IFERROR(IF(F4953&lt;&gt;"pending","",IF(OR($B4953="",$B4953="(blank)"),"",VLOOKUP($B4953,'Email Marketing Raw Data'!$C:$O,11,0))),"")</f>
        <v/>
      </c>
      <c r="F4953" s="54" t="str">
        <f>IFERROR(IF(OR($B4953="",$B4953="(blank)"),"",VLOOKUP($B4953,'Email Marketing Raw Data'!$C:$O,13,0)),"")</f>
        <v/>
      </c>
      <c r="G4953" s="55" t="str">
        <f>IFERROR(IF(OR($B4953="",$B4953="(blank)"),"",VLOOKUP($B4953,'Email Marketing Raw Data'!$C:$O,4,0)),"")</f>
        <v/>
      </c>
      <c r="H4953" s="55" t="str">
        <f>IFERROR(IF(OR($B4953="",$B4953="(blank)"),"",VLOOKUP($B4953,'Email Marketing Raw Data'!$C:$O,5,0)),"")</f>
        <v/>
      </c>
      <c r="I4953" s="55" t="str">
        <f>IFERROR(IF($G4953="","",VLOOKUP('Dashboard And Emails Automate'!$G4953,Database!$H:$N,3,0)),"")</f>
        <v/>
      </c>
      <c r="J4953" s="55" t="str">
        <f>IFERROR(IF($G4953="","",VLOOKUP('Dashboard And Emails Automate'!$G4953,Database!$H:$N,4,0)),"")</f>
        <v/>
      </c>
      <c r="K4953" s="55" t="str">
        <f>IFERROR(IF($G4953="","",VLOOKUP('Dashboard And Emails Automate'!$G4953,Database!$H:$N,5,0)),"")</f>
        <v/>
      </c>
      <c r="L4953" s="55" t="str">
        <f>IFERROR(IF($G4953="","",VLOOKUP('Dashboard And Emails Automate'!$G4953,Database!$H:$N,6,0)),"")</f>
        <v/>
      </c>
      <c r="M4953" s="55" t="str">
        <f>IFERROR(IF($G4953="","",VLOOKUP('Dashboard And Emails Automate'!$G4953,Database!$H:$N,7,0)),"")</f>
        <v/>
      </c>
      <c r="N4953" s="55" t="str">
        <f>IFERROR(IF(OR($B4953="",$B4953="(blank)"),"",VLOOKUP($B4953,'Email Marketing Raw Data'!$C:$O,6,0)),"")</f>
        <v/>
      </c>
      <c r="O4953" s="55" t="str">
        <f>IFERROR(IF(OR($B4953="",$B4953="(blank)"),"",VLOOKUP($B4953,'Email Marketing Raw Data'!$C:$O,7,0)),"")</f>
        <v/>
      </c>
      <c r="P4953" s="55" t="str">
        <f>IFERROR(IF(OR($B4953="",$B4953="(blank)"),"",VLOOKUP($B4953,'Email Marketing Raw Data'!$C:$O,8,0)),"")</f>
        <v/>
      </c>
      <c r="Q4953" s="62" t="str">
        <f>IFERROR(IF(OR($B4953="",$B4953="(blank)"),"",VLOOKUP($B4953,'Email Marketing Raw Data'!$C:$O,9,0)),"")</f>
        <v/>
      </c>
    </row>
    <row r="4954" spans="4:17" ht="12.75" customHeight="1" x14ac:dyDescent="0.2">
      <c r="D4954" s="58" t="str">
        <f>IFERROR(IF(F4954&lt;&gt;"pending","",IF(OR($B4954="",$B4954="(blank)"),"",VLOOKUP($B4954,'Email Marketing Raw Data'!$C:$O,10,0))),"")</f>
        <v/>
      </c>
      <c r="E4954" s="59" t="str">
        <f>IFERROR(IF(F4954&lt;&gt;"pending","",IF(OR($B4954="",$B4954="(blank)"),"",VLOOKUP($B4954,'Email Marketing Raw Data'!$C:$O,11,0))),"")</f>
        <v/>
      </c>
      <c r="F4954" s="54" t="str">
        <f>IFERROR(IF(OR($B4954="",$B4954="(blank)"),"",VLOOKUP($B4954,'Email Marketing Raw Data'!$C:$O,13,0)),"")</f>
        <v/>
      </c>
      <c r="G4954" s="55" t="str">
        <f>IFERROR(IF(OR($B4954="",$B4954="(blank)"),"",VLOOKUP($B4954,'Email Marketing Raw Data'!$C:$O,4,0)),"")</f>
        <v/>
      </c>
      <c r="H4954" s="55" t="str">
        <f>IFERROR(IF(OR($B4954="",$B4954="(blank)"),"",VLOOKUP($B4954,'Email Marketing Raw Data'!$C:$O,5,0)),"")</f>
        <v/>
      </c>
      <c r="I4954" s="55" t="str">
        <f>IFERROR(IF($G4954="","",VLOOKUP('Dashboard And Emails Automate'!$G4954,Database!$H:$N,3,0)),"")</f>
        <v/>
      </c>
      <c r="J4954" s="55" t="str">
        <f>IFERROR(IF($G4954="","",VLOOKUP('Dashboard And Emails Automate'!$G4954,Database!$H:$N,4,0)),"")</f>
        <v/>
      </c>
      <c r="K4954" s="55" t="str">
        <f>IFERROR(IF($G4954="","",VLOOKUP('Dashboard And Emails Automate'!$G4954,Database!$H:$N,5,0)),"")</f>
        <v/>
      </c>
      <c r="L4954" s="55" t="str">
        <f>IFERROR(IF($G4954="","",VLOOKUP('Dashboard And Emails Automate'!$G4954,Database!$H:$N,6,0)),"")</f>
        <v/>
      </c>
      <c r="M4954" s="55" t="str">
        <f>IFERROR(IF($G4954="","",VLOOKUP('Dashboard And Emails Automate'!$G4954,Database!$H:$N,7,0)),"")</f>
        <v/>
      </c>
      <c r="N4954" s="55" t="str">
        <f>IFERROR(IF(OR($B4954="",$B4954="(blank)"),"",VLOOKUP($B4954,'Email Marketing Raw Data'!$C:$O,6,0)),"")</f>
        <v/>
      </c>
      <c r="O4954" s="55" t="str">
        <f>IFERROR(IF(OR($B4954="",$B4954="(blank)"),"",VLOOKUP($B4954,'Email Marketing Raw Data'!$C:$O,7,0)),"")</f>
        <v/>
      </c>
      <c r="P4954" s="55" t="str">
        <f>IFERROR(IF(OR($B4954="",$B4954="(blank)"),"",VLOOKUP($B4954,'Email Marketing Raw Data'!$C:$O,8,0)),"")</f>
        <v/>
      </c>
      <c r="Q4954" s="62" t="str">
        <f>IFERROR(IF(OR($B4954="",$B4954="(blank)"),"",VLOOKUP($B4954,'Email Marketing Raw Data'!$C:$O,9,0)),"")</f>
        <v/>
      </c>
    </row>
    <row r="4955" spans="4:17" ht="12.75" customHeight="1" x14ac:dyDescent="0.2">
      <c r="D4955" s="58" t="str">
        <f>IFERROR(IF(F4955&lt;&gt;"pending","",IF(OR($B4955="",$B4955="(blank)"),"",VLOOKUP($B4955,'Email Marketing Raw Data'!$C:$O,10,0))),"")</f>
        <v/>
      </c>
      <c r="E4955" s="59" t="str">
        <f>IFERROR(IF(F4955&lt;&gt;"pending","",IF(OR($B4955="",$B4955="(blank)"),"",VLOOKUP($B4955,'Email Marketing Raw Data'!$C:$O,11,0))),"")</f>
        <v/>
      </c>
      <c r="F4955" s="54" t="str">
        <f>IFERROR(IF(OR($B4955="",$B4955="(blank)"),"",VLOOKUP($B4955,'Email Marketing Raw Data'!$C:$O,13,0)),"")</f>
        <v/>
      </c>
      <c r="G4955" s="55" t="str">
        <f>IFERROR(IF(OR($B4955="",$B4955="(blank)"),"",VLOOKUP($B4955,'Email Marketing Raw Data'!$C:$O,4,0)),"")</f>
        <v/>
      </c>
      <c r="H4955" s="55" t="str">
        <f>IFERROR(IF(OR($B4955="",$B4955="(blank)"),"",VLOOKUP($B4955,'Email Marketing Raw Data'!$C:$O,5,0)),"")</f>
        <v/>
      </c>
      <c r="I4955" s="55" t="str">
        <f>IFERROR(IF($G4955="","",VLOOKUP('Dashboard And Emails Automate'!$G4955,Database!$H:$N,3,0)),"")</f>
        <v/>
      </c>
      <c r="J4955" s="55" t="str">
        <f>IFERROR(IF($G4955="","",VLOOKUP('Dashboard And Emails Automate'!$G4955,Database!$H:$N,4,0)),"")</f>
        <v/>
      </c>
      <c r="K4955" s="55" t="str">
        <f>IFERROR(IF($G4955="","",VLOOKUP('Dashboard And Emails Automate'!$G4955,Database!$H:$N,5,0)),"")</f>
        <v/>
      </c>
      <c r="L4955" s="55" t="str">
        <f>IFERROR(IF($G4955="","",VLOOKUP('Dashboard And Emails Automate'!$G4955,Database!$H:$N,6,0)),"")</f>
        <v/>
      </c>
      <c r="M4955" s="55" t="str">
        <f>IFERROR(IF($G4955="","",VLOOKUP('Dashboard And Emails Automate'!$G4955,Database!$H:$N,7,0)),"")</f>
        <v/>
      </c>
      <c r="N4955" s="55" t="str">
        <f>IFERROR(IF(OR($B4955="",$B4955="(blank)"),"",VLOOKUP($B4955,'Email Marketing Raw Data'!$C:$O,6,0)),"")</f>
        <v/>
      </c>
      <c r="O4955" s="55" t="str">
        <f>IFERROR(IF(OR($B4955="",$B4955="(blank)"),"",VLOOKUP($B4955,'Email Marketing Raw Data'!$C:$O,7,0)),"")</f>
        <v/>
      </c>
      <c r="P4955" s="55" t="str">
        <f>IFERROR(IF(OR($B4955="",$B4955="(blank)"),"",VLOOKUP($B4955,'Email Marketing Raw Data'!$C:$O,8,0)),"")</f>
        <v/>
      </c>
      <c r="Q4955" s="62" t="str">
        <f>IFERROR(IF(OR($B4955="",$B4955="(blank)"),"",VLOOKUP($B4955,'Email Marketing Raw Data'!$C:$O,9,0)),"")</f>
        <v/>
      </c>
    </row>
    <row r="4956" spans="4:17" ht="12.75" customHeight="1" x14ac:dyDescent="0.2">
      <c r="D4956" s="58" t="str">
        <f>IFERROR(IF(F4956&lt;&gt;"pending","",IF(OR($B4956="",$B4956="(blank)"),"",VLOOKUP($B4956,'Email Marketing Raw Data'!$C:$O,10,0))),"")</f>
        <v/>
      </c>
      <c r="E4956" s="59" t="str">
        <f>IFERROR(IF(F4956&lt;&gt;"pending","",IF(OR($B4956="",$B4956="(blank)"),"",VLOOKUP($B4956,'Email Marketing Raw Data'!$C:$O,11,0))),"")</f>
        <v/>
      </c>
      <c r="F4956" s="54" t="str">
        <f>IFERROR(IF(OR($B4956="",$B4956="(blank)"),"",VLOOKUP($B4956,'Email Marketing Raw Data'!$C:$O,13,0)),"")</f>
        <v/>
      </c>
      <c r="G4956" s="55" t="str">
        <f>IFERROR(IF(OR($B4956="",$B4956="(blank)"),"",VLOOKUP($B4956,'Email Marketing Raw Data'!$C:$O,4,0)),"")</f>
        <v/>
      </c>
      <c r="H4956" s="55" t="str">
        <f>IFERROR(IF(OR($B4956="",$B4956="(blank)"),"",VLOOKUP($B4956,'Email Marketing Raw Data'!$C:$O,5,0)),"")</f>
        <v/>
      </c>
      <c r="I4956" s="55" t="str">
        <f>IFERROR(IF($G4956="","",VLOOKUP('Dashboard And Emails Automate'!$G4956,Database!$H:$N,3,0)),"")</f>
        <v/>
      </c>
      <c r="J4956" s="55" t="str">
        <f>IFERROR(IF($G4956="","",VLOOKUP('Dashboard And Emails Automate'!$G4956,Database!$H:$N,4,0)),"")</f>
        <v/>
      </c>
      <c r="K4956" s="55" t="str">
        <f>IFERROR(IF($G4956="","",VLOOKUP('Dashboard And Emails Automate'!$G4956,Database!$H:$N,5,0)),"")</f>
        <v/>
      </c>
      <c r="L4956" s="55" t="str">
        <f>IFERROR(IF($G4956="","",VLOOKUP('Dashboard And Emails Automate'!$G4956,Database!$H:$N,6,0)),"")</f>
        <v/>
      </c>
      <c r="M4956" s="55" t="str">
        <f>IFERROR(IF($G4956="","",VLOOKUP('Dashboard And Emails Automate'!$G4956,Database!$H:$N,7,0)),"")</f>
        <v/>
      </c>
      <c r="N4956" s="55" t="str">
        <f>IFERROR(IF(OR($B4956="",$B4956="(blank)"),"",VLOOKUP($B4956,'Email Marketing Raw Data'!$C:$O,6,0)),"")</f>
        <v/>
      </c>
      <c r="O4956" s="55" t="str">
        <f>IFERROR(IF(OR($B4956="",$B4956="(blank)"),"",VLOOKUP($B4956,'Email Marketing Raw Data'!$C:$O,7,0)),"")</f>
        <v/>
      </c>
      <c r="P4956" s="55" t="str">
        <f>IFERROR(IF(OR($B4956="",$B4956="(blank)"),"",VLOOKUP($B4956,'Email Marketing Raw Data'!$C:$O,8,0)),"")</f>
        <v/>
      </c>
      <c r="Q4956" s="62" t="str">
        <f>IFERROR(IF(OR($B4956="",$B4956="(blank)"),"",VLOOKUP($B4956,'Email Marketing Raw Data'!$C:$O,9,0)),"")</f>
        <v/>
      </c>
    </row>
    <row r="4957" spans="4:17" ht="12.75" customHeight="1" x14ac:dyDescent="0.2">
      <c r="D4957" s="58" t="str">
        <f>IFERROR(IF(F4957&lt;&gt;"pending","",IF(OR($B4957="",$B4957="(blank)"),"",VLOOKUP($B4957,'Email Marketing Raw Data'!$C:$O,10,0))),"")</f>
        <v/>
      </c>
      <c r="E4957" s="59" t="str">
        <f>IFERROR(IF(F4957&lt;&gt;"pending","",IF(OR($B4957="",$B4957="(blank)"),"",VLOOKUP($B4957,'Email Marketing Raw Data'!$C:$O,11,0))),"")</f>
        <v/>
      </c>
      <c r="F4957" s="54" t="str">
        <f>IFERROR(IF(OR($B4957="",$B4957="(blank)"),"",VLOOKUP($B4957,'Email Marketing Raw Data'!$C:$O,13,0)),"")</f>
        <v/>
      </c>
      <c r="G4957" s="55" t="str">
        <f>IFERROR(IF(OR($B4957="",$B4957="(blank)"),"",VLOOKUP($B4957,'Email Marketing Raw Data'!$C:$O,4,0)),"")</f>
        <v/>
      </c>
      <c r="H4957" s="55" t="str">
        <f>IFERROR(IF(OR($B4957="",$B4957="(blank)"),"",VLOOKUP($B4957,'Email Marketing Raw Data'!$C:$O,5,0)),"")</f>
        <v/>
      </c>
      <c r="I4957" s="55" t="str">
        <f>IFERROR(IF($G4957="","",VLOOKUP('Dashboard And Emails Automate'!$G4957,Database!$H:$N,3,0)),"")</f>
        <v/>
      </c>
      <c r="J4957" s="55" t="str">
        <f>IFERROR(IF($G4957="","",VLOOKUP('Dashboard And Emails Automate'!$G4957,Database!$H:$N,4,0)),"")</f>
        <v/>
      </c>
      <c r="K4957" s="55" t="str">
        <f>IFERROR(IF($G4957="","",VLOOKUP('Dashboard And Emails Automate'!$G4957,Database!$H:$N,5,0)),"")</f>
        <v/>
      </c>
      <c r="L4957" s="55" t="str">
        <f>IFERROR(IF($G4957="","",VLOOKUP('Dashboard And Emails Automate'!$G4957,Database!$H:$N,6,0)),"")</f>
        <v/>
      </c>
      <c r="M4957" s="55" t="str">
        <f>IFERROR(IF($G4957="","",VLOOKUP('Dashboard And Emails Automate'!$G4957,Database!$H:$N,7,0)),"")</f>
        <v/>
      </c>
      <c r="N4957" s="55" t="str">
        <f>IFERROR(IF(OR($B4957="",$B4957="(blank)"),"",VLOOKUP($B4957,'Email Marketing Raw Data'!$C:$O,6,0)),"")</f>
        <v/>
      </c>
      <c r="O4957" s="55" t="str">
        <f>IFERROR(IF(OR($B4957="",$B4957="(blank)"),"",VLOOKUP($B4957,'Email Marketing Raw Data'!$C:$O,7,0)),"")</f>
        <v/>
      </c>
      <c r="P4957" s="55" t="str">
        <f>IFERROR(IF(OR($B4957="",$B4957="(blank)"),"",VLOOKUP($B4957,'Email Marketing Raw Data'!$C:$O,8,0)),"")</f>
        <v/>
      </c>
      <c r="Q4957" s="62" t="str">
        <f>IFERROR(IF(OR($B4957="",$B4957="(blank)"),"",VLOOKUP($B4957,'Email Marketing Raw Data'!$C:$O,9,0)),"")</f>
        <v/>
      </c>
    </row>
    <row r="4958" spans="4:17" ht="12.75" customHeight="1" x14ac:dyDescent="0.2">
      <c r="D4958" s="58" t="str">
        <f>IFERROR(IF(F4958&lt;&gt;"pending","",IF(OR($B4958="",$B4958="(blank)"),"",VLOOKUP($B4958,'Email Marketing Raw Data'!$C:$O,10,0))),"")</f>
        <v/>
      </c>
      <c r="E4958" s="59" t="str">
        <f>IFERROR(IF(F4958&lt;&gt;"pending","",IF(OR($B4958="",$B4958="(blank)"),"",VLOOKUP($B4958,'Email Marketing Raw Data'!$C:$O,11,0))),"")</f>
        <v/>
      </c>
      <c r="F4958" s="54" t="str">
        <f>IFERROR(IF(OR($B4958="",$B4958="(blank)"),"",VLOOKUP($B4958,'Email Marketing Raw Data'!$C:$O,13,0)),"")</f>
        <v/>
      </c>
      <c r="G4958" s="55" t="str">
        <f>IFERROR(IF(OR($B4958="",$B4958="(blank)"),"",VLOOKUP($B4958,'Email Marketing Raw Data'!$C:$O,4,0)),"")</f>
        <v/>
      </c>
      <c r="H4958" s="55" t="str">
        <f>IFERROR(IF(OR($B4958="",$B4958="(blank)"),"",VLOOKUP($B4958,'Email Marketing Raw Data'!$C:$O,5,0)),"")</f>
        <v/>
      </c>
      <c r="I4958" s="55" t="str">
        <f>IFERROR(IF($G4958="","",VLOOKUP('Dashboard And Emails Automate'!$G4958,Database!$H:$N,3,0)),"")</f>
        <v/>
      </c>
      <c r="J4958" s="55" t="str">
        <f>IFERROR(IF($G4958="","",VLOOKUP('Dashboard And Emails Automate'!$G4958,Database!$H:$N,4,0)),"")</f>
        <v/>
      </c>
      <c r="K4958" s="55" t="str">
        <f>IFERROR(IF($G4958="","",VLOOKUP('Dashboard And Emails Automate'!$G4958,Database!$H:$N,5,0)),"")</f>
        <v/>
      </c>
      <c r="L4958" s="55" t="str">
        <f>IFERROR(IF($G4958="","",VLOOKUP('Dashboard And Emails Automate'!$G4958,Database!$H:$N,6,0)),"")</f>
        <v/>
      </c>
      <c r="M4958" s="55" t="str">
        <f>IFERROR(IF($G4958="","",VLOOKUP('Dashboard And Emails Automate'!$G4958,Database!$H:$N,7,0)),"")</f>
        <v/>
      </c>
      <c r="N4958" s="55" t="str">
        <f>IFERROR(IF(OR($B4958="",$B4958="(blank)"),"",VLOOKUP($B4958,'Email Marketing Raw Data'!$C:$O,6,0)),"")</f>
        <v/>
      </c>
      <c r="O4958" s="55" t="str">
        <f>IFERROR(IF(OR($B4958="",$B4958="(blank)"),"",VLOOKUP($B4958,'Email Marketing Raw Data'!$C:$O,7,0)),"")</f>
        <v/>
      </c>
      <c r="P4958" s="55" t="str">
        <f>IFERROR(IF(OR($B4958="",$B4958="(blank)"),"",VLOOKUP($B4958,'Email Marketing Raw Data'!$C:$O,8,0)),"")</f>
        <v/>
      </c>
      <c r="Q4958" s="62" t="str">
        <f>IFERROR(IF(OR($B4958="",$B4958="(blank)"),"",VLOOKUP($B4958,'Email Marketing Raw Data'!$C:$O,9,0)),"")</f>
        <v/>
      </c>
    </row>
    <row r="4959" spans="4:17" ht="12.75" customHeight="1" x14ac:dyDescent="0.2">
      <c r="D4959" s="58" t="str">
        <f>IFERROR(IF(F4959&lt;&gt;"pending","",IF(OR($B4959="",$B4959="(blank)"),"",VLOOKUP($B4959,'Email Marketing Raw Data'!$C:$O,10,0))),"")</f>
        <v/>
      </c>
      <c r="E4959" s="59" t="str">
        <f>IFERROR(IF(F4959&lt;&gt;"pending","",IF(OR($B4959="",$B4959="(blank)"),"",VLOOKUP($B4959,'Email Marketing Raw Data'!$C:$O,11,0))),"")</f>
        <v/>
      </c>
      <c r="F4959" s="54" t="str">
        <f>IFERROR(IF(OR($B4959="",$B4959="(blank)"),"",VLOOKUP($B4959,'Email Marketing Raw Data'!$C:$O,13,0)),"")</f>
        <v/>
      </c>
      <c r="G4959" s="55" t="str">
        <f>IFERROR(IF(OR($B4959="",$B4959="(blank)"),"",VLOOKUP($B4959,'Email Marketing Raw Data'!$C:$O,4,0)),"")</f>
        <v/>
      </c>
      <c r="H4959" s="55" t="str">
        <f>IFERROR(IF(OR($B4959="",$B4959="(blank)"),"",VLOOKUP($B4959,'Email Marketing Raw Data'!$C:$O,5,0)),"")</f>
        <v/>
      </c>
      <c r="I4959" s="55" t="str">
        <f>IFERROR(IF($G4959="","",VLOOKUP('Dashboard And Emails Automate'!$G4959,Database!$H:$N,3,0)),"")</f>
        <v/>
      </c>
      <c r="J4959" s="55" t="str">
        <f>IFERROR(IF($G4959="","",VLOOKUP('Dashboard And Emails Automate'!$G4959,Database!$H:$N,4,0)),"")</f>
        <v/>
      </c>
      <c r="K4959" s="55" t="str">
        <f>IFERROR(IF($G4959="","",VLOOKUP('Dashboard And Emails Automate'!$G4959,Database!$H:$N,5,0)),"")</f>
        <v/>
      </c>
      <c r="L4959" s="55" t="str">
        <f>IFERROR(IF($G4959="","",VLOOKUP('Dashboard And Emails Automate'!$G4959,Database!$H:$N,6,0)),"")</f>
        <v/>
      </c>
      <c r="M4959" s="55" t="str">
        <f>IFERROR(IF($G4959="","",VLOOKUP('Dashboard And Emails Automate'!$G4959,Database!$H:$N,7,0)),"")</f>
        <v/>
      </c>
      <c r="N4959" s="55" t="str">
        <f>IFERROR(IF(OR($B4959="",$B4959="(blank)"),"",VLOOKUP($B4959,'Email Marketing Raw Data'!$C:$O,6,0)),"")</f>
        <v/>
      </c>
      <c r="O4959" s="55" t="str">
        <f>IFERROR(IF(OR($B4959="",$B4959="(blank)"),"",VLOOKUP($B4959,'Email Marketing Raw Data'!$C:$O,7,0)),"")</f>
        <v/>
      </c>
      <c r="P4959" s="55" t="str">
        <f>IFERROR(IF(OR($B4959="",$B4959="(blank)"),"",VLOOKUP($B4959,'Email Marketing Raw Data'!$C:$O,8,0)),"")</f>
        <v/>
      </c>
      <c r="Q4959" s="62" t="str">
        <f>IFERROR(IF(OR($B4959="",$B4959="(blank)"),"",VLOOKUP($B4959,'Email Marketing Raw Data'!$C:$O,9,0)),"")</f>
        <v/>
      </c>
    </row>
    <row r="4960" spans="4:17" ht="12.75" customHeight="1" x14ac:dyDescent="0.2">
      <c r="D4960" s="58" t="str">
        <f>IFERROR(IF(F4960&lt;&gt;"pending","",IF(OR($B4960="",$B4960="(blank)"),"",VLOOKUP($B4960,'Email Marketing Raw Data'!$C:$O,10,0))),"")</f>
        <v/>
      </c>
      <c r="E4960" s="59" t="str">
        <f>IFERROR(IF(F4960&lt;&gt;"pending","",IF(OR($B4960="",$B4960="(blank)"),"",VLOOKUP($B4960,'Email Marketing Raw Data'!$C:$O,11,0))),"")</f>
        <v/>
      </c>
      <c r="F4960" s="54" t="str">
        <f>IFERROR(IF(OR($B4960="",$B4960="(blank)"),"",VLOOKUP($B4960,'Email Marketing Raw Data'!$C:$O,13,0)),"")</f>
        <v/>
      </c>
      <c r="G4960" s="55" t="str">
        <f>IFERROR(IF(OR($B4960="",$B4960="(blank)"),"",VLOOKUP($B4960,'Email Marketing Raw Data'!$C:$O,4,0)),"")</f>
        <v/>
      </c>
      <c r="H4960" s="55" t="str">
        <f>IFERROR(IF(OR($B4960="",$B4960="(blank)"),"",VLOOKUP($B4960,'Email Marketing Raw Data'!$C:$O,5,0)),"")</f>
        <v/>
      </c>
      <c r="I4960" s="55" t="str">
        <f>IFERROR(IF($G4960="","",VLOOKUP('Dashboard And Emails Automate'!$G4960,Database!$H:$N,3,0)),"")</f>
        <v/>
      </c>
      <c r="J4960" s="55" t="str">
        <f>IFERROR(IF($G4960="","",VLOOKUP('Dashboard And Emails Automate'!$G4960,Database!$H:$N,4,0)),"")</f>
        <v/>
      </c>
      <c r="K4960" s="55" t="str">
        <f>IFERROR(IF($G4960="","",VLOOKUP('Dashboard And Emails Automate'!$G4960,Database!$H:$N,5,0)),"")</f>
        <v/>
      </c>
      <c r="L4960" s="55" t="str">
        <f>IFERROR(IF($G4960="","",VLOOKUP('Dashboard And Emails Automate'!$G4960,Database!$H:$N,6,0)),"")</f>
        <v/>
      </c>
      <c r="M4960" s="55" t="str">
        <f>IFERROR(IF($G4960="","",VLOOKUP('Dashboard And Emails Automate'!$G4960,Database!$H:$N,7,0)),"")</f>
        <v/>
      </c>
      <c r="N4960" s="55" t="str">
        <f>IFERROR(IF(OR($B4960="",$B4960="(blank)"),"",VLOOKUP($B4960,'Email Marketing Raw Data'!$C:$O,6,0)),"")</f>
        <v/>
      </c>
      <c r="O4960" s="55" t="str">
        <f>IFERROR(IF(OR($B4960="",$B4960="(blank)"),"",VLOOKUP($B4960,'Email Marketing Raw Data'!$C:$O,7,0)),"")</f>
        <v/>
      </c>
      <c r="P4960" s="55" t="str">
        <f>IFERROR(IF(OR($B4960="",$B4960="(blank)"),"",VLOOKUP($B4960,'Email Marketing Raw Data'!$C:$O,8,0)),"")</f>
        <v/>
      </c>
      <c r="Q4960" s="62" t="str">
        <f>IFERROR(IF(OR($B4960="",$B4960="(blank)"),"",VLOOKUP($B4960,'Email Marketing Raw Data'!$C:$O,9,0)),"")</f>
        <v/>
      </c>
    </row>
    <row r="4961" spans="4:17" ht="12.75" customHeight="1" x14ac:dyDescent="0.2">
      <c r="D4961" s="58" t="str">
        <f>IFERROR(IF(F4961&lt;&gt;"pending","",IF(OR($B4961="",$B4961="(blank)"),"",VLOOKUP($B4961,'Email Marketing Raw Data'!$C:$O,10,0))),"")</f>
        <v/>
      </c>
      <c r="E4961" s="59" t="str">
        <f>IFERROR(IF(F4961&lt;&gt;"pending","",IF(OR($B4961="",$B4961="(blank)"),"",VLOOKUP($B4961,'Email Marketing Raw Data'!$C:$O,11,0))),"")</f>
        <v/>
      </c>
      <c r="F4961" s="54" t="str">
        <f>IFERROR(IF(OR($B4961="",$B4961="(blank)"),"",VLOOKUP($B4961,'Email Marketing Raw Data'!$C:$O,13,0)),"")</f>
        <v/>
      </c>
      <c r="G4961" s="55" t="str">
        <f>IFERROR(IF(OR($B4961="",$B4961="(blank)"),"",VLOOKUP($B4961,'Email Marketing Raw Data'!$C:$O,4,0)),"")</f>
        <v/>
      </c>
      <c r="H4961" s="55" t="str">
        <f>IFERROR(IF(OR($B4961="",$B4961="(blank)"),"",VLOOKUP($B4961,'Email Marketing Raw Data'!$C:$O,5,0)),"")</f>
        <v/>
      </c>
      <c r="I4961" s="55" t="str">
        <f>IFERROR(IF($G4961="","",VLOOKUP('Dashboard And Emails Automate'!$G4961,Database!$H:$N,3,0)),"")</f>
        <v/>
      </c>
      <c r="J4961" s="55" t="str">
        <f>IFERROR(IF($G4961="","",VLOOKUP('Dashboard And Emails Automate'!$G4961,Database!$H:$N,4,0)),"")</f>
        <v/>
      </c>
      <c r="K4961" s="55" t="str">
        <f>IFERROR(IF($G4961="","",VLOOKUP('Dashboard And Emails Automate'!$G4961,Database!$H:$N,5,0)),"")</f>
        <v/>
      </c>
      <c r="L4961" s="55" t="str">
        <f>IFERROR(IF($G4961="","",VLOOKUP('Dashboard And Emails Automate'!$G4961,Database!$H:$N,6,0)),"")</f>
        <v/>
      </c>
      <c r="M4961" s="55" t="str">
        <f>IFERROR(IF($G4961="","",VLOOKUP('Dashboard And Emails Automate'!$G4961,Database!$H:$N,7,0)),"")</f>
        <v/>
      </c>
      <c r="N4961" s="55" t="str">
        <f>IFERROR(IF(OR($B4961="",$B4961="(blank)"),"",VLOOKUP($B4961,'Email Marketing Raw Data'!$C:$O,6,0)),"")</f>
        <v/>
      </c>
      <c r="O4961" s="55" t="str">
        <f>IFERROR(IF(OR($B4961="",$B4961="(blank)"),"",VLOOKUP($B4961,'Email Marketing Raw Data'!$C:$O,7,0)),"")</f>
        <v/>
      </c>
      <c r="P4961" s="55" t="str">
        <f>IFERROR(IF(OR($B4961="",$B4961="(blank)"),"",VLOOKUP($B4961,'Email Marketing Raw Data'!$C:$O,8,0)),"")</f>
        <v/>
      </c>
      <c r="Q4961" s="62" t="str">
        <f>IFERROR(IF(OR($B4961="",$B4961="(blank)"),"",VLOOKUP($B4961,'Email Marketing Raw Data'!$C:$O,9,0)),"")</f>
        <v/>
      </c>
    </row>
    <row r="4962" spans="4:17" ht="12.75" customHeight="1" x14ac:dyDescent="0.2">
      <c r="D4962" s="58" t="str">
        <f>IFERROR(IF(F4962&lt;&gt;"pending","",IF(OR($B4962="",$B4962="(blank)"),"",VLOOKUP($B4962,'Email Marketing Raw Data'!$C:$O,10,0))),"")</f>
        <v/>
      </c>
      <c r="E4962" s="59" t="str">
        <f>IFERROR(IF(F4962&lt;&gt;"pending","",IF(OR($B4962="",$B4962="(blank)"),"",VLOOKUP($B4962,'Email Marketing Raw Data'!$C:$O,11,0))),"")</f>
        <v/>
      </c>
      <c r="F4962" s="54" t="str">
        <f>IFERROR(IF(OR($B4962="",$B4962="(blank)"),"",VLOOKUP($B4962,'Email Marketing Raw Data'!$C:$O,13,0)),"")</f>
        <v/>
      </c>
      <c r="G4962" s="55" t="str">
        <f>IFERROR(IF(OR($B4962="",$B4962="(blank)"),"",VLOOKUP($B4962,'Email Marketing Raw Data'!$C:$O,4,0)),"")</f>
        <v/>
      </c>
      <c r="H4962" s="55" t="str">
        <f>IFERROR(IF(OR($B4962="",$B4962="(blank)"),"",VLOOKUP($B4962,'Email Marketing Raw Data'!$C:$O,5,0)),"")</f>
        <v/>
      </c>
      <c r="I4962" s="55" t="str">
        <f>IFERROR(IF($G4962="","",VLOOKUP('Dashboard And Emails Automate'!$G4962,Database!$H:$N,3,0)),"")</f>
        <v/>
      </c>
      <c r="J4962" s="55" t="str">
        <f>IFERROR(IF($G4962="","",VLOOKUP('Dashboard And Emails Automate'!$G4962,Database!$H:$N,4,0)),"")</f>
        <v/>
      </c>
      <c r="K4962" s="55" t="str">
        <f>IFERROR(IF($G4962="","",VLOOKUP('Dashboard And Emails Automate'!$G4962,Database!$H:$N,5,0)),"")</f>
        <v/>
      </c>
      <c r="L4962" s="55" t="str">
        <f>IFERROR(IF($G4962="","",VLOOKUP('Dashboard And Emails Automate'!$G4962,Database!$H:$N,6,0)),"")</f>
        <v/>
      </c>
      <c r="M4962" s="55" t="str">
        <f>IFERROR(IF($G4962="","",VLOOKUP('Dashboard And Emails Automate'!$G4962,Database!$H:$N,7,0)),"")</f>
        <v/>
      </c>
      <c r="N4962" s="55" t="str">
        <f>IFERROR(IF(OR($B4962="",$B4962="(blank)"),"",VLOOKUP($B4962,'Email Marketing Raw Data'!$C:$O,6,0)),"")</f>
        <v/>
      </c>
      <c r="O4962" s="55" t="str">
        <f>IFERROR(IF(OR($B4962="",$B4962="(blank)"),"",VLOOKUP($B4962,'Email Marketing Raw Data'!$C:$O,7,0)),"")</f>
        <v/>
      </c>
      <c r="P4962" s="55" t="str">
        <f>IFERROR(IF(OR($B4962="",$B4962="(blank)"),"",VLOOKUP($B4962,'Email Marketing Raw Data'!$C:$O,8,0)),"")</f>
        <v/>
      </c>
      <c r="Q4962" s="62" t="str">
        <f>IFERROR(IF(OR($B4962="",$B4962="(blank)"),"",VLOOKUP($B4962,'Email Marketing Raw Data'!$C:$O,9,0)),"")</f>
        <v/>
      </c>
    </row>
    <row r="4963" spans="4:17" ht="12.75" customHeight="1" x14ac:dyDescent="0.2">
      <c r="D4963" s="58" t="str">
        <f>IFERROR(IF(F4963&lt;&gt;"pending","",IF(OR($B4963="",$B4963="(blank)"),"",VLOOKUP($B4963,'Email Marketing Raw Data'!$C:$O,10,0))),"")</f>
        <v/>
      </c>
      <c r="E4963" s="59" t="str">
        <f>IFERROR(IF(F4963&lt;&gt;"pending","",IF(OR($B4963="",$B4963="(blank)"),"",VLOOKUP($B4963,'Email Marketing Raw Data'!$C:$O,11,0))),"")</f>
        <v/>
      </c>
      <c r="F4963" s="54" t="str">
        <f>IFERROR(IF(OR($B4963="",$B4963="(blank)"),"",VLOOKUP($B4963,'Email Marketing Raw Data'!$C:$O,13,0)),"")</f>
        <v/>
      </c>
      <c r="G4963" s="55" t="str">
        <f>IFERROR(IF(OR($B4963="",$B4963="(blank)"),"",VLOOKUP($B4963,'Email Marketing Raw Data'!$C:$O,4,0)),"")</f>
        <v/>
      </c>
      <c r="H4963" s="55" t="str">
        <f>IFERROR(IF(OR($B4963="",$B4963="(blank)"),"",VLOOKUP($B4963,'Email Marketing Raw Data'!$C:$O,5,0)),"")</f>
        <v/>
      </c>
      <c r="I4963" s="55" t="str">
        <f>IFERROR(IF($G4963="","",VLOOKUP('Dashboard And Emails Automate'!$G4963,Database!$H:$N,3,0)),"")</f>
        <v/>
      </c>
      <c r="J4963" s="55" t="str">
        <f>IFERROR(IF($G4963="","",VLOOKUP('Dashboard And Emails Automate'!$G4963,Database!$H:$N,4,0)),"")</f>
        <v/>
      </c>
      <c r="K4963" s="55" t="str">
        <f>IFERROR(IF($G4963="","",VLOOKUP('Dashboard And Emails Automate'!$G4963,Database!$H:$N,5,0)),"")</f>
        <v/>
      </c>
      <c r="L4963" s="55" t="str">
        <f>IFERROR(IF($G4963="","",VLOOKUP('Dashboard And Emails Automate'!$G4963,Database!$H:$N,6,0)),"")</f>
        <v/>
      </c>
      <c r="M4963" s="55" t="str">
        <f>IFERROR(IF($G4963="","",VLOOKUP('Dashboard And Emails Automate'!$G4963,Database!$H:$N,7,0)),"")</f>
        <v/>
      </c>
      <c r="N4963" s="55" t="str">
        <f>IFERROR(IF(OR($B4963="",$B4963="(blank)"),"",VLOOKUP($B4963,'Email Marketing Raw Data'!$C:$O,6,0)),"")</f>
        <v/>
      </c>
      <c r="O4963" s="55" t="str">
        <f>IFERROR(IF(OR($B4963="",$B4963="(blank)"),"",VLOOKUP($B4963,'Email Marketing Raw Data'!$C:$O,7,0)),"")</f>
        <v/>
      </c>
      <c r="P4963" s="55" t="str">
        <f>IFERROR(IF(OR($B4963="",$B4963="(blank)"),"",VLOOKUP($B4963,'Email Marketing Raw Data'!$C:$O,8,0)),"")</f>
        <v/>
      </c>
      <c r="Q4963" s="62" t="str">
        <f>IFERROR(IF(OR($B4963="",$B4963="(blank)"),"",VLOOKUP($B4963,'Email Marketing Raw Data'!$C:$O,9,0)),"")</f>
        <v/>
      </c>
    </row>
    <row r="4964" spans="4:17" ht="12.75" customHeight="1" x14ac:dyDescent="0.2">
      <c r="D4964" s="58" t="str">
        <f>IFERROR(IF(F4964&lt;&gt;"pending","",IF(OR($B4964="",$B4964="(blank)"),"",VLOOKUP($B4964,'Email Marketing Raw Data'!$C:$O,10,0))),"")</f>
        <v/>
      </c>
      <c r="E4964" s="59" t="str">
        <f>IFERROR(IF(F4964&lt;&gt;"pending","",IF(OR($B4964="",$B4964="(blank)"),"",VLOOKUP($B4964,'Email Marketing Raw Data'!$C:$O,11,0))),"")</f>
        <v/>
      </c>
      <c r="F4964" s="54" t="str">
        <f>IFERROR(IF(OR($B4964="",$B4964="(blank)"),"",VLOOKUP($B4964,'Email Marketing Raw Data'!$C:$O,13,0)),"")</f>
        <v/>
      </c>
      <c r="G4964" s="55" t="str">
        <f>IFERROR(IF(OR($B4964="",$B4964="(blank)"),"",VLOOKUP($B4964,'Email Marketing Raw Data'!$C:$O,4,0)),"")</f>
        <v/>
      </c>
      <c r="H4964" s="55" t="str">
        <f>IFERROR(IF(OR($B4964="",$B4964="(blank)"),"",VLOOKUP($B4964,'Email Marketing Raw Data'!$C:$O,5,0)),"")</f>
        <v/>
      </c>
      <c r="I4964" s="55" t="str">
        <f>IFERROR(IF($G4964="","",VLOOKUP('Dashboard And Emails Automate'!$G4964,Database!$H:$N,3,0)),"")</f>
        <v/>
      </c>
      <c r="J4964" s="55" t="str">
        <f>IFERROR(IF($G4964="","",VLOOKUP('Dashboard And Emails Automate'!$G4964,Database!$H:$N,4,0)),"")</f>
        <v/>
      </c>
      <c r="K4964" s="55" t="str">
        <f>IFERROR(IF($G4964="","",VLOOKUP('Dashboard And Emails Automate'!$G4964,Database!$H:$N,5,0)),"")</f>
        <v/>
      </c>
      <c r="L4964" s="55" t="str">
        <f>IFERROR(IF($G4964="","",VLOOKUP('Dashboard And Emails Automate'!$G4964,Database!$H:$N,6,0)),"")</f>
        <v/>
      </c>
      <c r="M4964" s="55" t="str">
        <f>IFERROR(IF($G4964="","",VLOOKUP('Dashboard And Emails Automate'!$G4964,Database!$H:$N,7,0)),"")</f>
        <v/>
      </c>
      <c r="N4964" s="55" t="str">
        <f>IFERROR(IF(OR($B4964="",$B4964="(blank)"),"",VLOOKUP($B4964,'Email Marketing Raw Data'!$C:$O,6,0)),"")</f>
        <v/>
      </c>
      <c r="O4964" s="55" t="str">
        <f>IFERROR(IF(OR($B4964="",$B4964="(blank)"),"",VLOOKUP($B4964,'Email Marketing Raw Data'!$C:$O,7,0)),"")</f>
        <v/>
      </c>
      <c r="P4964" s="55" t="str">
        <f>IFERROR(IF(OR($B4964="",$B4964="(blank)"),"",VLOOKUP($B4964,'Email Marketing Raw Data'!$C:$O,8,0)),"")</f>
        <v/>
      </c>
      <c r="Q4964" s="62" t="str">
        <f>IFERROR(IF(OR($B4964="",$B4964="(blank)"),"",VLOOKUP($B4964,'Email Marketing Raw Data'!$C:$O,9,0)),"")</f>
        <v/>
      </c>
    </row>
    <row r="4965" spans="4:17" ht="12.75" customHeight="1" x14ac:dyDescent="0.2">
      <c r="D4965" s="58" t="str">
        <f>IFERROR(IF(F4965&lt;&gt;"pending","",IF(OR($B4965="",$B4965="(blank)"),"",VLOOKUP($B4965,'Email Marketing Raw Data'!$C:$O,10,0))),"")</f>
        <v/>
      </c>
      <c r="E4965" s="59" t="str">
        <f>IFERROR(IF(F4965&lt;&gt;"pending","",IF(OR($B4965="",$B4965="(blank)"),"",VLOOKUP($B4965,'Email Marketing Raw Data'!$C:$O,11,0))),"")</f>
        <v/>
      </c>
      <c r="F4965" s="54" t="str">
        <f>IFERROR(IF(OR($B4965="",$B4965="(blank)"),"",VLOOKUP($B4965,'Email Marketing Raw Data'!$C:$O,13,0)),"")</f>
        <v/>
      </c>
      <c r="G4965" s="55" t="str">
        <f>IFERROR(IF(OR($B4965="",$B4965="(blank)"),"",VLOOKUP($B4965,'Email Marketing Raw Data'!$C:$O,4,0)),"")</f>
        <v/>
      </c>
      <c r="H4965" s="55" t="str">
        <f>IFERROR(IF(OR($B4965="",$B4965="(blank)"),"",VLOOKUP($B4965,'Email Marketing Raw Data'!$C:$O,5,0)),"")</f>
        <v/>
      </c>
      <c r="I4965" s="55" t="str">
        <f>IFERROR(IF($G4965="","",VLOOKUP('Dashboard And Emails Automate'!$G4965,Database!$H:$N,3,0)),"")</f>
        <v/>
      </c>
      <c r="J4965" s="55" t="str">
        <f>IFERROR(IF($G4965="","",VLOOKUP('Dashboard And Emails Automate'!$G4965,Database!$H:$N,4,0)),"")</f>
        <v/>
      </c>
      <c r="K4965" s="55" t="str">
        <f>IFERROR(IF($G4965="","",VLOOKUP('Dashboard And Emails Automate'!$G4965,Database!$H:$N,5,0)),"")</f>
        <v/>
      </c>
      <c r="L4965" s="55" t="str">
        <f>IFERROR(IF($G4965="","",VLOOKUP('Dashboard And Emails Automate'!$G4965,Database!$H:$N,6,0)),"")</f>
        <v/>
      </c>
      <c r="M4965" s="55" t="str">
        <f>IFERROR(IF($G4965="","",VLOOKUP('Dashboard And Emails Automate'!$G4965,Database!$H:$N,7,0)),"")</f>
        <v/>
      </c>
      <c r="N4965" s="55" t="str">
        <f>IFERROR(IF(OR($B4965="",$B4965="(blank)"),"",VLOOKUP($B4965,'Email Marketing Raw Data'!$C:$O,6,0)),"")</f>
        <v/>
      </c>
      <c r="O4965" s="55" t="str">
        <f>IFERROR(IF(OR($B4965="",$B4965="(blank)"),"",VLOOKUP($B4965,'Email Marketing Raw Data'!$C:$O,7,0)),"")</f>
        <v/>
      </c>
      <c r="P4965" s="55" t="str">
        <f>IFERROR(IF(OR($B4965="",$B4965="(blank)"),"",VLOOKUP($B4965,'Email Marketing Raw Data'!$C:$O,8,0)),"")</f>
        <v/>
      </c>
      <c r="Q4965" s="62" t="str">
        <f>IFERROR(IF(OR($B4965="",$B4965="(blank)"),"",VLOOKUP($B4965,'Email Marketing Raw Data'!$C:$O,9,0)),"")</f>
        <v/>
      </c>
    </row>
    <row r="4966" spans="4:17" ht="12.75" customHeight="1" x14ac:dyDescent="0.2">
      <c r="D4966" s="58" t="str">
        <f>IFERROR(IF(F4966&lt;&gt;"pending","",IF(OR($B4966="",$B4966="(blank)"),"",VLOOKUP($B4966,'Email Marketing Raw Data'!$C:$O,10,0))),"")</f>
        <v/>
      </c>
      <c r="E4966" s="59" t="str">
        <f>IFERROR(IF(F4966&lt;&gt;"pending","",IF(OR($B4966="",$B4966="(blank)"),"",VLOOKUP($B4966,'Email Marketing Raw Data'!$C:$O,11,0))),"")</f>
        <v/>
      </c>
      <c r="F4966" s="54" t="str">
        <f>IFERROR(IF(OR($B4966="",$B4966="(blank)"),"",VLOOKUP($B4966,'Email Marketing Raw Data'!$C:$O,13,0)),"")</f>
        <v/>
      </c>
      <c r="G4966" s="55" t="str">
        <f>IFERROR(IF(OR($B4966="",$B4966="(blank)"),"",VLOOKUP($B4966,'Email Marketing Raw Data'!$C:$O,4,0)),"")</f>
        <v/>
      </c>
      <c r="H4966" s="55" t="str">
        <f>IFERROR(IF(OR($B4966="",$B4966="(blank)"),"",VLOOKUP($B4966,'Email Marketing Raw Data'!$C:$O,5,0)),"")</f>
        <v/>
      </c>
      <c r="I4966" s="55" t="str">
        <f>IFERROR(IF($G4966="","",VLOOKUP('Dashboard And Emails Automate'!$G4966,Database!$H:$N,3,0)),"")</f>
        <v/>
      </c>
      <c r="J4966" s="55" t="str">
        <f>IFERROR(IF($G4966="","",VLOOKUP('Dashboard And Emails Automate'!$G4966,Database!$H:$N,4,0)),"")</f>
        <v/>
      </c>
      <c r="K4966" s="55" t="str">
        <f>IFERROR(IF($G4966="","",VLOOKUP('Dashboard And Emails Automate'!$G4966,Database!$H:$N,5,0)),"")</f>
        <v/>
      </c>
      <c r="L4966" s="55" t="str">
        <f>IFERROR(IF($G4966="","",VLOOKUP('Dashboard And Emails Automate'!$G4966,Database!$H:$N,6,0)),"")</f>
        <v/>
      </c>
      <c r="M4966" s="55" t="str">
        <f>IFERROR(IF($G4966="","",VLOOKUP('Dashboard And Emails Automate'!$G4966,Database!$H:$N,7,0)),"")</f>
        <v/>
      </c>
      <c r="N4966" s="55" t="str">
        <f>IFERROR(IF(OR($B4966="",$B4966="(blank)"),"",VLOOKUP($B4966,'Email Marketing Raw Data'!$C:$O,6,0)),"")</f>
        <v/>
      </c>
      <c r="O4966" s="55" t="str">
        <f>IFERROR(IF(OR($B4966="",$B4966="(blank)"),"",VLOOKUP($B4966,'Email Marketing Raw Data'!$C:$O,7,0)),"")</f>
        <v/>
      </c>
      <c r="P4966" s="55" t="str">
        <f>IFERROR(IF(OR($B4966="",$B4966="(blank)"),"",VLOOKUP($B4966,'Email Marketing Raw Data'!$C:$O,8,0)),"")</f>
        <v/>
      </c>
      <c r="Q4966" s="62" t="str">
        <f>IFERROR(IF(OR($B4966="",$B4966="(blank)"),"",VLOOKUP($B4966,'Email Marketing Raw Data'!$C:$O,9,0)),"")</f>
        <v/>
      </c>
    </row>
    <row r="4967" spans="4:17" ht="12.75" customHeight="1" x14ac:dyDescent="0.2">
      <c r="D4967" s="58" t="str">
        <f>IFERROR(IF(F4967&lt;&gt;"pending","",IF(OR($B4967="",$B4967="(blank)"),"",VLOOKUP($B4967,'Email Marketing Raw Data'!$C:$O,10,0))),"")</f>
        <v/>
      </c>
      <c r="E4967" s="59" t="str">
        <f>IFERROR(IF(F4967&lt;&gt;"pending","",IF(OR($B4967="",$B4967="(blank)"),"",VLOOKUP($B4967,'Email Marketing Raw Data'!$C:$O,11,0))),"")</f>
        <v/>
      </c>
      <c r="F4967" s="54" t="str">
        <f>IFERROR(IF(OR($B4967="",$B4967="(blank)"),"",VLOOKUP($B4967,'Email Marketing Raw Data'!$C:$O,13,0)),"")</f>
        <v/>
      </c>
      <c r="G4967" s="55" t="str">
        <f>IFERROR(IF(OR($B4967="",$B4967="(blank)"),"",VLOOKUP($B4967,'Email Marketing Raw Data'!$C:$O,4,0)),"")</f>
        <v/>
      </c>
      <c r="H4967" s="55" t="str">
        <f>IFERROR(IF(OR($B4967="",$B4967="(blank)"),"",VLOOKUP($B4967,'Email Marketing Raw Data'!$C:$O,5,0)),"")</f>
        <v/>
      </c>
      <c r="I4967" s="55" t="str">
        <f>IFERROR(IF($G4967="","",VLOOKUP('Dashboard And Emails Automate'!$G4967,Database!$H:$N,3,0)),"")</f>
        <v/>
      </c>
      <c r="J4967" s="55" t="str">
        <f>IFERROR(IF($G4967="","",VLOOKUP('Dashboard And Emails Automate'!$G4967,Database!$H:$N,4,0)),"")</f>
        <v/>
      </c>
      <c r="K4967" s="55" t="str">
        <f>IFERROR(IF($G4967="","",VLOOKUP('Dashboard And Emails Automate'!$G4967,Database!$H:$N,5,0)),"")</f>
        <v/>
      </c>
      <c r="L4967" s="55" t="str">
        <f>IFERROR(IF($G4967="","",VLOOKUP('Dashboard And Emails Automate'!$G4967,Database!$H:$N,6,0)),"")</f>
        <v/>
      </c>
      <c r="M4967" s="55" t="str">
        <f>IFERROR(IF($G4967="","",VLOOKUP('Dashboard And Emails Automate'!$G4967,Database!$H:$N,7,0)),"")</f>
        <v/>
      </c>
      <c r="N4967" s="55" t="str">
        <f>IFERROR(IF(OR($B4967="",$B4967="(blank)"),"",VLOOKUP($B4967,'Email Marketing Raw Data'!$C:$O,6,0)),"")</f>
        <v/>
      </c>
      <c r="O4967" s="55" t="str">
        <f>IFERROR(IF(OR($B4967="",$B4967="(blank)"),"",VLOOKUP($B4967,'Email Marketing Raw Data'!$C:$O,7,0)),"")</f>
        <v/>
      </c>
      <c r="P4967" s="55" t="str">
        <f>IFERROR(IF(OR($B4967="",$B4967="(blank)"),"",VLOOKUP($B4967,'Email Marketing Raw Data'!$C:$O,8,0)),"")</f>
        <v/>
      </c>
      <c r="Q4967" s="62" t="str">
        <f>IFERROR(IF(OR($B4967="",$B4967="(blank)"),"",VLOOKUP($B4967,'Email Marketing Raw Data'!$C:$O,9,0)),"")</f>
        <v/>
      </c>
    </row>
    <row r="4968" spans="4:17" ht="12.75" customHeight="1" x14ac:dyDescent="0.2">
      <c r="D4968" s="58" t="str">
        <f>IFERROR(IF(F4968&lt;&gt;"pending","",IF(OR($B4968="",$B4968="(blank)"),"",VLOOKUP($B4968,'Email Marketing Raw Data'!$C:$O,10,0))),"")</f>
        <v/>
      </c>
      <c r="E4968" s="59" t="str">
        <f>IFERROR(IF(F4968&lt;&gt;"pending","",IF(OR($B4968="",$B4968="(blank)"),"",VLOOKUP($B4968,'Email Marketing Raw Data'!$C:$O,11,0))),"")</f>
        <v/>
      </c>
      <c r="F4968" s="54" t="str">
        <f>IFERROR(IF(OR($B4968="",$B4968="(blank)"),"",VLOOKUP($B4968,'Email Marketing Raw Data'!$C:$O,13,0)),"")</f>
        <v/>
      </c>
      <c r="G4968" s="55" t="str">
        <f>IFERROR(IF(OR($B4968="",$B4968="(blank)"),"",VLOOKUP($B4968,'Email Marketing Raw Data'!$C:$O,4,0)),"")</f>
        <v/>
      </c>
      <c r="H4968" s="55" t="str">
        <f>IFERROR(IF(OR($B4968="",$B4968="(blank)"),"",VLOOKUP($B4968,'Email Marketing Raw Data'!$C:$O,5,0)),"")</f>
        <v/>
      </c>
      <c r="I4968" s="55" t="str">
        <f>IFERROR(IF($G4968="","",VLOOKUP('Dashboard And Emails Automate'!$G4968,Database!$H:$N,3,0)),"")</f>
        <v/>
      </c>
      <c r="J4968" s="55" t="str">
        <f>IFERROR(IF($G4968="","",VLOOKUP('Dashboard And Emails Automate'!$G4968,Database!$H:$N,4,0)),"")</f>
        <v/>
      </c>
      <c r="K4968" s="55" t="str">
        <f>IFERROR(IF($G4968="","",VLOOKUP('Dashboard And Emails Automate'!$G4968,Database!$H:$N,5,0)),"")</f>
        <v/>
      </c>
      <c r="L4968" s="55" t="str">
        <f>IFERROR(IF($G4968="","",VLOOKUP('Dashboard And Emails Automate'!$G4968,Database!$H:$N,6,0)),"")</f>
        <v/>
      </c>
      <c r="M4968" s="55" t="str">
        <f>IFERROR(IF($G4968="","",VLOOKUP('Dashboard And Emails Automate'!$G4968,Database!$H:$N,7,0)),"")</f>
        <v/>
      </c>
      <c r="N4968" s="55" t="str">
        <f>IFERROR(IF(OR($B4968="",$B4968="(blank)"),"",VLOOKUP($B4968,'Email Marketing Raw Data'!$C:$O,6,0)),"")</f>
        <v/>
      </c>
      <c r="O4968" s="55" t="str">
        <f>IFERROR(IF(OR($B4968="",$B4968="(blank)"),"",VLOOKUP($B4968,'Email Marketing Raw Data'!$C:$O,7,0)),"")</f>
        <v/>
      </c>
      <c r="P4968" s="55" t="str">
        <f>IFERROR(IF(OR($B4968="",$B4968="(blank)"),"",VLOOKUP($B4968,'Email Marketing Raw Data'!$C:$O,8,0)),"")</f>
        <v/>
      </c>
      <c r="Q4968" s="62" t="str">
        <f>IFERROR(IF(OR($B4968="",$B4968="(blank)"),"",VLOOKUP($B4968,'Email Marketing Raw Data'!$C:$O,9,0)),"")</f>
        <v/>
      </c>
    </row>
    <row r="4969" spans="4:17" ht="12.75" customHeight="1" x14ac:dyDescent="0.2">
      <c r="D4969" s="58" t="str">
        <f>IFERROR(IF(F4969&lt;&gt;"pending","",IF(OR($B4969="",$B4969="(blank)"),"",VLOOKUP($B4969,'Email Marketing Raw Data'!$C:$O,10,0))),"")</f>
        <v/>
      </c>
      <c r="E4969" s="59" t="str">
        <f>IFERROR(IF(F4969&lt;&gt;"pending","",IF(OR($B4969="",$B4969="(blank)"),"",VLOOKUP($B4969,'Email Marketing Raw Data'!$C:$O,11,0))),"")</f>
        <v/>
      </c>
      <c r="F4969" s="54" t="str">
        <f>IFERROR(IF(OR($B4969="",$B4969="(blank)"),"",VLOOKUP($B4969,'Email Marketing Raw Data'!$C:$O,13,0)),"")</f>
        <v/>
      </c>
      <c r="G4969" s="55" t="str">
        <f>IFERROR(IF(OR($B4969="",$B4969="(blank)"),"",VLOOKUP($B4969,'Email Marketing Raw Data'!$C:$O,4,0)),"")</f>
        <v/>
      </c>
      <c r="H4969" s="55" t="str">
        <f>IFERROR(IF(OR($B4969="",$B4969="(blank)"),"",VLOOKUP($B4969,'Email Marketing Raw Data'!$C:$O,5,0)),"")</f>
        <v/>
      </c>
      <c r="I4969" s="55" t="str">
        <f>IFERROR(IF($G4969="","",VLOOKUP('Dashboard And Emails Automate'!$G4969,Database!$H:$N,3,0)),"")</f>
        <v/>
      </c>
      <c r="J4969" s="55" t="str">
        <f>IFERROR(IF($G4969="","",VLOOKUP('Dashboard And Emails Automate'!$G4969,Database!$H:$N,4,0)),"")</f>
        <v/>
      </c>
      <c r="K4969" s="55" t="str">
        <f>IFERROR(IF($G4969="","",VLOOKUP('Dashboard And Emails Automate'!$G4969,Database!$H:$N,5,0)),"")</f>
        <v/>
      </c>
      <c r="L4969" s="55" t="str">
        <f>IFERROR(IF($G4969="","",VLOOKUP('Dashboard And Emails Automate'!$G4969,Database!$H:$N,6,0)),"")</f>
        <v/>
      </c>
      <c r="M4969" s="55" t="str">
        <f>IFERROR(IF($G4969="","",VLOOKUP('Dashboard And Emails Automate'!$G4969,Database!$H:$N,7,0)),"")</f>
        <v/>
      </c>
      <c r="N4969" s="55" t="str">
        <f>IFERROR(IF(OR($B4969="",$B4969="(blank)"),"",VLOOKUP($B4969,'Email Marketing Raw Data'!$C:$O,6,0)),"")</f>
        <v/>
      </c>
      <c r="O4969" s="55" t="str">
        <f>IFERROR(IF(OR($B4969="",$B4969="(blank)"),"",VLOOKUP($B4969,'Email Marketing Raw Data'!$C:$O,7,0)),"")</f>
        <v/>
      </c>
      <c r="P4969" s="55" t="str">
        <f>IFERROR(IF(OR($B4969="",$B4969="(blank)"),"",VLOOKUP($B4969,'Email Marketing Raw Data'!$C:$O,8,0)),"")</f>
        <v/>
      </c>
      <c r="Q4969" s="62" t="str">
        <f>IFERROR(IF(OR($B4969="",$B4969="(blank)"),"",VLOOKUP($B4969,'Email Marketing Raw Data'!$C:$O,9,0)),"")</f>
        <v/>
      </c>
    </row>
    <row r="4970" spans="4:17" ht="12.75" customHeight="1" x14ac:dyDescent="0.2">
      <c r="D4970" s="58" t="str">
        <f>IFERROR(IF(F4970&lt;&gt;"pending","",IF(OR($B4970="",$B4970="(blank)"),"",VLOOKUP($B4970,'Email Marketing Raw Data'!$C:$O,10,0))),"")</f>
        <v/>
      </c>
      <c r="E4970" s="59" t="str">
        <f>IFERROR(IF(F4970&lt;&gt;"pending","",IF(OR($B4970="",$B4970="(blank)"),"",VLOOKUP($B4970,'Email Marketing Raw Data'!$C:$O,11,0))),"")</f>
        <v/>
      </c>
      <c r="F4970" s="54" t="str">
        <f>IFERROR(IF(OR($B4970="",$B4970="(blank)"),"",VLOOKUP($B4970,'Email Marketing Raw Data'!$C:$O,13,0)),"")</f>
        <v/>
      </c>
      <c r="G4970" s="55" t="str">
        <f>IFERROR(IF(OR($B4970="",$B4970="(blank)"),"",VLOOKUP($B4970,'Email Marketing Raw Data'!$C:$O,4,0)),"")</f>
        <v/>
      </c>
      <c r="H4970" s="55" t="str">
        <f>IFERROR(IF(OR($B4970="",$B4970="(blank)"),"",VLOOKUP($B4970,'Email Marketing Raw Data'!$C:$O,5,0)),"")</f>
        <v/>
      </c>
      <c r="I4970" s="55" t="str">
        <f>IFERROR(IF($G4970="","",VLOOKUP('Dashboard And Emails Automate'!$G4970,Database!$H:$N,3,0)),"")</f>
        <v/>
      </c>
      <c r="J4970" s="55" t="str">
        <f>IFERROR(IF($G4970="","",VLOOKUP('Dashboard And Emails Automate'!$G4970,Database!$H:$N,4,0)),"")</f>
        <v/>
      </c>
      <c r="K4970" s="55" t="str">
        <f>IFERROR(IF($G4970="","",VLOOKUP('Dashboard And Emails Automate'!$G4970,Database!$H:$N,5,0)),"")</f>
        <v/>
      </c>
      <c r="L4970" s="55" t="str">
        <f>IFERROR(IF($G4970="","",VLOOKUP('Dashboard And Emails Automate'!$G4970,Database!$H:$N,6,0)),"")</f>
        <v/>
      </c>
      <c r="M4970" s="55" t="str">
        <f>IFERROR(IF($G4970="","",VLOOKUP('Dashboard And Emails Automate'!$G4970,Database!$H:$N,7,0)),"")</f>
        <v/>
      </c>
      <c r="N4970" s="55" t="str">
        <f>IFERROR(IF(OR($B4970="",$B4970="(blank)"),"",VLOOKUP($B4970,'Email Marketing Raw Data'!$C:$O,6,0)),"")</f>
        <v/>
      </c>
      <c r="O4970" s="55" t="str">
        <f>IFERROR(IF(OR($B4970="",$B4970="(blank)"),"",VLOOKUP($B4970,'Email Marketing Raw Data'!$C:$O,7,0)),"")</f>
        <v/>
      </c>
      <c r="P4970" s="55" t="str">
        <f>IFERROR(IF(OR($B4970="",$B4970="(blank)"),"",VLOOKUP($B4970,'Email Marketing Raw Data'!$C:$O,8,0)),"")</f>
        <v/>
      </c>
      <c r="Q4970" s="62" t="str">
        <f>IFERROR(IF(OR($B4970="",$B4970="(blank)"),"",VLOOKUP($B4970,'Email Marketing Raw Data'!$C:$O,9,0)),"")</f>
        <v/>
      </c>
    </row>
    <row r="4971" spans="4:17" ht="12.75" customHeight="1" x14ac:dyDescent="0.2">
      <c r="D4971" s="58" t="str">
        <f>IFERROR(IF(F4971&lt;&gt;"pending","",IF(OR($B4971="",$B4971="(blank)"),"",VLOOKUP($B4971,'Email Marketing Raw Data'!$C:$O,10,0))),"")</f>
        <v/>
      </c>
      <c r="E4971" s="59" t="str">
        <f>IFERROR(IF(F4971&lt;&gt;"pending","",IF(OR($B4971="",$B4971="(blank)"),"",VLOOKUP($B4971,'Email Marketing Raw Data'!$C:$O,11,0))),"")</f>
        <v/>
      </c>
      <c r="F4971" s="54" t="str">
        <f>IFERROR(IF(OR($B4971="",$B4971="(blank)"),"",VLOOKUP($B4971,'Email Marketing Raw Data'!$C:$O,13,0)),"")</f>
        <v/>
      </c>
      <c r="G4971" s="55" t="str">
        <f>IFERROR(IF(OR($B4971="",$B4971="(blank)"),"",VLOOKUP($B4971,'Email Marketing Raw Data'!$C:$O,4,0)),"")</f>
        <v/>
      </c>
      <c r="H4971" s="55" t="str">
        <f>IFERROR(IF(OR($B4971="",$B4971="(blank)"),"",VLOOKUP($B4971,'Email Marketing Raw Data'!$C:$O,5,0)),"")</f>
        <v/>
      </c>
      <c r="I4971" s="55" t="str">
        <f>IFERROR(IF($G4971="","",VLOOKUP('Dashboard And Emails Automate'!$G4971,Database!$H:$N,3,0)),"")</f>
        <v/>
      </c>
      <c r="J4971" s="55" t="str">
        <f>IFERROR(IF($G4971="","",VLOOKUP('Dashboard And Emails Automate'!$G4971,Database!$H:$N,4,0)),"")</f>
        <v/>
      </c>
      <c r="K4971" s="55" t="str">
        <f>IFERROR(IF($G4971="","",VLOOKUP('Dashboard And Emails Automate'!$G4971,Database!$H:$N,5,0)),"")</f>
        <v/>
      </c>
      <c r="L4971" s="55" t="str">
        <f>IFERROR(IF($G4971="","",VLOOKUP('Dashboard And Emails Automate'!$G4971,Database!$H:$N,6,0)),"")</f>
        <v/>
      </c>
      <c r="M4971" s="55" t="str">
        <f>IFERROR(IF($G4971="","",VLOOKUP('Dashboard And Emails Automate'!$G4971,Database!$H:$N,7,0)),"")</f>
        <v/>
      </c>
      <c r="N4971" s="55" t="str">
        <f>IFERROR(IF(OR($B4971="",$B4971="(blank)"),"",VLOOKUP($B4971,'Email Marketing Raw Data'!$C:$O,6,0)),"")</f>
        <v/>
      </c>
      <c r="O4971" s="55" t="str">
        <f>IFERROR(IF(OR($B4971="",$B4971="(blank)"),"",VLOOKUP($B4971,'Email Marketing Raw Data'!$C:$O,7,0)),"")</f>
        <v/>
      </c>
      <c r="P4971" s="55" t="str">
        <f>IFERROR(IF(OR($B4971="",$B4971="(blank)"),"",VLOOKUP($B4971,'Email Marketing Raw Data'!$C:$O,8,0)),"")</f>
        <v/>
      </c>
      <c r="Q4971" s="62" t="str">
        <f>IFERROR(IF(OR($B4971="",$B4971="(blank)"),"",VLOOKUP($B4971,'Email Marketing Raw Data'!$C:$O,9,0)),"")</f>
        <v/>
      </c>
    </row>
    <row r="4972" spans="4:17" ht="12.75" customHeight="1" x14ac:dyDescent="0.2">
      <c r="D4972" s="58" t="str">
        <f>IFERROR(IF(F4972&lt;&gt;"pending","",IF(OR($B4972="",$B4972="(blank)"),"",VLOOKUP($B4972,'Email Marketing Raw Data'!$C:$O,10,0))),"")</f>
        <v/>
      </c>
      <c r="E4972" s="59" t="str">
        <f>IFERROR(IF(F4972&lt;&gt;"pending","",IF(OR($B4972="",$B4972="(blank)"),"",VLOOKUP($B4972,'Email Marketing Raw Data'!$C:$O,11,0))),"")</f>
        <v/>
      </c>
      <c r="F4972" s="54" t="str">
        <f>IFERROR(IF(OR($B4972="",$B4972="(blank)"),"",VLOOKUP($B4972,'Email Marketing Raw Data'!$C:$O,13,0)),"")</f>
        <v/>
      </c>
      <c r="G4972" s="55" t="str">
        <f>IFERROR(IF(OR($B4972="",$B4972="(blank)"),"",VLOOKUP($B4972,'Email Marketing Raw Data'!$C:$O,4,0)),"")</f>
        <v/>
      </c>
      <c r="H4972" s="55" t="str">
        <f>IFERROR(IF(OR($B4972="",$B4972="(blank)"),"",VLOOKUP($B4972,'Email Marketing Raw Data'!$C:$O,5,0)),"")</f>
        <v/>
      </c>
      <c r="I4972" s="55" t="str">
        <f>IFERROR(IF($G4972="","",VLOOKUP('Dashboard And Emails Automate'!$G4972,Database!$H:$N,3,0)),"")</f>
        <v/>
      </c>
      <c r="J4972" s="55" t="str">
        <f>IFERROR(IF($G4972="","",VLOOKUP('Dashboard And Emails Automate'!$G4972,Database!$H:$N,4,0)),"")</f>
        <v/>
      </c>
      <c r="K4972" s="55" t="str">
        <f>IFERROR(IF($G4972="","",VLOOKUP('Dashboard And Emails Automate'!$G4972,Database!$H:$N,5,0)),"")</f>
        <v/>
      </c>
      <c r="L4972" s="55" t="str">
        <f>IFERROR(IF($G4972="","",VLOOKUP('Dashboard And Emails Automate'!$G4972,Database!$H:$N,6,0)),"")</f>
        <v/>
      </c>
      <c r="M4972" s="55" t="str">
        <f>IFERROR(IF($G4972="","",VLOOKUP('Dashboard And Emails Automate'!$G4972,Database!$H:$N,7,0)),"")</f>
        <v/>
      </c>
      <c r="N4972" s="55" t="str">
        <f>IFERROR(IF(OR($B4972="",$B4972="(blank)"),"",VLOOKUP($B4972,'Email Marketing Raw Data'!$C:$O,6,0)),"")</f>
        <v/>
      </c>
      <c r="O4972" s="55" t="str">
        <f>IFERROR(IF(OR($B4972="",$B4972="(blank)"),"",VLOOKUP($B4972,'Email Marketing Raw Data'!$C:$O,7,0)),"")</f>
        <v/>
      </c>
      <c r="P4972" s="55" t="str">
        <f>IFERROR(IF(OR($B4972="",$B4972="(blank)"),"",VLOOKUP($B4972,'Email Marketing Raw Data'!$C:$O,8,0)),"")</f>
        <v/>
      </c>
      <c r="Q4972" s="62" t="str">
        <f>IFERROR(IF(OR($B4972="",$B4972="(blank)"),"",VLOOKUP($B4972,'Email Marketing Raw Data'!$C:$O,9,0)),"")</f>
        <v/>
      </c>
    </row>
    <row r="4973" spans="4:17" ht="12.75" customHeight="1" x14ac:dyDescent="0.2">
      <c r="D4973" s="58" t="str">
        <f>IFERROR(IF(F4973&lt;&gt;"pending","",IF(OR($B4973="",$B4973="(blank)"),"",VLOOKUP($B4973,'Email Marketing Raw Data'!$C:$O,10,0))),"")</f>
        <v/>
      </c>
      <c r="E4973" s="59" t="str">
        <f>IFERROR(IF(F4973&lt;&gt;"pending","",IF(OR($B4973="",$B4973="(blank)"),"",VLOOKUP($B4973,'Email Marketing Raw Data'!$C:$O,11,0))),"")</f>
        <v/>
      </c>
      <c r="F4973" s="54" t="str">
        <f>IFERROR(IF(OR($B4973="",$B4973="(blank)"),"",VLOOKUP($B4973,'Email Marketing Raw Data'!$C:$O,13,0)),"")</f>
        <v/>
      </c>
      <c r="G4973" s="55" t="str">
        <f>IFERROR(IF(OR($B4973="",$B4973="(blank)"),"",VLOOKUP($B4973,'Email Marketing Raw Data'!$C:$O,4,0)),"")</f>
        <v/>
      </c>
      <c r="H4973" s="55" t="str">
        <f>IFERROR(IF(OR($B4973="",$B4973="(blank)"),"",VLOOKUP($B4973,'Email Marketing Raw Data'!$C:$O,5,0)),"")</f>
        <v/>
      </c>
      <c r="I4973" s="55" t="str">
        <f>IFERROR(IF($G4973="","",VLOOKUP('Dashboard And Emails Automate'!$G4973,Database!$H:$N,3,0)),"")</f>
        <v/>
      </c>
      <c r="J4973" s="55" t="str">
        <f>IFERROR(IF($G4973="","",VLOOKUP('Dashboard And Emails Automate'!$G4973,Database!$H:$N,4,0)),"")</f>
        <v/>
      </c>
      <c r="K4973" s="55" t="str">
        <f>IFERROR(IF($G4973="","",VLOOKUP('Dashboard And Emails Automate'!$G4973,Database!$H:$N,5,0)),"")</f>
        <v/>
      </c>
      <c r="L4973" s="55" t="str">
        <f>IFERROR(IF($G4973="","",VLOOKUP('Dashboard And Emails Automate'!$G4973,Database!$H:$N,6,0)),"")</f>
        <v/>
      </c>
      <c r="M4973" s="55" t="str">
        <f>IFERROR(IF($G4973="","",VLOOKUP('Dashboard And Emails Automate'!$G4973,Database!$H:$N,7,0)),"")</f>
        <v/>
      </c>
      <c r="N4973" s="55" t="str">
        <f>IFERROR(IF(OR($B4973="",$B4973="(blank)"),"",VLOOKUP($B4973,'Email Marketing Raw Data'!$C:$O,6,0)),"")</f>
        <v/>
      </c>
      <c r="O4973" s="55" t="str">
        <f>IFERROR(IF(OR($B4973="",$B4973="(blank)"),"",VLOOKUP($B4973,'Email Marketing Raw Data'!$C:$O,7,0)),"")</f>
        <v/>
      </c>
      <c r="P4973" s="55" t="str">
        <f>IFERROR(IF(OR($B4973="",$B4973="(blank)"),"",VLOOKUP($B4973,'Email Marketing Raw Data'!$C:$O,8,0)),"")</f>
        <v/>
      </c>
      <c r="Q4973" s="62" t="str">
        <f>IFERROR(IF(OR($B4973="",$B4973="(blank)"),"",VLOOKUP($B4973,'Email Marketing Raw Data'!$C:$O,9,0)),"")</f>
        <v/>
      </c>
    </row>
    <row r="4974" spans="4:17" ht="12.75" customHeight="1" x14ac:dyDescent="0.2">
      <c r="D4974" s="58" t="str">
        <f>IFERROR(IF(F4974&lt;&gt;"pending","",IF(OR($B4974="",$B4974="(blank)"),"",VLOOKUP($B4974,'Email Marketing Raw Data'!$C:$O,10,0))),"")</f>
        <v/>
      </c>
      <c r="E4974" s="59" t="str">
        <f>IFERROR(IF(F4974&lt;&gt;"pending","",IF(OR($B4974="",$B4974="(blank)"),"",VLOOKUP($B4974,'Email Marketing Raw Data'!$C:$O,11,0))),"")</f>
        <v/>
      </c>
      <c r="F4974" s="54" t="str">
        <f>IFERROR(IF(OR($B4974="",$B4974="(blank)"),"",VLOOKUP($B4974,'Email Marketing Raw Data'!$C:$O,13,0)),"")</f>
        <v/>
      </c>
      <c r="G4974" s="55" t="str">
        <f>IFERROR(IF(OR($B4974="",$B4974="(blank)"),"",VLOOKUP($B4974,'Email Marketing Raw Data'!$C:$O,4,0)),"")</f>
        <v/>
      </c>
      <c r="H4974" s="55" t="str">
        <f>IFERROR(IF(OR($B4974="",$B4974="(blank)"),"",VLOOKUP($B4974,'Email Marketing Raw Data'!$C:$O,5,0)),"")</f>
        <v/>
      </c>
      <c r="I4974" s="55" t="str">
        <f>IFERROR(IF($G4974="","",VLOOKUP('Dashboard And Emails Automate'!$G4974,Database!$H:$N,3,0)),"")</f>
        <v/>
      </c>
      <c r="J4974" s="55" t="str">
        <f>IFERROR(IF($G4974="","",VLOOKUP('Dashboard And Emails Automate'!$G4974,Database!$H:$N,4,0)),"")</f>
        <v/>
      </c>
      <c r="K4974" s="55" t="str">
        <f>IFERROR(IF($G4974="","",VLOOKUP('Dashboard And Emails Automate'!$G4974,Database!$H:$N,5,0)),"")</f>
        <v/>
      </c>
      <c r="L4974" s="55" t="str">
        <f>IFERROR(IF($G4974="","",VLOOKUP('Dashboard And Emails Automate'!$G4974,Database!$H:$N,6,0)),"")</f>
        <v/>
      </c>
      <c r="M4974" s="55" t="str">
        <f>IFERROR(IF($G4974="","",VLOOKUP('Dashboard And Emails Automate'!$G4974,Database!$H:$N,7,0)),"")</f>
        <v/>
      </c>
      <c r="N4974" s="55" t="str">
        <f>IFERROR(IF(OR($B4974="",$B4974="(blank)"),"",VLOOKUP($B4974,'Email Marketing Raw Data'!$C:$O,6,0)),"")</f>
        <v/>
      </c>
      <c r="O4974" s="55" t="str">
        <f>IFERROR(IF(OR($B4974="",$B4974="(blank)"),"",VLOOKUP($B4974,'Email Marketing Raw Data'!$C:$O,7,0)),"")</f>
        <v/>
      </c>
      <c r="P4974" s="55" t="str">
        <f>IFERROR(IF(OR($B4974="",$B4974="(blank)"),"",VLOOKUP($B4974,'Email Marketing Raw Data'!$C:$O,8,0)),"")</f>
        <v/>
      </c>
      <c r="Q4974" s="62" t="str">
        <f>IFERROR(IF(OR($B4974="",$B4974="(blank)"),"",VLOOKUP($B4974,'Email Marketing Raw Data'!$C:$O,9,0)),"")</f>
        <v/>
      </c>
    </row>
    <row r="4975" spans="4:17" ht="12.75" customHeight="1" x14ac:dyDescent="0.2">
      <c r="D4975" s="58" t="str">
        <f>IFERROR(IF(F4975&lt;&gt;"pending","",IF(OR($B4975="",$B4975="(blank)"),"",VLOOKUP($B4975,'Email Marketing Raw Data'!$C:$O,10,0))),"")</f>
        <v/>
      </c>
      <c r="E4975" s="59" t="str">
        <f>IFERROR(IF(F4975&lt;&gt;"pending","",IF(OR($B4975="",$B4975="(blank)"),"",VLOOKUP($B4975,'Email Marketing Raw Data'!$C:$O,11,0))),"")</f>
        <v/>
      </c>
      <c r="F4975" s="54" t="str">
        <f>IFERROR(IF(OR($B4975="",$B4975="(blank)"),"",VLOOKUP($B4975,'Email Marketing Raw Data'!$C:$O,13,0)),"")</f>
        <v/>
      </c>
      <c r="G4975" s="55" t="str">
        <f>IFERROR(IF(OR($B4975="",$B4975="(blank)"),"",VLOOKUP($B4975,'Email Marketing Raw Data'!$C:$O,4,0)),"")</f>
        <v/>
      </c>
      <c r="H4975" s="55" t="str">
        <f>IFERROR(IF(OR($B4975="",$B4975="(blank)"),"",VLOOKUP($B4975,'Email Marketing Raw Data'!$C:$O,5,0)),"")</f>
        <v/>
      </c>
      <c r="I4975" s="55" t="str">
        <f>IFERROR(IF($G4975="","",VLOOKUP('Dashboard And Emails Automate'!$G4975,Database!$H:$N,3,0)),"")</f>
        <v/>
      </c>
      <c r="J4975" s="55" t="str">
        <f>IFERROR(IF($G4975="","",VLOOKUP('Dashboard And Emails Automate'!$G4975,Database!$H:$N,4,0)),"")</f>
        <v/>
      </c>
      <c r="K4975" s="55" t="str">
        <f>IFERROR(IF($G4975="","",VLOOKUP('Dashboard And Emails Automate'!$G4975,Database!$H:$N,5,0)),"")</f>
        <v/>
      </c>
      <c r="L4975" s="55" t="str">
        <f>IFERROR(IF($G4975="","",VLOOKUP('Dashboard And Emails Automate'!$G4975,Database!$H:$N,6,0)),"")</f>
        <v/>
      </c>
      <c r="M4975" s="55" t="str">
        <f>IFERROR(IF($G4975="","",VLOOKUP('Dashboard And Emails Automate'!$G4975,Database!$H:$N,7,0)),"")</f>
        <v/>
      </c>
      <c r="N4975" s="55" t="str">
        <f>IFERROR(IF(OR($B4975="",$B4975="(blank)"),"",VLOOKUP($B4975,'Email Marketing Raw Data'!$C:$O,6,0)),"")</f>
        <v/>
      </c>
      <c r="O4975" s="55" t="str">
        <f>IFERROR(IF(OR($B4975="",$B4975="(blank)"),"",VLOOKUP($B4975,'Email Marketing Raw Data'!$C:$O,7,0)),"")</f>
        <v/>
      </c>
      <c r="P4975" s="55" t="str">
        <f>IFERROR(IF(OR($B4975="",$B4975="(blank)"),"",VLOOKUP($B4975,'Email Marketing Raw Data'!$C:$O,8,0)),"")</f>
        <v/>
      </c>
      <c r="Q4975" s="62" t="str">
        <f>IFERROR(IF(OR($B4975="",$B4975="(blank)"),"",VLOOKUP($B4975,'Email Marketing Raw Data'!$C:$O,9,0)),"")</f>
        <v/>
      </c>
    </row>
    <row r="4976" spans="4:17" ht="12.75" customHeight="1" x14ac:dyDescent="0.2">
      <c r="D4976" s="58" t="str">
        <f>IFERROR(IF(F4976&lt;&gt;"pending","",IF(OR($B4976="",$B4976="(blank)"),"",VLOOKUP($B4976,'Email Marketing Raw Data'!$C:$O,10,0))),"")</f>
        <v/>
      </c>
      <c r="E4976" s="59" t="str">
        <f>IFERROR(IF(F4976&lt;&gt;"pending","",IF(OR($B4976="",$B4976="(blank)"),"",VLOOKUP($B4976,'Email Marketing Raw Data'!$C:$O,11,0))),"")</f>
        <v/>
      </c>
      <c r="F4976" s="54" t="str">
        <f>IFERROR(IF(OR($B4976="",$B4976="(blank)"),"",VLOOKUP($B4976,'Email Marketing Raw Data'!$C:$O,13,0)),"")</f>
        <v/>
      </c>
      <c r="G4976" s="55" t="str">
        <f>IFERROR(IF(OR($B4976="",$B4976="(blank)"),"",VLOOKUP($B4976,'Email Marketing Raw Data'!$C:$O,4,0)),"")</f>
        <v/>
      </c>
      <c r="H4976" s="55" t="str">
        <f>IFERROR(IF(OR($B4976="",$B4976="(blank)"),"",VLOOKUP($B4976,'Email Marketing Raw Data'!$C:$O,5,0)),"")</f>
        <v/>
      </c>
      <c r="I4976" s="55" t="str">
        <f>IFERROR(IF($G4976="","",VLOOKUP('Dashboard And Emails Automate'!$G4976,Database!$H:$N,3,0)),"")</f>
        <v/>
      </c>
      <c r="J4976" s="55" t="str">
        <f>IFERROR(IF($G4976="","",VLOOKUP('Dashboard And Emails Automate'!$G4976,Database!$H:$N,4,0)),"")</f>
        <v/>
      </c>
      <c r="K4976" s="55" t="str">
        <f>IFERROR(IF($G4976="","",VLOOKUP('Dashboard And Emails Automate'!$G4976,Database!$H:$N,5,0)),"")</f>
        <v/>
      </c>
      <c r="L4976" s="55" t="str">
        <f>IFERROR(IF($G4976="","",VLOOKUP('Dashboard And Emails Automate'!$G4976,Database!$H:$N,6,0)),"")</f>
        <v/>
      </c>
      <c r="M4976" s="55" t="str">
        <f>IFERROR(IF($G4976="","",VLOOKUP('Dashboard And Emails Automate'!$G4976,Database!$H:$N,7,0)),"")</f>
        <v/>
      </c>
      <c r="N4976" s="55" t="str">
        <f>IFERROR(IF(OR($B4976="",$B4976="(blank)"),"",VLOOKUP($B4976,'Email Marketing Raw Data'!$C:$O,6,0)),"")</f>
        <v/>
      </c>
      <c r="O4976" s="55" t="str">
        <f>IFERROR(IF(OR($B4976="",$B4976="(blank)"),"",VLOOKUP($B4976,'Email Marketing Raw Data'!$C:$O,7,0)),"")</f>
        <v/>
      </c>
      <c r="P4976" s="55" t="str">
        <f>IFERROR(IF(OR($B4976="",$B4976="(blank)"),"",VLOOKUP($B4976,'Email Marketing Raw Data'!$C:$O,8,0)),"")</f>
        <v/>
      </c>
      <c r="Q4976" s="62" t="str">
        <f>IFERROR(IF(OR($B4976="",$B4976="(blank)"),"",VLOOKUP($B4976,'Email Marketing Raw Data'!$C:$O,9,0)),"")</f>
        <v/>
      </c>
    </row>
    <row r="4977" spans="4:17" ht="12.75" customHeight="1" x14ac:dyDescent="0.2">
      <c r="D4977" s="58" t="str">
        <f>IFERROR(IF(F4977&lt;&gt;"pending","",IF(OR($B4977="",$B4977="(blank)"),"",VLOOKUP($B4977,'Email Marketing Raw Data'!$C:$O,10,0))),"")</f>
        <v/>
      </c>
      <c r="E4977" s="59" t="str">
        <f>IFERROR(IF(F4977&lt;&gt;"pending","",IF(OR($B4977="",$B4977="(blank)"),"",VLOOKUP($B4977,'Email Marketing Raw Data'!$C:$O,11,0))),"")</f>
        <v/>
      </c>
      <c r="F4977" s="54" t="str">
        <f>IFERROR(IF(OR($B4977="",$B4977="(blank)"),"",VLOOKUP($B4977,'Email Marketing Raw Data'!$C:$O,13,0)),"")</f>
        <v/>
      </c>
      <c r="G4977" s="55" t="str">
        <f>IFERROR(IF(OR($B4977="",$B4977="(blank)"),"",VLOOKUP($B4977,'Email Marketing Raw Data'!$C:$O,4,0)),"")</f>
        <v/>
      </c>
      <c r="H4977" s="55" t="str">
        <f>IFERROR(IF(OR($B4977="",$B4977="(blank)"),"",VLOOKUP($B4977,'Email Marketing Raw Data'!$C:$O,5,0)),"")</f>
        <v/>
      </c>
      <c r="I4977" s="55" t="str">
        <f>IFERROR(IF($G4977="","",VLOOKUP('Dashboard And Emails Automate'!$G4977,Database!$H:$N,3,0)),"")</f>
        <v/>
      </c>
      <c r="J4977" s="55" t="str">
        <f>IFERROR(IF($G4977="","",VLOOKUP('Dashboard And Emails Automate'!$G4977,Database!$H:$N,4,0)),"")</f>
        <v/>
      </c>
      <c r="K4977" s="55" t="str">
        <f>IFERROR(IF($G4977="","",VLOOKUP('Dashboard And Emails Automate'!$G4977,Database!$H:$N,5,0)),"")</f>
        <v/>
      </c>
      <c r="L4977" s="55" t="str">
        <f>IFERROR(IF($G4977="","",VLOOKUP('Dashboard And Emails Automate'!$G4977,Database!$H:$N,6,0)),"")</f>
        <v/>
      </c>
      <c r="M4977" s="55" t="str">
        <f>IFERROR(IF($G4977="","",VLOOKUP('Dashboard And Emails Automate'!$G4977,Database!$H:$N,7,0)),"")</f>
        <v/>
      </c>
      <c r="N4977" s="55" t="str">
        <f>IFERROR(IF(OR($B4977="",$B4977="(blank)"),"",VLOOKUP($B4977,'Email Marketing Raw Data'!$C:$O,6,0)),"")</f>
        <v/>
      </c>
      <c r="O4977" s="55" t="str">
        <f>IFERROR(IF(OR($B4977="",$B4977="(blank)"),"",VLOOKUP($B4977,'Email Marketing Raw Data'!$C:$O,7,0)),"")</f>
        <v/>
      </c>
      <c r="P4977" s="55" t="str">
        <f>IFERROR(IF(OR($B4977="",$B4977="(blank)"),"",VLOOKUP($B4977,'Email Marketing Raw Data'!$C:$O,8,0)),"")</f>
        <v/>
      </c>
      <c r="Q4977" s="62" t="str">
        <f>IFERROR(IF(OR($B4977="",$B4977="(blank)"),"",VLOOKUP($B4977,'Email Marketing Raw Data'!$C:$O,9,0)),"")</f>
        <v/>
      </c>
    </row>
    <row r="4978" spans="4:17" ht="12.75" customHeight="1" x14ac:dyDescent="0.2">
      <c r="D4978" s="58" t="str">
        <f>IFERROR(IF(F4978&lt;&gt;"pending","",IF(OR($B4978="",$B4978="(blank)"),"",VLOOKUP($B4978,'Email Marketing Raw Data'!$C:$O,10,0))),"")</f>
        <v/>
      </c>
      <c r="E4978" s="59" t="str">
        <f>IFERROR(IF(F4978&lt;&gt;"pending","",IF(OR($B4978="",$B4978="(blank)"),"",VLOOKUP($B4978,'Email Marketing Raw Data'!$C:$O,11,0))),"")</f>
        <v/>
      </c>
      <c r="F4978" s="54" t="str">
        <f>IFERROR(IF(OR($B4978="",$B4978="(blank)"),"",VLOOKUP($B4978,'Email Marketing Raw Data'!$C:$O,13,0)),"")</f>
        <v/>
      </c>
      <c r="G4978" s="55" t="str">
        <f>IFERROR(IF(OR($B4978="",$B4978="(blank)"),"",VLOOKUP($B4978,'Email Marketing Raw Data'!$C:$O,4,0)),"")</f>
        <v/>
      </c>
      <c r="H4978" s="55" t="str">
        <f>IFERROR(IF(OR($B4978="",$B4978="(blank)"),"",VLOOKUP($B4978,'Email Marketing Raw Data'!$C:$O,5,0)),"")</f>
        <v/>
      </c>
      <c r="I4978" s="55" t="str">
        <f>IFERROR(IF($G4978="","",VLOOKUP('Dashboard And Emails Automate'!$G4978,Database!$H:$N,3,0)),"")</f>
        <v/>
      </c>
      <c r="J4978" s="55" t="str">
        <f>IFERROR(IF($G4978="","",VLOOKUP('Dashboard And Emails Automate'!$G4978,Database!$H:$N,4,0)),"")</f>
        <v/>
      </c>
      <c r="K4978" s="55" t="str">
        <f>IFERROR(IF($G4978="","",VLOOKUP('Dashboard And Emails Automate'!$G4978,Database!$H:$N,5,0)),"")</f>
        <v/>
      </c>
      <c r="L4978" s="55" t="str">
        <f>IFERROR(IF($G4978="","",VLOOKUP('Dashboard And Emails Automate'!$G4978,Database!$H:$N,6,0)),"")</f>
        <v/>
      </c>
      <c r="M4978" s="55" t="str">
        <f>IFERROR(IF($G4978="","",VLOOKUP('Dashboard And Emails Automate'!$G4978,Database!$H:$N,7,0)),"")</f>
        <v/>
      </c>
      <c r="N4978" s="55" t="str">
        <f>IFERROR(IF(OR($B4978="",$B4978="(blank)"),"",VLOOKUP($B4978,'Email Marketing Raw Data'!$C:$O,6,0)),"")</f>
        <v/>
      </c>
      <c r="O4978" s="55" t="str">
        <f>IFERROR(IF(OR($B4978="",$B4978="(blank)"),"",VLOOKUP($B4978,'Email Marketing Raw Data'!$C:$O,7,0)),"")</f>
        <v/>
      </c>
      <c r="P4978" s="55" t="str">
        <f>IFERROR(IF(OR($B4978="",$B4978="(blank)"),"",VLOOKUP($B4978,'Email Marketing Raw Data'!$C:$O,8,0)),"")</f>
        <v/>
      </c>
      <c r="Q4978" s="62" t="str">
        <f>IFERROR(IF(OR($B4978="",$B4978="(blank)"),"",VLOOKUP($B4978,'Email Marketing Raw Data'!$C:$O,9,0)),"")</f>
        <v/>
      </c>
    </row>
    <row r="4979" spans="4:17" ht="12.75" customHeight="1" x14ac:dyDescent="0.2">
      <c r="D4979" s="58" t="str">
        <f>IFERROR(IF(F4979&lt;&gt;"pending","",IF(OR($B4979="",$B4979="(blank)"),"",VLOOKUP($B4979,'Email Marketing Raw Data'!$C:$O,10,0))),"")</f>
        <v/>
      </c>
      <c r="E4979" s="59" t="str">
        <f>IFERROR(IF(F4979&lt;&gt;"pending","",IF(OR($B4979="",$B4979="(blank)"),"",VLOOKUP($B4979,'Email Marketing Raw Data'!$C:$O,11,0))),"")</f>
        <v/>
      </c>
      <c r="F4979" s="54" t="str">
        <f>IFERROR(IF(OR($B4979="",$B4979="(blank)"),"",VLOOKUP($B4979,'Email Marketing Raw Data'!$C:$O,13,0)),"")</f>
        <v/>
      </c>
      <c r="G4979" s="55" t="str">
        <f>IFERROR(IF(OR($B4979="",$B4979="(blank)"),"",VLOOKUP($B4979,'Email Marketing Raw Data'!$C:$O,4,0)),"")</f>
        <v/>
      </c>
      <c r="H4979" s="55" t="str">
        <f>IFERROR(IF(OR($B4979="",$B4979="(blank)"),"",VLOOKUP($B4979,'Email Marketing Raw Data'!$C:$O,5,0)),"")</f>
        <v/>
      </c>
      <c r="I4979" s="55" t="str">
        <f>IFERROR(IF($G4979="","",VLOOKUP('Dashboard And Emails Automate'!$G4979,Database!$H:$N,3,0)),"")</f>
        <v/>
      </c>
      <c r="J4979" s="55" t="str">
        <f>IFERROR(IF($G4979="","",VLOOKUP('Dashboard And Emails Automate'!$G4979,Database!$H:$N,4,0)),"")</f>
        <v/>
      </c>
      <c r="K4979" s="55" t="str">
        <f>IFERROR(IF($G4979="","",VLOOKUP('Dashboard And Emails Automate'!$G4979,Database!$H:$N,5,0)),"")</f>
        <v/>
      </c>
      <c r="L4979" s="55" t="str">
        <f>IFERROR(IF($G4979="","",VLOOKUP('Dashboard And Emails Automate'!$G4979,Database!$H:$N,6,0)),"")</f>
        <v/>
      </c>
      <c r="M4979" s="55" t="str">
        <f>IFERROR(IF($G4979="","",VLOOKUP('Dashboard And Emails Automate'!$G4979,Database!$H:$N,7,0)),"")</f>
        <v/>
      </c>
      <c r="N4979" s="55" t="str">
        <f>IFERROR(IF(OR($B4979="",$B4979="(blank)"),"",VLOOKUP($B4979,'Email Marketing Raw Data'!$C:$O,6,0)),"")</f>
        <v/>
      </c>
      <c r="O4979" s="55" t="str">
        <f>IFERROR(IF(OR($B4979="",$B4979="(blank)"),"",VLOOKUP($B4979,'Email Marketing Raw Data'!$C:$O,7,0)),"")</f>
        <v/>
      </c>
      <c r="P4979" s="55" t="str">
        <f>IFERROR(IF(OR($B4979="",$B4979="(blank)"),"",VLOOKUP($B4979,'Email Marketing Raw Data'!$C:$O,8,0)),"")</f>
        <v/>
      </c>
      <c r="Q4979" s="62" t="str">
        <f>IFERROR(IF(OR($B4979="",$B4979="(blank)"),"",VLOOKUP($B4979,'Email Marketing Raw Data'!$C:$O,9,0)),"")</f>
        <v/>
      </c>
    </row>
    <row r="4980" spans="4:17" ht="12.75" customHeight="1" x14ac:dyDescent="0.2">
      <c r="D4980" s="58" t="str">
        <f>IFERROR(IF(F4980&lt;&gt;"pending","",IF(OR($B4980="",$B4980="(blank)"),"",VLOOKUP($B4980,'Email Marketing Raw Data'!$C:$O,10,0))),"")</f>
        <v/>
      </c>
      <c r="E4980" s="59" t="str">
        <f>IFERROR(IF(F4980&lt;&gt;"pending","",IF(OR($B4980="",$B4980="(blank)"),"",VLOOKUP($B4980,'Email Marketing Raw Data'!$C:$O,11,0))),"")</f>
        <v/>
      </c>
      <c r="F4980" s="54" t="str">
        <f>IFERROR(IF(OR($B4980="",$B4980="(blank)"),"",VLOOKUP($B4980,'Email Marketing Raw Data'!$C:$O,13,0)),"")</f>
        <v/>
      </c>
      <c r="G4980" s="55" t="str">
        <f>IFERROR(IF(OR($B4980="",$B4980="(blank)"),"",VLOOKUP($B4980,'Email Marketing Raw Data'!$C:$O,4,0)),"")</f>
        <v/>
      </c>
      <c r="H4980" s="55" t="str">
        <f>IFERROR(IF(OR($B4980="",$B4980="(blank)"),"",VLOOKUP($B4980,'Email Marketing Raw Data'!$C:$O,5,0)),"")</f>
        <v/>
      </c>
      <c r="I4980" s="55" t="str">
        <f>IFERROR(IF($G4980="","",VLOOKUP('Dashboard And Emails Automate'!$G4980,Database!$H:$N,3,0)),"")</f>
        <v/>
      </c>
      <c r="J4980" s="55" t="str">
        <f>IFERROR(IF($G4980="","",VLOOKUP('Dashboard And Emails Automate'!$G4980,Database!$H:$N,4,0)),"")</f>
        <v/>
      </c>
      <c r="K4980" s="55" t="str">
        <f>IFERROR(IF($G4980="","",VLOOKUP('Dashboard And Emails Automate'!$G4980,Database!$H:$N,5,0)),"")</f>
        <v/>
      </c>
      <c r="L4980" s="55" t="str">
        <f>IFERROR(IF($G4980="","",VLOOKUP('Dashboard And Emails Automate'!$G4980,Database!$H:$N,6,0)),"")</f>
        <v/>
      </c>
      <c r="M4980" s="55" t="str">
        <f>IFERROR(IF($G4980="","",VLOOKUP('Dashboard And Emails Automate'!$G4980,Database!$H:$N,7,0)),"")</f>
        <v/>
      </c>
      <c r="N4980" s="55" t="str">
        <f>IFERROR(IF(OR($B4980="",$B4980="(blank)"),"",VLOOKUP($B4980,'Email Marketing Raw Data'!$C:$O,6,0)),"")</f>
        <v/>
      </c>
      <c r="O4980" s="55" t="str">
        <f>IFERROR(IF(OR($B4980="",$B4980="(blank)"),"",VLOOKUP($B4980,'Email Marketing Raw Data'!$C:$O,7,0)),"")</f>
        <v/>
      </c>
      <c r="P4980" s="55" t="str">
        <f>IFERROR(IF(OR($B4980="",$B4980="(blank)"),"",VLOOKUP($B4980,'Email Marketing Raw Data'!$C:$O,8,0)),"")</f>
        <v/>
      </c>
      <c r="Q4980" s="62" t="str">
        <f>IFERROR(IF(OR($B4980="",$B4980="(blank)"),"",VLOOKUP($B4980,'Email Marketing Raw Data'!$C:$O,9,0)),"")</f>
        <v/>
      </c>
    </row>
    <row r="4981" spans="4:17" ht="12.75" customHeight="1" x14ac:dyDescent="0.2">
      <c r="D4981" s="58" t="str">
        <f>IFERROR(IF(F4981&lt;&gt;"pending","",IF(OR($B4981="",$B4981="(blank)"),"",VLOOKUP($B4981,'Email Marketing Raw Data'!$C:$O,10,0))),"")</f>
        <v/>
      </c>
      <c r="E4981" s="59" t="str">
        <f>IFERROR(IF(F4981&lt;&gt;"pending","",IF(OR($B4981="",$B4981="(blank)"),"",VLOOKUP($B4981,'Email Marketing Raw Data'!$C:$O,11,0))),"")</f>
        <v/>
      </c>
      <c r="F4981" s="54" t="str">
        <f>IFERROR(IF(OR($B4981="",$B4981="(blank)"),"",VLOOKUP($B4981,'Email Marketing Raw Data'!$C:$O,13,0)),"")</f>
        <v/>
      </c>
      <c r="G4981" s="55" t="str">
        <f>IFERROR(IF(OR($B4981="",$B4981="(blank)"),"",VLOOKUP($B4981,'Email Marketing Raw Data'!$C:$O,4,0)),"")</f>
        <v/>
      </c>
      <c r="H4981" s="55" t="str">
        <f>IFERROR(IF(OR($B4981="",$B4981="(blank)"),"",VLOOKUP($B4981,'Email Marketing Raw Data'!$C:$O,5,0)),"")</f>
        <v/>
      </c>
      <c r="I4981" s="55" t="str">
        <f>IFERROR(IF($G4981="","",VLOOKUP('Dashboard And Emails Automate'!$G4981,Database!$H:$N,3,0)),"")</f>
        <v/>
      </c>
      <c r="J4981" s="55" t="str">
        <f>IFERROR(IF($G4981="","",VLOOKUP('Dashboard And Emails Automate'!$G4981,Database!$H:$N,4,0)),"")</f>
        <v/>
      </c>
      <c r="K4981" s="55" t="str">
        <f>IFERROR(IF($G4981="","",VLOOKUP('Dashboard And Emails Automate'!$G4981,Database!$H:$N,5,0)),"")</f>
        <v/>
      </c>
      <c r="L4981" s="55" t="str">
        <f>IFERROR(IF($G4981="","",VLOOKUP('Dashboard And Emails Automate'!$G4981,Database!$H:$N,6,0)),"")</f>
        <v/>
      </c>
      <c r="M4981" s="55" t="str">
        <f>IFERROR(IF($G4981="","",VLOOKUP('Dashboard And Emails Automate'!$G4981,Database!$H:$N,7,0)),"")</f>
        <v/>
      </c>
      <c r="N4981" s="55" t="str">
        <f>IFERROR(IF(OR($B4981="",$B4981="(blank)"),"",VLOOKUP($B4981,'Email Marketing Raw Data'!$C:$O,6,0)),"")</f>
        <v/>
      </c>
      <c r="O4981" s="55" t="str">
        <f>IFERROR(IF(OR($B4981="",$B4981="(blank)"),"",VLOOKUP($B4981,'Email Marketing Raw Data'!$C:$O,7,0)),"")</f>
        <v/>
      </c>
      <c r="P4981" s="55" t="str">
        <f>IFERROR(IF(OR($B4981="",$B4981="(blank)"),"",VLOOKUP($B4981,'Email Marketing Raw Data'!$C:$O,8,0)),"")</f>
        <v/>
      </c>
      <c r="Q4981" s="62" t="str">
        <f>IFERROR(IF(OR($B4981="",$B4981="(blank)"),"",VLOOKUP($B4981,'Email Marketing Raw Data'!$C:$O,9,0)),"")</f>
        <v/>
      </c>
    </row>
    <row r="4982" spans="4:17" ht="12.75" customHeight="1" x14ac:dyDescent="0.2">
      <c r="D4982" s="58" t="str">
        <f>IFERROR(IF(F4982&lt;&gt;"pending","",IF(OR($B4982="",$B4982="(blank)"),"",VLOOKUP($B4982,'Email Marketing Raw Data'!$C:$O,10,0))),"")</f>
        <v/>
      </c>
      <c r="E4982" s="59" t="str">
        <f>IFERROR(IF(F4982&lt;&gt;"pending","",IF(OR($B4982="",$B4982="(blank)"),"",VLOOKUP($B4982,'Email Marketing Raw Data'!$C:$O,11,0))),"")</f>
        <v/>
      </c>
      <c r="F4982" s="54" t="str">
        <f>IFERROR(IF(OR($B4982="",$B4982="(blank)"),"",VLOOKUP($B4982,'Email Marketing Raw Data'!$C:$O,13,0)),"")</f>
        <v/>
      </c>
      <c r="G4982" s="55" t="str">
        <f>IFERROR(IF(OR($B4982="",$B4982="(blank)"),"",VLOOKUP($B4982,'Email Marketing Raw Data'!$C:$O,4,0)),"")</f>
        <v/>
      </c>
      <c r="H4982" s="55" t="str">
        <f>IFERROR(IF(OR($B4982="",$B4982="(blank)"),"",VLOOKUP($B4982,'Email Marketing Raw Data'!$C:$O,5,0)),"")</f>
        <v/>
      </c>
      <c r="I4982" s="55" t="str">
        <f>IFERROR(IF($G4982="","",VLOOKUP('Dashboard And Emails Automate'!$G4982,Database!$H:$N,3,0)),"")</f>
        <v/>
      </c>
      <c r="J4982" s="55" t="str">
        <f>IFERROR(IF($G4982="","",VLOOKUP('Dashboard And Emails Automate'!$G4982,Database!$H:$N,4,0)),"")</f>
        <v/>
      </c>
      <c r="K4982" s="55" t="str">
        <f>IFERROR(IF($G4982="","",VLOOKUP('Dashboard And Emails Automate'!$G4982,Database!$H:$N,5,0)),"")</f>
        <v/>
      </c>
      <c r="L4982" s="55" t="str">
        <f>IFERROR(IF($G4982="","",VLOOKUP('Dashboard And Emails Automate'!$G4982,Database!$H:$N,6,0)),"")</f>
        <v/>
      </c>
      <c r="M4982" s="55" t="str">
        <f>IFERROR(IF($G4982="","",VLOOKUP('Dashboard And Emails Automate'!$G4982,Database!$H:$N,7,0)),"")</f>
        <v/>
      </c>
      <c r="N4982" s="55" t="str">
        <f>IFERROR(IF(OR($B4982="",$B4982="(blank)"),"",VLOOKUP($B4982,'Email Marketing Raw Data'!$C:$O,6,0)),"")</f>
        <v/>
      </c>
      <c r="O4982" s="55" t="str">
        <f>IFERROR(IF(OR($B4982="",$B4982="(blank)"),"",VLOOKUP($B4982,'Email Marketing Raw Data'!$C:$O,7,0)),"")</f>
        <v/>
      </c>
      <c r="P4982" s="55" t="str">
        <f>IFERROR(IF(OR($B4982="",$B4982="(blank)"),"",VLOOKUP($B4982,'Email Marketing Raw Data'!$C:$O,8,0)),"")</f>
        <v/>
      </c>
      <c r="Q4982" s="62" t="str">
        <f>IFERROR(IF(OR($B4982="",$B4982="(blank)"),"",VLOOKUP($B4982,'Email Marketing Raw Data'!$C:$O,9,0)),"")</f>
        <v/>
      </c>
    </row>
    <row r="4983" spans="4:17" ht="12.75" customHeight="1" x14ac:dyDescent="0.2">
      <c r="D4983" s="58" t="str">
        <f>IFERROR(IF(F4983&lt;&gt;"pending","",IF(OR($B4983="",$B4983="(blank)"),"",VLOOKUP($B4983,'Email Marketing Raw Data'!$C:$O,10,0))),"")</f>
        <v/>
      </c>
      <c r="E4983" s="59" t="str">
        <f>IFERROR(IF(F4983&lt;&gt;"pending","",IF(OR($B4983="",$B4983="(blank)"),"",VLOOKUP($B4983,'Email Marketing Raw Data'!$C:$O,11,0))),"")</f>
        <v/>
      </c>
      <c r="F4983" s="54" t="str">
        <f>IFERROR(IF(OR($B4983="",$B4983="(blank)"),"",VLOOKUP($B4983,'Email Marketing Raw Data'!$C:$O,13,0)),"")</f>
        <v/>
      </c>
      <c r="G4983" s="55" t="str">
        <f>IFERROR(IF(OR($B4983="",$B4983="(blank)"),"",VLOOKUP($B4983,'Email Marketing Raw Data'!$C:$O,4,0)),"")</f>
        <v/>
      </c>
      <c r="H4983" s="55" t="str">
        <f>IFERROR(IF(OR($B4983="",$B4983="(blank)"),"",VLOOKUP($B4983,'Email Marketing Raw Data'!$C:$O,5,0)),"")</f>
        <v/>
      </c>
      <c r="I4983" s="55" t="str">
        <f>IFERROR(IF($G4983="","",VLOOKUP('Dashboard And Emails Automate'!$G4983,Database!$H:$N,3,0)),"")</f>
        <v/>
      </c>
      <c r="J4983" s="55" t="str">
        <f>IFERROR(IF($G4983="","",VLOOKUP('Dashboard And Emails Automate'!$G4983,Database!$H:$N,4,0)),"")</f>
        <v/>
      </c>
      <c r="K4983" s="55" t="str">
        <f>IFERROR(IF($G4983="","",VLOOKUP('Dashboard And Emails Automate'!$G4983,Database!$H:$N,5,0)),"")</f>
        <v/>
      </c>
      <c r="L4983" s="55" t="str">
        <f>IFERROR(IF($G4983="","",VLOOKUP('Dashboard And Emails Automate'!$G4983,Database!$H:$N,6,0)),"")</f>
        <v/>
      </c>
      <c r="M4983" s="55" t="str">
        <f>IFERROR(IF($G4983="","",VLOOKUP('Dashboard And Emails Automate'!$G4983,Database!$H:$N,7,0)),"")</f>
        <v/>
      </c>
      <c r="N4983" s="55" t="str">
        <f>IFERROR(IF(OR($B4983="",$B4983="(blank)"),"",VLOOKUP($B4983,'Email Marketing Raw Data'!$C:$O,6,0)),"")</f>
        <v/>
      </c>
      <c r="O4983" s="55" t="str">
        <f>IFERROR(IF(OR($B4983="",$B4983="(blank)"),"",VLOOKUP($B4983,'Email Marketing Raw Data'!$C:$O,7,0)),"")</f>
        <v/>
      </c>
      <c r="P4983" s="55" t="str">
        <f>IFERROR(IF(OR($B4983="",$B4983="(blank)"),"",VLOOKUP($B4983,'Email Marketing Raw Data'!$C:$O,8,0)),"")</f>
        <v/>
      </c>
      <c r="Q4983" s="62" t="str">
        <f>IFERROR(IF(OR($B4983="",$B4983="(blank)"),"",VLOOKUP($B4983,'Email Marketing Raw Data'!$C:$O,9,0)),"")</f>
        <v/>
      </c>
    </row>
    <row r="4984" spans="4:17" ht="12.75" customHeight="1" x14ac:dyDescent="0.2">
      <c r="D4984" s="58" t="str">
        <f>IFERROR(IF(F4984&lt;&gt;"pending","",IF(OR($B4984="",$B4984="(blank)"),"",VLOOKUP($B4984,'Email Marketing Raw Data'!$C:$O,10,0))),"")</f>
        <v/>
      </c>
      <c r="E4984" s="59" t="str">
        <f>IFERROR(IF(F4984&lt;&gt;"pending","",IF(OR($B4984="",$B4984="(blank)"),"",VLOOKUP($B4984,'Email Marketing Raw Data'!$C:$O,11,0))),"")</f>
        <v/>
      </c>
      <c r="F4984" s="54" t="str">
        <f>IFERROR(IF(OR($B4984="",$B4984="(blank)"),"",VLOOKUP($B4984,'Email Marketing Raw Data'!$C:$O,13,0)),"")</f>
        <v/>
      </c>
      <c r="G4984" s="55" t="str">
        <f>IFERROR(IF(OR($B4984="",$B4984="(blank)"),"",VLOOKUP($B4984,'Email Marketing Raw Data'!$C:$O,4,0)),"")</f>
        <v/>
      </c>
      <c r="H4984" s="55" t="str">
        <f>IFERROR(IF(OR($B4984="",$B4984="(blank)"),"",VLOOKUP($B4984,'Email Marketing Raw Data'!$C:$O,5,0)),"")</f>
        <v/>
      </c>
      <c r="I4984" s="55" t="str">
        <f>IFERROR(IF($G4984="","",VLOOKUP('Dashboard And Emails Automate'!$G4984,Database!$H:$N,3,0)),"")</f>
        <v/>
      </c>
      <c r="J4984" s="55" t="str">
        <f>IFERROR(IF($G4984="","",VLOOKUP('Dashboard And Emails Automate'!$G4984,Database!$H:$N,4,0)),"")</f>
        <v/>
      </c>
      <c r="K4984" s="55" t="str">
        <f>IFERROR(IF($G4984="","",VLOOKUP('Dashboard And Emails Automate'!$G4984,Database!$H:$N,5,0)),"")</f>
        <v/>
      </c>
      <c r="L4984" s="55" t="str">
        <f>IFERROR(IF($G4984="","",VLOOKUP('Dashboard And Emails Automate'!$G4984,Database!$H:$N,6,0)),"")</f>
        <v/>
      </c>
      <c r="M4984" s="55" t="str">
        <f>IFERROR(IF($G4984="","",VLOOKUP('Dashboard And Emails Automate'!$G4984,Database!$H:$N,7,0)),"")</f>
        <v/>
      </c>
      <c r="N4984" s="55" t="str">
        <f>IFERROR(IF(OR($B4984="",$B4984="(blank)"),"",VLOOKUP($B4984,'Email Marketing Raw Data'!$C:$O,6,0)),"")</f>
        <v/>
      </c>
      <c r="O4984" s="55" t="str">
        <f>IFERROR(IF(OR($B4984="",$B4984="(blank)"),"",VLOOKUP($B4984,'Email Marketing Raw Data'!$C:$O,7,0)),"")</f>
        <v/>
      </c>
      <c r="P4984" s="55" t="str">
        <f>IFERROR(IF(OR($B4984="",$B4984="(blank)"),"",VLOOKUP($B4984,'Email Marketing Raw Data'!$C:$O,8,0)),"")</f>
        <v/>
      </c>
      <c r="Q4984" s="62" t="str">
        <f>IFERROR(IF(OR($B4984="",$B4984="(blank)"),"",VLOOKUP($B4984,'Email Marketing Raw Data'!$C:$O,9,0)),"")</f>
        <v/>
      </c>
    </row>
    <row r="4985" spans="4:17" ht="12.75" customHeight="1" x14ac:dyDescent="0.2">
      <c r="D4985" s="58" t="str">
        <f>IFERROR(IF(F4985&lt;&gt;"pending","",IF(OR($B4985="",$B4985="(blank)"),"",VLOOKUP($B4985,'Email Marketing Raw Data'!$C:$O,10,0))),"")</f>
        <v/>
      </c>
      <c r="E4985" s="59" t="str">
        <f>IFERROR(IF(F4985&lt;&gt;"pending","",IF(OR($B4985="",$B4985="(blank)"),"",VLOOKUP($B4985,'Email Marketing Raw Data'!$C:$O,11,0))),"")</f>
        <v/>
      </c>
      <c r="F4985" s="54" t="str">
        <f>IFERROR(IF(OR($B4985="",$B4985="(blank)"),"",VLOOKUP($B4985,'Email Marketing Raw Data'!$C:$O,13,0)),"")</f>
        <v/>
      </c>
      <c r="G4985" s="55" t="str">
        <f>IFERROR(IF(OR($B4985="",$B4985="(blank)"),"",VLOOKUP($B4985,'Email Marketing Raw Data'!$C:$O,4,0)),"")</f>
        <v/>
      </c>
      <c r="H4985" s="55" t="str">
        <f>IFERROR(IF(OR($B4985="",$B4985="(blank)"),"",VLOOKUP($B4985,'Email Marketing Raw Data'!$C:$O,5,0)),"")</f>
        <v/>
      </c>
      <c r="I4985" s="55" t="str">
        <f>IFERROR(IF($G4985="","",VLOOKUP('Dashboard And Emails Automate'!$G4985,Database!$H:$N,3,0)),"")</f>
        <v/>
      </c>
      <c r="J4985" s="55" t="str">
        <f>IFERROR(IF($G4985="","",VLOOKUP('Dashboard And Emails Automate'!$G4985,Database!$H:$N,4,0)),"")</f>
        <v/>
      </c>
      <c r="K4985" s="55" t="str">
        <f>IFERROR(IF($G4985="","",VLOOKUP('Dashboard And Emails Automate'!$G4985,Database!$H:$N,5,0)),"")</f>
        <v/>
      </c>
      <c r="L4985" s="55" t="str">
        <f>IFERROR(IF($G4985="","",VLOOKUP('Dashboard And Emails Automate'!$G4985,Database!$H:$N,6,0)),"")</f>
        <v/>
      </c>
      <c r="M4985" s="55" t="str">
        <f>IFERROR(IF($G4985="","",VLOOKUP('Dashboard And Emails Automate'!$G4985,Database!$H:$N,7,0)),"")</f>
        <v/>
      </c>
      <c r="N4985" s="55" t="str">
        <f>IFERROR(IF(OR($B4985="",$B4985="(blank)"),"",VLOOKUP($B4985,'Email Marketing Raw Data'!$C:$O,6,0)),"")</f>
        <v/>
      </c>
      <c r="O4985" s="55" t="str">
        <f>IFERROR(IF(OR($B4985="",$B4985="(blank)"),"",VLOOKUP($B4985,'Email Marketing Raw Data'!$C:$O,7,0)),"")</f>
        <v/>
      </c>
      <c r="P4985" s="55" t="str">
        <f>IFERROR(IF(OR($B4985="",$B4985="(blank)"),"",VLOOKUP($B4985,'Email Marketing Raw Data'!$C:$O,8,0)),"")</f>
        <v/>
      </c>
      <c r="Q4985" s="62" t="str">
        <f>IFERROR(IF(OR($B4985="",$B4985="(blank)"),"",VLOOKUP($B4985,'Email Marketing Raw Data'!$C:$O,9,0)),"")</f>
        <v/>
      </c>
    </row>
    <row r="4986" spans="4:17" ht="12.75" customHeight="1" x14ac:dyDescent="0.2">
      <c r="D4986" s="58" t="str">
        <f>IFERROR(IF(F4986&lt;&gt;"pending","",IF(OR($B4986="",$B4986="(blank)"),"",VLOOKUP($B4986,'Email Marketing Raw Data'!$C:$O,10,0))),"")</f>
        <v/>
      </c>
      <c r="E4986" s="59" t="str">
        <f>IFERROR(IF(F4986&lt;&gt;"pending","",IF(OR($B4986="",$B4986="(blank)"),"",VLOOKUP($B4986,'Email Marketing Raw Data'!$C:$O,11,0))),"")</f>
        <v/>
      </c>
      <c r="F4986" s="54" t="str">
        <f>IFERROR(IF(OR($B4986="",$B4986="(blank)"),"",VLOOKUP($B4986,'Email Marketing Raw Data'!$C:$O,13,0)),"")</f>
        <v/>
      </c>
      <c r="G4986" s="55" t="str">
        <f>IFERROR(IF(OR($B4986="",$B4986="(blank)"),"",VLOOKUP($B4986,'Email Marketing Raw Data'!$C:$O,4,0)),"")</f>
        <v/>
      </c>
      <c r="H4986" s="55" t="str">
        <f>IFERROR(IF(OR($B4986="",$B4986="(blank)"),"",VLOOKUP($B4986,'Email Marketing Raw Data'!$C:$O,5,0)),"")</f>
        <v/>
      </c>
      <c r="I4986" s="55" t="str">
        <f>IFERROR(IF($G4986="","",VLOOKUP('Dashboard And Emails Automate'!$G4986,Database!$H:$N,3,0)),"")</f>
        <v/>
      </c>
      <c r="J4986" s="55" t="str">
        <f>IFERROR(IF($G4986="","",VLOOKUP('Dashboard And Emails Automate'!$G4986,Database!$H:$N,4,0)),"")</f>
        <v/>
      </c>
      <c r="K4986" s="55" t="str">
        <f>IFERROR(IF($G4986="","",VLOOKUP('Dashboard And Emails Automate'!$G4986,Database!$H:$N,5,0)),"")</f>
        <v/>
      </c>
      <c r="L4986" s="55" t="str">
        <f>IFERROR(IF($G4986="","",VLOOKUP('Dashboard And Emails Automate'!$G4986,Database!$H:$N,6,0)),"")</f>
        <v/>
      </c>
      <c r="M4986" s="55" t="str">
        <f>IFERROR(IF($G4986="","",VLOOKUP('Dashboard And Emails Automate'!$G4986,Database!$H:$N,7,0)),"")</f>
        <v/>
      </c>
      <c r="N4986" s="55" t="str">
        <f>IFERROR(IF(OR($B4986="",$B4986="(blank)"),"",VLOOKUP($B4986,'Email Marketing Raw Data'!$C:$O,6,0)),"")</f>
        <v/>
      </c>
      <c r="O4986" s="55" t="str">
        <f>IFERROR(IF(OR($B4986="",$B4986="(blank)"),"",VLOOKUP($B4986,'Email Marketing Raw Data'!$C:$O,7,0)),"")</f>
        <v/>
      </c>
      <c r="P4986" s="55" t="str">
        <f>IFERROR(IF(OR($B4986="",$B4986="(blank)"),"",VLOOKUP($B4986,'Email Marketing Raw Data'!$C:$O,8,0)),"")</f>
        <v/>
      </c>
      <c r="Q4986" s="62" t="str">
        <f>IFERROR(IF(OR($B4986="",$B4986="(blank)"),"",VLOOKUP($B4986,'Email Marketing Raw Data'!$C:$O,9,0)),"")</f>
        <v/>
      </c>
    </row>
    <row r="4987" spans="4:17" ht="12.75" customHeight="1" x14ac:dyDescent="0.2">
      <c r="D4987" s="58" t="str">
        <f>IFERROR(IF(F4987&lt;&gt;"pending","",IF(OR($B4987="",$B4987="(blank)"),"",VLOOKUP($B4987,'Email Marketing Raw Data'!$C:$O,10,0))),"")</f>
        <v/>
      </c>
      <c r="E4987" s="59" t="str">
        <f>IFERROR(IF(F4987&lt;&gt;"pending","",IF(OR($B4987="",$B4987="(blank)"),"",VLOOKUP($B4987,'Email Marketing Raw Data'!$C:$O,11,0))),"")</f>
        <v/>
      </c>
      <c r="F4987" s="54" t="str">
        <f>IFERROR(IF(OR($B4987="",$B4987="(blank)"),"",VLOOKUP($B4987,'Email Marketing Raw Data'!$C:$O,13,0)),"")</f>
        <v/>
      </c>
      <c r="G4987" s="55" t="str">
        <f>IFERROR(IF(OR($B4987="",$B4987="(blank)"),"",VLOOKUP($B4987,'Email Marketing Raw Data'!$C:$O,4,0)),"")</f>
        <v/>
      </c>
      <c r="H4987" s="55" t="str">
        <f>IFERROR(IF(OR($B4987="",$B4987="(blank)"),"",VLOOKUP($B4987,'Email Marketing Raw Data'!$C:$O,5,0)),"")</f>
        <v/>
      </c>
      <c r="I4987" s="55" t="str">
        <f>IFERROR(IF($G4987="","",VLOOKUP('Dashboard And Emails Automate'!$G4987,Database!$H:$N,3,0)),"")</f>
        <v/>
      </c>
      <c r="J4987" s="55" t="str">
        <f>IFERROR(IF($G4987="","",VLOOKUP('Dashboard And Emails Automate'!$G4987,Database!$H:$N,4,0)),"")</f>
        <v/>
      </c>
      <c r="K4987" s="55" t="str">
        <f>IFERROR(IF($G4987="","",VLOOKUP('Dashboard And Emails Automate'!$G4987,Database!$H:$N,5,0)),"")</f>
        <v/>
      </c>
      <c r="L4987" s="55" t="str">
        <f>IFERROR(IF($G4987="","",VLOOKUP('Dashboard And Emails Automate'!$G4987,Database!$H:$N,6,0)),"")</f>
        <v/>
      </c>
      <c r="M4987" s="55" t="str">
        <f>IFERROR(IF($G4987="","",VLOOKUP('Dashboard And Emails Automate'!$G4987,Database!$H:$N,7,0)),"")</f>
        <v/>
      </c>
      <c r="N4987" s="55" t="str">
        <f>IFERROR(IF(OR($B4987="",$B4987="(blank)"),"",VLOOKUP($B4987,'Email Marketing Raw Data'!$C:$O,6,0)),"")</f>
        <v/>
      </c>
      <c r="O4987" s="55" t="str">
        <f>IFERROR(IF(OR($B4987="",$B4987="(blank)"),"",VLOOKUP($B4987,'Email Marketing Raw Data'!$C:$O,7,0)),"")</f>
        <v/>
      </c>
      <c r="P4987" s="55" t="str">
        <f>IFERROR(IF(OR($B4987="",$B4987="(blank)"),"",VLOOKUP($B4987,'Email Marketing Raw Data'!$C:$O,8,0)),"")</f>
        <v/>
      </c>
      <c r="Q4987" s="62" t="str">
        <f>IFERROR(IF(OR($B4987="",$B4987="(blank)"),"",VLOOKUP($B4987,'Email Marketing Raw Data'!$C:$O,9,0)),"")</f>
        <v/>
      </c>
    </row>
    <row r="4988" spans="4:17" ht="12.75" customHeight="1" x14ac:dyDescent="0.2">
      <c r="D4988" s="58" t="str">
        <f>IFERROR(IF(F4988&lt;&gt;"pending","",IF(OR($B4988="",$B4988="(blank)"),"",VLOOKUP($B4988,'Email Marketing Raw Data'!$C:$O,10,0))),"")</f>
        <v/>
      </c>
      <c r="E4988" s="59" t="str">
        <f>IFERROR(IF(F4988&lt;&gt;"pending","",IF(OR($B4988="",$B4988="(blank)"),"",VLOOKUP($B4988,'Email Marketing Raw Data'!$C:$O,11,0))),"")</f>
        <v/>
      </c>
      <c r="F4988" s="54" t="str">
        <f>IFERROR(IF(OR($B4988="",$B4988="(blank)"),"",VLOOKUP($B4988,'Email Marketing Raw Data'!$C:$O,13,0)),"")</f>
        <v/>
      </c>
      <c r="G4988" s="55" t="str">
        <f>IFERROR(IF(OR($B4988="",$B4988="(blank)"),"",VLOOKUP($B4988,'Email Marketing Raw Data'!$C:$O,4,0)),"")</f>
        <v/>
      </c>
      <c r="H4988" s="55" t="str">
        <f>IFERROR(IF(OR($B4988="",$B4988="(blank)"),"",VLOOKUP($B4988,'Email Marketing Raw Data'!$C:$O,5,0)),"")</f>
        <v/>
      </c>
      <c r="I4988" s="55" t="str">
        <f>IFERROR(IF($G4988="","",VLOOKUP('Dashboard And Emails Automate'!$G4988,Database!$H:$N,3,0)),"")</f>
        <v/>
      </c>
      <c r="J4988" s="55" t="str">
        <f>IFERROR(IF($G4988="","",VLOOKUP('Dashboard And Emails Automate'!$G4988,Database!$H:$N,4,0)),"")</f>
        <v/>
      </c>
      <c r="K4988" s="55" t="str">
        <f>IFERROR(IF($G4988="","",VLOOKUP('Dashboard And Emails Automate'!$G4988,Database!$H:$N,5,0)),"")</f>
        <v/>
      </c>
      <c r="L4988" s="55" t="str">
        <f>IFERROR(IF($G4988="","",VLOOKUP('Dashboard And Emails Automate'!$G4988,Database!$H:$N,6,0)),"")</f>
        <v/>
      </c>
      <c r="M4988" s="55" t="str">
        <f>IFERROR(IF($G4988="","",VLOOKUP('Dashboard And Emails Automate'!$G4988,Database!$H:$N,7,0)),"")</f>
        <v/>
      </c>
      <c r="N4988" s="55" t="str">
        <f>IFERROR(IF(OR($B4988="",$B4988="(blank)"),"",VLOOKUP($B4988,'Email Marketing Raw Data'!$C:$O,6,0)),"")</f>
        <v/>
      </c>
      <c r="O4988" s="55" t="str">
        <f>IFERROR(IF(OR($B4988="",$B4988="(blank)"),"",VLOOKUP($B4988,'Email Marketing Raw Data'!$C:$O,7,0)),"")</f>
        <v/>
      </c>
      <c r="P4988" s="55" t="str">
        <f>IFERROR(IF(OR($B4988="",$B4988="(blank)"),"",VLOOKUP($B4988,'Email Marketing Raw Data'!$C:$O,8,0)),"")</f>
        <v/>
      </c>
      <c r="Q4988" s="62" t="str">
        <f>IFERROR(IF(OR($B4988="",$B4988="(blank)"),"",VLOOKUP($B4988,'Email Marketing Raw Data'!$C:$O,9,0)),"")</f>
        <v/>
      </c>
    </row>
    <row r="4989" spans="4:17" ht="12.75" customHeight="1" x14ac:dyDescent="0.2">
      <c r="D4989" s="58" t="str">
        <f>IFERROR(IF(F4989&lt;&gt;"pending","",IF(OR($B4989="",$B4989="(blank)"),"",VLOOKUP($B4989,'Email Marketing Raw Data'!$C:$O,10,0))),"")</f>
        <v/>
      </c>
      <c r="E4989" s="59" t="str">
        <f>IFERROR(IF(F4989&lt;&gt;"pending","",IF(OR($B4989="",$B4989="(blank)"),"",VLOOKUP($B4989,'Email Marketing Raw Data'!$C:$O,11,0))),"")</f>
        <v/>
      </c>
      <c r="F4989" s="54" t="str">
        <f>IFERROR(IF(OR($B4989="",$B4989="(blank)"),"",VLOOKUP($B4989,'Email Marketing Raw Data'!$C:$O,13,0)),"")</f>
        <v/>
      </c>
      <c r="G4989" s="55" t="str">
        <f>IFERROR(IF(OR($B4989="",$B4989="(blank)"),"",VLOOKUP($B4989,'Email Marketing Raw Data'!$C:$O,4,0)),"")</f>
        <v/>
      </c>
      <c r="H4989" s="55" t="str">
        <f>IFERROR(IF(OR($B4989="",$B4989="(blank)"),"",VLOOKUP($B4989,'Email Marketing Raw Data'!$C:$O,5,0)),"")</f>
        <v/>
      </c>
      <c r="I4989" s="55" t="str">
        <f>IFERROR(IF($G4989="","",VLOOKUP('Dashboard And Emails Automate'!$G4989,Database!$H:$N,3,0)),"")</f>
        <v/>
      </c>
      <c r="J4989" s="55" t="str">
        <f>IFERROR(IF($G4989="","",VLOOKUP('Dashboard And Emails Automate'!$G4989,Database!$H:$N,4,0)),"")</f>
        <v/>
      </c>
      <c r="K4989" s="55" t="str">
        <f>IFERROR(IF($G4989="","",VLOOKUP('Dashboard And Emails Automate'!$G4989,Database!$H:$N,5,0)),"")</f>
        <v/>
      </c>
      <c r="L4989" s="55" t="str">
        <f>IFERROR(IF($G4989="","",VLOOKUP('Dashboard And Emails Automate'!$G4989,Database!$H:$N,6,0)),"")</f>
        <v/>
      </c>
      <c r="M4989" s="55" t="str">
        <f>IFERROR(IF($G4989="","",VLOOKUP('Dashboard And Emails Automate'!$G4989,Database!$H:$N,7,0)),"")</f>
        <v/>
      </c>
      <c r="N4989" s="55" t="str">
        <f>IFERROR(IF(OR($B4989="",$B4989="(blank)"),"",VLOOKUP($B4989,'Email Marketing Raw Data'!$C:$O,6,0)),"")</f>
        <v/>
      </c>
      <c r="O4989" s="55" t="str">
        <f>IFERROR(IF(OR($B4989="",$B4989="(blank)"),"",VLOOKUP($B4989,'Email Marketing Raw Data'!$C:$O,7,0)),"")</f>
        <v/>
      </c>
      <c r="P4989" s="55" t="str">
        <f>IFERROR(IF(OR($B4989="",$B4989="(blank)"),"",VLOOKUP($B4989,'Email Marketing Raw Data'!$C:$O,8,0)),"")</f>
        <v/>
      </c>
      <c r="Q4989" s="62" t="str">
        <f>IFERROR(IF(OR($B4989="",$B4989="(blank)"),"",VLOOKUP($B4989,'Email Marketing Raw Data'!$C:$O,9,0)),"")</f>
        <v/>
      </c>
    </row>
    <row r="4990" spans="4:17" ht="12.75" customHeight="1" x14ac:dyDescent="0.2">
      <c r="D4990" s="58" t="str">
        <f>IFERROR(IF(F4990&lt;&gt;"pending","",IF(OR($B4990="",$B4990="(blank)"),"",VLOOKUP($B4990,'Email Marketing Raw Data'!$C:$O,10,0))),"")</f>
        <v/>
      </c>
      <c r="E4990" s="59" t="str">
        <f>IFERROR(IF(F4990&lt;&gt;"pending","",IF(OR($B4990="",$B4990="(blank)"),"",VLOOKUP($B4990,'Email Marketing Raw Data'!$C:$O,11,0))),"")</f>
        <v/>
      </c>
      <c r="F4990" s="54" t="str">
        <f>IFERROR(IF(OR($B4990="",$B4990="(blank)"),"",VLOOKUP($B4990,'Email Marketing Raw Data'!$C:$O,13,0)),"")</f>
        <v/>
      </c>
      <c r="G4990" s="55" t="str">
        <f>IFERROR(IF(OR($B4990="",$B4990="(blank)"),"",VLOOKUP($B4990,'Email Marketing Raw Data'!$C:$O,4,0)),"")</f>
        <v/>
      </c>
      <c r="H4990" s="55" t="str">
        <f>IFERROR(IF(OR($B4990="",$B4990="(blank)"),"",VLOOKUP($B4990,'Email Marketing Raw Data'!$C:$O,5,0)),"")</f>
        <v/>
      </c>
      <c r="I4990" s="55" t="str">
        <f>IFERROR(IF($G4990="","",VLOOKUP('Dashboard And Emails Automate'!$G4990,Database!$H:$N,3,0)),"")</f>
        <v/>
      </c>
      <c r="J4990" s="55" t="str">
        <f>IFERROR(IF($G4990="","",VLOOKUP('Dashboard And Emails Automate'!$G4990,Database!$H:$N,4,0)),"")</f>
        <v/>
      </c>
      <c r="K4990" s="55" t="str">
        <f>IFERROR(IF($G4990="","",VLOOKUP('Dashboard And Emails Automate'!$G4990,Database!$H:$N,5,0)),"")</f>
        <v/>
      </c>
      <c r="L4990" s="55" t="str">
        <f>IFERROR(IF($G4990="","",VLOOKUP('Dashboard And Emails Automate'!$G4990,Database!$H:$N,6,0)),"")</f>
        <v/>
      </c>
      <c r="M4990" s="55" t="str">
        <f>IFERROR(IF($G4990="","",VLOOKUP('Dashboard And Emails Automate'!$G4990,Database!$H:$N,7,0)),"")</f>
        <v/>
      </c>
      <c r="N4990" s="55" t="str">
        <f>IFERROR(IF(OR($B4990="",$B4990="(blank)"),"",VLOOKUP($B4990,'Email Marketing Raw Data'!$C:$O,6,0)),"")</f>
        <v/>
      </c>
      <c r="O4990" s="55" t="str">
        <f>IFERROR(IF(OR($B4990="",$B4990="(blank)"),"",VLOOKUP($B4990,'Email Marketing Raw Data'!$C:$O,7,0)),"")</f>
        <v/>
      </c>
      <c r="P4990" s="55" t="str">
        <f>IFERROR(IF(OR($B4990="",$B4990="(blank)"),"",VLOOKUP($B4990,'Email Marketing Raw Data'!$C:$O,8,0)),"")</f>
        <v/>
      </c>
      <c r="Q4990" s="62" t="str">
        <f>IFERROR(IF(OR($B4990="",$B4990="(blank)"),"",VLOOKUP($B4990,'Email Marketing Raw Data'!$C:$O,9,0)),"")</f>
        <v/>
      </c>
    </row>
    <row r="4991" spans="4:17" ht="12.75" customHeight="1" x14ac:dyDescent="0.2">
      <c r="D4991" s="58" t="str">
        <f>IFERROR(IF(F4991&lt;&gt;"pending","",IF(OR($B4991="",$B4991="(blank)"),"",VLOOKUP($B4991,'Email Marketing Raw Data'!$C:$O,10,0))),"")</f>
        <v/>
      </c>
      <c r="E4991" s="59" t="str">
        <f>IFERROR(IF(F4991&lt;&gt;"pending","",IF(OR($B4991="",$B4991="(blank)"),"",VLOOKUP($B4991,'Email Marketing Raw Data'!$C:$O,11,0))),"")</f>
        <v/>
      </c>
      <c r="F4991" s="54" t="str">
        <f>IFERROR(IF(OR($B4991="",$B4991="(blank)"),"",VLOOKUP($B4991,'Email Marketing Raw Data'!$C:$O,13,0)),"")</f>
        <v/>
      </c>
      <c r="G4991" s="55" t="str">
        <f>IFERROR(IF(OR($B4991="",$B4991="(blank)"),"",VLOOKUP($B4991,'Email Marketing Raw Data'!$C:$O,4,0)),"")</f>
        <v/>
      </c>
      <c r="H4991" s="55" t="str">
        <f>IFERROR(IF(OR($B4991="",$B4991="(blank)"),"",VLOOKUP($B4991,'Email Marketing Raw Data'!$C:$O,5,0)),"")</f>
        <v/>
      </c>
      <c r="I4991" s="55" t="str">
        <f>IFERROR(IF($G4991="","",VLOOKUP('Dashboard And Emails Automate'!$G4991,Database!$H:$N,3,0)),"")</f>
        <v/>
      </c>
      <c r="J4991" s="55" t="str">
        <f>IFERROR(IF($G4991="","",VLOOKUP('Dashboard And Emails Automate'!$G4991,Database!$H:$N,4,0)),"")</f>
        <v/>
      </c>
      <c r="K4991" s="55" t="str">
        <f>IFERROR(IF($G4991="","",VLOOKUP('Dashboard And Emails Automate'!$G4991,Database!$H:$N,5,0)),"")</f>
        <v/>
      </c>
      <c r="L4991" s="55" t="str">
        <f>IFERROR(IF($G4991="","",VLOOKUP('Dashboard And Emails Automate'!$G4991,Database!$H:$N,6,0)),"")</f>
        <v/>
      </c>
      <c r="M4991" s="55" t="str">
        <f>IFERROR(IF($G4991="","",VLOOKUP('Dashboard And Emails Automate'!$G4991,Database!$H:$N,7,0)),"")</f>
        <v/>
      </c>
      <c r="N4991" s="55" t="str">
        <f>IFERROR(IF(OR($B4991="",$B4991="(blank)"),"",VLOOKUP($B4991,'Email Marketing Raw Data'!$C:$O,6,0)),"")</f>
        <v/>
      </c>
      <c r="O4991" s="55" t="str">
        <f>IFERROR(IF(OR($B4991="",$B4991="(blank)"),"",VLOOKUP($B4991,'Email Marketing Raw Data'!$C:$O,7,0)),"")</f>
        <v/>
      </c>
      <c r="P4991" s="55" t="str">
        <f>IFERROR(IF(OR($B4991="",$B4991="(blank)"),"",VLOOKUP($B4991,'Email Marketing Raw Data'!$C:$O,8,0)),"")</f>
        <v/>
      </c>
      <c r="Q4991" s="62" t="str">
        <f>IFERROR(IF(OR($B4991="",$B4991="(blank)"),"",VLOOKUP($B4991,'Email Marketing Raw Data'!$C:$O,9,0)),"")</f>
        <v/>
      </c>
    </row>
    <row r="4992" spans="4:17" ht="12.75" customHeight="1" x14ac:dyDescent="0.2">
      <c r="D4992" s="58" t="str">
        <f>IFERROR(IF(F4992&lt;&gt;"pending","",IF(OR($B4992="",$B4992="(blank)"),"",VLOOKUP($B4992,'Email Marketing Raw Data'!$C:$O,10,0))),"")</f>
        <v/>
      </c>
      <c r="E4992" s="59" t="str">
        <f>IFERROR(IF(F4992&lt;&gt;"pending","",IF(OR($B4992="",$B4992="(blank)"),"",VLOOKUP($B4992,'Email Marketing Raw Data'!$C:$O,11,0))),"")</f>
        <v/>
      </c>
      <c r="F4992" s="54" t="str">
        <f>IFERROR(IF(OR($B4992="",$B4992="(blank)"),"",VLOOKUP($B4992,'Email Marketing Raw Data'!$C:$O,13,0)),"")</f>
        <v/>
      </c>
      <c r="G4992" s="55" t="str">
        <f>IFERROR(IF(OR($B4992="",$B4992="(blank)"),"",VLOOKUP($B4992,'Email Marketing Raw Data'!$C:$O,4,0)),"")</f>
        <v/>
      </c>
      <c r="H4992" s="55" t="str">
        <f>IFERROR(IF(OR($B4992="",$B4992="(blank)"),"",VLOOKUP($B4992,'Email Marketing Raw Data'!$C:$O,5,0)),"")</f>
        <v/>
      </c>
      <c r="I4992" s="55" t="str">
        <f>IFERROR(IF($G4992="","",VLOOKUP('Dashboard And Emails Automate'!$G4992,Database!$H:$N,3,0)),"")</f>
        <v/>
      </c>
      <c r="J4992" s="55" t="str">
        <f>IFERROR(IF($G4992="","",VLOOKUP('Dashboard And Emails Automate'!$G4992,Database!$H:$N,4,0)),"")</f>
        <v/>
      </c>
      <c r="K4992" s="55" t="str">
        <f>IFERROR(IF($G4992="","",VLOOKUP('Dashboard And Emails Automate'!$G4992,Database!$H:$N,5,0)),"")</f>
        <v/>
      </c>
      <c r="L4992" s="55" t="str">
        <f>IFERROR(IF($G4992="","",VLOOKUP('Dashboard And Emails Automate'!$G4992,Database!$H:$N,6,0)),"")</f>
        <v/>
      </c>
      <c r="M4992" s="55" t="str">
        <f>IFERROR(IF($G4992="","",VLOOKUP('Dashboard And Emails Automate'!$G4992,Database!$H:$N,7,0)),"")</f>
        <v/>
      </c>
      <c r="N4992" s="55" t="str">
        <f>IFERROR(IF(OR($B4992="",$B4992="(blank)"),"",VLOOKUP($B4992,'Email Marketing Raw Data'!$C:$O,6,0)),"")</f>
        <v/>
      </c>
      <c r="O4992" s="55" t="str">
        <f>IFERROR(IF(OR($B4992="",$B4992="(blank)"),"",VLOOKUP($B4992,'Email Marketing Raw Data'!$C:$O,7,0)),"")</f>
        <v/>
      </c>
      <c r="P4992" s="55" t="str">
        <f>IFERROR(IF(OR($B4992="",$B4992="(blank)"),"",VLOOKUP($B4992,'Email Marketing Raw Data'!$C:$O,8,0)),"")</f>
        <v/>
      </c>
      <c r="Q4992" s="62" t="str">
        <f>IFERROR(IF(OR($B4992="",$B4992="(blank)"),"",VLOOKUP($B4992,'Email Marketing Raw Data'!$C:$O,9,0)),"")</f>
        <v/>
      </c>
    </row>
    <row r="4993" spans="4:17" ht="12.75" customHeight="1" x14ac:dyDescent="0.2">
      <c r="D4993" s="58" t="str">
        <f>IFERROR(IF(F4993&lt;&gt;"pending","",IF(OR($B4993="",$B4993="(blank)"),"",VLOOKUP($B4993,'Email Marketing Raw Data'!$C:$O,10,0))),"")</f>
        <v/>
      </c>
      <c r="E4993" s="59" t="str">
        <f>IFERROR(IF(F4993&lt;&gt;"pending","",IF(OR($B4993="",$B4993="(blank)"),"",VLOOKUP($B4993,'Email Marketing Raw Data'!$C:$O,11,0))),"")</f>
        <v/>
      </c>
      <c r="F4993" s="54" t="str">
        <f>IFERROR(IF(OR($B4993="",$B4993="(blank)"),"",VLOOKUP($B4993,'Email Marketing Raw Data'!$C:$O,13,0)),"")</f>
        <v/>
      </c>
      <c r="G4993" s="55" t="str">
        <f>IFERROR(IF(OR($B4993="",$B4993="(blank)"),"",VLOOKUP($B4993,'Email Marketing Raw Data'!$C:$O,4,0)),"")</f>
        <v/>
      </c>
      <c r="H4993" s="55" t="str">
        <f>IFERROR(IF(OR($B4993="",$B4993="(blank)"),"",VLOOKUP($B4993,'Email Marketing Raw Data'!$C:$O,5,0)),"")</f>
        <v/>
      </c>
      <c r="I4993" s="55" t="str">
        <f>IFERROR(IF($G4993="","",VLOOKUP('Dashboard And Emails Automate'!$G4993,Database!$H:$N,3,0)),"")</f>
        <v/>
      </c>
      <c r="J4993" s="55" t="str">
        <f>IFERROR(IF($G4993="","",VLOOKUP('Dashboard And Emails Automate'!$G4993,Database!$H:$N,4,0)),"")</f>
        <v/>
      </c>
      <c r="K4993" s="55" t="str">
        <f>IFERROR(IF($G4993="","",VLOOKUP('Dashboard And Emails Automate'!$G4993,Database!$H:$N,5,0)),"")</f>
        <v/>
      </c>
      <c r="L4993" s="55" t="str">
        <f>IFERROR(IF($G4993="","",VLOOKUP('Dashboard And Emails Automate'!$G4993,Database!$H:$N,6,0)),"")</f>
        <v/>
      </c>
      <c r="M4993" s="55" t="str">
        <f>IFERROR(IF($G4993="","",VLOOKUP('Dashboard And Emails Automate'!$G4993,Database!$H:$N,7,0)),"")</f>
        <v/>
      </c>
      <c r="N4993" s="55" t="str">
        <f>IFERROR(IF(OR($B4993="",$B4993="(blank)"),"",VLOOKUP($B4993,'Email Marketing Raw Data'!$C:$O,6,0)),"")</f>
        <v/>
      </c>
      <c r="O4993" s="55" t="str">
        <f>IFERROR(IF(OR($B4993="",$B4993="(blank)"),"",VLOOKUP($B4993,'Email Marketing Raw Data'!$C:$O,7,0)),"")</f>
        <v/>
      </c>
      <c r="P4993" s="55" t="str">
        <f>IFERROR(IF(OR($B4993="",$B4993="(blank)"),"",VLOOKUP($B4993,'Email Marketing Raw Data'!$C:$O,8,0)),"")</f>
        <v/>
      </c>
      <c r="Q4993" s="62" t="str">
        <f>IFERROR(IF(OR($B4993="",$B4993="(blank)"),"",VLOOKUP($B4993,'Email Marketing Raw Data'!$C:$O,9,0)),"")</f>
        <v/>
      </c>
    </row>
    <row r="4994" spans="4:17" ht="12.75" customHeight="1" x14ac:dyDescent="0.2">
      <c r="D4994" s="58" t="str">
        <f>IFERROR(IF(F4994&lt;&gt;"pending","",IF(OR($B4994="",$B4994="(blank)"),"",VLOOKUP($B4994,'Email Marketing Raw Data'!$C:$O,10,0))),"")</f>
        <v/>
      </c>
      <c r="E4994" s="59" t="str">
        <f>IFERROR(IF(F4994&lt;&gt;"pending","",IF(OR($B4994="",$B4994="(blank)"),"",VLOOKUP($B4994,'Email Marketing Raw Data'!$C:$O,11,0))),"")</f>
        <v/>
      </c>
      <c r="F4994" s="54" t="str">
        <f>IFERROR(IF(OR($B4994="",$B4994="(blank)"),"",VLOOKUP($B4994,'Email Marketing Raw Data'!$C:$O,13,0)),"")</f>
        <v/>
      </c>
      <c r="G4994" s="55" t="str">
        <f>IFERROR(IF(OR($B4994="",$B4994="(blank)"),"",VLOOKUP($B4994,'Email Marketing Raw Data'!$C:$O,4,0)),"")</f>
        <v/>
      </c>
      <c r="H4994" s="55" t="str">
        <f>IFERROR(IF(OR($B4994="",$B4994="(blank)"),"",VLOOKUP($B4994,'Email Marketing Raw Data'!$C:$O,5,0)),"")</f>
        <v/>
      </c>
      <c r="I4994" s="55" t="str">
        <f>IFERROR(IF($G4994="","",VLOOKUP('Dashboard And Emails Automate'!$G4994,Database!$H:$N,3,0)),"")</f>
        <v/>
      </c>
      <c r="J4994" s="55" t="str">
        <f>IFERROR(IF($G4994="","",VLOOKUP('Dashboard And Emails Automate'!$G4994,Database!$H:$N,4,0)),"")</f>
        <v/>
      </c>
      <c r="K4994" s="55" t="str">
        <f>IFERROR(IF($G4994="","",VLOOKUP('Dashboard And Emails Automate'!$G4994,Database!$H:$N,5,0)),"")</f>
        <v/>
      </c>
      <c r="L4994" s="55" t="str">
        <f>IFERROR(IF($G4994="","",VLOOKUP('Dashboard And Emails Automate'!$G4994,Database!$H:$N,6,0)),"")</f>
        <v/>
      </c>
      <c r="M4994" s="55" t="str">
        <f>IFERROR(IF($G4994="","",VLOOKUP('Dashboard And Emails Automate'!$G4994,Database!$H:$N,7,0)),"")</f>
        <v/>
      </c>
      <c r="N4994" s="55" t="str">
        <f>IFERROR(IF(OR($B4994="",$B4994="(blank)"),"",VLOOKUP($B4994,'Email Marketing Raw Data'!$C:$O,6,0)),"")</f>
        <v/>
      </c>
      <c r="O4994" s="55" t="str">
        <f>IFERROR(IF(OR($B4994="",$B4994="(blank)"),"",VLOOKUP($B4994,'Email Marketing Raw Data'!$C:$O,7,0)),"")</f>
        <v/>
      </c>
      <c r="P4994" s="55" t="str">
        <f>IFERROR(IF(OR($B4994="",$B4994="(blank)"),"",VLOOKUP($B4994,'Email Marketing Raw Data'!$C:$O,8,0)),"")</f>
        <v/>
      </c>
      <c r="Q4994" s="62" t="str">
        <f>IFERROR(IF(OR($B4994="",$B4994="(blank)"),"",VLOOKUP($B4994,'Email Marketing Raw Data'!$C:$O,9,0)),"")</f>
        <v/>
      </c>
    </row>
    <row r="4995" spans="4:17" ht="12.75" customHeight="1" x14ac:dyDescent="0.2">
      <c r="D4995" s="58" t="str">
        <f>IFERROR(IF(F4995&lt;&gt;"pending","",IF(OR($B4995="",$B4995="(blank)"),"",VLOOKUP($B4995,'Email Marketing Raw Data'!$C:$O,10,0))),"")</f>
        <v/>
      </c>
      <c r="E4995" s="59" t="str">
        <f>IFERROR(IF(F4995&lt;&gt;"pending","",IF(OR($B4995="",$B4995="(blank)"),"",VLOOKUP($B4995,'Email Marketing Raw Data'!$C:$O,11,0))),"")</f>
        <v/>
      </c>
      <c r="F4995" s="54" t="str">
        <f>IFERROR(IF(OR($B4995="",$B4995="(blank)"),"",VLOOKUP($B4995,'Email Marketing Raw Data'!$C:$O,13,0)),"")</f>
        <v/>
      </c>
      <c r="G4995" s="55" t="str">
        <f>IFERROR(IF(OR($B4995="",$B4995="(blank)"),"",VLOOKUP($B4995,'Email Marketing Raw Data'!$C:$O,4,0)),"")</f>
        <v/>
      </c>
      <c r="H4995" s="55" t="str">
        <f>IFERROR(IF(OR($B4995="",$B4995="(blank)"),"",VLOOKUP($B4995,'Email Marketing Raw Data'!$C:$O,5,0)),"")</f>
        <v/>
      </c>
      <c r="I4995" s="55" t="str">
        <f>IFERROR(IF($G4995="","",VLOOKUP('Dashboard And Emails Automate'!$G4995,Database!$H:$N,3,0)),"")</f>
        <v/>
      </c>
      <c r="J4995" s="55" t="str">
        <f>IFERROR(IF($G4995="","",VLOOKUP('Dashboard And Emails Automate'!$G4995,Database!$H:$N,4,0)),"")</f>
        <v/>
      </c>
      <c r="K4995" s="55" t="str">
        <f>IFERROR(IF($G4995="","",VLOOKUP('Dashboard And Emails Automate'!$G4995,Database!$H:$N,5,0)),"")</f>
        <v/>
      </c>
      <c r="L4995" s="55" t="str">
        <f>IFERROR(IF($G4995="","",VLOOKUP('Dashboard And Emails Automate'!$G4995,Database!$H:$N,6,0)),"")</f>
        <v/>
      </c>
      <c r="M4995" s="55" t="str">
        <f>IFERROR(IF($G4995="","",VLOOKUP('Dashboard And Emails Automate'!$G4995,Database!$H:$N,7,0)),"")</f>
        <v/>
      </c>
      <c r="N4995" s="55" t="str">
        <f>IFERROR(IF(OR($B4995="",$B4995="(blank)"),"",VLOOKUP($B4995,'Email Marketing Raw Data'!$C:$O,6,0)),"")</f>
        <v/>
      </c>
      <c r="O4995" s="55" t="str">
        <f>IFERROR(IF(OR($B4995="",$B4995="(blank)"),"",VLOOKUP($B4995,'Email Marketing Raw Data'!$C:$O,7,0)),"")</f>
        <v/>
      </c>
      <c r="P4995" s="55" t="str">
        <f>IFERROR(IF(OR($B4995="",$B4995="(blank)"),"",VLOOKUP($B4995,'Email Marketing Raw Data'!$C:$O,8,0)),"")</f>
        <v/>
      </c>
      <c r="Q4995" s="62" t="str">
        <f>IFERROR(IF(OR($B4995="",$B4995="(blank)"),"",VLOOKUP($B4995,'Email Marketing Raw Data'!$C:$O,9,0)),"")</f>
        <v/>
      </c>
    </row>
    <row r="4996" spans="4:17" ht="12.75" customHeight="1" x14ac:dyDescent="0.2">
      <c r="D4996" s="58" t="str">
        <f>IFERROR(IF(F4996&lt;&gt;"pending","",IF(OR($B4996="",$B4996="(blank)"),"",VLOOKUP($B4996,'Email Marketing Raw Data'!$C:$O,10,0))),"")</f>
        <v/>
      </c>
      <c r="E4996" s="59" t="str">
        <f>IFERROR(IF(F4996&lt;&gt;"pending","",IF(OR($B4996="",$B4996="(blank)"),"",VLOOKUP($B4996,'Email Marketing Raw Data'!$C:$O,11,0))),"")</f>
        <v/>
      </c>
      <c r="F4996" s="54" t="str">
        <f>IFERROR(IF(OR($B4996="",$B4996="(blank)"),"",VLOOKUP($B4996,'Email Marketing Raw Data'!$C:$O,13,0)),"")</f>
        <v/>
      </c>
      <c r="G4996" s="55" t="str">
        <f>IFERROR(IF(OR($B4996="",$B4996="(blank)"),"",VLOOKUP($B4996,'Email Marketing Raw Data'!$C:$O,4,0)),"")</f>
        <v/>
      </c>
      <c r="H4996" s="55" t="str">
        <f>IFERROR(IF(OR($B4996="",$B4996="(blank)"),"",VLOOKUP($B4996,'Email Marketing Raw Data'!$C:$O,5,0)),"")</f>
        <v/>
      </c>
      <c r="I4996" s="55" t="str">
        <f>IFERROR(IF($G4996="","",VLOOKUP('Dashboard And Emails Automate'!$G4996,Database!$H:$N,3,0)),"")</f>
        <v/>
      </c>
      <c r="J4996" s="55" t="str">
        <f>IFERROR(IF($G4996="","",VLOOKUP('Dashboard And Emails Automate'!$G4996,Database!$H:$N,4,0)),"")</f>
        <v/>
      </c>
      <c r="K4996" s="55" t="str">
        <f>IFERROR(IF($G4996="","",VLOOKUP('Dashboard And Emails Automate'!$G4996,Database!$H:$N,5,0)),"")</f>
        <v/>
      </c>
      <c r="L4996" s="55" t="str">
        <f>IFERROR(IF($G4996="","",VLOOKUP('Dashboard And Emails Automate'!$G4996,Database!$H:$N,6,0)),"")</f>
        <v/>
      </c>
      <c r="M4996" s="55" t="str">
        <f>IFERROR(IF($G4996="","",VLOOKUP('Dashboard And Emails Automate'!$G4996,Database!$H:$N,7,0)),"")</f>
        <v/>
      </c>
      <c r="N4996" s="55" t="str">
        <f>IFERROR(IF(OR($B4996="",$B4996="(blank)"),"",VLOOKUP($B4996,'Email Marketing Raw Data'!$C:$O,6,0)),"")</f>
        <v/>
      </c>
      <c r="O4996" s="55" t="str">
        <f>IFERROR(IF(OR($B4996="",$B4996="(blank)"),"",VLOOKUP($B4996,'Email Marketing Raw Data'!$C:$O,7,0)),"")</f>
        <v/>
      </c>
      <c r="P4996" s="55" t="str">
        <f>IFERROR(IF(OR($B4996="",$B4996="(blank)"),"",VLOOKUP($B4996,'Email Marketing Raw Data'!$C:$O,8,0)),"")</f>
        <v/>
      </c>
      <c r="Q4996" s="62" t="str">
        <f>IFERROR(IF(OR($B4996="",$B4996="(blank)"),"",VLOOKUP($B4996,'Email Marketing Raw Data'!$C:$O,9,0)),"")</f>
        <v/>
      </c>
    </row>
    <row r="4997" spans="4:17" ht="12.75" customHeight="1" x14ac:dyDescent="0.2">
      <c r="D4997" s="58" t="str">
        <f>IFERROR(IF(F4997&lt;&gt;"pending","",IF(OR($B4997="",$B4997="(blank)"),"",VLOOKUP($B4997,'Email Marketing Raw Data'!$C:$O,10,0))),"")</f>
        <v/>
      </c>
      <c r="E4997" s="59" t="str">
        <f>IFERROR(IF(F4997&lt;&gt;"pending","",IF(OR($B4997="",$B4997="(blank)"),"",VLOOKUP($B4997,'Email Marketing Raw Data'!$C:$O,11,0))),"")</f>
        <v/>
      </c>
      <c r="F4997" s="54" t="str">
        <f>IFERROR(IF(OR($B4997="",$B4997="(blank)"),"",VLOOKUP($B4997,'Email Marketing Raw Data'!$C:$O,13,0)),"")</f>
        <v/>
      </c>
      <c r="G4997" s="55" t="str">
        <f>IFERROR(IF(OR($B4997="",$B4997="(blank)"),"",VLOOKUP($B4997,'Email Marketing Raw Data'!$C:$O,4,0)),"")</f>
        <v/>
      </c>
      <c r="H4997" s="55" t="str">
        <f>IFERROR(IF(OR($B4997="",$B4997="(blank)"),"",VLOOKUP($B4997,'Email Marketing Raw Data'!$C:$O,5,0)),"")</f>
        <v/>
      </c>
      <c r="I4997" s="55" t="str">
        <f>IFERROR(IF($G4997="","",VLOOKUP('Dashboard And Emails Automate'!$G4997,Database!$H:$N,3,0)),"")</f>
        <v/>
      </c>
      <c r="J4997" s="55" t="str">
        <f>IFERROR(IF($G4997="","",VLOOKUP('Dashboard And Emails Automate'!$G4997,Database!$H:$N,4,0)),"")</f>
        <v/>
      </c>
      <c r="K4997" s="55" t="str">
        <f>IFERROR(IF($G4997="","",VLOOKUP('Dashboard And Emails Automate'!$G4997,Database!$H:$N,5,0)),"")</f>
        <v/>
      </c>
      <c r="L4997" s="55" t="str">
        <f>IFERROR(IF($G4997="","",VLOOKUP('Dashboard And Emails Automate'!$G4997,Database!$H:$N,6,0)),"")</f>
        <v/>
      </c>
      <c r="M4997" s="55" t="str">
        <f>IFERROR(IF($G4997="","",VLOOKUP('Dashboard And Emails Automate'!$G4997,Database!$H:$N,7,0)),"")</f>
        <v/>
      </c>
      <c r="N4997" s="55" t="str">
        <f>IFERROR(IF(OR($B4997="",$B4997="(blank)"),"",VLOOKUP($B4997,'Email Marketing Raw Data'!$C:$O,6,0)),"")</f>
        <v/>
      </c>
      <c r="O4997" s="55" t="str">
        <f>IFERROR(IF(OR($B4997="",$B4997="(blank)"),"",VLOOKUP($B4997,'Email Marketing Raw Data'!$C:$O,7,0)),"")</f>
        <v/>
      </c>
      <c r="P4997" s="55" t="str">
        <f>IFERROR(IF(OR($B4997="",$B4997="(blank)"),"",VLOOKUP($B4997,'Email Marketing Raw Data'!$C:$O,8,0)),"")</f>
        <v/>
      </c>
      <c r="Q4997" s="62" t="str">
        <f>IFERROR(IF(OR($B4997="",$B4997="(blank)"),"",VLOOKUP($B4997,'Email Marketing Raw Data'!$C:$O,9,0)),"")</f>
        <v/>
      </c>
    </row>
    <row r="4998" spans="4:17" ht="12.75" customHeight="1" x14ac:dyDescent="0.2">
      <c r="D4998" s="58" t="str">
        <f>IFERROR(IF(F4998&lt;&gt;"pending","",IF(OR($B4998="",$B4998="(blank)"),"",VLOOKUP($B4998,'Email Marketing Raw Data'!$C:$O,10,0))),"")</f>
        <v/>
      </c>
      <c r="E4998" s="59" t="str">
        <f>IFERROR(IF(F4998&lt;&gt;"pending","",IF(OR($B4998="",$B4998="(blank)"),"",VLOOKUP($B4998,'Email Marketing Raw Data'!$C:$O,11,0))),"")</f>
        <v/>
      </c>
      <c r="F4998" s="54" t="str">
        <f>IFERROR(IF(OR($B4998="",$B4998="(blank)"),"",VLOOKUP($B4998,'Email Marketing Raw Data'!$C:$O,13,0)),"")</f>
        <v/>
      </c>
      <c r="G4998" s="55" t="str">
        <f>IFERROR(IF(OR($B4998="",$B4998="(blank)"),"",VLOOKUP($B4998,'Email Marketing Raw Data'!$C:$O,4,0)),"")</f>
        <v/>
      </c>
      <c r="H4998" s="55" t="str">
        <f>IFERROR(IF(OR($B4998="",$B4998="(blank)"),"",VLOOKUP($B4998,'Email Marketing Raw Data'!$C:$O,5,0)),"")</f>
        <v/>
      </c>
      <c r="I4998" s="55" t="str">
        <f>IFERROR(IF($G4998="","",VLOOKUP('Dashboard And Emails Automate'!$G4998,Database!$H:$N,3,0)),"")</f>
        <v/>
      </c>
      <c r="J4998" s="55" t="str">
        <f>IFERROR(IF($G4998="","",VLOOKUP('Dashboard And Emails Automate'!$G4998,Database!$H:$N,4,0)),"")</f>
        <v/>
      </c>
      <c r="K4998" s="55" t="str">
        <f>IFERROR(IF($G4998="","",VLOOKUP('Dashboard And Emails Automate'!$G4998,Database!$H:$N,5,0)),"")</f>
        <v/>
      </c>
      <c r="L4998" s="55" t="str">
        <f>IFERROR(IF($G4998="","",VLOOKUP('Dashboard And Emails Automate'!$G4998,Database!$H:$N,6,0)),"")</f>
        <v/>
      </c>
      <c r="M4998" s="55" t="str">
        <f>IFERROR(IF($G4998="","",VLOOKUP('Dashboard And Emails Automate'!$G4998,Database!$H:$N,7,0)),"")</f>
        <v/>
      </c>
      <c r="N4998" s="55" t="str">
        <f>IFERROR(IF(OR($B4998="",$B4998="(blank)"),"",VLOOKUP($B4998,'Email Marketing Raw Data'!$C:$O,6,0)),"")</f>
        <v/>
      </c>
      <c r="O4998" s="55" t="str">
        <f>IFERROR(IF(OR($B4998="",$B4998="(blank)"),"",VLOOKUP($B4998,'Email Marketing Raw Data'!$C:$O,7,0)),"")</f>
        <v/>
      </c>
      <c r="P4998" s="55" t="str">
        <f>IFERROR(IF(OR($B4998="",$B4998="(blank)"),"",VLOOKUP($B4998,'Email Marketing Raw Data'!$C:$O,8,0)),"")</f>
        <v/>
      </c>
      <c r="Q4998" s="62" t="str">
        <f>IFERROR(IF(OR($B4998="",$B4998="(blank)"),"",VLOOKUP($B4998,'Email Marketing Raw Data'!$C:$O,9,0)),"")</f>
        <v/>
      </c>
    </row>
    <row r="4999" spans="4:17" ht="12.75" customHeight="1" x14ac:dyDescent="0.2">
      <c r="D4999" s="58" t="str">
        <f>IFERROR(IF(F4999&lt;&gt;"pending","",IF(OR($B4999="",$B4999="(blank)"),"",VLOOKUP($B4999,'Email Marketing Raw Data'!$C:$O,10,0))),"")</f>
        <v/>
      </c>
      <c r="E4999" s="59" t="str">
        <f>IFERROR(IF(F4999&lt;&gt;"pending","",IF(OR($B4999="",$B4999="(blank)"),"",VLOOKUP($B4999,'Email Marketing Raw Data'!$C:$O,11,0))),"")</f>
        <v/>
      </c>
      <c r="F4999" s="54" t="str">
        <f>IFERROR(IF(OR($B4999="",$B4999="(blank)"),"",VLOOKUP($B4999,'Email Marketing Raw Data'!$C:$O,13,0)),"")</f>
        <v/>
      </c>
      <c r="G4999" s="55" t="str">
        <f>IFERROR(IF(OR($B4999="",$B4999="(blank)"),"",VLOOKUP($B4999,'Email Marketing Raw Data'!$C:$O,4,0)),"")</f>
        <v/>
      </c>
      <c r="H4999" s="55" t="str">
        <f>IFERROR(IF(OR($B4999="",$B4999="(blank)"),"",VLOOKUP($B4999,'Email Marketing Raw Data'!$C:$O,5,0)),"")</f>
        <v/>
      </c>
      <c r="I4999" s="55" t="str">
        <f>IFERROR(IF($G4999="","",VLOOKUP('Dashboard And Emails Automate'!$G4999,Database!$H:$N,3,0)),"")</f>
        <v/>
      </c>
      <c r="J4999" s="55" t="str">
        <f>IFERROR(IF($G4999="","",VLOOKUP('Dashboard And Emails Automate'!$G4999,Database!$H:$N,4,0)),"")</f>
        <v/>
      </c>
      <c r="K4999" s="55" t="str">
        <f>IFERROR(IF($G4999="","",VLOOKUP('Dashboard And Emails Automate'!$G4999,Database!$H:$N,5,0)),"")</f>
        <v/>
      </c>
      <c r="L4999" s="55" t="str">
        <f>IFERROR(IF($G4999="","",VLOOKUP('Dashboard And Emails Automate'!$G4999,Database!$H:$N,6,0)),"")</f>
        <v/>
      </c>
      <c r="M4999" s="55" t="str">
        <f>IFERROR(IF($G4999="","",VLOOKUP('Dashboard And Emails Automate'!$G4999,Database!$H:$N,7,0)),"")</f>
        <v/>
      </c>
      <c r="N4999" s="55" t="str">
        <f>IFERROR(IF(OR($B4999="",$B4999="(blank)"),"",VLOOKUP($B4999,'Email Marketing Raw Data'!$C:$O,6,0)),"")</f>
        <v/>
      </c>
      <c r="O4999" s="55" t="str">
        <f>IFERROR(IF(OR($B4999="",$B4999="(blank)"),"",VLOOKUP($B4999,'Email Marketing Raw Data'!$C:$O,7,0)),"")</f>
        <v/>
      </c>
      <c r="P4999" s="55" t="str">
        <f>IFERROR(IF(OR($B4999="",$B4999="(blank)"),"",VLOOKUP($B4999,'Email Marketing Raw Data'!$C:$O,8,0)),"")</f>
        <v/>
      </c>
      <c r="Q4999" s="62" t="str">
        <f>IFERROR(IF(OR($B4999="",$B4999="(blank)"),"",VLOOKUP($B4999,'Email Marketing Raw Data'!$C:$O,9,0)),"")</f>
        <v/>
      </c>
    </row>
    <row r="5000" spans="4:17" ht="12.75" customHeight="1" x14ac:dyDescent="0.2">
      <c r="D5000" s="58" t="str">
        <f>IFERROR(IF(F5000&lt;&gt;"pending","",IF(OR($B5000="",$B5000="(blank)"),"",VLOOKUP($B5000,'Email Marketing Raw Data'!$C:$O,10,0))),"")</f>
        <v/>
      </c>
      <c r="E5000" s="59" t="str">
        <f>IFERROR(IF(F5000&lt;&gt;"pending","",IF(OR($B5000="",$B5000="(blank)"),"",VLOOKUP($B5000,'Email Marketing Raw Data'!$C:$O,11,0))),"")</f>
        <v/>
      </c>
      <c r="F5000" s="54" t="str">
        <f>IFERROR(IF(OR($B5000="",$B5000="(blank)"),"",VLOOKUP($B5000,'Email Marketing Raw Data'!$C:$O,13,0)),"")</f>
        <v/>
      </c>
      <c r="G5000" s="55" t="str">
        <f>IFERROR(IF(OR($B5000="",$B5000="(blank)"),"",VLOOKUP($B5000,'Email Marketing Raw Data'!$C:$O,4,0)),"")</f>
        <v/>
      </c>
      <c r="H5000" s="55" t="str">
        <f>IFERROR(IF(OR($B5000="",$B5000="(blank)"),"",VLOOKUP($B5000,'Email Marketing Raw Data'!$C:$O,5,0)),"")</f>
        <v/>
      </c>
      <c r="I5000" s="55" t="str">
        <f>IFERROR(IF($G5000="","",VLOOKUP('Dashboard And Emails Automate'!$G5000,Database!$H:$N,3,0)),"")</f>
        <v/>
      </c>
      <c r="J5000" s="55" t="str">
        <f>IFERROR(IF($G5000="","",VLOOKUP('Dashboard And Emails Automate'!$G5000,Database!$H:$N,4,0)),"")</f>
        <v/>
      </c>
      <c r="K5000" s="55" t="str">
        <f>IFERROR(IF($G5000="","",VLOOKUP('Dashboard And Emails Automate'!$G5000,Database!$H:$N,5,0)),"")</f>
        <v/>
      </c>
      <c r="L5000" s="55" t="str">
        <f>IFERROR(IF($G5000="","",VLOOKUP('Dashboard And Emails Automate'!$G5000,Database!$H:$N,6,0)),"")</f>
        <v/>
      </c>
      <c r="M5000" s="55" t="str">
        <f>IFERROR(IF($G5000="","",VLOOKUP('Dashboard And Emails Automate'!$G5000,Database!$H:$N,7,0)),"")</f>
        <v/>
      </c>
      <c r="N5000" s="55" t="str">
        <f>IFERROR(IF(OR($B5000="",$B5000="(blank)"),"",VLOOKUP($B5000,'Email Marketing Raw Data'!$C:$O,6,0)),"")</f>
        <v/>
      </c>
      <c r="O5000" s="55" t="str">
        <f>IFERROR(IF(OR($B5000="",$B5000="(blank)"),"",VLOOKUP($B5000,'Email Marketing Raw Data'!$C:$O,7,0)),"")</f>
        <v/>
      </c>
      <c r="P5000" s="55" t="str">
        <f>IFERROR(IF(OR($B5000="",$B5000="(blank)"),"",VLOOKUP($B5000,'Email Marketing Raw Data'!$C:$O,8,0)),"")</f>
        <v/>
      </c>
      <c r="Q5000" s="62" t="str">
        <f>IFERROR(IF(OR($B5000="",$B5000="(blank)"),"",VLOOKUP($B5000,'Email Marketing Raw Data'!$C:$O,9,0)),"")</f>
        <v/>
      </c>
    </row>
  </sheetData>
  <sheetProtection autoFilter="0" pivotTables="0"/>
  <mergeCells count="7">
    <mergeCell ref="O8:O10"/>
    <mergeCell ref="P8:P10"/>
    <mergeCell ref="Q8:Q10"/>
    <mergeCell ref="K8:K10"/>
    <mergeCell ref="L8:L10"/>
    <mergeCell ref="M8:M10"/>
    <mergeCell ref="N8:N10"/>
  </mergeCells>
  <conditionalFormatting sqref="D13:Q5000">
    <cfRule type="expression" dxfId="27" priority="1">
      <formula>$B13&lt;&gt;""</formula>
    </cfRule>
  </conditionalFormatting>
  <conditionalFormatting pivot="1" sqref="C13:C33">
    <cfRule type="dataBar" priority="13">
      <dataBar>
        <cfvo type="min"/>
        <cfvo type="max"/>
        <color rgb="FF63C384"/>
      </dataBar>
      <extLst>
        <ext xmlns:x14="http://schemas.microsoft.com/office/spreadsheetml/2009/9/main" uri="{B025F937-C7B1-47D3-B67F-A62EFF666E3E}">
          <x14:id>{7805FEF7-3E0C-4702-87B8-B60A73D0FEC5}</x14:id>
        </ext>
      </extLst>
    </cfRule>
  </conditionalFormatting>
  <conditionalFormatting sqref="F13:F5000">
    <cfRule type="containsText" dxfId="26" priority="7" operator="containsText" text="clicked">
      <formula>NOT(ISERROR(SEARCH("clicked",F13)))</formula>
    </cfRule>
    <cfRule type="containsText" dxfId="25" priority="8" operator="containsText" text="opened">
      <formula>NOT(ISERROR(SEARCH("opened",F13)))</formula>
    </cfRule>
    <cfRule type="containsText" dxfId="24" priority="9" operator="containsText" text="delivere">
      <formula>NOT(ISERROR(SEARCH("delivere",F13)))</formula>
    </cfRule>
    <cfRule type="containsText" dxfId="23" priority="10" operator="containsText" text="sent">
      <formula>NOT(ISERROR(SEARCH("sent",F13)))</formula>
    </cfRule>
    <cfRule type="containsText" dxfId="22" priority="11" operator="containsText" text="pending">
      <formula>NOT(ISERROR(SEARCH("pending",F13)))</formula>
    </cfRule>
  </conditionalFormatting>
  <conditionalFormatting sqref="M8:M10 O8:O10 Q8:Q10">
    <cfRule type="cellIs" dxfId="21" priority="2" operator="lessThan">
      <formula>0.74999999999</formula>
    </cfRule>
    <cfRule type="cellIs" dxfId="20" priority="3" operator="between">
      <formula>0.899999999</formula>
      <formula>0.75</formula>
    </cfRule>
    <cfRule type="cellIs" dxfId="19" priority="4" operator="greaterThan">
      <formula>0.9</formula>
    </cfRule>
  </conditionalFormatting>
  <conditionalFormatting sqref="B35:Q3003 D3004:Q5000 B13:B34 D13:Q34">
    <cfRule type="expression" dxfId="18" priority="14">
      <formula>OR(CELL("row")=CELL("row",B13))</formula>
    </cfRule>
  </conditionalFormatting>
  <dataValidations disablePrompts="1" count="1">
    <dataValidation type="list" allowBlank="1" showInputMessage="1" showErrorMessage="1" sqref="B10" xr:uid="{26B4719E-F6D6-4B29-A4F7-84C5C99EE12E}">
      <formula1>Email_filter</formula1>
    </dataValidation>
  </dataValidations>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4097" r:id="rId5" name="Button 1">
              <controlPr defaultSize="0" print="0" autoFill="0" autoPict="0" macro="[0]!Full_screen">
                <anchor moveWithCells="1" sizeWithCells="1">
                  <from>
                    <xdr:col>1</xdr:col>
                    <xdr:colOff>9525</xdr:colOff>
                    <xdr:row>7</xdr:row>
                    <xdr:rowOff>0</xdr:rowOff>
                  </from>
                  <to>
                    <xdr:col>1</xdr:col>
                    <xdr:colOff>1095375</xdr:colOff>
                    <xdr:row>7</xdr:row>
                    <xdr:rowOff>200025</xdr:rowOff>
                  </to>
                </anchor>
              </controlPr>
            </control>
          </mc:Choice>
        </mc:AlternateContent>
        <mc:AlternateContent xmlns:mc="http://schemas.openxmlformats.org/markup-compatibility/2006">
          <mc:Choice Requires="x14">
            <control shapeId="4098" r:id="rId6" name="Button 2">
              <controlPr defaultSize="0" print="0" autoFill="0" autoPict="0" macro="[0]!Refresh">
                <anchor moveWithCells="1" sizeWithCells="1">
                  <from>
                    <xdr:col>1</xdr:col>
                    <xdr:colOff>1104900</xdr:colOff>
                    <xdr:row>7</xdr:row>
                    <xdr:rowOff>0</xdr:rowOff>
                  </from>
                  <to>
                    <xdr:col>3</xdr:col>
                    <xdr:colOff>9525</xdr:colOff>
                    <xdr:row>7</xdr:row>
                    <xdr:rowOff>200025</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pivot="1">
          <x14:cfRule type="dataBar" id="{7805FEF7-3E0C-4702-87B8-B60A73D0FEC5}">
            <x14:dataBar minLength="0" maxLength="100" border="1" negativeBarBorderColorSameAsPositive="0">
              <x14:cfvo type="autoMin"/>
              <x14:cfvo type="autoMax"/>
              <x14:borderColor rgb="FF63C384"/>
              <x14:negativeFillColor rgb="FFFF0000"/>
              <x14:negativeBorderColor rgb="FFFF0000"/>
              <x14:axisColor rgb="FF000000"/>
            </x14:dataBar>
          </x14:cfRule>
          <xm:sqref>C13:C33</xm:sqref>
        </x14:conditionalFormatting>
      </x14:conditionalFormattings>
    </ext>
    <ext xmlns:x14="http://schemas.microsoft.com/office/spreadsheetml/2009/9/main" uri="{A8765BA9-456A-4dab-B4F3-ACF838C121DE}">
      <x14:slicerList>
        <x14:slicer r:id="rId7"/>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989B41-2E54-4D21-969A-48F7E54BD0EC}">
  <sheetPr codeName="Sheet4">
    <tabColor rgb="FF8FCFAD"/>
  </sheetPr>
  <dimension ref="A1:Y24"/>
  <sheetViews>
    <sheetView showGridLines="0" showRowColHeaders="0" zoomScale="90" zoomScaleNormal="90" workbookViewId="0">
      <pane ySplit="4" topLeftCell="A5" activePane="bottomLeft" state="frozen"/>
      <selection pane="bottomLeft" activeCell="C10" sqref="C10"/>
    </sheetView>
  </sheetViews>
  <sheetFormatPr defaultColWidth="0" defaultRowHeight="30" customHeight="1" x14ac:dyDescent="0.2"/>
  <cols>
    <col min="1" max="1" width="0.7109375" style="30" customWidth="1"/>
    <col min="2" max="2" width="30.7109375" style="31" customWidth="1"/>
    <col min="3" max="3" width="1" style="30" customWidth="1"/>
    <col min="4" max="4" width="20.7109375" style="31" customWidth="1"/>
    <col min="5" max="5" width="1" style="30" customWidth="1"/>
    <col min="6" max="6" width="20.7109375" style="31" customWidth="1"/>
    <col min="7" max="7" width="1" style="30" customWidth="1"/>
    <col min="8" max="8" width="25.7109375" style="31" customWidth="1"/>
    <col min="9" max="11" width="20.7109375" style="31" customWidth="1"/>
    <col min="12" max="13" width="25.7109375" style="31" customWidth="1"/>
    <col min="14" max="14" width="25.7109375" style="19" customWidth="1"/>
    <col min="15" max="15" width="0.7109375" style="30" customWidth="1"/>
    <col min="16" max="16" width="20.7109375" style="31" hidden="1" customWidth="1"/>
    <col min="17" max="17" width="0.7109375" style="30" hidden="1" customWidth="1"/>
    <col min="18" max="18" width="30.7109375" style="31" hidden="1" customWidth="1"/>
    <col min="19" max="19" width="0.7109375" style="30" hidden="1" customWidth="1"/>
    <col min="20" max="20" width="30.7109375" style="31" hidden="1" customWidth="1"/>
    <col min="21" max="21" width="0.7109375" style="30" hidden="1" customWidth="1"/>
    <col min="22" max="24" width="9.140625" style="14" hidden="1" customWidth="1"/>
    <col min="25" max="25" width="0" style="14" hidden="1" customWidth="1"/>
    <col min="26" max="16384" width="9.140625" style="14" hidden="1"/>
  </cols>
  <sheetData>
    <row r="1" spans="1:21" customFormat="1" ht="12.75" x14ac:dyDescent="0.2">
      <c r="A1" s="29"/>
      <c r="B1" s="15"/>
      <c r="C1" s="15"/>
      <c r="D1" s="15"/>
      <c r="E1" s="15"/>
      <c r="F1" s="15"/>
      <c r="G1" s="15"/>
      <c r="H1" s="15"/>
      <c r="I1" s="15"/>
      <c r="J1" s="15"/>
      <c r="K1" s="15"/>
      <c r="L1" s="15"/>
      <c r="M1" s="15"/>
      <c r="N1" s="15"/>
      <c r="O1" s="15"/>
      <c r="P1" s="15"/>
      <c r="Q1" s="15"/>
      <c r="R1" s="15"/>
      <c r="S1" s="15"/>
      <c r="T1" s="15"/>
      <c r="U1" s="15"/>
    </row>
    <row r="2" spans="1:21" customFormat="1" ht="15.75" x14ac:dyDescent="0.25">
      <c r="A2" s="83"/>
      <c r="B2" s="83"/>
      <c r="C2" s="83"/>
      <c r="D2" s="83"/>
      <c r="E2" s="23"/>
      <c r="F2" s="23"/>
      <c r="G2" s="84" t="s">
        <v>43</v>
      </c>
      <c r="H2" s="84"/>
      <c r="I2" s="84"/>
      <c r="J2" s="84"/>
      <c r="K2" s="84"/>
      <c r="L2" s="84"/>
      <c r="M2" s="84"/>
      <c r="N2" s="84"/>
      <c r="O2" s="83"/>
      <c r="P2" s="83"/>
      <c r="Q2" s="83" t="s">
        <v>27</v>
      </c>
      <c r="R2" s="83"/>
      <c r="S2" s="83" t="s">
        <v>26</v>
      </c>
      <c r="T2" s="83"/>
      <c r="U2" s="23"/>
    </row>
    <row r="3" spans="1:21" customFormat="1" ht="12.75" x14ac:dyDescent="0.2">
      <c r="A3" s="29"/>
      <c r="B3" s="15"/>
      <c r="C3" s="15"/>
      <c r="D3" s="15"/>
      <c r="E3" s="15"/>
      <c r="F3" s="15"/>
      <c r="G3" s="15"/>
      <c r="H3" s="15"/>
      <c r="I3" s="15"/>
      <c r="J3" s="15"/>
      <c r="K3" s="15"/>
      <c r="L3" s="15"/>
      <c r="M3" s="15"/>
      <c r="N3" s="15"/>
      <c r="O3" s="15"/>
      <c r="P3" s="15"/>
      <c r="Q3" s="15"/>
      <c r="R3" s="15"/>
      <c r="S3" s="15"/>
      <c r="T3" s="15"/>
      <c r="U3" s="15"/>
    </row>
    <row r="4" spans="1:21" ht="27" customHeight="1" thickBot="1" x14ac:dyDescent="0.25">
      <c r="B4" s="16" t="s">
        <v>42</v>
      </c>
      <c r="D4" s="16" t="s">
        <v>45</v>
      </c>
      <c r="F4" s="16" t="s">
        <v>46</v>
      </c>
      <c r="H4" s="16" t="s">
        <v>44</v>
      </c>
      <c r="I4" s="16" t="s">
        <v>41</v>
      </c>
      <c r="J4" s="16" t="s">
        <v>49</v>
      </c>
      <c r="K4" s="16" t="s">
        <v>50</v>
      </c>
      <c r="L4" s="16" t="s">
        <v>51</v>
      </c>
      <c r="M4" s="16" t="s">
        <v>47</v>
      </c>
      <c r="N4" s="28" t="s">
        <v>48</v>
      </c>
      <c r="P4" s="16" t="s">
        <v>37</v>
      </c>
      <c r="R4" s="16" t="s">
        <v>28</v>
      </c>
      <c r="T4" s="16" t="s">
        <v>29</v>
      </c>
    </row>
    <row r="5" spans="1:21" ht="30" customHeight="1" thickTop="1" x14ac:dyDescent="0.2">
      <c r="B5" s="31" t="s">
        <v>52</v>
      </c>
      <c r="D5" s="31" t="s">
        <v>58</v>
      </c>
      <c r="F5" s="31" t="s">
        <v>87</v>
      </c>
      <c r="H5" s="31" t="s">
        <v>65</v>
      </c>
      <c r="I5" s="31" t="s">
        <v>87</v>
      </c>
      <c r="J5" s="31" t="s">
        <v>70</v>
      </c>
      <c r="K5" s="31" t="s">
        <v>72</v>
      </c>
      <c r="L5" s="31" t="s">
        <v>77</v>
      </c>
      <c r="M5" s="43" t="s">
        <v>174</v>
      </c>
      <c r="N5" s="18" t="s">
        <v>179</v>
      </c>
      <c r="P5" s="39" t="s">
        <v>84</v>
      </c>
    </row>
    <row r="6" spans="1:21" ht="30" customHeight="1" x14ac:dyDescent="0.2">
      <c r="B6" s="31" t="s">
        <v>53</v>
      </c>
      <c r="D6" s="31" t="s">
        <v>59</v>
      </c>
      <c r="F6" s="31" t="s">
        <v>88</v>
      </c>
      <c r="H6" s="31" t="s">
        <v>66</v>
      </c>
      <c r="I6" s="31" t="s">
        <v>90</v>
      </c>
      <c r="J6" s="31" t="s">
        <v>70</v>
      </c>
      <c r="K6" s="31" t="s">
        <v>73</v>
      </c>
      <c r="L6" s="31" t="s">
        <v>78</v>
      </c>
      <c r="M6" s="43" t="s">
        <v>175</v>
      </c>
      <c r="N6" s="18" t="s">
        <v>180</v>
      </c>
      <c r="P6" s="40" t="s">
        <v>82</v>
      </c>
    </row>
    <row r="7" spans="1:21" ht="30" customHeight="1" x14ac:dyDescent="0.2">
      <c r="B7" s="31" t="s">
        <v>54</v>
      </c>
      <c r="D7" s="31" t="s">
        <v>60</v>
      </c>
      <c r="F7" s="31" t="s">
        <v>89</v>
      </c>
      <c r="H7" s="31" t="s">
        <v>67</v>
      </c>
      <c r="I7" s="31" t="s">
        <v>89</v>
      </c>
      <c r="J7" s="31" t="s">
        <v>70</v>
      </c>
      <c r="K7" s="31" t="s">
        <v>74</v>
      </c>
      <c r="L7" s="31" t="s">
        <v>79</v>
      </c>
      <c r="M7" s="43" t="s">
        <v>176</v>
      </c>
      <c r="N7" s="18" t="s">
        <v>181</v>
      </c>
      <c r="P7" s="41" t="s">
        <v>83</v>
      </c>
    </row>
    <row r="8" spans="1:21" ht="30" customHeight="1" x14ac:dyDescent="0.2">
      <c r="B8" s="31" t="s">
        <v>55</v>
      </c>
      <c r="D8" s="31" t="s">
        <v>61</v>
      </c>
      <c r="F8" s="31" t="s">
        <v>90</v>
      </c>
      <c r="H8" s="31" t="s">
        <v>68</v>
      </c>
      <c r="I8" s="31" t="s">
        <v>89</v>
      </c>
      <c r="J8" s="31" t="s">
        <v>71</v>
      </c>
      <c r="K8" s="31" t="s">
        <v>75</v>
      </c>
      <c r="L8" s="31" t="s">
        <v>80</v>
      </c>
      <c r="M8" s="43" t="s">
        <v>177</v>
      </c>
      <c r="N8" s="18" t="s">
        <v>182</v>
      </c>
      <c r="P8" s="42" t="s">
        <v>85</v>
      </c>
    </row>
    <row r="9" spans="1:21" ht="30" customHeight="1" x14ac:dyDescent="0.2">
      <c r="B9" s="31" t="s">
        <v>56</v>
      </c>
      <c r="D9" s="31" t="s">
        <v>62</v>
      </c>
      <c r="H9" s="31" t="s">
        <v>69</v>
      </c>
      <c r="I9" s="31" t="s">
        <v>88</v>
      </c>
      <c r="J9" s="31" t="s">
        <v>71</v>
      </c>
      <c r="K9" s="31" t="s">
        <v>76</v>
      </c>
      <c r="L9" s="31" t="s">
        <v>81</v>
      </c>
      <c r="M9" s="43" t="s">
        <v>178</v>
      </c>
      <c r="N9" s="18" t="s">
        <v>183</v>
      </c>
      <c r="P9" s="42" t="s">
        <v>86</v>
      </c>
    </row>
    <row r="10" spans="1:21" ht="30" customHeight="1" x14ac:dyDescent="0.2">
      <c r="B10" s="31" t="s">
        <v>57</v>
      </c>
      <c r="D10" s="31" t="s">
        <v>63</v>
      </c>
      <c r="H10" s="31" t="s">
        <v>229</v>
      </c>
      <c r="I10" s="31" t="s">
        <v>90</v>
      </c>
      <c r="J10" s="31" t="s">
        <v>230</v>
      </c>
      <c r="K10" s="31" t="s">
        <v>231</v>
      </c>
      <c r="L10" s="31" t="s">
        <v>232</v>
      </c>
      <c r="M10" s="43" t="s">
        <v>233</v>
      </c>
      <c r="N10" s="18">
        <v>95441246315</v>
      </c>
      <c r="P10" s="19"/>
    </row>
    <row r="11" spans="1:21" ht="30" customHeight="1" x14ac:dyDescent="0.2">
      <c r="D11" s="31" t="s">
        <v>64</v>
      </c>
      <c r="N11" s="18"/>
      <c r="P11" s="19"/>
    </row>
    <row r="12" spans="1:21" ht="30" customHeight="1" x14ac:dyDescent="0.2">
      <c r="N12" s="18"/>
    </row>
    <row r="13" spans="1:21" ht="30" customHeight="1" x14ac:dyDescent="0.2">
      <c r="N13" s="18"/>
    </row>
    <row r="14" spans="1:21" ht="30" customHeight="1" x14ac:dyDescent="0.2">
      <c r="N14" s="18"/>
    </row>
    <row r="15" spans="1:21" ht="30" customHeight="1" x14ac:dyDescent="0.2">
      <c r="N15" s="18"/>
    </row>
    <row r="16" spans="1:21" ht="30" customHeight="1" x14ac:dyDescent="0.2">
      <c r="N16" s="18"/>
    </row>
    <row r="17" spans="14:14" ht="30" customHeight="1" x14ac:dyDescent="0.2">
      <c r="N17" s="18"/>
    </row>
    <row r="18" spans="14:14" ht="30" customHeight="1" x14ac:dyDescent="0.2">
      <c r="N18" s="18"/>
    </row>
    <row r="19" spans="14:14" ht="30" customHeight="1" x14ac:dyDescent="0.2">
      <c r="N19" s="18"/>
    </row>
    <row r="20" spans="14:14" ht="30" customHeight="1" x14ac:dyDescent="0.2">
      <c r="N20" s="18"/>
    </row>
    <row r="21" spans="14:14" ht="30" customHeight="1" x14ac:dyDescent="0.2">
      <c r="N21" s="18"/>
    </row>
    <row r="22" spans="14:14" ht="30" customHeight="1" x14ac:dyDescent="0.2">
      <c r="N22" s="18"/>
    </row>
    <row r="23" spans="14:14" ht="30" customHeight="1" x14ac:dyDescent="0.2">
      <c r="N23" s="18"/>
    </row>
    <row r="24" spans="14:14" ht="30" customHeight="1" x14ac:dyDescent="0.2">
      <c r="N24" s="18"/>
    </row>
  </sheetData>
  <sheetProtection selectLockedCells="1"/>
  <mergeCells count="6">
    <mergeCell ref="S2:T2"/>
    <mergeCell ref="O2:P2"/>
    <mergeCell ref="Q2:R2"/>
    <mergeCell ref="A2:B2"/>
    <mergeCell ref="C2:D2"/>
    <mergeCell ref="G2:N2"/>
  </mergeCells>
  <phoneticPr fontId="5" type="noConversion"/>
  <dataValidations count="1">
    <dataValidation type="list" allowBlank="1" showInputMessage="1" showErrorMessage="1" sqref="I5:I1048576" xr:uid="{B6EFF305-5E67-4DB1-B2BC-1313BEAC5B02}">
      <formula1>CustomerType</formula1>
    </dataValidation>
  </dataValidations>
  <hyperlinks>
    <hyperlink ref="M5" r:id="rId1" xr:uid="{8F20ABAD-89BF-407A-BEC9-0BB4F1BBC240}"/>
    <hyperlink ref="M6:M9" r:id="rId2" display="Customer.1@domain.com" xr:uid="{EC307BAB-63F3-4B4D-8A64-BB609EC294E2}"/>
    <hyperlink ref="M6" r:id="rId3" xr:uid="{406D6201-9160-4312-B510-3B1577B9D081}"/>
    <hyperlink ref="M7" r:id="rId4" xr:uid="{051A33D9-0746-4D5A-8FA4-03449B9BA6C2}"/>
    <hyperlink ref="M8" r:id="rId5" xr:uid="{2F0CF040-70F8-4F7E-9A28-F4DCD5239754}"/>
    <hyperlink ref="M9" r:id="rId6" xr:uid="{4E0C9064-AEA8-437B-85AF-E8D07DE0BAA5}"/>
    <hyperlink ref="M10" r:id="rId7" xr:uid="{284B3769-F282-4EC4-901C-2805915E7C09}"/>
  </hyperlinks>
  <pageMargins left="0.7" right="0.7" top="0.75" bottom="0.75" header="0.3" footer="0.3"/>
  <pageSetup orientation="portrait" r:id="rId8"/>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145E25-E5B8-4FBB-8C29-92194B083F94}">
  <dimension ref="B3:B24"/>
  <sheetViews>
    <sheetView workbookViewId="0">
      <selection activeCell="B3" sqref="B3"/>
    </sheetView>
  </sheetViews>
  <sheetFormatPr defaultRowHeight="12.75" x14ac:dyDescent="0.2"/>
  <cols>
    <col min="2" max="2" width="16" bestFit="1" customWidth="1"/>
  </cols>
  <sheetData>
    <row r="3" spans="2:2" x14ac:dyDescent="0.2">
      <c r="B3" s="46" t="s">
        <v>151</v>
      </c>
    </row>
    <row r="4" spans="2:2" x14ac:dyDescent="0.2">
      <c r="B4" s="47" t="s">
        <v>153</v>
      </c>
    </row>
    <row r="5" spans="2:2" x14ac:dyDescent="0.2">
      <c r="B5" s="47" t="s">
        <v>162</v>
      </c>
    </row>
    <row r="6" spans="2:2" x14ac:dyDescent="0.2">
      <c r="B6" s="47" t="s">
        <v>163</v>
      </c>
    </row>
    <row r="7" spans="2:2" x14ac:dyDescent="0.2">
      <c r="B7" s="47" t="s">
        <v>164</v>
      </c>
    </row>
    <row r="8" spans="2:2" x14ac:dyDescent="0.2">
      <c r="B8" s="47" t="s">
        <v>165</v>
      </c>
    </row>
    <row r="9" spans="2:2" x14ac:dyDescent="0.2">
      <c r="B9" s="47" t="s">
        <v>166</v>
      </c>
    </row>
    <row r="10" spans="2:2" x14ac:dyDescent="0.2">
      <c r="B10" s="47" t="s">
        <v>167</v>
      </c>
    </row>
    <row r="11" spans="2:2" x14ac:dyDescent="0.2">
      <c r="B11" s="47" t="s">
        <v>168</v>
      </c>
    </row>
    <row r="12" spans="2:2" x14ac:dyDescent="0.2">
      <c r="B12" s="47" t="s">
        <v>169</v>
      </c>
    </row>
    <row r="13" spans="2:2" x14ac:dyDescent="0.2">
      <c r="B13" s="47" t="s">
        <v>170</v>
      </c>
    </row>
    <row r="14" spans="2:2" x14ac:dyDescent="0.2">
      <c r="B14" s="47" t="s">
        <v>171</v>
      </c>
    </row>
    <row r="15" spans="2:2" x14ac:dyDescent="0.2">
      <c r="B15" s="47" t="s">
        <v>154</v>
      </c>
    </row>
    <row r="16" spans="2:2" x14ac:dyDescent="0.2">
      <c r="B16" s="47" t="s">
        <v>172</v>
      </c>
    </row>
    <row r="17" spans="2:2" x14ac:dyDescent="0.2">
      <c r="B17" s="47" t="s">
        <v>201</v>
      </c>
    </row>
    <row r="18" spans="2:2" x14ac:dyDescent="0.2">
      <c r="B18" s="47" t="s">
        <v>155</v>
      </c>
    </row>
    <row r="19" spans="2:2" x14ac:dyDescent="0.2">
      <c r="B19" s="47" t="s">
        <v>156</v>
      </c>
    </row>
    <row r="20" spans="2:2" x14ac:dyDescent="0.2">
      <c r="B20" s="47" t="s">
        <v>157</v>
      </c>
    </row>
    <row r="21" spans="2:2" x14ac:dyDescent="0.2">
      <c r="B21" s="47" t="s">
        <v>158</v>
      </c>
    </row>
    <row r="22" spans="2:2" x14ac:dyDescent="0.2">
      <c r="B22" s="47" t="s">
        <v>159</v>
      </c>
    </row>
    <row r="23" spans="2:2" x14ac:dyDescent="0.2">
      <c r="B23" s="47" t="s">
        <v>160</v>
      </c>
    </row>
    <row r="24" spans="2:2" x14ac:dyDescent="0.2">
      <c r="B24" s="47" t="s">
        <v>161</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3EDC5A-9E13-4626-81AA-29AD62AE0967}">
  <sheetPr codeName="Sheet5"/>
  <dimension ref="B5:S13"/>
  <sheetViews>
    <sheetView topLeftCell="G1" workbookViewId="0">
      <selection activeCell="K9" sqref="K9"/>
    </sheetView>
  </sheetViews>
  <sheetFormatPr defaultRowHeight="12.75" x14ac:dyDescent="0.2"/>
  <cols>
    <col min="2" max="2" width="16.85546875" bestFit="1" customWidth="1"/>
    <col min="3" max="3" width="17" bestFit="1" customWidth="1"/>
    <col min="4" max="4" width="5.140625" bestFit="1" customWidth="1"/>
    <col min="5" max="5" width="9.7109375" bestFit="1" customWidth="1"/>
    <col min="6" max="6" width="8.140625" bestFit="1" customWidth="1"/>
    <col min="7" max="7" width="7.7109375" bestFit="1" customWidth="1"/>
    <col min="8" max="8" width="11.7109375" bestFit="1" customWidth="1"/>
    <col min="10" max="10" width="13.85546875" bestFit="1" customWidth="1"/>
    <col min="11" max="11" width="16.85546875" bestFit="1" customWidth="1"/>
    <col min="13" max="17" width="17" bestFit="1" customWidth="1"/>
    <col min="18" max="19" width="11.7109375" bestFit="1" customWidth="1"/>
  </cols>
  <sheetData>
    <row r="5" spans="2:19" x14ac:dyDescent="0.2">
      <c r="C5" s="46" t="s">
        <v>191</v>
      </c>
    </row>
    <row r="6" spans="2:19" x14ac:dyDescent="0.2">
      <c r="C6" t="s">
        <v>84</v>
      </c>
      <c r="D6" t="s">
        <v>82</v>
      </c>
      <c r="E6" t="s">
        <v>83</v>
      </c>
      <c r="F6" t="s">
        <v>85</v>
      </c>
      <c r="G6" t="s">
        <v>86</v>
      </c>
      <c r="H6" t="s">
        <v>190</v>
      </c>
      <c r="J6" s="46" t="s">
        <v>151</v>
      </c>
      <c r="K6" t="s">
        <v>192</v>
      </c>
      <c r="M6" s="56" t="s">
        <v>84</v>
      </c>
      <c r="N6" s="56">
        <f>COUNTIF('Dashboard And Emails Automate'!F:F,M6)</f>
        <v>4</v>
      </c>
      <c r="P6" t="str">
        <f>IF('Dashboard And Emails Automate'!B10="","",'Dashboard And Emails Automate'!B10)</f>
        <v>Code-22123</v>
      </c>
    </row>
    <row r="7" spans="2:19" x14ac:dyDescent="0.2">
      <c r="B7" t="s">
        <v>192</v>
      </c>
      <c r="C7">
        <v>4</v>
      </c>
      <c r="D7">
        <v>3</v>
      </c>
      <c r="E7">
        <v>5</v>
      </c>
      <c r="F7">
        <v>5</v>
      </c>
      <c r="G7">
        <v>4</v>
      </c>
      <c r="H7">
        <v>21</v>
      </c>
      <c r="J7" s="47" t="s">
        <v>52</v>
      </c>
      <c r="K7">
        <v>4</v>
      </c>
      <c r="M7" s="56" t="s">
        <v>82</v>
      </c>
      <c r="N7" s="56">
        <f>COUNTIF('Dashboard And Emails Automate'!F:F,M7)</f>
        <v>3</v>
      </c>
      <c r="P7" s="60" t="s">
        <v>197</v>
      </c>
      <c r="Q7" t="str">
        <f>IFERROR(VLOOKUP(S7,Database!H:N,6,0),"")</f>
        <v/>
      </c>
      <c r="S7" t="str">
        <f>IFERROR(VLOOKUP(P6,'Email Marketing Raw Data'!C:O,4,0),"")</f>
        <v/>
      </c>
    </row>
    <row r="8" spans="2:19" x14ac:dyDescent="0.2">
      <c r="J8" s="47" t="s">
        <v>53</v>
      </c>
      <c r="K8">
        <v>3</v>
      </c>
      <c r="M8" s="56" t="s">
        <v>83</v>
      </c>
      <c r="N8" s="56">
        <f>COUNTIF('Dashboard And Emails Automate'!F:F,M8)</f>
        <v>5</v>
      </c>
      <c r="P8" s="60" t="s">
        <v>32</v>
      </c>
      <c r="Q8" t="str">
        <f>IFERROR(VLOOKUP(P6,'Email Marketing Raw Data'!C:O,7,0),"")</f>
        <v/>
      </c>
    </row>
    <row r="9" spans="2:19" x14ac:dyDescent="0.2">
      <c r="J9" s="47" t="s">
        <v>54</v>
      </c>
      <c r="K9">
        <v>3</v>
      </c>
      <c r="M9" s="56" t="s">
        <v>85</v>
      </c>
      <c r="N9" s="56">
        <f>COUNTIF('Dashboard And Emails Automate'!F:F,M9)</f>
        <v>5</v>
      </c>
      <c r="P9" t="s">
        <v>35</v>
      </c>
      <c r="Q9" t="str">
        <f>IFERROR(VLOOKUP(P6,'Email Marketing Raw Data'!C:O,8,0),"")</f>
        <v/>
      </c>
    </row>
    <row r="10" spans="2:19" x14ac:dyDescent="0.2">
      <c r="J10" s="47" t="s">
        <v>55</v>
      </c>
      <c r="K10">
        <v>4</v>
      </c>
      <c r="M10" s="56" t="s">
        <v>86</v>
      </c>
      <c r="N10" s="56">
        <f>COUNTIF('Dashboard And Emails Automate'!F:F,M10)</f>
        <v>4</v>
      </c>
      <c r="P10" t="s">
        <v>36</v>
      </c>
      <c r="Q10" t="str">
        <f>IFERROR(VLOOKUP(P6,'Email Marketing Raw Data'!C:O,9,0),"")</f>
        <v/>
      </c>
    </row>
    <row r="11" spans="2:19" x14ac:dyDescent="0.2">
      <c r="J11" s="47" t="s">
        <v>56</v>
      </c>
      <c r="K11">
        <v>2</v>
      </c>
      <c r="P11" s="60" t="s">
        <v>198</v>
      </c>
      <c r="Q11" t="str">
        <f>IFERROR(Q9&amp;"  "&amp;Q10,"")</f>
        <v xml:space="preserve">  </v>
      </c>
    </row>
    <row r="12" spans="2:19" x14ac:dyDescent="0.2">
      <c r="J12" s="47" t="s">
        <v>57</v>
      </c>
      <c r="K12">
        <v>5</v>
      </c>
    </row>
    <row r="13" spans="2:19" x14ac:dyDescent="0.2">
      <c r="J13" s="47" t="s">
        <v>190</v>
      </c>
      <c r="K13">
        <v>21</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2903BD6CED16784C9848793BCB8A8B5C" ma:contentTypeVersion="13" ma:contentTypeDescription="Create a new document." ma:contentTypeScope="" ma:versionID="847bee06aa7b2a33407fac2f45700239">
  <xsd:schema xmlns:xsd="http://www.w3.org/2001/XMLSchema" xmlns:xs="http://www.w3.org/2001/XMLSchema" xmlns:p="http://schemas.microsoft.com/office/2006/metadata/properties" xmlns:ns3="dda6fff3-f3be-4414-8fe7-bdde5e113c2e" xmlns:ns4="cafdd227-729a-45e1-a1b3-6b82500adb76" targetNamespace="http://schemas.microsoft.com/office/2006/metadata/properties" ma:root="true" ma:fieldsID="b32395141e4195432d6adc35cd352e5e" ns3:_="" ns4:_="">
    <xsd:import namespace="dda6fff3-f3be-4414-8fe7-bdde5e113c2e"/>
    <xsd:import namespace="cafdd227-729a-45e1-a1b3-6b82500adb76"/>
    <xsd:element name="properties">
      <xsd:complexType>
        <xsd:sequence>
          <xsd:element name="documentManagement">
            <xsd:complexType>
              <xsd:all>
                <xsd:element ref="ns3:MediaServiceMetadata" minOccurs="0"/>
                <xsd:element ref="ns3:MediaServiceFastMetadata" minOccurs="0"/>
                <xsd:element ref="ns3:MediaServiceAutoTags" minOccurs="0"/>
                <xsd:element ref="ns3:MediaServiceOCR" minOccurs="0"/>
                <xsd:element ref="ns3:MediaServiceGenerationTime" minOccurs="0"/>
                <xsd:element ref="ns3:MediaServiceEventHashCode" minOccurs="0"/>
                <xsd:element ref="ns4:SharedWithUsers" minOccurs="0"/>
                <xsd:element ref="ns4:SharedWithDetails" minOccurs="0"/>
                <xsd:element ref="ns4:SharingHintHash" minOccurs="0"/>
                <xsd:element ref="ns3:MediaServiceDateTaken" minOccurs="0"/>
                <xsd:element ref="ns3:MediaServiceAutoKeyPoints" minOccurs="0"/>
                <xsd:element ref="ns3:MediaServiceKeyPoints" minOccurs="0"/>
                <xsd:element ref="ns3: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dda6fff3-f3be-4414-8fe7-bdde5e113c2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DateTaken" ma:index="17" nillable="true" ma:displayName="MediaServiceDateTaken" ma:hidden="true" ma:internalName="MediaServiceDateTaken"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ServiceLocation" ma:index="20" nillable="true" ma:displayName="Location" ma:internalName="MediaServiceLocation"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cafdd227-729a-45e1-a1b3-6b82500adb76"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element name="SharingHintHash" ma:index="16" nillable="true" ma:displayName="Sharing Hint Hash" ma:hidden="true" ma:internalName="SharingHintHash"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4.xml>�� 
</file>

<file path=customXml/itemProps1.xml><?xml version="1.0" encoding="utf-8"?>
<ds:datastoreItem xmlns:ds="http://schemas.openxmlformats.org/officeDocument/2006/customXml" ds:itemID="{9C5F4268-68C8-44DC-95E5-FC029D660991}">
  <ds:schemaRefs>
    <ds:schemaRef ds:uri="http://schemas.microsoft.com/office/2006/documentManagement/types"/>
    <ds:schemaRef ds:uri="http://schemas.openxmlformats.org/package/2006/metadata/core-properties"/>
    <ds:schemaRef ds:uri="http://www.w3.org/XML/1998/namespace"/>
    <ds:schemaRef ds:uri="http://purl.org/dc/elements/1.1/"/>
    <ds:schemaRef ds:uri="dda6fff3-f3be-4414-8fe7-bdde5e113c2e"/>
    <ds:schemaRef ds:uri="http://purl.org/dc/terms/"/>
    <ds:schemaRef ds:uri="http://purl.org/dc/dcmitype/"/>
    <ds:schemaRef ds:uri="http://schemas.microsoft.com/office/infopath/2007/PartnerControls"/>
    <ds:schemaRef ds:uri="cafdd227-729a-45e1-a1b3-6b82500adb76"/>
    <ds:schemaRef ds:uri="http://schemas.microsoft.com/office/2006/metadata/properties"/>
  </ds:schemaRefs>
</ds:datastoreItem>
</file>

<file path=customXml/itemProps2.xml><?xml version="1.0" encoding="utf-8"?>
<ds:datastoreItem xmlns:ds="http://schemas.openxmlformats.org/officeDocument/2006/customXml" ds:itemID="{6F4E3719-A95F-4216-8AC5-A76BBA28C197}">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dda6fff3-f3be-4414-8fe7-bdde5e113c2e"/>
    <ds:schemaRef ds:uri="cafdd227-729a-45e1-a1b3-6b82500adb76"/>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456F8956-EF26-41EB-B1FF-C7AB00322EBB}">
  <ds:schemaRefs>
    <ds:schemaRef ds:uri="http://schemas.microsoft.com/sharepoint/v3/contenttype/forms"/>
  </ds:schemaRefs>
</ds:datastoreItem>
</file>

<file path=customXml/itemProps4.xml><?xml version="1.0" encoding="utf-8"?>
<ds:datastoreItem xmlns:ds="http://schemas.openxmlformats.org/officeDocument/2006/customXml" ds:itemID="{C67B1C36-39B2-4DB4-96A4-CA08510B0B01}">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6</vt:i4>
      </vt:variant>
    </vt:vector>
  </HeadingPairs>
  <TitlesOfParts>
    <vt:vector size="6" baseType="lpstr">
      <vt:lpstr>Introduction</vt:lpstr>
      <vt:lpstr>Email Marketing Raw Data</vt:lpstr>
      <vt:lpstr>Dashboard And Emails Automate</vt:lpstr>
      <vt:lpstr>Database</vt:lpstr>
      <vt:lpstr>Sheet2</vt:lpstr>
      <vt:lpstr>Sheet1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Stockkamp, Felix</dc:creator>
  <cp:lastModifiedBy>QSK1184</cp:lastModifiedBy>
  <cp:lastPrinted>2020-12-02T20:52:53Z</cp:lastPrinted>
  <dcterms:created xsi:type="dcterms:W3CDTF">2020-08-23T16:46:06Z</dcterms:created>
  <dcterms:modified xsi:type="dcterms:W3CDTF">2024-09-20T12:19:38Z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0x0101002903BD6CED16784C9848793BCB8A8B5C</vt:lpwstr>
  </property>
</Properties>
</file>